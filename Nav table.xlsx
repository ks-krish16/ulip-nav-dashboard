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\ulip-nav-dashboard(copy)\"/>
    </mc:Choice>
  </mc:AlternateContent>
  <xr:revisionPtr revIDLastSave="0" documentId="13_ncr:1_{12E7F2ED-805F-4EC2-994E-61BE22766134}" xr6:coauthVersionLast="47" xr6:coauthVersionMax="47" xr10:uidLastSave="{00000000-0000-0000-0000-000000000000}"/>
  <bookViews>
    <workbookView xWindow="-120" yWindow="-120" windowWidth="21840" windowHeight="13020" activeTab="1" xr2:uid="{00000000-000D-0000-FFFF-FFFF00000000}"/>
  </bookViews>
  <sheets>
    <sheet name="icici nav" sheetId="7" r:id="rId1"/>
    <sheet name="TATA AIA nav" sheetId="2" r:id="rId2"/>
    <sheet name="nav master" sheetId="3" r:id="rId3"/>
    <sheet name="HDFC_nav" sheetId="4" r:id="rId4"/>
    <sheet name="Lookup" sheetId="6" r:id="rId5"/>
  </sheets>
  <definedNames>
    <definedName name="_xlnm._FilterDatabase" localSheetId="3" hidden="1">HDFC_nav!$A$1:$AB$6416</definedName>
    <definedName name="_xlnm._FilterDatabase" localSheetId="0" hidden="1">'icici nav'!$A$1:$F$2964</definedName>
    <definedName name="_xlnm._FilterDatabase" localSheetId="2" hidden="1">'nav master'!$A$1:$AA$999</definedName>
    <definedName name="_xlnm._FilterDatabase" localSheetId="1" hidden="1">'TATA AIA nav'!$A$1:$AE$5384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C1472" i="7"/>
  <c r="C1473" i="7"/>
  <c r="C1474" i="7"/>
  <c r="C1475" i="7"/>
  <c r="C1476" i="7"/>
  <c r="C1477" i="7"/>
  <c r="C1478" i="7"/>
  <c r="C1479" i="7"/>
  <c r="C1480" i="7"/>
  <c r="C1481" i="7"/>
  <c r="C1482" i="7"/>
  <c r="C1483" i="7"/>
  <c r="C1484" i="7"/>
  <c r="C1485" i="7"/>
  <c r="C1486" i="7"/>
  <c r="C1487" i="7"/>
  <c r="C1488" i="7"/>
  <c r="C1489" i="7"/>
  <c r="C1490" i="7"/>
  <c r="C1491" i="7"/>
  <c r="C1492" i="7"/>
  <c r="C1493" i="7"/>
  <c r="C1494" i="7"/>
  <c r="C1495" i="7"/>
  <c r="C1496" i="7"/>
  <c r="C1497" i="7"/>
  <c r="C1498" i="7"/>
  <c r="C1499" i="7"/>
  <c r="C1500" i="7"/>
  <c r="C1501" i="7"/>
  <c r="C1502" i="7"/>
  <c r="C1503" i="7"/>
  <c r="C1504" i="7"/>
  <c r="C1505" i="7"/>
  <c r="C1506" i="7"/>
  <c r="C1507" i="7"/>
  <c r="C1508" i="7"/>
  <c r="C1509" i="7"/>
  <c r="C1510" i="7"/>
  <c r="C1511" i="7"/>
  <c r="C1512" i="7"/>
  <c r="C1513" i="7"/>
  <c r="C1514" i="7"/>
  <c r="C1515" i="7"/>
  <c r="C1516" i="7"/>
  <c r="C1517" i="7"/>
  <c r="C1518" i="7"/>
  <c r="C1519" i="7"/>
  <c r="C1520" i="7"/>
  <c r="C1521" i="7"/>
  <c r="C1522" i="7"/>
  <c r="C1523" i="7"/>
  <c r="C1524" i="7"/>
  <c r="C1525" i="7"/>
  <c r="C1526" i="7"/>
  <c r="C1527" i="7"/>
  <c r="C1528" i="7"/>
  <c r="C1529" i="7"/>
  <c r="C1530" i="7"/>
  <c r="C1531" i="7"/>
  <c r="C1532" i="7"/>
  <c r="C1533" i="7"/>
  <c r="C1534" i="7"/>
  <c r="C1535" i="7"/>
  <c r="C1536" i="7"/>
  <c r="C1537" i="7"/>
  <c r="C1538" i="7"/>
  <c r="C1539" i="7"/>
  <c r="C1540" i="7"/>
  <c r="C1541" i="7"/>
  <c r="C1542" i="7"/>
  <c r="C1543" i="7"/>
  <c r="C1544" i="7"/>
  <c r="C1545" i="7"/>
  <c r="C1546" i="7"/>
  <c r="C1547" i="7"/>
  <c r="C1548" i="7"/>
  <c r="C1549" i="7"/>
  <c r="C1550" i="7"/>
  <c r="C1551" i="7"/>
  <c r="C1552" i="7"/>
  <c r="C1553" i="7"/>
  <c r="C1554" i="7"/>
  <c r="C1555" i="7"/>
  <c r="C1556" i="7"/>
  <c r="C1557" i="7"/>
  <c r="C1558" i="7"/>
  <c r="C1559" i="7"/>
  <c r="C1560" i="7"/>
  <c r="C1561" i="7"/>
  <c r="C1562" i="7"/>
  <c r="C1563" i="7"/>
  <c r="C1564" i="7"/>
  <c r="C1565" i="7"/>
  <c r="C1566" i="7"/>
  <c r="C1567" i="7"/>
  <c r="C1568" i="7"/>
  <c r="C1569" i="7"/>
  <c r="C1570" i="7"/>
  <c r="C1571" i="7"/>
  <c r="C1572" i="7"/>
  <c r="C1573" i="7"/>
  <c r="C1574" i="7"/>
  <c r="C1575" i="7"/>
  <c r="C1576" i="7"/>
  <c r="C1577" i="7"/>
  <c r="C1578" i="7"/>
  <c r="C1579" i="7"/>
  <c r="C1580" i="7"/>
  <c r="C1581" i="7"/>
  <c r="C1582" i="7"/>
  <c r="C1583" i="7"/>
  <c r="C1584" i="7"/>
  <c r="C1585" i="7"/>
  <c r="C1586" i="7"/>
  <c r="C1587" i="7"/>
  <c r="C1588" i="7"/>
  <c r="C1589" i="7"/>
  <c r="C1590" i="7"/>
  <c r="C1591" i="7"/>
  <c r="C1592" i="7"/>
  <c r="C1593" i="7"/>
  <c r="C1594" i="7"/>
  <c r="C1595" i="7"/>
  <c r="C1596" i="7"/>
  <c r="C1597" i="7"/>
  <c r="C1598" i="7"/>
  <c r="C1599" i="7"/>
  <c r="C1600" i="7"/>
  <c r="C1601" i="7"/>
  <c r="C1602" i="7"/>
  <c r="C1603" i="7"/>
  <c r="C1604" i="7"/>
  <c r="C1605" i="7"/>
  <c r="C1606" i="7"/>
  <c r="C1607" i="7"/>
  <c r="C1608" i="7"/>
  <c r="C1609" i="7"/>
  <c r="C1610" i="7"/>
  <c r="C1611" i="7"/>
  <c r="C1612" i="7"/>
  <c r="C1613" i="7"/>
  <c r="C1614" i="7"/>
  <c r="C1615" i="7"/>
  <c r="C1616" i="7"/>
  <c r="C1617" i="7"/>
  <c r="C1618" i="7"/>
  <c r="C1619" i="7"/>
  <c r="C1620" i="7"/>
  <c r="C1621" i="7"/>
  <c r="C1622" i="7"/>
  <c r="C1623" i="7"/>
  <c r="C1624" i="7"/>
  <c r="C1625" i="7"/>
  <c r="C1626" i="7"/>
  <c r="C1627" i="7"/>
  <c r="C1628" i="7"/>
  <c r="C1629" i="7"/>
  <c r="C1630" i="7"/>
  <c r="C1631" i="7"/>
  <c r="C1632" i="7"/>
  <c r="C1633" i="7"/>
  <c r="C1634" i="7"/>
  <c r="C1635" i="7"/>
  <c r="C1636" i="7"/>
  <c r="C1637" i="7"/>
  <c r="C1638" i="7"/>
  <c r="C1639" i="7"/>
  <c r="C1640" i="7"/>
  <c r="C1641" i="7"/>
  <c r="C1642" i="7"/>
  <c r="C1643" i="7"/>
  <c r="C1644" i="7"/>
  <c r="C1645" i="7"/>
  <c r="C1646" i="7"/>
  <c r="C1647" i="7"/>
  <c r="C1648" i="7"/>
  <c r="C1649" i="7"/>
  <c r="C1650" i="7"/>
  <c r="C1651" i="7"/>
  <c r="C1652" i="7"/>
  <c r="C1653" i="7"/>
  <c r="C1654" i="7"/>
  <c r="C1655" i="7"/>
  <c r="C1656" i="7"/>
  <c r="C1657" i="7"/>
  <c r="C1658" i="7"/>
  <c r="C1659" i="7"/>
  <c r="C1660" i="7"/>
  <c r="C1661" i="7"/>
  <c r="C1662" i="7"/>
  <c r="C1663" i="7"/>
  <c r="C1664" i="7"/>
  <c r="C1665" i="7"/>
  <c r="C1666" i="7"/>
  <c r="C1667" i="7"/>
  <c r="C1668" i="7"/>
  <c r="C1669" i="7"/>
  <c r="C1670" i="7"/>
  <c r="C1671" i="7"/>
  <c r="C1672" i="7"/>
  <c r="C1673" i="7"/>
  <c r="C1674" i="7"/>
  <c r="C1675" i="7"/>
  <c r="C1676" i="7"/>
  <c r="C1677" i="7"/>
  <c r="C1678" i="7"/>
  <c r="C1679" i="7"/>
  <c r="C1680" i="7"/>
  <c r="C1681" i="7"/>
  <c r="C1682" i="7"/>
  <c r="C1683" i="7"/>
  <c r="C1684" i="7"/>
  <c r="C1685" i="7"/>
  <c r="C1686" i="7"/>
  <c r="C1687" i="7"/>
  <c r="C1688" i="7"/>
  <c r="C1689" i="7"/>
  <c r="C1690" i="7"/>
  <c r="C1691" i="7"/>
  <c r="C1692" i="7"/>
  <c r="C1693" i="7"/>
  <c r="C1694" i="7"/>
  <c r="C1695" i="7"/>
  <c r="C1696" i="7"/>
  <c r="C1697" i="7"/>
  <c r="C1698" i="7"/>
  <c r="C1699" i="7"/>
  <c r="C1700" i="7"/>
  <c r="C1701" i="7"/>
  <c r="C1702" i="7"/>
  <c r="C1703" i="7"/>
  <c r="C1704" i="7"/>
  <c r="C1705" i="7"/>
  <c r="C1706" i="7"/>
  <c r="C1707" i="7"/>
  <c r="C1708" i="7"/>
  <c r="C1709" i="7"/>
  <c r="C1710" i="7"/>
  <c r="C1711" i="7"/>
  <c r="C1712" i="7"/>
  <c r="C1713" i="7"/>
  <c r="C1714" i="7"/>
  <c r="C1715" i="7"/>
  <c r="C1716" i="7"/>
  <c r="C1717" i="7"/>
  <c r="C1718" i="7"/>
  <c r="C1719" i="7"/>
  <c r="C1720" i="7"/>
  <c r="C1721" i="7"/>
  <c r="C1722" i="7"/>
  <c r="C1723" i="7"/>
  <c r="C1724" i="7"/>
  <c r="C1725" i="7"/>
  <c r="C1726" i="7"/>
  <c r="C1727" i="7"/>
  <c r="C1728" i="7"/>
  <c r="C1729" i="7"/>
  <c r="C1730" i="7"/>
  <c r="C1731" i="7"/>
  <c r="C1732" i="7"/>
  <c r="C1733" i="7"/>
  <c r="C1734" i="7"/>
  <c r="C1735" i="7"/>
  <c r="C1736" i="7"/>
  <c r="C1737" i="7"/>
  <c r="C1738" i="7"/>
  <c r="C1739" i="7"/>
  <c r="C1740" i="7"/>
  <c r="C1741" i="7"/>
  <c r="C1742" i="7"/>
  <c r="C1743" i="7"/>
  <c r="C1744" i="7"/>
  <c r="C1745" i="7"/>
  <c r="C1746" i="7"/>
  <c r="C1747" i="7"/>
  <c r="C1748" i="7"/>
  <c r="C1749" i="7"/>
  <c r="C1750" i="7"/>
  <c r="C1751" i="7"/>
  <c r="C1752" i="7"/>
  <c r="C1753" i="7"/>
  <c r="C1754" i="7"/>
  <c r="C1755" i="7"/>
  <c r="C1756" i="7"/>
  <c r="C1757" i="7"/>
  <c r="C1758" i="7"/>
  <c r="C1759" i="7"/>
  <c r="C1760" i="7"/>
  <c r="C1761" i="7"/>
  <c r="C1762" i="7"/>
  <c r="C1763" i="7"/>
  <c r="C1764" i="7"/>
  <c r="C1765" i="7"/>
  <c r="C1766" i="7"/>
  <c r="C1767" i="7"/>
  <c r="C1768" i="7"/>
  <c r="C1769" i="7"/>
  <c r="C1770" i="7"/>
  <c r="C1771" i="7"/>
  <c r="C1772" i="7"/>
  <c r="C1773" i="7"/>
  <c r="C1774" i="7"/>
  <c r="C1775" i="7"/>
  <c r="C1776" i="7"/>
  <c r="C1777" i="7"/>
  <c r="C1778" i="7"/>
  <c r="C1779" i="7"/>
  <c r="C1780" i="7"/>
  <c r="C1781" i="7"/>
  <c r="C1782" i="7"/>
  <c r="C1783" i="7"/>
  <c r="C1784" i="7"/>
  <c r="C1785" i="7"/>
  <c r="C1786" i="7"/>
  <c r="C1787" i="7"/>
  <c r="C1788" i="7"/>
  <c r="C1789" i="7"/>
  <c r="C1790" i="7"/>
  <c r="C1791" i="7"/>
  <c r="C1792" i="7"/>
  <c r="C1793" i="7"/>
  <c r="C1794" i="7"/>
  <c r="C1795" i="7"/>
  <c r="C1796" i="7"/>
  <c r="C1797" i="7"/>
  <c r="C1798" i="7"/>
  <c r="C1799" i="7"/>
  <c r="C1800" i="7"/>
  <c r="C1801" i="7"/>
  <c r="C1802" i="7"/>
  <c r="C1803" i="7"/>
  <c r="C1804" i="7"/>
  <c r="C1805" i="7"/>
  <c r="C1806" i="7"/>
  <c r="C1807" i="7"/>
  <c r="C1808" i="7"/>
  <c r="C1809" i="7"/>
  <c r="C1810" i="7"/>
  <c r="C1811" i="7"/>
  <c r="C1812" i="7"/>
  <c r="C1813" i="7"/>
  <c r="C1814" i="7"/>
  <c r="C1815" i="7"/>
  <c r="C1816" i="7"/>
  <c r="C1817" i="7"/>
  <c r="C1818" i="7"/>
  <c r="C1819" i="7"/>
  <c r="C1820" i="7"/>
  <c r="C1821" i="7"/>
  <c r="C1822" i="7"/>
  <c r="C1823" i="7"/>
  <c r="C1824" i="7"/>
  <c r="C1825" i="7"/>
  <c r="C1826" i="7"/>
  <c r="C1827" i="7"/>
  <c r="C1828" i="7"/>
  <c r="C1829" i="7"/>
  <c r="C1830" i="7"/>
  <c r="C1831" i="7"/>
  <c r="C1832" i="7"/>
  <c r="C1833" i="7"/>
  <c r="C1834" i="7"/>
  <c r="C1835" i="7"/>
  <c r="C1836" i="7"/>
  <c r="C1837" i="7"/>
  <c r="C1838" i="7"/>
  <c r="C1839" i="7"/>
  <c r="C1840" i="7"/>
  <c r="C1841" i="7"/>
  <c r="C1842" i="7"/>
  <c r="C1843" i="7"/>
  <c r="C1844" i="7"/>
  <c r="C1845" i="7"/>
  <c r="C1846" i="7"/>
  <c r="C1847" i="7"/>
  <c r="C1848" i="7"/>
  <c r="C1849" i="7"/>
  <c r="C1850" i="7"/>
  <c r="C1851" i="7"/>
  <c r="C1852" i="7"/>
  <c r="C1853" i="7"/>
  <c r="C1854" i="7"/>
  <c r="C1855" i="7"/>
  <c r="C1856" i="7"/>
  <c r="C1857" i="7"/>
  <c r="C1858" i="7"/>
  <c r="C1859" i="7"/>
  <c r="C1860" i="7"/>
  <c r="C1861" i="7"/>
  <c r="C1862" i="7"/>
  <c r="C1863" i="7"/>
  <c r="C1864" i="7"/>
  <c r="C1865" i="7"/>
  <c r="C1866" i="7"/>
  <c r="C1867" i="7"/>
  <c r="C1868" i="7"/>
  <c r="C1869" i="7"/>
  <c r="C1870" i="7"/>
  <c r="C1871" i="7"/>
  <c r="C1872" i="7"/>
  <c r="C1873" i="7"/>
  <c r="C1874" i="7"/>
  <c r="C1875" i="7"/>
  <c r="C1876" i="7"/>
  <c r="C1877" i="7"/>
  <c r="C1878" i="7"/>
  <c r="C1879" i="7"/>
  <c r="C1880" i="7"/>
  <c r="C1881" i="7"/>
  <c r="C1882" i="7"/>
  <c r="C1883" i="7"/>
  <c r="C1884" i="7"/>
  <c r="C1885" i="7"/>
  <c r="C1886" i="7"/>
  <c r="C1887" i="7"/>
  <c r="C1888" i="7"/>
  <c r="C1889" i="7"/>
  <c r="C1890" i="7"/>
  <c r="C1891" i="7"/>
  <c r="C1892" i="7"/>
  <c r="C1893" i="7"/>
  <c r="C1894" i="7"/>
  <c r="C1895" i="7"/>
  <c r="C1896" i="7"/>
  <c r="C1897" i="7"/>
  <c r="C1898" i="7"/>
  <c r="C1899" i="7"/>
  <c r="C1900" i="7"/>
  <c r="C1901" i="7"/>
  <c r="C1902" i="7"/>
  <c r="C1903" i="7"/>
  <c r="C1904" i="7"/>
  <c r="C1905" i="7"/>
  <c r="C1906" i="7"/>
  <c r="C1907" i="7"/>
  <c r="C1908" i="7"/>
  <c r="C1909" i="7"/>
  <c r="C1910" i="7"/>
  <c r="C1911" i="7"/>
  <c r="C1912" i="7"/>
  <c r="C1913" i="7"/>
  <c r="C1914" i="7"/>
  <c r="C1915" i="7"/>
  <c r="C1916" i="7"/>
  <c r="C1917" i="7"/>
  <c r="C1918" i="7"/>
  <c r="C1919" i="7"/>
  <c r="C1920" i="7"/>
  <c r="C1921" i="7"/>
  <c r="C1922" i="7"/>
  <c r="C1923" i="7"/>
  <c r="C1924" i="7"/>
  <c r="C1925" i="7"/>
  <c r="C1926" i="7"/>
  <c r="C1927" i="7"/>
  <c r="C1928" i="7"/>
  <c r="C1929" i="7"/>
  <c r="C1930" i="7"/>
  <c r="C1931" i="7"/>
  <c r="C1932" i="7"/>
  <c r="C1933" i="7"/>
  <c r="C1934" i="7"/>
  <c r="C1935" i="7"/>
  <c r="C1936" i="7"/>
  <c r="C1937" i="7"/>
  <c r="C1938" i="7"/>
  <c r="C1939" i="7"/>
  <c r="C1940" i="7"/>
  <c r="C1941" i="7"/>
  <c r="C1942" i="7"/>
  <c r="C1943" i="7"/>
  <c r="C1944" i="7"/>
  <c r="C1945" i="7"/>
  <c r="C1946" i="7"/>
  <c r="C1947" i="7"/>
  <c r="C1948" i="7"/>
  <c r="C1949" i="7"/>
  <c r="C1950" i="7"/>
  <c r="C1951" i="7"/>
  <c r="C1952" i="7"/>
  <c r="C1953" i="7"/>
  <c r="C1954" i="7"/>
  <c r="C1955" i="7"/>
  <c r="C1956" i="7"/>
  <c r="C1957" i="7"/>
  <c r="C1958" i="7"/>
  <c r="C1959" i="7"/>
  <c r="C1960" i="7"/>
  <c r="C1961" i="7"/>
  <c r="C1962" i="7"/>
  <c r="C1963" i="7"/>
  <c r="C1964" i="7"/>
  <c r="C1965" i="7"/>
  <c r="C1966" i="7"/>
  <c r="C1967" i="7"/>
  <c r="C1968" i="7"/>
  <c r="C1969" i="7"/>
  <c r="C1970" i="7"/>
  <c r="C1971" i="7"/>
  <c r="C1972" i="7"/>
  <c r="C1973" i="7"/>
  <c r="C1974" i="7"/>
  <c r="C1975" i="7"/>
  <c r="C1976" i="7"/>
  <c r="C1977" i="7"/>
  <c r="C1978" i="7"/>
  <c r="C1979" i="7"/>
  <c r="C1980" i="7"/>
  <c r="C1981" i="7"/>
  <c r="C1982" i="7"/>
  <c r="C1983" i="7"/>
  <c r="C1984" i="7"/>
  <c r="C1985" i="7"/>
  <c r="C1986" i="7"/>
  <c r="C1987" i="7"/>
  <c r="C1988" i="7"/>
  <c r="C1989" i="7"/>
  <c r="C1990" i="7"/>
  <c r="C1991" i="7"/>
  <c r="C1992" i="7"/>
  <c r="C1993" i="7"/>
  <c r="C1994" i="7"/>
  <c r="C1995" i="7"/>
  <c r="C1996" i="7"/>
  <c r="C1997" i="7"/>
  <c r="C1998" i="7"/>
  <c r="C1999" i="7"/>
  <c r="C2000" i="7"/>
  <c r="C2001" i="7"/>
  <c r="C2002" i="7"/>
  <c r="C2003" i="7"/>
  <c r="C2004" i="7"/>
  <c r="C2005" i="7"/>
  <c r="C2006" i="7"/>
  <c r="C2007" i="7"/>
  <c r="C2008" i="7"/>
  <c r="C2009" i="7"/>
  <c r="C2010" i="7"/>
  <c r="C2011" i="7"/>
  <c r="C2012" i="7"/>
  <c r="C2013" i="7"/>
  <c r="C2014" i="7"/>
  <c r="C2015" i="7"/>
  <c r="C2016" i="7"/>
  <c r="C2017" i="7"/>
  <c r="C2018" i="7"/>
  <c r="C2019" i="7"/>
  <c r="C2020" i="7"/>
  <c r="C2021" i="7"/>
  <c r="C2022" i="7"/>
  <c r="C2023" i="7"/>
  <c r="C2024" i="7"/>
  <c r="C2025" i="7"/>
  <c r="C2026" i="7"/>
  <c r="C2027" i="7"/>
  <c r="C2028" i="7"/>
  <c r="C2029" i="7"/>
  <c r="C2030" i="7"/>
  <c r="C2031" i="7"/>
  <c r="C2032" i="7"/>
  <c r="C2033" i="7"/>
  <c r="C2034" i="7"/>
  <c r="C2035" i="7"/>
  <c r="C2036" i="7"/>
  <c r="C2037" i="7"/>
  <c r="C2038" i="7"/>
  <c r="C2039" i="7"/>
  <c r="C2040" i="7"/>
  <c r="C2041" i="7"/>
  <c r="C2042" i="7"/>
  <c r="C2043" i="7"/>
  <c r="C2044" i="7"/>
  <c r="C2045" i="7"/>
  <c r="C2046" i="7"/>
  <c r="C2047" i="7"/>
  <c r="C2048" i="7"/>
  <c r="C2049" i="7"/>
  <c r="C2050" i="7"/>
  <c r="C2051" i="7"/>
  <c r="C2052" i="7"/>
  <c r="C2053" i="7"/>
  <c r="C2054" i="7"/>
  <c r="C2055" i="7"/>
  <c r="C2056" i="7"/>
  <c r="C2057" i="7"/>
  <c r="C2058" i="7"/>
  <c r="C2059" i="7"/>
  <c r="C2060" i="7"/>
  <c r="C2061" i="7"/>
  <c r="C2062" i="7"/>
  <c r="C2063" i="7"/>
  <c r="C2064" i="7"/>
  <c r="C2065" i="7"/>
  <c r="C2066" i="7"/>
  <c r="C2067" i="7"/>
  <c r="C2068" i="7"/>
  <c r="C2069" i="7"/>
  <c r="C2070" i="7"/>
  <c r="C2071" i="7"/>
  <c r="C2072" i="7"/>
  <c r="C2073" i="7"/>
  <c r="C2074" i="7"/>
  <c r="C2075" i="7"/>
  <c r="C2076" i="7"/>
  <c r="C2077" i="7"/>
  <c r="C2078" i="7"/>
  <c r="C2079" i="7"/>
  <c r="C2080" i="7"/>
  <c r="C2081" i="7"/>
  <c r="C2082" i="7"/>
  <c r="C2083" i="7"/>
  <c r="C2084" i="7"/>
  <c r="C2085" i="7"/>
  <c r="C2086" i="7"/>
  <c r="C2087" i="7"/>
  <c r="C2088" i="7"/>
  <c r="C2089" i="7"/>
  <c r="C2090" i="7"/>
  <c r="C2091" i="7"/>
  <c r="C2092" i="7"/>
  <c r="C2093" i="7"/>
  <c r="C2094" i="7"/>
  <c r="C2095" i="7"/>
  <c r="C2096" i="7"/>
  <c r="C2097" i="7"/>
  <c r="C2098" i="7"/>
  <c r="C2099" i="7"/>
  <c r="C2100" i="7"/>
  <c r="C2101" i="7"/>
  <c r="C2102" i="7"/>
  <c r="C2103" i="7"/>
  <c r="C2104" i="7"/>
  <c r="C2105" i="7"/>
  <c r="C2106" i="7"/>
  <c r="C2107" i="7"/>
  <c r="C2108" i="7"/>
  <c r="C2109" i="7"/>
  <c r="C2110" i="7"/>
  <c r="C2111" i="7"/>
  <c r="C2112" i="7"/>
  <c r="C2113" i="7"/>
  <c r="C2114" i="7"/>
  <c r="C2115" i="7"/>
  <c r="C2116" i="7"/>
  <c r="C2117" i="7"/>
  <c r="C2118" i="7"/>
  <c r="C2119" i="7"/>
  <c r="C2120" i="7"/>
  <c r="C2121" i="7"/>
  <c r="C2122" i="7"/>
  <c r="C2123" i="7"/>
  <c r="C2124" i="7"/>
  <c r="C2125" i="7"/>
  <c r="C2126" i="7"/>
  <c r="C2127" i="7"/>
  <c r="C2128" i="7"/>
  <c r="C2129" i="7"/>
  <c r="C2130" i="7"/>
  <c r="C2131" i="7"/>
  <c r="C2132" i="7"/>
  <c r="C2133" i="7"/>
  <c r="C2134" i="7"/>
  <c r="C2135" i="7"/>
  <c r="C2136" i="7"/>
  <c r="C2137" i="7"/>
  <c r="C2138" i="7"/>
  <c r="C2139" i="7"/>
  <c r="C2140" i="7"/>
  <c r="C2141" i="7"/>
  <c r="C2142" i="7"/>
  <c r="C2143" i="7"/>
  <c r="C2144" i="7"/>
  <c r="C2145" i="7"/>
  <c r="C2146" i="7"/>
  <c r="C2147" i="7"/>
  <c r="C2148" i="7"/>
  <c r="C2149" i="7"/>
  <c r="C2150" i="7"/>
  <c r="C2151" i="7"/>
  <c r="C2152" i="7"/>
  <c r="C2153" i="7"/>
  <c r="C2154" i="7"/>
  <c r="C2155" i="7"/>
  <c r="C2156" i="7"/>
  <c r="C2157" i="7"/>
  <c r="C2158" i="7"/>
  <c r="C2159" i="7"/>
  <c r="C2160" i="7"/>
  <c r="C2161" i="7"/>
  <c r="C2162" i="7"/>
  <c r="C2163" i="7"/>
  <c r="C2164" i="7"/>
  <c r="C2165" i="7"/>
  <c r="C2166" i="7"/>
  <c r="C2167" i="7"/>
  <c r="C2168" i="7"/>
  <c r="C2169" i="7"/>
  <c r="C2170" i="7"/>
  <c r="C2171" i="7"/>
  <c r="C2172" i="7"/>
  <c r="C2173" i="7"/>
  <c r="C2174" i="7"/>
  <c r="C2175" i="7"/>
  <c r="C2176" i="7"/>
  <c r="C2177" i="7"/>
  <c r="C2178" i="7"/>
  <c r="C2179" i="7"/>
  <c r="C2180" i="7"/>
  <c r="C2181" i="7"/>
  <c r="C2182" i="7"/>
  <c r="C2183" i="7"/>
  <c r="C2184" i="7"/>
  <c r="C2185" i="7"/>
  <c r="C2186" i="7"/>
  <c r="C2187" i="7"/>
  <c r="C2188" i="7"/>
  <c r="C2189" i="7"/>
  <c r="C2190" i="7"/>
  <c r="C2191" i="7"/>
  <c r="C2192" i="7"/>
  <c r="C2193" i="7"/>
  <c r="C2194" i="7"/>
  <c r="C2195" i="7"/>
  <c r="C2196" i="7"/>
  <c r="C2197" i="7"/>
  <c r="C2198" i="7"/>
  <c r="C2199" i="7"/>
  <c r="C2200" i="7"/>
  <c r="C2201" i="7"/>
  <c r="C2202" i="7"/>
  <c r="C2203" i="7"/>
  <c r="C2204" i="7"/>
  <c r="C2205" i="7"/>
  <c r="C2206" i="7"/>
  <c r="C2207" i="7"/>
  <c r="C2208" i="7"/>
  <c r="C2209" i="7"/>
  <c r="C2210" i="7"/>
  <c r="C2211" i="7"/>
  <c r="C2212" i="7"/>
  <c r="C2213" i="7"/>
  <c r="C2214" i="7"/>
  <c r="C2215" i="7"/>
  <c r="C2216" i="7"/>
  <c r="C2217" i="7"/>
  <c r="C2218" i="7"/>
  <c r="C2219" i="7"/>
  <c r="C2220" i="7"/>
  <c r="C2221" i="7"/>
  <c r="C2222" i="7"/>
  <c r="C2223" i="7"/>
  <c r="C2224" i="7"/>
  <c r="C2225" i="7"/>
  <c r="C2226" i="7"/>
  <c r="C2227" i="7"/>
  <c r="C2228" i="7"/>
  <c r="C2229" i="7"/>
  <c r="C2230" i="7"/>
  <c r="C2231" i="7"/>
  <c r="C2232" i="7"/>
  <c r="C2233" i="7"/>
  <c r="C2234" i="7"/>
  <c r="C2235" i="7"/>
  <c r="C2236" i="7"/>
  <c r="C2237" i="7"/>
  <c r="C2238" i="7"/>
  <c r="C2239" i="7"/>
  <c r="C2240" i="7"/>
  <c r="C2241" i="7"/>
  <c r="C2242" i="7"/>
  <c r="C2243" i="7"/>
  <c r="C2244" i="7"/>
  <c r="C2245" i="7"/>
  <c r="C2246" i="7"/>
  <c r="C2247" i="7"/>
  <c r="C2248" i="7"/>
  <c r="C2249" i="7"/>
  <c r="C2250" i="7"/>
  <c r="C2251" i="7"/>
  <c r="C2252" i="7"/>
  <c r="C2253" i="7"/>
  <c r="C2254" i="7"/>
  <c r="C2255" i="7"/>
  <c r="C2256" i="7"/>
  <c r="C2257" i="7"/>
  <c r="C2258" i="7"/>
  <c r="C2259" i="7"/>
  <c r="C2260" i="7"/>
  <c r="C2261" i="7"/>
  <c r="C2262" i="7"/>
  <c r="C2263" i="7"/>
  <c r="C2264" i="7"/>
  <c r="C2265" i="7"/>
  <c r="C2266" i="7"/>
  <c r="C2267" i="7"/>
  <c r="C2268" i="7"/>
  <c r="C2269" i="7"/>
  <c r="C2270" i="7"/>
  <c r="C2271" i="7"/>
  <c r="C2272" i="7"/>
  <c r="C2273" i="7"/>
  <c r="C2274" i="7"/>
  <c r="C2275" i="7"/>
  <c r="C2276" i="7"/>
  <c r="C2277" i="7"/>
  <c r="C2278" i="7"/>
  <c r="C2279" i="7"/>
  <c r="C2280" i="7"/>
  <c r="C2281" i="7"/>
  <c r="C2282" i="7"/>
  <c r="C2283" i="7"/>
  <c r="C2284" i="7"/>
  <c r="C2285" i="7"/>
  <c r="C2286" i="7"/>
  <c r="C2287" i="7"/>
  <c r="C2288" i="7"/>
  <c r="C2289" i="7"/>
  <c r="C2290" i="7"/>
  <c r="C2291" i="7"/>
  <c r="C2292" i="7"/>
  <c r="C2293" i="7"/>
  <c r="C2294" i="7"/>
  <c r="C2295" i="7"/>
  <c r="C2296" i="7"/>
  <c r="C2297" i="7"/>
  <c r="C2298" i="7"/>
  <c r="C2299" i="7"/>
  <c r="C2300" i="7"/>
  <c r="C2301" i="7"/>
  <c r="C2302" i="7"/>
  <c r="C2303" i="7"/>
  <c r="C2304" i="7"/>
  <c r="C2305" i="7"/>
  <c r="C2306" i="7"/>
  <c r="C2307" i="7"/>
  <c r="C2308" i="7"/>
  <c r="C2309" i="7"/>
  <c r="C2310" i="7"/>
  <c r="C2311" i="7"/>
  <c r="C2312" i="7"/>
  <c r="C2313" i="7"/>
  <c r="C2314" i="7"/>
  <c r="C2315" i="7"/>
  <c r="C2316" i="7"/>
  <c r="C2317" i="7"/>
  <c r="C2318" i="7"/>
  <c r="C2319" i="7"/>
  <c r="C2320" i="7"/>
  <c r="C2321" i="7"/>
  <c r="C2322" i="7"/>
  <c r="C2323" i="7"/>
  <c r="C2324" i="7"/>
  <c r="C2325" i="7"/>
  <c r="C2326" i="7"/>
  <c r="C2327" i="7"/>
  <c r="C2328" i="7"/>
  <c r="C2329" i="7"/>
  <c r="C2330" i="7"/>
  <c r="C2331" i="7"/>
  <c r="C2332" i="7"/>
  <c r="C2333" i="7"/>
  <c r="C2334" i="7"/>
  <c r="C2335" i="7"/>
  <c r="C2336" i="7"/>
  <c r="C2337" i="7"/>
  <c r="C2338" i="7"/>
  <c r="C2339" i="7"/>
  <c r="C2340" i="7"/>
  <c r="C2341" i="7"/>
  <c r="C2342" i="7"/>
  <c r="C2343" i="7"/>
  <c r="C2344" i="7"/>
  <c r="C2345" i="7"/>
  <c r="C2346" i="7"/>
  <c r="C2347" i="7"/>
  <c r="C2348" i="7"/>
  <c r="C2349" i="7"/>
  <c r="C2350" i="7"/>
  <c r="C2351" i="7"/>
  <c r="C2352" i="7"/>
  <c r="C2353" i="7"/>
  <c r="C2354" i="7"/>
  <c r="C2355" i="7"/>
  <c r="C2356" i="7"/>
  <c r="C2357" i="7"/>
  <c r="C2358" i="7"/>
  <c r="C2359" i="7"/>
  <c r="C2360" i="7"/>
  <c r="C2361" i="7"/>
  <c r="C2362" i="7"/>
  <c r="C2363" i="7"/>
  <c r="C2364" i="7"/>
  <c r="C2365" i="7"/>
  <c r="C2366" i="7"/>
  <c r="C2367" i="7"/>
  <c r="C2368" i="7"/>
  <c r="C2369" i="7"/>
  <c r="C2370" i="7"/>
  <c r="C2371" i="7"/>
  <c r="C2372" i="7"/>
  <c r="C2373" i="7"/>
  <c r="C2374" i="7"/>
  <c r="C2375" i="7"/>
  <c r="C2376" i="7"/>
  <c r="C2377" i="7"/>
  <c r="C2378" i="7"/>
  <c r="C2379" i="7"/>
  <c r="C2380" i="7"/>
  <c r="C2381" i="7"/>
  <c r="C2382" i="7"/>
  <c r="C2383" i="7"/>
  <c r="C2384" i="7"/>
  <c r="C2385" i="7"/>
  <c r="C2386" i="7"/>
  <c r="C2387" i="7"/>
  <c r="C2388" i="7"/>
  <c r="C2389" i="7"/>
  <c r="C2390" i="7"/>
  <c r="C2391" i="7"/>
  <c r="C2392" i="7"/>
  <c r="C2393" i="7"/>
  <c r="C2394" i="7"/>
  <c r="C2395" i="7"/>
  <c r="C2396" i="7"/>
  <c r="C2397" i="7"/>
  <c r="C2398" i="7"/>
  <c r="C2399" i="7"/>
  <c r="C2400" i="7"/>
  <c r="C2401" i="7"/>
  <c r="C2402" i="7"/>
  <c r="C2403" i="7"/>
  <c r="C2404" i="7"/>
  <c r="C2405" i="7"/>
  <c r="C2406" i="7"/>
  <c r="C2407" i="7"/>
  <c r="C2408" i="7"/>
  <c r="C2409" i="7"/>
  <c r="C2410" i="7"/>
  <c r="C2411" i="7"/>
  <c r="C2412" i="7"/>
  <c r="C2413" i="7"/>
  <c r="C2414" i="7"/>
  <c r="C2415" i="7"/>
  <c r="C2416" i="7"/>
  <c r="C2417" i="7"/>
  <c r="C2418" i="7"/>
  <c r="C2419" i="7"/>
  <c r="C2420" i="7"/>
  <c r="C2421" i="7"/>
  <c r="C2422" i="7"/>
  <c r="C2423" i="7"/>
  <c r="C2424" i="7"/>
  <c r="C2425" i="7"/>
  <c r="C2426" i="7"/>
  <c r="C2427" i="7"/>
  <c r="C2428" i="7"/>
  <c r="C2429" i="7"/>
  <c r="C2430" i="7"/>
  <c r="C2431" i="7"/>
  <c r="C2432" i="7"/>
  <c r="C2433" i="7"/>
  <c r="C2434" i="7"/>
  <c r="C2435" i="7"/>
  <c r="C2436" i="7"/>
  <c r="C2437" i="7"/>
  <c r="C2438" i="7"/>
  <c r="C2439" i="7"/>
  <c r="C2440" i="7"/>
  <c r="C2441" i="7"/>
  <c r="C2442" i="7"/>
  <c r="C2443" i="7"/>
  <c r="C2444" i="7"/>
  <c r="C2445" i="7"/>
  <c r="C2446" i="7"/>
  <c r="C2447" i="7"/>
  <c r="C2448" i="7"/>
  <c r="C2449" i="7"/>
  <c r="C2450" i="7"/>
  <c r="C2451" i="7"/>
  <c r="C2452" i="7"/>
  <c r="C2453" i="7"/>
  <c r="C2454" i="7"/>
  <c r="C2455" i="7"/>
  <c r="C2456" i="7"/>
  <c r="C2457" i="7"/>
  <c r="C2458" i="7"/>
  <c r="C2459" i="7"/>
  <c r="C2460" i="7"/>
  <c r="C2461" i="7"/>
  <c r="C2462" i="7"/>
  <c r="C2463" i="7"/>
  <c r="C2464" i="7"/>
  <c r="C2465" i="7"/>
  <c r="C2466" i="7"/>
  <c r="C2467" i="7"/>
  <c r="C2468" i="7"/>
  <c r="C2469" i="7"/>
  <c r="C2470" i="7"/>
  <c r="C2471" i="7"/>
  <c r="C2472" i="7"/>
  <c r="C2473" i="7"/>
  <c r="C2474" i="7"/>
  <c r="C2475" i="7"/>
  <c r="C2476" i="7"/>
  <c r="C2477" i="7"/>
  <c r="C2478" i="7"/>
  <c r="C2479" i="7"/>
  <c r="C2480" i="7"/>
  <c r="C2481" i="7"/>
  <c r="C2482" i="7"/>
  <c r="C2483" i="7"/>
  <c r="C2484" i="7"/>
  <c r="C2485" i="7"/>
  <c r="C2486" i="7"/>
  <c r="C2487" i="7"/>
  <c r="C2488" i="7"/>
  <c r="C2489" i="7"/>
  <c r="C2490" i="7"/>
  <c r="C2491" i="7"/>
  <c r="C2492" i="7"/>
  <c r="C2493" i="7"/>
  <c r="C2494" i="7"/>
  <c r="C2495" i="7"/>
  <c r="C2496" i="7"/>
  <c r="C2497" i="7"/>
  <c r="C2498" i="7"/>
  <c r="C2499" i="7"/>
  <c r="C2500" i="7"/>
  <c r="C2501" i="7"/>
  <c r="C2502" i="7"/>
  <c r="C2503" i="7"/>
  <c r="C2504" i="7"/>
  <c r="C2505" i="7"/>
  <c r="C2506" i="7"/>
  <c r="C2507" i="7"/>
  <c r="C2508" i="7"/>
  <c r="C2509" i="7"/>
  <c r="C2510" i="7"/>
  <c r="C2511" i="7"/>
  <c r="C2512" i="7"/>
  <c r="C2513" i="7"/>
  <c r="C2514" i="7"/>
  <c r="C2515" i="7"/>
  <c r="C2516" i="7"/>
  <c r="C2517" i="7"/>
  <c r="C2518" i="7"/>
  <c r="C2519" i="7"/>
  <c r="C2520" i="7"/>
  <c r="C2521" i="7"/>
  <c r="C2522" i="7"/>
  <c r="C2523" i="7"/>
  <c r="C2524" i="7"/>
  <c r="C2525" i="7"/>
  <c r="C2526" i="7"/>
  <c r="C2527" i="7"/>
  <c r="C2528" i="7"/>
  <c r="C2529" i="7"/>
  <c r="C2530" i="7"/>
  <c r="C2531" i="7"/>
  <c r="C2532" i="7"/>
  <c r="C2533" i="7"/>
  <c r="C2534" i="7"/>
  <c r="C2535" i="7"/>
  <c r="C2536" i="7"/>
  <c r="C2537" i="7"/>
  <c r="C2538" i="7"/>
  <c r="C2539" i="7"/>
  <c r="C2540" i="7"/>
  <c r="C2541" i="7"/>
  <c r="C2542" i="7"/>
  <c r="C2543" i="7"/>
  <c r="C2544" i="7"/>
  <c r="C2545" i="7"/>
  <c r="C2546" i="7"/>
  <c r="C2547" i="7"/>
  <c r="C2548" i="7"/>
  <c r="C2549" i="7"/>
  <c r="C2550" i="7"/>
  <c r="C2551" i="7"/>
  <c r="C2552" i="7"/>
  <c r="C2553" i="7"/>
  <c r="C2554" i="7"/>
  <c r="C2555" i="7"/>
  <c r="C2556" i="7"/>
  <c r="C2557" i="7"/>
  <c r="C2558" i="7"/>
  <c r="C2559" i="7"/>
  <c r="C2560" i="7"/>
  <c r="C2561" i="7"/>
  <c r="C2562" i="7"/>
  <c r="C2563" i="7"/>
  <c r="C2564" i="7"/>
  <c r="C2565" i="7"/>
  <c r="C2566" i="7"/>
  <c r="C2567" i="7"/>
  <c r="C2568" i="7"/>
  <c r="C2569" i="7"/>
  <c r="C2570" i="7"/>
  <c r="C2571" i="7"/>
  <c r="C2572" i="7"/>
  <c r="C2573" i="7"/>
  <c r="C2574" i="7"/>
  <c r="C2575" i="7"/>
  <c r="C2576" i="7"/>
  <c r="C2577" i="7"/>
  <c r="C2578" i="7"/>
  <c r="C2579" i="7"/>
  <c r="C2580" i="7"/>
  <c r="C2581" i="7"/>
  <c r="C2582" i="7"/>
  <c r="C2583" i="7"/>
  <c r="C2584" i="7"/>
  <c r="C2585" i="7"/>
  <c r="C2586" i="7"/>
  <c r="C2587" i="7"/>
  <c r="C2588" i="7"/>
  <c r="C2589" i="7"/>
  <c r="C2590" i="7"/>
  <c r="C2591" i="7"/>
  <c r="C2592" i="7"/>
  <c r="C2593" i="7"/>
  <c r="C2594" i="7"/>
  <c r="C2595" i="7"/>
  <c r="C2596" i="7"/>
  <c r="C2597" i="7"/>
  <c r="C2598" i="7"/>
  <c r="C2599" i="7"/>
  <c r="C2600" i="7"/>
  <c r="C2601" i="7"/>
  <c r="C2602" i="7"/>
  <c r="C2603" i="7"/>
  <c r="C2604" i="7"/>
  <c r="C2605" i="7"/>
  <c r="C2606" i="7"/>
  <c r="C2607" i="7"/>
  <c r="C2608" i="7"/>
  <c r="C2609" i="7"/>
  <c r="C2610" i="7"/>
  <c r="C2611" i="7"/>
  <c r="C2612" i="7"/>
  <c r="C2613" i="7"/>
  <c r="C2614" i="7"/>
  <c r="C2615" i="7"/>
  <c r="C2616" i="7"/>
  <c r="C2617" i="7"/>
  <c r="C2618" i="7"/>
  <c r="C2619" i="7"/>
  <c r="C2620" i="7"/>
  <c r="C2621" i="7"/>
  <c r="C2622" i="7"/>
  <c r="C2623" i="7"/>
  <c r="C2624" i="7"/>
  <c r="C2625" i="7"/>
  <c r="C2626" i="7"/>
  <c r="C2627" i="7"/>
  <c r="C2628" i="7"/>
  <c r="C2629" i="7"/>
  <c r="C2630" i="7"/>
  <c r="C2631" i="7"/>
  <c r="C2632" i="7"/>
  <c r="C2633" i="7"/>
  <c r="C2634" i="7"/>
  <c r="C2635" i="7"/>
  <c r="C2636" i="7"/>
  <c r="C2637" i="7"/>
  <c r="C2638" i="7"/>
  <c r="C2639" i="7"/>
  <c r="C2640" i="7"/>
  <c r="C2641" i="7"/>
  <c r="C2642" i="7"/>
  <c r="C2643" i="7"/>
  <c r="C2644" i="7"/>
  <c r="C2645" i="7"/>
  <c r="C2646" i="7"/>
  <c r="C2647" i="7"/>
  <c r="C2648" i="7"/>
  <c r="C2649" i="7"/>
  <c r="C2650" i="7"/>
  <c r="C2651" i="7"/>
  <c r="C2652" i="7"/>
  <c r="C2653" i="7"/>
  <c r="C2654" i="7"/>
  <c r="C2655" i="7"/>
  <c r="C2656" i="7"/>
  <c r="C2657" i="7"/>
  <c r="C2658" i="7"/>
  <c r="C2659" i="7"/>
  <c r="C2660" i="7"/>
  <c r="C2661" i="7"/>
  <c r="C2662" i="7"/>
  <c r="C2663" i="7"/>
  <c r="C2664" i="7"/>
  <c r="C2665" i="7"/>
  <c r="C2666" i="7"/>
  <c r="C2667" i="7"/>
  <c r="C2668" i="7"/>
  <c r="C2669" i="7"/>
  <c r="C2670" i="7"/>
  <c r="C2671" i="7"/>
  <c r="C2672" i="7"/>
  <c r="C2673" i="7"/>
  <c r="C2674" i="7"/>
  <c r="C2675" i="7"/>
  <c r="C2676" i="7"/>
  <c r="C2677" i="7"/>
  <c r="C2678" i="7"/>
  <c r="C2679" i="7"/>
  <c r="C2680" i="7"/>
  <c r="C2681" i="7"/>
  <c r="C2682" i="7"/>
  <c r="C2683" i="7"/>
  <c r="C2684" i="7"/>
  <c r="C2685" i="7"/>
  <c r="C2686" i="7"/>
  <c r="C2687" i="7"/>
  <c r="C2688" i="7"/>
  <c r="C2689" i="7"/>
  <c r="C2690" i="7"/>
  <c r="C2691" i="7"/>
  <c r="C2692" i="7"/>
  <c r="C2693" i="7"/>
  <c r="C2694" i="7"/>
  <c r="C2695" i="7"/>
  <c r="C2696" i="7"/>
  <c r="C2697" i="7"/>
  <c r="C2698" i="7"/>
  <c r="C2699" i="7"/>
  <c r="C2700" i="7"/>
  <c r="C2701" i="7"/>
  <c r="C2702" i="7"/>
  <c r="C2703" i="7"/>
  <c r="C2704" i="7"/>
  <c r="C2705" i="7"/>
  <c r="C2706" i="7"/>
  <c r="C2707" i="7"/>
  <c r="C2708" i="7"/>
  <c r="C2709" i="7"/>
  <c r="C2710" i="7"/>
  <c r="C2711" i="7"/>
  <c r="C2712" i="7"/>
  <c r="C2713" i="7"/>
  <c r="C2714" i="7"/>
  <c r="C2715" i="7"/>
  <c r="C2716" i="7"/>
  <c r="C2717" i="7"/>
  <c r="C2718" i="7"/>
  <c r="C2719" i="7"/>
  <c r="C2720" i="7"/>
  <c r="C2721" i="7"/>
  <c r="C2722" i="7"/>
  <c r="C2723" i="7"/>
  <c r="C2724" i="7"/>
  <c r="C2725" i="7"/>
  <c r="C2726" i="7"/>
  <c r="C2727" i="7"/>
  <c r="C2728" i="7"/>
  <c r="C2729" i="7"/>
  <c r="C2730" i="7"/>
  <c r="C2731" i="7"/>
  <c r="C2732" i="7"/>
  <c r="C2733" i="7"/>
  <c r="C2734" i="7"/>
  <c r="C2735" i="7"/>
  <c r="C2736" i="7"/>
  <c r="C2737" i="7"/>
  <c r="C2738" i="7"/>
  <c r="C2739" i="7"/>
  <c r="C2740" i="7"/>
  <c r="C2741" i="7"/>
  <c r="C2742" i="7"/>
  <c r="C2743" i="7"/>
  <c r="C2744" i="7"/>
  <c r="C2745" i="7"/>
  <c r="C2746" i="7"/>
  <c r="C2747" i="7"/>
  <c r="C2748" i="7"/>
  <c r="C2749" i="7"/>
  <c r="C2750" i="7"/>
  <c r="C2751" i="7"/>
  <c r="C2752" i="7"/>
  <c r="C2753" i="7"/>
  <c r="C2754" i="7"/>
  <c r="C2755" i="7"/>
  <c r="C2756" i="7"/>
  <c r="C2757" i="7"/>
  <c r="C2758" i="7"/>
  <c r="C2759" i="7"/>
  <c r="C2760" i="7"/>
  <c r="C2761" i="7"/>
  <c r="C2762" i="7"/>
  <c r="C2763" i="7"/>
  <c r="C2764" i="7"/>
  <c r="C2765" i="7"/>
  <c r="C2766" i="7"/>
  <c r="C2767" i="7"/>
  <c r="C2768" i="7"/>
  <c r="C2769" i="7"/>
  <c r="C2770" i="7"/>
  <c r="C2771" i="7"/>
  <c r="C2772" i="7"/>
  <c r="C2773" i="7"/>
  <c r="C2774" i="7"/>
  <c r="C2775" i="7"/>
  <c r="C2776" i="7"/>
  <c r="C2777" i="7"/>
  <c r="C2778" i="7"/>
  <c r="C2779" i="7"/>
  <c r="C2780" i="7"/>
  <c r="C2781" i="7"/>
  <c r="C2782" i="7"/>
  <c r="C2783" i="7"/>
  <c r="C2784" i="7"/>
  <c r="C2785" i="7"/>
  <c r="C2786" i="7"/>
  <c r="C2787" i="7"/>
  <c r="C2788" i="7"/>
  <c r="C2789" i="7"/>
  <c r="C2790" i="7"/>
  <c r="C2791" i="7"/>
  <c r="C2792" i="7"/>
  <c r="C2793" i="7"/>
  <c r="C2794" i="7"/>
  <c r="C2795" i="7"/>
  <c r="C2796" i="7"/>
  <c r="C2797" i="7"/>
  <c r="C2798" i="7"/>
  <c r="C2799" i="7"/>
  <c r="C2800" i="7"/>
  <c r="C2801" i="7"/>
  <c r="C2802" i="7"/>
  <c r="C2803" i="7"/>
  <c r="C2804" i="7"/>
  <c r="C2805" i="7"/>
  <c r="C2806" i="7"/>
  <c r="C2807" i="7"/>
  <c r="C2808" i="7"/>
  <c r="C2809" i="7"/>
  <c r="C2810" i="7"/>
  <c r="C2811" i="7"/>
  <c r="C2812" i="7"/>
  <c r="C2813" i="7"/>
  <c r="C2814" i="7"/>
  <c r="C2815" i="7"/>
  <c r="C2816" i="7"/>
  <c r="C2817" i="7"/>
  <c r="C2818" i="7"/>
  <c r="C2819" i="7"/>
  <c r="C2820" i="7"/>
  <c r="C2821" i="7"/>
  <c r="C2822" i="7"/>
  <c r="C2823" i="7"/>
  <c r="C2824" i="7"/>
  <c r="C2825" i="7"/>
  <c r="C2826" i="7"/>
  <c r="C2827" i="7"/>
  <c r="C2828" i="7"/>
  <c r="C2829" i="7"/>
  <c r="C2830" i="7"/>
  <c r="C2831" i="7"/>
  <c r="C2832" i="7"/>
  <c r="C2833" i="7"/>
  <c r="C2834" i="7"/>
  <c r="C2835" i="7"/>
  <c r="C2836" i="7"/>
  <c r="C2837" i="7"/>
  <c r="C2838" i="7"/>
  <c r="C2839" i="7"/>
  <c r="C2840" i="7"/>
  <c r="C2841" i="7"/>
  <c r="C2842" i="7"/>
  <c r="C2843" i="7"/>
  <c r="C2844" i="7"/>
  <c r="C2845" i="7"/>
  <c r="C2846" i="7"/>
  <c r="C2847" i="7"/>
  <c r="C2848" i="7"/>
  <c r="C2849" i="7"/>
  <c r="C2850" i="7"/>
  <c r="C2851" i="7"/>
  <c r="C2852" i="7"/>
  <c r="C2853" i="7"/>
  <c r="C2854" i="7"/>
  <c r="C2855" i="7"/>
  <c r="C2856" i="7"/>
  <c r="C2857" i="7"/>
  <c r="C2858" i="7"/>
  <c r="C2859" i="7"/>
  <c r="C2860" i="7"/>
  <c r="C2861" i="7"/>
  <c r="C2862" i="7"/>
  <c r="C2863" i="7"/>
  <c r="C2864" i="7"/>
  <c r="C2865" i="7"/>
  <c r="C2866" i="7"/>
  <c r="C2867" i="7"/>
  <c r="C2868" i="7"/>
  <c r="C2869" i="7"/>
  <c r="C2870" i="7"/>
  <c r="C2871" i="7"/>
  <c r="C2872" i="7"/>
  <c r="C2873" i="7"/>
  <c r="C2874" i="7"/>
  <c r="C2875" i="7"/>
  <c r="C2876" i="7"/>
  <c r="C2877" i="7"/>
  <c r="C2878" i="7"/>
  <c r="C2879" i="7"/>
  <c r="C2880" i="7"/>
  <c r="C2881" i="7"/>
  <c r="C2882" i="7"/>
  <c r="C2883" i="7"/>
  <c r="C2884" i="7"/>
  <c r="C2885" i="7"/>
  <c r="C2886" i="7"/>
  <c r="C2887" i="7"/>
  <c r="C2888" i="7"/>
  <c r="C2889" i="7"/>
  <c r="C2890" i="7"/>
  <c r="C2891" i="7"/>
  <c r="C2892" i="7"/>
  <c r="C2893" i="7"/>
  <c r="C2894" i="7"/>
  <c r="C2895" i="7"/>
  <c r="C2896" i="7"/>
  <c r="C2897" i="7"/>
  <c r="C2898" i="7"/>
  <c r="C2899" i="7"/>
  <c r="C2900" i="7"/>
  <c r="C2901" i="7"/>
  <c r="C2902" i="7"/>
  <c r="C2903" i="7"/>
  <c r="C2904" i="7"/>
  <c r="C2905" i="7"/>
  <c r="C2906" i="7"/>
  <c r="C2907" i="7"/>
  <c r="C2908" i="7"/>
  <c r="C2909" i="7"/>
  <c r="C2910" i="7"/>
  <c r="C2911" i="7"/>
  <c r="C2912" i="7"/>
  <c r="C2913" i="7"/>
  <c r="C2914" i="7"/>
  <c r="C2915" i="7"/>
  <c r="C2916" i="7"/>
  <c r="C2917" i="7"/>
  <c r="C2918" i="7"/>
  <c r="C2919" i="7"/>
  <c r="C2920" i="7"/>
  <c r="C2921" i="7"/>
  <c r="C2922" i="7"/>
  <c r="C2923" i="7"/>
  <c r="C2924" i="7"/>
  <c r="C2925" i="7"/>
  <c r="C2926" i="7"/>
  <c r="C2927" i="7"/>
  <c r="C2928" i="7"/>
  <c r="C2929" i="7"/>
  <c r="C2930" i="7"/>
  <c r="C2931" i="7"/>
  <c r="C2932" i="7"/>
  <c r="C2933" i="7"/>
  <c r="C2934" i="7"/>
  <c r="C2935" i="7"/>
  <c r="C2936" i="7"/>
  <c r="C2937" i="7"/>
  <c r="C2938" i="7"/>
  <c r="C2939" i="7"/>
  <c r="C2940" i="7"/>
  <c r="C2941" i="7"/>
  <c r="C2942" i="7"/>
  <c r="C2943" i="7"/>
  <c r="C2944" i="7"/>
  <c r="C2945" i="7"/>
  <c r="C2946" i="7"/>
  <c r="C2947" i="7"/>
  <c r="C2948" i="7"/>
  <c r="C2949" i="7"/>
  <c r="C2950" i="7"/>
  <c r="C2951" i="7"/>
  <c r="C2952" i="7"/>
  <c r="C2953" i="7"/>
  <c r="C2954" i="7"/>
  <c r="C2955" i="7"/>
  <c r="C2956" i="7"/>
  <c r="C2957" i="7"/>
  <c r="C2958" i="7"/>
  <c r="C2959" i="7"/>
  <c r="C2960" i="7"/>
  <c r="C2961" i="7"/>
  <c r="C2962" i="7"/>
  <c r="C2963" i="7"/>
  <c r="C2964" i="7"/>
  <c r="C2" i="7"/>
  <c r="C2" i="4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2" i="2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3502" i="4"/>
  <c r="D3503" i="4"/>
  <c r="D3504" i="4"/>
  <c r="D3505" i="4"/>
  <c r="D3506" i="4"/>
  <c r="D3507" i="4"/>
  <c r="D3508" i="4"/>
  <c r="D3509" i="4"/>
  <c r="D3510" i="4"/>
  <c r="D3511" i="4"/>
  <c r="D3512" i="4"/>
  <c r="D3513" i="4"/>
  <c r="D3514" i="4"/>
  <c r="D3515" i="4"/>
  <c r="D3516" i="4"/>
  <c r="D3517" i="4"/>
  <c r="D3518" i="4"/>
  <c r="D3519" i="4"/>
  <c r="D3520" i="4"/>
  <c r="D3521" i="4"/>
  <c r="D3522" i="4"/>
  <c r="D3523" i="4"/>
  <c r="D3524" i="4"/>
  <c r="D3525" i="4"/>
  <c r="D3526" i="4"/>
  <c r="D3527" i="4"/>
  <c r="D3528" i="4"/>
  <c r="D3529" i="4"/>
  <c r="D3530" i="4"/>
  <c r="D3531" i="4"/>
  <c r="D3532" i="4"/>
  <c r="D3533" i="4"/>
  <c r="D3534" i="4"/>
  <c r="D3535" i="4"/>
  <c r="D3536" i="4"/>
  <c r="D3537" i="4"/>
  <c r="D3538" i="4"/>
  <c r="D3539" i="4"/>
  <c r="D3540" i="4"/>
  <c r="D3541" i="4"/>
  <c r="D3542" i="4"/>
  <c r="D3543" i="4"/>
  <c r="D3544" i="4"/>
  <c r="D3545" i="4"/>
  <c r="D3546" i="4"/>
  <c r="D3547" i="4"/>
  <c r="D3548" i="4"/>
  <c r="D3549" i="4"/>
  <c r="D3550" i="4"/>
  <c r="D3551" i="4"/>
  <c r="D3552" i="4"/>
  <c r="D3553" i="4"/>
  <c r="D3554" i="4"/>
  <c r="D3555" i="4"/>
  <c r="D3556" i="4"/>
  <c r="D3557" i="4"/>
  <c r="D3558" i="4"/>
  <c r="D3559" i="4"/>
  <c r="D3560" i="4"/>
  <c r="D3561" i="4"/>
  <c r="D3562" i="4"/>
  <c r="D3563" i="4"/>
  <c r="D3564" i="4"/>
  <c r="D3565" i="4"/>
  <c r="D3566" i="4"/>
  <c r="D3567" i="4"/>
  <c r="D3568" i="4"/>
  <c r="D3569" i="4"/>
  <c r="D3570" i="4"/>
  <c r="D3571" i="4"/>
  <c r="D3572" i="4"/>
  <c r="D3573" i="4"/>
  <c r="D3574" i="4"/>
  <c r="D3575" i="4"/>
  <c r="D3576" i="4"/>
  <c r="D3577" i="4"/>
  <c r="D3578" i="4"/>
  <c r="D3579" i="4"/>
  <c r="D3580" i="4"/>
  <c r="D3581" i="4"/>
  <c r="D3582" i="4"/>
  <c r="D3583" i="4"/>
  <c r="D3584" i="4"/>
  <c r="D3585" i="4"/>
  <c r="D3586" i="4"/>
  <c r="D3587" i="4"/>
  <c r="D3588" i="4"/>
  <c r="D3589" i="4"/>
  <c r="D3590" i="4"/>
  <c r="D3591" i="4"/>
  <c r="D3592" i="4"/>
  <c r="D3593" i="4"/>
  <c r="D3594" i="4"/>
  <c r="D3595" i="4"/>
  <c r="D3596" i="4"/>
  <c r="D3597" i="4"/>
  <c r="D3598" i="4"/>
  <c r="D3599" i="4"/>
  <c r="D3600" i="4"/>
  <c r="D3601" i="4"/>
  <c r="D3602" i="4"/>
  <c r="D3603" i="4"/>
  <c r="D3604" i="4"/>
  <c r="D3605" i="4"/>
  <c r="D3606" i="4"/>
  <c r="D3607" i="4"/>
  <c r="D3608" i="4"/>
  <c r="D3609" i="4"/>
  <c r="D3610" i="4"/>
  <c r="D3611" i="4"/>
  <c r="D3612" i="4"/>
  <c r="D3613" i="4"/>
  <c r="D3614" i="4"/>
  <c r="D3615" i="4"/>
  <c r="D3616" i="4"/>
  <c r="D3617" i="4"/>
  <c r="D3618" i="4"/>
  <c r="D3619" i="4"/>
  <c r="D3620" i="4"/>
  <c r="D3621" i="4"/>
  <c r="D3622" i="4"/>
  <c r="D3623" i="4"/>
  <c r="D3624" i="4"/>
  <c r="D3625" i="4"/>
  <c r="D3626" i="4"/>
  <c r="D3627" i="4"/>
  <c r="D3628" i="4"/>
  <c r="D3629" i="4"/>
  <c r="D3630" i="4"/>
  <c r="D3631" i="4"/>
  <c r="D3632" i="4"/>
  <c r="D3633" i="4"/>
  <c r="D3634" i="4"/>
  <c r="D3635" i="4"/>
  <c r="D3636" i="4"/>
  <c r="D3637" i="4"/>
  <c r="D3638" i="4"/>
  <c r="D3639" i="4"/>
  <c r="D3640" i="4"/>
  <c r="D3641" i="4"/>
  <c r="D3642" i="4"/>
  <c r="D3643" i="4"/>
  <c r="D3644" i="4"/>
  <c r="D3645" i="4"/>
  <c r="D3646" i="4"/>
  <c r="D3647" i="4"/>
  <c r="D3648" i="4"/>
  <c r="D3649" i="4"/>
  <c r="D3650" i="4"/>
  <c r="D3651" i="4"/>
  <c r="D3652" i="4"/>
  <c r="D3653" i="4"/>
  <c r="D3654" i="4"/>
  <c r="D3655" i="4"/>
  <c r="D3656" i="4"/>
  <c r="D3657" i="4"/>
  <c r="D3658" i="4"/>
  <c r="D3659" i="4"/>
  <c r="D3660" i="4"/>
  <c r="D3661" i="4"/>
  <c r="D3662" i="4"/>
  <c r="D3663" i="4"/>
  <c r="D3664" i="4"/>
  <c r="D3665" i="4"/>
  <c r="D3666" i="4"/>
  <c r="D3667" i="4"/>
  <c r="D3668" i="4"/>
  <c r="D3669" i="4"/>
  <c r="D3670" i="4"/>
  <c r="D3671" i="4"/>
  <c r="D3672" i="4"/>
  <c r="D3673" i="4"/>
  <c r="D3674" i="4"/>
  <c r="D3675" i="4"/>
  <c r="D3676" i="4"/>
  <c r="D3677" i="4"/>
  <c r="D3678" i="4"/>
  <c r="D3679" i="4"/>
  <c r="D3680" i="4"/>
  <c r="D3681" i="4"/>
  <c r="D3682" i="4"/>
  <c r="D3683" i="4"/>
  <c r="D3684" i="4"/>
  <c r="D3685" i="4"/>
  <c r="D3686" i="4"/>
  <c r="D3687" i="4"/>
  <c r="D3688" i="4"/>
  <c r="D3689" i="4"/>
  <c r="D3690" i="4"/>
  <c r="D3691" i="4"/>
  <c r="D3692" i="4"/>
  <c r="D3693" i="4"/>
  <c r="D3694" i="4"/>
  <c r="D3695" i="4"/>
  <c r="D3696" i="4"/>
  <c r="D3697" i="4"/>
  <c r="D3698" i="4"/>
  <c r="D3699" i="4"/>
  <c r="D3700" i="4"/>
  <c r="D3701" i="4"/>
  <c r="D3702" i="4"/>
  <c r="D3703" i="4"/>
  <c r="D3704" i="4"/>
  <c r="D3705" i="4"/>
  <c r="D3706" i="4"/>
  <c r="D3707" i="4"/>
  <c r="D3708" i="4"/>
  <c r="D3709" i="4"/>
  <c r="D3710" i="4"/>
  <c r="D3711" i="4"/>
  <c r="D3712" i="4"/>
  <c r="D3713" i="4"/>
  <c r="D3714" i="4"/>
  <c r="D3715" i="4"/>
  <c r="D3716" i="4"/>
  <c r="D3717" i="4"/>
  <c r="D3718" i="4"/>
  <c r="D3719" i="4"/>
  <c r="D3720" i="4"/>
  <c r="D3721" i="4"/>
  <c r="D3722" i="4"/>
  <c r="D3723" i="4"/>
  <c r="D3724" i="4"/>
  <c r="D3725" i="4"/>
  <c r="D3726" i="4"/>
  <c r="D3727" i="4"/>
  <c r="D3728" i="4"/>
  <c r="D3729" i="4"/>
  <c r="D3730" i="4"/>
  <c r="D3731" i="4"/>
  <c r="D3732" i="4"/>
  <c r="D3733" i="4"/>
  <c r="D3734" i="4"/>
  <c r="D3735" i="4"/>
  <c r="D3736" i="4"/>
  <c r="D3737" i="4"/>
  <c r="D3738" i="4"/>
  <c r="D3739" i="4"/>
  <c r="D3740" i="4"/>
  <c r="D3741" i="4"/>
  <c r="D3742" i="4"/>
  <c r="D3743" i="4"/>
  <c r="D3744" i="4"/>
  <c r="D3745" i="4"/>
  <c r="D3746" i="4"/>
  <c r="D3747" i="4"/>
  <c r="D3748" i="4"/>
  <c r="D3749" i="4"/>
  <c r="D3750" i="4"/>
  <c r="D3751" i="4"/>
  <c r="D3752" i="4"/>
  <c r="D3753" i="4"/>
  <c r="D3754" i="4"/>
  <c r="D3755" i="4"/>
  <c r="D3756" i="4"/>
  <c r="D3757" i="4"/>
  <c r="D3758" i="4"/>
  <c r="D3759" i="4"/>
  <c r="D3760" i="4"/>
  <c r="D3761" i="4"/>
  <c r="D3762" i="4"/>
  <c r="D3763" i="4"/>
  <c r="D3764" i="4"/>
  <c r="D3765" i="4"/>
  <c r="D3766" i="4"/>
  <c r="D3767" i="4"/>
  <c r="D3768" i="4"/>
  <c r="D3769" i="4"/>
  <c r="D3770" i="4"/>
  <c r="D3771" i="4"/>
  <c r="D3772" i="4"/>
  <c r="D3773" i="4"/>
  <c r="D3774" i="4"/>
  <c r="D3775" i="4"/>
  <c r="D3776" i="4"/>
  <c r="D3777" i="4"/>
  <c r="D3778" i="4"/>
  <c r="D3779" i="4"/>
  <c r="D3780" i="4"/>
  <c r="D3781" i="4"/>
  <c r="D3782" i="4"/>
  <c r="D3783" i="4"/>
  <c r="D3784" i="4"/>
  <c r="D3785" i="4"/>
  <c r="D3786" i="4"/>
  <c r="D3787" i="4"/>
  <c r="D3788" i="4"/>
  <c r="D3789" i="4"/>
  <c r="D3790" i="4"/>
  <c r="D3791" i="4"/>
  <c r="D3792" i="4"/>
  <c r="D3793" i="4"/>
  <c r="D3794" i="4"/>
  <c r="D3795" i="4"/>
  <c r="D3796" i="4"/>
  <c r="D3797" i="4"/>
  <c r="D3798" i="4"/>
  <c r="D3799" i="4"/>
  <c r="D3800" i="4"/>
  <c r="D3801" i="4"/>
  <c r="D3802" i="4"/>
  <c r="D3803" i="4"/>
  <c r="D3804" i="4"/>
  <c r="D3805" i="4"/>
  <c r="D3806" i="4"/>
  <c r="D3807" i="4"/>
  <c r="D3808" i="4"/>
  <c r="D3809" i="4"/>
  <c r="D3810" i="4"/>
  <c r="D3811" i="4"/>
  <c r="D3812" i="4"/>
  <c r="D3813" i="4"/>
  <c r="D3814" i="4"/>
  <c r="D3815" i="4"/>
  <c r="D3816" i="4"/>
  <c r="D3817" i="4"/>
  <c r="D3818" i="4"/>
  <c r="D3819" i="4"/>
  <c r="D3820" i="4"/>
  <c r="D3821" i="4"/>
  <c r="D3822" i="4"/>
  <c r="D3823" i="4"/>
  <c r="D3824" i="4"/>
  <c r="D3825" i="4"/>
  <c r="D3826" i="4"/>
  <c r="D3827" i="4"/>
  <c r="D3828" i="4"/>
  <c r="D3829" i="4"/>
  <c r="D3830" i="4"/>
  <c r="D3831" i="4"/>
  <c r="D3832" i="4"/>
  <c r="D3833" i="4"/>
  <c r="D3834" i="4"/>
  <c r="D3835" i="4"/>
  <c r="D3836" i="4"/>
  <c r="D3837" i="4"/>
  <c r="D3838" i="4"/>
  <c r="D3839" i="4"/>
  <c r="D3840" i="4"/>
  <c r="D3841" i="4"/>
  <c r="D3842" i="4"/>
  <c r="D3843" i="4"/>
  <c r="D3844" i="4"/>
  <c r="D3845" i="4"/>
  <c r="D3846" i="4"/>
  <c r="D3847" i="4"/>
  <c r="D3848" i="4"/>
  <c r="D3849" i="4"/>
  <c r="D3850" i="4"/>
  <c r="D3851" i="4"/>
  <c r="D3852" i="4"/>
  <c r="D3853" i="4"/>
  <c r="D3854" i="4"/>
  <c r="D3855" i="4"/>
  <c r="D3856" i="4"/>
  <c r="D3857" i="4"/>
  <c r="D3858" i="4"/>
  <c r="D3859" i="4"/>
  <c r="D3860" i="4"/>
  <c r="D3861" i="4"/>
  <c r="D3862" i="4"/>
  <c r="D3863" i="4"/>
  <c r="D3864" i="4"/>
  <c r="D3865" i="4"/>
  <c r="D3866" i="4"/>
  <c r="D3867" i="4"/>
  <c r="D3868" i="4"/>
  <c r="D3869" i="4"/>
  <c r="D3870" i="4"/>
  <c r="D3871" i="4"/>
  <c r="D3872" i="4"/>
  <c r="D3873" i="4"/>
  <c r="D3874" i="4"/>
  <c r="D3875" i="4"/>
  <c r="D3876" i="4"/>
  <c r="D3877" i="4"/>
  <c r="D3878" i="4"/>
  <c r="D3879" i="4"/>
  <c r="D3880" i="4"/>
  <c r="D3881" i="4"/>
  <c r="D3882" i="4"/>
  <c r="D3883" i="4"/>
  <c r="D3884" i="4"/>
  <c r="D3885" i="4"/>
  <c r="D3886" i="4"/>
  <c r="D3887" i="4"/>
  <c r="D3888" i="4"/>
  <c r="D3889" i="4"/>
  <c r="D3890" i="4"/>
  <c r="D3891" i="4"/>
  <c r="D3892" i="4"/>
  <c r="D3893" i="4"/>
  <c r="D3894" i="4"/>
  <c r="D3895" i="4"/>
  <c r="D3896" i="4"/>
  <c r="D3897" i="4"/>
  <c r="D3898" i="4"/>
  <c r="D3899" i="4"/>
  <c r="D3900" i="4"/>
  <c r="D3901" i="4"/>
  <c r="D3902" i="4"/>
  <c r="D3903" i="4"/>
  <c r="D3904" i="4"/>
  <c r="D3905" i="4"/>
  <c r="D3906" i="4"/>
  <c r="D3907" i="4"/>
  <c r="D3908" i="4"/>
  <c r="D3909" i="4"/>
  <c r="D3910" i="4"/>
  <c r="D3911" i="4"/>
  <c r="D3912" i="4"/>
  <c r="D3913" i="4"/>
  <c r="D3914" i="4"/>
  <c r="D3915" i="4"/>
  <c r="D3916" i="4"/>
  <c r="D3917" i="4"/>
  <c r="D3918" i="4"/>
  <c r="D3919" i="4"/>
  <c r="D3920" i="4"/>
  <c r="D3921" i="4"/>
  <c r="D3922" i="4"/>
  <c r="D3923" i="4"/>
  <c r="D3924" i="4"/>
  <c r="D3925" i="4"/>
  <c r="D3926" i="4"/>
  <c r="D3927" i="4"/>
  <c r="D3928" i="4"/>
  <c r="D3929" i="4"/>
  <c r="D3930" i="4"/>
  <c r="D3931" i="4"/>
  <c r="D3932" i="4"/>
  <c r="D3933" i="4"/>
  <c r="D3934" i="4"/>
  <c r="D3935" i="4"/>
  <c r="D3936" i="4"/>
  <c r="D3937" i="4"/>
  <c r="D3938" i="4"/>
  <c r="D3939" i="4"/>
  <c r="D3940" i="4"/>
  <c r="D3941" i="4"/>
  <c r="D3942" i="4"/>
  <c r="D3943" i="4"/>
  <c r="D3944" i="4"/>
  <c r="D3945" i="4"/>
  <c r="D3946" i="4"/>
  <c r="D3947" i="4"/>
  <c r="D3948" i="4"/>
  <c r="D3949" i="4"/>
  <c r="D3950" i="4"/>
  <c r="D3951" i="4"/>
  <c r="D3952" i="4"/>
  <c r="D3953" i="4"/>
  <c r="D3954" i="4"/>
  <c r="D3955" i="4"/>
  <c r="D3956" i="4"/>
  <c r="D3957" i="4"/>
  <c r="D3958" i="4"/>
  <c r="D3959" i="4"/>
  <c r="D3960" i="4"/>
  <c r="D3961" i="4"/>
  <c r="D3962" i="4"/>
  <c r="D3963" i="4"/>
  <c r="D3964" i="4"/>
  <c r="D3965" i="4"/>
  <c r="D3966" i="4"/>
  <c r="D3967" i="4"/>
  <c r="D3968" i="4"/>
  <c r="D3969" i="4"/>
  <c r="D3970" i="4"/>
  <c r="D3971" i="4"/>
  <c r="D3972" i="4"/>
  <c r="D3973" i="4"/>
  <c r="D3974" i="4"/>
  <c r="D3975" i="4"/>
  <c r="D3976" i="4"/>
  <c r="D3977" i="4"/>
  <c r="D3978" i="4"/>
  <c r="D3979" i="4"/>
  <c r="D3980" i="4"/>
  <c r="D3981" i="4"/>
  <c r="D3982" i="4"/>
  <c r="D3983" i="4"/>
  <c r="D3984" i="4"/>
  <c r="D3985" i="4"/>
  <c r="D3986" i="4"/>
  <c r="D3987" i="4"/>
  <c r="D3988" i="4"/>
  <c r="D3989" i="4"/>
  <c r="D3990" i="4"/>
  <c r="D3991" i="4"/>
  <c r="D3992" i="4"/>
  <c r="D3993" i="4"/>
  <c r="D3994" i="4"/>
  <c r="D3995" i="4"/>
  <c r="D3996" i="4"/>
  <c r="D3997" i="4"/>
  <c r="D3998" i="4"/>
  <c r="D3999" i="4"/>
  <c r="D4000" i="4"/>
  <c r="D4001" i="4"/>
  <c r="D4002" i="4"/>
  <c r="D4003" i="4"/>
  <c r="D4004" i="4"/>
  <c r="D4005" i="4"/>
  <c r="D4006" i="4"/>
  <c r="D4007" i="4"/>
  <c r="D4008" i="4"/>
  <c r="D4009" i="4"/>
  <c r="D4010" i="4"/>
  <c r="D4011" i="4"/>
  <c r="D4012" i="4"/>
  <c r="D4013" i="4"/>
  <c r="D4014" i="4"/>
  <c r="D4015" i="4"/>
  <c r="D4016" i="4"/>
  <c r="D4017" i="4"/>
  <c r="D4018" i="4"/>
  <c r="D4019" i="4"/>
  <c r="D4020" i="4"/>
  <c r="D4021" i="4"/>
  <c r="D4022" i="4"/>
  <c r="D4023" i="4"/>
  <c r="D4024" i="4"/>
  <c r="D4025" i="4"/>
  <c r="D4026" i="4"/>
  <c r="D4027" i="4"/>
  <c r="D4028" i="4"/>
  <c r="D4029" i="4"/>
  <c r="D4030" i="4"/>
  <c r="D4031" i="4"/>
  <c r="D4032" i="4"/>
  <c r="D4033" i="4"/>
  <c r="D4034" i="4"/>
  <c r="D4035" i="4"/>
  <c r="D4036" i="4"/>
  <c r="D4037" i="4"/>
  <c r="D4038" i="4"/>
  <c r="D4039" i="4"/>
  <c r="D4040" i="4"/>
  <c r="D4041" i="4"/>
  <c r="D4042" i="4"/>
  <c r="D4043" i="4"/>
  <c r="D4044" i="4"/>
  <c r="D4045" i="4"/>
  <c r="D4046" i="4"/>
  <c r="D4047" i="4"/>
  <c r="D4048" i="4"/>
  <c r="D4049" i="4"/>
  <c r="D4050" i="4"/>
  <c r="D4051" i="4"/>
  <c r="D4052" i="4"/>
  <c r="D4053" i="4"/>
  <c r="D4054" i="4"/>
  <c r="D4055" i="4"/>
  <c r="D4056" i="4"/>
  <c r="D4057" i="4"/>
  <c r="D4058" i="4"/>
  <c r="D4059" i="4"/>
  <c r="D4060" i="4"/>
  <c r="D4061" i="4"/>
  <c r="D4062" i="4"/>
  <c r="D4063" i="4"/>
  <c r="D4064" i="4"/>
  <c r="D4065" i="4"/>
  <c r="D4066" i="4"/>
  <c r="D4067" i="4"/>
  <c r="D4068" i="4"/>
  <c r="D4069" i="4"/>
  <c r="D4070" i="4"/>
  <c r="D4071" i="4"/>
  <c r="D4072" i="4"/>
  <c r="D4073" i="4"/>
  <c r="D4074" i="4"/>
  <c r="D4075" i="4"/>
  <c r="D4076" i="4"/>
  <c r="D4077" i="4"/>
  <c r="D4078" i="4"/>
  <c r="D4079" i="4"/>
  <c r="D4080" i="4"/>
  <c r="D4081" i="4"/>
  <c r="D4082" i="4"/>
  <c r="D4083" i="4"/>
  <c r="D4084" i="4"/>
  <c r="D4085" i="4"/>
  <c r="D4086" i="4"/>
  <c r="D4087" i="4"/>
  <c r="D4088" i="4"/>
  <c r="D4089" i="4"/>
  <c r="D4090" i="4"/>
  <c r="D4091" i="4"/>
  <c r="D4092" i="4"/>
  <c r="D4093" i="4"/>
  <c r="D4094" i="4"/>
  <c r="D4095" i="4"/>
  <c r="D4096" i="4"/>
  <c r="D4097" i="4"/>
  <c r="D4098" i="4"/>
  <c r="D4099" i="4"/>
  <c r="D4100" i="4"/>
  <c r="D4101" i="4"/>
  <c r="D4102" i="4"/>
  <c r="D4103" i="4"/>
  <c r="D4104" i="4"/>
  <c r="D4105" i="4"/>
  <c r="D4106" i="4"/>
  <c r="D4107" i="4"/>
  <c r="D4108" i="4"/>
  <c r="D4109" i="4"/>
  <c r="D4110" i="4"/>
  <c r="D4111" i="4"/>
  <c r="D4112" i="4"/>
  <c r="D4113" i="4"/>
  <c r="D4114" i="4"/>
  <c r="D4115" i="4"/>
  <c r="D4116" i="4"/>
  <c r="D4117" i="4"/>
  <c r="D4118" i="4"/>
  <c r="D4119" i="4"/>
  <c r="D4120" i="4"/>
  <c r="D4121" i="4"/>
  <c r="D4122" i="4"/>
  <c r="D4123" i="4"/>
  <c r="D4124" i="4"/>
  <c r="D4125" i="4"/>
  <c r="D4126" i="4"/>
  <c r="D4127" i="4"/>
  <c r="D4128" i="4"/>
  <c r="D4129" i="4"/>
  <c r="D4130" i="4"/>
  <c r="D4131" i="4"/>
  <c r="D4132" i="4"/>
  <c r="D4133" i="4"/>
  <c r="D4134" i="4"/>
  <c r="D4135" i="4"/>
  <c r="D4136" i="4"/>
  <c r="D4137" i="4"/>
  <c r="D4138" i="4"/>
  <c r="D4139" i="4"/>
  <c r="D4140" i="4"/>
  <c r="D4141" i="4"/>
  <c r="D4142" i="4"/>
  <c r="D4143" i="4"/>
  <c r="D4144" i="4"/>
  <c r="D4145" i="4"/>
  <c r="D4146" i="4"/>
  <c r="D4147" i="4"/>
  <c r="D4148" i="4"/>
  <c r="D4149" i="4"/>
  <c r="D4150" i="4"/>
  <c r="D4151" i="4"/>
  <c r="D4152" i="4"/>
  <c r="D4153" i="4"/>
  <c r="D4154" i="4"/>
  <c r="D4155" i="4"/>
  <c r="D4156" i="4"/>
  <c r="D4157" i="4"/>
  <c r="D4158" i="4"/>
  <c r="D4159" i="4"/>
  <c r="D4160" i="4"/>
  <c r="D4161" i="4"/>
  <c r="D4162" i="4"/>
  <c r="D4163" i="4"/>
  <c r="D4164" i="4"/>
  <c r="D4165" i="4"/>
  <c r="D4166" i="4"/>
  <c r="D4167" i="4"/>
  <c r="D4168" i="4"/>
  <c r="D4169" i="4"/>
  <c r="D4170" i="4"/>
  <c r="D4171" i="4"/>
  <c r="D4172" i="4"/>
  <c r="D4173" i="4"/>
  <c r="D4174" i="4"/>
  <c r="D4175" i="4"/>
  <c r="D4176" i="4"/>
  <c r="D4177" i="4"/>
  <c r="D4178" i="4"/>
  <c r="D4179" i="4"/>
  <c r="D4180" i="4"/>
  <c r="D4181" i="4"/>
  <c r="D4182" i="4"/>
  <c r="D4183" i="4"/>
  <c r="D4184" i="4"/>
  <c r="D4185" i="4"/>
  <c r="D4186" i="4"/>
  <c r="D4187" i="4"/>
  <c r="D4188" i="4"/>
  <c r="D4189" i="4"/>
  <c r="D4190" i="4"/>
  <c r="D4191" i="4"/>
  <c r="D4192" i="4"/>
  <c r="D4193" i="4"/>
  <c r="D4194" i="4"/>
  <c r="D4195" i="4"/>
  <c r="D4196" i="4"/>
  <c r="D4197" i="4"/>
  <c r="D4198" i="4"/>
  <c r="D4199" i="4"/>
  <c r="D4200" i="4"/>
  <c r="D4201" i="4"/>
  <c r="D4202" i="4"/>
  <c r="D4203" i="4"/>
  <c r="D4204" i="4"/>
  <c r="D4205" i="4"/>
  <c r="D4206" i="4"/>
  <c r="D4207" i="4"/>
  <c r="D4208" i="4"/>
  <c r="D4209" i="4"/>
  <c r="D4210" i="4"/>
  <c r="D4211" i="4"/>
  <c r="D4212" i="4"/>
  <c r="D4213" i="4"/>
  <c r="D4214" i="4"/>
  <c r="D4215" i="4"/>
  <c r="D4216" i="4"/>
  <c r="D4217" i="4"/>
  <c r="D4218" i="4"/>
  <c r="D4219" i="4"/>
  <c r="D4220" i="4"/>
  <c r="D4221" i="4"/>
  <c r="D4222" i="4"/>
  <c r="D4223" i="4"/>
  <c r="D4224" i="4"/>
  <c r="D4225" i="4"/>
  <c r="D4226" i="4"/>
  <c r="D4227" i="4"/>
  <c r="D4228" i="4"/>
  <c r="D4229" i="4"/>
  <c r="D4230" i="4"/>
  <c r="D4231" i="4"/>
  <c r="D4232" i="4"/>
  <c r="D4233" i="4"/>
  <c r="D4234" i="4"/>
  <c r="D4235" i="4"/>
  <c r="D4236" i="4"/>
  <c r="D4237" i="4"/>
  <c r="D4238" i="4"/>
  <c r="D4239" i="4"/>
  <c r="D4240" i="4"/>
  <c r="D4241" i="4"/>
  <c r="D4242" i="4"/>
  <c r="D4243" i="4"/>
  <c r="D4244" i="4"/>
  <c r="D4245" i="4"/>
  <c r="D4246" i="4"/>
  <c r="D4247" i="4"/>
  <c r="D4248" i="4"/>
  <c r="D4249" i="4"/>
  <c r="D4250" i="4"/>
  <c r="D4251" i="4"/>
  <c r="D4252" i="4"/>
  <c r="D4253" i="4"/>
  <c r="D4254" i="4"/>
  <c r="D4255" i="4"/>
  <c r="D4256" i="4"/>
  <c r="D4257" i="4"/>
  <c r="D4258" i="4"/>
  <c r="D4259" i="4"/>
  <c r="D4260" i="4"/>
  <c r="D4261" i="4"/>
  <c r="D4262" i="4"/>
  <c r="D4263" i="4"/>
  <c r="D4264" i="4"/>
  <c r="D4265" i="4"/>
  <c r="D4266" i="4"/>
  <c r="D4267" i="4"/>
  <c r="D4268" i="4"/>
  <c r="D4269" i="4"/>
  <c r="D4270" i="4"/>
  <c r="D4271" i="4"/>
  <c r="D4272" i="4"/>
  <c r="D4273" i="4"/>
  <c r="D4274" i="4"/>
  <c r="D4275" i="4"/>
  <c r="D4276" i="4"/>
  <c r="D4277" i="4"/>
  <c r="D4278" i="4"/>
  <c r="D4279" i="4"/>
  <c r="D4280" i="4"/>
  <c r="D4281" i="4"/>
  <c r="D4282" i="4"/>
  <c r="D4283" i="4"/>
  <c r="D4284" i="4"/>
  <c r="D4285" i="4"/>
  <c r="D4286" i="4"/>
  <c r="D4287" i="4"/>
  <c r="D4288" i="4"/>
  <c r="D4289" i="4"/>
  <c r="D4290" i="4"/>
  <c r="D4291" i="4"/>
  <c r="D4292" i="4"/>
  <c r="D4293" i="4"/>
  <c r="D4294" i="4"/>
  <c r="D4295" i="4"/>
  <c r="D4296" i="4"/>
  <c r="D4297" i="4"/>
  <c r="D4298" i="4"/>
  <c r="D4299" i="4"/>
  <c r="D4300" i="4"/>
  <c r="D4301" i="4"/>
  <c r="D4302" i="4"/>
  <c r="D4303" i="4"/>
  <c r="D4304" i="4"/>
  <c r="D4305" i="4"/>
  <c r="D4306" i="4"/>
  <c r="D4307" i="4"/>
  <c r="D4308" i="4"/>
  <c r="D4309" i="4"/>
  <c r="D4310" i="4"/>
  <c r="D4311" i="4"/>
  <c r="D4312" i="4"/>
  <c r="D4313" i="4"/>
  <c r="D4314" i="4"/>
  <c r="D4315" i="4"/>
  <c r="D4316" i="4"/>
  <c r="D4317" i="4"/>
  <c r="D4318" i="4"/>
  <c r="D4319" i="4"/>
  <c r="D4320" i="4"/>
  <c r="D4321" i="4"/>
  <c r="D4322" i="4"/>
  <c r="D4323" i="4"/>
  <c r="D4324" i="4"/>
  <c r="D4325" i="4"/>
  <c r="D4326" i="4"/>
  <c r="D4327" i="4"/>
  <c r="D4328" i="4"/>
  <c r="D4329" i="4"/>
  <c r="D4330" i="4"/>
  <c r="D4331" i="4"/>
  <c r="D4332" i="4"/>
  <c r="D4333" i="4"/>
  <c r="D4334" i="4"/>
  <c r="D4335" i="4"/>
  <c r="D4336" i="4"/>
  <c r="D4337" i="4"/>
  <c r="D4338" i="4"/>
  <c r="D4339" i="4"/>
  <c r="D4340" i="4"/>
  <c r="D4341" i="4"/>
  <c r="D4342" i="4"/>
  <c r="D4343" i="4"/>
  <c r="D4344" i="4"/>
  <c r="D4345" i="4"/>
  <c r="D4346" i="4"/>
  <c r="D4347" i="4"/>
  <c r="D4348" i="4"/>
  <c r="D4349" i="4"/>
  <c r="D4350" i="4"/>
  <c r="D4351" i="4"/>
  <c r="D4352" i="4"/>
  <c r="D4353" i="4"/>
  <c r="D4354" i="4"/>
  <c r="D4355" i="4"/>
  <c r="D4356" i="4"/>
  <c r="D4357" i="4"/>
  <c r="D4358" i="4"/>
  <c r="D4359" i="4"/>
  <c r="D4360" i="4"/>
  <c r="D4361" i="4"/>
  <c r="D4362" i="4"/>
  <c r="D4363" i="4"/>
  <c r="D4364" i="4"/>
  <c r="D4365" i="4"/>
  <c r="D4366" i="4"/>
  <c r="D4367" i="4"/>
  <c r="D4368" i="4"/>
  <c r="D4369" i="4"/>
  <c r="D4370" i="4"/>
  <c r="D4371" i="4"/>
  <c r="D4372" i="4"/>
  <c r="D4373" i="4"/>
  <c r="D4374" i="4"/>
  <c r="D4375" i="4"/>
  <c r="D4376" i="4"/>
  <c r="D4377" i="4"/>
  <c r="D4378" i="4"/>
  <c r="D4379" i="4"/>
  <c r="D4380" i="4"/>
  <c r="D4381" i="4"/>
  <c r="D4382" i="4"/>
  <c r="D4383" i="4"/>
  <c r="D4384" i="4"/>
  <c r="D4385" i="4"/>
  <c r="D4386" i="4"/>
  <c r="D4387" i="4"/>
  <c r="D4388" i="4"/>
  <c r="D4389" i="4"/>
  <c r="D4390" i="4"/>
  <c r="D4391" i="4"/>
  <c r="D4392" i="4"/>
  <c r="D4393" i="4"/>
  <c r="D4394" i="4"/>
  <c r="D4395" i="4"/>
  <c r="D4396" i="4"/>
  <c r="D4397" i="4"/>
  <c r="D4398" i="4"/>
  <c r="D4399" i="4"/>
  <c r="D4400" i="4"/>
  <c r="D4401" i="4"/>
  <c r="D4402" i="4"/>
  <c r="D4403" i="4"/>
  <c r="D4404" i="4"/>
  <c r="D4405" i="4"/>
  <c r="D4406" i="4"/>
  <c r="D4407" i="4"/>
  <c r="D4408" i="4"/>
  <c r="D4409" i="4"/>
  <c r="D4410" i="4"/>
  <c r="D4411" i="4"/>
  <c r="D4412" i="4"/>
  <c r="D4413" i="4"/>
  <c r="D4414" i="4"/>
  <c r="D4415" i="4"/>
  <c r="D4416" i="4"/>
  <c r="D4417" i="4"/>
  <c r="D4418" i="4"/>
  <c r="D4419" i="4"/>
  <c r="D4420" i="4"/>
  <c r="D4421" i="4"/>
  <c r="D4422" i="4"/>
  <c r="D4423" i="4"/>
  <c r="D4424" i="4"/>
  <c r="D4425" i="4"/>
  <c r="D4426" i="4"/>
  <c r="D4427" i="4"/>
  <c r="D4428" i="4"/>
  <c r="D4429" i="4"/>
  <c r="D4430" i="4"/>
  <c r="D4431" i="4"/>
  <c r="D4432" i="4"/>
  <c r="D4433" i="4"/>
  <c r="D4434" i="4"/>
  <c r="D4435" i="4"/>
  <c r="D4436" i="4"/>
  <c r="D4437" i="4"/>
  <c r="D4438" i="4"/>
  <c r="D4439" i="4"/>
  <c r="D4440" i="4"/>
  <c r="D4441" i="4"/>
  <c r="D4442" i="4"/>
  <c r="D4443" i="4"/>
  <c r="D4444" i="4"/>
  <c r="D4445" i="4"/>
  <c r="D4446" i="4"/>
  <c r="D4447" i="4"/>
  <c r="D4448" i="4"/>
  <c r="D4449" i="4"/>
  <c r="D4450" i="4"/>
  <c r="D4451" i="4"/>
  <c r="D4452" i="4"/>
  <c r="D4453" i="4"/>
  <c r="D4454" i="4"/>
  <c r="D4455" i="4"/>
  <c r="D4456" i="4"/>
  <c r="D4457" i="4"/>
  <c r="D4458" i="4"/>
  <c r="D4459" i="4"/>
  <c r="D4460" i="4"/>
  <c r="D4461" i="4"/>
  <c r="D4462" i="4"/>
  <c r="D4463" i="4"/>
  <c r="D4464" i="4"/>
  <c r="D4465" i="4"/>
  <c r="D4466" i="4"/>
  <c r="D4467" i="4"/>
  <c r="D4468" i="4"/>
  <c r="D4469" i="4"/>
  <c r="D4470" i="4"/>
  <c r="D4471" i="4"/>
  <c r="D4472" i="4"/>
  <c r="D4473" i="4"/>
  <c r="D4474" i="4"/>
  <c r="D4475" i="4"/>
  <c r="D4476" i="4"/>
  <c r="D4477" i="4"/>
  <c r="D4478" i="4"/>
  <c r="D4479" i="4"/>
  <c r="D4480" i="4"/>
  <c r="D4481" i="4"/>
  <c r="D4482" i="4"/>
  <c r="D4483" i="4"/>
  <c r="D4484" i="4"/>
  <c r="D4485" i="4"/>
  <c r="D4486" i="4"/>
  <c r="D4487" i="4"/>
  <c r="D4488" i="4"/>
  <c r="D4489" i="4"/>
  <c r="D4490" i="4"/>
  <c r="D4491" i="4"/>
  <c r="D4492" i="4"/>
  <c r="D4493" i="4"/>
  <c r="D4494" i="4"/>
  <c r="D4495" i="4"/>
  <c r="D4496" i="4"/>
  <c r="D4497" i="4"/>
  <c r="D4498" i="4"/>
  <c r="D4499" i="4"/>
  <c r="D4500" i="4"/>
  <c r="D4501" i="4"/>
  <c r="D4502" i="4"/>
  <c r="D4503" i="4"/>
  <c r="D4504" i="4"/>
  <c r="D4505" i="4"/>
  <c r="D4506" i="4"/>
  <c r="D4507" i="4"/>
  <c r="D4508" i="4"/>
  <c r="D4509" i="4"/>
  <c r="D4510" i="4"/>
  <c r="D4511" i="4"/>
  <c r="D4512" i="4"/>
  <c r="D4513" i="4"/>
  <c r="D4514" i="4"/>
  <c r="D4515" i="4"/>
  <c r="D4516" i="4"/>
  <c r="D4517" i="4"/>
  <c r="D4518" i="4"/>
  <c r="D4519" i="4"/>
  <c r="D4520" i="4"/>
  <c r="D4521" i="4"/>
  <c r="D4522" i="4"/>
  <c r="D4523" i="4"/>
  <c r="D4524" i="4"/>
  <c r="D4525" i="4"/>
  <c r="D4526" i="4"/>
  <c r="D4527" i="4"/>
  <c r="D4528" i="4"/>
  <c r="D4529" i="4"/>
  <c r="D4530" i="4"/>
  <c r="D4531" i="4"/>
  <c r="D4532" i="4"/>
  <c r="D4533" i="4"/>
  <c r="D4534" i="4"/>
  <c r="D4535" i="4"/>
  <c r="D4536" i="4"/>
  <c r="D4537" i="4"/>
  <c r="D4538" i="4"/>
  <c r="D4539" i="4"/>
  <c r="D4540" i="4"/>
  <c r="D4541" i="4"/>
  <c r="D4542" i="4"/>
  <c r="D4543" i="4"/>
  <c r="D4544" i="4"/>
  <c r="D4545" i="4"/>
  <c r="D4546" i="4"/>
  <c r="D4547" i="4"/>
  <c r="D4548" i="4"/>
  <c r="D4549" i="4"/>
  <c r="D4550" i="4"/>
  <c r="D4551" i="4"/>
  <c r="D4552" i="4"/>
  <c r="D4553" i="4"/>
  <c r="D4554" i="4"/>
  <c r="D4555" i="4"/>
  <c r="D4556" i="4"/>
  <c r="D4557" i="4"/>
  <c r="D4558" i="4"/>
  <c r="D4559" i="4"/>
  <c r="D4560" i="4"/>
  <c r="D4561" i="4"/>
  <c r="D4562" i="4"/>
  <c r="D4563" i="4"/>
  <c r="D4564" i="4"/>
  <c r="D4565" i="4"/>
  <c r="D4566" i="4"/>
  <c r="D4567" i="4"/>
  <c r="D4568" i="4"/>
  <c r="D4569" i="4"/>
  <c r="D4570" i="4"/>
  <c r="D4571" i="4"/>
  <c r="D4572" i="4"/>
  <c r="D4573" i="4"/>
  <c r="D4574" i="4"/>
  <c r="D4575" i="4"/>
  <c r="D4576" i="4"/>
  <c r="D4577" i="4"/>
  <c r="D4578" i="4"/>
  <c r="D4579" i="4"/>
  <c r="D4580" i="4"/>
  <c r="D4581" i="4"/>
  <c r="D4582" i="4"/>
  <c r="D4583" i="4"/>
  <c r="D4584" i="4"/>
  <c r="D4585" i="4"/>
  <c r="D4586" i="4"/>
  <c r="D4587" i="4"/>
  <c r="D4588" i="4"/>
  <c r="D4589" i="4"/>
  <c r="D4590" i="4"/>
  <c r="D4591" i="4"/>
  <c r="D4592" i="4"/>
  <c r="D4593" i="4"/>
  <c r="D4594" i="4"/>
  <c r="D4595" i="4"/>
  <c r="D4596" i="4"/>
  <c r="D4597" i="4"/>
  <c r="D4598" i="4"/>
  <c r="D4599" i="4"/>
  <c r="D4600" i="4"/>
  <c r="D4601" i="4"/>
  <c r="D4602" i="4"/>
  <c r="D4603" i="4"/>
  <c r="D4604" i="4"/>
  <c r="D4605" i="4"/>
  <c r="D4606" i="4"/>
  <c r="D4607" i="4"/>
  <c r="D4608" i="4"/>
  <c r="D4609" i="4"/>
  <c r="D4610" i="4"/>
  <c r="D4611" i="4"/>
  <c r="D4612" i="4"/>
  <c r="D4613" i="4"/>
  <c r="D4614" i="4"/>
  <c r="D4615" i="4"/>
  <c r="D4616" i="4"/>
  <c r="D4617" i="4"/>
  <c r="D4618" i="4"/>
  <c r="D4619" i="4"/>
  <c r="D4620" i="4"/>
  <c r="D4621" i="4"/>
  <c r="D4622" i="4"/>
  <c r="D4623" i="4"/>
  <c r="D4624" i="4"/>
  <c r="D4625" i="4"/>
  <c r="D4626" i="4"/>
  <c r="D4627" i="4"/>
  <c r="D4628" i="4"/>
  <c r="D4629" i="4"/>
  <c r="D4630" i="4"/>
  <c r="D4631" i="4"/>
  <c r="D4632" i="4"/>
  <c r="D4633" i="4"/>
  <c r="D4634" i="4"/>
  <c r="D4635" i="4"/>
  <c r="D4636" i="4"/>
  <c r="D4637" i="4"/>
  <c r="D4638" i="4"/>
  <c r="D4639" i="4"/>
  <c r="D4640" i="4"/>
  <c r="D4641" i="4"/>
  <c r="D4642" i="4"/>
  <c r="D4643" i="4"/>
  <c r="D4644" i="4"/>
  <c r="D4645" i="4"/>
  <c r="D4646" i="4"/>
  <c r="D4647" i="4"/>
  <c r="D4648" i="4"/>
  <c r="D4649" i="4"/>
  <c r="D4650" i="4"/>
  <c r="D4651" i="4"/>
  <c r="D4652" i="4"/>
  <c r="D4653" i="4"/>
  <c r="D4654" i="4"/>
  <c r="D4655" i="4"/>
  <c r="D4656" i="4"/>
  <c r="D4657" i="4"/>
  <c r="D4658" i="4"/>
  <c r="D4659" i="4"/>
  <c r="D4660" i="4"/>
  <c r="D4661" i="4"/>
  <c r="D4662" i="4"/>
  <c r="D4663" i="4"/>
  <c r="D4664" i="4"/>
  <c r="D4665" i="4"/>
  <c r="D4666" i="4"/>
  <c r="D4667" i="4"/>
  <c r="D4668" i="4"/>
  <c r="D4669" i="4"/>
  <c r="D4670" i="4"/>
  <c r="D4671" i="4"/>
  <c r="D4672" i="4"/>
  <c r="D4673" i="4"/>
  <c r="D4674" i="4"/>
  <c r="D4675" i="4"/>
  <c r="D4676" i="4"/>
  <c r="D4677" i="4"/>
  <c r="D4678" i="4"/>
  <c r="D4679" i="4"/>
  <c r="D4680" i="4"/>
  <c r="D4681" i="4"/>
  <c r="D4682" i="4"/>
  <c r="D4683" i="4"/>
  <c r="D4684" i="4"/>
  <c r="D4685" i="4"/>
  <c r="D4686" i="4"/>
  <c r="D4687" i="4"/>
  <c r="D4688" i="4"/>
  <c r="D4689" i="4"/>
  <c r="D4690" i="4"/>
  <c r="D4691" i="4"/>
  <c r="D4692" i="4"/>
  <c r="D4693" i="4"/>
  <c r="D4694" i="4"/>
  <c r="D4695" i="4"/>
  <c r="D4696" i="4"/>
  <c r="D4697" i="4"/>
  <c r="D4698" i="4"/>
  <c r="D4699" i="4"/>
  <c r="D4700" i="4"/>
  <c r="D4701" i="4"/>
  <c r="D4702" i="4"/>
  <c r="D4703" i="4"/>
  <c r="D4704" i="4"/>
  <c r="D4705" i="4"/>
  <c r="D4706" i="4"/>
  <c r="D4707" i="4"/>
  <c r="D4708" i="4"/>
  <c r="D4709" i="4"/>
  <c r="D4710" i="4"/>
  <c r="D4711" i="4"/>
  <c r="D4712" i="4"/>
  <c r="D4713" i="4"/>
  <c r="D4714" i="4"/>
  <c r="D4715" i="4"/>
  <c r="D4716" i="4"/>
  <c r="D4717" i="4"/>
  <c r="D4718" i="4"/>
  <c r="D4719" i="4"/>
  <c r="D4720" i="4"/>
  <c r="D4721" i="4"/>
  <c r="D4722" i="4"/>
  <c r="D4723" i="4"/>
  <c r="D4724" i="4"/>
  <c r="D4725" i="4"/>
  <c r="D4726" i="4"/>
  <c r="D4727" i="4"/>
  <c r="D4728" i="4"/>
  <c r="D4729" i="4"/>
  <c r="D4730" i="4"/>
  <c r="D4731" i="4"/>
  <c r="D4732" i="4"/>
  <c r="D4733" i="4"/>
  <c r="D4734" i="4"/>
  <c r="D4735" i="4"/>
  <c r="D4736" i="4"/>
  <c r="D4737" i="4"/>
  <c r="D4738" i="4"/>
  <c r="D4739" i="4"/>
  <c r="D4740" i="4"/>
  <c r="D4741" i="4"/>
  <c r="D4742" i="4"/>
  <c r="D4743" i="4"/>
  <c r="D4744" i="4"/>
  <c r="D4745" i="4"/>
  <c r="D4746" i="4"/>
  <c r="D4747" i="4"/>
  <c r="D4748" i="4"/>
  <c r="D4749" i="4"/>
  <c r="D4750" i="4"/>
  <c r="D4751" i="4"/>
  <c r="D4752" i="4"/>
  <c r="D4753" i="4"/>
  <c r="D4754" i="4"/>
  <c r="D4755" i="4"/>
  <c r="D4756" i="4"/>
  <c r="D4757" i="4"/>
  <c r="D4758" i="4"/>
  <c r="D4759" i="4"/>
  <c r="D4760" i="4"/>
  <c r="D4761" i="4"/>
  <c r="D4762" i="4"/>
  <c r="D4763" i="4"/>
  <c r="D4764" i="4"/>
  <c r="D4765" i="4"/>
  <c r="D4766" i="4"/>
  <c r="D4767" i="4"/>
  <c r="D4768" i="4"/>
  <c r="D4769" i="4"/>
  <c r="D4770" i="4"/>
  <c r="D4771" i="4"/>
  <c r="D4772" i="4"/>
  <c r="D4773" i="4"/>
  <c r="D4774" i="4"/>
  <c r="D4775" i="4"/>
  <c r="D4776" i="4"/>
  <c r="D4777" i="4"/>
  <c r="D4778" i="4"/>
  <c r="D4779" i="4"/>
  <c r="D4780" i="4"/>
  <c r="D4781" i="4"/>
  <c r="D4782" i="4"/>
  <c r="D4783" i="4"/>
  <c r="D4784" i="4"/>
  <c r="D4785" i="4"/>
  <c r="D4786" i="4"/>
  <c r="D4787" i="4"/>
  <c r="D4788" i="4"/>
  <c r="D4789" i="4"/>
  <c r="D4790" i="4"/>
  <c r="D4791" i="4"/>
  <c r="D4792" i="4"/>
  <c r="D4793" i="4"/>
  <c r="D4794" i="4"/>
  <c r="D4795" i="4"/>
  <c r="D4796" i="4"/>
  <c r="D4797" i="4"/>
  <c r="D4798" i="4"/>
  <c r="D4799" i="4"/>
  <c r="D4800" i="4"/>
  <c r="D4801" i="4"/>
  <c r="D4802" i="4"/>
  <c r="D4803" i="4"/>
  <c r="D4804" i="4"/>
  <c r="D4805" i="4"/>
  <c r="D4806" i="4"/>
  <c r="D4807" i="4"/>
  <c r="D4808" i="4"/>
  <c r="D4809" i="4"/>
  <c r="D4810" i="4"/>
  <c r="D4811" i="4"/>
  <c r="D4812" i="4"/>
  <c r="D4813" i="4"/>
  <c r="D4814" i="4"/>
  <c r="D4815" i="4"/>
  <c r="D4816" i="4"/>
  <c r="D4817" i="4"/>
  <c r="D4818" i="4"/>
  <c r="D4819" i="4"/>
  <c r="D4820" i="4"/>
  <c r="D4821" i="4"/>
  <c r="D4822" i="4"/>
  <c r="D4823" i="4"/>
  <c r="D4824" i="4"/>
  <c r="D4825" i="4"/>
  <c r="D4826" i="4"/>
  <c r="D4827" i="4"/>
  <c r="D4828" i="4"/>
  <c r="D4829" i="4"/>
  <c r="D4830" i="4"/>
  <c r="D4831" i="4"/>
  <c r="D4832" i="4"/>
  <c r="D4833" i="4"/>
  <c r="D4834" i="4"/>
  <c r="D4835" i="4"/>
  <c r="D4836" i="4"/>
  <c r="D4837" i="4"/>
  <c r="D4838" i="4"/>
  <c r="D4839" i="4"/>
  <c r="D4840" i="4"/>
  <c r="D4841" i="4"/>
  <c r="D4842" i="4"/>
  <c r="D4843" i="4"/>
  <c r="D4844" i="4"/>
  <c r="D4845" i="4"/>
  <c r="D4846" i="4"/>
  <c r="D4847" i="4"/>
  <c r="D4848" i="4"/>
  <c r="D4849" i="4"/>
  <c r="D4850" i="4"/>
  <c r="D4851" i="4"/>
  <c r="D4852" i="4"/>
  <c r="D4853" i="4"/>
  <c r="D4854" i="4"/>
  <c r="D4855" i="4"/>
  <c r="D4856" i="4"/>
  <c r="D4857" i="4"/>
  <c r="D4858" i="4"/>
  <c r="D4859" i="4"/>
  <c r="D4860" i="4"/>
  <c r="D4861" i="4"/>
  <c r="D4862" i="4"/>
  <c r="D4863" i="4"/>
  <c r="D4864" i="4"/>
  <c r="D4865" i="4"/>
  <c r="D4866" i="4"/>
  <c r="D4867" i="4"/>
  <c r="D4868" i="4"/>
  <c r="D4869" i="4"/>
  <c r="D4870" i="4"/>
  <c r="D4871" i="4"/>
  <c r="D4872" i="4"/>
  <c r="D4873" i="4"/>
  <c r="D4874" i="4"/>
  <c r="D4875" i="4"/>
  <c r="D4876" i="4"/>
  <c r="D4877" i="4"/>
  <c r="D4878" i="4"/>
  <c r="D4879" i="4"/>
  <c r="D4880" i="4"/>
  <c r="D4881" i="4"/>
  <c r="D4882" i="4"/>
  <c r="D4883" i="4"/>
  <c r="D4884" i="4"/>
  <c r="D4885" i="4"/>
  <c r="D4886" i="4"/>
  <c r="D4887" i="4"/>
  <c r="D4888" i="4"/>
  <c r="D4889" i="4"/>
  <c r="D4890" i="4"/>
  <c r="D4891" i="4"/>
  <c r="D4892" i="4"/>
  <c r="D4893" i="4"/>
  <c r="D4894" i="4"/>
  <c r="D4895" i="4"/>
  <c r="D4896" i="4"/>
  <c r="D4897" i="4"/>
  <c r="D4898" i="4"/>
  <c r="D4899" i="4"/>
  <c r="D4900" i="4"/>
  <c r="D4901" i="4"/>
  <c r="D4902" i="4"/>
  <c r="D4903" i="4"/>
  <c r="D4904" i="4"/>
  <c r="D4905" i="4"/>
  <c r="D4906" i="4"/>
  <c r="D4907" i="4"/>
  <c r="D4908" i="4"/>
  <c r="D4909" i="4"/>
  <c r="D4910" i="4"/>
  <c r="D4911" i="4"/>
  <c r="D4912" i="4"/>
  <c r="D4913" i="4"/>
  <c r="D4914" i="4"/>
  <c r="D4915" i="4"/>
  <c r="D4916" i="4"/>
  <c r="D4917" i="4"/>
  <c r="D4918" i="4"/>
  <c r="D4919" i="4"/>
  <c r="D4920" i="4"/>
  <c r="D4921" i="4"/>
  <c r="D4922" i="4"/>
  <c r="D4923" i="4"/>
  <c r="D4924" i="4"/>
  <c r="D4925" i="4"/>
  <c r="D4926" i="4"/>
  <c r="D4927" i="4"/>
  <c r="D4928" i="4"/>
  <c r="D4929" i="4"/>
  <c r="D4930" i="4"/>
  <c r="D4931" i="4"/>
  <c r="D4932" i="4"/>
  <c r="D4933" i="4"/>
  <c r="D4934" i="4"/>
  <c r="D4935" i="4"/>
  <c r="D4936" i="4"/>
  <c r="D4937" i="4"/>
  <c r="D4938" i="4"/>
  <c r="D4939" i="4"/>
  <c r="D4940" i="4"/>
  <c r="D4941" i="4"/>
  <c r="D4942" i="4"/>
  <c r="D4943" i="4"/>
  <c r="D4944" i="4"/>
  <c r="D4945" i="4"/>
  <c r="D4946" i="4"/>
  <c r="D4947" i="4"/>
  <c r="D4948" i="4"/>
  <c r="D4949" i="4"/>
  <c r="D4950" i="4"/>
  <c r="D4951" i="4"/>
  <c r="D4952" i="4"/>
  <c r="D4953" i="4"/>
  <c r="D4954" i="4"/>
  <c r="D4955" i="4"/>
  <c r="D4956" i="4"/>
  <c r="D4957" i="4"/>
  <c r="D4958" i="4"/>
  <c r="D4959" i="4"/>
  <c r="D4960" i="4"/>
  <c r="D4961" i="4"/>
  <c r="D4962" i="4"/>
  <c r="D4963" i="4"/>
  <c r="D4964" i="4"/>
  <c r="D4965" i="4"/>
  <c r="D4966" i="4"/>
  <c r="D4967" i="4"/>
  <c r="D4968" i="4"/>
  <c r="D4969" i="4"/>
  <c r="D4970" i="4"/>
  <c r="D4971" i="4"/>
  <c r="D4972" i="4"/>
  <c r="D4973" i="4"/>
  <c r="D4974" i="4"/>
  <c r="D4975" i="4"/>
  <c r="D4976" i="4"/>
  <c r="D4977" i="4"/>
  <c r="D4978" i="4"/>
  <c r="D4979" i="4"/>
  <c r="D4980" i="4"/>
  <c r="D4981" i="4"/>
  <c r="D4982" i="4"/>
  <c r="D4983" i="4"/>
  <c r="D4984" i="4"/>
  <c r="D4985" i="4"/>
  <c r="D4986" i="4"/>
  <c r="D4987" i="4"/>
  <c r="D4988" i="4"/>
  <c r="D4989" i="4"/>
  <c r="D4990" i="4"/>
  <c r="D4991" i="4"/>
  <c r="D4992" i="4"/>
  <c r="D4993" i="4"/>
  <c r="D4994" i="4"/>
  <c r="D4995" i="4"/>
  <c r="D4996" i="4"/>
  <c r="D4997" i="4"/>
  <c r="D4998" i="4"/>
  <c r="D4999" i="4"/>
  <c r="D5000" i="4"/>
  <c r="D5001" i="4"/>
  <c r="D5002" i="4"/>
  <c r="D5003" i="4"/>
  <c r="D5004" i="4"/>
  <c r="D5005" i="4"/>
  <c r="D5006" i="4"/>
  <c r="D5007" i="4"/>
  <c r="D5008" i="4"/>
  <c r="D5009" i="4"/>
  <c r="D5010" i="4"/>
  <c r="D5011" i="4"/>
  <c r="D5012" i="4"/>
  <c r="D5013" i="4"/>
  <c r="D5014" i="4"/>
  <c r="D5015" i="4"/>
  <c r="D5016" i="4"/>
  <c r="D5017" i="4"/>
  <c r="D5018" i="4"/>
  <c r="D5019" i="4"/>
  <c r="D5020" i="4"/>
  <c r="D5021" i="4"/>
  <c r="D5022" i="4"/>
  <c r="D5023" i="4"/>
  <c r="D5024" i="4"/>
  <c r="D5025" i="4"/>
  <c r="D5026" i="4"/>
  <c r="D5027" i="4"/>
  <c r="D5028" i="4"/>
  <c r="D5029" i="4"/>
  <c r="D5030" i="4"/>
  <c r="D5031" i="4"/>
  <c r="D5032" i="4"/>
  <c r="D5033" i="4"/>
  <c r="D5034" i="4"/>
  <c r="D5035" i="4"/>
  <c r="D5036" i="4"/>
  <c r="D5037" i="4"/>
  <c r="D5038" i="4"/>
  <c r="D5039" i="4"/>
  <c r="D5040" i="4"/>
  <c r="D5041" i="4"/>
  <c r="D5042" i="4"/>
  <c r="D5043" i="4"/>
  <c r="D5044" i="4"/>
  <c r="D5045" i="4"/>
  <c r="D5046" i="4"/>
  <c r="D5047" i="4"/>
  <c r="D5048" i="4"/>
  <c r="D5049" i="4"/>
  <c r="D5050" i="4"/>
  <c r="D5051" i="4"/>
  <c r="D5052" i="4"/>
  <c r="D5053" i="4"/>
  <c r="D5054" i="4"/>
  <c r="D5055" i="4"/>
  <c r="D5056" i="4"/>
  <c r="D5057" i="4"/>
  <c r="D5058" i="4"/>
  <c r="D5059" i="4"/>
  <c r="D5060" i="4"/>
  <c r="D5061" i="4"/>
  <c r="D5062" i="4"/>
  <c r="D5063" i="4"/>
  <c r="D5064" i="4"/>
  <c r="D5065" i="4"/>
  <c r="D5066" i="4"/>
  <c r="D5067" i="4"/>
  <c r="D5068" i="4"/>
  <c r="D5069" i="4"/>
  <c r="D5070" i="4"/>
  <c r="D5071" i="4"/>
  <c r="D5072" i="4"/>
  <c r="D5073" i="4"/>
  <c r="D5074" i="4"/>
  <c r="D5075" i="4"/>
  <c r="D5076" i="4"/>
  <c r="D5077" i="4"/>
  <c r="D5078" i="4"/>
  <c r="D5079" i="4"/>
  <c r="D5080" i="4"/>
  <c r="D5081" i="4"/>
  <c r="D5082" i="4"/>
  <c r="D5083" i="4"/>
  <c r="D5084" i="4"/>
  <c r="D5085" i="4"/>
  <c r="D5086" i="4"/>
  <c r="D5087" i="4"/>
  <c r="D5088" i="4"/>
  <c r="D5089" i="4"/>
  <c r="D5090" i="4"/>
  <c r="D5091" i="4"/>
  <c r="D5092" i="4"/>
  <c r="D5093" i="4"/>
  <c r="D5094" i="4"/>
  <c r="D5095" i="4"/>
  <c r="D5096" i="4"/>
  <c r="D5097" i="4"/>
  <c r="D5098" i="4"/>
  <c r="D5099" i="4"/>
  <c r="D5100" i="4"/>
  <c r="D5101" i="4"/>
  <c r="D5102" i="4"/>
  <c r="D5103" i="4"/>
  <c r="D5104" i="4"/>
  <c r="D5105" i="4"/>
  <c r="D5106" i="4"/>
  <c r="D5107" i="4"/>
  <c r="D5108" i="4"/>
  <c r="D5109" i="4"/>
  <c r="D5110" i="4"/>
  <c r="D5111" i="4"/>
  <c r="D5112" i="4"/>
  <c r="D5113" i="4"/>
  <c r="D5114" i="4"/>
  <c r="D5115" i="4"/>
  <c r="D5116" i="4"/>
  <c r="D5117" i="4"/>
  <c r="D5118" i="4"/>
  <c r="D5119" i="4"/>
  <c r="D5120" i="4"/>
  <c r="D5121" i="4"/>
  <c r="D5122" i="4"/>
  <c r="D5123" i="4"/>
  <c r="D5124" i="4"/>
  <c r="D5125" i="4"/>
  <c r="D5126" i="4"/>
  <c r="D5127" i="4"/>
  <c r="D5128" i="4"/>
  <c r="D5129" i="4"/>
  <c r="D5130" i="4"/>
  <c r="D5131" i="4"/>
  <c r="D5132" i="4"/>
  <c r="D5133" i="4"/>
  <c r="D5134" i="4"/>
  <c r="D5135" i="4"/>
  <c r="D5136" i="4"/>
  <c r="D5137" i="4"/>
  <c r="D5138" i="4"/>
  <c r="D5139" i="4"/>
  <c r="D5140" i="4"/>
  <c r="D5141" i="4"/>
  <c r="D5142" i="4"/>
  <c r="D5143" i="4"/>
  <c r="D5144" i="4"/>
  <c r="D5145" i="4"/>
  <c r="D5146" i="4"/>
  <c r="D5147" i="4"/>
  <c r="D5148" i="4"/>
  <c r="D5149" i="4"/>
  <c r="D5150" i="4"/>
  <c r="D5151" i="4"/>
  <c r="D5152" i="4"/>
  <c r="D5153" i="4"/>
  <c r="D5154" i="4"/>
  <c r="D5155" i="4"/>
  <c r="D5156" i="4"/>
  <c r="D5157" i="4"/>
  <c r="D5158" i="4"/>
  <c r="D5159" i="4"/>
  <c r="D5160" i="4"/>
  <c r="D5161" i="4"/>
  <c r="D5162" i="4"/>
  <c r="D5163" i="4"/>
  <c r="D5164" i="4"/>
  <c r="D5165" i="4"/>
  <c r="D5166" i="4"/>
  <c r="D5167" i="4"/>
  <c r="D5168" i="4"/>
  <c r="D5169" i="4"/>
  <c r="D5170" i="4"/>
  <c r="D5171" i="4"/>
  <c r="D5172" i="4"/>
  <c r="D5173" i="4"/>
  <c r="D5174" i="4"/>
  <c r="D5175" i="4"/>
  <c r="D5176" i="4"/>
  <c r="D5177" i="4"/>
  <c r="D5178" i="4"/>
  <c r="D5179" i="4"/>
  <c r="D5180" i="4"/>
  <c r="D5181" i="4"/>
  <c r="D5182" i="4"/>
  <c r="D5183" i="4"/>
  <c r="D5184" i="4"/>
  <c r="D5185" i="4"/>
  <c r="D5186" i="4"/>
  <c r="D5187" i="4"/>
  <c r="D5188" i="4"/>
  <c r="D5189" i="4"/>
  <c r="D5190" i="4"/>
  <c r="D5191" i="4"/>
  <c r="D5192" i="4"/>
  <c r="D5193" i="4"/>
  <c r="D5194" i="4"/>
  <c r="D5195" i="4"/>
  <c r="D5196" i="4"/>
  <c r="D5197" i="4"/>
  <c r="D5198" i="4"/>
  <c r="D5199" i="4"/>
  <c r="D5200" i="4"/>
  <c r="D5201" i="4"/>
  <c r="D5202" i="4"/>
  <c r="D5203" i="4"/>
  <c r="D5204" i="4"/>
  <c r="D5205" i="4"/>
  <c r="D5206" i="4"/>
  <c r="D5207" i="4"/>
  <c r="D5208" i="4"/>
  <c r="D5209" i="4"/>
  <c r="D5210" i="4"/>
  <c r="D5211" i="4"/>
  <c r="D5212" i="4"/>
  <c r="D5213" i="4"/>
  <c r="D5214" i="4"/>
  <c r="D5215" i="4"/>
  <c r="D5216" i="4"/>
  <c r="D5217" i="4"/>
  <c r="D5218" i="4"/>
  <c r="D5219" i="4"/>
  <c r="D5220" i="4"/>
  <c r="D5221" i="4"/>
  <c r="D5222" i="4"/>
  <c r="D5223" i="4"/>
  <c r="D5224" i="4"/>
  <c r="D5225" i="4"/>
  <c r="D5226" i="4"/>
  <c r="D5227" i="4"/>
  <c r="D5228" i="4"/>
  <c r="D5229" i="4"/>
  <c r="D5230" i="4"/>
  <c r="D5231" i="4"/>
  <c r="D5232" i="4"/>
  <c r="D5233" i="4"/>
  <c r="D5234" i="4"/>
  <c r="D5235" i="4"/>
  <c r="D5236" i="4"/>
  <c r="D5237" i="4"/>
  <c r="D5238" i="4"/>
  <c r="D5239" i="4"/>
  <c r="D5240" i="4"/>
  <c r="D5241" i="4"/>
  <c r="D5242" i="4"/>
  <c r="D5243" i="4"/>
  <c r="D5244" i="4"/>
  <c r="D5245" i="4"/>
  <c r="D5246" i="4"/>
  <c r="D5247" i="4"/>
  <c r="D5248" i="4"/>
  <c r="D5249" i="4"/>
  <c r="D5250" i="4"/>
  <c r="D5251" i="4"/>
  <c r="D5252" i="4"/>
  <c r="D5253" i="4"/>
  <c r="D5254" i="4"/>
  <c r="D5255" i="4"/>
  <c r="D5256" i="4"/>
  <c r="D5257" i="4"/>
  <c r="D5258" i="4"/>
  <c r="D5259" i="4"/>
  <c r="D5260" i="4"/>
  <c r="D5261" i="4"/>
  <c r="D5262" i="4"/>
  <c r="D5263" i="4"/>
  <c r="D5264" i="4"/>
  <c r="D5265" i="4"/>
  <c r="D5266" i="4"/>
  <c r="D5267" i="4"/>
  <c r="D5268" i="4"/>
  <c r="D5269" i="4"/>
  <c r="D5270" i="4"/>
  <c r="D5271" i="4"/>
  <c r="D5272" i="4"/>
  <c r="D5273" i="4"/>
  <c r="D5274" i="4"/>
  <c r="D5275" i="4"/>
  <c r="D5276" i="4"/>
  <c r="D5277" i="4"/>
  <c r="D5278" i="4"/>
  <c r="D5279" i="4"/>
  <c r="D5280" i="4"/>
  <c r="D5281" i="4"/>
  <c r="D5282" i="4"/>
  <c r="D5283" i="4"/>
  <c r="D5284" i="4"/>
  <c r="D5285" i="4"/>
  <c r="D5286" i="4"/>
  <c r="D5287" i="4"/>
  <c r="D5288" i="4"/>
  <c r="D5289" i="4"/>
  <c r="D5290" i="4"/>
  <c r="D5291" i="4"/>
  <c r="D5292" i="4"/>
  <c r="D5293" i="4"/>
  <c r="D5294" i="4"/>
  <c r="D5295" i="4"/>
  <c r="D5296" i="4"/>
  <c r="D5297" i="4"/>
  <c r="D5298" i="4"/>
  <c r="D5299" i="4"/>
  <c r="D5300" i="4"/>
  <c r="D5301" i="4"/>
  <c r="D5302" i="4"/>
  <c r="D5303" i="4"/>
  <c r="D5304" i="4"/>
  <c r="D5305" i="4"/>
  <c r="D5306" i="4"/>
  <c r="D5307" i="4"/>
  <c r="D5308" i="4"/>
  <c r="D5309" i="4"/>
  <c r="D5310" i="4"/>
  <c r="D5311" i="4"/>
  <c r="D5312" i="4"/>
  <c r="D5313" i="4"/>
  <c r="D5314" i="4"/>
  <c r="D5315" i="4"/>
  <c r="D5316" i="4"/>
  <c r="D5317" i="4"/>
  <c r="D5318" i="4"/>
  <c r="D5319" i="4"/>
  <c r="D5320" i="4"/>
  <c r="D5321" i="4"/>
  <c r="D5322" i="4"/>
  <c r="D5323" i="4"/>
  <c r="D5324" i="4"/>
  <c r="D5325" i="4"/>
  <c r="D5326" i="4"/>
  <c r="D5327" i="4"/>
  <c r="D5328" i="4"/>
  <c r="D5329" i="4"/>
  <c r="D5330" i="4"/>
  <c r="D5331" i="4"/>
  <c r="D5332" i="4"/>
  <c r="D5333" i="4"/>
  <c r="D5334" i="4"/>
  <c r="D5335" i="4"/>
  <c r="D5336" i="4"/>
  <c r="D5337" i="4"/>
  <c r="D5338" i="4"/>
  <c r="D5339" i="4"/>
  <c r="D5340" i="4"/>
  <c r="D5341" i="4"/>
  <c r="D5342" i="4"/>
  <c r="D5343" i="4"/>
  <c r="D5344" i="4"/>
  <c r="D5345" i="4"/>
  <c r="D5346" i="4"/>
  <c r="D5347" i="4"/>
  <c r="D5348" i="4"/>
  <c r="D5349" i="4"/>
  <c r="D5350" i="4"/>
  <c r="D5351" i="4"/>
  <c r="D5352" i="4"/>
  <c r="D5353" i="4"/>
  <c r="D5354" i="4"/>
  <c r="D5355" i="4"/>
  <c r="D5356" i="4"/>
  <c r="D5357" i="4"/>
  <c r="D5358" i="4"/>
  <c r="D5359" i="4"/>
  <c r="D5360" i="4"/>
  <c r="D5361" i="4"/>
  <c r="D5362" i="4"/>
  <c r="D5363" i="4"/>
  <c r="D5364" i="4"/>
  <c r="D5365" i="4"/>
  <c r="D5366" i="4"/>
  <c r="D5367" i="4"/>
  <c r="D5368" i="4"/>
  <c r="D5369" i="4"/>
  <c r="D5370" i="4"/>
  <c r="D5371" i="4"/>
  <c r="D5372" i="4"/>
  <c r="D5373" i="4"/>
  <c r="D5374" i="4"/>
  <c r="D5375" i="4"/>
  <c r="D5376" i="4"/>
  <c r="D5377" i="4"/>
  <c r="D5378" i="4"/>
  <c r="D5379" i="4"/>
  <c r="D5380" i="4"/>
  <c r="D5381" i="4"/>
  <c r="D5382" i="4"/>
  <c r="D5383" i="4"/>
  <c r="D5384" i="4"/>
  <c r="D5385" i="4"/>
  <c r="D5386" i="4"/>
  <c r="D5387" i="4"/>
  <c r="D5388" i="4"/>
  <c r="D5389" i="4"/>
  <c r="D5390" i="4"/>
  <c r="D5391" i="4"/>
  <c r="D5392" i="4"/>
  <c r="D5393" i="4"/>
  <c r="D5394" i="4"/>
  <c r="D5395" i="4"/>
  <c r="D5396" i="4"/>
  <c r="D5397" i="4"/>
  <c r="D5398" i="4"/>
  <c r="D5399" i="4"/>
  <c r="D5400" i="4"/>
  <c r="D5401" i="4"/>
  <c r="D5402" i="4"/>
  <c r="D5403" i="4"/>
  <c r="D5404" i="4"/>
  <c r="D5405" i="4"/>
  <c r="D5406" i="4"/>
  <c r="D5407" i="4"/>
  <c r="D5408" i="4"/>
  <c r="D5409" i="4"/>
  <c r="D5410" i="4"/>
  <c r="D5411" i="4"/>
  <c r="D5412" i="4"/>
  <c r="D5413" i="4"/>
  <c r="D5414" i="4"/>
  <c r="D5415" i="4"/>
  <c r="D5416" i="4"/>
  <c r="D5417" i="4"/>
  <c r="D5418" i="4"/>
  <c r="D5419" i="4"/>
  <c r="D5420" i="4"/>
  <c r="D5421" i="4"/>
  <c r="D5422" i="4"/>
  <c r="D5423" i="4"/>
  <c r="D5424" i="4"/>
  <c r="D5425" i="4"/>
  <c r="D5426" i="4"/>
  <c r="D5427" i="4"/>
  <c r="D5428" i="4"/>
  <c r="D5429" i="4"/>
  <c r="D5430" i="4"/>
  <c r="D5431" i="4"/>
  <c r="D5432" i="4"/>
  <c r="D5433" i="4"/>
  <c r="D5434" i="4"/>
  <c r="D5435" i="4"/>
  <c r="D5436" i="4"/>
  <c r="D5437" i="4"/>
  <c r="D5438" i="4"/>
  <c r="D5439" i="4"/>
  <c r="D5440" i="4"/>
  <c r="D5441" i="4"/>
  <c r="D5442" i="4"/>
  <c r="D5443" i="4"/>
  <c r="D5444" i="4"/>
  <c r="D5445" i="4"/>
  <c r="D5446" i="4"/>
  <c r="D5447" i="4"/>
  <c r="D5448" i="4"/>
  <c r="D5449" i="4"/>
  <c r="D5450" i="4"/>
  <c r="D5451" i="4"/>
  <c r="D5452" i="4"/>
  <c r="D5453" i="4"/>
  <c r="D5454" i="4"/>
  <c r="D5455" i="4"/>
  <c r="D5456" i="4"/>
  <c r="D5457" i="4"/>
  <c r="D5458" i="4"/>
  <c r="D5459" i="4"/>
  <c r="D5460" i="4"/>
  <c r="D5461" i="4"/>
  <c r="D5462" i="4"/>
  <c r="D5463" i="4"/>
  <c r="D5464" i="4"/>
  <c r="D5465" i="4"/>
  <c r="D5466" i="4"/>
  <c r="D5467" i="4"/>
  <c r="D5468" i="4"/>
  <c r="D5469" i="4"/>
  <c r="D5470" i="4"/>
  <c r="D5471" i="4"/>
  <c r="D5472" i="4"/>
  <c r="D5473" i="4"/>
  <c r="D5474" i="4"/>
  <c r="D5475" i="4"/>
  <c r="D5476" i="4"/>
  <c r="D5477" i="4"/>
  <c r="D5478" i="4"/>
  <c r="D5479" i="4"/>
  <c r="D5480" i="4"/>
  <c r="D5481" i="4"/>
  <c r="D5482" i="4"/>
  <c r="D5483" i="4"/>
  <c r="D5484" i="4"/>
  <c r="D5485" i="4"/>
  <c r="D5486" i="4"/>
  <c r="D5487" i="4"/>
  <c r="D5488" i="4"/>
  <c r="D5489" i="4"/>
  <c r="D5490" i="4"/>
  <c r="D5491" i="4"/>
  <c r="D5492" i="4"/>
  <c r="D5493" i="4"/>
  <c r="D5494" i="4"/>
  <c r="D5495" i="4"/>
  <c r="D5496" i="4"/>
  <c r="D5497" i="4"/>
  <c r="D5498" i="4"/>
  <c r="D5499" i="4"/>
  <c r="D5500" i="4"/>
  <c r="D5501" i="4"/>
  <c r="D5502" i="4"/>
  <c r="D5503" i="4"/>
  <c r="D5504" i="4"/>
  <c r="D5505" i="4"/>
  <c r="D5506" i="4"/>
  <c r="D5507" i="4"/>
  <c r="D5508" i="4"/>
  <c r="D5509" i="4"/>
  <c r="D5510" i="4"/>
  <c r="D5511" i="4"/>
  <c r="D5512" i="4"/>
  <c r="D5513" i="4"/>
  <c r="D5514" i="4"/>
  <c r="D5515" i="4"/>
  <c r="D5516" i="4"/>
  <c r="D5517" i="4"/>
  <c r="D5518" i="4"/>
  <c r="D5519" i="4"/>
  <c r="D5520" i="4"/>
  <c r="D5521" i="4"/>
  <c r="D5522" i="4"/>
  <c r="D5523" i="4"/>
  <c r="D5524" i="4"/>
  <c r="D5525" i="4"/>
  <c r="D5526" i="4"/>
  <c r="D5527" i="4"/>
  <c r="D5528" i="4"/>
  <c r="D5529" i="4"/>
  <c r="D5530" i="4"/>
  <c r="D5531" i="4"/>
  <c r="D5532" i="4"/>
  <c r="D5533" i="4"/>
  <c r="D5534" i="4"/>
  <c r="D5535" i="4"/>
  <c r="D5536" i="4"/>
  <c r="D5537" i="4"/>
  <c r="D5538" i="4"/>
  <c r="D5539" i="4"/>
  <c r="D5540" i="4"/>
  <c r="D5541" i="4"/>
  <c r="D5542" i="4"/>
  <c r="D5543" i="4"/>
  <c r="D5544" i="4"/>
  <c r="D5545" i="4"/>
  <c r="D5546" i="4"/>
  <c r="D5547" i="4"/>
  <c r="D5548" i="4"/>
  <c r="D5549" i="4"/>
  <c r="D5550" i="4"/>
  <c r="D5551" i="4"/>
  <c r="D5552" i="4"/>
  <c r="D5553" i="4"/>
  <c r="D5554" i="4"/>
  <c r="D5555" i="4"/>
  <c r="D5556" i="4"/>
  <c r="D5557" i="4"/>
  <c r="D5558" i="4"/>
  <c r="D5559" i="4"/>
  <c r="D5560" i="4"/>
  <c r="D5561" i="4"/>
  <c r="D5562" i="4"/>
  <c r="D5563" i="4"/>
  <c r="D5564" i="4"/>
  <c r="D5565" i="4"/>
  <c r="D5566" i="4"/>
  <c r="D5567" i="4"/>
  <c r="D5568" i="4"/>
  <c r="D5569" i="4"/>
  <c r="D5570" i="4"/>
  <c r="D5571" i="4"/>
  <c r="D5572" i="4"/>
  <c r="D5573" i="4"/>
  <c r="D5574" i="4"/>
  <c r="D5575" i="4"/>
  <c r="D5576" i="4"/>
  <c r="D5577" i="4"/>
  <c r="D5578" i="4"/>
  <c r="D5579" i="4"/>
  <c r="D5580" i="4"/>
  <c r="D5581" i="4"/>
  <c r="D5582" i="4"/>
  <c r="D5583" i="4"/>
  <c r="D5584" i="4"/>
  <c r="D5585" i="4"/>
  <c r="D5586" i="4"/>
  <c r="D5587" i="4"/>
  <c r="D5588" i="4"/>
  <c r="D5589" i="4"/>
  <c r="D5590" i="4"/>
  <c r="D5591" i="4"/>
  <c r="D5592" i="4"/>
  <c r="D5593" i="4"/>
  <c r="D5594" i="4"/>
  <c r="D5595" i="4"/>
  <c r="D5596" i="4"/>
  <c r="D5597" i="4"/>
  <c r="D5598" i="4"/>
  <c r="D5599" i="4"/>
  <c r="D5600" i="4"/>
  <c r="D5601" i="4"/>
  <c r="D5602" i="4"/>
  <c r="D5603" i="4"/>
  <c r="D5604" i="4"/>
  <c r="D5605" i="4"/>
  <c r="D5606" i="4"/>
  <c r="D5607" i="4"/>
  <c r="D5608" i="4"/>
  <c r="D5609" i="4"/>
  <c r="D5610" i="4"/>
  <c r="D5611" i="4"/>
  <c r="D5612" i="4"/>
  <c r="D5613" i="4"/>
  <c r="D5614" i="4"/>
  <c r="D5615" i="4"/>
  <c r="D5616" i="4"/>
  <c r="D5617" i="4"/>
  <c r="D5618" i="4"/>
  <c r="D5619" i="4"/>
  <c r="D5620" i="4"/>
  <c r="D5621" i="4"/>
  <c r="D5622" i="4"/>
  <c r="D5623" i="4"/>
  <c r="D5624" i="4"/>
  <c r="D5625" i="4"/>
  <c r="D5626" i="4"/>
  <c r="D5627" i="4"/>
  <c r="D5628" i="4"/>
  <c r="D5629" i="4"/>
  <c r="D5630" i="4"/>
  <c r="D5631" i="4"/>
  <c r="D5632" i="4"/>
  <c r="D5633" i="4"/>
  <c r="D5634" i="4"/>
  <c r="D5635" i="4"/>
  <c r="D5636" i="4"/>
  <c r="D5637" i="4"/>
  <c r="D5638" i="4"/>
  <c r="D5639" i="4"/>
  <c r="D5640" i="4"/>
  <c r="D5641" i="4"/>
  <c r="D5642" i="4"/>
  <c r="D5643" i="4"/>
  <c r="D5644" i="4"/>
  <c r="D5645" i="4"/>
  <c r="D5646" i="4"/>
  <c r="D5647" i="4"/>
  <c r="D5648" i="4"/>
  <c r="D5649" i="4"/>
  <c r="D5650" i="4"/>
  <c r="D5651" i="4"/>
  <c r="D5652" i="4"/>
  <c r="D5653" i="4"/>
  <c r="D5654" i="4"/>
  <c r="D5655" i="4"/>
  <c r="D5656" i="4"/>
  <c r="D5657" i="4"/>
  <c r="D5658" i="4"/>
  <c r="D5659" i="4"/>
  <c r="D5660" i="4"/>
  <c r="D5661" i="4"/>
  <c r="D5662" i="4"/>
  <c r="D5663" i="4"/>
  <c r="D5664" i="4"/>
  <c r="D5665" i="4"/>
  <c r="D5666" i="4"/>
  <c r="D5667" i="4"/>
  <c r="D5668" i="4"/>
  <c r="D5669" i="4"/>
  <c r="D5670" i="4"/>
  <c r="D5671" i="4"/>
  <c r="D5672" i="4"/>
  <c r="D5673" i="4"/>
  <c r="D5674" i="4"/>
  <c r="D5675" i="4"/>
  <c r="D5676" i="4"/>
  <c r="D5677" i="4"/>
  <c r="D5678" i="4"/>
  <c r="D5679" i="4"/>
  <c r="D5680" i="4"/>
  <c r="D5681" i="4"/>
  <c r="D5682" i="4"/>
  <c r="D5683" i="4"/>
  <c r="D5684" i="4"/>
  <c r="D5685" i="4"/>
  <c r="D5686" i="4"/>
  <c r="D5687" i="4"/>
  <c r="D5688" i="4"/>
  <c r="D5689" i="4"/>
  <c r="D5690" i="4"/>
  <c r="D5691" i="4"/>
  <c r="D5692" i="4"/>
  <c r="D5693" i="4"/>
  <c r="D5694" i="4"/>
  <c r="D5695" i="4"/>
  <c r="D5696" i="4"/>
  <c r="D5697" i="4"/>
  <c r="D5698" i="4"/>
  <c r="D5699" i="4"/>
  <c r="D5700" i="4"/>
  <c r="D5701" i="4"/>
  <c r="D5702" i="4"/>
  <c r="D5703" i="4"/>
  <c r="D5704" i="4"/>
  <c r="D5705" i="4"/>
  <c r="D5706" i="4"/>
  <c r="D5707" i="4"/>
  <c r="D5708" i="4"/>
  <c r="D5709" i="4"/>
  <c r="D5710" i="4"/>
  <c r="D5711" i="4"/>
  <c r="D5712" i="4"/>
  <c r="D5713" i="4"/>
  <c r="D5714" i="4"/>
  <c r="D5715" i="4"/>
  <c r="D5716" i="4"/>
  <c r="D5717" i="4"/>
  <c r="D5718" i="4"/>
  <c r="D5719" i="4"/>
  <c r="D5720" i="4"/>
  <c r="D5721" i="4"/>
  <c r="D5722" i="4"/>
  <c r="D5723" i="4"/>
  <c r="D5724" i="4"/>
  <c r="D5725" i="4"/>
  <c r="D5726" i="4"/>
  <c r="D5727" i="4"/>
  <c r="D5728" i="4"/>
  <c r="D5729" i="4"/>
  <c r="D5730" i="4"/>
  <c r="D5731" i="4"/>
  <c r="D5732" i="4"/>
  <c r="D5733" i="4"/>
  <c r="D5734" i="4"/>
  <c r="D5735" i="4"/>
  <c r="D5736" i="4"/>
  <c r="D5737" i="4"/>
  <c r="D5738" i="4"/>
  <c r="D5739" i="4"/>
  <c r="D5740" i="4"/>
  <c r="D5741" i="4"/>
  <c r="D5742" i="4"/>
  <c r="D5743" i="4"/>
  <c r="D5744" i="4"/>
  <c r="D5745" i="4"/>
  <c r="D5746" i="4"/>
  <c r="D5747" i="4"/>
  <c r="D5748" i="4"/>
  <c r="D5749" i="4"/>
  <c r="D5750" i="4"/>
  <c r="D5751" i="4"/>
  <c r="D5752" i="4"/>
  <c r="D5753" i="4"/>
  <c r="D5754" i="4"/>
  <c r="D5755" i="4"/>
  <c r="D5756" i="4"/>
  <c r="D5757" i="4"/>
  <c r="D5758" i="4"/>
  <c r="D5759" i="4"/>
  <c r="D5760" i="4"/>
  <c r="D5761" i="4"/>
  <c r="D5762" i="4"/>
  <c r="D5763" i="4"/>
  <c r="D5764" i="4"/>
  <c r="D5765" i="4"/>
  <c r="D5766" i="4"/>
  <c r="D5767" i="4"/>
  <c r="D5768" i="4"/>
  <c r="D5769" i="4"/>
  <c r="D5770" i="4"/>
  <c r="D5771" i="4"/>
  <c r="D5772" i="4"/>
  <c r="D5773" i="4"/>
  <c r="D5774" i="4"/>
  <c r="D5775" i="4"/>
  <c r="D5776" i="4"/>
  <c r="D5777" i="4"/>
  <c r="D5778" i="4"/>
  <c r="D5779" i="4"/>
  <c r="D5780" i="4"/>
  <c r="D5781" i="4"/>
  <c r="D5782" i="4"/>
  <c r="D5783" i="4"/>
  <c r="D5784" i="4"/>
  <c r="D5785" i="4"/>
  <c r="D5786" i="4"/>
  <c r="D5787" i="4"/>
  <c r="D5788" i="4"/>
  <c r="D5789" i="4"/>
  <c r="D5790" i="4"/>
  <c r="D5791" i="4"/>
  <c r="D5792" i="4"/>
  <c r="D5793" i="4"/>
  <c r="D5794" i="4"/>
  <c r="D5795" i="4"/>
  <c r="D5796" i="4"/>
  <c r="D5797" i="4"/>
  <c r="D5798" i="4"/>
  <c r="D5799" i="4"/>
  <c r="D5800" i="4"/>
  <c r="D5801" i="4"/>
  <c r="D5802" i="4"/>
  <c r="D5803" i="4"/>
  <c r="D5804" i="4"/>
  <c r="D5805" i="4"/>
  <c r="D5806" i="4"/>
  <c r="D5807" i="4"/>
  <c r="D5808" i="4"/>
  <c r="D5809" i="4"/>
  <c r="D5810" i="4"/>
  <c r="D5811" i="4"/>
  <c r="D5812" i="4"/>
  <c r="D5813" i="4"/>
  <c r="D5814" i="4"/>
  <c r="D5815" i="4"/>
  <c r="D5816" i="4"/>
  <c r="D5817" i="4"/>
  <c r="D5818" i="4"/>
  <c r="D5819" i="4"/>
  <c r="D5820" i="4"/>
  <c r="D5821" i="4"/>
  <c r="D5822" i="4"/>
  <c r="D5823" i="4"/>
  <c r="D5824" i="4"/>
  <c r="D5825" i="4"/>
  <c r="D5826" i="4"/>
  <c r="D5827" i="4"/>
  <c r="D5828" i="4"/>
  <c r="D5829" i="4"/>
  <c r="D5830" i="4"/>
  <c r="D5831" i="4"/>
  <c r="D5832" i="4"/>
  <c r="D5833" i="4"/>
  <c r="D5834" i="4"/>
  <c r="D5835" i="4"/>
  <c r="D5836" i="4"/>
  <c r="D5837" i="4"/>
  <c r="D5838" i="4"/>
  <c r="D5839" i="4"/>
  <c r="D5840" i="4"/>
  <c r="D5841" i="4"/>
  <c r="D5842" i="4"/>
  <c r="D5843" i="4"/>
  <c r="D5844" i="4"/>
  <c r="D5845" i="4"/>
  <c r="D5846" i="4"/>
  <c r="D5847" i="4"/>
  <c r="D5848" i="4"/>
  <c r="D5849" i="4"/>
  <c r="D5850" i="4"/>
  <c r="D5851" i="4"/>
  <c r="D5852" i="4"/>
  <c r="D5853" i="4"/>
  <c r="D5854" i="4"/>
  <c r="D5855" i="4"/>
  <c r="D5856" i="4"/>
  <c r="D5857" i="4"/>
  <c r="D5858" i="4"/>
  <c r="D5859" i="4"/>
  <c r="D5860" i="4"/>
  <c r="D5861" i="4"/>
  <c r="D5862" i="4"/>
  <c r="D5863" i="4"/>
  <c r="D5864" i="4"/>
  <c r="D5865" i="4"/>
  <c r="D5866" i="4"/>
  <c r="D5867" i="4"/>
  <c r="D5868" i="4"/>
  <c r="D5869" i="4"/>
  <c r="D5870" i="4"/>
  <c r="D5871" i="4"/>
  <c r="D5872" i="4"/>
  <c r="D5873" i="4"/>
  <c r="D5874" i="4"/>
  <c r="D5875" i="4"/>
  <c r="D5876" i="4"/>
  <c r="D5877" i="4"/>
  <c r="D5878" i="4"/>
  <c r="D5879" i="4"/>
  <c r="D5880" i="4"/>
  <c r="D5881" i="4"/>
  <c r="D5882" i="4"/>
  <c r="D5883" i="4"/>
  <c r="D5884" i="4"/>
  <c r="D5885" i="4"/>
  <c r="D5886" i="4"/>
  <c r="D5887" i="4"/>
  <c r="D5888" i="4"/>
  <c r="D5889" i="4"/>
  <c r="D5890" i="4"/>
  <c r="D5891" i="4"/>
  <c r="D5892" i="4"/>
  <c r="D5893" i="4"/>
  <c r="D5894" i="4"/>
  <c r="D5895" i="4"/>
  <c r="D5896" i="4"/>
  <c r="D5897" i="4"/>
  <c r="D5898" i="4"/>
  <c r="D5899" i="4"/>
  <c r="D5900" i="4"/>
  <c r="D5901" i="4"/>
  <c r="D5902" i="4"/>
  <c r="D5903" i="4"/>
  <c r="D5904" i="4"/>
  <c r="D5905" i="4"/>
  <c r="D5906" i="4"/>
  <c r="D5907" i="4"/>
  <c r="D5908" i="4"/>
  <c r="D5909" i="4"/>
  <c r="D5910" i="4"/>
  <c r="D5911" i="4"/>
  <c r="D5912" i="4"/>
  <c r="D5913" i="4"/>
  <c r="D5914" i="4"/>
  <c r="D5915" i="4"/>
  <c r="D5916" i="4"/>
  <c r="D5917" i="4"/>
  <c r="D5918" i="4"/>
  <c r="D5919" i="4"/>
  <c r="D5920" i="4"/>
  <c r="D5921" i="4"/>
  <c r="D5922" i="4"/>
  <c r="D5923" i="4"/>
  <c r="D5924" i="4"/>
  <c r="D5925" i="4"/>
  <c r="D5926" i="4"/>
  <c r="D5927" i="4"/>
  <c r="D5928" i="4"/>
  <c r="D5929" i="4"/>
  <c r="D5930" i="4"/>
  <c r="D5931" i="4"/>
  <c r="D5932" i="4"/>
  <c r="D5933" i="4"/>
  <c r="D5934" i="4"/>
  <c r="D5935" i="4"/>
  <c r="D5936" i="4"/>
  <c r="D5937" i="4"/>
  <c r="D5938" i="4"/>
  <c r="D5939" i="4"/>
  <c r="D5940" i="4"/>
  <c r="D5941" i="4"/>
  <c r="D5942" i="4"/>
  <c r="D5943" i="4"/>
  <c r="D5944" i="4"/>
  <c r="D5945" i="4"/>
  <c r="D5946" i="4"/>
  <c r="D5947" i="4"/>
  <c r="D5948" i="4"/>
  <c r="D5949" i="4"/>
  <c r="D5950" i="4"/>
  <c r="D5951" i="4"/>
  <c r="D5952" i="4"/>
  <c r="D5953" i="4"/>
  <c r="D5954" i="4"/>
  <c r="D5955" i="4"/>
  <c r="D5956" i="4"/>
  <c r="D5957" i="4"/>
  <c r="D5958" i="4"/>
  <c r="D5959" i="4"/>
  <c r="D5960" i="4"/>
  <c r="D5961" i="4"/>
  <c r="D5962" i="4"/>
  <c r="D5963" i="4"/>
  <c r="D5964" i="4"/>
  <c r="D5965" i="4"/>
  <c r="D5966" i="4"/>
  <c r="D5967" i="4"/>
  <c r="D5968" i="4"/>
  <c r="D5969" i="4"/>
  <c r="D5970" i="4"/>
  <c r="D5971" i="4"/>
  <c r="D5972" i="4"/>
  <c r="D5973" i="4"/>
  <c r="D5974" i="4"/>
  <c r="D5975" i="4"/>
  <c r="D5976" i="4"/>
  <c r="D5977" i="4"/>
  <c r="D5978" i="4"/>
  <c r="D5979" i="4"/>
  <c r="D5980" i="4"/>
  <c r="D5981" i="4"/>
  <c r="D5982" i="4"/>
  <c r="D5983" i="4"/>
  <c r="D5984" i="4"/>
  <c r="D5985" i="4"/>
  <c r="D5986" i="4"/>
  <c r="D5987" i="4"/>
  <c r="D5988" i="4"/>
  <c r="D5989" i="4"/>
  <c r="D5990" i="4"/>
  <c r="D5991" i="4"/>
  <c r="D5992" i="4"/>
  <c r="D5993" i="4"/>
  <c r="D5994" i="4"/>
  <c r="D5995" i="4"/>
  <c r="D5996" i="4"/>
  <c r="D5997" i="4"/>
  <c r="D5998" i="4"/>
  <c r="D5999" i="4"/>
  <c r="D6000" i="4"/>
  <c r="D6001" i="4"/>
  <c r="D6002" i="4"/>
  <c r="D6003" i="4"/>
  <c r="D6004" i="4"/>
  <c r="D6005" i="4"/>
  <c r="D6006" i="4"/>
  <c r="D6007" i="4"/>
  <c r="D6008" i="4"/>
  <c r="D6009" i="4"/>
  <c r="D6010" i="4"/>
  <c r="D6011" i="4"/>
  <c r="D6012" i="4"/>
  <c r="D6013" i="4"/>
  <c r="D6014" i="4"/>
  <c r="D6015" i="4"/>
  <c r="D6016" i="4"/>
  <c r="D6017" i="4"/>
  <c r="D6018" i="4"/>
  <c r="D6019" i="4"/>
  <c r="D6020" i="4"/>
  <c r="D6021" i="4"/>
  <c r="D6022" i="4"/>
  <c r="D6023" i="4"/>
  <c r="D6024" i="4"/>
  <c r="D6025" i="4"/>
  <c r="D6026" i="4"/>
  <c r="D6027" i="4"/>
  <c r="D6028" i="4"/>
  <c r="D6029" i="4"/>
  <c r="D6030" i="4"/>
  <c r="D6031" i="4"/>
  <c r="D6032" i="4"/>
  <c r="D6033" i="4"/>
  <c r="D6034" i="4"/>
  <c r="D6035" i="4"/>
  <c r="D6036" i="4"/>
  <c r="D6037" i="4"/>
  <c r="D6038" i="4"/>
  <c r="D6039" i="4"/>
  <c r="D6040" i="4"/>
  <c r="D6041" i="4"/>
  <c r="D6042" i="4"/>
  <c r="D6043" i="4"/>
  <c r="D6044" i="4"/>
  <c r="D6045" i="4"/>
  <c r="D6046" i="4"/>
  <c r="D6047" i="4"/>
  <c r="D6048" i="4"/>
  <c r="D6049" i="4"/>
  <c r="D6050" i="4"/>
  <c r="D6051" i="4"/>
  <c r="D6052" i="4"/>
  <c r="D6053" i="4"/>
  <c r="D6054" i="4"/>
  <c r="D6055" i="4"/>
  <c r="D6056" i="4"/>
  <c r="D6057" i="4"/>
  <c r="D6058" i="4"/>
  <c r="D6059" i="4"/>
  <c r="D6060" i="4"/>
  <c r="D6061" i="4"/>
  <c r="D6062" i="4"/>
  <c r="D6063" i="4"/>
  <c r="D6064" i="4"/>
  <c r="D6065" i="4"/>
  <c r="D6066" i="4"/>
  <c r="D6067" i="4"/>
  <c r="D6068" i="4"/>
  <c r="D6069" i="4"/>
  <c r="D6070" i="4"/>
  <c r="D6071" i="4"/>
  <c r="D6072" i="4"/>
  <c r="D6073" i="4"/>
  <c r="D6074" i="4"/>
  <c r="D6075" i="4"/>
  <c r="D6076" i="4"/>
  <c r="D6077" i="4"/>
  <c r="D6078" i="4"/>
  <c r="D6079" i="4"/>
  <c r="D6080" i="4"/>
  <c r="D6081" i="4"/>
  <c r="D6082" i="4"/>
  <c r="D6083" i="4"/>
  <c r="D6084" i="4"/>
  <c r="D6085" i="4"/>
  <c r="D6086" i="4"/>
  <c r="D6087" i="4"/>
  <c r="D6088" i="4"/>
  <c r="D6089" i="4"/>
  <c r="D6090" i="4"/>
  <c r="D6091" i="4"/>
  <c r="D6092" i="4"/>
  <c r="D6093" i="4"/>
  <c r="D6094" i="4"/>
  <c r="D6095" i="4"/>
  <c r="D6096" i="4"/>
  <c r="D6097" i="4"/>
  <c r="D6098" i="4"/>
  <c r="D6099" i="4"/>
  <c r="D6100" i="4"/>
  <c r="D6101" i="4"/>
  <c r="D6102" i="4"/>
  <c r="D6103" i="4"/>
  <c r="D6104" i="4"/>
  <c r="D6105" i="4"/>
  <c r="D6106" i="4"/>
  <c r="D6107" i="4"/>
  <c r="D6108" i="4"/>
  <c r="D6109" i="4"/>
  <c r="D6110" i="4"/>
  <c r="D6111" i="4"/>
  <c r="D6112" i="4"/>
  <c r="D6113" i="4"/>
  <c r="D6114" i="4"/>
  <c r="D6115" i="4"/>
  <c r="D6116" i="4"/>
  <c r="D6117" i="4"/>
  <c r="D6118" i="4"/>
  <c r="D6119" i="4"/>
  <c r="D6120" i="4"/>
  <c r="D6121" i="4"/>
  <c r="D6122" i="4"/>
  <c r="D6123" i="4"/>
  <c r="D6124" i="4"/>
  <c r="D6125" i="4"/>
  <c r="D6126" i="4"/>
  <c r="D6127" i="4"/>
  <c r="D6128" i="4"/>
  <c r="D6129" i="4"/>
  <c r="D6130" i="4"/>
  <c r="D6131" i="4"/>
  <c r="D6132" i="4"/>
  <c r="D6133" i="4"/>
  <c r="D6134" i="4"/>
  <c r="D6135" i="4"/>
  <c r="D6136" i="4"/>
  <c r="D6137" i="4"/>
  <c r="D6138" i="4"/>
  <c r="D6139" i="4"/>
  <c r="D6140" i="4"/>
  <c r="D6141" i="4"/>
  <c r="D6142" i="4"/>
  <c r="D6143" i="4"/>
  <c r="D6144" i="4"/>
  <c r="D6145" i="4"/>
  <c r="D6146" i="4"/>
  <c r="D6147" i="4"/>
  <c r="D6148" i="4"/>
  <c r="D6149" i="4"/>
  <c r="D6150" i="4"/>
  <c r="D6151" i="4"/>
  <c r="D6152" i="4"/>
  <c r="D6153" i="4"/>
  <c r="D6154" i="4"/>
  <c r="D6155" i="4"/>
  <c r="D6156" i="4"/>
  <c r="D6157" i="4"/>
  <c r="D6158" i="4"/>
  <c r="D6159" i="4"/>
  <c r="D6160" i="4"/>
  <c r="D6161" i="4"/>
  <c r="D6162" i="4"/>
  <c r="D6163" i="4"/>
  <c r="D6164" i="4"/>
  <c r="D6165" i="4"/>
  <c r="D6166" i="4"/>
  <c r="D6167" i="4"/>
  <c r="D6168" i="4"/>
  <c r="D6169" i="4"/>
  <c r="D6170" i="4"/>
  <c r="D6171" i="4"/>
  <c r="D6172" i="4"/>
  <c r="D6173" i="4"/>
  <c r="D6174" i="4"/>
  <c r="D6175" i="4"/>
  <c r="D6176" i="4"/>
  <c r="D6177" i="4"/>
  <c r="D6178" i="4"/>
  <c r="D6179" i="4"/>
  <c r="D6180" i="4"/>
  <c r="D6181" i="4"/>
  <c r="D6182" i="4"/>
  <c r="D6183" i="4"/>
  <c r="D6184" i="4"/>
  <c r="D6185" i="4"/>
  <c r="D6186" i="4"/>
  <c r="D6187" i="4"/>
  <c r="D6188" i="4"/>
  <c r="D6189" i="4"/>
  <c r="D6190" i="4"/>
  <c r="D6191" i="4"/>
  <c r="D6192" i="4"/>
  <c r="D6193" i="4"/>
  <c r="D6194" i="4"/>
  <c r="D6195" i="4"/>
  <c r="D6196" i="4"/>
  <c r="D6197" i="4"/>
  <c r="D6198" i="4"/>
  <c r="D6199" i="4"/>
  <c r="D6200" i="4"/>
  <c r="D6201" i="4"/>
  <c r="D6202" i="4"/>
  <c r="D6203" i="4"/>
  <c r="D6204" i="4"/>
  <c r="D6205" i="4"/>
  <c r="D6206" i="4"/>
  <c r="D6207" i="4"/>
  <c r="D6208" i="4"/>
  <c r="D6209" i="4"/>
  <c r="D6210" i="4"/>
  <c r="D6211" i="4"/>
  <c r="D6212" i="4"/>
  <c r="D6213" i="4"/>
  <c r="D6214" i="4"/>
  <c r="D6215" i="4"/>
  <c r="D6216" i="4"/>
  <c r="D6217" i="4"/>
  <c r="D6218" i="4"/>
  <c r="D6219" i="4"/>
  <c r="D6220" i="4"/>
  <c r="D6221" i="4"/>
  <c r="D6222" i="4"/>
  <c r="D6223" i="4"/>
  <c r="D6224" i="4"/>
  <c r="D6225" i="4"/>
  <c r="D6226" i="4"/>
  <c r="D6227" i="4"/>
  <c r="D6228" i="4"/>
  <c r="D6229" i="4"/>
  <c r="D6230" i="4"/>
  <c r="D6231" i="4"/>
  <c r="D6232" i="4"/>
  <c r="D6233" i="4"/>
  <c r="D6234" i="4"/>
  <c r="D6235" i="4"/>
  <c r="D6236" i="4"/>
  <c r="D6237" i="4"/>
  <c r="D6238" i="4"/>
  <c r="D6239" i="4"/>
  <c r="D6240" i="4"/>
  <c r="D6241" i="4"/>
  <c r="D6242" i="4"/>
  <c r="D6243" i="4"/>
  <c r="D6244" i="4"/>
  <c r="D6245" i="4"/>
  <c r="D6246" i="4"/>
  <c r="D6247" i="4"/>
  <c r="D6248" i="4"/>
  <c r="D6249" i="4"/>
  <c r="D6250" i="4"/>
  <c r="D6251" i="4"/>
  <c r="D6252" i="4"/>
  <c r="D6253" i="4"/>
  <c r="D6254" i="4"/>
  <c r="D6255" i="4"/>
  <c r="D6256" i="4"/>
  <c r="D6257" i="4"/>
  <c r="D6258" i="4"/>
  <c r="D6259" i="4"/>
  <c r="D6260" i="4"/>
  <c r="D6261" i="4"/>
  <c r="D6262" i="4"/>
  <c r="D6263" i="4"/>
  <c r="D6264" i="4"/>
  <c r="D6265" i="4"/>
  <c r="D6266" i="4"/>
  <c r="D6267" i="4"/>
  <c r="D6268" i="4"/>
  <c r="D6269" i="4"/>
  <c r="D6270" i="4"/>
  <c r="D6271" i="4"/>
  <c r="D6272" i="4"/>
  <c r="D6273" i="4"/>
  <c r="D6274" i="4"/>
  <c r="D6275" i="4"/>
  <c r="D6276" i="4"/>
  <c r="D6277" i="4"/>
  <c r="D6278" i="4"/>
  <c r="D6279" i="4"/>
  <c r="D6280" i="4"/>
  <c r="D6281" i="4"/>
  <c r="D6282" i="4"/>
  <c r="D6283" i="4"/>
  <c r="D6284" i="4"/>
  <c r="D6285" i="4"/>
  <c r="D6286" i="4"/>
  <c r="D6287" i="4"/>
  <c r="D6288" i="4"/>
  <c r="D6289" i="4"/>
  <c r="D6290" i="4"/>
  <c r="D6291" i="4"/>
  <c r="D6292" i="4"/>
  <c r="D6293" i="4"/>
  <c r="D6294" i="4"/>
  <c r="D6295" i="4"/>
  <c r="D6296" i="4"/>
  <c r="D6297" i="4"/>
  <c r="D6298" i="4"/>
  <c r="D6299" i="4"/>
  <c r="D6300" i="4"/>
  <c r="D6301" i="4"/>
  <c r="D6302" i="4"/>
  <c r="D6303" i="4"/>
  <c r="D6304" i="4"/>
  <c r="D6305" i="4"/>
  <c r="D6306" i="4"/>
  <c r="D6307" i="4"/>
  <c r="D6308" i="4"/>
  <c r="D6309" i="4"/>
  <c r="D6310" i="4"/>
  <c r="D6311" i="4"/>
  <c r="D6312" i="4"/>
  <c r="D6313" i="4"/>
  <c r="D6314" i="4"/>
  <c r="D6315" i="4"/>
  <c r="D6316" i="4"/>
  <c r="D6317" i="4"/>
  <c r="D6318" i="4"/>
  <c r="D6319" i="4"/>
  <c r="D6320" i="4"/>
  <c r="D6321" i="4"/>
  <c r="D6322" i="4"/>
  <c r="D6323" i="4"/>
  <c r="D6324" i="4"/>
  <c r="D6325" i="4"/>
  <c r="D6326" i="4"/>
  <c r="D6327" i="4"/>
  <c r="D6328" i="4"/>
  <c r="D6329" i="4"/>
  <c r="D6330" i="4"/>
  <c r="D6331" i="4"/>
  <c r="D6332" i="4"/>
  <c r="D6333" i="4"/>
  <c r="D6334" i="4"/>
  <c r="D6335" i="4"/>
  <c r="D6336" i="4"/>
  <c r="D6337" i="4"/>
  <c r="D6338" i="4"/>
  <c r="D6339" i="4"/>
  <c r="D6340" i="4"/>
  <c r="D6341" i="4"/>
  <c r="D6342" i="4"/>
  <c r="D6343" i="4"/>
  <c r="D6344" i="4"/>
  <c r="D6345" i="4"/>
  <c r="D6346" i="4"/>
  <c r="D6347" i="4"/>
  <c r="D6348" i="4"/>
  <c r="D6349" i="4"/>
  <c r="D6350" i="4"/>
  <c r="D6351" i="4"/>
  <c r="D6352" i="4"/>
  <c r="D6353" i="4"/>
  <c r="D6354" i="4"/>
  <c r="D6355" i="4"/>
  <c r="D6356" i="4"/>
  <c r="D6357" i="4"/>
  <c r="D6358" i="4"/>
  <c r="D6359" i="4"/>
  <c r="D6360" i="4"/>
  <c r="D6361" i="4"/>
  <c r="D6362" i="4"/>
  <c r="D6363" i="4"/>
  <c r="D6364" i="4"/>
  <c r="D6365" i="4"/>
  <c r="D6366" i="4"/>
  <c r="D6367" i="4"/>
  <c r="D6368" i="4"/>
  <c r="D6369" i="4"/>
  <c r="D6370" i="4"/>
  <c r="D6371" i="4"/>
  <c r="D6372" i="4"/>
  <c r="D6373" i="4"/>
  <c r="D6374" i="4"/>
  <c r="D6375" i="4"/>
  <c r="D6376" i="4"/>
  <c r="D6377" i="4"/>
  <c r="D6378" i="4"/>
  <c r="D6379" i="4"/>
  <c r="D6380" i="4"/>
  <c r="D6381" i="4"/>
  <c r="D6382" i="4"/>
  <c r="D6383" i="4"/>
  <c r="D6384" i="4"/>
  <c r="D6385" i="4"/>
  <c r="D6386" i="4"/>
  <c r="D6387" i="4"/>
  <c r="D6388" i="4"/>
  <c r="D6389" i="4"/>
  <c r="D6390" i="4"/>
  <c r="D6391" i="4"/>
  <c r="D6392" i="4"/>
  <c r="D6393" i="4"/>
  <c r="D6394" i="4"/>
  <c r="D6395" i="4"/>
  <c r="D6396" i="4"/>
  <c r="D6397" i="4"/>
  <c r="D6398" i="4"/>
  <c r="D6399" i="4"/>
  <c r="D6400" i="4"/>
  <c r="D6401" i="4"/>
  <c r="D6402" i="4"/>
  <c r="D6403" i="4"/>
  <c r="D6404" i="4"/>
  <c r="D6405" i="4"/>
  <c r="D6406" i="4"/>
  <c r="D6407" i="4"/>
  <c r="D6408" i="4"/>
  <c r="D6409" i="4"/>
  <c r="D6410" i="4"/>
  <c r="D6411" i="4"/>
  <c r="D6412" i="4"/>
  <c r="D6413" i="4"/>
  <c r="D6414" i="4"/>
  <c r="D6415" i="4"/>
  <c r="D6416" i="4"/>
  <c r="D6417" i="4"/>
  <c r="D6418" i="4"/>
  <c r="D6419" i="4"/>
  <c r="D6420" i="4"/>
  <c r="D6421" i="4"/>
  <c r="D6422" i="4"/>
  <c r="D6423" i="4"/>
  <c r="D6424" i="4"/>
  <c r="D6425" i="4"/>
  <c r="D6426" i="4"/>
  <c r="D6427" i="4"/>
  <c r="D6428" i="4"/>
  <c r="D6429" i="4"/>
  <c r="D6430" i="4"/>
  <c r="D6431" i="4"/>
  <c r="D6432" i="4"/>
  <c r="D6433" i="4"/>
  <c r="D6434" i="4"/>
  <c r="D6435" i="4"/>
  <c r="D6436" i="4"/>
  <c r="D6437" i="4"/>
  <c r="D6438" i="4"/>
  <c r="D6439" i="4"/>
  <c r="D6440" i="4"/>
  <c r="D6441" i="4"/>
  <c r="D6442" i="4"/>
  <c r="D6443" i="4"/>
  <c r="D6444" i="4"/>
  <c r="D6445" i="4"/>
  <c r="D6446" i="4"/>
  <c r="D6447" i="4"/>
  <c r="D6448" i="4"/>
  <c r="D6449" i="4"/>
  <c r="D6450" i="4"/>
  <c r="D6451" i="4"/>
  <c r="D6452" i="4"/>
  <c r="D6453" i="4"/>
  <c r="D6454" i="4"/>
  <c r="D6455" i="4"/>
  <c r="D6456" i="4"/>
  <c r="D6457" i="4"/>
  <c r="D6458" i="4"/>
  <c r="D6459" i="4"/>
  <c r="D6460" i="4"/>
  <c r="D6461" i="4"/>
  <c r="D6462" i="4"/>
  <c r="D6463" i="4"/>
  <c r="D6464" i="4"/>
  <c r="D6465" i="4"/>
  <c r="D6466" i="4"/>
  <c r="D6467" i="4"/>
  <c r="D6468" i="4"/>
  <c r="D6469" i="4"/>
  <c r="D6470" i="4"/>
  <c r="D6471" i="4"/>
  <c r="D6472" i="4"/>
  <c r="D6473" i="4"/>
  <c r="D6474" i="4"/>
  <c r="D6475" i="4"/>
  <c r="D6476" i="4"/>
  <c r="D6477" i="4"/>
  <c r="D6478" i="4"/>
  <c r="D6479" i="4"/>
  <c r="D6480" i="4"/>
  <c r="D6481" i="4"/>
  <c r="D6482" i="4"/>
  <c r="D6483" i="4"/>
  <c r="D6484" i="4"/>
  <c r="D6485" i="4"/>
  <c r="D6486" i="4"/>
  <c r="D6487" i="4"/>
  <c r="D6488" i="4"/>
  <c r="D6489" i="4"/>
  <c r="D6490" i="4"/>
  <c r="D6491" i="4"/>
  <c r="D6492" i="4"/>
  <c r="D6493" i="4"/>
  <c r="D6494" i="4"/>
  <c r="D6495" i="4"/>
  <c r="D6496" i="4"/>
  <c r="D6497" i="4"/>
  <c r="D6498" i="4"/>
  <c r="D6499" i="4"/>
  <c r="D6500" i="4"/>
  <c r="D6501" i="4"/>
  <c r="D6502" i="4"/>
  <c r="D6503" i="4"/>
  <c r="D6504" i="4"/>
  <c r="D6505" i="4"/>
  <c r="D6506" i="4"/>
  <c r="D6507" i="4"/>
  <c r="D6508" i="4"/>
  <c r="D6509" i="4"/>
  <c r="D6510" i="4"/>
  <c r="D6511" i="4"/>
  <c r="D6512" i="4"/>
  <c r="D6513" i="4"/>
  <c r="D6514" i="4"/>
  <c r="D6515" i="4"/>
  <c r="D6516" i="4"/>
  <c r="D6517" i="4"/>
  <c r="D6518" i="4"/>
  <c r="D6519" i="4"/>
  <c r="D6520" i="4"/>
  <c r="D6521" i="4"/>
  <c r="D6522" i="4"/>
  <c r="D6523" i="4"/>
  <c r="D6524" i="4"/>
  <c r="D6525" i="4"/>
  <c r="D6526" i="4"/>
  <c r="D6527" i="4"/>
  <c r="D6528" i="4"/>
  <c r="D6529" i="4"/>
  <c r="D6530" i="4"/>
  <c r="D6531" i="4"/>
  <c r="D6532" i="4"/>
  <c r="D6533" i="4"/>
  <c r="D6534" i="4"/>
  <c r="D6535" i="4"/>
  <c r="D6536" i="4"/>
  <c r="D6537" i="4"/>
  <c r="D6538" i="4"/>
  <c r="D6539" i="4"/>
  <c r="D6540" i="4"/>
  <c r="D6541" i="4"/>
  <c r="D6542" i="4"/>
  <c r="D6543" i="4"/>
  <c r="D6544" i="4"/>
  <c r="D6545" i="4"/>
  <c r="D6546" i="4"/>
  <c r="D6547" i="4"/>
  <c r="D6548" i="4"/>
  <c r="D6549" i="4"/>
  <c r="D6550" i="4"/>
  <c r="D6551" i="4"/>
  <c r="D6552" i="4"/>
  <c r="D6553" i="4"/>
  <c r="D6554" i="4"/>
  <c r="D6555" i="4"/>
  <c r="D6556" i="4"/>
  <c r="D6557" i="4"/>
  <c r="D6558" i="4"/>
  <c r="D6559" i="4"/>
  <c r="D6560" i="4"/>
  <c r="D6561" i="4"/>
  <c r="D6562" i="4"/>
  <c r="D6563" i="4"/>
  <c r="D6564" i="4"/>
  <c r="D6565" i="4"/>
  <c r="D6566" i="4"/>
  <c r="D6567" i="4"/>
  <c r="D6568" i="4"/>
  <c r="D6569" i="4"/>
  <c r="D6570" i="4"/>
  <c r="D6571" i="4"/>
  <c r="D6572" i="4"/>
  <c r="D6573" i="4"/>
  <c r="D6574" i="4"/>
  <c r="D6575" i="4"/>
  <c r="D6576" i="4"/>
  <c r="D6577" i="4"/>
  <c r="D6578" i="4"/>
  <c r="D6579" i="4"/>
  <c r="D6580" i="4"/>
  <c r="D6581" i="4"/>
  <c r="D6582" i="4"/>
  <c r="D6583" i="4"/>
  <c r="D6584" i="4"/>
  <c r="D6585" i="4"/>
  <c r="D6586" i="4"/>
  <c r="D6587" i="4"/>
  <c r="D6588" i="4"/>
  <c r="D6589" i="4"/>
  <c r="D6590" i="4"/>
  <c r="D6591" i="4"/>
  <c r="D6592" i="4"/>
  <c r="D6593" i="4"/>
  <c r="D6594" i="4"/>
  <c r="D6595" i="4"/>
  <c r="D6596" i="4"/>
  <c r="D6597" i="4"/>
  <c r="D6598" i="4"/>
  <c r="D6599" i="4"/>
  <c r="D6600" i="4"/>
  <c r="D6601" i="4"/>
  <c r="D6602" i="4"/>
  <c r="D6603" i="4"/>
  <c r="D6604" i="4"/>
  <c r="D6605" i="4"/>
  <c r="D6606" i="4"/>
  <c r="D6607" i="4"/>
  <c r="D6608" i="4"/>
  <c r="D6609" i="4"/>
  <c r="D6610" i="4"/>
  <c r="D6611" i="4"/>
  <c r="D6612" i="4"/>
  <c r="D6613" i="4"/>
  <c r="D6614" i="4"/>
  <c r="D6615" i="4"/>
  <c r="D6616" i="4"/>
  <c r="D6617" i="4"/>
  <c r="D6618" i="4"/>
  <c r="D6619" i="4"/>
  <c r="D6620" i="4"/>
  <c r="D6621" i="4"/>
  <c r="D6622" i="4"/>
  <c r="D6623" i="4"/>
  <c r="D6624" i="4"/>
  <c r="D6625" i="4"/>
  <c r="D6626" i="4"/>
  <c r="D6627" i="4"/>
  <c r="D6628" i="4"/>
  <c r="D6629" i="4"/>
  <c r="D6630" i="4"/>
  <c r="D6631" i="4"/>
  <c r="D6632" i="4"/>
  <c r="D6633" i="4"/>
  <c r="D6634" i="4"/>
  <c r="D6635" i="4"/>
  <c r="D6636" i="4"/>
  <c r="D6637" i="4"/>
  <c r="D6638" i="4"/>
  <c r="D6639" i="4"/>
  <c r="D6640" i="4"/>
  <c r="D6641" i="4"/>
  <c r="D6642" i="4"/>
  <c r="D6643" i="4"/>
  <c r="D6644" i="4"/>
  <c r="D6645" i="4"/>
  <c r="D6646" i="4"/>
  <c r="D6647" i="4"/>
  <c r="D6648" i="4"/>
  <c r="D6649" i="4"/>
  <c r="D6650" i="4"/>
  <c r="D6651" i="4"/>
  <c r="D6652" i="4"/>
  <c r="D6653" i="4"/>
  <c r="D6654" i="4"/>
  <c r="D6655" i="4"/>
  <c r="D6656" i="4"/>
  <c r="D6657" i="4"/>
  <c r="D6658" i="4"/>
  <c r="D6659" i="4"/>
  <c r="D6660" i="4"/>
  <c r="D6661" i="4"/>
  <c r="D6662" i="4"/>
  <c r="D6663" i="4"/>
  <c r="D6664" i="4"/>
  <c r="D6665" i="4"/>
  <c r="D6666" i="4"/>
  <c r="D6667" i="4"/>
  <c r="D6668" i="4"/>
  <c r="D6669" i="4"/>
  <c r="D6670" i="4"/>
  <c r="D6671" i="4"/>
  <c r="D6672" i="4"/>
  <c r="D6673" i="4"/>
  <c r="D6674" i="4"/>
  <c r="D6675" i="4"/>
  <c r="D6676" i="4"/>
  <c r="D6677" i="4"/>
  <c r="D6678" i="4"/>
  <c r="D6679" i="4"/>
  <c r="D6680" i="4"/>
  <c r="D6681" i="4"/>
  <c r="D6682" i="4"/>
  <c r="D6683" i="4"/>
  <c r="D6684" i="4"/>
  <c r="D6685" i="4"/>
  <c r="D6686" i="4"/>
  <c r="D6687" i="4"/>
  <c r="D6688" i="4"/>
  <c r="D6689" i="4"/>
  <c r="D6690" i="4"/>
  <c r="D6691" i="4"/>
  <c r="D6692" i="4"/>
  <c r="D6693" i="4"/>
  <c r="D6694" i="4"/>
  <c r="D6695" i="4"/>
  <c r="D6696" i="4"/>
  <c r="D6697" i="4"/>
  <c r="D6698" i="4"/>
  <c r="D6699" i="4"/>
  <c r="D6700" i="4"/>
  <c r="D6701" i="4"/>
  <c r="D6702" i="4"/>
  <c r="D6703" i="4"/>
  <c r="D6704" i="4"/>
  <c r="D6705" i="4"/>
  <c r="D6706" i="4"/>
  <c r="D6707" i="4"/>
  <c r="D6708" i="4"/>
  <c r="D6709" i="4"/>
  <c r="D6710" i="4"/>
  <c r="D6711" i="4"/>
  <c r="D6712" i="4"/>
  <c r="D6713" i="4"/>
  <c r="D6714" i="4"/>
  <c r="D6715" i="4"/>
  <c r="D6716" i="4"/>
  <c r="D6717" i="4"/>
  <c r="D6718" i="4"/>
  <c r="D6719" i="4"/>
  <c r="D6720" i="4"/>
  <c r="D6721" i="4"/>
  <c r="D6722" i="4"/>
  <c r="D6723" i="4"/>
  <c r="D6724" i="4"/>
  <c r="D6725" i="4"/>
  <c r="D6726" i="4"/>
  <c r="D6727" i="4"/>
  <c r="D6728" i="4"/>
  <c r="D6729" i="4"/>
  <c r="D6730" i="4"/>
  <c r="D6731" i="4"/>
  <c r="D6732" i="4"/>
  <c r="D6733" i="4"/>
  <c r="D6734" i="4"/>
  <c r="D6735" i="4"/>
  <c r="D6736" i="4"/>
  <c r="D6737" i="4"/>
  <c r="D6738" i="4"/>
  <c r="D6739" i="4"/>
  <c r="D6740" i="4"/>
  <c r="D6741" i="4"/>
  <c r="D6742" i="4"/>
  <c r="D6743" i="4"/>
  <c r="D6744" i="4"/>
  <c r="D6745" i="4"/>
  <c r="D6746" i="4"/>
  <c r="D6747" i="4"/>
  <c r="D6748" i="4"/>
  <c r="D6749" i="4"/>
  <c r="D6750" i="4"/>
  <c r="D6751" i="4"/>
  <c r="D6752" i="4"/>
  <c r="D6753" i="4"/>
  <c r="D6754" i="4"/>
  <c r="D6755" i="4"/>
  <c r="D6756" i="4"/>
  <c r="D6757" i="4"/>
  <c r="D6758" i="4"/>
  <c r="D6759" i="4"/>
  <c r="D6760" i="4"/>
  <c r="D6761" i="4"/>
  <c r="D6762" i="4"/>
  <c r="D6763" i="4"/>
  <c r="D6764" i="4"/>
  <c r="D6765" i="4"/>
  <c r="D6766" i="4"/>
  <c r="D6767" i="4"/>
  <c r="D6768" i="4"/>
  <c r="D6769" i="4"/>
  <c r="D6770" i="4"/>
  <c r="D6771" i="4"/>
  <c r="D6772" i="4"/>
  <c r="D6773" i="4"/>
  <c r="D6774" i="4"/>
  <c r="D6775" i="4"/>
  <c r="D6776" i="4"/>
  <c r="D6777" i="4"/>
  <c r="D6778" i="4"/>
  <c r="D6779" i="4"/>
  <c r="D6780" i="4"/>
  <c r="D6781" i="4"/>
  <c r="D6782" i="4"/>
  <c r="D6783" i="4"/>
  <c r="D6784" i="4"/>
  <c r="D6785" i="4"/>
  <c r="D6786" i="4"/>
  <c r="D6787" i="4"/>
  <c r="D6788" i="4"/>
  <c r="D6789" i="4"/>
  <c r="D6790" i="4"/>
  <c r="D6791" i="4"/>
  <c r="D6792" i="4"/>
  <c r="D6793" i="4"/>
  <c r="D6794" i="4"/>
  <c r="D6795" i="4"/>
  <c r="D6796" i="4"/>
  <c r="D6797" i="4"/>
  <c r="D6798" i="4"/>
  <c r="D6799" i="4"/>
  <c r="D6800" i="4"/>
  <c r="D6801" i="4"/>
  <c r="D6802" i="4"/>
  <c r="D6803" i="4"/>
  <c r="D6804" i="4"/>
  <c r="D6805" i="4"/>
  <c r="D6806" i="4"/>
  <c r="D6807" i="4"/>
  <c r="D6808" i="4"/>
  <c r="D6809" i="4"/>
  <c r="D6810" i="4"/>
  <c r="D6811" i="4"/>
  <c r="D6812" i="4"/>
  <c r="D6813" i="4"/>
  <c r="D6814" i="4"/>
  <c r="D6815" i="4"/>
  <c r="D6816" i="4"/>
  <c r="D6817" i="4"/>
  <c r="D6818" i="4"/>
  <c r="D6819" i="4"/>
  <c r="D6820" i="4"/>
  <c r="D6821" i="4"/>
  <c r="D6822" i="4"/>
  <c r="D6823" i="4"/>
  <c r="D6824" i="4"/>
  <c r="D6825" i="4"/>
  <c r="D6826" i="4"/>
  <c r="D6827" i="4"/>
  <c r="D6828" i="4"/>
  <c r="D6829" i="4"/>
  <c r="D6830" i="4"/>
  <c r="D6831" i="4"/>
  <c r="D6832" i="4"/>
  <c r="D6833" i="4"/>
  <c r="D6834" i="4"/>
  <c r="D6835" i="4"/>
  <c r="D6836" i="4"/>
  <c r="D6837" i="4"/>
  <c r="D6838" i="4"/>
  <c r="D6839" i="4"/>
  <c r="D6840" i="4"/>
  <c r="D6841" i="4"/>
  <c r="D6842" i="4"/>
  <c r="D6843" i="4"/>
  <c r="D6844" i="4"/>
  <c r="D6845" i="4"/>
  <c r="D6846" i="4"/>
  <c r="D6847" i="4"/>
  <c r="D6848" i="4"/>
  <c r="D6849" i="4"/>
  <c r="D6850" i="4"/>
  <c r="D6851" i="4"/>
  <c r="D6852" i="4"/>
  <c r="D6853" i="4"/>
  <c r="D6854" i="4"/>
  <c r="D6855" i="4"/>
  <c r="D6856" i="4"/>
  <c r="D6857" i="4"/>
  <c r="D6858" i="4"/>
  <c r="D6859" i="4"/>
  <c r="D6860" i="4"/>
  <c r="D6861" i="4"/>
  <c r="D6862" i="4"/>
  <c r="D6863" i="4"/>
  <c r="D6864" i="4"/>
  <c r="D6865" i="4"/>
  <c r="D6866" i="4"/>
  <c r="D6867" i="4"/>
  <c r="D6868" i="4"/>
  <c r="D6869" i="4"/>
  <c r="D6870" i="4"/>
  <c r="D6871" i="4"/>
  <c r="D6872" i="4"/>
  <c r="D6873" i="4"/>
  <c r="D6874" i="4"/>
  <c r="D6875" i="4"/>
  <c r="D6876" i="4"/>
  <c r="D6877" i="4"/>
  <c r="D6878" i="4"/>
  <c r="D6879" i="4"/>
  <c r="D6880" i="4"/>
  <c r="D6881" i="4"/>
  <c r="D6882" i="4"/>
  <c r="D6883" i="4"/>
  <c r="D6884" i="4"/>
  <c r="D6885" i="4"/>
  <c r="D6886" i="4"/>
  <c r="D6887" i="4"/>
  <c r="D6888" i="4"/>
  <c r="D6889" i="4"/>
  <c r="D6890" i="4"/>
  <c r="D6891" i="4"/>
  <c r="D6892" i="4"/>
  <c r="D6893" i="4"/>
  <c r="D6894" i="4"/>
  <c r="D6895" i="4"/>
  <c r="D6896" i="4"/>
  <c r="D6897" i="4"/>
  <c r="D6898" i="4"/>
  <c r="D6899" i="4"/>
  <c r="D6900" i="4"/>
  <c r="D6901" i="4"/>
  <c r="D6902" i="4"/>
  <c r="D6903" i="4"/>
  <c r="D6904" i="4"/>
  <c r="D6905" i="4"/>
  <c r="D6906" i="4"/>
  <c r="D6907" i="4"/>
  <c r="D6908" i="4"/>
  <c r="D6909" i="4"/>
  <c r="D6910" i="4"/>
  <c r="D6911" i="4"/>
  <c r="D6912" i="4"/>
  <c r="D6913" i="4"/>
  <c r="D6914" i="4"/>
  <c r="D6915" i="4"/>
  <c r="D6916" i="4"/>
  <c r="D6917" i="4"/>
  <c r="D6918" i="4"/>
  <c r="D6919" i="4"/>
  <c r="D6920" i="4"/>
  <c r="D6921" i="4"/>
  <c r="D6922" i="4"/>
  <c r="D6923" i="4"/>
  <c r="D6924" i="4"/>
  <c r="D6925" i="4"/>
  <c r="D6926" i="4"/>
  <c r="D6927" i="4"/>
  <c r="D6928" i="4"/>
  <c r="D6929" i="4"/>
  <c r="D6930" i="4"/>
  <c r="D6931" i="4"/>
  <c r="D6932" i="4"/>
  <c r="D6933" i="4"/>
  <c r="D6934" i="4"/>
  <c r="D6935" i="4"/>
  <c r="D6936" i="4"/>
  <c r="D6937" i="4"/>
  <c r="D6938" i="4"/>
  <c r="D6939" i="4"/>
  <c r="D6940" i="4"/>
  <c r="D6941" i="4"/>
  <c r="D6942" i="4"/>
  <c r="D6943" i="4"/>
  <c r="D6944" i="4"/>
  <c r="D6945" i="4"/>
  <c r="D6946" i="4"/>
  <c r="D6947" i="4"/>
  <c r="D6948" i="4"/>
  <c r="D6949" i="4"/>
  <c r="D6950" i="4"/>
  <c r="D6951" i="4"/>
  <c r="D6952" i="4"/>
  <c r="D6953" i="4"/>
  <c r="D6954" i="4"/>
  <c r="D6955" i="4"/>
  <c r="D6956" i="4"/>
  <c r="D6957" i="4"/>
  <c r="D6958" i="4"/>
  <c r="D6959" i="4"/>
  <c r="D6960" i="4"/>
  <c r="D6961" i="4"/>
  <c r="D6962" i="4"/>
  <c r="D6963" i="4"/>
  <c r="D6964" i="4"/>
  <c r="D6965" i="4"/>
  <c r="D6966" i="4"/>
  <c r="D6967" i="4"/>
  <c r="D6968" i="4"/>
  <c r="D6969" i="4"/>
  <c r="D6970" i="4"/>
  <c r="D6971" i="4"/>
  <c r="D6972" i="4"/>
  <c r="D6973" i="4"/>
  <c r="D6974" i="4"/>
  <c r="D6975" i="4"/>
  <c r="D6976" i="4"/>
  <c r="D6977" i="4"/>
  <c r="D6978" i="4"/>
  <c r="D6979" i="4"/>
  <c r="D6980" i="4"/>
  <c r="D6981" i="4"/>
  <c r="D6982" i="4"/>
  <c r="D6983" i="4"/>
  <c r="D6984" i="4"/>
  <c r="D6985" i="4"/>
  <c r="D6986" i="4"/>
  <c r="D6987" i="4"/>
  <c r="D6988" i="4"/>
  <c r="D6989" i="4"/>
  <c r="D6990" i="4"/>
  <c r="D6991" i="4"/>
  <c r="D6992" i="4"/>
  <c r="D6993" i="4"/>
  <c r="D6994" i="4"/>
  <c r="D6995" i="4"/>
  <c r="D6996" i="4"/>
  <c r="D6997" i="4"/>
  <c r="D6998" i="4"/>
  <c r="D6999" i="4"/>
  <c r="D7000" i="4"/>
  <c r="D7001" i="4"/>
  <c r="D7002" i="4"/>
  <c r="D7003" i="4"/>
  <c r="D7004" i="4"/>
  <c r="D7005" i="4"/>
  <c r="D7006" i="4"/>
  <c r="D7007" i="4"/>
  <c r="D7008" i="4"/>
  <c r="D7009" i="4"/>
  <c r="D7010" i="4"/>
  <c r="D7011" i="4"/>
  <c r="D7012" i="4"/>
  <c r="D7013" i="4"/>
  <c r="D7014" i="4"/>
  <c r="D7015" i="4"/>
  <c r="D7016" i="4"/>
  <c r="D7017" i="4"/>
  <c r="D7018" i="4"/>
  <c r="D7019" i="4"/>
  <c r="D7020" i="4"/>
  <c r="D7021" i="4"/>
  <c r="D7022" i="4"/>
  <c r="D7023" i="4"/>
  <c r="D7024" i="4"/>
  <c r="D7025" i="4"/>
  <c r="D7026" i="4"/>
  <c r="D7027" i="4"/>
  <c r="D7028" i="4"/>
  <c r="D7029" i="4"/>
  <c r="D7030" i="4"/>
  <c r="D7031" i="4"/>
  <c r="D7032" i="4"/>
  <c r="D7033" i="4"/>
  <c r="D7034" i="4"/>
  <c r="D7035" i="4"/>
  <c r="D7036" i="4"/>
  <c r="D7037" i="4"/>
  <c r="D7038" i="4"/>
  <c r="D7039" i="4"/>
  <c r="D7040" i="4"/>
  <c r="D7041" i="4"/>
  <c r="D7042" i="4"/>
  <c r="D7043" i="4"/>
  <c r="D7044" i="4"/>
  <c r="D7045" i="4"/>
  <c r="D7046" i="4"/>
  <c r="D7047" i="4"/>
  <c r="D7048" i="4"/>
  <c r="D7049" i="4"/>
  <c r="D7050" i="4"/>
  <c r="D7051" i="4"/>
  <c r="D7052" i="4"/>
  <c r="D7053" i="4"/>
  <c r="D7054" i="4"/>
  <c r="D7055" i="4"/>
  <c r="D7056" i="4"/>
  <c r="D7057" i="4"/>
  <c r="D7058" i="4"/>
  <c r="D7059" i="4"/>
  <c r="D7060" i="4"/>
  <c r="D7061" i="4"/>
  <c r="D7062" i="4"/>
  <c r="D7063" i="4"/>
  <c r="D7064" i="4"/>
  <c r="D7065" i="4"/>
  <c r="D7066" i="4"/>
  <c r="D7067" i="4"/>
  <c r="D7068" i="4"/>
  <c r="D7069" i="4"/>
  <c r="D7070" i="4"/>
  <c r="D7071" i="4"/>
  <c r="D7072" i="4"/>
  <c r="D7073" i="4"/>
  <c r="D7074" i="4"/>
  <c r="D7075" i="4"/>
  <c r="D7076" i="4"/>
  <c r="D7077" i="4"/>
  <c r="D7078" i="4"/>
  <c r="D7079" i="4"/>
  <c r="D7080" i="4"/>
  <c r="D7081" i="4"/>
  <c r="D7082" i="4"/>
  <c r="D7083" i="4"/>
  <c r="D7084" i="4"/>
  <c r="D7085" i="4"/>
  <c r="D7086" i="4"/>
  <c r="D7087" i="4"/>
  <c r="D7088" i="4"/>
  <c r="D7089" i="4"/>
  <c r="D7090" i="4"/>
  <c r="D7091" i="4"/>
  <c r="D7092" i="4"/>
  <c r="D7093" i="4"/>
  <c r="D7094" i="4"/>
  <c r="D7095" i="4"/>
  <c r="D7096" i="4"/>
  <c r="D7097" i="4"/>
  <c r="D7098" i="4"/>
  <c r="D7099" i="4"/>
  <c r="D7100" i="4"/>
  <c r="D7101" i="4"/>
  <c r="D7102" i="4"/>
  <c r="D7103" i="4"/>
  <c r="D7104" i="4"/>
  <c r="D7105" i="4"/>
  <c r="D7106" i="4"/>
  <c r="D7107" i="4"/>
  <c r="D7108" i="4"/>
  <c r="D7109" i="4"/>
  <c r="D7110" i="4"/>
  <c r="D7111" i="4"/>
  <c r="D7112" i="4"/>
  <c r="D7113" i="4"/>
  <c r="D7114" i="4"/>
  <c r="D7115" i="4"/>
  <c r="D7116" i="4"/>
  <c r="D7117" i="4"/>
  <c r="D7118" i="4"/>
  <c r="D7119" i="4"/>
  <c r="D7120" i="4"/>
  <c r="D7121" i="4"/>
  <c r="D7122" i="4"/>
  <c r="D7123" i="4"/>
  <c r="D7124" i="4"/>
  <c r="D7125" i="4"/>
  <c r="D7126" i="4"/>
  <c r="D7127" i="4"/>
  <c r="D7128" i="4"/>
  <c r="D7129" i="4"/>
  <c r="D7130" i="4"/>
  <c r="D7131" i="4"/>
  <c r="D7132" i="4"/>
  <c r="D7133" i="4"/>
  <c r="D7134" i="4"/>
  <c r="D7135" i="4"/>
  <c r="D7136" i="4"/>
  <c r="D7137" i="4"/>
  <c r="D7138" i="4"/>
  <c r="D7139" i="4"/>
  <c r="D7140" i="4"/>
  <c r="D7141" i="4"/>
  <c r="D7142" i="4"/>
  <c r="D7143" i="4"/>
  <c r="D7144" i="4"/>
  <c r="D7145" i="4"/>
  <c r="D7146" i="4"/>
  <c r="D7147" i="4"/>
  <c r="D7148" i="4"/>
  <c r="D7149" i="4"/>
  <c r="D7150" i="4"/>
  <c r="D7151" i="4"/>
  <c r="D7152" i="4"/>
  <c r="D7153" i="4"/>
  <c r="D7154" i="4"/>
  <c r="D7155" i="4"/>
  <c r="D7156" i="4"/>
  <c r="D7157" i="4"/>
  <c r="D7158" i="4"/>
  <c r="D7159" i="4"/>
  <c r="D7160" i="4"/>
  <c r="D7161" i="4"/>
  <c r="D7162" i="4"/>
  <c r="D7163" i="4"/>
  <c r="D7164" i="4"/>
  <c r="D7165" i="4"/>
  <c r="D7166" i="4"/>
  <c r="D7167" i="4"/>
  <c r="D7168" i="4"/>
  <c r="D7169" i="4"/>
  <c r="D7170" i="4"/>
  <c r="D7171" i="4"/>
  <c r="D7172" i="4"/>
  <c r="D7173" i="4"/>
  <c r="D7174" i="4"/>
  <c r="D7175" i="4"/>
  <c r="D7176" i="4"/>
  <c r="D7177" i="4"/>
  <c r="D7178" i="4"/>
  <c r="D7179" i="4"/>
  <c r="D7180" i="4"/>
  <c r="D7181" i="4"/>
  <c r="D7182" i="4"/>
  <c r="D7183" i="4"/>
  <c r="D7184" i="4"/>
  <c r="D7185" i="4"/>
  <c r="D7186" i="4"/>
  <c r="D7187" i="4"/>
  <c r="D7188" i="4"/>
  <c r="D7189" i="4"/>
  <c r="D7190" i="4"/>
  <c r="D7191" i="4"/>
  <c r="D7192" i="4"/>
  <c r="D7193" i="4"/>
  <c r="D7194" i="4"/>
  <c r="D7195" i="4"/>
  <c r="D7196" i="4"/>
  <c r="D7197" i="4"/>
  <c r="D7198" i="4"/>
  <c r="D7199" i="4"/>
  <c r="D7200" i="4"/>
  <c r="D7201" i="4"/>
  <c r="D7202" i="4"/>
  <c r="D7203" i="4"/>
  <c r="D7204" i="4"/>
  <c r="D7205" i="4"/>
  <c r="D7206" i="4"/>
  <c r="D7207" i="4"/>
  <c r="D7208" i="4"/>
  <c r="D7209" i="4"/>
  <c r="D7210" i="4"/>
  <c r="D7211" i="4"/>
  <c r="D7212" i="4"/>
  <c r="D7213" i="4"/>
  <c r="D7214" i="4"/>
  <c r="D7215" i="4"/>
  <c r="D7216" i="4"/>
  <c r="D7217" i="4"/>
  <c r="D7218" i="4"/>
  <c r="D7219" i="4"/>
  <c r="D7220" i="4"/>
  <c r="D7221" i="4"/>
  <c r="D7222" i="4"/>
  <c r="D7223" i="4"/>
  <c r="D7224" i="4"/>
  <c r="D7225" i="4"/>
  <c r="D7226" i="4"/>
  <c r="D7227" i="4"/>
  <c r="D7228" i="4"/>
  <c r="D7229" i="4"/>
  <c r="D7230" i="4"/>
  <c r="D7231" i="4"/>
  <c r="D7232" i="4"/>
  <c r="D7233" i="4"/>
  <c r="D7234" i="4"/>
  <c r="D7235" i="4"/>
  <c r="D7236" i="4"/>
  <c r="D7237" i="4"/>
  <c r="D7238" i="4"/>
  <c r="D7239" i="4"/>
  <c r="D7240" i="4"/>
  <c r="D7241" i="4"/>
  <c r="D7242" i="4"/>
  <c r="D7243" i="4"/>
  <c r="D7244" i="4"/>
  <c r="D7245" i="4"/>
  <c r="D7246" i="4"/>
  <c r="D7247" i="4"/>
  <c r="D7248" i="4"/>
  <c r="D7249" i="4"/>
  <c r="D7250" i="4"/>
  <c r="D7251" i="4"/>
  <c r="D7252" i="4"/>
  <c r="D7253" i="4"/>
  <c r="D7254" i="4"/>
  <c r="D7255" i="4"/>
  <c r="D7256" i="4"/>
  <c r="D7257" i="4"/>
  <c r="D7258" i="4"/>
  <c r="D7259" i="4"/>
  <c r="D7260" i="4"/>
  <c r="D7261" i="4"/>
  <c r="D7262" i="4"/>
  <c r="D7263" i="4"/>
  <c r="D7264" i="4"/>
  <c r="D7265" i="4"/>
  <c r="D7266" i="4"/>
  <c r="D7267" i="4"/>
  <c r="D7268" i="4"/>
  <c r="D7269" i="4"/>
  <c r="D7270" i="4"/>
  <c r="D7271" i="4"/>
  <c r="D7272" i="4"/>
  <c r="D7273" i="4"/>
  <c r="D7274" i="4"/>
  <c r="D7275" i="4"/>
  <c r="D7276" i="4"/>
  <c r="D7277" i="4"/>
  <c r="D7278" i="4"/>
  <c r="D7279" i="4"/>
  <c r="D7280" i="4"/>
  <c r="D7281" i="4"/>
  <c r="D7282" i="4"/>
  <c r="D7283" i="4"/>
  <c r="D7284" i="4"/>
  <c r="D7285" i="4"/>
  <c r="D7286" i="4"/>
  <c r="D7287" i="4"/>
  <c r="D7288" i="4"/>
  <c r="D7289" i="4"/>
  <c r="D7290" i="4"/>
  <c r="D7291" i="4"/>
  <c r="D7292" i="4"/>
  <c r="D7293" i="4"/>
  <c r="D7294" i="4"/>
  <c r="D7295" i="4"/>
  <c r="D7296" i="4"/>
  <c r="D7297" i="4"/>
  <c r="D7298" i="4"/>
  <c r="D7299" i="4"/>
  <c r="D7300" i="4"/>
  <c r="D7301" i="4"/>
  <c r="D7302" i="4"/>
  <c r="D7303" i="4"/>
  <c r="D7304" i="4"/>
  <c r="D7305" i="4"/>
  <c r="D7306" i="4"/>
  <c r="D7307" i="4"/>
  <c r="D7308" i="4"/>
  <c r="D7309" i="4"/>
  <c r="D7310" i="4"/>
  <c r="D7311" i="4"/>
  <c r="D7312" i="4"/>
  <c r="D7313" i="4"/>
  <c r="D7314" i="4"/>
  <c r="D7315" i="4"/>
  <c r="D7316" i="4"/>
  <c r="D7317" i="4"/>
  <c r="D7318" i="4"/>
  <c r="D7319" i="4"/>
  <c r="D7320" i="4"/>
  <c r="D7321" i="4"/>
  <c r="D7322" i="4"/>
  <c r="D7323" i="4"/>
  <c r="D7324" i="4"/>
  <c r="D7325" i="4"/>
  <c r="D7326" i="4"/>
  <c r="D7327" i="4"/>
  <c r="D7328" i="4"/>
  <c r="D7329" i="4"/>
  <c r="D7330" i="4"/>
  <c r="D7331" i="4"/>
  <c r="D7332" i="4"/>
  <c r="D7333" i="4"/>
  <c r="D7334" i="4"/>
  <c r="D7335" i="4"/>
  <c r="D7336" i="4"/>
  <c r="D7337" i="4"/>
  <c r="D7338" i="4"/>
  <c r="D7339" i="4"/>
  <c r="D7340" i="4"/>
  <c r="D7341" i="4"/>
  <c r="D7342" i="4"/>
  <c r="D7343" i="4"/>
  <c r="D7344" i="4"/>
  <c r="D7345" i="4"/>
  <c r="D7346" i="4"/>
  <c r="D7347" i="4"/>
  <c r="D7348" i="4"/>
  <c r="D7349" i="4"/>
  <c r="D7350" i="4"/>
  <c r="D7351" i="4"/>
  <c r="D7352" i="4"/>
  <c r="D7353" i="4"/>
  <c r="D7354" i="4"/>
  <c r="D7355" i="4"/>
  <c r="D7356" i="4"/>
  <c r="D7357" i="4"/>
  <c r="D7358" i="4"/>
  <c r="D7359" i="4"/>
  <c r="D7360" i="4"/>
  <c r="D7361" i="4"/>
  <c r="D7362" i="4"/>
  <c r="D7363" i="4"/>
  <c r="D7364" i="4"/>
  <c r="D7365" i="4"/>
  <c r="D7366" i="4"/>
  <c r="D7367" i="4"/>
  <c r="D7368" i="4"/>
  <c r="D7369" i="4"/>
  <c r="D7370" i="4"/>
  <c r="D7371" i="4"/>
  <c r="D7372" i="4"/>
  <c r="D7373" i="4"/>
  <c r="D7374" i="4"/>
  <c r="D7375" i="4"/>
  <c r="D7376" i="4"/>
  <c r="D7377" i="4"/>
  <c r="D7378" i="4"/>
  <c r="D7379" i="4"/>
  <c r="D7380" i="4"/>
  <c r="D7381" i="4"/>
  <c r="D7382" i="4"/>
  <c r="D7383" i="4"/>
  <c r="D7384" i="4"/>
  <c r="D7385" i="4"/>
  <c r="D7386" i="4"/>
  <c r="D7387" i="4"/>
  <c r="D7388" i="4"/>
  <c r="D7389" i="4"/>
  <c r="D7390" i="4"/>
  <c r="D7391" i="4"/>
  <c r="D7392" i="4"/>
  <c r="D7393" i="4"/>
  <c r="D7394" i="4"/>
  <c r="D7395" i="4"/>
  <c r="D7396" i="4"/>
  <c r="D7397" i="4"/>
  <c r="D7398" i="4"/>
  <c r="D7399" i="4"/>
  <c r="D7400" i="4"/>
  <c r="D7401" i="4"/>
  <c r="D7402" i="4"/>
  <c r="D7403" i="4"/>
  <c r="D7404" i="4"/>
  <c r="D7405" i="4"/>
  <c r="D7406" i="4"/>
  <c r="D7407" i="4"/>
  <c r="D7408" i="4"/>
  <c r="D7409" i="4"/>
  <c r="D7410" i="4"/>
  <c r="D7411" i="4"/>
  <c r="D7412" i="4"/>
  <c r="D7413" i="4"/>
  <c r="D7414" i="4"/>
  <c r="D7415" i="4"/>
  <c r="D7416" i="4"/>
  <c r="D7417" i="4"/>
  <c r="D7418" i="4"/>
  <c r="D7419" i="4"/>
  <c r="D7420" i="4"/>
  <c r="D7421" i="4"/>
  <c r="D7422" i="4"/>
  <c r="D7423" i="4"/>
  <c r="D7424" i="4"/>
  <c r="D7425" i="4"/>
  <c r="D7426" i="4"/>
  <c r="D7427" i="4"/>
  <c r="D7428" i="4"/>
  <c r="D7429" i="4"/>
  <c r="D7430" i="4"/>
  <c r="D7431" i="4"/>
  <c r="D7432" i="4"/>
  <c r="D7433" i="4"/>
  <c r="D7434" i="4"/>
  <c r="D7435" i="4"/>
  <c r="D7436" i="4"/>
  <c r="D7437" i="4"/>
  <c r="D7438" i="4"/>
  <c r="D7439" i="4"/>
  <c r="D7440" i="4"/>
  <c r="D7441" i="4"/>
  <c r="D7442" i="4"/>
  <c r="D7443" i="4"/>
  <c r="D7444" i="4"/>
  <c r="D7445" i="4"/>
  <c r="D7446" i="4"/>
  <c r="D7447" i="4"/>
  <c r="D7448" i="4"/>
  <c r="D7449" i="4"/>
  <c r="D7450" i="4"/>
  <c r="D7451" i="4"/>
  <c r="D7452" i="4"/>
  <c r="D7453" i="4"/>
  <c r="D7454" i="4"/>
  <c r="D7455" i="4"/>
  <c r="D7456" i="4"/>
  <c r="D7457" i="4"/>
  <c r="D7458" i="4"/>
  <c r="D7459" i="4"/>
  <c r="D7460" i="4"/>
  <c r="D7461" i="4"/>
  <c r="D7462" i="4"/>
  <c r="D7463" i="4"/>
  <c r="D7464" i="4"/>
  <c r="D7465" i="4"/>
  <c r="D7466" i="4"/>
  <c r="D7467" i="4"/>
  <c r="D7468" i="4"/>
  <c r="D7469" i="4"/>
  <c r="D7470" i="4"/>
  <c r="D7471" i="4"/>
  <c r="D7472" i="4"/>
  <c r="D7473" i="4"/>
  <c r="D7474" i="4"/>
  <c r="D7475" i="4"/>
  <c r="D7476" i="4"/>
  <c r="D7477" i="4"/>
  <c r="D7478" i="4"/>
  <c r="D7479" i="4"/>
  <c r="D7480" i="4"/>
  <c r="D7481" i="4"/>
  <c r="D7482" i="4"/>
  <c r="D7483" i="4"/>
  <c r="D7484" i="4"/>
  <c r="D7485" i="4"/>
  <c r="D7486" i="4"/>
  <c r="D7487" i="4"/>
  <c r="D7488" i="4"/>
  <c r="D7489" i="4"/>
  <c r="D7490" i="4"/>
  <c r="D7491" i="4"/>
  <c r="D7492" i="4"/>
  <c r="D7493" i="4"/>
  <c r="D7494" i="4"/>
  <c r="D7495" i="4"/>
  <c r="D7496" i="4"/>
  <c r="D7497" i="4"/>
  <c r="D7498" i="4"/>
  <c r="D7499" i="4"/>
  <c r="D7500" i="4"/>
  <c r="D7501" i="4"/>
  <c r="D7502" i="4"/>
  <c r="D7503" i="4"/>
  <c r="D7504" i="4"/>
  <c r="D7505" i="4"/>
  <c r="D7506" i="4"/>
  <c r="D7507" i="4"/>
  <c r="D7508" i="4"/>
  <c r="D7509" i="4"/>
  <c r="D7510" i="4"/>
  <c r="D7511" i="4"/>
  <c r="D7512" i="4"/>
  <c r="D7513" i="4"/>
  <c r="D7514" i="4"/>
  <c r="D7515" i="4"/>
  <c r="D7516" i="4"/>
  <c r="D7517" i="4"/>
  <c r="D7518" i="4"/>
  <c r="D7519" i="4"/>
  <c r="D7520" i="4"/>
  <c r="D7521" i="4"/>
  <c r="D7522" i="4"/>
  <c r="D7523" i="4"/>
  <c r="D7524" i="4"/>
  <c r="D7525" i="4"/>
  <c r="D7526" i="4"/>
  <c r="D7527" i="4"/>
  <c r="D7528" i="4"/>
  <c r="D7529" i="4"/>
  <c r="D7530" i="4"/>
  <c r="D7531" i="4"/>
  <c r="D7532" i="4"/>
  <c r="D7533" i="4"/>
  <c r="D7534" i="4"/>
  <c r="D7535" i="4"/>
  <c r="D7536" i="4"/>
  <c r="D7537" i="4"/>
  <c r="D7538" i="4"/>
  <c r="D7539" i="4"/>
  <c r="D7540" i="4"/>
  <c r="D7541" i="4"/>
  <c r="D7542" i="4"/>
  <c r="D7543" i="4"/>
  <c r="D7544" i="4"/>
  <c r="D7545" i="4"/>
  <c r="D7546" i="4"/>
  <c r="D7547" i="4"/>
  <c r="D7548" i="4"/>
  <c r="D7549" i="4"/>
  <c r="D7550" i="4"/>
  <c r="D7551" i="4"/>
  <c r="D7552" i="4"/>
  <c r="D7553" i="4"/>
  <c r="D7554" i="4"/>
  <c r="D7555" i="4"/>
  <c r="D7556" i="4"/>
  <c r="D7557" i="4"/>
  <c r="D7558" i="4"/>
  <c r="D7559" i="4"/>
  <c r="D7560" i="4"/>
  <c r="D7561" i="4"/>
  <c r="D7562" i="4"/>
  <c r="D7563" i="4"/>
  <c r="D7564" i="4"/>
  <c r="D7565" i="4"/>
  <c r="D7566" i="4"/>
  <c r="D7567" i="4"/>
  <c r="D7568" i="4"/>
  <c r="D7569" i="4"/>
  <c r="D7570" i="4"/>
  <c r="D7571" i="4"/>
  <c r="D7572" i="4"/>
  <c r="D7573" i="4"/>
  <c r="D7574" i="4"/>
  <c r="D7575" i="4"/>
  <c r="D7576" i="4"/>
  <c r="D7577" i="4"/>
  <c r="D7578" i="4"/>
  <c r="D7579" i="4"/>
  <c r="D7580" i="4"/>
  <c r="D7581" i="4"/>
  <c r="D7582" i="4"/>
  <c r="D7583" i="4"/>
  <c r="D7584" i="4"/>
  <c r="D7585" i="4"/>
  <c r="D7586" i="4"/>
  <c r="D7587" i="4"/>
  <c r="D7588" i="4"/>
  <c r="D7589" i="4"/>
  <c r="D7590" i="4"/>
  <c r="D7591" i="4"/>
  <c r="D7592" i="4"/>
  <c r="D7593" i="4"/>
  <c r="D7594" i="4"/>
  <c r="D7595" i="4"/>
  <c r="D7596" i="4"/>
  <c r="D7597" i="4"/>
  <c r="D7598" i="4"/>
  <c r="D7599" i="4"/>
  <c r="D7600" i="4"/>
  <c r="D7601" i="4"/>
  <c r="D7602" i="4"/>
  <c r="D7603" i="4"/>
  <c r="D7604" i="4"/>
  <c r="D7605" i="4"/>
  <c r="D7606" i="4"/>
  <c r="D7607" i="4"/>
  <c r="D7608" i="4"/>
  <c r="D7609" i="4"/>
  <c r="D7610" i="4"/>
  <c r="D7611" i="4"/>
  <c r="D7612" i="4"/>
  <c r="D7613" i="4"/>
  <c r="D7614" i="4"/>
  <c r="D7615" i="4"/>
  <c r="D7616" i="4"/>
  <c r="D7617" i="4"/>
  <c r="D7618" i="4"/>
  <c r="D7619" i="4"/>
  <c r="D7620" i="4"/>
  <c r="D7621" i="4"/>
  <c r="D7622" i="4"/>
  <c r="D7623" i="4"/>
  <c r="D7624" i="4"/>
  <c r="D7625" i="4"/>
  <c r="D7626" i="4"/>
  <c r="D7627" i="4"/>
  <c r="D7628" i="4"/>
  <c r="D7629" i="4"/>
  <c r="D7630" i="4"/>
  <c r="D7631" i="4"/>
  <c r="D7632" i="4"/>
  <c r="D7633" i="4"/>
  <c r="D7634" i="4"/>
  <c r="D7635" i="4"/>
  <c r="D7636" i="4"/>
  <c r="D7637" i="4"/>
  <c r="D7638" i="4"/>
  <c r="D7639" i="4"/>
  <c r="D7640" i="4"/>
  <c r="D7641" i="4"/>
  <c r="D7642" i="4"/>
  <c r="D7643" i="4"/>
  <c r="D7644" i="4"/>
  <c r="D7645" i="4"/>
  <c r="D7646" i="4"/>
  <c r="D7647" i="4"/>
  <c r="D7648" i="4"/>
  <c r="D7649" i="4"/>
  <c r="D7650" i="4"/>
  <c r="D7651" i="4"/>
  <c r="D7652" i="4"/>
  <c r="D7653" i="4"/>
  <c r="D7654" i="4"/>
  <c r="D7655" i="4"/>
  <c r="D7656" i="4"/>
  <c r="D7657" i="4"/>
  <c r="D7658" i="4"/>
  <c r="D7659" i="4"/>
  <c r="D7660" i="4"/>
  <c r="D7661" i="4"/>
  <c r="D7662" i="4"/>
  <c r="D7663" i="4"/>
  <c r="D7664" i="4"/>
  <c r="D7665" i="4"/>
  <c r="D7666" i="4"/>
  <c r="D7667" i="4"/>
  <c r="D7668" i="4"/>
  <c r="D7669" i="4"/>
  <c r="D7670" i="4"/>
  <c r="D7671" i="4"/>
  <c r="D7672" i="4"/>
  <c r="D7673" i="4"/>
  <c r="D7674" i="4"/>
  <c r="D7675" i="4"/>
  <c r="D7676" i="4"/>
  <c r="D7677" i="4"/>
  <c r="D7678" i="4"/>
  <c r="D7679" i="4"/>
  <c r="D7680" i="4"/>
  <c r="D7681" i="4"/>
  <c r="D7682" i="4"/>
  <c r="D7683" i="4"/>
  <c r="D7684" i="4"/>
  <c r="D7685" i="4"/>
  <c r="D7686" i="4"/>
  <c r="D7687" i="4"/>
  <c r="D7688" i="4"/>
  <c r="D7689" i="4"/>
  <c r="D7690" i="4"/>
  <c r="D7691" i="4"/>
  <c r="D7692" i="4"/>
  <c r="D7693" i="4"/>
  <c r="D7694" i="4"/>
  <c r="D7695" i="4"/>
  <c r="D7696" i="4"/>
  <c r="D7697" i="4"/>
  <c r="D7698" i="4"/>
  <c r="D7699" i="4"/>
  <c r="D7700" i="4"/>
  <c r="D7701" i="4"/>
  <c r="D7702" i="4"/>
  <c r="D7703" i="4"/>
  <c r="D7704" i="4"/>
  <c r="D7705" i="4"/>
  <c r="D7706" i="4"/>
  <c r="D7707" i="4"/>
  <c r="D7708" i="4"/>
  <c r="D7709" i="4"/>
  <c r="D7710" i="4"/>
  <c r="D7711" i="4"/>
  <c r="D7712" i="4"/>
  <c r="D7713" i="4"/>
  <c r="D7714" i="4"/>
  <c r="D7715" i="4"/>
  <c r="D7716" i="4"/>
  <c r="D7717" i="4"/>
  <c r="D7718" i="4"/>
  <c r="D7719" i="4"/>
  <c r="D7720" i="4"/>
  <c r="D7721" i="4"/>
  <c r="D7722" i="4"/>
  <c r="D7723" i="4"/>
  <c r="D7724" i="4"/>
  <c r="D7725" i="4"/>
  <c r="D7726" i="4"/>
  <c r="D7727" i="4"/>
  <c r="D7728" i="4"/>
  <c r="D7729" i="4"/>
  <c r="D7730" i="4"/>
  <c r="D7731" i="4"/>
  <c r="D7732" i="4"/>
  <c r="D7733" i="4"/>
  <c r="D7734" i="4"/>
  <c r="D7735" i="4"/>
  <c r="D7736" i="4"/>
  <c r="D7737" i="4"/>
  <c r="D7738" i="4"/>
  <c r="D7739" i="4"/>
  <c r="D7740" i="4"/>
  <c r="D7741" i="4"/>
  <c r="D7742" i="4"/>
  <c r="D7743" i="4"/>
  <c r="D7744" i="4"/>
  <c r="D7745" i="4"/>
  <c r="D7746" i="4"/>
  <c r="D7747" i="4"/>
  <c r="D7748" i="4"/>
  <c r="D7749" i="4"/>
  <c r="D7750" i="4"/>
  <c r="D7751" i="4"/>
  <c r="D7752" i="4"/>
  <c r="D7753" i="4"/>
  <c r="D7754" i="4"/>
  <c r="D7755" i="4"/>
  <c r="D7756" i="4"/>
  <c r="D7757" i="4"/>
  <c r="D7758" i="4"/>
  <c r="D7759" i="4"/>
  <c r="D7760" i="4"/>
  <c r="D7761" i="4"/>
  <c r="D7762" i="4"/>
  <c r="D7763" i="4"/>
  <c r="D7764" i="4"/>
  <c r="D7765" i="4"/>
  <c r="D7766" i="4"/>
  <c r="D7767" i="4"/>
  <c r="D7768" i="4"/>
  <c r="D7769" i="4"/>
  <c r="D7770" i="4"/>
  <c r="D7771" i="4"/>
  <c r="D7772" i="4"/>
  <c r="D7773" i="4"/>
  <c r="D7774" i="4"/>
  <c r="D7775" i="4"/>
  <c r="D7776" i="4"/>
  <c r="D7777" i="4"/>
  <c r="D7778" i="4"/>
  <c r="D7779" i="4"/>
  <c r="D7780" i="4"/>
  <c r="D7781" i="4"/>
  <c r="D7782" i="4"/>
  <c r="D7783" i="4"/>
  <c r="D7784" i="4"/>
  <c r="D7785" i="4"/>
  <c r="D7786" i="4"/>
  <c r="D7787" i="4"/>
  <c r="D7788" i="4"/>
  <c r="D7789" i="4"/>
  <c r="D7790" i="4"/>
  <c r="D7791" i="4"/>
  <c r="D7792" i="4"/>
  <c r="D7793" i="4"/>
  <c r="D7794" i="4"/>
  <c r="D7795" i="4"/>
  <c r="D7796" i="4"/>
  <c r="D7797" i="4"/>
  <c r="D7798" i="4"/>
  <c r="D7799" i="4"/>
  <c r="D7800" i="4"/>
  <c r="D7801" i="4"/>
  <c r="D7802" i="4"/>
  <c r="D7803" i="4"/>
  <c r="D7804" i="4"/>
  <c r="D7805" i="4"/>
  <c r="D7806" i="4"/>
  <c r="D7807" i="4"/>
  <c r="D7808" i="4"/>
  <c r="D7809" i="4"/>
  <c r="D7810" i="4"/>
  <c r="D7811" i="4"/>
  <c r="D7812" i="4"/>
  <c r="D7813" i="4"/>
  <c r="D7814" i="4"/>
  <c r="D7815" i="4"/>
  <c r="D7816" i="4"/>
  <c r="D7817" i="4"/>
  <c r="D7818" i="4"/>
  <c r="D7819" i="4"/>
  <c r="D7820" i="4"/>
  <c r="D7821" i="4"/>
  <c r="D7822" i="4"/>
  <c r="D7823" i="4"/>
  <c r="D7824" i="4"/>
  <c r="D7825" i="4"/>
  <c r="D7826" i="4"/>
  <c r="D7827" i="4"/>
  <c r="D7828" i="4"/>
  <c r="D7829" i="4"/>
  <c r="D7830" i="4"/>
  <c r="D7831" i="4"/>
  <c r="D7832" i="4"/>
  <c r="D7833" i="4"/>
  <c r="D7834" i="4"/>
  <c r="D7835" i="4"/>
  <c r="D7836" i="4"/>
  <c r="D7837" i="4"/>
  <c r="D7838" i="4"/>
  <c r="D7839" i="4"/>
  <c r="D7840" i="4"/>
  <c r="D7841" i="4"/>
  <c r="D7842" i="4"/>
  <c r="D7843" i="4"/>
  <c r="D7844" i="4"/>
  <c r="D7845" i="4"/>
  <c r="D7846" i="4"/>
  <c r="D7847" i="4"/>
  <c r="D7848" i="4"/>
  <c r="D7849" i="4"/>
  <c r="D7850" i="4"/>
  <c r="D7851" i="4"/>
  <c r="D7852" i="4"/>
  <c r="D7853" i="4"/>
  <c r="D7854" i="4"/>
  <c r="D7855" i="4"/>
  <c r="D7856" i="4"/>
  <c r="D7857" i="4"/>
  <c r="D7858" i="4"/>
  <c r="D7859" i="4"/>
  <c r="D7860" i="4"/>
  <c r="D7861" i="4"/>
  <c r="D7862" i="4"/>
  <c r="D7863" i="4"/>
  <c r="D7864" i="4"/>
  <c r="D7865" i="4"/>
  <c r="D7866" i="4"/>
  <c r="D7867" i="4"/>
  <c r="D7868" i="4"/>
  <c r="D7869" i="4"/>
  <c r="D7870" i="4"/>
  <c r="D7871" i="4"/>
  <c r="D7872" i="4"/>
  <c r="D7873" i="4"/>
  <c r="D7874" i="4"/>
  <c r="D7875" i="4"/>
  <c r="D7876" i="4"/>
  <c r="D7877" i="4"/>
  <c r="D7878" i="4"/>
  <c r="D7879" i="4"/>
  <c r="D7880" i="4"/>
  <c r="D7881" i="4"/>
  <c r="D7882" i="4"/>
  <c r="D7883" i="4"/>
  <c r="D7884" i="4"/>
  <c r="D7885" i="4"/>
  <c r="D7886" i="4"/>
  <c r="D7887" i="4"/>
  <c r="D7888" i="4"/>
  <c r="D7889" i="4"/>
  <c r="D7890" i="4"/>
  <c r="D7891" i="4"/>
  <c r="D7892" i="4"/>
  <c r="D7893" i="4"/>
  <c r="D7894" i="4"/>
  <c r="D7895" i="4"/>
  <c r="D7896" i="4"/>
  <c r="D7897" i="4"/>
  <c r="D7898" i="4"/>
  <c r="D7899" i="4"/>
  <c r="D7900" i="4"/>
  <c r="D7901" i="4"/>
  <c r="D7902" i="4"/>
  <c r="D7903" i="4"/>
  <c r="D7904" i="4"/>
  <c r="D7905" i="4"/>
  <c r="D7906" i="4"/>
  <c r="D7907" i="4"/>
  <c r="D7908" i="4"/>
  <c r="D7909" i="4"/>
  <c r="D7910" i="4"/>
  <c r="D7911" i="4"/>
  <c r="D7912" i="4"/>
  <c r="D7913" i="4"/>
  <c r="D7914" i="4"/>
  <c r="D7915" i="4"/>
  <c r="D7916" i="4"/>
  <c r="D7917" i="4"/>
  <c r="D7918" i="4"/>
  <c r="D7919" i="4"/>
  <c r="D7920" i="4"/>
  <c r="D7921" i="4"/>
  <c r="D7922" i="4"/>
  <c r="D7923" i="4"/>
  <c r="D7924" i="4"/>
  <c r="D7925" i="4"/>
  <c r="D7926" i="4"/>
  <c r="D7927" i="4"/>
  <c r="D7928" i="4"/>
  <c r="D7929" i="4"/>
  <c r="D7930" i="4"/>
  <c r="D7931" i="4"/>
  <c r="D7932" i="4"/>
  <c r="D7933" i="4"/>
  <c r="D7934" i="4"/>
  <c r="D7935" i="4"/>
  <c r="D7936" i="4"/>
  <c r="D7937" i="4"/>
  <c r="D7938" i="4"/>
  <c r="D7939" i="4"/>
  <c r="D7940" i="4"/>
  <c r="D7941" i="4"/>
  <c r="D7942" i="4"/>
  <c r="D7943" i="4"/>
  <c r="D7944" i="4"/>
  <c r="D7945" i="4"/>
  <c r="D7946" i="4"/>
  <c r="D7947" i="4"/>
  <c r="D7948" i="4"/>
  <c r="D7949" i="4"/>
  <c r="D7950" i="4"/>
  <c r="D7951" i="4"/>
  <c r="D7952" i="4"/>
  <c r="D7953" i="4"/>
  <c r="D7954" i="4"/>
  <c r="D7955" i="4"/>
  <c r="D7956" i="4"/>
  <c r="D7957" i="4"/>
  <c r="D7958" i="4"/>
  <c r="D7959" i="4"/>
  <c r="D7960" i="4"/>
  <c r="D7961" i="4"/>
  <c r="D7962" i="4"/>
  <c r="D7963" i="4"/>
  <c r="D7964" i="4"/>
  <c r="D7965" i="4"/>
  <c r="D7966" i="4"/>
  <c r="D7967" i="4"/>
  <c r="D7968" i="4"/>
  <c r="D7969" i="4"/>
  <c r="D7970" i="4"/>
  <c r="D7971" i="4"/>
  <c r="D7972" i="4"/>
  <c r="D7973" i="4"/>
  <c r="D7974" i="4"/>
  <c r="D7975" i="4"/>
  <c r="D7976" i="4"/>
  <c r="D7977" i="4"/>
  <c r="D7978" i="4"/>
  <c r="D7979" i="4"/>
  <c r="D7980" i="4"/>
  <c r="D7981" i="4"/>
  <c r="D7982" i="4"/>
  <c r="D7983" i="4"/>
  <c r="D7984" i="4"/>
  <c r="D7985" i="4"/>
  <c r="D7986" i="4"/>
  <c r="D7987" i="4"/>
  <c r="D7988" i="4"/>
  <c r="D7989" i="4"/>
  <c r="D7990" i="4"/>
  <c r="D7991" i="4"/>
  <c r="D7992" i="4"/>
  <c r="D7993" i="4"/>
  <c r="D7994" i="4"/>
  <c r="D7995" i="4"/>
  <c r="D7996" i="4"/>
  <c r="D7997" i="4"/>
  <c r="D7998" i="4"/>
  <c r="D7999" i="4"/>
  <c r="D8000" i="4"/>
  <c r="D8001" i="4"/>
  <c r="D8002" i="4"/>
  <c r="D8003" i="4"/>
  <c r="D8004" i="4"/>
  <c r="D8005" i="4"/>
  <c r="D8006" i="4"/>
  <c r="D8007" i="4"/>
  <c r="D8008" i="4"/>
  <c r="D8009" i="4"/>
  <c r="D8010" i="4"/>
  <c r="D8011" i="4"/>
  <c r="D8012" i="4"/>
  <c r="D8013" i="4"/>
  <c r="D8014" i="4"/>
  <c r="D8015" i="4"/>
  <c r="D8016" i="4"/>
  <c r="D8017" i="4"/>
  <c r="D8018" i="4"/>
  <c r="D8019" i="4"/>
  <c r="D8020" i="4"/>
  <c r="D8021" i="4"/>
  <c r="D8022" i="4"/>
  <c r="D8023" i="4"/>
  <c r="D8024" i="4"/>
  <c r="D8025" i="4"/>
  <c r="D8026" i="4"/>
  <c r="D8027" i="4"/>
  <c r="D8028" i="4"/>
  <c r="D8029" i="4"/>
  <c r="D8030" i="4"/>
  <c r="D8031" i="4"/>
  <c r="D8032" i="4"/>
  <c r="D8033" i="4"/>
  <c r="D8034" i="4"/>
  <c r="D8035" i="4"/>
  <c r="D8036" i="4"/>
  <c r="D8037" i="4"/>
  <c r="D8038" i="4"/>
  <c r="D8039" i="4"/>
  <c r="D8040" i="4"/>
  <c r="D8041" i="4"/>
  <c r="D8042" i="4"/>
  <c r="D8043" i="4"/>
  <c r="D8044" i="4"/>
  <c r="D8045" i="4"/>
  <c r="D8046" i="4"/>
  <c r="D8047" i="4"/>
  <c r="D8048" i="4"/>
  <c r="D8049" i="4"/>
  <c r="D8050" i="4"/>
  <c r="D8051" i="4"/>
  <c r="D8052" i="4"/>
  <c r="D8053" i="4"/>
  <c r="D8054" i="4"/>
  <c r="D8055" i="4"/>
  <c r="D8056" i="4"/>
  <c r="D8057" i="4"/>
  <c r="D8058" i="4"/>
  <c r="D8059" i="4"/>
  <c r="D8060" i="4"/>
  <c r="D8061" i="4"/>
  <c r="D8062" i="4"/>
  <c r="D8063" i="4"/>
  <c r="D8064" i="4"/>
  <c r="D8065" i="4"/>
  <c r="D8066" i="4"/>
  <c r="D8067" i="4"/>
  <c r="D8068" i="4"/>
  <c r="D8069" i="4"/>
  <c r="D8070" i="4"/>
  <c r="D8071" i="4"/>
  <c r="D8072" i="4"/>
  <c r="D8073" i="4"/>
  <c r="D8074" i="4"/>
  <c r="D8075" i="4"/>
  <c r="D8076" i="4"/>
  <c r="D8077" i="4"/>
  <c r="D8078" i="4"/>
  <c r="D8079" i="4"/>
  <c r="D8080" i="4"/>
  <c r="D8081" i="4"/>
  <c r="D8082" i="4"/>
  <c r="D8083" i="4"/>
  <c r="D8084" i="4"/>
  <c r="D8085" i="4"/>
  <c r="D8086" i="4"/>
  <c r="D8087" i="4"/>
  <c r="D8088" i="4"/>
  <c r="D8089" i="4"/>
  <c r="D8090" i="4"/>
  <c r="D8091" i="4"/>
  <c r="D8092" i="4"/>
  <c r="D8093" i="4"/>
  <c r="D8094" i="4"/>
  <c r="D8095" i="4"/>
  <c r="D8096" i="4"/>
  <c r="D8097" i="4"/>
  <c r="D8098" i="4"/>
  <c r="D8099" i="4"/>
  <c r="D8100" i="4"/>
  <c r="D8101" i="4"/>
  <c r="D8102" i="4"/>
  <c r="D8103" i="4"/>
  <c r="D8104" i="4"/>
  <c r="D8105" i="4"/>
  <c r="D8106" i="4"/>
  <c r="D8107" i="4"/>
  <c r="D8108" i="4"/>
  <c r="D8109" i="4"/>
  <c r="D8110" i="4"/>
  <c r="D8111" i="4"/>
  <c r="D8112" i="4"/>
  <c r="D8113" i="4"/>
  <c r="D8114" i="4"/>
  <c r="D8115" i="4"/>
  <c r="D8116" i="4"/>
  <c r="D8117" i="4"/>
  <c r="D8118" i="4"/>
  <c r="D8119" i="4"/>
  <c r="D8120" i="4"/>
  <c r="D8121" i="4"/>
  <c r="D8122" i="4"/>
  <c r="D8123" i="4"/>
  <c r="D8124" i="4"/>
  <c r="D8125" i="4"/>
  <c r="D8126" i="4"/>
  <c r="D8127" i="4"/>
  <c r="D8128" i="4"/>
  <c r="D8129" i="4"/>
  <c r="D8130" i="4"/>
  <c r="D8131" i="4"/>
  <c r="D8132" i="4"/>
  <c r="D8133" i="4"/>
  <c r="D8134" i="4"/>
  <c r="D8135" i="4"/>
  <c r="D8136" i="4"/>
  <c r="D8137" i="4"/>
  <c r="D8138" i="4"/>
  <c r="D8139" i="4"/>
  <c r="D8140" i="4"/>
  <c r="D8141" i="4"/>
  <c r="D8142" i="4"/>
  <c r="D8143" i="4"/>
  <c r="D8144" i="4"/>
  <c r="D8145" i="4"/>
  <c r="D8146" i="4"/>
  <c r="D8147" i="4"/>
  <c r="D8148" i="4"/>
  <c r="D8149" i="4"/>
  <c r="D8150" i="4"/>
  <c r="D8151" i="4"/>
  <c r="D8152" i="4"/>
  <c r="D8153" i="4"/>
  <c r="D8154" i="4"/>
  <c r="D8155" i="4"/>
  <c r="D8156" i="4"/>
  <c r="D8157" i="4"/>
  <c r="D8158" i="4"/>
  <c r="D8159" i="4"/>
  <c r="D8160" i="4"/>
  <c r="D8161" i="4"/>
  <c r="D8162" i="4"/>
  <c r="D8163" i="4"/>
  <c r="D8164" i="4"/>
  <c r="D8165" i="4"/>
  <c r="D8166" i="4"/>
  <c r="D8167" i="4"/>
  <c r="D8168" i="4"/>
  <c r="D8169" i="4"/>
  <c r="D8170" i="4"/>
  <c r="D8171" i="4"/>
  <c r="D8172" i="4"/>
  <c r="D8173" i="4"/>
  <c r="D8174" i="4"/>
  <c r="D8175" i="4"/>
  <c r="D8176" i="4"/>
  <c r="D8177" i="4"/>
  <c r="D8178" i="4"/>
  <c r="D8179" i="4"/>
  <c r="D8180" i="4"/>
  <c r="D8181" i="4"/>
  <c r="D8182" i="4"/>
  <c r="D8183" i="4"/>
  <c r="D8184" i="4"/>
  <c r="D8185" i="4"/>
  <c r="D8186" i="4"/>
  <c r="D8187" i="4"/>
  <c r="D8188" i="4"/>
  <c r="D8189" i="4"/>
  <c r="D8190" i="4"/>
  <c r="D8191" i="4"/>
  <c r="D8192" i="4"/>
  <c r="D8193" i="4"/>
  <c r="D8194" i="4"/>
  <c r="D8195" i="4"/>
  <c r="D8196" i="4"/>
  <c r="D8197" i="4"/>
  <c r="D8198" i="4"/>
  <c r="D8199" i="4"/>
  <c r="D8200" i="4"/>
  <c r="D8201" i="4"/>
  <c r="D8202" i="4"/>
  <c r="D8203" i="4"/>
  <c r="D8204" i="4"/>
  <c r="D8205" i="4"/>
  <c r="D8206" i="4"/>
  <c r="D8207" i="4"/>
  <c r="D8208" i="4"/>
  <c r="D8209" i="4"/>
  <c r="D8210" i="4"/>
  <c r="D8211" i="4"/>
  <c r="D8212" i="4"/>
  <c r="D8213" i="4"/>
  <c r="D8214" i="4"/>
  <c r="D8215" i="4"/>
  <c r="D8216" i="4"/>
  <c r="D8217" i="4"/>
  <c r="D8218" i="4"/>
  <c r="D8219" i="4"/>
  <c r="D8220" i="4"/>
  <c r="D8221" i="4"/>
  <c r="D8222" i="4"/>
  <c r="D8223" i="4"/>
  <c r="D8224" i="4"/>
  <c r="D8225" i="4"/>
  <c r="D8226" i="4"/>
  <c r="D8227" i="4"/>
  <c r="D8228" i="4"/>
  <c r="D8229" i="4"/>
  <c r="D8230" i="4"/>
  <c r="D8231" i="4"/>
  <c r="D8232" i="4"/>
  <c r="D8233" i="4"/>
  <c r="D8234" i="4"/>
  <c r="D8235" i="4"/>
  <c r="D8236" i="4"/>
  <c r="D8237" i="4"/>
  <c r="D8238" i="4"/>
  <c r="D8239" i="4"/>
  <c r="D8240" i="4"/>
  <c r="D8241" i="4"/>
  <c r="D8242" i="4"/>
  <c r="D8243" i="4"/>
  <c r="D8244" i="4"/>
  <c r="D8245" i="4"/>
  <c r="D8246" i="4"/>
  <c r="D8247" i="4"/>
  <c r="D8248" i="4"/>
  <c r="D8249" i="4"/>
  <c r="D8250" i="4"/>
  <c r="D8251" i="4"/>
  <c r="D8252" i="4"/>
  <c r="D8253" i="4"/>
  <c r="D8254" i="4"/>
  <c r="D8255" i="4"/>
  <c r="D8256" i="4"/>
  <c r="D8257" i="4"/>
  <c r="D8258" i="4"/>
  <c r="D8259" i="4"/>
  <c r="D8260" i="4"/>
  <c r="D8261" i="4"/>
  <c r="D8262" i="4"/>
  <c r="D8263" i="4"/>
  <c r="D8264" i="4"/>
  <c r="D8265" i="4"/>
  <c r="D8266" i="4"/>
  <c r="D8267" i="4"/>
  <c r="D8268" i="4"/>
  <c r="D8269" i="4"/>
  <c r="D8270" i="4"/>
  <c r="D8271" i="4"/>
  <c r="D8272" i="4"/>
  <c r="D8273" i="4"/>
  <c r="D8274" i="4"/>
  <c r="D8275" i="4"/>
  <c r="D8276" i="4"/>
  <c r="D8277" i="4"/>
  <c r="D8278" i="4"/>
  <c r="D8279" i="4"/>
  <c r="D8280" i="4"/>
  <c r="D8281" i="4"/>
  <c r="D8282" i="4"/>
  <c r="D8283" i="4"/>
  <c r="D8284" i="4"/>
  <c r="D8285" i="4"/>
  <c r="D8286" i="4"/>
  <c r="D8287" i="4"/>
  <c r="D8288" i="4"/>
  <c r="D8289" i="4"/>
  <c r="D8290" i="4"/>
  <c r="D8291" i="4"/>
  <c r="D8292" i="4"/>
  <c r="D8293" i="4"/>
  <c r="D8294" i="4"/>
  <c r="D8295" i="4"/>
  <c r="D8296" i="4"/>
  <c r="D8297" i="4"/>
  <c r="D8298" i="4"/>
  <c r="D8299" i="4"/>
  <c r="D8300" i="4"/>
  <c r="D8301" i="4"/>
  <c r="D8302" i="4"/>
  <c r="D8303" i="4"/>
  <c r="D8304" i="4"/>
  <c r="D8305" i="4"/>
  <c r="D8306" i="4"/>
  <c r="D8307" i="4"/>
  <c r="D8308" i="4"/>
  <c r="D8309" i="4"/>
  <c r="D8310" i="4"/>
  <c r="D8311" i="4"/>
  <c r="D8312" i="4"/>
  <c r="D8313" i="4"/>
  <c r="D8314" i="4"/>
  <c r="D8315" i="4"/>
  <c r="D8316" i="4"/>
  <c r="D8317" i="4"/>
  <c r="D8318" i="4"/>
  <c r="D8319" i="4"/>
  <c r="D8320" i="4"/>
  <c r="D8321" i="4"/>
  <c r="D8322" i="4"/>
  <c r="D8323" i="4"/>
  <c r="D8324" i="4"/>
  <c r="D8325" i="4"/>
  <c r="D8326" i="4"/>
  <c r="D8327" i="4"/>
  <c r="D8328" i="4"/>
  <c r="D8329" i="4"/>
  <c r="D8330" i="4"/>
  <c r="D8331" i="4"/>
  <c r="D8332" i="4"/>
  <c r="D8333" i="4"/>
  <c r="D8334" i="4"/>
  <c r="D8335" i="4"/>
  <c r="D8336" i="4"/>
  <c r="D8337" i="4"/>
  <c r="D8338" i="4"/>
  <c r="D8339" i="4"/>
  <c r="D8340" i="4"/>
  <c r="D8341" i="4"/>
  <c r="D8342" i="4"/>
  <c r="D8343" i="4"/>
  <c r="D8344" i="4"/>
  <c r="D8345" i="4"/>
  <c r="D8346" i="4"/>
  <c r="D8347" i="4"/>
  <c r="D8348" i="4"/>
  <c r="D8349" i="4"/>
  <c r="D8350" i="4"/>
  <c r="D8351" i="4"/>
  <c r="D8352" i="4"/>
  <c r="D8353" i="4"/>
  <c r="D8354" i="4"/>
  <c r="D8355" i="4"/>
  <c r="D8356" i="4"/>
  <c r="D8357" i="4"/>
  <c r="D8358" i="4"/>
  <c r="D8359" i="4"/>
  <c r="D8360" i="4"/>
  <c r="D8361" i="4"/>
  <c r="D8362" i="4"/>
  <c r="D8363" i="4"/>
  <c r="D8364" i="4"/>
  <c r="D8365" i="4"/>
  <c r="D8366" i="4"/>
  <c r="D8367" i="4"/>
  <c r="D8368" i="4"/>
  <c r="D8369" i="4"/>
  <c r="D8370" i="4"/>
  <c r="D8371" i="4"/>
  <c r="D8372" i="4"/>
  <c r="D8373" i="4"/>
  <c r="D8374" i="4"/>
  <c r="D8375" i="4"/>
  <c r="D8376" i="4"/>
  <c r="D8377" i="4"/>
  <c r="D8378" i="4"/>
  <c r="D8379" i="4"/>
  <c r="D8380" i="4"/>
  <c r="D8381" i="4"/>
  <c r="D8382" i="4"/>
  <c r="D8383" i="4"/>
  <c r="D8384" i="4"/>
  <c r="D8385" i="4"/>
  <c r="D8386" i="4"/>
  <c r="D8387" i="4"/>
  <c r="D8388" i="4"/>
  <c r="D8389" i="4"/>
  <c r="D8390" i="4"/>
  <c r="D8391" i="4"/>
  <c r="D8392" i="4"/>
  <c r="D8393" i="4"/>
  <c r="D8394" i="4"/>
  <c r="D8395" i="4"/>
  <c r="D8396" i="4"/>
  <c r="D8397" i="4"/>
  <c r="D8398" i="4"/>
  <c r="D8399" i="4"/>
  <c r="D8400" i="4"/>
  <c r="D8401" i="4"/>
  <c r="D8402" i="4"/>
  <c r="D8403" i="4"/>
  <c r="D8404" i="4"/>
  <c r="D8405" i="4"/>
  <c r="D8406" i="4"/>
  <c r="D8407" i="4"/>
  <c r="D8408" i="4"/>
  <c r="D8409" i="4"/>
  <c r="D8410" i="4"/>
  <c r="D8411" i="4"/>
  <c r="D8412" i="4"/>
  <c r="D8413" i="4"/>
  <c r="D8414" i="4"/>
  <c r="D8415" i="4"/>
  <c r="D8416" i="4"/>
  <c r="D8417" i="4"/>
  <c r="D8418" i="4"/>
  <c r="D8419" i="4"/>
  <c r="D8420" i="4"/>
  <c r="D8421" i="4"/>
  <c r="D8422" i="4"/>
  <c r="D8423" i="4"/>
  <c r="D8424" i="4"/>
  <c r="D8425" i="4"/>
  <c r="D8426" i="4"/>
  <c r="D8427" i="4"/>
  <c r="D8428" i="4"/>
  <c r="D8429" i="4"/>
  <c r="D8430" i="4"/>
  <c r="D8431" i="4"/>
  <c r="D8432" i="4"/>
  <c r="D8433" i="4"/>
  <c r="D8434" i="4"/>
  <c r="D8435" i="4"/>
  <c r="D8436" i="4"/>
  <c r="D8437" i="4"/>
  <c r="D8438" i="4"/>
  <c r="D8439" i="4"/>
  <c r="D8440" i="4"/>
  <c r="D8441" i="4"/>
  <c r="D8442" i="4"/>
  <c r="D8443" i="4"/>
  <c r="D8444" i="4"/>
  <c r="D8445" i="4"/>
  <c r="D8446" i="4"/>
  <c r="D8447" i="4"/>
  <c r="D8448" i="4"/>
  <c r="D8449" i="4"/>
  <c r="D8450" i="4"/>
  <c r="D8451" i="4"/>
  <c r="D8452" i="4"/>
  <c r="D8453" i="4"/>
  <c r="D8454" i="4"/>
  <c r="D8455" i="4"/>
  <c r="D8456" i="4"/>
  <c r="D8457" i="4"/>
  <c r="D8458" i="4"/>
  <c r="D8459" i="4"/>
  <c r="D8460" i="4"/>
  <c r="D8461" i="4"/>
  <c r="D8462" i="4"/>
  <c r="D8463" i="4"/>
  <c r="D8464" i="4"/>
  <c r="D8465" i="4"/>
  <c r="D8466" i="4"/>
  <c r="D8467" i="4"/>
  <c r="D8468" i="4"/>
  <c r="D8469" i="4"/>
  <c r="D8470" i="4"/>
  <c r="D8471" i="4"/>
  <c r="D8472" i="4"/>
  <c r="D8473" i="4"/>
  <c r="D8474" i="4"/>
  <c r="D8475" i="4"/>
  <c r="D8476" i="4"/>
  <c r="D8477" i="4"/>
  <c r="D8478" i="4"/>
  <c r="D8479" i="4"/>
  <c r="D8480" i="4"/>
  <c r="D8481" i="4"/>
  <c r="D8482" i="4"/>
  <c r="D8483" i="4"/>
  <c r="D8484" i="4"/>
  <c r="D8485" i="4"/>
  <c r="D8486" i="4"/>
  <c r="D8487" i="4"/>
  <c r="D8488" i="4"/>
  <c r="D8489" i="4"/>
  <c r="D8490" i="4"/>
  <c r="D8491" i="4"/>
  <c r="D8492" i="4"/>
  <c r="D8493" i="4"/>
  <c r="D8494" i="4"/>
  <c r="D8495" i="4"/>
  <c r="D8496" i="4"/>
  <c r="D8497" i="4"/>
  <c r="D8498" i="4"/>
  <c r="D8499" i="4"/>
  <c r="D8500" i="4"/>
  <c r="D8501" i="4"/>
  <c r="D8502" i="4"/>
  <c r="D8503" i="4"/>
  <c r="D8504" i="4"/>
  <c r="D8505" i="4"/>
  <c r="D8506" i="4"/>
  <c r="D8507" i="4"/>
  <c r="D8508" i="4"/>
  <c r="D8509" i="4"/>
  <c r="D8510" i="4"/>
  <c r="D8511" i="4"/>
  <c r="D8512" i="4"/>
  <c r="D8513" i="4"/>
  <c r="D8514" i="4"/>
  <c r="D8515" i="4"/>
  <c r="D8516" i="4"/>
  <c r="D8517" i="4"/>
  <c r="D8518" i="4"/>
  <c r="D8519" i="4"/>
  <c r="D8520" i="4"/>
  <c r="D8521" i="4"/>
  <c r="D8522" i="4"/>
  <c r="D8523" i="4"/>
  <c r="D8524" i="4"/>
  <c r="D8525" i="4"/>
  <c r="D8526" i="4"/>
  <c r="D8527" i="4"/>
  <c r="D8528" i="4"/>
  <c r="D8529" i="4"/>
  <c r="D8530" i="4"/>
  <c r="D8531" i="4"/>
  <c r="D8532" i="4"/>
  <c r="D8533" i="4"/>
  <c r="D8534" i="4"/>
  <c r="D8535" i="4"/>
  <c r="D8536" i="4"/>
  <c r="D8537" i="4"/>
  <c r="D8538" i="4"/>
  <c r="D8539" i="4"/>
  <c r="D8540" i="4"/>
  <c r="D8541" i="4"/>
  <c r="D8542" i="4"/>
  <c r="D8543" i="4"/>
  <c r="D8544" i="4"/>
  <c r="D8545" i="4"/>
  <c r="D8546" i="4"/>
  <c r="D8547" i="4"/>
  <c r="D8548" i="4"/>
  <c r="D8549" i="4"/>
  <c r="D8550" i="4"/>
  <c r="D8551" i="4"/>
  <c r="D8552" i="4"/>
  <c r="D8553" i="4"/>
  <c r="D8554" i="4"/>
  <c r="D8555" i="4"/>
  <c r="D8556" i="4"/>
  <c r="D8557" i="4"/>
  <c r="D8558" i="4"/>
  <c r="D8559" i="4"/>
  <c r="D8560" i="4"/>
  <c r="D8561" i="4"/>
  <c r="D8562" i="4"/>
  <c r="D8563" i="4"/>
  <c r="D8564" i="4"/>
  <c r="D8565" i="4"/>
  <c r="D8566" i="4"/>
  <c r="D8567" i="4"/>
  <c r="D8568" i="4"/>
  <c r="D8569" i="4"/>
  <c r="D8570" i="4"/>
  <c r="D8571" i="4"/>
  <c r="D8572" i="4"/>
  <c r="D8573" i="4"/>
  <c r="D8574" i="4"/>
  <c r="D8575" i="4"/>
  <c r="D8576" i="4"/>
  <c r="D8577" i="4"/>
  <c r="D8578" i="4"/>
  <c r="D8579" i="4"/>
  <c r="D8580" i="4"/>
  <c r="D8581" i="4"/>
  <c r="D8582" i="4"/>
  <c r="D8583" i="4"/>
  <c r="D8584" i="4"/>
  <c r="D8585" i="4"/>
  <c r="D8586" i="4"/>
  <c r="D8587" i="4"/>
  <c r="D8588" i="4"/>
  <c r="D8589" i="4"/>
  <c r="D8590" i="4"/>
  <c r="D8591" i="4"/>
  <c r="D8592" i="4"/>
  <c r="D8593" i="4"/>
  <c r="D8594" i="4"/>
  <c r="D8595" i="4"/>
  <c r="D8596" i="4"/>
  <c r="D8597" i="4"/>
  <c r="D8598" i="4"/>
  <c r="D8599" i="4"/>
  <c r="D8600" i="4"/>
  <c r="D8601" i="4"/>
  <c r="D8602" i="4"/>
  <c r="D8603" i="4"/>
  <c r="D8604" i="4"/>
  <c r="D8605" i="4"/>
  <c r="D8606" i="4"/>
  <c r="D8607" i="4"/>
  <c r="D8608" i="4"/>
  <c r="D8609" i="4"/>
  <c r="D8610" i="4"/>
  <c r="D8611" i="4"/>
  <c r="D8612" i="4"/>
  <c r="D8613" i="4"/>
  <c r="D8614" i="4"/>
  <c r="D8615" i="4"/>
  <c r="D8616" i="4"/>
  <c r="D8617" i="4"/>
  <c r="D8618" i="4"/>
  <c r="D8619" i="4"/>
  <c r="D8620" i="4"/>
  <c r="D8621" i="4"/>
  <c r="D8622" i="4"/>
  <c r="D8623" i="4"/>
  <c r="D8624" i="4"/>
  <c r="D8625" i="4"/>
  <c r="D8626" i="4"/>
  <c r="D8627" i="4"/>
  <c r="D8628" i="4"/>
  <c r="D8629" i="4"/>
  <c r="D8630" i="4"/>
  <c r="D8631" i="4"/>
  <c r="D8632" i="4"/>
  <c r="D8633" i="4"/>
  <c r="D8634" i="4"/>
  <c r="D8635" i="4"/>
  <c r="D8636" i="4"/>
  <c r="D8637" i="4"/>
  <c r="D8638" i="4"/>
  <c r="D8639" i="4"/>
  <c r="D8640" i="4"/>
  <c r="D8641" i="4"/>
  <c r="D8642" i="4"/>
  <c r="D8643" i="4"/>
  <c r="D8644" i="4"/>
  <c r="D8645" i="4"/>
  <c r="D8646" i="4"/>
  <c r="D8647" i="4"/>
  <c r="D8648" i="4"/>
  <c r="D8649" i="4"/>
  <c r="D8650" i="4"/>
  <c r="D8651" i="4"/>
  <c r="D8652" i="4"/>
  <c r="D8653" i="4"/>
  <c r="D8654" i="4"/>
  <c r="D8655" i="4"/>
  <c r="D8656" i="4"/>
  <c r="D8657" i="4"/>
  <c r="D8658" i="4"/>
  <c r="D8659" i="4"/>
  <c r="D8660" i="4"/>
  <c r="D8661" i="4"/>
  <c r="D8662" i="4"/>
  <c r="D8663" i="4"/>
  <c r="D8664" i="4"/>
  <c r="D8665" i="4"/>
  <c r="D8666" i="4"/>
  <c r="D8667" i="4"/>
  <c r="D8668" i="4"/>
  <c r="D8669" i="4"/>
  <c r="D8670" i="4"/>
  <c r="D8671" i="4"/>
  <c r="D8672" i="4"/>
  <c r="D8673" i="4"/>
  <c r="D8674" i="4"/>
  <c r="D8675" i="4"/>
  <c r="D8676" i="4"/>
  <c r="D8677" i="4"/>
  <c r="D8678" i="4"/>
  <c r="D8679" i="4"/>
  <c r="D8680" i="4"/>
  <c r="D8681" i="4"/>
  <c r="D8682" i="4"/>
  <c r="D8683" i="4"/>
  <c r="D8684" i="4"/>
  <c r="D8685" i="4"/>
  <c r="D8686" i="4"/>
  <c r="D8687" i="4"/>
  <c r="D8688" i="4"/>
  <c r="D8689" i="4"/>
  <c r="D8690" i="4"/>
  <c r="D8691" i="4"/>
  <c r="D8692" i="4"/>
  <c r="D8693" i="4"/>
  <c r="D8694" i="4"/>
  <c r="D8695" i="4"/>
  <c r="D8696" i="4"/>
  <c r="D8697" i="4"/>
  <c r="D8698" i="4"/>
  <c r="D8699" i="4"/>
  <c r="D8700" i="4"/>
  <c r="D8701" i="4"/>
  <c r="D8702" i="4"/>
  <c r="D8703" i="4"/>
  <c r="D8704" i="4"/>
  <c r="D8705" i="4"/>
  <c r="D8706" i="4"/>
  <c r="D8707" i="4"/>
  <c r="D8708" i="4"/>
  <c r="D8709" i="4"/>
  <c r="D8710" i="4"/>
  <c r="D8711" i="4"/>
  <c r="D8712" i="4"/>
  <c r="D8713" i="4"/>
  <c r="D8714" i="4"/>
  <c r="D8715" i="4"/>
  <c r="D8716" i="4"/>
  <c r="D8717" i="4"/>
  <c r="D8718" i="4"/>
  <c r="D8719" i="4"/>
  <c r="D8720" i="4"/>
  <c r="D8721" i="4"/>
  <c r="D8722" i="4"/>
  <c r="D8723" i="4"/>
  <c r="D8724" i="4"/>
  <c r="D8725" i="4"/>
  <c r="D8726" i="4"/>
  <c r="D8727" i="4"/>
  <c r="D8728" i="4"/>
  <c r="D8729" i="4"/>
  <c r="D8730" i="4"/>
  <c r="D8731" i="4"/>
  <c r="D8732" i="4"/>
  <c r="D8733" i="4"/>
  <c r="D8734" i="4"/>
  <c r="D8735" i="4"/>
  <c r="D8736" i="4"/>
  <c r="D8737" i="4"/>
  <c r="D8738" i="4"/>
  <c r="D8739" i="4"/>
  <c r="D8740" i="4"/>
  <c r="D8741" i="4"/>
  <c r="D8742" i="4"/>
  <c r="D8743" i="4"/>
  <c r="D8744" i="4"/>
  <c r="D8745" i="4"/>
  <c r="D8746" i="4"/>
  <c r="D8747" i="4"/>
  <c r="D8748" i="4"/>
  <c r="D8749" i="4"/>
  <c r="D8750" i="4"/>
  <c r="D8751" i="4"/>
  <c r="D8752" i="4"/>
  <c r="D8753" i="4"/>
  <c r="D8754" i="4"/>
  <c r="D8755" i="4"/>
  <c r="D8756" i="4"/>
  <c r="D8757" i="4"/>
  <c r="D8758" i="4"/>
  <c r="D8759" i="4"/>
  <c r="D8760" i="4"/>
  <c r="D8761" i="4"/>
  <c r="D8762" i="4"/>
  <c r="D8763" i="4"/>
  <c r="D8764" i="4"/>
  <c r="D8765" i="4"/>
  <c r="D8766" i="4"/>
  <c r="D8767" i="4"/>
  <c r="D8768" i="4"/>
  <c r="D8769" i="4"/>
  <c r="D8770" i="4"/>
  <c r="D8771" i="4"/>
  <c r="D8772" i="4"/>
  <c r="D8773" i="4"/>
  <c r="D8774" i="4"/>
  <c r="D8775" i="4"/>
  <c r="D8776" i="4"/>
  <c r="D8777" i="4"/>
  <c r="D8778" i="4"/>
  <c r="D8779" i="4"/>
  <c r="D8780" i="4"/>
  <c r="D8781" i="4"/>
  <c r="D8782" i="4"/>
  <c r="D8783" i="4"/>
  <c r="D8784" i="4"/>
  <c r="D8785" i="4"/>
  <c r="D8786" i="4"/>
  <c r="D8787" i="4"/>
  <c r="D8788" i="4"/>
  <c r="D8789" i="4"/>
  <c r="D8790" i="4"/>
  <c r="D8791" i="4"/>
  <c r="D8792" i="4"/>
  <c r="D8793" i="4"/>
  <c r="D8794" i="4"/>
  <c r="D8795" i="4"/>
  <c r="D8796" i="4"/>
  <c r="D8797" i="4"/>
  <c r="D8798" i="4"/>
  <c r="D8799" i="4"/>
  <c r="D8800" i="4"/>
  <c r="D8801" i="4"/>
  <c r="D8802" i="4"/>
  <c r="D8803" i="4"/>
  <c r="D8804" i="4"/>
  <c r="D8805" i="4"/>
  <c r="D8806" i="4"/>
  <c r="D8807" i="4"/>
  <c r="D8808" i="4"/>
  <c r="D8809" i="4"/>
  <c r="D8810" i="4"/>
  <c r="D8811" i="4"/>
  <c r="D8812" i="4"/>
  <c r="D8813" i="4"/>
  <c r="D8814" i="4"/>
  <c r="D8815" i="4"/>
  <c r="D8816" i="4"/>
  <c r="D8817" i="4"/>
  <c r="D8818" i="4"/>
  <c r="D8819" i="4"/>
  <c r="D8820" i="4"/>
  <c r="D8821" i="4"/>
  <c r="D8822" i="4"/>
  <c r="D8823" i="4"/>
  <c r="D8824" i="4"/>
  <c r="D8825" i="4"/>
  <c r="D8826" i="4"/>
  <c r="D8827" i="4"/>
  <c r="D8828" i="4"/>
  <c r="D8829" i="4"/>
  <c r="D8830" i="4"/>
  <c r="D8831" i="4"/>
  <c r="D8832" i="4"/>
  <c r="D8833" i="4"/>
  <c r="D8834" i="4"/>
  <c r="D8835" i="4"/>
  <c r="D8836" i="4"/>
  <c r="D8837" i="4"/>
  <c r="D8838" i="4"/>
  <c r="D8839" i="4"/>
  <c r="D8840" i="4"/>
  <c r="D8841" i="4"/>
  <c r="D8842" i="4"/>
  <c r="D8843" i="4"/>
  <c r="D8844" i="4"/>
  <c r="D8845" i="4"/>
  <c r="D8846" i="4"/>
  <c r="D8847" i="4"/>
  <c r="D8848" i="4"/>
  <c r="D8849" i="4"/>
  <c r="D8850" i="4"/>
  <c r="D8851" i="4"/>
  <c r="D8852" i="4"/>
  <c r="D8853" i="4"/>
  <c r="D8854" i="4"/>
  <c r="D8855" i="4"/>
  <c r="D8856" i="4"/>
  <c r="D8857" i="4"/>
  <c r="D8858" i="4"/>
  <c r="D8859" i="4"/>
  <c r="D8860" i="4"/>
  <c r="D8861" i="4"/>
  <c r="D8862" i="4"/>
  <c r="D8863" i="4"/>
  <c r="D8864" i="4"/>
  <c r="D8865" i="4"/>
  <c r="D8866" i="4"/>
  <c r="D8867" i="4"/>
  <c r="D8868" i="4"/>
  <c r="D8869" i="4"/>
  <c r="D8870" i="4"/>
  <c r="D8871" i="4"/>
  <c r="D8872" i="4"/>
  <c r="D8873" i="4"/>
  <c r="D8874" i="4"/>
  <c r="D8875" i="4"/>
  <c r="D8876" i="4"/>
  <c r="D8877" i="4"/>
  <c r="D8878" i="4"/>
  <c r="D8879" i="4"/>
  <c r="D8880" i="4"/>
  <c r="D8881" i="4"/>
  <c r="D8882" i="4"/>
  <c r="D8883" i="4"/>
  <c r="D8884" i="4"/>
  <c r="D8885" i="4"/>
  <c r="D8886" i="4"/>
  <c r="D8887" i="4"/>
  <c r="D8888" i="4"/>
  <c r="D8889" i="4"/>
  <c r="D8890" i="4"/>
  <c r="D8891" i="4"/>
  <c r="D8892" i="4"/>
  <c r="D8893" i="4"/>
  <c r="D8894" i="4"/>
  <c r="D8895" i="4"/>
  <c r="D8896" i="4"/>
  <c r="D8897" i="4"/>
  <c r="D8898" i="4"/>
  <c r="D8899" i="4"/>
  <c r="D8900" i="4"/>
  <c r="D8901" i="4"/>
  <c r="D8902" i="4"/>
  <c r="D8903" i="4"/>
  <c r="D8904" i="4"/>
  <c r="D8905" i="4"/>
  <c r="D8906" i="4"/>
  <c r="D8907" i="4"/>
  <c r="D8908" i="4"/>
  <c r="D8909" i="4"/>
  <c r="D8910" i="4"/>
  <c r="D8911" i="4"/>
  <c r="D8912" i="4"/>
  <c r="D8913" i="4"/>
  <c r="D8914" i="4"/>
  <c r="D8915" i="4"/>
  <c r="D8916" i="4"/>
  <c r="D8917" i="4"/>
  <c r="D8918" i="4"/>
  <c r="D8919" i="4"/>
  <c r="D8920" i="4"/>
  <c r="D8921" i="4"/>
  <c r="D8922" i="4"/>
  <c r="D8923" i="4"/>
  <c r="D8924" i="4"/>
  <c r="D8925" i="4"/>
  <c r="D8926" i="4"/>
  <c r="D8927" i="4"/>
  <c r="D8928" i="4"/>
  <c r="D8929" i="4"/>
  <c r="D8930" i="4"/>
  <c r="D8931" i="4"/>
  <c r="D8932" i="4"/>
  <c r="D8933" i="4"/>
  <c r="D8934" i="4"/>
  <c r="D8935" i="4"/>
  <c r="D8936" i="4"/>
  <c r="D8937" i="4"/>
  <c r="D8938" i="4"/>
  <c r="D8939" i="4"/>
  <c r="D8940" i="4"/>
  <c r="D8941" i="4"/>
  <c r="D8942" i="4"/>
  <c r="D8943" i="4"/>
  <c r="D8944" i="4"/>
  <c r="D8945" i="4"/>
  <c r="D8946" i="4"/>
  <c r="D8947" i="4"/>
  <c r="D8948" i="4"/>
  <c r="D8949" i="4"/>
  <c r="D8950" i="4"/>
  <c r="D8951" i="4"/>
  <c r="D8952" i="4"/>
  <c r="D8953" i="4"/>
  <c r="D8954" i="4"/>
  <c r="D8955" i="4"/>
  <c r="D8956" i="4"/>
  <c r="D8957" i="4"/>
  <c r="D8958" i="4"/>
  <c r="D8959" i="4"/>
  <c r="D8960" i="4"/>
  <c r="D8961" i="4"/>
  <c r="D8962" i="4"/>
  <c r="D8963" i="4"/>
  <c r="D8964" i="4"/>
  <c r="D8965" i="4"/>
  <c r="D8966" i="4"/>
  <c r="D8967" i="4"/>
  <c r="D8968" i="4"/>
  <c r="D8969" i="4"/>
  <c r="D8970" i="4"/>
  <c r="D8971" i="4"/>
  <c r="D8972" i="4"/>
  <c r="D8973" i="4"/>
  <c r="D8974" i="4"/>
  <c r="D8975" i="4"/>
  <c r="D8976" i="4"/>
  <c r="D8977" i="4"/>
  <c r="D8978" i="4"/>
  <c r="D8979" i="4"/>
  <c r="D8980" i="4"/>
  <c r="D8981" i="4"/>
  <c r="D8982" i="4"/>
  <c r="D8983" i="4"/>
  <c r="D8984" i="4"/>
  <c r="D8985" i="4"/>
  <c r="D8986" i="4"/>
  <c r="D8987" i="4"/>
  <c r="D8988" i="4"/>
  <c r="D8989" i="4"/>
  <c r="D8990" i="4"/>
  <c r="D8991" i="4"/>
  <c r="D8992" i="4"/>
  <c r="D8993" i="4"/>
  <c r="D8994" i="4"/>
  <c r="D8995" i="4"/>
  <c r="D8996" i="4"/>
  <c r="D8997" i="4"/>
  <c r="D8998" i="4"/>
  <c r="D8999" i="4"/>
  <c r="D9000" i="4"/>
  <c r="D9001" i="4"/>
  <c r="D9002" i="4"/>
  <c r="D9003" i="4"/>
  <c r="D9004" i="4"/>
  <c r="D9005" i="4"/>
  <c r="D9006" i="4"/>
  <c r="D9007" i="4"/>
  <c r="D9008" i="4"/>
  <c r="D9009" i="4"/>
  <c r="D9010" i="4"/>
  <c r="D9011" i="4"/>
  <c r="D9012" i="4"/>
  <c r="D9013" i="4"/>
  <c r="D9014" i="4"/>
  <c r="D9015" i="4"/>
  <c r="D9016" i="4"/>
  <c r="D9017" i="4"/>
  <c r="D9018" i="4"/>
  <c r="D9019" i="4"/>
  <c r="D9020" i="4"/>
  <c r="D9021" i="4"/>
  <c r="D9022" i="4"/>
  <c r="D9023" i="4"/>
  <c r="D9024" i="4"/>
  <c r="D9025" i="4"/>
  <c r="D9026" i="4"/>
  <c r="D9027" i="4"/>
  <c r="D9028" i="4"/>
  <c r="D9029" i="4"/>
  <c r="D9030" i="4"/>
  <c r="D9031" i="4"/>
  <c r="D9032" i="4"/>
  <c r="D9033" i="4"/>
  <c r="D9034" i="4"/>
  <c r="D9035" i="4"/>
  <c r="D9036" i="4"/>
  <c r="D9037" i="4"/>
  <c r="D9038" i="4"/>
  <c r="D9039" i="4"/>
  <c r="D9040" i="4"/>
  <c r="D9041" i="4"/>
  <c r="D9042" i="4"/>
  <c r="D9043" i="4"/>
  <c r="D9044" i="4"/>
  <c r="D9045" i="4"/>
  <c r="D9046" i="4"/>
  <c r="D9047" i="4"/>
  <c r="D9048" i="4"/>
  <c r="D9049" i="4"/>
  <c r="D9050" i="4"/>
  <c r="D9051" i="4"/>
  <c r="D9052" i="4"/>
  <c r="D9053" i="4"/>
  <c r="D9054" i="4"/>
  <c r="D9055" i="4"/>
  <c r="D9056" i="4"/>
  <c r="D9057" i="4"/>
  <c r="D9058" i="4"/>
  <c r="D9059" i="4"/>
  <c r="D9060" i="4"/>
  <c r="D9061" i="4"/>
  <c r="D9062" i="4"/>
  <c r="D9063" i="4"/>
  <c r="D9064" i="4"/>
  <c r="D9065" i="4"/>
  <c r="D9066" i="4"/>
  <c r="D9067" i="4"/>
  <c r="D9068" i="4"/>
  <c r="D9069" i="4"/>
  <c r="D9070" i="4"/>
  <c r="D9071" i="4"/>
  <c r="D9072" i="4"/>
  <c r="D9073" i="4"/>
  <c r="D9074" i="4"/>
  <c r="D9075" i="4"/>
  <c r="D9076" i="4"/>
  <c r="D9077" i="4"/>
  <c r="D9078" i="4"/>
  <c r="D9079" i="4"/>
  <c r="D9080" i="4"/>
  <c r="D9081" i="4"/>
  <c r="D9082" i="4"/>
  <c r="D9083" i="4"/>
  <c r="D9084" i="4"/>
  <c r="D9085" i="4"/>
  <c r="D9086" i="4"/>
  <c r="D9087" i="4"/>
  <c r="D9088" i="4"/>
  <c r="D9089" i="4"/>
  <c r="D9090" i="4"/>
  <c r="D9091" i="4"/>
  <c r="D9092" i="4"/>
  <c r="D9093" i="4"/>
  <c r="D9094" i="4"/>
  <c r="D9095" i="4"/>
  <c r="D9096" i="4"/>
  <c r="D9097" i="4"/>
  <c r="D9098" i="4"/>
  <c r="D9099" i="4"/>
  <c r="D9100" i="4"/>
  <c r="D9101" i="4"/>
  <c r="D9102" i="4"/>
  <c r="D9103" i="4"/>
  <c r="D9104" i="4"/>
  <c r="D9105" i="4"/>
  <c r="D9106" i="4"/>
  <c r="D9107" i="4"/>
  <c r="D9108" i="4"/>
  <c r="D9109" i="4"/>
  <c r="D9110" i="4"/>
  <c r="D9111" i="4"/>
  <c r="D9112" i="4"/>
  <c r="D9113" i="4"/>
  <c r="D9114" i="4"/>
  <c r="D9115" i="4"/>
  <c r="D9116" i="4"/>
  <c r="D9117" i="4"/>
  <c r="D9118" i="4"/>
  <c r="D9119" i="4"/>
  <c r="D9120" i="4"/>
  <c r="D9121" i="4"/>
  <c r="D9122" i="4"/>
  <c r="D9123" i="4"/>
  <c r="D9124" i="4"/>
  <c r="D9125" i="4"/>
  <c r="D9126" i="4"/>
  <c r="D9127" i="4"/>
  <c r="D9128" i="4"/>
  <c r="D9129" i="4"/>
  <c r="D9130" i="4"/>
  <c r="D9131" i="4"/>
  <c r="D9132" i="4"/>
  <c r="D9133" i="4"/>
  <c r="D9134" i="4"/>
  <c r="D9135" i="4"/>
  <c r="D9136" i="4"/>
  <c r="D9137" i="4"/>
  <c r="D9138" i="4"/>
  <c r="D9139" i="4"/>
  <c r="D9140" i="4"/>
  <c r="D9141" i="4"/>
  <c r="D9142" i="4"/>
  <c r="D9143" i="4"/>
  <c r="D9144" i="4"/>
  <c r="D9145" i="4"/>
  <c r="D9146" i="4"/>
  <c r="D9147" i="4"/>
  <c r="D9148" i="4"/>
  <c r="D9149" i="4"/>
  <c r="D9150" i="4"/>
  <c r="D9151" i="4"/>
  <c r="D9152" i="4"/>
  <c r="D9153" i="4"/>
  <c r="D9154" i="4"/>
  <c r="D9155" i="4"/>
  <c r="D9156" i="4"/>
  <c r="D9157" i="4"/>
  <c r="D9158" i="4"/>
  <c r="D9159" i="4"/>
  <c r="D9160" i="4"/>
  <c r="D9161" i="4"/>
  <c r="D9162" i="4"/>
  <c r="D9163" i="4"/>
  <c r="D9164" i="4"/>
  <c r="D9165" i="4"/>
  <c r="D9166" i="4"/>
  <c r="D9167" i="4"/>
  <c r="D9168" i="4"/>
  <c r="D9169" i="4"/>
  <c r="D9170" i="4"/>
  <c r="D9171" i="4"/>
  <c r="D9172" i="4"/>
  <c r="D9173" i="4"/>
  <c r="D9174" i="4"/>
  <c r="D9175" i="4"/>
  <c r="D9176" i="4"/>
  <c r="D9177" i="4"/>
  <c r="D9178" i="4"/>
  <c r="D9179" i="4"/>
  <c r="D9180" i="4"/>
  <c r="D9181" i="4"/>
  <c r="D9182" i="4"/>
  <c r="D9183" i="4"/>
  <c r="D9184" i="4"/>
  <c r="D9185" i="4"/>
  <c r="D9186" i="4"/>
  <c r="D9187" i="4"/>
  <c r="D9188" i="4"/>
  <c r="D9189" i="4"/>
  <c r="D9190" i="4"/>
  <c r="D9191" i="4"/>
  <c r="D9192" i="4"/>
  <c r="D9193" i="4"/>
  <c r="D9194" i="4"/>
  <c r="D9195" i="4"/>
  <c r="D9196" i="4"/>
  <c r="D9197" i="4"/>
  <c r="D9198" i="4"/>
  <c r="D9199" i="4"/>
  <c r="D9200" i="4"/>
  <c r="D9201" i="4"/>
  <c r="D9202" i="4"/>
  <c r="D9203" i="4"/>
  <c r="D9204" i="4"/>
  <c r="D9205" i="4"/>
  <c r="D9206" i="4"/>
  <c r="D9207" i="4"/>
  <c r="D9208" i="4"/>
  <c r="D9209" i="4"/>
  <c r="D9210" i="4"/>
  <c r="D9211" i="4"/>
  <c r="D9212" i="4"/>
  <c r="D9213" i="4"/>
  <c r="D9214" i="4"/>
  <c r="D9215" i="4"/>
  <c r="D9216" i="4"/>
  <c r="D9217" i="4"/>
  <c r="D9218" i="4"/>
  <c r="D9219" i="4"/>
  <c r="D9220" i="4"/>
  <c r="D9221" i="4"/>
  <c r="D9222" i="4"/>
  <c r="D9223" i="4"/>
  <c r="D9224" i="4"/>
  <c r="D9225" i="4"/>
  <c r="D9226" i="4"/>
  <c r="D9227" i="4"/>
  <c r="D9228" i="4"/>
  <c r="D9229" i="4"/>
  <c r="D9230" i="4"/>
  <c r="D9231" i="4"/>
  <c r="D9232" i="4"/>
  <c r="D9233" i="4"/>
  <c r="D9234" i="4"/>
  <c r="D9235" i="4"/>
  <c r="D9236" i="4"/>
  <c r="D9237" i="4"/>
  <c r="D9238" i="4"/>
  <c r="D9239" i="4"/>
  <c r="D9240" i="4"/>
  <c r="D9241" i="4"/>
  <c r="D9242" i="4"/>
  <c r="D9243" i="4"/>
  <c r="D9244" i="4"/>
  <c r="D9245" i="4"/>
  <c r="D9246" i="4"/>
  <c r="D9247" i="4"/>
  <c r="D9248" i="4"/>
  <c r="D9249" i="4"/>
  <c r="D9250" i="4"/>
  <c r="D9251" i="4"/>
  <c r="D9252" i="4"/>
  <c r="D9253" i="4"/>
  <c r="D9254" i="4"/>
  <c r="D9255" i="4"/>
  <c r="D9256" i="4"/>
  <c r="D9257" i="4"/>
  <c r="D9258" i="4"/>
  <c r="D9259" i="4"/>
  <c r="D9260" i="4"/>
  <c r="D9261" i="4"/>
  <c r="D9262" i="4"/>
  <c r="D9263" i="4"/>
  <c r="D9264" i="4"/>
  <c r="D9265" i="4"/>
  <c r="D9266" i="4"/>
  <c r="D9267" i="4"/>
  <c r="D9268" i="4"/>
  <c r="D9269" i="4"/>
  <c r="D9270" i="4"/>
  <c r="D9271" i="4"/>
  <c r="D9272" i="4"/>
  <c r="D9273" i="4"/>
  <c r="D9274" i="4"/>
  <c r="D9275" i="4"/>
  <c r="D9276" i="4"/>
  <c r="D9277" i="4"/>
  <c r="D9278" i="4"/>
  <c r="D9279" i="4"/>
  <c r="D9280" i="4"/>
  <c r="D9281" i="4"/>
  <c r="D9282" i="4"/>
  <c r="D9283" i="4"/>
  <c r="D9284" i="4"/>
  <c r="D9285" i="4"/>
  <c r="D9286" i="4"/>
  <c r="D9287" i="4"/>
  <c r="D9288" i="4"/>
  <c r="D9289" i="4"/>
  <c r="D9290" i="4"/>
  <c r="D9291" i="4"/>
  <c r="D9292" i="4"/>
  <c r="D9293" i="4"/>
  <c r="D9294" i="4"/>
  <c r="D9295" i="4"/>
  <c r="D9296" i="4"/>
  <c r="D9297" i="4"/>
  <c r="D9298" i="4"/>
  <c r="D9299" i="4"/>
  <c r="D9300" i="4"/>
  <c r="D9301" i="4"/>
  <c r="D9302" i="4"/>
  <c r="D9303" i="4"/>
  <c r="D9304" i="4"/>
  <c r="D9305" i="4"/>
  <c r="D9306" i="4"/>
  <c r="D9307" i="4"/>
  <c r="D9308" i="4"/>
  <c r="D9309" i="4"/>
  <c r="D9310" i="4"/>
  <c r="D9311" i="4"/>
  <c r="D9312" i="4"/>
  <c r="D9313" i="4"/>
  <c r="D9314" i="4"/>
  <c r="D9315" i="4"/>
  <c r="D9316" i="4"/>
  <c r="D9317" i="4"/>
  <c r="D9318" i="4"/>
  <c r="D9319" i="4"/>
  <c r="D9320" i="4"/>
  <c r="D9321" i="4"/>
  <c r="D9322" i="4"/>
  <c r="D9323" i="4"/>
  <c r="D9324" i="4"/>
  <c r="D9325" i="4"/>
  <c r="D9326" i="4"/>
  <c r="D9327" i="4"/>
  <c r="D9328" i="4"/>
  <c r="D9329" i="4"/>
  <c r="D9330" i="4"/>
  <c r="D9331" i="4"/>
  <c r="D9332" i="4"/>
  <c r="D9333" i="4"/>
  <c r="D9334" i="4"/>
  <c r="D9335" i="4"/>
  <c r="D9336" i="4"/>
  <c r="D9337" i="4"/>
  <c r="D9338" i="4"/>
  <c r="D9339" i="4"/>
  <c r="D9340" i="4"/>
  <c r="D9341" i="4"/>
  <c r="D9342" i="4"/>
  <c r="D9343" i="4"/>
  <c r="D9344" i="4"/>
  <c r="D9345" i="4"/>
  <c r="D9346" i="4"/>
  <c r="D9347" i="4"/>
  <c r="D9348" i="4"/>
  <c r="D9349" i="4"/>
  <c r="D9350" i="4"/>
  <c r="D9351" i="4"/>
  <c r="D9352" i="4"/>
  <c r="D9353" i="4"/>
  <c r="D9354" i="4"/>
  <c r="D9355" i="4"/>
  <c r="D9356" i="4"/>
  <c r="D9357" i="4"/>
  <c r="D9358" i="4"/>
  <c r="D9359" i="4"/>
  <c r="D9360" i="4"/>
  <c r="D9361" i="4"/>
  <c r="D9362" i="4"/>
  <c r="D9363" i="4"/>
  <c r="D9364" i="4"/>
  <c r="D9365" i="4"/>
  <c r="D9366" i="4"/>
  <c r="D9367" i="4"/>
  <c r="D9368" i="4"/>
  <c r="D9369" i="4"/>
  <c r="D9370" i="4"/>
  <c r="D9371" i="4"/>
  <c r="D9372" i="4"/>
  <c r="D9373" i="4"/>
  <c r="D9374" i="4"/>
  <c r="D9375" i="4"/>
  <c r="D9376" i="4"/>
  <c r="D9377" i="4"/>
  <c r="D9378" i="4"/>
  <c r="D9379" i="4"/>
  <c r="D9380" i="4"/>
  <c r="D9381" i="4"/>
  <c r="D9382" i="4"/>
  <c r="D9383" i="4"/>
  <c r="D9384" i="4"/>
  <c r="D9385" i="4"/>
  <c r="D9386" i="4"/>
  <c r="D9387" i="4"/>
  <c r="D9388" i="4"/>
  <c r="D9389" i="4"/>
  <c r="D9390" i="4"/>
  <c r="D9391" i="4"/>
  <c r="D9392" i="4"/>
  <c r="D9393" i="4"/>
  <c r="D9394" i="4"/>
  <c r="D9395" i="4"/>
  <c r="D9396" i="4"/>
  <c r="D9397" i="4"/>
  <c r="D9398" i="4"/>
  <c r="D9399" i="4"/>
  <c r="D9400" i="4"/>
  <c r="D9401" i="4"/>
  <c r="D9402" i="4"/>
  <c r="D9403" i="4"/>
  <c r="D9404" i="4"/>
  <c r="D9405" i="4"/>
  <c r="D9406" i="4"/>
  <c r="D9407" i="4"/>
  <c r="D9408" i="4"/>
  <c r="D9409" i="4"/>
  <c r="D9410" i="4"/>
  <c r="D9411" i="4"/>
  <c r="D9412" i="4"/>
  <c r="D9413" i="4"/>
  <c r="D9414" i="4"/>
  <c r="D9415" i="4"/>
  <c r="D9416" i="4"/>
  <c r="D9417" i="4"/>
  <c r="D9418" i="4"/>
  <c r="D9419" i="4"/>
  <c r="D9420" i="4"/>
  <c r="D9421" i="4"/>
  <c r="D9422" i="4"/>
  <c r="D9423" i="4"/>
  <c r="D9424" i="4"/>
  <c r="D9425" i="4"/>
  <c r="D9426" i="4"/>
  <c r="D9427" i="4"/>
  <c r="D9428" i="4"/>
  <c r="D9429" i="4"/>
  <c r="D9430" i="4"/>
  <c r="D9431" i="4"/>
  <c r="D9432" i="4"/>
  <c r="D9433" i="4"/>
  <c r="D9434" i="4"/>
  <c r="D9435" i="4"/>
  <c r="D9436" i="4"/>
  <c r="D9437" i="4"/>
  <c r="D9438" i="4"/>
  <c r="D9439" i="4"/>
  <c r="D9440" i="4"/>
  <c r="D9441" i="4"/>
  <c r="D9442" i="4"/>
  <c r="D9443" i="4"/>
  <c r="D9444" i="4"/>
  <c r="D9445" i="4"/>
  <c r="D9446" i="4"/>
  <c r="D9447" i="4"/>
  <c r="D9448" i="4"/>
  <c r="D9449" i="4"/>
  <c r="D9450" i="4"/>
  <c r="D9451" i="4"/>
  <c r="D9452" i="4"/>
  <c r="D9453" i="4"/>
  <c r="D9454" i="4"/>
  <c r="D9455" i="4"/>
  <c r="D9456" i="4"/>
  <c r="D9457" i="4"/>
  <c r="D9458" i="4"/>
  <c r="D9459" i="4"/>
  <c r="D9460" i="4"/>
  <c r="D9461" i="4"/>
  <c r="D9462" i="4"/>
  <c r="D9463" i="4"/>
  <c r="D9464" i="4"/>
  <c r="D9465" i="4"/>
  <c r="D9466" i="4"/>
  <c r="D9467" i="4"/>
  <c r="D9468" i="4"/>
  <c r="D9469" i="4"/>
  <c r="D9470" i="4"/>
  <c r="D9471" i="4"/>
  <c r="D9472" i="4"/>
  <c r="D9473" i="4"/>
  <c r="D9474" i="4"/>
  <c r="D9475" i="4"/>
  <c r="D9476" i="4"/>
  <c r="D9477" i="4"/>
  <c r="D9478" i="4"/>
  <c r="D9479" i="4"/>
  <c r="D9480" i="4"/>
  <c r="D9481" i="4"/>
  <c r="D9482" i="4"/>
  <c r="D9483" i="4"/>
  <c r="D9484" i="4"/>
  <c r="D9485" i="4"/>
  <c r="D9486" i="4"/>
  <c r="D9487" i="4"/>
  <c r="D9488" i="4"/>
  <c r="D9489" i="4"/>
  <c r="D9490" i="4"/>
  <c r="D9491" i="4"/>
  <c r="D9492" i="4"/>
  <c r="D9493" i="4"/>
  <c r="D9494" i="4"/>
  <c r="D9495" i="4"/>
  <c r="D9496" i="4"/>
  <c r="D9497" i="4"/>
  <c r="D9498" i="4"/>
  <c r="D9499" i="4"/>
  <c r="D9500" i="4"/>
  <c r="D9501" i="4"/>
  <c r="D9502" i="4"/>
  <c r="D9503" i="4"/>
  <c r="D9504" i="4"/>
  <c r="D9505" i="4"/>
  <c r="D9506" i="4"/>
  <c r="D9507" i="4"/>
  <c r="D9508" i="4"/>
  <c r="D9509" i="4"/>
  <c r="D9510" i="4"/>
  <c r="D9511" i="4"/>
  <c r="D9512" i="4"/>
  <c r="D9513" i="4"/>
  <c r="D9514" i="4"/>
  <c r="D9515" i="4"/>
  <c r="D9516" i="4"/>
  <c r="D9517" i="4"/>
  <c r="D9518" i="4"/>
  <c r="D9519" i="4"/>
  <c r="D9520" i="4"/>
  <c r="D9521" i="4"/>
  <c r="D9522" i="4"/>
  <c r="D9523" i="4"/>
  <c r="D9524" i="4"/>
  <c r="D9525" i="4"/>
  <c r="D9526" i="4"/>
  <c r="D9527" i="4"/>
  <c r="D9528" i="4"/>
  <c r="D9529" i="4"/>
  <c r="D9530" i="4"/>
  <c r="D9531" i="4"/>
  <c r="D9532" i="4"/>
  <c r="D9533" i="4"/>
  <c r="D9534" i="4"/>
  <c r="D9535" i="4"/>
  <c r="D9536" i="4"/>
  <c r="D9537" i="4"/>
  <c r="D9538" i="4"/>
  <c r="D9539" i="4"/>
  <c r="D9540" i="4"/>
  <c r="D9541" i="4"/>
  <c r="D9542" i="4"/>
  <c r="D9543" i="4"/>
  <c r="D9544" i="4"/>
  <c r="D9545" i="4"/>
  <c r="D9546" i="4"/>
  <c r="D9547" i="4"/>
  <c r="D9548" i="4"/>
  <c r="D9549" i="4"/>
  <c r="D9550" i="4"/>
  <c r="D9551" i="4"/>
  <c r="D9552" i="4"/>
  <c r="D9553" i="4"/>
  <c r="D9554" i="4"/>
  <c r="D9555" i="4"/>
  <c r="D9556" i="4"/>
  <c r="D9557" i="4"/>
  <c r="D9558" i="4"/>
  <c r="D9559" i="4"/>
  <c r="D9560" i="4"/>
  <c r="D9561" i="4"/>
  <c r="D9562" i="4"/>
  <c r="D9563" i="4"/>
  <c r="D9564" i="4"/>
  <c r="D9565" i="4"/>
  <c r="D9566" i="4"/>
  <c r="D9567" i="4"/>
  <c r="D9568" i="4"/>
  <c r="D9569" i="4"/>
  <c r="D9570" i="4"/>
  <c r="D9571" i="4"/>
  <c r="D9572" i="4"/>
  <c r="D9573" i="4"/>
  <c r="D9574" i="4"/>
  <c r="D9575" i="4"/>
  <c r="D9576" i="4"/>
  <c r="D9577" i="4"/>
  <c r="D9578" i="4"/>
  <c r="D9579" i="4"/>
  <c r="D9580" i="4"/>
  <c r="D9581" i="4"/>
  <c r="D9582" i="4"/>
  <c r="D9583" i="4"/>
  <c r="D9584" i="4"/>
  <c r="D9585" i="4"/>
  <c r="D9586" i="4"/>
  <c r="D9587" i="4"/>
  <c r="D9588" i="4"/>
  <c r="D9589" i="4"/>
  <c r="D9590" i="4"/>
  <c r="D9591" i="4"/>
  <c r="D9592" i="4"/>
  <c r="D9593" i="4"/>
  <c r="D9594" i="4"/>
  <c r="D9595" i="4"/>
  <c r="D9596" i="4"/>
  <c r="D9597" i="4"/>
  <c r="D9598" i="4"/>
  <c r="D9599" i="4"/>
  <c r="D9600" i="4"/>
  <c r="D9601" i="4"/>
  <c r="D9602" i="4"/>
  <c r="D9603" i="4"/>
  <c r="D9604" i="4"/>
  <c r="D9605" i="4"/>
  <c r="D9606" i="4"/>
  <c r="D9607" i="4"/>
  <c r="D9608" i="4"/>
  <c r="D9609" i="4"/>
  <c r="D9610" i="4"/>
  <c r="D9611" i="4"/>
  <c r="D9612" i="4"/>
  <c r="D9613" i="4"/>
  <c r="D9614" i="4"/>
  <c r="D9615" i="4"/>
  <c r="D9616" i="4"/>
  <c r="D9617" i="4"/>
  <c r="D9618" i="4"/>
  <c r="D9619" i="4"/>
  <c r="D9620" i="4"/>
  <c r="D9621" i="4"/>
  <c r="D9622" i="4"/>
  <c r="D9623" i="4"/>
  <c r="D9624" i="4"/>
  <c r="D9625" i="4"/>
  <c r="D9626" i="4"/>
  <c r="D9627" i="4"/>
  <c r="D9628" i="4"/>
  <c r="D9629" i="4"/>
  <c r="D9630" i="4"/>
  <c r="D9631" i="4"/>
  <c r="D9632" i="4"/>
  <c r="D9633" i="4"/>
  <c r="D9634" i="4"/>
  <c r="D9635" i="4"/>
  <c r="D9636" i="4"/>
  <c r="D9637" i="4"/>
  <c r="D9638" i="4"/>
  <c r="D9639" i="4"/>
  <c r="D9640" i="4"/>
  <c r="D9641" i="4"/>
  <c r="D9642" i="4"/>
  <c r="D9643" i="4"/>
  <c r="D9644" i="4"/>
  <c r="D9645" i="4"/>
  <c r="D9646" i="4"/>
  <c r="D9647" i="4"/>
  <c r="D9648" i="4"/>
  <c r="D9649" i="4"/>
  <c r="D9650" i="4"/>
  <c r="D9651" i="4"/>
  <c r="D9652" i="4"/>
  <c r="D9653" i="4"/>
  <c r="D9654" i="4"/>
  <c r="D9655" i="4"/>
  <c r="D9656" i="4"/>
  <c r="D9657" i="4"/>
  <c r="D9658" i="4"/>
  <c r="D9659" i="4"/>
  <c r="D9660" i="4"/>
  <c r="D9661" i="4"/>
  <c r="D9662" i="4"/>
  <c r="D9663" i="4"/>
  <c r="D9664" i="4"/>
  <c r="D9665" i="4"/>
  <c r="D9666" i="4"/>
  <c r="D9667" i="4"/>
  <c r="D9668" i="4"/>
  <c r="D9669" i="4"/>
  <c r="D9670" i="4"/>
  <c r="D9671" i="4"/>
  <c r="D9672" i="4"/>
  <c r="D9673" i="4"/>
  <c r="D9674" i="4"/>
  <c r="D9675" i="4"/>
  <c r="D9676" i="4"/>
  <c r="D9677" i="4"/>
  <c r="D9678" i="4"/>
  <c r="D9679" i="4"/>
  <c r="D9680" i="4"/>
  <c r="D9681" i="4"/>
  <c r="D9682" i="4"/>
  <c r="D9683" i="4"/>
  <c r="D9684" i="4"/>
  <c r="D9685" i="4"/>
  <c r="D9686" i="4"/>
  <c r="D9687" i="4"/>
  <c r="D9688" i="4"/>
  <c r="D9689" i="4"/>
  <c r="D9690" i="4"/>
  <c r="D9691" i="4"/>
  <c r="D9692" i="4"/>
  <c r="D9693" i="4"/>
  <c r="D9694" i="4"/>
  <c r="D9695" i="4"/>
  <c r="D9696" i="4"/>
  <c r="D9697" i="4"/>
  <c r="D9698" i="4"/>
  <c r="D9699" i="4"/>
  <c r="D9700" i="4"/>
  <c r="D9701" i="4"/>
  <c r="D9702" i="4"/>
  <c r="D9703" i="4"/>
  <c r="D9704" i="4"/>
  <c r="D9705" i="4"/>
  <c r="D9706" i="4"/>
  <c r="D9707" i="4"/>
  <c r="D9708" i="4"/>
  <c r="D9709" i="4"/>
  <c r="D9710" i="4"/>
  <c r="D9711" i="4"/>
  <c r="D9712" i="4"/>
  <c r="D9713" i="4"/>
  <c r="D9714" i="4"/>
  <c r="D9715" i="4"/>
  <c r="D9716" i="4"/>
  <c r="D9717" i="4"/>
  <c r="D9718" i="4"/>
  <c r="D9719" i="4"/>
  <c r="D9720" i="4"/>
  <c r="D9721" i="4"/>
  <c r="D9722" i="4"/>
  <c r="D9723" i="4"/>
  <c r="D9724" i="4"/>
  <c r="D9725" i="4"/>
  <c r="D9726" i="4"/>
  <c r="D9727" i="4"/>
  <c r="D9728" i="4"/>
  <c r="D9729" i="4"/>
  <c r="D9730" i="4"/>
  <c r="D9731" i="4"/>
  <c r="D9732" i="4"/>
  <c r="D9733" i="4"/>
  <c r="D9734" i="4"/>
  <c r="D9735" i="4"/>
  <c r="D9736" i="4"/>
  <c r="D9737" i="4"/>
  <c r="D9738" i="4"/>
  <c r="D9739" i="4"/>
  <c r="D9740" i="4"/>
  <c r="D9741" i="4"/>
  <c r="D9742" i="4"/>
  <c r="D9743" i="4"/>
  <c r="D9744" i="4"/>
  <c r="D9745" i="4"/>
  <c r="D9746" i="4"/>
  <c r="D9747" i="4"/>
  <c r="D9748" i="4"/>
  <c r="D9749" i="4"/>
  <c r="D9750" i="4"/>
  <c r="D9751" i="4"/>
  <c r="D9752" i="4"/>
  <c r="D9753" i="4"/>
  <c r="D9754" i="4"/>
  <c r="D9755" i="4"/>
  <c r="D9756" i="4"/>
  <c r="D9757" i="4"/>
  <c r="D9758" i="4"/>
  <c r="D9759" i="4"/>
  <c r="D9760" i="4"/>
  <c r="D9761" i="4"/>
  <c r="D9762" i="4"/>
  <c r="D9763" i="4"/>
  <c r="D9764" i="4"/>
  <c r="D9765" i="4"/>
  <c r="D9766" i="4"/>
  <c r="D9767" i="4"/>
  <c r="D9768" i="4"/>
  <c r="D9769" i="4"/>
  <c r="D9770" i="4"/>
  <c r="D9771" i="4"/>
  <c r="D9772" i="4"/>
  <c r="D9773" i="4"/>
  <c r="D9774" i="4"/>
  <c r="D9775" i="4"/>
  <c r="D9776" i="4"/>
  <c r="D9777" i="4"/>
  <c r="D9778" i="4"/>
  <c r="D9779" i="4"/>
  <c r="D9780" i="4"/>
  <c r="D9781" i="4"/>
  <c r="D9782" i="4"/>
  <c r="D9783" i="4"/>
  <c r="D9784" i="4"/>
  <c r="D9785" i="4"/>
  <c r="D9786" i="4"/>
  <c r="D9787" i="4"/>
  <c r="D9788" i="4"/>
  <c r="D9789" i="4"/>
  <c r="D9790" i="4"/>
  <c r="D9791" i="4"/>
  <c r="D9792" i="4"/>
  <c r="D9793" i="4"/>
  <c r="D9794" i="4"/>
  <c r="D9795" i="4"/>
  <c r="D9796" i="4"/>
  <c r="D9797" i="4"/>
  <c r="D9798" i="4"/>
  <c r="D9799" i="4"/>
  <c r="D9800" i="4"/>
  <c r="D9801" i="4"/>
  <c r="D9802" i="4"/>
  <c r="D9803" i="4"/>
  <c r="D9804" i="4"/>
  <c r="D9805" i="4"/>
  <c r="D9806" i="4"/>
  <c r="D9807" i="4"/>
  <c r="D9808" i="4"/>
  <c r="D9809" i="4"/>
  <c r="D9810" i="4"/>
  <c r="D9811" i="4"/>
  <c r="D9812" i="4"/>
  <c r="D9813" i="4"/>
  <c r="D9814" i="4"/>
  <c r="D9815" i="4"/>
  <c r="D9816" i="4"/>
  <c r="D9817" i="4"/>
  <c r="D9818" i="4"/>
  <c r="D9819" i="4"/>
  <c r="D9820" i="4"/>
  <c r="D9821" i="4"/>
  <c r="D9822" i="4"/>
  <c r="D9823" i="4"/>
  <c r="D9824" i="4"/>
  <c r="D9825" i="4"/>
  <c r="D9826" i="4"/>
  <c r="D9827" i="4"/>
  <c r="D9828" i="4"/>
  <c r="D9829" i="4"/>
  <c r="D9830" i="4"/>
  <c r="D9831" i="4"/>
  <c r="D9832" i="4"/>
  <c r="D9833" i="4"/>
  <c r="D9834" i="4"/>
  <c r="D9835" i="4"/>
  <c r="D9836" i="4"/>
  <c r="D9837" i="4"/>
  <c r="D9838" i="4"/>
  <c r="D9839" i="4"/>
  <c r="D9840" i="4"/>
  <c r="D9841" i="4"/>
  <c r="D9842" i="4"/>
  <c r="D9843" i="4"/>
  <c r="D9844" i="4"/>
  <c r="D9845" i="4"/>
  <c r="D9846" i="4"/>
  <c r="D9847" i="4"/>
  <c r="D9848" i="4"/>
  <c r="D9849" i="4"/>
  <c r="D9850" i="4"/>
  <c r="D9851" i="4"/>
  <c r="D9852" i="4"/>
  <c r="D9853" i="4"/>
  <c r="D9854" i="4"/>
  <c r="D9855" i="4"/>
  <c r="D9856" i="4"/>
  <c r="D9857" i="4"/>
  <c r="D9858" i="4"/>
  <c r="D9859" i="4"/>
  <c r="D9860" i="4"/>
  <c r="D9861" i="4"/>
  <c r="D9862" i="4"/>
  <c r="D9863" i="4"/>
  <c r="D9864" i="4"/>
  <c r="D9865" i="4"/>
  <c r="D9866" i="4"/>
  <c r="D9867" i="4"/>
  <c r="D9868" i="4"/>
  <c r="D9869" i="4"/>
  <c r="D9870" i="4"/>
  <c r="D9871" i="4"/>
  <c r="D9872" i="4"/>
  <c r="D9873" i="4"/>
  <c r="D9874" i="4"/>
  <c r="D9875" i="4"/>
  <c r="D9876" i="4"/>
  <c r="D9877" i="4"/>
  <c r="D9878" i="4"/>
  <c r="D9879" i="4"/>
  <c r="D9880" i="4"/>
  <c r="D9881" i="4"/>
  <c r="D9882" i="4"/>
  <c r="D9883" i="4"/>
  <c r="D9884" i="4"/>
  <c r="D9885" i="4"/>
  <c r="D9886" i="4"/>
  <c r="D9887" i="4"/>
  <c r="D9888" i="4"/>
  <c r="D9889" i="4"/>
  <c r="D9890" i="4"/>
  <c r="D9891" i="4"/>
  <c r="D9892" i="4"/>
  <c r="D9893" i="4"/>
  <c r="D9894" i="4"/>
  <c r="D9895" i="4"/>
  <c r="D9896" i="4"/>
  <c r="D9897" i="4"/>
  <c r="D9898" i="4"/>
  <c r="D9899" i="4"/>
  <c r="D9900" i="4"/>
  <c r="D9901" i="4"/>
  <c r="D9902" i="4"/>
  <c r="D9903" i="4"/>
  <c r="D9904" i="4"/>
  <c r="D9905" i="4"/>
  <c r="D9906" i="4"/>
  <c r="D9907" i="4"/>
  <c r="D9908" i="4"/>
  <c r="D9909" i="4"/>
  <c r="D9910" i="4"/>
  <c r="D9911" i="4"/>
  <c r="D9912" i="4"/>
  <c r="D9913" i="4"/>
  <c r="D9914" i="4"/>
  <c r="D9915" i="4"/>
  <c r="D9916" i="4"/>
  <c r="D9917" i="4"/>
  <c r="D9918" i="4"/>
  <c r="D9919" i="4"/>
  <c r="D9920" i="4"/>
  <c r="D9921" i="4"/>
  <c r="D9922" i="4"/>
  <c r="D9923" i="4"/>
  <c r="D9924" i="4"/>
  <c r="D9925" i="4"/>
  <c r="D9926" i="4"/>
  <c r="D9927" i="4"/>
  <c r="D9928" i="4"/>
  <c r="D9929" i="4"/>
  <c r="D9930" i="4"/>
  <c r="D9931" i="4"/>
  <c r="D9932" i="4"/>
  <c r="D9933" i="4"/>
  <c r="D9934" i="4"/>
  <c r="D9935" i="4"/>
  <c r="D9936" i="4"/>
  <c r="D9937" i="4"/>
  <c r="D9938" i="4"/>
  <c r="D9939" i="4"/>
  <c r="D9940" i="4"/>
  <c r="D9941" i="4"/>
  <c r="D9942" i="4"/>
  <c r="D9943" i="4"/>
  <c r="D9944" i="4"/>
  <c r="D9945" i="4"/>
  <c r="D9946" i="4"/>
  <c r="D9947" i="4"/>
  <c r="D9948" i="4"/>
  <c r="D9949" i="4"/>
  <c r="D9950" i="4"/>
  <c r="D9951" i="4"/>
  <c r="D9952" i="4"/>
  <c r="D9953" i="4"/>
  <c r="D9954" i="4"/>
  <c r="D9955" i="4"/>
  <c r="D9956" i="4"/>
  <c r="D9957" i="4"/>
  <c r="D9958" i="4"/>
  <c r="D9959" i="4"/>
  <c r="D9960" i="4"/>
  <c r="D9961" i="4"/>
  <c r="D9962" i="4"/>
  <c r="D9963" i="4"/>
  <c r="D9964" i="4"/>
  <c r="D9965" i="4"/>
  <c r="D9966" i="4"/>
  <c r="D9967" i="4"/>
  <c r="D9968" i="4"/>
  <c r="D9969" i="4"/>
  <c r="D9970" i="4"/>
  <c r="D9971" i="4"/>
  <c r="D9972" i="4"/>
  <c r="D9973" i="4"/>
  <c r="D9974" i="4"/>
  <c r="D9975" i="4"/>
  <c r="D9976" i="4"/>
  <c r="D9977" i="4"/>
  <c r="D9978" i="4"/>
  <c r="D9979" i="4"/>
  <c r="D9980" i="4"/>
  <c r="D9981" i="4"/>
  <c r="D9982" i="4"/>
  <c r="D9983" i="4"/>
  <c r="D9984" i="4"/>
  <c r="D9985" i="4"/>
  <c r="D9986" i="4"/>
  <c r="D9987" i="4"/>
  <c r="D9988" i="4"/>
  <c r="D9989" i="4"/>
  <c r="D9990" i="4"/>
  <c r="D9991" i="4"/>
  <c r="D9992" i="4"/>
  <c r="D9993" i="4"/>
  <c r="D9994" i="4"/>
  <c r="D9995" i="4"/>
  <c r="D9996" i="4"/>
  <c r="D9997" i="4"/>
  <c r="D9998" i="4"/>
  <c r="D9999" i="4"/>
  <c r="D10000" i="4"/>
  <c r="D10001" i="4"/>
  <c r="D10002" i="4"/>
  <c r="D10003" i="4"/>
  <c r="D10004" i="4"/>
  <c r="D10005" i="4"/>
  <c r="D10006" i="4"/>
  <c r="D10007" i="4"/>
  <c r="D10008" i="4"/>
  <c r="D10009" i="4"/>
  <c r="D10010" i="4"/>
  <c r="D10011" i="4"/>
  <c r="D10012" i="4"/>
  <c r="D10013" i="4"/>
  <c r="D10014" i="4"/>
  <c r="D10015" i="4"/>
  <c r="D10016" i="4"/>
  <c r="D10017" i="4"/>
  <c r="D10018" i="4"/>
  <c r="D10019" i="4"/>
  <c r="D10020" i="4"/>
  <c r="D10021" i="4"/>
  <c r="D10022" i="4"/>
  <c r="D10023" i="4"/>
  <c r="D10024" i="4"/>
  <c r="D10025" i="4"/>
  <c r="D10026" i="4"/>
  <c r="D10027" i="4"/>
  <c r="D10028" i="4"/>
  <c r="D10029" i="4"/>
  <c r="D10030" i="4"/>
  <c r="D10031" i="4"/>
  <c r="D10032" i="4"/>
  <c r="D10033" i="4"/>
  <c r="D10034" i="4"/>
  <c r="D10035" i="4"/>
  <c r="D10036" i="4"/>
  <c r="D10037" i="4"/>
  <c r="D10038" i="4"/>
  <c r="D10039" i="4"/>
  <c r="D10040" i="4"/>
  <c r="D10041" i="4"/>
  <c r="D10042" i="4"/>
  <c r="D10043" i="4"/>
  <c r="D10044" i="4"/>
  <c r="D10045" i="4"/>
  <c r="D10046" i="4"/>
  <c r="D10047" i="4"/>
  <c r="D10048" i="4"/>
  <c r="D10049" i="4"/>
  <c r="D10050" i="4"/>
  <c r="D10051" i="4"/>
  <c r="D10052" i="4"/>
  <c r="D10053" i="4"/>
  <c r="D10054" i="4"/>
  <c r="D10055" i="4"/>
  <c r="D10056" i="4"/>
  <c r="D10057" i="4"/>
  <c r="D10058" i="4"/>
  <c r="D10059" i="4"/>
  <c r="D10060" i="4"/>
  <c r="D10061" i="4"/>
  <c r="D10062" i="4"/>
  <c r="D10063" i="4"/>
  <c r="D10064" i="4"/>
  <c r="D10065" i="4"/>
  <c r="D10066" i="4"/>
  <c r="D10067" i="4"/>
  <c r="D10068" i="4"/>
  <c r="D10069" i="4"/>
  <c r="D10070" i="4"/>
  <c r="D10071" i="4"/>
  <c r="D10072" i="4"/>
  <c r="D10073" i="4"/>
  <c r="D10074" i="4"/>
  <c r="D10075" i="4"/>
  <c r="D10076" i="4"/>
  <c r="D10077" i="4"/>
  <c r="D10078" i="4"/>
  <c r="D10079" i="4"/>
  <c r="D10080" i="4"/>
  <c r="D10081" i="4"/>
  <c r="D10082" i="4"/>
  <c r="D10083" i="4"/>
  <c r="D10084" i="4"/>
  <c r="D10085" i="4"/>
  <c r="D10086" i="4"/>
  <c r="D10087" i="4"/>
  <c r="D10088" i="4"/>
  <c r="D10089" i="4"/>
  <c r="D10090" i="4"/>
  <c r="D10091" i="4"/>
  <c r="D10092" i="4"/>
  <c r="D10093" i="4"/>
  <c r="D10094" i="4"/>
  <c r="D10095" i="4"/>
  <c r="D10096" i="4"/>
  <c r="D10097" i="4"/>
  <c r="D10098" i="4"/>
  <c r="D10099" i="4"/>
  <c r="D10100" i="4"/>
  <c r="D10101" i="4"/>
  <c r="D10102" i="4"/>
  <c r="D10103" i="4"/>
  <c r="D10104" i="4"/>
  <c r="D10105" i="4"/>
  <c r="D10106" i="4"/>
  <c r="D10107" i="4"/>
  <c r="D10108" i="4"/>
  <c r="D10109" i="4"/>
  <c r="D10110" i="4"/>
  <c r="D10111" i="4"/>
  <c r="D10112" i="4"/>
  <c r="D10113" i="4"/>
  <c r="D10114" i="4"/>
  <c r="D10115" i="4"/>
  <c r="D10116" i="4"/>
  <c r="D10117" i="4"/>
  <c r="D10118" i="4"/>
  <c r="D10119" i="4"/>
  <c r="D10120" i="4"/>
  <c r="D10121" i="4"/>
  <c r="D10122" i="4"/>
  <c r="D10123" i="4"/>
  <c r="D10124" i="4"/>
  <c r="D10125" i="4"/>
  <c r="D10126" i="4"/>
  <c r="D10127" i="4"/>
  <c r="D10128" i="4"/>
  <c r="D10129" i="4"/>
  <c r="D10130" i="4"/>
  <c r="D10131" i="4"/>
  <c r="D10132" i="4"/>
  <c r="D10133" i="4"/>
  <c r="D10134" i="4"/>
  <c r="D10135" i="4"/>
  <c r="D10136" i="4"/>
  <c r="D10137" i="4"/>
  <c r="D10138" i="4"/>
  <c r="D10139" i="4"/>
  <c r="D10140" i="4"/>
  <c r="D10141" i="4"/>
  <c r="D10142" i="4"/>
  <c r="D10143" i="4"/>
  <c r="D10144" i="4"/>
  <c r="D10145" i="4"/>
  <c r="D10146" i="4"/>
  <c r="D10147" i="4"/>
  <c r="D10148" i="4"/>
  <c r="D10149" i="4"/>
  <c r="D10150" i="4"/>
  <c r="D10151" i="4"/>
  <c r="D10152" i="4"/>
  <c r="D10153" i="4"/>
  <c r="D10154" i="4"/>
  <c r="D10155" i="4"/>
  <c r="D10156" i="4"/>
  <c r="D10157" i="4"/>
  <c r="D10158" i="4"/>
  <c r="D10159" i="4"/>
  <c r="D10160" i="4"/>
  <c r="D10161" i="4"/>
  <c r="D10162" i="4"/>
  <c r="D10163" i="4"/>
  <c r="D10164" i="4"/>
  <c r="D10165" i="4"/>
  <c r="D10166" i="4"/>
  <c r="D10167" i="4"/>
  <c r="D10168" i="4"/>
  <c r="D10169" i="4"/>
  <c r="D10170" i="4"/>
  <c r="D10171" i="4"/>
  <c r="D10172" i="4"/>
  <c r="D10173" i="4"/>
  <c r="D10174" i="4"/>
  <c r="D10175" i="4"/>
  <c r="D10176" i="4"/>
  <c r="D10177" i="4"/>
  <c r="D10178" i="4"/>
  <c r="D10179" i="4"/>
  <c r="D10180" i="4"/>
  <c r="D10181" i="4"/>
  <c r="D10182" i="4"/>
  <c r="D10183" i="4"/>
  <c r="D10184" i="4"/>
  <c r="D10185" i="4"/>
  <c r="D10186" i="4"/>
  <c r="D10187" i="4"/>
  <c r="D10188" i="4"/>
  <c r="D10189" i="4"/>
  <c r="D10190" i="4"/>
  <c r="D10191" i="4"/>
  <c r="D10192" i="4"/>
  <c r="D10193" i="4"/>
  <c r="D10194" i="4"/>
  <c r="D10195" i="4"/>
  <c r="D10196" i="4"/>
  <c r="D10197" i="4"/>
  <c r="D10198" i="4"/>
  <c r="D10199" i="4"/>
  <c r="D10200" i="4"/>
  <c r="D10201" i="4"/>
  <c r="D10202" i="4"/>
  <c r="D10203" i="4"/>
  <c r="D10204" i="4"/>
  <c r="D10205" i="4"/>
  <c r="D10206" i="4"/>
  <c r="D10207" i="4"/>
  <c r="D10208" i="4"/>
  <c r="D10209" i="4"/>
  <c r="D10210" i="4"/>
  <c r="D10211" i="4"/>
  <c r="D10212" i="4"/>
  <c r="D10213" i="4"/>
  <c r="D10214" i="4"/>
  <c r="D10215" i="4"/>
  <c r="D10216" i="4"/>
  <c r="D10217" i="4"/>
  <c r="D10218" i="4"/>
  <c r="D10219" i="4"/>
  <c r="D10220" i="4"/>
  <c r="D10221" i="4"/>
  <c r="D10222" i="4"/>
  <c r="D10223" i="4"/>
  <c r="D10224" i="4"/>
  <c r="D10225" i="4"/>
  <c r="D10226" i="4"/>
  <c r="D10227" i="4"/>
  <c r="D10228" i="4"/>
  <c r="D10229" i="4"/>
  <c r="D10230" i="4"/>
  <c r="D10231" i="4"/>
  <c r="D10232" i="4"/>
  <c r="D10233" i="4"/>
  <c r="D10234" i="4"/>
  <c r="D10235" i="4"/>
  <c r="D10236" i="4"/>
  <c r="D10237" i="4"/>
  <c r="D10238" i="4"/>
  <c r="D10239" i="4"/>
  <c r="D10240" i="4"/>
  <c r="D10241" i="4"/>
  <c r="D10242" i="4"/>
  <c r="D10243" i="4"/>
  <c r="D10244" i="4"/>
  <c r="D10245" i="4"/>
  <c r="D10246" i="4"/>
  <c r="D10247" i="4"/>
  <c r="D10248" i="4"/>
  <c r="D10249" i="4"/>
  <c r="D10250" i="4"/>
  <c r="D10251" i="4"/>
  <c r="D10252" i="4"/>
  <c r="D10253" i="4"/>
  <c r="D10254" i="4"/>
  <c r="D10255" i="4"/>
  <c r="D10256" i="4"/>
  <c r="D10257" i="4"/>
  <c r="D10258" i="4"/>
  <c r="D10259" i="4"/>
  <c r="D10260" i="4"/>
  <c r="D10261" i="4"/>
  <c r="D10262" i="4"/>
  <c r="D10263" i="4"/>
  <c r="D10264" i="4"/>
  <c r="D10265" i="4"/>
  <c r="D10266" i="4"/>
  <c r="D10267" i="4"/>
  <c r="D10268" i="4"/>
  <c r="D10269" i="4"/>
  <c r="D10270" i="4"/>
  <c r="D10271" i="4"/>
  <c r="D10272" i="4"/>
  <c r="D10273" i="4"/>
  <c r="D10274" i="4"/>
  <c r="D10275" i="4"/>
  <c r="D10276" i="4"/>
  <c r="D10277" i="4"/>
  <c r="D10278" i="4"/>
  <c r="D10279" i="4"/>
  <c r="D10280" i="4"/>
  <c r="D10281" i="4"/>
  <c r="D10282" i="4"/>
  <c r="D10283" i="4"/>
  <c r="D10284" i="4"/>
  <c r="D10285" i="4"/>
  <c r="D10286" i="4"/>
  <c r="D10287" i="4"/>
  <c r="D10288" i="4"/>
  <c r="D10289" i="4"/>
  <c r="D10290" i="4"/>
  <c r="D10291" i="4"/>
  <c r="D10292" i="4"/>
  <c r="D10293" i="4"/>
  <c r="D10294" i="4"/>
  <c r="D10295" i="4"/>
  <c r="D10296" i="4"/>
  <c r="D10297" i="4"/>
  <c r="D10298" i="4"/>
  <c r="D10299" i="4"/>
  <c r="D10300" i="4"/>
  <c r="D10301" i="4"/>
  <c r="D10302" i="4"/>
  <c r="D10303" i="4"/>
  <c r="D10304" i="4"/>
  <c r="D10305" i="4"/>
  <c r="D10306" i="4"/>
  <c r="D10307" i="4"/>
  <c r="D10308" i="4"/>
  <c r="D10309" i="4"/>
  <c r="D10310" i="4"/>
  <c r="D10311" i="4"/>
  <c r="D10312" i="4"/>
  <c r="D10313" i="4"/>
  <c r="D10314" i="4"/>
  <c r="D10315" i="4"/>
  <c r="D10316" i="4"/>
  <c r="D10317" i="4"/>
  <c r="D10318" i="4"/>
  <c r="D10319" i="4"/>
  <c r="D10320" i="4"/>
  <c r="D10321" i="4"/>
  <c r="D10322" i="4"/>
  <c r="D10323" i="4"/>
  <c r="D10324" i="4"/>
  <c r="D10325" i="4"/>
  <c r="D10326" i="4"/>
  <c r="D10327" i="4"/>
  <c r="D10328" i="4"/>
  <c r="D10329" i="4"/>
  <c r="D10330" i="4"/>
  <c r="D10331" i="4"/>
  <c r="D10332" i="4"/>
  <c r="D10333" i="4"/>
  <c r="D10334" i="4"/>
  <c r="D10335" i="4"/>
  <c r="D10336" i="4"/>
  <c r="D10337" i="4"/>
  <c r="D10338" i="4"/>
  <c r="D10339" i="4"/>
  <c r="D10340" i="4"/>
  <c r="D10341" i="4"/>
  <c r="D10342" i="4"/>
  <c r="D10343" i="4"/>
  <c r="D10344" i="4"/>
  <c r="D10345" i="4"/>
  <c r="D10346" i="4"/>
  <c r="D10347" i="4"/>
  <c r="D10348" i="4"/>
  <c r="D10349" i="4"/>
  <c r="D10350" i="4"/>
  <c r="D10351" i="4"/>
  <c r="D10352" i="4"/>
  <c r="D10353" i="4"/>
  <c r="D10354" i="4"/>
  <c r="D10355" i="4"/>
  <c r="D10356" i="4"/>
  <c r="D10357" i="4"/>
  <c r="D10358" i="4"/>
  <c r="D10359" i="4"/>
  <c r="D10360" i="4"/>
  <c r="D10361" i="4"/>
  <c r="D10362" i="4"/>
  <c r="D10363" i="4"/>
  <c r="D10364" i="4"/>
  <c r="D10365" i="4"/>
  <c r="D10366" i="4"/>
  <c r="D10367" i="4"/>
  <c r="D10368" i="4"/>
  <c r="D10369" i="4"/>
  <c r="D10370" i="4"/>
  <c r="D10371" i="4"/>
  <c r="D10372" i="4"/>
  <c r="D10373" i="4"/>
  <c r="D10374" i="4"/>
  <c r="D10375" i="4"/>
  <c r="D10376" i="4"/>
  <c r="D10377" i="4"/>
  <c r="D10378" i="4"/>
  <c r="D10379" i="4"/>
  <c r="D10380" i="4"/>
  <c r="D10381" i="4"/>
  <c r="D10382" i="4"/>
  <c r="D10383" i="4"/>
  <c r="D10384" i="4"/>
  <c r="D10385" i="4"/>
  <c r="D10386" i="4"/>
  <c r="D10387" i="4"/>
  <c r="D10388" i="4"/>
  <c r="D10389" i="4"/>
  <c r="D10390" i="4"/>
  <c r="D10391" i="4"/>
  <c r="D10392" i="4"/>
  <c r="D10393" i="4"/>
  <c r="D10394" i="4"/>
  <c r="D10395" i="4"/>
  <c r="D10396" i="4"/>
  <c r="D10397" i="4"/>
  <c r="D10398" i="4"/>
  <c r="D10399" i="4"/>
  <c r="D10400" i="4"/>
  <c r="D10401" i="4"/>
  <c r="D10402" i="4"/>
  <c r="D10403" i="4"/>
  <c r="D10404" i="4"/>
  <c r="D10405" i="4"/>
  <c r="D10406" i="4"/>
  <c r="D10407" i="4"/>
  <c r="D10408" i="4"/>
  <c r="D10409" i="4"/>
  <c r="D10410" i="4"/>
  <c r="D10411" i="4"/>
  <c r="D10412" i="4"/>
  <c r="D10413" i="4"/>
  <c r="D10414" i="4"/>
  <c r="D10415" i="4"/>
  <c r="D10416" i="4"/>
  <c r="D10417" i="4"/>
  <c r="D10418" i="4"/>
  <c r="D10419" i="4"/>
  <c r="D10420" i="4"/>
  <c r="D10421" i="4"/>
  <c r="D10422" i="4"/>
  <c r="D10423" i="4"/>
  <c r="D10424" i="4"/>
  <c r="D10425" i="4"/>
  <c r="D10426" i="4"/>
  <c r="D10427" i="4"/>
  <c r="D10428" i="4"/>
  <c r="D10429" i="4"/>
  <c r="D10430" i="4"/>
  <c r="D10431" i="4"/>
  <c r="D10432" i="4"/>
  <c r="D10433" i="4"/>
  <c r="D10434" i="4"/>
  <c r="D10435" i="4"/>
  <c r="D10436" i="4"/>
  <c r="D10437" i="4"/>
  <c r="D10438" i="4"/>
  <c r="D10439" i="4"/>
  <c r="D10440" i="4"/>
  <c r="D10441" i="4"/>
  <c r="D10442" i="4"/>
  <c r="D10443" i="4"/>
  <c r="D10444" i="4"/>
  <c r="D10445" i="4"/>
  <c r="D10446" i="4"/>
  <c r="D10447" i="4"/>
  <c r="D10448" i="4"/>
  <c r="D10449" i="4"/>
  <c r="D10450" i="4"/>
  <c r="D10451" i="4"/>
  <c r="D10452" i="4"/>
  <c r="D10453" i="4"/>
  <c r="D10454" i="4"/>
  <c r="D10455" i="4"/>
  <c r="D10456" i="4"/>
  <c r="D10457" i="4"/>
  <c r="D10458" i="4"/>
  <c r="D10459" i="4"/>
  <c r="D10460" i="4"/>
  <c r="D10461" i="4"/>
  <c r="D10462" i="4"/>
  <c r="D10463" i="4"/>
  <c r="D10464" i="4"/>
  <c r="D10465" i="4"/>
  <c r="D10466" i="4"/>
  <c r="D10467" i="4"/>
  <c r="D10468" i="4"/>
  <c r="D10469" i="4"/>
  <c r="D10470" i="4"/>
  <c r="D10471" i="4"/>
  <c r="D10472" i="4"/>
  <c r="D10473" i="4"/>
  <c r="D10474" i="4"/>
  <c r="D10475" i="4"/>
  <c r="D10476" i="4"/>
  <c r="D10477" i="4"/>
  <c r="D10478" i="4"/>
  <c r="D10479" i="4"/>
  <c r="D10480" i="4"/>
  <c r="D10481" i="4"/>
  <c r="D10482" i="4"/>
  <c r="D10483" i="4"/>
  <c r="D10484" i="4"/>
  <c r="D10485" i="4"/>
  <c r="D10486" i="4"/>
  <c r="D10487" i="4"/>
  <c r="D10488" i="4"/>
  <c r="D10489" i="4"/>
  <c r="D10490" i="4"/>
  <c r="D10491" i="4"/>
  <c r="D10492" i="4"/>
  <c r="D10493" i="4"/>
  <c r="D10494" i="4"/>
  <c r="D10495" i="4"/>
  <c r="D10496" i="4"/>
  <c r="D10497" i="4"/>
  <c r="D10498" i="4"/>
  <c r="D10499" i="4"/>
  <c r="D10500" i="4"/>
  <c r="D10501" i="4"/>
  <c r="D10502" i="4"/>
  <c r="D10503" i="4"/>
  <c r="D10504" i="4"/>
  <c r="D10505" i="4"/>
  <c r="D10506" i="4"/>
  <c r="D10507" i="4"/>
  <c r="D10508" i="4"/>
  <c r="D10509" i="4"/>
  <c r="D10510" i="4"/>
  <c r="D10511" i="4"/>
  <c r="D10512" i="4"/>
  <c r="D10513" i="4"/>
  <c r="D10514" i="4"/>
  <c r="D10515" i="4"/>
  <c r="D10516" i="4"/>
  <c r="D10517" i="4"/>
  <c r="D10518" i="4"/>
  <c r="D10519" i="4"/>
  <c r="D10520" i="4"/>
  <c r="D10521" i="4"/>
  <c r="D10522" i="4"/>
  <c r="D10523" i="4"/>
  <c r="D10524" i="4"/>
  <c r="D10525" i="4"/>
  <c r="D10526" i="4"/>
  <c r="D10527" i="4"/>
  <c r="D10528" i="4"/>
  <c r="D10529" i="4"/>
  <c r="D10530" i="4"/>
  <c r="D10531" i="4"/>
  <c r="D10532" i="4"/>
  <c r="D10533" i="4"/>
  <c r="D10534" i="4"/>
  <c r="D10535" i="4"/>
  <c r="D10536" i="4"/>
  <c r="D10537" i="4"/>
  <c r="D10538" i="4"/>
  <c r="D10539" i="4"/>
  <c r="D10540" i="4"/>
  <c r="D10541" i="4"/>
  <c r="D10542" i="4"/>
  <c r="D10543" i="4"/>
  <c r="D10544" i="4"/>
  <c r="D10545" i="4"/>
  <c r="D10546" i="4"/>
  <c r="D10547" i="4"/>
  <c r="D10548" i="4"/>
  <c r="D10549" i="4"/>
  <c r="D10550" i="4"/>
  <c r="D10551" i="4"/>
  <c r="D10552" i="4"/>
  <c r="D10553" i="4"/>
  <c r="D10554" i="4"/>
  <c r="D10555" i="4"/>
  <c r="D10556" i="4"/>
  <c r="D10557" i="4"/>
  <c r="D10558" i="4"/>
  <c r="D10559" i="4"/>
  <c r="D10560" i="4"/>
  <c r="D10561" i="4"/>
  <c r="D10562" i="4"/>
  <c r="D10563" i="4"/>
  <c r="D10564" i="4"/>
  <c r="D10565" i="4"/>
  <c r="D10566" i="4"/>
  <c r="D10567" i="4"/>
  <c r="D10568" i="4"/>
  <c r="D10569" i="4"/>
  <c r="D10570" i="4"/>
  <c r="D10571" i="4"/>
  <c r="D10572" i="4"/>
  <c r="D10573" i="4"/>
  <c r="D10574" i="4"/>
  <c r="D10575" i="4"/>
  <c r="D10576" i="4"/>
  <c r="D10577" i="4"/>
  <c r="D10578" i="4"/>
  <c r="D10579" i="4"/>
  <c r="D10580" i="4"/>
  <c r="D10581" i="4"/>
  <c r="D10582" i="4"/>
  <c r="D10583" i="4"/>
  <c r="D10584" i="4"/>
  <c r="D10585" i="4"/>
  <c r="D10586" i="4"/>
  <c r="D10587" i="4"/>
  <c r="D10588" i="4"/>
  <c r="D10589" i="4"/>
  <c r="D10590" i="4"/>
  <c r="D10591" i="4"/>
  <c r="D10592" i="4"/>
  <c r="D10593" i="4"/>
  <c r="D10594" i="4"/>
  <c r="D10595" i="4"/>
  <c r="D10596" i="4"/>
  <c r="D10597" i="4"/>
  <c r="D10598" i="4"/>
  <c r="D10599" i="4"/>
  <c r="D10600" i="4"/>
  <c r="D10601" i="4"/>
  <c r="D10602" i="4"/>
  <c r="D10603" i="4"/>
  <c r="D10604" i="4"/>
  <c r="D10605" i="4"/>
  <c r="D10606" i="4"/>
  <c r="D10607" i="4"/>
  <c r="D10608" i="4"/>
  <c r="D10609" i="4"/>
  <c r="D10610" i="4"/>
  <c r="D10611" i="4"/>
  <c r="D10612" i="4"/>
  <c r="D10613" i="4"/>
  <c r="D10614" i="4"/>
  <c r="D10615" i="4"/>
  <c r="D10616" i="4"/>
  <c r="D10617" i="4"/>
  <c r="D10618" i="4"/>
  <c r="D10619" i="4"/>
  <c r="D10620" i="4"/>
  <c r="D10621" i="4"/>
  <c r="D10622" i="4"/>
  <c r="D10623" i="4"/>
  <c r="D10624" i="4"/>
  <c r="D10625" i="4"/>
  <c r="D10626" i="4"/>
  <c r="D10627" i="4"/>
  <c r="D10628" i="4"/>
  <c r="D10629" i="4"/>
  <c r="D10630" i="4"/>
  <c r="D10631" i="4"/>
  <c r="D10632" i="4"/>
  <c r="D10633" i="4"/>
  <c r="D10634" i="4"/>
  <c r="D10635" i="4"/>
  <c r="D10636" i="4"/>
  <c r="D10637" i="4"/>
  <c r="D10638" i="4"/>
  <c r="D10639" i="4"/>
  <c r="D10640" i="4"/>
  <c r="D10641" i="4"/>
  <c r="D10642" i="4"/>
  <c r="D10643" i="4"/>
  <c r="D10644" i="4"/>
  <c r="D10645" i="4"/>
  <c r="D10646" i="4"/>
  <c r="D10647" i="4"/>
  <c r="D10648" i="4"/>
  <c r="D10649" i="4"/>
  <c r="D10650" i="4"/>
  <c r="D10651" i="4"/>
  <c r="D10652" i="4"/>
  <c r="D10653" i="4"/>
  <c r="D10654" i="4"/>
  <c r="D10655" i="4"/>
  <c r="D10656" i="4"/>
  <c r="D10657" i="4"/>
  <c r="D10658" i="4"/>
  <c r="D10659" i="4"/>
  <c r="D10660" i="4"/>
  <c r="D10661" i="4"/>
  <c r="D10662" i="4"/>
  <c r="D10663" i="4"/>
  <c r="D10664" i="4"/>
  <c r="D10665" i="4"/>
  <c r="D10666" i="4"/>
  <c r="D10667" i="4"/>
  <c r="D10668" i="4"/>
  <c r="D10669" i="4"/>
  <c r="D10670" i="4"/>
  <c r="D10671" i="4"/>
  <c r="D10672" i="4"/>
  <c r="D10673" i="4"/>
  <c r="D10674" i="4"/>
  <c r="D10675" i="4"/>
  <c r="D10676" i="4"/>
  <c r="D10677" i="4"/>
  <c r="D10678" i="4"/>
  <c r="D10679" i="4"/>
  <c r="D10680" i="4"/>
  <c r="D10681" i="4"/>
  <c r="D10682" i="4"/>
  <c r="D10683" i="4"/>
  <c r="D10684" i="4"/>
  <c r="D10685" i="4"/>
  <c r="D10686" i="4"/>
  <c r="D10687" i="4"/>
  <c r="D10688" i="4"/>
  <c r="D10689" i="4"/>
  <c r="D10690" i="4"/>
  <c r="D10691" i="4"/>
  <c r="D10692" i="4"/>
  <c r="D10693" i="4"/>
  <c r="D10694" i="4"/>
  <c r="D10695" i="4"/>
  <c r="D10696" i="4"/>
  <c r="D10697" i="4"/>
  <c r="D10698" i="4"/>
  <c r="D10699" i="4"/>
  <c r="D10700" i="4"/>
  <c r="D10701" i="4"/>
  <c r="D10702" i="4"/>
  <c r="D10703" i="4"/>
  <c r="D10704" i="4"/>
  <c r="D10705" i="4"/>
  <c r="D10706" i="4"/>
  <c r="D10707" i="4"/>
  <c r="D10708" i="4"/>
  <c r="D10709" i="4"/>
  <c r="D10710" i="4"/>
  <c r="D10711" i="4"/>
  <c r="D10712" i="4"/>
  <c r="D10713" i="4"/>
  <c r="D10714" i="4"/>
  <c r="D10715" i="4"/>
  <c r="D10716" i="4"/>
  <c r="D10717" i="4"/>
  <c r="D10718" i="4"/>
  <c r="D10719" i="4"/>
  <c r="D10720" i="4"/>
  <c r="D10721" i="4"/>
  <c r="D10722" i="4"/>
  <c r="D10723" i="4"/>
  <c r="D10724" i="4"/>
  <c r="D10725" i="4"/>
  <c r="D10726" i="4"/>
  <c r="D10727" i="4"/>
  <c r="D10728" i="4"/>
  <c r="D10729" i="4"/>
  <c r="D10730" i="4"/>
  <c r="D10731" i="4"/>
  <c r="D10732" i="4"/>
  <c r="D10733" i="4"/>
  <c r="D10734" i="4"/>
  <c r="D10735" i="4"/>
  <c r="D10736" i="4"/>
  <c r="D10737" i="4"/>
  <c r="D10738" i="4"/>
  <c r="D10739" i="4"/>
  <c r="D10740" i="4"/>
  <c r="D10741" i="4"/>
  <c r="D10742" i="4"/>
  <c r="D10743" i="4"/>
  <c r="D10744" i="4"/>
  <c r="D10745" i="4"/>
  <c r="D10746" i="4"/>
  <c r="D10747" i="4"/>
  <c r="D10748" i="4"/>
  <c r="D10749" i="4"/>
  <c r="D10750" i="4"/>
  <c r="D10751" i="4"/>
  <c r="D10752" i="4"/>
  <c r="D10753" i="4"/>
  <c r="D10754" i="4"/>
  <c r="D10755" i="4"/>
  <c r="D10756" i="4"/>
  <c r="D10757" i="4"/>
  <c r="D10758" i="4"/>
  <c r="D10759" i="4"/>
  <c r="D10760" i="4"/>
  <c r="D10761" i="4"/>
  <c r="D10762" i="4"/>
  <c r="D10763" i="4"/>
  <c r="D10764" i="4"/>
  <c r="D10765" i="4"/>
  <c r="D10766" i="4"/>
  <c r="D10767" i="4"/>
  <c r="D10768" i="4"/>
  <c r="D10769" i="4"/>
  <c r="D10770" i="4"/>
  <c r="D10771" i="4"/>
  <c r="D10772" i="4"/>
  <c r="D10773" i="4"/>
  <c r="D10774" i="4"/>
  <c r="D10775" i="4"/>
  <c r="D10776" i="4"/>
  <c r="D10777" i="4"/>
  <c r="D10778" i="4"/>
  <c r="D10779" i="4"/>
  <c r="D10780" i="4"/>
  <c r="D10781" i="4"/>
  <c r="D10782" i="4"/>
  <c r="D10783" i="4"/>
  <c r="D10784" i="4"/>
  <c r="D10785" i="4"/>
  <c r="D10786" i="4"/>
  <c r="D10787" i="4"/>
  <c r="D10788" i="4"/>
  <c r="D10789" i="4"/>
  <c r="D10790" i="4"/>
  <c r="D10791" i="4"/>
  <c r="D10792" i="4"/>
  <c r="D10793" i="4"/>
  <c r="D10794" i="4"/>
  <c r="D10795" i="4"/>
  <c r="D10796" i="4"/>
  <c r="D10797" i="4"/>
  <c r="D10798" i="4"/>
  <c r="D10799" i="4"/>
  <c r="D10800" i="4"/>
  <c r="D10801" i="4"/>
  <c r="D10802" i="4"/>
  <c r="D10803" i="4"/>
  <c r="D10804" i="4"/>
  <c r="D10805" i="4"/>
  <c r="D10806" i="4"/>
  <c r="D10807" i="4"/>
  <c r="D10808" i="4"/>
  <c r="D10809" i="4"/>
  <c r="D10810" i="4"/>
  <c r="D10811" i="4"/>
  <c r="D10812" i="4"/>
  <c r="D10813" i="4"/>
  <c r="D10814" i="4"/>
  <c r="D10815" i="4"/>
  <c r="D10816" i="4"/>
  <c r="D10817" i="4"/>
  <c r="D10818" i="4"/>
  <c r="D10819" i="4"/>
  <c r="D10820" i="4"/>
  <c r="D10821" i="4"/>
  <c r="D10822" i="4"/>
  <c r="D10823" i="4"/>
  <c r="D10824" i="4"/>
  <c r="D10825" i="4"/>
  <c r="D10826" i="4"/>
  <c r="D10827" i="4"/>
  <c r="D10828" i="4"/>
  <c r="D10829" i="4"/>
  <c r="D10830" i="4"/>
  <c r="D10831" i="4"/>
  <c r="D10832" i="4"/>
  <c r="D10833" i="4"/>
  <c r="D10834" i="4"/>
  <c r="D10835" i="4"/>
  <c r="D10836" i="4"/>
  <c r="D10837" i="4"/>
  <c r="D10838" i="4"/>
  <c r="D10839" i="4"/>
  <c r="D10840" i="4"/>
  <c r="D10841" i="4"/>
  <c r="D10842" i="4"/>
  <c r="D10843" i="4"/>
  <c r="D10844" i="4"/>
  <c r="D10845" i="4"/>
  <c r="D10846" i="4"/>
  <c r="D10847" i="4"/>
  <c r="D10848" i="4"/>
  <c r="D10849" i="4"/>
  <c r="D10850" i="4"/>
  <c r="D10851" i="4"/>
  <c r="D10852" i="4"/>
  <c r="D10853" i="4"/>
  <c r="D10854" i="4"/>
  <c r="D10855" i="4"/>
  <c r="D10856" i="4"/>
  <c r="D10857" i="4"/>
  <c r="D10858" i="4"/>
  <c r="D10859" i="4"/>
  <c r="D10860" i="4"/>
  <c r="D10861" i="4"/>
  <c r="D10862" i="4"/>
  <c r="D10863" i="4"/>
  <c r="D10864" i="4"/>
  <c r="D10865" i="4"/>
  <c r="D10866" i="4"/>
  <c r="D10867" i="4"/>
  <c r="D10868" i="4"/>
  <c r="D10869" i="4"/>
  <c r="D10870" i="4"/>
  <c r="D10871" i="4"/>
  <c r="D10872" i="4"/>
  <c r="D10873" i="4"/>
  <c r="D10874" i="4"/>
  <c r="D10875" i="4"/>
  <c r="D10876" i="4"/>
  <c r="D10877" i="4"/>
  <c r="D10878" i="4"/>
  <c r="D10879" i="4"/>
  <c r="D10880" i="4"/>
  <c r="D10881" i="4"/>
  <c r="D10882" i="4"/>
  <c r="D10883" i="4"/>
  <c r="D10884" i="4"/>
  <c r="D10885" i="4"/>
  <c r="D10886" i="4"/>
  <c r="D10887" i="4"/>
  <c r="D10888" i="4"/>
  <c r="D10889" i="4"/>
  <c r="D10890" i="4"/>
  <c r="D10891" i="4"/>
  <c r="D10892" i="4"/>
  <c r="D10893" i="4"/>
  <c r="D10894" i="4"/>
  <c r="D10895" i="4"/>
  <c r="D10896" i="4"/>
  <c r="D10897" i="4"/>
  <c r="D10898" i="4"/>
  <c r="D10899" i="4"/>
  <c r="D10900" i="4"/>
  <c r="D10901" i="4"/>
  <c r="D10902" i="4"/>
  <c r="D10903" i="4"/>
  <c r="D10904" i="4"/>
  <c r="D10905" i="4"/>
  <c r="D10906" i="4"/>
  <c r="D10907" i="4"/>
  <c r="D10908" i="4"/>
  <c r="D10909" i="4"/>
  <c r="D10910" i="4"/>
  <c r="D10911" i="4"/>
  <c r="D10912" i="4"/>
  <c r="D10913" i="4"/>
  <c r="D10914" i="4"/>
  <c r="D10915" i="4"/>
  <c r="D10916" i="4"/>
  <c r="D10917" i="4"/>
  <c r="D10918" i="4"/>
  <c r="D10919" i="4"/>
  <c r="D10920" i="4"/>
  <c r="D10921" i="4"/>
  <c r="D10922" i="4"/>
  <c r="D10923" i="4"/>
  <c r="D10924" i="4"/>
  <c r="D10925" i="4"/>
  <c r="D10926" i="4"/>
  <c r="D10927" i="4"/>
  <c r="D10928" i="4"/>
  <c r="D10929" i="4"/>
  <c r="D10930" i="4"/>
  <c r="D10931" i="4"/>
  <c r="D10932" i="4"/>
  <c r="D10933" i="4"/>
  <c r="D10934" i="4"/>
  <c r="D10935" i="4"/>
  <c r="D10936" i="4"/>
  <c r="D10937" i="4"/>
  <c r="D10938" i="4"/>
  <c r="D10939" i="4"/>
  <c r="D10940" i="4"/>
  <c r="D10941" i="4"/>
  <c r="D10942" i="4"/>
  <c r="D10943" i="4"/>
  <c r="D10944" i="4"/>
  <c r="D10945" i="4"/>
  <c r="D10946" i="4"/>
  <c r="D10947" i="4"/>
  <c r="D10948" i="4"/>
  <c r="D10949" i="4"/>
  <c r="D10950" i="4"/>
  <c r="D10951" i="4"/>
  <c r="D10952" i="4"/>
  <c r="D10953" i="4"/>
  <c r="D10954" i="4"/>
  <c r="D10955" i="4"/>
  <c r="D10956" i="4"/>
  <c r="D10957" i="4"/>
  <c r="D10958" i="4"/>
  <c r="D10959" i="4"/>
  <c r="D10960" i="4"/>
  <c r="D10961" i="4"/>
  <c r="D10962" i="4"/>
  <c r="D10963" i="4"/>
  <c r="D10964" i="4"/>
  <c r="D10965" i="4"/>
  <c r="D10966" i="4"/>
  <c r="D10967" i="4"/>
  <c r="D10968" i="4"/>
  <c r="D10969" i="4"/>
  <c r="D10970" i="4"/>
  <c r="D10971" i="4"/>
  <c r="D10972" i="4"/>
  <c r="D10973" i="4"/>
  <c r="D10974" i="4"/>
  <c r="D10975" i="4"/>
  <c r="D10976" i="4"/>
  <c r="D10977" i="4"/>
  <c r="D10978" i="4"/>
  <c r="D10979" i="4"/>
  <c r="D10980" i="4"/>
  <c r="D10981" i="4"/>
  <c r="D10982" i="4"/>
  <c r="D10983" i="4"/>
  <c r="D10984" i="4"/>
  <c r="D10985" i="4"/>
  <c r="D10986" i="4"/>
  <c r="D10987" i="4"/>
  <c r="D10988" i="4"/>
  <c r="D10989" i="4"/>
  <c r="D10990" i="4"/>
  <c r="D10991" i="4"/>
  <c r="D10992" i="4"/>
  <c r="D10993" i="4"/>
  <c r="D10994" i="4"/>
  <c r="D10995" i="4"/>
  <c r="D10996" i="4"/>
  <c r="D10997" i="4"/>
  <c r="D10998" i="4"/>
  <c r="D10999" i="4"/>
  <c r="D11000" i="4"/>
  <c r="D11001" i="4"/>
  <c r="D11002" i="4"/>
  <c r="D11003" i="4"/>
  <c r="D11004" i="4"/>
  <c r="D11005" i="4"/>
  <c r="D11006" i="4"/>
  <c r="D11007" i="4"/>
  <c r="D11008" i="4"/>
  <c r="D11009" i="4"/>
  <c r="D11010" i="4"/>
  <c r="D11011" i="4"/>
  <c r="D11012" i="4"/>
  <c r="D11013" i="4"/>
  <c r="D11014" i="4"/>
  <c r="D11015" i="4"/>
  <c r="D11016" i="4"/>
  <c r="D11017" i="4"/>
  <c r="D11018" i="4"/>
  <c r="D11019" i="4"/>
  <c r="D11020" i="4"/>
  <c r="D11021" i="4"/>
  <c r="D11022" i="4"/>
  <c r="D11023" i="4"/>
  <c r="D11024" i="4"/>
  <c r="D11025" i="4"/>
  <c r="D11026" i="4"/>
  <c r="D11027" i="4"/>
  <c r="D11028" i="4"/>
  <c r="D11029" i="4"/>
  <c r="D11030" i="4"/>
  <c r="D11031" i="4"/>
  <c r="D11032" i="4"/>
  <c r="D11033" i="4"/>
  <c r="D11034" i="4"/>
  <c r="D11035" i="4"/>
  <c r="D11036" i="4"/>
  <c r="D11037" i="4"/>
  <c r="D11038" i="4"/>
  <c r="D11039" i="4"/>
  <c r="D11040" i="4"/>
  <c r="D11041" i="4"/>
  <c r="D11042" i="4"/>
  <c r="D11043" i="4"/>
  <c r="D11044" i="4"/>
  <c r="D11045" i="4"/>
  <c r="D11046" i="4"/>
  <c r="D11047" i="4"/>
  <c r="D11048" i="4"/>
  <c r="D11049" i="4"/>
  <c r="D11050" i="4"/>
  <c r="D11051" i="4"/>
  <c r="D11052" i="4"/>
  <c r="D11053" i="4"/>
  <c r="D11054" i="4"/>
  <c r="D11055" i="4"/>
  <c r="D11056" i="4"/>
  <c r="D11057" i="4"/>
  <c r="D11058" i="4"/>
  <c r="D11059" i="4"/>
  <c r="D11060" i="4"/>
  <c r="D11061" i="4"/>
  <c r="D11062" i="4"/>
  <c r="D11063" i="4"/>
  <c r="D11064" i="4"/>
  <c r="D11065" i="4"/>
  <c r="D11066" i="4"/>
  <c r="D11067" i="4"/>
  <c r="D11068" i="4"/>
  <c r="D11069" i="4"/>
  <c r="D11070" i="4"/>
  <c r="D11071" i="4"/>
  <c r="D11072" i="4"/>
  <c r="D11073" i="4"/>
  <c r="D11074" i="4"/>
  <c r="D11075" i="4"/>
  <c r="D11076" i="4"/>
  <c r="D11077" i="4"/>
  <c r="D11078" i="4"/>
  <c r="D11079" i="4"/>
  <c r="D11080" i="4"/>
  <c r="D11081" i="4"/>
  <c r="D11082" i="4"/>
  <c r="D11083" i="4"/>
  <c r="D11084" i="4"/>
  <c r="D11085" i="4"/>
  <c r="D11086" i="4"/>
  <c r="D11087" i="4"/>
  <c r="D11088" i="4"/>
  <c r="D11089" i="4"/>
  <c r="D11090" i="4"/>
  <c r="D11091" i="4"/>
  <c r="D11092" i="4"/>
  <c r="D11093" i="4"/>
  <c r="D11094" i="4"/>
  <c r="D11095" i="4"/>
  <c r="D11096" i="4"/>
  <c r="D11097" i="4"/>
  <c r="D11098" i="4"/>
  <c r="D11099" i="4"/>
  <c r="D11100" i="4"/>
  <c r="D11101" i="4"/>
  <c r="D11102" i="4"/>
  <c r="D11103" i="4"/>
  <c r="D11104" i="4"/>
  <c r="D11105" i="4"/>
  <c r="D11106" i="4"/>
  <c r="D11107" i="4"/>
  <c r="D11108" i="4"/>
  <c r="D11109" i="4"/>
  <c r="D11110" i="4"/>
  <c r="D11111" i="4"/>
  <c r="D11112" i="4"/>
  <c r="D11113" i="4"/>
  <c r="D11114" i="4"/>
  <c r="D11115" i="4"/>
  <c r="D11116" i="4"/>
  <c r="D11117" i="4"/>
  <c r="D11118" i="4"/>
  <c r="D11119" i="4"/>
  <c r="D11120" i="4"/>
  <c r="D11121" i="4"/>
  <c r="D11122" i="4"/>
  <c r="D11123" i="4"/>
  <c r="D11124" i="4"/>
  <c r="D11125" i="4"/>
  <c r="D11126" i="4"/>
  <c r="D11127" i="4"/>
  <c r="D11128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1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7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6" i="4"/>
  <c r="C3377" i="4"/>
  <c r="C3378" i="4"/>
  <c r="C3379" i="4"/>
  <c r="C3380" i="4"/>
  <c r="C3381" i="4"/>
  <c r="C3382" i="4"/>
  <c r="C3383" i="4"/>
  <c r="C3384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0" i="4"/>
  <c r="C3401" i="4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5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3655" i="4"/>
  <c r="C3656" i="4"/>
  <c r="C3657" i="4"/>
  <c r="C3658" i="4"/>
  <c r="C3659" i="4"/>
  <c r="C3660" i="4"/>
  <c r="C3661" i="4"/>
  <c r="C3662" i="4"/>
  <c r="C3663" i="4"/>
  <c r="C3664" i="4"/>
  <c r="C3665" i="4"/>
  <c r="C3666" i="4"/>
  <c r="C3667" i="4"/>
  <c r="C3668" i="4"/>
  <c r="C3669" i="4"/>
  <c r="C3670" i="4"/>
  <c r="C3671" i="4"/>
  <c r="C3672" i="4"/>
  <c r="C3673" i="4"/>
  <c r="C3674" i="4"/>
  <c r="C3675" i="4"/>
  <c r="C3676" i="4"/>
  <c r="C3677" i="4"/>
  <c r="C3678" i="4"/>
  <c r="C3679" i="4"/>
  <c r="C3680" i="4"/>
  <c r="C3681" i="4"/>
  <c r="C3682" i="4"/>
  <c r="C3683" i="4"/>
  <c r="C3684" i="4"/>
  <c r="C3685" i="4"/>
  <c r="C3686" i="4"/>
  <c r="C3687" i="4"/>
  <c r="C3688" i="4"/>
  <c r="C3689" i="4"/>
  <c r="C3690" i="4"/>
  <c r="C3691" i="4"/>
  <c r="C3692" i="4"/>
  <c r="C3693" i="4"/>
  <c r="C3694" i="4"/>
  <c r="C3695" i="4"/>
  <c r="C3696" i="4"/>
  <c r="C3697" i="4"/>
  <c r="C3698" i="4"/>
  <c r="C3699" i="4"/>
  <c r="C3700" i="4"/>
  <c r="C3701" i="4"/>
  <c r="C3702" i="4"/>
  <c r="C3703" i="4"/>
  <c r="C3704" i="4"/>
  <c r="C3705" i="4"/>
  <c r="C3706" i="4"/>
  <c r="C3707" i="4"/>
  <c r="C3708" i="4"/>
  <c r="C3709" i="4"/>
  <c r="C3710" i="4"/>
  <c r="C3711" i="4"/>
  <c r="C3712" i="4"/>
  <c r="C3713" i="4"/>
  <c r="C3714" i="4"/>
  <c r="C3715" i="4"/>
  <c r="C3716" i="4"/>
  <c r="C3717" i="4"/>
  <c r="C3718" i="4"/>
  <c r="C3719" i="4"/>
  <c r="C3720" i="4"/>
  <c r="C3721" i="4"/>
  <c r="C3722" i="4"/>
  <c r="C3723" i="4"/>
  <c r="C3724" i="4"/>
  <c r="C3725" i="4"/>
  <c r="C3726" i="4"/>
  <c r="C3727" i="4"/>
  <c r="C3728" i="4"/>
  <c r="C3729" i="4"/>
  <c r="C3730" i="4"/>
  <c r="C3731" i="4"/>
  <c r="C3732" i="4"/>
  <c r="C3733" i="4"/>
  <c r="C3734" i="4"/>
  <c r="C3735" i="4"/>
  <c r="C3736" i="4"/>
  <c r="C3737" i="4"/>
  <c r="C3738" i="4"/>
  <c r="C3739" i="4"/>
  <c r="C3740" i="4"/>
  <c r="C3741" i="4"/>
  <c r="C3742" i="4"/>
  <c r="C3743" i="4"/>
  <c r="C3744" i="4"/>
  <c r="C3745" i="4"/>
  <c r="C3746" i="4"/>
  <c r="C3747" i="4"/>
  <c r="C3748" i="4"/>
  <c r="C3749" i="4"/>
  <c r="C3750" i="4"/>
  <c r="C3751" i="4"/>
  <c r="C3752" i="4"/>
  <c r="C3753" i="4"/>
  <c r="C3754" i="4"/>
  <c r="C3755" i="4"/>
  <c r="C3756" i="4"/>
  <c r="C3757" i="4"/>
  <c r="C3758" i="4"/>
  <c r="C3759" i="4"/>
  <c r="C3760" i="4"/>
  <c r="C3761" i="4"/>
  <c r="C3762" i="4"/>
  <c r="C3763" i="4"/>
  <c r="C3764" i="4"/>
  <c r="C3765" i="4"/>
  <c r="C3766" i="4"/>
  <c r="C3767" i="4"/>
  <c r="C3768" i="4"/>
  <c r="C3769" i="4"/>
  <c r="C3770" i="4"/>
  <c r="C3771" i="4"/>
  <c r="C3772" i="4"/>
  <c r="C3773" i="4"/>
  <c r="C3774" i="4"/>
  <c r="C3775" i="4"/>
  <c r="C3776" i="4"/>
  <c r="C3777" i="4"/>
  <c r="C3778" i="4"/>
  <c r="C3779" i="4"/>
  <c r="C3780" i="4"/>
  <c r="C3781" i="4"/>
  <c r="C3782" i="4"/>
  <c r="C3783" i="4"/>
  <c r="C3784" i="4"/>
  <c r="C3785" i="4"/>
  <c r="C3786" i="4"/>
  <c r="C3787" i="4"/>
  <c r="C3788" i="4"/>
  <c r="C3789" i="4"/>
  <c r="C3790" i="4"/>
  <c r="C3791" i="4"/>
  <c r="C3792" i="4"/>
  <c r="C3793" i="4"/>
  <c r="C3794" i="4"/>
  <c r="C3795" i="4"/>
  <c r="C3796" i="4"/>
  <c r="C3797" i="4"/>
  <c r="C3798" i="4"/>
  <c r="C3799" i="4"/>
  <c r="C3800" i="4"/>
  <c r="C3801" i="4"/>
  <c r="C3802" i="4"/>
  <c r="C3803" i="4"/>
  <c r="C3804" i="4"/>
  <c r="C3805" i="4"/>
  <c r="C3806" i="4"/>
  <c r="C3807" i="4"/>
  <c r="C3808" i="4"/>
  <c r="C3809" i="4"/>
  <c r="C3810" i="4"/>
  <c r="C3811" i="4"/>
  <c r="C3812" i="4"/>
  <c r="C3813" i="4"/>
  <c r="C3814" i="4"/>
  <c r="C3815" i="4"/>
  <c r="C3816" i="4"/>
  <c r="C3817" i="4"/>
  <c r="C3818" i="4"/>
  <c r="C3819" i="4"/>
  <c r="C3820" i="4"/>
  <c r="C3821" i="4"/>
  <c r="C3822" i="4"/>
  <c r="C3823" i="4"/>
  <c r="C3824" i="4"/>
  <c r="C3825" i="4"/>
  <c r="C3826" i="4"/>
  <c r="C3827" i="4"/>
  <c r="C3828" i="4"/>
  <c r="C3829" i="4"/>
  <c r="C3830" i="4"/>
  <c r="C3831" i="4"/>
  <c r="C3832" i="4"/>
  <c r="C3833" i="4"/>
  <c r="C3834" i="4"/>
  <c r="C3835" i="4"/>
  <c r="C3836" i="4"/>
  <c r="C3837" i="4"/>
  <c r="C3838" i="4"/>
  <c r="C3839" i="4"/>
  <c r="C3840" i="4"/>
  <c r="C3841" i="4"/>
  <c r="C3842" i="4"/>
  <c r="C3843" i="4"/>
  <c r="C3844" i="4"/>
  <c r="C3845" i="4"/>
  <c r="C3846" i="4"/>
  <c r="C3847" i="4"/>
  <c r="C3848" i="4"/>
  <c r="C3849" i="4"/>
  <c r="C3850" i="4"/>
  <c r="C3851" i="4"/>
  <c r="C3852" i="4"/>
  <c r="C3853" i="4"/>
  <c r="C3854" i="4"/>
  <c r="C3855" i="4"/>
  <c r="C3856" i="4"/>
  <c r="C3857" i="4"/>
  <c r="C3858" i="4"/>
  <c r="C3859" i="4"/>
  <c r="C3860" i="4"/>
  <c r="C3861" i="4"/>
  <c r="C3862" i="4"/>
  <c r="C3863" i="4"/>
  <c r="C3864" i="4"/>
  <c r="C3865" i="4"/>
  <c r="C3866" i="4"/>
  <c r="C3867" i="4"/>
  <c r="C3868" i="4"/>
  <c r="C3869" i="4"/>
  <c r="C3870" i="4"/>
  <c r="C3871" i="4"/>
  <c r="C3872" i="4"/>
  <c r="C3873" i="4"/>
  <c r="C3874" i="4"/>
  <c r="C3875" i="4"/>
  <c r="C3876" i="4"/>
  <c r="C3877" i="4"/>
  <c r="C3878" i="4"/>
  <c r="C3879" i="4"/>
  <c r="C3880" i="4"/>
  <c r="C3881" i="4"/>
  <c r="C3882" i="4"/>
  <c r="C3883" i="4"/>
  <c r="C3884" i="4"/>
  <c r="C3885" i="4"/>
  <c r="C3886" i="4"/>
  <c r="C3887" i="4"/>
  <c r="C3888" i="4"/>
  <c r="C3889" i="4"/>
  <c r="C3890" i="4"/>
  <c r="C3891" i="4"/>
  <c r="C3892" i="4"/>
  <c r="C3893" i="4"/>
  <c r="C3894" i="4"/>
  <c r="C3895" i="4"/>
  <c r="C3896" i="4"/>
  <c r="C3897" i="4"/>
  <c r="C3898" i="4"/>
  <c r="C3899" i="4"/>
  <c r="C3900" i="4"/>
  <c r="C3901" i="4"/>
  <c r="C3902" i="4"/>
  <c r="C3903" i="4"/>
  <c r="C3904" i="4"/>
  <c r="C3905" i="4"/>
  <c r="C3906" i="4"/>
  <c r="C3907" i="4"/>
  <c r="C3908" i="4"/>
  <c r="C3909" i="4"/>
  <c r="C3910" i="4"/>
  <c r="C3911" i="4"/>
  <c r="C3912" i="4"/>
  <c r="C3913" i="4"/>
  <c r="C3914" i="4"/>
  <c r="C3915" i="4"/>
  <c r="C3916" i="4"/>
  <c r="C3917" i="4"/>
  <c r="C3918" i="4"/>
  <c r="C3919" i="4"/>
  <c r="C3920" i="4"/>
  <c r="C3921" i="4"/>
  <c r="C3922" i="4"/>
  <c r="C3923" i="4"/>
  <c r="C3924" i="4"/>
  <c r="C3925" i="4"/>
  <c r="C3926" i="4"/>
  <c r="C3927" i="4"/>
  <c r="C3928" i="4"/>
  <c r="C3929" i="4"/>
  <c r="C3930" i="4"/>
  <c r="C3931" i="4"/>
  <c r="C3932" i="4"/>
  <c r="C3933" i="4"/>
  <c r="C3934" i="4"/>
  <c r="C3935" i="4"/>
  <c r="C3936" i="4"/>
  <c r="C3937" i="4"/>
  <c r="C3938" i="4"/>
  <c r="C3939" i="4"/>
  <c r="C3940" i="4"/>
  <c r="C3941" i="4"/>
  <c r="C3942" i="4"/>
  <c r="C3943" i="4"/>
  <c r="C3944" i="4"/>
  <c r="C3945" i="4"/>
  <c r="C3946" i="4"/>
  <c r="C3947" i="4"/>
  <c r="C3948" i="4"/>
  <c r="C3949" i="4"/>
  <c r="C3950" i="4"/>
  <c r="C3951" i="4"/>
  <c r="C3952" i="4"/>
  <c r="C3953" i="4"/>
  <c r="C3954" i="4"/>
  <c r="C3955" i="4"/>
  <c r="C3956" i="4"/>
  <c r="C3957" i="4"/>
  <c r="C3958" i="4"/>
  <c r="C3959" i="4"/>
  <c r="C3960" i="4"/>
  <c r="C3961" i="4"/>
  <c r="C3962" i="4"/>
  <c r="C3963" i="4"/>
  <c r="C3964" i="4"/>
  <c r="C3965" i="4"/>
  <c r="C3966" i="4"/>
  <c r="C3967" i="4"/>
  <c r="C3968" i="4"/>
  <c r="C3969" i="4"/>
  <c r="C3970" i="4"/>
  <c r="C3971" i="4"/>
  <c r="C3972" i="4"/>
  <c r="C3973" i="4"/>
  <c r="C3974" i="4"/>
  <c r="C3975" i="4"/>
  <c r="C3976" i="4"/>
  <c r="C3977" i="4"/>
  <c r="C3978" i="4"/>
  <c r="C3979" i="4"/>
  <c r="C3980" i="4"/>
  <c r="C3981" i="4"/>
  <c r="C3982" i="4"/>
  <c r="C3983" i="4"/>
  <c r="C3984" i="4"/>
  <c r="C3985" i="4"/>
  <c r="C3986" i="4"/>
  <c r="C3987" i="4"/>
  <c r="C3988" i="4"/>
  <c r="C3989" i="4"/>
  <c r="C3990" i="4"/>
  <c r="C3991" i="4"/>
  <c r="C3992" i="4"/>
  <c r="C3993" i="4"/>
  <c r="C3994" i="4"/>
  <c r="C3995" i="4"/>
  <c r="C3996" i="4"/>
  <c r="C3997" i="4"/>
  <c r="C3998" i="4"/>
  <c r="C3999" i="4"/>
  <c r="C4000" i="4"/>
  <c r="C4001" i="4"/>
  <c r="C4002" i="4"/>
  <c r="C4003" i="4"/>
  <c r="C4004" i="4"/>
  <c r="C4005" i="4"/>
  <c r="C4006" i="4"/>
  <c r="C4007" i="4"/>
  <c r="C4008" i="4"/>
  <c r="C4009" i="4"/>
  <c r="C4010" i="4"/>
  <c r="C4011" i="4"/>
  <c r="C4012" i="4"/>
  <c r="C4013" i="4"/>
  <c r="C4014" i="4"/>
  <c r="C4015" i="4"/>
  <c r="C4016" i="4"/>
  <c r="C4017" i="4"/>
  <c r="C4018" i="4"/>
  <c r="C4019" i="4"/>
  <c r="C4020" i="4"/>
  <c r="C4021" i="4"/>
  <c r="C4022" i="4"/>
  <c r="C4023" i="4"/>
  <c r="C4024" i="4"/>
  <c r="C4025" i="4"/>
  <c r="C4026" i="4"/>
  <c r="C4027" i="4"/>
  <c r="C4028" i="4"/>
  <c r="C4029" i="4"/>
  <c r="C4030" i="4"/>
  <c r="C4031" i="4"/>
  <c r="C4032" i="4"/>
  <c r="C4033" i="4"/>
  <c r="C4034" i="4"/>
  <c r="C4035" i="4"/>
  <c r="C4036" i="4"/>
  <c r="C4037" i="4"/>
  <c r="C4038" i="4"/>
  <c r="C4039" i="4"/>
  <c r="C4040" i="4"/>
  <c r="C4041" i="4"/>
  <c r="C4042" i="4"/>
  <c r="C4043" i="4"/>
  <c r="C4044" i="4"/>
  <c r="C4045" i="4"/>
  <c r="C4046" i="4"/>
  <c r="C4047" i="4"/>
  <c r="C4048" i="4"/>
  <c r="C4049" i="4"/>
  <c r="C4050" i="4"/>
  <c r="C4051" i="4"/>
  <c r="C4052" i="4"/>
  <c r="C4053" i="4"/>
  <c r="C4054" i="4"/>
  <c r="C4055" i="4"/>
  <c r="C4056" i="4"/>
  <c r="C4057" i="4"/>
  <c r="C4058" i="4"/>
  <c r="C4059" i="4"/>
  <c r="C4060" i="4"/>
  <c r="C4061" i="4"/>
  <c r="C4062" i="4"/>
  <c r="C4063" i="4"/>
  <c r="C4064" i="4"/>
  <c r="C4065" i="4"/>
  <c r="C4066" i="4"/>
  <c r="C4067" i="4"/>
  <c r="C4068" i="4"/>
  <c r="C4069" i="4"/>
  <c r="C4070" i="4"/>
  <c r="C4071" i="4"/>
  <c r="C4072" i="4"/>
  <c r="C4073" i="4"/>
  <c r="C4074" i="4"/>
  <c r="C4075" i="4"/>
  <c r="C4076" i="4"/>
  <c r="C4077" i="4"/>
  <c r="C4078" i="4"/>
  <c r="C4079" i="4"/>
  <c r="C4080" i="4"/>
  <c r="C4081" i="4"/>
  <c r="C4082" i="4"/>
  <c r="C4083" i="4"/>
  <c r="C4084" i="4"/>
  <c r="C4085" i="4"/>
  <c r="C4086" i="4"/>
  <c r="C4087" i="4"/>
  <c r="C4088" i="4"/>
  <c r="C4089" i="4"/>
  <c r="C4090" i="4"/>
  <c r="C4091" i="4"/>
  <c r="C4092" i="4"/>
  <c r="C4093" i="4"/>
  <c r="C4094" i="4"/>
  <c r="C4095" i="4"/>
  <c r="C4096" i="4"/>
  <c r="C4097" i="4"/>
  <c r="C4098" i="4"/>
  <c r="C4099" i="4"/>
  <c r="C4100" i="4"/>
  <c r="C4101" i="4"/>
  <c r="C4102" i="4"/>
  <c r="C4103" i="4"/>
  <c r="C4104" i="4"/>
  <c r="C4105" i="4"/>
  <c r="C4106" i="4"/>
  <c r="C4107" i="4"/>
  <c r="C4108" i="4"/>
  <c r="C4109" i="4"/>
  <c r="C4110" i="4"/>
  <c r="C4111" i="4"/>
  <c r="C4112" i="4"/>
  <c r="C4113" i="4"/>
  <c r="C4114" i="4"/>
  <c r="C4115" i="4"/>
  <c r="C4116" i="4"/>
  <c r="C4117" i="4"/>
  <c r="C4118" i="4"/>
  <c r="C4119" i="4"/>
  <c r="C4120" i="4"/>
  <c r="C4121" i="4"/>
  <c r="C4122" i="4"/>
  <c r="C4123" i="4"/>
  <c r="C4124" i="4"/>
  <c r="C4125" i="4"/>
  <c r="C4126" i="4"/>
  <c r="C4127" i="4"/>
  <c r="C4128" i="4"/>
  <c r="C4129" i="4"/>
  <c r="C4130" i="4"/>
  <c r="C4131" i="4"/>
  <c r="C4132" i="4"/>
  <c r="C4133" i="4"/>
  <c r="C4134" i="4"/>
  <c r="C4135" i="4"/>
  <c r="C4136" i="4"/>
  <c r="C4137" i="4"/>
  <c r="C4138" i="4"/>
  <c r="C4139" i="4"/>
  <c r="C4140" i="4"/>
  <c r="C4141" i="4"/>
  <c r="C4142" i="4"/>
  <c r="C4143" i="4"/>
  <c r="C4144" i="4"/>
  <c r="C4145" i="4"/>
  <c r="C4146" i="4"/>
  <c r="C4147" i="4"/>
  <c r="C4148" i="4"/>
  <c r="C4149" i="4"/>
  <c r="C4150" i="4"/>
  <c r="C4151" i="4"/>
  <c r="C4152" i="4"/>
  <c r="C4153" i="4"/>
  <c r="C4154" i="4"/>
  <c r="C4155" i="4"/>
  <c r="C4156" i="4"/>
  <c r="C4157" i="4"/>
  <c r="C4158" i="4"/>
  <c r="C4159" i="4"/>
  <c r="C4160" i="4"/>
  <c r="C4161" i="4"/>
  <c r="C4162" i="4"/>
  <c r="C4163" i="4"/>
  <c r="C4164" i="4"/>
  <c r="C4165" i="4"/>
  <c r="C4166" i="4"/>
  <c r="C4167" i="4"/>
  <c r="C4168" i="4"/>
  <c r="C4169" i="4"/>
  <c r="C4170" i="4"/>
  <c r="C4171" i="4"/>
  <c r="C4172" i="4"/>
  <c r="C4173" i="4"/>
  <c r="C4174" i="4"/>
  <c r="C4175" i="4"/>
  <c r="C4176" i="4"/>
  <c r="C4177" i="4"/>
  <c r="C4178" i="4"/>
  <c r="C4179" i="4"/>
  <c r="C4180" i="4"/>
  <c r="C4181" i="4"/>
  <c r="C4182" i="4"/>
  <c r="C4183" i="4"/>
  <c r="C4184" i="4"/>
  <c r="C4185" i="4"/>
  <c r="C4186" i="4"/>
  <c r="C4187" i="4"/>
  <c r="C4188" i="4"/>
  <c r="C4189" i="4"/>
  <c r="C4190" i="4"/>
  <c r="C4191" i="4"/>
  <c r="C4192" i="4"/>
  <c r="C4193" i="4"/>
  <c r="C4194" i="4"/>
  <c r="C4195" i="4"/>
  <c r="C4196" i="4"/>
  <c r="C4197" i="4"/>
  <c r="C4198" i="4"/>
  <c r="C4199" i="4"/>
  <c r="C4200" i="4"/>
  <c r="C4201" i="4"/>
  <c r="C4202" i="4"/>
  <c r="C4203" i="4"/>
  <c r="C4204" i="4"/>
  <c r="C4205" i="4"/>
  <c r="C4206" i="4"/>
  <c r="C4207" i="4"/>
  <c r="C4208" i="4"/>
  <c r="C4209" i="4"/>
  <c r="C4210" i="4"/>
  <c r="C4211" i="4"/>
  <c r="C4212" i="4"/>
  <c r="C4213" i="4"/>
  <c r="C4214" i="4"/>
  <c r="C4215" i="4"/>
  <c r="C4216" i="4"/>
  <c r="C4217" i="4"/>
  <c r="C4218" i="4"/>
  <c r="C4219" i="4"/>
  <c r="C4220" i="4"/>
  <c r="C4221" i="4"/>
  <c r="C4222" i="4"/>
  <c r="C4223" i="4"/>
  <c r="C4224" i="4"/>
  <c r="C4225" i="4"/>
  <c r="C4226" i="4"/>
  <c r="C4227" i="4"/>
  <c r="C4228" i="4"/>
  <c r="C4229" i="4"/>
  <c r="C4230" i="4"/>
  <c r="C4231" i="4"/>
  <c r="C4232" i="4"/>
  <c r="C4233" i="4"/>
  <c r="C4234" i="4"/>
  <c r="C4235" i="4"/>
  <c r="C4236" i="4"/>
  <c r="C4237" i="4"/>
  <c r="C4238" i="4"/>
  <c r="C4239" i="4"/>
  <c r="C4240" i="4"/>
  <c r="C4241" i="4"/>
  <c r="C4242" i="4"/>
  <c r="C4243" i="4"/>
  <c r="C4244" i="4"/>
  <c r="C4245" i="4"/>
  <c r="C4246" i="4"/>
  <c r="C4247" i="4"/>
  <c r="C4248" i="4"/>
  <c r="C4249" i="4"/>
  <c r="C4250" i="4"/>
  <c r="C4251" i="4"/>
  <c r="C4252" i="4"/>
  <c r="C4253" i="4"/>
  <c r="C4254" i="4"/>
  <c r="C4255" i="4"/>
  <c r="C4256" i="4"/>
  <c r="C4257" i="4"/>
  <c r="C4258" i="4"/>
  <c r="C4259" i="4"/>
  <c r="C4260" i="4"/>
  <c r="C4261" i="4"/>
  <c r="C4262" i="4"/>
  <c r="C4263" i="4"/>
  <c r="C4264" i="4"/>
  <c r="C4265" i="4"/>
  <c r="C4266" i="4"/>
  <c r="C4267" i="4"/>
  <c r="C4268" i="4"/>
  <c r="C4269" i="4"/>
  <c r="C4270" i="4"/>
  <c r="C4271" i="4"/>
  <c r="C4272" i="4"/>
  <c r="C4273" i="4"/>
  <c r="C4274" i="4"/>
  <c r="C4275" i="4"/>
  <c r="C4276" i="4"/>
  <c r="C4277" i="4"/>
  <c r="C4278" i="4"/>
  <c r="C4279" i="4"/>
  <c r="C4280" i="4"/>
  <c r="C4281" i="4"/>
  <c r="C4282" i="4"/>
  <c r="C4283" i="4"/>
  <c r="C4284" i="4"/>
  <c r="C4285" i="4"/>
  <c r="C4286" i="4"/>
  <c r="C4287" i="4"/>
  <c r="C4288" i="4"/>
  <c r="C4289" i="4"/>
  <c r="C4290" i="4"/>
  <c r="C4291" i="4"/>
  <c r="C4292" i="4"/>
  <c r="C4293" i="4"/>
  <c r="C4294" i="4"/>
  <c r="C4295" i="4"/>
  <c r="C4296" i="4"/>
  <c r="C4297" i="4"/>
  <c r="C4298" i="4"/>
  <c r="C4299" i="4"/>
  <c r="C4300" i="4"/>
  <c r="C4301" i="4"/>
  <c r="C4302" i="4"/>
  <c r="C4303" i="4"/>
  <c r="C4304" i="4"/>
  <c r="C4305" i="4"/>
  <c r="C4306" i="4"/>
  <c r="C4307" i="4"/>
  <c r="C4308" i="4"/>
  <c r="C4309" i="4"/>
  <c r="C4310" i="4"/>
  <c r="C4311" i="4"/>
  <c r="C4312" i="4"/>
  <c r="C4313" i="4"/>
  <c r="C4314" i="4"/>
  <c r="C4315" i="4"/>
  <c r="C4316" i="4"/>
  <c r="C4317" i="4"/>
  <c r="C4318" i="4"/>
  <c r="C4319" i="4"/>
  <c r="C4320" i="4"/>
  <c r="C4321" i="4"/>
  <c r="C4322" i="4"/>
  <c r="C4323" i="4"/>
  <c r="C4324" i="4"/>
  <c r="C4325" i="4"/>
  <c r="C4326" i="4"/>
  <c r="C4327" i="4"/>
  <c r="C4328" i="4"/>
  <c r="C4329" i="4"/>
  <c r="C4330" i="4"/>
  <c r="C4331" i="4"/>
  <c r="C4332" i="4"/>
  <c r="C4333" i="4"/>
  <c r="C4334" i="4"/>
  <c r="C4335" i="4"/>
  <c r="C4336" i="4"/>
  <c r="C4337" i="4"/>
  <c r="C4338" i="4"/>
  <c r="C4339" i="4"/>
  <c r="C4340" i="4"/>
  <c r="C4341" i="4"/>
  <c r="C4342" i="4"/>
  <c r="C4343" i="4"/>
  <c r="C4344" i="4"/>
  <c r="C4345" i="4"/>
  <c r="C4346" i="4"/>
  <c r="C4347" i="4"/>
  <c r="C4348" i="4"/>
  <c r="C4349" i="4"/>
  <c r="C4350" i="4"/>
  <c r="C4351" i="4"/>
  <c r="C4352" i="4"/>
  <c r="C4353" i="4"/>
  <c r="C4354" i="4"/>
  <c r="C4355" i="4"/>
  <c r="C4356" i="4"/>
  <c r="C4357" i="4"/>
  <c r="C4358" i="4"/>
  <c r="C4359" i="4"/>
  <c r="C4360" i="4"/>
  <c r="C4361" i="4"/>
  <c r="C4362" i="4"/>
  <c r="C4363" i="4"/>
  <c r="C4364" i="4"/>
  <c r="C4365" i="4"/>
  <c r="C4366" i="4"/>
  <c r="C4367" i="4"/>
  <c r="C4368" i="4"/>
  <c r="C4369" i="4"/>
  <c r="C4370" i="4"/>
  <c r="C4371" i="4"/>
  <c r="C4372" i="4"/>
  <c r="C4373" i="4"/>
  <c r="C4374" i="4"/>
  <c r="C4375" i="4"/>
  <c r="C4376" i="4"/>
  <c r="C4377" i="4"/>
  <c r="C4378" i="4"/>
  <c r="C4379" i="4"/>
  <c r="C4380" i="4"/>
  <c r="C4381" i="4"/>
  <c r="C4382" i="4"/>
  <c r="C4383" i="4"/>
  <c r="C4384" i="4"/>
  <c r="C4385" i="4"/>
  <c r="C4386" i="4"/>
  <c r="C4387" i="4"/>
  <c r="C4388" i="4"/>
  <c r="C4389" i="4"/>
  <c r="C4390" i="4"/>
  <c r="C4391" i="4"/>
  <c r="C4392" i="4"/>
  <c r="C4393" i="4"/>
  <c r="C4394" i="4"/>
  <c r="C4395" i="4"/>
  <c r="C4396" i="4"/>
  <c r="C4397" i="4"/>
  <c r="C4398" i="4"/>
  <c r="C4399" i="4"/>
  <c r="C4400" i="4"/>
  <c r="C4401" i="4"/>
  <c r="C4402" i="4"/>
  <c r="C4403" i="4"/>
  <c r="C4404" i="4"/>
  <c r="C4405" i="4"/>
  <c r="C4406" i="4"/>
  <c r="C4407" i="4"/>
  <c r="C4408" i="4"/>
  <c r="C4409" i="4"/>
  <c r="C4410" i="4"/>
  <c r="C4411" i="4"/>
  <c r="C4412" i="4"/>
  <c r="C4413" i="4"/>
  <c r="C4414" i="4"/>
  <c r="C4415" i="4"/>
  <c r="C4416" i="4"/>
  <c r="C4417" i="4"/>
  <c r="C4418" i="4"/>
  <c r="C4419" i="4"/>
  <c r="C4420" i="4"/>
  <c r="C4421" i="4"/>
  <c r="C4422" i="4"/>
  <c r="C4423" i="4"/>
  <c r="C4424" i="4"/>
  <c r="C4425" i="4"/>
  <c r="C4426" i="4"/>
  <c r="C4427" i="4"/>
  <c r="C4428" i="4"/>
  <c r="C4429" i="4"/>
  <c r="C4430" i="4"/>
  <c r="C4431" i="4"/>
  <c r="C4432" i="4"/>
  <c r="C4433" i="4"/>
  <c r="C4434" i="4"/>
  <c r="C4435" i="4"/>
  <c r="C4436" i="4"/>
  <c r="C4437" i="4"/>
  <c r="C4438" i="4"/>
  <c r="C4439" i="4"/>
  <c r="C4440" i="4"/>
  <c r="C4441" i="4"/>
  <c r="C4442" i="4"/>
  <c r="C4443" i="4"/>
  <c r="C4444" i="4"/>
  <c r="C4445" i="4"/>
  <c r="C4446" i="4"/>
  <c r="C4447" i="4"/>
  <c r="C4448" i="4"/>
  <c r="C4449" i="4"/>
  <c r="C4450" i="4"/>
  <c r="C4451" i="4"/>
  <c r="C4452" i="4"/>
  <c r="C4453" i="4"/>
  <c r="C4454" i="4"/>
  <c r="C4455" i="4"/>
  <c r="C4456" i="4"/>
  <c r="C4457" i="4"/>
  <c r="C4458" i="4"/>
  <c r="C4459" i="4"/>
  <c r="C4460" i="4"/>
  <c r="C4461" i="4"/>
  <c r="C4462" i="4"/>
  <c r="C4463" i="4"/>
  <c r="C4464" i="4"/>
  <c r="C4465" i="4"/>
  <c r="C4466" i="4"/>
  <c r="C4467" i="4"/>
  <c r="C4468" i="4"/>
  <c r="C4469" i="4"/>
  <c r="C4470" i="4"/>
  <c r="C4471" i="4"/>
  <c r="C4472" i="4"/>
  <c r="C4473" i="4"/>
  <c r="C4474" i="4"/>
  <c r="C4475" i="4"/>
  <c r="C4476" i="4"/>
  <c r="C4477" i="4"/>
  <c r="C4478" i="4"/>
  <c r="C4479" i="4"/>
  <c r="C4480" i="4"/>
  <c r="C4481" i="4"/>
  <c r="C4482" i="4"/>
  <c r="C4483" i="4"/>
  <c r="C4484" i="4"/>
  <c r="C4485" i="4"/>
  <c r="C4486" i="4"/>
  <c r="C4487" i="4"/>
  <c r="C4488" i="4"/>
  <c r="C4489" i="4"/>
  <c r="C4490" i="4"/>
  <c r="C4491" i="4"/>
  <c r="C4492" i="4"/>
  <c r="C4493" i="4"/>
  <c r="C4494" i="4"/>
  <c r="C4495" i="4"/>
  <c r="C4496" i="4"/>
  <c r="C4497" i="4"/>
  <c r="C4498" i="4"/>
  <c r="C4499" i="4"/>
  <c r="C4500" i="4"/>
  <c r="C4501" i="4"/>
  <c r="C4502" i="4"/>
  <c r="C4503" i="4"/>
  <c r="C4504" i="4"/>
  <c r="C4505" i="4"/>
  <c r="C4506" i="4"/>
  <c r="C4507" i="4"/>
  <c r="C4508" i="4"/>
  <c r="C4509" i="4"/>
  <c r="C4510" i="4"/>
  <c r="C4511" i="4"/>
  <c r="C4512" i="4"/>
  <c r="C4513" i="4"/>
  <c r="C4514" i="4"/>
  <c r="C4515" i="4"/>
  <c r="C4516" i="4"/>
  <c r="C4517" i="4"/>
  <c r="C4518" i="4"/>
  <c r="C4519" i="4"/>
  <c r="C4520" i="4"/>
  <c r="C4521" i="4"/>
  <c r="C4522" i="4"/>
  <c r="C4523" i="4"/>
  <c r="C4524" i="4"/>
  <c r="C4525" i="4"/>
  <c r="C4526" i="4"/>
  <c r="C4527" i="4"/>
  <c r="C4528" i="4"/>
  <c r="C4529" i="4"/>
  <c r="C4530" i="4"/>
  <c r="C4531" i="4"/>
  <c r="C4532" i="4"/>
  <c r="C4533" i="4"/>
  <c r="C4534" i="4"/>
  <c r="C4535" i="4"/>
  <c r="C4536" i="4"/>
  <c r="C4537" i="4"/>
  <c r="C4538" i="4"/>
  <c r="C4539" i="4"/>
  <c r="C4540" i="4"/>
  <c r="C4541" i="4"/>
  <c r="C4542" i="4"/>
  <c r="C4543" i="4"/>
  <c r="C4544" i="4"/>
  <c r="C4545" i="4"/>
  <c r="C4546" i="4"/>
  <c r="C4547" i="4"/>
  <c r="C4548" i="4"/>
  <c r="C4549" i="4"/>
  <c r="C4550" i="4"/>
  <c r="C4551" i="4"/>
  <c r="C4552" i="4"/>
  <c r="C4553" i="4"/>
  <c r="C4554" i="4"/>
  <c r="C4555" i="4"/>
  <c r="C4556" i="4"/>
  <c r="C4557" i="4"/>
  <c r="C4558" i="4"/>
  <c r="C4559" i="4"/>
  <c r="C4560" i="4"/>
  <c r="C4561" i="4"/>
  <c r="C4562" i="4"/>
  <c r="C4563" i="4"/>
  <c r="C4564" i="4"/>
  <c r="C4565" i="4"/>
  <c r="C4566" i="4"/>
  <c r="C4567" i="4"/>
  <c r="C4568" i="4"/>
  <c r="C4569" i="4"/>
  <c r="C4570" i="4"/>
  <c r="C4571" i="4"/>
  <c r="C4572" i="4"/>
  <c r="C4573" i="4"/>
  <c r="C4574" i="4"/>
  <c r="C4575" i="4"/>
  <c r="C4576" i="4"/>
  <c r="C4577" i="4"/>
  <c r="C4578" i="4"/>
  <c r="C4579" i="4"/>
  <c r="C4580" i="4"/>
  <c r="C4581" i="4"/>
  <c r="C4582" i="4"/>
  <c r="C4583" i="4"/>
  <c r="C4584" i="4"/>
  <c r="C4585" i="4"/>
  <c r="C4586" i="4"/>
  <c r="C4587" i="4"/>
  <c r="C4588" i="4"/>
  <c r="C4589" i="4"/>
  <c r="C4590" i="4"/>
  <c r="C4591" i="4"/>
  <c r="C4592" i="4"/>
  <c r="C4593" i="4"/>
  <c r="C4594" i="4"/>
  <c r="C4595" i="4"/>
  <c r="C4596" i="4"/>
  <c r="C4597" i="4"/>
  <c r="C4598" i="4"/>
  <c r="C4599" i="4"/>
  <c r="C4600" i="4"/>
  <c r="C4601" i="4"/>
  <c r="C4602" i="4"/>
  <c r="C4603" i="4"/>
  <c r="C4604" i="4"/>
  <c r="C4605" i="4"/>
  <c r="C4606" i="4"/>
  <c r="C4607" i="4"/>
  <c r="C4608" i="4"/>
  <c r="C4609" i="4"/>
  <c r="C4610" i="4"/>
  <c r="C4611" i="4"/>
  <c r="C4612" i="4"/>
  <c r="C4613" i="4"/>
  <c r="C4614" i="4"/>
  <c r="C4615" i="4"/>
  <c r="C4616" i="4"/>
  <c r="C4617" i="4"/>
  <c r="C4618" i="4"/>
  <c r="C4619" i="4"/>
  <c r="C4620" i="4"/>
  <c r="C4621" i="4"/>
  <c r="C4622" i="4"/>
  <c r="C4623" i="4"/>
  <c r="C4624" i="4"/>
  <c r="C4625" i="4"/>
  <c r="C4626" i="4"/>
  <c r="C4627" i="4"/>
  <c r="C4628" i="4"/>
  <c r="C4629" i="4"/>
  <c r="C4630" i="4"/>
  <c r="C4631" i="4"/>
  <c r="C4632" i="4"/>
  <c r="C4633" i="4"/>
  <c r="C4634" i="4"/>
  <c r="C4635" i="4"/>
  <c r="C4636" i="4"/>
  <c r="C4637" i="4"/>
  <c r="C4638" i="4"/>
  <c r="C4639" i="4"/>
  <c r="C4640" i="4"/>
  <c r="C4641" i="4"/>
  <c r="C4642" i="4"/>
  <c r="C4643" i="4"/>
  <c r="C4644" i="4"/>
  <c r="C4645" i="4"/>
  <c r="C4646" i="4"/>
  <c r="C4647" i="4"/>
  <c r="C4648" i="4"/>
  <c r="C4649" i="4"/>
  <c r="C4650" i="4"/>
  <c r="C4651" i="4"/>
  <c r="C4652" i="4"/>
  <c r="C4653" i="4"/>
  <c r="C4654" i="4"/>
  <c r="C4655" i="4"/>
  <c r="C4656" i="4"/>
  <c r="C4657" i="4"/>
  <c r="C4658" i="4"/>
  <c r="C4659" i="4"/>
  <c r="C4660" i="4"/>
  <c r="C4661" i="4"/>
  <c r="C4662" i="4"/>
  <c r="C4663" i="4"/>
  <c r="C4664" i="4"/>
  <c r="C4665" i="4"/>
  <c r="C4666" i="4"/>
  <c r="C4667" i="4"/>
  <c r="C4668" i="4"/>
  <c r="C4669" i="4"/>
  <c r="C4670" i="4"/>
  <c r="C4671" i="4"/>
  <c r="C4672" i="4"/>
  <c r="C4673" i="4"/>
  <c r="C4674" i="4"/>
  <c r="C4675" i="4"/>
  <c r="C4676" i="4"/>
  <c r="C4677" i="4"/>
  <c r="C4678" i="4"/>
  <c r="C4679" i="4"/>
  <c r="C4680" i="4"/>
  <c r="C4681" i="4"/>
  <c r="C4682" i="4"/>
  <c r="C4683" i="4"/>
  <c r="C4684" i="4"/>
  <c r="C4685" i="4"/>
  <c r="C4686" i="4"/>
  <c r="C4687" i="4"/>
  <c r="C4688" i="4"/>
  <c r="C4689" i="4"/>
  <c r="C4690" i="4"/>
  <c r="C4691" i="4"/>
  <c r="C4692" i="4"/>
  <c r="C4693" i="4"/>
  <c r="C4694" i="4"/>
  <c r="C4695" i="4"/>
  <c r="C4696" i="4"/>
  <c r="C4697" i="4"/>
  <c r="C4698" i="4"/>
  <c r="C4699" i="4"/>
  <c r="C4700" i="4"/>
  <c r="C4701" i="4"/>
  <c r="C4702" i="4"/>
  <c r="C4703" i="4"/>
  <c r="C4704" i="4"/>
  <c r="C4705" i="4"/>
  <c r="C4706" i="4"/>
  <c r="C4707" i="4"/>
  <c r="C4708" i="4"/>
  <c r="C4709" i="4"/>
  <c r="C4710" i="4"/>
  <c r="C4711" i="4"/>
  <c r="C4712" i="4"/>
  <c r="C4713" i="4"/>
  <c r="C4714" i="4"/>
  <c r="C4715" i="4"/>
  <c r="C4716" i="4"/>
  <c r="C4717" i="4"/>
  <c r="C4718" i="4"/>
  <c r="C4719" i="4"/>
  <c r="C4720" i="4"/>
  <c r="C4721" i="4"/>
  <c r="C4722" i="4"/>
  <c r="C4723" i="4"/>
  <c r="C4724" i="4"/>
  <c r="C4725" i="4"/>
  <c r="C4726" i="4"/>
  <c r="C4727" i="4"/>
  <c r="C4728" i="4"/>
  <c r="C4729" i="4"/>
  <c r="C4730" i="4"/>
  <c r="C4731" i="4"/>
  <c r="C4732" i="4"/>
  <c r="C4733" i="4"/>
  <c r="C4734" i="4"/>
  <c r="C4735" i="4"/>
  <c r="C4736" i="4"/>
  <c r="C4737" i="4"/>
  <c r="C4738" i="4"/>
  <c r="C4739" i="4"/>
  <c r="C4740" i="4"/>
  <c r="C4741" i="4"/>
  <c r="C4742" i="4"/>
  <c r="C4743" i="4"/>
  <c r="C4744" i="4"/>
  <c r="C4745" i="4"/>
  <c r="C4746" i="4"/>
  <c r="C4747" i="4"/>
  <c r="C4748" i="4"/>
  <c r="C4749" i="4"/>
  <c r="C4750" i="4"/>
  <c r="C4751" i="4"/>
  <c r="C4752" i="4"/>
  <c r="C4753" i="4"/>
  <c r="C4754" i="4"/>
  <c r="C4755" i="4"/>
  <c r="C4756" i="4"/>
  <c r="C4757" i="4"/>
  <c r="C4758" i="4"/>
  <c r="C4759" i="4"/>
  <c r="C4760" i="4"/>
  <c r="C4761" i="4"/>
  <c r="C4762" i="4"/>
  <c r="C4763" i="4"/>
  <c r="C4764" i="4"/>
  <c r="C4765" i="4"/>
  <c r="C4766" i="4"/>
  <c r="C4767" i="4"/>
  <c r="C4768" i="4"/>
  <c r="C4769" i="4"/>
  <c r="C4770" i="4"/>
  <c r="C4771" i="4"/>
  <c r="C4772" i="4"/>
  <c r="C4773" i="4"/>
  <c r="C4774" i="4"/>
  <c r="C4775" i="4"/>
  <c r="C4776" i="4"/>
  <c r="C4777" i="4"/>
  <c r="C4778" i="4"/>
  <c r="C4779" i="4"/>
  <c r="C4780" i="4"/>
  <c r="C4781" i="4"/>
  <c r="C4782" i="4"/>
  <c r="C4783" i="4"/>
  <c r="C4784" i="4"/>
  <c r="C4785" i="4"/>
  <c r="C4786" i="4"/>
  <c r="C4787" i="4"/>
  <c r="C4788" i="4"/>
  <c r="C4789" i="4"/>
  <c r="C4790" i="4"/>
  <c r="C4791" i="4"/>
  <c r="C4792" i="4"/>
  <c r="C4793" i="4"/>
  <c r="C4794" i="4"/>
  <c r="C4795" i="4"/>
  <c r="C4796" i="4"/>
  <c r="C4797" i="4"/>
  <c r="C4798" i="4"/>
  <c r="C4799" i="4"/>
  <c r="C4800" i="4"/>
  <c r="C4801" i="4"/>
  <c r="C4802" i="4"/>
  <c r="C4803" i="4"/>
  <c r="C4804" i="4"/>
  <c r="C4805" i="4"/>
  <c r="C4806" i="4"/>
  <c r="C4807" i="4"/>
  <c r="C4808" i="4"/>
  <c r="C4809" i="4"/>
  <c r="C4810" i="4"/>
  <c r="C4811" i="4"/>
  <c r="C4812" i="4"/>
  <c r="C4813" i="4"/>
  <c r="C4814" i="4"/>
  <c r="C4815" i="4"/>
  <c r="C4816" i="4"/>
  <c r="C4817" i="4"/>
  <c r="C4818" i="4"/>
  <c r="C4819" i="4"/>
  <c r="C4820" i="4"/>
  <c r="C4821" i="4"/>
  <c r="C4822" i="4"/>
  <c r="C4823" i="4"/>
  <c r="C4824" i="4"/>
  <c r="C4825" i="4"/>
  <c r="C4826" i="4"/>
  <c r="C4827" i="4"/>
  <c r="C4828" i="4"/>
  <c r="C4829" i="4"/>
  <c r="C4830" i="4"/>
  <c r="C4831" i="4"/>
  <c r="C4832" i="4"/>
  <c r="C4833" i="4"/>
  <c r="C4834" i="4"/>
  <c r="C4835" i="4"/>
  <c r="C4836" i="4"/>
  <c r="C4837" i="4"/>
  <c r="C4838" i="4"/>
  <c r="C4839" i="4"/>
  <c r="C4840" i="4"/>
  <c r="C4841" i="4"/>
  <c r="C4842" i="4"/>
  <c r="C4843" i="4"/>
  <c r="C4844" i="4"/>
  <c r="C4845" i="4"/>
  <c r="C4846" i="4"/>
  <c r="C4847" i="4"/>
  <c r="C4848" i="4"/>
  <c r="C4849" i="4"/>
  <c r="C4850" i="4"/>
  <c r="C4851" i="4"/>
  <c r="C4852" i="4"/>
  <c r="C4853" i="4"/>
  <c r="C4854" i="4"/>
  <c r="C4855" i="4"/>
  <c r="C4856" i="4"/>
  <c r="C4857" i="4"/>
  <c r="C4858" i="4"/>
  <c r="C4859" i="4"/>
  <c r="C4860" i="4"/>
  <c r="C4861" i="4"/>
  <c r="C4862" i="4"/>
  <c r="C4863" i="4"/>
  <c r="C4864" i="4"/>
  <c r="C4865" i="4"/>
  <c r="C4866" i="4"/>
  <c r="C4867" i="4"/>
  <c r="C4868" i="4"/>
  <c r="C4869" i="4"/>
  <c r="C4870" i="4"/>
  <c r="C4871" i="4"/>
  <c r="C4872" i="4"/>
  <c r="C4873" i="4"/>
  <c r="C4874" i="4"/>
  <c r="C4875" i="4"/>
  <c r="C4876" i="4"/>
  <c r="C4877" i="4"/>
  <c r="C4878" i="4"/>
  <c r="C4879" i="4"/>
  <c r="C4880" i="4"/>
  <c r="C4881" i="4"/>
  <c r="C4882" i="4"/>
  <c r="C4883" i="4"/>
  <c r="C4884" i="4"/>
  <c r="C4885" i="4"/>
  <c r="C4886" i="4"/>
  <c r="C4887" i="4"/>
  <c r="C4888" i="4"/>
  <c r="C4889" i="4"/>
  <c r="C4890" i="4"/>
  <c r="C4891" i="4"/>
  <c r="C4892" i="4"/>
  <c r="C4893" i="4"/>
  <c r="C4894" i="4"/>
  <c r="C4895" i="4"/>
  <c r="C4896" i="4"/>
  <c r="C4897" i="4"/>
  <c r="C4898" i="4"/>
  <c r="C4899" i="4"/>
  <c r="C4900" i="4"/>
  <c r="C4901" i="4"/>
  <c r="C4902" i="4"/>
  <c r="C4903" i="4"/>
  <c r="C4904" i="4"/>
  <c r="C4905" i="4"/>
  <c r="C4906" i="4"/>
  <c r="C4907" i="4"/>
  <c r="C4908" i="4"/>
  <c r="C4909" i="4"/>
  <c r="C4910" i="4"/>
  <c r="C4911" i="4"/>
  <c r="C4912" i="4"/>
  <c r="C4913" i="4"/>
  <c r="C4914" i="4"/>
  <c r="C4915" i="4"/>
  <c r="C4916" i="4"/>
  <c r="C4917" i="4"/>
  <c r="C4918" i="4"/>
  <c r="C4919" i="4"/>
  <c r="C4920" i="4"/>
  <c r="C4921" i="4"/>
  <c r="C4922" i="4"/>
  <c r="C4923" i="4"/>
  <c r="C4924" i="4"/>
  <c r="C4925" i="4"/>
  <c r="C4926" i="4"/>
  <c r="C4927" i="4"/>
  <c r="C4928" i="4"/>
  <c r="C4929" i="4"/>
  <c r="C4930" i="4"/>
  <c r="C4931" i="4"/>
  <c r="C4932" i="4"/>
  <c r="C4933" i="4"/>
  <c r="C4934" i="4"/>
  <c r="C4935" i="4"/>
  <c r="C4936" i="4"/>
  <c r="C4937" i="4"/>
  <c r="C4938" i="4"/>
  <c r="C4939" i="4"/>
  <c r="C4940" i="4"/>
  <c r="C4941" i="4"/>
  <c r="C4942" i="4"/>
  <c r="C4943" i="4"/>
  <c r="C4944" i="4"/>
  <c r="C4945" i="4"/>
  <c r="C4946" i="4"/>
  <c r="C4947" i="4"/>
  <c r="C4948" i="4"/>
  <c r="C4949" i="4"/>
  <c r="C4950" i="4"/>
  <c r="C4951" i="4"/>
  <c r="C4952" i="4"/>
  <c r="C4953" i="4"/>
  <c r="C4954" i="4"/>
  <c r="C4955" i="4"/>
  <c r="C4956" i="4"/>
  <c r="C4957" i="4"/>
  <c r="C4958" i="4"/>
  <c r="C4959" i="4"/>
  <c r="C4960" i="4"/>
  <c r="C4961" i="4"/>
  <c r="C4962" i="4"/>
  <c r="C4963" i="4"/>
  <c r="C4964" i="4"/>
  <c r="C4965" i="4"/>
  <c r="C4966" i="4"/>
  <c r="C4967" i="4"/>
  <c r="C4968" i="4"/>
  <c r="C4969" i="4"/>
  <c r="C4970" i="4"/>
  <c r="C4971" i="4"/>
  <c r="C4972" i="4"/>
  <c r="C4973" i="4"/>
  <c r="C4974" i="4"/>
  <c r="C4975" i="4"/>
  <c r="C4976" i="4"/>
  <c r="C4977" i="4"/>
  <c r="C4978" i="4"/>
  <c r="C4979" i="4"/>
  <c r="C4980" i="4"/>
  <c r="C4981" i="4"/>
  <c r="C4982" i="4"/>
  <c r="C4983" i="4"/>
  <c r="C4984" i="4"/>
  <c r="C4985" i="4"/>
  <c r="C4986" i="4"/>
  <c r="C4987" i="4"/>
  <c r="C4988" i="4"/>
  <c r="C4989" i="4"/>
  <c r="C4990" i="4"/>
  <c r="C4991" i="4"/>
  <c r="C4992" i="4"/>
  <c r="C4993" i="4"/>
  <c r="C4994" i="4"/>
  <c r="C4995" i="4"/>
  <c r="C4996" i="4"/>
  <c r="C4997" i="4"/>
  <c r="C4998" i="4"/>
  <c r="C4999" i="4"/>
  <c r="C5000" i="4"/>
  <c r="C5001" i="4"/>
  <c r="C5002" i="4"/>
  <c r="C5003" i="4"/>
  <c r="C5004" i="4"/>
  <c r="C5005" i="4"/>
  <c r="C5006" i="4"/>
  <c r="C5007" i="4"/>
  <c r="C5008" i="4"/>
  <c r="C5009" i="4"/>
  <c r="C5010" i="4"/>
  <c r="C5011" i="4"/>
  <c r="C5012" i="4"/>
  <c r="C5013" i="4"/>
  <c r="C5014" i="4"/>
  <c r="C5015" i="4"/>
  <c r="C5016" i="4"/>
  <c r="C5017" i="4"/>
  <c r="C5018" i="4"/>
  <c r="C5019" i="4"/>
  <c r="C5020" i="4"/>
  <c r="C5021" i="4"/>
  <c r="C5022" i="4"/>
  <c r="C5023" i="4"/>
  <c r="C5024" i="4"/>
  <c r="C5025" i="4"/>
  <c r="C5026" i="4"/>
  <c r="C5027" i="4"/>
  <c r="C5028" i="4"/>
  <c r="C5029" i="4"/>
  <c r="C5030" i="4"/>
  <c r="C5031" i="4"/>
  <c r="C5032" i="4"/>
  <c r="C5033" i="4"/>
  <c r="C5034" i="4"/>
  <c r="C5035" i="4"/>
  <c r="C5036" i="4"/>
  <c r="C5037" i="4"/>
  <c r="C5038" i="4"/>
  <c r="C5039" i="4"/>
  <c r="C5040" i="4"/>
  <c r="C5041" i="4"/>
  <c r="C5042" i="4"/>
  <c r="C5043" i="4"/>
  <c r="C5044" i="4"/>
  <c r="C5045" i="4"/>
  <c r="C5046" i="4"/>
  <c r="C5047" i="4"/>
  <c r="C5048" i="4"/>
  <c r="C5049" i="4"/>
  <c r="C5050" i="4"/>
  <c r="C5051" i="4"/>
  <c r="C5052" i="4"/>
  <c r="C5053" i="4"/>
  <c r="C5054" i="4"/>
  <c r="C5055" i="4"/>
  <c r="C5056" i="4"/>
  <c r="C5057" i="4"/>
  <c r="C5058" i="4"/>
  <c r="C5059" i="4"/>
  <c r="C5060" i="4"/>
  <c r="C5061" i="4"/>
  <c r="C5062" i="4"/>
  <c r="C5063" i="4"/>
  <c r="C5064" i="4"/>
  <c r="C5065" i="4"/>
  <c r="C5066" i="4"/>
  <c r="C5067" i="4"/>
  <c r="C5068" i="4"/>
  <c r="C5069" i="4"/>
  <c r="C5070" i="4"/>
  <c r="C5071" i="4"/>
  <c r="C5072" i="4"/>
  <c r="C5073" i="4"/>
  <c r="C5074" i="4"/>
  <c r="C5075" i="4"/>
  <c r="C5076" i="4"/>
  <c r="C5077" i="4"/>
  <c r="C5078" i="4"/>
  <c r="C5079" i="4"/>
  <c r="C5080" i="4"/>
  <c r="C5081" i="4"/>
  <c r="C5082" i="4"/>
  <c r="C5083" i="4"/>
  <c r="C5084" i="4"/>
  <c r="C5085" i="4"/>
  <c r="C5086" i="4"/>
  <c r="C5087" i="4"/>
  <c r="C5088" i="4"/>
  <c r="C5089" i="4"/>
  <c r="C5090" i="4"/>
  <c r="C5091" i="4"/>
  <c r="C5092" i="4"/>
  <c r="C5093" i="4"/>
  <c r="C5094" i="4"/>
  <c r="C5095" i="4"/>
  <c r="C5096" i="4"/>
  <c r="C5097" i="4"/>
  <c r="C5098" i="4"/>
  <c r="C5099" i="4"/>
  <c r="C5100" i="4"/>
  <c r="C5101" i="4"/>
  <c r="C5102" i="4"/>
  <c r="C5103" i="4"/>
  <c r="C5104" i="4"/>
  <c r="C5105" i="4"/>
  <c r="C5106" i="4"/>
  <c r="C5107" i="4"/>
  <c r="C5108" i="4"/>
  <c r="C5109" i="4"/>
  <c r="C5110" i="4"/>
  <c r="C5111" i="4"/>
  <c r="C5112" i="4"/>
  <c r="C5113" i="4"/>
  <c r="C5114" i="4"/>
  <c r="C5115" i="4"/>
  <c r="C5116" i="4"/>
  <c r="C5117" i="4"/>
  <c r="C5118" i="4"/>
  <c r="C5119" i="4"/>
  <c r="C5120" i="4"/>
  <c r="C5121" i="4"/>
  <c r="C5122" i="4"/>
  <c r="C5123" i="4"/>
  <c r="C5124" i="4"/>
  <c r="C5125" i="4"/>
  <c r="C5126" i="4"/>
  <c r="C5127" i="4"/>
  <c r="C5128" i="4"/>
  <c r="C5129" i="4"/>
  <c r="C5130" i="4"/>
  <c r="C5131" i="4"/>
  <c r="C5132" i="4"/>
  <c r="C5133" i="4"/>
  <c r="C5134" i="4"/>
  <c r="C5135" i="4"/>
  <c r="C5136" i="4"/>
  <c r="C5137" i="4"/>
  <c r="C5138" i="4"/>
  <c r="C5139" i="4"/>
  <c r="C5140" i="4"/>
  <c r="C5141" i="4"/>
  <c r="C5142" i="4"/>
  <c r="C5143" i="4"/>
  <c r="C5144" i="4"/>
  <c r="C5145" i="4"/>
  <c r="C5146" i="4"/>
  <c r="C5147" i="4"/>
  <c r="C5148" i="4"/>
  <c r="C5149" i="4"/>
  <c r="C5150" i="4"/>
  <c r="C5151" i="4"/>
  <c r="C5152" i="4"/>
  <c r="C5153" i="4"/>
  <c r="C5154" i="4"/>
  <c r="C5155" i="4"/>
  <c r="C5156" i="4"/>
  <c r="C5157" i="4"/>
  <c r="C5158" i="4"/>
  <c r="C5159" i="4"/>
  <c r="C5160" i="4"/>
  <c r="C5161" i="4"/>
  <c r="C5162" i="4"/>
  <c r="C5163" i="4"/>
  <c r="C5164" i="4"/>
  <c r="C5165" i="4"/>
  <c r="C5166" i="4"/>
  <c r="C5167" i="4"/>
  <c r="C5168" i="4"/>
  <c r="C5169" i="4"/>
  <c r="C5170" i="4"/>
  <c r="C5171" i="4"/>
  <c r="C5172" i="4"/>
  <c r="C5173" i="4"/>
  <c r="C5174" i="4"/>
  <c r="C5175" i="4"/>
  <c r="C5176" i="4"/>
  <c r="C5177" i="4"/>
  <c r="C5178" i="4"/>
  <c r="C5179" i="4"/>
  <c r="C5180" i="4"/>
  <c r="C5181" i="4"/>
  <c r="C5182" i="4"/>
  <c r="C5183" i="4"/>
  <c r="C5184" i="4"/>
  <c r="C5185" i="4"/>
  <c r="C5186" i="4"/>
  <c r="C5187" i="4"/>
  <c r="C5188" i="4"/>
  <c r="C5189" i="4"/>
  <c r="C5190" i="4"/>
  <c r="C5191" i="4"/>
  <c r="C5192" i="4"/>
  <c r="C5193" i="4"/>
  <c r="C5194" i="4"/>
  <c r="C5195" i="4"/>
  <c r="C5196" i="4"/>
  <c r="C5197" i="4"/>
  <c r="C5198" i="4"/>
  <c r="C5199" i="4"/>
  <c r="C5200" i="4"/>
  <c r="C5201" i="4"/>
  <c r="C5202" i="4"/>
  <c r="C5203" i="4"/>
  <c r="C5204" i="4"/>
  <c r="C5205" i="4"/>
  <c r="C5206" i="4"/>
  <c r="C5207" i="4"/>
  <c r="C5208" i="4"/>
  <c r="C5209" i="4"/>
  <c r="C5210" i="4"/>
  <c r="C5211" i="4"/>
  <c r="C5212" i="4"/>
  <c r="C5213" i="4"/>
  <c r="C5214" i="4"/>
  <c r="C5215" i="4"/>
  <c r="C5216" i="4"/>
  <c r="C5217" i="4"/>
  <c r="C5218" i="4"/>
  <c r="C5219" i="4"/>
  <c r="C5220" i="4"/>
  <c r="C5221" i="4"/>
  <c r="C5222" i="4"/>
  <c r="C5223" i="4"/>
  <c r="C5224" i="4"/>
  <c r="C5225" i="4"/>
  <c r="C5226" i="4"/>
  <c r="C5227" i="4"/>
  <c r="C5228" i="4"/>
  <c r="C5229" i="4"/>
  <c r="C5230" i="4"/>
  <c r="C5231" i="4"/>
  <c r="C5232" i="4"/>
  <c r="C5233" i="4"/>
  <c r="C5234" i="4"/>
  <c r="C5235" i="4"/>
  <c r="C5236" i="4"/>
  <c r="C5237" i="4"/>
  <c r="C5238" i="4"/>
  <c r="C5239" i="4"/>
  <c r="C5240" i="4"/>
  <c r="C5241" i="4"/>
  <c r="C5242" i="4"/>
  <c r="C5243" i="4"/>
  <c r="C5244" i="4"/>
  <c r="C5245" i="4"/>
  <c r="C5246" i="4"/>
  <c r="C5247" i="4"/>
  <c r="C5248" i="4"/>
  <c r="C5249" i="4"/>
  <c r="C5250" i="4"/>
  <c r="C5251" i="4"/>
  <c r="C5252" i="4"/>
  <c r="C5253" i="4"/>
  <c r="C5254" i="4"/>
  <c r="C5255" i="4"/>
  <c r="C5256" i="4"/>
  <c r="C5257" i="4"/>
  <c r="C5258" i="4"/>
  <c r="C5259" i="4"/>
  <c r="C5260" i="4"/>
  <c r="C5261" i="4"/>
  <c r="C5262" i="4"/>
  <c r="C5263" i="4"/>
  <c r="C5264" i="4"/>
  <c r="C5265" i="4"/>
  <c r="C5266" i="4"/>
  <c r="C5267" i="4"/>
  <c r="C5268" i="4"/>
  <c r="C5269" i="4"/>
  <c r="C5270" i="4"/>
  <c r="C5271" i="4"/>
  <c r="C5272" i="4"/>
  <c r="C5273" i="4"/>
  <c r="C5274" i="4"/>
  <c r="C5275" i="4"/>
  <c r="C5276" i="4"/>
  <c r="C5277" i="4"/>
  <c r="C5278" i="4"/>
  <c r="C5279" i="4"/>
  <c r="C5280" i="4"/>
  <c r="C5281" i="4"/>
  <c r="C5282" i="4"/>
  <c r="C5283" i="4"/>
  <c r="C5284" i="4"/>
  <c r="C5285" i="4"/>
  <c r="C5286" i="4"/>
  <c r="C5287" i="4"/>
  <c r="C5288" i="4"/>
  <c r="C5289" i="4"/>
  <c r="C5290" i="4"/>
  <c r="C5291" i="4"/>
  <c r="C5292" i="4"/>
  <c r="C5293" i="4"/>
  <c r="C5294" i="4"/>
  <c r="C5295" i="4"/>
  <c r="C5296" i="4"/>
  <c r="C5297" i="4"/>
  <c r="C5298" i="4"/>
  <c r="C5299" i="4"/>
  <c r="C5300" i="4"/>
  <c r="C5301" i="4"/>
  <c r="C5302" i="4"/>
  <c r="C5303" i="4"/>
  <c r="C5304" i="4"/>
  <c r="C5305" i="4"/>
  <c r="C5306" i="4"/>
  <c r="C5307" i="4"/>
  <c r="C5308" i="4"/>
  <c r="C5309" i="4"/>
  <c r="C5310" i="4"/>
  <c r="C5311" i="4"/>
  <c r="C5312" i="4"/>
  <c r="C5313" i="4"/>
  <c r="C5314" i="4"/>
  <c r="C5315" i="4"/>
  <c r="C5316" i="4"/>
  <c r="C5317" i="4"/>
  <c r="C5318" i="4"/>
  <c r="C5319" i="4"/>
  <c r="C5320" i="4"/>
  <c r="C5321" i="4"/>
  <c r="C5322" i="4"/>
  <c r="C5323" i="4"/>
  <c r="C5324" i="4"/>
  <c r="C5325" i="4"/>
  <c r="C5326" i="4"/>
  <c r="C5327" i="4"/>
  <c r="C5328" i="4"/>
  <c r="C5329" i="4"/>
  <c r="C5330" i="4"/>
  <c r="C5331" i="4"/>
  <c r="C5332" i="4"/>
  <c r="C5333" i="4"/>
  <c r="C5334" i="4"/>
  <c r="C5335" i="4"/>
  <c r="C5336" i="4"/>
  <c r="C5337" i="4"/>
  <c r="C5338" i="4"/>
  <c r="C5339" i="4"/>
  <c r="C5340" i="4"/>
  <c r="C5341" i="4"/>
  <c r="C5342" i="4"/>
  <c r="C5343" i="4"/>
  <c r="C5344" i="4"/>
  <c r="C5345" i="4"/>
  <c r="C5346" i="4"/>
  <c r="C5347" i="4"/>
  <c r="C5348" i="4"/>
  <c r="C5349" i="4"/>
  <c r="C5350" i="4"/>
  <c r="C5351" i="4"/>
  <c r="C5352" i="4"/>
  <c r="C5353" i="4"/>
  <c r="C5354" i="4"/>
  <c r="C5355" i="4"/>
  <c r="C5356" i="4"/>
  <c r="C5357" i="4"/>
  <c r="C5358" i="4"/>
  <c r="C5359" i="4"/>
  <c r="C5360" i="4"/>
  <c r="C5361" i="4"/>
  <c r="C5362" i="4"/>
  <c r="C5363" i="4"/>
  <c r="C5364" i="4"/>
  <c r="C5365" i="4"/>
  <c r="C5366" i="4"/>
  <c r="C5367" i="4"/>
  <c r="C5368" i="4"/>
  <c r="C5369" i="4"/>
  <c r="C5370" i="4"/>
  <c r="C5371" i="4"/>
  <c r="C5372" i="4"/>
  <c r="C5373" i="4"/>
  <c r="C5374" i="4"/>
  <c r="C5375" i="4"/>
  <c r="C5376" i="4"/>
  <c r="C5377" i="4"/>
  <c r="C5378" i="4"/>
  <c r="C5379" i="4"/>
  <c r="C5380" i="4"/>
  <c r="C5381" i="4"/>
  <c r="C5382" i="4"/>
  <c r="C5383" i="4"/>
  <c r="C5384" i="4"/>
  <c r="C5385" i="4"/>
  <c r="C5386" i="4"/>
  <c r="C5387" i="4"/>
  <c r="C5388" i="4"/>
  <c r="C5389" i="4"/>
  <c r="C5390" i="4"/>
  <c r="C5391" i="4"/>
  <c r="C5392" i="4"/>
  <c r="C5393" i="4"/>
  <c r="C5394" i="4"/>
  <c r="C5395" i="4"/>
  <c r="C5396" i="4"/>
  <c r="C5397" i="4"/>
  <c r="C5398" i="4"/>
  <c r="C5399" i="4"/>
  <c r="C5400" i="4"/>
  <c r="C5401" i="4"/>
  <c r="C5402" i="4"/>
  <c r="C5403" i="4"/>
  <c r="C5404" i="4"/>
  <c r="C5405" i="4"/>
  <c r="C5406" i="4"/>
  <c r="C5407" i="4"/>
  <c r="C5408" i="4"/>
  <c r="C5409" i="4"/>
  <c r="C5410" i="4"/>
  <c r="C5411" i="4"/>
  <c r="C5412" i="4"/>
  <c r="C5413" i="4"/>
  <c r="C5414" i="4"/>
  <c r="C5415" i="4"/>
  <c r="C5416" i="4"/>
  <c r="C5417" i="4"/>
  <c r="C5418" i="4"/>
  <c r="C5419" i="4"/>
  <c r="C5420" i="4"/>
  <c r="C5421" i="4"/>
  <c r="C5422" i="4"/>
  <c r="C5423" i="4"/>
  <c r="C5424" i="4"/>
  <c r="C5425" i="4"/>
  <c r="C5426" i="4"/>
  <c r="C5427" i="4"/>
  <c r="C5428" i="4"/>
  <c r="C5429" i="4"/>
  <c r="C5430" i="4"/>
  <c r="C5431" i="4"/>
  <c r="C5432" i="4"/>
  <c r="C5433" i="4"/>
  <c r="C5434" i="4"/>
  <c r="C5435" i="4"/>
  <c r="C5436" i="4"/>
  <c r="C5437" i="4"/>
  <c r="C5438" i="4"/>
  <c r="C5439" i="4"/>
  <c r="C5440" i="4"/>
  <c r="C5441" i="4"/>
  <c r="C5442" i="4"/>
  <c r="C5443" i="4"/>
  <c r="C5444" i="4"/>
  <c r="C5445" i="4"/>
  <c r="C5446" i="4"/>
  <c r="C5447" i="4"/>
  <c r="C5448" i="4"/>
  <c r="C5449" i="4"/>
  <c r="C5450" i="4"/>
  <c r="C5451" i="4"/>
  <c r="C5452" i="4"/>
  <c r="C5453" i="4"/>
  <c r="C5454" i="4"/>
  <c r="C5455" i="4"/>
  <c r="C5456" i="4"/>
  <c r="C5457" i="4"/>
  <c r="C5458" i="4"/>
  <c r="C5459" i="4"/>
  <c r="C5460" i="4"/>
  <c r="C5461" i="4"/>
  <c r="C5462" i="4"/>
  <c r="C5463" i="4"/>
  <c r="C5464" i="4"/>
  <c r="C5465" i="4"/>
  <c r="C5466" i="4"/>
  <c r="C5467" i="4"/>
  <c r="C5468" i="4"/>
  <c r="C5469" i="4"/>
  <c r="C5470" i="4"/>
  <c r="C5471" i="4"/>
  <c r="C5472" i="4"/>
  <c r="C5473" i="4"/>
  <c r="C5474" i="4"/>
  <c r="C5475" i="4"/>
  <c r="C5476" i="4"/>
  <c r="C5477" i="4"/>
  <c r="C5478" i="4"/>
  <c r="C5479" i="4"/>
  <c r="C5480" i="4"/>
  <c r="C5481" i="4"/>
  <c r="C5482" i="4"/>
  <c r="C5483" i="4"/>
  <c r="C5484" i="4"/>
  <c r="C5485" i="4"/>
  <c r="C5486" i="4"/>
  <c r="C5487" i="4"/>
  <c r="C5488" i="4"/>
  <c r="C5489" i="4"/>
  <c r="C5490" i="4"/>
  <c r="C5491" i="4"/>
  <c r="C5492" i="4"/>
  <c r="C5493" i="4"/>
  <c r="C5494" i="4"/>
  <c r="C5495" i="4"/>
  <c r="C5496" i="4"/>
  <c r="C5497" i="4"/>
  <c r="C5498" i="4"/>
  <c r="C5499" i="4"/>
  <c r="C5500" i="4"/>
  <c r="C5501" i="4"/>
  <c r="C5502" i="4"/>
  <c r="C5503" i="4"/>
  <c r="C5504" i="4"/>
  <c r="C5505" i="4"/>
  <c r="C5506" i="4"/>
  <c r="C5507" i="4"/>
  <c r="C5508" i="4"/>
  <c r="C5509" i="4"/>
  <c r="C5510" i="4"/>
  <c r="C5511" i="4"/>
  <c r="C5512" i="4"/>
  <c r="C5513" i="4"/>
  <c r="C5514" i="4"/>
  <c r="C5515" i="4"/>
  <c r="C5516" i="4"/>
  <c r="C5517" i="4"/>
  <c r="C5518" i="4"/>
  <c r="C5519" i="4"/>
  <c r="C5520" i="4"/>
  <c r="C5521" i="4"/>
  <c r="C5522" i="4"/>
  <c r="C5523" i="4"/>
  <c r="C5524" i="4"/>
  <c r="C5525" i="4"/>
  <c r="C5526" i="4"/>
  <c r="C5527" i="4"/>
  <c r="C5528" i="4"/>
  <c r="C5529" i="4"/>
  <c r="C5530" i="4"/>
  <c r="C5531" i="4"/>
  <c r="C5532" i="4"/>
  <c r="C5533" i="4"/>
  <c r="C5534" i="4"/>
  <c r="C5535" i="4"/>
  <c r="C5536" i="4"/>
  <c r="C5537" i="4"/>
  <c r="C5538" i="4"/>
  <c r="C5539" i="4"/>
  <c r="C5540" i="4"/>
  <c r="C5541" i="4"/>
  <c r="C5542" i="4"/>
  <c r="C5543" i="4"/>
  <c r="C5544" i="4"/>
  <c r="C5545" i="4"/>
  <c r="C5546" i="4"/>
  <c r="C5547" i="4"/>
  <c r="C5548" i="4"/>
  <c r="C5549" i="4"/>
  <c r="C5550" i="4"/>
  <c r="C5551" i="4"/>
  <c r="C5552" i="4"/>
  <c r="C5553" i="4"/>
  <c r="C5554" i="4"/>
  <c r="C5555" i="4"/>
  <c r="C5556" i="4"/>
  <c r="C5557" i="4"/>
  <c r="C5558" i="4"/>
  <c r="C5559" i="4"/>
  <c r="C5560" i="4"/>
  <c r="C5561" i="4"/>
  <c r="C5562" i="4"/>
  <c r="C5563" i="4"/>
  <c r="C5564" i="4"/>
  <c r="C5565" i="4"/>
  <c r="C5566" i="4"/>
  <c r="C5567" i="4"/>
  <c r="C5568" i="4"/>
  <c r="C5569" i="4"/>
  <c r="C5570" i="4"/>
  <c r="C5571" i="4"/>
  <c r="C5572" i="4"/>
  <c r="C5573" i="4"/>
  <c r="C5574" i="4"/>
  <c r="C5575" i="4"/>
  <c r="C5576" i="4"/>
  <c r="C5577" i="4"/>
  <c r="C5578" i="4"/>
  <c r="C5579" i="4"/>
  <c r="C5580" i="4"/>
  <c r="C5581" i="4"/>
  <c r="C5582" i="4"/>
  <c r="C5583" i="4"/>
  <c r="C5584" i="4"/>
  <c r="C5585" i="4"/>
  <c r="C5586" i="4"/>
  <c r="C5587" i="4"/>
  <c r="C5588" i="4"/>
  <c r="C5589" i="4"/>
  <c r="C5590" i="4"/>
  <c r="C5591" i="4"/>
  <c r="C5592" i="4"/>
  <c r="C5593" i="4"/>
  <c r="C5594" i="4"/>
  <c r="C5595" i="4"/>
  <c r="C5596" i="4"/>
  <c r="C5597" i="4"/>
  <c r="C5598" i="4"/>
  <c r="C5599" i="4"/>
  <c r="C5600" i="4"/>
  <c r="C5601" i="4"/>
  <c r="C5602" i="4"/>
  <c r="C5603" i="4"/>
  <c r="C5604" i="4"/>
  <c r="C5605" i="4"/>
  <c r="C5606" i="4"/>
  <c r="C5607" i="4"/>
  <c r="C5608" i="4"/>
  <c r="C5609" i="4"/>
  <c r="C5610" i="4"/>
  <c r="C5611" i="4"/>
  <c r="C5612" i="4"/>
  <c r="C5613" i="4"/>
  <c r="C5614" i="4"/>
  <c r="C5615" i="4"/>
  <c r="C5616" i="4"/>
  <c r="C5617" i="4"/>
  <c r="C5618" i="4"/>
  <c r="C5619" i="4"/>
  <c r="C5620" i="4"/>
  <c r="C5621" i="4"/>
  <c r="C5622" i="4"/>
  <c r="C5623" i="4"/>
  <c r="C5624" i="4"/>
  <c r="C5625" i="4"/>
  <c r="C5626" i="4"/>
  <c r="C5627" i="4"/>
  <c r="C5628" i="4"/>
  <c r="C5629" i="4"/>
  <c r="C5630" i="4"/>
  <c r="C5631" i="4"/>
  <c r="C5632" i="4"/>
  <c r="C5633" i="4"/>
  <c r="C5634" i="4"/>
  <c r="C5635" i="4"/>
  <c r="C5636" i="4"/>
  <c r="C5637" i="4"/>
  <c r="C5638" i="4"/>
  <c r="C5639" i="4"/>
  <c r="C5640" i="4"/>
  <c r="C5641" i="4"/>
  <c r="C5642" i="4"/>
  <c r="C5643" i="4"/>
  <c r="C5644" i="4"/>
  <c r="C5645" i="4"/>
  <c r="C5646" i="4"/>
  <c r="C5647" i="4"/>
  <c r="C5648" i="4"/>
  <c r="C5649" i="4"/>
  <c r="C5650" i="4"/>
  <c r="C5651" i="4"/>
  <c r="C5652" i="4"/>
  <c r="C5653" i="4"/>
  <c r="C5654" i="4"/>
  <c r="C5655" i="4"/>
  <c r="C5656" i="4"/>
  <c r="C5657" i="4"/>
  <c r="C5658" i="4"/>
  <c r="C5659" i="4"/>
  <c r="C5660" i="4"/>
  <c r="C5661" i="4"/>
  <c r="C5662" i="4"/>
  <c r="C5663" i="4"/>
  <c r="C5664" i="4"/>
  <c r="C5665" i="4"/>
  <c r="C5666" i="4"/>
  <c r="C5667" i="4"/>
  <c r="C5668" i="4"/>
  <c r="C5669" i="4"/>
  <c r="C5670" i="4"/>
  <c r="C5671" i="4"/>
  <c r="C5672" i="4"/>
  <c r="C5673" i="4"/>
  <c r="C5674" i="4"/>
  <c r="C5675" i="4"/>
  <c r="C5676" i="4"/>
  <c r="C5677" i="4"/>
  <c r="C5678" i="4"/>
  <c r="C5679" i="4"/>
  <c r="C5680" i="4"/>
  <c r="C5681" i="4"/>
  <c r="C5682" i="4"/>
  <c r="C5683" i="4"/>
  <c r="C5684" i="4"/>
  <c r="C5685" i="4"/>
  <c r="C5686" i="4"/>
  <c r="C5687" i="4"/>
  <c r="C5688" i="4"/>
  <c r="C5689" i="4"/>
  <c r="C5690" i="4"/>
  <c r="C5691" i="4"/>
  <c r="C5692" i="4"/>
  <c r="C5693" i="4"/>
  <c r="C5694" i="4"/>
  <c r="C5695" i="4"/>
  <c r="C5696" i="4"/>
  <c r="C5697" i="4"/>
  <c r="C5698" i="4"/>
  <c r="C5699" i="4"/>
  <c r="C5700" i="4"/>
  <c r="C5701" i="4"/>
  <c r="C5702" i="4"/>
  <c r="C5703" i="4"/>
  <c r="C5704" i="4"/>
  <c r="C5705" i="4"/>
  <c r="C5706" i="4"/>
  <c r="C5707" i="4"/>
  <c r="C5708" i="4"/>
  <c r="C5709" i="4"/>
  <c r="C5710" i="4"/>
  <c r="C5711" i="4"/>
  <c r="C5712" i="4"/>
  <c r="C5713" i="4"/>
  <c r="C5714" i="4"/>
  <c r="C5715" i="4"/>
  <c r="C5716" i="4"/>
  <c r="C5717" i="4"/>
  <c r="C5718" i="4"/>
  <c r="C5719" i="4"/>
  <c r="C5720" i="4"/>
  <c r="C5721" i="4"/>
  <c r="C5722" i="4"/>
  <c r="C5723" i="4"/>
  <c r="C5724" i="4"/>
  <c r="C5725" i="4"/>
  <c r="C5726" i="4"/>
  <c r="C5727" i="4"/>
  <c r="C5728" i="4"/>
  <c r="C5729" i="4"/>
  <c r="C5730" i="4"/>
  <c r="C5731" i="4"/>
  <c r="C5732" i="4"/>
  <c r="C5733" i="4"/>
  <c r="C5734" i="4"/>
  <c r="C5735" i="4"/>
  <c r="C5736" i="4"/>
  <c r="C5737" i="4"/>
  <c r="C5738" i="4"/>
  <c r="C5739" i="4"/>
  <c r="C5740" i="4"/>
  <c r="C5741" i="4"/>
  <c r="C5742" i="4"/>
  <c r="C5743" i="4"/>
  <c r="C5744" i="4"/>
  <c r="C5745" i="4"/>
  <c r="C5746" i="4"/>
  <c r="C5747" i="4"/>
  <c r="C5748" i="4"/>
  <c r="C5749" i="4"/>
  <c r="C5750" i="4"/>
  <c r="C5751" i="4"/>
  <c r="C5752" i="4"/>
  <c r="C5753" i="4"/>
  <c r="C5754" i="4"/>
  <c r="C5755" i="4"/>
  <c r="C5756" i="4"/>
  <c r="C5757" i="4"/>
  <c r="C5758" i="4"/>
  <c r="C5759" i="4"/>
  <c r="C5760" i="4"/>
  <c r="C5761" i="4"/>
  <c r="C5762" i="4"/>
  <c r="C5763" i="4"/>
  <c r="C5764" i="4"/>
  <c r="C5765" i="4"/>
  <c r="C5766" i="4"/>
  <c r="C5767" i="4"/>
  <c r="C5768" i="4"/>
  <c r="C5769" i="4"/>
  <c r="C5770" i="4"/>
  <c r="C5771" i="4"/>
  <c r="C5772" i="4"/>
  <c r="C5773" i="4"/>
  <c r="C5774" i="4"/>
  <c r="C5775" i="4"/>
  <c r="C5776" i="4"/>
  <c r="C5777" i="4"/>
  <c r="C5778" i="4"/>
  <c r="C5779" i="4"/>
  <c r="C5780" i="4"/>
  <c r="C5781" i="4"/>
  <c r="C5782" i="4"/>
  <c r="C5783" i="4"/>
  <c r="C5784" i="4"/>
  <c r="C5785" i="4"/>
  <c r="C5786" i="4"/>
  <c r="C5787" i="4"/>
  <c r="C5788" i="4"/>
  <c r="C5789" i="4"/>
  <c r="C5790" i="4"/>
  <c r="C5791" i="4"/>
  <c r="C5792" i="4"/>
  <c r="C5793" i="4"/>
  <c r="C5794" i="4"/>
  <c r="C5795" i="4"/>
  <c r="C5796" i="4"/>
  <c r="C5797" i="4"/>
  <c r="C5798" i="4"/>
  <c r="C5799" i="4"/>
  <c r="C5800" i="4"/>
  <c r="C5801" i="4"/>
  <c r="C5802" i="4"/>
  <c r="C5803" i="4"/>
  <c r="C5804" i="4"/>
  <c r="C5805" i="4"/>
  <c r="C5806" i="4"/>
  <c r="C5807" i="4"/>
  <c r="C5808" i="4"/>
  <c r="C5809" i="4"/>
  <c r="C5810" i="4"/>
  <c r="C5811" i="4"/>
  <c r="C5812" i="4"/>
  <c r="C5813" i="4"/>
  <c r="C5814" i="4"/>
  <c r="C5815" i="4"/>
  <c r="C5816" i="4"/>
  <c r="C5817" i="4"/>
  <c r="C5818" i="4"/>
  <c r="C5819" i="4"/>
  <c r="C5820" i="4"/>
  <c r="C5821" i="4"/>
  <c r="C5822" i="4"/>
  <c r="C5823" i="4"/>
  <c r="C5824" i="4"/>
  <c r="C5825" i="4"/>
  <c r="C5826" i="4"/>
  <c r="C5827" i="4"/>
  <c r="C5828" i="4"/>
  <c r="C5829" i="4"/>
  <c r="C5830" i="4"/>
  <c r="C5831" i="4"/>
  <c r="C5832" i="4"/>
  <c r="C5833" i="4"/>
  <c r="C5834" i="4"/>
  <c r="C5835" i="4"/>
  <c r="C5836" i="4"/>
  <c r="C5837" i="4"/>
  <c r="C5838" i="4"/>
  <c r="C5839" i="4"/>
  <c r="C5840" i="4"/>
  <c r="C5841" i="4"/>
  <c r="C5842" i="4"/>
  <c r="C5843" i="4"/>
  <c r="C5844" i="4"/>
  <c r="C5845" i="4"/>
  <c r="C5846" i="4"/>
  <c r="C5847" i="4"/>
  <c r="C5848" i="4"/>
  <c r="C5849" i="4"/>
  <c r="C5850" i="4"/>
  <c r="C5851" i="4"/>
  <c r="C5852" i="4"/>
  <c r="C5853" i="4"/>
  <c r="C5854" i="4"/>
  <c r="C5855" i="4"/>
  <c r="C5856" i="4"/>
  <c r="C5857" i="4"/>
  <c r="C5858" i="4"/>
  <c r="C5859" i="4"/>
  <c r="C5860" i="4"/>
  <c r="C5861" i="4"/>
  <c r="C5862" i="4"/>
  <c r="C5863" i="4"/>
  <c r="C5864" i="4"/>
  <c r="C5865" i="4"/>
  <c r="C5866" i="4"/>
  <c r="C5867" i="4"/>
  <c r="C5868" i="4"/>
  <c r="C5869" i="4"/>
  <c r="C5870" i="4"/>
  <c r="C5871" i="4"/>
  <c r="C5872" i="4"/>
  <c r="C5873" i="4"/>
  <c r="C5874" i="4"/>
  <c r="C5875" i="4"/>
  <c r="C5876" i="4"/>
  <c r="C5877" i="4"/>
  <c r="C5878" i="4"/>
  <c r="C5879" i="4"/>
  <c r="C5880" i="4"/>
  <c r="C5881" i="4"/>
  <c r="C5882" i="4"/>
  <c r="C5883" i="4"/>
  <c r="C5884" i="4"/>
  <c r="C5885" i="4"/>
  <c r="C5886" i="4"/>
  <c r="C5887" i="4"/>
  <c r="C5888" i="4"/>
  <c r="C5889" i="4"/>
  <c r="C5890" i="4"/>
  <c r="C5891" i="4"/>
  <c r="C5892" i="4"/>
  <c r="C5893" i="4"/>
  <c r="C5894" i="4"/>
  <c r="C5895" i="4"/>
  <c r="C5896" i="4"/>
  <c r="C5897" i="4"/>
  <c r="C5898" i="4"/>
  <c r="C5899" i="4"/>
  <c r="C5900" i="4"/>
  <c r="C5901" i="4"/>
  <c r="C5902" i="4"/>
  <c r="C5903" i="4"/>
  <c r="C5904" i="4"/>
  <c r="C5905" i="4"/>
  <c r="C5906" i="4"/>
  <c r="C5907" i="4"/>
  <c r="C5908" i="4"/>
  <c r="C5909" i="4"/>
  <c r="C5910" i="4"/>
  <c r="C5911" i="4"/>
  <c r="C5912" i="4"/>
  <c r="C5913" i="4"/>
  <c r="C5914" i="4"/>
  <c r="C5915" i="4"/>
  <c r="C5916" i="4"/>
  <c r="C5917" i="4"/>
  <c r="C5918" i="4"/>
  <c r="C5919" i="4"/>
  <c r="C5920" i="4"/>
  <c r="C5921" i="4"/>
  <c r="C5922" i="4"/>
  <c r="C5923" i="4"/>
  <c r="C5924" i="4"/>
  <c r="C5925" i="4"/>
  <c r="C5926" i="4"/>
  <c r="C5927" i="4"/>
  <c r="C5928" i="4"/>
  <c r="C5929" i="4"/>
  <c r="C5930" i="4"/>
  <c r="C5931" i="4"/>
  <c r="C5932" i="4"/>
  <c r="C5933" i="4"/>
  <c r="C5934" i="4"/>
  <c r="C5935" i="4"/>
  <c r="C5936" i="4"/>
  <c r="C5937" i="4"/>
  <c r="C5938" i="4"/>
  <c r="C5939" i="4"/>
  <c r="C5940" i="4"/>
  <c r="C5941" i="4"/>
  <c r="C5942" i="4"/>
  <c r="C5943" i="4"/>
  <c r="C5944" i="4"/>
  <c r="C5945" i="4"/>
  <c r="C5946" i="4"/>
  <c r="C5947" i="4"/>
  <c r="C5948" i="4"/>
  <c r="C5949" i="4"/>
  <c r="C5950" i="4"/>
  <c r="C5951" i="4"/>
  <c r="C5952" i="4"/>
  <c r="C5953" i="4"/>
  <c r="C5954" i="4"/>
  <c r="C5955" i="4"/>
  <c r="C5956" i="4"/>
  <c r="C5957" i="4"/>
  <c r="C5958" i="4"/>
  <c r="C5959" i="4"/>
  <c r="C5960" i="4"/>
  <c r="C5961" i="4"/>
  <c r="C5962" i="4"/>
  <c r="C5963" i="4"/>
  <c r="C5964" i="4"/>
  <c r="C5965" i="4"/>
  <c r="C5966" i="4"/>
  <c r="C5967" i="4"/>
  <c r="C5968" i="4"/>
  <c r="C5969" i="4"/>
  <c r="C5970" i="4"/>
  <c r="C5971" i="4"/>
  <c r="C5972" i="4"/>
  <c r="C5973" i="4"/>
  <c r="C5974" i="4"/>
  <c r="C5975" i="4"/>
  <c r="C5976" i="4"/>
  <c r="C5977" i="4"/>
  <c r="C5978" i="4"/>
  <c r="C5979" i="4"/>
  <c r="C5980" i="4"/>
  <c r="C5981" i="4"/>
  <c r="C5982" i="4"/>
  <c r="C5983" i="4"/>
  <c r="C5984" i="4"/>
  <c r="C5985" i="4"/>
  <c r="C5986" i="4"/>
  <c r="C5987" i="4"/>
  <c r="C5988" i="4"/>
  <c r="C5989" i="4"/>
  <c r="C5990" i="4"/>
  <c r="C5991" i="4"/>
  <c r="C5992" i="4"/>
  <c r="C5993" i="4"/>
  <c r="C5994" i="4"/>
  <c r="C5995" i="4"/>
  <c r="C5996" i="4"/>
  <c r="C5997" i="4"/>
  <c r="C5998" i="4"/>
  <c r="C5999" i="4"/>
  <c r="C6000" i="4"/>
  <c r="C6001" i="4"/>
  <c r="C6002" i="4"/>
  <c r="C6003" i="4"/>
  <c r="C6004" i="4"/>
  <c r="C6005" i="4"/>
  <c r="C6006" i="4"/>
  <c r="C6007" i="4"/>
  <c r="C6008" i="4"/>
  <c r="C6009" i="4"/>
  <c r="C6010" i="4"/>
  <c r="C6011" i="4"/>
  <c r="C6012" i="4"/>
  <c r="C6013" i="4"/>
  <c r="C6014" i="4"/>
  <c r="C6015" i="4"/>
  <c r="C6016" i="4"/>
  <c r="C6017" i="4"/>
  <c r="C6018" i="4"/>
  <c r="C6019" i="4"/>
  <c r="C6020" i="4"/>
  <c r="C6021" i="4"/>
  <c r="C6022" i="4"/>
  <c r="C6023" i="4"/>
  <c r="C6024" i="4"/>
  <c r="C6025" i="4"/>
  <c r="C6026" i="4"/>
  <c r="C6027" i="4"/>
  <c r="C6028" i="4"/>
  <c r="C6029" i="4"/>
  <c r="C6030" i="4"/>
  <c r="C6031" i="4"/>
  <c r="C6032" i="4"/>
  <c r="C6033" i="4"/>
  <c r="C6034" i="4"/>
  <c r="C6035" i="4"/>
  <c r="C6036" i="4"/>
  <c r="C6037" i="4"/>
  <c r="C6038" i="4"/>
  <c r="C6039" i="4"/>
  <c r="C6040" i="4"/>
  <c r="C6041" i="4"/>
  <c r="C6042" i="4"/>
  <c r="C6043" i="4"/>
  <c r="C6044" i="4"/>
  <c r="C6045" i="4"/>
  <c r="C6046" i="4"/>
  <c r="C6047" i="4"/>
  <c r="C6048" i="4"/>
  <c r="C6049" i="4"/>
  <c r="C6050" i="4"/>
  <c r="C6051" i="4"/>
  <c r="C6052" i="4"/>
  <c r="C6053" i="4"/>
  <c r="C6054" i="4"/>
  <c r="C6055" i="4"/>
  <c r="C6056" i="4"/>
  <c r="C6057" i="4"/>
  <c r="C6058" i="4"/>
  <c r="C6059" i="4"/>
  <c r="C6060" i="4"/>
  <c r="C6061" i="4"/>
  <c r="C6062" i="4"/>
  <c r="C6063" i="4"/>
  <c r="C6064" i="4"/>
  <c r="C6065" i="4"/>
  <c r="C6066" i="4"/>
  <c r="C6067" i="4"/>
  <c r="C6068" i="4"/>
  <c r="C6069" i="4"/>
  <c r="C6070" i="4"/>
  <c r="C6071" i="4"/>
  <c r="C6072" i="4"/>
  <c r="C6073" i="4"/>
  <c r="C6074" i="4"/>
  <c r="C6075" i="4"/>
  <c r="C6076" i="4"/>
  <c r="C6077" i="4"/>
  <c r="C6078" i="4"/>
  <c r="C6079" i="4"/>
  <c r="C6080" i="4"/>
  <c r="C6081" i="4"/>
  <c r="C6082" i="4"/>
  <c r="C6083" i="4"/>
  <c r="C6084" i="4"/>
  <c r="C6085" i="4"/>
  <c r="C6086" i="4"/>
  <c r="C6087" i="4"/>
  <c r="C6088" i="4"/>
  <c r="C6089" i="4"/>
  <c r="C6090" i="4"/>
  <c r="C6091" i="4"/>
  <c r="C6092" i="4"/>
  <c r="C6093" i="4"/>
  <c r="C6094" i="4"/>
  <c r="C6095" i="4"/>
  <c r="C6096" i="4"/>
  <c r="C6097" i="4"/>
  <c r="C6098" i="4"/>
  <c r="C6099" i="4"/>
  <c r="C6100" i="4"/>
  <c r="C6101" i="4"/>
  <c r="C6102" i="4"/>
  <c r="C6103" i="4"/>
  <c r="C6104" i="4"/>
  <c r="C6105" i="4"/>
  <c r="C6106" i="4"/>
  <c r="C6107" i="4"/>
  <c r="C6108" i="4"/>
  <c r="C6109" i="4"/>
  <c r="C6110" i="4"/>
  <c r="C6111" i="4"/>
  <c r="C6112" i="4"/>
  <c r="C6113" i="4"/>
  <c r="C6114" i="4"/>
  <c r="C6115" i="4"/>
  <c r="C6116" i="4"/>
  <c r="C6117" i="4"/>
  <c r="C6118" i="4"/>
  <c r="C6119" i="4"/>
  <c r="C6120" i="4"/>
  <c r="C6121" i="4"/>
  <c r="C6122" i="4"/>
  <c r="C6123" i="4"/>
  <c r="C6124" i="4"/>
  <c r="C6125" i="4"/>
  <c r="C6126" i="4"/>
  <c r="C6127" i="4"/>
  <c r="C6128" i="4"/>
  <c r="C6129" i="4"/>
  <c r="C6130" i="4"/>
  <c r="C6131" i="4"/>
  <c r="C6132" i="4"/>
  <c r="C6133" i="4"/>
  <c r="C6134" i="4"/>
  <c r="C6135" i="4"/>
  <c r="C6136" i="4"/>
  <c r="C6137" i="4"/>
  <c r="C6138" i="4"/>
  <c r="C6139" i="4"/>
  <c r="C6140" i="4"/>
  <c r="C6141" i="4"/>
  <c r="C6142" i="4"/>
  <c r="C6143" i="4"/>
  <c r="C6144" i="4"/>
  <c r="C6145" i="4"/>
  <c r="C6146" i="4"/>
  <c r="C6147" i="4"/>
  <c r="C6148" i="4"/>
  <c r="C6149" i="4"/>
  <c r="C6150" i="4"/>
  <c r="C6151" i="4"/>
  <c r="C6152" i="4"/>
  <c r="C6153" i="4"/>
  <c r="C6154" i="4"/>
  <c r="C6155" i="4"/>
  <c r="C6156" i="4"/>
  <c r="C6157" i="4"/>
  <c r="C6158" i="4"/>
  <c r="C6159" i="4"/>
  <c r="C6160" i="4"/>
  <c r="C6161" i="4"/>
  <c r="C6162" i="4"/>
  <c r="C6163" i="4"/>
  <c r="C6164" i="4"/>
  <c r="C6165" i="4"/>
  <c r="C6166" i="4"/>
  <c r="C6167" i="4"/>
  <c r="C6168" i="4"/>
  <c r="C6169" i="4"/>
  <c r="C6170" i="4"/>
  <c r="C6171" i="4"/>
  <c r="C6172" i="4"/>
  <c r="C6173" i="4"/>
  <c r="C6174" i="4"/>
  <c r="C6175" i="4"/>
  <c r="C6176" i="4"/>
  <c r="C6177" i="4"/>
  <c r="C6178" i="4"/>
  <c r="C6179" i="4"/>
  <c r="C6180" i="4"/>
  <c r="C6181" i="4"/>
  <c r="C6182" i="4"/>
  <c r="C6183" i="4"/>
  <c r="C6184" i="4"/>
  <c r="C6185" i="4"/>
  <c r="C6186" i="4"/>
  <c r="C6187" i="4"/>
  <c r="C6188" i="4"/>
  <c r="C6189" i="4"/>
  <c r="C6190" i="4"/>
  <c r="C6191" i="4"/>
  <c r="C6192" i="4"/>
  <c r="C6193" i="4"/>
  <c r="C6194" i="4"/>
  <c r="C6195" i="4"/>
  <c r="C6196" i="4"/>
  <c r="C6197" i="4"/>
  <c r="C6198" i="4"/>
  <c r="C6199" i="4"/>
  <c r="C6200" i="4"/>
  <c r="C6201" i="4"/>
  <c r="C6202" i="4"/>
  <c r="C6203" i="4"/>
  <c r="C6204" i="4"/>
  <c r="C6205" i="4"/>
  <c r="C6206" i="4"/>
  <c r="C6207" i="4"/>
  <c r="C6208" i="4"/>
  <c r="C6209" i="4"/>
  <c r="C6210" i="4"/>
  <c r="C6211" i="4"/>
  <c r="C6212" i="4"/>
  <c r="C6213" i="4"/>
  <c r="C6214" i="4"/>
  <c r="C6215" i="4"/>
  <c r="C6216" i="4"/>
  <c r="C6217" i="4"/>
  <c r="C6218" i="4"/>
  <c r="C6219" i="4"/>
  <c r="C6220" i="4"/>
  <c r="C6221" i="4"/>
  <c r="C6222" i="4"/>
  <c r="C6223" i="4"/>
  <c r="C6224" i="4"/>
  <c r="C6225" i="4"/>
  <c r="C6226" i="4"/>
  <c r="C6227" i="4"/>
  <c r="C6228" i="4"/>
  <c r="C6229" i="4"/>
  <c r="C6230" i="4"/>
  <c r="C6231" i="4"/>
  <c r="C6232" i="4"/>
  <c r="C6233" i="4"/>
  <c r="C6234" i="4"/>
  <c r="C6235" i="4"/>
  <c r="C6236" i="4"/>
  <c r="C6237" i="4"/>
  <c r="C6238" i="4"/>
  <c r="C6239" i="4"/>
  <c r="C6240" i="4"/>
  <c r="C6241" i="4"/>
  <c r="C6242" i="4"/>
  <c r="C6243" i="4"/>
  <c r="C6244" i="4"/>
  <c r="C6245" i="4"/>
  <c r="C6246" i="4"/>
  <c r="C6247" i="4"/>
  <c r="C6248" i="4"/>
  <c r="C6249" i="4"/>
  <c r="C6250" i="4"/>
  <c r="C6251" i="4"/>
  <c r="C6252" i="4"/>
  <c r="C6253" i="4"/>
  <c r="C6254" i="4"/>
  <c r="C6255" i="4"/>
  <c r="C6256" i="4"/>
  <c r="C6257" i="4"/>
  <c r="C6258" i="4"/>
  <c r="C6259" i="4"/>
  <c r="C6260" i="4"/>
  <c r="C6261" i="4"/>
  <c r="C6262" i="4"/>
  <c r="C6263" i="4"/>
  <c r="C6264" i="4"/>
  <c r="C6265" i="4"/>
  <c r="C6266" i="4"/>
  <c r="C6267" i="4"/>
  <c r="C6268" i="4"/>
  <c r="C6269" i="4"/>
  <c r="C6270" i="4"/>
  <c r="C6271" i="4"/>
  <c r="C6272" i="4"/>
  <c r="C6273" i="4"/>
  <c r="C6274" i="4"/>
  <c r="C6275" i="4"/>
  <c r="C6276" i="4"/>
  <c r="C6277" i="4"/>
  <c r="C6278" i="4"/>
  <c r="C6279" i="4"/>
  <c r="C6280" i="4"/>
  <c r="C6281" i="4"/>
  <c r="C6282" i="4"/>
  <c r="C6283" i="4"/>
  <c r="C6284" i="4"/>
  <c r="C6285" i="4"/>
  <c r="C6286" i="4"/>
  <c r="C6287" i="4"/>
  <c r="C6288" i="4"/>
  <c r="C6289" i="4"/>
  <c r="C6290" i="4"/>
  <c r="C6291" i="4"/>
  <c r="C6292" i="4"/>
  <c r="C6293" i="4"/>
  <c r="C6294" i="4"/>
  <c r="C6295" i="4"/>
  <c r="C6296" i="4"/>
  <c r="C6297" i="4"/>
  <c r="C6298" i="4"/>
  <c r="C6299" i="4"/>
  <c r="C6300" i="4"/>
  <c r="C6301" i="4"/>
  <c r="C6302" i="4"/>
  <c r="C6303" i="4"/>
  <c r="C6304" i="4"/>
  <c r="C6305" i="4"/>
  <c r="C6306" i="4"/>
  <c r="C6307" i="4"/>
  <c r="C6308" i="4"/>
  <c r="C6309" i="4"/>
  <c r="C6310" i="4"/>
  <c r="C6311" i="4"/>
  <c r="C6312" i="4"/>
  <c r="C6313" i="4"/>
  <c r="C6314" i="4"/>
  <c r="C6315" i="4"/>
  <c r="C6316" i="4"/>
  <c r="C6317" i="4"/>
  <c r="C6318" i="4"/>
  <c r="C6319" i="4"/>
  <c r="C6320" i="4"/>
  <c r="C6321" i="4"/>
  <c r="C6322" i="4"/>
  <c r="C6323" i="4"/>
  <c r="C6324" i="4"/>
  <c r="C6325" i="4"/>
  <c r="C6326" i="4"/>
  <c r="C6327" i="4"/>
  <c r="C6328" i="4"/>
  <c r="C6329" i="4"/>
  <c r="C6330" i="4"/>
  <c r="C6331" i="4"/>
  <c r="C6332" i="4"/>
  <c r="C6333" i="4"/>
  <c r="C6334" i="4"/>
  <c r="C6335" i="4"/>
  <c r="C6336" i="4"/>
  <c r="C6337" i="4"/>
  <c r="C6338" i="4"/>
  <c r="C6339" i="4"/>
  <c r="C6340" i="4"/>
  <c r="C6341" i="4"/>
  <c r="C6342" i="4"/>
  <c r="C6343" i="4"/>
  <c r="C6344" i="4"/>
  <c r="C6345" i="4"/>
  <c r="C6346" i="4"/>
  <c r="C6347" i="4"/>
  <c r="C6348" i="4"/>
  <c r="C6349" i="4"/>
  <c r="C6350" i="4"/>
  <c r="C6351" i="4"/>
  <c r="C6352" i="4"/>
  <c r="C6353" i="4"/>
  <c r="C6354" i="4"/>
  <c r="C6355" i="4"/>
  <c r="C6356" i="4"/>
  <c r="C6357" i="4"/>
  <c r="C6358" i="4"/>
  <c r="C6359" i="4"/>
  <c r="C6360" i="4"/>
  <c r="C6361" i="4"/>
  <c r="C6362" i="4"/>
  <c r="C6363" i="4"/>
  <c r="C6364" i="4"/>
  <c r="C6365" i="4"/>
  <c r="C6366" i="4"/>
  <c r="C6367" i="4"/>
  <c r="C6368" i="4"/>
  <c r="C6369" i="4"/>
  <c r="C6370" i="4"/>
  <c r="C6371" i="4"/>
  <c r="C6372" i="4"/>
  <c r="C6373" i="4"/>
  <c r="C6374" i="4"/>
  <c r="C6375" i="4"/>
  <c r="C6376" i="4"/>
  <c r="C6377" i="4"/>
  <c r="C6378" i="4"/>
  <c r="C6379" i="4"/>
  <c r="C6380" i="4"/>
  <c r="C6381" i="4"/>
  <c r="C6382" i="4"/>
  <c r="C6383" i="4"/>
  <c r="C6384" i="4"/>
  <c r="C6385" i="4"/>
  <c r="C6386" i="4"/>
  <c r="C6387" i="4"/>
  <c r="C6388" i="4"/>
  <c r="C6389" i="4"/>
  <c r="C6390" i="4"/>
  <c r="C6391" i="4"/>
  <c r="C6392" i="4"/>
  <c r="C6393" i="4"/>
  <c r="C6394" i="4"/>
  <c r="C6395" i="4"/>
  <c r="C6396" i="4"/>
  <c r="C6397" i="4"/>
  <c r="C6398" i="4"/>
  <c r="C6399" i="4"/>
  <c r="C6400" i="4"/>
  <c r="C6401" i="4"/>
  <c r="C6402" i="4"/>
  <c r="C6403" i="4"/>
  <c r="C6404" i="4"/>
  <c r="C6405" i="4"/>
  <c r="C6406" i="4"/>
  <c r="C6407" i="4"/>
  <c r="C6408" i="4"/>
  <c r="C6409" i="4"/>
  <c r="C6410" i="4"/>
  <c r="C6411" i="4"/>
  <c r="C6412" i="4"/>
  <c r="C6413" i="4"/>
  <c r="C6414" i="4"/>
  <c r="C6415" i="4"/>
  <c r="C6416" i="4"/>
  <c r="C6417" i="4"/>
  <c r="C6418" i="4"/>
  <c r="C6419" i="4"/>
  <c r="C6420" i="4"/>
  <c r="C6421" i="4"/>
  <c r="C6422" i="4"/>
  <c r="C6423" i="4"/>
  <c r="C6424" i="4"/>
  <c r="C6425" i="4"/>
  <c r="C6426" i="4"/>
  <c r="C6427" i="4"/>
  <c r="C6428" i="4"/>
  <c r="C6429" i="4"/>
  <c r="C6430" i="4"/>
  <c r="C6431" i="4"/>
  <c r="C6432" i="4"/>
  <c r="C6433" i="4"/>
  <c r="C6434" i="4"/>
  <c r="C6435" i="4"/>
  <c r="C6436" i="4"/>
  <c r="C6437" i="4"/>
  <c r="C6438" i="4"/>
  <c r="C6439" i="4"/>
  <c r="C6440" i="4"/>
  <c r="C6441" i="4"/>
  <c r="C6442" i="4"/>
  <c r="C6443" i="4"/>
  <c r="C6444" i="4"/>
  <c r="C6445" i="4"/>
  <c r="C6446" i="4"/>
  <c r="C6447" i="4"/>
  <c r="C6448" i="4"/>
  <c r="C6449" i="4"/>
  <c r="C6450" i="4"/>
  <c r="C6451" i="4"/>
  <c r="C6452" i="4"/>
  <c r="C6453" i="4"/>
  <c r="C6454" i="4"/>
  <c r="C6455" i="4"/>
  <c r="C6456" i="4"/>
  <c r="C6457" i="4"/>
  <c r="C6458" i="4"/>
  <c r="C6459" i="4"/>
  <c r="C6460" i="4"/>
  <c r="C6461" i="4"/>
  <c r="C6462" i="4"/>
  <c r="C6463" i="4"/>
  <c r="C6464" i="4"/>
  <c r="C6465" i="4"/>
  <c r="C6466" i="4"/>
  <c r="C6467" i="4"/>
  <c r="C6468" i="4"/>
  <c r="C6469" i="4"/>
  <c r="C6470" i="4"/>
  <c r="C6471" i="4"/>
  <c r="C6472" i="4"/>
  <c r="C6473" i="4"/>
  <c r="C6474" i="4"/>
  <c r="C6475" i="4"/>
  <c r="C6476" i="4"/>
  <c r="C6477" i="4"/>
  <c r="C6478" i="4"/>
  <c r="C6479" i="4"/>
  <c r="C6480" i="4"/>
  <c r="C6481" i="4"/>
  <c r="C6482" i="4"/>
  <c r="C6483" i="4"/>
  <c r="C6484" i="4"/>
  <c r="C6485" i="4"/>
  <c r="C6486" i="4"/>
  <c r="C6487" i="4"/>
  <c r="C6488" i="4"/>
  <c r="C6489" i="4"/>
  <c r="C6490" i="4"/>
  <c r="C6491" i="4"/>
  <c r="C6492" i="4"/>
  <c r="C6493" i="4"/>
  <c r="C6494" i="4"/>
  <c r="C6495" i="4"/>
  <c r="C6496" i="4"/>
  <c r="C6497" i="4"/>
  <c r="C6498" i="4"/>
  <c r="C6499" i="4"/>
  <c r="C6500" i="4"/>
  <c r="C6501" i="4"/>
  <c r="C6502" i="4"/>
  <c r="C6503" i="4"/>
  <c r="C6504" i="4"/>
  <c r="C6505" i="4"/>
  <c r="C6506" i="4"/>
  <c r="C6507" i="4"/>
  <c r="C6508" i="4"/>
  <c r="C6509" i="4"/>
  <c r="C6510" i="4"/>
  <c r="C6511" i="4"/>
  <c r="C6512" i="4"/>
  <c r="C6513" i="4"/>
  <c r="C6514" i="4"/>
  <c r="C6515" i="4"/>
  <c r="C6516" i="4"/>
  <c r="C6517" i="4"/>
  <c r="C6518" i="4"/>
  <c r="C6519" i="4"/>
  <c r="C6520" i="4"/>
  <c r="C6521" i="4"/>
  <c r="C6522" i="4"/>
  <c r="C6523" i="4"/>
  <c r="C6524" i="4"/>
  <c r="C6525" i="4"/>
  <c r="C6526" i="4"/>
  <c r="C6527" i="4"/>
  <c r="C6528" i="4"/>
  <c r="C6529" i="4"/>
  <c r="C6530" i="4"/>
  <c r="C6531" i="4"/>
  <c r="C6532" i="4"/>
  <c r="C6533" i="4"/>
  <c r="C6534" i="4"/>
  <c r="C6535" i="4"/>
  <c r="C6536" i="4"/>
  <c r="C6537" i="4"/>
  <c r="C6538" i="4"/>
  <c r="C6539" i="4"/>
  <c r="C6540" i="4"/>
  <c r="C6541" i="4"/>
  <c r="C6542" i="4"/>
  <c r="C6543" i="4"/>
  <c r="C6544" i="4"/>
  <c r="C6545" i="4"/>
  <c r="C6546" i="4"/>
  <c r="C6547" i="4"/>
  <c r="C6548" i="4"/>
  <c r="C6549" i="4"/>
  <c r="C6550" i="4"/>
  <c r="C6551" i="4"/>
  <c r="C6552" i="4"/>
  <c r="C6553" i="4"/>
  <c r="C6554" i="4"/>
  <c r="C6555" i="4"/>
  <c r="C6556" i="4"/>
  <c r="C6557" i="4"/>
  <c r="C6558" i="4"/>
  <c r="C6559" i="4"/>
  <c r="C6560" i="4"/>
  <c r="C6561" i="4"/>
  <c r="C6562" i="4"/>
  <c r="C6563" i="4"/>
  <c r="C6564" i="4"/>
  <c r="C6565" i="4"/>
  <c r="C6566" i="4"/>
  <c r="C6567" i="4"/>
  <c r="C6568" i="4"/>
  <c r="C6569" i="4"/>
  <c r="C6570" i="4"/>
  <c r="C6571" i="4"/>
  <c r="C6572" i="4"/>
  <c r="C6573" i="4"/>
  <c r="C6574" i="4"/>
  <c r="C6575" i="4"/>
  <c r="C6576" i="4"/>
  <c r="C6577" i="4"/>
  <c r="C6578" i="4"/>
  <c r="C6579" i="4"/>
  <c r="C6580" i="4"/>
  <c r="C6581" i="4"/>
  <c r="C6582" i="4"/>
  <c r="C6583" i="4"/>
  <c r="C6584" i="4"/>
  <c r="C6585" i="4"/>
  <c r="C6586" i="4"/>
  <c r="C6587" i="4"/>
  <c r="C6588" i="4"/>
  <c r="C6589" i="4"/>
  <c r="C6590" i="4"/>
  <c r="C6591" i="4"/>
  <c r="C6592" i="4"/>
  <c r="C6593" i="4"/>
  <c r="C6594" i="4"/>
  <c r="C6595" i="4"/>
  <c r="C6596" i="4"/>
  <c r="C6597" i="4"/>
  <c r="C6598" i="4"/>
  <c r="C6599" i="4"/>
  <c r="C6600" i="4"/>
  <c r="C6601" i="4"/>
  <c r="C6602" i="4"/>
  <c r="C6603" i="4"/>
  <c r="C6604" i="4"/>
  <c r="C6605" i="4"/>
  <c r="C6606" i="4"/>
  <c r="C6607" i="4"/>
  <c r="C6608" i="4"/>
  <c r="C6609" i="4"/>
  <c r="C6610" i="4"/>
  <c r="C6611" i="4"/>
  <c r="C6612" i="4"/>
  <c r="C6613" i="4"/>
  <c r="C6614" i="4"/>
  <c r="C6615" i="4"/>
  <c r="C6616" i="4"/>
  <c r="C6617" i="4"/>
  <c r="C6618" i="4"/>
  <c r="C6619" i="4"/>
  <c r="C6620" i="4"/>
  <c r="C6621" i="4"/>
  <c r="C6622" i="4"/>
  <c r="C6623" i="4"/>
  <c r="C6624" i="4"/>
  <c r="C6625" i="4"/>
  <c r="C6626" i="4"/>
  <c r="C6627" i="4"/>
  <c r="C6628" i="4"/>
  <c r="C6629" i="4"/>
  <c r="C6630" i="4"/>
  <c r="C6631" i="4"/>
  <c r="C6632" i="4"/>
  <c r="C6633" i="4"/>
  <c r="C6634" i="4"/>
  <c r="C6635" i="4"/>
  <c r="C6636" i="4"/>
  <c r="C6637" i="4"/>
  <c r="C6638" i="4"/>
  <c r="C6639" i="4"/>
  <c r="C6640" i="4"/>
  <c r="C6641" i="4"/>
  <c r="C6642" i="4"/>
  <c r="C6643" i="4"/>
  <c r="C6644" i="4"/>
  <c r="C6645" i="4"/>
  <c r="C6646" i="4"/>
  <c r="C6647" i="4"/>
  <c r="C6648" i="4"/>
  <c r="C6649" i="4"/>
  <c r="C6650" i="4"/>
  <c r="C6651" i="4"/>
  <c r="C6652" i="4"/>
  <c r="C6653" i="4"/>
  <c r="C6654" i="4"/>
  <c r="C6655" i="4"/>
  <c r="C6656" i="4"/>
  <c r="C6657" i="4"/>
  <c r="C6658" i="4"/>
  <c r="C6659" i="4"/>
  <c r="C6660" i="4"/>
  <c r="C6661" i="4"/>
  <c r="C6662" i="4"/>
  <c r="C6663" i="4"/>
  <c r="C6664" i="4"/>
  <c r="C6665" i="4"/>
  <c r="C6666" i="4"/>
  <c r="C6667" i="4"/>
  <c r="C6668" i="4"/>
  <c r="C6669" i="4"/>
  <c r="C6670" i="4"/>
  <c r="C6671" i="4"/>
  <c r="C6672" i="4"/>
  <c r="C6673" i="4"/>
  <c r="C6674" i="4"/>
  <c r="C6675" i="4"/>
  <c r="C6676" i="4"/>
  <c r="C6677" i="4"/>
  <c r="C6678" i="4"/>
  <c r="C6679" i="4"/>
  <c r="C6680" i="4"/>
  <c r="C6681" i="4"/>
  <c r="C6682" i="4"/>
  <c r="C6683" i="4"/>
  <c r="C6684" i="4"/>
  <c r="C6685" i="4"/>
  <c r="C6686" i="4"/>
  <c r="C6687" i="4"/>
  <c r="C6688" i="4"/>
  <c r="C6689" i="4"/>
  <c r="C6690" i="4"/>
  <c r="C6691" i="4"/>
  <c r="C6692" i="4"/>
  <c r="C6693" i="4"/>
  <c r="C6694" i="4"/>
  <c r="C6695" i="4"/>
  <c r="C6696" i="4"/>
  <c r="C6697" i="4"/>
  <c r="C6698" i="4"/>
  <c r="C6699" i="4"/>
  <c r="C6700" i="4"/>
  <c r="C6701" i="4"/>
  <c r="C6702" i="4"/>
  <c r="C6703" i="4"/>
  <c r="C6704" i="4"/>
  <c r="C6705" i="4"/>
  <c r="C6706" i="4"/>
  <c r="C6707" i="4"/>
  <c r="C6708" i="4"/>
  <c r="C6709" i="4"/>
  <c r="C6710" i="4"/>
  <c r="C6711" i="4"/>
  <c r="C6712" i="4"/>
  <c r="C6713" i="4"/>
  <c r="C6714" i="4"/>
  <c r="C6715" i="4"/>
  <c r="C6716" i="4"/>
  <c r="C6717" i="4"/>
  <c r="C6718" i="4"/>
  <c r="C6719" i="4"/>
  <c r="C6720" i="4"/>
  <c r="C6721" i="4"/>
  <c r="C6722" i="4"/>
  <c r="C6723" i="4"/>
  <c r="C6724" i="4"/>
  <c r="C6725" i="4"/>
  <c r="C6726" i="4"/>
  <c r="C6727" i="4"/>
  <c r="C6728" i="4"/>
  <c r="C6729" i="4"/>
  <c r="C6730" i="4"/>
  <c r="C6731" i="4"/>
  <c r="C6732" i="4"/>
  <c r="C6733" i="4"/>
  <c r="C6734" i="4"/>
  <c r="C6735" i="4"/>
  <c r="C6736" i="4"/>
  <c r="C6737" i="4"/>
  <c r="C6738" i="4"/>
  <c r="C6739" i="4"/>
  <c r="C6740" i="4"/>
  <c r="C6741" i="4"/>
  <c r="C6742" i="4"/>
  <c r="C6743" i="4"/>
  <c r="C6744" i="4"/>
  <c r="C6745" i="4"/>
  <c r="C6746" i="4"/>
  <c r="C6747" i="4"/>
  <c r="C6748" i="4"/>
  <c r="C6749" i="4"/>
  <c r="C6750" i="4"/>
  <c r="C6751" i="4"/>
  <c r="C6752" i="4"/>
  <c r="C6753" i="4"/>
  <c r="C6754" i="4"/>
  <c r="C6755" i="4"/>
  <c r="C6756" i="4"/>
  <c r="C6757" i="4"/>
  <c r="C6758" i="4"/>
  <c r="C6759" i="4"/>
  <c r="C6760" i="4"/>
  <c r="C6761" i="4"/>
  <c r="C6762" i="4"/>
  <c r="C6763" i="4"/>
  <c r="C6764" i="4"/>
  <c r="C6765" i="4"/>
  <c r="C6766" i="4"/>
  <c r="C6767" i="4"/>
  <c r="C6768" i="4"/>
  <c r="C6769" i="4"/>
  <c r="C6770" i="4"/>
  <c r="C6771" i="4"/>
  <c r="C6772" i="4"/>
  <c r="C6773" i="4"/>
  <c r="C6774" i="4"/>
  <c r="C6775" i="4"/>
  <c r="C6776" i="4"/>
  <c r="C6777" i="4"/>
  <c r="C6778" i="4"/>
  <c r="C6779" i="4"/>
  <c r="C6780" i="4"/>
  <c r="C6781" i="4"/>
  <c r="C6782" i="4"/>
  <c r="C6783" i="4"/>
  <c r="C6784" i="4"/>
  <c r="C6785" i="4"/>
  <c r="C6786" i="4"/>
  <c r="C6787" i="4"/>
  <c r="C6788" i="4"/>
  <c r="C6789" i="4"/>
  <c r="C6790" i="4"/>
  <c r="C6791" i="4"/>
  <c r="C6792" i="4"/>
  <c r="C6793" i="4"/>
  <c r="C6794" i="4"/>
  <c r="C6795" i="4"/>
  <c r="C6796" i="4"/>
  <c r="C6797" i="4"/>
  <c r="C6798" i="4"/>
  <c r="C6799" i="4"/>
  <c r="C6800" i="4"/>
  <c r="C6801" i="4"/>
  <c r="C6802" i="4"/>
  <c r="C6803" i="4"/>
  <c r="C6804" i="4"/>
  <c r="C6805" i="4"/>
  <c r="C6806" i="4"/>
  <c r="C6807" i="4"/>
  <c r="C6808" i="4"/>
  <c r="C6809" i="4"/>
  <c r="C6810" i="4"/>
  <c r="C6811" i="4"/>
  <c r="C6812" i="4"/>
  <c r="C6813" i="4"/>
  <c r="C6814" i="4"/>
  <c r="C6815" i="4"/>
  <c r="C6816" i="4"/>
  <c r="C6817" i="4"/>
  <c r="C6818" i="4"/>
  <c r="C6819" i="4"/>
  <c r="C6820" i="4"/>
  <c r="C6821" i="4"/>
  <c r="C6822" i="4"/>
  <c r="C6823" i="4"/>
  <c r="C6824" i="4"/>
  <c r="C6825" i="4"/>
  <c r="C6826" i="4"/>
  <c r="C6827" i="4"/>
  <c r="C6828" i="4"/>
  <c r="C6829" i="4"/>
  <c r="C6830" i="4"/>
  <c r="C6831" i="4"/>
  <c r="C6832" i="4"/>
  <c r="C6833" i="4"/>
  <c r="C6834" i="4"/>
  <c r="C6835" i="4"/>
  <c r="C6836" i="4"/>
  <c r="C6837" i="4"/>
  <c r="C6838" i="4"/>
  <c r="C6839" i="4"/>
  <c r="C6840" i="4"/>
  <c r="C6841" i="4"/>
  <c r="C6842" i="4"/>
  <c r="C6843" i="4"/>
  <c r="C6844" i="4"/>
  <c r="C6845" i="4"/>
  <c r="C6846" i="4"/>
  <c r="C6847" i="4"/>
  <c r="C6848" i="4"/>
  <c r="C6849" i="4"/>
  <c r="C6850" i="4"/>
  <c r="C6851" i="4"/>
  <c r="C6852" i="4"/>
  <c r="C6853" i="4"/>
  <c r="C6854" i="4"/>
  <c r="C6855" i="4"/>
  <c r="C6856" i="4"/>
  <c r="C6857" i="4"/>
  <c r="C6858" i="4"/>
  <c r="C6859" i="4"/>
  <c r="C6860" i="4"/>
  <c r="C6861" i="4"/>
  <c r="C6862" i="4"/>
  <c r="C6863" i="4"/>
  <c r="C6864" i="4"/>
  <c r="C6865" i="4"/>
  <c r="C6866" i="4"/>
  <c r="C6867" i="4"/>
  <c r="C6868" i="4"/>
  <c r="C6869" i="4"/>
  <c r="C6870" i="4"/>
  <c r="C6871" i="4"/>
  <c r="C6872" i="4"/>
  <c r="C6873" i="4"/>
  <c r="C6874" i="4"/>
  <c r="C6875" i="4"/>
  <c r="C6876" i="4"/>
  <c r="C6877" i="4"/>
  <c r="C6878" i="4"/>
  <c r="C6879" i="4"/>
  <c r="C6880" i="4"/>
  <c r="C6881" i="4"/>
  <c r="C6882" i="4"/>
  <c r="C6883" i="4"/>
  <c r="C6884" i="4"/>
  <c r="C6885" i="4"/>
  <c r="C6886" i="4"/>
  <c r="C6887" i="4"/>
  <c r="C6888" i="4"/>
  <c r="C6889" i="4"/>
  <c r="C6890" i="4"/>
  <c r="C6891" i="4"/>
  <c r="C6892" i="4"/>
  <c r="C6893" i="4"/>
  <c r="C6894" i="4"/>
  <c r="C6895" i="4"/>
  <c r="C6896" i="4"/>
  <c r="C6897" i="4"/>
  <c r="C6898" i="4"/>
  <c r="C6899" i="4"/>
  <c r="C6900" i="4"/>
  <c r="C6901" i="4"/>
  <c r="C6902" i="4"/>
  <c r="C6903" i="4"/>
  <c r="C6904" i="4"/>
  <c r="C6905" i="4"/>
  <c r="C6906" i="4"/>
  <c r="C6907" i="4"/>
  <c r="C6908" i="4"/>
  <c r="C6909" i="4"/>
  <c r="C6910" i="4"/>
  <c r="C6911" i="4"/>
  <c r="C6912" i="4"/>
  <c r="C6913" i="4"/>
  <c r="C6914" i="4"/>
  <c r="C6915" i="4"/>
  <c r="C6916" i="4"/>
  <c r="C6917" i="4"/>
  <c r="C6918" i="4"/>
  <c r="C6919" i="4"/>
  <c r="C6920" i="4"/>
  <c r="C6921" i="4"/>
  <c r="C6922" i="4"/>
  <c r="C6923" i="4"/>
  <c r="C6924" i="4"/>
  <c r="C6925" i="4"/>
  <c r="C6926" i="4"/>
  <c r="C6927" i="4"/>
  <c r="C6928" i="4"/>
  <c r="C6929" i="4"/>
  <c r="C6930" i="4"/>
  <c r="C6931" i="4"/>
  <c r="C6932" i="4"/>
  <c r="C6933" i="4"/>
  <c r="C6934" i="4"/>
  <c r="C6935" i="4"/>
  <c r="C6936" i="4"/>
  <c r="C6937" i="4"/>
  <c r="C6938" i="4"/>
  <c r="C6939" i="4"/>
  <c r="C6940" i="4"/>
  <c r="C6941" i="4"/>
  <c r="C6942" i="4"/>
  <c r="C6943" i="4"/>
  <c r="C6944" i="4"/>
  <c r="C6945" i="4"/>
  <c r="C6946" i="4"/>
  <c r="C6947" i="4"/>
  <c r="C6948" i="4"/>
  <c r="C6949" i="4"/>
  <c r="C6950" i="4"/>
  <c r="C6951" i="4"/>
  <c r="C6952" i="4"/>
  <c r="C6953" i="4"/>
  <c r="C6954" i="4"/>
  <c r="C6955" i="4"/>
  <c r="C6956" i="4"/>
  <c r="C6957" i="4"/>
  <c r="C6958" i="4"/>
  <c r="C6959" i="4"/>
  <c r="C6960" i="4"/>
  <c r="C6961" i="4"/>
  <c r="C6962" i="4"/>
  <c r="C6963" i="4"/>
  <c r="C6964" i="4"/>
  <c r="C6965" i="4"/>
  <c r="C6966" i="4"/>
  <c r="C6967" i="4"/>
  <c r="C6968" i="4"/>
  <c r="C6969" i="4"/>
  <c r="C6970" i="4"/>
  <c r="C6971" i="4"/>
  <c r="C6972" i="4"/>
  <c r="C6973" i="4"/>
  <c r="C6974" i="4"/>
  <c r="C6975" i="4"/>
  <c r="C6976" i="4"/>
  <c r="C6977" i="4"/>
  <c r="C6978" i="4"/>
  <c r="C6979" i="4"/>
  <c r="C6980" i="4"/>
  <c r="C6981" i="4"/>
  <c r="C6982" i="4"/>
  <c r="C6983" i="4"/>
  <c r="C6984" i="4"/>
  <c r="C6985" i="4"/>
  <c r="C6986" i="4"/>
  <c r="C6987" i="4"/>
  <c r="C6988" i="4"/>
  <c r="C6989" i="4"/>
  <c r="C6990" i="4"/>
  <c r="C6991" i="4"/>
  <c r="C6992" i="4"/>
  <c r="C6993" i="4"/>
  <c r="C6994" i="4"/>
  <c r="C6995" i="4"/>
  <c r="C6996" i="4"/>
  <c r="C6997" i="4"/>
  <c r="C6998" i="4"/>
  <c r="C6999" i="4"/>
  <c r="C7000" i="4"/>
  <c r="C7001" i="4"/>
  <c r="C7002" i="4"/>
  <c r="C7003" i="4"/>
  <c r="C7004" i="4"/>
  <c r="C7005" i="4"/>
  <c r="C7006" i="4"/>
  <c r="C7007" i="4"/>
  <c r="C7008" i="4"/>
  <c r="C7009" i="4"/>
  <c r="C7010" i="4"/>
  <c r="C7011" i="4"/>
  <c r="C7012" i="4"/>
  <c r="C7013" i="4"/>
  <c r="C7014" i="4"/>
  <c r="C7015" i="4"/>
  <c r="C7016" i="4"/>
  <c r="C7017" i="4"/>
  <c r="C7018" i="4"/>
  <c r="C7019" i="4"/>
  <c r="C7020" i="4"/>
  <c r="C7021" i="4"/>
  <c r="C7022" i="4"/>
  <c r="C7023" i="4"/>
  <c r="C7024" i="4"/>
  <c r="C7025" i="4"/>
  <c r="C7026" i="4"/>
  <c r="C7027" i="4"/>
  <c r="C7028" i="4"/>
  <c r="C7029" i="4"/>
  <c r="C7030" i="4"/>
  <c r="C7031" i="4"/>
  <c r="C7032" i="4"/>
  <c r="C7033" i="4"/>
  <c r="C7034" i="4"/>
  <c r="C7035" i="4"/>
  <c r="C7036" i="4"/>
  <c r="C7037" i="4"/>
  <c r="C7038" i="4"/>
  <c r="C7039" i="4"/>
  <c r="C7040" i="4"/>
  <c r="C7041" i="4"/>
  <c r="C7042" i="4"/>
  <c r="C7043" i="4"/>
  <c r="C7044" i="4"/>
  <c r="C7045" i="4"/>
  <c r="C7046" i="4"/>
  <c r="C7047" i="4"/>
  <c r="C7048" i="4"/>
  <c r="C7049" i="4"/>
  <c r="C7050" i="4"/>
  <c r="C7051" i="4"/>
  <c r="C7052" i="4"/>
  <c r="C7053" i="4"/>
  <c r="C7054" i="4"/>
  <c r="C7055" i="4"/>
  <c r="C7056" i="4"/>
  <c r="C7057" i="4"/>
  <c r="C7058" i="4"/>
  <c r="C7059" i="4"/>
  <c r="C7060" i="4"/>
  <c r="C7061" i="4"/>
  <c r="C7062" i="4"/>
  <c r="C7063" i="4"/>
  <c r="C7064" i="4"/>
  <c r="C7065" i="4"/>
  <c r="C7066" i="4"/>
  <c r="C7067" i="4"/>
  <c r="C7068" i="4"/>
  <c r="C7069" i="4"/>
  <c r="C7070" i="4"/>
  <c r="C7071" i="4"/>
  <c r="C7072" i="4"/>
  <c r="C7073" i="4"/>
  <c r="C7074" i="4"/>
  <c r="C7075" i="4"/>
  <c r="C7076" i="4"/>
  <c r="C7077" i="4"/>
  <c r="C7078" i="4"/>
  <c r="C7079" i="4"/>
  <c r="C7080" i="4"/>
  <c r="C7081" i="4"/>
  <c r="C7082" i="4"/>
  <c r="C7083" i="4"/>
  <c r="C7084" i="4"/>
  <c r="C7085" i="4"/>
  <c r="C7086" i="4"/>
  <c r="C7087" i="4"/>
  <c r="C7088" i="4"/>
  <c r="C7089" i="4"/>
  <c r="C7090" i="4"/>
  <c r="C7091" i="4"/>
  <c r="C7092" i="4"/>
  <c r="C7093" i="4"/>
  <c r="C7094" i="4"/>
  <c r="C7095" i="4"/>
  <c r="C7096" i="4"/>
  <c r="C7097" i="4"/>
  <c r="C7098" i="4"/>
  <c r="C7099" i="4"/>
  <c r="C7100" i="4"/>
  <c r="C7101" i="4"/>
  <c r="C7102" i="4"/>
  <c r="C7103" i="4"/>
  <c r="C7104" i="4"/>
  <c r="C7105" i="4"/>
  <c r="C7106" i="4"/>
  <c r="C7107" i="4"/>
  <c r="C7108" i="4"/>
  <c r="C7109" i="4"/>
  <c r="C7110" i="4"/>
  <c r="C7111" i="4"/>
  <c r="C7112" i="4"/>
  <c r="C7113" i="4"/>
  <c r="C7114" i="4"/>
  <c r="C7115" i="4"/>
  <c r="C7116" i="4"/>
  <c r="C7117" i="4"/>
  <c r="C7118" i="4"/>
  <c r="C7119" i="4"/>
  <c r="C7120" i="4"/>
  <c r="C7121" i="4"/>
  <c r="C7122" i="4"/>
  <c r="C7123" i="4"/>
  <c r="C7124" i="4"/>
  <c r="C7125" i="4"/>
  <c r="C7126" i="4"/>
  <c r="C7127" i="4"/>
  <c r="C7128" i="4"/>
  <c r="C7129" i="4"/>
  <c r="C7130" i="4"/>
  <c r="C7131" i="4"/>
  <c r="C7132" i="4"/>
  <c r="C7133" i="4"/>
  <c r="C7134" i="4"/>
  <c r="C7135" i="4"/>
  <c r="C7136" i="4"/>
  <c r="C7137" i="4"/>
  <c r="C7138" i="4"/>
  <c r="C7139" i="4"/>
  <c r="C7140" i="4"/>
  <c r="C7141" i="4"/>
  <c r="C7142" i="4"/>
  <c r="C7143" i="4"/>
  <c r="C7144" i="4"/>
  <c r="C7145" i="4"/>
  <c r="C7146" i="4"/>
  <c r="C7147" i="4"/>
  <c r="C7148" i="4"/>
  <c r="C7149" i="4"/>
  <c r="C7150" i="4"/>
  <c r="C7151" i="4"/>
  <c r="C7152" i="4"/>
  <c r="C7153" i="4"/>
  <c r="C7154" i="4"/>
  <c r="C7155" i="4"/>
  <c r="C7156" i="4"/>
  <c r="C7157" i="4"/>
  <c r="C7158" i="4"/>
  <c r="C7159" i="4"/>
  <c r="C7160" i="4"/>
  <c r="C7161" i="4"/>
  <c r="C7162" i="4"/>
  <c r="C7163" i="4"/>
  <c r="C7164" i="4"/>
  <c r="C7165" i="4"/>
  <c r="C7166" i="4"/>
  <c r="C7167" i="4"/>
  <c r="C7168" i="4"/>
  <c r="C7169" i="4"/>
  <c r="C7170" i="4"/>
  <c r="C7171" i="4"/>
  <c r="C7172" i="4"/>
  <c r="C7173" i="4"/>
  <c r="C7174" i="4"/>
  <c r="C7175" i="4"/>
  <c r="C7176" i="4"/>
  <c r="C7177" i="4"/>
  <c r="C7178" i="4"/>
  <c r="C7179" i="4"/>
  <c r="C7180" i="4"/>
  <c r="C7181" i="4"/>
  <c r="C7182" i="4"/>
  <c r="C7183" i="4"/>
  <c r="C7184" i="4"/>
  <c r="C7185" i="4"/>
  <c r="C7186" i="4"/>
  <c r="C7187" i="4"/>
  <c r="C7188" i="4"/>
  <c r="C7189" i="4"/>
  <c r="C7190" i="4"/>
  <c r="C7191" i="4"/>
  <c r="C7192" i="4"/>
  <c r="C7193" i="4"/>
  <c r="C7194" i="4"/>
  <c r="C7195" i="4"/>
  <c r="C7196" i="4"/>
  <c r="C7197" i="4"/>
  <c r="C7198" i="4"/>
  <c r="C7199" i="4"/>
  <c r="C7200" i="4"/>
  <c r="C7201" i="4"/>
  <c r="C7202" i="4"/>
  <c r="C7203" i="4"/>
  <c r="C7204" i="4"/>
  <c r="C7205" i="4"/>
  <c r="C7206" i="4"/>
  <c r="C7207" i="4"/>
  <c r="C7208" i="4"/>
  <c r="C7209" i="4"/>
  <c r="C7210" i="4"/>
  <c r="C7211" i="4"/>
  <c r="C7212" i="4"/>
  <c r="C7213" i="4"/>
  <c r="C7214" i="4"/>
  <c r="C7215" i="4"/>
  <c r="C7216" i="4"/>
  <c r="C7217" i="4"/>
  <c r="C7218" i="4"/>
  <c r="C7219" i="4"/>
  <c r="C7220" i="4"/>
  <c r="C7221" i="4"/>
  <c r="C7222" i="4"/>
  <c r="C7223" i="4"/>
  <c r="C7224" i="4"/>
  <c r="C7225" i="4"/>
  <c r="C7226" i="4"/>
  <c r="C7227" i="4"/>
  <c r="C7228" i="4"/>
  <c r="C7229" i="4"/>
  <c r="C7230" i="4"/>
  <c r="C7231" i="4"/>
  <c r="C7232" i="4"/>
  <c r="C7233" i="4"/>
  <c r="C7234" i="4"/>
  <c r="C7235" i="4"/>
  <c r="C7236" i="4"/>
  <c r="C7237" i="4"/>
  <c r="C7238" i="4"/>
  <c r="C7239" i="4"/>
  <c r="C7240" i="4"/>
  <c r="C7241" i="4"/>
  <c r="C7242" i="4"/>
  <c r="C7243" i="4"/>
  <c r="C7244" i="4"/>
  <c r="C7245" i="4"/>
  <c r="C7246" i="4"/>
  <c r="C7247" i="4"/>
  <c r="C7248" i="4"/>
  <c r="C7249" i="4"/>
  <c r="C7250" i="4"/>
  <c r="C7251" i="4"/>
  <c r="C7252" i="4"/>
  <c r="C7253" i="4"/>
  <c r="C7254" i="4"/>
  <c r="C7255" i="4"/>
  <c r="C7256" i="4"/>
  <c r="C7257" i="4"/>
  <c r="C7258" i="4"/>
  <c r="C7259" i="4"/>
  <c r="C7260" i="4"/>
  <c r="C7261" i="4"/>
  <c r="C7262" i="4"/>
  <c r="C7263" i="4"/>
  <c r="C7264" i="4"/>
  <c r="C7265" i="4"/>
  <c r="C7266" i="4"/>
  <c r="C7267" i="4"/>
  <c r="C7268" i="4"/>
  <c r="C7269" i="4"/>
  <c r="C7270" i="4"/>
  <c r="C7271" i="4"/>
  <c r="C7272" i="4"/>
  <c r="C7273" i="4"/>
  <c r="C7274" i="4"/>
  <c r="C7275" i="4"/>
  <c r="C7276" i="4"/>
  <c r="C7277" i="4"/>
  <c r="C7278" i="4"/>
  <c r="C7279" i="4"/>
  <c r="C7280" i="4"/>
  <c r="C7281" i="4"/>
  <c r="C7282" i="4"/>
  <c r="C7283" i="4"/>
  <c r="C7284" i="4"/>
  <c r="C7285" i="4"/>
  <c r="C7286" i="4"/>
  <c r="C7287" i="4"/>
  <c r="C7288" i="4"/>
  <c r="C7289" i="4"/>
  <c r="C7290" i="4"/>
  <c r="C7291" i="4"/>
  <c r="C7292" i="4"/>
  <c r="C7293" i="4"/>
  <c r="C7294" i="4"/>
  <c r="C7295" i="4"/>
  <c r="C7296" i="4"/>
  <c r="C7297" i="4"/>
  <c r="C7298" i="4"/>
  <c r="C7299" i="4"/>
  <c r="C7300" i="4"/>
  <c r="C7301" i="4"/>
  <c r="C7302" i="4"/>
  <c r="C7303" i="4"/>
  <c r="C7304" i="4"/>
  <c r="C7305" i="4"/>
  <c r="C7306" i="4"/>
  <c r="C7307" i="4"/>
  <c r="C7308" i="4"/>
  <c r="C7309" i="4"/>
  <c r="C7310" i="4"/>
  <c r="C7311" i="4"/>
  <c r="C7312" i="4"/>
  <c r="C7313" i="4"/>
  <c r="C7314" i="4"/>
  <c r="C7315" i="4"/>
  <c r="C7316" i="4"/>
  <c r="C7317" i="4"/>
  <c r="C7318" i="4"/>
  <c r="C7319" i="4"/>
  <c r="C7320" i="4"/>
  <c r="C7321" i="4"/>
  <c r="C7322" i="4"/>
  <c r="C7323" i="4"/>
  <c r="C7324" i="4"/>
  <c r="C7325" i="4"/>
  <c r="C7326" i="4"/>
  <c r="C7327" i="4"/>
  <c r="C7328" i="4"/>
  <c r="C7329" i="4"/>
  <c r="C7330" i="4"/>
  <c r="C7331" i="4"/>
  <c r="C7332" i="4"/>
  <c r="C7333" i="4"/>
  <c r="C7334" i="4"/>
  <c r="C7335" i="4"/>
  <c r="C7336" i="4"/>
  <c r="C7337" i="4"/>
  <c r="C7338" i="4"/>
  <c r="C7339" i="4"/>
  <c r="C7340" i="4"/>
  <c r="C7341" i="4"/>
  <c r="C7342" i="4"/>
  <c r="C7343" i="4"/>
  <c r="C7344" i="4"/>
  <c r="C7345" i="4"/>
  <c r="C7346" i="4"/>
  <c r="C7347" i="4"/>
  <c r="C7348" i="4"/>
  <c r="C7349" i="4"/>
  <c r="C7350" i="4"/>
  <c r="C7351" i="4"/>
  <c r="C7352" i="4"/>
  <c r="C7353" i="4"/>
  <c r="C7354" i="4"/>
  <c r="C7355" i="4"/>
  <c r="C7356" i="4"/>
  <c r="C7357" i="4"/>
  <c r="C7358" i="4"/>
  <c r="C7359" i="4"/>
  <c r="C7360" i="4"/>
  <c r="C7361" i="4"/>
  <c r="C7362" i="4"/>
  <c r="C7363" i="4"/>
  <c r="C7364" i="4"/>
  <c r="C7365" i="4"/>
  <c r="C7366" i="4"/>
  <c r="C7367" i="4"/>
  <c r="C7368" i="4"/>
  <c r="C7369" i="4"/>
  <c r="C7370" i="4"/>
  <c r="C7371" i="4"/>
  <c r="C7372" i="4"/>
  <c r="C7373" i="4"/>
  <c r="C7374" i="4"/>
  <c r="C7375" i="4"/>
  <c r="C7376" i="4"/>
  <c r="C7377" i="4"/>
  <c r="C7378" i="4"/>
  <c r="C7379" i="4"/>
  <c r="C7380" i="4"/>
  <c r="C7381" i="4"/>
  <c r="C7382" i="4"/>
  <c r="C7383" i="4"/>
  <c r="C7384" i="4"/>
  <c r="C7385" i="4"/>
  <c r="C7386" i="4"/>
  <c r="C7387" i="4"/>
  <c r="C7388" i="4"/>
  <c r="C7389" i="4"/>
  <c r="C7390" i="4"/>
  <c r="C7391" i="4"/>
  <c r="C7392" i="4"/>
  <c r="C7393" i="4"/>
  <c r="C7394" i="4"/>
  <c r="C7395" i="4"/>
  <c r="C7396" i="4"/>
  <c r="C7397" i="4"/>
  <c r="C7398" i="4"/>
  <c r="C7399" i="4"/>
  <c r="C7400" i="4"/>
  <c r="C7401" i="4"/>
  <c r="C7402" i="4"/>
  <c r="C7403" i="4"/>
  <c r="C7404" i="4"/>
  <c r="C7405" i="4"/>
  <c r="C7406" i="4"/>
  <c r="C7407" i="4"/>
  <c r="C7408" i="4"/>
  <c r="C7409" i="4"/>
  <c r="C7410" i="4"/>
  <c r="C7411" i="4"/>
  <c r="C7412" i="4"/>
  <c r="C7413" i="4"/>
  <c r="C7414" i="4"/>
  <c r="C7415" i="4"/>
  <c r="C7416" i="4"/>
  <c r="C7417" i="4"/>
  <c r="C7418" i="4"/>
  <c r="C7419" i="4"/>
  <c r="C7420" i="4"/>
  <c r="C7421" i="4"/>
  <c r="C7422" i="4"/>
  <c r="C7423" i="4"/>
  <c r="C7424" i="4"/>
  <c r="C7425" i="4"/>
  <c r="C7426" i="4"/>
  <c r="C7427" i="4"/>
  <c r="C7428" i="4"/>
  <c r="C7429" i="4"/>
  <c r="C7430" i="4"/>
  <c r="C7431" i="4"/>
  <c r="C7432" i="4"/>
  <c r="C7433" i="4"/>
  <c r="C7434" i="4"/>
  <c r="C7435" i="4"/>
  <c r="C7436" i="4"/>
  <c r="C7437" i="4"/>
  <c r="C7438" i="4"/>
  <c r="C7439" i="4"/>
  <c r="C7440" i="4"/>
  <c r="C7441" i="4"/>
  <c r="C7442" i="4"/>
  <c r="C7443" i="4"/>
  <c r="C7444" i="4"/>
  <c r="C7445" i="4"/>
  <c r="C7446" i="4"/>
  <c r="C7447" i="4"/>
  <c r="C7448" i="4"/>
  <c r="C7449" i="4"/>
  <c r="C7450" i="4"/>
  <c r="C7451" i="4"/>
  <c r="C7452" i="4"/>
  <c r="C7453" i="4"/>
  <c r="C7454" i="4"/>
  <c r="C7455" i="4"/>
  <c r="C7456" i="4"/>
  <c r="C7457" i="4"/>
  <c r="C7458" i="4"/>
  <c r="C7459" i="4"/>
  <c r="C7460" i="4"/>
  <c r="C7461" i="4"/>
  <c r="C7462" i="4"/>
  <c r="C7463" i="4"/>
  <c r="C7464" i="4"/>
  <c r="C7465" i="4"/>
  <c r="C7466" i="4"/>
  <c r="C7467" i="4"/>
  <c r="C7468" i="4"/>
  <c r="C7469" i="4"/>
  <c r="C7470" i="4"/>
  <c r="C7471" i="4"/>
  <c r="C7472" i="4"/>
  <c r="C7473" i="4"/>
  <c r="C7474" i="4"/>
  <c r="C7475" i="4"/>
  <c r="C7476" i="4"/>
  <c r="C7477" i="4"/>
  <c r="C7478" i="4"/>
  <c r="C7479" i="4"/>
  <c r="C7480" i="4"/>
  <c r="C7481" i="4"/>
  <c r="C7482" i="4"/>
  <c r="C7483" i="4"/>
  <c r="C7484" i="4"/>
  <c r="C7485" i="4"/>
  <c r="C7486" i="4"/>
  <c r="C7487" i="4"/>
  <c r="C7488" i="4"/>
  <c r="C7489" i="4"/>
  <c r="C7490" i="4"/>
  <c r="C7491" i="4"/>
  <c r="C7492" i="4"/>
  <c r="C7493" i="4"/>
  <c r="C7494" i="4"/>
  <c r="C7495" i="4"/>
  <c r="C7496" i="4"/>
  <c r="C7497" i="4"/>
  <c r="C7498" i="4"/>
  <c r="C7499" i="4"/>
  <c r="C7500" i="4"/>
  <c r="C7501" i="4"/>
  <c r="C7502" i="4"/>
  <c r="C7503" i="4"/>
  <c r="C7504" i="4"/>
  <c r="C7505" i="4"/>
  <c r="C7506" i="4"/>
  <c r="C7507" i="4"/>
  <c r="C7508" i="4"/>
  <c r="C7509" i="4"/>
  <c r="C7510" i="4"/>
  <c r="C7511" i="4"/>
  <c r="C7512" i="4"/>
  <c r="C7513" i="4"/>
  <c r="C7514" i="4"/>
  <c r="C7515" i="4"/>
  <c r="C7516" i="4"/>
  <c r="C7517" i="4"/>
  <c r="C7518" i="4"/>
  <c r="C7519" i="4"/>
  <c r="C7520" i="4"/>
  <c r="C7521" i="4"/>
  <c r="C7522" i="4"/>
  <c r="C7523" i="4"/>
  <c r="C7524" i="4"/>
  <c r="C7525" i="4"/>
  <c r="C7526" i="4"/>
  <c r="C7527" i="4"/>
  <c r="C7528" i="4"/>
  <c r="C7529" i="4"/>
  <c r="C7530" i="4"/>
  <c r="C7531" i="4"/>
  <c r="C7532" i="4"/>
  <c r="C7533" i="4"/>
  <c r="C7534" i="4"/>
  <c r="C7535" i="4"/>
  <c r="C7536" i="4"/>
  <c r="C7537" i="4"/>
  <c r="C7538" i="4"/>
  <c r="C7539" i="4"/>
  <c r="C7540" i="4"/>
  <c r="C7541" i="4"/>
  <c r="C7542" i="4"/>
  <c r="C7543" i="4"/>
  <c r="C7544" i="4"/>
  <c r="C7545" i="4"/>
  <c r="C7546" i="4"/>
  <c r="C7547" i="4"/>
  <c r="C7548" i="4"/>
  <c r="C7549" i="4"/>
  <c r="C7550" i="4"/>
  <c r="C7551" i="4"/>
  <c r="C7552" i="4"/>
  <c r="C7553" i="4"/>
  <c r="C7554" i="4"/>
  <c r="C7555" i="4"/>
  <c r="C7556" i="4"/>
  <c r="C7557" i="4"/>
  <c r="C7558" i="4"/>
  <c r="C7559" i="4"/>
  <c r="C7560" i="4"/>
  <c r="C7561" i="4"/>
  <c r="C7562" i="4"/>
  <c r="C7563" i="4"/>
  <c r="C7564" i="4"/>
  <c r="C7565" i="4"/>
  <c r="C7566" i="4"/>
  <c r="C7567" i="4"/>
  <c r="C7568" i="4"/>
  <c r="C7569" i="4"/>
  <c r="C7570" i="4"/>
  <c r="C7571" i="4"/>
  <c r="C7572" i="4"/>
  <c r="C7573" i="4"/>
  <c r="C7574" i="4"/>
  <c r="C7575" i="4"/>
  <c r="C7576" i="4"/>
  <c r="C7577" i="4"/>
  <c r="C7578" i="4"/>
  <c r="C7579" i="4"/>
  <c r="C7580" i="4"/>
  <c r="C7581" i="4"/>
  <c r="C7582" i="4"/>
  <c r="C7583" i="4"/>
  <c r="C7584" i="4"/>
  <c r="C7585" i="4"/>
  <c r="C7586" i="4"/>
  <c r="C7587" i="4"/>
  <c r="C7588" i="4"/>
  <c r="C7589" i="4"/>
  <c r="C7590" i="4"/>
  <c r="C7591" i="4"/>
  <c r="C7592" i="4"/>
  <c r="C7593" i="4"/>
  <c r="C7594" i="4"/>
  <c r="C7595" i="4"/>
  <c r="C7596" i="4"/>
  <c r="C7597" i="4"/>
  <c r="C7598" i="4"/>
  <c r="C7599" i="4"/>
  <c r="C7600" i="4"/>
  <c r="C7601" i="4"/>
  <c r="C7602" i="4"/>
  <c r="C7603" i="4"/>
  <c r="C7604" i="4"/>
  <c r="C7605" i="4"/>
  <c r="C7606" i="4"/>
  <c r="C7607" i="4"/>
  <c r="C7608" i="4"/>
  <c r="C7609" i="4"/>
  <c r="C7610" i="4"/>
  <c r="C7611" i="4"/>
  <c r="C7612" i="4"/>
  <c r="C7613" i="4"/>
  <c r="C7614" i="4"/>
  <c r="C7615" i="4"/>
  <c r="C7616" i="4"/>
  <c r="C7617" i="4"/>
  <c r="C7618" i="4"/>
  <c r="C7619" i="4"/>
  <c r="C7620" i="4"/>
  <c r="C7621" i="4"/>
  <c r="C7622" i="4"/>
  <c r="C7623" i="4"/>
  <c r="C7624" i="4"/>
  <c r="C7625" i="4"/>
  <c r="C7626" i="4"/>
  <c r="C7627" i="4"/>
  <c r="C7628" i="4"/>
  <c r="C7629" i="4"/>
  <c r="C7630" i="4"/>
  <c r="C7631" i="4"/>
  <c r="C7632" i="4"/>
  <c r="C7633" i="4"/>
  <c r="C7634" i="4"/>
  <c r="C7635" i="4"/>
  <c r="C7636" i="4"/>
  <c r="C7637" i="4"/>
  <c r="C7638" i="4"/>
  <c r="C7639" i="4"/>
  <c r="C7640" i="4"/>
  <c r="C7641" i="4"/>
  <c r="C7642" i="4"/>
  <c r="C7643" i="4"/>
  <c r="C7644" i="4"/>
  <c r="C7645" i="4"/>
  <c r="C7646" i="4"/>
  <c r="C7647" i="4"/>
  <c r="C7648" i="4"/>
  <c r="C7649" i="4"/>
  <c r="C7650" i="4"/>
  <c r="C7651" i="4"/>
  <c r="C7652" i="4"/>
  <c r="C7653" i="4"/>
  <c r="C7654" i="4"/>
  <c r="C7655" i="4"/>
  <c r="C7656" i="4"/>
  <c r="C7657" i="4"/>
  <c r="C7658" i="4"/>
  <c r="C7659" i="4"/>
  <c r="C7660" i="4"/>
  <c r="C7661" i="4"/>
  <c r="C7662" i="4"/>
  <c r="C7663" i="4"/>
  <c r="C7664" i="4"/>
  <c r="C7665" i="4"/>
  <c r="C7666" i="4"/>
  <c r="C7667" i="4"/>
  <c r="C7668" i="4"/>
  <c r="C7669" i="4"/>
  <c r="C7670" i="4"/>
  <c r="C7671" i="4"/>
  <c r="C7672" i="4"/>
  <c r="C7673" i="4"/>
  <c r="C7674" i="4"/>
  <c r="C7675" i="4"/>
  <c r="C7676" i="4"/>
  <c r="C7677" i="4"/>
  <c r="C7678" i="4"/>
  <c r="C7679" i="4"/>
  <c r="C7680" i="4"/>
  <c r="C7681" i="4"/>
  <c r="C7682" i="4"/>
  <c r="C7683" i="4"/>
  <c r="C7684" i="4"/>
  <c r="C7685" i="4"/>
  <c r="C7686" i="4"/>
  <c r="C7687" i="4"/>
  <c r="C7688" i="4"/>
  <c r="C7689" i="4"/>
  <c r="C7690" i="4"/>
  <c r="C7691" i="4"/>
  <c r="C7692" i="4"/>
  <c r="C7693" i="4"/>
  <c r="C7694" i="4"/>
  <c r="C7695" i="4"/>
  <c r="C7696" i="4"/>
  <c r="C7697" i="4"/>
  <c r="C7698" i="4"/>
  <c r="C7699" i="4"/>
  <c r="C7700" i="4"/>
  <c r="C7701" i="4"/>
  <c r="C7702" i="4"/>
  <c r="C7703" i="4"/>
  <c r="C7704" i="4"/>
  <c r="C7705" i="4"/>
  <c r="C7706" i="4"/>
  <c r="C7707" i="4"/>
  <c r="C7708" i="4"/>
  <c r="C7709" i="4"/>
  <c r="C7710" i="4"/>
  <c r="C7711" i="4"/>
  <c r="C7712" i="4"/>
  <c r="C7713" i="4"/>
  <c r="C7714" i="4"/>
  <c r="C7715" i="4"/>
  <c r="C7716" i="4"/>
  <c r="C7717" i="4"/>
  <c r="C7718" i="4"/>
  <c r="C7719" i="4"/>
  <c r="C7720" i="4"/>
  <c r="C7721" i="4"/>
  <c r="C7722" i="4"/>
  <c r="C7723" i="4"/>
  <c r="C7724" i="4"/>
  <c r="C7725" i="4"/>
  <c r="C7726" i="4"/>
  <c r="C7727" i="4"/>
  <c r="C7728" i="4"/>
  <c r="C7729" i="4"/>
  <c r="C7730" i="4"/>
  <c r="C7731" i="4"/>
  <c r="C7732" i="4"/>
  <c r="C7733" i="4"/>
  <c r="C7734" i="4"/>
  <c r="C7735" i="4"/>
  <c r="C7736" i="4"/>
  <c r="C7737" i="4"/>
  <c r="C7738" i="4"/>
  <c r="C7739" i="4"/>
  <c r="C7740" i="4"/>
  <c r="C7741" i="4"/>
  <c r="C7742" i="4"/>
  <c r="C7743" i="4"/>
  <c r="C7744" i="4"/>
  <c r="C7745" i="4"/>
  <c r="C7746" i="4"/>
  <c r="C7747" i="4"/>
  <c r="C7748" i="4"/>
  <c r="C7749" i="4"/>
  <c r="C7750" i="4"/>
  <c r="C7751" i="4"/>
  <c r="C7752" i="4"/>
  <c r="C7753" i="4"/>
  <c r="C7754" i="4"/>
  <c r="C7755" i="4"/>
  <c r="C7756" i="4"/>
  <c r="C7757" i="4"/>
  <c r="C7758" i="4"/>
  <c r="C7759" i="4"/>
  <c r="C7760" i="4"/>
  <c r="C7761" i="4"/>
  <c r="C7762" i="4"/>
  <c r="C7763" i="4"/>
  <c r="C7764" i="4"/>
  <c r="C7765" i="4"/>
  <c r="C7766" i="4"/>
  <c r="C7767" i="4"/>
  <c r="C7768" i="4"/>
  <c r="C7769" i="4"/>
  <c r="C7770" i="4"/>
  <c r="C7771" i="4"/>
  <c r="C7772" i="4"/>
  <c r="C7773" i="4"/>
  <c r="C7774" i="4"/>
  <c r="C7775" i="4"/>
  <c r="C7776" i="4"/>
  <c r="C7777" i="4"/>
  <c r="C7778" i="4"/>
  <c r="C7779" i="4"/>
  <c r="C7780" i="4"/>
  <c r="C7781" i="4"/>
  <c r="C7782" i="4"/>
  <c r="C7783" i="4"/>
  <c r="C7784" i="4"/>
  <c r="C7785" i="4"/>
  <c r="C7786" i="4"/>
  <c r="C7787" i="4"/>
  <c r="C7788" i="4"/>
  <c r="C7789" i="4"/>
  <c r="C7790" i="4"/>
  <c r="C7791" i="4"/>
  <c r="C7792" i="4"/>
  <c r="C7793" i="4"/>
  <c r="C7794" i="4"/>
  <c r="C7795" i="4"/>
  <c r="C7796" i="4"/>
  <c r="C7797" i="4"/>
  <c r="C7798" i="4"/>
  <c r="C7799" i="4"/>
  <c r="C7800" i="4"/>
  <c r="C7801" i="4"/>
  <c r="C7802" i="4"/>
  <c r="C7803" i="4"/>
  <c r="C7804" i="4"/>
  <c r="C7805" i="4"/>
  <c r="C7806" i="4"/>
  <c r="C7807" i="4"/>
  <c r="C7808" i="4"/>
  <c r="C7809" i="4"/>
  <c r="C7810" i="4"/>
  <c r="C7811" i="4"/>
  <c r="C7812" i="4"/>
  <c r="C7813" i="4"/>
  <c r="C7814" i="4"/>
  <c r="C7815" i="4"/>
  <c r="C7816" i="4"/>
  <c r="C7817" i="4"/>
  <c r="C7818" i="4"/>
  <c r="C7819" i="4"/>
  <c r="C7820" i="4"/>
  <c r="C7821" i="4"/>
  <c r="C7822" i="4"/>
  <c r="C7823" i="4"/>
  <c r="C7824" i="4"/>
  <c r="C7825" i="4"/>
  <c r="C7826" i="4"/>
  <c r="C7827" i="4"/>
  <c r="C7828" i="4"/>
  <c r="C7829" i="4"/>
  <c r="C7830" i="4"/>
  <c r="C7831" i="4"/>
  <c r="C7832" i="4"/>
  <c r="C7833" i="4"/>
  <c r="C7834" i="4"/>
  <c r="C7835" i="4"/>
  <c r="C7836" i="4"/>
  <c r="C7837" i="4"/>
  <c r="C7838" i="4"/>
  <c r="C7839" i="4"/>
  <c r="C7840" i="4"/>
  <c r="C7841" i="4"/>
  <c r="C7842" i="4"/>
  <c r="C7843" i="4"/>
  <c r="C7844" i="4"/>
  <c r="C7845" i="4"/>
  <c r="C7846" i="4"/>
  <c r="C7847" i="4"/>
  <c r="C7848" i="4"/>
  <c r="C7849" i="4"/>
  <c r="C7850" i="4"/>
  <c r="C7851" i="4"/>
  <c r="C7852" i="4"/>
  <c r="C7853" i="4"/>
  <c r="C7854" i="4"/>
  <c r="C7855" i="4"/>
  <c r="C7856" i="4"/>
  <c r="C7857" i="4"/>
  <c r="C7858" i="4"/>
  <c r="C7859" i="4"/>
  <c r="C7860" i="4"/>
  <c r="C7861" i="4"/>
  <c r="C7862" i="4"/>
  <c r="C7863" i="4"/>
  <c r="C7864" i="4"/>
  <c r="C7865" i="4"/>
  <c r="C7866" i="4"/>
  <c r="C7867" i="4"/>
  <c r="C7868" i="4"/>
  <c r="C7869" i="4"/>
  <c r="C7870" i="4"/>
  <c r="C7871" i="4"/>
  <c r="C7872" i="4"/>
  <c r="C7873" i="4"/>
  <c r="C7874" i="4"/>
  <c r="C7875" i="4"/>
  <c r="C7876" i="4"/>
  <c r="C7877" i="4"/>
  <c r="C7878" i="4"/>
  <c r="C7879" i="4"/>
  <c r="C7880" i="4"/>
  <c r="C7881" i="4"/>
  <c r="C7882" i="4"/>
  <c r="C7883" i="4"/>
  <c r="C7884" i="4"/>
  <c r="C7885" i="4"/>
  <c r="C7886" i="4"/>
  <c r="C7887" i="4"/>
  <c r="C7888" i="4"/>
  <c r="C7889" i="4"/>
  <c r="C7890" i="4"/>
  <c r="C7891" i="4"/>
  <c r="C7892" i="4"/>
  <c r="C7893" i="4"/>
  <c r="C7894" i="4"/>
  <c r="C7895" i="4"/>
  <c r="C7896" i="4"/>
  <c r="C7897" i="4"/>
  <c r="C7898" i="4"/>
  <c r="C7899" i="4"/>
  <c r="C7900" i="4"/>
  <c r="C7901" i="4"/>
  <c r="C7902" i="4"/>
  <c r="C7903" i="4"/>
  <c r="C7904" i="4"/>
  <c r="C7905" i="4"/>
  <c r="C7906" i="4"/>
  <c r="C7907" i="4"/>
  <c r="C7908" i="4"/>
  <c r="C7909" i="4"/>
  <c r="C7910" i="4"/>
  <c r="C7911" i="4"/>
  <c r="C7912" i="4"/>
  <c r="C7913" i="4"/>
  <c r="C7914" i="4"/>
  <c r="C7915" i="4"/>
  <c r="C7916" i="4"/>
  <c r="C7917" i="4"/>
  <c r="C7918" i="4"/>
  <c r="C7919" i="4"/>
  <c r="C7920" i="4"/>
  <c r="C7921" i="4"/>
  <c r="C7922" i="4"/>
  <c r="C7923" i="4"/>
  <c r="C7924" i="4"/>
  <c r="C7925" i="4"/>
  <c r="C7926" i="4"/>
  <c r="C7927" i="4"/>
  <c r="C7928" i="4"/>
  <c r="C7929" i="4"/>
  <c r="C7930" i="4"/>
  <c r="C7931" i="4"/>
  <c r="C7932" i="4"/>
  <c r="C7933" i="4"/>
  <c r="C7934" i="4"/>
  <c r="C7935" i="4"/>
  <c r="C7936" i="4"/>
  <c r="C7937" i="4"/>
  <c r="C7938" i="4"/>
  <c r="C7939" i="4"/>
  <c r="C7940" i="4"/>
  <c r="C7941" i="4"/>
  <c r="C7942" i="4"/>
  <c r="C7943" i="4"/>
  <c r="C7944" i="4"/>
  <c r="C7945" i="4"/>
  <c r="C7946" i="4"/>
  <c r="C7947" i="4"/>
  <c r="C7948" i="4"/>
  <c r="C7949" i="4"/>
  <c r="C7950" i="4"/>
  <c r="C7951" i="4"/>
  <c r="C7952" i="4"/>
  <c r="C7953" i="4"/>
  <c r="C7954" i="4"/>
  <c r="C7955" i="4"/>
  <c r="C7956" i="4"/>
  <c r="C7957" i="4"/>
  <c r="C7958" i="4"/>
  <c r="C7959" i="4"/>
  <c r="C7960" i="4"/>
  <c r="C7961" i="4"/>
  <c r="C7962" i="4"/>
  <c r="C7963" i="4"/>
  <c r="C7964" i="4"/>
  <c r="C7965" i="4"/>
  <c r="C7966" i="4"/>
  <c r="C7967" i="4"/>
  <c r="C7968" i="4"/>
  <c r="C7969" i="4"/>
  <c r="C7970" i="4"/>
  <c r="C7971" i="4"/>
  <c r="C7972" i="4"/>
  <c r="C7973" i="4"/>
  <c r="C7974" i="4"/>
  <c r="C7975" i="4"/>
  <c r="C7976" i="4"/>
  <c r="C7977" i="4"/>
  <c r="C7978" i="4"/>
  <c r="C7979" i="4"/>
  <c r="C7980" i="4"/>
  <c r="C7981" i="4"/>
  <c r="C7982" i="4"/>
  <c r="C7983" i="4"/>
  <c r="C7984" i="4"/>
  <c r="C7985" i="4"/>
  <c r="C7986" i="4"/>
  <c r="C7987" i="4"/>
  <c r="C7988" i="4"/>
  <c r="C7989" i="4"/>
  <c r="C7990" i="4"/>
  <c r="C7991" i="4"/>
  <c r="C7992" i="4"/>
  <c r="C7993" i="4"/>
  <c r="C7994" i="4"/>
  <c r="C7995" i="4"/>
  <c r="C7996" i="4"/>
  <c r="C7997" i="4"/>
  <c r="C7998" i="4"/>
  <c r="C7999" i="4"/>
  <c r="C8000" i="4"/>
  <c r="C8001" i="4"/>
  <c r="C8002" i="4"/>
  <c r="C8003" i="4"/>
  <c r="C8004" i="4"/>
  <c r="C8005" i="4"/>
  <c r="C8006" i="4"/>
  <c r="C8007" i="4"/>
  <c r="C8008" i="4"/>
  <c r="C8009" i="4"/>
  <c r="C8010" i="4"/>
  <c r="C8011" i="4"/>
  <c r="C8012" i="4"/>
  <c r="C8013" i="4"/>
  <c r="C8014" i="4"/>
  <c r="C8015" i="4"/>
  <c r="C8016" i="4"/>
  <c r="C8017" i="4"/>
  <c r="C8018" i="4"/>
  <c r="C8019" i="4"/>
  <c r="C8020" i="4"/>
  <c r="C8021" i="4"/>
  <c r="C8022" i="4"/>
  <c r="C8023" i="4"/>
  <c r="C8024" i="4"/>
  <c r="C8025" i="4"/>
  <c r="C8026" i="4"/>
  <c r="C8027" i="4"/>
  <c r="C8028" i="4"/>
  <c r="C8029" i="4"/>
  <c r="C8030" i="4"/>
  <c r="C8031" i="4"/>
  <c r="C8032" i="4"/>
  <c r="C8033" i="4"/>
  <c r="C8034" i="4"/>
  <c r="C8035" i="4"/>
  <c r="C8036" i="4"/>
  <c r="C8037" i="4"/>
  <c r="C8038" i="4"/>
  <c r="C8039" i="4"/>
  <c r="C8040" i="4"/>
  <c r="C8041" i="4"/>
  <c r="C8042" i="4"/>
  <c r="C8043" i="4"/>
  <c r="C8044" i="4"/>
  <c r="C8045" i="4"/>
  <c r="C8046" i="4"/>
  <c r="C8047" i="4"/>
  <c r="C8048" i="4"/>
  <c r="C8049" i="4"/>
  <c r="C8050" i="4"/>
  <c r="C8051" i="4"/>
  <c r="C8052" i="4"/>
  <c r="C8053" i="4"/>
  <c r="C8054" i="4"/>
  <c r="C8055" i="4"/>
  <c r="C8056" i="4"/>
  <c r="C8057" i="4"/>
  <c r="C8058" i="4"/>
  <c r="C8059" i="4"/>
  <c r="C8060" i="4"/>
  <c r="C8061" i="4"/>
  <c r="C8062" i="4"/>
  <c r="C8063" i="4"/>
  <c r="C8064" i="4"/>
  <c r="C8065" i="4"/>
  <c r="C8066" i="4"/>
  <c r="C8067" i="4"/>
  <c r="C8068" i="4"/>
  <c r="C8069" i="4"/>
  <c r="C8070" i="4"/>
  <c r="C8071" i="4"/>
  <c r="C8072" i="4"/>
  <c r="C8073" i="4"/>
  <c r="C8074" i="4"/>
  <c r="C8075" i="4"/>
  <c r="C8076" i="4"/>
  <c r="C8077" i="4"/>
  <c r="C8078" i="4"/>
  <c r="C8079" i="4"/>
  <c r="C8080" i="4"/>
  <c r="C8081" i="4"/>
  <c r="C8082" i="4"/>
  <c r="C8083" i="4"/>
  <c r="C8084" i="4"/>
  <c r="C8085" i="4"/>
  <c r="C8086" i="4"/>
  <c r="C8087" i="4"/>
  <c r="C8088" i="4"/>
  <c r="C8089" i="4"/>
  <c r="C8090" i="4"/>
  <c r="C8091" i="4"/>
  <c r="C8092" i="4"/>
  <c r="C8093" i="4"/>
  <c r="C8094" i="4"/>
  <c r="C8095" i="4"/>
  <c r="C8096" i="4"/>
  <c r="C8097" i="4"/>
  <c r="C8098" i="4"/>
  <c r="C8099" i="4"/>
  <c r="C8100" i="4"/>
  <c r="C8101" i="4"/>
  <c r="C8102" i="4"/>
  <c r="C8103" i="4"/>
  <c r="C8104" i="4"/>
  <c r="C8105" i="4"/>
  <c r="C8106" i="4"/>
  <c r="C8107" i="4"/>
  <c r="C8108" i="4"/>
  <c r="C8109" i="4"/>
  <c r="C8110" i="4"/>
  <c r="C8111" i="4"/>
  <c r="C8112" i="4"/>
  <c r="C8113" i="4"/>
  <c r="C8114" i="4"/>
  <c r="C8115" i="4"/>
  <c r="C8116" i="4"/>
  <c r="C8117" i="4"/>
  <c r="C8118" i="4"/>
  <c r="C8119" i="4"/>
  <c r="C8120" i="4"/>
  <c r="C8121" i="4"/>
  <c r="C8122" i="4"/>
  <c r="C8123" i="4"/>
  <c r="C8124" i="4"/>
  <c r="C8125" i="4"/>
  <c r="C8126" i="4"/>
  <c r="C8127" i="4"/>
  <c r="C8128" i="4"/>
  <c r="C8129" i="4"/>
  <c r="C8130" i="4"/>
  <c r="C8131" i="4"/>
  <c r="C8132" i="4"/>
  <c r="C8133" i="4"/>
  <c r="C8134" i="4"/>
  <c r="C8135" i="4"/>
  <c r="C8136" i="4"/>
  <c r="C8137" i="4"/>
  <c r="C8138" i="4"/>
  <c r="C8139" i="4"/>
  <c r="C8140" i="4"/>
  <c r="C8141" i="4"/>
  <c r="C8142" i="4"/>
  <c r="C8143" i="4"/>
  <c r="C8144" i="4"/>
  <c r="C8145" i="4"/>
  <c r="C8146" i="4"/>
  <c r="C8147" i="4"/>
  <c r="C8148" i="4"/>
  <c r="C8149" i="4"/>
  <c r="C8150" i="4"/>
  <c r="C8151" i="4"/>
  <c r="C8152" i="4"/>
  <c r="C8153" i="4"/>
  <c r="C8154" i="4"/>
  <c r="C8155" i="4"/>
  <c r="C8156" i="4"/>
  <c r="C8157" i="4"/>
  <c r="C8158" i="4"/>
  <c r="C8159" i="4"/>
  <c r="C8160" i="4"/>
  <c r="C8161" i="4"/>
  <c r="C8162" i="4"/>
  <c r="C8163" i="4"/>
  <c r="C8164" i="4"/>
  <c r="C8165" i="4"/>
  <c r="C8166" i="4"/>
  <c r="C8167" i="4"/>
  <c r="C8168" i="4"/>
  <c r="C8169" i="4"/>
  <c r="C8170" i="4"/>
  <c r="C8171" i="4"/>
  <c r="C8172" i="4"/>
  <c r="C8173" i="4"/>
  <c r="C8174" i="4"/>
  <c r="C8175" i="4"/>
  <c r="C8176" i="4"/>
  <c r="C8177" i="4"/>
  <c r="C8178" i="4"/>
  <c r="C8179" i="4"/>
  <c r="C8180" i="4"/>
  <c r="C8181" i="4"/>
  <c r="C8182" i="4"/>
  <c r="C8183" i="4"/>
  <c r="C8184" i="4"/>
  <c r="C8185" i="4"/>
  <c r="C8186" i="4"/>
  <c r="C8187" i="4"/>
  <c r="C8188" i="4"/>
  <c r="C8189" i="4"/>
  <c r="C8190" i="4"/>
  <c r="C8191" i="4"/>
  <c r="C8192" i="4"/>
  <c r="C8193" i="4"/>
  <c r="C8194" i="4"/>
  <c r="C8195" i="4"/>
  <c r="C8196" i="4"/>
  <c r="C8197" i="4"/>
  <c r="C8198" i="4"/>
  <c r="C8199" i="4"/>
  <c r="C8200" i="4"/>
  <c r="C8201" i="4"/>
  <c r="C8202" i="4"/>
  <c r="C8203" i="4"/>
  <c r="C8204" i="4"/>
  <c r="C8205" i="4"/>
  <c r="C8206" i="4"/>
  <c r="C8207" i="4"/>
  <c r="C8208" i="4"/>
  <c r="C8209" i="4"/>
  <c r="C8210" i="4"/>
  <c r="C8211" i="4"/>
  <c r="C8212" i="4"/>
  <c r="C8213" i="4"/>
  <c r="C8214" i="4"/>
  <c r="C8215" i="4"/>
  <c r="C8216" i="4"/>
  <c r="C8217" i="4"/>
  <c r="C8218" i="4"/>
  <c r="C8219" i="4"/>
  <c r="C8220" i="4"/>
  <c r="C8221" i="4"/>
  <c r="C8222" i="4"/>
  <c r="C8223" i="4"/>
  <c r="C8224" i="4"/>
  <c r="C8225" i="4"/>
  <c r="C8226" i="4"/>
  <c r="C8227" i="4"/>
  <c r="C8228" i="4"/>
  <c r="C8229" i="4"/>
  <c r="C8230" i="4"/>
  <c r="C8231" i="4"/>
  <c r="C8232" i="4"/>
  <c r="C8233" i="4"/>
  <c r="C8234" i="4"/>
  <c r="C8235" i="4"/>
  <c r="C8236" i="4"/>
  <c r="C8237" i="4"/>
  <c r="C8238" i="4"/>
  <c r="C8239" i="4"/>
  <c r="C8240" i="4"/>
  <c r="C8241" i="4"/>
  <c r="C8242" i="4"/>
  <c r="C8243" i="4"/>
  <c r="C8244" i="4"/>
  <c r="C8245" i="4"/>
  <c r="C8246" i="4"/>
  <c r="C8247" i="4"/>
  <c r="C8248" i="4"/>
  <c r="C8249" i="4"/>
  <c r="C8250" i="4"/>
  <c r="C8251" i="4"/>
  <c r="C8252" i="4"/>
  <c r="C8253" i="4"/>
  <c r="C8254" i="4"/>
  <c r="C8255" i="4"/>
  <c r="C8256" i="4"/>
  <c r="C8257" i="4"/>
  <c r="C8258" i="4"/>
  <c r="C8259" i="4"/>
  <c r="C8260" i="4"/>
  <c r="C8261" i="4"/>
  <c r="C8262" i="4"/>
  <c r="C8263" i="4"/>
  <c r="C8264" i="4"/>
  <c r="C8265" i="4"/>
  <c r="C8266" i="4"/>
  <c r="C8267" i="4"/>
  <c r="C8268" i="4"/>
  <c r="C8269" i="4"/>
  <c r="C8270" i="4"/>
  <c r="C8271" i="4"/>
  <c r="C8272" i="4"/>
  <c r="C8273" i="4"/>
  <c r="C8274" i="4"/>
  <c r="C8275" i="4"/>
  <c r="C8276" i="4"/>
  <c r="C8277" i="4"/>
  <c r="C8278" i="4"/>
  <c r="C8279" i="4"/>
  <c r="C8280" i="4"/>
  <c r="C8281" i="4"/>
  <c r="C8282" i="4"/>
  <c r="C8283" i="4"/>
  <c r="C8284" i="4"/>
  <c r="C8285" i="4"/>
  <c r="C8286" i="4"/>
  <c r="C8287" i="4"/>
  <c r="C8288" i="4"/>
  <c r="C8289" i="4"/>
  <c r="C8290" i="4"/>
  <c r="C8291" i="4"/>
  <c r="C8292" i="4"/>
  <c r="C8293" i="4"/>
  <c r="C8294" i="4"/>
  <c r="C8295" i="4"/>
  <c r="C8296" i="4"/>
  <c r="C8297" i="4"/>
  <c r="C8298" i="4"/>
  <c r="C8299" i="4"/>
  <c r="C8300" i="4"/>
  <c r="C8301" i="4"/>
  <c r="C8302" i="4"/>
  <c r="C8303" i="4"/>
  <c r="C8304" i="4"/>
  <c r="C8305" i="4"/>
  <c r="C8306" i="4"/>
  <c r="C8307" i="4"/>
  <c r="C8308" i="4"/>
  <c r="C8309" i="4"/>
  <c r="C8310" i="4"/>
  <c r="C8311" i="4"/>
  <c r="C8312" i="4"/>
  <c r="C8313" i="4"/>
  <c r="C8314" i="4"/>
  <c r="C8315" i="4"/>
  <c r="C8316" i="4"/>
  <c r="C8317" i="4"/>
  <c r="C8318" i="4"/>
  <c r="C8319" i="4"/>
  <c r="C8320" i="4"/>
  <c r="C8321" i="4"/>
  <c r="C8322" i="4"/>
  <c r="C8323" i="4"/>
  <c r="C8324" i="4"/>
  <c r="C8325" i="4"/>
  <c r="C8326" i="4"/>
  <c r="C8327" i="4"/>
  <c r="C8328" i="4"/>
  <c r="C8329" i="4"/>
  <c r="C8330" i="4"/>
  <c r="C8331" i="4"/>
  <c r="C8332" i="4"/>
  <c r="C8333" i="4"/>
  <c r="C8334" i="4"/>
  <c r="C8335" i="4"/>
  <c r="C8336" i="4"/>
  <c r="C8337" i="4"/>
  <c r="C8338" i="4"/>
  <c r="C8339" i="4"/>
  <c r="C8340" i="4"/>
  <c r="C8341" i="4"/>
  <c r="C8342" i="4"/>
  <c r="C8343" i="4"/>
  <c r="C8344" i="4"/>
  <c r="C8345" i="4"/>
  <c r="C8346" i="4"/>
  <c r="C8347" i="4"/>
  <c r="C8348" i="4"/>
  <c r="C8349" i="4"/>
  <c r="C8350" i="4"/>
  <c r="C8351" i="4"/>
  <c r="C8352" i="4"/>
  <c r="C8353" i="4"/>
  <c r="C8354" i="4"/>
  <c r="C8355" i="4"/>
  <c r="C8356" i="4"/>
  <c r="C8357" i="4"/>
  <c r="C8358" i="4"/>
  <c r="C8359" i="4"/>
  <c r="C8360" i="4"/>
  <c r="C8361" i="4"/>
  <c r="C8362" i="4"/>
  <c r="C8363" i="4"/>
  <c r="C8364" i="4"/>
  <c r="C8365" i="4"/>
  <c r="C8366" i="4"/>
  <c r="C8367" i="4"/>
  <c r="C8368" i="4"/>
  <c r="C8369" i="4"/>
  <c r="C8370" i="4"/>
  <c r="C8371" i="4"/>
  <c r="C8372" i="4"/>
  <c r="C8373" i="4"/>
  <c r="C8374" i="4"/>
  <c r="C8375" i="4"/>
  <c r="C8376" i="4"/>
  <c r="C8377" i="4"/>
  <c r="C8378" i="4"/>
  <c r="C8379" i="4"/>
  <c r="C8380" i="4"/>
  <c r="C8381" i="4"/>
  <c r="C8382" i="4"/>
  <c r="C8383" i="4"/>
  <c r="C8384" i="4"/>
  <c r="C8385" i="4"/>
  <c r="C8386" i="4"/>
  <c r="C8387" i="4"/>
  <c r="C8388" i="4"/>
  <c r="C8389" i="4"/>
  <c r="C8390" i="4"/>
  <c r="C8391" i="4"/>
  <c r="C8392" i="4"/>
  <c r="C8393" i="4"/>
  <c r="C8394" i="4"/>
  <c r="C8395" i="4"/>
  <c r="C8396" i="4"/>
  <c r="C8397" i="4"/>
  <c r="C8398" i="4"/>
  <c r="C8399" i="4"/>
  <c r="C8400" i="4"/>
  <c r="C8401" i="4"/>
  <c r="C8402" i="4"/>
  <c r="C8403" i="4"/>
  <c r="C8404" i="4"/>
  <c r="C8405" i="4"/>
  <c r="C8406" i="4"/>
  <c r="C8407" i="4"/>
  <c r="C8408" i="4"/>
  <c r="C8409" i="4"/>
  <c r="C8410" i="4"/>
  <c r="C8411" i="4"/>
  <c r="C8412" i="4"/>
  <c r="C8413" i="4"/>
  <c r="C8414" i="4"/>
  <c r="C8415" i="4"/>
  <c r="C8416" i="4"/>
  <c r="C8417" i="4"/>
  <c r="C8418" i="4"/>
  <c r="C8419" i="4"/>
  <c r="C8420" i="4"/>
  <c r="C8421" i="4"/>
  <c r="C8422" i="4"/>
  <c r="C8423" i="4"/>
  <c r="C8424" i="4"/>
  <c r="C8425" i="4"/>
  <c r="C8426" i="4"/>
  <c r="C8427" i="4"/>
  <c r="C8428" i="4"/>
  <c r="C8429" i="4"/>
  <c r="C8430" i="4"/>
  <c r="C8431" i="4"/>
  <c r="C8432" i="4"/>
  <c r="C8433" i="4"/>
  <c r="C8434" i="4"/>
  <c r="C8435" i="4"/>
  <c r="C8436" i="4"/>
  <c r="C8437" i="4"/>
  <c r="C8438" i="4"/>
  <c r="C8439" i="4"/>
  <c r="C8440" i="4"/>
  <c r="C8441" i="4"/>
  <c r="C8442" i="4"/>
  <c r="C8443" i="4"/>
  <c r="C8444" i="4"/>
  <c r="C8445" i="4"/>
  <c r="C8446" i="4"/>
  <c r="C8447" i="4"/>
  <c r="C8448" i="4"/>
  <c r="C8449" i="4"/>
  <c r="C8450" i="4"/>
  <c r="C8451" i="4"/>
  <c r="C8452" i="4"/>
  <c r="C8453" i="4"/>
  <c r="C8454" i="4"/>
  <c r="C8455" i="4"/>
  <c r="C8456" i="4"/>
  <c r="C8457" i="4"/>
  <c r="C8458" i="4"/>
  <c r="C8459" i="4"/>
  <c r="C8460" i="4"/>
  <c r="C8461" i="4"/>
  <c r="C8462" i="4"/>
  <c r="C8463" i="4"/>
  <c r="C8464" i="4"/>
  <c r="C8465" i="4"/>
  <c r="C8466" i="4"/>
  <c r="C8467" i="4"/>
  <c r="C8468" i="4"/>
  <c r="C8469" i="4"/>
  <c r="C8470" i="4"/>
  <c r="C8471" i="4"/>
  <c r="C8472" i="4"/>
  <c r="C8473" i="4"/>
  <c r="C8474" i="4"/>
  <c r="C8475" i="4"/>
  <c r="C8476" i="4"/>
  <c r="C8477" i="4"/>
  <c r="C8478" i="4"/>
  <c r="C8479" i="4"/>
  <c r="C8480" i="4"/>
  <c r="C8481" i="4"/>
  <c r="C8482" i="4"/>
  <c r="C8483" i="4"/>
  <c r="C8484" i="4"/>
  <c r="C8485" i="4"/>
  <c r="C8486" i="4"/>
  <c r="C8487" i="4"/>
  <c r="C8488" i="4"/>
  <c r="C8489" i="4"/>
  <c r="C8490" i="4"/>
  <c r="C8491" i="4"/>
  <c r="C8492" i="4"/>
  <c r="C8493" i="4"/>
  <c r="C8494" i="4"/>
  <c r="C8495" i="4"/>
  <c r="C8496" i="4"/>
  <c r="C8497" i="4"/>
  <c r="C8498" i="4"/>
  <c r="C8499" i="4"/>
  <c r="C8500" i="4"/>
  <c r="C8501" i="4"/>
  <c r="C8502" i="4"/>
  <c r="C8503" i="4"/>
  <c r="C8504" i="4"/>
  <c r="C8505" i="4"/>
  <c r="C8506" i="4"/>
  <c r="C8507" i="4"/>
  <c r="C8508" i="4"/>
  <c r="C8509" i="4"/>
  <c r="C8510" i="4"/>
  <c r="C8511" i="4"/>
  <c r="C8512" i="4"/>
  <c r="C8513" i="4"/>
  <c r="C8514" i="4"/>
  <c r="C8515" i="4"/>
  <c r="C8516" i="4"/>
  <c r="C8517" i="4"/>
  <c r="C8518" i="4"/>
  <c r="C8519" i="4"/>
  <c r="C8520" i="4"/>
  <c r="C8521" i="4"/>
  <c r="C8522" i="4"/>
  <c r="C8523" i="4"/>
  <c r="C8524" i="4"/>
  <c r="C8525" i="4"/>
  <c r="C8526" i="4"/>
  <c r="C8527" i="4"/>
  <c r="C8528" i="4"/>
  <c r="C8529" i="4"/>
  <c r="C8530" i="4"/>
  <c r="C8531" i="4"/>
  <c r="C8532" i="4"/>
  <c r="C8533" i="4"/>
  <c r="C8534" i="4"/>
  <c r="C8535" i="4"/>
  <c r="C8536" i="4"/>
  <c r="C8537" i="4"/>
  <c r="C8538" i="4"/>
  <c r="C8539" i="4"/>
  <c r="C8540" i="4"/>
  <c r="C8541" i="4"/>
  <c r="C8542" i="4"/>
  <c r="C8543" i="4"/>
  <c r="C8544" i="4"/>
  <c r="C8545" i="4"/>
  <c r="C8546" i="4"/>
  <c r="C8547" i="4"/>
  <c r="C8548" i="4"/>
  <c r="C8549" i="4"/>
  <c r="C8550" i="4"/>
  <c r="C8551" i="4"/>
  <c r="C8552" i="4"/>
  <c r="C8553" i="4"/>
  <c r="C8554" i="4"/>
  <c r="C8555" i="4"/>
  <c r="C8556" i="4"/>
  <c r="C8557" i="4"/>
  <c r="C8558" i="4"/>
  <c r="C8559" i="4"/>
  <c r="C8560" i="4"/>
  <c r="C8561" i="4"/>
  <c r="C8562" i="4"/>
  <c r="C8563" i="4"/>
  <c r="C8564" i="4"/>
  <c r="C8565" i="4"/>
  <c r="C8566" i="4"/>
  <c r="C8567" i="4"/>
  <c r="C8568" i="4"/>
  <c r="C8569" i="4"/>
  <c r="C8570" i="4"/>
  <c r="C8571" i="4"/>
  <c r="C8572" i="4"/>
  <c r="C8573" i="4"/>
  <c r="C8574" i="4"/>
  <c r="C8575" i="4"/>
  <c r="C8576" i="4"/>
  <c r="C8577" i="4"/>
  <c r="C8578" i="4"/>
  <c r="C8579" i="4"/>
  <c r="C8580" i="4"/>
  <c r="C8581" i="4"/>
  <c r="C8582" i="4"/>
  <c r="C8583" i="4"/>
  <c r="C8584" i="4"/>
  <c r="C8585" i="4"/>
  <c r="C8586" i="4"/>
  <c r="C8587" i="4"/>
  <c r="C8588" i="4"/>
  <c r="C8589" i="4"/>
  <c r="C8590" i="4"/>
  <c r="C8591" i="4"/>
  <c r="C8592" i="4"/>
  <c r="C8593" i="4"/>
  <c r="C8594" i="4"/>
  <c r="C8595" i="4"/>
  <c r="C8596" i="4"/>
  <c r="C8597" i="4"/>
  <c r="C8598" i="4"/>
  <c r="C8599" i="4"/>
  <c r="C8600" i="4"/>
  <c r="C8601" i="4"/>
  <c r="C8602" i="4"/>
  <c r="C8603" i="4"/>
  <c r="C8604" i="4"/>
  <c r="C8605" i="4"/>
  <c r="C8606" i="4"/>
  <c r="C8607" i="4"/>
  <c r="C8608" i="4"/>
  <c r="C8609" i="4"/>
  <c r="C8610" i="4"/>
  <c r="C8611" i="4"/>
  <c r="C8612" i="4"/>
  <c r="C8613" i="4"/>
  <c r="C8614" i="4"/>
  <c r="C8615" i="4"/>
  <c r="C8616" i="4"/>
  <c r="C8617" i="4"/>
  <c r="C8618" i="4"/>
  <c r="C8619" i="4"/>
  <c r="C8620" i="4"/>
  <c r="C8621" i="4"/>
  <c r="C8622" i="4"/>
  <c r="C8623" i="4"/>
  <c r="C8624" i="4"/>
  <c r="C8625" i="4"/>
  <c r="C8626" i="4"/>
  <c r="C8627" i="4"/>
  <c r="C8628" i="4"/>
  <c r="C8629" i="4"/>
  <c r="C8630" i="4"/>
  <c r="C8631" i="4"/>
  <c r="C8632" i="4"/>
  <c r="C8633" i="4"/>
  <c r="C8634" i="4"/>
  <c r="C8635" i="4"/>
  <c r="C8636" i="4"/>
  <c r="C8637" i="4"/>
  <c r="C8638" i="4"/>
  <c r="C8639" i="4"/>
  <c r="C8640" i="4"/>
  <c r="C8641" i="4"/>
  <c r="C8642" i="4"/>
  <c r="C8643" i="4"/>
  <c r="C8644" i="4"/>
  <c r="C8645" i="4"/>
  <c r="C8646" i="4"/>
  <c r="C8647" i="4"/>
  <c r="C8648" i="4"/>
  <c r="C8649" i="4"/>
  <c r="C8650" i="4"/>
  <c r="C8651" i="4"/>
  <c r="C8652" i="4"/>
  <c r="C8653" i="4"/>
  <c r="C8654" i="4"/>
  <c r="C8655" i="4"/>
  <c r="C8656" i="4"/>
  <c r="C8657" i="4"/>
  <c r="C8658" i="4"/>
  <c r="C8659" i="4"/>
  <c r="C8660" i="4"/>
  <c r="C8661" i="4"/>
  <c r="C8662" i="4"/>
  <c r="C8663" i="4"/>
  <c r="C8664" i="4"/>
  <c r="C8665" i="4"/>
  <c r="C8666" i="4"/>
  <c r="C8667" i="4"/>
  <c r="C8668" i="4"/>
  <c r="C8669" i="4"/>
  <c r="C8670" i="4"/>
  <c r="C8671" i="4"/>
  <c r="C8672" i="4"/>
  <c r="C8673" i="4"/>
  <c r="C8674" i="4"/>
  <c r="C8675" i="4"/>
  <c r="C8676" i="4"/>
  <c r="C8677" i="4"/>
  <c r="C8678" i="4"/>
  <c r="C8679" i="4"/>
  <c r="C8680" i="4"/>
  <c r="C8681" i="4"/>
  <c r="C8682" i="4"/>
  <c r="C8683" i="4"/>
  <c r="C8684" i="4"/>
  <c r="C8685" i="4"/>
  <c r="C8686" i="4"/>
  <c r="C8687" i="4"/>
  <c r="C8688" i="4"/>
  <c r="C8689" i="4"/>
  <c r="C8690" i="4"/>
  <c r="C8691" i="4"/>
  <c r="C8692" i="4"/>
  <c r="C8693" i="4"/>
  <c r="C8694" i="4"/>
  <c r="C8695" i="4"/>
  <c r="C8696" i="4"/>
  <c r="C8697" i="4"/>
  <c r="C8698" i="4"/>
  <c r="C8699" i="4"/>
  <c r="C8700" i="4"/>
  <c r="C8701" i="4"/>
  <c r="C8702" i="4"/>
  <c r="C8703" i="4"/>
  <c r="C8704" i="4"/>
  <c r="C8705" i="4"/>
  <c r="C8706" i="4"/>
  <c r="C8707" i="4"/>
  <c r="C8708" i="4"/>
  <c r="C8709" i="4"/>
  <c r="C8710" i="4"/>
  <c r="C8711" i="4"/>
  <c r="C8712" i="4"/>
  <c r="C8713" i="4"/>
  <c r="C8714" i="4"/>
  <c r="C8715" i="4"/>
  <c r="C8716" i="4"/>
  <c r="C8717" i="4"/>
  <c r="C8718" i="4"/>
  <c r="C8719" i="4"/>
  <c r="C8720" i="4"/>
  <c r="C8721" i="4"/>
  <c r="C8722" i="4"/>
  <c r="C8723" i="4"/>
  <c r="C8724" i="4"/>
  <c r="C8725" i="4"/>
  <c r="C8726" i="4"/>
  <c r="C8727" i="4"/>
  <c r="C8728" i="4"/>
  <c r="C8729" i="4"/>
  <c r="C8730" i="4"/>
  <c r="C8731" i="4"/>
  <c r="C8732" i="4"/>
  <c r="C8733" i="4"/>
  <c r="C8734" i="4"/>
  <c r="C8735" i="4"/>
  <c r="C8736" i="4"/>
  <c r="C8737" i="4"/>
  <c r="C8738" i="4"/>
  <c r="C8739" i="4"/>
  <c r="C8740" i="4"/>
  <c r="C8741" i="4"/>
  <c r="C8742" i="4"/>
  <c r="C8743" i="4"/>
  <c r="C8744" i="4"/>
  <c r="C8745" i="4"/>
  <c r="C8746" i="4"/>
  <c r="C8747" i="4"/>
  <c r="C8748" i="4"/>
  <c r="C8749" i="4"/>
  <c r="C8750" i="4"/>
  <c r="C8751" i="4"/>
  <c r="C8752" i="4"/>
  <c r="C8753" i="4"/>
  <c r="C8754" i="4"/>
  <c r="C8755" i="4"/>
  <c r="C8756" i="4"/>
  <c r="C8757" i="4"/>
  <c r="C8758" i="4"/>
  <c r="C8759" i="4"/>
  <c r="C8760" i="4"/>
  <c r="C8761" i="4"/>
  <c r="C8762" i="4"/>
  <c r="C8763" i="4"/>
  <c r="C8764" i="4"/>
  <c r="C8765" i="4"/>
  <c r="C8766" i="4"/>
  <c r="C8767" i="4"/>
  <c r="C8768" i="4"/>
  <c r="C8769" i="4"/>
  <c r="C8770" i="4"/>
  <c r="C8771" i="4"/>
  <c r="C8772" i="4"/>
  <c r="C8773" i="4"/>
  <c r="C8774" i="4"/>
  <c r="C8775" i="4"/>
  <c r="C8776" i="4"/>
  <c r="C8777" i="4"/>
  <c r="C8778" i="4"/>
  <c r="C8779" i="4"/>
  <c r="C8780" i="4"/>
  <c r="C8781" i="4"/>
  <c r="C8782" i="4"/>
  <c r="C8783" i="4"/>
  <c r="C8784" i="4"/>
  <c r="C8785" i="4"/>
  <c r="C8786" i="4"/>
  <c r="C8787" i="4"/>
  <c r="C8788" i="4"/>
  <c r="C8789" i="4"/>
  <c r="C8790" i="4"/>
  <c r="C8791" i="4"/>
  <c r="C8792" i="4"/>
  <c r="C8793" i="4"/>
  <c r="C8794" i="4"/>
  <c r="C8795" i="4"/>
  <c r="C8796" i="4"/>
  <c r="C8797" i="4"/>
  <c r="C8798" i="4"/>
  <c r="C8799" i="4"/>
  <c r="C8800" i="4"/>
  <c r="C8801" i="4"/>
  <c r="C8802" i="4"/>
  <c r="C8803" i="4"/>
  <c r="C8804" i="4"/>
  <c r="C8805" i="4"/>
  <c r="C8806" i="4"/>
  <c r="C8807" i="4"/>
  <c r="C8808" i="4"/>
  <c r="C8809" i="4"/>
  <c r="C8810" i="4"/>
  <c r="C8811" i="4"/>
  <c r="C8812" i="4"/>
  <c r="C8813" i="4"/>
  <c r="C8814" i="4"/>
  <c r="C8815" i="4"/>
  <c r="C8816" i="4"/>
  <c r="C8817" i="4"/>
  <c r="C8818" i="4"/>
  <c r="C8819" i="4"/>
  <c r="C8820" i="4"/>
  <c r="C8821" i="4"/>
  <c r="C8822" i="4"/>
  <c r="C8823" i="4"/>
  <c r="C8824" i="4"/>
  <c r="C8825" i="4"/>
  <c r="C8826" i="4"/>
  <c r="C8827" i="4"/>
  <c r="C8828" i="4"/>
  <c r="C8829" i="4"/>
  <c r="C8830" i="4"/>
  <c r="C8831" i="4"/>
  <c r="C8832" i="4"/>
  <c r="C8833" i="4"/>
  <c r="C8834" i="4"/>
  <c r="C8835" i="4"/>
  <c r="C8836" i="4"/>
  <c r="C8837" i="4"/>
  <c r="C8838" i="4"/>
  <c r="C8839" i="4"/>
  <c r="C8840" i="4"/>
  <c r="C8841" i="4"/>
  <c r="C8842" i="4"/>
  <c r="C8843" i="4"/>
  <c r="C8844" i="4"/>
  <c r="C8845" i="4"/>
  <c r="C8846" i="4"/>
  <c r="C8847" i="4"/>
  <c r="C8848" i="4"/>
  <c r="C8849" i="4"/>
  <c r="C8850" i="4"/>
  <c r="C8851" i="4"/>
  <c r="C8852" i="4"/>
  <c r="C8853" i="4"/>
  <c r="C8854" i="4"/>
  <c r="C8855" i="4"/>
  <c r="C8856" i="4"/>
  <c r="C8857" i="4"/>
  <c r="C8858" i="4"/>
  <c r="C8859" i="4"/>
  <c r="C8860" i="4"/>
  <c r="C8861" i="4"/>
  <c r="C8862" i="4"/>
  <c r="C8863" i="4"/>
  <c r="C8864" i="4"/>
  <c r="C8865" i="4"/>
  <c r="C8866" i="4"/>
  <c r="C8867" i="4"/>
  <c r="C8868" i="4"/>
  <c r="C8869" i="4"/>
  <c r="C8870" i="4"/>
  <c r="C8871" i="4"/>
  <c r="C8872" i="4"/>
  <c r="C8873" i="4"/>
  <c r="C8874" i="4"/>
  <c r="C8875" i="4"/>
  <c r="C8876" i="4"/>
  <c r="C8877" i="4"/>
  <c r="C8878" i="4"/>
  <c r="C8879" i="4"/>
  <c r="C8880" i="4"/>
  <c r="C8881" i="4"/>
  <c r="C8882" i="4"/>
  <c r="C8883" i="4"/>
  <c r="C8884" i="4"/>
  <c r="C8885" i="4"/>
  <c r="C8886" i="4"/>
  <c r="C8887" i="4"/>
  <c r="C8888" i="4"/>
  <c r="C8889" i="4"/>
  <c r="C8890" i="4"/>
  <c r="C8891" i="4"/>
  <c r="C8892" i="4"/>
  <c r="C8893" i="4"/>
  <c r="C8894" i="4"/>
  <c r="C8895" i="4"/>
  <c r="C8896" i="4"/>
  <c r="C8897" i="4"/>
  <c r="C8898" i="4"/>
  <c r="C8899" i="4"/>
  <c r="C8900" i="4"/>
  <c r="C8901" i="4"/>
  <c r="C8902" i="4"/>
  <c r="C8903" i="4"/>
  <c r="C8904" i="4"/>
  <c r="C8905" i="4"/>
  <c r="C8906" i="4"/>
  <c r="C8907" i="4"/>
  <c r="C8908" i="4"/>
  <c r="C8909" i="4"/>
  <c r="C8910" i="4"/>
  <c r="C8911" i="4"/>
  <c r="C8912" i="4"/>
  <c r="C8913" i="4"/>
  <c r="C8914" i="4"/>
  <c r="C8915" i="4"/>
  <c r="C8916" i="4"/>
  <c r="C8917" i="4"/>
  <c r="C8918" i="4"/>
  <c r="C8919" i="4"/>
  <c r="C8920" i="4"/>
  <c r="C8921" i="4"/>
  <c r="C8922" i="4"/>
  <c r="C8923" i="4"/>
  <c r="C8924" i="4"/>
  <c r="C8925" i="4"/>
  <c r="C8926" i="4"/>
  <c r="C8927" i="4"/>
  <c r="C8928" i="4"/>
  <c r="C8929" i="4"/>
  <c r="C8930" i="4"/>
  <c r="C8931" i="4"/>
  <c r="C8932" i="4"/>
  <c r="C8933" i="4"/>
  <c r="C8934" i="4"/>
  <c r="C8935" i="4"/>
  <c r="C8936" i="4"/>
  <c r="C8937" i="4"/>
  <c r="C8938" i="4"/>
  <c r="C8939" i="4"/>
  <c r="C8940" i="4"/>
  <c r="C8941" i="4"/>
  <c r="C8942" i="4"/>
  <c r="C8943" i="4"/>
  <c r="C8944" i="4"/>
  <c r="C8945" i="4"/>
  <c r="C8946" i="4"/>
  <c r="C8947" i="4"/>
  <c r="C8948" i="4"/>
  <c r="C8949" i="4"/>
  <c r="C8950" i="4"/>
  <c r="C8951" i="4"/>
  <c r="C8952" i="4"/>
  <c r="C8953" i="4"/>
  <c r="C8954" i="4"/>
  <c r="C8955" i="4"/>
  <c r="C8956" i="4"/>
  <c r="C8957" i="4"/>
  <c r="C8958" i="4"/>
  <c r="C8959" i="4"/>
  <c r="C8960" i="4"/>
  <c r="C8961" i="4"/>
  <c r="C8962" i="4"/>
  <c r="C8963" i="4"/>
  <c r="C8964" i="4"/>
  <c r="C8965" i="4"/>
  <c r="C8966" i="4"/>
  <c r="C8967" i="4"/>
  <c r="C8968" i="4"/>
  <c r="C8969" i="4"/>
  <c r="C8970" i="4"/>
  <c r="C8971" i="4"/>
  <c r="C8972" i="4"/>
  <c r="C8973" i="4"/>
  <c r="C8974" i="4"/>
  <c r="C8975" i="4"/>
  <c r="C8976" i="4"/>
  <c r="C8977" i="4"/>
  <c r="C8978" i="4"/>
  <c r="C8979" i="4"/>
  <c r="C8980" i="4"/>
  <c r="C8981" i="4"/>
  <c r="C8982" i="4"/>
  <c r="C8983" i="4"/>
  <c r="C8984" i="4"/>
  <c r="C8985" i="4"/>
  <c r="C8986" i="4"/>
  <c r="C8987" i="4"/>
  <c r="C8988" i="4"/>
  <c r="C8989" i="4"/>
  <c r="C8990" i="4"/>
  <c r="C8991" i="4"/>
  <c r="C8992" i="4"/>
  <c r="C8993" i="4"/>
  <c r="C8994" i="4"/>
  <c r="C8995" i="4"/>
  <c r="C8996" i="4"/>
  <c r="C8997" i="4"/>
  <c r="C8998" i="4"/>
  <c r="C8999" i="4"/>
  <c r="C9000" i="4"/>
  <c r="C9001" i="4"/>
  <c r="C9002" i="4"/>
  <c r="C9003" i="4"/>
  <c r="C9004" i="4"/>
  <c r="C9005" i="4"/>
  <c r="C9006" i="4"/>
  <c r="C9007" i="4"/>
  <c r="C9008" i="4"/>
  <c r="C9009" i="4"/>
  <c r="C9010" i="4"/>
  <c r="C9011" i="4"/>
  <c r="C9012" i="4"/>
  <c r="C9013" i="4"/>
  <c r="C9014" i="4"/>
  <c r="C9015" i="4"/>
  <c r="C9016" i="4"/>
  <c r="C9017" i="4"/>
  <c r="C9018" i="4"/>
  <c r="C9019" i="4"/>
  <c r="C9020" i="4"/>
  <c r="C9021" i="4"/>
  <c r="C9022" i="4"/>
  <c r="C9023" i="4"/>
  <c r="C9024" i="4"/>
  <c r="C9025" i="4"/>
  <c r="C9026" i="4"/>
  <c r="C9027" i="4"/>
  <c r="C9028" i="4"/>
  <c r="C9029" i="4"/>
  <c r="C9030" i="4"/>
  <c r="C9031" i="4"/>
  <c r="C9032" i="4"/>
  <c r="C9033" i="4"/>
  <c r="C9034" i="4"/>
  <c r="C9035" i="4"/>
  <c r="C9036" i="4"/>
  <c r="C9037" i="4"/>
  <c r="C9038" i="4"/>
  <c r="C9039" i="4"/>
  <c r="C9040" i="4"/>
  <c r="C9041" i="4"/>
  <c r="C9042" i="4"/>
  <c r="C9043" i="4"/>
  <c r="C9044" i="4"/>
  <c r="C9045" i="4"/>
  <c r="C9046" i="4"/>
  <c r="C9047" i="4"/>
  <c r="C9048" i="4"/>
  <c r="C9049" i="4"/>
  <c r="C9050" i="4"/>
  <c r="C9051" i="4"/>
  <c r="C9052" i="4"/>
  <c r="C9053" i="4"/>
  <c r="C9054" i="4"/>
  <c r="C9055" i="4"/>
  <c r="C9056" i="4"/>
  <c r="C9057" i="4"/>
  <c r="C9058" i="4"/>
  <c r="C9059" i="4"/>
  <c r="C9060" i="4"/>
  <c r="C9061" i="4"/>
  <c r="C9062" i="4"/>
  <c r="C9063" i="4"/>
  <c r="C9064" i="4"/>
  <c r="C9065" i="4"/>
  <c r="C9066" i="4"/>
  <c r="C9067" i="4"/>
  <c r="C9068" i="4"/>
  <c r="C9069" i="4"/>
  <c r="C9070" i="4"/>
  <c r="C9071" i="4"/>
  <c r="C9072" i="4"/>
  <c r="C9073" i="4"/>
  <c r="C9074" i="4"/>
  <c r="C9075" i="4"/>
  <c r="C9076" i="4"/>
  <c r="C9077" i="4"/>
  <c r="C9078" i="4"/>
  <c r="C9079" i="4"/>
  <c r="C9080" i="4"/>
  <c r="C9081" i="4"/>
  <c r="C9082" i="4"/>
  <c r="C9083" i="4"/>
  <c r="C9084" i="4"/>
  <c r="C9085" i="4"/>
  <c r="C9086" i="4"/>
  <c r="C9087" i="4"/>
  <c r="C9088" i="4"/>
  <c r="C9089" i="4"/>
  <c r="C9090" i="4"/>
  <c r="C9091" i="4"/>
  <c r="C9092" i="4"/>
  <c r="C9093" i="4"/>
  <c r="C9094" i="4"/>
  <c r="C9095" i="4"/>
  <c r="C9096" i="4"/>
  <c r="C9097" i="4"/>
  <c r="C9098" i="4"/>
  <c r="C9099" i="4"/>
  <c r="C9100" i="4"/>
  <c r="C9101" i="4"/>
  <c r="C9102" i="4"/>
  <c r="C9103" i="4"/>
  <c r="C9104" i="4"/>
  <c r="C9105" i="4"/>
  <c r="C9106" i="4"/>
  <c r="C9107" i="4"/>
  <c r="C9108" i="4"/>
  <c r="C9109" i="4"/>
  <c r="C9110" i="4"/>
  <c r="C9111" i="4"/>
  <c r="C9112" i="4"/>
  <c r="C9113" i="4"/>
  <c r="C9114" i="4"/>
  <c r="C9115" i="4"/>
  <c r="C9116" i="4"/>
  <c r="C9117" i="4"/>
  <c r="C9118" i="4"/>
  <c r="C9119" i="4"/>
  <c r="C9120" i="4"/>
  <c r="C9121" i="4"/>
  <c r="C9122" i="4"/>
  <c r="C9123" i="4"/>
  <c r="C9124" i="4"/>
  <c r="C9125" i="4"/>
  <c r="C9126" i="4"/>
  <c r="C9127" i="4"/>
  <c r="C9128" i="4"/>
  <c r="C9129" i="4"/>
  <c r="C9130" i="4"/>
  <c r="C9131" i="4"/>
  <c r="C9132" i="4"/>
  <c r="C9133" i="4"/>
  <c r="C9134" i="4"/>
  <c r="C9135" i="4"/>
  <c r="C9136" i="4"/>
  <c r="C9137" i="4"/>
  <c r="C9138" i="4"/>
  <c r="C9139" i="4"/>
  <c r="C9140" i="4"/>
  <c r="C9141" i="4"/>
  <c r="C9142" i="4"/>
  <c r="C9143" i="4"/>
  <c r="C9144" i="4"/>
  <c r="C9145" i="4"/>
  <c r="C9146" i="4"/>
  <c r="C9147" i="4"/>
  <c r="C9148" i="4"/>
  <c r="C9149" i="4"/>
  <c r="C9150" i="4"/>
  <c r="C9151" i="4"/>
  <c r="C9152" i="4"/>
  <c r="C9153" i="4"/>
  <c r="C9154" i="4"/>
  <c r="C9155" i="4"/>
  <c r="C9156" i="4"/>
  <c r="C9157" i="4"/>
  <c r="C9158" i="4"/>
  <c r="C9159" i="4"/>
  <c r="C9160" i="4"/>
  <c r="C9161" i="4"/>
  <c r="C9162" i="4"/>
  <c r="C9163" i="4"/>
  <c r="C9164" i="4"/>
  <c r="C9165" i="4"/>
  <c r="C9166" i="4"/>
  <c r="C9167" i="4"/>
  <c r="C9168" i="4"/>
  <c r="C9169" i="4"/>
  <c r="C9170" i="4"/>
  <c r="C9171" i="4"/>
  <c r="C9172" i="4"/>
  <c r="C9173" i="4"/>
  <c r="C9174" i="4"/>
  <c r="C9175" i="4"/>
  <c r="C9176" i="4"/>
  <c r="C9177" i="4"/>
  <c r="C9178" i="4"/>
  <c r="C9179" i="4"/>
  <c r="C9180" i="4"/>
  <c r="C9181" i="4"/>
  <c r="C9182" i="4"/>
  <c r="C9183" i="4"/>
  <c r="C9184" i="4"/>
  <c r="C9185" i="4"/>
  <c r="C9186" i="4"/>
  <c r="C9187" i="4"/>
  <c r="C9188" i="4"/>
  <c r="C9189" i="4"/>
  <c r="C9190" i="4"/>
  <c r="C9191" i="4"/>
  <c r="C9192" i="4"/>
  <c r="C9193" i="4"/>
  <c r="C9194" i="4"/>
  <c r="C9195" i="4"/>
  <c r="C9196" i="4"/>
  <c r="C9197" i="4"/>
  <c r="C9198" i="4"/>
  <c r="C9199" i="4"/>
  <c r="C9200" i="4"/>
  <c r="C9201" i="4"/>
  <c r="C9202" i="4"/>
  <c r="C9203" i="4"/>
  <c r="C9204" i="4"/>
  <c r="C9205" i="4"/>
  <c r="C9206" i="4"/>
  <c r="C9207" i="4"/>
  <c r="C9208" i="4"/>
  <c r="C9209" i="4"/>
  <c r="C9210" i="4"/>
  <c r="C9211" i="4"/>
  <c r="C9212" i="4"/>
  <c r="C9213" i="4"/>
  <c r="C9214" i="4"/>
  <c r="C9215" i="4"/>
  <c r="C9216" i="4"/>
  <c r="C9217" i="4"/>
  <c r="C9218" i="4"/>
  <c r="C9219" i="4"/>
  <c r="C9220" i="4"/>
  <c r="C9221" i="4"/>
  <c r="C9222" i="4"/>
  <c r="C9223" i="4"/>
  <c r="C9224" i="4"/>
  <c r="C9225" i="4"/>
  <c r="C9226" i="4"/>
  <c r="C9227" i="4"/>
  <c r="C9228" i="4"/>
  <c r="C9229" i="4"/>
  <c r="C9230" i="4"/>
  <c r="C9231" i="4"/>
  <c r="C9232" i="4"/>
  <c r="C9233" i="4"/>
  <c r="C9234" i="4"/>
  <c r="C9235" i="4"/>
  <c r="C9236" i="4"/>
  <c r="C9237" i="4"/>
  <c r="C9238" i="4"/>
  <c r="C9239" i="4"/>
  <c r="C9240" i="4"/>
  <c r="C9241" i="4"/>
  <c r="C9242" i="4"/>
  <c r="C9243" i="4"/>
  <c r="C9244" i="4"/>
  <c r="C9245" i="4"/>
  <c r="C9246" i="4"/>
  <c r="C9247" i="4"/>
  <c r="C9248" i="4"/>
  <c r="C9249" i="4"/>
  <c r="C9250" i="4"/>
  <c r="C9251" i="4"/>
  <c r="C9252" i="4"/>
  <c r="C9253" i="4"/>
  <c r="C9254" i="4"/>
  <c r="C9255" i="4"/>
  <c r="C9256" i="4"/>
  <c r="C9257" i="4"/>
  <c r="C9258" i="4"/>
  <c r="C9259" i="4"/>
  <c r="C9260" i="4"/>
  <c r="C9261" i="4"/>
  <c r="C9262" i="4"/>
  <c r="C9263" i="4"/>
  <c r="C9264" i="4"/>
  <c r="C9265" i="4"/>
  <c r="C9266" i="4"/>
  <c r="C9267" i="4"/>
  <c r="C9268" i="4"/>
  <c r="C9269" i="4"/>
  <c r="C9270" i="4"/>
  <c r="C9271" i="4"/>
  <c r="C9272" i="4"/>
  <c r="C9273" i="4"/>
  <c r="C9274" i="4"/>
  <c r="C9275" i="4"/>
  <c r="C9276" i="4"/>
  <c r="C9277" i="4"/>
  <c r="C9278" i="4"/>
  <c r="C9279" i="4"/>
  <c r="C9280" i="4"/>
  <c r="C9281" i="4"/>
  <c r="C9282" i="4"/>
  <c r="C9283" i="4"/>
  <c r="C9284" i="4"/>
  <c r="C9285" i="4"/>
  <c r="C9286" i="4"/>
  <c r="C9287" i="4"/>
  <c r="C9288" i="4"/>
  <c r="C9289" i="4"/>
  <c r="C9290" i="4"/>
  <c r="C9291" i="4"/>
  <c r="C9292" i="4"/>
  <c r="C9293" i="4"/>
  <c r="C9294" i="4"/>
  <c r="C9295" i="4"/>
  <c r="C9296" i="4"/>
  <c r="C9297" i="4"/>
  <c r="C9298" i="4"/>
  <c r="C9299" i="4"/>
  <c r="C9300" i="4"/>
  <c r="C9301" i="4"/>
  <c r="C9302" i="4"/>
  <c r="C9303" i="4"/>
  <c r="C9304" i="4"/>
  <c r="C9305" i="4"/>
  <c r="C9306" i="4"/>
  <c r="C9307" i="4"/>
  <c r="C9308" i="4"/>
  <c r="C9309" i="4"/>
  <c r="C9310" i="4"/>
  <c r="C9311" i="4"/>
  <c r="C9312" i="4"/>
  <c r="C9313" i="4"/>
  <c r="C9314" i="4"/>
  <c r="C9315" i="4"/>
  <c r="C9316" i="4"/>
  <c r="C9317" i="4"/>
  <c r="C9318" i="4"/>
  <c r="C9319" i="4"/>
  <c r="C9320" i="4"/>
  <c r="C9321" i="4"/>
  <c r="C9322" i="4"/>
  <c r="C9323" i="4"/>
  <c r="C9324" i="4"/>
  <c r="C9325" i="4"/>
  <c r="C9326" i="4"/>
  <c r="C9327" i="4"/>
  <c r="C9328" i="4"/>
  <c r="C9329" i="4"/>
  <c r="C9330" i="4"/>
  <c r="C9331" i="4"/>
  <c r="C9332" i="4"/>
  <c r="C9333" i="4"/>
  <c r="C9334" i="4"/>
  <c r="C9335" i="4"/>
  <c r="C9336" i="4"/>
  <c r="C9337" i="4"/>
  <c r="C9338" i="4"/>
  <c r="C9339" i="4"/>
  <c r="C9340" i="4"/>
  <c r="C9341" i="4"/>
  <c r="C9342" i="4"/>
  <c r="C9343" i="4"/>
  <c r="C9344" i="4"/>
  <c r="C9345" i="4"/>
  <c r="C9346" i="4"/>
  <c r="C9347" i="4"/>
  <c r="C9348" i="4"/>
  <c r="C9349" i="4"/>
  <c r="C9350" i="4"/>
  <c r="C9351" i="4"/>
  <c r="C9352" i="4"/>
  <c r="C9353" i="4"/>
  <c r="C9354" i="4"/>
  <c r="C9355" i="4"/>
  <c r="C9356" i="4"/>
  <c r="C9357" i="4"/>
  <c r="C9358" i="4"/>
  <c r="C9359" i="4"/>
  <c r="C9360" i="4"/>
  <c r="C9361" i="4"/>
  <c r="C9362" i="4"/>
  <c r="C9363" i="4"/>
  <c r="C9364" i="4"/>
  <c r="C9365" i="4"/>
  <c r="C9366" i="4"/>
  <c r="C9367" i="4"/>
  <c r="C9368" i="4"/>
  <c r="C9369" i="4"/>
  <c r="C9370" i="4"/>
  <c r="C9371" i="4"/>
  <c r="C9372" i="4"/>
  <c r="C9373" i="4"/>
  <c r="C9374" i="4"/>
  <c r="C9375" i="4"/>
  <c r="C9376" i="4"/>
  <c r="C9377" i="4"/>
  <c r="C9378" i="4"/>
  <c r="C9379" i="4"/>
  <c r="C9380" i="4"/>
  <c r="C9381" i="4"/>
  <c r="C9382" i="4"/>
  <c r="C9383" i="4"/>
  <c r="C9384" i="4"/>
  <c r="C9385" i="4"/>
  <c r="C9386" i="4"/>
  <c r="C9387" i="4"/>
  <c r="C9388" i="4"/>
  <c r="C9389" i="4"/>
  <c r="C9390" i="4"/>
  <c r="C9391" i="4"/>
  <c r="C9392" i="4"/>
  <c r="C9393" i="4"/>
  <c r="C9394" i="4"/>
  <c r="C9395" i="4"/>
  <c r="C9396" i="4"/>
  <c r="C9397" i="4"/>
  <c r="C9398" i="4"/>
  <c r="C9399" i="4"/>
  <c r="C9400" i="4"/>
  <c r="C9401" i="4"/>
  <c r="C9402" i="4"/>
  <c r="C9403" i="4"/>
  <c r="C9404" i="4"/>
  <c r="C9405" i="4"/>
  <c r="C9406" i="4"/>
  <c r="C9407" i="4"/>
  <c r="C9408" i="4"/>
  <c r="C9409" i="4"/>
  <c r="C9410" i="4"/>
  <c r="C9411" i="4"/>
  <c r="C9412" i="4"/>
  <c r="C9413" i="4"/>
  <c r="C9414" i="4"/>
  <c r="C9415" i="4"/>
  <c r="C9416" i="4"/>
  <c r="C9417" i="4"/>
  <c r="C9418" i="4"/>
  <c r="C9419" i="4"/>
  <c r="C9420" i="4"/>
  <c r="C9421" i="4"/>
  <c r="C9422" i="4"/>
  <c r="C9423" i="4"/>
  <c r="C9424" i="4"/>
  <c r="C9425" i="4"/>
  <c r="C9426" i="4"/>
  <c r="C9427" i="4"/>
  <c r="C9428" i="4"/>
  <c r="C9429" i="4"/>
  <c r="C9430" i="4"/>
  <c r="C9431" i="4"/>
  <c r="C9432" i="4"/>
  <c r="C9433" i="4"/>
  <c r="C9434" i="4"/>
  <c r="C9435" i="4"/>
  <c r="C9436" i="4"/>
  <c r="C9437" i="4"/>
  <c r="C9438" i="4"/>
  <c r="C9439" i="4"/>
  <c r="C9440" i="4"/>
  <c r="C9441" i="4"/>
  <c r="C9442" i="4"/>
  <c r="C9443" i="4"/>
  <c r="C9444" i="4"/>
  <c r="C9445" i="4"/>
  <c r="C9446" i="4"/>
  <c r="C9447" i="4"/>
  <c r="C9448" i="4"/>
  <c r="C9449" i="4"/>
  <c r="C9450" i="4"/>
  <c r="C9451" i="4"/>
  <c r="C9452" i="4"/>
  <c r="C9453" i="4"/>
  <c r="C9454" i="4"/>
  <c r="C9455" i="4"/>
  <c r="C9456" i="4"/>
  <c r="C9457" i="4"/>
  <c r="C9458" i="4"/>
  <c r="C9459" i="4"/>
  <c r="C9460" i="4"/>
  <c r="C9461" i="4"/>
  <c r="C9462" i="4"/>
  <c r="C9463" i="4"/>
  <c r="C9464" i="4"/>
  <c r="C9465" i="4"/>
  <c r="C9466" i="4"/>
  <c r="C9467" i="4"/>
  <c r="C9468" i="4"/>
  <c r="C9469" i="4"/>
  <c r="C9470" i="4"/>
  <c r="C9471" i="4"/>
  <c r="C9472" i="4"/>
  <c r="C9473" i="4"/>
  <c r="C9474" i="4"/>
  <c r="C9475" i="4"/>
  <c r="C9476" i="4"/>
  <c r="C9477" i="4"/>
  <c r="C9478" i="4"/>
  <c r="C9479" i="4"/>
  <c r="C9480" i="4"/>
  <c r="C9481" i="4"/>
  <c r="C9482" i="4"/>
  <c r="C9483" i="4"/>
  <c r="C9484" i="4"/>
  <c r="C9485" i="4"/>
  <c r="C9486" i="4"/>
  <c r="C9487" i="4"/>
  <c r="C9488" i="4"/>
  <c r="C9489" i="4"/>
  <c r="C9490" i="4"/>
  <c r="C9491" i="4"/>
  <c r="C9492" i="4"/>
  <c r="C9493" i="4"/>
  <c r="C9494" i="4"/>
  <c r="C9495" i="4"/>
  <c r="C9496" i="4"/>
  <c r="C9497" i="4"/>
  <c r="C9498" i="4"/>
  <c r="C9499" i="4"/>
  <c r="C9500" i="4"/>
  <c r="C9501" i="4"/>
  <c r="C9502" i="4"/>
  <c r="C9503" i="4"/>
  <c r="C9504" i="4"/>
  <c r="C9505" i="4"/>
  <c r="C9506" i="4"/>
  <c r="C9507" i="4"/>
  <c r="C9508" i="4"/>
  <c r="C9509" i="4"/>
  <c r="C9510" i="4"/>
  <c r="C9511" i="4"/>
  <c r="C9512" i="4"/>
  <c r="C9513" i="4"/>
  <c r="C9514" i="4"/>
  <c r="C9515" i="4"/>
  <c r="C9516" i="4"/>
  <c r="C9517" i="4"/>
  <c r="C9518" i="4"/>
  <c r="C9519" i="4"/>
  <c r="C9520" i="4"/>
  <c r="C9521" i="4"/>
  <c r="C9522" i="4"/>
  <c r="C9523" i="4"/>
  <c r="C9524" i="4"/>
  <c r="C9525" i="4"/>
  <c r="C9526" i="4"/>
  <c r="C9527" i="4"/>
  <c r="C9528" i="4"/>
  <c r="C9529" i="4"/>
  <c r="C9530" i="4"/>
  <c r="C9531" i="4"/>
  <c r="C9532" i="4"/>
  <c r="C9533" i="4"/>
  <c r="C9534" i="4"/>
  <c r="C9535" i="4"/>
  <c r="C9536" i="4"/>
  <c r="C9537" i="4"/>
  <c r="C9538" i="4"/>
  <c r="C9539" i="4"/>
  <c r="C9540" i="4"/>
  <c r="C9541" i="4"/>
  <c r="C9542" i="4"/>
  <c r="C9543" i="4"/>
  <c r="C9544" i="4"/>
  <c r="C9545" i="4"/>
  <c r="C9546" i="4"/>
  <c r="C9547" i="4"/>
  <c r="C9548" i="4"/>
  <c r="C9549" i="4"/>
  <c r="C9550" i="4"/>
  <c r="C9551" i="4"/>
  <c r="C9552" i="4"/>
  <c r="C9553" i="4"/>
  <c r="C9554" i="4"/>
  <c r="C9555" i="4"/>
  <c r="C9556" i="4"/>
  <c r="C9557" i="4"/>
  <c r="C9558" i="4"/>
  <c r="C9559" i="4"/>
  <c r="C9560" i="4"/>
  <c r="C9561" i="4"/>
  <c r="C9562" i="4"/>
  <c r="C9563" i="4"/>
  <c r="C9564" i="4"/>
  <c r="C9565" i="4"/>
  <c r="C9566" i="4"/>
  <c r="C9567" i="4"/>
  <c r="C9568" i="4"/>
  <c r="C9569" i="4"/>
  <c r="C9570" i="4"/>
  <c r="C9571" i="4"/>
  <c r="C9572" i="4"/>
  <c r="C9573" i="4"/>
  <c r="C9574" i="4"/>
  <c r="C9575" i="4"/>
  <c r="C9576" i="4"/>
  <c r="C9577" i="4"/>
  <c r="C9578" i="4"/>
  <c r="C9579" i="4"/>
  <c r="C9580" i="4"/>
  <c r="C9581" i="4"/>
  <c r="C9582" i="4"/>
  <c r="C9583" i="4"/>
  <c r="C9584" i="4"/>
  <c r="C9585" i="4"/>
  <c r="C9586" i="4"/>
  <c r="C9587" i="4"/>
  <c r="C9588" i="4"/>
  <c r="C9589" i="4"/>
  <c r="C9590" i="4"/>
  <c r="C9591" i="4"/>
  <c r="C9592" i="4"/>
  <c r="C9593" i="4"/>
  <c r="C9594" i="4"/>
  <c r="C9595" i="4"/>
  <c r="C9596" i="4"/>
  <c r="C9597" i="4"/>
  <c r="C9598" i="4"/>
  <c r="C9599" i="4"/>
  <c r="C9600" i="4"/>
  <c r="C9601" i="4"/>
  <c r="C9602" i="4"/>
  <c r="C9603" i="4"/>
  <c r="C9604" i="4"/>
  <c r="C9605" i="4"/>
  <c r="C9606" i="4"/>
  <c r="C9607" i="4"/>
  <c r="C9608" i="4"/>
  <c r="C9609" i="4"/>
  <c r="C9610" i="4"/>
  <c r="C9611" i="4"/>
  <c r="C9612" i="4"/>
  <c r="C9613" i="4"/>
  <c r="C9614" i="4"/>
  <c r="C9615" i="4"/>
  <c r="C9616" i="4"/>
  <c r="C9617" i="4"/>
  <c r="C9618" i="4"/>
  <c r="C9619" i="4"/>
  <c r="C9620" i="4"/>
  <c r="C9621" i="4"/>
  <c r="C9622" i="4"/>
  <c r="C9623" i="4"/>
  <c r="C9624" i="4"/>
  <c r="C9625" i="4"/>
  <c r="C9626" i="4"/>
  <c r="C9627" i="4"/>
  <c r="C9628" i="4"/>
  <c r="C9629" i="4"/>
  <c r="C9630" i="4"/>
  <c r="C9631" i="4"/>
  <c r="C9632" i="4"/>
  <c r="C9633" i="4"/>
  <c r="C9634" i="4"/>
  <c r="C9635" i="4"/>
  <c r="C9636" i="4"/>
  <c r="C9637" i="4"/>
  <c r="C9638" i="4"/>
  <c r="C9639" i="4"/>
  <c r="C9640" i="4"/>
  <c r="C9641" i="4"/>
  <c r="C9642" i="4"/>
  <c r="C9643" i="4"/>
  <c r="C9644" i="4"/>
  <c r="C9645" i="4"/>
  <c r="C9646" i="4"/>
  <c r="C9647" i="4"/>
  <c r="C9648" i="4"/>
  <c r="C9649" i="4"/>
  <c r="C9650" i="4"/>
  <c r="C9651" i="4"/>
  <c r="C9652" i="4"/>
  <c r="C9653" i="4"/>
  <c r="C9654" i="4"/>
  <c r="C9655" i="4"/>
  <c r="C9656" i="4"/>
  <c r="C9657" i="4"/>
  <c r="C9658" i="4"/>
  <c r="C9659" i="4"/>
  <c r="C9660" i="4"/>
  <c r="C9661" i="4"/>
  <c r="C9662" i="4"/>
  <c r="C9663" i="4"/>
  <c r="C9664" i="4"/>
  <c r="C9665" i="4"/>
  <c r="C9666" i="4"/>
  <c r="C9667" i="4"/>
  <c r="C9668" i="4"/>
  <c r="C9669" i="4"/>
  <c r="C9670" i="4"/>
  <c r="C9671" i="4"/>
  <c r="C9672" i="4"/>
  <c r="C9673" i="4"/>
  <c r="C9674" i="4"/>
  <c r="C9675" i="4"/>
  <c r="C9676" i="4"/>
  <c r="C9677" i="4"/>
  <c r="C9678" i="4"/>
  <c r="C9679" i="4"/>
  <c r="C9680" i="4"/>
  <c r="C9681" i="4"/>
  <c r="C9682" i="4"/>
  <c r="C9683" i="4"/>
  <c r="C9684" i="4"/>
  <c r="C9685" i="4"/>
  <c r="C9686" i="4"/>
  <c r="C9687" i="4"/>
  <c r="C9688" i="4"/>
  <c r="C9689" i="4"/>
  <c r="C9690" i="4"/>
  <c r="C9691" i="4"/>
  <c r="C9692" i="4"/>
  <c r="C9693" i="4"/>
  <c r="C9694" i="4"/>
  <c r="C9695" i="4"/>
  <c r="C9696" i="4"/>
  <c r="C9697" i="4"/>
  <c r="C9698" i="4"/>
  <c r="C9699" i="4"/>
  <c r="C9700" i="4"/>
  <c r="C9701" i="4"/>
  <c r="C9702" i="4"/>
  <c r="C9703" i="4"/>
  <c r="C9704" i="4"/>
  <c r="C9705" i="4"/>
  <c r="C9706" i="4"/>
  <c r="C9707" i="4"/>
  <c r="C9708" i="4"/>
  <c r="C9709" i="4"/>
  <c r="C9710" i="4"/>
  <c r="C9711" i="4"/>
  <c r="C9712" i="4"/>
  <c r="C9713" i="4"/>
  <c r="C9714" i="4"/>
  <c r="C9715" i="4"/>
  <c r="C9716" i="4"/>
  <c r="C9717" i="4"/>
  <c r="C9718" i="4"/>
  <c r="C9719" i="4"/>
  <c r="C9720" i="4"/>
  <c r="C9721" i="4"/>
  <c r="C9722" i="4"/>
  <c r="C9723" i="4"/>
  <c r="C9724" i="4"/>
  <c r="C9725" i="4"/>
  <c r="C9726" i="4"/>
  <c r="C9727" i="4"/>
  <c r="C9728" i="4"/>
  <c r="C9729" i="4"/>
  <c r="C9730" i="4"/>
  <c r="C9731" i="4"/>
  <c r="C9732" i="4"/>
  <c r="C9733" i="4"/>
  <c r="C9734" i="4"/>
  <c r="C9735" i="4"/>
  <c r="C9736" i="4"/>
  <c r="C9737" i="4"/>
  <c r="C9738" i="4"/>
  <c r="C9739" i="4"/>
  <c r="C9740" i="4"/>
  <c r="C9741" i="4"/>
  <c r="C9742" i="4"/>
  <c r="C9743" i="4"/>
  <c r="C9744" i="4"/>
  <c r="C9745" i="4"/>
  <c r="C9746" i="4"/>
  <c r="C9747" i="4"/>
  <c r="C9748" i="4"/>
  <c r="C9749" i="4"/>
  <c r="C9750" i="4"/>
  <c r="C9751" i="4"/>
  <c r="C9752" i="4"/>
  <c r="C9753" i="4"/>
  <c r="C9754" i="4"/>
  <c r="C9755" i="4"/>
  <c r="C9756" i="4"/>
  <c r="C9757" i="4"/>
  <c r="C9758" i="4"/>
  <c r="C9759" i="4"/>
  <c r="C9760" i="4"/>
  <c r="C9761" i="4"/>
  <c r="C9762" i="4"/>
  <c r="C9763" i="4"/>
  <c r="C9764" i="4"/>
  <c r="C9765" i="4"/>
  <c r="C9766" i="4"/>
  <c r="C9767" i="4"/>
  <c r="C9768" i="4"/>
  <c r="C9769" i="4"/>
  <c r="C9770" i="4"/>
  <c r="C9771" i="4"/>
  <c r="C9772" i="4"/>
  <c r="C9773" i="4"/>
  <c r="C9774" i="4"/>
  <c r="C9775" i="4"/>
  <c r="C9776" i="4"/>
  <c r="C9777" i="4"/>
  <c r="C9778" i="4"/>
  <c r="C9779" i="4"/>
  <c r="C9780" i="4"/>
  <c r="C9781" i="4"/>
  <c r="C9782" i="4"/>
  <c r="C9783" i="4"/>
  <c r="C9784" i="4"/>
  <c r="C9785" i="4"/>
  <c r="C9786" i="4"/>
  <c r="C9787" i="4"/>
  <c r="C9788" i="4"/>
  <c r="C9789" i="4"/>
  <c r="C9790" i="4"/>
  <c r="C9791" i="4"/>
  <c r="C9792" i="4"/>
  <c r="C9793" i="4"/>
  <c r="C9794" i="4"/>
  <c r="C9795" i="4"/>
  <c r="C9796" i="4"/>
  <c r="C9797" i="4"/>
  <c r="C9798" i="4"/>
  <c r="C9799" i="4"/>
  <c r="C9800" i="4"/>
  <c r="C9801" i="4"/>
  <c r="C9802" i="4"/>
  <c r="C9803" i="4"/>
  <c r="C9804" i="4"/>
  <c r="C9805" i="4"/>
  <c r="C9806" i="4"/>
  <c r="C9807" i="4"/>
  <c r="C9808" i="4"/>
  <c r="C9809" i="4"/>
  <c r="C9810" i="4"/>
  <c r="C9811" i="4"/>
  <c r="C9812" i="4"/>
  <c r="C9813" i="4"/>
  <c r="C9814" i="4"/>
  <c r="C9815" i="4"/>
  <c r="C9816" i="4"/>
  <c r="C9817" i="4"/>
  <c r="C9818" i="4"/>
  <c r="C9819" i="4"/>
  <c r="C9820" i="4"/>
  <c r="C9821" i="4"/>
  <c r="C9822" i="4"/>
  <c r="C9823" i="4"/>
  <c r="C9824" i="4"/>
  <c r="C9825" i="4"/>
  <c r="C9826" i="4"/>
  <c r="C9827" i="4"/>
  <c r="C9828" i="4"/>
  <c r="C9829" i="4"/>
  <c r="C9830" i="4"/>
  <c r="C9831" i="4"/>
  <c r="C9832" i="4"/>
  <c r="C9833" i="4"/>
  <c r="C9834" i="4"/>
  <c r="C9835" i="4"/>
  <c r="C9836" i="4"/>
  <c r="C9837" i="4"/>
  <c r="C9838" i="4"/>
  <c r="C9839" i="4"/>
  <c r="C9840" i="4"/>
  <c r="C9841" i="4"/>
  <c r="C9842" i="4"/>
  <c r="C9843" i="4"/>
  <c r="C9844" i="4"/>
  <c r="C9845" i="4"/>
  <c r="C9846" i="4"/>
  <c r="C9847" i="4"/>
  <c r="C9848" i="4"/>
  <c r="C9849" i="4"/>
  <c r="C9850" i="4"/>
  <c r="C9851" i="4"/>
  <c r="C9852" i="4"/>
  <c r="C9853" i="4"/>
  <c r="C9854" i="4"/>
  <c r="C9855" i="4"/>
  <c r="C9856" i="4"/>
  <c r="C9857" i="4"/>
  <c r="C9858" i="4"/>
  <c r="C9859" i="4"/>
  <c r="C9860" i="4"/>
  <c r="C9861" i="4"/>
  <c r="C9862" i="4"/>
  <c r="C9863" i="4"/>
  <c r="C9864" i="4"/>
  <c r="C9865" i="4"/>
  <c r="C9866" i="4"/>
  <c r="C9867" i="4"/>
  <c r="C9868" i="4"/>
  <c r="C9869" i="4"/>
  <c r="C9870" i="4"/>
  <c r="C9871" i="4"/>
  <c r="C9872" i="4"/>
  <c r="C9873" i="4"/>
  <c r="C9874" i="4"/>
  <c r="C9875" i="4"/>
  <c r="C9876" i="4"/>
  <c r="C9877" i="4"/>
  <c r="C9878" i="4"/>
  <c r="C9879" i="4"/>
  <c r="C9880" i="4"/>
  <c r="C9881" i="4"/>
  <c r="C9882" i="4"/>
  <c r="C9883" i="4"/>
  <c r="C9884" i="4"/>
  <c r="C9885" i="4"/>
  <c r="C9886" i="4"/>
  <c r="C9887" i="4"/>
  <c r="C9888" i="4"/>
  <c r="C9889" i="4"/>
  <c r="C9890" i="4"/>
  <c r="C9891" i="4"/>
  <c r="C9892" i="4"/>
  <c r="C9893" i="4"/>
  <c r="C9894" i="4"/>
  <c r="C9895" i="4"/>
  <c r="C9896" i="4"/>
  <c r="C9897" i="4"/>
  <c r="C9898" i="4"/>
  <c r="C9899" i="4"/>
  <c r="C9900" i="4"/>
  <c r="C9901" i="4"/>
  <c r="C9902" i="4"/>
  <c r="C9903" i="4"/>
  <c r="C9904" i="4"/>
  <c r="C9905" i="4"/>
  <c r="C9906" i="4"/>
  <c r="C9907" i="4"/>
  <c r="C9908" i="4"/>
  <c r="C9909" i="4"/>
  <c r="C9910" i="4"/>
  <c r="C9911" i="4"/>
  <c r="C9912" i="4"/>
  <c r="C9913" i="4"/>
  <c r="C9914" i="4"/>
  <c r="C9915" i="4"/>
  <c r="C9916" i="4"/>
  <c r="C9917" i="4"/>
  <c r="C9918" i="4"/>
  <c r="C9919" i="4"/>
  <c r="C9920" i="4"/>
  <c r="C9921" i="4"/>
  <c r="C9922" i="4"/>
  <c r="C9923" i="4"/>
  <c r="C9924" i="4"/>
  <c r="C9925" i="4"/>
  <c r="C9926" i="4"/>
  <c r="C9927" i="4"/>
  <c r="C9928" i="4"/>
  <c r="C9929" i="4"/>
  <c r="C9930" i="4"/>
  <c r="C9931" i="4"/>
  <c r="C9932" i="4"/>
  <c r="C9933" i="4"/>
  <c r="C9934" i="4"/>
  <c r="C9935" i="4"/>
  <c r="C9936" i="4"/>
  <c r="C9937" i="4"/>
  <c r="C9938" i="4"/>
  <c r="C9939" i="4"/>
  <c r="C9940" i="4"/>
  <c r="C9941" i="4"/>
  <c r="C9942" i="4"/>
  <c r="C9943" i="4"/>
  <c r="C9944" i="4"/>
  <c r="C9945" i="4"/>
  <c r="C9946" i="4"/>
  <c r="C9947" i="4"/>
  <c r="C9948" i="4"/>
  <c r="C9949" i="4"/>
  <c r="C9950" i="4"/>
  <c r="C9951" i="4"/>
  <c r="C9952" i="4"/>
  <c r="C9953" i="4"/>
  <c r="C9954" i="4"/>
  <c r="C9955" i="4"/>
  <c r="C9956" i="4"/>
  <c r="C9957" i="4"/>
  <c r="C9958" i="4"/>
  <c r="C9959" i="4"/>
  <c r="C9960" i="4"/>
  <c r="C9961" i="4"/>
  <c r="C9962" i="4"/>
  <c r="C9963" i="4"/>
  <c r="C9964" i="4"/>
  <c r="C9965" i="4"/>
  <c r="C9966" i="4"/>
  <c r="C9967" i="4"/>
  <c r="C9968" i="4"/>
  <c r="C9969" i="4"/>
  <c r="C9970" i="4"/>
  <c r="C9971" i="4"/>
  <c r="C9972" i="4"/>
  <c r="C9973" i="4"/>
  <c r="C9974" i="4"/>
  <c r="C9975" i="4"/>
  <c r="C9976" i="4"/>
  <c r="C9977" i="4"/>
  <c r="C9978" i="4"/>
  <c r="C9979" i="4"/>
  <c r="C9980" i="4"/>
  <c r="C9981" i="4"/>
  <c r="C9982" i="4"/>
  <c r="C9983" i="4"/>
  <c r="C9984" i="4"/>
  <c r="C9985" i="4"/>
  <c r="C9986" i="4"/>
  <c r="C9987" i="4"/>
  <c r="C9988" i="4"/>
  <c r="C9989" i="4"/>
  <c r="C9990" i="4"/>
  <c r="C9991" i="4"/>
  <c r="C9992" i="4"/>
  <c r="C9993" i="4"/>
  <c r="C9994" i="4"/>
  <c r="C9995" i="4"/>
  <c r="C9996" i="4"/>
  <c r="C9997" i="4"/>
  <c r="C9998" i="4"/>
  <c r="C9999" i="4"/>
  <c r="C10000" i="4"/>
  <c r="C10001" i="4"/>
  <c r="C10002" i="4"/>
  <c r="C10003" i="4"/>
  <c r="C10004" i="4"/>
  <c r="C10005" i="4"/>
  <c r="C10006" i="4"/>
  <c r="C10007" i="4"/>
  <c r="C10008" i="4"/>
  <c r="C10009" i="4"/>
  <c r="C10010" i="4"/>
  <c r="C10011" i="4"/>
  <c r="C10012" i="4"/>
  <c r="C10013" i="4"/>
  <c r="C10014" i="4"/>
  <c r="C10015" i="4"/>
  <c r="C10016" i="4"/>
  <c r="C10017" i="4"/>
  <c r="C10018" i="4"/>
  <c r="C10019" i="4"/>
  <c r="C10020" i="4"/>
  <c r="C10021" i="4"/>
  <c r="C10022" i="4"/>
  <c r="C10023" i="4"/>
  <c r="C10024" i="4"/>
  <c r="C10025" i="4"/>
  <c r="C10026" i="4"/>
  <c r="C10027" i="4"/>
  <c r="C10028" i="4"/>
  <c r="C10029" i="4"/>
  <c r="C10030" i="4"/>
  <c r="C10031" i="4"/>
  <c r="C10032" i="4"/>
  <c r="C10033" i="4"/>
  <c r="C10034" i="4"/>
  <c r="C10035" i="4"/>
  <c r="C10036" i="4"/>
  <c r="C10037" i="4"/>
  <c r="C10038" i="4"/>
  <c r="C10039" i="4"/>
  <c r="C10040" i="4"/>
  <c r="C10041" i="4"/>
  <c r="C10042" i="4"/>
  <c r="C10043" i="4"/>
  <c r="C10044" i="4"/>
  <c r="C10045" i="4"/>
  <c r="C10046" i="4"/>
  <c r="C10047" i="4"/>
  <c r="C10048" i="4"/>
  <c r="C10049" i="4"/>
  <c r="C10050" i="4"/>
  <c r="C10051" i="4"/>
  <c r="C10052" i="4"/>
  <c r="C10053" i="4"/>
  <c r="C10054" i="4"/>
  <c r="C10055" i="4"/>
  <c r="C10056" i="4"/>
  <c r="C10057" i="4"/>
  <c r="C10058" i="4"/>
  <c r="C10059" i="4"/>
  <c r="C10060" i="4"/>
  <c r="C10061" i="4"/>
  <c r="C10062" i="4"/>
  <c r="C10063" i="4"/>
  <c r="C10064" i="4"/>
  <c r="C10065" i="4"/>
  <c r="C10066" i="4"/>
  <c r="C10067" i="4"/>
  <c r="C10068" i="4"/>
  <c r="C10069" i="4"/>
  <c r="C10070" i="4"/>
  <c r="C10071" i="4"/>
  <c r="C10072" i="4"/>
  <c r="C10073" i="4"/>
  <c r="C10074" i="4"/>
  <c r="C10075" i="4"/>
  <c r="C10076" i="4"/>
  <c r="C10077" i="4"/>
  <c r="C10078" i="4"/>
  <c r="C10079" i="4"/>
  <c r="C10080" i="4"/>
  <c r="C10081" i="4"/>
  <c r="C10082" i="4"/>
  <c r="C10083" i="4"/>
  <c r="C10084" i="4"/>
  <c r="C10085" i="4"/>
  <c r="C10086" i="4"/>
  <c r="C10087" i="4"/>
  <c r="C10088" i="4"/>
  <c r="C10089" i="4"/>
  <c r="C10090" i="4"/>
  <c r="C10091" i="4"/>
  <c r="C10092" i="4"/>
  <c r="C10093" i="4"/>
  <c r="C10094" i="4"/>
  <c r="C10095" i="4"/>
  <c r="C10096" i="4"/>
  <c r="C10097" i="4"/>
  <c r="C10098" i="4"/>
  <c r="C10099" i="4"/>
  <c r="C10100" i="4"/>
  <c r="C10101" i="4"/>
  <c r="C10102" i="4"/>
  <c r="C10103" i="4"/>
  <c r="C10104" i="4"/>
  <c r="C10105" i="4"/>
  <c r="C10106" i="4"/>
  <c r="C10107" i="4"/>
  <c r="C10108" i="4"/>
  <c r="C10109" i="4"/>
  <c r="C10110" i="4"/>
  <c r="C10111" i="4"/>
  <c r="C10112" i="4"/>
  <c r="C10113" i="4"/>
  <c r="C10114" i="4"/>
  <c r="C10115" i="4"/>
  <c r="C10116" i="4"/>
  <c r="C10117" i="4"/>
  <c r="C10118" i="4"/>
  <c r="C10119" i="4"/>
  <c r="C10120" i="4"/>
  <c r="C10121" i="4"/>
  <c r="C10122" i="4"/>
  <c r="C10123" i="4"/>
  <c r="C10124" i="4"/>
  <c r="C10125" i="4"/>
  <c r="C10126" i="4"/>
  <c r="C10127" i="4"/>
  <c r="C10128" i="4"/>
  <c r="C10129" i="4"/>
  <c r="C10130" i="4"/>
  <c r="C10131" i="4"/>
  <c r="C10132" i="4"/>
  <c r="C10133" i="4"/>
  <c r="C10134" i="4"/>
  <c r="C10135" i="4"/>
  <c r="C10136" i="4"/>
  <c r="C10137" i="4"/>
  <c r="C10138" i="4"/>
  <c r="C10139" i="4"/>
  <c r="C10140" i="4"/>
  <c r="C10141" i="4"/>
  <c r="C10142" i="4"/>
  <c r="C10143" i="4"/>
  <c r="C10144" i="4"/>
  <c r="C10145" i="4"/>
  <c r="C10146" i="4"/>
  <c r="C10147" i="4"/>
  <c r="C10148" i="4"/>
  <c r="C10149" i="4"/>
  <c r="C10150" i="4"/>
  <c r="C10151" i="4"/>
  <c r="C10152" i="4"/>
  <c r="C10153" i="4"/>
  <c r="C10154" i="4"/>
  <c r="C10155" i="4"/>
  <c r="C10156" i="4"/>
  <c r="C10157" i="4"/>
  <c r="C10158" i="4"/>
  <c r="C10159" i="4"/>
  <c r="C10160" i="4"/>
  <c r="C10161" i="4"/>
  <c r="C10162" i="4"/>
  <c r="C10163" i="4"/>
  <c r="C10164" i="4"/>
  <c r="C10165" i="4"/>
  <c r="C10166" i="4"/>
  <c r="C10167" i="4"/>
  <c r="C10168" i="4"/>
  <c r="C10169" i="4"/>
  <c r="C10170" i="4"/>
  <c r="C10171" i="4"/>
  <c r="C10172" i="4"/>
  <c r="C10173" i="4"/>
  <c r="C10174" i="4"/>
  <c r="C10175" i="4"/>
  <c r="C10176" i="4"/>
  <c r="C10177" i="4"/>
  <c r="C10178" i="4"/>
  <c r="C10179" i="4"/>
  <c r="C10180" i="4"/>
  <c r="C10181" i="4"/>
  <c r="C10182" i="4"/>
  <c r="C10183" i="4"/>
  <c r="C10184" i="4"/>
  <c r="C10185" i="4"/>
  <c r="C10186" i="4"/>
  <c r="C10187" i="4"/>
  <c r="C10188" i="4"/>
  <c r="C10189" i="4"/>
  <c r="C10190" i="4"/>
  <c r="C10191" i="4"/>
  <c r="C10192" i="4"/>
  <c r="C10193" i="4"/>
  <c r="C10194" i="4"/>
  <c r="C10195" i="4"/>
  <c r="C10196" i="4"/>
  <c r="C10197" i="4"/>
  <c r="C10198" i="4"/>
  <c r="C10199" i="4"/>
  <c r="C10200" i="4"/>
  <c r="C10201" i="4"/>
  <c r="C10202" i="4"/>
  <c r="C10203" i="4"/>
  <c r="C10204" i="4"/>
  <c r="C10205" i="4"/>
  <c r="C10206" i="4"/>
  <c r="C10207" i="4"/>
  <c r="C10208" i="4"/>
  <c r="C10209" i="4"/>
  <c r="C10210" i="4"/>
  <c r="C10211" i="4"/>
  <c r="C10212" i="4"/>
  <c r="C10213" i="4"/>
  <c r="C10214" i="4"/>
  <c r="C10215" i="4"/>
  <c r="C10216" i="4"/>
  <c r="C10217" i="4"/>
  <c r="C10218" i="4"/>
  <c r="C10219" i="4"/>
  <c r="C10220" i="4"/>
  <c r="C10221" i="4"/>
  <c r="C10222" i="4"/>
  <c r="C10223" i="4"/>
  <c r="C10224" i="4"/>
  <c r="C10225" i="4"/>
  <c r="C10226" i="4"/>
  <c r="C10227" i="4"/>
  <c r="C10228" i="4"/>
  <c r="C10229" i="4"/>
  <c r="C10230" i="4"/>
  <c r="C10231" i="4"/>
  <c r="C10232" i="4"/>
  <c r="C10233" i="4"/>
  <c r="C10234" i="4"/>
  <c r="C10235" i="4"/>
  <c r="C10236" i="4"/>
  <c r="C10237" i="4"/>
  <c r="C10238" i="4"/>
  <c r="C10239" i="4"/>
  <c r="C10240" i="4"/>
  <c r="C10241" i="4"/>
  <c r="C10242" i="4"/>
  <c r="C10243" i="4"/>
  <c r="C10244" i="4"/>
  <c r="C10245" i="4"/>
  <c r="C10246" i="4"/>
  <c r="C10247" i="4"/>
  <c r="C10248" i="4"/>
  <c r="C10249" i="4"/>
  <c r="C10250" i="4"/>
  <c r="C10251" i="4"/>
  <c r="C10252" i="4"/>
  <c r="C10253" i="4"/>
  <c r="C10254" i="4"/>
  <c r="C10255" i="4"/>
  <c r="C10256" i="4"/>
  <c r="C10257" i="4"/>
  <c r="C10258" i="4"/>
  <c r="C10259" i="4"/>
  <c r="C10260" i="4"/>
  <c r="C10261" i="4"/>
  <c r="C10262" i="4"/>
  <c r="C10263" i="4"/>
  <c r="C10264" i="4"/>
  <c r="C10265" i="4"/>
  <c r="C10266" i="4"/>
  <c r="C10267" i="4"/>
  <c r="C10268" i="4"/>
  <c r="C10269" i="4"/>
  <c r="C10270" i="4"/>
  <c r="C10271" i="4"/>
  <c r="C10272" i="4"/>
  <c r="C10273" i="4"/>
  <c r="C10274" i="4"/>
  <c r="C10275" i="4"/>
  <c r="C10276" i="4"/>
  <c r="C10277" i="4"/>
  <c r="C10278" i="4"/>
  <c r="C10279" i="4"/>
  <c r="C10280" i="4"/>
  <c r="C10281" i="4"/>
  <c r="C10282" i="4"/>
  <c r="C10283" i="4"/>
  <c r="C10284" i="4"/>
  <c r="C10285" i="4"/>
  <c r="C10286" i="4"/>
  <c r="C10287" i="4"/>
  <c r="C10288" i="4"/>
  <c r="C10289" i="4"/>
  <c r="C10290" i="4"/>
  <c r="C10291" i="4"/>
  <c r="C10292" i="4"/>
  <c r="C10293" i="4"/>
  <c r="C10294" i="4"/>
  <c r="C10295" i="4"/>
  <c r="C10296" i="4"/>
  <c r="C10297" i="4"/>
  <c r="C10298" i="4"/>
  <c r="C10299" i="4"/>
  <c r="C10300" i="4"/>
  <c r="C10301" i="4"/>
  <c r="C10302" i="4"/>
  <c r="C10303" i="4"/>
  <c r="C10304" i="4"/>
  <c r="C10305" i="4"/>
  <c r="C10306" i="4"/>
  <c r="C10307" i="4"/>
  <c r="C10308" i="4"/>
  <c r="C10309" i="4"/>
  <c r="C10310" i="4"/>
  <c r="C10311" i="4"/>
  <c r="C10312" i="4"/>
  <c r="C10313" i="4"/>
  <c r="C10314" i="4"/>
  <c r="C10315" i="4"/>
  <c r="C10316" i="4"/>
  <c r="C10317" i="4"/>
  <c r="C10318" i="4"/>
  <c r="C10319" i="4"/>
  <c r="C10320" i="4"/>
  <c r="C10321" i="4"/>
  <c r="C10322" i="4"/>
  <c r="C10323" i="4"/>
  <c r="C10324" i="4"/>
  <c r="C10325" i="4"/>
  <c r="C10326" i="4"/>
  <c r="C10327" i="4"/>
  <c r="C10328" i="4"/>
  <c r="C10329" i="4"/>
  <c r="C10330" i="4"/>
  <c r="C10331" i="4"/>
  <c r="C10332" i="4"/>
  <c r="C10333" i="4"/>
  <c r="C10334" i="4"/>
  <c r="C10335" i="4"/>
  <c r="C10336" i="4"/>
  <c r="C10337" i="4"/>
  <c r="C10338" i="4"/>
  <c r="C10339" i="4"/>
  <c r="C10340" i="4"/>
  <c r="C10341" i="4"/>
  <c r="C10342" i="4"/>
  <c r="C10343" i="4"/>
  <c r="C10344" i="4"/>
  <c r="C10345" i="4"/>
  <c r="C10346" i="4"/>
  <c r="C10347" i="4"/>
  <c r="C10348" i="4"/>
  <c r="C10349" i="4"/>
  <c r="C10350" i="4"/>
  <c r="C10351" i="4"/>
  <c r="C10352" i="4"/>
  <c r="C10353" i="4"/>
  <c r="C10354" i="4"/>
  <c r="C10355" i="4"/>
  <c r="C10356" i="4"/>
  <c r="C10357" i="4"/>
  <c r="C10358" i="4"/>
  <c r="C10359" i="4"/>
  <c r="C10360" i="4"/>
  <c r="C10361" i="4"/>
  <c r="C10362" i="4"/>
  <c r="C10363" i="4"/>
  <c r="C10364" i="4"/>
  <c r="C10365" i="4"/>
  <c r="C10366" i="4"/>
  <c r="C10367" i="4"/>
  <c r="C10368" i="4"/>
  <c r="C10369" i="4"/>
  <c r="C10370" i="4"/>
  <c r="C10371" i="4"/>
  <c r="C10372" i="4"/>
  <c r="C10373" i="4"/>
  <c r="C10374" i="4"/>
  <c r="C10375" i="4"/>
  <c r="C10376" i="4"/>
  <c r="C10377" i="4"/>
  <c r="C10378" i="4"/>
  <c r="C10379" i="4"/>
  <c r="C10380" i="4"/>
  <c r="C10381" i="4"/>
  <c r="C10382" i="4"/>
  <c r="C10383" i="4"/>
  <c r="C10384" i="4"/>
  <c r="C10385" i="4"/>
  <c r="C10386" i="4"/>
  <c r="C10387" i="4"/>
  <c r="C10388" i="4"/>
  <c r="C10389" i="4"/>
  <c r="C10390" i="4"/>
  <c r="C10391" i="4"/>
  <c r="C10392" i="4"/>
  <c r="C10393" i="4"/>
  <c r="C10394" i="4"/>
  <c r="C10395" i="4"/>
  <c r="C10396" i="4"/>
  <c r="C10397" i="4"/>
  <c r="C10398" i="4"/>
  <c r="C10399" i="4"/>
  <c r="C10400" i="4"/>
  <c r="C10401" i="4"/>
  <c r="C10402" i="4"/>
  <c r="C10403" i="4"/>
  <c r="C10404" i="4"/>
  <c r="C10405" i="4"/>
  <c r="C10406" i="4"/>
  <c r="C10407" i="4"/>
  <c r="C10408" i="4"/>
  <c r="C10409" i="4"/>
  <c r="C10410" i="4"/>
  <c r="C10411" i="4"/>
  <c r="C10412" i="4"/>
  <c r="C10413" i="4"/>
  <c r="C10414" i="4"/>
  <c r="C10415" i="4"/>
  <c r="C10416" i="4"/>
  <c r="C10417" i="4"/>
  <c r="C10418" i="4"/>
  <c r="C10419" i="4"/>
  <c r="C10420" i="4"/>
  <c r="C10421" i="4"/>
  <c r="C10422" i="4"/>
  <c r="C10423" i="4"/>
  <c r="C10424" i="4"/>
  <c r="C10425" i="4"/>
  <c r="C10426" i="4"/>
  <c r="C10427" i="4"/>
  <c r="C10428" i="4"/>
  <c r="C10429" i="4"/>
  <c r="C10430" i="4"/>
  <c r="C10431" i="4"/>
  <c r="C10432" i="4"/>
  <c r="C10433" i="4"/>
  <c r="C10434" i="4"/>
  <c r="C10435" i="4"/>
  <c r="C10436" i="4"/>
  <c r="C10437" i="4"/>
  <c r="C10438" i="4"/>
  <c r="C10439" i="4"/>
  <c r="C10440" i="4"/>
  <c r="C10441" i="4"/>
  <c r="C10442" i="4"/>
  <c r="C10443" i="4"/>
  <c r="C10444" i="4"/>
  <c r="C10445" i="4"/>
  <c r="C10446" i="4"/>
  <c r="C10447" i="4"/>
  <c r="C10448" i="4"/>
  <c r="C10449" i="4"/>
  <c r="C10450" i="4"/>
  <c r="C10451" i="4"/>
  <c r="C10452" i="4"/>
  <c r="C10453" i="4"/>
  <c r="C10454" i="4"/>
  <c r="C10455" i="4"/>
  <c r="C10456" i="4"/>
  <c r="C10457" i="4"/>
  <c r="C10458" i="4"/>
  <c r="C10459" i="4"/>
  <c r="C10460" i="4"/>
  <c r="C10461" i="4"/>
  <c r="C10462" i="4"/>
  <c r="C10463" i="4"/>
  <c r="C10464" i="4"/>
  <c r="C10465" i="4"/>
  <c r="C10466" i="4"/>
  <c r="C10467" i="4"/>
  <c r="C10468" i="4"/>
  <c r="C10469" i="4"/>
  <c r="C10470" i="4"/>
  <c r="C10471" i="4"/>
  <c r="C10472" i="4"/>
  <c r="C10473" i="4"/>
  <c r="C10474" i="4"/>
  <c r="C10475" i="4"/>
  <c r="C10476" i="4"/>
  <c r="C10477" i="4"/>
  <c r="C10478" i="4"/>
  <c r="C10479" i="4"/>
  <c r="C10480" i="4"/>
  <c r="C10481" i="4"/>
  <c r="C10482" i="4"/>
  <c r="C10483" i="4"/>
  <c r="C10484" i="4"/>
  <c r="C10485" i="4"/>
  <c r="C10486" i="4"/>
  <c r="C10487" i="4"/>
  <c r="C10488" i="4"/>
  <c r="C10489" i="4"/>
  <c r="C10490" i="4"/>
  <c r="C10491" i="4"/>
  <c r="C10492" i="4"/>
  <c r="C10493" i="4"/>
  <c r="C10494" i="4"/>
  <c r="C10495" i="4"/>
  <c r="C10496" i="4"/>
  <c r="C10497" i="4"/>
  <c r="C10498" i="4"/>
  <c r="C10499" i="4"/>
  <c r="C10500" i="4"/>
  <c r="C10501" i="4"/>
  <c r="C10502" i="4"/>
  <c r="C10503" i="4"/>
  <c r="C10504" i="4"/>
  <c r="C10505" i="4"/>
  <c r="C10506" i="4"/>
  <c r="C10507" i="4"/>
  <c r="C10508" i="4"/>
  <c r="C10509" i="4"/>
  <c r="C10510" i="4"/>
  <c r="C10511" i="4"/>
  <c r="C10512" i="4"/>
  <c r="C10513" i="4"/>
  <c r="C10514" i="4"/>
  <c r="C10515" i="4"/>
  <c r="C10516" i="4"/>
  <c r="C10517" i="4"/>
  <c r="C10518" i="4"/>
  <c r="C10519" i="4"/>
  <c r="C10520" i="4"/>
  <c r="C10521" i="4"/>
  <c r="C10522" i="4"/>
  <c r="C10523" i="4"/>
  <c r="C10524" i="4"/>
  <c r="C10525" i="4"/>
  <c r="C10526" i="4"/>
  <c r="C10527" i="4"/>
  <c r="C10528" i="4"/>
  <c r="C10529" i="4"/>
  <c r="C10530" i="4"/>
  <c r="C10531" i="4"/>
  <c r="C10532" i="4"/>
  <c r="C10533" i="4"/>
  <c r="C10534" i="4"/>
  <c r="C10535" i="4"/>
  <c r="C10536" i="4"/>
  <c r="C10537" i="4"/>
  <c r="C10538" i="4"/>
  <c r="C10539" i="4"/>
  <c r="C10540" i="4"/>
  <c r="C10541" i="4"/>
  <c r="C10542" i="4"/>
  <c r="C10543" i="4"/>
  <c r="C10544" i="4"/>
  <c r="C10545" i="4"/>
  <c r="C10546" i="4"/>
  <c r="C10547" i="4"/>
  <c r="C10548" i="4"/>
  <c r="C10549" i="4"/>
  <c r="C10550" i="4"/>
  <c r="C10551" i="4"/>
  <c r="C10552" i="4"/>
  <c r="C10553" i="4"/>
  <c r="C10554" i="4"/>
  <c r="C10555" i="4"/>
  <c r="C10556" i="4"/>
  <c r="C10557" i="4"/>
  <c r="C10558" i="4"/>
  <c r="C10559" i="4"/>
  <c r="C10560" i="4"/>
  <c r="C10561" i="4"/>
  <c r="C10562" i="4"/>
  <c r="C10563" i="4"/>
  <c r="C10564" i="4"/>
  <c r="C10565" i="4"/>
  <c r="C10566" i="4"/>
  <c r="C10567" i="4"/>
  <c r="C10568" i="4"/>
  <c r="C10569" i="4"/>
  <c r="C10570" i="4"/>
  <c r="C10571" i="4"/>
  <c r="C10572" i="4"/>
  <c r="C10573" i="4"/>
  <c r="C10574" i="4"/>
  <c r="C10575" i="4"/>
  <c r="C10576" i="4"/>
  <c r="C10577" i="4"/>
  <c r="C10578" i="4"/>
  <c r="C10579" i="4"/>
  <c r="C10580" i="4"/>
  <c r="C10581" i="4"/>
  <c r="C10582" i="4"/>
  <c r="C10583" i="4"/>
  <c r="C10584" i="4"/>
  <c r="C10585" i="4"/>
  <c r="C10586" i="4"/>
  <c r="C10587" i="4"/>
  <c r="C10588" i="4"/>
  <c r="C10589" i="4"/>
  <c r="C10590" i="4"/>
  <c r="C10591" i="4"/>
  <c r="C10592" i="4"/>
  <c r="C10593" i="4"/>
  <c r="C10594" i="4"/>
  <c r="C10595" i="4"/>
  <c r="C10596" i="4"/>
  <c r="C10597" i="4"/>
  <c r="C10598" i="4"/>
  <c r="C10599" i="4"/>
  <c r="C10600" i="4"/>
  <c r="C10601" i="4"/>
  <c r="C10602" i="4"/>
  <c r="C10603" i="4"/>
  <c r="C10604" i="4"/>
  <c r="C10605" i="4"/>
  <c r="C10606" i="4"/>
  <c r="C10607" i="4"/>
  <c r="C10608" i="4"/>
  <c r="C10609" i="4"/>
  <c r="C10610" i="4"/>
  <c r="C10611" i="4"/>
  <c r="C10612" i="4"/>
  <c r="C10613" i="4"/>
  <c r="C10614" i="4"/>
  <c r="C10615" i="4"/>
  <c r="C10616" i="4"/>
  <c r="C10617" i="4"/>
  <c r="C10618" i="4"/>
  <c r="C10619" i="4"/>
  <c r="C10620" i="4"/>
  <c r="C10621" i="4"/>
  <c r="C10622" i="4"/>
  <c r="C10623" i="4"/>
  <c r="C10624" i="4"/>
  <c r="C10625" i="4"/>
  <c r="C10626" i="4"/>
  <c r="C10627" i="4"/>
  <c r="C10628" i="4"/>
  <c r="C10629" i="4"/>
  <c r="C10630" i="4"/>
  <c r="C10631" i="4"/>
  <c r="C10632" i="4"/>
  <c r="C10633" i="4"/>
  <c r="C10634" i="4"/>
  <c r="C10635" i="4"/>
  <c r="C10636" i="4"/>
  <c r="C10637" i="4"/>
  <c r="C10638" i="4"/>
  <c r="C10639" i="4"/>
  <c r="C10640" i="4"/>
  <c r="C10641" i="4"/>
  <c r="C10642" i="4"/>
  <c r="C10643" i="4"/>
  <c r="C10644" i="4"/>
  <c r="C10645" i="4"/>
  <c r="C10646" i="4"/>
  <c r="C10647" i="4"/>
  <c r="C10648" i="4"/>
  <c r="C10649" i="4"/>
  <c r="C10650" i="4"/>
  <c r="C10651" i="4"/>
  <c r="C10652" i="4"/>
  <c r="C10653" i="4"/>
  <c r="C10654" i="4"/>
  <c r="C10655" i="4"/>
  <c r="C10656" i="4"/>
  <c r="C10657" i="4"/>
  <c r="C10658" i="4"/>
  <c r="C10659" i="4"/>
  <c r="C10660" i="4"/>
  <c r="C10661" i="4"/>
  <c r="C10662" i="4"/>
  <c r="C10663" i="4"/>
  <c r="C10664" i="4"/>
  <c r="C10665" i="4"/>
  <c r="C10666" i="4"/>
  <c r="C10667" i="4"/>
  <c r="C10668" i="4"/>
  <c r="C10669" i="4"/>
  <c r="C10670" i="4"/>
  <c r="C10671" i="4"/>
  <c r="C10672" i="4"/>
  <c r="C10673" i="4"/>
  <c r="C10674" i="4"/>
  <c r="C10675" i="4"/>
  <c r="C10676" i="4"/>
  <c r="C10677" i="4"/>
  <c r="C10678" i="4"/>
  <c r="C10679" i="4"/>
  <c r="C10680" i="4"/>
  <c r="C10681" i="4"/>
  <c r="C10682" i="4"/>
  <c r="C10683" i="4"/>
  <c r="C10684" i="4"/>
  <c r="C10685" i="4"/>
  <c r="C10686" i="4"/>
  <c r="C10687" i="4"/>
  <c r="C10688" i="4"/>
  <c r="C10689" i="4"/>
  <c r="C10690" i="4"/>
  <c r="C10691" i="4"/>
  <c r="C10692" i="4"/>
  <c r="C10693" i="4"/>
  <c r="C10694" i="4"/>
  <c r="C10695" i="4"/>
  <c r="C10696" i="4"/>
  <c r="C10697" i="4"/>
  <c r="C10698" i="4"/>
  <c r="C10699" i="4"/>
  <c r="C10700" i="4"/>
  <c r="C10701" i="4"/>
  <c r="C10702" i="4"/>
  <c r="C10703" i="4"/>
  <c r="C10704" i="4"/>
  <c r="C10705" i="4"/>
  <c r="C10706" i="4"/>
  <c r="C10707" i="4"/>
  <c r="C10708" i="4"/>
  <c r="C10709" i="4"/>
  <c r="C10710" i="4"/>
  <c r="C10711" i="4"/>
  <c r="C10712" i="4"/>
  <c r="C10713" i="4"/>
  <c r="C10714" i="4"/>
  <c r="C10715" i="4"/>
  <c r="C10716" i="4"/>
  <c r="C10717" i="4"/>
  <c r="C10718" i="4"/>
  <c r="C10719" i="4"/>
  <c r="C10720" i="4"/>
  <c r="C10721" i="4"/>
  <c r="C10722" i="4"/>
  <c r="C10723" i="4"/>
  <c r="C10724" i="4"/>
  <c r="C10725" i="4"/>
  <c r="C10726" i="4"/>
  <c r="C10727" i="4"/>
  <c r="C10728" i="4"/>
  <c r="C10729" i="4"/>
  <c r="C10730" i="4"/>
  <c r="C10731" i="4"/>
  <c r="C10732" i="4"/>
  <c r="C10733" i="4"/>
  <c r="C10734" i="4"/>
  <c r="C10735" i="4"/>
  <c r="C10736" i="4"/>
  <c r="C10737" i="4"/>
  <c r="C10738" i="4"/>
  <c r="C10739" i="4"/>
  <c r="C10740" i="4"/>
  <c r="C10741" i="4"/>
  <c r="C10742" i="4"/>
  <c r="C10743" i="4"/>
  <c r="C10744" i="4"/>
  <c r="C10745" i="4"/>
  <c r="C10746" i="4"/>
  <c r="C10747" i="4"/>
  <c r="C10748" i="4"/>
  <c r="C10749" i="4"/>
  <c r="C10750" i="4"/>
  <c r="C10751" i="4"/>
  <c r="C10752" i="4"/>
  <c r="C10753" i="4"/>
  <c r="C10754" i="4"/>
  <c r="C10755" i="4"/>
  <c r="C10756" i="4"/>
  <c r="C10757" i="4"/>
  <c r="C10758" i="4"/>
  <c r="C10759" i="4"/>
  <c r="C10760" i="4"/>
  <c r="C10761" i="4"/>
  <c r="C10762" i="4"/>
  <c r="C10763" i="4"/>
  <c r="C10764" i="4"/>
  <c r="C10765" i="4"/>
  <c r="C10766" i="4"/>
  <c r="C10767" i="4"/>
  <c r="C10768" i="4"/>
  <c r="C10769" i="4"/>
  <c r="C10770" i="4"/>
  <c r="C10771" i="4"/>
  <c r="C10772" i="4"/>
  <c r="C10773" i="4"/>
  <c r="C10774" i="4"/>
  <c r="C10775" i="4"/>
  <c r="C10776" i="4"/>
  <c r="C10777" i="4"/>
  <c r="C10778" i="4"/>
  <c r="C10779" i="4"/>
  <c r="C10780" i="4"/>
  <c r="C10781" i="4"/>
  <c r="C10782" i="4"/>
  <c r="C10783" i="4"/>
  <c r="C10784" i="4"/>
  <c r="C10785" i="4"/>
  <c r="C10786" i="4"/>
  <c r="C10787" i="4"/>
  <c r="C10788" i="4"/>
  <c r="C10789" i="4"/>
  <c r="C10790" i="4"/>
  <c r="C10791" i="4"/>
  <c r="C10792" i="4"/>
  <c r="C10793" i="4"/>
  <c r="C10794" i="4"/>
  <c r="C10795" i="4"/>
  <c r="C10796" i="4"/>
  <c r="C10797" i="4"/>
  <c r="C10798" i="4"/>
  <c r="C10799" i="4"/>
  <c r="C10800" i="4"/>
  <c r="C10801" i="4"/>
  <c r="C10802" i="4"/>
  <c r="C10803" i="4"/>
  <c r="C10804" i="4"/>
  <c r="C10805" i="4"/>
  <c r="C10806" i="4"/>
  <c r="C10807" i="4"/>
  <c r="C10808" i="4"/>
  <c r="C10809" i="4"/>
  <c r="C10810" i="4"/>
  <c r="C10811" i="4"/>
  <c r="C10812" i="4"/>
  <c r="C10813" i="4"/>
  <c r="C10814" i="4"/>
  <c r="C10815" i="4"/>
  <c r="C10816" i="4"/>
  <c r="C10817" i="4"/>
  <c r="C10818" i="4"/>
  <c r="C10819" i="4"/>
  <c r="C10820" i="4"/>
  <c r="C10821" i="4"/>
  <c r="C10822" i="4"/>
  <c r="C10823" i="4"/>
  <c r="C10824" i="4"/>
  <c r="C10825" i="4"/>
  <c r="C10826" i="4"/>
  <c r="C10827" i="4"/>
  <c r="C10828" i="4"/>
  <c r="C10829" i="4"/>
  <c r="C10830" i="4"/>
  <c r="C10831" i="4"/>
  <c r="C10832" i="4"/>
  <c r="C10833" i="4"/>
  <c r="C10834" i="4"/>
  <c r="C10835" i="4"/>
  <c r="C10836" i="4"/>
  <c r="C10837" i="4"/>
  <c r="C10838" i="4"/>
  <c r="C10839" i="4"/>
  <c r="C10840" i="4"/>
  <c r="C10841" i="4"/>
  <c r="C10842" i="4"/>
  <c r="C10843" i="4"/>
  <c r="C10844" i="4"/>
  <c r="C10845" i="4"/>
  <c r="C10846" i="4"/>
  <c r="C10847" i="4"/>
  <c r="C10848" i="4"/>
  <c r="C10849" i="4"/>
  <c r="C10850" i="4"/>
  <c r="C10851" i="4"/>
  <c r="C10852" i="4"/>
  <c r="C10853" i="4"/>
  <c r="C10854" i="4"/>
  <c r="C10855" i="4"/>
  <c r="C10856" i="4"/>
  <c r="C10857" i="4"/>
  <c r="C10858" i="4"/>
  <c r="C10859" i="4"/>
  <c r="C10860" i="4"/>
  <c r="C10861" i="4"/>
  <c r="C10862" i="4"/>
  <c r="C10863" i="4"/>
  <c r="C10864" i="4"/>
  <c r="C10865" i="4"/>
  <c r="C10866" i="4"/>
  <c r="C10867" i="4"/>
  <c r="C10868" i="4"/>
  <c r="C10869" i="4"/>
  <c r="C10870" i="4"/>
  <c r="C10871" i="4"/>
  <c r="C10872" i="4"/>
  <c r="C10873" i="4"/>
  <c r="C10874" i="4"/>
  <c r="C10875" i="4"/>
  <c r="C10876" i="4"/>
  <c r="C10877" i="4"/>
  <c r="C10878" i="4"/>
  <c r="C10879" i="4"/>
  <c r="C10880" i="4"/>
  <c r="C10881" i="4"/>
  <c r="C10882" i="4"/>
  <c r="C10883" i="4"/>
  <c r="C10884" i="4"/>
  <c r="C10885" i="4"/>
  <c r="C10886" i="4"/>
  <c r="C10887" i="4"/>
  <c r="C10888" i="4"/>
  <c r="C10889" i="4"/>
  <c r="C10890" i="4"/>
  <c r="C10891" i="4"/>
  <c r="C10892" i="4"/>
  <c r="C10893" i="4"/>
  <c r="C10894" i="4"/>
  <c r="C10895" i="4"/>
  <c r="C10896" i="4"/>
  <c r="C10897" i="4"/>
  <c r="C10898" i="4"/>
  <c r="C10899" i="4"/>
  <c r="C10900" i="4"/>
  <c r="C10901" i="4"/>
  <c r="C10902" i="4"/>
  <c r="C10903" i="4"/>
  <c r="C10904" i="4"/>
  <c r="C10905" i="4"/>
  <c r="C10906" i="4"/>
  <c r="C10907" i="4"/>
  <c r="C10908" i="4"/>
  <c r="C10909" i="4"/>
  <c r="C10910" i="4"/>
  <c r="C10911" i="4"/>
  <c r="C10912" i="4"/>
  <c r="C10913" i="4"/>
  <c r="C10914" i="4"/>
  <c r="C10915" i="4"/>
  <c r="C10916" i="4"/>
  <c r="C10917" i="4"/>
  <c r="C10918" i="4"/>
  <c r="C10919" i="4"/>
  <c r="C10920" i="4"/>
  <c r="C10921" i="4"/>
  <c r="C10922" i="4"/>
  <c r="C10923" i="4"/>
  <c r="C10924" i="4"/>
  <c r="C10925" i="4"/>
  <c r="C10926" i="4"/>
  <c r="C10927" i="4"/>
  <c r="C10928" i="4"/>
  <c r="C10929" i="4"/>
  <c r="C10930" i="4"/>
  <c r="C10931" i="4"/>
  <c r="C10932" i="4"/>
  <c r="C10933" i="4"/>
  <c r="C10934" i="4"/>
  <c r="C10935" i="4"/>
  <c r="C10936" i="4"/>
  <c r="C10937" i="4"/>
  <c r="C10938" i="4"/>
  <c r="C10939" i="4"/>
  <c r="C10940" i="4"/>
  <c r="C10941" i="4"/>
  <c r="C10942" i="4"/>
  <c r="C10943" i="4"/>
  <c r="C10944" i="4"/>
  <c r="C10945" i="4"/>
  <c r="C10946" i="4"/>
  <c r="C10947" i="4"/>
  <c r="C10948" i="4"/>
  <c r="C10949" i="4"/>
  <c r="C10950" i="4"/>
  <c r="C10951" i="4"/>
  <c r="C10952" i="4"/>
  <c r="C10953" i="4"/>
  <c r="C10954" i="4"/>
  <c r="C10955" i="4"/>
  <c r="C10956" i="4"/>
  <c r="C10957" i="4"/>
  <c r="C10958" i="4"/>
  <c r="C10959" i="4"/>
  <c r="C10960" i="4"/>
  <c r="C10961" i="4"/>
  <c r="C10962" i="4"/>
  <c r="C10963" i="4"/>
  <c r="C10964" i="4"/>
  <c r="C10965" i="4"/>
  <c r="C10966" i="4"/>
  <c r="C10967" i="4"/>
  <c r="C10968" i="4"/>
  <c r="C10969" i="4"/>
  <c r="C10970" i="4"/>
  <c r="C10971" i="4"/>
  <c r="C10972" i="4"/>
  <c r="C10973" i="4"/>
  <c r="C10974" i="4"/>
  <c r="C10975" i="4"/>
  <c r="C10976" i="4"/>
  <c r="C10977" i="4"/>
  <c r="C10978" i="4"/>
  <c r="C10979" i="4"/>
  <c r="C10980" i="4"/>
  <c r="C10981" i="4"/>
  <c r="C10982" i="4"/>
  <c r="C10983" i="4"/>
  <c r="C10984" i="4"/>
  <c r="C10985" i="4"/>
  <c r="C10986" i="4"/>
  <c r="C10987" i="4"/>
  <c r="C10988" i="4"/>
  <c r="C10989" i="4"/>
  <c r="C10990" i="4"/>
  <c r="C10991" i="4"/>
  <c r="C10992" i="4"/>
  <c r="C10993" i="4"/>
  <c r="C10994" i="4"/>
  <c r="C10995" i="4"/>
  <c r="C10996" i="4"/>
  <c r="C10997" i="4"/>
  <c r="C10998" i="4"/>
  <c r="C10999" i="4"/>
  <c r="C11000" i="4"/>
  <c r="C11001" i="4"/>
  <c r="C11002" i="4"/>
  <c r="C11003" i="4"/>
  <c r="C11004" i="4"/>
  <c r="C11005" i="4"/>
  <c r="C11006" i="4"/>
  <c r="C11007" i="4"/>
  <c r="C11008" i="4"/>
  <c r="C11009" i="4"/>
  <c r="C11010" i="4"/>
  <c r="C11011" i="4"/>
  <c r="C11012" i="4"/>
  <c r="C11013" i="4"/>
  <c r="C11014" i="4"/>
  <c r="C11015" i="4"/>
  <c r="C11016" i="4"/>
  <c r="C11017" i="4"/>
  <c r="C11018" i="4"/>
  <c r="C11019" i="4"/>
  <c r="C11020" i="4"/>
  <c r="C11021" i="4"/>
  <c r="C11022" i="4"/>
  <c r="C11023" i="4"/>
  <c r="C11024" i="4"/>
  <c r="C11025" i="4"/>
  <c r="C11026" i="4"/>
  <c r="C11027" i="4"/>
  <c r="C11028" i="4"/>
  <c r="C11029" i="4"/>
  <c r="C11030" i="4"/>
  <c r="C11031" i="4"/>
  <c r="C11032" i="4"/>
  <c r="C11033" i="4"/>
  <c r="C11034" i="4"/>
  <c r="C11035" i="4"/>
  <c r="C11036" i="4"/>
  <c r="C11037" i="4"/>
  <c r="C11038" i="4"/>
  <c r="C11039" i="4"/>
  <c r="C11040" i="4"/>
  <c r="C11041" i="4"/>
  <c r="C11042" i="4"/>
  <c r="C11043" i="4"/>
  <c r="C11044" i="4"/>
  <c r="C11045" i="4"/>
  <c r="C11046" i="4"/>
  <c r="C11047" i="4"/>
  <c r="C11048" i="4"/>
  <c r="C11049" i="4"/>
  <c r="C11050" i="4"/>
  <c r="C11051" i="4"/>
  <c r="C11052" i="4"/>
  <c r="C11053" i="4"/>
  <c r="C11054" i="4"/>
  <c r="C11055" i="4"/>
  <c r="C11056" i="4"/>
  <c r="C11057" i="4"/>
  <c r="C11058" i="4"/>
  <c r="C11059" i="4"/>
  <c r="C11060" i="4"/>
  <c r="C11061" i="4"/>
  <c r="C11062" i="4"/>
  <c r="C11063" i="4"/>
  <c r="C11064" i="4"/>
  <c r="C11065" i="4"/>
  <c r="C11066" i="4"/>
  <c r="C11067" i="4"/>
  <c r="C11068" i="4"/>
  <c r="C11069" i="4"/>
  <c r="C11070" i="4"/>
  <c r="C11071" i="4"/>
  <c r="C11072" i="4"/>
  <c r="C11073" i="4"/>
  <c r="C11074" i="4"/>
  <c r="C11075" i="4"/>
  <c r="C11076" i="4"/>
  <c r="C11077" i="4"/>
  <c r="C11078" i="4"/>
  <c r="C11079" i="4"/>
  <c r="C11080" i="4"/>
  <c r="C11081" i="4"/>
  <c r="C11082" i="4"/>
  <c r="C11083" i="4"/>
  <c r="C11084" i="4"/>
  <c r="C11085" i="4"/>
  <c r="C11086" i="4"/>
  <c r="C11087" i="4"/>
  <c r="C11088" i="4"/>
  <c r="C11089" i="4"/>
  <c r="C11090" i="4"/>
  <c r="C11091" i="4"/>
  <c r="C11092" i="4"/>
  <c r="C11093" i="4"/>
  <c r="C11094" i="4"/>
  <c r="C11095" i="4"/>
  <c r="C11096" i="4"/>
  <c r="C11097" i="4"/>
  <c r="C11098" i="4"/>
  <c r="C11099" i="4"/>
  <c r="C11100" i="4"/>
  <c r="C11101" i="4"/>
  <c r="C11102" i="4"/>
  <c r="C11103" i="4"/>
  <c r="C11104" i="4"/>
  <c r="C11105" i="4"/>
  <c r="C11106" i="4"/>
  <c r="C11107" i="4"/>
  <c r="C11108" i="4"/>
  <c r="C11109" i="4"/>
  <c r="C11110" i="4"/>
  <c r="C11111" i="4"/>
  <c r="C11112" i="4"/>
  <c r="C11113" i="4"/>
  <c r="C11114" i="4"/>
  <c r="C11115" i="4"/>
  <c r="C11116" i="4"/>
  <c r="C11117" i="4"/>
  <c r="C11118" i="4"/>
  <c r="C11119" i="4"/>
  <c r="C11120" i="4"/>
  <c r="C11121" i="4"/>
  <c r="C11122" i="4"/>
  <c r="C11123" i="4"/>
  <c r="C11124" i="4"/>
  <c r="C11125" i="4"/>
  <c r="C11126" i="4"/>
  <c r="C11127" i="4"/>
  <c r="C11128" i="4"/>
</calcChain>
</file>

<file path=xl/sharedStrings.xml><?xml version="1.0" encoding="utf-8"?>
<sst xmlns="http://schemas.openxmlformats.org/spreadsheetml/2006/main" count="64972" uniqueCount="5800">
  <si>
    <t>insurer_name</t>
  </si>
  <si>
    <t>fund_name</t>
  </si>
  <si>
    <t>sfin</t>
  </si>
  <si>
    <t>date</t>
  </si>
  <si>
    <t>value</t>
  </si>
  <si>
    <t>ICICI Prudential</t>
  </si>
  <si>
    <t>BSE 500 Enhanced Value 50 Index Fund</t>
  </si>
  <si>
    <t>ULIF 161 091025 EnhancedVF 105</t>
  </si>
  <si>
    <t>Bluechip Fund</t>
  </si>
  <si>
    <t>ULIF 087 24/11/09 LBluChip 105</t>
  </si>
  <si>
    <t>Dividend Leaders 50 Index Fund</t>
  </si>
  <si>
    <t>ULIF 163 300126 DivLeaders 105</t>
  </si>
  <si>
    <t>Focus 50 Fund</t>
  </si>
  <si>
    <t>ULIF 142 04/02/19 FocusFifty 105</t>
  </si>
  <si>
    <t>India Consumption Fund</t>
  </si>
  <si>
    <t>ULIF 158 170425 IndConsump 105</t>
  </si>
  <si>
    <t>India Growth Fund</t>
  </si>
  <si>
    <t>ULIF 141 04/02/19 IndiaGrwth 105</t>
  </si>
  <si>
    <t>Large N Mid Cap Advantage Fund</t>
  </si>
  <si>
    <t>ULIF 166 020626 LMidcapAdv 105</t>
  </si>
  <si>
    <t>Maximise India Fund</t>
  </si>
  <si>
    <t>ULIF 136 11/20/14 MIF 105</t>
  </si>
  <si>
    <t>Maximiser Fund V</t>
  </si>
  <si>
    <t>ULIF 114 15/03/11 LMaximis5 105</t>
  </si>
  <si>
    <t>Mid Cap 150 Momentum 50 Index Fund</t>
  </si>
  <si>
    <t>ULIF 151 180124 McMomentum 105</t>
  </si>
  <si>
    <t>Mid Cap Fund</t>
  </si>
  <si>
    <t>ULIF 146 28/06/22 MidCapFund 105</t>
  </si>
  <si>
    <t>Mid Cap Index Fund</t>
  </si>
  <si>
    <t>ULIF 149 050723 McIndxFund 105</t>
  </si>
  <si>
    <t>MidSmall Cap 400 Index Fund</t>
  </si>
  <si>
    <t>ULIF 153 150424 MidSmal400 105</t>
  </si>
  <si>
    <t>MidSmallCap 400 Momentum Quality 100 Index Fund</t>
  </si>
  <si>
    <t>ULIF 156 251024 MscMomQual 105</t>
  </si>
  <si>
    <t>Multi Cap Growth Fund</t>
  </si>
  <si>
    <t>ULIF 085 24/11/09 LMCapGro 105</t>
  </si>
  <si>
    <t>Multicap 50 25 25 Index Fund</t>
  </si>
  <si>
    <t>ULIF 152 220224 MultiCapIF 105</t>
  </si>
  <si>
    <t>Nifty Alpha 50 Index Fund</t>
  </si>
  <si>
    <t>ULIF 160 290725 AlphaIndIF 105</t>
  </si>
  <si>
    <t>Opportunities Fund</t>
  </si>
  <si>
    <t>ULIF 086 24/11/09 LOpport 105</t>
  </si>
  <si>
    <t>Pension Bluechip Fund</t>
  </si>
  <si>
    <t>ULIF 093 11/01/10 PBluChip 105</t>
  </si>
  <si>
    <t>Pension India Consumption Fund</t>
  </si>
  <si>
    <t>ULIF 159 190625 PenIndCons 105</t>
  </si>
  <si>
    <t>Pension India Growth Fund</t>
  </si>
  <si>
    <t>ULIF 154 260624 PenIndGrwt 105</t>
  </si>
  <si>
    <t>Pension Multi Cap Growth Fund</t>
  </si>
  <si>
    <t>ULIF 091 11/01/10 PMCapGro 105</t>
  </si>
  <si>
    <t>Pension Opportunities Fund</t>
  </si>
  <si>
    <t>ULIF 092 11/01/10 POpport 105</t>
  </si>
  <si>
    <t>Sector Leaders Index Fund</t>
  </si>
  <si>
    <t>ULIF 162 251125 SecLeaders 105</t>
  </si>
  <si>
    <t>Smallcap 250 Index Fund</t>
  </si>
  <si>
    <t>ULIF 164 270226 Smallcp250 105</t>
  </si>
  <si>
    <t>Smallcap250 Momentum Quality 100 Index Fund</t>
  </si>
  <si>
    <t>ULIF 157 301224 SmcMomQual 105</t>
  </si>
  <si>
    <t>Sustainable Equity Fund</t>
  </si>
  <si>
    <t>ULIF 145 03/06/21 SustainEqu 105</t>
  </si>
  <si>
    <t>Value Enhancer Fund</t>
  </si>
  <si>
    <t>ULIF 139 24/11/17 VEF 105</t>
  </si>
  <si>
    <t>SFIN</t>
  </si>
  <si>
    <t>TATA AIA</t>
  </si>
  <si>
    <t>Dynamic Advantage Fund</t>
  </si>
  <si>
    <t>Emerging Opportunities Fund</t>
  </si>
  <si>
    <t>Flexi Growth Fund</t>
  </si>
  <si>
    <t>Large Cap Equity Fund</t>
  </si>
  <si>
    <t>Midcap Momentum Index Fund</t>
  </si>
  <si>
    <t>Momentum 50 Index Fund</t>
  </si>
  <si>
    <t>Multi Cap Fund</t>
  </si>
  <si>
    <t>Multicap Momentum Quality Index Fund</t>
  </si>
  <si>
    <t>Rising India Fund</t>
  </si>
  <si>
    <t>Small Cap Discovery Fund</t>
  </si>
  <si>
    <t>Super Select Equity Fund</t>
  </si>
  <si>
    <t>Tax Bonanza Consumption Fund</t>
  </si>
  <si>
    <t>Top 200 Fund</t>
  </si>
  <si>
    <t>Top 50 Fund</t>
  </si>
  <si>
    <t>Whole Life Aggressive Growth Fund</t>
  </si>
  <si>
    <t>Whole Life Income Fund</t>
  </si>
  <si>
    <t>Whole Life Short-Term Fixed Income Fund</t>
  </si>
  <si>
    <t>Whole Life Stable Growth Fund</t>
  </si>
  <si>
    <t>Insurer name</t>
  </si>
  <si>
    <t>Fund name</t>
  </si>
  <si>
    <t>NAV Source</t>
  </si>
  <si>
    <t>Source Type</t>
  </si>
  <si>
    <t>Method</t>
  </si>
  <si>
    <t>Refresh frequency</t>
  </si>
  <si>
    <t>HIstorical data availible</t>
  </si>
  <si>
    <t>Limitations</t>
  </si>
  <si>
    <t>Data collected on</t>
  </si>
  <si>
    <t>https://www.moneycontrol.com/insurance/ulip/icici-prudential-life-insurance-IP/icici-prudential-bse-500-enhanced-value-50-index-fund-IIP1091.html</t>
  </si>
  <si>
    <t>secondary source(moneycontrol)</t>
  </si>
  <si>
    <t>manual scraping</t>
  </si>
  <si>
    <t>more than 1y availible</t>
  </si>
  <si>
    <t>https://www.moneycontrol.com/insurance/ulip/icici-prudential-life-insurance-IP/icici-prudential-life-signature-ulip-bluechip-fund-IIP1016.html?classic=true</t>
  </si>
  <si>
    <t>https://www.iciciprulife.com/fund-performance/funds-nav-history.html?fundCode=DLIF</t>
  </si>
  <si>
    <t>Official</t>
  </si>
  <si>
    <t>No(more than 1y data not availible)</t>
  </si>
  <si>
    <t>Daily NAV data is available only for the most recent 1 year. For periods exceeding 1 year, the official website provides NAV data at weekly intervals instead of daily intervals.</t>
  </si>
  <si>
    <t xml:space="preserve">https://www.moneycontrol.com/insurance/ulip/icici-prudential-life-insurance-IP/icici-prudential-signature-focus-50-fund-IIP1042.html
</t>
  </si>
  <si>
    <t>https://www.iciciprulife.com/fund-performance/funds-nav-history.html?fundCode=ICMF</t>
  </si>
  <si>
    <t>https://www.iciciprulife.com/fund-performance/funds-nav-history.html?fundCode=COPF</t>
  </si>
  <si>
    <t>https://www.iciciprulife.com/fund-performance/funds-nav-history.html?fundCode=LMCF</t>
  </si>
  <si>
    <t>https://www.moneycontrol.com/insurance/ulip/icici-prudential-life-insurance-IP/icici-prudential-life-signature-ulip-maximise-india-fund-IIP1019.html?classic=true</t>
  </si>
  <si>
    <t>https://www.iciciprulife.com/fund-performance/funds-nav-history.html?fundCode=5GTH</t>
  </si>
  <si>
    <t>https://www.moneycontrol.com/insurance/ulip/icici-prudential-life-insurance-IP/icici-prudential-signature-mid-cap-150-momentum-50-index-fund-IIP1061.html</t>
  </si>
  <si>
    <t xml:space="preserve">https://www.iciciprulife.com/fund-performance/funds-nav-history.html?fundCode=IMCF
</t>
  </si>
  <si>
    <t>https://www.iciciprulife.com/fund-performance/funds-nav-history.html?fundCode=IND</t>
  </si>
  <si>
    <t>https://www.moneycontrol.com/insurance/ulip/icici-prudential-life-insurance-IP/icici-pru1-wealth-plan-midsmall-cap-400-index-fund-IIP1041.html</t>
  </si>
  <si>
    <t>https://www.moneycontrol.com/insurance/ulip/icici-prudential-life-insurance-IP/icici-prudential-platinum-plan-midsmallcap-400-momentum-quality-100-index-fund-IIP1087.html</t>
  </si>
  <si>
    <t>https://www.iciciprulife.com/fund-performance/funds-nav-history.html?fundCode=CMGF</t>
  </si>
  <si>
    <t>https://www.moneycontrol.com/insurance/ulip/icici-prudential-life-insurance-IP/icici-prudential-signature-multicap-50-25-25-index-fund-IIP1062.html?classic=true</t>
  </si>
  <si>
    <t>https://www.iciciprulife.com/fund-performance/funds-nav-history.html?fundCode=NAI</t>
  </si>
  <si>
    <t>https://www.iciciprulife.com/fund-performance/funds-nav-history.html?fundCode=OPPF</t>
  </si>
  <si>
    <t>https://www.iciciprulife.com/fund-performance/funds-nav-history.html?fundCode=SLIF</t>
  </si>
  <si>
    <t>https://www.iciciprulife.com/fund-performance/funds-nav-history.html?fundCode=SCIF</t>
  </si>
  <si>
    <t>https://www.moneycontrol.com/insurance/ulip/icici-prudential-life-insurance-IP/icici-prudential-signature-smallcap250-momentum-quality-100-index-fund-IIP1064.html</t>
  </si>
  <si>
    <t>http://iciciprulife.com/fund-performance/funds-nav-history.html?fundCode=SNEF</t>
  </si>
  <si>
    <t>https://www.iciciprulife.com/fund-performance/funds-nav-history.html?fundCode=VEEF</t>
  </si>
  <si>
    <t>https://www.moneycontrol.com/insurance/ulip/icici-prudential-life-insurance-IP/icici-pru-assure-pension-pension-bluechip-fund-IIP437.html?classic=true</t>
  </si>
  <si>
    <t>https://www.iciciprulife.com/fund-performance/funds-nav-history.html?fundCode=PICF</t>
  </si>
  <si>
    <t>https://www.iciciprulife.com/fund-performance/funds-nav-history.html?fundCode=PIGF</t>
  </si>
  <si>
    <t>https://www.iciciprulife.com/fund-performance/funds-nav-history.html?fundCode=PCMG</t>
  </si>
  <si>
    <t>https://www.iciciprulife.com/fund-performance/funds-nav-history.html?fundCode=POPF</t>
  </si>
  <si>
    <t>HDFC Life</t>
  </si>
  <si>
    <t>Diversified Equity Fund</t>
  </si>
  <si>
    <t>ULIF05501/08/13DivrEqtyFd101</t>
  </si>
  <si>
    <t>https://www.hdfclife.com/fund-performance</t>
  </si>
  <si>
    <t>Automatic</t>
  </si>
  <si>
    <t>Blue Chip Fund</t>
  </si>
  <si>
    <t>ULIF03501/01/10BlueChipFd101</t>
  </si>
  <si>
    <t>Balanced Fund</t>
  </si>
  <si>
    <t>ULIF03901/09/10BalancedFd101</t>
  </si>
  <si>
    <t>Bond Fund</t>
  </si>
  <si>
    <t>ULIF05601/08/13BondFunds101</t>
  </si>
  <si>
    <t>Discovery Fund</t>
  </si>
  <si>
    <t>ULIF06618/01/18DiscvryFnd101</t>
  </si>
  <si>
    <t>Equity Advantage Fund</t>
  </si>
  <si>
    <t>ULIF06723/03/18EqtyAdvtFd101</t>
  </si>
  <si>
    <t>ULIF03601/01/10OpprtntyFd101</t>
  </si>
  <si>
    <t>Liquid Fund</t>
  </si>
  <si>
    <t>ULIF00102/01/04LiquidFund101</t>
  </si>
  <si>
    <t>Bond Plus Fund</t>
  </si>
  <si>
    <t>ULIF06814/06/19BondPlusFd101</t>
  </si>
  <si>
    <t>Secure Advantage Fund</t>
  </si>
  <si>
    <t>ULIF06914/06/19SecAdvFund101</t>
  </si>
  <si>
    <t>ULIF07019/07/21SustnblEqF101</t>
  </si>
  <si>
    <t>Flexi Cap Fund</t>
  </si>
  <si>
    <t>ULIF07114/07/23FlexiCapFd101</t>
  </si>
  <si>
    <t>Midcap Momentum Fund</t>
  </si>
  <si>
    <t>ULIF07317/01/24MidCpMoIdx101</t>
  </si>
  <si>
    <t>Nifty Alpha 30 Fund</t>
  </si>
  <si>
    <t>ULIF07528/05/24AlphaIdxFd101</t>
  </si>
  <si>
    <t>Top 500 Momentum 50 Fund</t>
  </si>
  <si>
    <t>ULIF07616/10/24Top500MoFd101</t>
  </si>
  <si>
    <t>ULIF08028/02/25DynamicFnd101</t>
  </si>
  <si>
    <t>Top 300 Alpha 50 Fund</t>
  </si>
  <si>
    <t>ULIF07828/02/25Alpha300Fd101</t>
  </si>
  <si>
    <t>Top 500 Multifactor 50 Fund</t>
  </si>
  <si>
    <t>ULIF08219/09/25TopMF500Fd101</t>
  </si>
  <si>
    <t>India Consumption Advantage Fund</t>
  </si>
  <si>
    <t>ULIF08421/11/25InCnsmAdFd101</t>
  </si>
  <si>
    <t>India Sector Leaders Opportunities Fund</t>
  </si>
  <si>
    <t>ULIF08602/03/26InSctrLdrFd101</t>
  </si>
  <si>
    <t>ULIF 064 12/09/22 EOF 110</t>
  </si>
  <si>
    <t>https://www.tataaia.com/customer-service/fund-performance.html</t>
  </si>
  <si>
    <t>manual download</t>
  </si>
  <si>
    <t>ULIF 065 12/09/22 ESG 110</t>
  </si>
  <si>
    <t>ULIF 066 12/09/22 DAF 110</t>
  </si>
  <si>
    <t>ULIF 060 15/07/14 MCF 110</t>
  </si>
  <si>
    <t>ULIF 061 15/07/14 ICF 110</t>
  </si>
  <si>
    <t>ULIF026 12/01/09 ITF 110</t>
  </si>
  <si>
    <t>ULIF 027 12/01/09 ITT 110</t>
  </si>
  <si>
    <t>ULIF 035 16/10/09 TSS 110</t>
  </si>
  <si>
    <t>ULIF017 07/01/08 TLC 110</t>
  </si>
  <si>
    <t>ULIF 010 04/01/07 WLA 110</t>
  </si>
  <si>
    <t>ULIF 011 04/01/07 WLS 110</t>
  </si>
  <si>
    <t>ULIF 012 04/01/07 WLI 110</t>
  </si>
  <si>
    <t>ULIF 013 04/01/07 WLF 110</t>
  </si>
  <si>
    <t>ULIF 068 25/04/23 FGF 110</t>
  </si>
  <si>
    <t>ULIF 071 22/05/23 SCF 110</t>
  </si>
  <si>
    <t>ULIF 073 17/01/24 RIF 110</t>
  </si>
  <si>
    <t>ULIF 075 09/05/24 MIF 110</t>
  </si>
  <si>
    <t>ULIF 077 30/09/24 NAF 110</t>
  </si>
  <si>
    <t>ULIF 078 31/12/24 MQI 110</t>
  </si>
  <si>
    <t>ULIF 088 31/03/25 TBC 110</t>
  </si>
  <si>
    <t>ULIF 092 25/08/25 MFI 110</t>
  </si>
  <si>
    <t>ULIF 093 15/09/25 SLI 110</t>
  </si>
  <si>
    <t>2025-07-31</t>
  </si>
  <si>
    <t>41.0283</t>
  </si>
  <si>
    <t>2025-08-01</t>
  </si>
  <si>
    <t>40.6701</t>
  </si>
  <si>
    <t>2025-08-04</t>
  </si>
  <si>
    <t>40.9324</t>
  </si>
  <si>
    <t>2025-08-05</t>
  </si>
  <si>
    <t>40.8251</t>
  </si>
  <si>
    <t>2025-08-06</t>
  </si>
  <si>
    <t>40.6593</t>
  </si>
  <si>
    <t>2025-08-07</t>
  </si>
  <si>
    <t>40.7099</t>
  </si>
  <si>
    <t>2025-08-08</t>
  </si>
  <si>
    <t>40.3197</t>
  </si>
  <si>
    <t>2025-08-11</t>
  </si>
  <si>
    <t>40.6397</t>
  </si>
  <si>
    <t>2025-08-12</t>
  </si>
  <si>
    <t>40.5809</t>
  </si>
  <si>
    <t>2025-08-13</t>
  </si>
  <si>
    <t>40.808</t>
  </si>
  <si>
    <t>2025-08-14</t>
  </si>
  <si>
    <t>40.7806</t>
  </si>
  <si>
    <t>2025-08-18</t>
  </si>
  <si>
    <t>41.204</t>
  </si>
  <si>
    <t>2025-08-19</t>
  </si>
  <si>
    <t>41.4481</t>
  </si>
  <si>
    <t>2025-08-20</t>
  </si>
  <si>
    <t>41.5903</t>
  </si>
  <si>
    <t>2025-08-21</t>
  </si>
  <si>
    <t>41.6046</t>
  </si>
  <si>
    <t>2025-08-22</t>
  </si>
  <si>
    <t>41.2763</t>
  </si>
  <si>
    <t>2025-08-25</t>
  </si>
  <si>
    <t>41.4576</t>
  </si>
  <si>
    <t>2025-08-26</t>
  </si>
  <si>
    <t>41.0225</t>
  </si>
  <si>
    <t>2025-08-28</t>
  </si>
  <si>
    <t>40.6677</t>
  </si>
  <si>
    <t>2025-08-29</t>
  </si>
  <si>
    <t>40.541</t>
  </si>
  <si>
    <t>2025-09-01</t>
  </si>
  <si>
    <t>40.9508</t>
  </si>
  <si>
    <t>2025-09-02</t>
  </si>
  <si>
    <t>40.9124</t>
  </si>
  <si>
    <t>2025-09-03</t>
  </si>
  <si>
    <t>41.118</t>
  </si>
  <si>
    <t>2025-09-04</t>
  </si>
  <si>
    <t>41.1078</t>
  </si>
  <si>
    <t>2025-09-05</t>
  </si>
  <si>
    <t>41.121</t>
  </si>
  <si>
    <t>2025-09-08</t>
  </si>
  <si>
    <t>41.1904</t>
  </si>
  <si>
    <t>2025-09-09</t>
  </si>
  <si>
    <t>41.3645</t>
  </si>
  <si>
    <t>2025-09-10</t>
  </si>
  <si>
    <t>41.5718</t>
  </si>
  <si>
    <t>2025-09-11</t>
  </si>
  <si>
    <t>41.6219</t>
  </si>
  <si>
    <t>2025-09-12</t>
  </si>
  <si>
    <t>41.8002</t>
  </si>
  <si>
    <t>2025-09-15</t>
  </si>
  <si>
    <t>41.7435</t>
  </si>
  <si>
    <t>2025-09-16</t>
  </si>
  <si>
    <t>42.0341</t>
  </si>
  <si>
    <t>2025-09-17</t>
  </si>
  <si>
    <t>42.1892</t>
  </si>
  <si>
    <t>2025-09-18</t>
  </si>
  <si>
    <t>42.3142</t>
  </si>
  <si>
    <t>2025-09-19</t>
  </si>
  <si>
    <t>42.191</t>
  </si>
  <si>
    <t>2025-09-22</t>
  </si>
  <si>
    <t>41.929</t>
  </si>
  <si>
    <t>2025-09-23</t>
  </si>
  <si>
    <t>41.8924</t>
  </si>
  <si>
    <t>2025-09-24</t>
  </si>
  <si>
    <t>41.688</t>
  </si>
  <si>
    <t>2025-09-25</t>
  </si>
  <si>
    <t>41.4284</t>
  </si>
  <si>
    <t>2025-09-26</t>
  </si>
  <si>
    <t>40.9444</t>
  </si>
  <si>
    <t>2025-09-29</t>
  </si>
  <si>
    <t>40.9268</t>
  </si>
  <si>
    <t>2025-09-30</t>
  </si>
  <si>
    <t>40.8926</t>
  </si>
  <si>
    <t>2025-10-01</t>
  </si>
  <si>
    <t>41.243</t>
  </si>
  <si>
    <t>2025-10-03</t>
  </si>
  <si>
    <t>41.4052</t>
  </si>
  <si>
    <t>2025-10-06</t>
  </si>
  <si>
    <t>41.7179</t>
  </si>
  <si>
    <t>2025-10-07</t>
  </si>
  <si>
    <t>41.7617</t>
  </si>
  <si>
    <t>2025-10-08</t>
  </si>
  <si>
    <t>41.6028</t>
  </si>
  <si>
    <t>2025-10-09</t>
  </si>
  <si>
    <t>41.7902</t>
  </si>
  <si>
    <t>2025-10-10</t>
  </si>
  <si>
    <t>41.9664</t>
  </si>
  <si>
    <t>2025-10-13</t>
  </si>
  <si>
    <t>41.839</t>
  </si>
  <si>
    <t>2025-10-14</t>
  </si>
  <si>
    <t>41.7045</t>
  </si>
  <si>
    <t>2025-10-15</t>
  </si>
  <si>
    <t>41.983</t>
  </si>
  <si>
    <t>2025-10-16</t>
  </si>
  <si>
    <t>42.377</t>
  </si>
  <si>
    <t>2025-10-17</t>
  </si>
  <si>
    <t>42.5308</t>
  </si>
  <si>
    <t>2025-10-20</t>
  </si>
  <si>
    <t>42.7645</t>
  </si>
  <si>
    <t>2025-10-23</t>
  </si>
  <si>
    <t>42.9583</t>
  </si>
  <si>
    <t>2025-10-24</t>
  </si>
  <si>
    <t>42.7685</t>
  </si>
  <si>
    <t>2025-10-27</t>
  </si>
  <si>
    <t>43.0494</t>
  </si>
  <si>
    <t>2025-10-28</t>
  </si>
  <si>
    <t>42.999</t>
  </si>
  <si>
    <t>2025-10-29</t>
  </si>
  <si>
    <t>43.2391</t>
  </si>
  <si>
    <t>2025-10-30</t>
  </si>
  <si>
    <t>42.9616</t>
  </si>
  <si>
    <t>2025-10-31</t>
  </si>
  <si>
    <t>42.7217</t>
  </si>
  <si>
    <t>2025-11-03</t>
  </si>
  <si>
    <t>42.8165</t>
  </si>
  <si>
    <t>2025-11-04</t>
  </si>
  <si>
    <t>42.5808</t>
  </si>
  <si>
    <t>2025-11-06</t>
  </si>
  <si>
    <t>42.3487</t>
  </si>
  <si>
    <t>2025-11-07</t>
  </si>
  <si>
    <t>42.3202</t>
  </si>
  <si>
    <t>2025-11-10</t>
  </si>
  <si>
    <t>42.5124</t>
  </si>
  <si>
    <t>2025-11-11</t>
  </si>
  <si>
    <t>42.6833</t>
  </si>
  <si>
    <t>2025-11-12</t>
  </si>
  <si>
    <t>42.9625</t>
  </si>
  <si>
    <t>2025-11-13</t>
  </si>
  <si>
    <t>42.952</t>
  </si>
  <si>
    <t>2025-11-14</t>
  </si>
  <si>
    <t>42.9679</t>
  </si>
  <si>
    <t>2025-11-17</t>
  </si>
  <si>
    <t>43.1942</t>
  </si>
  <si>
    <t>2025-11-18</t>
  </si>
  <si>
    <t>43.0354</t>
  </si>
  <si>
    <t>2025-11-19</t>
  </si>
  <si>
    <t>43.2595</t>
  </si>
  <si>
    <t>2025-11-20</t>
  </si>
  <si>
    <t>43.4403</t>
  </si>
  <si>
    <t>2025-11-21</t>
  </si>
  <si>
    <t>43.2064</t>
  </si>
  <si>
    <t>2025-11-24</t>
  </si>
  <si>
    <t>43.0414</t>
  </si>
  <si>
    <t>2025-11-25</t>
  </si>
  <si>
    <t>42.9721</t>
  </si>
  <si>
    <t>2025-11-26</t>
  </si>
  <si>
    <t>43.4942</t>
  </si>
  <si>
    <t>2025-11-27</t>
  </si>
  <si>
    <t>43.5349</t>
  </si>
  <si>
    <t>2025-11-28</t>
  </si>
  <si>
    <t>43.5131</t>
  </si>
  <si>
    <t>2025-12-01</t>
  </si>
  <si>
    <t>43.4749</t>
  </si>
  <si>
    <t>2025-12-02</t>
  </si>
  <si>
    <t>43.3143</t>
  </si>
  <si>
    <t>2025-12-03</t>
  </si>
  <si>
    <t>43.1839</t>
  </si>
  <si>
    <t>2025-12-04</t>
  </si>
  <si>
    <t>43.2626</t>
  </si>
  <si>
    <t>2025-12-05</t>
  </si>
  <si>
    <t>43.4696</t>
  </si>
  <si>
    <t>2025-12-08</t>
  </si>
  <si>
    <t>43.0566</t>
  </si>
  <si>
    <t>2025-12-09</t>
  </si>
  <si>
    <t>42.9342</t>
  </si>
  <si>
    <t>2025-12-10</t>
  </si>
  <si>
    <t>42.7892</t>
  </si>
  <si>
    <t>2025-12-11</t>
  </si>
  <si>
    <t>43.0064</t>
  </si>
  <si>
    <t>2025-12-12</t>
  </si>
  <si>
    <t>43.2713</t>
  </si>
  <si>
    <t>2025-12-15</t>
  </si>
  <si>
    <t>43.2681</t>
  </si>
  <si>
    <t>2025-12-16</t>
  </si>
  <si>
    <t>42.957</t>
  </si>
  <si>
    <t>2025-12-17</t>
  </si>
  <si>
    <t>42.8878</t>
  </si>
  <si>
    <t>2025-12-18</t>
  </si>
  <si>
    <t>42.9122</t>
  </si>
  <si>
    <t>2025-12-19</t>
  </si>
  <si>
    <t>43.3199</t>
  </si>
  <si>
    <t>2025-12-22</t>
  </si>
  <si>
    <t>43.6686</t>
  </si>
  <si>
    <t>2025-12-23</t>
  </si>
  <si>
    <t>43.7045</t>
  </si>
  <si>
    <t>2025-12-24</t>
  </si>
  <si>
    <t>43.6304</t>
  </si>
  <si>
    <t>2025-12-26</t>
  </si>
  <si>
    <t>43.4849</t>
  </si>
  <si>
    <t>2025-12-29</t>
  </si>
  <si>
    <t>43.3262</t>
  </si>
  <si>
    <t>2025-12-30</t>
  </si>
  <si>
    <t>43.3672</t>
  </si>
  <si>
    <t>2025-12-31</t>
  </si>
  <si>
    <t>43.6755</t>
  </si>
  <si>
    <t>2026-01-01</t>
  </si>
  <si>
    <t>43.7218</t>
  </si>
  <si>
    <t>2026-01-02</t>
  </si>
  <si>
    <t>44.0461</t>
  </si>
  <si>
    <t>2026-01-05</t>
  </si>
  <si>
    <t>43.8989</t>
  </si>
  <si>
    <t>2026-01-06</t>
  </si>
  <si>
    <t>43.8301</t>
  </si>
  <si>
    <t>2026-01-07</t>
  </si>
  <si>
    <t>43.7736</t>
  </si>
  <si>
    <t>2026-01-08</t>
  </si>
  <si>
    <t>43.2221</t>
  </si>
  <si>
    <t>2026-01-09</t>
  </si>
  <si>
    <t>42.8686</t>
  </si>
  <si>
    <t>2026-01-12</t>
  </si>
  <si>
    <t>43.0146</t>
  </si>
  <si>
    <t>2026-01-13</t>
  </si>
  <si>
    <t>42.9396</t>
  </si>
  <si>
    <t>2026-01-14</t>
  </si>
  <si>
    <t>42.9052</t>
  </si>
  <si>
    <t>2026-01-16</t>
  </si>
  <si>
    <t>43.0526</t>
  </si>
  <si>
    <t>2026-01-19</t>
  </si>
  <si>
    <t>42.8871</t>
  </si>
  <si>
    <t>2026-01-20</t>
  </si>
  <si>
    <t>42.2498</t>
  </si>
  <si>
    <t>2026-01-21</t>
  </si>
  <si>
    <t>42.0872</t>
  </si>
  <si>
    <t>2026-01-22</t>
  </si>
  <si>
    <t>42.3605</t>
  </si>
  <si>
    <t>2026-01-23</t>
  </si>
  <si>
    <t>41.9942</t>
  </si>
  <si>
    <t>2026-01-27</t>
  </si>
  <si>
    <t>42.2009</t>
  </si>
  <si>
    <t>2026-01-28</t>
  </si>
  <si>
    <t>42.5521</t>
  </si>
  <si>
    <t>2026-01-29</t>
  </si>
  <si>
    <t>42.7011</t>
  </si>
  <si>
    <t>2026-01-30</t>
  </si>
  <si>
    <t>42.5204</t>
  </si>
  <si>
    <t>2026-02-01</t>
  </si>
  <si>
    <t>41.7483</t>
  </si>
  <si>
    <t>2026-02-02</t>
  </si>
  <si>
    <t>42.0514</t>
  </si>
  <si>
    <t>2026-02-03</t>
  </si>
  <si>
    <t>43.0756</t>
  </si>
  <si>
    <t>2026-02-04</t>
  </si>
  <si>
    <t>43.1587</t>
  </si>
  <si>
    <t>2026-02-05</t>
  </si>
  <si>
    <t>42.9769</t>
  </si>
  <si>
    <t>2026-02-06</t>
  </si>
  <si>
    <t>2026-02-09</t>
  </si>
  <si>
    <t>43.3986</t>
  </si>
  <si>
    <t>2026-02-10</t>
  </si>
  <si>
    <t>43.5852</t>
  </si>
  <si>
    <t>2026-02-11</t>
  </si>
  <si>
    <t>43.5948</t>
  </si>
  <si>
    <t>2026-02-12</t>
  </si>
  <si>
    <t>43.3083</t>
  </si>
  <si>
    <t>2026-02-13</t>
  </si>
  <si>
    <t>42.7779</t>
  </si>
  <si>
    <t>2026-02-16</t>
  </si>
  <si>
    <t>43.1046</t>
  </si>
  <si>
    <t>2026-02-17</t>
  </si>
  <si>
    <t>43.2112</t>
  </si>
  <si>
    <t>2026-02-18</t>
  </si>
  <si>
    <t>43.3884</t>
  </si>
  <si>
    <t>2026-02-19</t>
  </si>
  <si>
    <t>42.8034</t>
  </si>
  <si>
    <t>2026-02-20</t>
  </si>
  <si>
    <t>43.0191</t>
  </si>
  <si>
    <t>2026-02-23</t>
  </si>
  <si>
    <t>43.2219</t>
  </si>
  <si>
    <t>2026-02-24</t>
  </si>
  <si>
    <t>42.8519</t>
  </si>
  <si>
    <t>2026-02-25</t>
  </si>
  <si>
    <t>43.0554</t>
  </si>
  <si>
    <t>2026-02-26</t>
  </si>
  <si>
    <t>43.0993</t>
  </si>
  <si>
    <t>2026-02-27</t>
  </si>
  <si>
    <t>42.6489</t>
  </si>
  <si>
    <t>2026-03-02</t>
  </si>
  <si>
    <t>42.0757</t>
  </si>
  <si>
    <t>2026-03-04</t>
  </si>
  <si>
    <t>41.3496</t>
  </si>
  <si>
    <t>2026-03-05</t>
  </si>
  <si>
    <t>41.8205</t>
  </si>
  <si>
    <t>2026-03-06</t>
  </si>
  <si>
    <t>41.3728</t>
  </si>
  <si>
    <t>2026-03-09</t>
  </si>
  <si>
    <t>40.4644</t>
  </si>
  <si>
    <t>2026-03-10</t>
  </si>
  <si>
    <t>40.9474</t>
  </si>
  <si>
    <t>2026-03-11</t>
  </si>
  <si>
    <t>40.3116</t>
  </si>
  <si>
    <t>2026-03-12</t>
  </si>
  <si>
    <t>39.9664</t>
  </si>
  <si>
    <t>2026-03-13</t>
  </si>
  <si>
    <t>39.0848</t>
  </si>
  <si>
    <t>2026-03-16</t>
  </si>
  <si>
    <t>39.3859</t>
  </si>
  <si>
    <t>2026-03-17</t>
  </si>
  <si>
    <t>39.6921</t>
  </si>
  <si>
    <t>2026-03-18</t>
  </si>
  <si>
    <t>40.0718</t>
  </si>
  <si>
    <t>2026-03-19</t>
  </si>
  <si>
    <t>38.7967</t>
  </si>
  <si>
    <t>2026-03-20</t>
  </si>
  <si>
    <t>38.9797</t>
  </si>
  <si>
    <t>2026-03-23</t>
  </si>
  <si>
    <t>37.9069</t>
  </si>
  <si>
    <t>2026-03-24</t>
  </si>
  <si>
    <t>38.5926</t>
  </si>
  <si>
    <t>2026-03-25</t>
  </si>
  <si>
    <t>39.2615</t>
  </si>
  <si>
    <t>2026-03-27</t>
  </si>
  <si>
    <t>38.4823</t>
  </si>
  <si>
    <t>2026-03-30</t>
  </si>
  <si>
    <t>37.5938</t>
  </si>
  <si>
    <t>2026-03-31</t>
  </si>
  <si>
    <t>37.5924</t>
  </si>
  <si>
    <t>2026-04-01</t>
  </si>
  <si>
    <t>38.1756</t>
  </si>
  <si>
    <t>2026-04-02</t>
  </si>
  <si>
    <t>38.2658</t>
  </si>
  <si>
    <t>2026-04-06</t>
  </si>
  <si>
    <t>38.687</t>
  </si>
  <si>
    <t>2026-04-07</t>
  </si>
  <si>
    <t>38.9312</t>
  </si>
  <si>
    <t>2026-04-08</t>
  </si>
  <si>
    <t>40.3894</t>
  </si>
  <si>
    <t>2026-04-09</t>
  </si>
  <si>
    <t>40.0981</t>
  </si>
  <si>
    <t>2026-04-10</t>
  </si>
  <si>
    <t>40.5921</t>
  </si>
  <si>
    <t>2026-04-13</t>
  </si>
  <si>
    <t>40.2904</t>
  </si>
  <si>
    <t>2026-04-15</t>
  </si>
  <si>
    <t>40.9253</t>
  </si>
  <si>
    <t>2026-04-16</t>
  </si>
  <si>
    <t>40.9369</t>
  </si>
  <si>
    <t>2026-04-17</t>
  </si>
  <si>
    <t>41.2424</t>
  </si>
  <si>
    <t>2026-04-20</t>
  </si>
  <si>
    <t>41.2299</t>
  </si>
  <si>
    <t>2026-04-21</t>
  </si>
  <si>
    <t>41.5365</t>
  </si>
  <si>
    <t>2026-04-22</t>
  </si>
  <si>
    <t>41.2874</t>
  </si>
  <si>
    <t>2026-04-23</t>
  </si>
  <si>
    <t>40.9443</t>
  </si>
  <si>
    <t>2026-04-24</t>
  </si>
  <si>
    <t>40.4583</t>
  </si>
  <si>
    <t>2026-04-27</t>
  </si>
  <si>
    <t>40.8308</t>
  </si>
  <si>
    <t>2026-04-28</t>
  </si>
  <si>
    <t>40.6803</t>
  </si>
  <si>
    <t>2026-04-29</t>
  </si>
  <si>
    <t>40.9231</t>
  </si>
  <si>
    <t>2026-04-30</t>
  </si>
  <si>
    <t>40.5788</t>
  </si>
  <si>
    <t>2026-05-04</t>
  </si>
  <si>
    <t>40.7298</t>
  </si>
  <si>
    <t>2026-05-05</t>
  </si>
  <si>
    <t>40.5952</t>
  </si>
  <si>
    <t>2026-05-06</t>
  </si>
  <si>
    <t>41.1436</t>
  </si>
  <si>
    <t>2026-05-07</t>
  </si>
  <si>
    <t>41.1897</t>
  </si>
  <si>
    <t>2026-05-08</t>
  </si>
  <si>
    <t>40.963</t>
  </si>
  <si>
    <t>2026-05-11</t>
  </si>
  <si>
    <t>40.358</t>
  </si>
  <si>
    <t>2026-05-12</t>
  </si>
  <si>
    <t>39.6014</t>
  </si>
  <si>
    <t>2026-05-13</t>
  </si>
  <si>
    <t>39.639</t>
  </si>
  <si>
    <t>2026-05-14</t>
  </si>
  <si>
    <t>40.0295</t>
  </si>
  <si>
    <t>2026-05-15</t>
  </si>
  <si>
    <t>39.997</t>
  </si>
  <si>
    <t>2026-05-18</t>
  </si>
  <si>
    <t>39.8988</t>
  </si>
  <si>
    <t>2026-05-19</t>
  </si>
  <si>
    <t>39.9557</t>
  </si>
  <si>
    <t>2026-05-20</t>
  </si>
  <si>
    <t>40.0052</t>
  </si>
  <si>
    <t>2026-05-21</t>
  </si>
  <si>
    <t>39.9849</t>
  </si>
  <si>
    <t>2026-05-22</t>
  </si>
  <si>
    <t>40.1287</t>
  </si>
  <si>
    <t>2026-05-25</t>
  </si>
  <si>
    <t>40.6237</t>
  </si>
  <si>
    <t>2026-05-26</t>
  </si>
  <si>
    <t>40.4274</t>
  </si>
  <si>
    <t>2026-05-27</t>
  </si>
  <si>
    <t>40.4639</t>
  </si>
  <si>
    <t>2026-05-29</t>
  </si>
  <si>
    <t>39.9222</t>
  </si>
  <si>
    <t>2026-06-01</t>
  </si>
  <si>
    <t>39.5953</t>
  </si>
  <si>
    <t>2026-06-02</t>
  </si>
  <si>
    <t>39.7419</t>
  </si>
  <si>
    <t>2026-06-03</t>
  </si>
  <si>
    <t>39.5529</t>
  </si>
  <si>
    <t>2026-06-04</t>
  </si>
  <si>
    <t>39.611</t>
  </si>
  <si>
    <t>2026-06-05</t>
  </si>
  <si>
    <t>39.5498</t>
  </si>
  <si>
    <t>2026-06-08</t>
  </si>
  <si>
    <t>39.1485</t>
  </si>
  <si>
    <t>2026-06-09</t>
  </si>
  <si>
    <t>39.3953</t>
  </si>
  <si>
    <t>2026-06-10</t>
  </si>
  <si>
    <t>39.313</t>
  </si>
  <si>
    <t>2026-06-11</t>
  </si>
  <si>
    <t>39.1798</t>
  </si>
  <si>
    <t>2026-06-12</t>
  </si>
  <si>
    <t>40.0027</t>
  </si>
  <si>
    <t>2026-06-15</t>
  </si>
  <si>
    <t>40.4443</t>
  </si>
  <si>
    <t>2026-06-16</t>
  </si>
  <si>
    <t>40.6529</t>
  </si>
  <si>
    <t>2026-06-17</t>
  </si>
  <si>
    <t>40.8028</t>
  </si>
  <si>
    <t>2026-06-18</t>
  </si>
  <si>
    <t>40.9336</t>
  </si>
  <si>
    <t>2026-06-19</t>
  </si>
  <si>
    <t>40.7093</t>
  </si>
  <si>
    <t>2026-06-22</t>
  </si>
  <si>
    <t>40.9226</t>
  </si>
  <si>
    <t>2026-06-23</t>
  </si>
  <si>
    <t>40.4756</t>
  </si>
  <si>
    <t>2026-06-24</t>
  </si>
  <si>
    <t>40.797</t>
  </si>
  <si>
    <t>2026-06-25</t>
  </si>
  <si>
    <t>40.8262</t>
  </si>
  <si>
    <t>2026-06-29</t>
  </si>
  <si>
    <t>40.5862</t>
  </si>
  <si>
    <t>2026-06-30</t>
  </si>
  <si>
    <t>40.4555</t>
  </si>
  <si>
    <t>2026-07-01</t>
  </si>
  <si>
    <t>40.634</t>
  </si>
  <si>
    <t>2026-07-02</t>
  </si>
  <si>
    <t>40.9402</t>
  </si>
  <si>
    <t>2026-07-03</t>
  </si>
  <si>
    <t>41.044</t>
  </si>
  <si>
    <t>2026-07-06</t>
  </si>
  <si>
    <t>41.2929</t>
  </si>
  <si>
    <t>2026-07-07</t>
  </si>
  <si>
    <t>41.3054</t>
  </si>
  <si>
    <t>2026-07-08</t>
  </si>
  <si>
    <t>40.4381</t>
  </si>
  <si>
    <t>2026-07-09</t>
  </si>
  <si>
    <t>40.5829</t>
  </si>
  <si>
    <t>2026-07-10</t>
  </si>
  <si>
    <t>41.0177</t>
  </si>
  <si>
    <t>2026-07-13</t>
  </si>
  <si>
    <t>41.0676</t>
  </si>
  <si>
    <t>2026-07-14</t>
  </si>
  <si>
    <t>40.785</t>
  </si>
  <si>
    <t>2026-07-15</t>
  </si>
  <si>
    <t>40.8435</t>
  </si>
  <si>
    <t>2026-07-16</t>
  </si>
  <si>
    <t>40.8305</t>
  </si>
  <si>
    <t>2026-07-17</t>
  </si>
  <si>
    <t>41.2185</t>
  </si>
  <si>
    <t>2026-07-20</t>
  </si>
  <si>
    <t>41.0183</t>
  </si>
  <si>
    <t>2026-07-21</t>
  </si>
  <si>
    <t>40.9775</t>
  </si>
  <si>
    <t>21.286</t>
  </si>
  <si>
    <t>21.3025</t>
  </si>
  <si>
    <t>21.3451</t>
  </si>
  <si>
    <t>21.3299</t>
  </si>
  <si>
    <t>21.2436</t>
  </si>
  <si>
    <t>21.2596</t>
  </si>
  <si>
    <t>21.2562</t>
  </si>
  <si>
    <t>21.204</t>
  </si>
  <si>
    <t>21.1591</t>
  </si>
  <si>
    <t>21.1581</t>
  </si>
  <si>
    <t>21.2278</t>
  </si>
  <si>
    <t>21.1598</t>
  </si>
  <si>
    <t>21.1416</t>
  </si>
  <si>
    <t>21.1662</t>
  </si>
  <si>
    <t>21.1506</t>
  </si>
  <si>
    <t>21.1429</t>
  </si>
  <si>
    <t>21.1051</t>
  </si>
  <si>
    <t>21.0658</t>
  </si>
  <si>
    <t>21.1381</t>
  </si>
  <si>
    <t>21.0846</t>
  </si>
  <si>
    <t>21.0856</t>
  </si>
  <si>
    <t>21.0891</t>
  </si>
  <si>
    <t>21.1199</t>
  </si>
  <si>
    <t>21.1666</t>
  </si>
  <si>
    <t>21.2059</t>
  </si>
  <si>
    <t>21.2152</t>
  </si>
  <si>
    <t>21.2077</t>
  </si>
  <si>
    <t>21.2003</t>
  </si>
  <si>
    <t>21.2052</t>
  </si>
  <si>
    <t>21.208</t>
  </si>
  <si>
    <t>21.2071</t>
  </si>
  <si>
    <t>21.2119</t>
  </si>
  <si>
    <t>21.239</t>
  </si>
  <si>
    <t>21.2219</t>
  </si>
  <si>
    <t>21.2299</t>
  </si>
  <si>
    <t>21.2354</t>
  </si>
  <si>
    <t>21.2515</t>
  </si>
  <si>
    <t>21.2473</t>
  </si>
  <si>
    <t>21.2523</t>
  </si>
  <si>
    <t>21.2535</t>
  </si>
  <si>
    <t>21.2507</t>
  </si>
  <si>
    <t>21.2443</t>
  </si>
  <si>
    <t>21.2896</t>
  </si>
  <si>
    <t>21.3248</t>
  </si>
  <si>
    <t>21.3533</t>
  </si>
  <si>
    <t>21.3705</t>
  </si>
  <si>
    <t>21.3806</t>
  </si>
  <si>
    <t>21.3748</t>
  </si>
  <si>
    <t>21.3812</t>
  </si>
  <si>
    <t>21.4025</t>
  </si>
  <si>
    <t>21.4095</t>
  </si>
  <si>
    <t>21.4326</t>
  </si>
  <si>
    <t>21.4254</t>
  </si>
  <si>
    <t>21.419</t>
  </si>
  <si>
    <t>21.4256</t>
  </si>
  <si>
    <t>21.4126</t>
  </si>
  <si>
    <t>21.3998</t>
  </si>
  <si>
    <t>21.4002</t>
  </si>
  <si>
    <t>21.3971</t>
  </si>
  <si>
    <t>21.4004</t>
  </si>
  <si>
    <t>21.3663</t>
  </si>
  <si>
    <t>21.383</t>
  </si>
  <si>
    <t>21.3873</t>
  </si>
  <si>
    <t>21.3956</t>
  </si>
  <si>
    <t>21.4133</t>
  </si>
  <si>
    <t>21.4189</t>
  </si>
  <si>
    <t>21.4318</t>
  </si>
  <si>
    <t>21.4305</t>
  </si>
  <si>
    <t>21.421</t>
  </si>
  <si>
    <t>21.404</t>
  </si>
  <si>
    <t>21.3969</t>
  </si>
  <si>
    <t>21.405</t>
  </si>
  <si>
    <t>21.4138</t>
  </si>
  <si>
    <t>21.4241</t>
  </si>
  <si>
    <t>21.4094</t>
  </si>
  <si>
    <t>21.4359</t>
  </si>
  <si>
    <t>21.4554</t>
  </si>
  <si>
    <t>21.4714</t>
  </si>
  <si>
    <t>21.4721</t>
  </si>
  <si>
    <t>21.4476</t>
  </si>
  <si>
    <t>21.4208</t>
  </si>
  <si>
    <t>21.4403</t>
  </si>
  <si>
    <t>21.4344</t>
  </si>
  <si>
    <t>21.4365</t>
  </si>
  <si>
    <t>21.4635</t>
  </si>
  <si>
    <t>21.452</t>
  </si>
  <si>
    <t>21.3926</t>
  </si>
  <si>
    <t>21.3559</t>
  </si>
  <si>
    <t>21.3771</t>
  </si>
  <si>
    <t>21.3829</t>
  </si>
  <si>
    <t>21.3833</t>
  </si>
  <si>
    <t>21.3935</t>
  </si>
  <si>
    <t>21.385</t>
  </si>
  <si>
    <t>21.3919</t>
  </si>
  <si>
    <t>21.389</t>
  </si>
  <si>
    <t>21.3445</t>
  </si>
  <si>
    <t>21.3625</t>
  </si>
  <si>
    <t>21.445</t>
  </si>
  <si>
    <t>21.4324</t>
  </si>
  <si>
    <t>21.4352</t>
  </si>
  <si>
    <t>21.4446</t>
  </si>
  <si>
    <t>21.4405</t>
  </si>
  <si>
    <t>21.4354</t>
  </si>
  <si>
    <t>21.4013</t>
  </si>
  <si>
    <t>21.4021</t>
  </si>
  <si>
    <t>21.4045</t>
  </si>
  <si>
    <t>21.3911</t>
  </si>
  <si>
    <t>21.3899</t>
  </si>
  <si>
    <t>21.4127</t>
  </si>
  <si>
    <t>21.3937</t>
  </si>
  <si>
    <t>21.3346</t>
  </si>
  <si>
    <t>21.3221</t>
  </si>
  <si>
    <t>21.3178</t>
  </si>
  <si>
    <t>21.3243</t>
  </si>
  <si>
    <t>21.3468</t>
  </si>
  <si>
    <t>21.3425</t>
  </si>
  <si>
    <t>21.3286</t>
  </si>
  <si>
    <t>21.3373</t>
  </si>
  <si>
    <t>21.3731</t>
  </si>
  <si>
    <t>21.3796</t>
  </si>
  <si>
    <t>21.3241</t>
  </si>
  <si>
    <t>21.3624</t>
  </si>
  <si>
    <t>21.4048</t>
  </si>
  <si>
    <t>21.4482</t>
  </si>
  <si>
    <t>21.3645</t>
  </si>
  <si>
    <t>21.3538</t>
  </si>
  <si>
    <t>21.3678</t>
  </si>
  <si>
    <t>21.3985</t>
  </si>
  <si>
    <t>21.4248</t>
  </si>
  <si>
    <t>21.4417</t>
  </si>
  <si>
    <t>21.4657</t>
  </si>
  <si>
    <t>21.4795</t>
  </si>
  <si>
    <t>21.4678</t>
  </si>
  <si>
    <t>21.4711</t>
  </si>
  <si>
    <t>21.4448</t>
  </si>
  <si>
    <t>21.4627</t>
  </si>
  <si>
    <t>21.4755</t>
  </si>
  <si>
    <t>21.4948</t>
  </si>
  <si>
    <t>21.5003</t>
  </si>
  <si>
    <t>21.5236</t>
  </si>
  <si>
    <t>21.5179</t>
  </si>
  <si>
    <t>21.4814</t>
  </si>
  <si>
    <t>21.5067</t>
  </si>
  <si>
    <t>21.4841</t>
  </si>
  <si>
    <t>21.4506</t>
  </si>
  <si>
    <t>21.5002</t>
  </si>
  <si>
    <t>21.4906</t>
  </si>
  <si>
    <t>21.4645</t>
  </si>
  <si>
    <t>21.4395</t>
  </si>
  <si>
    <t>21.4149</t>
  </si>
  <si>
    <t>21.4164</t>
  </si>
  <si>
    <t>21.426</t>
  </si>
  <si>
    <t>21.4295</t>
  </si>
  <si>
    <t>21.4081</t>
  </si>
  <si>
    <t>21.3185</t>
  </si>
  <si>
    <t>21.2883</t>
  </si>
  <si>
    <t>21.2826</t>
  </si>
  <si>
    <t>21.2287</t>
  </si>
  <si>
    <t>21.2116</t>
  </si>
  <si>
    <t>21.215</t>
  </si>
  <si>
    <t>21.2184</t>
  </si>
  <si>
    <t>21.1566</t>
  </si>
  <si>
    <t>21.2127</t>
  </si>
  <si>
    <t>21.2244</t>
  </si>
  <si>
    <t>21.3411</t>
  </si>
  <si>
    <t>21.336</t>
  </si>
  <si>
    <t>21.3744</t>
  </si>
  <si>
    <t>21.364</t>
  </si>
  <si>
    <t>21.4311</t>
  </si>
  <si>
    <t>21.4341</t>
  </si>
  <si>
    <t>21.4292</t>
  </si>
  <si>
    <t>21.4465</t>
  </si>
  <si>
    <t>21.4519</t>
  </si>
  <si>
    <t>21.4469</t>
  </si>
  <si>
    <t>21.4134</t>
  </si>
  <si>
    <t>21.394</t>
  </si>
  <si>
    <t>21.4052</t>
  </si>
  <si>
    <t>21.3782</t>
  </si>
  <si>
    <t>21.3437</t>
  </si>
  <si>
    <t>21.3667</t>
  </si>
  <si>
    <t>21.346</t>
  </si>
  <si>
    <t>21.4242</t>
  </si>
  <si>
    <t>21.4392</t>
  </si>
  <si>
    <t>21.4238</t>
  </si>
  <si>
    <t>21.3848</t>
  </si>
  <si>
    <t>21.3595</t>
  </si>
  <si>
    <t>21.3574</t>
  </si>
  <si>
    <t>21.3679</t>
  </si>
  <si>
    <t>21.3323</t>
  </si>
  <si>
    <t>21.2619</t>
  </si>
  <si>
    <t>21.273</t>
  </si>
  <si>
    <t>21.2834</t>
  </si>
  <si>
    <t>21.2603</t>
  </si>
  <si>
    <t>21.2822</t>
  </si>
  <si>
    <t>21.34</t>
  </si>
  <si>
    <t>21.3452</t>
  </si>
  <si>
    <t>21.3614</t>
  </si>
  <si>
    <t>21.371</t>
  </si>
  <si>
    <t>21.3724</t>
  </si>
  <si>
    <t>21.3747</t>
  </si>
  <si>
    <t>21.4034</t>
  </si>
  <si>
    <t>21.4854</t>
  </si>
  <si>
    <t>21.5401</t>
  </si>
  <si>
    <t>21.6061</t>
  </si>
  <si>
    <t>21.602</t>
  </si>
  <si>
    <t>21.5862</t>
  </si>
  <si>
    <t>21.6228</t>
  </si>
  <si>
    <t>21.6649</t>
  </si>
  <si>
    <t>21.6747</t>
  </si>
  <si>
    <t>21.6673</t>
  </si>
  <si>
    <t>21.7018</t>
  </si>
  <si>
    <t>21.6855</t>
  </si>
  <si>
    <t>21.715</t>
  </si>
  <si>
    <t>21.7411</t>
  </si>
  <si>
    <t>21.782</t>
  </si>
  <si>
    <t>21.8469</t>
  </si>
  <si>
    <t>21.8825</t>
  </si>
  <si>
    <t>21.9107</t>
  </si>
  <si>
    <t>21.91</t>
  </si>
  <si>
    <t>21.9409</t>
  </si>
  <si>
    <t>21.9357</t>
  </si>
  <si>
    <t>21.9513</t>
  </si>
  <si>
    <t>21.9359</t>
  </si>
  <si>
    <t>21.8706</t>
  </si>
  <si>
    <t>21.8831</t>
  </si>
  <si>
    <t>21.916</t>
  </si>
  <si>
    <t>21.9116</t>
  </si>
  <si>
    <t>21.834</t>
  </si>
  <si>
    <t>21.8512</t>
  </si>
  <si>
    <t>21.8722</t>
  </si>
  <si>
    <t>21.8573</t>
  </si>
  <si>
    <t>21.8466</t>
  </si>
  <si>
    <t>21.85</t>
  </si>
  <si>
    <t>40.916</t>
  </si>
  <si>
    <t>40.4834</t>
  </si>
  <si>
    <t>40.8466</t>
  </si>
  <si>
    <t>40.819</t>
  </si>
  <si>
    <t>40.5254</t>
  </si>
  <si>
    <t>40.746</t>
  </si>
  <si>
    <t>40.2546</t>
  </si>
  <si>
    <t>40.5817</t>
  </si>
  <si>
    <t>40.4847</t>
  </si>
  <si>
    <t>40.806</t>
  </si>
  <si>
    <t>40.7476</t>
  </si>
  <si>
    <t>41.1801</t>
  </si>
  <si>
    <t>41.429</t>
  </si>
  <si>
    <t>41.5794</t>
  </si>
  <si>
    <t>41.5592</t>
  </si>
  <si>
    <t>41.496</t>
  </si>
  <si>
    <t>41.4732</t>
  </si>
  <si>
    <t>40.9419</t>
  </si>
  <si>
    <t>40.5577</t>
  </si>
  <si>
    <t>40.3725</t>
  </si>
  <si>
    <t>40.9525</t>
  </si>
  <si>
    <t>40.9773</t>
  </si>
  <si>
    <t>41.2378</t>
  </si>
  <si>
    <t>41.0501</t>
  </si>
  <si>
    <t>41.0275</t>
  </si>
  <si>
    <t>41.1817</t>
  </si>
  <si>
    <t>41.5381</t>
  </si>
  <si>
    <t>41.5456</t>
  </si>
  <si>
    <t>41.6204</t>
  </si>
  <si>
    <t>41.7272</t>
  </si>
  <si>
    <t>41.9662</t>
  </si>
  <si>
    <t>42.0834</t>
  </si>
  <si>
    <t>42.1777</t>
  </si>
  <si>
    <t>42.1457</t>
  </si>
  <si>
    <t>41.8061</t>
  </si>
  <si>
    <t>41.7205</t>
  </si>
  <si>
    <t>41.3997</t>
  </si>
  <si>
    <t>41.1369</t>
  </si>
  <si>
    <t>40.4754</t>
  </si>
  <si>
    <t>40.5036</t>
  </si>
  <si>
    <t>40.4733</t>
  </si>
  <si>
    <t>40.7306</t>
  </si>
  <si>
    <t>41.3145</t>
  </si>
  <si>
    <t>41.4646</t>
  </si>
  <si>
    <t>41.265</t>
  </si>
  <si>
    <t>41.4951</t>
  </si>
  <si>
    <t>41.6153</t>
  </si>
  <si>
    <t>41.596</t>
  </si>
  <si>
    <t>41.479</t>
  </si>
  <si>
    <t>41.8497</t>
  </si>
  <si>
    <t>42.0825</t>
  </si>
  <si>
    <t>41.9657</t>
  </si>
  <si>
    <t>42.2</t>
  </si>
  <si>
    <t>42.2858</t>
  </si>
  <si>
    <t>42.1728</t>
  </si>
  <si>
    <t>42.549</t>
  </si>
  <si>
    <t>42.4715</t>
  </si>
  <si>
    <t>42.7755</t>
  </si>
  <si>
    <t>42.7332</t>
  </si>
  <si>
    <t>42.522</t>
  </si>
  <si>
    <t>42.7831</t>
  </si>
  <si>
    <t>42.6588</t>
  </si>
  <si>
    <t>42.2833</t>
  </si>
  <si>
    <t>42.3992</t>
  </si>
  <si>
    <t>42.5223</t>
  </si>
  <si>
    <t>42.6415</t>
  </si>
  <si>
    <t>42.9182</t>
  </si>
  <si>
    <t>42.8495</t>
  </si>
  <si>
    <t>42.8978</t>
  </si>
  <si>
    <t>43.1649</t>
  </si>
  <si>
    <t>42.988</t>
  </si>
  <si>
    <t>43.1557</t>
  </si>
  <si>
    <t>43.1619</t>
  </si>
  <si>
    <t>42.7366</t>
  </si>
  <si>
    <t>42.5857</t>
  </si>
  <si>
    <t>42.7173</t>
  </si>
  <si>
    <t>43.1534</t>
  </si>
  <si>
    <t>43.1255</t>
  </si>
  <si>
    <t>43.1254</t>
  </si>
  <si>
    <t>43.0884</t>
  </si>
  <si>
    <t>42.9333</t>
  </si>
  <si>
    <t>42.613</t>
  </si>
  <si>
    <t>42.575</t>
  </si>
  <si>
    <t>42.6871</t>
  </si>
  <si>
    <t>42.0381</t>
  </si>
  <si>
    <t>42.1759</t>
  </si>
  <si>
    <t>41.8387</t>
  </si>
  <si>
    <t>42.1291</t>
  </si>
  <si>
    <t>42.4431</t>
  </si>
  <si>
    <t>42.4556</t>
  </si>
  <si>
    <t>42.1832</t>
  </si>
  <si>
    <t>42.0315</t>
  </si>
  <si>
    <t>42.072</t>
  </si>
  <si>
    <t>42.5592</t>
  </si>
  <si>
    <t>42.8731</t>
  </si>
  <si>
    <t>42.8202</t>
  </si>
  <si>
    <t>42.6168</t>
  </si>
  <si>
    <t>42.4662</t>
  </si>
  <si>
    <t>42.3221</t>
  </si>
  <si>
    <t>42.1851</t>
  </si>
  <si>
    <t>42.6061</t>
  </si>
  <si>
    <t>42.6825</t>
  </si>
  <si>
    <t>42.966</t>
  </si>
  <si>
    <t>42.9442</t>
  </si>
  <si>
    <t>42.8513</t>
  </si>
  <si>
    <t>43.0099</t>
  </si>
  <si>
    <t>42.3939</t>
  </si>
  <si>
    <t>42.1016</t>
  </si>
  <si>
    <t>41.9533</t>
  </si>
  <si>
    <t>41.8731</t>
  </si>
  <si>
    <t>41.8406</t>
  </si>
  <si>
    <t>41.9345</t>
  </si>
  <si>
    <t>41.8091</t>
  </si>
  <si>
    <t>41.0342</t>
  </si>
  <si>
    <t>40.8238</t>
  </si>
  <si>
    <t>41.2884</t>
  </si>
  <si>
    <t>40.6928</t>
  </si>
  <si>
    <t>40.8561</t>
  </si>
  <si>
    <t>41.4041</t>
  </si>
  <si>
    <t>41.4023</t>
  </si>
  <si>
    <t>41.5502</t>
  </si>
  <si>
    <t>40.8568</t>
  </si>
  <si>
    <t>41.1322</t>
  </si>
  <si>
    <t>42.2104</t>
  </si>
  <si>
    <t>42.3741</t>
  </si>
  <si>
    <t>42.3885</t>
  </si>
  <si>
    <t>42.3913</t>
  </si>
  <si>
    <t>43.044</t>
  </si>
  <si>
    <t>43.252</t>
  </si>
  <si>
    <t>43.3264</t>
  </si>
  <si>
    <t>43.2207</t>
  </si>
  <si>
    <t>42.7191</t>
  </si>
  <si>
    <t>42.8699</t>
  </si>
  <si>
    <t>42.9639</t>
  </si>
  <si>
    <t>43.1607</t>
  </si>
  <si>
    <t>42.5867</t>
  </si>
  <si>
    <t>42.7227</t>
  </si>
  <si>
    <t>42.7491</t>
  </si>
  <si>
    <t>42.59</t>
  </si>
  <si>
    <t>42.8229</t>
  </si>
  <si>
    <t>43.0745</t>
  </si>
  <si>
    <t>42.6828</t>
  </si>
  <si>
    <t>42.1488</t>
  </si>
  <si>
    <t>41.3563</t>
  </si>
  <si>
    <t>41.9018</t>
  </si>
  <si>
    <t>41.6373</t>
  </si>
  <si>
    <t>40.7716</t>
  </si>
  <si>
    <t>41.2961</t>
  </si>
  <si>
    <t>40.7582</t>
  </si>
  <si>
    <t>39.5861</t>
  </si>
  <si>
    <t>39.5275</t>
  </si>
  <si>
    <t>39.8455</t>
  </si>
  <si>
    <t>40.5368</t>
  </si>
  <si>
    <t>39.3796</t>
  </si>
  <si>
    <t>39.5779</t>
  </si>
  <si>
    <t>38.302</t>
  </si>
  <si>
    <t>39.0996</t>
  </si>
  <si>
    <t>39.9314</t>
  </si>
  <si>
    <t>39.1139</t>
  </si>
  <si>
    <t>38.1578</t>
  </si>
  <si>
    <t>38.1568</t>
  </si>
  <si>
    <t>38.9121</t>
  </si>
  <si>
    <t>38.856</t>
  </si>
  <si>
    <t>39.3861</t>
  </si>
  <si>
    <t>39.4449</t>
  </si>
  <si>
    <t>40.9874</t>
  </si>
  <si>
    <t>40.9843</t>
  </si>
  <si>
    <t>41.6221</t>
  </si>
  <si>
    <t>41.3682</t>
  </si>
  <si>
    <t>42.2105</t>
  </si>
  <si>
    <t>42.4527</t>
  </si>
  <si>
    <t>42.8947</t>
  </si>
  <si>
    <t>42.9096</t>
  </si>
  <si>
    <t>43.1962</t>
  </si>
  <si>
    <t>43.2255</t>
  </si>
  <si>
    <t>43.0141</t>
  </si>
  <si>
    <t>42.637</t>
  </si>
  <si>
    <t>43.101</t>
  </si>
  <si>
    <t>43.035</t>
  </si>
  <si>
    <t>43</t>
  </si>
  <si>
    <t>42.6877</t>
  </si>
  <si>
    <t>42.9079</t>
  </si>
  <si>
    <t>42.8908</t>
  </si>
  <si>
    <t>43.6186</t>
  </si>
  <si>
    <t>43.9509</t>
  </si>
  <si>
    <t>43.8547</t>
  </si>
  <si>
    <t>43.2782</t>
  </si>
  <si>
    <t>42.2308</t>
  </si>
  <si>
    <t>42.3091</t>
  </si>
  <si>
    <t>42.7405</t>
  </si>
  <si>
    <t>42.619</t>
  </si>
  <si>
    <t>42.5721</t>
  </si>
  <si>
    <t>42.8192</t>
  </si>
  <si>
    <t>43.0122</t>
  </si>
  <si>
    <t>43.0905</t>
  </si>
  <si>
    <t>43.2403</t>
  </si>
  <si>
    <t>43.6669</t>
  </si>
  <si>
    <t>43.7715</t>
  </si>
  <si>
    <t>43.9566</t>
  </si>
  <si>
    <t>43.4863</t>
  </si>
  <si>
    <t>43.0303</t>
  </si>
  <si>
    <t>43.1894</t>
  </si>
  <si>
    <t>43.0678</t>
  </si>
  <si>
    <t>43.2531</t>
  </si>
  <si>
    <t>43.2402</t>
  </si>
  <si>
    <t>42.7262</t>
  </si>
  <si>
    <t>43.2256</t>
  </si>
  <si>
    <t>42.7853</t>
  </si>
  <si>
    <t>42.4604</t>
  </si>
  <si>
    <t>43.303</t>
  </si>
  <si>
    <t>43.8753</t>
  </si>
  <si>
    <t>44.0075</t>
  </si>
  <si>
    <t>44.1953</t>
  </si>
  <si>
    <t>44.4614</t>
  </si>
  <si>
    <t>44.6335</t>
  </si>
  <si>
    <t>44.7955</t>
  </si>
  <si>
    <t>44.3668</t>
  </si>
  <si>
    <t>44.4323</t>
  </si>
  <si>
    <t>44.1717</t>
  </si>
  <si>
    <t>43.9403</t>
  </si>
  <si>
    <t>44.1421</t>
  </si>
  <si>
    <t>44.1933</t>
  </si>
  <si>
    <t>44.4471</t>
  </si>
  <si>
    <t>44.3587</t>
  </si>
  <si>
    <t>44.636</t>
  </si>
  <si>
    <t>44.5675</t>
  </si>
  <si>
    <t>43.8494</t>
  </si>
  <si>
    <t>44.3404</t>
  </si>
  <si>
    <t>44.9367</t>
  </si>
  <si>
    <t>44.9111</t>
  </si>
  <si>
    <t>44.6527</t>
  </si>
  <si>
    <t>44.8844</t>
  </si>
  <si>
    <t>44.7369</t>
  </si>
  <si>
    <t>44.6479</t>
  </si>
  <si>
    <t>44.789</t>
  </si>
  <si>
    <t>45.0139</t>
  </si>
  <si>
    <t>8.6855</t>
  </si>
  <si>
    <t>8.5076</t>
  </si>
  <si>
    <t>8.3791</t>
  </si>
  <si>
    <t>8.5069</t>
  </si>
  <si>
    <t>8.4786</t>
  </si>
  <si>
    <t>8.3862</t>
  </si>
  <si>
    <t>8.456</t>
  </si>
  <si>
    <t>8.2706</t>
  </si>
  <si>
    <t>8.394</t>
  </si>
  <si>
    <t>8.3464</t>
  </si>
  <si>
    <t>8.4467</t>
  </si>
  <si>
    <t>8.4824</t>
  </si>
  <si>
    <t>8.5461</t>
  </si>
  <si>
    <t>8.5778</t>
  </si>
  <si>
    <t>8.6085</t>
  </si>
  <si>
    <t>8.5904</t>
  </si>
  <si>
    <t>8.5948</t>
  </si>
  <si>
    <t>8.6268</t>
  </si>
  <si>
    <t>8.4723</t>
  </si>
  <si>
    <t>8.371</t>
  </si>
  <si>
    <t>8.3244</t>
  </si>
  <si>
    <t>8.4675</t>
  </si>
  <si>
    <t>8.4665</t>
  </si>
  <si>
    <t>8.5327</t>
  </si>
  <si>
    <t>8.4776</t>
  </si>
  <si>
    <t>8.483</t>
  </si>
  <si>
    <t>8.4869</t>
  </si>
  <si>
    <t>8.5077</t>
  </si>
  <si>
    <t>8.5955</t>
  </si>
  <si>
    <t>8.5797</t>
  </si>
  <si>
    <t>8.627</t>
  </si>
  <si>
    <t>8.6419</t>
  </si>
  <si>
    <t>8.6771</t>
  </si>
  <si>
    <t>8.7195</t>
  </si>
  <si>
    <t>8.6676</t>
  </si>
  <si>
    <t>8.623</t>
  </si>
  <si>
    <t>8.5646</t>
  </si>
  <si>
    <t>8.5013</t>
  </si>
  <si>
    <t>8.42</t>
  </si>
  <si>
    <t>8.2321</t>
  </si>
  <si>
    <t>8.2025</t>
  </si>
  <si>
    <t>8.2106</t>
  </si>
  <si>
    <t>8.2903</t>
  </si>
  <si>
    <t>8.3344</t>
  </si>
  <si>
    <t>8.4932</t>
  </si>
  <si>
    <t>8.5218</t>
  </si>
  <si>
    <t>8.4957</t>
  </si>
  <si>
    <t>8.5777</t>
  </si>
  <si>
    <t>8.599</t>
  </si>
  <si>
    <t>8.6468</t>
  </si>
  <si>
    <t>8.5905</t>
  </si>
  <si>
    <t>8.6949</t>
  </si>
  <si>
    <t>8.7092</t>
  </si>
  <si>
    <t>8.7234</t>
  </si>
  <si>
    <t>8.7549</t>
  </si>
  <si>
    <t>8.673</t>
  </si>
  <si>
    <t>8.6365</t>
  </si>
  <si>
    <t>8.6967</t>
  </si>
  <si>
    <t>8.6756</t>
  </si>
  <si>
    <t>8.6665</t>
  </si>
  <si>
    <t>8.6704</t>
  </si>
  <si>
    <t>8.636</t>
  </si>
  <si>
    <t>8.695</t>
  </si>
  <si>
    <t>8.6309</t>
  </si>
  <si>
    <t>8.5633</t>
  </si>
  <si>
    <t>8.6677</t>
  </si>
  <si>
    <t>8.6529</t>
  </si>
  <si>
    <t>8.6745</t>
  </si>
  <si>
    <t>8.7398</t>
  </si>
  <si>
    <t>8.713</t>
  </si>
  <si>
    <t>8.7508</t>
  </si>
  <si>
    <t>8.8319</t>
  </si>
  <si>
    <t>8.7606</t>
  </si>
  <si>
    <t>8.7985</t>
  </si>
  <si>
    <t>8.8338</t>
  </si>
  <si>
    <t>8.7351</t>
  </si>
  <si>
    <t>8.6803</t>
  </si>
  <si>
    <t>8.7111</t>
  </si>
  <si>
    <t>8.8479</t>
  </si>
  <si>
    <t>8.84</t>
  </si>
  <si>
    <t>8.8456</t>
  </si>
  <si>
    <t>8.8527</t>
  </si>
  <si>
    <t>8.8237</t>
  </si>
  <si>
    <t>8.6955</t>
  </si>
  <si>
    <t>8.7002</t>
  </si>
  <si>
    <t>8.7632</t>
  </si>
  <si>
    <t>8.5968</t>
  </si>
  <si>
    <t>8.5768</t>
  </si>
  <si>
    <t>8.4509</t>
  </si>
  <si>
    <t>8.533</t>
  </si>
  <si>
    <t>8.613</t>
  </si>
  <si>
    <t>8.581</t>
  </si>
  <si>
    <t>8.4961</t>
  </si>
  <si>
    <t>8.4403</t>
  </si>
  <si>
    <t>8.4647</t>
  </si>
  <si>
    <t>8.5602</t>
  </si>
  <si>
    <t>8.6556</t>
  </si>
  <si>
    <t>8.6157</t>
  </si>
  <si>
    <t>8.5735</t>
  </si>
  <si>
    <t>8.5135</t>
  </si>
  <si>
    <t>8.4515</t>
  </si>
  <si>
    <t>8.3882</t>
  </si>
  <si>
    <t>8.4802</t>
  </si>
  <si>
    <t>8.53</t>
  </si>
  <si>
    <t>8.6177</t>
  </si>
  <si>
    <t>8.6712</t>
  </si>
  <si>
    <t>8.686</t>
  </si>
  <si>
    <t>8.6809</t>
  </si>
  <si>
    <t>8.5407</t>
  </si>
  <si>
    <t>8.4441</t>
  </si>
  <si>
    <t>8.4234</t>
  </si>
  <si>
    <t>8.3854</t>
  </si>
  <si>
    <t>8.4028</t>
  </si>
  <si>
    <t>8.3801</t>
  </si>
  <si>
    <t>8.4261</t>
  </si>
  <si>
    <t>8.207</t>
  </si>
  <si>
    <t>8.1297</t>
  </si>
  <si>
    <t>8.2162</t>
  </si>
  <si>
    <t>8.0727</t>
  </si>
  <si>
    <t>8.1108</t>
  </si>
  <si>
    <t>8.2489</t>
  </si>
  <si>
    <t>8.2111</t>
  </si>
  <si>
    <t>8.2078</t>
  </si>
  <si>
    <t>7.985</t>
  </si>
  <si>
    <t>8.0953</t>
  </si>
  <si>
    <t>8.3416</t>
  </si>
  <si>
    <t>8.3886</t>
  </si>
  <si>
    <t>8.3721</t>
  </si>
  <si>
    <t>8.4889</t>
  </si>
  <si>
    <t>8.6108</t>
  </si>
  <si>
    <t>8.6369</t>
  </si>
  <si>
    <t>8.6957</t>
  </si>
  <si>
    <t>8.7465</t>
  </si>
  <si>
    <t>8.6033</t>
  </si>
  <si>
    <t>8.6266</t>
  </si>
  <si>
    <t>8.6749</t>
  </si>
  <si>
    <t>8.7393</t>
  </si>
  <si>
    <t>8.5931</t>
  </si>
  <si>
    <t>8.6666</t>
  </si>
  <si>
    <t>8.659</t>
  </si>
  <si>
    <t>8.6249</t>
  </si>
  <si>
    <t>8.6977</t>
  </si>
  <si>
    <t>8.7648</t>
  </si>
  <si>
    <t>8.6295</t>
  </si>
  <si>
    <t>8.5046</t>
  </si>
  <si>
    <t>8.3107</t>
  </si>
  <si>
    <t>8.4644</t>
  </si>
  <si>
    <t>8.379</t>
  </si>
  <si>
    <t>8.1844</t>
  </si>
  <si>
    <t>8.3535</t>
  </si>
  <si>
    <t>8.1804</t>
  </si>
  <si>
    <t>8.0492</t>
  </si>
  <si>
    <t>7.8384</t>
  </si>
  <si>
    <t>7.8778</t>
  </si>
  <si>
    <t>7.9859</t>
  </si>
  <si>
    <t>8.1167</t>
  </si>
  <si>
    <t>7.8445</t>
  </si>
  <si>
    <t>7.8854</t>
  </si>
  <si>
    <t>7.5911</t>
  </si>
  <si>
    <t>7.7784</t>
  </si>
  <si>
    <t>7.9698</t>
  </si>
  <si>
    <t>7.7244</t>
  </si>
  <si>
    <t>7.5286</t>
  </si>
  <si>
    <t>7.5283</t>
  </si>
  <si>
    <t>7.7143</t>
  </si>
  <si>
    <t>7.7002</t>
  </si>
  <si>
    <t>7.844</t>
  </si>
  <si>
    <t>7.8593</t>
  </si>
  <si>
    <t>8.2227</t>
  </si>
  <si>
    <t>8.2674</t>
  </si>
  <si>
    <t>8.4439</t>
  </si>
  <si>
    <t>8.3761</t>
  </si>
  <si>
    <t>8.5195</t>
  </si>
  <si>
    <t>8.5553</t>
  </si>
  <si>
    <t>8.6384</t>
  </si>
  <si>
    <t>8.6315</t>
  </si>
  <si>
    <t>8.6319</t>
  </si>
  <si>
    <t>8.6554</t>
  </si>
  <si>
    <t>8.5755</t>
  </si>
  <si>
    <t>8.6244</t>
  </si>
  <si>
    <t>8.6079</t>
  </si>
  <si>
    <t>8.5973</t>
  </si>
  <si>
    <t>8.6456</t>
  </si>
  <si>
    <t>8.7494</t>
  </si>
  <si>
    <t>8.8771</t>
  </si>
  <si>
    <t>8.8471</t>
  </si>
  <si>
    <t>8.7472</t>
  </si>
  <si>
    <t>8.5734</t>
  </si>
  <si>
    <t>8.6029</t>
  </si>
  <si>
    <t>8.7585</t>
  </si>
  <si>
    <t>8.7209</t>
  </si>
  <si>
    <t>8.6709</t>
  </si>
  <si>
    <t>8.7089</t>
  </si>
  <si>
    <t>8.7943</t>
  </si>
  <si>
    <t>8.8014</t>
  </si>
  <si>
    <t>8.796</t>
  </si>
  <si>
    <t>8.9313</t>
  </si>
  <si>
    <t>8.9684</t>
  </si>
  <si>
    <t>9.0519</t>
  </si>
  <si>
    <t>8.9206</t>
  </si>
  <si>
    <t>8.7688</t>
  </si>
  <si>
    <t>8.7407</t>
  </si>
  <si>
    <t>8.7532</t>
  </si>
  <si>
    <t>8.7957</t>
  </si>
  <si>
    <t>8.7846</t>
  </si>
  <si>
    <t>8.6231</t>
  </si>
  <si>
    <t>8.7426</t>
  </si>
  <si>
    <t>8.6</t>
  </si>
  <si>
    <t>8.529</t>
  </si>
  <si>
    <t>8.7527</t>
  </si>
  <si>
    <t>8.9358</t>
  </si>
  <si>
    <t>8.8919</t>
  </si>
  <si>
    <t>8.9731</t>
  </si>
  <si>
    <t>9.0028</t>
  </si>
  <si>
    <t>9.0632</t>
  </si>
  <si>
    <t>9.1357</t>
  </si>
  <si>
    <t>9.0211</t>
  </si>
  <si>
    <t>8.9682</t>
  </si>
  <si>
    <t>8.9294</t>
  </si>
  <si>
    <t>8.9518</t>
  </si>
  <si>
    <t>8.9507</t>
  </si>
  <si>
    <t>8.9573</t>
  </si>
  <si>
    <t>8.9615</t>
  </si>
  <si>
    <t>8.9025</t>
  </si>
  <si>
    <t>8.9715</t>
  </si>
  <si>
    <t>8.8583</t>
  </si>
  <si>
    <t>8.783</t>
  </si>
  <si>
    <t>8.8658</t>
  </si>
  <si>
    <t>8.9943</t>
  </si>
  <si>
    <t>8.9735</t>
  </si>
  <si>
    <t>8.9939</t>
  </si>
  <si>
    <t>8.9876</t>
  </si>
  <si>
    <t>8.9364</t>
  </si>
  <si>
    <t>8.8397</t>
  </si>
  <si>
    <t>8.8944</t>
  </si>
  <si>
    <t>8.9435</t>
  </si>
  <si>
    <t>8.88</t>
  </si>
  <si>
    <t>8.8534</t>
  </si>
  <si>
    <t>8.7192</t>
  </si>
  <si>
    <t>8.8102</t>
  </si>
  <si>
    <t>8.8298</t>
  </si>
  <si>
    <t>8.7267</t>
  </si>
  <si>
    <t>8.722</t>
  </si>
  <si>
    <t>8.5653</t>
  </si>
  <si>
    <t>8.6064</t>
  </si>
  <si>
    <t>8.6878</t>
  </si>
  <si>
    <t>8.6799</t>
  </si>
  <si>
    <t>8.7832</t>
  </si>
  <si>
    <t>8.7837</t>
  </si>
  <si>
    <t>8.8266</t>
  </si>
  <si>
    <t>8.8238</t>
  </si>
  <si>
    <t>8.8066</t>
  </si>
  <si>
    <t>8.6449</t>
  </si>
  <si>
    <t>8.5099</t>
  </si>
  <si>
    <t>8.4719</t>
  </si>
  <si>
    <t>8.5957</t>
  </si>
  <si>
    <t>8.5932</t>
  </si>
  <si>
    <t>8.6567</t>
  </si>
  <si>
    <t>8.6048</t>
  </si>
  <si>
    <t>8.5842</t>
  </si>
  <si>
    <t>8.5691</t>
  </si>
  <si>
    <t>8.6142</t>
  </si>
  <si>
    <t>8.7181</t>
  </si>
  <si>
    <t>8.6899</t>
  </si>
  <si>
    <t>8.7565</t>
  </si>
  <si>
    <t>8.7802</t>
  </si>
  <si>
    <t>8.8366</t>
  </si>
  <si>
    <t>8.8667</t>
  </si>
  <si>
    <t>8.867</t>
  </si>
  <si>
    <t>8.8419</t>
  </si>
  <si>
    <t>8.8197</t>
  </si>
  <si>
    <t>8.7777</t>
  </si>
  <si>
    <t>8.7145</t>
  </si>
  <si>
    <t>8.6571</t>
  </si>
  <si>
    <t>8.4813</t>
  </si>
  <si>
    <t>8.509</t>
  </si>
  <si>
    <t>8.4795</t>
  </si>
  <si>
    <t>8.568</t>
  </si>
  <si>
    <t>8.6288</t>
  </si>
  <si>
    <t>8.7657</t>
  </si>
  <si>
    <t>8.7774</t>
  </si>
  <si>
    <t>8.76</t>
  </si>
  <si>
    <t>8.8448</t>
  </si>
  <si>
    <t>8.891</t>
  </si>
  <si>
    <t>8.9204</t>
  </si>
  <si>
    <t>8.8785</t>
  </si>
  <si>
    <t>8.9981</t>
  </si>
  <si>
    <t>9.0324</t>
  </si>
  <si>
    <t>9.0422</t>
  </si>
  <si>
    <t>9.0947</t>
  </si>
  <si>
    <t>9.0441</t>
  </si>
  <si>
    <t>9.0097</t>
  </si>
  <si>
    <t>9.0527</t>
  </si>
  <si>
    <t>9.015</t>
  </si>
  <si>
    <t>9.0531</t>
  </si>
  <si>
    <t>9.0243</t>
  </si>
  <si>
    <t>8.9749</t>
  </si>
  <si>
    <t>9.0383</t>
  </si>
  <si>
    <t>9.0083</t>
  </si>
  <si>
    <t>8.9611</t>
  </si>
  <si>
    <t>8.9913</t>
  </si>
  <si>
    <t>9.0074</t>
  </si>
  <si>
    <t>9.0088</t>
  </si>
  <si>
    <t>9.0708</t>
  </si>
  <si>
    <t>9.0482</t>
  </si>
  <si>
    <t>9.0752</t>
  </si>
  <si>
    <t>9.1158</t>
  </si>
  <si>
    <t>9.0366</t>
  </si>
  <si>
    <t>9.0963</t>
  </si>
  <si>
    <t>9.1631</t>
  </si>
  <si>
    <t>9.0548</t>
  </si>
  <si>
    <t>8.988</t>
  </si>
  <si>
    <t>8.9982</t>
  </si>
  <si>
    <t>9.1316</t>
  </si>
  <si>
    <t>9.1358</t>
  </si>
  <si>
    <t>9.1232</t>
  </si>
  <si>
    <t>9.0818</t>
  </si>
  <si>
    <t>9.0429</t>
  </si>
  <si>
    <t>8.94</t>
  </si>
  <si>
    <t>8.9169</t>
  </si>
  <si>
    <t>8.9353</t>
  </si>
  <si>
    <t>8.7366</t>
  </si>
  <si>
    <t>8.7691</t>
  </si>
  <si>
    <t>8.6699</t>
  </si>
  <si>
    <t>8.7243</t>
  </si>
  <si>
    <t>8.7939</t>
  </si>
  <si>
    <t>8.7826</t>
  </si>
  <si>
    <t>8.7242</t>
  </si>
  <si>
    <t>8.6505</t>
  </si>
  <si>
    <t>8.6827</t>
  </si>
  <si>
    <t>8.7888</t>
  </si>
  <si>
    <t>8.8676</t>
  </si>
  <si>
    <t>8.8662</t>
  </si>
  <si>
    <t>8.8445</t>
  </si>
  <si>
    <t>8.7952</t>
  </si>
  <si>
    <t>8.7556</t>
  </si>
  <si>
    <t>8.6105</t>
  </si>
  <si>
    <t>8.6867</t>
  </si>
  <si>
    <t>8.7273</t>
  </si>
  <si>
    <t>8.7903</t>
  </si>
  <si>
    <t>8.8065</t>
  </si>
  <si>
    <t>8.8191</t>
  </si>
  <si>
    <t>8.794</t>
  </si>
  <si>
    <t>8.6593</t>
  </si>
  <si>
    <t>8.5598</t>
  </si>
  <si>
    <t>8.5611</t>
  </si>
  <si>
    <t>8.5656</t>
  </si>
  <si>
    <t>8.5839</t>
  </si>
  <si>
    <t>8.5639</t>
  </si>
  <si>
    <t>8.5834</t>
  </si>
  <si>
    <t>8.3889</t>
  </si>
  <si>
    <t>8.3323</t>
  </si>
  <si>
    <t>8.3987</t>
  </si>
  <si>
    <t>8.2852</t>
  </si>
  <si>
    <t>8.2879</t>
  </si>
  <si>
    <t>8.369</t>
  </si>
  <si>
    <t>8.3625</t>
  </si>
  <si>
    <t>8.3139</t>
  </si>
  <si>
    <t>8.0825</t>
  </si>
  <si>
    <t>8.1833</t>
  </si>
  <si>
    <t>8.4153</t>
  </si>
  <si>
    <t>8.4935</t>
  </si>
  <si>
    <t>8.4432</t>
  </si>
  <si>
    <t>8.4842</t>
  </si>
  <si>
    <t>8.6045</t>
  </si>
  <si>
    <t>8.6088</t>
  </si>
  <si>
    <t>8.6674</t>
  </si>
  <si>
    <t>8.7155</t>
  </si>
  <si>
    <t>8.5729</t>
  </si>
  <si>
    <t>8.5859</t>
  </si>
  <si>
    <t>8.611</t>
  </si>
  <si>
    <t>8.6714</t>
  </si>
  <si>
    <t>8.6015</t>
  </si>
  <si>
    <t>8.6171</t>
  </si>
  <si>
    <t>8.5875</t>
  </si>
  <si>
    <t>8.6779</t>
  </si>
  <si>
    <t>8.7177</t>
  </si>
  <si>
    <t>8.5612</t>
  </si>
  <si>
    <t>8.4222</t>
  </si>
  <si>
    <t>8.2465</t>
  </si>
  <si>
    <t>8.402</t>
  </si>
  <si>
    <t>8.3125</t>
  </si>
  <si>
    <t>8.1348</t>
  </si>
  <si>
    <t>8.3223</t>
  </si>
  <si>
    <t>8.1573</t>
  </si>
  <si>
    <t>8.0531</t>
  </si>
  <si>
    <t>7.8517</t>
  </si>
  <si>
    <t>7.9008</t>
  </si>
  <si>
    <t>8.0069</t>
  </si>
  <si>
    <t>8.1183</t>
  </si>
  <si>
    <t>7.8337</t>
  </si>
  <si>
    <t>7.8502</t>
  </si>
  <si>
    <t>7.5766</t>
  </si>
  <si>
    <t>7.7703</t>
  </si>
  <si>
    <t>7.9674</t>
  </si>
  <si>
    <t>7.7684</t>
  </si>
  <si>
    <t>7.5732</t>
  </si>
  <si>
    <t>7.573</t>
  </si>
  <si>
    <t>7.7651</t>
  </si>
  <si>
    <t>7.7225</t>
  </si>
  <si>
    <t>7.8588</t>
  </si>
  <si>
    <t>7.8591</t>
  </si>
  <si>
    <t>8.2646</t>
  </si>
  <si>
    <t>8.2699</t>
  </si>
  <si>
    <t>8.4388</t>
  </si>
  <si>
    <t>8.3207</t>
  </si>
  <si>
    <t>8.468</t>
  </si>
  <si>
    <t>8.4745</t>
  </si>
  <si>
    <t>8.535</t>
  </si>
  <si>
    <t>8.5534</t>
  </si>
  <si>
    <t>8.5928</t>
  </si>
  <si>
    <t>8.5643</t>
  </si>
  <si>
    <t>8.487</t>
  </si>
  <si>
    <t>8.4588</t>
  </si>
  <si>
    <t>8.5113</t>
  </si>
  <si>
    <t>8.4875</t>
  </si>
  <si>
    <t>8.531</t>
  </si>
  <si>
    <t>8.4643</t>
  </si>
  <si>
    <t>8.5261</t>
  </si>
  <si>
    <t>8.5501</t>
  </si>
  <si>
    <t>8.7154</t>
  </si>
  <si>
    <t>8.8123</t>
  </si>
  <si>
    <t>8.7838</t>
  </si>
  <si>
    <t>8.6433</t>
  </si>
  <si>
    <t>8.4607</t>
  </si>
  <si>
    <t>8.4891</t>
  </si>
  <si>
    <t>8.6193</t>
  </si>
  <si>
    <t>8.5873</t>
  </si>
  <si>
    <t>8.524</t>
  </si>
  <si>
    <t>8.5421</t>
  </si>
  <si>
    <t>8.6076</t>
  </si>
  <si>
    <t>8.6017</t>
  </si>
  <si>
    <t>8.6282</t>
  </si>
  <si>
    <t>8.7582</t>
  </si>
  <si>
    <t>8.7595</t>
  </si>
  <si>
    <t>8.8132</t>
  </si>
  <si>
    <t>8.5346</t>
  </si>
  <si>
    <t>8.5359</t>
  </si>
  <si>
    <t>8.5725</t>
  </si>
  <si>
    <t>8.5549</t>
  </si>
  <si>
    <t>8.4104</t>
  </si>
  <si>
    <t>8.5442</t>
  </si>
  <si>
    <t>8.4339</t>
  </si>
  <si>
    <t>8.3806</t>
  </si>
  <si>
    <t>8.6216</t>
  </si>
  <si>
    <t>8.7801</t>
  </si>
  <si>
    <t>8.771</t>
  </si>
  <si>
    <t>8.7984</t>
  </si>
  <si>
    <t>8.8308</t>
  </si>
  <si>
    <t>8.8035</t>
  </si>
  <si>
    <t>8.8153</t>
  </si>
  <si>
    <t>8.8327</t>
  </si>
  <si>
    <t>8.74</t>
  </si>
  <si>
    <t>8.7327</t>
  </si>
  <si>
    <t>8.72</t>
  </si>
  <si>
    <t>8.6932</t>
  </si>
  <si>
    <t>8.6546</t>
  </si>
  <si>
    <t>8.5357</t>
  </si>
  <si>
    <t>8.496</t>
  </si>
  <si>
    <t>8.6047</t>
  </si>
  <si>
    <t>8.6995</t>
  </si>
  <si>
    <t>8.6829</t>
  </si>
  <si>
    <t>8.6825</t>
  </si>
  <si>
    <t>8.7389</t>
  </si>
  <si>
    <t>8.7229</t>
  </si>
  <si>
    <t>8.5999</t>
  </si>
  <si>
    <t>8.6696</t>
  </si>
  <si>
    <t>8.7392</t>
  </si>
  <si>
    <t>10.0</t>
  </si>
  <si>
    <t>9.958</t>
  </si>
  <si>
    <t>9.9512</t>
  </si>
  <si>
    <t>9.8938</t>
  </si>
  <si>
    <t>9.9312</t>
  </si>
  <si>
    <t>9.9946</t>
  </si>
  <si>
    <t>9.9802</t>
  </si>
  <si>
    <t>9.9456</t>
  </si>
  <si>
    <t>9.9198</t>
  </si>
  <si>
    <t>9.9052</t>
  </si>
  <si>
    <t>9.9643</t>
  </si>
  <si>
    <t>10.0205</t>
  </si>
  <si>
    <t>10.016</t>
  </si>
  <si>
    <t>10.0081</t>
  </si>
  <si>
    <t>9.976</t>
  </si>
  <si>
    <t>9.9359</t>
  </si>
  <si>
    <t>9.9328</t>
  </si>
  <si>
    <t>10.0147</t>
  </si>
  <si>
    <t>9.969</t>
  </si>
  <si>
    <t>9.9905</t>
  </si>
  <si>
    <t>9.9998</t>
  </si>
  <si>
    <t>9.9941</t>
  </si>
  <si>
    <t>9.9712</t>
  </si>
  <si>
    <t>9.9016</t>
  </si>
  <si>
    <t>9.7972</t>
  </si>
  <si>
    <t>9.8321</t>
  </si>
  <si>
    <t>9.8185</t>
  </si>
  <si>
    <t>9.7891</t>
  </si>
  <si>
    <t>9.74</t>
  </si>
  <si>
    <t>9.7364</t>
  </si>
  <si>
    <t>9.5617</t>
  </si>
  <si>
    <t>9.537</t>
  </si>
  <si>
    <t>9.561</t>
  </si>
  <si>
    <t>9.4359</t>
  </si>
  <si>
    <t>9.3813</t>
  </si>
  <si>
    <t>9.4029</t>
  </si>
  <si>
    <t>9.3657</t>
  </si>
  <si>
    <t>9.4183</t>
  </si>
  <si>
    <t>9.2566</t>
  </si>
  <si>
    <t>9.3417</t>
  </si>
  <si>
    <t>9.5228</t>
  </si>
  <si>
    <t>9.629</t>
  </si>
  <si>
    <t>9.5708</t>
  </si>
  <si>
    <t>9.6323</t>
  </si>
  <si>
    <t>9.7104</t>
  </si>
  <si>
    <t>9.771</t>
  </si>
  <si>
    <t>9.8248</t>
  </si>
  <si>
    <t>9.8144</t>
  </si>
  <si>
    <t>9.6856</t>
  </si>
  <si>
    <t>9.7255</t>
  </si>
  <si>
    <t>9.7424</t>
  </si>
  <si>
    <t>9.7775</t>
  </si>
  <si>
    <t>9.6099</t>
  </si>
  <si>
    <t>9.6269</t>
  </si>
  <si>
    <t>9.6704</t>
  </si>
  <si>
    <t>9.592</t>
  </si>
  <si>
    <t>9.6165</t>
  </si>
  <si>
    <t>9.6278</t>
  </si>
  <si>
    <t>9.485</t>
  </si>
  <si>
    <t>9.3504</t>
  </si>
  <si>
    <t>9.2186</t>
  </si>
  <si>
    <t>9.3071</t>
  </si>
  <si>
    <t>9.1884</t>
  </si>
  <si>
    <t>8.9904</t>
  </si>
  <si>
    <t>9.1337</t>
  </si>
  <si>
    <t>8.9586</t>
  </si>
  <si>
    <t>8.8167</t>
  </si>
  <si>
    <t>8.6687</t>
  </si>
  <si>
    <t>8.7579</t>
  </si>
  <si>
    <t>8.8571</t>
  </si>
  <si>
    <t>8.9652</t>
  </si>
  <si>
    <t>8.682</t>
  </si>
  <si>
    <t>8.7399</t>
  </si>
  <si>
    <t>8.4735</t>
  </si>
  <si>
    <t>8.629</t>
  </si>
  <si>
    <t>8.8122</t>
  </si>
  <si>
    <t>8.6463</t>
  </si>
  <si>
    <t>8.4557</t>
  </si>
  <si>
    <t>8.5983</t>
  </si>
  <si>
    <t>8.5854</t>
  </si>
  <si>
    <t>8.6826</t>
  </si>
  <si>
    <t>8.7185</t>
  </si>
  <si>
    <t>9.0502</t>
  </si>
  <si>
    <t>8.9897</t>
  </si>
  <si>
    <t>9.1333</t>
  </si>
  <si>
    <t>9.0362</t>
  </si>
  <si>
    <t>9.1774</t>
  </si>
  <si>
    <t>9.1724</t>
  </si>
  <si>
    <t>9.2567</t>
  </si>
  <si>
    <t>9.2855</t>
  </si>
  <si>
    <t>9.3961</t>
  </si>
  <si>
    <t>9.3501</t>
  </si>
  <si>
    <t>9.2504</t>
  </si>
  <si>
    <t>9.1847</t>
  </si>
  <si>
    <t>9.25</t>
  </si>
  <si>
    <t>9.1922</t>
  </si>
  <si>
    <t>9.2751</t>
  </si>
  <si>
    <t>9.1711</t>
  </si>
  <si>
    <t>9.1987</t>
  </si>
  <si>
    <t>9.2036</t>
  </si>
  <si>
    <t>9.3342</t>
  </si>
  <si>
    <t>9.3384</t>
  </si>
  <si>
    <t>9.3354</t>
  </si>
  <si>
    <t>9.1728</t>
  </si>
  <si>
    <t>9.0044</t>
  </si>
  <si>
    <t>9.0064</t>
  </si>
  <si>
    <t>9.1214</t>
  </si>
  <si>
    <t>9.1186</t>
  </si>
  <si>
    <t>9.0753</t>
  </si>
  <si>
    <t>9.07</t>
  </si>
  <si>
    <t>9.0702</t>
  </si>
  <si>
    <t>9.0659</t>
  </si>
  <si>
    <t>9.0825</t>
  </si>
  <si>
    <t>9.1731</t>
  </si>
  <si>
    <t>9.1431</t>
  </si>
  <si>
    <t>9.1855</t>
  </si>
  <si>
    <t>9.0313</t>
  </si>
  <si>
    <t>8.9072</t>
  </si>
  <si>
    <t>8.945</t>
  </si>
  <si>
    <t>8.9349</t>
  </si>
  <si>
    <t>8.9788</t>
  </si>
  <si>
    <t>8.983</t>
  </si>
  <si>
    <t>8.8983</t>
  </si>
  <si>
    <t>8.9535</t>
  </si>
  <si>
    <t>8.9283</t>
  </si>
  <si>
    <t>8.8984</t>
  </si>
  <si>
    <t>9.0435</t>
  </si>
  <si>
    <t>9.1925</t>
  </si>
  <si>
    <t>9.2316</t>
  </si>
  <si>
    <t>9.2817</t>
  </si>
  <si>
    <t>9.3173</t>
  </si>
  <si>
    <t>9.331</t>
  </si>
  <si>
    <t>9.3197</t>
  </si>
  <si>
    <t>9.2444</t>
  </si>
  <si>
    <t>9.2687</t>
  </si>
  <si>
    <t>9.3363</t>
  </si>
  <si>
    <t>9.2599</t>
  </si>
  <si>
    <t>9.2787</t>
  </si>
  <si>
    <t>9.4094</t>
  </si>
  <si>
    <t>9.4849</t>
  </si>
  <si>
    <t>9.5247</t>
  </si>
  <si>
    <t>9.5817</t>
  </si>
  <si>
    <t>9.5623</t>
  </si>
  <si>
    <t>9.3641</t>
  </si>
  <si>
    <t>9.422</t>
  </si>
  <si>
    <t>9.4608</t>
  </si>
  <si>
    <t>9.4266</t>
  </si>
  <si>
    <t>9.3727</t>
  </si>
  <si>
    <t>9.4035</t>
  </si>
  <si>
    <t>9.4156</t>
  </si>
  <si>
    <t>9.4585</t>
  </si>
  <si>
    <t>9.4837</t>
  </si>
  <si>
    <t>9.5206</t>
  </si>
  <si>
    <t>50.7838</t>
  </si>
  <si>
    <t>50.3433</t>
  </si>
  <si>
    <t>50.6487</t>
  </si>
  <si>
    <t>50.5051</t>
  </si>
  <si>
    <t>50.2974</t>
  </si>
  <si>
    <t>50.3813</t>
  </si>
  <si>
    <t>49.8874</t>
  </si>
  <si>
    <t>50.3148</t>
  </si>
  <si>
    <t>50.2186</t>
  </si>
  <si>
    <t>50.4738</t>
  </si>
  <si>
    <t>50.4641</t>
  </si>
  <si>
    <t>50.9987</t>
  </si>
  <si>
    <t>51.2382</t>
  </si>
  <si>
    <t>51.4023</t>
  </si>
  <si>
    <t>51.4797</t>
  </si>
  <si>
    <t>51.0772</t>
  </si>
  <si>
    <t>51.2705</t>
  </si>
  <si>
    <t>50.7186</t>
  </si>
  <si>
    <t>50.2796</t>
  </si>
  <si>
    <t>50.1241</t>
  </si>
  <si>
    <t>50.5692</t>
  </si>
  <si>
    <t>50.4896</t>
  </si>
  <si>
    <t>50.7431</t>
  </si>
  <si>
    <t>50.7376</t>
  </si>
  <si>
    <t>50.726</t>
  </si>
  <si>
    <t>50.7805</t>
  </si>
  <si>
    <t>51.0054</t>
  </si>
  <si>
    <t>51.2778</t>
  </si>
  <si>
    <t>51.3348</t>
  </si>
  <si>
    <t>51.565</t>
  </si>
  <si>
    <t>51.4907</t>
  </si>
  <si>
    <t>51.8371</t>
  </si>
  <si>
    <t>52.0389</t>
  </si>
  <si>
    <t>52.1886</t>
  </si>
  <si>
    <t>52.0231</t>
  </si>
  <si>
    <t>51.7054</t>
  </si>
  <si>
    <t>51.6633</t>
  </si>
  <si>
    <t>51.4192</t>
  </si>
  <si>
    <t>51.0856</t>
  </si>
  <si>
    <t>50.4921</t>
  </si>
  <si>
    <t>50.4742</t>
  </si>
  <si>
    <t>50.4515</t>
  </si>
  <si>
    <t>50.8629</t>
  </si>
  <si>
    <t>51.0322</t>
  </si>
  <si>
    <t>51.3853</t>
  </si>
  <si>
    <t>51.441</t>
  </si>
  <si>
    <t>51.2635</t>
  </si>
  <si>
    <t>51.5103</t>
  </si>
  <si>
    <t>51.7173</t>
  </si>
  <si>
    <t>51.581</t>
  </si>
  <si>
    <t>51.3803</t>
  </si>
  <si>
    <t>51.7058</t>
  </si>
  <si>
    <t>52.2254</t>
  </si>
  <si>
    <t>52.4418</t>
  </si>
  <si>
    <t>52.7255</t>
  </si>
  <si>
    <t>52.9338</t>
  </si>
  <si>
    <t>52.7099</t>
  </si>
  <si>
    <t>53.0665</t>
  </si>
  <si>
    <t>52.9877</t>
  </si>
  <si>
    <t>53.2826</t>
  </si>
  <si>
    <t>52.9534</t>
  </si>
  <si>
    <t>52.6833</t>
  </si>
  <si>
    <t>52.7885</t>
  </si>
  <si>
    <t>52.5058</t>
  </si>
  <si>
    <t>52.2816</t>
  </si>
  <si>
    <t>52.2778</t>
  </si>
  <si>
    <t>52.4777</t>
  </si>
  <si>
    <t>52.6818</t>
  </si>
  <si>
    <t>53.0215</t>
  </si>
  <si>
    <t>53.0023</t>
  </si>
  <si>
    <t>53.0291</t>
  </si>
  <si>
    <t>53.2392</t>
  </si>
  <si>
    <t>53.0473</t>
  </si>
  <si>
    <t>53.3364</t>
  </si>
  <si>
    <t>53.5467</t>
  </si>
  <si>
    <t>53.2387</t>
  </si>
  <si>
    <t>53.019</t>
  </si>
  <si>
    <t>52.9194</t>
  </si>
  <si>
    <t>53.5931</t>
  </si>
  <si>
    <t>53.641</t>
  </si>
  <si>
    <t>53.6418</t>
  </si>
  <si>
    <t>53.6078</t>
  </si>
  <si>
    <t>53.4083</t>
  </si>
  <si>
    <t>53.27</t>
  </si>
  <si>
    <t>53.3825</t>
  </si>
  <si>
    <t>53.643</t>
  </si>
  <si>
    <t>53.1567</t>
  </si>
  <si>
    <t>52.9801</t>
  </si>
  <si>
    <t>52.8075</t>
  </si>
  <si>
    <t>53.066</t>
  </si>
  <si>
    <t>53.4084</t>
  </si>
  <si>
    <t>53.4074</t>
  </si>
  <si>
    <t>53.0713</t>
  </si>
  <si>
    <t>52.9547</t>
  </si>
  <si>
    <t>52.9416</t>
  </si>
  <si>
    <t>53.42</t>
  </si>
  <si>
    <t>53.8297</t>
  </si>
  <si>
    <t>53.848</t>
  </si>
  <si>
    <t>53.7493</t>
  </si>
  <si>
    <t>53.5657</t>
  </si>
  <si>
    <t>53.353</t>
  </si>
  <si>
    <t>53.3707</t>
  </si>
  <si>
    <t>53.7685</t>
  </si>
  <si>
    <t>53.8011</t>
  </si>
  <si>
    <t>54.1855</t>
  </si>
  <si>
    <t>54.0273</t>
  </si>
  <si>
    <t>53.9306</t>
  </si>
  <si>
    <t>53.8803</t>
  </si>
  <si>
    <t>53.2614</t>
  </si>
  <si>
    <t>52.835</t>
  </si>
  <si>
    <t>52.9884</t>
  </si>
  <si>
    <t>52.8633</t>
  </si>
  <si>
    <t>52.8334</t>
  </si>
  <si>
    <t>53.0111</t>
  </si>
  <si>
    <t>52.805</t>
  </si>
  <si>
    <t>52.026</t>
  </si>
  <si>
    <t>51.7975</t>
  </si>
  <si>
    <t>52.1626</t>
  </si>
  <si>
    <t>51.6885</t>
  </si>
  <si>
    <t>51.9374</t>
  </si>
  <si>
    <t>52.3303</t>
  </si>
  <si>
    <t>52.493</t>
  </si>
  <si>
    <t>52.287</t>
  </si>
  <si>
    <t>51.3021</t>
  </si>
  <si>
    <t>51.7508</t>
  </si>
  <si>
    <t>53.0188</t>
  </si>
  <si>
    <t>53.1017</t>
  </si>
  <si>
    <t>52.8765</t>
  </si>
  <si>
    <t>52.9322</t>
  </si>
  <si>
    <t>53.3384</t>
  </si>
  <si>
    <t>53.5154</t>
  </si>
  <si>
    <t>53.5248</t>
  </si>
  <si>
    <t>53.189</t>
  </si>
  <si>
    <t>52.5417</t>
  </si>
  <si>
    <t>52.9407</t>
  </si>
  <si>
    <t>53.098</t>
  </si>
  <si>
    <t>53.3103</t>
  </si>
  <si>
    <t>52.5719</t>
  </si>
  <si>
    <t>52.8268</t>
  </si>
  <si>
    <t>53.0599</t>
  </si>
  <si>
    <t>52.6475</t>
  </si>
  <si>
    <t>52.8652</t>
  </si>
  <si>
    <t>52.9141</t>
  </si>
  <si>
    <t>52.3628</t>
  </si>
  <si>
    <t>51.6997</t>
  </si>
  <si>
    <t>50.7773</t>
  </si>
  <si>
    <t>51.3538</t>
  </si>
  <si>
    <t>50.8118</t>
  </si>
  <si>
    <t>49.7076</t>
  </si>
  <si>
    <t>50.2487</t>
  </si>
  <si>
    <t>49.4401</t>
  </si>
  <si>
    <t>48.9701</t>
  </si>
  <si>
    <t>47.9056</t>
  </si>
  <si>
    <t>48.293</t>
  </si>
  <si>
    <t>48.6269</t>
  </si>
  <si>
    <t>49.0609</t>
  </si>
  <si>
    <t>47.4843</t>
  </si>
  <si>
    <t>47.7348</t>
  </si>
  <si>
    <t>46.418</t>
  </si>
  <si>
    <t>47.2339</t>
  </si>
  <si>
    <t>48.083</t>
  </si>
  <si>
    <t>47.1392</t>
  </si>
  <si>
    <t>46.0712</t>
  </si>
  <si>
    <t>46.0695</t>
  </si>
  <si>
    <t>46.7705</t>
  </si>
  <si>
    <t>46.8526</t>
  </si>
  <si>
    <t>47.4192</t>
  </si>
  <si>
    <t>47.7066</t>
  </si>
  <si>
    <t>49.541</t>
  </si>
  <si>
    <t>49.1398</t>
  </si>
  <si>
    <t>49.7437</t>
  </si>
  <si>
    <t>49.2987</t>
  </si>
  <si>
    <t>50.1062</t>
  </si>
  <si>
    <t>50.0878</t>
  </si>
  <si>
    <t>50.4668</t>
  </si>
  <si>
    <t>50.4574</t>
  </si>
  <si>
    <t>50.8727</t>
  </si>
  <si>
    <t>50.5215</t>
  </si>
  <si>
    <t>50.0817</t>
  </si>
  <si>
    <t>49.5064</t>
  </si>
  <si>
    <t>49.9315</t>
  </si>
  <si>
    <t>49.7146</t>
  </si>
  <si>
    <t>50.0406</t>
  </si>
  <si>
    <t>49.6504</t>
  </si>
  <si>
    <t>49.8382</t>
  </si>
  <si>
    <t>49.7116</t>
  </si>
  <si>
    <t>50.3843</t>
  </si>
  <si>
    <t>50.3881</t>
  </si>
  <si>
    <t>50.1041</t>
  </si>
  <si>
    <t>49.3358</t>
  </si>
  <si>
    <t>48.4063</t>
  </si>
  <si>
    <t>48.4657</t>
  </si>
  <si>
    <t>48.9349</t>
  </si>
  <si>
    <t>48.8637</t>
  </si>
  <si>
    <t>48.7523</t>
  </si>
  <si>
    <t>48.7899</t>
  </si>
  <si>
    <t>48.8546</t>
  </si>
  <si>
    <t>48.8361</t>
  </si>
  <si>
    <t>49.0107</t>
  </si>
  <si>
    <t>49.6241</t>
  </si>
  <si>
    <t>49.3837</t>
  </si>
  <si>
    <t>49.3993</t>
  </si>
  <si>
    <t>48.7286</t>
  </si>
  <si>
    <t>48.3276</t>
  </si>
  <si>
    <t>48.5063</t>
  </si>
  <si>
    <t>48.3223</t>
  </si>
  <si>
    <t>48.3607</t>
  </si>
  <si>
    <t>48.3042</t>
  </si>
  <si>
    <t>47.828</t>
  </si>
  <si>
    <t>48.1193</t>
  </si>
  <si>
    <t>48.0318</t>
  </si>
  <si>
    <t>47.8678</t>
  </si>
  <si>
    <t>48.8525</t>
  </si>
  <si>
    <t>49.4021</t>
  </si>
  <si>
    <t>49.684</t>
  </si>
  <si>
    <t>49.877</t>
  </si>
  <si>
    <t>50.0098</t>
  </si>
  <si>
    <t>49.7457</t>
  </si>
  <si>
    <t>49.9357</t>
  </si>
  <si>
    <t>49.3787</t>
  </si>
  <si>
    <t>49.7714</t>
  </si>
  <si>
    <t>49.8145</t>
  </si>
  <si>
    <t>49.533</t>
  </si>
  <si>
    <t>49.3706</t>
  </si>
  <si>
    <t>49.5998</t>
  </si>
  <si>
    <t>49.9537</t>
  </si>
  <si>
    <t>50.0902</t>
  </si>
  <si>
    <t>50.3712</t>
  </si>
  <si>
    <t>50.383</t>
  </si>
  <si>
    <t>49.3441</t>
  </si>
  <si>
    <t>49.5061</t>
  </si>
  <si>
    <t>50.0173</t>
  </si>
  <si>
    <t>50.0872</t>
  </si>
  <si>
    <t>49.773</t>
  </si>
  <si>
    <t>49.8239</t>
  </si>
  <si>
    <t>49.8063</t>
  </si>
  <si>
    <t>50.2848</t>
  </si>
  <si>
    <t>50.0498</t>
  </si>
  <si>
    <t>49.9795</t>
  </si>
  <si>
    <t>77.0304</t>
  </si>
  <si>
    <t>75.9543</t>
  </si>
  <si>
    <t>76.6582</t>
  </si>
  <si>
    <t>76.469</t>
  </si>
  <si>
    <t>75.7706</t>
  </si>
  <si>
    <t>76.0841</t>
  </si>
  <si>
    <t>75.0926</t>
  </si>
  <si>
    <t>75.5744</t>
  </si>
  <si>
    <t>75.4295</t>
  </si>
  <si>
    <t>76.0418</t>
  </si>
  <si>
    <t>75.9532</t>
  </si>
  <si>
    <t>76.8487</t>
  </si>
  <si>
    <t>77.4229</t>
  </si>
  <si>
    <t>77.7043</t>
  </si>
  <si>
    <t>77.5439</t>
  </si>
  <si>
    <t>77.4242</t>
  </si>
  <si>
    <t>77.3859</t>
  </si>
  <si>
    <t>76.2816</t>
  </si>
  <si>
    <t>75.495</t>
  </si>
  <si>
    <t>75.0652</t>
  </si>
  <si>
    <t>76.2668</t>
  </si>
  <si>
    <t>76.4066</t>
  </si>
  <si>
    <t>76.8304</t>
  </si>
  <si>
    <t>76.3753</t>
  </si>
  <si>
    <t>76.2784</t>
  </si>
  <si>
    <t>76.499</t>
  </si>
  <si>
    <t>76.6482</t>
  </si>
  <si>
    <t>77.2184</t>
  </si>
  <si>
    <t>77.2332</t>
  </si>
  <si>
    <t>77.3088</t>
  </si>
  <si>
    <t>77.5271</t>
  </si>
  <si>
    <t>78.0125</t>
  </si>
  <si>
    <t>78.18</t>
  </si>
  <si>
    <t>78.3724</t>
  </si>
  <si>
    <t>78.3497</t>
  </si>
  <si>
    <t>77.6125</t>
  </si>
  <si>
    <t>77.3893</t>
  </si>
  <si>
    <t>76.7854</t>
  </si>
  <si>
    <t>76.2575</t>
  </si>
  <si>
    <t>74.9093</t>
  </si>
  <si>
    <t>74.8919</t>
  </si>
  <si>
    <t>74.9276</t>
  </si>
  <si>
    <t>75.4406</t>
  </si>
  <si>
    <t>75.8625</t>
  </si>
  <si>
    <t>76.574</t>
  </si>
  <si>
    <t>76.942</t>
  </si>
  <si>
    <t>76.4779</t>
  </si>
  <si>
    <t>76.9717</t>
  </si>
  <si>
    <t>77.2679</t>
  </si>
  <si>
    <t>77.1583</t>
  </si>
  <si>
    <t>76.7386</t>
  </si>
  <si>
    <t>77.466</t>
  </si>
  <si>
    <t>77.8606</t>
  </si>
  <si>
    <t>77.5137</t>
  </si>
  <si>
    <t>78.0534</t>
  </si>
  <si>
    <t>78.2611</t>
  </si>
  <si>
    <t>78.0405</t>
  </si>
  <si>
    <t>78.7983</t>
  </si>
  <si>
    <t>78.6711</t>
  </si>
  <si>
    <t>79.2326</t>
  </si>
  <si>
    <t>79.2849</t>
  </si>
  <si>
    <t>78.827</t>
  </si>
  <si>
    <t>79.4737</t>
  </si>
  <si>
    <t>79.2859</t>
  </si>
  <si>
    <t>78.3777</t>
  </si>
  <si>
    <t>78.6087</t>
  </si>
  <si>
    <t>78.9279</t>
  </si>
  <si>
    <t>79.1036</t>
  </si>
  <si>
    <t>79.6189</t>
  </si>
  <si>
    <t>79.373</t>
  </si>
  <si>
    <t>79.3287</t>
  </si>
  <si>
    <t>79.8503</t>
  </si>
  <si>
    <t>79.4421</t>
  </si>
  <si>
    <t>79.7646</t>
  </si>
  <si>
    <t>79.6791</t>
  </si>
  <si>
    <t>78.8592</t>
  </si>
  <si>
    <t>78.6828</t>
  </si>
  <si>
    <t>78.8493</t>
  </si>
  <si>
    <t>79.6794</t>
  </si>
  <si>
    <t>79.6519</t>
  </si>
  <si>
    <t>79.6194</t>
  </si>
  <si>
    <t>79.5616</t>
  </si>
  <si>
    <t>79.3392</t>
  </si>
  <si>
    <t>78.6916</t>
  </si>
  <si>
    <t>78.7302</t>
  </si>
  <si>
    <t>78.9409</t>
  </si>
  <si>
    <t>77.628</t>
  </si>
  <si>
    <t>77.9503</t>
  </si>
  <si>
    <t>77.3143</t>
  </si>
  <si>
    <t>77.9001</t>
  </si>
  <si>
    <t>78.682</t>
  </si>
  <si>
    <t>78.6935</t>
  </si>
  <si>
    <t>78.1008</t>
  </si>
  <si>
    <t>77.808</t>
  </si>
  <si>
    <t>77.9593</t>
  </si>
  <si>
    <t>78.734</t>
  </si>
  <si>
    <t>79.3623</t>
  </si>
  <si>
    <t>79.2548</t>
  </si>
  <si>
    <t>78.8166</t>
  </si>
  <si>
    <t>78.5321</t>
  </si>
  <si>
    <t>78.2941</t>
  </si>
  <si>
    <t>77.9936</t>
  </si>
  <si>
    <t>78.8349</t>
  </si>
  <si>
    <t>79.0371</t>
  </si>
  <si>
    <t>79.5528</t>
  </si>
  <si>
    <t>79.5465</t>
  </si>
  <si>
    <t>79.2389</t>
  </si>
  <si>
    <t>79.5138</t>
  </si>
  <si>
    <t>78.1899</t>
  </si>
  <si>
    <t>77.6545</t>
  </si>
  <si>
    <t>77.3597</t>
  </si>
  <si>
    <t>77.2912</t>
  </si>
  <si>
    <t>77.243</t>
  </si>
  <si>
    <t>77.5329</t>
  </si>
  <si>
    <t>77.2302</t>
  </si>
  <si>
    <t>75.5894</t>
  </si>
  <si>
    <t>75.0782</t>
  </si>
  <si>
    <t>75.947</t>
  </si>
  <si>
    <t>74.7618</t>
  </si>
  <si>
    <t>75.0512</t>
  </si>
  <si>
    <t>76.1233</t>
  </si>
  <si>
    <t>76.1752</t>
  </si>
  <si>
    <t>76.3907</t>
  </si>
  <si>
    <t>75.0935</t>
  </si>
  <si>
    <t>75.6515</t>
  </si>
  <si>
    <t>77.6661</t>
  </si>
  <si>
    <t>78.0562</t>
  </si>
  <si>
    <t>78.1526</t>
  </si>
  <si>
    <t>78.0948</t>
  </si>
  <si>
    <t>79.3585</t>
  </si>
  <si>
    <t>79.6729</t>
  </si>
  <si>
    <t>79.7912</t>
  </si>
  <si>
    <t>79.3609</t>
  </si>
  <si>
    <t>78.2253</t>
  </si>
  <si>
    <t>78.5488</t>
  </si>
  <si>
    <t>78.8419</t>
  </si>
  <si>
    <t>79.2724</t>
  </si>
  <si>
    <t>78.1415</t>
  </si>
  <si>
    <t>78.4372</t>
  </si>
  <si>
    <t>78.4133</t>
  </si>
  <si>
    <t>78.0485</t>
  </si>
  <si>
    <t>78.5925</t>
  </si>
  <si>
    <t>78.9311</t>
  </si>
  <si>
    <t>78.2089</t>
  </si>
  <si>
    <t>76.931</t>
  </si>
  <si>
    <t>75.2831</t>
  </si>
  <si>
    <t>76.3404</t>
  </si>
  <si>
    <t>75.7432</t>
  </si>
  <si>
    <t>74.0457</t>
  </si>
  <si>
    <t>75.1028</t>
  </si>
  <si>
    <t>74.265</t>
  </si>
  <si>
    <t>74.0816</t>
  </si>
  <si>
    <t>72.0618</t>
  </si>
  <si>
    <t>71.7482</t>
  </si>
  <si>
    <t>72.3204</t>
  </si>
  <si>
    <t>73.6608</t>
  </si>
  <si>
    <t>71.4652</t>
  </si>
  <si>
    <t>71.7981</t>
  </si>
  <si>
    <t>69.2879</t>
  </si>
  <si>
    <t>70.8556</t>
  </si>
  <si>
    <t>72.5031</t>
  </si>
  <si>
    <t>70.9905</t>
  </si>
  <si>
    <t>69.1167</t>
  </si>
  <si>
    <t>69.1143</t>
  </si>
  <si>
    <t>70.4179</t>
  </si>
  <si>
    <t>70.2068</t>
  </si>
  <si>
    <t>71.1074</t>
  </si>
  <si>
    <t>71.2406</t>
  </si>
  <si>
    <t>74.1306</t>
  </si>
  <si>
    <t>74.0993</t>
  </si>
  <si>
    <t>75.2188</t>
  </si>
  <si>
    <t>74.6039</t>
  </si>
  <si>
    <t>76.1376</t>
  </si>
  <si>
    <t>76.5315</t>
  </si>
  <si>
    <t>77.4569</t>
  </si>
  <si>
    <t>77.5162</t>
  </si>
  <si>
    <t>78.0576</t>
  </si>
  <si>
    <t>78.2925</t>
  </si>
  <si>
    <t>77.7133</t>
  </si>
  <si>
    <t>76.7876</t>
  </si>
  <si>
    <t>77.9151</t>
  </si>
  <si>
    <t>77.7836</t>
  </si>
  <si>
    <t>77.7456</t>
  </si>
  <si>
    <t>77.1113</t>
  </si>
  <si>
    <t>77.5463</t>
  </si>
  <si>
    <t>77.5389</t>
  </si>
  <si>
    <t>79.0996</t>
  </si>
  <si>
    <t>79.7678</t>
  </si>
  <si>
    <t>79.7173</t>
  </si>
  <si>
    <t>78.8104</t>
  </si>
  <si>
    <t>76.8115</t>
  </si>
  <si>
    <t>76.9966</t>
  </si>
  <si>
    <t>77.6256</t>
  </si>
  <si>
    <t>77.428</t>
  </si>
  <si>
    <t>77.2956</t>
  </si>
  <si>
    <t>77.9473</t>
  </si>
  <si>
    <t>78.2344</t>
  </si>
  <si>
    <t>78.2134</t>
  </si>
  <si>
    <t>78.4357</t>
  </si>
  <si>
    <t>79.0783</t>
  </si>
  <si>
    <t>79.3206</t>
  </si>
  <si>
    <t>79.5929</t>
  </si>
  <si>
    <t>78.5586</t>
  </si>
  <si>
    <t>77.6924</t>
  </si>
  <si>
    <t>77.9295</t>
  </si>
  <si>
    <t>77.5397</t>
  </si>
  <si>
    <t>77.8276</t>
  </si>
  <si>
    <t>77.7488</t>
  </si>
  <si>
    <t>76.8216</t>
  </si>
  <si>
    <t>77.7547</t>
  </si>
  <si>
    <t>76.8448</t>
  </si>
  <si>
    <t>76.2071</t>
  </si>
  <si>
    <t>77.8404</t>
  </si>
  <si>
    <t>78.9009</t>
  </si>
  <si>
    <t>79.2822</t>
  </si>
  <si>
    <t>79.641</t>
  </si>
  <si>
    <t>79.994</t>
  </si>
  <si>
    <t>80.1952</t>
  </si>
  <si>
    <t>80.498</t>
  </si>
  <si>
    <t>79.8634</t>
  </si>
  <si>
    <t>80.1563</t>
  </si>
  <si>
    <t>79.6654</t>
  </si>
  <si>
    <t>79.1492</t>
  </si>
  <si>
    <t>79.5666</t>
  </si>
  <si>
    <t>79.8009</t>
  </si>
  <si>
    <t>80.3278</t>
  </si>
  <si>
    <t>80.2219</t>
  </si>
  <si>
    <t>80.6643</t>
  </si>
  <si>
    <t>80.6803</t>
  </si>
  <si>
    <t>79.2619</t>
  </si>
  <si>
    <t>80.3113</t>
  </si>
  <si>
    <t>81.4386</t>
  </si>
  <si>
    <t>81.5038</t>
  </si>
  <si>
    <t>80.9838</t>
  </si>
  <si>
    <t>81.3899</t>
  </si>
  <si>
    <t>81.3097</t>
  </si>
  <si>
    <t>81.209</t>
  </si>
  <si>
    <t>81.5324</t>
  </si>
  <si>
    <t>82.0081</t>
  </si>
  <si>
    <t>14.7346</t>
  </si>
  <si>
    <t>14.7275</t>
  </si>
  <si>
    <t>14.7395</t>
  </si>
  <si>
    <t>14.7569</t>
  </si>
  <si>
    <t>14.7639</t>
  </si>
  <si>
    <t>14.7471</t>
  </si>
  <si>
    <t>14.7588</t>
  </si>
  <si>
    <t>14.7409</t>
  </si>
  <si>
    <t>14.7222</t>
  </si>
  <si>
    <t>14.7096</t>
  </si>
  <si>
    <t>14.7374</t>
  </si>
  <si>
    <t>14.7264</t>
  </si>
  <si>
    <t>14.7133</t>
  </si>
  <si>
    <t>14.7262</t>
  </si>
  <si>
    <t>14.7285</t>
  </si>
  <si>
    <t>14.7307</t>
  </si>
  <si>
    <t>14.7046</t>
  </si>
  <si>
    <t>14.7296</t>
  </si>
  <si>
    <t>14.7116</t>
  </si>
  <si>
    <t>14.7042</t>
  </si>
  <si>
    <t>14.7067</t>
  </si>
  <si>
    <t>14.7172</t>
  </si>
  <si>
    <t>14.7149</t>
  </si>
  <si>
    <t>14.722</t>
  </si>
  <si>
    <t>14.7397</t>
  </si>
  <si>
    <t>14.7412</t>
  </si>
  <si>
    <t>14.7436</t>
  </si>
  <si>
    <t>14.7406</t>
  </si>
  <si>
    <t>14.7426</t>
  </si>
  <si>
    <t>14.745</t>
  </si>
  <si>
    <t>14.7476</t>
  </si>
  <si>
    <t>14.7593</t>
  </si>
  <si>
    <t>14.7375</t>
  </si>
  <si>
    <t>14.7449</t>
  </si>
  <si>
    <t>14.757</t>
  </si>
  <si>
    <t>14.7596</t>
  </si>
  <si>
    <t>14.7621</t>
  </si>
  <si>
    <t>14.7744</t>
  </si>
  <si>
    <t>14.777</t>
  </si>
  <si>
    <t>14.7797</t>
  </si>
  <si>
    <t>14.7914</t>
  </si>
  <si>
    <t>14.8209</t>
  </si>
  <si>
    <t>14.8385</t>
  </si>
  <si>
    <t>14.8556</t>
  </si>
  <si>
    <t>14.8582</t>
  </si>
  <si>
    <t>14.8604</t>
  </si>
  <si>
    <t>14.8628</t>
  </si>
  <si>
    <t>14.87</t>
  </si>
  <si>
    <t>14.8679</t>
  </si>
  <si>
    <t>14.88</t>
  </si>
  <si>
    <t>14.8913</t>
  </si>
  <si>
    <t>14.8943</t>
  </si>
  <si>
    <t>14.9016</t>
  </si>
  <si>
    <t>14.9</t>
  </si>
  <si>
    <t>14.9024</t>
  </si>
  <si>
    <t>14.9119</t>
  </si>
  <si>
    <t>14.9143</t>
  </si>
  <si>
    <t>14.8535</t>
  </si>
  <si>
    <t>14.8559</t>
  </si>
  <si>
    <t>14.8655</t>
  </si>
  <si>
    <t>14.8871</t>
  </si>
  <si>
    <t>14.8991</t>
  </si>
  <si>
    <t>14.9157</t>
  </si>
  <si>
    <t>14.9133</t>
  </si>
  <si>
    <t>14.8966</t>
  </si>
  <si>
    <t>14.9037</t>
  </si>
  <si>
    <t>14.9013</t>
  </si>
  <si>
    <t>14.8992</t>
  </si>
  <si>
    <t>14.9015</t>
  </si>
  <si>
    <t>14.9086</t>
  </si>
  <si>
    <t>14.916</t>
  </si>
  <si>
    <t>14.9089</t>
  </si>
  <si>
    <t>14.9163</t>
  </si>
  <si>
    <t>14.9284</t>
  </si>
  <si>
    <t>14.9451</t>
  </si>
  <si>
    <t>14.9476</t>
  </si>
  <si>
    <t>14.95</t>
  </si>
  <si>
    <t>14.9381</t>
  </si>
  <si>
    <t>14.9406</t>
  </si>
  <si>
    <t>14.943</t>
  </si>
  <si>
    <t>14.9456</t>
  </si>
  <si>
    <t>14.962</t>
  </si>
  <si>
    <t>14.9647</t>
  </si>
  <si>
    <t>14.9385</t>
  </si>
  <si>
    <t>14.9176</t>
  </si>
  <si>
    <t>14.9156</t>
  </si>
  <si>
    <t>14.918</t>
  </si>
  <si>
    <t>14.9068</t>
  </si>
  <si>
    <t>14.9046</t>
  </si>
  <si>
    <t>14.9025</t>
  </si>
  <si>
    <t>14.9003</t>
  </si>
  <si>
    <t>14.8982</t>
  </si>
  <si>
    <t>14.8912</t>
  </si>
  <si>
    <t>14.8935</t>
  </si>
  <si>
    <t>14.9246</t>
  </si>
  <si>
    <t>14.9204</t>
  </si>
  <si>
    <t>14.928</t>
  </si>
  <si>
    <t>14.9258</t>
  </si>
  <si>
    <t>14.9378</t>
  </si>
  <si>
    <t>14.9305</t>
  </si>
  <si>
    <t>14.933</t>
  </si>
  <si>
    <t>14.9168</t>
  </si>
  <si>
    <t>14.9146</t>
  </si>
  <si>
    <t>14.9166</t>
  </si>
  <si>
    <t>14.9181</t>
  </si>
  <si>
    <t>14.9142</t>
  </si>
  <si>
    <t>14.8972</t>
  </si>
  <si>
    <t>14.8531</t>
  </si>
  <si>
    <t>14.851</t>
  </si>
  <si>
    <t>14.8524</t>
  </si>
  <si>
    <t>14.8593</t>
  </si>
  <si>
    <t>14.8603</t>
  </si>
  <si>
    <t>14.8611</t>
  </si>
  <si>
    <t>14.8498</t>
  </si>
  <si>
    <t>14.8739</t>
  </si>
  <si>
    <t>14.879</t>
  </si>
  <si>
    <t>14.8669</t>
  </si>
  <si>
    <t>14.894</t>
  </si>
  <si>
    <t>14.9237</t>
  </si>
  <si>
    <t>14.944</t>
  </si>
  <si>
    <t>14.9141</t>
  </si>
  <si>
    <t>14.9209</t>
  </si>
  <si>
    <t>14.9257</t>
  </si>
  <si>
    <t>14.942</t>
  </si>
  <si>
    <t>14.9597</t>
  </si>
  <si>
    <t>14.9811</t>
  </si>
  <si>
    <t>14.9907</t>
  </si>
  <si>
    <t>14.9937</t>
  </si>
  <si>
    <t>14.9916</t>
  </si>
  <si>
    <t>14.9942</t>
  </si>
  <si>
    <t>14.977</t>
  </si>
  <si>
    <t>14.9843</t>
  </si>
  <si>
    <t>14.9869</t>
  </si>
  <si>
    <t>14.9895</t>
  </si>
  <si>
    <t>14.9921</t>
  </si>
  <si>
    <t>15.0023</t>
  </si>
  <si>
    <t>14.9965</t>
  </si>
  <si>
    <t>14.9726</t>
  </si>
  <si>
    <t>14.9992</t>
  </si>
  <si>
    <t>14.9976</t>
  </si>
  <si>
    <t>14.9822</t>
  </si>
  <si>
    <t>14.9884</t>
  </si>
  <si>
    <t>14.9719</t>
  </si>
  <si>
    <t>14.9631</t>
  </si>
  <si>
    <t>14.9484</t>
  </si>
  <si>
    <t>14.9405</t>
  </si>
  <si>
    <t>14.9449</t>
  </si>
  <si>
    <t>14.9478</t>
  </si>
  <si>
    <t>14.9404</t>
  </si>
  <si>
    <t>14.9131</t>
  </si>
  <si>
    <t>14.8848</t>
  </si>
  <si>
    <t>14.8742</t>
  </si>
  <si>
    <t>14.8575</t>
  </si>
  <si>
    <t>14.8663</t>
  </si>
  <si>
    <t>14.8692</t>
  </si>
  <si>
    <t>14.8721</t>
  </si>
  <si>
    <t>14.8406</t>
  </si>
  <si>
    <t>14.8587</t>
  </si>
  <si>
    <t>14.8615</t>
  </si>
  <si>
    <t>14.9386</t>
  </si>
  <si>
    <t>14.9504</t>
  </si>
  <si>
    <t>14.9555</t>
  </si>
  <si>
    <t>14.9554</t>
  </si>
  <si>
    <t>14.9988</t>
  </si>
  <si>
    <t>14.9967</t>
  </si>
  <si>
    <t>14.9922</t>
  </si>
  <si>
    <t>14.9997</t>
  </si>
  <si>
    <t>15.0026</t>
  </si>
  <si>
    <t>15.0056</t>
  </si>
  <si>
    <t>14.989</t>
  </si>
  <si>
    <t>14.9757</t>
  </si>
  <si>
    <t>14.9735</t>
  </si>
  <si>
    <t>14.9745</t>
  </si>
  <si>
    <t>14.9703</t>
  </si>
  <si>
    <t>14.9388</t>
  </si>
  <si>
    <t>14.9498</t>
  </si>
  <si>
    <t>14.9392</t>
  </si>
  <si>
    <t>14.9833</t>
  </si>
  <si>
    <t>14.9995</t>
  </si>
  <si>
    <t>14.9981</t>
  </si>
  <si>
    <t>14.9899</t>
  </si>
  <si>
    <t>14.9844</t>
  </si>
  <si>
    <t>14.9769</t>
  </si>
  <si>
    <t>14.9681</t>
  </si>
  <si>
    <t>14.9477</t>
  </si>
  <si>
    <t>14.9085</t>
  </si>
  <si>
    <t>14.9061</t>
  </si>
  <si>
    <t>14.9019</t>
  </si>
  <si>
    <t>14.878</t>
  </si>
  <si>
    <t>14.9047</t>
  </si>
  <si>
    <t>14.9341</t>
  </si>
  <si>
    <t>14.9368</t>
  </si>
  <si>
    <t>14.9567</t>
  </si>
  <si>
    <t>14.9652</t>
  </si>
  <si>
    <t>14.9672</t>
  </si>
  <si>
    <t>14.9891</t>
  </si>
  <si>
    <t>14.9717</t>
  </si>
  <si>
    <t>14.9989</t>
  </si>
  <si>
    <t>15.0781</t>
  </si>
  <si>
    <t>15.1302</t>
  </si>
  <si>
    <t>15.1796</t>
  </si>
  <si>
    <t>15.1944</t>
  </si>
  <si>
    <t>15.1658</t>
  </si>
  <si>
    <t>15.2003</t>
  </si>
  <si>
    <t>15.2206</t>
  </si>
  <si>
    <t>15.22</t>
  </si>
  <si>
    <t>15.2031</t>
  </si>
  <si>
    <t>15.2223</t>
  </si>
  <si>
    <t>15.2088</t>
  </si>
  <si>
    <t>15.2334</t>
  </si>
  <si>
    <t>15.2404</t>
  </si>
  <si>
    <t>15.2479</t>
  </si>
  <si>
    <t>15.2852</t>
  </si>
  <si>
    <t>15.2968</t>
  </si>
  <si>
    <t>15.3209</t>
  </si>
  <si>
    <t>15.3236</t>
  </si>
  <si>
    <t>15.3354</t>
  </si>
  <si>
    <t>15.338</t>
  </si>
  <si>
    <t>15.346</t>
  </si>
  <si>
    <t>15.3276</t>
  </si>
  <si>
    <t>15.2813</t>
  </si>
  <si>
    <t>15.2902</t>
  </si>
  <si>
    <t>15.3017</t>
  </si>
  <si>
    <t>15.3058</t>
  </si>
  <si>
    <t>15.2634</t>
  </si>
  <si>
    <t>15.266</t>
  </si>
  <si>
    <t>15.2802</t>
  </si>
  <si>
    <t>15.2864</t>
  </si>
  <si>
    <t>15.2859</t>
  </si>
  <si>
    <t>15.2853</t>
  </si>
  <si>
    <t>14.1747</t>
  </si>
  <si>
    <t>14.0339</t>
  </si>
  <si>
    <t>14.1396</t>
  </si>
  <si>
    <t>14.1189</t>
  </si>
  <si>
    <t>14.03</t>
  </si>
  <si>
    <t>14.061</t>
  </si>
  <si>
    <t>13.9166</t>
  </si>
  <si>
    <t>14.035</t>
  </si>
  <si>
    <t>14.0033</t>
  </si>
  <si>
    <t>14.0911</t>
  </si>
  <si>
    <t>14.1124</t>
  </si>
  <si>
    <t>14.2844</t>
  </si>
  <si>
    <t>14.3568</t>
  </si>
  <si>
    <t>14.4381</t>
  </si>
  <si>
    <t>14.4386</t>
  </si>
  <si>
    <t>14.346</t>
  </si>
  <si>
    <t>14.4155</t>
  </si>
  <si>
    <t>14.2693</t>
  </si>
  <si>
    <t>14.1295</t>
  </si>
  <si>
    <t>14.0821</t>
  </si>
  <si>
    <t>14.2654</t>
  </si>
  <si>
    <t>14.2549</t>
  </si>
  <si>
    <t>14.3052</t>
  </si>
  <si>
    <t>14.3087</t>
  </si>
  <si>
    <t>14.311</t>
  </si>
  <si>
    <t>14.344</t>
  </si>
  <si>
    <t>14.4258</t>
  </si>
  <si>
    <t>14.4928</t>
  </si>
  <si>
    <t>14.5013</t>
  </si>
  <si>
    <t>14.5384</t>
  </si>
  <si>
    <t>14.5205</t>
  </si>
  <si>
    <t>14.6086</t>
  </si>
  <si>
    <t>14.6589</t>
  </si>
  <si>
    <t>14.7221</t>
  </si>
  <si>
    <t>14.6855</t>
  </si>
  <si>
    <t>14.6042</t>
  </si>
  <si>
    <t>14.562</t>
  </si>
  <si>
    <t>14.4859</t>
  </si>
  <si>
    <t>14.3707</t>
  </si>
  <si>
    <t>14.1591</t>
  </si>
  <si>
    <t>14.1736</t>
  </si>
  <si>
    <t>14.1769</t>
  </si>
  <si>
    <t>14.2839</t>
  </si>
  <si>
    <t>14.3145</t>
  </si>
  <si>
    <t>14.4282</t>
  </si>
  <si>
    <t>14.4545</t>
  </si>
  <si>
    <t>14.4264</t>
  </si>
  <si>
    <t>14.4917</t>
  </si>
  <si>
    <t>14.5463</t>
  </si>
  <si>
    <t>14.5236</t>
  </si>
  <si>
    <t>14.4799</t>
  </si>
  <si>
    <t>14.5882</t>
  </si>
  <si>
    <t>14.6885</t>
  </si>
  <si>
    <t>14.7231</t>
  </si>
  <si>
    <t>14.7599</t>
  </si>
  <si>
    <t>14.7899</t>
  </si>
  <si>
    <t>14.7332</t>
  </si>
  <si>
    <t>14.8405</t>
  </si>
  <si>
    <t>14.8014</t>
  </si>
  <si>
    <t>14.874</t>
  </si>
  <si>
    <t>14.7879</t>
  </si>
  <si>
    <t>14.6924</t>
  </si>
  <si>
    <t>14.77</t>
  </si>
  <si>
    <t>14.6979</t>
  </si>
  <si>
    <t>14.6405</t>
  </si>
  <si>
    <t>14.6332</t>
  </si>
  <si>
    <t>14.6871</t>
  </si>
  <si>
    <t>14.7499</t>
  </si>
  <si>
    <t>14.8834</t>
  </si>
  <si>
    <t>14.8551</t>
  </si>
  <si>
    <t>14.8478</t>
  </si>
  <si>
    <t>14.9353</t>
  </si>
  <si>
    <t>14.8619</t>
  </si>
  <si>
    <t>14.9684</t>
  </si>
  <si>
    <t>15.0177</t>
  </si>
  <si>
    <t>14.9264</t>
  </si>
  <si>
    <t>14.8835</t>
  </si>
  <si>
    <t>14.8602</t>
  </si>
  <si>
    <t>15.0283</t>
  </si>
  <si>
    <t>15.0272</t>
  </si>
  <si>
    <t>15.0137</t>
  </si>
  <si>
    <t>15.0162</t>
  </si>
  <si>
    <t>14.9904</t>
  </si>
  <si>
    <t>14.9418</t>
  </si>
  <si>
    <t>14.9926</t>
  </si>
  <si>
    <t>15.0796</t>
  </si>
  <si>
    <t>14.9248</t>
  </si>
  <si>
    <t>14.8785</t>
  </si>
  <si>
    <t>14.7995</t>
  </si>
  <si>
    <t>14.8804</t>
  </si>
  <si>
    <t>14.9725</t>
  </si>
  <si>
    <t>14.9664</t>
  </si>
  <si>
    <t>14.8683</t>
  </si>
  <si>
    <t>14.84</t>
  </si>
  <si>
    <t>14.8502</t>
  </si>
  <si>
    <t>14.929</t>
  </si>
  <si>
    <t>15.0498</t>
  </si>
  <si>
    <t>15.04</t>
  </si>
  <si>
    <t>15.0199</t>
  </si>
  <si>
    <t>14.9487</t>
  </si>
  <si>
    <t>14.8892</t>
  </si>
  <si>
    <t>14.8704</t>
  </si>
  <si>
    <t>14.9744</t>
  </si>
  <si>
    <t>15.045</t>
  </si>
  <si>
    <t>15.1515</t>
  </si>
  <si>
    <t>15.1192</t>
  </si>
  <si>
    <t>15.1426</t>
  </si>
  <si>
    <t>15.1448</t>
  </si>
  <si>
    <t>14.9991</t>
  </si>
  <si>
    <t>14.8809</t>
  </si>
  <si>
    <t>14.9178</t>
  </si>
  <si>
    <t>14.9285</t>
  </si>
  <si>
    <t>14.8927</t>
  </si>
  <si>
    <t>14.9519</t>
  </si>
  <si>
    <t>14.9222</t>
  </si>
  <si>
    <t>14.6673</t>
  </si>
  <si>
    <t>14.6198</t>
  </si>
  <si>
    <t>14.6978</t>
  </si>
  <si>
    <t>14.5422</t>
  </si>
  <si>
    <t>14.5794</t>
  </si>
  <si>
    <t>14.6852</t>
  </si>
  <si>
    <t>14.6918</t>
  </si>
  <si>
    <t>14.6505</t>
  </si>
  <si>
    <t>14.4419</t>
  </si>
  <si>
    <t>14.5333</t>
  </si>
  <si>
    <t>14.8699</t>
  </si>
  <si>
    <t>14.8591</t>
  </si>
  <si>
    <t>14.7886</t>
  </si>
  <si>
    <t>14.8012</t>
  </si>
  <si>
    <t>14.9179</t>
  </si>
  <si>
    <t>14.9661</t>
  </si>
  <si>
    <t>14.8826</t>
  </si>
  <si>
    <t>14.7192</t>
  </si>
  <si>
    <t>14.8078</t>
  </si>
  <si>
    <t>14.8329</t>
  </si>
  <si>
    <t>14.6475</t>
  </si>
  <si>
    <t>14.6972</t>
  </si>
  <si>
    <t>14.753</t>
  </si>
  <si>
    <t>14.5913</t>
  </si>
  <si>
    <t>14.6692</t>
  </si>
  <si>
    <t>14.6847</t>
  </si>
  <si>
    <t>14.3339</t>
  </si>
  <si>
    <t>14.0934</t>
  </si>
  <si>
    <t>14.2279</t>
  </si>
  <si>
    <t>14.0646</t>
  </si>
  <si>
    <t>13.8002</t>
  </si>
  <si>
    <t>13.9784</t>
  </si>
  <si>
    <t>13.728</t>
  </si>
  <si>
    <t>13.6053</t>
  </si>
  <si>
    <t>13.3388</t>
  </si>
  <si>
    <t>13.427</t>
  </si>
  <si>
    <t>13.5291</t>
  </si>
  <si>
    <t>13.6981</t>
  </si>
  <si>
    <t>13.258</t>
  </si>
  <si>
    <t>13.3351</t>
  </si>
  <si>
    <t>12.9838</t>
  </si>
  <si>
    <t>13.2227</t>
  </si>
  <si>
    <t>13.4649</t>
  </si>
  <si>
    <t>13.1967</t>
  </si>
  <si>
    <t>12.8911</t>
  </si>
  <si>
    <t>12.8907</t>
  </si>
  <si>
    <t>13.1143</t>
  </si>
  <si>
    <t>13.1412</t>
  </si>
  <si>
    <t>13.315</t>
  </si>
  <si>
    <t>13.4017</t>
  </si>
  <si>
    <t>13.9058</t>
  </si>
  <si>
    <t>13.8172</t>
  </si>
  <si>
    <t>13.9861</t>
  </si>
  <si>
    <t>13.8531</t>
  </si>
  <si>
    <t>14.1042</t>
  </si>
  <si>
    <t>14.1307</t>
  </si>
  <si>
    <t>14.2509</t>
  </si>
  <si>
    <t>14.2772</t>
  </si>
  <si>
    <t>14.3951</t>
  </si>
  <si>
    <t>14.2827</t>
  </si>
  <si>
    <t>14.1224</t>
  </si>
  <si>
    <t>13.9189</t>
  </si>
  <si>
    <t>14.0302</t>
  </si>
  <si>
    <t>13.9322</t>
  </si>
  <si>
    <t>13.9879</t>
  </si>
  <si>
    <t>13.8748</t>
  </si>
  <si>
    <t>13.916</t>
  </si>
  <si>
    <t>14.118</t>
  </si>
  <si>
    <t>14.1298</t>
  </si>
  <si>
    <t>14.0925</t>
  </si>
  <si>
    <t>13.8623</t>
  </si>
  <si>
    <t>13.5704</t>
  </si>
  <si>
    <t>13.5671</t>
  </si>
  <si>
    <t>13.6744</t>
  </si>
  <si>
    <t>13.6672</t>
  </si>
  <si>
    <t>13.6312</t>
  </si>
  <si>
    <t>13.6764</t>
  </si>
  <si>
    <t>13.7049</t>
  </si>
  <si>
    <t>13.6995</t>
  </si>
  <si>
    <t>13.7524</t>
  </si>
  <si>
    <t>13.9086</t>
  </si>
  <si>
    <t>13.8662</t>
  </si>
  <si>
    <t>13.9413</t>
  </si>
  <si>
    <t>13.7997</t>
  </si>
  <si>
    <t>13.701</t>
  </si>
  <si>
    <t>13.8015</t>
  </si>
  <si>
    <t>13.7193</t>
  </si>
  <si>
    <t>13.752</t>
  </si>
  <si>
    <t>13.7544</t>
  </si>
  <si>
    <t>13.5967</t>
  </si>
  <si>
    <t>13.6938</t>
  </si>
  <si>
    <t>13.6327</t>
  </si>
  <si>
    <t>13.5358</t>
  </si>
  <si>
    <t>13.7713</t>
  </si>
  <si>
    <t>13.9497</t>
  </si>
  <si>
    <t>14.0331</t>
  </si>
  <si>
    <t>14.1147</t>
  </si>
  <si>
    <t>14.1461</t>
  </si>
  <si>
    <t>14.0779</t>
  </si>
  <si>
    <t>14.1187</t>
  </si>
  <si>
    <t>13.9658</t>
  </si>
  <si>
    <t>14.0491</t>
  </si>
  <si>
    <t>14.0591</t>
  </si>
  <si>
    <t>13.9858</t>
  </si>
  <si>
    <t>13.9454</t>
  </si>
  <si>
    <t>14.0228</t>
  </si>
  <si>
    <t>14.1624</t>
  </si>
  <si>
    <t>14.2168</t>
  </si>
  <si>
    <t>14.2928</t>
  </si>
  <si>
    <t>14.3025</t>
  </si>
  <si>
    <t>14.0265</t>
  </si>
  <si>
    <t>14.0976</t>
  </si>
  <si>
    <t>14.2259</t>
  </si>
  <si>
    <t>14.2534</t>
  </si>
  <si>
    <t>14.1627</t>
  </si>
  <si>
    <t>14.2175</t>
  </si>
  <si>
    <t>14.2342</t>
  </si>
  <si>
    <t>14.3324</t>
  </si>
  <si>
    <t>14.322</t>
  </si>
  <si>
    <t>14.3309</t>
  </si>
  <si>
    <t>10.6889</t>
  </si>
  <si>
    <t>10.6284</t>
  </si>
  <si>
    <t>10.6815</t>
  </si>
  <si>
    <t>10.6699</t>
  </si>
  <si>
    <t>10.6292</t>
  </si>
  <si>
    <t>10.6467</t>
  </si>
  <si>
    <t>10.5714</t>
  </si>
  <si>
    <t>10.6301</t>
  </si>
  <si>
    <t>10.6036</t>
  </si>
  <si>
    <t>10.6472</t>
  </si>
  <si>
    <t>10.6595</t>
  </si>
  <si>
    <t>10.728</t>
  </si>
  <si>
    <t>10.7611</t>
  </si>
  <si>
    <t>10.7924</t>
  </si>
  <si>
    <t>10.8092</t>
  </si>
  <si>
    <t>10.7464</t>
  </si>
  <si>
    <t>10.7731</t>
  </si>
  <si>
    <t>10.6858</t>
  </si>
  <si>
    <t>10.6233</t>
  </si>
  <si>
    <t>10.5929</t>
  </si>
  <si>
    <t>10.663</t>
  </si>
  <si>
    <t>10.6466</t>
  </si>
  <si>
    <t>10.693</t>
  </si>
  <si>
    <t>10.7096</t>
  </si>
  <si>
    <t>10.7129</t>
  </si>
  <si>
    <t>10.7171</t>
  </si>
  <si>
    <t>10.7524</t>
  </si>
  <si>
    <t>10.7914</t>
  </si>
  <si>
    <t>10.8022</t>
  </si>
  <si>
    <t>10.8376</t>
  </si>
  <si>
    <t>10.8235</t>
  </si>
  <si>
    <t>10.8793</t>
  </si>
  <si>
    <t>10.9143</t>
  </si>
  <si>
    <t>10.9412</t>
  </si>
  <si>
    <t>10.9079</t>
  </si>
  <si>
    <t>10.857</t>
  </si>
  <si>
    <t>10.8432</t>
  </si>
  <si>
    <t>10.805</t>
  </si>
  <si>
    <t>10.7489</t>
  </si>
  <si>
    <t>10.659</t>
  </si>
  <si>
    <t>10.6512</t>
  </si>
  <si>
    <t>10.6427</t>
  </si>
  <si>
    <t>10.7245</t>
  </si>
  <si>
    <t>10.7529</t>
  </si>
  <si>
    <t>10.8157</t>
  </si>
  <si>
    <t>10.8292</t>
  </si>
  <si>
    <t>10.8119</t>
  </si>
  <si>
    <t>10.8495</t>
  </si>
  <si>
    <t>10.8834</t>
  </si>
  <si>
    <t>10.8628</t>
  </si>
  <si>
    <t>10.8453</t>
  </si>
  <si>
    <t>10.9135</t>
  </si>
  <si>
    <t>11.0062</t>
  </si>
  <si>
    <t>11.0467</t>
  </si>
  <si>
    <t>11.0937</t>
  </si>
  <si>
    <t>11.1049</t>
  </si>
  <si>
    <t>11.07</t>
  </si>
  <si>
    <t>11.1308</t>
  </si>
  <si>
    <t>11.1176</t>
  </si>
  <si>
    <t>11.1516</t>
  </si>
  <si>
    <t>11.0912</t>
  </si>
  <si>
    <t>11.0434</t>
  </si>
  <si>
    <t>11.0601</t>
  </si>
  <si>
    <t>11.0055</t>
  </si>
  <si>
    <t>10.9769</t>
  </si>
  <si>
    <t>10.9668</t>
  </si>
  <si>
    <t>10.9898</t>
  </si>
  <si>
    <t>11.0317</t>
  </si>
  <si>
    <t>11.0991</t>
  </si>
  <si>
    <t>11.1053</t>
  </si>
  <si>
    <t>11.1181</t>
  </si>
  <si>
    <t>11.1659</t>
  </si>
  <si>
    <t>11.1369</t>
  </si>
  <si>
    <t>11.1863</t>
  </si>
  <si>
    <t>11.2203</t>
  </si>
  <si>
    <t>11.1737</t>
  </si>
  <si>
    <t>11.1387</t>
  </si>
  <si>
    <t>11.1253</t>
  </si>
  <si>
    <t>11.2289</t>
  </si>
  <si>
    <t>11.2284</t>
  </si>
  <si>
    <t>11.2245</t>
  </si>
  <si>
    <t>11.2083</t>
  </si>
  <si>
    <t>11.1711</t>
  </si>
  <si>
    <t>11.1546</t>
  </si>
  <si>
    <t>11.163</t>
  </si>
  <si>
    <t>11.2085</t>
  </si>
  <si>
    <t>11.128</t>
  </si>
  <si>
    <t>11.09</t>
  </si>
  <si>
    <t>11.0635</t>
  </si>
  <si>
    <t>11.1113</t>
  </si>
  <si>
    <t>11.1649</t>
  </si>
  <si>
    <t>11.1576</t>
  </si>
  <si>
    <t>11.108</t>
  </si>
  <si>
    <t>11.0965</t>
  </si>
  <si>
    <t>11.1031</t>
  </si>
  <si>
    <t>11.171</t>
  </si>
  <si>
    <t>11.232</t>
  </si>
  <si>
    <t>11.2238</t>
  </si>
  <si>
    <t>11.2207</t>
  </si>
  <si>
    <t>11.1888</t>
  </si>
  <si>
    <t>11.1478</t>
  </si>
  <si>
    <t>11.1402</t>
  </si>
  <si>
    <t>11.2005</t>
  </si>
  <si>
    <t>11.209</t>
  </si>
  <si>
    <t>11.2703</t>
  </si>
  <si>
    <t>11.2412</t>
  </si>
  <si>
    <t>11.2076</t>
  </si>
  <si>
    <t>11.2013</t>
  </si>
  <si>
    <t>11.1078</t>
  </si>
  <si>
    <t>11.042</t>
  </si>
  <si>
    <t>11.0741</t>
  </si>
  <si>
    <t>11.0526</t>
  </si>
  <si>
    <t>11.0293</t>
  </si>
  <si>
    <t>11.0546</t>
  </si>
  <si>
    <t>11.0109</t>
  </si>
  <si>
    <t>10.8903</t>
  </si>
  <si>
    <t>10.8546</t>
  </si>
  <si>
    <t>10.9094</t>
  </si>
  <si>
    <t>10.8307</t>
  </si>
  <si>
    <t>10.8686</t>
  </si>
  <si>
    <t>10.9268</t>
  </si>
  <si>
    <t>10.9484</t>
  </si>
  <si>
    <t>10.9267</t>
  </si>
  <si>
    <t>10.7656</t>
  </si>
  <si>
    <t>10.8449</t>
  </si>
  <si>
    <t>11.0662</t>
  </si>
  <si>
    <t>11.0799</t>
  </si>
  <si>
    <t>11.0383</t>
  </si>
  <si>
    <t>11.0486</t>
  </si>
  <si>
    <t>11.1133</t>
  </si>
  <si>
    <t>11.1466</t>
  </si>
  <si>
    <t>11.1508</t>
  </si>
  <si>
    <t>11.1003</t>
  </si>
  <si>
    <t>10.9888</t>
  </si>
  <si>
    <t>11.0539</t>
  </si>
  <si>
    <t>11.0716</t>
  </si>
  <si>
    <t>11.1019</t>
  </si>
  <si>
    <t>10.9779</t>
  </si>
  <si>
    <t>11.0116</t>
  </si>
  <si>
    <t>11.056</t>
  </si>
  <si>
    <t>10.9598</t>
  </si>
  <si>
    <t>10.9896</t>
  </si>
  <si>
    <t>10.995</t>
  </si>
  <si>
    <t>10.8951</t>
  </si>
  <si>
    <t>10.7857</t>
  </si>
  <si>
    <t>10.6482</t>
  </si>
  <si>
    <t>10.7437</t>
  </si>
  <si>
    <t>10.6362</t>
  </si>
  <si>
    <t>10.4661</t>
  </si>
  <si>
    <t>10.5635</t>
  </si>
  <si>
    <t>10.4168</t>
  </si>
  <si>
    <t>10.3338</t>
  </si>
  <si>
    <t>10.1587</t>
  </si>
  <si>
    <t>10.2354</t>
  </si>
  <si>
    <t>10.2973</t>
  </si>
  <si>
    <t>10.3796</t>
  </si>
  <si>
    <t>10.1032</t>
  </si>
  <si>
    <t>10.1414</t>
  </si>
  <si>
    <t>9.9214</t>
  </si>
  <si>
    <t>10.0619</t>
  </si>
  <si>
    <t>10.1954</t>
  </si>
  <si>
    <t>10.0284</t>
  </si>
  <si>
    <t>9.8481</t>
  </si>
  <si>
    <t>9.8482</t>
  </si>
  <si>
    <t>9.9597</t>
  </si>
  <si>
    <t>9.967</t>
  </si>
  <si>
    <t>10.0602</t>
  </si>
  <si>
    <t>10.1078</t>
  </si>
  <si>
    <t>10.4176</t>
  </si>
  <si>
    <t>10.3428</t>
  </si>
  <si>
    <t>10.443</t>
  </si>
  <si>
    <t>10.376</t>
  </si>
  <si>
    <t>10.5041</t>
  </si>
  <si>
    <t>10.4971</t>
  </si>
  <si>
    <t>10.5542</t>
  </si>
  <si>
    <t>10.5585</t>
  </si>
  <si>
    <t>10.6353</t>
  </si>
  <si>
    <t>10.5702</t>
  </si>
  <si>
    <t>10.4963</t>
  </si>
  <si>
    <t>10.4081</t>
  </si>
  <si>
    <t>10.468</t>
  </si>
  <si>
    <t>10.4275</t>
  </si>
  <si>
    <t>10.4769</t>
  </si>
  <si>
    <t>10.4155</t>
  </si>
  <si>
    <t>10.4535</t>
  </si>
  <si>
    <t>10.4297</t>
  </si>
  <si>
    <t>10.5535</t>
  </si>
  <si>
    <t>10.554</t>
  </si>
  <si>
    <t>10.4962</t>
  </si>
  <si>
    <t>10.3623</t>
  </si>
  <si>
    <t>10.2061</t>
  </si>
  <si>
    <t>10.2113</t>
  </si>
  <si>
    <t>10.3022</t>
  </si>
  <si>
    <t>10.2877</t>
  </si>
  <si>
    <t>10.2748</t>
  </si>
  <si>
    <t>10.27</t>
  </si>
  <si>
    <t>10.287</t>
  </si>
  <si>
    <t>10.2821</t>
  </si>
  <si>
    <t>10.3175</t>
  </si>
  <si>
    <t>10.4369</t>
  </si>
  <si>
    <t>10.3995</t>
  </si>
  <si>
    <t>10.3969</t>
  </si>
  <si>
    <t>10.2907</t>
  </si>
  <si>
    <t>10.2349</t>
  </si>
  <si>
    <t>10.2778</t>
  </si>
  <si>
    <t>10.2533</t>
  </si>
  <si>
    <t>10.2656</t>
  </si>
  <si>
    <t>10.258</t>
  </si>
  <si>
    <t>10.1727</t>
  </si>
  <si>
    <t>10.232</t>
  </si>
  <si>
    <t>10.2188</t>
  </si>
  <si>
    <t>10.2011</t>
  </si>
  <si>
    <t>10.3708</t>
  </si>
  <si>
    <t>10.4562</t>
  </si>
  <si>
    <t>10.505</t>
  </si>
  <si>
    <t>10.5411</t>
  </si>
  <si>
    <t>10.5756</t>
  </si>
  <si>
    <t>10.5434</t>
  </si>
  <si>
    <t>10.5752</t>
  </si>
  <si>
    <t>10.4884</t>
  </si>
  <si>
    <t>10.567</t>
  </si>
  <si>
    <t>10.5739</t>
  </si>
  <si>
    <t>10.5381</t>
  </si>
  <si>
    <t>10.5185</t>
  </si>
  <si>
    <t>10.5564</t>
  </si>
  <si>
    <t>10.6113</t>
  </si>
  <si>
    <t>10.6414</t>
  </si>
  <si>
    <t>10.7004</t>
  </si>
  <si>
    <t>10.6846</t>
  </si>
  <si>
    <t>10.5036</t>
  </si>
  <si>
    <t>10.5406</t>
  </si>
  <si>
    <t>10.6312</t>
  </si>
  <si>
    <t>10.6331</t>
  </si>
  <si>
    <t>10.574</t>
  </si>
  <si>
    <t>10.595</t>
  </si>
  <si>
    <t>10.5932</t>
  </si>
  <si>
    <t>10.6715</t>
  </si>
  <si>
    <t>10.6345</t>
  </si>
  <si>
    <t>10.622</t>
  </si>
  <si>
    <t>9.9064</t>
  </si>
  <si>
    <t>9.9127</t>
  </si>
  <si>
    <t>9.7854</t>
  </si>
  <si>
    <t>9.8887</t>
  </si>
  <si>
    <t>9.8618</t>
  </si>
  <si>
    <t>9.7065</t>
  </si>
  <si>
    <t>9.7658</t>
  </si>
  <si>
    <t>9.5111</t>
  </si>
  <si>
    <t>9.5796</t>
  </si>
  <si>
    <t>9.5505</t>
  </si>
  <si>
    <t>9.637</t>
  </si>
  <si>
    <t>9.6319</t>
  </si>
  <si>
    <t>9.726</t>
  </si>
  <si>
    <t>9.7705</t>
  </si>
  <si>
    <t>9.8075</t>
  </si>
  <si>
    <t>9.7776</t>
  </si>
  <si>
    <t>9.7695</t>
  </si>
  <si>
    <t>9.7632</t>
  </si>
  <si>
    <t>9.5665</t>
  </si>
  <si>
    <t>9.4265</t>
  </si>
  <si>
    <t>9.3537</t>
  </si>
  <si>
    <t>9.542</t>
  </si>
  <si>
    <t>9.5614</t>
  </si>
  <si>
    <t>9.6692</t>
  </si>
  <si>
    <t>9.5909</t>
  </si>
  <si>
    <t>9.5898</t>
  </si>
  <si>
    <t>9.5805</t>
  </si>
  <si>
    <t>9.6259</t>
  </si>
  <si>
    <t>9.7114</t>
  </si>
  <si>
    <t>9.6769</t>
  </si>
  <si>
    <t>9.7517</t>
  </si>
  <si>
    <t>9.7811</t>
  </si>
  <si>
    <t>9.8297</t>
  </si>
  <si>
    <t>9.8883</t>
  </si>
  <si>
    <t>9.8877</t>
  </si>
  <si>
    <t>9.8558</t>
  </si>
  <si>
    <t>9.7795</t>
  </si>
  <si>
    <t>9.7305</t>
  </si>
  <si>
    <t>9.6412</t>
  </si>
  <si>
    <t>9.5787</t>
  </si>
  <si>
    <t>9.3634</t>
  </si>
  <si>
    <t>9.3543</t>
  </si>
  <si>
    <t>9.2717</t>
  </si>
  <si>
    <t>9.3883</t>
  </si>
  <si>
    <t>9.4421</t>
  </si>
  <si>
    <t>9.5784</t>
  </si>
  <si>
    <t>9.5838</t>
  </si>
  <si>
    <t>9.5331</t>
  </si>
  <si>
    <t>9.6204</t>
  </si>
  <si>
    <t>9.6762</t>
  </si>
  <si>
    <t>9.7153</t>
  </si>
  <si>
    <t>9.6538</t>
  </si>
  <si>
    <t>9.7447</t>
  </si>
  <si>
    <t>9.757</t>
  </si>
  <si>
    <t>9.7734</t>
  </si>
  <si>
    <t>9.8061</t>
  </si>
  <si>
    <t>9.7147</t>
  </si>
  <si>
    <t>9.6774</t>
  </si>
  <si>
    <t>9.745</t>
  </si>
  <si>
    <t>9.7388</t>
  </si>
  <si>
    <t>9.7581</t>
  </si>
  <si>
    <t>9.7528</t>
  </si>
  <si>
    <t>9.689</t>
  </si>
  <si>
    <t>9.7798</t>
  </si>
  <si>
    <t>9.7202</t>
  </si>
  <si>
    <t>9.6827</t>
  </si>
  <si>
    <t>9.7743</t>
  </si>
  <si>
    <t>9.7927</t>
  </si>
  <si>
    <t>9.799</t>
  </si>
  <si>
    <t>9.8663</t>
  </si>
  <si>
    <t>9.8334</t>
  </si>
  <si>
    <t>9.8834</t>
  </si>
  <si>
    <t>9.9679</t>
  </si>
  <si>
    <t>9.8627</t>
  </si>
  <si>
    <t>9.9049</t>
  </si>
  <si>
    <t>9.9374</t>
  </si>
  <si>
    <t>9.8008</t>
  </si>
  <si>
    <t>9.7315</t>
  </si>
  <si>
    <t>9.7496</t>
  </si>
  <si>
    <t>9.9347</t>
  </si>
  <si>
    <t>9.9136</t>
  </si>
  <si>
    <t>9.9167</t>
  </si>
  <si>
    <t>9.932</t>
  </si>
  <si>
    <t>9.9066</t>
  </si>
  <si>
    <t>9.7721</t>
  </si>
  <si>
    <t>9.6923</t>
  </si>
  <si>
    <t>9.696</t>
  </si>
  <si>
    <t>9.492</t>
  </si>
  <si>
    <t>9.5682</t>
  </si>
  <si>
    <t>9.395</t>
  </si>
  <si>
    <t>9.4879</t>
  </si>
  <si>
    <t>9.6013</t>
  </si>
  <si>
    <t>9.5656</t>
  </si>
  <si>
    <t>9.4867</t>
  </si>
  <si>
    <t>9.4281</t>
  </si>
  <si>
    <t>9.5923</t>
  </si>
  <si>
    <t>9.7168</t>
  </si>
  <si>
    <t>9.6919</t>
  </si>
  <si>
    <t>9.6864</t>
  </si>
  <si>
    <t>9.6168</t>
  </si>
  <si>
    <t>9.5431</t>
  </si>
  <si>
    <t>9.4802</t>
  </si>
  <si>
    <t>9.5703</t>
  </si>
  <si>
    <t>9.5789</t>
  </si>
  <si>
    <t>9.6186</t>
  </si>
  <si>
    <t>9.6544</t>
  </si>
  <si>
    <t>9.6717</t>
  </si>
  <si>
    <t>9.6971</t>
  </si>
  <si>
    <t>9.5116</t>
  </si>
  <si>
    <t>9.3691</t>
  </si>
  <si>
    <t>9.3176</t>
  </si>
  <si>
    <t>9.3521</t>
  </si>
  <si>
    <t>9.4188</t>
  </si>
  <si>
    <t>9.3849</t>
  </si>
  <si>
    <t>9.3731</t>
  </si>
  <si>
    <t>9.137</t>
  </si>
  <si>
    <t>9.0389</t>
  </si>
  <si>
    <t>9.1274</t>
  </si>
  <si>
    <t>8.9818</t>
  </si>
  <si>
    <t>9.0173</t>
  </si>
  <si>
    <t>9.1788</t>
  </si>
  <si>
    <t>9.19</t>
  </si>
  <si>
    <t>9.2009</t>
  </si>
  <si>
    <t>8.9337</t>
  </si>
  <si>
    <t>9.0251</t>
  </si>
  <si>
    <t>9.3124</t>
  </si>
  <si>
    <t>9.3958</t>
  </si>
  <si>
    <t>9.3222</t>
  </si>
  <si>
    <t>9.4232</t>
  </si>
  <si>
    <t>9.5879</t>
  </si>
  <si>
    <t>9.5922</t>
  </si>
  <si>
    <t>9.6568</t>
  </si>
  <si>
    <t>9.6997</t>
  </si>
  <si>
    <t>9.5207</t>
  </si>
  <si>
    <t>9.5464</t>
  </si>
  <si>
    <t>9.6115</t>
  </si>
  <si>
    <t>9.7407</t>
  </si>
  <si>
    <t>9.5985</t>
  </si>
  <si>
    <t>9.6612</t>
  </si>
  <si>
    <t>9.6375</t>
  </si>
  <si>
    <t>9.5915</t>
  </si>
  <si>
    <t>9.6666</t>
  </si>
  <si>
    <t>9.7204</t>
  </si>
  <si>
    <t>9.6003</t>
  </si>
  <si>
    <t>9.4572</t>
  </si>
  <si>
    <t>9.2241</t>
  </si>
  <si>
    <t>9.3873</t>
  </si>
  <si>
    <t>9.3258</t>
  </si>
  <si>
    <t>9.1282</t>
  </si>
  <si>
    <t>9.3328</t>
  </si>
  <si>
    <t>9.1655</t>
  </si>
  <si>
    <t>9.0743</t>
  </si>
  <si>
    <t>8.8481</t>
  </si>
  <si>
    <t>8.8625</t>
  </si>
  <si>
    <t>8.97</t>
  </si>
  <si>
    <t>9.1009</t>
  </si>
  <si>
    <t>8.8101</t>
  </si>
  <si>
    <t>8.8296</t>
  </si>
  <si>
    <t>8.6979</t>
  </si>
  <si>
    <t>8.6775</t>
  </si>
  <si>
    <t>8.413</t>
  </si>
  <si>
    <t>8.4127</t>
  </si>
  <si>
    <t>8.653</t>
  </si>
  <si>
    <t>8.6241</t>
  </si>
  <si>
    <t>8.7779</t>
  </si>
  <si>
    <t>8.7804</t>
  </si>
  <si>
    <t>9.1856</t>
  </si>
  <si>
    <t>9.2274</t>
  </si>
  <si>
    <t>9.3644</t>
  </si>
  <si>
    <t>9.5241</t>
  </si>
  <si>
    <t>9.5631</t>
  </si>
  <si>
    <t>9.663</t>
  </si>
  <si>
    <t>9.6804</t>
  </si>
  <si>
    <t>9.6909</t>
  </si>
  <si>
    <t>9.7112</t>
  </si>
  <si>
    <t>9.6631</t>
  </si>
  <si>
    <t>9.6225</t>
  </si>
  <si>
    <t>9.7052</t>
  </si>
  <si>
    <t>9.6835</t>
  </si>
  <si>
    <t>9.7222</t>
  </si>
  <si>
    <t>9.619</t>
  </si>
  <si>
    <t>9.6837</t>
  </si>
  <si>
    <t>9.7347</t>
  </si>
  <si>
    <t>9.8707</t>
  </si>
  <si>
    <t>10.0374</t>
  </si>
  <si>
    <t>9.9778</t>
  </si>
  <si>
    <t>9.8557</t>
  </si>
  <si>
    <t>9.6224</t>
  </si>
  <si>
    <t>9.6844</t>
  </si>
  <si>
    <t>9.8476</t>
  </si>
  <si>
    <t>9.794</t>
  </si>
  <si>
    <t>9.709</t>
  </si>
  <si>
    <t>9.7413</t>
  </si>
  <si>
    <t>9.8206</t>
  </si>
  <si>
    <t>9.8368</t>
  </si>
  <si>
    <t>9.8391</t>
  </si>
  <si>
    <t>9.9787</t>
  </si>
  <si>
    <t>10.026</t>
  </si>
  <si>
    <t>10.1126</t>
  </si>
  <si>
    <t>9.971</t>
  </si>
  <si>
    <t>9.7766</t>
  </si>
  <si>
    <t>9.7913</t>
  </si>
  <si>
    <t>9.8291</t>
  </si>
  <si>
    <t>9.8781</t>
  </si>
  <si>
    <t>9.8563</t>
  </si>
  <si>
    <t>9.6421</t>
  </si>
  <si>
    <t>9.8023</t>
  </si>
  <si>
    <t>9.6642</t>
  </si>
  <si>
    <t>9.5892</t>
  </si>
  <si>
    <t>9.8642</t>
  </si>
  <si>
    <t>10.0366</t>
  </si>
  <si>
    <t>10.0223</t>
  </si>
  <si>
    <t>10.117</t>
  </si>
  <si>
    <t>10.1601</t>
  </si>
  <si>
    <t>10.2506</t>
  </si>
  <si>
    <t>10.321</t>
  </si>
  <si>
    <t>10.2057</t>
  </si>
  <si>
    <t>10.1644</t>
  </si>
  <si>
    <t>10.1023</t>
  </si>
  <si>
    <t>10.1085</t>
  </si>
  <si>
    <t>10.1378</t>
  </si>
  <si>
    <t>10.118</t>
  </si>
  <si>
    <t>10.1585</t>
  </si>
  <si>
    <t>10.1017</t>
  </si>
  <si>
    <t>10.1645</t>
  </si>
  <si>
    <t>10.0646</t>
  </si>
  <si>
    <t>10.0881</t>
  </si>
  <si>
    <t>10.2309</t>
  </si>
  <si>
    <t>10.1976</t>
  </si>
  <si>
    <t>10.1738</t>
  </si>
  <si>
    <t>10.238</t>
  </si>
  <si>
    <t>10.1801</t>
  </si>
  <si>
    <t>10.11</t>
  </si>
  <si>
    <t>10.1813</t>
  </si>
  <si>
    <t>10.2498</t>
  </si>
  <si>
    <t>10.0054</t>
  </si>
  <si>
    <t>10.0647</t>
  </si>
  <si>
    <t>10.1051</t>
  </si>
  <si>
    <t>10.0912</t>
  </si>
  <si>
    <t>10.0343</t>
  </si>
  <si>
    <t>10.0867</t>
  </si>
  <si>
    <t>10.1005</t>
  </si>
  <si>
    <t>10.09</t>
  </si>
  <si>
    <t>10.0075</t>
  </si>
  <si>
    <t>10.0811</t>
  </si>
  <si>
    <t>10.1113</t>
  </si>
  <si>
    <t>10.1161</t>
  </si>
  <si>
    <t>10.1925</t>
  </si>
  <si>
    <t>10.1839</t>
  </si>
  <si>
    <t>10.1412</t>
  </si>
  <si>
    <t>10.182</t>
  </si>
  <si>
    <t>10.1791</t>
  </si>
  <si>
    <t>10.2086</t>
  </si>
  <si>
    <t>10.1728</t>
  </si>
  <si>
    <t>10.1369</t>
  </si>
  <si>
    <t>10.1795</t>
  </si>
  <si>
    <t>10.1355</t>
  </si>
  <si>
    <t>10.1039</t>
  </si>
  <si>
    <t>10.2068</t>
  </si>
  <si>
    <t>10.1811</t>
  </si>
  <si>
    <t>10.2645</t>
  </si>
  <si>
    <t>10.2384</t>
  </si>
  <si>
    <t>10.2398</t>
  </si>
  <si>
    <t>10.3444</t>
  </si>
  <si>
    <t>10.2679</t>
  </si>
  <si>
    <t>10.2486</t>
  </si>
  <si>
    <t>10.2822</t>
  </si>
  <si>
    <t>10.2049</t>
  </si>
  <si>
    <t>10.1598</t>
  </si>
  <si>
    <t>10.1462</t>
  </si>
  <si>
    <t>10.2432</t>
  </si>
  <si>
    <t>10.2215</t>
  </si>
  <si>
    <t>10.1947</t>
  </si>
  <si>
    <t>10.187</t>
  </si>
  <si>
    <t>10.1814</t>
  </si>
  <si>
    <t>10.1134</t>
  </si>
  <si>
    <t>10.1377</t>
  </si>
  <si>
    <t>10.1704</t>
  </si>
  <si>
    <t>10.02</t>
  </si>
  <si>
    <t>10.0546</t>
  </si>
  <si>
    <t>10.0142</t>
  </si>
  <si>
    <t>10.0568</t>
  </si>
  <si>
    <t>10.1093</t>
  </si>
  <si>
    <t>10.1248</t>
  </si>
  <si>
    <t>10.051</t>
  </si>
  <si>
    <t>10.0208</t>
  </si>
  <si>
    <t>10.0034</t>
  </si>
  <si>
    <t>10.0887</t>
  </si>
  <si>
    <t>10.1477</t>
  </si>
  <si>
    <t>10.157</t>
  </si>
  <si>
    <t>10.1451</t>
  </si>
  <si>
    <t>10.1082</t>
  </si>
  <si>
    <t>10.0798</t>
  </si>
  <si>
    <t>10.0005</t>
  </si>
  <si>
    <t>10.1265</t>
  </si>
  <si>
    <t>10.1247</t>
  </si>
  <si>
    <t>10.2343</t>
  </si>
  <si>
    <t>10.2346</t>
  </si>
  <si>
    <t>10.2683</t>
  </si>
  <si>
    <t>10.2708</t>
  </si>
  <si>
    <t>10.0581</t>
  </si>
  <si>
    <t>9.9817</t>
  </si>
  <si>
    <t>10.0041</t>
  </si>
  <si>
    <t>10.0093</t>
  </si>
  <si>
    <t>10.0603</t>
  </si>
  <si>
    <t>10.0535</t>
  </si>
  <si>
    <t>10.0543</t>
  </si>
  <si>
    <t>9.8329</t>
  </si>
  <si>
    <t>9.8006</t>
  </si>
  <si>
    <t>9.9248</t>
  </si>
  <si>
    <t>9.7885</t>
  </si>
  <si>
    <t>9.8217</t>
  </si>
  <si>
    <t>9.9609</t>
  </si>
  <si>
    <t>9.9464</t>
  </si>
  <si>
    <t>9.9113</t>
  </si>
  <si>
    <t>9.6741</t>
  </si>
  <si>
    <t>9.7661</t>
  </si>
  <si>
    <t>9.9477</t>
  </si>
  <si>
    <t>10.0512</t>
  </si>
  <si>
    <t>10.0424</t>
  </si>
  <si>
    <t>10.0711</t>
  </si>
  <si>
    <t>10.1721</t>
  </si>
  <si>
    <t>10.2124</t>
  </si>
  <si>
    <t>10.248</t>
  </si>
  <si>
    <t>10.226</t>
  </si>
  <si>
    <t>10.0612</t>
  </si>
  <si>
    <t>10.1417</t>
  </si>
  <si>
    <t>10.2394</t>
  </si>
  <si>
    <t>10.2898</t>
  </si>
  <si>
    <t>10.1659</t>
  </si>
  <si>
    <t>10.2364</t>
  </si>
  <si>
    <t>10.327</t>
  </si>
  <si>
    <t>10.324</t>
  </si>
  <si>
    <t>10.4175</t>
  </si>
  <si>
    <t>10.4429</t>
  </si>
  <si>
    <t>10.3297</t>
  </si>
  <si>
    <t>10.1564</t>
  </si>
  <si>
    <t>9.9505</t>
  </si>
  <si>
    <t>10.0902</t>
  </si>
  <si>
    <t>10.0072</t>
  </si>
  <si>
    <t>9.7462</t>
  </si>
  <si>
    <t>9.9335</t>
  </si>
  <si>
    <t>9.8082</t>
  </si>
  <si>
    <t>9.7781</t>
  </si>
  <si>
    <t>9.5499</t>
  </si>
  <si>
    <t>9.4899</t>
  </si>
  <si>
    <t>9.5592</t>
  </si>
  <si>
    <t>9.6434</t>
  </si>
  <si>
    <t>9.352</t>
  </si>
  <si>
    <t>9.4196</t>
  </si>
  <si>
    <t>9.102</t>
  </si>
  <si>
    <t>9.2673</t>
  </si>
  <si>
    <t>9.4495</t>
  </si>
  <si>
    <t>9.2803</t>
  </si>
  <si>
    <t>9.0942</t>
  </si>
  <si>
    <t>9.0939</t>
  </si>
  <si>
    <t>9.2634</t>
  </si>
  <si>
    <t>9.2153</t>
  </si>
  <si>
    <t>9.3231</t>
  </si>
  <si>
    <t>9.3172</t>
  </si>
  <si>
    <t>9.6338</t>
  </si>
  <si>
    <t>9.6484</t>
  </si>
  <si>
    <t>9.7844</t>
  </si>
  <si>
    <t>9.6588</t>
  </si>
  <si>
    <t>9.8151</t>
  </si>
  <si>
    <t>9.8158</t>
  </si>
  <si>
    <t>9.943</t>
  </si>
  <si>
    <t>9.9428</t>
  </si>
  <si>
    <t>9.9924</t>
  </si>
  <si>
    <t>10.0095</t>
  </si>
  <si>
    <t>9.9271</t>
  </si>
  <si>
    <t>9.9325</t>
  </si>
  <si>
    <t>9.9099</t>
  </si>
  <si>
    <t>9.9239</t>
  </si>
  <si>
    <t>9.8298</t>
  </si>
  <si>
    <t>9.8832</t>
  </si>
  <si>
    <t>9.9063</t>
  </si>
  <si>
    <t>10.0693</t>
  </si>
  <si>
    <t>10.1066</t>
  </si>
  <si>
    <t>10.0812</t>
  </si>
  <si>
    <t>9.9402</t>
  </si>
  <si>
    <t>9.7504</t>
  </si>
  <si>
    <t>9.7869</t>
  </si>
  <si>
    <t>9.8506</t>
  </si>
  <si>
    <t>9.8058</t>
  </si>
  <si>
    <t>9.7467</t>
  </si>
  <si>
    <t>9.7898</t>
  </si>
  <si>
    <t>9.8107</t>
  </si>
  <si>
    <t>9.81</t>
  </si>
  <si>
    <t>9.8102</t>
  </si>
  <si>
    <t>9.9163</t>
  </si>
  <si>
    <t>9.9081</t>
  </si>
  <si>
    <t>9.7901</t>
  </si>
  <si>
    <t>9.6668</t>
  </si>
  <si>
    <t>9.6946</t>
  </si>
  <si>
    <t>9.6841</t>
  </si>
  <si>
    <t>9.7195</t>
  </si>
  <si>
    <t>9.7054</t>
  </si>
  <si>
    <t>9.5756</t>
  </si>
  <si>
    <t>9.7181</t>
  </si>
  <si>
    <t>9.6105</t>
  </si>
  <si>
    <t>9.5318</t>
  </si>
  <si>
    <t>9.7245</t>
  </si>
  <si>
    <t>9.831</t>
  </si>
  <si>
    <t>9.8502</t>
  </si>
  <si>
    <t>9.8772</t>
  </si>
  <si>
    <t>9.9191</t>
  </si>
  <si>
    <t>9.8965</t>
  </si>
  <si>
    <t>9.9237</t>
  </si>
  <si>
    <t>9.8379</t>
  </si>
  <si>
    <t>9.8819</t>
  </si>
  <si>
    <t>9.8641</t>
  </si>
  <si>
    <t>9.7772</t>
  </si>
  <si>
    <t>9.7745</t>
  </si>
  <si>
    <t>9.7947</t>
  </si>
  <si>
    <t>9.8412</t>
  </si>
  <si>
    <t>9.8585</t>
  </si>
  <si>
    <t>9.8796</t>
  </si>
  <si>
    <t>9.8387</t>
  </si>
  <si>
    <t>9.6887</t>
  </si>
  <si>
    <t>9.7668</t>
  </si>
  <si>
    <t>9.8733</t>
  </si>
  <si>
    <t>9.8221</t>
  </si>
  <si>
    <t>9.8516</t>
  </si>
  <si>
    <t>9.8156</t>
  </si>
  <si>
    <t>9.9069</t>
  </si>
  <si>
    <t>9.883</t>
  </si>
  <si>
    <t>10.0158</t>
  </si>
  <si>
    <t>10.1274</t>
  </si>
  <si>
    <t>9.942</t>
  </si>
  <si>
    <t>9.7166</t>
  </si>
  <si>
    <t>9.85</t>
  </si>
  <si>
    <t>10.0069</t>
  </si>
  <si>
    <t>9.8258</t>
  </si>
  <si>
    <t>9.6627</t>
  </si>
  <si>
    <t>9.6626</t>
  </si>
  <si>
    <t>9.8371</t>
  </si>
  <si>
    <t>9.8388</t>
  </si>
  <si>
    <t>9.931</t>
  </si>
  <si>
    <t>9.9872</t>
  </si>
  <si>
    <t>10.2874</t>
  </si>
  <si>
    <t>10.2407</t>
  </si>
  <si>
    <t>10.3423</t>
  </si>
  <si>
    <t>10.2836</t>
  </si>
  <si>
    <t>10.4544</t>
  </si>
  <si>
    <t>10.4854</t>
  </si>
  <si>
    <t>10.5596</t>
  </si>
  <si>
    <t>10.5687</t>
  </si>
  <si>
    <t>10.643</t>
  </si>
  <si>
    <t>10.6297</t>
  </si>
  <si>
    <t>10.5805</t>
  </si>
  <si>
    <t>10.4487</t>
  </si>
  <si>
    <t>10.5654</t>
  </si>
  <si>
    <t>10.5507</t>
  </si>
  <si>
    <t>10.6169</t>
  </si>
  <si>
    <t>10.5531</t>
  </si>
  <si>
    <t>10.5984</t>
  </si>
  <si>
    <t>10.5825</t>
  </si>
  <si>
    <t>10.7092</t>
  </si>
  <si>
    <t>10.74</t>
  </si>
  <si>
    <t>10.6855</t>
  </si>
  <si>
    <t>10.5085</t>
  </si>
  <si>
    <t>10.2968</t>
  </si>
  <si>
    <t>10.3412</t>
  </si>
  <si>
    <t>10.455</t>
  </si>
  <si>
    <t>10.4251</t>
  </si>
  <si>
    <t>10.3975</t>
  </si>
  <si>
    <t>10.4257</t>
  </si>
  <si>
    <t>10.4183</t>
  </si>
  <si>
    <t>10.4347</t>
  </si>
  <si>
    <t>10.4286</t>
  </si>
  <si>
    <t>10.5339</t>
  </si>
  <si>
    <t>10.4967</t>
  </si>
  <si>
    <t>10.5296</t>
  </si>
  <si>
    <t>10.3909</t>
  </si>
  <si>
    <t>10.3153</t>
  </si>
  <si>
    <t>10.3605</t>
  </si>
  <si>
    <t>10.3158</t>
  </si>
  <si>
    <t>10.3329</t>
  </si>
  <si>
    <t>10.3373</t>
  </si>
  <si>
    <t>10.2104</t>
  </si>
  <si>
    <t>10.2694</t>
  </si>
  <si>
    <t>10.2013</t>
  </si>
  <si>
    <t>10.1515</t>
  </si>
  <si>
    <t>10.333</t>
  </si>
  <si>
    <t>10.4418</t>
  </si>
  <si>
    <t>10.5018</t>
  </si>
  <si>
    <t>10.5616</t>
  </si>
  <si>
    <t>10.623</t>
  </si>
  <si>
    <t>10.5814</t>
  </si>
  <si>
    <t>10.6223</t>
  </si>
  <si>
    <t>10.5051</t>
  </si>
  <si>
    <t>10.5726</t>
  </si>
  <si>
    <t>10.5643</t>
  </si>
  <si>
    <t>10.4907</t>
  </si>
  <si>
    <t>10.5</t>
  </si>
  <si>
    <t>10.5949</t>
  </si>
  <si>
    <t>10.6767</t>
  </si>
  <si>
    <t>10.719</t>
  </si>
  <si>
    <t>10.7487</t>
  </si>
  <si>
    <t>10.7139</t>
  </si>
  <si>
    <t>10.5096</t>
  </si>
  <si>
    <t>10.5576</t>
  </si>
  <si>
    <t>10.6843</t>
  </si>
  <si>
    <t>10.6882</t>
  </si>
  <si>
    <t>10.6377</t>
  </si>
  <si>
    <t>10.6444</t>
  </si>
  <si>
    <t>10.6529</t>
  </si>
  <si>
    <t>10.7215</t>
  </si>
  <si>
    <t>10.7718</t>
  </si>
  <si>
    <t>10.7781</t>
  </si>
  <si>
    <t>39.6816</t>
  </si>
  <si>
    <t>39.4694</t>
  </si>
  <si>
    <t>39.6501</t>
  </si>
  <si>
    <t>39.5723</t>
  </si>
  <si>
    <t>39.3957</t>
  </si>
  <si>
    <t>39.4572</t>
  </si>
  <si>
    <t>39.212</t>
  </si>
  <si>
    <t>39.3775</t>
  </si>
  <si>
    <t>39.2894</t>
  </si>
  <si>
    <t>39.4151</t>
  </si>
  <si>
    <t>39.4673</t>
  </si>
  <si>
    <t>39.6607</t>
  </si>
  <si>
    <t>39.7567</t>
  </si>
  <si>
    <t>39.8671</t>
  </si>
  <si>
    <t>39.9021</t>
  </si>
  <si>
    <t>39.7272</t>
  </si>
  <si>
    <t>39.7905</t>
  </si>
  <si>
    <t>39.5066</t>
  </si>
  <si>
    <t>39.324</t>
  </si>
  <si>
    <t>39.1957</t>
  </si>
  <si>
    <t>39.4203</t>
  </si>
  <si>
    <t>39.3769</t>
  </si>
  <si>
    <t>39.5268</t>
  </si>
  <si>
    <t>39.5784</t>
  </si>
  <si>
    <t>39.6034</t>
  </si>
  <si>
    <t>39.6477</t>
  </si>
  <si>
    <t>39.7442</t>
  </si>
  <si>
    <t>39.853</t>
  </si>
  <si>
    <t>39.8867</t>
  </si>
  <si>
    <t>40.0048</t>
  </si>
  <si>
    <t>39.9654</t>
  </si>
  <si>
    <t>40.144</t>
  </si>
  <si>
    <t>40.2454</t>
  </si>
  <si>
    <t>40.316</t>
  </si>
  <si>
    <t>40.2471</t>
  </si>
  <si>
    <t>40.0823</t>
  </si>
  <si>
    <t>40.0679</t>
  </si>
  <si>
    <t>39.9474</t>
  </si>
  <si>
    <t>39.7892</t>
  </si>
  <si>
    <t>39.4991</t>
  </si>
  <si>
    <t>39.525</t>
  </si>
  <si>
    <t>39.5074</t>
  </si>
  <si>
    <t>39.7384</t>
  </si>
  <si>
    <t>39.8614</t>
  </si>
  <si>
    <t>40.061</t>
  </si>
  <si>
    <t>40.1016</t>
  </si>
  <si>
    <t>40.0488</t>
  </si>
  <si>
    <t>40.1504</t>
  </si>
  <si>
    <t>40.2552</t>
  </si>
  <si>
    <t>40.2228</t>
  </si>
  <si>
    <t>40.1162</t>
  </si>
  <si>
    <t>40.326</t>
  </si>
  <si>
    <t>40.5447</t>
  </si>
  <si>
    <t>40.635</t>
  </si>
  <si>
    <t>40.7732</t>
  </si>
  <si>
    <t>40.8047</t>
  </si>
  <si>
    <t>40.6925</t>
  </si>
  <si>
    <t>40.8914</t>
  </si>
  <si>
    <t>40.859</t>
  </si>
  <si>
    <t>40.9712</t>
  </si>
  <si>
    <t>40.8086</t>
  </si>
  <si>
    <t>40.6713</t>
  </si>
  <si>
    <t>40.7594</t>
  </si>
  <si>
    <t>40.6426</t>
  </si>
  <si>
    <t>40.537</t>
  </si>
  <si>
    <t>40.5253</t>
  </si>
  <si>
    <t>40.6329</t>
  </si>
  <si>
    <t>40.7404</t>
  </si>
  <si>
    <t>40.8951</t>
  </si>
  <si>
    <t>40.8808</t>
  </si>
  <si>
    <t>40.8884</t>
  </si>
  <si>
    <t>41.0429</t>
  </si>
  <si>
    <t>40.9538</t>
  </si>
  <si>
    <t>41.0766</t>
  </si>
  <si>
    <t>41.1883</t>
  </si>
  <si>
    <t>41.0102</t>
  </si>
  <si>
    <t>40.9189</t>
  </si>
  <si>
    <t>40.9145</t>
  </si>
  <si>
    <t>41.2517</t>
  </si>
  <si>
    <t>41.2786</t>
  </si>
  <si>
    <t>41.2608</t>
  </si>
  <si>
    <t>41.2249</t>
  </si>
  <si>
    <t>41.1157</t>
  </si>
  <si>
    <t>41.0415</t>
  </si>
  <si>
    <t>41.0686</t>
  </si>
  <si>
    <t>40.9776</t>
  </si>
  <si>
    <t>40.8756</t>
  </si>
  <si>
    <t>40.7434</t>
  </si>
  <si>
    <t>40.8878</t>
  </si>
  <si>
    <t>41.087</t>
  </si>
  <si>
    <t>41.0778</t>
  </si>
  <si>
    <t>40.9229</t>
  </si>
  <si>
    <t>40.8669</t>
  </si>
  <si>
    <t>40.8782</t>
  </si>
  <si>
    <t>41.1116</t>
  </si>
  <si>
    <t>41.2891</t>
  </si>
  <si>
    <t>41.3061</t>
  </si>
  <si>
    <t>41.312</t>
  </si>
  <si>
    <t>41.2257</t>
  </si>
  <si>
    <t>41.1198</t>
  </si>
  <si>
    <t>41.115</t>
  </si>
  <si>
    <t>41.3302</t>
  </si>
  <si>
    <t>41.3624</t>
  </si>
  <si>
    <t>41.5509</t>
  </si>
  <si>
    <t>41.4518</t>
  </si>
  <si>
    <t>41.3655</t>
  </si>
  <si>
    <t>41.3702</t>
  </si>
  <si>
    <t>41.0743</t>
  </si>
  <si>
    <t>40.8665</t>
  </si>
  <si>
    <t>40.933</t>
  </si>
  <si>
    <t>40.8809</t>
  </si>
  <si>
    <t>40.8463</t>
  </si>
  <si>
    <t>40.898</t>
  </si>
  <si>
    <t>40.7924</t>
  </si>
  <si>
    <t>40.4027</t>
  </si>
  <si>
    <t>40.2863</t>
  </si>
  <si>
    <t>40.4963</t>
  </si>
  <si>
    <t>40.2239</t>
  </si>
  <si>
    <t>40.3595</t>
  </si>
  <si>
    <t>40.5989</t>
  </si>
  <si>
    <t>40.6748</t>
  </si>
  <si>
    <t>40.6186</t>
  </si>
  <si>
    <t>40.0927</t>
  </si>
  <si>
    <t>40.277</t>
  </si>
  <si>
    <t>40.9597</t>
  </si>
  <si>
    <t>41.0067</t>
  </si>
  <si>
    <t>40.8856</t>
  </si>
  <si>
    <t>40.8777</t>
  </si>
  <si>
    <t>41.119</t>
  </si>
  <si>
    <t>41.2174</t>
  </si>
  <si>
    <t>41.2616</t>
  </si>
  <si>
    <t>41.1246</t>
  </si>
  <si>
    <t>40.8023</t>
  </si>
  <si>
    <t>40.999</t>
  </si>
  <si>
    <t>41.0799</t>
  </si>
  <si>
    <t>41.1741</t>
  </si>
  <si>
    <t>40.7835</t>
  </si>
  <si>
    <t>40.8572</t>
  </si>
  <si>
    <t>40.977</t>
  </si>
  <si>
    <t>40.7339</t>
  </si>
  <si>
    <t>40.856</t>
  </si>
  <si>
    <t>40.9023</t>
  </si>
  <si>
    <t>40.6184</t>
  </si>
  <si>
    <t>40.2729</t>
  </si>
  <si>
    <t>39.7857</t>
  </si>
  <si>
    <t>40.0789</t>
  </si>
  <si>
    <t>39.7678</t>
  </si>
  <si>
    <t>39.2072</t>
  </si>
  <si>
    <t>39.558</t>
  </si>
  <si>
    <t>39.121</t>
  </si>
  <si>
    <t>38.8562</t>
  </si>
  <si>
    <t>38.2714</t>
  </si>
  <si>
    <t>38.4657</t>
  </si>
  <si>
    <t>38.6648</t>
  </si>
  <si>
    <t>38.9526</t>
  </si>
  <si>
    <t>38.1157</t>
  </si>
  <si>
    <t>38.2425</t>
  </si>
  <si>
    <t>37.4993</t>
  </si>
  <si>
    <t>37.9556</t>
  </si>
  <si>
    <t>38.4013</t>
  </si>
  <si>
    <t>37.8359</t>
  </si>
  <si>
    <t>37.267</t>
  </si>
  <si>
    <t>37.2683</t>
  </si>
  <si>
    <t>37.6684</t>
  </si>
  <si>
    <t>37.6581</t>
  </si>
  <si>
    <t>37.9757</t>
  </si>
  <si>
    <t>38.1261</t>
  </si>
  <si>
    <t>39.2107</t>
  </si>
  <si>
    <t>39.0202</t>
  </si>
  <si>
    <t>39.3904</t>
  </si>
  <si>
    <t>39.1576</t>
  </si>
  <si>
    <t>39.623</t>
  </si>
  <si>
    <t>39.6527</t>
  </si>
  <si>
    <t>39.86</t>
  </si>
  <si>
    <t>39.8677</t>
  </si>
  <si>
    <t>40.0957</t>
  </si>
  <si>
    <t>39.9484</t>
  </si>
  <si>
    <t>39.7001</t>
  </si>
  <si>
    <t>39.3895</t>
  </si>
  <si>
    <t>39.6184</t>
  </si>
  <si>
    <t>39.4633</t>
  </si>
  <si>
    <t>39.6017</t>
  </si>
  <si>
    <t>39.3622</t>
  </si>
  <si>
    <t>39.5135</t>
  </si>
  <si>
    <t>39.4566</t>
  </si>
  <si>
    <t>39.8657</t>
  </si>
  <si>
    <t>39.9071</t>
  </si>
  <si>
    <t>39.7438</t>
  </si>
  <si>
    <t>39.3046</t>
  </si>
  <si>
    <t>38.7837</t>
  </si>
  <si>
    <t>38.7932</t>
  </si>
  <si>
    <t>39.0492</t>
  </si>
  <si>
    <t>38.9631</t>
  </si>
  <si>
    <t>38.8687</t>
  </si>
  <si>
    <t>38.9073</t>
  </si>
  <si>
    <t>38.9821</t>
  </si>
  <si>
    <t>38.9721</t>
  </si>
  <si>
    <t>39.1077</t>
  </si>
  <si>
    <t>39.5023</t>
  </si>
  <si>
    <t>39.4145</t>
  </si>
  <si>
    <t>39.4726</t>
  </si>
  <si>
    <t>39.1705</t>
  </si>
  <si>
    <t>38.9934</t>
  </si>
  <si>
    <t>39.1513</t>
  </si>
  <si>
    <t>39.0405</t>
  </si>
  <si>
    <t>39.1055</t>
  </si>
  <si>
    <t>39.1257</t>
  </si>
  <si>
    <t>38.8532</t>
  </si>
  <si>
    <t>39.1069</t>
  </si>
  <si>
    <t>39.0122</t>
  </si>
  <si>
    <t>38.9236</t>
  </si>
  <si>
    <t>39.8459</t>
  </si>
  <si>
    <t>39.996</t>
  </si>
  <si>
    <t>40.1017</t>
  </si>
  <si>
    <t>40.2114</t>
  </si>
  <si>
    <t>40.1202</t>
  </si>
  <si>
    <t>40.2574</t>
  </si>
  <si>
    <t>40.0021</t>
  </si>
  <si>
    <t>40.2542</t>
  </si>
  <si>
    <t>40.3277</t>
  </si>
  <si>
    <t>40.2376</t>
  </si>
  <si>
    <t>40.2262</t>
  </si>
  <si>
    <t>40.3502</t>
  </si>
  <si>
    <t>40.5765</t>
  </si>
  <si>
    <t>40.6288</t>
  </si>
  <si>
    <t>40.8181</t>
  </si>
  <si>
    <t>40.7545</t>
  </si>
  <si>
    <t>40.1511</t>
  </si>
  <si>
    <t>40.3019</t>
  </si>
  <si>
    <t>40.6066</t>
  </si>
  <si>
    <t>40.614</t>
  </si>
  <si>
    <t>40.395</t>
  </si>
  <si>
    <t>40.4653</t>
  </si>
  <si>
    <t>40.4551</t>
  </si>
  <si>
    <t>40.6605</t>
  </si>
  <si>
    <t>40.5508</t>
  </si>
  <si>
    <t>40.5767</t>
  </si>
  <si>
    <t>15.0371</t>
  </si>
  <si>
    <t>14.9881</t>
  </si>
  <si>
    <t>14.9614</t>
  </si>
  <si>
    <t>14.895</t>
  </si>
  <si>
    <t>14.9189</t>
  </si>
  <si>
    <t>14.7745</t>
  </si>
  <si>
    <t>14.8827</t>
  </si>
  <si>
    <t>14.859</t>
  </si>
  <si>
    <t>14.9457</t>
  </si>
  <si>
    <t>14.9308</t>
  </si>
  <si>
    <t>15.1037</t>
  </si>
  <si>
    <t>15.2034</t>
  </si>
  <si>
    <t>15.2474</t>
  </si>
  <si>
    <t>15.2508</t>
  </si>
  <si>
    <t>15.1499</t>
  </si>
  <si>
    <t>15.1961</t>
  </si>
  <si>
    <t>15.0268</t>
  </si>
  <si>
    <t>14.8944</t>
  </si>
  <si>
    <t>14.8525</t>
  </si>
  <si>
    <t>15.0131</t>
  </si>
  <si>
    <t>15.0139</t>
  </si>
  <si>
    <t>15.1005</t>
  </si>
  <si>
    <t>15.0905</t>
  </si>
  <si>
    <t>15.1054</t>
  </si>
  <si>
    <t>15.15</t>
  </si>
  <si>
    <t>15.2063</t>
  </si>
  <si>
    <t>15.2849</t>
  </si>
  <si>
    <t>15.3046</t>
  </si>
  <si>
    <t>15.3628</t>
  </si>
  <si>
    <t>15.3545</t>
  </si>
  <si>
    <t>15.4516</t>
  </si>
  <si>
    <t>15.5013</t>
  </si>
  <si>
    <t>15.5452</t>
  </si>
  <si>
    <t>15.5151</t>
  </si>
  <si>
    <t>15.4094</t>
  </si>
  <si>
    <t>15.3984</t>
  </si>
  <si>
    <t>15.3258</t>
  </si>
  <si>
    <t>15.2227</t>
  </si>
  <si>
    <t>15.0234</t>
  </si>
  <si>
    <t>15.0227</t>
  </si>
  <si>
    <t>15.1487</t>
  </si>
  <si>
    <t>15.2085</t>
  </si>
  <si>
    <t>15.3203</t>
  </si>
  <si>
    <t>15.3494</t>
  </si>
  <si>
    <t>15.2713</t>
  </si>
  <si>
    <t>15.3391</t>
  </si>
  <si>
    <t>15.3918</t>
  </si>
  <si>
    <t>15.3404</t>
  </si>
  <si>
    <t>15.2953</t>
  </si>
  <si>
    <t>15.4051</t>
  </si>
  <si>
    <t>15.5377</t>
  </si>
  <si>
    <t>15.5644</t>
  </si>
  <si>
    <t>15.6373</t>
  </si>
  <si>
    <t>15.6866</t>
  </si>
  <si>
    <t>15.6205</t>
  </si>
  <si>
    <t>15.7223</t>
  </si>
  <si>
    <t>15.7176</t>
  </si>
  <si>
    <t>15.7976</t>
  </si>
  <si>
    <t>15.7102</t>
  </si>
  <si>
    <t>15.6271</t>
  </si>
  <si>
    <t>15.6672</t>
  </si>
  <si>
    <t>15.592</t>
  </si>
  <si>
    <t>15.483</t>
  </si>
  <si>
    <t>15.4768</t>
  </si>
  <si>
    <t>15.5459</t>
  </si>
  <si>
    <t>15.6051</t>
  </si>
  <si>
    <t>15.7256</t>
  </si>
  <si>
    <t>15.7152</t>
  </si>
  <si>
    <t>15.716</t>
  </si>
  <si>
    <t>15.8084</t>
  </si>
  <si>
    <t>15.7453</t>
  </si>
  <si>
    <t>15.8108</t>
  </si>
  <si>
    <t>15.8571</t>
  </si>
  <si>
    <t>15.7503</t>
  </si>
  <si>
    <t>15.6845</t>
  </si>
  <si>
    <t>15.6807</t>
  </si>
  <si>
    <t>15.8584</t>
  </si>
  <si>
    <t>15.8628</t>
  </si>
  <si>
    <t>15.8471</t>
  </si>
  <si>
    <t>15.8287</t>
  </si>
  <si>
    <t>15.7728</t>
  </si>
  <si>
    <t>15.7065</t>
  </si>
  <si>
    <t>15.7083</t>
  </si>
  <si>
    <t>15.7573</t>
  </si>
  <si>
    <t>15.5804</t>
  </si>
  <si>
    <t>15.5799</t>
  </si>
  <si>
    <t>15.5155</t>
  </si>
  <si>
    <t>15.6001</t>
  </si>
  <si>
    <t>15.7079</t>
  </si>
  <si>
    <t>15.7076</t>
  </si>
  <si>
    <t>15.6</t>
  </si>
  <si>
    <t>15.5703</t>
  </si>
  <si>
    <t>15.5815</t>
  </si>
  <si>
    <t>15.7236</t>
  </si>
  <si>
    <t>15.8458</t>
  </si>
  <si>
    <t>15.855</t>
  </si>
  <si>
    <t>15.8218</t>
  </si>
  <si>
    <t>15.7703</t>
  </si>
  <si>
    <t>15.7016</t>
  </si>
  <si>
    <t>15.7162</t>
  </si>
  <si>
    <t>15.8265</t>
  </si>
  <si>
    <t>15.8569</t>
  </si>
  <si>
    <t>15.9756</t>
  </si>
  <si>
    <t>15.941</t>
  </si>
  <si>
    <t>15.9026</t>
  </si>
  <si>
    <t>15.8975</t>
  </si>
  <si>
    <t>15.5637</t>
  </si>
  <si>
    <t>15.5971</t>
  </si>
  <si>
    <t>15.5874</t>
  </si>
  <si>
    <t>15.5869</t>
  </si>
  <si>
    <t>15.6197</t>
  </si>
  <si>
    <t>15.5609</t>
  </si>
  <si>
    <t>15.3174</t>
  </si>
  <si>
    <t>15.2517</t>
  </si>
  <si>
    <t>15.3499</t>
  </si>
  <si>
    <t>15.21</t>
  </si>
  <si>
    <t>15.2619</t>
  </si>
  <si>
    <t>15.4096</t>
  </si>
  <si>
    <t>15.4344</t>
  </si>
  <si>
    <t>15.4067</t>
  </si>
  <si>
    <t>15.1504</t>
  </si>
  <si>
    <t>15.2564</t>
  </si>
  <si>
    <t>15.6179</t>
  </si>
  <si>
    <t>15.6663</t>
  </si>
  <si>
    <t>15.606</t>
  </si>
  <si>
    <t>15.6277</t>
  </si>
  <si>
    <t>15.7872</t>
  </si>
  <si>
    <t>15.8586</t>
  </si>
  <si>
    <t>15.8666</t>
  </si>
  <si>
    <t>15.7862</t>
  </si>
  <si>
    <t>15.5985</t>
  </si>
  <si>
    <t>15.6913</t>
  </si>
  <si>
    <t>15.7374</t>
  </si>
  <si>
    <t>15.7985</t>
  </si>
  <si>
    <t>15.5903</t>
  </si>
  <si>
    <t>15.6623</t>
  </si>
  <si>
    <t>15.7247</t>
  </si>
  <si>
    <t>15.6098</t>
  </si>
  <si>
    <t>15.6782</t>
  </si>
  <si>
    <t>15.7092</t>
  </si>
  <si>
    <t>15.5579</t>
  </si>
  <si>
    <t>15.3453</t>
  </si>
  <si>
    <t>15.0815</t>
  </si>
  <si>
    <t>15.2476</t>
  </si>
  <si>
    <t>15.1043</t>
  </si>
  <si>
    <t>14.7906</t>
  </si>
  <si>
    <t>14.9836</t>
  </si>
  <si>
    <t>14.7836</t>
  </si>
  <si>
    <t>14.6765</t>
  </si>
  <si>
    <t>14.357</t>
  </si>
  <si>
    <t>14.4197</t>
  </si>
  <si>
    <t>14.5239</t>
  </si>
  <si>
    <t>14.6758</t>
  </si>
  <si>
    <t>14.2294</t>
  </si>
  <si>
    <t>14.2957</t>
  </si>
  <si>
    <t>13.8842</t>
  </si>
  <si>
    <t>14.1297</t>
  </si>
  <si>
    <t>14.3658</t>
  </si>
  <si>
    <t>14.0943</t>
  </si>
  <si>
    <t>13.7665</t>
  </si>
  <si>
    <t>13.7661</t>
  </si>
  <si>
    <t>13.9935</t>
  </si>
  <si>
    <t>14.0142</t>
  </si>
  <si>
    <t>14.1561</t>
  </si>
  <si>
    <t>14.2207</t>
  </si>
  <si>
    <t>14.7301</t>
  </si>
  <si>
    <t>14.6515</t>
  </si>
  <si>
    <t>14.8337</t>
  </si>
  <si>
    <t>14.7461</t>
  </si>
  <si>
    <t>14.9842</t>
  </si>
  <si>
    <t>15.0125</t>
  </si>
  <si>
    <t>15.1309</t>
  </si>
  <si>
    <t>15.127</t>
  </si>
  <si>
    <t>15.2316</t>
  </si>
  <si>
    <t>15.1869</t>
  </si>
  <si>
    <t>15.0672</t>
  </si>
  <si>
    <t>14.9026</t>
  </si>
  <si>
    <t>15.0433</t>
  </si>
  <si>
    <t>15.0468</t>
  </si>
  <si>
    <t>14.9231</t>
  </si>
  <si>
    <t>14.9801</t>
  </si>
  <si>
    <t>14.9438</t>
  </si>
  <si>
    <t>15.1503</t>
  </si>
  <si>
    <t>15.2018</t>
  </si>
  <si>
    <t>15.1392</t>
  </si>
  <si>
    <t>14.9348</t>
  </si>
  <si>
    <t>14.6357</t>
  </si>
  <si>
    <t>14.6529</t>
  </si>
  <si>
    <t>14.7734</t>
  </si>
  <si>
    <t>14.7469</t>
  </si>
  <si>
    <t>14.699</t>
  </si>
  <si>
    <t>14.7336</t>
  </si>
  <si>
    <t>14.7587</t>
  </si>
  <si>
    <t>14.7821</t>
  </si>
  <si>
    <t>14.8298</t>
  </si>
  <si>
    <t>15.003</t>
  </si>
  <si>
    <t>14.9509</t>
  </si>
  <si>
    <t>14.9964</t>
  </si>
  <si>
    <t>14.811</t>
  </si>
  <si>
    <t>14.6716</t>
  </si>
  <si>
    <t>14.7246</t>
  </si>
  <si>
    <t>14.6609</t>
  </si>
  <si>
    <t>14.701</t>
  </si>
  <si>
    <t>14.6967</t>
  </si>
  <si>
    <t>14.5304</t>
  </si>
  <si>
    <t>14.6383</t>
  </si>
  <si>
    <t>14.5771</t>
  </si>
  <si>
    <t>14.5155</t>
  </si>
  <si>
    <t>14.8004</t>
  </si>
  <si>
    <t>14.9625</t>
  </si>
  <si>
    <t>15.0424</t>
  </si>
  <si>
    <t>15.1022</t>
  </si>
  <si>
    <t>15.1754</t>
  </si>
  <si>
    <t>15.133</t>
  </si>
  <si>
    <t>15.2108</t>
  </si>
  <si>
    <t>15.0642</t>
  </si>
  <si>
    <t>15.1593</t>
  </si>
  <si>
    <t>15.1707</t>
  </si>
  <si>
    <t>15.0637</t>
  </si>
  <si>
    <t>15.0345</t>
  </si>
  <si>
    <t>15.0929</t>
  </si>
  <si>
    <t>15.1927</t>
  </si>
  <si>
    <t>15.2109</t>
  </si>
  <si>
    <t>15.2714</t>
  </si>
  <si>
    <t>14.9747</t>
  </si>
  <si>
    <t>15.0678</t>
  </si>
  <si>
    <t>15.238</t>
  </si>
  <si>
    <t>15.2605</t>
  </si>
  <si>
    <t>15.1542</t>
  </si>
  <si>
    <t>15.2078</t>
  </si>
  <si>
    <t>15.2059</t>
  </si>
  <si>
    <t>15.279</t>
  </si>
  <si>
    <t>15.2513</t>
  </si>
  <si>
    <t>15.267</t>
  </si>
  <si>
    <t>10.9125</t>
  </si>
  <si>
    <t>10.7789</t>
  </si>
  <si>
    <t>10.8919</t>
  </si>
  <si>
    <t>10.8908</t>
  </si>
  <si>
    <t>10.7695</t>
  </si>
  <si>
    <t>10.812</t>
  </si>
  <si>
    <t>10.6544</t>
  </si>
  <si>
    <t>10.7576</t>
  </si>
  <si>
    <t>10.7099</t>
  </si>
  <si>
    <t>10.7812</t>
  </si>
  <si>
    <t>10.7839</t>
  </si>
  <si>
    <t>10.8936</t>
  </si>
  <si>
    <t>10.9771</t>
  </si>
  <si>
    <t>10.9879</t>
  </si>
  <si>
    <t>10.9688</t>
  </si>
  <si>
    <t>10.9456</t>
  </si>
  <si>
    <t>10.7817</t>
  </si>
  <si>
    <t>10.645</t>
  </si>
  <si>
    <t>10.5867</t>
  </si>
  <si>
    <t>10.7763</t>
  </si>
  <si>
    <t>10.7622</t>
  </si>
  <si>
    <t>10.8244</t>
  </si>
  <si>
    <t>10.7177</t>
  </si>
  <si>
    <t>10.7094</t>
  </si>
  <si>
    <t>10.7287</t>
  </si>
  <si>
    <t>10.7571</t>
  </si>
  <si>
    <t>10.8548</t>
  </si>
  <si>
    <t>10.8268</t>
  </si>
  <si>
    <t>10.8639</t>
  </si>
  <si>
    <t>10.8961</t>
  </si>
  <si>
    <t>10.9486</t>
  </si>
  <si>
    <t>10.9648</t>
  </si>
  <si>
    <t>10.9773</t>
  </si>
  <si>
    <t>10.9294</t>
  </si>
  <si>
    <t>10.8717</t>
  </si>
  <si>
    <t>10.8208</t>
  </si>
  <si>
    <t>10.7332</t>
  </si>
  <si>
    <t>10.6648</t>
  </si>
  <si>
    <t>10.4524</t>
  </si>
  <si>
    <t>10.4565</t>
  </si>
  <si>
    <t>10.4432</t>
  </si>
  <si>
    <t>10.5673</t>
  </si>
  <si>
    <t>10.8278</t>
  </si>
  <si>
    <t>10.8509</t>
  </si>
  <si>
    <t>10.8054</t>
  </si>
  <si>
    <t>10.9119</t>
  </si>
  <si>
    <t>10.9198</t>
  </si>
  <si>
    <t>10.942</t>
  </si>
  <si>
    <t>10.8724</t>
  </si>
  <si>
    <t>10.9726</t>
  </si>
  <si>
    <t>11.0093</t>
  </si>
  <si>
    <t>10.983</t>
  </si>
  <si>
    <t>11.054</t>
  </si>
  <si>
    <t>10.9973</t>
  </si>
  <si>
    <t>10.9444</t>
  </si>
  <si>
    <t>11.0257</t>
  </si>
  <si>
    <t>11.0473</t>
  </si>
  <si>
    <t>11.1094</t>
  </si>
  <si>
    <t>11.0895</t>
  </si>
  <si>
    <t>11.0217</t>
  </si>
  <si>
    <t>11.0947</t>
  </si>
  <si>
    <t>11.0788</t>
  </si>
  <si>
    <t>11.0024</t>
  </si>
  <si>
    <t>11.0897</t>
  </si>
  <si>
    <t>11.1093</t>
  </si>
  <si>
    <t>11.159</t>
  </si>
  <si>
    <t>11.2526</t>
  </si>
  <si>
    <t>11.1988</t>
  </si>
  <si>
    <t>11.2474</t>
  </si>
  <si>
    <t>11.3353</t>
  </si>
  <si>
    <t>11.2572</t>
  </si>
  <si>
    <t>11.315</t>
  </si>
  <si>
    <t>11.3331</t>
  </si>
  <si>
    <t>11.2102</t>
  </si>
  <si>
    <t>11.1583</t>
  </si>
  <si>
    <t>11.1789</t>
  </si>
  <si>
    <t>11.3384</t>
  </si>
  <si>
    <t>11.3279</t>
  </si>
  <si>
    <t>11.3238</t>
  </si>
  <si>
    <t>11.3082</t>
  </si>
  <si>
    <t>11.1112</t>
  </si>
  <si>
    <t>11.0886</t>
  </si>
  <si>
    <t>11.1761</t>
  </si>
  <si>
    <t>11.0145</t>
  </si>
  <si>
    <t>11.0189</t>
  </si>
  <si>
    <t>10.8766</t>
  </si>
  <si>
    <t>10.9735</t>
  </si>
  <si>
    <t>11.0797</t>
  </si>
  <si>
    <t>11.0661</t>
  </si>
  <si>
    <t>10.9616</t>
  </si>
  <si>
    <t>10.8916</t>
  </si>
  <si>
    <t>10.9235</t>
  </si>
  <si>
    <t>11.0553</t>
  </si>
  <si>
    <t>11.1808</t>
  </si>
  <si>
    <t>11.173</t>
  </si>
  <si>
    <t>11.1227</t>
  </si>
  <si>
    <t>11.08</t>
  </si>
  <si>
    <t>11.0372</t>
  </si>
  <si>
    <t>10.8851</t>
  </si>
  <si>
    <t>10.9809</t>
  </si>
  <si>
    <t>11.0577</t>
  </si>
  <si>
    <t>11.1406</t>
  </si>
  <si>
    <t>11.1347</t>
  </si>
  <si>
    <t>11.1208</t>
  </si>
  <si>
    <t>11.1526</t>
  </si>
  <si>
    <t>10.9387</t>
  </si>
  <si>
    <t>10.844</t>
  </si>
  <si>
    <t>10.8015</t>
  </si>
  <si>
    <t>10.7836</t>
  </si>
  <si>
    <t>10.8275</t>
  </si>
  <si>
    <t>10.8561</t>
  </si>
  <si>
    <t>10.8594</t>
  </si>
  <si>
    <t>10.5942</t>
  </si>
  <si>
    <t>10.4635</t>
  </si>
  <si>
    <t>10.6088</t>
  </si>
  <si>
    <t>10.4983</t>
  </si>
  <si>
    <t>10.6572</t>
  </si>
  <si>
    <t>10.7228</t>
  </si>
  <si>
    <t>10.6902</t>
  </si>
  <si>
    <t>10.4245</t>
  </si>
  <si>
    <t>10.5668</t>
  </si>
  <si>
    <t>10.8576</t>
  </si>
  <si>
    <t>10.9214</t>
  </si>
  <si>
    <t>10.9102</t>
  </si>
  <si>
    <t>10.9559</t>
  </si>
  <si>
    <t>11.1353</t>
  </si>
  <si>
    <t>11.162</t>
  </si>
  <si>
    <t>11.1715</t>
  </si>
  <si>
    <t>11.1684</t>
  </si>
  <si>
    <t>10.9222</t>
  </si>
  <si>
    <t>10.985</t>
  </si>
  <si>
    <t>11.0284</t>
  </si>
  <si>
    <t>11.1223</t>
  </si>
  <si>
    <t>10.9245</t>
  </si>
  <si>
    <t>10.9929</t>
  </si>
  <si>
    <t>10.9537</t>
  </si>
  <si>
    <t>10.9231</t>
  </si>
  <si>
    <t>11.0205</t>
  </si>
  <si>
    <t>11.0818</t>
  </si>
  <si>
    <t>10.7547</t>
  </si>
  <si>
    <t>10.5132</t>
  </si>
  <si>
    <t>10.7106</t>
  </si>
  <si>
    <t>10.6146</t>
  </si>
  <si>
    <t>10.3978</t>
  </si>
  <si>
    <t>10.5724</t>
  </si>
  <si>
    <t>10.3981</t>
  </si>
  <si>
    <t>10.3501</t>
  </si>
  <si>
    <t>10.0503</t>
  </si>
  <si>
    <t>10.0402</t>
  </si>
  <si>
    <t>10.165</t>
  </si>
  <si>
    <t>10.3518</t>
  </si>
  <si>
    <t>10.0009</t>
  </si>
  <si>
    <t>10.0702</t>
  </si>
  <si>
    <t>9.6684</t>
  </si>
  <si>
    <t>9.9417</t>
  </si>
  <si>
    <t>10.1888</t>
  </si>
  <si>
    <t>9.9482</t>
  </si>
  <si>
    <t>9.6696</t>
  </si>
  <si>
    <t>9.8573</t>
  </si>
  <si>
    <t>9.8205</t>
  </si>
  <si>
    <t>9.9808</t>
  </si>
  <si>
    <t>9.9686</t>
  </si>
  <si>
    <t>10.4199</t>
  </si>
  <si>
    <t>10.4466</t>
  </si>
  <si>
    <t>10.6366</t>
  </si>
  <si>
    <t>10.5263</t>
  </si>
  <si>
    <t>10.6905</t>
  </si>
  <si>
    <t>10.6866</t>
  </si>
  <si>
    <t>10.7872</t>
  </si>
  <si>
    <t>10.7884</t>
  </si>
  <si>
    <t>10.8301</t>
  </si>
  <si>
    <t>10.786</t>
  </si>
  <si>
    <t>10.7021</t>
  </si>
  <si>
    <t>10.7813</t>
  </si>
  <si>
    <t>10.7853</t>
  </si>
  <si>
    <t>10.7662</t>
  </si>
  <si>
    <t>10.6694</t>
  </si>
  <si>
    <t>10.7305</t>
  </si>
  <si>
    <t>10.7584</t>
  </si>
  <si>
    <t>10.9841</t>
  </si>
  <si>
    <t>11.1386</t>
  </si>
  <si>
    <t>10.9654</t>
  </si>
  <si>
    <t>10.6913</t>
  </si>
  <si>
    <t>10.7338</t>
  </si>
  <si>
    <t>10.8674</t>
  </si>
  <si>
    <t>10.8091</t>
  </si>
  <si>
    <t>10.7762</t>
  </si>
  <si>
    <t>10.8341</t>
  </si>
  <si>
    <t>10.9178</t>
  </si>
  <si>
    <t>10.9192</t>
  </si>
  <si>
    <t>10.9331</t>
  </si>
  <si>
    <t>11.0591</t>
  </si>
  <si>
    <t>11.2078</t>
  </si>
  <si>
    <t>11.0735</t>
  </si>
  <si>
    <t>10.8837</t>
  </si>
  <si>
    <t>10.8558</t>
  </si>
  <si>
    <t>10.9055</t>
  </si>
  <si>
    <t>10.879</t>
  </si>
  <si>
    <t>10.6827</t>
  </si>
  <si>
    <t>10.836</t>
  </si>
  <si>
    <t>10.707</t>
  </si>
  <si>
    <t>10.605</t>
  </si>
  <si>
    <t>10.924</t>
  </si>
  <si>
    <t>11.0892</t>
  </si>
  <si>
    <t>11.1048</t>
  </si>
  <si>
    <t>11.1657</t>
  </si>
  <si>
    <t>11.2054</t>
  </si>
  <si>
    <t>11.2331</t>
  </si>
  <si>
    <t>11.2652</t>
  </si>
  <si>
    <t>11.1374</t>
  </si>
  <si>
    <t>11.1117</t>
  </si>
  <si>
    <t>11.0729</t>
  </si>
  <si>
    <t>10.99</t>
  </si>
  <si>
    <t>11.0071</t>
  </si>
  <si>
    <t>10.986</t>
  </si>
  <si>
    <t>10.965</t>
  </si>
  <si>
    <t>10.8528</t>
  </si>
  <si>
    <t>10.896</t>
  </si>
  <si>
    <t>10.7627</t>
  </si>
  <si>
    <t>10.664</t>
  </si>
  <si>
    <t>10.8171</t>
  </si>
  <si>
    <t>10.9563</t>
  </si>
  <si>
    <t>10.9602</t>
  </si>
  <si>
    <t>10.9403</t>
  </si>
  <si>
    <t>10.9886</t>
  </si>
  <si>
    <t>10.9346</t>
  </si>
  <si>
    <t>10.8404</t>
  </si>
  <si>
    <t>10.9087</t>
  </si>
  <si>
    <t>10.9526</t>
  </si>
  <si>
    <t>79.4191</t>
  </si>
  <si>
    <t>79.4312</t>
  </si>
  <si>
    <t>79.4674</t>
  </si>
  <si>
    <t>79.4795</t>
  </si>
  <si>
    <t>79.4916</t>
  </si>
  <si>
    <t>79.5038</t>
  </si>
  <si>
    <t>79.5159</t>
  </si>
  <si>
    <t>79.5524</t>
  </si>
  <si>
    <t>79.5646</t>
  </si>
  <si>
    <t>79.5767</t>
  </si>
  <si>
    <t>79.5889</t>
  </si>
  <si>
    <t>79.6376</t>
  </si>
  <si>
    <t>79.6497</t>
  </si>
  <si>
    <t>79.6619</t>
  </si>
  <si>
    <t>79.674</t>
  </si>
  <si>
    <t>79.6862</t>
  </si>
  <si>
    <t>79.7221</t>
  </si>
  <si>
    <t>79.7342</t>
  </si>
  <si>
    <t>79.7585</t>
  </si>
  <si>
    <t>79.7705</t>
  </si>
  <si>
    <t>79.8068</t>
  </si>
  <si>
    <t>79.8189</t>
  </si>
  <si>
    <t>79.8311</t>
  </si>
  <si>
    <t>79.8432</t>
  </si>
  <si>
    <t>79.8555</t>
  </si>
  <si>
    <t>79.8917</t>
  </si>
  <si>
    <t>79.9038</t>
  </si>
  <si>
    <t>79.9159</t>
  </si>
  <si>
    <t>79.928</t>
  </si>
  <si>
    <t>79.9401</t>
  </si>
  <si>
    <t>79.9765</t>
  </si>
  <si>
    <t>79.9886</t>
  </si>
  <si>
    <t>80.0007</t>
  </si>
  <si>
    <t>80.0124</t>
  </si>
  <si>
    <t>80.0243</t>
  </si>
  <si>
    <t>80.0604</t>
  </si>
  <si>
    <t>80.0725</t>
  </si>
  <si>
    <t>80.0846</t>
  </si>
  <si>
    <t>80.0968</t>
  </si>
  <si>
    <t>80.109</t>
  </si>
  <si>
    <t>80.1452</t>
  </si>
  <si>
    <t>80.1574</t>
  </si>
  <si>
    <t>80.1696</t>
  </si>
  <si>
    <t>80.1943</t>
  </si>
  <si>
    <t>80.2317</t>
  </si>
  <si>
    <t>80.2438</t>
  </si>
  <si>
    <t>80.256</t>
  </si>
  <si>
    <t>80.2682</t>
  </si>
  <si>
    <t>80.2803</t>
  </si>
  <si>
    <t>80.3177</t>
  </si>
  <si>
    <t>80.3298</t>
  </si>
  <si>
    <t>80.342</t>
  </si>
  <si>
    <t>80.3541</t>
  </si>
  <si>
    <t>80.3663</t>
  </si>
  <si>
    <t>80.4026</t>
  </si>
  <si>
    <t>80.4391</t>
  </si>
  <si>
    <t>80.4512</t>
  </si>
  <si>
    <t>80.4868</t>
  </si>
  <si>
    <t>80.499</t>
  </si>
  <si>
    <t>80.5111</t>
  </si>
  <si>
    <t>80.5233</t>
  </si>
  <si>
    <t>80.5354</t>
  </si>
  <si>
    <t>80.5713</t>
  </si>
  <si>
    <t>80.5834</t>
  </si>
  <si>
    <t>80.6071</t>
  </si>
  <si>
    <t>80.6192</t>
  </si>
  <si>
    <t>80.6564</t>
  </si>
  <si>
    <t>80.6686</t>
  </si>
  <si>
    <t>80.6807</t>
  </si>
  <si>
    <t>80.6928</t>
  </si>
  <si>
    <t>80.705</t>
  </si>
  <si>
    <t>80.7415</t>
  </si>
  <si>
    <t>80.7536</t>
  </si>
  <si>
    <t>80.7657</t>
  </si>
  <si>
    <t>80.7779</t>
  </si>
  <si>
    <t>80.79</t>
  </si>
  <si>
    <t>80.8253</t>
  </si>
  <si>
    <t>80.8373</t>
  </si>
  <si>
    <t>80.8493</t>
  </si>
  <si>
    <t>80.8613</t>
  </si>
  <si>
    <t>80.8734</t>
  </si>
  <si>
    <t>80.9098</t>
  </si>
  <si>
    <t>80.9219</t>
  </si>
  <si>
    <t>80.934</t>
  </si>
  <si>
    <t>80.9462</t>
  </si>
  <si>
    <t>80.9583</t>
  </si>
  <si>
    <t>80.9947</t>
  </si>
  <si>
    <t>81.0068</t>
  </si>
  <si>
    <t>81.0189</t>
  </si>
  <si>
    <t>81.031</t>
  </si>
  <si>
    <t>81.0431</t>
  </si>
  <si>
    <t>81.0795</t>
  </si>
  <si>
    <t>81.0916</t>
  </si>
  <si>
    <t>81.1039</t>
  </si>
  <si>
    <t>81.1163</t>
  </si>
  <si>
    <t>81.1286</t>
  </si>
  <si>
    <t>81.1654</t>
  </si>
  <si>
    <t>81.1778</t>
  </si>
  <si>
    <t>81.1901</t>
  </si>
  <si>
    <t>81.2143</t>
  </si>
  <si>
    <t>81.2514</t>
  </si>
  <si>
    <t>81.2637</t>
  </si>
  <si>
    <t>81.276</t>
  </si>
  <si>
    <t>81.2883</t>
  </si>
  <si>
    <t>81.3008</t>
  </si>
  <si>
    <t>81.338</t>
  </si>
  <si>
    <t>81.3505</t>
  </si>
  <si>
    <t>81.3629</t>
  </si>
  <si>
    <t>81.3753</t>
  </si>
  <si>
    <t>81.3877</t>
  </si>
  <si>
    <t>81.4245</t>
  </si>
  <si>
    <t>81.4369</t>
  </si>
  <si>
    <t>81.4493</t>
  </si>
  <si>
    <t>81.4742</t>
  </si>
  <si>
    <t>81.5113</t>
  </si>
  <si>
    <t>81.5237</t>
  </si>
  <si>
    <t>81.5362</t>
  </si>
  <si>
    <t>81.5485</t>
  </si>
  <si>
    <t>81.561</t>
  </si>
  <si>
    <t>81.6098</t>
  </si>
  <si>
    <t>81.6224</t>
  </si>
  <si>
    <t>81.6352</t>
  </si>
  <si>
    <t>81.648</t>
  </si>
  <si>
    <t>81.6738</t>
  </si>
  <si>
    <t>81.6866</t>
  </si>
  <si>
    <t>81.6994</t>
  </si>
  <si>
    <t>81.7131</t>
  </si>
  <si>
    <t>81.726</t>
  </si>
  <si>
    <t>81.7388</t>
  </si>
  <si>
    <t>81.7765</t>
  </si>
  <si>
    <t>81.7893</t>
  </si>
  <si>
    <t>81.8021</t>
  </si>
  <si>
    <t>81.815</t>
  </si>
  <si>
    <t>81.8278</t>
  </si>
  <si>
    <t>81.8663</t>
  </si>
  <si>
    <t>81.8792</t>
  </si>
  <si>
    <t>81.892</t>
  </si>
  <si>
    <t>81.9048</t>
  </si>
  <si>
    <t>81.9177</t>
  </si>
  <si>
    <t>81.956</t>
  </si>
  <si>
    <t>81.9688</t>
  </si>
  <si>
    <t>81.9816</t>
  </si>
  <si>
    <t>81.9944</t>
  </si>
  <si>
    <t>82.0073</t>
  </si>
  <si>
    <t>82.0462</t>
  </si>
  <si>
    <t>82.071</t>
  </si>
  <si>
    <t>82.0832</t>
  </si>
  <si>
    <t>82.0955</t>
  </si>
  <si>
    <t>82.1322</t>
  </si>
  <si>
    <t>82.1445</t>
  </si>
  <si>
    <t>82.1568</t>
  </si>
  <si>
    <t>82.169</t>
  </si>
  <si>
    <t>82.1813</t>
  </si>
  <si>
    <t>82.2179</t>
  </si>
  <si>
    <t>82.2302</t>
  </si>
  <si>
    <t>82.2433</t>
  </si>
  <si>
    <t>82.2559</t>
  </si>
  <si>
    <t>82.2682</t>
  </si>
  <si>
    <t>82.3053</t>
  </si>
  <si>
    <t>82.3176</t>
  </si>
  <si>
    <t>82.3362</t>
  </si>
  <si>
    <t>82.3607</t>
  </si>
  <si>
    <t>82.3972</t>
  </si>
  <si>
    <t>82.4094</t>
  </si>
  <si>
    <t>82.4216</t>
  </si>
  <si>
    <t>82.4338</t>
  </si>
  <si>
    <t>82.4825</t>
  </si>
  <si>
    <t>82.4947</t>
  </si>
  <si>
    <t>82.5068</t>
  </si>
  <si>
    <t>82.519</t>
  </si>
  <si>
    <t>82.5312</t>
  </si>
  <si>
    <t>82.5677</t>
  </si>
  <si>
    <t>82.5923</t>
  </si>
  <si>
    <t>82.6045</t>
  </si>
  <si>
    <t>82.6168</t>
  </si>
  <si>
    <t>82.6537</t>
  </si>
  <si>
    <t>82.6659</t>
  </si>
  <si>
    <t>82.6781</t>
  </si>
  <si>
    <t>82.6903</t>
  </si>
  <si>
    <t>82.7026</t>
  </si>
  <si>
    <t>82.7391</t>
  </si>
  <si>
    <t>82.7513</t>
  </si>
  <si>
    <t>82.7636</t>
  </si>
  <si>
    <t>82.7759</t>
  </si>
  <si>
    <t>82.825</t>
  </si>
  <si>
    <t>82.8372</t>
  </si>
  <si>
    <t>82.8495</t>
  </si>
  <si>
    <t>82.8617</t>
  </si>
  <si>
    <t>82.8739</t>
  </si>
  <si>
    <t>82.9104</t>
  </si>
  <si>
    <t>82.9225</t>
  </si>
  <si>
    <t>82.9347</t>
  </si>
  <si>
    <t>82.9468</t>
  </si>
  <si>
    <t>82.959</t>
  </si>
  <si>
    <t>82.9956</t>
  </si>
  <si>
    <t>83.0078</t>
  </si>
  <si>
    <t>83.0199</t>
  </si>
  <si>
    <t>83.0321</t>
  </si>
  <si>
    <t>83.0445</t>
  </si>
  <si>
    <t>83.082</t>
  </si>
  <si>
    <t>83.0945</t>
  </si>
  <si>
    <t>83.107</t>
  </si>
  <si>
    <t>83.1319</t>
  </si>
  <si>
    <t>83.1694</t>
  </si>
  <si>
    <t>83.1819</t>
  </si>
  <si>
    <t>83.1944</t>
  </si>
  <si>
    <t>83.2069</t>
  </si>
  <si>
    <t>83.2194</t>
  </si>
  <si>
    <t>83.2569</t>
  </si>
  <si>
    <t>83.2694</t>
  </si>
  <si>
    <t>83.2819</t>
  </si>
  <si>
    <t>83.2944</t>
  </si>
  <si>
    <t>83.3069</t>
  </si>
  <si>
    <t>83.3453</t>
  </si>
  <si>
    <t>83.3578</t>
  </si>
  <si>
    <t>83.3704</t>
  </si>
  <si>
    <t>83.383</t>
  </si>
  <si>
    <t>83.3956</t>
  </si>
  <si>
    <t>83.4333</t>
  </si>
  <si>
    <t>83.4459</t>
  </si>
  <si>
    <t>83.4585</t>
  </si>
  <si>
    <t>83.4711</t>
  </si>
  <si>
    <t>83.5215</t>
  </si>
  <si>
    <t>83.534</t>
  </si>
  <si>
    <t>83.5466</t>
  </si>
  <si>
    <t>83.5592</t>
  </si>
  <si>
    <t>83.5718</t>
  </si>
  <si>
    <t>83.6096</t>
  </si>
  <si>
    <t>83.6222</t>
  </si>
  <si>
    <t>83.6349</t>
  </si>
  <si>
    <t>83.6475</t>
  </si>
  <si>
    <t>83.6601</t>
  </si>
  <si>
    <t>83.6979</t>
  </si>
  <si>
    <t>83.7105</t>
  </si>
  <si>
    <t>83.7231</t>
  </si>
  <si>
    <t>83.7357</t>
  </si>
  <si>
    <t>83.7483</t>
  </si>
  <si>
    <t>83.7861</t>
  </si>
  <si>
    <t>83.7987</t>
  </si>
  <si>
    <t>27.8205</t>
  </si>
  <si>
    <t>27.552</t>
  </si>
  <si>
    <t>27.7322</t>
  </si>
  <si>
    <t>27.6589</t>
  </si>
  <si>
    <t>27.5394</t>
  </si>
  <si>
    <t>27.58</t>
  </si>
  <si>
    <t>27.3063</t>
  </si>
  <si>
    <t>27.5157</t>
  </si>
  <si>
    <t>27.468</t>
  </si>
  <si>
    <t>27.6285</t>
  </si>
  <si>
    <t>27.5962</t>
  </si>
  <si>
    <t>27.9005</t>
  </si>
  <si>
    <t>28.0874</t>
  </si>
  <si>
    <t>28.1712</t>
  </si>
  <si>
    <t>28.1868</t>
  </si>
  <si>
    <t>27.9827</t>
  </si>
  <si>
    <t>28.0864</t>
  </si>
  <si>
    <t>27.7708</t>
  </si>
  <si>
    <t>27.5273</t>
  </si>
  <si>
    <t>27.452</t>
  </si>
  <si>
    <t>27.7589</t>
  </si>
  <si>
    <t>27.7504</t>
  </si>
  <si>
    <t>27.9028</t>
  </si>
  <si>
    <t>27.8809</t>
  </si>
  <si>
    <t>27.8926</t>
  </si>
  <si>
    <t>27.9735</t>
  </si>
  <si>
    <t>28.0809</t>
  </si>
  <si>
    <t>28.2393</t>
  </si>
  <si>
    <t>28.2708</t>
  </si>
  <si>
    <t>28.3919</t>
  </si>
  <si>
    <t>28.3811</t>
  </si>
  <si>
    <t>28.5674</t>
  </si>
  <si>
    <t>28.6611</t>
  </si>
  <si>
    <t>28.7394</t>
  </si>
  <si>
    <t>28.6618</t>
  </si>
  <si>
    <t>28.4751</t>
  </si>
  <si>
    <t>28.4589</t>
  </si>
  <si>
    <t>28.313</t>
  </si>
  <si>
    <t>28.1308</t>
  </si>
  <si>
    <t>27.7712</t>
  </si>
  <si>
    <t>27.7857</t>
  </si>
  <si>
    <t>27.7752</t>
  </si>
  <si>
    <t>28.0076</t>
  </si>
  <si>
    <t>28.1186</t>
  </si>
  <si>
    <t>28.3056</t>
  </si>
  <si>
    <t>28.3502</t>
  </si>
  <si>
    <t>28.2123</t>
  </si>
  <si>
    <t>28.3444</t>
  </si>
  <si>
    <t>28.4464</t>
  </si>
  <si>
    <t>28.3427</t>
  </si>
  <si>
    <t>28.2671</t>
  </si>
  <si>
    <t>28.4756</t>
  </si>
  <si>
    <t>28.7297</t>
  </si>
  <si>
    <t>28.8076</t>
  </si>
  <si>
    <t>28.942</t>
  </si>
  <si>
    <t>29.0295</t>
  </si>
  <si>
    <t>28.9109</t>
  </si>
  <si>
    <t>29.1053</t>
  </si>
  <si>
    <t>29.0782</t>
  </si>
  <si>
    <t>29.2485</t>
  </si>
  <si>
    <t>29.0821</t>
  </si>
  <si>
    <t>28.9291</t>
  </si>
  <si>
    <t>29.0002</t>
  </si>
  <si>
    <t>28.8619</t>
  </si>
  <si>
    <t>28.6721</t>
  </si>
  <si>
    <t>28.6541</t>
  </si>
  <si>
    <t>28.7708</t>
  </si>
  <si>
    <t>28.8841</t>
  </si>
  <si>
    <t>29.1078</t>
  </si>
  <si>
    <t>29.0931</t>
  </si>
  <si>
    <t>29.1057</t>
  </si>
  <si>
    <t>29.2743</t>
  </si>
  <si>
    <t>29.1601</t>
  </si>
  <si>
    <t>29.2794</t>
  </si>
  <si>
    <t>29.3723</t>
  </si>
  <si>
    <t>29.184</t>
  </si>
  <si>
    <t>29.0511</t>
  </si>
  <si>
    <t>29.028</t>
  </si>
  <si>
    <t>29.3752</t>
  </si>
  <si>
    <t>29.3991</t>
  </si>
  <si>
    <t>29.3784</t>
  </si>
  <si>
    <t>29.3511</t>
  </si>
  <si>
    <t>29.2409</t>
  </si>
  <si>
    <t>29.1208</t>
  </si>
  <si>
    <t>29.1347</t>
  </si>
  <si>
    <t>29.2503</t>
  </si>
  <si>
    <t>28.9282</t>
  </si>
  <si>
    <t>28.9013</t>
  </si>
  <si>
    <t>28.7959</t>
  </si>
  <si>
    <t>28.9439</t>
  </si>
  <si>
    <t>29.1449</t>
  </si>
  <si>
    <t>29.1468</t>
  </si>
  <si>
    <t>28.9436</t>
  </si>
  <si>
    <t>28.8861</t>
  </si>
  <si>
    <t>28.9009</t>
  </si>
  <si>
    <t>29.1952</t>
  </si>
  <si>
    <t>29.4285</t>
  </si>
  <si>
    <t>29.4542</t>
  </si>
  <si>
    <t>29.3917</t>
  </si>
  <si>
    <t>29.2925</t>
  </si>
  <si>
    <t>29.1676</t>
  </si>
  <si>
    <t>29.1915</t>
  </si>
  <si>
    <t>29.4075</t>
  </si>
  <si>
    <t>29.458</t>
  </si>
  <si>
    <t>29.6914</t>
  </si>
  <si>
    <t>29.6045</t>
  </si>
  <si>
    <t>29.5334</t>
  </si>
  <si>
    <t>29.5092</t>
  </si>
  <si>
    <t>29.1024</t>
  </si>
  <si>
    <t>28.8753</t>
  </si>
  <si>
    <t>28.9496</t>
  </si>
  <si>
    <t>28.9111</t>
  </si>
  <si>
    <t>28.8882</t>
  </si>
  <si>
    <t>28.9489</t>
  </si>
  <si>
    <t>28.8284</t>
  </si>
  <si>
    <t>28.3615</t>
  </si>
  <si>
    <t>28.2372</t>
  </si>
  <si>
    <t>28.4384</t>
  </si>
  <si>
    <t>28.1641</t>
  </si>
  <si>
    <t>28.2685</t>
  </si>
  <si>
    <t>28.5655</t>
  </si>
  <si>
    <t>28.6366</t>
  </si>
  <si>
    <t>28.558</t>
  </si>
  <si>
    <t>28.0386</t>
  </si>
  <si>
    <t>28.2604</t>
  </si>
  <si>
    <t>28.9723</t>
  </si>
  <si>
    <t>29.0723</t>
  </si>
  <si>
    <t>28.9628</t>
  </si>
  <si>
    <t>28.9974</t>
  </si>
  <si>
    <t>29.2869</t>
  </si>
  <si>
    <t>29.4088</t>
  </si>
  <si>
    <t>29.4221</t>
  </si>
  <si>
    <t>29.2614</t>
  </si>
  <si>
    <t>28.8929</t>
  </si>
  <si>
    <t>29.0942</t>
  </si>
  <si>
    <t>29.1823</t>
  </si>
  <si>
    <t>29.3041</t>
  </si>
  <si>
    <t>28.9078</t>
  </si>
  <si>
    <t>29.0543</t>
  </si>
  <si>
    <t>29.1772</t>
  </si>
  <si>
    <t>28.9561</t>
  </si>
  <si>
    <t>29.0918</t>
  </si>
  <si>
    <t>29.1477</t>
  </si>
  <si>
    <t>28.8575</t>
  </si>
  <si>
    <t>28.4547</t>
  </si>
  <si>
    <t>27.9238</t>
  </si>
  <si>
    <t>28.2585</t>
  </si>
  <si>
    <t>27.9972</t>
  </si>
  <si>
    <t>27.3833</t>
  </si>
  <si>
    <t>27.7358</t>
  </si>
  <si>
    <t>27.3295</t>
  </si>
  <si>
    <t>27.1379</t>
  </si>
  <si>
    <t>26.5091</t>
  </si>
  <si>
    <t>26.6459</t>
  </si>
  <si>
    <t>26.8526</t>
  </si>
  <si>
    <t>27.1385</t>
  </si>
  <si>
    <t>26.2615</t>
  </si>
  <si>
    <t>26.3994</t>
  </si>
  <si>
    <t>25.6094</t>
  </si>
  <si>
    <t>26.086</t>
  </si>
  <si>
    <t>26.55</t>
  </si>
  <si>
    <t>26.0098</t>
  </si>
  <si>
    <t>25.3823</t>
  </si>
  <si>
    <t>25.3814</t>
  </si>
  <si>
    <t>25.8138</t>
  </si>
  <si>
    <t>25.8542</t>
  </si>
  <si>
    <t>26.1296</t>
  </si>
  <si>
    <t>26.2534</t>
  </si>
  <si>
    <t>27.2684</t>
  </si>
  <si>
    <t>27.12</t>
  </si>
  <si>
    <t>27.4779</t>
  </si>
  <si>
    <t>27.2513</t>
  </si>
  <si>
    <t>27.734</t>
  </si>
  <si>
    <t>27.788</t>
  </si>
  <si>
    <t>28.0116</t>
  </si>
  <si>
    <t>28.0049</t>
  </si>
  <si>
    <t>28.206</t>
  </si>
  <si>
    <t>28.0975</t>
  </si>
  <si>
    <t>27.8394</t>
  </si>
  <si>
    <t>27.7894</t>
  </si>
  <si>
    <t>27.6965</t>
  </si>
  <si>
    <t>27.8047</t>
  </si>
  <si>
    <t>27.565</t>
  </si>
  <si>
    <t>27.6985</t>
  </si>
  <si>
    <t>27.6172</t>
  </si>
  <si>
    <t>28.0051</t>
  </si>
  <si>
    <t>28.0727</t>
  </si>
  <si>
    <t>27.944</t>
  </si>
  <si>
    <t>27.5413</t>
  </si>
  <si>
    <t>26.9894</t>
  </si>
  <si>
    <t>27.0284</t>
  </si>
  <si>
    <t>27.2615</t>
  </si>
  <si>
    <t>27.2137</t>
  </si>
  <si>
    <t>27.1172</t>
  </si>
  <si>
    <t>27.1693</t>
  </si>
  <si>
    <t>27.2104</t>
  </si>
  <si>
    <t>27.2339</t>
  </si>
  <si>
    <t>27.3213</t>
  </si>
  <si>
    <t>27.6606</t>
  </si>
  <si>
    <t>27.5474</t>
  </si>
  <si>
    <t>27.6256</t>
  </si>
  <si>
    <t>27.2551</t>
  </si>
  <si>
    <t>27.003</t>
  </si>
  <si>
    <t>27.1142</t>
  </si>
  <si>
    <t>27.0059</t>
  </si>
  <si>
    <t>27.062</t>
  </si>
  <si>
    <t>27.0353</t>
  </si>
  <si>
    <t>26.7258</t>
  </si>
  <si>
    <t>26.9172</t>
  </si>
  <si>
    <t>26.8188</t>
  </si>
  <si>
    <t>26.71</t>
  </si>
  <si>
    <t>27.245</t>
  </si>
  <si>
    <t>27.5393</t>
  </si>
  <si>
    <t>27.6723</t>
  </si>
  <si>
    <t>27.7798</t>
  </si>
  <si>
    <t>27.8964</t>
  </si>
  <si>
    <t>27.7746</t>
  </si>
  <si>
    <t>27.9045</t>
  </si>
  <si>
    <t>27.6195</t>
  </si>
  <si>
    <t>27.7954</t>
  </si>
  <si>
    <t>27.808</t>
  </si>
  <si>
    <t>27.647</t>
  </si>
  <si>
    <t>27.5855</t>
  </si>
  <si>
    <t>27.6998</t>
  </si>
  <si>
    <t>27.8766</t>
  </si>
  <si>
    <t>27.909</t>
  </si>
  <si>
    <t>28.0643</t>
  </si>
  <si>
    <t>28.0472</t>
  </si>
  <si>
    <t>27.51</t>
  </si>
  <si>
    <t>27.6367</t>
  </si>
  <si>
    <t>27.943</t>
  </si>
  <si>
    <t>27.9789</t>
  </si>
  <si>
    <t>27.8126</t>
  </si>
  <si>
    <t>27.8748</t>
  </si>
  <si>
    <t>27.8561</t>
  </si>
  <si>
    <t>28.04</t>
  </si>
  <si>
    <t>27.9563</t>
  </si>
  <si>
    <t>27.9573</t>
  </si>
  <si>
    <t>14.6964</t>
  </si>
  <si>
    <t>14.7049</t>
  </si>
  <si>
    <t>14.7366</t>
  </si>
  <si>
    <t>14.728</t>
  </si>
  <si>
    <t>14.6682</t>
  </si>
  <si>
    <t>14.6793</t>
  </si>
  <si>
    <t>14.6727</t>
  </si>
  <si>
    <t>14.6319</t>
  </si>
  <si>
    <t>14.5975</t>
  </si>
  <si>
    <t>14.596</t>
  </si>
  <si>
    <t>14.6452</t>
  </si>
  <si>
    <t>14.6034</t>
  </si>
  <si>
    <t>14.5874</t>
  </si>
  <si>
    <t>14.6049</t>
  </si>
  <si>
    <t>14.5943</t>
  </si>
  <si>
    <t>14.5881</t>
  </si>
  <si>
    <t>14.5638</t>
  </si>
  <si>
    <t>14.5378</t>
  </si>
  <si>
    <t>14.5849</t>
  </si>
  <si>
    <t>14.5529</t>
  </si>
  <si>
    <t>14.5485</t>
  </si>
  <si>
    <t>14.5593</t>
  </si>
  <si>
    <t>14.5801</t>
  </si>
  <si>
    <t>14.6138</t>
  </si>
  <si>
    <t>14.6377</t>
  </si>
  <si>
    <t>14.6449</t>
  </si>
  <si>
    <t>14.6422</t>
  </si>
  <si>
    <t>14.639</t>
  </si>
  <si>
    <t>14.6411</t>
  </si>
  <si>
    <t>14.6395</t>
  </si>
  <si>
    <t>14.6426</t>
  </si>
  <si>
    <t>14.6437</t>
  </si>
  <si>
    <t>14.6643</t>
  </si>
  <si>
    <t>14.6541</t>
  </si>
  <si>
    <t>14.6625</t>
  </si>
  <si>
    <t>14.665</t>
  </si>
  <si>
    <t>14.6782</t>
  </si>
  <si>
    <t>14.674</t>
  </si>
  <si>
    <t>14.6755</t>
  </si>
  <si>
    <t>14.6731</t>
  </si>
  <si>
    <t>14.6677</t>
  </si>
  <si>
    <t>14.7063</t>
  </si>
  <si>
    <t>14.7473</t>
  </si>
  <si>
    <t>14.7591</t>
  </si>
  <si>
    <t>14.7631</t>
  </si>
  <si>
    <t>14.7574</t>
  </si>
  <si>
    <t>14.7625</t>
  </si>
  <si>
    <t>14.781</t>
  </si>
  <si>
    <t>14.7811</t>
  </si>
  <si>
    <t>14.7969</t>
  </si>
  <si>
    <t>14.7943</t>
  </si>
  <si>
    <t>14.7874</t>
  </si>
  <si>
    <t>14.7985</t>
  </si>
  <si>
    <t>14.7816</t>
  </si>
  <si>
    <t>14.7798</t>
  </si>
  <si>
    <t>14.7815</t>
  </si>
  <si>
    <t>14.7823</t>
  </si>
  <si>
    <t>14.7679</t>
  </si>
  <si>
    <t>14.7741</t>
  </si>
  <si>
    <t>14.7786</t>
  </si>
  <si>
    <t>14.7893</t>
  </si>
  <si>
    <t>14.8077</t>
  </si>
  <si>
    <t>14.8116</t>
  </si>
  <si>
    <t>14.8273</t>
  </si>
  <si>
    <t>14.8261</t>
  </si>
  <si>
    <t>14.8227</t>
  </si>
  <si>
    <t>14.8176</t>
  </si>
  <si>
    <t>14.8046</t>
  </si>
  <si>
    <t>14.8015</t>
  </si>
  <si>
    <t>14.8109</t>
  </si>
  <si>
    <t>14.818</t>
  </si>
  <si>
    <t>14.8242</t>
  </si>
  <si>
    <t>14.8141</t>
  </si>
  <si>
    <t>14.8325</t>
  </si>
  <si>
    <t>14.8514</t>
  </si>
  <si>
    <t>14.8632</t>
  </si>
  <si>
    <t>14.858</t>
  </si>
  <si>
    <t>14.8387</t>
  </si>
  <si>
    <t>14.8198</t>
  </si>
  <si>
    <t>14.839</t>
  </si>
  <si>
    <t>14.835</t>
  </si>
  <si>
    <t>14.8384</t>
  </si>
  <si>
    <t>14.8638</t>
  </si>
  <si>
    <t>14.8522</t>
  </si>
  <si>
    <t>14.8096</t>
  </si>
  <si>
    <t>14.7849</t>
  </si>
  <si>
    <t>14.798</t>
  </si>
  <si>
    <t>14.8053</t>
  </si>
  <si>
    <t>14.8093</t>
  </si>
  <si>
    <t>14.8156</t>
  </si>
  <si>
    <t>14.8112</t>
  </si>
  <si>
    <t>14.8158</t>
  </si>
  <si>
    <t>14.8108</t>
  </si>
  <si>
    <t>14.7767</t>
  </si>
  <si>
    <t>14.787</t>
  </si>
  <si>
    <t>14.8508</t>
  </si>
  <si>
    <t>14.8421</t>
  </si>
  <si>
    <t>14.8501</t>
  </si>
  <si>
    <t>14.8503</t>
  </si>
  <si>
    <t>14.8451</t>
  </si>
  <si>
    <t>14.8229</t>
  </si>
  <si>
    <t>14.8253</t>
  </si>
  <si>
    <t>14.8284</t>
  </si>
  <si>
    <t>14.8195</t>
  </si>
  <si>
    <t>14.819</t>
  </si>
  <si>
    <t>14.8383</t>
  </si>
  <si>
    <t>14.8239</t>
  </si>
  <si>
    <t>14.8061</t>
  </si>
  <si>
    <t>14.7732</t>
  </si>
  <si>
    <t>14.7739</t>
  </si>
  <si>
    <t>14.7782</t>
  </si>
  <si>
    <t>14.7959</t>
  </si>
  <si>
    <t>14.7915</t>
  </si>
  <si>
    <t>14.7765</t>
  </si>
  <si>
    <t>14.7833</t>
  </si>
  <si>
    <t>14.79</t>
  </si>
  <si>
    <t>14.8127</t>
  </si>
  <si>
    <t>14.7686</t>
  </si>
  <si>
    <t>14.7988</t>
  </si>
  <si>
    <t>14.8303</t>
  </si>
  <si>
    <t>14.8654</t>
  </si>
  <si>
    <t>14.8017</t>
  </si>
  <si>
    <t>14.7973</t>
  </si>
  <si>
    <t>14.8085</t>
  </si>
  <si>
    <t>14.8361</t>
  </si>
  <si>
    <t>14.8617</t>
  </si>
  <si>
    <t>14.8736</t>
  </si>
  <si>
    <t>14.9066</t>
  </si>
  <si>
    <t>14.8954</t>
  </si>
  <si>
    <t>14.898</t>
  </si>
  <si>
    <t>14.8747</t>
  </si>
  <si>
    <t>14.8916</t>
  </si>
  <si>
    <t>14.9062</t>
  </si>
  <si>
    <t>14.9191</t>
  </si>
  <si>
    <t>14.919</t>
  </si>
  <si>
    <t>14.9374</t>
  </si>
  <si>
    <t>14.9093</t>
  </si>
  <si>
    <t>14.9299</t>
  </si>
  <si>
    <t>14.9122</t>
  </si>
  <si>
    <t>14.8839</t>
  </si>
  <si>
    <t>14.9296</t>
  </si>
  <si>
    <t>14.923</t>
  </si>
  <si>
    <t>14.9012</t>
  </si>
  <si>
    <t>14.8693</t>
  </si>
  <si>
    <t>14.8701</t>
  </si>
  <si>
    <t>14.8727</t>
  </si>
  <si>
    <t>14.8528</t>
  </si>
  <si>
    <t>14.7912</t>
  </si>
  <si>
    <t>14.7708</t>
  </si>
  <si>
    <t>14.7653</t>
  </si>
  <si>
    <t>14.7211</t>
  </si>
  <si>
    <t>14.695</t>
  </si>
  <si>
    <t>14.6977</t>
  </si>
  <si>
    <t>14.6424</t>
  </si>
  <si>
    <t>14.6891</t>
  </si>
  <si>
    <t>14.6981</t>
  </si>
  <si>
    <t>14.7949</t>
  </si>
  <si>
    <t>14.7909</t>
  </si>
  <si>
    <t>14.8166</t>
  </si>
  <si>
    <t>14.8097</t>
  </si>
  <si>
    <t>14.8543</t>
  </si>
  <si>
    <t>14.8519</t>
  </si>
  <si>
    <t>14.8634</t>
  </si>
  <si>
    <t>14.8667</t>
  </si>
  <si>
    <t>14.8444</t>
  </si>
  <si>
    <t>14.8342</t>
  </si>
  <si>
    <t>14.8447</t>
  </si>
  <si>
    <t>14.8307</t>
  </si>
  <si>
    <t>14.8231</t>
  </si>
  <si>
    <t>14.8037</t>
  </si>
  <si>
    <t>14.8199</t>
  </si>
  <si>
    <t>14.8118</t>
  </si>
  <si>
    <t>14.8817</t>
  </si>
  <si>
    <t>14.8691</t>
  </si>
  <si>
    <t>14.8443</t>
  </si>
  <si>
    <t>14.8318</t>
  </si>
  <si>
    <t>14.8311</t>
  </si>
  <si>
    <t>14.8091</t>
  </si>
  <si>
    <t>14.762</t>
  </si>
  <si>
    <t>14.7712</t>
  </si>
  <si>
    <t>14.7516</t>
  </si>
  <si>
    <t>14.7703</t>
  </si>
  <si>
    <t>14.8126</t>
  </si>
  <si>
    <t>14.8145</t>
  </si>
  <si>
    <t>14.827</t>
  </si>
  <si>
    <t>14.8366</t>
  </si>
  <si>
    <t>14.8512</t>
  </si>
  <si>
    <t>14.8357</t>
  </si>
  <si>
    <t>14.8589</t>
  </si>
  <si>
    <t>14.9235</t>
  </si>
  <si>
    <t>14.9601</t>
  </si>
  <si>
    <t>15.008</t>
  </si>
  <si>
    <t>15.0047</t>
  </si>
  <si>
    <t>14.9912</t>
  </si>
  <si>
    <t>15.0404</t>
  </si>
  <si>
    <t>15.0452</t>
  </si>
  <si>
    <t>15.0395</t>
  </si>
  <si>
    <t>15.0544</t>
  </si>
  <si>
    <t>15.0749</t>
  </si>
  <si>
    <t>15.0861</t>
  </si>
  <si>
    <t>15.1082</t>
  </si>
  <si>
    <t>15.1437</t>
  </si>
  <si>
    <t>15.1643</t>
  </si>
  <si>
    <t>15.1873</t>
  </si>
  <si>
    <t>15.1844</t>
  </si>
  <si>
    <t>15.1998</t>
  </si>
  <si>
    <t>15.1967</t>
  </si>
  <si>
    <t>15.2117</t>
  </si>
  <si>
    <t>15.2006</t>
  </si>
  <si>
    <t>15.1552</t>
  </si>
  <si>
    <t>15.166</t>
  </si>
  <si>
    <t>15.1877</t>
  </si>
  <si>
    <t>15.1316</t>
  </si>
  <si>
    <t>15.1465</t>
  </si>
  <si>
    <t>15.1613</t>
  </si>
  <si>
    <t>15.1567</t>
  </si>
  <si>
    <t>15.1558</t>
  </si>
  <si>
    <t>15.1533</t>
  </si>
  <si>
    <t>Insurer</t>
  </si>
  <si>
    <t>Fund Name</t>
  </si>
  <si>
    <t>Category</t>
  </si>
  <si>
    <t>BSE Enhanced Value 30 Index Fund</t>
  </si>
  <si>
    <t>Equity</t>
  </si>
  <si>
    <t>Constant Maturity Fund</t>
  </si>
  <si>
    <t>Debt</t>
  </si>
  <si>
    <t>Income Fund</t>
  </si>
  <si>
    <t>Money Market Fund</t>
  </si>
  <si>
    <t>Secure Opportunities Fund</t>
  </si>
  <si>
    <t>Pension Income Fund</t>
  </si>
  <si>
    <t>Pension Money Market Fund</t>
  </si>
  <si>
    <t>Secure Income Fund</t>
  </si>
  <si>
    <t>Active Asset Allocation Balanced Fund</t>
  </si>
  <si>
    <t>Balanced</t>
  </si>
  <si>
    <t>Multi Cap Balanced Fund</t>
  </si>
  <si>
    <t>Mid Cap Hybrid Growth Fund</t>
  </si>
  <si>
    <t>Balanced Advantage Fund</t>
  </si>
  <si>
    <t>Pension Balance Fund</t>
  </si>
  <si>
    <t>Pension Multi Cap Balanced Fund</t>
  </si>
  <si>
    <t>Hybrid</t>
  </si>
  <si>
    <t>Top 500 Smart Value 50 Fund</t>
  </si>
  <si>
    <t>Capital Growth Fund</t>
  </si>
  <si>
    <t>Capital Secure Fund</t>
  </si>
  <si>
    <t>Equity Plus Fund</t>
  </si>
  <si>
    <t>Conservative Fund</t>
  </si>
  <si>
    <t>Secure Managed Fund</t>
  </si>
  <si>
    <t>Tata AIA</t>
  </si>
  <si>
    <t>Equity - Mid Cap Oriented</t>
  </si>
  <si>
    <t>Equity - ESG/Thematic</t>
  </si>
  <si>
    <t>Balanced (Debt &amp; Equity)</t>
  </si>
  <si>
    <t>Equity - Multi Cap</t>
  </si>
  <si>
    <t>Equity - Thematic (Consumption)</t>
  </si>
  <si>
    <t>Equity - Large Cap (Nifty 50 oriented)</t>
  </si>
  <si>
    <t>Equity - Large &amp; Mid Cap (BSE 200 oriented)</t>
  </si>
  <si>
    <t>Equity - Ethical/Exclusionary</t>
  </si>
  <si>
    <t>Equity - Large Cap</t>
  </si>
  <si>
    <t>Balanced - Equity Oriented</t>
  </si>
  <si>
    <t>Balanced - Debt Oriented</t>
  </si>
  <si>
    <t>Debt - Short Term</t>
  </si>
  <si>
    <t>Equity - Flexi Cap</t>
  </si>
  <si>
    <t>Equity - Small Cap</t>
  </si>
  <si>
    <t>Equity - Thematic (Growth/Domestic)</t>
  </si>
  <si>
    <t>Equity - Index (Midcap Momentum)</t>
  </si>
  <si>
    <t>Equity - Index (Nifty Alpha 50)</t>
  </si>
  <si>
    <t>Equity - Index (Multicap Momentum Quality)</t>
  </si>
  <si>
    <t>Equity - Index (Momentum 50)</t>
  </si>
  <si>
    <t>Equity - Index (Sector Leaders)</t>
  </si>
  <si>
    <t>2026-07-22</t>
  </si>
  <si>
    <t>40.6515</t>
  </si>
  <si>
    <t>2026-07-23</t>
  </si>
  <si>
    <t>40.4217</t>
  </si>
  <si>
    <t>2026-07-24</t>
  </si>
  <si>
    <t>40.2955</t>
  </si>
  <si>
    <t>2026-07-27</t>
  </si>
  <si>
    <t>40.6433</t>
  </si>
  <si>
    <t>2026-07-28</t>
  </si>
  <si>
    <t>40.6215</t>
  </si>
  <si>
    <t>2026-07-29</t>
  </si>
  <si>
    <t>2026-07-30</t>
  </si>
  <si>
    <t>41.2331</t>
  </si>
  <si>
    <t>2026-07-31</t>
  </si>
  <si>
    <t>41.3642</t>
  </si>
  <si>
    <t>21.8319</t>
  </si>
  <si>
    <t>21.8148</t>
  </si>
  <si>
    <t>21.8243</t>
  </si>
  <si>
    <t>21.8859</t>
  </si>
  <si>
    <t>21.8785</t>
  </si>
  <si>
    <t>21.8584</t>
  </si>
  <si>
    <t>21.8406</t>
  </si>
  <si>
    <t>21.846</t>
  </si>
  <si>
    <t>44.5384</t>
  </si>
  <si>
    <t>44.1124</t>
  </si>
  <si>
    <t>44.0963</t>
  </si>
  <si>
    <t>44.5072</t>
  </si>
  <si>
    <t>44.5632</t>
  </si>
  <si>
    <t>44.895</t>
  </si>
  <si>
    <t>44.7885</t>
  </si>
  <si>
    <t>44.9893</t>
  </si>
  <si>
    <t>8.872</t>
  </si>
  <si>
    <t>8.7765</t>
  </si>
  <si>
    <t>8.7533</t>
  </si>
  <si>
    <t>8.853</t>
  </si>
  <si>
    <t>8.852</t>
  </si>
  <si>
    <t>8.8211</t>
  </si>
  <si>
    <t>8.946</t>
  </si>
  <si>
    <t>8.6922</t>
  </si>
  <si>
    <t>8.5285</t>
  </si>
  <si>
    <t>8.6149</t>
  </si>
  <si>
    <t>8.5061</t>
  </si>
  <si>
    <t>8.5741</t>
  </si>
  <si>
    <t>8.5201</t>
  </si>
  <si>
    <t>8.658</t>
  </si>
  <si>
    <t>9.5065</t>
  </si>
  <si>
    <t>9.4909</t>
  </si>
  <si>
    <t>9.4318</t>
  </si>
  <si>
    <t>9.5749</t>
  </si>
  <si>
    <t>9.5875</t>
  </si>
  <si>
    <t>9.675</t>
  </si>
  <si>
    <t>9.7358</t>
  </si>
  <si>
    <t>9.7539</t>
  </si>
  <si>
    <t>49.5809</t>
  </si>
  <si>
    <t>49.3137</t>
  </si>
  <si>
    <t>49.1532</t>
  </si>
  <si>
    <t>49.5743</t>
  </si>
  <si>
    <t>49.5117</t>
  </si>
  <si>
    <t>50.243</t>
  </si>
  <si>
    <t>50.4065</t>
  </si>
  <si>
    <t>80.9811</t>
  </si>
  <si>
    <t>80.0213</t>
  </si>
  <si>
    <t>80.029</t>
  </si>
  <si>
    <t>80.8641</t>
  </si>
  <si>
    <t>81.1471</t>
  </si>
  <si>
    <t>81.7694</t>
  </si>
  <si>
    <t>81.5176</t>
  </si>
  <si>
    <t>81.7105</t>
  </si>
  <si>
    <t>15.2754</t>
  </si>
  <si>
    <t>15.2738</t>
  </si>
  <si>
    <t>15.2765</t>
  </si>
  <si>
    <t>15.3129</t>
  </si>
  <si>
    <t>15.3195</t>
  </si>
  <si>
    <t>15.314</t>
  </si>
  <si>
    <t>15.296</t>
  </si>
  <si>
    <t>15.307</t>
  </si>
  <si>
    <t>14.2487</t>
  </si>
  <si>
    <t>14.2016</t>
  </si>
  <si>
    <t>14.1356</t>
  </si>
  <si>
    <t>14.3273</t>
  </si>
  <si>
    <t>14.3571</t>
  </si>
  <si>
    <t>14.5089</t>
  </si>
  <si>
    <t>14.5344</t>
  </si>
  <si>
    <t>14.6091</t>
  </si>
  <si>
    <t>10.5462</t>
  </si>
  <si>
    <t>10.501</t>
  </si>
  <si>
    <t>10.4751</t>
  </si>
  <si>
    <t>10.5565</t>
  </si>
  <si>
    <t>10.5483</t>
  </si>
  <si>
    <t>10.6359</t>
  </si>
  <si>
    <t>10.6509</t>
  </si>
  <si>
    <t>10.6784</t>
  </si>
  <si>
    <t>10.1647</t>
  </si>
  <si>
    <t>10.0461</t>
  </si>
  <si>
    <t>9.9886</t>
  </si>
  <si>
    <t>10.0985</t>
  </si>
  <si>
    <t>10.018</t>
  </si>
  <si>
    <t>10.1226</t>
  </si>
  <si>
    <t>10.0917</t>
  </si>
  <si>
    <t>10.2044</t>
  </si>
  <si>
    <t>9.837</t>
  </si>
  <si>
    <t>9.7655</t>
  </si>
  <si>
    <t>9.8438</t>
  </si>
  <si>
    <t>9.8345</t>
  </si>
  <si>
    <t>9.9076</t>
  </si>
  <si>
    <t>9.9395</t>
  </si>
  <si>
    <t>10.6898</t>
  </si>
  <si>
    <t>10.6123</t>
  </si>
  <si>
    <t>10.5923</t>
  </si>
  <si>
    <t>10.7267</t>
  </si>
  <si>
    <t>10.7373</t>
  </si>
  <si>
    <t>10.8458</t>
  </si>
  <si>
    <t>10.8625</t>
  </si>
  <si>
    <t>10.8974</t>
  </si>
  <si>
    <t>40.3108</t>
  </si>
  <si>
    <t>40.1358</t>
  </si>
  <si>
    <t>40.051</t>
  </si>
  <si>
    <t>40.3267</t>
  </si>
  <si>
    <t>40.5973</t>
  </si>
  <si>
    <t>40.6544</t>
  </si>
  <si>
    <t>40.7878</t>
  </si>
  <si>
    <t>15.1368</t>
  </si>
  <si>
    <t>15.0407</t>
  </si>
  <si>
    <t>14.9924</t>
  </si>
  <si>
    <t>15.1318</t>
  </si>
  <si>
    <t>15.1125</t>
  </si>
  <si>
    <t>15.2975</t>
  </si>
  <si>
    <t>15.3242</t>
  </si>
  <si>
    <t>15.3884</t>
  </si>
  <si>
    <t>10.8507</t>
  </si>
  <si>
    <t>10.7396</t>
  </si>
  <si>
    <t>10.7264</t>
  </si>
  <si>
    <t>10.8394</t>
  </si>
  <si>
    <t>10.7984</t>
  </si>
  <si>
    <t>10.8969</t>
  </si>
  <si>
    <t>10.8378</t>
  </si>
  <si>
    <t>10.9656</t>
  </si>
  <si>
    <t>83.8113</t>
  </si>
  <si>
    <t>83.824</t>
  </si>
  <si>
    <t>83.8366</t>
  </si>
  <si>
    <t>83.8746</t>
  </si>
  <si>
    <t>83.8873</t>
  </si>
  <si>
    <t>83.9</t>
  </si>
  <si>
    <t>83.9126</t>
  </si>
  <si>
    <t>83.925</t>
  </si>
  <si>
    <t>27.7489</t>
  </si>
  <si>
    <t>27.5935</t>
  </si>
  <si>
    <t>27.512</t>
  </si>
  <si>
    <t>27.7319</t>
  </si>
  <si>
    <t>27.694</t>
  </si>
  <si>
    <t>28.001</t>
  </si>
  <si>
    <t>28.0587</t>
  </si>
  <si>
    <t>28.1574</t>
  </si>
  <si>
    <t>15.1276</t>
  </si>
  <si>
    <t>15.1333</t>
  </si>
  <si>
    <t>15.1772</t>
  </si>
  <si>
    <t>15.1766</t>
  </si>
  <si>
    <t>15.1644</t>
  </si>
  <si>
    <t>15.1486</t>
  </si>
  <si>
    <t>15.1545</t>
  </si>
  <si>
    <t>10</t>
  </si>
  <si>
    <t>9.9559</t>
  </si>
  <si>
    <t>9.9514</t>
  </si>
  <si>
    <t>9.8749</t>
  </si>
  <si>
    <t>9.7706</t>
  </si>
  <si>
    <t>9.7606</t>
  </si>
  <si>
    <t>9.7545</t>
  </si>
  <si>
    <t>9.7817</t>
  </si>
  <si>
    <t>9.7621</t>
  </si>
  <si>
    <t>9.7586</t>
  </si>
  <si>
    <t>9.7075</t>
  </si>
  <si>
    <t>9.5185</t>
  </si>
  <si>
    <t>9.6002</t>
  </si>
  <si>
    <t>9.7353</t>
  </si>
  <si>
    <t>9.7515</t>
  </si>
  <si>
    <t>9.699</t>
  </si>
  <si>
    <t>9.6855</t>
  </si>
  <si>
    <t>9.695</t>
  </si>
  <si>
    <t>9.7841</t>
  </si>
  <si>
    <t>9.7831</t>
  </si>
  <si>
    <t>9.679</t>
  </si>
  <si>
    <t>9.5986</t>
  </si>
  <si>
    <t>9.5828</t>
  </si>
  <si>
    <t>9.6405</t>
  </si>
  <si>
    <t>9.6058</t>
  </si>
  <si>
    <t>9.67</t>
  </si>
  <si>
    <t>9.6935</t>
  </si>
  <si>
    <t>9.7507</t>
  </si>
  <si>
    <t>33.0532</t>
  </si>
  <si>
    <t>32.7822</t>
  </si>
  <si>
    <t>33.0003</t>
  </si>
  <si>
    <t>32.898</t>
  </si>
  <si>
    <t>32.7788</t>
  </si>
  <si>
    <t>32.819</t>
  </si>
  <si>
    <t>32.5161</t>
  </si>
  <si>
    <t>32.7791</t>
  </si>
  <si>
    <t>32.7022</t>
  </si>
  <si>
    <t>32.8722</t>
  </si>
  <si>
    <t>32.8755</t>
  </si>
  <si>
    <t>33.1969</t>
  </si>
  <si>
    <t>33.3548</t>
  </si>
  <si>
    <t>33.4564</t>
  </si>
  <si>
    <t>33.5258</t>
  </si>
  <si>
    <t>33.2461</t>
  </si>
  <si>
    <t>33.3749</t>
  </si>
  <si>
    <t>33.0325</t>
  </si>
  <si>
    <t>32.754</t>
  </si>
  <si>
    <t>32.6471</t>
  </si>
  <si>
    <t>32.9145</t>
  </si>
  <si>
    <t>32.8478</t>
  </si>
  <si>
    <t>33.0284</t>
  </si>
  <si>
    <t>33.0642</t>
  </si>
  <si>
    <t>33.0686</t>
  </si>
  <si>
    <t>33.1172</t>
  </si>
  <si>
    <t>33.2552</t>
  </si>
  <si>
    <t>33.3987</t>
  </si>
  <si>
    <t>33.4438</t>
  </si>
  <si>
    <t>33.5989</t>
  </si>
  <si>
    <t>33.5265</t>
  </si>
  <si>
    <t>33.7612</t>
  </si>
  <si>
    <t>33.8857</t>
  </si>
  <si>
    <t>33.9934</t>
  </si>
  <si>
    <t>33.8652</t>
  </si>
  <si>
    <t>33.6665</t>
  </si>
  <si>
    <t>33.6426</t>
  </si>
  <si>
    <t>33.497</t>
  </si>
  <si>
    <t>33.2834</t>
  </si>
  <si>
    <t>32.9421</t>
  </si>
  <si>
    <t>32.9035</t>
  </si>
  <si>
    <t>32.8762</t>
  </si>
  <si>
    <t>33.1659</t>
  </si>
  <si>
    <t>33.2748</t>
  </si>
  <si>
    <t>33.515</t>
  </si>
  <si>
    <t>33.571</t>
  </si>
  <si>
    <t>33.4949</t>
  </si>
  <si>
    <t>33.667</t>
  </si>
  <si>
    <t>33.8049</t>
  </si>
  <si>
    <t>33.7281</t>
  </si>
  <si>
    <t>33.6223</t>
  </si>
  <si>
    <t>33.8263</t>
  </si>
  <si>
    <t>34.1932</t>
  </si>
  <si>
    <t>34.364</t>
  </si>
  <si>
    <t>34.5611</t>
  </si>
  <si>
    <t>34.644</t>
  </si>
  <si>
    <t>34.5108</t>
  </si>
  <si>
    <t>34.756</t>
  </si>
  <si>
    <t>34.7149</t>
  </si>
  <si>
    <t>34.8731</t>
  </si>
  <si>
    <t>34.6488</t>
  </si>
  <si>
    <t>34.4651</t>
  </si>
  <si>
    <t>34.5024</t>
  </si>
  <si>
    <t>34.293</t>
  </si>
  <si>
    <t>34.1648</t>
  </si>
  <si>
    <t>34.1503</t>
  </si>
  <si>
    <t>34.2902</t>
  </si>
  <si>
    <t>34.4392</t>
  </si>
  <si>
    <t>34.6492</t>
  </si>
  <si>
    <t>34.6613</t>
  </si>
  <si>
    <t>34.6666</t>
  </si>
  <si>
    <t>34.8227</t>
  </si>
  <si>
    <t>34.7036</t>
  </si>
  <si>
    <t>34.8909</t>
  </si>
  <si>
    <t>35.051</t>
  </si>
  <si>
    <t>34.8705</t>
  </si>
  <si>
    <t>34.7514</t>
  </si>
  <si>
    <t>34.6564</t>
  </si>
  <si>
    <t>35.0857</t>
  </si>
  <si>
    <t>35.1078</t>
  </si>
  <si>
    <t>35.0946</t>
  </si>
  <si>
    <t>35.0684</t>
  </si>
  <si>
    <t>34.9154</t>
  </si>
  <si>
    <t>34.8638</t>
  </si>
  <si>
    <t>34.9298</t>
  </si>
  <si>
    <t>35.1007</t>
  </si>
  <si>
    <t>34.8303</t>
  </si>
  <si>
    <t>34.671</t>
  </si>
  <si>
    <t>34.5535</t>
  </si>
  <si>
    <t>34.726</t>
  </si>
  <si>
    <t>34.9494</t>
  </si>
  <si>
    <t>34.9147</t>
  </si>
  <si>
    <t>34.6892</t>
  </si>
  <si>
    <t>34.6311</t>
  </si>
  <si>
    <t>34.6085</t>
  </si>
  <si>
    <t>34.9454</t>
  </si>
  <si>
    <t>35.2269</t>
  </si>
  <si>
    <t>35.2219</t>
  </si>
  <si>
    <t>35.1715</t>
  </si>
  <si>
    <t>35.0422</t>
  </si>
  <si>
    <t>34.8979</t>
  </si>
  <si>
    <t>34.9185</t>
  </si>
  <si>
    <t>35.1654</t>
  </si>
  <si>
    <t>35.1895</t>
  </si>
  <si>
    <t>35.4253</t>
  </si>
  <si>
    <t>35.336</t>
  </si>
  <si>
    <t>35.2523</t>
  </si>
  <si>
    <t>35.2196</t>
  </si>
  <si>
    <t>34.8626</t>
  </si>
  <si>
    <t>34.5817</t>
  </si>
  <si>
    <t>34.7089</t>
  </si>
  <si>
    <t>34.6237</t>
  </si>
  <si>
    <t>34.5652</t>
  </si>
  <si>
    <t>34.6723</t>
  </si>
  <si>
    <t>34.5325</t>
  </si>
  <si>
    <t>34.0497</t>
  </si>
  <si>
    <t>33.9192</t>
  </si>
  <si>
    <t>34.1209</t>
  </si>
  <si>
    <t>33.826</t>
  </si>
  <si>
    <t>33.9953</t>
  </si>
  <si>
    <t>34.2051</t>
  </si>
  <si>
    <t>34.3214</t>
  </si>
  <si>
    <t>34.1837</t>
  </si>
  <si>
    <t>33.5103</t>
  </si>
  <si>
    <t>33.8519</t>
  </si>
  <si>
    <t>34.6941</t>
  </si>
  <si>
    <t>34.7372</t>
  </si>
  <si>
    <t>34.5508</t>
  </si>
  <si>
    <t>34.6027</t>
  </si>
  <si>
    <t>34.8413</t>
  </si>
  <si>
    <t>34.9715</t>
  </si>
  <si>
    <t>34.9669</t>
  </si>
  <si>
    <t>34.7538</t>
  </si>
  <si>
    <t>34.3358</t>
  </si>
  <si>
    <t>34.5708</t>
  </si>
  <si>
    <t>34.6425</t>
  </si>
  <si>
    <t>34.7867</t>
  </si>
  <si>
    <t>34.3193</t>
  </si>
  <si>
    <t>34.4859</t>
  </si>
  <si>
    <t>34.635</t>
  </si>
  <si>
    <t>34.3078</t>
  </si>
  <si>
    <t>34.4254</t>
  </si>
  <si>
    <t>34.4382</t>
  </si>
  <si>
    <t>34.0695</t>
  </si>
  <si>
    <t>33.6422</t>
  </si>
  <si>
    <t>33.0828</t>
  </si>
  <si>
    <t>33.4566</t>
  </si>
  <si>
    <t>33.0863</t>
  </si>
  <si>
    <t>32.361</t>
  </si>
  <si>
    <t>32.689</t>
  </si>
  <si>
    <t>32.1335</t>
  </si>
  <si>
    <t>31.8047</t>
  </si>
  <si>
    <t>31.1671</t>
  </si>
  <si>
    <t>31.4655</t>
  </si>
  <si>
    <t>31.7077</t>
  </si>
  <si>
    <t>32.0055</t>
  </si>
  <si>
    <t>30.9786</t>
  </si>
  <si>
    <t>31.1469</t>
  </si>
  <si>
    <t>30.3474</t>
  </si>
  <si>
    <t>30.8917</t>
  </si>
  <si>
    <t>31.4039</t>
  </si>
  <si>
    <t>30.7741</t>
  </si>
  <si>
    <t>30.0954</t>
  </si>
  <si>
    <t>30.0943</t>
  </si>
  <si>
    <t>30.5495</t>
  </si>
  <si>
    <t>30.5931</t>
  </si>
  <si>
    <t>30.9319</t>
  </si>
  <si>
    <t>31.1319</t>
  </si>
  <si>
    <t>32.3231</t>
  </si>
  <si>
    <t>32.029</t>
  </si>
  <si>
    <t>32.4225</t>
  </si>
  <si>
    <t>32.1391</t>
  </si>
  <si>
    <t>32.6282</t>
  </si>
  <si>
    <t>32.5974</t>
  </si>
  <si>
    <t>32.8173</t>
  </si>
  <si>
    <t>32.8167</t>
  </si>
  <si>
    <t>33.0967</t>
  </si>
  <si>
    <t>32.8402</t>
  </si>
  <si>
    <t>32.5447</t>
  </si>
  <si>
    <t>32.1572</t>
  </si>
  <si>
    <t>32.4082</t>
  </si>
  <si>
    <t>32.268</t>
  </si>
  <si>
    <t>32.5031</t>
  </si>
  <si>
    <t>32.265</t>
  </si>
  <si>
    <t>32.4004</t>
  </si>
  <si>
    <t>32.3043</t>
  </si>
  <si>
    <t>32.7066</t>
  </si>
  <si>
    <t>32.7146</t>
  </si>
  <si>
    <t>32.5154</t>
  </si>
  <si>
    <t>32.0211</t>
  </si>
  <si>
    <t>31.4427</t>
  </si>
  <si>
    <t>31.4727</t>
  </si>
  <si>
    <t>31.8094</t>
  </si>
  <si>
    <t>31.7545</t>
  </si>
  <si>
    <t>31.7278</t>
  </si>
  <si>
    <t>31.7046</t>
  </si>
  <si>
    <t>31.7628</t>
  </si>
  <si>
    <t>31.7431</t>
  </si>
  <si>
    <t>31.8727</t>
  </si>
  <si>
    <t>32.2955</t>
  </si>
  <si>
    <t>32.1324</t>
  </si>
  <si>
    <t>32.1309</t>
  </si>
  <si>
    <t>31.6823</t>
  </si>
  <si>
    <t>31.4556</t>
  </si>
  <si>
    <t>31.5903</t>
  </si>
  <si>
    <t>31.4802</t>
  </si>
  <si>
    <t>31.4984</t>
  </si>
  <si>
    <t>31.4521</t>
  </si>
  <si>
    <t>31.1327</t>
  </si>
  <si>
    <t>31.3359</t>
  </si>
  <si>
    <t>31.2792</t>
  </si>
  <si>
    <t>31.212</t>
  </si>
  <si>
    <t>31.8592</t>
  </si>
  <si>
    <t>32.155</t>
  </si>
  <si>
    <t>32.3353</t>
  </si>
  <si>
    <t>32.4708</t>
  </si>
  <si>
    <t>32.5536</t>
  </si>
  <si>
    <t>32.4</t>
  </si>
  <si>
    <t>32.5158</t>
  </si>
  <si>
    <t>32.1742</t>
  </si>
  <si>
    <t>32.4556</t>
  </si>
  <si>
    <t>32.4643</t>
  </si>
  <si>
    <t>32.2985</t>
  </si>
  <si>
    <t>32.2052</t>
  </si>
  <si>
    <t>32.3562</t>
  </si>
  <si>
    <t>32.5862</t>
  </si>
  <si>
    <t>32.7053</t>
  </si>
  <si>
    <t>32.9172</t>
  </si>
  <si>
    <t>32.8854</t>
  </si>
  <si>
    <t>32.1966</t>
  </si>
  <si>
    <t>32.306</t>
  </si>
  <si>
    <t>32.6497</t>
  </si>
  <si>
    <t>32.6643</t>
  </si>
  <si>
    <t>32.4589</t>
  </si>
  <si>
    <t>32.5024</t>
  </si>
  <si>
    <t>32.5078</t>
  </si>
  <si>
    <t>32.8533</t>
  </si>
  <si>
    <t>32.7165</t>
  </si>
  <si>
    <t>32.6609</t>
  </si>
  <si>
    <t>32.3801</t>
  </si>
  <si>
    <t>32.193</t>
  </si>
  <si>
    <t>32.0746</t>
  </si>
  <si>
    <t>32.3696</t>
  </si>
  <si>
    <t>32.335</t>
  </si>
  <si>
    <t>32.6946</t>
  </si>
  <si>
    <t>32.8041</t>
  </si>
  <si>
    <t>32.9114</t>
  </si>
  <si>
    <t>27.8218</t>
  </si>
  <si>
    <t>27.1778</t>
  </si>
  <si>
    <t>27.2387</t>
  </si>
  <si>
    <t>27.2114</t>
  </si>
  <si>
    <t>27.0463</t>
  </si>
  <si>
    <t>27.0455</t>
  </si>
  <si>
    <t>26.7453</t>
  </si>
  <si>
    <t>26.8443</t>
  </si>
  <si>
    <t>26.7891</t>
  </si>
  <si>
    <t>27.0266</t>
  </si>
  <si>
    <t>26.9831</t>
  </si>
  <si>
    <t>27.3973</t>
  </si>
  <si>
    <t>27.7137</t>
  </si>
  <si>
    <t>27.7483</t>
  </si>
  <si>
    <t>27.7103</t>
  </si>
  <si>
    <t>27.533</t>
  </si>
  <si>
    <t>27.5772</t>
  </si>
  <si>
    <t>27.2422</t>
  </si>
  <si>
    <t>27.0453</t>
  </si>
  <si>
    <t>27.0298</t>
  </si>
  <si>
    <t>27.4034</t>
  </si>
  <si>
    <t>27.5416</t>
  </si>
  <si>
    <t>27.6713</t>
  </si>
  <si>
    <t>27.66</t>
  </si>
  <si>
    <t>27.7049</t>
  </si>
  <si>
    <t>27.7275</t>
  </si>
  <si>
    <t>27.8427</t>
  </si>
  <si>
    <t>28.0999</t>
  </si>
  <si>
    <t>28.1863</t>
  </si>
  <si>
    <t>28.3193</t>
  </si>
  <si>
    <t>28.4715</t>
  </si>
  <si>
    <t>28.5855</t>
  </si>
  <si>
    <t>28.6902</t>
  </si>
  <si>
    <t>28.7069</t>
  </si>
  <si>
    <t>28.4458</t>
  </si>
  <si>
    <t>28.481</t>
  </si>
  <si>
    <t>28.3428</t>
  </si>
  <si>
    <t>28.1988</t>
  </si>
  <si>
    <t>27.6924</t>
  </si>
  <si>
    <t>27.5982</t>
  </si>
  <si>
    <t>27.5262</t>
  </si>
  <si>
    <t>27.9155</t>
  </si>
  <si>
    <t>28.0605</t>
  </si>
  <si>
    <t>28.1611</t>
  </si>
  <si>
    <t>27.9087</t>
  </si>
  <si>
    <t>28.0387</t>
  </si>
  <si>
    <t>28.065</t>
  </si>
  <si>
    <t>27.8754</t>
  </si>
  <si>
    <t>27.7251</t>
  </si>
  <si>
    <t>27.9947</t>
  </si>
  <si>
    <t>28.1594</t>
  </si>
  <si>
    <t>28.1026</t>
  </si>
  <si>
    <t>28.3609</t>
  </si>
  <si>
    <t>28.3958</t>
  </si>
  <si>
    <t>28.3341</t>
  </si>
  <si>
    <t>28.599</t>
  </si>
  <si>
    <t>28.5686</t>
  </si>
  <si>
    <t>28.6764</t>
  </si>
  <si>
    <t>28.4225</t>
  </si>
  <si>
    <t>28.288</t>
  </si>
  <si>
    <t>28.4137</t>
  </si>
  <si>
    <t>28.317</t>
  </si>
  <si>
    <t>28.0036</t>
  </si>
  <si>
    <t>27.8734</t>
  </si>
  <si>
    <t>28.0706</t>
  </si>
  <si>
    <t>28.1443</t>
  </si>
  <si>
    <t>28.3457</t>
  </si>
  <si>
    <t>28.2898</t>
  </si>
  <si>
    <t>28.297</t>
  </si>
  <si>
    <t>28.38</t>
  </si>
  <si>
    <t>28.2353</t>
  </si>
  <si>
    <t>28.2951</t>
  </si>
  <si>
    <t>28.3523</t>
  </si>
  <si>
    <t>28.1335</t>
  </si>
  <si>
    <t>27.9426</t>
  </si>
  <si>
    <t>28.0083</t>
  </si>
  <si>
    <t>28.32</t>
  </si>
  <si>
    <t>28.2957</t>
  </si>
  <si>
    <t>28.2745</t>
  </si>
  <si>
    <t>28.215</t>
  </si>
  <si>
    <t>28.1272</t>
  </si>
  <si>
    <t>27.897</t>
  </si>
  <si>
    <t>27.8179</t>
  </si>
  <si>
    <t>27.879</t>
  </si>
  <si>
    <t>27.3559</t>
  </si>
  <si>
    <t>27.5243</t>
  </si>
  <si>
    <t>27.3383</t>
  </si>
  <si>
    <t>27.5146</t>
  </si>
  <si>
    <t>27.8236</t>
  </si>
  <si>
    <t>27.8328</t>
  </si>
  <si>
    <t>27.5944</t>
  </si>
  <si>
    <t>27.5177</t>
  </si>
  <si>
    <t>27.5781</t>
  </si>
  <si>
    <t>27.826</t>
  </si>
  <si>
    <t>28.0913</t>
  </si>
  <si>
    <t>28.1464</t>
  </si>
  <si>
    <t>28.1072</t>
  </si>
  <si>
    <t>28.0452</t>
  </si>
  <si>
    <t>27.8515</t>
  </si>
  <si>
    <t>27.9524</t>
  </si>
  <si>
    <t>28.1814</t>
  </si>
  <si>
    <t>28.2803</t>
  </si>
  <si>
    <t>28.5358</t>
  </si>
  <si>
    <t>28.5537</t>
  </si>
  <si>
    <t>28.4781</t>
  </si>
  <si>
    <t>28.4674</t>
  </si>
  <si>
    <t>27.8656</t>
  </si>
  <si>
    <t>27.6438</t>
  </si>
  <si>
    <t>27.7692</t>
  </si>
  <si>
    <t>27.847</t>
  </si>
  <si>
    <t>27.7417</t>
  </si>
  <si>
    <t>27.6166</t>
  </si>
  <si>
    <t>27.0319</t>
  </si>
  <si>
    <t>26.8658</t>
  </si>
  <si>
    <t>26.9544</t>
  </si>
  <si>
    <t>26.5653</t>
  </si>
  <si>
    <t>26.7715</t>
  </si>
  <si>
    <t>27.2149</t>
  </si>
  <si>
    <t>27.227</t>
  </si>
  <si>
    <t>27.209</t>
  </si>
  <si>
    <t>26.658</t>
  </si>
  <si>
    <t>26.8144</t>
  </si>
  <si>
    <t>27.5127</t>
  </si>
  <si>
    <t>27.8081</t>
  </si>
  <si>
    <t>27.8186</t>
  </si>
  <si>
    <t>27.9047</t>
  </si>
  <si>
    <t>28.3594</t>
  </si>
  <si>
    <t>28.4854</t>
  </si>
  <si>
    <t>28.5717</t>
  </si>
  <si>
    <t>28.4534</t>
  </si>
  <si>
    <t>27.9937</t>
  </si>
  <si>
    <t>28.1639</t>
  </si>
  <si>
    <t>28.306</t>
  </si>
  <si>
    <t>28.5286</t>
  </si>
  <si>
    <t>28.0861</t>
  </si>
  <si>
    <t>28.2359</t>
  </si>
  <si>
    <t>28.346</t>
  </si>
  <si>
    <t>28.235</t>
  </si>
  <si>
    <t>28.3886</t>
  </si>
  <si>
    <t>28.4863</t>
  </si>
  <si>
    <t>28.209</t>
  </si>
  <si>
    <t>27.7595</t>
  </si>
  <si>
    <t>27.1502</t>
  </si>
  <si>
    <t>27.5103</t>
  </si>
  <si>
    <t>27.3277</t>
  </si>
  <si>
    <t>26.8251</t>
  </si>
  <si>
    <t>27.3361</t>
  </si>
  <si>
    <t>27.0899</t>
  </si>
  <si>
    <t>26.9588</t>
  </si>
  <si>
    <t>26.2466</t>
  </si>
  <si>
    <t>26.1731</t>
  </si>
  <si>
    <t>26.2907</t>
  </si>
  <si>
    <t>26.6154</t>
  </si>
  <si>
    <t>25.8779</t>
  </si>
  <si>
    <t>26.1103</t>
  </si>
  <si>
    <t>25.1903</t>
  </si>
  <si>
    <t>25.6704</t>
  </si>
  <si>
    <t>26.2667</t>
  </si>
  <si>
    <t>25.7965</t>
  </si>
  <si>
    <t>25.1564</t>
  </si>
  <si>
    <t>25.1553</t>
  </si>
  <si>
    <t>25.6524</t>
  </si>
  <si>
    <t>25.6787</t>
  </si>
  <si>
    <t>26.0172</t>
  </si>
  <si>
    <t>26.0253</t>
  </si>
  <si>
    <t>26.8398</t>
  </si>
  <si>
    <t>26.8338</t>
  </si>
  <si>
    <t>27.1024</t>
  </si>
  <si>
    <t>26.9375</t>
  </si>
  <si>
    <t>27.4088</t>
  </si>
  <si>
    <t>27.4767</t>
  </si>
  <si>
    <t>27.8505</t>
  </si>
  <si>
    <t>27.7677</t>
  </si>
  <si>
    <t>28.2035</t>
  </si>
  <si>
    <t>28.0122</t>
  </si>
  <si>
    <t>27.8255</t>
  </si>
  <si>
    <t>28.1707</t>
  </si>
  <si>
    <t>28.0636</t>
  </si>
  <si>
    <t>28.1189</t>
  </si>
  <si>
    <t>27.8543</t>
  </si>
  <si>
    <t>27.8217</t>
  </si>
  <si>
    <t>27.8143</t>
  </si>
  <si>
    <t>28.2161</t>
  </si>
  <si>
    <t>28.2768</t>
  </si>
  <si>
    <t>28.339</t>
  </si>
  <si>
    <t>28.1217</t>
  </si>
  <si>
    <t>27.5374</t>
  </si>
  <si>
    <t>27.6086</t>
  </si>
  <si>
    <t>27.6745</t>
  </si>
  <si>
    <t>27.5303</t>
  </si>
  <si>
    <t>27.2519</t>
  </si>
  <si>
    <t>27.3466</t>
  </si>
  <si>
    <t>27.4176</t>
  </si>
  <si>
    <t>27.6492</t>
  </si>
  <si>
    <t>27.7185</t>
  </si>
  <si>
    <t>28.085</t>
  </si>
  <si>
    <t>27.9915</t>
  </si>
  <si>
    <t>28.0778</t>
  </si>
  <si>
    <t>27.6541</t>
  </si>
  <si>
    <t>27.4398</t>
  </si>
  <si>
    <t>27.5929</t>
  </si>
  <si>
    <t>27.5728</t>
  </si>
  <si>
    <t>27.6902</t>
  </si>
  <si>
    <t>27.6881</t>
  </si>
  <si>
    <t>27.1965</t>
  </si>
  <si>
    <t>27.5397</t>
  </si>
  <si>
    <t>27.1077</t>
  </si>
  <si>
    <t>27.6117</t>
  </si>
  <si>
    <t>27.9144</t>
  </si>
  <si>
    <t>27.9756</t>
  </si>
  <si>
    <t>28.0872</t>
  </si>
  <si>
    <t>28.3129</t>
  </si>
  <si>
    <t>28.2198</t>
  </si>
  <si>
    <t>28.3169</t>
  </si>
  <si>
    <t>28.2521</t>
  </si>
  <si>
    <t>28.4336</t>
  </si>
  <si>
    <t>28.5166</t>
  </si>
  <si>
    <t>28.2847</t>
  </si>
  <si>
    <t>28.2218</t>
  </si>
  <si>
    <t>28.3931</t>
  </si>
  <si>
    <t>28.5512</t>
  </si>
  <si>
    <t>28.47</t>
  </si>
  <si>
    <t>28.5425</t>
  </si>
  <si>
    <t>28.4793</t>
  </si>
  <si>
    <t>28.0381</t>
  </si>
  <si>
    <t>28.2318</t>
  </si>
  <si>
    <t>28.5609</t>
  </si>
  <si>
    <t>28.5779</t>
  </si>
  <si>
    <t>28.4277</t>
  </si>
  <si>
    <t>28.4775</t>
  </si>
  <si>
    <t>28.3957</t>
  </si>
  <si>
    <t>28.3916</t>
  </si>
  <si>
    <t>28.4835</t>
  </si>
  <si>
    <t>28.629</t>
  </si>
  <si>
    <t>28.4618</t>
  </si>
  <si>
    <t>28.2651</t>
  </si>
  <si>
    <t>28.0932</t>
  </si>
  <si>
    <t>28.3071</t>
  </si>
  <si>
    <t>28.2271</t>
  </si>
  <si>
    <t>28.448</t>
  </si>
  <si>
    <t>28.4851</t>
  </si>
  <si>
    <t>28.6538</t>
  </si>
  <si>
    <t>15.6756</t>
  </si>
  <si>
    <t>15.6872</t>
  </si>
  <si>
    <t>15.7062</t>
  </si>
  <si>
    <t>15.6438</t>
  </si>
  <si>
    <t>15.6548</t>
  </si>
  <si>
    <t>15.6493</t>
  </si>
  <si>
    <t>15.6105</t>
  </si>
  <si>
    <t>15.5759</t>
  </si>
  <si>
    <t>15.5761</t>
  </si>
  <si>
    <t>15.6274</t>
  </si>
  <si>
    <t>15.5762</t>
  </si>
  <si>
    <t>15.562</t>
  </si>
  <si>
    <t>15.58</t>
  </si>
  <si>
    <t>15.5692</t>
  </si>
  <si>
    <t>15.5635</t>
  </si>
  <si>
    <t>15.5355</t>
  </si>
  <si>
    <t>15.5064</t>
  </si>
  <si>
    <t>15.5591</t>
  </si>
  <si>
    <t>15.5207</t>
  </si>
  <si>
    <t>15.5218</t>
  </si>
  <si>
    <t>15.523</t>
  </si>
  <si>
    <t>15.5451</t>
  </si>
  <si>
    <t>15.5784</t>
  </si>
  <si>
    <t>15.6064</t>
  </si>
  <si>
    <t>15.6125</t>
  </si>
  <si>
    <t>15.6069</t>
  </si>
  <si>
    <t>15.6008</t>
  </si>
  <si>
    <t>15.5964</t>
  </si>
  <si>
    <t>15.5977</t>
  </si>
  <si>
    <t>15.5967</t>
  </si>
  <si>
    <t>15.5998</t>
  </si>
  <si>
    <t>15.6189</t>
  </si>
  <si>
    <t>15.6067</t>
  </si>
  <si>
    <t>15.6119</t>
  </si>
  <si>
    <t>15.615</t>
  </si>
  <si>
    <t>15.6267</t>
  </si>
  <si>
    <t>15.6235</t>
  </si>
  <si>
    <t>15.6281</t>
  </si>
  <si>
    <t>15.6293</t>
  </si>
  <si>
    <t>15.6275</t>
  </si>
  <si>
    <t>15.623</t>
  </si>
  <si>
    <t>15.655</t>
  </si>
  <si>
    <t>15.6806</t>
  </si>
  <si>
    <t>15.7012</t>
  </si>
  <si>
    <t>15.7137</t>
  </si>
  <si>
    <t>15.72</t>
  </si>
  <si>
    <t>15.7154</t>
  </si>
  <si>
    <t>15.7196</t>
  </si>
  <si>
    <t>15.7348</t>
  </si>
  <si>
    <t>15.7397</t>
  </si>
  <si>
    <t>15.7561</t>
  </si>
  <si>
    <t>15.7507</t>
  </si>
  <si>
    <t>15.7455</t>
  </si>
  <si>
    <t>15.7495</t>
  </si>
  <si>
    <t>15.7291</t>
  </si>
  <si>
    <t>15.7263</t>
  </si>
  <si>
    <t>15.7292</t>
  </si>
  <si>
    <t>15.7052</t>
  </si>
  <si>
    <t>15.7185</t>
  </si>
  <si>
    <t>15.7276</t>
  </si>
  <si>
    <t>15.7403</t>
  </si>
  <si>
    <t>15.7439</t>
  </si>
  <si>
    <t>15.7516</t>
  </si>
  <si>
    <t>15.7512</t>
  </si>
  <si>
    <t>15.7443</t>
  </si>
  <si>
    <t>15.7325</t>
  </si>
  <si>
    <t>15.7259</t>
  </si>
  <si>
    <t>15.7316</t>
  </si>
  <si>
    <t>15.7377</t>
  </si>
  <si>
    <t>15.7449</t>
  </si>
  <si>
    <t>15.7338</t>
  </si>
  <si>
    <t>15.7523</t>
  </si>
  <si>
    <t>15.7663</t>
  </si>
  <si>
    <t>15.778</t>
  </si>
  <si>
    <t>15.7784</t>
  </si>
  <si>
    <t>15.7596</t>
  </si>
  <si>
    <t>15.7394</t>
  </si>
  <si>
    <t>15.7528</t>
  </si>
  <si>
    <t>15.7483</t>
  </si>
  <si>
    <t>15.7492</t>
  </si>
  <si>
    <t>15.7693</t>
  </si>
  <si>
    <t>15.7604</t>
  </si>
  <si>
    <t>15.7163</t>
  </si>
  <si>
    <t>15.6885</t>
  </si>
  <si>
    <t>15.7045</t>
  </si>
  <si>
    <t>15.7139</t>
  </si>
  <si>
    <t>15.7082</t>
  </si>
  <si>
    <t>15.7141</t>
  </si>
  <si>
    <t>15.7114</t>
  </si>
  <si>
    <t>15.6759</t>
  </si>
  <si>
    <t>15.6882</t>
  </si>
  <si>
    <t>15.7489</t>
  </si>
  <si>
    <t>15.74</t>
  </si>
  <si>
    <t>15.742</t>
  </si>
  <si>
    <t>15.7416</t>
  </si>
  <si>
    <t>15.7482</t>
  </si>
  <si>
    <t>15.7406</t>
  </si>
  <si>
    <t>15.7131</t>
  </si>
  <si>
    <t>15.7127</t>
  </si>
  <si>
    <t>15.7153</t>
  </si>
  <si>
    <t>15.705</t>
  </si>
  <si>
    <t>15.7033</t>
  </si>
  <si>
    <t>15.7188</t>
  </si>
  <si>
    <t>15.6876</t>
  </si>
  <si>
    <t>15.6601</t>
  </si>
  <si>
    <t>15.6504</t>
  </si>
  <si>
    <t>15.6467</t>
  </si>
  <si>
    <t>15.6513</t>
  </si>
  <si>
    <t>15.6682</t>
  </si>
  <si>
    <t>15.6671</t>
  </si>
  <si>
    <t>15.6567</t>
  </si>
  <si>
    <t>15.6633</t>
  </si>
  <si>
    <t>15.669</t>
  </si>
  <si>
    <t>15.6891</t>
  </si>
  <si>
    <t>15.6935</t>
  </si>
  <si>
    <t>15.652</t>
  </si>
  <si>
    <t>15.711</t>
  </si>
  <si>
    <t>15.7422</t>
  </si>
  <si>
    <t>15.6803</t>
  </si>
  <si>
    <t>15.6716</t>
  </si>
  <si>
    <t>15.6817</t>
  </si>
  <si>
    <t>15.7042</t>
  </si>
  <si>
    <t>15.7246</t>
  </si>
  <si>
    <t>15.7367</t>
  </si>
  <si>
    <t>15.754</t>
  </si>
  <si>
    <t>15.7644</t>
  </si>
  <si>
    <t>15.7549</t>
  </si>
  <si>
    <t>15.7572</t>
  </si>
  <si>
    <t>15.737</t>
  </si>
  <si>
    <t>15.7499</t>
  </si>
  <si>
    <t>15.7595</t>
  </si>
  <si>
    <t>15.7736</t>
  </si>
  <si>
    <t>15.7777</t>
  </si>
  <si>
    <t>15.7943</t>
  </si>
  <si>
    <t>15.7892</t>
  </si>
  <si>
    <t>15.7786</t>
  </si>
  <si>
    <t>15.7614</t>
  </si>
  <si>
    <t>15.7354</t>
  </si>
  <si>
    <t>15.7735</t>
  </si>
  <si>
    <t>15.7655</t>
  </si>
  <si>
    <t>15.746</t>
  </si>
  <si>
    <t>15.7253</t>
  </si>
  <si>
    <t>15.7071</t>
  </si>
  <si>
    <t>15.7157</t>
  </si>
  <si>
    <t>15.718</t>
  </si>
  <si>
    <t>15.7014</t>
  </si>
  <si>
    <t>15.6333</t>
  </si>
  <si>
    <t>15.6106</t>
  </si>
  <si>
    <t>15.5652</t>
  </si>
  <si>
    <t>15.5512</t>
  </si>
  <si>
    <t>15.5536</t>
  </si>
  <si>
    <t>15.556</t>
  </si>
  <si>
    <t>15.5097</t>
  </si>
  <si>
    <t>15.5529</t>
  </si>
  <si>
    <t>15.561</t>
  </si>
  <si>
    <t>15.6489</t>
  </si>
  <si>
    <t>15.6458</t>
  </si>
  <si>
    <t>15.6733</t>
  </si>
  <si>
    <t>15.6641</t>
  </si>
  <si>
    <t>15.712</t>
  </si>
  <si>
    <t>15.7099</t>
  </si>
  <si>
    <t>15.7225</t>
  </si>
  <si>
    <t>15.7264</t>
  </si>
  <si>
    <t>15.7229</t>
  </si>
  <si>
    <t>15.6993</t>
  </si>
  <si>
    <t>15.686</t>
  </si>
  <si>
    <t>15.6941</t>
  </si>
  <si>
    <t>15.6829</t>
  </si>
  <si>
    <t>15.6747</t>
  </si>
  <si>
    <t>15.6514</t>
  </si>
  <si>
    <t>15.668</t>
  </si>
  <si>
    <t>15.653</t>
  </si>
  <si>
    <t>15.7091</t>
  </si>
  <si>
    <t>15.7086</t>
  </si>
  <si>
    <t>15.6796</t>
  </si>
  <si>
    <t>15.6607</t>
  </si>
  <si>
    <t>15.6593</t>
  </si>
  <si>
    <t>15.6657</t>
  </si>
  <si>
    <t>15.6399</t>
  </si>
  <si>
    <t>15.5878</t>
  </si>
  <si>
    <t>15.5965</t>
  </si>
  <si>
    <t>15.6036</t>
  </si>
  <si>
    <t>15.5856</t>
  </si>
  <si>
    <t>15.6031</t>
  </si>
  <si>
    <t>15.6459</t>
  </si>
  <si>
    <t>15.649</t>
  </si>
  <si>
    <t>15.6609</t>
  </si>
  <si>
    <t>15.6676</t>
  </si>
  <si>
    <t>15.6681</t>
  </si>
  <si>
    <t>15.6685</t>
  </si>
  <si>
    <t>15.689</t>
  </si>
  <si>
    <t>15.7493</t>
  </si>
  <si>
    <t>15.8342</t>
  </si>
  <si>
    <t>15.8319</t>
  </si>
  <si>
    <t>15.8172</t>
  </si>
  <si>
    <t>15.8442</t>
  </si>
  <si>
    <t>15.8741</t>
  </si>
  <si>
    <t>15.8819</t>
  </si>
  <si>
    <t>15.8767</t>
  </si>
  <si>
    <t>15.9015</t>
  </si>
  <si>
    <t>15.8898</t>
  </si>
  <si>
    <t>15.9101</t>
  </si>
  <si>
    <t>15.9277</t>
  </si>
  <si>
    <t>15.9581</t>
  </si>
  <si>
    <t>16.0073</t>
  </si>
  <si>
    <t>16.0316</t>
  </si>
  <si>
    <t>16.0541</t>
  </si>
  <si>
    <t>16.0547</t>
  </si>
  <si>
    <t>16.0751</t>
  </si>
  <si>
    <t>16.0699</t>
  </si>
  <si>
    <t>16.0813</t>
  </si>
  <si>
    <t>16.0702</t>
  </si>
  <si>
    <t>16.0215</t>
  </si>
  <si>
    <t>16.0298</t>
  </si>
  <si>
    <t>16.0537</t>
  </si>
  <si>
    <t>16.05</t>
  </si>
  <si>
    <t>15.9919</t>
  </si>
  <si>
    <t>16.0055</t>
  </si>
  <si>
    <t>16.0201</t>
  </si>
  <si>
    <t>16.0094</t>
  </si>
  <si>
    <t>16.001</t>
  </si>
  <si>
    <t>16.0044</t>
  </si>
  <si>
    <t>15.9899</t>
  </si>
  <si>
    <t>15.9771</t>
  </si>
  <si>
    <t>15.9847</t>
  </si>
  <si>
    <t>16.024</t>
  </si>
  <si>
    <t>16.0092</t>
  </si>
  <si>
    <t>15.9946</t>
  </si>
  <si>
    <t>15.9998</t>
  </si>
  <si>
    <t>Multicap Fund</t>
  </si>
  <si>
    <t>Sectors Leaders Index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</si>
</sst>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164" fontId="6" fillId="2" borderId="0" xfId="0" applyNumberFormat="1" applyFont="1" applyFill="1" applyAlignment="1">
      <alignment horizontal="left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ciciprulife.com/fund-performance/funds-nav-history.html?fundCode=PIGF" TargetMode="External"/><Relationship Id="rId21" Type="http://schemas.openxmlformats.org/officeDocument/2006/relationships/hyperlink" Target="https://www.moneycontrol.com/insurance/ulip/icici-prudential-life-insurance-IP/icici-prudential-signature-smallcap250-momentum-quality-100-index-fund-IIP1064.html" TargetMode="External"/><Relationship Id="rId42" Type="http://schemas.openxmlformats.org/officeDocument/2006/relationships/hyperlink" Target="https://www.hdfclife.com/fund-performance" TargetMode="External"/><Relationship Id="rId47" Type="http://schemas.openxmlformats.org/officeDocument/2006/relationships/hyperlink" Target="https://www.hdfclife.com/fund-performance" TargetMode="External"/><Relationship Id="rId63" Type="http://schemas.openxmlformats.org/officeDocument/2006/relationships/hyperlink" Target="https://www.tataaia.com/customer-service/fund-performance.html" TargetMode="External"/><Relationship Id="rId68" Type="http://schemas.openxmlformats.org/officeDocument/2006/relationships/hyperlink" Target="https://www.tataaia.com/customer-service/fund-performance.html" TargetMode="External"/><Relationship Id="rId7" Type="http://schemas.openxmlformats.org/officeDocument/2006/relationships/hyperlink" Target="https://www.iciciprulife.com/fund-performance/funds-nav-history.html?fundCode=LMCF" TargetMode="External"/><Relationship Id="rId2" Type="http://schemas.openxmlformats.org/officeDocument/2006/relationships/hyperlink" Target="https://www.moneycontrol.com/insurance/ulip/icici-prudential-life-insurance-IP/icici-prudential-life-signature-ulip-bluechip-fund-IIP1016.html?classic=true" TargetMode="External"/><Relationship Id="rId16" Type="http://schemas.openxmlformats.org/officeDocument/2006/relationships/hyperlink" Target="https://www.moneycontrol.com/insurance/ulip/icici-prudential-life-insurance-IP/icici-prudential-signature-multicap-50-25-25-index-fund-IIP1062.html?classic=true" TargetMode="External"/><Relationship Id="rId29" Type="http://schemas.openxmlformats.org/officeDocument/2006/relationships/hyperlink" Target="https://www.hdfclife.com/fund-performance" TargetMode="External"/><Relationship Id="rId11" Type="http://schemas.openxmlformats.org/officeDocument/2006/relationships/hyperlink" Target="https://www.iciciprulife.com/fund-performance/funds-nav-history.html?fundCode=IMCF" TargetMode="External"/><Relationship Id="rId24" Type="http://schemas.openxmlformats.org/officeDocument/2006/relationships/hyperlink" Target="https://www.moneycontrol.com/insurance/ulip/icici-prudential-life-insurance-IP/icici-pru-assure-pension-pension-bluechip-fund-IIP437.html?classic=true" TargetMode="External"/><Relationship Id="rId32" Type="http://schemas.openxmlformats.org/officeDocument/2006/relationships/hyperlink" Target="https://www.hdfclife.com/fund-performance" TargetMode="External"/><Relationship Id="rId37" Type="http://schemas.openxmlformats.org/officeDocument/2006/relationships/hyperlink" Target="https://www.hdfclife.com/fund-performance" TargetMode="External"/><Relationship Id="rId40" Type="http://schemas.openxmlformats.org/officeDocument/2006/relationships/hyperlink" Target="https://www.hdfclife.com/fund-performance" TargetMode="External"/><Relationship Id="rId45" Type="http://schemas.openxmlformats.org/officeDocument/2006/relationships/hyperlink" Target="https://www.hdfclife.com/fund-performance" TargetMode="External"/><Relationship Id="rId53" Type="http://schemas.openxmlformats.org/officeDocument/2006/relationships/hyperlink" Target="https://www.tataaia.com/customer-service/fund-performance.html" TargetMode="External"/><Relationship Id="rId58" Type="http://schemas.openxmlformats.org/officeDocument/2006/relationships/hyperlink" Target="https://www.tataaia.com/customer-service/fund-performance.html" TargetMode="External"/><Relationship Id="rId66" Type="http://schemas.openxmlformats.org/officeDocument/2006/relationships/hyperlink" Target="https://www.tataaia.com/customer-service/fund-performance.html" TargetMode="External"/><Relationship Id="rId5" Type="http://schemas.openxmlformats.org/officeDocument/2006/relationships/hyperlink" Target="https://www.iciciprulife.com/fund-performance/funds-nav-history.html?fundCode=ICMF" TargetMode="External"/><Relationship Id="rId61" Type="http://schemas.openxmlformats.org/officeDocument/2006/relationships/hyperlink" Target="https://www.tataaia.com/customer-service/fund-performance.html" TargetMode="External"/><Relationship Id="rId19" Type="http://schemas.openxmlformats.org/officeDocument/2006/relationships/hyperlink" Target="https://www.iciciprulife.com/fund-performance/funds-nav-history.html?fundCode=SLIF" TargetMode="External"/><Relationship Id="rId14" Type="http://schemas.openxmlformats.org/officeDocument/2006/relationships/hyperlink" Target="https://www.moneycontrol.com/insurance/ulip/icici-prudential-life-insurance-IP/icici-prudential-platinum-plan-midsmallcap-400-momentum-quality-100-index-fund-IIP1087.html" TargetMode="External"/><Relationship Id="rId22" Type="http://schemas.openxmlformats.org/officeDocument/2006/relationships/hyperlink" Target="http://iciciprulife.com/fund-performance/funds-nav-history.html?fundCode=SNEF" TargetMode="External"/><Relationship Id="rId27" Type="http://schemas.openxmlformats.org/officeDocument/2006/relationships/hyperlink" Target="https://www.iciciprulife.com/fund-performance/funds-nav-history.html?fundCode=PCMG" TargetMode="External"/><Relationship Id="rId30" Type="http://schemas.openxmlformats.org/officeDocument/2006/relationships/hyperlink" Target="https://www.hdfclife.com/fund-performance" TargetMode="External"/><Relationship Id="rId35" Type="http://schemas.openxmlformats.org/officeDocument/2006/relationships/hyperlink" Target="https://www.hdfclife.com/fund-performance" TargetMode="External"/><Relationship Id="rId43" Type="http://schemas.openxmlformats.org/officeDocument/2006/relationships/hyperlink" Target="https://www.hdfclife.com/fund-performance" TargetMode="External"/><Relationship Id="rId48" Type="http://schemas.openxmlformats.org/officeDocument/2006/relationships/hyperlink" Target="https://www.hdfclife.com/fund-performance" TargetMode="External"/><Relationship Id="rId56" Type="http://schemas.openxmlformats.org/officeDocument/2006/relationships/hyperlink" Target="https://www.tataaia.com/customer-service/fund-performance.html" TargetMode="External"/><Relationship Id="rId64" Type="http://schemas.openxmlformats.org/officeDocument/2006/relationships/hyperlink" Target="https://www.tataaia.com/customer-service/fund-performance.html" TargetMode="External"/><Relationship Id="rId69" Type="http://schemas.openxmlformats.org/officeDocument/2006/relationships/hyperlink" Target="https://www.tataaia.com/customer-service/fund-performance.html" TargetMode="External"/><Relationship Id="rId8" Type="http://schemas.openxmlformats.org/officeDocument/2006/relationships/hyperlink" Target="https://www.moneycontrol.com/insurance/ulip/icici-prudential-life-insurance-IP/icici-prudential-life-signature-ulip-maximise-india-fund-IIP1019.html?classic=true" TargetMode="External"/><Relationship Id="rId51" Type="http://schemas.openxmlformats.org/officeDocument/2006/relationships/hyperlink" Target="https://www.tataaia.com/customer-service/fund-performance.html" TargetMode="External"/><Relationship Id="rId3" Type="http://schemas.openxmlformats.org/officeDocument/2006/relationships/hyperlink" Target="https://www.iciciprulife.com/fund-performance/funds-nav-history.html?fundCode=DLIF" TargetMode="External"/><Relationship Id="rId12" Type="http://schemas.openxmlformats.org/officeDocument/2006/relationships/hyperlink" Target="https://www.iciciprulife.com/fund-performance/funds-nav-history.html?fundCode=IND" TargetMode="External"/><Relationship Id="rId17" Type="http://schemas.openxmlformats.org/officeDocument/2006/relationships/hyperlink" Target="https://www.iciciprulife.com/fund-performance/funds-nav-history.html?fundCode=NAI" TargetMode="External"/><Relationship Id="rId25" Type="http://schemas.openxmlformats.org/officeDocument/2006/relationships/hyperlink" Target="https://www.iciciprulife.com/fund-performance/funds-nav-history.html?fundCode=PICF" TargetMode="External"/><Relationship Id="rId33" Type="http://schemas.openxmlformats.org/officeDocument/2006/relationships/hyperlink" Target="https://www.hdfclife.com/fund-performance" TargetMode="External"/><Relationship Id="rId38" Type="http://schemas.openxmlformats.org/officeDocument/2006/relationships/hyperlink" Target="https://www.hdfclife.com/fund-performance" TargetMode="External"/><Relationship Id="rId46" Type="http://schemas.openxmlformats.org/officeDocument/2006/relationships/hyperlink" Target="https://www.hdfclife.com/fund-performance" TargetMode="External"/><Relationship Id="rId59" Type="http://schemas.openxmlformats.org/officeDocument/2006/relationships/hyperlink" Target="https://www.tataaia.com/customer-service/fund-performance.html" TargetMode="External"/><Relationship Id="rId67" Type="http://schemas.openxmlformats.org/officeDocument/2006/relationships/hyperlink" Target="https://www.tataaia.com/customer-service/fund-performance.html" TargetMode="External"/><Relationship Id="rId20" Type="http://schemas.openxmlformats.org/officeDocument/2006/relationships/hyperlink" Target="https://www.iciciprulife.com/fund-performance/funds-nav-history.html?fundCode=SCIF" TargetMode="External"/><Relationship Id="rId41" Type="http://schemas.openxmlformats.org/officeDocument/2006/relationships/hyperlink" Target="https://www.hdfclife.com/fund-performance" TargetMode="External"/><Relationship Id="rId54" Type="http://schemas.openxmlformats.org/officeDocument/2006/relationships/hyperlink" Target="https://www.tataaia.com/customer-service/fund-performance.html" TargetMode="External"/><Relationship Id="rId62" Type="http://schemas.openxmlformats.org/officeDocument/2006/relationships/hyperlink" Target="https://www.tataaia.com/customer-service/fund-performance.html" TargetMode="External"/><Relationship Id="rId70" Type="http://schemas.openxmlformats.org/officeDocument/2006/relationships/hyperlink" Target="https://www.tataaia.com/customer-service/fund-performance.html" TargetMode="External"/><Relationship Id="rId1" Type="http://schemas.openxmlformats.org/officeDocument/2006/relationships/hyperlink" Target="https://www.moneycontrol.com/insurance/ulip/icici-prudential-life-insurance-IP/icici-prudential-bse-500-enhanced-value-50-index-fund-IIP1091.html" TargetMode="External"/><Relationship Id="rId6" Type="http://schemas.openxmlformats.org/officeDocument/2006/relationships/hyperlink" Target="https://www.iciciprulife.com/fund-performance/funds-nav-history.html?fundCode=COPF" TargetMode="External"/><Relationship Id="rId15" Type="http://schemas.openxmlformats.org/officeDocument/2006/relationships/hyperlink" Target="https://www.iciciprulife.com/fund-performance/funds-nav-history.html?fundCode=CMGF" TargetMode="External"/><Relationship Id="rId23" Type="http://schemas.openxmlformats.org/officeDocument/2006/relationships/hyperlink" Target="https://www.iciciprulife.com/fund-performance/funds-nav-history.html?fundCode=VEEF" TargetMode="External"/><Relationship Id="rId28" Type="http://schemas.openxmlformats.org/officeDocument/2006/relationships/hyperlink" Target="https://www.iciciprulife.com/fund-performance/funds-nav-history.html?fundCode=POPF" TargetMode="External"/><Relationship Id="rId36" Type="http://schemas.openxmlformats.org/officeDocument/2006/relationships/hyperlink" Target="https://www.hdfclife.com/fund-performance" TargetMode="External"/><Relationship Id="rId49" Type="http://schemas.openxmlformats.org/officeDocument/2006/relationships/hyperlink" Target="https://www.tataaia.com/customer-service/fund-performance.html" TargetMode="External"/><Relationship Id="rId57" Type="http://schemas.openxmlformats.org/officeDocument/2006/relationships/hyperlink" Target="https://www.tataaia.com/customer-service/fund-performance.html" TargetMode="External"/><Relationship Id="rId10" Type="http://schemas.openxmlformats.org/officeDocument/2006/relationships/hyperlink" Target="https://www.moneycontrol.com/insurance/ulip/icici-prudential-life-insurance-IP/icici-prudential-signature-mid-cap-150-momentum-50-index-fund-IIP1061.html" TargetMode="External"/><Relationship Id="rId31" Type="http://schemas.openxmlformats.org/officeDocument/2006/relationships/hyperlink" Target="https://www.hdfclife.com/fund-performance" TargetMode="External"/><Relationship Id="rId44" Type="http://schemas.openxmlformats.org/officeDocument/2006/relationships/hyperlink" Target="https://www.hdfclife.com/fund-performance" TargetMode="External"/><Relationship Id="rId52" Type="http://schemas.openxmlformats.org/officeDocument/2006/relationships/hyperlink" Target="https://www.tataaia.com/customer-service/fund-performance.html" TargetMode="External"/><Relationship Id="rId60" Type="http://schemas.openxmlformats.org/officeDocument/2006/relationships/hyperlink" Target="https://www.tataaia.com/customer-service/fund-performance.html" TargetMode="External"/><Relationship Id="rId65" Type="http://schemas.openxmlformats.org/officeDocument/2006/relationships/hyperlink" Target="https://www.tataaia.com/customer-service/fund-performance.html" TargetMode="External"/><Relationship Id="rId4" Type="http://schemas.openxmlformats.org/officeDocument/2006/relationships/hyperlink" Target="https://www.moneycontrol.com/insurance/ulip/icici-prudential-life-insurance-IP/icici-prudential-signature-focus-50-fund-IIP1042.html" TargetMode="External"/><Relationship Id="rId9" Type="http://schemas.openxmlformats.org/officeDocument/2006/relationships/hyperlink" Target="https://www.iciciprulife.com/fund-performance/funds-nav-history.html?fundCode=5GTH" TargetMode="External"/><Relationship Id="rId13" Type="http://schemas.openxmlformats.org/officeDocument/2006/relationships/hyperlink" Target="https://www.moneycontrol.com/insurance/ulip/icici-prudential-life-insurance-IP/icici-pru1-wealth-plan-midsmall-cap-400-index-fund-IIP1041.html" TargetMode="External"/><Relationship Id="rId18" Type="http://schemas.openxmlformats.org/officeDocument/2006/relationships/hyperlink" Target="https://www.iciciprulife.com/fund-performance/funds-nav-history.html?fundCode=OPPF" TargetMode="External"/><Relationship Id="rId39" Type="http://schemas.openxmlformats.org/officeDocument/2006/relationships/hyperlink" Target="https://www.hdfclife.com/fund-performance" TargetMode="External"/><Relationship Id="rId34" Type="http://schemas.openxmlformats.org/officeDocument/2006/relationships/hyperlink" Target="https://www.hdfclife.com/fund-performance" TargetMode="External"/><Relationship Id="rId50" Type="http://schemas.openxmlformats.org/officeDocument/2006/relationships/hyperlink" Target="https://www.tataaia.com/customer-service/fund-performance.html" TargetMode="External"/><Relationship Id="rId55" Type="http://schemas.openxmlformats.org/officeDocument/2006/relationships/hyperlink" Target="https://www.tataaia.com/customer-service/fund-performanc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52E04-7775-45D9-BC02-87B00CB9A74A}">
  <dimension ref="A1:F2964"/>
  <sheetViews>
    <sheetView workbookViewId="0">
      <selection activeCell="E1" sqref="E1:E1048576"/>
    </sheetView>
  </sheetViews>
  <sheetFormatPr defaultRowHeight="15" x14ac:dyDescent="0.25"/>
  <cols>
    <col min="1" max="4" width="9.140625" style="8"/>
    <col min="5" max="5" width="10.42578125" style="9" bestFit="1" customWidth="1"/>
    <col min="6" max="16384" width="9.140625" style="8"/>
  </cols>
  <sheetData>
    <row r="1" spans="1:6" ht="30" x14ac:dyDescent="0.25">
      <c r="A1" s="8" t="s">
        <v>0</v>
      </c>
      <c r="B1" s="8" t="s">
        <v>1</v>
      </c>
      <c r="D1" s="8" t="s">
        <v>2</v>
      </c>
      <c r="E1" s="9" t="s">
        <v>3</v>
      </c>
      <c r="F1" s="8" t="s">
        <v>4</v>
      </c>
    </row>
    <row r="2" spans="1:6" ht="60" x14ac:dyDescent="0.25">
      <c r="A2" s="8" t="s">
        <v>5</v>
      </c>
      <c r="B2" s="8" t="s">
        <v>8</v>
      </c>
      <c r="C2" s="8" t="str">
        <f>IFERROR(_xlfn.XLOOKUP(TRIM(B2),Lookup!$B$2:$B$1000,Lookup!$C$2:$C$1000),"")</f>
        <v>Equity</v>
      </c>
      <c r="D2" s="8" t="s">
        <v>9</v>
      </c>
      <c r="E2" s="9">
        <v>45869</v>
      </c>
      <c r="F2" s="8">
        <v>45.761299999999999</v>
      </c>
    </row>
    <row r="3" spans="1:6" ht="60" x14ac:dyDescent="0.25">
      <c r="A3" s="8" t="s">
        <v>5</v>
      </c>
      <c r="B3" s="8" t="s">
        <v>8</v>
      </c>
      <c r="C3" s="8" t="str">
        <f>IFERROR(_xlfn.XLOOKUP(TRIM(B3),Lookup!$B$2:$B$1000,Lookup!$C$2:$C$1000),"")</f>
        <v>Equity</v>
      </c>
      <c r="D3" s="8" t="s">
        <v>9</v>
      </c>
      <c r="E3" s="9">
        <v>45870</v>
      </c>
      <c r="F3" s="8">
        <v>45.4268</v>
      </c>
    </row>
    <row r="4" spans="1:6" ht="60" x14ac:dyDescent="0.25">
      <c r="A4" s="8" t="s">
        <v>5</v>
      </c>
      <c r="B4" s="8" t="s">
        <v>8</v>
      </c>
      <c r="C4" s="8" t="str">
        <f>IFERROR(_xlfn.XLOOKUP(TRIM(B4),Lookup!$B$2:$B$1000,Lookup!$C$2:$C$1000),"")</f>
        <v>Equity</v>
      </c>
      <c r="D4" s="8" t="s">
        <v>9</v>
      </c>
      <c r="E4" s="9">
        <v>45873</v>
      </c>
      <c r="F4" s="8">
        <v>45.721800000000002</v>
      </c>
    </row>
    <row r="5" spans="1:6" ht="60" x14ac:dyDescent="0.25">
      <c r="A5" s="8" t="s">
        <v>5</v>
      </c>
      <c r="B5" s="8" t="s">
        <v>8</v>
      </c>
      <c r="C5" s="8" t="str">
        <f>IFERROR(_xlfn.XLOOKUP(TRIM(B5),Lookup!$B$2:$B$1000,Lookup!$C$2:$C$1000),"")</f>
        <v>Equity</v>
      </c>
      <c r="D5" s="8" t="s">
        <v>9</v>
      </c>
      <c r="E5" s="9">
        <v>45874</v>
      </c>
      <c r="F5" s="8">
        <v>45.602800000000002</v>
      </c>
    </row>
    <row r="6" spans="1:6" ht="60" x14ac:dyDescent="0.25">
      <c r="A6" s="8" t="s">
        <v>5</v>
      </c>
      <c r="B6" s="8" t="s">
        <v>8</v>
      </c>
      <c r="C6" s="8" t="str">
        <f>IFERROR(_xlfn.XLOOKUP(TRIM(B6),Lookup!$B$2:$B$1000,Lookup!$C$2:$C$1000),"")</f>
        <v>Equity</v>
      </c>
      <c r="D6" s="8" t="s">
        <v>9</v>
      </c>
      <c r="E6" s="9">
        <v>45875</v>
      </c>
      <c r="F6" s="8">
        <v>45.438899999999997</v>
      </c>
    </row>
    <row r="7" spans="1:6" ht="60" x14ac:dyDescent="0.25">
      <c r="A7" s="8" t="s">
        <v>5</v>
      </c>
      <c r="B7" s="8" t="s">
        <v>8</v>
      </c>
      <c r="C7" s="8" t="str">
        <f>IFERROR(_xlfn.XLOOKUP(TRIM(B7),Lookup!$B$2:$B$1000,Lookup!$C$2:$C$1000),"")</f>
        <v>Equity</v>
      </c>
      <c r="D7" s="8" t="s">
        <v>9</v>
      </c>
      <c r="E7" s="9">
        <v>45876</v>
      </c>
      <c r="F7" s="8">
        <v>45.486899999999999</v>
      </c>
    </row>
    <row r="8" spans="1:6" ht="60" x14ac:dyDescent="0.25">
      <c r="A8" s="8" t="s">
        <v>5</v>
      </c>
      <c r="B8" s="8" t="s">
        <v>8</v>
      </c>
      <c r="C8" s="8" t="str">
        <f>IFERROR(_xlfn.XLOOKUP(TRIM(B8),Lookup!$B$2:$B$1000,Lookup!$C$2:$C$1000),"")</f>
        <v>Equity</v>
      </c>
      <c r="D8" s="8" t="s">
        <v>9</v>
      </c>
      <c r="E8" s="9">
        <v>45877</v>
      </c>
      <c r="F8" s="8">
        <v>45.023200000000003</v>
      </c>
    </row>
    <row r="9" spans="1:6" ht="60" x14ac:dyDescent="0.25">
      <c r="A9" s="8" t="s">
        <v>5</v>
      </c>
      <c r="B9" s="8" t="s">
        <v>8</v>
      </c>
      <c r="C9" s="8" t="str">
        <f>IFERROR(_xlfn.XLOOKUP(TRIM(B9),Lookup!$B$2:$B$1000,Lookup!$C$2:$C$1000),"")</f>
        <v>Equity</v>
      </c>
      <c r="D9" s="8" t="s">
        <v>9</v>
      </c>
      <c r="E9" s="9">
        <v>45880</v>
      </c>
      <c r="F9" s="8">
        <v>45.404699999999998</v>
      </c>
    </row>
    <row r="10" spans="1:6" ht="60" x14ac:dyDescent="0.25">
      <c r="A10" s="8" t="s">
        <v>5</v>
      </c>
      <c r="B10" s="8" t="s">
        <v>8</v>
      </c>
      <c r="C10" s="8" t="str">
        <f>IFERROR(_xlfn.XLOOKUP(TRIM(B10),Lookup!$B$2:$B$1000,Lookup!$C$2:$C$1000),"")</f>
        <v>Equity</v>
      </c>
      <c r="D10" s="8" t="s">
        <v>9</v>
      </c>
      <c r="E10" s="9">
        <v>45881</v>
      </c>
      <c r="F10" s="8">
        <v>45.281599999999997</v>
      </c>
    </row>
    <row r="11" spans="1:6" ht="60" x14ac:dyDescent="0.25">
      <c r="A11" s="8" t="s">
        <v>5</v>
      </c>
      <c r="B11" s="8" t="s">
        <v>8</v>
      </c>
      <c r="C11" s="8" t="str">
        <f>IFERROR(_xlfn.XLOOKUP(TRIM(B11),Lookup!$B$2:$B$1000,Lookup!$C$2:$C$1000),"")</f>
        <v>Equity</v>
      </c>
      <c r="D11" s="8" t="s">
        <v>9</v>
      </c>
      <c r="E11" s="9">
        <v>45882</v>
      </c>
      <c r="F11" s="8">
        <v>45.564399999999999</v>
      </c>
    </row>
    <row r="12" spans="1:6" ht="60" x14ac:dyDescent="0.25">
      <c r="A12" s="8" t="s">
        <v>5</v>
      </c>
      <c r="B12" s="8" t="s">
        <v>8</v>
      </c>
      <c r="C12" s="8" t="str">
        <f>IFERROR(_xlfn.XLOOKUP(TRIM(B12),Lookup!$B$2:$B$1000,Lookup!$C$2:$C$1000),"")</f>
        <v>Equity</v>
      </c>
      <c r="D12" s="8" t="s">
        <v>9</v>
      </c>
      <c r="E12" s="9">
        <v>45883</v>
      </c>
      <c r="F12" s="8">
        <v>45.575000000000003</v>
      </c>
    </row>
    <row r="13" spans="1:6" ht="60" x14ac:dyDescent="0.25">
      <c r="A13" s="8" t="s">
        <v>5</v>
      </c>
      <c r="B13" s="8" t="s">
        <v>8</v>
      </c>
      <c r="C13" s="8" t="str">
        <f>IFERROR(_xlfn.XLOOKUP(TRIM(B13),Lookup!$B$2:$B$1000,Lookup!$C$2:$C$1000),"")</f>
        <v>Equity</v>
      </c>
      <c r="D13" s="8" t="s">
        <v>9</v>
      </c>
      <c r="E13" s="9">
        <v>45887</v>
      </c>
      <c r="F13" s="8">
        <v>46.043500000000002</v>
      </c>
    </row>
    <row r="14" spans="1:6" ht="60" x14ac:dyDescent="0.25">
      <c r="A14" s="8" t="s">
        <v>5</v>
      </c>
      <c r="B14" s="8" t="s">
        <v>8</v>
      </c>
      <c r="C14" s="8" t="str">
        <f>IFERROR(_xlfn.XLOOKUP(TRIM(B14),Lookup!$B$2:$B$1000,Lookup!$C$2:$C$1000),"")</f>
        <v>Equity</v>
      </c>
      <c r="D14" s="8" t="s">
        <v>9</v>
      </c>
      <c r="E14" s="9">
        <v>45888</v>
      </c>
      <c r="F14" s="8">
        <v>46.255200000000002</v>
      </c>
    </row>
    <row r="15" spans="1:6" ht="60" x14ac:dyDescent="0.25">
      <c r="A15" s="8" t="s">
        <v>5</v>
      </c>
      <c r="B15" s="8" t="s">
        <v>8</v>
      </c>
      <c r="C15" s="8" t="str">
        <f>IFERROR(_xlfn.XLOOKUP(TRIM(B15),Lookup!$B$2:$B$1000,Lookup!$C$2:$C$1000),"")</f>
        <v>Equity</v>
      </c>
      <c r="D15" s="8" t="s">
        <v>9</v>
      </c>
      <c r="E15" s="9">
        <v>45889</v>
      </c>
      <c r="F15" s="8">
        <v>46.3917</v>
      </c>
    </row>
    <row r="16" spans="1:6" ht="60" x14ac:dyDescent="0.25">
      <c r="A16" s="8" t="s">
        <v>5</v>
      </c>
      <c r="B16" s="8" t="s">
        <v>8</v>
      </c>
      <c r="C16" s="8" t="str">
        <f>IFERROR(_xlfn.XLOOKUP(TRIM(B16),Lookup!$B$2:$B$1000,Lookup!$C$2:$C$1000),"")</f>
        <v>Equity</v>
      </c>
      <c r="D16" s="8" t="s">
        <v>9</v>
      </c>
      <c r="E16" s="9">
        <v>45890</v>
      </c>
      <c r="F16" s="8">
        <v>46.451799999999999</v>
      </c>
    </row>
    <row r="17" spans="1:6" ht="60" x14ac:dyDescent="0.25">
      <c r="A17" s="8" t="s">
        <v>5</v>
      </c>
      <c r="B17" s="8" t="s">
        <v>8</v>
      </c>
      <c r="C17" s="8" t="str">
        <f>IFERROR(_xlfn.XLOOKUP(TRIM(B17),Lookup!$B$2:$B$1000,Lookup!$C$2:$C$1000),"")</f>
        <v>Equity</v>
      </c>
      <c r="D17" s="8" t="s">
        <v>9</v>
      </c>
      <c r="E17" s="9">
        <v>45891</v>
      </c>
      <c r="F17" s="8">
        <v>46.074599999999997</v>
      </c>
    </row>
    <row r="18" spans="1:6" ht="60" x14ac:dyDescent="0.25">
      <c r="A18" s="8" t="s">
        <v>5</v>
      </c>
      <c r="B18" s="8" t="s">
        <v>8</v>
      </c>
      <c r="C18" s="8" t="str">
        <f>IFERROR(_xlfn.XLOOKUP(TRIM(B18),Lookup!$B$2:$B$1000,Lookup!$C$2:$C$1000),"")</f>
        <v>Equity</v>
      </c>
      <c r="D18" s="8" t="s">
        <v>9</v>
      </c>
      <c r="E18" s="9">
        <v>45894</v>
      </c>
      <c r="F18" s="8">
        <v>46.227699999999999</v>
      </c>
    </row>
    <row r="19" spans="1:6" ht="60" x14ac:dyDescent="0.25">
      <c r="A19" s="8" t="s">
        <v>5</v>
      </c>
      <c r="B19" s="8" t="s">
        <v>8</v>
      </c>
      <c r="C19" s="8" t="str">
        <f>IFERROR(_xlfn.XLOOKUP(TRIM(B19),Lookup!$B$2:$B$1000,Lookup!$C$2:$C$1000),"")</f>
        <v>Equity</v>
      </c>
      <c r="D19" s="8" t="s">
        <v>9</v>
      </c>
      <c r="E19" s="9">
        <v>45895</v>
      </c>
      <c r="F19" s="8">
        <v>45.725499999999997</v>
      </c>
    </row>
    <row r="20" spans="1:6" ht="60" x14ac:dyDescent="0.25">
      <c r="A20" s="8" t="s">
        <v>5</v>
      </c>
      <c r="B20" s="8" t="s">
        <v>8</v>
      </c>
      <c r="C20" s="8" t="str">
        <f>IFERROR(_xlfn.XLOOKUP(TRIM(B20),Lookup!$B$2:$B$1000,Lookup!$C$2:$C$1000),"")</f>
        <v>Equity</v>
      </c>
      <c r="D20" s="8" t="s">
        <v>9</v>
      </c>
      <c r="E20" s="9">
        <v>45897</v>
      </c>
      <c r="F20" s="8">
        <v>45.368699999999997</v>
      </c>
    </row>
    <row r="21" spans="1:6" ht="60" x14ac:dyDescent="0.25">
      <c r="A21" s="8" t="s">
        <v>5</v>
      </c>
      <c r="B21" s="8" t="s">
        <v>8</v>
      </c>
      <c r="C21" s="8" t="str">
        <f>IFERROR(_xlfn.XLOOKUP(TRIM(B21),Lookup!$B$2:$B$1000,Lookup!$C$2:$C$1000),"")</f>
        <v>Equity</v>
      </c>
      <c r="D21" s="8" t="s">
        <v>9</v>
      </c>
      <c r="E21" s="9">
        <v>45898</v>
      </c>
      <c r="F21" s="8">
        <v>45.209099999999999</v>
      </c>
    </row>
    <row r="22" spans="1:6" ht="60" x14ac:dyDescent="0.25">
      <c r="A22" s="8" t="s">
        <v>5</v>
      </c>
      <c r="B22" s="8" t="s">
        <v>8</v>
      </c>
      <c r="C22" s="8" t="str">
        <f>IFERROR(_xlfn.XLOOKUP(TRIM(B22),Lookup!$B$2:$B$1000,Lookup!$C$2:$C$1000),"")</f>
        <v>Equity</v>
      </c>
      <c r="D22" s="8" t="s">
        <v>9</v>
      </c>
      <c r="E22" s="9">
        <v>45901</v>
      </c>
      <c r="F22" s="8">
        <v>45.564700000000002</v>
      </c>
    </row>
    <row r="23" spans="1:6" ht="60" x14ac:dyDescent="0.25">
      <c r="A23" s="8" t="s">
        <v>5</v>
      </c>
      <c r="B23" s="8" t="s">
        <v>8</v>
      </c>
      <c r="C23" s="8" t="str">
        <f>IFERROR(_xlfn.XLOOKUP(TRIM(B23),Lookup!$B$2:$B$1000,Lookup!$C$2:$C$1000),"")</f>
        <v>Equity</v>
      </c>
      <c r="D23" s="8" t="s">
        <v>9</v>
      </c>
      <c r="E23" s="9">
        <v>45902</v>
      </c>
      <c r="F23" s="8">
        <v>45.490200000000002</v>
      </c>
    </row>
    <row r="24" spans="1:6" ht="60" x14ac:dyDescent="0.25">
      <c r="A24" s="8" t="s">
        <v>5</v>
      </c>
      <c r="B24" s="8" t="s">
        <v>8</v>
      </c>
      <c r="C24" s="8" t="str">
        <f>IFERROR(_xlfn.XLOOKUP(TRIM(B24),Lookup!$B$2:$B$1000,Lookup!$C$2:$C$1000),"")</f>
        <v>Equity</v>
      </c>
      <c r="D24" s="8" t="s">
        <v>9</v>
      </c>
      <c r="E24" s="9">
        <v>45903</v>
      </c>
      <c r="F24" s="8">
        <v>45.738300000000002</v>
      </c>
    </row>
    <row r="25" spans="1:6" ht="60" x14ac:dyDescent="0.25">
      <c r="A25" s="8" t="s">
        <v>5</v>
      </c>
      <c r="B25" s="8" t="s">
        <v>8</v>
      </c>
      <c r="C25" s="8" t="str">
        <f>IFERROR(_xlfn.XLOOKUP(TRIM(B25),Lookup!$B$2:$B$1000,Lookup!$C$2:$C$1000),"")</f>
        <v>Equity</v>
      </c>
      <c r="D25" s="8" t="s">
        <v>9</v>
      </c>
      <c r="E25" s="9">
        <v>45904</v>
      </c>
      <c r="F25" s="8">
        <v>45.793199999999999</v>
      </c>
    </row>
    <row r="26" spans="1:6" ht="60" x14ac:dyDescent="0.25">
      <c r="A26" s="8" t="s">
        <v>5</v>
      </c>
      <c r="B26" s="8" t="s">
        <v>8</v>
      </c>
      <c r="C26" s="8" t="str">
        <f>IFERROR(_xlfn.XLOOKUP(TRIM(B26),Lookup!$B$2:$B$1000,Lookup!$C$2:$C$1000),"")</f>
        <v>Equity</v>
      </c>
      <c r="D26" s="8" t="s">
        <v>9</v>
      </c>
      <c r="E26" s="9">
        <v>45905</v>
      </c>
      <c r="F26" s="8">
        <v>45.835999999999999</v>
      </c>
    </row>
    <row r="27" spans="1:6" ht="60" x14ac:dyDescent="0.25">
      <c r="A27" s="8" t="s">
        <v>5</v>
      </c>
      <c r="B27" s="8" t="s">
        <v>8</v>
      </c>
      <c r="C27" s="8" t="str">
        <f>IFERROR(_xlfn.XLOOKUP(TRIM(B27),Lookup!$B$2:$B$1000,Lookup!$C$2:$C$1000),"")</f>
        <v>Equity</v>
      </c>
      <c r="D27" s="8" t="s">
        <v>9</v>
      </c>
      <c r="E27" s="9">
        <v>45908</v>
      </c>
      <c r="F27" s="8">
        <v>45.9315</v>
      </c>
    </row>
    <row r="28" spans="1:6" ht="60" x14ac:dyDescent="0.25">
      <c r="A28" s="8" t="s">
        <v>5</v>
      </c>
      <c r="B28" s="8" t="s">
        <v>8</v>
      </c>
      <c r="C28" s="8" t="str">
        <f>IFERROR(_xlfn.XLOOKUP(TRIM(B28),Lookup!$B$2:$B$1000,Lookup!$C$2:$C$1000),"")</f>
        <v>Equity</v>
      </c>
      <c r="D28" s="8" t="s">
        <v>9</v>
      </c>
      <c r="E28" s="9">
        <v>45909</v>
      </c>
      <c r="F28" s="8">
        <v>46.058799999999998</v>
      </c>
    </row>
    <row r="29" spans="1:6" ht="60" x14ac:dyDescent="0.25">
      <c r="A29" s="8" t="s">
        <v>5</v>
      </c>
      <c r="B29" s="8" t="s">
        <v>8</v>
      </c>
      <c r="C29" s="8" t="str">
        <f>IFERROR(_xlfn.XLOOKUP(TRIM(B29),Lookup!$B$2:$B$1000,Lookup!$C$2:$C$1000),"")</f>
        <v>Equity</v>
      </c>
      <c r="D29" s="8" t="s">
        <v>9</v>
      </c>
      <c r="E29" s="9">
        <v>45910</v>
      </c>
      <c r="F29" s="8">
        <v>46.298699999999997</v>
      </c>
    </row>
    <row r="30" spans="1:6" ht="60" x14ac:dyDescent="0.25">
      <c r="A30" s="8" t="s">
        <v>5</v>
      </c>
      <c r="B30" s="8" t="s">
        <v>8</v>
      </c>
      <c r="C30" s="8" t="str">
        <f>IFERROR(_xlfn.XLOOKUP(TRIM(B30),Lookup!$B$2:$B$1000,Lookup!$C$2:$C$1000),"")</f>
        <v>Equity</v>
      </c>
      <c r="D30" s="8" t="s">
        <v>9</v>
      </c>
      <c r="E30" s="9">
        <v>45911</v>
      </c>
      <c r="F30" s="8">
        <v>46.368400000000001</v>
      </c>
    </row>
    <row r="31" spans="1:6" ht="60" x14ac:dyDescent="0.25">
      <c r="A31" s="8" t="s">
        <v>5</v>
      </c>
      <c r="B31" s="8" t="s">
        <v>8</v>
      </c>
      <c r="C31" s="8" t="str">
        <f>IFERROR(_xlfn.XLOOKUP(TRIM(B31),Lookup!$B$2:$B$1000,Lookup!$C$2:$C$1000),"")</f>
        <v>Equity</v>
      </c>
      <c r="D31" s="8" t="s">
        <v>9</v>
      </c>
      <c r="E31" s="9">
        <v>45912</v>
      </c>
      <c r="F31" s="8">
        <v>46.540300000000002</v>
      </c>
    </row>
    <row r="32" spans="1:6" ht="60" x14ac:dyDescent="0.25">
      <c r="A32" s="8" t="s">
        <v>5</v>
      </c>
      <c r="B32" s="8" t="s">
        <v>8</v>
      </c>
      <c r="C32" s="8" t="str">
        <f>IFERROR(_xlfn.XLOOKUP(TRIM(B32),Lookup!$B$2:$B$1000,Lookup!$C$2:$C$1000),"")</f>
        <v>Equity</v>
      </c>
      <c r="D32" s="8" t="s">
        <v>9</v>
      </c>
      <c r="E32" s="9">
        <v>45915</v>
      </c>
      <c r="F32" s="8">
        <v>46.486400000000003</v>
      </c>
    </row>
    <row r="33" spans="1:6" ht="60" x14ac:dyDescent="0.25">
      <c r="A33" s="8" t="s">
        <v>5</v>
      </c>
      <c r="B33" s="8" t="s">
        <v>8</v>
      </c>
      <c r="C33" s="8" t="str">
        <f>IFERROR(_xlfn.XLOOKUP(TRIM(B33),Lookup!$B$2:$B$1000,Lookup!$C$2:$C$1000),"")</f>
        <v>Equity</v>
      </c>
      <c r="D33" s="8" t="s">
        <v>9</v>
      </c>
      <c r="E33" s="9">
        <v>45916</v>
      </c>
      <c r="F33" s="8">
        <v>46.824100000000001</v>
      </c>
    </row>
    <row r="34" spans="1:6" ht="60" x14ac:dyDescent="0.25">
      <c r="A34" s="8" t="s">
        <v>5</v>
      </c>
      <c r="B34" s="8" t="s">
        <v>8</v>
      </c>
      <c r="C34" s="8" t="str">
        <f>IFERROR(_xlfn.XLOOKUP(TRIM(B34),Lookup!$B$2:$B$1000,Lookup!$C$2:$C$1000),"")</f>
        <v>Equity</v>
      </c>
      <c r="D34" s="8" t="s">
        <v>9</v>
      </c>
      <c r="E34" s="9">
        <v>45917</v>
      </c>
      <c r="F34" s="8">
        <v>47.000900000000001</v>
      </c>
    </row>
    <row r="35" spans="1:6" ht="60" x14ac:dyDescent="0.25">
      <c r="A35" s="8" t="s">
        <v>5</v>
      </c>
      <c r="B35" s="8" t="s">
        <v>8</v>
      </c>
      <c r="C35" s="8" t="str">
        <f>IFERROR(_xlfn.XLOOKUP(TRIM(B35),Lookup!$B$2:$B$1000,Lookup!$C$2:$C$1000),"")</f>
        <v>Equity</v>
      </c>
      <c r="D35" s="8" t="s">
        <v>9</v>
      </c>
      <c r="E35" s="9">
        <v>45918</v>
      </c>
      <c r="F35" s="8">
        <v>47.177999999999997</v>
      </c>
    </row>
    <row r="36" spans="1:6" ht="60" x14ac:dyDescent="0.25">
      <c r="A36" s="8" t="s">
        <v>5</v>
      </c>
      <c r="B36" s="8" t="s">
        <v>8</v>
      </c>
      <c r="C36" s="8" t="str">
        <f>IFERROR(_xlfn.XLOOKUP(TRIM(B36),Lookup!$B$2:$B$1000,Lookup!$C$2:$C$1000),"")</f>
        <v>Equity</v>
      </c>
      <c r="D36" s="8" t="s">
        <v>9</v>
      </c>
      <c r="E36" s="9">
        <v>45919</v>
      </c>
      <c r="F36" s="8">
        <v>47.027700000000003</v>
      </c>
    </row>
    <row r="37" spans="1:6" ht="60" x14ac:dyDescent="0.25">
      <c r="A37" s="8" t="s">
        <v>5</v>
      </c>
      <c r="B37" s="8" t="s">
        <v>8</v>
      </c>
      <c r="C37" s="8" t="str">
        <f>IFERROR(_xlfn.XLOOKUP(TRIM(B37),Lookup!$B$2:$B$1000,Lookup!$C$2:$C$1000),"")</f>
        <v>Equity</v>
      </c>
      <c r="D37" s="8" t="s">
        <v>9</v>
      </c>
      <c r="E37" s="9">
        <v>45922</v>
      </c>
      <c r="F37" s="8">
        <v>46.828899999999997</v>
      </c>
    </row>
    <row r="38" spans="1:6" ht="60" x14ac:dyDescent="0.25">
      <c r="A38" s="8" t="s">
        <v>5</v>
      </c>
      <c r="B38" s="8" t="s">
        <v>8</v>
      </c>
      <c r="C38" s="8" t="str">
        <f>IFERROR(_xlfn.XLOOKUP(TRIM(B38),Lookup!$B$2:$B$1000,Lookup!$C$2:$C$1000),"")</f>
        <v>Equity</v>
      </c>
      <c r="D38" s="8" t="s">
        <v>9</v>
      </c>
      <c r="E38" s="9">
        <v>45923</v>
      </c>
      <c r="F38" s="8">
        <v>46.773200000000003</v>
      </c>
    </row>
    <row r="39" spans="1:6" ht="60" x14ac:dyDescent="0.25">
      <c r="A39" s="8" t="s">
        <v>5</v>
      </c>
      <c r="B39" s="8" t="s">
        <v>8</v>
      </c>
      <c r="C39" s="8" t="str">
        <f>IFERROR(_xlfn.XLOOKUP(TRIM(B39),Lookup!$B$2:$B$1000,Lookup!$C$2:$C$1000),"")</f>
        <v>Equity</v>
      </c>
      <c r="D39" s="8" t="s">
        <v>9</v>
      </c>
      <c r="E39" s="9">
        <v>45924</v>
      </c>
      <c r="F39" s="8">
        <v>46.555199999999999</v>
      </c>
    </row>
    <row r="40" spans="1:6" ht="60" x14ac:dyDescent="0.25">
      <c r="A40" s="8" t="s">
        <v>5</v>
      </c>
      <c r="B40" s="8" t="s">
        <v>8</v>
      </c>
      <c r="C40" s="8" t="str">
        <f>IFERROR(_xlfn.XLOOKUP(TRIM(B40),Lookup!$B$2:$B$1000,Lookup!$C$2:$C$1000),"")</f>
        <v>Equity</v>
      </c>
      <c r="D40" s="8" t="s">
        <v>9</v>
      </c>
      <c r="E40" s="9">
        <v>45925</v>
      </c>
      <c r="F40" s="8">
        <v>46.274500000000003</v>
      </c>
    </row>
    <row r="41" spans="1:6" ht="60" x14ac:dyDescent="0.25">
      <c r="A41" s="8" t="s">
        <v>5</v>
      </c>
      <c r="B41" s="8" t="s">
        <v>8</v>
      </c>
      <c r="C41" s="8" t="str">
        <f>IFERROR(_xlfn.XLOOKUP(TRIM(B41),Lookup!$B$2:$B$1000,Lookup!$C$2:$C$1000),"")</f>
        <v>Equity</v>
      </c>
      <c r="D41" s="8" t="s">
        <v>9</v>
      </c>
      <c r="E41" s="9">
        <v>45926</v>
      </c>
      <c r="F41" s="8">
        <v>45.798400000000001</v>
      </c>
    </row>
    <row r="42" spans="1:6" ht="60" x14ac:dyDescent="0.25">
      <c r="A42" s="8" t="s">
        <v>5</v>
      </c>
      <c r="B42" s="8" t="s">
        <v>8</v>
      </c>
      <c r="C42" s="8" t="str">
        <f>IFERROR(_xlfn.XLOOKUP(TRIM(B42),Lookup!$B$2:$B$1000,Lookup!$C$2:$C$1000),"")</f>
        <v>Equity</v>
      </c>
      <c r="D42" s="8" t="s">
        <v>9</v>
      </c>
      <c r="E42" s="9">
        <v>45929</v>
      </c>
      <c r="F42" s="8">
        <v>45.752699999999997</v>
      </c>
    </row>
    <row r="43" spans="1:6" ht="60" x14ac:dyDescent="0.25">
      <c r="A43" s="8" t="s">
        <v>5</v>
      </c>
      <c r="B43" s="8" t="s">
        <v>8</v>
      </c>
      <c r="C43" s="8" t="str">
        <f>IFERROR(_xlfn.XLOOKUP(TRIM(B43),Lookup!$B$2:$B$1000,Lookup!$C$2:$C$1000),"")</f>
        <v>Equity</v>
      </c>
      <c r="D43" s="8" t="s">
        <v>9</v>
      </c>
      <c r="E43" s="9">
        <v>45930</v>
      </c>
      <c r="F43" s="8">
        <v>45.724699999999999</v>
      </c>
    </row>
    <row r="44" spans="1:6" ht="60" x14ac:dyDescent="0.25">
      <c r="A44" s="8" t="s">
        <v>5</v>
      </c>
      <c r="B44" s="8" t="s">
        <v>8</v>
      </c>
      <c r="C44" s="8" t="str">
        <f>IFERROR(_xlfn.XLOOKUP(TRIM(B44),Lookup!$B$2:$B$1000,Lookup!$C$2:$C$1000),"")</f>
        <v>Equity</v>
      </c>
      <c r="D44" s="8" t="s">
        <v>9</v>
      </c>
      <c r="E44" s="9">
        <v>45931</v>
      </c>
      <c r="F44" s="8">
        <v>46.132300000000001</v>
      </c>
    </row>
    <row r="45" spans="1:6" ht="60" x14ac:dyDescent="0.25">
      <c r="A45" s="8" t="s">
        <v>5</v>
      </c>
      <c r="B45" s="8" t="s">
        <v>8</v>
      </c>
      <c r="C45" s="8" t="str">
        <f>IFERROR(_xlfn.XLOOKUP(TRIM(B45),Lookup!$B$2:$B$1000,Lookup!$C$2:$C$1000),"")</f>
        <v>Equity</v>
      </c>
      <c r="D45" s="8" t="s">
        <v>9</v>
      </c>
      <c r="E45" s="9">
        <v>45933</v>
      </c>
      <c r="F45" s="8">
        <v>46.3018</v>
      </c>
    </row>
    <row r="46" spans="1:6" ht="60" x14ac:dyDescent="0.25">
      <c r="A46" s="8" t="s">
        <v>5</v>
      </c>
      <c r="B46" s="8" t="s">
        <v>8</v>
      </c>
      <c r="C46" s="8" t="str">
        <f>IFERROR(_xlfn.XLOOKUP(TRIM(B46),Lookup!$B$2:$B$1000,Lookup!$C$2:$C$1000),"")</f>
        <v>Equity</v>
      </c>
      <c r="D46" s="8" t="s">
        <v>9</v>
      </c>
      <c r="E46" s="9">
        <v>45936</v>
      </c>
      <c r="F46" s="8">
        <v>46.7072</v>
      </c>
    </row>
    <row r="47" spans="1:6" ht="60" x14ac:dyDescent="0.25">
      <c r="A47" s="8" t="s">
        <v>5</v>
      </c>
      <c r="B47" s="8" t="s">
        <v>8</v>
      </c>
      <c r="C47" s="8" t="str">
        <f>IFERROR(_xlfn.XLOOKUP(TRIM(B47),Lookup!$B$2:$B$1000,Lookup!$C$2:$C$1000),"")</f>
        <v>Equity</v>
      </c>
      <c r="D47" s="8" t="s">
        <v>9</v>
      </c>
      <c r="E47" s="9">
        <v>45937</v>
      </c>
      <c r="F47" s="8">
        <v>46.7271</v>
      </c>
    </row>
    <row r="48" spans="1:6" ht="60" x14ac:dyDescent="0.25">
      <c r="A48" s="8" t="s">
        <v>5</v>
      </c>
      <c r="B48" s="8" t="s">
        <v>8</v>
      </c>
      <c r="C48" s="8" t="str">
        <f>IFERROR(_xlfn.XLOOKUP(TRIM(B48),Lookup!$B$2:$B$1000,Lookup!$C$2:$C$1000),"")</f>
        <v>Equity</v>
      </c>
      <c r="D48" s="8" t="s">
        <v>9</v>
      </c>
      <c r="E48" s="9">
        <v>45938</v>
      </c>
      <c r="F48" s="8">
        <v>46.619599999999998</v>
      </c>
    </row>
    <row r="49" spans="1:6" ht="60" x14ac:dyDescent="0.25">
      <c r="A49" s="8" t="s">
        <v>5</v>
      </c>
      <c r="B49" s="8" t="s">
        <v>8</v>
      </c>
      <c r="C49" s="8" t="str">
        <f>IFERROR(_xlfn.XLOOKUP(TRIM(B49),Lookup!$B$2:$B$1000,Lookup!$C$2:$C$1000),"")</f>
        <v>Equity</v>
      </c>
      <c r="D49" s="8" t="s">
        <v>9</v>
      </c>
      <c r="E49" s="9">
        <v>45939</v>
      </c>
      <c r="F49" s="8">
        <v>46.8583</v>
      </c>
    </row>
    <row r="50" spans="1:6" ht="60" x14ac:dyDescent="0.25">
      <c r="A50" s="8" t="s">
        <v>5</v>
      </c>
      <c r="B50" s="8" t="s">
        <v>8</v>
      </c>
      <c r="C50" s="8" t="str">
        <f>IFERROR(_xlfn.XLOOKUP(TRIM(B50),Lookup!$B$2:$B$1000,Lookup!$C$2:$C$1000),"")</f>
        <v>Equity</v>
      </c>
      <c r="D50" s="8" t="s">
        <v>9</v>
      </c>
      <c r="E50" s="9">
        <v>45940</v>
      </c>
      <c r="F50" s="8">
        <v>47.057400000000001</v>
      </c>
    </row>
    <row r="51" spans="1:6" ht="60" x14ac:dyDescent="0.25">
      <c r="A51" s="8" t="s">
        <v>5</v>
      </c>
      <c r="B51" s="8" t="s">
        <v>8</v>
      </c>
      <c r="C51" s="8" t="str">
        <f>IFERROR(_xlfn.XLOOKUP(TRIM(B51),Lookup!$B$2:$B$1000,Lookup!$C$2:$C$1000),"")</f>
        <v>Equity</v>
      </c>
      <c r="D51" s="8" t="s">
        <v>9</v>
      </c>
      <c r="E51" s="9">
        <v>45943</v>
      </c>
      <c r="F51" s="8">
        <v>46.945900000000002</v>
      </c>
    </row>
    <row r="52" spans="1:6" ht="60" x14ac:dyDescent="0.25">
      <c r="A52" s="8" t="s">
        <v>5</v>
      </c>
      <c r="B52" s="8" t="s">
        <v>8</v>
      </c>
      <c r="C52" s="8" t="str">
        <f>IFERROR(_xlfn.XLOOKUP(TRIM(B52),Lookup!$B$2:$B$1000,Lookup!$C$2:$C$1000),"")</f>
        <v>Equity</v>
      </c>
      <c r="D52" s="8" t="s">
        <v>9</v>
      </c>
      <c r="E52" s="9">
        <v>45944</v>
      </c>
      <c r="F52" s="8">
        <v>46.790599999999998</v>
      </c>
    </row>
    <row r="53" spans="1:6" ht="60" x14ac:dyDescent="0.25">
      <c r="A53" s="8" t="s">
        <v>5</v>
      </c>
      <c r="B53" s="8" t="s">
        <v>8</v>
      </c>
      <c r="C53" s="8" t="str">
        <f>IFERROR(_xlfn.XLOOKUP(TRIM(B53),Lookup!$B$2:$B$1000,Lookup!$C$2:$C$1000),"")</f>
        <v>Equity</v>
      </c>
      <c r="D53" s="8" t="s">
        <v>9</v>
      </c>
      <c r="E53" s="9">
        <v>45945</v>
      </c>
      <c r="F53" s="8">
        <v>47.099800000000002</v>
      </c>
    </row>
    <row r="54" spans="1:6" ht="60" x14ac:dyDescent="0.25">
      <c r="A54" s="8" t="s">
        <v>5</v>
      </c>
      <c r="B54" s="8" t="s">
        <v>8</v>
      </c>
      <c r="C54" s="8" t="str">
        <f>IFERROR(_xlfn.XLOOKUP(TRIM(B54),Lookup!$B$2:$B$1000,Lookup!$C$2:$C$1000),"")</f>
        <v>Equity</v>
      </c>
      <c r="D54" s="8" t="s">
        <v>9</v>
      </c>
      <c r="E54" s="9">
        <v>45946</v>
      </c>
      <c r="F54" s="8">
        <v>47.567399999999999</v>
      </c>
    </row>
    <row r="55" spans="1:6" ht="60" x14ac:dyDescent="0.25">
      <c r="A55" s="8" t="s">
        <v>5</v>
      </c>
      <c r="B55" s="8" t="s">
        <v>8</v>
      </c>
      <c r="C55" s="8" t="str">
        <f>IFERROR(_xlfn.XLOOKUP(TRIM(B55),Lookup!$B$2:$B$1000,Lookup!$C$2:$C$1000),"")</f>
        <v>Equity</v>
      </c>
      <c r="D55" s="8" t="s">
        <v>9</v>
      </c>
      <c r="E55" s="9">
        <v>45947</v>
      </c>
      <c r="F55" s="8">
        <v>47.768300000000004</v>
      </c>
    </row>
    <row r="56" spans="1:6" ht="60" x14ac:dyDescent="0.25">
      <c r="A56" s="8" t="s">
        <v>5</v>
      </c>
      <c r="B56" s="8" t="s">
        <v>8</v>
      </c>
      <c r="C56" s="8" t="str">
        <f>IFERROR(_xlfn.XLOOKUP(TRIM(B56),Lookup!$B$2:$B$1000,Lookup!$C$2:$C$1000),"")</f>
        <v>Equity</v>
      </c>
      <c r="D56" s="8" t="s">
        <v>9</v>
      </c>
      <c r="E56" s="9">
        <v>45950</v>
      </c>
      <c r="F56" s="8">
        <v>48.184600000000003</v>
      </c>
    </row>
    <row r="57" spans="1:6" ht="60" x14ac:dyDescent="0.25">
      <c r="A57" s="8" t="s">
        <v>5</v>
      </c>
      <c r="B57" s="8" t="s">
        <v>8</v>
      </c>
      <c r="C57" s="8" t="str">
        <f>IFERROR(_xlfn.XLOOKUP(TRIM(B57),Lookup!$B$2:$B$1000,Lookup!$C$2:$C$1000),"")</f>
        <v>Equity</v>
      </c>
      <c r="D57" s="8" t="s">
        <v>9</v>
      </c>
      <c r="E57" s="9">
        <v>45953</v>
      </c>
      <c r="F57" s="8">
        <v>48.343499999999999</v>
      </c>
    </row>
    <row r="58" spans="1:6" ht="60" x14ac:dyDescent="0.25">
      <c r="A58" s="8" t="s">
        <v>5</v>
      </c>
      <c r="B58" s="8" t="s">
        <v>8</v>
      </c>
      <c r="C58" s="8" t="str">
        <f>IFERROR(_xlfn.XLOOKUP(TRIM(B58),Lookup!$B$2:$B$1000,Lookup!$C$2:$C$1000),"")</f>
        <v>Equity</v>
      </c>
      <c r="D58" s="8" t="s">
        <v>9</v>
      </c>
      <c r="E58" s="9">
        <v>45954</v>
      </c>
      <c r="F58" s="8">
        <v>48.105899999999998</v>
      </c>
    </row>
    <row r="59" spans="1:6" ht="60" x14ac:dyDescent="0.25">
      <c r="A59" s="8" t="s">
        <v>5</v>
      </c>
      <c r="B59" s="8" t="s">
        <v>8</v>
      </c>
      <c r="C59" s="8" t="str">
        <f>IFERROR(_xlfn.XLOOKUP(TRIM(B59),Lookup!$B$2:$B$1000,Lookup!$C$2:$C$1000),"")</f>
        <v>Equity</v>
      </c>
      <c r="D59" s="8" t="s">
        <v>9</v>
      </c>
      <c r="E59" s="9">
        <v>45957</v>
      </c>
      <c r="F59" s="8">
        <v>48.475000000000001</v>
      </c>
    </row>
    <row r="60" spans="1:6" ht="60" x14ac:dyDescent="0.25">
      <c r="A60" s="8" t="s">
        <v>5</v>
      </c>
      <c r="B60" s="8" t="s">
        <v>8</v>
      </c>
      <c r="C60" s="8" t="str">
        <f>IFERROR(_xlfn.XLOOKUP(TRIM(B60),Lookup!$B$2:$B$1000,Lookup!$C$2:$C$1000),"")</f>
        <v>Equity</v>
      </c>
      <c r="D60" s="8" t="s">
        <v>9</v>
      </c>
      <c r="E60" s="9">
        <v>45958</v>
      </c>
      <c r="F60" s="8">
        <v>48.476399999999998</v>
      </c>
    </row>
    <row r="61" spans="1:6" ht="60" x14ac:dyDescent="0.25">
      <c r="A61" s="8" t="s">
        <v>5</v>
      </c>
      <c r="B61" s="8" t="s">
        <v>8</v>
      </c>
      <c r="C61" s="8" t="str">
        <f>IFERROR(_xlfn.XLOOKUP(TRIM(B61),Lookup!$B$2:$B$1000,Lookup!$C$2:$C$1000),"")</f>
        <v>Equity</v>
      </c>
      <c r="D61" s="8" t="s">
        <v>9</v>
      </c>
      <c r="E61" s="9">
        <v>45959</v>
      </c>
      <c r="F61" s="8">
        <v>48.685099999999998</v>
      </c>
    </row>
    <row r="62" spans="1:6" ht="60" x14ac:dyDescent="0.25">
      <c r="A62" s="8" t="s">
        <v>5</v>
      </c>
      <c r="B62" s="8" t="s">
        <v>8</v>
      </c>
      <c r="C62" s="8" t="str">
        <f>IFERROR(_xlfn.XLOOKUP(TRIM(B62),Lookup!$B$2:$B$1000,Lookup!$C$2:$C$1000),"")</f>
        <v>Equity</v>
      </c>
      <c r="D62" s="8" t="s">
        <v>9</v>
      </c>
      <c r="E62" s="9">
        <v>45960</v>
      </c>
      <c r="F62" s="8">
        <v>48.379100000000001</v>
      </c>
    </row>
    <row r="63" spans="1:6" ht="60" x14ac:dyDescent="0.25">
      <c r="A63" s="8" t="s">
        <v>5</v>
      </c>
      <c r="B63" s="8" t="s">
        <v>8</v>
      </c>
      <c r="C63" s="8" t="str">
        <f>IFERROR(_xlfn.XLOOKUP(TRIM(B63),Lookup!$B$2:$B$1000,Lookup!$C$2:$C$1000),"")</f>
        <v>Equity</v>
      </c>
      <c r="D63" s="8" t="s">
        <v>9</v>
      </c>
      <c r="E63" s="9">
        <v>45961</v>
      </c>
      <c r="F63" s="8">
        <v>48.121600000000001</v>
      </c>
    </row>
    <row r="64" spans="1:6" ht="60" x14ac:dyDescent="0.25">
      <c r="A64" s="8" t="s">
        <v>5</v>
      </c>
      <c r="B64" s="8" t="s">
        <v>8</v>
      </c>
      <c r="C64" s="8" t="str">
        <f>IFERROR(_xlfn.XLOOKUP(TRIM(B64),Lookup!$B$2:$B$1000,Lookup!$C$2:$C$1000),"")</f>
        <v>Equity</v>
      </c>
      <c r="D64" s="8" t="s">
        <v>9</v>
      </c>
      <c r="E64" s="9">
        <v>45964</v>
      </c>
      <c r="F64" s="8">
        <v>48.185600000000001</v>
      </c>
    </row>
    <row r="65" spans="1:6" ht="60" x14ac:dyDescent="0.25">
      <c r="A65" s="8" t="s">
        <v>5</v>
      </c>
      <c r="B65" s="8" t="s">
        <v>8</v>
      </c>
      <c r="C65" s="8" t="str">
        <f>IFERROR(_xlfn.XLOOKUP(TRIM(B65),Lookup!$B$2:$B$1000,Lookup!$C$2:$C$1000),"")</f>
        <v>Equity</v>
      </c>
      <c r="D65" s="8" t="s">
        <v>9</v>
      </c>
      <c r="E65" s="9">
        <v>45965</v>
      </c>
      <c r="F65" s="8">
        <v>47.961399999999998</v>
      </c>
    </row>
    <row r="66" spans="1:6" ht="60" x14ac:dyDescent="0.25">
      <c r="A66" s="8" t="s">
        <v>5</v>
      </c>
      <c r="B66" s="8" t="s">
        <v>8</v>
      </c>
      <c r="C66" s="8" t="str">
        <f>IFERROR(_xlfn.XLOOKUP(TRIM(B66),Lookup!$B$2:$B$1000,Lookup!$C$2:$C$1000),"")</f>
        <v>Equity</v>
      </c>
      <c r="D66" s="8" t="s">
        <v>9</v>
      </c>
      <c r="E66" s="9">
        <v>45967</v>
      </c>
      <c r="F66" s="8">
        <v>47.764099999999999</v>
      </c>
    </row>
    <row r="67" spans="1:6" ht="60" x14ac:dyDescent="0.25">
      <c r="A67" s="8" t="s">
        <v>5</v>
      </c>
      <c r="B67" s="8" t="s">
        <v>8</v>
      </c>
      <c r="C67" s="8" t="str">
        <f>IFERROR(_xlfn.XLOOKUP(TRIM(B67),Lookup!$B$2:$B$1000,Lookup!$C$2:$C$1000),"")</f>
        <v>Equity</v>
      </c>
      <c r="D67" s="8" t="s">
        <v>9</v>
      </c>
      <c r="E67" s="9">
        <v>45968</v>
      </c>
      <c r="F67" s="8">
        <v>47.720100000000002</v>
      </c>
    </row>
    <row r="68" spans="1:6" ht="60" x14ac:dyDescent="0.25">
      <c r="A68" s="8" t="s">
        <v>5</v>
      </c>
      <c r="B68" s="8" t="s">
        <v>8</v>
      </c>
      <c r="C68" s="8" t="str">
        <f>IFERROR(_xlfn.XLOOKUP(TRIM(B68),Lookup!$B$2:$B$1000,Lookup!$C$2:$C$1000),"")</f>
        <v>Equity</v>
      </c>
      <c r="D68" s="8" t="s">
        <v>9</v>
      </c>
      <c r="E68" s="9">
        <v>45971</v>
      </c>
      <c r="F68" s="8">
        <v>47.905900000000003</v>
      </c>
    </row>
    <row r="69" spans="1:6" ht="60" x14ac:dyDescent="0.25">
      <c r="A69" s="8" t="s">
        <v>5</v>
      </c>
      <c r="B69" s="8" t="s">
        <v>8</v>
      </c>
      <c r="C69" s="8" t="str">
        <f>IFERROR(_xlfn.XLOOKUP(TRIM(B69),Lookup!$B$2:$B$1000,Lookup!$C$2:$C$1000),"")</f>
        <v>Equity</v>
      </c>
      <c r="D69" s="8" t="s">
        <v>9</v>
      </c>
      <c r="E69" s="9">
        <v>45972</v>
      </c>
      <c r="F69" s="8">
        <v>48.038899999999998</v>
      </c>
    </row>
    <row r="70" spans="1:6" ht="60" x14ac:dyDescent="0.25">
      <c r="A70" s="8" t="s">
        <v>5</v>
      </c>
      <c r="B70" s="8" t="s">
        <v>8</v>
      </c>
      <c r="C70" s="8" t="str">
        <f>IFERROR(_xlfn.XLOOKUP(TRIM(B70),Lookup!$B$2:$B$1000,Lookup!$C$2:$C$1000),"")</f>
        <v>Equity</v>
      </c>
      <c r="D70" s="8" t="s">
        <v>9</v>
      </c>
      <c r="E70" s="9">
        <v>45973</v>
      </c>
      <c r="F70" s="8">
        <v>48.383000000000003</v>
      </c>
    </row>
    <row r="71" spans="1:6" ht="60" x14ac:dyDescent="0.25">
      <c r="A71" s="8" t="s">
        <v>5</v>
      </c>
      <c r="B71" s="8" t="s">
        <v>8</v>
      </c>
      <c r="C71" s="8" t="str">
        <f>IFERROR(_xlfn.XLOOKUP(TRIM(B71),Lookup!$B$2:$B$1000,Lookup!$C$2:$C$1000),"")</f>
        <v>Equity</v>
      </c>
      <c r="D71" s="8" t="s">
        <v>9</v>
      </c>
      <c r="E71" s="9">
        <v>45974</v>
      </c>
      <c r="F71" s="8">
        <v>48.345700000000001</v>
      </c>
    </row>
    <row r="72" spans="1:6" ht="60" x14ac:dyDescent="0.25">
      <c r="A72" s="8" t="s">
        <v>5</v>
      </c>
      <c r="B72" s="8" t="s">
        <v>8</v>
      </c>
      <c r="C72" s="8" t="str">
        <f>IFERROR(_xlfn.XLOOKUP(TRIM(B72),Lookup!$B$2:$B$1000,Lookup!$C$2:$C$1000),"")</f>
        <v>Equity</v>
      </c>
      <c r="D72" s="8" t="s">
        <v>9</v>
      </c>
      <c r="E72" s="9">
        <v>45975</v>
      </c>
      <c r="F72" s="8">
        <v>48.472700000000003</v>
      </c>
    </row>
    <row r="73" spans="1:6" ht="60" x14ac:dyDescent="0.25">
      <c r="A73" s="8" t="s">
        <v>5</v>
      </c>
      <c r="B73" s="8" t="s">
        <v>8</v>
      </c>
      <c r="C73" s="8" t="str">
        <f>IFERROR(_xlfn.XLOOKUP(TRIM(B73),Lookup!$B$2:$B$1000,Lookup!$C$2:$C$1000),"")</f>
        <v>Equity</v>
      </c>
      <c r="D73" s="8" t="s">
        <v>9</v>
      </c>
      <c r="E73" s="9">
        <v>45978</v>
      </c>
      <c r="F73" s="8">
        <v>48.742800000000003</v>
      </c>
    </row>
    <row r="74" spans="1:6" ht="60" x14ac:dyDescent="0.25">
      <c r="A74" s="8" t="s">
        <v>5</v>
      </c>
      <c r="B74" s="8" t="s">
        <v>8</v>
      </c>
      <c r="C74" s="8" t="str">
        <f>IFERROR(_xlfn.XLOOKUP(TRIM(B74),Lookup!$B$2:$B$1000,Lookup!$C$2:$C$1000),"")</f>
        <v>Equity</v>
      </c>
      <c r="D74" s="8" t="s">
        <v>9</v>
      </c>
      <c r="E74" s="9">
        <v>45979</v>
      </c>
      <c r="F74" s="8">
        <v>48.596699999999998</v>
      </c>
    </row>
    <row r="75" spans="1:6" ht="60" x14ac:dyDescent="0.25">
      <c r="A75" s="8" t="s">
        <v>5</v>
      </c>
      <c r="B75" s="8" t="s">
        <v>8</v>
      </c>
      <c r="C75" s="8" t="str">
        <f>IFERROR(_xlfn.XLOOKUP(TRIM(B75),Lookup!$B$2:$B$1000,Lookup!$C$2:$C$1000),"")</f>
        <v>Equity</v>
      </c>
      <c r="D75" s="8" t="s">
        <v>9</v>
      </c>
      <c r="E75" s="9">
        <v>45980</v>
      </c>
      <c r="F75" s="8">
        <v>48.834200000000003</v>
      </c>
    </row>
    <row r="76" spans="1:6" ht="60" x14ac:dyDescent="0.25">
      <c r="A76" s="8" t="s">
        <v>5</v>
      </c>
      <c r="B76" s="8" t="s">
        <v>8</v>
      </c>
      <c r="C76" s="8" t="str">
        <f>IFERROR(_xlfn.XLOOKUP(TRIM(B76),Lookup!$B$2:$B$1000,Lookup!$C$2:$C$1000),"")</f>
        <v>Equity</v>
      </c>
      <c r="D76" s="8" t="s">
        <v>9</v>
      </c>
      <c r="E76" s="9">
        <v>45981</v>
      </c>
      <c r="F76" s="8">
        <v>49.037199999999999</v>
      </c>
    </row>
    <row r="77" spans="1:6" ht="60" x14ac:dyDescent="0.25">
      <c r="A77" s="8" t="s">
        <v>5</v>
      </c>
      <c r="B77" s="8" t="s">
        <v>8</v>
      </c>
      <c r="C77" s="8" t="str">
        <f>IFERROR(_xlfn.XLOOKUP(TRIM(B77),Lookup!$B$2:$B$1000,Lookup!$C$2:$C$1000),"")</f>
        <v>Equity</v>
      </c>
      <c r="D77" s="8" t="s">
        <v>9</v>
      </c>
      <c r="E77" s="9">
        <v>45982</v>
      </c>
      <c r="F77" s="8">
        <v>48.76</v>
      </c>
    </row>
    <row r="78" spans="1:6" ht="60" x14ac:dyDescent="0.25">
      <c r="A78" s="8" t="s">
        <v>5</v>
      </c>
      <c r="B78" s="8" t="s">
        <v>8</v>
      </c>
      <c r="C78" s="8" t="str">
        <f>IFERROR(_xlfn.XLOOKUP(TRIM(B78),Lookup!$B$2:$B$1000,Lookup!$C$2:$C$1000),"")</f>
        <v>Equity</v>
      </c>
      <c r="D78" s="8" t="s">
        <v>9</v>
      </c>
      <c r="E78" s="9">
        <v>45985</v>
      </c>
      <c r="F78" s="8">
        <v>48.585999999999999</v>
      </c>
    </row>
    <row r="79" spans="1:6" ht="60" x14ac:dyDescent="0.25">
      <c r="A79" s="8" t="s">
        <v>5</v>
      </c>
      <c r="B79" s="8" t="s">
        <v>8</v>
      </c>
      <c r="C79" s="8" t="str">
        <f>IFERROR(_xlfn.XLOOKUP(TRIM(B79),Lookup!$B$2:$B$1000,Lookup!$C$2:$C$1000),"")</f>
        <v>Equity</v>
      </c>
      <c r="D79" s="8" t="s">
        <v>9</v>
      </c>
      <c r="E79" s="9">
        <v>45986</v>
      </c>
      <c r="F79" s="8">
        <v>48.504800000000003</v>
      </c>
    </row>
    <row r="80" spans="1:6" ht="60" x14ac:dyDescent="0.25">
      <c r="A80" s="8" t="s">
        <v>5</v>
      </c>
      <c r="B80" s="8" t="s">
        <v>8</v>
      </c>
      <c r="C80" s="8" t="str">
        <f>IFERROR(_xlfn.XLOOKUP(TRIM(B80),Lookup!$B$2:$B$1000,Lookup!$C$2:$C$1000),"")</f>
        <v>Equity</v>
      </c>
      <c r="D80" s="8" t="s">
        <v>9</v>
      </c>
      <c r="E80" s="9">
        <v>45987</v>
      </c>
      <c r="F80" s="8">
        <v>49.062600000000003</v>
      </c>
    </row>
    <row r="81" spans="1:6" ht="60" x14ac:dyDescent="0.25">
      <c r="A81" s="8" t="s">
        <v>5</v>
      </c>
      <c r="B81" s="8" t="s">
        <v>8</v>
      </c>
      <c r="C81" s="8" t="str">
        <f>IFERROR(_xlfn.XLOOKUP(TRIM(B81),Lookup!$B$2:$B$1000,Lookup!$C$2:$C$1000),"")</f>
        <v>Equity</v>
      </c>
      <c r="D81" s="8" t="s">
        <v>9</v>
      </c>
      <c r="E81" s="9">
        <v>45988</v>
      </c>
      <c r="F81" s="8">
        <v>49.083100000000002</v>
      </c>
    </row>
    <row r="82" spans="1:6" ht="60" x14ac:dyDescent="0.25">
      <c r="A82" s="8" t="s">
        <v>5</v>
      </c>
      <c r="B82" s="8" t="s">
        <v>8</v>
      </c>
      <c r="C82" s="8" t="str">
        <f>IFERROR(_xlfn.XLOOKUP(TRIM(B82),Lookup!$B$2:$B$1000,Lookup!$C$2:$C$1000),"")</f>
        <v>Equity</v>
      </c>
      <c r="D82" s="8" t="s">
        <v>9</v>
      </c>
      <c r="E82" s="9">
        <v>45989</v>
      </c>
      <c r="F82" s="8">
        <v>49.072299999999998</v>
      </c>
    </row>
    <row r="83" spans="1:6" ht="60" x14ac:dyDescent="0.25">
      <c r="A83" s="8" t="s">
        <v>5</v>
      </c>
      <c r="B83" s="8" t="s">
        <v>8</v>
      </c>
      <c r="C83" s="8" t="str">
        <f>IFERROR(_xlfn.XLOOKUP(TRIM(B83),Lookup!$B$2:$B$1000,Lookup!$C$2:$C$1000),"")</f>
        <v>Equity</v>
      </c>
      <c r="D83" s="8" t="s">
        <v>9</v>
      </c>
      <c r="E83" s="9">
        <v>45993</v>
      </c>
      <c r="F83" s="8">
        <v>48.799100000000003</v>
      </c>
    </row>
    <row r="84" spans="1:6" ht="60" x14ac:dyDescent="0.25">
      <c r="A84" s="8" t="s">
        <v>5</v>
      </c>
      <c r="B84" s="8" t="s">
        <v>8</v>
      </c>
      <c r="C84" s="8" t="str">
        <f>IFERROR(_xlfn.XLOOKUP(TRIM(B84),Lookup!$B$2:$B$1000,Lookup!$C$2:$C$1000),"")</f>
        <v>Equity</v>
      </c>
      <c r="D84" s="8" t="s">
        <v>9</v>
      </c>
      <c r="E84" s="9">
        <v>45994</v>
      </c>
      <c r="F84" s="8">
        <v>48.646299999999997</v>
      </c>
    </row>
    <row r="85" spans="1:6" ht="60" x14ac:dyDescent="0.25">
      <c r="A85" s="8" t="s">
        <v>5</v>
      </c>
      <c r="B85" s="8" t="s">
        <v>8</v>
      </c>
      <c r="C85" s="8" t="str">
        <f>IFERROR(_xlfn.XLOOKUP(TRIM(B85),Lookup!$B$2:$B$1000,Lookup!$C$2:$C$1000),"")</f>
        <v>Equity</v>
      </c>
      <c r="D85" s="8" t="s">
        <v>9</v>
      </c>
      <c r="E85" s="9">
        <v>45995</v>
      </c>
      <c r="F85" s="8">
        <v>48.706800000000001</v>
      </c>
    </row>
    <row r="86" spans="1:6" ht="60" x14ac:dyDescent="0.25">
      <c r="A86" s="8" t="s">
        <v>5</v>
      </c>
      <c r="B86" s="8" t="s">
        <v>8</v>
      </c>
      <c r="C86" s="8" t="str">
        <f>IFERROR(_xlfn.XLOOKUP(TRIM(B86),Lookup!$B$2:$B$1000,Lookup!$C$2:$C$1000),"")</f>
        <v>Equity</v>
      </c>
      <c r="D86" s="8" t="s">
        <v>9</v>
      </c>
      <c r="E86" s="9">
        <v>45996</v>
      </c>
      <c r="F86" s="8">
        <v>48.967300000000002</v>
      </c>
    </row>
    <row r="87" spans="1:6" ht="60" x14ac:dyDescent="0.25">
      <c r="A87" s="8" t="s">
        <v>5</v>
      </c>
      <c r="B87" s="8" t="s">
        <v>8</v>
      </c>
      <c r="C87" s="8" t="str">
        <f>IFERROR(_xlfn.XLOOKUP(TRIM(B87),Lookup!$B$2:$B$1000,Lookup!$C$2:$C$1000),"")</f>
        <v>Equity</v>
      </c>
      <c r="D87" s="8" t="s">
        <v>9</v>
      </c>
      <c r="E87" s="9">
        <v>45999</v>
      </c>
      <c r="F87" s="8">
        <v>48.5246</v>
      </c>
    </row>
    <row r="88" spans="1:6" ht="60" x14ac:dyDescent="0.25">
      <c r="A88" s="8" t="s">
        <v>5</v>
      </c>
      <c r="B88" s="8" t="s">
        <v>8</v>
      </c>
      <c r="C88" s="8" t="str">
        <f>IFERROR(_xlfn.XLOOKUP(TRIM(B88),Lookup!$B$2:$B$1000,Lookup!$C$2:$C$1000),"")</f>
        <v>Equity</v>
      </c>
      <c r="D88" s="8" t="s">
        <v>9</v>
      </c>
      <c r="E88" s="9">
        <v>46000</v>
      </c>
      <c r="F88" s="8">
        <v>48.395400000000002</v>
      </c>
    </row>
    <row r="89" spans="1:6" ht="60" x14ac:dyDescent="0.25">
      <c r="A89" s="8" t="s">
        <v>5</v>
      </c>
      <c r="B89" s="8" t="s">
        <v>8</v>
      </c>
      <c r="C89" s="8" t="str">
        <f>IFERROR(_xlfn.XLOOKUP(TRIM(B89),Lookup!$B$2:$B$1000,Lookup!$C$2:$C$1000),"")</f>
        <v>Equity</v>
      </c>
      <c r="D89" s="8" t="s">
        <v>9</v>
      </c>
      <c r="E89" s="9">
        <v>46001</v>
      </c>
      <c r="F89" s="8">
        <v>48.235799999999998</v>
      </c>
    </row>
    <row r="90" spans="1:6" ht="60" x14ac:dyDescent="0.25">
      <c r="A90" s="8" t="s">
        <v>5</v>
      </c>
      <c r="B90" s="8" t="s">
        <v>8</v>
      </c>
      <c r="C90" s="8" t="str">
        <f>IFERROR(_xlfn.XLOOKUP(TRIM(B90),Lookup!$B$2:$B$1000,Lookup!$C$2:$C$1000),"")</f>
        <v>Equity</v>
      </c>
      <c r="D90" s="8" t="s">
        <v>9</v>
      </c>
      <c r="E90" s="9">
        <v>46002</v>
      </c>
      <c r="F90" s="8">
        <v>48.48</v>
      </c>
    </row>
    <row r="91" spans="1:6" ht="60" x14ac:dyDescent="0.25">
      <c r="A91" s="8" t="s">
        <v>5</v>
      </c>
      <c r="B91" s="8" t="s">
        <v>8</v>
      </c>
      <c r="C91" s="8" t="str">
        <f>IFERROR(_xlfn.XLOOKUP(TRIM(B91),Lookup!$B$2:$B$1000,Lookup!$C$2:$C$1000),"")</f>
        <v>Equity</v>
      </c>
      <c r="D91" s="8" t="s">
        <v>9</v>
      </c>
      <c r="E91" s="9">
        <v>46003</v>
      </c>
      <c r="F91" s="8">
        <v>48.783799999999999</v>
      </c>
    </row>
    <row r="92" spans="1:6" ht="60" x14ac:dyDescent="0.25">
      <c r="A92" s="8" t="s">
        <v>5</v>
      </c>
      <c r="B92" s="8" t="s">
        <v>8</v>
      </c>
      <c r="C92" s="8" t="str">
        <f>IFERROR(_xlfn.XLOOKUP(TRIM(B92),Lookup!$B$2:$B$1000,Lookup!$C$2:$C$1000),"")</f>
        <v>Equity</v>
      </c>
      <c r="D92" s="8" t="s">
        <v>9</v>
      </c>
      <c r="E92" s="9">
        <v>46006</v>
      </c>
      <c r="F92" s="8">
        <v>48.759300000000003</v>
      </c>
    </row>
    <row r="93" spans="1:6" ht="60" x14ac:dyDescent="0.25">
      <c r="A93" s="8" t="s">
        <v>5</v>
      </c>
      <c r="B93" s="8" t="s">
        <v>8</v>
      </c>
      <c r="C93" s="8" t="str">
        <f>IFERROR(_xlfn.XLOOKUP(TRIM(B93),Lookup!$B$2:$B$1000,Lookup!$C$2:$C$1000),"")</f>
        <v>Equity</v>
      </c>
      <c r="D93" s="8" t="s">
        <v>9</v>
      </c>
      <c r="E93" s="9">
        <v>46007</v>
      </c>
      <c r="F93" s="8">
        <v>48.368899999999996</v>
      </c>
    </row>
    <row r="94" spans="1:6" ht="60" x14ac:dyDescent="0.25">
      <c r="A94" s="8" t="s">
        <v>5</v>
      </c>
      <c r="B94" s="8" t="s">
        <v>8</v>
      </c>
      <c r="C94" s="8" t="str">
        <f>IFERROR(_xlfn.XLOOKUP(TRIM(B94),Lookup!$B$2:$B$1000,Lookup!$C$2:$C$1000),"")</f>
        <v>Equity</v>
      </c>
      <c r="D94" s="8" t="s">
        <v>9</v>
      </c>
      <c r="E94" s="9">
        <v>46008</v>
      </c>
      <c r="F94" s="8">
        <v>48.293199999999999</v>
      </c>
    </row>
    <row r="95" spans="1:6" ht="60" x14ac:dyDescent="0.25">
      <c r="A95" s="8" t="s">
        <v>5</v>
      </c>
      <c r="B95" s="8" t="s">
        <v>8</v>
      </c>
      <c r="C95" s="8" t="str">
        <f>IFERROR(_xlfn.XLOOKUP(TRIM(B95),Lookup!$B$2:$B$1000,Lookup!$C$2:$C$1000),"")</f>
        <v>Equity</v>
      </c>
      <c r="D95" s="8" t="s">
        <v>9</v>
      </c>
      <c r="E95" s="9">
        <v>46009</v>
      </c>
      <c r="F95" s="8">
        <v>48.258000000000003</v>
      </c>
    </row>
    <row r="96" spans="1:6" ht="60" x14ac:dyDescent="0.25">
      <c r="A96" s="8" t="s">
        <v>5</v>
      </c>
      <c r="B96" s="8" t="s">
        <v>8</v>
      </c>
      <c r="C96" s="8" t="str">
        <f>IFERROR(_xlfn.XLOOKUP(TRIM(B96),Lookup!$B$2:$B$1000,Lookup!$C$2:$C$1000),"")</f>
        <v>Equity</v>
      </c>
      <c r="D96" s="8" t="s">
        <v>9</v>
      </c>
      <c r="E96" s="9">
        <v>46010</v>
      </c>
      <c r="F96" s="8">
        <v>48.677</v>
      </c>
    </row>
    <row r="97" spans="1:6" ht="60" x14ac:dyDescent="0.25">
      <c r="A97" s="8" t="s">
        <v>5</v>
      </c>
      <c r="B97" s="8" t="s">
        <v>8</v>
      </c>
      <c r="C97" s="8" t="str">
        <f>IFERROR(_xlfn.XLOOKUP(TRIM(B97),Lookup!$B$2:$B$1000,Lookup!$C$2:$C$1000),"")</f>
        <v>Equity</v>
      </c>
      <c r="D97" s="8" t="s">
        <v>9</v>
      </c>
      <c r="E97" s="9">
        <v>46013</v>
      </c>
      <c r="F97" s="8">
        <v>48.988199999999999</v>
      </c>
    </row>
    <row r="98" spans="1:6" ht="60" x14ac:dyDescent="0.25">
      <c r="A98" s="8" t="s">
        <v>5</v>
      </c>
      <c r="B98" s="8" t="s">
        <v>8</v>
      </c>
      <c r="C98" s="8" t="str">
        <f>IFERROR(_xlfn.XLOOKUP(TRIM(B98),Lookup!$B$2:$B$1000,Lookup!$C$2:$C$1000),"")</f>
        <v>Equity</v>
      </c>
      <c r="D98" s="8" t="s">
        <v>9</v>
      </c>
      <c r="E98" s="9">
        <v>46014</v>
      </c>
      <c r="F98" s="8">
        <v>48.976199999999999</v>
      </c>
    </row>
    <row r="99" spans="1:6" ht="60" x14ac:dyDescent="0.25">
      <c r="A99" s="8" t="s">
        <v>5</v>
      </c>
      <c r="B99" s="8" t="s">
        <v>8</v>
      </c>
      <c r="C99" s="8" t="str">
        <f>IFERROR(_xlfn.XLOOKUP(TRIM(B99),Lookup!$B$2:$B$1000,Lookup!$C$2:$C$1000),"")</f>
        <v>Equity</v>
      </c>
      <c r="D99" s="8" t="s">
        <v>9</v>
      </c>
      <c r="E99" s="9">
        <v>46015</v>
      </c>
      <c r="F99" s="8">
        <v>48.899900000000002</v>
      </c>
    </row>
    <row r="100" spans="1:6" ht="60" x14ac:dyDescent="0.25">
      <c r="A100" s="8" t="s">
        <v>5</v>
      </c>
      <c r="B100" s="8" t="s">
        <v>8</v>
      </c>
      <c r="C100" s="8" t="str">
        <f>IFERROR(_xlfn.XLOOKUP(TRIM(B100),Lookup!$B$2:$B$1000,Lookup!$C$2:$C$1000),"")</f>
        <v>Equity</v>
      </c>
      <c r="D100" s="8" t="s">
        <v>9</v>
      </c>
      <c r="E100" s="9">
        <v>46017</v>
      </c>
      <c r="F100" s="8">
        <v>48.735100000000003</v>
      </c>
    </row>
    <row r="101" spans="1:6" ht="60" x14ac:dyDescent="0.25">
      <c r="A101" s="8" t="s">
        <v>5</v>
      </c>
      <c r="B101" s="8" t="s">
        <v>8</v>
      </c>
      <c r="C101" s="8" t="str">
        <f>IFERROR(_xlfn.XLOOKUP(TRIM(B101),Lookup!$B$2:$B$1000,Lookup!$C$2:$C$1000),"")</f>
        <v>Equity</v>
      </c>
      <c r="D101" s="8" t="s">
        <v>9</v>
      </c>
      <c r="E101" s="9">
        <v>46020</v>
      </c>
      <c r="F101" s="8">
        <v>48.5959</v>
      </c>
    </row>
    <row r="102" spans="1:6" ht="60" x14ac:dyDescent="0.25">
      <c r="A102" s="8" t="s">
        <v>5</v>
      </c>
      <c r="B102" s="8" t="s">
        <v>8</v>
      </c>
      <c r="C102" s="8" t="str">
        <f>IFERROR(_xlfn.XLOOKUP(TRIM(B102),Lookup!$B$2:$B$1000,Lookup!$C$2:$C$1000),"")</f>
        <v>Equity</v>
      </c>
      <c r="D102" s="8" t="s">
        <v>9</v>
      </c>
      <c r="E102" s="9">
        <v>46022</v>
      </c>
      <c r="F102" s="8">
        <v>48.982700000000001</v>
      </c>
    </row>
    <row r="103" spans="1:6" ht="60" x14ac:dyDescent="0.25">
      <c r="A103" s="8" t="s">
        <v>5</v>
      </c>
      <c r="B103" s="8" t="s">
        <v>8</v>
      </c>
      <c r="C103" s="8" t="str">
        <f>IFERROR(_xlfn.XLOOKUP(TRIM(B103),Lookup!$B$2:$B$1000,Lookup!$C$2:$C$1000),"")</f>
        <v>Equity</v>
      </c>
      <c r="D103" s="8" t="s">
        <v>9</v>
      </c>
      <c r="E103" s="9">
        <v>46023</v>
      </c>
      <c r="F103" s="8">
        <v>49.0505</v>
      </c>
    </row>
    <row r="104" spans="1:6" ht="60" x14ac:dyDescent="0.25">
      <c r="A104" s="8" t="s">
        <v>5</v>
      </c>
      <c r="B104" s="8" t="s">
        <v>8</v>
      </c>
      <c r="C104" s="8" t="str">
        <f>IFERROR(_xlfn.XLOOKUP(TRIM(B104),Lookup!$B$2:$B$1000,Lookup!$C$2:$C$1000),"")</f>
        <v>Equity</v>
      </c>
      <c r="D104" s="8" t="s">
        <v>9</v>
      </c>
      <c r="E104" s="9">
        <v>46024</v>
      </c>
      <c r="F104" s="8">
        <v>49.363</v>
      </c>
    </row>
    <row r="105" spans="1:6" ht="60" x14ac:dyDescent="0.25">
      <c r="A105" s="8" t="s">
        <v>5</v>
      </c>
      <c r="B105" s="8" t="s">
        <v>8</v>
      </c>
      <c r="C105" s="8" t="str">
        <f>IFERROR(_xlfn.XLOOKUP(TRIM(B105),Lookup!$B$2:$B$1000,Lookup!$C$2:$C$1000),"")</f>
        <v>Equity</v>
      </c>
      <c r="D105" s="8" t="s">
        <v>9</v>
      </c>
      <c r="E105" s="9">
        <v>46027</v>
      </c>
      <c r="F105" s="8">
        <v>49.179299999999998</v>
      </c>
    </row>
    <row r="106" spans="1:6" ht="60" x14ac:dyDescent="0.25">
      <c r="A106" s="8" t="s">
        <v>5</v>
      </c>
      <c r="B106" s="8" t="s">
        <v>8</v>
      </c>
      <c r="C106" s="8" t="str">
        <f>IFERROR(_xlfn.XLOOKUP(TRIM(B106),Lookup!$B$2:$B$1000,Lookup!$C$2:$C$1000),"")</f>
        <v>Equity</v>
      </c>
      <c r="D106" s="8" t="s">
        <v>9</v>
      </c>
      <c r="E106" s="9">
        <v>46028</v>
      </c>
      <c r="F106" s="8">
        <v>49.002000000000002</v>
      </c>
    </row>
    <row r="107" spans="1:6" ht="60" x14ac:dyDescent="0.25">
      <c r="A107" s="8" t="s">
        <v>5</v>
      </c>
      <c r="B107" s="8" t="s">
        <v>8</v>
      </c>
      <c r="C107" s="8" t="str">
        <f>IFERROR(_xlfn.XLOOKUP(TRIM(B107),Lookup!$B$2:$B$1000,Lookup!$C$2:$C$1000),"")</f>
        <v>Equity</v>
      </c>
      <c r="D107" s="8" t="s">
        <v>9</v>
      </c>
      <c r="E107" s="9">
        <v>46029</v>
      </c>
      <c r="F107" s="8">
        <v>48.950600000000001</v>
      </c>
    </row>
    <row r="108" spans="1:6" ht="60" x14ac:dyDescent="0.25">
      <c r="A108" s="8" t="s">
        <v>5</v>
      </c>
      <c r="B108" s="8" t="s">
        <v>8</v>
      </c>
      <c r="C108" s="8" t="str">
        <f>IFERROR(_xlfn.XLOOKUP(TRIM(B108),Lookup!$B$2:$B$1000,Lookup!$C$2:$C$1000),"")</f>
        <v>Equity</v>
      </c>
      <c r="D108" s="8" t="s">
        <v>9</v>
      </c>
      <c r="E108" s="9">
        <v>46030</v>
      </c>
      <c r="F108" s="8">
        <v>48.427100000000003</v>
      </c>
    </row>
    <row r="109" spans="1:6" ht="60" x14ac:dyDescent="0.25">
      <c r="A109" s="8" t="s">
        <v>5</v>
      </c>
      <c r="B109" s="8" t="s">
        <v>8</v>
      </c>
      <c r="C109" s="8" t="str">
        <f>IFERROR(_xlfn.XLOOKUP(TRIM(B109),Lookup!$B$2:$B$1000,Lookup!$C$2:$C$1000),"")</f>
        <v>Equity</v>
      </c>
      <c r="D109" s="8" t="s">
        <v>9</v>
      </c>
      <c r="E109" s="9">
        <v>46031</v>
      </c>
      <c r="F109" s="8">
        <v>48.101900000000001</v>
      </c>
    </row>
    <row r="110" spans="1:6" ht="60" x14ac:dyDescent="0.25">
      <c r="A110" s="8" t="s">
        <v>5</v>
      </c>
      <c r="B110" s="8" t="s">
        <v>8</v>
      </c>
      <c r="C110" s="8" t="str">
        <f>IFERROR(_xlfn.XLOOKUP(TRIM(B110),Lookup!$B$2:$B$1000,Lookup!$C$2:$C$1000),"")</f>
        <v>Equity</v>
      </c>
      <c r="D110" s="8" t="s">
        <v>9</v>
      </c>
      <c r="E110" s="9">
        <v>46034</v>
      </c>
      <c r="F110" s="8">
        <v>48.212600000000002</v>
      </c>
    </row>
    <row r="111" spans="1:6" ht="60" x14ac:dyDescent="0.25">
      <c r="A111" s="8" t="s">
        <v>5</v>
      </c>
      <c r="B111" s="8" t="s">
        <v>8</v>
      </c>
      <c r="C111" s="8" t="str">
        <f>IFERROR(_xlfn.XLOOKUP(TRIM(B111),Lookup!$B$2:$B$1000,Lookup!$C$2:$C$1000),"")</f>
        <v>Equity</v>
      </c>
      <c r="D111" s="8" t="s">
        <v>9</v>
      </c>
      <c r="E111" s="9">
        <v>46035</v>
      </c>
      <c r="F111" s="8">
        <v>48.0428</v>
      </c>
    </row>
    <row r="112" spans="1:6" ht="60" x14ac:dyDescent="0.25">
      <c r="A112" s="8" t="s">
        <v>5</v>
      </c>
      <c r="B112" s="8" t="s">
        <v>8</v>
      </c>
      <c r="C112" s="8" t="str">
        <f>IFERROR(_xlfn.XLOOKUP(TRIM(B112),Lookup!$B$2:$B$1000,Lookup!$C$2:$C$1000),"")</f>
        <v>Equity</v>
      </c>
      <c r="D112" s="8" t="s">
        <v>9</v>
      </c>
      <c r="E112" s="9">
        <v>46036</v>
      </c>
      <c r="F112" s="8">
        <v>48.012700000000002</v>
      </c>
    </row>
    <row r="113" spans="1:6" ht="60" x14ac:dyDescent="0.25">
      <c r="A113" s="8" t="s">
        <v>5</v>
      </c>
      <c r="B113" s="8" t="s">
        <v>8</v>
      </c>
      <c r="C113" s="8" t="str">
        <f>IFERROR(_xlfn.XLOOKUP(TRIM(B113),Lookup!$B$2:$B$1000,Lookup!$C$2:$C$1000),"")</f>
        <v>Equity</v>
      </c>
      <c r="D113" s="8" t="s">
        <v>9</v>
      </c>
      <c r="E113" s="9">
        <v>46038</v>
      </c>
      <c r="F113" s="8">
        <v>48.1267</v>
      </c>
    </row>
    <row r="114" spans="1:6" ht="60" x14ac:dyDescent="0.25">
      <c r="A114" s="8" t="s">
        <v>5</v>
      </c>
      <c r="B114" s="8" t="s">
        <v>8</v>
      </c>
      <c r="C114" s="8" t="str">
        <f>IFERROR(_xlfn.XLOOKUP(TRIM(B114),Lookup!$B$2:$B$1000,Lookup!$C$2:$C$1000),"")</f>
        <v>Equity</v>
      </c>
      <c r="D114" s="8" t="s">
        <v>9</v>
      </c>
      <c r="E114" s="9">
        <v>46041</v>
      </c>
      <c r="F114" s="8">
        <v>47.959400000000002</v>
      </c>
    </row>
    <row r="115" spans="1:6" ht="60" x14ac:dyDescent="0.25">
      <c r="A115" s="8" t="s">
        <v>5</v>
      </c>
      <c r="B115" s="8" t="s">
        <v>8</v>
      </c>
      <c r="C115" s="8" t="str">
        <f>IFERROR(_xlfn.XLOOKUP(TRIM(B115),Lookup!$B$2:$B$1000,Lookup!$C$2:$C$1000),"")</f>
        <v>Equity</v>
      </c>
      <c r="D115" s="8" t="s">
        <v>9</v>
      </c>
      <c r="E115" s="9">
        <v>46042</v>
      </c>
      <c r="F115" s="8">
        <v>47.2729</v>
      </c>
    </row>
    <row r="116" spans="1:6" ht="60" x14ac:dyDescent="0.25">
      <c r="A116" s="8" t="s">
        <v>5</v>
      </c>
      <c r="B116" s="8" t="s">
        <v>8</v>
      </c>
      <c r="C116" s="8" t="str">
        <f>IFERROR(_xlfn.XLOOKUP(TRIM(B116),Lookup!$B$2:$B$1000,Lookup!$C$2:$C$1000),"")</f>
        <v>Equity</v>
      </c>
      <c r="D116" s="8" t="s">
        <v>9</v>
      </c>
      <c r="E116" s="9">
        <v>46043</v>
      </c>
      <c r="F116" s="8">
        <v>47.140900000000002</v>
      </c>
    </row>
    <row r="117" spans="1:6" ht="60" x14ac:dyDescent="0.25">
      <c r="A117" s="8" t="s">
        <v>5</v>
      </c>
      <c r="B117" s="8" t="s">
        <v>8</v>
      </c>
      <c r="C117" s="8" t="str">
        <f>IFERROR(_xlfn.XLOOKUP(TRIM(B117),Lookup!$B$2:$B$1000,Lookup!$C$2:$C$1000),"")</f>
        <v>Equity</v>
      </c>
      <c r="D117" s="8" t="s">
        <v>9</v>
      </c>
      <c r="E117" s="9">
        <v>46044</v>
      </c>
      <c r="F117" s="8">
        <v>47.400700000000001</v>
      </c>
    </row>
    <row r="118" spans="1:6" ht="60" x14ac:dyDescent="0.25">
      <c r="A118" s="8" t="s">
        <v>5</v>
      </c>
      <c r="B118" s="8" t="s">
        <v>8</v>
      </c>
      <c r="C118" s="8" t="str">
        <f>IFERROR(_xlfn.XLOOKUP(TRIM(B118),Lookup!$B$2:$B$1000,Lookup!$C$2:$C$1000),"")</f>
        <v>Equity</v>
      </c>
      <c r="D118" s="8" t="s">
        <v>9</v>
      </c>
      <c r="E118" s="9">
        <v>46045</v>
      </c>
      <c r="F118" s="8">
        <v>46.876300000000001</v>
      </c>
    </row>
    <row r="119" spans="1:6" ht="60" x14ac:dyDescent="0.25">
      <c r="A119" s="8" t="s">
        <v>5</v>
      </c>
      <c r="B119" s="8" t="s">
        <v>8</v>
      </c>
      <c r="C119" s="8" t="str">
        <f>IFERROR(_xlfn.XLOOKUP(TRIM(B119),Lookup!$B$2:$B$1000,Lookup!$C$2:$C$1000),"")</f>
        <v>Equity</v>
      </c>
      <c r="D119" s="8" t="s">
        <v>9</v>
      </c>
      <c r="E119" s="9">
        <v>46049</v>
      </c>
      <c r="F119" s="8">
        <v>47.099200000000003</v>
      </c>
    </row>
    <row r="120" spans="1:6" ht="60" x14ac:dyDescent="0.25">
      <c r="A120" s="8" t="s">
        <v>5</v>
      </c>
      <c r="B120" s="8" t="s">
        <v>8</v>
      </c>
      <c r="C120" s="8" t="str">
        <f>IFERROR(_xlfn.XLOOKUP(TRIM(B120),Lookup!$B$2:$B$1000,Lookup!$C$2:$C$1000),"")</f>
        <v>Equity</v>
      </c>
      <c r="D120" s="8" t="s">
        <v>9</v>
      </c>
      <c r="E120" s="9">
        <v>46050</v>
      </c>
      <c r="F120" s="8">
        <v>47.410400000000003</v>
      </c>
    </row>
    <row r="121" spans="1:6" ht="60" x14ac:dyDescent="0.25">
      <c r="A121" s="8" t="s">
        <v>5</v>
      </c>
      <c r="B121" s="8" t="s">
        <v>8</v>
      </c>
      <c r="C121" s="8" t="str">
        <f>IFERROR(_xlfn.XLOOKUP(TRIM(B121),Lookup!$B$2:$B$1000,Lookup!$C$2:$C$1000),"")</f>
        <v>Equity</v>
      </c>
      <c r="D121" s="8" t="s">
        <v>9</v>
      </c>
      <c r="E121" s="9">
        <v>46051</v>
      </c>
      <c r="F121" s="8">
        <v>47.5685</v>
      </c>
    </row>
    <row r="122" spans="1:6" ht="60" x14ac:dyDescent="0.25">
      <c r="A122" s="8" t="s">
        <v>5</v>
      </c>
      <c r="B122" s="8" t="s">
        <v>8</v>
      </c>
      <c r="C122" s="8" t="str">
        <f>IFERROR(_xlfn.XLOOKUP(TRIM(B122),Lookup!$B$2:$B$1000,Lookup!$C$2:$C$1000),"")</f>
        <v>Equity</v>
      </c>
      <c r="D122" s="8" t="s">
        <v>9</v>
      </c>
      <c r="E122" s="9">
        <v>46052</v>
      </c>
      <c r="F122" s="8">
        <v>47.5261</v>
      </c>
    </row>
    <row r="123" spans="1:6" ht="60" x14ac:dyDescent="0.25">
      <c r="A123" s="8" t="s">
        <v>5</v>
      </c>
      <c r="B123" s="8" t="s">
        <v>8</v>
      </c>
      <c r="C123" s="8" t="str">
        <f>IFERROR(_xlfn.XLOOKUP(TRIM(B123),Lookup!$B$2:$B$1000,Lookup!$C$2:$C$1000),"")</f>
        <v>Equity</v>
      </c>
      <c r="D123" s="8" t="s">
        <v>9</v>
      </c>
      <c r="E123" s="9">
        <v>46054</v>
      </c>
      <c r="F123" s="8">
        <v>46.671100000000003</v>
      </c>
    </row>
    <row r="124" spans="1:6" ht="60" x14ac:dyDescent="0.25">
      <c r="A124" s="8" t="s">
        <v>5</v>
      </c>
      <c r="B124" s="8" t="s">
        <v>8</v>
      </c>
      <c r="C124" s="8" t="str">
        <f>IFERROR(_xlfn.XLOOKUP(TRIM(B124),Lookup!$B$2:$B$1000,Lookup!$C$2:$C$1000),"")</f>
        <v>Equity</v>
      </c>
      <c r="D124" s="8" t="s">
        <v>9</v>
      </c>
      <c r="E124" s="9">
        <v>46055</v>
      </c>
      <c r="F124" s="8">
        <v>46.991500000000002</v>
      </c>
    </row>
    <row r="125" spans="1:6" ht="60" x14ac:dyDescent="0.25">
      <c r="A125" s="8" t="s">
        <v>5</v>
      </c>
      <c r="B125" s="8" t="s">
        <v>8</v>
      </c>
      <c r="C125" s="8" t="str">
        <f>IFERROR(_xlfn.XLOOKUP(TRIM(B125),Lookup!$B$2:$B$1000,Lookup!$C$2:$C$1000),"")</f>
        <v>Equity</v>
      </c>
      <c r="D125" s="8" t="s">
        <v>9</v>
      </c>
      <c r="E125" s="9">
        <v>46056</v>
      </c>
      <c r="F125" s="8">
        <v>48.170499999999997</v>
      </c>
    </row>
    <row r="126" spans="1:6" ht="60" x14ac:dyDescent="0.25">
      <c r="A126" s="8" t="s">
        <v>5</v>
      </c>
      <c r="B126" s="8" t="s">
        <v>8</v>
      </c>
      <c r="C126" s="8" t="str">
        <f>IFERROR(_xlfn.XLOOKUP(TRIM(B126),Lookup!$B$2:$B$1000,Lookup!$C$2:$C$1000),"")</f>
        <v>Equity</v>
      </c>
      <c r="D126" s="8" t="s">
        <v>9</v>
      </c>
      <c r="E126" s="9">
        <v>46057</v>
      </c>
      <c r="F126" s="8">
        <v>48.233800000000002</v>
      </c>
    </row>
    <row r="127" spans="1:6" ht="60" x14ac:dyDescent="0.25">
      <c r="A127" s="8" t="s">
        <v>5</v>
      </c>
      <c r="B127" s="8" t="s">
        <v>8</v>
      </c>
      <c r="C127" s="8" t="str">
        <f>IFERROR(_xlfn.XLOOKUP(TRIM(B127),Lookup!$B$2:$B$1000,Lookup!$C$2:$C$1000),"")</f>
        <v>Equity</v>
      </c>
      <c r="D127" s="8" t="s">
        <v>9</v>
      </c>
      <c r="E127" s="9">
        <v>46058</v>
      </c>
      <c r="F127" s="8">
        <v>48.009300000000003</v>
      </c>
    </row>
    <row r="128" spans="1:6" ht="60" x14ac:dyDescent="0.25">
      <c r="A128" s="8" t="s">
        <v>5</v>
      </c>
      <c r="B128" s="8" t="s">
        <v>8</v>
      </c>
      <c r="C128" s="8" t="str">
        <f>IFERROR(_xlfn.XLOOKUP(TRIM(B128),Lookup!$B$2:$B$1000,Lookup!$C$2:$C$1000),"")</f>
        <v>Equity</v>
      </c>
      <c r="D128" s="8" t="s">
        <v>9</v>
      </c>
      <c r="E128" s="9">
        <v>46059</v>
      </c>
      <c r="F128" s="8">
        <v>48.099400000000003</v>
      </c>
    </row>
    <row r="129" spans="1:6" ht="60" x14ac:dyDescent="0.25">
      <c r="A129" s="8" t="s">
        <v>5</v>
      </c>
      <c r="B129" s="8" t="s">
        <v>8</v>
      </c>
      <c r="C129" s="8" t="str">
        <f>IFERROR(_xlfn.XLOOKUP(TRIM(B129),Lookup!$B$2:$B$1000,Lookup!$C$2:$C$1000),"")</f>
        <v>Equity</v>
      </c>
      <c r="D129" s="8" t="s">
        <v>9</v>
      </c>
      <c r="E129" s="9">
        <v>46062</v>
      </c>
      <c r="F129" s="8">
        <v>48.471899999999998</v>
      </c>
    </row>
    <row r="130" spans="1:6" ht="60" x14ac:dyDescent="0.25">
      <c r="A130" s="8" t="s">
        <v>5</v>
      </c>
      <c r="B130" s="8" t="s">
        <v>8</v>
      </c>
      <c r="C130" s="8" t="str">
        <f>IFERROR(_xlfn.XLOOKUP(TRIM(B130),Lookup!$B$2:$B$1000,Lookup!$C$2:$C$1000),"")</f>
        <v>Equity</v>
      </c>
      <c r="D130" s="8" t="s">
        <v>9</v>
      </c>
      <c r="E130" s="9">
        <v>46063</v>
      </c>
      <c r="F130" s="8">
        <v>48.595700000000001</v>
      </c>
    </row>
    <row r="131" spans="1:6" ht="60" x14ac:dyDescent="0.25">
      <c r="A131" s="8" t="s">
        <v>5</v>
      </c>
      <c r="B131" s="8" t="s">
        <v>8</v>
      </c>
      <c r="C131" s="8" t="str">
        <f>IFERROR(_xlfn.XLOOKUP(TRIM(B131),Lookup!$B$2:$B$1000,Lookup!$C$2:$C$1000),"")</f>
        <v>Equity</v>
      </c>
      <c r="D131" s="8" t="s">
        <v>9</v>
      </c>
      <c r="E131" s="9">
        <v>46064</v>
      </c>
      <c r="F131" s="8">
        <v>48.626399999999997</v>
      </c>
    </row>
    <row r="132" spans="1:6" ht="60" x14ac:dyDescent="0.25">
      <c r="A132" s="8" t="s">
        <v>5</v>
      </c>
      <c r="B132" s="8" t="s">
        <v>8</v>
      </c>
      <c r="C132" s="8" t="str">
        <f>IFERROR(_xlfn.XLOOKUP(TRIM(B132),Lookup!$B$2:$B$1000,Lookup!$C$2:$C$1000),"")</f>
        <v>Equity</v>
      </c>
      <c r="D132" s="8" t="s">
        <v>9</v>
      </c>
      <c r="E132" s="9">
        <v>46065</v>
      </c>
      <c r="F132" s="8">
        <v>48.351799999999997</v>
      </c>
    </row>
    <row r="133" spans="1:6" ht="60" x14ac:dyDescent="0.25">
      <c r="A133" s="8" t="s">
        <v>5</v>
      </c>
      <c r="B133" s="8" t="s">
        <v>8</v>
      </c>
      <c r="C133" s="8" t="str">
        <f>IFERROR(_xlfn.XLOOKUP(TRIM(B133),Lookup!$B$2:$B$1000,Lookup!$C$2:$C$1000),"")</f>
        <v>Equity</v>
      </c>
      <c r="D133" s="8" t="s">
        <v>9</v>
      </c>
      <c r="E133" s="9">
        <v>46066</v>
      </c>
      <c r="F133" s="8">
        <v>47.749000000000002</v>
      </c>
    </row>
    <row r="134" spans="1:6" ht="60" x14ac:dyDescent="0.25">
      <c r="A134" s="8" t="s">
        <v>5</v>
      </c>
      <c r="B134" s="8" t="s">
        <v>8</v>
      </c>
      <c r="C134" s="8" t="str">
        <f>IFERROR(_xlfn.XLOOKUP(TRIM(B134),Lookup!$B$2:$B$1000,Lookup!$C$2:$C$1000),"")</f>
        <v>Equity</v>
      </c>
      <c r="D134" s="8" t="s">
        <v>9</v>
      </c>
      <c r="E134" s="9">
        <v>46069</v>
      </c>
      <c r="F134" s="8">
        <v>48.098999999999997</v>
      </c>
    </row>
    <row r="135" spans="1:6" ht="60" x14ac:dyDescent="0.25">
      <c r="A135" s="8" t="s">
        <v>5</v>
      </c>
      <c r="B135" s="8" t="s">
        <v>8</v>
      </c>
      <c r="C135" s="8" t="str">
        <f>IFERROR(_xlfn.XLOOKUP(TRIM(B135),Lookup!$B$2:$B$1000,Lookup!$C$2:$C$1000),"")</f>
        <v>Equity</v>
      </c>
      <c r="D135" s="8" t="s">
        <v>9</v>
      </c>
      <c r="E135" s="9">
        <v>46070</v>
      </c>
      <c r="F135" s="8">
        <v>48.201500000000003</v>
      </c>
    </row>
    <row r="136" spans="1:6" ht="60" x14ac:dyDescent="0.25">
      <c r="A136" s="8" t="s">
        <v>5</v>
      </c>
      <c r="B136" s="8" t="s">
        <v>8</v>
      </c>
      <c r="C136" s="8" t="str">
        <f>IFERROR(_xlfn.XLOOKUP(TRIM(B136),Lookup!$B$2:$B$1000,Lookup!$C$2:$C$1000),"")</f>
        <v>Equity</v>
      </c>
      <c r="D136" s="8" t="s">
        <v>9</v>
      </c>
      <c r="E136" s="9">
        <v>46071</v>
      </c>
      <c r="F136" s="8">
        <v>48.391399999999997</v>
      </c>
    </row>
    <row r="137" spans="1:6" ht="60" x14ac:dyDescent="0.25">
      <c r="A137" s="8" t="s">
        <v>5</v>
      </c>
      <c r="B137" s="8" t="s">
        <v>8</v>
      </c>
      <c r="C137" s="8" t="str">
        <f>IFERROR(_xlfn.XLOOKUP(TRIM(B137),Lookup!$B$2:$B$1000,Lookup!$C$2:$C$1000),"")</f>
        <v>Equity</v>
      </c>
      <c r="D137" s="8" t="s">
        <v>9</v>
      </c>
      <c r="E137" s="9">
        <v>46072</v>
      </c>
      <c r="F137" s="8">
        <v>47.762900000000002</v>
      </c>
    </row>
    <row r="138" spans="1:6" ht="60" x14ac:dyDescent="0.25">
      <c r="A138" s="8" t="s">
        <v>5</v>
      </c>
      <c r="B138" s="8" t="s">
        <v>8</v>
      </c>
      <c r="C138" s="8" t="str">
        <f>IFERROR(_xlfn.XLOOKUP(TRIM(B138),Lookup!$B$2:$B$1000,Lookup!$C$2:$C$1000),"")</f>
        <v>Equity</v>
      </c>
      <c r="D138" s="8" t="s">
        <v>9</v>
      </c>
      <c r="E138" s="9">
        <v>46073</v>
      </c>
      <c r="F138" s="8">
        <v>47.950099999999999</v>
      </c>
    </row>
    <row r="139" spans="1:6" ht="60" x14ac:dyDescent="0.25">
      <c r="A139" s="8" t="s">
        <v>5</v>
      </c>
      <c r="B139" s="8" t="s">
        <v>8</v>
      </c>
      <c r="C139" s="8" t="str">
        <f>IFERROR(_xlfn.XLOOKUP(TRIM(B139),Lookup!$B$2:$B$1000,Lookup!$C$2:$C$1000),"")</f>
        <v>Equity</v>
      </c>
      <c r="D139" s="8" t="s">
        <v>9</v>
      </c>
      <c r="E139" s="9">
        <v>46076</v>
      </c>
      <c r="F139" s="8">
        <v>48.168700000000001</v>
      </c>
    </row>
    <row r="140" spans="1:6" ht="60" x14ac:dyDescent="0.25">
      <c r="A140" s="8" t="s">
        <v>5</v>
      </c>
      <c r="B140" s="8" t="s">
        <v>8</v>
      </c>
      <c r="C140" s="8" t="str">
        <f>IFERROR(_xlfn.XLOOKUP(TRIM(B140),Lookup!$B$2:$B$1000,Lookup!$C$2:$C$1000),"")</f>
        <v>Equity</v>
      </c>
      <c r="D140" s="8" t="s">
        <v>9</v>
      </c>
      <c r="E140" s="9">
        <v>46077</v>
      </c>
      <c r="F140" s="8">
        <v>47.667700000000004</v>
      </c>
    </row>
    <row r="141" spans="1:6" ht="60" x14ac:dyDescent="0.25">
      <c r="A141" s="8" t="s">
        <v>5</v>
      </c>
      <c r="B141" s="8" t="s">
        <v>8</v>
      </c>
      <c r="C141" s="8" t="str">
        <f>IFERROR(_xlfn.XLOOKUP(TRIM(B141),Lookup!$B$2:$B$1000,Lookup!$C$2:$C$1000),"")</f>
        <v>Equity</v>
      </c>
      <c r="D141" s="8" t="s">
        <v>9</v>
      </c>
      <c r="E141" s="9">
        <v>46078</v>
      </c>
      <c r="F141" s="8">
        <v>47.759500000000003</v>
      </c>
    </row>
    <row r="142" spans="1:6" ht="60" x14ac:dyDescent="0.25">
      <c r="A142" s="8" t="s">
        <v>5</v>
      </c>
      <c r="B142" s="8" t="s">
        <v>8</v>
      </c>
      <c r="C142" s="8" t="str">
        <f>IFERROR(_xlfn.XLOOKUP(TRIM(B142),Lookup!$B$2:$B$1000,Lookup!$C$2:$C$1000),"")</f>
        <v>Equity</v>
      </c>
      <c r="D142" s="8" t="s">
        <v>9</v>
      </c>
      <c r="E142" s="9">
        <v>46079</v>
      </c>
      <c r="F142" s="8">
        <v>47.777299999999997</v>
      </c>
    </row>
    <row r="143" spans="1:6" ht="60" x14ac:dyDescent="0.25">
      <c r="A143" s="8" t="s">
        <v>5</v>
      </c>
      <c r="B143" s="8" t="s">
        <v>8</v>
      </c>
      <c r="C143" s="8" t="str">
        <f>IFERROR(_xlfn.XLOOKUP(TRIM(B143),Lookup!$B$2:$B$1000,Lookup!$C$2:$C$1000),"")</f>
        <v>Equity</v>
      </c>
      <c r="D143" s="8" t="s">
        <v>9</v>
      </c>
      <c r="E143" s="9">
        <v>46080</v>
      </c>
      <c r="F143" s="8">
        <v>47.253300000000003</v>
      </c>
    </row>
    <row r="144" spans="1:6" ht="60" x14ac:dyDescent="0.25">
      <c r="A144" s="8" t="s">
        <v>5</v>
      </c>
      <c r="B144" s="8" t="s">
        <v>8</v>
      </c>
      <c r="C144" s="8" t="str">
        <f>IFERROR(_xlfn.XLOOKUP(TRIM(B144),Lookup!$B$2:$B$1000,Lookup!$C$2:$C$1000),"")</f>
        <v>Equity</v>
      </c>
      <c r="D144" s="8" t="s">
        <v>9</v>
      </c>
      <c r="E144" s="9">
        <v>46083</v>
      </c>
      <c r="F144" s="8">
        <v>46.587800000000001</v>
      </c>
    </row>
    <row r="145" spans="1:6" ht="60" x14ac:dyDescent="0.25">
      <c r="A145" s="8" t="s">
        <v>5</v>
      </c>
      <c r="B145" s="8" t="s">
        <v>8</v>
      </c>
      <c r="C145" s="8" t="str">
        <f>IFERROR(_xlfn.XLOOKUP(TRIM(B145),Lookup!$B$2:$B$1000,Lookup!$C$2:$C$1000),"")</f>
        <v>Equity</v>
      </c>
      <c r="D145" s="8" t="s">
        <v>9</v>
      </c>
      <c r="E145" s="9">
        <v>46085</v>
      </c>
      <c r="F145" s="8">
        <v>45.7789</v>
      </c>
    </row>
    <row r="146" spans="1:6" ht="60" x14ac:dyDescent="0.25">
      <c r="A146" s="8" t="s">
        <v>5</v>
      </c>
      <c r="B146" s="8" t="s">
        <v>8</v>
      </c>
      <c r="C146" s="8" t="str">
        <f>IFERROR(_xlfn.XLOOKUP(TRIM(B146),Lookup!$B$2:$B$1000,Lookup!$C$2:$C$1000),"")</f>
        <v>Equity</v>
      </c>
      <c r="D146" s="8" t="s">
        <v>9</v>
      </c>
      <c r="E146" s="9">
        <v>46086</v>
      </c>
      <c r="F146" s="8">
        <v>46.343400000000003</v>
      </c>
    </row>
    <row r="147" spans="1:6" ht="60" x14ac:dyDescent="0.25">
      <c r="A147" s="8" t="s">
        <v>5</v>
      </c>
      <c r="B147" s="8" t="s">
        <v>8</v>
      </c>
      <c r="C147" s="8" t="str">
        <f>IFERROR(_xlfn.XLOOKUP(TRIM(B147),Lookup!$B$2:$B$1000,Lookup!$C$2:$C$1000),"")</f>
        <v>Equity</v>
      </c>
      <c r="D147" s="8" t="s">
        <v>9</v>
      </c>
      <c r="E147" s="9">
        <v>46087</v>
      </c>
      <c r="F147" s="8">
        <v>45.804299999999998</v>
      </c>
    </row>
    <row r="148" spans="1:6" ht="60" x14ac:dyDescent="0.25">
      <c r="A148" s="8" t="s">
        <v>5</v>
      </c>
      <c r="B148" s="8" t="s">
        <v>8</v>
      </c>
      <c r="C148" s="8" t="str">
        <f>IFERROR(_xlfn.XLOOKUP(TRIM(B148),Lookup!$B$2:$B$1000,Lookup!$C$2:$C$1000),"")</f>
        <v>Equity</v>
      </c>
      <c r="D148" s="8" t="s">
        <v>9</v>
      </c>
      <c r="E148" s="9">
        <v>46090</v>
      </c>
      <c r="F148" s="8">
        <v>44.991199999999999</v>
      </c>
    </row>
    <row r="149" spans="1:6" ht="60" x14ac:dyDescent="0.25">
      <c r="A149" s="8" t="s">
        <v>5</v>
      </c>
      <c r="B149" s="8" t="s">
        <v>8</v>
      </c>
      <c r="C149" s="8" t="str">
        <f>IFERROR(_xlfn.XLOOKUP(TRIM(B149),Lookup!$B$2:$B$1000,Lookup!$C$2:$C$1000),"")</f>
        <v>Equity</v>
      </c>
      <c r="D149" s="8" t="s">
        <v>9</v>
      </c>
      <c r="E149" s="9">
        <v>46091</v>
      </c>
      <c r="F149" s="8">
        <v>45.410200000000003</v>
      </c>
    </row>
    <row r="150" spans="1:6" ht="60" x14ac:dyDescent="0.25">
      <c r="A150" s="8" t="s">
        <v>5</v>
      </c>
      <c r="B150" s="8" t="s">
        <v>8</v>
      </c>
      <c r="C150" s="8" t="str">
        <f>IFERROR(_xlfn.XLOOKUP(TRIM(B150),Lookup!$B$2:$B$1000,Lookup!$C$2:$C$1000),"")</f>
        <v>Equity</v>
      </c>
      <c r="D150" s="8" t="s">
        <v>9</v>
      </c>
      <c r="E150" s="9">
        <v>46092</v>
      </c>
      <c r="F150" s="8">
        <v>44.645600000000002</v>
      </c>
    </row>
    <row r="151" spans="1:6" ht="60" x14ac:dyDescent="0.25">
      <c r="A151" s="8" t="s">
        <v>5</v>
      </c>
      <c r="B151" s="8" t="s">
        <v>8</v>
      </c>
      <c r="C151" s="8" t="str">
        <f>IFERROR(_xlfn.XLOOKUP(TRIM(B151),Lookup!$B$2:$B$1000,Lookup!$C$2:$C$1000),"")</f>
        <v>Equity</v>
      </c>
      <c r="D151" s="8" t="s">
        <v>9</v>
      </c>
      <c r="E151" s="9">
        <v>46093</v>
      </c>
      <c r="F151" s="8">
        <v>44.187199999999997</v>
      </c>
    </row>
    <row r="152" spans="1:6" ht="60" x14ac:dyDescent="0.25">
      <c r="A152" s="8" t="s">
        <v>5</v>
      </c>
      <c r="B152" s="8" t="s">
        <v>8</v>
      </c>
      <c r="C152" s="8" t="str">
        <f>IFERROR(_xlfn.XLOOKUP(TRIM(B152),Lookup!$B$2:$B$1000,Lookup!$C$2:$C$1000),"")</f>
        <v>Equity</v>
      </c>
      <c r="D152" s="8" t="s">
        <v>9</v>
      </c>
      <c r="E152" s="9">
        <v>46094</v>
      </c>
      <c r="F152" s="8">
        <v>43.212699999999998</v>
      </c>
    </row>
    <row r="153" spans="1:6" ht="60" x14ac:dyDescent="0.25">
      <c r="A153" s="8" t="s">
        <v>5</v>
      </c>
      <c r="B153" s="8" t="s">
        <v>8</v>
      </c>
      <c r="C153" s="8" t="str">
        <f>IFERROR(_xlfn.XLOOKUP(TRIM(B153),Lookup!$B$2:$B$1000,Lookup!$C$2:$C$1000),"")</f>
        <v>Equity</v>
      </c>
      <c r="D153" s="8" t="s">
        <v>9</v>
      </c>
      <c r="E153" s="9">
        <v>46097</v>
      </c>
      <c r="F153" s="8">
        <v>43.519199999999998</v>
      </c>
    </row>
    <row r="154" spans="1:6" ht="60" x14ac:dyDescent="0.25">
      <c r="A154" s="8" t="s">
        <v>5</v>
      </c>
      <c r="B154" s="8" t="s">
        <v>8</v>
      </c>
      <c r="C154" s="8" t="str">
        <f>IFERROR(_xlfn.XLOOKUP(TRIM(B154),Lookup!$B$2:$B$1000,Lookup!$C$2:$C$1000),"")</f>
        <v>Equity</v>
      </c>
      <c r="D154" s="8" t="s">
        <v>9</v>
      </c>
      <c r="E154" s="9">
        <v>46098</v>
      </c>
      <c r="F154" s="8">
        <v>43.838099999999997</v>
      </c>
    </row>
    <row r="155" spans="1:6" ht="60" x14ac:dyDescent="0.25">
      <c r="A155" s="8" t="s">
        <v>5</v>
      </c>
      <c r="B155" s="8" t="s">
        <v>8</v>
      </c>
      <c r="C155" s="8" t="str">
        <f>IFERROR(_xlfn.XLOOKUP(TRIM(B155),Lookup!$B$2:$B$1000,Lookup!$C$2:$C$1000),"")</f>
        <v>Equity</v>
      </c>
      <c r="D155" s="8" t="s">
        <v>9</v>
      </c>
      <c r="E155" s="9">
        <v>46099</v>
      </c>
      <c r="F155" s="8">
        <v>44.335799999999999</v>
      </c>
    </row>
    <row r="156" spans="1:6" ht="60" x14ac:dyDescent="0.25">
      <c r="A156" s="8" t="s">
        <v>5</v>
      </c>
      <c r="B156" s="8" t="s">
        <v>8</v>
      </c>
      <c r="C156" s="8" t="str">
        <f>IFERROR(_xlfn.XLOOKUP(TRIM(B156),Lookup!$B$2:$B$1000,Lookup!$C$2:$C$1000),"")</f>
        <v>Equity</v>
      </c>
      <c r="D156" s="8" t="s">
        <v>9</v>
      </c>
      <c r="E156" s="9">
        <v>46100</v>
      </c>
      <c r="F156" s="8">
        <v>42.894199999999998</v>
      </c>
    </row>
    <row r="157" spans="1:6" ht="60" x14ac:dyDescent="0.25">
      <c r="A157" s="8" t="s">
        <v>5</v>
      </c>
      <c r="B157" s="8" t="s">
        <v>8</v>
      </c>
      <c r="C157" s="8" t="str">
        <f>IFERROR(_xlfn.XLOOKUP(TRIM(B157),Lookup!$B$2:$B$1000,Lookup!$C$2:$C$1000),"")</f>
        <v>Equity</v>
      </c>
      <c r="D157" s="8" t="s">
        <v>9</v>
      </c>
      <c r="E157" s="9">
        <v>46101</v>
      </c>
      <c r="F157" s="8">
        <v>43.101199999999999</v>
      </c>
    </row>
    <row r="158" spans="1:6" ht="60" x14ac:dyDescent="0.25">
      <c r="A158" s="8" t="s">
        <v>5</v>
      </c>
      <c r="B158" s="8" t="s">
        <v>8</v>
      </c>
      <c r="C158" s="8" t="str">
        <f>IFERROR(_xlfn.XLOOKUP(TRIM(B158),Lookup!$B$2:$B$1000,Lookup!$C$2:$C$1000),"")</f>
        <v>Equity</v>
      </c>
      <c r="D158" s="8" t="s">
        <v>9</v>
      </c>
      <c r="E158" s="9">
        <v>46104</v>
      </c>
      <c r="F158" s="8">
        <v>41.928800000000003</v>
      </c>
    </row>
    <row r="159" spans="1:6" ht="60" x14ac:dyDescent="0.25">
      <c r="A159" s="8" t="s">
        <v>5</v>
      </c>
      <c r="B159" s="8" t="s">
        <v>8</v>
      </c>
      <c r="C159" s="8" t="str">
        <f>IFERROR(_xlfn.XLOOKUP(TRIM(B159),Lookup!$B$2:$B$1000,Lookup!$C$2:$C$1000),"")</f>
        <v>Equity</v>
      </c>
      <c r="D159" s="8" t="s">
        <v>9</v>
      </c>
      <c r="E159" s="9">
        <v>46105</v>
      </c>
      <c r="F159" s="8">
        <v>42.728099999999998</v>
      </c>
    </row>
    <row r="160" spans="1:6" ht="60" x14ac:dyDescent="0.25">
      <c r="A160" s="8" t="s">
        <v>5</v>
      </c>
      <c r="B160" s="8" t="s">
        <v>8</v>
      </c>
      <c r="C160" s="8" t="str">
        <f>IFERROR(_xlfn.XLOOKUP(TRIM(B160),Lookup!$B$2:$B$1000,Lookup!$C$2:$C$1000),"")</f>
        <v>Equity</v>
      </c>
      <c r="D160" s="8" t="s">
        <v>9</v>
      </c>
      <c r="E160" s="9">
        <v>46106</v>
      </c>
      <c r="F160" s="8">
        <v>43.566000000000003</v>
      </c>
    </row>
    <row r="161" spans="1:6" ht="60" x14ac:dyDescent="0.25">
      <c r="A161" s="8" t="s">
        <v>5</v>
      </c>
      <c r="B161" s="8" t="s">
        <v>8</v>
      </c>
      <c r="C161" s="8" t="str">
        <f>IFERROR(_xlfn.XLOOKUP(TRIM(B161),Lookup!$B$2:$B$1000,Lookup!$C$2:$C$1000),"")</f>
        <v>Equity</v>
      </c>
      <c r="D161" s="8" t="s">
        <v>9</v>
      </c>
      <c r="E161" s="9">
        <v>46108</v>
      </c>
      <c r="F161" s="8">
        <v>42.667900000000003</v>
      </c>
    </row>
    <row r="162" spans="1:6" ht="60" x14ac:dyDescent="0.25">
      <c r="A162" s="8" t="s">
        <v>5</v>
      </c>
      <c r="B162" s="8" t="s">
        <v>8</v>
      </c>
      <c r="C162" s="8" t="str">
        <f>IFERROR(_xlfn.XLOOKUP(TRIM(B162),Lookup!$B$2:$B$1000,Lookup!$C$2:$C$1000),"")</f>
        <v>Equity</v>
      </c>
      <c r="D162" s="8" t="s">
        <v>9</v>
      </c>
      <c r="E162" s="9">
        <v>46111</v>
      </c>
      <c r="F162" s="8">
        <v>41.7014</v>
      </c>
    </row>
    <row r="163" spans="1:6" ht="60" x14ac:dyDescent="0.25">
      <c r="A163" s="8" t="s">
        <v>5</v>
      </c>
      <c r="B163" s="8" t="s">
        <v>8</v>
      </c>
      <c r="C163" s="8" t="str">
        <f>IFERROR(_xlfn.XLOOKUP(TRIM(B163),Lookup!$B$2:$B$1000,Lookup!$C$2:$C$1000),"")</f>
        <v>Equity</v>
      </c>
      <c r="D163" s="8" t="s">
        <v>9</v>
      </c>
      <c r="E163" s="9">
        <v>46113</v>
      </c>
      <c r="F163" s="8">
        <v>42.502099999999999</v>
      </c>
    </row>
    <row r="164" spans="1:6" ht="60" x14ac:dyDescent="0.25">
      <c r="A164" s="8" t="s">
        <v>5</v>
      </c>
      <c r="B164" s="8" t="s">
        <v>8</v>
      </c>
      <c r="C164" s="8" t="str">
        <f>IFERROR(_xlfn.XLOOKUP(TRIM(B164),Lookup!$B$2:$B$1000,Lookup!$C$2:$C$1000),"")</f>
        <v>Equity</v>
      </c>
      <c r="D164" s="8" t="s">
        <v>9</v>
      </c>
      <c r="E164" s="9">
        <v>46114</v>
      </c>
      <c r="F164" s="8">
        <v>42.502600000000001</v>
      </c>
    </row>
    <row r="165" spans="1:6" ht="60" x14ac:dyDescent="0.25">
      <c r="A165" s="8" t="s">
        <v>5</v>
      </c>
      <c r="B165" s="8" t="s">
        <v>8</v>
      </c>
      <c r="C165" s="8" t="str">
        <f>IFERROR(_xlfn.XLOOKUP(TRIM(B165),Lookup!$B$2:$B$1000,Lookup!$C$2:$C$1000),"")</f>
        <v>Equity</v>
      </c>
      <c r="D165" s="8" t="s">
        <v>9</v>
      </c>
      <c r="E165" s="9">
        <v>46118</v>
      </c>
      <c r="F165" s="8">
        <v>43.0276</v>
      </c>
    </row>
    <row r="166" spans="1:6" ht="60" x14ac:dyDescent="0.25">
      <c r="A166" s="8" t="s">
        <v>5</v>
      </c>
      <c r="B166" s="8" t="s">
        <v>8</v>
      </c>
      <c r="C166" s="8" t="str">
        <f>IFERROR(_xlfn.XLOOKUP(TRIM(B166),Lookup!$B$2:$B$1000,Lookup!$C$2:$C$1000),"")</f>
        <v>Equity</v>
      </c>
      <c r="D166" s="8" t="s">
        <v>9</v>
      </c>
      <c r="E166" s="9">
        <v>46119</v>
      </c>
      <c r="F166" s="8">
        <v>43.246200000000002</v>
      </c>
    </row>
    <row r="167" spans="1:6" ht="60" x14ac:dyDescent="0.25">
      <c r="A167" s="8" t="s">
        <v>5</v>
      </c>
      <c r="B167" s="8" t="s">
        <v>8</v>
      </c>
      <c r="C167" s="8" t="str">
        <f>IFERROR(_xlfn.XLOOKUP(TRIM(B167),Lookup!$B$2:$B$1000,Lookup!$C$2:$C$1000),"")</f>
        <v>Equity</v>
      </c>
      <c r="D167" s="8" t="s">
        <v>9</v>
      </c>
      <c r="E167" s="9">
        <v>46120</v>
      </c>
      <c r="F167" s="8">
        <v>45.003799999999998</v>
      </c>
    </row>
    <row r="168" spans="1:6" ht="60" x14ac:dyDescent="0.25">
      <c r="A168" s="8" t="s">
        <v>5</v>
      </c>
      <c r="B168" s="8" t="s">
        <v>8</v>
      </c>
      <c r="C168" s="8" t="str">
        <f>IFERROR(_xlfn.XLOOKUP(TRIM(B168),Lookup!$B$2:$B$1000,Lookup!$C$2:$C$1000),"")</f>
        <v>Equity</v>
      </c>
      <c r="D168" s="8" t="s">
        <v>9</v>
      </c>
      <c r="E168" s="9">
        <v>46121</v>
      </c>
      <c r="F168" s="8">
        <v>44.594299999999997</v>
      </c>
    </row>
    <row r="169" spans="1:6" ht="60" x14ac:dyDescent="0.25">
      <c r="A169" s="8" t="s">
        <v>5</v>
      </c>
      <c r="B169" s="8" t="s">
        <v>8</v>
      </c>
      <c r="C169" s="8" t="str">
        <f>IFERROR(_xlfn.XLOOKUP(TRIM(B169),Lookup!$B$2:$B$1000,Lookup!$C$2:$C$1000),"")</f>
        <v>Equity</v>
      </c>
      <c r="D169" s="8" t="s">
        <v>9</v>
      </c>
      <c r="E169" s="9">
        <v>46122</v>
      </c>
      <c r="F169" s="8">
        <v>45.1235</v>
      </c>
    </row>
    <row r="170" spans="1:6" ht="60" x14ac:dyDescent="0.25">
      <c r="A170" s="8" t="s">
        <v>5</v>
      </c>
      <c r="B170" s="8" t="s">
        <v>8</v>
      </c>
      <c r="C170" s="8" t="str">
        <f>IFERROR(_xlfn.XLOOKUP(TRIM(B170),Lookup!$B$2:$B$1000,Lookup!$C$2:$C$1000),"")</f>
        <v>Equity</v>
      </c>
      <c r="D170" s="8" t="s">
        <v>9</v>
      </c>
      <c r="E170" s="9">
        <v>46125</v>
      </c>
      <c r="F170" s="8">
        <v>44.657800000000002</v>
      </c>
    </row>
    <row r="171" spans="1:6" ht="60" x14ac:dyDescent="0.25">
      <c r="A171" s="8" t="s">
        <v>5</v>
      </c>
      <c r="B171" s="8" t="s">
        <v>8</v>
      </c>
      <c r="C171" s="8" t="str">
        <f>IFERROR(_xlfn.XLOOKUP(TRIM(B171),Lookup!$B$2:$B$1000,Lookup!$C$2:$C$1000),"")</f>
        <v>Equity</v>
      </c>
      <c r="D171" s="8" t="s">
        <v>9</v>
      </c>
      <c r="E171" s="9">
        <v>46127</v>
      </c>
      <c r="F171" s="8">
        <v>45.424599999999998</v>
      </c>
    </row>
    <row r="172" spans="1:6" ht="60" x14ac:dyDescent="0.25">
      <c r="A172" s="8" t="s">
        <v>5</v>
      </c>
      <c r="B172" s="8" t="s">
        <v>8</v>
      </c>
      <c r="C172" s="8" t="str">
        <f>IFERROR(_xlfn.XLOOKUP(TRIM(B172),Lookup!$B$2:$B$1000,Lookup!$C$2:$C$1000),"")</f>
        <v>Equity</v>
      </c>
      <c r="D172" s="8" t="s">
        <v>9</v>
      </c>
      <c r="E172" s="9">
        <v>46128</v>
      </c>
      <c r="F172" s="8">
        <v>45.369799999999998</v>
      </c>
    </row>
    <row r="173" spans="1:6" ht="60" x14ac:dyDescent="0.25">
      <c r="A173" s="8" t="s">
        <v>5</v>
      </c>
      <c r="B173" s="8" t="s">
        <v>8</v>
      </c>
      <c r="C173" s="8" t="str">
        <f>IFERROR(_xlfn.XLOOKUP(TRIM(B173),Lookup!$B$2:$B$1000,Lookup!$C$2:$C$1000),"")</f>
        <v>Equity</v>
      </c>
      <c r="D173" s="8" t="s">
        <v>9</v>
      </c>
      <c r="E173" s="9">
        <v>46129</v>
      </c>
      <c r="F173" s="8">
        <v>45.666499999999999</v>
      </c>
    </row>
    <row r="174" spans="1:6" ht="60" x14ac:dyDescent="0.25">
      <c r="A174" s="8" t="s">
        <v>5</v>
      </c>
      <c r="B174" s="8" t="s">
        <v>8</v>
      </c>
      <c r="C174" s="8" t="str">
        <f>IFERROR(_xlfn.XLOOKUP(TRIM(B174),Lookup!$B$2:$B$1000,Lookup!$C$2:$C$1000),"")</f>
        <v>Equity</v>
      </c>
      <c r="D174" s="8" t="s">
        <v>9</v>
      </c>
      <c r="E174" s="9">
        <v>46132</v>
      </c>
      <c r="F174" s="8">
        <v>45.627299999999998</v>
      </c>
    </row>
    <row r="175" spans="1:6" ht="60" x14ac:dyDescent="0.25">
      <c r="A175" s="8" t="s">
        <v>5</v>
      </c>
      <c r="B175" s="8" t="s">
        <v>8</v>
      </c>
      <c r="C175" s="8" t="str">
        <f>IFERROR(_xlfn.XLOOKUP(TRIM(B175),Lookup!$B$2:$B$1000,Lookup!$C$2:$C$1000),"")</f>
        <v>Equity</v>
      </c>
      <c r="D175" s="8" t="s">
        <v>9</v>
      </c>
      <c r="E175" s="9">
        <v>46133</v>
      </c>
      <c r="F175" s="8">
        <v>46.0794</v>
      </c>
    </row>
    <row r="176" spans="1:6" ht="60" x14ac:dyDescent="0.25">
      <c r="A176" s="8" t="s">
        <v>5</v>
      </c>
      <c r="B176" s="8" t="s">
        <v>8</v>
      </c>
      <c r="C176" s="8" t="str">
        <f>IFERROR(_xlfn.XLOOKUP(TRIM(B176),Lookup!$B$2:$B$1000,Lookup!$C$2:$C$1000),"")</f>
        <v>Equity</v>
      </c>
      <c r="D176" s="8" t="s">
        <v>9</v>
      </c>
      <c r="E176" s="9">
        <v>46134</v>
      </c>
      <c r="F176" s="8">
        <v>45.735399999999998</v>
      </c>
    </row>
    <row r="177" spans="1:6" ht="60" x14ac:dyDescent="0.25">
      <c r="A177" s="8" t="s">
        <v>5</v>
      </c>
      <c r="B177" s="8" t="s">
        <v>8</v>
      </c>
      <c r="C177" s="8" t="str">
        <f>IFERROR(_xlfn.XLOOKUP(TRIM(B177),Lookup!$B$2:$B$1000,Lookup!$C$2:$C$1000),"")</f>
        <v>Equity</v>
      </c>
      <c r="D177" s="8" t="s">
        <v>9</v>
      </c>
      <c r="E177" s="9">
        <v>46135</v>
      </c>
      <c r="F177" s="8">
        <v>45.3551</v>
      </c>
    </row>
    <row r="178" spans="1:6" ht="60" x14ac:dyDescent="0.25">
      <c r="A178" s="8" t="s">
        <v>5</v>
      </c>
      <c r="B178" s="8" t="s">
        <v>8</v>
      </c>
      <c r="C178" s="8" t="str">
        <f>IFERROR(_xlfn.XLOOKUP(TRIM(B178),Lookup!$B$2:$B$1000,Lookup!$C$2:$C$1000),"")</f>
        <v>Equity</v>
      </c>
      <c r="D178" s="8" t="s">
        <v>9</v>
      </c>
      <c r="E178" s="9">
        <v>46136</v>
      </c>
      <c r="F178" s="8">
        <v>44.867199999999997</v>
      </c>
    </row>
    <row r="179" spans="1:6" ht="60" x14ac:dyDescent="0.25">
      <c r="A179" s="8" t="s">
        <v>5</v>
      </c>
      <c r="B179" s="8" t="s">
        <v>8</v>
      </c>
      <c r="C179" s="8" t="str">
        <f>IFERROR(_xlfn.XLOOKUP(TRIM(B179),Lookup!$B$2:$B$1000,Lookup!$C$2:$C$1000),"")</f>
        <v>Equity</v>
      </c>
      <c r="D179" s="8" t="s">
        <v>9</v>
      </c>
      <c r="E179" s="9">
        <v>46139</v>
      </c>
      <c r="F179" s="8">
        <v>45.277900000000002</v>
      </c>
    </row>
    <row r="180" spans="1:6" ht="60" x14ac:dyDescent="0.25">
      <c r="A180" s="8" t="s">
        <v>5</v>
      </c>
      <c r="B180" s="8" t="s">
        <v>8</v>
      </c>
      <c r="C180" s="8" t="str">
        <f>IFERROR(_xlfn.XLOOKUP(TRIM(B180),Lookup!$B$2:$B$1000,Lookup!$C$2:$C$1000),"")</f>
        <v>Equity</v>
      </c>
      <c r="D180" s="8" t="s">
        <v>9</v>
      </c>
      <c r="E180" s="9">
        <v>46140</v>
      </c>
      <c r="F180" s="8">
        <v>45.070700000000002</v>
      </c>
    </row>
    <row r="181" spans="1:6" ht="60" x14ac:dyDescent="0.25">
      <c r="A181" s="8" t="s">
        <v>5</v>
      </c>
      <c r="B181" s="8" t="s">
        <v>8</v>
      </c>
      <c r="C181" s="8" t="str">
        <f>IFERROR(_xlfn.XLOOKUP(TRIM(B181),Lookup!$B$2:$B$1000,Lookup!$C$2:$C$1000),"")</f>
        <v>Equity</v>
      </c>
      <c r="D181" s="8" t="s">
        <v>9</v>
      </c>
      <c r="E181" s="9">
        <v>46141</v>
      </c>
      <c r="F181" s="8">
        <v>45.436199999999999</v>
      </c>
    </row>
    <row r="182" spans="1:6" ht="60" x14ac:dyDescent="0.25">
      <c r="A182" s="8" t="s">
        <v>5</v>
      </c>
      <c r="B182" s="8" t="s">
        <v>8</v>
      </c>
      <c r="C182" s="8" t="str">
        <f>IFERROR(_xlfn.XLOOKUP(TRIM(B182),Lookup!$B$2:$B$1000,Lookup!$C$2:$C$1000),"")</f>
        <v>Equity</v>
      </c>
      <c r="D182" s="8" t="s">
        <v>9</v>
      </c>
      <c r="E182" s="9">
        <v>46142</v>
      </c>
      <c r="F182" s="8">
        <v>45.090200000000003</v>
      </c>
    </row>
    <row r="183" spans="1:6" ht="60" x14ac:dyDescent="0.25">
      <c r="A183" s="8" t="s">
        <v>5</v>
      </c>
      <c r="B183" s="8" t="s">
        <v>8</v>
      </c>
      <c r="C183" s="8" t="str">
        <f>IFERROR(_xlfn.XLOOKUP(TRIM(B183),Lookup!$B$2:$B$1000,Lookup!$C$2:$C$1000),"")</f>
        <v>Equity</v>
      </c>
      <c r="D183" s="8" t="s">
        <v>9</v>
      </c>
      <c r="E183" s="9">
        <v>46146</v>
      </c>
      <c r="F183" s="8">
        <v>45.289099999999998</v>
      </c>
    </row>
    <row r="184" spans="1:6" ht="60" x14ac:dyDescent="0.25">
      <c r="A184" s="8" t="s">
        <v>5</v>
      </c>
      <c r="B184" s="8" t="s">
        <v>8</v>
      </c>
      <c r="C184" s="8" t="str">
        <f>IFERROR(_xlfn.XLOOKUP(TRIM(B184),Lookup!$B$2:$B$1000,Lookup!$C$2:$C$1000),"")</f>
        <v>Equity</v>
      </c>
      <c r="D184" s="8" t="s">
        <v>9</v>
      </c>
      <c r="E184" s="9">
        <v>46147</v>
      </c>
      <c r="F184" s="8">
        <v>45.210299999999997</v>
      </c>
    </row>
    <row r="185" spans="1:6" ht="60" x14ac:dyDescent="0.25">
      <c r="A185" s="8" t="s">
        <v>5</v>
      </c>
      <c r="B185" s="8" t="s">
        <v>8</v>
      </c>
      <c r="C185" s="8" t="str">
        <f>IFERROR(_xlfn.XLOOKUP(TRIM(B185),Lookup!$B$2:$B$1000,Lookup!$C$2:$C$1000),"")</f>
        <v>Equity</v>
      </c>
      <c r="D185" s="8" t="s">
        <v>9</v>
      </c>
      <c r="E185" s="9">
        <v>46148</v>
      </c>
      <c r="F185" s="8">
        <v>45.7879</v>
      </c>
    </row>
    <row r="186" spans="1:6" ht="60" x14ac:dyDescent="0.25">
      <c r="A186" s="8" t="s">
        <v>5</v>
      </c>
      <c r="B186" s="8" t="s">
        <v>8</v>
      </c>
      <c r="C186" s="8" t="str">
        <f>IFERROR(_xlfn.XLOOKUP(TRIM(B186),Lookup!$B$2:$B$1000,Lookup!$C$2:$C$1000),"")</f>
        <v>Equity</v>
      </c>
      <c r="D186" s="8" t="s">
        <v>9</v>
      </c>
      <c r="E186" s="9">
        <v>46149</v>
      </c>
      <c r="F186" s="8">
        <v>45.830300000000001</v>
      </c>
    </row>
    <row r="187" spans="1:6" ht="60" x14ac:dyDescent="0.25">
      <c r="A187" s="8" t="s">
        <v>5</v>
      </c>
      <c r="B187" s="8" t="s">
        <v>8</v>
      </c>
      <c r="C187" s="8" t="str">
        <f>IFERROR(_xlfn.XLOOKUP(TRIM(B187),Lookup!$B$2:$B$1000,Lookup!$C$2:$C$1000),"")</f>
        <v>Equity</v>
      </c>
      <c r="D187" s="8" t="s">
        <v>9</v>
      </c>
      <c r="E187" s="9">
        <v>46150</v>
      </c>
      <c r="F187" s="8">
        <v>45.635599999999997</v>
      </c>
    </row>
    <row r="188" spans="1:6" ht="60" x14ac:dyDescent="0.25">
      <c r="A188" s="8" t="s">
        <v>5</v>
      </c>
      <c r="B188" s="8" t="s">
        <v>8</v>
      </c>
      <c r="C188" s="8" t="str">
        <f>IFERROR(_xlfn.XLOOKUP(TRIM(B188),Lookup!$B$2:$B$1000,Lookup!$C$2:$C$1000),"")</f>
        <v>Equity</v>
      </c>
      <c r="D188" s="8" t="s">
        <v>9</v>
      </c>
      <c r="E188" s="9">
        <v>46153</v>
      </c>
      <c r="F188" s="8">
        <v>44.877899999999997</v>
      </c>
    </row>
    <row r="189" spans="1:6" ht="60" x14ac:dyDescent="0.25">
      <c r="A189" s="8" t="s">
        <v>5</v>
      </c>
      <c r="B189" s="8" t="s">
        <v>8</v>
      </c>
      <c r="C189" s="8" t="str">
        <f>IFERROR(_xlfn.XLOOKUP(TRIM(B189),Lookup!$B$2:$B$1000,Lookup!$C$2:$C$1000),"")</f>
        <v>Equity</v>
      </c>
      <c r="D189" s="8" t="s">
        <v>9</v>
      </c>
      <c r="E189" s="9">
        <v>46154</v>
      </c>
      <c r="F189" s="8">
        <v>44.046700000000001</v>
      </c>
    </row>
    <row r="190" spans="1:6" ht="60" x14ac:dyDescent="0.25">
      <c r="A190" s="8" t="s">
        <v>5</v>
      </c>
      <c r="B190" s="8" t="s">
        <v>8</v>
      </c>
      <c r="C190" s="8" t="str">
        <f>IFERROR(_xlfn.XLOOKUP(TRIM(B190),Lookup!$B$2:$B$1000,Lookup!$C$2:$C$1000),"")</f>
        <v>Equity</v>
      </c>
      <c r="D190" s="8" t="s">
        <v>9</v>
      </c>
      <c r="E190" s="9">
        <v>46155</v>
      </c>
      <c r="F190" s="8">
        <v>44.108199999999997</v>
      </c>
    </row>
    <row r="191" spans="1:6" ht="60" x14ac:dyDescent="0.25">
      <c r="A191" s="8" t="s">
        <v>5</v>
      </c>
      <c r="B191" s="8" t="s">
        <v>8</v>
      </c>
      <c r="C191" s="8" t="str">
        <f>IFERROR(_xlfn.XLOOKUP(TRIM(B191),Lookup!$B$2:$B$1000,Lookup!$C$2:$C$1000),"")</f>
        <v>Equity</v>
      </c>
      <c r="D191" s="8" t="s">
        <v>9</v>
      </c>
      <c r="E191" s="9">
        <v>46156</v>
      </c>
      <c r="F191" s="8">
        <v>44.641100000000002</v>
      </c>
    </row>
    <row r="192" spans="1:6" ht="60" x14ac:dyDescent="0.25">
      <c r="A192" s="8" t="s">
        <v>5</v>
      </c>
      <c r="B192" s="8" t="s">
        <v>8</v>
      </c>
      <c r="C192" s="8" t="str">
        <f>IFERROR(_xlfn.XLOOKUP(TRIM(B192),Lookup!$B$2:$B$1000,Lookup!$C$2:$C$1000),"")</f>
        <v>Equity</v>
      </c>
      <c r="D192" s="8" t="s">
        <v>9</v>
      </c>
      <c r="E192" s="9">
        <v>46157</v>
      </c>
      <c r="F192" s="8">
        <v>44.557699999999997</v>
      </c>
    </row>
    <row r="193" spans="1:6" ht="60" x14ac:dyDescent="0.25">
      <c r="A193" s="8" t="s">
        <v>5</v>
      </c>
      <c r="B193" s="8" t="s">
        <v>8</v>
      </c>
      <c r="C193" s="8" t="str">
        <f>IFERROR(_xlfn.XLOOKUP(TRIM(B193),Lookup!$B$2:$B$1000,Lookup!$C$2:$C$1000),"")</f>
        <v>Equity</v>
      </c>
      <c r="D193" s="8" t="s">
        <v>9</v>
      </c>
      <c r="E193" s="9">
        <v>46160</v>
      </c>
      <c r="F193" s="8">
        <v>44.5122</v>
      </c>
    </row>
    <row r="194" spans="1:6" ht="60" x14ac:dyDescent="0.25">
      <c r="A194" s="8" t="s">
        <v>5</v>
      </c>
      <c r="B194" s="8" t="s">
        <v>8</v>
      </c>
      <c r="C194" s="8" t="str">
        <f>IFERROR(_xlfn.XLOOKUP(TRIM(B194),Lookup!$B$2:$B$1000,Lookup!$C$2:$C$1000),"")</f>
        <v>Equity</v>
      </c>
      <c r="D194" s="8" t="s">
        <v>9</v>
      </c>
      <c r="E194" s="9">
        <v>46161</v>
      </c>
      <c r="F194" s="8">
        <v>44.514600000000002</v>
      </c>
    </row>
    <row r="195" spans="1:6" ht="60" x14ac:dyDescent="0.25">
      <c r="A195" s="8" t="s">
        <v>5</v>
      </c>
      <c r="B195" s="8" t="s">
        <v>8</v>
      </c>
      <c r="C195" s="8" t="str">
        <f>IFERROR(_xlfn.XLOOKUP(TRIM(B195),Lookup!$B$2:$B$1000,Lookup!$C$2:$C$1000),"")</f>
        <v>Equity</v>
      </c>
      <c r="D195" s="8" t="s">
        <v>9</v>
      </c>
      <c r="E195" s="9">
        <v>46162</v>
      </c>
      <c r="F195" s="8">
        <v>44.594200000000001</v>
      </c>
    </row>
    <row r="196" spans="1:6" ht="60" x14ac:dyDescent="0.25">
      <c r="A196" s="8" t="s">
        <v>5</v>
      </c>
      <c r="B196" s="8" t="s">
        <v>8</v>
      </c>
      <c r="C196" s="8" t="str">
        <f>IFERROR(_xlfn.XLOOKUP(TRIM(B196),Lookup!$B$2:$B$1000,Lookup!$C$2:$C$1000),"")</f>
        <v>Equity</v>
      </c>
      <c r="D196" s="8" t="s">
        <v>9</v>
      </c>
      <c r="E196" s="9">
        <v>46163</v>
      </c>
      <c r="F196" s="8">
        <v>44.569899999999997</v>
      </c>
    </row>
    <row r="197" spans="1:6" ht="60" x14ac:dyDescent="0.25">
      <c r="A197" s="8" t="s">
        <v>5</v>
      </c>
      <c r="B197" s="8" t="s">
        <v>8</v>
      </c>
      <c r="C197" s="8" t="str">
        <f>IFERROR(_xlfn.XLOOKUP(TRIM(B197),Lookup!$B$2:$B$1000,Lookup!$C$2:$C$1000),"")</f>
        <v>Equity</v>
      </c>
      <c r="D197" s="8" t="s">
        <v>9</v>
      </c>
      <c r="E197" s="9">
        <v>46164</v>
      </c>
      <c r="F197" s="8">
        <v>44.743600000000001</v>
      </c>
    </row>
    <row r="198" spans="1:6" ht="60" x14ac:dyDescent="0.25">
      <c r="A198" s="8" t="s">
        <v>5</v>
      </c>
      <c r="B198" s="8" t="s">
        <v>8</v>
      </c>
      <c r="C198" s="8" t="str">
        <f>IFERROR(_xlfn.XLOOKUP(TRIM(B198),Lookup!$B$2:$B$1000,Lookup!$C$2:$C$1000),"")</f>
        <v>Equity</v>
      </c>
      <c r="D198" s="8" t="s">
        <v>9</v>
      </c>
      <c r="E198" s="9">
        <v>46167</v>
      </c>
      <c r="F198" s="8">
        <v>45.356400000000001</v>
      </c>
    </row>
    <row r="199" spans="1:6" ht="60" x14ac:dyDescent="0.25">
      <c r="A199" s="8" t="s">
        <v>5</v>
      </c>
      <c r="B199" s="8" t="s">
        <v>8</v>
      </c>
      <c r="C199" s="8" t="str">
        <f>IFERROR(_xlfn.XLOOKUP(TRIM(B199),Lookup!$B$2:$B$1000,Lookup!$C$2:$C$1000),"")</f>
        <v>Equity</v>
      </c>
      <c r="D199" s="8" t="s">
        <v>9</v>
      </c>
      <c r="E199" s="9">
        <v>46168</v>
      </c>
      <c r="F199" s="8">
        <v>45.165199999999999</v>
      </c>
    </row>
    <row r="200" spans="1:6" ht="60" x14ac:dyDescent="0.25">
      <c r="A200" s="8" t="s">
        <v>5</v>
      </c>
      <c r="B200" s="8" t="s">
        <v>8</v>
      </c>
      <c r="C200" s="8" t="str">
        <f>IFERROR(_xlfn.XLOOKUP(TRIM(B200),Lookup!$B$2:$B$1000,Lookup!$C$2:$C$1000),"")</f>
        <v>Equity</v>
      </c>
      <c r="D200" s="8" t="s">
        <v>9</v>
      </c>
      <c r="E200" s="9">
        <v>46169</v>
      </c>
      <c r="F200" s="8">
        <v>45.103700000000003</v>
      </c>
    </row>
    <row r="201" spans="1:6" ht="60" x14ac:dyDescent="0.25">
      <c r="A201" s="8" t="s">
        <v>5</v>
      </c>
      <c r="B201" s="8" t="s">
        <v>8</v>
      </c>
      <c r="C201" s="8" t="str">
        <f>IFERROR(_xlfn.XLOOKUP(TRIM(B201),Lookup!$B$2:$B$1000,Lookup!$C$2:$C$1000),"")</f>
        <v>Equity</v>
      </c>
      <c r="D201" s="8" t="s">
        <v>9</v>
      </c>
      <c r="E201" s="9">
        <v>46171</v>
      </c>
      <c r="F201" s="8">
        <v>44.503</v>
      </c>
    </row>
    <row r="202" spans="1:6" ht="60" x14ac:dyDescent="0.25">
      <c r="A202" s="8" t="s">
        <v>5</v>
      </c>
      <c r="B202" s="8" t="s">
        <v>8</v>
      </c>
      <c r="C202" s="8" t="str">
        <f>IFERROR(_xlfn.XLOOKUP(TRIM(B202),Lookup!$B$2:$B$1000,Lookup!$C$2:$C$1000),"")</f>
        <v>Equity</v>
      </c>
      <c r="D202" s="8" t="s">
        <v>9</v>
      </c>
      <c r="E202" s="9">
        <v>46174</v>
      </c>
      <c r="F202" s="8">
        <v>44.161099999999998</v>
      </c>
    </row>
    <row r="203" spans="1:6" ht="60" x14ac:dyDescent="0.25">
      <c r="A203" s="8" t="s">
        <v>5</v>
      </c>
      <c r="B203" s="8" t="s">
        <v>8</v>
      </c>
      <c r="C203" s="8" t="str">
        <f>IFERROR(_xlfn.XLOOKUP(TRIM(B203),Lookup!$B$2:$B$1000,Lookup!$C$2:$C$1000),"")</f>
        <v>Equity</v>
      </c>
      <c r="D203" s="8" t="s">
        <v>9</v>
      </c>
      <c r="E203" s="9">
        <v>46175</v>
      </c>
      <c r="F203" s="8">
        <v>44.381300000000003</v>
      </c>
    </row>
    <row r="204" spans="1:6" ht="60" x14ac:dyDescent="0.25">
      <c r="A204" s="8" t="s">
        <v>5</v>
      </c>
      <c r="B204" s="8" t="s">
        <v>8</v>
      </c>
      <c r="C204" s="8" t="str">
        <f>IFERROR(_xlfn.XLOOKUP(TRIM(B204),Lookup!$B$2:$B$1000,Lookup!$C$2:$C$1000),"")</f>
        <v>Equity</v>
      </c>
      <c r="D204" s="8" t="s">
        <v>9</v>
      </c>
      <c r="E204" s="9">
        <v>46176</v>
      </c>
      <c r="F204" s="8">
        <v>44.240699999999997</v>
      </c>
    </row>
    <row r="205" spans="1:6" ht="60" x14ac:dyDescent="0.25">
      <c r="A205" s="8" t="s">
        <v>5</v>
      </c>
      <c r="B205" s="8" t="s">
        <v>8</v>
      </c>
      <c r="C205" s="8" t="str">
        <f>IFERROR(_xlfn.XLOOKUP(TRIM(B205),Lookup!$B$2:$B$1000,Lookup!$C$2:$C$1000),"")</f>
        <v>Equity</v>
      </c>
      <c r="D205" s="8" t="s">
        <v>9</v>
      </c>
      <c r="E205" s="9">
        <v>46177</v>
      </c>
      <c r="F205" s="8">
        <v>44.224899999999998</v>
      </c>
    </row>
    <row r="206" spans="1:6" ht="60" x14ac:dyDescent="0.25">
      <c r="A206" s="8" t="s">
        <v>5</v>
      </c>
      <c r="B206" s="8" t="s">
        <v>8</v>
      </c>
      <c r="C206" s="8" t="str">
        <f>IFERROR(_xlfn.XLOOKUP(TRIM(B206),Lookup!$B$2:$B$1000,Lookup!$C$2:$C$1000),"")</f>
        <v>Equity</v>
      </c>
      <c r="D206" s="8" t="s">
        <v>9</v>
      </c>
      <c r="E206" s="9">
        <v>46178</v>
      </c>
      <c r="F206" s="8">
        <v>44.191699999999997</v>
      </c>
    </row>
    <row r="207" spans="1:6" ht="60" x14ac:dyDescent="0.25">
      <c r="A207" s="8" t="s">
        <v>5</v>
      </c>
      <c r="B207" s="8" t="s">
        <v>8</v>
      </c>
      <c r="C207" s="8" t="str">
        <f>IFERROR(_xlfn.XLOOKUP(TRIM(B207),Lookup!$B$2:$B$1000,Lookup!$C$2:$C$1000),"")</f>
        <v>Equity</v>
      </c>
      <c r="D207" s="8" t="s">
        <v>9</v>
      </c>
      <c r="E207" s="9">
        <v>46181</v>
      </c>
      <c r="F207" s="8">
        <v>43.719000000000001</v>
      </c>
    </row>
    <row r="208" spans="1:6" ht="60" x14ac:dyDescent="0.25">
      <c r="A208" s="8" t="s">
        <v>5</v>
      </c>
      <c r="B208" s="8" t="s">
        <v>8</v>
      </c>
      <c r="C208" s="8" t="str">
        <f>IFERROR(_xlfn.XLOOKUP(TRIM(B208),Lookup!$B$2:$B$1000,Lookup!$C$2:$C$1000),"")</f>
        <v>Equity</v>
      </c>
      <c r="D208" s="8" t="s">
        <v>9</v>
      </c>
      <c r="E208" s="9">
        <v>46182</v>
      </c>
      <c r="F208" s="8">
        <v>43.979700000000001</v>
      </c>
    </row>
    <row r="209" spans="1:6" ht="60" x14ac:dyDescent="0.25">
      <c r="A209" s="8" t="s">
        <v>5</v>
      </c>
      <c r="B209" s="8" t="s">
        <v>8</v>
      </c>
      <c r="C209" s="8" t="str">
        <f>IFERROR(_xlfn.XLOOKUP(TRIM(B209),Lookup!$B$2:$B$1000,Lookup!$C$2:$C$1000),"")</f>
        <v>Equity</v>
      </c>
      <c r="D209" s="8" t="s">
        <v>9</v>
      </c>
      <c r="E209" s="9">
        <v>46183</v>
      </c>
      <c r="F209" s="8">
        <v>43.881100000000004</v>
      </c>
    </row>
    <row r="210" spans="1:6" ht="60" x14ac:dyDescent="0.25">
      <c r="A210" s="8" t="s">
        <v>5</v>
      </c>
      <c r="B210" s="8" t="s">
        <v>8</v>
      </c>
      <c r="C210" s="8" t="str">
        <f>IFERROR(_xlfn.XLOOKUP(TRIM(B210),Lookup!$B$2:$B$1000,Lookup!$C$2:$C$1000),"")</f>
        <v>Equity</v>
      </c>
      <c r="D210" s="8" t="s">
        <v>9</v>
      </c>
      <c r="E210" s="9">
        <v>46184</v>
      </c>
      <c r="F210" s="8">
        <v>43.723700000000001</v>
      </c>
    </row>
    <row r="211" spans="1:6" ht="60" x14ac:dyDescent="0.25">
      <c r="A211" s="8" t="s">
        <v>5</v>
      </c>
      <c r="B211" s="8" t="s">
        <v>8</v>
      </c>
      <c r="C211" s="8" t="str">
        <f>IFERROR(_xlfn.XLOOKUP(TRIM(B211),Lookup!$B$2:$B$1000,Lookup!$C$2:$C$1000),"")</f>
        <v>Equity</v>
      </c>
      <c r="D211" s="8" t="s">
        <v>9</v>
      </c>
      <c r="E211" s="9">
        <v>46185</v>
      </c>
      <c r="F211" s="8">
        <v>44.7254</v>
      </c>
    </row>
    <row r="212" spans="1:6" ht="60" x14ac:dyDescent="0.25">
      <c r="A212" s="8" t="s">
        <v>5</v>
      </c>
      <c r="B212" s="8" t="s">
        <v>8</v>
      </c>
      <c r="C212" s="8" t="str">
        <f>IFERROR(_xlfn.XLOOKUP(TRIM(B212),Lookup!$B$2:$B$1000,Lookup!$C$2:$C$1000),"")</f>
        <v>Equity</v>
      </c>
      <c r="D212" s="8" t="s">
        <v>9</v>
      </c>
      <c r="E212" s="9">
        <v>46188</v>
      </c>
      <c r="F212" s="8">
        <v>45.244300000000003</v>
      </c>
    </row>
    <row r="213" spans="1:6" ht="60" x14ac:dyDescent="0.25">
      <c r="A213" s="8" t="s">
        <v>5</v>
      </c>
      <c r="B213" s="8" t="s">
        <v>8</v>
      </c>
      <c r="C213" s="8" t="str">
        <f>IFERROR(_xlfn.XLOOKUP(TRIM(B213),Lookup!$B$2:$B$1000,Lookup!$C$2:$C$1000),"")</f>
        <v>Equity</v>
      </c>
      <c r="D213" s="8" t="s">
        <v>9</v>
      </c>
      <c r="E213" s="9">
        <v>46189</v>
      </c>
      <c r="F213" s="8">
        <v>45.494700000000002</v>
      </c>
    </row>
    <row r="214" spans="1:6" ht="60" x14ac:dyDescent="0.25">
      <c r="A214" s="8" t="s">
        <v>5</v>
      </c>
      <c r="B214" s="8" t="s">
        <v>8</v>
      </c>
      <c r="C214" s="8" t="str">
        <f>IFERROR(_xlfn.XLOOKUP(TRIM(B214),Lookup!$B$2:$B$1000,Lookup!$C$2:$C$1000),"")</f>
        <v>Equity</v>
      </c>
      <c r="D214" s="8" t="s">
        <v>9</v>
      </c>
      <c r="E214" s="9">
        <v>46190</v>
      </c>
      <c r="F214" s="8">
        <v>45.667400000000001</v>
      </c>
    </row>
    <row r="215" spans="1:6" ht="60" x14ac:dyDescent="0.25">
      <c r="A215" s="8" t="s">
        <v>5</v>
      </c>
      <c r="B215" s="8" t="s">
        <v>8</v>
      </c>
      <c r="C215" s="8" t="str">
        <f>IFERROR(_xlfn.XLOOKUP(TRIM(B215),Lookup!$B$2:$B$1000,Lookup!$C$2:$C$1000),"")</f>
        <v>Equity</v>
      </c>
      <c r="D215" s="8" t="s">
        <v>9</v>
      </c>
      <c r="E215" s="9">
        <v>46191</v>
      </c>
      <c r="F215" s="8">
        <v>45.842700000000001</v>
      </c>
    </row>
    <row r="216" spans="1:6" ht="60" x14ac:dyDescent="0.25">
      <c r="A216" s="8" t="s">
        <v>5</v>
      </c>
      <c r="B216" s="8" t="s">
        <v>8</v>
      </c>
      <c r="C216" s="8" t="str">
        <f>IFERROR(_xlfn.XLOOKUP(TRIM(B216),Lookup!$B$2:$B$1000,Lookup!$C$2:$C$1000),"")</f>
        <v>Equity</v>
      </c>
      <c r="D216" s="8" t="s">
        <v>9</v>
      </c>
      <c r="E216" s="9">
        <v>46192</v>
      </c>
      <c r="F216" s="8">
        <v>45.695900000000002</v>
      </c>
    </row>
    <row r="217" spans="1:6" ht="60" x14ac:dyDescent="0.25">
      <c r="A217" s="8" t="s">
        <v>5</v>
      </c>
      <c r="B217" s="8" t="s">
        <v>8</v>
      </c>
      <c r="C217" s="8" t="str">
        <f>IFERROR(_xlfn.XLOOKUP(TRIM(B217),Lookup!$B$2:$B$1000,Lookup!$C$2:$C$1000),"")</f>
        <v>Equity</v>
      </c>
      <c r="D217" s="8" t="s">
        <v>9</v>
      </c>
      <c r="E217" s="9">
        <v>46195</v>
      </c>
      <c r="F217" s="8">
        <v>45.889200000000002</v>
      </c>
    </row>
    <row r="218" spans="1:6" ht="60" x14ac:dyDescent="0.25">
      <c r="A218" s="8" t="s">
        <v>5</v>
      </c>
      <c r="B218" s="8" t="s">
        <v>8</v>
      </c>
      <c r="C218" s="8" t="str">
        <f>IFERROR(_xlfn.XLOOKUP(TRIM(B218),Lookup!$B$2:$B$1000,Lookup!$C$2:$C$1000),"")</f>
        <v>Equity</v>
      </c>
      <c r="D218" s="8" t="s">
        <v>9</v>
      </c>
      <c r="E218" s="9">
        <v>46196</v>
      </c>
      <c r="F218" s="8">
        <v>45.395600000000002</v>
      </c>
    </row>
    <row r="219" spans="1:6" ht="60" x14ac:dyDescent="0.25">
      <c r="A219" s="8" t="s">
        <v>5</v>
      </c>
      <c r="B219" s="8" t="s">
        <v>8</v>
      </c>
      <c r="C219" s="8" t="str">
        <f>IFERROR(_xlfn.XLOOKUP(TRIM(B219),Lookup!$B$2:$B$1000,Lookup!$C$2:$C$1000),"")</f>
        <v>Equity</v>
      </c>
      <c r="D219" s="8" t="s">
        <v>9</v>
      </c>
      <c r="E219" s="9">
        <v>46197</v>
      </c>
      <c r="F219" s="8">
        <v>45.755899999999997</v>
      </c>
    </row>
    <row r="220" spans="1:6" ht="60" x14ac:dyDescent="0.25">
      <c r="A220" s="8" t="s">
        <v>5</v>
      </c>
      <c r="B220" s="8" t="s">
        <v>8</v>
      </c>
      <c r="C220" s="8" t="str">
        <f>IFERROR(_xlfn.XLOOKUP(TRIM(B220),Lookup!$B$2:$B$1000,Lookup!$C$2:$C$1000),"")</f>
        <v>Equity</v>
      </c>
      <c r="D220" s="8" t="s">
        <v>9</v>
      </c>
      <c r="E220" s="9">
        <v>46198</v>
      </c>
      <c r="F220" s="8">
        <v>45.746600000000001</v>
      </c>
    </row>
    <row r="221" spans="1:6" ht="60" x14ac:dyDescent="0.25">
      <c r="A221" s="8" t="s">
        <v>5</v>
      </c>
      <c r="B221" s="8" t="s">
        <v>8</v>
      </c>
      <c r="C221" s="8" t="str">
        <f>IFERROR(_xlfn.XLOOKUP(TRIM(B221),Lookup!$B$2:$B$1000,Lookup!$C$2:$C$1000),"")</f>
        <v>Equity</v>
      </c>
      <c r="D221" s="8" t="s">
        <v>9</v>
      </c>
      <c r="E221" s="9">
        <v>46202</v>
      </c>
      <c r="F221" s="8">
        <v>45.579000000000001</v>
      </c>
    </row>
    <row r="222" spans="1:6" ht="60" x14ac:dyDescent="0.25">
      <c r="A222" s="8" t="s">
        <v>5</v>
      </c>
      <c r="B222" s="8" t="s">
        <v>8</v>
      </c>
      <c r="C222" s="8" t="str">
        <f>IFERROR(_xlfn.XLOOKUP(TRIM(B222),Lookup!$B$2:$B$1000,Lookup!$C$2:$C$1000),"")</f>
        <v>Equity</v>
      </c>
      <c r="D222" s="8" t="s">
        <v>9</v>
      </c>
      <c r="E222" s="9">
        <v>46203</v>
      </c>
      <c r="F222" s="8">
        <v>45.491399999999999</v>
      </c>
    </row>
    <row r="223" spans="1:6" ht="60" x14ac:dyDescent="0.25">
      <c r="A223" s="8" t="s">
        <v>5</v>
      </c>
      <c r="B223" s="8" t="s">
        <v>8</v>
      </c>
      <c r="C223" s="8" t="str">
        <f>IFERROR(_xlfn.XLOOKUP(TRIM(B223),Lookup!$B$2:$B$1000,Lookup!$C$2:$C$1000),"")</f>
        <v>Equity</v>
      </c>
      <c r="D223" s="8" t="s">
        <v>9</v>
      </c>
      <c r="E223" s="9">
        <v>46204</v>
      </c>
      <c r="F223" s="8">
        <v>45.730499999999999</v>
      </c>
    </row>
    <row r="224" spans="1:6" ht="60" x14ac:dyDescent="0.25">
      <c r="A224" s="8" t="s">
        <v>5</v>
      </c>
      <c r="B224" s="8" t="s">
        <v>8</v>
      </c>
      <c r="C224" s="8" t="str">
        <f>IFERROR(_xlfn.XLOOKUP(TRIM(B224),Lookup!$B$2:$B$1000,Lookup!$C$2:$C$1000),"")</f>
        <v>Equity</v>
      </c>
      <c r="D224" s="8" t="s">
        <v>9</v>
      </c>
      <c r="E224" s="9">
        <v>46205</v>
      </c>
      <c r="F224" s="8">
        <v>46.0062</v>
      </c>
    </row>
    <row r="225" spans="1:6" ht="60" x14ac:dyDescent="0.25">
      <c r="A225" s="8" t="s">
        <v>5</v>
      </c>
      <c r="B225" s="8" t="s">
        <v>8</v>
      </c>
      <c r="C225" s="8" t="str">
        <f>IFERROR(_xlfn.XLOOKUP(TRIM(B225),Lookup!$B$2:$B$1000,Lookup!$C$2:$C$1000),"")</f>
        <v>Equity</v>
      </c>
      <c r="D225" s="8" t="s">
        <v>9</v>
      </c>
      <c r="E225" s="9">
        <v>46206</v>
      </c>
      <c r="F225" s="8">
        <v>46.107599999999998</v>
      </c>
    </row>
    <row r="226" spans="1:6" ht="60" x14ac:dyDescent="0.25">
      <c r="A226" s="8" t="s">
        <v>5</v>
      </c>
      <c r="B226" s="8" t="s">
        <v>8</v>
      </c>
      <c r="C226" s="8" t="str">
        <f>IFERROR(_xlfn.XLOOKUP(TRIM(B226),Lookup!$B$2:$B$1000,Lookup!$C$2:$C$1000),"")</f>
        <v>Equity</v>
      </c>
      <c r="D226" s="8" t="s">
        <v>9</v>
      </c>
      <c r="E226" s="9">
        <v>46209</v>
      </c>
      <c r="F226" s="8">
        <v>46.3919</v>
      </c>
    </row>
    <row r="227" spans="1:6" ht="60" x14ac:dyDescent="0.25">
      <c r="A227" s="8" t="s">
        <v>5</v>
      </c>
      <c r="B227" s="8" t="s">
        <v>8</v>
      </c>
      <c r="C227" s="8" t="str">
        <f>IFERROR(_xlfn.XLOOKUP(TRIM(B227),Lookup!$B$2:$B$1000,Lookup!$C$2:$C$1000),"")</f>
        <v>Equity</v>
      </c>
      <c r="D227" s="8" t="s">
        <v>9</v>
      </c>
      <c r="E227" s="9">
        <v>46210</v>
      </c>
      <c r="F227" s="8">
        <v>46.423499999999997</v>
      </c>
    </row>
    <row r="228" spans="1:6" ht="60" x14ac:dyDescent="0.25">
      <c r="A228" s="8" t="s">
        <v>5</v>
      </c>
      <c r="B228" s="8" t="s">
        <v>8</v>
      </c>
      <c r="C228" s="8" t="str">
        <f>IFERROR(_xlfn.XLOOKUP(TRIM(B228),Lookup!$B$2:$B$1000,Lookup!$C$2:$C$1000),"")</f>
        <v>Equity</v>
      </c>
      <c r="D228" s="8" t="s">
        <v>9</v>
      </c>
      <c r="E228" s="9">
        <v>46211</v>
      </c>
      <c r="F228" s="8">
        <v>45.458399999999997</v>
      </c>
    </row>
    <row r="229" spans="1:6" ht="60" x14ac:dyDescent="0.25">
      <c r="A229" s="8" t="s">
        <v>5</v>
      </c>
      <c r="B229" s="8" t="s">
        <v>8</v>
      </c>
      <c r="C229" s="8" t="str">
        <f>IFERROR(_xlfn.XLOOKUP(TRIM(B229),Lookup!$B$2:$B$1000,Lookup!$C$2:$C$1000),"")</f>
        <v>Equity</v>
      </c>
      <c r="D229" s="8" t="s">
        <v>9</v>
      </c>
      <c r="E229" s="9">
        <v>46212</v>
      </c>
      <c r="F229" s="8">
        <v>45.682400000000001</v>
      </c>
    </row>
    <row r="230" spans="1:6" ht="60" x14ac:dyDescent="0.25">
      <c r="A230" s="8" t="s">
        <v>5</v>
      </c>
      <c r="B230" s="8" t="s">
        <v>8</v>
      </c>
      <c r="C230" s="8" t="str">
        <f>IFERROR(_xlfn.XLOOKUP(TRIM(B230),Lookup!$B$2:$B$1000,Lookup!$C$2:$C$1000),"")</f>
        <v>Equity</v>
      </c>
      <c r="D230" s="8" t="s">
        <v>9</v>
      </c>
      <c r="E230" s="9">
        <v>46213</v>
      </c>
      <c r="F230" s="8">
        <v>46.153300000000002</v>
      </c>
    </row>
    <row r="231" spans="1:6" ht="60" x14ac:dyDescent="0.25">
      <c r="A231" s="8" t="s">
        <v>5</v>
      </c>
      <c r="B231" s="8" t="s">
        <v>8</v>
      </c>
      <c r="C231" s="8" t="str">
        <f>IFERROR(_xlfn.XLOOKUP(TRIM(B231),Lookup!$B$2:$B$1000,Lookup!$C$2:$C$1000),"")</f>
        <v>Equity</v>
      </c>
      <c r="D231" s="8" t="s">
        <v>9</v>
      </c>
      <c r="E231" s="9">
        <v>46216</v>
      </c>
      <c r="F231" s="8">
        <v>46.164900000000003</v>
      </c>
    </row>
    <row r="232" spans="1:6" ht="60" x14ac:dyDescent="0.25">
      <c r="A232" s="8" t="s">
        <v>5</v>
      </c>
      <c r="B232" s="8" t="s">
        <v>8</v>
      </c>
      <c r="C232" s="8" t="str">
        <f>IFERROR(_xlfn.XLOOKUP(TRIM(B232),Lookup!$B$2:$B$1000,Lookup!$C$2:$C$1000),"")</f>
        <v>Equity</v>
      </c>
      <c r="D232" s="8" t="s">
        <v>9</v>
      </c>
      <c r="E232" s="9">
        <v>46217</v>
      </c>
      <c r="F232" s="8">
        <v>45.864100000000001</v>
      </c>
    </row>
    <row r="233" spans="1:6" ht="60" x14ac:dyDescent="0.25">
      <c r="A233" s="8" t="s">
        <v>5</v>
      </c>
      <c r="B233" s="8" t="s">
        <v>8</v>
      </c>
      <c r="C233" s="8" t="str">
        <f>IFERROR(_xlfn.XLOOKUP(TRIM(B233),Lookup!$B$2:$B$1000,Lookup!$C$2:$C$1000),"")</f>
        <v>Equity</v>
      </c>
      <c r="D233" s="8" t="s">
        <v>9</v>
      </c>
      <c r="E233" s="9">
        <v>46218</v>
      </c>
      <c r="F233" s="8">
        <v>45.886600000000001</v>
      </c>
    </row>
    <row r="234" spans="1:6" ht="60" x14ac:dyDescent="0.25">
      <c r="A234" s="8" t="s">
        <v>5</v>
      </c>
      <c r="B234" s="8" t="s">
        <v>8</v>
      </c>
      <c r="C234" s="8" t="str">
        <f>IFERROR(_xlfn.XLOOKUP(TRIM(B234),Lookup!$B$2:$B$1000,Lookup!$C$2:$C$1000),"")</f>
        <v>Equity</v>
      </c>
      <c r="D234" s="8" t="s">
        <v>9</v>
      </c>
      <c r="E234" s="9">
        <v>46219</v>
      </c>
      <c r="F234" s="8">
        <v>45.839799999999997</v>
      </c>
    </row>
    <row r="235" spans="1:6" ht="60" x14ac:dyDescent="0.25">
      <c r="A235" s="8" t="s">
        <v>5</v>
      </c>
      <c r="B235" s="8" t="s">
        <v>8</v>
      </c>
      <c r="C235" s="8" t="str">
        <f>IFERROR(_xlfn.XLOOKUP(TRIM(B235),Lookup!$B$2:$B$1000,Lookup!$C$2:$C$1000),"")</f>
        <v>Equity</v>
      </c>
      <c r="D235" s="8" t="s">
        <v>9</v>
      </c>
      <c r="E235" s="9">
        <v>46220</v>
      </c>
      <c r="F235" s="8">
        <v>46.280099999999997</v>
      </c>
    </row>
    <row r="236" spans="1:6" ht="60" x14ac:dyDescent="0.25">
      <c r="A236" s="8" t="s">
        <v>5</v>
      </c>
      <c r="B236" s="8" t="s">
        <v>8</v>
      </c>
      <c r="C236" s="8" t="str">
        <f>IFERROR(_xlfn.XLOOKUP(TRIM(B236),Lookup!$B$2:$B$1000,Lookup!$C$2:$C$1000),"")</f>
        <v>Equity</v>
      </c>
      <c r="D236" s="8" t="s">
        <v>9</v>
      </c>
      <c r="E236" s="9">
        <v>46223</v>
      </c>
      <c r="F236" s="8">
        <v>45.943600000000004</v>
      </c>
    </row>
    <row r="237" spans="1:6" ht="60" x14ac:dyDescent="0.25">
      <c r="A237" s="8" t="s">
        <v>5</v>
      </c>
      <c r="B237" s="8" t="s">
        <v>8</v>
      </c>
      <c r="C237" s="8" t="str">
        <f>IFERROR(_xlfn.XLOOKUP(TRIM(B237),Lookup!$B$2:$B$1000,Lookup!$C$2:$C$1000),"")</f>
        <v>Equity</v>
      </c>
      <c r="D237" s="8" t="s">
        <v>9</v>
      </c>
      <c r="E237" s="9">
        <v>46224</v>
      </c>
      <c r="F237" s="8">
        <v>45.8688</v>
      </c>
    </row>
    <row r="238" spans="1:6" ht="60" x14ac:dyDescent="0.25">
      <c r="A238" s="8" t="s">
        <v>5</v>
      </c>
      <c r="B238" s="8" t="s">
        <v>8</v>
      </c>
      <c r="C238" s="8" t="str">
        <f>IFERROR(_xlfn.XLOOKUP(TRIM(B238),Lookup!$B$2:$B$1000,Lookup!$C$2:$C$1000),"")</f>
        <v>Equity</v>
      </c>
      <c r="D238" s="8" t="s">
        <v>9</v>
      </c>
      <c r="E238" s="9">
        <v>46225</v>
      </c>
      <c r="F238" s="8">
        <v>45.509799999999998</v>
      </c>
    </row>
    <row r="239" spans="1:6" ht="60" x14ac:dyDescent="0.25">
      <c r="A239" s="8" t="s">
        <v>5</v>
      </c>
      <c r="B239" s="8" t="s">
        <v>8</v>
      </c>
      <c r="C239" s="8" t="str">
        <f>IFERROR(_xlfn.XLOOKUP(TRIM(B239),Lookup!$B$2:$B$1000,Lookup!$C$2:$C$1000),"")</f>
        <v>Equity</v>
      </c>
      <c r="D239" s="8" t="s">
        <v>9</v>
      </c>
      <c r="E239" s="9">
        <v>46226</v>
      </c>
      <c r="F239" s="8">
        <v>45.234400000000001</v>
      </c>
    </row>
    <row r="240" spans="1:6" ht="60" x14ac:dyDescent="0.25">
      <c r="A240" s="8" t="s">
        <v>5</v>
      </c>
      <c r="B240" s="8" t="s">
        <v>8</v>
      </c>
      <c r="C240" s="8" t="str">
        <f>IFERROR(_xlfn.XLOOKUP(TRIM(B240),Lookup!$B$2:$B$1000,Lookup!$C$2:$C$1000),"")</f>
        <v>Equity</v>
      </c>
      <c r="D240" s="8" t="s">
        <v>9</v>
      </c>
      <c r="E240" s="9">
        <v>46227</v>
      </c>
      <c r="F240" s="8">
        <v>45.075200000000002</v>
      </c>
    </row>
    <row r="241" spans="1:6" ht="60" x14ac:dyDescent="0.25">
      <c r="A241" s="8" t="s">
        <v>5</v>
      </c>
      <c r="B241" s="8" t="s">
        <v>8</v>
      </c>
      <c r="C241" s="8" t="str">
        <f>IFERROR(_xlfn.XLOOKUP(TRIM(B241),Lookup!$B$2:$B$1000,Lookup!$C$2:$C$1000),"")</f>
        <v>Equity</v>
      </c>
      <c r="D241" s="8" t="s">
        <v>9</v>
      </c>
      <c r="E241" s="9">
        <v>46230</v>
      </c>
      <c r="F241" s="8">
        <v>45.5259</v>
      </c>
    </row>
    <row r="242" spans="1:6" ht="60" x14ac:dyDescent="0.25">
      <c r="A242" s="8" t="s">
        <v>5</v>
      </c>
      <c r="B242" s="8" t="s">
        <v>8</v>
      </c>
      <c r="C242" s="8" t="str">
        <f>IFERROR(_xlfn.XLOOKUP(TRIM(B242),Lookup!$B$2:$B$1000,Lookup!$C$2:$C$1000),"")</f>
        <v>Equity</v>
      </c>
      <c r="D242" s="8" t="s">
        <v>9</v>
      </c>
      <c r="E242" s="9">
        <v>46231</v>
      </c>
      <c r="F242" s="8">
        <v>45.510399999999997</v>
      </c>
    </row>
    <row r="243" spans="1:6" ht="60" x14ac:dyDescent="0.25">
      <c r="A243" s="8" t="s">
        <v>5</v>
      </c>
      <c r="B243" s="8" t="s">
        <v>8</v>
      </c>
      <c r="C243" s="8" t="str">
        <f>IFERROR(_xlfn.XLOOKUP(TRIM(B243),Lookup!$B$2:$B$1000,Lookup!$C$2:$C$1000),"")</f>
        <v>Equity</v>
      </c>
      <c r="D243" s="8" t="s">
        <v>9</v>
      </c>
      <c r="E243" s="9">
        <v>46232</v>
      </c>
      <c r="F243" s="8">
        <v>46.075699999999998</v>
      </c>
    </row>
    <row r="244" spans="1:6" ht="60" x14ac:dyDescent="0.25">
      <c r="A244" s="8" t="s">
        <v>5</v>
      </c>
      <c r="B244" s="8" t="s">
        <v>8</v>
      </c>
      <c r="C244" s="8" t="str">
        <f>IFERROR(_xlfn.XLOOKUP(TRIM(B244),Lookup!$B$2:$B$1000,Lookup!$C$2:$C$1000),"")</f>
        <v>Equity</v>
      </c>
      <c r="D244" s="8" t="s">
        <v>9</v>
      </c>
      <c r="E244" s="9">
        <v>46233</v>
      </c>
      <c r="F244" s="8">
        <v>46.185400000000001</v>
      </c>
    </row>
    <row r="245" spans="1:6" ht="60" x14ac:dyDescent="0.25">
      <c r="A245" s="8" t="s">
        <v>5</v>
      </c>
      <c r="B245" s="8" t="s">
        <v>8</v>
      </c>
      <c r="C245" s="8" t="str">
        <f>IFERROR(_xlfn.XLOOKUP(TRIM(B245),Lookup!$B$2:$B$1000,Lookup!$C$2:$C$1000),"")</f>
        <v>Equity</v>
      </c>
      <c r="D245" s="8" t="s">
        <v>9</v>
      </c>
      <c r="E245" s="9">
        <v>46234</v>
      </c>
      <c r="F245" s="8">
        <v>46.357100000000003</v>
      </c>
    </row>
    <row r="246" spans="1:6" ht="75" x14ac:dyDescent="0.25">
      <c r="A246" s="8" t="s">
        <v>5</v>
      </c>
      <c r="B246" s="8" t="s">
        <v>6</v>
      </c>
      <c r="C246" s="8" t="str">
        <f>IFERROR(_xlfn.XLOOKUP(TRIM(B246),Lookup!$B$2:$B$1000,Lookup!$C$2:$C$1000),"")</f>
        <v>Equity</v>
      </c>
      <c r="D246" s="8" t="s">
        <v>7</v>
      </c>
      <c r="E246" s="9">
        <v>46077</v>
      </c>
      <c r="F246" s="8">
        <v>10.6206</v>
      </c>
    </row>
    <row r="247" spans="1:6" ht="75" x14ac:dyDescent="0.25">
      <c r="A247" s="8" t="s">
        <v>5</v>
      </c>
      <c r="B247" s="8" t="s">
        <v>6</v>
      </c>
      <c r="C247" s="8" t="str">
        <f>IFERROR(_xlfn.XLOOKUP(TRIM(B247),Lookup!$B$2:$B$1000,Lookup!$C$2:$C$1000),"")</f>
        <v>Equity</v>
      </c>
      <c r="D247" s="8" t="s">
        <v>7</v>
      </c>
      <c r="E247" s="9">
        <v>46078</v>
      </c>
      <c r="F247" s="8">
        <v>10.7159</v>
      </c>
    </row>
    <row r="248" spans="1:6" ht="75" x14ac:dyDescent="0.25">
      <c r="A248" s="8" t="s">
        <v>5</v>
      </c>
      <c r="B248" s="8" t="s">
        <v>6</v>
      </c>
      <c r="C248" s="8" t="str">
        <f>IFERROR(_xlfn.XLOOKUP(TRIM(B248),Lookup!$B$2:$B$1000,Lookup!$C$2:$C$1000),"")</f>
        <v>Equity</v>
      </c>
      <c r="D248" s="8" t="s">
        <v>7</v>
      </c>
      <c r="E248" s="9">
        <v>46079</v>
      </c>
      <c r="F248" s="8">
        <v>10.1226</v>
      </c>
    </row>
    <row r="249" spans="1:6" ht="75" x14ac:dyDescent="0.25">
      <c r="A249" s="8" t="s">
        <v>5</v>
      </c>
      <c r="B249" s="8" t="s">
        <v>6</v>
      </c>
      <c r="C249" s="8" t="str">
        <f>IFERROR(_xlfn.XLOOKUP(TRIM(B249),Lookup!$B$2:$B$1000,Lookup!$C$2:$C$1000),"")</f>
        <v>Equity</v>
      </c>
      <c r="D249" s="8" t="s">
        <v>7</v>
      </c>
      <c r="E249" s="9">
        <v>46080</v>
      </c>
      <c r="F249" s="8">
        <v>10.7302</v>
      </c>
    </row>
    <row r="250" spans="1:6" ht="75" x14ac:dyDescent="0.25">
      <c r="A250" s="8" t="s">
        <v>5</v>
      </c>
      <c r="B250" s="8" t="s">
        <v>6</v>
      </c>
      <c r="C250" s="8" t="str">
        <f>IFERROR(_xlfn.XLOOKUP(TRIM(B250),Lookup!$B$2:$B$1000,Lookup!$C$2:$C$1000),"")</f>
        <v>Equity</v>
      </c>
      <c r="D250" s="8" t="s">
        <v>7</v>
      </c>
      <c r="E250" s="9">
        <v>46083</v>
      </c>
      <c r="F250" s="8">
        <v>10.546799999999999</v>
      </c>
    </row>
    <row r="251" spans="1:6" ht="75" x14ac:dyDescent="0.25">
      <c r="A251" s="8" t="s">
        <v>5</v>
      </c>
      <c r="B251" s="8" t="s">
        <v>6</v>
      </c>
      <c r="C251" s="8" t="str">
        <f>IFERROR(_xlfn.XLOOKUP(TRIM(B251),Lookup!$B$2:$B$1000,Lookup!$C$2:$C$1000),"")</f>
        <v>Equity</v>
      </c>
      <c r="D251" s="8" t="s">
        <v>7</v>
      </c>
      <c r="E251" s="9">
        <v>46085</v>
      </c>
      <c r="F251" s="8">
        <v>10.253</v>
      </c>
    </row>
    <row r="252" spans="1:6" ht="75" x14ac:dyDescent="0.25">
      <c r="A252" s="8" t="s">
        <v>5</v>
      </c>
      <c r="B252" s="8" t="s">
        <v>6</v>
      </c>
      <c r="C252" s="8" t="str">
        <f>IFERROR(_xlfn.XLOOKUP(TRIM(B252),Lookup!$B$2:$B$1000,Lookup!$C$2:$C$1000),"")</f>
        <v>Equity</v>
      </c>
      <c r="D252" s="8" t="s">
        <v>7</v>
      </c>
      <c r="E252" s="9">
        <v>46086</v>
      </c>
      <c r="F252" s="8">
        <v>10.407500000000001</v>
      </c>
    </row>
    <row r="253" spans="1:6" ht="75" x14ac:dyDescent="0.25">
      <c r="A253" s="8" t="s">
        <v>5</v>
      </c>
      <c r="B253" s="8" t="s">
        <v>6</v>
      </c>
      <c r="C253" s="8" t="str">
        <f>IFERROR(_xlfn.XLOOKUP(TRIM(B253),Lookup!$B$2:$B$1000,Lookup!$C$2:$C$1000),"")</f>
        <v>Equity</v>
      </c>
      <c r="D253" s="8" t="s">
        <v>7</v>
      </c>
      <c r="E253" s="9">
        <v>46087</v>
      </c>
      <c r="F253" s="8">
        <v>10.291600000000001</v>
      </c>
    </row>
    <row r="254" spans="1:6" ht="75" x14ac:dyDescent="0.25">
      <c r="A254" s="8" t="s">
        <v>5</v>
      </c>
      <c r="B254" s="8" t="s">
        <v>6</v>
      </c>
      <c r="C254" s="8" t="str">
        <f>IFERROR(_xlfn.XLOOKUP(TRIM(B254),Lookup!$B$2:$B$1000,Lookup!$C$2:$C$1000),"")</f>
        <v>Equity</v>
      </c>
      <c r="D254" s="8" t="s">
        <v>7</v>
      </c>
      <c r="E254" s="9">
        <v>46090</v>
      </c>
      <c r="F254" s="8">
        <v>9.9404000000000003</v>
      </c>
    </row>
    <row r="255" spans="1:6" ht="75" x14ac:dyDescent="0.25">
      <c r="A255" s="8" t="s">
        <v>5</v>
      </c>
      <c r="B255" s="8" t="s">
        <v>6</v>
      </c>
      <c r="C255" s="8" t="str">
        <f>IFERROR(_xlfn.XLOOKUP(TRIM(B255),Lookup!$B$2:$B$1000,Lookup!$C$2:$C$1000),"")</f>
        <v>Equity</v>
      </c>
      <c r="D255" s="8" t="s">
        <v>7</v>
      </c>
      <c r="E255" s="9">
        <v>46091</v>
      </c>
      <c r="F255" s="8">
        <v>10.1274</v>
      </c>
    </row>
    <row r="256" spans="1:6" ht="75" x14ac:dyDescent="0.25">
      <c r="A256" s="8" t="s">
        <v>5</v>
      </c>
      <c r="B256" s="8" t="s">
        <v>6</v>
      </c>
      <c r="C256" s="8" t="str">
        <f>IFERROR(_xlfn.XLOOKUP(TRIM(B256),Lookup!$B$2:$B$1000,Lookup!$C$2:$C$1000),"")</f>
        <v>Equity</v>
      </c>
      <c r="D256" s="8" t="s">
        <v>7</v>
      </c>
      <c r="E256" s="9">
        <v>46092</v>
      </c>
      <c r="F256" s="8">
        <v>10.081799999999999</v>
      </c>
    </row>
    <row r="257" spans="1:6" ht="75" x14ac:dyDescent="0.25">
      <c r="A257" s="8" t="s">
        <v>5</v>
      </c>
      <c r="B257" s="8" t="s">
        <v>6</v>
      </c>
      <c r="C257" s="8" t="str">
        <f>IFERROR(_xlfn.XLOOKUP(TRIM(B257),Lookup!$B$2:$B$1000,Lookup!$C$2:$C$1000),"")</f>
        <v>Equity</v>
      </c>
      <c r="D257" s="8" t="s">
        <v>7</v>
      </c>
      <c r="E257" s="9">
        <v>46093</v>
      </c>
      <c r="F257" s="8">
        <v>10.147399999999999</v>
      </c>
    </row>
    <row r="258" spans="1:6" ht="75" x14ac:dyDescent="0.25">
      <c r="A258" s="8" t="s">
        <v>5</v>
      </c>
      <c r="B258" s="8" t="s">
        <v>6</v>
      </c>
      <c r="C258" s="8" t="str">
        <f>IFERROR(_xlfn.XLOOKUP(TRIM(B258),Lookup!$B$2:$B$1000,Lookup!$C$2:$C$1000),"")</f>
        <v>Equity</v>
      </c>
      <c r="D258" s="8" t="s">
        <v>7</v>
      </c>
      <c r="E258" s="9">
        <v>46094</v>
      </c>
      <c r="F258" s="8">
        <v>9.8381000000000007</v>
      </c>
    </row>
    <row r="259" spans="1:6" ht="75" x14ac:dyDescent="0.25">
      <c r="A259" s="8" t="s">
        <v>5</v>
      </c>
      <c r="B259" s="8" t="s">
        <v>6</v>
      </c>
      <c r="C259" s="8" t="str">
        <f>IFERROR(_xlfn.XLOOKUP(TRIM(B259),Lookup!$B$2:$B$1000,Lookup!$C$2:$C$1000),"")</f>
        <v>Equity</v>
      </c>
      <c r="D259" s="8" t="s">
        <v>7</v>
      </c>
      <c r="E259" s="9">
        <v>46097</v>
      </c>
      <c r="F259" s="8">
        <v>9.7405000000000008</v>
      </c>
    </row>
    <row r="260" spans="1:6" ht="75" x14ac:dyDescent="0.25">
      <c r="A260" s="8" t="s">
        <v>5</v>
      </c>
      <c r="B260" s="8" t="s">
        <v>6</v>
      </c>
      <c r="C260" s="8" t="str">
        <f>IFERROR(_xlfn.XLOOKUP(TRIM(B260),Lookup!$B$2:$B$1000,Lookup!$C$2:$C$1000),"")</f>
        <v>Equity</v>
      </c>
      <c r="D260" s="8" t="s">
        <v>7</v>
      </c>
      <c r="E260" s="9">
        <v>46098</v>
      </c>
      <c r="F260" s="8">
        <v>9.8455999999999992</v>
      </c>
    </row>
    <row r="261" spans="1:6" ht="75" x14ac:dyDescent="0.25">
      <c r="A261" s="8" t="s">
        <v>5</v>
      </c>
      <c r="B261" s="8" t="s">
        <v>6</v>
      </c>
      <c r="C261" s="8" t="str">
        <f>IFERROR(_xlfn.XLOOKUP(TRIM(B261),Lookup!$B$2:$B$1000,Lookup!$C$2:$C$1000),"")</f>
        <v>Equity</v>
      </c>
      <c r="D261" s="8" t="s">
        <v>7</v>
      </c>
      <c r="E261" s="9">
        <v>46099</v>
      </c>
      <c r="F261" s="8">
        <v>9.9224999999999994</v>
      </c>
    </row>
    <row r="262" spans="1:6" ht="75" x14ac:dyDescent="0.25">
      <c r="A262" s="8" t="s">
        <v>5</v>
      </c>
      <c r="B262" s="8" t="s">
        <v>6</v>
      </c>
      <c r="C262" s="8" t="str">
        <f>IFERROR(_xlfn.XLOOKUP(TRIM(B262),Lookup!$B$2:$B$1000,Lookup!$C$2:$C$1000),"")</f>
        <v>Equity</v>
      </c>
      <c r="D262" s="8" t="s">
        <v>7</v>
      </c>
      <c r="E262" s="9">
        <v>46100</v>
      </c>
      <c r="F262" s="8">
        <v>9.6370000000000005</v>
      </c>
    </row>
    <row r="263" spans="1:6" ht="75" x14ac:dyDescent="0.25">
      <c r="A263" s="8" t="s">
        <v>5</v>
      </c>
      <c r="B263" s="8" t="s">
        <v>6</v>
      </c>
      <c r="C263" s="8" t="str">
        <f>IFERROR(_xlfn.XLOOKUP(TRIM(B263),Lookup!$B$2:$B$1000,Lookup!$C$2:$C$1000),"")</f>
        <v>Equity</v>
      </c>
      <c r="D263" s="8" t="s">
        <v>7</v>
      </c>
      <c r="E263" s="9">
        <v>46101</v>
      </c>
      <c r="F263" s="8">
        <v>9.6982999999999997</v>
      </c>
    </row>
    <row r="264" spans="1:6" ht="75" x14ac:dyDescent="0.25">
      <c r="A264" s="8" t="s">
        <v>5</v>
      </c>
      <c r="B264" s="8" t="s">
        <v>6</v>
      </c>
      <c r="C264" s="8" t="str">
        <f>IFERROR(_xlfn.XLOOKUP(TRIM(B264),Lookup!$B$2:$B$1000,Lookup!$C$2:$C$1000),"")</f>
        <v>Equity</v>
      </c>
      <c r="D264" s="8" t="s">
        <v>7</v>
      </c>
      <c r="E264" s="9">
        <v>46104</v>
      </c>
      <c r="F264" s="8">
        <v>9.3055000000000003</v>
      </c>
    </row>
    <row r="265" spans="1:6" ht="75" x14ac:dyDescent="0.25">
      <c r="A265" s="8" t="s">
        <v>5</v>
      </c>
      <c r="B265" s="8" t="s">
        <v>6</v>
      </c>
      <c r="C265" s="8" t="str">
        <f>IFERROR(_xlfn.XLOOKUP(TRIM(B265),Lookup!$B$2:$B$1000,Lookup!$C$2:$C$1000),"")</f>
        <v>Equity</v>
      </c>
      <c r="D265" s="8" t="s">
        <v>7</v>
      </c>
      <c r="E265" s="9">
        <v>46105</v>
      </c>
      <c r="F265" s="8">
        <v>9.4440000000000008</v>
      </c>
    </row>
    <row r="266" spans="1:6" ht="75" x14ac:dyDescent="0.25">
      <c r="A266" s="8" t="s">
        <v>5</v>
      </c>
      <c r="B266" s="8" t="s">
        <v>6</v>
      </c>
      <c r="C266" s="8" t="str">
        <f>IFERROR(_xlfn.XLOOKUP(TRIM(B266),Lookup!$B$2:$B$1000,Lookup!$C$2:$C$1000),"")</f>
        <v>Equity</v>
      </c>
      <c r="D266" s="8" t="s">
        <v>7</v>
      </c>
      <c r="E266" s="9">
        <v>46106</v>
      </c>
      <c r="F266" s="8">
        <v>9.6224000000000007</v>
      </c>
    </row>
    <row r="267" spans="1:6" ht="75" x14ac:dyDescent="0.25">
      <c r="A267" s="8" t="s">
        <v>5</v>
      </c>
      <c r="B267" s="8" t="s">
        <v>6</v>
      </c>
      <c r="C267" s="8" t="str">
        <f>IFERROR(_xlfn.XLOOKUP(TRIM(B267),Lookup!$B$2:$B$1000,Lookup!$C$2:$C$1000),"")</f>
        <v>Equity</v>
      </c>
      <c r="D267" s="8" t="s">
        <v>7</v>
      </c>
      <c r="E267" s="9">
        <v>46108</v>
      </c>
      <c r="F267" s="8">
        <v>9.4513999999999996</v>
      </c>
    </row>
    <row r="268" spans="1:6" ht="75" x14ac:dyDescent="0.25">
      <c r="A268" s="8" t="s">
        <v>5</v>
      </c>
      <c r="B268" s="8" t="s">
        <v>6</v>
      </c>
      <c r="C268" s="8" t="str">
        <f>IFERROR(_xlfn.XLOOKUP(TRIM(B268),Lookup!$B$2:$B$1000,Lookup!$C$2:$C$1000),"")</f>
        <v>Equity</v>
      </c>
      <c r="D268" s="8" t="s">
        <v>7</v>
      </c>
      <c r="E268" s="9">
        <v>46111</v>
      </c>
      <c r="F268" s="8">
        <v>9.2901000000000007</v>
      </c>
    </row>
    <row r="269" spans="1:6" ht="75" x14ac:dyDescent="0.25">
      <c r="A269" s="8" t="s">
        <v>5</v>
      </c>
      <c r="B269" s="8" t="s">
        <v>6</v>
      </c>
      <c r="C269" s="8" t="str">
        <f>IFERROR(_xlfn.XLOOKUP(TRIM(B269),Lookup!$B$2:$B$1000,Lookup!$C$2:$C$1000),"")</f>
        <v>Equity</v>
      </c>
      <c r="D269" s="8" t="s">
        <v>7</v>
      </c>
      <c r="E269" s="9">
        <v>46112</v>
      </c>
      <c r="F269" s="8">
        <v>9.2897999999999996</v>
      </c>
    </row>
    <row r="270" spans="1:6" ht="75" x14ac:dyDescent="0.25">
      <c r="A270" s="8" t="s">
        <v>5</v>
      </c>
      <c r="B270" s="8" t="s">
        <v>6</v>
      </c>
      <c r="C270" s="8" t="str">
        <f>IFERROR(_xlfn.XLOOKUP(TRIM(B270),Lookup!$B$2:$B$1000,Lookup!$C$2:$C$1000),"")</f>
        <v>Equity</v>
      </c>
      <c r="D270" s="8" t="s">
        <v>7</v>
      </c>
      <c r="E270" s="9">
        <v>46113</v>
      </c>
      <c r="F270" s="8">
        <v>9.5235000000000003</v>
      </c>
    </row>
    <row r="271" spans="1:6" ht="75" x14ac:dyDescent="0.25">
      <c r="A271" s="8" t="s">
        <v>5</v>
      </c>
      <c r="B271" s="8" t="s">
        <v>6</v>
      </c>
      <c r="C271" s="8" t="str">
        <f>IFERROR(_xlfn.XLOOKUP(TRIM(B271),Lookup!$B$2:$B$1000,Lookup!$C$2:$C$1000),"")</f>
        <v>Equity</v>
      </c>
      <c r="D271" s="8" t="s">
        <v>7</v>
      </c>
      <c r="E271" s="9">
        <v>46114</v>
      </c>
      <c r="F271" s="8">
        <v>9.5053000000000001</v>
      </c>
    </row>
    <row r="272" spans="1:6" ht="75" x14ac:dyDescent="0.25">
      <c r="A272" s="8" t="s">
        <v>5</v>
      </c>
      <c r="B272" s="8" t="s">
        <v>6</v>
      </c>
      <c r="C272" s="8" t="str">
        <f>IFERROR(_xlfn.XLOOKUP(TRIM(B272),Lookup!$B$2:$B$1000,Lookup!$C$2:$C$1000),"")</f>
        <v>Equity</v>
      </c>
      <c r="D272" s="8" t="s">
        <v>7</v>
      </c>
      <c r="E272" s="9">
        <v>46118</v>
      </c>
      <c r="F272" s="8">
        <v>9.6123999999999992</v>
      </c>
    </row>
    <row r="273" spans="1:6" ht="75" x14ac:dyDescent="0.25">
      <c r="A273" s="8" t="s">
        <v>5</v>
      </c>
      <c r="B273" s="8" t="s">
        <v>6</v>
      </c>
      <c r="C273" s="8" t="str">
        <f>IFERROR(_xlfn.XLOOKUP(TRIM(B273),Lookup!$B$2:$B$1000,Lookup!$C$2:$C$1000),"")</f>
        <v>Equity</v>
      </c>
      <c r="D273" s="8" t="s">
        <v>7</v>
      </c>
      <c r="E273" s="9">
        <v>46119</v>
      </c>
      <c r="F273" s="8">
        <v>9.6257000000000001</v>
      </c>
    </row>
    <row r="274" spans="1:6" ht="75" x14ac:dyDescent="0.25">
      <c r="A274" s="8" t="s">
        <v>5</v>
      </c>
      <c r="B274" s="8" t="s">
        <v>6</v>
      </c>
      <c r="C274" s="8" t="str">
        <f>IFERROR(_xlfn.XLOOKUP(TRIM(B274),Lookup!$B$2:$B$1000,Lookup!$C$2:$C$1000),"")</f>
        <v>Equity</v>
      </c>
      <c r="D274" s="8" t="s">
        <v>7</v>
      </c>
      <c r="E274" s="9">
        <v>46120</v>
      </c>
      <c r="F274" s="8">
        <v>9.9838000000000005</v>
      </c>
    </row>
    <row r="275" spans="1:6" ht="75" x14ac:dyDescent="0.25">
      <c r="A275" s="8" t="s">
        <v>5</v>
      </c>
      <c r="B275" s="8" t="s">
        <v>6</v>
      </c>
      <c r="C275" s="8" t="str">
        <f>IFERROR(_xlfn.XLOOKUP(TRIM(B275),Lookup!$B$2:$B$1000,Lookup!$C$2:$C$1000),"")</f>
        <v>Equity</v>
      </c>
      <c r="D275" s="8" t="s">
        <v>7</v>
      </c>
      <c r="E275" s="9">
        <v>46121</v>
      </c>
      <c r="F275" s="8">
        <v>9.9838000000000005</v>
      </c>
    </row>
    <row r="276" spans="1:6" ht="75" x14ac:dyDescent="0.25">
      <c r="A276" s="8" t="s">
        <v>5</v>
      </c>
      <c r="B276" s="8" t="s">
        <v>6</v>
      </c>
      <c r="C276" s="8" t="str">
        <f>IFERROR(_xlfn.XLOOKUP(TRIM(B276),Lookup!$B$2:$B$1000,Lookup!$C$2:$C$1000),"")</f>
        <v>Equity</v>
      </c>
      <c r="D276" s="8" t="s">
        <v>7</v>
      </c>
      <c r="E276" s="9">
        <v>46122</v>
      </c>
      <c r="F276" s="8">
        <v>10.07</v>
      </c>
    </row>
    <row r="277" spans="1:6" ht="75" x14ac:dyDescent="0.25">
      <c r="A277" s="8" t="s">
        <v>5</v>
      </c>
      <c r="B277" s="8" t="s">
        <v>6</v>
      </c>
      <c r="C277" s="8" t="str">
        <f>IFERROR(_xlfn.XLOOKUP(TRIM(B277),Lookup!$B$2:$B$1000,Lookup!$C$2:$C$1000),"")</f>
        <v>Equity</v>
      </c>
      <c r="D277" s="8" t="s">
        <v>7</v>
      </c>
      <c r="E277" s="9">
        <v>46125</v>
      </c>
      <c r="F277" s="8">
        <v>10.005000000000001</v>
      </c>
    </row>
    <row r="278" spans="1:6" ht="75" x14ac:dyDescent="0.25">
      <c r="A278" s="8" t="s">
        <v>5</v>
      </c>
      <c r="B278" s="8" t="s">
        <v>6</v>
      </c>
      <c r="C278" s="8" t="str">
        <f>IFERROR(_xlfn.XLOOKUP(TRIM(B278),Lookup!$B$2:$B$1000,Lookup!$C$2:$C$1000),"")</f>
        <v>Equity</v>
      </c>
      <c r="D278" s="8" t="s">
        <v>7</v>
      </c>
      <c r="E278" s="9">
        <v>46127</v>
      </c>
      <c r="F278" s="8">
        <v>10.2042</v>
      </c>
    </row>
    <row r="279" spans="1:6" ht="75" x14ac:dyDescent="0.25">
      <c r="A279" s="8" t="s">
        <v>5</v>
      </c>
      <c r="B279" s="8" t="s">
        <v>6</v>
      </c>
      <c r="C279" s="8" t="str">
        <f>IFERROR(_xlfn.XLOOKUP(TRIM(B279),Lookup!$B$2:$B$1000,Lookup!$C$2:$C$1000),"")</f>
        <v>Equity</v>
      </c>
      <c r="D279" s="8" t="s">
        <v>7</v>
      </c>
      <c r="E279" s="9">
        <v>46128</v>
      </c>
      <c r="F279" s="8">
        <v>10.2476</v>
      </c>
    </row>
    <row r="280" spans="1:6" ht="75" x14ac:dyDescent="0.25">
      <c r="A280" s="8" t="s">
        <v>5</v>
      </c>
      <c r="B280" s="8" t="s">
        <v>6</v>
      </c>
      <c r="C280" s="8" t="str">
        <f>IFERROR(_xlfn.XLOOKUP(TRIM(B280),Lookup!$B$2:$B$1000,Lookup!$C$2:$C$1000),"")</f>
        <v>Equity</v>
      </c>
      <c r="D280" s="8" t="s">
        <v>7</v>
      </c>
      <c r="E280" s="9">
        <v>46129</v>
      </c>
      <c r="F280" s="8">
        <v>10.352600000000001</v>
      </c>
    </row>
    <row r="281" spans="1:6" ht="75" x14ac:dyDescent="0.25">
      <c r="A281" s="8" t="s">
        <v>5</v>
      </c>
      <c r="B281" s="8" t="s">
        <v>6</v>
      </c>
      <c r="C281" s="8" t="str">
        <f>IFERROR(_xlfn.XLOOKUP(TRIM(B281),Lookup!$B$2:$B$1000,Lookup!$C$2:$C$1000),"")</f>
        <v>Equity</v>
      </c>
      <c r="D281" s="8" t="s">
        <v>7</v>
      </c>
      <c r="E281" s="9">
        <v>46132</v>
      </c>
      <c r="F281" s="8">
        <v>10.374499999999999</v>
      </c>
    </row>
    <row r="282" spans="1:6" ht="75" x14ac:dyDescent="0.25">
      <c r="A282" s="8" t="s">
        <v>5</v>
      </c>
      <c r="B282" s="8" t="s">
        <v>6</v>
      </c>
      <c r="C282" s="8" t="str">
        <f>IFERROR(_xlfn.XLOOKUP(TRIM(B282),Lookup!$B$2:$B$1000,Lookup!$C$2:$C$1000),"")</f>
        <v>Equity</v>
      </c>
      <c r="D282" s="8" t="s">
        <v>7</v>
      </c>
      <c r="E282" s="9">
        <v>46133</v>
      </c>
      <c r="F282" s="8">
        <v>10.437900000000001</v>
      </c>
    </row>
    <row r="283" spans="1:6" ht="75" x14ac:dyDescent="0.25">
      <c r="A283" s="8" t="s">
        <v>5</v>
      </c>
      <c r="B283" s="8" t="s">
        <v>6</v>
      </c>
      <c r="C283" s="8" t="str">
        <f>IFERROR(_xlfn.XLOOKUP(TRIM(B283),Lookup!$B$2:$B$1000,Lookup!$C$2:$C$1000),"")</f>
        <v>Equity</v>
      </c>
      <c r="D283" s="8" t="s">
        <v>7</v>
      </c>
      <c r="E283" s="9">
        <v>46134</v>
      </c>
      <c r="F283" s="8">
        <v>10.506</v>
      </c>
    </row>
    <row r="284" spans="1:6" ht="75" x14ac:dyDescent="0.25">
      <c r="A284" s="8" t="s">
        <v>5</v>
      </c>
      <c r="B284" s="8" t="s">
        <v>6</v>
      </c>
      <c r="C284" s="8" t="str">
        <f>IFERROR(_xlfn.XLOOKUP(TRIM(B284),Lookup!$B$2:$B$1000,Lookup!$C$2:$C$1000),"")</f>
        <v>Equity</v>
      </c>
      <c r="D284" s="8" t="s">
        <v>7</v>
      </c>
      <c r="E284" s="9">
        <v>46135</v>
      </c>
      <c r="F284" s="8">
        <v>10.4155</v>
      </c>
    </row>
    <row r="285" spans="1:6" ht="75" x14ac:dyDescent="0.25">
      <c r="A285" s="8" t="s">
        <v>5</v>
      </c>
      <c r="B285" s="8" t="s">
        <v>6</v>
      </c>
      <c r="C285" s="8" t="str">
        <f>IFERROR(_xlfn.XLOOKUP(TRIM(B285),Lookup!$B$2:$B$1000,Lookup!$C$2:$C$1000),"")</f>
        <v>Equity</v>
      </c>
      <c r="D285" s="8" t="s">
        <v>7</v>
      </c>
      <c r="E285" s="9">
        <v>46136</v>
      </c>
      <c r="F285" s="8">
        <v>10.383100000000001</v>
      </c>
    </row>
    <row r="286" spans="1:6" ht="75" x14ac:dyDescent="0.25">
      <c r="A286" s="8" t="s">
        <v>5</v>
      </c>
      <c r="B286" s="8" t="s">
        <v>6</v>
      </c>
      <c r="C286" s="8" t="str">
        <f>IFERROR(_xlfn.XLOOKUP(TRIM(B286),Lookup!$B$2:$B$1000,Lookup!$C$2:$C$1000),"")</f>
        <v>Equity</v>
      </c>
      <c r="D286" s="8" t="s">
        <v>7</v>
      </c>
      <c r="E286" s="9">
        <v>46139</v>
      </c>
      <c r="F286" s="8">
        <v>10.4907</v>
      </c>
    </row>
    <row r="287" spans="1:6" ht="75" x14ac:dyDescent="0.25">
      <c r="A287" s="8" t="s">
        <v>5</v>
      </c>
      <c r="B287" s="8" t="s">
        <v>6</v>
      </c>
      <c r="C287" s="8" t="str">
        <f>IFERROR(_xlfn.XLOOKUP(TRIM(B287),Lookup!$B$2:$B$1000,Lookup!$C$2:$C$1000),"")</f>
        <v>Equity</v>
      </c>
      <c r="D287" s="8" t="s">
        <v>7</v>
      </c>
      <c r="E287" s="9">
        <v>46140</v>
      </c>
      <c r="F287" s="8">
        <v>10.514099999999999</v>
      </c>
    </row>
    <row r="288" spans="1:6" ht="75" x14ac:dyDescent="0.25">
      <c r="A288" s="8" t="s">
        <v>5</v>
      </c>
      <c r="B288" s="8" t="s">
        <v>6</v>
      </c>
      <c r="C288" s="8" t="str">
        <f>IFERROR(_xlfn.XLOOKUP(TRIM(B288),Lookup!$B$2:$B$1000,Lookup!$C$2:$C$1000),"")</f>
        <v>Equity</v>
      </c>
      <c r="D288" s="8" t="s">
        <v>7</v>
      </c>
      <c r="E288" s="9">
        <v>46141</v>
      </c>
      <c r="F288" s="8">
        <v>10.501200000000001</v>
      </c>
    </row>
    <row r="289" spans="1:6" ht="75" x14ac:dyDescent="0.25">
      <c r="A289" s="8" t="s">
        <v>5</v>
      </c>
      <c r="B289" s="8" t="s">
        <v>6</v>
      </c>
      <c r="C289" s="8" t="str">
        <f>IFERROR(_xlfn.XLOOKUP(TRIM(B289),Lookup!$B$2:$B$1000,Lookup!$C$2:$C$1000),"")</f>
        <v>Equity</v>
      </c>
      <c r="D289" s="8" t="s">
        <v>7</v>
      </c>
      <c r="E289" s="9">
        <v>46142</v>
      </c>
      <c r="F289" s="8">
        <v>10.357900000000001</v>
      </c>
    </row>
    <row r="290" spans="1:6" ht="75" x14ac:dyDescent="0.25">
      <c r="A290" s="8" t="s">
        <v>5</v>
      </c>
      <c r="B290" s="8" t="s">
        <v>6</v>
      </c>
      <c r="C290" s="8" t="str">
        <f>IFERROR(_xlfn.XLOOKUP(TRIM(B290),Lookup!$B$2:$B$1000,Lookup!$C$2:$C$1000),"")</f>
        <v>Equity</v>
      </c>
      <c r="D290" s="8" t="s">
        <v>7</v>
      </c>
      <c r="E290" s="9">
        <v>46146</v>
      </c>
      <c r="F290" s="8">
        <v>10.373799999999999</v>
      </c>
    </row>
    <row r="291" spans="1:6" ht="75" x14ac:dyDescent="0.25">
      <c r="A291" s="8" t="s">
        <v>5</v>
      </c>
      <c r="B291" s="8" t="s">
        <v>6</v>
      </c>
      <c r="C291" s="8" t="str">
        <f>IFERROR(_xlfn.XLOOKUP(TRIM(B291),Lookup!$B$2:$B$1000,Lookup!$C$2:$C$1000),"")</f>
        <v>Equity</v>
      </c>
      <c r="D291" s="8" t="s">
        <v>7</v>
      </c>
      <c r="E291" s="9">
        <v>46147</v>
      </c>
      <c r="F291" s="8">
        <v>10.343999999999999</v>
      </c>
    </row>
    <row r="292" spans="1:6" ht="75" x14ac:dyDescent="0.25">
      <c r="A292" s="8" t="s">
        <v>5</v>
      </c>
      <c r="B292" s="8" t="s">
        <v>6</v>
      </c>
      <c r="C292" s="8" t="str">
        <f>IFERROR(_xlfn.XLOOKUP(TRIM(B292),Lookup!$B$2:$B$1000,Lookup!$C$2:$C$1000),"")</f>
        <v>Equity</v>
      </c>
      <c r="D292" s="8" t="s">
        <v>7</v>
      </c>
      <c r="E292" s="9">
        <v>46148</v>
      </c>
      <c r="F292" s="8">
        <v>10.516</v>
      </c>
    </row>
    <row r="293" spans="1:6" ht="75" x14ac:dyDescent="0.25">
      <c r="A293" s="8" t="s">
        <v>5</v>
      </c>
      <c r="B293" s="8" t="s">
        <v>6</v>
      </c>
      <c r="C293" s="8" t="str">
        <f>IFERROR(_xlfn.XLOOKUP(TRIM(B293),Lookup!$B$2:$B$1000,Lookup!$C$2:$C$1000),"")</f>
        <v>Equity</v>
      </c>
      <c r="D293" s="8" t="s">
        <v>7</v>
      </c>
      <c r="E293" s="9">
        <v>46149</v>
      </c>
      <c r="F293" s="8">
        <v>10.5101</v>
      </c>
    </row>
    <row r="294" spans="1:6" ht="75" x14ac:dyDescent="0.25">
      <c r="A294" s="8" t="s">
        <v>5</v>
      </c>
      <c r="B294" s="8" t="s">
        <v>6</v>
      </c>
      <c r="C294" s="8" t="str">
        <f>IFERROR(_xlfn.XLOOKUP(TRIM(B294),Lookup!$B$2:$B$1000,Lookup!$C$2:$C$1000),"")</f>
        <v>Equity</v>
      </c>
      <c r="D294" s="8" t="s">
        <v>7</v>
      </c>
      <c r="E294" s="9">
        <v>46150</v>
      </c>
      <c r="F294" s="8">
        <v>10.3813</v>
      </c>
    </row>
    <row r="295" spans="1:6" ht="75" x14ac:dyDescent="0.25">
      <c r="A295" s="8" t="s">
        <v>5</v>
      </c>
      <c r="B295" s="8" t="s">
        <v>6</v>
      </c>
      <c r="C295" s="8" t="str">
        <f>IFERROR(_xlfn.XLOOKUP(TRIM(B295),Lookup!$B$2:$B$1000,Lookup!$C$2:$C$1000),"")</f>
        <v>Equity</v>
      </c>
      <c r="D295" s="8" t="s">
        <v>7</v>
      </c>
      <c r="E295" s="9">
        <v>46153</v>
      </c>
      <c r="F295" s="8">
        <v>10.1998</v>
      </c>
    </row>
    <row r="296" spans="1:6" ht="75" x14ac:dyDescent="0.25">
      <c r="A296" s="8" t="s">
        <v>5</v>
      </c>
      <c r="B296" s="8" t="s">
        <v>6</v>
      </c>
      <c r="C296" s="8" t="str">
        <f>IFERROR(_xlfn.XLOOKUP(TRIM(B296),Lookup!$B$2:$B$1000,Lookup!$C$2:$C$1000),"")</f>
        <v>Equity</v>
      </c>
      <c r="D296" s="8" t="s">
        <v>7</v>
      </c>
      <c r="E296" s="9">
        <v>46154</v>
      </c>
      <c r="F296" s="8">
        <v>10.086600000000001</v>
      </c>
    </row>
    <row r="297" spans="1:6" ht="75" x14ac:dyDescent="0.25">
      <c r="A297" s="8" t="s">
        <v>5</v>
      </c>
      <c r="B297" s="8" t="s">
        <v>6</v>
      </c>
      <c r="C297" s="8" t="str">
        <f>IFERROR(_xlfn.XLOOKUP(TRIM(B297),Lookup!$B$2:$B$1000,Lookup!$C$2:$C$1000),"")</f>
        <v>Equity</v>
      </c>
      <c r="D297" s="8" t="s">
        <v>7</v>
      </c>
      <c r="E297" s="9">
        <v>46155</v>
      </c>
      <c r="F297" s="8">
        <v>10.238200000000001</v>
      </c>
    </row>
    <row r="298" spans="1:6" ht="75" x14ac:dyDescent="0.25">
      <c r="A298" s="8" t="s">
        <v>5</v>
      </c>
      <c r="B298" s="8" t="s">
        <v>6</v>
      </c>
      <c r="C298" s="8" t="str">
        <f>IFERROR(_xlfn.XLOOKUP(TRIM(B298),Lookup!$B$2:$B$1000,Lookup!$C$2:$C$1000),"")</f>
        <v>Equity</v>
      </c>
      <c r="D298" s="8" t="s">
        <v>7</v>
      </c>
      <c r="E298" s="9">
        <v>46156</v>
      </c>
      <c r="F298" s="8">
        <v>10.291499999999999</v>
      </c>
    </row>
    <row r="299" spans="1:6" ht="75" x14ac:dyDescent="0.25">
      <c r="A299" s="8" t="s">
        <v>5</v>
      </c>
      <c r="B299" s="8" t="s">
        <v>6</v>
      </c>
      <c r="C299" s="8" t="str">
        <f>IFERROR(_xlfn.XLOOKUP(TRIM(B299),Lookup!$B$2:$B$1000,Lookup!$C$2:$C$1000),"")</f>
        <v>Equity</v>
      </c>
      <c r="D299" s="8" t="s">
        <v>7</v>
      </c>
      <c r="E299" s="9">
        <v>46157</v>
      </c>
      <c r="F299" s="8">
        <v>10.207599999999999</v>
      </c>
    </row>
    <row r="300" spans="1:6" ht="75" x14ac:dyDescent="0.25">
      <c r="A300" s="8" t="s">
        <v>5</v>
      </c>
      <c r="B300" s="8" t="s">
        <v>6</v>
      </c>
      <c r="C300" s="8" t="str">
        <f>IFERROR(_xlfn.XLOOKUP(TRIM(B300),Lookup!$B$2:$B$1000,Lookup!$C$2:$C$1000),"")</f>
        <v>Equity</v>
      </c>
      <c r="D300" s="8" t="s">
        <v>7</v>
      </c>
      <c r="E300" s="9">
        <v>46160</v>
      </c>
      <c r="F300" s="8">
        <v>10.090400000000001</v>
      </c>
    </row>
    <row r="301" spans="1:6" ht="75" x14ac:dyDescent="0.25">
      <c r="A301" s="8" t="s">
        <v>5</v>
      </c>
      <c r="B301" s="8" t="s">
        <v>6</v>
      </c>
      <c r="C301" s="8" t="str">
        <f>IFERROR(_xlfn.XLOOKUP(TRIM(B301),Lookup!$B$2:$B$1000,Lookup!$C$2:$C$1000),"")</f>
        <v>Equity</v>
      </c>
      <c r="D301" s="8" t="s">
        <v>7</v>
      </c>
      <c r="E301" s="9">
        <v>46161</v>
      </c>
      <c r="F301" s="8">
        <v>10.165699999999999</v>
      </c>
    </row>
    <row r="302" spans="1:6" ht="75" x14ac:dyDescent="0.25">
      <c r="A302" s="8" t="s">
        <v>5</v>
      </c>
      <c r="B302" s="8" t="s">
        <v>6</v>
      </c>
      <c r="C302" s="8" t="str">
        <f>IFERROR(_xlfn.XLOOKUP(TRIM(B302),Lookup!$B$2:$B$1000,Lookup!$C$2:$C$1000),"")</f>
        <v>Equity</v>
      </c>
      <c r="D302" s="8" t="s">
        <v>7</v>
      </c>
      <c r="E302" s="9">
        <v>46162</v>
      </c>
      <c r="F302" s="8">
        <v>10.2148</v>
      </c>
    </row>
    <row r="303" spans="1:6" ht="75" x14ac:dyDescent="0.25">
      <c r="A303" s="8" t="s">
        <v>5</v>
      </c>
      <c r="B303" s="8" t="s">
        <v>6</v>
      </c>
      <c r="C303" s="8" t="str">
        <f>IFERROR(_xlfn.XLOOKUP(TRIM(B303),Lookup!$B$2:$B$1000,Lookup!$C$2:$C$1000),"")</f>
        <v>Equity</v>
      </c>
      <c r="D303" s="8" t="s">
        <v>7</v>
      </c>
      <c r="E303" s="9">
        <v>46163</v>
      </c>
      <c r="F303" s="8">
        <v>10.251300000000001</v>
      </c>
    </row>
    <row r="304" spans="1:6" ht="75" x14ac:dyDescent="0.25">
      <c r="A304" s="8" t="s">
        <v>5</v>
      </c>
      <c r="B304" s="8" t="s">
        <v>6</v>
      </c>
      <c r="C304" s="8" t="str">
        <f>IFERROR(_xlfn.XLOOKUP(TRIM(B304),Lookup!$B$2:$B$1000,Lookup!$C$2:$C$1000),"")</f>
        <v>Equity</v>
      </c>
      <c r="D304" s="8" t="s">
        <v>7</v>
      </c>
      <c r="E304" s="9">
        <v>46164</v>
      </c>
      <c r="F304" s="8">
        <v>10.2615</v>
      </c>
    </row>
    <row r="305" spans="1:6" ht="75" x14ac:dyDescent="0.25">
      <c r="A305" s="8" t="s">
        <v>5</v>
      </c>
      <c r="B305" s="8" t="s">
        <v>6</v>
      </c>
      <c r="C305" s="8" t="str">
        <f>IFERROR(_xlfn.XLOOKUP(TRIM(B305),Lookup!$B$2:$B$1000,Lookup!$C$2:$C$1000),"")</f>
        <v>Equity</v>
      </c>
      <c r="D305" s="8" t="s">
        <v>7</v>
      </c>
      <c r="E305" s="9">
        <v>46167</v>
      </c>
      <c r="F305" s="8">
        <v>10.421900000000001</v>
      </c>
    </row>
    <row r="306" spans="1:6" ht="75" x14ac:dyDescent="0.25">
      <c r="A306" s="8" t="s">
        <v>5</v>
      </c>
      <c r="B306" s="8" t="s">
        <v>6</v>
      </c>
      <c r="C306" s="8" t="str">
        <f>IFERROR(_xlfn.XLOOKUP(TRIM(B306),Lookup!$B$2:$B$1000,Lookup!$C$2:$C$1000),"")</f>
        <v>Equity</v>
      </c>
      <c r="D306" s="8" t="s">
        <v>7</v>
      </c>
      <c r="E306" s="9">
        <v>46168</v>
      </c>
      <c r="F306" s="8">
        <v>10.4413</v>
      </c>
    </row>
    <row r="307" spans="1:6" ht="75" x14ac:dyDescent="0.25">
      <c r="A307" s="8" t="s">
        <v>5</v>
      </c>
      <c r="B307" s="8" t="s">
        <v>6</v>
      </c>
      <c r="C307" s="8" t="str">
        <f>IFERROR(_xlfn.XLOOKUP(TRIM(B307),Lookup!$B$2:$B$1000,Lookup!$C$2:$C$1000),"")</f>
        <v>Equity</v>
      </c>
      <c r="D307" s="8" t="s">
        <v>7</v>
      </c>
      <c r="E307" s="9">
        <v>46169</v>
      </c>
      <c r="F307" s="8">
        <v>10.5046</v>
      </c>
    </row>
    <row r="308" spans="1:6" ht="75" x14ac:dyDescent="0.25">
      <c r="A308" s="8" t="s">
        <v>5</v>
      </c>
      <c r="B308" s="8" t="s">
        <v>6</v>
      </c>
      <c r="C308" s="8" t="str">
        <f>IFERROR(_xlfn.XLOOKUP(TRIM(B308),Lookup!$B$2:$B$1000,Lookup!$C$2:$C$1000),"")</f>
        <v>Equity</v>
      </c>
      <c r="D308" s="8" t="s">
        <v>7</v>
      </c>
      <c r="E308" s="9">
        <v>46171</v>
      </c>
      <c r="F308" s="8">
        <v>10.331200000000001</v>
      </c>
    </row>
    <row r="309" spans="1:6" ht="75" x14ac:dyDescent="0.25">
      <c r="A309" s="8" t="s">
        <v>5</v>
      </c>
      <c r="B309" s="8" t="s">
        <v>6</v>
      </c>
      <c r="C309" s="8" t="str">
        <f>IFERROR(_xlfn.XLOOKUP(TRIM(B309),Lookup!$B$2:$B$1000,Lookup!$C$2:$C$1000),"")</f>
        <v>Equity</v>
      </c>
      <c r="D309" s="8" t="s">
        <v>7</v>
      </c>
      <c r="E309" s="9">
        <v>46174</v>
      </c>
      <c r="F309" s="8">
        <v>10.270899999999999</v>
      </c>
    </row>
    <row r="310" spans="1:6" ht="75" x14ac:dyDescent="0.25">
      <c r="A310" s="8" t="s">
        <v>5</v>
      </c>
      <c r="B310" s="8" t="s">
        <v>6</v>
      </c>
      <c r="C310" s="8" t="str">
        <f>IFERROR(_xlfn.XLOOKUP(TRIM(B310),Lookup!$B$2:$B$1000,Lookup!$C$2:$C$1000),"")</f>
        <v>Equity</v>
      </c>
      <c r="D310" s="8" t="s">
        <v>7</v>
      </c>
      <c r="E310" s="9">
        <v>46175</v>
      </c>
      <c r="F310" s="8">
        <v>10.298500000000001</v>
      </c>
    </row>
    <row r="311" spans="1:6" ht="75" x14ac:dyDescent="0.25">
      <c r="A311" s="8" t="s">
        <v>5</v>
      </c>
      <c r="B311" s="8" t="s">
        <v>6</v>
      </c>
      <c r="C311" s="8" t="str">
        <f>IFERROR(_xlfn.XLOOKUP(TRIM(B311),Lookup!$B$2:$B$1000,Lookup!$C$2:$C$1000),"")</f>
        <v>Equity</v>
      </c>
      <c r="D311" s="8" t="s">
        <v>7</v>
      </c>
      <c r="E311" s="9">
        <v>46176</v>
      </c>
      <c r="F311" s="8">
        <v>10.342499999999999</v>
      </c>
    </row>
    <row r="312" spans="1:6" ht="75" x14ac:dyDescent="0.25">
      <c r="A312" s="8" t="s">
        <v>5</v>
      </c>
      <c r="B312" s="8" t="s">
        <v>6</v>
      </c>
      <c r="C312" s="8" t="str">
        <f>IFERROR(_xlfn.XLOOKUP(TRIM(B312),Lookup!$B$2:$B$1000,Lookup!$C$2:$C$1000),"")</f>
        <v>Equity</v>
      </c>
      <c r="D312" s="8" t="s">
        <v>7</v>
      </c>
      <c r="E312" s="9">
        <v>46177</v>
      </c>
      <c r="F312" s="8">
        <v>10.3977</v>
      </c>
    </row>
    <row r="313" spans="1:6" ht="75" x14ac:dyDescent="0.25">
      <c r="A313" s="8" t="s">
        <v>5</v>
      </c>
      <c r="B313" s="8" t="s">
        <v>6</v>
      </c>
      <c r="C313" s="8" t="str">
        <f>IFERROR(_xlfn.XLOOKUP(TRIM(B313),Lookup!$B$2:$B$1000,Lookup!$C$2:$C$1000),"")</f>
        <v>Equity</v>
      </c>
      <c r="D313" s="8" t="s">
        <v>7</v>
      </c>
      <c r="E313" s="9">
        <v>46178</v>
      </c>
      <c r="F313" s="8">
        <v>10.3977</v>
      </c>
    </row>
    <row r="314" spans="1:6" ht="75" x14ac:dyDescent="0.25">
      <c r="A314" s="8" t="s">
        <v>5</v>
      </c>
      <c r="B314" s="8" t="s">
        <v>6</v>
      </c>
      <c r="C314" s="8" t="str">
        <f>IFERROR(_xlfn.XLOOKUP(TRIM(B314),Lookup!$B$2:$B$1000,Lookup!$C$2:$C$1000),"")</f>
        <v>Equity</v>
      </c>
      <c r="D314" s="8" t="s">
        <v>7</v>
      </c>
      <c r="E314" s="9">
        <v>46179</v>
      </c>
      <c r="F314" s="8">
        <v>10.3977</v>
      </c>
    </row>
    <row r="315" spans="1:6" ht="75" x14ac:dyDescent="0.25">
      <c r="A315" s="8" t="s">
        <v>5</v>
      </c>
      <c r="B315" s="8" t="s">
        <v>6</v>
      </c>
      <c r="C315" s="8" t="str">
        <f>IFERROR(_xlfn.XLOOKUP(TRIM(B315),Lookup!$B$2:$B$1000,Lookup!$C$2:$C$1000),"")</f>
        <v>Equity</v>
      </c>
      <c r="D315" s="8" t="s">
        <v>7</v>
      </c>
      <c r="E315" s="9">
        <v>46180</v>
      </c>
      <c r="F315" s="8">
        <v>10.355399999999999</v>
      </c>
    </row>
    <row r="316" spans="1:6" ht="75" x14ac:dyDescent="0.25">
      <c r="A316" s="8" t="s">
        <v>5</v>
      </c>
      <c r="B316" s="8" t="s">
        <v>6</v>
      </c>
      <c r="C316" s="8" t="str">
        <f>IFERROR(_xlfn.XLOOKUP(TRIM(B316),Lookup!$B$2:$B$1000,Lookup!$C$2:$C$1000),"")</f>
        <v>Equity</v>
      </c>
      <c r="D316" s="8" t="s">
        <v>7</v>
      </c>
      <c r="E316" s="9">
        <v>46181</v>
      </c>
      <c r="F316" s="8">
        <v>10.182700000000001</v>
      </c>
    </row>
    <row r="317" spans="1:6" ht="75" x14ac:dyDescent="0.25">
      <c r="A317" s="8" t="s">
        <v>5</v>
      </c>
      <c r="B317" s="8" t="s">
        <v>6</v>
      </c>
      <c r="C317" s="8" t="str">
        <f>IFERROR(_xlfn.XLOOKUP(TRIM(B317),Lookup!$B$2:$B$1000,Lookup!$C$2:$C$1000),"")</f>
        <v>Equity</v>
      </c>
      <c r="D317" s="8" t="s">
        <v>7</v>
      </c>
      <c r="E317" s="9">
        <v>46182</v>
      </c>
      <c r="F317" s="8">
        <v>10.325100000000001</v>
      </c>
    </row>
    <row r="318" spans="1:6" ht="75" x14ac:dyDescent="0.25">
      <c r="A318" s="8" t="s">
        <v>5</v>
      </c>
      <c r="B318" s="8" t="s">
        <v>6</v>
      </c>
      <c r="C318" s="8" t="str">
        <f>IFERROR(_xlfn.XLOOKUP(TRIM(B318),Lookup!$B$2:$B$1000,Lookup!$C$2:$C$1000),"")</f>
        <v>Equity</v>
      </c>
      <c r="D318" s="8" t="s">
        <v>7</v>
      </c>
      <c r="E318" s="9">
        <v>46183</v>
      </c>
      <c r="F318" s="8">
        <v>10.1197</v>
      </c>
    </row>
    <row r="319" spans="1:6" ht="75" x14ac:dyDescent="0.25">
      <c r="A319" s="8" t="s">
        <v>5</v>
      </c>
      <c r="B319" s="8" t="s">
        <v>6</v>
      </c>
      <c r="C319" s="8" t="str">
        <f>IFERROR(_xlfn.XLOOKUP(TRIM(B319),Lookup!$B$2:$B$1000,Lookup!$C$2:$C$1000),"")</f>
        <v>Equity</v>
      </c>
      <c r="D319" s="8" t="s">
        <v>7</v>
      </c>
      <c r="E319" s="9">
        <v>46184</v>
      </c>
      <c r="F319" s="8">
        <v>10.0185</v>
      </c>
    </row>
    <row r="320" spans="1:6" ht="75" x14ac:dyDescent="0.25">
      <c r="A320" s="8" t="s">
        <v>5</v>
      </c>
      <c r="B320" s="8" t="s">
        <v>6</v>
      </c>
      <c r="C320" s="8" t="str">
        <f>IFERROR(_xlfn.XLOOKUP(TRIM(B320),Lookup!$B$2:$B$1000,Lookup!$C$2:$C$1000),"")</f>
        <v>Equity</v>
      </c>
      <c r="D320" s="8" t="s">
        <v>7</v>
      </c>
      <c r="E320" s="9">
        <v>46185</v>
      </c>
      <c r="F320" s="8">
        <v>10.245200000000001</v>
      </c>
    </row>
    <row r="321" spans="1:6" ht="75" x14ac:dyDescent="0.25">
      <c r="A321" s="8" t="s">
        <v>5</v>
      </c>
      <c r="B321" s="8" t="s">
        <v>6</v>
      </c>
      <c r="C321" s="8" t="str">
        <f>IFERROR(_xlfn.XLOOKUP(TRIM(B321),Lookup!$B$2:$B$1000,Lookup!$C$2:$C$1000),"")</f>
        <v>Equity</v>
      </c>
      <c r="D321" s="8" t="s">
        <v>7</v>
      </c>
      <c r="E321" s="9">
        <v>46188</v>
      </c>
      <c r="F321" s="8">
        <v>10.338100000000001</v>
      </c>
    </row>
    <row r="322" spans="1:6" ht="75" x14ac:dyDescent="0.25">
      <c r="A322" s="8" t="s">
        <v>5</v>
      </c>
      <c r="B322" s="8" t="s">
        <v>6</v>
      </c>
      <c r="C322" s="8" t="str">
        <f>IFERROR(_xlfn.XLOOKUP(TRIM(B322),Lookup!$B$2:$B$1000,Lookup!$C$2:$C$1000),"")</f>
        <v>Equity</v>
      </c>
      <c r="D322" s="8" t="s">
        <v>7</v>
      </c>
      <c r="E322" s="9">
        <v>46189</v>
      </c>
      <c r="F322" s="8">
        <v>10.366899999999999</v>
      </c>
    </row>
    <row r="323" spans="1:6" ht="75" x14ac:dyDescent="0.25">
      <c r="A323" s="8" t="s">
        <v>5</v>
      </c>
      <c r="B323" s="8" t="s">
        <v>6</v>
      </c>
      <c r="C323" s="8" t="str">
        <f>IFERROR(_xlfn.XLOOKUP(TRIM(B323),Lookup!$B$2:$B$1000,Lookup!$C$2:$C$1000),"")</f>
        <v>Equity</v>
      </c>
      <c r="D323" s="8" t="s">
        <v>7</v>
      </c>
      <c r="E323" s="9">
        <v>46190</v>
      </c>
      <c r="F323" s="8">
        <v>10.357699999999999</v>
      </c>
    </row>
    <row r="324" spans="1:6" ht="75" x14ac:dyDescent="0.25">
      <c r="A324" s="8" t="s">
        <v>5</v>
      </c>
      <c r="B324" s="8" t="s">
        <v>6</v>
      </c>
      <c r="C324" s="8" t="str">
        <f>IFERROR(_xlfn.XLOOKUP(TRIM(B324),Lookup!$B$2:$B$1000,Lookup!$C$2:$C$1000),"")</f>
        <v>Equity</v>
      </c>
      <c r="D324" s="8" t="s">
        <v>7</v>
      </c>
      <c r="E324" s="9">
        <v>46191</v>
      </c>
      <c r="F324" s="8">
        <v>10.402699999999999</v>
      </c>
    </row>
    <row r="325" spans="1:6" ht="75" x14ac:dyDescent="0.25">
      <c r="A325" s="8" t="s">
        <v>5</v>
      </c>
      <c r="B325" s="8" t="s">
        <v>6</v>
      </c>
      <c r="C325" s="8" t="str">
        <f>IFERROR(_xlfn.XLOOKUP(TRIM(B325),Lookup!$B$2:$B$1000,Lookup!$C$2:$C$1000),"")</f>
        <v>Equity</v>
      </c>
      <c r="D325" s="8" t="s">
        <v>7</v>
      </c>
      <c r="E325" s="9">
        <v>46192</v>
      </c>
      <c r="F325" s="8">
        <v>10.3491</v>
      </c>
    </row>
    <row r="326" spans="1:6" ht="75" x14ac:dyDescent="0.25">
      <c r="A326" s="8" t="s">
        <v>5</v>
      </c>
      <c r="B326" s="8" t="s">
        <v>6</v>
      </c>
      <c r="C326" s="8" t="str">
        <f>IFERROR(_xlfn.XLOOKUP(TRIM(B326),Lookup!$B$2:$B$1000,Lookup!$C$2:$C$1000),"")</f>
        <v>Equity</v>
      </c>
      <c r="D326" s="8" t="s">
        <v>7</v>
      </c>
      <c r="E326" s="9">
        <v>46195</v>
      </c>
      <c r="F326" s="8">
        <v>10.412800000000001</v>
      </c>
    </row>
    <row r="327" spans="1:6" ht="75" x14ac:dyDescent="0.25">
      <c r="A327" s="8" t="s">
        <v>5</v>
      </c>
      <c r="B327" s="8" t="s">
        <v>6</v>
      </c>
      <c r="C327" s="8" t="str">
        <f>IFERROR(_xlfn.XLOOKUP(TRIM(B327),Lookup!$B$2:$B$1000,Lookup!$C$2:$C$1000),"")</f>
        <v>Equity</v>
      </c>
      <c r="D327" s="8" t="s">
        <v>7</v>
      </c>
      <c r="E327" s="9">
        <v>46196</v>
      </c>
      <c r="F327" s="8">
        <v>10.2629</v>
      </c>
    </row>
    <row r="328" spans="1:6" ht="75" x14ac:dyDescent="0.25">
      <c r="A328" s="8" t="s">
        <v>5</v>
      </c>
      <c r="B328" s="8" t="s">
        <v>6</v>
      </c>
      <c r="C328" s="8" t="str">
        <f>IFERROR(_xlfn.XLOOKUP(TRIM(B328),Lookup!$B$2:$B$1000,Lookup!$C$2:$C$1000),"")</f>
        <v>Equity</v>
      </c>
      <c r="D328" s="8" t="s">
        <v>7</v>
      </c>
      <c r="E328" s="9">
        <v>46197</v>
      </c>
      <c r="F328" s="8">
        <v>10.309799999999999</v>
      </c>
    </row>
    <row r="329" spans="1:6" ht="75" x14ac:dyDescent="0.25">
      <c r="A329" s="8" t="s">
        <v>5</v>
      </c>
      <c r="B329" s="8" t="s">
        <v>6</v>
      </c>
      <c r="C329" s="8" t="str">
        <f>IFERROR(_xlfn.XLOOKUP(TRIM(B329),Lookup!$B$2:$B$1000,Lookup!$C$2:$C$1000),"")</f>
        <v>Equity</v>
      </c>
      <c r="D329" s="8" t="s">
        <v>7</v>
      </c>
      <c r="E329" s="9">
        <v>46198</v>
      </c>
      <c r="F329" s="8">
        <v>10.2178</v>
      </c>
    </row>
    <row r="330" spans="1:6" ht="75" x14ac:dyDescent="0.25">
      <c r="A330" s="8" t="s">
        <v>5</v>
      </c>
      <c r="B330" s="8" t="s">
        <v>6</v>
      </c>
      <c r="C330" s="8" t="str">
        <f>IFERROR(_xlfn.XLOOKUP(TRIM(B330),Lookup!$B$2:$B$1000,Lookup!$C$2:$C$1000),"")</f>
        <v>Equity</v>
      </c>
      <c r="D330" s="8" t="s">
        <v>7</v>
      </c>
      <c r="E330" s="9">
        <v>46202</v>
      </c>
      <c r="F330" s="8">
        <v>10.145799999999999</v>
      </c>
    </row>
    <row r="331" spans="1:6" ht="75" x14ac:dyDescent="0.25">
      <c r="A331" s="8" t="s">
        <v>5</v>
      </c>
      <c r="B331" s="8" t="s">
        <v>6</v>
      </c>
      <c r="C331" s="8" t="str">
        <f>IFERROR(_xlfn.XLOOKUP(TRIM(B331),Lookup!$B$2:$B$1000,Lookup!$C$2:$C$1000),"")</f>
        <v>Equity</v>
      </c>
      <c r="D331" s="8" t="s">
        <v>7</v>
      </c>
      <c r="E331" s="9">
        <v>46203</v>
      </c>
      <c r="F331" s="8">
        <v>10.135400000000001</v>
      </c>
    </row>
    <row r="332" spans="1:6" ht="75" x14ac:dyDescent="0.25">
      <c r="A332" s="8" t="s">
        <v>5</v>
      </c>
      <c r="B332" s="8" t="s">
        <v>6</v>
      </c>
      <c r="C332" s="8" t="str">
        <f>IFERROR(_xlfn.XLOOKUP(TRIM(B332),Lookup!$B$2:$B$1000,Lookup!$C$2:$C$1000),"")</f>
        <v>Equity</v>
      </c>
      <c r="D332" s="8" t="s">
        <v>7</v>
      </c>
      <c r="E332" s="9">
        <v>46204</v>
      </c>
      <c r="F332" s="8">
        <v>10.131399999999999</v>
      </c>
    </row>
    <row r="333" spans="1:6" ht="75" x14ac:dyDescent="0.25">
      <c r="A333" s="8" t="s">
        <v>5</v>
      </c>
      <c r="B333" s="8" t="s">
        <v>6</v>
      </c>
      <c r="C333" s="8" t="str">
        <f>IFERROR(_xlfn.XLOOKUP(TRIM(B333),Lookup!$B$2:$B$1000,Lookup!$C$2:$C$1000),"")</f>
        <v>Equity</v>
      </c>
      <c r="D333" s="8" t="s">
        <v>7</v>
      </c>
      <c r="E333" s="9">
        <v>46205</v>
      </c>
      <c r="F333" s="8">
        <v>10.160500000000001</v>
      </c>
    </row>
    <row r="334" spans="1:6" ht="75" x14ac:dyDescent="0.25">
      <c r="A334" s="8" t="s">
        <v>5</v>
      </c>
      <c r="B334" s="8" t="s">
        <v>6</v>
      </c>
      <c r="C334" s="8" t="str">
        <f>IFERROR(_xlfn.XLOOKUP(TRIM(B334),Lookup!$B$2:$B$1000,Lookup!$C$2:$C$1000),"")</f>
        <v>Equity</v>
      </c>
      <c r="D334" s="8" t="s">
        <v>7</v>
      </c>
      <c r="E334" s="9">
        <v>46206</v>
      </c>
      <c r="F334" s="8">
        <v>10.138400000000001</v>
      </c>
    </row>
    <row r="335" spans="1:6" ht="75" x14ac:dyDescent="0.25">
      <c r="A335" s="8" t="s">
        <v>5</v>
      </c>
      <c r="B335" s="8" t="s">
        <v>6</v>
      </c>
      <c r="C335" s="8" t="str">
        <f>IFERROR(_xlfn.XLOOKUP(TRIM(B335),Lookup!$B$2:$B$1000,Lookup!$C$2:$C$1000),"")</f>
        <v>Equity</v>
      </c>
      <c r="D335" s="8" t="s">
        <v>7</v>
      </c>
      <c r="E335" s="9">
        <v>46209</v>
      </c>
      <c r="F335" s="8">
        <v>10.1396</v>
      </c>
    </row>
    <row r="336" spans="1:6" ht="75" x14ac:dyDescent="0.25">
      <c r="A336" s="8" t="s">
        <v>5</v>
      </c>
      <c r="B336" s="8" t="s">
        <v>6</v>
      </c>
      <c r="C336" s="8" t="str">
        <f>IFERROR(_xlfn.XLOOKUP(TRIM(B336),Lookup!$B$2:$B$1000,Lookup!$C$2:$C$1000),"")</f>
        <v>Equity</v>
      </c>
      <c r="D336" s="8" t="s">
        <v>7</v>
      </c>
      <c r="E336" s="9">
        <v>46210</v>
      </c>
      <c r="F336" s="8">
        <v>10.0839</v>
      </c>
    </row>
    <row r="337" spans="1:6" ht="75" x14ac:dyDescent="0.25">
      <c r="A337" s="8" t="s">
        <v>5</v>
      </c>
      <c r="B337" s="8" t="s">
        <v>6</v>
      </c>
      <c r="C337" s="8" t="str">
        <f>IFERROR(_xlfn.XLOOKUP(TRIM(B337),Lookup!$B$2:$B$1000,Lookup!$C$2:$C$1000),"")</f>
        <v>Equity</v>
      </c>
      <c r="D337" s="8" t="s">
        <v>7</v>
      </c>
      <c r="E337" s="9">
        <v>46211</v>
      </c>
      <c r="F337" s="8">
        <v>9.8808000000000007</v>
      </c>
    </row>
    <row r="338" spans="1:6" ht="75" x14ac:dyDescent="0.25">
      <c r="A338" s="8" t="s">
        <v>5</v>
      </c>
      <c r="B338" s="8" t="s">
        <v>6</v>
      </c>
      <c r="C338" s="8" t="str">
        <f>IFERROR(_xlfn.XLOOKUP(TRIM(B338),Lookup!$B$2:$B$1000,Lookup!$C$2:$C$1000),"")</f>
        <v>Equity</v>
      </c>
      <c r="D338" s="8" t="s">
        <v>7</v>
      </c>
      <c r="E338" s="9">
        <v>46212</v>
      </c>
      <c r="F338" s="8">
        <v>9.9716000000000005</v>
      </c>
    </row>
    <row r="339" spans="1:6" ht="75" x14ac:dyDescent="0.25">
      <c r="A339" s="8" t="s">
        <v>5</v>
      </c>
      <c r="B339" s="8" t="s">
        <v>6</v>
      </c>
      <c r="C339" s="8" t="str">
        <f>IFERROR(_xlfn.XLOOKUP(TRIM(B339),Lookup!$B$2:$B$1000,Lookup!$C$2:$C$1000),"")</f>
        <v>Equity</v>
      </c>
      <c r="D339" s="8" t="s">
        <v>7</v>
      </c>
      <c r="E339" s="9">
        <v>46213</v>
      </c>
      <c r="F339" s="8">
        <v>10.114599999999999</v>
      </c>
    </row>
    <row r="340" spans="1:6" ht="75" x14ac:dyDescent="0.25">
      <c r="A340" s="8" t="s">
        <v>5</v>
      </c>
      <c r="B340" s="8" t="s">
        <v>6</v>
      </c>
      <c r="C340" s="8" t="str">
        <f>IFERROR(_xlfn.XLOOKUP(TRIM(B340),Lookup!$B$2:$B$1000,Lookup!$C$2:$C$1000),"")</f>
        <v>Equity</v>
      </c>
      <c r="D340" s="8" t="s">
        <v>7</v>
      </c>
      <c r="E340" s="9">
        <v>46216</v>
      </c>
      <c r="F340" s="8">
        <v>10.1319</v>
      </c>
    </row>
    <row r="341" spans="1:6" ht="75" x14ac:dyDescent="0.25">
      <c r="A341" s="8" t="s">
        <v>5</v>
      </c>
      <c r="B341" s="8" t="s">
        <v>6</v>
      </c>
      <c r="C341" s="8" t="str">
        <f>IFERROR(_xlfn.XLOOKUP(TRIM(B341),Lookup!$B$2:$B$1000,Lookup!$C$2:$C$1000),"")</f>
        <v>Equity</v>
      </c>
      <c r="D341" s="8" t="s">
        <v>7</v>
      </c>
      <c r="E341" s="9">
        <v>46217</v>
      </c>
      <c r="F341" s="8">
        <v>10.0456</v>
      </c>
    </row>
    <row r="342" spans="1:6" ht="75" x14ac:dyDescent="0.25">
      <c r="A342" s="8" t="s">
        <v>5</v>
      </c>
      <c r="B342" s="8" t="s">
        <v>6</v>
      </c>
      <c r="C342" s="8" t="str">
        <f>IFERROR(_xlfn.XLOOKUP(TRIM(B342),Lookup!$B$2:$B$1000,Lookup!$C$2:$C$1000),"")</f>
        <v>Equity</v>
      </c>
      <c r="D342" s="8" t="s">
        <v>7</v>
      </c>
      <c r="E342" s="9">
        <v>46218</v>
      </c>
      <c r="F342" s="8">
        <v>10.073</v>
      </c>
    </row>
    <row r="343" spans="1:6" ht="75" x14ac:dyDescent="0.25">
      <c r="A343" s="8" t="s">
        <v>5</v>
      </c>
      <c r="B343" s="8" t="s">
        <v>6</v>
      </c>
      <c r="C343" s="8" t="str">
        <f>IFERROR(_xlfn.XLOOKUP(TRIM(B343),Lookup!$B$2:$B$1000,Lookup!$C$2:$C$1000),"")</f>
        <v>Equity</v>
      </c>
      <c r="D343" s="8" t="s">
        <v>7</v>
      </c>
      <c r="E343" s="9">
        <v>46219</v>
      </c>
      <c r="F343" s="8">
        <v>10.057600000000001</v>
      </c>
    </row>
    <row r="344" spans="1:6" ht="75" x14ac:dyDescent="0.25">
      <c r="A344" s="8" t="s">
        <v>5</v>
      </c>
      <c r="B344" s="8" t="s">
        <v>6</v>
      </c>
      <c r="C344" s="8" t="str">
        <f>IFERROR(_xlfn.XLOOKUP(TRIM(B344),Lookup!$B$2:$B$1000,Lookup!$C$2:$C$1000),"")</f>
        <v>Equity</v>
      </c>
      <c r="D344" s="8" t="s">
        <v>7</v>
      </c>
      <c r="E344" s="9">
        <v>46220</v>
      </c>
      <c r="F344" s="8">
        <v>10.068199999999999</v>
      </c>
    </row>
    <row r="345" spans="1:6" ht="75" x14ac:dyDescent="0.25">
      <c r="A345" s="8" t="s">
        <v>5</v>
      </c>
      <c r="B345" s="8" t="s">
        <v>6</v>
      </c>
      <c r="C345" s="8" t="str">
        <f>IFERROR(_xlfn.XLOOKUP(TRIM(B345),Lookup!$B$2:$B$1000,Lookup!$C$2:$C$1000),"")</f>
        <v>Equity</v>
      </c>
      <c r="D345" s="8" t="s">
        <v>7</v>
      </c>
      <c r="E345" s="9">
        <v>46223</v>
      </c>
      <c r="F345" s="8">
        <v>10.173</v>
      </c>
    </row>
    <row r="346" spans="1:6" ht="75" x14ac:dyDescent="0.25">
      <c r="A346" s="8" t="s">
        <v>5</v>
      </c>
      <c r="B346" s="8" t="s">
        <v>6</v>
      </c>
      <c r="C346" s="8" t="str">
        <f>IFERROR(_xlfn.XLOOKUP(TRIM(B346),Lookup!$B$2:$B$1000,Lookup!$C$2:$C$1000),"")</f>
        <v>Equity</v>
      </c>
      <c r="D346" s="8" t="s">
        <v>7</v>
      </c>
      <c r="E346" s="9">
        <v>46224</v>
      </c>
      <c r="F346" s="8">
        <v>10.172700000000001</v>
      </c>
    </row>
    <row r="347" spans="1:6" ht="75" x14ac:dyDescent="0.25">
      <c r="A347" s="8" t="s">
        <v>5</v>
      </c>
      <c r="B347" s="8" t="s">
        <v>6</v>
      </c>
      <c r="C347" s="8" t="str">
        <f>IFERROR(_xlfn.XLOOKUP(TRIM(B347),Lookup!$B$2:$B$1000,Lookup!$C$2:$C$1000),"")</f>
        <v>Equity</v>
      </c>
      <c r="D347" s="8" t="s">
        <v>7</v>
      </c>
      <c r="E347" s="9">
        <v>46225</v>
      </c>
      <c r="F347" s="8">
        <v>10.0618</v>
      </c>
    </row>
    <row r="348" spans="1:6" ht="75" x14ac:dyDescent="0.25">
      <c r="A348" s="8" t="s">
        <v>5</v>
      </c>
      <c r="B348" s="8" t="s">
        <v>6</v>
      </c>
      <c r="C348" s="8" t="str">
        <f>IFERROR(_xlfn.XLOOKUP(TRIM(B348),Lookup!$B$2:$B$1000,Lookup!$C$2:$C$1000),"")</f>
        <v>Equity</v>
      </c>
      <c r="D348" s="8" t="s">
        <v>7</v>
      </c>
      <c r="E348" s="9">
        <v>46226</v>
      </c>
      <c r="F348" s="8">
        <v>9.9763999999999999</v>
      </c>
    </row>
    <row r="349" spans="1:6" ht="75" x14ac:dyDescent="0.25">
      <c r="A349" s="8" t="s">
        <v>5</v>
      </c>
      <c r="B349" s="8" t="s">
        <v>6</v>
      </c>
      <c r="C349" s="8" t="str">
        <f>IFERROR(_xlfn.XLOOKUP(TRIM(B349),Lookup!$B$2:$B$1000,Lookup!$C$2:$C$1000),"")</f>
        <v>Equity</v>
      </c>
      <c r="D349" s="8" t="s">
        <v>7</v>
      </c>
      <c r="E349" s="9">
        <v>46227</v>
      </c>
      <c r="F349" s="8">
        <v>9.9594000000000005</v>
      </c>
    </row>
    <row r="350" spans="1:6" ht="75" x14ac:dyDescent="0.25">
      <c r="A350" s="8" t="s">
        <v>5</v>
      </c>
      <c r="B350" s="8" t="s">
        <v>6</v>
      </c>
      <c r="C350" s="8" t="str">
        <f>IFERROR(_xlfn.XLOOKUP(TRIM(B350),Lookup!$B$2:$B$1000,Lookup!$C$2:$C$1000),"")</f>
        <v>Equity</v>
      </c>
      <c r="D350" s="8" t="s">
        <v>7</v>
      </c>
      <c r="E350" s="9">
        <v>46230</v>
      </c>
      <c r="F350" s="8">
        <v>10.0219</v>
      </c>
    </row>
    <row r="351" spans="1:6" ht="75" x14ac:dyDescent="0.25">
      <c r="A351" s="8" t="s">
        <v>5</v>
      </c>
      <c r="B351" s="8" t="s">
        <v>6</v>
      </c>
      <c r="C351" s="8" t="str">
        <f>IFERROR(_xlfn.XLOOKUP(TRIM(B351),Lookup!$B$2:$B$1000,Lookup!$C$2:$C$1000),"")</f>
        <v>Equity</v>
      </c>
      <c r="D351" s="8" t="s">
        <v>7</v>
      </c>
      <c r="E351" s="9">
        <v>46231</v>
      </c>
      <c r="F351" s="8">
        <v>9.9823000000000004</v>
      </c>
    </row>
    <row r="352" spans="1:6" ht="75" x14ac:dyDescent="0.25">
      <c r="A352" s="8" t="s">
        <v>5</v>
      </c>
      <c r="B352" s="8" t="s">
        <v>6</v>
      </c>
      <c r="C352" s="8" t="str">
        <f>IFERROR(_xlfn.XLOOKUP(TRIM(B352),Lookup!$B$2:$B$1000,Lookup!$C$2:$C$1000),"")</f>
        <v>Equity</v>
      </c>
      <c r="D352" s="8" t="s">
        <v>7</v>
      </c>
      <c r="E352" s="9">
        <v>46232</v>
      </c>
      <c r="F352" s="8">
        <v>10.0565</v>
      </c>
    </row>
    <row r="353" spans="1:6" ht="75" x14ac:dyDescent="0.25">
      <c r="A353" s="8" t="s">
        <v>5</v>
      </c>
      <c r="B353" s="8" t="s">
        <v>6</v>
      </c>
      <c r="C353" s="8" t="str">
        <f>IFERROR(_xlfn.XLOOKUP(TRIM(B353),Lookup!$B$2:$B$1000,Lookup!$C$2:$C$1000),"")</f>
        <v>Equity</v>
      </c>
      <c r="D353" s="8" t="s">
        <v>7</v>
      </c>
      <c r="E353" s="9">
        <v>46233</v>
      </c>
      <c r="F353" s="8">
        <v>10.081799999999999</v>
      </c>
    </row>
    <row r="354" spans="1:6" ht="75" x14ac:dyDescent="0.25">
      <c r="A354" s="8" t="s">
        <v>5</v>
      </c>
      <c r="B354" s="8" t="s">
        <v>6</v>
      </c>
      <c r="C354" s="8" t="str">
        <f>IFERROR(_xlfn.XLOOKUP(TRIM(B354),Lookup!$B$2:$B$1000,Lookup!$C$2:$C$1000),"")</f>
        <v>Equity</v>
      </c>
      <c r="D354" s="8" t="s">
        <v>7</v>
      </c>
      <c r="E354" s="9">
        <v>46234</v>
      </c>
      <c r="F354" s="8">
        <v>10.1465</v>
      </c>
    </row>
    <row r="355" spans="1:6" ht="60" x14ac:dyDescent="0.25">
      <c r="A355" s="8" t="s">
        <v>5</v>
      </c>
      <c r="B355" s="8" t="s">
        <v>10</v>
      </c>
      <c r="C355" s="8" t="str">
        <f>IFERROR(_xlfn.XLOOKUP(TRIM(B355),Lookup!$B$2:$B$1000,Lookup!$C$2:$C$1000),"")</f>
        <v>Equity</v>
      </c>
      <c r="D355" s="8" t="s">
        <v>11</v>
      </c>
      <c r="E355" s="9">
        <v>46085</v>
      </c>
      <c r="F355" s="8">
        <v>9.9796999999999993</v>
      </c>
    </row>
    <row r="356" spans="1:6" ht="60" x14ac:dyDescent="0.25">
      <c r="A356" s="8" t="s">
        <v>5</v>
      </c>
      <c r="B356" s="8" t="s">
        <v>10</v>
      </c>
      <c r="C356" s="8" t="str">
        <f>IFERROR(_xlfn.XLOOKUP(TRIM(B356),Lookup!$B$2:$B$1000,Lookup!$C$2:$C$1000),"")</f>
        <v>Equity</v>
      </c>
      <c r="D356" s="8" t="s">
        <v>11</v>
      </c>
      <c r="E356" s="9">
        <v>46092</v>
      </c>
      <c r="F356" s="8">
        <v>9.9624000000000006</v>
      </c>
    </row>
    <row r="357" spans="1:6" ht="60" x14ac:dyDescent="0.25">
      <c r="A357" s="8" t="s">
        <v>5</v>
      </c>
      <c r="B357" s="8" t="s">
        <v>10</v>
      </c>
      <c r="C357" s="8" t="str">
        <f>IFERROR(_xlfn.XLOOKUP(TRIM(B357),Lookup!$B$2:$B$1000,Lookup!$C$2:$C$1000),"")</f>
        <v>Equity</v>
      </c>
      <c r="D357" s="8" t="s">
        <v>11</v>
      </c>
      <c r="E357" s="9">
        <v>46099</v>
      </c>
      <c r="F357" s="8">
        <v>9.8559000000000001</v>
      </c>
    </row>
    <row r="358" spans="1:6" ht="60" x14ac:dyDescent="0.25">
      <c r="A358" s="8" t="s">
        <v>5</v>
      </c>
      <c r="B358" s="8" t="s">
        <v>10</v>
      </c>
      <c r="C358" s="8" t="str">
        <f>IFERROR(_xlfn.XLOOKUP(TRIM(B358),Lookup!$B$2:$B$1000,Lookup!$C$2:$C$1000),"")</f>
        <v>Equity</v>
      </c>
      <c r="D358" s="8" t="s">
        <v>11</v>
      </c>
      <c r="E358" s="9">
        <v>46106</v>
      </c>
      <c r="F358" s="8">
        <v>9.5923999999999996</v>
      </c>
    </row>
    <row r="359" spans="1:6" ht="60" x14ac:dyDescent="0.25">
      <c r="A359" s="8" t="s">
        <v>5</v>
      </c>
      <c r="B359" s="8" t="s">
        <v>10</v>
      </c>
      <c r="C359" s="8" t="str">
        <f>IFERROR(_xlfn.XLOOKUP(TRIM(B359),Lookup!$B$2:$B$1000,Lookup!$C$2:$C$1000),"")</f>
        <v>Equity</v>
      </c>
      <c r="D359" s="8" t="s">
        <v>11</v>
      </c>
      <c r="E359" s="9">
        <v>46114</v>
      </c>
      <c r="F359" s="8">
        <v>9.5724</v>
      </c>
    </row>
    <row r="360" spans="1:6" ht="60" x14ac:dyDescent="0.25">
      <c r="A360" s="8" t="s">
        <v>5</v>
      </c>
      <c r="B360" s="8" t="s">
        <v>10</v>
      </c>
      <c r="C360" s="8" t="str">
        <f>IFERROR(_xlfn.XLOOKUP(TRIM(B360),Lookup!$B$2:$B$1000,Lookup!$C$2:$C$1000),"")</f>
        <v>Equity</v>
      </c>
      <c r="D360" s="8" t="s">
        <v>11</v>
      </c>
      <c r="E360" s="9">
        <v>46122</v>
      </c>
      <c r="F360" s="8">
        <v>10.030799999999999</v>
      </c>
    </row>
    <row r="361" spans="1:6" ht="60" x14ac:dyDescent="0.25">
      <c r="A361" s="8" t="s">
        <v>5</v>
      </c>
      <c r="B361" s="8" t="s">
        <v>10</v>
      </c>
      <c r="C361" s="8" t="str">
        <f>IFERROR(_xlfn.XLOOKUP(TRIM(B361),Lookup!$B$2:$B$1000,Lookup!$C$2:$C$1000),"")</f>
        <v>Equity</v>
      </c>
      <c r="D361" s="8" t="s">
        <v>11</v>
      </c>
      <c r="E361" s="9">
        <v>46132</v>
      </c>
      <c r="F361" s="8">
        <v>10.373200000000001</v>
      </c>
    </row>
    <row r="362" spans="1:6" ht="60" x14ac:dyDescent="0.25">
      <c r="A362" s="8" t="s">
        <v>5</v>
      </c>
      <c r="B362" s="8" t="s">
        <v>10</v>
      </c>
      <c r="C362" s="8" t="str">
        <f>IFERROR(_xlfn.XLOOKUP(TRIM(B362),Lookup!$B$2:$B$1000,Lookup!$C$2:$C$1000),"")</f>
        <v>Equity</v>
      </c>
      <c r="D362" s="8" t="s">
        <v>11</v>
      </c>
      <c r="E362" s="9">
        <v>46139</v>
      </c>
      <c r="F362" s="8">
        <v>10.358499999999999</v>
      </c>
    </row>
    <row r="363" spans="1:6" ht="60" x14ac:dyDescent="0.25">
      <c r="A363" s="8" t="s">
        <v>5</v>
      </c>
      <c r="B363" s="8" t="s">
        <v>10</v>
      </c>
      <c r="C363" s="8" t="str">
        <f>IFERROR(_xlfn.XLOOKUP(TRIM(B363),Lookup!$B$2:$B$1000,Lookup!$C$2:$C$1000),"")</f>
        <v>Equity</v>
      </c>
      <c r="D363" s="8" t="s">
        <v>11</v>
      </c>
      <c r="E363" s="9">
        <v>46147</v>
      </c>
      <c r="F363" s="8">
        <v>10.287000000000001</v>
      </c>
    </row>
    <row r="364" spans="1:6" ht="60" x14ac:dyDescent="0.25">
      <c r="A364" s="8" t="s">
        <v>5</v>
      </c>
      <c r="B364" s="8" t="s">
        <v>10</v>
      </c>
      <c r="C364" s="8" t="str">
        <f>IFERROR(_xlfn.XLOOKUP(TRIM(B364),Lookup!$B$2:$B$1000,Lookup!$C$2:$C$1000),"")</f>
        <v>Equity</v>
      </c>
      <c r="D364" s="8" t="s">
        <v>11</v>
      </c>
      <c r="E364" s="9">
        <v>46154</v>
      </c>
      <c r="F364" s="8">
        <v>10.0542</v>
      </c>
    </row>
    <row r="365" spans="1:6" ht="60" x14ac:dyDescent="0.25">
      <c r="A365" s="8" t="s">
        <v>5</v>
      </c>
      <c r="B365" s="8" t="s">
        <v>10</v>
      </c>
      <c r="C365" s="8" t="str">
        <f>IFERROR(_xlfn.XLOOKUP(TRIM(B365),Lookup!$B$2:$B$1000,Lookup!$C$2:$C$1000),"")</f>
        <v>Equity</v>
      </c>
      <c r="D365" s="8" t="s">
        <v>11</v>
      </c>
      <c r="E365" s="9">
        <v>46161</v>
      </c>
      <c r="F365" s="8">
        <v>10.0794</v>
      </c>
    </row>
    <row r="366" spans="1:6" ht="60" x14ac:dyDescent="0.25">
      <c r="A366" s="8" t="s">
        <v>5</v>
      </c>
      <c r="B366" s="8" t="s">
        <v>10</v>
      </c>
      <c r="C366" s="8" t="str">
        <f>IFERROR(_xlfn.XLOOKUP(TRIM(B366),Lookup!$B$2:$B$1000,Lookup!$C$2:$C$1000),"")</f>
        <v>Equity</v>
      </c>
      <c r="D366" s="8" t="s">
        <v>11</v>
      </c>
      <c r="E366" s="9">
        <v>46168</v>
      </c>
      <c r="F366" s="8">
        <v>10.178100000000001</v>
      </c>
    </row>
    <row r="367" spans="1:6" ht="60" x14ac:dyDescent="0.25">
      <c r="A367" s="8" t="s">
        <v>5</v>
      </c>
      <c r="B367" s="8" t="s">
        <v>10</v>
      </c>
      <c r="C367" s="8" t="str">
        <f>IFERROR(_xlfn.XLOOKUP(TRIM(B367),Lookup!$B$2:$B$1000,Lookup!$C$2:$C$1000),"")</f>
        <v>Equity</v>
      </c>
      <c r="D367" s="8" t="s">
        <v>11</v>
      </c>
      <c r="E367" s="9">
        <v>46176</v>
      </c>
      <c r="F367" s="8">
        <v>10.0185</v>
      </c>
    </row>
    <row r="368" spans="1:6" ht="60" x14ac:dyDescent="0.25">
      <c r="A368" s="8" t="s">
        <v>5</v>
      </c>
      <c r="B368" s="8" t="s">
        <v>10</v>
      </c>
      <c r="C368" s="8" t="str">
        <f>IFERROR(_xlfn.XLOOKUP(TRIM(B368),Lookup!$B$2:$B$1000,Lookup!$C$2:$C$1000),"")</f>
        <v>Equity</v>
      </c>
      <c r="D368" s="8" t="s">
        <v>11</v>
      </c>
      <c r="E368" s="9">
        <v>46183</v>
      </c>
      <c r="F368" s="8">
        <v>9.7312999999999992</v>
      </c>
    </row>
    <row r="369" spans="1:6" ht="60" x14ac:dyDescent="0.25">
      <c r="A369" s="8" t="s">
        <v>5</v>
      </c>
      <c r="B369" s="8" t="s">
        <v>10</v>
      </c>
      <c r="C369" s="8" t="str">
        <f>IFERROR(_xlfn.XLOOKUP(TRIM(B369),Lookup!$B$2:$B$1000,Lookup!$C$2:$C$1000),"")</f>
        <v>Equity</v>
      </c>
      <c r="D369" s="8" t="s">
        <v>11</v>
      </c>
      <c r="E369" s="9">
        <v>46190</v>
      </c>
      <c r="F369" s="8">
        <v>10.019</v>
      </c>
    </row>
    <row r="370" spans="1:6" ht="60" x14ac:dyDescent="0.25">
      <c r="A370" s="8" t="s">
        <v>5</v>
      </c>
      <c r="B370" s="8" t="s">
        <v>10</v>
      </c>
      <c r="C370" s="8" t="str">
        <f>IFERROR(_xlfn.XLOOKUP(TRIM(B370),Lookup!$B$2:$B$1000,Lookup!$C$2:$C$1000),"")</f>
        <v>Equity</v>
      </c>
      <c r="D370" s="8" t="s">
        <v>11</v>
      </c>
      <c r="E370" s="9">
        <v>46197</v>
      </c>
      <c r="F370" s="8">
        <v>9.9307999999999996</v>
      </c>
    </row>
    <row r="371" spans="1:6" ht="60" x14ac:dyDescent="0.25">
      <c r="A371" s="8" t="s">
        <v>5</v>
      </c>
      <c r="B371" s="8" t="s">
        <v>10</v>
      </c>
      <c r="C371" s="8" t="str">
        <f>IFERROR(_xlfn.XLOOKUP(TRIM(B371),Lookup!$B$2:$B$1000,Lookup!$C$2:$C$1000),"")</f>
        <v>Equity</v>
      </c>
      <c r="D371" s="8" t="s">
        <v>11</v>
      </c>
      <c r="E371" s="9">
        <v>46205</v>
      </c>
      <c r="F371" s="8">
        <v>9.8125999999999998</v>
      </c>
    </row>
    <row r="372" spans="1:6" ht="60" x14ac:dyDescent="0.25">
      <c r="A372" s="8" t="s">
        <v>5</v>
      </c>
      <c r="B372" s="8" t="s">
        <v>10</v>
      </c>
      <c r="C372" s="8" t="str">
        <f>IFERROR(_xlfn.XLOOKUP(TRIM(B372),Lookup!$B$2:$B$1000,Lookup!$C$2:$C$1000),"")</f>
        <v>Equity</v>
      </c>
      <c r="D372" s="8" t="s">
        <v>11</v>
      </c>
      <c r="E372" s="9">
        <v>46212</v>
      </c>
      <c r="F372" s="8">
        <v>9.7103999999999999</v>
      </c>
    </row>
    <row r="373" spans="1:6" ht="60" x14ac:dyDescent="0.25">
      <c r="A373" s="8" t="s">
        <v>5</v>
      </c>
      <c r="B373" s="8" t="s">
        <v>10</v>
      </c>
      <c r="C373" s="8" t="str">
        <f>IFERROR(_xlfn.XLOOKUP(TRIM(B373),Lookup!$B$2:$B$1000,Lookup!$C$2:$C$1000),"")</f>
        <v>Equity</v>
      </c>
      <c r="D373" s="8" t="s">
        <v>11</v>
      </c>
      <c r="E373" s="9">
        <v>46219</v>
      </c>
      <c r="F373" s="8">
        <v>9.7893000000000008</v>
      </c>
    </row>
    <row r="374" spans="1:6" ht="60" x14ac:dyDescent="0.25">
      <c r="A374" s="8" t="s">
        <v>5</v>
      </c>
      <c r="B374" s="8" t="s">
        <v>10</v>
      </c>
      <c r="C374" s="8" t="str">
        <f>IFERROR(_xlfn.XLOOKUP(TRIM(B374),Lookup!$B$2:$B$1000,Lookup!$C$2:$C$1000),"")</f>
        <v>Equity</v>
      </c>
      <c r="D374" s="8" t="s">
        <v>11</v>
      </c>
      <c r="E374" s="9">
        <v>46226</v>
      </c>
      <c r="F374" s="8">
        <v>9.8203999999999994</v>
      </c>
    </row>
    <row r="375" spans="1:6" ht="60" x14ac:dyDescent="0.25">
      <c r="A375" s="8" t="s">
        <v>5</v>
      </c>
      <c r="B375" s="8" t="s">
        <v>10</v>
      </c>
      <c r="C375" s="8" t="str">
        <f>IFERROR(_xlfn.XLOOKUP(TRIM(B375),Lookup!$B$2:$B$1000,Lookup!$C$2:$C$1000),"")</f>
        <v>Equity</v>
      </c>
      <c r="D375" s="8" t="s">
        <v>11</v>
      </c>
      <c r="E375" s="9">
        <v>46233</v>
      </c>
      <c r="F375" s="8">
        <v>10.026400000000001</v>
      </c>
    </row>
    <row r="376" spans="1:6" ht="60" x14ac:dyDescent="0.25">
      <c r="A376" s="8" t="s">
        <v>5</v>
      </c>
      <c r="B376" s="8" t="s">
        <v>12</v>
      </c>
      <c r="C376" s="8" t="str">
        <f>IFERROR(_xlfn.XLOOKUP(TRIM(B376),Lookup!$B$2:$B$1000,Lookup!$C$2:$C$1000),"")</f>
        <v>Equity</v>
      </c>
      <c r="D376" s="8" t="s">
        <v>13</v>
      </c>
      <c r="E376" s="9">
        <v>45869</v>
      </c>
      <c r="F376" s="8">
        <v>19.968800000000002</v>
      </c>
    </row>
    <row r="377" spans="1:6" ht="60" x14ac:dyDescent="0.25">
      <c r="A377" s="8" t="s">
        <v>5</v>
      </c>
      <c r="B377" s="8" t="s">
        <v>12</v>
      </c>
      <c r="C377" s="8" t="str">
        <f>IFERROR(_xlfn.XLOOKUP(TRIM(B377),Lookup!$B$2:$B$1000,Lookup!$C$2:$C$1000),"")</f>
        <v>Equity</v>
      </c>
      <c r="D377" s="8" t="s">
        <v>13</v>
      </c>
      <c r="E377" s="9">
        <v>45870</v>
      </c>
      <c r="F377" s="8">
        <v>19.810199999999998</v>
      </c>
    </row>
    <row r="378" spans="1:6" ht="60" x14ac:dyDescent="0.25">
      <c r="A378" s="8" t="s">
        <v>5</v>
      </c>
      <c r="B378" s="8" t="s">
        <v>12</v>
      </c>
      <c r="C378" s="8" t="str">
        <f>IFERROR(_xlfn.XLOOKUP(TRIM(B378),Lookup!$B$2:$B$1000,Lookup!$C$2:$C$1000),"")</f>
        <v>Equity</v>
      </c>
      <c r="D378" s="8" t="s">
        <v>13</v>
      </c>
      <c r="E378" s="9">
        <v>45873</v>
      </c>
      <c r="F378" s="8">
        <v>19.948499999999999</v>
      </c>
    </row>
    <row r="379" spans="1:6" ht="60" x14ac:dyDescent="0.25">
      <c r="A379" s="8" t="s">
        <v>5</v>
      </c>
      <c r="B379" s="8" t="s">
        <v>12</v>
      </c>
      <c r="C379" s="8" t="str">
        <f>IFERROR(_xlfn.XLOOKUP(TRIM(B379),Lookup!$B$2:$B$1000,Lookup!$C$2:$C$1000),"")</f>
        <v>Equity</v>
      </c>
      <c r="D379" s="8" t="s">
        <v>13</v>
      </c>
      <c r="E379" s="9">
        <v>45874</v>
      </c>
      <c r="F379" s="8">
        <v>19.9023</v>
      </c>
    </row>
    <row r="380" spans="1:6" ht="60" x14ac:dyDescent="0.25">
      <c r="A380" s="8" t="s">
        <v>5</v>
      </c>
      <c r="B380" s="8" t="s">
        <v>12</v>
      </c>
      <c r="C380" s="8" t="str">
        <f>IFERROR(_xlfn.XLOOKUP(TRIM(B380),Lookup!$B$2:$B$1000,Lookup!$C$2:$C$1000),"")</f>
        <v>Equity</v>
      </c>
      <c r="D380" s="8" t="s">
        <v>13</v>
      </c>
      <c r="E380" s="9">
        <v>45875</v>
      </c>
      <c r="F380" s="8">
        <v>19.844999999999999</v>
      </c>
    </row>
    <row r="381" spans="1:6" ht="60" x14ac:dyDescent="0.25">
      <c r="A381" s="8" t="s">
        <v>5</v>
      </c>
      <c r="B381" s="8" t="s">
        <v>12</v>
      </c>
      <c r="C381" s="8" t="str">
        <f>IFERROR(_xlfn.XLOOKUP(TRIM(B381),Lookup!$B$2:$B$1000,Lookup!$C$2:$C$1000),"")</f>
        <v>Equity</v>
      </c>
      <c r="D381" s="8" t="s">
        <v>13</v>
      </c>
      <c r="E381" s="9">
        <v>45876</v>
      </c>
      <c r="F381" s="8">
        <v>19.867999999999999</v>
      </c>
    </row>
    <row r="382" spans="1:6" ht="60" x14ac:dyDescent="0.25">
      <c r="A382" s="8" t="s">
        <v>5</v>
      </c>
      <c r="B382" s="8" t="s">
        <v>12</v>
      </c>
      <c r="C382" s="8" t="str">
        <f>IFERROR(_xlfn.XLOOKUP(TRIM(B382),Lookup!$B$2:$B$1000,Lookup!$C$2:$C$1000),"")</f>
        <v>Equity</v>
      </c>
      <c r="D382" s="8" t="s">
        <v>13</v>
      </c>
      <c r="E382" s="9">
        <v>45877</v>
      </c>
      <c r="F382" s="8">
        <v>19.674600000000002</v>
      </c>
    </row>
    <row r="383" spans="1:6" ht="60" x14ac:dyDescent="0.25">
      <c r="A383" s="8" t="s">
        <v>5</v>
      </c>
      <c r="B383" s="8" t="s">
        <v>12</v>
      </c>
      <c r="C383" s="8" t="str">
        <f>IFERROR(_xlfn.XLOOKUP(TRIM(B383),Lookup!$B$2:$B$1000,Lookup!$C$2:$C$1000),"")</f>
        <v>Equity</v>
      </c>
      <c r="D383" s="8" t="s">
        <v>13</v>
      </c>
      <c r="E383" s="9">
        <v>45880</v>
      </c>
      <c r="F383" s="8">
        <v>19.858699999999999</v>
      </c>
    </row>
    <row r="384" spans="1:6" ht="60" x14ac:dyDescent="0.25">
      <c r="A384" s="8" t="s">
        <v>5</v>
      </c>
      <c r="B384" s="8" t="s">
        <v>12</v>
      </c>
      <c r="C384" s="8" t="str">
        <f>IFERROR(_xlfn.XLOOKUP(TRIM(B384),Lookup!$B$2:$B$1000,Lookup!$C$2:$C$1000),"")</f>
        <v>Equity</v>
      </c>
      <c r="D384" s="8" t="s">
        <v>13</v>
      </c>
      <c r="E384" s="9">
        <v>45881</v>
      </c>
      <c r="F384" s="8">
        <v>19.798100000000002</v>
      </c>
    </row>
    <row r="385" spans="1:6" ht="60" x14ac:dyDescent="0.25">
      <c r="A385" s="8" t="s">
        <v>5</v>
      </c>
      <c r="B385" s="8" t="s">
        <v>12</v>
      </c>
      <c r="C385" s="8" t="str">
        <f>IFERROR(_xlfn.XLOOKUP(TRIM(B385),Lookup!$B$2:$B$1000,Lookup!$C$2:$C$1000),"")</f>
        <v>Equity</v>
      </c>
      <c r="D385" s="8" t="s">
        <v>13</v>
      </c>
      <c r="E385" s="9">
        <v>45882</v>
      </c>
      <c r="F385" s="8">
        <v>19.904699999999998</v>
      </c>
    </row>
    <row r="386" spans="1:6" ht="60" x14ac:dyDescent="0.25">
      <c r="A386" s="8" t="s">
        <v>5</v>
      </c>
      <c r="B386" s="8" t="s">
        <v>12</v>
      </c>
      <c r="C386" s="8" t="str">
        <f>IFERROR(_xlfn.XLOOKUP(TRIM(B386),Lookup!$B$2:$B$1000,Lookup!$C$2:$C$1000),"")</f>
        <v>Equity</v>
      </c>
      <c r="D386" s="8" t="s">
        <v>13</v>
      </c>
      <c r="E386" s="9">
        <v>45883</v>
      </c>
      <c r="F386" s="8">
        <v>19.913399999999999</v>
      </c>
    </row>
    <row r="387" spans="1:6" ht="60" x14ac:dyDescent="0.25">
      <c r="A387" s="8" t="s">
        <v>5</v>
      </c>
      <c r="B387" s="8" t="s">
        <v>12</v>
      </c>
      <c r="C387" s="8" t="str">
        <f>IFERROR(_xlfn.XLOOKUP(TRIM(B387),Lookup!$B$2:$B$1000,Lookup!$C$2:$C$1000),"")</f>
        <v>Equity</v>
      </c>
      <c r="D387" s="8" t="s">
        <v>13</v>
      </c>
      <c r="E387" s="9">
        <v>45887</v>
      </c>
      <c r="F387" s="8">
        <v>20.111899999999999</v>
      </c>
    </row>
    <row r="388" spans="1:6" ht="60" x14ac:dyDescent="0.25">
      <c r="A388" s="8" t="s">
        <v>5</v>
      </c>
      <c r="B388" s="8" t="s">
        <v>12</v>
      </c>
      <c r="C388" s="8" t="str">
        <f>IFERROR(_xlfn.XLOOKUP(TRIM(B388),Lookup!$B$2:$B$1000,Lookup!$C$2:$C$1000),"")</f>
        <v>Equity</v>
      </c>
      <c r="D388" s="8" t="s">
        <v>13</v>
      </c>
      <c r="E388" s="9">
        <v>45888</v>
      </c>
      <c r="F388" s="8">
        <v>20.201000000000001</v>
      </c>
    </row>
    <row r="389" spans="1:6" ht="60" x14ac:dyDescent="0.25">
      <c r="A389" s="8" t="s">
        <v>5</v>
      </c>
      <c r="B389" s="8" t="s">
        <v>12</v>
      </c>
      <c r="C389" s="8" t="str">
        <f>IFERROR(_xlfn.XLOOKUP(TRIM(B389),Lookup!$B$2:$B$1000,Lookup!$C$2:$C$1000),"")</f>
        <v>Equity</v>
      </c>
      <c r="D389" s="8" t="s">
        <v>13</v>
      </c>
      <c r="E389" s="9">
        <v>45889</v>
      </c>
      <c r="F389" s="8">
        <v>20.260100000000001</v>
      </c>
    </row>
    <row r="390" spans="1:6" ht="60" x14ac:dyDescent="0.25">
      <c r="A390" s="8" t="s">
        <v>5</v>
      </c>
      <c r="B390" s="8" t="s">
        <v>12</v>
      </c>
      <c r="C390" s="8" t="str">
        <f>IFERROR(_xlfn.XLOOKUP(TRIM(B390),Lookup!$B$2:$B$1000,Lookup!$C$2:$C$1000),"")</f>
        <v>Equity</v>
      </c>
      <c r="D390" s="8" t="s">
        <v>13</v>
      </c>
      <c r="E390" s="9">
        <v>45890</v>
      </c>
      <c r="F390" s="8">
        <v>20.273399999999999</v>
      </c>
    </row>
    <row r="391" spans="1:6" ht="60" x14ac:dyDescent="0.25">
      <c r="A391" s="8" t="s">
        <v>5</v>
      </c>
      <c r="B391" s="8" t="s">
        <v>12</v>
      </c>
      <c r="C391" s="8" t="str">
        <f>IFERROR(_xlfn.XLOOKUP(TRIM(B391),Lookup!$B$2:$B$1000,Lookup!$C$2:$C$1000),"")</f>
        <v>Equity</v>
      </c>
      <c r="D391" s="8" t="s">
        <v>13</v>
      </c>
      <c r="E391" s="9">
        <v>45891</v>
      </c>
      <c r="F391" s="8">
        <v>20.095600000000001</v>
      </c>
    </row>
    <row r="392" spans="1:6" ht="60" x14ac:dyDescent="0.25">
      <c r="A392" s="8" t="s">
        <v>5</v>
      </c>
      <c r="B392" s="8" t="s">
        <v>12</v>
      </c>
      <c r="C392" s="8" t="str">
        <f>IFERROR(_xlfn.XLOOKUP(TRIM(B392),Lookup!$B$2:$B$1000,Lookup!$C$2:$C$1000),"")</f>
        <v>Equity</v>
      </c>
      <c r="D392" s="8" t="s">
        <v>13</v>
      </c>
      <c r="E392" s="9">
        <v>45894</v>
      </c>
      <c r="F392" s="8">
        <v>20.174600000000002</v>
      </c>
    </row>
    <row r="393" spans="1:6" ht="60" x14ac:dyDescent="0.25">
      <c r="A393" s="8" t="s">
        <v>5</v>
      </c>
      <c r="B393" s="8" t="s">
        <v>12</v>
      </c>
      <c r="C393" s="8" t="str">
        <f>IFERROR(_xlfn.XLOOKUP(TRIM(B393),Lookup!$B$2:$B$1000,Lookup!$C$2:$C$1000),"")</f>
        <v>Equity</v>
      </c>
      <c r="D393" s="8" t="s">
        <v>13</v>
      </c>
      <c r="E393" s="9">
        <v>45895</v>
      </c>
      <c r="F393" s="8">
        <v>19.965599999999998</v>
      </c>
    </row>
    <row r="394" spans="1:6" ht="60" x14ac:dyDescent="0.25">
      <c r="A394" s="8" t="s">
        <v>5</v>
      </c>
      <c r="B394" s="8" t="s">
        <v>12</v>
      </c>
      <c r="C394" s="8" t="str">
        <f>IFERROR(_xlfn.XLOOKUP(TRIM(B394),Lookup!$B$2:$B$1000,Lookup!$C$2:$C$1000),"")</f>
        <v>Equity</v>
      </c>
      <c r="D394" s="8" t="s">
        <v>13</v>
      </c>
      <c r="E394" s="9">
        <v>45897</v>
      </c>
      <c r="F394" s="8">
        <v>19.8004</v>
      </c>
    </row>
    <row r="395" spans="1:6" ht="60" x14ac:dyDescent="0.25">
      <c r="A395" s="8" t="s">
        <v>5</v>
      </c>
      <c r="B395" s="8" t="s">
        <v>12</v>
      </c>
      <c r="C395" s="8" t="str">
        <f>IFERROR(_xlfn.XLOOKUP(TRIM(B395),Lookup!$B$2:$B$1000,Lookup!$C$2:$C$1000),"")</f>
        <v>Equity</v>
      </c>
      <c r="D395" s="8" t="s">
        <v>13</v>
      </c>
      <c r="E395" s="9">
        <v>45898</v>
      </c>
      <c r="F395" s="8">
        <v>19.7348</v>
      </c>
    </row>
    <row r="396" spans="1:6" ht="60" x14ac:dyDescent="0.25">
      <c r="A396" s="8" t="s">
        <v>5</v>
      </c>
      <c r="B396" s="8" t="s">
        <v>12</v>
      </c>
      <c r="C396" s="8" t="str">
        <f>IFERROR(_xlfn.XLOOKUP(TRIM(B396),Lookup!$B$2:$B$1000,Lookup!$C$2:$C$1000),"")</f>
        <v>Equity</v>
      </c>
      <c r="D396" s="8" t="s">
        <v>13</v>
      </c>
      <c r="E396" s="9">
        <v>45901</v>
      </c>
      <c r="F396" s="8">
        <v>19.889500000000002</v>
      </c>
    </row>
    <row r="397" spans="1:6" ht="60" x14ac:dyDescent="0.25">
      <c r="A397" s="8" t="s">
        <v>5</v>
      </c>
      <c r="B397" s="8" t="s">
        <v>12</v>
      </c>
      <c r="C397" s="8" t="str">
        <f>IFERROR(_xlfn.XLOOKUP(TRIM(B397),Lookup!$B$2:$B$1000,Lookup!$C$2:$C$1000),"")</f>
        <v>Equity</v>
      </c>
      <c r="D397" s="8" t="s">
        <v>13</v>
      </c>
      <c r="E397" s="9">
        <v>45902</v>
      </c>
      <c r="F397" s="8">
        <v>19.864000000000001</v>
      </c>
    </row>
    <row r="398" spans="1:6" ht="60" x14ac:dyDescent="0.25">
      <c r="A398" s="8" t="s">
        <v>5</v>
      </c>
      <c r="B398" s="8" t="s">
        <v>12</v>
      </c>
      <c r="C398" s="8" t="str">
        <f>IFERROR(_xlfn.XLOOKUP(TRIM(B398),Lookup!$B$2:$B$1000,Lookup!$C$2:$C$1000),"")</f>
        <v>Equity</v>
      </c>
      <c r="D398" s="8" t="s">
        <v>13</v>
      </c>
      <c r="E398" s="9">
        <v>45903</v>
      </c>
      <c r="F398" s="8">
        <v>19.974499999999999</v>
      </c>
    </row>
    <row r="399" spans="1:6" ht="60" x14ac:dyDescent="0.25">
      <c r="A399" s="8" t="s">
        <v>5</v>
      </c>
      <c r="B399" s="8" t="s">
        <v>12</v>
      </c>
      <c r="C399" s="8" t="str">
        <f>IFERROR(_xlfn.XLOOKUP(TRIM(B399),Lookup!$B$2:$B$1000,Lookup!$C$2:$C$1000),"")</f>
        <v>Equity</v>
      </c>
      <c r="D399" s="8" t="s">
        <v>13</v>
      </c>
      <c r="E399" s="9">
        <v>45904</v>
      </c>
      <c r="F399" s="8">
        <v>19.9803</v>
      </c>
    </row>
    <row r="400" spans="1:6" ht="60" x14ac:dyDescent="0.25">
      <c r="A400" s="8" t="s">
        <v>5</v>
      </c>
      <c r="B400" s="8" t="s">
        <v>12</v>
      </c>
      <c r="C400" s="8" t="str">
        <f>IFERROR(_xlfn.XLOOKUP(TRIM(B400),Lookup!$B$2:$B$1000,Lookup!$C$2:$C$1000),"")</f>
        <v>Equity</v>
      </c>
      <c r="D400" s="8" t="s">
        <v>13</v>
      </c>
      <c r="E400" s="9">
        <v>45905</v>
      </c>
      <c r="F400" s="8">
        <v>19.991399999999999</v>
      </c>
    </row>
    <row r="401" spans="1:6" ht="60" x14ac:dyDescent="0.25">
      <c r="A401" s="8" t="s">
        <v>5</v>
      </c>
      <c r="B401" s="8" t="s">
        <v>12</v>
      </c>
      <c r="C401" s="8" t="str">
        <f>IFERROR(_xlfn.XLOOKUP(TRIM(B401),Lookup!$B$2:$B$1000,Lookup!$C$2:$C$1000),"")</f>
        <v>Equity</v>
      </c>
      <c r="D401" s="8" t="s">
        <v>13</v>
      </c>
      <c r="E401" s="9">
        <v>45908</v>
      </c>
      <c r="F401" s="8">
        <v>20.017700000000001</v>
      </c>
    </row>
    <row r="402" spans="1:6" ht="60" x14ac:dyDescent="0.25">
      <c r="A402" s="8" t="s">
        <v>5</v>
      </c>
      <c r="B402" s="8" t="s">
        <v>12</v>
      </c>
      <c r="C402" s="8" t="str">
        <f>IFERROR(_xlfn.XLOOKUP(TRIM(B402),Lookup!$B$2:$B$1000,Lookup!$C$2:$C$1000),"")</f>
        <v>Equity</v>
      </c>
      <c r="D402" s="8" t="s">
        <v>13</v>
      </c>
      <c r="E402" s="9">
        <v>45909</v>
      </c>
      <c r="F402" s="8">
        <v>20.0929</v>
      </c>
    </row>
    <row r="403" spans="1:6" ht="60" x14ac:dyDescent="0.25">
      <c r="A403" s="8" t="s">
        <v>5</v>
      </c>
      <c r="B403" s="8" t="s">
        <v>12</v>
      </c>
      <c r="C403" s="8" t="str">
        <f>IFERROR(_xlfn.XLOOKUP(TRIM(B403),Lookup!$B$2:$B$1000,Lookup!$C$2:$C$1000),"")</f>
        <v>Equity</v>
      </c>
      <c r="D403" s="8" t="s">
        <v>13</v>
      </c>
      <c r="E403" s="9">
        <v>45910</v>
      </c>
      <c r="F403" s="8">
        <v>20.1906</v>
      </c>
    </row>
    <row r="404" spans="1:6" ht="60" x14ac:dyDescent="0.25">
      <c r="A404" s="8" t="s">
        <v>5</v>
      </c>
      <c r="B404" s="8" t="s">
        <v>12</v>
      </c>
      <c r="C404" s="8" t="str">
        <f>IFERROR(_xlfn.XLOOKUP(TRIM(B404),Lookup!$B$2:$B$1000,Lookup!$C$2:$C$1000),"")</f>
        <v>Equity</v>
      </c>
      <c r="D404" s="8" t="s">
        <v>13</v>
      </c>
      <c r="E404" s="9">
        <v>45911</v>
      </c>
      <c r="F404" s="8">
        <v>20.2196</v>
      </c>
    </row>
    <row r="405" spans="1:6" ht="60" x14ac:dyDescent="0.25">
      <c r="A405" s="8" t="s">
        <v>5</v>
      </c>
      <c r="B405" s="8" t="s">
        <v>12</v>
      </c>
      <c r="C405" s="8" t="str">
        <f>IFERROR(_xlfn.XLOOKUP(TRIM(B405),Lookup!$B$2:$B$1000,Lookup!$C$2:$C$1000),"")</f>
        <v>Equity</v>
      </c>
      <c r="D405" s="8" t="s">
        <v>13</v>
      </c>
      <c r="E405" s="9">
        <v>45912</v>
      </c>
      <c r="F405" s="8">
        <v>20.291499999999999</v>
      </c>
    </row>
    <row r="406" spans="1:6" ht="60" x14ac:dyDescent="0.25">
      <c r="A406" s="8" t="s">
        <v>5</v>
      </c>
      <c r="B406" s="8" t="s">
        <v>12</v>
      </c>
      <c r="C406" s="8" t="str">
        <f>IFERROR(_xlfn.XLOOKUP(TRIM(B406),Lookup!$B$2:$B$1000,Lookup!$C$2:$C$1000),"")</f>
        <v>Equity</v>
      </c>
      <c r="D406" s="8" t="s">
        <v>13</v>
      </c>
      <c r="E406" s="9">
        <v>45915</v>
      </c>
      <c r="F406" s="8">
        <v>20.255600000000001</v>
      </c>
    </row>
    <row r="407" spans="1:6" ht="60" x14ac:dyDescent="0.25">
      <c r="A407" s="8" t="s">
        <v>5</v>
      </c>
      <c r="B407" s="8" t="s">
        <v>12</v>
      </c>
      <c r="C407" s="8" t="str">
        <f>IFERROR(_xlfn.XLOOKUP(TRIM(B407),Lookup!$B$2:$B$1000,Lookup!$C$2:$C$1000),"")</f>
        <v>Equity</v>
      </c>
      <c r="D407" s="8" t="s">
        <v>13</v>
      </c>
      <c r="E407" s="9">
        <v>45916</v>
      </c>
      <c r="F407" s="8">
        <v>20.396000000000001</v>
      </c>
    </row>
    <row r="408" spans="1:6" ht="60" x14ac:dyDescent="0.25">
      <c r="A408" s="8" t="s">
        <v>5</v>
      </c>
      <c r="B408" s="8" t="s">
        <v>12</v>
      </c>
      <c r="C408" s="8" t="str">
        <f>IFERROR(_xlfn.XLOOKUP(TRIM(B408),Lookup!$B$2:$B$1000,Lookup!$C$2:$C$1000),"")</f>
        <v>Equity</v>
      </c>
      <c r="D408" s="8" t="s">
        <v>13</v>
      </c>
      <c r="E408" s="9">
        <v>45917</v>
      </c>
      <c r="F408" s="8">
        <v>20.4847</v>
      </c>
    </row>
    <row r="409" spans="1:6" ht="60" x14ac:dyDescent="0.25">
      <c r="A409" s="8" t="s">
        <v>5</v>
      </c>
      <c r="B409" s="8" t="s">
        <v>12</v>
      </c>
      <c r="C409" s="8" t="str">
        <f>IFERROR(_xlfn.XLOOKUP(TRIM(B409),Lookup!$B$2:$B$1000,Lookup!$C$2:$C$1000),"")</f>
        <v>Equity</v>
      </c>
      <c r="D409" s="8" t="s">
        <v>13</v>
      </c>
      <c r="E409" s="9">
        <v>45918</v>
      </c>
      <c r="F409" s="8">
        <v>20.558499999999999</v>
      </c>
    </row>
    <row r="410" spans="1:6" ht="60" x14ac:dyDescent="0.25">
      <c r="A410" s="8" t="s">
        <v>5</v>
      </c>
      <c r="B410" s="8" t="s">
        <v>12</v>
      </c>
      <c r="C410" s="8" t="str">
        <f>IFERROR(_xlfn.XLOOKUP(TRIM(B410),Lookup!$B$2:$B$1000,Lookup!$C$2:$C$1000),"")</f>
        <v>Equity</v>
      </c>
      <c r="D410" s="8" t="s">
        <v>13</v>
      </c>
      <c r="E410" s="9">
        <v>45919</v>
      </c>
      <c r="F410" s="8">
        <v>20.497599999999998</v>
      </c>
    </row>
    <row r="411" spans="1:6" ht="60" x14ac:dyDescent="0.25">
      <c r="A411" s="8" t="s">
        <v>5</v>
      </c>
      <c r="B411" s="8" t="s">
        <v>12</v>
      </c>
      <c r="C411" s="8" t="str">
        <f>IFERROR(_xlfn.XLOOKUP(TRIM(B411),Lookup!$B$2:$B$1000,Lookup!$C$2:$C$1000),"")</f>
        <v>Equity</v>
      </c>
      <c r="D411" s="8" t="s">
        <v>13</v>
      </c>
      <c r="E411" s="9">
        <v>45922</v>
      </c>
      <c r="F411" s="8">
        <v>20.3932</v>
      </c>
    </row>
    <row r="412" spans="1:6" ht="60" x14ac:dyDescent="0.25">
      <c r="A412" s="8" t="s">
        <v>5</v>
      </c>
      <c r="B412" s="8" t="s">
        <v>12</v>
      </c>
      <c r="C412" s="8" t="str">
        <f>IFERROR(_xlfn.XLOOKUP(TRIM(B412),Lookup!$B$2:$B$1000,Lookup!$C$2:$C$1000),"")</f>
        <v>Equity</v>
      </c>
      <c r="D412" s="8" t="s">
        <v>13</v>
      </c>
      <c r="E412" s="9">
        <v>45923</v>
      </c>
      <c r="F412" s="8">
        <v>20.377800000000001</v>
      </c>
    </row>
    <row r="413" spans="1:6" ht="60" x14ac:dyDescent="0.25">
      <c r="A413" s="8" t="s">
        <v>5</v>
      </c>
      <c r="B413" s="8" t="s">
        <v>12</v>
      </c>
      <c r="C413" s="8" t="str">
        <f>IFERROR(_xlfn.XLOOKUP(TRIM(B413),Lookup!$B$2:$B$1000,Lookup!$C$2:$C$1000),"")</f>
        <v>Equity</v>
      </c>
      <c r="D413" s="8" t="s">
        <v>13</v>
      </c>
      <c r="E413" s="9">
        <v>45924</v>
      </c>
      <c r="F413" s="8">
        <v>20.291699999999999</v>
      </c>
    </row>
    <row r="414" spans="1:6" ht="60" x14ac:dyDescent="0.25">
      <c r="A414" s="8" t="s">
        <v>5</v>
      </c>
      <c r="B414" s="8" t="s">
        <v>12</v>
      </c>
      <c r="C414" s="8" t="str">
        <f>IFERROR(_xlfn.XLOOKUP(TRIM(B414),Lookup!$B$2:$B$1000,Lookup!$C$2:$C$1000),"")</f>
        <v>Equity</v>
      </c>
      <c r="D414" s="8" t="s">
        <v>13</v>
      </c>
      <c r="E414" s="9">
        <v>45925</v>
      </c>
      <c r="F414" s="8">
        <v>20.161799999999999</v>
      </c>
    </row>
    <row r="415" spans="1:6" ht="60" x14ac:dyDescent="0.25">
      <c r="A415" s="8" t="s">
        <v>5</v>
      </c>
      <c r="B415" s="8" t="s">
        <v>12</v>
      </c>
      <c r="C415" s="8" t="str">
        <f>IFERROR(_xlfn.XLOOKUP(TRIM(B415),Lookup!$B$2:$B$1000,Lookup!$C$2:$C$1000),"")</f>
        <v>Equity</v>
      </c>
      <c r="D415" s="8" t="s">
        <v>13</v>
      </c>
      <c r="E415" s="9">
        <v>45926</v>
      </c>
      <c r="F415" s="8">
        <v>19.972000000000001</v>
      </c>
    </row>
    <row r="416" spans="1:6" ht="60" x14ac:dyDescent="0.25">
      <c r="A416" s="8" t="s">
        <v>5</v>
      </c>
      <c r="B416" s="8" t="s">
        <v>12</v>
      </c>
      <c r="C416" s="8" t="str">
        <f>IFERROR(_xlfn.XLOOKUP(TRIM(B416),Lookup!$B$2:$B$1000,Lookup!$C$2:$C$1000),"")</f>
        <v>Equity</v>
      </c>
      <c r="D416" s="8" t="s">
        <v>13</v>
      </c>
      <c r="E416" s="9">
        <v>45929</v>
      </c>
      <c r="F416" s="8">
        <v>19.961200000000002</v>
      </c>
    </row>
    <row r="417" spans="1:6" ht="60" x14ac:dyDescent="0.25">
      <c r="A417" s="8" t="s">
        <v>5</v>
      </c>
      <c r="B417" s="8" t="s">
        <v>12</v>
      </c>
      <c r="C417" s="8" t="str">
        <f>IFERROR(_xlfn.XLOOKUP(TRIM(B417),Lookup!$B$2:$B$1000,Lookup!$C$2:$C$1000),"")</f>
        <v>Equity</v>
      </c>
      <c r="D417" s="8" t="s">
        <v>13</v>
      </c>
      <c r="E417" s="9">
        <v>45930</v>
      </c>
      <c r="F417" s="8">
        <v>19.951899999999998</v>
      </c>
    </row>
    <row r="418" spans="1:6" ht="60" x14ac:dyDescent="0.25">
      <c r="A418" s="8" t="s">
        <v>5</v>
      </c>
      <c r="B418" s="8" t="s">
        <v>12</v>
      </c>
      <c r="C418" s="8" t="str">
        <f>IFERROR(_xlfn.XLOOKUP(TRIM(B418),Lookup!$B$2:$B$1000,Lookup!$C$2:$C$1000),"")</f>
        <v>Equity</v>
      </c>
      <c r="D418" s="8" t="s">
        <v>13</v>
      </c>
      <c r="E418" s="9">
        <v>45931</v>
      </c>
      <c r="F418" s="8">
        <v>20.122800000000002</v>
      </c>
    </row>
    <row r="419" spans="1:6" ht="60" x14ac:dyDescent="0.25">
      <c r="A419" s="8" t="s">
        <v>5</v>
      </c>
      <c r="B419" s="8" t="s">
        <v>12</v>
      </c>
      <c r="C419" s="8" t="str">
        <f>IFERROR(_xlfn.XLOOKUP(TRIM(B419),Lookup!$B$2:$B$1000,Lookup!$C$2:$C$1000),"")</f>
        <v>Equity</v>
      </c>
      <c r="D419" s="8" t="s">
        <v>13</v>
      </c>
      <c r="E419" s="9">
        <v>45933</v>
      </c>
      <c r="F419" s="8">
        <v>20.179400000000001</v>
      </c>
    </row>
    <row r="420" spans="1:6" ht="60" x14ac:dyDescent="0.25">
      <c r="A420" s="8" t="s">
        <v>5</v>
      </c>
      <c r="B420" s="8" t="s">
        <v>12</v>
      </c>
      <c r="C420" s="8" t="str">
        <f>IFERROR(_xlfn.XLOOKUP(TRIM(B420),Lookup!$B$2:$B$1000,Lookup!$C$2:$C$1000),"")</f>
        <v>Equity</v>
      </c>
      <c r="D420" s="8" t="s">
        <v>13</v>
      </c>
      <c r="E420" s="9">
        <v>45936</v>
      </c>
      <c r="F420" s="8">
        <v>20.343699999999998</v>
      </c>
    </row>
    <row r="421" spans="1:6" ht="60" x14ac:dyDescent="0.25">
      <c r="A421" s="8" t="s">
        <v>5</v>
      </c>
      <c r="B421" s="8" t="s">
        <v>12</v>
      </c>
      <c r="C421" s="8" t="str">
        <f>IFERROR(_xlfn.XLOOKUP(TRIM(B421),Lookup!$B$2:$B$1000,Lookup!$C$2:$C$1000),"")</f>
        <v>Equity</v>
      </c>
      <c r="D421" s="8" t="s">
        <v>13</v>
      </c>
      <c r="E421" s="9">
        <v>45937</v>
      </c>
      <c r="F421" s="8">
        <v>20.352</v>
      </c>
    </row>
    <row r="422" spans="1:6" ht="60" x14ac:dyDescent="0.25">
      <c r="A422" s="8" t="s">
        <v>5</v>
      </c>
      <c r="B422" s="8" t="s">
        <v>12</v>
      </c>
      <c r="C422" s="8" t="str">
        <f>IFERROR(_xlfn.XLOOKUP(TRIM(B422),Lookup!$B$2:$B$1000,Lookup!$C$2:$C$1000),"")</f>
        <v>Equity</v>
      </c>
      <c r="D422" s="8" t="s">
        <v>13</v>
      </c>
      <c r="E422" s="9">
        <v>45938</v>
      </c>
      <c r="F422" s="8">
        <v>20.304400000000001</v>
      </c>
    </row>
    <row r="423" spans="1:6" ht="60" x14ac:dyDescent="0.25">
      <c r="A423" s="8" t="s">
        <v>5</v>
      </c>
      <c r="B423" s="8" t="s">
        <v>12</v>
      </c>
      <c r="C423" s="8" t="str">
        <f>IFERROR(_xlfn.XLOOKUP(TRIM(B423),Lookup!$B$2:$B$1000,Lookup!$C$2:$C$1000),"")</f>
        <v>Equity</v>
      </c>
      <c r="D423" s="8" t="s">
        <v>13</v>
      </c>
      <c r="E423" s="9">
        <v>45939</v>
      </c>
      <c r="F423" s="8">
        <v>20.416799999999999</v>
      </c>
    </row>
    <row r="424" spans="1:6" ht="60" x14ac:dyDescent="0.25">
      <c r="A424" s="8" t="s">
        <v>5</v>
      </c>
      <c r="B424" s="8" t="s">
        <v>12</v>
      </c>
      <c r="C424" s="8" t="str">
        <f>IFERROR(_xlfn.XLOOKUP(TRIM(B424),Lookup!$B$2:$B$1000,Lookup!$C$2:$C$1000),"")</f>
        <v>Equity</v>
      </c>
      <c r="D424" s="8" t="s">
        <v>13</v>
      </c>
      <c r="E424" s="9">
        <v>45940</v>
      </c>
      <c r="F424" s="8">
        <v>20.5075</v>
      </c>
    </row>
    <row r="425" spans="1:6" ht="60" x14ac:dyDescent="0.25">
      <c r="A425" s="8" t="s">
        <v>5</v>
      </c>
      <c r="B425" s="8" t="s">
        <v>12</v>
      </c>
      <c r="C425" s="8" t="str">
        <f>IFERROR(_xlfn.XLOOKUP(TRIM(B425),Lookup!$B$2:$B$1000,Lookup!$C$2:$C$1000),"")</f>
        <v>Equity</v>
      </c>
      <c r="D425" s="8" t="s">
        <v>13</v>
      </c>
      <c r="E425" s="9">
        <v>45943</v>
      </c>
      <c r="F425" s="8">
        <v>20.462700000000002</v>
      </c>
    </row>
    <row r="426" spans="1:6" ht="60" x14ac:dyDescent="0.25">
      <c r="A426" s="8" t="s">
        <v>5</v>
      </c>
      <c r="B426" s="8" t="s">
        <v>12</v>
      </c>
      <c r="C426" s="8" t="str">
        <f>IFERROR(_xlfn.XLOOKUP(TRIM(B426),Lookup!$B$2:$B$1000,Lookup!$C$2:$C$1000),"")</f>
        <v>Equity</v>
      </c>
      <c r="D426" s="8" t="s">
        <v>13</v>
      </c>
      <c r="E426" s="9">
        <v>45944</v>
      </c>
      <c r="F426" s="8">
        <v>20.3841</v>
      </c>
    </row>
    <row r="427" spans="1:6" ht="60" x14ac:dyDescent="0.25">
      <c r="A427" s="8" t="s">
        <v>5</v>
      </c>
      <c r="B427" s="8" t="s">
        <v>12</v>
      </c>
      <c r="C427" s="8" t="str">
        <f>IFERROR(_xlfn.XLOOKUP(TRIM(B427),Lookup!$B$2:$B$1000,Lookup!$C$2:$C$1000),"")</f>
        <v>Equity</v>
      </c>
      <c r="D427" s="8" t="s">
        <v>13</v>
      </c>
      <c r="E427" s="9">
        <v>45945</v>
      </c>
      <c r="F427" s="8">
        <v>20.516200000000001</v>
      </c>
    </row>
    <row r="428" spans="1:6" ht="60" x14ac:dyDescent="0.25">
      <c r="A428" s="8" t="s">
        <v>5</v>
      </c>
      <c r="B428" s="8" t="s">
        <v>12</v>
      </c>
      <c r="C428" s="8" t="str">
        <f>IFERROR(_xlfn.XLOOKUP(TRIM(B428),Lookup!$B$2:$B$1000,Lookup!$C$2:$C$1000),"")</f>
        <v>Equity</v>
      </c>
      <c r="D428" s="8" t="s">
        <v>13</v>
      </c>
      <c r="E428" s="9">
        <v>45946</v>
      </c>
      <c r="F428" s="8">
        <v>20.717199999999998</v>
      </c>
    </row>
    <row r="429" spans="1:6" ht="60" x14ac:dyDescent="0.25">
      <c r="A429" s="8" t="s">
        <v>5</v>
      </c>
      <c r="B429" s="8" t="s">
        <v>12</v>
      </c>
      <c r="C429" s="8" t="str">
        <f>IFERROR(_xlfn.XLOOKUP(TRIM(B429),Lookup!$B$2:$B$1000,Lookup!$C$2:$C$1000),"")</f>
        <v>Equity</v>
      </c>
      <c r="D429" s="8" t="s">
        <v>13</v>
      </c>
      <c r="E429" s="9">
        <v>45947</v>
      </c>
      <c r="F429" s="8">
        <v>20.802499999999998</v>
      </c>
    </row>
    <row r="430" spans="1:6" ht="60" x14ac:dyDescent="0.25">
      <c r="A430" s="8" t="s">
        <v>5</v>
      </c>
      <c r="B430" s="8" t="s">
        <v>12</v>
      </c>
      <c r="C430" s="8" t="str">
        <f>IFERROR(_xlfn.XLOOKUP(TRIM(B430),Lookup!$B$2:$B$1000,Lookup!$C$2:$C$1000),"")</f>
        <v>Equity</v>
      </c>
      <c r="D430" s="8" t="s">
        <v>13</v>
      </c>
      <c r="E430" s="9">
        <v>45950</v>
      </c>
      <c r="F430" s="8">
        <v>20.981000000000002</v>
      </c>
    </row>
    <row r="431" spans="1:6" ht="60" x14ac:dyDescent="0.25">
      <c r="A431" s="8" t="s">
        <v>5</v>
      </c>
      <c r="B431" s="8" t="s">
        <v>12</v>
      </c>
      <c r="C431" s="8" t="str">
        <f>IFERROR(_xlfn.XLOOKUP(TRIM(B431),Lookup!$B$2:$B$1000,Lookup!$C$2:$C$1000),"")</f>
        <v>Equity</v>
      </c>
      <c r="D431" s="8" t="s">
        <v>13</v>
      </c>
      <c r="E431" s="9">
        <v>45953</v>
      </c>
      <c r="F431" s="8">
        <v>21.040099999999999</v>
      </c>
    </row>
    <row r="432" spans="1:6" ht="60" x14ac:dyDescent="0.25">
      <c r="A432" s="8" t="s">
        <v>5</v>
      </c>
      <c r="B432" s="8" t="s">
        <v>12</v>
      </c>
      <c r="C432" s="8" t="str">
        <f>IFERROR(_xlfn.XLOOKUP(TRIM(B432),Lookup!$B$2:$B$1000,Lookup!$C$2:$C$1000),"")</f>
        <v>Equity</v>
      </c>
      <c r="D432" s="8" t="s">
        <v>13</v>
      </c>
      <c r="E432" s="9">
        <v>45954</v>
      </c>
      <c r="F432" s="8">
        <v>20.9437</v>
      </c>
    </row>
    <row r="433" spans="1:6" ht="60" x14ac:dyDescent="0.25">
      <c r="A433" s="8" t="s">
        <v>5</v>
      </c>
      <c r="B433" s="8" t="s">
        <v>12</v>
      </c>
      <c r="C433" s="8" t="str">
        <f>IFERROR(_xlfn.XLOOKUP(TRIM(B433),Lookup!$B$2:$B$1000,Lookup!$C$2:$C$1000),"")</f>
        <v>Equity</v>
      </c>
      <c r="D433" s="8" t="s">
        <v>13</v>
      </c>
      <c r="E433" s="9">
        <v>45957</v>
      </c>
      <c r="F433" s="8">
        <v>21.107099999999999</v>
      </c>
    </row>
    <row r="434" spans="1:6" ht="60" x14ac:dyDescent="0.25">
      <c r="A434" s="8" t="s">
        <v>5</v>
      </c>
      <c r="B434" s="8" t="s">
        <v>12</v>
      </c>
      <c r="C434" s="8" t="str">
        <f>IFERROR(_xlfn.XLOOKUP(TRIM(B434),Lookup!$B$2:$B$1000,Lookup!$C$2:$C$1000),"")</f>
        <v>Equity</v>
      </c>
      <c r="D434" s="8" t="s">
        <v>13</v>
      </c>
      <c r="E434" s="9">
        <v>45958</v>
      </c>
      <c r="F434" s="8">
        <v>21.101900000000001</v>
      </c>
    </row>
    <row r="435" spans="1:6" ht="60" x14ac:dyDescent="0.25">
      <c r="A435" s="8" t="s">
        <v>5</v>
      </c>
      <c r="B435" s="8" t="s">
        <v>12</v>
      </c>
      <c r="C435" s="8" t="str">
        <f>IFERROR(_xlfn.XLOOKUP(TRIM(B435),Lookup!$B$2:$B$1000,Lookup!$C$2:$C$1000),"")</f>
        <v>Equity</v>
      </c>
      <c r="D435" s="8" t="s">
        <v>13</v>
      </c>
      <c r="E435" s="9">
        <v>45959</v>
      </c>
      <c r="F435" s="8">
        <v>21.1919</v>
      </c>
    </row>
    <row r="436" spans="1:6" ht="60" x14ac:dyDescent="0.25">
      <c r="A436" s="8" t="s">
        <v>5</v>
      </c>
      <c r="B436" s="8" t="s">
        <v>12</v>
      </c>
      <c r="C436" s="8" t="str">
        <f>IFERROR(_xlfn.XLOOKUP(TRIM(B436),Lookup!$B$2:$B$1000,Lookup!$C$2:$C$1000),"")</f>
        <v>Equity</v>
      </c>
      <c r="D436" s="8" t="s">
        <v>13</v>
      </c>
      <c r="E436" s="9">
        <v>45960</v>
      </c>
      <c r="F436" s="8">
        <v>21.0595</v>
      </c>
    </row>
    <row r="437" spans="1:6" ht="60" x14ac:dyDescent="0.25">
      <c r="A437" s="8" t="s">
        <v>5</v>
      </c>
      <c r="B437" s="8" t="s">
        <v>12</v>
      </c>
      <c r="C437" s="8" t="str">
        <f>IFERROR(_xlfn.XLOOKUP(TRIM(B437),Lookup!$B$2:$B$1000,Lookup!$C$2:$C$1000),"")</f>
        <v>Equity</v>
      </c>
      <c r="D437" s="8" t="s">
        <v>13</v>
      </c>
      <c r="E437" s="9">
        <v>45961</v>
      </c>
      <c r="F437" s="8">
        <v>20.9528</v>
      </c>
    </row>
    <row r="438" spans="1:6" ht="60" x14ac:dyDescent="0.25">
      <c r="A438" s="8" t="s">
        <v>5</v>
      </c>
      <c r="B438" s="8" t="s">
        <v>12</v>
      </c>
      <c r="C438" s="8" t="str">
        <f>IFERROR(_xlfn.XLOOKUP(TRIM(B438),Lookup!$B$2:$B$1000,Lookup!$C$2:$C$1000),"")</f>
        <v>Equity</v>
      </c>
      <c r="D438" s="8" t="s">
        <v>13</v>
      </c>
      <c r="E438" s="9">
        <v>45964</v>
      </c>
      <c r="F438" s="8">
        <v>20.988499999999998</v>
      </c>
    </row>
    <row r="439" spans="1:6" ht="60" x14ac:dyDescent="0.25">
      <c r="A439" s="8" t="s">
        <v>5</v>
      </c>
      <c r="B439" s="8" t="s">
        <v>12</v>
      </c>
      <c r="C439" s="8" t="str">
        <f>IFERROR(_xlfn.XLOOKUP(TRIM(B439),Lookup!$B$2:$B$1000,Lookup!$C$2:$C$1000),"")</f>
        <v>Equity</v>
      </c>
      <c r="D439" s="8" t="s">
        <v>13</v>
      </c>
      <c r="E439" s="9">
        <v>45965</v>
      </c>
      <c r="F439" s="8">
        <v>20.858899999999998</v>
      </c>
    </row>
    <row r="440" spans="1:6" ht="60" x14ac:dyDescent="0.25">
      <c r="A440" s="8" t="s">
        <v>5</v>
      </c>
      <c r="B440" s="8" t="s">
        <v>12</v>
      </c>
      <c r="C440" s="8" t="str">
        <f>IFERROR(_xlfn.XLOOKUP(TRIM(B440),Lookup!$B$2:$B$1000,Lookup!$C$2:$C$1000),"")</f>
        <v>Equity</v>
      </c>
      <c r="D440" s="8" t="s">
        <v>13</v>
      </c>
      <c r="E440" s="9">
        <v>45967</v>
      </c>
      <c r="F440" s="8">
        <v>20.792000000000002</v>
      </c>
    </row>
    <row r="441" spans="1:6" ht="60" x14ac:dyDescent="0.25">
      <c r="A441" s="8" t="s">
        <v>5</v>
      </c>
      <c r="B441" s="8" t="s">
        <v>12</v>
      </c>
      <c r="C441" s="8" t="str">
        <f>IFERROR(_xlfn.XLOOKUP(TRIM(B441),Lookup!$B$2:$B$1000,Lookup!$C$2:$C$1000),"")</f>
        <v>Equity</v>
      </c>
      <c r="D441" s="8" t="s">
        <v>13</v>
      </c>
      <c r="E441" s="9">
        <v>45968</v>
      </c>
      <c r="F441" s="8">
        <v>20.776900000000001</v>
      </c>
    </row>
    <row r="442" spans="1:6" ht="60" x14ac:dyDescent="0.25">
      <c r="A442" s="8" t="s">
        <v>5</v>
      </c>
      <c r="B442" s="8" t="s">
        <v>12</v>
      </c>
      <c r="C442" s="8" t="str">
        <f>IFERROR(_xlfn.XLOOKUP(TRIM(B442),Lookup!$B$2:$B$1000,Lookup!$C$2:$C$1000),"")</f>
        <v>Equity</v>
      </c>
      <c r="D442" s="8" t="s">
        <v>13</v>
      </c>
      <c r="E442" s="9">
        <v>45971</v>
      </c>
      <c r="F442" s="8">
        <v>20.8414</v>
      </c>
    </row>
    <row r="443" spans="1:6" ht="60" x14ac:dyDescent="0.25">
      <c r="A443" s="8" t="s">
        <v>5</v>
      </c>
      <c r="B443" s="8" t="s">
        <v>12</v>
      </c>
      <c r="C443" s="8" t="str">
        <f>IFERROR(_xlfn.XLOOKUP(TRIM(B443),Lookup!$B$2:$B$1000,Lookup!$C$2:$C$1000),"")</f>
        <v>Equity</v>
      </c>
      <c r="D443" s="8" t="s">
        <v>13</v>
      </c>
      <c r="E443" s="9">
        <v>45972</v>
      </c>
      <c r="F443" s="8">
        <v>20.9238</v>
      </c>
    </row>
    <row r="444" spans="1:6" ht="60" x14ac:dyDescent="0.25">
      <c r="A444" s="8" t="s">
        <v>5</v>
      </c>
      <c r="B444" s="8" t="s">
        <v>12</v>
      </c>
      <c r="C444" s="8" t="str">
        <f>IFERROR(_xlfn.XLOOKUP(TRIM(B444),Lookup!$B$2:$B$1000,Lookup!$C$2:$C$1000),"")</f>
        <v>Equity</v>
      </c>
      <c r="D444" s="8" t="s">
        <v>13</v>
      </c>
      <c r="E444" s="9">
        <v>45973</v>
      </c>
      <c r="F444" s="8">
        <v>21.076699999999999</v>
      </c>
    </row>
    <row r="445" spans="1:6" ht="60" x14ac:dyDescent="0.25">
      <c r="A445" s="8" t="s">
        <v>5</v>
      </c>
      <c r="B445" s="8" t="s">
        <v>12</v>
      </c>
      <c r="C445" s="8" t="str">
        <f>IFERROR(_xlfn.XLOOKUP(TRIM(B445),Lookup!$B$2:$B$1000,Lookup!$C$2:$C$1000),"")</f>
        <v>Equity</v>
      </c>
      <c r="D445" s="8" t="s">
        <v>13</v>
      </c>
      <c r="E445" s="9">
        <v>45974</v>
      </c>
      <c r="F445" s="8">
        <v>21.0547</v>
      </c>
    </row>
    <row r="446" spans="1:6" ht="60" x14ac:dyDescent="0.25">
      <c r="A446" s="8" t="s">
        <v>5</v>
      </c>
      <c r="B446" s="8" t="s">
        <v>12</v>
      </c>
      <c r="C446" s="8" t="str">
        <f>IFERROR(_xlfn.XLOOKUP(TRIM(B446),Lookup!$B$2:$B$1000,Lookup!$C$2:$C$1000),"")</f>
        <v>Equity</v>
      </c>
      <c r="D446" s="8" t="s">
        <v>13</v>
      </c>
      <c r="E446" s="9">
        <v>45975</v>
      </c>
      <c r="F446" s="8">
        <v>21.093800000000002</v>
      </c>
    </row>
    <row r="447" spans="1:6" ht="60" x14ac:dyDescent="0.25">
      <c r="A447" s="8" t="s">
        <v>5</v>
      </c>
      <c r="B447" s="8" t="s">
        <v>12</v>
      </c>
      <c r="C447" s="8" t="str">
        <f>IFERROR(_xlfn.XLOOKUP(TRIM(B447),Lookup!$B$2:$B$1000,Lookup!$C$2:$C$1000),"")</f>
        <v>Equity</v>
      </c>
      <c r="D447" s="8" t="s">
        <v>13</v>
      </c>
      <c r="E447" s="9">
        <v>45978</v>
      </c>
      <c r="F447" s="8">
        <v>21.180299999999999</v>
      </c>
    </row>
    <row r="448" spans="1:6" ht="60" x14ac:dyDescent="0.25">
      <c r="A448" s="8" t="s">
        <v>5</v>
      </c>
      <c r="B448" s="8" t="s">
        <v>12</v>
      </c>
      <c r="C448" s="8" t="str">
        <f>IFERROR(_xlfn.XLOOKUP(TRIM(B448),Lookup!$B$2:$B$1000,Lookup!$C$2:$C$1000),"")</f>
        <v>Equity</v>
      </c>
      <c r="D448" s="8" t="s">
        <v>13</v>
      </c>
      <c r="E448" s="9">
        <v>45979</v>
      </c>
      <c r="F448" s="8">
        <v>21.107500000000002</v>
      </c>
    </row>
    <row r="449" spans="1:6" ht="60" x14ac:dyDescent="0.25">
      <c r="A449" s="8" t="s">
        <v>5</v>
      </c>
      <c r="B449" s="8" t="s">
        <v>12</v>
      </c>
      <c r="C449" s="8" t="str">
        <f>IFERROR(_xlfn.XLOOKUP(TRIM(B449),Lookup!$B$2:$B$1000,Lookup!$C$2:$C$1000),"")</f>
        <v>Equity</v>
      </c>
      <c r="D449" s="8" t="s">
        <v>13</v>
      </c>
      <c r="E449" s="9">
        <v>45980</v>
      </c>
      <c r="F449" s="8">
        <v>21.215199999999999</v>
      </c>
    </row>
    <row r="450" spans="1:6" ht="60" x14ac:dyDescent="0.25">
      <c r="A450" s="8" t="s">
        <v>5</v>
      </c>
      <c r="B450" s="8" t="s">
        <v>12</v>
      </c>
      <c r="C450" s="8" t="str">
        <f>IFERROR(_xlfn.XLOOKUP(TRIM(B450),Lookup!$B$2:$B$1000,Lookup!$C$2:$C$1000),"")</f>
        <v>Equity</v>
      </c>
      <c r="D450" s="8" t="s">
        <v>13</v>
      </c>
      <c r="E450" s="9">
        <v>45981</v>
      </c>
      <c r="F450" s="8">
        <v>21.322399999999998</v>
      </c>
    </row>
    <row r="451" spans="1:6" ht="60" x14ac:dyDescent="0.25">
      <c r="A451" s="8" t="s">
        <v>5</v>
      </c>
      <c r="B451" s="8" t="s">
        <v>12</v>
      </c>
      <c r="C451" s="8" t="str">
        <f>IFERROR(_xlfn.XLOOKUP(TRIM(B451),Lookup!$B$2:$B$1000,Lookup!$C$2:$C$1000),"")</f>
        <v>Equity</v>
      </c>
      <c r="D451" s="8" t="s">
        <v>13</v>
      </c>
      <c r="E451" s="9">
        <v>45982</v>
      </c>
      <c r="F451" s="8">
        <v>21.226900000000001</v>
      </c>
    </row>
    <row r="452" spans="1:6" ht="60" x14ac:dyDescent="0.25">
      <c r="A452" s="8" t="s">
        <v>5</v>
      </c>
      <c r="B452" s="8" t="s">
        <v>12</v>
      </c>
      <c r="C452" s="8" t="str">
        <f>IFERROR(_xlfn.XLOOKUP(TRIM(B452),Lookup!$B$2:$B$1000,Lookup!$C$2:$C$1000),"")</f>
        <v>Equity</v>
      </c>
      <c r="D452" s="8" t="s">
        <v>13</v>
      </c>
      <c r="E452" s="9">
        <v>45987</v>
      </c>
      <c r="F452" s="8">
        <v>21.349399999999999</v>
      </c>
    </row>
    <row r="453" spans="1:6" ht="60" x14ac:dyDescent="0.25">
      <c r="A453" s="8" t="s">
        <v>5</v>
      </c>
      <c r="B453" s="8" t="s">
        <v>12</v>
      </c>
      <c r="C453" s="8" t="str">
        <f>IFERROR(_xlfn.XLOOKUP(TRIM(B453),Lookup!$B$2:$B$1000,Lookup!$C$2:$C$1000),"")</f>
        <v>Equity</v>
      </c>
      <c r="D453" s="8" t="s">
        <v>13</v>
      </c>
      <c r="E453" s="9">
        <v>45988</v>
      </c>
      <c r="F453" s="8">
        <v>21.343399999999999</v>
      </c>
    </row>
    <row r="454" spans="1:6" ht="60" x14ac:dyDescent="0.25">
      <c r="A454" s="8" t="s">
        <v>5</v>
      </c>
      <c r="B454" s="8" t="s">
        <v>12</v>
      </c>
      <c r="C454" s="8" t="str">
        <f>IFERROR(_xlfn.XLOOKUP(TRIM(B454),Lookup!$B$2:$B$1000,Lookup!$C$2:$C$1000),"")</f>
        <v>Equity</v>
      </c>
      <c r="D454" s="8" t="s">
        <v>13</v>
      </c>
      <c r="E454" s="9">
        <v>45989</v>
      </c>
      <c r="F454" s="8">
        <v>21.336300000000001</v>
      </c>
    </row>
    <row r="455" spans="1:6" ht="60" x14ac:dyDescent="0.25">
      <c r="A455" s="8" t="s">
        <v>5</v>
      </c>
      <c r="B455" s="8" t="s">
        <v>12</v>
      </c>
      <c r="C455" s="8" t="str">
        <f>IFERROR(_xlfn.XLOOKUP(TRIM(B455),Lookup!$B$2:$B$1000,Lookup!$C$2:$C$1000),"")</f>
        <v>Equity</v>
      </c>
      <c r="D455" s="8" t="s">
        <v>13</v>
      </c>
      <c r="E455" s="9">
        <v>45993</v>
      </c>
      <c r="F455" s="8">
        <v>21.2182</v>
      </c>
    </row>
    <row r="456" spans="1:6" ht="60" x14ac:dyDescent="0.25">
      <c r="A456" s="8" t="s">
        <v>5</v>
      </c>
      <c r="B456" s="8" t="s">
        <v>12</v>
      </c>
      <c r="C456" s="8" t="str">
        <f>IFERROR(_xlfn.XLOOKUP(TRIM(B456),Lookup!$B$2:$B$1000,Lookup!$C$2:$C$1000),"")</f>
        <v>Equity</v>
      </c>
      <c r="D456" s="8" t="s">
        <v>13</v>
      </c>
      <c r="E456" s="9">
        <v>45994</v>
      </c>
      <c r="F456" s="8">
        <v>21.151</v>
      </c>
    </row>
    <row r="457" spans="1:6" ht="60" x14ac:dyDescent="0.25">
      <c r="A457" s="8" t="s">
        <v>5</v>
      </c>
      <c r="B457" s="8" t="s">
        <v>12</v>
      </c>
      <c r="C457" s="8" t="str">
        <f>IFERROR(_xlfn.XLOOKUP(TRIM(B457),Lookup!$B$2:$B$1000,Lookup!$C$2:$C$1000),"")</f>
        <v>Equity</v>
      </c>
      <c r="D457" s="8" t="s">
        <v>13</v>
      </c>
      <c r="E457" s="9">
        <v>45995</v>
      </c>
      <c r="F457" s="8">
        <v>21.1873</v>
      </c>
    </row>
    <row r="458" spans="1:6" ht="60" x14ac:dyDescent="0.25">
      <c r="A458" s="8" t="s">
        <v>5</v>
      </c>
      <c r="B458" s="8" t="s">
        <v>12</v>
      </c>
      <c r="C458" s="8" t="str">
        <f>IFERROR(_xlfn.XLOOKUP(TRIM(B458),Lookup!$B$2:$B$1000,Lookup!$C$2:$C$1000),"")</f>
        <v>Equity</v>
      </c>
      <c r="D458" s="8" t="s">
        <v>13</v>
      </c>
      <c r="E458" s="9">
        <v>45996</v>
      </c>
      <c r="F458" s="8">
        <v>21.316099999999999</v>
      </c>
    </row>
    <row r="459" spans="1:6" ht="60" x14ac:dyDescent="0.25">
      <c r="A459" s="8" t="s">
        <v>5</v>
      </c>
      <c r="B459" s="8" t="s">
        <v>12</v>
      </c>
      <c r="C459" s="8" t="str">
        <f>IFERROR(_xlfn.XLOOKUP(TRIM(B459),Lookup!$B$2:$B$1000,Lookup!$C$2:$C$1000),"")</f>
        <v>Equity</v>
      </c>
      <c r="D459" s="8" t="s">
        <v>13</v>
      </c>
      <c r="E459" s="9">
        <v>45999</v>
      </c>
      <c r="F459" s="8">
        <v>21.116700000000002</v>
      </c>
    </row>
    <row r="460" spans="1:6" ht="60" x14ac:dyDescent="0.25">
      <c r="A460" s="8" t="s">
        <v>5</v>
      </c>
      <c r="B460" s="8" t="s">
        <v>12</v>
      </c>
      <c r="C460" s="8" t="str">
        <f>IFERROR(_xlfn.XLOOKUP(TRIM(B460),Lookup!$B$2:$B$1000,Lookup!$C$2:$C$1000),"")</f>
        <v>Equity</v>
      </c>
      <c r="D460" s="8" t="s">
        <v>13</v>
      </c>
      <c r="E460" s="9">
        <v>46000</v>
      </c>
      <c r="F460" s="8">
        <v>21.036899999999999</v>
      </c>
    </row>
    <row r="461" spans="1:6" ht="60" x14ac:dyDescent="0.25">
      <c r="A461" s="8" t="s">
        <v>5</v>
      </c>
      <c r="B461" s="8" t="s">
        <v>12</v>
      </c>
      <c r="C461" s="8" t="str">
        <f>IFERROR(_xlfn.XLOOKUP(TRIM(B461),Lookup!$B$2:$B$1000,Lookup!$C$2:$C$1000),"")</f>
        <v>Equity</v>
      </c>
      <c r="D461" s="8" t="s">
        <v>13</v>
      </c>
      <c r="E461" s="9">
        <v>46001</v>
      </c>
      <c r="F461" s="8">
        <v>20.979199999999999</v>
      </c>
    </row>
    <row r="462" spans="1:6" ht="60" x14ac:dyDescent="0.25">
      <c r="A462" s="8" t="s">
        <v>5</v>
      </c>
      <c r="B462" s="8" t="s">
        <v>12</v>
      </c>
      <c r="C462" s="8" t="str">
        <f>IFERROR(_xlfn.XLOOKUP(TRIM(B462),Lookup!$B$2:$B$1000,Lookup!$C$2:$C$1000),"")</f>
        <v>Equity</v>
      </c>
      <c r="D462" s="8" t="s">
        <v>13</v>
      </c>
      <c r="E462" s="9">
        <v>46002</v>
      </c>
      <c r="F462" s="8">
        <v>21.095400000000001</v>
      </c>
    </row>
    <row r="463" spans="1:6" ht="60" x14ac:dyDescent="0.25">
      <c r="A463" s="8" t="s">
        <v>5</v>
      </c>
      <c r="B463" s="8" t="s">
        <v>12</v>
      </c>
      <c r="C463" s="8" t="str">
        <f>IFERROR(_xlfn.XLOOKUP(TRIM(B463),Lookup!$B$2:$B$1000,Lookup!$C$2:$C$1000),"")</f>
        <v>Equity</v>
      </c>
      <c r="D463" s="8" t="s">
        <v>13</v>
      </c>
      <c r="E463" s="9">
        <v>46003</v>
      </c>
      <c r="F463" s="8">
        <v>21.2165</v>
      </c>
    </row>
    <row r="464" spans="1:6" ht="60" x14ac:dyDescent="0.25">
      <c r="A464" s="8" t="s">
        <v>5</v>
      </c>
      <c r="B464" s="8" t="s">
        <v>12</v>
      </c>
      <c r="C464" s="8" t="str">
        <f>IFERROR(_xlfn.XLOOKUP(TRIM(B464),Lookup!$B$2:$B$1000,Lookup!$C$2:$C$1000),"")</f>
        <v>Equity</v>
      </c>
      <c r="D464" s="8" t="s">
        <v>13</v>
      </c>
      <c r="E464" s="9">
        <v>46006</v>
      </c>
      <c r="F464" s="8">
        <v>21.207100000000001</v>
      </c>
    </row>
    <row r="465" spans="1:6" ht="60" x14ac:dyDescent="0.25">
      <c r="A465" s="8" t="s">
        <v>5</v>
      </c>
      <c r="B465" s="8" t="s">
        <v>12</v>
      </c>
      <c r="C465" s="8" t="str">
        <f>IFERROR(_xlfn.XLOOKUP(TRIM(B465),Lookup!$B$2:$B$1000,Lookup!$C$2:$C$1000),"")</f>
        <v>Equity</v>
      </c>
      <c r="D465" s="8" t="s">
        <v>13</v>
      </c>
      <c r="E465" s="9">
        <v>46007</v>
      </c>
      <c r="F465" s="8">
        <v>21.061399999999999</v>
      </c>
    </row>
    <row r="466" spans="1:6" ht="60" x14ac:dyDescent="0.25">
      <c r="A466" s="8" t="s">
        <v>5</v>
      </c>
      <c r="B466" s="8" t="s">
        <v>12</v>
      </c>
      <c r="C466" s="8" t="str">
        <f>IFERROR(_xlfn.XLOOKUP(TRIM(B466),Lookup!$B$2:$B$1000,Lookup!$C$2:$C$1000),"")</f>
        <v>Equity</v>
      </c>
      <c r="D466" s="8" t="s">
        <v>13</v>
      </c>
      <c r="E466" s="9">
        <v>46008</v>
      </c>
      <c r="F466" s="8">
        <v>21.039899999999999</v>
      </c>
    </row>
    <row r="467" spans="1:6" ht="60" x14ac:dyDescent="0.25">
      <c r="A467" s="8" t="s">
        <v>5</v>
      </c>
      <c r="B467" s="8" t="s">
        <v>12</v>
      </c>
      <c r="C467" s="8" t="str">
        <f>IFERROR(_xlfn.XLOOKUP(TRIM(B467),Lookup!$B$2:$B$1000,Lookup!$C$2:$C$1000),"")</f>
        <v>Equity</v>
      </c>
      <c r="D467" s="8" t="s">
        <v>13</v>
      </c>
      <c r="E467" s="9">
        <v>46009</v>
      </c>
      <c r="F467" s="8">
        <v>21.033000000000001</v>
      </c>
    </row>
    <row r="468" spans="1:6" ht="60" x14ac:dyDescent="0.25">
      <c r="A468" s="8" t="s">
        <v>5</v>
      </c>
      <c r="B468" s="8" t="s">
        <v>12</v>
      </c>
      <c r="C468" s="8" t="str">
        <f>IFERROR(_xlfn.XLOOKUP(TRIM(B468),Lookup!$B$2:$B$1000,Lookup!$C$2:$C$1000),"")</f>
        <v>Equity</v>
      </c>
      <c r="D468" s="8" t="s">
        <v>13</v>
      </c>
      <c r="E468" s="9">
        <v>46010</v>
      </c>
      <c r="F468" s="8">
        <v>21.160699999999999</v>
      </c>
    </row>
    <row r="469" spans="1:6" ht="60" x14ac:dyDescent="0.25">
      <c r="A469" s="8" t="s">
        <v>5</v>
      </c>
      <c r="B469" s="8" t="s">
        <v>12</v>
      </c>
      <c r="C469" s="8" t="str">
        <f>IFERROR(_xlfn.XLOOKUP(TRIM(B469),Lookup!$B$2:$B$1000,Lookup!$C$2:$C$1000),"")</f>
        <v>Equity</v>
      </c>
      <c r="D469" s="8" t="s">
        <v>13</v>
      </c>
      <c r="E469" s="9">
        <v>46013</v>
      </c>
      <c r="F469" s="8">
        <v>21.316500000000001</v>
      </c>
    </row>
    <row r="470" spans="1:6" ht="60" x14ac:dyDescent="0.25">
      <c r="A470" s="8" t="s">
        <v>5</v>
      </c>
      <c r="B470" s="8" t="s">
        <v>12</v>
      </c>
      <c r="C470" s="8" t="str">
        <f>IFERROR(_xlfn.XLOOKUP(TRIM(B470),Lookup!$B$2:$B$1000,Lookup!$C$2:$C$1000),"")</f>
        <v>Equity</v>
      </c>
      <c r="D470" s="8" t="s">
        <v>13</v>
      </c>
      <c r="E470" s="9">
        <v>46014</v>
      </c>
      <c r="F470" s="8">
        <v>21.320399999999999</v>
      </c>
    </row>
    <row r="471" spans="1:6" ht="60" x14ac:dyDescent="0.25">
      <c r="A471" s="8" t="s">
        <v>5</v>
      </c>
      <c r="B471" s="8" t="s">
        <v>12</v>
      </c>
      <c r="C471" s="8" t="str">
        <f>IFERROR(_xlfn.XLOOKUP(TRIM(B471),Lookup!$B$2:$B$1000,Lookup!$C$2:$C$1000),"")</f>
        <v>Equity</v>
      </c>
      <c r="D471" s="8" t="s">
        <v>13</v>
      </c>
      <c r="E471" s="9">
        <v>46015</v>
      </c>
      <c r="F471" s="8">
        <v>21.2896</v>
      </c>
    </row>
    <row r="472" spans="1:6" ht="60" x14ac:dyDescent="0.25">
      <c r="A472" s="8" t="s">
        <v>5</v>
      </c>
      <c r="B472" s="8" t="s">
        <v>12</v>
      </c>
      <c r="C472" s="8" t="str">
        <f>IFERROR(_xlfn.XLOOKUP(TRIM(B472),Lookup!$B$2:$B$1000,Lookup!$C$2:$C$1000),"")</f>
        <v>Equity</v>
      </c>
      <c r="D472" s="8" t="s">
        <v>13</v>
      </c>
      <c r="E472" s="9">
        <v>46017</v>
      </c>
      <c r="F472" s="8">
        <v>21.215699999999998</v>
      </c>
    </row>
    <row r="473" spans="1:6" ht="60" x14ac:dyDescent="0.25">
      <c r="A473" s="8" t="s">
        <v>5</v>
      </c>
      <c r="B473" s="8" t="s">
        <v>12</v>
      </c>
      <c r="C473" s="8" t="str">
        <f>IFERROR(_xlfn.XLOOKUP(TRIM(B473),Lookup!$B$2:$B$1000,Lookup!$C$2:$C$1000),"")</f>
        <v>Equity</v>
      </c>
      <c r="D473" s="8" t="s">
        <v>13</v>
      </c>
      <c r="E473" s="9">
        <v>46020</v>
      </c>
      <c r="F473" s="8">
        <v>21.136299999999999</v>
      </c>
    </row>
    <row r="474" spans="1:6" ht="60" x14ac:dyDescent="0.25">
      <c r="A474" s="8" t="s">
        <v>5</v>
      </c>
      <c r="B474" s="8" t="s">
        <v>12</v>
      </c>
      <c r="C474" s="8" t="str">
        <f>IFERROR(_xlfn.XLOOKUP(TRIM(B474),Lookup!$B$2:$B$1000,Lookup!$C$2:$C$1000),"")</f>
        <v>Equity</v>
      </c>
      <c r="D474" s="8" t="s">
        <v>13</v>
      </c>
      <c r="E474" s="9">
        <v>46022</v>
      </c>
      <c r="F474" s="8">
        <v>21.309899999999999</v>
      </c>
    </row>
    <row r="475" spans="1:6" ht="60" x14ac:dyDescent="0.25">
      <c r="A475" s="8" t="s">
        <v>5</v>
      </c>
      <c r="B475" s="8" t="s">
        <v>12</v>
      </c>
      <c r="C475" s="8" t="str">
        <f>IFERROR(_xlfn.XLOOKUP(TRIM(B475),Lookup!$B$2:$B$1000,Lookup!$C$2:$C$1000),"")</f>
        <v>Equity</v>
      </c>
      <c r="D475" s="8" t="s">
        <v>13</v>
      </c>
      <c r="E475" s="9">
        <v>46023</v>
      </c>
      <c r="F475" s="8">
        <v>21.332100000000001</v>
      </c>
    </row>
    <row r="476" spans="1:6" ht="60" x14ac:dyDescent="0.25">
      <c r="A476" s="8" t="s">
        <v>5</v>
      </c>
      <c r="B476" s="8" t="s">
        <v>12</v>
      </c>
      <c r="C476" s="8" t="str">
        <f>IFERROR(_xlfn.XLOOKUP(TRIM(B476),Lookup!$B$2:$B$1000,Lookup!$C$2:$C$1000),"")</f>
        <v>Equity</v>
      </c>
      <c r="D476" s="8" t="s">
        <v>13</v>
      </c>
      <c r="E476" s="9">
        <v>46024</v>
      </c>
      <c r="F476" s="8">
        <v>21.4682</v>
      </c>
    </row>
    <row r="477" spans="1:6" ht="60" x14ac:dyDescent="0.25">
      <c r="A477" s="8" t="s">
        <v>5</v>
      </c>
      <c r="B477" s="8" t="s">
        <v>12</v>
      </c>
      <c r="C477" s="8" t="str">
        <f>IFERROR(_xlfn.XLOOKUP(TRIM(B477),Lookup!$B$2:$B$1000,Lookup!$C$2:$C$1000),"")</f>
        <v>Equity</v>
      </c>
      <c r="D477" s="8" t="s">
        <v>13</v>
      </c>
      <c r="E477" s="9">
        <v>46027</v>
      </c>
      <c r="F477" s="8">
        <v>21.393899999999999</v>
      </c>
    </row>
    <row r="478" spans="1:6" ht="60" x14ac:dyDescent="0.25">
      <c r="A478" s="8" t="s">
        <v>5</v>
      </c>
      <c r="B478" s="8" t="s">
        <v>12</v>
      </c>
      <c r="C478" s="8" t="str">
        <f>IFERROR(_xlfn.XLOOKUP(TRIM(B478),Lookup!$B$2:$B$1000,Lookup!$C$2:$C$1000),"")</f>
        <v>Equity</v>
      </c>
      <c r="D478" s="8" t="s">
        <v>13</v>
      </c>
      <c r="E478" s="9">
        <v>46028</v>
      </c>
      <c r="F478" s="8">
        <v>21.301200000000001</v>
      </c>
    </row>
    <row r="479" spans="1:6" ht="60" x14ac:dyDescent="0.25">
      <c r="A479" s="8" t="s">
        <v>5</v>
      </c>
      <c r="B479" s="8" t="s">
        <v>12</v>
      </c>
      <c r="C479" s="8" t="str">
        <f>IFERROR(_xlfn.XLOOKUP(TRIM(B479),Lookup!$B$2:$B$1000,Lookup!$C$2:$C$1000),"")</f>
        <v>Equity</v>
      </c>
      <c r="D479" s="8" t="s">
        <v>13</v>
      </c>
      <c r="E479" s="9">
        <v>46029</v>
      </c>
      <c r="F479" s="8">
        <v>21.259499999999999</v>
      </c>
    </row>
    <row r="480" spans="1:6" ht="60" x14ac:dyDescent="0.25">
      <c r="A480" s="8" t="s">
        <v>5</v>
      </c>
      <c r="B480" s="8" t="s">
        <v>12</v>
      </c>
      <c r="C480" s="8" t="str">
        <f>IFERROR(_xlfn.XLOOKUP(TRIM(B480),Lookup!$B$2:$B$1000,Lookup!$C$2:$C$1000),"")</f>
        <v>Equity</v>
      </c>
      <c r="D480" s="8" t="s">
        <v>13</v>
      </c>
      <c r="E480" s="9">
        <v>46030</v>
      </c>
      <c r="F480" s="8">
        <v>21.028199999999998</v>
      </c>
    </row>
    <row r="481" spans="1:6" ht="60" x14ac:dyDescent="0.25">
      <c r="A481" s="8" t="s">
        <v>5</v>
      </c>
      <c r="B481" s="8" t="s">
        <v>12</v>
      </c>
      <c r="C481" s="8" t="str">
        <f>IFERROR(_xlfn.XLOOKUP(TRIM(B481),Lookup!$B$2:$B$1000,Lookup!$C$2:$C$1000),"")</f>
        <v>Equity</v>
      </c>
      <c r="D481" s="8" t="s">
        <v>13</v>
      </c>
      <c r="E481" s="9">
        <v>46031</v>
      </c>
      <c r="F481" s="8">
        <v>20.895199999999999</v>
      </c>
    </row>
    <row r="482" spans="1:6" ht="60" x14ac:dyDescent="0.25">
      <c r="A482" s="8" t="s">
        <v>5</v>
      </c>
      <c r="B482" s="8" t="s">
        <v>12</v>
      </c>
      <c r="C482" s="8" t="str">
        <f>IFERROR(_xlfn.XLOOKUP(TRIM(B482),Lookup!$B$2:$B$1000,Lookup!$C$2:$C$1000),"")</f>
        <v>Equity</v>
      </c>
      <c r="D482" s="8" t="s">
        <v>13</v>
      </c>
      <c r="E482" s="9">
        <v>46034</v>
      </c>
      <c r="F482" s="8">
        <v>20.9726</v>
      </c>
    </row>
    <row r="483" spans="1:6" ht="60" x14ac:dyDescent="0.25">
      <c r="A483" s="8" t="s">
        <v>5</v>
      </c>
      <c r="B483" s="8" t="s">
        <v>12</v>
      </c>
      <c r="C483" s="8" t="str">
        <f>IFERROR(_xlfn.XLOOKUP(TRIM(B483),Lookup!$B$2:$B$1000,Lookup!$C$2:$C$1000),"")</f>
        <v>Equity</v>
      </c>
      <c r="D483" s="8" t="s">
        <v>13</v>
      </c>
      <c r="E483" s="9">
        <v>46035</v>
      </c>
      <c r="F483" s="8">
        <v>20.900500000000001</v>
      </c>
    </row>
    <row r="484" spans="1:6" ht="60" x14ac:dyDescent="0.25">
      <c r="A484" s="8" t="s">
        <v>5</v>
      </c>
      <c r="B484" s="8" t="s">
        <v>12</v>
      </c>
      <c r="C484" s="8" t="str">
        <f>IFERROR(_xlfn.XLOOKUP(TRIM(B484),Lookup!$B$2:$B$1000,Lookup!$C$2:$C$1000),"")</f>
        <v>Equity</v>
      </c>
      <c r="D484" s="8" t="s">
        <v>13</v>
      </c>
      <c r="E484" s="9">
        <v>46036</v>
      </c>
      <c r="F484" s="8">
        <v>20.873999999999999</v>
      </c>
    </row>
    <row r="485" spans="1:6" ht="60" x14ac:dyDescent="0.25">
      <c r="A485" s="8" t="s">
        <v>5</v>
      </c>
      <c r="B485" s="8" t="s">
        <v>12</v>
      </c>
      <c r="C485" s="8" t="str">
        <f>IFERROR(_xlfn.XLOOKUP(TRIM(B485),Lookup!$B$2:$B$1000,Lookup!$C$2:$C$1000),"")</f>
        <v>Equity</v>
      </c>
      <c r="D485" s="8" t="s">
        <v>13</v>
      </c>
      <c r="E485" s="9">
        <v>46038</v>
      </c>
      <c r="F485" s="8">
        <v>20.94</v>
      </c>
    </row>
    <row r="486" spans="1:6" ht="60" x14ac:dyDescent="0.25">
      <c r="A486" s="8" t="s">
        <v>5</v>
      </c>
      <c r="B486" s="8" t="s">
        <v>12</v>
      </c>
      <c r="C486" s="8" t="str">
        <f>IFERROR(_xlfn.XLOOKUP(TRIM(B486),Lookup!$B$2:$B$1000,Lookup!$C$2:$C$1000),"")</f>
        <v>Equity</v>
      </c>
      <c r="D486" s="8" t="s">
        <v>13</v>
      </c>
      <c r="E486" s="9">
        <v>46041</v>
      </c>
      <c r="F486" s="8">
        <v>20.8752</v>
      </c>
    </row>
    <row r="487" spans="1:6" ht="60" x14ac:dyDescent="0.25">
      <c r="A487" s="8" t="s">
        <v>5</v>
      </c>
      <c r="B487" s="8" t="s">
        <v>12</v>
      </c>
      <c r="C487" s="8" t="str">
        <f>IFERROR(_xlfn.XLOOKUP(TRIM(B487),Lookup!$B$2:$B$1000,Lookup!$C$2:$C$1000),"")</f>
        <v>Equity</v>
      </c>
      <c r="D487" s="8" t="s">
        <v>13</v>
      </c>
      <c r="E487" s="9">
        <v>46042</v>
      </c>
      <c r="F487" s="8">
        <v>20.577100000000002</v>
      </c>
    </row>
    <row r="488" spans="1:6" ht="60" x14ac:dyDescent="0.25">
      <c r="A488" s="8" t="s">
        <v>5</v>
      </c>
      <c r="B488" s="8" t="s">
        <v>12</v>
      </c>
      <c r="C488" s="8" t="str">
        <f>IFERROR(_xlfn.XLOOKUP(TRIM(B488),Lookup!$B$2:$B$1000,Lookup!$C$2:$C$1000),"")</f>
        <v>Equity</v>
      </c>
      <c r="D488" s="8" t="s">
        <v>13</v>
      </c>
      <c r="E488" s="9">
        <v>46043</v>
      </c>
      <c r="F488" s="8">
        <v>20.525400000000001</v>
      </c>
    </row>
    <row r="489" spans="1:6" ht="60" x14ac:dyDescent="0.25">
      <c r="A489" s="8" t="s">
        <v>5</v>
      </c>
      <c r="B489" s="8" t="s">
        <v>12</v>
      </c>
      <c r="C489" s="8" t="str">
        <f>IFERROR(_xlfn.XLOOKUP(TRIM(B489),Lookup!$B$2:$B$1000,Lookup!$C$2:$C$1000),"")</f>
        <v>Equity</v>
      </c>
      <c r="D489" s="8" t="s">
        <v>13</v>
      </c>
      <c r="E489" s="9">
        <v>46044</v>
      </c>
      <c r="F489" s="8">
        <v>20.654399999999999</v>
      </c>
    </row>
    <row r="490" spans="1:6" ht="60" x14ac:dyDescent="0.25">
      <c r="A490" s="8" t="s">
        <v>5</v>
      </c>
      <c r="B490" s="8" t="s">
        <v>12</v>
      </c>
      <c r="C490" s="8" t="str">
        <f>IFERROR(_xlfn.XLOOKUP(TRIM(B490),Lookup!$B$2:$B$1000,Lookup!$C$2:$C$1000),"")</f>
        <v>Equity</v>
      </c>
      <c r="D490" s="8" t="s">
        <v>13</v>
      </c>
      <c r="E490" s="9">
        <v>46045</v>
      </c>
      <c r="F490" s="8">
        <v>20.434799999999999</v>
      </c>
    </row>
    <row r="491" spans="1:6" ht="60" x14ac:dyDescent="0.25">
      <c r="A491" s="8" t="s">
        <v>5</v>
      </c>
      <c r="B491" s="8" t="s">
        <v>12</v>
      </c>
      <c r="C491" s="8" t="str">
        <f>IFERROR(_xlfn.XLOOKUP(TRIM(B491),Lookup!$B$2:$B$1000,Lookup!$C$2:$C$1000),"")</f>
        <v>Equity</v>
      </c>
      <c r="D491" s="8" t="s">
        <v>13</v>
      </c>
      <c r="E491" s="9">
        <v>46049</v>
      </c>
      <c r="F491" s="8">
        <v>20.5334</v>
      </c>
    </row>
    <row r="492" spans="1:6" ht="60" x14ac:dyDescent="0.25">
      <c r="A492" s="8" t="s">
        <v>5</v>
      </c>
      <c r="B492" s="8" t="s">
        <v>12</v>
      </c>
      <c r="C492" s="8" t="str">
        <f>IFERROR(_xlfn.XLOOKUP(TRIM(B492),Lookup!$B$2:$B$1000,Lookup!$C$2:$C$1000),"")</f>
        <v>Equity</v>
      </c>
      <c r="D492" s="8" t="s">
        <v>13</v>
      </c>
      <c r="E492" s="9">
        <v>46050</v>
      </c>
      <c r="F492" s="8">
        <v>20.667899999999999</v>
      </c>
    </row>
    <row r="493" spans="1:6" ht="60" x14ac:dyDescent="0.25">
      <c r="A493" s="8" t="s">
        <v>5</v>
      </c>
      <c r="B493" s="8" t="s">
        <v>12</v>
      </c>
      <c r="C493" s="8" t="str">
        <f>IFERROR(_xlfn.XLOOKUP(TRIM(B493),Lookup!$B$2:$B$1000,Lookup!$C$2:$C$1000),"")</f>
        <v>Equity</v>
      </c>
      <c r="D493" s="8" t="s">
        <v>13</v>
      </c>
      <c r="E493" s="9">
        <v>46051</v>
      </c>
      <c r="F493" s="8">
        <v>20.72</v>
      </c>
    </row>
    <row r="494" spans="1:6" ht="60" x14ac:dyDescent="0.25">
      <c r="A494" s="8" t="s">
        <v>5</v>
      </c>
      <c r="B494" s="8" t="s">
        <v>12</v>
      </c>
      <c r="C494" s="8" t="str">
        <f>IFERROR(_xlfn.XLOOKUP(TRIM(B494),Lookup!$B$2:$B$1000,Lookup!$C$2:$C$1000),"")</f>
        <v>Equity</v>
      </c>
      <c r="D494" s="8" t="s">
        <v>13</v>
      </c>
      <c r="E494" s="9">
        <v>46052</v>
      </c>
      <c r="F494" s="8">
        <v>20.667400000000001</v>
      </c>
    </row>
    <row r="495" spans="1:6" ht="60" x14ac:dyDescent="0.25">
      <c r="A495" s="8" t="s">
        <v>5</v>
      </c>
      <c r="B495" s="8" t="s">
        <v>12</v>
      </c>
      <c r="C495" s="8" t="str">
        <f>IFERROR(_xlfn.XLOOKUP(TRIM(B495),Lookup!$B$2:$B$1000,Lookup!$C$2:$C$1000),"")</f>
        <v>Equity</v>
      </c>
      <c r="D495" s="8" t="s">
        <v>13</v>
      </c>
      <c r="E495" s="9">
        <v>46054</v>
      </c>
      <c r="F495" s="8">
        <v>20.257000000000001</v>
      </c>
    </row>
    <row r="496" spans="1:6" ht="60" x14ac:dyDescent="0.25">
      <c r="A496" s="8" t="s">
        <v>5</v>
      </c>
      <c r="B496" s="8" t="s">
        <v>12</v>
      </c>
      <c r="C496" s="8" t="str">
        <f>IFERROR(_xlfn.XLOOKUP(TRIM(B496),Lookup!$B$2:$B$1000,Lookup!$C$2:$C$1000),"")</f>
        <v>Equity</v>
      </c>
      <c r="D496" s="8" t="s">
        <v>13</v>
      </c>
      <c r="E496" s="9">
        <v>46055</v>
      </c>
      <c r="F496" s="8">
        <v>20.443000000000001</v>
      </c>
    </row>
    <row r="497" spans="1:6" ht="60" x14ac:dyDescent="0.25">
      <c r="A497" s="8" t="s">
        <v>5</v>
      </c>
      <c r="B497" s="8" t="s">
        <v>12</v>
      </c>
      <c r="C497" s="8" t="str">
        <f>IFERROR(_xlfn.XLOOKUP(TRIM(B497),Lookup!$B$2:$B$1000,Lookup!$C$2:$C$1000),"")</f>
        <v>Equity</v>
      </c>
      <c r="D497" s="8" t="s">
        <v>13</v>
      </c>
      <c r="E497" s="9">
        <v>46056</v>
      </c>
      <c r="F497" s="8">
        <v>20.951699999999999</v>
      </c>
    </row>
    <row r="498" spans="1:6" ht="60" x14ac:dyDescent="0.25">
      <c r="A498" s="8" t="s">
        <v>5</v>
      </c>
      <c r="B498" s="8" t="s">
        <v>12</v>
      </c>
      <c r="C498" s="8" t="str">
        <f>IFERROR(_xlfn.XLOOKUP(TRIM(B498),Lookup!$B$2:$B$1000,Lookup!$C$2:$C$1000),"")</f>
        <v>Equity</v>
      </c>
      <c r="D498" s="8" t="s">
        <v>13</v>
      </c>
      <c r="E498" s="9">
        <v>46057</v>
      </c>
      <c r="F498" s="8">
        <v>20.974499999999999</v>
      </c>
    </row>
    <row r="499" spans="1:6" ht="60" x14ac:dyDescent="0.25">
      <c r="A499" s="8" t="s">
        <v>5</v>
      </c>
      <c r="B499" s="8" t="s">
        <v>12</v>
      </c>
      <c r="C499" s="8" t="str">
        <f>IFERROR(_xlfn.XLOOKUP(TRIM(B499),Lookup!$B$2:$B$1000,Lookup!$C$2:$C$1000),"")</f>
        <v>Equity</v>
      </c>
      <c r="D499" s="8" t="s">
        <v>13</v>
      </c>
      <c r="E499" s="9">
        <v>46058</v>
      </c>
      <c r="F499" s="8">
        <v>20.879100000000001</v>
      </c>
    </row>
    <row r="500" spans="1:6" ht="60" x14ac:dyDescent="0.25">
      <c r="A500" s="8" t="s">
        <v>5</v>
      </c>
      <c r="B500" s="8" t="s">
        <v>12</v>
      </c>
      <c r="C500" s="8" t="str">
        <f>IFERROR(_xlfn.XLOOKUP(TRIM(B500),Lookup!$B$2:$B$1000,Lookup!$C$2:$C$1000),"")</f>
        <v>Equity</v>
      </c>
      <c r="D500" s="8" t="s">
        <v>13</v>
      </c>
      <c r="E500" s="9">
        <v>46059</v>
      </c>
      <c r="F500" s="8">
        <v>20.9116</v>
      </c>
    </row>
    <row r="501" spans="1:6" ht="60" x14ac:dyDescent="0.25">
      <c r="A501" s="8" t="s">
        <v>5</v>
      </c>
      <c r="B501" s="8" t="s">
        <v>12</v>
      </c>
      <c r="C501" s="8" t="str">
        <f>IFERROR(_xlfn.XLOOKUP(TRIM(B501),Lookup!$B$2:$B$1000,Lookup!$C$2:$C$1000),"")</f>
        <v>Equity</v>
      </c>
      <c r="D501" s="8" t="s">
        <v>13</v>
      </c>
      <c r="E501" s="9">
        <v>46062</v>
      </c>
      <c r="F501" s="8">
        <v>21.076799999999999</v>
      </c>
    </row>
    <row r="502" spans="1:6" ht="60" x14ac:dyDescent="0.25">
      <c r="A502" s="8" t="s">
        <v>5</v>
      </c>
      <c r="B502" s="8" t="s">
        <v>12</v>
      </c>
      <c r="C502" s="8" t="str">
        <f>IFERROR(_xlfn.XLOOKUP(TRIM(B502),Lookup!$B$2:$B$1000,Lookup!$C$2:$C$1000),"")</f>
        <v>Equity</v>
      </c>
      <c r="D502" s="8" t="s">
        <v>13</v>
      </c>
      <c r="E502" s="9">
        <v>46063</v>
      </c>
      <c r="F502" s="8">
        <v>21.122</v>
      </c>
    </row>
    <row r="503" spans="1:6" ht="60" x14ac:dyDescent="0.25">
      <c r="A503" s="8" t="s">
        <v>5</v>
      </c>
      <c r="B503" s="8" t="s">
        <v>12</v>
      </c>
      <c r="C503" s="8" t="str">
        <f>IFERROR(_xlfn.XLOOKUP(TRIM(B503),Lookup!$B$2:$B$1000,Lookup!$C$2:$C$1000),"")</f>
        <v>Equity</v>
      </c>
      <c r="D503" s="8" t="s">
        <v>13</v>
      </c>
      <c r="E503" s="9">
        <v>46064</v>
      </c>
      <c r="F503" s="8">
        <v>21.1404</v>
      </c>
    </row>
    <row r="504" spans="1:6" ht="60" x14ac:dyDescent="0.25">
      <c r="A504" s="8" t="s">
        <v>5</v>
      </c>
      <c r="B504" s="8" t="s">
        <v>12</v>
      </c>
      <c r="C504" s="8" t="str">
        <f>IFERROR(_xlfn.XLOOKUP(TRIM(B504),Lookup!$B$2:$B$1000,Lookup!$C$2:$C$1000),"")</f>
        <v>Equity</v>
      </c>
      <c r="D504" s="8" t="s">
        <v>13</v>
      </c>
      <c r="E504" s="9">
        <v>46065</v>
      </c>
      <c r="F504" s="8">
        <v>21.001100000000001</v>
      </c>
    </row>
    <row r="505" spans="1:6" ht="60" x14ac:dyDescent="0.25">
      <c r="A505" s="8" t="s">
        <v>5</v>
      </c>
      <c r="B505" s="8" t="s">
        <v>12</v>
      </c>
      <c r="C505" s="8" t="str">
        <f>IFERROR(_xlfn.XLOOKUP(TRIM(B505),Lookup!$B$2:$B$1000,Lookup!$C$2:$C$1000),"")</f>
        <v>Equity</v>
      </c>
      <c r="D505" s="8" t="s">
        <v>13</v>
      </c>
      <c r="E505" s="9">
        <v>46066</v>
      </c>
      <c r="F505" s="8">
        <v>20.736899999999999</v>
      </c>
    </row>
    <row r="506" spans="1:6" ht="60" x14ac:dyDescent="0.25">
      <c r="A506" s="8" t="s">
        <v>5</v>
      </c>
      <c r="B506" s="8" t="s">
        <v>12</v>
      </c>
      <c r="C506" s="8" t="str">
        <f>IFERROR(_xlfn.XLOOKUP(TRIM(B506),Lookup!$B$2:$B$1000,Lookup!$C$2:$C$1000),"")</f>
        <v>Equity</v>
      </c>
      <c r="D506" s="8" t="s">
        <v>13</v>
      </c>
      <c r="E506" s="9">
        <v>46069</v>
      </c>
      <c r="F506" s="8">
        <v>20.9148</v>
      </c>
    </row>
    <row r="507" spans="1:6" ht="60" x14ac:dyDescent="0.25">
      <c r="A507" s="8" t="s">
        <v>5</v>
      </c>
      <c r="B507" s="8" t="s">
        <v>12</v>
      </c>
      <c r="C507" s="8" t="str">
        <f>IFERROR(_xlfn.XLOOKUP(TRIM(B507),Lookup!$B$2:$B$1000,Lookup!$C$2:$C$1000),"")</f>
        <v>Equity</v>
      </c>
      <c r="D507" s="8" t="s">
        <v>13</v>
      </c>
      <c r="E507" s="9">
        <v>46070</v>
      </c>
      <c r="F507" s="8">
        <v>20.9709</v>
      </c>
    </row>
    <row r="508" spans="1:6" ht="60" x14ac:dyDescent="0.25">
      <c r="A508" s="8" t="s">
        <v>5</v>
      </c>
      <c r="B508" s="8" t="s">
        <v>12</v>
      </c>
      <c r="C508" s="8" t="str">
        <f>IFERROR(_xlfn.XLOOKUP(TRIM(B508),Lookup!$B$2:$B$1000,Lookup!$C$2:$C$1000),"")</f>
        <v>Equity</v>
      </c>
      <c r="D508" s="8" t="s">
        <v>13</v>
      </c>
      <c r="E508" s="9">
        <v>46071</v>
      </c>
      <c r="F508" s="8">
        <v>21.059000000000001</v>
      </c>
    </row>
    <row r="509" spans="1:6" ht="60" x14ac:dyDescent="0.25">
      <c r="A509" s="8" t="s">
        <v>5</v>
      </c>
      <c r="B509" s="8" t="s">
        <v>12</v>
      </c>
      <c r="C509" s="8" t="str">
        <f>IFERROR(_xlfn.XLOOKUP(TRIM(B509),Lookup!$B$2:$B$1000,Lookup!$C$2:$C$1000),"")</f>
        <v>Equity</v>
      </c>
      <c r="D509" s="8" t="s">
        <v>13</v>
      </c>
      <c r="E509" s="9">
        <v>46072</v>
      </c>
      <c r="F509" s="8">
        <v>20.763200000000001</v>
      </c>
    </row>
    <row r="510" spans="1:6" ht="60" x14ac:dyDescent="0.25">
      <c r="A510" s="8" t="s">
        <v>5</v>
      </c>
      <c r="B510" s="8" t="s">
        <v>12</v>
      </c>
      <c r="C510" s="8" t="str">
        <f>IFERROR(_xlfn.XLOOKUP(TRIM(B510),Lookup!$B$2:$B$1000,Lookup!$C$2:$C$1000),"")</f>
        <v>Equity</v>
      </c>
      <c r="D510" s="8" t="s">
        <v>13</v>
      </c>
      <c r="E510" s="9">
        <v>46073</v>
      </c>
      <c r="F510" s="8">
        <v>20.867699999999999</v>
      </c>
    </row>
    <row r="511" spans="1:6" ht="60" x14ac:dyDescent="0.25">
      <c r="A511" s="8" t="s">
        <v>5</v>
      </c>
      <c r="B511" s="8" t="s">
        <v>12</v>
      </c>
      <c r="C511" s="8" t="str">
        <f>IFERROR(_xlfn.XLOOKUP(TRIM(B511),Lookup!$B$2:$B$1000,Lookup!$C$2:$C$1000),"")</f>
        <v>Equity</v>
      </c>
      <c r="D511" s="8" t="s">
        <v>13</v>
      </c>
      <c r="E511" s="9">
        <v>46076</v>
      </c>
      <c r="F511" s="8">
        <v>20.959900000000001</v>
      </c>
    </row>
    <row r="512" spans="1:6" ht="60" x14ac:dyDescent="0.25">
      <c r="A512" s="8" t="s">
        <v>5</v>
      </c>
      <c r="B512" s="8" t="s">
        <v>12</v>
      </c>
      <c r="C512" s="8" t="str">
        <f>IFERROR(_xlfn.XLOOKUP(TRIM(B512),Lookup!$B$2:$B$1000,Lookup!$C$2:$C$1000),"")</f>
        <v>Equity</v>
      </c>
      <c r="D512" s="8" t="s">
        <v>13</v>
      </c>
      <c r="E512" s="9">
        <v>46077</v>
      </c>
      <c r="F512" s="8">
        <v>20.748100000000001</v>
      </c>
    </row>
    <row r="513" spans="1:6" ht="60" x14ac:dyDescent="0.25">
      <c r="A513" s="8" t="s">
        <v>5</v>
      </c>
      <c r="B513" s="8" t="s">
        <v>12</v>
      </c>
      <c r="C513" s="8" t="str">
        <f>IFERROR(_xlfn.XLOOKUP(TRIM(B513),Lookup!$B$2:$B$1000,Lookup!$C$2:$C$1000),"")</f>
        <v>Equity</v>
      </c>
      <c r="D513" s="8" t="s">
        <v>13</v>
      </c>
      <c r="E513" s="9">
        <v>46078</v>
      </c>
      <c r="F513" s="8">
        <v>20.776599999999998</v>
      </c>
    </row>
    <row r="514" spans="1:6" ht="60" x14ac:dyDescent="0.25">
      <c r="A514" s="8" t="s">
        <v>5</v>
      </c>
      <c r="B514" s="8" t="s">
        <v>12</v>
      </c>
      <c r="C514" s="8" t="str">
        <f>IFERROR(_xlfn.XLOOKUP(TRIM(B514),Lookup!$B$2:$B$1000,Lookup!$C$2:$C$1000),"")</f>
        <v>Equity</v>
      </c>
      <c r="D514" s="8" t="s">
        <v>13</v>
      </c>
      <c r="E514" s="9">
        <v>46079</v>
      </c>
      <c r="F514" s="8">
        <v>20.790400000000002</v>
      </c>
    </row>
    <row r="515" spans="1:6" ht="60" x14ac:dyDescent="0.25">
      <c r="A515" s="8" t="s">
        <v>5</v>
      </c>
      <c r="B515" s="8" t="s">
        <v>12</v>
      </c>
      <c r="C515" s="8" t="str">
        <f>IFERROR(_xlfn.XLOOKUP(TRIM(B515),Lookup!$B$2:$B$1000,Lookup!$C$2:$C$1000),"")</f>
        <v>Equity</v>
      </c>
      <c r="D515" s="8" t="s">
        <v>13</v>
      </c>
      <c r="E515" s="9">
        <v>46080</v>
      </c>
      <c r="F515" s="8">
        <v>20.552800000000001</v>
      </c>
    </row>
    <row r="516" spans="1:6" ht="60" x14ac:dyDescent="0.25">
      <c r="A516" s="8" t="s">
        <v>5</v>
      </c>
      <c r="B516" s="8" t="s">
        <v>12</v>
      </c>
      <c r="C516" s="8" t="str">
        <f>IFERROR(_xlfn.XLOOKUP(TRIM(B516),Lookup!$B$2:$B$1000,Lookup!$C$2:$C$1000),"")</f>
        <v>Equity</v>
      </c>
      <c r="D516" s="8" t="s">
        <v>13</v>
      </c>
      <c r="E516" s="9">
        <v>46083</v>
      </c>
      <c r="F516" s="8">
        <v>20.280899999999999</v>
      </c>
    </row>
    <row r="517" spans="1:6" ht="60" x14ac:dyDescent="0.25">
      <c r="A517" s="8" t="s">
        <v>5</v>
      </c>
      <c r="B517" s="8" t="s">
        <v>12</v>
      </c>
      <c r="C517" s="8" t="str">
        <f>IFERROR(_xlfn.XLOOKUP(TRIM(B517),Lookup!$B$2:$B$1000,Lookup!$C$2:$C$1000),"")</f>
        <v>Equity</v>
      </c>
      <c r="D517" s="8" t="s">
        <v>13</v>
      </c>
      <c r="E517" s="9">
        <v>46085</v>
      </c>
      <c r="F517" s="8">
        <v>19.942399999999999</v>
      </c>
    </row>
    <row r="518" spans="1:6" ht="60" x14ac:dyDescent="0.25">
      <c r="A518" s="8" t="s">
        <v>5</v>
      </c>
      <c r="B518" s="8" t="s">
        <v>12</v>
      </c>
      <c r="C518" s="8" t="str">
        <f>IFERROR(_xlfn.XLOOKUP(TRIM(B518),Lookup!$B$2:$B$1000,Lookup!$C$2:$C$1000),"")</f>
        <v>Equity</v>
      </c>
      <c r="D518" s="8" t="s">
        <v>13</v>
      </c>
      <c r="E518" s="9">
        <v>46086</v>
      </c>
      <c r="F518" s="8">
        <v>20.1873</v>
      </c>
    </row>
    <row r="519" spans="1:6" ht="60" x14ac:dyDescent="0.25">
      <c r="A519" s="8" t="s">
        <v>5</v>
      </c>
      <c r="B519" s="8" t="s">
        <v>12</v>
      </c>
      <c r="C519" s="8" t="str">
        <f>IFERROR(_xlfn.XLOOKUP(TRIM(B519),Lookup!$B$2:$B$1000,Lookup!$C$2:$C$1000),"")</f>
        <v>Equity</v>
      </c>
      <c r="D519" s="8" t="s">
        <v>13</v>
      </c>
      <c r="E519" s="9">
        <v>46087</v>
      </c>
      <c r="F519" s="8">
        <v>19.962299999999999</v>
      </c>
    </row>
    <row r="520" spans="1:6" ht="60" x14ac:dyDescent="0.25">
      <c r="A520" s="8" t="s">
        <v>5</v>
      </c>
      <c r="B520" s="8" t="s">
        <v>12</v>
      </c>
      <c r="C520" s="8" t="str">
        <f>IFERROR(_xlfn.XLOOKUP(TRIM(B520),Lookup!$B$2:$B$1000,Lookup!$C$2:$C$1000),"")</f>
        <v>Equity</v>
      </c>
      <c r="D520" s="8" t="s">
        <v>13</v>
      </c>
      <c r="E520" s="9">
        <v>46090</v>
      </c>
      <c r="F520" s="8">
        <v>19.602799999999998</v>
      </c>
    </row>
    <row r="521" spans="1:6" ht="60" x14ac:dyDescent="0.25">
      <c r="A521" s="8" t="s">
        <v>5</v>
      </c>
      <c r="B521" s="8" t="s">
        <v>12</v>
      </c>
      <c r="C521" s="8" t="str">
        <f>IFERROR(_xlfn.XLOOKUP(TRIM(B521),Lookup!$B$2:$B$1000,Lookup!$C$2:$C$1000),"")</f>
        <v>Equity</v>
      </c>
      <c r="D521" s="8" t="s">
        <v>13</v>
      </c>
      <c r="E521" s="9">
        <v>46091</v>
      </c>
      <c r="F521" s="8">
        <v>19.78</v>
      </c>
    </row>
    <row r="522" spans="1:6" ht="60" x14ac:dyDescent="0.25">
      <c r="A522" s="8" t="s">
        <v>5</v>
      </c>
      <c r="B522" s="8" t="s">
        <v>12</v>
      </c>
      <c r="C522" s="8" t="str">
        <f>IFERROR(_xlfn.XLOOKUP(TRIM(B522),Lookup!$B$2:$B$1000,Lookup!$C$2:$C$1000),"")</f>
        <v>Equity</v>
      </c>
      <c r="D522" s="8" t="s">
        <v>13</v>
      </c>
      <c r="E522" s="9">
        <v>46092</v>
      </c>
      <c r="F522" s="8">
        <v>19.447500000000002</v>
      </c>
    </row>
    <row r="523" spans="1:6" ht="60" x14ac:dyDescent="0.25">
      <c r="A523" s="8" t="s">
        <v>5</v>
      </c>
      <c r="B523" s="8" t="s">
        <v>12</v>
      </c>
      <c r="C523" s="8" t="str">
        <f>IFERROR(_xlfn.XLOOKUP(TRIM(B523),Lookup!$B$2:$B$1000,Lookup!$C$2:$C$1000),"")</f>
        <v>Equity</v>
      </c>
      <c r="D523" s="8" t="s">
        <v>13</v>
      </c>
      <c r="E523" s="9">
        <v>46093</v>
      </c>
      <c r="F523" s="8">
        <v>19.271899999999999</v>
      </c>
    </row>
    <row r="524" spans="1:6" ht="60" x14ac:dyDescent="0.25">
      <c r="A524" s="8" t="s">
        <v>5</v>
      </c>
      <c r="B524" s="8" t="s">
        <v>12</v>
      </c>
      <c r="C524" s="8" t="str">
        <f>IFERROR(_xlfn.XLOOKUP(TRIM(B524),Lookup!$B$2:$B$1000,Lookup!$C$2:$C$1000),"")</f>
        <v>Equity</v>
      </c>
      <c r="D524" s="8" t="s">
        <v>13</v>
      </c>
      <c r="E524" s="9">
        <v>46094</v>
      </c>
      <c r="F524" s="8">
        <v>18.8566</v>
      </c>
    </row>
    <row r="525" spans="1:6" ht="60" x14ac:dyDescent="0.25">
      <c r="A525" s="8" t="s">
        <v>5</v>
      </c>
      <c r="B525" s="8" t="s">
        <v>12</v>
      </c>
      <c r="C525" s="8" t="str">
        <f>IFERROR(_xlfn.XLOOKUP(TRIM(B525),Lookup!$B$2:$B$1000,Lookup!$C$2:$C$1000),"")</f>
        <v>Equity</v>
      </c>
      <c r="D525" s="8" t="s">
        <v>13</v>
      </c>
      <c r="E525" s="9">
        <v>46097</v>
      </c>
      <c r="F525" s="8">
        <v>19.04</v>
      </c>
    </row>
    <row r="526" spans="1:6" ht="60" x14ac:dyDescent="0.25">
      <c r="A526" s="8" t="s">
        <v>5</v>
      </c>
      <c r="B526" s="8" t="s">
        <v>12</v>
      </c>
      <c r="C526" s="8" t="str">
        <f>IFERROR(_xlfn.XLOOKUP(TRIM(B526),Lookup!$B$2:$B$1000,Lookup!$C$2:$C$1000),"")</f>
        <v>Equity</v>
      </c>
      <c r="D526" s="8" t="s">
        <v>13</v>
      </c>
      <c r="E526" s="9">
        <v>46098</v>
      </c>
      <c r="F526" s="8">
        <v>19.172699999999999</v>
      </c>
    </row>
    <row r="527" spans="1:6" ht="60" x14ac:dyDescent="0.25">
      <c r="A527" s="8" t="s">
        <v>5</v>
      </c>
      <c r="B527" s="8" t="s">
        <v>12</v>
      </c>
      <c r="C527" s="8" t="str">
        <f>IFERROR(_xlfn.XLOOKUP(TRIM(B527),Lookup!$B$2:$B$1000,Lookup!$C$2:$C$1000),"")</f>
        <v>Equity</v>
      </c>
      <c r="D527" s="8" t="s">
        <v>13</v>
      </c>
      <c r="E527" s="9">
        <v>46099</v>
      </c>
      <c r="F527" s="8">
        <v>19.348800000000001</v>
      </c>
    </row>
    <row r="528" spans="1:6" ht="60" x14ac:dyDescent="0.25">
      <c r="A528" s="8" t="s">
        <v>5</v>
      </c>
      <c r="B528" s="8" t="s">
        <v>12</v>
      </c>
      <c r="C528" s="8" t="str">
        <f>IFERROR(_xlfn.XLOOKUP(TRIM(B528),Lookup!$B$2:$B$1000,Lookup!$C$2:$C$1000),"")</f>
        <v>Equity</v>
      </c>
      <c r="D528" s="8" t="s">
        <v>13</v>
      </c>
      <c r="E528" s="9">
        <v>46100</v>
      </c>
      <c r="F528" s="8">
        <v>18.726700000000001</v>
      </c>
    </row>
    <row r="529" spans="1:6" ht="60" x14ac:dyDescent="0.25">
      <c r="A529" s="8" t="s">
        <v>5</v>
      </c>
      <c r="B529" s="8" t="s">
        <v>12</v>
      </c>
      <c r="C529" s="8" t="str">
        <f>IFERROR(_xlfn.XLOOKUP(TRIM(B529),Lookup!$B$2:$B$1000,Lookup!$C$2:$C$1000),"")</f>
        <v>Equity</v>
      </c>
      <c r="D529" s="8" t="s">
        <v>13</v>
      </c>
      <c r="E529" s="9">
        <v>46101</v>
      </c>
      <c r="F529" s="8">
        <v>18.828199999999999</v>
      </c>
    </row>
    <row r="530" spans="1:6" ht="60" x14ac:dyDescent="0.25">
      <c r="A530" s="8" t="s">
        <v>5</v>
      </c>
      <c r="B530" s="8" t="s">
        <v>12</v>
      </c>
      <c r="C530" s="8" t="str">
        <f>IFERROR(_xlfn.XLOOKUP(TRIM(B530),Lookup!$B$2:$B$1000,Lookup!$C$2:$C$1000),"")</f>
        <v>Equity</v>
      </c>
      <c r="D530" s="8" t="s">
        <v>13</v>
      </c>
      <c r="E530" s="9">
        <v>46104</v>
      </c>
      <c r="F530" s="8">
        <v>18.3202</v>
      </c>
    </row>
    <row r="531" spans="1:6" ht="60" x14ac:dyDescent="0.25">
      <c r="A531" s="8" t="s">
        <v>5</v>
      </c>
      <c r="B531" s="8" t="s">
        <v>12</v>
      </c>
      <c r="C531" s="8" t="str">
        <f>IFERROR(_xlfn.XLOOKUP(TRIM(B531),Lookup!$B$2:$B$1000,Lookup!$C$2:$C$1000),"")</f>
        <v>Equity</v>
      </c>
      <c r="D531" s="8" t="s">
        <v>13</v>
      </c>
      <c r="E531" s="9">
        <v>46105</v>
      </c>
      <c r="F531" s="8">
        <v>18.637499999999999</v>
      </c>
    </row>
    <row r="532" spans="1:6" ht="60" x14ac:dyDescent="0.25">
      <c r="A532" s="8" t="s">
        <v>5</v>
      </c>
      <c r="B532" s="8" t="s">
        <v>12</v>
      </c>
      <c r="C532" s="8" t="str">
        <f>IFERROR(_xlfn.XLOOKUP(TRIM(B532),Lookup!$B$2:$B$1000,Lookup!$C$2:$C$1000),"")</f>
        <v>Equity</v>
      </c>
      <c r="D532" s="8" t="s">
        <v>13</v>
      </c>
      <c r="E532" s="9">
        <v>46106</v>
      </c>
      <c r="F532" s="8">
        <v>18.970500000000001</v>
      </c>
    </row>
    <row r="533" spans="1:6" ht="60" x14ac:dyDescent="0.25">
      <c r="A533" s="8" t="s">
        <v>5</v>
      </c>
      <c r="B533" s="8" t="s">
        <v>12</v>
      </c>
      <c r="C533" s="8" t="str">
        <f>IFERROR(_xlfn.XLOOKUP(TRIM(B533),Lookup!$B$2:$B$1000,Lookup!$C$2:$C$1000),"")</f>
        <v>Equity</v>
      </c>
      <c r="D533" s="8" t="s">
        <v>13</v>
      </c>
      <c r="E533" s="9">
        <v>46108</v>
      </c>
      <c r="F533" s="8">
        <v>18.573</v>
      </c>
    </row>
    <row r="534" spans="1:6" ht="60" x14ac:dyDescent="0.25">
      <c r="A534" s="8" t="s">
        <v>5</v>
      </c>
      <c r="B534" s="8" t="s">
        <v>12</v>
      </c>
      <c r="C534" s="8" t="str">
        <f>IFERROR(_xlfn.XLOOKUP(TRIM(B534),Lookup!$B$2:$B$1000,Lookup!$C$2:$C$1000),"")</f>
        <v>Equity</v>
      </c>
      <c r="D534" s="8" t="s">
        <v>13</v>
      </c>
      <c r="E534" s="9">
        <v>46111</v>
      </c>
      <c r="F534" s="8">
        <v>18.155200000000001</v>
      </c>
    </row>
    <row r="535" spans="1:6" ht="60" x14ac:dyDescent="0.25">
      <c r="A535" s="8" t="s">
        <v>5</v>
      </c>
      <c r="B535" s="8" t="s">
        <v>12</v>
      </c>
      <c r="C535" s="8" t="str">
        <f>IFERROR(_xlfn.XLOOKUP(TRIM(B535),Lookup!$B$2:$B$1000,Lookup!$C$2:$C$1000),"")</f>
        <v>Equity</v>
      </c>
      <c r="D535" s="8" t="s">
        <v>13</v>
      </c>
      <c r="E535" s="9">
        <v>46113</v>
      </c>
      <c r="F535" s="8">
        <v>18.482500000000002</v>
      </c>
    </row>
    <row r="536" spans="1:6" ht="60" x14ac:dyDescent="0.25">
      <c r="A536" s="8" t="s">
        <v>5</v>
      </c>
      <c r="B536" s="8" t="s">
        <v>12</v>
      </c>
      <c r="C536" s="8" t="str">
        <f>IFERROR(_xlfn.XLOOKUP(TRIM(B536),Lookup!$B$2:$B$1000,Lookup!$C$2:$C$1000),"")</f>
        <v>Equity</v>
      </c>
      <c r="D536" s="8" t="s">
        <v>13</v>
      </c>
      <c r="E536" s="9">
        <v>46114</v>
      </c>
      <c r="F536" s="8">
        <v>18.478400000000001</v>
      </c>
    </row>
    <row r="537" spans="1:6" ht="60" x14ac:dyDescent="0.25">
      <c r="A537" s="8" t="s">
        <v>5</v>
      </c>
      <c r="B537" s="8" t="s">
        <v>12</v>
      </c>
      <c r="C537" s="8" t="str">
        <f>IFERROR(_xlfn.XLOOKUP(TRIM(B537),Lookup!$B$2:$B$1000,Lookup!$C$2:$C$1000),"")</f>
        <v>Equity</v>
      </c>
      <c r="D537" s="8" t="s">
        <v>13</v>
      </c>
      <c r="E537" s="9">
        <v>46118</v>
      </c>
      <c r="F537" s="8">
        <v>18.692299999999999</v>
      </c>
    </row>
    <row r="538" spans="1:6" ht="60" x14ac:dyDescent="0.25">
      <c r="A538" s="8" t="s">
        <v>5</v>
      </c>
      <c r="B538" s="8" t="s">
        <v>12</v>
      </c>
      <c r="C538" s="8" t="str">
        <f>IFERROR(_xlfn.XLOOKUP(TRIM(B538),Lookup!$B$2:$B$1000,Lookup!$C$2:$C$1000),"")</f>
        <v>Equity</v>
      </c>
      <c r="D538" s="8" t="s">
        <v>13</v>
      </c>
      <c r="E538" s="9">
        <v>46119</v>
      </c>
      <c r="F538" s="8">
        <v>18.7987</v>
      </c>
    </row>
    <row r="539" spans="1:6" ht="60" x14ac:dyDescent="0.25">
      <c r="A539" s="8" t="s">
        <v>5</v>
      </c>
      <c r="B539" s="8" t="s">
        <v>12</v>
      </c>
      <c r="C539" s="8" t="str">
        <f>IFERROR(_xlfn.XLOOKUP(TRIM(B539),Lookup!$B$2:$B$1000,Lookup!$C$2:$C$1000),"")</f>
        <v>Equity</v>
      </c>
      <c r="D539" s="8" t="s">
        <v>13</v>
      </c>
      <c r="E539" s="9">
        <v>46120</v>
      </c>
      <c r="F539" s="8">
        <v>19.517600000000002</v>
      </c>
    </row>
    <row r="540" spans="1:6" ht="60" x14ac:dyDescent="0.25">
      <c r="A540" s="8" t="s">
        <v>5</v>
      </c>
      <c r="B540" s="8" t="s">
        <v>12</v>
      </c>
      <c r="C540" s="8" t="str">
        <f>IFERROR(_xlfn.XLOOKUP(TRIM(B540),Lookup!$B$2:$B$1000,Lookup!$C$2:$C$1000),"")</f>
        <v>Equity</v>
      </c>
      <c r="D540" s="8" t="s">
        <v>13</v>
      </c>
      <c r="E540" s="9">
        <v>46121</v>
      </c>
      <c r="F540" s="8">
        <v>19.349900000000002</v>
      </c>
    </row>
    <row r="541" spans="1:6" ht="60" x14ac:dyDescent="0.25">
      <c r="A541" s="8" t="s">
        <v>5</v>
      </c>
      <c r="B541" s="8" t="s">
        <v>12</v>
      </c>
      <c r="C541" s="8" t="str">
        <f>IFERROR(_xlfn.XLOOKUP(TRIM(B541),Lookup!$B$2:$B$1000,Lookup!$C$2:$C$1000),"")</f>
        <v>Equity</v>
      </c>
      <c r="D541" s="8" t="s">
        <v>13</v>
      </c>
      <c r="E541" s="9">
        <v>46122</v>
      </c>
      <c r="F541" s="8">
        <v>19.571100000000001</v>
      </c>
    </row>
    <row r="542" spans="1:6" ht="60" x14ac:dyDescent="0.25">
      <c r="A542" s="8" t="s">
        <v>5</v>
      </c>
      <c r="B542" s="8" t="s">
        <v>12</v>
      </c>
      <c r="C542" s="8" t="str">
        <f>IFERROR(_xlfn.XLOOKUP(TRIM(B542),Lookup!$B$2:$B$1000,Lookup!$C$2:$C$1000),"")</f>
        <v>Equity</v>
      </c>
      <c r="D542" s="8" t="s">
        <v>13</v>
      </c>
      <c r="E542" s="9">
        <v>46125</v>
      </c>
      <c r="F542" s="8">
        <v>19.341699999999999</v>
      </c>
    </row>
    <row r="543" spans="1:6" ht="60" x14ac:dyDescent="0.25">
      <c r="A543" s="8" t="s">
        <v>5</v>
      </c>
      <c r="B543" s="8" t="s">
        <v>12</v>
      </c>
      <c r="C543" s="8" t="str">
        <f>IFERROR(_xlfn.XLOOKUP(TRIM(B543),Lookup!$B$2:$B$1000,Lookup!$C$2:$C$1000),"")</f>
        <v>Equity</v>
      </c>
      <c r="D543" s="8" t="s">
        <v>13</v>
      </c>
      <c r="E543" s="9">
        <v>46127</v>
      </c>
      <c r="F543" s="8">
        <v>19.677700000000002</v>
      </c>
    </row>
    <row r="544" spans="1:6" ht="60" x14ac:dyDescent="0.25">
      <c r="A544" s="8" t="s">
        <v>5</v>
      </c>
      <c r="B544" s="8" t="s">
        <v>12</v>
      </c>
      <c r="C544" s="8" t="str">
        <f>IFERROR(_xlfn.XLOOKUP(TRIM(B544),Lookup!$B$2:$B$1000,Lookup!$C$2:$C$1000),"")</f>
        <v>Equity</v>
      </c>
      <c r="D544" s="8" t="s">
        <v>13</v>
      </c>
      <c r="E544" s="9">
        <v>46128</v>
      </c>
      <c r="F544" s="8">
        <v>19.652200000000001</v>
      </c>
    </row>
    <row r="545" spans="1:6" ht="60" x14ac:dyDescent="0.25">
      <c r="A545" s="8" t="s">
        <v>5</v>
      </c>
      <c r="B545" s="8" t="s">
        <v>12</v>
      </c>
      <c r="C545" s="8" t="str">
        <f>IFERROR(_xlfn.XLOOKUP(TRIM(B545),Lookup!$B$2:$B$1000,Lookup!$C$2:$C$1000),"")</f>
        <v>Equity</v>
      </c>
      <c r="D545" s="8" t="s">
        <v>13</v>
      </c>
      <c r="E545" s="9">
        <v>46129</v>
      </c>
      <c r="F545" s="8">
        <v>19.790900000000001</v>
      </c>
    </row>
    <row r="546" spans="1:6" ht="60" x14ac:dyDescent="0.25">
      <c r="A546" s="8" t="s">
        <v>5</v>
      </c>
      <c r="B546" s="8" t="s">
        <v>12</v>
      </c>
      <c r="C546" s="8" t="str">
        <f>IFERROR(_xlfn.XLOOKUP(TRIM(B546),Lookup!$B$2:$B$1000,Lookup!$C$2:$C$1000),"")</f>
        <v>Equity</v>
      </c>
      <c r="D546" s="8" t="s">
        <v>13</v>
      </c>
      <c r="E546" s="9">
        <v>46132</v>
      </c>
      <c r="F546" s="8">
        <v>19.7882</v>
      </c>
    </row>
    <row r="547" spans="1:6" ht="60" x14ac:dyDescent="0.25">
      <c r="A547" s="8" t="s">
        <v>5</v>
      </c>
      <c r="B547" s="8" t="s">
        <v>12</v>
      </c>
      <c r="C547" s="8" t="str">
        <f>IFERROR(_xlfn.XLOOKUP(TRIM(B547),Lookup!$B$2:$B$1000,Lookup!$C$2:$C$1000),"")</f>
        <v>Equity</v>
      </c>
      <c r="D547" s="8" t="s">
        <v>13</v>
      </c>
      <c r="E547" s="9">
        <v>46133</v>
      </c>
      <c r="F547" s="8">
        <v>19.950199999999999</v>
      </c>
    </row>
    <row r="548" spans="1:6" ht="60" x14ac:dyDescent="0.25">
      <c r="A548" s="8" t="s">
        <v>5</v>
      </c>
      <c r="B548" s="8" t="s">
        <v>12</v>
      </c>
      <c r="C548" s="8" t="str">
        <f>IFERROR(_xlfn.XLOOKUP(TRIM(B548),Lookup!$B$2:$B$1000,Lookup!$C$2:$C$1000),"")</f>
        <v>Equity</v>
      </c>
      <c r="D548" s="8" t="s">
        <v>13</v>
      </c>
      <c r="E548" s="9">
        <v>46134</v>
      </c>
      <c r="F548" s="8">
        <v>19.8093</v>
      </c>
    </row>
    <row r="549" spans="1:6" ht="60" x14ac:dyDescent="0.25">
      <c r="A549" s="8" t="s">
        <v>5</v>
      </c>
      <c r="B549" s="8" t="s">
        <v>12</v>
      </c>
      <c r="C549" s="8" t="str">
        <f>IFERROR(_xlfn.XLOOKUP(TRIM(B549),Lookup!$B$2:$B$1000,Lookup!$C$2:$C$1000),"")</f>
        <v>Equity</v>
      </c>
      <c r="D549" s="8" t="s">
        <v>13</v>
      </c>
      <c r="E549" s="9">
        <v>46135</v>
      </c>
      <c r="F549" s="8">
        <v>19.646100000000001</v>
      </c>
    </row>
    <row r="550" spans="1:6" ht="60" x14ac:dyDescent="0.25">
      <c r="A550" s="8" t="s">
        <v>5</v>
      </c>
      <c r="B550" s="8" t="s">
        <v>12</v>
      </c>
      <c r="C550" s="8" t="str">
        <f>IFERROR(_xlfn.XLOOKUP(TRIM(B550),Lookup!$B$2:$B$1000,Lookup!$C$2:$C$1000),"")</f>
        <v>Equity</v>
      </c>
      <c r="D550" s="8" t="s">
        <v>13</v>
      </c>
      <c r="E550" s="9">
        <v>46136</v>
      </c>
      <c r="F550" s="8">
        <v>19.4405</v>
      </c>
    </row>
    <row r="551" spans="1:6" ht="60" x14ac:dyDescent="0.25">
      <c r="A551" s="8" t="s">
        <v>5</v>
      </c>
      <c r="B551" s="8" t="s">
        <v>12</v>
      </c>
      <c r="C551" s="8" t="str">
        <f>IFERROR(_xlfn.XLOOKUP(TRIM(B551),Lookup!$B$2:$B$1000,Lookup!$C$2:$C$1000),"")</f>
        <v>Equity</v>
      </c>
      <c r="D551" s="8" t="s">
        <v>13</v>
      </c>
      <c r="E551" s="9">
        <v>46139</v>
      </c>
      <c r="F551" s="8">
        <v>19.612500000000001</v>
      </c>
    </row>
    <row r="552" spans="1:6" ht="60" x14ac:dyDescent="0.25">
      <c r="A552" s="8" t="s">
        <v>5</v>
      </c>
      <c r="B552" s="8" t="s">
        <v>12</v>
      </c>
      <c r="C552" s="8" t="str">
        <f>IFERROR(_xlfn.XLOOKUP(TRIM(B552),Lookup!$B$2:$B$1000,Lookup!$C$2:$C$1000),"")</f>
        <v>Equity</v>
      </c>
      <c r="D552" s="8" t="s">
        <v>13</v>
      </c>
      <c r="E552" s="9">
        <v>46140</v>
      </c>
      <c r="F552" s="8">
        <v>19.536100000000001</v>
      </c>
    </row>
    <row r="553" spans="1:6" ht="60" x14ac:dyDescent="0.25">
      <c r="A553" s="8" t="s">
        <v>5</v>
      </c>
      <c r="B553" s="8" t="s">
        <v>12</v>
      </c>
      <c r="C553" s="8" t="str">
        <f>IFERROR(_xlfn.XLOOKUP(TRIM(B553),Lookup!$B$2:$B$1000,Lookup!$C$2:$C$1000),"")</f>
        <v>Equity</v>
      </c>
      <c r="D553" s="8" t="s">
        <v>13</v>
      </c>
      <c r="E553" s="9">
        <v>46141</v>
      </c>
      <c r="F553" s="8">
        <v>19.692699999999999</v>
      </c>
    </row>
    <row r="554" spans="1:6" ht="60" x14ac:dyDescent="0.25">
      <c r="A554" s="8" t="s">
        <v>5</v>
      </c>
      <c r="B554" s="8" t="s">
        <v>12</v>
      </c>
      <c r="C554" s="8" t="str">
        <f>IFERROR(_xlfn.XLOOKUP(TRIM(B554),Lookup!$B$2:$B$1000,Lookup!$C$2:$C$1000),"")</f>
        <v>Equity</v>
      </c>
      <c r="D554" s="8" t="s">
        <v>13</v>
      </c>
      <c r="E554" s="9">
        <v>46142</v>
      </c>
      <c r="F554" s="8">
        <v>19.559899999999999</v>
      </c>
    </row>
    <row r="555" spans="1:6" ht="60" x14ac:dyDescent="0.25">
      <c r="A555" s="8" t="s">
        <v>5</v>
      </c>
      <c r="B555" s="8" t="s">
        <v>12</v>
      </c>
      <c r="C555" s="8" t="str">
        <f>IFERROR(_xlfn.XLOOKUP(TRIM(B555),Lookup!$B$2:$B$1000,Lookup!$C$2:$C$1000),"")</f>
        <v>Equity</v>
      </c>
      <c r="D555" s="8" t="s">
        <v>13</v>
      </c>
      <c r="E555" s="9">
        <v>46146</v>
      </c>
      <c r="F555" s="8">
        <v>19.638200000000001</v>
      </c>
    </row>
    <row r="556" spans="1:6" ht="60" x14ac:dyDescent="0.25">
      <c r="A556" s="8" t="s">
        <v>5</v>
      </c>
      <c r="B556" s="8" t="s">
        <v>12</v>
      </c>
      <c r="C556" s="8" t="str">
        <f>IFERROR(_xlfn.XLOOKUP(TRIM(B556),Lookup!$B$2:$B$1000,Lookup!$C$2:$C$1000),"")</f>
        <v>Equity</v>
      </c>
      <c r="D556" s="8" t="s">
        <v>13</v>
      </c>
      <c r="E556" s="9">
        <v>46147</v>
      </c>
      <c r="F556" s="8">
        <v>19.5899</v>
      </c>
    </row>
    <row r="557" spans="1:6" ht="60" x14ac:dyDescent="0.25">
      <c r="A557" s="8" t="s">
        <v>5</v>
      </c>
      <c r="B557" s="8" t="s">
        <v>12</v>
      </c>
      <c r="C557" s="8" t="str">
        <f>IFERROR(_xlfn.XLOOKUP(TRIM(B557),Lookup!$B$2:$B$1000,Lookup!$C$2:$C$1000),"")</f>
        <v>Equity</v>
      </c>
      <c r="D557" s="8" t="s">
        <v>13</v>
      </c>
      <c r="E557" s="9">
        <v>46148</v>
      </c>
      <c r="F557" s="8">
        <v>19.831399999999999</v>
      </c>
    </row>
    <row r="558" spans="1:6" ht="60" x14ac:dyDescent="0.25">
      <c r="A558" s="8" t="s">
        <v>5</v>
      </c>
      <c r="B558" s="8" t="s">
        <v>12</v>
      </c>
      <c r="C558" s="8" t="str">
        <f>IFERROR(_xlfn.XLOOKUP(TRIM(B558),Lookup!$B$2:$B$1000,Lookup!$C$2:$C$1000),"")</f>
        <v>Equity</v>
      </c>
      <c r="D558" s="8" t="s">
        <v>13</v>
      </c>
      <c r="E558" s="9">
        <v>46149</v>
      </c>
      <c r="F558" s="8">
        <v>19.828800000000001</v>
      </c>
    </row>
    <row r="559" spans="1:6" ht="60" x14ac:dyDescent="0.25">
      <c r="A559" s="8" t="s">
        <v>5</v>
      </c>
      <c r="B559" s="8" t="s">
        <v>12</v>
      </c>
      <c r="C559" s="8" t="str">
        <f>IFERROR(_xlfn.XLOOKUP(TRIM(B559),Lookup!$B$2:$B$1000,Lookup!$C$2:$C$1000),"")</f>
        <v>Equity</v>
      </c>
      <c r="D559" s="8" t="s">
        <v>13</v>
      </c>
      <c r="E559" s="9">
        <v>46150</v>
      </c>
      <c r="F559" s="8">
        <v>19.721299999999999</v>
      </c>
    </row>
    <row r="560" spans="1:6" ht="60" x14ac:dyDescent="0.25">
      <c r="A560" s="8" t="s">
        <v>5</v>
      </c>
      <c r="B560" s="8" t="s">
        <v>12</v>
      </c>
      <c r="C560" s="8" t="str">
        <f>IFERROR(_xlfn.XLOOKUP(TRIM(B560),Lookup!$B$2:$B$1000,Lookup!$C$2:$C$1000),"")</f>
        <v>Equity</v>
      </c>
      <c r="D560" s="8" t="s">
        <v>13</v>
      </c>
      <c r="E560" s="9">
        <v>46153</v>
      </c>
      <c r="F560" s="8">
        <v>19.4026</v>
      </c>
    </row>
    <row r="561" spans="1:6" ht="60" x14ac:dyDescent="0.25">
      <c r="A561" s="8" t="s">
        <v>5</v>
      </c>
      <c r="B561" s="8" t="s">
        <v>12</v>
      </c>
      <c r="C561" s="8" t="str">
        <f>IFERROR(_xlfn.XLOOKUP(TRIM(B561),Lookup!$B$2:$B$1000,Lookup!$C$2:$C$1000),"")</f>
        <v>Equity</v>
      </c>
      <c r="D561" s="8" t="s">
        <v>13</v>
      </c>
      <c r="E561" s="9">
        <v>46154</v>
      </c>
      <c r="F561" s="8">
        <v>19.049600000000002</v>
      </c>
    </row>
    <row r="562" spans="1:6" ht="60" x14ac:dyDescent="0.25">
      <c r="A562" s="8" t="s">
        <v>5</v>
      </c>
      <c r="B562" s="8" t="s">
        <v>12</v>
      </c>
      <c r="C562" s="8" t="str">
        <f>IFERROR(_xlfn.XLOOKUP(TRIM(B562),Lookup!$B$2:$B$1000,Lookup!$C$2:$C$1000),"")</f>
        <v>Equity</v>
      </c>
      <c r="D562" s="8" t="s">
        <v>13</v>
      </c>
      <c r="E562" s="9">
        <v>46155</v>
      </c>
      <c r="F562" s="8">
        <v>19.078900000000001</v>
      </c>
    </row>
    <row r="563" spans="1:6" ht="60" x14ac:dyDescent="0.25">
      <c r="A563" s="8" t="s">
        <v>5</v>
      </c>
      <c r="B563" s="8" t="s">
        <v>12</v>
      </c>
      <c r="C563" s="8" t="str">
        <f>IFERROR(_xlfn.XLOOKUP(TRIM(B563),Lookup!$B$2:$B$1000,Lookup!$C$2:$C$1000),"")</f>
        <v>Equity</v>
      </c>
      <c r="D563" s="8" t="s">
        <v>13</v>
      </c>
      <c r="E563" s="9">
        <v>46156</v>
      </c>
      <c r="F563" s="8">
        <v>19.304200000000002</v>
      </c>
    </row>
    <row r="564" spans="1:6" ht="60" x14ac:dyDescent="0.25">
      <c r="A564" s="8" t="s">
        <v>5</v>
      </c>
      <c r="B564" s="8" t="s">
        <v>12</v>
      </c>
      <c r="C564" s="8" t="str">
        <f>IFERROR(_xlfn.XLOOKUP(TRIM(B564),Lookup!$B$2:$B$1000,Lookup!$C$2:$C$1000),"")</f>
        <v>Equity</v>
      </c>
      <c r="D564" s="8" t="s">
        <v>13</v>
      </c>
      <c r="E564" s="9">
        <v>46157</v>
      </c>
      <c r="F564" s="8">
        <v>19.260000000000002</v>
      </c>
    </row>
    <row r="565" spans="1:6" ht="60" x14ac:dyDescent="0.25">
      <c r="A565" s="8" t="s">
        <v>5</v>
      </c>
      <c r="B565" s="8" t="s">
        <v>12</v>
      </c>
      <c r="C565" s="8" t="str">
        <f>IFERROR(_xlfn.XLOOKUP(TRIM(B565),Lookup!$B$2:$B$1000,Lookup!$C$2:$C$1000),"")</f>
        <v>Equity</v>
      </c>
      <c r="D565" s="8" t="s">
        <v>13</v>
      </c>
      <c r="E565" s="9">
        <v>46160</v>
      </c>
      <c r="F565" s="8">
        <v>19.249199999999998</v>
      </c>
    </row>
    <row r="566" spans="1:6" ht="60" x14ac:dyDescent="0.25">
      <c r="A566" s="8" t="s">
        <v>5</v>
      </c>
      <c r="B566" s="8" t="s">
        <v>12</v>
      </c>
      <c r="C566" s="8" t="str">
        <f>IFERROR(_xlfn.XLOOKUP(TRIM(B566),Lookup!$B$2:$B$1000,Lookup!$C$2:$C$1000),"")</f>
        <v>Equity</v>
      </c>
      <c r="D566" s="8" t="s">
        <v>13</v>
      </c>
      <c r="E566" s="9">
        <v>46161</v>
      </c>
      <c r="F566" s="8">
        <v>19.241900000000001</v>
      </c>
    </row>
    <row r="567" spans="1:6" ht="60" x14ac:dyDescent="0.25">
      <c r="A567" s="8" t="s">
        <v>5</v>
      </c>
      <c r="B567" s="8" t="s">
        <v>12</v>
      </c>
      <c r="C567" s="8" t="str">
        <f>IFERROR(_xlfn.XLOOKUP(TRIM(B567),Lookup!$B$2:$B$1000,Lookup!$C$2:$C$1000),"")</f>
        <v>Equity</v>
      </c>
      <c r="D567" s="8" t="s">
        <v>13</v>
      </c>
      <c r="E567" s="9">
        <v>46162</v>
      </c>
      <c r="F567" s="8">
        <v>19.280799999999999</v>
      </c>
    </row>
    <row r="568" spans="1:6" ht="60" x14ac:dyDescent="0.25">
      <c r="A568" s="8" t="s">
        <v>5</v>
      </c>
      <c r="B568" s="8" t="s">
        <v>12</v>
      </c>
      <c r="C568" s="8" t="str">
        <f>IFERROR(_xlfn.XLOOKUP(TRIM(B568),Lookup!$B$2:$B$1000,Lookup!$C$2:$C$1000),"")</f>
        <v>Equity</v>
      </c>
      <c r="D568" s="8" t="s">
        <v>13</v>
      </c>
      <c r="E568" s="9">
        <v>46163</v>
      </c>
      <c r="F568" s="8">
        <v>19.264900000000001</v>
      </c>
    </row>
    <row r="569" spans="1:6" ht="60" x14ac:dyDescent="0.25">
      <c r="A569" s="8" t="s">
        <v>5</v>
      </c>
      <c r="B569" s="8" t="s">
        <v>12</v>
      </c>
      <c r="C569" s="8" t="str">
        <f>IFERROR(_xlfn.XLOOKUP(TRIM(B569),Lookup!$B$2:$B$1000,Lookup!$C$2:$C$1000),"")</f>
        <v>Equity</v>
      </c>
      <c r="D569" s="8" t="s">
        <v>13</v>
      </c>
      <c r="E569" s="9">
        <v>46164</v>
      </c>
      <c r="F569" s="8">
        <v>19.322500000000002</v>
      </c>
    </row>
    <row r="570" spans="1:6" ht="60" x14ac:dyDescent="0.25">
      <c r="A570" s="8" t="s">
        <v>5</v>
      </c>
      <c r="B570" s="8" t="s">
        <v>12</v>
      </c>
      <c r="C570" s="8" t="str">
        <f>IFERROR(_xlfn.XLOOKUP(TRIM(B570),Lookup!$B$2:$B$1000,Lookup!$C$2:$C$1000),"")</f>
        <v>Equity</v>
      </c>
      <c r="D570" s="8" t="s">
        <v>13</v>
      </c>
      <c r="E570" s="9">
        <v>46167</v>
      </c>
      <c r="F570" s="8">
        <v>19.574100000000001</v>
      </c>
    </row>
    <row r="571" spans="1:6" ht="60" x14ac:dyDescent="0.25">
      <c r="A571" s="8" t="s">
        <v>5</v>
      </c>
      <c r="B571" s="8" t="s">
        <v>12</v>
      </c>
      <c r="C571" s="8" t="str">
        <f>IFERROR(_xlfn.XLOOKUP(TRIM(B571),Lookup!$B$2:$B$1000,Lookup!$C$2:$C$1000),"")</f>
        <v>Equity</v>
      </c>
      <c r="D571" s="8" t="s">
        <v>13</v>
      </c>
      <c r="E571" s="9">
        <v>46168</v>
      </c>
      <c r="F571" s="8">
        <v>19.495200000000001</v>
      </c>
    </row>
    <row r="572" spans="1:6" ht="60" x14ac:dyDescent="0.25">
      <c r="A572" s="8" t="s">
        <v>5</v>
      </c>
      <c r="B572" s="8" t="s">
        <v>12</v>
      </c>
      <c r="C572" s="8" t="str">
        <f>IFERROR(_xlfn.XLOOKUP(TRIM(B572),Lookup!$B$2:$B$1000,Lookup!$C$2:$C$1000),"")</f>
        <v>Equity</v>
      </c>
      <c r="D572" s="8" t="s">
        <v>13</v>
      </c>
      <c r="E572" s="9">
        <v>46169</v>
      </c>
      <c r="F572" s="8">
        <v>19.5</v>
      </c>
    </row>
    <row r="573" spans="1:6" ht="60" x14ac:dyDescent="0.25">
      <c r="A573" s="8" t="s">
        <v>5</v>
      </c>
      <c r="B573" s="8" t="s">
        <v>12</v>
      </c>
      <c r="C573" s="8" t="str">
        <f>IFERROR(_xlfn.XLOOKUP(TRIM(B573),Lookup!$B$2:$B$1000,Lookup!$C$2:$C$1000),"")</f>
        <v>Equity</v>
      </c>
      <c r="D573" s="8" t="s">
        <v>13</v>
      </c>
      <c r="E573" s="9">
        <v>46171</v>
      </c>
      <c r="F573" s="8">
        <v>19.217700000000001</v>
      </c>
    </row>
    <row r="574" spans="1:6" ht="60" x14ac:dyDescent="0.25">
      <c r="A574" s="8" t="s">
        <v>5</v>
      </c>
      <c r="B574" s="8" t="s">
        <v>12</v>
      </c>
      <c r="C574" s="8" t="str">
        <f>IFERROR(_xlfn.XLOOKUP(TRIM(B574),Lookup!$B$2:$B$1000,Lookup!$C$2:$C$1000),"")</f>
        <v>Equity</v>
      </c>
      <c r="D574" s="8" t="s">
        <v>13</v>
      </c>
      <c r="E574" s="9">
        <v>46174</v>
      </c>
      <c r="F574" s="8">
        <v>19.077400000000001</v>
      </c>
    </row>
    <row r="575" spans="1:6" ht="60" x14ac:dyDescent="0.25">
      <c r="A575" s="8" t="s">
        <v>5</v>
      </c>
      <c r="B575" s="8" t="s">
        <v>12</v>
      </c>
      <c r="C575" s="8" t="str">
        <f>IFERROR(_xlfn.XLOOKUP(TRIM(B575),Lookup!$B$2:$B$1000,Lookup!$C$2:$C$1000),"")</f>
        <v>Equity</v>
      </c>
      <c r="D575" s="8" t="s">
        <v>13</v>
      </c>
      <c r="E575" s="9">
        <v>46175</v>
      </c>
      <c r="F575" s="8">
        <v>19.180800000000001</v>
      </c>
    </row>
    <row r="576" spans="1:6" ht="60" x14ac:dyDescent="0.25">
      <c r="A576" s="8" t="s">
        <v>5</v>
      </c>
      <c r="B576" s="8" t="s">
        <v>12</v>
      </c>
      <c r="C576" s="8" t="str">
        <f>IFERROR(_xlfn.XLOOKUP(TRIM(B576),Lookup!$B$2:$B$1000,Lookup!$C$2:$C$1000),"")</f>
        <v>Equity</v>
      </c>
      <c r="D576" s="8" t="s">
        <v>13</v>
      </c>
      <c r="E576" s="9">
        <v>46176</v>
      </c>
      <c r="F576" s="8">
        <v>19.1097</v>
      </c>
    </row>
    <row r="577" spans="1:6" ht="60" x14ac:dyDescent="0.25">
      <c r="A577" s="8" t="s">
        <v>5</v>
      </c>
      <c r="B577" s="8" t="s">
        <v>12</v>
      </c>
      <c r="C577" s="8" t="str">
        <f>IFERROR(_xlfn.XLOOKUP(TRIM(B577),Lookup!$B$2:$B$1000,Lookup!$C$2:$C$1000),"")</f>
        <v>Equity</v>
      </c>
      <c r="D577" s="8" t="s">
        <v>13</v>
      </c>
      <c r="E577" s="9">
        <v>46177</v>
      </c>
      <c r="F577" s="8">
        <v>19.114999999999998</v>
      </c>
    </row>
    <row r="578" spans="1:6" ht="60" x14ac:dyDescent="0.25">
      <c r="A578" s="8" t="s">
        <v>5</v>
      </c>
      <c r="B578" s="8" t="s">
        <v>12</v>
      </c>
      <c r="C578" s="8" t="str">
        <f>IFERROR(_xlfn.XLOOKUP(TRIM(B578),Lookup!$B$2:$B$1000,Lookup!$C$2:$C$1000),"")</f>
        <v>Equity</v>
      </c>
      <c r="D578" s="8" t="s">
        <v>13</v>
      </c>
      <c r="E578" s="9">
        <v>46178</v>
      </c>
      <c r="F578" s="8">
        <v>19.079000000000001</v>
      </c>
    </row>
    <row r="579" spans="1:6" ht="60" x14ac:dyDescent="0.25">
      <c r="A579" s="8" t="s">
        <v>5</v>
      </c>
      <c r="B579" s="8" t="s">
        <v>12</v>
      </c>
      <c r="C579" s="8" t="str">
        <f>IFERROR(_xlfn.XLOOKUP(TRIM(B579),Lookup!$B$2:$B$1000,Lookup!$C$2:$C$1000),"")</f>
        <v>Equity</v>
      </c>
      <c r="D579" s="8" t="s">
        <v>13</v>
      </c>
      <c r="E579" s="9">
        <v>46181</v>
      </c>
      <c r="F579" s="8">
        <v>18.880600000000001</v>
      </c>
    </row>
    <row r="580" spans="1:6" ht="60" x14ac:dyDescent="0.25">
      <c r="A580" s="8" t="s">
        <v>5</v>
      </c>
      <c r="B580" s="8" t="s">
        <v>12</v>
      </c>
      <c r="C580" s="8" t="str">
        <f>IFERROR(_xlfn.XLOOKUP(TRIM(B580),Lookup!$B$2:$B$1000,Lookup!$C$2:$C$1000),"")</f>
        <v>Equity</v>
      </c>
      <c r="D580" s="8" t="s">
        <v>13</v>
      </c>
      <c r="E580" s="9">
        <v>46182</v>
      </c>
      <c r="F580" s="8">
        <v>18.9847</v>
      </c>
    </row>
    <row r="581" spans="1:6" ht="60" x14ac:dyDescent="0.25">
      <c r="A581" s="8" t="s">
        <v>5</v>
      </c>
      <c r="B581" s="8" t="s">
        <v>12</v>
      </c>
      <c r="C581" s="8" t="str">
        <f>IFERROR(_xlfn.XLOOKUP(TRIM(B581),Lookup!$B$2:$B$1000,Lookup!$C$2:$C$1000),"")</f>
        <v>Equity</v>
      </c>
      <c r="D581" s="8" t="s">
        <v>13</v>
      </c>
      <c r="E581" s="9">
        <v>46183</v>
      </c>
      <c r="F581" s="8">
        <v>18.922799999999999</v>
      </c>
    </row>
    <row r="582" spans="1:6" ht="60" x14ac:dyDescent="0.25">
      <c r="A582" s="8" t="s">
        <v>5</v>
      </c>
      <c r="B582" s="8" t="s">
        <v>12</v>
      </c>
      <c r="C582" s="8" t="str">
        <f>IFERROR(_xlfn.XLOOKUP(TRIM(B582),Lookup!$B$2:$B$1000,Lookup!$C$2:$C$1000),"")</f>
        <v>Equity</v>
      </c>
      <c r="D582" s="8" t="s">
        <v>13</v>
      </c>
      <c r="E582" s="9">
        <v>46184</v>
      </c>
      <c r="F582" s="8">
        <v>18.852</v>
      </c>
    </row>
    <row r="583" spans="1:6" ht="60" x14ac:dyDescent="0.25">
      <c r="A583" s="8" t="s">
        <v>5</v>
      </c>
      <c r="B583" s="8" t="s">
        <v>12</v>
      </c>
      <c r="C583" s="8" t="str">
        <f>IFERROR(_xlfn.XLOOKUP(TRIM(B583),Lookup!$B$2:$B$1000,Lookup!$C$2:$C$1000),"")</f>
        <v>Equity</v>
      </c>
      <c r="D583" s="8" t="s">
        <v>13</v>
      </c>
      <c r="E583" s="9">
        <v>46185</v>
      </c>
      <c r="F583" s="8">
        <v>19.2469</v>
      </c>
    </row>
    <row r="584" spans="1:6" ht="60" x14ac:dyDescent="0.25">
      <c r="A584" s="8" t="s">
        <v>5</v>
      </c>
      <c r="B584" s="8" t="s">
        <v>12</v>
      </c>
      <c r="C584" s="8" t="str">
        <f>IFERROR(_xlfn.XLOOKUP(TRIM(B584),Lookup!$B$2:$B$1000,Lookup!$C$2:$C$1000),"")</f>
        <v>Equity</v>
      </c>
      <c r="D584" s="8" t="s">
        <v>13</v>
      </c>
      <c r="E584" s="9">
        <v>46188</v>
      </c>
      <c r="F584" s="8">
        <v>19.457699999999999</v>
      </c>
    </row>
    <row r="585" spans="1:6" ht="60" x14ac:dyDescent="0.25">
      <c r="A585" s="8" t="s">
        <v>5</v>
      </c>
      <c r="B585" s="8" t="s">
        <v>12</v>
      </c>
      <c r="C585" s="8" t="str">
        <f>IFERROR(_xlfn.XLOOKUP(TRIM(B585),Lookup!$B$2:$B$1000,Lookup!$C$2:$C$1000),"")</f>
        <v>Equity</v>
      </c>
      <c r="D585" s="8" t="s">
        <v>13</v>
      </c>
      <c r="E585" s="9">
        <v>46189</v>
      </c>
      <c r="F585" s="8">
        <v>19.557700000000001</v>
      </c>
    </row>
    <row r="586" spans="1:6" ht="60" x14ac:dyDescent="0.25">
      <c r="A586" s="8" t="s">
        <v>5</v>
      </c>
      <c r="B586" s="8" t="s">
        <v>12</v>
      </c>
      <c r="C586" s="8" t="str">
        <f>IFERROR(_xlfn.XLOOKUP(TRIM(B586),Lookup!$B$2:$B$1000,Lookup!$C$2:$C$1000),"")</f>
        <v>Equity</v>
      </c>
      <c r="D586" s="8" t="s">
        <v>13</v>
      </c>
      <c r="E586" s="9">
        <v>46190</v>
      </c>
      <c r="F586" s="8">
        <v>19.647600000000001</v>
      </c>
    </row>
    <row r="587" spans="1:6" ht="60" x14ac:dyDescent="0.25">
      <c r="A587" s="8" t="s">
        <v>5</v>
      </c>
      <c r="B587" s="8" t="s">
        <v>12</v>
      </c>
      <c r="C587" s="8" t="str">
        <f>IFERROR(_xlfn.XLOOKUP(TRIM(B587),Lookup!$B$2:$B$1000,Lookup!$C$2:$C$1000),"")</f>
        <v>Equity</v>
      </c>
      <c r="D587" s="8" t="s">
        <v>13</v>
      </c>
      <c r="E587" s="9">
        <v>46191</v>
      </c>
      <c r="F587" s="8">
        <v>19.713000000000001</v>
      </c>
    </row>
    <row r="588" spans="1:6" ht="60" x14ac:dyDescent="0.25">
      <c r="A588" s="8" t="s">
        <v>5</v>
      </c>
      <c r="B588" s="8" t="s">
        <v>12</v>
      </c>
      <c r="C588" s="8" t="str">
        <f>IFERROR(_xlfn.XLOOKUP(TRIM(B588),Lookup!$B$2:$B$1000,Lookup!$C$2:$C$1000),"")</f>
        <v>Equity</v>
      </c>
      <c r="D588" s="8" t="s">
        <v>13</v>
      </c>
      <c r="E588" s="9">
        <v>46192</v>
      </c>
      <c r="F588" s="8">
        <v>19.622900000000001</v>
      </c>
    </row>
    <row r="589" spans="1:6" ht="60" x14ac:dyDescent="0.25">
      <c r="A589" s="8" t="s">
        <v>5</v>
      </c>
      <c r="B589" s="8" t="s">
        <v>12</v>
      </c>
      <c r="C589" s="8" t="str">
        <f>IFERROR(_xlfn.XLOOKUP(TRIM(B589),Lookup!$B$2:$B$1000,Lookup!$C$2:$C$1000),"")</f>
        <v>Equity</v>
      </c>
      <c r="D589" s="8" t="s">
        <v>13</v>
      </c>
      <c r="E589" s="9">
        <v>46195</v>
      </c>
      <c r="F589" s="8">
        <v>19.688600000000001</v>
      </c>
    </row>
    <row r="590" spans="1:6" ht="60" x14ac:dyDescent="0.25">
      <c r="A590" s="8" t="s">
        <v>5</v>
      </c>
      <c r="B590" s="8" t="s">
        <v>12</v>
      </c>
      <c r="C590" s="8" t="str">
        <f>IFERROR(_xlfn.XLOOKUP(TRIM(B590),Lookup!$B$2:$B$1000,Lookup!$C$2:$C$1000),"")</f>
        <v>Equity</v>
      </c>
      <c r="D590" s="8" t="s">
        <v>13</v>
      </c>
      <c r="E590" s="9">
        <v>46196</v>
      </c>
      <c r="F590" s="8">
        <v>19.4649</v>
      </c>
    </row>
    <row r="591" spans="1:6" ht="60" x14ac:dyDescent="0.25">
      <c r="A591" s="8" t="s">
        <v>5</v>
      </c>
      <c r="B591" s="8" t="s">
        <v>12</v>
      </c>
      <c r="C591" s="8" t="str">
        <f>IFERROR(_xlfn.XLOOKUP(TRIM(B591),Lookup!$B$2:$B$1000,Lookup!$C$2:$C$1000),"")</f>
        <v>Equity</v>
      </c>
      <c r="D591" s="8" t="s">
        <v>13</v>
      </c>
      <c r="E591" s="9">
        <v>46197</v>
      </c>
      <c r="F591" s="8">
        <v>19.6083</v>
      </c>
    </row>
    <row r="592" spans="1:6" ht="60" x14ac:dyDescent="0.25">
      <c r="A592" s="8" t="s">
        <v>5</v>
      </c>
      <c r="B592" s="8" t="s">
        <v>12</v>
      </c>
      <c r="C592" s="8" t="str">
        <f>IFERROR(_xlfn.XLOOKUP(TRIM(B592),Lookup!$B$2:$B$1000,Lookup!$C$2:$C$1000),"")</f>
        <v>Equity</v>
      </c>
      <c r="D592" s="8" t="s">
        <v>13</v>
      </c>
      <c r="E592" s="9">
        <v>46198</v>
      </c>
      <c r="F592" s="8">
        <v>19.612300000000001</v>
      </c>
    </row>
    <row r="593" spans="1:6" ht="60" x14ac:dyDescent="0.25">
      <c r="A593" s="8" t="s">
        <v>5</v>
      </c>
      <c r="B593" s="8" t="s">
        <v>12</v>
      </c>
      <c r="C593" s="8" t="str">
        <f>IFERROR(_xlfn.XLOOKUP(TRIM(B593),Lookup!$B$2:$B$1000,Lookup!$C$2:$C$1000),"")</f>
        <v>Equity</v>
      </c>
      <c r="D593" s="8" t="s">
        <v>13</v>
      </c>
      <c r="E593" s="9">
        <v>46202</v>
      </c>
      <c r="F593" s="8">
        <v>19.510899999999999</v>
      </c>
    </row>
    <row r="594" spans="1:6" ht="60" x14ac:dyDescent="0.25">
      <c r="A594" s="8" t="s">
        <v>5</v>
      </c>
      <c r="B594" s="8" t="s">
        <v>12</v>
      </c>
      <c r="C594" s="8" t="str">
        <f>IFERROR(_xlfn.XLOOKUP(TRIM(B594),Lookup!$B$2:$B$1000,Lookup!$C$2:$C$1000),"")</f>
        <v>Equity</v>
      </c>
      <c r="D594" s="8" t="s">
        <v>13</v>
      </c>
      <c r="E594" s="9">
        <v>46203</v>
      </c>
      <c r="F594" s="8">
        <v>19.464099999999998</v>
      </c>
    </row>
    <row r="595" spans="1:6" ht="60" x14ac:dyDescent="0.25">
      <c r="A595" s="8" t="s">
        <v>5</v>
      </c>
      <c r="B595" s="8" t="s">
        <v>12</v>
      </c>
      <c r="C595" s="8" t="str">
        <f>IFERROR(_xlfn.XLOOKUP(TRIM(B595),Lookup!$B$2:$B$1000,Lookup!$C$2:$C$1000),"")</f>
        <v>Equity</v>
      </c>
      <c r="D595" s="8" t="s">
        <v>13</v>
      </c>
      <c r="E595" s="9">
        <v>46204</v>
      </c>
      <c r="F595" s="8">
        <v>19.581099999999999</v>
      </c>
    </row>
    <row r="596" spans="1:6" ht="60" x14ac:dyDescent="0.25">
      <c r="A596" s="8" t="s">
        <v>5</v>
      </c>
      <c r="B596" s="8" t="s">
        <v>12</v>
      </c>
      <c r="C596" s="8" t="str">
        <f>IFERROR(_xlfn.XLOOKUP(TRIM(B596),Lookup!$B$2:$B$1000,Lookup!$C$2:$C$1000),"")</f>
        <v>Equity</v>
      </c>
      <c r="D596" s="8" t="s">
        <v>13</v>
      </c>
      <c r="E596" s="9">
        <v>46205</v>
      </c>
      <c r="F596" s="8">
        <v>19.6919</v>
      </c>
    </row>
    <row r="597" spans="1:6" ht="60" x14ac:dyDescent="0.25">
      <c r="A597" s="8" t="s">
        <v>5</v>
      </c>
      <c r="B597" s="8" t="s">
        <v>12</v>
      </c>
      <c r="C597" s="8" t="str">
        <f>IFERROR(_xlfn.XLOOKUP(TRIM(B597),Lookup!$B$2:$B$1000,Lookup!$C$2:$C$1000),"")</f>
        <v>Equity</v>
      </c>
      <c r="D597" s="8" t="s">
        <v>13</v>
      </c>
      <c r="E597" s="9">
        <v>46206</v>
      </c>
      <c r="F597" s="8">
        <v>19.761399999999998</v>
      </c>
    </row>
    <row r="598" spans="1:6" ht="60" x14ac:dyDescent="0.25">
      <c r="A598" s="8" t="s">
        <v>5</v>
      </c>
      <c r="B598" s="8" t="s">
        <v>12</v>
      </c>
      <c r="C598" s="8" t="str">
        <f>IFERROR(_xlfn.XLOOKUP(TRIM(B598),Lookup!$B$2:$B$1000,Lookup!$C$2:$C$1000),"")</f>
        <v>Equity</v>
      </c>
      <c r="D598" s="8" t="s">
        <v>13</v>
      </c>
      <c r="E598" s="9">
        <v>46209</v>
      </c>
      <c r="F598" s="8">
        <v>19.8752</v>
      </c>
    </row>
    <row r="599" spans="1:6" ht="60" x14ac:dyDescent="0.25">
      <c r="A599" s="8" t="s">
        <v>5</v>
      </c>
      <c r="B599" s="8" t="s">
        <v>12</v>
      </c>
      <c r="C599" s="8" t="str">
        <f>IFERROR(_xlfn.XLOOKUP(TRIM(B599),Lookup!$B$2:$B$1000,Lookup!$C$2:$C$1000),"")</f>
        <v>Equity</v>
      </c>
      <c r="D599" s="8" t="s">
        <v>13</v>
      </c>
      <c r="E599" s="9">
        <v>46210</v>
      </c>
      <c r="F599" s="8">
        <v>19.865600000000001</v>
      </c>
    </row>
    <row r="600" spans="1:6" ht="60" x14ac:dyDescent="0.25">
      <c r="A600" s="8" t="s">
        <v>5</v>
      </c>
      <c r="B600" s="8" t="s">
        <v>12</v>
      </c>
      <c r="C600" s="8" t="str">
        <f>IFERROR(_xlfn.XLOOKUP(TRIM(B600),Lookup!$B$2:$B$1000,Lookup!$C$2:$C$1000),"")</f>
        <v>Equity</v>
      </c>
      <c r="D600" s="8" t="s">
        <v>13</v>
      </c>
      <c r="E600" s="9">
        <v>46211</v>
      </c>
      <c r="F600" s="8">
        <v>19.452400000000001</v>
      </c>
    </row>
    <row r="601" spans="1:6" ht="60" x14ac:dyDescent="0.25">
      <c r="A601" s="8" t="s">
        <v>5</v>
      </c>
      <c r="B601" s="8" t="s">
        <v>12</v>
      </c>
      <c r="C601" s="8" t="str">
        <f>IFERROR(_xlfn.XLOOKUP(TRIM(B601),Lookup!$B$2:$B$1000,Lookup!$C$2:$C$1000),"")</f>
        <v>Equity</v>
      </c>
      <c r="D601" s="8" t="s">
        <v>13</v>
      </c>
      <c r="E601" s="9">
        <v>46212</v>
      </c>
      <c r="F601" s="8">
        <v>19.520700000000001</v>
      </c>
    </row>
    <row r="602" spans="1:6" ht="60" x14ac:dyDescent="0.25">
      <c r="A602" s="8" t="s">
        <v>5</v>
      </c>
      <c r="B602" s="8" t="s">
        <v>12</v>
      </c>
      <c r="C602" s="8" t="str">
        <f>IFERROR(_xlfn.XLOOKUP(TRIM(B602),Lookup!$B$2:$B$1000,Lookup!$C$2:$C$1000),"")</f>
        <v>Equity</v>
      </c>
      <c r="D602" s="8" t="s">
        <v>13</v>
      </c>
      <c r="E602" s="9">
        <v>46213</v>
      </c>
      <c r="F602" s="8">
        <v>19.7226</v>
      </c>
    </row>
    <row r="603" spans="1:6" ht="60" x14ac:dyDescent="0.25">
      <c r="A603" s="8" t="s">
        <v>5</v>
      </c>
      <c r="B603" s="8" t="s">
        <v>12</v>
      </c>
      <c r="C603" s="8" t="str">
        <f>IFERROR(_xlfn.XLOOKUP(TRIM(B603),Lookup!$B$2:$B$1000,Lookup!$C$2:$C$1000),"")</f>
        <v>Equity</v>
      </c>
      <c r="D603" s="8" t="s">
        <v>13</v>
      </c>
      <c r="E603" s="9">
        <v>46216</v>
      </c>
      <c r="F603" s="8">
        <v>19.724699999999999</v>
      </c>
    </row>
    <row r="604" spans="1:6" ht="60" x14ac:dyDescent="0.25">
      <c r="A604" s="8" t="s">
        <v>5</v>
      </c>
      <c r="B604" s="8" t="s">
        <v>12</v>
      </c>
      <c r="C604" s="8" t="str">
        <f>IFERROR(_xlfn.XLOOKUP(TRIM(B604),Lookup!$B$2:$B$1000,Lookup!$C$2:$C$1000),"")</f>
        <v>Equity</v>
      </c>
      <c r="D604" s="8" t="s">
        <v>13</v>
      </c>
      <c r="E604" s="9">
        <v>46217</v>
      </c>
      <c r="F604" s="8">
        <v>19.579999999999998</v>
      </c>
    </row>
    <row r="605" spans="1:6" ht="60" x14ac:dyDescent="0.25">
      <c r="A605" s="8" t="s">
        <v>5</v>
      </c>
      <c r="B605" s="8" t="s">
        <v>12</v>
      </c>
      <c r="C605" s="8" t="str">
        <f>IFERROR(_xlfn.XLOOKUP(TRIM(B605),Lookup!$B$2:$B$1000,Lookup!$C$2:$C$1000),"")</f>
        <v>Equity</v>
      </c>
      <c r="D605" s="8" t="s">
        <v>13</v>
      </c>
      <c r="E605" s="9">
        <v>46218</v>
      </c>
      <c r="F605" s="8">
        <v>19.599399999999999</v>
      </c>
    </row>
    <row r="606" spans="1:6" ht="60" x14ac:dyDescent="0.25">
      <c r="A606" s="8" t="s">
        <v>5</v>
      </c>
      <c r="B606" s="8" t="s">
        <v>12</v>
      </c>
      <c r="C606" s="8" t="str">
        <f>IFERROR(_xlfn.XLOOKUP(TRIM(B606),Lookup!$B$2:$B$1000,Lookup!$C$2:$C$1000),"")</f>
        <v>Equity</v>
      </c>
      <c r="D606" s="8" t="s">
        <v>13</v>
      </c>
      <c r="E606" s="9">
        <v>46219</v>
      </c>
      <c r="F606" s="8">
        <v>19.594000000000001</v>
      </c>
    </row>
    <row r="607" spans="1:6" ht="60" x14ac:dyDescent="0.25">
      <c r="A607" s="8" t="s">
        <v>5</v>
      </c>
      <c r="B607" s="8" t="s">
        <v>12</v>
      </c>
      <c r="C607" s="8" t="str">
        <f>IFERROR(_xlfn.XLOOKUP(TRIM(B607),Lookup!$B$2:$B$1000,Lookup!$C$2:$C$1000),"")</f>
        <v>Equity</v>
      </c>
      <c r="D607" s="8" t="s">
        <v>13</v>
      </c>
      <c r="E607" s="9">
        <v>46220</v>
      </c>
      <c r="F607" s="8">
        <v>19.794499999999999</v>
      </c>
    </row>
    <row r="608" spans="1:6" ht="60" x14ac:dyDescent="0.25">
      <c r="A608" s="8" t="s">
        <v>5</v>
      </c>
      <c r="B608" s="8" t="s">
        <v>12</v>
      </c>
      <c r="C608" s="8" t="str">
        <f>IFERROR(_xlfn.XLOOKUP(TRIM(B608),Lookup!$B$2:$B$1000,Lookup!$C$2:$C$1000),"")</f>
        <v>Equity</v>
      </c>
      <c r="D608" s="8" t="s">
        <v>13</v>
      </c>
      <c r="E608" s="9">
        <v>46223</v>
      </c>
      <c r="F608" s="8">
        <v>19.710100000000001</v>
      </c>
    </row>
    <row r="609" spans="1:6" ht="60" x14ac:dyDescent="0.25">
      <c r="A609" s="8" t="s">
        <v>5</v>
      </c>
      <c r="B609" s="8" t="s">
        <v>12</v>
      </c>
      <c r="C609" s="8" t="str">
        <f>IFERROR(_xlfn.XLOOKUP(TRIM(B609),Lookup!$B$2:$B$1000,Lookup!$C$2:$C$1000),"")</f>
        <v>Equity</v>
      </c>
      <c r="D609" s="8" t="s">
        <v>13</v>
      </c>
      <c r="E609" s="9">
        <v>46224</v>
      </c>
      <c r="F609" s="8">
        <v>19.6709</v>
      </c>
    </row>
    <row r="610" spans="1:6" ht="60" x14ac:dyDescent="0.25">
      <c r="A610" s="8" t="s">
        <v>5</v>
      </c>
      <c r="B610" s="8" t="s">
        <v>12</v>
      </c>
      <c r="C610" s="8" t="str">
        <f>IFERROR(_xlfn.XLOOKUP(TRIM(B610),Lookup!$B$2:$B$1000,Lookup!$C$2:$C$1000),"")</f>
        <v>Equity</v>
      </c>
      <c r="D610" s="8" t="s">
        <v>13</v>
      </c>
      <c r="E610" s="9">
        <v>46225</v>
      </c>
      <c r="F610" s="8">
        <v>19.519300000000001</v>
      </c>
    </row>
    <row r="611" spans="1:6" ht="60" x14ac:dyDescent="0.25">
      <c r="A611" s="8" t="s">
        <v>5</v>
      </c>
      <c r="B611" s="8" t="s">
        <v>12</v>
      </c>
      <c r="C611" s="8" t="str">
        <f>IFERROR(_xlfn.XLOOKUP(TRIM(B611),Lookup!$B$2:$B$1000,Lookup!$C$2:$C$1000),"")</f>
        <v>Equity</v>
      </c>
      <c r="D611" s="8" t="s">
        <v>13</v>
      </c>
      <c r="E611" s="9">
        <v>46226</v>
      </c>
      <c r="F611" s="8">
        <v>19.406099999999999</v>
      </c>
    </row>
    <row r="612" spans="1:6" ht="60" x14ac:dyDescent="0.25">
      <c r="A612" s="8" t="s">
        <v>5</v>
      </c>
      <c r="B612" s="8" t="s">
        <v>12</v>
      </c>
      <c r="C612" s="8" t="str">
        <f>IFERROR(_xlfn.XLOOKUP(TRIM(B612),Lookup!$B$2:$B$1000,Lookup!$C$2:$C$1000),"")</f>
        <v>Equity</v>
      </c>
      <c r="D612" s="8" t="s">
        <v>13</v>
      </c>
      <c r="E612" s="9">
        <v>46227</v>
      </c>
      <c r="F612" s="8">
        <v>19.3446</v>
      </c>
    </row>
    <row r="613" spans="1:6" ht="60" x14ac:dyDescent="0.25">
      <c r="A613" s="8" t="s">
        <v>5</v>
      </c>
      <c r="B613" s="8" t="s">
        <v>12</v>
      </c>
      <c r="C613" s="8" t="str">
        <f>IFERROR(_xlfn.XLOOKUP(TRIM(B613),Lookup!$B$2:$B$1000,Lookup!$C$2:$C$1000),"")</f>
        <v>Equity</v>
      </c>
      <c r="D613" s="8" t="s">
        <v>13</v>
      </c>
      <c r="E613" s="9">
        <v>46230</v>
      </c>
      <c r="F613" s="8">
        <v>19.531300000000002</v>
      </c>
    </row>
    <row r="614" spans="1:6" ht="60" x14ac:dyDescent="0.25">
      <c r="A614" s="8" t="s">
        <v>5</v>
      </c>
      <c r="B614" s="8" t="s">
        <v>12</v>
      </c>
      <c r="C614" s="8" t="str">
        <f>IFERROR(_xlfn.XLOOKUP(TRIM(B614),Lookup!$B$2:$B$1000,Lookup!$C$2:$C$1000),"")</f>
        <v>Equity</v>
      </c>
      <c r="D614" s="8" t="s">
        <v>13</v>
      </c>
      <c r="E614" s="9">
        <v>46231</v>
      </c>
      <c r="F614" s="8">
        <v>19.5274</v>
      </c>
    </row>
    <row r="615" spans="1:6" ht="60" x14ac:dyDescent="0.25">
      <c r="A615" s="8" t="s">
        <v>5</v>
      </c>
      <c r="B615" s="8" t="s">
        <v>12</v>
      </c>
      <c r="C615" s="8" t="str">
        <f>IFERROR(_xlfn.XLOOKUP(TRIM(B615),Lookup!$B$2:$B$1000,Lookup!$C$2:$C$1000),"")</f>
        <v>Equity</v>
      </c>
      <c r="D615" s="8" t="s">
        <v>13</v>
      </c>
      <c r="E615" s="9">
        <v>46232</v>
      </c>
      <c r="F615" s="8">
        <v>19.7394</v>
      </c>
    </row>
    <row r="616" spans="1:6" ht="60" x14ac:dyDescent="0.25">
      <c r="A616" s="8" t="s">
        <v>5</v>
      </c>
      <c r="B616" s="8" t="s">
        <v>12</v>
      </c>
      <c r="C616" s="8" t="str">
        <f>IFERROR(_xlfn.XLOOKUP(TRIM(B616),Lookup!$B$2:$B$1000,Lookup!$C$2:$C$1000),"")</f>
        <v>Equity</v>
      </c>
      <c r="D616" s="8" t="s">
        <v>13</v>
      </c>
      <c r="E616" s="9">
        <v>46233</v>
      </c>
      <c r="F616" s="8">
        <v>19.788399999999999</v>
      </c>
    </row>
    <row r="617" spans="1:6" ht="60" x14ac:dyDescent="0.25">
      <c r="A617" s="8" t="s">
        <v>5</v>
      </c>
      <c r="B617" s="8" t="s">
        <v>12</v>
      </c>
      <c r="C617" s="8" t="str">
        <f>IFERROR(_xlfn.XLOOKUP(TRIM(B617),Lookup!$B$2:$B$1000,Lookup!$C$2:$C$1000),"")</f>
        <v>Equity</v>
      </c>
      <c r="D617" s="8" t="s">
        <v>13</v>
      </c>
      <c r="E617" s="9">
        <v>46234</v>
      </c>
      <c r="F617" s="8">
        <v>19.852699999999999</v>
      </c>
    </row>
    <row r="618" spans="1:6" ht="60" x14ac:dyDescent="0.25">
      <c r="A618" s="8" t="s">
        <v>5</v>
      </c>
      <c r="B618" s="8" t="s">
        <v>14</v>
      </c>
      <c r="C618" s="8" t="str">
        <f>IFERROR(_xlfn.XLOOKUP(TRIM(B618),Lookup!$B$2:$B$1000,Lookup!$C$2:$C$1000),"")</f>
        <v>Equity</v>
      </c>
      <c r="D618" s="8" t="s">
        <v>15</v>
      </c>
      <c r="E618" s="9">
        <v>45869</v>
      </c>
      <c r="F618" s="8">
        <v>10.1638</v>
      </c>
    </row>
    <row r="619" spans="1:6" ht="60" x14ac:dyDescent="0.25">
      <c r="A619" s="8" t="s">
        <v>5</v>
      </c>
      <c r="B619" s="8" t="s">
        <v>14</v>
      </c>
      <c r="C619" s="8" t="str">
        <f>IFERROR(_xlfn.XLOOKUP(TRIM(B619),Lookup!$B$2:$B$1000,Lookup!$C$2:$C$1000),"")</f>
        <v>Equity</v>
      </c>
      <c r="D619" s="8" t="s">
        <v>15</v>
      </c>
      <c r="E619" s="9">
        <v>45876</v>
      </c>
      <c r="F619" s="8">
        <v>10.1991</v>
      </c>
    </row>
    <row r="620" spans="1:6" ht="60" x14ac:dyDescent="0.25">
      <c r="A620" s="8" t="s">
        <v>5</v>
      </c>
      <c r="B620" s="8" t="s">
        <v>14</v>
      </c>
      <c r="C620" s="8" t="str">
        <f>IFERROR(_xlfn.XLOOKUP(TRIM(B620),Lookup!$B$2:$B$1000,Lookup!$C$2:$C$1000),"")</f>
        <v>Equity</v>
      </c>
      <c r="D620" s="8" t="s">
        <v>15</v>
      </c>
      <c r="E620" s="9">
        <v>45883</v>
      </c>
      <c r="F620" s="8">
        <v>10.253</v>
      </c>
    </row>
    <row r="621" spans="1:6" ht="60" x14ac:dyDescent="0.25">
      <c r="A621" s="8" t="s">
        <v>5</v>
      </c>
      <c r="B621" s="8" t="s">
        <v>14</v>
      </c>
      <c r="C621" s="8" t="str">
        <f>IFERROR(_xlfn.XLOOKUP(TRIM(B621),Lookup!$B$2:$B$1000,Lookup!$C$2:$C$1000),"")</f>
        <v>Equity</v>
      </c>
      <c r="D621" s="8" t="s">
        <v>15</v>
      </c>
      <c r="E621" s="9">
        <v>45891</v>
      </c>
      <c r="F621" s="8">
        <v>10.5578</v>
      </c>
    </row>
    <row r="622" spans="1:6" ht="60" x14ac:dyDescent="0.25">
      <c r="A622" s="8" t="s">
        <v>5</v>
      </c>
      <c r="B622" s="8" t="s">
        <v>14</v>
      </c>
      <c r="C622" s="8" t="str">
        <f>IFERROR(_xlfn.XLOOKUP(TRIM(B622),Lookup!$B$2:$B$1000,Lookup!$C$2:$C$1000),"")</f>
        <v>Equity</v>
      </c>
      <c r="D622" s="8" t="s">
        <v>15</v>
      </c>
      <c r="E622" s="9">
        <v>45901</v>
      </c>
      <c r="F622" s="8">
        <v>10.561</v>
      </c>
    </row>
    <row r="623" spans="1:6" ht="60" x14ac:dyDescent="0.25">
      <c r="A623" s="8" t="s">
        <v>5</v>
      </c>
      <c r="B623" s="8" t="s">
        <v>14</v>
      </c>
      <c r="C623" s="8" t="str">
        <f>IFERROR(_xlfn.XLOOKUP(TRIM(B623),Lookup!$B$2:$B$1000,Lookup!$C$2:$C$1000),"")</f>
        <v>Equity</v>
      </c>
      <c r="D623" s="8" t="s">
        <v>15</v>
      </c>
      <c r="E623" s="9">
        <v>45908</v>
      </c>
      <c r="F623" s="8">
        <v>10.7631</v>
      </c>
    </row>
    <row r="624" spans="1:6" ht="60" x14ac:dyDescent="0.25">
      <c r="A624" s="8" t="s">
        <v>5</v>
      </c>
      <c r="B624" s="8" t="s">
        <v>14</v>
      </c>
      <c r="C624" s="8" t="str">
        <f>IFERROR(_xlfn.XLOOKUP(TRIM(B624),Lookup!$B$2:$B$1000,Lookup!$C$2:$C$1000),"")</f>
        <v>Equity</v>
      </c>
      <c r="D624" s="8" t="s">
        <v>15</v>
      </c>
      <c r="E624" s="9">
        <v>45915</v>
      </c>
      <c r="F624" s="8">
        <v>10.6829</v>
      </c>
    </row>
    <row r="625" spans="1:6" ht="60" x14ac:dyDescent="0.25">
      <c r="A625" s="8" t="s">
        <v>5</v>
      </c>
      <c r="B625" s="8" t="s">
        <v>14</v>
      </c>
      <c r="C625" s="8" t="str">
        <f>IFERROR(_xlfn.XLOOKUP(TRIM(B625),Lookup!$B$2:$B$1000,Lookup!$C$2:$C$1000),"")</f>
        <v>Equity</v>
      </c>
      <c r="D625" s="8" t="s">
        <v>15</v>
      </c>
      <c r="E625" s="9">
        <v>45922</v>
      </c>
      <c r="F625" s="8">
        <v>10.7515</v>
      </c>
    </row>
    <row r="626" spans="1:6" ht="60" x14ac:dyDescent="0.25">
      <c r="A626" s="8" t="s">
        <v>5</v>
      </c>
      <c r="B626" s="8" t="s">
        <v>14</v>
      </c>
      <c r="C626" s="8" t="str">
        <f>IFERROR(_xlfn.XLOOKUP(TRIM(B626),Lookup!$B$2:$B$1000,Lookup!$C$2:$C$1000),"")</f>
        <v>Equity</v>
      </c>
      <c r="D626" s="8" t="s">
        <v>15</v>
      </c>
      <c r="E626" s="9">
        <v>45929</v>
      </c>
      <c r="F626" s="8">
        <v>10.444000000000001</v>
      </c>
    </row>
    <row r="627" spans="1:6" ht="60" x14ac:dyDescent="0.25">
      <c r="A627" s="8" t="s">
        <v>5</v>
      </c>
      <c r="B627" s="8" t="s">
        <v>14</v>
      </c>
      <c r="C627" s="8" t="str">
        <f>IFERROR(_xlfn.XLOOKUP(TRIM(B627),Lookup!$B$2:$B$1000,Lookup!$C$2:$C$1000),"")</f>
        <v>Equity</v>
      </c>
      <c r="D627" s="8" t="s">
        <v>15</v>
      </c>
      <c r="E627" s="9">
        <v>45937</v>
      </c>
      <c r="F627" s="8">
        <v>10.5534</v>
      </c>
    </row>
    <row r="628" spans="1:6" ht="60" x14ac:dyDescent="0.25">
      <c r="A628" s="8" t="s">
        <v>5</v>
      </c>
      <c r="B628" s="8" t="s">
        <v>14</v>
      </c>
      <c r="C628" s="8" t="str">
        <f>IFERROR(_xlfn.XLOOKUP(TRIM(B628),Lookup!$B$2:$B$1000,Lookup!$C$2:$C$1000),"")</f>
        <v>Equity</v>
      </c>
      <c r="D628" s="8" t="s">
        <v>15</v>
      </c>
      <c r="E628" s="9">
        <v>45944</v>
      </c>
      <c r="F628" s="8">
        <v>10.571199999999999</v>
      </c>
    </row>
    <row r="629" spans="1:6" ht="60" x14ac:dyDescent="0.25">
      <c r="A629" s="8" t="s">
        <v>5</v>
      </c>
      <c r="B629" s="8" t="s">
        <v>14</v>
      </c>
      <c r="C629" s="8" t="str">
        <f>IFERROR(_xlfn.XLOOKUP(TRIM(B629),Lookup!$B$2:$B$1000,Lookup!$C$2:$C$1000),"")</f>
        <v>Equity</v>
      </c>
      <c r="D629" s="8" t="s">
        <v>15</v>
      </c>
      <c r="E629" s="9">
        <v>45953</v>
      </c>
      <c r="F629" s="8">
        <v>10.8307</v>
      </c>
    </row>
    <row r="630" spans="1:6" ht="60" x14ac:dyDescent="0.25">
      <c r="A630" s="8" t="s">
        <v>5</v>
      </c>
      <c r="B630" s="8" t="s">
        <v>14</v>
      </c>
      <c r="C630" s="8" t="str">
        <f>IFERROR(_xlfn.XLOOKUP(TRIM(B630),Lookup!$B$2:$B$1000,Lookup!$C$2:$C$1000),"")</f>
        <v>Equity</v>
      </c>
      <c r="D630" s="8" t="s">
        <v>15</v>
      </c>
      <c r="E630" s="9">
        <v>45960</v>
      </c>
      <c r="F630" s="8">
        <v>10.77</v>
      </c>
    </row>
    <row r="631" spans="1:6" ht="60" x14ac:dyDescent="0.25">
      <c r="A631" s="8" t="s">
        <v>5</v>
      </c>
      <c r="B631" s="8" t="s">
        <v>14</v>
      </c>
      <c r="C631" s="8" t="str">
        <f>IFERROR(_xlfn.XLOOKUP(TRIM(B631),Lookup!$B$2:$B$1000,Lookup!$C$2:$C$1000),"")</f>
        <v>Equity</v>
      </c>
      <c r="D631" s="8" t="s">
        <v>15</v>
      </c>
      <c r="E631" s="9">
        <v>45968</v>
      </c>
      <c r="F631" s="8">
        <v>10.575200000000001</v>
      </c>
    </row>
    <row r="632" spans="1:6" ht="60" x14ac:dyDescent="0.25">
      <c r="A632" s="8" t="s">
        <v>5</v>
      </c>
      <c r="B632" s="8" t="s">
        <v>14</v>
      </c>
      <c r="C632" s="8" t="str">
        <f>IFERROR(_xlfn.XLOOKUP(TRIM(B632),Lookup!$B$2:$B$1000,Lookup!$C$2:$C$1000),"")</f>
        <v>Equity</v>
      </c>
      <c r="D632" s="8" t="s">
        <v>15</v>
      </c>
      <c r="E632" s="9">
        <v>45975</v>
      </c>
      <c r="F632" s="8">
        <v>10.6854</v>
      </c>
    </row>
    <row r="633" spans="1:6" ht="60" x14ac:dyDescent="0.25">
      <c r="A633" s="8" t="s">
        <v>5</v>
      </c>
      <c r="B633" s="8" t="s">
        <v>14</v>
      </c>
      <c r="C633" s="8" t="str">
        <f>IFERROR(_xlfn.XLOOKUP(TRIM(B633),Lookup!$B$2:$B$1000,Lookup!$C$2:$C$1000),"")</f>
        <v>Equity</v>
      </c>
      <c r="D633" s="8" t="s">
        <v>15</v>
      </c>
      <c r="E633" s="9">
        <v>45982</v>
      </c>
      <c r="F633" s="8">
        <v>10.7843</v>
      </c>
    </row>
    <row r="634" spans="1:6" ht="60" x14ac:dyDescent="0.25">
      <c r="A634" s="8" t="s">
        <v>5</v>
      </c>
      <c r="B634" s="8" t="s">
        <v>14</v>
      </c>
      <c r="C634" s="8" t="str">
        <f>IFERROR(_xlfn.XLOOKUP(TRIM(B634),Lookup!$B$2:$B$1000,Lookup!$C$2:$C$1000),"")</f>
        <v>Equity</v>
      </c>
      <c r="D634" s="8" t="s">
        <v>15</v>
      </c>
      <c r="E634" s="9">
        <v>45989</v>
      </c>
      <c r="F634" s="8">
        <v>10.7676</v>
      </c>
    </row>
    <row r="635" spans="1:6" ht="60" x14ac:dyDescent="0.25">
      <c r="A635" s="8" t="s">
        <v>5</v>
      </c>
      <c r="B635" s="8" t="s">
        <v>14</v>
      </c>
      <c r="C635" s="8" t="str">
        <f>IFERROR(_xlfn.XLOOKUP(TRIM(B635),Lookup!$B$2:$B$1000,Lookup!$C$2:$C$1000),"")</f>
        <v>Equity</v>
      </c>
      <c r="D635" s="8" t="s">
        <v>15</v>
      </c>
      <c r="E635" s="9">
        <v>45996</v>
      </c>
      <c r="F635" s="8">
        <v>10.672700000000001</v>
      </c>
    </row>
    <row r="636" spans="1:6" ht="60" x14ac:dyDescent="0.25">
      <c r="A636" s="8" t="s">
        <v>5</v>
      </c>
      <c r="B636" s="8" t="s">
        <v>14</v>
      </c>
      <c r="C636" s="8" t="str">
        <f>IFERROR(_xlfn.XLOOKUP(TRIM(B636),Lookup!$B$2:$B$1000,Lookup!$C$2:$C$1000),"")</f>
        <v>Equity</v>
      </c>
      <c r="D636" s="8" t="s">
        <v>15</v>
      </c>
      <c r="E636" s="9">
        <v>46003</v>
      </c>
      <c r="F636" s="8">
        <v>10.5305</v>
      </c>
    </row>
    <row r="637" spans="1:6" ht="60" x14ac:dyDescent="0.25">
      <c r="A637" s="8" t="s">
        <v>5</v>
      </c>
      <c r="B637" s="8" t="s">
        <v>14</v>
      </c>
      <c r="C637" s="8" t="str">
        <f>IFERROR(_xlfn.XLOOKUP(TRIM(B637),Lookup!$B$2:$B$1000,Lookup!$C$2:$C$1000),"")</f>
        <v>Equity</v>
      </c>
      <c r="D637" s="8" t="s">
        <v>15</v>
      </c>
      <c r="E637" s="9">
        <v>46010</v>
      </c>
      <c r="F637" s="8">
        <v>10.533899999999999</v>
      </c>
    </row>
    <row r="638" spans="1:6" ht="60" x14ac:dyDescent="0.25">
      <c r="A638" s="8" t="s">
        <v>5</v>
      </c>
      <c r="B638" s="8" t="s">
        <v>14</v>
      </c>
      <c r="C638" s="8" t="str">
        <f>IFERROR(_xlfn.XLOOKUP(TRIM(B638),Lookup!$B$2:$B$1000,Lookup!$C$2:$C$1000),"")</f>
        <v>Equity</v>
      </c>
      <c r="D638" s="8" t="s">
        <v>15</v>
      </c>
      <c r="E638" s="9">
        <v>46020</v>
      </c>
      <c r="F638" s="8">
        <v>10.525499999999999</v>
      </c>
    </row>
    <row r="639" spans="1:6" ht="60" x14ac:dyDescent="0.25">
      <c r="A639" s="8" t="s">
        <v>5</v>
      </c>
      <c r="B639" s="8" t="s">
        <v>14</v>
      </c>
      <c r="C639" s="8" t="str">
        <f>IFERROR(_xlfn.XLOOKUP(TRIM(B639),Lookup!$B$2:$B$1000,Lookup!$C$2:$C$1000),"")</f>
        <v>Equity</v>
      </c>
      <c r="D639" s="8" t="s">
        <v>15</v>
      </c>
      <c r="E639" s="9">
        <v>46027</v>
      </c>
      <c r="F639" s="8">
        <v>10.597</v>
      </c>
    </row>
    <row r="640" spans="1:6" ht="60" x14ac:dyDescent="0.25">
      <c r="A640" s="8" t="s">
        <v>5</v>
      </c>
      <c r="B640" s="8" t="s">
        <v>14</v>
      </c>
      <c r="C640" s="8" t="str">
        <f>IFERROR(_xlfn.XLOOKUP(TRIM(B640),Lookup!$B$2:$B$1000,Lookup!$C$2:$C$1000),"")</f>
        <v>Equity</v>
      </c>
      <c r="D640" s="8" t="s">
        <v>15</v>
      </c>
      <c r="E640" s="9">
        <v>46034</v>
      </c>
      <c r="F640" s="8">
        <v>10.414</v>
      </c>
    </row>
    <row r="641" spans="1:6" ht="60" x14ac:dyDescent="0.25">
      <c r="A641" s="8" t="s">
        <v>5</v>
      </c>
      <c r="B641" s="8" t="s">
        <v>14</v>
      </c>
      <c r="C641" s="8" t="str">
        <f>IFERROR(_xlfn.XLOOKUP(TRIM(B641),Lookup!$B$2:$B$1000,Lookup!$C$2:$C$1000),"")</f>
        <v>Equity</v>
      </c>
      <c r="D641" s="8" t="s">
        <v>15</v>
      </c>
      <c r="E641" s="9">
        <v>46042</v>
      </c>
      <c r="F641" s="8">
        <v>10.056699999999999</v>
      </c>
    </row>
    <row r="642" spans="1:6" ht="60" x14ac:dyDescent="0.25">
      <c r="A642" s="8" t="s">
        <v>5</v>
      </c>
      <c r="B642" s="8" t="s">
        <v>14</v>
      </c>
      <c r="C642" s="8" t="str">
        <f>IFERROR(_xlfn.XLOOKUP(TRIM(B642),Lookup!$B$2:$B$1000,Lookup!$C$2:$C$1000),"")</f>
        <v>Equity</v>
      </c>
      <c r="D642" s="8" t="s">
        <v>15</v>
      </c>
      <c r="E642" s="9">
        <v>46050</v>
      </c>
      <c r="F642" s="8">
        <v>9.8818000000000001</v>
      </c>
    </row>
    <row r="643" spans="1:6" ht="60" x14ac:dyDescent="0.25">
      <c r="A643" s="8" t="s">
        <v>5</v>
      </c>
      <c r="B643" s="8" t="s">
        <v>14</v>
      </c>
      <c r="C643" s="8" t="str">
        <f>IFERROR(_xlfn.XLOOKUP(TRIM(B643),Lookup!$B$2:$B$1000,Lookup!$C$2:$C$1000),"")</f>
        <v>Equity</v>
      </c>
      <c r="D643" s="8" t="s">
        <v>15</v>
      </c>
      <c r="E643" s="9">
        <v>46056</v>
      </c>
      <c r="F643" s="8">
        <v>10.0268</v>
      </c>
    </row>
    <row r="644" spans="1:6" ht="60" x14ac:dyDescent="0.25">
      <c r="A644" s="8" t="s">
        <v>5</v>
      </c>
      <c r="B644" s="8" t="s">
        <v>14</v>
      </c>
      <c r="C644" s="8" t="str">
        <f>IFERROR(_xlfn.XLOOKUP(TRIM(B644),Lookup!$B$2:$B$1000,Lookup!$C$2:$C$1000),"")</f>
        <v>Equity</v>
      </c>
      <c r="D644" s="8" t="s">
        <v>15</v>
      </c>
      <c r="E644" s="9">
        <v>46063</v>
      </c>
      <c r="F644" s="8">
        <v>10.314399999999999</v>
      </c>
    </row>
    <row r="645" spans="1:6" ht="60" x14ac:dyDescent="0.25">
      <c r="A645" s="8" t="s">
        <v>5</v>
      </c>
      <c r="B645" s="8" t="s">
        <v>14</v>
      </c>
      <c r="C645" s="8" t="str">
        <f>IFERROR(_xlfn.XLOOKUP(TRIM(B645),Lookup!$B$2:$B$1000,Lookup!$C$2:$C$1000),"")</f>
        <v>Equity</v>
      </c>
      <c r="D645" s="8" t="s">
        <v>15</v>
      </c>
      <c r="E645" s="9">
        <v>46070</v>
      </c>
      <c r="F645" s="8">
        <v>10.2447</v>
      </c>
    </row>
    <row r="646" spans="1:6" ht="60" x14ac:dyDescent="0.25">
      <c r="A646" s="8" t="s">
        <v>5</v>
      </c>
      <c r="B646" s="8" t="s">
        <v>14</v>
      </c>
      <c r="C646" s="8" t="str">
        <f>IFERROR(_xlfn.XLOOKUP(TRIM(B646),Lookup!$B$2:$B$1000,Lookup!$C$2:$C$1000),"")</f>
        <v>Equity</v>
      </c>
      <c r="D646" s="8" t="s">
        <v>15</v>
      </c>
      <c r="E646" s="9">
        <v>46077</v>
      </c>
      <c r="F646" s="8">
        <v>10.0745</v>
      </c>
    </row>
    <row r="647" spans="1:6" ht="60" x14ac:dyDescent="0.25">
      <c r="A647" s="8" t="s">
        <v>5</v>
      </c>
      <c r="B647" s="8" t="s">
        <v>14</v>
      </c>
      <c r="C647" s="8" t="str">
        <f>IFERROR(_xlfn.XLOOKUP(TRIM(B647),Lookup!$B$2:$B$1000,Lookup!$C$2:$C$1000),"")</f>
        <v>Equity</v>
      </c>
      <c r="D647" s="8" t="s">
        <v>15</v>
      </c>
      <c r="E647" s="9">
        <v>46085</v>
      </c>
      <c r="F647" s="8">
        <v>9.6755999999999993</v>
      </c>
    </row>
    <row r="648" spans="1:6" ht="60" x14ac:dyDescent="0.25">
      <c r="A648" s="8" t="s">
        <v>5</v>
      </c>
      <c r="B648" s="8" t="s">
        <v>14</v>
      </c>
      <c r="C648" s="8" t="str">
        <f>IFERROR(_xlfn.XLOOKUP(TRIM(B648),Lookup!$B$2:$B$1000,Lookup!$C$2:$C$1000),"")</f>
        <v>Equity</v>
      </c>
      <c r="D648" s="8" t="s">
        <v>15</v>
      </c>
      <c r="E648" s="9">
        <v>46092</v>
      </c>
      <c r="F648" s="8">
        <v>9.4281000000000006</v>
      </c>
    </row>
    <row r="649" spans="1:6" ht="60" x14ac:dyDescent="0.25">
      <c r="A649" s="8" t="s">
        <v>5</v>
      </c>
      <c r="B649" s="8" t="s">
        <v>14</v>
      </c>
      <c r="C649" s="8" t="str">
        <f>IFERROR(_xlfn.XLOOKUP(TRIM(B649),Lookup!$B$2:$B$1000,Lookup!$C$2:$C$1000),"")</f>
        <v>Equity</v>
      </c>
      <c r="D649" s="8" t="s">
        <v>15</v>
      </c>
      <c r="E649" s="9">
        <v>46099</v>
      </c>
      <c r="F649" s="8">
        <v>9.4116999999999997</v>
      </c>
    </row>
    <row r="650" spans="1:6" ht="60" x14ac:dyDescent="0.25">
      <c r="A650" s="8" t="s">
        <v>5</v>
      </c>
      <c r="B650" s="8" t="s">
        <v>14</v>
      </c>
      <c r="C650" s="8" t="str">
        <f>IFERROR(_xlfn.XLOOKUP(TRIM(B650),Lookup!$B$2:$B$1000,Lookup!$C$2:$C$1000),"")</f>
        <v>Equity</v>
      </c>
      <c r="D650" s="8" t="s">
        <v>15</v>
      </c>
      <c r="E650" s="9">
        <v>46106</v>
      </c>
      <c r="F650" s="8">
        <v>9.2614999999999998</v>
      </c>
    </row>
    <row r="651" spans="1:6" ht="60" x14ac:dyDescent="0.25">
      <c r="A651" s="8" t="s">
        <v>5</v>
      </c>
      <c r="B651" s="8" t="s">
        <v>14</v>
      </c>
      <c r="C651" s="8" t="str">
        <f>IFERROR(_xlfn.XLOOKUP(TRIM(B651),Lookup!$B$2:$B$1000,Lookup!$C$2:$C$1000),"")</f>
        <v>Equity</v>
      </c>
      <c r="D651" s="8" t="s">
        <v>15</v>
      </c>
      <c r="E651" s="9">
        <v>46114</v>
      </c>
      <c r="F651" s="8">
        <v>9.0495000000000001</v>
      </c>
    </row>
    <row r="652" spans="1:6" ht="60" x14ac:dyDescent="0.25">
      <c r="A652" s="8" t="s">
        <v>5</v>
      </c>
      <c r="B652" s="8" t="s">
        <v>14</v>
      </c>
      <c r="C652" s="8" t="str">
        <f>IFERROR(_xlfn.XLOOKUP(TRIM(B652),Lookup!$B$2:$B$1000,Lookup!$C$2:$C$1000),"")</f>
        <v>Equity</v>
      </c>
      <c r="D652" s="8" t="s">
        <v>15</v>
      </c>
      <c r="E652" s="9">
        <v>46122</v>
      </c>
      <c r="F652" s="8">
        <v>9.6463000000000001</v>
      </c>
    </row>
    <row r="653" spans="1:6" ht="60" x14ac:dyDescent="0.25">
      <c r="A653" s="8" t="s">
        <v>5</v>
      </c>
      <c r="B653" s="8" t="s">
        <v>14</v>
      </c>
      <c r="C653" s="8" t="str">
        <f>IFERROR(_xlfn.XLOOKUP(TRIM(B653),Lookup!$B$2:$B$1000,Lookup!$C$2:$C$1000),"")</f>
        <v>Equity</v>
      </c>
      <c r="D653" s="8" t="s">
        <v>15</v>
      </c>
      <c r="E653" s="9">
        <v>46132</v>
      </c>
      <c r="F653" s="8">
        <v>9.7950999999999997</v>
      </c>
    </row>
    <row r="654" spans="1:6" ht="60" x14ac:dyDescent="0.25">
      <c r="A654" s="8" t="s">
        <v>5</v>
      </c>
      <c r="B654" s="8" t="s">
        <v>14</v>
      </c>
      <c r="C654" s="8" t="str">
        <f>IFERROR(_xlfn.XLOOKUP(TRIM(B654),Lookup!$B$2:$B$1000,Lookup!$C$2:$C$1000),"")</f>
        <v>Equity</v>
      </c>
      <c r="D654" s="8" t="s">
        <v>15</v>
      </c>
      <c r="E654" s="9">
        <v>46139</v>
      </c>
      <c r="F654" s="8">
        <v>9.7779000000000007</v>
      </c>
    </row>
    <row r="655" spans="1:6" ht="60" x14ac:dyDescent="0.25">
      <c r="A655" s="8" t="s">
        <v>5</v>
      </c>
      <c r="B655" s="8" t="s">
        <v>14</v>
      </c>
      <c r="C655" s="8" t="str">
        <f>IFERROR(_xlfn.XLOOKUP(TRIM(B655),Lookup!$B$2:$B$1000,Lookup!$C$2:$C$1000),"")</f>
        <v>Equity</v>
      </c>
      <c r="D655" s="8" t="s">
        <v>15</v>
      </c>
      <c r="E655" s="9">
        <v>46147</v>
      </c>
      <c r="F655" s="8">
        <v>9.7811000000000003</v>
      </c>
    </row>
    <row r="656" spans="1:6" ht="60" x14ac:dyDescent="0.25">
      <c r="A656" s="8" t="s">
        <v>5</v>
      </c>
      <c r="B656" s="8" t="s">
        <v>14</v>
      </c>
      <c r="C656" s="8" t="str">
        <f>IFERROR(_xlfn.XLOOKUP(TRIM(B656),Lookup!$B$2:$B$1000,Lookup!$C$2:$C$1000),"")</f>
        <v>Equity</v>
      </c>
      <c r="D656" s="8" t="s">
        <v>15</v>
      </c>
      <c r="E656" s="9">
        <v>46154</v>
      </c>
      <c r="F656" s="8">
        <v>9.5639000000000003</v>
      </c>
    </row>
    <row r="657" spans="1:6" ht="60" x14ac:dyDescent="0.25">
      <c r="A657" s="8" t="s">
        <v>5</v>
      </c>
      <c r="B657" s="8" t="s">
        <v>14</v>
      </c>
      <c r="C657" s="8" t="str">
        <f>IFERROR(_xlfn.XLOOKUP(TRIM(B657),Lookup!$B$2:$B$1000,Lookup!$C$2:$C$1000),"")</f>
        <v>Equity</v>
      </c>
      <c r="D657" s="8" t="s">
        <v>15</v>
      </c>
      <c r="E657" s="9">
        <v>46161</v>
      </c>
      <c r="F657" s="8">
        <v>9.6704000000000008</v>
      </c>
    </row>
    <row r="658" spans="1:6" ht="60" x14ac:dyDescent="0.25">
      <c r="A658" s="8" t="s">
        <v>5</v>
      </c>
      <c r="B658" s="8" t="s">
        <v>14</v>
      </c>
      <c r="C658" s="8" t="str">
        <f>IFERROR(_xlfn.XLOOKUP(TRIM(B658),Lookup!$B$2:$B$1000,Lookup!$C$2:$C$1000),"")</f>
        <v>Equity</v>
      </c>
      <c r="D658" s="8" t="s">
        <v>15</v>
      </c>
      <c r="E658" s="9">
        <v>46168</v>
      </c>
      <c r="F658" s="8">
        <v>9.7332999999999998</v>
      </c>
    </row>
    <row r="659" spans="1:6" ht="60" x14ac:dyDescent="0.25">
      <c r="A659" s="8" t="s">
        <v>5</v>
      </c>
      <c r="B659" s="8" t="s">
        <v>14</v>
      </c>
      <c r="C659" s="8" t="str">
        <f>IFERROR(_xlfn.XLOOKUP(TRIM(B659),Lookup!$B$2:$B$1000,Lookup!$C$2:$C$1000),"")</f>
        <v>Equity</v>
      </c>
      <c r="D659" s="8" t="s">
        <v>15</v>
      </c>
      <c r="E659" s="9">
        <v>46176</v>
      </c>
      <c r="F659" s="8">
        <v>9.5254999999999992</v>
      </c>
    </row>
    <row r="660" spans="1:6" ht="60" x14ac:dyDescent="0.25">
      <c r="A660" s="8" t="s">
        <v>5</v>
      </c>
      <c r="B660" s="8" t="s">
        <v>14</v>
      </c>
      <c r="C660" s="8" t="str">
        <f>IFERROR(_xlfn.XLOOKUP(TRIM(B660),Lookup!$B$2:$B$1000,Lookup!$C$2:$C$1000),"")</f>
        <v>Equity</v>
      </c>
      <c r="D660" s="8" t="s">
        <v>15</v>
      </c>
      <c r="E660" s="9">
        <v>46183</v>
      </c>
      <c r="F660" s="8">
        <v>9.5085999999999995</v>
      </c>
    </row>
    <row r="661" spans="1:6" ht="60" x14ac:dyDescent="0.25">
      <c r="A661" s="8" t="s">
        <v>5</v>
      </c>
      <c r="B661" s="8" t="s">
        <v>14</v>
      </c>
      <c r="C661" s="8" t="str">
        <f>IFERROR(_xlfn.XLOOKUP(TRIM(B661),Lookup!$B$2:$B$1000,Lookup!$C$2:$C$1000),"")</f>
        <v>Equity</v>
      </c>
      <c r="D661" s="8" t="s">
        <v>15</v>
      </c>
      <c r="E661" s="9">
        <v>46190</v>
      </c>
      <c r="F661" s="8">
        <v>9.8879000000000001</v>
      </c>
    </row>
    <row r="662" spans="1:6" ht="60" x14ac:dyDescent="0.25">
      <c r="A662" s="8" t="s">
        <v>5</v>
      </c>
      <c r="B662" s="8" t="s">
        <v>14</v>
      </c>
      <c r="C662" s="8" t="str">
        <f>IFERROR(_xlfn.XLOOKUP(TRIM(B662),Lookup!$B$2:$B$1000,Lookup!$C$2:$C$1000),"")</f>
        <v>Equity</v>
      </c>
      <c r="D662" s="8" t="s">
        <v>15</v>
      </c>
      <c r="E662" s="9">
        <v>46197</v>
      </c>
      <c r="F662" s="8">
        <v>9.8763000000000005</v>
      </c>
    </row>
    <row r="663" spans="1:6" ht="60" x14ac:dyDescent="0.25">
      <c r="A663" s="8" t="s">
        <v>5</v>
      </c>
      <c r="B663" s="8" t="s">
        <v>14</v>
      </c>
      <c r="C663" s="8" t="str">
        <f>IFERROR(_xlfn.XLOOKUP(TRIM(B663),Lookup!$B$2:$B$1000,Lookup!$C$2:$C$1000),"")</f>
        <v>Equity</v>
      </c>
      <c r="D663" s="8" t="s">
        <v>15</v>
      </c>
      <c r="E663" s="9">
        <v>46205</v>
      </c>
      <c r="F663" s="8">
        <v>10.111000000000001</v>
      </c>
    </row>
    <row r="664" spans="1:6" ht="60" x14ac:dyDescent="0.25">
      <c r="A664" s="8" t="s">
        <v>5</v>
      </c>
      <c r="B664" s="8" t="s">
        <v>14</v>
      </c>
      <c r="C664" s="8" t="str">
        <f>IFERROR(_xlfn.XLOOKUP(TRIM(B664),Lookup!$B$2:$B$1000,Lookup!$C$2:$C$1000),"")</f>
        <v>Equity</v>
      </c>
      <c r="D664" s="8" t="s">
        <v>15</v>
      </c>
      <c r="E664" s="9">
        <v>46212</v>
      </c>
      <c r="F664" s="8">
        <v>10.058199999999999</v>
      </c>
    </row>
    <row r="665" spans="1:6" ht="60" x14ac:dyDescent="0.25">
      <c r="A665" s="8" t="s">
        <v>5</v>
      </c>
      <c r="B665" s="8" t="s">
        <v>14</v>
      </c>
      <c r="C665" s="8" t="str">
        <f>IFERROR(_xlfn.XLOOKUP(TRIM(B665),Lookup!$B$2:$B$1000,Lookup!$C$2:$C$1000),"")</f>
        <v>Equity</v>
      </c>
      <c r="D665" s="8" t="s">
        <v>15</v>
      </c>
      <c r="E665" s="9">
        <v>46219</v>
      </c>
      <c r="F665" s="8">
        <v>10.0321</v>
      </c>
    </row>
    <row r="666" spans="1:6" ht="60" x14ac:dyDescent="0.25">
      <c r="A666" s="8" t="s">
        <v>5</v>
      </c>
      <c r="B666" s="8" t="s">
        <v>14</v>
      </c>
      <c r="C666" s="8" t="str">
        <f>IFERROR(_xlfn.XLOOKUP(TRIM(B666),Lookup!$B$2:$B$1000,Lookup!$C$2:$C$1000),"")</f>
        <v>Equity</v>
      </c>
      <c r="D666" s="8" t="s">
        <v>15</v>
      </c>
      <c r="E666" s="9">
        <v>46226</v>
      </c>
      <c r="F666" s="8">
        <v>10.1279</v>
      </c>
    </row>
    <row r="667" spans="1:6" ht="60" x14ac:dyDescent="0.25">
      <c r="A667" s="8" t="s">
        <v>5</v>
      </c>
      <c r="B667" s="8" t="s">
        <v>14</v>
      </c>
      <c r="C667" s="8" t="str">
        <f>IFERROR(_xlfn.XLOOKUP(TRIM(B667),Lookup!$B$2:$B$1000,Lookup!$C$2:$C$1000),"")</f>
        <v>Equity</v>
      </c>
      <c r="D667" s="8" t="s">
        <v>15</v>
      </c>
      <c r="E667" s="9">
        <v>46233</v>
      </c>
      <c r="F667" s="8">
        <v>10.400499999999999</v>
      </c>
    </row>
    <row r="668" spans="1:6" ht="60" x14ac:dyDescent="0.25">
      <c r="A668" s="8" t="s">
        <v>5</v>
      </c>
      <c r="B668" s="8" t="s">
        <v>16</v>
      </c>
      <c r="C668" s="8" t="str">
        <f>IFERROR(_xlfn.XLOOKUP(TRIM(B668),Lookup!$B$2:$B$1000,Lookup!$C$2:$C$1000),"")</f>
        <v>Equity</v>
      </c>
      <c r="D668" s="8" t="s">
        <v>17</v>
      </c>
      <c r="E668" s="9">
        <v>45869</v>
      </c>
      <c r="F668" s="8">
        <v>23.560199999999998</v>
      </c>
    </row>
    <row r="669" spans="1:6" ht="60" x14ac:dyDescent="0.25">
      <c r="A669" s="8" t="s">
        <v>5</v>
      </c>
      <c r="B669" s="8" t="s">
        <v>16</v>
      </c>
      <c r="C669" s="8" t="str">
        <f>IFERROR(_xlfn.XLOOKUP(TRIM(B669),Lookup!$B$2:$B$1000,Lookup!$C$2:$C$1000),"")</f>
        <v>Equity</v>
      </c>
      <c r="D669" s="8" t="s">
        <v>17</v>
      </c>
      <c r="E669" s="9">
        <v>45876</v>
      </c>
      <c r="F669" s="8">
        <v>23.404699999999998</v>
      </c>
    </row>
    <row r="670" spans="1:6" ht="60" x14ac:dyDescent="0.25">
      <c r="A670" s="8" t="s">
        <v>5</v>
      </c>
      <c r="B670" s="8" t="s">
        <v>16</v>
      </c>
      <c r="C670" s="8" t="str">
        <f>IFERROR(_xlfn.XLOOKUP(TRIM(B670),Lookup!$B$2:$B$1000,Lookup!$C$2:$C$1000),"")</f>
        <v>Equity</v>
      </c>
      <c r="D670" s="8" t="s">
        <v>17</v>
      </c>
      <c r="E670" s="9">
        <v>45883</v>
      </c>
      <c r="F670" s="8">
        <v>23.452500000000001</v>
      </c>
    </row>
    <row r="671" spans="1:6" ht="60" x14ac:dyDescent="0.25">
      <c r="A671" s="8" t="s">
        <v>5</v>
      </c>
      <c r="B671" s="8" t="s">
        <v>16</v>
      </c>
      <c r="C671" s="8" t="str">
        <f>IFERROR(_xlfn.XLOOKUP(TRIM(B671),Lookup!$B$2:$B$1000,Lookup!$C$2:$C$1000),"")</f>
        <v>Equity</v>
      </c>
      <c r="D671" s="8" t="s">
        <v>17</v>
      </c>
      <c r="E671" s="9">
        <v>45891</v>
      </c>
      <c r="F671" s="8">
        <v>23.771599999999999</v>
      </c>
    </row>
    <row r="672" spans="1:6" ht="60" x14ac:dyDescent="0.25">
      <c r="A672" s="8" t="s">
        <v>5</v>
      </c>
      <c r="B672" s="8" t="s">
        <v>16</v>
      </c>
      <c r="C672" s="8" t="str">
        <f>IFERROR(_xlfn.XLOOKUP(TRIM(B672),Lookup!$B$2:$B$1000,Lookup!$C$2:$C$1000),"")</f>
        <v>Equity</v>
      </c>
      <c r="D672" s="8" t="s">
        <v>17</v>
      </c>
      <c r="E672" s="9">
        <v>45901</v>
      </c>
      <c r="F672" s="8">
        <v>23.499099999999999</v>
      </c>
    </row>
    <row r="673" spans="1:6" ht="60" x14ac:dyDescent="0.25">
      <c r="A673" s="8" t="s">
        <v>5</v>
      </c>
      <c r="B673" s="8" t="s">
        <v>16</v>
      </c>
      <c r="C673" s="8" t="str">
        <f>IFERROR(_xlfn.XLOOKUP(TRIM(B673),Lookup!$B$2:$B$1000,Lookup!$C$2:$C$1000),"")</f>
        <v>Equity</v>
      </c>
      <c r="D673" s="8" t="s">
        <v>17</v>
      </c>
      <c r="E673" s="9">
        <v>45908</v>
      </c>
      <c r="F673" s="8">
        <v>23.7163</v>
      </c>
    </row>
    <row r="674" spans="1:6" ht="60" x14ac:dyDescent="0.25">
      <c r="A674" s="8" t="s">
        <v>5</v>
      </c>
      <c r="B674" s="8" t="s">
        <v>16</v>
      </c>
      <c r="C674" s="8" t="str">
        <f>IFERROR(_xlfn.XLOOKUP(TRIM(B674),Lookup!$B$2:$B$1000,Lookup!$C$2:$C$1000),"")</f>
        <v>Equity</v>
      </c>
      <c r="D674" s="8" t="s">
        <v>17</v>
      </c>
      <c r="E674" s="9">
        <v>45915</v>
      </c>
      <c r="F674" s="8">
        <v>24.018699999999999</v>
      </c>
    </row>
    <row r="675" spans="1:6" ht="60" x14ac:dyDescent="0.25">
      <c r="A675" s="8" t="s">
        <v>5</v>
      </c>
      <c r="B675" s="8" t="s">
        <v>16</v>
      </c>
      <c r="C675" s="8" t="str">
        <f>IFERROR(_xlfn.XLOOKUP(TRIM(B675),Lookup!$B$2:$B$1000,Lookup!$C$2:$C$1000),"")</f>
        <v>Equity</v>
      </c>
      <c r="D675" s="8" t="s">
        <v>17</v>
      </c>
      <c r="E675" s="9">
        <v>45922</v>
      </c>
      <c r="F675" s="8">
        <v>24.197099999999999</v>
      </c>
    </row>
    <row r="676" spans="1:6" ht="60" x14ac:dyDescent="0.25">
      <c r="A676" s="8" t="s">
        <v>5</v>
      </c>
      <c r="B676" s="8" t="s">
        <v>16</v>
      </c>
      <c r="C676" s="8" t="str">
        <f>IFERROR(_xlfn.XLOOKUP(TRIM(B676),Lookup!$B$2:$B$1000,Lookup!$C$2:$C$1000),"")</f>
        <v>Equity</v>
      </c>
      <c r="D676" s="8" t="s">
        <v>17</v>
      </c>
      <c r="E676" s="9">
        <v>45929</v>
      </c>
      <c r="F676" s="8">
        <v>23.598400000000002</v>
      </c>
    </row>
    <row r="677" spans="1:6" ht="60" x14ac:dyDescent="0.25">
      <c r="A677" s="8" t="s">
        <v>5</v>
      </c>
      <c r="B677" s="8" t="s">
        <v>16</v>
      </c>
      <c r="C677" s="8" t="str">
        <f>IFERROR(_xlfn.XLOOKUP(TRIM(B677),Lookup!$B$2:$B$1000,Lookup!$C$2:$C$1000),"")</f>
        <v>Equity</v>
      </c>
      <c r="D677" s="8" t="s">
        <v>17</v>
      </c>
      <c r="E677" s="9">
        <v>45937</v>
      </c>
      <c r="F677" s="8">
        <v>24.067900000000002</v>
      </c>
    </row>
    <row r="678" spans="1:6" ht="60" x14ac:dyDescent="0.25">
      <c r="A678" s="8" t="s">
        <v>5</v>
      </c>
      <c r="B678" s="8" t="s">
        <v>16</v>
      </c>
      <c r="C678" s="8" t="str">
        <f>IFERROR(_xlfn.XLOOKUP(TRIM(B678),Lookup!$B$2:$B$1000,Lookup!$C$2:$C$1000),"")</f>
        <v>Equity</v>
      </c>
      <c r="D678" s="8" t="s">
        <v>17</v>
      </c>
      <c r="E678" s="9">
        <v>45944</v>
      </c>
      <c r="F678" s="8">
        <v>24.031400000000001</v>
      </c>
    </row>
    <row r="679" spans="1:6" ht="60" x14ac:dyDescent="0.25">
      <c r="A679" s="8" t="s">
        <v>5</v>
      </c>
      <c r="B679" s="8" t="s">
        <v>16</v>
      </c>
      <c r="C679" s="8" t="str">
        <f>IFERROR(_xlfn.XLOOKUP(TRIM(B679),Lookup!$B$2:$B$1000,Lookup!$C$2:$C$1000),"")</f>
        <v>Equity</v>
      </c>
      <c r="D679" s="8" t="s">
        <v>17</v>
      </c>
      <c r="E679" s="9">
        <v>45953</v>
      </c>
      <c r="F679" s="8">
        <v>24.748200000000001</v>
      </c>
    </row>
    <row r="680" spans="1:6" ht="60" x14ac:dyDescent="0.25">
      <c r="A680" s="8" t="s">
        <v>5</v>
      </c>
      <c r="B680" s="8" t="s">
        <v>16</v>
      </c>
      <c r="C680" s="8" t="str">
        <f>IFERROR(_xlfn.XLOOKUP(TRIM(B680),Lookup!$B$2:$B$1000,Lookup!$C$2:$C$1000),"")</f>
        <v>Equity</v>
      </c>
      <c r="D680" s="8" t="s">
        <v>17</v>
      </c>
      <c r="E680" s="9">
        <v>45960</v>
      </c>
      <c r="F680" s="8">
        <v>24.792300000000001</v>
      </c>
    </row>
    <row r="681" spans="1:6" ht="60" x14ac:dyDescent="0.25">
      <c r="A681" s="8" t="s">
        <v>5</v>
      </c>
      <c r="B681" s="8" t="s">
        <v>16</v>
      </c>
      <c r="C681" s="8" t="str">
        <f>IFERROR(_xlfn.XLOOKUP(TRIM(B681),Lookup!$B$2:$B$1000,Lookup!$C$2:$C$1000),"")</f>
        <v>Equity</v>
      </c>
      <c r="D681" s="8" t="s">
        <v>17</v>
      </c>
      <c r="E681" s="9">
        <v>45968</v>
      </c>
      <c r="F681" s="8">
        <v>24.4907</v>
      </c>
    </row>
    <row r="682" spans="1:6" ht="60" x14ac:dyDescent="0.25">
      <c r="A682" s="8" t="s">
        <v>5</v>
      </c>
      <c r="B682" s="8" t="s">
        <v>16</v>
      </c>
      <c r="C682" s="8" t="str">
        <f>IFERROR(_xlfn.XLOOKUP(TRIM(B682),Lookup!$B$2:$B$1000,Lookup!$C$2:$C$1000),"")</f>
        <v>Equity</v>
      </c>
      <c r="D682" s="8" t="s">
        <v>17</v>
      </c>
      <c r="E682" s="9">
        <v>45975</v>
      </c>
      <c r="F682" s="8">
        <v>24.861499999999999</v>
      </c>
    </row>
    <row r="683" spans="1:6" ht="60" x14ac:dyDescent="0.25">
      <c r="A683" s="8" t="s">
        <v>5</v>
      </c>
      <c r="B683" s="8" t="s">
        <v>16</v>
      </c>
      <c r="C683" s="8" t="str">
        <f>IFERROR(_xlfn.XLOOKUP(TRIM(B683),Lookup!$B$2:$B$1000,Lookup!$C$2:$C$1000),"")</f>
        <v>Equity</v>
      </c>
      <c r="D683" s="8" t="s">
        <v>17</v>
      </c>
      <c r="E683" s="9">
        <v>45982</v>
      </c>
      <c r="F683" s="8">
        <v>24.908300000000001</v>
      </c>
    </row>
    <row r="684" spans="1:6" ht="60" x14ac:dyDescent="0.25">
      <c r="A684" s="8" t="s">
        <v>5</v>
      </c>
      <c r="B684" s="8" t="s">
        <v>16</v>
      </c>
      <c r="C684" s="8" t="str">
        <f>IFERROR(_xlfn.XLOOKUP(TRIM(B684),Lookup!$B$2:$B$1000,Lookup!$C$2:$C$1000),"")</f>
        <v>Equity</v>
      </c>
      <c r="D684" s="8" t="s">
        <v>17</v>
      </c>
      <c r="E684" s="9">
        <v>45989</v>
      </c>
      <c r="F684" s="8">
        <v>25.071999999999999</v>
      </c>
    </row>
    <row r="685" spans="1:6" ht="60" x14ac:dyDescent="0.25">
      <c r="A685" s="8" t="s">
        <v>5</v>
      </c>
      <c r="B685" s="8" t="s">
        <v>16</v>
      </c>
      <c r="C685" s="8" t="str">
        <f>IFERROR(_xlfn.XLOOKUP(TRIM(B685),Lookup!$B$2:$B$1000,Lookup!$C$2:$C$1000),"")</f>
        <v>Equity</v>
      </c>
      <c r="D685" s="8" t="s">
        <v>17</v>
      </c>
      <c r="E685" s="9">
        <v>45996</v>
      </c>
      <c r="F685" s="8">
        <v>24.976099999999999</v>
      </c>
    </row>
    <row r="686" spans="1:6" ht="60" x14ac:dyDescent="0.25">
      <c r="A686" s="8" t="s">
        <v>5</v>
      </c>
      <c r="B686" s="8" t="s">
        <v>16</v>
      </c>
      <c r="C686" s="8" t="str">
        <f>IFERROR(_xlfn.XLOOKUP(TRIM(B686),Lookup!$B$2:$B$1000,Lookup!$C$2:$C$1000),"")</f>
        <v>Equity</v>
      </c>
      <c r="D686" s="8" t="s">
        <v>17</v>
      </c>
      <c r="E686" s="9">
        <v>46003</v>
      </c>
      <c r="F686" s="8">
        <v>24.884899999999998</v>
      </c>
    </row>
    <row r="687" spans="1:6" ht="60" x14ac:dyDescent="0.25">
      <c r="A687" s="8" t="s">
        <v>5</v>
      </c>
      <c r="B687" s="8" t="s">
        <v>16</v>
      </c>
      <c r="C687" s="8" t="str">
        <f>IFERROR(_xlfn.XLOOKUP(TRIM(B687),Lookup!$B$2:$B$1000,Lookup!$C$2:$C$1000),"")</f>
        <v>Equity</v>
      </c>
      <c r="D687" s="8" t="s">
        <v>17</v>
      </c>
      <c r="E687" s="9">
        <v>46010</v>
      </c>
      <c r="F687" s="8">
        <v>24.854800000000001</v>
      </c>
    </row>
    <row r="688" spans="1:6" ht="60" x14ac:dyDescent="0.25">
      <c r="A688" s="8" t="s">
        <v>5</v>
      </c>
      <c r="B688" s="8" t="s">
        <v>16</v>
      </c>
      <c r="C688" s="8" t="str">
        <f>IFERROR(_xlfn.XLOOKUP(TRIM(B688),Lookup!$B$2:$B$1000,Lookup!$C$2:$C$1000),"")</f>
        <v>Equity</v>
      </c>
      <c r="D688" s="8" t="s">
        <v>17</v>
      </c>
      <c r="E688" s="9">
        <v>46020</v>
      </c>
      <c r="F688" s="8">
        <v>24.8279</v>
      </c>
    </row>
    <row r="689" spans="1:6" ht="60" x14ac:dyDescent="0.25">
      <c r="A689" s="8" t="s">
        <v>5</v>
      </c>
      <c r="B689" s="8" t="s">
        <v>16</v>
      </c>
      <c r="C689" s="8" t="str">
        <f>IFERROR(_xlfn.XLOOKUP(TRIM(B689),Lookup!$B$2:$B$1000,Lookup!$C$2:$C$1000),"")</f>
        <v>Equity</v>
      </c>
      <c r="D689" s="8" t="s">
        <v>17</v>
      </c>
      <c r="E689" s="9">
        <v>46027</v>
      </c>
      <c r="F689" s="8">
        <v>25.163</v>
      </c>
    </row>
    <row r="690" spans="1:6" ht="60" x14ac:dyDescent="0.25">
      <c r="A690" s="8" t="s">
        <v>5</v>
      </c>
      <c r="B690" s="8" t="s">
        <v>16</v>
      </c>
      <c r="C690" s="8" t="str">
        <f>IFERROR(_xlfn.XLOOKUP(TRIM(B690),Lookup!$B$2:$B$1000,Lookup!$C$2:$C$1000),"")</f>
        <v>Equity</v>
      </c>
      <c r="D690" s="8" t="s">
        <v>17</v>
      </c>
      <c r="E690" s="9">
        <v>46034</v>
      </c>
      <c r="F690" s="8">
        <v>24.6203</v>
      </c>
    </row>
    <row r="691" spans="1:6" ht="60" x14ac:dyDescent="0.25">
      <c r="A691" s="8" t="s">
        <v>5</v>
      </c>
      <c r="B691" s="8" t="s">
        <v>16</v>
      </c>
      <c r="C691" s="8" t="str">
        <f>IFERROR(_xlfn.XLOOKUP(TRIM(B691),Lookup!$B$2:$B$1000,Lookup!$C$2:$C$1000),"")</f>
        <v>Equity</v>
      </c>
      <c r="D691" s="8" t="s">
        <v>17</v>
      </c>
      <c r="E691" s="9">
        <v>46042</v>
      </c>
      <c r="F691" s="8">
        <v>24.093399999999999</v>
      </c>
    </row>
    <row r="692" spans="1:6" ht="60" x14ac:dyDescent="0.25">
      <c r="A692" s="8" t="s">
        <v>5</v>
      </c>
      <c r="B692" s="8" t="s">
        <v>16</v>
      </c>
      <c r="C692" s="8" t="str">
        <f>IFERROR(_xlfn.XLOOKUP(TRIM(B692),Lookup!$B$2:$B$1000,Lookup!$C$2:$C$1000),"")</f>
        <v>Equity</v>
      </c>
      <c r="D692" s="8" t="s">
        <v>17</v>
      </c>
      <c r="E692" s="9">
        <v>46050</v>
      </c>
      <c r="F692" s="8">
        <v>24.195699999999999</v>
      </c>
    </row>
    <row r="693" spans="1:6" ht="60" x14ac:dyDescent="0.25">
      <c r="A693" s="8" t="s">
        <v>5</v>
      </c>
      <c r="B693" s="8" t="s">
        <v>16</v>
      </c>
      <c r="C693" s="8" t="str">
        <f>IFERROR(_xlfn.XLOOKUP(TRIM(B693),Lookup!$B$2:$B$1000,Lookup!$C$2:$C$1000),"")</f>
        <v>Equity</v>
      </c>
      <c r="D693" s="8" t="s">
        <v>17</v>
      </c>
      <c r="E693" s="9">
        <v>46056</v>
      </c>
      <c r="F693" s="8">
        <v>24.615300000000001</v>
      </c>
    </row>
    <row r="694" spans="1:6" ht="60" x14ac:dyDescent="0.25">
      <c r="A694" s="8" t="s">
        <v>5</v>
      </c>
      <c r="B694" s="8" t="s">
        <v>16</v>
      </c>
      <c r="C694" s="8" t="str">
        <f>IFERROR(_xlfn.XLOOKUP(TRIM(B694),Lookup!$B$2:$B$1000,Lookup!$C$2:$C$1000),"")</f>
        <v>Equity</v>
      </c>
      <c r="D694" s="8" t="s">
        <v>17</v>
      </c>
      <c r="E694" s="9">
        <v>46063</v>
      </c>
      <c r="F694" s="8">
        <v>24.9161</v>
      </c>
    </row>
    <row r="695" spans="1:6" ht="60" x14ac:dyDescent="0.25">
      <c r="A695" s="8" t="s">
        <v>5</v>
      </c>
      <c r="B695" s="8" t="s">
        <v>16</v>
      </c>
      <c r="C695" s="8" t="str">
        <f>IFERROR(_xlfn.XLOOKUP(TRIM(B695),Lookup!$B$2:$B$1000,Lookup!$C$2:$C$1000),"")</f>
        <v>Equity</v>
      </c>
      <c r="D695" s="8" t="s">
        <v>17</v>
      </c>
      <c r="E695" s="9">
        <v>46070</v>
      </c>
      <c r="F695" s="8">
        <v>24.7285</v>
      </c>
    </row>
    <row r="696" spans="1:6" ht="60" x14ac:dyDescent="0.25">
      <c r="A696" s="8" t="s">
        <v>5</v>
      </c>
      <c r="B696" s="8" t="s">
        <v>16</v>
      </c>
      <c r="C696" s="8" t="str">
        <f>IFERROR(_xlfn.XLOOKUP(TRIM(B696),Lookup!$B$2:$B$1000,Lookup!$C$2:$C$1000),"")</f>
        <v>Equity</v>
      </c>
      <c r="D696" s="8" t="s">
        <v>17</v>
      </c>
      <c r="E696" s="9">
        <v>46077</v>
      </c>
      <c r="F696" s="8">
        <v>24.4559</v>
      </c>
    </row>
    <row r="697" spans="1:6" ht="60" x14ac:dyDescent="0.25">
      <c r="A697" s="8" t="s">
        <v>5</v>
      </c>
      <c r="B697" s="8" t="s">
        <v>16</v>
      </c>
      <c r="C697" s="8" t="str">
        <f>IFERROR(_xlfn.XLOOKUP(TRIM(B697),Lookup!$B$2:$B$1000,Lookup!$C$2:$C$1000),"")</f>
        <v>Equity</v>
      </c>
      <c r="D697" s="8" t="s">
        <v>17</v>
      </c>
      <c r="E697" s="9">
        <v>46085</v>
      </c>
      <c r="F697" s="8">
        <v>23.494900000000001</v>
      </c>
    </row>
    <row r="698" spans="1:6" ht="60" x14ac:dyDescent="0.25">
      <c r="A698" s="8" t="s">
        <v>5</v>
      </c>
      <c r="B698" s="8" t="s">
        <v>16</v>
      </c>
      <c r="C698" s="8" t="str">
        <f>IFERROR(_xlfn.XLOOKUP(TRIM(B698),Lookup!$B$2:$B$1000,Lookup!$C$2:$C$1000),"")</f>
        <v>Equity</v>
      </c>
      <c r="D698" s="8" t="s">
        <v>17</v>
      </c>
      <c r="E698" s="9">
        <v>46092</v>
      </c>
      <c r="F698" s="8">
        <v>22.977499999999999</v>
      </c>
    </row>
    <row r="699" spans="1:6" ht="60" x14ac:dyDescent="0.25">
      <c r="A699" s="8" t="s">
        <v>5</v>
      </c>
      <c r="B699" s="8" t="s">
        <v>16</v>
      </c>
      <c r="C699" s="8" t="str">
        <f>IFERROR(_xlfn.XLOOKUP(TRIM(B699),Lookup!$B$2:$B$1000,Lookup!$C$2:$C$1000),"")</f>
        <v>Equity</v>
      </c>
      <c r="D699" s="8" t="s">
        <v>17</v>
      </c>
      <c r="E699" s="9">
        <v>46099</v>
      </c>
      <c r="F699" s="8">
        <v>22.813400000000001</v>
      </c>
    </row>
    <row r="700" spans="1:6" ht="60" x14ac:dyDescent="0.25">
      <c r="A700" s="8" t="s">
        <v>5</v>
      </c>
      <c r="B700" s="8" t="s">
        <v>16</v>
      </c>
      <c r="C700" s="8" t="str">
        <f>IFERROR(_xlfn.XLOOKUP(TRIM(B700),Lookup!$B$2:$B$1000,Lookup!$C$2:$C$1000),"")</f>
        <v>Equity</v>
      </c>
      <c r="D700" s="8" t="s">
        <v>17</v>
      </c>
      <c r="E700" s="9">
        <v>46106</v>
      </c>
      <c r="F700" s="8">
        <v>22.4009</v>
      </c>
    </row>
    <row r="701" spans="1:6" ht="60" x14ac:dyDescent="0.25">
      <c r="A701" s="8" t="s">
        <v>5</v>
      </c>
      <c r="B701" s="8" t="s">
        <v>16</v>
      </c>
      <c r="C701" s="8" t="str">
        <f>IFERROR(_xlfn.XLOOKUP(TRIM(B701),Lookup!$B$2:$B$1000,Lookup!$C$2:$C$1000),"")</f>
        <v>Equity</v>
      </c>
      <c r="D701" s="8" t="s">
        <v>17</v>
      </c>
      <c r="E701" s="9">
        <v>46114</v>
      </c>
      <c r="F701" s="8">
        <v>21.8782</v>
      </c>
    </row>
    <row r="702" spans="1:6" ht="60" x14ac:dyDescent="0.25">
      <c r="A702" s="8" t="s">
        <v>5</v>
      </c>
      <c r="B702" s="8" t="s">
        <v>16</v>
      </c>
      <c r="C702" s="8" t="str">
        <f>IFERROR(_xlfn.XLOOKUP(TRIM(B702),Lookup!$B$2:$B$1000,Lookup!$C$2:$C$1000),"")</f>
        <v>Equity</v>
      </c>
      <c r="D702" s="8" t="s">
        <v>17</v>
      </c>
      <c r="E702" s="9">
        <v>46122</v>
      </c>
      <c r="F702" s="8">
        <v>23.314800000000002</v>
      </c>
    </row>
    <row r="703" spans="1:6" ht="60" x14ac:dyDescent="0.25">
      <c r="A703" s="8" t="s">
        <v>5</v>
      </c>
      <c r="B703" s="8" t="s">
        <v>16</v>
      </c>
      <c r="C703" s="8" t="str">
        <f>IFERROR(_xlfn.XLOOKUP(TRIM(B703),Lookup!$B$2:$B$1000,Lookup!$C$2:$C$1000),"")</f>
        <v>Equity</v>
      </c>
      <c r="D703" s="8" t="s">
        <v>17</v>
      </c>
      <c r="E703" s="9">
        <v>46132</v>
      </c>
      <c r="F703" s="8">
        <v>23.672699999999999</v>
      </c>
    </row>
    <row r="704" spans="1:6" ht="60" x14ac:dyDescent="0.25">
      <c r="A704" s="8" t="s">
        <v>5</v>
      </c>
      <c r="B704" s="8" t="s">
        <v>16</v>
      </c>
      <c r="C704" s="8" t="str">
        <f>IFERROR(_xlfn.XLOOKUP(TRIM(B704),Lookup!$B$2:$B$1000,Lookup!$C$2:$C$1000),"")</f>
        <v>Equity</v>
      </c>
      <c r="D704" s="8" t="s">
        <v>17</v>
      </c>
      <c r="E704" s="9">
        <v>46139</v>
      </c>
      <c r="F704" s="8">
        <v>23.556899999999999</v>
      </c>
    </row>
    <row r="705" spans="1:6" ht="60" x14ac:dyDescent="0.25">
      <c r="A705" s="8" t="s">
        <v>5</v>
      </c>
      <c r="B705" s="8" t="s">
        <v>16</v>
      </c>
      <c r="C705" s="8" t="str">
        <f>IFERROR(_xlfn.XLOOKUP(TRIM(B705),Lookup!$B$2:$B$1000,Lookup!$C$2:$C$1000),"")</f>
        <v>Equity</v>
      </c>
      <c r="D705" s="8" t="s">
        <v>17</v>
      </c>
      <c r="E705" s="9">
        <v>46147</v>
      </c>
      <c r="F705" s="8">
        <v>23.5349</v>
      </c>
    </row>
    <row r="706" spans="1:6" ht="60" x14ac:dyDescent="0.25">
      <c r="A706" s="8" t="s">
        <v>5</v>
      </c>
      <c r="B706" s="8" t="s">
        <v>16</v>
      </c>
      <c r="C706" s="8" t="str">
        <f>IFERROR(_xlfn.XLOOKUP(TRIM(B706),Lookup!$B$2:$B$1000,Lookup!$C$2:$C$1000),"")</f>
        <v>Equity</v>
      </c>
      <c r="D706" s="8" t="s">
        <v>17</v>
      </c>
      <c r="E706" s="9">
        <v>46154</v>
      </c>
      <c r="F706" s="8">
        <v>22.967300000000002</v>
      </c>
    </row>
    <row r="707" spans="1:6" ht="60" x14ac:dyDescent="0.25">
      <c r="A707" s="8" t="s">
        <v>5</v>
      </c>
      <c r="B707" s="8" t="s">
        <v>16</v>
      </c>
      <c r="C707" s="8" t="str">
        <f>IFERROR(_xlfn.XLOOKUP(TRIM(B707),Lookup!$B$2:$B$1000,Lookup!$C$2:$C$1000),"")</f>
        <v>Equity</v>
      </c>
      <c r="D707" s="8" t="s">
        <v>17</v>
      </c>
      <c r="E707" s="9">
        <v>46161</v>
      </c>
      <c r="F707" s="8">
        <v>23.165900000000001</v>
      </c>
    </row>
    <row r="708" spans="1:6" ht="60" x14ac:dyDescent="0.25">
      <c r="A708" s="8" t="s">
        <v>5</v>
      </c>
      <c r="B708" s="8" t="s">
        <v>16</v>
      </c>
      <c r="C708" s="8" t="str">
        <f>IFERROR(_xlfn.XLOOKUP(TRIM(B708),Lookup!$B$2:$B$1000,Lookup!$C$2:$C$1000),"")</f>
        <v>Equity</v>
      </c>
      <c r="D708" s="8" t="s">
        <v>17</v>
      </c>
      <c r="E708" s="9">
        <v>46168</v>
      </c>
      <c r="F708" s="8">
        <v>23.5426</v>
      </c>
    </row>
    <row r="709" spans="1:6" ht="60" x14ac:dyDescent="0.25">
      <c r="A709" s="8" t="s">
        <v>5</v>
      </c>
      <c r="B709" s="8" t="s">
        <v>16</v>
      </c>
      <c r="C709" s="8" t="str">
        <f>IFERROR(_xlfn.XLOOKUP(TRIM(B709),Lookup!$B$2:$B$1000,Lookup!$C$2:$C$1000),"")</f>
        <v>Equity</v>
      </c>
      <c r="D709" s="8" t="s">
        <v>17</v>
      </c>
      <c r="E709" s="9">
        <v>46176</v>
      </c>
      <c r="F709" s="8">
        <v>23.097200000000001</v>
      </c>
    </row>
    <row r="710" spans="1:6" ht="60" x14ac:dyDescent="0.25">
      <c r="A710" s="8" t="s">
        <v>5</v>
      </c>
      <c r="B710" s="8" t="s">
        <v>16</v>
      </c>
      <c r="C710" s="8" t="str">
        <f>IFERROR(_xlfn.XLOOKUP(TRIM(B710),Lookup!$B$2:$B$1000,Lookup!$C$2:$C$1000),"")</f>
        <v>Equity</v>
      </c>
      <c r="D710" s="8" t="s">
        <v>17</v>
      </c>
      <c r="E710" s="9">
        <v>46183</v>
      </c>
      <c r="F710" s="8">
        <v>22.955200000000001</v>
      </c>
    </row>
    <row r="711" spans="1:6" ht="60" x14ac:dyDescent="0.25">
      <c r="A711" s="8" t="s">
        <v>5</v>
      </c>
      <c r="B711" s="8" t="s">
        <v>16</v>
      </c>
      <c r="C711" s="8" t="str">
        <f>IFERROR(_xlfn.XLOOKUP(TRIM(B711),Lookup!$B$2:$B$1000,Lookup!$C$2:$C$1000),"")</f>
        <v>Equity</v>
      </c>
      <c r="D711" s="8" t="s">
        <v>17</v>
      </c>
      <c r="E711" s="9">
        <v>46190</v>
      </c>
      <c r="F711" s="8">
        <v>23.9284</v>
      </c>
    </row>
    <row r="712" spans="1:6" ht="60" x14ac:dyDescent="0.25">
      <c r="A712" s="8" t="s">
        <v>5</v>
      </c>
      <c r="B712" s="8" t="s">
        <v>16</v>
      </c>
      <c r="C712" s="8" t="str">
        <f>IFERROR(_xlfn.XLOOKUP(TRIM(B712),Lookup!$B$2:$B$1000,Lookup!$C$2:$C$1000),"")</f>
        <v>Equity</v>
      </c>
      <c r="D712" s="8" t="s">
        <v>17</v>
      </c>
      <c r="E712" s="9">
        <v>46197</v>
      </c>
      <c r="F712" s="8">
        <v>24.0106</v>
      </c>
    </row>
    <row r="713" spans="1:6" ht="60" x14ac:dyDescent="0.25">
      <c r="A713" s="8" t="s">
        <v>5</v>
      </c>
      <c r="B713" s="8" t="s">
        <v>16</v>
      </c>
      <c r="C713" s="8" t="str">
        <f>IFERROR(_xlfn.XLOOKUP(TRIM(B713),Lookup!$B$2:$B$1000,Lookup!$C$2:$C$1000),"")</f>
        <v>Equity</v>
      </c>
      <c r="D713" s="8" t="s">
        <v>17</v>
      </c>
      <c r="E713" s="9">
        <v>46205</v>
      </c>
      <c r="F713" s="8">
        <v>24.181000000000001</v>
      </c>
    </row>
    <row r="714" spans="1:6" ht="60" x14ac:dyDescent="0.25">
      <c r="A714" s="8" t="s">
        <v>5</v>
      </c>
      <c r="B714" s="8" t="s">
        <v>16</v>
      </c>
      <c r="C714" s="8" t="str">
        <f>IFERROR(_xlfn.XLOOKUP(TRIM(B714),Lookup!$B$2:$B$1000,Lookup!$C$2:$C$1000),"")</f>
        <v>Equity</v>
      </c>
      <c r="D714" s="8" t="s">
        <v>17</v>
      </c>
      <c r="E714" s="9">
        <v>46212</v>
      </c>
      <c r="F714" s="8">
        <v>23.974</v>
      </c>
    </row>
    <row r="715" spans="1:6" ht="60" x14ac:dyDescent="0.25">
      <c r="A715" s="8" t="s">
        <v>5</v>
      </c>
      <c r="B715" s="8" t="s">
        <v>16</v>
      </c>
      <c r="C715" s="8" t="str">
        <f>IFERROR(_xlfn.XLOOKUP(TRIM(B715),Lookup!$B$2:$B$1000,Lookup!$C$2:$C$1000),"")</f>
        <v>Equity</v>
      </c>
      <c r="D715" s="8" t="s">
        <v>17</v>
      </c>
      <c r="E715" s="9">
        <v>46219</v>
      </c>
      <c r="F715" s="8">
        <v>24.054600000000001</v>
      </c>
    </row>
    <row r="716" spans="1:6" ht="60" x14ac:dyDescent="0.25">
      <c r="A716" s="8" t="s">
        <v>5</v>
      </c>
      <c r="B716" s="8" t="s">
        <v>16</v>
      </c>
      <c r="C716" s="8" t="str">
        <f>IFERROR(_xlfn.XLOOKUP(TRIM(B716),Lookup!$B$2:$B$1000,Lookup!$C$2:$C$1000),"")</f>
        <v>Equity</v>
      </c>
      <c r="D716" s="8" t="s">
        <v>17</v>
      </c>
      <c r="E716" s="9">
        <v>46226</v>
      </c>
      <c r="F716" s="8">
        <v>23.780100000000001</v>
      </c>
    </row>
    <row r="717" spans="1:6" ht="60" x14ac:dyDescent="0.25">
      <c r="A717" s="8" t="s">
        <v>5</v>
      </c>
      <c r="B717" s="8" t="s">
        <v>16</v>
      </c>
      <c r="C717" s="8" t="str">
        <f>IFERROR(_xlfn.XLOOKUP(TRIM(B717),Lookup!$B$2:$B$1000,Lookup!$C$2:$C$1000),"")</f>
        <v>Equity</v>
      </c>
      <c r="D717" s="8" t="s">
        <v>17</v>
      </c>
      <c r="E717" s="9">
        <v>46233</v>
      </c>
      <c r="F717" s="8">
        <v>24.2485</v>
      </c>
    </row>
    <row r="718" spans="1:6" ht="45" x14ac:dyDescent="0.25">
      <c r="A718" s="8" t="s">
        <v>5</v>
      </c>
      <c r="B718" s="8" t="s">
        <v>20</v>
      </c>
      <c r="C718" s="8" t="str">
        <f>IFERROR(_xlfn.XLOOKUP(TRIM(B718),Lookup!$B$2:$B$1000,Lookup!$C$2:$C$1000),"")</f>
        <v>Equity</v>
      </c>
      <c r="D718" s="8" t="s">
        <v>21</v>
      </c>
      <c r="E718" s="9">
        <v>45869</v>
      </c>
      <c r="F718" s="8">
        <v>28.986499999999999</v>
      </c>
    </row>
    <row r="719" spans="1:6" ht="45" x14ac:dyDescent="0.25">
      <c r="A719" s="8" t="s">
        <v>5</v>
      </c>
      <c r="B719" s="8" t="s">
        <v>20</v>
      </c>
      <c r="C719" s="8" t="str">
        <f>IFERROR(_xlfn.XLOOKUP(TRIM(B719),Lookup!$B$2:$B$1000,Lookup!$C$2:$C$1000),"")</f>
        <v>Equity</v>
      </c>
      <c r="D719" s="8" t="s">
        <v>21</v>
      </c>
      <c r="E719" s="9">
        <v>45870</v>
      </c>
      <c r="F719" s="8">
        <v>28.7179</v>
      </c>
    </row>
    <row r="720" spans="1:6" ht="45" x14ac:dyDescent="0.25">
      <c r="A720" s="8" t="s">
        <v>5</v>
      </c>
      <c r="B720" s="8" t="s">
        <v>20</v>
      </c>
      <c r="C720" s="8" t="str">
        <f>IFERROR(_xlfn.XLOOKUP(TRIM(B720),Lookup!$B$2:$B$1000,Lookup!$C$2:$C$1000),"")</f>
        <v>Equity</v>
      </c>
      <c r="D720" s="8" t="s">
        <v>21</v>
      </c>
      <c r="E720" s="9">
        <v>45873</v>
      </c>
      <c r="F720" s="8">
        <v>28.912299999999998</v>
      </c>
    </row>
    <row r="721" spans="1:6" ht="45" x14ac:dyDescent="0.25">
      <c r="A721" s="8" t="s">
        <v>5</v>
      </c>
      <c r="B721" s="8" t="s">
        <v>20</v>
      </c>
      <c r="C721" s="8" t="str">
        <f>IFERROR(_xlfn.XLOOKUP(TRIM(B721),Lookup!$B$2:$B$1000,Lookup!$C$2:$C$1000),"")</f>
        <v>Equity</v>
      </c>
      <c r="D721" s="8" t="s">
        <v>21</v>
      </c>
      <c r="E721" s="9">
        <v>45874</v>
      </c>
      <c r="F721" s="8">
        <v>28.842300000000002</v>
      </c>
    </row>
    <row r="722" spans="1:6" ht="45" x14ac:dyDescent="0.25">
      <c r="A722" s="8" t="s">
        <v>5</v>
      </c>
      <c r="B722" s="8" t="s">
        <v>20</v>
      </c>
      <c r="C722" s="8" t="str">
        <f>IFERROR(_xlfn.XLOOKUP(TRIM(B722),Lookup!$B$2:$B$1000,Lookup!$C$2:$C$1000),"")</f>
        <v>Equity</v>
      </c>
      <c r="D722" s="8" t="s">
        <v>21</v>
      </c>
      <c r="E722" s="9">
        <v>45875</v>
      </c>
      <c r="F722" s="8">
        <v>28.7013</v>
      </c>
    </row>
    <row r="723" spans="1:6" ht="45" x14ac:dyDescent="0.25">
      <c r="A723" s="8" t="s">
        <v>5</v>
      </c>
      <c r="B723" s="8" t="s">
        <v>20</v>
      </c>
      <c r="C723" s="8" t="str">
        <f>IFERROR(_xlfn.XLOOKUP(TRIM(B723),Lookup!$B$2:$B$1000,Lookup!$C$2:$C$1000),"")</f>
        <v>Equity</v>
      </c>
      <c r="D723" s="8" t="s">
        <v>21</v>
      </c>
      <c r="E723" s="9">
        <v>45876</v>
      </c>
      <c r="F723" s="8">
        <v>28.7288</v>
      </c>
    </row>
    <row r="724" spans="1:6" ht="45" x14ac:dyDescent="0.25">
      <c r="A724" s="8" t="s">
        <v>5</v>
      </c>
      <c r="B724" s="8" t="s">
        <v>20</v>
      </c>
      <c r="C724" s="8" t="str">
        <f>IFERROR(_xlfn.XLOOKUP(TRIM(B724),Lookup!$B$2:$B$1000,Lookup!$C$2:$C$1000),"")</f>
        <v>Equity</v>
      </c>
      <c r="D724" s="8" t="s">
        <v>21</v>
      </c>
      <c r="E724" s="9">
        <v>45877</v>
      </c>
      <c r="F724" s="8">
        <v>28.414000000000001</v>
      </c>
    </row>
    <row r="725" spans="1:6" ht="45" x14ac:dyDescent="0.25">
      <c r="A725" s="8" t="s">
        <v>5</v>
      </c>
      <c r="B725" s="8" t="s">
        <v>20</v>
      </c>
      <c r="C725" s="8" t="str">
        <f>IFERROR(_xlfn.XLOOKUP(TRIM(B725),Lookup!$B$2:$B$1000,Lookup!$C$2:$C$1000),"")</f>
        <v>Equity</v>
      </c>
      <c r="D725" s="8" t="s">
        <v>21</v>
      </c>
      <c r="E725" s="9">
        <v>45880</v>
      </c>
      <c r="F725" s="8">
        <v>28.682400000000001</v>
      </c>
    </row>
    <row r="726" spans="1:6" ht="45" x14ac:dyDescent="0.25">
      <c r="A726" s="8" t="s">
        <v>5</v>
      </c>
      <c r="B726" s="8" t="s">
        <v>20</v>
      </c>
      <c r="C726" s="8" t="str">
        <f>IFERROR(_xlfn.XLOOKUP(TRIM(B726),Lookup!$B$2:$B$1000,Lookup!$C$2:$C$1000),"")</f>
        <v>Equity</v>
      </c>
      <c r="D726" s="8" t="s">
        <v>21</v>
      </c>
      <c r="E726" s="9">
        <v>45881</v>
      </c>
      <c r="F726" s="8">
        <v>28.6</v>
      </c>
    </row>
    <row r="727" spans="1:6" ht="45" x14ac:dyDescent="0.25">
      <c r="A727" s="8" t="s">
        <v>5</v>
      </c>
      <c r="B727" s="8" t="s">
        <v>20</v>
      </c>
      <c r="C727" s="8" t="str">
        <f>IFERROR(_xlfn.XLOOKUP(TRIM(B727),Lookup!$B$2:$B$1000,Lookup!$C$2:$C$1000),"")</f>
        <v>Equity</v>
      </c>
      <c r="D727" s="8" t="s">
        <v>21</v>
      </c>
      <c r="E727" s="9">
        <v>45882</v>
      </c>
      <c r="F727" s="8">
        <v>28.799399999999999</v>
      </c>
    </row>
    <row r="728" spans="1:6" ht="45" x14ac:dyDescent="0.25">
      <c r="A728" s="8" t="s">
        <v>5</v>
      </c>
      <c r="B728" s="8" t="s">
        <v>20</v>
      </c>
      <c r="C728" s="8" t="str">
        <f>IFERROR(_xlfn.XLOOKUP(TRIM(B728),Lookup!$B$2:$B$1000,Lookup!$C$2:$C$1000),"")</f>
        <v>Equity</v>
      </c>
      <c r="D728" s="8" t="s">
        <v>21</v>
      </c>
      <c r="E728" s="9">
        <v>45883</v>
      </c>
      <c r="F728" s="8">
        <v>28.8172</v>
      </c>
    </row>
    <row r="729" spans="1:6" ht="45" x14ac:dyDescent="0.25">
      <c r="A729" s="8" t="s">
        <v>5</v>
      </c>
      <c r="B729" s="8" t="s">
        <v>20</v>
      </c>
      <c r="C729" s="8" t="str">
        <f>IFERROR(_xlfn.XLOOKUP(TRIM(B729),Lookup!$B$2:$B$1000,Lookup!$C$2:$C$1000),"")</f>
        <v>Equity</v>
      </c>
      <c r="D729" s="8" t="s">
        <v>21</v>
      </c>
      <c r="E729" s="9">
        <v>45887</v>
      </c>
      <c r="F729" s="8">
        <v>29.13</v>
      </c>
    </row>
    <row r="730" spans="1:6" ht="45" x14ac:dyDescent="0.25">
      <c r="A730" s="8" t="s">
        <v>5</v>
      </c>
      <c r="B730" s="8" t="s">
        <v>20</v>
      </c>
      <c r="C730" s="8" t="str">
        <f>IFERROR(_xlfn.XLOOKUP(TRIM(B730),Lookup!$B$2:$B$1000,Lookup!$C$2:$C$1000),"")</f>
        <v>Equity</v>
      </c>
      <c r="D730" s="8" t="s">
        <v>21</v>
      </c>
      <c r="E730" s="9">
        <v>45888</v>
      </c>
      <c r="F730" s="8">
        <v>29.276700000000002</v>
      </c>
    </row>
    <row r="731" spans="1:6" ht="45" x14ac:dyDescent="0.25">
      <c r="A731" s="8" t="s">
        <v>5</v>
      </c>
      <c r="B731" s="8" t="s">
        <v>20</v>
      </c>
      <c r="C731" s="8" t="str">
        <f>IFERROR(_xlfn.XLOOKUP(TRIM(B731),Lookup!$B$2:$B$1000,Lookup!$C$2:$C$1000),"")</f>
        <v>Equity</v>
      </c>
      <c r="D731" s="8" t="s">
        <v>21</v>
      </c>
      <c r="E731" s="9">
        <v>45889</v>
      </c>
      <c r="F731" s="8">
        <v>29.3843</v>
      </c>
    </row>
    <row r="732" spans="1:6" ht="45" x14ac:dyDescent="0.25">
      <c r="A732" s="8" t="s">
        <v>5</v>
      </c>
      <c r="B732" s="8" t="s">
        <v>20</v>
      </c>
      <c r="C732" s="8" t="str">
        <f>IFERROR(_xlfn.XLOOKUP(TRIM(B732),Lookup!$B$2:$B$1000,Lookup!$C$2:$C$1000),"")</f>
        <v>Equity</v>
      </c>
      <c r="D732" s="8" t="s">
        <v>21</v>
      </c>
      <c r="E732" s="9">
        <v>45890</v>
      </c>
      <c r="F732" s="8">
        <v>29.398900000000001</v>
      </c>
    </row>
    <row r="733" spans="1:6" ht="45" x14ac:dyDescent="0.25">
      <c r="A733" s="8" t="s">
        <v>5</v>
      </c>
      <c r="B733" s="8" t="s">
        <v>20</v>
      </c>
      <c r="C733" s="8" t="str">
        <f>IFERROR(_xlfn.XLOOKUP(TRIM(B733),Lookup!$B$2:$B$1000,Lookup!$C$2:$C$1000),"")</f>
        <v>Equity</v>
      </c>
      <c r="D733" s="8" t="s">
        <v>21</v>
      </c>
      <c r="E733" s="9">
        <v>45891</v>
      </c>
      <c r="F733" s="8">
        <v>29.2181</v>
      </c>
    </row>
    <row r="734" spans="1:6" ht="45" x14ac:dyDescent="0.25">
      <c r="A734" s="8" t="s">
        <v>5</v>
      </c>
      <c r="B734" s="8" t="s">
        <v>20</v>
      </c>
      <c r="C734" s="8" t="str">
        <f>IFERROR(_xlfn.XLOOKUP(TRIM(B734),Lookup!$B$2:$B$1000,Lookup!$C$2:$C$1000),"")</f>
        <v>Equity</v>
      </c>
      <c r="D734" s="8" t="s">
        <v>21</v>
      </c>
      <c r="E734" s="9">
        <v>45894</v>
      </c>
      <c r="F734" s="8">
        <v>29.3035</v>
      </c>
    </row>
    <row r="735" spans="1:6" ht="45" x14ac:dyDescent="0.25">
      <c r="A735" s="8" t="s">
        <v>5</v>
      </c>
      <c r="B735" s="8" t="s">
        <v>20</v>
      </c>
      <c r="C735" s="8" t="str">
        <f>IFERROR(_xlfn.XLOOKUP(TRIM(B735),Lookup!$B$2:$B$1000,Lookup!$C$2:$C$1000),"")</f>
        <v>Equity</v>
      </c>
      <c r="D735" s="8" t="s">
        <v>21</v>
      </c>
      <c r="E735" s="9">
        <v>45895</v>
      </c>
      <c r="F735" s="8">
        <v>28.989799999999999</v>
      </c>
    </row>
    <row r="736" spans="1:6" ht="45" x14ac:dyDescent="0.25">
      <c r="A736" s="8" t="s">
        <v>5</v>
      </c>
      <c r="B736" s="8" t="s">
        <v>20</v>
      </c>
      <c r="C736" s="8" t="str">
        <f>IFERROR(_xlfn.XLOOKUP(TRIM(B736),Lookup!$B$2:$B$1000,Lookup!$C$2:$C$1000),"")</f>
        <v>Equity</v>
      </c>
      <c r="D736" s="8" t="s">
        <v>21</v>
      </c>
      <c r="E736" s="9">
        <v>45897</v>
      </c>
      <c r="F736" s="8">
        <v>28.7422</v>
      </c>
    </row>
    <row r="737" spans="1:6" ht="45" x14ac:dyDescent="0.25">
      <c r="A737" s="8" t="s">
        <v>5</v>
      </c>
      <c r="B737" s="8" t="s">
        <v>20</v>
      </c>
      <c r="C737" s="8" t="str">
        <f>IFERROR(_xlfn.XLOOKUP(TRIM(B737),Lookup!$B$2:$B$1000,Lookup!$C$2:$C$1000),"")</f>
        <v>Equity</v>
      </c>
      <c r="D737" s="8" t="s">
        <v>21</v>
      </c>
      <c r="E737" s="9">
        <v>45898</v>
      </c>
      <c r="F737" s="8">
        <v>28.632100000000001</v>
      </c>
    </row>
    <row r="738" spans="1:6" ht="45" x14ac:dyDescent="0.25">
      <c r="A738" s="8" t="s">
        <v>5</v>
      </c>
      <c r="B738" s="8" t="s">
        <v>20</v>
      </c>
      <c r="C738" s="8" t="str">
        <f>IFERROR(_xlfn.XLOOKUP(TRIM(B738),Lookup!$B$2:$B$1000,Lookup!$C$2:$C$1000),"")</f>
        <v>Equity</v>
      </c>
      <c r="D738" s="8" t="s">
        <v>21</v>
      </c>
      <c r="E738" s="9">
        <v>45901</v>
      </c>
      <c r="F738" s="8">
        <v>28.9163</v>
      </c>
    </row>
    <row r="739" spans="1:6" ht="45" x14ac:dyDescent="0.25">
      <c r="A739" s="8" t="s">
        <v>5</v>
      </c>
      <c r="B739" s="8" t="s">
        <v>20</v>
      </c>
      <c r="C739" s="8" t="str">
        <f>IFERROR(_xlfn.XLOOKUP(TRIM(B739),Lookup!$B$2:$B$1000,Lookup!$C$2:$C$1000),"")</f>
        <v>Equity</v>
      </c>
      <c r="D739" s="8" t="s">
        <v>21</v>
      </c>
      <c r="E739" s="9">
        <v>45902</v>
      </c>
      <c r="F739" s="8">
        <v>28.887899999999998</v>
      </c>
    </row>
    <row r="740" spans="1:6" ht="45" x14ac:dyDescent="0.25">
      <c r="A740" s="8" t="s">
        <v>5</v>
      </c>
      <c r="B740" s="8" t="s">
        <v>20</v>
      </c>
      <c r="C740" s="8" t="str">
        <f>IFERROR(_xlfn.XLOOKUP(TRIM(B740),Lookup!$B$2:$B$1000,Lookup!$C$2:$C$1000),"")</f>
        <v>Equity</v>
      </c>
      <c r="D740" s="8" t="s">
        <v>21</v>
      </c>
      <c r="E740" s="9">
        <v>45903</v>
      </c>
      <c r="F740" s="8">
        <v>29.0501</v>
      </c>
    </row>
    <row r="741" spans="1:6" ht="45" x14ac:dyDescent="0.25">
      <c r="A741" s="8" t="s">
        <v>5</v>
      </c>
      <c r="B741" s="8" t="s">
        <v>20</v>
      </c>
      <c r="C741" s="8" t="str">
        <f>IFERROR(_xlfn.XLOOKUP(TRIM(B741),Lookup!$B$2:$B$1000,Lookup!$C$2:$C$1000),"")</f>
        <v>Equity</v>
      </c>
      <c r="D741" s="8" t="s">
        <v>21</v>
      </c>
      <c r="E741" s="9">
        <v>45904</v>
      </c>
      <c r="F741" s="8">
        <v>29.063300000000002</v>
      </c>
    </row>
    <row r="742" spans="1:6" ht="45" x14ac:dyDescent="0.25">
      <c r="A742" s="8" t="s">
        <v>5</v>
      </c>
      <c r="B742" s="8" t="s">
        <v>20</v>
      </c>
      <c r="C742" s="8" t="str">
        <f>IFERROR(_xlfn.XLOOKUP(TRIM(B742),Lookup!$B$2:$B$1000,Lookup!$C$2:$C$1000),"")</f>
        <v>Equity</v>
      </c>
      <c r="D742" s="8" t="s">
        <v>21</v>
      </c>
      <c r="E742" s="9">
        <v>45905</v>
      </c>
      <c r="F742" s="8">
        <v>29.068300000000001</v>
      </c>
    </row>
    <row r="743" spans="1:6" ht="45" x14ac:dyDescent="0.25">
      <c r="A743" s="8" t="s">
        <v>5</v>
      </c>
      <c r="B743" s="8" t="s">
        <v>20</v>
      </c>
      <c r="C743" s="8" t="str">
        <f>IFERROR(_xlfn.XLOOKUP(TRIM(B743),Lookup!$B$2:$B$1000,Lookup!$C$2:$C$1000),"")</f>
        <v>Equity</v>
      </c>
      <c r="D743" s="8" t="s">
        <v>21</v>
      </c>
      <c r="E743" s="9">
        <v>45908</v>
      </c>
      <c r="F743" s="8">
        <v>29.157499999999999</v>
      </c>
    </row>
    <row r="744" spans="1:6" ht="45" x14ac:dyDescent="0.25">
      <c r="A744" s="8" t="s">
        <v>5</v>
      </c>
      <c r="B744" s="8" t="s">
        <v>20</v>
      </c>
      <c r="C744" s="8" t="str">
        <f>IFERROR(_xlfn.XLOOKUP(TRIM(B744),Lookup!$B$2:$B$1000,Lookup!$C$2:$C$1000),"")</f>
        <v>Equity</v>
      </c>
      <c r="D744" s="8" t="s">
        <v>21</v>
      </c>
      <c r="E744" s="9">
        <v>45909</v>
      </c>
      <c r="F744" s="8">
        <v>29.252400000000002</v>
      </c>
    </row>
    <row r="745" spans="1:6" ht="45" x14ac:dyDescent="0.25">
      <c r="A745" s="8" t="s">
        <v>5</v>
      </c>
      <c r="B745" s="8" t="s">
        <v>20</v>
      </c>
      <c r="C745" s="8" t="str">
        <f>IFERROR(_xlfn.XLOOKUP(TRIM(B745),Lookup!$B$2:$B$1000,Lookup!$C$2:$C$1000),"")</f>
        <v>Equity</v>
      </c>
      <c r="D745" s="8" t="s">
        <v>21</v>
      </c>
      <c r="E745" s="9">
        <v>45910</v>
      </c>
      <c r="F745" s="8">
        <v>29.3611</v>
      </c>
    </row>
    <row r="746" spans="1:6" ht="45" x14ac:dyDescent="0.25">
      <c r="A746" s="8" t="s">
        <v>5</v>
      </c>
      <c r="B746" s="8" t="s">
        <v>20</v>
      </c>
      <c r="C746" s="8" t="str">
        <f>IFERROR(_xlfn.XLOOKUP(TRIM(B746),Lookup!$B$2:$B$1000,Lookup!$C$2:$C$1000),"")</f>
        <v>Equity</v>
      </c>
      <c r="D746" s="8" t="s">
        <v>21</v>
      </c>
      <c r="E746" s="9">
        <v>45911</v>
      </c>
      <c r="F746" s="8">
        <v>29.398700000000002</v>
      </c>
    </row>
    <row r="747" spans="1:6" ht="45" x14ac:dyDescent="0.25">
      <c r="A747" s="8" t="s">
        <v>5</v>
      </c>
      <c r="B747" s="8" t="s">
        <v>20</v>
      </c>
      <c r="C747" s="8" t="str">
        <f>IFERROR(_xlfn.XLOOKUP(TRIM(B747),Lookup!$B$2:$B$1000,Lookup!$C$2:$C$1000),"")</f>
        <v>Equity</v>
      </c>
      <c r="D747" s="8" t="s">
        <v>21</v>
      </c>
      <c r="E747" s="9">
        <v>45912</v>
      </c>
      <c r="F747" s="8">
        <v>29.492699999999999</v>
      </c>
    </row>
    <row r="748" spans="1:6" ht="45" x14ac:dyDescent="0.25">
      <c r="A748" s="8" t="s">
        <v>5</v>
      </c>
      <c r="B748" s="8" t="s">
        <v>20</v>
      </c>
      <c r="C748" s="8" t="str">
        <f>IFERROR(_xlfn.XLOOKUP(TRIM(B748),Lookup!$B$2:$B$1000,Lookup!$C$2:$C$1000),"")</f>
        <v>Equity</v>
      </c>
      <c r="D748" s="8" t="s">
        <v>21</v>
      </c>
      <c r="E748" s="9">
        <v>45915</v>
      </c>
      <c r="F748" s="8">
        <v>29.509699999999999</v>
      </c>
    </row>
    <row r="749" spans="1:6" ht="45" x14ac:dyDescent="0.25">
      <c r="A749" s="8" t="s">
        <v>5</v>
      </c>
      <c r="B749" s="8" t="s">
        <v>20</v>
      </c>
      <c r="C749" s="8" t="str">
        <f>IFERROR(_xlfn.XLOOKUP(TRIM(B749),Lookup!$B$2:$B$1000,Lookup!$C$2:$C$1000),"")</f>
        <v>Equity</v>
      </c>
      <c r="D749" s="8" t="s">
        <v>21</v>
      </c>
      <c r="E749" s="9">
        <v>45916</v>
      </c>
      <c r="F749" s="8">
        <v>29.664300000000001</v>
      </c>
    </row>
    <row r="750" spans="1:6" ht="45" x14ac:dyDescent="0.25">
      <c r="A750" s="8" t="s">
        <v>5</v>
      </c>
      <c r="B750" s="8" t="s">
        <v>20</v>
      </c>
      <c r="C750" s="8" t="str">
        <f>IFERROR(_xlfn.XLOOKUP(TRIM(B750),Lookup!$B$2:$B$1000,Lookup!$C$2:$C$1000),"")</f>
        <v>Equity</v>
      </c>
      <c r="D750" s="8" t="s">
        <v>21</v>
      </c>
      <c r="E750" s="9">
        <v>45917</v>
      </c>
      <c r="F750" s="8">
        <v>29.779599999999999</v>
      </c>
    </row>
    <row r="751" spans="1:6" ht="45" x14ac:dyDescent="0.25">
      <c r="A751" s="8" t="s">
        <v>5</v>
      </c>
      <c r="B751" s="8" t="s">
        <v>20</v>
      </c>
      <c r="C751" s="8" t="str">
        <f>IFERROR(_xlfn.XLOOKUP(TRIM(B751),Lookup!$B$2:$B$1000,Lookup!$C$2:$C$1000),"")</f>
        <v>Equity</v>
      </c>
      <c r="D751" s="8" t="s">
        <v>21</v>
      </c>
      <c r="E751" s="9">
        <v>45918</v>
      </c>
      <c r="F751" s="8">
        <v>29.872399999999999</v>
      </c>
    </row>
    <row r="752" spans="1:6" ht="45" x14ac:dyDescent="0.25">
      <c r="A752" s="8" t="s">
        <v>5</v>
      </c>
      <c r="B752" s="8" t="s">
        <v>20</v>
      </c>
      <c r="C752" s="8" t="str">
        <f>IFERROR(_xlfn.XLOOKUP(TRIM(B752),Lookup!$B$2:$B$1000,Lookup!$C$2:$C$1000),"")</f>
        <v>Equity</v>
      </c>
      <c r="D752" s="8" t="s">
        <v>21</v>
      </c>
      <c r="E752" s="9">
        <v>45919</v>
      </c>
      <c r="F752" s="8">
        <v>29.8337</v>
      </c>
    </row>
    <row r="753" spans="1:6" ht="45" x14ac:dyDescent="0.25">
      <c r="A753" s="8" t="s">
        <v>5</v>
      </c>
      <c r="B753" s="8" t="s">
        <v>20</v>
      </c>
      <c r="C753" s="8" t="str">
        <f>IFERROR(_xlfn.XLOOKUP(TRIM(B753),Lookup!$B$2:$B$1000,Lookup!$C$2:$C$1000),"")</f>
        <v>Equity</v>
      </c>
      <c r="D753" s="8" t="s">
        <v>21</v>
      </c>
      <c r="E753" s="9">
        <v>45922</v>
      </c>
      <c r="F753" s="8">
        <v>29.726299999999998</v>
      </c>
    </row>
    <row r="754" spans="1:6" ht="45" x14ac:dyDescent="0.25">
      <c r="A754" s="8" t="s">
        <v>5</v>
      </c>
      <c r="B754" s="8" t="s">
        <v>20</v>
      </c>
      <c r="C754" s="8" t="str">
        <f>IFERROR(_xlfn.XLOOKUP(TRIM(B754),Lookup!$B$2:$B$1000,Lookup!$C$2:$C$1000),"")</f>
        <v>Equity</v>
      </c>
      <c r="D754" s="8" t="s">
        <v>21</v>
      </c>
      <c r="E754" s="9">
        <v>45923</v>
      </c>
      <c r="F754" s="8">
        <v>29.652799999999999</v>
      </c>
    </row>
    <row r="755" spans="1:6" ht="45" x14ac:dyDescent="0.25">
      <c r="A755" s="8" t="s">
        <v>5</v>
      </c>
      <c r="B755" s="8" t="s">
        <v>20</v>
      </c>
      <c r="C755" s="8" t="str">
        <f>IFERROR(_xlfn.XLOOKUP(TRIM(B755),Lookup!$B$2:$B$1000,Lookup!$C$2:$C$1000),"")</f>
        <v>Equity</v>
      </c>
      <c r="D755" s="8" t="s">
        <v>21</v>
      </c>
      <c r="E755" s="9">
        <v>45924</v>
      </c>
      <c r="F755" s="8">
        <v>29.502300000000002</v>
      </c>
    </row>
    <row r="756" spans="1:6" ht="45" x14ac:dyDescent="0.25">
      <c r="A756" s="8" t="s">
        <v>5</v>
      </c>
      <c r="B756" s="8" t="s">
        <v>20</v>
      </c>
      <c r="C756" s="8" t="str">
        <f>IFERROR(_xlfn.XLOOKUP(TRIM(B756),Lookup!$B$2:$B$1000,Lookup!$C$2:$C$1000),"")</f>
        <v>Equity</v>
      </c>
      <c r="D756" s="8" t="s">
        <v>21</v>
      </c>
      <c r="E756" s="9">
        <v>45925</v>
      </c>
      <c r="F756" s="8">
        <v>29.311699999999998</v>
      </c>
    </row>
    <row r="757" spans="1:6" ht="45" x14ac:dyDescent="0.25">
      <c r="A757" s="8" t="s">
        <v>5</v>
      </c>
      <c r="B757" s="8" t="s">
        <v>20</v>
      </c>
      <c r="C757" s="8" t="str">
        <f>IFERROR(_xlfn.XLOOKUP(TRIM(B757),Lookup!$B$2:$B$1000,Lookup!$C$2:$C$1000),"")</f>
        <v>Equity</v>
      </c>
      <c r="D757" s="8" t="s">
        <v>21</v>
      </c>
      <c r="E757" s="9">
        <v>45926</v>
      </c>
      <c r="F757" s="8">
        <v>28.9802</v>
      </c>
    </row>
    <row r="758" spans="1:6" ht="45" x14ac:dyDescent="0.25">
      <c r="A758" s="8" t="s">
        <v>5</v>
      </c>
      <c r="B758" s="8" t="s">
        <v>20</v>
      </c>
      <c r="C758" s="8" t="str">
        <f>IFERROR(_xlfn.XLOOKUP(TRIM(B758),Lookup!$B$2:$B$1000,Lookup!$C$2:$C$1000),"")</f>
        <v>Equity</v>
      </c>
      <c r="D758" s="8" t="s">
        <v>21</v>
      </c>
      <c r="E758" s="9">
        <v>45929</v>
      </c>
      <c r="F758" s="8">
        <v>29.0182</v>
      </c>
    </row>
    <row r="759" spans="1:6" ht="45" x14ac:dyDescent="0.25">
      <c r="A759" s="8" t="s">
        <v>5</v>
      </c>
      <c r="B759" s="8" t="s">
        <v>20</v>
      </c>
      <c r="C759" s="8" t="str">
        <f>IFERROR(_xlfn.XLOOKUP(TRIM(B759),Lookup!$B$2:$B$1000,Lookup!$C$2:$C$1000),"")</f>
        <v>Equity</v>
      </c>
      <c r="D759" s="8" t="s">
        <v>21</v>
      </c>
      <c r="E759" s="9">
        <v>45930</v>
      </c>
      <c r="F759" s="8">
        <v>28.994199999999999</v>
      </c>
    </row>
    <row r="760" spans="1:6" ht="45" x14ac:dyDescent="0.25">
      <c r="A760" s="8" t="s">
        <v>5</v>
      </c>
      <c r="B760" s="8" t="s">
        <v>20</v>
      </c>
      <c r="C760" s="8" t="str">
        <f>IFERROR(_xlfn.XLOOKUP(TRIM(B760),Lookup!$B$2:$B$1000,Lookup!$C$2:$C$1000),"")</f>
        <v>Equity</v>
      </c>
      <c r="D760" s="8" t="s">
        <v>21</v>
      </c>
      <c r="E760" s="9">
        <v>45931</v>
      </c>
      <c r="F760" s="8">
        <v>29.209800000000001</v>
      </c>
    </row>
    <row r="761" spans="1:6" ht="45" x14ac:dyDescent="0.25">
      <c r="A761" s="8" t="s">
        <v>5</v>
      </c>
      <c r="B761" s="8" t="s">
        <v>20</v>
      </c>
      <c r="C761" s="8" t="str">
        <f>IFERROR(_xlfn.XLOOKUP(TRIM(B761),Lookup!$B$2:$B$1000,Lookup!$C$2:$C$1000),"")</f>
        <v>Equity</v>
      </c>
      <c r="D761" s="8" t="s">
        <v>21</v>
      </c>
      <c r="E761" s="9">
        <v>45933</v>
      </c>
      <c r="F761" s="8">
        <v>29.3005</v>
      </c>
    </row>
    <row r="762" spans="1:6" ht="45" x14ac:dyDescent="0.25">
      <c r="A762" s="8" t="s">
        <v>5</v>
      </c>
      <c r="B762" s="8" t="s">
        <v>20</v>
      </c>
      <c r="C762" s="8" t="str">
        <f>IFERROR(_xlfn.XLOOKUP(TRIM(B762),Lookup!$B$2:$B$1000,Lookup!$C$2:$C$1000),"")</f>
        <v>Equity</v>
      </c>
      <c r="D762" s="8" t="s">
        <v>21</v>
      </c>
      <c r="E762" s="9">
        <v>45936</v>
      </c>
      <c r="F762" s="8">
        <v>29.507300000000001</v>
      </c>
    </row>
    <row r="763" spans="1:6" ht="45" x14ac:dyDescent="0.25">
      <c r="A763" s="8" t="s">
        <v>5</v>
      </c>
      <c r="B763" s="8" t="s">
        <v>20</v>
      </c>
      <c r="C763" s="8" t="str">
        <f>IFERROR(_xlfn.XLOOKUP(TRIM(B763),Lookup!$B$2:$B$1000,Lookup!$C$2:$C$1000),"")</f>
        <v>Equity</v>
      </c>
      <c r="D763" s="8" t="s">
        <v>21</v>
      </c>
      <c r="E763" s="9">
        <v>45937</v>
      </c>
      <c r="F763" s="8">
        <v>29.514299999999999</v>
      </c>
    </row>
    <row r="764" spans="1:6" ht="45" x14ac:dyDescent="0.25">
      <c r="A764" s="8" t="s">
        <v>5</v>
      </c>
      <c r="B764" s="8" t="s">
        <v>20</v>
      </c>
      <c r="C764" s="8" t="str">
        <f>IFERROR(_xlfn.XLOOKUP(TRIM(B764),Lookup!$B$2:$B$1000,Lookup!$C$2:$C$1000),"")</f>
        <v>Equity</v>
      </c>
      <c r="D764" s="8" t="s">
        <v>21</v>
      </c>
      <c r="E764" s="9">
        <v>45938</v>
      </c>
      <c r="F764" s="8">
        <v>29.418099999999999</v>
      </c>
    </row>
    <row r="765" spans="1:6" ht="45" x14ac:dyDescent="0.25">
      <c r="A765" s="8" t="s">
        <v>5</v>
      </c>
      <c r="B765" s="8" t="s">
        <v>20</v>
      </c>
      <c r="C765" s="8" t="str">
        <f>IFERROR(_xlfn.XLOOKUP(TRIM(B765),Lookup!$B$2:$B$1000,Lookup!$C$2:$C$1000),"")</f>
        <v>Equity</v>
      </c>
      <c r="D765" s="8" t="s">
        <v>21</v>
      </c>
      <c r="E765" s="9">
        <v>45939</v>
      </c>
      <c r="F765" s="8">
        <v>29.574999999999999</v>
      </c>
    </row>
    <row r="766" spans="1:6" ht="45" x14ac:dyDescent="0.25">
      <c r="A766" s="8" t="s">
        <v>5</v>
      </c>
      <c r="B766" s="8" t="s">
        <v>20</v>
      </c>
      <c r="C766" s="8" t="str">
        <f>IFERROR(_xlfn.XLOOKUP(TRIM(B766),Lookup!$B$2:$B$1000,Lookup!$C$2:$C$1000),"")</f>
        <v>Equity</v>
      </c>
      <c r="D766" s="8" t="s">
        <v>21</v>
      </c>
      <c r="E766" s="9">
        <v>45940</v>
      </c>
      <c r="F766" s="8">
        <v>29.672999999999998</v>
      </c>
    </row>
    <row r="767" spans="1:6" ht="45" x14ac:dyDescent="0.25">
      <c r="A767" s="8" t="s">
        <v>5</v>
      </c>
      <c r="B767" s="8" t="s">
        <v>20</v>
      </c>
      <c r="C767" s="8" t="str">
        <f>IFERROR(_xlfn.XLOOKUP(TRIM(B767),Lookup!$B$2:$B$1000,Lookup!$C$2:$C$1000),"")</f>
        <v>Equity</v>
      </c>
      <c r="D767" s="8" t="s">
        <v>21</v>
      </c>
      <c r="E767" s="9">
        <v>45943</v>
      </c>
      <c r="F767" s="8">
        <v>29.6128</v>
      </c>
    </row>
    <row r="768" spans="1:6" ht="45" x14ac:dyDescent="0.25">
      <c r="A768" s="8" t="s">
        <v>5</v>
      </c>
      <c r="B768" s="8" t="s">
        <v>20</v>
      </c>
      <c r="C768" s="8" t="str">
        <f>IFERROR(_xlfn.XLOOKUP(TRIM(B768),Lookup!$B$2:$B$1000,Lookup!$C$2:$C$1000),"")</f>
        <v>Equity</v>
      </c>
      <c r="D768" s="8" t="s">
        <v>21</v>
      </c>
      <c r="E768" s="9">
        <v>45944</v>
      </c>
      <c r="F768" s="8">
        <v>29.510999999999999</v>
      </c>
    </row>
    <row r="769" spans="1:6" ht="45" x14ac:dyDescent="0.25">
      <c r="A769" s="8" t="s">
        <v>5</v>
      </c>
      <c r="B769" s="8" t="s">
        <v>20</v>
      </c>
      <c r="C769" s="8" t="str">
        <f>IFERROR(_xlfn.XLOOKUP(TRIM(B769),Lookup!$B$2:$B$1000,Lookup!$C$2:$C$1000),"")</f>
        <v>Equity</v>
      </c>
      <c r="D769" s="8" t="s">
        <v>21</v>
      </c>
      <c r="E769" s="9">
        <v>45945</v>
      </c>
      <c r="F769" s="8">
        <v>29.755500000000001</v>
      </c>
    </row>
    <row r="770" spans="1:6" ht="45" x14ac:dyDescent="0.25">
      <c r="A770" s="8" t="s">
        <v>5</v>
      </c>
      <c r="B770" s="8" t="s">
        <v>20</v>
      </c>
      <c r="C770" s="8" t="str">
        <f>IFERROR(_xlfn.XLOOKUP(TRIM(B770),Lookup!$B$2:$B$1000,Lookup!$C$2:$C$1000),"")</f>
        <v>Equity</v>
      </c>
      <c r="D770" s="8" t="s">
        <v>21</v>
      </c>
      <c r="E770" s="9">
        <v>45946</v>
      </c>
      <c r="F770" s="8">
        <v>30.015000000000001</v>
      </c>
    </row>
    <row r="771" spans="1:6" ht="45" x14ac:dyDescent="0.25">
      <c r="A771" s="8" t="s">
        <v>5</v>
      </c>
      <c r="B771" s="8" t="s">
        <v>20</v>
      </c>
      <c r="C771" s="8" t="str">
        <f>IFERROR(_xlfn.XLOOKUP(TRIM(B771),Lookup!$B$2:$B$1000,Lookup!$C$2:$C$1000),"")</f>
        <v>Equity</v>
      </c>
      <c r="D771" s="8" t="s">
        <v>21</v>
      </c>
      <c r="E771" s="9">
        <v>45947</v>
      </c>
      <c r="F771" s="8">
        <v>30.091100000000001</v>
      </c>
    </row>
    <row r="772" spans="1:6" ht="45" x14ac:dyDescent="0.25">
      <c r="A772" s="8" t="s">
        <v>5</v>
      </c>
      <c r="B772" s="8" t="s">
        <v>20</v>
      </c>
      <c r="C772" s="8" t="str">
        <f>IFERROR(_xlfn.XLOOKUP(TRIM(B772),Lookup!$B$2:$B$1000,Lookup!$C$2:$C$1000),"")</f>
        <v>Equity</v>
      </c>
      <c r="D772" s="8" t="s">
        <v>21</v>
      </c>
      <c r="E772" s="9">
        <v>45950</v>
      </c>
      <c r="F772" s="8">
        <v>30.255800000000001</v>
      </c>
    </row>
    <row r="773" spans="1:6" ht="45" x14ac:dyDescent="0.25">
      <c r="A773" s="8" t="s">
        <v>5</v>
      </c>
      <c r="B773" s="8" t="s">
        <v>20</v>
      </c>
      <c r="C773" s="8" t="str">
        <f>IFERROR(_xlfn.XLOOKUP(TRIM(B773),Lookup!$B$2:$B$1000,Lookup!$C$2:$C$1000),"")</f>
        <v>Equity</v>
      </c>
      <c r="D773" s="8" t="s">
        <v>21</v>
      </c>
      <c r="E773" s="9">
        <v>45953</v>
      </c>
      <c r="F773" s="8">
        <v>30.263000000000002</v>
      </c>
    </row>
    <row r="774" spans="1:6" ht="45" x14ac:dyDescent="0.25">
      <c r="A774" s="8" t="s">
        <v>5</v>
      </c>
      <c r="B774" s="8" t="s">
        <v>20</v>
      </c>
      <c r="C774" s="8" t="str">
        <f>IFERROR(_xlfn.XLOOKUP(TRIM(B774),Lookup!$B$2:$B$1000,Lookup!$C$2:$C$1000),"")</f>
        <v>Equity</v>
      </c>
      <c r="D774" s="8" t="s">
        <v>21</v>
      </c>
      <c r="E774" s="9">
        <v>45954</v>
      </c>
      <c r="F774" s="8">
        <v>30.140499999999999</v>
      </c>
    </row>
    <row r="775" spans="1:6" ht="45" x14ac:dyDescent="0.25">
      <c r="A775" s="8" t="s">
        <v>5</v>
      </c>
      <c r="B775" s="8" t="s">
        <v>20</v>
      </c>
      <c r="C775" s="8" t="str">
        <f>IFERROR(_xlfn.XLOOKUP(TRIM(B775),Lookup!$B$2:$B$1000,Lookup!$C$2:$C$1000),"")</f>
        <v>Equity</v>
      </c>
      <c r="D775" s="8" t="s">
        <v>21</v>
      </c>
      <c r="E775" s="9">
        <v>45957</v>
      </c>
      <c r="F775" s="8">
        <v>30.366499999999998</v>
      </c>
    </row>
    <row r="776" spans="1:6" ht="45" x14ac:dyDescent="0.25">
      <c r="A776" s="8" t="s">
        <v>5</v>
      </c>
      <c r="B776" s="8" t="s">
        <v>20</v>
      </c>
      <c r="C776" s="8" t="str">
        <f>IFERROR(_xlfn.XLOOKUP(TRIM(B776),Lookup!$B$2:$B$1000,Lookup!$C$2:$C$1000),"")</f>
        <v>Equity</v>
      </c>
      <c r="D776" s="8" t="s">
        <v>21</v>
      </c>
      <c r="E776" s="9">
        <v>45958</v>
      </c>
      <c r="F776" s="8">
        <v>30.324300000000001</v>
      </c>
    </row>
    <row r="777" spans="1:6" ht="45" x14ac:dyDescent="0.25">
      <c r="A777" s="8" t="s">
        <v>5</v>
      </c>
      <c r="B777" s="8" t="s">
        <v>20</v>
      </c>
      <c r="C777" s="8" t="str">
        <f>IFERROR(_xlfn.XLOOKUP(TRIM(B777),Lookup!$B$2:$B$1000,Lookup!$C$2:$C$1000),"")</f>
        <v>Equity</v>
      </c>
      <c r="D777" s="8" t="s">
        <v>21</v>
      </c>
      <c r="E777" s="9">
        <v>45959</v>
      </c>
      <c r="F777" s="8">
        <v>30.4696</v>
      </c>
    </row>
    <row r="778" spans="1:6" ht="45" x14ac:dyDescent="0.25">
      <c r="A778" s="8" t="s">
        <v>5</v>
      </c>
      <c r="B778" s="8" t="s">
        <v>20</v>
      </c>
      <c r="C778" s="8" t="str">
        <f>IFERROR(_xlfn.XLOOKUP(TRIM(B778),Lookup!$B$2:$B$1000,Lookup!$C$2:$C$1000),"")</f>
        <v>Equity</v>
      </c>
      <c r="D778" s="8" t="s">
        <v>21</v>
      </c>
      <c r="E778" s="9">
        <v>45960</v>
      </c>
      <c r="F778" s="8">
        <v>30.321100000000001</v>
      </c>
    </row>
    <row r="779" spans="1:6" ht="45" x14ac:dyDescent="0.25">
      <c r="A779" s="8" t="s">
        <v>5</v>
      </c>
      <c r="B779" s="8" t="s">
        <v>20</v>
      </c>
      <c r="C779" s="8" t="str">
        <f>IFERROR(_xlfn.XLOOKUP(TRIM(B779),Lookup!$B$2:$B$1000,Lookup!$C$2:$C$1000),"")</f>
        <v>Equity</v>
      </c>
      <c r="D779" s="8" t="s">
        <v>21</v>
      </c>
      <c r="E779" s="9">
        <v>45961</v>
      </c>
      <c r="F779" s="8">
        <v>30.1279</v>
      </c>
    </row>
    <row r="780" spans="1:6" ht="45" x14ac:dyDescent="0.25">
      <c r="A780" s="8" t="s">
        <v>5</v>
      </c>
      <c r="B780" s="8" t="s">
        <v>20</v>
      </c>
      <c r="C780" s="8" t="str">
        <f>IFERROR(_xlfn.XLOOKUP(TRIM(B780),Lookup!$B$2:$B$1000,Lookup!$C$2:$C$1000),"")</f>
        <v>Equity</v>
      </c>
      <c r="D780" s="8" t="s">
        <v>21</v>
      </c>
      <c r="E780" s="9">
        <v>45964</v>
      </c>
      <c r="F780" s="8">
        <v>30.2483</v>
      </c>
    </row>
    <row r="781" spans="1:6" ht="45" x14ac:dyDescent="0.25">
      <c r="A781" s="8" t="s">
        <v>5</v>
      </c>
      <c r="B781" s="8" t="s">
        <v>20</v>
      </c>
      <c r="C781" s="8" t="str">
        <f>IFERROR(_xlfn.XLOOKUP(TRIM(B781),Lookup!$B$2:$B$1000,Lookup!$C$2:$C$1000),"")</f>
        <v>Equity</v>
      </c>
      <c r="D781" s="8" t="s">
        <v>21</v>
      </c>
      <c r="E781" s="9">
        <v>45965</v>
      </c>
      <c r="F781" s="8">
        <v>30.102699999999999</v>
      </c>
    </row>
    <row r="782" spans="1:6" ht="45" x14ac:dyDescent="0.25">
      <c r="A782" s="8" t="s">
        <v>5</v>
      </c>
      <c r="B782" s="8" t="s">
        <v>20</v>
      </c>
      <c r="C782" s="8" t="str">
        <f>IFERROR(_xlfn.XLOOKUP(TRIM(B782),Lookup!$B$2:$B$1000,Lookup!$C$2:$C$1000),"")</f>
        <v>Equity</v>
      </c>
      <c r="D782" s="8" t="s">
        <v>21</v>
      </c>
      <c r="E782" s="9">
        <v>45967</v>
      </c>
      <c r="F782" s="8">
        <v>29.857299999999999</v>
      </c>
    </row>
    <row r="783" spans="1:6" ht="45" x14ac:dyDescent="0.25">
      <c r="A783" s="8" t="s">
        <v>5</v>
      </c>
      <c r="B783" s="8" t="s">
        <v>20</v>
      </c>
      <c r="C783" s="8" t="str">
        <f>IFERROR(_xlfn.XLOOKUP(TRIM(B783),Lookup!$B$2:$B$1000,Lookup!$C$2:$C$1000),"")</f>
        <v>Equity</v>
      </c>
      <c r="D783" s="8" t="s">
        <v>21</v>
      </c>
      <c r="E783" s="9">
        <v>45968</v>
      </c>
      <c r="F783" s="8">
        <v>29.842300000000002</v>
      </c>
    </row>
    <row r="784" spans="1:6" ht="45" x14ac:dyDescent="0.25">
      <c r="A784" s="8" t="s">
        <v>5</v>
      </c>
      <c r="B784" s="8" t="s">
        <v>20</v>
      </c>
      <c r="C784" s="8" t="str">
        <f>IFERROR(_xlfn.XLOOKUP(TRIM(B784),Lookup!$B$2:$B$1000,Lookup!$C$2:$C$1000),"")</f>
        <v>Equity</v>
      </c>
      <c r="D784" s="8" t="s">
        <v>21</v>
      </c>
      <c r="E784" s="9">
        <v>45971</v>
      </c>
      <c r="F784" s="8">
        <v>29.987400000000001</v>
      </c>
    </row>
    <row r="785" spans="1:6" ht="45" x14ac:dyDescent="0.25">
      <c r="A785" s="8" t="s">
        <v>5</v>
      </c>
      <c r="B785" s="8" t="s">
        <v>20</v>
      </c>
      <c r="C785" s="8" t="str">
        <f>IFERROR(_xlfn.XLOOKUP(TRIM(B785),Lookup!$B$2:$B$1000,Lookup!$C$2:$C$1000),"")</f>
        <v>Equity</v>
      </c>
      <c r="D785" s="8" t="s">
        <v>21</v>
      </c>
      <c r="E785" s="9">
        <v>45972</v>
      </c>
      <c r="F785" s="8">
        <v>30.086500000000001</v>
      </c>
    </row>
    <row r="786" spans="1:6" ht="45" x14ac:dyDescent="0.25">
      <c r="A786" s="8" t="s">
        <v>5</v>
      </c>
      <c r="B786" s="8" t="s">
        <v>20</v>
      </c>
      <c r="C786" s="8" t="str">
        <f>IFERROR(_xlfn.XLOOKUP(TRIM(B786),Lookup!$B$2:$B$1000,Lookup!$C$2:$C$1000),"")</f>
        <v>Equity</v>
      </c>
      <c r="D786" s="8" t="s">
        <v>21</v>
      </c>
      <c r="E786" s="9">
        <v>45973</v>
      </c>
      <c r="F786" s="8">
        <v>30.235700000000001</v>
      </c>
    </row>
    <row r="787" spans="1:6" ht="45" x14ac:dyDescent="0.25">
      <c r="A787" s="8" t="s">
        <v>5</v>
      </c>
      <c r="B787" s="8" t="s">
        <v>20</v>
      </c>
      <c r="C787" s="8" t="str">
        <f>IFERROR(_xlfn.XLOOKUP(TRIM(B787),Lookup!$B$2:$B$1000,Lookup!$C$2:$C$1000),"")</f>
        <v>Equity</v>
      </c>
      <c r="D787" s="8" t="s">
        <v>21</v>
      </c>
      <c r="E787" s="9">
        <v>45974</v>
      </c>
      <c r="F787" s="8">
        <v>30.2118</v>
      </c>
    </row>
    <row r="788" spans="1:6" ht="45" x14ac:dyDescent="0.25">
      <c r="A788" s="8" t="s">
        <v>5</v>
      </c>
      <c r="B788" s="8" t="s">
        <v>20</v>
      </c>
      <c r="C788" s="8" t="str">
        <f>IFERROR(_xlfn.XLOOKUP(TRIM(B788),Lookup!$B$2:$B$1000,Lookup!$C$2:$C$1000),"")</f>
        <v>Equity</v>
      </c>
      <c r="D788" s="8" t="s">
        <v>21</v>
      </c>
      <c r="E788" s="9">
        <v>45975</v>
      </c>
      <c r="F788" s="8">
        <v>30.2348</v>
      </c>
    </row>
    <row r="789" spans="1:6" ht="45" x14ac:dyDescent="0.25">
      <c r="A789" s="8" t="s">
        <v>5</v>
      </c>
      <c r="B789" s="8" t="s">
        <v>20</v>
      </c>
      <c r="C789" s="8" t="str">
        <f>IFERROR(_xlfn.XLOOKUP(TRIM(B789),Lookup!$B$2:$B$1000,Lookup!$C$2:$C$1000),"")</f>
        <v>Equity</v>
      </c>
      <c r="D789" s="8" t="s">
        <v>21</v>
      </c>
      <c r="E789" s="9">
        <v>45978</v>
      </c>
      <c r="F789" s="8">
        <v>30.387</v>
      </c>
    </row>
    <row r="790" spans="1:6" ht="45" x14ac:dyDescent="0.25">
      <c r="A790" s="8" t="s">
        <v>5</v>
      </c>
      <c r="B790" s="8" t="s">
        <v>20</v>
      </c>
      <c r="C790" s="8" t="str">
        <f>IFERROR(_xlfn.XLOOKUP(TRIM(B790),Lookup!$B$2:$B$1000,Lookup!$C$2:$C$1000),"")</f>
        <v>Equity</v>
      </c>
      <c r="D790" s="8" t="s">
        <v>21</v>
      </c>
      <c r="E790" s="9">
        <v>45979</v>
      </c>
      <c r="F790" s="8">
        <v>30.285799999999998</v>
      </c>
    </row>
    <row r="791" spans="1:6" ht="45" x14ac:dyDescent="0.25">
      <c r="A791" s="8" t="s">
        <v>5</v>
      </c>
      <c r="B791" s="8" t="s">
        <v>20</v>
      </c>
      <c r="C791" s="8" t="str">
        <f>IFERROR(_xlfn.XLOOKUP(TRIM(B791),Lookup!$B$2:$B$1000,Lookup!$C$2:$C$1000),"")</f>
        <v>Equity</v>
      </c>
      <c r="D791" s="8" t="s">
        <v>21</v>
      </c>
      <c r="E791" s="9">
        <v>45980</v>
      </c>
      <c r="F791" s="8">
        <v>30.369299999999999</v>
      </c>
    </row>
    <row r="792" spans="1:6" ht="45" x14ac:dyDescent="0.25">
      <c r="A792" s="8" t="s">
        <v>5</v>
      </c>
      <c r="B792" s="8" t="s">
        <v>20</v>
      </c>
      <c r="C792" s="8" t="str">
        <f>IFERROR(_xlfn.XLOOKUP(TRIM(B792),Lookup!$B$2:$B$1000,Lookup!$C$2:$C$1000),"")</f>
        <v>Equity</v>
      </c>
      <c r="D792" s="8" t="s">
        <v>21</v>
      </c>
      <c r="E792" s="9">
        <v>45981</v>
      </c>
      <c r="F792" s="8">
        <v>30.498699999999999</v>
      </c>
    </row>
    <row r="793" spans="1:6" ht="45" x14ac:dyDescent="0.25">
      <c r="A793" s="8" t="s">
        <v>5</v>
      </c>
      <c r="B793" s="8" t="s">
        <v>20</v>
      </c>
      <c r="C793" s="8" t="str">
        <f>IFERROR(_xlfn.XLOOKUP(TRIM(B793),Lookup!$B$2:$B$1000,Lookup!$C$2:$C$1000),"")</f>
        <v>Equity</v>
      </c>
      <c r="D793" s="8" t="s">
        <v>21</v>
      </c>
      <c r="E793" s="9">
        <v>45982</v>
      </c>
      <c r="F793" s="8">
        <v>30.293800000000001</v>
      </c>
    </row>
    <row r="794" spans="1:6" ht="45" x14ac:dyDescent="0.25">
      <c r="A794" s="8" t="s">
        <v>5</v>
      </c>
      <c r="B794" s="8" t="s">
        <v>20</v>
      </c>
      <c r="C794" s="8" t="str">
        <f>IFERROR(_xlfn.XLOOKUP(TRIM(B794),Lookup!$B$2:$B$1000,Lookup!$C$2:$C$1000),"")</f>
        <v>Equity</v>
      </c>
      <c r="D794" s="8" t="s">
        <v>21</v>
      </c>
      <c r="E794" s="9">
        <v>45985</v>
      </c>
      <c r="F794" s="8">
        <v>30.174299999999999</v>
      </c>
    </row>
    <row r="795" spans="1:6" ht="45" x14ac:dyDescent="0.25">
      <c r="A795" s="8" t="s">
        <v>5</v>
      </c>
      <c r="B795" s="8" t="s">
        <v>20</v>
      </c>
      <c r="C795" s="8" t="str">
        <f>IFERROR(_xlfn.XLOOKUP(TRIM(B795),Lookup!$B$2:$B$1000,Lookup!$C$2:$C$1000),"")</f>
        <v>Equity</v>
      </c>
      <c r="D795" s="8" t="s">
        <v>21</v>
      </c>
      <c r="E795" s="9">
        <v>45986</v>
      </c>
      <c r="F795" s="8">
        <v>30.145199999999999</v>
      </c>
    </row>
    <row r="796" spans="1:6" ht="45" x14ac:dyDescent="0.25">
      <c r="A796" s="8" t="s">
        <v>5</v>
      </c>
      <c r="B796" s="8" t="s">
        <v>20</v>
      </c>
      <c r="C796" s="8" t="str">
        <f>IFERROR(_xlfn.XLOOKUP(TRIM(B796),Lookup!$B$2:$B$1000,Lookup!$C$2:$C$1000),"")</f>
        <v>Equity</v>
      </c>
      <c r="D796" s="8" t="s">
        <v>21</v>
      </c>
      <c r="E796" s="9">
        <v>45987</v>
      </c>
      <c r="F796" s="8">
        <v>30.495000000000001</v>
      </c>
    </row>
    <row r="797" spans="1:6" ht="45" x14ac:dyDescent="0.25">
      <c r="A797" s="8" t="s">
        <v>5</v>
      </c>
      <c r="B797" s="8" t="s">
        <v>20</v>
      </c>
      <c r="C797" s="8" t="str">
        <f>IFERROR(_xlfn.XLOOKUP(TRIM(B797),Lookup!$B$2:$B$1000,Lookup!$C$2:$C$1000),"")</f>
        <v>Equity</v>
      </c>
      <c r="D797" s="8" t="s">
        <v>21</v>
      </c>
      <c r="E797" s="9">
        <v>45988</v>
      </c>
      <c r="F797" s="8">
        <v>30.486499999999999</v>
      </c>
    </row>
    <row r="798" spans="1:6" ht="45" x14ac:dyDescent="0.25">
      <c r="A798" s="8" t="s">
        <v>5</v>
      </c>
      <c r="B798" s="8" t="s">
        <v>20</v>
      </c>
      <c r="C798" s="8" t="str">
        <f>IFERROR(_xlfn.XLOOKUP(TRIM(B798),Lookup!$B$2:$B$1000,Lookup!$C$2:$C$1000),"")</f>
        <v>Equity</v>
      </c>
      <c r="D798" s="8" t="s">
        <v>21</v>
      </c>
      <c r="E798" s="9">
        <v>45989</v>
      </c>
      <c r="F798" s="8">
        <v>30.504899999999999</v>
      </c>
    </row>
    <row r="799" spans="1:6" ht="45" x14ac:dyDescent="0.25">
      <c r="A799" s="8" t="s">
        <v>5</v>
      </c>
      <c r="B799" s="8" t="s">
        <v>20</v>
      </c>
      <c r="C799" s="8" t="str">
        <f>IFERROR(_xlfn.XLOOKUP(TRIM(B799),Lookup!$B$2:$B$1000,Lookup!$C$2:$C$1000),"")</f>
        <v>Equity</v>
      </c>
      <c r="D799" s="8" t="s">
        <v>21</v>
      </c>
      <c r="E799" s="9">
        <v>45993</v>
      </c>
      <c r="F799" s="8">
        <v>30.351400000000002</v>
      </c>
    </row>
    <row r="800" spans="1:6" ht="45" x14ac:dyDescent="0.25">
      <c r="A800" s="8" t="s">
        <v>5</v>
      </c>
      <c r="B800" s="8" t="s">
        <v>20</v>
      </c>
      <c r="C800" s="8" t="str">
        <f>IFERROR(_xlfn.XLOOKUP(TRIM(B800),Lookup!$B$2:$B$1000,Lookup!$C$2:$C$1000),"")</f>
        <v>Equity</v>
      </c>
      <c r="D800" s="8" t="s">
        <v>21</v>
      </c>
      <c r="E800" s="9">
        <v>45994</v>
      </c>
      <c r="F800" s="8">
        <v>30.2012</v>
      </c>
    </row>
    <row r="801" spans="1:6" ht="45" x14ac:dyDescent="0.25">
      <c r="A801" s="8" t="s">
        <v>5</v>
      </c>
      <c r="B801" s="8" t="s">
        <v>20</v>
      </c>
      <c r="C801" s="8" t="str">
        <f>IFERROR(_xlfn.XLOOKUP(TRIM(B801),Lookup!$B$2:$B$1000,Lookup!$C$2:$C$1000),"")</f>
        <v>Equity</v>
      </c>
      <c r="D801" s="8" t="s">
        <v>21</v>
      </c>
      <c r="E801" s="9">
        <v>45995</v>
      </c>
      <c r="F801" s="8">
        <v>30.2423</v>
      </c>
    </row>
    <row r="802" spans="1:6" ht="45" x14ac:dyDescent="0.25">
      <c r="A802" s="8" t="s">
        <v>5</v>
      </c>
      <c r="B802" s="8" t="s">
        <v>20</v>
      </c>
      <c r="C802" s="8" t="str">
        <f>IFERROR(_xlfn.XLOOKUP(TRIM(B802),Lookup!$B$2:$B$1000,Lookup!$C$2:$C$1000),"")</f>
        <v>Equity</v>
      </c>
      <c r="D802" s="8" t="s">
        <v>21</v>
      </c>
      <c r="E802" s="9">
        <v>45996</v>
      </c>
      <c r="F802" s="8">
        <v>30.385200000000001</v>
      </c>
    </row>
    <row r="803" spans="1:6" ht="45" x14ac:dyDescent="0.25">
      <c r="A803" s="8" t="s">
        <v>5</v>
      </c>
      <c r="B803" s="8" t="s">
        <v>20</v>
      </c>
      <c r="C803" s="8" t="str">
        <f>IFERROR(_xlfn.XLOOKUP(TRIM(B803),Lookup!$B$2:$B$1000,Lookup!$C$2:$C$1000),"")</f>
        <v>Equity</v>
      </c>
      <c r="D803" s="8" t="s">
        <v>21</v>
      </c>
      <c r="E803" s="9">
        <v>45999</v>
      </c>
      <c r="F803" s="8">
        <v>30.022400000000001</v>
      </c>
    </row>
    <row r="804" spans="1:6" ht="45" x14ac:dyDescent="0.25">
      <c r="A804" s="8" t="s">
        <v>5</v>
      </c>
      <c r="B804" s="8" t="s">
        <v>20</v>
      </c>
      <c r="C804" s="8" t="str">
        <f>IFERROR(_xlfn.XLOOKUP(TRIM(B804),Lookup!$B$2:$B$1000,Lookup!$C$2:$C$1000),"")</f>
        <v>Equity</v>
      </c>
      <c r="D804" s="8" t="s">
        <v>21</v>
      </c>
      <c r="E804" s="9">
        <v>46000</v>
      </c>
      <c r="F804" s="8">
        <v>30.014399999999998</v>
      </c>
    </row>
    <row r="805" spans="1:6" ht="45" x14ac:dyDescent="0.25">
      <c r="A805" s="8" t="s">
        <v>5</v>
      </c>
      <c r="B805" s="8" t="s">
        <v>20</v>
      </c>
      <c r="C805" s="8" t="str">
        <f>IFERROR(_xlfn.XLOOKUP(TRIM(B805),Lookup!$B$2:$B$1000,Lookup!$C$2:$C$1000),"")</f>
        <v>Equity</v>
      </c>
      <c r="D805" s="8" t="s">
        <v>21</v>
      </c>
      <c r="E805" s="9">
        <v>46001</v>
      </c>
      <c r="F805" s="8">
        <v>29.976199999999999</v>
      </c>
    </row>
    <row r="806" spans="1:6" ht="45" x14ac:dyDescent="0.25">
      <c r="A806" s="8" t="s">
        <v>5</v>
      </c>
      <c r="B806" s="8" t="s">
        <v>20</v>
      </c>
      <c r="C806" s="8" t="str">
        <f>IFERROR(_xlfn.XLOOKUP(TRIM(B806),Lookup!$B$2:$B$1000,Lookup!$C$2:$C$1000),"")</f>
        <v>Equity</v>
      </c>
      <c r="D806" s="8" t="s">
        <v>21</v>
      </c>
      <c r="E806" s="9">
        <v>46002</v>
      </c>
      <c r="F806" s="8">
        <v>30.135100000000001</v>
      </c>
    </row>
    <row r="807" spans="1:6" ht="45" x14ac:dyDescent="0.25">
      <c r="A807" s="8" t="s">
        <v>5</v>
      </c>
      <c r="B807" s="8" t="s">
        <v>20</v>
      </c>
      <c r="C807" s="8" t="str">
        <f>IFERROR(_xlfn.XLOOKUP(TRIM(B807),Lookup!$B$2:$B$1000,Lookup!$C$2:$C$1000),"")</f>
        <v>Equity</v>
      </c>
      <c r="D807" s="8" t="s">
        <v>21</v>
      </c>
      <c r="E807" s="9">
        <v>46003</v>
      </c>
      <c r="F807" s="8">
        <v>30.345099999999999</v>
      </c>
    </row>
    <row r="808" spans="1:6" ht="45" x14ac:dyDescent="0.25">
      <c r="A808" s="8" t="s">
        <v>5</v>
      </c>
      <c r="B808" s="8" t="s">
        <v>20</v>
      </c>
      <c r="C808" s="8" t="str">
        <f>IFERROR(_xlfn.XLOOKUP(TRIM(B808),Lookup!$B$2:$B$1000,Lookup!$C$2:$C$1000),"")</f>
        <v>Equity</v>
      </c>
      <c r="D808" s="8" t="s">
        <v>21</v>
      </c>
      <c r="E808" s="9">
        <v>46006</v>
      </c>
      <c r="F808" s="8">
        <v>30.3474</v>
      </c>
    </row>
    <row r="809" spans="1:6" ht="45" x14ac:dyDescent="0.25">
      <c r="A809" s="8" t="s">
        <v>5</v>
      </c>
      <c r="B809" s="8" t="s">
        <v>20</v>
      </c>
      <c r="C809" s="8" t="str">
        <f>IFERROR(_xlfn.XLOOKUP(TRIM(B809),Lookup!$B$2:$B$1000,Lookup!$C$2:$C$1000),"")</f>
        <v>Equity</v>
      </c>
      <c r="D809" s="8" t="s">
        <v>21</v>
      </c>
      <c r="E809" s="9">
        <v>46007</v>
      </c>
      <c r="F809" s="8">
        <v>30.1753</v>
      </c>
    </row>
    <row r="810" spans="1:6" ht="45" x14ac:dyDescent="0.25">
      <c r="A810" s="8" t="s">
        <v>5</v>
      </c>
      <c r="B810" s="8" t="s">
        <v>20</v>
      </c>
      <c r="C810" s="8" t="str">
        <f>IFERROR(_xlfn.XLOOKUP(TRIM(B810),Lookup!$B$2:$B$1000,Lookup!$C$2:$C$1000),"")</f>
        <v>Equity</v>
      </c>
      <c r="D810" s="8" t="s">
        <v>21</v>
      </c>
      <c r="E810" s="9">
        <v>46008</v>
      </c>
      <c r="F810" s="8">
        <v>30.141999999999999</v>
      </c>
    </row>
    <row r="811" spans="1:6" ht="45" x14ac:dyDescent="0.25">
      <c r="A811" s="8" t="s">
        <v>5</v>
      </c>
      <c r="B811" s="8" t="s">
        <v>20</v>
      </c>
      <c r="C811" s="8" t="str">
        <f>IFERROR(_xlfn.XLOOKUP(TRIM(B811),Lookup!$B$2:$B$1000,Lookup!$C$2:$C$1000),"")</f>
        <v>Equity</v>
      </c>
      <c r="D811" s="8" t="s">
        <v>21</v>
      </c>
      <c r="E811" s="9">
        <v>46009</v>
      </c>
      <c r="F811" s="8">
        <v>30.115600000000001</v>
      </c>
    </row>
    <row r="812" spans="1:6" ht="45" x14ac:dyDescent="0.25">
      <c r="A812" s="8" t="s">
        <v>5</v>
      </c>
      <c r="B812" s="8" t="s">
        <v>20</v>
      </c>
      <c r="C812" s="8" t="str">
        <f>IFERROR(_xlfn.XLOOKUP(TRIM(B812),Lookup!$B$2:$B$1000,Lookup!$C$2:$C$1000),"")</f>
        <v>Equity</v>
      </c>
      <c r="D812" s="8" t="s">
        <v>21</v>
      </c>
      <c r="E812" s="9">
        <v>46010</v>
      </c>
      <c r="F812" s="8">
        <v>30.335000000000001</v>
      </c>
    </row>
    <row r="813" spans="1:6" ht="45" x14ac:dyDescent="0.25">
      <c r="A813" s="8" t="s">
        <v>5</v>
      </c>
      <c r="B813" s="8" t="s">
        <v>20</v>
      </c>
      <c r="C813" s="8" t="str">
        <f>IFERROR(_xlfn.XLOOKUP(TRIM(B813),Lookup!$B$2:$B$1000,Lookup!$C$2:$C$1000),"")</f>
        <v>Equity</v>
      </c>
      <c r="D813" s="8" t="s">
        <v>21</v>
      </c>
      <c r="E813" s="9">
        <v>46013</v>
      </c>
      <c r="F813" s="8">
        <v>30.473700000000001</v>
      </c>
    </row>
    <row r="814" spans="1:6" ht="45" x14ac:dyDescent="0.25">
      <c r="A814" s="8" t="s">
        <v>5</v>
      </c>
      <c r="B814" s="8" t="s">
        <v>20</v>
      </c>
      <c r="C814" s="8" t="str">
        <f>IFERROR(_xlfn.XLOOKUP(TRIM(B814),Lookup!$B$2:$B$1000,Lookup!$C$2:$C$1000),"")</f>
        <v>Equity</v>
      </c>
      <c r="D814" s="8" t="s">
        <v>21</v>
      </c>
      <c r="E814" s="9">
        <v>46014</v>
      </c>
      <c r="F814" s="8">
        <v>30.464300000000001</v>
      </c>
    </row>
    <row r="815" spans="1:6" ht="45" x14ac:dyDescent="0.25">
      <c r="A815" s="8" t="s">
        <v>5</v>
      </c>
      <c r="B815" s="8" t="s">
        <v>20</v>
      </c>
      <c r="C815" s="8" t="str">
        <f>IFERROR(_xlfn.XLOOKUP(TRIM(B815),Lookup!$B$2:$B$1000,Lookup!$C$2:$C$1000),"")</f>
        <v>Equity</v>
      </c>
      <c r="D815" s="8" t="s">
        <v>21</v>
      </c>
      <c r="E815" s="9">
        <v>46015</v>
      </c>
      <c r="F815" s="8">
        <v>30.419599999999999</v>
      </c>
    </row>
    <row r="816" spans="1:6" ht="45" x14ac:dyDescent="0.25">
      <c r="A816" s="8" t="s">
        <v>5</v>
      </c>
      <c r="B816" s="8" t="s">
        <v>20</v>
      </c>
      <c r="C816" s="8" t="str">
        <f>IFERROR(_xlfn.XLOOKUP(TRIM(B816),Lookup!$B$2:$B$1000,Lookup!$C$2:$C$1000),"")</f>
        <v>Equity</v>
      </c>
      <c r="D816" s="8" t="s">
        <v>21</v>
      </c>
      <c r="E816" s="9">
        <v>46017</v>
      </c>
      <c r="F816" s="8">
        <v>30.342400000000001</v>
      </c>
    </row>
    <row r="817" spans="1:6" ht="45" x14ac:dyDescent="0.25">
      <c r="A817" s="8" t="s">
        <v>5</v>
      </c>
      <c r="B817" s="8" t="s">
        <v>20</v>
      </c>
      <c r="C817" s="8" t="str">
        <f>IFERROR(_xlfn.XLOOKUP(TRIM(B817),Lookup!$B$2:$B$1000,Lookup!$C$2:$C$1000),"")</f>
        <v>Equity</v>
      </c>
      <c r="D817" s="8" t="s">
        <v>21</v>
      </c>
      <c r="E817" s="9">
        <v>46020</v>
      </c>
      <c r="F817" s="8">
        <v>30.203199999999999</v>
      </c>
    </row>
    <row r="818" spans="1:6" ht="45" x14ac:dyDescent="0.25">
      <c r="A818" s="8" t="s">
        <v>5</v>
      </c>
      <c r="B818" s="8" t="s">
        <v>20</v>
      </c>
      <c r="C818" s="8" t="str">
        <f>IFERROR(_xlfn.XLOOKUP(TRIM(B818),Lookup!$B$2:$B$1000,Lookup!$C$2:$C$1000),"")</f>
        <v>Equity</v>
      </c>
      <c r="D818" s="8" t="s">
        <v>21</v>
      </c>
      <c r="E818" s="9">
        <v>46022</v>
      </c>
      <c r="F818" s="8">
        <v>30.44</v>
      </c>
    </row>
    <row r="819" spans="1:6" ht="45" x14ac:dyDescent="0.25">
      <c r="A819" s="8" t="s">
        <v>5</v>
      </c>
      <c r="B819" s="8" t="s">
        <v>20</v>
      </c>
      <c r="C819" s="8" t="str">
        <f>IFERROR(_xlfn.XLOOKUP(TRIM(B819),Lookup!$B$2:$B$1000,Lookup!$C$2:$C$1000),"")</f>
        <v>Equity</v>
      </c>
      <c r="D819" s="8" t="s">
        <v>21</v>
      </c>
      <c r="E819" s="9">
        <v>46023</v>
      </c>
      <c r="F819" s="8">
        <v>30.489000000000001</v>
      </c>
    </row>
    <row r="820" spans="1:6" ht="45" x14ac:dyDescent="0.25">
      <c r="A820" s="8" t="s">
        <v>5</v>
      </c>
      <c r="B820" s="8" t="s">
        <v>20</v>
      </c>
      <c r="C820" s="8" t="str">
        <f>IFERROR(_xlfn.XLOOKUP(TRIM(B820),Lookup!$B$2:$B$1000,Lookup!$C$2:$C$1000),"")</f>
        <v>Equity</v>
      </c>
      <c r="D820" s="8" t="s">
        <v>21</v>
      </c>
      <c r="E820" s="9">
        <v>46024</v>
      </c>
      <c r="F820" s="8">
        <v>30.6905</v>
      </c>
    </row>
    <row r="821" spans="1:6" ht="45" x14ac:dyDescent="0.25">
      <c r="A821" s="8" t="s">
        <v>5</v>
      </c>
      <c r="B821" s="8" t="s">
        <v>20</v>
      </c>
      <c r="C821" s="8" t="str">
        <f>IFERROR(_xlfn.XLOOKUP(TRIM(B821),Lookup!$B$2:$B$1000,Lookup!$C$2:$C$1000),"")</f>
        <v>Equity</v>
      </c>
      <c r="D821" s="8" t="s">
        <v>21</v>
      </c>
      <c r="E821" s="9">
        <v>46027</v>
      </c>
      <c r="F821" s="8">
        <v>30.629300000000001</v>
      </c>
    </row>
    <row r="822" spans="1:6" ht="45" x14ac:dyDescent="0.25">
      <c r="A822" s="8" t="s">
        <v>5</v>
      </c>
      <c r="B822" s="8" t="s">
        <v>20</v>
      </c>
      <c r="C822" s="8" t="str">
        <f>IFERROR(_xlfn.XLOOKUP(TRIM(B822),Lookup!$B$2:$B$1000,Lookup!$C$2:$C$1000),"")</f>
        <v>Equity</v>
      </c>
      <c r="D822" s="8" t="s">
        <v>21</v>
      </c>
      <c r="E822" s="9">
        <v>46028</v>
      </c>
      <c r="F822" s="8">
        <v>30.511199999999999</v>
      </c>
    </row>
    <row r="823" spans="1:6" ht="45" x14ac:dyDescent="0.25">
      <c r="A823" s="8" t="s">
        <v>5</v>
      </c>
      <c r="B823" s="8" t="s">
        <v>20</v>
      </c>
      <c r="C823" s="8" t="str">
        <f>IFERROR(_xlfn.XLOOKUP(TRIM(B823),Lookup!$B$2:$B$1000,Lookup!$C$2:$C$1000),"")</f>
        <v>Equity</v>
      </c>
      <c r="D823" s="8" t="s">
        <v>21</v>
      </c>
      <c r="E823" s="9">
        <v>46029</v>
      </c>
      <c r="F823" s="8">
        <v>30.492899999999999</v>
      </c>
    </row>
    <row r="824" spans="1:6" ht="45" x14ac:dyDescent="0.25">
      <c r="A824" s="8" t="s">
        <v>5</v>
      </c>
      <c r="B824" s="8" t="s">
        <v>20</v>
      </c>
      <c r="C824" s="8" t="str">
        <f>IFERROR(_xlfn.XLOOKUP(TRIM(B824),Lookup!$B$2:$B$1000,Lookup!$C$2:$C$1000),"")</f>
        <v>Equity</v>
      </c>
      <c r="D824" s="8" t="s">
        <v>21</v>
      </c>
      <c r="E824" s="9">
        <v>46030</v>
      </c>
      <c r="F824" s="8">
        <v>30.101400000000002</v>
      </c>
    </row>
    <row r="825" spans="1:6" ht="45" x14ac:dyDescent="0.25">
      <c r="A825" s="8" t="s">
        <v>5</v>
      </c>
      <c r="B825" s="8" t="s">
        <v>20</v>
      </c>
      <c r="C825" s="8" t="str">
        <f>IFERROR(_xlfn.XLOOKUP(TRIM(B825),Lookup!$B$2:$B$1000,Lookup!$C$2:$C$1000),"")</f>
        <v>Equity</v>
      </c>
      <c r="D825" s="8" t="s">
        <v>21</v>
      </c>
      <c r="E825" s="9">
        <v>46031</v>
      </c>
      <c r="F825" s="8">
        <v>29.844000000000001</v>
      </c>
    </row>
    <row r="826" spans="1:6" ht="45" x14ac:dyDescent="0.25">
      <c r="A826" s="8" t="s">
        <v>5</v>
      </c>
      <c r="B826" s="8" t="s">
        <v>20</v>
      </c>
      <c r="C826" s="8" t="str">
        <f>IFERROR(_xlfn.XLOOKUP(TRIM(B826),Lookup!$B$2:$B$1000,Lookup!$C$2:$C$1000),"")</f>
        <v>Equity</v>
      </c>
      <c r="D826" s="8" t="s">
        <v>21</v>
      </c>
      <c r="E826" s="9">
        <v>46034</v>
      </c>
      <c r="F826" s="8">
        <v>29.8904</v>
      </c>
    </row>
    <row r="827" spans="1:6" ht="45" x14ac:dyDescent="0.25">
      <c r="A827" s="8" t="s">
        <v>5</v>
      </c>
      <c r="B827" s="8" t="s">
        <v>20</v>
      </c>
      <c r="C827" s="8" t="str">
        <f>IFERROR(_xlfn.XLOOKUP(TRIM(B827),Lookup!$B$2:$B$1000,Lookup!$C$2:$C$1000),"")</f>
        <v>Equity</v>
      </c>
      <c r="D827" s="8" t="s">
        <v>21</v>
      </c>
      <c r="E827" s="9">
        <v>46035</v>
      </c>
      <c r="F827" s="8">
        <v>29.7849</v>
      </c>
    </row>
    <row r="828" spans="1:6" ht="45" x14ac:dyDescent="0.25">
      <c r="A828" s="8" t="s">
        <v>5</v>
      </c>
      <c r="B828" s="8" t="s">
        <v>20</v>
      </c>
      <c r="C828" s="8" t="str">
        <f>IFERROR(_xlfn.XLOOKUP(TRIM(B828),Lookup!$B$2:$B$1000,Lookup!$C$2:$C$1000),"")</f>
        <v>Equity</v>
      </c>
      <c r="D828" s="8" t="s">
        <v>21</v>
      </c>
      <c r="E828" s="9">
        <v>46036</v>
      </c>
      <c r="F828" s="8">
        <v>29.7974</v>
      </c>
    </row>
    <row r="829" spans="1:6" ht="45" x14ac:dyDescent="0.25">
      <c r="A829" s="8" t="s">
        <v>5</v>
      </c>
      <c r="B829" s="8" t="s">
        <v>20</v>
      </c>
      <c r="C829" s="8" t="str">
        <f>IFERROR(_xlfn.XLOOKUP(TRIM(B829),Lookup!$B$2:$B$1000,Lookup!$C$2:$C$1000),"")</f>
        <v>Equity</v>
      </c>
      <c r="D829" s="8" t="s">
        <v>21</v>
      </c>
      <c r="E829" s="9">
        <v>46038</v>
      </c>
      <c r="F829" s="8">
        <v>29.848199999999999</v>
      </c>
    </row>
    <row r="830" spans="1:6" ht="45" x14ac:dyDescent="0.25">
      <c r="A830" s="8" t="s">
        <v>5</v>
      </c>
      <c r="B830" s="8" t="s">
        <v>20</v>
      </c>
      <c r="C830" s="8" t="str">
        <f>IFERROR(_xlfn.XLOOKUP(TRIM(B830),Lookup!$B$2:$B$1000,Lookup!$C$2:$C$1000),"")</f>
        <v>Equity</v>
      </c>
      <c r="D830" s="8" t="s">
        <v>21</v>
      </c>
      <c r="E830" s="9">
        <v>46041</v>
      </c>
      <c r="F830" s="8">
        <v>29.7639</v>
      </c>
    </row>
    <row r="831" spans="1:6" ht="45" x14ac:dyDescent="0.25">
      <c r="A831" s="8" t="s">
        <v>5</v>
      </c>
      <c r="B831" s="8" t="s">
        <v>20</v>
      </c>
      <c r="C831" s="8" t="str">
        <f>IFERROR(_xlfn.XLOOKUP(TRIM(B831),Lookup!$B$2:$B$1000,Lookup!$C$2:$C$1000),"")</f>
        <v>Equity</v>
      </c>
      <c r="D831" s="8" t="s">
        <v>21</v>
      </c>
      <c r="E831" s="9">
        <v>46042</v>
      </c>
      <c r="F831" s="8">
        <v>29.256</v>
      </c>
    </row>
    <row r="832" spans="1:6" ht="45" x14ac:dyDescent="0.25">
      <c r="A832" s="8" t="s">
        <v>5</v>
      </c>
      <c r="B832" s="8" t="s">
        <v>20</v>
      </c>
      <c r="C832" s="8" t="str">
        <f>IFERROR(_xlfn.XLOOKUP(TRIM(B832),Lookup!$B$2:$B$1000,Lookup!$C$2:$C$1000),"")</f>
        <v>Equity</v>
      </c>
      <c r="D832" s="8" t="s">
        <v>21</v>
      </c>
      <c r="E832" s="9">
        <v>46043</v>
      </c>
      <c r="F832" s="8">
        <v>29.1294</v>
      </c>
    </row>
    <row r="833" spans="1:6" ht="45" x14ac:dyDescent="0.25">
      <c r="A833" s="8" t="s">
        <v>5</v>
      </c>
      <c r="B833" s="8" t="s">
        <v>20</v>
      </c>
      <c r="C833" s="8" t="str">
        <f>IFERROR(_xlfn.XLOOKUP(TRIM(B833),Lookup!$B$2:$B$1000,Lookup!$C$2:$C$1000),"")</f>
        <v>Equity</v>
      </c>
      <c r="D833" s="8" t="s">
        <v>21</v>
      </c>
      <c r="E833" s="9">
        <v>46044</v>
      </c>
      <c r="F833" s="8">
        <v>29.321999999999999</v>
      </c>
    </row>
    <row r="834" spans="1:6" ht="45" x14ac:dyDescent="0.25">
      <c r="A834" s="8" t="s">
        <v>5</v>
      </c>
      <c r="B834" s="8" t="s">
        <v>20</v>
      </c>
      <c r="C834" s="8" t="str">
        <f>IFERROR(_xlfn.XLOOKUP(TRIM(B834),Lookup!$B$2:$B$1000,Lookup!$C$2:$C$1000),"")</f>
        <v>Equity</v>
      </c>
      <c r="D834" s="8" t="s">
        <v>21</v>
      </c>
      <c r="E834" s="9">
        <v>46045</v>
      </c>
      <c r="F834" s="8">
        <v>28.890699999999999</v>
      </c>
    </row>
    <row r="835" spans="1:6" ht="45" x14ac:dyDescent="0.25">
      <c r="A835" s="8" t="s">
        <v>5</v>
      </c>
      <c r="B835" s="8" t="s">
        <v>20</v>
      </c>
      <c r="C835" s="8" t="str">
        <f>IFERROR(_xlfn.XLOOKUP(TRIM(B835),Lookup!$B$2:$B$1000,Lookup!$C$2:$C$1000),"")</f>
        <v>Equity</v>
      </c>
      <c r="D835" s="8" t="s">
        <v>21</v>
      </c>
      <c r="E835" s="9">
        <v>46049</v>
      </c>
      <c r="F835" s="8">
        <v>29.037299999999998</v>
      </c>
    </row>
    <row r="836" spans="1:6" ht="45" x14ac:dyDescent="0.25">
      <c r="A836" s="8" t="s">
        <v>5</v>
      </c>
      <c r="B836" s="8" t="s">
        <v>20</v>
      </c>
      <c r="C836" s="8" t="str">
        <f>IFERROR(_xlfn.XLOOKUP(TRIM(B836),Lookup!$B$2:$B$1000,Lookup!$C$2:$C$1000),"")</f>
        <v>Equity</v>
      </c>
      <c r="D836" s="8" t="s">
        <v>21</v>
      </c>
      <c r="E836" s="9">
        <v>46050</v>
      </c>
      <c r="F836" s="8">
        <v>29.360800000000001</v>
      </c>
    </row>
    <row r="837" spans="1:6" ht="45" x14ac:dyDescent="0.25">
      <c r="A837" s="8" t="s">
        <v>5</v>
      </c>
      <c r="B837" s="8" t="s">
        <v>20</v>
      </c>
      <c r="C837" s="8" t="str">
        <f>IFERROR(_xlfn.XLOOKUP(TRIM(B837),Lookup!$B$2:$B$1000,Lookup!$C$2:$C$1000),"")</f>
        <v>Equity</v>
      </c>
      <c r="D837" s="8" t="s">
        <v>21</v>
      </c>
      <c r="E837" s="9">
        <v>46051</v>
      </c>
      <c r="F837" s="8">
        <v>29.454499999999999</v>
      </c>
    </row>
    <row r="838" spans="1:6" ht="45" x14ac:dyDescent="0.25">
      <c r="A838" s="8" t="s">
        <v>5</v>
      </c>
      <c r="B838" s="8" t="s">
        <v>20</v>
      </c>
      <c r="C838" s="8" t="str">
        <f>IFERROR(_xlfn.XLOOKUP(TRIM(B838),Lookup!$B$2:$B$1000,Lookup!$C$2:$C$1000),"")</f>
        <v>Equity</v>
      </c>
      <c r="D838" s="8" t="s">
        <v>21</v>
      </c>
      <c r="E838" s="9">
        <v>46052</v>
      </c>
      <c r="F838" s="8">
        <v>29.3964</v>
      </c>
    </row>
    <row r="839" spans="1:6" ht="45" x14ac:dyDescent="0.25">
      <c r="A839" s="8" t="s">
        <v>5</v>
      </c>
      <c r="B839" s="8" t="s">
        <v>20</v>
      </c>
      <c r="C839" s="8" t="str">
        <f>IFERROR(_xlfn.XLOOKUP(TRIM(B839),Lookup!$B$2:$B$1000,Lookup!$C$2:$C$1000),"")</f>
        <v>Equity</v>
      </c>
      <c r="D839" s="8" t="s">
        <v>21</v>
      </c>
      <c r="E839" s="9">
        <v>46054</v>
      </c>
      <c r="F839" s="8">
        <v>28.829599999999999</v>
      </c>
    </row>
    <row r="840" spans="1:6" ht="45" x14ac:dyDescent="0.25">
      <c r="A840" s="8" t="s">
        <v>5</v>
      </c>
      <c r="B840" s="8" t="s">
        <v>20</v>
      </c>
      <c r="C840" s="8" t="str">
        <f>IFERROR(_xlfn.XLOOKUP(TRIM(B840),Lookup!$B$2:$B$1000,Lookup!$C$2:$C$1000),"")</f>
        <v>Equity</v>
      </c>
      <c r="D840" s="8" t="s">
        <v>21</v>
      </c>
      <c r="E840" s="9">
        <v>46055</v>
      </c>
      <c r="F840" s="8">
        <v>29.087499999999999</v>
      </c>
    </row>
    <row r="841" spans="1:6" ht="45" x14ac:dyDescent="0.25">
      <c r="A841" s="8" t="s">
        <v>5</v>
      </c>
      <c r="B841" s="8" t="s">
        <v>20</v>
      </c>
      <c r="C841" s="8" t="str">
        <f>IFERROR(_xlfn.XLOOKUP(TRIM(B841),Lookup!$B$2:$B$1000,Lookup!$C$2:$C$1000),"")</f>
        <v>Equity</v>
      </c>
      <c r="D841" s="8" t="s">
        <v>21</v>
      </c>
      <c r="E841" s="9">
        <v>46056</v>
      </c>
      <c r="F841" s="8">
        <v>29.880199999999999</v>
      </c>
    </row>
    <row r="842" spans="1:6" ht="45" x14ac:dyDescent="0.25">
      <c r="A842" s="8" t="s">
        <v>5</v>
      </c>
      <c r="B842" s="8" t="s">
        <v>20</v>
      </c>
      <c r="C842" s="8" t="str">
        <f>IFERROR(_xlfn.XLOOKUP(TRIM(B842),Lookup!$B$2:$B$1000,Lookup!$C$2:$C$1000),"")</f>
        <v>Equity</v>
      </c>
      <c r="D842" s="8" t="s">
        <v>21</v>
      </c>
      <c r="E842" s="9">
        <v>46057</v>
      </c>
      <c r="F842" s="8">
        <v>30.014099999999999</v>
      </c>
    </row>
    <row r="843" spans="1:6" ht="45" x14ac:dyDescent="0.25">
      <c r="A843" s="8" t="s">
        <v>5</v>
      </c>
      <c r="B843" s="8" t="s">
        <v>20</v>
      </c>
      <c r="C843" s="8" t="str">
        <f>IFERROR(_xlfn.XLOOKUP(TRIM(B843),Lookup!$B$2:$B$1000,Lookup!$C$2:$C$1000),"")</f>
        <v>Equity</v>
      </c>
      <c r="D843" s="8" t="s">
        <v>21</v>
      </c>
      <c r="E843" s="9">
        <v>46058</v>
      </c>
      <c r="F843" s="8">
        <v>29.871200000000002</v>
      </c>
    </row>
    <row r="844" spans="1:6" ht="45" x14ac:dyDescent="0.25">
      <c r="A844" s="8" t="s">
        <v>5</v>
      </c>
      <c r="B844" s="8" t="s">
        <v>20</v>
      </c>
      <c r="C844" s="8" t="str">
        <f>IFERROR(_xlfn.XLOOKUP(TRIM(B844),Lookup!$B$2:$B$1000,Lookup!$C$2:$C$1000),"")</f>
        <v>Equity</v>
      </c>
      <c r="D844" s="8" t="s">
        <v>21</v>
      </c>
      <c r="E844" s="9">
        <v>46059</v>
      </c>
      <c r="F844" s="8">
        <v>29.924800000000001</v>
      </c>
    </row>
    <row r="845" spans="1:6" ht="45" x14ac:dyDescent="0.25">
      <c r="A845" s="8" t="s">
        <v>5</v>
      </c>
      <c r="B845" s="8" t="s">
        <v>20</v>
      </c>
      <c r="C845" s="8" t="str">
        <f>IFERROR(_xlfn.XLOOKUP(TRIM(B845),Lookup!$B$2:$B$1000,Lookup!$C$2:$C$1000),"")</f>
        <v>Equity</v>
      </c>
      <c r="D845" s="8" t="s">
        <v>21</v>
      </c>
      <c r="E845" s="9">
        <v>46062</v>
      </c>
      <c r="F845" s="8">
        <v>30.1785</v>
      </c>
    </row>
    <row r="846" spans="1:6" ht="45" x14ac:dyDescent="0.25">
      <c r="A846" s="8" t="s">
        <v>5</v>
      </c>
      <c r="B846" s="8" t="s">
        <v>20</v>
      </c>
      <c r="C846" s="8" t="str">
        <f>IFERROR(_xlfn.XLOOKUP(TRIM(B846),Lookup!$B$2:$B$1000,Lookup!$C$2:$C$1000),"")</f>
        <v>Equity</v>
      </c>
      <c r="D846" s="8" t="s">
        <v>21</v>
      </c>
      <c r="E846" s="9">
        <v>46063</v>
      </c>
      <c r="F846" s="8">
        <v>30.238499999999998</v>
      </c>
    </row>
    <row r="847" spans="1:6" ht="45" x14ac:dyDescent="0.25">
      <c r="A847" s="8" t="s">
        <v>5</v>
      </c>
      <c r="B847" s="8" t="s">
        <v>20</v>
      </c>
      <c r="C847" s="8" t="str">
        <f>IFERROR(_xlfn.XLOOKUP(TRIM(B847),Lookup!$B$2:$B$1000,Lookup!$C$2:$C$1000),"")</f>
        <v>Equity</v>
      </c>
      <c r="D847" s="8" t="s">
        <v>21</v>
      </c>
      <c r="E847" s="9">
        <v>46064</v>
      </c>
      <c r="F847" s="8">
        <v>30.285599999999999</v>
      </c>
    </row>
    <row r="848" spans="1:6" ht="45" x14ac:dyDescent="0.25">
      <c r="A848" s="8" t="s">
        <v>5</v>
      </c>
      <c r="B848" s="8" t="s">
        <v>20</v>
      </c>
      <c r="C848" s="8" t="str">
        <f>IFERROR(_xlfn.XLOOKUP(TRIM(B848),Lookup!$B$2:$B$1000,Lookup!$C$2:$C$1000),"")</f>
        <v>Equity</v>
      </c>
      <c r="D848" s="8" t="s">
        <v>21</v>
      </c>
      <c r="E848" s="9">
        <v>46065</v>
      </c>
      <c r="F848" s="8">
        <v>30.153199999999998</v>
      </c>
    </row>
    <row r="849" spans="1:6" ht="45" x14ac:dyDescent="0.25">
      <c r="A849" s="8" t="s">
        <v>5</v>
      </c>
      <c r="B849" s="8" t="s">
        <v>20</v>
      </c>
      <c r="C849" s="8" t="str">
        <f>IFERROR(_xlfn.XLOOKUP(TRIM(B849),Lookup!$B$2:$B$1000,Lookup!$C$2:$C$1000),"")</f>
        <v>Equity</v>
      </c>
      <c r="D849" s="8" t="s">
        <v>21</v>
      </c>
      <c r="E849" s="9">
        <v>46066</v>
      </c>
      <c r="F849" s="8">
        <v>29.786999999999999</v>
      </c>
    </row>
    <row r="850" spans="1:6" ht="45" x14ac:dyDescent="0.25">
      <c r="A850" s="8" t="s">
        <v>5</v>
      </c>
      <c r="B850" s="8" t="s">
        <v>20</v>
      </c>
      <c r="C850" s="8" t="str">
        <f>IFERROR(_xlfn.XLOOKUP(TRIM(B850),Lookup!$B$2:$B$1000,Lookup!$C$2:$C$1000),"")</f>
        <v>Equity</v>
      </c>
      <c r="D850" s="8" t="s">
        <v>21</v>
      </c>
      <c r="E850" s="9">
        <v>46069</v>
      </c>
      <c r="F850" s="8">
        <v>30.030999999999999</v>
      </c>
    </row>
    <row r="851" spans="1:6" ht="45" x14ac:dyDescent="0.25">
      <c r="A851" s="8" t="s">
        <v>5</v>
      </c>
      <c r="B851" s="8" t="s">
        <v>20</v>
      </c>
      <c r="C851" s="8" t="str">
        <f>IFERROR(_xlfn.XLOOKUP(TRIM(B851),Lookup!$B$2:$B$1000,Lookup!$C$2:$C$1000),"")</f>
        <v>Equity</v>
      </c>
      <c r="D851" s="8" t="s">
        <v>21</v>
      </c>
      <c r="E851" s="9">
        <v>46070</v>
      </c>
      <c r="F851" s="8">
        <v>30.130700000000001</v>
      </c>
    </row>
    <row r="852" spans="1:6" ht="45" x14ac:dyDescent="0.25">
      <c r="A852" s="8" t="s">
        <v>5</v>
      </c>
      <c r="B852" s="8" t="s">
        <v>20</v>
      </c>
      <c r="C852" s="8" t="str">
        <f>IFERROR(_xlfn.XLOOKUP(TRIM(B852),Lookup!$B$2:$B$1000,Lookup!$C$2:$C$1000),"")</f>
        <v>Equity</v>
      </c>
      <c r="D852" s="8" t="s">
        <v>21</v>
      </c>
      <c r="E852" s="9">
        <v>46071</v>
      </c>
      <c r="F852" s="8">
        <v>30.223600000000001</v>
      </c>
    </row>
    <row r="853" spans="1:6" ht="45" x14ac:dyDescent="0.25">
      <c r="A853" s="8" t="s">
        <v>5</v>
      </c>
      <c r="B853" s="8" t="s">
        <v>20</v>
      </c>
      <c r="C853" s="8" t="str">
        <f>IFERROR(_xlfn.XLOOKUP(TRIM(B853),Lookup!$B$2:$B$1000,Lookup!$C$2:$C$1000),"")</f>
        <v>Equity</v>
      </c>
      <c r="D853" s="8" t="s">
        <v>21</v>
      </c>
      <c r="E853" s="9">
        <v>46072</v>
      </c>
      <c r="F853" s="8">
        <v>29.772400000000001</v>
      </c>
    </row>
    <row r="854" spans="1:6" ht="45" x14ac:dyDescent="0.25">
      <c r="A854" s="8" t="s">
        <v>5</v>
      </c>
      <c r="B854" s="8" t="s">
        <v>20</v>
      </c>
      <c r="C854" s="8" t="str">
        <f>IFERROR(_xlfn.XLOOKUP(TRIM(B854),Lookup!$B$2:$B$1000,Lookup!$C$2:$C$1000),"")</f>
        <v>Equity</v>
      </c>
      <c r="D854" s="8" t="s">
        <v>21</v>
      </c>
      <c r="E854" s="9">
        <v>46073</v>
      </c>
      <c r="F854" s="8">
        <v>29.8977</v>
      </c>
    </row>
    <row r="855" spans="1:6" ht="45" x14ac:dyDescent="0.25">
      <c r="A855" s="8" t="s">
        <v>5</v>
      </c>
      <c r="B855" s="8" t="s">
        <v>20</v>
      </c>
      <c r="C855" s="8" t="str">
        <f>IFERROR(_xlfn.XLOOKUP(TRIM(B855),Lookup!$B$2:$B$1000,Lookup!$C$2:$C$1000),"")</f>
        <v>Equity</v>
      </c>
      <c r="D855" s="8" t="s">
        <v>21</v>
      </c>
      <c r="E855" s="9">
        <v>46076</v>
      </c>
      <c r="F855" s="8">
        <v>30.055099999999999</v>
      </c>
    </row>
    <row r="856" spans="1:6" ht="45" x14ac:dyDescent="0.25">
      <c r="A856" s="8" t="s">
        <v>5</v>
      </c>
      <c r="B856" s="8" t="s">
        <v>20</v>
      </c>
      <c r="C856" s="8" t="str">
        <f>IFERROR(_xlfn.XLOOKUP(TRIM(B856),Lookup!$B$2:$B$1000,Lookup!$C$2:$C$1000),"")</f>
        <v>Equity</v>
      </c>
      <c r="D856" s="8" t="s">
        <v>21</v>
      </c>
      <c r="E856" s="9">
        <v>46077</v>
      </c>
      <c r="F856" s="8">
        <v>29.8598</v>
      </c>
    </row>
    <row r="857" spans="1:6" ht="45" x14ac:dyDescent="0.25">
      <c r="A857" s="8" t="s">
        <v>5</v>
      </c>
      <c r="B857" s="8" t="s">
        <v>20</v>
      </c>
      <c r="C857" s="8" t="str">
        <f>IFERROR(_xlfn.XLOOKUP(TRIM(B857),Lookup!$B$2:$B$1000,Lookup!$C$2:$C$1000),"")</f>
        <v>Equity</v>
      </c>
      <c r="D857" s="8" t="s">
        <v>21</v>
      </c>
      <c r="E857" s="9">
        <v>46078</v>
      </c>
      <c r="F857" s="8">
        <v>29.940899999999999</v>
      </c>
    </row>
    <row r="858" spans="1:6" ht="45" x14ac:dyDescent="0.25">
      <c r="A858" s="8" t="s">
        <v>5</v>
      </c>
      <c r="B858" s="8" t="s">
        <v>20</v>
      </c>
      <c r="C858" s="8" t="str">
        <f>IFERROR(_xlfn.XLOOKUP(TRIM(B858),Lookup!$B$2:$B$1000,Lookup!$C$2:$C$1000),"")</f>
        <v>Equity</v>
      </c>
      <c r="D858" s="8" t="s">
        <v>21</v>
      </c>
      <c r="E858" s="9">
        <v>46079</v>
      </c>
      <c r="F858" s="8">
        <v>29.965699999999998</v>
      </c>
    </row>
    <row r="859" spans="1:6" ht="45" x14ac:dyDescent="0.25">
      <c r="A859" s="8" t="s">
        <v>5</v>
      </c>
      <c r="B859" s="8" t="s">
        <v>20</v>
      </c>
      <c r="C859" s="8" t="str">
        <f>IFERROR(_xlfn.XLOOKUP(TRIM(B859),Lookup!$B$2:$B$1000,Lookup!$C$2:$C$1000),"")</f>
        <v>Equity</v>
      </c>
      <c r="D859" s="8" t="s">
        <v>21</v>
      </c>
      <c r="E859" s="9">
        <v>46080</v>
      </c>
      <c r="F859" s="8">
        <v>29.633800000000001</v>
      </c>
    </row>
    <row r="860" spans="1:6" ht="45" x14ac:dyDescent="0.25">
      <c r="A860" s="8" t="s">
        <v>5</v>
      </c>
      <c r="B860" s="8" t="s">
        <v>20</v>
      </c>
      <c r="C860" s="8" t="str">
        <f>IFERROR(_xlfn.XLOOKUP(TRIM(B860),Lookup!$B$2:$B$1000,Lookup!$C$2:$C$1000),"")</f>
        <v>Equity</v>
      </c>
      <c r="D860" s="8" t="s">
        <v>21</v>
      </c>
      <c r="E860" s="9">
        <v>46083</v>
      </c>
      <c r="F860" s="8">
        <v>29.2319</v>
      </c>
    </row>
    <row r="861" spans="1:6" ht="45" x14ac:dyDescent="0.25">
      <c r="A861" s="8" t="s">
        <v>5</v>
      </c>
      <c r="B861" s="8" t="s">
        <v>20</v>
      </c>
      <c r="C861" s="8" t="str">
        <f>IFERROR(_xlfn.XLOOKUP(TRIM(B861),Lookup!$B$2:$B$1000,Lookup!$C$2:$C$1000),"")</f>
        <v>Equity</v>
      </c>
      <c r="D861" s="8" t="s">
        <v>21</v>
      </c>
      <c r="E861" s="9">
        <v>46085</v>
      </c>
      <c r="F861" s="8">
        <v>28.686299999999999</v>
      </c>
    </row>
    <row r="862" spans="1:6" ht="45" x14ac:dyDescent="0.25">
      <c r="A862" s="8" t="s">
        <v>5</v>
      </c>
      <c r="B862" s="8" t="s">
        <v>20</v>
      </c>
      <c r="C862" s="8" t="str">
        <f>IFERROR(_xlfn.XLOOKUP(TRIM(B862),Lookup!$B$2:$B$1000,Lookup!$C$2:$C$1000),"")</f>
        <v>Equity</v>
      </c>
      <c r="D862" s="8" t="s">
        <v>21</v>
      </c>
      <c r="E862" s="9">
        <v>46086</v>
      </c>
      <c r="F862" s="8">
        <v>29.009399999999999</v>
      </c>
    </row>
    <row r="863" spans="1:6" ht="45" x14ac:dyDescent="0.25">
      <c r="A863" s="8" t="s">
        <v>5</v>
      </c>
      <c r="B863" s="8" t="s">
        <v>20</v>
      </c>
      <c r="C863" s="8" t="str">
        <f>IFERROR(_xlfn.XLOOKUP(TRIM(B863),Lookup!$B$2:$B$1000,Lookup!$C$2:$C$1000),"")</f>
        <v>Equity</v>
      </c>
      <c r="D863" s="8" t="s">
        <v>21</v>
      </c>
      <c r="E863" s="9">
        <v>46087</v>
      </c>
      <c r="F863" s="8">
        <v>28.735399999999998</v>
      </c>
    </row>
    <row r="864" spans="1:6" ht="45" x14ac:dyDescent="0.25">
      <c r="A864" s="8" t="s">
        <v>5</v>
      </c>
      <c r="B864" s="8" t="s">
        <v>20</v>
      </c>
      <c r="C864" s="8" t="str">
        <f>IFERROR(_xlfn.XLOOKUP(TRIM(B864),Lookup!$B$2:$B$1000,Lookup!$C$2:$C$1000),"")</f>
        <v>Equity</v>
      </c>
      <c r="D864" s="8" t="s">
        <v>21</v>
      </c>
      <c r="E864" s="9">
        <v>46090</v>
      </c>
      <c r="F864" s="8">
        <v>28.182700000000001</v>
      </c>
    </row>
    <row r="865" spans="1:6" ht="45" x14ac:dyDescent="0.25">
      <c r="A865" s="8" t="s">
        <v>5</v>
      </c>
      <c r="B865" s="8" t="s">
        <v>20</v>
      </c>
      <c r="C865" s="8" t="str">
        <f>IFERROR(_xlfn.XLOOKUP(TRIM(B865),Lookup!$B$2:$B$1000,Lookup!$C$2:$C$1000),"")</f>
        <v>Equity</v>
      </c>
      <c r="D865" s="8" t="s">
        <v>21</v>
      </c>
      <c r="E865" s="9">
        <v>46091</v>
      </c>
      <c r="F865" s="8">
        <v>28.519400000000001</v>
      </c>
    </row>
    <row r="866" spans="1:6" ht="45" x14ac:dyDescent="0.25">
      <c r="A866" s="8" t="s">
        <v>5</v>
      </c>
      <c r="B866" s="8" t="s">
        <v>20</v>
      </c>
      <c r="C866" s="8" t="str">
        <f>IFERROR(_xlfn.XLOOKUP(TRIM(B866),Lookup!$B$2:$B$1000,Lookup!$C$2:$C$1000),"")</f>
        <v>Equity</v>
      </c>
      <c r="D866" s="8" t="s">
        <v>21</v>
      </c>
      <c r="E866" s="9">
        <v>46092</v>
      </c>
      <c r="F866" s="8">
        <v>28.052499999999998</v>
      </c>
    </row>
    <row r="867" spans="1:6" ht="45" x14ac:dyDescent="0.25">
      <c r="A867" s="8" t="s">
        <v>5</v>
      </c>
      <c r="B867" s="8" t="s">
        <v>20</v>
      </c>
      <c r="C867" s="8" t="str">
        <f>IFERROR(_xlfn.XLOOKUP(TRIM(B867),Lookup!$B$2:$B$1000,Lookup!$C$2:$C$1000),"")</f>
        <v>Equity</v>
      </c>
      <c r="D867" s="8" t="s">
        <v>21</v>
      </c>
      <c r="E867" s="9">
        <v>46093</v>
      </c>
      <c r="F867" s="8">
        <v>27.8125</v>
      </c>
    </row>
    <row r="868" spans="1:6" ht="45" x14ac:dyDescent="0.25">
      <c r="A868" s="8" t="s">
        <v>5</v>
      </c>
      <c r="B868" s="8" t="s">
        <v>20</v>
      </c>
      <c r="C868" s="8" t="str">
        <f>IFERROR(_xlfn.XLOOKUP(TRIM(B868),Lookup!$B$2:$B$1000,Lookup!$C$2:$C$1000),"")</f>
        <v>Equity</v>
      </c>
      <c r="D868" s="8" t="s">
        <v>21</v>
      </c>
      <c r="E868" s="9">
        <v>46094</v>
      </c>
      <c r="F868" s="8">
        <v>27.174499999999998</v>
      </c>
    </row>
    <row r="869" spans="1:6" ht="45" x14ac:dyDescent="0.25">
      <c r="A869" s="8" t="s">
        <v>5</v>
      </c>
      <c r="B869" s="8" t="s">
        <v>20</v>
      </c>
      <c r="C869" s="8" t="str">
        <f>IFERROR(_xlfn.XLOOKUP(TRIM(B869),Lookup!$B$2:$B$1000,Lookup!$C$2:$C$1000),"")</f>
        <v>Equity</v>
      </c>
      <c r="D869" s="8" t="s">
        <v>21</v>
      </c>
      <c r="E869" s="9">
        <v>46097</v>
      </c>
      <c r="F869" s="8">
        <v>27.324400000000001</v>
      </c>
    </row>
    <row r="870" spans="1:6" ht="45" x14ac:dyDescent="0.25">
      <c r="A870" s="8" t="s">
        <v>5</v>
      </c>
      <c r="B870" s="8" t="s">
        <v>20</v>
      </c>
      <c r="C870" s="8" t="str">
        <f>IFERROR(_xlfn.XLOOKUP(TRIM(B870),Lookup!$B$2:$B$1000,Lookup!$C$2:$C$1000),"")</f>
        <v>Equity</v>
      </c>
      <c r="D870" s="8" t="s">
        <v>21</v>
      </c>
      <c r="E870" s="9">
        <v>46098</v>
      </c>
      <c r="F870" s="8">
        <v>27.522300000000001</v>
      </c>
    </row>
    <row r="871" spans="1:6" ht="45" x14ac:dyDescent="0.25">
      <c r="A871" s="8" t="s">
        <v>5</v>
      </c>
      <c r="B871" s="8" t="s">
        <v>20</v>
      </c>
      <c r="C871" s="8" t="str">
        <f>IFERROR(_xlfn.XLOOKUP(TRIM(B871),Lookup!$B$2:$B$1000,Lookup!$C$2:$C$1000),"")</f>
        <v>Equity</v>
      </c>
      <c r="D871" s="8" t="s">
        <v>21</v>
      </c>
      <c r="E871" s="9">
        <v>46099</v>
      </c>
      <c r="F871" s="8">
        <v>27.848199999999999</v>
      </c>
    </row>
    <row r="872" spans="1:6" ht="45" x14ac:dyDescent="0.25">
      <c r="A872" s="8" t="s">
        <v>5</v>
      </c>
      <c r="B872" s="8" t="s">
        <v>20</v>
      </c>
      <c r="C872" s="8" t="str">
        <f>IFERROR(_xlfn.XLOOKUP(TRIM(B872),Lookup!$B$2:$B$1000,Lookup!$C$2:$C$1000),"")</f>
        <v>Equity</v>
      </c>
      <c r="D872" s="8" t="s">
        <v>21</v>
      </c>
      <c r="E872" s="9">
        <v>46100</v>
      </c>
      <c r="F872" s="8">
        <v>26.9084</v>
      </c>
    </row>
    <row r="873" spans="1:6" ht="45" x14ac:dyDescent="0.25">
      <c r="A873" s="8" t="s">
        <v>5</v>
      </c>
      <c r="B873" s="8" t="s">
        <v>20</v>
      </c>
      <c r="C873" s="8" t="str">
        <f>IFERROR(_xlfn.XLOOKUP(TRIM(B873),Lookup!$B$2:$B$1000,Lookup!$C$2:$C$1000),"")</f>
        <v>Equity</v>
      </c>
      <c r="D873" s="8" t="s">
        <v>21</v>
      </c>
      <c r="E873" s="9">
        <v>46101</v>
      </c>
      <c r="F873" s="8">
        <v>26.983699999999999</v>
      </c>
    </row>
    <row r="874" spans="1:6" ht="45" x14ac:dyDescent="0.25">
      <c r="A874" s="8" t="s">
        <v>5</v>
      </c>
      <c r="B874" s="8" t="s">
        <v>20</v>
      </c>
      <c r="C874" s="8" t="str">
        <f>IFERROR(_xlfn.XLOOKUP(TRIM(B874),Lookup!$B$2:$B$1000,Lookup!$C$2:$C$1000),"")</f>
        <v>Equity</v>
      </c>
      <c r="D874" s="8" t="s">
        <v>21</v>
      </c>
      <c r="E874" s="9">
        <v>46104</v>
      </c>
      <c r="F874" s="8">
        <v>26.183700000000002</v>
      </c>
    </row>
    <row r="875" spans="1:6" ht="45" x14ac:dyDescent="0.25">
      <c r="A875" s="8" t="s">
        <v>5</v>
      </c>
      <c r="B875" s="8" t="s">
        <v>20</v>
      </c>
      <c r="C875" s="8" t="str">
        <f>IFERROR(_xlfn.XLOOKUP(TRIM(B875),Lookup!$B$2:$B$1000,Lookup!$C$2:$C$1000),"")</f>
        <v>Equity</v>
      </c>
      <c r="D875" s="8" t="s">
        <v>21</v>
      </c>
      <c r="E875" s="9">
        <v>46105</v>
      </c>
      <c r="F875" s="8">
        <v>26.6999</v>
      </c>
    </row>
    <row r="876" spans="1:6" ht="45" x14ac:dyDescent="0.25">
      <c r="A876" s="8" t="s">
        <v>5</v>
      </c>
      <c r="B876" s="8" t="s">
        <v>20</v>
      </c>
      <c r="C876" s="8" t="str">
        <f>IFERROR(_xlfn.XLOOKUP(TRIM(B876),Lookup!$B$2:$B$1000,Lookup!$C$2:$C$1000),"")</f>
        <v>Equity</v>
      </c>
      <c r="D876" s="8" t="s">
        <v>21</v>
      </c>
      <c r="E876" s="9">
        <v>46106</v>
      </c>
      <c r="F876" s="8">
        <v>27.236799999999999</v>
      </c>
    </row>
    <row r="877" spans="1:6" ht="45" x14ac:dyDescent="0.25">
      <c r="A877" s="8" t="s">
        <v>5</v>
      </c>
      <c r="B877" s="8" t="s">
        <v>20</v>
      </c>
      <c r="C877" s="8" t="str">
        <f>IFERROR(_xlfn.XLOOKUP(TRIM(B877),Lookup!$B$2:$B$1000,Lookup!$C$2:$C$1000),"")</f>
        <v>Equity</v>
      </c>
      <c r="D877" s="8" t="s">
        <v>21</v>
      </c>
      <c r="E877" s="9">
        <v>46108</v>
      </c>
      <c r="F877" s="8">
        <v>26.6404</v>
      </c>
    </row>
    <row r="878" spans="1:6" ht="45" x14ac:dyDescent="0.25">
      <c r="A878" s="8" t="s">
        <v>5</v>
      </c>
      <c r="B878" s="8" t="s">
        <v>20</v>
      </c>
      <c r="C878" s="8" t="str">
        <f>IFERROR(_xlfn.XLOOKUP(TRIM(B878),Lookup!$B$2:$B$1000,Lookup!$C$2:$C$1000),"")</f>
        <v>Equity</v>
      </c>
      <c r="D878" s="8" t="s">
        <v>21</v>
      </c>
      <c r="E878" s="9">
        <v>46111</v>
      </c>
      <c r="F878" s="8">
        <v>25.993600000000001</v>
      </c>
    </row>
    <row r="879" spans="1:6" ht="45" x14ac:dyDescent="0.25">
      <c r="A879" s="8" t="s">
        <v>5</v>
      </c>
      <c r="B879" s="8" t="s">
        <v>20</v>
      </c>
      <c r="C879" s="8" t="str">
        <f>IFERROR(_xlfn.XLOOKUP(TRIM(B879),Lookup!$B$2:$B$1000,Lookup!$C$2:$C$1000),"")</f>
        <v>Equity</v>
      </c>
      <c r="D879" s="8" t="s">
        <v>21</v>
      </c>
      <c r="E879" s="9">
        <v>46113</v>
      </c>
      <c r="F879" s="8">
        <v>26.494399999999999</v>
      </c>
    </row>
    <row r="880" spans="1:6" ht="45" x14ac:dyDescent="0.25">
      <c r="A880" s="8" t="s">
        <v>5</v>
      </c>
      <c r="B880" s="8" t="s">
        <v>20</v>
      </c>
      <c r="C880" s="8" t="str">
        <f>IFERROR(_xlfn.XLOOKUP(TRIM(B880),Lookup!$B$2:$B$1000,Lookup!$C$2:$C$1000),"")</f>
        <v>Equity</v>
      </c>
      <c r="D880" s="8" t="s">
        <v>21</v>
      </c>
      <c r="E880" s="9">
        <v>46114</v>
      </c>
      <c r="F880" s="8">
        <v>26.4633</v>
      </c>
    </row>
    <row r="881" spans="1:6" ht="45" x14ac:dyDescent="0.25">
      <c r="A881" s="8" t="s">
        <v>5</v>
      </c>
      <c r="B881" s="8" t="s">
        <v>20</v>
      </c>
      <c r="C881" s="8" t="str">
        <f>IFERROR(_xlfn.XLOOKUP(TRIM(B881),Lookup!$B$2:$B$1000,Lookup!$C$2:$C$1000),"")</f>
        <v>Equity</v>
      </c>
      <c r="D881" s="8" t="s">
        <v>21</v>
      </c>
      <c r="E881" s="9">
        <v>46118</v>
      </c>
      <c r="F881" s="8">
        <v>26.828399999999998</v>
      </c>
    </row>
    <row r="882" spans="1:6" ht="45" x14ac:dyDescent="0.25">
      <c r="A882" s="8" t="s">
        <v>5</v>
      </c>
      <c r="B882" s="8" t="s">
        <v>20</v>
      </c>
      <c r="C882" s="8" t="str">
        <f>IFERROR(_xlfn.XLOOKUP(TRIM(B882),Lookup!$B$2:$B$1000,Lookup!$C$2:$C$1000),"")</f>
        <v>Equity</v>
      </c>
      <c r="D882" s="8" t="s">
        <v>21</v>
      </c>
      <c r="E882" s="9">
        <v>46119</v>
      </c>
      <c r="F882" s="8">
        <v>26.9358</v>
      </c>
    </row>
    <row r="883" spans="1:6" ht="45" x14ac:dyDescent="0.25">
      <c r="A883" s="8" t="s">
        <v>5</v>
      </c>
      <c r="B883" s="8" t="s">
        <v>20</v>
      </c>
      <c r="C883" s="8" t="str">
        <f>IFERROR(_xlfn.XLOOKUP(TRIM(B883),Lookup!$B$2:$B$1000,Lookup!$C$2:$C$1000),"")</f>
        <v>Equity</v>
      </c>
      <c r="D883" s="8" t="s">
        <v>21</v>
      </c>
      <c r="E883" s="9">
        <v>46120</v>
      </c>
      <c r="F883" s="8">
        <v>28.071300000000001</v>
      </c>
    </row>
    <row r="884" spans="1:6" ht="45" x14ac:dyDescent="0.25">
      <c r="A884" s="8" t="s">
        <v>5</v>
      </c>
      <c r="B884" s="8" t="s">
        <v>20</v>
      </c>
      <c r="C884" s="8" t="str">
        <f>IFERROR(_xlfn.XLOOKUP(TRIM(B884),Lookup!$B$2:$B$1000,Lookup!$C$2:$C$1000),"")</f>
        <v>Equity</v>
      </c>
      <c r="D884" s="8" t="s">
        <v>21</v>
      </c>
      <c r="E884" s="9">
        <v>46121</v>
      </c>
      <c r="F884" s="8">
        <v>27.886399999999998</v>
      </c>
    </row>
    <row r="885" spans="1:6" ht="45" x14ac:dyDescent="0.25">
      <c r="A885" s="8" t="s">
        <v>5</v>
      </c>
      <c r="B885" s="8" t="s">
        <v>20</v>
      </c>
      <c r="C885" s="8" t="str">
        <f>IFERROR(_xlfn.XLOOKUP(TRIM(B885),Lookup!$B$2:$B$1000,Lookup!$C$2:$C$1000),"")</f>
        <v>Equity</v>
      </c>
      <c r="D885" s="8" t="s">
        <v>21</v>
      </c>
      <c r="E885" s="9">
        <v>46122</v>
      </c>
      <c r="F885" s="8">
        <v>28.344000000000001</v>
      </c>
    </row>
    <row r="886" spans="1:6" ht="45" x14ac:dyDescent="0.25">
      <c r="A886" s="8" t="s">
        <v>5</v>
      </c>
      <c r="B886" s="8" t="s">
        <v>20</v>
      </c>
      <c r="C886" s="8" t="str">
        <f>IFERROR(_xlfn.XLOOKUP(TRIM(B886),Lookup!$B$2:$B$1000,Lookup!$C$2:$C$1000),"")</f>
        <v>Equity</v>
      </c>
      <c r="D886" s="8" t="s">
        <v>21</v>
      </c>
      <c r="E886" s="9">
        <v>46125</v>
      </c>
      <c r="F886" s="8">
        <v>28.044699999999999</v>
      </c>
    </row>
    <row r="887" spans="1:6" ht="45" x14ac:dyDescent="0.25">
      <c r="A887" s="8" t="s">
        <v>5</v>
      </c>
      <c r="B887" s="8" t="s">
        <v>20</v>
      </c>
      <c r="C887" s="8" t="str">
        <f>IFERROR(_xlfn.XLOOKUP(TRIM(B887),Lookup!$B$2:$B$1000,Lookup!$C$2:$C$1000),"")</f>
        <v>Equity</v>
      </c>
      <c r="D887" s="8" t="s">
        <v>21</v>
      </c>
      <c r="E887" s="9">
        <v>46127</v>
      </c>
      <c r="F887" s="8">
        <v>28.536799999999999</v>
      </c>
    </row>
    <row r="888" spans="1:6" ht="45" x14ac:dyDescent="0.25">
      <c r="A888" s="8" t="s">
        <v>5</v>
      </c>
      <c r="B888" s="8" t="s">
        <v>20</v>
      </c>
      <c r="C888" s="8" t="str">
        <f>IFERROR(_xlfn.XLOOKUP(TRIM(B888),Lookup!$B$2:$B$1000,Lookup!$C$2:$C$1000),"")</f>
        <v>Equity</v>
      </c>
      <c r="D888" s="8" t="s">
        <v>21</v>
      </c>
      <c r="E888" s="9">
        <v>46128</v>
      </c>
      <c r="F888" s="8">
        <v>28.5732</v>
      </c>
    </row>
    <row r="889" spans="1:6" ht="45" x14ac:dyDescent="0.25">
      <c r="A889" s="8" t="s">
        <v>5</v>
      </c>
      <c r="B889" s="8" t="s">
        <v>20</v>
      </c>
      <c r="C889" s="8" t="str">
        <f>IFERROR(_xlfn.XLOOKUP(TRIM(B889),Lookup!$B$2:$B$1000,Lookup!$C$2:$C$1000),"")</f>
        <v>Equity</v>
      </c>
      <c r="D889" s="8" t="s">
        <v>21</v>
      </c>
      <c r="E889" s="9">
        <v>46129</v>
      </c>
      <c r="F889" s="8">
        <v>28.846</v>
      </c>
    </row>
    <row r="890" spans="1:6" ht="45" x14ac:dyDescent="0.25">
      <c r="A890" s="8" t="s">
        <v>5</v>
      </c>
      <c r="B890" s="8" t="s">
        <v>20</v>
      </c>
      <c r="C890" s="8" t="str">
        <f>IFERROR(_xlfn.XLOOKUP(TRIM(B890),Lookup!$B$2:$B$1000,Lookup!$C$2:$C$1000),"")</f>
        <v>Equity</v>
      </c>
      <c r="D890" s="8" t="s">
        <v>21</v>
      </c>
      <c r="E890" s="9">
        <v>46132</v>
      </c>
      <c r="F890" s="8">
        <v>28.8216</v>
      </c>
    </row>
    <row r="891" spans="1:6" ht="45" x14ac:dyDescent="0.25">
      <c r="A891" s="8" t="s">
        <v>5</v>
      </c>
      <c r="B891" s="8" t="s">
        <v>20</v>
      </c>
      <c r="C891" s="8" t="str">
        <f>IFERROR(_xlfn.XLOOKUP(TRIM(B891),Lookup!$B$2:$B$1000,Lookup!$C$2:$C$1000),"")</f>
        <v>Equity</v>
      </c>
      <c r="D891" s="8" t="s">
        <v>21</v>
      </c>
      <c r="E891" s="9">
        <v>46133</v>
      </c>
      <c r="F891" s="8">
        <v>29.065000000000001</v>
      </c>
    </row>
    <row r="892" spans="1:6" ht="45" x14ac:dyDescent="0.25">
      <c r="A892" s="8" t="s">
        <v>5</v>
      </c>
      <c r="B892" s="8" t="s">
        <v>20</v>
      </c>
      <c r="C892" s="8" t="str">
        <f>IFERROR(_xlfn.XLOOKUP(TRIM(B892),Lookup!$B$2:$B$1000,Lookup!$C$2:$C$1000),"")</f>
        <v>Equity</v>
      </c>
      <c r="D892" s="8" t="s">
        <v>21</v>
      </c>
      <c r="E892" s="9">
        <v>46134</v>
      </c>
      <c r="F892" s="8">
        <v>28.97</v>
      </c>
    </row>
    <row r="893" spans="1:6" ht="45" x14ac:dyDescent="0.25">
      <c r="A893" s="8" t="s">
        <v>5</v>
      </c>
      <c r="B893" s="8" t="s">
        <v>20</v>
      </c>
      <c r="C893" s="8" t="str">
        <f>IFERROR(_xlfn.XLOOKUP(TRIM(B893),Lookup!$B$2:$B$1000,Lookup!$C$2:$C$1000),"")</f>
        <v>Equity</v>
      </c>
      <c r="D893" s="8" t="s">
        <v>21</v>
      </c>
      <c r="E893" s="9">
        <v>46135</v>
      </c>
      <c r="F893" s="8">
        <v>28.702999999999999</v>
      </c>
    </row>
    <row r="894" spans="1:6" ht="45" x14ac:dyDescent="0.25">
      <c r="A894" s="8" t="s">
        <v>5</v>
      </c>
      <c r="B894" s="8" t="s">
        <v>20</v>
      </c>
      <c r="C894" s="8" t="str">
        <f>IFERROR(_xlfn.XLOOKUP(TRIM(B894),Lookup!$B$2:$B$1000,Lookup!$C$2:$C$1000),"")</f>
        <v>Equity</v>
      </c>
      <c r="D894" s="8" t="s">
        <v>21</v>
      </c>
      <c r="E894" s="9">
        <v>46136</v>
      </c>
      <c r="F894" s="8">
        <v>28.456</v>
      </c>
    </row>
    <row r="895" spans="1:6" ht="45" x14ac:dyDescent="0.25">
      <c r="A895" s="8" t="s">
        <v>5</v>
      </c>
      <c r="B895" s="8" t="s">
        <v>20</v>
      </c>
      <c r="C895" s="8" t="str">
        <f>IFERROR(_xlfn.XLOOKUP(TRIM(B895),Lookup!$B$2:$B$1000,Lookup!$C$2:$C$1000),"")</f>
        <v>Equity</v>
      </c>
      <c r="D895" s="8" t="s">
        <v>21</v>
      </c>
      <c r="E895" s="9">
        <v>46139</v>
      </c>
      <c r="F895" s="8">
        <v>28.749400000000001</v>
      </c>
    </row>
    <row r="896" spans="1:6" ht="45" x14ac:dyDescent="0.25">
      <c r="A896" s="8" t="s">
        <v>5</v>
      </c>
      <c r="B896" s="8" t="s">
        <v>20</v>
      </c>
      <c r="C896" s="8" t="str">
        <f>IFERROR(_xlfn.XLOOKUP(TRIM(B896),Lookup!$B$2:$B$1000,Lookup!$C$2:$C$1000),"")</f>
        <v>Equity</v>
      </c>
      <c r="D896" s="8" t="s">
        <v>21</v>
      </c>
      <c r="E896" s="9">
        <v>46140</v>
      </c>
      <c r="F896" s="8">
        <v>28.670500000000001</v>
      </c>
    </row>
    <row r="897" spans="1:6" ht="45" x14ac:dyDescent="0.25">
      <c r="A897" s="8" t="s">
        <v>5</v>
      </c>
      <c r="B897" s="8" t="s">
        <v>20</v>
      </c>
      <c r="C897" s="8" t="str">
        <f>IFERROR(_xlfn.XLOOKUP(TRIM(B897),Lookup!$B$2:$B$1000,Lookup!$C$2:$C$1000),"")</f>
        <v>Equity</v>
      </c>
      <c r="D897" s="8" t="s">
        <v>21</v>
      </c>
      <c r="E897" s="9">
        <v>46141</v>
      </c>
      <c r="F897" s="8">
        <v>28.799399999999999</v>
      </c>
    </row>
    <row r="898" spans="1:6" ht="45" x14ac:dyDescent="0.25">
      <c r="A898" s="8" t="s">
        <v>5</v>
      </c>
      <c r="B898" s="8" t="s">
        <v>20</v>
      </c>
      <c r="C898" s="8" t="str">
        <f>IFERROR(_xlfn.XLOOKUP(TRIM(B898),Lookup!$B$2:$B$1000,Lookup!$C$2:$C$1000),"")</f>
        <v>Equity</v>
      </c>
      <c r="D898" s="8" t="s">
        <v>21</v>
      </c>
      <c r="E898" s="9">
        <v>46142</v>
      </c>
      <c r="F898" s="8">
        <v>28.554300000000001</v>
      </c>
    </row>
    <row r="899" spans="1:6" ht="45" x14ac:dyDescent="0.25">
      <c r="A899" s="8" t="s">
        <v>5</v>
      </c>
      <c r="B899" s="8" t="s">
        <v>20</v>
      </c>
      <c r="C899" s="8" t="str">
        <f>IFERROR(_xlfn.XLOOKUP(TRIM(B899),Lookup!$B$2:$B$1000,Lookup!$C$2:$C$1000),"")</f>
        <v>Equity</v>
      </c>
      <c r="D899" s="8" t="s">
        <v>21</v>
      </c>
      <c r="E899" s="9">
        <v>46146</v>
      </c>
      <c r="F899" s="8">
        <v>28.771599999999999</v>
      </c>
    </row>
    <row r="900" spans="1:6" ht="45" x14ac:dyDescent="0.25">
      <c r="A900" s="8" t="s">
        <v>5</v>
      </c>
      <c r="B900" s="8" t="s">
        <v>20</v>
      </c>
      <c r="C900" s="8" t="str">
        <f>IFERROR(_xlfn.XLOOKUP(TRIM(B900),Lookup!$B$2:$B$1000,Lookup!$C$2:$C$1000),"")</f>
        <v>Equity</v>
      </c>
      <c r="D900" s="8" t="s">
        <v>21</v>
      </c>
      <c r="E900" s="9">
        <v>46147</v>
      </c>
      <c r="F900" s="8">
        <v>28.753499999999999</v>
      </c>
    </row>
    <row r="901" spans="1:6" ht="45" x14ac:dyDescent="0.25">
      <c r="A901" s="8" t="s">
        <v>5</v>
      </c>
      <c r="B901" s="8" t="s">
        <v>20</v>
      </c>
      <c r="C901" s="8" t="str">
        <f>IFERROR(_xlfn.XLOOKUP(TRIM(B901),Lookup!$B$2:$B$1000,Lookup!$C$2:$C$1000),"")</f>
        <v>Equity</v>
      </c>
      <c r="D901" s="8" t="s">
        <v>21</v>
      </c>
      <c r="E901" s="9">
        <v>46148</v>
      </c>
      <c r="F901" s="8">
        <v>29.188700000000001</v>
      </c>
    </row>
    <row r="902" spans="1:6" ht="45" x14ac:dyDescent="0.25">
      <c r="A902" s="8" t="s">
        <v>5</v>
      </c>
      <c r="B902" s="8" t="s">
        <v>20</v>
      </c>
      <c r="C902" s="8" t="str">
        <f>IFERROR(_xlfn.XLOOKUP(TRIM(B902),Lookup!$B$2:$B$1000,Lookup!$C$2:$C$1000),"")</f>
        <v>Equity</v>
      </c>
      <c r="D902" s="8" t="s">
        <v>21</v>
      </c>
      <c r="E902" s="9">
        <v>46149</v>
      </c>
      <c r="F902" s="8">
        <v>29.243400000000001</v>
      </c>
    </row>
    <row r="903" spans="1:6" ht="45" x14ac:dyDescent="0.25">
      <c r="A903" s="8" t="s">
        <v>5</v>
      </c>
      <c r="B903" s="8" t="s">
        <v>20</v>
      </c>
      <c r="C903" s="8" t="str">
        <f>IFERROR(_xlfn.XLOOKUP(TRIM(B903),Lookup!$B$2:$B$1000,Lookup!$C$2:$C$1000),"")</f>
        <v>Equity</v>
      </c>
      <c r="D903" s="8" t="s">
        <v>21</v>
      </c>
      <c r="E903" s="9">
        <v>46150</v>
      </c>
      <c r="F903" s="8">
        <v>29.102799999999998</v>
      </c>
    </row>
    <row r="904" spans="1:6" ht="45" x14ac:dyDescent="0.25">
      <c r="A904" s="8" t="s">
        <v>5</v>
      </c>
      <c r="B904" s="8" t="s">
        <v>20</v>
      </c>
      <c r="C904" s="8" t="str">
        <f>IFERROR(_xlfn.XLOOKUP(TRIM(B904),Lookup!$B$2:$B$1000,Lookup!$C$2:$C$1000),"")</f>
        <v>Equity</v>
      </c>
      <c r="D904" s="8" t="s">
        <v>21</v>
      </c>
      <c r="E904" s="9">
        <v>46153</v>
      </c>
      <c r="F904" s="8">
        <v>28.706800000000001</v>
      </c>
    </row>
    <row r="905" spans="1:6" ht="45" x14ac:dyDescent="0.25">
      <c r="A905" s="8" t="s">
        <v>5</v>
      </c>
      <c r="B905" s="8" t="s">
        <v>20</v>
      </c>
      <c r="C905" s="8" t="str">
        <f>IFERROR(_xlfn.XLOOKUP(TRIM(B905),Lookup!$B$2:$B$1000,Lookup!$C$2:$C$1000),"")</f>
        <v>Equity</v>
      </c>
      <c r="D905" s="8" t="s">
        <v>21</v>
      </c>
      <c r="E905" s="9">
        <v>46154</v>
      </c>
      <c r="F905" s="8">
        <v>28.119599999999998</v>
      </c>
    </row>
    <row r="906" spans="1:6" ht="45" x14ac:dyDescent="0.25">
      <c r="A906" s="8" t="s">
        <v>5</v>
      </c>
      <c r="B906" s="8" t="s">
        <v>20</v>
      </c>
      <c r="C906" s="8" t="str">
        <f>IFERROR(_xlfn.XLOOKUP(TRIM(B906),Lookup!$B$2:$B$1000,Lookup!$C$2:$C$1000),"")</f>
        <v>Equity</v>
      </c>
      <c r="D906" s="8" t="s">
        <v>21</v>
      </c>
      <c r="E906" s="9">
        <v>46155</v>
      </c>
      <c r="F906" s="8">
        <v>28.190799999999999</v>
      </c>
    </row>
    <row r="907" spans="1:6" ht="45" x14ac:dyDescent="0.25">
      <c r="A907" s="8" t="s">
        <v>5</v>
      </c>
      <c r="B907" s="8" t="s">
        <v>20</v>
      </c>
      <c r="C907" s="8" t="str">
        <f>IFERROR(_xlfn.XLOOKUP(TRIM(B907),Lookup!$B$2:$B$1000,Lookup!$C$2:$C$1000),"")</f>
        <v>Equity</v>
      </c>
      <c r="D907" s="8" t="s">
        <v>21</v>
      </c>
      <c r="E907" s="9">
        <v>46156</v>
      </c>
      <c r="F907" s="8">
        <v>28.569199999999999</v>
      </c>
    </row>
    <row r="908" spans="1:6" ht="45" x14ac:dyDescent="0.25">
      <c r="A908" s="8" t="s">
        <v>5</v>
      </c>
      <c r="B908" s="8" t="s">
        <v>20</v>
      </c>
      <c r="C908" s="8" t="str">
        <f>IFERROR(_xlfn.XLOOKUP(TRIM(B908),Lookup!$B$2:$B$1000,Lookup!$C$2:$C$1000),"")</f>
        <v>Equity</v>
      </c>
      <c r="D908" s="8" t="s">
        <v>21</v>
      </c>
      <c r="E908" s="9">
        <v>46157</v>
      </c>
      <c r="F908" s="8">
        <v>28.4315</v>
      </c>
    </row>
    <row r="909" spans="1:6" ht="45" x14ac:dyDescent="0.25">
      <c r="A909" s="8" t="s">
        <v>5</v>
      </c>
      <c r="B909" s="8" t="s">
        <v>20</v>
      </c>
      <c r="C909" s="8" t="str">
        <f>IFERROR(_xlfn.XLOOKUP(TRIM(B909),Lookup!$B$2:$B$1000,Lookup!$C$2:$C$1000),"")</f>
        <v>Equity</v>
      </c>
      <c r="D909" s="8" t="s">
        <v>21</v>
      </c>
      <c r="E909" s="9">
        <v>46160</v>
      </c>
      <c r="F909" s="8">
        <v>28.3659</v>
      </c>
    </row>
    <row r="910" spans="1:6" ht="45" x14ac:dyDescent="0.25">
      <c r="A910" s="8" t="s">
        <v>5</v>
      </c>
      <c r="B910" s="8" t="s">
        <v>20</v>
      </c>
      <c r="C910" s="8" t="str">
        <f>IFERROR(_xlfn.XLOOKUP(TRIM(B910),Lookup!$B$2:$B$1000,Lookup!$C$2:$C$1000),"")</f>
        <v>Equity</v>
      </c>
      <c r="D910" s="8" t="s">
        <v>21</v>
      </c>
      <c r="E910" s="9">
        <v>46161</v>
      </c>
      <c r="F910" s="8">
        <v>28.415600000000001</v>
      </c>
    </row>
    <row r="911" spans="1:6" ht="45" x14ac:dyDescent="0.25">
      <c r="A911" s="8" t="s">
        <v>5</v>
      </c>
      <c r="B911" s="8" t="s">
        <v>20</v>
      </c>
      <c r="C911" s="8" t="str">
        <f>IFERROR(_xlfn.XLOOKUP(TRIM(B911),Lookup!$B$2:$B$1000,Lookup!$C$2:$C$1000),"")</f>
        <v>Equity</v>
      </c>
      <c r="D911" s="8" t="s">
        <v>21</v>
      </c>
      <c r="E911" s="9">
        <v>46162</v>
      </c>
      <c r="F911" s="8">
        <v>28.512899999999998</v>
      </c>
    </row>
    <row r="912" spans="1:6" ht="45" x14ac:dyDescent="0.25">
      <c r="A912" s="8" t="s">
        <v>5</v>
      </c>
      <c r="B912" s="8" t="s">
        <v>20</v>
      </c>
      <c r="C912" s="8" t="str">
        <f>IFERROR(_xlfn.XLOOKUP(TRIM(B912),Lookup!$B$2:$B$1000,Lookup!$C$2:$C$1000),"")</f>
        <v>Equity</v>
      </c>
      <c r="D912" s="8" t="s">
        <v>21</v>
      </c>
      <c r="E912" s="9">
        <v>46163</v>
      </c>
      <c r="F912" s="8">
        <v>28.5198</v>
      </c>
    </row>
    <row r="913" spans="1:6" ht="45" x14ac:dyDescent="0.25">
      <c r="A913" s="8" t="s">
        <v>5</v>
      </c>
      <c r="B913" s="8" t="s">
        <v>20</v>
      </c>
      <c r="C913" s="8" t="str">
        <f>IFERROR(_xlfn.XLOOKUP(TRIM(B913),Lookup!$B$2:$B$1000,Lookup!$C$2:$C$1000),"")</f>
        <v>Equity</v>
      </c>
      <c r="D913" s="8" t="s">
        <v>21</v>
      </c>
      <c r="E913" s="9">
        <v>46164</v>
      </c>
      <c r="F913" s="8">
        <v>28.646999999999998</v>
      </c>
    </row>
    <row r="914" spans="1:6" ht="45" x14ac:dyDescent="0.25">
      <c r="A914" s="8" t="s">
        <v>5</v>
      </c>
      <c r="B914" s="8" t="s">
        <v>20</v>
      </c>
      <c r="C914" s="8" t="str">
        <f>IFERROR(_xlfn.XLOOKUP(TRIM(B914),Lookup!$B$2:$B$1000,Lookup!$C$2:$C$1000),"")</f>
        <v>Equity</v>
      </c>
      <c r="D914" s="8" t="s">
        <v>21</v>
      </c>
      <c r="E914" s="9">
        <v>46167</v>
      </c>
      <c r="F914" s="8">
        <v>29.030899999999999</v>
      </c>
    </row>
    <row r="915" spans="1:6" ht="45" x14ac:dyDescent="0.25">
      <c r="A915" s="8" t="s">
        <v>5</v>
      </c>
      <c r="B915" s="8" t="s">
        <v>20</v>
      </c>
      <c r="C915" s="8" t="str">
        <f>IFERROR(_xlfn.XLOOKUP(TRIM(B915),Lookup!$B$2:$B$1000,Lookup!$C$2:$C$1000),"")</f>
        <v>Equity</v>
      </c>
      <c r="D915" s="8" t="s">
        <v>21</v>
      </c>
      <c r="E915" s="9">
        <v>46168</v>
      </c>
      <c r="F915" s="8">
        <v>28.951499999999999</v>
      </c>
    </row>
    <row r="916" spans="1:6" ht="45" x14ac:dyDescent="0.25">
      <c r="A916" s="8" t="s">
        <v>5</v>
      </c>
      <c r="B916" s="8" t="s">
        <v>20</v>
      </c>
      <c r="C916" s="8" t="str">
        <f>IFERROR(_xlfn.XLOOKUP(TRIM(B916),Lookup!$B$2:$B$1000,Lookup!$C$2:$C$1000),"")</f>
        <v>Equity</v>
      </c>
      <c r="D916" s="8" t="s">
        <v>21</v>
      </c>
      <c r="E916" s="9">
        <v>46169</v>
      </c>
      <c r="F916" s="8">
        <v>29.050599999999999</v>
      </c>
    </row>
    <row r="917" spans="1:6" ht="45" x14ac:dyDescent="0.25">
      <c r="A917" s="8" t="s">
        <v>5</v>
      </c>
      <c r="B917" s="8" t="s">
        <v>20</v>
      </c>
      <c r="C917" s="8" t="str">
        <f>IFERROR(_xlfn.XLOOKUP(TRIM(B917),Lookup!$B$2:$B$1000,Lookup!$C$2:$C$1000),"")</f>
        <v>Equity</v>
      </c>
      <c r="D917" s="8" t="s">
        <v>21</v>
      </c>
      <c r="E917" s="9">
        <v>46171</v>
      </c>
      <c r="F917" s="8">
        <v>28.6675</v>
      </c>
    </row>
    <row r="918" spans="1:6" ht="45" x14ac:dyDescent="0.25">
      <c r="A918" s="8" t="s">
        <v>5</v>
      </c>
      <c r="B918" s="8" t="s">
        <v>20</v>
      </c>
      <c r="C918" s="8" t="str">
        <f>IFERROR(_xlfn.XLOOKUP(TRIM(B918),Lookup!$B$2:$B$1000,Lookup!$C$2:$C$1000),"")</f>
        <v>Equity</v>
      </c>
      <c r="D918" s="8" t="s">
        <v>21</v>
      </c>
      <c r="E918" s="9">
        <v>46174</v>
      </c>
      <c r="F918" s="8">
        <v>28.39</v>
      </c>
    </row>
    <row r="919" spans="1:6" ht="45" x14ac:dyDescent="0.25">
      <c r="A919" s="8" t="s">
        <v>5</v>
      </c>
      <c r="B919" s="8" t="s">
        <v>20</v>
      </c>
      <c r="C919" s="8" t="str">
        <f>IFERROR(_xlfn.XLOOKUP(TRIM(B919),Lookup!$B$2:$B$1000,Lookup!$C$2:$C$1000),"")</f>
        <v>Equity</v>
      </c>
      <c r="D919" s="8" t="s">
        <v>21</v>
      </c>
      <c r="E919" s="9">
        <v>46175</v>
      </c>
      <c r="F919" s="8">
        <v>28.502099999999999</v>
      </c>
    </row>
    <row r="920" spans="1:6" ht="45" x14ac:dyDescent="0.25">
      <c r="A920" s="8" t="s">
        <v>5</v>
      </c>
      <c r="B920" s="8" t="s">
        <v>20</v>
      </c>
      <c r="C920" s="8" t="str">
        <f>IFERROR(_xlfn.XLOOKUP(TRIM(B920),Lookup!$B$2:$B$1000,Lookup!$C$2:$C$1000),"")</f>
        <v>Equity</v>
      </c>
      <c r="D920" s="8" t="s">
        <v>21</v>
      </c>
      <c r="E920" s="9">
        <v>46176</v>
      </c>
      <c r="F920" s="8">
        <v>28.422499999999999</v>
      </c>
    </row>
    <row r="921" spans="1:6" ht="45" x14ac:dyDescent="0.25">
      <c r="A921" s="8" t="s">
        <v>5</v>
      </c>
      <c r="B921" s="8" t="s">
        <v>20</v>
      </c>
      <c r="C921" s="8" t="str">
        <f>IFERROR(_xlfn.XLOOKUP(TRIM(B921),Lookup!$B$2:$B$1000,Lookup!$C$2:$C$1000),"")</f>
        <v>Equity</v>
      </c>
      <c r="D921" s="8" t="s">
        <v>21</v>
      </c>
      <c r="E921" s="9">
        <v>46177</v>
      </c>
      <c r="F921" s="8">
        <v>28.450900000000001</v>
      </c>
    </row>
    <row r="922" spans="1:6" ht="45" x14ac:dyDescent="0.25">
      <c r="A922" s="8" t="s">
        <v>5</v>
      </c>
      <c r="B922" s="8" t="s">
        <v>20</v>
      </c>
      <c r="C922" s="8" t="str">
        <f>IFERROR(_xlfn.XLOOKUP(TRIM(B922),Lookup!$B$2:$B$1000,Lookup!$C$2:$C$1000),"")</f>
        <v>Equity</v>
      </c>
      <c r="D922" s="8" t="s">
        <v>21</v>
      </c>
      <c r="E922" s="9">
        <v>46178</v>
      </c>
      <c r="F922" s="8">
        <v>28.507400000000001</v>
      </c>
    </row>
    <row r="923" spans="1:6" ht="45" x14ac:dyDescent="0.25">
      <c r="A923" s="8" t="s">
        <v>5</v>
      </c>
      <c r="B923" s="8" t="s">
        <v>20</v>
      </c>
      <c r="C923" s="8" t="str">
        <f>IFERROR(_xlfn.XLOOKUP(TRIM(B923),Lookup!$B$2:$B$1000,Lookup!$C$2:$C$1000),"")</f>
        <v>Equity</v>
      </c>
      <c r="D923" s="8" t="s">
        <v>21</v>
      </c>
      <c r="E923" s="9">
        <v>46181</v>
      </c>
      <c r="F923" s="8">
        <v>28.177800000000001</v>
      </c>
    </row>
    <row r="924" spans="1:6" ht="45" x14ac:dyDescent="0.25">
      <c r="A924" s="8" t="s">
        <v>5</v>
      </c>
      <c r="B924" s="8" t="s">
        <v>20</v>
      </c>
      <c r="C924" s="8" t="str">
        <f>IFERROR(_xlfn.XLOOKUP(TRIM(B924),Lookup!$B$2:$B$1000,Lookup!$C$2:$C$1000),"")</f>
        <v>Equity</v>
      </c>
      <c r="D924" s="8" t="s">
        <v>21</v>
      </c>
      <c r="E924" s="9">
        <v>46182</v>
      </c>
      <c r="F924" s="8">
        <v>28.4252</v>
      </c>
    </row>
    <row r="925" spans="1:6" ht="45" x14ac:dyDescent="0.25">
      <c r="A925" s="8" t="s">
        <v>5</v>
      </c>
      <c r="B925" s="8" t="s">
        <v>20</v>
      </c>
      <c r="C925" s="8" t="str">
        <f>IFERROR(_xlfn.XLOOKUP(TRIM(B925),Lookup!$B$2:$B$1000,Lookup!$C$2:$C$1000),"")</f>
        <v>Equity</v>
      </c>
      <c r="D925" s="8" t="s">
        <v>21</v>
      </c>
      <c r="E925" s="9">
        <v>46183</v>
      </c>
      <c r="F925" s="8">
        <v>28.288799999999998</v>
      </c>
    </row>
    <row r="926" spans="1:6" ht="45" x14ac:dyDescent="0.25">
      <c r="A926" s="8" t="s">
        <v>5</v>
      </c>
      <c r="B926" s="8" t="s">
        <v>20</v>
      </c>
      <c r="C926" s="8" t="str">
        <f>IFERROR(_xlfn.XLOOKUP(TRIM(B926),Lookup!$B$2:$B$1000,Lookup!$C$2:$C$1000),"")</f>
        <v>Equity</v>
      </c>
      <c r="D926" s="8" t="s">
        <v>21</v>
      </c>
      <c r="E926" s="9">
        <v>46184</v>
      </c>
      <c r="F926" s="8">
        <v>28.128799999999998</v>
      </c>
    </row>
    <row r="927" spans="1:6" ht="45" x14ac:dyDescent="0.25">
      <c r="A927" s="8" t="s">
        <v>5</v>
      </c>
      <c r="B927" s="8" t="s">
        <v>20</v>
      </c>
      <c r="C927" s="8" t="str">
        <f>IFERROR(_xlfn.XLOOKUP(TRIM(B927),Lookup!$B$2:$B$1000,Lookup!$C$2:$C$1000),"")</f>
        <v>Equity</v>
      </c>
      <c r="D927" s="8" t="s">
        <v>21</v>
      </c>
      <c r="E927" s="9">
        <v>46185</v>
      </c>
      <c r="F927" s="8">
        <v>28.7606</v>
      </c>
    </row>
    <row r="928" spans="1:6" ht="45" x14ac:dyDescent="0.25">
      <c r="A928" s="8" t="s">
        <v>5</v>
      </c>
      <c r="B928" s="8" t="s">
        <v>20</v>
      </c>
      <c r="C928" s="8" t="str">
        <f>IFERROR(_xlfn.XLOOKUP(TRIM(B928),Lookup!$B$2:$B$1000,Lookup!$C$2:$C$1000),"")</f>
        <v>Equity</v>
      </c>
      <c r="D928" s="8" t="s">
        <v>21</v>
      </c>
      <c r="E928" s="9">
        <v>46188</v>
      </c>
      <c r="F928" s="8">
        <v>29.162800000000001</v>
      </c>
    </row>
    <row r="929" spans="1:6" ht="45" x14ac:dyDescent="0.25">
      <c r="A929" s="8" t="s">
        <v>5</v>
      </c>
      <c r="B929" s="8" t="s">
        <v>20</v>
      </c>
      <c r="C929" s="8" t="str">
        <f>IFERROR(_xlfn.XLOOKUP(TRIM(B929),Lookup!$B$2:$B$1000,Lookup!$C$2:$C$1000),"")</f>
        <v>Equity</v>
      </c>
      <c r="D929" s="8" t="s">
        <v>21</v>
      </c>
      <c r="E929" s="9">
        <v>46189</v>
      </c>
      <c r="F929" s="8">
        <v>29.262</v>
      </c>
    </row>
    <row r="930" spans="1:6" ht="45" x14ac:dyDescent="0.25">
      <c r="A930" s="8" t="s">
        <v>5</v>
      </c>
      <c r="B930" s="8" t="s">
        <v>20</v>
      </c>
      <c r="C930" s="8" t="str">
        <f>IFERROR(_xlfn.XLOOKUP(TRIM(B930),Lookup!$B$2:$B$1000,Lookup!$C$2:$C$1000),"")</f>
        <v>Equity</v>
      </c>
      <c r="D930" s="8" t="s">
        <v>21</v>
      </c>
      <c r="E930" s="9">
        <v>46190</v>
      </c>
      <c r="F930" s="8">
        <v>29.417400000000001</v>
      </c>
    </row>
    <row r="931" spans="1:6" ht="45" x14ac:dyDescent="0.25">
      <c r="A931" s="8" t="s">
        <v>5</v>
      </c>
      <c r="B931" s="8" t="s">
        <v>20</v>
      </c>
      <c r="C931" s="8" t="str">
        <f>IFERROR(_xlfn.XLOOKUP(TRIM(B931),Lookup!$B$2:$B$1000,Lookup!$C$2:$C$1000),"")</f>
        <v>Equity</v>
      </c>
      <c r="D931" s="8" t="s">
        <v>21</v>
      </c>
      <c r="E931" s="9">
        <v>46191</v>
      </c>
      <c r="F931" s="8">
        <v>29.5717</v>
      </c>
    </row>
    <row r="932" spans="1:6" ht="45" x14ac:dyDescent="0.25">
      <c r="A932" s="8" t="s">
        <v>5</v>
      </c>
      <c r="B932" s="8" t="s">
        <v>20</v>
      </c>
      <c r="C932" s="8" t="str">
        <f>IFERROR(_xlfn.XLOOKUP(TRIM(B932),Lookup!$B$2:$B$1000,Lookup!$C$2:$C$1000),"")</f>
        <v>Equity</v>
      </c>
      <c r="D932" s="8" t="s">
        <v>21</v>
      </c>
      <c r="E932" s="9">
        <v>46192</v>
      </c>
      <c r="F932" s="8">
        <v>29.5122</v>
      </c>
    </row>
    <row r="933" spans="1:6" ht="45" x14ac:dyDescent="0.25">
      <c r="A933" s="8" t="s">
        <v>5</v>
      </c>
      <c r="B933" s="8" t="s">
        <v>20</v>
      </c>
      <c r="C933" s="8" t="str">
        <f>IFERROR(_xlfn.XLOOKUP(TRIM(B933),Lookup!$B$2:$B$1000,Lookup!$C$2:$C$1000),"")</f>
        <v>Equity</v>
      </c>
      <c r="D933" s="8" t="s">
        <v>21</v>
      </c>
      <c r="E933" s="9">
        <v>46195</v>
      </c>
      <c r="F933" s="8">
        <v>29.656700000000001</v>
      </c>
    </row>
    <row r="934" spans="1:6" ht="45" x14ac:dyDescent="0.25">
      <c r="A934" s="8" t="s">
        <v>5</v>
      </c>
      <c r="B934" s="8" t="s">
        <v>20</v>
      </c>
      <c r="C934" s="8" t="str">
        <f>IFERROR(_xlfn.XLOOKUP(TRIM(B934),Lookup!$B$2:$B$1000,Lookup!$C$2:$C$1000),"")</f>
        <v>Equity</v>
      </c>
      <c r="D934" s="8" t="s">
        <v>21</v>
      </c>
      <c r="E934" s="9">
        <v>46196</v>
      </c>
      <c r="F934" s="8">
        <v>29.347100000000001</v>
      </c>
    </row>
    <row r="935" spans="1:6" ht="45" x14ac:dyDescent="0.25">
      <c r="A935" s="8" t="s">
        <v>5</v>
      </c>
      <c r="B935" s="8" t="s">
        <v>20</v>
      </c>
      <c r="C935" s="8" t="str">
        <f>IFERROR(_xlfn.XLOOKUP(TRIM(B935),Lookup!$B$2:$B$1000,Lookup!$C$2:$C$1000),"")</f>
        <v>Equity</v>
      </c>
      <c r="D935" s="8" t="s">
        <v>21</v>
      </c>
      <c r="E935" s="9">
        <v>46197</v>
      </c>
      <c r="F935" s="8">
        <v>29.552900000000001</v>
      </c>
    </row>
    <row r="936" spans="1:6" ht="45" x14ac:dyDescent="0.25">
      <c r="A936" s="8" t="s">
        <v>5</v>
      </c>
      <c r="B936" s="8" t="s">
        <v>20</v>
      </c>
      <c r="C936" s="8" t="str">
        <f>IFERROR(_xlfn.XLOOKUP(TRIM(B936),Lookup!$B$2:$B$1000,Lookup!$C$2:$C$1000),"")</f>
        <v>Equity</v>
      </c>
      <c r="D936" s="8" t="s">
        <v>21</v>
      </c>
      <c r="E936" s="9">
        <v>46198</v>
      </c>
      <c r="F936" s="8">
        <v>29.551600000000001</v>
      </c>
    </row>
    <row r="937" spans="1:6" ht="45" x14ac:dyDescent="0.25">
      <c r="A937" s="8" t="s">
        <v>5</v>
      </c>
      <c r="B937" s="8" t="s">
        <v>20</v>
      </c>
      <c r="C937" s="8" t="str">
        <f>IFERROR(_xlfn.XLOOKUP(TRIM(B937),Lookup!$B$2:$B$1000,Lookup!$C$2:$C$1000),"")</f>
        <v>Equity</v>
      </c>
      <c r="D937" s="8" t="s">
        <v>21</v>
      </c>
      <c r="E937" s="9">
        <v>46202</v>
      </c>
      <c r="F937" s="8">
        <v>29.353899999999999</v>
      </c>
    </row>
    <row r="938" spans="1:6" ht="45" x14ac:dyDescent="0.25">
      <c r="A938" s="8" t="s">
        <v>5</v>
      </c>
      <c r="B938" s="8" t="s">
        <v>20</v>
      </c>
      <c r="C938" s="8" t="str">
        <f>IFERROR(_xlfn.XLOOKUP(TRIM(B938),Lookup!$B$2:$B$1000,Lookup!$C$2:$C$1000),"")</f>
        <v>Equity</v>
      </c>
      <c r="D938" s="8" t="s">
        <v>21</v>
      </c>
      <c r="E938" s="9">
        <v>46203</v>
      </c>
      <c r="F938" s="8">
        <v>29.389900000000001</v>
      </c>
    </row>
    <row r="939" spans="1:6" ht="45" x14ac:dyDescent="0.25">
      <c r="A939" s="8" t="s">
        <v>5</v>
      </c>
      <c r="B939" s="8" t="s">
        <v>20</v>
      </c>
      <c r="C939" s="8" t="str">
        <f>IFERROR(_xlfn.XLOOKUP(TRIM(B939),Lookup!$B$2:$B$1000,Lookup!$C$2:$C$1000),"")</f>
        <v>Equity</v>
      </c>
      <c r="D939" s="8" t="s">
        <v>21</v>
      </c>
      <c r="E939" s="9">
        <v>46204</v>
      </c>
      <c r="F939" s="8">
        <v>29.584800000000001</v>
      </c>
    </row>
    <row r="940" spans="1:6" ht="45" x14ac:dyDescent="0.25">
      <c r="A940" s="8" t="s">
        <v>5</v>
      </c>
      <c r="B940" s="8" t="s">
        <v>20</v>
      </c>
      <c r="C940" s="8" t="str">
        <f>IFERROR(_xlfn.XLOOKUP(TRIM(B940),Lookup!$B$2:$B$1000,Lookup!$C$2:$C$1000),"")</f>
        <v>Equity</v>
      </c>
      <c r="D940" s="8" t="s">
        <v>21</v>
      </c>
      <c r="E940" s="9">
        <v>46205</v>
      </c>
      <c r="F940" s="8">
        <v>29.750299999999999</v>
      </c>
    </row>
    <row r="941" spans="1:6" ht="45" x14ac:dyDescent="0.25">
      <c r="A941" s="8" t="s">
        <v>5</v>
      </c>
      <c r="B941" s="8" t="s">
        <v>20</v>
      </c>
      <c r="C941" s="8" t="str">
        <f>IFERROR(_xlfn.XLOOKUP(TRIM(B941),Lookup!$B$2:$B$1000,Lookup!$C$2:$C$1000),"")</f>
        <v>Equity</v>
      </c>
      <c r="D941" s="8" t="s">
        <v>21</v>
      </c>
      <c r="E941" s="9">
        <v>46206</v>
      </c>
      <c r="F941" s="8">
        <v>29.776900000000001</v>
      </c>
    </row>
    <row r="942" spans="1:6" ht="45" x14ac:dyDescent="0.25">
      <c r="A942" s="8" t="s">
        <v>5</v>
      </c>
      <c r="B942" s="8" t="s">
        <v>20</v>
      </c>
      <c r="C942" s="8" t="str">
        <f>IFERROR(_xlfn.XLOOKUP(TRIM(B942),Lookup!$B$2:$B$1000,Lookup!$C$2:$C$1000),"")</f>
        <v>Equity</v>
      </c>
      <c r="D942" s="8" t="s">
        <v>21</v>
      </c>
      <c r="E942" s="9">
        <v>46209</v>
      </c>
      <c r="F942" s="8">
        <v>30.009399999999999</v>
      </c>
    </row>
    <row r="943" spans="1:6" ht="45" x14ac:dyDescent="0.25">
      <c r="A943" s="8" t="s">
        <v>5</v>
      </c>
      <c r="B943" s="8" t="s">
        <v>20</v>
      </c>
      <c r="C943" s="8" t="str">
        <f>IFERROR(_xlfn.XLOOKUP(TRIM(B943),Lookup!$B$2:$B$1000,Lookup!$C$2:$C$1000),"")</f>
        <v>Equity</v>
      </c>
      <c r="D943" s="8" t="s">
        <v>21</v>
      </c>
      <c r="E943" s="9">
        <v>46210</v>
      </c>
      <c r="F943" s="8">
        <v>29.948599999999999</v>
      </c>
    </row>
    <row r="944" spans="1:6" ht="45" x14ac:dyDescent="0.25">
      <c r="A944" s="8" t="s">
        <v>5</v>
      </c>
      <c r="B944" s="8" t="s">
        <v>20</v>
      </c>
      <c r="C944" s="8" t="str">
        <f>IFERROR(_xlfn.XLOOKUP(TRIM(B944),Lookup!$B$2:$B$1000,Lookup!$C$2:$C$1000),"")</f>
        <v>Equity</v>
      </c>
      <c r="D944" s="8" t="s">
        <v>21</v>
      </c>
      <c r="E944" s="9">
        <v>46211</v>
      </c>
      <c r="F944" s="8">
        <v>29.353200000000001</v>
      </c>
    </row>
    <row r="945" spans="1:6" ht="45" x14ac:dyDescent="0.25">
      <c r="A945" s="8" t="s">
        <v>5</v>
      </c>
      <c r="B945" s="8" t="s">
        <v>20</v>
      </c>
      <c r="C945" s="8" t="str">
        <f>IFERROR(_xlfn.XLOOKUP(TRIM(B945),Lookup!$B$2:$B$1000,Lookup!$C$2:$C$1000),"")</f>
        <v>Equity</v>
      </c>
      <c r="D945" s="8" t="s">
        <v>21</v>
      </c>
      <c r="E945" s="9">
        <v>46212</v>
      </c>
      <c r="F945" s="8">
        <v>29.536999999999999</v>
      </c>
    </row>
    <row r="946" spans="1:6" ht="45" x14ac:dyDescent="0.25">
      <c r="A946" s="8" t="s">
        <v>5</v>
      </c>
      <c r="B946" s="8" t="s">
        <v>20</v>
      </c>
      <c r="C946" s="8" t="str">
        <f>IFERROR(_xlfn.XLOOKUP(TRIM(B946),Lookup!$B$2:$B$1000,Lookup!$C$2:$C$1000),"")</f>
        <v>Equity</v>
      </c>
      <c r="D946" s="8" t="s">
        <v>21</v>
      </c>
      <c r="E946" s="9">
        <v>46213</v>
      </c>
      <c r="F946" s="8">
        <v>29.857900000000001</v>
      </c>
    </row>
    <row r="947" spans="1:6" ht="45" x14ac:dyDescent="0.25">
      <c r="A947" s="8" t="s">
        <v>5</v>
      </c>
      <c r="B947" s="8" t="s">
        <v>20</v>
      </c>
      <c r="C947" s="8" t="str">
        <f>IFERROR(_xlfn.XLOOKUP(TRIM(B947),Lookup!$B$2:$B$1000,Lookup!$C$2:$C$1000),"")</f>
        <v>Equity</v>
      </c>
      <c r="D947" s="8" t="s">
        <v>21</v>
      </c>
      <c r="E947" s="9">
        <v>46216</v>
      </c>
      <c r="F947" s="8">
        <v>29.808599999999998</v>
      </c>
    </row>
    <row r="948" spans="1:6" ht="45" x14ac:dyDescent="0.25">
      <c r="A948" s="8" t="s">
        <v>5</v>
      </c>
      <c r="B948" s="8" t="s">
        <v>20</v>
      </c>
      <c r="C948" s="8" t="str">
        <f>IFERROR(_xlfn.XLOOKUP(TRIM(B948),Lookup!$B$2:$B$1000,Lookup!$C$2:$C$1000),"")</f>
        <v>Equity</v>
      </c>
      <c r="D948" s="8" t="s">
        <v>21</v>
      </c>
      <c r="E948" s="9">
        <v>46217</v>
      </c>
      <c r="F948" s="8">
        <v>29.624600000000001</v>
      </c>
    </row>
    <row r="949" spans="1:6" ht="45" x14ac:dyDescent="0.25">
      <c r="A949" s="8" t="s">
        <v>5</v>
      </c>
      <c r="B949" s="8" t="s">
        <v>20</v>
      </c>
      <c r="C949" s="8" t="str">
        <f>IFERROR(_xlfn.XLOOKUP(TRIM(B949),Lookup!$B$2:$B$1000,Lookup!$C$2:$C$1000),"")</f>
        <v>Equity</v>
      </c>
      <c r="D949" s="8" t="s">
        <v>21</v>
      </c>
      <c r="E949" s="9">
        <v>46218</v>
      </c>
      <c r="F949" s="8">
        <v>29.7319</v>
      </c>
    </row>
    <row r="950" spans="1:6" ht="45" x14ac:dyDescent="0.25">
      <c r="A950" s="8" t="s">
        <v>5</v>
      </c>
      <c r="B950" s="8" t="s">
        <v>20</v>
      </c>
      <c r="C950" s="8" t="str">
        <f>IFERROR(_xlfn.XLOOKUP(TRIM(B950),Lookup!$B$2:$B$1000,Lookup!$C$2:$C$1000),"")</f>
        <v>Equity</v>
      </c>
      <c r="D950" s="8" t="s">
        <v>21</v>
      </c>
      <c r="E950" s="9">
        <v>46219</v>
      </c>
      <c r="F950" s="8">
        <v>29.6892</v>
      </c>
    </row>
    <row r="951" spans="1:6" ht="45" x14ac:dyDescent="0.25">
      <c r="A951" s="8" t="s">
        <v>5</v>
      </c>
      <c r="B951" s="8" t="s">
        <v>20</v>
      </c>
      <c r="C951" s="8" t="str">
        <f>IFERROR(_xlfn.XLOOKUP(TRIM(B951),Lookup!$B$2:$B$1000,Lookup!$C$2:$C$1000),"")</f>
        <v>Equity</v>
      </c>
      <c r="D951" s="8" t="s">
        <v>21</v>
      </c>
      <c r="E951" s="9">
        <v>46220</v>
      </c>
      <c r="F951" s="8">
        <v>29.8934</v>
      </c>
    </row>
    <row r="952" spans="1:6" ht="45" x14ac:dyDescent="0.25">
      <c r="A952" s="8" t="s">
        <v>5</v>
      </c>
      <c r="B952" s="8" t="s">
        <v>20</v>
      </c>
      <c r="C952" s="8" t="str">
        <f>IFERROR(_xlfn.XLOOKUP(TRIM(B952),Lookup!$B$2:$B$1000,Lookup!$C$2:$C$1000),"")</f>
        <v>Equity</v>
      </c>
      <c r="D952" s="8" t="s">
        <v>21</v>
      </c>
      <c r="E952" s="9">
        <v>46223</v>
      </c>
      <c r="F952" s="8">
        <v>29.84</v>
      </c>
    </row>
    <row r="953" spans="1:6" ht="45" x14ac:dyDescent="0.25">
      <c r="A953" s="8" t="s">
        <v>5</v>
      </c>
      <c r="B953" s="8" t="s">
        <v>20</v>
      </c>
      <c r="C953" s="8" t="str">
        <f>IFERROR(_xlfn.XLOOKUP(TRIM(B953),Lookup!$B$2:$B$1000,Lookup!$C$2:$C$1000),"")</f>
        <v>Equity</v>
      </c>
      <c r="D953" s="8" t="s">
        <v>21</v>
      </c>
      <c r="E953" s="9">
        <v>46224</v>
      </c>
      <c r="F953" s="8">
        <v>29.863900000000001</v>
      </c>
    </row>
    <row r="954" spans="1:6" ht="45" x14ac:dyDescent="0.25">
      <c r="A954" s="8" t="s">
        <v>5</v>
      </c>
      <c r="B954" s="8" t="s">
        <v>20</v>
      </c>
      <c r="C954" s="8" t="str">
        <f>IFERROR(_xlfn.XLOOKUP(TRIM(B954),Lookup!$B$2:$B$1000,Lookup!$C$2:$C$1000),"")</f>
        <v>Equity</v>
      </c>
      <c r="D954" s="8" t="s">
        <v>21</v>
      </c>
      <c r="E954" s="9">
        <v>46225</v>
      </c>
      <c r="F954" s="8">
        <v>29.6541</v>
      </c>
    </row>
    <row r="955" spans="1:6" ht="45" x14ac:dyDescent="0.25">
      <c r="A955" s="8" t="s">
        <v>5</v>
      </c>
      <c r="B955" s="8" t="s">
        <v>20</v>
      </c>
      <c r="C955" s="8" t="str">
        <f>IFERROR(_xlfn.XLOOKUP(TRIM(B955),Lookup!$B$2:$B$1000,Lookup!$C$2:$C$1000),"")</f>
        <v>Equity</v>
      </c>
      <c r="D955" s="8" t="s">
        <v>21</v>
      </c>
      <c r="E955" s="9">
        <v>46226</v>
      </c>
      <c r="F955" s="8">
        <v>29.425999999999998</v>
      </c>
    </row>
    <row r="956" spans="1:6" ht="45" x14ac:dyDescent="0.25">
      <c r="A956" s="8" t="s">
        <v>5</v>
      </c>
      <c r="B956" s="8" t="s">
        <v>20</v>
      </c>
      <c r="C956" s="8" t="str">
        <f>IFERROR(_xlfn.XLOOKUP(TRIM(B956),Lookup!$B$2:$B$1000,Lookup!$C$2:$C$1000),"")</f>
        <v>Equity</v>
      </c>
      <c r="D956" s="8" t="s">
        <v>21</v>
      </c>
      <c r="E956" s="9">
        <v>46227</v>
      </c>
      <c r="F956" s="8">
        <v>29.321000000000002</v>
      </c>
    </row>
    <row r="957" spans="1:6" ht="45" x14ac:dyDescent="0.25">
      <c r="A957" s="8" t="s">
        <v>5</v>
      </c>
      <c r="B957" s="8" t="s">
        <v>20</v>
      </c>
      <c r="C957" s="8" t="str">
        <f>IFERROR(_xlfn.XLOOKUP(TRIM(B957),Lookup!$B$2:$B$1000,Lookup!$C$2:$C$1000),"")</f>
        <v>Equity</v>
      </c>
      <c r="D957" s="8" t="s">
        <v>21</v>
      </c>
      <c r="E957" s="9">
        <v>46230</v>
      </c>
      <c r="F957" s="8">
        <v>29.612400000000001</v>
      </c>
    </row>
    <row r="958" spans="1:6" ht="45" x14ac:dyDescent="0.25">
      <c r="A958" s="8" t="s">
        <v>5</v>
      </c>
      <c r="B958" s="8" t="s">
        <v>20</v>
      </c>
      <c r="C958" s="8" t="str">
        <f>IFERROR(_xlfn.XLOOKUP(TRIM(B958),Lookup!$B$2:$B$1000,Lookup!$C$2:$C$1000),"")</f>
        <v>Equity</v>
      </c>
      <c r="D958" s="8" t="s">
        <v>21</v>
      </c>
      <c r="E958" s="9">
        <v>46231</v>
      </c>
      <c r="F958" s="8">
        <v>29.5428</v>
      </c>
    </row>
    <row r="959" spans="1:6" ht="45" x14ac:dyDescent="0.25">
      <c r="A959" s="8" t="s">
        <v>5</v>
      </c>
      <c r="B959" s="8" t="s">
        <v>20</v>
      </c>
      <c r="C959" s="8" t="str">
        <f>IFERROR(_xlfn.XLOOKUP(TRIM(B959),Lookup!$B$2:$B$1000,Lookup!$C$2:$C$1000),"")</f>
        <v>Equity</v>
      </c>
      <c r="D959" s="8" t="s">
        <v>21</v>
      </c>
      <c r="E959" s="9">
        <v>46232</v>
      </c>
      <c r="F959" s="8">
        <v>29.792899999999999</v>
      </c>
    </row>
    <row r="960" spans="1:6" ht="45" x14ac:dyDescent="0.25">
      <c r="A960" s="8" t="s">
        <v>5</v>
      </c>
      <c r="B960" s="8" t="s">
        <v>20</v>
      </c>
      <c r="C960" s="8" t="str">
        <f>IFERROR(_xlfn.XLOOKUP(TRIM(B960),Lookup!$B$2:$B$1000,Lookup!$C$2:$C$1000),"")</f>
        <v>Equity</v>
      </c>
      <c r="D960" s="8" t="s">
        <v>21</v>
      </c>
      <c r="E960" s="9">
        <v>46233</v>
      </c>
      <c r="F960" s="8">
        <v>29.852</v>
      </c>
    </row>
    <row r="961" spans="1:6" ht="45" x14ac:dyDescent="0.25">
      <c r="A961" s="8" t="s">
        <v>5</v>
      </c>
      <c r="B961" s="8" t="s">
        <v>20</v>
      </c>
      <c r="C961" s="8" t="str">
        <f>IFERROR(_xlfn.XLOOKUP(TRIM(B961),Lookup!$B$2:$B$1000,Lookup!$C$2:$C$1000),"")</f>
        <v>Equity</v>
      </c>
      <c r="D961" s="8" t="s">
        <v>21</v>
      </c>
      <c r="E961" s="9">
        <v>46234</v>
      </c>
      <c r="F961" s="8">
        <v>30.082999999999998</v>
      </c>
    </row>
    <row r="962" spans="1:6" ht="60" x14ac:dyDescent="0.25">
      <c r="A962" s="8" t="s">
        <v>5</v>
      </c>
      <c r="B962" s="8" t="s">
        <v>22</v>
      </c>
      <c r="C962" s="8" t="str">
        <f>IFERROR(_xlfn.XLOOKUP(TRIM(B962),Lookup!$B$2:$B$1000,Lookup!$C$2:$C$1000),"")</f>
        <v>Equity</v>
      </c>
      <c r="D962" s="8" t="s">
        <v>23</v>
      </c>
      <c r="E962" s="9">
        <v>45869</v>
      </c>
      <c r="F962" s="8">
        <v>53.957700000000003</v>
      </c>
    </row>
    <row r="963" spans="1:6" ht="60" x14ac:dyDescent="0.25">
      <c r="A963" s="8" t="s">
        <v>5</v>
      </c>
      <c r="B963" s="8" t="s">
        <v>22</v>
      </c>
      <c r="C963" s="8" t="str">
        <f>IFERROR(_xlfn.XLOOKUP(TRIM(B963),Lookup!$B$2:$B$1000,Lookup!$C$2:$C$1000),"")</f>
        <v>Equity</v>
      </c>
      <c r="D963" s="8" t="s">
        <v>23</v>
      </c>
      <c r="E963" s="9">
        <v>45876</v>
      </c>
      <c r="F963" s="8">
        <v>53.5794</v>
      </c>
    </row>
    <row r="964" spans="1:6" ht="60" x14ac:dyDescent="0.25">
      <c r="A964" s="8" t="s">
        <v>5</v>
      </c>
      <c r="B964" s="8" t="s">
        <v>22</v>
      </c>
      <c r="C964" s="8" t="str">
        <f>IFERROR(_xlfn.XLOOKUP(TRIM(B964),Lookup!$B$2:$B$1000,Lookup!$C$2:$C$1000),"")</f>
        <v>Equity</v>
      </c>
      <c r="D964" s="8" t="s">
        <v>23</v>
      </c>
      <c r="E964" s="9">
        <v>45883</v>
      </c>
      <c r="F964" s="8">
        <v>53.566200000000002</v>
      </c>
    </row>
    <row r="965" spans="1:6" ht="60" x14ac:dyDescent="0.25">
      <c r="A965" s="8" t="s">
        <v>5</v>
      </c>
      <c r="B965" s="8" t="s">
        <v>22</v>
      </c>
      <c r="C965" s="8" t="str">
        <f>IFERROR(_xlfn.XLOOKUP(TRIM(B965),Lookup!$B$2:$B$1000,Lookup!$C$2:$C$1000),"")</f>
        <v>Equity</v>
      </c>
      <c r="D965" s="8" t="s">
        <v>23</v>
      </c>
      <c r="E965" s="9">
        <v>45891</v>
      </c>
      <c r="F965" s="8">
        <v>54.387799999999999</v>
      </c>
    </row>
    <row r="966" spans="1:6" ht="60" x14ac:dyDescent="0.25">
      <c r="A966" s="8" t="s">
        <v>5</v>
      </c>
      <c r="B966" s="8" t="s">
        <v>22</v>
      </c>
      <c r="C966" s="8" t="str">
        <f>IFERROR(_xlfn.XLOOKUP(TRIM(B966),Lookup!$B$2:$B$1000,Lookup!$C$2:$C$1000),"")</f>
        <v>Equity</v>
      </c>
      <c r="D966" s="8" t="s">
        <v>23</v>
      </c>
      <c r="E966" s="9">
        <v>45901</v>
      </c>
      <c r="F966" s="8">
        <v>53.933999999999997</v>
      </c>
    </row>
    <row r="967" spans="1:6" ht="60" x14ac:dyDescent="0.25">
      <c r="A967" s="8" t="s">
        <v>5</v>
      </c>
      <c r="B967" s="8" t="s">
        <v>22</v>
      </c>
      <c r="C967" s="8" t="str">
        <f>IFERROR(_xlfn.XLOOKUP(TRIM(B967),Lookup!$B$2:$B$1000,Lookup!$C$2:$C$1000),"")</f>
        <v>Equity</v>
      </c>
      <c r="D967" s="8" t="s">
        <v>23</v>
      </c>
      <c r="E967" s="9">
        <v>45908</v>
      </c>
      <c r="F967" s="8">
        <v>54.445900000000002</v>
      </c>
    </row>
    <row r="968" spans="1:6" ht="60" x14ac:dyDescent="0.25">
      <c r="A968" s="8" t="s">
        <v>5</v>
      </c>
      <c r="B968" s="8" t="s">
        <v>22</v>
      </c>
      <c r="C968" s="8" t="str">
        <f>IFERROR(_xlfn.XLOOKUP(TRIM(B968),Lookup!$B$2:$B$1000,Lookup!$C$2:$C$1000),"")</f>
        <v>Equity</v>
      </c>
      <c r="D968" s="8" t="s">
        <v>23</v>
      </c>
      <c r="E968" s="9">
        <v>45915</v>
      </c>
      <c r="F968" s="8">
        <v>54.966099999999997</v>
      </c>
    </row>
    <row r="969" spans="1:6" ht="60" x14ac:dyDescent="0.25">
      <c r="A969" s="8" t="s">
        <v>5</v>
      </c>
      <c r="B969" s="8" t="s">
        <v>22</v>
      </c>
      <c r="C969" s="8" t="str">
        <f>IFERROR(_xlfn.XLOOKUP(TRIM(B969),Lookup!$B$2:$B$1000,Lookup!$C$2:$C$1000),"")</f>
        <v>Equity</v>
      </c>
      <c r="D969" s="8" t="s">
        <v>23</v>
      </c>
      <c r="E969" s="9">
        <v>45922</v>
      </c>
      <c r="F969" s="8">
        <v>55.414499999999997</v>
      </c>
    </row>
    <row r="970" spans="1:6" ht="60" x14ac:dyDescent="0.25">
      <c r="A970" s="8" t="s">
        <v>5</v>
      </c>
      <c r="B970" s="8" t="s">
        <v>22</v>
      </c>
      <c r="C970" s="8" t="str">
        <f>IFERROR(_xlfn.XLOOKUP(TRIM(B970),Lookup!$B$2:$B$1000,Lookup!$C$2:$C$1000),"")</f>
        <v>Equity</v>
      </c>
      <c r="D970" s="8" t="s">
        <v>23</v>
      </c>
      <c r="E970" s="9">
        <v>45929</v>
      </c>
      <c r="F970" s="8">
        <v>54.276499999999999</v>
      </c>
    </row>
    <row r="971" spans="1:6" ht="60" x14ac:dyDescent="0.25">
      <c r="A971" s="8" t="s">
        <v>5</v>
      </c>
      <c r="B971" s="8" t="s">
        <v>22</v>
      </c>
      <c r="C971" s="8" t="str">
        <f>IFERROR(_xlfn.XLOOKUP(TRIM(B971),Lookup!$B$2:$B$1000,Lookup!$C$2:$C$1000),"")</f>
        <v>Equity</v>
      </c>
      <c r="D971" s="8" t="s">
        <v>23</v>
      </c>
      <c r="E971" s="9">
        <v>45937</v>
      </c>
      <c r="F971" s="8">
        <v>55.398699999999998</v>
      </c>
    </row>
    <row r="972" spans="1:6" ht="60" x14ac:dyDescent="0.25">
      <c r="A972" s="8" t="s">
        <v>5</v>
      </c>
      <c r="B972" s="8" t="s">
        <v>22</v>
      </c>
      <c r="C972" s="8" t="str">
        <f>IFERROR(_xlfn.XLOOKUP(TRIM(B972),Lookup!$B$2:$B$1000,Lookup!$C$2:$C$1000),"")</f>
        <v>Equity</v>
      </c>
      <c r="D972" s="8" t="s">
        <v>23</v>
      </c>
      <c r="E972" s="9">
        <v>45944</v>
      </c>
      <c r="F972" s="8">
        <v>55.237200000000001</v>
      </c>
    </row>
    <row r="973" spans="1:6" ht="60" x14ac:dyDescent="0.25">
      <c r="A973" s="8" t="s">
        <v>5</v>
      </c>
      <c r="B973" s="8" t="s">
        <v>22</v>
      </c>
      <c r="C973" s="8" t="str">
        <f>IFERROR(_xlfn.XLOOKUP(TRIM(B973),Lookup!$B$2:$B$1000,Lookup!$C$2:$C$1000),"")</f>
        <v>Equity</v>
      </c>
      <c r="D973" s="8" t="s">
        <v>23</v>
      </c>
      <c r="E973" s="9">
        <v>45953</v>
      </c>
      <c r="F973" s="8">
        <v>56.893099999999997</v>
      </c>
    </row>
    <row r="974" spans="1:6" ht="60" x14ac:dyDescent="0.25">
      <c r="A974" s="8" t="s">
        <v>5</v>
      </c>
      <c r="B974" s="8" t="s">
        <v>22</v>
      </c>
      <c r="C974" s="8" t="str">
        <f>IFERROR(_xlfn.XLOOKUP(TRIM(B974),Lookup!$B$2:$B$1000,Lookup!$C$2:$C$1000),"")</f>
        <v>Equity</v>
      </c>
      <c r="D974" s="8" t="s">
        <v>23</v>
      </c>
      <c r="E974" s="9">
        <v>45960</v>
      </c>
      <c r="F974" s="8">
        <v>57.0974</v>
      </c>
    </row>
    <row r="975" spans="1:6" ht="60" x14ac:dyDescent="0.25">
      <c r="A975" s="8" t="s">
        <v>5</v>
      </c>
      <c r="B975" s="8" t="s">
        <v>22</v>
      </c>
      <c r="C975" s="8" t="str">
        <f>IFERROR(_xlfn.XLOOKUP(TRIM(B975),Lookup!$B$2:$B$1000,Lookup!$C$2:$C$1000),"")</f>
        <v>Equity</v>
      </c>
      <c r="D975" s="8" t="s">
        <v>23</v>
      </c>
      <c r="E975" s="9">
        <v>45968</v>
      </c>
      <c r="F975" s="8">
        <v>56.381700000000002</v>
      </c>
    </row>
    <row r="976" spans="1:6" ht="60" x14ac:dyDescent="0.25">
      <c r="A976" s="8" t="s">
        <v>5</v>
      </c>
      <c r="B976" s="8" t="s">
        <v>22</v>
      </c>
      <c r="C976" s="8" t="str">
        <f>IFERROR(_xlfn.XLOOKUP(TRIM(B976),Lookup!$B$2:$B$1000,Lookup!$C$2:$C$1000),"")</f>
        <v>Equity</v>
      </c>
      <c r="D976" s="8" t="s">
        <v>23</v>
      </c>
      <c r="E976" s="9">
        <v>45975</v>
      </c>
      <c r="F976" s="8">
        <v>57.148099999999999</v>
      </c>
    </row>
    <row r="977" spans="1:6" ht="60" x14ac:dyDescent="0.25">
      <c r="A977" s="8" t="s">
        <v>5</v>
      </c>
      <c r="B977" s="8" t="s">
        <v>22</v>
      </c>
      <c r="C977" s="8" t="str">
        <f>IFERROR(_xlfn.XLOOKUP(TRIM(B977),Lookup!$B$2:$B$1000,Lookup!$C$2:$C$1000),"")</f>
        <v>Equity</v>
      </c>
      <c r="D977" s="8" t="s">
        <v>23</v>
      </c>
      <c r="E977" s="9">
        <v>45982</v>
      </c>
      <c r="F977" s="8">
        <v>57.322000000000003</v>
      </c>
    </row>
    <row r="978" spans="1:6" ht="60" x14ac:dyDescent="0.25">
      <c r="A978" s="8" t="s">
        <v>5</v>
      </c>
      <c r="B978" s="8" t="s">
        <v>22</v>
      </c>
      <c r="C978" s="8" t="str">
        <f>IFERROR(_xlfn.XLOOKUP(TRIM(B978),Lookup!$B$2:$B$1000,Lookup!$C$2:$C$1000),"")</f>
        <v>Equity</v>
      </c>
      <c r="D978" s="8" t="s">
        <v>23</v>
      </c>
      <c r="E978" s="9">
        <v>45989</v>
      </c>
      <c r="F978" s="8">
        <v>57.632399999999997</v>
      </c>
    </row>
    <row r="979" spans="1:6" ht="60" x14ac:dyDescent="0.25">
      <c r="A979" s="8" t="s">
        <v>5</v>
      </c>
      <c r="B979" s="8" t="s">
        <v>22</v>
      </c>
      <c r="C979" s="8" t="str">
        <f>IFERROR(_xlfn.XLOOKUP(TRIM(B979),Lookup!$B$2:$B$1000,Lookup!$C$2:$C$1000),"")</f>
        <v>Equity</v>
      </c>
      <c r="D979" s="8" t="s">
        <v>23</v>
      </c>
      <c r="E979" s="9">
        <v>45996</v>
      </c>
      <c r="F979" s="8">
        <v>57.2684</v>
      </c>
    </row>
    <row r="980" spans="1:6" ht="60" x14ac:dyDescent="0.25">
      <c r="A980" s="8" t="s">
        <v>5</v>
      </c>
      <c r="B980" s="8" t="s">
        <v>22</v>
      </c>
      <c r="C980" s="8" t="str">
        <f>IFERROR(_xlfn.XLOOKUP(TRIM(B980),Lookup!$B$2:$B$1000,Lookup!$C$2:$C$1000),"")</f>
        <v>Equity</v>
      </c>
      <c r="D980" s="8" t="s">
        <v>23</v>
      </c>
      <c r="E980" s="9">
        <v>46003</v>
      </c>
      <c r="F980" s="8">
        <v>57.164099999999998</v>
      </c>
    </row>
    <row r="981" spans="1:6" ht="60" x14ac:dyDescent="0.25">
      <c r="A981" s="8" t="s">
        <v>5</v>
      </c>
      <c r="B981" s="8" t="s">
        <v>22</v>
      </c>
      <c r="C981" s="8" t="str">
        <f>IFERROR(_xlfn.XLOOKUP(TRIM(B981),Lookup!$B$2:$B$1000,Lookup!$C$2:$C$1000),"")</f>
        <v>Equity</v>
      </c>
      <c r="D981" s="8" t="s">
        <v>23</v>
      </c>
      <c r="E981" s="9">
        <v>46010</v>
      </c>
      <c r="F981" s="8">
        <v>56.944099999999999</v>
      </c>
    </row>
    <row r="982" spans="1:6" ht="60" x14ac:dyDescent="0.25">
      <c r="A982" s="8" t="s">
        <v>5</v>
      </c>
      <c r="B982" s="8" t="s">
        <v>22</v>
      </c>
      <c r="C982" s="8" t="str">
        <f>IFERROR(_xlfn.XLOOKUP(TRIM(B982),Lookup!$B$2:$B$1000,Lookup!$C$2:$C$1000),"")</f>
        <v>Equity</v>
      </c>
      <c r="D982" s="8" t="s">
        <v>23</v>
      </c>
      <c r="E982" s="9">
        <v>46020</v>
      </c>
      <c r="F982" s="8">
        <v>56.939700000000002</v>
      </c>
    </row>
    <row r="983" spans="1:6" ht="60" x14ac:dyDescent="0.25">
      <c r="A983" s="8" t="s">
        <v>5</v>
      </c>
      <c r="B983" s="8" t="s">
        <v>22</v>
      </c>
      <c r="C983" s="8" t="str">
        <f>IFERROR(_xlfn.XLOOKUP(TRIM(B983),Lookup!$B$2:$B$1000,Lookup!$C$2:$C$1000),"")</f>
        <v>Equity</v>
      </c>
      <c r="D983" s="8" t="s">
        <v>23</v>
      </c>
      <c r="E983" s="9">
        <v>46027</v>
      </c>
      <c r="F983" s="8">
        <v>57.803400000000003</v>
      </c>
    </row>
    <row r="984" spans="1:6" ht="60" x14ac:dyDescent="0.25">
      <c r="A984" s="8" t="s">
        <v>5</v>
      </c>
      <c r="B984" s="8" t="s">
        <v>22</v>
      </c>
      <c r="C984" s="8" t="str">
        <f>IFERROR(_xlfn.XLOOKUP(TRIM(B984),Lookup!$B$2:$B$1000,Lookup!$C$2:$C$1000),"")</f>
        <v>Equity</v>
      </c>
      <c r="D984" s="8" t="s">
        <v>23</v>
      </c>
      <c r="E984" s="9">
        <v>46034</v>
      </c>
      <c r="F984" s="8">
        <v>56.439300000000003</v>
      </c>
    </row>
    <row r="985" spans="1:6" ht="60" x14ac:dyDescent="0.25">
      <c r="A985" s="8" t="s">
        <v>5</v>
      </c>
      <c r="B985" s="8" t="s">
        <v>22</v>
      </c>
      <c r="C985" s="8" t="str">
        <f>IFERROR(_xlfn.XLOOKUP(TRIM(B985),Lookup!$B$2:$B$1000,Lookup!$C$2:$C$1000),"")</f>
        <v>Equity</v>
      </c>
      <c r="D985" s="8" t="s">
        <v>23</v>
      </c>
      <c r="E985" s="9">
        <v>46042</v>
      </c>
      <c r="F985" s="8">
        <v>55.209299999999999</v>
      </c>
    </row>
    <row r="986" spans="1:6" ht="60" x14ac:dyDescent="0.25">
      <c r="A986" s="8" t="s">
        <v>5</v>
      </c>
      <c r="B986" s="8" t="s">
        <v>22</v>
      </c>
      <c r="C986" s="8" t="str">
        <f>IFERROR(_xlfn.XLOOKUP(TRIM(B986),Lookup!$B$2:$B$1000,Lookup!$C$2:$C$1000),"")</f>
        <v>Equity</v>
      </c>
      <c r="D986" s="8" t="s">
        <v>23</v>
      </c>
      <c r="E986" s="9">
        <v>46050</v>
      </c>
      <c r="F986" s="8">
        <v>55.301499999999997</v>
      </c>
    </row>
    <row r="987" spans="1:6" ht="60" x14ac:dyDescent="0.25">
      <c r="A987" s="8" t="s">
        <v>5</v>
      </c>
      <c r="B987" s="8" t="s">
        <v>22</v>
      </c>
      <c r="C987" s="8" t="str">
        <f>IFERROR(_xlfn.XLOOKUP(TRIM(B987),Lookup!$B$2:$B$1000,Lookup!$C$2:$C$1000),"")</f>
        <v>Equity</v>
      </c>
      <c r="D987" s="8" t="s">
        <v>23</v>
      </c>
      <c r="E987" s="9">
        <v>46056</v>
      </c>
      <c r="F987" s="8">
        <v>56.381999999999998</v>
      </c>
    </row>
    <row r="988" spans="1:6" ht="60" x14ac:dyDescent="0.25">
      <c r="A988" s="8" t="s">
        <v>5</v>
      </c>
      <c r="B988" s="8" t="s">
        <v>22</v>
      </c>
      <c r="C988" s="8" t="str">
        <f>IFERROR(_xlfn.XLOOKUP(TRIM(B988),Lookup!$B$2:$B$1000,Lookup!$C$2:$C$1000),"")</f>
        <v>Equity</v>
      </c>
      <c r="D988" s="8" t="s">
        <v>23</v>
      </c>
      <c r="E988" s="9">
        <v>46063</v>
      </c>
      <c r="F988" s="8">
        <v>57.350700000000003</v>
      </c>
    </row>
    <row r="989" spans="1:6" ht="60" x14ac:dyDescent="0.25">
      <c r="A989" s="8" t="s">
        <v>5</v>
      </c>
      <c r="B989" s="8" t="s">
        <v>22</v>
      </c>
      <c r="C989" s="8" t="str">
        <f>IFERROR(_xlfn.XLOOKUP(TRIM(B989),Lookup!$B$2:$B$1000,Lookup!$C$2:$C$1000),"")</f>
        <v>Equity</v>
      </c>
      <c r="D989" s="8" t="s">
        <v>23</v>
      </c>
      <c r="E989" s="9">
        <v>46070</v>
      </c>
      <c r="F989" s="8">
        <v>57.037799999999997</v>
      </c>
    </row>
    <row r="990" spans="1:6" ht="60" x14ac:dyDescent="0.25">
      <c r="A990" s="8" t="s">
        <v>5</v>
      </c>
      <c r="B990" s="8" t="s">
        <v>22</v>
      </c>
      <c r="C990" s="8" t="str">
        <f>IFERROR(_xlfn.XLOOKUP(TRIM(B990),Lookup!$B$2:$B$1000,Lookup!$C$2:$C$1000),"")</f>
        <v>Equity</v>
      </c>
      <c r="D990" s="8" t="s">
        <v>23</v>
      </c>
      <c r="E990" s="9">
        <v>46077</v>
      </c>
      <c r="F990" s="8">
        <v>56.366799999999998</v>
      </c>
    </row>
    <row r="991" spans="1:6" ht="60" x14ac:dyDescent="0.25">
      <c r="A991" s="8" t="s">
        <v>5</v>
      </c>
      <c r="B991" s="8" t="s">
        <v>22</v>
      </c>
      <c r="C991" s="8" t="str">
        <f>IFERROR(_xlfn.XLOOKUP(TRIM(B991),Lookup!$B$2:$B$1000,Lookup!$C$2:$C$1000),"")</f>
        <v>Equity</v>
      </c>
      <c r="D991" s="8" t="s">
        <v>23</v>
      </c>
      <c r="E991" s="9">
        <v>46085</v>
      </c>
      <c r="F991" s="8">
        <v>54.023899999999998</v>
      </c>
    </row>
    <row r="992" spans="1:6" ht="60" x14ac:dyDescent="0.25">
      <c r="A992" s="8" t="s">
        <v>5</v>
      </c>
      <c r="B992" s="8" t="s">
        <v>22</v>
      </c>
      <c r="C992" s="8" t="str">
        <f>IFERROR(_xlfn.XLOOKUP(TRIM(B992),Lookup!$B$2:$B$1000,Lookup!$C$2:$C$1000),"")</f>
        <v>Equity</v>
      </c>
      <c r="D992" s="8" t="s">
        <v>23</v>
      </c>
      <c r="E992" s="9">
        <v>46092</v>
      </c>
      <c r="F992" s="8">
        <v>52.737000000000002</v>
      </c>
    </row>
    <row r="993" spans="1:6" ht="60" x14ac:dyDescent="0.25">
      <c r="A993" s="8" t="s">
        <v>5</v>
      </c>
      <c r="B993" s="8" t="s">
        <v>22</v>
      </c>
      <c r="C993" s="8" t="str">
        <f>IFERROR(_xlfn.XLOOKUP(TRIM(B993),Lookup!$B$2:$B$1000,Lookup!$C$2:$C$1000),"")</f>
        <v>Equity</v>
      </c>
      <c r="D993" s="8" t="s">
        <v>23</v>
      </c>
      <c r="E993" s="9">
        <v>46099</v>
      </c>
      <c r="F993" s="8">
        <v>52.253399999999999</v>
      </c>
    </row>
    <row r="994" spans="1:6" ht="60" x14ac:dyDescent="0.25">
      <c r="A994" s="8" t="s">
        <v>5</v>
      </c>
      <c r="B994" s="8" t="s">
        <v>22</v>
      </c>
      <c r="C994" s="8" t="str">
        <f>IFERROR(_xlfn.XLOOKUP(TRIM(B994),Lookup!$B$2:$B$1000,Lookup!$C$2:$C$1000),"")</f>
        <v>Equity</v>
      </c>
      <c r="D994" s="8" t="s">
        <v>23</v>
      </c>
      <c r="E994" s="9">
        <v>46106</v>
      </c>
      <c r="F994" s="8">
        <v>51.368299999999998</v>
      </c>
    </row>
    <row r="995" spans="1:6" ht="60" x14ac:dyDescent="0.25">
      <c r="A995" s="8" t="s">
        <v>5</v>
      </c>
      <c r="B995" s="8" t="s">
        <v>22</v>
      </c>
      <c r="C995" s="8" t="str">
        <f>IFERROR(_xlfn.XLOOKUP(TRIM(B995),Lookup!$B$2:$B$1000,Lookup!$C$2:$C$1000),"")</f>
        <v>Equity</v>
      </c>
      <c r="D995" s="8" t="s">
        <v>23</v>
      </c>
      <c r="E995" s="9">
        <v>46114</v>
      </c>
      <c r="F995" s="8">
        <v>50.209899999999998</v>
      </c>
    </row>
    <row r="996" spans="1:6" ht="60" x14ac:dyDescent="0.25">
      <c r="A996" s="8" t="s">
        <v>5</v>
      </c>
      <c r="B996" s="8" t="s">
        <v>22</v>
      </c>
      <c r="C996" s="8" t="str">
        <f>IFERROR(_xlfn.XLOOKUP(TRIM(B996),Lookup!$B$2:$B$1000,Lookup!$C$2:$C$1000),"")</f>
        <v>Equity</v>
      </c>
      <c r="D996" s="8" t="s">
        <v>23</v>
      </c>
      <c r="E996" s="9">
        <v>46122</v>
      </c>
      <c r="F996" s="8">
        <v>53.456400000000002</v>
      </c>
    </row>
    <row r="997" spans="1:6" ht="60" x14ac:dyDescent="0.25">
      <c r="A997" s="8" t="s">
        <v>5</v>
      </c>
      <c r="B997" s="8" t="s">
        <v>22</v>
      </c>
      <c r="C997" s="8" t="str">
        <f>IFERROR(_xlfn.XLOOKUP(TRIM(B997),Lookup!$B$2:$B$1000,Lookup!$C$2:$C$1000),"")</f>
        <v>Equity</v>
      </c>
      <c r="D997" s="8" t="s">
        <v>23</v>
      </c>
      <c r="E997" s="9">
        <v>46132</v>
      </c>
      <c r="F997" s="8">
        <v>54.179699999999997</v>
      </c>
    </row>
    <row r="998" spans="1:6" ht="60" x14ac:dyDescent="0.25">
      <c r="A998" s="8" t="s">
        <v>5</v>
      </c>
      <c r="B998" s="8" t="s">
        <v>22</v>
      </c>
      <c r="C998" s="8" t="str">
        <f>IFERROR(_xlfn.XLOOKUP(TRIM(B998),Lookup!$B$2:$B$1000,Lookup!$C$2:$C$1000),"")</f>
        <v>Equity</v>
      </c>
      <c r="D998" s="8" t="s">
        <v>23</v>
      </c>
      <c r="E998" s="9">
        <v>46139</v>
      </c>
      <c r="F998" s="8">
        <v>53.838200000000001</v>
      </c>
    </row>
    <row r="999" spans="1:6" ht="60" x14ac:dyDescent="0.25">
      <c r="A999" s="8" t="s">
        <v>5</v>
      </c>
      <c r="B999" s="8" t="s">
        <v>22</v>
      </c>
      <c r="C999" s="8" t="str">
        <f>IFERROR(_xlfn.XLOOKUP(TRIM(B999),Lookup!$B$2:$B$1000,Lookup!$C$2:$C$1000),"")</f>
        <v>Equity</v>
      </c>
      <c r="D999" s="8" t="s">
        <v>23</v>
      </c>
      <c r="E999" s="9">
        <v>46147</v>
      </c>
      <c r="F999" s="8">
        <v>53.630699999999997</v>
      </c>
    </row>
    <row r="1000" spans="1:6" ht="60" x14ac:dyDescent="0.25">
      <c r="A1000" s="8" t="s">
        <v>5</v>
      </c>
      <c r="B1000" s="8" t="s">
        <v>22</v>
      </c>
      <c r="C1000" s="8" t="str">
        <f>IFERROR(_xlfn.XLOOKUP(TRIM(B1000),Lookup!$B$2:$B$1000,Lookup!$C$2:$C$1000),"")</f>
        <v>Equity</v>
      </c>
      <c r="D1000" s="8" t="s">
        <v>23</v>
      </c>
      <c r="E1000" s="9">
        <v>46154</v>
      </c>
      <c r="F1000" s="8">
        <v>52.101300000000002</v>
      </c>
    </row>
    <row r="1001" spans="1:6" ht="60" x14ac:dyDescent="0.25">
      <c r="A1001" s="8" t="s">
        <v>5</v>
      </c>
      <c r="B1001" s="8" t="s">
        <v>22</v>
      </c>
      <c r="C1001" s="8" t="str">
        <f>IFERROR(_xlfn.XLOOKUP(TRIM(B1001),Lookup!$B$2:$B$1000,Lookup!$C$2:$C$1000),"")</f>
        <v>Equity</v>
      </c>
      <c r="D1001" s="8" t="s">
        <v>23</v>
      </c>
      <c r="E1001" s="9">
        <v>46161</v>
      </c>
      <c r="F1001" s="8">
        <v>52.665799999999997</v>
      </c>
    </row>
    <row r="1002" spans="1:6" ht="60" x14ac:dyDescent="0.25">
      <c r="A1002" s="8" t="s">
        <v>5</v>
      </c>
      <c r="B1002" s="8" t="s">
        <v>22</v>
      </c>
      <c r="C1002" s="8" t="str">
        <f>IFERROR(_xlfn.XLOOKUP(TRIM(B1002),Lookup!$B$2:$B$1000,Lookup!$C$2:$C$1000),"")</f>
        <v>Equity</v>
      </c>
      <c r="D1002" s="8" t="s">
        <v>23</v>
      </c>
      <c r="E1002" s="9">
        <v>46168</v>
      </c>
      <c r="F1002" s="8">
        <v>53.2986</v>
      </c>
    </row>
    <row r="1003" spans="1:6" ht="60" x14ac:dyDescent="0.25">
      <c r="A1003" s="8" t="s">
        <v>5</v>
      </c>
      <c r="B1003" s="8" t="s">
        <v>22</v>
      </c>
      <c r="C1003" s="8" t="str">
        <f>IFERROR(_xlfn.XLOOKUP(TRIM(B1003),Lookup!$B$2:$B$1000,Lookup!$C$2:$C$1000),"")</f>
        <v>Equity</v>
      </c>
      <c r="D1003" s="8" t="s">
        <v>23</v>
      </c>
      <c r="E1003" s="9">
        <v>46176</v>
      </c>
      <c r="F1003" s="8">
        <v>52.356999999999999</v>
      </c>
    </row>
    <row r="1004" spans="1:6" ht="60" x14ac:dyDescent="0.25">
      <c r="A1004" s="8" t="s">
        <v>5</v>
      </c>
      <c r="B1004" s="8" t="s">
        <v>22</v>
      </c>
      <c r="C1004" s="8" t="str">
        <f>IFERROR(_xlfn.XLOOKUP(TRIM(B1004),Lookup!$B$2:$B$1000,Lookup!$C$2:$C$1000),"")</f>
        <v>Equity</v>
      </c>
      <c r="D1004" s="8" t="s">
        <v>23</v>
      </c>
      <c r="E1004" s="9">
        <v>46183</v>
      </c>
      <c r="F1004" s="8">
        <v>51.956600000000002</v>
      </c>
    </row>
    <row r="1005" spans="1:6" ht="60" x14ac:dyDescent="0.25">
      <c r="A1005" s="8" t="s">
        <v>5</v>
      </c>
      <c r="B1005" s="8" t="s">
        <v>22</v>
      </c>
      <c r="C1005" s="8" t="str">
        <f>IFERROR(_xlfn.XLOOKUP(TRIM(B1005),Lookup!$B$2:$B$1000,Lookup!$C$2:$C$1000),"")</f>
        <v>Equity</v>
      </c>
      <c r="D1005" s="8" t="s">
        <v>23</v>
      </c>
      <c r="E1005" s="9">
        <v>46190</v>
      </c>
      <c r="F1005" s="8">
        <v>54.237400000000001</v>
      </c>
    </row>
    <row r="1006" spans="1:6" ht="60" x14ac:dyDescent="0.25">
      <c r="A1006" s="8" t="s">
        <v>5</v>
      </c>
      <c r="B1006" s="8" t="s">
        <v>22</v>
      </c>
      <c r="C1006" s="8" t="str">
        <f>IFERROR(_xlfn.XLOOKUP(TRIM(B1006),Lookup!$B$2:$B$1000,Lookup!$C$2:$C$1000),"")</f>
        <v>Equity</v>
      </c>
      <c r="D1006" s="8" t="s">
        <v>23</v>
      </c>
      <c r="E1006" s="9">
        <v>46197</v>
      </c>
      <c r="F1006" s="8">
        <v>54.641500000000001</v>
      </c>
    </row>
    <row r="1007" spans="1:6" ht="60" x14ac:dyDescent="0.25">
      <c r="A1007" s="8" t="s">
        <v>5</v>
      </c>
      <c r="B1007" s="8" t="s">
        <v>22</v>
      </c>
      <c r="C1007" s="8" t="str">
        <f>IFERROR(_xlfn.XLOOKUP(TRIM(B1007),Lookup!$B$2:$B$1000,Lookup!$C$2:$C$1000),"")</f>
        <v>Equity</v>
      </c>
      <c r="D1007" s="8" t="s">
        <v>23</v>
      </c>
      <c r="E1007" s="9">
        <v>46205</v>
      </c>
      <c r="F1007" s="8">
        <v>54.942900000000002</v>
      </c>
    </row>
    <row r="1008" spans="1:6" ht="60" x14ac:dyDescent="0.25">
      <c r="A1008" s="8" t="s">
        <v>5</v>
      </c>
      <c r="B1008" s="8" t="s">
        <v>22</v>
      </c>
      <c r="C1008" s="8" t="str">
        <f>IFERROR(_xlfn.XLOOKUP(TRIM(B1008),Lookup!$B$2:$B$1000,Lookup!$C$2:$C$1000),"")</f>
        <v>Equity</v>
      </c>
      <c r="D1008" s="8" t="s">
        <v>23</v>
      </c>
      <c r="E1008" s="9">
        <v>46212</v>
      </c>
      <c r="F1008" s="8">
        <v>54.519399999999997</v>
      </c>
    </row>
    <row r="1009" spans="1:6" ht="60" x14ac:dyDescent="0.25">
      <c r="A1009" s="8" t="s">
        <v>5</v>
      </c>
      <c r="B1009" s="8" t="s">
        <v>22</v>
      </c>
      <c r="C1009" s="8" t="str">
        <f>IFERROR(_xlfn.XLOOKUP(TRIM(B1009),Lookup!$B$2:$B$1000,Lookup!$C$2:$C$1000),"")</f>
        <v>Equity</v>
      </c>
      <c r="D1009" s="8" t="s">
        <v>23</v>
      </c>
      <c r="E1009" s="9">
        <v>46219</v>
      </c>
      <c r="F1009" s="8">
        <v>54.728000000000002</v>
      </c>
    </row>
    <row r="1010" spans="1:6" ht="60" x14ac:dyDescent="0.25">
      <c r="A1010" s="8" t="s">
        <v>5</v>
      </c>
      <c r="B1010" s="8" t="s">
        <v>22</v>
      </c>
      <c r="C1010" s="8" t="str">
        <f>IFERROR(_xlfn.XLOOKUP(TRIM(B1010),Lookup!$B$2:$B$1000,Lookup!$C$2:$C$1000),"")</f>
        <v>Equity</v>
      </c>
      <c r="D1010" s="8" t="s">
        <v>23</v>
      </c>
      <c r="E1010" s="9">
        <v>46226</v>
      </c>
      <c r="F1010" s="8">
        <v>53.943899999999999</v>
      </c>
    </row>
    <row r="1011" spans="1:6" ht="60" x14ac:dyDescent="0.25">
      <c r="A1011" s="8" t="s">
        <v>5</v>
      </c>
      <c r="B1011" s="8" t="s">
        <v>22</v>
      </c>
      <c r="C1011" s="8" t="str">
        <f>IFERROR(_xlfn.XLOOKUP(TRIM(B1011),Lookup!$B$2:$B$1000,Lookup!$C$2:$C$1000),"")</f>
        <v>Equity</v>
      </c>
      <c r="D1011" s="8" t="s">
        <v>23</v>
      </c>
      <c r="E1011" s="9">
        <v>46233</v>
      </c>
      <c r="F1011" s="8">
        <v>55.335500000000003</v>
      </c>
    </row>
    <row r="1012" spans="1:6" ht="90" x14ac:dyDescent="0.25">
      <c r="A1012" s="8" t="s">
        <v>5</v>
      </c>
      <c r="B1012" s="8" t="s">
        <v>24</v>
      </c>
      <c r="C1012" s="8" t="str">
        <f>IFERROR(_xlfn.XLOOKUP(TRIM(B1012),Lookup!$B$2:$B$1000,Lookup!$C$2:$C$1000),"")</f>
        <v>Equity</v>
      </c>
      <c r="D1012" s="8" t="s">
        <v>25</v>
      </c>
      <c r="E1012" s="9">
        <v>45869</v>
      </c>
      <c r="F1012" s="8">
        <v>11.1751</v>
      </c>
    </row>
    <row r="1013" spans="1:6" ht="90" x14ac:dyDescent="0.25">
      <c r="A1013" s="8" t="s">
        <v>5</v>
      </c>
      <c r="B1013" s="8" t="s">
        <v>24</v>
      </c>
      <c r="C1013" s="8" t="str">
        <f>IFERROR(_xlfn.XLOOKUP(TRIM(B1013),Lookup!$B$2:$B$1000,Lookup!$C$2:$C$1000),"")</f>
        <v>Equity</v>
      </c>
      <c r="D1013" s="8" t="s">
        <v>25</v>
      </c>
      <c r="E1013" s="9">
        <v>45870</v>
      </c>
      <c r="F1013" s="8">
        <v>11.0406</v>
      </c>
    </row>
    <row r="1014" spans="1:6" ht="90" x14ac:dyDescent="0.25">
      <c r="A1014" s="8" t="s">
        <v>5</v>
      </c>
      <c r="B1014" s="8" t="s">
        <v>24</v>
      </c>
      <c r="C1014" s="8" t="str">
        <f>IFERROR(_xlfn.XLOOKUP(TRIM(B1014),Lookup!$B$2:$B$1000,Lookup!$C$2:$C$1000),"")</f>
        <v>Equity</v>
      </c>
      <c r="D1014" s="8" t="s">
        <v>25</v>
      </c>
      <c r="E1014" s="9">
        <v>45873</v>
      </c>
      <c r="F1014" s="8">
        <v>11.156499999999999</v>
      </c>
    </row>
    <row r="1015" spans="1:6" ht="90" x14ac:dyDescent="0.25">
      <c r="A1015" s="8" t="s">
        <v>5</v>
      </c>
      <c r="B1015" s="8" t="s">
        <v>24</v>
      </c>
      <c r="C1015" s="8" t="str">
        <f>IFERROR(_xlfn.XLOOKUP(TRIM(B1015),Lookup!$B$2:$B$1000,Lookup!$C$2:$C$1000),"")</f>
        <v>Equity</v>
      </c>
      <c r="D1015" s="8" t="s">
        <v>25</v>
      </c>
      <c r="E1015" s="9">
        <v>45874</v>
      </c>
      <c r="F1015" s="8">
        <v>11.1546</v>
      </c>
    </row>
    <row r="1016" spans="1:6" ht="90" x14ac:dyDescent="0.25">
      <c r="A1016" s="8" t="s">
        <v>5</v>
      </c>
      <c r="B1016" s="8" t="s">
        <v>24</v>
      </c>
      <c r="C1016" s="8" t="str">
        <f>IFERROR(_xlfn.XLOOKUP(TRIM(B1016),Lookup!$B$2:$B$1000,Lookup!$C$2:$C$1000),"")</f>
        <v>Equity</v>
      </c>
      <c r="D1016" s="8" t="s">
        <v>25</v>
      </c>
      <c r="E1016" s="9">
        <v>45875</v>
      </c>
      <c r="F1016" s="8">
        <v>11.0343</v>
      </c>
    </row>
    <row r="1017" spans="1:6" ht="90" x14ac:dyDescent="0.25">
      <c r="A1017" s="8" t="s">
        <v>5</v>
      </c>
      <c r="B1017" s="8" t="s">
        <v>24</v>
      </c>
      <c r="C1017" s="8" t="str">
        <f>IFERROR(_xlfn.XLOOKUP(TRIM(B1017),Lookup!$B$2:$B$1000,Lookup!$C$2:$C$1000),"")</f>
        <v>Equity</v>
      </c>
      <c r="D1017" s="8" t="s">
        <v>25</v>
      </c>
      <c r="E1017" s="9">
        <v>45876</v>
      </c>
      <c r="F1017" s="8">
        <v>11.075699999999999</v>
      </c>
    </row>
    <row r="1018" spans="1:6" ht="90" x14ac:dyDescent="0.25">
      <c r="A1018" s="8" t="s">
        <v>5</v>
      </c>
      <c r="B1018" s="8" t="s">
        <v>24</v>
      </c>
      <c r="C1018" s="8" t="str">
        <f>IFERROR(_xlfn.XLOOKUP(TRIM(B1018),Lookup!$B$2:$B$1000,Lookup!$C$2:$C$1000),"")</f>
        <v>Equity</v>
      </c>
      <c r="D1018" s="8" t="s">
        <v>25</v>
      </c>
      <c r="E1018" s="9">
        <v>45877</v>
      </c>
      <c r="F1018" s="8">
        <v>10.912699999999999</v>
      </c>
    </row>
    <row r="1019" spans="1:6" ht="90" x14ac:dyDescent="0.25">
      <c r="A1019" s="8" t="s">
        <v>5</v>
      </c>
      <c r="B1019" s="8" t="s">
        <v>24</v>
      </c>
      <c r="C1019" s="8" t="str">
        <f>IFERROR(_xlfn.XLOOKUP(TRIM(B1019),Lookup!$B$2:$B$1000,Lookup!$C$2:$C$1000),"")</f>
        <v>Equity</v>
      </c>
      <c r="D1019" s="8" t="s">
        <v>25</v>
      </c>
      <c r="E1019" s="9">
        <v>45880</v>
      </c>
      <c r="F1019" s="8">
        <v>11.0113</v>
      </c>
    </row>
    <row r="1020" spans="1:6" ht="90" x14ac:dyDescent="0.25">
      <c r="A1020" s="8" t="s">
        <v>5</v>
      </c>
      <c r="B1020" s="8" t="s">
        <v>24</v>
      </c>
      <c r="C1020" s="8" t="str">
        <f>IFERROR(_xlfn.XLOOKUP(TRIM(B1020),Lookup!$B$2:$B$1000,Lookup!$C$2:$C$1000),"")</f>
        <v>Equity</v>
      </c>
      <c r="D1020" s="8" t="s">
        <v>25</v>
      </c>
      <c r="E1020" s="9">
        <v>45881</v>
      </c>
      <c r="F1020" s="8">
        <v>10.961499999999999</v>
      </c>
    </row>
    <row r="1021" spans="1:6" ht="90" x14ac:dyDescent="0.25">
      <c r="A1021" s="8" t="s">
        <v>5</v>
      </c>
      <c r="B1021" s="8" t="s">
        <v>24</v>
      </c>
      <c r="C1021" s="8" t="str">
        <f>IFERROR(_xlfn.XLOOKUP(TRIM(B1021),Lookup!$B$2:$B$1000,Lookup!$C$2:$C$1000),"")</f>
        <v>Equity</v>
      </c>
      <c r="D1021" s="8" t="s">
        <v>25</v>
      </c>
      <c r="E1021" s="9">
        <v>45882</v>
      </c>
      <c r="F1021" s="8">
        <v>11.033300000000001</v>
      </c>
    </row>
    <row r="1022" spans="1:6" ht="90" x14ac:dyDescent="0.25">
      <c r="A1022" s="8" t="s">
        <v>5</v>
      </c>
      <c r="B1022" s="8" t="s">
        <v>24</v>
      </c>
      <c r="C1022" s="8" t="str">
        <f>IFERROR(_xlfn.XLOOKUP(TRIM(B1022),Lookup!$B$2:$B$1000,Lookup!$C$2:$C$1000),"")</f>
        <v>Equity</v>
      </c>
      <c r="D1022" s="8" t="s">
        <v>25</v>
      </c>
      <c r="E1022" s="9">
        <v>45883</v>
      </c>
      <c r="F1022" s="8">
        <v>11.036799999999999</v>
      </c>
    </row>
    <row r="1023" spans="1:6" ht="90" x14ac:dyDescent="0.25">
      <c r="A1023" s="8" t="s">
        <v>5</v>
      </c>
      <c r="B1023" s="8" t="s">
        <v>24</v>
      </c>
      <c r="C1023" s="8" t="str">
        <f>IFERROR(_xlfn.XLOOKUP(TRIM(B1023),Lookup!$B$2:$B$1000,Lookup!$C$2:$C$1000),"")</f>
        <v>Equity</v>
      </c>
      <c r="D1023" s="8" t="s">
        <v>25</v>
      </c>
      <c r="E1023" s="9">
        <v>45887</v>
      </c>
      <c r="F1023" s="8">
        <v>11.1593</v>
      </c>
    </row>
    <row r="1024" spans="1:6" ht="90" x14ac:dyDescent="0.25">
      <c r="A1024" s="8" t="s">
        <v>5</v>
      </c>
      <c r="B1024" s="8" t="s">
        <v>24</v>
      </c>
      <c r="C1024" s="8" t="str">
        <f>IFERROR(_xlfn.XLOOKUP(TRIM(B1024),Lookup!$B$2:$B$1000,Lookup!$C$2:$C$1000),"")</f>
        <v>Equity</v>
      </c>
      <c r="D1024" s="8" t="s">
        <v>25</v>
      </c>
      <c r="E1024" s="9">
        <v>45888</v>
      </c>
      <c r="F1024" s="8">
        <v>11.242800000000001</v>
      </c>
    </row>
    <row r="1025" spans="1:6" ht="90" x14ac:dyDescent="0.25">
      <c r="A1025" s="8" t="s">
        <v>5</v>
      </c>
      <c r="B1025" s="8" t="s">
        <v>24</v>
      </c>
      <c r="C1025" s="8" t="str">
        <f>IFERROR(_xlfn.XLOOKUP(TRIM(B1025),Lookup!$B$2:$B$1000,Lookup!$C$2:$C$1000),"")</f>
        <v>Equity</v>
      </c>
      <c r="D1025" s="8" t="s">
        <v>25</v>
      </c>
      <c r="E1025" s="9">
        <v>45889</v>
      </c>
      <c r="F1025" s="8">
        <v>11.3063</v>
      </c>
    </row>
    <row r="1026" spans="1:6" ht="90" x14ac:dyDescent="0.25">
      <c r="A1026" s="8" t="s">
        <v>5</v>
      </c>
      <c r="B1026" s="8" t="s">
        <v>24</v>
      </c>
      <c r="C1026" s="8" t="str">
        <f>IFERROR(_xlfn.XLOOKUP(TRIM(B1026),Lookup!$B$2:$B$1000,Lookup!$C$2:$C$1000),"")</f>
        <v>Equity</v>
      </c>
      <c r="D1026" s="8" t="s">
        <v>25</v>
      </c>
      <c r="E1026" s="9">
        <v>45890</v>
      </c>
      <c r="F1026" s="8">
        <v>11.2577</v>
      </c>
    </row>
    <row r="1027" spans="1:6" ht="90" x14ac:dyDescent="0.25">
      <c r="A1027" s="8" t="s">
        <v>5</v>
      </c>
      <c r="B1027" s="8" t="s">
        <v>24</v>
      </c>
      <c r="C1027" s="8" t="str">
        <f>IFERROR(_xlfn.XLOOKUP(TRIM(B1027),Lookup!$B$2:$B$1000,Lookup!$C$2:$C$1000),"")</f>
        <v>Equity</v>
      </c>
      <c r="D1027" s="8" t="s">
        <v>25</v>
      </c>
      <c r="E1027" s="9">
        <v>45891</v>
      </c>
      <c r="F1027" s="8">
        <v>11.2407</v>
      </c>
    </row>
    <row r="1028" spans="1:6" ht="90" x14ac:dyDescent="0.25">
      <c r="A1028" s="8" t="s">
        <v>5</v>
      </c>
      <c r="B1028" s="8" t="s">
        <v>24</v>
      </c>
      <c r="C1028" s="8" t="str">
        <f>IFERROR(_xlfn.XLOOKUP(TRIM(B1028),Lookup!$B$2:$B$1000,Lookup!$C$2:$C$1000),"")</f>
        <v>Equity</v>
      </c>
      <c r="D1028" s="8" t="s">
        <v>25</v>
      </c>
      <c r="E1028" s="9">
        <v>45894</v>
      </c>
      <c r="F1028" s="8">
        <v>11.221399999999999</v>
      </c>
    </row>
    <row r="1029" spans="1:6" ht="90" x14ac:dyDescent="0.25">
      <c r="A1029" s="8" t="s">
        <v>5</v>
      </c>
      <c r="B1029" s="8" t="s">
        <v>24</v>
      </c>
      <c r="C1029" s="8" t="str">
        <f>IFERROR(_xlfn.XLOOKUP(TRIM(B1029),Lookup!$B$2:$B$1000,Lookup!$C$2:$C$1000),"")</f>
        <v>Equity</v>
      </c>
      <c r="D1029" s="8" t="s">
        <v>25</v>
      </c>
      <c r="E1029" s="9">
        <v>45895</v>
      </c>
      <c r="F1029" s="8">
        <v>11.0505</v>
      </c>
    </row>
    <row r="1030" spans="1:6" ht="90" x14ac:dyDescent="0.25">
      <c r="A1030" s="8" t="s">
        <v>5</v>
      </c>
      <c r="B1030" s="8" t="s">
        <v>24</v>
      </c>
      <c r="C1030" s="8" t="str">
        <f>IFERROR(_xlfn.XLOOKUP(TRIM(B1030),Lookup!$B$2:$B$1000,Lookup!$C$2:$C$1000),"")</f>
        <v>Equity</v>
      </c>
      <c r="D1030" s="8" t="s">
        <v>25</v>
      </c>
      <c r="E1030" s="9">
        <v>45897</v>
      </c>
      <c r="F1030" s="8">
        <v>10.9038</v>
      </c>
    </row>
    <row r="1031" spans="1:6" ht="90" x14ac:dyDescent="0.25">
      <c r="A1031" s="8" t="s">
        <v>5</v>
      </c>
      <c r="B1031" s="8" t="s">
        <v>24</v>
      </c>
      <c r="C1031" s="8" t="str">
        <f>IFERROR(_xlfn.XLOOKUP(TRIM(B1031),Lookup!$B$2:$B$1000,Lookup!$C$2:$C$1000),"")</f>
        <v>Equity</v>
      </c>
      <c r="D1031" s="8" t="s">
        <v>25</v>
      </c>
      <c r="E1031" s="9">
        <v>45898</v>
      </c>
      <c r="F1031" s="8">
        <v>10.838800000000001</v>
      </c>
    </row>
    <row r="1032" spans="1:6" ht="90" x14ac:dyDescent="0.25">
      <c r="A1032" s="8" t="s">
        <v>5</v>
      </c>
      <c r="B1032" s="8" t="s">
        <v>24</v>
      </c>
      <c r="C1032" s="8" t="str">
        <f>IFERROR(_xlfn.XLOOKUP(TRIM(B1032),Lookup!$B$2:$B$1000,Lookup!$C$2:$C$1000),"")</f>
        <v>Equity</v>
      </c>
      <c r="D1032" s="8" t="s">
        <v>25</v>
      </c>
      <c r="E1032" s="9">
        <v>45901</v>
      </c>
      <c r="F1032" s="8">
        <v>11.0336</v>
      </c>
    </row>
    <row r="1033" spans="1:6" ht="90" x14ac:dyDescent="0.25">
      <c r="A1033" s="8" t="s">
        <v>5</v>
      </c>
      <c r="B1033" s="8" t="s">
        <v>24</v>
      </c>
      <c r="C1033" s="8" t="str">
        <f>IFERROR(_xlfn.XLOOKUP(TRIM(B1033),Lookup!$B$2:$B$1000,Lookup!$C$2:$C$1000),"")</f>
        <v>Equity</v>
      </c>
      <c r="D1033" s="8" t="s">
        <v>25</v>
      </c>
      <c r="E1033" s="9">
        <v>45902</v>
      </c>
      <c r="F1033" s="8">
        <v>11.0169</v>
      </c>
    </row>
    <row r="1034" spans="1:6" ht="90" x14ac:dyDescent="0.25">
      <c r="A1034" s="8" t="s">
        <v>5</v>
      </c>
      <c r="B1034" s="8" t="s">
        <v>24</v>
      </c>
      <c r="C1034" s="8" t="str">
        <f>IFERROR(_xlfn.XLOOKUP(TRIM(B1034),Lookup!$B$2:$B$1000,Lookup!$C$2:$C$1000),"")</f>
        <v>Equity</v>
      </c>
      <c r="D1034" s="8" t="s">
        <v>25</v>
      </c>
      <c r="E1034" s="9">
        <v>45903</v>
      </c>
      <c r="F1034" s="8">
        <v>11.081899999999999</v>
      </c>
    </row>
    <row r="1035" spans="1:6" ht="90" x14ac:dyDescent="0.25">
      <c r="A1035" s="8" t="s">
        <v>5</v>
      </c>
      <c r="B1035" s="8" t="s">
        <v>24</v>
      </c>
      <c r="C1035" s="8" t="str">
        <f>IFERROR(_xlfn.XLOOKUP(TRIM(B1035),Lookup!$B$2:$B$1000,Lookup!$C$2:$C$1000),"")</f>
        <v>Equity</v>
      </c>
      <c r="D1035" s="8" t="s">
        <v>25</v>
      </c>
      <c r="E1035" s="9">
        <v>45904</v>
      </c>
      <c r="F1035" s="8">
        <v>10.974399999999999</v>
      </c>
    </row>
    <row r="1036" spans="1:6" ht="90" x14ac:dyDescent="0.25">
      <c r="A1036" s="8" t="s">
        <v>5</v>
      </c>
      <c r="B1036" s="8" t="s">
        <v>24</v>
      </c>
      <c r="C1036" s="8" t="str">
        <f>IFERROR(_xlfn.XLOOKUP(TRIM(B1036),Lookup!$B$2:$B$1000,Lookup!$C$2:$C$1000),"")</f>
        <v>Equity</v>
      </c>
      <c r="D1036" s="8" t="s">
        <v>25</v>
      </c>
      <c r="E1036" s="9">
        <v>45905</v>
      </c>
      <c r="F1036" s="8">
        <v>10.9665</v>
      </c>
    </row>
    <row r="1037" spans="1:6" ht="90" x14ac:dyDescent="0.25">
      <c r="A1037" s="8" t="s">
        <v>5</v>
      </c>
      <c r="B1037" s="8" t="s">
        <v>24</v>
      </c>
      <c r="C1037" s="8" t="str">
        <f>IFERROR(_xlfn.XLOOKUP(TRIM(B1037),Lookup!$B$2:$B$1000,Lookup!$C$2:$C$1000),"")</f>
        <v>Equity</v>
      </c>
      <c r="D1037" s="8" t="s">
        <v>25</v>
      </c>
      <c r="E1037" s="9">
        <v>45908</v>
      </c>
      <c r="F1037" s="8">
        <v>10.994300000000001</v>
      </c>
    </row>
    <row r="1038" spans="1:6" ht="90" x14ac:dyDescent="0.25">
      <c r="A1038" s="8" t="s">
        <v>5</v>
      </c>
      <c r="B1038" s="8" t="s">
        <v>24</v>
      </c>
      <c r="C1038" s="8" t="str">
        <f>IFERROR(_xlfn.XLOOKUP(TRIM(B1038),Lookup!$B$2:$B$1000,Lookup!$C$2:$C$1000),"")</f>
        <v>Equity</v>
      </c>
      <c r="D1038" s="8" t="s">
        <v>25</v>
      </c>
      <c r="E1038" s="9">
        <v>45909</v>
      </c>
      <c r="F1038" s="8">
        <v>11.018599999999999</v>
      </c>
    </row>
    <row r="1039" spans="1:6" ht="90" x14ac:dyDescent="0.25">
      <c r="A1039" s="8" t="s">
        <v>5</v>
      </c>
      <c r="B1039" s="8" t="s">
        <v>24</v>
      </c>
      <c r="C1039" s="8" t="str">
        <f>IFERROR(_xlfn.XLOOKUP(TRIM(B1039),Lookup!$B$2:$B$1000,Lookup!$C$2:$C$1000),"")</f>
        <v>Equity</v>
      </c>
      <c r="D1039" s="8" t="s">
        <v>25</v>
      </c>
      <c r="E1039" s="9">
        <v>45910</v>
      </c>
      <c r="F1039" s="8">
        <v>11.124000000000001</v>
      </c>
    </row>
    <row r="1040" spans="1:6" ht="90" x14ac:dyDescent="0.25">
      <c r="A1040" s="8" t="s">
        <v>5</v>
      </c>
      <c r="B1040" s="8" t="s">
        <v>24</v>
      </c>
      <c r="C1040" s="8" t="str">
        <f>IFERROR(_xlfn.XLOOKUP(TRIM(B1040),Lookup!$B$2:$B$1000,Lookup!$C$2:$C$1000),"")</f>
        <v>Equity</v>
      </c>
      <c r="D1040" s="8" t="s">
        <v>25</v>
      </c>
      <c r="E1040" s="9">
        <v>45911</v>
      </c>
      <c r="F1040" s="8">
        <v>11.096</v>
      </c>
    </row>
    <row r="1041" spans="1:6" ht="90" x14ac:dyDescent="0.25">
      <c r="A1041" s="8" t="s">
        <v>5</v>
      </c>
      <c r="B1041" s="8" t="s">
        <v>24</v>
      </c>
      <c r="C1041" s="8" t="str">
        <f>IFERROR(_xlfn.XLOOKUP(TRIM(B1041),Lookup!$B$2:$B$1000,Lookup!$C$2:$C$1000),"")</f>
        <v>Equity</v>
      </c>
      <c r="D1041" s="8" t="s">
        <v>25</v>
      </c>
      <c r="E1041" s="9">
        <v>45912</v>
      </c>
      <c r="F1041" s="8">
        <v>11.1327</v>
      </c>
    </row>
    <row r="1042" spans="1:6" ht="90" x14ac:dyDescent="0.25">
      <c r="A1042" s="8" t="s">
        <v>5</v>
      </c>
      <c r="B1042" s="8" t="s">
        <v>24</v>
      </c>
      <c r="C1042" s="8" t="str">
        <f>IFERROR(_xlfn.XLOOKUP(TRIM(B1042),Lookup!$B$2:$B$1000,Lookup!$C$2:$C$1000),"")</f>
        <v>Equity</v>
      </c>
      <c r="D1042" s="8" t="s">
        <v>25</v>
      </c>
      <c r="E1042" s="9">
        <v>45915</v>
      </c>
      <c r="F1042" s="8">
        <v>11.1614</v>
      </c>
    </row>
    <row r="1043" spans="1:6" ht="90" x14ac:dyDescent="0.25">
      <c r="A1043" s="8" t="s">
        <v>5</v>
      </c>
      <c r="B1043" s="8" t="s">
        <v>24</v>
      </c>
      <c r="C1043" s="8" t="str">
        <f>IFERROR(_xlfn.XLOOKUP(TRIM(B1043),Lookup!$B$2:$B$1000,Lookup!$C$2:$C$1000),"")</f>
        <v>Equity</v>
      </c>
      <c r="D1043" s="8" t="s">
        <v>25</v>
      </c>
      <c r="E1043" s="9">
        <v>45916</v>
      </c>
      <c r="F1043" s="8">
        <v>11.215999999999999</v>
      </c>
    </row>
    <row r="1044" spans="1:6" ht="90" x14ac:dyDescent="0.25">
      <c r="A1044" s="8" t="s">
        <v>5</v>
      </c>
      <c r="B1044" s="8" t="s">
        <v>24</v>
      </c>
      <c r="C1044" s="8" t="str">
        <f>IFERROR(_xlfn.XLOOKUP(TRIM(B1044),Lookup!$B$2:$B$1000,Lookup!$C$2:$C$1000),"")</f>
        <v>Equity</v>
      </c>
      <c r="D1044" s="8" t="s">
        <v>25</v>
      </c>
      <c r="E1044" s="9">
        <v>45917</v>
      </c>
      <c r="F1044" s="8">
        <v>11.233700000000001</v>
      </c>
    </row>
    <row r="1045" spans="1:6" ht="90" x14ac:dyDescent="0.25">
      <c r="A1045" s="8" t="s">
        <v>5</v>
      </c>
      <c r="B1045" s="8" t="s">
        <v>24</v>
      </c>
      <c r="C1045" s="8" t="str">
        <f>IFERROR(_xlfn.XLOOKUP(TRIM(B1045),Lookup!$B$2:$B$1000,Lookup!$C$2:$C$1000),"")</f>
        <v>Equity</v>
      </c>
      <c r="D1045" s="8" t="s">
        <v>25</v>
      </c>
      <c r="E1045" s="9">
        <v>45918</v>
      </c>
      <c r="F1045" s="8">
        <v>11.2486</v>
      </c>
    </row>
    <row r="1046" spans="1:6" ht="90" x14ac:dyDescent="0.25">
      <c r="A1046" s="8" t="s">
        <v>5</v>
      </c>
      <c r="B1046" s="8" t="s">
        <v>24</v>
      </c>
      <c r="C1046" s="8" t="str">
        <f>IFERROR(_xlfn.XLOOKUP(TRIM(B1046),Lookup!$B$2:$B$1000,Lookup!$C$2:$C$1000),"")</f>
        <v>Equity</v>
      </c>
      <c r="D1046" s="8" t="s">
        <v>25</v>
      </c>
      <c r="E1046" s="9">
        <v>45919</v>
      </c>
      <c r="F1046" s="8">
        <v>11.2019</v>
      </c>
    </row>
    <row r="1047" spans="1:6" ht="90" x14ac:dyDescent="0.25">
      <c r="A1047" s="8" t="s">
        <v>5</v>
      </c>
      <c r="B1047" s="8" t="s">
        <v>24</v>
      </c>
      <c r="C1047" s="8" t="str">
        <f>IFERROR(_xlfn.XLOOKUP(TRIM(B1047),Lookup!$B$2:$B$1000,Lookup!$C$2:$C$1000),"")</f>
        <v>Equity</v>
      </c>
      <c r="D1047" s="8" t="s">
        <v>25</v>
      </c>
      <c r="E1047" s="9">
        <v>45922</v>
      </c>
      <c r="F1047" s="8">
        <v>11.1432</v>
      </c>
    </row>
    <row r="1048" spans="1:6" ht="90" x14ac:dyDescent="0.25">
      <c r="A1048" s="8" t="s">
        <v>5</v>
      </c>
      <c r="B1048" s="8" t="s">
        <v>24</v>
      </c>
      <c r="C1048" s="8" t="str">
        <f>IFERROR(_xlfn.XLOOKUP(TRIM(B1048),Lookup!$B$2:$B$1000,Lookup!$C$2:$C$1000),"")</f>
        <v>Equity</v>
      </c>
      <c r="D1048" s="8" t="s">
        <v>25</v>
      </c>
      <c r="E1048" s="9">
        <v>45923</v>
      </c>
      <c r="F1048" s="8">
        <v>11.0961</v>
      </c>
    </row>
    <row r="1049" spans="1:6" ht="90" x14ac:dyDescent="0.25">
      <c r="A1049" s="8" t="s">
        <v>5</v>
      </c>
      <c r="B1049" s="8" t="s">
        <v>24</v>
      </c>
      <c r="C1049" s="8" t="str">
        <f>IFERROR(_xlfn.XLOOKUP(TRIM(B1049),Lookup!$B$2:$B$1000,Lookup!$C$2:$C$1000),"")</f>
        <v>Equity</v>
      </c>
      <c r="D1049" s="8" t="s">
        <v>25</v>
      </c>
      <c r="E1049" s="9">
        <v>45924</v>
      </c>
      <c r="F1049" s="8">
        <v>11.0036</v>
      </c>
    </row>
    <row r="1050" spans="1:6" ht="90" x14ac:dyDescent="0.25">
      <c r="A1050" s="8" t="s">
        <v>5</v>
      </c>
      <c r="B1050" s="8" t="s">
        <v>24</v>
      </c>
      <c r="C1050" s="8" t="str">
        <f>IFERROR(_xlfn.XLOOKUP(TRIM(B1050),Lookup!$B$2:$B$1000,Lookup!$C$2:$C$1000),"")</f>
        <v>Equity</v>
      </c>
      <c r="D1050" s="8" t="s">
        <v>25</v>
      </c>
      <c r="E1050" s="9">
        <v>45925</v>
      </c>
      <c r="F1050" s="8">
        <v>10.933400000000001</v>
      </c>
    </row>
    <row r="1051" spans="1:6" ht="90" x14ac:dyDescent="0.25">
      <c r="A1051" s="8" t="s">
        <v>5</v>
      </c>
      <c r="B1051" s="8" t="s">
        <v>24</v>
      </c>
      <c r="C1051" s="8" t="str">
        <f>IFERROR(_xlfn.XLOOKUP(TRIM(B1051),Lookup!$B$2:$B$1000,Lookup!$C$2:$C$1000),"")</f>
        <v>Equity</v>
      </c>
      <c r="D1051" s="8" t="s">
        <v>25</v>
      </c>
      <c r="E1051" s="9">
        <v>45926</v>
      </c>
      <c r="F1051" s="8">
        <v>10.712899999999999</v>
      </c>
    </row>
    <row r="1052" spans="1:6" ht="90" x14ac:dyDescent="0.25">
      <c r="A1052" s="8" t="s">
        <v>5</v>
      </c>
      <c r="B1052" s="8" t="s">
        <v>24</v>
      </c>
      <c r="C1052" s="8" t="str">
        <f>IFERROR(_xlfn.XLOOKUP(TRIM(B1052),Lookup!$B$2:$B$1000,Lookup!$C$2:$C$1000),"")</f>
        <v>Equity</v>
      </c>
      <c r="D1052" s="8" t="s">
        <v>25</v>
      </c>
      <c r="E1052" s="9">
        <v>45929</v>
      </c>
      <c r="F1052" s="8">
        <v>10.716699999999999</v>
      </c>
    </row>
    <row r="1053" spans="1:6" ht="90" x14ac:dyDescent="0.25">
      <c r="A1053" s="8" t="s">
        <v>5</v>
      </c>
      <c r="B1053" s="8" t="s">
        <v>24</v>
      </c>
      <c r="C1053" s="8" t="str">
        <f>IFERROR(_xlfn.XLOOKUP(TRIM(B1053),Lookup!$B$2:$B$1000,Lookup!$C$2:$C$1000),"")</f>
        <v>Equity</v>
      </c>
      <c r="D1053" s="8" t="s">
        <v>25</v>
      </c>
      <c r="E1053" s="9">
        <v>45930</v>
      </c>
      <c r="F1053" s="8">
        <v>10.6981</v>
      </c>
    </row>
    <row r="1054" spans="1:6" ht="90" x14ac:dyDescent="0.25">
      <c r="A1054" s="8" t="s">
        <v>5</v>
      </c>
      <c r="B1054" s="8" t="s">
        <v>24</v>
      </c>
      <c r="C1054" s="8" t="str">
        <f>IFERROR(_xlfn.XLOOKUP(TRIM(B1054),Lookup!$B$2:$B$1000,Lookup!$C$2:$C$1000),"")</f>
        <v>Equity</v>
      </c>
      <c r="D1054" s="8" t="s">
        <v>25</v>
      </c>
      <c r="E1054" s="9">
        <v>45931</v>
      </c>
      <c r="F1054" s="8">
        <v>10.8231</v>
      </c>
    </row>
    <row r="1055" spans="1:6" ht="90" x14ac:dyDescent="0.25">
      <c r="A1055" s="8" t="s">
        <v>5</v>
      </c>
      <c r="B1055" s="8" t="s">
        <v>24</v>
      </c>
      <c r="C1055" s="8" t="str">
        <f>IFERROR(_xlfn.XLOOKUP(TRIM(B1055),Lookup!$B$2:$B$1000,Lookup!$C$2:$C$1000),"")</f>
        <v>Equity</v>
      </c>
      <c r="D1055" s="8" t="s">
        <v>25</v>
      </c>
      <c r="E1055" s="9">
        <v>45933</v>
      </c>
      <c r="F1055" s="8">
        <v>10.9047</v>
      </c>
    </row>
    <row r="1056" spans="1:6" ht="90" x14ac:dyDescent="0.25">
      <c r="A1056" s="8" t="s">
        <v>5</v>
      </c>
      <c r="B1056" s="8" t="s">
        <v>24</v>
      </c>
      <c r="C1056" s="8" t="str">
        <f>IFERROR(_xlfn.XLOOKUP(TRIM(B1056),Lookup!$B$2:$B$1000,Lookup!$C$2:$C$1000),"")</f>
        <v>Equity</v>
      </c>
      <c r="D1056" s="8" t="s">
        <v>25</v>
      </c>
      <c r="E1056" s="9">
        <v>45936</v>
      </c>
      <c r="F1056" s="8">
        <v>11.087400000000001</v>
      </c>
    </row>
    <row r="1057" spans="1:6" ht="90" x14ac:dyDescent="0.25">
      <c r="A1057" s="8" t="s">
        <v>5</v>
      </c>
      <c r="B1057" s="8" t="s">
        <v>24</v>
      </c>
      <c r="C1057" s="8" t="str">
        <f>IFERROR(_xlfn.XLOOKUP(TRIM(B1057),Lookup!$B$2:$B$1000,Lookup!$C$2:$C$1000),"")</f>
        <v>Equity</v>
      </c>
      <c r="D1057" s="8" t="s">
        <v>25</v>
      </c>
      <c r="E1057" s="9">
        <v>45937</v>
      </c>
      <c r="F1057" s="8">
        <v>11.1045</v>
      </c>
    </row>
    <row r="1058" spans="1:6" ht="90" x14ac:dyDescent="0.25">
      <c r="A1058" s="8" t="s">
        <v>5</v>
      </c>
      <c r="B1058" s="8" t="s">
        <v>24</v>
      </c>
      <c r="C1058" s="8" t="str">
        <f>IFERROR(_xlfn.XLOOKUP(TRIM(B1058),Lookup!$B$2:$B$1000,Lookup!$C$2:$C$1000),"")</f>
        <v>Equity</v>
      </c>
      <c r="D1058" s="8" t="s">
        <v>25</v>
      </c>
      <c r="E1058" s="9">
        <v>45938</v>
      </c>
      <c r="F1058" s="8">
        <v>11.054399999999999</v>
      </c>
    </row>
    <row r="1059" spans="1:6" ht="90" x14ac:dyDescent="0.25">
      <c r="A1059" s="8" t="s">
        <v>5</v>
      </c>
      <c r="B1059" s="8" t="s">
        <v>24</v>
      </c>
      <c r="C1059" s="8" t="str">
        <f>IFERROR(_xlfn.XLOOKUP(TRIM(B1059),Lookup!$B$2:$B$1000,Lookup!$C$2:$C$1000),"")</f>
        <v>Equity</v>
      </c>
      <c r="D1059" s="8" t="s">
        <v>25</v>
      </c>
      <c r="E1059" s="9">
        <v>45939</v>
      </c>
      <c r="F1059" s="8">
        <v>11.159800000000001</v>
      </c>
    </row>
    <row r="1060" spans="1:6" ht="90" x14ac:dyDescent="0.25">
      <c r="A1060" s="8" t="s">
        <v>5</v>
      </c>
      <c r="B1060" s="8" t="s">
        <v>24</v>
      </c>
      <c r="C1060" s="8" t="str">
        <f>IFERROR(_xlfn.XLOOKUP(TRIM(B1060),Lookup!$B$2:$B$1000,Lookup!$C$2:$C$1000),"")</f>
        <v>Equity</v>
      </c>
      <c r="D1060" s="8" t="s">
        <v>25</v>
      </c>
      <c r="E1060" s="9">
        <v>45940</v>
      </c>
      <c r="F1060" s="8">
        <v>11.170299999999999</v>
      </c>
    </row>
    <row r="1061" spans="1:6" ht="90" x14ac:dyDescent="0.25">
      <c r="A1061" s="8" t="s">
        <v>5</v>
      </c>
      <c r="B1061" s="8" t="s">
        <v>24</v>
      </c>
      <c r="C1061" s="8" t="str">
        <f>IFERROR(_xlfn.XLOOKUP(TRIM(B1061),Lookup!$B$2:$B$1000,Lookup!$C$2:$C$1000),"")</f>
        <v>Equity</v>
      </c>
      <c r="D1061" s="8" t="s">
        <v>25</v>
      </c>
      <c r="E1061" s="9">
        <v>45943</v>
      </c>
      <c r="F1061" s="8">
        <v>11.201000000000001</v>
      </c>
    </row>
    <row r="1062" spans="1:6" ht="90" x14ac:dyDescent="0.25">
      <c r="A1062" s="8" t="s">
        <v>5</v>
      </c>
      <c r="B1062" s="8" t="s">
        <v>24</v>
      </c>
      <c r="C1062" s="8" t="str">
        <f>IFERROR(_xlfn.XLOOKUP(TRIM(B1062),Lookup!$B$2:$B$1000,Lookup!$C$2:$C$1000),"")</f>
        <v>Equity</v>
      </c>
      <c r="D1062" s="8" t="s">
        <v>25</v>
      </c>
      <c r="E1062" s="9">
        <v>45944</v>
      </c>
      <c r="F1062" s="8">
        <v>11.1274</v>
      </c>
    </row>
    <row r="1063" spans="1:6" ht="90" x14ac:dyDescent="0.25">
      <c r="A1063" s="8" t="s">
        <v>5</v>
      </c>
      <c r="B1063" s="8" t="s">
        <v>24</v>
      </c>
      <c r="C1063" s="8" t="str">
        <f>IFERROR(_xlfn.XLOOKUP(TRIM(B1063),Lookup!$B$2:$B$1000,Lookup!$C$2:$C$1000),"")</f>
        <v>Equity</v>
      </c>
      <c r="D1063" s="8" t="s">
        <v>25</v>
      </c>
      <c r="E1063" s="9">
        <v>45945</v>
      </c>
      <c r="F1063" s="8">
        <v>11.2371</v>
      </c>
    </row>
    <row r="1064" spans="1:6" ht="90" x14ac:dyDescent="0.25">
      <c r="A1064" s="8" t="s">
        <v>5</v>
      </c>
      <c r="B1064" s="8" t="s">
        <v>24</v>
      </c>
      <c r="C1064" s="8" t="str">
        <f>IFERROR(_xlfn.XLOOKUP(TRIM(B1064),Lookup!$B$2:$B$1000,Lookup!$C$2:$C$1000),"")</f>
        <v>Equity</v>
      </c>
      <c r="D1064" s="8" t="s">
        <v>25</v>
      </c>
      <c r="E1064" s="9">
        <v>45946</v>
      </c>
      <c r="F1064" s="8">
        <v>11.276</v>
      </c>
    </row>
    <row r="1065" spans="1:6" ht="90" x14ac:dyDescent="0.25">
      <c r="A1065" s="8" t="s">
        <v>5</v>
      </c>
      <c r="B1065" s="8" t="s">
        <v>24</v>
      </c>
      <c r="C1065" s="8" t="str">
        <f>IFERROR(_xlfn.XLOOKUP(TRIM(B1065),Lookup!$B$2:$B$1000,Lookup!$C$2:$C$1000),"")</f>
        <v>Equity</v>
      </c>
      <c r="D1065" s="8" t="s">
        <v>25</v>
      </c>
      <c r="E1065" s="9">
        <v>45947</v>
      </c>
      <c r="F1065" s="8">
        <v>11.244300000000001</v>
      </c>
    </row>
    <row r="1066" spans="1:6" ht="90" x14ac:dyDescent="0.25">
      <c r="A1066" s="8" t="s">
        <v>5</v>
      </c>
      <c r="B1066" s="8" t="s">
        <v>24</v>
      </c>
      <c r="C1066" s="8" t="str">
        <f>IFERROR(_xlfn.XLOOKUP(TRIM(B1066),Lookup!$B$2:$B$1000,Lookup!$C$2:$C$1000),"")</f>
        <v>Equity</v>
      </c>
      <c r="D1066" s="8" t="s">
        <v>25</v>
      </c>
      <c r="E1066" s="9">
        <v>45950</v>
      </c>
      <c r="F1066" s="8">
        <v>11.315300000000001</v>
      </c>
    </row>
    <row r="1067" spans="1:6" ht="90" x14ac:dyDescent="0.25">
      <c r="A1067" s="8" t="s">
        <v>5</v>
      </c>
      <c r="B1067" s="8" t="s">
        <v>24</v>
      </c>
      <c r="C1067" s="8" t="str">
        <f>IFERROR(_xlfn.XLOOKUP(TRIM(B1067),Lookup!$B$2:$B$1000,Lookup!$C$2:$C$1000),"")</f>
        <v>Equity</v>
      </c>
      <c r="D1067" s="8" t="s">
        <v>25</v>
      </c>
      <c r="E1067" s="9">
        <v>45953</v>
      </c>
      <c r="F1067" s="8">
        <v>11.2536</v>
      </c>
    </row>
    <row r="1068" spans="1:6" ht="90" x14ac:dyDescent="0.25">
      <c r="A1068" s="8" t="s">
        <v>5</v>
      </c>
      <c r="B1068" s="8" t="s">
        <v>24</v>
      </c>
      <c r="C1068" s="8" t="str">
        <f>IFERROR(_xlfn.XLOOKUP(TRIM(B1068),Lookup!$B$2:$B$1000,Lookup!$C$2:$C$1000),"")</f>
        <v>Equity</v>
      </c>
      <c r="D1068" s="8" t="s">
        <v>25</v>
      </c>
      <c r="E1068" s="9">
        <v>45954</v>
      </c>
      <c r="F1068" s="8">
        <v>11.1972</v>
      </c>
    </row>
    <row r="1069" spans="1:6" ht="90" x14ac:dyDescent="0.25">
      <c r="A1069" s="8" t="s">
        <v>5</v>
      </c>
      <c r="B1069" s="8" t="s">
        <v>24</v>
      </c>
      <c r="C1069" s="8" t="str">
        <f>IFERROR(_xlfn.XLOOKUP(TRIM(B1069),Lookup!$B$2:$B$1000,Lookup!$C$2:$C$1000),"")</f>
        <v>Equity</v>
      </c>
      <c r="D1069" s="8" t="s">
        <v>25</v>
      </c>
      <c r="E1069" s="9">
        <v>45957</v>
      </c>
      <c r="F1069" s="8">
        <v>11.279</v>
      </c>
    </row>
    <row r="1070" spans="1:6" ht="90" x14ac:dyDescent="0.25">
      <c r="A1070" s="8" t="s">
        <v>5</v>
      </c>
      <c r="B1070" s="8" t="s">
        <v>24</v>
      </c>
      <c r="C1070" s="8" t="str">
        <f>IFERROR(_xlfn.XLOOKUP(TRIM(B1070),Lookup!$B$2:$B$1000,Lookup!$C$2:$C$1000),"")</f>
        <v>Equity</v>
      </c>
      <c r="D1070" s="8" t="s">
        <v>25</v>
      </c>
      <c r="E1070" s="9">
        <v>45958</v>
      </c>
      <c r="F1070" s="8">
        <v>11.3063</v>
      </c>
    </row>
    <row r="1071" spans="1:6" ht="90" x14ac:dyDescent="0.25">
      <c r="A1071" s="8" t="s">
        <v>5</v>
      </c>
      <c r="B1071" s="8" t="s">
        <v>24</v>
      </c>
      <c r="C1071" s="8" t="str">
        <f>IFERROR(_xlfn.XLOOKUP(TRIM(B1071),Lookup!$B$2:$B$1000,Lookup!$C$2:$C$1000),"")</f>
        <v>Equity</v>
      </c>
      <c r="D1071" s="8" t="s">
        <v>25</v>
      </c>
      <c r="E1071" s="9">
        <v>45959</v>
      </c>
      <c r="F1071" s="8">
        <v>11.3528</v>
      </c>
    </row>
    <row r="1072" spans="1:6" ht="90" x14ac:dyDescent="0.25">
      <c r="A1072" s="8" t="s">
        <v>5</v>
      </c>
      <c r="B1072" s="8" t="s">
        <v>24</v>
      </c>
      <c r="C1072" s="8" t="str">
        <f>IFERROR(_xlfn.XLOOKUP(TRIM(B1072),Lookup!$B$2:$B$1000,Lookup!$C$2:$C$1000),"")</f>
        <v>Equity</v>
      </c>
      <c r="D1072" s="8" t="s">
        <v>25</v>
      </c>
      <c r="E1072" s="9">
        <v>45960</v>
      </c>
      <c r="F1072" s="8">
        <v>11.331099999999999</v>
      </c>
    </row>
    <row r="1073" spans="1:6" ht="90" x14ac:dyDescent="0.25">
      <c r="A1073" s="8" t="s">
        <v>5</v>
      </c>
      <c r="B1073" s="8" t="s">
        <v>24</v>
      </c>
      <c r="C1073" s="8" t="str">
        <f>IFERROR(_xlfn.XLOOKUP(TRIM(B1073),Lookup!$B$2:$B$1000,Lookup!$C$2:$C$1000),"")</f>
        <v>Equity</v>
      </c>
      <c r="D1073" s="8" t="s">
        <v>25</v>
      </c>
      <c r="E1073" s="9">
        <v>45961</v>
      </c>
      <c r="F1073" s="8">
        <v>11.264799999999999</v>
      </c>
    </row>
    <row r="1074" spans="1:6" ht="90" x14ac:dyDescent="0.25">
      <c r="A1074" s="8" t="s">
        <v>5</v>
      </c>
      <c r="B1074" s="8" t="s">
        <v>24</v>
      </c>
      <c r="C1074" s="8" t="str">
        <f>IFERROR(_xlfn.XLOOKUP(TRIM(B1074),Lookup!$B$2:$B$1000,Lookup!$C$2:$C$1000),"")</f>
        <v>Equity</v>
      </c>
      <c r="D1074" s="8" t="s">
        <v>25</v>
      </c>
      <c r="E1074" s="9">
        <v>45964</v>
      </c>
      <c r="F1074" s="8">
        <v>11.338100000000001</v>
      </c>
    </row>
    <row r="1075" spans="1:6" ht="90" x14ac:dyDescent="0.25">
      <c r="A1075" s="8" t="s">
        <v>5</v>
      </c>
      <c r="B1075" s="8" t="s">
        <v>24</v>
      </c>
      <c r="C1075" s="8" t="str">
        <f>IFERROR(_xlfn.XLOOKUP(TRIM(B1075),Lookup!$B$2:$B$1000,Lookup!$C$2:$C$1000),"")</f>
        <v>Equity</v>
      </c>
      <c r="D1075" s="8" t="s">
        <v>25</v>
      </c>
      <c r="E1075" s="9">
        <v>45965</v>
      </c>
      <c r="F1075" s="8">
        <v>11.3223</v>
      </c>
    </row>
    <row r="1076" spans="1:6" ht="90" x14ac:dyDescent="0.25">
      <c r="A1076" s="8" t="s">
        <v>5</v>
      </c>
      <c r="B1076" s="8" t="s">
        <v>24</v>
      </c>
      <c r="C1076" s="8" t="str">
        <f>IFERROR(_xlfn.XLOOKUP(TRIM(B1076),Lookup!$B$2:$B$1000,Lookup!$C$2:$C$1000),"")</f>
        <v>Equity</v>
      </c>
      <c r="D1076" s="8" t="s">
        <v>25</v>
      </c>
      <c r="E1076" s="9">
        <v>45967</v>
      </c>
      <c r="F1076" s="8">
        <v>11.245900000000001</v>
      </c>
    </row>
    <row r="1077" spans="1:6" ht="90" x14ac:dyDescent="0.25">
      <c r="A1077" s="8" t="s">
        <v>5</v>
      </c>
      <c r="B1077" s="8" t="s">
        <v>24</v>
      </c>
      <c r="C1077" s="8" t="str">
        <f>IFERROR(_xlfn.XLOOKUP(TRIM(B1077),Lookup!$B$2:$B$1000,Lookup!$C$2:$C$1000),"")</f>
        <v>Equity</v>
      </c>
      <c r="D1077" s="8" t="s">
        <v>25</v>
      </c>
      <c r="E1077" s="9">
        <v>45968</v>
      </c>
      <c r="F1077" s="8">
        <v>11.3345</v>
      </c>
    </row>
    <row r="1078" spans="1:6" ht="90" x14ac:dyDescent="0.25">
      <c r="A1078" s="8" t="s">
        <v>5</v>
      </c>
      <c r="B1078" s="8" t="s">
        <v>24</v>
      </c>
      <c r="C1078" s="8" t="str">
        <f>IFERROR(_xlfn.XLOOKUP(TRIM(B1078),Lookup!$B$2:$B$1000,Lookup!$C$2:$C$1000),"")</f>
        <v>Equity</v>
      </c>
      <c r="D1078" s="8" t="s">
        <v>25</v>
      </c>
      <c r="E1078" s="9">
        <v>45971</v>
      </c>
      <c r="F1078" s="8">
        <v>11.357900000000001</v>
      </c>
    </row>
    <row r="1079" spans="1:6" ht="90" x14ac:dyDescent="0.25">
      <c r="A1079" s="8" t="s">
        <v>5</v>
      </c>
      <c r="B1079" s="8" t="s">
        <v>24</v>
      </c>
      <c r="C1079" s="8" t="str">
        <f>IFERROR(_xlfn.XLOOKUP(TRIM(B1079),Lookup!$B$2:$B$1000,Lookup!$C$2:$C$1000),"")</f>
        <v>Equity</v>
      </c>
      <c r="D1079" s="8" t="s">
        <v>25</v>
      </c>
      <c r="E1079" s="9">
        <v>45972</v>
      </c>
      <c r="F1079" s="8">
        <v>11.4057</v>
      </c>
    </row>
    <row r="1080" spans="1:6" ht="90" x14ac:dyDescent="0.25">
      <c r="A1080" s="8" t="s">
        <v>5</v>
      </c>
      <c r="B1080" s="8" t="s">
        <v>24</v>
      </c>
      <c r="C1080" s="8" t="str">
        <f>IFERROR(_xlfn.XLOOKUP(TRIM(B1080),Lookup!$B$2:$B$1000,Lookup!$C$2:$C$1000),"")</f>
        <v>Equity</v>
      </c>
      <c r="D1080" s="8" t="s">
        <v>25</v>
      </c>
      <c r="E1080" s="9">
        <v>45973</v>
      </c>
      <c r="F1080" s="8">
        <v>11.4985</v>
      </c>
    </row>
    <row r="1081" spans="1:6" ht="90" x14ac:dyDescent="0.25">
      <c r="A1081" s="8" t="s">
        <v>5</v>
      </c>
      <c r="B1081" s="8" t="s">
        <v>24</v>
      </c>
      <c r="C1081" s="8" t="str">
        <f>IFERROR(_xlfn.XLOOKUP(TRIM(B1081),Lookup!$B$2:$B$1000,Lookup!$C$2:$C$1000),"")</f>
        <v>Equity</v>
      </c>
      <c r="D1081" s="8" t="s">
        <v>25</v>
      </c>
      <c r="E1081" s="9">
        <v>45974</v>
      </c>
      <c r="F1081" s="8">
        <v>11.444599999999999</v>
      </c>
    </row>
    <row r="1082" spans="1:6" ht="90" x14ac:dyDescent="0.25">
      <c r="A1082" s="8" t="s">
        <v>5</v>
      </c>
      <c r="B1082" s="8" t="s">
        <v>24</v>
      </c>
      <c r="C1082" s="8" t="str">
        <f>IFERROR(_xlfn.XLOOKUP(TRIM(B1082),Lookup!$B$2:$B$1000,Lookup!$C$2:$C$1000),"")</f>
        <v>Equity</v>
      </c>
      <c r="D1082" s="8" t="s">
        <v>25</v>
      </c>
      <c r="E1082" s="9">
        <v>45975</v>
      </c>
      <c r="F1082" s="8">
        <v>11.4887</v>
      </c>
    </row>
    <row r="1083" spans="1:6" ht="90" x14ac:dyDescent="0.25">
      <c r="A1083" s="8" t="s">
        <v>5</v>
      </c>
      <c r="B1083" s="8" t="s">
        <v>24</v>
      </c>
      <c r="C1083" s="8" t="str">
        <f>IFERROR(_xlfn.XLOOKUP(TRIM(B1083),Lookup!$B$2:$B$1000,Lookup!$C$2:$C$1000),"")</f>
        <v>Equity</v>
      </c>
      <c r="D1083" s="8" t="s">
        <v>25</v>
      </c>
      <c r="E1083" s="9">
        <v>45978</v>
      </c>
      <c r="F1083" s="8">
        <v>11.5779</v>
      </c>
    </row>
    <row r="1084" spans="1:6" ht="90" x14ac:dyDescent="0.25">
      <c r="A1084" s="8" t="s">
        <v>5</v>
      </c>
      <c r="B1084" s="8" t="s">
        <v>24</v>
      </c>
      <c r="C1084" s="8" t="str">
        <f>IFERROR(_xlfn.XLOOKUP(TRIM(B1084),Lookup!$B$2:$B$1000,Lookup!$C$2:$C$1000),"")</f>
        <v>Equity</v>
      </c>
      <c r="D1084" s="8" t="s">
        <v>25</v>
      </c>
      <c r="E1084" s="9">
        <v>45979</v>
      </c>
      <c r="F1084" s="8">
        <v>11.498100000000001</v>
      </c>
    </row>
    <row r="1085" spans="1:6" ht="90" x14ac:dyDescent="0.25">
      <c r="A1085" s="8" t="s">
        <v>5</v>
      </c>
      <c r="B1085" s="8" t="s">
        <v>24</v>
      </c>
      <c r="C1085" s="8" t="str">
        <f>IFERROR(_xlfn.XLOOKUP(TRIM(B1085),Lookup!$B$2:$B$1000,Lookup!$C$2:$C$1000),"")</f>
        <v>Equity</v>
      </c>
      <c r="D1085" s="8" t="s">
        <v>25</v>
      </c>
      <c r="E1085" s="9">
        <v>45980</v>
      </c>
      <c r="F1085" s="8">
        <v>11.554500000000001</v>
      </c>
    </row>
    <row r="1086" spans="1:6" ht="90" x14ac:dyDescent="0.25">
      <c r="A1086" s="8" t="s">
        <v>5</v>
      </c>
      <c r="B1086" s="8" t="s">
        <v>24</v>
      </c>
      <c r="C1086" s="8" t="str">
        <f>IFERROR(_xlfn.XLOOKUP(TRIM(B1086),Lookup!$B$2:$B$1000,Lookup!$C$2:$C$1000),"")</f>
        <v>Equity</v>
      </c>
      <c r="D1086" s="8" t="s">
        <v>25</v>
      </c>
      <c r="E1086" s="9">
        <v>45981</v>
      </c>
      <c r="F1086" s="8">
        <v>11.572100000000001</v>
      </c>
    </row>
    <row r="1087" spans="1:6" ht="90" x14ac:dyDescent="0.25">
      <c r="A1087" s="8" t="s">
        <v>5</v>
      </c>
      <c r="B1087" s="8" t="s">
        <v>24</v>
      </c>
      <c r="C1087" s="8" t="str">
        <f>IFERROR(_xlfn.XLOOKUP(TRIM(B1087),Lookup!$B$2:$B$1000,Lookup!$C$2:$C$1000),"")</f>
        <v>Equity</v>
      </c>
      <c r="D1087" s="8" t="s">
        <v>25</v>
      </c>
      <c r="E1087" s="9">
        <v>45982</v>
      </c>
      <c r="F1087" s="8">
        <v>11.4503</v>
      </c>
    </row>
    <row r="1088" spans="1:6" ht="90" x14ac:dyDescent="0.25">
      <c r="A1088" s="8" t="s">
        <v>5</v>
      </c>
      <c r="B1088" s="8" t="s">
        <v>24</v>
      </c>
      <c r="C1088" s="8" t="str">
        <f>IFERROR(_xlfn.XLOOKUP(TRIM(B1088),Lookup!$B$2:$B$1000,Lookup!$C$2:$C$1000),"")</f>
        <v>Equity</v>
      </c>
      <c r="D1088" s="8" t="s">
        <v>25</v>
      </c>
      <c r="E1088" s="9">
        <v>45987</v>
      </c>
      <c r="F1088" s="8">
        <v>11.5753</v>
      </c>
    </row>
    <row r="1089" spans="1:6" ht="90" x14ac:dyDescent="0.25">
      <c r="A1089" s="8" t="s">
        <v>5</v>
      </c>
      <c r="B1089" s="8" t="s">
        <v>24</v>
      </c>
      <c r="C1089" s="8" t="str">
        <f>IFERROR(_xlfn.XLOOKUP(TRIM(B1089),Lookup!$B$2:$B$1000,Lookup!$C$2:$C$1000),"")</f>
        <v>Equity</v>
      </c>
      <c r="D1089" s="8" t="s">
        <v>25</v>
      </c>
      <c r="E1089" s="9">
        <v>45988</v>
      </c>
      <c r="F1089" s="8">
        <v>11.564500000000001</v>
      </c>
    </row>
    <row r="1090" spans="1:6" ht="90" x14ac:dyDescent="0.25">
      <c r="A1090" s="8" t="s">
        <v>5</v>
      </c>
      <c r="B1090" s="8" t="s">
        <v>24</v>
      </c>
      <c r="C1090" s="8" t="str">
        <f>IFERROR(_xlfn.XLOOKUP(TRIM(B1090),Lookup!$B$2:$B$1000,Lookup!$C$2:$C$1000),"")</f>
        <v>Equity</v>
      </c>
      <c r="D1090" s="8" t="s">
        <v>25</v>
      </c>
      <c r="E1090" s="9">
        <v>45989</v>
      </c>
      <c r="F1090" s="8">
        <v>11.559900000000001</v>
      </c>
    </row>
    <row r="1091" spans="1:6" ht="90" x14ac:dyDescent="0.25">
      <c r="A1091" s="8" t="s">
        <v>5</v>
      </c>
      <c r="B1091" s="8" t="s">
        <v>24</v>
      </c>
      <c r="C1091" s="8" t="str">
        <f>IFERROR(_xlfn.XLOOKUP(TRIM(B1091),Lookup!$B$2:$B$1000,Lookup!$C$2:$C$1000),"")</f>
        <v>Equity</v>
      </c>
      <c r="D1091" s="8" t="s">
        <v>25</v>
      </c>
      <c r="E1091" s="9">
        <v>45993</v>
      </c>
      <c r="F1091" s="8">
        <v>11.4983</v>
      </c>
    </row>
    <row r="1092" spans="1:6" ht="90" x14ac:dyDescent="0.25">
      <c r="A1092" s="8" t="s">
        <v>5</v>
      </c>
      <c r="B1092" s="8" t="s">
        <v>24</v>
      </c>
      <c r="C1092" s="8" t="str">
        <f>IFERROR(_xlfn.XLOOKUP(TRIM(B1092),Lookup!$B$2:$B$1000,Lookup!$C$2:$C$1000),"")</f>
        <v>Equity</v>
      </c>
      <c r="D1092" s="8" t="s">
        <v>25</v>
      </c>
      <c r="E1092" s="9">
        <v>45994</v>
      </c>
      <c r="F1092" s="8">
        <v>11.3407</v>
      </c>
    </row>
    <row r="1093" spans="1:6" ht="90" x14ac:dyDescent="0.25">
      <c r="A1093" s="8" t="s">
        <v>5</v>
      </c>
      <c r="B1093" s="8" t="s">
        <v>24</v>
      </c>
      <c r="C1093" s="8" t="str">
        <f>IFERROR(_xlfn.XLOOKUP(TRIM(B1093),Lookup!$B$2:$B$1000,Lookup!$C$2:$C$1000),"")</f>
        <v>Equity</v>
      </c>
      <c r="D1093" s="8" t="s">
        <v>25</v>
      </c>
      <c r="E1093" s="9">
        <v>45995</v>
      </c>
      <c r="F1093" s="8">
        <v>11.3179</v>
      </c>
    </row>
    <row r="1094" spans="1:6" ht="90" x14ac:dyDescent="0.25">
      <c r="A1094" s="8" t="s">
        <v>5</v>
      </c>
      <c r="B1094" s="8" t="s">
        <v>24</v>
      </c>
      <c r="C1094" s="8" t="str">
        <f>IFERROR(_xlfn.XLOOKUP(TRIM(B1094),Lookup!$B$2:$B$1000,Lookup!$C$2:$C$1000),"")</f>
        <v>Equity</v>
      </c>
      <c r="D1094" s="8" t="s">
        <v>25</v>
      </c>
      <c r="E1094" s="9">
        <v>45996</v>
      </c>
      <c r="F1094" s="8">
        <v>11.402799999999999</v>
      </c>
    </row>
    <row r="1095" spans="1:6" ht="90" x14ac:dyDescent="0.25">
      <c r="A1095" s="8" t="s">
        <v>5</v>
      </c>
      <c r="B1095" s="8" t="s">
        <v>24</v>
      </c>
      <c r="C1095" s="8" t="str">
        <f>IFERROR(_xlfn.XLOOKUP(TRIM(B1095),Lookup!$B$2:$B$1000,Lookup!$C$2:$C$1000),"")</f>
        <v>Equity</v>
      </c>
      <c r="D1095" s="8" t="s">
        <v>25</v>
      </c>
      <c r="E1095" s="9">
        <v>45999</v>
      </c>
      <c r="F1095" s="8">
        <v>11.2377</v>
      </c>
    </row>
    <row r="1096" spans="1:6" ht="90" x14ac:dyDescent="0.25">
      <c r="A1096" s="8" t="s">
        <v>5</v>
      </c>
      <c r="B1096" s="8" t="s">
        <v>24</v>
      </c>
      <c r="C1096" s="8" t="str">
        <f>IFERROR(_xlfn.XLOOKUP(TRIM(B1096),Lookup!$B$2:$B$1000,Lookup!$C$2:$C$1000),"")</f>
        <v>Equity</v>
      </c>
      <c r="D1096" s="8" t="s">
        <v>25</v>
      </c>
      <c r="E1096" s="9">
        <v>46000</v>
      </c>
      <c r="F1096" s="8">
        <v>11.243600000000001</v>
      </c>
    </row>
    <row r="1097" spans="1:6" ht="90" x14ac:dyDescent="0.25">
      <c r="A1097" s="8" t="s">
        <v>5</v>
      </c>
      <c r="B1097" s="8" t="s">
        <v>24</v>
      </c>
      <c r="C1097" s="8" t="str">
        <f>IFERROR(_xlfn.XLOOKUP(TRIM(B1097),Lookup!$B$2:$B$1000,Lookup!$C$2:$C$1000),"")</f>
        <v>Equity</v>
      </c>
      <c r="D1097" s="8" t="s">
        <v>25</v>
      </c>
      <c r="E1097" s="9">
        <v>46001</v>
      </c>
      <c r="F1097" s="8">
        <v>11.1076</v>
      </c>
    </row>
    <row r="1098" spans="1:6" ht="90" x14ac:dyDescent="0.25">
      <c r="A1098" s="8" t="s">
        <v>5</v>
      </c>
      <c r="B1098" s="8" t="s">
        <v>24</v>
      </c>
      <c r="C1098" s="8" t="str">
        <f>IFERROR(_xlfn.XLOOKUP(TRIM(B1098),Lookup!$B$2:$B$1000,Lookup!$C$2:$C$1000),"")</f>
        <v>Equity</v>
      </c>
      <c r="D1098" s="8" t="s">
        <v>25</v>
      </c>
      <c r="E1098" s="9">
        <v>46002</v>
      </c>
      <c r="F1098" s="8">
        <v>11.2103</v>
      </c>
    </row>
    <row r="1099" spans="1:6" ht="90" x14ac:dyDescent="0.25">
      <c r="A1099" s="8" t="s">
        <v>5</v>
      </c>
      <c r="B1099" s="8" t="s">
        <v>24</v>
      </c>
      <c r="C1099" s="8" t="str">
        <f>IFERROR(_xlfn.XLOOKUP(TRIM(B1099),Lookup!$B$2:$B$1000,Lookup!$C$2:$C$1000),"")</f>
        <v>Equity</v>
      </c>
      <c r="D1099" s="8" t="s">
        <v>25</v>
      </c>
      <c r="E1099" s="9">
        <v>46003</v>
      </c>
      <c r="F1099" s="8">
        <v>11.316800000000001</v>
      </c>
    </row>
    <row r="1100" spans="1:6" ht="90" x14ac:dyDescent="0.25">
      <c r="A1100" s="8" t="s">
        <v>5</v>
      </c>
      <c r="B1100" s="8" t="s">
        <v>24</v>
      </c>
      <c r="C1100" s="8" t="str">
        <f>IFERROR(_xlfn.XLOOKUP(TRIM(B1100),Lookup!$B$2:$B$1000,Lookup!$C$2:$C$1000),"")</f>
        <v>Equity</v>
      </c>
      <c r="D1100" s="8" t="s">
        <v>25</v>
      </c>
      <c r="E1100" s="9">
        <v>46006</v>
      </c>
      <c r="F1100" s="8">
        <v>11.295999999999999</v>
      </c>
    </row>
    <row r="1101" spans="1:6" ht="90" x14ac:dyDescent="0.25">
      <c r="A1101" s="8" t="s">
        <v>5</v>
      </c>
      <c r="B1101" s="8" t="s">
        <v>24</v>
      </c>
      <c r="C1101" s="8" t="str">
        <f>IFERROR(_xlfn.XLOOKUP(TRIM(B1101),Lookup!$B$2:$B$1000,Lookup!$C$2:$C$1000),"")</f>
        <v>Equity</v>
      </c>
      <c r="D1101" s="8" t="s">
        <v>25</v>
      </c>
      <c r="E1101" s="9">
        <v>46007</v>
      </c>
      <c r="F1101" s="8">
        <v>11.189299999999999</v>
      </c>
    </row>
    <row r="1102" spans="1:6" ht="90" x14ac:dyDescent="0.25">
      <c r="A1102" s="8" t="s">
        <v>5</v>
      </c>
      <c r="B1102" s="8" t="s">
        <v>24</v>
      </c>
      <c r="C1102" s="8" t="str">
        <f>IFERROR(_xlfn.XLOOKUP(TRIM(B1102),Lookup!$B$2:$B$1000,Lookup!$C$2:$C$1000),"")</f>
        <v>Equity</v>
      </c>
      <c r="D1102" s="8" t="s">
        <v>25</v>
      </c>
      <c r="E1102" s="9">
        <v>46008</v>
      </c>
      <c r="F1102" s="8">
        <v>11.114699999999999</v>
      </c>
    </row>
    <row r="1103" spans="1:6" ht="90" x14ac:dyDescent="0.25">
      <c r="A1103" s="8" t="s">
        <v>5</v>
      </c>
      <c r="B1103" s="8" t="s">
        <v>24</v>
      </c>
      <c r="C1103" s="8" t="str">
        <f>IFERROR(_xlfn.XLOOKUP(TRIM(B1103),Lookup!$B$2:$B$1000,Lookup!$C$2:$C$1000),"")</f>
        <v>Equity</v>
      </c>
      <c r="D1103" s="8" t="s">
        <v>25</v>
      </c>
      <c r="E1103" s="9">
        <v>46009</v>
      </c>
      <c r="F1103" s="8">
        <v>11.167999999999999</v>
      </c>
    </row>
    <row r="1104" spans="1:6" ht="90" x14ac:dyDescent="0.25">
      <c r="A1104" s="8" t="s">
        <v>5</v>
      </c>
      <c r="B1104" s="8" t="s">
        <v>24</v>
      </c>
      <c r="C1104" s="8" t="str">
        <f>IFERROR(_xlfn.XLOOKUP(TRIM(B1104),Lookup!$B$2:$B$1000,Lookup!$C$2:$C$1000),"")</f>
        <v>Equity</v>
      </c>
      <c r="D1104" s="8" t="s">
        <v>25</v>
      </c>
      <c r="E1104" s="9">
        <v>46010</v>
      </c>
      <c r="F1104" s="8">
        <v>11.2928</v>
      </c>
    </row>
    <row r="1105" spans="1:6" ht="90" x14ac:dyDescent="0.25">
      <c r="A1105" s="8" t="s">
        <v>5</v>
      </c>
      <c r="B1105" s="8" t="s">
        <v>24</v>
      </c>
      <c r="C1105" s="8" t="str">
        <f>IFERROR(_xlfn.XLOOKUP(TRIM(B1105),Lookup!$B$2:$B$1000,Lookup!$C$2:$C$1000),"")</f>
        <v>Equity</v>
      </c>
      <c r="D1105" s="8" t="s">
        <v>25</v>
      </c>
      <c r="E1105" s="9">
        <v>46013</v>
      </c>
      <c r="F1105" s="8">
        <v>11.415100000000001</v>
      </c>
    </row>
    <row r="1106" spans="1:6" ht="90" x14ac:dyDescent="0.25">
      <c r="A1106" s="8" t="s">
        <v>5</v>
      </c>
      <c r="B1106" s="8" t="s">
        <v>24</v>
      </c>
      <c r="C1106" s="8" t="str">
        <f>IFERROR(_xlfn.XLOOKUP(TRIM(B1106),Lookup!$B$2:$B$1000,Lookup!$C$2:$C$1000),"")</f>
        <v>Equity</v>
      </c>
      <c r="D1106" s="8" t="s">
        <v>25</v>
      </c>
      <c r="E1106" s="9">
        <v>46014</v>
      </c>
      <c r="F1106" s="8">
        <v>11.413399999999999</v>
      </c>
    </row>
    <row r="1107" spans="1:6" ht="90" x14ac:dyDescent="0.25">
      <c r="A1107" s="8" t="s">
        <v>5</v>
      </c>
      <c r="B1107" s="8" t="s">
        <v>24</v>
      </c>
      <c r="C1107" s="8" t="str">
        <f>IFERROR(_xlfn.XLOOKUP(TRIM(B1107),Lookup!$B$2:$B$1000,Lookup!$C$2:$C$1000),"")</f>
        <v>Equity</v>
      </c>
      <c r="D1107" s="8" t="s">
        <v>25</v>
      </c>
      <c r="E1107" s="9">
        <v>46015</v>
      </c>
      <c r="F1107" s="8">
        <v>11.3575</v>
      </c>
    </row>
    <row r="1108" spans="1:6" ht="90" x14ac:dyDescent="0.25">
      <c r="A1108" s="8" t="s">
        <v>5</v>
      </c>
      <c r="B1108" s="8" t="s">
        <v>24</v>
      </c>
      <c r="C1108" s="8" t="str">
        <f>IFERROR(_xlfn.XLOOKUP(TRIM(B1108),Lookup!$B$2:$B$1000,Lookup!$C$2:$C$1000),"")</f>
        <v>Equity</v>
      </c>
      <c r="D1108" s="8" t="s">
        <v>25</v>
      </c>
      <c r="E1108" s="9">
        <v>46017</v>
      </c>
      <c r="F1108" s="8">
        <v>11.314500000000001</v>
      </c>
    </row>
    <row r="1109" spans="1:6" ht="90" x14ac:dyDescent="0.25">
      <c r="A1109" s="8" t="s">
        <v>5</v>
      </c>
      <c r="B1109" s="8" t="s">
        <v>24</v>
      </c>
      <c r="C1109" s="8" t="str">
        <f>IFERROR(_xlfn.XLOOKUP(TRIM(B1109),Lookup!$B$2:$B$1000,Lookup!$C$2:$C$1000),"")</f>
        <v>Equity</v>
      </c>
      <c r="D1109" s="8" t="s">
        <v>25</v>
      </c>
      <c r="E1109" s="9">
        <v>46020</v>
      </c>
      <c r="F1109" s="8">
        <v>11.2723</v>
      </c>
    </row>
    <row r="1110" spans="1:6" ht="90" x14ac:dyDescent="0.25">
      <c r="A1110" s="8" t="s">
        <v>5</v>
      </c>
      <c r="B1110" s="8" t="s">
        <v>24</v>
      </c>
      <c r="C1110" s="8" t="str">
        <f>IFERROR(_xlfn.XLOOKUP(TRIM(B1110),Lookup!$B$2:$B$1000,Lookup!$C$2:$C$1000),"")</f>
        <v>Equity</v>
      </c>
      <c r="D1110" s="8" t="s">
        <v>25</v>
      </c>
      <c r="E1110" s="9">
        <v>46022</v>
      </c>
      <c r="F1110" s="8">
        <v>11.220700000000001</v>
      </c>
    </row>
    <row r="1111" spans="1:6" ht="90" x14ac:dyDescent="0.25">
      <c r="A1111" s="8" t="s">
        <v>5</v>
      </c>
      <c r="B1111" s="8" t="s">
        <v>24</v>
      </c>
      <c r="C1111" s="8" t="str">
        <f>IFERROR(_xlfn.XLOOKUP(TRIM(B1111),Lookup!$B$2:$B$1000,Lookup!$C$2:$C$1000),"")</f>
        <v>Equity</v>
      </c>
      <c r="D1111" s="8" t="s">
        <v>25</v>
      </c>
      <c r="E1111" s="9">
        <v>46023</v>
      </c>
      <c r="F1111" s="8">
        <v>11.2967</v>
      </c>
    </row>
    <row r="1112" spans="1:6" ht="90" x14ac:dyDescent="0.25">
      <c r="A1112" s="8" t="s">
        <v>5</v>
      </c>
      <c r="B1112" s="8" t="s">
        <v>24</v>
      </c>
      <c r="C1112" s="8" t="str">
        <f>IFERROR(_xlfn.XLOOKUP(TRIM(B1112),Lookup!$B$2:$B$1000,Lookup!$C$2:$C$1000),"")</f>
        <v>Equity</v>
      </c>
      <c r="D1112" s="8" t="s">
        <v>25</v>
      </c>
      <c r="E1112" s="9">
        <v>46024</v>
      </c>
      <c r="F1112" s="8">
        <v>11.382</v>
      </c>
    </row>
    <row r="1113" spans="1:6" ht="90" x14ac:dyDescent="0.25">
      <c r="A1113" s="8" t="s">
        <v>5</v>
      </c>
      <c r="B1113" s="8" t="s">
        <v>24</v>
      </c>
      <c r="C1113" s="8" t="str">
        <f>IFERROR(_xlfn.XLOOKUP(TRIM(B1113),Lookup!$B$2:$B$1000,Lookup!$C$2:$C$1000),"")</f>
        <v>Equity</v>
      </c>
      <c r="D1113" s="8" t="s">
        <v>25</v>
      </c>
      <c r="E1113" s="9">
        <v>46027</v>
      </c>
      <c r="F1113" s="8">
        <v>11.3734</v>
      </c>
    </row>
    <row r="1114" spans="1:6" ht="90" x14ac:dyDescent="0.25">
      <c r="A1114" s="8" t="s">
        <v>5</v>
      </c>
      <c r="B1114" s="8" t="s">
        <v>24</v>
      </c>
      <c r="C1114" s="8" t="str">
        <f>IFERROR(_xlfn.XLOOKUP(TRIM(B1114),Lookup!$B$2:$B$1000,Lookup!$C$2:$C$1000),"")</f>
        <v>Equity</v>
      </c>
      <c r="D1114" s="8" t="s">
        <v>25</v>
      </c>
      <c r="E1114" s="9">
        <v>46028</v>
      </c>
      <c r="F1114" s="8">
        <v>11.3538</v>
      </c>
    </row>
    <row r="1115" spans="1:6" ht="90" x14ac:dyDescent="0.25">
      <c r="A1115" s="8" t="s">
        <v>5</v>
      </c>
      <c r="B1115" s="8" t="s">
        <v>24</v>
      </c>
      <c r="C1115" s="8" t="str">
        <f>IFERROR(_xlfn.XLOOKUP(TRIM(B1115),Lookup!$B$2:$B$1000,Lookup!$C$2:$C$1000),"")</f>
        <v>Equity</v>
      </c>
      <c r="D1115" s="8" t="s">
        <v>25</v>
      </c>
      <c r="E1115" s="9">
        <v>46029</v>
      </c>
      <c r="F1115" s="8">
        <v>11.3895</v>
      </c>
    </row>
    <row r="1116" spans="1:6" ht="90" x14ac:dyDescent="0.25">
      <c r="A1116" s="8" t="s">
        <v>5</v>
      </c>
      <c r="B1116" s="8" t="s">
        <v>24</v>
      </c>
      <c r="C1116" s="8" t="str">
        <f>IFERROR(_xlfn.XLOOKUP(TRIM(B1116),Lookup!$B$2:$B$1000,Lookup!$C$2:$C$1000),"")</f>
        <v>Equity</v>
      </c>
      <c r="D1116" s="8" t="s">
        <v>25</v>
      </c>
      <c r="E1116" s="9">
        <v>46030</v>
      </c>
      <c r="F1116" s="8">
        <v>11.170500000000001</v>
      </c>
    </row>
    <row r="1117" spans="1:6" ht="90" x14ac:dyDescent="0.25">
      <c r="A1117" s="8" t="s">
        <v>5</v>
      </c>
      <c r="B1117" s="8" t="s">
        <v>24</v>
      </c>
      <c r="C1117" s="8" t="str">
        <f>IFERROR(_xlfn.XLOOKUP(TRIM(B1117),Lookup!$B$2:$B$1000,Lookup!$C$2:$C$1000),"")</f>
        <v>Equity</v>
      </c>
      <c r="D1117" s="8" t="s">
        <v>25</v>
      </c>
      <c r="E1117" s="9">
        <v>46031</v>
      </c>
      <c r="F1117" s="8">
        <v>11.0701</v>
      </c>
    </row>
    <row r="1118" spans="1:6" ht="90" x14ac:dyDescent="0.25">
      <c r="A1118" s="8" t="s">
        <v>5</v>
      </c>
      <c r="B1118" s="8" t="s">
        <v>24</v>
      </c>
      <c r="C1118" s="8" t="str">
        <f>IFERROR(_xlfn.XLOOKUP(TRIM(B1118),Lookup!$B$2:$B$1000,Lookup!$C$2:$C$1000),"")</f>
        <v>Equity</v>
      </c>
      <c r="D1118" s="8" t="s">
        <v>25</v>
      </c>
      <c r="E1118" s="9">
        <v>46034</v>
      </c>
      <c r="F1118" s="8">
        <v>11.0168</v>
      </c>
    </row>
    <row r="1119" spans="1:6" ht="90" x14ac:dyDescent="0.25">
      <c r="A1119" s="8" t="s">
        <v>5</v>
      </c>
      <c r="B1119" s="8" t="s">
        <v>24</v>
      </c>
      <c r="C1119" s="8" t="str">
        <f>IFERROR(_xlfn.XLOOKUP(TRIM(B1119),Lookup!$B$2:$B$1000,Lookup!$C$2:$C$1000),"")</f>
        <v>Equity</v>
      </c>
      <c r="D1119" s="8" t="s">
        <v>25</v>
      </c>
      <c r="E1119" s="9">
        <v>46035</v>
      </c>
      <c r="F1119" s="8">
        <v>11.003299999999999</v>
      </c>
    </row>
    <row r="1120" spans="1:6" ht="90" x14ac:dyDescent="0.25">
      <c r="A1120" s="8" t="s">
        <v>5</v>
      </c>
      <c r="B1120" s="8" t="s">
        <v>24</v>
      </c>
      <c r="C1120" s="8" t="str">
        <f>IFERROR(_xlfn.XLOOKUP(TRIM(B1120),Lookup!$B$2:$B$1000,Lookup!$C$2:$C$1000),"")</f>
        <v>Equity</v>
      </c>
      <c r="D1120" s="8" t="s">
        <v>25</v>
      </c>
      <c r="E1120" s="9">
        <v>46036</v>
      </c>
      <c r="F1120" s="8">
        <v>11.0481</v>
      </c>
    </row>
    <row r="1121" spans="1:6" ht="90" x14ac:dyDescent="0.25">
      <c r="A1121" s="8" t="s">
        <v>5</v>
      </c>
      <c r="B1121" s="8" t="s">
        <v>24</v>
      </c>
      <c r="C1121" s="8" t="str">
        <f>IFERROR(_xlfn.XLOOKUP(TRIM(B1121),Lookup!$B$2:$B$1000,Lookup!$C$2:$C$1000),"")</f>
        <v>Equity</v>
      </c>
      <c r="D1121" s="8" t="s">
        <v>25</v>
      </c>
      <c r="E1121" s="9">
        <v>46038</v>
      </c>
      <c r="F1121" s="8">
        <v>11.080399999999999</v>
      </c>
    </row>
    <row r="1122" spans="1:6" ht="90" x14ac:dyDescent="0.25">
      <c r="A1122" s="8" t="s">
        <v>5</v>
      </c>
      <c r="B1122" s="8" t="s">
        <v>24</v>
      </c>
      <c r="C1122" s="8" t="str">
        <f>IFERROR(_xlfn.XLOOKUP(TRIM(B1122),Lookup!$B$2:$B$1000,Lookup!$C$2:$C$1000),"")</f>
        <v>Equity</v>
      </c>
      <c r="D1122" s="8" t="s">
        <v>25</v>
      </c>
      <c r="E1122" s="9">
        <v>46041</v>
      </c>
      <c r="F1122" s="8">
        <v>11.085000000000001</v>
      </c>
    </row>
    <row r="1123" spans="1:6" ht="90" x14ac:dyDescent="0.25">
      <c r="A1123" s="8" t="s">
        <v>5</v>
      </c>
      <c r="B1123" s="8" t="s">
        <v>24</v>
      </c>
      <c r="C1123" s="8" t="str">
        <f>IFERROR(_xlfn.XLOOKUP(TRIM(B1123),Lookup!$B$2:$B$1000,Lookup!$C$2:$C$1000),"")</f>
        <v>Equity</v>
      </c>
      <c r="D1123" s="8" t="s">
        <v>25</v>
      </c>
      <c r="E1123" s="9">
        <v>46042</v>
      </c>
      <c r="F1123" s="8">
        <v>10.8116</v>
      </c>
    </row>
    <row r="1124" spans="1:6" ht="90" x14ac:dyDescent="0.25">
      <c r="A1124" s="8" t="s">
        <v>5</v>
      </c>
      <c r="B1124" s="8" t="s">
        <v>24</v>
      </c>
      <c r="C1124" s="8" t="str">
        <f>IFERROR(_xlfn.XLOOKUP(TRIM(B1124),Lookup!$B$2:$B$1000,Lookup!$C$2:$C$1000),"")</f>
        <v>Equity</v>
      </c>
      <c r="D1124" s="8" t="s">
        <v>25</v>
      </c>
      <c r="E1124" s="9">
        <v>46043</v>
      </c>
      <c r="F1124" s="8">
        <v>10.676600000000001</v>
      </c>
    </row>
    <row r="1125" spans="1:6" ht="90" x14ac:dyDescent="0.25">
      <c r="A1125" s="8" t="s">
        <v>5</v>
      </c>
      <c r="B1125" s="8" t="s">
        <v>24</v>
      </c>
      <c r="C1125" s="8" t="str">
        <f>IFERROR(_xlfn.XLOOKUP(TRIM(B1125),Lookup!$B$2:$B$1000,Lookup!$C$2:$C$1000),"")</f>
        <v>Equity</v>
      </c>
      <c r="D1125" s="8" t="s">
        <v>25</v>
      </c>
      <c r="E1125" s="9">
        <v>46044</v>
      </c>
      <c r="F1125" s="8">
        <v>10.8226</v>
      </c>
    </row>
    <row r="1126" spans="1:6" ht="90" x14ac:dyDescent="0.25">
      <c r="A1126" s="8" t="s">
        <v>5</v>
      </c>
      <c r="B1126" s="8" t="s">
        <v>24</v>
      </c>
      <c r="C1126" s="8" t="str">
        <f>IFERROR(_xlfn.XLOOKUP(TRIM(B1126),Lookup!$B$2:$B$1000,Lookup!$C$2:$C$1000),"")</f>
        <v>Equity</v>
      </c>
      <c r="D1126" s="8" t="s">
        <v>25</v>
      </c>
      <c r="E1126" s="9">
        <v>46045</v>
      </c>
      <c r="F1126" s="8">
        <v>10.624700000000001</v>
      </c>
    </row>
    <row r="1127" spans="1:6" ht="90" x14ac:dyDescent="0.25">
      <c r="A1127" s="8" t="s">
        <v>5</v>
      </c>
      <c r="B1127" s="8" t="s">
        <v>24</v>
      </c>
      <c r="C1127" s="8" t="str">
        <f>IFERROR(_xlfn.XLOOKUP(TRIM(B1127),Lookup!$B$2:$B$1000,Lookup!$C$2:$C$1000),"")</f>
        <v>Equity</v>
      </c>
      <c r="D1127" s="8" t="s">
        <v>25</v>
      </c>
      <c r="E1127" s="9">
        <v>46049</v>
      </c>
      <c r="F1127" s="8">
        <v>10.7049</v>
      </c>
    </row>
    <row r="1128" spans="1:6" ht="90" x14ac:dyDescent="0.25">
      <c r="A1128" s="8" t="s">
        <v>5</v>
      </c>
      <c r="B1128" s="8" t="s">
        <v>24</v>
      </c>
      <c r="C1128" s="8" t="str">
        <f>IFERROR(_xlfn.XLOOKUP(TRIM(B1128),Lookup!$B$2:$B$1000,Lookup!$C$2:$C$1000),"")</f>
        <v>Equity</v>
      </c>
      <c r="D1128" s="8" t="s">
        <v>25</v>
      </c>
      <c r="E1128" s="9">
        <v>46050</v>
      </c>
      <c r="F1128" s="8">
        <v>10.8691</v>
      </c>
    </row>
    <row r="1129" spans="1:6" ht="90" x14ac:dyDescent="0.25">
      <c r="A1129" s="8" t="s">
        <v>5</v>
      </c>
      <c r="B1129" s="8" t="s">
        <v>24</v>
      </c>
      <c r="C1129" s="8" t="str">
        <f>IFERROR(_xlfn.XLOOKUP(TRIM(B1129),Lookup!$B$2:$B$1000,Lookup!$C$2:$C$1000),"")</f>
        <v>Equity</v>
      </c>
      <c r="D1129" s="8" t="s">
        <v>25</v>
      </c>
      <c r="E1129" s="9">
        <v>46051</v>
      </c>
      <c r="F1129" s="8">
        <v>10.940200000000001</v>
      </c>
    </row>
    <row r="1130" spans="1:6" ht="90" x14ac:dyDescent="0.25">
      <c r="A1130" s="8" t="s">
        <v>5</v>
      </c>
      <c r="B1130" s="8" t="s">
        <v>24</v>
      </c>
      <c r="C1130" s="8" t="str">
        <f>IFERROR(_xlfn.XLOOKUP(TRIM(B1130),Lookup!$B$2:$B$1000,Lookup!$C$2:$C$1000),"")</f>
        <v>Equity</v>
      </c>
      <c r="D1130" s="8" t="s">
        <v>25</v>
      </c>
      <c r="E1130" s="9">
        <v>46052</v>
      </c>
      <c r="F1130" s="8">
        <v>10.911300000000001</v>
      </c>
    </row>
    <row r="1131" spans="1:6" ht="90" x14ac:dyDescent="0.25">
      <c r="A1131" s="8" t="s">
        <v>5</v>
      </c>
      <c r="B1131" s="8" t="s">
        <v>24</v>
      </c>
      <c r="C1131" s="8" t="str">
        <f>IFERROR(_xlfn.XLOOKUP(TRIM(B1131),Lookup!$B$2:$B$1000,Lookup!$C$2:$C$1000),"")</f>
        <v>Equity</v>
      </c>
      <c r="D1131" s="8" t="s">
        <v>25</v>
      </c>
      <c r="E1131" s="9">
        <v>46054</v>
      </c>
      <c r="F1131" s="8">
        <v>10.648999999999999</v>
      </c>
    </row>
    <row r="1132" spans="1:6" ht="90" x14ac:dyDescent="0.25">
      <c r="A1132" s="8" t="s">
        <v>5</v>
      </c>
      <c r="B1132" s="8" t="s">
        <v>24</v>
      </c>
      <c r="C1132" s="8" t="str">
        <f>IFERROR(_xlfn.XLOOKUP(TRIM(B1132),Lookup!$B$2:$B$1000,Lookup!$C$2:$C$1000),"")</f>
        <v>Equity</v>
      </c>
      <c r="D1132" s="8" t="s">
        <v>25</v>
      </c>
      <c r="E1132" s="9">
        <v>46055</v>
      </c>
      <c r="F1132" s="8">
        <v>10.802300000000001</v>
      </c>
    </row>
    <row r="1133" spans="1:6" ht="90" x14ac:dyDescent="0.25">
      <c r="A1133" s="8" t="s">
        <v>5</v>
      </c>
      <c r="B1133" s="8" t="s">
        <v>24</v>
      </c>
      <c r="C1133" s="8" t="str">
        <f>IFERROR(_xlfn.XLOOKUP(TRIM(B1133),Lookup!$B$2:$B$1000,Lookup!$C$2:$C$1000),"")</f>
        <v>Equity</v>
      </c>
      <c r="D1133" s="8" t="s">
        <v>25</v>
      </c>
      <c r="E1133" s="9">
        <v>46056</v>
      </c>
      <c r="F1133" s="8">
        <v>11.1051</v>
      </c>
    </row>
    <row r="1134" spans="1:6" ht="90" x14ac:dyDescent="0.25">
      <c r="A1134" s="8" t="s">
        <v>5</v>
      </c>
      <c r="B1134" s="8" t="s">
        <v>24</v>
      </c>
      <c r="C1134" s="8" t="str">
        <f>IFERROR(_xlfn.XLOOKUP(TRIM(B1134),Lookup!$B$2:$B$1000,Lookup!$C$2:$C$1000),"")</f>
        <v>Equity</v>
      </c>
      <c r="D1134" s="8" t="s">
        <v>25</v>
      </c>
      <c r="E1134" s="9">
        <v>46057</v>
      </c>
      <c r="F1134" s="8">
        <v>11.1709</v>
      </c>
    </row>
    <row r="1135" spans="1:6" ht="90" x14ac:dyDescent="0.25">
      <c r="A1135" s="8" t="s">
        <v>5</v>
      </c>
      <c r="B1135" s="8" t="s">
        <v>24</v>
      </c>
      <c r="C1135" s="8" t="str">
        <f>IFERROR(_xlfn.XLOOKUP(TRIM(B1135),Lookup!$B$2:$B$1000,Lookup!$C$2:$C$1000),"")</f>
        <v>Equity</v>
      </c>
      <c r="D1135" s="8" t="s">
        <v>25</v>
      </c>
      <c r="E1135" s="9">
        <v>46058</v>
      </c>
      <c r="F1135" s="8">
        <v>11.1639</v>
      </c>
    </row>
    <row r="1136" spans="1:6" ht="90" x14ac:dyDescent="0.25">
      <c r="A1136" s="8" t="s">
        <v>5</v>
      </c>
      <c r="B1136" s="8" t="s">
        <v>24</v>
      </c>
      <c r="C1136" s="8" t="str">
        <f>IFERROR(_xlfn.XLOOKUP(TRIM(B1136),Lookup!$B$2:$B$1000,Lookup!$C$2:$C$1000),"")</f>
        <v>Equity</v>
      </c>
      <c r="D1136" s="8" t="s">
        <v>25</v>
      </c>
      <c r="E1136" s="9">
        <v>46059</v>
      </c>
      <c r="F1136" s="8">
        <v>11.2052</v>
      </c>
    </row>
    <row r="1137" spans="1:6" ht="90" x14ac:dyDescent="0.25">
      <c r="A1137" s="8" t="s">
        <v>5</v>
      </c>
      <c r="B1137" s="8" t="s">
        <v>24</v>
      </c>
      <c r="C1137" s="8" t="str">
        <f>IFERROR(_xlfn.XLOOKUP(TRIM(B1137),Lookup!$B$2:$B$1000,Lookup!$C$2:$C$1000),"")</f>
        <v>Equity</v>
      </c>
      <c r="D1137" s="8" t="s">
        <v>25</v>
      </c>
      <c r="E1137" s="9">
        <v>46062</v>
      </c>
      <c r="F1137" s="8">
        <v>11.3855</v>
      </c>
    </row>
    <row r="1138" spans="1:6" ht="90" x14ac:dyDescent="0.25">
      <c r="A1138" s="8" t="s">
        <v>5</v>
      </c>
      <c r="B1138" s="8" t="s">
        <v>24</v>
      </c>
      <c r="C1138" s="8" t="str">
        <f>IFERROR(_xlfn.XLOOKUP(TRIM(B1138),Lookup!$B$2:$B$1000,Lookup!$C$2:$C$1000),"")</f>
        <v>Equity</v>
      </c>
      <c r="D1138" s="8" t="s">
        <v>25</v>
      </c>
      <c r="E1138" s="9">
        <v>46063</v>
      </c>
      <c r="F1138" s="8">
        <v>11.413399999999999</v>
      </c>
    </row>
    <row r="1139" spans="1:6" ht="90" x14ac:dyDescent="0.25">
      <c r="A1139" s="8" t="s">
        <v>5</v>
      </c>
      <c r="B1139" s="8" t="s">
        <v>24</v>
      </c>
      <c r="C1139" s="8" t="str">
        <f>IFERROR(_xlfn.XLOOKUP(TRIM(B1139),Lookup!$B$2:$B$1000,Lookup!$C$2:$C$1000),"")</f>
        <v>Equity</v>
      </c>
      <c r="D1139" s="8" t="s">
        <v>25</v>
      </c>
      <c r="E1139" s="9">
        <v>46064</v>
      </c>
      <c r="F1139" s="8">
        <v>11.430099999999999</v>
      </c>
    </row>
    <row r="1140" spans="1:6" ht="90" x14ac:dyDescent="0.25">
      <c r="A1140" s="8" t="s">
        <v>5</v>
      </c>
      <c r="B1140" s="8" t="s">
        <v>24</v>
      </c>
      <c r="C1140" s="8" t="str">
        <f>IFERROR(_xlfn.XLOOKUP(TRIM(B1140),Lookup!$B$2:$B$1000,Lookup!$C$2:$C$1000),"")</f>
        <v>Equity</v>
      </c>
      <c r="D1140" s="8" t="s">
        <v>25</v>
      </c>
      <c r="E1140" s="9">
        <v>46065</v>
      </c>
      <c r="F1140" s="8">
        <v>11.4236</v>
      </c>
    </row>
    <row r="1141" spans="1:6" ht="90" x14ac:dyDescent="0.25">
      <c r="A1141" s="8" t="s">
        <v>5</v>
      </c>
      <c r="B1141" s="8" t="s">
        <v>24</v>
      </c>
      <c r="C1141" s="8" t="str">
        <f>IFERROR(_xlfn.XLOOKUP(TRIM(B1141),Lookup!$B$2:$B$1000,Lookup!$C$2:$C$1000),"")</f>
        <v>Equity</v>
      </c>
      <c r="D1141" s="8" t="s">
        <v>25</v>
      </c>
      <c r="E1141" s="9">
        <v>46066</v>
      </c>
      <c r="F1141" s="8">
        <v>11.177099999999999</v>
      </c>
    </row>
    <row r="1142" spans="1:6" ht="90" x14ac:dyDescent="0.25">
      <c r="A1142" s="8" t="s">
        <v>5</v>
      </c>
      <c r="B1142" s="8" t="s">
        <v>24</v>
      </c>
      <c r="C1142" s="8" t="str">
        <f>IFERROR(_xlfn.XLOOKUP(TRIM(B1142),Lookup!$B$2:$B$1000,Lookup!$C$2:$C$1000),"")</f>
        <v>Equity</v>
      </c>
      <c r="D1142" s="8" t="s">
        <v>25</v>
      </c>
      <c r="E1142" s="9">
        <v>46069</v>
      </c>
      <c r="F1142" s="8">
        <v>11.246600000000001</v>
      </c>
    </row>
    <row r="1143" spans="1:6" ht="90" x14ac:dyDescent="0.25">
      <c r="A1143" s="8" t="s">
        <v>5</v>
      </c>
      <c r="B1143" s="8" t="s">
        <v>24</v>
      </c>
      <c r="C1143" s="8" t="str">
        <f>IFERROR(_xlfn.XLOOKUP(TRIM(B1143),Lookup!$B$2:$B$1000,Lookup!$C$2:$C$1000),"")</f>
        <v>Equity</v>
      </c>
      <c r="D1143" s="8" t="s">
        <v>25</v>
      </c>
      <c r="E1143" s="9">
        <v>46070</v>
      </c>
      <c r="F1143" s="8">
        <v>11.2941</v>
      </c>
    </row>
    <row r="1144" spans="1:6" ht="90" x14ac:dyDescent="0.25">
      <c r="A1144" s="8" t="s">
        <v>5</v>
      </c>
      <c r="B1144" s="8" t="s">
        <v>24</v>
      </c>
      <c r="C1144" s="8" t="str">
        <f>IFERROR(_xlfn.XLOOKUP(TRIM(B1144),Lookup!$B$2:$B$1000,Lookup!$C$2:$C$1000),"")</f>
        <v>Equity</v>
      </c>
      <c r="D1144" s="8" t="s">
        <v>25</v>
      </c>
      <c r="E1144" s="9">
        <v>46071</v>
      </c>
      <c r="F1144" s="8">
        <v>11.3847</v>
      </c>
    </row>
    <row r="1145" spans="1:6" ht="90" x14ac:dyDescent="0.25">
      <c r="A1145" s="8" t="s">
        <v>5</v>
      </c>
      <c r="B1145" s="8" t="s">
        <v>24</v>
      </c>
      <c r="C1145" s="8" t="str">
        <f>IFERROR(_xlfn.XLOOKUP(TRIM(B1145),Lookup!$B$2:$B$1000,Lookup!$C$2:$C$1000),"")</f>
        <v>Equity</v>
      </c>
      <c r="D1145" s="8" t="s">
        <v>25</v>
      </c>
      <c r="E1145" s="9">
        <v>46072</v>
      </c>
      <c r="F1145" s="8">
        <v>11.1782</v>
      </c>
    </row>
    <row r="1146" spans="1:6" ht="90" x14ac:dyDescent="0.25">
      <c r="A1146" s="8" t="s">
        <v>5</v>
      </c>
      <c r="B1146" s="8" t="s">
        <v>24</v>
      </c>
      <c r="C1146" s="8" t="str">
        <f>IFERROR(_xlfn.XLOOKUP(TRIM(B1146),Lookup!$B$2:$B$1000,Lookup!$C$2:$C$1000),"")</f>
        <v>Equity</v>
      </c>
      <c r="D1146" s="8" t="s">
        <v>25</v>
      </c>
      <c r="E1146" s="9">
        <v>46073</v>
      </c>
      <c r="F1146" s="8">
        <v>11.2439</v>
      </c>
    </row>
    <row r="1147" spans="1:6" ht="90" x14ac:dyDescent="0.25">
      <c r="A1147" s="8" t="s">
        <v>5</v>
      </c>
      <c r="B1147" s="8" t="s">
        <v>24</v>
      </c>
      <c r="C1147" s="8" t="str">
        <f>IFERROR(_xlfn.XLOOKUP(TRIM(B1147),Lookup!$B$2:$B$1000,Lookup!$C$2:$C$1000),"")</f>
        <v>Equity</v>
      </c>
      <c r="D1147" s="8" t="s">
        <v>25</v>
      </c>
      <c r="E1147" s="9">
        <v>46076</v>
      </c>
      <c r="F1147" s="8">
        <v>11.2103</v>
      </c>
    </row>
    <row r="1148" spans="1:6" ht="90" x14ac:dyDescent="0.25">
      <c r="A1148" s="8" t="s">
        <v>5</v>
      </c>
      <c r="B1148" s="8" t="s">
        <v>24</v>
      </c>
      <c r="C1148" s="8" t="str">
        <f>IFERROR(_xlfn.XLOOKUP(TRIM(B1148),Lookup!$B$2:$B$1000,Lookup!$C$2:$C$1000),"")</f>
        <v>Equity</v>
      </c>
      <c r="D1148" s="8" t="s">
        <v>25</v>
      </c>
      <c r="E1148" s="9">
        <v>46077</v>
      </c>
      <c r="F1148" s="8">
        <v>11.1738</v>
      </c>
    </row>
    <row r="1149" spans="1:6" ht="90" x14ac:dyDescent="0.25">
      <c r="A1149" s="8" t="s">
        <v>5</v>
      </c>
      <c r="B1149" s="8" t="s">
        <v>24</v>
      </c>
      <c r="C1149" s="8" t="str">
        <f>IFERROR(_xlfn.XLOOKUP(TRIM(B1149),Lookup!$B$2:$B$1000,Lookup!$C$2:$C$1000),"")</f>
        <v>Equity</v>
      </c>
      <c r="D1149" s="8" t="s">
        <v>25</v>
      </c>
      <c r="E1149" s="9">
        <v>46078</v>
      </c>
      <c r="F1149" s="8">
        <v>11.278600000000001</v>
      </c>
    </row>
    <row r="1150" spans="1:6" ht="90" x14ac:dyDescent="0.25">
      <c r="A1150" s="8" t="s">
        <v>5</v>
      </c>
      <c r="B1150" s="8" t="s">
        <v>24</v>
      </c>
      <c r="C1150" s="8" t="str">
        <f>IFERROR(_xlfn.XLOOKUP(TRIM(B1150),Lookup!$B$2:$B$1000,Lookup!$C$2:$C$1000),"")</f>
        <v>Equity</v>
      </c>
      <c r="D1150" s="8" t="s">
        <v>25</v>
      </c>
      <c r="E1150" s="9">
        <v>46079</v>
      </c>
      <c r="F1150" s="8">
        <v>11.3406</v>
      </c>
    </row>
    <row r="1151" spans="1:6" ht="90" x14ac:dyDescent="0.25">
      <c r="A1151" s="8" t="s">
        <v>5</v>
      </c>
      <c r="B1151" s="8" t="s">
        <v>24</v>
      </c>
      <c r="C1151" s="8" t="str">
        <f>IFERROR(_xlfn.XLOOKUP(TRIM(B1151),Lookup!$B$2:$B$1000,Lookup!$C$2:$C$1000),"")</f>
        <v>Equity</v>
      </c>
      <c r="D1151" s="8" t="s">
        <v>25</v>
      </c>
      <c r="E1151" s="9">
        <v>46080</v>
      </c>
      <c r="F1151" s="8">
        <v>11.1791</v>
      </c>
    </row>
    <row r="1152" spans="1:6" ht="90" x14ac:dyDescent="0.25">
      <c r="A1152" s="8" t="s">
        <v>5</v>
      </c>
      <c r="B1152" s="8" t="s">
        <v>24</v>
      </c>
      <c r="C1152" s="8" t="str">
        <f>IFERROR(_xlfn.XLOOKUP(TRIM(B1152),Lookup!$B$2:$B$1000,Lookup!$C$2:$C$1000),"")</f>
        <v>Equity</v>
      </c>
      <c r="D1152" s="8" t="s">
        <v>25</v>
      </c>
      <c r="E1152" s="9">
        <v>46083</v>
      </c>
      <c r="F1152" s="8">
        <v>11.008900000000001</v>
      </c>
    </row>
    <row r="1153" spans="1:6" ht="90" x14ac:dyDescent="0.25">
      <c r="A1153" s="8" t="s">
        <v>5</v>
      </c>
      <c r="B1153" s="8" t="s">
        <v>24</v>
      </c>
      <c r="C1153" s="8" t="str">
        <f>IFERROR(_xlfn.XLOOKUP(TRIM(B1153),Lookup!$B$2:$B$1000,Lookup!$C$2:$C$1000),"")</f>
        <v>Equity</v>
      </c>
      <c r="D1153" s="8" t="s">
        <v>25</v>
      </c>
      <c r="E1153" s="9">
        <v>46085</v>
      </c>
      <c r="F1153" s="8">
        <v>10.7605</v>
      </c>
    </row>
    <row r="1154" spans="1:6" ht="90" x14ac:dyDescent="0.25">
      <c r="A1154" s="8" t="s">
        <v>5</v>
      </c>
      <c r="B1154" s="8" t="s">
        <v>24</v>
      </c>
      <c r="C1154" s="8" t="str">
        <f>IFERROR(_xlfn.XLOOKUP(TRIM(B1154),Lookup!$B$2:$B$1000,Lookup!$C$2:$C$1000),"")</f>
        <v>Equity</v>
      </c>
      <c r="D1154" s="8" t="s">
        <v>25</v>
      </c>
      <c r="E1154" s="9">
        <v>46086</v>
      </c>
      <c r="F1154" s="8">
        <v>10.956799999999999</v>
      </c>
    </row>
    <row r="1155" spans="1:6" ht="90" x14ac:dyDescent="0.25">
      <c r="A1155" s="8" t="s">
        <v>5</v>
      </c>
      <c r="B1155" s="8" t="s">
        <v>24</v>
      </c>
      <c r="C1155" s="8" t="str">
        <f>IFERROR(_xlfn.XLOOKUP(TRIM(B1155),Lookup!$B$2:$B$1000,Lookup!$C$2:$C$1000),"")</f>
        <v>Equity</v>
      </c>
      <c r="D1155" s="8" t="s">
        <v>25</v>
      </c>
      <c r="E1155" s="9">
        <v>46087</v>
      </c>
      <c r="F1155" s="8">
        <v>10.859500000000001</v>
      </c>
    </row>
    <row r="1156" spans="1:6" ht="90" x14ac:dyDescent="0.25">
      <c r="A1156" s="8" t="s">
        <v>5</v>
      </c>
      <c r="B1156" s="8" t="s">
        <v>24</v>
      </c>
      <c r="C1156" s="8" t="str">
        <f>IFERROR(_xlfn.XLOOKUP(TRIM(B1156),Lookup!$B$2:$B$1000,Lookup!$C$2:$C$1000),"")</f>
        <v>Equity</v>
      </c>
      <c r="D1156" s="8" t="s">
        <v>25</v>
      </c>
      <c r="E1156" s="9">
        <v>46090</v>
      </c>
      <c r="F1156" s="8">
        <v>10.6374</v>
      </c>
    </row>
    <row r="1157" spans="1:6" ht="90" x14ac:dyDescent="0.25">
      <c r="A1157" s="8" t="s">
        <v>5</v>
      </c>
      <c r="B1157" s="8" t="s">
        <v>24</v>
      </c>
      <c r="C1157" s="8" t="str">
        <f>IFERROR(_xlfn.XLOOKUP(TRIM(B1157),Lookup!$B$2:$B$1000,Lookup!$C$2:$C$1000),"")</f>
        <v>Equity</v>
      </c>
      <c r="D1157" s="8" t="s">
        <v>25</v>
      </c>
      <c r="E1157" s="9">
        <v>46091</v>
      </c>
      <c r="F1157" s="8">
        <v>10.8146</v>
      </c>
    </row>
    <row r="1158" spans="1:6" ht="90" x14ac:dyDescent="0.25">
      <c r="A1158" s="8" t="s">
        <v>5</v>
      </c>
      <c r="B1158" s="8" t="s">
        <v>24</v>
      </c>
      <c r="C1158" s="8" t="str">
        <f>IFERROR(_xlfn.XLOOKUP(TRIM(B1158),Lookup!$B$2:$B$1000,Lookup!$C$2:$C$1000),"")</f>
        <v>Equity</v>
      </c>
      <c r="D1158" s="8" t="s">
        <v>25</v>
      </c>
      <c r="E1158" s="9">
        <v>46092</v>
      </c>
      <c r="F1158" s="8">
        <v>10.636200000000001</v>
      </c>
    </row>
    <row r="1159" spans="1:6" ht="90" x14ac:dyDescent="0.25">
      <c r="A1159" s="8" t="s">
        <v>5</v>
      </c>
      <c r="B1159" s="8" t="s">
        <v>24</v>
      </c>
      <c r="C1159" s="8" t="str">
        <f>IFERROR(_xlfn.XLOOKUP(TRIM(B1159),Lookup!$B$2:$B$1000,Lookup!$C$2:$C$1000),"")</f>
        <v>Equity</v>
      </c>
      <c r="D1159" s="8" t="s">
        <v>25</v>
      </c>
      <c r="E1159" s="9">
        <v>46093</v>
      </c>
      <c r="F1159" s="8">
        <v>10.5869</v>
      </c>
    </row>
    <row r="1160" spans="1:6" ht="90" x14ac:dyDescent="0.25">
      <c r="A1160" s="8" t="s">
        <v>5</v>
      </c>
      <c r="B1160" s="8" t="s">
        <v>24</v>
      </c>
      <c r="C1160" s="8" t="str">
        <f>IFERROR(_xlfn.XLOOKUP(TRIM(B1160),Lookup!$B$2:$B$1000,Lookup!$C$2:$C$1000),"")</f>
        <v>Equity</v>
      </c>
      <c r="D1160" s="8" t="s">
        <v>25</v>
      </c>
      <c r="E1160" s="9">
        <v>46094</v>
      </c>
      <c r="F1160" s="8">
        <v>10.281000000000001</v>
      </c>
    </row>
    <row r="1161" spans="1:6" ht="90" x14ac:dyDescent="0.25">
      <c r="A1161" s="8" t="s">
        <v>5</v>
      </c>
      <c r="B1161" s="8" t="s">
        <v>24</v>
      </c>
      <c r="C1161" s="8" t="str">
        <f>IFERROR(_xlfn.XLOOKUP(TRIM(B1161),Lookup!$B$2:$B$1000,Lookup!$C$2:$C$1000),"")</f>
        <v>Equity</v>
      </c>
      <c r="D1161" s="8" t="s">
        <v>25</v>
      </c>
      <c r="E1161" s="9">
        <v>46097</v>
      </c>
      <c r="F1161" s="8">
        <v>10.264099999999999</v>
      </c>
    </row>
    <row r="1162" spans="1:6" ht="90" x14ac:dyDescent="0.25">
      <c r="A1162" s="8" t="s">
        <v>5</v>
      </c>
      <c r="B1162" s="8" t="s">
        <v>24</v>
      </c>
      <c r="C1162" s="8" t="str">
        <f>IFERROR(_xlfn.XLOOKUP(TRIM(B1162),Lookup!$B$2:$B$1000,Lookup!$C$2:$C$1000),"")</f>
        <v>Equity</v>
      </c>
      <c r="D1162" s="8" t="s">
        <v>25</v>
      </c>
      <c r="E1162" s="9">
        <v>46098</v>
      </c>
      <c r="F1162" s="8">
        <v>10.3904</v>
      </c>
    </row>
    <row r="1163" spans="1:6" ht="90" x14ac:dyDescent="0.25">
      <c r="A1163" s="8" t="s">
        <v>5</v>
      </c>
      <c r="B1163" s="8" t="s">
        <v>24</v>
      </c>
      <c r="C1163" s="8" t="str">
        <f>IFERROR(_xlfn.XLOOKUP(TRIM(B1163),Lookup!$B$2:$B$1000,Lookup!$C$2:$C$1000),"")</f>
        <v>Equity</v>
      </c>
      <c r="D1163" s="8" t="s">
        <v>25</v>
      </c>
      <c r="E1163" s="9">
        <v>46099</v>
      </c>
      <c r="F1163" s="8">
        <v>10.586</v>
      </c>
    </row>
    <row r="1164" spans="1:6" ht="90" x14ac:dyDescent="0.25">
      <c r="A1164" s="8" t="s">
        <v>5</v>
      </c>
      <c r="B1164" s="8" t="s">
        <v>24</v>
      </c>
      <c r="C1164" s="8" t="str">
        <f>IFERROR(_xlfn.XLOOKUP(TRIM(B1164),Lookup!$B$2:$B$1000,Lookup!$C$2:$C$1000),"")</f>
        <v>Equity</v>
      </c>
      <c r="D1164" s="8" t="s">
        <v>25</v>
      </c>
      <c r="E1164" s="9">
        <v>46100</v>
      </c>
      <c r="F1164" s="8">
        <v>10.235300000000001</v>
      </c>
    </row>
    <row r="1165" spans="1:6" ht="90" x14ac:dyDescent="0.25">
      <c r="A1165" s="8" t="s">
        <v>5</v>
      </c>
      <c r="B1165" s="8" t="s">
        <v>24</v>
      </c>
      <c r="C1165" s="8" t="str">
        <f>IFERROR(_xlfn.XLOOKUP(TRIM(B1165),Lookup!$B$2:$B$1000,Lookup!$C$2:$C$1000),"")</f>
        <v>Equity</v>
      </c>
      <c r="D1165" s="8" t="s">
        <v>25</v>
      </c>
      <c r="E1165" s="9">
        <v>46101</v>
      </c>
      <c r="F1165" s="8">
        <v>10.3058</v>
      </c>
    </row>
    <row r="1166" spans="1:6" ht="90" x14ac:dyDescent="0.25">
      <c r="A1166" s="8" t="s">
        <v>5</v>
      </c>
      <c r="B1166" s="8" t="s">
        <v>24</v>
      </c>
      <c r="C1166" s="8" t="str">
        <f>IFERROR(_xlfn.XLOOKUP(TRIM(B1166),Lookup!$B$2:$B$1000,Lookup!$C$2:$C$1000),"")</f>
        <v>Equity</v>
      </c>
      <c r="D1166" s="8" t="s">
        <v>25</v>
      </c>
      <c r="E1166" s="9">
        <v>46104</v>
      </c>
      <c r="F1166" s="8">
        <v>9.9001000000000001</v>
      </c>
    </row>
    <row r="1167" spans="1:6" ht="90" x14ac:dyDescent="0.25">
      <c r="A1167" s="8" t="s">
        <v>5</v>
      </c>
      <c r="B1167" s="8" t="s">
        <v>24</v>
      </c>
      <c r="C1167" s="8" t="str">
        <f>IFERROR(_xlfn.XLOOKUP(TRIM(B1167),Lookup!$B$2:$B$1000,Lookup!$C$2:$C$1000),"")</f>
        <v>Equity</v>
      </c>
      <c r="D1167" s="8" t="s">
        <v>25</v>
      </c>
      <c r="E1167" s="9">
        <v>46105</v>
      </c>
      <c r="F1167" s="8">
        <v>10.183299999999999</v>
      </c>
    </row>
    <row r="1168" spans="1:6" ht="90" x14ac:dyDescent="0.25">
      <c r="A1168" s="8" t="s">
        <v>5</v>
      </c>
      <c r="B1168" s="8" t="s">
        <v>24</v>
      </c>
      <c r="C1168" s="8" t="str">
        <f>IFERROR(_xlfn.XLOOKUP(TRIM(B1168),Lookup!$B$2:$B$1000,Lookup!$C$2:$C$1000),"")</f>
        <v>Equity</v>
      </c>
      <c r="D1168" s="8" t="s">
        <v>25</v>
      </c>
      <c r="E1168" s="9">
        <v>46106</v>
      </c>
      <c r="F1168" s="8">
        <v>10.430999999999999</v>
      </c>
    </row>
    <row r="1169" spans="1:6" ht="90" x14ac:dyDescent="0.25">
      <c r="A1169" s="8" t="s">
        <v>5</v>
      </c>
      <c r="B1169" s="8" t="s">
        <v>24</v>
      </c>
      <c r="C1169" s="8" t="str">
        <f>IFERROR(_xlfn.XLOOKUP(TRIM(B1169),Lookup!$B$2:$B$1000,Lookup!$C$2:$C$1000),"")</f>
        <v>Equity</v>
      </c>
      <c r="D1169" s="8" t="s">
        <v>25</v>
      </c>
      <c r="E1169" s="9">
        <v>46108</v>
      </c>
      <c r="F1169" s="8">
        <v>10.1898</v>
      </c>
    </row>
    <row r="1170" spans="1:6" ht="90" x14ac:dyDescent="0.25">
      <c r="A1170" s="8" t="s">
        <v>5</v>
      </c>
      <c r="B1170" s="8" t="s">
        <v>24</v>
      </c>
      <c r="C1170" s="8" t="str">
        <f>IFERROR(_xlfn.XLOOKUP(TRIM(B1170),Lookup!$B$2:$B$1000,Lookup!$C$2:$C$1000),"")</f>
        <v>Equity</v>
      </c>
      <c r="D1170" s="8" t="s">
        <v>25</v>
      </c>
      <c r="E1170" s="9">
        <v>46111</v>
      </c>
      <c r="F1170" s="8">
        <v>9.9093999999999998</v>
      </c>
    </row>
    <row r="1171" spans="1:6" ht="90" x14ac:dyDescent="0.25">
      <c r="A1171" s="8" t="s">
        <v>5</v>
      </c>
      <c r="B1171" s="8" t="s">
        <v>24</v>
      </c>
      <c r="C1171" s="8" t="str">
        <f>IFERROR(_xlfn.XLOOKUP(TRIM(B1171),Lookup!$B$2:$B$1000,Lookup!$C$2:$C$1000),"")</f>
        <v>Equity</v>
      </c>
      <c r="D1171" s="8" t="s">
        <v>25</v>
      </c>
      <c r="E1171" s="9">
        <v>46113</v>
      </c>
      <c r="F1171" s="8">
        <v>10.126300000000001</v>
      </c>
    </row>
    <row r="1172" spans="1:6" ht="90" x14ac:dyDescent="0.25">
      <c r="A1172" s="8" t="s">
        <v>5</v>
      </c>
      <c r="B1172" s="8" t="s">
        <v>24</v>
      </c>
      <c r="C1172" s="8" t="str">
        <f>IFERROR(_xlfn.XLOOKUP(TRIM(B1172),Lookup!$B$2:$B$1000,Lookup!$C$2:$C$1000),"")</f>
        <v>Equity</v>
      </c>
      <c r="D1172" s="8" t="s">
        <v>25</v>
      </c>
      <c r="E1172" s="9">
        <v>46114</v>
      </c>
      <c r="F1172" s="8">
        <v>10.0839</v>
      </c>
    </row>
    <row r="1173" spans="1:6" ht="90" x14ac:dyDescent="0.25">
      <c r="A1173" s="8" t="s">
        <v>5</v>
      </c>
      <c r="B1173" s="8" t="s">
        <v>24</v>
      </c>
      <c r="C1173" s="8" t="str">
        <f>IFERROR(_xlfn.XLOOKUP(TRIM(B1173),Lookup!$B$2:$B$1000,Lookup!$C$2:$C$1000),"")</f>
        <v>Equity</v>
      </c>
      <c r="D1173" s="8" t="s">
        <v>25</v>
      </c>
      <c r="E1173" s="9">
        <v>46118</v>
      </c>
      <c r="F1173" s="8">
        <v>10.251099999999999</v>
      </c>
    </row>
    <row r="1174" spans="1:6" ht="90" x14ac:dyDescent="0.25">
      <c r="A1174" s="8" t="s">
        <v>5</v>
      </c>
      <c r="B1174" s="8" t="s">
        <v>24</v>
      </c>
      <c r="C1174" s="8" t="str">
        <f>IFERROR(_xlfn.XLOOKUP(TRIM(B1174),Lookup!$B$2:$B$1000,Lookup!$C$2:$C$1000),"")</f>
        <v>Equity</v>
      </c>
      <c r="D1174" s="8" t="s">
        <v>25</v>
      </c>
      <c r="E1174" s="9">
        <v>46119</v>
      </c>
      <c r="F1174" s="8">
        <v>10.2357</v>
      </c>
    </row>
    <row r="1175" spans="1:6" ht="90" x14ac:dyDescent="0.25">
      <c r="A1175" s="8" t="s">
        <v>5</v>
      </c>
      <c r="B1175" s="8" t="s">
        <v>24</v>
      </c>
      <c r="C1175" s="8" t="str">
        <f>IFERROR(_xlfn.XLOOKUP(TRIM(B1175),Lookup!$B$2:$B$1000,Lookup!$C$2:$C$1000),"")</f>
        <v>Equity</v>
      </c>
      <c r="D1175" s="8" t="s">
        <v>25</v>
      </c>
      <c r="E1175" s="9">
        <v>46120</v>
      </c>
      <c r="F1175" s="8">
        <v>10.732200000000001</v>
      </c>
    </row>
    <row r="1176" spans="1:6" ht="90" x14ac:dyDescent="0.25">
      <c r="A1176" s="8" t="s">
        <v>5</v>
      </c>
      <c r="B1176" s="8" t="s">
        <v>24</v>
      </c>
      <c r="C1176" s="8" t="str">
        <f>IFERROR(_xlfn.XLOOKUP(TRIM(B1176),Lookup!$B$2:$B$1000,Lookup!$C$2:$C$1000),"")</f>
        <v>Equity</v>
      </c>
      <c r="D1176" s="8" t="s">
        <v>25</v>
      </c>
      <c r="E1176" s="9">
        <v>46121</v>
      </c>
      <c r="F1176" s="8">
        <v>10.761900000000001</v>
      </c>
    </row>
    <row r="1177" spans="1:6" ht="90" x14ac:dyDescent="0.25">
      <c r="A1177" s="8" t="s">
        <v>5</v>
      </c>
      <c r="B1177" s="8" t="s">
        <v>24</v>
      </c>
      <c r="C1177" s="8" t="str">
        <f>IFERROR(_xlfn.XLOOKUP(TRIM(B1177),Lookup!$B$2:$B$1000,Lookup!$C$2:$C$1000),"")</f>
        <v>Equity</v>
      </c>
      <c r="D1177" s="8" t="s">
        <v>25</v>
      </c>
      <c r="E1177" s="9">
        <v>46122</v>
      </c>
      <c r="F1177" s="8">
        <v>10.9842</v>
      </c>
    </row>
    <row r="1178" spans="1:6" ht="90" x14ac:dyDescent="0.25">
      <c r="A1178" s="8" t="s">
        <v>5</v>
      </c>
      <c r="B1178" s="8" t="s">
        <v>24</v>
      </c>
      <c r="C1178" s="8" t="str">
        <f>IFERROR(_xlfn.XLOOKUP(TRIM(B1178),Lookup!$B$2:$B$1000,Lookup!$C$2:$C$1000),"")</f>
        <v>Equity</v>
      </c>
      <c r="D1178" s="8" t="s">
        <v>25</v>
      </c>
      <c r="E1178" s="9">
        <v>46125</v>
      </c>
      <c r="F1178" s="8">
        <v>10.8537</v>
      </c>
    </row>
    <row r="1179" spans="1:6" ht="90" x14ac:dyDescent="0.25">
      <c r="A1179" s="8" t="s">
        <v>5</v>
      </c>
      <c r="B1179" s="8" t="s">
        <v>24</v>
      </c>
      <c r="C1179" s="8" t="str">
        <f>IFERROR(_xlfn.XLOOKUP(TRIM(B1179),Lookup!$B$2:$B$1000,Lookup!$C$2:$C$1000),"")</f>
        <v>Equity</v>
      </c>
      <c r="D1179" s="8" t="s">
        <v>25</v>
      </c>
      <c r="E1179" s="9">
        <v>46127</v>
      </c>
      <c r="F1179" s="8">
        <v>11.034599999999999</v>
      </c>
    </row>
    <row r="1180" spans="1:6" ht="90" x14ac:dyDescent="0.25">
      <c r="A1180" s="8" t="s">
        <v>5</v>
      </c>
      <c r="B1180" s="8" t="s">
        <v>24</v>
      </c>
      <c r="C1180" s="8" t="str">
        <f>IFERROR(_xlfn.XLOOKUP(TRIM(B1180),Lookup!$B$2:$B$1000,Lookup!$C$2:$C$1000),"")</f>
        <v>Equity</v>
      </c>
      <c r="D1180" s="8" t="s">
        <v>25</v>
      </c>
      <c r="E1180" s="9">
        <v>46128</v>
      </c>
      <c r="F1180" s="8">
        <v>11.027799999999999</v>
      </c>
    </row>
    <row r="1181" spans="1:6" ht="90" x14ac:dyDescent="0.25">
      <c r="A1181" s="8" t="s">
        <v>5</v>
      </c>
      <c r="B1181" s="8" t="s">
        <v>24</v>
      </c>
      <c r="C1181" s="8" t="str">
        <f>IFERROR(_xlfn.XLOOKUP(TRIM(B1181),Lookup!$B$2:$B$1000,Lookup!$C$2:$C$1000),"")</f>
        <v>Equity</v>
      </c>
      <c r="D1181" s="8" t="s">
        <v>25</v>
      </c>
      <c r="E1181" s="9">
        <v>46129</v>
      </c>
      <c r="F1181" s="8">
        <v>11.148199999999999</v>
      </c>
    </row>
    <row r="1182" spans="1:6" ht="90" x14ac:dyDescent="0.25">
      <c r="A1182" s="8" t="s">
        <v>5</v>
      </c>
      <c r="B1182" s="8" t="s">
        <v>24</v>
      </c>
      <c r="C1182" s="8" t="str">
        <f>IFERROR(_xlfn.XLOOKUP(TRIM(B1182),Lookup!$B$2:$B$1000,Lookup!$C$2:$C$1000),"")</f>
        <v>Equity</v>
      </c>
      <c r="D1182" s="8" t="s">
        <v>25</v>
      </c>
      <c r="E1182" s="9">
        <v>46132</v>
      </c>
      <c r="F1182" s="8">
        <v>11.1496</v>
      </c>
    </row>
    <row r="1183" spans="1:6" ht="90" x14ac:dyDescent="0.25">
      <c r="A1183" s="8" t="s">
        <v>5</v>
      </c>
      <c r="B1183" s="8" t="s">
        <v>24</v>
      </c>
      <c r="C1183" s="8" t="str">
        <f>IFERROR(_xlfn.XLOOKUP(TRIM(B1183),Lookup!$B$2:$B$1000,Lookup!$C$2:$C$1000),"")</f>
        <v>Equity</v>
      </c>
      <c r="D1183" s="8" t="s">
        <v>25</v>
      </c>
      <c r="E1183" s="9">
        <v>46133</v>
      </c>
      <c r="F1183" s="8">
        <v>11.194599999999999</v>
      </c>
    </row>
    <row r="1184" spans="1:6" ht="90" x14ac:dyDescent="0.25">
      <c r="A1184" s="8" t="s">
        <v>5</v>
      </c>
      <c r="B1184" s="8" t="s">
        <v>24</v>
      </c>
      <c r="C1184" s="8" t="str">
        <f>IFERROR(_xlfn.XLOOKUP(TRIM(B1184),Lookup!$B$2:$B$1000,Lookup!$C$2:$C$1000),"")</f>
        <v>Equity</v>
      </c>
      <c r="D1184" s="8" t="s">
        <v>25</v>
      </c>
      <c r="E1184" s="9">
        <v>46134</v>
      </c>
      <c r="F1184" s="8">
        <v>11.1882</v>
      </c>
    </row>
    <row r="1185" spans="1:6" ht="90" x14ac:dyDescent="0.25">
      <c r="A1185" s="8" t="s">
        <v>5</v>
      </c>
      <c r="B1185" s="8" t="s">
        <v>24</v>
      </c>
      <c r="C1185" s="8" t="str">
        <f>IFERROR(_xlfn.XLOOKUP(TRIM(B1185),Lookup!$B$2:$B$1000,Lookup!$C$2:$C$1000),"")</f>
        <v>Equity</v>
      </c>
      <c r="D1185" s="8" t="s">
        <v>25</v>
      </c>
      <c r="E1185" s="9">
        <v>46135</v>
      </c>
      <c r="F1185" s="8">
        <v>11.148300000000001</v>
      </c>
    </row>
    <row r="1186" spans="1:6" ht="90" x14ac:dyDescent="0.25">
      <c r="A1186" s="8" t="s">
        <v>5</v>
      </c>
      <c r="B1186" s="8" t="s">
        <v>24</v>
      </c>
      <c r="C1186" s="8" t="str">
        <f>IFERROR(_xlfn.XLOOKUP(TRIM(B1186),Lookup!$B$2:$B$1000,Lookup!$C$2:$C$1000),"")</f>
        <v>Equity</v>
      </c>
      <c r="D1186" s="8" t="s">
        <v>25</v>
      </c>
      <c r="E1186" s="9">
        <v>46136</v>
      </c>
      <c r="F1186" s="8">
        <v>11.056800000000001</v>
      </c>
    </row>
    <row r="1187" spans="1:6" ht="90" x14ac:dyDescent="0.25">
      <c r="A1187" s="8" t="s">
        <v>5</v>
      </c>
      <c r="B1187" s="8" t="s">
        <v>24</v>
      </c>
      <c r="C1187" s="8" t="str">
        <f>IFERROR(_xlfn.XLOOKUP(TRIM(B1187),Lookup!$B$2:$B$1000,Lookup!$C$2:$C$1000),"")</f>
        <v>Equity</v>
      </c>
      <c r="D1187" s="8" t="s">
        <v>25</v>
      </c>
      <c r="E1187" s="9">
        <v>46139</v>
      </c>
      <c r="F1187" s="8">
        <v>11.145099999999999</v>
      </c>
    </row>
    <row r="1188" spans="1:6" ht="90" x14ac:dyDescent="0.25">
      <c r="A1188" s="8" t="s">
        <v>5</v>
      </c>
      <c r="B1188" s="8" t="s">
        <v>24</v>
      </c>
      <c r="C1188" s="8" t="str">
        <f>IFERROR(_xlfn.XLOOKUP(TRIM(B1188),Lookup!$B$2:$B$1000,Lookup!$C$2:$C$1000),"")</f>
        <v>Equity</v>
      </c>
      <c r="D1188" s="8" t="s">
        <v>25</v>
      </c>
      <c r="E1188" s="9">
        <v>46140</v>
      </c>
      <c r="F1188" s="8">
        <v>11.1579</v>
      </c>
    </row>
    <row r="1189" spans="1:6" ht="90" x14ac:dyDescent="0.25">
      <c r="A1189" s="8" t="s">
        <v>5</v>
      </c>
      <c r="B1189" s="8" t="s">
        <v>24</v>
      </c>
      <c r="C1189" s="8" t="str">
        <f>IFERROR(_xlfn.XLOOKUP(TRIM(B1189),Lookup!$B$2:$B$1000,Lookup!$C$2:$C$1000),"")</f>
        <v>Equity</v>
      </c>
      <c r="D1189" s="8" t="s">
        <v>25</v>
      </c>
      <c r="E1189" s="9">
        <v>46141</v>
      </c>
      <c r="F1189" s="8">
        <v>11.1371</v>
      </c>
    </row>
    <row r="1190" spans="1:6" ht="90" x14ac:dyDescent="0.25">
      <c r="A1190" s="8" t="s">
        <v>5</v>
      </c>
      <c r="B1190" s="8" t="s">
        <v>24</v>
      </c>
      <c r="C1190" s="8" t="str">
        <f>IFERROR(_xlfn.XLOOKUP(TRIM(B1190),Lookup!$B$2:$B$1000,Lookup!$C$2:$C$1000),"")</f>
        <v>Equity</v>
      </c>
      <c r="D1190" s="8" t="s">
        <v>25</v>
      </c>
      <c r="E1190" s="9">
        <v>46142</v>
      </c>
      <c r="F1190" s="8">
        <v>11.0321</v>
      </c>
    </row>
    <row r="1191" spans="1:6" ht="90" x14ac:dyDescent="0.25">
      <c r="A1191" s="8" t="s">
        <v>5</v>
      </c>
      <c r="B1191" s="8" t="s">
        <v>24</v>
      </c>
      <c r="C1191" s="8" t="str">
        <f>IFERROR(_xlfn.XLOOKUP(TRIM(B1191),Lookup!$B$2:$B$1000,Lookup!$C$2:$C$1000),"")</f>
        <v>Equity</v>
      </c>
      <c r="D1191" s="8" t="s">
        <v>25</v>
      </c>
      <c r="E1191" s="9">
        <v>46146</v>
      </c>
      <c r="F1191" s="8">
        <v>11.096</v>
      </c>
    </row>
    <row r="1192" spans="1:6" ht="90" x14ac:dyDescent="0.25">
      <c r="A1192" s="8" t="s">
        <v>5</v>
      </c>
      <c r="B1192" s="8" t="s">
        <v>24</v>
      </c>
      <c r="C1192" s="8" t="str">
        <f>IFERROR(_xlfn.XLOOKUP(TRIM(B1192),Lookup!$B$2:$B$1000,Lookup!$C$2:$C$1000),"")</f>
        <v>Equity</v>
      </c>
      <c r="D1192" s="8" t="s">
        <v>25</v>
      </c>
      <c r="E1192" s="9">
        <v>46147</v>
      </c>
      <c r="F1192" s="8">
        <v>11.1313</v>
      </c>
    </row>
    <row r="1193" spans="1:6" ht="90" x14ac:dyDescent="0.25">
      <c r="A1193" s="8" t="s">
        <v>5</v>
      </c>
      <c r="B1193" s="8" t="s">
        <v>24</v>
      </c>
      <c r="C1193" s="8" t="str">
        <f>IFERROR(_xlfn.XLOOKUP(TRIM(B1193),Lookup!$B$2:$B$1000,Lookup!$C$2:$C$1000),"")</f>
        <v>Equity</v>
      </c>
      <c r="D1193" s="8" t="s">
        <v>25</v>
      </c>
      <c r="E1193" s="9">
        <v>46148</v>
      </c>
      <c r="F1193" s="8">
        <v>11.3535</v>
      </c>
    </row>
    <row r="1194" spans="1:6" ht="90" x14ac:dyDescent="0.25">
      <c r="A1194" s="8" t="s">
        <v>5</v>
      </c>
      <c r="B1194" s="8" t="s">
        <v>24</v>
      </c>
      <c r="C1194" s="8" t="str">
        <f>IFERROR(_xlfn.XLOOKUP(TRIM(B1194),Lookup!$B$2:$B$1000,Lookup!$C$2:$C$1000),"")</f>
        <v>Equity</v>
      </c>
      <c r="D1194" s="8" t="s">
        <v>25</v>
      </c>
      <c r="E1194" s="9">
        <v>46149</v>
      </c>
      <c r="F1194" s="8">
        <v>11.5154</v>
      </c>
    </row>
    <row r="1195" spans="1:6" ht="90" x14ac:dyDescent="0.25">
      <c r="A1195" s="8" t="s">
        <v>5</v>
      </c>
      <c r="B1195" s="8" t="s">
        <v>24</v>
      </c>
      <c r="C1195" s="8" t="str">
        <f>IFERROR(_xlfn.XLOOKUP(TRIM(B1195),Lookup!$B$2:$B$1000,Lookup!$C$2:$C$1000),"")</f>
        <v>Equity</v>
      </c>
      <c r="D1195" s="8" t="s">
        <v>25</v>
      </c>
      <c r="E1195" s="9">
        <v>46150</v>
      </c>
      <c r="F1195" s="8">
        <v>11.4848</v>
      </c>
    </row>
    <row r="1196" spans="1:6" ht="90" x14ac:dyDescent="0.25">
      <c r="A1196" s="8" t="s">
        <v>5</v>
      </c>
      <c r="B1196" s="8" t="s">
        <v>24</v>
      </c>
      <c r="C1196" s="8" t="str">
        <f>IFERROR(_xlfn.XLOOKUP(TRIM(B1196),Lookup!$B$2:$B$1000,Lookup!$C$2:$C$1000),"")</f>
        <v>Equity</v>
      </c>
      <c r="D1196" s="8" t="s">
        <v>25</v>
      </c>
      <c r="E1196" s="9">
        <v>46153</v>
      </c>
      <c r="F1196" s="8">
        <v>11.344200000000001</v>
      </c>
    </row>
    <row r="1197" spans="1:6" ht="90" x14ac:dyDescent="0.25">
      <c r="A1197" s="8" t="s">
        <v>5</v>
      </c>
      <c r="B1197" s="8" t="s">
        <v>24</v>
      </c>
      <c r="C1197" s="8" t="str">
        <f>IFERROR(_xlfn.XLOOKUP(TRIM(B1197),Lookup!$B$2:$B$1000,Lookup!$C$2:$C$1000),"")</f>
        <v>Equity</v>
      </c>
      <c r="D1197" s="8" t="s">
        <v>25</v>
      </c>
      <c r="E1197" s="9">
        <v>46154</v>
      </c>
      <c r="F1197" s="8">
        <v>11.054</v>
      </c>
    </row>
    <row r="1198" spans="1:6" ht="90" x14ac:dyDescent="0.25">
      <c r="A1198" s="8" t="s">
        <v>5</v>
      </c>
      <c r="B1198" s="8" t="s">
        <v>24</v>
      </c>
      <c r="C1198" s="8" t="str">
        <f>IFERROR(_xlfn.XLOOKUP(TRIM(B1198),Lookup!$B$2:$B$1000,Lookup!$C$2:$C$1000),"")</f>
        <v>Equity</v>
      </c>
      <c r="D1198" s="8" t="s">
        <v>25</v>
      </c>
      <c r="E1198" s="9">
        <v>46155</v>
      </c>
      <c r="F1198" s="8">
        <v>11.0992</v>
      </c>
    </row>
    <row r="1199" spans="1:6" ht="90" x14ac:dyDescent="0.25">
      <c r="A1199" s="8" t="s">
        <v>5</v>
      </c>
      <c r="B1199" s="8" t="s">
        <v>24</v>
      </c>
      <c r="C1199" s="8" t="str">
        <f>IFERROR(_xlfn.XLOOKUP(TRIM(B1199),Lookup!$B$2:$B$1000,Lookup!$C$2:$C$1000),"")</f>
        <v>Equity</v>
      </c>
      <c r="D1199" s="8" t="s">
        <v>25</v>
      </c>
      <c r="E1199" s="9">
        <v>46156</v>
      </c>
      <c r="F1199" s="8">
        <v>11.234299999999999</v>
      </c>
    </row>
    <row r="1200" spans="1:6" ht="90" x14ac:dyDescent="0.25">
      <c r="A1200" s="8" t="s">
        <v>5</v>
      </c>
      <c r="B1200" s="8" t="s">
        <v>24</v>
      </c>
      <c r="C1200" s="8" t="str">
        <f>IFERROR(_xlfn.XLOOKUP(TRIM(B1200),Lookup!$B$2:$B$1000,Lookup!$C$2:$C$1000),"")</f>
        <v>Equity</v>
      </c>
      <c r="D1200" s="8" t="s">
        <v>25</v>
      </c>
      <c r="E1200" s="9">
        <v>46157</v>
      </c>
      <c r="F1200" s="8">
        <v>11.185</v>
      </c>
    </row>
    <row r="1201" spans="1:6" ht="90" x14ac:dyDescent="0.25">
      <c r="A1201" s="8" t="s">
        <v>5</v>
      </c>
      <c r="B1201" s="8" t="s">
        <v>24</v>
      </c>
      <c r="C1201" s="8" t="str">
        <f>IFERROR(_xlfn.XLOOKUP(TRIM(B1201),Lookup!$B$2:$B$1000,Lookup!$C$2:$C$1000),"")</f>
        <v>Equity</v>
      </c>
      <c r="D1201" s="8" t="s">
        <v>25</v>
      </c>
      <c r="E1201" s="9">
        <v>46160</v>
      </c>
      <c r="F1201" s="8">
        <v>11.147500000000001</v>
      </c>
    </row>
    <row r="1202" spans="1:6" ht="90" x14ac:dyDescent="0.25">
      <c r="A1202" s="8" t="s">
        <v>5</v>
      </c>
      <c r="B1202" s="8" t="s">
        <v>24</v>
      </c>
      <c r="C1202" s="8" t="str">
        <f>IFERROR(_xlfn.XLOOKUP(TRIM(B1202),Lookup!$B$2:$B$1000,Lookup!$C$2:$C$1000),"")</f>
        <v>Equity</v>
      </c>
      <c r="D1202" s="8" t="s">
        <v>25</v>
      </c>
      <c r="E1202" s="9">
        <v>46161</v>
      </c>
      <c r="F1202" s="8">
        <v>11.2065</v>
      </c>
    </row>
    <row r="1203" spans="1:6" ht="90" x14ac:dyDescent="0.25">
      <c r="A1203" s="8" t="s">
        <v>5</v>
      </c>
      <c r="B1203" s="8" t="s">
        <v>24</v>
      </c>
      <c r="C1203" s="8" t="str">
        <f>IFERROR(_xlfn.XLOOKUP(TRIM(B1203),Lookup!$B$2:$B$1000,Lookup!$C$2:$C$1000),"")</f>
        <v>Equity</v>
      </c>
      <c r="D1203" s="8" t="s">
        <v>25</v>
      </c>
      <c r="E1203" s="9">
        <v>46162</v>
      </c>
      <c r="F1203" s="8">
        <v>11.3026</v>
      </c>
    </row>
    <row r="1204" spans="1:6" ht="90" x14ac:dyDescent="0.25">
      <c r="A1204" s="8" t="s">
        <v>5</v>
      </c>
      <c r="B1204" s="8" t="s">
        <v>24</v>
      </c>
      <c r="C1204" s="8" t="str">
        <f>IFERROR(_xlfn.XLOOKUP(TRIM(B1204),Lookup!$B$2:$B$1000,Lookup!$C$2:$C$1000),"")</f>
        <v>Equity</v>
      </c>
      <c r="D1204" s="8" t="s">
        <v>25</v>
      </c>
      <c r="E1204" s="9">
        <v>46163</v>
      </c>
      <c r="F1204" s="8">
        <v>11.3109</v>
      </c>
    </row>
    <row r="1205" spans="1:6" ht="90" x14ac:dyDescent="0.25">
      <c r="A1205" s="8" t="s">
        <v>5</v>
      </c>
      <c r="B1205" s="8" t="s">
        <v>24</v>
      </c>
      <c r="C1205" s="8" t="str">
        <f>IFERROR(_xlfn.XLOOKUP(TRIM(B1205),Lookup!$B$2:$B$1000,Lookup!$C$2:$C$1000),"")</f>
        <v>Equity</v>
      </c>
      <c r="D1205" s="8" t="s">
        <v>25</v>
      </c>
      <c r="E1205" s="9">
        <v>46164</v>
      </c>
      <c r="F1205" s="8">
        <v>11.319900000000001</v>
      </c>
    </row>
    <row r="1206" spans="1:6" ht="90" x14ac:dyDescent="0.25">
      <c r="A1206" s="8" t="s">
        <v>5</v>
      </c>
      <c r="B1206" s="8" t="s">
        <v>24</v>
      </c>
      <c r="C1206" s="8" t="str">
        <f>IFERROR(_xlfn.XLOOKUP(TRIM(B1206),Lookup!$B$2:$B$1000,Lookup!$C$2:$C$1000),"")</f>
        <v>Equity</v>
      </c>
      <c r="D1206" s="8" t="s">
        <v>25</v>
      </c>
      <c r="E1206" s="9">
        <v>46167</v>
      </c>
      <c r="F1206" s="8">
        <v>11.437099999999999</v>
      </c>
    </row>
    <row r="1207" spans="1:6" ht="90" x14ac:dyDescent="0.25">
      <c r="A1207" s="8" t="s">
        <v>5</v>
      </c>
      <c r="B1207" s="8" t="s">
        <v>24</v>
      </c>
      <c r="C1207" s="8" t="str">
        <f>IFERROR(_xlfn.XLOOKUP(TRIM(B1207),Lookup!$B$2:$B$1000,Lookup!$C$2:$C$1000),"")</f>
        <v>Equity</v>
      </c>
      <c r="D1207" s="8" t="s">
        <v>25</v>
      </c>
      <c r="E1207" s="9">
        <v>46168</v>
      </c>
      <c r="F1207" s="8">
        <v>11.4857</v>
      </c>
    </row>
    <row r="1208" spans="1:6" ht="90" x14ac:dyDescent="0.25">
      <c r="A1208" s="8" t="s">
        <v>5</v>
      </c>
      <c r="B1208" s="8" t="s">
        <v>24</v>
      </c>
      <c r="C1208" s="8" t="str">
        <f>IFERROR(_xlfn.XLOOKUP(TRIM(B1208),Lookup!$B$2:$B$1000,Lookup!$C$2:$C$1000),"")</f>
        <v>Equity</v>
      </c>
      <c r="D1208" s="8" t="s">
        <v>25</v>
      </c>
      <c r="E1208" s="9">
        <v>46169</v>
      </c>
      <c r="F1208" s="8">
        <v>11.601900000000001</v>
      </c>
    </row>
    <row r="1209" spans="1:6" ht="90" x14ac:dyDescent="0.25">
      <c r="A1209" s="8" t="s">
        <v>5</v>
      </c>
      <c r="B1209" s="8" t="s">
        <v>24</v>
      </c>
      <c r="C1209" s="8" t="str">
        <f>IFERROR(_xlfn.XLOOKUP(TRIM(B1209),Lookup!$B$2:$B$1000,Lookup!$C$2:$C$1000),"")</f>
        <v>Equity</v>
      </c>
      <c r="D1209" s="8" t="s">
        <v>25</v>
      </c>
      <c r="E1209" s="9">
        <v>46171</v>
      </c>
      <c r="F1209" s="8">
        <v>11.4605</v>
      </c>
    </row>
    <row r="1210" spans="1:6" ht="90" x14ac:dyDescent="0.25">
      <c r="A1210" s="8" t="s">
        <v>5</v>
      </c>
      <c r="B1210" s="8" t="s">
        <v>24</v>
      </c>
      <c r="C1210" s="8" t="str">
        <f>IFERROR(_xlfn.XLOOKUP(TRIM(B1210),Lookup!$B$2:$B$1000,Lookup!$C$2:$C$1000),"")</f>
        <v>Equity</v>
      </c>
      <c r="D1210" s="8" t="s">
        <v>25</v>
      </c>
      <c r="E1210" s="9">
        <v>46174</v>
      </c>
      <c r="F1210" s="8">
        <v>11.2692</v>
      </c>
    </row>
    <row r="1211" spans="1:6" ht="90" x14ac:dyDescent="0.25">
      <c r="A1211" s="8" t="s">
        <v>5</v>
      </c>
      <c r="B1211" s="8" t="s">
        <v>24</v>
      </c>
      <c r="C1211" s="8" t="str">
        <f>IFERROR(_xlfn.XLOOKUP(TRIM(B1211),Lookup!$B$2:$B$1000,Lookup!$C$2:$C$1000),"")</f>
        <v>Equity</v>
      </c>
      <c r="D1211" s="8" t="s">
        <v>25</v>
      </c>
      <c r="E1211" s="9">
        <v>46175</v>
      </c>
      <c r="F1211" s="8">
        <v>11.257099999999999</v>
      </c>
    </row>
    <row r="1212" spans="1:6" ht="90" x14ac:dyDescent="0.25">
      <c r="A1212" s="8" t="s">
        <v>5</v>
      </c>
      <c r="B1212" s="8" t="s">
        <v>24</v>
      </c>
      <c r="C1212" s="8" t="str">
        <f>IFERROR(_xlfn.XLOOKUP(TRIM(B1212),Lookup!$B$2:$B$1000,Lookup!$C$2:$C$1000),"")</f>
        <v>Equity</v>
      </c>
      <c r="D1212" s="8" t="s">
        <v>25</v>
      </c>
      <c r="E1212" s="9">
        <v>46176</v>
      </c>
      <c r="F1212" s="8">
        <v>11.237500000000001</v>
      </c>
    </row>
    <row r="1213" spans="1:6" ht="90" x14ac:dyDescent="0.25">
      <c r="A1213" s="8" t="s">
        <v>5</v>
      </c>
      <c r="B1213" s="8" t="s">
        <v>24</v>
      </c>
      <c r="C1213" s="8" t="str">
        <f>IFERROR(_xlfn.XLOOKUP(TRIM(B1213),Lookup!$B$2:$B$1000,Lookup!$C$2:$C$1000),"")</f>
        <v>Equity</v>
      </c>
      <c r="D1213" s="8" t="s">
        <v>25</v>
      </c>
      <c r="E1213" s="9">
        <v>46177</v>
      </c>
      <c r="F1213" s="8">
        <v>11.292199999999999</v>
      </c>
    </row>
    <row r="1214" spans="1:6" ht="90" x14ac:dyDescent="0.25">
      <c r="A1214" s="8" t="s">
        <v>5</v>
      </c>
      <c r="B1214" s="8" t="s">
        <v>24</v>
      </c>
      <c r="C1214" s="8" t="str">
        <f>IFERROR(_xlfn.XLOOKUP(TRIM(B1214),Lookup!$B$2:$B$1000,Lookup!$C$2:$C$1000),"")</f>
        <v>Equity</v>
      </c>
      <c r="D1214" s="8" t="s">
        <v>25</v>
      </c>
      <c r="E1214" s="9">
        <v>46178</v>
      </c>
      <c r="F1214" s="8">
        <v>11.270899999999999</v>
      </c>
    </row>
    <row r="1215" spans="1:6" ht="90" x14ac:dyDescent="0.25">
      <c r="A1215" s="8" t="s">
        <v>5</v>
      </c>
      <c r="B1215" s="8" t="s">
        <v>24</v>
      </c>
      <c r="C1215" s="8" t="str">
        <f>IFERROR(_xlfn.XLOOKUP(TRIM(B1215),Lookup!$B$2:$B$1000,Lookup!$C$2:$C$1000),"")</f>
        <v>Equity</v>
      </c>
      <c r="D1215" s="8" t="s">
        <v>25</v>
      </c>
      <c r="E1215" s="9">
        <v>46181</v>
      </c>
      <c r="F1215" s="8">
        <v>11.0565</v>
      </c>
    </row>
    <row r="1216" spans="1:6" ht="90" x14ac:dyDescent="0.25">
      <c r="A1216" s="8" t="s">
        <v>5</v>
      </c>
      <c r="B1216" s="8" t="s">
        <v>24</v>
      </c>
      <c r="C1216" s="8" t="str">
        <f>IFERROR(_xlfn.XLOOKUP(TRIM(B1216),Lookup!$B$2:$B$1000,Lookup!$C$2:$C$1000),"")</f>
        <v>Equity</v>
      </c>
      <c r="D1216" s="8" t="s">
        <v>25</v>
      </c>
      <c r="E1216" s="9">
        <v>46182</v>
      </c>
      <c r="F1216" s="8">
        <v>11.2119</v>
      </c>
    </row>
    <row r="1217" spans="1:6" ht="90" x14ac:dyDescent="0.25">
      <c r="A1217" s="8" t="s">
        <v>5</v>
      </c>
      <c r="B1217" s="8" t="s">
        <v>24</v>
      </c>
      <c r="C1217" s="8" t="str">
        <f>IFERROR(_xlfn.XLOOKUP(TRIM(B1217),Lookup!$B$2:$B$1000,Lookup!$C$2:$C$1000),"")</f>
        <v>Equity</v>
      </c>
      <c r="D1217" s="8" t="s">
        <v>25</v>
      </c>
      <c r="E1217" s="9">
        <v>46183</v>
      </c>
      <c r="F1217" s="8">
        <v>11.076000000000001</v>
      </c>
    </row>
    <row r="1218" spans="1:6" ht="90" x14ac:dyDescent="0.25">
      <c r="A1218" s="8" t="s">
        <v>5</v>
      </c>
      <c r="B1218" s="8" t="s">
        <v>24</v>
      </c>
      <c r="C1218" s="8" t="str">
        <f>IFERROR(_xlfn.XLOOKUP(TRIM(B1218),Lookup!$B$2:$B$1000,Lookup!$C$2:$C$1000),"")</f>
        <v>Equity</v>
      </c>
      <c r="D1218" s="8" t="s">
        <v>25</v>
      </c>
      <c r="E1218" s="9">
        <v>46184</v>
      </c>
      <c r="F1218" s="8">
        <v>10.9636</v>
      </c>
    </row>
    <row r="1219" spans="1:6" ht="90" x14ac:dyDescent="0.25">
      <c r="A1219" s="8" t="s">
        <v>5</v>
      </c>
      <c r="B1219" s="8" t="s">
        <v>24</v>
      </c>
      <c r="C1219" s="8" t="str">
        <f>IFERROR(_xlfn.XLOOKUP(TRIM(B1219),Lookup!$B$2:$B$1000,Lookup!$C$2:$C$1000),"")</f>
        <v>Equity</v>
      </c>
      <c r="D1219" s="8" t="s">
        <v>25</v>
      </c>
      <c r="E1219" s="9">
        <v>46185</v>
      </c>
      <c r="F1219" s="8">
        <v>11.2987</v>
      </c>
    </row>
    <row r="1220" spans="1:6" ht="90" x14ac:dyDescent="0.25">
      <c r="A1220" s="8" t="s">
        <v>5</v>
      </c>
      <c r="B1220" s="8" t="s">
        <v>24</v>
      </c>
      <c r="C1220" s="8" t="str">
        <f>IFERROR(_xlfn.XLOOKUP(TRIM(B1220),Lookup!$B$2:$B$1000,Lookup!$C$2:$C$1000),"")</f>
        <v>Equity</v>
      </c>
      <c r="D1220" s="8" t="s">
        <v>25</v>
      </c>
      <c r="E1220" s="9">
        <v>46188</v>
      </c>
      <c r="F1220" s="8">
        <v>11.478</v>
      </c>
    </row>
    <row r="1221" spans="1:6" ht="90" x14ac:dyDescent="0.25">
      <c r="A1221" s="8" t="s">
        <v>5</v>
      </c>
      <c r="B1221" s="8" t="s">
        <v>24</v>
      </c>
      <c r="C1221" s="8" t="str">
        <f>IFERROR(_xlfn.XLOOKUP(TRIM(B1221),Lookup!$B$2:$B$1000,Lookup!$C$2:$C$1000),"")</f>
        <v>Equity</v>
      </c>
      <c r="D1221" s="8" t="s">
        <v>25</v>
      </c>
      <c r="E1221" s="9">
        <v>46189</v>
      </c>
      <c r="F1221" s="8">
        <v>11.493</v>
      </c>
    </row>
    <row r="1222" spans="1:6" ht="90" x14ac:dyDescent="0.25">
      <c r="A1222" s="8" t="s">
        <v>5</v>
      </c>
      <c r="B1222" s="8" t="s">
        <v>24</v>
      </c>
      <c r="C1222" s="8" t="str">
        <f>IFERROR(_xlfn.XLOOKUP(TRIM(B1222),Lookup!$B$2:$B$1000,Lookup!$C$2:$C$1000),"")</f>
        <v>Equity</v>
      </c>
      <c r="D1222" s="8" t="s">
        <v>25</v>
      </c>
      <c r="E1222" s="9">
        <v>46190</v>
      </c>
      <c r="F1222" s="8">
        <v>11.5718</v>
      </c>
    </row>
    <row r="1223" spans="1:6" ht="90" x14ac:dyDescent="0.25">
      <c r="A1223" s="8" t="s">
        <v>5</v>
      </c>
      <c r="B1223" s="8" t="s">
        <v>24</v>
      </c>
      <c r="C1223" s="8" t="str">
        <f>IFERROR(_xlfn.XLOOKUP(TRIM(B1223),Lookup!$B$2:$B$1000,Lookup!$C$2:$C$1000),"")</f>
        <v>Equity</v>
      </c>
      <c r="D1223" s="8" t="s">
        <v>25</v>
      </c>
      <c r="E1223" s="9">
        <v>46191</v>
      </c>
      <c r="F1223" s="8">
        <v>11.621</v>
      </c>
    </row>
    <row r="1224" spans="1:6" ht="90" x14ac:dyDescent="0.25">
      <c r="A1224" s="8" t="s">
        <v>5</v>
      </c>
      <c r="B1224" s="8" t="s">
        <v>24</v>
      </c>
      <c r="C1224" s="8" t="str">
        <f>IFERROR(_xlfn.XLOOKUP(TRIM(B1224),Lookup!$B$2:$B$1000,Lookup!$C$2:$C$1000),"")</f>
        <v>Equity</v>
      </c>
      <c r="D1224" s="8" t="s">
        <v>25</v>
      </c>
      <c r="E1224" s="9">
        <v>46192</v>
      </c>
      <c r="F1224" s="8">
        <v>11.655099999999999</v>
      </c>
    </row>
    <row r="1225" spans="1:6" ht="90" x14ac:dyDescent="0.25">
      <c r="A1225" s="8" t="s">
        <v>5</v>
      </c>
      <c r="B1225" s="8" t="s">
        <v>24</v>
      </c>
      <c r="C1225" s="8" t="str">
        <f>IFERROR(_xlfn.XLOOKUP(TRIM(B1225),Lookup!$B$2:$B$1000,Lookup!$C$2:$C$1000),"")</f>
        <v>Equity</v>
      </c>
      <c r="D1225" s="8" t="s">
        <v>25</v>
      </c>
      <c r="E1225" s="9">
        <v>46195</v>
      </c>
      <c r="F1225" s="8">
        <v>11.6829</v>
      </c>
    </row>
    <row r="1226" spans="1:6" ht="90" x14ac:dyDescent="0.25">
      <c r="A1226" s="8" t="s">
        <v>5</v>
      </c>
      <c r="B1226" s="8" t="s">
        <v>24</v>
      </c>
      <c r="C1226" s="8" t="str">
        <f>IFERROR(_xlfn.XLOOKUP(TRIM(B1226),Lookup!$B$2:$B$1000,Lookup!$C$2:$C$1000),"")</f>
        <v>Equity</v>
      </c>
      <c r="D1226" s="8" t="s">
        <v>25</v>
      </c>
      <c r="E1226" s="9">
        <v>46196</v>
      </c>
      <c r="F1226" s="8">
        <v>11.5547</v>
      </c>
    </row>
    <row r="1227" spans="1:6" ht="90" x14ac:dyDescent="0.25">
      <c r="A1227" s="8" t="s">
        <v>5</v>
      </c>
      <c r="B1227" s="8" t="s">
        <v>24</v>
      </c>
      <c r="C1227" s="8" t="str">
        <f>IFERROR(_xlfn.XLOOKUP(TRIM(B1227),Lookup!$B$2:$B$1000,Lookup!$C$2:$C$1000),"")</f>
        <v>Equity</v>
      </c>
      <c r="D1227" s="8" t="s">
        <v>25</v>
      </c>
      <c r="E1227" s="9">
        <v>46197</v>
      </c>
      <c r="F1227" s="8">
        <v>11.514200000000001</v>
      </c>
    </row>
    <row r="1228" spans="1:6" ht="90" x14ac:dyDescent="0.25">
      <c r="A1228" s="8" t="s">
        <v>5</v>
      </c>
      <c r="B1228" s="8" t="s">
        <v>24</v>
      </c>
      <c r="C1228" s="8" t="str">
        <f>IFERROR(_xlfn.XLOOKUP(TRIM(B1228),Lookup!$B$2:$B$1000,Lookup!$C$2:$C$1000),"")</f>
        <v>Equity</v>
      </c>
      <c r="D1228" s="8" t="s">
        <v>25</v>
      </c>
      <c r="E1228" s="9">
        <v>46198</v>
      </c>
      <c r="F1228" s="8">
        <v>11.476699999999999</v>
      </c>
    </row>
    <row r="1229" spans="1:6" ht="90" x14ac:dyDescent="0.25">
      <c r="A1229" s="8" t="s">
        <v>5</v>
      </c>
      <c r="B1229" s="8" t="s">
        <v>24</v>
      </c>
      <c r="C1229" s="8" t="str">
        <f>IFERROR(_xlfn.XLOOKUP(TRIM(B1229),Lookup!$B$2:$B$1000,Lookup!$C$2:$C$1000),"")</f>
        <v>Equity</v>
      </c>
      <c r="D1229" s="8" t="s">
        <v>25</v>
      </c>
      <c r="E1229" s="9">
        <v>46202</v>
      </c>
      <c r="F1229" s="8">
        <v>11.384399999999999</v>
      </c>
    </row>
    <row r="1230" spans="1:6" ht="90" x14ac:dyDescent="0.25">
      <c r="A1230" s="8" t="s">
        <v>5</v>
      </c>
      <c r="B1230" s="8" t="s">
        <v>24</v>
      </c>
      <c r="C1230" s="8" t="str">
        <f>IFERROR(_xlfn.XLOOKUP(TRIM(B1230),Lookup!$B$2:$B$1000,Lookup!$C$2:$C$1000),"")</f>
        <v>Equity</v>
      </c>
      <c r="D1230" s="8" t="s">
        <v>25</v>
      </c>
      <c r="E1230" s="9">
        <v>46203</v>
      </c>
      <c r="F1230" s="8">
        <v>11.3972</v>
      </c>
    </row>
    <row r="1231" spans="1:6" ht="90" x14ac:dyDescent="0.25">
      <c r="A1231" s="8" t="s">
        <v>5</v>
      </c>
      <c r="B1231" s="8" t="s">
        <v>24</v>
      </c>
      <c r="C1231" s="8" t="str">
        <f>IFERROR(_xlfn.XLOOKUP(TRIM(B1231),Lookup!$B$2:$B$1000,Lookup!$C$2:$C$1000),"")</f>
        <v>Equity</v>
      </c>
      <c r="D1231" s="8" t="s">
        <v>25</v>
      </c>
      <c r="E1231" s="9">
        <v>46204</v>
      </c>
      <c r="F1231" s="8">
        <v>11.376300000000001</v>
      </c>
    </row>
    <row r="1232" spans="1:6" ht="90" x14ac:dyDescent="0.25">
      <c r="A1232" s="8" t="s">
        <v>5</v>
      </c>
      <c r="B1232" s="8" t="s">
        <v>24</v>
      </c>
      <c r="C1232" s="8" t="str">
        <f>IFERROR(_xlfn.XLOOKUP(TRIM(B1232),Lookup!$B$2:$B$1000,Lookup!$C$2:$C$1000),"")</f>
        <v>Equity</v>
      </c>
      <c r="D1232" s="8" t="s">
        <v>25</v>
      </c>
      <c r="E1232" s="9">
        <v>46205</v>
      </c>
      <c r="F1232" s="8">
        <v>11.36</v>
      </c>
    </row>
    <row r="1233" spans="1:6" ht="90" x14ac:dyDescent="0.25">
      <c r="A1233" s="8" t="s">
        <v>5</v>
      </c>
      <c r="B1233" s="8" t="s">
        <v>24</v>
      </c>
      <c r="C1233" s="8" t="str">
        <f>IFERROR(_xlfn.XLOOKUP(TRIM(B1233),Lookup!$B$2:$B$1000,Lookup!$C$2:$C$1000),"")</f>
        <v>Equity</v>
      </c>
      <c r="D1233" s="8" t="s">
        <v>25</v>
      </c>
      <c r="E1233" s="9">
        <v>46206</v>
      </c>
      <c r="F1233" s="8">
        <v>11.2448</v>
      </c>
    </row>
    <row r="1234" spans="1:6" ht="90" x14ac:dyDescent="0.25">
      <c r="A1234" s="8" t="s">
        <v>5</v>
      </c>
      <c r="B1234" s="8" t="s">
        <v>24</v>
      </c>
      <c r="C1234" s="8" t="str">
        <f>IFERROR(_xlfn.XLOOKUP(TRIM(B1234),Lookup!$B$2:$B$1000,Lookup!$C$2:$C$1000),"")</f>
        <v>Equity</v>
      </c>
      <c r="D1234" s="8" t="s">
        <v>25</v>
      </c>
      <c r="E1234" s="9">
        <v>46209</v>
      </c>
      <c r="F1234" s="8">
        <v>11.291600000000001</v>
      </c>
    </row>
    <row r="1235" spans="1:6" ht="90" x14ac:dyDescent="0.25">
      <c r="A1235" s="8" t="s">
        <v>5</v>
      </c>
      <c r="B1235" s="8" t="s">
        <v>24</v>
      </c>
      <c r="C1235" s="8" t="str">
        <f>IFERROR(_xlfn.XLOOKUP(TRIM(B1235),Lookup!$B$2:$B$1000,Lookup!$C$2:$C$1000),"")</f>
        <v>Equity</v>
      </c>
      <c r="D1235" s="8" t="s">
        <v>25</v>
      </c>
      <c r="E1235" s="9">
        <v>46210</v>
      </c>
      <c r="F1235" s="8">
        <v>11.1541</v>
      </c>
    </row>
    <row r="1236" spans="1:6" ht="90" x14ac:dyDescent="0.25">
      <c r="A1236" s="8" t="s">
        <v>5</v>
      </c>
      <c r="B1236" s="8" t="s">
        <v>24</v>
      </c>
      <c r="C1236" s="8" t="str">
        <f>IFERROR(_xlfn.XLOOKUP(TRIM(B1236),Lookup!$B$2:$B$1000,Lookup!$C$2:$C$1000),"")</f>
        <v>Equity</v>
      </c>
      <c r="D1236" s="8" t="s">
        <v>25</v>
      </c>
      <c r="E1236" s="9">
        <v>46211</v>
      </c>
      <c r="F1236" s="8">
        <v>11.050599999999999</v>
      </c>
    </row>
    <row r="1237" spans="1:6" ht="90" x14ac:dyDescent="0.25">
      <c r="A1237" s="8" t="s">
        <v>5</v>
      </c>
      <c r="B1237" s="8" t="s">
        <v>24</v>
      </c>
      <c r="C1237" s="8" t="str">
        <f>IFERROR(_xlfn.XLOOKUP(TRIM(B1237),Lookup!$B$2:$B$1000,Lookup!$C$2:$C$1000),"")</f>
        <v>Equity</v>
      </c>
      <c r="D1237" s="8" t="s">
        <v>25</v>
      </c>
      <c r="E1237" s="9">
        <v>46212</v>
      </c>
      <c r="F1237" s="8">
        <v>11.2126</v>
      </c>
    </row>
    <row r="1238" spans="1:6" ht="90" x14ac:dyDescent="0.25">
      <c r="A1238" s="8" t="s">
        <v>5</v>
      </c>
      <c r="B1238" s="8" t="s">
        <v>24</v>
      </c>
      <c r="C1238" s="8" t="str">
        <f>IFERROR(_xlfn.XLOOKUP(TRIM(B1238),Lookup!$B$2:$B$1000,Lookup!$C$2:$C$1000),"")</f>
        <v>Equity</v>
      </c>
      <c r="D1238" s="8" t="s">
        <v>25</v>
      </c>
      <c r="E1238" s="9">
        <v>46213</v>
      </c>
      <c r="F1238" s="8">
        <v>11.355399999999999</v>
      </c>
    </row>
    <row r="1239" spans="1:6" ht="90" x14ac:dyDescent="0.25">
      <c r="A1239" s="8" t="s">
        <v>5</v>
      </c>
      <c r="B1239" s="8" t="s">
        <v>24</v>
      </c>
      <c r="C1239" s="8" t="str">
        <f>IFERROR(_xlfn.XLOOKUP(TRIM(B1239),Lookup!$B$2:$B$1000,Lookup!$C$2:$C$1000),"")</f>
        <v>Equity</v>
      </c>
      <c r="D1239" s="8" t="s">
        <v>25</v>
      </c>
      <c r="E1239" s="9">
        <v>46216</v>
      </c>
      <c r="F1239" s="8">
        <v>11.3514</v>
      </c>
    </row>
    <row r="1240" spans="1:6" ht="90" x14ac:dyDescent="0.25">
      <c r="A1240" s="8" t="s">
        <v>5</v>
      </c>
      <c r="B1240" s="8" t="s">
        <v>24</v>
      </c>
      <c r="C1240" s="8" t="str">
        <f>IFERROR(_xlfn.XLOOKUP(TRIM(B1240),Lookup!$B$2:$B$1000,Lookup!$C$2:$C$1000),"")</f>
        <v>Equity</v>
      </c>
      <c r="D1240" s="8" t="s">
        <v>25</v>
      </c>
      <c r="E1240" s="9">
        <v>46217</v>
      </c>
      <c r="F1240" s="8">
        <v>11.3306</v>
      </c>
    </row>
    <row r="1241" spans="1:6" ht="90" x14ac:dyDescent="0.25">
      <c r="A1241" s="8" t="s">
        <v>5</v>
      </c>
      <c r="B1241" s="8" t="s">
        <v>24</v>
      </c>
      <c r="C1241" s="8" t="str">
        <f>IFERROR(_xlfn.XLOOKUP(TRIM(B1241),Lookup!$B$2:$B$1000,Lookup!$C$2:$C$1000),"")</f>
        <v>Equity</v>
      </c>
      <c r="D1241" s="8" t="s">
        <v>25</v>
      </c>
      <c r="E1241" s="9">
        <v>46218</v>
      </c>
      <c r="F1241" s="8">
        <v>11.380699999999999</v>
      </c>
    </row>
    <row r="1242" spans="1:6" ht="90" x14ac:dyDescent="0.25">
      <c r="A1242" s="8" t="s">
        <v>5</v>
      </c>
      <c r="B1242" s="8" t="s">
        <v>24</v>
      </c>
      <c r="C1242" s="8" t="str">
        <f>IFERROR(_xlfn.XLOOKUP(TRIM(B1242),Lookup!$B$2:$B$1000,Lookup!$C$2:$C$1000),"")</f>
        <v>Equity</v>
      </c>
      <c r="D1242" s="8" t="s">
        <v>25</v>
      </c>
      <c r="E1242" s="9">
        <v>46219</v>
      </c>
      <c r="F1242" s="8">
        <v>11.3187</v>
      </c>
    </row>
    <row r="1243" spans="1:6" ht="90" x14ac:dyDescent="0.25">
      <c r="A1243" s="8" t="s">
        <v>5</v>
      </c>
      <c r="B1243" s="8" t="s">
        <v>24</v>
      </c>
      <c r="C1243" s="8" t="str">
        <f>IFERROR(_xlfn.XLOOKUP(TRIM(B1243),Lookup!$B$2:$B$1000,Lookup!$C$2:$C$1000),"")</f>
        <v>Equity</v>
      </c>
      <c r="D1243" s="8" t="s">
        <v>25</v>
      </c>
      <c r="E1243" s="9">
        <v>46220</v>
      </c>
      <c r="F1243" s="8">
        <v>11.2224</v>
      </c>
    </row>
    <row r="1244" spans="1:6" ht="90" x14ac:dyDescent="0.25">
      <c r="A1244" s="8" t="s">
        <v>5</v>
      </c>
      <c r="B1244" s="8" t="s">
        <v>24</v>
      </c>
      <c r="C1244" s="8" t="str">
        <f>IFERROR(_xlfn.XLOOKUP(TRIM(B1244),Lookup!$B$2:$B$1000,Lookup!$C$2:$C$1000),"")</f>
        <v>Equity</v>
      </c>
      <c r="D1244" s="8" t="s">
        <v>25</v>
      </c>
      <c r="E1244" s="9">
        <v>46223</v>
      </c>
      <c r="F1244" s="8">
        <v>11.2966</v>
      </c>
    </row>
    <row r="1245" spans="1:6" ht="90" x14ac:dyDescent="0.25">
      <c r="A1245" s="8" t="s">
        <v>5</v>
      </c>
      <c r="B1245" s="8" t="s">
        <v>24</v>
      </c>
      <c r="C1245" s="8" t="str">
        <f>IFERROR(_xlfn.XLOOKUP(TRIM(B1245),Lookup!$B$2:$B$1000,Lookup!$C$2:$C$1000),"")</f>
        <v>Equity</v>
      </c>
      <c r="D1245" s="8" t="s">
        <v>25</v>
      </c>
      <c r="E1245" s="9">
        <v>46224</v>
      </c>
      <c r="F1245" s="8">
        <v>11.344200000000001</v>
      </c>
    </row>
    <row r="1246" spans="1:6" ht="90" x14ac:dyDescent="0.25">
      <c r="A1246" s="8" t="s">
        <v>5</v>
      </c>
      <c r="B1246" s="8" t="s">
        <v>24</v>
      </c>
      <c r="C1246" s="8" t="str">
        <f>IFERROR(_xlfn.XLOOKUP(TRIM(B1246),Lookup!$B$2:$B$1000,Lookup!$C$2:$C$1000),"")</f>
        <v>Equity</v>
      </c>
      <c r="D1246" s="8" t="s">
        <v>25</v>
      </c>
      <c r="E1246" s="9">
        <v>46225</v>
      </c>
      <c r="F1246" s="8">
        <v>11.236700000000001</v>
      </c>
    </row>
    <row r="1247" spans="1:6" ht="90" x14ac:dyDescent="0.25">
      <c r="A1247" s="8" t="s">
        <v>5</v>
      </c>
      <c r="B1247" s="8" t="s">
        <v>24</v>
      </c>
      <c r="C1247" s="8" t="str">
        <f>IFERROR(_xlfn.XLOOKUP(TRIM(B1247),Lookup!$B$2:$B$1000,Lookup!$C$2:$C$1000),"")</f>
        <v>Equity</v>
      </c>
      <c r="D1247" s="8" t="s">
        <v>25</v>
      </c>
      <c r="E1247" s="9">
        <v>46226</v>
      </c>
      <c r="F1247" s="8">
        <v>11.119899999999999</v>
      </c>
    </row>
    <row r="1248" spans="1:6" ht="90" x14ac:dyDescent="0.25">
      <c r="A1248" s="8" t="s">
        <v>5</v>
      </c>
      <c r="B1248" s="8" t="s">
        <v>24</v>
      </c>
      <c r="C1248" s="8" t="str">
        <f>IFERROR(_xlfn.XLOOKUP(TRIM(B1248),Lookup!$B$2:$B$1000,Lookup!$C$2:$C$1000),"")</f>
        <v>Equity</v>
      </c>
      <c r="D1248" s="8" t="s">
        <v>25</v>
      </c>
      <c r="E1248" s="9">
        <v>46227</v>
      </c>
      <c r="F1248" s="8">
        <v>11.0999</v>
      </c>
    </row>
    <row r="1249" spans="1:6" ht="90" x14ac:dyDescent="0.25">
      <c r="A1249" s="8" t="s">
        <v>5</v>
      </c>
      <c r="B1249" s="8" t="s">
        <v>24</v>
      </c>
      <c r="C1249" s="8" t="str">
        <f>IFERROR(_xlfn.XLOOKUP(TRIM(B1249),Lookup!$B$2:$B$1000,Lookup!$C$2:$C$1000),"")</f>
        <v>Equity</v>
      </c>
      <c r="D1249" s="8" t="s">
        <v>25</v>
      </c>
      <c r="E1249" s="9">
        <v>46230</v>
      </c>
      <c r="F1249" s="8">
        <v>11.2194</v>
      </c>
    </row>
    <row r="1250" spans="1:6" ht="90" x14ac:dyDescent="0.25">
      <c r="A1250" s="8" t="s">
        <v>5</v>
      </c>
      <c r="B1250" s="8" t="s">
        <v>24</v>
      </c>
      <c r="C1250" s="8" t="str">
        <f>IFERROR(_xlfn.XLOOKUP(TRIM(B1250),Lookup!$B$2:$B$1000,Lookup!$C$2:$C$1000),"")</f>
        <v>Equity</v>
      </c>
      <c r="D1250" s="8" t="s">
        <v>25</v>
      </c>
      <c r="E1250" s="9">
        <v>46231</v>
      </c>
      <c r="F1250" s="8">
        <v>11.1785</v>
      </c>
    </row>
    <row r="1251" spans="1:6" ht="90" x14ac:dyDescent="0.25">
      <c r="A1251" s="8" t="s">
        <v>5</v>
      </c>
      <c r="B1251" s="8" t="s">
        <v>24</v>
      </c>
      <c r="C1251" s="8" t="str">
        <f>IFERROR(_xlfn.XLOOKUP(TRIM(B1251),Lookup!$B$2:$B$1000,Lookup!$C$2:$C$1000),"")</f>
        <v>Equity</v>
      </c>
      <c r="D1251" s="8" t="s">
        <v>25</v>
      </c>
      <c r="E1251" s="9">
        <v>46232</v>
      </c>
      <c r="F1251" s="8">
        <v>11.2813</v>
      </c>
    </row>
    <row r="1252" spans="1:6" ht="90" x14ac:dyDescent="0.25">
      <c r="A1252" s="8" t="s">
        <v>5</v>
      </c>
      <c r="B1252" s="8" t="s">
        <v>24</v>
      </c>
      <c r="C1252" s="8" t="str">
        <f>IFERROR(_xlfn.XLOOKUP(TRIM(B1252),Lookup!$B$2:$B$1000,Lookup!$C$2:$C$1000),"")</f>
        <v>Equity</v>
      </c>
      <c r="D1252" s="8" t="s">
        <v>25</v>
      </c>
      <c r="E1252" s="9">
        <v>46233</v>
      </c>
      <c r="F1252" s="8">
        <v>11.2193</v>
      </c>
    </row>
    <row r="1253" spans="1:6" ht="90" x14ac:dyDescent="0.25">
      <c r="A1253" s="8" t="s">
        <v>5</v>
      </c>
      <c r="B1253" s="8" t="s">
        <v>24</v>
      </c>
      <c r="C1253" s="8" t="str">
        <f>IFERROR(_xlfn.XLOOKUP(TRIM(B1253),Lookup!$B$2:$B$1000,Lookup!$C$2:$C$1000),"")</f>
        <v>Equity</v>
      </c>
      <c r="D1253" s="8" t="s">
        <v>25</v>
      </c>
      <c r="E1253" s="9">
        <v>46234</v>
      </c>
      <c r="F1253" s="8">
        <v>11.357799999999999</v>
      </c>
    </row>
    <row r="1254" spans="1:6" ht="60" x14ac:dyDescent="0.25">
      <c r="A1254" s="8" t="s">
        <v>5</v>
      </c>
      <c r="B1254" s="8" t="s">
        <v>26</v>
      </c>
      <c r="C1254" s="8" t="str">
        <f>IFERROR(_xlfn.XLOOKUP(TRIM(B1254),Lookup!$B$2:$B$1000,Lookup!$C$2:$C$1000),"")</f>
        <v>Equity</v>
      </c>
      <c r="D1254" s="8" t="s">
        <v>27</v>
      </c>
      <c r="E1254" s="9">
        <v>45869</v>
      </c>
      <c r="F1254" s="8">
        <v>18.5274</v>
      </c>
    </row>
    <row r="1255" spans="1:6" ht="60" x14ac:dyDescent="0.25">
      <c r="A1255" s="8" t="s">
        <v>5</v>
      </c>
      <c r="B1255" s="8" t="s">
        <v>26</v>
      </c>
      <c r="C1255" s="8" t="str">
        <f>IFERROR(_xlfn.XLOOKUP(TRIM(B1255),Lookup!$B$2:$B$1000,Lookup!$C$2:$C$1000),"")</f>
        <v>Equity</v>
      </c>
      <c r="D1255" s="8" t="s">
        <v>27</v>
      </c>
      <c r="E1255" s="9">
        <v>45876</v>
      </c>
      <c r="F1255" s="8">
        <v>18.365300000000001</v>
      </c>
    </row>
    <row r="1256" spans="1:6" ht="60" x14ac:dyDescent="0.25">
      <c r="A1256" s="8" t="s">
        <v>5</v>
      </c>
      <c r="B1256" s="8" t="s">
        <v>26</v>
      </c>
      <c r="C1256" s="8" t="str">
        <f>IFERROR(_xlfn.XLOOKUP(TRIM(B1256),Lookup!$B$2:$B$1000,Lookup!$C$2:$C$1000),"")</f>
        <v>Equity</v>
      </c>
      <c r="D1256" s="8" t="s">
        <v>27</v>
      </c>
      <c r="E1256" s="9">
        <v>45883</v>
      </c>
      <c r="F1256" s="8">
        <v>18.293099999999999</v>
      </c>
    </row>
    <row r="1257" spans="1:6" ht="60" x14ac:dyDescent="0.25">
      <c r="A1257" s="8" t="s">
        <v>5</v>
      </c>
      <c r="B1257" s="8" t="s">
        <v>26</v>
      </c>
      <c r="C1257" s="8" t="str">
        <f>IFERROR(_xlfn.XLOOKUP(TRIM(B1257),Lookup!$B$2:$B$1000,Lookup!$C$2:$C$1000),"")</f>
        <v>Equity</v>
      </c>
      <c r="D1257" s="8" t="s">
        <v>27</v>
      </c>
      <c r="E1257" s="9">
        <v>45891</v>
      </c>
      <c r="F1257" s="8">
        <v>18.695599999999999</v>
      </c>
    </row>
    <row r="1258" spans="1:6" ht="60" x14ac:dyDescent="0.25">
      <c r="A1258" s="8" t="s">
        <v>5</v>
      </c>
      <c r="B1258" s="8" t="s">
        <v>26</v>
      </c>
      <c r="C1258" s="8" t="str">
        <f>IFERROR(_xlfn.XLOOKUP(TRIM(B1258),Lookup!$B$2:$B$1000,Lookup!$C$2:$C$1000),"")</f>
        <v>Equity</v>
      </c>
      <c r="D1258" s="8" t="s">
        <v>27</v>
      </c>
      <c r="E1258" s="9">
        <v>45901</v>
      </c>
      <c r="F1258" s="8">
        <v>18.4603</v>
      </c>
    </row>
    <row r="1259" spans="1:6" ht="60" x14ac:dyDescent="0.25">
      <c r="A1259" s="8" t="s">
        <v>5</v>
      </c>
      <c r="B1259" s="8" t="s">
        <v>26</v>
      </c>
      <c r="C1259" s="8" t="str">
        <f>IFERROR(_xlfn.XLOOKUP(TRIM(B1259),Lookup!$B$2:$B$1000,Lookup!$C$2:$C$1000),"")</f>
        <v>Equity</v>
      </c>
      <c r="D1259" s="8" t="s">
        <v>27</v>
      </c>
      <c r="E1259" s="9">
        <v>45908</v>
      </c>
      <c r="F1259" s="8">
        <v>18.602900000000002</v>
      </c>
    </row>
    <row r="1260" spans="1:6" ht="60" x14ac:dyDescent="0.25">
      <c r="A1260" s="8" t="s">
        <v>5</v>
      </c>
      <c r="B1260" s="8" t="s">
        <v>26</v>
      </c>
      <c r="C1260" s="8" t="str">
        <f>IFERROR(_xlfn.XLOOKUP(TRIM(B1260),Lookup!$B$2:$B$1000,Lookup!$C$2:$C$1000),"")</f>
        <v>Equity</v>
      </c>
      <c r="D1260" s="8" t="s">
        <v>27</v>
      </c>
      <c r="E1260" s="9">
        <v>45915</v>
      </c>
      <c r="F1260" s="8">
        <v>18.9376</v>
      </c>
    </row>
    <row r="1261" spans="1:6" ht="60" x14ac:dyDescent="0.25">
      <c r="A1261" s="8" t="s">
        <v>5</v>
      </c>
      <c r="B1261" s="8" t="s">
        <v>26</v>
      </c>
      <c r="C1261" s="8" t="str">
        <f>IFERROR(_xlfn.XLOOKUP(TRIM(B1261),Lookup!$B$2:$B$1000,Lookup!$C$2:$C$1000),"")</f>
        <v>Equity</v>
      </c>
      <c r="D1261" s="8" t="s">
        <v>27</v>
      </c>
      <c r="E1261" s="9">
        <v>45922</v>
      </c>
      <c r="F1261" s="8">
        <v>19.0154</v>
      </c>
    </row>
    <row r="1262" spans="1:6" ht="60" x14ac:dyDescent="0.25">
      <c r="A1262" s="8" t="s">
        <v>5</v>
      </c>
      <c r="B1262" s="8" t="s">
        <v>26</v>
      </c>
      <c r="C1262" s="8" t="str">
        <f>IFERROR(_xlfn.XLOOKUP(TRIM(B1262),Lookup!$B$2:$B$1000,Lookup!$C$2:$C$1000),"")</f>
        <v>Equity</v>
      </c>
      <c r="D1262" s="8" t="s">
        <v>27</v>
      </c>
      <c r="E1262" s="9">
        <v>45929</v>
      </c>
      <c r="F1262" s="8">
        <v>18.3108</v>
      </c>
    </row>
    <row r="1263" spans="1:6" ht="60" x14ac:dyDescent="0.25">
      <c r="A1263" s="8" t="s">
        <v>5</v>
      </c>
      <c r="B1263" s="8" t="s">
        <v>26</v>
      </c>
      <c r="C1263" s="8" t="str">
        <f>IFERROR(_xlfn.XLOOKUP(TRIM(B1263),Lookup!$B$2:$B$1000,Lookup!$C$2:$C$1000),"")</f>
        <v>Equity</v>
      </c>
      <c r="D1263" s="8" t="s">
        <v>27</v>
      </c>
      <c r="E1263" s="9">
        <v>45937</v>
      </c>
      <c r="F1263" s="8">
        <v>18.8795</v>
      </c>
    </row>
    <row r="1264" spans="1:6" ht="60" x14ac:dyDescent="0.25">
      <c r="A1264" s="8" t="s">
        <v>5</v>
      </c>
      <c r="B1264" s="8" t="s">
        <v>26</v>
      </c>
      <c r="C1264" s="8" t="str">
        <f>IFERROR(_xlfn.XLOOKUP(TRIM(B1264),Lookup!$B$2:$B$1000,Lookup!$C$2:$C$1000),"")</f>
        <v>Equity</v>
      </c>
      <c r="D1264" s="8" t="s">
        <v>27</v>
      </c>
      <c r="E1264" s="9">
        <v>45944</v>
      </c>
      <c r="F1264" s="8">
        <v>18.899699999999999</v>
      </c>
    </row>
    <row r="1265" spans="1:6" ht="60" x14ac:dyDescent="0.25">
      <c r="A1265" s="8" t="s">
        <v>5</v>
      </c>
      <c r="B1265" s="8" t="s">
        <v>26</v>
      </c>
      <c r="C1265" s="8" t="str">
        <f>IFERROR(_xlfn.XLOOKUP(TRIM(B1265),Lookup!$B$2:$B$1000,Lookup!$C$2:$C$1000),"")</f>
        <v>Equity</v>
      </c>
      <c r="D1265" s="8" t="s">
        <v>27</v>
      </c>
      <c r="E1265" s="9">
        <v>45953</v>
      </c>
      <c r="F1265" s="8">
        <v>19.197399999999998</v>
      </c>
    </row>
    <row r="1266" spans="1:6" ht="60" x14ac:dyDescent="0.25">
      <c r="A1266" s="8" t="s">
        <v>5</v>
      </c>
      <c r="B1266" s="8" t="s">
        <v>26</v>
      </c>
      <c r="C1266" s="8" t="str">
        <f>IFERROR(_xlfn.XLOOKUP(TRIM(B1266),Lookup!$B$2:$B$1000,Lookup!$C$2:$C$1000),"")</f>
        <v>Equity</v>
      </c>
      <c r="D1266" s="8" t="s">
        <v>27</v>
      </c>
      <c r="E1266" s="9">
        <v>45960</v>
      </c>
      <c r="F1266" s="8">
        <v>19.407900000000001</v>
      </c>
    </row>
    <row r="1267" spans="1:6" ht="60" x14ac:dyDescent="0.25">
      <c r="A1267" s="8" t="s">
        <v>5</v>
      </c>
      <c r="B1267" s="8" t="s">
        <v>26</v>
      </c>
      <c r="C1267" s="8" t="str">
        <f>IFERROR(_xlfn.XLOOKUP(TRIM(B1267),Lookup!$B$2:$B$1000,Lookup!$C$2:$C$1000),"")</f>
        <v>Equity</v>
      </c>
      <c r="D1267" s="8" t="s">
        <v>27</v>
      </c>
      <c r="E1267" s="9">
        <v>45968</v>
      </c>
      <c r="F1267" s="8">
        <v>19.304099999999998</v>
      </c>
    </row>
    <row r="1268" spans="1:6" ht="60" x14ac:dyDescent="0.25">
      <c r="A1268" s="8" t="s">
        <v>5</v>
      </c>
      <c r="B1268" s="8" t="s">
        <v>26</v>
      </c>
      <c r="C1268" s="8" t="str">
        <f>IFERROR(_xlfn.XLOOKUP(TRIM(B1268),Lookup!$B$2:$B$1000,Lookup!$C$2:$C$1000),"")</f>
        <v>Equity</v>
      </c>
      <c r="D1268" s="8" t="s">
        <v>27</v>
      </c>
      <c r="E1268" s="9">
        <v>45975</v>
      </c>
      <c r="F1268" s="8">
        <v>19.593800000000002</v>
      </c>
    </row>
    <row r="1269" spans="1:6" ht="60" x14ac:dyDescent="0.25">
      <c r="A1269" s="8" t="s">
        <v>5</v>
      </c>
      <c r="B1269" s="8" t="s">
        <v>26</v>
      </c>
      <c r="C1269" s="8" t="str">
        <f>IFERROR(_xlfn.XLOOKUP(TRIM(B1269),Lookup!$B$2:$B$1000,Lookup!$C$2:$C$1000),"")</f>
        <v>Equity</v>
      </c>
      <c r="D1269" s="8" t="s">
        <v>27</v>
      </c>
      <c r="E1269" s="9">
        <v>45982</v>
      </c>
      <c r="F1269" s="8">
        <v>19.457799999999999</v>
      </c>
    </row>
    <row r="1270" spans="1:6" ht="60" x14ac:dyDescent="0.25">
      <c r="A1270" s="8" t="s">
        <v>5</v>
      </c>
      <c r="B1270" s="8" t="s">
        <v>26</v>
      </c>
      <c r="C1270" s="8" t="str">
        <f>IFERROR(_xlfn.XLOOKUP(TRIM(B1270),Lookup!$B$2:$B$1000,Lookup!$C$2:$C$1000),"")</f>
        <v>Equity</v>
      </c>
      <c r="D1270" s="8" t="s">
        <v>27</v>
      </c>
      <c r="E1270" s="9">
        <v>45989</v>
      </c>
      <c r="F1270" s="8">
        <v>19.7133</v>
      </c>
    </row>
    <row r="1271" spans="1:6" ht="60" x14ac:dyDescent="0.25">
      <c r="A1271" s="8" t="s">
        <v>5</v>
      </c>
      <c r="B1271" s="8" t="s">
        <v>26</v>
      </c>
      <c r="C1271" s="8" t="str">
        <f>IFERROR(_xlfn.XLOOKUP(TRIM(B1271),Lookup!$B$2:$B$1000,Lookup!$C$2:$C$1000),"")</f>
        <v>Equity</v>
      </c>
      <c r="D1271" s="8" t="s">
        <v>27</v>
      </c>
      <c r="E1271" s="9">
        <v>45996</v>
      </c>
      <c r="F1271" s="8">
        <v>19.548100000000002</v>
      </c>
    </row>
    <row r="1272" spans="1:6" ht="60" x14ac:dyDescent="0.25">
      <c r="A1272" s="8" t="s">
        <v>5</v>
      </c>
      <c r="B1272" s="8" t="s">
        <v>26</v>
      </c>
      <c r="C1272" s="8" t="str">
        <f>IFERROR(_xlfn.XLOOKUP(TRIM(B1272),Lookup!$B$2:$B$1000,Lookup!$C$2:$C$1000),"")</f>
        <v>Equity</v>
      </c>
      <c r="D1272" s="8" t="s">
        <v>27</v>
      </c>
      <c r="E1272" s="9">
        <v>46003</v>
      </c>
      <c r="F1272" s="8">
        <v>19.489000000000001</v>
      </c>
    </row>
    <row r="1273" spans="1:6" ht="60" x14ac:dyDescent="0.25">
      <c r="A1273" s="8" t="s">
        <v>5</v>
      </c>
      <c r="B1273" s="8" t="s">
        <v>26</v>
      </c>
      <c r="C1273" s="8" t="str">
        <f>IFERROR(_xlfn.XLOOKUP(TRIM(B1273),Lookup!$B$2:$B$1000,Lookup!$C$2:$C$1000),"")</f>
        <v>Equity</v>
      </c>
      <c r="D1273" s="8" t="s">
        <v>27</v>
      </c>
      <c r="E1273" s="9">
        <v>46010</v>
      </c>
      <c r="F1273" s="8">
        <v>19.503599999999999</v>
      </c>
    </row>
    <row r="1274" spans="1:6" ht="60" x14ac:dyDescent="0.25">
      <c r="A1274" s="8" t="s">
        <v>5</v>
      </c>
      <c r="B1274" s="8" t="s">
        <v>26</v>
      </c>
      <c r="C1274" s="8" t="str">
        <f>IFERROR(_xlfn.XLOOKUP(TRIM(B1274),Lookup!$B$2:$B$1000,Lookup!$C$2:$C$1000),"")</f>
        <v>Equity</v>
      </c>
      <c r="D1274" s="8" t="s">
        <v>27</v>
      </c>
      <c r="E1274" s="9">
        <v>46020</v>
      </c>
      <c r="F1274" s="8">
        <v>19.384799999999998</v>
      </c>
    </row>
    <row r="1275" spans="1:6" ht="60" x14ac:dyDescent="0.25">
      <c r="A1275" s="8" t="s">
        <v>5</v>
      </c>
      <c r="B1275" s="8" t="s">
        <v>26</v>
      </c>
      <c r="C1275" s="8" t="str">
        <f>IFERROR(_xlfn.XLOOKUP(TRIM(B1275),Lookup!$B$2:$B$1000,Lookup!$C$2:$C$1000),"")</f>
        <v>Equity</v>
      </c>
      <c r="D1275" s="8" t="s">
        <v>27</v>
      </c>
      <c r="E1275" s="9">
        <v>46027</v>
      </c>
      <c r="F1275" s="8">
        <v>19.738800000000001</v>
      </c>
    </row>
    <row r="1276" spans="1:6" ht="60" x14ac:dyDescent="0.25">
      <c r="A1276" s="8" t="s">
        <v>5</v>
      </c>
      <c r="B1276" s="8" t="s">
        <v>26</v>
      </c>
      <c r="C1276" s="8" t="str">
        <f>IFERROR(_xlfn.XLOOKUP(TRIM(B1276),Lookup!$B$2:$B$1000,Lookup!$C$2:$C$1000),"")</f>
        <v>Equity</v>
      </c>
      <c r="D1276" s="8" t="s">
        <v>27</v>
      </c>
      <c r="E1276" s="9">
        <v>46034</v>
      </c>
      <c r="F1276" s="8">
        <v>19.205300000000001</v>
      </c>
    </row>
    <row r="1277" spans="1:6" ht="60" x14ac:dyDescent="0.25">
      <c r="A1277" s="8" t="s">
        <v>5</v>
      </c>
      <c r="B1277" s="8" t="s">
        <v>26</v>
      </c>
      <c r="C1277" s="8" t="str">
        <f>IFERROR(_xlfn.XLOOKUP(TRIM(B1277),Lookup!$B$2:$B$1000,Lookup!$C$2:$C$1000),"")</f>
        <v>Equity</v>
      </c>
      <c r="D1277" s="8" t="s">
        <v>27</v>
      </c>
      <c r="E1277" s="9">
        <v>46042</v>
      </c>
      <c r="F1277" s="8">
        <v>18.6753</v>
      </c>
    </row>
    <row r="1278" spans="1:6" ht="60" x14ac:dyDescent="0.25">
      <c r="A1278" s="8" t="s">
        <v>5</v>
      </c>
      <c r="B1278" s="8" t="s">
        <v>26</v>
      </c>
      <c r="C1278" s="8" t="str">
        <f>IFERROR(_xlfn.XLOOKUP(TRIM(B1278),Lookup!$B$2:$B$1000,Lookup!$C$2:$C$1000),"")</f>
        <v>Equity</v>
      </c>
      <c r="D1278" s="8" t="s">
        <v>27</v>
      </c>
      <c r="E1278" s="9">
        <v>46050</v>
      </c>
      <c r="F1278" s="8">
        <v>18.7653</v>
      </c>
    </row>
    <row r="1279" spans="1:6" ht="60" x14ac:dyDescent="0.25">
      <c r="A1279" s="8" t="s">
        <v>5</v>
      </c>
      <c r="B1279" s="8" t="s">
        <v>26</v>
      </c>
      <c r="C1279" s="8" t="str">
        <f>IFERROR(_xlfn.XLOOKUP(TRIM(B1279),Lookup!$B$2:$B$1000,Lookup!$C$2:$C$1000),"")</f>
        <v>Equity</v>
      </c>
      <c r="D1279" s="8" t="s">
        <v>27</v>
      </c>
      <c r="E1279" s="9">
        <v>46056</v>
      </c>
      <c r="F1279" s="8">
        <v>19.110800000000001</v>
      </c>
    </row>
    <row r="1280" spans="1:6" ht="60" x14ac:dyDescent="0.25">
      <c r="A1280" s="8" t="s">
        <v>5</v>
      </c>
      <c r="B1280" s="8" t="s">
        <v>26</v>
      </c>
      <c r="C1280" s="8" t="str">
        <f>IFERROR(_xlfn.XLOOKUP(TRIM(B1280),Lookup!$B$2:$B$1000,Lookup!$C$2:$C$1000),"")</f>
        <v>Equity</v>
      </c>
      <c r="D1280" s="8" t="s">
        <v>27</v>
      </c>
      <c r="E1280" s="9">
        <v>46063</v>
      </c>
      <c r="F1280" s="8">
        <v>19.543199999999999</v>
      </c>
    </row>
    <row r="1281" spans="1:6" ht="60" x14ac:dyDescent="0.25">
      <c r="A1281" s="8" t="s">
        <v>5</v>
      </c>
      <c r="B1281" s="8" t="s">
        <v>26</v>
      </c>
      <c r="C1281" s="8" t="str">
        <f>IFERROR(_xlfn.XLOOKUP(TRIM(B1281),Lookup!$B$2:$B$1000,Lookup!$C$2:$C$1000),"")</f>
        <v>Equity</v>
      </c>
      <c r="D1281" s="8" t="s">
        <v>27</v>
      </c>
      <c r="E1281" s="9">
        <v>46070</v>
      </c>
      <c r="F1281" s="8">
        <v>19.336600000000001</v>
      </c>
    </row>
    <row r="1282" spans="1:6" ht="60" x14ac:dyDescent="0.25">
      <c r="A1282" s="8" t="s">
        <v>5</v>
      </c>
      <c r="B1282" s="8" t="s">
        <v>26</v>
      </c>
      <c r="C1282" s="8" t="str">
        <f>IFERROR(_xlfn.XLOOKUP(TRIM(B1282),Lookup!$B$2:$B$1000,Lookup!$C$2:$C$1000),"")</f>
        <v>Equity</v>
      </c>
      <c r="D1282" s="8" t="s">
        <v>27</v>
      </c>
      <c r="E1282" s="9">
        <v>46077</v>
      </c>
      <c r="F1282" s="8">
        <v>19.027899999999999</v>
      </c>
    </row>
    <row r="1283" spans="1:6" ht="60" x14ac:dyDescent="0.25">
      <c r="A1283" s="8" t="s">
        <v>5</v>
      </c>
      <c r="B1283" s="8" t="s">
        <v>26</v>
      </c>
      <c r="C1283" s="8" t="str">
        <f>IFERROR(_xlfn.XLOOKUP(TRIM(B1283),Lookup!$B$2:$B$1000,Lookup!$C$2:$C$1000),"")</f>
        <v>Equity</v>
      </c>
      <c r="D1283" s="8" t="s">
        <v>27</v>
      </c>
      <c r="E1283" s="9">
        <v>46085</v>
      </c>
      <c r="F1283" s="8">
        <v>18.376200000000001</v>
      </c>
    </row>
    <row r="1284" spans="1:6" ht="60" x14ac:dyDescent="0.25">
      <c r="A1284" s="8" t="s">
        <v>5</v>
      </c>
      <c r="B1284" s="8" t="s">
        <v>26</v>
      </c>
      <c r="C1284" s="8" t="str">
        <f>IFERROR(_xlfn.XLOOKUP(TRIM(B1284),Lookup!$B$2:$B$1000,Lookup!$C$2:$C$1000),"")</f>
        <v>Equity</v>
      </c>
      <c r="D1284" s="8" t="s">
        <v>27</v>
      </c>
      <c r="E1284" s="9">
        <v>46092</v>
      </c>
      <c r="F1284" s="8">
        <v>18.248200000000001</v>
      </c>
    </row>
    <row r="1285" spans="1:6" ht="60" x14ac:dyDescent="0.25">
      <c r="A1285" s="8" t="s">
        <v>5</v>
      </c>
      <c r="B1285" s="8" t="s">
        <v>26</v>
      </c>
      <c r="C1285" s="8" t="str">
        <f>IFERROR(_xlfn.XLOOKUP(TRIM(B1285),Lookup!$B$2:$B$1000,Lookup!$C$2:$C$1000),"")</f>
        <v>Equity</v>
      </c>
      <c r="D1285" s="8" t="s">
        <v>27</v>
      </c>
      <c r="E1285" s="9">
        <v>46099</v>
      </c>
      <c r="F1285" s="8">
        <v>18.199400000000001</v>
      </c>
    </row>
    <row r="1286" spans="1:6" ht="60" x14ac:dyDescent="0.25">
      <c r="A1286" s="8" t="s">
        <v>5</v>
      </c>
      <c r="B1286" s="8" t="s">
        <v>26</v>
      </c>
      <c r="C1286" s="8" t="str">
        <f>IFERROR(_xlfn.XLOOKUP(TRIM(B1286),Lookup!$B$2:$B$1000,Lookup!$C$2:$C$1000),"")</f>
        <v>Equity</v>
      </c>
      <c r="D1286" s="8" t="s">
        <v>27</v>
      </c>
      <c r="E1286" s="9">
        <v>46106</v>
      </c>
      <c r="F1286" s="8">
        <v>17.934000000000001</v>
      </c>
    </row>
    <row r="1287" spans="1:6" ht="60" x14ac:dyDescent="0.25">
      <c r="A1287" s="8" t="s">
        <v>5</v>
      </c>
      <c r="B1287" s="8" t="s">
        <v>26</v>
      </c>
      <c r="C1287" s="8" t="str">
        <f>IFERROR(_xlfn.XLOOKUP(TRIM(B1287),Lookup!$B$2:$B$1000,Lookup!$C$2:$C$1000),"")</f>
        <v>Equity</v>
      </c>
      <c r="D1287" s="8" t="s">
        <v>27</v>
      </c>
      <c r="E1287" s="9">
        <v>46114</v>
      </c>
      <c r="F1287" s="8">
        <v>17.4026</v>
      </c>
    </row>
    <row r="1288" spans="1:6" ht="60" x14ac:dyDescent="0.25">
      <c r="A1288" s="8" t="s">
        <v>5</v>
      </c>
      <c r="B1288" s="8" t="s">
        <v>26</v>
      </c>
      <c r="C1288" s="8" t="str">
        <f>IFERROR(_xlfn.XLOOKUP(TRIM(B1288),Lookup!$B$2:$B$1000,Lookup!$C$2:$C$1000),"")</f>
        <v>Equity</v>
      </c>
      <c r="D1288" s="8" t="s">
        <v>27</v>
      </c>
      <c r="E1288" s="9">
        <v>46122</v>
      </c>
      <c r="F1288" s="8">
        <v>18.727399999999999</v>
      </c>
    </row>
    <row r="1289" spans="1:6" ht="60" x14ac:dyDescent="0.25">
      <c r="A1289" s="8" t="s">
        <v>5</v>
      </c>
      <c r="B1289" s="8" t="s">
        <v>26</v>
      </c>
      <c r="C1289" s="8" t="str">
        <f>IFERROR(_xlfn.XLOOKUP(TRIM(B1289),Lookup!$B$2:$B$1000,Lookup!$C$2:$C$1000),"")</f>
        <v>Equity</v>
      </c>
      <c r="D1289" s="8" t="s">
        <v>27</v>
      </c>
      <c r="E1289" s="9">
        <v>46132</v>
      </c>
      <c r="F1289" s="8">
        <v>19.313800000000001</v>
      </c>
    </row>
    <row r="1290" spans="1:6" ht="60" x14ac:dyDescent="0.25">
      <c r="A1290" s="8" t="s">
        <v>5</v>
      </c>
      <c r="B1290" s="8" t="s">
        <v>26</v>
      </c>
      <c r="C1290" s="8" t="str">
        <f>IFERROR(_xlfn.XLOOKUP(TRIM(B1290),Lookup!$B$2:$B$1000,Lookup!$C$2:$C$1000),"")</f>
        <v>Equity</v>
      </c>
      <c r="D1290" s="8" t="s">
        <v>27</v>
      </c>
      <c r="E1290" s="9">
        <v>46139</v>
      </c>
      <c r="F1290" s="8">
        <v>19.5182</v>
      </c>
    </row>
    <row r="1291" spans="1:6" ht="60" x14ac:dyDescent="0.25">
      <c r="A1291" s="8" t="s">
        <v>5</v>
      </c>
      <c r="B1291" s="8" t="s">
        <v>26</v>
      </c>
      <c r="C1291" s="8" t="str">
        <f>IFERROR(_xlfn.XLOOKUP(TRIM(B1291),Lookup!$B$2:$B$1000,Lookup!$C$2:$C$1000),"")</f>
        <v>Equity</v>
      </c>
      <c r="D1291" s="8" t="s">
        <v>27</v>
      </c>
      <c r="E1291" s="9">
        <v>46147</v>
      </c>
      <c r="F1291" s="8">
        <v>19.489000000000001</v>
      </c>
    </row>
    <row r="1292" spans="1:6" ht="60" x14ac:dyDescent="0.25">
      <c r="A1292" s="8" t="s">
        <v>5</v>
      </c>
      <c r="B1292" s="8" t="s">
        <v>26</v>
      </c>
      <c r="C1292" s="8" t="str">
        <f>IFERROR(_xlfn.XLOOKUP(TRIM(B1292),Lookup!$B$2:$B$1000,Lookup!$C$2:$C$1000),"")</f>
        <v>Equity</v>
      </c>
      <c r="D1292" s="8" t="s">
        <v>27</v>
      </c>
      <c r="E1292" s="9">
        <v>46154</v>
      </c>
      <c r="F1292" s="8">
        <v>19.337399999999999</v>
      </c>
    </row>
    <row r="1293" spans="1:6" ht="60" x14ac:dyDescent="0.25">
      <c r="A1293" s="8" t="s">
        <v>5</v>
      </c>
      <c r="B1293" s="8" t="s">
        <v>26</v>
      </c>
      <c r="C1293" s="8" t="str">
        <f>IFERROR(_xlfn.XLOOKUP(TRIM(B1293),Lookup!$B$2:$B$1000,Lookup!$C$2:$C$1000),"")</f>
        <v>Equity</v>
      </c>
      <c r="D1293" s="8" t="s">
        <v>27</v>
      </c>
      <c r="E1293" s="9">
        <v>46161</v>
      </c>
      <c r="F1293" s="8">
        <v>19.726900000000001</v>
      </c>
    </row>
    <row r="1294" spans="1:6" ht="60" x14ac:dyDescent="0.25">
      <c r="A1294" s="8" t="s">
        <v>5</v>
      </c>
      <c r="B1294" s="8" t="s">
        <v>26</v>
      </c>
      <c r="C1294" s="8" t="str">
        <f>IFERROR(_xlfn.XLOOKUP(TRIM(B1294),Lookup!$B$2:$B$1000,Lookup!$C$2:$C$1000),"")</f>
        <v>Equity</v>
      </c>
      <c r="D1294" s="8" t="s">
        <v>27</v>
      </c>
      <c r="E1294" s="9">
        <v>46168</v>
      </c>
      <c r="F1294" s="8">
        <v>20.140599999999999</v>
      </c>
    </row>
    <row r="1295" spans="1:6" ht="60" x14ac:dyDescent="0.25">
      <c r="A1295" s="8" t="s">
        <v>5</v>
      </c>
      <c r="B1295" s="8" t="s">
        <v>26</v>
      </c>
      <c r="C1295" s="8" t="str">
        <f>IFERROR(_xlfn.XLOOKUP(TRIM(B1295),Lookup!$B$2:$B$1000,Lookup!$C$2:$C$1000),"")</f>
        <v>Equity</v>
      </c>
      <c r="D1295" s="8" t="s">
        <v>27</v>
      </c>
      <c r="E1295" s="9">
        <v>46176</v>
      </c>
      <c r="F1295" s="8">
        <v>19.630700000000001</v>
      </c>
    </row>
    <row r="1296" spans="1:6" ht="60" x14ac:dyDescent="0.25">
      <c r="A1296" s="8" t="s">
        <v>5</v>
      </c>
      <c r="B1296" s="8" t="s">
        <v>26</v>
      </c>
      <c r="C1296" s="8" t="str">
        <f>IFERROR(_xlfn.XLOOKUP(TRIM(B1296),Lookup!$B$2:$B$1000,Lookup!$C$2:$C$1000),"")</f>
        <v>Equity</v>
      </c>
      <c r="D1296" s="8" t="s">
        <v>27</v>
      </c>
      <c r="E1296" s="9">
        <v>46183</v>
      </c>
      <c r="F1296" s="8">
        <v>19.4251</v>
      </c>
    </row>
    <row r="1297" spans="1:6" ht="60" x14ac:dyDescent="0.25">
      <c r="A1297" s="8" t="s">
        <v>5</v>
      </c>
      <c r="B1297" s="8" t="s">
        <v>26</v>
      </c>
      <c r="C1297" s="8" t="str">
        <f>IFERROR(_xlfn.XLOOKUP(TRIM(B1297),Lookup!$B$2:$B$1000,Lookup!$C$2:$C$1000),"")</f>
        <v>Equity</v>
      </c>
      <c r="D1297" s="8" t="s">
        <v>27</v>
      </c>
      <c r="E1297" s="9">
        <v>46190</v>
      </c>
      <c r="F1297" s="8">
        <v>20.192900000000002</v>
      </c>
    </row>
    <row r="1298" spans="1:6" ht="60" x14ac:dyDescent="0.25">
      <c r="A1298" s="8" t="s">
        <v>5</v>
      </c>
      <c r="B1298" s="8" t="s">
        <v>26</v>
      </c>
      <c r="C1298" s="8" t="str">
        <f>IFERROR(_xlfn.XLOOKUP(TRIM(B1298),Lookup!$B$2:$B$1000,Lookup!$C$2:$C$1000),"")</f>
        <v>Equity</v>
      </c>
      <c r="D1298" s="8" t="s">
        <v>27</v>
      </c>
      <c r="E1298" s="9">
        <v>46197</v>
      </c>
      <c r="F1298" s="8">
        <v>20.249099999999999</v>
      </c>
    </row>
    <row r="1299" spans="1:6" ht="60" x14ac:dyDescent="0.25">
      <c r="A1299" s="8" t="s">
        <v>5</v>
      </c>
      <c r="B1299" s="8" t="s">
        <v>26</v>
      </c>
      <c r="C1299" s="8" t="str">
        <f>IFERROR(_xlfn.XLOOKUP(TRIM(B1299),Lookup!$B$2:$B$1000,Lookup!$C$2:$C$1000),"")</f>
        <v>Equity</v>
      </c>
      <c r="D1299" s="8" t="s">
        <v>27</v>
      </c>
      <c r="E1299" s="9">
        <v>46205</v>
      </c>
      <c r="F1299" s="8">
        <v>20.319400000000002</v>
      </c>
    </row>
    <row r="1300" spans="1:6" ht="60" x14ac:dyDescent="0.25">
      <c r="A1300" s="8" t="s">
        <v>5</v>
      </c>
      <c r="B1300" s="8" t="s">
        <v>26</v>
      </c>
      <c r="C1300" s="8" t="str">
        <f>IFERROR(_xlfn.XLOOKUP(TRIM(B1300),Lookup!$B$2:$B$1000,Lookup!$C$2:$C$1000),"")</f>
        <v>Equity</v>
      </c>
      <c r="D1300" s="8" t="s">
        <v>27</v>
      </c>
      <c r="E1300" s="9">
        <v>46212</v>
      </c>
      <c r="F1300" s="8">
        <v>20.257300000000001</v>
      </c>
    </row>
    <row r="1301" spans="1:6" ht="60" x14ac:dyDescent="0.25">
      <c r="A1301" s="8" t="s">
        <v>5</v>
      </c>
      <c r="B1301" s="8" t="s">
        <v>26</v>
      </c>
      <c r="C1301" s="8" t="str">
        <f>IFERROR(_xlfn.XLOOKUP(TRIM(B1301),Lookup!$B$2:$B$1000,Lookup!$C$2:$C$1000),"")</f>
        <v>Equity</v>
      </c>
      <c r="D1301" s="8" t="s">
        <v>27</v>
      </c>
      <c r="E1301" s="9">
        <v>46219</v>
      </c>
      <c r="F1301" s="8">
        <v>20.475899999999999</v>
      </c>
    </row>
    <row r="1302" spans="1:6" ht="60" x14ac:dyDescent="0.25">
      <c r="A1302" s="8" t="s">
        <v>5</v>
      </c>
      <c r="B1302" s="8" t="s">
        <v>26</v>
      </c>
      <c r="C1302" s="8" t="str">
        <f>IFERROR(_xlfn.XLOOKUP(TRIM(B1302),Lookup!$B$2:$B$1000,Lookup!$C$2:$C$1000),"")</f>
        <v>Equity</v>
      </c>
      <c r="D1302" s="8" t="s">
        <v>27</v>
      </c>
      <c r="E1302" s="9">
        <v>46226</v>
      </c>
      <c r="F1302" s="8">
        <v>20.127199999999998</v>
      </c>
    </row>
    <row r="1303" spans="1:6" ht="60" x14ac:dyDescent="0.25">
      <c r="A1303" s="8" t="s">
        <v>5</v>
      </c>
      <c r="B1303" s="8" t="s">
        <v>26</v>
      </c>
      <c r="C1303" s="8" t="str">
        <f>IFERROR(_xlfn.XLOOKUP(TRIM(B1303),Lookup!$B$2:$B$1000,Lookup!$C$2:$C$1000),"")</f>
        <v>Equity</v>
      </c>
      <c r="D1303" s="8" t="s">
        <v>27</v>
      </c>
      <c r="E1303" s="9">
        <v>46233</v>
      </c>
      <c r="F1303" s="8">
        <v>20.427399999999999</v>
      </c>
    </row>
    <row r="1304" spans="1:6" ht="60" x14ac:dyDescent="0.25">
      <c r="A1304" s="8" t="s">
        <v>5</v>
      </c>
      <c r="B1304" s="8" t="s">
        <v>30</v>
      </c>
      <c r="C1304" s="8" t="str">
        <f>IFERROR(_xlfn.XLOOKUP(TRIM(B1304),Lookup!$B$2:$B$1000,Lookup!$C$2:$C$1000),"")</f>
        <v>Equity</v>
      </c>
      <c r="D1304" s="8" t="s">
        <v>31</v>
      </c>
      <c r="E1304" s="9">
        <v>45869</v>
      </c>
      <c r="F1304" s="8">
        <v>10.8422</v>
      </c>
    </row>
    <row r="1305" spans="1:6" ht="60" x14ac:dyDescent="0.25">
      <c r="A1305" s="8" t="s">
        <v>5</v>
      </c>
      <c r="B1305" s="8" t="s">
        <v>30</v>
      </c>
      <c r="C1305" s="8" t="str">
        <f>IFERROR(_xlfn.XLOOKUP(TRIM(B1305),Lookup!$B$2:$B$1000,Lookup!$C$2:$C$1000),"")</f>
        <v>Equity</v>
      </c>
      <c r="D1305" s="8" t="s">
        <v>31</v>
      </c>
      <c r="E1305" s="9">
        <v>45870</v>
      </c>
      <c r="F1305" s="8">
        <v>10.6935</v>
      </c>
    </row>
    <row r="1306" spans="1:6" ht="60" x14ac:dyDescent="0.25">
      <c r="A1306" s="8" t="s">
        <v>5</v>
      </c>
      <c r="B1306" s="8" t="s">
        <v>30</v>
      </c>
      <c r="C1306" s="8" t="str">
        <f>IFERROR(_xlfn.XLOOKUP(TRIM(B1306),Lookup!$B$2:$B$1000,Lookup!$C$2:$C$1000),"")</f>
        <v>Equity</v>
      </c>
      <c r="D1306" s="8" t="s">
        <v>31</v>
      </c>
      <c r="E1306" s="9">
        <v>45873</v>
      </c>
      <c r="F1306" s="8">
        <v>10.8072</v>
      </c>
    </row>
    <row r="1307" spans="1:6" ht="60" x14ac:dyDescent="0.25">
      <c r="A1307" s="8" t="s">
        <v>5</v>
      </c>
      <c r="B1307" s="8" t="s">
        <v>30</v>
      </c>
      <c r="C1307" s="8" t="str">
        <f>IFERROR(_xlfn.XLOOKUP(TRIM(B1307),Lookup!$B$2:$B$1000,Lookup!$C$2:$C$1000),"")</f>
        <v>Equity</v>
      </c>
      <c r="D1307" s="8" t="s">
        <v>31</v>
      </c>
      <c r="E1307" s="9">
        <v>45874</v>
      </c>
      <c r="F1307" s="8">
        <v>10.782</v>
      </c>
    </row>
    <row r="1308" spans="1:6" ht="60" x14ac:dyDescent="0.25">
      <c r="A1308" s="8" t="s">
        <v>5</v>
      </c>
      <c r="B1308" s="8" t="s">
        <v>30</v>
      </c>
      <c r="C1308" s="8" t="str">
        <f>IFERROR(_xlfn.XLOOKUP(TRIM(B1308),Lookup!$B$2:$B$1000,Lookup!$C$2:$C$1000),"")</f>
        <v>Equity</v>
      </c>
      <c r="D1308" s="8" t="s">
        <v>31</v>
      </c>
      <c r="E1308" s="9">
        <v>45875</v>
      </c>
      <c r="F1308" s="8">
        <v>10.674099999999999</v>
      </c>
    </row>
    <row r="1309" spans="1:6" ht="60" x14ac:dyDescent="0.25">
      <c r="A1309" s="8" t="s">
        <v>5</v>
      </c>
      <c r="B1309" s="8" t="s">
        <v>30</v>
      </c>
      <c r="C1309" s="8" t="str">
        <f>IFERROR(_xlfn.XLOOKUP(TRIM(B1309),Lookup!$B$2:$B$1000,Lookup!$C$2:$C$1000),"")</f>
        <v>Equity</v>
      </c>
      <c r="D1309" s="8" t="s">
        <v>31</v>
      </c>
      <c r="E1309" s="9">
        <v>45876</v>
      </c>
      <c r="F1309" s="8">
        <v>10.6891</v>
      </c>
    </row>
    <row r="1310" spans="1:6" ht="60" x14ac:dyDescent="0.25">
      <c r="A1310" s="8" t="s">
        <v>5</v>
      </c>
      <c r="B1310" s="8" t="s">
        <v>30</v>
      </c>
      <c r="C1310" s="8" t="str">
        <f>IFERROR(_xlfn.XLOOKUP(TRIM(B1310),Lookup!$B$2:$B$1000,Lookup!$C$2:$C$1000),"")</f>
        <v>Equity</v>
      </c>
      <c r="D1310" s="8" t="s">
        <v>31</v>
      </c>
      <c r="E1310" s="9">
        <v>45877</v>
      </c>
      <c r="F1310" s="8">
        <v>10.545</v>
      </c>
    </row>
    <row r="1311" spans="1:6" ht="60" x14ac:dyDescent="0.25">
      <c r="A1311" s="8" t="s">
        <v>5</v>
      </c>
      <c r="B1311" s="8" t="s">
        <v>30</v>
      </c>
      <c r="C1311" s="8" t="str">
        <f>IFERROR(_xlfn.XLOOKUP(TRIM(B1311),Lookup!$B$2:$B$1000,Lookup!$C$2:$C$1000),"")</f>
        <v>Equity</v>
      </c>
      <c r="D1311" s="8" t="s">
        <v>31</v>
      </c>
      <c r="E1311" s="9">
        <v>45880</v>
      </c>
      <c r="F1311" s="8">
        <v>10.604699999999999</v>
      </c>
    </row>
    <row r="1312" spans="1:6" ht="60" x14ac:dyDescent="0.25">
      <c r="A1312" s="8" t="s">
        <v>5</v>
      </c>
      <c r="B1312" s="8" t="s">
        <v>30</v>
      </c>
      <c r="C1312" s="8" t="str">
        <f>IFERROR(_xlfn.XLOOKUP(TRIM(B1312),Lookup!$B$2:$B$1000,Lookup!$C$2:$C$1000),"")</f>
        <v>Equity</v>
      </c>
      <c r="D1312" s="8" t="s">
        <v>31</v>
      </c>
      <c r="E1312" s="9">
        <v>45881</v>
      </c>
      <c r="F1312" s="8">
        <v>10.589399999999999</v>
      </c>
    </row>
    <row r="1313" spans="1:6" ht="60" x14ac:dyDescent="0.25">
      <c r="A1313" s="8" t="s">
        <v>5</v>
      </c>
      <c r="B1313" s="8" t="s">
        <v>30</v>
      </c>
      <c r="C1313" s="8" t="str">
        <f>IFERROR(_xlfn.XLOOKUP(TRIM(B1313),Lookup!$B$2:$B$1000,Lookup!$C$2:$C$1000),"")</f>
        <v>Equity</v>
      </c>
      <c r="D1313" s="8" t="s">
        <v>31</v>
      </c>
      <c r="E1313" s="9">
        <v>45882</v>
      </c>
      <c r="F1313" s="8">
        <v>10.656000000000001</v>
      </c>
    </row>
    <row r="1314" spans="1:6" ht="60" x14ac:dyDescent="0.25">
      <c r="A1314" s="8" t="s">
        <v>5</v>
      </c>
      <c r="B1314" s="8" t="s">
        <v>30</v>
      </c>
      <c r="C1314" s="8" t="str">
        <f>IFERROR(_xlfn.XLOOKUP(TRIM(B1314),Lookup!$B$2:$B$1000,Lookup!$C$2:$C$1000),"")</f>
        <v>Equity</v>
      </c>
      <c r="D1314" s="8" t="s">
        <v>31</v>
      </c>
      <c r="E1314" s="9">
        <v>45883</v>
      </c>
      <c r="F1314" s="8">
        <v>10.6259</v>
      </c>
    </row>
    <row r="1315" spans="1:6" ht="60" x14ac:dyDescent="0.25">
      <c r="A1315" s="8" t="s">
        <v>5</v>
      </c>
      <c r="B1315" s="8" t="s">
        <v>30</v>
      </c>
      <c r="C1315" s="8" t="str">
        <f>IFERROR(_xlfn.XLOOKUP(TRIM(B1315),Lookup!$B$2:$B$1000,Lookup!$C$2:$C$1000),"")</f>
        <v>Equity</v>
      </c>
      <c r="D1315" s="8" t="s">
        <v>31</v>
      </c>
      <c r="E1315" s="9">
        <v>45887</v>
      </c>
      <c r="F1315" s="8">
        <v>10.7545</v>
      </c>
    </row>
    <row r="1316" spans="1:6" ht="60" x14ac:dyDescent="0.25">
      <c r="A1316" s="8" t="s">
        <v>5</v>
      </c>
      <c r="B1316" s="8" t="s">
        <v>30</v>
      </c>
      <c r="C1316" s="8" t="str">
        <f>IFERROR(_xlfn.XLOOKUP(TRIM(B1316),Lookup!$B$2:$B$1000,Lookup!$C$2:$C$1000),"")</f>
        <v>Equity</v>
      </c>
      <c r="D1316" s="8" t="s">
        <v>31</v>
      </c>
      <c r="E1316" s="9">
        <v>45888</v>
      </c>
      <c r="F1316" s="8">
        <v>10.8466</v>
      </c>
    </row>
    <row r="1317" spans="1:6" ht="60" x14ac:dyDescent="0.25">
      <c r="A1317" s="8" t="s">
        <v>5</v>
      </c>
      <c r="B1317" s="8" t="s">
        <v>30</v>
      </c>
      <c r="C1317" s="8" t="str">
        <f>IFERROR(_xlfn.XLOOKUP(TRIM(B1317),Lookup!$B$2:$B$1000,Lookup!$C$2:$C$1000),"")</f>
        <v>Equity</v>
      </c>
      <c r="D1317" s="8" t="s">
        <v>31</v>
      </c>
      <c r="E1317" s="9">
        <v>45889</v>
      </c>
      <c r="F1317" s="8">
        <v>10.8912</v>
      </c>
    </row>
    <row r="1318" spans="1:6" ht="60" x14ac:dyDescent="0.25">
      <c r="A1318" s="8" t="s">
        <v>5</v>
      </c>
      <c r="B1318" s="8" t="s">
        <v>30</v>
      </c>
      <c r="C1318" s="8" t="str">
        <f>IFERROR(_xlfn.XLOOKUP(TRIM(B1318),Lookup!$B$2:$B$1000,Lookup!$C$2:$C$1000),"")</f>
        <v>Equity</v>
      </c>
      <c r="D1318" s="8" t="s">
        <v>31</v>
      </c>
      <c r="E1318" s="9">
        <v>45890</v>
      </c>
      <c r="F1318" s="8">
        <v>10.864800000000001</v>
      </c>
    </row>
    <row r="1319" spans="1:6" ht="60" x14ac:dyDescent="0.25">
      <c r="A1319" s="8" t="s">
        <v>5</v>
      </c>
      <c r="B1319" s="8" t="s">
        <v>30</v>
      </c>
      <c r="C1319" s="8" t="str">
        <f>IFERROR(_xlfn.XLOOKUP(TRIM(B1319),Lookup!$B$2:$B$1000,Lookup!$C$2:$C$1000),"")</f>
        <v>Equity</v>
      </c>
      <c r="D1319" s="8" t="s">
        <v>31</v>
      </c>
      <c r="E1319" s="9">
        <v>45891</v>
      </c>
      <c r="F1319" s="8">
        <v>10.848000000000001</v>
      </c>
    </row>
    <row r="1320" spans="1:6" ht="60" x14ac:dyDescent="0.25">
      <c r="A1320" s="8" t="s">
        <v>5</v>
      </c>
      <c r="B1320" s="8" t="s">
        <v>30</v>
      </c>
      <c r="C1320" s="8" t="str">
        <f>IFERROR(_xlfn.XLOOKUP(TRIM(B1320),Lookup!$B$2:$B$1000,Lookup!$C$2:$C$1000),"")</f>
        <v>Equity</v>
      </c>
      <c r="D1320" s="8" t="s">
        <v>31</v>
      </c>
      <c r="E1320" s="9">
        <v>45894</v>
      </c>
      <c r="F1320" s="8">
        <v>10.847</v>
      </c>
    </row>
    <row r="1321" spans="1:6" ht="60" x14ac:dyDescent="0.25">
      <c r="A1321" s="8" t="s">
        <v>5</v>
      </c>
      <c r="B1321" s="8" t="s">
        <v>30</v>
      </c>
      <c r="C1321" s="8" t="str">
        <f>IFERROR(_xlfn.XLOOKUP(TRIM(B1321),Lookup!$B$2:$B$1000,Lookup!$C$2:$C$1000),"")</f>
        <v>Equity</v>
      </c>
      <c r="D1321" s="8" t="s">
        <v>31</v>
      </c>
      <c r="E1321" s="9">
        <v>45895</v>
      </c>
      <c r="F1321" s="8">
        <v>10.674899999999999</v>
      </c>
    </row>
    <row r="1322" spans="1:6" ht="60" x14ac:dyDescent="0.25">
      <c r="A1322" s="8" t="s">
        <v>5</v>
      </c>
      <c r="B1322" s="8" t="s">
        <v>30</v>
      </c>
      <c r="C1322" s="8" t="str">
        <f>IFERROR(_xlfn.XLOOKUP(TRIM(B1322),Lookup!$B$2:$B$1000,Lookup!$C$2:$C$1000),"")</f>
        <v>Equity</v>
      </c>
      <c r="D1322" s="8" t="s">
        <v>31</v>
      </c>
      <c r="E1322" s="9">
        <v>45897</v>
      </c>
      <c r="F1322" s="8">
        <v>10.5512</v>
      </c>
    </row>
    <row r="1323" spans="1:6" ht="60" x14ac:dyDescent="0.25">
      <c r="A1323" s="8" t="s">
        <v>5</v>
      </c>
      <c r="B1323" s="8" t="s">
        <v>30</v>
      </c>
      <c r="C1323" s="8" t="str">
        <f>IFERROR(_xlfn.XLOOKUP(TRIM(B1323),Lookup!$B$2:$B$1000,Lookup!$C$2:$C$1000),"")</f>
        <v>Equity</v>
      </c>
      <c r="D1323" s="8" t="s">
        <v>31</v>
      </c>
      <c r="E1323" s="9">
        <v>45898</v>
      </c>
      <c r="F1323" s="8">
        <v>10.5022</v>
      </c>
    </row>
    <row r="1324" spans="1:6" ht="60" x14ac:dyDescent="0.25">
      <c r="A1324" s="8" t="s">
        <v>5</v>
      </c>
      <c r="B1324" s="8" t="s">
        <v>30</v>
      </c>
      <c r="C1324" s="8" t="str">
        <f>IFERROR(_xlfn.XLOOKUP(TRIM(B1324),Lookup!$B$2:$B$1000,Lookup!$C$2:$C$1000),"")</f>
        <v>Equity</v>
      </c>
      <c r="D1324" s="8" t="s">
        <v>31</v>
      </c>
      <c r="E1324" s="9">
        <v>45901</v>
      </c>
      <c r="F1324" s="8">
        <v>10.669600000000001</v>
      </c>
    </row>
    <row r="1325" spans="1:6" ht="60" x14ac:dyDescent="0.25">
      <c r="A1325" s="8" t="s">
        <v>5</v>
      </c>
      <c r="B1325" s="8" t="s">
        <v>30</v>
      </c>
      <c r="C1325" s="8" t="str">
        <f>IFERROR(_xlfn.XLOOKUP(TRIM(B1325),Lookup!$B$2:$B$1000,Lookup!$C$2:$C$1000),"")</f>
        <v>Equity</v>
      </c>
      <c r="D1325" s="8" t="s">
        <v>31</v>
      </c>
      <c r="E1325" s="9">
        <v>45902</v>
      </c>
      <c r="F1325" s="8">
        <v>10.7036</v>
      </c>
    </row>
    <row r="1326" spans="1:6" ht="60" x14ac:dyDescent="0.25">
      <c r="A1326" s="8" t="s">
        <v>5</v>
      </c>
      <c r="B1326" s="8" t="s">
        <v>30</v>
      </c>
      <c r="C1326" s="8" t="str">
        <f>IFERROR(_xlfn.XLOOKUP(TRIM(B1326),Lookup!$B$2:$B$1000,Lookup!$C$2:$C$1000),"")</f>
        <v>Equity</v>
      </c>
      <c r="D1326" s="8" t="s">
        <v>31</v>
      </c>
      <c r="E1326" s="9">
        <v>45903</v>
      </c>
      <c r="F1326" s="8">
        <v>10.7797</v>
      </c>
    </row>
    <row r="1327" spans="1:6" ht="60" x14ac:dyDescent="0.25">
      <c r="A1327" s="8" t="s">
        <v>5</v>
      </c>
      <c r="B1327" s="8" t="s">
        <v>30</v>
      </c>
      <c r="C1327" s="8" t="str">
        <f>IFERROR(_xlfn.XLOOKUP(TRIM(B1327),Lookup!$B$2:$B$1000,Lookup!$C$2:$C$1000),"")</f>
        <v>Equity</v>
      </c>
      <c r="D1327" s="8" t="s">
        <v>31</v>
      </c>
      <c r="E1327" s="9">
        <v>45904</v>
      </c>
      <c r="F1327" s="8">
        <v>10.711399999999999</v>
      </c>
    </row>
    <row r="1328" spans="1:6" ht="60" x14ac:dyDescent="0.25">
      <c r="A1328" s="8" t="s">
        <v>5</v>
      </c>
      <c r="B1328" s="8" t="s">
        <v>30</v>
      </c>
      <c r="C1328" s="8" t="str">
        <f>IFERROR(_xlfn.XLOOKUP(TRIM(B1328),Lookup!$B$2:$B$1000,Lookup!$C$2:$C$1000),"")</f>
        <v>Equity</v>
      </c>
      <c r="D1328" s="8" t="s">
        <v>31</v>
      </c>
      <c r="E1328" s="9">
        <v>45905</v>
      </c>
      <c r="F1328" s="8">
        <v>10.724500000000001</v>
      </c>
    </row>
    <row r="1329" spans="1:6" ht="60" x14ac:dyDescent="0.25">
      <c r="A1329" s="8" t="s">
        <v>5</v>
      </c>
      <c r="B1329" s="8" t="s">
        <v>30</v>
      </c>
      <c r="C1329" s="8" t="str">
        <f>IFERROR(_xlfn.XLOOKUP(TRIM(B1329),Lookup!$B$2:$B$1000,Lookup!$C$2:$C$1000),"")</f>
        <v>Equity</v>
      </c>
      <c r="D1329" s="8" t="s">
        <v>31</v>
      </c>
      <c r="E1329" s="9">
        <v>45908</v>
      </c>
      <c r="F1329" s="8">
        <v>10.7568</v>
      </c>
    </row>
    <row r="1330" spans="1:6" ht="60" x14ac:dyDescent="0.25">
      <c r="A1330" s="8" t="s">
        <v>5</v>
      </c>
      <c r="B1330" s="8" t="s">
        <v>30</v>
      </c>
      <c r="C1330" s="8" t="str">
        <f>IFERROR(_xlfn.XLOOKUP(TRIM(B1330),Lookup!$B$2:$B$1000,Lookup!$C$2:$C$1000),"")</f>
        <v>Equity</v>
      </c>
      <c r="D1330" s="8" t="s">
        <v>31</v>
      </c>
      <c r="E1330" s="9">
        <v>45909</v>
      </c>
      <c r="F1330" s="8">
        <v>10.7799</v>
      </c>
    </row>
    <row r="1331" spans="1:6" ht="60" x14ac:dyDescent="0.25">
      <c r="A1331" s="8" t="s">
        <v>5</v>
      </c>
      <c r="B1331" s="8" t="s">
        <v>30</v>
      </c>
      <c r="C1331" s="8" t="str">
        <f>IFERROR(_xlfn.XLOOKUP(TRIM(B1331),Lookup!$B$2:$B$1000,Lookup!$C$2:$C$1000),"")</f>
        <v>Equity</v>
      </c>
      <c r="D1331" s="8" t="s">
        <v>31</v>
      </c>
      <c r="E1331" s="9">
        <v>45910</v>
      </c>
      <c r="F1331" s="8">
        <v>10.8705</v>
      </c>
    </row>
    <row r="1332" spans="1:6" ht="60" x14ac:dyDescent="0.25">
      <c r="A1332" s="8" t="s">
        <v>5</v>
      </c>
      <c r="B1332" s="8" t="s">
        <v>30</v>
      </c>
      <c r="C1332" s="8" t="str">
        <f>IFERROR(_xlfn.XLOOKUP(TRIM(B1332),Lookup!$B$2:$B$1000,Lookup!$C$2:$C$1000),"")</f>
        <v>Equity</v>
      </c>
      <c r="D1332" s="8" t="s">
        <v>31</v>
      </c>
      <c r="E1332" s="9">
        <v>45911</v>
      </c>
      <c r="F1332" s="8">
        <v>10.8728</v>
      </c>
    </row>
    <row r="1333" spans="1:6" ht="60" x14ac:dyDescent="0.25">
      <c r="A1333" s="8" t="s">
        <v>5</v>
      </c>
      <c r="B1333" s="8" t="s">
        <v>30</v>
      </c>
      <c r="C1333" s="8" t="str">
        <f>IFERROR(_xlfn.XLOOKUP(TRIM(B1333),Lookup!$B$2:$B$1000,Lookup!$C$2:$C$1000),"")</f>
        <v>Equity</v>
      </c>
      <c r="D1333" s="8" t="s">
        <v>31</v>
      </c>
      <c r="E1333" s="9">
        <v>45912</v>
      </c>
      <c r="F1333" s="8">
        <v>10.9039</v>
      </c>
    </row>
    <row r="1334" spans="1:6" ht="60" x14ac:dyDescent="0.25">
      <c r="A1334" s="8" t="s">
        <v>5</v>
      </c>
      <c r="B1334" s="8" t="s">
        <v>30</v>
      </c>
      <c r="C1334" s="8" t="str">
        <f>IFERROR(_xlfn.XLOOKUP(TRIM(B1334),Lookup!$B$2:$B$1000,Lookup!$C$2:$C$1000),"")</f>
        <v>Equity</v>
      </c>
      <c r="D1334" s="8" t="s">
        <v>31</v>
      </c>
      <c r="E1334" s="9">
        <v>45915</v>
      </c>
      <c r="F1334" s="8">
        <v>10.9565</v>
      </c>
    </row>
    <row r="1335" spans="1:6" ht="60" x14ac:dyDescent="0.25">
      <c r="A1335" s="8" t="s">
        <v>5</v>
      </c>
      <c r="B1335" s="8" t="s">
        <v>30</v>
      </c>
      <c r="C1335" s="8" t="str">
        <f>IFERROR(_xlfn.XLOOKUP(TRIM(B1335),Lookup!$B$2:$B$1000,Lookup!$C$2:$C$1000),"")</f>
        <v>Equity</v>
      </c>
      <c r="D1335" s="8" t="s">
        <v>31</v>
      </c>
      <c r="E1335" s="9">
        <v>45916</v>
      </c>
      <c r="F1335" s="8">
        <v>11.0275</v>
      </c>
    </row>
    <row r="1336" spans="1:6" ht="60" x14ac:dyDescent="0.25">
      <c r="A1336" s="8" t="s">
        <v>5</v>
      </c>
      <c r="B1336" s="8" t="s">
        <v>30</v>
      </c>
      <c r="C1336" s="8" t="str">
        <f>IFERROR(_xlfn.XLOOKUP(TRIM(B1336),Lookup!$B$2:$B$1000,Lookup!$C$2:$C$1000),"")</f>
        <v>Equity</v>
      </c>
      <c r="D1336" s="8" t="s">
        <v>31</v>
      </c>
      <c r="E1336" s="9">
        <v>45917</v>
      </c>
      <c r="F1336" s="8">
        <v>11.0594</v>
      </c>
    </row>
    <row r="1337" spans="1:6" ht="60" x14ac:dyDescent="0.25">
      <c r="A1337" s="8" t="s">
        <v>5</v>
      </c>
      <c r="B1337" s="8" t="s">
        <v>30</v>
      </c>
      <c r="C1337" s="8" t="str">
        <f>IFERROR(_xlfn.XLOOKUP(TRIM(B1337),Lookup!$B$2:$B$1000,Lookup!$C$2:$C$1000),"")</f>
        <v>Equity</v>
      </c>
      <c r="D1337" s="8" t="s">
        <v>31</v>
      </c>
      <c r="E1337" s="9">
        <v>45918</v>
      </c>
      <c r="F1337" s="8">
        <v>11.083399999999999</v>
      </c>
    </row>
    <row r="1338" spans="1:6" ht="60" x14ac:dyDescent="0.25">
      <c r="A1338" s="8" t="s">
        <v>5</v>
      </c>
      <c r="B1338" s="8" t="s">
        <v>30</v>
      </c>
      <c r="C1338" s="8" t="str">
        <f>IFERROR(_xlfn.XLOOKUP(TRIM(B1338),Lookup!$B$2:$B$1000,Lookup!$C$2:$C$1000),"")</f>
        <v>Equity</v>
      </c>
      <c r="D1338" s="8" t="s">
        <v>31</v>
      </c>
      <c r="E1338" s="9">
        <v>45919</v>
      </c>
      <c r="F1338" s="8">
        <v>11.089600000000001</v>
      </c>
    </row>
    <row r="1339" spans="1:6" ht="60" x14ac:dyDescent="0.25">
      <c r="A1339" s="8" t="s">
        <v>5</v>
      </c>
      <c r="B1339" s="8" t="s">
        <v>30</v>
      </c>
      <c r="C1339" s="8" t="str">
        <f>IFERROR(_xlfn.XLOOKUP(TRIM(B1339),Lookup!$B$2:$B$1000,Lookup!$C$2:$C$1000),"")</f>
        <v>Equity</v>
      </c>
      <c r="D1339" s="8" t="s">
        <v>31</v>
      </c>
      <c r="E1339" s="9">
        <v>45922</v>
      </c>
      <c r="F1339" s="8">
        <v>11.013500000000001</v>
      </c>
    </row>
    <row r="1340" spans="1:6" ht="60" x14ac:dyDescent="0.25">
      <c r="A1340" s="8" t="s">
        <v>5</v>
      </c>
      <c r="B1340" s="8" t="s">
        <v>30</v>
      </c>
      <c r="C1340" s="8" t="str">
        <f>IFERROR(_xlfn.XLOOKUP(TRIM(B1340),Lookup!$B$2:$B$1000,Lookup!$C$2:$C$1000),"")</f>
        <v>Equity</v>
      </c>
      <c r="D1340" s="8" t="s">
        <v>31</v>
      </c>
      <c r="E1340" s="9">
        <v>45923</v>
      </c>
      <c r="F1340" s="8">
        <v>10.9727</v>
      </c>
    </row>
    <row r="1341" spans="1:6" ht="60" x14ac:dyDescent="0.25">
      <c r="A1341" s="8" t="s">
        <v>5</v>
      </c>
      <c r="B1341" s="8" t="s">
        <v>30</v>
      </c>
      <c r="C1341" s="8" t="str">
        <f>IFERROR(_xlfn.XLOOKUP(TRIM(B1341),Lookup!$B$2:$B$1000,Lookup!$C$2:$C$1000),"")</f>
        <v>Equity</v>
      </c>
      <c r="D1341" s="8" t="s">
        <v>31</v>
      </c>
      <c r="E1341" s="9">
        <v>45924</v>
      </c>
      <c r="F1341" s="8">
        <v>10.889799999999999</v>
      </c>
    </row>
    <row r="1342" spans="1:6" ht="60" x14ac:dyDescent="0.25">
      <c r="A1342" s="8" t="s">
        <v>5</v>
      </c>
      <c r="B1342" s="8" t="s">
        <v>30</v>
      </c>
      <c r="C1342" s="8" t="str">
        <f>IFERROR(_xlfn.XLOOKUP(TRIM(B1342),Lookup!$B$2:$B$1000,Lookup!$C$2:$C$1000),"")</f>
        <v>Equity</v>
      </c>
      <c r="D1342" s="8" t="s">
        <v>31</v>
      </c>
      <c r="E1342" s="9">
        <v>45925</v>
      </c>
      <c r="F1342" s="8">
        <v>10.8186</v>
      </c>
    </row>
    <row r="1343" spans="1:6" ht="60" x14ac:dyDescent="0.25">
      <c r="A1343" s="8" t="s">
        <v>5</v>
      </c>
      <c r="B1343" s="8" t="s">
        <v>30</v>
      </c>
      <c r="C1343" s="8" t="str">
        <f>IFERROR(_xlfn.XLOOKUP(TRIM(B1343),Lookup!$B$2:$B$1000,Lookup!$C$2:$C$1000),"")</f>
        <v>Equity</v>
      </c>
      <c r="D1343" s="8" t="s">
        <v>31</v>
      </c>
      <c r="E1343" s="9">
        <v>45926</v>
      </c>
      <c r="F1343" s="8">
        <v>10.6043</v>
      </c>
    </row>
    <row r="1344" spans="1:6" ht="60" x14ac:dyDescent="0.25">
      <c r="A1344" s="8" t="s">
        <v>5</v>
      </c>
      <c r="B1344" s="8" t="s">
        <v>30</v>
      </c>
      <c r="C1344" s="8" t="str">
        <f>IFERROR(_xlfn.XLOOKUP(TRIM(B1344),Lookup!$B$2:$B$1000,Lookup!$C$2:$C$1000),"")</f>
        <v>Equity</v>
      </c>
      <c r="D1344" s="8" t="s">
        <v>31</v>
      </c>
      <c r="E1344" s="9">
        <v>45929</v>
      </c>
      <c r="F1344" s="8">
        <v>10.6143</v>
      </c>
    </row>
    <row r="1345" spans="1:6" ht="60" x14ac:dyDescent="0.25">
      <c r="A1345" s="8" t="s">
        <v>5</v>
      </c>
      <c r="B1345" s="8" t="s">
        <v>30</v>
      </c>
      <c r="C1345" s="8" t="str">
        <f>IFERROR(_xlfn.XLOOKUP(TRIM(B1345),Lookup!$B$2:$B$1000,Lookup!$C$2:$C$1000),"")</f>
        <v>Equity</v>
      </c>
      <c r="D1345" s="8" t="s">
        <v>31</v>
      </c>
      <c r="E1345" s="9">
        <v>45930</v>
      </c>
      <c r="F1345" s="8">
        <v>10.6243</v>
      </c>
    </row>
    <row r="1346" spans="1:6" ht="60" x14ac:dyDescent="0.25">
      <c r="A1346" s="8" t="s">
        <v>5</v>
      </c>
      <c r="B1346" s="8" t="s">
        <v>30</v>
      </c>
      <c r="C1346" s="8" t="str">
        <f>IFERROR(_xlfn.XLOOKUP(TRIM(B1346),Lookup!$B$2:$B$1000,Lookup!$C$2:$C$1000),"")</f>
        <v>Equity</v>
      </c>
      <c r="D1346" s="8" t="s">
        <v>31</v>
      </c>
      <c r="E1346" s="9">
        <v>45931</v>
      </c>
      <c r="F1346" s="8">
        <v>10.721399999999999</v>
      </c>
    </row>
    <row r="1347" spans="1:6" ht="60" x14ac:dyDescent="0.25">
      <c r="A1347" s="8" t="s">
        <v>5</v>
      </c>
      <c r="B1347" s="8" t="s">
        <v>30</v>
      </c>
      <c r="C1347" s="8" t="str">
        <f>IFERROR(_xlfn.XLOOKUP(TRIM(B1347),Lookup!$B$2:$B$1000,Lookup!$C$2:$C$1000),"")</f>
        <v>Equity</v>
      </c>
      <c r="D1347" s="8" t="s">
        <v>31</v>
      </c>
      <c r="E1347" s="9">
        <v>45933</v>
      </c>
      <c r="F1347" s="8">
        <v>10.811400000000001</v>
      </c>
    </row>
    <row r="1348" spans="1:6" ht="60" x14ac:dyDescent="0.25">
      <c r="A1348" s="8" t="s">
        <v>5</v>
      </c>
      <c r="B1348" s="8" t="s">
        <v>30</v>
      </c>
      <c r="C1348" s="8" t="str">
        <f>IFERROR(_xlfn.XLOOKUP(TRIM(B1348),Lookup!$B$2:$B$1000,Lookup!$C$2:$C$1000),"")</f>
        <v>Equity</v>
      </c>
      <c r="D1348" s="8" t="s">
        <v>31</v>
      </c>
      <c r="E1348" s="9">
        <v>45936</v>
      </c>
      <c r="F1348" s="8">
        <v>10.862299999999999</v>
      </c>
    </row>
    <row r="1349" spans="1:6" ht="60" x14ac:dyDescent="0.25">
      <c r="A1349" s="8" t="s">
        <v>5</v>
      </c>
      <c r="B1349" s="8" t="s">
        <v>30</v>
      </c>
      <c r="C1349" s="8" t="str">
        <f>IFERROR(_xlfn.XLOOKUP(TRIM(B1349),Lookup!$B$2:$B$1000,Lookup!$C$2:$C$1000),"")</f>
        <v>Equity</v>
      </c>
      <c r="D1349" s="8" t="s">
        <v>31</v>
      </c>
      <c r="E1349" s="9">
        <v>45937</v>
      </c>
      <c r="F1349" s="8">
        <v>10.893000000000001</v>
      </c>
    </row>
    <row r="1350" spans="1:6" ht="60" x14ac:dyDescent="0.25">
      <c r="A1350" s="8" t="s">
        <v>5</v>
      </c>
      <c r="B1350" s="8" t="s">
        <v>30</v>
      </c>
      <c r="C1350" s="8" t="str">
        <f>IFERROR(_xlfn.XLOOKUP(TRIM(B1350),Lookup!$B$2:$B$1000,Lookup!$C$2:$C$1000),"")</f>
        <v>Equity</v>
      </c>
      <c r="D1350" s="8" t="s">
        <v>31</v>
      </c>
      <c r="E1350" s="9">
        <v>45938</v>
      </c>
      <c r="F1350" s="8">
        <v>10.8218</v>
      </c>
    </row>
    <row r="1351" spans="1:6" ht="60" x14ac:dyDescent="0.25">
      <c r="A1351" s="8" t="s">
        <v>5</v>
      </c>
      <c r="B1351" s="8" t="s">
        <v>30</v>
      </c>
      <c r="C1351" s="8" t="str">
        <f>IFERROR(_xlfn.XLOOKUP(TRIM(B1351),Lookup!$B$2:$B$1000,Lookup!$C$2:$C$1000),"")</f>
        <v>Equity</v>
      </c>
      <c r="D1351" s="8" t="s">
        <v>31</v>
      </c>
      <c r="E1351" s="9">
        <v>45939</v>
      </c>
      <c r="F1351" s="8">
        <v>10.8903</v>
      </c>
    </row>
    <row r="1352" spans="1:6" ht="60" x14ac:dyDescent="0.25">
      <c r="A1352" s="8" t="s">
        <v>5</v>
      </c>
      <c r="B1352" s="8" t="s">
        <v>30</v>
      </c>
      <c r="C1352" s="8" t="str">
        <f>IFERROR(_xlfn.XLOOKUP(TRIM(B1352),Lookup!$B$2:$B$1000,Lookup!$C$2:$C$1000),"")</f>
        <v>Equity</v>
      </c>
      <c r="D1352" s="8" t="s">
        <v>31</v>
      </c>
      <c r="E1352" s="9">
        <v>45940</v>
      </c>
      <c r="F1352" s="8">
        <v>10.941700000000001</v>
      </c>
    </row>
    <row r="1353" spans="1:6" ht="60" x14ac:dyDescent="0.25">
      <c r="A1353" s="8" t="s">
        <v>5</v>
      </c>
      <c r="B1353" s="8" t="s">
        <v>30</v>
      </c>
      <c r="C1353" s="8" t="str">
        <f>IFERROR(_xlfn.XLOOKUP(TRIM(B1353),Lookup!$B$2:$B$1000,Lookup!$C$2:$C$1000),"")</f>
        <v>Equity</v>
      </c>
      <c r="D1353" s="8" t="s">
        <v>31</v>
      </c>
      <c r="E1353" s="9">
        <v>45943</v>
      </c>
      <c r="F1353" s="8">
        <v>10.9305</v>
      </c>
    </row>
    <row r="1354" spans="1:6" ht="60" x14ac:dyDescent="0.25">
      <c r="A1354" s="8" t="s">
        <v>5</v>
      </c>
      <c r="B1354" s="8" t="s">
        <v>30</v>
      </c>
      <c r="C1354" s="8" t="str">
        <f>IFERROR(_xlfn.XLOOKUP(TRIM(B1354),Lookup!$B$2:$B$1000,Lookup!$C$2:$C$1000),"")</f>
        <v>Equity</v>
      </c>
      <c r="D1354" s="8" t="s">
        <v>31</v>
      </c>
      <c r="E1354" s="9">
        <v>45944</v>
      </c>
      <c r="F1354" s="8">
        <v>10.8475</v>
      </c>
    </row>
    <row r="1355" spans="1:6" ht="60" x14ac:dyDescent="0.25">
      <c r="A1355" s="8" t="s">
        <v>5</v>
      </c>
      <c r="B1355" s="8" t="s">
        <v>30</v>
      </c>
      <c r="C1355" s="8" t="str">
        <f>IFERROR(_xlfn.XLOOKUP(TRIM(B1355),Lookup!$B$2:$B$1000,Lookup!$C$2:$C$1000),"")</f>
        <v>Equity</v>
      </c>
      <c r="D1355" s="8" t="s">
        <v>31</v>
      </c>
      <c r="E1355" s="9">
        <v>45945</v>
      </c>
      <c r="F1355" s="8">
        <v>10.9436</v>
      </c>
    </row>
    <row r="1356" spans="1:6" ht="60" x14ac:dyDescent="0.25">
      <c r="A1356" s="8" t="s">
        <v>5</v>
      </c>
      <c r="B1356" s="8" t="s">
        <v>30</v>
      </c>
      <c r="C1356" s="8" t="str">
        <f>IFERROR(_xlfn.XLOOKUP(TRIM(B1356),Lookup!$B$2:$B$1000,Lookup!$C$2:$C$1000),"")</f>
        <v>Equity</v>
      </c>
      <c r="D1356" s="8" t="s">
        <v>31</v>
      </c>
      <c r="E1356" s="9">
        <v>45946</v>
      </c>
      <c r="F1356" s="8">
        <v>10.991300000000001</v>
      </c>
    </row>
    <row r="1357" spans="1:6" ht="60" x14ac:dyDescent="0.25">
      <c r="A1357" s="8" t="s">
        <v>5</v>
      </c>
      <c r="B1357" s="8" t="s">
        <v>30</v>
      </c>
      <c r="C1357" s="8" t="str">
        <f>IFERROR(_xlfn.XLOOKUP(TRIM(B1357),Lookup!$B$2:$B$1000,Lookup!$C$2:$C$1000),"")</f>
        <v>Equity</v>
      </c>
      <c r="D1357" s="8" t="s">
        <v>31</v>
      </c>
      <c r="E1357" s="9">
        <v>45947</v>
      </c>
      <c r="F1357" s="8">
        <v>10.943099999999999</v>
      </c>
    </row>
    <row r="1358" spans="1:6" ht="60" x14ac:dyDescent="0.25">
      <c r="A1358" s="8" t="s">
        <v>5</v>
      </c>
      <c r="B1358" s="8" t="s">
        <v>30</v>
      </c>
      <c r="C1358" s="8" t="str">
        <f>IFERROR(_xlfn.XLOOKUP(TRIM(B1358),Lookup!$B$2:$B$1000,Lookup!$C$2:$C$1000),"")</f>
        <v>Equity</v>
      </c>
      <c r="D1358" s="8" t="s">
        <v>31</v>
      </c>
      <c r="E1358" s="9">
        <v>45950</v>
      </c>
      <c r="F1358" s="8">
        <v>11.008100000000001</v>
      </c>
    </row>
    <row r="1359" spans="1:6" ht="60" x14ac:dyDescent="0.25">
      <c r="A1359" s="8" t="s">
        <v>5</v>
      </c>
      <c r="B1359" s="8" t="s">
        <v>30</v>
      </c>
      <c r="C1359" s="8" t="str">
        <f>IFERROR(_xlfn.XLOOKUP(TRIM(B1359),Lookup!$B$2:$B$1000,Lookup!$C$2:$C$1000),"")</f>
        <v>Equity</v>
      </c>
      <c r="D1359" s="8" t="s">
        <v>31</v>
      </c>
      <c r="E1359" s="9">
        <v>45953</v>
      </c>
      <c r="F1359" s="8">
        <v>11.028499999999999</v>
      </c>
    </row>
    <row r="1360" spans="1:6" ht="60" x14ac:dyDescent="0.25">
      <c r="A1360" s="8" t="s">
        <v>5</v>
      </c>
      <c r="B1360" s="8" t="s">
        <v>30</v>
      </c>
      <c r="C1360" s="8" t="str">
        <f>IFERROR(_xlfn.XLOOKUP(TRIM(B1360),Lookup!$B$2:$B$1000,Lookup!$C$2:$C$1000),"")</f>
        <v>Equity</v>
      </c>
      <c r="D1360" s="8" t="s">
        <v>31</v>
      </c>
      <c r="E1360" s="9">
        <v>45954</v>
      </c>
      <c r="F1360" s="8">
        <v>11.007199999999999</v>
      </c>
    </row>
    <row r="1361" spans="1:6" ht="60" x14ac:dyDescent="0.25">
      <c r="A1361" s="8" t="s">
        <v>5</v>
      </c>
      <c r="B1361" s="8" t="s">
        <v>30</v>
      </c>
      <c r="C1361" s="8" t="str">
        <f>IFERROR(_xlfn.XLOOKUP(TRIM(B1361),Lookup!$B$2:$B$1000,Lookup!$C$2:$C$1000),"")</f>
        <v>Equity</v>
      </c>
      <c r="D1361" s="8" t="s">
        <v>31</v>
      </c>
      <c r="E1361" s="9">
        <v>45957</v>
      </c>
      <c r="F1361" s="8">
        <v>11.0877</v>
      </c>
    </row>
    <row r="1362" spans="1:6" ht="60" x14ac:dyDescent="0.25">
      <c r="A1362" s="8" t="s">
        <v>5</v>
      </c>
      <c r="B1362" s="8" t="s">
        <v>30</v>
      </c>
      <c r="C1362" s="8" t="str">
        <f>IFERROR(_xlfn.XLOOKUP(TRIM(B1362),Lookup!$B$2:$B$1000,Lookup!$C$2:$C$1000),"")</f>
        <v>Equity</v>
      </c>
      <c r="D1362" s="8" t="s">
        <v>31</v>
      </c>
      <c r="E1362" s="9">
        <v>45958</v>
      </c>
      <c r="F1362" s="8">
        <v>11.090400000000001</v>
      </c>
    </row>
    <row r="1363" spans="1:6" ht="60" x14ac:dyDescent="0.25">
      <c r="A1363" s="8" t="s">
        <v>5</v>
      </c>
      <c r="B1363" s="8" t="s">
        <v>30</v>
      </c>
      <c r="C1363" s="8" t="str">
        <f>IFERROR(_xlfn.XLOOKUP(TRIM(B1363),Lookup!$B$2:$B$1000,Lookup!$C$2:$C$1000),"")</f>
        <v>Equity</v>
      </c>
      <c r="D1363" s="8" t="s">
        <v>31</v>
      </c>
      <c r="E1363" s="9">
        <v>45959</v>
      </c>
      <c r="F1363" s="8">
        <v>11.148400000000001</v>
      </c>
    </row>
    <row r="1364" spans="1:6" ht="60" x14ac:dyDescent="0.25">
      <c r="A1364" s="8" t="s">
        <v>5</v>
      </c>
      <c r="B1364" s="8" t="s">
        <v>30</v>
      </c>
      <c r="C1364" s="8" t="str">
        <f>IFERROR(_xlfn.XLOOKUP(TRIM(B1364),Lookup!$B$2:$B$1000,Lookup!$C$2:$C$1000),"")</f>
        <v>Equity</v>
      </c>
      <c r="D1364" s="8" t="s">
        <v>31</v>
      </c>
      <c r="E1364" s="9">
        <v>45960</v>
      </c>
      <c r="F1364" s="8">
        <v>11.133699999999999</v>
      </c>
    </row>
    <row r="1365" spans="1:6" ht="60" x14ac:dyDescent="0.25">
      <c r="A1365" s="8" t="s">
        <v>5</v>
      </c>
      <c r="B1365" s="8" t="s">
        <v>30</v>
      </c>
      <c r="C1365" s="8" t="str">
        <f>IFERROR(_xlfn.XLOOKUP(TRIM(B1365),Lookup!$B$2:$B$1000,Lookup!$C$2:$C$1000),"")</f>
        <v>Equity</v>
      </c>
      <c r="D1365" s="8" t="s">
        <v>31</v>
      </c>
      <c r="E1365" s="9">
        <v>45961</v>
      </c>
      <c r="F1365" s="8">
        <v>11.077400000000001</v>
      </c>
    </row>
    <row r="1366" spans="1:6" ht="60" x14ac:dyDescent="0.25">
      <c r="A1366" s="8" t="s">
        <v>5</v>
      </c>
      <c r="B1366" s="8" t="s">
        <v>30</v>
      </c>
      <c r="C1366" s="8" t="str">
        <f>IFERROR(_xlfn.XLOOKUP(TRIM(B1366),Lookup!$B$2:$B$1000,Lookup!$C$2:$C$1000),"")</f>
        <v>Equity</v>
      </c>
      <c r="D1366" s="8" t="s">
        <v>31</v>
      </c>
      <c r="E1366" s="9">
        <v>45964</v>
      </c>
      <c r="F1366" s="8">
        <v>11.158799999999999</v>
      </c>
    </row>
    <row r="1367" spans="1:6" ht="60" x14ac:dyDescent="0.25">
      <c r="A1367" s="8" t="s">
        <v>5</v>
      </c>
      <c r="B1367" s="8" t="s">
        <v>30</v>
      </c>
      <c r="C1367" s="8" t="str">
        <f>IFERROR(_xlfn.XLOOKUP(TRIM(B1367),Lookup!$B$2:$B$1000,Lookup!$C$2:$C$1000),"")</f>
        <v>Equity</v>
      </c>
      <c r="D1367" s="8" t="s">
        <v>31</v>
      </c>
      <c r="E1367" s="9">
        <v>45965</v>
      </c>
      <c r="F1367" s="8">
        <v>11.106400000000001</v>
      </c>
    </row>
    <row r="1368" spans="1:6" ht="60" x14ac:dyDescent="0.25">
      <c r="A1368" s="8" t="s">
        <v>5</v>
      </c>
      <c r="B1368" s="8" t="s">
        <v>30</v>
      </c>
      <c r="C1368" s="8" t="str">
        <f>IFERROR(_xlfn.XLOOKUP(TRIM(B1368),Lookup!$B$2:$B$1000,Lookup!$C$2:$C$1000),"")</f>
        <v>Equity</v>
      </c>
      <c r="D1368" s="8" t="s">
        <v>31</v>
      </c>
      <c r="E1368" s="9">
        <v>45967</v>
      </c>
      <c r="F1368" s="8">
        <v>10.980600000000001</v>
      </c>
    </row>
    <row r="1369" spans="1:6" ht="60" x14ac:dyDescent="0.25">
      <c r="A1369" s="8" t="s">
        <v>5</v>
      </c>
      <c r="B1369" s="8" t="s">
        <v>30</v>
      </c>
      <c r="C1369" s="8" t="str">
        <f>IFERROR(_xlfn.XLOOKUP(TRIM(B1369),Lookup!$B$2:$B$1000,Lookup!$C$2:$C$1000),"")</f>
        <v>Equity</v>
      </c>
      <c r="D1369" s="8" t="s">
        <v>31</v>
      </c>
      <c r="E1369" s="9">
        <v>45968</v>
      </c>
      <c r="F1369" s="8">
        <v>11.0084</v>
      </c>
    </row>
    <row r="1370" spans="1:6" ht="60" x14ac:dyDescent="0.25">
      <c r="A1370" s="8" t="s">
        <v>5</v>
      </c>
      <c r="B1370" s="8" t="s">
        <v>30</v>
      </c>
      <c r="C1370" s="8" t="str">
        <f>IFERROR(_xlfn.XLOOKUP(TRIM(B1370),Lookup!$B$2:$B$1000,Lookup!$C$2:$C$1000),"")</f>
        <v>Equity</v>
      </c>
      <c r="D1370" s="8" t="s">
        <v>31</v>
      </c>
      <c r="E1370" s="9">
        <v>45971</v>
      </c>
      <c r="F1370" s="8">
        <v>11.0412</v>
      </c>
    </row>
    <row r="1371" spans="1:6" ht="60" x14ac:dyDescent="0.25">
      <c r="A1371" s="8" t="s">
        <v>5</v>
      </c>
      <c r="B1371" s="8" t="s">
        <v>30</v>
      </c>
      <c r="C1371" s="8" t="str">
        <f>IFERROR(_xlfn.XLOOKUP(TRIM(B1371),Lookup!$B$2:$B$1000,Lookup!$C$2:$C$1000),"")</f>
        <v>Equity</v>
      </c>
      <c r="D1371" s="8" t="s">
        <v>31</v>
      </c>
      <c r="E1371" s="9">
        <v>45972</v>
      </c>
      <c r="F1371" s="8">
        <v>11.0679</v>
      </c>
    </row>
    <row r="1372" spans="1:6" ht="60" x14ac:dyDescent="0.25">
      <c r="A1372" s="8" t="s">
        <v>5</v>
      </c>
      <c r="B1372" s="8" t="s">
        <v>30</v>
      </c>
      <c r="C1372" s="8" t="str">
        <f>IFERROR(_xlfn.XLOOKUP(TRIM(B1372),Lookup!$B$2:$B$1000,Lookup!$C$2:$C$1000),"")</f>
        <v>Equity</v>
      </c>
      <c r="D1372" s="8" t="s">
        <v>31</v>
      </c>
      <c r="E1372" s="9">
        <v>45973</v>
      </c>
      <c r="F1372" s="8">
        <v>11.1493</v>
      </c>
    </row>
    <row r="1373" spans="1:6" ht="60" x14ac:dyDescent="0.25">
      <c r="A1373" s="8" t="s">
        <v>5</v>
      </c>
      <c r="B1373" s="8" t="s">
        <v>30</v>
      </c>
      <c r="C1373" s="8" t="str">
        <f>IFERROR(_xlfn.XLOOKUP(TRIM(B1373),Lookup!$B$2:$B$1000,Lookup!$C$2:$C$1000),"")</f>
        <v>Equity</v>
      </c>
      <c r="D1373" s="8" t="s">
        <v>31</v>
      </c>
      <c r="E1373" s="9">
        <v>45974</v>
      </c>
      <c r="F1373" s="8">
        <v>11.110300000000001</v>
      </c>
    </row>
    <row r="1374" spans="1:6" ht="60" x14ac:dyDescent="0.25">
      <c r="A1374" s="8" t="s">
        <v>5</v>
      </c>
      <c r="B1374" s="8" t="s">
        <v>30</v>
      </c>
      <c r="C1374" s="8" t="str">
        <f>IFERROR(_xlfn.XLOOKUP(TRIM(B1374),Lookup!$B$2:$B$1000,Lookup!$C$2:$C$1000),"")</f>
        <v>Equity</v>
      </c>
      <c r="D1374" s="8" t="s">
        <v>31</v>
      </c>
      <c r="E1374" s="9">
        <v>45975</v>
      </c>
      <c r="F1374" s="8">
        <v>11.1211</v>
      </c>
    </row>
    <row r="1375" spans="1:6" ht="60" x14ac:dyDescent="0.25">
      <c r="A1375" s="8" t="s">
        <v>5</v>
      </c>
      <c r="B1375" s="8" t="s">
        <v>30</v>
      </c>
      <c r="C1375" s="8" t="str">
        <f>IFERROR(_xlfn.XLOOKUP(TRIM(B1375),Lookup!$B$2:$B$1000,Lookup!$C$2:$C$1000),"")</f>
        <v>Equity</v>
      </c>
      <c r="D1375" s="8" t="s">
        <v>31</v>
      </c>
      <c r="E1375" s="9">
        <v>45978</v>
      </c>
      <c r="F1375" s="8">
        <v>11.194800000000001</v>
      </c>
    </row>
    <row r="1376" spans="1:6" ht="60" x14ac:dyDescent="0.25">
      <c r="A1376" s="8" t="s">
        <v>5</v>
      </c>
      <c r="B1376" s="8" t="s">
        <v>30</v>
      </c>
      <c r="C1376" s="8" t="str">
        <f>IFERROR(_xlfn.XLOOKUP(TRIM(B1376),Lookup!$B$2:$B$1000,Lookup!$C$2:$C$1000),"")</f>
        <v>Equity</v>
      </c>
      <c r="D1376" s="8" t="s">
        <v>31</v>
      </c>
      <c r="E1376" s="9">
        <v>45979</v>
      </c>
      <c r="F1376" s="8">
        <v>11.1114</v>
      </c>
    </row>
    <row r="1377" spans="1:6" ht="60" x14ac:dyDescent="0.25">
      <c r="A1377" s="8" t="s">
        <v>5</v>
      </c>
      <c r="B1377" s="8" t="s">
        <v>30</v>
      </c>
      <c r="C1377" s="8" t="str">
        <f>IFERROR(_xlfn.XLOOKUP(TRIM(B1377),Lookup!$B$2:$B$1000,Lookup!$C$2:$C$1000),"")</f>
        <v>Equity</v>
      </c>
      <c r="D1377" s="8" t="s">
        <v>31</v>
      </c>
      <c r="E1377" s="9">
        <v>45980</v>
      </c>
      <c r="F1377" s="8">
        <v>11.119300000000001</v>
      </c>
    </row>
    <row r="1378" spans="1:6" ht="60" x14ac:dyDescent="0.25">
      <c r="A1378" s="8" t="s">
        <v>5</v>
      </c>
      <c r="B1378" s="8" t="s">
        <v>30</v>
      </c>
      <c r="C1378" s="8" t="str">
        <f>IFERROR(_xlfn.XLOOKUP(TRIM(B1378),Lookup!$B$2:$B$1000,Lookup!$C$2:$C$1000),"")</f>
        <v>Equity</v>
      </c>
      <c r="D1378" s="8" t="s">
        <v>31</v>
      </c>
      <c r="E1378" s="9">
        <v>45981</v>
      </c>
      <c r="F1378" s="8">
        <v>11.1127</v>
      </c>
    </row>
    <row r="1379" spans="1:6" ht="60" x14ac:dyDescent="0.25">
      <c r="A1379" s="8" t="s">
        <v>5</v>
      </c>
      <c r="B1379" s="8" t="s">
        <v>30</v>
      </c>
      <c r="C1379" s="8" t="str">
        <f>IFERROR(_xlfn.XLOOKUP(TRIM(B1379),Lookup!$B$2:$B$1000,Lookup!$C$2:$C$1000),"")</f>
        <v>Equity</v>
      </c>
      <c r="D1379" s="8" t="s">
        <v>31</v>
      </c>
      <c r="E1379" s="9">
        <v>45982</v>
      </c>
      <c r="F1379" s="8">
        <v>10.983599999999999</v>
      </c>
    </row>
    <row r="1380" spans="1:6" ht="60" x14ac:dyDescent="0.25">
      <c r="A1380" s="8" t="s">
        <v>5</v>
      </c>
      <c r="B1380" s="8" t="s">
        <v>30</v>
      </c>
      <c r="C1380" s="8" t="str">
        <f>IFERROR(_xlfn.XLOOKUP(TRIM(B1380),Lookup!$B$2:$B$1000,Lookup!$C$2:$C$1000),"")</f>
        <v>Equity</v>
      </c>
      <c r="D1380" s="8" t="s">
        <v>31</v>
      </c>
      <c r="E1380" s="9">
        <v>45987</v>
      </c>
      <c r="F1380" s="8">
        <v>11.091100000000001</v>
      </c>
    </row>
    <row r="1381" spans="1:6" ht="60" x14ac:dyDescent="0.25">
      <c r="A1381" s="8" t="s">
        <v>5</v>
      </c>
      <c r="B1381" s="8" t="s">
        <v>30</v>
      </c>
      <c r="C1381" s="8" t="str">
        <f>IFERROR(_xlfn.XLOOKUP(TRIM(B1381),Lookup!$B$2:$B$1000,Lookup!$C$2:$C$1000),"")</f>
        <v>Equity</v>
      </c>
      <c r="D1381" s="8" t="s">
        <v>31</v>
      </c>
      <c r="E1381" s="9">
        <v>45988</v>
      </c>
      <c r="F1381" s="8">
        <v>11.077400000000001</v>
      </c>
    </row>
    <row r="1382" spans="1:6" ht="60" x14ac:dyDescent="0.25">
      <c r="A1382" s="8" t="s">
        <v>5</v>
      </c>
      <c r="B1382" s="8" t="s">
        <v>30</v>
      </c>
      <c r="C1382" s="8" t="str">
        <f>IFERROR(_xlfn.XLOOKUP(TRIM(B1382),Lookup!$B$2:$B$1000,Lookup!$C$2:$C$1000),"")</f>
        <v>Equity</v>
      </c>
      <c r="D1382" s="8" t="s">
        <v>31</v>
      </c>
      <c r="E1382" s="9">
        <v>45989</v>
      </c>
      <c r="F1382" s="8">
        <v>11.061</v>
      </c>
    </row>
    <row r="1383" spans="1:6" ht="60" x14ac:dyDescent="0.25">
      <c r="A1383" s="8" t="s">
        <v>5</v>
      </c>
      <c r="B1383" s="8" t="s">
        <v>30</v>
      </c>
      <c r="C1383" s="8" t="str">
        <f>IFERROR(_xlfn.XLOOKUP(TRIM(B1383),Lookup!$B$2:$B$1000,Lookup!$C$2:$C$1000),"")</f>
        <v>Equity</v>
      </c>
      <c r="D1383" s="8" t="s">
        <v>31</v>
      </c>
      <c r="E1383" s="9">
        <v>45993</v>
      </c>
      <c r="F1383" s="8">
        <v>11.0298</v>
      </c>
    </row>
    <row r="1384" spans="1:6" ht="60" x14ac:dyDescent="0.25">
      <c r="A1384" s="8" t="s">
        <v>5</v>
      </c>
      <c r="B1384" s="8" t="s">
        <v>30</v>
      </c>
      <c r="C1384" s="8" t="str">
        <f>IFERROR(_xlfn.XLOOKUP(TRIM(B1384),Lookup!$B$2:$B$1000,Lookup!$C$2:$C$1000),"")</f>
        <v>Equity</v>
      </c>
      <c r="D1384" s="8" t="s">
        <v>31</v>
      </c>
      <c r="E1384" s="9">
        <v>45994</v>
      </c>
      <c r="F1384" s="8">
        <v>10.949299999999999</v>
      </c>
    </row>
    <row r="1385" spans="1:6" ht="60" x14ac:dyDescent="0.25">
      <c r="A1385" s="8" t="s">
        <v>5</v>
      </c>
      <c r="B1385" s="8" t="s">
        <v>30</v>
      </c>
      <c r="C1385" s="8" t="str">
        <f>IFERROR(_xlfn.XLOOKUP(TRIM(B1385),Lookup!$B$2:$B$1000,Lookup!$C$2:$C$1000),"")</f>
        <v>Equity</v>
      </c>
      <c r="D1385" s="8" t="s">
        <v>31</v>
      </c>
      <c r="E1385" s="9">
        <v>45995</v>
      </c>
      <c r="F1385" s="8">
        <v>10.9367</v>
      </c>
    </row>
    <row r="1386" spans="1:6" ht="60" x14ac:dyDescent="0.25">
      <c r="A1386" s="8" t="s">
        <v>5</v>
      </c>
      <c r="B1386" s="8" t="s">
        <v>30</v>
      </c>
      <c r="C1386" s="8" t="str">
        <f>IFERROR(_xlfn.XLOOKUP(TRIM(B1386),Lookup!$B$2:$B$1000,Lookup!$C$2:$C$1000),"")</f>
        <v>Equity</v>
      </c>
      <c r="D1386" s="8" t="s">
        <v>31</v>
      </c>
      <c r="E1386" s="9">
        <v>45996</v>
      </c>
      <c r="F1386" s="8">
        <v>10.943899999999999</v>
      </c>
    </row>
    <row r="1387" spans="1:6" ht="60" x14ac:dyDescent="0.25">
      <c r="A1387" s="8" t="s">
        <v>5</v>
      </c>
      <c r="B1387" s="8" t="s">
        <v>30</v>
      </c>
      <c r="C1387" s="8" t="str">
        <f>IFERROR(_xlfn.XLOOKUP(TRIM(B1387),Lookup!$B$2:$B$1000,Lookup!$C$2:$C$1000),"")</f>
        <v>Equity</v>
      </c>
      <c r="D1387" s="8" t="s">
        <v>31</v>
      </c>
      <c r="E1387" s="9">
        <v>45999</v>
      </c>
      <c r="F1387" s="8">
        <v>10.7377</v>
      </c>
    </row>
    <row r="1388" spans="1:6" ht="60" x14ac:dyDescent="0.25">
      <c r="A1388" s="8" t="s">
        <v>5</v>
      </c>
      <c r="B1388" s="8" t="s">
        <v>30</v>
      </c>
      <c r="C1388" s="8" t="str">
        <f>IFERROR(_xlfn.XLOOKUP(TRIM(B1388),Lookup!$B$2:$B$1000,Lookup!$C$2:$C$1000),"")</f>
        <v>Equity</v>
      </c>
      <c r="D1388" s="8" t="s">
        <v>31</v>
      </c>
      <c r="E1388" s="9">
        <v>46000</v>
      </c>
      <c r="F1388" s="8">
        <v>10.799799999999999</v>
      </c>
    </row>
    <row r="1389" spans="1:6" ht="60" x14ac:dyDescent="0.25">
      <c r="A1389" s="8" t="s">
        <v>5</v>
      </c>
      <c r="B1389" s="8" t="s">
        <v>30</v>
      </c>
      <c r="C1389" s="8" t="str">
        <f>IFERROR(_xlfn.XLOOKUP(TRIM(B1389),Lookup!$B$2:$B$1000,Lookup!$C$2:$C$1000),"")</f>
        <v>Equity</v>
      </c>
      <c r="D1389" s="8" t="s">
        <v>31</v>
      </c>
      <c r="E1389" s="9">
        <v>46001</v>
      </c>
      <c r="F1389" s="8">
        <v>10.706300000000001</v>
      </c>
    </row>
    <row r="1390" spans="1:6" ht="60" x14ac:dyDescent="0.25">
      <c r="A1390" s="8" t="s">
        <v>5</v>
      </c>
      <c r="B1390" s="8" t="s">
        <v>30</v>
      </c>
      <c r="C1390" s="8" t="str">
        <f>IFERROR(_xlfn.XLOOKUP(TRIM(B1390),Lookup!$B$2:$B$1000,Lookup!$C$2:$C$1000),"")</f>
        <v>Equity</v>
      </c>
      <c r="D1390" s="8" t="s">
        <v>31</v>
      </c>
      <c r="E1390" s="9">
        <v>46002</v>
      </c>
      <c r="F1390" s="8">
        <v>10.7873</v>
      </c>
    </row>
    <row r="1391" spans="1:6" ht="60" x14ac:dyDescent="0.25">
      <c r="A1391" s="8" t="s">
        <v>5</v>
      </c>
      <c r="B1391" s="8" t="s">
        <v>30</v>
      </c>
      <c r="C1391" s="8" t="str">
        <f>IFERROR(_xlfn.XLOOKUP(TRIM(B1391),Lookup!$B$2:$B$1000,Lookup!$C$2:$C$1000),"")</f>
        <v>Equity</v>
      </c>
      <c r="D1391" s="8" t="s">
        <v>31</v>
      </c>
      <c r="E1391" s="9">
        <v>46003</v>
      </c>
      <c r="F1391" s="8">
        <v>10.9001</v>
      </c>
    </row>
    <row r="1392" spans="1:6" ht="60" x14ac:dyDescent="0.25">
      <c r="A1392" s="8" t="s">
        <v>5</v>
      </c>
      <c r="B1392" s="8" t="s">
        <v>30</v>
      </c>
      <c r="C1392" s="8" t="str">
        <f>IFERROR(_xlfn.XLOOKUP(TRIM(B1392),Lookup!$B$2:$B$1000,Lookup!$C$2:$C$1000),"")</f>
        <v>Equity</v>
      </c>
      <c r="D1392" s="8" t="s">
        <v>31</v>
      </c>
      <c r="E1392" s="9">
        <v>46006</v>
      </c>
      <c r="F1392" s="8">
        <v>10.907</v>
      </c>
    </row>
    <row r="1393" spans="1:6" ht="60" x14ac:dyDescent="0.25">
      <c r="A1393" s="8" t="s">
        <v>5</v>
      </c>
      <c r="B1393" s="8" t="s">
        <v>30</v>
      </c>
      <c r="C1393" s="8" t="str">
        <f>IFERROR(_xlfn.XLOOKUP(TRIM(B1393),Lookup!$B$2:$B$1000,Lookup!$C$2:$C$1000),"")</f>
        <v>Equity</v>
      </c>
      <c r="D1393" s="8" t="s">
        <v>31</v>
      </c>
      <c r="E1393" s="9">
        <v>46007</v>
      </c>
      <c r="F1393" s="8">
        <v>10.8238</v>
      </c>
    </row>
    <row r="1394" spans="1:6" ht="60" x14ac:dyDescent="0.25">
      <c r="A1394" s="8" t="s">
        <v>5</v>
      </c>
      <c r="B1394" s="8" t="s">
        <v>30</v>
      </c>
      <c r="C1394" s="8" t="str">
        <f>IFERROR(_xlfn.XLOOKUP(TRIM(B1394),Lookup!$B$2:$B$1000,Lookup!$C$2:$C$1000),"")</f>
        <v>Equity</v>
      </c>
      <c r="D1394" s="8" t="s">
        <v>31</v>
      </c>
      <c r="E1394" s="9">
        <v>46008</v>
      </c>
      <c r="F1394" s="8">
        <v>10.758900000000001</v>
      </c>
    </row>
    <row r="1395" spans="1:6" ht="60" x14ac:dyDescent="0.25">
      <c r="A1395" s="8" t="s">
        <v>5</v>
      </c>
      <c r="B1395" s="8" t="s">
        <v>30</v>
      </c>
      <c r="C1395" s="8" t="str">
        <f>IFERROR(_xlfn.XLOOKUP(TRIM(B1395),Lookup!$B$2:$B$1000,Lookup!$C$2:$C$1000),"")</f>
        <v>Equity</v>
      </c>
      <c r="D1395" s="8" t="s">
        <v>31</v>
      </c>
      <c r="E1395" s="9">
        <v>46009</v>
      </c>
      <c r="F1395" s="8">
        <v>10.7682</v>
      </c>
    </row>
    <row r="1396" spans="1:6" ht="60" x14ac:dyDescent="0.25">
      <c r="A1396" s="8" t="s">
        <v>5</v>
      </c>
      <c r="B1396" s="8" t="s">
        <v>30</v>
      </c>
      <c r="C1396" s="8" t="str">
        <f>IFERROR(_xlfn.XLOOKUP(TRIM(B1396),Lookup!$B$2:$B$1000,Lookup!$C$2:$C$1000),"")</f>
        <v>Equity</v>
      </c>
      <c r="D1396" s="8" t="s">
        <v>31</v>
      </c>
      <c r="E1396" s="9">
        <v>46010</v>
      </c>
      <c r="F1396" s="8">
        <v>10.898099999999999</v>
      </c>
    </row>
    <row r="1397" spans="1:6" ht="60" x14ac:dyDescent="0.25">
      <c r="A1397" s="8" t="s">
        <v>5</v>
      </c>
      <c r="B1397" s="8" t="s">
        <v>30</v>
      </c>
      <c r="C1397" s="8" t="str">
        <f>IFERROR(_xlfn.XLOOKUP(TRIM(B1397),Lookup!$B$2:$B$1000,Lookup!$C$2:$C$1000),"")</f>
        <v>Equity</v>
      </c>
      <c r="D1397" s="8" t="s">
        <v>31</v>
      </c>
      <c r="E1397" s="9">
        <v>46013</v>
      </c>
      <c r="F1397" s="8">
        <v>10.9915</v>
      </c>
    </row>
    <row r="1398" spans="1:6" ht="60" x14ac:dyDescent="0.25">
      <c r="A1398" s="8" t="s">
        <v>5</v>
      </c>
      <c r="B1398" s="8" t="s">
        <v>30</v>
      </c>
      <c r="C1398" s="8" t="str">
        <f>IFERROR(_xlfn.XLOOKUP(TRIM(B1398),Lookup!$B$2:$B$1000,Lookup!$C$2:$C$1000),"")</f>
        <v>Equity</v>
      </c>
      <c r="D1398" s="8" t="s">
        <v>31</v>
      </c>
      <c r="E1398" s="9">
        <v>46014</v>
      </c>
      <c r="F1398" s="8">
        <v>11.0146</v>
      </c>
    </row>
    <row r="1399" spans="1:6" ht="60" x14ac:dyDescent="0.25">
      <c r="A1399" s="8" t="s">
        <v>5</v>
      </c>
      <c r="B1399" s="8" t="s">
        <v>30</v>
      </c>
      <c r="C1399" s="8" t="str">
        <f>IFERROR(_xlfn.XLOOKUP(TRIM(B1399),Lookup!$B$2:$B$1000,Lookup!$C$2:$C$1000),"")</f>
        <v>Equity</v>
      </c>
      <c r="D1399" s="8" t="s">
        <v>31</v>
      </c>
      <c r="E1399" s="9">
        <v>46015</v>
      </c>
      <c r="F1399" s="8">
        <v>10.9819</v>
      </c>
    </row>
    <row r="1400" spans="1:6" ht="60" x14ac:dyDescent="0.25">
      <c r="A1400" s="8" t="s">
        <v>5</v>
      </c>
      <c r="B1400" s="8" t="s">
        <v>30</v>
      </c>
      <c r="C1400" s="8" t="str">
        <f>IFERROR(_xlfn.XLOOKUP(TRIM(B1400),Lookup!$B$2:$B$1000,Lookup!$C$2:$C$1000),"")</f>
        <v>Equity</v>
      </c>
      <c r="D1400" s="8" t="s">
        <v>31</v>
      </c>
      <c r="E1400" s="9">
        <v>46017</v>
      </c>
      <c r="F1400" s="8">
        <v>10.956099999999999</v>
      </c>
    </row>
    <row r="1401" spans="1:6" ht="60" x14ac:dyDescent="0.25">
      <c r="A1401" s="8" t="s">
        <v>5</v>
      </c>
      <c r="B1401" s="8" t="s">
        <v>30</v>
      </c>
      <c r="C1401" s="8" t="str">
        <f>IFERROR(_xlfn.XLOOKUP(TRIM(B1401),Lookup!$B$2:$B$1000,Lookup!$C$2:$C$1000),"")</f>
        <v>Equity</v>
      </c>
      <c r="D1401" s="8" t="s">
        <v>31</v>
      </c>
      <c r="E1401" s="9">
        <v>46020</v>
      </c>
      <c r="F1401" s="8">
        <v>10.905799999999999</v>
      </c>
    </row>
    <row r="1402" spans="1:6" ht="60" x14ac:dyDescent="0.25">
      <c r="A1402" s="8" t="s">
        <v>5</v>
      </c>
      <c r="B1402" s="8" t="s">
        <v>30</v>
      </c>
      <c r="C1402" s="8" t="str">
        <f>IFERROR(_xlfn.XLOOKUP(TRIM(B1402),Lookup!$B$2:$B$1000,Lookup!$C$2:$C$1000),"")</f>
        <v>Equity</v>
      </c>
      <c r="D1402" s="8" t="s">
        <v>31</v>
      </c>
      <c r="E1402" s="9">
        <v>46022</v>
      </c>
      <c r="F1402" s="8">
        <v>10.995900000000001</v>
      </c>
    </row>
    <row r="1403" spans="1:6" ht="60" x14ac:dyDescent="0.25">
      <c r="A1403" s="8" t="s">
        <v>5</v>
      </c>
      <c r="B1403" s="8" t="s">
        <v>30</v>
      </c>
      <c r="C1403" s="8" t="str">
        <f>IFERROR(_xlfn.XLOOKUP(TRIM(B1403),Lookup!$B$2:$B$1000,Lookup!$C$2:$C$1000),"")</f>
        <v>Equity</v>
      </c>
      <c r="D1403" s="8" t="s">
        <v>31</v>
      </c>
      <c r="E1403" s="9">
        <v>46023</v>
      </c>
      <c r="F1403" s="8">
        <v>11.020899999999999</v>
      </c>
    </row>
    <row r="1404" spans="1:6" ht="60" x14ac:dyDescent="0.25">
      <c r="A1404" s="8" t="s">
        <v>5</v>
      </c>
      <c r="B1404" s="8" t="s">
        <v>30</v>
      </c>
      <c r="C1404" s="8" t="str">
        <f>IFERROR(_xlfn.XLOOKUP(TRIM(B1404),Lookup!$B$2:$B$1000,Lookup!$C$2:$C$1000),"")</f>
        <v>Equity</v>
      </c>
      <c r="D1404" s="8" t="s">
        <v>31</v>
      </c>
      <c r="E1404" s="9">
        <v>46024</v>
      </c>
      <c r="F1404" s="8">
        <v>11.1167</v>
      </c>
    </row>
    <row r="1405" spans="1:6" ht="60" x14ac:dyDescent="0.25">
      <c r="A1405" s="8" t="s">
        <v>5</v>
      </c>
      <c r="B1405" s="8" t="s">
        <v>30</v>
      </c>
      <c r="C1405" s="8" t="str">
        <f>IFERROR(_xlfn.XLOOKUP(TRIM(B1405),Lookup!$B$2:$B$1000,Lookup!$C$2:$C$1000),"")</f>
        <v>Equity</v>
      </c>
      <c r="D1405" s="8" t="s">
        <v>31</v>
      </c>
      <c r="E1405" s="9">
        <v>46027</v>
      </c>
      <c r="F1405" s="8">
        <v>11.1182</v>
      </c>
    </row>
    <row r="1406" spans="1:6" ht="60" x14ac:dyDescent="0.25">
      <c r="A1406" s="8" t="s">
        <v>5</v>
      </c>
      <c r="B1406" s="8" t="s">
        <v>30</v>
      </c>
      <c r="C1406" s="8" t="str">
        <f>IFERROR(_xlfn.XLOOKUP(TRIM(B1406),Lookup!$B$2:$B$1000,Lookup!$C$2:$C$1000),"")</f>
        <v>Equity</v>
      </c>
      <c r="D1406" s="8" t="s">
        <v>31</v>
      </c>
      <c r="E1406" s="9">
        <v>46028</v>
      </c>
      <c r="F1406" s="8">
        <v>11.0914</v>
      </c>
    </row>
    <row r="1407" spans="1:6" ht="60" x14ac:dyDescent="0.25">
      <c r="A1407" s="8" t="s">
        <v>5</v>
      </c>
      <c r="B1407" s="8" t="s">
        <v>30</v>
      </c>
      <c r="C1407" s="8" t="str">
        <f>IFERROR(_xlfn.XLOOKUP(TRIM(B1407),Lookup!$B$2:$B$1000,Lookup!$C$2:$C$1000),"")</f>
        <v>Equity</v>
      </c>
      <c r="D1407" s="8" t="s">
        <v>31</v>
      </c>
      <c r="E1407" s="9">
        <v>46029</v>
      </c>
      <c r="F1407" s="8">
        <v>11.127800000000001</v>
      </c>
    </row>
    <row r="1408" spans="1:6" ht="60" x14ac:dyDescent="0.25">
      <c r="A1408" s="8" t="s">
        <v>5</v>
      </c>
      <c r="B1408" s="8" t="s">
        <v>30</v>
      </c>
      <c r="C1408" s="8" t="str">
        <f>IFERROR(_xlfn.XLOOKUP(TRIM(B1408),Lookup!$B$2:$B$1000,Lookup!$C$2:$C$1000),"")</f>
        <v>Equity</v>
      </c>
      <c r="D1408" s="8" t="s">
        <v>31</v>
      </c>
      <c r="E1408" s="9">
        <v>46030</v>
      </c>
      <c r="F1408" s="8">
        <v>10.916499999999999</v>
      </c>
    </row>
    <row r="1409" spans="1:6" ht="60" x14ac:dyDescent="0.25">
      <c r="A1409" s="8" t="s">
        <v>5</v>
      </c>
      <c r="B1409" s="8" t="s">
        <v>30</v>
      </c>
      <c r="C1409" s="8" t="str">
        <f>IFERROR(_xlfn.XLOOKUP(TRIM(B1409),Lookup!$B$2:$B$1000,Lookup!$C$2:$C$1000),"")</f>
        <v>Equity</v>
      </c>
      <c r="D1409" s="8" t="s">
        <v>31</v>
      </c>
      <c r="E1409" s="9">
        <v>46031</v>
      </c>
      <c r="F1409" s="8">
        <v>10.790100000000001</v>
      </c>
    </row>
    <row r="1410" spans="1:6" ht="60" x14ac:dyDescent="0.25">
      <c r="A1410" s="8" t="s">
        <v>5</v>
      </c>
      <c r="B1410" s="8" t="s">
        <v>30</v>
      </c>
      <c r="C1410" s="8" t="str">
        <f>IFERROR(_xlfn.XLOOKUP(TRIM(B1410),Lookup!$B$2:$B$1000,Lookup!$C$2:$C$1000),"")</f>
        <v>Equity</v>
      </c>
      <c r="D1410" s="8" t="s">
        <v>31</v>
      </c>
      <c r="E1410" s="9">
        <v>46034</v>
      </c>
      <c r="F1410" s="8">
        <v>10.753</v>
      </c>
    </row>
    <row r="1411" spans="1:6" ht="60" x14ac:dyDescent="0.25">
      <c r="A1411" s="8" t="s">
        <v>5</v>
      </c>
      <c r="B1411" s="8" t="s">
        <v>30</v>
      </c>
      <c r="C1411" s="8" t="str">
        <f>IFERROR(_xlfn.XLOOKUP(TRIM(B1411),Lookup!$B$2:$B$1000,Lookup!$C$2:$C$1000),"")</f>
        <v>Equity</v>
      </c>
      <c r="D1411" s="8" t="s">
        <v>31</v>
      </c>
      <c r="E1411" s="9">
        <v>46035</v>
      </c>
      <c r="F1411" s="8">
        <v>10.7662</v>
      </c>
    </row>
    <row r="1412" spans="1:6" ht="60" x14ac:dyDescent="0.25">
      <c r="A1412" s="8" t="s">
        <v>5</v>
      </c>
      <c r="B1412" s="8" t="s">
        <v>30</v>
      </c>
      <c r="C1412" s="8" t="str">
        <f>IFERROR(_xlfn.XLOOKUP(TRIM(B1412),Lookup!$B$2:$B$1000,Lookup!$C$2:$C$1000),"")</f>
        <v>Equity</v>
      </c>
      <c r="D1412" s="8" t="s">
        <v>31</v>
      </c>
      <c r="E1412" s="9">
        <v>46036</v>
      </c>
      <c r="F1412" s="8">
        <v>10.7995</v>
      </c>
    </row>
    <row r="1413" spans="1:6" ht="60" x14ac:dyDescent="0.25">
      <c r="A1413" s="8" t="s">
        <v>5</v>
      </c>
      <c r="B1413" s="8" t="s">
        <v>30</v>
      </c>
      <c r="C1413" s="8" t="str">
        <f>IFERROR(_xlfn.XLOOKUP(TRIM(B1413),Lookup!$B$2:$B$1000,Lookup!$C$2:$C$1000),"")</f>
        <v>Equity</v>
      </c>
      <c r="D1413" s="8" t="s">
        <v>31</v>
      </c>
      <c r="E1413" s="9">
        <v>46038</v>
      </c>
      <c r="F1413" s="8">
        <v>10.784000000000001</v>
      </c>
    </row>
    <row r="1414" spans="1:6" ht="60" x14ac:dyDescent="0.25">
      <c r="A1414" s="8" t="s">
        <v>5</v>
      </c>
      <c r="B1414" s="8" t="s">
        <v>30</v>
      </c>
      <c r="C1414" s="8" t="str">
        <f>IFERROR(_xlfn.XLOOKUP(TRIM(B1414),Lookup!$B$2:$B$1000,Lookup!$C$2:$C$1000),"")</f>
        <v>Equity</v>
      </c>
      <c r="D1414" s="8" t="s">
        <v>31</v>
      </c>
      <c r="E1414" s="9">
        <v>46041</v>
      </c>
      <c r="F1414" s="8">
        <v>10.711600000000001</v>
      </c>
    </row>
    <row r="1415" spans="1:6" ht="60" x14ac:dyDescent="0.25">
      <c r="A1415" s="8" t="s">
        <v>5</v>
      </c>
      <c r="B1415" s="8" t="s">
        <v>30</v>
      </c>
      <c r="C1415" s="8" t="str">
        <f>IFERROR(_xlfn.XLOOKUP(TRIM(B1415),Lookup!$B$2:$B$1000,Lookup!$C$2:$C$1000),"")</f>
        <v>Equity</v>
      </c>
      <c r="D1415" s="8" t="s">
        <v>31</v>
      </c>
      <c r="E1415" s="9">
        <v>46042</v>
      </c>
      <c r="F1415" s="8">
        <v>10.440200000000001</v>
      </c>
    </row>
    <row r="1416" spans="1:6" ht="60" x14ac:dyDescent="0.25">
      <c r="A1416" s="8" t="s">
        <v>5</v>
      </c>
      <c r="B1416" s="8" t="s">
        <v>30</v>
      </c>
      <c r="C1416" s="8" t="str">
        <f>IFERROR(_xlfn.XLOOKUP(TRIM(B1416),Lookup!$B$2:$B$1000,Lookup!$C$2:$C$1000),"")</f>
        <v>Equity</v>
      </c>
      <c r="D1416" s="8" t="s">
        <v>31</v>
      </c>
      <c r="E1416" s="9">
        <v>46043</v>
      </c>
      <c r="F1416" s="8">
        <v>10.3444</v>
      </c>
    </row>
    <row r="1417" spans="1:6" ht="60" x14ac:dyDescent="0.25">
      <c r="A1417" s="8" t="s">
        <v>5</v>
      </c>
      <c r="B1417" s="8" t="s">
        <v>30</v>
      </c>
      <c r="C1417" s="8" t="str">
        <f>IFERROR(_xlfn.XLOOKUP(TRIM(B1417),Lookup!$B$2:$B$1000,Lookup!$C$2:$C$1000),"")</f>
        <v>Equity</v>
      </c>
      <c r="D1417" s="8" t="s">
        <v>31</v>
      </c>
      <c r="E1417" s="9">
        <v>46044</v>
      </c>
      <c r="F1417" s="8">
        <v>10.458399999999999</v>
      </c>
    </row>
    <row r="1418" spans="1:6" ht="60" x14ac:dyDescent="0.25">
      <c r="A1418" s="8" t="s">
        <v>5</v>
      </c>
      <c r="B1418" s="8" t="s">
        <v>30</v>
      </c>
      <c r="C1418" s="8" t="str">
        <f>IFERROR(_xlfn.XLOOKUP(TRIM(B1418),Lookup!$B$2:$B$1000,Lookup!$C$2:$C$1000),"")</f>
        <v>Equity</v>
      </c>
      <c r="D1418" s="8" t="s">
        <v>31</v>
      </c>
      <c r="E1418" s="9">
        <v>46045</v>
      </c>
      <c r="F1418" s="8">
        <v>10.272</v>
      </c>
    </row>
    <row r="1419" spans="1:6" ht="60" x14ac:dyDescent="0.25">
      <c r="A1419" s="8" t="s">
        <v>5</v>
      </c>
      <c r="B1419" s="8" t="s">
        <v>30</v>
      </c>
      <c r="C1419" s="8" t="str">
        <f>IFERROR(_xlfn.XLOOKUP(TRIM(B1419),Lookup!$B$2:$B$1000,Lookup!$C$2:$C$1000),"")</f>
        <v>Equity</v>
      </c>
      <c r="D1419" s="8" t="s">
        <v>31</v>
      </c>
      <c r="E1419" s="9">
        <v>46049</v>
      </c>
      <c r="F1419" s="8">
        <v>10.3134</v>
      </c>
    </row>
    <row r="1420" spans="1:6" ht="60" x14ac:dyDescent="0.25">
      <c r="A1420" s="8" t="s">
        <v>5</v>
      </c>
      <c r="B1420" s="8" t="s">
        <v>30</v>
      </c>
      <c r="C1420" s="8" t="str">
        <f>IFERROR(_xlfn.XLOOKUP(TRIM(B1420),Lookup!$B$2:$B$1000,Lookup!$C$2:$C$1000),"")</f>
        <v>Equity</v>
      </c>
      <c r="D1420" s="8" t="s">
        <v>31</v>
      </c>
      <c r="E1420" s="9">
        <v>46050</v>
      </c>
      <c r="F1420" s="8">
        <v>10.4895</v>
      </c>
    </row>
    <row r="1421" spans="1:6" ht="60" x14ac:dyDescent="0.25">
      <c r="A1421" s="8" t="s">
        <v>5</v>
      </c>
      <c r="B1421" s="8" t="s">
        <v>30</v>
      </c>
      <c r="C1421" s="8" t="str">
        <f>IFERROR(_xlfn.XLOOKUP(TRIM(B1421),Lookup!$B$2:$B$1000,Lookup!$C$2:$C$1000),"")</f>
        <v>Equity</v>
      </c>
      <c r="D1421" s="8" t="s">
        <v>31</v>
      </c>
      <c r="E1421" s="9">
        <v>46051</v>
      </c>
      <c r="F1421" s="8">
        <v>10.495900000000001</v>
      </c>
    </row>
    <row r="1422" spans="1:6" ht="60" x14ac:dyDescent="0.25">
      <c r="A1422" s="8" t="s">
        <v>5</v>
      </c>
      <c r="B1422" s="8" t="s">
        <v>30</v>
      </c>
      <c r="C1422" s="8" t="str">
        <f>IFERROR(_xlfn.XLOOKUP(TRIM(B1422),Lookup!$B$2:$B$1000,Lookup!$C$2:$C$1000),"")</f>
        <v>Equity</v>
      </c>
      <c r="D1422" s="8" t="s">
        <v>31</v>
      </c>
      <c r="E1422" s="9">
        <v>46052</v>
      </c>
      <c r="F1422" s="8">
        <v>10.527699999999999</v>
      </c>
    </row>
    <row r="1423" spans="1:6" ht="60" x14ac:dyDescent="0.25">
      <c r="A1423" s="8" t="s">
        <v>5</v>
      </c>
      <c r="B1423" s="8" t="s">
        <v>30</v>
      </c>
      <c r="C1423" s="8" t="str">
        <f>IFERROR(_xlfn.XLOOKUP(TRIM(B1423),Lookup!$B$2:$B$1000,Lookup!$C$2:$C$1000),"")</f>
        <v>Equity</v>
      </c>
      <c r="D1423" s="8" t="s">
        <v>31</v>
      </c>
      <c r="E1423" s="9">
        <v>46054</v>
      </c>
      <c r="F1423" s="8">
        <v>10.303900000000001</v>
      </c>
    </row>
    <row r="1424" spans="1:6" ht="60" x14ac:dyDescent="0.25">
      <c r="A1424" s="8" t="s">
        <v>5</v>
      </c>
      <c r="B1424" s="8" t="s">
        <v>30</v>
      </c>
      <c r="C1424" s="8" t="str">
        <f>IFERROR(_xlfn.XLOOKUP(TRIM(B1424),Lookup!$B$2:$B$1000,Lookup!$C$2:$C$1000),"")</f>
        <v>Equity</v>
      </c>
      <c r="D1424" s="8" t="s">
        <v>31</v>
      </c>
      <c r="E1424" s="9">
        <v>46055</v>
      </c>
      <c r="F1424" s="8">
        <v>10.3903</v>
      </c>
    </row>
    <row r="1425" spans="1:6" ht="60" x14ac:dyDescent="0.25">
      <c r="A1425" s="8" t="s">
        <v>5</v>
      </c>
      <c r="B1425" s="8" t="s">
        <v>30</v>
      </c>
      <c r="C1425" s="8" t="str">
        <f>IFERROR(_xlfn.XLOOKUP(TRIM(B1425),Lookup!$B$2:$B$1000,Lookup!$C$2:$C$1000),"")</f>
        <v>Equity</v>
      </c>
      <c r="D1425" s="8" t="s">
        <v>31</v>
      </c>
      <c r="E1425" s="9">
        <v>46056</v>
      </c>
      <c r="F1425" s="8">
        <v>10.691800000000001</v>
      </c>
    </row>
    <row r="1426" spans="1:6" ht="60" x14ac:dyDescent="0.25">
      <c r="A1426" s="8" t="s">
        <v>5</v>
      </c>
      <c r="B1426" s="8" t="s">
        <v>30</v>
      </c>
      <c r="C1426" s="8" t="str">
        <f>IFERROR(_xlfn.XLOOKUP(TRIM(B1426),Lookup!$B$2:$B$1000,Lookup!$C$2:$C$1000),"")</f>
        <v>Equity</v>
      </c>
      <c r="D1426" s="8" t="s">
        <v>31</v>
      </c>
      <c r="E1426" s="9">
        <v>46057</v>
      </c>
      <c r="F1426" s="8">
        <v>10.7614</v>
      </c>
    </row>
    <row r="1427" spans="1:6" ht="60" x14ac:dyDescent="0.25">
      <c r="A1427" s="8" t="s">
        <v>5</v>
      </c>
      <c r="B1427" s="8" t="s">
        <v>30</v>
      </c>
      <c r="C1427" s="8" t="str">
        <f>IFERROR(_xlfn.XLOOKUP(TRIM(B1427),Lookup!$B$2:$B$1000,Lookup!$C$2:$C$1000),"")</f>
        <v>Equity</v>
      </c>
      <c r="D1427" s="8" t="s">
        <v>31</v>
      </c>
      <c r="E1427" s="9">
        <v>46058</v>
      </c>
      <c r="F1427" s="8">
        <v>10.702299999999999</v>
      </c>
    </row>
    <row r="1428" spans="1:6" ht="60" x14ac:dyDescent="0.25">
      <c r="A1428" s="8" t="s">
        <v>5</v>
      </c>
      <c r="B1428" s="8" t="s">
        <v>30</v>
      </c>
      <c r="C1428" s="8" t="str">
        <f>IFERROR(_xlfn.XLOOKUP(TRIM(B1428),Lookup!$B$2:$B$1000,Lookup!$C$2:$C$1000),"")</f>
        <v>Equity</v>
      </c>
      <c r="D1428" s="8" t="s">
        <v>31</v>
      </c>
      <c r="E1428" s="9">
        <v>46059</v>
      </c>
      <c r="F1428" s="8">
        <v>10.6898</v>
      </c>
    </row>
    <row r="1429" spans="1:6" ht="60" x14ac:dyDescent="0.25">
      <c r="A1429" s="8" t="s">
        <v>5</v>
      </c>
      <c r="B1429" s="8" t="s">
        <v>30</v>
      </c>
      <c r="C1429" s="8" t="str">
        <f>IFERROR(_xlfn.XLOOKUP(TRIM(B1429),Lookup!$B$2:$B$1000,Lookup!$C$2:$C$1000),"")</f>
        <v>Equity</v>
      </c>
      <c r="D1429" s="8" t="s">
        <v>31</v>
      </c>
      <c r="E1429" s="9">
        <v>46062</v>
      </c>
      <c r="F1429" s="8">
        <v>10.8924</v>
      </c>
    </row>
    <row r="1430" spans="1:6" ht="60" x14ac:dyDescent="0.25">
      <c r="A1430" s="8" t="s">
        <v>5</v>
      </c>
      <c r="B1430" s="8" t="s">
        <v>30</v>
      </c>
      <c r="C1430" s="8" t="str">
        <f>IFERROR(_xlfn.XLOOKUP(TRIM(B1430),Lookup!$B$2:$B$1000,Lookup!$C$2:$C$1000),"")</f>
        <v>Equity</v>
      </c>
      <c r="D1430" s="8" t="s">
        <v>31</v>
      </c>
      <c r="E1430" s="9">
        <v>46063</v>
      </c>
      <c r="F1430" s="8">
        <v>10.940200000000001</v>
      </c>
    </row>
    <row r="1431" spans="1:6" ht="60" x14ac:dyDescent="0.25">
      <c r="A1431" s="8" t="s">
        <v>5</v>
      </c>
      <c r="B1431" s="8" t="s">
        <v>30</v>
      </c>
      <c r="C1431" s="8" t="str">
        <f>IFERROR(_xlfn.XLOOKUP(TRIM(B1431),Lookup!$B$2:$B$1000,Lookup!$C$2:$C$1000),"")</f>
        <v>Equity</v>
      </c>
      <c r="D1431" s="8" t="s">
        <v>31</v>
      </c>
      <c r="E1431" s="9">
        <v>46064</v>
      </c>
      <c r="F1431" s="8">
        <v>10.950100000000001</v>
      </c>
    </row>
    <row r="1432" spans="1:6" ht="60" x14ac:dyDescent="0.25">
      <c r="A1432" s="8" t="s">
        <v>5</v>
      </c>
      <c r="B1432" s="8" t="s">
        <v>30</v>
      </c>
      <c r="C1432" s="8" t="str">
        <f>IFERROR(_xlfn.XLOOKUP(TRIM(B1432),Lookup!$B$2:$B$1000,Lookup!$C$2:$C$1000),"")</f>
        <v>Equity</v>
      </c>
      <c r="D1432" s="8" t="s">
        <v>31</v>
      </c>
      <c r="E1432" s="9">
        <v>46065</v>
      </c>
      <c r="F1432" s="8">
        <v>10.8871</v>
      </c>
    </row>
    <row r="1433" spans="1:6" ht="60" x14ac:dyDescent="0.25">
      <c r="A1433" s="8" t="s">
        <v>5</v>
      </c>
      <c r="B1433" s="8" t="s">
        <v>30</v>
      </c>
      <c r="C1433" s="8" t="str">
        <f>IFERROR(_xlfn.XLOOKUP(TRIM(B1433),Lookup!$B$2:$B$1000,Lookup!$C$2:$C$1000),"")</f>
        <v>Equity</v>
      </c>
      <c r="D1433" s="8" t="s">
        <v>31</v>
      </c>
      <c r="E1433" s="9">
        <v>46066</v>
      </c>
      <c r="F1433" s="8">
        <v>10.709300000000001</v>
      </c>
    </row>
    <row r="1434" spans="1:6" ht="60" x14ac:dyDescent="0.25">
      <c r="A1434" s="8" t="s">
        <v>5</v>
      </c>
      <c r="B1434" s="8" t="s">
        <v>30</v>
      </c>
      <c r="C1434" s="8" t="str">
        <f>IFERROR(_xlfn.XLOOKUP(TRIM(B1434),Lookup!$B$2:$B$1000,Lookup!$C$2:$C$1000),"")</f>
        <v>Equity</v>
      </c>
      <c r="D1434" s="8" t="s">
        <v>31</v>
      </c>
      <c r="E1434" s="9">
        <v>46069</v>
      </c>
      <c r="F1434" s="8">
        <v>10.7378</v>
      </c>
    </row>
    <row r="1435" spans="1:6" ht="60" x14ac:dyDescent="0.25">
      <c r="A1435" s="8" t="s">
        <v>5</v>
      </c>
      <c r="B1435" s="8" t="s">
        <v>30</v>
      </c>
      <c r="C1435" s="8" t="str">
        <f>IFERROR(_xlfn.XLOOKUP(TRIM(B1435),Lookup!$B$2:$B$1000,Lookup!$C$2:$C$1000),"")</f>
        <v>Equity</v>
      </c>
      <c r="D1435" s="8" t="s">
        <v>31</v>
      </c>
      <c r="E1435" s="9">
        <v>46070</v>
      </c>
      <c r="F1435" s="8">
        <v>10.7842</v>
      </c>
    </row>
    <row r="1436" spans="1:6" ht="60" x14ac:dyDescent="0.25">
      <c r="A1436" s="8" t="s">
        <v>5</v>
      </c>
      <c r="B1436" s="8" t="s">
        <v>30</v>
      </c>
      <c r="C1436" s="8" t="str">
        <f>IFERROR(_xlfn.XLOOKUP(TRIM(B1436),Lookup!$B$2:$B$1000,Lookup!$C$2:$C$1000),"")</f>
        <v>Equity</v>
      </c>
      <c r="D1436" s="8" t="s">
        <v>31</v>
      </c>
      <c r="E1436" s="9">
        <v>46071</v>
      </c>
      <c r="F1436" s="8">
        <v>10.841200000000001</v>
      </c>
    </row>
    <row r="1437" spans="1:6" ht="60" x14ac:dyDescent="0.25">
      <c r="A1437" s="8" t="s">
        <v>5</v>
      </c>
      <c r="B1437" s="8" t="s">
        <v>30</v>
      </c>
      <c r="C1437" s="8" t="str">
        <f>IFERROR(_xlfn.XLOOKUP(TRIM(B1437),Lookup!$B$2:$B$1000,Lookup!$C$2:$C$1000),"")</f>
        <v>Equity</v>
      </c>
      <c r="D1437" s="8" t="s">
        <v>31</v>
      </c>
      <c r="E1437" s="9">
        <v>46072</v>
      </c>
      <c r="F1437" s="8">
        <v>10.685700000000001</v>
      </c>
    </row>
    <row r="1438" spans="1:6" ht="60" x14ac:dyDescent="0.25">
      <c r="A1438" s="8" t="s">
        <v>5</v>
      </c>
      <c r="B1438" s="8" t="s">
        <v>30</v>
      </c>
      <c r="C1438" s="8" t="str">
        <f>IFERROR(_xlfn.XLOOKUP(TRIM(B1438),Lookup!$B$2:$B$1000,Lookup!$C$2:$C$1000),"")</f>
        <v>Equity</v>
      </c>
      <c r="D1438" s="8" t="s">
        <v>31</v>
      </c>
      <c r="E1438" s="9">
        <v>46073</v>
      </c>
      <c r="F1438" s="8">
        <v>10.713900000000001</v>
      </c>
    </row>
    <row r="1439" spans="1:6" ht="60" x14ac:dyDescent="0.25">
      <c r="A1439" s="8" t="s">
        <v>5</v>
      </c>
      <c r="B1439" s="8" t="s">
        <v>30</v>
      </c>
      <c r="C1439" s="8" t="str">
        <f>IFERROR(_xlfn.XLOOKUP(TRIM(B1439),Lookup!$B$2:$B$1000,Lookup!$C$2:$C$1000),"")</f>
        <v>Equity</v>
      </c>
      <c r="D1439" s="8" t="s">
        <v>31</v>
      </c>
      <c r="E1439" s="9">
        <v>46076</v>
      </c>
      <c r="F1439" s="8">
        <v>10.716100000000001</v>
      </c>
    </row>
    <row r="1440" spans="1:6" ht="60" x14ac:dyDescent="0.25">
      <c r="A1440" s="8" t="s">
        <v>5</v>
      </c>
      <c r="B1440" s="8" t="s">
        <v>30</v>
      </c>
      <c r="C1440" s="8" t="str">
        <f>IFERROR(_xlfn.XLOOKUP(TRIM(B1440),Lookup!$B$2:$B$1000,Lookup!$C$2:$C$1000),"")</f>
        <v>Equity</v>
      </c>
      <c r="D1440" s="8" t="s">
        <v>31</v>
      </c>
      <c r="E1440" s="9">
        <v>46077</v>
      </c>
      <c r="F1440" s="8">
        <v>10.674899999999999</v>
      </c>
    </row>
    <row r="1441" spans="1:6" ht="60" x14ac:dyDescent="0.25">
      <c r="A1441" s="8" t="s">
        <v>5</v>
      </c>
      <c r="B1441" s="8" t="s">
        <v>30</v>
      </c>
      <c r="C1441" s="8" t="str">
        <f>IFERROR(_xlfn.XLOOKUP(TRIM(B1441),Lookup!$B$2:$B$1000,Lookup!$C$2:$C$1000),"")</f>
        <v>Equity</v>
      </c>
      <c r="D1441" s="8" t="s">
        <v>31</v>
      </c>
      <c r="E1441" s="9">
        <v>46078</v>
      </c>
      <c r="F1441" s="8">
        <v>10.741899999999999</v>
      </c>
    </row>
    <row r="1442" spans="1:6" ht="60" x14ac:dyDescent="0.25">
      <c r="A1442" s="8" t="s">
        <v>5</v>
      </c>
      <c r="B1442" s="8" t="s">
        <v>30</v>
      </c>
      <c r="C1442" s="8" t="str">
        <f>IFERROR(_xlfn.XLOOKUP(TRIM(B1442),Lookup!$B$2:$B$1000,Lookup!$C$2:$C$1000),"")</f>
        <v>Equity</v>
      </c>
      <c r="D1442" s="8" t="s">
        <v>31</v>
      </c>
      <c r="E1442" s="9">
        <v>46079</v>
      </c>
      <c r="F1442" s="8">
        <v>10.785299999999999</v>
      </c>
    </row>
    <row r="1443" spans="1:6" ht="60" x14ac:dyDescent="0.25">
      <c r="A1443" s="8" t="s">
        <v>5</v>
      </c>
      <c r="B1443" s="8" t="s">
        <v>30</v>
      </c>
      <c r="C1443" s="8" t="str">
        <f>IFERROR(_xlfn.XLOOKUP(TRIM(B1443),Lookup!$B$2:$B$1000,Lookup!$C$2:$C$1000),"")</f>
        <v>Equity</v>
      </c>
      <c r="D1443" s="8" t="s">
        <v>31</v>
      </c>
      <c r="E1443" s="9">
        <v>46080</v>
      </c>
      <c r="F1443" s="8">
        <v>10.6715</v>
      </c>
    </row>
    <row r="1444" spans="1:6" ht="60" x14ac:dyDescent="0.25">
      <c r="A1444" s="8" t="s">
        <v>5</v>
      </c>
      <c r="B1444" s="8" t="s">
        <v>30</v>
      </c>
      <c r="C1444" s="8" t="str">
        <f>IFERROR(_xlfn.XLOOKUP(TRIM(B1444),Lookup!$B$2:$B$1000,Lookup!$C$2:$C$1000),"")</f>
        <v>Equity</v>
      </c>
      <c r="D1444" s="8" t="s">
        <v>31</v>
      </c>
      <c r="E1444" s="9">
        <v>46083</v>
      </c>
      <c r="F1444" s="8">
        <v>10.4831</v>
      </c>
    </row>
    <row r="1445" spans="1:6" ht="60" x14ac:dyDescent="0.25">
      <c r="A1445" s="8" t="s">
        <v>5</v>
      </c>
      <c r="B1445" s="8" t="s">
        <v>30</v>
      </c>
      <c r="C1445" s="8" t="str">
        <f>IFERROR(_xlfn.XLOOKUP(TRIM(B1445),Lookup!$B$2:$B$1000,Lookup!$C$2:$C$1000),"")</f>
        <v>Equity</v>
      </c>
      <c r="D1445" s="8" t="s">
        <v>31</v>
      </c>
      <c r="E1445" s="9">
        <v>46085</v>
      </c>
      <c r="F1445" s="8">
        <v>10.257099999999999</v>
      </c>
    </row>
    <row r="1446" spans="1:6" ht="60" x14ac:dyDescent="0.25">
      <c r="A1446" s="8" t="s">
        <v>5</v>
      </c>
      <c r="B1446" s="8" t="s">
        <v>30</v>
      </c>
      <c r="C1446" s="8" t="str">
        <f>IFERROR(_xlfn.XLOOKUP(TRIM(B1446),Lookup!$B$2:$B$1000,Lookup!$C$2:$C$1000),"")</f>
        <v>Equity</v>
      </c>
      <c r="D1446" s="8" t="s">
        <v>31</v>
      </c>
      <c r="E1446" s="9">
        <v>46086</v>
      </c>
      <c r="F1446" s="8">
        <v>10.409000000000001</v>
      </c>
    </row>
    <row r="1447" spans="1:6" ht="60" x14ac:dyDescent="0.25">
      <c r="A1447" s="8" t="s">
        <v>5</v>
      </c>
      <c r="B1447" s="8" t="s">
        <v>30</v>
      </c>
      <c r="C1447" s="8" t="str">
        <f>IFERROR(_xlfn.XLOOKUP(TRIM(B1447),Lookup!$B$2:$B$1000,Lookup!$C$2:$C$1000),"")</f>
        <v>Equity</v>
      </c>
      <c r="D1447" s="8" t="s">
        <v>31</v>
      </c>
      <c r="E1447" s="9">
        <v>46087</v>
      </c>
      <c r="F1447" s="8">
        <v>10.3528</v>
      </c>
    </row>
    <row r="1448" spans="1:6" ht="60" x14ac:dyDescent="0.25">
      <c r="A1448" s="8" t="s">
        <v>5</v>
      </c>
      <c r="B1448" s="8" t="s">
        <v>30</v>
      </c>
      <c r="C1448" s="8" t="str">
        <f>IFERROR(_xlfn.XLOOKUP(TRIM(B1448),Lookup!$B$2:$B$1000,Lookup!$C$2:$C$1000),"")</f>
        <v>Equity</v>
      </c>
      <c r="D1448" s="8" t="s">
        <v>31</v>
      </c>
      <c r="E1448" s="9">
        <v>46090</v>
      </c>
      <c r="F1448" s="8">
        <v>10.1328</v>
      </c>
    </row>
    <row r="1449" spans="1:6" ht="60" x14ac:dyDescent="0.25">
      <c r="A1449" s="8" t="s">
        <v>5</v>
      </c>
      <c r="B1449" s="8" t="s">
        <v>30</v>
      </c>
      <c r="C1449" s="8" t="str">
        <f>IFERROR(_xlfn.XLOOKUP(TRIM(B1449),Lookup!$B$2:$B$1000,Lookup!$C$2:$C$1000),"")</f>
        <v>Equity</v>
      </c>
      <c r="D1449" s="8" t="s">
        <v>31</v>
      </c>
      <c r="E1449" s="9">
        <v>46091</v>
      </c>
      <c r="F1449" s="8">
        <v>10.311500000000001</v>
      </c>
    </row>
    <row r="1450" spans="1:6" ht="60" x14ac:dyDescent="0.25">
      <c r="A1450" s="8" t="s">
        <v>5</v>
      </c>
      <c r="B1450" s="8" t="s">
        <v>30</v>
      </c>
      <c r="C1450" s="8" t="str">
        <f>IFERROR(_xlfn.XLOOKUP(TRIM(B1450),Lookup!$B$2:$B$1000,Lookup!$C$2:$C$1000),"")</f>
        <v>Equity</v>
      </c>
      <c r="D1450" s="8" t="s">
        <v>31</v>
      </c>
      <c r="E1450" s="9">
        <v>46092</v>
      </c>
      <c r="F1450" s="8">
        <v>10.220599999999999</v>
      </c>
    </row>
    <row r="1451" spans="1:6" ht="60" x14ac:dyDescent="0.25">
      <c r="A1451" s="8" t="s">
        <v>5</v>
      </c>
      <c r="B1451" s="8" t="s">
        <v>30</v>
      </c>
      <c r="C1451" s="8" t="str">
        <f>IFERROR(_xlfn.XLOOKUP(TRIM(B1451),Lookup!$B$2:$B$1000,Lookup!$C$2:$C$1000),"")</f>
        <v>Equity</v>
      </c>
      <c r="D1451" s="8" t="s">
        <v>31</v>
      </c>
      <c r="E1451" s="9">
        <v>46093</v>
      </c>
      <c r="F1451" s="8">
        <v>10.1915</v>
      </c>
    </row>
    <row r="1452" spans="1:6" ht="60" x14ac:dyDescent="0.25">
      <c r="A1452" s="8" t="s">
        <v>5</v>
      </c>
      <c r="B1452" s="8" t="s">
        <v>30</v>
      </c>
      <c r="C1452" s="8" t="str">
        <f>IFERROR(_xlfn.XLOOKUP(TRIM(B1452),Lookup!$B$2:$B$1000,Lookup!$C$2:$C$1000),"")</f>
        <v>Equity</v>
      </c>
      <c r="D1452" s="8" t="s">
        <v>31</v>
      </c>
      <c r="E1452" s="9">
        <v>46094</v>
      </c>
      <c r="F1452" s="8">
        <v>9.9200999999999997</v>
      </c>
    </row>
    <row r="1453" spans="1:6" ht="60" x14ac:dyDescent="0.25">
      <c r="A1453" s="8" t="s">
        <v>5</v>
      </c>
      <c r="B1453" s="8" t="s">
        <v>30</v>
      </c>
      <c r="C1453" s="8" t="str">
        <f>IFERROR(_xlfn.XLOOKUP(TRIM(B1453),Lookup!$B$2:$B$1000,Lookup!$C$2:$C$1000),"")</f>
        <v>Equity</v>
      </c>
      <c r="D1453" s="8" t="s">
        <v>31</v>
      </c>
      <c r="E1453" s="9">
        <v>46097</v>
      </c>
      <c r="F1453" s="8">
        <v>9.8832000000000004</v>
      </c>
    </row>
    <row r="1454" spans="1:6" ht="60" x14ac:dyDescent="0.25">
      <c r="A1454" s="8" t="s">
        <v>5</v>
      </c>
      <c r="B1454" s="8" t="s">
        <v>30</v>
      </c>
      <c r="C1454" s="8" t="str">
        <f>IFERROR(_xlfn.XLOOKUP(TRIM(B1454),Lookup!$B$2:$B$1000,Lookup!$C$2:$C$1000),"")</f>
        <v>Equity</v>
      </c>
      <c r="D1454" s="8" t="s">
        <v>31</v>
      </c>
      <c r="E1454" s="9">
        <v>46098</v>
      </c>
      <c r="F1454" s="8">
        <v>9.9687999999999999</v>
      </c>
    </row>
    <row r="1455" spans="1:6" ht="60" x14ac:dyDescent="0.25">
      <c r="A1455" s="8" t="s">
        <v>5</v>
      </c>
      <c r="B1455" s="8" t="s">
        <v>30</v>
      </c>
      <c r="C1455" s="8" t="str">
        <f>IFERROR(_xlfn.XLOOKUP(TRIM(B1455),Lookup!$B$2:$B$1000,Lookup!$C$2:$C$1000),"")</f>
        <v>Equity</v>
      </c>
      <c r="D1455" s="8" t="s">
        <v>31</v>
      </c>
      <c r="E1455" s="9">
        <v>46099</v>
      </c>
      <c r="F1455" s="8">
        <v>10.150499999999999</v>
      </c>
    </row>
    <row r="1456" spans="1:6" ht="60" x14ac:dyDescent="0.25">
      <c r="A1456" s="8" t="s">
        <v>5</v>
      </c>
      <c r="B1456" s="8" t="s">
        <v>30</v>
      </c>
      <c r="C1456" s="8" t="str">
        <f>IFERROR(_xlfn.XLOOKUP(TRIM(B1456),Lookup!$B$2:$B$1000,Lookup!$C$2:$C$1000),"")</f>
        <v>Equity</v>
      </c>
      <c r="D1456" s="8" t="s">
        <v>31</v>
      </c>
      <c r="E1456" s="9">
        <v>46100</v>
      </c>
      <c r="F1456" s="8">
        <v>9.8568999999999996</v>
      </c>
    </row>
    <row r="1457" spans="1:6" ht="60" x14ac:dyDescent="0.25">
      <c r="A1457" s="8" t="s">
        <v>5</v>
      </c>
      <c r="B1457" s="8" t="s">
        <v>30</v>
      </c>
      <c r="C1457" s="8" t="str">
        <f>IFERROR(_xlfn.XLOOKUP(TRIM(B1457),Lookup!$B$2:$B$1000,Lookup!$C$2:$C$1000),"")</f>
        <v>Equity</v>
      </c>
      <c r="D1457" s="8" t="s">
        <v>31</v>
      </c>
      <c r="E1457" s="9">
        <v>46101</v>
      </c>
      <c r="F1457" s="8">
        <v>9.9039999999999999</v>
      </c>
    </row>
    <row r="1458" spans="1:6" ht="60" x14ac:dyDescent="0.25">
      <c r="A1458" s="8" t="s">
        <v>5</v>
      </c>
      <c r="B1458" s="8" t="s">
        <v>30</v>
      </c>
      <c r="C1458" s="8" t="str">
        <f>IFERROR(_xlfn.XLOOKUP(TRIM(B1458),Lookup!$B$2:$B$1000,Lookup!$C$2:$C$1000),"")</f>
        <v>Equity</v>
      </c>
      <c r="D1458" s="8" t="s">
        <v>31</v>
      </c>
      <c r="E1458" s="9">
        <v>46104</v>
      </c>
      <c r="F1458" s="8">
        <v>9.5277999999999992</v>
      </c>
    </row>
    <row r="1459" spans="1:6" ht="60" x14ac:dyDescent="0.25">
      <c r="A1459" s="8" t="s">
        <v>5</v>
      </c>
      <c r="B1459" s="8" t="s">
        <v>30</v>
      </c>
      <c r="C1459" s="8" t="str">
        <f>IFERROR(_xlfn.XLOOKUP(TRIM(B1459),Lookup!$B$2:$B$1000,Lookup!$C$2:$C$1000),"")</f>
        <v>Equity</v>
      </c>
      <c r="D1459" s="8" t="s">
        <v>31</v>
      </c>
      <c r="E1459" s="9">
        <v>46105</v>
      </c>
      <c r="F1459" s="8">
        <v>9.7606999999999999</v>
      </c>
    </row>
    <row r="1460" spans="1:6" ht="60" x14ac:dyDescent="0.25">
      <c r="A1460" s="8" t="s">
        <v>5</v>
      </c>
      <c r="B1460" s="8" t="s">
        <v>30</v>
      </c>
      <c r="C1460" s="8" t="str">
        <f>IFERROR(_xlfn.XLOOKUP(TRIM(B1460),Lookup!$B$2:$B$1000,Lookup!$C$2:$C$1000),"")</f>
        <v>Equity</v>
      </c>
      <c r="D1460" s="8" t="s">
        <v>31</v>
      </c>
      <c r="E1460" s="9">
        <v>46106</v>
      </c>
      <c r="F1460" s="8">
        <v>9.9920000000000009</v>
      </c>
    </row>
    <row r="1461" spans="1:6" ht="60" x14ac:dyDescent="0.25">
      <c r="A1461" s="8" t="s">
        <v>5</v>
      </c>
      <c r="B1461" s="8" t="s">
        <v>30</v>
      </c>
      <c r="C1461" s="8" t="str">
        <f>IFERROR(_xlfn.XLOOKUP(TRIM(B1461),Lookup!$B$2:$B$1000,Lookup!$C$2:$C$1000),"")</f>
        <v>Equity</v>
      </c>
      <c r="D1461" s="8" t="s">
        <v>31</v>
      </c>
      <c r="E1461" s="9">
        <v>46108</v>
      </c>
      <c r="F1461" s="8">
        <v>9.7828999999999997</v>
      </c>
    </row>
    <row r="1462" spans="1:6" ht="60" x14ac:dyDescent="0.25">
      <c r="A1462" s="8" t="s">
        <v>5</v>
      </c>
      <c r="B1462" s="8" t="s">
        <v>30</v>
      </c>
      <c r="C1462" s="8" t="str">
        <f>IFERROR(_xlfn.XLOOKUP(TRIM(B1462),Lookup!$B$2:$B$1000,Lookup!$C$2:$C$1000),"")</f>
        <v>Equity</v>
      </c>
      <c r="D1462" s="8" t="s">
        <v>31</v>
      </c>
      <c r="E1462" s="9">
        <v>46111</v>
      </c>
      <c r="F1462" s="8">
        <v>9.5366999999999997</v>
      </c>
    </row>
    <row r="1463" spans="1:6" ht="60" x14ac:dyDescent="0.25">
      <c r="A1463" s="8" t="s">
        <v>5</v>
      </c>
      <c r="B1463" s="8" t="s">
        <v>30</v>
      </c>
      <c r="C1463" s="8" t="str">
        <f>IFERROR(_xlfn.XLOOKUP(TRIM(B1463),Lookup!$B$2:$B$1000,Lookup!$C$2:$C$1000),"")</f>
        <v>Equity</v>
      </c>
      <c r="D1463" s="8" t="s">
        <v>31</v>
      </c>
      <c r="E1463" s="9">
        <v>46113</v>
      </c>
      <c r="F1463" s="8">
        <v>9.7787000000000006</v>
      </c>
    </row>
    <row r="1464" spans="1:6" ht="60" x14ac:dyDescent="0.25">
      <c r="A1464" s="8" t="s">
        <v>5</v>
      </c>
      <c r="B1464" s="8" t="s">
        <v>30</v>
      </c>
      <c r="C1464" s="8" t="str">
        <f>IFERROR(_xlfn.XLOOKUP(TRIM(B1464),Lookup!$B$2:$B$1000,Lookup!$C$2:$C$1000),"")</f>
        <v>Equity</v>
      </c>
      <c r="D1464" s="8" t="s">
        <v>31</v>
      </c>
      <c r="E1464" s="9">
        <v>46114</v>
      </c>
      <c r="F1464" s="8">
        <v>9.7523999999999997</v>
      </c>
    </row>
    <row r="1465" spans="1:6" ht="60" x14ac:dyDescent="0.25">
      <c r="A1465" s="8" t="s">
        <v>5</v>
      </c>
      <c r="B1465" s="8" t="s">
        <v>30</v>
      </c>
      <c r="C1465" s="8" t="str">
        <f>IFERROR(_xlfn.XLOOKUP(TRIM(B1465),Lookup!$B$2:$B$1000,Lookup!$C$2:$C$1000),"")</f>
        <v>Equity</v>
      </c>
      <c r="D1465" s="8" t="s">
        <v>31</v>
      </c>
      <c r="E1465" s="9">
        <v>46118</v>
      </c>
      <c r="F1465" s="8">
        <v>9.8766999999999996</v>
      </c>
    </row>
    <row r="1466" spans="1:6" ht="60" x14ac:dyDescent="0.25">
      <c r="A1466" s="8" t="s">
        <v>5</v>
      </c>
      <c r="B1466" s="8" t="s">
        <v>30</v>
      </c>
      <c r="C1466" s="8" t="str">
        <f>IFERROR(_xlfn.XLOOKUP(TRIM(B1466),Lookup!$B$2:$B$1000,Lookup!$C$2:$C$1000),"")</f>
        <v>Equity</v>
      </c>
      <c r="D1466" s="8" t="s">
        <v>31</v>
      </c>
      <c r="E1466" s="9">
        <v>46119</v>
      </c>
      <c r="F1466" s="8">
        <v>9.8856999999999999</v>
      </c>
    </row>
    <row r="1467" spans="1:6" ht="60" x14ac:dyDescent="0.25">
      <c r="A1467" s="8" t="s">
        <v>5</v>
      </c>
      <c r="B1467" s="8" t="s">
        <v>30</v>
      </c>
      <c r="C1467" s="8" t="str">
        <f>IFERROR(_xlfn.XLOOKUP(TRIM(B1467),Lookup!$B$2:$B$1000,Lookup!$C$2:$C$1000),"")</f>
        <v>Equity</v>
      </c>
      <c r="D1467" s="8" t="s">
        <v>31</v>
      </c>
      <c r="E1467" s="9">
        <v>46120</v>
      </c>
      <c r="F1467" s="8">
        <v>10.2714</v>
      </c>
    </row>
    <row r="1468" spans="1:6" ht="60" x14ac:dyDescent="0.25">
      <c r="A1468" s="8" t="s">
        <v>5</v>
      </c>
      <c r="B1468" s="8" t="s">
        <v>30</v>
      </c>
      <c r="C1468" s="8" t="str">
        <f>IFERROR(_xlfn.XLOOKUP(TRIM(B1468),Lookup!$B$2:$B$1000,Lookup!$C$2:$C$1000),"")</f>
        <v>Equity</v>
      </c>
      <c r="D1468" s="8" t="s">
        <v>31</v>
      </c>
      <c r="E1468" s="9">
        <v>46121</v>
      </c>
      <c r="F1468" s="8">
        <v>10.292999999999999</v>
      </c>
    </row>
    <row r="1469" spans="1:6" ht="60" x14ac:dyDescent="0.25">
      <c r="A1469" s="8" t="s">
        <v>5</v>
      </c>
      <c r="B1469" s="8" t="s">
        <v>30</v>
      </c>
      <c r="C1469" s="8" t="str">
        <f>IFERROR(_xlfn.XLOOKUP(TRIM(B1469),Lookup!$B$2:$B$1000,Lookup!$C$2:$C$1000),"")</f>
        <v>Equity</v>
      </c>
      <c r="D1469" s="8" t="s">
        <v>31</v>
      </c>
      <c r="E1469" s="9">
        <v>46122</v>
      </c>
      <c r="F1469" s="8">
        <v>10.4558</v>
      </c>
    </row>
    <row r="1470" spans="1:6" ht="60" x14ac:dyDescent="0.25">
      <c r="A1470" s="8" t="s">
        <v>5</v>
      </c>
      <c r="B1470" s="8" t="s">
        <v>30</v>
      </c>
      <c r="C1470" s="8" t="str">
        <f>IFERROR(_xlfn.XLOOKUP(TRIM(B1470),Lookup!$B$2:$B$1000,Lookup!$C$2:$C$1000),"")</f>
        <v>Equity</v>
      </c>
      <c r="D1470" s="8" t="s">
        <v>31</v>
      </c>
      <c r="E1470" s="9">
        <v>46125</v>
      </c>
      <c r="F1470" s="8">
        <v>10.400499999999999</v>
      </c>
    </row>
    <row r="1471" spans="1:6" ht="60" x14ac:dyDescent="0.25">
      <c r="A1471" s="8" t="s">
        <v>5</v>
      </c>
      <c r="B1471" s="8" t="s">
        <v>30</v>
      </c>
      <c r="C1471" s="8" t="str">
        <f>IFERROR(_xlfn.XLOOKUP(TRIM(B1471),Lookup!$B$2:$B$1000,Lookup!$C$2:$C$1000),"")</f>
        <v>Equity</v>
      </c>
      <c r="D1471" s="8" t="s">
        <v>31</v>
      </c>
      <c r="E1471" s="9">
        <v>46127</v>
      </c>
      <c r="F1471" s="8">
        <v>10.632099999999999</v>
      </c>
    </row>
    <row r="1472" spans="1:6" ht="60" x14ac:dyDescent="0.25">
      <c r="A1472" s="8" t="s">
        <v>5</v>
      </c>
      <c r="B1472" s="8" t="s">
        <v>30</v>
      </c>
      <c r="C1472" s="8" t="str">
        <f>IFERROR(_xlfn.XLOOKUP(TRIM(B1472),Lookup!$B$2:$B$1000,Lookup!$C$2:$C$1000),"")</f>
        <v>Equity</v>
      </c>
      <c r="D1472" s="8" t="s">
        <v>31</v>
      </c>
      <c r="E1472" s="9">
        <v>46128</v>
      </c>
      <c r="F1472" s="8">
        <v>10.7082</v>
      </c>
    </row>
    <row r="1473" spans="1:6" ht="60" x14ac:dyDescent="0.25">
      <c r="A1473" s="8" t="s">
        <v>5</v>
      </c>
      <c r="B1473" s="8" t="s">
        <v>30</v>
      </c>
      <c r="C1473" s="8" t="str">
        <f>IFERROR(_xlfn.XLOOKUP(TRIM(B1473),Lookup!$B$2:$B$1000,Lookup!$C$2:$C$1000),"")</f>
        <v>Equity</v>
      </c>
      <c r="D1473" s="8" t="s">
        <v>31</v>
      </c>
      <c r="E1473" s="9">
        <v>46129</v>
      </c>
      <c r="F1473" s="8">
        <v>10.8462</v>
      </c>
    </row>
    <row r="1474" spans="1:6" ht="60" x14ac:dyDescent="0.25">
      <c r="A1474" s="8" t="s">
        <v>5</v>
      </c>
      <c r="B1474" s="8" t="s">
        <v>30</v>
      </c>
      <c r="C1474" s="8" t="str">
        <f>IFERROR(_xlfn.XLOOKUP(TRIM(B1474),Lookup!$B$2:$B$1000,Lookup!$C$2:$C$1000),"")</f>
        <v>Equity</v>
      </c>
      <c r="D1474" s="8" t="s">
        <v>31</v>
      </c>
      <c r="E1474" s="9">
        <v>46132</v>
      </c>
      <c r="F1474" s="8">
        <v>10.8261</v>
      </c>
    </row>
    <row r="1475" spans="1:6" ht="60" x14ac:dyDescent="0.25">
      <c r="A1475" s="8" t="s">
        <v>5</v>
      </c>
      <c r="B1475" s="8" t="s">
        <v>30</v>
      </c>
      <c r="C1475" s="8" t="str">
        <f>IFERROR(_xlfn.XLOOKUP(TRIM(B1475),Lookup!$B$2:$B$1000,Lookup!$C$2:$C$1000),"")</f>
        <v>Equity</v>
      </c>
      <c r="D1475" s="8" t="s">
        <v>31</v>
      </c>
      <c r="E1475" s="9">
        <v>46133</v>
      </c>
      <c r="F1475" s="8">
        <v>10.892200000000001</v>
      </c>
    </row>
    <row r="1476" spans="1:6" ht="60" x14ac:dyDescent="0.25">
      <c r="A1476" s="8" t="s">
        <v>5</v>
      </c>
      <c r="B1476" s="8" t="s">
        <v>30</v>
      </c>
      <c r="C1476" s="8" t="str">
        <f>IFERROR(_xlfn.XLOOKUP(TRIM(B1476),Lookup!$B$2:$B$1000,Lookup!$C$2:$C$1000),"")</f>
        <v>Equity</v>
      </c>
      <c r="D1476" s="8" t="s">
        <v>31</v>
      </c>
      <c r="E1476" s="9">
        <v>46134</v>
      </c>
      <c r="F1476" s="8">
        <v>10.946300000000001</v>
      </c>
    </row>
    <row r="1477" spans="1:6" ht="60" x14ac:dyDescent="0.25">
      <c r="A1477" s="8" t="s">
        <v>5</v>
      </c>
      <c r="B1477" s="8" t="s">
        <v>30</v>
      </c>
      <c r="C1477" s="8" t="str">
        <f>IFERROR(_xlfn.XLOOKUP(TRIM(B1477),Lookup!$B$2:$B$1000,Lookup!$C$2:$C$1000),"")</f>
        <v>Equity</v>
      </c>
      <c r="D1477" s="8" t="s">
        <v>31</v>
      </c>
      <c r="E1477" s="9">
        <v>46135</v>
      </c>
      <c r="F1477" s="8">
        <v>10.8973</v>
      </c>
    </row>
    <row r="1478" spans="1:6" ht="60" x14ac:dyDescent="0.25">
      <c r="A1478" s="8" t="s">
        <v>5</v>
      </c>
      <c r="B1478" s="8" t="s">
        <v>30</v>
      </c>
      <c r="C1478" s="8" t="str">
        <f>IFERROR(_xlfn.XLOOKUP(TRIM(B1478),Lookup!$B$2:$B$1000,Lookup!$C$2:$C$1000),"")</f>
        <v>Equity</v>
      </c>
      <c r="D1478" s="8" t="s">
        <v>31</v>
      </c>
      <c r="E1478" s="9">
        <v>46136</v>
      </c>
      <c r="F1478" s="8">
        <v>10.787100000000001</v>
      </c>
    </row>
    <row r="1479" spans="1:6" ht="60" x14ac:dyDescent="0.25">
      <c r="A1479" s="8" t="s">
        <v>5</v>
      </c>
      <c r="B1479" s="8" t="s">
        <v>30</v>
      </c>
      <c r="C1479" s="8" t="str">
        <f>IFERROR(_xlfn.XLOOKUP(TRIM(B1479),Lookup!$B$2:$B$1000,Lookup!$C$2:$C$1000),"")</f>
        <v>Equity</v>
      </c>
      <c r="D1479" s="8" t="s">
        <v>31</v>
      </c>
      <c r="E1479" s="9">
        <v>46139</v>
      </c>
      <c r="F1479" s="8">
        <v>10.9567</v>
      </c>
    </row>
    <row r="1480" spans="1:6" ht="60" x14ac:dyDescent="0.25">
      <c r="A1480" s="8" t="s">
        <v>5</v>
      </c>
      <c r="B1480" s="8" t="s">
        <v>30</v>
      </c>
      <c r="C1480" s="8" t="str">
        <f>IFERROR(_xlfn.XLOOKUP(TRIM(B1480),Lookup!$B$2:$B$1000,Lookup!$C$2:$C$1000),"")</f>
        <v>Equity</v>
      </c>
      <c r="D1480" s="8" t="s">
        <v>31</v>
      </c>
      <c r="E1480" s="9">
        <v>46140</v>
      </c>
      <c r="F1480" s="8">
        <v>10.965199999999999</v>
      </c>
    </row>
    <row r="1481" spans="1:6" ht="60" x14ac:dyDescent="0.25">
      <c r="A1481" s="8" t="s">
        <v>5</v>
      </c>
      <c r="B1481" s="8" t="s">
        <v>30</v>
      </c>
      <c r="C1481" s="8" t="str">
        <f>IFERROR(_xlfn.XLOOKUP(TRIM(B1481),Lookup!$B$2:$B$1000,Lookup!$C$2:$C$1000),"")</f>
        <v>Equity</v>
      </c>
      <c r="D1481" s="8" t="s">
        <v>31</v>
      </c>
      <c r="E1481" s="9">
        <v>46141</v>
      </c>
      <c r="F1481" s="8">
        <v>10.979799999999999</v>
      </c>
    </row>
    <row r="1482" spans="1:6" ht="60" x14ac:dyDescent="0.25">
      <c r="A1482" s="8" t="s">
        <v>5</v>
      </c>
      <c r="B1482" s="8" t="s">
        <v>30</v>
      </c>
      <c r="C1482" s="8" t="str">
        <f>IFERROR(_xlfn.XLOOKUP(TRIM(B1482),Lookup!$B$2:$B$1000,Lookup!$C$2:$C$1000),"")</f>
        <v>Equity</v>
      </c>
      <c r="D1482" s="8" t="s">
        <v>31</v>
      </c>
      <c r="E1482" s="9">
        <v>46142</v>
      </c>
      <c r="F1482" s="8">
        <v>10.8947</v>
      </c>
    </row>
    <row r="1483" spans="1:6" ht="60" x14ac:dyDescent="0.25">
      <c r="A1483" s="8" t="s">
        <v>5</v>
      </c>
      <c r="B1483" s="8" t="s">
        <v>30</v>
      </c>
      <c r="C1483" s="8" t="str">
        <f>IFERROR(_xlfn.XLOOKUP(TRIM(B1483),Lookup!$B$2:$B$1000,Lookup!$C$2:$C$1000),"")</f>
        <v>Equity</v>
      </c>
      <c r="D1483" s="8" t="s">
        <v>31</v>
      </c>
      <c r="E1483" s="9">
        <v>46146</v>
      </c>
      <c r="F1483" s="8">
        <v>10.9785</v>
      </c>
    </row>
    <row r="1484" spans="1:6" ht="60" x14ac:dyDescent="0.25">
      <c r="A1484" s="8" t="s">
        <v>5</v>
      </c>
      <c r="B1484" s="8" t="s">
        <v>30</v>
      </c>
      <c r="C1484" s="8" t="str">
        <f>IFERROR(_xlfn.XLOOKUP(TRIM(B1484),Lookup!$B$2:$B$1000,Lookup!$C$2:$C$1000),"")</f>
        <v>Equity</v>
      </c>
      <c r="D1484" s="8" t="s">
        <v>31</v>
      </c>
      <c r="E1484" s="9">
        <v>46147</v>
      </c>
      <c r="F1484" s="8">
        <v>10.993499999999999</v>
      </c>
    </row>
    <row r="1485" spans="1:6" ht="60" x14ac:dyDescent="0.25">
      <c r="A1485" s="8" t="s">
        <v>5</v>
      </c>
      <c r="B1485" s="8" t="s">
        <v>30</v>
      </c>
      <c r="C1485" s="8" t="str">
        <f>IFERROR(_xlfn.XLOOKUP(TRIM(B1485),Lookup!$B$2:$B$1000,Lookup!$C$2:$C$1000),"")</f>
        <v>Equity</v>
      </c>
      <c r="D1485" s="8" t="s">
        <v>31</v>
      </c>
      <c r="E1485" s="9">
        <v>46148</v>
      </c>
      <c r="F1485" s="8">
        <v>11.1821</v>
      </c>
    </row>
    <row r="1486" spans="1:6" ht="60" x14ac:dyDescent="0.25">
      <c r="A1486" s="8" t="s">
        <v>5</v>
      </c>
      <c r="B1486" s="8" t="s">
        <v>30</v>
      </c>
      <c r="C1486" s="8" t="str">
        <f>IFERROR(_xlfn.XLOOKUP(TRIM(B1486),Lookup!$B$2:$B$1000,Lookup!$C$2:$C$1000),"")</f>
        <v>Equity</v>
      </c>
      <c r="D1486" s="8" t="s">
        <v>31</v>
      </c>
      <c r="E1486" s="9">
        <v>46149</v>
      </c>
      <c r="F1486" s="8">
        <v>11.3003</v>
      </c>
    </row>
    <row r="1487" spans="1:6" ht="60" x14ac:dyDescent="0.25">
      <c r="A1487" s="8" t="s">
        <v>5</v>
      </c>
      <c r="B1487" s="8" t="s">
        <v>30</v>
      </c>
      <c r="C1487" s="8" t="str">
        <f>IFERROR(_xlfn.XLOOKUP(TRIM(B1487),Lookup!$B$2:$B$1000,Lookup!$C$2:$C$1000),"")</f>
        <v>Equity</v>
      </c>
      <c r="D1487" s="8" t="s">
        <v>31</v>
      </c>
      <c r="E1487" s="9">
        <v>46150</v>
      </c>
      <c r="F1487" s="8">
        <v>11.2963</v>
      </c>
    </row>
    <row r="1488" spans="1:6" ht="60" x14ac:dyDescent="0.25">
      <c r="A1488" s="8" t="s">
        <v>5</v>
      </c>
      <c r="B1488" s="8" t="s">
        <v>30</v>
      </c>
      <c r="C1488" s="8" t="str">
        <f>IFERROR(_xlfn.XLOOKUP(TRIM(B1488),Lookup!$B$2:$B$1000,Lookup!$C$2:$C$1000),"")</f>
        <v>Equity</v>
      </c>
      <c r="D1488" s="8" t="s">
        <v>31</v>
      </c>
      <c r="E1488" s="9">
        <v>46153</v>
      </c>
      <c r="F1488" s="8">
        <v>11.1752</v>
      </c>
    </row>
    <row r="1489" spans="1:6" ht="60" x14ac:dyDescent="0.25">
      <c r="A1489" s="8" t="s">
        <v>5</v>
      </c>
      <c r="B1489" s="8" t="s">
        <v>30</v>
      </c>
      <c r="C1489" s="8" t="str">
        <f>IFERROR(_xlfn.XLOOKUP(TRIM(B1489),Lookup!$B$2:$B$1000,Lookup!$C$2:$C$1000),"")</f>
        <v>Equity</v>
      </c>
      <c r="D1489" s="8" t="s">
        <v>31</v>
      </c>
      <c r="E1489" s="9">
        <v>46154</v>
      </c>
      <c r="F1489" s="8">
        <v>10.877700000000001</v>
      </c>
    </row>
    <row r="1490" spans="1:6" ht="60" x14ac:dyDescent="0.25">
      <c r="A1490" s="8" t="s">
        <v>5</v>
      </c>
      <c r="B1490" s="8" t="s">
        <v>30</v>
      </c>
      <c r="C1490" s="8" t="str">
        <f>IFERROR(_xlfn.XLOOKUP(TRIM(B1490),Lookup!$B$2:$B$1000,Lookup!$C$2:$C$1000),"")</f>
        <v>Equity</v>
      </c>
      <c r="D1490" s="8" t="s">
        <v>31</v>
      </c>
      <c r="E1490" s="9">
        <v>46155</v>
      </c>
      <c r="F1490" s="8">
        <v>10.932700000000001</v>
      </c>
    </row>
    <row r="1491" spans="1:6" ht="60" x14ac:dyDescent="0.25">
      <c r="A1491" s="8" t="s">
        <v>5</v>
      </c>
      <c r="B1491" s="8" t="s">
        <v>30</v>
      </c>
      <c r="C1491" s="8" t="str">
        <f>IFERROR(_xlfn.XLOOKUP(TRIM(B1491),Lookup!$B$2:$B$1000,Lookup!$C$2:$C$1000),"")</f>
        <v>Equity</v>
      </c>
      <c r="D1491" s="8" t="s">
        <v>31</v>
      </c>
      <c r="E1491" s="9">
        <v>46156</v>
      </c>
      <c r="F1491" s="8">
        <v>11.019</v>
      </c>
    </row>
    <row r="1492" spans="1:6" ht="60" x14ac:dyDescent="0.25">
      <c r="A1492" s="8" t="s">
        <v>5</v>
      </c>
      <c r="B1492" s="8" t="s">
        <v>30</v>
      </c>
      <c r="C1492" s="8" t="str">
        <f>IFERROR(_xlfn.XLOOKUP(TRIM(B1492),Lookup!$B$2:$B$1000,Lookup!$C$2:$C$1000),"")</f>
        <v>Equity</v>
      </c>
      <c r="D1492" s="8" t="s">
        <v>31</v>
      </c>
      <c r="E1492" s="9">
        <v>46157</v>
      </c>
      <c r="F1492" s="8">
        <v>10.973100000000001</v>
      </c>
    </row>
    <row r="1493" spans="1:6" ht="60" x14ac:dyDescent="0.25">
      <c r="A1493" s="8" t="s">
        <v>5</v>
      </c>
      <c r="B1493" s="8" t="s">
        <v>30</v>
      </c>
      <c r="C1493" s="8" t="str">
        <f>IFERROR(_xlfn.XLOOKUP(TRIM(B1493),Lookup!$B$2:$B$1000,Lookup!$C$2:$C$1000),"")</f>
        <v>Equity</v>
      </c>
      <c r="D1493" s="8" t="s">
        <v>31</v>
      </c>
      <c r="E1493" s="9">
        <v>46160</v>
      </c>
      <c r="F1493" s="8">
        <v>10.902100000000001</v>
      </c>
    </row>
    <row r="1494" spans="1:6" ht="60" x14ac:dyDescent="0.25">
      <c r="A1494" s="8" t="s">
        <v>5</v>
      </c>
      <c r="B1494" s="8" t="s">
        <v>30</v>
      </c>
      <c r="C1494" s="8" t="str">
        <f>IFERROR(_xlfn.XLOOKUP(TRIM(B1494),Lookup!$B$2:$B$1000,Lookup!$C$2:$C$1000),"")</f>
        <v>Equity</v>
      </c>
      <c r="D1494" s="8" t="s">
        <v>31</v>
      </c>
      <c r="E1494" s="9">
        <v>46161</v>
      </c>
      <c r="F1494" s="8">
        <v>10.998699999999999</v>
      </c>
    </row>
    <row r="1495" spans="1:6" ht="60" x14ac:dyDescent="0.25">
      <c r="A1495" s="8" t="s">
        <v>5</v>
      </c>
      <c r="B1495" s="8" t="s">
        <v>30</v>
      </c>
      <c r="C1495" s="8" t="str">
        <f>IFERROR(_xlfn.XLOOKUP(TRIM(B1495),Lookup!$B$2:$B$1000,Lookup!$C$2:$C$1000),"")</f>
        <v>Equity</v>
      </c>
      <c r="D1495" s="8" t="s">
        <v>31</v>
      </c>
      <c r="E1495" s="9">
        <v>46162</v>
      </c>
      <c r="F1495" s="8">
        <v>11.0291</v>
      </c>
    </row>
    <row r="1496" spans="1:6" ht="60" x14ac:dyDescent="0.25">
      <c r="A1496" s="8" t="s">
        <v>5</v>
      </c>
      <c r="B1496" s="8" t="s">
        <v>30</v>
      </c>
      <c r="C1496" s="8" t="str">
        <f>IFERROR(_xlfn.XLOOKUP(TRIM(B1496),Lookup!$B$2:$B$1000,Lookup!$C$2:$C$1000),"")</f>
        <v>Equity</v>
      </c>
      <c r="D1496" s="8" t="s">
        <v>31</v>
      </c>
      <c r="E1496" s="9">
        <v>46163</v>
      </c>
      <c r="F1496" s="8">
        <v>11.061400000000001</v>
      </c>
    </row>
    <row r="1497" spans="1:6" ht="60" x14ac:dyDescent="0.25">
      <c r="A1497" s="8" t="s">
        <v>5</v>
      </c>
      <c r="B1497" s="8" t="s">
        <v>30</v>
      </c>
      <c r="C1497" s="8" t="str">
        <f>IFERROR(_xlfn.XLOOKUP(TRIM(B1497),Lookup!$B$2:$B$1000,Lookup!$C$2:$C$1000),"")</f>
        <v>Equity</v>
      </c>
      <c r="D1497" s="8" t="s">
        <v>31</v>
      </c>
      <c r="E1497" s="9">
        <v>46164</v>
      </c>
      <c r="F1497" s="8">
        <v>11.0646</v>
      </c>
    </row>
    <row r="1498" spans="1:6" ht="60" x14ac:dyDescent="0.25">
      <c r="A1498" s="8" t="s">
        <v>5</v>
      </c>
      <c r="B1498" s="8" t="s">
        <v>30</v>
      </c>
      <c r="C1498" s="8" t="str">
        <f>IFERROR(_xlfn.XLOOKUP(TRIM(B1498),Lookup!$B$2:$B$1000,Lookup!$C$2:$C$1000),"")</f>
        <v>Equity</v>
      </c>
      <c r="D1498" s="8" t="s">
        <v>31</v>
      </c>
      <c r="E1498" s="9">
        <v>46167</v>
      </c>
      <c r="F1498" s="8">
        <v>11.168100000000001</v>
      </c>
    </row>
    <row r="1499" spans="1:6" ht="60" x14ac:dyDescent="0.25">
      <c r="A1499" s="8" t="s">
        <v>5</v>
      </c>
      <c r="B1499" s="8" t="s">
        <v>30</v>
      </c>
      <c r="C1499" s="8" t="str">
        <f>IFERROR(_xlfn.XLOOKUP(TRIM(B1499),Lookup!$B$2:$B$1000,Lookup!$C$2:$C$1000),"")</f>
        <v>Equity</v>
      </c>
      <c r="D1499" s="8" t="s">
        <v>31</v>
      </c>
      <c r="E1499" s="9">
        <v>46168</v>
      </c>
      <c r="F1499" s="8">
        <v>11.2079</v>
      </c>
    </row>
    <row r="1500" spans="1:6" ht="60" x14ac:dyDescent="0.25">
      <c r="A1500" s="8" t="s">
        <v>5</v>
      </c>
      <c r="B1500" s="8" t="s">
        <v>30</v>
      </c>
      <c r="C1500" s="8" t="str">
        <f>IFERROR(_xlfn.XLOOKUP(TRIM(B1500),Lookup!$B$2:$B$1000,Lookup!$C$2:$C$1000),"")</f>
        <v>Equity</v>
      </c>
      <c r="D1500" s="8" t="s">
        <v>31</v>
      </c>
      <c r="E1500" s="9">
        <v>46169</v>
      </c>
      <c r="F1500" s="8">
        <v>11.2568</v>
      </c>
    </row>
    <row r="1501" spans="1:6" ht="60" x14ac:dyDescent="0.25">
      <c r="A1501" s="8" t="s">
        <v>5</v>
      </c>
      <c r="B1501" s="8" t="s">
        <v>30</v>
      </c>
      <c r="C1501" s="8" t="str">
        <f>IFERROR(_xlfn.XLOOKUP(TRIM(B1501),Lookup!$B$2:$B$1000,Lookup!$C$2:$C$1000),"")</f>
        <v>Equity</v>
      </c>
      <c r="D1501" s="8" t="s">
        <v>31</v>
      </c>
      <c r="E1501" s="9">
        <v>46171</v>
      </c>
      <c r="F1501" s="8">
        <v>11.1312</v>
      </c>
    </row>
    <row r="1502" spans="1:6" ht="60" x14ac:dyDescent="0.25">
      <c r="A1502" s="8" t="s">
        <v>5</v>
      </c>
      <c r="B1502" s="8" t="s">
        <v>30</v>
      </c>
      <c r="C1502" s="8" t="str">
        <f>IFERROR(_xlfn.XLOOKUP(TRIM(B1502),Lookup!$B$2:$B$1000,Lookup!$C$2:$C$1000),"")</f>
        <v>Equity</v>
      </c>
      <c r="D1502" s="8" t="s">
        <v>31</v>
      </c>
      <c r="E1502" s="9">
        <v>46174</v>
      </c>
      <c r="F1502" s="8">
        <v>11.0045</v>
      </c>
    </row>
    <row r="1503" spans="1:6" ht="60" x14ac:dyDescent="0.25">
      <c r="A1503" s="8" t="s">
        <v>5</v>
      </c>
      <c r="B1503" s="8" t="s">
        <v>30</v>
      </c>
      <c r="C1503" s="8" t="str">
        <f>IFERROR(_xlfn.XLOOKUP(TRIM(B1503),Lookup!$B$2:$B$1000,Lookup!$C$2:$C$1000),"")</f>
        <v>Equity</v>
      </c>
      <c r="D1503" s="8" t="s">
        <v>31</v>
      </c>
      <c r="E1503" s="9">
        <v>46175</v>
      </c>
      <c r="F1503" s="8">
        <v>11.0372</v>
      </c>
    </row>
    <row r="1504" spans="1:6" ht="60" x14ac:dyDescent="0.25">
      <c r="A1504" s="8" t="s">
        <v>5</v>
      </c>
      <c r="B1504" s="8" t="s">
        <v>30</v>
      </c>
      <c r="C1504" s="8" t="str">
        <f>IFERROR(_xlfn.XLOOKUP(TRIM(B1504),Lookup!$B$2:$B$1000,Lookup!$C$2:$C$1000),"")</f>
        <v>Equity</v>
      </c>
      <c r="D1504" s="8" t="s">
        <v>31</v>
      </c>
      <c r="E1504" s="9">
        <v>46176</v>
      </c>
      <c r="F1504" s="8">
        <v>11.0122</v>
      </c>
    </row>
    <row r="1505" spans="1:6" ht="60" x14ac:dyDescent="0.25">
      <c r="A1505" s="8" t="s">
        <v>5</v>
      </c>
      <c r="B1505" s="8" t="s">
        <v>30</v>
      </c>
      <c r="C1505" s="8" t="str">
        <f>IFERROR(_xlfn.XLOOKUP(TRIM(B1505),Lookup!$B$2:$B$1000,Lookup!$C$2:$C$1000),"")</f>
        <v>Equity</v>
      </c>
      <c r="D1505" s="8" t="s">
        <v>31</v>
      </c>
      <c r="E1505" s="9">
        <v>46177</v>
      </c>
      <c r="F1505" s="8">
        <v>11.0642</v>
      </c>
    </row>
    <row r="1506" spans="1:6" ht="60" x14ac:dyDescent="0.25">
      <c r="A1506" s="8" t="s">
        <v>5</v>
      </c>
      <c r="B1506" s="8" t="s">
        <v>30</v>
      </c>
      <c r="C1506" s="8" t="str">
        <f>IFERROR(_xlfn.XLOOKUP(TRIM(B1506),Lookup!$B$2:$B$1000,Lookup!$C$2:$C$1000),"")</f>
        <v>Equity</v>
      </c>
      <c r="D1506" s="8" t="s">
        <v>31</v>
      </c>
      <c r="E1506" s="9">
        <v>46178</v>
      </c>
      <c r="F1506" s="8">
        <v>11.044</v>
      </c>
    </row>
    <row r="1507" spans="1:6" ht="60" x14ac:dyDescent="0.25">
      <c r="A1507" s="8" t="s">
        <v>5</v>
      </c>
      <c r="B1507" s="8" t="s">
        <v>30</v>
      </c>
      <c r="C1507" s="8" t="str">
        <f>IFERROR(_xlfn.XLOOKUP(TRIM(B1507),Lookup!$B$2:$B$1000,Lookup!$C$2:$C$1000),"")</f>
        <v>Equity</v>
      </c>
      <c r="D1507" s="8" t="s">
        <v>31</v>
      </c>
      <c r="E1507" s="9">
        <v>46181</v>
      </c>
      <c r="F1507" s="8">
        <v>10.8718</v>
      </c>
    </row>
    <row r="1508" spans="1:6" ht="60" x14ac:dyDescent="0.25">
      <c r="A1508" s="8" t="s">
        <v>5</v>
      </c>
      <c r="B1508" s="8" t="s">
        <v>30</v>
      </c>
      <c r="C1508" s="8" t="str">
        <f>IFERROR(_xlfn.XLOOKUP(TRIM(B1508),Lookup!$B$2:$B$1000,Lookup!$C$2:$C$1000),"")</f>
        <v>Equity</v>
      </c>
      <c r="D1508" s="8" t="s">
        <v>31</v>
      </c>
      <c r="E1508" s="9">
        <v>46182</v>
      </c>
      <c r="F1508" s="8">
        <v>11.0136</v>
      </c>
    </row>
    <row r="1509" spans="1:6" ht="60" x14ac:dyDescent="0.25">
      <c r="A1509" s="8" t="s">
        <v>5</v>
      </c>
      <c r="B1509" s="8" t="s">
        <v>30</v>
      </c>
      <c r="C1509" s="8" t="str">
        <f>IFERROR(_xlfn.XLOOKUP(TRIM(B1509),Lookup!$B$2:$B$1000,Lookup!$C$2:$C$1000),"")</f>
        <v>Equity</v>
      </c>
      <c r="D1509" s="8" t="s">
        <v>31</v>
      </c>
      <c r="E1509" s="9">
        <v>46183</v>
      </c>
      <c r="F1509" s="8">
        <v>10.8758</v>
      </c>
    </row>
    <row r="1510" spans="1:6" ht="60" x14ac:dyDescent="0.25">
      <c r="A1510" s="8" t="s">
        <v>5</v>
      </c>
      <c r="B1510" s="8" t="s">
        <v>30</v>
      </c>
      <c r="C1510" s="8" t="str">
        <f>IFERROR(_xlfn.XLOOKUP(TRIM(B1510),Lookup!$B$2:$B$1000,Lookup!$C$2:$C$1000),"")</f>
        <v>Equity</v>
      </c>
      <c r="D1510" s="8" t="s">
        <v>31</v>
      </c>
      <c r="E1510" s="9">
        <v>46184</v>
      </c>
      <c r="F1510" s="8">
        <v>10.7842</v>
      </c>
    </row>
    <row r="1511" spans="1:6" ht="60" x14ac:dyDescent="0.25">
      <c r="A1511" s="8" t="s">
        <v>5</v>
      </c>
      <c r="B1511" s="8" t="s">
        <v>30</v>
      </c>
      <c r="C1511" s="8" t="str">
        <f>IFERROR(_xlfn.XLOOKUP(TRIM(B1511),Lookup!$B$2:$B$1000,Lookup!$C$2:$C$1000),"")</f>
        <v>Equity</v>
      </c>
      <c r="D1511" s="8" t="s">
        <v>31</v>
      </c>
      <c r="E1511" s="9">
        <v>46185</v>
      </c>
      <c r="F1511" s="8">
        <v>11.049899999999999</v>
      </c>
    </row>
    <row r="1512" spans="1:6" ht="60" x14ac:dyDescent="0.25">
      <c r="A1512" s="8" t="s">
        <v>5</v>
      </c>
      <c r="B1512" s="8" t="s">
        <v>30</v>
      </c>
      <c r="C1512" s="8" t="str">
        <f>IFERROR(_xlfn.XLOOKUP(TRIM(B1512),Lookup!$B$2:$B$1000,Lookup!$C$2:$C$1000),"")</f>
        <v>Equity</v>
      </c>
      <c r="D1512" s="8" t="s">
        <v>31</v>
      </c>
      <c r="E1512" s="9">
        <v>46188</v>
      </c>
      <c r="F1512" s="8">
        <v>11.1997</v>
      </c>
    </row>
    <row r="1513" spans="1:6" ht="60" x14ac:dyDescent="0.25">
      <c r="A1513" s="8" t="s">
        <v>5</v>
      </c>
      <c r="B1513" s="8" t="s">
        <v>30</v>
      </c>
      <c r="C1513" s="8" t="str">
        <f>IFERROR(_xlfn.XLOOKUP(TRIM(B1513),Lookup!$B$2:$B$1000,Lookup!$C$2:$C$1000),"")</f>
        <v>Equity</v>
      </c>
      <c r="D1513" s="8" t="s">
        <v>31</v>
      </c>
      <c r="E1513" s="9">
        <v>46189</v>
      </c>
      <c r="F1513" s="8">
        <v>11.244199999999999</v>
      </c>
    </row>
    <row r="1514" spans="1:6" ht="60" x14ac:dyDescent="0.25">
      <c r="A1514" s="8" t="s">
        <v>5</v>
      </c>
      <c r="B1514" s="8" t="s">
        <v>30</v>
      </c>
      <c r="C1514" s="8" t="str">
        <f>IFERROR(_xlfn.XLOOKUP(TRIM(B1514),Lookup!$B$2:$B$1000,Lookup!$C$2:$C$1000),"")</f>
        <v>Equity</v>
      </c>
      <c r="D1514" s="8" t="s">
        <v>31</v>
      </c>
      <c r="E1514" s="9">
        <v>46190</v>
      </c>
      <c r="F1514" s="8">
        <v>11.308</v>
      </c>
    </row>
    <row r="1515" spans="1:6" ht="60" x14ac:dyDescent="0.25">
      <c r="A1515" s="8" t="s">
        <v>5</v>
      </c>
      <c r="B1515" s="8" t="s">
        <v>30</v>
      </c>
      <c r="C1515" s="8" t="str">
        <f>IFERROR(_xlfn.XLOOKUP(TRIM(B1515),Lookup!$B$2:$B$1000,Lookup!$C$2:$C$1000),"")</f>
        <v>Equity</v>
      </c>
      <c r="D1515" s="8" t="s">
        <v>31</v>
      </c>
      <c r="E1515" s="9">
        <v>46191</v>
      </c>
      <c r="F1515" s="8">
        <v>11.366</v>
      </c>
    </row>
    <row r="1516" spans="1:6" ht="60" x14ac:dyDescent="0.25">
      <c r="A1516" s="8" t="s">
        <v>5</v>
      </c>
      <c r="B1516" s="8" t="s">
        <v>30</v>
      </c>
      <c r="C1516" s="8" t="str">
        <f>IFERROR(_xlfn.XLOOKUP(TRIM(B1516),Lookup!$B$2:$B$1000,Lookup!$C$2:$C$1000),"")</f>
        <v>Equity</v>
      </c>
      <c r="D1516" s="8" t="s">
        <v>31</v>
      </c>
      <c r="E1516" s="9">
        <v>46192</v>
      </c>
      <c r="F1516" s="8">
        <v>11.4162</v>
      </c>
    </row>
    <row r="1517" spans="1:6" ht="60" x14ac:dyDescent="0.25">
      <c r="A1517" s="8" t="s">
        <v>5</v>
      </c>
      <c r="B1517" s="8" t="s">
        <v>30</v>
      </c>
      <c r="C1517" s="8" t="str">
        <f>IFERROR(_xlfn.XLOOKUP(TRIM(B1517),Lookup!$B$2:$B$1000,Lookup!$C$2:$C$1000),"")</f>
        <v>Equity</v>
      </c>
      <c r="D1517" s="8" t="s">
        <v>31</v>
      </c>
      <c r="E1517" s="9">
        <v>46195</v>
      </c>
      <c r="F1517" s="8">
        <v>11.4763</v>
      </c>
    </row>
    <row r="1518" spans="1:6" ht="60" x14ac:dyDescent="0.25">
      <c r="A1518" s="8" t="s">
        <v>5</v>
      </c>
      <c r="B1518" s="8" t="s">
        <v>30</v>
      </c>
      <c r="C1518" s="8" t="str">
        <f>IFERROR(_xlfn.XLOOKUP(TRIM(B1518),Lookup!$B$2:$B$1000,Lookup!$C$2:$C$1000),"")</f>
        <v>Equity</v>
      </c>
      <c r="D1518" s="8" t="s">
        <v>31</v>
      </c>
      <c r="E1518" s="9">
        <v>46196</v>
      </c>
      <c r="F1518" s="8">
        <v>11.3826</v>
      </c>
    </row>
    <row r="1519" spans="1:6" ht="60" x14ac:dyDescent="0.25">
      <c r="A1519" s="8" t="s">
        <v>5</v>
      </c>
      <c r="B1519" s="8" t="s">
        <v>30</v>
      </c>
      <c r="C1519" s="8" t="str">
        <f>IFERROR(_xlfn.XLOOKUP(TRIM(B1519),Lookup!$B$2:$B$1000,Lookup!$C$2:$C$1000),"")</f>
        <v>Equity</v>
      </c>
      <c r="D1519" s="8" t="s">
        <v>31</v>
      </c>
      <c r="E1519" s="9">
        <v>46197</v>
      </c>
      <c r="F1519" s="8">
        <v>11.3969</v>
      </c>
    </row>
    <row r="1520" spans="1:6" ht="60" x14ac:dyDescent="0.25">
      <c r="A1520" s="8" t="s">
        <v>5</v>
      </c>
      <c r="B1520" s="8" t="s">
        <v>30</v>
      </c>
      <c r="C1520" s="8" t="str">
        <f>IFERROR(_xlfn.XLOOKUP(TRIM(B1520),Lookup!$B$2:$B$1000,Lookup!$C$2:$C$1000),"")</f>
        <v>Equity</v>
      </c>
      <c r="D1520" s="8" t="s">
        <v>31</v>
      </c>
      <c r="E1520" s="9">
        <v>46198</v>
      </c>
      <c r="F1520" s="8">
        <v>11.341200000000001</v>
      </c>
    </row>
    <row r="1521" spans="1:6" ht="60" x14ac:dyDescent="0.25">
      <c r="A1521" s="8" t="s">
        <v>5</v>
      </c>
      <c r="B1521" s="8" t="s">
        <v>30</v>
      </c>
      <c r="C1521" s="8" t="str">
        <f>IFERROR(_xlfn.XLOOKUP(TRIM(B1521),Lookup!$B$2:$B$1000,Lookup!$C$2:$C$1000),"")</f>
        <v>Equity</v>
      </c>
      <c r="D1521" s="8" t="s">
        <v>31</v>
      </c>
      <c r="E1521" s="9">
        <v>46202</v>
      </c>
      <c r="F1521" s="8">
        <v>11.2989</v>
      </c>
    </row>
    <row r="1522" spans="1:6" ht="60" x14ac:dyDescent="0.25">
      <c r="A1522" s="8" t="s">
        <v>5</v>
      </c>
      <c r="B1522" s="8" t="s">
        <v>30</v>
      </c>
      <c r="C1522" s="8" t="str">
        <f>IFERROR(_xlfn.XLOOKUP(TRIM(B1522),Lookup!$B$2:$B$1000,Lookup!$C$2:$C$1000),"")</f>
        <v>Equity</v>
      </c>
      <c r="D1522" s="8" t="s">
        <v>31</v>
      </c>
      <c r="E1522" s="9">
        <v>46203</v>
      </c>
      <c r="F1522" s="8">
        <v>11.3506</v>
      </c>
    </row>
    <row r="1523" spans="1:6" ht="60" x14ac:dyDescent="0.25">
      <c r="A1523" s="8" t="s">
        <v>5</v>
      </c>
      <c r="B1523" s="8" t="s">
        <v>30</v>
      </c>
      <c r="C1523" s="8" t="str">
        <f>IFERROR(_xlfn.XLOOKUP(TRIM(B1523),Lookup!$B$2:$B$1000,Lookup!$C$2:$C$1000),"")</f>
        <v>Equity</v>
      </c>
      <c r="D1523" s="8" t="s">
        <v>31</v>
      </c>
      <c r="E1523" s="9">
        <v>46204</v>
      </c>
      <c r="F1523" s="8">
        <v>11.382999999999999</v>
      </c>
    </row>
    <row r="1524" spans="1:6" ht="60" x14ac:dyDescent="0.25">
      <c r="A1524" s="8" t="s">
        <v>5</v>
      </c>
      <c r="B1524" s="8" t="s">
        <v>30</v>
      </c>
      <c r="C1524" s="8" t="str">
        <f>IFERROR(_xlfn.XLOOKUP(TRIM(B1524),Lookup!$B$2:$B$1000,Lookup!$C$2:$C$1000),"")</f>
        <v>Equity</v>
      </c>
      <c r="D1524" s="8" t="s">
        <v>31</v>
      </c>
      <c r="E1524" s="9">
        <v>46205</v>
      </c>
      <c r="F1524" s="8">
        <v>11.459</v>
      </c>
    </row>
    <row r="1525" spans="1:6" ht="60" x14ac:dyDescent="0.25">
      <c r="A1525" s="8" t="s">
        <v>5</v>
      </c>
      <c r="B1525" s="8" t="s">
        <v>30</v>
      </c>
      <c r="C1525" s="8" t="str">
        <f>IFERROR(_xlfn.XLOOKUP(TRIM(B1525),Lookup!$B$2:$B$1000,Lookup!$C$2:$C$1000),"")</f>
        <v>Equity</v>
      </c>
      <c r="D1525" s="8" t="s">
        <v>31</v>
      </c>
      <c r="E1525" s="9">
        <v>46206</v>
      </c>
      <c r="F1525" s="8">
        <v>11.447100000000001</v>
      </c>
    </row>
    <row r="1526" spans="1:6" ht="60" x14ac:dyDescent="0.25">
      <c r="A1526" s="8" t="s">
        <v>5</v>
      </c>
      <c r="B1526" s="8" t="s">
        <v>30</v>
      </c>
      <c r="C1526" s="8" t="str">
        <f>IFERROR(_xlfn.XLOOKUP(TRIM(B1526),Lookup!$B$2:$B$1000,Lookup!$C$2:$C$1000),"")</f>
        <v>Equity</v>
      </c>
      <c r="D1526" s="8" t="s">
        <v>31</v>
      </c>
      <c r="E1526" s="9">
        <v>46209</v>
      </c>
      <c r="F1526" s="8">
        <v>11.4939</v>
      </c>
    </row>
    <row r="1527" spans="1:6" ht="60" x14ac:dyDescent="0.25">
      <c r="A1527" s="8" t="s">
        <v>5</v>
      </c>
      <c r="B1527" s="8" t="s">
        <v>30</v>
      </c>
      <c r="C1527" s="8" t="str">
        <f>IFERROR(_xlfn.XLOOKUP(TRIM(B1527),Lookup!$B$2:$B$1000,Lookup!$C$2:$C$1000),"")</f>
        <v>Equity</v>
      </c>
      <c r="D1527" s="8" t="s">
        <v>31</v>
      </c>
      <c r="E1527" s="9">
        <v>46210</v>
      </c>
      <c r="F1527" s="8">
        <v>11.446899999999999</v>
      </c>
    </row>
    <row r="1528" spans="1:6" ht="60" x14ac:dyDescent="0.25">
      <c r="A1528" s="8" t="s">
        <v>5</v>
      </c>
      <c r="B1528" s="8" t="s">
        <v>30</v>
      </c>
      <c r="C1528" s="8" t="str">
        <f>IFERROR(_xlfn.XLOOKUP(TRIM(B1528),Lookup!$B$2:$B$1000,Lookup!$C$2:$C$1000),"")</f>
        <v>Equity</v>
      </c>
      <c r="D1528" s="8" t="s">
        <v>31</v>
      </c>
      <c r="E1528" s="9">
        <v>46211</v>
      </c>
      <c r="F1528" s="8">
        <v>11.248200000000001</v>
      </c>
    </row>
    <row r="1529" spans="1:6" ht="60" x14ac:dyDescent="0.25">
      <c r="A1529" s="8" t="s">
        <v>5</v>
      </c>
      <c r="B1529" s="8" t="s">
        <v>30</v>
      </c>
      <c r="C1529" s="8" t="str">
        <f>IFERROR(_xlfn.XLOOKUP(TRIM(B1529),Lookup!$B$2:$B$1000,Lookup!$C$2:$C$1000),"")</f>
        <v>Equity</v>
      </c>
      <c r="D1529" s="8" t="s">
        <v>31</v>
      </c>
      <c r="E1529" s="9">
        <v>46212</v>
      </c>
      <c r="F1529" s="8">
        <v>11.411</v>
      </c>
    </row>
    <row r="1530" spans="1:6" ht="60" x14ac:dyDescent="0.25">
      <c r="A1530" s="8" t="s">
        <v>5</v>
      </c>
      <c r="B1530" s="8" t="s">
        <v>30</v>
      </c>
      <c r="C1530" s="8" t="str">
        <f>IFERROR(_xlfn.XLOOKUP(TRIM(B1530),Lookup!$B$2:$B$1000,Lookup!$C$2:$C$1000),"")</f>
        <v>Equity</v>
      </c>
      <c r="D1530" s="8" t="s">
        <v>31</v>
      </c>
      <c r="E1530" s="9">
        <v>46213</v>
      </c>
      <c r="F1530" s="8">
        <v>11.5646</v>
      </c>
    </row>
    <row r="1531" spans="1:6" ht="60" x14ac:dyDescent="0.25">
      <c r="A1531" s="8" t="s">
        <v>5</v>
      </c>
      <c r="B1531" s="8" t="s">
        <v>30</v>
      </c>
      <c r="C1531" s="8" t="str">
        <f>IFERROR(_xlfn.XLOOKUP(TRIM(B1531),Lookup!$B$2:$B$1000,Lookup!$C$2:$C$1000),"")</f>
        <v>Equity</v>
      </c>
      <c r="D1531" s="8" t="s">
        <v>31</v>
      </c>
      <c r="E1531" s="9">
        <v>46216</v>
      </c>
      <c r="F1531" s="8">
        <v>11.5741</v>
      </c>
    </row>
    <row r="1532" spans="1:6" ht="60" x14ac:dyDescent="0.25">
      <c r="A1532" s="8" t="s">
        <v>5</v>
      </c>
      <c r="B1532" s="8" t="s">
        <v>30</v>
      </c>
      <c r="C1532" s="8" t="str">
        <f>IFERROR(_xlfn.XLOOKUP(TRIM(B1532),Lookup!$B$2:$B$1000,Lookup!$C$2:$C$1000),"")</f>
        <v>Equity</v>
      </c>
      <c r="D1532" s="8" t="s">
        <v>31</v>
      </c>
      <c r="E1532" s="9">
        <v>46217</v>
      </c>
      <c r="F1532" s="8">
        <v>11.495699999999999</v>
      </c>
    </row>
    <row r="1533" spans="1:6" ht="60" x14ac:dyDescent="0.25">
      <c r="A1533" s="8" t="s">
        <v>5</v>
      </c>
      <c r="B1533" s="8" t="s">
        <v>30</v>
      </c>
      <c r="C1533" s="8" t="str">
        <f>IFERROR(_xlfn.XLOOKUP(TRIM(B1533),Lookup!$B$2:$B$1000,Lookup!$C$2:$C$1000),"")</f>
        <v>Equity</v>
      </c>
      <c r="D1533" s="8" t="s">
        <v>31</v>
      </c>
      <c r="E1533" s="9">
        <v>46218</v>
      </c>
      <c r="F1533" s="8">
        <v>11.553699999999999</v>
      </c>
    </row>
    <row r="1534" spans="1:6" ht="60" x14ac:dyDescent="0.25">
      <c r="A1534" s="8" t="s">
        <v>5</v>
      </c>
      <c r="B1534" s="8" t="s">
        <v>30</v>
      </c>
      <c r="C1534" s="8" t="str">
        <f>IFERROR(_xlfn.XLOOKUP(TRIM(B1534),Lookup!$B$2:$B$1000,Lookup!$C$2:$C$1000),"")</f>
        <v>Equity</v>
      </c>
      <c r="D1534" s="8" t="s">
        <v>31</v>
      </c>
      <c r="E1534" s="9">
        <v>46219</v>
      </c>
      <c r="F1534" s="8">
        <v>11.526999999999999</v>
      </c>
    </row>
    <row r="1535" spans="1:6" ht="60" x14ac:dyDescent="0.25">
      <c r="A1535" s="8" t="s">
        <v>5</v>
      </c>
      <c r="B1535" s="8" t="s">
        <v>30</v>
      </c>
      <c r="C1535" s="8" t="str">
        <f>IFERROR(_xlfn.XLOOKUP(TRIM(B1535),Lookup!$B$2:$B$1000,Lookup!$C$2:$C$1000),"")</f>
        <v>Equity</v>
      </c>
      <c r="D1535" s="8" t="s">
        <v>31</v>
      </c>
      <c r="E1535" s="9">
        <v>46220</v>
      </c>
      <c r="F1535" s="8">
        <v>11.4781</v>
      </c>
    </row>
    <row r="1536" spans="1:6" ht="60" x14ac:dyDescent="0.25">
      <c r="A1536" s="8" t="s">
        <v>5</v>
      </c>
      <c r="B1536" s="8" t="s">
        <v>30</v>
      </c>
      <c r="C1536" s="8" t="str">
        <f>IFERROR(_xlfn.XLOOKUP(TRIM(B1536),Lookup!$B$2:$B$1000,Lookup!$C$2:$C$1000),"")</f>
        <v>Equity</v>
      </c>
      <c r="D1536" s="8" t="s">
        <v>31</v>
      </c>
      <c r="E1536" s="9">
        <v>46223</v>
      </c>
      <c r="F1536" s="8">
        <v>11.5204</v>
      </c>
    </row>
    <row r="1537" spans="1:6" ht="60" x14ac:dyDescent="0.25">
      <c r="A1537" s="8" t="s">
        <v>5</v>
      </c>
      <c r="B1537" s="8" t="s">
        <v>30</v>
      </c>
      <c r="C1537" s="8" t="str">
        <f>IFERROR(_xlfn.XLOOKUP(TRIM(B1537),Lookup!$B$2:$B$1000,Lookup!$C$2:$C$1000),"")</f>
        <v>Equity</v>
      </c>
      <c r="D1537" s="8" t="s">
        <v>31</v>
      </c>
      <c r="E1537" s="9">
        <v>46224</v>
      </c>
      <c r="F1537" s="8">
        <v>11.564</v>
      </c>
    </row>
    <row r="1538" spans="1:6" ht="60" x14ac:dyDescent="0.25">
      <c r="A1538" s="8" t="s">
        <v>5</v>
      </c>
      <c r="B1538" s="8" t="s">
        <v>30</v>
      </c>
      <c r="C1538" s="8" t="str">
        <f>IFERROR(_xlfn.XLOOKUP(TRIM(B1538),Lookup!$B$2:$B$1000,Lookup!$C$2:$C$1000),"")</f>
        <v>Equity</v>
      </c>
      <c r="D1538" s="8" t="s">
        <v>31</v>
      </c>
      <c r="E1538" s="9">
        <v>46225</v>
      </c>
      <c r="F1538" s="8">
        <v>11.4321</v>
      </c>
    </row>
    <row r="1539" spans="1:6" ht="60" x14ac:dyDescent="0.25">
      <c r="A1539" s="8" t="s">
        <v>5</v>
      </c>
      <c r="B1539" s="8" t="s">
        <v>30</v>
      </c>
      <c r="C1539" s="8" t="str">
        <f>IFERROR(_xlfn.XLOOKUP(TRIM(B1539),Lookup!$B$2:$B$1000,Lookup!$C$2:$C$1000),"")</f>
        <v>Equity</v>
      </c>
      <c r="D1539" s="8" t="s">
        <v>31</v>
      </c>
      <c r="E1539" s="9">
        <v>46226</v>
      </c>
      <c r="F1539" s="8">
        <v>11.3134</v>
      </c>
    </row>
    <row r="1540" spans="1:6" ht="60" x14ac:dyDescent="0.25">
      <c r="A1540" s="8" t="s">
        <v>5</v>
      </c>
      <c r="B1540" s="8" t="s">
        <v>30</v>
      </c>
      <c r="C1540" s="8" t="str">
        <f>IFERROR(_xlfn.XLOOKUP(TRIM(B1540),Lookup!$B$2:$B$1000,Lookup!$C$2:$C$1000),"")</f>
        <v>Equity</v>
      </c>
      <c r="D1540" s="8" t="s">
        <v>31</v>
      </c>
      <c r="E1540" s="9">
        <v>46227</v>
      </c>
      <c r="F1540" s="8">
        <v>11.299200000000001</v>
      </c>
    </row>
    <row r="1541" spans="1:6" ht="60" x14ac:dyDescent="0.25">
      <c r="A1541" s="8" t="s">
        <v>5</v>
      </c>
      <c r="B1541" s="8" t="s">
        <v>30</v>
      </c>
      <c r="C1541" s="8" t="str">
        <f>IFERROR(_xlfn.XLOOKUP(TRIM(B1541),Lookup!$B$2:$B$1000,Lookup!$C$2:$C$1000),"")</f>
        <v>Equity</v>
      </c>
      <c r="D1541" s="8" t="s">
        <v>31</v>
      </c>
      <c r="E1541" s="9">
        <v>46230</v>
      </c>
      <c r="F1541" s="8">
        <v>11.426299999999999</v>
      </c>
    </row>
    <row r="1542" spans="1:6" ht="60" x14ac:dyDescent="0.25">
      <c r="A1542" s="8" t="s">
        <v>5</v>
      </c>
      <c r="B1542" s="8" t="s">
        <v>30</v>
      </c>
      <c r="C1542" s="8" t="str">
        <f>IFERROR(_xlfn.XLOOKUP(TRIM(B1542),Lookup!$B$2:$B$1000,Lookup!$C$2:$C$1000),"")</f>
        <v>Equity</v>
      </c>
      <c r="D1542" s="8" t="s">
        <v>31</v>
      </c>
      <c r="E1542" s="9">
        <v>46231</v>
      </c>
      <c r="F1542" s="8">
        <v>11.4079</v>
      </c>
    </row>
    <row r="1543" spans="1:6" ht="60" x14ac:dyDescent="0.25">
      <c r="A1543" s="8" t="s">
        <v>5</v>
      </c>
      <c r="B1543" s="8" t="s">
        <v>30</v>
      </c>
      <c r="C1543" s="8" t="str">
        <f>IFERROR(_xlfn.XLOOKUP(TRIM(B1543),Lookup!$B$2:$B$1000,Lookup!$C$2:$C$1000),"")</f>
        <v>Equity</v>
      </c>
      <c r="D1543" s="8" t="s">
        <v>31</v>
      </c>
      <c r="E1543" s="9">
        <v>46232</v>
      </c>
      <c r="F1543" s="8">
        <v>11.521699999999999</v>
      </c>
    </row>
    <row r="1544" spans="1:6" ht="60" x14ac:dyDescent="0.25">
      <c r="A1544" s="8" t="s">
        <v>5</v>
      </c>
      <c r="B1544" s="8" t="s">
        <v>30</v>
      </c>
      <c r="C1544" s="8" t="str">
        <f>IFERROR(_xlfn.XLOOKUP(TRIM(B1544),Lookup!$B$2:$B$1000,Lookup!$C$2:$C$1000),"")</f>
        <v>Equity</v>
      </c>
      <c r="D1544" s="8" t="s">
        <v>31</v>
      </c>
      <c r="E1544" s="9">
        <v>46233</v>
      </c>
      <c r="F1544" s="8">
        <v>11.4634</v>
      </c>
    </row>
    <row r="1545" spans="1:6" ht="60" x14ac:dyDescent="0.25">
      <c r="A1545" s="8" t="s">
        <v>5</v>
      </c>
      <c r="B1545" s="8" t="s">
        <v>30</v>
      </c>
      <c r="C1545" s="8" t="str">
        <f>IFERROR(_xlfn.XLOOKUP(TRIM(B1545),Lookup!$B$2:$B$1000,Lookup!$C$2:$C$1000),"")</f>
        <v>Equity</v>
      </c>
      <c r="D1545" s="8" t="s">
        <v>31</v>
      </c>
      <c r="E1545" s="9">
        <v>46234</v>
      </c>
      <c r="F1545" s="8">
        <v>11.5152</v>
      </c>
    </row>
    <row r="1546" spans="1:6" ht="120" x14ac:dyDescent="0.25">
      <c r="A1546" s="8" t="s">
        <v>5</v>
      </c>
      <c r="B1546" s="8" t="s">
        <v>32</v>
      </c>
      <c r="C1546" s="8" t="str">
        <f>IFERROR(_xlfn.XLOOKUP(TRIM(B1546),Lookup!$B$2:$B$1000,Lookup!$C$2:$C$1000),"")</f>
        <v>Equity</v>
      </c>
      <c r="D1546" s="8" t="s">
        <v>33</v>
      </c>
      <c r="E1546" s="9">
        <v>45869</v>
      </c>
      <c r="F1546" s="8">
        <v>9.0908999999999995</v>
      </c>
    </row>
    <row r="1547" spans="1:6" ht="120" x14ac:dyDescent="0.25">
      <c r="A1547" s="8" t="s">
        <v>5</v>
      </c>
      <c r="B1547" s="8" t="s">
        <v>32</v>
      </c>
      <c r="C1547" s="8" t="str">
        <f>IFERROR(_xlfn.XLOOKUP(TRIM(B1547),Lookup!$B$2:$B$1000,Lookup!$C$2:$C$1000),"")</f>
        <v>Equity</v>
      </c>
      <c r="D1547" s="8" t="s">
        <v>33</v>
      </c>
      <c r="E1547" s="9">
        <v>45870</v>
      </c>
      <c r="F1547" s="8">
        <v>9.1745999999999999</v>
      </c>
    </row>
    <row r="1548" spans="1:6" ht="120" x14ac:dyDescent="0.25">
      <c r="A1548" s="8" t="s">
        <v>5</v>
      </c>
      <c r="B1548" s="8" t="s">
        <v>32</v>
      </c>
      <c r="C1548" s="8" t="str">
        <f>IFERROR(_xlfn.XLOOKUP(TRIM(B1548),Lookup!$B$2:$B$1000,Lookup!$C$2:$C$1000),"")</f>
        <v>Equity</v>
      </c>
      <c r="D1548" s="8" t="s">
        <v>33</v>
      </c>
      <c r="E1548" s="9">
        <v>45871</v>
      </c>
      <c r="F1548" s="8">
        <v>9.0908999999999995</v>
      </c>
    </row>
    <row r="1549" spans="1:6" ht="120" x14ac:dyDescent="0.25">
      <c r="A1549" s="8" t="s">
        <v>5</v>
      </c>
      <c r="B1549" s="8" t="s">
        <v>32</v>
      </c>
      <c r="C1549" s="8" t="str">
        <f>IFERROR(_xlfn.XLOOKUP(TRIM(B1549),Lookup!$B$2:$B$1000,Lookup!$C$2:$C$1000),"")</f>
        <v>Equity</v>
      </c>
      <c r="D1549" s="8" t="s">
        <v>33</v>
      </c>
      <c r="E1549" s="9">
        <v>45872</v>
      </c>
      <c r="F1549" s="8">
        <v>8.9906000000000006</v>
      </c>
    </row>
    <row r="1550" spans="1:6" ht="120" x14ac:dyDescent="0.25">
      <c r="A1550" s="8" t="s">
        <v>5</v>
      </c>
      <c r="B1550" s="8" t="s">
        <v>32</v>
      </c>
      <c r="C1550" s="8" t="str">
        <f>IFERROR(_xlfn.XLOOKUP(TRIM(B1550),Lookup!$B$2:$B$1000,Lookup!$C$2:$C$1000),"")</f>
        <v>Equity</v>
      </c>
      <c r="D1550" s="8" t="s">
        <v>33</v>
      </c>
      <c r="E1550" s="9">
        <v>45873</v>
      </c>
      <c r="F1550" s="8">
        <v>9.0858000000000008</v>
      </c>
    </row>
    <row r="1551" spans="1:6" ht="120" x14ac:dyDescent="0.25">
      <c r="A1551" s="8" t="s">
        <v>5</v>
      </c>
      <c r="B1551" s="8" t="s">
        <v>32</v>
      </c>
      <c r="C1551" s="8" t="str">
        <f>IFERROR(_xlfn.XLOOKUP(TRIM(B1551),Lookup!$B$2:$B$1000,Lookup!$C$2:$C$1000),"")</f>
        <v>Equity</v>
      </c>
      <c r="D1551" s="8" t="s">
        <v>33</v>
      </c>
      <c r="E1551" s="9">
        <v>45874</v>
      </c>
      <c r="F1551" s="8">
        <v>9.0740999999999996</v>
      </c>
    </row>
    <row r="1552" spans="1:6" ht="120" x14ac:dyDescent="0.25">
      <c r="A1552" s="8" t="s">
        <v>5</v>
      </c>
      <c r="B1552" s="8" t="s">
        <v>32</v>
      </c>
      <c r="C1552" s="8" t="str">
        <f>IFERROR(_xlfn.XLOOKUP(TRIM(B1552),Lookup!$B$2:$B$1000,Lookup!$C$2:$C$1000),"")</f>
        <v>Equity</v>
      </c>
      <c r="D1552" s="8" t="s">
        <v>33</v>
      </c>
      <c r="E1552" s="9">
        <v>45875</v>
      </c>
      <c r="F1552" s="8">
        <v>8.9787999999999997</v>
      </c>
    </row>
    <row r="1553" spans="1:6" ht="120" x14ac:dyDescent="0.25">
      <c r="A1553" s="8" t="s">
        <v>5</v>
      </c>
      <c r="B1553" s="8" t="s">
        <v>32</v>
      </c>
      <c r="C1553" s="8" t="str">
        <f>IFERROR(_xlfn.XLOOKUP(TRIM(B1553),Lookup!$B$2:$B$1000,Lookup!$C$2:$C$1000),"")</f>
        <v>Equity</v>
      </c>
      <c r="D1553" s="8" t="s">
        <v>33</v>
      </c>
      <c r="E1553" s="9">
        <v>45876</v>
      </c>
      <c r="F1553" s="8">
        <v>9.0059000000000005</v>
      </c>
    </row>
    <row r="1554" spans="1:6" ht="120" x14ac:dyDescent="0.25">
      <c r="A1554" s="8" t="s">
        <v>5</v>
      </c>
      <c r="B1554" s="8" t="s">
        <v>32</v>
      </c>
      <c r="C1554" s="8" t="str">
        <f>IFERROR(_xlfn.XLOOKUP(TRIM(B1554),Lookup!$B$2:$B$1000,Lookup!$C$2:$C$1000),"")</f>
        <v>Equity</v>
      </c>
      <c r="D1554" s="8" t="s">
        <v>33</v>
      </c>
      <c r="E1554" s="9">
        <v>45877</v>
      </c>
      <c r="F1554" s="8">
        <v>8.8513999999999999</v>
      </c>
    </row>
    <row r="1555" spans="1:6" ht="120" x14ac:dyDescent="0.25">
      <c r="A1555" s="8" t="s">
        <v>5</v>
      </c>
      <c r="B1555" s="8" t="s">
        <v>32</v>
      </c>
      <c r="C1555" s="8" t="str">
        <f>IFERROR(_xlfn.XLOOKUP(TRIM(B1555),Lookup!$B$2:$B$1000,Lookup!$C$2:$C$1000),"")</f>
        <v>Equity</v>
      </c>
      <c r="D1555" s="8" t="s">
        <v>33</v>
      </c>
      <c r="E1555" s="9">
        <v>45880</v>
      </c>
      <c r="F1555" s="8">
        <v>8.8938000000000006</v>
      </c>
    </row>
    <row r="1556" spans="1:6" ht="120" x14ac:dyDescent="0.25">
      <c r="A1556" s="8" t="s">
        <v>5</v>
      </c>
      <c r="B1556" s="8" t="s">
        <v>32</v>
      </c>
      <c r="C1556" s="8" t="str">
        <f>IFERROR(_xlfn.XLOOKUP(TRIM(B1556),Lookup!$B$2:$B$1000,Lookup!$C$2:$C$1000),"")</f>
        <v>Equity</v>
      </c>
      <c r="D1556" s="8" t="s">
        <v>33</v>
      </c>
      <c r="E1556" s="9">
        <v>45881</v>
      </c>
      <c r="F1556" s="8">
        <v>8.8468999999999998</v>
      </c>
    </row>
    <row r="1557" spans="1:6" ht="120" x14ac:dyDescent="0.25">
      <c r="A1557" s="8" t="s">
        <v>5</v>
      </c>
      <c r="B1557" s="8" t="s">
        <v>32</v>
      </c>
      <c r="C1557" s="8" t="str">
        <f>IFERROR(_xlfn.XLOOKUP(TRIM(B1557),Lookup!$B$2:$B$1000,Lookup!$C$2:$C$1000),"")</f>
        <v>Equity</v>
      </c>
      <c r="D1557" s="8" t="s">
        <v>33</v>
      </c>
      <c r="E1557" s="9">
        <v>45882</v>
      </c>
      <c r="F1557" s="8">
        <v>8.8945000000000007</v>
      </c>
    </row>
    <row r="1558" spans="1:6" ht="120" x14ac:dyDescent="0.25">
      <c r="A1558" s="8" t="s">
        <v>5</v>
      </c>
      <c r="B1558" s="8" t="s">
        <v>32</v>
      </c>
      <c r="C1558" s="8" t="str">
        <f>IFERROR(_xlfn.XLOOKUP(TRIM(B1558),Lookup!$B$2:$B$1000,Lookup!$C$2:$C$1000),"")</f>
        <v>Equity</v>
      </c>
      <c r="D1558" s="8" t="s">
        <v>33</v>
      </c>
      <c r="E1558" s="9">
        <v>45883</v>
      </c>
      <c r="F1558" s="8">
        <v>8.9009</v>
      </c>
    </row>
    <row r="1559" spans="1:6" ht="120" x14ac:dyDescent="0.25">
      <c r="A1559" s="8" t="s">
        <v>5</v>
      </c>
      <c r="B1559" s="8" t="s">
        <v>32</v>
      </c>
      <c r="C1559" s="8" t="str">
        <f>IFERROR(_xlfn.XLOOKUP(TRIM(B1559),Lookup!$B$2:$B$1000,Lookup!$C$2:$C$1000),"")</f>
        <v>Equity</v>
      </c>
      <c r="D1559" s="8" t="s">
        <v>33</v>
      </c>
      <c r="E1559" s="9">
        <v>45887</v>
      </c>
      <c r="F1559" s="8">
        <v>8.9785000000000004</v>
      </c>
    </row>
    <row r="1560" spans="1:6" ht="120" x14ac:dyDescent="0.25">
      <c r="A1560" s="8" t="s">
        <v>5</v>
      </c>
      <c r="B1560" s="8" t="s">
        <v>32</v>
      </c>
      <c r="C1560" s="8" t="str">
        <f>IFERROR(_xlfn.XLOOKUP(TRIM(B1560),Lookup!$B$2:$B$1000,Lookup!$C$2:$C$1000),"")</f>
        <v>Equity</v>
      </c>
      <c r="D1560" s="8" t="s">
        <v>33</v>
      </c>
      <c r="E1560" s="9">
        <v>45888</v>
      </c>
      <c r="F1560" s="8">
        <v>9.0158000000000005</v>
      </c>
    </row>
    <row r="1561" spans="1:6" ht="120" x14ac:dyDescent="0.25">
      <c r="A1561" s="8" t="s">
        <v>5</v>
      </c>
      <c r="B1561" s="8" t="s">
        <v>32</v>
      </c>
      <c r="C1561" s="8" t="str">
        <f>IFERROR(_xlfn.XLOOKUP(TRIM(B1561),Lookup!$B$2:$B$1000,Lookup!$C$2:$C$1000),"")</f>
        <v>Equity</v>
      </c>
      <c r="D1561" s="8" t="s">
        <v>33</v>
      </c>
      <c r="E1561" s="9">
        <v>45889</v>
      </c>
      <c r="F1561" s="8">
        <v>9.0845000000000002</v>
      </c>
    </row>
    <row r="1562" spans="1:6" ht="120" x14ac:dyDescent="0.25">
      <c r="A1562" s="8" t="s">
        <v>5</v>
      </c>
      <c r="B1562" s="8" t="s">
        <v>32</v>
      </c>
      <c r="C1562" s="8" t="str">
        <f>IFERROR(_xlfn.XLOOKUP(TRIM(B1562),Lookup!$B$2:$B$1000,Lookup!$C$2:$C$1000),"")</f>
        <v>Equity</v>
      </c>
      <c r="D1562" s="8" t="s">
        <v>33</v>
      </c>
      <c r="E1562" s="9">
        <v>45890</v>
      </c>
      <c r="F1562" s="8">
        <v>9.0512999999999995</v>
      </c>
    </row>
    <row r="1563" spans="1:6" ht="120" x14ac:dyDescent="0.25">
      <c r="A1563" s="8" t="s">
        <v>5</v>
      </c>
      <c r="B1563" s="8" t="s">
        <v>32</v>
      </c>
      <c r="C1563" s="8" t="str">
        <f>IFERROR(_xlfn.XLOOKUP(TRIM(B1563),Lookup!$B$2:$B$1000,Lookup!$C$2:$C$1000),"")</f>
        <v>Equity</v>
      </c>
      <c r="D1563" s="8" t="s">
        <v>33</v>
      </c>
      <c r="E1563" s="9">
        <v>45891</v>
      </c>
      <c r="F1563" s="8">
        <v>9.0477000000000007</v>
      </c>
    </row>
    <row r="1564" spans="1:6" ht="120" x14ac:dyDescent="0.25">
      <c r="A1564" s="8" t="s">
        <v>5</v>
      </c>
      <c r="B1564" s="8" t="s">
        <v>32</v>
      </c>
      <c r="C1564" s="8" t="str">
        <f>IFERROR(_xlfn.XLOOKUP(TRIM(B1564),Lookup!$B$2:$B$1000,Lookup!$C$2:$C$1000),"")</f>
        <v>Equity</v>
      </c>
      <c r="D1564" s="8" t="s">
        <v>33</v>
      </c>
      <c r="E1564" s="9">
        <v>45894</v>
      </c>
      <c r="F1564" s="8">
        <v>9.0534999999999997</v>
      </c>
    </row>
    <row r="1565" spans="1:6" ht="120" x14ac:dyDescent="0.25">
      <c r="A1565" s="8" t="s">
        <v>5</v>
      </c>
      <c r="B1565" s="8" t="s">
        <v>32</v>
      </c>
      <c r="C1565" s="8" t="str">
        <f>IFERROR(_xlfn.XLOOKUP(TRIM(B1565),Lookup!$B$2:$B$1000,Lookup!$C$2:$C$1000),"")</f>
        <v>Equity</v>
      </c>
      <c r="D1565" s="8" t="s">
        <v>33</v>
      </c>
      <c r="E1565" s="9">
        <v>45895</v>
      </c>
      <c r="F1565" s="8">
        <v>8.8887</v>
      </c>
    </row>
    <row r="1566" spans="1:6" ht="120" x14ac:dyDescent="0.25">
      <c r="A1566" s="8" t="s">
        <v>5</v>
      </c>
      <c r="B1566" s="8" t="s">
        <v>32</v>
      </c>
      <c r="C1566" s="8" t="str">
        <f>IFERROR(_xlfn.XLOOKUP(TRIM(B1566),Lookup!$B$2:$B$1000,Lookup!$C$2:$C$1000),"")</f>
        <v>Equity</v>
      </c>
      <c r="D1566" s="8" t="s">
        <v>33</v>
      </c>
      <c r="E1566" s="9">
        <v>45897</v>
      </c>
      <c r="F1566" s="8">
        <v>8.7690000000000001</v>
      </c>
    </row>
    <row r="1567" spans="1:6" ht="120" x14ac:dyDescent="0.25">
      <c r="A1567" s="8" t="s">
        <v>5</v>
      </c>
      <c r="B1567" s="8" t="s">
        <v>32</v>
      </c>
      <c r="C1567" s="8" t="str">
        <f>IFERROR(_xlfn.XLOOKUP(TRIM(B1567),Lookup!$B$2:$B$1000,Lookup!$C$2:$C$1000),"")</f>
        <v>Equity</v>
      </c>
      <c r="D1567" s="8" t="s">
        <v>33</v>
      </c>
      <c r="E1567" s="9">
        <v>45898</v>
      </c>
      <c r="F1567" s="8">
        <v>8.7446000000000002</v>
      </c>
    </row>
    <row r="1568" spans="1:6" ht="120" x14ac:dyDescent="0.25">
      <c r="A1568" s="8" t="s">
        <v>5</v>
      </c>
      <c r="B1568" s="8" t="s">
        <v>32</v>
      </c>
      <c r="C1568" s="8" t="str">
        <f>IFERROR(_xlfn.XLOOKUP(TRIM(B1568),Lookup!$B$2:$B$1000,Lookup!$C$2:$C$1000),"")</f>
        <v>Equity</v>
      </c>
      <c r="D1568" s="8" t="s">
        <v>33</v>
      </c>
      <c r="E1568" s="9">
        <v>45901</v>
      </c>
      <c r="F1568" s="8">
        <v>8.9146000000000001</v>
      </c>
    </row>
    <row r="1569" spans="1:6" ht="120" x14ac:dyDescent="0.25">
      <c r="A1569" s="8" t="s">
        <v>5</v>
      </c>
      <c r="B1569" s="8" t="s">
        <v>32</v>
      </c>
      <c r="C1569" s="8" t="str">
        <f>IFERROR(_xlfn.XLOOKUP(TRIM(B1569),Lookup!$B$2:$B$1000,Lookup!$C$2:$C$1000),"")</f>
        <v>Equity</v>
      </c>
      <c r="D1569" s="8" t="s">
        <v>33</v>
      </c>
      <c r="E1569" s="9">
        <v>45902</v>
      </c>
      <c r="F1569" s="8">
        <v>8.9341000000000008</v>
      </c>
    </row>
    <row r="1570" spans="1:6" ht="120" x14ac:dyDescent="0.25">
      <c r="A1570" s="8" t="s">
        <v>5</v>
      </c>
      <c r="B1570" s="8" t="s">
        <v>32</v>
      </c>
      <c r="C1570" s="8" t="str">
        <f>IFERROR(_xlfn.XLOOKUP(TRIM(B1570),Lookup!$B$2:$B$1000,Lookup!$C$2:$C$1000),"")</f>
        <v>Equity</v>
      </c>
      <c r="D1570" s="8" t="s">
        <v>33</v>
      </c>
      <c r="E1570" s="9">
        <v>45903</v>
      </c>
      <c r="F1570" s="8">
        <v>8.9792000000000005</v>
      </c>
    </row>
    <row r="1571" spans="1:6" ht="120" x14ac:dyDescent="0.25">
      <c r="A1571" s="8" t="s">
        <v>5</v>
      </c>
      <c r="B1571" s="8" t="s">
        <v>32</v>
      </c>
      <c r="C1571" s="8" t="str">
        <f>IFERROR(_xlfn.XLOOKUP(TRIM(B1571),Lookup!$B$2:$B$1000,Lookup!$C$2:$C$1000),"")</f>
        <v>Equity</v>
      </c>
      <c r="D1571" s="8" t="s">
        <v>33</v>
      </c>
      <c r="E1571" s="9">
        <v>45904</v>
      </c>
      <c r="F1571" s="8">
        <v>8.9353999999999996</v>
      </c>
    </row>
    <row r="1572" spans="1:6" ht="120" x14ac:dyDescent="0.25">
      <c r="A1572" s="8" t="s">
        <v>5</v>
      </c>
      <c r="B1572" s="8" t="s">
        <v>32</v>
      </c>
      <c r="C1572" s="8" t="str">
        <f>IFERROR(_xlfn.XLOOKUP(TRIM(B1572),Lookup!$B$2:$B$1000,Lookup!$C$2:$C$1000),"")</f>
        <v>Equity</v>
      </c>
      <c r="D1572" s="8" t="s">
        <v>33</v>
      </c>
      <c r="E1572" s="9">
        <v>45905</v>
      </c>
      <c r="F1572" s="8">
        <v>8.9258000000000006</v>
      </c>
    </row>
    <row r="1573" spans="1:6" ht="120" x14ac:dyDescent="0.25">
      <c r="A1573" s="8" t="s">
        <v>5</v>
      </c>
      <c r="B1573" s="8" t="s">
        <v>32</v>
      </c>
      <c r="C1573" s="8" t="str">
        <f>IFERROR(_xlfn.XLOOKUP(TRIM(B1573),Lookup!$B$2:$B$1000,Lookup!$C$2:$C$1000),"")</f>
        <v>Equity</v>
      </c>
      <c r="D1573" s="8" t="s">
        <v>33</v>
      </c>
      <c r="E1573" s="9">
        <v>45908</v>
      </c>
      <c r="F1573" s="8">
        <v>8.9478000000000009</v>
      </c>
    </row>
    <row r="1574" spans="1:6" ht="120" x14ac:dyDescent="0.25">
      <c r="A1574" s="8" t="s">
        <v>5</v>
      </c>
      <c r="B1574" s="8" t="s">
        <v>32</v>
      </c>
      <c r="C1574" s="8" t="str">
        <f>IFERROR(_xlfn.XLOOKUP(TRIM(B1574),Lookup!$B$2:$B$1000,Lookup!$C$2:$C$1000),"")</f>
        <v>Equity</v>
      </c>
      <c r="D1574" s="8" t="s">
        <v>33</v>
      </c>
      <c r="E1574" s="9">
        <v>45909</v>
      </c>
      <c r="F1574" s="8">
        <v>8.9854000000000003</v>
      </c>
    </row>
    <row r="1575" spans="1:6" ht="120" x14ac:dyDescent="0.25">
      <c r="A1575" s="8" t="s">
        <v>5</v>
      </c>
      <c r="B1575" s="8" t="s">
        <v>32</v>
      </c>
      <c r="C1575" s="8" t="str">
        <f>IFERROR(_xlfn.XLOOKUP(TRIM(B1575),Lookup!$B$2:$B$1000,Lookup!$C$2:$C$1000),"")</f>
        <v>Equity</v>
      </c>
      <c r="D1575" s="8" t="s">
        <v>33</v>
      </c>
      <c r="E1575" s="9">
        <v>45910</v>
      </c>
      <c r="F1575" s="8">
        <v>9.0912000000000006</v>
      </c>
    </row>
    <row r="1576" spans="1:6" ht="120" x14ac:dyDescent="0.25">
      <c r="A1576" s="8" t="s">
        <v>5</v>
      </c>
      <c r="B1576" s="8" t="s">
        <v>32</v>
      </c>
      <c r="C1576" s="8" t="str">
        <f>IFERROR(_xlfn.XLOOKUP(TRIM(B1576),Lookup!$B$2:$B$1000,Lookup!$C$2:$C$1000),"")</f>
        <v>Equity</v>
      </c>
      <c r="D1576" s="8" t="s">
        <v>33</v>
      </c>
      <c r="E1576" s="9">
        <v>45911</v>
      </c>
      <c r="F1576" s="8">
        <v>9.0704999999999991</v>
      </c>
    </row>
    <row r="1577" spans="1:6" ht="120" x14ac:dyDescent="0.25">
      <c r="A1577" s="8" t="s">
        <v>5</v>
      </c>
      <c r="B1577" s="8" t="s">
        <v>32</v>
      </c>
      <c r="C1577" s="8" t="str">
        <f>IFERROR(_xlfn.XLOOKUP(TRIM(B1577),Lookup!$B$2:$B$1000,Lookup!$C$2:$C$1000),"")</f>
        <v>Equity</v>
      </c>
      <c r="D1577" s="8" t="s">
        <v>33</v>
      </c>
      <c r="E1577" s="9">
        <v>45912</v>
      </c>
      <c r="F1577" s="8">
        <v>9.1249000000000002</v>
      </c>
    </row>
    <row r="1578" spans="1:6" ht="120" x14ac:dyDescent="0.25">
      <c r="A1578" s="8" t="s">
        <v>5</v>
      </c>
      <c r="B1578" s="8" t="s">
        <v>32</v>
      </c>
      <c r="C1578" s="8" t="str">
        <f>IFERROR(_xlfn.XLOOKUP(TRIM(B1578),Lookup!$B$2:$B$1000,Lookup!$C$2:$C$1000),"")</f>
        <v>Equity</v>
      </c>
      <c r="D1578" s="8" t="s">
        <v>33</v>
      </c>
      <c r="E1578" s="9">
        <v>45915</v>
      </c>
      <c r="F1578" s="8">
        <v>9.1565999999999992</v>
      </c>
    </row>
    <row r="1579" spans="1:6" ht="120" x14ac:dyDescent="0.25">
      <c r="A1579" s="8" t="s">
        <v>5</v>
      </c>
      <c r="B1579" s="8" t="s">
        <v>32</v>
      </c>
      <c r="C1579" s="8" t="str">
        <f>IFERROR(_xlfn.XLOOKUP(TRIM(B1579),Lookup!$B$2:$B$1000,Lookup!$C$2:$C$1000),"")</f>
        <v>Equity</v>
      </c>
      <c r="D1579" s="8" t="s">
        <v>33</v>
      </c>
      <c r="E1579" s="9">
        <v>45916</v>
      </c>
      <c r="F1579" s="8">
        <v>9.2297999999999991</v>
      </c>
    </row>
    <row r="1580" spans="1:6" ht="120" x14ac:dyDescent="0.25">
      <c r="A1580" s="8" t="s">
        <v>5</v>
      </c>
      <c r="B1580" s="8" t="s">
        <v>32</v>
      </c>
      <c r="C1580" s="8" t="str">
        <f>IFERROR(_xlfn.XLOOKUP(TRIM(B1580),Lookup!$B$2:$B$1000,Lookup!$C$2:$C$1000),"")</f>
        <v>Equity</v>
      </c>
      <c r="D1580" s="8" t="s">
        <v>33</v>
      </c>
      <c r="E1580" s="9">
        <v>45917</v>
      </c>
      <c r="F1580" s="8">
        <v>9.2713000000000001</v>
      </c>
    </row>
    <row r="1581" spans="1:6" ht="120" x14ac:dyDescent="0.25">
      <c r="A1581" s="8" t="s">
        <v>5</v>
      </c>
      <c r="B1581" s="8" t="s">
        <v>32</v>
      </c>
      <c r="C1581" s="8" t="str">
        <f>IFERROR(_xlfn.XLOOKUP(TRIM(B1581),Lookup!$B$2:$B$1000,Lookup!$C$2:$C$1000),"")</f>
        <v>Equity</v>
      </c>
      <c r="D1581" s="8" t="s">
        <v>33</v>
      </c>
      <c r="E1581" s="9">
        <v>45918</v>
      </c>
      <c r="F1581" s="8">
        <v>9.2783999999999995</v>
      </c>
    </row>
    <row r="1582" spans="1:6" ht="120" x14ac:dyDescent="0.25">
      <c r="A1582" s="8" t="s">
        <v>5</v>
      </c>
      <c r="B1582" s="8" t="s">
        <v>32</v>
      </c>
      <c r="C1582" s="8" t="str">
        <f>IFERROR(_xlfn.XLOOKUP(TRIM(B1582),Lookup!$B$2:$B$1000,Lookup!$C$2:$C$1000),"")</f>
        <v>Equity</v>
      </c>
      <c r="D1582" s="8" t="s">
        <v>33</v>
      </c>
      <c r="E1582" s="9">
        <v>45919</v>
      </c>
      <c r="F1582" s="8">
        <v>9.2620000000000005</v>
      </c>
    </row>
    <row r="1583" spans="1:6" ht="120" x14ac:dyDescent="0.25">
      <c r="A1583" s="8" t="s">
        <v>5</v>
      </c>
      <c r="B1583" s="8" t="s">
        <v>32</v>
      </c>
      <c r="C1583" s="8" t="str">
        <f>IFERROR(_xlfn.XLOOKUP(TRIM(B1583),Lookup!$B$2:$B$1000,Lookup!$C$2:$C$1000),"")</f>
        <v>Equity</v>
      </c>
      <c r="D1583" s="8" t="s">
        <v>33</v>
      </c>
      <c r="E1583" s="9">
        <v>45922</v>
      </c>
      <c r="F1583" s="8">
        <v>9.1800999999999995</v>
      </c>
    </row>
    <row r="1584" spans="1:6" ht="120" x14ac:dyDescent="0.25">
      <c r="A1584" s="8" t="s">
        <v>5</v>
      </c>
      <c r="B1584" s="8" t="s">
        <v>32</v>
      </c>
      <c r="C1584" s="8" t="str">
        <f>IFERROR(_xlfn.XLOOKUP(TRIM(B1584),Lookup!$B$2:$B$1000,Lookup!$C$2:$C$1000),"")</f>
        <v>Equity</v>
      </c>
      <c r="D1584" s="8" t="s">
        <v>33</v>
      </c>
      <c r="E1584" s="9">
        <v>45923</v>
      </c>
      <c r="F1584" s="8">
        <v>9.1113</v>
      </c>
    </row>
    <row r="1585" spans="1:6" ht="120" x14ac:dyDescent="0.25">
      <c r="A1585" s="8" t="s">
        <v>5</v>
      </c>
      <c r="B1585" s="8" t="s">
        <v>32</v>
      </c>
      <c r="C1585" s="8" t="str">
        <f>IFERROR(_xlfn.XLOOKUP(TRIM(B1585),Lookup!$B$2:$B$1000,Lookup!$C$2:$C$1000),"")</f>
        <v>Equity</v>
      </c>
      <c r="D1585" s="8" t="s">
        <v>33</v>
      </c>
      <c r="E1585" s="9">
        <v>45924</v>
      </c>
      <c r="F1585" s="8">
        <v>9.0345999999999993</v>
      </c>
    </row>
    <row r="1586" spans="1:6" ht="120" x14ac:dyDescent="0.25">
      <c r="A1586" s="8" t="s">
        <v>5</v>
      </c>
      <c r="B1586" s="8" t="s">
        <v>32</v>
      </c>
      <c r="C1586" s="8" t="str">
        <f>IFERROR(_xlfn.XLOOKUP(TRIM(B1586),Lookup!$B$2:$B$1000,Lookup!$C$2:$C$1000),"")</f>
        <v>Equity</v>
      </c>
      <c r="D1586" s="8" t="s">
        <v>33</v>
      </c>
      <c r="E1586" s="9">
        <v>45925</v>
      </c>
      <c r="F1586" s="8">
        <v>8.9791000000000007</v>
      </c>
    </row>
    <row r="1587" spans="1:6" ht="120" x14ac:dyDescent="0.25">
      <c r="A1587" s="8" t="s">
        <v>5</v>
      </c>
      <c r="B1587" s="8" t="s">
        <v>32</v>
      </c>
      <c r="C1587" s="8" t="str">
        <f>IFERROR(_xlfn.XLOOKUP(TRIM(B1587),Lookup!$B$2:$B$1000,Lookup!$C$2:$C$1000),"")</f>
        <v>Equity</v>
      </c>
      <c r="D1587" s="8" t="s">
        <v>33</v>
      </c>
      <c r="E1587" s="9">
        <v>45926</v>
      </c>
      <c r="F1587" s="8">
        <v>8.7844999999999995</v>
      </c>
    </row>
    <row r="1588" spans="1:6" ht="120" x14ac:dyDescent="0.25">
      <c r="A1588" s="8" t="s">
        <v>5</v>
      </c>
      <c r="B1588" s="8" t="s">
        <v>32</v>
      </c>
      <c r="C1588" s="8" t="str">
        <f>IFERROR(_xlfn.XLOOKUP(TRIM(B1588),Lookup!$B$2:$B$1000,Lookup!$C$2:$C$1000),"")</f>
        <v>Equity</v>
      </c>
      <c r="D1588" s="8" t="s">
        <v>33</v>
      </c>
      <c r="E1588" s="9">
        <v>45929</v>
      </c>
      <c r="F1588" s="8">
        <v>8.7851999999999997</v>
      </c>
    </row>
    <row r="1589" spans="1:6" ht="120" x14ac:dyDescent="0.25">
      <c r="A1589" s="8" t="s">
        <v>5</v>
      </c>
      <c r="B1589" s="8" t="s">
        <v>32</v>
      </c>
      <c r="C1589" s="8" t="str">
        <f>IFERROR(_xlfn.XLOOKUP(TRIM(B1589),Lookup!$B$2:$B$1000,Lookup!$C$2:$C$1000),"")</f>
        <v>Equity</v>
      </c>
      <c r="D1589" s="8" t="s">
        <v>33</v>
      </c>
      <c r="E1589" s="9">
        <v>45930</v>
      </c>
      <c r="F1589" s="8">
        <v>8.7355999999999998</v>
      </c>
    </row>
    <row r="1590" spans="1:6" ht="120" x14ac:dyDescent="0.25">
      <c r="A1590" s="8" t="s">
        <v>5</v>
      </c>
      <c r="B1590" s="8" t="s">
        <v>32</v>
      </c>
      <c r="C1590" s="8" t="str">
        <f>IFERROR(_xlfn.XLOOKUP(TRIM(B1590),Lookup!$B$2:$B$1000,Lookup!$C$2:$C$1000),"")</f>
        <v>Equity</v>
      </c>
      <c r="D1590" s="8" t="s">
        <v>33</v>
      </c>
      <c r="E1590" s="9">
        <v>45931</v>
      </c>
      <c r="F1590" s="8">
        <v>8.8360000000000003</v>
      </c>
    </row>
    <row r="1591" spans="1:6" ht="120" x14ac:dyDescent="0.25">
      <c r="A1591" s="8" t="s">
        <v>5</v>
      </c>
      <c r="B1591" s="8" t="s">
        <v>32</v>
      </c>
      <c r="C1591" s="8" t="str">
        <f>IFERROR(_xlfn.XLOOKUP(TRIM(B1591),Lookup!$B$2:$B$1000,Lookup!$C$2:$C$1000),"")</f>
        <v>Equity</v>
      </c>
      <c r="D1591" s="8" t="s">
        <v>33</v>
      </c>
      <c r="E1591" s="9">
        <v>45933</v>
      </c>
      <c r="F1591" s="8">
        <v>8.9199000000000002</v>
      </c>
    </row>
    <row r="1592" spans="1:6" ht="120" x14ac:dyDescent="0.25">
      <c r="A1592" s="8" t="s">
        <v>5</v>
      </c>
      <c r="B1592" s="8" t="s">
        <v>32</v>
      </c>
      <c r="C1592" s="8" t="str">
        <f>IFERROR(_xlfn.XLOOKUP(TRIM(B1592),Lookup!$B$2:$B$1000,Lookup!$C$2:$C$1000),"")</f>
        <v>Equity</v>
      </c>
      <c r="D1592" s="8" t="s">
        <v>33</v>
      </c>
      <c r="E1592" s="9">
        <v>45936</v>
      </c>
      <c r="F1592" s="8">
        <v>8.9901</v>
      </c>
    </row>
    <row r="1593" spans="1:6" ht="120" x14ac:dyDescent="0.25">
      <c r="A1593" s="8" t="s">
        <v>5</v>
      </c>
      <c r="B1593" s="8" t="s">
        <v>32</v>
      </c>
      <c r="C1593" s="8" t="str">
        <f>IFERROR(_xlfn.XLOOKUP(TRIM(B1593),Lookup!$B$2:$B$1000,Lookup!$C$2:$C$1000),"")</f>
        <v>Equity</v>
      </c>
      <c r="D1593" s="8" t="s">
        <v>33</v>
      </c>
      <c r="E1593" s="9">
        <v>45937</v>
      </c>
      <c r="F1593" s="8">
        <v>9.0023999999999997</v>
      </c>
    </row>
    <row r="1594" spans="1:6" ht="120" x14ac:dyDescent="0.25">
      <c r="A1594" s="8" t="s">
        <v>5</v>
      </c>
      <c r="B1594" s="8" t="s">
        <v>32</v>
      </c>
      <c r="C1594" s="8" t="str">
        <f>IFERROR(_xlfn.XLOOKUP(TRIM(B1594),Lookup!$B$2:$B$1000,Lookup!$C$2:$C$1000),"")</f>
        <v>Equity</v>
      </c>
      <c r="D1594" s="8" t="s">
        <v>33</v>
      </c>
      <c r="E1594" s="9">
        <v>45938</v>
      </c>
      <c r="F1594" s="8">
        <v>8.9436999999999998</v>
      </c>
    </row>
    <row r="1595" spans="1:6" ht="120" x14ac:dyDescent="0.25">
      <c r="A1595" s="8" t="s">
        <v>5</v>
      </c>
      <c r="B1595" s="8" t="s">
        <v>32</v>
      </c>
      <c r="C1595" s="8" t="str">
        <f>IFERROR(_xlfn.XLOOKUP(TRIM(B1595),Lookup!$B$2:$B$1000,Lookup!$C$2:$C$1000),"")</f>
        <v>Equity</v>
      </c>
      <c r="D1595" s="8" t="s">
        <v>33</v>
      </c>
      <c r="E1595" s="9">
        <v>45939</v>
      </c>
      <c r="F1595" s="8">
        <v>9.01</v>
      </c>
    </row>
    <row r="1596" spans="1:6" ht="120" x14ac:dyDescent="0.25">
      <c r="A1596" s="8" t="s">
        <v>5</v>
      </c>
      <c r="B1596" s="8" t="s">
        <v>32</v>
      </c>
      <c r="C1596" s="8" t="str">
        <f>IFERROR(_xlfn.XLOOKUP(TRIM(B1596),Lookup!$B$2:$B$1000,Lookup!$C$2:$C$1000),"")</f>
        <v>Equity</v>
      </c>
      <c r="D1596" s="8" t="s">
        <v>33</v>
      </c>
      <c r="E1596" s="9">
        <v>45940</v>
      </c>
      <c r="F1596" s="8">
        <v>9.0470000000000006</v>
      </c>
    </row>
    <row r="1597" spans="1:6" ht="120" x14ac:dyDescent="0.25">
      <c r="A1597" s="8" t="s">
        <v>5</v>
      </c>
      <c r="B1597" s="8" t="s">
        <v>32</v>
      </c>
      <c r="C1597" s="8" t="str">
        <f>IFERROR(_xlfn.XLOOKUP(TRIM(B1597),Lookup!$B$2:$B$1000,Lookup!$C$2:$C$1000),"")</f>
        <v>Equity</v>
      </c>
      <c r="D1597" s="8" t="s">
        <v>33</v>
      </c>
      <c r="E1597" s="9">
        <v>45943</v>
      </c>
      <c r="F1597" s="8">
        <v>9.0477000000000007</v>
      </c>
    </row>
    <row r="1598" spans="1:6" ht="120" x14ac:dyDescent="0.25">
      <c r="A1598" s="8" t="s">
        <v>5</v>
      </c>
      <c r="B1598" s="8" t="s">
        <v>32</v>
      </c>
      <c r="C1598" s="8" t="str">
        <f>IFERROR(_xlfn.XLOOKUP(TRIM(B1598),Lookup!$B$2:$B$1000,Lookup!$C$2:$C$1000),"")</f>
        <v>Equity</v>
      </c>
      <c r="D1598" s="8" t="s">
        <v>33</v>
      </c>
      <c r="E1598" s="9">
        <v>45944</v>
      </c>
      <c r="F1598" s="8">
        <v>8.9560999999999993</v>
      </c>
    </row>
    <row r="1599" spans="1:6" ht="120" x14ac:dyDescent="0.25">
      <c r="A1599" s="8" t="s">
        <v>5</v>
      </c>
      <c r="B1599" s="8" t="s">
        <v>32</v>
      </c>
      <c r="C1599" s="8" t="str">
        <f>IFERROR(_xlfn.XLOOKUP(TRIM(B1599),Lookup!$B$2:$B$1000,Lookup!$C$2:$C$1000),"")</f>
        <v>Equity</v>
      </c>
      <c r="D1599" s="8" t="s">
        <v>33</v>
      </c>
      <c r="E1599" s="9">
        <v>45945</v>
      </c>
      <c r="F1599" s="8">
        <v>9.0526999999999997</v>
      </c>
    </row>
    <row r="1600" spans="1:6" ht="120" x14ac:dyDescent="0.25">
      <c r="A1600" s="8" t="s">
        <v>5</v>
      </c>
      <c r="B1600" s="8" t="s">
        <v>32</v>
      </c>
      <c r="C1600" s="8" t="str">
        <f>IFERROR(_xlfn.XLOOKUP(TRIM(B1600),Lookup!$B$2:$B$1000,Lookup!$C$2:$C$1000),"")</f>
        <v>Equity</v>
      </c>
      <c r="D1600" s="8" t="s">
        <v>33</v>
      </c>
      <c r="E1600" s="9">
        <v>45946</v>
      </c>
      <c r="F1600" s="8">
        <v>9.0833999999999993</v>
      </c>
    </row>
    <row r="1601" spans="1:6" ht="120" x14ac:dyDescent="0.25">
      <c r="A1601" s="8" t="s">
        <v>5</v>
      </c>
      <c r="B1601" s="8" t="s">
        <v>32</v>
      </c>
      <c r="C1601" s="8" t="str">
        <f>IFERROR(_xlfn.XLOOKUP(TRIM(B1601),Lookup!$B$2:$B$1000,Lookup!$C$2:$C$1000),"")</f>
        <v>Equity</v>
      </c>
      <c r="D1601" s="8" t="s">
        <v>33</v>
      </c>
      <c r="E1601" s="9">
        <v>45947</v>
      </c>
      <c r="F1601" s="8">
        <v>9.0465</v>
      </c>
    </row>
    <row r="1602" spans="1:6" ht="120" x14ac:dyDescent="0.25">
      <c r="A1602" s="8" t="s">
        <v>5</v>
      </c>
      <c r="B1602" s="8" t="s">
        <v>32</v>
      </c>
      <c r="C1602" s="8" t="str">
        <f>IFERROR(_xlfn.XLOOKUP(TRIM(B1602),Lookup!$B$2:$B$1000,Lookup!$C$2:$C$1000),"")</f>
        <v>Equity</v>
      </c>
      <c r="D1602" s="8" t="s">
        <v>33</v>
      </c>
      <c r="E1602" s="9">
        <v>45950</v>
      </c>
      <c r="F1602" s="8">
        <v>9.0852000000000004</v>
      </c>
    </row>
    <row r="1603" spans="1:6" ht="120" x14ac:dyDescent="0.25">
      <c r="A1603" s="8" t="s">
        <v>5</v>
      </c>
      <c r="B1603" s="8" t="s">
        <v>32</v>
      </c>
      <c r="C1603" s="8" t="str">
        <f>IFERROR(_xlfn.XLOOKUP(TRIM(B1603),Lookup!$B$2:$B$1000,Lookup!$C$2:$C$1000),"")</f>
        <v>Equity</v>
      </c>
      <c r="D1603" s="8" t="s">
        <v>33</v>
      </c>
      <c r="E1603" s="9">
        <v>45953</v>
      </c>
      <c r="F1603" s="8">
        <v>9.0726999999999993</v>
      </c>
    </row>
    <row r="1604" spans="1:6" ht="120" x14ac:dyDescent="0.25">
      <c r="A1604" s="8" t="s">
        <v>5</v>
      </c>
      <c r="B1604" s="8" t="s">
        <v>32</v>
      </c>
      <c r="C1604" s="8" t="str">
        <f>IFERROR(_xlfn.XLOOKUP(TRIM(B1604),Lookup!$B$2:$B$1000,Lookup!$C$2:$C$1000),"")</f>
        <v>Equity</v>
      </c>
      <c r="D1604" s="8" t="s">
        <v>33</v>
      </c>
      <c r="E1604" s="9">
        <v>45954</v>
      </c>
      <c r="F1604" s="8">
        <v>9.0587</v>
      </c>
    </row>
    <row r="1605" spans="1:6" ht="120" x14ac:dyDescent="0.25">
      <c r="A1605" s="8" t="s">
        <v>5</v>
      </c>
      <c r="B1605" s="8" t="s">
        <v>32</v>
      </c>
      <c r="C1605" s="8" t="str">
        <f>IFERROR(_xlfn.XLOOKUP(TRIM(B1605),Lookup!$B$2:$B$1000,Lookup!$C$2:$C$1000),"")</f>
        <v>Equity</v>
      </c>
      <c r="D1605" s="8" t="s">
        <v>33</v>
      </c>
      <c r="E1605" s="9">
        <v>45957</v>
      </c>
      <c r="F1605" s="8">
        <v>9.1189</v>
      </c>
    </row>
    <row r="1606" spans="1:6" ht="120" x14ac:dyDescent="0.25">
      <c r="A1606" s="8" t="s">
        <v>5</v>
      </c>
      <c r="B1606" s="8" t="s">
        <v>32</v>
      </c>
      <c r="C1606" s="8" t="str">
        <f>IFERROR(_xlfn.XLOOKUP(TRIM(B1606),Lookup!$B$2:$B$1000,Lookup!$C$2:$C$1000),"")</f>
        <v>Equity</v>
      </c>
      <c r="D1606" s="8" t="s">
        <v>33</v>
      </c>
      <c r="E1606" s="9">
        <v>45958</v>
      </c>
      <c r="F1606" s="8">
        <v>9.1109000000000009</v>
      </c>
    </row>
    <row r="1607" spans="1:6" ht="120" x14ac:dyDescent="0.25">
      <c r="A1607" s="8" t="s">
        <v>5</v>
      </c>
      <c r="B1607" s="8" t="s">
        <v>32</v>
      </c>
      <c r="C1607" s="8" t="str">
        <f>IFERROR(_xlfn.XLOOKUP(TRIM(B1607),Lookup!$B$2:$B$1000,Lookup!$C$2:$C$1000),"")</f>
        <v>Equity</v>
      </c>
      <c r="D1607" s="8" t="s">
        <v>33</v>
      </c>
      <c r="E1607" s="9">
        <v>45959</v>
      </c>
      <c r="F1607" s="8">
        <v>9.1463000000000001</v>
      </c>
    </row>
    <row r="1608" spans="1:6" ht="120" x14ac:dyDescent="0.25">
      <c r="A1608" s="8" t="s">
        <v>5</v>
      </c>
      <c r="B1608" s="8" t="s">
        <v>32</v>
      </c>
      <c r="C1608" s="8" t="str">
        <f>IFERROR(_xlfn.XLOOKUP(TRIM(B1608),Lookup!$B$2:$B$1000,Lookup!$C$2:$C$1000),"")</f>
        <v>Equity</v>
      </c>
      <c r="D1608" s="8" t="s">
        <v>33</v>
      </c>
      <c r="E1608" s="9">
        <v>45960</v>
      </c>
      <c r="F1608" s="8">
        <v>9.14</v>
      </c>
    </row>
    <row r="1609" spans="1:6" ht="120" x14ac:dyDescent="0.25">
      <c r="A1609" s="8" t="s">
        <v>5</v>
      </c>
      <c r="B1609" s="8" t="s">
        <v>32</v>
      </c>
      <c r="C1609" s="8" t="str">
        <f>IFERROR(_xlfn.XLOOKUP(TRIM(B1609),Lookup!$B$2:$B$1000,Lookup!$C$2:$C$1000),"")</f>
        <v>Equity</v>
      </c>
      <c r="D1609" s="8" t="s">
        <v>33</v>
      </c>
      <c r="E1609" s="9">
        <v>45961</v>
      </c>
      <c r="F1609" s="8">
        <v>9.1000999999999994</v>
      </c>
    </row>
    <row r="1610" spans="1:6" ht="120" x14ac:dyDescent="0.25">
      <c r="A1610" s="8" t="s">
        <v>5</v>
      </c>
      <c r="B1610" s="8" t="s">
        <v>32</v>
      </c>
      <c r="C1610" s="8" t="str">
        <f>IFERROR(_xlfn.XLOOKUP(TRIM(B1610),Lookup!$B$2:$B$1000,Lookup!$C$2:$C$1000),"")</f>
        <v>Equity</v>
      </c>
      <c r="D1610" s="8" t="s">
        <v>33</v>
      </c>
      <c r="E1610" s="9">
        <v>45964</v>
      </c>
      <c r="F1610" s="8">
        <v>9.1649999999999991</v>
      </c>
    </row>
    <row r="1611" spans="1:6" ht="120" x14ac:dyDescent="0.25">
      <c r="A1611" s="8" t="s">
        <v>5</v>
      </c>
      <c r="B1611" s="8" t="s">
        <v>32</v>
      </c>
      <c r="C1611" s="8" t="str">
        <f>IFERROR(_xlfn.XLOOKUP(TRIM(B1611),Lookup!$B$2:$B$1000,Lookup!$C$2:$C$1000),"")</f>
        <v>Equity</v>
      </c>
      <c r="D1611" s="8" t="s">
        <v>33</v>
      </c>
      <c r="E1611" s="9">
        <v>45965</v>
      </c>
      <c r="F1611" s="8">
        <v>9.0996000000000006</v>
      </c>
    </row>
    <row r="1612" spans="1:6" ht="120" x14ac:dyDescent="0.25">
      <c r="A1612" s="8" t="s">
        <v>5</v>
      </c>
      <c r="B1612" s="8" t="s">
        <v>32</v>
      </c>
      <c r="C1612" s="8" t="str">
        <f>IFERROR(_xlfn.XLOOKUP(TRIM(B1612),Lookup!$B$2:$B$1000,Lookup!$C$2:$C$1000),"")</f>
        <v>Equity</v>
      </c>
      <c r="D1612" s="8" t="s">
        <v>33</v>
      </c>
      <c r="E1612" s="9">
        <v>45967</v>
      </c>
      <c r="F1612" s="8">
        <v>9.0212000000000003</v>
      </c>
    </row>
    <row r="1613" spans="1:6" ht="120" x14ac:dyDescent="0.25">
      <c r="A1613" s="8" t="s">
        <v>5</v>
      </c>
      <c r="B1613" s="8" t="s">
        <v>32</v>
      </c>
      <c r="C1613" s="8" t="str">
        <f>IFERROR(_xlfn.XLOOKUP(TRIM(B1613),Lookup!$B$2:$B$1000,Lookup!$C$2:$C$1000),"")</f>
        <v>Equity</v>
      </c>
      <c r="D1613" s="8" t="s">
        <v>33</v>
      </c>
      <c r="E1613" s="9">
        <v>45968</v>
      </c>
      <c r="F1613" s="8">
        <v>9.0401000000000007</v>
      </c>
    </row>
    <row r="1614" spans="1:6" ht="120" x14ac:dyDescent="0.25">
      <c r="A1614" s="8" t="s">
        <v>5</v>
      </c>
      <c r="B1614" s="8" t="s">
        <v>32</v>
      </c>
      <c r="C1614" s="8" t="str">
        <f>IFERROR(_xlfn.XLOOKUP(TRIM(B1614),Lookup!$B$2:$B$1000,Lookup!$C$2:$C$1000),"")</f>
        <v>Equity</v>
      </c>
      <c r="D1614" s="8" t="s">
        <v>33</v>
      </c>
      <c r="E1614" s="9">
        <v>45971</v>
      </c>
      <c r="F1614" s="8">
        <v>9.0986999999999991</v>
      </c>
    </row>
    <row r="1615" spans="1:6" ht="120" x14ac:dyDescent="0.25">
      <c r="A1615" s="8" t="s">
        <v>5</v>
      </c>
      <c r="B1615" s="8" t="s">
        <v>32</v>
      </c>
      <c r="C1615" s="8" t="str">
        <f>IFERROR(_xlfn.XLOOKUP(TRIM(B1615),Lookup!$B$2:$B$1000,Lookup!$C$2:$C$1000),"")</f>
        <v>Equity</v>
      </c>
      <c r="D1615" s="8" t="s">
        <v>33</v>
      </c>
      <c r="E1615" s="9">
        <v>45972</v>
      </c>
      <c r="F1615" s="8">
        <v>9.1431000000000004</v>
      </c>
    </row>
    <row r="1616" spans="1:6" ht="120" x14ac:dyDescent="0.25">
      <c r="A1616" s="8" t="s">
        <v>5</v>
      </c>
      <c r="B1616" s="8" t="s">
        <v>32</v>
      </c>
      <c r="C1616" s="8" t="str">
        <f>IFERROR(_xlfn.XLOOKUP(TRIM(B1616),Lookup!$B$2:$B$1000,Lookup!$C$2:$C$1000),"")</f>
        <v>Equity</v>
      </c>
      <c r="D1616" s="8" t="s">
        <v>33</v>
      </c>
      <c r="E1616" s="9">
        <v>45973</v>
      </c>
      <c r="F1616" s="8">
        <v>9.2416999999999998</v>
      </c>
    </row>
    <row r="1617" spans="1:6" ht="120" x14ac:dyDescent="0.25">
      <c r="A1617" s="8" t="s">
        <v>5</v>
      </c>
      <c r="B1617" s="8" t="s">
        <v>32</v>
      </c>
      <c r="C1617" s="8" t="str">
        <f>IFERROR(_xlfn.XLOOKUP(TRIM(B1617),Lookup!$B$2:$B$1000,Lookup!$C$2:$C$1000),"")</f>
        <v>Equity</v>
      </c>
      <c r="D1617" s="8" t="s">
        <v>33</v>
      </c>
      <c r="E1617" s="9">
        <v>45974</v>
      </c>
      <c r="F1617" s="8">
        <v>9.2012</v>
      </c>
    </row>
    <row r="1618" spans="1:6" ht="120" x14ac:dyDescent="0.25">
      <c r="A1618" s="8" t="s">
        <v>5</v>
      </c>
      <c r="B1618" s="8" t="s">
        <v>32</v>
      </c>
      <c r="C1618" s="8" t="str">
        <f>IFERROR(_xlfn.XLOOKUP(TRIM(B1618),Lookup!$B$2:$B$1000,Lookup!$C$2:$C$1000),"")</f>
        <v>Equity</v>
      </c>
      <c r="D1618" s="8" t="s">
        <v>33</v>
      </c>
      <c r="E1618" s="9">
        <v>45975</v>
      </c>
      <c r="F1618" s="8">
        <v>9.2447999999999997</v>
      </c>
    </row>
    <row r="1619" spans="1:6" ht="120" x14ac:dyDescent="0.25">
      <c r="A1619" s="8" t="s">
        <v>5</v>
      </c>
      <c r="B1619" s="8" t="s">
        <v>32</v>
      </c>
      <c r="C1619" s="8" t="str">
        <f>IFERROR(_xlfn.XLOOKUP(TRIM(B1619),Lookup!$B$2:$B$1000,Lookup!$C$2:$C$1000),"")</f>
        <v>Equity</v>
      </c>
      <c r="D1619" s="8" t="s">
        <v>33</v>
      </c>
      <c r="E1619" s="9">
        <v>45978</v>
      </c>
      <c r="F1619" s="8">
        <v>9.2942</v>
      </c>
    </row>
    <row r="1620" spans="1:6" ht="120" x14ac:dyDescent="0.25">
      <c r="A1620" s="8" t="s">
        <v>5</v>
      </c>
      <c r="B1620" s="8" t="s">
        <v>32</v>
      </c>
      <c r="C1620" s="8" t="str">
        <f>IFERROR(_xlfn.XLOOKUP(TRIM(B1620),Lookup!$B$2:$B$1000,Lookup!$C$2:$C$1000),"")</f>
        <v>Equity</v>
      </c>
      <c r="D1620" s="8" t="s">
        <v>33</v>
      </c>
      <c r="E1620" s="9">
        <v>45979</v>
      </c>
      <c r="F1620" s="8">
        <v>9.2163000000000004</v>
      </c>
    </row>
    <row r="1621" spans="1:6" ht="120" x14ac:dyDescent="0.25">
      <c r="A1621" s="8" t="s">
        <v>5</v>
      </c>
      <c r="B1621" s="8" t="s">
        <v>32</v>
      </c>
      <c r="C1621" s="8" t="str">
        <f>IFERROR(_xlfn.XLOOKUP(TRIM(B1621),Lookup!$B$2:$B$1000,Lookup!$C$2:$C$1000),"")</f>
        <v>Equity</v>
      </c>
      <c r="D1621" s="8" t="s">
        <v>33</v>
      </c>
      <c r="E1621" s="9">
        <v>45980</v>
      </c>
      <c r="F1621" s="8">
        <v>9.2531999999999996</v>
      </c>
    </row>
    <row r="1622" spans="1:6" ht="120" x14ac:dyDescent="0.25">
      <c r="A1622" s="8" t="s">
        <v>5</v>
      </c>
      <c r="B1622" s="8" t="s">
        <v>32</v>
      </c>
      <c r="C1622" s="8" t="str">
        <f>IFERROR(_xlfn.XLOOKUP(TRIM(B1622),Lookup!$B$2:$B$1000,Lookup!$C$2:$C$1000),"")</f>
        <v>Equity</v>
      </c>
      <c r="D1622" s="8" t="s">
        <v>33</v>
      </c>
      <c r="E1622" s="9">
        <v>45981</v>
      </c>
      <c r="F1622" s="8">
        <v>9.2690999999999999</v>
      </c>
    </row>
    <row r="1623" spans="1:6" ht="120" x14ac:dyDescent="0.25">
      <c r="A1623" s="8" t="s">
        <v>5</v>
      </c>
      <c r="B1623" s="8" t="s">
        <v>32</v>
      </c>
      <c r="C1623" s="8" t="str">
        <f>IFERROR(_xlfn.XLOOKUP(TRIM(B1623),Lookup!$B$2:$B$1000,Lookup!$C$2:$C$1000),"")</f>
        <v>Equity</v>
      </c>
      <c r="D1623" s="8" t="s">
        <v>33</v>
      </c>
      <c r="E1623" s="9">
        <v>45982</v>
      </c>
      <c r="F1623" s="8">
        <v>9.1582000000000008</v>
      </c>
    </row>
    <row r="1624" spans="1:6" ht="120" x14ac:dyDescent="0.25">
      <c r="A1624" s="8" t="s">
        <v>5</v>
      </c>
      <c r="B1624" s="8" t="s">
        <v>32</v>
      </c>
      <c r="C1624" s="8" t="str">
        <f>IFERROR(_xlfn.XLOOKUP(TRIM(B1624),Lookup!$B$2:$B$1000,Lookup!$C$2:$C$1000),"")</f>
        <v>Equity</v>
      </c>
      <c r="D1624" s="8" t="s">
        <v>33</v>
      </c>
      <c r="E1624" s="9">
        <v>45987</v>
      </c>
      <c r="F1624" s="8">
        <v>9.2164999999999999</v>
      </c>
    </row>
    <row r="1625" spans="1:6" ht="120" x14ac:dyDescent="0.25">
      <c r="A1625" s="8" t="s">
        <v>5</v>
      </c>
      <c r="B1625" s="8" t="s">
        <v>32</v>
      </c>
      <c r="C1625" s="8" t="str">
        <f>IFERROR(_xlfn.XLOOKUP(TRIM(B1625),Lookup!$B$2:$B$1000,Lookup!$C$2:$C$1000),"")</f>
        <v>Equity</v>
      </c>
      <c r="D1625" s="8" t="s">
        <v>33</v>
      </c>
      <c r="E1625" s="9">
        <v>45988</v>
      </c>
      <c r="F1625" s="8">
        <v>9.2188999999999997</v>
      </c>
    </row>
    <row r="1626" spans="1:6" ht="120" x14ac:dyDescent="0.25">
      <c r="A1626" s="8" t="s">
        <v>5</v>
      </c>
      <c r="B1626" s="8" t="s">
        <v>32</v>
      </c>
      <c r="C1626" s="8" t="str">
        <f>IFERROR(_xlfn.XLOOKUP(TRIM(B1626),Lookup!$B$2:$B$1000,Lookup!$C$2:$C$1000),"")</f>
        <v>Equity</v>
      </c>
      <c r="D1626" s="8" t="s">
        <v>33</v>
      </c>
      <c r="E1626" s="9">
        <v>45989</v>
      </c>
      <c r="F1626" s="8">
        <v>9.1918000000000006</v>
      </c>
    </row>
    <row r="1627" spans="1:6" ht="120" x14ac:dyDescent="0.25">
      <c r="A1627" s="8" t="s">
        <v>5</v>
      </c>
      <c r="B1627" s="8" t="s">
        <v>32</v>
      </c>
      <c r="C1627" s="8" t="str">
        <f>IFERROR(_xlfn.XLOOKUP(TRIM(B1627),Lookup!$B$2:$B$1000,Lookup!$C$2:$C$1000),"")</f>
        <v>Equity</v>
      </c>
      <c r="D1627" s="8" t="s">
        <v>33</v>
      </c>
      <c r="E1627" s="9">
        <v>45993</v>
      </c>
      <c r="F1627" s="8">
        <v>9.1441999999999997</v>
      </c>
    </row>
    <row r="1628" spans="1:6" ht="120" x14ac:dyDescent="0.25">
      <c r="A1628" s="8" t="s">
        <v>5</v>
      </c>
      <c r="B1628" s="8" t="s">
        <v>32</v>
      </c>
      <c r="C1628" s="8" t="str">
        <f>IFERROR(_xlfn.XLOOKUP(TRIM(B1628),Lookup!$B$2:$B$1000,Lookup!$C$2:$C$1000),"")</f>
        <v>Equity</v>
      </c>
      <c r="D1628" s="8" t="s">
        <v>33</v>
      </c>
      <c r="E1628" s="9">
        <v>45994</v>
      </c>
      <c r="F1628" s="8">
        <v>9.0463000000000005</v>
      </c>
    </row>
    <row r="1629" spans="1:6" ht="120" x14ac:dyDescent="0.25">
      <c r="A1629" s="8" t="s">
        <v>5</v>
      </c>
      <c r="B1629" s="8" t="s">
        <v>32</v>
      </c>
      <c r="C1629" s="8" t="str">
        <f>IFERROR(_xlfn.XLOOKUP(TRIM(B1629),Lookup!$B$2:$B$1000,Lookup!$C$2:$C$1000),"")</f>
        <v>Equity</v>
      </c>
      <c r="D1629" s="8" t="s">
        <v>33</v>
      </c>
      <c r="E1629" s="9">
        <v>45995</v>
      </c>
      <c r="F1629" s="8">
        <v>9.0488999999999997</v>
      </c>
    </row>
    <row r="1630" spans="1:6" ht="120" x14ac:dyDescent="0.25">
      <c r="A1630" s="8" t="s">
        <v>5</v>
      </c>
      <c r="B1630" s="8" t="s">
        <v>32</v>
      </c>
      <c r="C1630" s="8" t="str">
        <f>IFERROR(_xlfn.XLOOKUP(TRIM(B1630),Lookup!$B$2:$B$1000,Lookup!$C$2:$C$1000),"")</f>
        <v>Equity</v>
      </c>
      <c r="D1630" s="8" t="s">
        <v>33</v>
      </c>
      <c r="E1630" s="9">
        <v>45996</v>
      </c>
      <c r="F1630" s="8">
        <v>9.0609999999999999</v>
      </c>
    </row>
    <row r="1631" spans="1:6" ht="120" x14ac:dyDescent="0.25">
      <c r="A1631" s="8" t="s">
        <v>5</v>
      </c>
      <c r="B1631" s="8" t="s">
        <v>32</v>
      </c>
      <c r="C1631" s="8" t="str">
        <f>IFERROR(_xlfn.XLOOKUP(TRIM(B1631),Lookup!$B$2:$B$1000,Lookup!$C$2:$C$1000),"")</f>
        <v>Equity</v>
      </c>
      <c r="D1631" s="8" t="s">
        <v>33</v>
      </c>
      <c r="E1631" s="9">
        <v>45999</v>
      </c>
      <c r="F1631" s="8">
        <v>8.9011999999999993</v>
      </c>
    </row>
    <row r="1632" spans="1:6" ht="120" x14ac:dyDescent="0.25">
      <c r="A1632" s="8" t="s">
        <v>5</v>
      </c>
      <c r="B1632" s="8" t="s">
        <v>32</v>
      </c>
      <c r="C1632" s="8" t="str">
        <f>IFERROR(_xlfn.XLOOKUP(TRIM(B1632),Lookup!$B$2:$B$1000,Lookup!$C$2:$C$1000),"")</f>
        <v>Equity</v>
      </c>
      <c r="D1632" s="8" t="s">
        <v>33</v>
      </c>
      <c r="E1632" s="9">
        <v>46000</v>
      </c>
      <c r="F1632" s="8">
        <v>8.9060000000000006</v>
      </c>
    </row>
    <row r="1633" spans="1:6" ht="120" x14ac:dyDescent="0.25">
      <c r="A1633" s="8" t="s">
        <v>5</v>
      </c>
      <c r="B1633" s="8" t="s">
        <v>32</v>
      </c>
      <c r="C1633" s="8" t="str">
        <f>IFERROR(_xlfn.XLOOKUP(TRIM(B1633),Lookup!$B$2:$B$1000,Lookup!$C$2:$C$1000),"")</f>
        <v>Equity</v>
      </c>
      <c r="D1633" s="8" t="s">
        <v>33</v>
      </c>
      <c r="E1633" s="9">
        <v>46001</v>
      </c>
      <c r="F1633" s="8">
        <v>8.7896000000000001</v>
      </c>
    </row>
    <row r="1634" spans="1:6" ht="120" x14ac:dyDescent="0.25">
      <c r="A1634" s="8" t="s">
        <v>5</v>
      </c>
      <c r="B1634" s="8" t="s">
        <v>32</v>
      </c>
      <c r="C1634" s="8" t="str">
        <f>IFERROR(_xlfn.XLOOKUP(TRIM(B1634),Lookup!$B$2:$B$1000,Lookup!$C$2:$C$1000),"")</f>
        <v>Equity</v>
      </c>
      <c r="D1634" s="8" t="s">
        <v>33</v>
      </c>
      <c r="E1634" s="9">
        <v>46002</v>
      </c>
      <c r="F1634" s="8">
        <v>8.8908000000000005</v>
      </c>
    </row>
    <row r="1635" spans="1:6" ht="120" x14ac:dyDescent="0.25">
      <c r="A1635" s="8" t="s">
        <v>5</v>
      </c>
      <c r="B1635" s="8" t="s">
        <v>32</v>
      </c>
      <c r="C1635" s="8" t="str">
        <f>IFERROR(_xlfn.XLOOKUP(TRIM(B1635),Lookup!$B$2:$B$1000,Lookup!$C$2:$C$1000),"")</f>
        <v>Equity</v>
      </c>
      <c r="D1635" s="8" t="s">
        <v>33</v>
      </c>
      <c r="E1635" s="9">
        <v>46003</v>
      </c>
      <c r="F1635" s="8">
        <v>8.9661000000000008</v>
      </c>
    </row>
    <row r="1636" spans="1:6" ht="120" x14ac:dyDescent="0.25">
      <c r="A1636" s="8" t="s">
        <v>5</v>
      </c>
      <c r="B1636" s="8" t="s">
        <v>32</v>
      </c>
      <c r="C1636" s="8" t="str">
        <f>IFERROR(_xlfn.XLOOKUP(TRIM(B1636),Lookup!$B$2:$B$1000,Lookup!$C$2:$C$1000),"")</f>
        <v>Equity</v>
      </c>
      <c r="D1636" s="8" t="s">
        <v>33</v>
      </c>
      <c r="E1636" s="9">
        <v>46006</v>
      </c>
      <c r="F1636" s="8">
        <v>8.9504999999999999</v>
      </c>
    </row>
    <row r="1637" spans="1:6" ht="120" x14ac:dyDescent="0.25">
      <c r="A1637" s="8" t="s">
        <v>5</v>
      </c>
      <c r="B1637" s="8" t="s">
        <v>32</v>
      </c>
      <c r="C1637" s="8" t="str">
        <f>IFERROR(_xlfn.XLOOKUP(TRIM(B1637),Lookup!$B$2:$B$1000,Lookup!$C$2:$C$1000),"")</f>
        <v>Equity</v>
      </c>
      <c r="D1637" s="8" t="s">
        <v>33</v>
      </c>
      <c r="E1637" s="9">
        <v>46007</v>
      </c>
      <c r="F1637" s="8">
        <v>8.8757999999999999</v>
      </c>
    </row>
    <row r="1638" spans="1:6" ht="120" x14ac:dyDescent="0.25">
      <c r="A1638" s="8" t="s">
        <v>5</v>
      </c>
      <c r="B1638" s="8" t="s">
        <v>32</v>
      </c>
      <c r="C1638" s="8" t="str">
        <f>IFERROR(_xlfn.XLOOKUP(TRIM(B1638),Lookup!$B$2:$B$1000,Lookup!$C$2:$C$1000),"")</f>
        <v>Equity</v>
      </c>
      <c r="D1638" s="8" t="s">
        <v>33</v>
      </c>
      <c r="E1638" s="9">
        <v>46008</v>
      </c>
      <c r="F1638" s="8">
        <v>8.8059999999999992</v>
      </c>
    </row>
    <row r="1639" spans="1:6" ht="120" x14ac:dyDescent="0.25">
      <c r="A1639" s="8" t="s">
        <v>5</v>
      </c>
      <c r="B1639" s="8" t="s">
        <v>32</v>
      </c>
      <c r="C1639" s="8" t="str">
        <f>IFERROR(_xlfn.XLOOKUP(TRIM(B1639),Lookup!$B$2:$B$1000,Lookup!$C$2:$C$1000),"")</f>
        <v>Equity</v>
      </c>
      <c r="D1639" s="8" t="s">
        <v>33</v>
      </c>
      <c r="E1639" s="9">
        <v>46009</v>
      </c>
      <c r="F1639" s="8">
        <v>8.8366000000000007</v>
      </c>
    </row>
    <row r="1640" spans="1:6" ht="120" x14ac:dyDescent="0.25">
      <c r="A1640" s="8" t="s">
        <v>5</v>
      </c>
      <c r="B1640" s="8" t="s">
        <v>32</v>
      </c>
      <c r="C1640" s="8" t="str">
        <f>IFERROR(_xlfn.XLOOKUP(TRIM(B1640),Lookup!$B$2:$B$1000,Lookup!$C$2:$C$1000),"")</f>
        <v>Equity</v>
      </c>
      <c r="D1640" s="8" t="s">
        <v>33</v>
      </c>
      <c r="E1640" s="9">
        <v>46010</v>
      </c>
      <c r="F1640" s="8">
        <v>8.9326000000000008</v>
      </c>
    </row>
    <row r="1641" spans="1:6" ht="120" x14ac:dyDescent="0.25">
      <c r="A1641" s="8" t="s">
        <v>5</v>
      </c>
      <c r="B1641" s="8" t="s">
        <v>32</v>
      </c>
      <c r="C1641" s="8" t="str">
        <f>IFERROR(_xlfn.XLOOKUP(TRIM(B1641),Lookup!$B$2:$B$1000,Lookup!$C$2:$C$1000),"")</f>
        <v>Equity</v>
      </c>
      <c r="D1641" s="8" t="s">
        <v>33</v>
      </c>
      <c r="E1641" s="9">
        <v>46013</v>
      </c>
      <c r="F1641" s="8">
        <v>9.0478000000000005</v>
      </c>
    </row>
    <row r="1642" spans="1:6" ht="120" x14ac:dyDescent="0.25">
      <c r="A1642" s="8" t="s">
        <v>5</v>
      </c>
      <c r="B1642" s="8" t="s">
        <v>32</v>
      </c>
      <c r="C1642" s="8" t="str">
        <f>IFERROR(_xlfn.XLOOKUP(TRIM(B1642),Lookup!$B$2:$B$1000,Lookup!$C$2:$C$1000),"")</f>
        <v>Equity</v>
      </c>
      <c r="D1642" s="8" t="s">
        <v>33</v>
      </c>
      <c r="E1642" s="9">
        <v>46014</v>
      </c>
      <c r="F1642" s="8">
        <v>9.0325000000000006</v>
      </c>
    </row>
    <row r="1643" spans="1:6" ht="120" x14ac:dyDescent="0.25">
      <c r="A1643" s="8" t="s">
        <v>5</v>
      </c>
      <c r="B1643" s="8" t="s">
        <v>32</v>
      </c>
      <c r="C1643" s="8" t="str">
        <f>IFERROR(_xlfn.XLOOKUP(TRIM(B1643),Lookup!$B$2:$B$1000,Lookup!$C$2:$C$1000),"")</f>
        <v>Equity</v>
      </c>
      <c r="D1643" s="8" t="s">
        <v>33</v>
      </c>
      <c r="E1643" s="9">
        <v>46015</v>
      </c>
      <c r="F1643" s="8">
        <v>8.9855999999999998</v>
      </c>
    </row>
    <row r="1644" spans="1:6" ht="120" x14ac:dyDescent="0.25">
      <c r="A1644" s="8" t="s">
        <v>5</v>
      </c>
      <c r="B1644" s="8" t="s">
        <v>32</v>
      </c>
      <c r="C1644" s="8" t="str">
        <f>IFERROR(_xlfn.XLOOKUP(TRIM(B1644),Lookup!$B$2:$B$1000,Lookup!$C$2:$C$1000),"")</f>
        <v>Equity</v>
      </c>
      <c r="D1644" s="8" t="s">
        <v>33</v>
      </c>
      <c r="E1644" s="9">
        <v>46017</v>
      </c>
      <c r="F1644" s="8">
        <v>8.9328000000000003</v>
      </c>
    </row>
    <row r="1645" spans="1:6" ht="120" x14ac:dyDescent="0.25">
      <c r="A1645" s="8" t="s">
        <v>5</v>
      </c>
      <c r="B1645" s="8" t="s">
        <v>32</v>
      </c>
      <c r="C1645" s="8" t="str">
        <f>IFERROR(_xlfn.XLOOKUP(TRIM(B1645),Lookup!$B$2:$B$1000,Lookup!$C$2:$C$1000),"")</f>
        <v>Equity</v>
      </c>
      <c r="D1645" s="8" t="s">
        <v>33</v>
      </c>
      <c r="E1645" s="9">
        <v>46020</v>
      </c>
      <c r="F1645" s="8">
        <v>8.8855000000000004</v>
      </c>
    </row>
    <row r="1646" spans="1:6" ht="120" x14ac:dyDescent="0.25">
      <c r="A1646" s="8" t="s">
        <v>5</v>
      </c>
      <c r="B1646" s="8" t="s">
        <v>32</v>
      </c>
      <c r="C1646" s="8" t="str">
        <f>IFERROR(_xlfn.XLOOKUP(TRIM(B1646),Lookup!$B$2:$B$1000,Lookup!$C$2:$C$1000),"")</f>
        <v>Equity</v>
      </c>
      <c r="D1646" s="8" t="s">
        <v>33</v>
      </c>
      <c r="E1646" s="9">
        <v>46022</v>
      </c>
      <c r="F1646" s="8">
        <v>8.8580000000000005</v>
      </c>
    </row>
    <row r="1647" spans="1:6" ht="120" x14ac:dyDescent="0.25">
      <c r="A1647" s="8" t="s">
        <v>5</v>
      </c>
      <c r="B1647" s="8" t="s">
        <v>32</v>
      </c>
      <c r="C1647" s="8" t="str">
        <f>IFERROR(_xlfn.XLOOKUP(TRIM(B1647),Lookup!$B$2:$B$1000,Lookup!$C$2:$C$1000),"")</f>
        <v>Equity</v>
      </c>
      <c r="D1647" s="8" t="s">
        <v>33</v>
      </c>
      <c r="E1647" s="9">
        <v>46023</v>
      </c>
      <c r="F1647" s="8">
        <v>8.8664000000000005</v>
      </c>
    </row>
    <row r="1648" spans="1:6" ht="120" x14ac:dyDescent="0.25">
      <c r="A1648" s="8" t="s">
        <v>5</v>
      </c>
      <c r="B1648" s="8" t="s">
        <v>32</v>
      </c>
      <c r="C1648" s="8" t="str">
        <f>IFERROR(_xlfn.XLOOKUP(TRIM(B1648),Lookup!$B$2:$B$1000,Lookup!$C$2:$C$1000),"")</f>
        <v>Equity</v>
      </c>
      <c r="D1648" s="8" t="s">
        <v>33</v>
      </c>
      <c r="E1648" s="9">
        <v>46024</v>
      </c>
      <c r="F1648" s="8">
        <v>8.9298000000000002</v>
      </c>
    </row>
    <row r="1649" spans="1:6" ht="120" x14ac:dyDescent="0.25">
      <c r="A1649" s="8" t="s">
        <v>5</v>
      </c>
      <c r="B1649" s="8" t="s">
        <v>32</v>
      </c>
      <c r="C1649" s="8" t="str">
        <f>IFERROR(_xlfn.XLOOKUP(TRIM(B1649),Lookup!$B$2:$B$1000,Lookup!$C$2:$C$1000),"")</f>
        <v>Equity</v>
      </c>
      <c r="D1649" s="8" t="s">
        <v>33</v>
      </c>
      <c r="E1649" s="9">
        <v>46027</v>
      </c>
      <c r="F1649" s="8">
        <v>8.9270999999999994</v>
      </c>
    </row>
    <row r="1650" spans="1:6" ht="120" x14ac:dyDescent="0.25">
      <c r="A1650" s="8" t="s">
        <v>5</v>
      </c>
      <c r="B1650" s="8" t="s">
        <v>32</v>
      </c>
      <c r="C1650" s="8" t="str">
        <f>IFERROR(_xlfn.XLOOKUP(TRIM(B1650),Lookup!$B$2:$B$1000,Lookup!$C$2:$C$1000),"")</f>
        <v>Equity</v>
      </c>
      <c r="D1650" s="8" t="s">
        <v>33</v>
      </c>
      <c r="E1650" s="9">
        <v>46028</v>
      </c>
      <c r="F1650" s="8">
        <v>8.9245000000000001</v>
      </c>
    </row>
    <row r="1651" spans="1:6" ht="120" x14ac:dyDescent="0.25">
      <c r="A1651" s="8" t="s">
        <v>5</v>
      </c>
      <c r="B1651" s="8" t="s">
        <v>32</v>
      </c>
      <c r="C1651" s="8" t="str">
        <f>IFERROR(_xlfn.XLOOKUP(TRIM(B1651),Lookup!$B$2:$B$1000,Lookup!$C$2:$C$1000),"")</f>
        <v>Equity</v>
      </c>
      <c r="D1651" s="8" t="s">
        <v>33</v>
      </c>
      <c r="E1651" s="9">
        <v>46029</v>
      </c>
      <c r="F1651" s="8">
        <v>8.9923999999999999</v>
      </c>
    </row>
    <row r="1652" spans="1:6" ht="120" x14ac:dyDescent="0.25">
      <c r="A1652" s="8" t="s">
        <v>5</v>
      </c>
      <c r="B1652" s="8" t="s">
        <v>32</v>
      </c>
      <c r="C1652" s="8" t="str">
        <f>IFERROR(_xlfn.XLOOKUP(TRIM(B1652),Lookup!$B$2:$B$1000,Lookup!$C$2:$C$1000),"")</f>
        <v>Equity</v>
      </c>
      <c r="D1652" s="8" t="s">
        <v>33</v>
      </c>
      <c r="E1652" s="9">
        <v>46030</v>
      </c>
      <c r="F1652" s="8">
        <v>8.8089999999999993</v>
      </c>
    </row>
    <row r="1653" spans="1:6" ht="120" x14ac:dyDescent="0.25">
      <c r="A1653" s="8" t="s">
        <v>5</v>
      </c>
      <c r="B1653" s="8" t="s">
        <v>32</v>
      </c>
      <c r="C1653" s="8" t="str">
        <f>IFERROR(_xlfn.XLOOKUP(TRIM(B1653),Lookup!$B$2:$B$1000,Lookup!$C$2:$C$1000),"")</f>
        <v>Equity</v>
      </c>
      <c r="D1653" s="8" t="s">
        <v>33</v>
      </c>
      <c r="E1653" s="9">
        <v>46031</v>
      </c>
      <c r="F1653" s="8">
        <v>8.7105999999999995</v>
      </c>
    </row>
    <row r="1654" spans="1:6" ht="120" x14ac:dyDescent="0.25">
      <c r="A1654" s="8" t="s">
        <v>5</v>
      </c>
      <c r="B1654" s="8" t="s">
        <v>32</v>
      </c>
      <c r="C1654" s="8" t="str">
        <f>IFERROR(_xlfn.XLOOKUP(TRIM(B1654),Lookup!$B$2:$B$1000,Lookup!$C$2:$C$1000),"")</f>
        <v>Equity</v>
      </c>
      <c r="D1654" s="8" t="s">
        <v>33</v>
      </c>
      <c r="E1654" s="9">
        <v>46034</v>
      </c>
      <c r="F1654" s="8">
        <v>8.6892999999999994</v>
      </c>
    </row>
    <row r="1655" spans="1:6" ht="120" x14ac:dyDescent="0.25">
      <c r="A1655" s="8" t="s">
        <v>5</v>
      </c>
      <c r="B1655" s="8" t="s">
        <v>32</v>
      </c>
      <c r="C1655" s="8" t="str">
        <f>IFERROR(_xlfn.XLOOKUP(TRIM(B1655),Lookup!$B$2:$B$1000,Lookup!$C$2:$C$1000),"")</f>
        <v>Equity</v>
      </c>
      <c r="D1655" s="8" t="s">
        <v>33</v>
      </c>
      <c r="E1655" s="9">
        <v>46035</v>
      </c>
      <c r="F1655" s="8">
        <v>8.7009000000000007</v>
      </c>
    </row>
    <row r="1656" spans="1:6" ht="120" x14ac:dyDescent="0.25">
      <c r="A1656" s="8" t="s">
        <v>5</v>
      </c>
      <c r="B1656" s="8" t="s">
        <v>32</v>
      </c>
      <c r="C1656" s="8" t="str">
        <f>IFERROR(_xlfn.XLOOKUP(TRIM(B1656),Lookup!$B$2:$B$1000,Lookup!$C$2:$C$1000),"")</f>
        <v>Equity</v>
      </c>
      <c r="D1656" s="8" t="s">
        <v>33</v>
      </c>
      <c r="E1656" s="9">
        <v>46036</v>
      </c>
      <c r="F1656" s="8">
        <v>8.7325999999999997</v>
      </c>
    </row>
    <row r="1657" spans="1:6" ht="120" x14ac:dyDescent="0.25">
      <c r="A1657" s="8" t="s">
        <v>5</v>
      </c>
      <c r="B1657" s="8" t="s">
        <v>32</v>
      </c>
      <c r="C1657" s="8" t="str">
        <f>IFERROR(_xlfn.XLOOKUP(TRIM(B1657),Lookup!$B$2:$B$1000,Lookup!$C$2:$C$1000),"")</f>
        <v>Equity</v>
      </c>
      <c r="D1657" s="8" t="s">
        <v>33</v>
      </c>
      <c r="E1657" s="9">
        <v>46038</v>
      </c>
      <c r="F1657" s="8">
        <v>8.7380999999999993</v>
      </c>
    </row>
    <row r="1658" spans="1:6" ht="120" x14ac:dyDescent="0.25">
      <c r="A1658" s="8" t="s">
        <v>5</v>
      </c>
      <c r="B1658" s="8" t="s">
        <v>32</v>
      </c>
      <c r="C1658" s="8" t="str">
        <f>IFERROR(_xlfn.XLOOKUP(TRIM(B1658),Lookup!$B$2:$B$1000,Lookup!$C$2:$C$1000),"")</f>
        <v>Equity</v>
      </c>
      <c r="D1658" s="8" t="s">
        <v>33</v>
      </c>
      <c r="E1658" s="9">
        <v>46041</v>
      </c>
      <c r="F1658" s="8">
        <v>8.7187000000000001</v>
      </c>
    </row>
    <row r="1659" spans="1:6" ht="120" x14ac:dyDescent="0.25">
      <c r="A1659" s="8" t="s">
        <v>5</v>
      </c>
      <c r="B1659" s="8" t="s">
        <v>32</v>
      </c>
      <c r="C1659" s="8" t="str">
        <f>IFERROR(_xlfn.XLOOKUP(TRIM(B1659),Lookup!$B$2:$B$1000,Lookup!$C$2:$C$1000),"")</f>
        <v>Equity</v>
      </c>
      <c r="D1659" s="8" t="s">
        <v>33</v>
      </c>
      <c r="E1659" s="9">
        <v>46042</v>
      </c>
      <c r="F1659" s="8">
        <v>8.5167999999999999</v>
      </c>
    </row>
    <row r="1660" spans="1:6" ht="120" x14ac:dyDescent="0.25">
      <c r="A1660" s="8" t="s">
        <v>5</v>
      </c>
      <c r="B1660" s="8" t="s">
        <v>32</v>
      </c>
      <c r="C1660" s="8" t="str">
        <f>IFERROR(_xlfn.XLOOKUP(TRIM(B1660),Lookup!$B$2:$B$1000,Lookup!$C$2:$C$1000),"")</f>
        <v>Equity</v>
      </c>
      <c r="D1660" s="8" t="s">
        <v>33</v>
      </c>
      <c r="E1660" s="9">
        <v>46043</v>
      </c>
      <c r="F1660" s="8">
        <v>8.4570000000000007</v>
      </c>
    </row>
    <row r="1661" spans="1:6" ht="120" x14ac:dyDescent="0.25">
      <c r="A1661" s="8" t="s">
        <v>5</v>
      </c>
      <c r="B1661" s="8" t="s">
        <v>32</v>
      </c>
      <c r="C1661" s="8" t="str">
        <f>IFERROR(_xlfn.XLOOKUP(TRIM(B1661),Lookup!$B$2:$B$1000,Lookup!$C$2:$C$1000),"")</f>
        <v>Equity</v>
      </c>
      <c r="D1661" s="8" t="s">
        <v>33</v>
      </c>
      <c r="E1661" s="9">
        <v>46044</v>
      </c>
      <c r="F1661" s="8">
        <v>8.5596999999999994</v>
      </c>
    </row>
    <row r="1662" spans="1:6" ht="120" x14ac:dyDescent="0.25">
      <c r="A1662" s="8" t="s">
        <v>5</v>
      </c>
      <c r="B1662" s="8" t="s">
        <v>32</v>
      </c>
      <c r="C1662" s="8" t="str">
        <f>IFERROR(_xlfn.XLOOKUP(TRIM(B1662),Lookup!$B$2:$B$1000,Lookup!$C$2:$C$1000),"")</f>
        <v>Equity</v>
      </c>
      <c r="D1662" s="8" t="s">
        <v>33</v>
      </c>
      <c r="E1662" s="9">
        <v>46045</v>
      </c>
      <c r="F1662" s="8">
        <v>8.4155999999999995</v>
      </c>
    </row>
    <row r="1663" spans="1:6" ht="120" x14ac:dyDescent="0.25">
      <c r="A1663" s="8" t="s">
        <v>5</v>
      </c>
      <c r="B1663" s="8" t="s">
        <v>32</v>
      </c>
      <c r="C1663" s="8" t="str">
        <f>IFERROR(_xlfn.XLOOKUP(TRIM(B1663),Lookup!$B$2:$B$1000,Lookup!$C$2:$C$1000),"")</f>
        <v>Equity</v>
      </c>
      <c r="D1663" s="8" t="s">
        <v>33</v>
      </c>
      <c r="E1663" s="9">
        <v>46049</v>
      </c>
      <c r="F1663" s="8">
        <v>8.4810999999999996</v>
      </c>
    </row>
    <row r="1664" spans="1:6" ht="120" x14ac:dyDescent="0.25">
      <c r="A1664" s="8" t="s">
        <v>5</v>
      </c>
      <c r="B1664" s="8" t="s">
        <v>32</v>
      </c>
      <c r="C1664" s="8" t="str">
        <f>IFERROR(_xlfn.XLOOKUP(TRIM(B1664),Lookup!$B$2:$B$1000,Lookup!$C$2:$C$1000),"")</f>
        <v>Equity</v>
      </c>
      <c r="D1664" s="8" t="s">
        <v>33</v>
      </c>
      <c r="E1664" s="9">
        <v>46050</v>
      </c>
      <c r="F1664" s="8">
        <v>8.6380999999999997</v>
      </c>
    </row>
    <row r="1665" spans="1:6" ht="120" x14ac:dyDescent="0.25">
      <c r="A1665" s="8" t="s">
        <v>5</v>
      </c>
      <c r="B1665" s="8" t="s">
        <v>32</v>
      </c>
      <c r="C1665" s="8" t="str">
        <f>IFERROR(_xlfn.XLOOKUP(TRIM(B1665),Lookup!$B$2:$B$1000,Lookup!$C$2:$C$1000),"")</f>
        <v>Equity</v>
      </c>
      <c r="D1665" s="8" t="s">
        <v>33</v>
      </c>
      <c r="E1665" s="9">
        <v>46051</v>
      </c>
      <c r="F1665" s="8">
        <v>8.7197999999999993</v>
      </c>
    </row>
    <row r="1666" spans="1:6" ht="120" x14ac:dyDescent="0.25">
      <c r="A1666" s="8" t="s">
        <v>5</v>
      </c>
      <c r="B1666" s="8" t="s">
        <v>32</v>
      </c>
      <c r="C1666" s="8" t="str">
        <f>IFERROR(_xlfn.XLOOKUP(TRIM(B1666),Lookup!$B$2:$B$1000,Lookup!$C$2:$C$1000),"")</f>
        <v>Equity</v>
      </c>
      <c r="D1666" s="8" t="s">
        <v>33</v>
      </c>
      <c r="E1666" s="9">
        <v>46052</v>
      </c>
      <c r="F1666" s="8">
        <v>8.6870999999999992</v>
      </c>
    </row>
    <row r="1667" spans="1:6" ht="120" x14ac:dyDescent="0.25">
      <c r="A1667" s="8" t="s">
        <v>5</v>
      </c>
      <c r="B1667" s="8" t="s">
        <v>32</v>
      </c>
      <c r="C1667" s="8" t="str">
        <f>IFERROR(_xlfn.XLOOKUP(TRIM(B1667),Lookup!$B$2:$B$1000,Lookup!$C$2:$C$1000),"")</f>
        <v>Equity</v>
      </c>
      <c r="D1667" s="8" t="s">
        <v>33</v>
      </c>
      <c r="E1667" s="9">
        <v>46054</v>
      </c>
      <c r="F1667" s="8">
        <v>8.4397000000000002</v>
      </c>
    </row>
    <row r="1668" spans="1:6" ht="120" x14ac:dyDescent="0.25">
      <c r="A1668" s="8" t="s">
        <v>5</v>
      </c>
      <c r="B1668" s="8" t="s">
        <v>32</v>
      </c>
      <c r="C1668" s="8" t="str">
        <f>IFERROR(_xlfn.XLOOKUP(TRIM(B1668),Lookup!$B$2:$B$1000,Lookup!$C$2:$C$1000),"")</f>
        <v>Equity</v>
      </c>
      <c r="D1668" s="8" t="s">
        <v>33</v>
      </c>
      <c r="E1668" s="9">
        <v>46055</v>
      </c>
      <c r="F1668" s="8">
        <v>8.5361999999999991</v>
      </c>
    </row>
    <row r="1669" spans="1:6" ht="120" x14ac:dyDescent="0.25">
      <c r="A1669" s="8" t="s">
        <v>5</v>
      </c>
      <c r="B1669" s="8" t="s">
        <v>32</v>
      </c>
      <c r="C1669" s="8" t="str">
        <f>IFERROR(_xlfn.XLOOKUP(TRIM(B1669),Lookup!$B$2:$B$1000,Lookup!$C$2:$C$1000),"")</f>
        <v>Equity</v>
      </c>
      <c r="D1669" s="8" t="s">
        <v>33</v>
      </c>
      <c r="E1669" s="9">
        <v>46056</v>
      </c>
      <c r="F1669" s="8">
        <v>8.7975999999999992</v>
      </c>
    </row>
    <row r="1670" spans="1:6" ht="120" x14ac:dyDescent="0.25">
      <c r="A1670" s="8" t="s">
        <v>5</v>
      </c>
      <c r="B1670" s="8" t="s">
        <v>32</v>
      </c>
      <c r="C1670" s="8" t="str">
        <f>IFERROR(_xlfn.XLOOKUP(TRIM(B1670),Lookup!$B$2:$B$1000,Lookup!$C$2:$C$1000),"")</f>
        <v>Equity</v>
      </c>
      <c r="D1670" s="8" t="s">
        <v>33</v>
      </c>
      <c r="E1670" s="9">
        <v>46057</v>
      </c>
      <c r="F1670" s="8">
        <v>8.8422000000000001</v>
      </c>
    </row>
    <row r="1671" spans="1:6" ht="120" x14ac:dyDescent="0.25">
      <c r="A1671" s="8" t="s">
        <v>5</v>
      </c>
      <c r="B1671" s="8" t="s">
        <v>32</v>
      </c>
      <c r="C1671" s="8" t="str">
        <f>IFERROR(_xlfn.XLOOKUP(TRIM(B1671),Lookup!$B$2:$B$1000,Lookup!$C$2:$C$1000),"")</f>
        <v>Equity</v>
      </c>
      <c r="D1671" s="8" t="s">
        <v>33</v>
      </c>
      <c r="E1671" s="9">
        <v>46058</v>
      </c>
      <c r="F1671" s="8">
        <v>8.7856000000000005</v>
      </c>
    </row>
    <row r="1672" spans="1:6" ht="120" x14ac:dyDescent="0.25">
      <c r="A1672" s="8" t="s">
        <v>5</v>
      </c>
      <c r="B1672" s="8" t="s">
        <v>32</v>
      </c>
      <c r="C1672" s="8" t="str">
        <f>IFERROR(_xlfn.XLOOKUP(TRIM(B1672),Lookup!$B$2:$B$1000,Lookup!$C$2:$C$1000),"")</f>
        <v>Equity</v>
      </c>
      <c r="D1672" s="8" t="s">
        <v>33</v>
      </c>
      <c r="E1672" s="9">
        <v>46059</v>
      </c>
      <c r="F1672" s="8">
        <v>8.7819000000000003</v>
      </c>
    </row>
    <row r="1673" spans="1:6" ht="120" x14ac:dyDescent="0.25">
      <c r="A1673" s="8" t="s">
        <v>5</v>
      </c>
      <c r="B1673" s="8" t="s">
        <v>32</v>
      </c>
      <c r="C1673" s="8" t="str">
        <f>IFERROR(_xlfn.XLOOKUP(TRIM(B1673),Lookup!$B$2:$B$1000,Lookup!$C$2:$C$1000),"")</f>
        <v>Equity</v>
      </c>
      <c r="D1673" s="8" t="s">
        <v>33</v>
      </c>
      <c r="E1673" s="9">
        <v>46062</v>
      </c>
      <c r="F1673" s="8">
        <v>8.9219000000000008</v>
      </c>
    </row>
    <row r="1674" spans="1:6" ht="120" x14ac:dyDescent="0.25">
      <c r="A1674" s="8" t="s">
        <v>5</v>
      </c>
      <c r="B1674" s="8" t="s">
        <v>32</v>
      </c>
      <c r="C1674" s="8" t="str">
        <f>IFERROR(_xlfn.XLOOKUP(TRIM(B1674),Lookup!$B$2:$B$1000,Lookup!$C$2:$C$1000),"")</f>
        <v>Equity</v>
      </c>
      <c r="D1674" s="8" t="s">
        <v>33</v>
      </c>
      <c r="E1674" s="9">
        <v>46063</v>
      </c>
      <c r="F1674" s="8">
        <v>8.9575999999999993</v>
      </c>
    </row>
    <row r="1675" spans="1:6" ht="120" x14ac:dyDescent="0.25">
      <c r="A1675" s="8" t="s">
        <v>5</v>
      </c>
      <c r="B1675" s="8" t="s">
        <v>32</v>
      </c>
      <c r="C1675" s="8" t="str">
        <f>IFERROR(_xlfn.XLOOKUP(TRIM(B1675),Lookup!$B$2:$B$1000,Lookup!$C$2:$C$1000),"")</f>
        <v>Equity</v>
      </c>
      <c r="D1675" s="8" t="s">
        <v>33</v>
      </c>
      <c r="E1675" s="9">
        <v>46064</v>
      </c>
      <c r="F1675" s="8">
        <v>8.9649999999999999</v>
      </c>
    </row>
    <row r="1676" spans="1:6" ht="120" x14ac:dyDescent="0.25">
      <c r="A1676" s="8" t="s">
        <v>5</v>
      </c>
      <c r="B1676" s="8" t="s">
        <v>32</v>
      </c>
      <c r="C1676" s="8" t="str">
        <f>IFERROR(_xlfn.XLOOKUP(TRIM(B1676),Lookup!$B$2:$B$1000,Lookup!$C$2:$C$1000),"")</f>
        <v>Equity</v>
      </c>
      <c r="D1676" s="8" t="s">
        <v>33</v>
      </c>
      <c r="E1676" s="9">
        <v>46065</v>
      </c>
      <c r="F1676" s="8">
        <v>8.9181000000000008</v>
      </c>
    </row>
    <row r="1677" spans="1:6" ht="120" x14ac:dyDescent="0.25">
      <c r="A1677" s="8" t="s">
        <v>5</v>
      </c>
      <c r="B1677" s="8" t="s">
        <v>32</v>
      </c>
      <c r="C1677" s="8" t="str">
        <f>IFERROR(_xlfn.XLOOKUP(TRIM(B1677),Lookup!$B$2:$B$1000,Lookup!$C$2:$C$1000),"")</f>
        <v>Equity</v>
      </c>
      <c r="D1677" s="8" t="s">
        <v>33</v>
      </c>
      <c r="E1677" s="9">
        <v>46066</v>
      </c>
      <c r="F1677" s="8">
        <v>8.7352000000000007</v>
      </c>
    </row>
    <row r="1678" spans="1:6" ht="120" x14ac:dyDescent="0.25">
      <c r="A1678" s="8" t="s">
        <v>5</v>
      </c>
      <c r="B1678" s="8" t="s">
        <v>32</v>
      </c>
      <c r="C1678" s="8" t="str">
        <f>IFERROR(_xlfn.XLOOKUP(TRIM(B1678),Lookup!$B$2:$B$1000,Lookup!$C$2:$C$1000),"")</f>
        <v>Equity</v>
      </c>
      <c r="D1678" s="8" t="s">
        <v>33</v>
      </c>
      <c r="E1678" s="9">
        <v>46069</v>
      </c>
      <c r="F1678" s="8">
        <v>8.7481000000000009</v>
      </c>
    </row>
    <row r="1679" spans="1:6" ht="120" x14ac:dyDescent="0.25">
      <c r="A1679" s="8" t="s">
        <v>5</v>
      </c>
      <c r="B1679" s="8" t="s">
        <v>32</v>
      </c>
      <c r="C1679" s="8" t="str">
        <f>IFERROR(_xlfn.XLOOKUP(TRIM(B1679),Lookup!$B$2:$B$1000,Lookup!$C$2:$C$1000),"")</f>
        <v>Equity</v>
      </c>
      <c r="D1679" s="8" t="s">
        <v>33</v>
      </c>
      <c r="E1679" s="9">
        <v>46070</v>
      </c>
      <c r="F1679" s="8">
        <v>8.7752999999999997</v>
      </c>
    </row>
    <row r="1680" spans="1:6" ht="120" x14ac:dyDescent="0.25">
      <c r="A1680" s="8" t="s">
        <v>5</v>
      </c>
      <c r="B1680" s="8" t="s">
        <v>32</v>
      </c>
      <c r="C1680" s="8" t="str">
        <f>IFERROR(_xlfn.XLOOKUP(TRIM(B1680),Lookup!$B$2:$B$1000,Lookup!$C$2:$C$1000),"")</f>
        <v>Equity</v>
      </c>
      <c r="D1680" s="8" t="s">
        <v>33</v>
      </c>
      <c r="E1680" s="9">
        <v>46071</v>
      </c>
      <c r="F1680" s="8">
        <v>8.8378999999999994</v>
      </c>
    </row>
    <row r="1681" spans="1:6" ht="120" x14ac:dyDescent="0.25">
      <c r="A1681" s="8" t="s">
        <v>5</v>
      </c>
      <c r="B1681" s="8" t="s">
        <v>32</v>
      </c>
      <c r="C1681" s="8" t="str">
        <f>IFERROR(_xlfn.XLOOKUP(TRIM(B1681),Lookup!$B$2:$B$1000,Lookup!$C$2:$C$1000),"")</f>
        <v>Equity</v>
      </c>
      <c r="D1681" s="8" t="s">
        <v>33</v>
      </c>
      <c r="E1681" s="9">
        <v>46072</v>
      </c>
      <c r="F1681" s="8">
        <v>8.6934000000000005</v>
      </c>
    </row>
    <row r="1682" spans="1:6" ht="120" x14ac:dyDescent="0.25">
      <c r="A1682" s="8" t="s">
        <v>5</v>
      </c>
      <c r="B1682" s="8" t="s">
        <v>32</v>
      </c>
      <c r="C1682" s="8" t="str">
        <f>IFERROR(_xlfn.XLOOKUP(TRIM(B1682),Lookup!$B$2:$B$1000,Lookup!$C$2:$C$1000),"")</f>
        <v>Equity</v>
      </c>
      <c r="D1682" s="8" t="s">
        <v>33</v>
      </c>
      <c r="E1682" s="9">
        <v>46073</v>
      </c>
      <c r="F1682" s="8">
        <v>8.7306000000000008</v>
      </c>
    </row>
    <row r="1683" spans="1:6" ht="120" x14ac:dyDescent="0.25">
      <c r="A1683" s="8" t="s">
        <v>5</v>
      </c>
      <c r="B1683" s="8" t="s">
        <v>32</v>
      </c>
      <c r="C1683" s="8" t="str">
        <f>IFERROR(_xlfn.XLOOKUP(TRIM(B1683),Lookup!$B$2:$B$1000,Lookup!$C$2:$C$1000),"")</f>
        <v>Equity</v>
      </c>
      <c r="D1683" s="8" t="s">
        <v>33</v>
      </c>
      <c r="E1683" s="9">
        <v>46076</v>
      </c>
      <c r="F1683" s="8">
        <v>8.7431000000000001</v>
      </c>
    </row>
    <row r="1684" spans="1:6" ht="120" x14ac:dyDescent="0.25">
      <c r="A1684" s="8" t="s">
        <v>5</v>
      </c>
      <c r="B1684" s="8" t="s">
        <v>32</v>
      </c>
      <c r="C1684" s="8" t="str">
        <f>IFERROR(_xlfn.XLOOKUP(TRIM(B1684),Lookup!$B$2:$B$1000,Lookup!$C$2:$C$1000),"")</f>
        <v>Equity</v>
      </c>
      <c r="D1684" s="8" t="s">
        <v>33</v>
      </c>
      <c r="E1684" s="9">
        <v>46077</v>
      </c>
      <c r="F1684" s="8">
        <v>8.7189999999999994</v>
      </c>
    </row>
    <row r="1685" spans="1:6" ht="120" x14ac:dyDescent="0.25">
      <c r="A1685" s="8" t="s">
        <v>5</v>
      </c>
      <c r="B1685" s="8" t="s">
        <v>32</v>
      </c>
      <c r="C1685" s="8" t="str">
        <f>IFERROR(_xlfn.XLOOKUP(TRIM(B1685),Lookup!$B$2:$B$1000,Lookup!$C$2:$C$1000),"")</f>
        <v>Equity</v>
      </c>
      <c r="D1685" s="8" t="s">
        <v>33</v>
      </c>
      <c r="E1685" s="9">
        <v>46078</v>
      </c>
      <c r="F1685" s="8">
        <v>8.8071999999999999</v>
      </c>
    </row>
    <row r="1686" spans="1:6" ht="120" x14ac:dyDescent="0.25">
      <c r="A1686" s="8" t="s">
        <v>5</v>
      </c>
      <c r="B1686" s="8" t="s">
        <v>32</v>
      </c>
      <c r="C1686" s="8" t="str">
        <f>IFERROR(_xlfn.XLOOKUP(TRIM(B1686),Lookup!$B$2:$B$1000,Lookup!$C$2:$C$1000),"")</f>
        <v>Equity</v>
      </c>
      <c r="D1686" s="8" t="s">
        <v>33</v>
      </c>
      <c r="E1686" s="9">
        <v>46079</v>
      </c>
      <c r="F1686" s="8">
        <v>8.8295999999999992</v>
      </c>
    </row>
    <row r="1687" spans="1:6" ht="120" x14ac:dyDescent="0.25">
      <c r="A1687" s="8" t="s">
        <v>5</v>
      </c>
      <c r="B1687" s="8" t="s">
        <v>32</v>
      </c>
      <c r="C1687" s="8" t="str">
        <f>IFERROR(_xlfn.XLOOKUP(TRIM(B1687),Lookup!$B$2:$B$1000,Lookup!$C$2:$C$1000),"")</f>
        <v>Equity</v>
      </c>
      <c r="D1687" s="8" t="s">
        <v>33</v>
      </c>
      <c r="E1687" s="9">
        <v>46080</v>
      </c>
      <c r="F1687" s="8">
        <v>8.7315000000000005</v>
      </c>
    </row>
    <row r="1688" spans="1:6" ht="120" x14ac:dyDescent="0.25">
      <c r="A1688" s="8" t="s">
        <v>5</v>
      </c>
      <c r="B1688" s="8" t="s">
        <v>32</v>
      </c>
      <c r="C1688" s="8" t="str">
        <f>IFERROR(_xlfn.XLOOKUP(TRIM(B1688),Lookup!$B$2:$B$1000,Lookup!$C$2:$C$1000),"")</f>
        <v>Equity</v>
      </c>
      <c r="D1688" s="8" t="s">
        <v>33</v>
      </c>
      <c r="E1688" s="9">
        <v>46083</v>
      </c>
      <c r="F1688" s="8">
        <v>8.6095000000000006</v>
      </c>
    </row>
    <row r="1689" spans="1:6" ht="120" x14ac:dyDescent="0.25">
      <c r="A1689" s="8" t="s">
        <v>5</v>
      </c>
      <c r="B1689" s="8" t="s">
        <v>32</v>
      </c>
      <c r="C1689" s="8" t="str">
        <f>IFERROR(_xlfn.XLOOKUP(TRIM(B1689),Lookup!$B$2:$B$1000,Lookup!$C$2:$C$1000),"")</f>
        <v>Equity</v>
      </c>
      <c r="D1689" s="8" t="s">
        <v>33</v>
      </c>
      <c r="E1689" s="9">
        <v>46085</v>
      </c>
      <c r="F1689" s="8">
        <v>8.4199000000000002</v>
      </c>
    </row>
    <row r="1690" spans="1:6" ht="120" x14ac:dyDescent="0.25">
      <c r="A1690" s="8" t="s">
        <v>5</v>
      </c>
      <c r="B1690" s="8" t="s">
        <v>32</v>
      </c>
      <c r="C1690" s="8" t="str">
        <f>IFERROR(_xlfn.XLOOKUP(TRIM(B1690),Lookup!$B$2:$B$1000,Lookup!$C$2:$C$1000),"")</f>
        <v>Equity</v>
      </c>
      <c r="D1690" s="8" t="s">
        <v>33</v>
      </c>
      <c r="E1690" s="9">
        <v>46086</v>
      </c>
      <c r="F1690" s="8">
        <v>8.5708000000000002</v>
      </c>
    </row>
    <row r="1691" spans="1:6" ht="120" x14ac:dyDescent="0.25">
      <c r="A1691" s="8" t="s">
        <v>5</v>
      </c>
      <c r="B1691" s="8" t="s">
        <v>32</v>
      </c>
      <c r="C1691" s="8" t="str">
        <f>IFERROR(_xlfn.XLOOKUP(TRIM(B1691),Lookup!$B$2:$B$1000,Lookup!$C$2:$C$1000),"")</f>
        <v>Equity</v>
      </c>
      <c r="D1691" s="8" t="s">
        <v>33</v>
      </c>
      <c r="E1691" s="9">
        <v>46087</v>
      </c>
      <c r="F1691" s="8">
        <v>8.5554000000000006</v>
      </c>
    </row>
    <row r="1692" spans="1:6" ht="120" x14ac:dyDescent="0.25">
      <c r="A1692" s="8" t="s">
        <v>5</v>
      </c>
      <c r="B1692" s="8" t="s">
        <v>32</v>
      </c>
      <c r="C1692" s="8" t="str">
        <f>IFERROR(_xlfn.XLOOKUP(TRIM(B1692),Lookup!$B$2:$B$1000,Lookup!$C$2:$C$1000),"")</f>
        <v>Equity</v>
      </c>
      <c r="D1692" s="8" t="s">
        <v>33</v>
      </c>
      <c r="E1692" s="9">
        <v>46090</v>
      </c>
      <c r="F1692" s="8">
        <v>8.4091000000000005</v>
      </c>
    </row>
    <row r="1693" spans="1:6" ht="120" x14ac:dyDescent="0.25">
      <c r="A1693" s="8" t="s">
        <v>5</v>
      </c>
      <c r="B1693" s="8" t="s">
        <v>32</v>
      </c>
      <c r="C1693" s="8" t="str">
        <f>IFERROR(_xlfn.XLOOKUP(TRIM(B1693),Lookup!$B$2:$B$1000,Lookup!$C$2:$C$1000),"")</f>
        <v>Equity</v>
      </c>
      <c r="D1693" s="8" t="s">
        <v>33</v>
      </c>
      <c r="E1693" s="9">
        <v>46091</v>
      </c>
      <c r="F1693" s="8">
        <v>8.5714000000000006</v>
      </c>
    </row>
    <row r="1694" spans="1:6" ht="120" x14ac:dyDescent="0.25">
      <c r="A1694" s="8" t="s">
        <v>5</v>
      </c>
      <c r="B1694" s="8" t="s">
        <v>32</v>
      </c>
      <c r="C1694" s="8" t="str">
        <f>IFERROR(_xlfn.XLOOKUP(TRIM(B1694),Lookup!$B$2:$B$1000,Lookup!$C$2:$C$1000),"")</f>
        <v>Equity</v>
      </c>
      <c r="D1694" s="8" t="s">
        <v>33</v>
      </c>
      <c r="E1694" s="9">
        <v>46092</v>
      </c>
      <c r="F1694" s="8">
        <v>8.4543999999999997</v>
      </c>
    </row>
    <row r="1695" spans="1:6" ht="120" x14ac:dyDescent="0.25">
      <c r="A1695" s="8" t="s">
        <v>5</v>
      </c>
      <c r="B1695" s="8" t="s">
        <v>32</v>
      </c>
      <c r="C1695" s="8" t="str">
        <f>IFERROR(_xlfn.XLOOKUP(TRIM(B1695),Lookup!$B$2:$B$1000,Lookup!$C$2:$C$1000),"")</f>
        <v>Equity</v>
      </c>
      <c r="D1695" s="8" t="s">
        <v>33</v>
      </c>
      <c r="E1695" s="9">
        <v>46093</v>
      </c>
      <c r="F1695" s="8">
        <v>8.4369999999999994</v>
      </c>
    </row>
    <row r="1696" spans="1:6" ht="120" x14ac:dyDescent="0.25">
      <c r="A1696" s="8" t="s">
        <v>5</v>
      </c>
      <c r="B1696" s="8" t="s">
        <v>32</v>
      </c>
      <c r="C1696" s="8" t="str">
        <f>IFERROR(_xlfn.XLOOKUP(TRIM(B1696),Lookup!$B$2:$B$1000,Lookup!$C$2:$C$1000),"")</f>
        <v>Equity</v>
      </c>
      <c r="D1696" s="8" t="s">
        <v>33</v>
      </c>
      <c r="E1696" s="9">
        <v>46094</v>
      </c>
      <c r="F1696" s="8">
        <v>8.2195999999999998</v>
      </c>
    </row>
    <row r="1697" spans="1:6" ht="120" x14ac:dyDescent="0.25">
      <c r="A1697" s="8" t="s">
        <v>5</v>
      </c>
      <c r="B1697" s="8" t="s">
        <v>32</v>
      </c>
      <c r="C1697" s="8" t="str">
        <f>IFERROR(_xlfn.XLOOKUP(TRIM(B1697),Lookup!$B$2:$B$1000,Lookup!$C$2:$C$1000),"")</f>
        <v>Equity</v>
      </c>
      <c r="D1697" s="8" t="s">
        <v>33</v>
      </c>
      <c r="E1697" s="9">
        <v>46097</v>
      </c>
      <c r="F1697" s="8">
        <v>8.1926000000000005</v>
      </c>
    </row>
    <row r="1698" spans="1:6" ht="120" x14ac:dyDescent="0.25">
      <c r="A1698" s="8" t="s">
        <v>5</v>
      </c>
      <c r="B1698" s="8" t="s">
        <v>32</v>
      </c>
      <c r="C1698" s="8" t="str">
        <f>IFERROR(_xlfn.XLOOKUP(TRIM(B1698),Lookup!$B$2:$B$1000,Lookup!$C$2:$C$1000),"")</f>
        <v>Equity</v>
      </c>
      <c r="D1698" s="8" t="s">
        <v>33</v>
      </c>
      <c r="E1698" s="9">
        <v>46098</v>
      </c>
      <c r="F1698" s="8">
        <v>8.2889999999999997</v>
      </c>
    </row>
    <row r="1699" spans="1:6" ht="120" x14ac:dyDescent="0.25">
      <c r="A1699" s="8" t="s">
        <v>5</v>
      </c>
      <c r="B1699" s="8" t="s">
        <v>32</v>
      </c>
      <c r="C1699" s="8" t="str">
        <f>IFERROR(_xlfn.XLOOKUP(TRIM(B1699),Lookup!$B$2:$B$1000,Lookup!$C$2:$C$1000),"")</f>
        <v>Equity</v>
      </c>
      <c r="D1699" s="8" t="s">
        <v>33</v>
      </c>
      <c r="E1699" s="9">
        <v>46099</v>
      </c>
      <c r="F1699" s="8">
        <v>8.4248999999999992</v>
      </c>
    </row>
    <row r="1700" spans="1:6" ht="120" x14ac:dyDescent="0.25">
      <c r="A1700" s="8" t="s">
        <v>5</v>
      </c>
      <c r="B1700" s="8" t="s">
        <v>32</v>
      </c>
      <c r="C1700" s="8" t="str">
        <f>IFERROR(_xlfn.XLOOKUP(TRIM(B1700),Lookup!$B$2:$B$1000,Lookup!$C$2:$C$1000),"")</f>
        <v>Equity</v>
      </c>
      <c r="D1700" s="8" t="s">
        <v>33</v>
      </c>
      <c r="E1700" s="9">
        <v>46100</v>
      </c>
      <c r="F1700" s="8">
        <v>8.1753999999999998</v>
      </c>
    </row>
    <row r="1701" spans="1:6" ht="120" x14ac:dyDescent="0.25">
      <c r="A1701" s="8" t="s">
        <v>5</v>
      </c>
      <c r="B1701" s="8" t="s">
        <v>32</v>
      </c>
      <c r="C1701" s="8" t="str">
        <f>IFERROR(_xlfn.XLOOKUP(TRIM(B1701),Lookup!$B$2:$B$1000,Lookup!$C$2:$C$1000),"")</f>
        <v>Equity</v>
      </c>
      <c r="D1701" s="8" t="s">
        <v>33</v>
      </c>
      <c r="E1701" s="9">
        <v>46101</v>
      </c>
      <c r="F1701" s="8">
        <v>8.2088000000000001</v>
      </c>
    </row>
    <row r="1702" spans="1:6" ht="120" x14ac:dyDescent="0.25">
      <c r="A1702" s="8" t="s">
        <v>5</v>
      </c>
      <c r="B1702" s="8" t="s">
        <v>32</v>
      </c>
      <c r="C1702" s="8" t="str">
        <f>IFERROR(_xlfn.XLOOKUP(TRIM(B1702),Lookup!$B$2:$B$1000,Lookup!$C$2:$C$1000),"")</f>
        <v>Equity</v>
      </c>
      <c r="D1702" s="8" t="s">
        <v>33</v>
      </c>
      <c r="E1702" s="9">
        <v>46104</v>
      </c>
      <c r="F1702" s="8">
        <v>7.9071999999999996</v>
      </c>
    </row>
    <row r="1703" spans="1:6" ht="120" x14ac:dyDescent="0.25">
      <c r="A1703" s="8" t="s">
        <v>5</v>
      </c>
      <c r="B1703" s="8" t="s">
        <v>32</v>
      </c>
      <c r="C1703" s="8" t="str">
        <f>IFERROR(_xlfn.XLOOKUP(TRIM(B1703),Lookup!$B$2:$B$1000,Lookup!$C$2:$C$1000),"")</f>
        <v>Equity</v>
      </c>
      <c r="D1703" s="8" t="s">
        <v>33</v>
      </c>
      <c r="E1703" s="9">
        <v>46105</v>
      </c>
      <c r="F1703" s="8">
        <v>8.1153999999999993</v>
      </c>
    </row>
    <row r="1704" spans="1:6" ht="120" x14ac:dyDescent="0.25">
      <c r="A1704" s="8" t="s">
        <v>5</v>
      </c>
      <c r="B1704" s="8" t="s">
        <v>32</v>
      </c>
      <c r="C1704" s="8" t="str">
        <f>IFERROR(_xlfn.XLOOKUP(TRIM(B1704),Lookup!$B$2:$B$1000,Lookup!$C$2:$C$1000),"")</f>
        <v>Equity</v>
      </c>
      <c r="D1704" s="8" t="s">
        <v>33</v>
      </c>
      <c r="E1704" s="9">
        <v>46106</v>
      </c>
      <c r="F1704" s="8">
        <v>8.3104999999999993</v>
      </c>
    </row>
    <row r="1705" spans="1:6" ht="120" x14ac:dyDescent="0.25">
      <c r="A1705" s="8" t="s">
        <v>5</v>
      </c>
      <c r="B1705" s="8" t="s">
        <v>32</v>
      </c>
      <c r="C1705" s="8" t="str">
        <f>IFERROR(_xlfn.XLOOKUP(TRIM(B1705),Lookup!$B$2:$B$1000,Lookup!$C$2:$C$1000),"")</f>
        <v>Equity</v>
      </c>
      <c r="D1705" s="8" t="s">
        <v>33</v>
      </c>
      <c r="E1705" s="9">
        <v>46108</v>
      </c>
      <c r="F1705" s="8">
        <v>8.1491000000000007</v>
      </c>
    </row>
    <row r="1706" spans="1:6" ht="120" x14ac:dyDescent="0.25">
      <c r="A1706" s="8" t="s">
        <v>5</v>
      </c>
      <c r="B1706" s="8" t="s">
        <v>32</v>
      </c>
      <c r="C1706" s="8" t="str">
        <f>IFERROR(_xlfn.XLOOKUP(TRIM(B1706),Lookup!$B$2:$B$1000,Lookup!$C$2:$C$1000),"")</f>
        <v>Equity</v>
      </c>
      <c r="D1706" s="8" t="s">
        <v>33</v>
      </c>
      <c r="E1706" s="9">
        <v>46111</v>
      </c>
      <c r="F1706" s="8">
        <v>7.9550000000000001</v>
      </c>
    </row>
    <row r="1707" spans="1:6" ht="120" x14ac:dyDescent="0.25">
      <c r="A1707" s="8" t="s">
        <v>5</v>
      </c>
      <c r="B1707" s="8" t="s">
        <v>32</v>
      </c>
      <c r="C1707" s="8" t="str">
        <f>IFERROR(_xlfn.XLOOKUP(TRIM(B1707),Lookup!$B$2:$B$1000,Lookup!$C$2:$C$1000),"")</f>
        <v>Equity</v>
      </c>
      <c r="D1707" s="8" t="s">
        <v>33</v>
      </c>
      <c r="E1707" s="9">
        <v>46113</v>
      </c>
      <c r="F1707" s="8">
        <v>8.1915999999999993</v>
      </c>
    </row>
    <row r="1708" spans="1:6" ht="120" x14ac:dyDescent="0.25">
      <c r="A1708" s="8" t="s">
        <v>5</v>
      </c>
      <c r="B1708" s="8" t="s">
        <v>32</v>
      </c>
      <c r="C1708" s="8" t="str">
        <f>IFERROR(_xlfn.XLOOKUP(TRIM(B1708),Lookup!$B$2:$B$1000,Lookup!$C$2:$C$1000),"")</f>
        <v>Equity</v>
      </c>
      <c r="D1708" s="8" t="s">
        <v>33</v>
      </c>
      <c r="E1708" s="9">
        <v>46114</v>
      </c>
      <c r="F1708" s="8">
        <v>8.1712000000000007</v>
      </c>
    </row>
    <row r="1709" spans="1:6" ht="120" x14ac:dyDescent="0.25">
      <c r="A1709" s="8" t="s">
        <v>5</v>
      </c>
      <c r="B1709" s="8" t="s">
        <v>32</v>
      </c>
      <c r="C1709" s="8" t="str">
        <f>IFERROR(_xlfn.XLOOKUP(TRIM(B1709),Lookup!$B$2:$B$1000,Lookup!$C$2:$C$1000),"")</f>
        <v>Equity</v>
      </c>
      <c r="D1709" s="8" t="s">
        <v>33</v>
      </c>
      <c r="E1709" s="9">
        <v>46118</v>
      </c>
      <c r="F1709" s="8">
        <v>8.2978000000000005</v>
      </c>
    </row>
    <row r="1710" spans="1:6" ht="120" x14ac:dyDescent="0.25">
      <c r="A1710" s="8" t="s">
        <v>5</v>
      </c>
      <c r="B1710" s="8" t="s">
        <v>32</v>
      </c>
      <c r="C1710" s="8" t="str">
        <f>IFERROR(_xlfn.XLOOKUP(TRIM(B1710),Lookup!$B$2:$B$1000,Lookup!$C$2:$C$1000),"")</f>
        <v>Equity</v>
      </c>
      <c r="D1710" s="8" t="s">
        <v>33</v>
      </c>
      <c r="E1710" s="9">
        <v>46119</v>
      </c>
      <c r="F1710" s="8">
        <v>8.2990999999999993</v>
      </c>
    </row>
    <row r="1711" spans="1:6" ht="120" x14ac:dyDescent="0.25">
      <c r="A1711" s="8" t="s">
        <v>5</v>
      </c>
      <c r="B1711" s="8" t="s">
        <v>32</v>
      </c>
      <c r="C1711" s="8" t="str">
        <f>IFERROR(_xlfn.XLOOKUP(TRIM(B1711),Lookup!$B$2:$B$1000,Lookup!$C$2:$C$1000),"")</f>
        <v>Equity</v>
      </c>
      <c r="D1711" s="8" t="s">
        <v>33</v>
      </c>
      <c r="E1711" s="9">
        <v>46120</v>
      </c>
      <c r="F1711" s="8">
        <v>8.6227999999999998</v>
      </c>
    </row>
    <row r="1712" spans="1:6" ht="120" x14ac:dyDescent="0.25">
      <c r="A1712" s="8" t="s">
        <v>5</v>
      </c>
      <c r="B1712" s="8" t="s">
        <v>32</v>
      </c>
      <c r="C1712" s="8" t="str">
        <f>IFERROR(_xlfn.XLOOKUP(TRIM(B1712),Lookup!$B$2:$B$1000,Lookup!$C$2:$C$1000),"")</f>
        <v>Equity</v>
      </c>
      <c r="D1712" s="8" t="s">
        <v>33</v>
      </c>
      <c r="E1712" s="9">
        <v>46121</v>
      </c>
      <c r="F1712" s="8">
        <v>8.6880000000000006</v>
      </c>
    </row>
    <row r="1713" spans="1:6" ht="120" x14ac:dyDescent="0.25">
      <c r="A1713" s="8" t="s">
        <v>5</v>
      </c>
      <c r="B1713" s="8" t="s">
        <v>32</v>
      </c>
      <c r="C1713" s="8" t="str">
        <f>IFERROR(_xlfn.XLOOKUP(TRIM(B1713),Lookup!$B$2:$B$1000,Lookup!$C$2:$C$1000),"")</f>
        <v>Equity</v>
      </c>
      <c r="D1713" s="8" t="s">
        <v>33</v>
      </c>
      <c r="E1713" s="9">
        <v>46122</v>
      </c>
      <c r="F1713" s="8">
        <v>8.8331</v>
      </c>
    </row>
    <row r="1714" spans="1:6" ht="120" x14ac:dyDescent="0.25">
      <c r="A1714" s="8" t="s">
        <v>5</v>
      </c>
      <c r="B1714" s="8" t="s">
        <v>32</v>
      </c>
      <c r="C1714" s="8" t="str">
        <f>IFERROR(_xlfn.XLOOKUP(TRIM(B1714),Lookup!$B$2:$B$1000,Lookup!$C$2:$C$1000),"")</f>
        <v>Equity</v>
      </c>
      <c r="D1714" s="8" t="s">
        <v>33</v>
      </c>
      <c r="E1714" s="9">
        <v>46125</v>
      </c>
      <c r="F1714" s="8">
        <v>8.7697000000000003</v>
      </c>
    </row>
    <row r="1715" spans="1:6" ht="120" x14ac:dyDescent="0.25">
      <c r="A1715" s="8" t="s">
        <v>5</v>
      </c>
      <c r="B1715" s="8" t="s">
        <v>32</v>
      </c>
      <c r="C1715" s="8" t="str">
        <f>IFERROR(_xlfn.XLOOKUP(TRIM(B1715),Lookup!$B$2:$B$1000,Lookup!$C$2:$C$1000),"")</f>
        <v>Equity</v>
      </c>
      <c r="D1715" s="8" t="s">
        <v>33</v>
      </c>
      <c r="E1715" s="9">
        <v>46127</v>
      </c>
      <c r="F1715" s="8">
        <v>8.9519000000000002</v>
      </c>
    </row>
    <row r="1716" spans="1:6" ht="120" x14ac:dyDescent="0.25">
      <c r="A1716" s="8" t="s">
        <v>5</v>
      </c>
      <c r="B1716" s="8" t="s">
        <v>32</v>
      </c>
      <c r="C1716" s="8" t="str">
        <f>IFERROR(_xlfn.XLOOKUP(TRIM(B1716),Lookup!$B$2:$B$1000,Lookup!$C$2:$C$1000),"")</f>
        <v>Equity</v>
      </c>
      <c r="D1716" s="8" t="s">
        <v>33</v>
      </c>
      <c r="E1716" s="9">
        <v>46128</v>
      </c>
      <c r="F1716" s="8">
        <v>8.9937000000000005</v>
      </c>
    </row>
    <row r="1717" spans="1:6" ht="120" x14ac:dyDescent="0.25">
      <c r="A1717" s="8" t="s">
        <v>5</v>
      </c>
      <c r="B1717" s="8" t="s">
        <v>32</v>
      </c>
      <c r="C1717" s="8" t="str">
        <f>IFERROR(_xlfn.XLOOKUP(TRIM(B1717),Lookup!$B$2:$B$1000,Lookup!$C$2:$C$1000),"")</f>
        <v>Equity</v>
      </c>
      <c r="D1717" s="8" t="s">
        <v>33</v>
      </c>
      <c r="E1717" s="9">
        <v>46129</v>
      </c>
      <c r="F1717" s="8">
        <v>9.1484000000000005</v>
      </c>
    </row>
    <row r="1718" spans="1:6" ht="120" x14ac:dyDescent="0.25">
      <c r="A1718" s="8" t="s">
        <v>5</v>
      </c>
      <c r="B1718" s="8" t="s">
        <v>32</v>
      </c>
      <c r="C1718" s="8" t="str">
        <f>IFERROR(_xlfn.XLOOKUP(TRIM(B1718),Lookup!$B$2:$B$1000,Lookup!$C$2:$C$1000),"")</f>
        <v>Equity</v>
      </c>
      <c r="D1718" s="8" t="s">
        <v>33</v>
      </c>
      <c r="E1718" s="9">
        <v>46132</v>
      </c>
      <c r="F1718" s="8">
        <v>9.1315000000000008</v>
      </c>
    </row>
    <row r="1719" spans="1:6" ht="120" x14ac:dyDescent="0.25">
      <c r="A1719" s="8" t="s">
        <v>5</v>
      </c>
      <c r="B1719" s="8" t="s">
        <v>32</v>
      </c>
      <c r="C1719" s="8" t="str">
        <f>IFERROR(_xlfn.XLOOKUP(TRIM(B1719),Lookup!$B$2:$B$1000,Lookup!$C$2:$C$1000),"")</f>
        <v>Equity</v>
      </c>
      <c r="D1719" s="8" t="s">
        <v>33</v>
      </c>
      <c r="E1719" s="9">
        <v>46133</v>
      </c>
      <c r="F1719" s="8">
        <v>9.1514000000000006</v>
      </c>
    </row>
    <row r="1720" spans="1:6" ht="120" x14ac:dyDescent="0.25">
      <c r="A1720" s="8" t="s">
        <v>5</v>
      </c>
      <c r="B1720" s="8" t="s">
        <v>32</v>
      </c>
      <c r="C1720" s="8" t="str">
        <f>IFERROR(_xlfn.XLOOKUP(TRIM(B1720),Lookup!$B$2:$B$1000,Lookup!$C$2:$C$1000),"")</f>
        <v>Equity</v>
      </c>
      <c r="D1720" s="8" t="s">
        <v>33</v>
      </c>
      <c r="E1720" s="9">
        <v>46134</v>
      </c>
      <c r="F1720" s="8">
        <v>9.1550999999999991</v>
      </c>
    </row>
    <row r="1721" spans="1:6" ht="120" x14ac:dyDescent="0.25">
      <c r="A1721" s="8" t="s">
        <v>5</v>
      </c>
      <c r="B1721" s="8" t="s">
        <v>32</v>
      </c>
      <c r="C1721" s="8" t="str">
        <f>IFERROR(_xlfn.XLOOKUP(TRIM(B1721),Lookup!$B$2:$B$1000,Lookup!$C$2:$C$1000),"")</f>
        <v>Equity</v>
      </c>
      <c r="D1721" s="8" t="s">
        <v>33</v>
      </c>
      <c r="E1721" s="9">
        <v>46135</v>
      </c>
      <c r="F1721" s="8">
        <v>9.1243999999999996</v>
      </c>
    </row>
    <row r="1722" spans="1:6" ht="120" x14ac:dyDescent="0.25">
      <c r="A1722" s="8" t="s">
        <v>5</v>
      </c>
      <c r="B1722" s="8" t="s">
        <v>32</v>
      </c>
      <c r="C1722" s="8" t="str">
        <f>IFERROR(_xlfn.XLOOKUP(TRIM(B1722),Lookup!$B$2:$B$1000,Lookup!$C$2:$C$1000),"")</f>
        <v>Equity</v>
      </c>
      <c r="D1722" s="8" t="s">
        <v>33</v>
      </c>
      <c r="E1722" s="9">
        <v>46136</v>
      </c>
      <c r="F1722" s="8">
        <v>9.0454000000000008</v>
      </c>
    </row>
    <row r="1723" spans="1:6" ht="120" x14ac:dyDescent="0.25">
      <c r="A1723" s="8" t="s">
        <v>5</v>
      </c>
      <c r="B1723" s="8" t="s">
        <v>32</v>
      </c>
      <c r="C1723" s="8" t="str">
        <f>IFERROR(_xlfn.XLOOKUP(TRIM(B1723),Lookup!$B$2:$B$1000,Lookup!$C$2:$C$1000),"")</f>
        <v>Equity</v>
      </c>
      <c r="D1723" s="8" t="s">
        <v>33</v>
      </c>
      <c r="E1723" s="9">
        <v>46139</v>
      </c>
      <c r="F1723" s="8">
        <v>9.1540999999999997</v>
      </c>
    </row>
    <row r="1724" spans="1:6" ht="120" x14ac:dyDescent="0.25">
      <c r="A1724" s="8" t="s">
        <v>5</v>
      </c>
      <c r="B1724" s="8" t="s">
        <v>32</v>
      </c>
      <c r="C1724" s="8" t="str">
        <f>IFERROR(_xlfn.XLOOKUP(TRIM(B1724),Lookup!$B$2:$B$1000,Lookup!$C$2:$C$1000),"")</f>
        <v>Equity</v>
      </c>
      <c r="D1724" s="8" t="s">
        <v>33</v>
      </c>
      <c r="E1724" s="9">
        <v>46140</v>
      </c>
      <c r="F1724" s="8">
        <v>9.1843000000000004</v>
      </c>
    </row>
    <row r="1725" spans="1:6" ht="120" x14ac:dyDescent="0.25">
      <c r="A1725" s="8" t="s">
        <v>5</v>
      </c>
      <c r="B1725" s="8" t="s">
        <v>32</v>
      </c>
      <c r="C1725" s="8" t="str">
        <f>IFERROR(_xlfn.XLOOKUP(TRIM(B1725),Lookup!$B$2:$B$1000,Lookup!$C$2:$C$1000),"")</f>
        <v>Equity</v>
      </c>
      <c r="D1725" s="8" t="s">
        <v>33</v>
      </c>
      <c r="E1725" s="9">
        <v>46141</v>
      </c>
      <c r="F1725" s="8">
        <v>9.1988000000000003</v>
      </c>
    </row>
    <row r="1726" spans="1:6" ht="120" x14ac:dyDescent="0.25">
      <c r="A1726" s="8" t="s">
        <v>5</v>
      </c>
      <c r="B1726" s="8" t="s">
        <v>32</v>
      </c>
      <c r="C1726" s="8" t="str">
        <f>IFERROR(_xlfn.XLOOKUP(TRIM(B1726),Lookup!$B$2:$B$1000,Lookup!$C$2:$C$1000),"")</f>
        <v>Equity</v>
      </c>
      <c r="D1726" s="8" t="s">
        <v>33</v>
      </c>
      <c r="E1726" s="9">
        <v>46142</v>
      </c>
      <c r="F1726" s="8">
        <v>9.1189</v>
      </c>
    </row>
    <row r="1727" spans="1:6" ht="120" x14ac:dyDescent="0.25">
      <c r="A1727" s="8" t="s">
        <v>5</v>
      </c>
      <c r="B1727" s="8" t="s">
        <v>32</v>
      </c>
      <c r="C1727" s="8" t="str">
        <f>IFERROR(_xlfn.XLOOKUP(TRIM(B1727),Lookup!$B$2:$B$1000,Lookup!$C$2:$C$1000),"")</f>
        <v>Equity</v>
      </c>
      <c r="D1727" s="8" t="s">
        <v>33</v>
      </c>
      <c r="E1727" s="9">
        <v>46146</v>
      </c>
      <c r="F1727" s="8">
        <v>9.1591000000000005</v>
      </c>
    </row>
    <row r="1728" spans="1:6" ht="120" x14ac:dyDescent="0.25">
      <c r="A1728" s="8" t="s">
        <v>5</v>
      </c>
      <c r="B1728" s="8" t="s">
        <v>32</v>
      </c>
      <c r="C1728" s="8" t="str">
        <f>IFERROR(_xlfn.XLOOKUP(TRIM(B1728),Lookup!$B$2:$B$1000,Lookup!$C$2:$C$1000),"")</f>
        <v>Equity</v>
      </c>
      <c r="D1728" s="8" t="s">
        <v>33</v>
      </c>
      <c r="E1728" s="9">
        <v>46147</v>
      </c>
      <c r="F1728" s="8">
        <v>9.2027999999999999</v>
      </c>
    </row>
    <row r="1729" spans="1:6" ht="120" x14ac:dyDescent="0.25">
      <c r="A1729" s="8" t="s">
        <v>5</v>
      </c>
      <c r="B1729" s="8" t="s">
        <v>32</v>
      </c>
      <c r="C1729" s="8" t="str">
        <f>IFERROR(_xlfn.XLOOKUP(TRIM(B1729),Lookup!$B$2:$B$1000,Lookup!$C$2:$C$1000),"")</f>
        <v>Equity</v>
      </c>
      <c r="D1729" s="8" t="s">
        <v>33</v>
      </c>
      <c r="E1729" s="9">
        <v>46148</v>
      </c>
      <c r="F1729" s="8">
        <v>9.3492999999999995</v>
      </c>
    </row>
    <row r="1730" spans="1:6" ht="120" x14ac:dyDescent="0.25">
      <c r="A1730" s="8" t="s">
        <v>5</v>
      </c>
      <c r="B1730" s="8" t="s">
        <v>32</v>
      </c>
      <c r="C1730" s="8" t="str">
        <f>IFERROR(_xlfn.XLOOKUP(TRIM(B1730),Lookup!$B$2:$B$1000,Lookup!$C$2:$C$1000),"")</f>
        <v>Equity</v>
      </c>
      <c r="D1730" s="8" t="s">
        <v>33</v>
      </c>
      <c r="E1730" s="9">
        <v>46149</v>
      </c>
      <c r="F1730" s="8">
        <v>9.4667999999999992</v>
      </c>
    </row>
    <row r="1731" spans="1:6" ht="120" x14ac:dyDescent="0.25">
      <c r="A1731" s="8" t="s">
        <v>5</v>
      </c>
      <c r="B1731" s="8" t="s">
        <v>32</v>
      </c>
      <c r="C1731" s="8" t="str">
        <f>IFERROR(_xlfn.XLOOKUP(TRIM(B1731),Lookup!$B$2:$B$1000,Lookup!$C$2:$C$1000),"")</f>
        <v>Equity</v>
      </c>
      <c r="D1731" s="8" t="s">
        <v>33</v>
      </c>
      <c r="E1731" s="9">
        <v>46150</v>
      </c>
      <c r="F1731" s="8">
        <v>9.4539000000000009</v>
      </c>
    </row>
    <row r="1732" spans="1:6" ht="120" x14ac:dyDescent="0.25">
      <c r="A1732" s="8" t="s">
        <v>5</v>
      </c>
      <c r="B1732" s="8" t="s">
        <v>32</v>
      </c>
      <c r="C1732" s="8" t="str">
        <f>IFERROR(_xlfn.XLOOKUP(TRIM(B1732),Lookup!$B$2:$B$1000,Lookup!$C$2:$C$1000),"")</f>
        <v>Equity</v>
      </c>
      <c r="D1732" s="8" t="s">
        <v>33</v>
      </c>
      <c r="E1732" s="9">
        <v>46153</v>
      </c>
      <c r="F1732" s="8">
        <v>9.3293999999999997</v>
      </c>
    </row>
    <row r="1733" spans="1:6" ht="120" x14ac:dyDescent="0.25">
      <c r="A1733" s="8" t="s">
        <v>5</v>
      </c>
      <c r="B1733" s="8" t="s">
        <v>32</v>
      </c>
      <c r="C1733" s="8" t="str">
        <f>IFERROR(_xlfn.XLOOKUP(TRIM(B1733),Lookup!$B$2:$B$1000,Lookup!$C$2:$C$1000),"")</f>
        <v>Equity</v>
      </c>
      <c r="D1733" s="8" t="s">
        <v>33</v>
      </c>
      <c r="E1733" s="9">
        <v>46154</v>
      </c>
      <c r="F1733" s="8">
        <v>9.0924999999999994</v>
      </c>
    </row>
    <row r="1734" spans="1:6" ht="120" x14ac:dyDescent="0.25">
      <c r="A1734" s="8" t="s">
        <v>5</v>
      </c>
      <c r="B1734" s="8" t="s">
        <v>32</v>
      </c>
      <c r="C1734" s="8" t="str">
        <f>IFERROR(_xlfn.XLOOKUP(TRIM(B1734),Lookup!$B$2:$B$1000,Lookup!$C$2:$C$1000),"")</f>
        <v>Equity</v>
      </c>
      <c r="D1734" s="8" t="s">
        <v>33</v>
      </c>
      <c r="E1734" s="9">
        <v>46155</v>
      </c>
      <c r="F1734" s="8">
        <v>9.1502999999999997</v>
      </c>
    </row>
    <row r="1735" spans="1:6" ht="120" x14ac:dyDescent="0.25">
      <c r="A1735" s="8" t="s">
        <v>5</v>
      </c>
      <c r="B1735" s="8" t="s">
        <v>32</v>
      </c>
      <c r="C1735" s="8" t="str">
        <f>IFERROR(_xlfn.XLOOKUP(TRIM(B1735),Lookup!$B$2:$B$1000,Lookup!$C$2:$C$1000),"")</f>
        <v>Equity</v>
      </c>
      <c r="D1735" s="8" t="s">
        <v>33</v>
      </c>
      <c r="E1735" s="9">
        <v>46156</v>
      </c>
      <c r="F1735" s="8">
        <v>9.2482000000000006</v>
      </c>
    </row>
    <row r="1736" spans="1:6" ht="120" x14ac:dyDescent="0.25">
      <c r="A1736" s="8" t="s">
        <v>5</v>
      </c>
      <c r="B1736" s="8" t="s">
        <v>32</v>
      </c>
      <c r="C1736" s="8" t="str">
        <f>IFERROR(_xlfn.XLOOKUP(TRIM(B1736),Lookup!$B$2:$B$1000,Lookup!$C$2:$C$1000),"")</f>
        <v>Equity</v>
      </c>
      <c r="D1736" s="8" t="s">
        <v>33</v>
      </c>
      <c r="E1736" s="9">
        <v>46157</v>
      </c>
      <c r="F1736" s="8">
        <v>9.2216000000000005</v>
      </c>
    </row>
    <row r="1737" spans="1:6" ht="120" x14ac:dyDescent="0.25">
      <c r="A1737" s="8" t="s">
        <v>5</v>
      </c>
      <c r="B1737" s="8" t="s">
        <v>32</v>
      </c>
      <c r="C1737" s="8" t="str">
        <f>IFERROR(_xlfn.XLOOKUP(TRIM(B1737),Lookup!$B$2:$B$1000,Lookup!$C$2:$C$1000),"")</f>
        <v>Equity</v>
      </c>
      <c r="D1737" s="8" t="s">
        <v>33</v>
      </c>
      <c r="E1737" s="9">
        <v>46160</v>
      </c>
      <c r="F1737" s="8">
        <v>9.1922999999999995</v>
      </c>
    </row>
    <row r="1738" spans="1:6" ht="120" x14ac:dyDescent="0.25">
      <c r="A1738" s="8" t="s">
        <v>5</v>
      </c>
      <c r="B1738" s="8" t="s">
        <v>32</v>
      </c>
      <c r="C1738" s="8" t="str">
        <f>IFERROR(_xlfn.XLOOKUP(TRIM(B1738),Lookup!$B$2:$B$1000,Lookup!$C$2:$C$1000),"")</f>
        <v>Equity</v>
      </c>
      <c r="D1738" s="8" t="s">
        <v>33</v>
      </c>
      <c r="E1738" s="9">
        <v>46161</v>
      </c>
      <c r="F1738" s="8">
        <v>9.2794000000000008</v>
      </c>
    </row>
    <row r="1739" spans="1:6" ht="120" x14ac:dyDescent="0.25">
      <c r="A1739" s="8" t="s">
        <v>5</v>
      </c>
      <c r="B1739" s="8" t="s">
        <v>32</v>
      </c>
      <c r="C1739" s="8" t="str">
        <f>IFERROR(_xlfn.XLOOKUP(TRIM(B1739),Lookup!$B$2:$B$1000,Lookup!$C$2:$C$1000),"")</f>
        <v>Equity</v>
      </c>
      <c r="D1739" s="8" t="s">
        <v>33</v>
      </c>
      <c r="E1739" s="9">
        <v>46162</v>
      </c>
      <c r="F1739" s="8">
        <v>9.3257999999999992</v>
      </c>
    </row>
    <row r="1740" spans="1:6" ht="120" x14ac:dyDescent="0.25">
      <c r="A1740" s="8" t="s">
        <v>5</v>
      </c>
      <c r="B1740" s="8" t="s">
        <v>32</v>
      </c>
      <c r="C1740" s="8" t="str">
        <f>IFERROR(_xlfn.XLOOKUP(TRIM(B1740),Lookup!$B$2:$B$1000,Lookup!$C$2:$C$1000),"")</f>
        <v>Equity</v>
      </c>
      <c r="D1740" s="8" t="s">
        <v>33</v>
      </c>
      <c r="E1740" s="9">
        <v>46163</v>
      </c>
      <c r="F1740" s="8">
        <v>9.3297000000000008</v>
      </c>
    </row>
    <row r="1741" spans="1:6" ht="120" x14ac:dyDescent="0.25">
      <c r="A1741" s="8" t="s">
        <v>5</v>
      </c>
      <c r="B1741" s="8" t="s">
        <v>32</v>
      </c>
      <c r="C1741" s="8" t="str">
        <f>IFERROR(_xlfn.XLOOKUP(TRIM(B1741),Lookup!$B$2:$B$1000,Lookup!$C$2:$C$1000),"")</f>
        <v>Equity</v>
      </c>
      <c r="D1741" s="8" t="s">
        <v>33</v>
      </c>
      <c r="E1741" s="9">
        <v>46164</v>
      </c>
      <c r="F1741" s="8">
        <v>9.3140999999999998</v>
      </c>
    </row>
    <row r="1742" spans="1:6" ht="120" x14ac:dyDescent="0.25">
      <c r="A1742" s="8" t="s">
        <v>5</v>
      </c>
      <c r="B1742" s="8" t="s">
        <v>32</v>
      </c>
      <c r="C1742" s="8" t="str">
        <f>IFERROR(_xlfn.XLOOKUP(TRIM(B1742),Lookup!$B$2:$B$1000,Lookup!$C$2:$C$1000),"")</f>
        <v>Equity</v>
      </c>
      <c r="D1742" s="8" t="s">
        <v>33</v>
      </c>
      <c r="E1742" s="9">
        <v>46167</v>
      </c>
      <c r="F1742" s="8">
        <v>9.3893000000000004</v>
      </c>
    </row>
    <row r="1743" spans="1:6" ht="120" x14ac:dyDescent="0.25">
      <c r="A1743" s="8" t="s">
        <v>5</v>
      </c>
      <c r="B1743" s="8" t="s">
        <v>32</v>
      </c>
      <c r="C1743" s="8" t="str">
        <f>IFERROR(_xlfn.XLOOKUP(TRIM(B1743),Lookup!$B$2:$B$1000,Lookup!$C$2:$C$1000),"")</f>
        <v>Equity</v>
      </c>
      <c r="D1743" s="8" t="s">
        <v>33</v>
      </c>
      <c r="E1743" s="9">
        <v>46168</v>
      </c>
      <c r="F1743" s="8">
        <v>9.4368999999999996</v>
      </c>
    </row>
    <row r="1744" spans="1:6" ht="120" x14ac:dyDescent="0.25">
      <c r="A1744" s="8" t="s">
        <v>5</v>
      </c>
      <c r="B1744" s="8" t="s">
        <v>32</v>
      </c>
      <c r="C1744" s="8" t="str">
        <f>IFERROR(_xlfn.XLOOKUP(TRIM(B1744),Lookup!$B$2:$B$1000,Lookup!$C$2:$C$1000),"")</f>
        <v>Equity</v>
      </c>
      <c r="D1744" s="8" t="s">
        <v>33</v>
      </c>
      <c r="E1744" s="9">
        <v>46169</v>
      </c>
      <c r="F1744" s="8">
        <v>9.5032999999999994</v>
      </c>
    </row>
    <row r="1745" spans="1:6" ht="120" x14ac:dyDescent="0.25">
      <c r="A1745" s="8" t="s">
        <v>5</v>
      </c>
      <c r="B1745" s="8" t="s">
        <v>32</v>
      </c>
      <c r="C1745" s="8" t="str">
        <f>IFERROR(_xlfn.XLOOKUP(TRIM(B1745),Lookup!$B$2:$B$1000,Lookup!$C$2:$C$1000),"")</f>
        <v>Equity</v>
      </c>
      <c r="D1745" s="8" t="s">
        <v>33</v>
      </c>
      <c r="E1745" s="9">
        <v>46171</v>
      </c>
      <c r="F1745" s="8">
        <v>9.3853000000000009</v>
      </c>
    </row>
    <row r="1746" spans="1:6" ht="120" x14ac:dyDescent="0.25">
      <c r="A1746" s="8" t="s">
        <v>5</v>
      </c>
      <c r="B1746" s="8" t="s">
        <v>32</v>
      </c>
      <c r="C1746" s="8" t="str">
        <f>IFERROR(_xlfn.XLOOKUP(TRIM(B1746),Lookup!$B$2:$B$1000,Lookup!$C$2:$C$1000),"")</f>
        <v>Equity</v>
      </c>
      <c r="D1746" s="8" t="s">
        <v>33</v>
      </c>
      <c r="E1746" s="9">
        <v>46174</v>
      </c>
      <c r="F1746" s="8">
        <v>9.24</v>
      </c>
    </row>
    <row r="1747" spans="1:6" ht="120" x14ac:dyDescent="0.25">
      <c r="A1747" s="8" t="s">
        <v>5</v>
      </c>
      <c r="B1747" s="8" t="s">
        <v>32</v>
      </c>
      <c r="C1747" s="8" t="str">
        <f>IFERROR(_xlfn.XLOOKUP(TRIM(B1747),Lookup!$B$2:$B$1000,Lookup!$C$2:$C$1000),"")</f>
        <v>Equity</v>
      </c>
      <c r="D1747" s="8" t="s">
        <v>33</v>
      </c>
      <c r="E1747" s="9">
        <v>46175</v>
      </c>
      <c r="F1747" s="8">
        <v>9.2712000000000003</v>
      </c>
    </row>
    <row r="1748" spans="1:6" ht="120" x14ac:dyDescent="0.25">
      <c r="A1748" s="8" t="s">
        <v>5</v>
      </c>
      <c r="B1748" s="8" t="s">
        <v>32</v>
      </c>
      <c r="C1748" s="8" t="str">
        <f>IFERROR(_xlfn.XLOOKUP(TRIM(B1748),Lookup!$B$2:$B$1000,Lookup!$C$2:$C$1000),"")</f>
        <v>Equity</v>
      </c>
      <c r="D1748" s="8" t="s">
        <v>33</v>
      </c>
      <c r="E1748" s="9">
        <v>46176</v>
      </c>
      <c r="F1748" s="8">
        <v>9.2294</v>
      </c>
    </row>
    <row r="1749" spans="1:6" ht="120" x14ac:dyDescent="0.25">
      <c r="A1749" s="8" t="s">
        <v>5</v>
      </c>
      <c r="B1749" s="8" t="s">
        <v>32</v>
      </c>
      <c r="C1749" s="8" t="str">
        <f>IFERROR(_xlfn.XLOOKUP(TRIM(B1749),Lookup!$B$2:$B$1000,Lookup!$C$2:$C$1000),"")</f>
        <v>Equity</v>
      </c>
      <c r="D1749" s="8" t="s">
        <v>33</v>
      </c>
      <c r="E1749" s="9">
        <v>46177</v>
      </c>
      <c r="F1749" s="8">
        <v>9.2902000000000005</v>
      </c>
    </row>
    <row r="1750" spans="1:6" ht="120" x14ac:dyDescent="0.25">
      <c r="A1750" s="8" t="s">
        <v>5</v>
      </c>
      <c r="B1750" s="8" t="s">
        <v>32</v>
      </c>
      <c r="C1750" s="8" t="str">
        <f>IFERROR(_xlfn.XLOOKUP(TRIM(B1750),Lookup!$B$2:$B$1000,Lookup!$C$2:$C$1000),"")</f>
        <v>Equity</v>
      </c>
      <c r="D1750" s="8" t="s">
        <v>33</v>
      </c>
      <c r="E1750" s="9">
        <v>46178</v>
      </c>
      <c r="F1750" s="8">
        <v>9.2342999999999993</v>
      </c>
    </row>
    <row r="1751" spans="1:6" ht="120" x14ac:dyDescent="0.25">
      <c r="A1751" s="8" t="s">
        <v>5</v>
      </c>
      <c r="B1751" s="8" t="s">
        <v>32</v>
      </c>
      <c r="C1751" s="8" t="str">
        <f>IFERROR(_xlfn.XLOOKUP(TRIM(B1751),Lookup!$B$2:$B$1000,Lookup!$C$2:$C$1000),"")</f>
        <v>Equity</v>
      </c>
      <c r="D1751" s="8" t="s">
        <v>33</v>
      </c>
      <c r="E1751" s="9">
        <v>46181</v>
      </c>
      <c r="F1751" s="8">
        <v>9.0858000000000008</v>
      </c>
    </row>
    <row r="1752" spans="1:6" ht="120" x14ac:dyDescent="0.25">
      <c r="A1752" s="8" t="s">
        <v>5</v>
      </c>
      <c r="B1752" s="8" t="s">
        <v>32</v>
      </c>
      <c r="C1752" s="8" t="str">
        <f>IFERROR(_xlfn.XLOOKUP(TRIM(B1752),Lookup!$B$2:$B$1000,Lookup!$C$2:$C$1000),"")</f>
        <v>Equity</v>
      </c>
      <c r="D1752" s="8" t="s">
        <v>33</v>
      </c>
      <c r="E1752" s="9">
        <v>46182</v>
      </c>
      <c r="F1752" s="8">
        <v>9.2104999999999997</v>
      </c>
    </row>
    <row r="1753" spans="1:6" ht="120" x14ac:dyDescent="0.25">
      <c r="A1753" s="8" t="s">
        <v>5</v>
      </c>
      <c r="B1753" s="8" t="s">
        <v>32</v>
      </c>
      <c r="C1753" s="8" t="str">
        <f>IFERROR(_xlfn.XLOOKUP(TRIM(B1753),Lookup!$B$2:$B$1000,Lookup!$C$2:$C$1000),"")</f>
        <v>Equity</v>
      </c>
      <c r="D1753" s="8" t="s">
        <v>33</v>
      </c>
      <c r="E1753" s="9">
        <v>46183</v>
      </c>
      <c r="F1753" s="8">
        <v>9.0828000000000007</v>
      </c>
    </row>
    <row r="1754" spans="1:6" ht="120" x14ac:dyDescent="0.25">
      <c r="A1754" s="8" t="s">
        <v>5</v>
      </c>
      <c r="B1754" s="8" t="s">
        <v>32</v>
      </c>
      <c r="C1754" s="8" t="str">
        <f>IFERROR(_xlfn.XLOOKUP(TRIM(B1754),Lookup!$B$2:$B$1000,Lookup!$C$2:$C$1000),"")</f>
        <v>Equity</v>
      </c>
      <c r="D1754" s="8" t="s">
        <v>33</v>
      </c>
      <c r="E1754" s="9">
        <v>46184</v>
      </c>
      <c r="F1754" s="8">
        <v>9.0198999999999998</v>
      </c>
    </row>
    <row r="1755" spans="1:6" ht="120" x14ac:dyDescent="0.25">
      <c r="A1755" s="8" t="s">
        <v>5</v>
      </c>
      <c r="B1755" s="8" t="s">
        <v>32</v>
      </c>
      <c r="C1755" s="8" t="str">
        <f>IFERROR(_xlfn.XLOOKUP(TRIM(B1755),Lookup!$B$2:$B$1000,Lookup!$C$2:$C$1000),"")</f>
        <v>Equity</v>
      </c>
      <c r="D1755" s="8" t="s">
        <v>33</v>
      </c>
      <c r="E1755" s="9">
        <v>46185</v>
      </c>
      <c r="F1755" s="8">
        <v>9.2430000000000003</v>
      </c>
    </row>
    <row r="1756" spans="1:6" ht="120" x14ac:dyDescent="0.25">
      <c r="A1756" s="8" t="s">
        <v>5</v>
      </c>
      <c r="B1756" s="8" t="s">
        <v>32</v>
      </c>
      <c r="C1756" s="8" t="str">
        <f>IFERROR(_xlfn.XLOOKUP(TRIM(B1756),Lookup!$B$2:$B$1000,Lookup!$C$2:$C$1000),"")</f>
        <v>Equity</v>
      </c>
      <c r="D1756" s="8" t="s">
        <v>33</v>
      </c>
      <c r="E1756" s="9">
        <v>46188</v>
      </c>
      <c r="F1756" s="8">
        <v>9.3611000000000004</v>
      </c>
    </row>
    <row r="1757" spans="1:6" ht="120" x14ac:dyDescent="0.25">
      <c r="A1757" s="8" t="s">
        <v>5</v>
      </c>
      <c r="B1757" s="8" t="s">
        <v>32</v>
      </c>
      <c r="C1757" s="8" t="str">
        <f>IFERROR(_xlfn.XLOOKUP(TRIM(B1757),Lookup!$B$2:$B$1000,Lookup!$C$2:$C$1000),"")</f>
        <v>Equity</v>
      </c>
      <c r="D1757" s="8" t="s">
        <v>33</v>
      </c>
      <c r="E1757" s="9">
        <v>46189</v>
      </c>
      <c r="F1757" s="8">
        <v>9.4078999999999997</v>
      </c>
    </row>
    <row r="1758" spans="1:6" ht="120" x14ac:dyDescent="0.25">
      <c r="A1758" s="8" t="s">
        <v>5</v>
      </c>
      <c r="B1758" s="8" t="s">
        <v>32</v>
      </c>
      <c r="C1758" s="8" t="str">
        <f>IFERROR(_xlfn.XLOOKUP(TRIM(B1758),Lookup!$B$2:$B$1000,Lookup!$C$2:$C$1000),"")</f>
        <v>Equity</v>
      </c>
      <c r="D1758" s="8" t="s">
        <v>33</v>
      </c>
      <c r="E1758" s="9">
        <v>46190</v>
      </c>
      <c r="F1758" s="8">
        <v>9.4725000000000001</v>
      </c>
    </row>
    <row r="1759" spans="1:6" ht="120" x14ac:dyDescent="0.25">
      <c r="A1759" s="8" t="s">
        <v>5</v>
      </c>
      <c r="B1759" s="8" t="s">
        <v>32</v>
      </c>
      <c r="C1759" s="8" t="str">
        <f>IFERROR(_xlfn.XLOOKUP(TRIM(B1759),Lookup!$B$2:$B$1000,Lookup!$C$2:$C$1000),"")</f>
        <v>Equity</v>
      </c>
      <c r="D1759" s="8" t="s">
        <v>33</v>
      </c>
      <c r="E1759" s="9">
        <v>46191</v>
      </c>
      <c r="F1759" s="8">
        <v>9.5101999999999993</v>
      </c>
    </row>
    <row r="1760" spans="1:6" ht="120" x14ac:dyDescent="0.25">
      <c r="A1760" s="8" t="s">
        <v>5</v>
      </c>
      <c r="B1760" s="8" t="s">
        <v>32</v>
      </c>
      <c r="C1760" s="8" t="str">
        <f>IFERROR(_xlfn.XLOOKUP(TRIM(B1760),Lookup!$B$2:$B$1000,Lookup!$C$2:$C$1000),"")</f>
        <v>Equity</v>
      </c>
      <c r="D1760" s="8" t="s">
        <v>33</v>
      </c>
      <c r="E1760" s="9">
        <v>46192</v>
      </c>
      <c r="F1760" s="8">
        <v>9.5385000000000009</v>
      </c>
    </row>
    <row r="1761" spans="1:6" ht="120" x14ac:dyDescent="0.25">
      <c r="A1761" s="8" t="s">
        <v>5</v>
      </c>
      <c r="B1761" s="8" t="s">
        <v>32</v>
      </c>
      <c r="C1761" s="8" t="str">
        <f>IFERROR(_xlfn.XLOOKUP(TRIM(B1761),Lookup!$B$2:$B$1000,Lookup!$C$2:$C$1000),"")</f>
        <v>Equity</v>
      </c>
      <c r="D1761" s="8" t="s">
        <v>33</v>
      </c>
      <c r="E1761" s="9">
        <v>46195</v>
      </c>
      <c r="F1761" s="8">
        <v>9.5578000000000003</v>
      </c>
    </row>
    <row r="1762" spans="1:6" ht="120" x14ac:dyDescent="0.25">
      <c r="A1762" s="8" t="s">
        <v>5</v>
      </c>
      <c r="B1762" s="8" t="s">
        <v>32</v>
      </c>
      <c r="C1762" s="8" t="str">
        <f>IFERROR(_xlfn.XLOOKUP(TRIM(B1762),Lookup!$B$2:$B$1000,Lookup!$C$2:$C$1000),"")</f>
        <v>Equity</v>
      </c>
      <c r="D1762" s="8" t="s">
        <v>33</v>
      </c>
      <c r="E1762" s="9">
        <v>46196</v>
      </c>
      <c r="F1762" s="8">
        <v>9.4555000000000007</v>
      </c>
    </row>
    <row r="1763" spans="1:6" ht="120" x14ac:dyDescent="0.25">
      <c r="A1763" s="8" t="s">
        <v>5</v>
      </c>
      <c r="B1763" s="8" t="s">
        <v>32</v>
      </c>
      <c r="C1763" s="8" t="str">
        <f>IFERROR(_xlfn.XLOOKUP(TRIM(B1763),Lookup!$B$2:$B$1000,Lookup!$C$2:$C$1000),"")</f>
        <v>Equity</v>
      </c>
      <c r="D1763" s="8" t="s">
        <v>33</v>
      </c>
      <c r="E1763" s="9">
        <v>46197</v>
      </c>
      <c r="F1763" s="8">
        <v>9.4093</v>
      </c>
    </row>
    <row r="1764" spans="1:6" ht="120" x14ac:dyDescent="0.25">
      <c r="A1764" s="8" t="s">
        <v>5</v>
      </c>
      <c r="B1764" s="8" t="s">
        <v>32</v>
      </c>
      <c r="C1764" s="8" t="str">
        <f>IFERROR(_xlfn.XLOOKUP(TRIM(B1764),Lookup!$B$2:$B$1000,Lookup!$C$2:$C$1000),"")</f>
        <v>Equity</v>
      </c>
      <c r="D1764" s="8" t="s">
        <v>33</v>
      </c>
      <c r="E1764" s="9">
        <v>46198</v>
      </c>
      <c r="F1764" s="8">
        <v>9.3802000000000003</v>
      </c>
    </row>
    <row r="1765" spans="1:6" ht="120" x14ac:dyDescent="0.25">
      <c r="A1765" s="8" t="s">
        <v>5</v>
      </c>
      <c r="B1765" s="8" t="s">
        <v>32</v>
      </c>
      <c r="C1765" s="8" t="str">
        <f>IFERROR(_xlfn.XLOOKUP(TRIM(B1765),Lookup!$B$2:$B$1000,Lookup!$C$2:$C$1000),"")</f>
        <v>Equity</v>
      </c>
      <c r="D1765" s="8" t="s">
        <v>33</v>
      </c>
      <c r="E1765" s="9">
        <v>46202</v>
      </c>
      <c r="F1765" s="8">
        <v>9.3270999999999997</v>
      </c>
    </row>
    <row r="1766" spans="1:6" ht="120" x14ac:dyDescent="0.25">
      <c r="A1766" s="8" t="s">
        <v>5</v>
      </c>
      <c r="B1766" s="8" t="s">
        <v>32</v>
      </c>
      <c r="C1766" s="8" t="str">
        <f>IFERROR(_xlfn.XLOOKUP(TRIM(B1766),Lookup!$B$2:$B$1000,Lookup!$C$2:$C$1000),"")</f>
        <v>Equity</v>
      </c>
      <c r="D1766" s="8" t="s">
        <v>33</v>
      </c>
      <c r="E1766" s="9">
        <v>46203</v>
      </c>
      <c r="F1766" s="8">
        <v>9.3376999999999999</v>
      </c>
    </row>
    <row r="1767" spans="1:6" ht="120" x14ac:dyDescent="0.25">
      <c r="A1767" s="8" t="s">
        <v>5</v>
      </c>
      <c r="B1767" s="8" t="s">
        <v>32</v>
      </c>
      <c r="C1767" s="8" t="str">
        <f>IFERROR(_xlfn.XLOOKUP(TRIM(B1767),Lookup!$B$2:$B$1000,Lookup!$C$2:$C$1000),"")</f>
        <v>Equity</v>
      </c>
      <c r="D1767" s="8" t="s">
        <v>33</v>
      </c>
      <c r="E1767" s="9">
        <v>46204</v>
      </c>
      <c r="F1767" s="8">
        <v>9.3157999999999994</v>
      </c>
    </row>
    <row r="1768" spans="1:6" ht="120" x14ac:dyDescent="0.25">
      <c r="A1768" s="8" t="s">
        <v>5</v>
      </c>
      <c r="B1768" s="8" t="s">
        <v>32</v>
      </c>
      <c r="C1768" s="8" t="str">
        <f>IFERROR(_xlfn.XLOOKUP(TRIM(B1768),Lookup!$B$2:$B$1000,Lookup!$C$2:$C$1000),"")</f>
        <v>Equity</v>
      </c>
      <c r="D1768" s="8" t="s">
        <v>33</v>
      </c>
      <c r="E1768" s="9">
        <v>46205</v>
      </c>
      <c r="F1768" s="8">
        <v>9.3618000000000006</v>
      </c>
    </row>
    <row r="1769" spans="1:6" ht="120" x14ac:dyDescent="0.25">
      <c r="A1769" s="8" t="s">
        <v>5</v>
      </c>
      <c r="B1769" s="8" t="s">
        <v>32</v>
      </c>
      <c r="C1769" s="8" t="str">
        <f>IFERROR(_xlfn.XLOOKUP(TRIM(B1769),Lookup!$B$2:$B$1000,Lookup!$C$2:$C$1000),"")</f>
        <v>Equity</v>
      </c>
      <c r="D1769" s="8" t="s">
        <v>33</v>
      </c>
      <c r="E1769" s="9">
        <v>46206</v>
      </c>
      <c r="F1769" s="8">
        <v>9.3127999999999993</v>
      </c>
    </row>
    <row r="1770" spans="1:6" ht="120" x14ac:dyDescent="0.25">
      <c r="A1770" s="8" t="s">
        <v>5</v>
      </c>
      <c r="B1770" s="8" t="s">
        <v>32</v>
      </c>
      <c r="C1770" s="8" t="str">
        <f>IFERROR(_xlfn.XLOOKUP(TRIM(B1770),Lookup!$B$2:$B$1000,Lookup!$C$2:$C$1000),"")</f>
        <v>Equity</v>
      </c>
      <c r="D1770" s="8" t="s">
        <v>33</v>
      </c>
      <c r="E1770" s="9">
        <v>46209</v>
      </c>
      <c r="F1770" s="8">
        <v>9.3637999999999995</v>
      </c>
    </row>
    <row r="1771" spans="1:6" ht="120" x14ac:dyDescent="0.25">
      <c r="A1771" s="8" t="s">
        <v>5</v>
      </c>
      <c r="B1771" s="8" t="s">
        <v>32</v>
      </c>
      <c r="C1771" s="8" t="str">
        <f>IFERROR(_xlfn.XLOOKUP(TRIM(B1771),Lookup!$B$2:$B$1000,Lookup!$C$2:$C$1000),"")</f>
        <v>Equity</v>
      </c>
      <c r="D1771" s="8" t="s">
        <v>33</v>
      </c>
      <c r="E1771" s="9">
        <v>46210</v>
      </c>
      <c r="F1771" s="8">
        <v>9.2769999999999992</v>
      </c>
    </row>
    <row r="1772" spans="1:6" ht="120" x14ac:dyDescent="0.25">
      <c r="A1772" s="8" t="s">
        <v>5</v>
      </c>
      <c r="B1772" s="8" t="s">
        <v>32</v>
      </c>
      <c r="C1772" s="8" t="str">
        <f>IFERROR(_xlfn.XLOOKUP(TRIM(B1772),Lookup!$B$2:$B$1000,Lookup!$C$2:$C$1000),"")</f>
        <v>Equity</v>
      </c>
      <c r="D1772" s="8" t="s">
        <v>33</v>
      </c>
      <c r="E1772" s="9">
        <v>46211</v>
      </c>
      <c r="F1772" s="8">
        <v>9.1663999999999994</v>
      </c>
    </row>
    <row r="1773" spans="1:6" ht="120" x14ac:dyDescent="0.25">
      <c r="A1773" s="8" t="s">
        <v>5</v>
      </c>
      <c r="B1773" s="8" t="s">
        <v>32</v>
      </c>
      <c r="C1773" s="8" t="str">
        <f>IFERROR(_xlfn.XLOOKUP(TRIM(B1773),Lookup!$B$2:$B$1000,Lookup!$C$2:$C$1000),"")</f>
        <v>Equity</v>
      </c>
      <c r="D1773" s="8" t="s">
        <v>33</v>
      </c>
      <c r="E1773" s="9">
        <v>46212</v>
      </c>
      <c r="F1773" s="8">
        <v>9.2965999999999998</v>
      </c>
    </row>
    <row r="1774" spans="1:6" ht="120" x14ac:dyDescent="0.25">
      <c r="A1774" s="8" t="s">
        <v>5</v>
      </c>
      <c r="B1774" s="8" t="s">
        <v>32</v>
      </c>
      <c r="C1774" s="8" t="str">
        <f>IFERROR(_xlfn.XLOOKUP(TRIM(B1774),Lookup!$B$2:$B$1000,Lookup!$C$2:$C$1000),"")</f>
        <v>Equity</v>
      </c>
      <c r="D1774" s="8" t="s">
        <v>33</v>
      </c>
      <c r="E1774" s="9">
        <v>46213</v>
      </c>
      <c r="F1774" s="8">
        <v>9.3895999999999997</v>
      </c>
    </row>
    <row r="1775" spans="1:6" ht="120" x14ac:dyDescent="0.25">
      <c r="A1775" s="8" t="s">
        <v>5</v>
      </c>
      <c r="B1775" s="8" t="s">
        <v>32</v>
      </c>
      <c r="C1775" s="8" t="str">
        <f>IFERROR(_xlfn.XLOOKUP(TRIM(B1775),Lookup!$B$2:$B$1000,Lookup!$C$2:$C$1000),"")</f>
        <v>Equity</v>
      </c>
      <c r="D1775" s="8" t="s">
        <v>33</v>
      </c>
      <c r="E1775" s="9">
        <v>46216</v>
      </c>
      <c r="F1775" s="8">
        <v>9.3795000000000002</v>
      </c>
    </row>
    <row r="1776" spans="1:6" ht="120" x14ac:dyDescent="0.25">
      <c r="A1776" s="8" t="s">
        <v>5</v>
      </c>
      <c r="B1776" s="8" t="s">
        <v>32</v>
      </c>
      <c r="C1776" s="8" t="str">
        <f>IFERROR(_xlfn.XLOOKUP(TRIM(B1776),Lookup!$B$2:$B$1000,Lookup!$C$2:$C$1000),"")</f>
        <v>Equity</v>
      </c>
      <c r="D1776" s="8" t="s">
        <v>33</v>
      </c>
      <c r="E1776" s="9">
        <v>46217</v>
      </c>
      <c r="F1776" s="8">
        <v>9.3398000000000003</v>
      </c>
    </row>
    <row r="1777" spans="1:6" ht="120" x14ac:dyDescent="0.25">
      <c r="A1777" s="8" t="s">
        <v>5</v>
      </c>
      <c r="B1777" s="8" t="s">
        <v>32</v>
      </c>
      <c r="C1777" s="8" t="str">
        <f>IFERROR(_xlfn.XLOOKUP(TRIM(B1777),Lookup!$B$2:$B$1000,Lookup!$C$2:$C$1000),"")</f>
        <v>Equity</v>
      </c>
      <c r="D1777" s="8" t="s">
        <v>33</v>
      </c>
      <c r="E1777" s="9">
        <v>46218</v>
      </c>
      <c r="F1777" s="8">
        <v>9.3779000000000003</v>
      </c>
    </row>
    <row r="1778" spans="1:6" ht="120" x14ac:dyDescent="0.25">
      <c r="A1778" s="8" t="s">
        <v>5</v>
      </c>
      <c r="B1778" s="8" t="s">
        <v>32</v>
      </c>
      <c r="C1778" s="8" t="str">
        <f>IFERROR(_xlfn.XLOOKUP(TRIM(B1778),Lookup!$B$2:$B$1000,Lookup!$C$2:$C$1000),"")</f>
        <v>Equity</v>
      </c>
      <c r="D1778" s="8" t="s">
        <v>33</v>
      </c>
      <c r="E1778" s="9">
        <v>46219</v>
      </c>
      <c r="F1778" s="8">
        <v>9.3345000000000002</v>
      </c>
    </row>
    <row r="1779" spans="1:6" ht="120" x14ac:dyDescent="0.25">
      <c r="A1779" s="8" t="s">
        <v>5</v>
      </c>
      <c r="B1779" s="8" t="s">
        <v>32</v>
      </c>
      <c r="C1779" s="8" t="str">
        <f>IFERROR(_xlfn.XLOOKUP(TRIM(B1779),Lookup!$B$2:$B$1000,Lookup!$C$2:$C$1000),"")</f>
        <v>Equity</v>
      </c>
      <c r="D1779" s="8" t="s">
        <v>33</v>
      </c>
      <c r="E1779" s="9">
        <v>46220</v>
      </c>
      <c r="F1779" s="8">
        <v>9.2911000000000001</v>
      </c>
    </row>
    <row r="1780" spans="1:6" ht="120" x14ac:dyDescent="0.25">
      <c r="A1780" s="8" t="s">
        <v>5</v>
      </c>
      <c r="B1780" s="8" t="s">
        <v>32</v>
      </c>
      <c r="C1780" s="8" t="str">
        <f>IFERROR(_xlfn.XLOOKUP(TRIM(B1780),Lookup!$B$2:$B$1000,Lookup!$C$2:$C$1000),"")</f>
        <v>Equity</v>
      </c>
      <c r="D1780" s="8" t="s">
        <v>33</v>
      </c>
      <c r="E1780" s="9">
        <v>46223</v>
      </c>
      <c r="F1780" s="8">
        <v>9.3636999999999997</v>
      </c>
    </row>
    <row r="1781" spans="1:6" ht="120" x14ac:dyDescent="0.25">
      <c r="A1781" s="8" t="s">
        <v>5</v>
      </c>
      <c r="B1781" s="8" t="s">
        <v>32</v>
      </c>
      <c r="C1781" s="8" t="str">
        <f>IFERROR(_xlfn.XLOOKUP(TRIM(B1781),Lookup!$B$2:$B$1000,Lookup!$C$2:$C$1000),"")</f>
        <v>Equity</v>
      </c>
      <c r="D1781" s="8" t="s">
        <v>33</v>
      </c>
      <c r="E1781" s="9">
        <v>46224</v>
      </c>
      <c r="F1781" s="8">
        <v>9.4161000000000001</v>
      </c>
    </row>
    <row r="1782" spans="1:6" ht="120" x14ac:dyDescent="0.25">
      <c r="A1782" s="8" t="s">
        <v>5</v>
      </c>
      <c r="B1782" s="8" t="s">
        <v>32</v>
      </c>
      <c r="C1782" s="8" t="str">
        <f>IFERROR(_xlfn.XLOOKUP(TRIM(B1782),Lookup!$B$2:$B$1000,Lookup!$C$2:$C$1000),"")</f>
        <v>Equity</v>
      </c>
      <c r="D1782" s="8" t="s">
        <v>33</v>
      </c>
      <c r="E1782" s="9">
        <v>46225</v>
      </c>
      <c r="F1782" s="8">
        <v>9.3123000000000005</v>
      </c>
    </row>
    <row r="1783" spans="1:6" ht="120" x14ac:dyDescent="0.25">
      <c r="A1783" s="8" t="s">
        <v>5</v>
      </c>
      <c r="B1783" s="8" t="s">
        <v>32</v>
      </c>
      <c r="C1783" s="8" t="str">
        <f>IFERROR(_xlfn.XLOOKUP(TRIM(B1783),Lookup!$B$2:$B$1000,Lookup!$C$2:$C$1000),"")</f>
        <v>Equity</v>
      </c>
      <c r="D1783" s="8" t="s">
        <v>33</v>
      </c>
      <c r="E1783" s="9">
        <v>46226</v>
      </c>
      <c r="F1783" s="8">
        <v>9.2268000000000008</v>
      </c>
    </row>
    <row r="1784" spans="1:6" ht="120" x14ac:dyDescent="0.25">
      <c r="A1784" s="8" t="s">
        <v>5</v>
      </c>
      <c r="B1784" s="8" t="s">
        <v>32</v>
      </c>
      <c r="C1784" s="8" t="str">
        <f>IFERROR(_xlfn.XLOOKUP(TRIM(B1784),Lookup!$B$2:$B$1000,Lookup!$C$2:$C$1000),"")</f>
        <v>Equity</v>
      </c>
      <c r="D1784" s="8" t="s">
        <v>33</v>
      </c>
      <c r="E1784" s="9">
        <v>46227</v>
      </c>
      <c r="F1784" s="8">
        <v>9.2188999999999997</v>
      </c>
    </row>
    <row r="1785" spans="1:6" ht="120" x14ac:dyDescent="0.25">
      <c r="A1785" s="8" t="s">
        <v>5</v>
      </c>
      <c r="B1785" s="8" t="s">
        <v>32</v>
      </c>
      <c r="C1785" s="8" t="str">
        <f>IFERROR(_xlfn.XLOOKUP(TRIM(B1785),Lookup!$B$2:$B$1000,Lookup!$C$2:$C$1000),"")</f>
        <v>Equity</v>
      </c>
      <c r="D1785" s="8" t="s">
        <v>33</v>
      </c>
      <c r="E1785" s="9">
        <v>46230</v>
      </c>
      <c r="F1785" s="8">
        <v>9.3340999999999994</v>
      </c>
    </row>
    <row r="1786" spans="1:6" ht="120" x14ac:dyDescent="0.25">
      <c r="A1786" s="8" t="s">
        <v>5</v>
      </c>
      <c r="B1786" s="8" t="s">
        <v>32</v>
      </c>
      <c r="C1786" s="8" t="str">
        <f>IFERROR(_xlfn.XLOOKUP(TRIM(B1786),Lookup!$B$2:$B$1000,Lookup!$C$2:$C$1000),"")</f>
        <v>Equity</v>
      </c>
      <c r="D1786" s="8" t="s">
        <v>33</v>
      </c>
      <c r="E1786" s="9">
        <v>46231</v>
      </c>
      <c r="F1786" s="8">
        <v>9.3118999999999996</v>
      </c>
    </row>
    <row r="1787" spans="1:6" ht="120" x14ac:dyDescent="0.25">
      <c r="A1787" s="8" t="s">
        <v>5</v>
      </c>
      <c r="B1787" s="8" t="s">
        <v>32</v>
      </c>
      <c r="C1787" s="8" t="str">
        <f>IFERROR(_xlfn.XLOOKUP(TRIM(B1787),Lookup!$B$2:$B$1000,Lookup!$C$2:$C$1000),"")</f>
        <v>Equity</v>
      </c>
      <c r="D1787" s="8" t="s">
        <v>33</v>
      </c>
      <c r="E1787" s="9">
        <v>46232</v>
      </c>
      <c r="F1787" s="8">
        <v>9.3964999999999996</v>
      </c>
    </row>
    <row r="1788" spans="1:6" ht="120" x14ac:dyDescent="0.25">
      <c r="A1788" s="8" t="s">
        <v>5</v>
      </c>
      <c r="B1788" s="8" t="s">
        <v>32</v>
      </c>
      <c r="C1788" s="8" t="str">
        <f>IFERROR(_xlfn.XLOOKUP(TRIM(B1788),Lookup!$B$2:$B$1000,Lookup!$C$2:$C$1000),"")</f>
        <v>Equity</v>
      </c>
      <c r="D1788" s="8" t="s">
        <v>33</v>
      </c>
      <c r="E1788" s="9">
        <v>46233</v>
      </c>
      <c r="F1788" s="8">
        <v>9.3511000000000006</v>
      </c>
    </row>
    <row r="1789" spans="1:6" ht="120" x14ac:dyDescent="0.25">
      <c r="A1789" s="8" t="s">
        <v>5</v>
      </c>
      <c r="B1789" s="8" t="s">
        <v>32</v>
      </c>
      <c r="C1789" s="8" t="str">
        <f>IFERROR(_xlfn.XLOOKUP(TRIM(B1789),Lookup!$B$2:$B$1000,Lookup!$C$2:$C$1000),"")</f>
        <v>Equity</v>
      </c>
      <c r="D1789" s="8" t="s">
        <v>33</v>
      </c>
      <c r="E1789" s="9">
        <v>46234</v>
      </c>
      <c r="F1789" s="8">
        <v>9.4129000000000005</v>
      </c>
    </row>
    <row r="1790" spans="1:6" ht="60" x14ac:dyDescent="0.25">
      <c r="A1790" s="8" t="s">
        <v>5</v>
      </c>
      <c r="B1790" s="8" t="s">
        <v>34</v>
      </c>
      <c r="C1790" s="8" t="str">
        <f>IFERROR(_xlfn.XLOOKUP(TRIM(B1790),Lookup!$B$2:$B$1000,Lookup!$C$2:$C$1000),"")</f>
        <v>Equity</v>
      </c>
      <c r="D1790" s="8" t="s">
        <v>35</v>
      </c>
      <c r="E1790" s="9">
        <v>45869</v>
      </c>
      <c r="F1790" s="8">
        <v>55.338999999999999</v>
      </c>
    </row>
    <row r="1791" spans="1:6" ht="60" x14ac:dyDescent="0.25">
      <c r="A1791" s="8" t="s">
        <v>5</v>
      </c>
      <c r="B1791" s="8" t="s">
        <v>34</v>
      </c>
      <c r="C1791" s="8" t="str">
        <f>IFERROR(_xlfn.XLOOKUP(TRIM(B1791),Lookup!$B$2:$B$1000,Lookup!$C$2:$C$1000),"")</f>
        <v>Equity</v>
      </c>
      <c r="D1791" s="8" t="s">
        <v>35</v>
      </c>
      <c r="E1791" s="9">
        <v>45876</v>
      </c>
      <c r="F1791" s="8">
        <v>54.7712</v>
      </c>
    </row>
    <row r="1792" spans="1:6" ht="60" x14ac:dyDescent="0.25">
      <c r="A1792" s="8" t="s">
        <v>5</v>
      </c>
      <c r="B1792" s="8" t="s">
        <v>34</v>
      </c>
      <c r="C1792" s="8" t="str">
        <f>IFERROR(_xlfn.XLOOKUP(TRIM(B1792),Lookup!$B$2:$B$1000,Lookup!$C$2:$C$1000),"")</f>
        <v>Equity</v>
      </c>
      <c r="D1792" s="8" t="s">
        <v>35</v>
      </c>
      <c r="E1792" s="9">
        <v>45883</v>
      </c>
      <c r="F1792" s="8">
        <v>54.871299999999998</v>
      </c>
    </row>
    <row r="1793" spans="1:6" ht="60" x14ac:dyDescent="0.25">
      <c r="A1793" s="8" t="s">
        <v>5</v>
      </c>
      <c r="B1793" s="8" t="s">
        <v>34</v>
      </c>
      <c r="C1793" s="8" t="str">
        <f>IFERROR(_xlfn.XLOOKUP(TRIM(B1793),Lookup!$B$2:$B$1000,Lookup!$C$2:$C$1000),"")</f>
        <v>Equity</v>
      </c>
      <c r="D1793" s="8" t="s">
        <v>35</v>
      </c>
      <c r="E1793" s="9">
        <v>45891</v>
      </c>
      <c r="F1793" s="8">
        <v>55.755000000000003</v>
      </c>
    </row>
    <row r="1794" spans="1:6" ht="60" x14ac:dyDescent="0.25">
      <c r="A1794" s="8" t="s">
        <v>5</v>
      </c>
      <c r="B1794" s="8" t="s">
        <v>34</v>
      </c>
      <c r="C1794" s="8" t="str">
        <f>IFERROR(_xlfn.XLOOKUP(TRIM(B1794),Lookup!$B$2:$B$1000,Lookup!$C$2:$C$1000),"")</f>
        <v>Equity</v>
      </c>
      <c r="D1794" s="8" t="s">
        <v>35</v>
      </c>
      <c r="E1794" s="9">
        <v>45901</v>
      </c>
      <c r="F1794" s="8">
        <v>55.164700000000003</v>
      </c>
    </row>
    <row r="1795" spans="1:6" ht="60" x14ac:dyDescent="0.25">
      <c r="A1795" s="8" t="s">
        <v>5</v>
      </c>
      <c r="B1795" s="8" t="s">
        <v>34</v>
      </c>
      <c r="C1795" s="8" t="str">
        <f>IFERROR(_xlfn.XLOOKUP(TRIM(B1795),Lookup!$B$2:$B$1000,Lookup!$C$2:$C$1000),"")</f>
        <v>Equity</v>
      </c>
      <c r="D1795" s="8" t="s">
        <v>35</v>
      </c>
      <c r="E1795" s="9">
        <v>45908</v>
      </c>
      <c r="F1795" s="8">
        <v>55.6312</v>
      </c>
    </row>
    <row r="1796" spans="1:6" ht="60" x14ac:dyDescent="0.25">
      <c r="A1796" s="8" t="s">
        <v>5</v>
      </c>
      <c r="B1796" s="8" t="s">
        <v>34</v>
      </c>
      <c r="C1796" s="8" t="str">
        <f>IFERROR(_xlfn.XLOOKUP(TRIM(B1796),Lookup!$B$2:$B$1000,Lookup!$C$2:$C$1000),"")</f>
        <v>Equity</v>
      </c>
      <c r="D1796" s="8" t="s">
        <v>35</v>
      </c>
      <c r="E1796" s="9">
        <v>45915</v>
      </c>
      <c r="F1796" s="8">
        <v>56.384</v>
      </c>
    </row>
    <row r="1797" spans="1:6" ht="60" x14ac:dyDescent="0.25">
      <c r="A1797" s="8" t="s">
        <v>5</v>
      </c>
      <c r="B1797" s="8" t="s">
        <v>34</v>
      </c>
      <c r="C1797" s="8" t="str">
        <f>IFERROR(_xlfn.XLOOKUP(TRIM(B1797),Lookup!$B$2:$B$1000,Lookup!$C$2:$C$1000),"")</f>
        <v>Equity</v>
      </c>
      <c r="D1797" s="8" t="s">
        <v>35</v>
      </c>
      <c r="E1797" s="9">
        <v>45922</v>
      </c>
      <c r="F1797" s="8">
        <v>56.7455</v>
      </c>
    </row>
    <row r="1798" spans="1:6" ht="60" x14ac:dyDescent="0.25">
      <c r="A1798" s="8" t="s">
        <v>5</v>
      </c>
      <c r="B1798" s="8" t="s">
        <v>34</v>
      </c>
      <c r="C1798" s="8" t="str">
        <f>IFERROR(_xlfn.XLOOKUP(TRIM(B1798),Lookup!$B$2:$B$1000,Lookup!$C$2:$C$1000),"")</f>
        <v>Equity</v>
      </c>
      <c r="D1798" s="8" t="s">
        <v>35</v>
      </c>
      <c r="E1798" s="9">
        <v>45929</v>
      </c>
      <c r="F1798" s="8">
        <v>55.288400000000003</v>
      </c>
    </row>
    <row r="1799" spans="1:6" ht="60" x14ac:dyDescent="0.25">
      <c r="A1799" s="8" t="s">
        <v>5</v>
      </c>
      <c r="B1799" s="8" t="s">
        <v>34</v>
      </c>
      <c r="C1799" s="8" t="str">
        <f>IFERROR(_xlfn.XLOOKUP(TRIM(B1799),Lookup!$B$2:$B$1000,Lookup!$C$2:$C$1000),"")</f>
        <v>Equity</v>
      </c>
      <c r="D1799" s="8" t="s">
        <v>35</v>
      </c>
      <c r="E1799" s="9">
        <v>45937</v>
      </c>
      <c r="F1799" s="8">
        <v>56.3611</v>
      </c>
    </row>
    <row r="1800" spans="1:6" ht="60" x14ac:dyDescent="0.25">
      <c r="A1800" s="8" t="s">
        <v>5</v>
      </c>
      <c r="B1800" s="8" t="s">
        <v>34</v>
      </c>
      <c r="C1800" s="8" t="str">
        <f>IFERROR(_xlfn.XLOOKUP(TRIM(B1800),Lookup!$B$2:$B$1000,Lookup!$C$2:$C$1000),"")</f>
        <v>Equity</v>
      </c>
      <c r="D1800" s="8" t="s">
        <v>35</v>
      </c>
      <c r="E1800" s="9">
        <v>45944</v>
      </c>
      <c r="F1800" s="8">
        <v>56.348300000000002</v>
      </c>
    </row>
    <row r="1801" spans="1:6" ht="60" x14ac:dyDescent="0.25">
      <c r="A1801" s="8" t="s">
        <v>5</v>
      </c>
      <c r="B1801" s="8" t="s">
        <v>34</v>
      </c>
      <c r="C1801" s="8" t="str">
        <f>IFERROR(_xlfn.XLOOKUP(TRIM(B1801),Lookup!$B$2:$B$1000,Lookup!$C$2:$C$1000),"")</f>
        <v>Equity</v>
      </c>
      <c r="D1801" s="8" t="s">
        <v>35</v>
      </c>
      <c r="E1801" s="9">
        <v>45953</v>
      </c>
      <c r="F1801" s="8">
        <v>57.719799999999999</v>
      </c>
    </row>
    <row r="1802" spans="1:6" ht="60" x14ac:dyDescent="0.25">
      <c r="A1802" s="8" t="s">
        <v>5</v>
      </c>
      <c r="B1802" s="8" t="s">
        <v>34</v>
      </c>
      <c r="C1802" s="8" t="str">
        <f>IFERROR(_xlfn.XLOOKUP(TRIM(B1802),Lookup!$B$2:$B$1000,Lookup!$C$2:$C$1000),"")</f>
        <v>Equity</v>
      </c>
      <c r="D1802" s="8" t="s">
        <v>35</v>
      </c>
      <c r="E1802" s="9">
        <v>45960</v>
      </c>
      <c r="F1802" s="8">
        <v>57.8566</v>
      </c>
    </row>
    <row r="1803" spans="1:6" ht="60" x14ac:dyDescent="0.25">
      <c r="A1803" s="8" t="s">
        <v>5</v>
      </c>
      <c r="B1803" s="8" t="s">
        <v>34</v>
      </c>
      <c r="C1803" s="8" t="str">
        <f>IFERROR(_xlfn.XLOOKUP(TRIM(B1803),Lookup!$B$2:$B$1000,Lookup!$C$2:$C$1000),"")</f>
        <v>Equity</v>
      </c>
      <c r="D1803" s="8" t="s">
        <v>35</v>
      </c>
      <c r="E1803" s="9">
        <v>45968</v>
      </c>
      <c r="F1803" s="8">
        <v>56.986699999999999</v>
      </c>
    </row>
    <row r="1804" spans="1:6" ht="60" x14ac:dyDescent="0.25">
      <c r="A1804" s="8" t="s">
        <v>5</v>
      </c>
      <c r="B1804" s="8" t="s">
        <v>34</v>
      </c>
      <c r="C1804" s="8" t="str">
        <f>IFERROR(_xlfn.XLOOKUP(TRIM(B1804),Lookup!$B$2:$B$1000,Lookup!$C$2:$C$1000),"")</f>
        <v>Equity</v>
      </c>
      <c r="D1804" s="8" t="s">
        <v>35</v>
      </c>
      <c r="E1804" s="9">
        <v>45975</v>
      </c>
      <c r="F1804" s="8">
        <v>57.723999999999997</v>
      </c>
    </row>
    <row r="1805" spans="1:6" ht="60" x14ac:dyDescent="0.25">
      <c r="A1805" s="8" t="s">
        <v>5</v>
      </c>
      <c r="B1805" s="8" t="s">
        <v>34</v>
      </c>
      <c r="C1805" s="8" t="str">
        <f>IFERROR(_xlfn.XLOOKUP(TRIM(B1805),Lookup!$B$2:$B$1000,Lookup!$C$2:$C$1000),"")</f>
        <v>Equity</v>
      </c>
      <c r="D1805" s="8" t="s">
        <v>35</v>
      </c>
      <c r="E1805" s="9">
        <v>45982</v>
      </c>
      <c r="F1805" s="8">
        <v>57.819499999999998</v>
      </c>
    </row>
    <row r="1806" spans="1:6" ht="60" x14ac:dyDescent="0.25">
      <c r="A1806" s="8" t="s">
        <v>5</v>
      </c>
      <c r="B1806" s="8" t="s">
        <v>34</v>
      </c>
      <c r="C1806" s="8" t="str">
        <f>IFERROR(_xlfn.XLOOKUP(TRIM(B1806),Lookup!$B$2:$B$1000,Lookup!$C$2:$C$1000),"")</f>
        <v>Equity</v>
      </c>
      <c r="D1806" s="8" t="s">
        <v>35</v>
      </c>
      <c r="E1806" s="9">
        <v>45989</v>
      </c>
      <c r="F1806" s="8">
        <v>58.218499999999999</v>
      </c>
    </row>
    <row r="1807" spans="1:6" ht="60" x14ac:dyDescent="0.25">
      <c r="A1807" s="8" t="s">
        <v>5</v>
      </c>
      <c r="B1807" s="8" t="s">
        <v>34</v>
      </c>
      <c r="C1807" s="8" t="str">
        <f>IFERROR(_xlfn.XLOOKUP(TRIM(B1807),Lookup!$B$2:$B$1000,Lookup!$C$2:$C$1000),"")</f>
        <v>Equity</v>
      </c>
      <c r="D1807" s="8" t="s">
        <v>35</v>
      </c>
      <c r="E1807" s="9">
        <v>45996</v>
      </c>
      <c r="F1807" s="8">
        <v>57.933500000000002</v>
      </c>
    </row>
    <row r="1808" spans="1:6" ht="60" x14ac:dyDescent="0.25">
      <c r="A1808" s="8" t="s">
        <v>5</v>
      </c>
      <c r="B1808" s="8" t="s">
        <v>34</v>
      </c>
      <c r="C1808" s="8" t="str">
        <f>IFERROR(_xlfn.XLOOKUP(TRIM(B1808),Lookup!$B$2:$B$1000,Lookup!$C$2:$C$1000),"")</f>
        <v>Equity</v>
      </c>
      <c r="D1808" s="8" t="s">
        <v>35</v>
      </c>
      <c r="E1808" s="9">
        <v>46003</v>
      </c>
      <c r="F1808" s="8">
        <v>57.749499999999998</v>
      </c>
    </row>
    <row r="1809" spans="1:6" ht="60" x14ac:dyDescent="0.25">
      <c r="A1809" s="8" t="s">
        <v>5</v>
      </c>
      <c r="B1809" s="8" t="s">
        <v>34</v>
      </c>
      <c r="C1809" s="8" t="str">
        <f>IFERROR(_xlfn.XLOOKUP(TRIM(B1809),Lookup!$B$2:$B$1000,Lookup!$C$2:$C$1000),"")</f>
        <v>Equity</v>
      </c>
      <c r="D1809" s="8" t="s">
        <v>35</v>
      </c>
      <c r="E1809" s="9">
        <v>46010</v>
      </c>
      <c r="F1809" s="8">
        <v>57.581499999999998</v>
      </c>
    </row>
    <row r="1810" spans="1:6" ht="60" x14ac:dyDescent="0.25">
      <c r="A1810" s="8" t="s">
        <v>5</v>
      </c>
      <c r="B1810" s="8" t="s">
        <v>34</v>
      </c>
      <c r="C1810" s="8" t="str">
        <f>IFERROR(_xlfn.XLOOKUP(TRIM(B1810),Lookup!$B$2:$B$1000,Lookup!$C$2:$C$1000),"")</f>
        <v>Equity</v>
      </c>
      <c r="D1810" s="8" t="s">
        <v>35</v>
      </c>
      <c r="E1810" s="9">
        <v>46020</v>
      </c>
      <c r="F1810" s="8">
        <v>57.377499999999998</v>
      </c>
    </row>
    <row r="1811" spans="1:6" ht="60" x14ac:dyDescent="0.25">
      <c r="A1811" s="8" t="s">
        <v>5</v>
      </c>
      <c r="B1811" s="8" t="s">
        <v>34</v>
      </c>
      <c r="C1811" s="8" t="str">
        <f>IFERROR(_xlfn.XLOOKUP(TRIM(B1811),Lookup!$B$2:$B$1000,Lookup!$C$2:$C$1000),"")</f>
        <v>Equity</v>
      </c>
      <c r="D1811" s="8" t="s">
        <v>35</v>
      </c>
      <c r="E1811" s="9">
        <v>46027</v>
      </c>
      <c r="F1811" s="8">
        <v>58.181699999999999</v>
      </c>
    </row>
    <row r="1812" spans="1:6" ht="60" x14ac:dyDescent="0.25">
      <c r="A1812" s="8" t="s">
        <v>5</v>
      </c>
      <c r="B1812" s="8" t="s">
        <v>34</v>
      </c>
      <c r="C1812" s="8" t="str">
        <f>IFERROR(_xlfn.XLOOKUP(TRIM(B1812),Lookup!$B$2:$B$1000,Lookup!$C$2:$C$1000),"")</f>
        <v>Equity</v>
      </c>
      <c r="D1812" s="8" t="s">
        <v>35</v>
      </c>
      <c r="E1812" s="9">
        <v>46034</v>
      </c>
      <c r="F1812" s="8">
        <v>56.811900000000001</v>
      </c>
    </row>
    <row r="1813" spans="1:6" ht="60" x14ac:dyDescent="0.25">
      <c r="A1813" s="8" t="s">
        <v>5</v>
      </c>
      <c r="B1813" s="8" t="s">
        <v>34</v>
      </c>
      <c r="C1813" s="8" t="str">
        <f>IFERROR(_xlfn.XLOOKUP(TRIM(B1813),Lookup!$B$2:$B$1000,Lookup!$C$2:$C$1000),"")</f>
        <v>Equity</v>
      </c>
      <c r="D1813" s="8" t="s">
        <v>35</v>
      </c>
      <c r="E1813" s="9">
        <v>46042</v>
      </c>
      <c r="F1813" s="8">
        <v>55.546900000000001</v>
      </c>
    </row>
    <row r="1814" spans="1:6" ht="60" x14ac:dyDescent="0.25">
      <c r="A1814" s="8" t="s">
        <v>5</v>
      </c>
      <c r="B1814" s="8" t="s">
        <v>34</v>
      </c>
      <c r="C1814" s="8" t="str">
        <f>IFERROR(_xlfn.XLOOKUP(TRIM(B1814),Lookup!$B$2:$B$1000,Lookup!$C$2:$C$1000),"")</f>
        <v>Equity</v>
      </c>
      <c r="D1814" s="8" t="s">
        <v>35</v>
      </c>
      <c r="E1814" s="9">
        <v>46050</v>
      </c>
      <c r="F1814" s="8">
        <v>55.657800000000002</v>
      </c>
    </row>
    <row r="1815" spans="1:6" ht="60" x14ac:dyDescent="0.25">
      <c r="A1815" s="8" t="s">
        <v>5</v>
      </c>
      <c r="B1815" s="8" t="s">
        <v>34</v>
      </c>
      <c r="C1815" s="8" t="str">
        <f>IFERROR(_xlfn.XLOOKUP(TRIM(B1815),Lookup!$B$2:$B$1000,Lookup!$C$2:$C$1000),"")</f>
        <v>Equity</v>
      </c>
      <c r="D1815" s="8" t="s">
        <v>35</v>
      </c>
      <c r="E1815" s="9">
        <v>46056</v>
      </c>
      <c r="F1815" s="8">
        <v>56.696800000000003</v>
      </c>
    </row>
    <row r="1816" spans="1:6" ht="60" x14ac:dyDescent="0.25">
      <c r="A1816" s="8" t="s">
        <v>5</v>
      </c>
      <c r="B1816" s="8" t="s">
        <v>34</v>
      </c>
      <c r="C1816" s="8" t="str">
        <f>IFERROR(_xlfn.XLOOKUP(TRIM(B1816),Lookup!$B$2:$B$1000,Lookup!$C$2:$C$1000),"")</f>
        <v>Equity</v>
      </c>
      <c r="D1816" s="8" t="s">
        <v>35</v>
      </c>
      <c r="E1816" s="9">
        <v>46063</v>
      </c>
      <c r="F1816" s="8">
        <v>57.491100000000003</v>
      </c>
    </row>
    <row r="1817" spans="1:6" ht="60" x14ac:dyDescent="0.25">
      <c r="A1817" s="8" t="s">
        <v>5</v>
      </c>
      <c r="B1817" s="8" t="s">
        <v>34</v>
      </c>
      <c r="C1817" s="8" t="str">
        <f>IFERROR(_xlfn.XLOOKUP(TRIM(B1817),Lookup!$B$2:$B$1000,Lookup!$C$2:$C$1000),"")</f>
        <v>Equity</v>
      </c>
      <c r="D1817" s="8" t="s">
        <v>35</v>
      </c>
      <c r="E1817" s="9">
        <v>46070</v>
      </c>
      <c r="F1817" s="8">
        <v>57.058</v>
      </c>
    </row>
    <row r="1818" spans="1:6" ht="60" x14ac:dyDescent="0.25">
      <c r="A1818" s="8" t="s">
        <v>5</v>
      </c>
      <c r="B1818" s="8" t="s">
        <v>34</v>
      </c>
      <c r="C1818" s="8" t="str">
        <f>IFERROR(_xlfn.XLOOKUP(TRIM(B1818),Lookup!$B$2:$B$1000,Lookup!$C$2:$C$1000),"")</f>
        <v>Equity</v>
      </c>
      <c r="D1818" s="8" t="s">
        <v>35</v>
      </c>
      <c r="E1818" s="9">
        <v>46077</v>
      </c>
      <c r="F1818" s="8">
        <v>56.429099999999998</v>
      </c>
    </row>
    <row r="1819" spans="1:6" ht="60" x14ac:dyDescent="0.25">
      <c r="A1819" s="8" t="s">
        <v>5</v>
      </c>
      <c r="B1819" s="8" t="s">
        <v>34</v>
      </c>
      <c r="C1819" s="8" t="str">
        <f>IFERROR(_xlfn.XLOOKUP(TRIM(B1819),Lookup!$B$2:$B$1000,Lookup!$C$2:$C$1000),"")</f>
        <v>Equity</v>
      </c>
      <c r="D1819" s="8" t="s">
        <v>35</v>
      </c>
      <c r="E1819" s="9">
        <v>46085</v>
      </c>
      <c r="F1819" s="8">
        <v>54.186500000000002</v>
      </c>
    </row>
    <row r="1820" spans="1:6" ht="60" x14ac:dyDescent="0.25">
      <c r="A1820" s="8" t="s">
        <v>5</v>
      </c>
      <c r="B1820" s="8" t="s">
        <v>34</v>
      </c>
      <c r="C1820" s="8" t="str">
        <f>IFERROR(_xlfn.XLOOKUP(TRIM(B1820),Lookup!$B$2:$B$1000,Lookup!$C$2:$C$1000),"")</f>
        <v>Equity</v>
      </c>
      <c r="D1820" s="8" t="s">
        <v>35</v>
      </c>
      <c r="E1820" s="9">
        <v>46092</v>
      </c>
      <c r="F1820" s="8">
        <v>53.056699999999999</v>
      </c>
    </row>
    <row r="1821" spans="1:6" ht="60" x14ac:dyDescent="0.25">
      <c r="A1821" s="8" t="s">
        <v>5</v>
      </c>
      <c r="B1821" s="8" t="s">
        <v>34</v>
      </c>
      <c r="C1821" s="8" t="str">
        <f>IFERROR(_xlfn.XLOOKUP(TRIM(B1821),Lookup!$B$2:$B$1000,Lookup!$C$2:$C$1000),"")</f>
        <v>Equity</v>
      </c>
      <c r="D1821" s="8" t="s">
        <v>35</v>
      </c>
      <c r="E1821" s="9">
        <v>46099</v>
      </c>
      <c r="F1821" s="8">
        <v>52.770400000000002</v>
      </c>
    </row>
    <row r="1822" spans="1:6" ht="60" x14ac:dyDescent="0.25">
      <c r="A1822" s="8" t="s">
        <v>5</v>
      </c>
      <c r="B1822" s="8" t="s">
        <v>34</v>
      </c>
      <c r="C1822" s="8" t="str">
        <f>IFERROR(_xlfn.XLOOKUP(TRIM(B1822),Lookup!$B$2:$B$1000,Lookup!$C$2:$C$1000),"")</f>
        <v>Equity</v>
      </c>
      <c r="D1822" s="8" t="s">
        <v>35</v>
      </c>
      <c r="E1822" s="9">
        <v>46106</v>
      </c>
      <c r="F1822" s="8">
        <v>51.7468</v>
      </c>
    </row>
    <row r="1823" spans="1:6" ht="60" x14ac:dyDescent="0.25">
      <c r="A1823" s="8" t="s">
        <v>5</v>
      </c>
      <c r="B1823" s="8" t="s">
        <v>34</v>
      </c>
      <c r="C1823" s="8" t="str">
        <f>IFERROR(_xlfn.XLOOKUP(TRIM(B1823),Lookup!$B$2:$B$1000,Lookup!$C$2:$C$1000),"")</f>
        <v>Equity</v>
      </c>
      <c r="D1823" s="8" t="s">
        <v>35</v>
      </c>
      <c r="E1823" s="9">
        <v>46114</v>
      </c>
      <c r="F1823" s="8">
        <v>50.331299999999999</v>
      </c>
    </row>
    <row r="1824" spans="1:6" ht="60" x14ac:dyDescent="0.25">
      <c r="A1824" s="8" t="s">
        <v>5</v>
      </c>
      <c r="B1824" s="8" t="s">
        <v>34</v>
      </c>
      <c r="C1824" s="8" t="str">
        <f>IFERROR(_xlfn.XLOOKUP(TRIM(B1824),Lookup!$B$2:$B$1000,Lookup!$C$2:$C$1000),"")</f>
        <v>Equity</v>
      </c>
      <c r="D1824" s="8" t="s">
        <v>35</v>
      </c>
      <c r="E1824" s="9">
        <v>46122</v>
      </c>
      <c r="F1824" s="8">
        <v>53.834200000000003</v>
      </c>
    </row>
    <row r="1825" spans="1:6" ht="60" x14ac:dyDescent="0.25">
      <c r="A1825" s="8" t="s">
        <v>5</v>
      </c>
      <c r="B1825" s="8" t="s">
        <v>34</v>
      </c>
      <c r="C1825" s="8" t="str">
        <f>IFERROR(_xlfn.XLOOKUP(TRIM(B1825),Lookup!$B$2:$B$1000,Lookup!$C$2:$C$1000),"")</f>
        <v>Equity</v>
      </c>
      <c r="D1825" s="8" t="s">
        <v>35</v>
      </c>
      <c r="E1825" s="9">
        <v>46132</v>
      </c>
      <c r="F1825" s="8">
        <v>54.762099999999997</v>
      </c>
    </row>
    <row r="1826" spans="1:6" ht="60" x14ac:dyDescent="0.25">
      <c r="A1826" s="8" t="s">
        <v>5</v>
      </c>
      <c r="B1826" s="8" t="s">
        <v>34</v>
      </c>
      <c r="C1826" s="8" t="str">
        <f>IFERROR(_xlfn.XLOOKUP(TRIM(B1826),Lookup!$B$2:$B$1000,Lookup!$C$2:$C$1000),"")</f>
        <v>Equity</v>
      </c>
      <c r="D1826" s="8" t="s">
        <v>35</v>
      </c>
      <c r="E1826" s="9">
        <v>46139</v>
      </c>
      <c r="F1826" s="8">
        <v>54.702199999999998</v>
      </c>
    </row>
    <row r="1827" spans="1:6" ht="60" x14ac:dyDescent="0.25">
      <c r="A1827" s="8" t="s">
        <v>5</v>
      </c>
      <c r="B1827" s="8" t="s">
        <v>34</v>
      </c>
      <c r="C1827" s="8" t="str">
        <f>IFERROR(_xlfn.XLOOKUP(TRIM(B1827),Lookup!$B$2:$B$1000,Lookup!$C$2:$C$1000),"")</f>
        <v>Equity</v>
      </c>
      <c r="D1827" s="8" t="s">
        <v>35</v>
      </c>
      <c r="E1827" s="9">
        <v>46147</v>
      </c>
      <c r="F1827" s="8">
        <v>54.669899999999998</v>
      </c>
    </row>
    <row r="1828" spans="1:6" ht="60" x14ac:dyDescent="0.25">
      <c r="A1828" s="8" t="s">
        <v>5</v>
      </c>
      <c r="B1828" s="8" t="s">
        <v>34</v>
      </c>
      <c r="C1828" s="8" t="str">
        <f>IFERROR(_xlfn.XLOOKUP(TRIM(B1828),Lookup!$B$2:$B$1000,Lookup!$C$2:$C$1000),"")</f>
        <v>Equity</v>
      </c>
      <c r="D1828" s="8" t="s">
        <v>35</v>
      </c>
      <c r="E1828" s="9">
        <v>46154</v>
      </c>
      <c r="F1828" s="8">
        <v>53.638100000000001</v>
      </c>
    </row>
    <row r="1829" spans="1:6" ht="60" x14ac:dyDescent="0.25">
      <c r="A1829" s="8" t="s">
        <v>5</v>
      </c>
      <c r="B1829" s="8" t="s">
        <v>34</v>
      </c>
      <c r="C1829" s="8" t="str">
        <f>IFERROR(_xlfn.XLOOKUP(TRIM(B1829),Lookup!$B$2:$B$1000,Lookup!$C$2:$C$1000),"")</f>
        <v>Equity</v>
      </c>
      <c r="D1829" s="8" t="s">
        <v>35</v>
      </c>
      <c r="E1829" s="9">
        <v>46161</v>
      </c>
      <c r="F1829" s="8">
        <v>54.320999999999998</v>
      </c>
    </row>
    <row r="1830" spans="1:6" ht="60" x14ac:dyDescent="0.25">
      <c r="A1830" s="8" t="s">
        <v>5</v>
      </c>
      <c r="B1830" s="8" t="s">
        <v>34</v>
      </c>
      <c r="C1830" s="8" t="str">
        <f>IFERROR(_xlfn.XLOOKUP(TRIM(B1830),Lookup!$B$2:$B$1000,Lookup!$C$2:$C$1000),"")</f>
        <v>Equity</v>
      </c>
      <c r="D1830" s="8" t="s">
        <v>35</v>
      </c>
      <c r="E1830" s="9">
        <v>46168</v>
      </c>
      <c r="F1830" s="8">
        <v>55.2973</v>
      </c>
    </row>
    <row r="1831" spans="1:6" ht="60" x14ac:dyDescent="0.25">
      <c r="A1831" s="8" t="s">
        <v>5</v>
      </c>
      <c r="B1831" s="8" t="s">
        <v>34</v>
      </c>
      <c r="C1831" s="8" t="str">
        <f>IFERROR(_xlfn.XLOOKUP(TRIM(B1831),Lookup!$B$2:$B$1000,Lookup!$C$2:$C$1000),"")</f>
        <v>Equity</v>
      </c>
      <c r="D1831" s="8" t="s">
        <v>35</v>
      </c>
      <c r="E1831" s="9">
        <v>46176</v>
      </c>
      <c r="F1831" s="8">
        <v>54.328600000000002</v>
      </c>
    </row>
    <row r="1832" spans="1:6" ht="60" x14ac:dyDescent="0.25">
      <c r="A1832" s="8" t="s">
        <v>5</v>
      </c>
      <c r="B1832" s="8" t="s">
        <v>34</v>
      </c>
      <c r="C1832" s="8" t="str">
        <f>IFERROR(_xlfn.XLOOKUP(TRIM(B1832),Lookup!$B$2:$B$1000,Lookup!$C$2:$C$1000),"")</f>
        <v>Equity</v>
      </c>
      <c r="D1832" s="8" t="s">
        <v>35</v>
      </c>
      <c r="E1832" s="9">
        <v>46183</v>
      </c>
      <c r="F1832" s="8">
        <v>53.9343</v>
      </c>
    </row>
    <row r="1833" spans="1:6" ht="60" x14ac:dyDescent="0.25">
      <c r="A1833" s="8" t="s">
        <v>5</v>
      </c>
      <c r="B1833" s="8" t="s">
        <v>34</v>
      </c>
      <c r="C1833" s="8" t="str">
        <f>IFERROR(_xlfn.XLOOKUP(TRIM(B1833),Lookup!$B$2:$B$1000,Lookup!$C$2:$C$1000),"")</f>
        <v>Equity</v>
      </c>
      <c r="D1833" s="8" t="s">
        <v>35</v>
      </c>
      <c r="E1833" s="9">
        <v>46190</v>
      </c>
      <c r="F1833" s="8">
        <v>56.007800000000003</v>
      </c>
    </row>
    <row r="1834" spans="1:6" ht="60" x14ac:dyDescent="0.25">
      <c r="A1834" s="8" t="s">
        <v>5</v>
      </c>
      <c r="B1834" s="8" t="s">
        <v>34</v>
      </c>
      <c r="C1834" s="8" t="str">
        <f>IFERROR(_xlfn.XLOOKUP(TRIM(B1834),Lookup!$B$2:$B$1000,Lookup!$C$2:$C$1000),"")</f>
        <v>Equity</v>
      </c>
      <c r="D1834" s="8" t="s">
        <v>35</v>
      </c>
      <c r="E1834" s="9">
        <v>46197</v>
      </c>
      <c r="F1834" s="8">
        <v>56.385100000000001</v>
      </c>
    </row>
    <row r="1835" spans="1:6" ht="60" x14ac:dyDescent="0.25">
      <c r="A1835" s="8" t="s">
        <v>5</v>
      </c>
      <c r="B1835" s="8" t="s">
        <v>34</v>
      </c>
      <c r="C1835" s="8" t="str">
        <f>IFERROR(_xlfn.XLOOKUP(TRIM(B1835),Lookup!$B$2:$B$1000,Lookup!$C$2:$C$1000),"")</f>
        <v>Equity</v>
      </c>
      <c r="D1835" s="8" t="s">
        <v>35</v>
      </c>
      <c r="E1835" s="9">
        <v>46205</v>
      </c>
      <c r="F1835" s="8">
        <v>56.690899999999999</v>
      </c>
    </row>
    <row r="1836" spans="1:6" ht="60" x14ac:dyDescent="0.25">
      <c r="A1836" s="8" t="s">
        <v>5</v>
      </c>
      <c r="B1836" s="8" t="s">
        <v>34</v>
      </c>
      <c r="C1836" s="8" t="str">
        <f>IFERROR(_xlfn.XLOOKUP(TRIM(B1836),Lookup!$B$2:$B$1000,Lookup!$C$2:$C$1000),"")</f>
        <v>Equity</v>
      </c>
      <c r="D1836" s="8" t="s">
        <v>35</v>
      </c>
      <c r="E1836" s="9">
        <v>46212</v>
      </c>
      <c r="F1836" s="8">
        <v>56.313400000000001</v>
      </c>
    </row>
    <row r="1837" spans="1:6" ht="60" x14ac:dyDescent="0.25">
      <c r="A1837" s="8" t="s">
        <v>5</v>
      </c>
      <c r="B1837" s="8" t="s">
        <v>34</v>
      </c>
      <c r="C1837" s="8" t="str">
        <f>IFERROR(_xlfn.XLOOKUP(TRIM(B1837),Lookup!$B$2:$B$1000,Lookup!$C$2:$C$1000),"")</f>
        <v>Equity</v>
      </c>
      <c r="D1837" s="8" t="s">
        <v>35</v>
      </c>
      <c r="E1837" s="9">
        <v>46219</v>
      </c>
      <c r="F1837" s="8">
        <v>56.679000000000002</v>
      </c>
    </row>
    <row r="1838" spans="1:6" ht="60" x14ac:dyDescent="0.25">
      <c r="A1838" s="8" t="s">
        <v>5</v>
      </c>
      <c r="B1838" s="8" t="s">
        <v>34</v>
      </c>
      <c r="C1838" s="8" t="str">
        <f>IFERROR(_xlfn.XLOOKUP(TRIM(B1838),Lookup!$B$2:$B$1000,Lookup!$C$2:$C$1000),"")</f>
        <v>Equity</v>
      </c>
      <c r="D1838" s="8" t="s">
        <v>35</v>
      </c>
      <c r="E1838" s="9">
        <v>46226</v>
      </c>
      <c r="F1838" s="8">
        <v>55.965299999999999</v>
      </c>
    </row>
    <row r="1839" spans="1:6" ht="60" x14ac:dyDescent="0.25">
      <c r="A1839" s="8" t="s">
        <v>5</v>
      </c>
      <c r="B1839" s="8" t="s">
        <v>34</v>
      </c>
      <c r="C1839" s="8" t="str">
        <f>IFERROR(_xlfn.XLOOKUP(TRIM(B1839),Lookup!$B$2:$B$1000,Lookup!$C$2:$C$1000),"")</f>
        <v>Equity</v>
      </c>
      <c r="D1839" s="8" t="s">
        <v>35</v>
      </c>
      <c r="E1839" s="9">
        <v>46233</v>
      </c>
      <c r="F1839" s="8">
        <v>56.739899999999999</v>
      </c>
    </row>
    <row r="1840" spans="1:6" ht="60" x14ac:dyDescent="0.25">
      <c r="A1840" s="8" t="s">
        <v>5</v>
      </c>
      <c r="B1840" s="8" t="s">
        <v>36</v>
      </c>
      <c r="C1840" s="8" t="str">
        <f>IFERROR(_xlfn.XLOOKUP(TRIM(B1840),Lookup!$B$2:$B$1000,Lookup!$C$2:$C$1000),"")</f>
        <v>Equity</v>
      </c>
      <c r="D1840" s="8" t="s">
        <v>37</v>
      </c>
      <c r="E1840" s="9">
        <v>45869</v>
      </c>
      <c r="F1840" s="8">
        <v>11.3817</v>
      </c>
    </row>
    <row r="1841" spans="1:6" ht="60" x14ac:dyDescent="0.25">
      <c r="A1841" s="8" t="s">
        <v>5</v>
      </c>
      <c r="B1841" s="8" t="s">
        <v>36</v>
      </c>
      <c r="C1841" s="8" t="str">
        <f>IFERROR(_xlfn.XLOOKUP(TRIM(B1841),Lookup!$B$2:$B$1000,Lookup!$C$2:$C$1000),"")</f>
        <v>Equity</v>
      </c>
      <c r="D1841" s="8" t="s">
        <v>37</v>
      </c>
      <c r="E1841" s="9">
        <v>45870</v>
      </c>
      <c r="F1841" s="8">
        <v>11.2712</v>
      </c>
    </row>
    <row r="1842" spans="1:6" ht="60" x14ac:dyDescent="0.25">
      <c r="A1842" s="8" t="s">
        <v>5</v>
      </c>
      <c r="B1842" s="8" t="s">
        <v>36</v>
      </c>
      <c r="C1842" s="8" t="str">
        <f>IFERROR(_xlfn.XLOOKUP(TRIM(B1842),Lookup!$B$2:$B$1000,Lookup!$C$2:$C$1000),"")</f>
        <v>Equity</v>
      </c>
      <c r="D1842" s="8" t="s">
        <v>37</v>
      </c>
      <c r="E1842" s="9">
        <v>45873</v>
      </c>
      <c r="F1842" s="8">
        <v>11.351000000000001</v>
      </c>
    </row>
    <row r="1843" spans="1:6" ht="60" x14ac:dyDescent="0.25">
      <c r="A1843" s="8" t="s">
        <v>5</v>
      </c>
      <c r="B1843" s="8" t="s">
        <v>36</v>
      </c>
      <c r="C1843" s="8" t="str">
        <f>IFERROR(_xlfn.XLOOKUP(TRIM(B1843),Lookup!$B$2:$B$1000,Lookup!$C$2:$C$1000),"")</f>
        <v>Equity</v>
      </c>
      <c r="D1843" s="8" t="s">
        <v>37</v>
      </c>
      <c r="E1843" s="9">
        <v>45874</v>
      </c>
      <c r="F1843" s="8">
        <v>11.32</v>
      </c>
    </row>
    <row r="1844" spans="1:6" ht="60" x14ac:dyDescent="0.25">
      <c r="A1844" s="8" t="s">
        <v>5</v>
      </c>
      <c r="B1844" s="8" t="s">
        <v>36</v>
      </c>
      <c r="C1844" s="8" t="str">
        <f>IFERROR(_xlfn.XLOOKUP(TRIM(B1844),Lookup!$B$2:$B$1000,Lookup!$C$2:$C$1000),"")</f>
        <v>Equity</v>
      </c>
      <c r="D1844" s="8" t="s">
        <v>37</v>
      </c>
      <c r="E1844" s="9">
        <v>45875</v>
      </c>
      <c r="F1844" s="8">
        <v>11.239000000000001</v>
      </c>
    </row>
    <row r="1845" spans="1:6" ht="60" x14ac:dyDescent="0.25">
      <c r="A1845" s="8" t="s">
        <v>5</v>
      </c>
      <c r="B1845" s="8" t="s">
        <v>36</v>
      </c>
      <c r="C1845" s="8" t="str">
        <f>IFERROR(_xlfn.XLOOKUP(TRIM(B1845),Lookup!$B$2:$B$1000,Lookup!$C$2:$C$1000),"")</f>
        <v>Equity</v>
      </c>
      <c r="D1845" s="8" t="s">
        <v>37</v>
      </c>
      <c r="E1845" s="9">
        <v>45876</v>
      </c>
      <c r="F1845" s="8">
        <v>11.251200000000001</v>
      </c>
    </row>
    <row r="1846" spans="1:6" ht="60" x14ac:dyDescent="0.25">
      <c r="A1846" s="8" t="s">
        <v>5</v>
      </c>
      <c r="B1846" s="8" t="s">
        <v>36</v>
      </c>
      <c r="C1846" s="8" t="str">
        <f>IFERROR(_xlfn.XLOOKUP(TRIM(B1846),Lookup!$B$2:$B$1000,Lookup!$C$2:$C$1000),"")</f>
        <v>Equity</v>
      </c>
      <c r="D1846" s="8" t="s">
        <v>37</v>
      </c>
      <c r="E1846" s="9">
        <v>45877</v>
      </c>
      <c r="F1846" s="8">
        <v>11.1203</v>
      </c>
    </row>
    <row r="1847" spans="1:6" ht="60" x14ac:dyDescent="0.25">
      <c r="A1847" s="8" t="s">
        <v>5</v>
      </c>
      <c r="B1847" s="8" t="s">
        <v>36</v>
      </c>
      <c r="C1847" s="8" t="str">
        <f>IFERROR(_xlfn.XLOOKUP(TRIM(B1847),Lookup!$B$2:$B$1000,Lookup!$C$2:$C$1000),"")</f>
        <v>Equity</v>
      </c>
      <c r="D1847" s="8" t="s">
        <v>37</v>
      </c>
      <c r="E1847" s="9">
        <v>45880</v>
      </c>
      <c r="F1847" s="8">
        <v>11.2005</v>
      </c>
    </row>
    <row r="1848" spans="1:6" ht="60" x14ac:dyDescent="0.25">
      <c r="A1848" s="8" t="s">
        <v>5</v>
      </c>
      <c r="B1848" s="8" t="s">
        <v>36</v>
      </c>
      <c r="C1848" s="8" t="str">
        <f>IFERROR(_xlfn.XLOOKUP(TRIM(B1848),Lookup!$B$2:$B$1000,Lookup!$C$2:$C$1000),"")</f>
        <v>Equity</v>
      </c>
      <c r="D1848" s="8" t="s">
        <v>37</v>
      </c>
      <c r="E1848" s="9">
        <v>45881</v>
      </c>
      <c r="F1848" s="8">
        <v>11.181699999999999</v>
      </c>
    </row>
    <row r="1849" spans="1:6" ht="60" x14ac:dyDescent="0.25">
      <c r="A1849" s="8" t="s">
        <v>5</v>
      </c>
      <c r="B1849" s="8" t="s">
        <v>36</v>
      </c>
      <c r="C1849" s="8" t="str">
        <f>IFERROR(_xlfn.XLOOKUP(TRIM(B1849),Lookup!$B$2:$B$1000,Lookup!$C$2:$C$1000),"")</f>
        <v>Equity</v>
      </c>
      <c r="D1849" s="8" t="s">
        <v>37</v>
      </c>
      <c r="E1849" s="9">
        <v>45882</v>
      </c>
      <c r="F1849" s="8">
        <v>11.2469</v>
      </c>
    </row>
    <row r="1850" spans="1:6" ht="60" x14ac:dyDescent="0.25">
      <c r="A1850" s="8" t="s">
        <v>5</v>
      </c>
      <c r="B1850" s="8" t="s">
        <v>36</v>
      </c>
      <c r="C1850" s="8" t="str">
        <f>IFERROR(_xlfn.XLOOKUP(TRIM(B1850),Lookup!$B$2:$B$1000,Lookup!$C$2:$C$1000),"")</f>
        <v>Equity</v>
      </c>
      <c r="D1850" s="8" t="s">
        <v>37</v>
      </c>
      <c r="E1850" s="9">
        <v>45883</v>
      </c>
      <c r="F1850" s="8">
        <v>11.2295</v>
      </c>
    </row>
    <row r="1851" spans="1:6" ht="60" x14ac:dyDescent="0.25">
      <c r="A1851" s="8" t="s">
        <v>5</v>
      </c>
      <c r="B1851" s="8" t="s">
        <v>36</v>
      </c>
      <c r="C1851" s="8" t="str">
        <f>IFERROR(_xlfn.XLOOKUP(TRIM(B1851),Lookup!$B$2:$B$1000,Lookup!$C$2:$C$1000),"")</f>
        <v>Equity</v>
      </c>
      <c r="D1851" s="8" t="s">
        <v>37</v>
      </c>
      <c r="E1851" s="9">
        <v>45887</v>
      </c>
      <c r="F1851" s="8">
        <v>11.357699999999999</v>
      </c>
    </row>
    <row r="1852" spans="1:6" ht="60" x14ac:dyDescent="0.25">
      <c r="A1852" s="8" t="s">
        <v>5</v>
      </c>
      <c r="B1852" s="8" t="s">
        <v>36</v>
      </c>
      <c r="C1852" s="8" t="str">
        <f>IFERROR(_xlfn.XLOOKUP(TRIM(B1852),Lookup!$B$2:$B$1000,Lookup!$C$2:$C$1000),"")</f>
        <v>Equity</v>
      </c>
      <c r="D1852" s="8" t="s">
        <v>37</v>
      </c>
      <c r="E1852" s="9">
        <v>45888</v>
      </c>
      <c r="F1852" s="8">
        <v>11.433400000000001</v>
      </c>
    </row>
    <row r="1853" spans="1:6" ht="60" x14ac:dyDescent="0.25">
      <c r="A1853" s="8" t="s">
        <v>5</v>
      </c>
      <c r="B1853" s="8" t="s">
        <v>36</v>
      </c>
      <c r="C1853" s="8" t="str">
        <f>IFERROR(_xlfn.XLOOKUP(TRIM(B1853),Lookup!$B$2:$B$1000,Lookup!$C$2:$C$1000),"")</f>
        <v>Equity</v>
      </c>
      <c r="D1853" s="8" t="s">
        <v>37</v>
      </c>
      <c r="E1853" s="9">
        <v>45889</v>
      </c>
      <c r="F1853" s="8">
        <v>11.4726</v>
      </c>
    </row>
    <row r="1854" spans="1:6" ht="60" x14ac:dyDescent="0.25">
      <c r="A1854" s="8" t="s">
        <v>5</v>
      </c>
      <c r="B1854" s="8" t="s">
        <v>36</v>
      </c>
      <c r="C1854" s="8" t="str">
        <f>IFERROR(_xlfn.XLOOKUP(TRIM(B1854),Lookup!$B$2:$B$1000,Lookup!$C$2:$C$1000),"")</f>
        <v>Equity</v>
      </c>
      <c r="D1854" s="8" t="s">
        <v>37</v>
      </c>
      <c r="E1854" s="9">
        <v>45890</v>
      </c>
      <c r="F1854" s="8">
        <v>11.4648</v>
      </c>
    </row>
    <row r="1855" spans="1:6" ht="60" x14ac:dyDescent="0.25">
      <c r="A1855" s="8" t="s">
        <v>5</v>
      </c>
      <c r="B1855" s="8" t="s">
        <v>36</v>
      </c>
      <c r="C1855" s="8" t="str">
        <f>IFERROR(_xlfn.XLOOKUP(TRIM(B1855),Lookup!$B$2:$B$1000,Lookup!$C$2:$C$1000),"")</f>
        <v>Equity</v>
      </c>
      <c r="D1855" s="8" t="s">
        <v>37</v>
      </c>
      <c r="E1855" s="9">
        <v>45891</v>
      </c>
      <c r="F1855" s="8">
        <v>11.4077</v>
      </c>
    </row>
    <row r="1856" spans="1:6" ht="60" x14ac:dyDescent="0.25">
      <c r="A1856" s="8" t="s">
        <v>5</v>
      </c>
      <c r="B1856" s="8" t="s">
        <v>36</v>
      </c>
      <c r="C1856" s="8" t="str">
        <f>IFERROR(_xlfn.XLOOKUP(TRIM(B1856),Lookup!$B$2:$B$1000,Lookup!$C$2:$C$1000),"")</f>
        <v>Equity</v>
      </c>
      <c r="D1856" s="8" t="s">
        <v>37</v>
      </c>
      <c r="E1856" s="9">
        <v>45894</v>
      </c>
      <c r="F1856" s="8">
        <v>11.430199999999999</v>
      </c>
    </row>
    <row r="1857" spans="1:6" ht="60" x14ac:dyDescent="0.25">
      <c r="A1857" s="8" t="s">
        <v>5</v>
      </c>
      <c r="B1857" s="8" t="s">
        <v>36</v>
      </c>
      <c r="C1857" s="8" t="str">
        <f>IFERROR(_xlfn.XLOOKUP(TRIM(B1857),Lookup!$B$2:$B$1000,Lookup!$C$2:$C$1000),"")</f>
        <v>Equity</v>
      </c>
      <c r="D1857" s="8" t="s">
        <v>37</v>
      </c>
      <c r="E1857" s="9">
        <v>45895</v>
      </c>
      <c r="F1857" s="8">
        <v>11.277900000000001</v>
      </c>
    </row>
    <row r="1858" spans="1:6" ht="60" x14ac:dyDescent="0.25">
      <c r="A1858" s="8" t="s">
        <v>5</v>
      </c>
      <c r="B1858" s="8" t="s">
        <v>36</v>
      </c>
      <c r="C1858" s="8" t="str">
        <f>IFERROR(_xlfn.XLOOKUP(TRIM(B1858),Lookup!$B$2:$B$1000,Lookup!$C$2:$C$1000),"")</f>
        <v>Equity</v>
      </c>
      <c r="D1858" s="8" t="s">
        <v>37</v>
      </c>
      <c r="E1858" s="9">
        <v>45897</v>
      </c>
      <c r="F1858" s="8">
        <v>11.1587</v>
      </c>
    </row>
    <row r="1859" spans="1:6" ht="60" x14ac:dyDescent="0.25">
      <c r="A1859" s="8" t="s">
        <v>5</v>
      </c>
      <c r="B1859" s="8" t="s">
        <v>36</v>
      </c>
      <c r="C1859" s="8" t="str">
        <f>IFERROR(_xlfn.XLOOKUP(TRIM(B1859),Lookup!$B$2:$B$1000,Lookup!$C$2:$C$1000),"")</f>
        <v>Equity</v>
      </c>
      <c r="D1859" s="8" t="s">
        <v>37</v>
      </c>
      <c r="E1859" s="9">
        <v>45898</v>
      </c>
      <c r="F1859" s="8">
        <v>11.116199999999999</v>
      </c>
    </row>
    <row r="1860" spans="1:6" ht="60" x14ac:dyDescent="0.25">
      <c r="A1860" s="8" t="s">
        <v>5</v>
      </c>
      <c r="B1860" s="8" t="s">
        <v>36</v>
      </c>
      <c r="C1860" s="8" t="str">
        <f>IFERROR(_xlfn.XLOOKUP(TRIM(B1860),Lookup!$B$2:$B$1000,Lookup!$C$2:$C$1000),"")</f>
        <v>Equity</v>
      </c>
      <c r="D1860" s="8" t="s">
        <v>37</v>
      </c>
      <c r="E1860" s="9">
        <v>45901</v>
      </c>
      <c r="F1860" s="8">
        <v>11.252000000000001</v>
      </c>
    </row>
    <row r="1861" spans="1:6" ht="60" x14ac:dyDescent="0.25">
      <c r="A1861" s="8" t="s">
        <v>5</v>
      </c>
      <c r="B1861" s="8" t="s">
        <v>36</v>
      </c>
      <c r="C1861" s="8" t="str">
        <f>IFERROR(_xlfn.XLOOKUP(TRIM(B1861),Lookup!$B$2:$B$1000,Lookup!$C$2:$C$1000),"")</f>
        <v>Equity</v>
      </c>
      <c r="D1861" s="8" t="s">
        <v>37</v>
      </c>
      <c r="E1861" s="9">
        <v>45902</v>
      </c>
      <c r="F1861" s="8">
        <v>11.2713</v>
      </c>
    </row>
    <row r="1862" spans="1:6" ht="60" x14ac:dyDescent="0.25">
      <c r="A1862" s="8" t="s">
        <v>5</v>
      </c>
      <c r="B1862" s="8" t="s">
        <v>36</v>
      </c>
      <c r="C1862" s="8" t="str">
        <f>IFERROR(_xlfn.XLOOKUP(TRIM(B1862),Lookup!$B$2:$B$1000,Lookup!$C$2:$C$1000),"")</f>
        <v>Equity</v>
      </c>
      <c r="D1862" s="8" t="s">
        <v>37</v>
      </c>
      <c r="E1862" s="9">
        <v>45903</v>
      </c>
      <c r="F1862" s="8">
        <v>11.344900000000001</v>
      </c>
    </row>
    <row r="1863" spans="1:6" ht="60" x14ac:dyDescent="0.25">
      <c r="A1863" s="8" t="s">
        <v>5</v>
      </c>
      <c r="B1863" s="8" t="s">
        <v>36</v>
      </c>
      <c r="C1863" s="8" t="str">
        <f>IFERROR(_xlfn.XLOOKUP(TRIM(B1863),Lookup!$B$2:$B$1000,Lookup!$C$2:$C$1000),"")</f>
        <v>Equity</v>
      </c>
      <c r="D1863" s="8" t="s">
        <v>37</v>
      </c>
      <c r="E1863" s="9">
        <v>45904</v>
      </c>
      <c r="F1863" s="8">
        <v>11.304500000000001</v>
      </c>
    </row>
    <row r="1864" spans="1:6" ht="60" x14ac:dyDescent="0.25">
      <c r="A1864" s="8" t="s">
        <v>5</v>
      </c>
      <c r="B1864" s="8" t="s">
        <v>36</v>
      </c>
      <c r="C1864" s="8" t="str">
        <f>IFERROR(_xlfn.XLOOKUP(TRIM(B1864),Lookup!$B$2:$B$1000,Lookup!$C$2:$C$1000),"")</f>
        <v>Equity</v>
      </c>
      <c r="D1864" s="8" t="s">
        <v>37</v>
      </c>
      <c r="E1864" s="9">
        <v>45905</v>
      </c>
      <c r="F1864" s="8">
        <v>11.3156</v>
      </c>
    </row>
    <row r="1865" spans="1:6" ht="60" x14ac:dyDescent="0.25">
      <c r="A1865" s="8" t="s">
        <v>5</v>
      </c>
      <c r="B1865" s="8" t="s">
        <v>36</v>
      </c>
      <c r="C1865" s="8" t="str">
        <f>IFERROR(_xlfn.XLOOKUP(TRIM(B1865),Lookup!$B$2:$B$1000,Lookup!$C$2:$C$1000),"")</f>
        <v>Equity</v>
      </c>
      <c r="D1865" s="8" t="s">
        <v>37</v>
      </c>
      <c r="E1865" s="9">
        <v>45908</v>
      </c>
      <c r="F1865" s="8">
        <v>11.339499999999999</v>
      </c>
    </row>
    <row r="1866" spans="1:6" ht="60" x14ac:dyDescent="0.25">
      <c r="A1866" s="8" t="s">
        <v>5</v>
      </c>
      <c r="B1866" s="8" t="s">
        <v>36</v>
      </c>
      <c r="C1866" s="8" t="str">
        <f>IFERROR(_xlfn.XLOOKUP(TRIM(B1866),Lookup!$B$2:$B$1000,Lookup!$C$2:$C$1000),"")</f>
        <v>Equity</v>
      </c>
      <c r="D1866" s="8" t="s">
        <v>37</v>
      </c>
      <c r="E1866" s="9">
        <v>45909</v>
      </c>
      <c r="F1866" s="8">
        <v>11.3718</v>
      </c>
    </row>
    <row r="1867" spans="1:6" ht="60" x14ac:dyDescent="0.25">
      <c r="A1867" s="8" t="s">
        <v>5</v>
      </c>
      <c r="B1867" s="8" t="s">
        <v>36</v>
      </c>
      <c r="C1867" s="8" t="str">
        <f>IFERROR(_xlfn.XLOOKUP(TRIM(B1867),Lookup!$B$2:$B$1000,Lookup!$C$2:$C$1000),"")</f>
        <v>Equity</v>
      </c>
      <c r="D1867" s="8" t="s">
        <v>37</v>
      </c>
      <c r="E1867" s="9">
        <v>45910</v>
      </c>
      <c r="F1867" s="8">
        <v>11.442500000000001</v>
      </c>
    </row>
    <row r="1868" spans="1:6" ht="60" x14ac:dyDescent="0.25">
      <c r="A1868" s="8" t="s">
        <v>5</v>
      </c>
      <c r="B1868" s="8" t="s">
        <v>36</v>
      </c>
      <c r="C1868" s="8" t="str">
        <f>IFERROR(_xlfn.XLOOKUP(TRIM(B1868),Lookup!$B$2:$B$1000,Lookup!$C$2:$C$1000),"")</f>
        <v>Equity</v>
      </c>
      <c r="D1868" s="8" t="s">
        <v>37</v>
      </c>
      <c r="E1868" s="9">
        <v>45911</v>
      </c>
      <c r="F1868" s="8">
        <v>11.4526</v>
      </c>
    </row>
    <row r="1869" spans="1:6" ht="60" x14ac:dyDescent="0.25">
      <c r="A1869" s="8" t="s">
        <v>5</v>
      </c>
      <c r="B1869" s="8" t="s">
        <v>36</v>
      </c>
      <c r="C1869" s="8" t="str">
        <f>IFERROR(_xlfn.XLOOKUP(TRIM(B1869),Lookup!$B$2:$B$1000,Lookup!$C$2:$C$1000),"")</f>
        <v>Equity</v>
      </c>
      <c r="D1869" s="8" t="s">
        <v>37</v>
      </c>
      <c r="E1869" s="9">
        <v>45912</v>
      </c>
      <c r="F1869" s="8">
        <v>11.491</v>
      </c>
    </row>
    <row r="1870" spans="1:6" ht="60" x14ac:dyDescent="0.25">
      <c r="A1870" s="8" t="s">
        <v>5</v>
      </c>
      <c r="B1870" s="8" t="s">
        <v>36</v>
      </c>
      <c r="C1870" s="8" t="str">
        <f>IFERROR(_xlfn.XLOOKUP(TRIM(B1870),Lookup!$B$2:$B$1000,Lookup!$C$2:$C$1000),"")</f>
        <v>Equity</v>
      </c>
      <c r="D1870" s="8" t="s">
        <v>37</v>
      </c>
      <c r="E1870" s="9">
        <v>45915</v>
      </c>
      <c r="F1870" s="8">
        <v>11.516400000000001</v>
      </c>
    </row>
    <row r="1871" spans="1:6" ht="60" x14ac:dyDescent="0.25">
      <c r="A1871" s="8" t="s">
        <v>5</v>
      </c>
      <c r="B1871" s="8" t="s">
        <v>36</v>
      </c>
      <c r="C1871" s="8" t="str">
        <f>IFERROR(_xlfn.XLOOKUP(TRIM(B1871),Lookup!$B$2:$B$1000,Lookup!$C$2:$C$1000),"")</f>
        <v>Equity</v>
      </c>
      <c r="D1871" s="8" t="s">
        <v>37</v>
      </c>
      <c r="E1871" s="9">
        <v>45916</v>
      </c>
      <c r="F1871" s="8">
        <v>11.592599999999999</v>
      </c>
    </row>
    <row r="1872" spans="1:6" ht="60" x14ac:dyDescent="0.25">
      <c r="A1872" s="8" t="s">
        <v>5</v>
      </c>
      <c r="B1872" s="8" t="s">
        <v>36</v>
      </c>
      <c r="C1872" s="8" t="str">
        <f>IFERROR(_xlfn.XLOOKUP(TRIM(B1872),Lookup!$B$2:$B$1000,Lookup!$C$2:$C$1000),"")</f>
        <v>Equity</v>
      </c>
      <c r="D1872" s="8" t="s">
        <v>37</v>
      </c>
      <c r="E1872" s="9">
        <v>45917</v>
      </c>
      <c r="F1872" s="8">
        <v>11.6328</v>
      </c>
    </row>
    <row r="1873" spans="1:6" ht="60" x14ac:dyDescent="0.25">
      <c r="A1873" s="8" t="s">
        <v>5</v>
      </c>
      <c r="B1873" s="8" t="s">
        <v>36</v>
      </c>
      <c r="C1873" s="8" t="str">
        <f>IFERROR(_xlfn.XLOOKUP(TRIM(B1873),Lookup!$B$2:$B$1000,Lookup!$C$2:$C$1000),"")</f>
        <v>Equity</v>
      </c>
      <c r="D1873" s="8" t="s">
        <v>37</v>
      </c>
      <c r="E1873" s="9">
        <v>45918</v>
      </c>
      <c r="F1873" s="8">
        <v>11.662599999999999</v>
      </c>
    </row>
    <row r="1874" spans="1:6" ht="60" x14ac:dyDescent="0.25">
      <c r="A1874" s="8" t="s">
        <v>5</v>
      </c>
      <c r="B1874" s="8" t="s">
        <v>36</v>
      </c>
      <c r="C1874" s="8" t="str">
        <f>IFERROR(_xlfn.XLOOKUP(TRIM(B1874),Lookup!$B$2:$B$1000,Lookup!$C$2:$C$1000),"")</f>
        <v>Equity</v>
      </c>
      <c r="D1874" s="8" t="s">
        <v>37</v>
      </c>
      <c r="E1874" s="9">
        <v>45919</v>
      </c>
      <c r="F1874" s="8">
        <v>11.6587</v>
      </c>
    </row>
    <row r="1875" spans="1:6" ht="60" x14ac:dyDescent="0.25">
      <c r="A1875" s="8" t="s">
        <v>5</v>
      </c>
      <c r="B1875" s="8" t="s">
        <v>36</v>
      </c>
      <c r="C1875" s="8" t="str">
        <f>IFERROR(_xlfn.XLOOKUP(TRIM(B1875),Lookup!$B$2:$B$1000,Lookup!$C$2:$C$1000),"")</f>
        <v>Equity</v>
      </c>
      <c r="D1875" s="8" t="s">
        <v>37</v>
      </c>
      <c r="E1875" s="9">
        <v>45922</v>
      </c>
      <c r="F1875" s="8">
        <v>11.594099999999999</v>
      </c>
    </row>
    <row r="1876" spans="1:6" ht="60" x14ac:dyDescent="0.25">
      <c r="A1876" s="8" t="s">
        <v>5</v>
      </c>
      <c r="B1876" s="8" t="s">
        <v>36</v>
      </c>
      <c r="C1876" s="8" t="str">
        <f>IFERROR(_xlfn.XLOOKUP(TRIM(B1876),Lookup!$B$2:$B$1000,Lookup!$C$2:$C$1000),"")</f>
        <v>Equity</v>
      </c>
      <c r="D1876" s="8" t="s">
        <v>37</v>
      </c>
      <c r="E1876" s="9">
        <v>45923</v>
      </c>
      <c r="F1876" s="8">
        <v>11.5588</v>
      </c>
    </row>
    <row r="1877" spans="1:6" ht="60" x14ac:dyDescent="0.25">
      <c r="A1877" s="8" t="s">
        <v>5</v>
      </c>
      <c r="B1877" s="8" t="s">
        <v>36</v>
      </c>
      <c r="C1877" s="8" t="str">
        <f>IFERROR(_xlfn.XLOOKUP(TRIM(B1877),Lookup!$B$2:$B$1000,Lookup!$C$2:$C$1000),"")</f>
        <v>Equity</v>
      </c>
      <c r="D1877" s="8" t="s">
        <v>37</v>
      </c>
      <c r="E1877" s="9">
        <v>45924</v>
      </c>
      <c r="F1877" s="8">
        <v>11.486800000000001</v>
      </c>
    </row>
    <row r="1878" spans="1:6" ht="60" x14ac:dyDescent="0.25">
      <c r="A1878" s="8" t="s">
        <v>5</v>
      </c>
      <c r="B1878" s="8" t="s">
        <v>36</v>
      </c>
      <c r="C1878" s="8" t="str">
        <f>IFERROR(_xlfn.XLOOKUP(TRIM(B1878),Lookup!$B$2:$B$1000,Lookup!$C$2:$C$1000),"")</f>
        <v>Equity</v>
      </c>
      <c r="D1878" s="8" t="s">
        <v>37</v>
      </c>
      <c r="E1878" s="9">
        <v>45925</v>
      </c>
      <c r="F1878" s="8">
        <v>11.4099</v>
      </c>
    </row>
    <row r="1879" spans="1:6" ht="60" x14ac:dyDescent="0.25">
      <c r="A1879" s="8" t="s">
        <v>5</v>
      </c>
      <c r="B1879" s="8" t="s">
        <v>36</v>
      </c>
      <c r="C1879" s="8" t="str">
        <f>IFERROR(_xlfn.XLOOKUP(TRIM(B1879),Lookup!$B$2:$B$1000,Lookup!$C$2:$C$1000),"")</f>
        <v>Equity</v>
      </c>
      <c r="D1879" s="8" t="s">
        <v>37</v>
      </c>
      <c r="E1879" s="9">
        <v>45926</v>
      </c>
      <c r="F1879" s="8">
        <v>11.2354</v>
      </c>
    </row>
    <row r="1880" spans="1:6" ht="60" x14ac:dyDescent="0.25">
      <c r="A1880" s="8" t="s">
        <v>5</v>
      </c>
      <c r="B1880" s="8" t="s">
        <v>36</v>
      </c>
      <c r="C1880" s="8" t="str">
        <f>IFERROR(_xlfn.XLOOKUP(TRIM(B1880),Lookup!$B$2:$B$1000,Lookup!$C$2:$C$1000),"")</f>
        <v>Equity</v>
      </c>
      <c r="D1880" s="8" t="s">
        <v>37</v>
      </c>
      <c r="E1880" s="9">
        <v>45929</v>
      </c>
      <c r="F1880" s="8">
        <v>11.2455</v>
      </c>
    </row>
    <row r="1881" spans="1:6" ht="60" x14ac:dyDescent="0.25">
      <c r="A1881" s="8" t="s">
        <v>5</v>
      </c>
      <c r="B1881" s="8" t="s">
        <v>36</v>
      </c>
      <c r="C1881" s="8" t="str">
        <f>IFERROR(_xlfn.XLOOKUP(TRIM(B1881),Lookup!$B$2:$B$1000,Lookup!$C$2:$C$1000),"")</f>
        <v>Equity</v>
      </c>
      <c r="D1881" s="8" t="s">
        <v>37</v>
      </c>
      <c r="E1881" s="9">
        <v>45930</v>
      </c>
      <c r="F1881" s="8">
        <v>11.248799999999999</v>
      </c>
    </row>
    <row r="1882" spans="1:6" ht="60" x14ac:dyDescent="0.25">
      <c r="A1882" s="8" t="s">
        <v>5</v>
      </c>
      <c r="B1882" s="8" t="s">
        <v>36</v>
      </c>
      <c r="C1882" s="8" t="str">
        <f>IFERROR(_xlfn.XLOOKUP(TRIM(B1882),Lookup!$B$2:$B$1000,Lookup!$C$2:$C$1000),"")</f>
        <v>Equity</v>
      </c>
      <c r="D1882" s="8" t="s">
        <v>37</v>
      </c>
      <c r="E1882" s="9">
        <v>45931</v>
      </c>
      <c r="F1882" s="8">
        <v>11.3446</v>
      </c>
    </row>
    <row r="1883" spans="1:6" ht="60" x14ac:dyDescent="0.25">
      <c r="A1883" s="8" t="s">
        <v>5</v>
      </c>
      <c r="B1883" s="8" t="s">
        <v>36</v>
      </c>
      <c r="C1883" s="8" t="str">
        <f>IFERROR(_xlfn.XLOOKUP(TRIM(B1883),Lookup!$B$2:$B$1000,Lookup!$C$2:$C$1000),"")</f>
        <v>Equity</v>
      </c>
      <c r="D1883" s="8" t="s">
        <v>37</v>
      </c>
      <c r="E1883" s="9">
        <v>45933</v>
      </c>
      <c r="F1883" s="8">
        <v>11.406700000000001</v>
      </c>
    </row>
    <row r="1884" spans="1:6" ht="60" x14ac:dyDescent="0.25">
      <c r="A1884" s="8" t="s">
        <v>5</v>
      </c>
      <c r="B1884" s="8" t="s">
        <v>36</v>
      </c>
      <c r="C1884" s="8" t="str">
        <f>IFERROR(_xlfn.XLOOKUP(TRIM(B1884),Lookup!$B$2:$B$1000,Lookup!$C$2:$C$1000),"")</f>
        <v>Equity</v>
      </c>
      <c r="D1884" s="8" t="s">
        <v>37</v>
      </c>
      <c r="E1884" s="9">
        <v>45936</v>
      </c>
      <c r="F1884" s="8">
        <v>11.4673</v>
      </c>
    </row>
    <row r="1885" spans="1:6" ht="60" x14ac:dyDescent="0.25">
      <c r="A1885" s="8" t="s">
        <v>5</v>
      </c>
      <c r="B1885" s="8" t="s">
        <v>36</v>
      </c>
      <c r="C1885" s="8" t="str">
        <f>IFERROR(_xlfn.XLOOKUP(TRIM(B1885),Lookup!$B$2:$B$1000,Lookup!$C$2:$C$1000),"")</f>
        <v>Equity</v>
      </c>
      <c r="D1885" s="8" t="s">
        <v>37</v>
      </c>
      <c r="E1885" s="9">
        <v>45937</v>
      </c>
      <c r="F1885" s="8">
        <v>11.4854</v>
      </c>
    </row>
    <row r="1886" spans="1:6" ht="60" x14ac:dyDescent="0.25">
      <c r="A1886" s="8" t="s">
        <v>5</v>
      </c>
      <c r="B1886" s="8" t="s">
        <v>36</v>
      </c>
      <c r="C1886" s="8" t="str">
        <f>IFERROR(_xlfn.XLOOKUP(TRIM(B1886),Lookup!$B$2:$B$1000,Lookup!$C$2:$C$1000),"")</f>
        <v>Equity</v>
      </c>
      <c r="D1886" s="8" t="s">
        <v>37</v>
      </c>
      <c r="E1886" s="9">
        <v>45938</v>
      </c>
      <c r="F1886" s="8">
        <v>11.432399999999999</v>
      </c>
    </row>
    <row r="1887" spans="1:6" ht="60" x14ac:dyDescent="0.25">
      <c r="A1887" s="8" t="s">
        <v>5</v>
      </c>
      <c r="B1887" s="8" t="s">
        <v>36</v>
      </c>
      <c r="C1887" s="8" t="str">
        <f>IFERROR(_xlfn.XLOOKUP(TRIM(B1887),Lookup!$B$2:$B$1000,Lookup!$C$2:$C$1000),"")</f>
        <v>Equity</v>
      </c>
      <c r="D1887" s="8" t="s">
        <v>37</v>
      </c>
      <c r="E1887" s="9">
        <v>45939</v>
      </c>
      <c r="F1887" s="8">
        <v>11.4945</v>
      </c>
    </row>
    <row r="1888" spans="1:6" ht="60" x14ac:dyDescent="0.25">
      <c r="A1888" s="8" t="s">
        <v>5</v>
      </c>
      <c r="B1888" s="8" t="s">
        <v>36</v>
      </c>
      <c r="C1888" s="8" t="str">
        <f>IFERROR(_xlfn.XLOOKUP(TRIM(B1888),Lookup!$B$2:$B$1000,Lookup!$C$2:$C$1000),"")</f>
        <v>Equity</v>
      </c>
      <c r="D1888" s="8" t="s">
        <v>37</v>
      </c>
      <c r="E1888" s="9">
        <v>45940</v>
      </c>
      <c r="F1888" s="8">
        <v>11.544600000000001</v>
      </c>
    </row>
    <row r="1889" spans="1:6" ht="60" x14ac:dyDescent="0.25">
      <c r="A1889" s="8" t="s">
        <v>5</v>
      </c>
      <c r="B1889" s="8" t="s">
        <v>36</v>
      </c>
      <c r="C1889" s="8" t="str">
        <f>IFERROR(_xlfn.XLOOKUP(TRIM(B1889),Lookup!$B$2:$B$1000,Lookup!$C$2:$C$1000),"")</f>
        <v>Equity</v>
      </c>
      <c r="D1889" s="8" t="s">
        <v>37</v>
      </c>
      <c r="E1889" s="9">
        <v>45943</v>
      </c>
      <c r="F1889" s="8">
        <v>11.5252</v>
      </c>
    </row>
    <row r="1890" spans="1:6" ht="60" x14ac:dyDescent="0.25">
      <c r="A1890" s="8" t="s">
        <v>5</v>
      </c>
      <c r="B1890" s="8" t="s">
        <v>36</v>
      </c>
      <c r="C1890" s="8" t="str">
        <f>IFERROR(_xlfn.XLOOKUP(TRIM(B1890),Lookup!$B$2:$B$1000,Lookup!$C$2:$C$1000),"")</f>
        <v>Equity</v>
      </c>
      <c r="D1890" s="8" t="s">
        <v>37</v>
      </c>
      <c r="E1890" s="9">
        <v>45944</v>
      </c>
      <c r="F1890" s="8">
        <v>11.457000000000001</v>
      </c>
    </row>
    <row r="1891" spans="1:6" ht="60" x14ac:dyDescent="0.25">
      <c r="A1891" s="8" t="s">
        <v>5</v>
      </c>
      <c r="B1891" s="8" t="s">
        <v>36</v>
      </c>
      <c r="C1891" s="8" t="str">
        <f>IFERROR(_xlfn.XLOOKUP(TRIM(B1891),Lookup!$B$2:$B$1000,Lookup!$C$2:$C$1000),"")</f>
        <v>Equity</v>
      </c>
      <c r="D1891" s="8" t="s">
        <v>37</v>
      </c>
      <c r="E1891" s="9">
        <v>45945</v>
      </c>
      <c r="F1891" s="8">
        <v>11.5487</v>
      </c>
    </row>
    <row r="1892" spans="1:6" ht="60" x14ac:dyDescent="0.25">
      <c r="A1892" s="8" t="s">
        <v>5</v>
      </c>
      <c r="B1892" s="8" t="s">
        <v>36</v>
      </c>
      <c r="C1892" s="8" t="str">
        <f>IFERROR(_xlfn.XLOOKUP(TRIM(B1892),Lookup!$B$2:$B$1000,Lookup!$C$2:$C$1000),"")</f>
        <v>Equity</v>
      </c>
      <c r="D1892" s="8" t="s">
        <v>37</v>
      </c>
      <c r="E1892" s="9">
        <v>45946</v>
      </c>
      <c r="F1892" s="8">
        <v>11.628399999999999</v>
      </c>
    </row>
    <row r="1893" spans="1:6" ht="60" x14ac:dyDescent="0.25">
      <c r="A1893" s="8" t="s">
        <v>5</v>
      </c>
      <c r="B1893" s="8" t="s">
        <v>36</v>
      </c>
      <c r="C1893" s="8" t="str">
        <f>IFERROR(_xlfn.XLOOKUP(TRIM(B1893),Lookup!$B$2:$B$1000,Lookup!$C$2:$C$1000),"")</f>
        <v>Equity</v>
      </c>
      <c r="D1893" s="8" t="s">
        <v>37</v>
      </c>
      <c r="E1893" s="9">
        <v>45947</v>
      </c>
      <c r="F1893" s="8">
        <v>11.6257</v>
      </c>
    </row>
    <row r="1894" spans="1:6" ht="60" x14ac:dyDescent="0.25">
      <c r="A1894" s="8" t="s">
        <v>5</v>
      </c>
      <c r="B1894" s="8" t="s">
        <v>36</v>
      </c>
      <c r="C1894" s="8" t="str">
        <f>IFERROR(_xlfn.XLOOKUP(TRIM(B1894),Lookup!$B$2:$B$1000,Lookup!$C$2:$C$1000),"")</f>
        <v>Equity</v>
      </c>
      <c r="D1894" s="8" t="s">
        <v>37</v>
      </c>
      <c r="E1894" s="9">
        <v>45950</v>
      </c>
      <c r="F1894" s="8">
        <v>11.6911</v>
      </c>
    </row>
    <row r="1895" spans="1:6" ht="60" x14ac:dyDescent="0.25">
      <c r="A1895" s="8" t="s">
        <v>5</v>
      </c>
      <c r="B1895" s="8" t="s">
        <v>36</v>
      </c>
      <c r="C1895" s="8" t="str">
        <f>IFERROR(_xlfn.XLOOKUP(TRIM(B1895),Lookup!$B$2:$B$1000,Lookup!$C$2:$C$1000),"")</f>
        <v>Equity</v>
      </c>
      <c r="D1895" s="8" t="s">
        <v>37</v>
      </c>
      <c r="E1895" s="9">
        <v>45953</v>
      </c>
      <c r="F1895" s="8">
        <v>11.714600000000001</v>
      </c>
    </row>
    <row r="1896" spans="1:6" ht="60" x14ac:dyDescent="0.25">
      <c r="A1896" s="8" t="s">
        <v>5</v>
      </c>
      <c r="B1896" s="8" t="s">
        <v>36</v>
      </c>
      <c r="C1896" s="8" t="str">
        <f>IFERROR(_xlfn.XLOOKUP(TRIM(B1896),Lookup!$B$2:$B$1000,Lookup!$C$2:$C$1000),"")</f>
        <v>Equity</v>
      </c>
      <c r="D1896" s="8" t="s">
        <v>37</v>
      </c>
      <c r="E1896" s="9">
        <v>45954</v>
      </c>
      <c r="F1896" s="8">
        <v>11.6843</v>
      </c>
    </row>
    <row r="1897" spans="1:6" ht="60" x14ac:dyDescent="0.25">
      <c r="A1897" s="8" t="s">
        <v>5</v>
      </c>
      <c r="B1897" s="8" t="s">
        <v>36</v>
      </c>
      <c r="C1897" s="8" t="str">
        <f>IFERROR(_xlfn.XLOOKUP(TRIM(B1897),Lookup!$B$2:$B$1000,Lookup!$C$2:$C$1000),"")</f>
        <v>Equity</v>
      </c>
      <c r="D1897" s="8" t="s">
        <v>37</v>
      </c>
      <c r="E1897" s="9">
        <v>45957</v>
      </c>
      <c r="F1897" s="8">
        <v>11.767099999999999</v>
      </c>
    </row>
    <row r="1898" spans="1:6" ht="60" x14ac:dyDescent="0.25">
      <c r="A1898" s="8" t="s">
        <v>5</v>
      </c>
      <c r="B1898" s="8" t="s">
        <v>36</v>
      </c>
      <c r="C1898" s="8" t="str">
        <f>IFERROR(_xlfn.XLOOKUP(TRIM(B1898),Lookup!$B$2:$B$1000,Lookup!$C$2:$C$1000),"")</f>
        <v>Equity</v>
      </c>
      <c r="D1898" s="8" t="s">
        <v>37</v>
      </c>
      <c r="E1898" s="9">
        <v>45958</v>
      </c>
      <c r="F1898" s="8">
        <v>11.757999999999999</v>
      </c>
    </row>
    <row r="1899" spans="1:6" ht="60" x14ac:dyDescent="0.25">
      <c r="A1899" s="8" t="s">
        <v>5</v>
      </c>
      <c r="B1899" s="8" t="s">
        <v>36</v>
      </c>
      <c r="C1899" s="8" t="str">
        <f>IFERROR(_xlfn.XLOOKUP(TRIM(B1899),Lookup!$B$2:$B$1000,Lookup!$C$2:$C$1000),"")</f>
        <v>Equity</v>
      </c>
      <c r="D1899" s="8" t="s">
        <v>37</v>
      </c>
      <c r="E1899" s="9">
        <v>45959</v>
      </c>
      <c r="F1899" s="8">
        <v>11.8232</v>
      </c>
    </row>
    <row r="1900" spans="1:6" ht="60" x14ac:dyDescent="0.25">
      <c r="A1900" s="8" t="s">
        <v>5</v>
      </c>
      <c r="B1900" s="8" t="s">
        <v>36</v>
      </c>
      <c r="C1900" s="8" t="str">
        <f>IFERROR(_xlfn.XLOOKUP(TRIM(B1900),Lookup!$B$2:$B$1000,Lookup!$C$2:$C$1000),"")</f>
        <v>Equity</v>
      </c>
      <c r="D1900" s="8" t="s">
        <v>37</v>
      </c>
      <c r="E1900" s="9">
        <v>45960</v>
      </c>
      <c r="F1900" s="8">
        <v>11.784000000000001</v>
      </c>
    </row>
    <row r="1901" spans="1:6" ht="60" x14ac:dyDescent="0.25">
      <c r="A1901" s="8" t="s">
        <v>5</v>
      </c>
      <c r="B1901" s="8" t="s">
        <v>36</v>
      </c>
      <c r="C1901" s="8" t="str">
        <f>IFERROR(_xlfn.XLOOKUP(TRIM(B1901),Lookup!$B$2:$B$1000,Lookup!$C$2:$C$1000),"")</f>
        <v>Equity</v>
      </c>
      <c r="D1901" s="8" t="s">
        <v>37</v>
      </c>
      <c r="E1901" s="9">
        <v>45961</v>
      </c>
      <c r="F1901" s="8">
        <v>11.7219</v>
      </c>
    </row>
    <row r="1902" spans="1:6" ht="60" x14ac:dyDescent="0.25">
      <c r="A1902" s="8" t="s">
        <v>5</v>
      </c>
      <c r="B1902" s="8" t="s">
        <v>36</v>
      </c>
      <c r="C1902" s="8" t="str">
        <f>IFERROR(_xlfn.XLOOKUP(TRIM(B1902),Lookup!$B$2:$B$1000,Lookup!$C$2:$C$1000),"")</f>
        <v>Equity</v>
      </c>
      <c r="D1902" s="8" t="s">
        <v>37</v>
      </c>
      <c r="E1902" s="9">
        <v>45964</v>
      </c>
      <c r="F1902" s="8">
        <v>11.7803</v>
      </c>
    </row>
    <row r="1903" spans="1:6" ht="60" x14ac:dyDescent="0.25">
      <c r="A1903" s="8" t="s">
        <v>5</v>
      </c>
      <c r="B1903" s="8" t="s">
        <v>36</v>
      </c>
      <c r="C1903" s="8" t="str">
        <f>IFERROR(_xlfn.XLOOKUP(TRIM(B1903),Lookup!$B$2:$B$1000,Lookup!$C$2:$C$1000),"")</f>
        <v>Equity</v>
      </c>
      <c r="D1903" s="8" t="s">
        <v>37</v>
      </c>
      <c r="E1903" s="9">
        <v>45965</v>
      </c>
      <c r="F1903" s="8">
        <v>11.7159</v>
      </c>
    </row>
    <row r="1904" spans="1:6" ht="60" x14ac:dyDescent="0.25">
      <c r="A1904" s="8" t="s">
        <v>5</v>
      </c>
      <c r="B1904" s="8" t="s">
        <v>36</v>
      </c>
      <c r="C1904" s="8" t="str">
        <f>IFERROR(_xlfn.XLOOKUP(TRIM(B1904),Lookup!$B$2:$B$1000,Lookup!$C$2:$C$1000),"")</f>
        <v>Equity</v>
      </c>
      <c r="D1904" s="8" t="s">
        <v>37</v>
      </c>
      <c r="E1904" s="9">
        <v>45967</v>
      </c>
      <c r="F1904" s="8">
        <v>11.6174</v>
      </c>
    </row>
    <row r="1905" spans="1:6" ht="60" x14ac:dyDescent="0.25">
      <c r="A1905" s="8" t="s">
        <v>5</v>
      </c>
      <c r="B1905" s="8" t="s">
        <v>36</v>
      </c>
      <c r="C1905" s="8" t="str">
        <f>IFERROR(_xlfn.XLOOKUP(TRIM(B1905),Lookup!$B$2:$B$1000,Lookup!$C$2:$C$1000),"")</f>
        <v>Equity</v>
      </c>
      <c r="D1905" s="8" t="s">
        <v>37</v>
      </c>
      <c r="E1905" s="9">
        <v>45968</v>
      </c>
      <c r="F1905" s="8">
        <v>11.625</v>
      </c>
    </row>
    <row r="1906" spans="1:6" ht="60" x14ac:dyDescent="0.25">
      <c r="A1906" s="8" t="s">
        <v>5</v>
      </c>
      <c r="B1906" s="8" t="s">
        <v>36</v>
      </c>
      <c r="C1906" s="8" t="str">
        <f>IFERROR(_xlfn.XLOOKUP(TRIM(B1906),Lookup!$B$2:$B$1000,Lookup!$C$2:$C$1000),"")</f>
        <v>Equity</v>
      </c>
      <c r="D1906" s="8" t="s">
        <v>37</v>
      </c>
      <c r="E1906" s="9">
        <v>45971</v>
      </c>
      <c r="F1906" s="8">
        <v>11.6585</v>
      </c>
    </row>
    <row r="1907" spans="1:6" ht="60" x14ac:dyDescent="0.25">
      <c r="A1907" s="8" t="s">
        <v>5</v>
      </c>
      <c r="B1907" s="8" t="s">
        <v>36</v>
      </c>
      <c r="C1907" s="8" t="str">
        <f>IFERROR(_xlfn.XLOOKUP(TRIM(B1907),Lookup!$B$2:$B$1000,Lookup!$C$2:$C$1000),"")</f>
        <v>Equity</v>
      </c>
      <c r="D1907" s="8" t="s">
        <v>37</v>
      </c>
      <c r="E1907" s="9">
        <v>45972</v>
      </c>
      <c r="F1907" s="8">
        <v>11.688000000000001</v>
      </c>
    </row>
    <row r="1908" spans="1:6" ht="60" x14ac:dyDescent="0.25">
      <c r="A1908" s="8" t="s">
        <v>5</v>
      </c>
      <c r="B1908" s="8" t="s">
        <v>36</v>
      </c>
      <c r="C1908" s="8" t="str">
        <f>IFERROR(_xlfn.XLOOKUP(TRIM(B1908),Lookup!$B$2:$B$1000,Lookup!$C$2:$C$1000),"")</f>
        <v>Equity</v>
      </c>
      <c r="D1908" s="8" t="s">
        <v>37</v>
      </c>
      <c r="E1908" s="9">
        <v>45973</v>
      </c>
      <c r="F1908" s="8">
        <v>11.767099999999999</v>
      </c>
    </row>
    <row r="1909" spans="1:6" ht="60" x14ac:dyDescent="0.25">
      <c r="A1909" s="8" t="s">
        <v>5</v>
      </c>
      <c r="B1909" s="8" t="s">
        <v>36</v>
      </c>
      <c r="C1909" s="8" t="str">
        <f>IFERROR(_xlfn.XLOOKUP(TRIM(B1909),Lookup!$B$2:$B$1000,Lookup!$C$2:$C$1000),"")</f>
        <v>Equity</v>
      </c>
      <c r="D1909" s="8" t="s">
        <v>37</v>
      </c>
      <c r="E1909" s="9">
        <v>45974</v>
      </c>
      <c r="F1909" s="8">
        <v>11.7445</v>
      </c>
    </row>
    <row r="1910" spans="1:6" ht="60" x14ac:dyDescent="0.25">
      <c r="A1910" s="8" t="s">
        <v>5</v>
      </c>
      <c r="B1910" s="8" t="s">
        <v>36</v>
      </c>
      <c r="C1910" s="8" t="str">
        <f>IFERROR(_xlfn.XLOOKUP(TRIM(B1910),Lookup!$B$2:$B$1000,Lookup!$C$2:$C$1000),"")</f>
        <v>Equity</v>
      </c>
      <c r="D1910" s="8" t="s">
        <v>37</v>
      </c>
      <c r="E1910" s="9">
        <v>45975</v>
      </c>
      <c r="F1910" s="8">
        <v>11.757</v>
      </c>
    </row>
    <row r="1911" spans="1:6" ht="60" x14ac:dyDescent="0.25">
      <c r="A1911" s="8" t="s">
        <v>5</v>
      </c>
      <c r="B1911" s="8" t="s">
        <v>36</v>
      </c>
      <c r="C1911" s="8" t="str">
        <f>IFERROR(_xlfn.XLOOKUP(TRIM(B1911),Lookup!$B$2:$B$1000,Lookup!$C$2:$C$1000),"")</f>
        <v>Equity</v>
      </c>
      <c r="D1911" s="8" t="s">
        <v>37</v>
      </c>
      <c r="E1911" s="9">
        <v>45978</v>
      </c>
      <c r="F1911" s="8">
        <v>11.8224</v>
      </c>
    </row>
    <row r="1912" spans="1:6" ht="60" x14ac:dyDescent="0.25">
      <c r="A1912" s="8" t="s">
        <v>5</v>
      </c>
      <c r="B1912" s="8" t="s">
        <v>36</v>
      </c>
      <c r="C1912" s="8" t="str">
        <f>IFERROR(_xlfn.XLOOKUP(TRIM(B1912),Lookup!$B$2:$B$1000,Lookup!$C$2:$C$1000),"")</f>
        <v>Equity</v>
      </c>
      <c r="D1912" s="8" t="s">
        <v>37</v>
      </c>
      <c r="E1912" s="9">
        <v>45979</v>
      </c>
      <c r="F1912" s="8">
        <v>11.751200000000001</v>
      </c>
    </row>
    <row r="1913" spans="1:6" ht="60" x14ac:dyDescent="0.25">
      <c r="A1913" s="8" t="s">
        <v>5</v>
      </c>
      <c r="B1913" s="8" t="s">
        <v>36</v>
      </c>
      <c r="C1913" s="8" t="str">
        <f>IFERROR(_xlfn.XLOOKUP(TRIM(B1913),Lookup!$B$2:$B$1000,Lookup!$C$2:$C$1000),"")</f>
        <v>Equity</v>
      </c>
      <c r="D1913" s="8" t="s">
        <v>37</v>
      </c>
      <c r="E1913" s="9">
        <v>45980</v>
      </c>
      <c r="F1913" s="8">
        <v>11.7746</v>
      </c>
    </row>
    <row r="1914" spans="1:6" ht="60" x14ac:dyDescent="0.25">
      <c r="A1914" s="8" t="s">
        <v>5</v>
      </c>
      <c r="B1914" s="8" t="s">
        <v>36</v>
      </c>
      <c r="C1914" s="8" t="str">
        <f>IFERROR(_xlfn.XLOOKUP(TRIM(B1914),Lookup!$B$2:$B$1000,Lookup!$C$2:$C$1000),"")</f>
        <v>Equity</v>
      </c>
      <c r="D1914" s="8" t="s">
        <v>37</v>
      </c>
      <c r="E1914" s="9">
        <v>45981</v>
      </c>
      <c r="F1914" s="8">
        <v>11.7973</v>
      </c>
    </row>
    <row r="1915" spans="1:6" ht="60" x14ac:dyDescent="0.25">
      <c r="A1915" s="8" t="s">
        <v>5</v>
      </c>
      <c r="B1915" s="8" t="s">
        <v>36</v>
      </c>
      <c r="C1915" s="8" t="str">
        <f>IFERROR(_xlfn.XLOOKUP(TRIM(B1915),Lookup!$B$2:$B$1000,Lookup!$C$2:$C$1000),"")</f>
        <v>Equity</v>
      </c>
      <c r="D1915" s="8" t="s">
        <v>37</v>
      </c>
      <c r="E1915" s="9">
        <v>45982</v>
      </c>
      <c r="F1915" s="8">
        <v>11.6912</v>
      </c>
    </row>
    <row r="1916" spans="1:6" ht="60" x14ac:dyDescent="0.25">
      <c r="A1916" s="8" t="s">
        <v>5</v>
      </c>
      <c r="B1916" s="8" t="s">
        <v>36</v>
      </c>
      <c r="C1916" s="8" t="str">
        <f>IFERROR(_xlfn.XLOOKUP(TRIM(B1916),Lookup!$B$2:$B$1000,Lookup!$C$2:$C$1000),"")</f>
        <v>Equity</v>
      </c>
      <c r="D1916" s="8" t="s">
        <v>37</v>
      </c>
      <c r="E1916" s="9">
        <v>45987</v>
      </c>
      <c r="F1916" s="8">
        <v>11.776400000000001</v>
      </c>
    </row>
    <row r="1917" spans="1:6" ht="60" x14ac:dyDescent="0.25">
      <c r="A1917" s="8" t="s">
        <v>5</v>
      </c>
      <c r="B1917" s="8" t="s">
        <v>36</v>
      </c>
      <c r="C1917" s="8" t="str">
        <f>IFERROR(_xlfn.XLOOKUP(TRIM(B1917),Lookup!$B$2:$B$1000,Lookup!$C$2:$C$1000),"")</f>
        <v>Equity</v>
      </c>
      <c r="D1917" s="8" t="s">
        <v>37</v>
      </c>
      <c r="E1917" s="9">
        <v>45988</v>
      </c>
      <c r="F1917" s="8">
        <v>11.7661</v>
      </c>
    </row>
    <row r="1918" spans="1:6" ht="60" x14ac:dyDescent="0.25">
      <c r="A1918" s="8" t="s">
        <v>5</v>
      </c>
      <c r="B1918" s="8" t="s">
        <v>36</v>
      </c>
      <c r="C1918" s="8" t="str">
        <f>IFERROR(_xlfn.XLOOKUP(TRIM(B1918),Lookup!$B$2:$B$1000,Lookup!$C$2:$C$1000),"")</f>
        <v>Equity</v>
      </c>
      <c r="D1918" s="8" t="s">
        <v>37</v>
      </c>
      <c r="E1918" s="9">
        <v>45989</v>
      </c>
      <c r="F1918" s="8">
        <v>11.7546</v>
      </c>
    </row>
    <row r="1919" spans="1:6" ht="60" x14ac:dyDescent="0.25">
      <c r="A1919" s="8" t="s">
        <v>5</v>
      </c>
      <c r="B1919" s="8" t="s">
        <v>36</v>
      </c>
      <c r="C1919" s="8" t="str">
        <f>IFERROR(_xlfn.XLOOKUP(TRIM(B1919),Lookup!$B$2:$B$1000,Lookup!$C$2:$C$1000),"")</f>
        <v>Equity</v>
      </c>
      <c r="D1919" s="8" t="s">
        <v>37</v>
      </c>
      <c r="E1919" s="9">
        <v>45993</v>
      </c>
      <c r="F1919" s="8">
        <v>11.7119</v>
      </c>
    </row>
    <row r="1920" spans="1:6" ht="60" x14ac:dyDescent="0.25">
      <c r="A1920" s="8" t="s">
        <v>5</v>
      </c>
      <c r="B1920" s="8" t="s">
        <v>36</v>
      </c>
      <c r="C1920" s="8" t="str">
        <f>IFERROR(_xlfn.XLOOKUP(TRIM(B1920),Lookup!$B$2:$B$1000,Lookup!$C$2:$C$1000),"")</f>
        <v>Equity</v>
      </c>
      <c r="D1920" s="8" t="s">
        <v>37</v>
      </c>
      <c r="E1920" s="9">
        <v>45994</v>
      </c>
      <c r="F1920" s="8">
        <v>11.649900000000001</v>
      </c>
    </row>
    <row r="1921" spans="1:6" ht="60" x14ac:dyDescent="0.25">
      <c r="A1921" s="8" t="s">
        <v>5</v>
      </c>
      <c r="B1921" s="8" t="s">
        <v>36</v>
      </c>
      <c r="C1921" s="8" t="str">
        <f>IFERROR(_xlfn.XLOOKUP(TRIM(B1921),Lookup!$B$2:$B$1000,Lookup!$C$2:$C$1000),"")</f>
        <v>Equity</v>
      </c>
      <c r="D1921" s="8" t="s">
        <v>37</v>
      </c>
      <c r="E1921" s="9">
        <v>45995</v>
      </c>
      <c r="F1921" s="8">
        <v>11.648899999999999</v>
      </c>
    </row>
    <row r="1922" spans="1:6" ht="60" x14ac:dyDescent="0.25">
      <c r="A1922" s="8" t="s">
        <v>5</v>
      </c>
      <c r="B1922" s="8" t="s">
        <v>36</v>
      </c>
      <c r="C1922" s="8" t="str">
        <f>IFERROR(_xlfn.XLOOKUP(TRIM(B1922),Lookup!$B$2:$B$1000,Lookup!$C$2:$C$1000),"")</f>
        <v>Equity</v>
      </c>
      <c r="D1922" s="8" t="s">
        <v>37</v>
      </c>
      <c r="E1922" s="9">
        <v>45996</v>
      </c>
      <c r="F1922" s="8">
        <v>11.6769</v>
      </c>
    </row>
    <row r="1923" spans="1:6" ht="60" x14ac:dyDescent="0.25">
      <c r="A1923" s="8" t="s">
        <v>5</v>
      </c>
      <c r="B1923" s="8" t="s">
        <v>36</v>
      </c>
      <c r="C1923" s="8" t="str">
        <f>IFERROR(_xlfn.XLOOKUP(TRIM(B1923),Lookup!$B$2:$B$1000,Lookup!$C$2:$C$1000),"")</f>
        <v>Equity</v>
      </c>
      <c r="D1923" s="8" t="s">
        <v>37</v>
      </c>
      <c r="E1923" s="9">
        <v>45999</v>
      </c>
      <c r="F1923" s="8">
        <v>11.5002</v>
      </c>
    </row>
    <row r="1924" spans="1:6" ht="60" x14ac:dyDescent="0.25">
      <c r="A1924" s="8" t="s">
        <v>5</v>
      </c>
      <c r="B1924" s="8" t="s">
        <v>36</v>
      </c>
      <c r="C1924" s="8" t="str">
        <f>IFERROR(_xlfn.XLOOKUP(TRIM(B1924),Lookup!$B$2:$B$1000,Lookup!$C$2:$C$1000),"")</f>
        <v>Equity</v>
      </c>
      <c r="D1924" s="8" t="s">
        <v>37</v>
      </c>
      <c r="E1924" s="9">
        <v>46000</v>
      </c>
      <c r="F1924" s="8">
        <v>11.5214</v>
      </c>
    </row>
    <row r="1925" spans="1:6" ht="60" x14ac:dyDescent="0.25">
      <c r="A1925" s="8" t="s">
        <v>5</v>
      </c>
      <c r="B1925" s="8" t="s">
        <v>36</v>
      </c>
      <c r="C1925" s="8" t="str">
        <f>IFERROR(_xlfn.XLOOKUP(TRIM(B1925),Lookup!$B$2:$B$1000,Lookup!$C$2:$C$1000),"")</f>
        <v>Equity</v>
      </c>
      <c r="D1925" s="8" t="s">
        <v>37</v>
      </c>
      <c r="E1925" s="9">
        <v>46001</v>
      </c>
      <c r="F1925" s="8">
        <v>11.4574</v>
      </c>
    </row>
    <row r="1926" spans="1:6" ht="60" x14ac:dyDescent="0.25">
      <c r="A1926" s="8" t="s">
        <v>5</v>
      </c>
      <c r="B1926" s="8" t="s">
        <v>36</v>
      </c>
      <c r="C1926" s="8" t="str">
        <f>IFERROR(_xlfn.XLOOKUP(TRIM(B1926),Lookup!$B$2:$B$1000,Lookup!$C$2:$C$1000),"")</f>
        <v>Equity</v>
      </c>
      <c r="D1926" s="8" t="s">
        <v>37</v>
      </c>
      <c r="E1926" s="9">
        <v>46002</v>
      </c>
      <c r="F1926" s="8">
        <v>11.5303</v>
      </c>
    </row>
    <row r="1927" spans="1:6" ht="60" x14ac:dyDescent="0.25">
      <c r="A1927" s="8" t="s">
        <v>5</v>
      </c>
      <c r="B1927" s="8" t="s">
        <v>36</v>
      </c>
      <c r="C1927" s="8" t="str">
        <f>IFERROR(_xlfn.XLOOKUP(TRIM(B1927),Lookup!$B$2:$B$1000,Lookup!$C$2:$C$1000),"")</f>
        <v>Equity</v>
      </c>
      <c r="D1927" s="8" t="s">
        <v>37</v>
      </c>
      <c r="E1927" s="9">
        <v>46003</v>
      </c>
      <c r="F1927" s="8">
        <v>11.623200000000001</v>
      </c>
    </row>
    <row r="1928" spans="1:6" ht="60" x14ac:dyDescent="0.25">
      <c r="A1928" s="8" t="s">
        <v>5</v>
      </c>
      <c r="B1928" s="8" t="s">
        <v>36</v>
      </c>
      <c r="C1928" s="8" t="str">
        <f>IFERROR(_xlfn.XLOOKUP(TRIM(B1928),Lookup!$B$2:$B$1000,Lookup!$C$2:$C$1000),"")</f>
        <v>Equity</v>
      </c>
      <c r="D1928" s="8" t="s">
        <v>37</v>
      </c>
      <c r="E1928" s="9">
        <v>46006</v>
      </c>
      <c r="F1928" s="8">
        <v>11.627800000000001</v>
      </c>
    </row>
    <row r="1929" spans="1:6" ht="60" x14ac:dyDescent="0.25">
      <c r="A1929" s="8" t="s">
        <v>5</v>
      </c>
      <c r="B1929" s="8" t="s">
        <v>36</v>
      </c>
      <c r="C1929" s="8" t="str">
        <f>IFERROR(_xlfn.XLOOKUP(TRIM(B1929),Lookup!$B$2:$B$1000,Lookup!$C$2:$C$1000),"")</f>
        <v>Equity</v>
      </c>
      <c r="D1929" s="8" t="s">
        <v>37</v>
      </c>
      <c r="E1929" s="9">
        <v>46007</v>
      </c>
      <c r="F1929" s="8">
        <v>11.5488</v>
      </c>
    </row>
    <row r="1930" spans="1:6" ht="60" x14ac:dyDescent="0.25">
      <c r="A1930" s="8" t="s">
        <v>5</v>
      </c>
      <c r="B1930" s="8" t="s">
        <v>36</v>
      </c>
      <c r="C1930" s="8" t="str">
        <f>IFERROR(_xlfn.XLOOKUP(TRIM(B1930),Lookup!$B$2:$B$1000,Lookup!$C$2:$C$1000),"")</f>
        <v>Equity</v>
      </c>
      <c r="D1930" s="8" t="s">
        <v>37</v>
      </c>
      <c r="E1930" s="9">
        <v>46008</v>
      </c>
      <c r="F1930" s="8">
        <v>11.501300000000001</v>
      </c>
    </row>
    <row r="1931" spans="1:6" ht="60" x14ac:dyDescent="0.25">
      <c r="A1931" s="8" t="s">
        <v>5</v>
      </c>
      <c r="B1931" s="8" t="s">
        <v>36</v>
      </c>
      <c r="C1931" s="8" t="str">
        <f>IFERROR(_xlfn.XLOOKUP(TRIM(B1931),Lookup!$B$2:$B$1000,Lookup!$C$2:$C$1000),"")</f>
        <v>Equity</v>
      </c>
      <c r="D1931" s="8" t="s">
        <v>37</v>
      </c>
      <c r="E1931" s="9">
        <v>46009</v>
      </c>
      <c r="F1931" s="8">
        <v>11.4991</v>
      </c>
    </row>
    <row r="1932" spans="1:6" ht="60" x14ac:dyDescent="0.25">
      <c r="A1932" s="8" t="s">
        <v>5</v>
      </c>
      <c r="B1932" s="8" t="s">
        <v>36</v>
      </c>
      <c r="C1932" s="8" t="str">
        <f>IFERROR(_xlfn.XLOOKUP(TRIM(B1932),Lookup!$B$2:$B$1000,Lookup!$C$2:$C$1000),"")</f>
        <v>Equity</v>
      </c>
      <c r="D1932" s="8" t="s">
        <v>37</v>
      </c>
      <c r="E1932" s="9">
        <v>46010</v>
      </c>
      <c r="F1932" s="8">
        <v>11.604900000000001</v>
      </c>
    </row>
    <row r="1933" spans="1:6" ht="60" x14ac:dyDescent="0.25">
      <c r="A1933" s="8" t="s">
        <v>5</v>
      </c>
      <c r="B1933" s="8" t="s">
        <v>36</v>
      </c>
      <c r="C1933" s="8" t="str">
        <f>IFERROR(_xlfn.XLOOKUP(TRIM(B1933),Lookup!$B$2:$B$1000,Lookup!$C$2:$C$1000),"")</f>
        <v>Equity</v>
      </c>
      <c r="D1933" s="8" t="s">
        <v>37</v>
      </c>
      <c r="E1933" s="9">
        <v>46013</v>
      </c>
      <c r="F1933" s="8">
        <v>11.6991</v>
      </c>
    </row>
    <row r="1934" spans="1:6" ht="60" x14ac:dyDescent="0.25">
      <c r="A1934" s="8" t="s">
        <v>5</v>
      </c>
      <c r="B1934" s="8" t="s">
        <v>36</v>
      </c>
      <c r="C1934" s="8" t="str">
        <f>IFERROR(_xlfn.XLOOKUP(TRIM(B1934),Lookup!$B$2:$B$1000,Lookup!$C$2:$C$1000),"")</f>
        <v>Equity</v>
      </c>
      <c r="D1934" s="8" t="s">
        <v>37</v>
      </c>
      <c r="E1934" s="9">
        <v>46014</v>
      </c>
      <c r="F1934" s="8">
        <v>11.7178</v>
      </c>
    </row>
    <row r="1935" spans="1:6" ht="60" x14ac:dyDescent="0.25">
      <c r="A1935" s="8" t="s">
        <v>5</v>
      </c>
      <c r="B1935" s="8" t="s">
        <v>36</v>
      </c>
      <c r="C1935" s="8" t="str">
        <f>IFERROR(_xlfn.XLOOKUP(TRIM(B1935),Lookup!$B$2:$B$1000,Lookup!$C$2:$C$1000),"")</f>
        <v>Equity</v>
      </c>
      <c r="D1935" s="8" t="s">
        <v>37</v>
      </c>
      <c r="E1935" s="9">
        <v>46015</v>
      </c>
      <c r="F1935" s="8">
        <v>11.6958</v>
      </c>
    </row>
    <row r="1936" spans="1:6" ht="60" x14ac:dyDescent="0.25">
      <c r="A1936" s="8" t="s">
        <v>5</v>
      </c>
      <c r="B1936" s="8" t="s">
        <v>36</v>
      </c>
      <c r="C1936" s="8" t="str">
        <f>IFERROR(_xlfn.XLOOKUP(TRIM(B1936),Lookup!$B$2:$B$1000,Lookup!$C$2:$C$1000),"")</f>
        <v>Equity</v>
      </c>
      <c r="D1936" s="8" t="s">
        <v>37</v>
      </c>
      <c r="E1936" s="9">
        <v>46017</v>
      </c>
      <c r="F1936" s="8">
        <v>11.6653</v>
      </c>
    </row>
    <row r="1937" spans="1:6" ht="60" x14ac:dyDescent="0.25">
      <c r="A1937" s="8" t="s">
        <v>5</v>
      </c>
      <c r="B1937" s="8" t="s">
        <v>36</v>
      </c>
      <c r="C1937" s="8" t="str">
        <f>IFERROR(_xlfn.XLOOKUP(TRIM(B1937),Lookup!$B$2:$B$1000,Lookup!$C$2:$C$1000),"")</f>
        <v>Equity</v>
      </c>
      <c r="D1937" s="8" t="s">
        <v>37</v>
      </c>
      <c r="E1937" s="9">
        <v>46020</v>
      </c>
      <c r="F1937" s="8">
        <v>11.614100000000001</v>
      </c>
    </row>
    <row r="1938" spans="1:6" ht="60" x14ac:dyDescent="0.25">
      <c r="A1938" s="8" t="s">
        <v>5</v>
      </c>
      <c r="B1938" s="8" t="s">
        <v>36</v>
      </c>
      <c r="C1938" s="8" t="str">
        <f>IFERROR(_xlfn.XLOOKUP(TRIM(B1938),Lookup!$B$2:$B$1000,Lookup!$C$2:$C$1000),"")</f>
        <v>Equity</v>
      </c>
      <c r="D1938" s="8" t="s">
        <v>37</v>
      </c>
      <c r="E1938" s="9">
        <v>46022</v>
      </c>
      <c r="F1938" s="8">
        <v>11.710900000000001</v>
      </c>
    </row>
    <row r="1939" spans="1:6" ht="60" x14ac:dyDescent="0.25">
      <c r="A1939" s="8" t="s">
        <v>5</v>
      </c>
      <c r="B1939" s="8" t="s">
        <v>36</v>
      </c>
      <c r="C1939" s="8" t="str">
        <f>IFERROR(_xlfn.XLOOKUP(TRIM(B1939),Lookup!$B$2:$B$1000,Lookup!$C$2:$C$1000),"")</f>
        <v>Equity</v>
      </c>
      <c r="D1939" s="8" t="s">
        <v>37</v>
      </c>
      <c r="E1939" s="9">
        <v>46023</v>
      </c>
      <c r="F1939" s="8">
        <v>11.725300000000001</v>
      </c>
    </row>
    <row r="1940" spans="1:6" ht="60" x14ac:dyDescent="0.25">
      <c r="A1940" s="8" t="s">
        <v>5</v>
      </c>
      <c r="B1940" s="8" t="s">
        <v>36</v>
      </c>
      <c r="C1940" s="8" t="str">
        <f>IFERROR(_xlfn.XLOOKUP(TRIM(B1940),Lookup!$B$2:$B$1000,Lookup!$C$2:$C$1000),"")</f>
        <v>Equity</v>
      </c>
      <c r="D1940" s="8" t="s">
        <v>37</v>
      </c>
      <c r="E1940" s="9">
        <v>46024</v>
      </c>
      <c r="F1940" s="8">
        <v>11.817299999999999</v>
      </c>
    </row>
    <row r="1941" spans="1:6" ht="60" x14ac:dyDescent="0.25">
      <c r="A1941" s="8" t="s">
        <v>5</v>
      </c>
      <c r="B1941" s="8" t="s">
        <v>36</v>
      </c>
      <c r="C1941" s="8" t="str">
        <f>IFERROR(_xlfn.XLOOKUP(TRIM(B1941),Lookup!$B$2:$B$1000,Lookup!$C$2:$C$1000),"")</f>
        <v>Equity</v>
      </c>
      <c r="D1941" s="8" t="s">
        <v>37</v>
      </c>
      <c r="E1941" s="9">
        <v>46027</v>
      </c>
      <c r="F1941" s="8">
        <v>11.805899999999999</v>
      </c>
    </row>
    <row r="1942" spans="1:6" ht="60" x14ac:dyDescent="0.25">
      <c r="A1942" s="8" t="s">
        <v>5</v>
      </c>
      <c r="B1942" s="8" t="s">
        <v>36</v>
      </c>
      <c r="C1942" s="8" t="str">
        <f>IFERROR(_xlfn.XLOOKUP(TRIM(B1942),Lookup!$B$2:$B$1000,Lookup!$C$2:$C$1000),"")</f>
        <v>Equity</v>
      </c>
      <c r="D1942" s="8" t="s">
        <v>37</v>
      </c>
      <c r="E1942" s="9">
        <v>46028</v>
      </c>
      <c r="F1942" s="8">
        <v>11.7759</v>
      </c>
    </row>
    <row r="1943" spans="1:6" ht="60" x14ac:dyDescent="0.25">
      <c r="A1943" s="8" t="s">
        <v>5</v>
      </c>
      <c r="B1943" s="8" t="s">
        <v>36</v>
      </c>
      <c r="C1943" s="8" t="str">
        <f>IFERROR(_xlfn.XLOOKUP(TRIM(B1943),Lookup!$B$2:$B$1000,Lookup!$C$2:$C$1000),"")</f>
        <v>Equity</v>
      </c>
      <c r="D1943" s="8" t="s">
        <v>37</v>
      </c>
      <c r="E1943" s="9">
        <v>46029</v>
      </c>
      <c r="F1943" s="8">
        <v>11.786099999999999</v>
      </c>
    </row>
    <row r="1944" spans="1:6" ht="60" x14ac:dyDescent="0.25">
      <c r="A1944" s="8" t="s">
        <v>5</v>
      </c>
      <c r="B1944" s="8" t="s">
        <v>36</v>
      </c>
      <c r="C1944" s="8" t="str">
        <f>IFERROR(_xlfn.XLOOKUP(TRIM(B1944),Lookup!$B$2:$B$1000,Lookup!$C$2:$C$1000),"")</f>
        <v>Equity</v>
      </c>
      <c r="D1944" s="8" t="s">
        <v>37</v>
      </c>
      <c r="E1944" s="9">
        <v>46030</v>
      </c>
      <c r="F1944" s="8">
        <v>11.6029</v>
      </c>
    </row>
    <row r="1945" spans="1:6" ht="60" x14ac:dyDescent="0.25">
      <c r="A1945" s="8" t="s">
        <v>5</v>
      </c>
      <c r="B1945" s="8" t="s">
        <v>36</v>
      </c>
      <c r="C1945" s="8" t="str">
        <f>IFERROR(_xlfn.XLOOKUP(TRIM(B1945),Lookup!$B$2:$B$1000,Lookup!$C$2:$C$1000),"")</f>
        <v>Equity</v>
      </c>
      <c r="D1945" s="8" t="s">
        <v>37</v>
      </c>
      <c r="E1945" s="9">
        <v>46031</v>
      </c>
      <c r="F1945" s="8">
        <v>11.484500000000001</v>
      </c>
    </row>
    <row r="1946" spans="1:6" ht="60" x14ac:dyDescent="0.25">
      <c r="A1946" s="8" t="s">
        <v>5</v>
      </c>
      <c r="B1946" s="8" t="s">
        <v>36</v>
      </c>
      <c r="C1946" s="8" t="str">
        <f>IFERROR(_xlfn.XLOOKUP(TRIM(B1946),Lookup!$B$2:$B$1000,Lookup!$C$2:$C$1000),"")</f>
        <v>Equity</v>
      </c>
      <c r="D1946" s="8" t="s">
        <v>37</v>
      </c>
      <c r="E1946" s="9">
        <v>46034</v>
      </c>
      <c r="F1946" s="8">
        <v>11.4808</v>
      </c>
    </row>
    <row r="1947" spans="1:6" ht="60" x14ac:dyDescent="0.25">
      <c r="A1947" s="8" t="s">
        <v>5</v>
      </c>
      <c r="B1947" s="8" t="s">
        <v>36</v>
      </c>
      <c r="C1947" s="8" t="str">
        <f>IFERROR(_xlfn.XLOOKUP(TRIM(B1947),Lookup!$B$2:$B$1000,Lookup!$C$2:$C$1000),"")</f>
        <v>Equity</v>
      </c>
      <c r="D1947" s="8" t="s">
        <v>37</v>
      </c>
      <c r="E1947" s="9">
        <v>46035</v>
      </c>
      <c r="F1947" s="8">
        <v>11.479900000000001</v>
      </c>
    </row>
    <row r="1948" spans="1:6" ht="60" x14ac:dyDescent="0.25">
      <c r="A1948" s="8" t="s">
        <v>5</v>
      </c>
      <c r="B1948" s="8" t="s">
        <v>36</v>
      </c>
      <c r="C1948" s="8" t="str">
        <f>IFERROR(_xlfn.XLOOKUP(TRIM(B1948),Lookup!$B$2:$B$1000,Lookup!$C$2:$C$1000),"")</f>
        <v>Equity</v>
      </c>
      <c r="D1948" s="8" t="s">
        <v>37</v>
      </c>
      <c r="E1948" s="9">
        <v>46036</v>
      </c>
      <c r="F1948" s="8">
        <v>11.493499999999999</v>
      </c>
    </row>
    <row r="1949" spans="1:6" ht="60" x14ac:dyDescent="0.25">
      <c r="A1949" s="8" t="s">
        <v>5</v>
      </c>
      <c r="B1949" s="8" t="s">
        <v>36</v>
      </c>
      <c r="C1949" s="8" t="str">
        <f>IFERROR(_xlfn.XLOOKUP(TRIM(B1949),Lookup!$B$2:$B$1000,Lookup!$C$2:$C$1000),"")</f>
        <v>Equity</v>
      </c>
      <c r="D1949" s="8" t="s">
        <v>37</v>
      </c>
      <c r="E1949" s="9">
        <v>46038</v>
      </c>
      <c r="F1949" s="8">
        <v>11.4917</v>
      </c>
    </row>
    <row r="1950" spans="1:6" ht="60" x14ac:dyDescent="0.25">
      <c r="A1950" s="8" t="s">
        <v>5</v>
      </c>
      <c r="B1950" s="8" t="s">
        <v>36</v>
      </c>
      <c r="C1950" s="8" t="str">
        <f>IFERROR(_xlfn.XLOOKUP(TRIM(B1950),Lookup!$B$2:$B$1000,Lookup!$C$2:$C$1000),"")</f>
        <v>Equity</v>
      </c>
      <c r="D1950" s="8" t="s">
        <v>37</v>
      </c>
      <c r="E1950" s="9">
        <v>46041</v>
      </c>
      <c r="F1950" s="8">
        <v>11.426399999999999</v>
      </c>
    </row>
    <row r="1951" spans="1:6" ht="60" x14ac:dyDescent="0.25">
      <c r="A1951" s="8" t="s">
        <v>5</v>
      </c>
      <c r="B1951" s="8" t="s">
        <v>36</v>
      </c>
      <c r="C1951" s="8" t="str">
        <f>IFERROR(_xlfn.XLOOKUP(TRIM(B1951),Lookup!$B$2:$B$1000,Lookup!$C$2:$C$1000),"")</f>
        <v>Equity</v>
      </c>
      <c r="D1951" s="8" t="s">
        <v>37</v>
      </c>
      <c r="E1951" s="9">
        <v>46042</v>
      </c>
      <c r="F1951" s="8">
        <v>11.195600000000001</v>
      </c>
    </row>
    <row r="1952" spans="1:6" ht="60" x14ac:dyDescent="0.25">
      <c r="A1952" s="8" t="s">
        <v>5</v>
      </c>
      <c r="B1952" s="8" t="s">
        <v>36</v>
      </c>
      <c r="C1952" s="8" t="str">
        <f>IFERROR(_xlfn.XLOOKUP(TRIM(B1952),Lookup!$B$2:$B$1000,Lookup!$C$2:$C$1000),"")</f>
        <v>Equity</v>
      </c>
      <c r="D1952" s="8" t="s">
        <v>37</v>
      </c>
      <c r="E1952" s="9">
        <v>46043</v>
      </c>
      <c r="F1952" s="8">
        <v>11.1287</v>
      </c>
    </row>
    <row r="1953" spans="1:6" ht="60" x14ac:dyDescent="0.25">
      <c r="A1953" s="8" t="s">
        <v>5</v>
      </c>
      <c r="B1953" s="8" t="s">
        <v>36</v>
      </c>
      <c r="C1953" s="8" t="str">
        <f>IFERROR(_xlfn.XLOOKUP(TRIM(B1953),Lookup!$B$2:$B$1000,Lookup!$C$2:$C$1000),"")</f>
        <v>Equity</v>
      </c>
      <c r="D1953" s="8" t="s">
        <v>37</v>
      </c>
      <c r="E1953" s="9">
        <v>46044</v>
      </c>
      <c r="F1953" s="8">
        <v>11.2235</v>
      </c>
    </row>
    <row r="1954" spans="1:6" ht="60" x14ac:dyDescent="0.25">
      <c r="A1954" s="8" t="s">
        <v>5</v>
      </c>
      <c r="B1954" s="8" t="s">
        <v>36</v>
      </c>
      <c r="C1954" s="8" t="str">
        <f>IFERROR(_xlfn.XLOOKUP(TRIM(B1954),Lookup!$B$2:$B$1000,Lookup!$C$2:$C$1000),"")</f>
        <v>Equity</v>
      </c>
      <c r="D1954" s="8" t="s">
        <v>37</v>
      </c>
      <c r="E1954" s="9">
        <v>46045</v>
      </c>
      <c r="F1954" s="8">
        <v>11.057600000000001</v>
      </c>
    </row>
    <row r="1955" spans="1:6" ht="60" x14ac:dyDescent="0.25">
      <c r="A1955" s="8" t="s">
        <v>5</v>
      </c>
      <c r="B1955" s="8" t="s">
        <v>36</v>
      </c>
      <c r="C1955" s="8" t="str">
        <f>IFERROR(_xlfn.XLOOKUP(TRIM(B1955),Lookup!$B$2:$B$1000,Lookup!$C$2:$C$1000),"")</f>
        <v>Equity</v>
      </c>
      <c r="D1955" s="8" t="s">
        <v>37</v>
      </c>
      <c r="E1955" s="9">
        <v>46049</v>
      </c>
      <c r="F1955" s="8">
        <v>11.105700000000001</v>
      </c>
    </row>
    <row r="1956" spans="1:6" ht="60" x14ac:dyDescent="0.25">
      <c r="A1956" s="8" t="s">
        <v>5</v>
      </c>
      <c r="B1956" s="8" t="s">
        <v>36</v>
      </c>
      <c r="C1956" s="8" t="str">
        <f>IFERROR(_xlfn.XLOOKUP(TRIM(B1956),Lookup!$B$2:$B$1000,Lookup!$C$2:$C$1000),"")</f>
        <v>Equity</v>
      </c>
      <c r="D1956" s="8" t="s">
        <v>37</v>
      </c>
      <c r="E1956" s="9">
        <v>46050</v>
      </c>
      <c r="F1956" s="8">
        <v>11.2521</v>
      </c>
    </row>
    <row r="1957" spans="1:6" ht="60" x14ac:dyDescent="0.25">
      <c r="A1957" s="8" t="s">
        <v>5</v>
      </c>
      <c r="B1957" s="8" t="s">
        <v>36</v>
      </c>
      <c r="C1957" s="8" t="str">
        <f>IFERROR(_xlfn.XLOOKUP(TRIM(B1957),Lookup!$B$2:$B$1000,Lookup!$C$2:$C$1000),"")</f>
        <v>Equity</v>
      </c>
      <c r="D1957" s="8" t="s">
        <v>37</v>
      </c>
      <c r="E1957" s="9">
        <v>46051</v>
      </c>
      <c r="F1957" s="8">
        <v>11.2669</v>
      </c>
    </row>
    <row r="1958" spans="1:6" ht="60" x14ac:dyDescent="0.25">
      <c r="A1958" s="8" t="s">
        <v>5</v>
      </c>
      <c r="B1958" s="8" t="s">
        <v>36</v>
      </c>
      <c r="C1958" s="8" t="str">
        <f>IFERROR(_xlfn.XLOOKUP(TRIM(B1958),Lookup!$B$2:$B$1000,Lookup!$C$2:$C$1000),"")</f>
        <v>Equity</v>
      </c>
      <c r="D1958" s="8" t="s">
        <v>37</v>
      </c>
      <c r="E1958" s="9">
        <v>46052</v>
      </c>
      <c r="F1958" s="8">
        <v>11.2704</v>
      </c>
    </row>
    <row r="1959" spans="1:6" ht="60" x14ac:dyDescent="0.25">
      <c r="A1959" s="8" t="s">
        <v>5</v>
      </c>
      <c r="B1959" s="8" t="s">
        <v>36</v>
      </c>
      <c r="C1959" s="8" t="str">
        <f>IFERROR(_xlfn.XLOOKUP(TRIM(B1959),Lookup!$B$2:$B$1000,Lookup!$C$2:$C$1000),"")</f>
        <v>Equity</v>
      </c>
      <c r="D1959" s="8" t="s">
        <v>37</v>
      </c>
      <c r="E1959" s="9">
        <v>46054</v>
      </c>
      <c r="F1959" s="8">
        <v>11.0389</v>
      </c>
    </row>
    <row r="1960" spans="1:6" ht="60" x14ac:dyDescent="0.25">
      <c r="A1960" s="8" t="s">
        <v>5</v>
      </c>
      <c r="B1960" s="8" t="s">
        <v>36</v>
      </c>
      <c r="C1960" s="8" t="str">
        <f>IFERROR(_xlfn.XLOOKUP(TRIM(B1960),Lookup!$B$2:$B$1000,Lookup!$C$2:$C$1000),"")</f>
        <v>Equity</v>
      </c>
      <c r="D1960" s="8" t="s">
        <v>37</v>
      </c>
      <c r="E1960" s="9">
        <v>46055</v>
      </c>
      <c r="F1960" s="8">
        <v>11.1349</v>
      </c>
    </row>
    <row r="1961" spans="1:6" ht="60" x14ac:dyDescent="0.25">
      <c r="A1961" s="8" t="s">
        <v>5</v>
      </c>
      <c r="B1961" s="8" t="s">
        <v>36</v>
      </c>
      <c r="C1961" s="8" t="str">
        <f>IFERROR(_xlfn.XLOOKUP(TRIM(B1961),Lookup!$B$2:$B$1000,Lookup!$C$2:$C$1000),"")</f>
        <v>Equity</v>
      </c>
      <c r="D1961" s="8" t="s">
        <v>37</v>
      </c>
      <c r="E1961" s="9">
        <v>46056</v>
      </c>
      <c r="F1961" s="8">
        <v>11.4335</v>
      </c>
    </row>
    <row r="1962" spans="1:6" ht="60" x14ac:dyDescent="0.25">
      <c r="A1962" s="8" t="s">
        <v>5</v>
      </c>
      <c r="B1962" s="8" t="s">
        <v>36</v>
      </c>
      <c r="C1962" s="8" t="str">
        <f>IFERROR(_xlfn.XLOOKUP(TRIM(B1962),Lookup!$B$2:$B$1000,Lookup!$C$2:$C$1000),"")</f>
        <v>Equity</v>
      </c>
      <c r="D1962" s="8" t="s">
        <v>37</v>
      </c>
      <c r="E1962" s="9">
        <v>46057</v>
      </c>
      <c r="F1962" s="8">
        <v>11.4849</v>
      </c>
    </row>
    <row r="1963" spans="1:6" ht="60" x14ac:dyDescent="0.25">
      <c r="A1963" s="8" t="s">
        <v>5</v>
      </c>
      <c r="B1963" s="8" t="s">
        <v>36</v>
      </c>
      <c r="C1963" s="8" t="str">
        <f>IFERROR(_xlfn.XLOOKUP(TRIM(B1963),Lookup!$B$2:$B$1000,Lookup!$C$2:$C$1000),"")</f>
        <v>Equity</v>
      </c>
      <c r="D1963" s="8" t="s">
        <v>37</v>
      </c>
      <c r="E1963" s="9">
        <v>46058</v>
      </c>
      <c r="F1963" s="8">
        <v>11.4209</v>
      </c>
    </row>
    <row r="1964" spans="1:6" ht="60" x14ac:dyDescent="0.25">
      <c r="A1964" s="8" t="s">
        <v>5</v>
      </c>
      <c r="B1964" s="8" t="s">
        <v>36</v>
      </c>
      <c r="C1964" s="8" t="str">
        <f>IFERROR(_xlfn.XLOOKUP(TRIM(B1964),Lookup!$B$2:$B$1000,Lookup!$C$2:$C$1000),"")</f>
        <v>Equity</v>
      </c>
      <c r="D1964" s="8" t="s">
        <v>37</v>
      </c>
      <c r="E1964" s="9">
        <v>46059</v>
      </c>
      <c r="F1964" s="8">
        <v>11.4208</v>
      </c>
    </row>
    <row r="1965" spans="1:6" ht="60" x14ac:dyDescent="0.25">
      <c r="A1965" s="8" t="s">
        <v>5</v>
      </c>
      <c r="B1965" s="8" t="s">
        <v>36</v>
      </c>
      <c r="C1965" s="8" t="str">
        <f>IFERROR(_xlfn.XLOOKUP(TRIM(B1965),Lookup!$B$2:$B$1000,Lookup!$C$2:$C$1000),"")</f>
        <v>Equity</v>
      </c>
      <c r="D1965" s="8" t="s">
        <v>37</v>
      </c>
      <c r="E1965" s="9">
        <v>46062</v>
      </c>
      <c r="F1965" s="8">
        <v>11.580299999999999</v>
      </c>
    </row>
    <row r="1966" spans="1:6" ht="60" x14ac:dyDescent="0.25">
      <c r="A1966" s="8" t="s">
        <v>5</v>
      </c>
      <c r="B1966" s="8" t="s">
        <v>36</v>
      </c>
      <c r="C1966" s="8" t="str">
        <f>IFERROR(_xlfn.XLOOKUP(TRIM(B1966),Lookup!$B$2:$B$1000,Lookup!$C$2:$C$1000),"")</f>
        <v>Equity</v>
      </c>
      <c r="D1966" s="8" t="s">
        <v>37</v>
      </c>
      <c r="E1966" s="9">
        <v>46063</v>
      </c>
      <c r="F1966" s="8">
        <v>11.6183</v>
      </c>
    </row>
    <row r="1967" spans="1:6" ht="60" x14ac:dyDescent="0.25">
      <c r="A1967" s="8" t="s">
        <v>5</v>
      </c>
      <c r="B1967" s="8" t="s">
        <v>36</v>
      </c>
      <c r="C1967" s="8" t="str">
        <f>IFERROR(_xlfn.XLOOKUP(TRIM(B1967),Lookup!$B$2:$B$1000,Lookup!$C$2:$C$1000),"")</f>
        <v>Equity</v>
      </c>
      <c r="D1967" s="8" t="s">
        <v>37</v>
      </c>
      <c r="E1967" s="9">
        <v>46064</v>
      </c>
      <c r="F1967" s="8">
        <v>11.6328</v>
      </c>
    </row>
    <row r="1968" spans="1:6" ht="60" x14ac:dyDescent="0.25">
      <c r="A1968" s="8" t="s">
        <v>5</v>
      </c>
      <c r="B1968" s="8" t="s">
        <v>36</v>
      </c>
      <c r="C1968" s="8" t="str">
        <f>IFERROR(_xlfn.XLOOKUP(TRIM(B1968),Lookup!$B$2:$B$1000,Lookup!$C$2:$C$1000),"")</f>
        <v>Equity</v>
      </c>
      <c r="D1968" s="8" t="s">
        <v>37</v>
      </c>
      <c r="E1968" s="9">
        <v>46065</v>
      </c>
      <c r="F1968" s="8">
        <v>11.563499999999999</v>
      </c>
    </row>
    <row r="1969" spans="1:6" ht="60" x14ac:dyDescent="0.25">
      <c r="A1969" s="8" t="s">
        <v>5</v>
      </c>
      <c r="B1969" s="8" t="s">
        <v>36</v>
      </c>
      <c r="C1969" s="8" t="str">
        <f>IFERROR(_xlfn.XLOOKUP(TRIM(B1969),Lookup!$B$2:$B$1000,Lookup!$C$2:$C$1000),"")</f>
        <v>Equity</v>
      </c>
      <c r="D1969" s="8" t="s">
        <v>37</v>
      </c>
      <c r="E1969" s="9">
        <v>46066</v>
      </c>
      <c r="F1969" s="8">
        <v>11.3934</v>
      </c>
    </row>
    <row r="1970" spans="1:6" ht="60" x14ac:dyDescent="0.25">
      <c r="A1970" s="8" t="s">
        <v>5</v>
      </c>
      <c r="B1970" s="8" t="s">
        <v>36</v>
      </c>
      <c r="C1970" s="8" t="str">
        <f>IFERROR(_xlfn.XLOOKUP(TRIM(B1970),Lookup!$B$2:$B$1000,Lookup!$C$2:$C$1000),"")</f>
        <v>Equity</v>
      </c>
      <c r="D1970" s="8" t="s">
        <v>37</v>
      </c>
      <c r="E1970" s="9">
        <v>46069</v>
      </c>
      <c r="F1970" s="8">
        <v>11.4518</v>
      </c>
    </row>
    <row r="1971" spans="1:6" ht="60" x14ac:dyDescent="0.25">
      <c r="A1971" s="8" t="s">
        <v>5</v>
      </c>
      <c r="B1971" s="8" t="s">
        <v>36</v>
      </c>
      <c r="C1971" s="8" t="str">
        <f>IFERROR(_xlfn.XLOOKUP(TRIM(B1971),Lookup!$B$2:$B$1000,Lookup!$C$2:$C$1000),"")</f>
        <v>Equity</v>
      </c>
      <c r="D1971" s="8" t="s">
        <v>37</v>
      </c>
      <c r="E1971" s="9">
        <v>46070</v>
      </c>
      <c r="F1971" s="8">
        <v>11.497299999999999</v>
      </c>
    </row>
    <row r="1972" spans="1:6" ht="60" x14ac:dyDescent="0.25">
      <c r="A1972" s="8" t="s">
        <v>5</v>
      </c>
      <c r="B1972" s="8" t="s">
        <v>36</v>
      </c>
      <c r="C1972" s="8" t="str">
        <f>IFERROR(_xlfn.XLOOKUP(TRIM(B1972),Lookup!$B$2:$B$1000,Lookup!$C$2:$C$1000),"")</f>
        <v>Equity</v>
      </c>
      <c r="D1972" s="8" t="s">
        <v>37</v>
      </c>
      <c r="E1972" s="9">
        <v>46071</v>
      </c>
      <c r="F1972" s="8">
        <v>11.5535</v>
      </c>
    </row>
    <row r="1973" spans="1:6" ht="60" x14ac:dyDescent="0.25">
      <c r="A1973" s="8" t="s">
        <v>5</v>
      </c>
      <c r="B1973" s="8" t="s">
        <v>36</v>
      </c>
      <c r="C1973" s="8" t="str">
        <f>IFERROR(_xlfn.XLOOKUP(TRIM(B1973),Lookup!$B$2:$B$1000,Lookup!$C$2:$C$1000),"")</f>
        <v>Equity</v>
      </c>
      <c r="D1973" s="8" t="s">
        <v>37</v>
      </c>
      <c r="E1973" s="9">
        <v>46072</v>
      </c>
      <c r="F1973" s="8">
        <v>11.3881</v>
      </c>
    </row>
    <row r="1974" spans="1:6" ht="60" x14ac:dyDescent="0.25">
      <c r="A1974" s="8" t="s">
        <v>5</v>
      </c>
      <c r="B1974" s="8" t="s">
        <v>36</v>
      </c>
      <c r="C1974" s="8" t="str">
        <f>IFERROR(_xlfn.XLOOKUP(TRIM(B1974),Lookup!$B$2:$B$1000,Lookup!$C$2:$C$1000),"")</f>
        <v>Equity</v>
      </c>
      <c r="D1974" s="8" t="s">
        <v>37</v>
      </c>
      <c r="E1974" s="9">
        <v>46073</v>
      </c>
      <c r="F1974" s="8">
        <v>11.4275</v>
      </c>
    </row>
    <row r="1975" spans="1:6" ht="60" x14ac:dyDescent="0.25">
      <c r="A1975" s="8" t="s">
        <v>5</v>
      </c>
      <c r="B1975" s="8" t="s">
        <v>36</v>
      </c>
      <c r="C1975" s="8" t="str">
        <f>IFERROR(_xlfn.XLOOKUP(TRIM(B1975),Lookup!$B$2:$B$1000,Lookup!$C$2:$C$1000),"")</f>
        <v>Equity</v>
      </c>
      <c r="D1975" s="8" t="s">
        <v>37</v>
      </c>
      <c r="E1975" s="9">
        <v>46076</v>
      </c>
      <c r="F1975" s="8">
        <v>11.4621</v>
      </c>
    </row>
    <row r="1976" spans="1:6" ht="60" x14ac:dyDescent="0.25">
      <c r="A1976" s="8" t="s">
        <v>5</v>
      </c>
      <c r="B1976" s="8" t="s">
        <v>36</v>
      </c>
      <c r="C1976" s="8" t="str">
        <f>IFERROR(_xlfn.XLOOKUP(TRIM(B1976),Lookup!$B$2:$B$1000,Lookup!$C$2:$C$1000),"")</f>
        <v>Equity</v>
      </c>
      <c r="D1976" s="8" t="s">
        <v>37</v>
      </c>
      <c r="E1976" s="9">
        <v>46077</v>
      </c>
      <c r="F1976" s="8">
        <v>11.3879</v>
      </c>
    </row>
    <row r="1977" spans="1:6" ht="60" x14ac:dyDescent="0.25">
      <c r="A1977" s="8" t="s">
        <v>5</v>
      </c>
      <c r="B1977" s="8" t="s">
        <v>36</v>
      </c>
      <c r="C1977" s="8" t="str">
        <f>IFERROR(_xlfn.XLOOKUP(TRIM(B1977),Lookup!$B$2:$B$1000,Lookup!$C$2:$C$1000),"")</f>
        <v>Equity</v>
      </c>
      <c r="D1977" s="8" t="s">
        <v>37</v>
      </c>
      <c r="E1977" s="9">
        <v>46078</v>
      </c>
      <c r="F1977" s="8">
        <v>11.4397</v>
      </c>
    </row>
    <row r="1978" spans="1:6" ht="60" x14ac:dyDescent="0.25">
      <c r="A1978" s="8" t="s">
        <v>5</v>
      </c>
      <c r="B1978" s="8" t="s">
        <v>36</v>
      </c>
      <c r="C1978" s="8" t="str">
        <f>IFERROR(_xlfn.XLOOKUP(TRIM(B1978),Lookup!$B$2:$B$1000,Lookup!$C$2:$C$1000),"")</f>
        <v>Equity</v>
      </c>
      <c r="D1978" s="8" t="s">
        <v>37</v>
      </c>
      <c r="E1978" s="9">
        <v>46079</v>
      </c>
      <c r="F1978" s="8">
        <v>11.462199999999999</v>
      </c>
    </row>
    <row r="1979" spans="1:6" ht="60" x14ac:dyDescent="0.25">
      <c r="A1979" s="8" t="s">
        <v>5</v>
      </c>
      <c r="B1979" s="8" t="s">
        <v>36</v>
      </c>
      <c r="C1979" s="8" t="str">
        <f>IFERROR(_xlfn.XLOOKUP(TRIM(B1979),Lookup!$B$2:$B$1000,Lookup!$C$2:$C$1000),"")</f>
        <v>Equity</v>
      </c>
      <c r="D1979" s="8" t="s">
        <v>37</v>
      </c>
      <c r="E1979" s="9">
        <v>46080</v>
      </c>
      <c r="F1979" s="8">
        <v>11.334899999999999</v>
      </c>
    </row>
    <row r="1980" spans="1:6" ht="60" x14ac:dyDescent="0.25">
      <c r="A1980" s="8" t="s">
        <v>5</v>
      </c>
      <c r="B1980" s="8" t="s">
        <v>36</v>
      </c>
      <c r="C1980" s="8" t="str">
        <f>IFERROR(_xlfn.XLOOKUP(TRIM(B1980),Lookup!$B$2:$B$1000,Lookup!$C$2:$C$1000),"")</f>
        <v>Equity</v>
      </c>
      <c r="D1980" s="8" t="s">
        <v>37</v>
      </c>
      <c r="E1980" s="9">
        <v>46083</v>
      </c>
      <c r="F1980" s="8">
        <v>11.157500000000001</v>
      </c>
    </row>
    <row r="1981" spans="1:6" ht="60" x14ac:dyDescent="0.25">
      <c r="A1981" s="8" t="s">
        <v>5</v>
      </c>
      <c r="B1981" s="8" t="s">
        <v>36</v>
      </c>
      <c r="C1981" s="8" t="str">
        <f>IFERROR(_xlfn.XLOOKUP(TRIM(B1981),Lookup!$B$2:$B$1000,Lookup!$C$2:$C$1000),"")</f>
        <v>Equity</v>
      </c>
      <c r="D1981" s="8" t="s">
        <v>37</v>
      </c>
      <c r="E1981" s="9">
        <v>46085</v>
      </c>
      <c r="F1981" s="8">
        <v>10.9361</v>
      </c>
    </row>
    <row r="1982" spans="1:6" ht="60" x14ac:dyDescent="0.25">
      <c r="A1982" s="8" t="s">
        <v>5</v>
      </c>
      <c r="B1982" s="8" t="s">
        <v>36</v>
      </c>
      <c r="C1982" s="8" t="str">
        <f>IFERROR(_xlfn.XLOOKUP(TRIM(B1982),Lookup!$B$2:$B$1000,Lookup!$C$2:$C$1000),"")</f>
        <v>Equity</v>
      </c>
      <c r="D1982" s="8" t="s">
        <v>37</v>
      </c>
      <c r="E1982" s="9">
        <v>46086</v>
      </c>
      <c r="F1982" s="8">
        <v>11.082100000000001</v>
      </c>
    </row>
    <row r="1983" spans="1:6" ht="60" x14ac:dyDescent="0.25">
      <c r="A1983" s="8" t="s">
        <v>5</v>
      </c>
      <c r="B1983" s="8" t="s">
        <v>36</v>
      </c>
      <c r="C1983" s="8" t="str">
        <f>IFERROR(_xlfn.XLOOKUP(TRIM(B1983),Lookup!$B$2:$B$1000,Lookup!$C$2:$C$1000),"")</f>
        <v>Equity</v>
      </c>
      <c r="D1983" s="8" t="s">
        <v>37</v>
      </c>
      <c r="E1983" s="9">
        <v>46087</v>
      </c>
      <c r="F1983" s="8">
        <v>11.001099999999999</v>
      </c>
    </row>
    <row r="1984" spans="1:6" ht="60" x14ac:dyDescent="0.25">
      <c r="A1984" s="8" t="s">
        <v>5</v>
      </c>
      <c r="B1984" s="8" t="s">
        <v>36</v>
      </c>
      <c r="C1984" s="8" t="str">
        <f>IFERROR(_xlfn.XLOOKUP(TRIM(B1984),Lookup!$B$2:$B$1000,Lookup!$C$2:$C$1000),"")</f>
        <v>Equity</v>
      </c>
      <c r="D1984" s="8" t="s">
        <v>37</v>
      </c>
      <c r="E1984" s="9">
        <v>46090</v>
      </c>
      <c r="F1984" s="8">
        <v>10.783300000000001</v>
      </c>
    </row>
    <row r="1985" spans="1:6" ht="60" x14ac:dyDescent="0.25">
      <c r="A1985" s="8" t="s">
        <v>5</v>
      </c>
      <c r="B1985" s="8" t="s">
        <v>36</v>
      </c>
      <c r="C1985" s="8" t="str">
        <f>IFERROR(_xlfn.XLOOKUP(TRIM(B1985),Lookup!$B$2:$B$1000,Lookup!$C$2:$C$1000),"")</f>
        <v>Equity</v>
      </c>
      <c r="D1985" s="8" t="s">
        <v>37</v>
      </c>
      <c r="E1985" s="9">
        <v>46091</v>
      </c>
      <c r="F1985" s="8">
        <v>10.937799999999999</v>
      </c>
    </row>
    <row r="1986" spans="1:6" ht="60" x14ac:dyDescent="0.25">
      <c r="A1986" s="8" t="s">
        <v>5</v>
      </c>
      <c r="B1986" s="8" t="s">
        <v>36</v>
      </c>
      <c r="C1986" s="8" t="str">
        <f>IFERROR(_xlfn.XLOOKUP(TRIM(B1986),Lookup!$B$2:$B$1000,Lookup!$C$2:$C$1000),"")</f>
        <v>Equity</v>
      </c>
      <c r="D1986" s="8" t="s">
        <v>37</v>
      </c>
      <c r="E1986" s="9">
        <v>46092</v>
      </c>
      <c r="F1986" s="8">
        <v>10.812099999999999</v>
      </c>
    </row>
    <row r="1987" spans="1:6" ht="60" x14ac:dyDescent="0.25">
      <c r="A1987" s="8" t="s">
        <v>5</v>
      </c>
      <c r="B1987" s="8" t="s">
        <v>36</v>
      </c>
      <c r="C1987" s="8" t="str">
        <f>IFERROR(_xlfn.XLOOKUP(TRIM(B1987),Lookup!$B$2:$B$1000,Lookup!$C$2:$C$1000),"")</f>
        <v>Equity</v>
      </c>
      <c r="D1987" s="8" t="s">
        <v>37</v>
      </c>
      <c r="E1987" s="9">
        <v>46093</v>
      </c>
      <c r="F1987" s="8">
        <v>10.7553</v>
      </c>
    </row>
    <row r="1988" spans="1:6" ht="60" x14ac:dyDescent="0.25">
      <c r="A1988" s="8" t="s">
        <v>5</v>
      </c>
      <c r="B1988" s="8" t="s">
        <v>36</v>
      </c>
      <c r="C1988" s="8" t="str">
        <f>IFERROR(_xlfn.XLOOKUP(TRIM(B1988),Lookup!$B$2:$B$1000,Lookup!$C$2:$C$1000),"")</f>
        <v>Equity</v>
      </c>
      <c r="D1988" s="8" t="s">
        <v>37</v>
      </c>
      <c r="E1988" s="9">
        <v>46094</v>
      </c>
      <c r="F1988" s="8">
        <v>10.4941</v>
      </c>
    </row>
    <row r="1989" spans="1:6" ht="60" x14ac:dyDescent="0.25">
      <c r="A1989" s="8" t="s">
        <v>5</v>
      </c>
      <c r="B1989" s="8" t="s">
        <v>36</v>
      </c>
      <c r="C1989" s="8" t="str">
        <f>IFERROR(_xlfn.XLOOKUP(TRIM(B1989),Lookup!$B$2:$B$1000,Lookup!$C$2:$C$1000),"")</f>
        <v>Equity</v>
      </c>
      <c r="D1989" s="8" t="s">
        <v>37</v>
      </c>
      <c r="E1989" s="9">
        <v>46097</v>
      </c>
      <c r="F1989" s="8">
        <v>10.513199999999999</v>
      </c>
    </row>
    <row r="1990" spans="1:6" ht="60" x14ac:dyDescent="0.25">
      <c r="A1990" s="8" t="s">
        <v>5</v>
      </c>
      <c r="B1990" s="8" t="s">
        <v>36</v>
      </c>
      <c r="C1990" s="8" t="str">
        <f>IFERROR(_xlfn.XLOOKUP(TRIM(B1990),Lookup!$B$2:$B$1000,Lookup!$C$2:$C$1000),"")</f>
        <v>Equity</v>
      </c>
      <c r="D1990" s="8" t="s">
        <v>37</v>
      </c>
      <c r="E1990" s="9">
        <v>46098</v>
      </c>
      <c r="F1990" s="8">
        <v>10.593999999999999</v>
      </c>
    </row>
    <row r="1991" spans="1:6" ht="60" x14ac:dyDescent="0.25">
      <c r="A1991" s="8" t="s">
        <v>5</v>
      </c>
      <c r="B1991" s="8" t="s">
        <v>36</v>
      </c>
      <c r="C1991" s="8" t="str">
        <f>IFERROR(_xlfn.XLOOKUP(TRIM(B1991),Lookup!$B$2:$B$1000,Lookup!$C$2:$C$1000),"")</f>
        <v>Equity</v>
      </c>
      <c r="D1991" s="8" t="s">
        <v>37</v>
      </c>
      <c r="E1991" s="9">
        <v>46099</v>
      </c>
      <c r="F1991" s="8">
        <v>10.738300000000001</v>
      </c>
    </row>
    <row r="1992" spans="1:6" ht="60" x14ac:dyDescent="0.25">
      <c r="A1992" s="8" t="s">
        <v>5</v>
      </c>
      <c r="B1992" s="8" t="s">
        <v>36</v>
      </c>
      <c r="C1992" s="8" t="str">
        <f>IFERROR(_xlfn.XLOOKUP(TRIM(B1992),Lookup!$B$2:$B$1000,Lookup!$C$2:$C$1000),"")</f>
        <v>Equity</v>
      </c>
      <c r="D1992" s="8" t="s">
        <v>37</v>
      </c>
      <c r="E1992" s="9">
        <v>46100</v>
      </c>
      <c r="F1992" s="8">
        <v>10.4115</v>
      </c>
    </row>
    <row r="1993" spans="1:6" ht="60" x14ac:dyDescent="0.25">
      <c r="A1993" s="8" t="s">
        <v>5</v>
      </c>
      <c r="B1993" s="8" t="s">
        <v>36</v>
      </c>
      <c r="C1993" s="8" t="str">
        <f>IFERROR(_xlfn.XLOOKUP(TRIM(B1993),Lookup!$B$2:$B$1000,Lookup!$C$2:$C$1000),"")</f>
        <v>Equity</v>
      </c>
      <c r="D1993" s="8" t="s">
        <v>37</v>
      </c>
      <c r="E1993" s="9">
        <v>46101</v>
      </c>
      <c r="F1993" s="8">
        <v>10.460900000000001</v>
      </c>
    </row>
    <row r="1994" spans="1:6" ht="60" x14ac:dyDescent="0.25">
      <c r="A1994" s="8" t="s">
        <v>5</v>
      </c>
      <c r="B1994" s="8" t="s">
        <v>36</v>
      </c>
      <c r="C1994" s="8" t="str">
        <f>IFERROR(_xlfn.XLOOKUP(TRIM(B1994),Lookup!$B$2:$B$1000,Lookup!$C$2:$C$1000),"")</f>
        <v>Equity</v>
      </c>
      <c r="D1994" s="8" t="s">
        <v>37</v>
      </c>
      <c r="E1994" s="9">
        <v>46104</v>
      </c>
      <c r="F1994" s="8">
        <v>10.131500000000001</v>
      </c>
    </row>
    <row r="1995" spans="1:6" ht="60" x14ac:dyDescent="0.25">
      <c r="A1995" s="8" t="s">
        <v>5</v>
      </c>
      <c r="B1995" s="8" t="s">
        <v>36</v>
      </c>
      <c r="C1995" s="8" t="str">
        <f>IFERROR(_xlfn.XLOOKUP(TRIM(B1995),Lookup!$B$2:$B$1000,Lookup!$C$2:$C$1000),"")</f>
        <v>Equity</v>
      </c>
      <c r="D1995" s="8" t="s">
        <v>37</v>
      </c>
      <c r="E1995" s="9">
        <v>46105</v>
      </c>
      <c r="F1995" s="8">
        <v>10.3324</v>
      </c>
    </row>
    <row r="1996" spans="1:6" ht="60" x14ac:dyDescent="0.25">
      <c r="A1996" s="8" t="s">
        <v>5</v>
      </c>
      <c r="B1996" s="8" t="s">
        <v>36</v>
      </c>
      <c r="C1996" s="8" t="str">
        <f>IFERROR(_xlfn.XLOOKUP(TRIM(B1996),Lookup!$B$2:$B$1000,Lookup!$C$2:$C$1000),"")</f>
        <v>Equity</v>
      </c>
      <c r="D1996" s="8" t="s">
        <v>37</v>
      </c>
      <c r="E1996" s="9">
        <v>46106</v>
      </c>
      <c r="F1996" s="8">
        <v>10.543799999999999</v>
      </c>
    </row>
    <row r="1997" spans="1:6" ht="60" x14ac:dyDescent="0.25">
      <c r="A1997" s="8" t="s">
        <v>5</v>
      </c>
      <c r="B1997" s="8" t="s">
        <v>36</v>
      </c>
      <c r="C1997" s="8" t="str">
        <f>IFERROR(_xlfn.XLOOKUP(TRIM(B1997),Lookup!$B$2:$B$1000,Lookup!$C$2:$C$1000),"")</f>
        <v>Equity</v>
      </c>
      <c r="D1997" s="8" t="s">
        <v>37</v>
      </c>
      <c r="E1997" s="9">
        <v>46108</v>
      </c>
      <c r="F1997" s="8">
        <v>10.3233</v>
      </c>
    </row>
    <row r="1998" spans="1:6" ht="60" x14ac:dyDescent="0.25">
      <c r="A1998" s="8" t="s">
        <v>5</v>
      </c>
      <c r="B1998" s="8" t="s">
        <v>36</v>
      </c>
      <c r="C1998" s="8" t="str">
        <f>IFERROR(_xlfn.XLOOKUP(TRIM(B1998),Lookup!$B$2:$B$1000,Lookup!$C$2:$C$1000),"")</f>
        <v>Equity</v>
      </c>
      <c r="D1998" s="8" t="s">
        <v>37</v>
      </c>
      <c r="E1998" s="9">
        <v>46111</v>
      </c>
      <c r="F1998" s="8">
        <v>10.08</v>
      </c>
    </row>
    <row r="1999" spans="1:6" ht="60" x14ac:dyDescent="0.25">
      <c r="A1999" s="8" t="s">
        <v>5</v>
      </c>
      <c r="B1999" s="8" t="s">
        <v>36</v>
      </c>
      <c r="C1999" s="8" t="str">
        <f>IFERROR(_xlfn.XLOOKUP(TRIM(B1999),Lookup!$B$2:$B$1000,Lookup!$C$2:$C$1000),"")</f>
        <v>Equity</v>
      </c>
      <c r="D1999" s="8" t="s">
        <v>37</v>
      </c>
      <c r="E1999" s="9">
        <v>46113</v>
      </c>
      <c r="F1999" s="8">
        <v>10.3063</v>
      </c>
    </row>
    <row r="2000" spans="1:6" ht="60" x14ac:dyDescent="0.25">
      <c r="A2000" s="8" t="s">
        <v>5</v>
      </c>
      <c r="B2000" s="8" t="s">
        <v>36</v>
      </c>
      <c r="C2000" s="8" t="str">
        <f>IFERROR(_xlfn.XLOOKUP(TRIM(B2000),Lookup!$B$2:$B$1000,Lookup!$C$2:$C$1000),"")</f>
        <v>Equity</v>
      </c>
      <c r="D2000" s="8" t="s">
        <v>37</v>
      </c>
      <c r="E2000" s="9">
        <v>46114</v>
      </c>
      <c r="F2000" s="8">
        <v>10.282400000000001</v>
      </c>
    </row>
    <row r="2001" spans="1:6" ht="60" x14ac:dyDescent="0.25">
      <c r="A2001" s="8" t="s">
        <v>5</v>
      </c>
      <c r="B2001" s="8" t="s">
        <v>36</v>
      </c>
      <c r="C2001" s="8" t="str">
        <f>IFERROR(_xlfn.XLOOKUP(TRIM(B2001),Lookup!$B$2:$B$1000,Lookup!$C$2:$C$1000),"")</f>
        <v>Equity</v>
      </c>
      <c r="D2001" s="8" t="s">
        <v>37</v>
      </c>
      <c r="E2001" s="9">
        <v>46118</v>
      </c>
      <c r="F2001" s="8">
        <v>10.408799999999999</v>
      </c>
    </row>
    <row r="2002" spans="1:6" ht="60" x14ac:dyDescent="0.25">
      <c r="A2002" s="8" t="s">
        <v>5</v>
      </c>
      <c r="B2002" s="8" t="s">
        <v>36</v>
      </c>
      <c r="C2002" s="8" t="str">
        <f>IFERROR(_xlfn.XLOOKUP(TRIM(B2002),Lookup!$B$2:$B$1000,Lookup!$C$2:$C$1000),"")</f>
        <v>Equity</v>
      </c>
      <c r="D2002" s="8" t="s">
        <v>37</v>
      </c>
      <c r="E2002" s="9">
        <v>46119</v>
      </c>
      <c r="F2002" s="8">
        <v>10.4436</v>
      </c>
    </row>
    <row r="2003" spans="1:6" ht="60" x14ac:dyDescent="0.25">
      <c r="A2003" s="8" t="s">
        <v>5</v>
      </c>
      <c r="B2003" s="8" t="s">
        <v>36</v>
      </c>
      <c r="C2003" s="8" t="str">
        <f>IFERROR(_xlfn.XLOOKUP(TRIM(B2003),Lookup!$B$2:$B$1000,Lookup!$C$2:$C$1000),"")</f>
        <v>Equity</v>
      </c>
      <c r="D2003" s="8" t="s">
        <v>37</v>
      </c>
      <c r="E2003" s="9">
        <v>46120</v>
      </c>
      <c r="F2003" s="8">
        <v>10.853899999999999</v>
      </c>
    </row>
    <row r="2004" spans="1:6" ht="60" x14ac:dyDescent="0.25">
      <c r="A2004" s="8" t="s">
        <v>5</v>
      </c>
      <c r="B2004" s="8" t="s">
        <v>36</v>
      </c>
      <c r="C2004" s="8" t="str">
        <f>IFERROR(_xlfn.XLOOKUP(TRIM(B2004),Lookup!$B$2:$B$1000,Lookup!$C$2:$C$1000),"")</f>
        <v>Equity</v>
      </c>
      <c r="D2004" s="8" t="s">
        <v>37</v>
      </c>
      <c r="E2004" s="9">
        <v>46121</v>
      </c>
      <c r="F2004" s="8">
        <v>10.8264</v>
      </c>
    </row>
    <row r="2005" spans="1:6" ht="60" x14ac:dyDescent="0.25">
      <c r="A2005" s="8" t="s">
        <v>5</v>
      </c>
      <c r="B2005" s="8" t="s">
        <v>36</v>
      </c>
      <c r="C2005" s="8" t="str">
        <f>IFERROR(_xlfn.XLOOKUP(TRIM(B2005),Lookup!$B$2:$B$1000,Lookup!$C$2:$C$1000),"")</f>
        <v>Equity</v>
      </c>
      <c r="D2005" s="8" t="s">
        <v>37</v>
      </c>
      <c r="E2005" s="9">
        <v>46122</v>
      </c>
      <c r="F2005" s="8">
        <v>10.9785</v>
      </c>
    </row>
    <row r="2006" spans="1:6" ht="60" x14ac:dyDescent="0.25">
      <c r="A2006" s="8" t="s">
        <v>5</v>
      </c>
      <c r="B2006" s="8" t="s">
        <v>36</v>
      </c>
      <c r="C2006" s="8" t="str">
        <f>IFERROR(_xlfn.XLOOKUP(TRIM(B2006),Lookup!$B$2:$B$1000,Lookup!$C$2:$C$1000),"")</f>
        <v>Equity</v>
      </c>
      <c r="D2006" s="8" t="s">
        <v>37</v>
      </c>
      <c r="E2006" s="9">
        <v>46125</v>
      </c>
      <c r="F2006" s="8">
        <v>10.896599999999999</v>
      </c>
    </row>
    <row r="2007" spans="1:6" ht="60" x14ac:dyDescent="0.25">
      <c r="A2007" s="8" t="s">
        <v>5</v>
      </c>
      <c r="B2007" s="8" t="s">
        <v>36</v>
      </c>
      <c r="C2007" s="8" t="str">
        <f>IFERROR(_xlfn.XLOOKUP(TRIM(B2007),Lookup!$B$2:$B$1000,Lookup!$C$2:$C$1000),"")</f>
        <v>Equity</v>
      </c>
      <c r="D2007" s="8" t="s">
        <v>37</v>
      </c>
      <c r="E2007" s="9">
        <v>46127</v>
      </c>
      <c r="F2007" s="8">
        <v>11.114699999999999</v>
      </c>
    </row>
    <row r="2008" spans="1:6" ht="60" x14ac:dyDescent="0.25">
      <c r="A2008" s="8" t="s">
        <v>5</v>
      </c>
      <c r="B2008" s="8" t="s">
        <v>36</v>
      </c>
      <c r="C2008" s="8" t="str">
        <f>IFERROR(_xlfn.XLOOKUP(TRIM(B2008),Lookup!$B$2:$B$1000,Lookup!$C$2:$C$1000),"")</f>
        <v>Equity</v>
      </c>
      <c r="D2008" s="8" t="s">
        <v>37</v>
      </c>
      <c r="E2008" s="9">
        <v>46128</v>
      </c>
      <c r="F2008" s="8">
        <v>11.1615</v>
      </c>
    </row>
    <row r="2009" spans="1:6" ht="60" x14ac:dyDescent="0.25">
      <c r="A2009" s="8" t="s">
        <v>5</v>
      </c>
      <c r="B2009" s="8" t="s">
        <v>36</v>
      </c>
      <c r="C2009" s="8" t="str">
        <f>IFERROR(_xlfn.XLOOKUP(TRIM(B2009),Lookup!$B$2:$B$1000,Lookup!$C$2:$C$1000),"")</f>
        <v>Equity</v>
      </c>
      <c r="D2009" s="8" t="s">
        <v>37</v>
      </c>
      <c r="E2009" s="9">
        <v>46129</v>
      </c>
      <c r="F2009" s="8">
        <v>11.2804</v>
      </c>
    </row>
    <row r="2010" spans="1:6" ht="60" x14ac:dyDescent="0.25">
      <c r="A2010" s="8" t="s">
        <v>5</v>
      </c>
      <c r="B2010" s="8" t="s">
        <v>36</v>
      </c>
      <c r="C2010" s="8" t="str">
        <f>IFERROR(_xlfn.XLOOKUP(TRIM(B2010),Lookup!$B$2:$B$1000,Lookup!$C$2:$C$1000),"")</f>
        <v>Equity</v>
      </c>
      <c r="D2010" s="8" t="s">
        <v>37</v>
      </c>
      <c r="E2010" s="9">
        <v>46132</v>
      </c>
      <c r="F2010" s="8">
        <v>11.2677</v>
      </c>
    </row>
    <row r="2011" spans="1:6" ht="60" x14ac:dyDescent="0.25">
      <c r="A2011" s="8" t="s">
        <v>5</v>
      </c>
      <c r="B2011" s="8" t="s">
        <v>36</v>
      </c>
      <c r="C2011" s="8" t="str">
        <f>IFERROR(_xlfn.XLOOKUP(TRIM(B2011),Lookup!$B$2:$B$1000,Lookup!$C$2:$C$1000),"")</f>
        <v>Equity</v>
      </c>
      <c r="D2011" s="8" t="s">
        <v>37</v>
      </c>
      <c r="E2011" s="9">
        <v>46133</v>
      </c>
      <c r="F2011" s="8">
        <v>11.351900000000001</v>
      </c>
    </row>
    <row r="2012" spans="1:6" ht="60" x14ac:dyDescent="0.25">
      <c r="A2012" s="8" t="s">
        <v>5</v>
      </c>
      <c r="B2012" s="8" t="s">
        <v>36</v>
      </c>
      <c r="C2012" s="8" t="str">
        <f>IFERROR(_xlfn.XLOOKUP(TRIM(B2012),Lookup!$B$2:$B$1000,Lookup!$C$2:$C$1000),"")</f>
        <v>Equity</v>
      </c>
      <c r="D2012" s="8" t="s">
        <v>37</v>
      </c>
      <c r="E2012" s="9">
        <v>46134</v>
      </c>
      <c r="F2012" s="8">
        <v>11.361800000000001</v>
      </c>
    </row>
    <row r="2013" spans="1:6" ht="60" x14ac:dyDescent="0.25">
      <c r="A2013" s="8" t="s">
        <v>5</v>
      </c>
      <c r="B2013" s="8" t="s">
        <v>36</v>
      </c>
      <c r="C2013" s="8" t="str">
        <f>IFERROR(_xlfn.XLOOKUP(TRIM(B2013),Lookup!$B$2:$B$1000,Lookup!$C$2:$C$1000),"")</f>
        <v>Equity</v>
      </c>
      <c r="D2013" s="8" t="s">
        <v>37</v>
      </c>
      <c r="E2013" s="9">
        <v>46135</v>
      </c>
      <c r="F2013" s="8">
        <v>11.2821</v>
      </c>
    </row>
    <row r="2014" spans="1:6" ht="60" x14ac:dyDescent="0.25">
      <c r="A2014" s="8" t="s">
        <v>5</v>
      </c>
      <c r="B2014" s="8" t="s">
        <v>36</v>
      </c>
      <c r="C2014" s="8" t="str">
        <f>IFERROR(_xlfn.XLOOKUP(TRIM(B2014),Lookup!$B$2:$B$1000,Lookup!$C$2:$C$1000),"")</f>
        <v>Equity</v>
      </c>
      <c r="D2014" s="8" t="s">
        <v>37</v>
      </c>
      <c r="E2014" s="9">
        <v>46136</v>
      </c>
      <c r="F2014" s="8">
        <v>11.166399999999999</v>
      </c>
    </row>
    <row r="2015" spans="1:6" ht="60" x14ac:dyDescent="0.25">
      <c r="A2015" s="8" t="s">
        <v>5</v>
      </c>
      <c r="B2015" s="8" t="s">
        <v>36</v>
      </c>
      <c r="C2015" s="8" t="str">
        <f>IFERROR(_xlfn.XLOOKUP(TRIM(B2015),Lookup!$B$2:$B$1000,Lookup!$C$2:$C$1000),"")</f>
        <v>Equity</v>
      </c>
      <c r="D2015" s="8" t="s">
        <v>37</v>
      </c>
      <c r="E2015" s="9">
        <v>46139</v>
      </c>
      <c r="F2015" s="8">
        <v>11.31</v>
      </c>
    </row>
    <row r="2016" spans="1:6" ht="60" x14ac:dyDescent="0.25">
      <c r="A2016" s="8" t="s">
        <v>5</v>
      </c>
      <c r="B2016" s="8" t="s">
        <v>36</v>
      </c>
      <c r="C2016" s="8" t="str">
        <f>IFERROR(_xlfn.XLOOKUP(TRIM(B2016),Lookup!$B$2:$B$1000,Lookup!$C$2:$C$1000),"")</f>
        <v>Equity</v>
      </c>
      <c r="D2016" s="8" t="s">
        <v>37</v>
      </c>
      <c r="E2016" s="9">
        <v>46140</v>
      </c>
      <c r="F2016" s="8">
        <v>11.2944</v>
      </c>
    </row>
    <row r="2017" spans="1:6" ht="60" x14ac:dyDescent="0.25">
      <c r="A2017" s="8" t="s">
        <v>5</v>
      </c>
      <c r="B2017" s="8" t="s">
        <v>36</v>
      </c>
      <c r="C2017" s="8" t="str">
        <f>IFERROR(_xlfn.XLOOKUP(TRIM(B2017),Lookup!$B$2:$B$1000,Lookup!$C$2:$C$1000),"")</f>
        <v>Equity</v>
      </c>
      <c r="D2017" s="8" t="s">
        <v>37</v>
      </c>
      <c r="E2017" s="9">
        <v>46141</v>
      </c>
      <c r="F2017" s="8">
        <v>11.340299999999999</v>
      </c>
    </row>
    <row r="2018" spans="1:6" ht="60" x14ac:dyDescent="0.25">
      <c r="A2018" s="8" t="s">
        <v>5</v>
      </c>
      <c r="B2018" s="8" t="s">
        <v>36</v>
      </c>
      <c r="C2018" s="8" t="str">
        <f>IFERROR(_xlfn.XLOOKUP(TRIM(B2018),Lookup!$B$2:$B$1000,Lookup!$C$2:$C$1000),"")</f>
        <v>Equity</v>
      </c>
      <c r="D2018" s="8" t="s">
        <v>37</v>
      </c>
      <c r="E2018" s="9">
        <v>46142</v>
      </c>
      <c r="F2018" s="8">
        <v>11.257099999999999</v>
      </c>
    </row>
    <row r="2019" spans="1:6" ht="60" x14ac:dyDescent="0.25">
      <c r="A2019" s="8" t="s">
        <v>5</v>
      </c>
      <c r="B2019" s="8" t="s">
        <v>36</v>
      </c>
      <c r="C2019" s="8" t="str">
        <f>IFERROR(_xlfn.XLOOKUP(TRIM(B2019),Lookup!$B$2:$B$1000,Lookup!$C$2:$C$1000),"")</f>
        <v>Equity</v>
      </c>
      <c r="D2019" s="8" t="s">
        <v>37</v>
      </c>
      <c r="E2019" s="9">
        <v>46146</v>
      </c>
      <c r="F2019" s="8">
        <v>11.3329</v>
      </c>
    </row>
    <row r="2020" spans="1:6" ht="60" x14ac:dyDescent="0.25">
      <c r="A2020" s="8" t="s">
        <v>5</v>
      </c>
      <c r="B2020" s="8" t="s">
        <v>36</v>
      </c>
      <c r="C2020" s="8" t="str">
        <f>IFERROR(_xlfn.XLOOKUP(TRIM(B2020),Lookup!$B$2:$B$1000,Lookup!$C$2:$C$1000),"")</f>
        <v>Equity</v>
      </c>
      <c r="D2020" s="8" t="s">
        <v>37</v>
      </c>
      <c r="E2020" s="9">
        <v>46147</v>
      </c>
      <c r="F2020" s="8">
        <v>11.335599999999999</v>
      </c>
    </row>
    <row r="2021" spans="1:6" ht="60" x14ac:dyDescent="0.25">
      <c r="A2021" s="8" t="s">
        <v>5</v>
      </c>
      <c r="B2021" s="8" t="s">
        <v>36</v>
      </c>
      <c r="C2021" s="8" t="str">
        <f>IFERROR(_xlfn.XLOOKUP(TRIM(B2021),Lookup!$B$2:$B$1000,Lookup!$C$2:$C$1000),"")</f>
        <v>Equity</v>
      </c>
      <c r="D2021" s="8" t="s">
        <v>37</v>
      </c>
      <c r="E2021" s="9">
        <v>46148</v>
      </c>
      <c r="F2021" s="8">
        <v>11.504899999999999</v>
      </c>
    </row>
    <row r="2022" spans="1:6" ht="60" x14ac:dyDescent="0.25">
      <c r="A2022" s="8" t="s">
        <v>5</v>
      </c>
      <c r="B2022" s="8" t="s">
        <v>36</v>
      </c>
      <c r="C2022" s="8" t="str">
        <f>IFERROR(_xlfn.XLOOKUP(TRIM(B2022),Lookup!$B$2:$B$1000,Lookup!$C$2:$C$1000),"")</f>
        <v>Equity</v>
      </c>
      <c r="D2022" s="8" t="s">
        <v>37</v>
      </c>
      <c r="E2022" s="9">
        <v>46149</v>
      </c>
      <c r="F2022" s="8">
        <v>11.5672</v>
      </c>
    </row>
    <row r="2023" spans="1:6" ht="60" x14ac:dyDescent="0.25">
      <c r="A2023" s="8" t="s">
        <v>5</v>
      </c>
      <c r="B2023" s="8" t="s">
        <v>36</v>
      </c>
      <c r="C2023" s="8" t="str">
        <f>IFERROR(_xlfn.XLOOKUP(TRIM(B2023),Lookup!$B$2:$B$1000,Lookup!$C$2:$C$1000),"")</f>
        <v>Equity</v>
      </c>
      <c r="D2023" s="8" t="s">
        <v>37</v>
      </c>
      <c r="E2023" s="9">
        <v>46150</v>
      </c>
      <c r="F2023" s="8">
        <v>11.539199999999999</v>
      </c>
    </row>
    <row r="2024" spans="1:6" ht="60" x14ac:dyDescent="0.25">
      <c r="A2024" s="8" t="s">
        <v>5</v>
      </c>
      <c r="B2024" s="8" t="s">
        <v>36</v>
      </c>
      <c r="C2024" s="8" t="str">
        <f>IFERROR(_xlfn.XLOOKUP(TRIM(B2024),Lookup!$B$2:$B$1000,Lookup!$C$2:$C$1000),"")</f>
        <v>Equity</v>
      </c>
      <c r="D2024" s="8" t="s">
        <v>37</v>
      </c>
      <c r="E2024" s="9">
        <v>46153</v>
      </c>
      <c r="F2024" s="8">
        <v>11.387</v>
      </c>
    </row>
    <row r="2025" spans="1:6" ht="60" x14ac:dyDescent="0.25">
      <c r="A2025" s="8" t="s">
        <v>5</v>
      </c>
      <c r="B2025" s="8" t="s">
        <v>36</v>
      </c>
      <c r="C2025" s="8" t="str">
        <f>IFERROR(_xlfn.XLOOKUP(TRIM(B2025),Lookup!$B$2:$B$1000,Lookup!$C$2:$C$1000),"")</f>
        <v>Equity</v>
      </c>
      <c r="D2025" s="8" t="s">
        <v>37</v>
      </c>
      <c r="E2025" s="9">
        <v>46154</v>
      </c>
      <c r="F2025" s="8">
        <v>11.121600000000001</v>
      </c>
    </row>
    <row r="2026" spans="1:6" ht="60" x14ac:dyDescent="0.25">
      <c r="A2026" s="8" t="s">
        <v>5</v>
      </c>
      <c r="B2026" s="8" t="s">
        <v>36</v>
      </c>
      <c r="C2026" s="8" t="str">
        <f>IFERROR(_xlfn.XLOOKUP(TRIM(B2026),Lookup!$B$2:$B$1000,Lookup!$C$2:$C$1000),"")</f>
        <v>Equity</v>
      </c>
      <c r="D2026" s="8" t="s">
        <v>37</v>
      </c>
      <c r="E2026" s="9">
        <v>46155</v>
      </c>
      <c r="F2026" s="8">
        <v>11.161</v>
      </c>
    </row>
    <row r="2027" spans="1:6" ht="60" x14ac:dyDescent="0.25">
      <c r="A2027" s="8" t="s">
        <v>5</v>
      </c>
      <c r="B2027" s="8" t="s">
        <v>36</v>
      </c>
      <c r="C2027" s="8" t="str">
        <f>IFERROR(_xlfn.XLOOKUP(TRIM(B2027),Lookup!$B$2:$B$1000,Lookup!$C$2:$C$1000),"")</f>
        <v>Equity</v>
      </c>
      <c r="D2027" s="8" t="s">
        <v>37</v>
      </c>
      <c r="E2027" s="9">
        <v>46156</v>
      </c>
      <c r="F2027" s="8">
        <v>11.260300000000001</v>
      </c>
    </row>
    <row r="2028" spans="1:6" ht="60" x14ac:dyDescent="0.25">
      <c r="A2028" s="8" t="s">
        <v>5</v>
      </c>
      <c r="B2028" s="8" t="s">
        <v>36</v>
      </c>
      <c r="C2028" s="8" t="str">
        <f>IFERROR(_xlfn.XLOOKUP(TRIM(B2028),Lookup!$B$2:$B$1000,Lookup!$C$2:$C$1000),"")</f>
        <v>Equity</v>
      </c>
      <c r="D2028" s="8" t="s">
        <v>37</v>
      </c>
      <c r="E2028" s="9">
        <v>46157</v>
      </c>
      <c r="F2028" s="8">
        <v>11.2166</v>
      </c>
    </row>
    <row r="2029" spans="1:6" ht="60" x14ac:dyDescent="0.25">
      <c r="A2029" s="8" t="s">
        <v>5</v>
      </c>
      <c r="B2029" s="8" t="s">
        <v>36</v>
      </c>
      <c r="C2029" s="8" t="str">
        <f>IFERROR(_xlfn.XLOOKUP(TRIM(B2029),Lookup!$B$2:$B$1000,Lookup!$C$2:$C$1000),"")</f>
        <v>Equity</v>
      </c>
      <c r="D2029" s="8" t="s">
        <v>37</v>
      </c>
      <c r="E2029" s="9">
        <v>46160</v>
      </c>
      <c r="F2029" s="8">
        <v>11.155900000000001</v>
      </c>
    </row>
    <row r="2030" spans="1:6" ht="60" x14ac:dyDescent="0.25">
      <c r="A2030" s="8" t="s">
        <v>5</v>
      </c>
      <c r="B2030" s="8" t="s">
        <v>36</v>
      </c>
      <c r="C2030" s="8" t="str">
        <f>IFERROR(_xlfn.XLOOKUP(TRIM(B2030),Lookup!$B$2:$B$1000,Lookup!$C$2:$C$1000),"")</f>
        <v>Equity</v>
      </c>
      <c r="D2030" s="8" t="s">
        <v>37</v>
      </c>
      <c r="E2030" s="9">
        <v>46161</v>
      </c>
      <c r="F2030" s="8">
        <v>11.2134</v>
      </c>
    </row>
    <row r="2031" spans="1:6" ht="60" x14ac:dyDescent="0.25">
      <c r="A2031" s="8" t="s">
        <v>5</v>
      </c>
      <c r="B2031" s="8" t="s">
        <v>36</v>
      </c>
      <c r="C2031" s="8" t="str">
        <f>IFERROR(_xlfn.XLOOKUP(TRIM(B2031),Lookup!$B$2:$B$1000,Lookup!$C$2:$C$1000),"")</f>
        <v>Equity</v>
      </c>
      <c r="D2031" s="8" t="s">
        <v>37</v>
      </c>
      <c r="E2031" s="9">
        <v>46162</v>
      </c>
      <c r="F2031" s="8">
        <v>11.2401</v>
      </c>
    </row>
    <row r="2032" spans="1:6" ht="60" x14ac:dyDescent="0.25">
      <c r="A2032" s="8" t="s">
        <v>5</v>
      </c>
      <c r="B2032" s="8" t="s">
        <v>36</v>
      </c>
      <c r="C2032" s="8" t="str">
        <f>IFERROR(_xlfn.XLOOKUP(TRIM(B2032),Lookup!$B$2:$B$1000,Lookup!$C$2:$C$1000),"")</f>
        <v>Equity</v>
      </c>
      <c r="D2032" s="8" t="s">
        <v>37</v>
      </c>
      <c r="E2032" s="9">
        <v>46163</v>
      </c>
      <c r="F2032" s="8">
        <v>11.2614</v>
      </c>
    </row>
    <row r="2033" spans="1:6" ht="60" x14ac:dyDescent="0.25">
      <c r="A2033" s="8" t="s">
        <v>5</v>
      </c>
      <c r="B2033" s="8" t="s">
        <v>36</v>
      </c>
      <c r="C2033" s="8" t="str">
        <f>IFERROR(_xlfn.XLOOKUP(TRIM(B2033),Lookup!$B$2:$B$1000,Lookup!$C$2:$C$1000),"")</f>
        <v>Equity</v>
      </c>
      <c r="D2033" s="8" t="s">
        <v>37</v>
      </c>
      <c r="E2033" s="9">
        <v>46164</v>
      </c>
      <c r="F2033" s="8">
        <v>11.279199999999999</v>
      </c>
    </row>
    <row r="2034" spans="1:6" ht="60" x14ac:dyDescent="0.25">
      <c r="A2034" s="8" t="s">
        <v>5</v>
      </c>
      <c r="B2034" s="8" t="s">
        <v>36</v>
      </c>
      <c r="C2034" s="8" t="str">
        <f>IFERROR(_xlfn.XLOOKUP(TRIM(B2034),Lookup!$B$2:$B$1000,Lookup!$C$2:$C$1000),"")</f>
        <v>Equity</v>
      </c>
      <c r="D2034" s="8" t="s">
        <v>37</v>
      </c>
      <c r="E2034" s="9">
        <v>46167</v>
      </c>
      <c r="F2034" s="8">
        <v>11.410399999999999</v>
      </c>
    </row>
    <row r="2035" spans="1:6" ht="60" x14ac:dyDescent="0.25">
      <c r="A2035" s="8" t="s">
        <v>5</v>
      </c>
      <c r="B2035" s="8" t="s">
        <v>36</v>
      </c>
      <c r="C2035" s="8" t="str">
        <f>IFERROR(_xlfn.XLOOKUP(TRIM(B2035),Lookup!$B$2:$B$1000,Lookup!$C$2:$C$1000),"")</f>
        <v>Equity</v>
      </c>
      <c r="D2035" s="8" t="s">
        <v>37</v>
      </c>
      <c r="E2035" s="9">
        <v>46168</v>
      </c>
      <c r="F2035" s="8">
        <v>11.411</v>
      </c>
    </row>
    <row r="2036" spans="1:6" ht="60" x14ac:dyDescent="0.25">
      <c r="A2036" s="8" t="s">
        <v>5</v>
      </c>
      <c r="B2036" s="8" t="s">
        <v>36</v>
      </c>
      <c r="C2036" s="8" t="str">
        <f>IFERROR(_xlfn.XLOOKUP(TRIM(B2036),Lookup!$B$2:$B$1000,Lookup!$C$2:$C$1000),"")</f>
        <v>Equity</v>
      </c>
      <c r="D2036" s="8" t="s">
        <v>37</v>
      </c>
      <c r="E2036" s="9">
        <v>46169</v>
      </c>
      <c r="F2036" s="8">
        <v>11.4534</v>
      </c>
    </row>
    <row r="2037" spans="1:6" ht="60" x14ac:dyDescent="0.25">
      <c r="A2037" s="8" t="s">
        <v>5</v>
      </c>
      <c r="B2037" s="8" t="s">
        <v>36</v>
      </c>
      <c r="C2037" s="8" t="str">
        <f>IFERROR(_xlfn.XLOOKUP(TRIM(B2037),Lookup!$B$2:$B$1000,Lookup!$C$2:$C$1000),"")</f>
        <v>Equity</v>
      </c>
      <c r="D2037" s="8" t="s">
        <v>37</v>
      </c>
      <c r="E2037" s="9">
        <v>46171</v>
      </c>
      <c r="F2037" s="8">
        <v>11.314500000000001</v>
      </c>
    </row>
    <row r="2038" spans="1:6" ht="60" x14ac:dyDescent="0.25">
      <c r="A2038" s="8" t="s">
        <v>5</v>
      </c>
      <c r="B2038" s="8" t="s">
        <v>36</v>
      </c>
      <c r="C2038" s="8" t="str">
        <f>IFERROR(_xlfn.XLOOKUP(TRIM(B2038),Lookup!$B$2:$B$1000,Lookup!$C$2:$C$1000),"")</f>
        <v>Equity</v>
      </c>
      <c r="D2038" s="8" t="s">
        <v>37</v>
      </c>
      <c r="E2038" s="9">
        <v>46174</v>
      </c>
      <c r="F2038" s="8">
        <v>11.202400000000001</v>
      </c>
    </row>
    <row r="2039" spans="1:6" ht="60" x14ac:dyDescent="0.25">
      <c r="A2039" s="8" t="s">
        <v>5</v>
      </c>
      <c r="B2039" s="8" t="s">
        <v>36</v>
      </c>
      <c r="C2039" s="8" t="str">
        <f>IFERROR(_xlfn.XLOOKUP(TRIM(B2039),Lookup!$B$2:$B$1000,Lookup!$C$2:$C$1000),"")</f>
        <v>Equity</v>
      </c>
      <c r="D2039" s="8" t="s">
        <v>37</v>
      </c>
      <c r="E2039" s="9">
        <v>46175</v>
      </c>
      <c r="F2039" s="8">
        <v>11.250999999999999</v>
      </c>
    </row>
    <row r="2040" spans="1:6" ht="60" x14ac:dyDescent="0.25">
      <c r="A2040" s="8" t="s">
        <v>5</v>
      </c>
      <c r="B2040" s="8" t="s">
        <v>36</v>
      </c>
      <c r="C2040" s="8" t="str">
        <f>IFERROR(_xlfn.XLOOKUP(TRIM(B2040),Lookup!$B$2:$B$1000,Lookup!$C$2:$C$1000),"")</f>
        <v>Equity</v>
      </c>
      <c r="D2040" s="8" t="s">
        <v>37</v>
      </c>
      <c r="E2040" s="9">
        <v>46176</v>
      </c>
      <c r="F2040" s="8">
        <v>11.220800000000001</v>
      </c>
    </row>
    <row r="2041" spans="1:6" ht="60" x14ac:dyDescent="0.25">
      <c r="A2041" s="8" t="s">
        <v>5</v>
      </c>
      <c r="B2041" s="8" t="s">
        <v>36</v>
      </c>
      <c r="C2041" s="8" t="str">
        <f>IFERROR(_xlfn.XLOOKUP(TRIM(B2041),Lookup!$B$2:$B$1000,Lookup!$C$2:$C$1000),"")</f>
        <v>Equity</v>
      </c>
      <c r="D2041" s="8" t="s">
        <v>37</v>
      </c>
      <c r="E2041" s="9">
        <v>46177</v>
      </c>
      <c r="F2041" s="8">
        <v>11.251799999999999</v>
      </c>
    </row>
    <row r="2042" spans="1:6" ht="60" x14ac:dyDescent="0.25">
      <c r="A2042" s="8" t="s">
        <v>5</v>
      </c>
      <c r="B2042" s="8" t="s">
        <v>36</v>
      </c>
      <c r="C2042" s="8" t="str">
        <f>IFERROR(_xlfn.XLOOKUP(TRIM(B2042),Lookup!$B$2:$B$1000,Lookup!$C$2:$C$1000),"")</f>
        <v>Equity</v>
      </c>
      <c r="D2042" s="8" t="s">
        <v>37</v>
      </c>
      <c r="E2042" s="9">
        <v>46178</v>
      </c>
      <c r="F2042" s="8">
        <v>11.238799999999999</v>
      </c>
    </row>
    <row r="2043" spans="1:6" ht="60" x14ac:dyDescent="0.25">
      <c r="A2043" s="8" t="s">
        <v>5</v>
      </c>
      <c r="B2043" s="8" t="s">
        <v>36</v>
      </c>
      <c r="C2043" s="8" t="str">
        <f>IFERROR(_xlfn.XLOOKUP(TRIM(B2043),Lookup!$B$2:$B$1000,Lookup!$C$2:$C$1000),"")</f>
        <v>Equity</v>
      </c>
      <c r="D2043" s="8" t="s">
        <v>37</v>
      </c>
      <c r="E2043" s="9">
        <v>46181</v>
      </c>
      <c r="F2043" s="8">
        <v>11.0809</v>
      </c>
    </row>
    <row r="2044" spans="1:6" ht="60" x14ac:dyDescent="0.25">
      <c r="A2044" s="8" t="s">
        <v>5</v>
      </c>
      <c r="B2044" s="8" t="s">
        <v>36</v>
      </c>
      <c r="C2044" s="8" t="str">
        <f>IFERROR(_xlfn.XLOOKUP(TRIM(B2044),Lookup!$B$2:$B$1000,Lookup!$C$2:$C$1000),"")</f>
        <v>Equity</v>
      </c>
      <c r="D2044" s="8" t="s">
        <v>37</v>
      </c>
      <c r="E2044" s="9">
        <v>46182</v>
      </c>
      <c r="F2044" s="8">
        <v>11.1928</v>
      </c>
    </row>
    <row r="2045" spans="1:6" ht="60" x14ac:dyDescent="0.25">
      <c r="A2045" s="8" t="s">
        <v>5</v>
      </c>
      <c r="B2045" s="8" t="s">
        <v>36</v>
      </c>
      <c r="C2045" s="8" t="str">
        <f>IFERROR(_xlfn.XLOOKUP(TRIM(B2045),Lookup!$B$2:$B$1000,Lookup!$C$2:$C$1000),"")</f>
        <v>Equity</v>
      </c>
      <c r="D2045" s="8" t="s">
        <v>37</v>
      </c>
      <c r="E2045" s="9">
        <v>46183</v>
      </c>
      <c r="F2045" s="8">
        <v>11.099299999999999</v>
      </c>
    </row>
    <row r="2046" spans="1:6" ht="60" x14ac:dyDescent="0.25">
      <c r="A2046" s="8" t="s">
        <v>5</v>
      </c>
      <c r="B2046" s="8" t="s">
        <v>36</v>
      </c>
      <c r="C2046" s="8" t="str">
        <f>IFERROR(_xlfn.XLOOKUP(TRIM(B2046),Lookup!$B$2:$B$1000,Lookup!$C$2:$C$1000),"")</f>
        <v>Equity</v>
      </c>
      <c r="D2046" s="8" t="s">
        <v>37</v>
      </c>
      <c r="E2046" s="9">
        <v>46184</v>
      </c>
      <c r="F2046" s="8">
        <v>11.0266</v>
      </c>
    </row>
    <row r="2047" spans="1:6" ht="60" x14ac:dyDescent="0.25">
      <c r="A2047" s="8" t="s">
        <v>5</v>
      </c>
      <c r="B2047" s="8" t="s">
        <v>36</v>
      </c>
      <c r="C2047" s="8" t="str">
        <f>IFERROR(_xlfn.XLOOKUP(TRIM(B2047),Lookup!$B$2:$B$1000,Lookup!$C$2:$C$1000),"")</f>
        <v>Equity</v>
      </c>
      <c r="D2047" s="8" t="s">
        <v>37</v>
      </c>
      <c r="E2047" s="9">
        <v>46185</v>
      </c>
      <c r="F2047" s="8">
        <v>11.281599999999999</v>
      </c>
    </row>
    <row r="2048" spans="1:6" ht="60" x14ac:dyDescent="0.25">
      <c r="A2048" s="8" t="s">
        <v>5</v>
      </c>
      <c r="B2048" s="8" t="s">
        <v>36</v>
      </c>
      <c r="C2048" s="8" t="str">
        <f>IFERROR(_xlfn.XLOOKUP(TRIM(B2048),Lookup!$B$2:$B$1000,Lookup!$C$2:$C$1000),"")</f>
        <v>Equity</v>
      </c>
      <c r="D2048" s="8" t="s">
        <v>37</v>
      </c>
      <c r="E2048" s="9">
        <v>46188</v>
      </c>
      <c r="F2048" s="8">
        <v>11.428800000000001</v>
      </c>
    </row>
    <row r="2049" spans="1:6" ht="60" x14ac:dyDescent="0.25">
      <c r="A2049" s="8" t="s">
        <v>5</v>
      </c>
      <c r="B2049" s="8" t="s">
        <v>36</v>
      </c>
      <c r="C2049" s="8" t="str">
        <f>IFERROR(_xlfn.XLOOKUP(TRIM(B2049),Lookup!$B$2:$B$1000,Lookup!$C$2:$C$1000),"")</f>
        <v>Equity</v>
      </c>
      <c r="D2049" s="8" t="s">
        <v>37</v>
      </c>
      <c r="E2049" s="9">
        <v>46189</v>
      </c>
      <c r="F2049" s="8">
        <v>11.4785</v>
      </c>
    </row>
    <row r="2050" spans="1:6" ht="60" x14ac:dyDescent="0.25">
      <c r="A2050" s="8" t="s">
        <v>5</v>
      </c>
      <c r="B2050" s="8" t="s">
        <v>36</v>
      </c>
      <c r="C2050" s="8" t="str">
        <f>IFERROR(_xlfn.XLOOKUP(TRIM(B2050),Lookup!$B$2:$B$1000,Lookup!$C$2:$C$1000),"")</f>
        <v>Equity</v>
      </c>
      <c r="D2050" s="8" t="s">
        <v>37</v>
      </c>
      <c r="E2050" s="9">
        <v>46190</v>
      </c>
      <c r="F2050" s="8">
        <v>11.540900000000001</v>
      </c>
    </row>
    <row r="2051" spans="1:6" ht="60" x14ac:dyDescent="0.25">
      <c r="A2051" s="8" t="s">
        <v>5</v>
      </c>
      <c r="B2051" s="8" t="s">
        <v>36</v>
      </c>
      <c r="C2051" s="8" t="str">
        <f>IFERROR(_xlfn.XLOOKUP(TRIM(B2051),Lookup!$B$2:$B$1000,Lookup!$C$2:$C$1000),"")</f>
        <v>Equity</v>
      </c>
      <c r="D2051" s="8" t="s">
        <v>37</v>
      </c>
      <c r="E2051" s="9">
        <v>46191</v>
      </c>
      <c r="F2051" s="8">
        <v>11.593999999999999</v>
      </c>
    </row>
    <row r="2052" spans="1:6" ht="60" x14ac:dyDescent="0.25">
      <c r="A2052" s="8" t="s">
        <v>5</v>
      </c>
      <c r="B2052" s="8" t="s">
        <v>36</v>
      </c>
      <c r="C2052" s="8" t="str">
        <f>IFERROR(_xlfn.XLOOKUP(TRIM(B2052),Lookup!$B$2:$B$1000,Lookup!$C$2:$C$1000),"")</f>
        <v>Equity</v>
      </c>
      <c r="D2052" s="8" t="s">
        <v>37</v>
      </c>
      <c r="E2052" s="9">
        <v>46192</v>
      </c>
      <c r="F2052" s="8">
        <v>11.596</v>
      </c>
    </row>
    <row r="2053" spans="1:6" ht="60" x14ac:dyDescent="0.25">
      <c r="A2053" s="8" t="s">
        <v>5</v>
      </c>
      <c r="B2053" s="8" t="s">
        <v>36</v>
      </c>
      <c r="C2053" s="8" t="str">
        <f>IFERROR(_xlfn.XLOOKUP(TRIM(B2053),Lookup!$B$2:$B$1000,Lookup!$C$2:$C$1000),"")</f>
        <v>Equity</v>
      </c>
      <c r="D2053" s="8" t="s">
        <v>37</v>
      </c>
      <c r="E2053" s="9">
        <v>46195</v>
      </c>
      <c r="F2053" s="8">
        <v>11.656599999999999</v>
      </c>
    </row>
    <row r="2054" spans="1:6" ht="60" x14ac:dyDescent="0.25">
      <c r="A2054" s="8" t="s">
        <v>5</v>
      </c>
      <c r="B2054" s="8" t="s">
        <v>36</v>
      </c>
      <c r="C2054" s="8" t="str">
        <f>IFERROR(_xlfn.XLOOKUP(TRIM(B2054),Lookup!$B$2:$B$1000,Lookup!$C$2:$C$1000),"")</f>
        <v>Equity</v>
      </c>
      <c r="D2054" s="8" t="s">
        <v>37</v>
      </c>
      <c r="E2054" s="9">
        <v>46196</v>
      </c>
      <c r="F2054" s="8">
        <v>11.545</v>
      </c>
    </row>
    <row r="2055" spans="1:6" ht="60" x14ac:dyDescent="0.25">
      <c r="A2055" s="8" t="s">
        <v>5</v>
      </c>
      <c r="B2055" s="8" t="s">
        <v>36</v>
      </c>
      <c r="C2055" s="8" t="str">
        <f>IFERROR(_xlfn.XLOOKUP(TRIM(B2055),Lookup!$B$2:$B$1000,Lookup!$C$2:$C$1000),"")</f>
        <v>Equity</v>
      </c>
      <c r="D2055" s="8" t="s">
        <v>37</v>
      </c>
      <c r="E2055" s="9">
        <v>46197</v>
      </c>
      <c r="F2055" s="8">
        <v>11.5891</v>
      </c>
    </row>
    <row r="2056" spans="1:6" ht="60" x14ac:dyDescent="0.25">
      <c r="A2056" s="8" t="s">
        <v>5</v>
      </c>
      <c r="B2056" s="8" t="s">
        <v>36</v>
      </c>
      <c r="C2056" s="8" t="str">
        <f>IFERROR(_xlfn.XLOOKUP(TRIM(B2056),Lookup!$B$2:$B$1000,Lookup!$C$2:$C$1000),"")</f>
        <v>Equity</v>
      </c>
      <c r="D2056" s="8" t="s">
        <v>37</v>
      </c>
      <c r="E2056" s="9">
        <v>46198</v>
      </c>
      <c r="F2056" s="8">
        <v>11.5656</v>
      </c>
    </row>
    <row r="2057" spans="1:6" ht="60" x14ac:dyDescent="0.25">
      <c r="A2057" s="8" t="s">
        <v>5</v>
      </c>
      <c r="B2057" s="8" t="s">
        <v>36</v>
      </c>
      <c r="C2057" s="8" t="str">
        <f>IFERROR(_xlfn.XLOOKUP(TRIM(B2057),Lookup!$B$2:$B$1000,Lookup!$C$2:$C$1000),"")</f>
        <v>Equity</v>
      </c>
      <c r="D2057" s="8" t="s">
        <v>37</v>
      </c>
      <c r="E2057" s="9">
        <v>46202</v>
      </c>
      <c r="F2057" s="8">
        <v>11.5069</v>
      </c>
    </row>
    <row r="2058" spans="1:6" ht="60" x14ac:dyDescent="0.25">
      <c r="A2058" s="8" t="s">
        <v>5</v>
      </c>
      <c r="B2058" s="8" t="s">
        <v>36</v>
      </c>
      <c r="C2058" s="8" t="str">
        <f>IFERROR(_xlfn.XLOOKUP(TRIM(B2058),Lookup!$B$2:$B$1000,Lookup!$C$2:$C$1000),"")</f>
        <v>Equity</v>
      </c>
      <c r="D2058" s="8" t="s">
        <v>37</v>
      </c>
      <c r="E2058" s="9">
        <v>46203</v>
      </c>
      <c r="F2058" s="8">
        <v>11.5253</v>
      </c>
    </row>
    <row r="2059" spans="1:6" ht="60" x14ac:dyDescent="0.25">
      <c r="A2059" s="8" t="s">
        <v>5</v>
      </c>
      <c r="B2059" s="8" t="s">
        <v>36</v>
      </c>
      <c r="C2059" s="8" t="str">
        <f>IFERROR(_xlfn.XLOOKUP(TRIM(B2059),Lookup!$B$2:$B$1000,Lookup!$C$2:$C$1000),"")</f>
        <v>Equity</v>
      </c>
      <c r="D2059" s="8" t="s">
        <v>37</v>
      </c>
      <c r="E2059" s="9">
        <v>46204</v>
      </c>
      <c r="F2059" s="8">
        <v>11.5779</v>
      </c>
    </row>
    <row r="2060" spans="1:6" ht="60" x14ac:dyDescent="0.25">
      <c r="A2060" s="8" t="s">
        <v>5</v>
      </c>
      <c r="B2060" s="8" t="s">
        <v>36</v>
      </c>
      <c r="C2060" s="8" t="str">
        <f>IFERROR(_xlfn.XLOOKUP(TRIM(B2060),Lookup!$B$2:$B$1000,Lookup!$C$2:$C$1000),"")</f>
        <v>Equity</v>
      </c>
      <c r="D2060" s="8" t="s">
        <v>37</v>
      </c>
      <c r="E2060" s="9">
        <v>46205</v>
      </c>
      <c r="F2060" s="8">
        <v>11.654</v>
      </c>
    </row>
    <row r="2061" spans="1:6" ht="60" x14ac:dyDescent="0.25">
      <c r="A2061" s="8" t="s">
        <v>5</v>
      </c>
      <c r="B2061" s="8" t="s">
        <v>36</v>
      </c>
      <c r="C2061" s="8" t="str">
        <f>IFERROR(_xlfn.XLOOKUP(TRIM(B2061),Lookup!$B$2:$B$1000,Lookup!$C$2:$C$1000),"")</f>
        <v>Equity</v>
      </c>
      <c r="D2061" s="8" t="s">
        <v>37</v>
      </c>
      <c r="E2061" s="9">
        <v>46206</v>
      </c>
      <c r="F2061" s="8">
        <v>11.665699999999999</v>
      </c>
    </row>
    <row r="2062" spans="1:6" ht="60" x14ac:dyDescent="0.25">
      <c r="A2062" s="8" t="s">
        <v>5</v>
      </c>
      <c r="B2062" s="8" t="s">
        <v>36</v>
      </c>
      <c r="C2062" s="8" t="str">
        <f>IFERROR(_xlfn.XLOOKUP(TRIM(B2062),Lookup!$B$2:$B$1000,Lookup!$C$2:$C$1000),"")</f>
        <v>Equity</v>
      </c>
      <c r="D2062" s="8" t="s">
        <v>37</v>
      </c>
      <c r="E2062" s="9">
        <v>46209</v>
      </c>
      <c r="F2062" s="8">
        <v>11.7224</v>
      </c>
    </row>
    <row r="2063" spans="1:6" ht="60" x14ac:dyDescent="0.25">
      <c r="A2063" s="8" t="s">
        <v>5</v>
      </c>
      <c r="B2063" s="8" t="s">
        <v>36</v>
      </c>
      <c r="C2063" s="8" t="str">
        <f>IFERROR(_xlfn.XLOOKUP(TRIM(B2063),Lookup!$B$2:$B$1000,Lookup!$C$2:$C$1000),"")</f>
        <v>Equity</v>
      </c>
      <c r="D2063" s="8" t="s">
        <v>37</v>
      </c>
      <c r="E2063" s="9">
        <v>46210</v>
      </c>
      <c r="F2063" s="8">
        <v>11.686299999999999</v>
      </c>
    </row>
    <row r="2064" spans="1:6" ht="60" x14ac:dyDescent="0.25">
      <c r="A2064" s="8" t="s">
        <v>5</v>
      </c>
      <c r="B2064" s="8" t="s">
        <v>36</v>
      </c>
      <c r="C2064" s="8" t="str">
        <f>IFERROR(_xlfn.XLOOKUP(TRIM(B2064),Lookup!$B$2:$B$1000,Lookup!$C$2:$C$1000),"")</f>
        <v>Equity</v>
      </c>
      <c r="D2064" s="8" t="s">
        <v>37</v>
      </c>
      <c r="E2064" s="9">
        <v>46211</v>
      </c>
      <c r="F2064" s="8">
        <v>11.471</v>
      </c>
    </row>
    <row r="2065" spans="1:6" ht="60" x14ac:dyDescent="0.25">
      <c r="A2065" s="8" t="s">
        <v>5</v>
      </c>
      <c r="B2065" s="8" t="s">
        <v>36</v>
      </c>
      <c r="C2065" s="8" t="str">
        <f>IFERROR(_xlfn.XLOOKUP(TRIM(B2065),Lookup!$B$2:$B$1000,Lookup!$C$2:$C$1000),"")</f>
        <v>Equity</v>
      </c>
      <c r="D2065" s="8" t="s">
        <v>37</v>
      </c>
      <c r="E2065" s="9">
        <v>46212</v>
      </c>
      <c r="F2065" s="8">
        <v>11.5708</v>
      </c>
    </row>
    <row r="2066" spans="1:6" ht="60" x14ac:dyDescent="0.25">
      <c r="A2066" s="8" t="s">
        <v>5</v>
      </c>
      <c r="B2066" s="8" t="s">
        <v>36</v>
      </c>
      <c r="C2066" s="8" t="str">
        <f>IFERROR(_xlfn.XLOOKUP(TRIM(B2066),Lookup!$B$2:$B$1000,Lookup!$C$2:$C$1000),"")</f>
        <v>Equity</v>
      </c>
      <c r="D2066" s="8" t="s">
        <v>37</v>
      </c>
      <c r="E2066" s="9">
        <v>46213</v>
      </c>
      <c r="F2066" s="8">
        <v>11.7112</v>
      </c>
    </row>
    <row r="2067" spans="1:6" ht="60" x14ac:dyDescent="0.25">
      <c r="A2067" s="8" t="s">
        <v>5</v>
      </c>
      <c r="B2067" s="8" t="s">
        <v>36</v>
      </c>
      <c r="C2067" s="8" t="str">
        <f>IFERROR(_xlfn.XLOOKUP(TRIM(B2067),Lookup!$B$2:$B$1000,Lookup!$C$2:$C$1000),"")</f>
        <v>Equity</v>
      </c>
      <c r="D2067" s="8" t="s">
        <v>37</v>
      </c>
      <c r="E2067" s="9">
        <v>46216</v>
      </c>
      <c r="F2067" s="8">
        <v>11.7166</v>
      </c>
    </row>
    <row r="2068" spans="1:6" ht="60" x14ac:dyDescent="0.25">
      <c r="A2068" s="8" t="s">
        <v>5</v>
      </c>
      <c r="B2068" s="8" t="s">
        <v>36</v>
      </c>
      <c r="C2068" s="8" t="str">
        <f>IFERROR(_xlfn.XLOOKUP(TRIM(B2068),Lookup!$B$2:$B$1000,Lookup!$C$2:$C$1000),"")</f>
        <v>Equity</v>
      </c>
      <c r="D2068" s="8" t="s">
        <v>37</v>
      </c>
      <c r="E2068" s="9">
        <v>46217</v>
      </c>
      <c r="F2068" s="8">
        <v>11.632899999999999</v>
      </c>
    </row>
    <row r="2069" spans="1:6" ht="60" x14ac:dyDescent="0.25">
      <c r="A2069" s="8" t="s">
        <v>5</v>
      </c>
      <c r="B2069" s="8" t="s">
        <v>36</v>
      </c>
      <c r="C2069" s="8" t="str">
        <f>IFERROR(_xlfn.XLOOKUP(TRIM(B2069),Lookup!$B$2:$B$1000,Lookup!$C$2:$C$1000),"")</f>
        <v>Equity</v>
      </c>
      <c r="D2069" s="8" t="s">
        <v>37</v>
      </c>
      <c r="E2069" s="9">
        <v>46218</v>
      </c>
      <c r="F2069" s="8">
        <v>11.6736</v>
      </c>
    </row>
    <row r="2070" spans="1:6" ht="60" x14ac:dyDescent="0.25">
      <c r="A2070" s="8" t="s">
        <v>5</v>
      </c>
      <c r="B2070" s="8" t="s">
        <v>36</v>
      </c>
      <c r="C2070" s="8" t="str">
        <f>IFERROR(_xlfn.XLOOKUP(TRIM(B2070),Lookup!$B$2:$B$1000,Lookup!$C$2:$C$1000),"")</f>
        <v>Equity</v>
      </c>
      <c r="D2070" s="8" t="s">
        <v>37</v>
      </c>
      <c r="E2070" s="9">
        <v>46219</v>
      </c>
      <c r="F2070" s="8">
        <v>11.6615</v>
      </c>
    </row>
    <row r="2071" spans="1:6" ht="60" x14ac:dyDescent="0.25">
      <c r="A2071" s="8" t="s">
        <v>5</v>
      </c>
      <c r="B2071" s="8" t="s">
        <v>36</v>
      </c>
      <c r="C2071" s="8" t="str">
        <f>IFERROR(_xlfn.XLOOKUP(TRIM(B2071),Lookup!$B$2:$B$1000,Lookup!$C$2:$C$1000),"")</f>
        <v>Equity</v>
      </c>
      <c r="D2071" s="8" t="s">
        <v>37</v>
      </c>
      <c r="E2071" s="9">
        <v>46220</v>
      </c>
      <c r="F2071" s="8">
        <v>11.680300000000001</v>
      </c>
    </row>
    <row r="2072" spans="1:6" ht="60" x14ac:dyDescent="0.25">
      <c r="A2072" s="8" t="s">
        <v>5</v>
      </c>
      <c r="B2072" s="8" t="s">
        <v>36</v>
      </c>
      <c r="C2072" s="8" t="str">
        <f>IFERROR(_xlfn.XLOOKUP(TRIM(B2072),Lookup!$B$2:$B$1000,Lookup!$C$2:$C$1000),"")</f>
        <v>Equity</v>
      </c>
      <c r="D2072" s="8" t="s">
        <v>37</v>
      </c>
      <c r="E2072" s="9">
        <v>46223</v>
      </c>
      <c r="F2072" s="8">
        <v>11.6919</v>
      </c>
    </row>
    <row r="2073" spans="1:6" ht="60" x14ac:dyDescent="0.25">
      <c r="A2073" s="8" t="s">
        <v>5</v>
      </c>
      <c r="B2073" s="8" t="s">
        <v>36</v>
      </c>
      <c r="C2073" s="8" t="str">
        <f>IFERROR(_xlfn.XLOOKUP(TRIM(B2073),Lookup!$B$2:$B$1000,Lookup!$C$2:$C$1000),"")</f>
        <v>Equity</v>
      </c>
      <c r="D2073" s="8" t="s">
        <v>37</v>
      </c>
      <c r="E2073" s="9">
        <v>46224</v>
      </c>
      <c r="F2073" s="8">
        <v>11.7087</v>
      </c>
    </row>
    <row r="2074" spans="1:6" ht="60" x14ac:dyDescent="0.25">
      <c r="A2074" s="8" t="s">
        <v>5</v>
      </c>
      <c r="B2074" s="8" t="s">
        <v>36</v>
      </c>
      <c r="C2074" s="8" t="str">
        <f>IFERROR(_xlfn.XLOOKUP(TRIM(B2074),Lookup!$B$2:$B$1000,Lookup!$C$2:$C$1000),"")</f>
        <v>Equity</v>
      </c>
      <c r="D2074" s="8" t="s">
        <v>37</v>
      </c>
      <c r="E2074" s="9">
        <v>46225</v>
      </c>
      <c r="F2074" s="8">
        <v>11.5945</v>
      </c>
    </row>
    <row r="2075" spans="1:6" ht="60" x14ac:dyDescent="0.25">
      <c r="A2075" s="8" t="s">
        <v>5</v>
      </c>
      <c r="B2075" s="8" t="s">
        <v>36</v>
      </c>
      <c r="C2075" s="8" t="str">
        <f>IFERROR(_xlfn.XLOOKUP(TRIM(B2075),Lookup!$B$2:$B$1000,Lookup!$C$2:$C$1000),"")</f>
        <v>Equity</v>
      </c>
      <c r="D2075" s="8" t="s">
        <v>37</v>
      </c>
      <c r="E2075" s="9">
        <v>46226</v>
      </c>
      <c r="F2075" s="8">
        <v>11.500299999999999</v>
      </c>
    </row>
    <row r="2076" spans="1:6" ht="60" x14ac:dyDescent="0.25">
      <c r="A2076" s="8" t="s">
        <v>5</v>
      </c>
      <c r="B2076" s="8" t="s">
        <v>36</v>
      </c>
      <c r="C2076" s="8" t="str">
        <f>IFERROR(_xlfn.XLOOKUP(TRIM(B2076),Lookup!$B$2:$B$1000,Lookup!$C$2:$C$1000),"")</f>
        <v>Equity</v>
      </c>
      <c r="D2076" s="8" t="s">
        <v>37</v>
      </c>
      <c r="E2076" s="9">
        <v>46227</v>
      </c>
      <c r="F2076" s="8">
        <v>11.475199999999999</v>
      </c>
    </row>
    <row r="2077" spans="1:6" ht="60" x14ac:dyDescent="0.25">
      <c r="A2077" s="8" t="s">
        <v>5</v>
      </c>
      <c r="B2077" s="8" t="s">
        <v>36</v>
      </c>
      <c r="C2077" s="8" t="str">
        <f>IFERROR(_xlfn.XLOOKUP(TRIM(B2077),Lookup!$B$2:$B$1000,Lookup!$C$2:$C$1000),"")</f>
        <v>Equity</v>
      </c>
      <c r="D2077" s="8" t="s">
        <v>37</v>
      </c>
      <c r="E2077" s="9">
        <v>46230</v>
      </c>
      <c r="F2077" s="8">
        <v>11.597200000000001</v>
      </c>
    </row>
    <row r="2078" spans="1:6" ht="60" x14ac:dyDescent="0.25">
      <c r="A2078" s="8" t="s">
        <v>5</v>
      </c>
      <c r="B2078" s="8" t="s">
        <v>36</v>
      </c>
      <c r="C2078" s="8" t="str">
        <f>IFERROR(_xlfn.XLOOKUP(TRIM(B2078),Lookup!$B$2:$B$1000,Lookup!$C$2:$C$1000),"")</f>
        <v>Equity</v>
      </c>
      <c r="D2078" s="8" t="s">
        <v>37</v>
      </c>
      <c r="E2078" s="9">
        <v>46231</v>
      </c>
      <c r="F2078" s="8">
        <v>11.5754</v>
      </c>
    </row>
    <row r="2079" spans="1:6" ht="60" x14ac:dyDescent="0.25">
      <c r="A2079" s="8" t="s">
        <v>5</v>
      </c>
      <c r="B2079" s="8" t="s">
        <v>36</v>
      </c>
      <c r="C2079" s="8" t="str">
        <f>IFERROR(_xlfn.XLOOKUP(TRIM(B2079),Lookup!$B$2:$B$1000,Lookup!$C$2:$C$1000),"")</f>
        <v>Equity</v>
      </c>
      <c r="D2079" s="8" t="s">
        <v>37</v>
      </c>
      <c r="E2079" s="9">
        <v>46232</v>
      </c>
      <c r="F2079" s="8">
        <v>11.694699999999999</v>
      </c>
    </row>
    <row r="2080" spans="1:6" ht="60" x14ac:dyDescent="0.25">
      <c r="A2080" s="8" t="s">
        <v>5</v>
      </c>
      <c r="B2080" s="8" t="s">
        <v>36</v>
      </c>
      <c r="C2080" s="8" t="str">
        <f>IFERROR(_xlfn.XLOOKUP(TRIM(B2080),Lookup!$B$2:$B$1000,Lookup!$C$2:$C$1000),"")</f>
        <v>Equity</v>
      </c>
      <c r="D2080" s="8" t="s">
        <v>37</v>
      </c>
      <c r="E2080" s="9">
        <v>46233</v>
      </c>
      <c r="F2080" s="8">
        <v>11.6751</v>
      </c>
    </row>
    <row r="2081" spans="1:6" ht="60" x14ac:dyDescent="0.25">
      <c r="A2081" s="8" t="s">
        <v>5</v>
      </c>
      <c r="B2081" s="8" t="s">
        <v>36</v>
      </c>
      <c r="C2081" s="8" t="str">
        <f>IFERROR(_xlfn.XLOOKUP(TRIM(B2081),Lookup!$B$2:$B$1000,Lookup!$C$2:$C$1000),"")</f>
        <v>Equity</v>
      </c>
      <c r="D2081" s="8" t="s">
        <v>37</v>
      </c>
      <c r="E2081" s="9">
        <v>46234</v>
      </c>
      <c r="F2081" s="8">
        <v>11.731199999999999</v>
      </c>
    </row>
    <row r="2082" spans="1:6" ht="60" x14ac:dyDescent="0.25">
      <c r="A2082" s="8" t="s">
        <v>5</v>
      </c>
      <c r="B2082" s="8" t="s">
        <v>40</v>
      </c>
      <c r="C2082" s="8" t="str">
        <f>IFERROR(_xlfn.XLOOKUP(TRIM(B2082),Lookup!$B$2:$B$1000,Lookup!$C$2:$C$1000),"")</f>
        <v>Equity</v>
      </c>
      <c r="D2082" s="8" t="s">
        <v>41</v>
      </c>
      <c r="E2082" s="9">
        <v>45869</v>
      </c>
      <c r="F2082" s="8">
        <v>59.003799999999998</v>
      </c>
    </row>
    <row r="2083" spans="1:6" ht="60" x14ac:dyDescent="0.25">
      <c r="A2083" s="8" t="s">
        <v>5</v>
      </c>
      <c r="B2083" s="8" t="s">
        <v>40</v>
      </c>
      <c r="C2083" s="8" t="str">
        <f>IFERROR(_xlfn.XLOOKUP(TRIM(B2083),Lookup!$B$2:$B$1000,Lookup!$C$2:$C$1000),"")</f>
        <v>Equity</v>
      </c>
      <c r="D2083" s="8" t="s">
        <v>41</v>
      </c>
      <c r="E2083" s="9">
        <v>45876</v>
      </c>
      <c r="F2083" s="8">
        <v>58.567900000000002</v>
      </c>
    </row>
    <row r="2084" spans="1:6" ht="60" x14ac:dyDescent="0.25">
      <c r="A2084" s="8" t="s">
        <v>5</v>
      </c>
      <c r="B2084" s="8" t="s">
        <v>40</v>
      </c>
      <c r="C2084" s="8" t="str">
        <f>IFERROR(_xlfn.XLOOKUP(TRIM(B2084),Lookup!$B$2:$B$1000,Lookup!$C$2:$C$1000),"")</f>
        <v>Equity</v>
      </c>
      <c r="D2084" s="8" t="s">
        <v>41</v>
      </c>
      <c r="E2084" s="9">
        <v>45883</v>
      </c>
      <c r="F2084" s="8">
        <v>58.620199999999997</v>
      </c>
    </row>
    <row r="2085" spans="1:6" ht="60" x14ac:dyDescent="0.25">
      <c r="A2085" s="8" t="s">
        <v>5</v>
      </c>
      <c r="B2085" s="8" t="s">
        <v>40</v>
      </c>
      <c r="C2085" s="8" t="str">
        <f>IFERROR(_xlfn.XLOOKUP(TRIM(B2085),Lookup!$B$2:$B$1000,Lookup!$C$2:$C$1000),"")</f>
        <v>Equity</v>
      </c>
      <c r="D2085" s="8" t="s">
        <v>41</v>
      </c>
      <c r="E2085" s="9">
        <v>45891</v>
      </c>
      <c r="F2085" s="8">
        <v>59.504800000000003</v>
      </c>
    </row>
    <row r="2086" spans="1:6" ht="60" x14ac:dyDescent="0.25">
      <c r="A2086" s="8" t="s">
        <v>5</v>
      </c>
      <c r="B2086" s="8" t="s">
        <v>40</v>
      </c>
      <c r="C2086" s="8" t="str">
        <f>IFERROR(_xlfn.XLOOKUP(TRIM(B2086),Lookup!$B$2:$B$1000,Lookup!$C$2:$C$1000),"")</f>
        <v>Equity</v>
      </c>
      <c r="D2086" s="8" t="s">
        <v>41</v>
      </c>
      <c r="E2086" s="9">
        <v>45901</v>
      </c>
      <c r="F2086" s="8">
        <v>58.809399999999997</v>
      </c>
    </row>
    <row r="2087" spans="1:6" ht="60" x14ac:dyDescent="0.25">
      <c r="A2087" s="8" t="s">
        <v>5</v>
      </c>
      <c r="B2087" s="8" t="s">
        <v>40</v>
      </c>
      <c r="C2087" s="8" t="str">
        <f>IFERROR(_xlfn.XLOOKUP(TRIM(B2087),Lookup!$B$2:$B$1000,Lookup!$C$2:$C$1000),"")</f>
        <v>Equity</v>
      </c>
      <c r="D2087" s="8" t="s">
        <v>41</v>
      </c>
      <c r="E2087" s="9">
        <v>45908</v>
      </c>
      <c r="F2087" s="8">
        <v>59.369199999999999</v>
      </c>
    </row>
    <row r="2088" spans="1:6" ht="60" x14ac:dyDescent="0.25">
      <c r="A2088" s="8" t="s">
        <v>5</v>
      </c>
      <c r="B2088" s="8" t="s">
        <v>40</v>
      </c>
      <c r="C2088" s="8" t="str">
        <f>IFERROR(_xlfn.XLOOKUP(TRIM(B2088),Lookup!$B$2:$B$1000,Lookup!$C$2:$C$1000),"")</f>
        <v>Equity</v>
      </c>
      <c r="D2088" s="8" t="s">
        <v>41</v>
      </c>
      <c r="E2088" s="9">
        <v>45915</v>
      </c>
      <c r="F2088" s="8">
        <v>60.142699999999998</v>
      </c>
    </row>
    <row r="2089" spans="1:6" ht="60" x14ac:dyDescent="0.25">
      <c r="A2089" s="8" t="s">
        <v>5</v>
      </c>
      <c r="B2089" s="8" t="s">
        <v>40</v>
      </c>
      <c r="C2089" s="8" t="str">
        <f>IFERROR(_xlfn.XLOOKUP(TRIM(B2089),Lookup!$B$2:$B$1000,Lookup!$C$2:$C$1000),"")</f>
        <v>Equity</v>
      </c>
      <c r="D2089" s="8" t="s">
        <v>41</v>
      </c>
      <c r="E2089" s="9">
        <v>45922</v>
      </c>
      <c r="F2089" s="8">
        <v>60.608499999999999</v>
      </c>
    </row>
    <row r="2090" spans="1:6" ht="60" x14ac:dyDescent="0.25">
      <c r="A2090" s="8" t="s">
        <v>5</v>
      </c>
      <c r="B2090" s="8" t="s">
        <v>40</v>
      </c>
      <c r="C2090" s="8" t="str">
        <f>IFERROR(_xlfn.XLOOKUP(TRIM(B2090),Lookup!$B$2:$B$1000,Lookup!$C$2:$C$1000),"")</f>
        <v>Equity</v>
      </c>
      <c r="D2090" s="8" t="s">
        <v>41</v>
      </c>
      <c r="E2090" s="9">
        <v>45929</v>
      </c>
      <c r="F2090" s="8">
        <v>59.023099999999999</v>
      </c>
    </row>
    <row r="2091" spans="1:6" ht="60" x14ac:dyDescent="0.25">
      <c r="A2091" s="8" t="s">
        <v>5</v>
      </c>
      <c r="B2091" s="8" t="s">
        <v>40</v>
      </c>
      <c r="C2091" s="8" t="str">
        <f>IFERROR(_xlfn.XLOOKUP(TRIM(B2091),Lookup!$B$2:$B$1000,Lookup!$C$2:$C$1000),"")</f>
        <v>Equity</v>
      </c>
      <c r="D2091" s="8" t="s">
        <v>41</v>
      </c>
      <c r="E2091" s="9">
        <v>45937</v>
      </c>
      <c r="F2091" s="8">
        <v>60.232300000000002</v>
      </c>
    </row>
    <row r="2092" spans="1:6" ht="60" x14ac:dyDescent="0.25">
      <c r="A2092" s="8" t="s">
        <v>5</v>
      </c>
      <c r="B2092" s="8" t="s">
        <v>40</v>
      </c>
      <c r="C2092" s="8" t="str">
        <f>IFERROR(_xlfn.XLOOKUP(TRIM(B2092),Lookup!$B$2:$B$1000,Lookup!$C$2:$C$1000),"")</f>
        <v>Equity</v>
      </c>
      <c r="D2092" s="8" t="s">
        <v>41</v>
      </c>
      <c r="E2092" s="9">
        <v>45944</v>
      </c>
      <c r="F2092" s="8">
        <v>60.082299999999996</v>
      </c>
    </row>
    <row r="2093" spans="1:6" ht="60" x14ac:dyDescent="0.25">
      <c r="A2093" s="8" t="s">
        <v>5</v>
      </c>
      <c r="B2093" s="8" t="s">
        <v>40</v>
      </c>
      <c r="C2093" s="8" t="str">
        <f>IFERROR(_xlfn.XLOOKUP(TRIM(B2093),Lookup!$B$2:$B$1000,Lookup!$C$2:$C$1000),"")</f>
        <v>Equity</v>
      </c>
      <c r="D2093" s="8" t="s">
        <v>41</v>
      </c>
      <c r="E2093" s="9">
        <v>45953</v>
      </c>
      <c r="F2093" s="8">
        <v>61.735999999999997</v>
      </c>
    </row>
    <row r="2094" spans="1:6" ht="60" x14ac:dyDescent="0.25">
      <c r="A2094" s="8" t="s">
        <v>5</v>
      </c>
      <c r="B2094" s="8" t="s">
        <v>40</v>
      </c>
      <c r="C2094" s="8" t="str">
        <f>IFERROR(_xlfn.XLOOKUP(TRIM(B2094),Lookup!$B$2:$B$1000,Lookup!$C$2:$C$1000),"")</f>
        <v>Equity</v>
      </c>
      <c r="D2094" s="8" t="s">
        <v>41</v>
      </c>
      <c r="E2094" s="9">
        <v>45960</v>
      </c>
      <c r="F2094" s="8">
        <v>61.9313</v>
      </c>
    </row>
    <row r="2095" spans="1:6" ht="60" x14ac:dyDescent="0.25">
      <c r="A2095" s="8" t="s">
        <v>5</v>
      </c>
      <c r="B2095" s="8" t="s">
        <v>40</v>
      </c>
      <c r="C2095" s="8" t="str">
        <f>IFERROR(_xlfn.XLOOKUP(TRIM(B2095),Lookup!$B$2:$B$1000,Lookup!$C$2:$C$1000),"")</f>
        <v>Equity</v>
      </c>
      <c r="D2095" s="8" t="s">
        <v>41</v>
      </c>
      <c r="E2095" s="9">
        <v>45968</v>
      </c>
      <c r="F2095" s="8">
        <v>61.197600000000001</v>
      </c>
    </row>
    <row r="2096" spans="1:6" ht="60" x14ac:dyDescent="0.25">
      <c r="A2096" s="8" t="s">
        <v>5</v>
      </c>
      <c r="B2096" s="8" t="s">
        <v>40</v>
      </c>
      <c r="C2096" s="8" t="str">
        <f>IFERROR(_xlfn.XLOOKUP(TRIM(B2096),Lookup!$B$2:$B$1000,Lookup!$C$2:$C$1000),"")</f>
        <v>Equity</v>
      </c>
      <c r="D2096" s="8" t="s">
        <v>41</v>
      </c>
      <c r="E2096" s="9">
        <v>45975</v>
      </c>
      <c r="F2096" s="8">
        <v>62.155000000000001</v>
      </c>
    </row>
    <row r="2097" spans="1:6" ht="60" x14ac:dyDescent="0.25">
      <c r="A2097" s="8" t="s">
        <v>5</v>
      </c>
      <c r="B2097" s="8" t="s">
        <v>40</v>
      </c>
      <c r="C2097" s="8" t="str">
        <f>IFERROR(_xlfn.XLOOKUP(TRIM(B2097),Lookup!$B$2:$B$1000,Lookup!$C$2:$C$1000),"")</f>
        <v>Equity</v>
      </c>
      <c r="D2097" s="8" t="s">
        <v>41</v>
      </c>
      <c r="E2097" s="9">
        <v>45982</v>
      </c>
      <c r="F2097" s="8">
        <v>62.180399999999999</v>
      </c>
    </row>
    <row r="2098" spans="1:6" ht="60" x14ac:dyDescent="0.25">
      <c r="A2098" s="8" t="s">
        <v>5</v>
      </c>
      <c r="B2098" s="8" t="s">
        <v>40</v>
      </c>
      <c r="C2098" s="8" t="str">
        <f>IFERROR(_xlfn.XLOOKUP(TRIM(B2098),Lookup!$B$2:$B$1000,Lookup!$C$2:$C$1000),"")</f>
        <v>Equity</v>
      </c>
      <c r="D2098" s="8" t="s">
        <v>41</v>
      </c>
      <c r="E2098" s="9">
        <v>45989</v>
      </c>
      <c r="F2098" s="8">
        <v>62.616100000000003</v>
      </c>
    </row>
    <row r="2099" spans="1:6" ht="60" x14ac:dyDescent="0.25">
      <c r="A2099" s="8" t="s">
        <v>5</v>
      </c>
      <c r="B2099" s="8" t="s">
        <v>40</v>
      </c>
      <c r="C2099" s="8" t="str">
        <f>IFERROR(_xlfn.XLOOKUP(TRIM(B2099),Lookup!$B$2:$B$1000,Lookup!$C$2:$C$1000),"")</f>
        <v>Equity</v>
      </c>
      <c r="D2099" s="8" t="s">
        <v>41</v>
      </c>
      <c r="E2099" s="9">
        <v>45996</v>
      </c>
      <c r="F2099" s="8">
        <v>62.332700000000003</v>
      </c>
    </row>
    <row r="2100" spans="1:6" ht="60" x14ac:dyDescent="0.25">
      <c r="A2100" s="8" t="s">
        <v>5</v>
      </c>
      <c r="B2100" s="8" t="s">
        <v>40</v>
      </c>
      <c r="C2100" s="8" t="str">
        <f>IFERROR(_xlfn.XLOOKUP(TRIM(B2100),Lookup!$B$2:$B$1000,Lookup!$C$2:$C$1000),"")</f>
        <v>Equity</v>
      </c>
      <c r="D2100" s="8" t="s">
        <v>41</v>
      </c>
      <c r="E2100" s="9">
        <v>46003</v>
      </c>
      <c r="F2100" s="8">
        <v>62.126800000000003</v>
      </c>
    </row>
    <row r="2101" spans="1:6" ht="60" x14ac:dyDescent="0.25">
      <c r="A2101" s="8" t="s">
        <v>5</v>
      </c>
      <c r="B2101" s="8" t="s">
        <v>40</v>
      </c>
      <c r="C2101" s="8" t="str">
        <f>IFERROR(_xlfn.XLOOKUP(TRIM(B2101),Lookup!$B$2:$B$1000,Lookup!$C$2:$C$1000),"")</f>
        <v>Equity</v>
      </c>
      <c r="D2101" s="8" t="s">
        <v>41</v>
      </c>
      <c r="E2101" s="9">
        <v>46010</v>
      </c>
      <c r="F2101" s="8">
        <v>62.067900000000002</v>
      </c>
    </row>
    <row r="2102" spans="1:6" ht="60" x14ac:dyDescent="0.25">
      <c r="A2102" s="8" t="s">
        <v>5</v>
      </c>
      <c r="B2102" s="8" t="s">
        <v>40</v>
      </c>
      <c r="C2102" s="8" t="str">
        <f>IFERROR(_xlfn.XLOOKUP(TRIM(B2102),Lookup!$B$2:$B$1000,Lookup!$C$2:$C$1000),"")</f>
        <v>Equity</v>
      </c>
      <c r="D2102" s="8" t="s">
        <v>41</v>
      </c>
      <c r="E2102" s="9">
        <v>46020</v>
      </c>
      <c r="F2102" s="8">
        <v>61.962800000000001</v>
      </c>
    </row>
    <row r="2103" spans="1:6" ht="60" x14ac:dyDescent="0.25">
      <c r="A2103" s="8" t="s">
        <v>5</v>
      </c>
      <c r="B2103" s="8" t="s">
        <v>40</v>
      </c>
      <c r="C2103" s="8" t="str">
        <f>IFERROR(_xlfn.XLOOKUP(TRIM(B2103),Lookup!$B$2:$B$1000,Lookup!$C$2:$C$1000),"")</f>
        <v>Equity</v>
      </c>
      <c r="D2103" s="8" t="s">
        <v>41</v>
      </c>
      <c r="E2103" s="9">
        <v>46027</v>
      </c>
      <c r="F2103" s="8">
        <v>62.799500000000002</v>
      </c>
    </row>
    <row r="2104" spans="1:6" ht="60" x14ac:dyDescent="0.25">
      <c r="A2104" s="8" t="s">
        <v>5</v>
      </c>
      <c r="B2104" s="8" t="s">
        <v>40</v>
      </c>
      <c r="C2104" s="8" t="str">
        <f>IFERROR(_xlfn.XLOOKUP(TRIM(B2104),Lookup!$B$2:$B$1000,Lookup!$C$2:$C$1000),"")</f>
        <v>Equity</v>
      </c>
      <c r="D2104" s="8" t="s">
        <v>41</v>
      </c>
      <c r="E2104" s="9">
        <v>46034</v>
      </c>
      <c r="F2104" s="8">
        <v>61.4497</v>
      </c>
    </row>
    <row r="2105" spans="1:6" ht="60" x14ac:dyDescent="0.25">
      <c r="A2105" s="8" t="s">
        <v>5</v>
      </c>
      <c r="B2105" s="8" t="s">
        <v>40</v>
      </c>
      <c r="C2105" s="8" t="str">
        <f>IFERROR(_xlfn.XLOOKUP(TRIM(B2105),Lookup!$B$2:$B$1000,Lookup!$C$2:$C$1000),"")</f>
        <v>Equity</v>
      </c>
      <c r="D2105" s="8" t="s">
        <v>41</v>
      </c>
      <c r="E2105" s="9">
        <v>46042</v>
      </c>
      <c r="F2105" s="8">
        <v>60.1004</v>
      </c>
    </row>
    <row r="2106" spans="1:6" ht="60" x14ac:dyDescent="0.25">
      <c r="A2106" s="8" t="s">
        <v>5</v>
      </c>
      <c r="B2106" s="8" t="s">
        <v>40</v>
      </c>
      <c r="C2106" s="8" t="str">
        <f>IFERROR(_xlfn.XLOOKUP(TRIM(B2106),Lookup!$B$2:$B$1000,Lookup!$C$2:$C$1000),"")</f>
        <v>Equity</v>
      </c>
      <c r="D2106" s="8" t="s">
        <v>41</v>
      </c>
      <c r="E2106" s="9">
        <v>46050</v>
      </c>
      <c r="F2106" s="8">
        <v>60.348399999999998</v>
      </c>
    </row>
    <row r="2107" spans="1:6" ht="60" x14ac:dyDescent="0.25">
      <c r="A2107" s="8" t="s">
        <v>5</v>
      </c>
      <c r="B2107" s="8" t="s">
        <v>40</v>
      </c>
      <c r="C2107" s="8" t="str">
        <f>IFERROR(_xlfn.XLOOKUP(TRIM(B2107),Lookup!$B$2:$B$1000,Lookup!$C$2:$C$1000),"")</f>
        <v>Equity</v>
      </c>
      <c r="D2107" s="8" t="s">
        <v>41</v>
      </c>
      <c r="E2107" s="9">
        <v>46056</v>
      </c>
      <c r="F2107" s="8">
        <v>61.491</v>
      </c>
    </row>
    <row r="2108" spans="1:6" ht="60" x14ac:dyDescent="0.25">
      <c r="A2108" s="8" t="s">
        <v>5</v>
      </c>
      <c r="B2108" s="8" t="s">
        <v>40</v>
      </c>
      <c r="C2108" s="8" t="str">
        <f>IFERROR(_xlfn.XLOOKUP(TRIM(B2108),Lookup!$B$2:$B$1000,Lookup!$C$2:$C$1000),"")</f>
        <v>Equity</v>
      </c>
      <c r="D2108" s="8" t="s">
        <v>41</v>
      </c>
      <c r="E2108" s="9">
        <v>46063</v>
      </c>
      <c r="F2108" s="8">
        <v>62.316800000000001</v>
      </c>
    </row>
    <row r="2109" spans="1:6" ht="60" x14ac:dyDescent="0.25">
      <c r="A2109" s="8" t="s">
        <v>5</v>
      </c>
      <c r="B2109" s="8" t="s">
        <v>40</v>
      </c>
      <c r="C2109" s="8" t="str">
        <f>IFERROR(_xlfn.XLOOKUP(TRIM(B2109),Lookup!$B$2:$B$1000,Lookup!$C$2:$C$1000),"")</f>
        <v>Equity</v>
      </c>
      <c r="D2109" s="8" t="s">
        <v>41</v>
      </c>
      <c r="E2109" s="9">
        <v>46070</v>
      </c>
      <c r="F2109" s="8">
        <v>61.853499999999997</v>
      </c>
    </row>
    <row r="2110" spans="1:6" ht="60" x14ac:dyDescent="0.25">
      <c r="A2110" s="8" t="s">
        <v>5</v>
      </c>
      <c r="B2110" s="8" t="s">
        <v>40</v>
      </c>
      <c r="C2110" s="8" t="str">
        <f>IFERROR(_xlfn.XLOOKUP(TRIM(B2110),Lookup!$B$2:$B$1000,Lookup!$C$2:$C$1000),"")</f>
        <v>Equity</v>
      </c>
      <c r="D2110" s="8" t="s">
        <v>41</v>
      </c>
      <c r="E2110" s="9">
        <v>46077</v>
      </c>
      <c r="F2110" s="8">
        <v>61.144300000000001</v>
      </c>
    </row>
    <row r="2111" spans="1:6" ht="60" x14ac:dyDescent="0.25">
      <c r="A2111" s="8" t="s">
        <v>5</v>
      </c>
      <c r="B2111" s="8" t="s">
        <v>40</v>
      </c>
      <c r="C2111" s="8" t="str">
        <f>IFERROR(_xlfn.XLOOKUP(TRIM(B2111),Lookup!$B$2:$B$1000,Lookup!$C$2:$C$1000),"")</f>
        <v>Equity</v>
      </c>
      <c r="D2111" s="8" t="s">
        <v>41</v>
      </c>
      <c r="E2111" s="9">
        <v>46085</v>
      </c>
      <c r="F2111" s="8">
        <v>58.808599999999998</v>
      </c>
    </row>
    <row r="2112" spans="1:6" ht="60" x14ac:dyDescent="0.25">
      <c r="A2112" s="8" t="s">
        <v>5</v>
      </c>
      <c r="B2112" s="8" t="s">
        <v>40</v>
      </c>
      <c r="C2112" s="8" t="str">
        <f>IFERROR(_xlfn.XLOOKUP(TRIM(B2112),Lookup!$B$2:$B$1000,Lookup!$C$2:$C$1000),"")</f>
        <v>Equity</v>
      </c>
      <c r="D2112" s="8" t="s">
        <v>41</v>
      </c>
      <c r="E2112" s="9">
        <v>46092</v>
      </c>
      <c r="F2112" s="8">
        <v>57.593899999999998</v>
      </c>
    </row>
    <row r="2113" spans="1:6" ht="60" x14ac:dyDescent="0.25">
      <c r="A2113" s="8" t="s">
        <v>5</v>
      </c>
      <c r="B2113" s="8" t="s">
        <v>40</v>
      </c>
      <c r="C2113" s="8" t="str">
        <f>IFERROR(_xlfn.XLOOKUP(TRIM(B2113),Lookup!$B$2:$B$1000,Lookup!$C$2:$C$1000),"")</f>
        <v>Equity</v>
      </c>
      <c r="D2113" s="8" t="s">
        <v>41</v>
      </c>
      <c r="E2113" s="9">
        <v>46099</v>
      </c>
      <c r="F2113" s="8">
        <v>57.176499999999997</v>
      </c>
    </row>
    <row r="2114" spans="1:6" ht="60" x14ac:dyDescent="0.25">
      <c r="A2114" s="8" t="s">
        <v>5</v>
      </c>
      <c r="B2114" s="8" t="s">
        <v>40</v>
      </c>
      <c r="C2114" s="8" t="str">
        <f>IFERROR(_xlfn.XLOOKUP(TRIM(B2114),Lookup!$B$2:$B$1000,Lookup!$C$2:$C$1000),"")</f>
        <v>Equity</v>
      </c>
      <c r="D2114" s="8" t="s">
        <v>41</v>
      </c>
      <c r="E2114" s="9">
        <v>46106</v>
      </c>
      <c r="F2114" s="8">
        <v>56.207700000000003</v>
      </c>
    </row>
    <row r="2115" spans="1:6" ht="60" x14ac:dyDescent="0.25">
      <c r="A2115" s="8" t="s">
        <v>5</v>
      </c>
      <c r="B2115" s="8" t="s">
        <v>40</v>
      </c>
      <c r="C2115" s="8" t="str">
        <f>IFERROR(_xlfn.XLOOKUP(TRIM(B2115),Lookup!$B$2:$B$1000,Lookup!$C$2:$C$1000),"")</f>
        <v>Equity</v>
      </c>
      <c r="D2115" s="8" t="s">
        <v>41</v>
      </c>
      <c r="E2115" s="9">
        <v>46114</v>
      </c>
      <c r="F2115" s="8">
        <v>54.942</v>
      </c>
    </row>
    <row r="2116" spans="1:6" ht="60" x14ac:dyDescent="0.25">
      <c r="A2116" s="8" t="s">
        <v>5</v>
      </c>
      <c r="B2116" s="8" t="s">
        <v>40</v>
      </c>
      <c r="C2116" s="8" t="str">
        <f>IFERROR(_xlfn.XLOOKUP(TRIM(B2116),Lookup!$B$2:$B$1000,Lookup!$C$2:$C$1000),"")</f>
        <v>Equity</v>
      </c>
      <c r="D2116" s="8" t="s">
        <v>41</v>
      </c>
      <c r="E2116" s="9">
        <v>46122</v>
      </c>
      <c r="F2116" s="8">
        <v>58.573099999999997</v>
      </c>
    </row>
    <row r="2117" spans="1:6" ht="60" x14ac:dyDescent="0.25">
      <c r="A2117" s="8" t="s">
        <v>5</v>
      </c>
      <c r="B2117" s="8" t="s">
        <v>40</v>
      </c>
      <c r="C2117" s="8" t="str">
        <f>IFERROR(_xlfn.XLOOKUP(TRIM(B2117),Lookup!$B$2:$B$1000,Lookup!$C$2:$C$1000),"")</f>
        <v>Equity</v>
      </c>
      <c r="D2117" s="8" t="s">
        <v>41</v>
      </c>
      <c r="E2117" s="9">
        <v>46132</v>
      </c>
      <c r="F2117" s="8">
        <v>59.573300000000003</v>
      </c>
    </row>
    <row r="2118" spans="1:6" ht="60" x14ac:dyDescent="0.25">
      <c r="A2118" s="8" t="s">
        <v>5</v>
      </c>
      <c r="B2118" s="8" t="s">
        <v>40</v>
      </c>
      <c r="C2118" s="8" t="str">
        <f>IFERROR(_xlfn.XLOOKUP(TRIM(B2118),Lookup!$B$2:$B$1000,Lookup!$C$2:$C$1000),"")</f>
        <v>Equity</v>
      </c>
      <c r="D2118" s="8" t="s">
        <v>41</v>
      </c>
      <c r="E2118" s="9">
        <v>46139</v>
      </c>
      <c r="F2118" s="8">
        <v>59.3917</v>
      </c>
    </row>
    <row r="2119" spans="1:6" ht="60" x14ac:dyDescent="0.25">
      <c r="A2119" s="8" t="s">
        <v>5</v>
      </c>
      <c r="B2119" s="8" t="s">
        <v>40</v>
      </c>
      <c r="C2119" s="8" t="str">
        <f>IFERROR(_xlfn.XLOOKUP(TRIM(B2119),Lookup!$B$2:$B$1000,Lookup!$C$2:$C$1000),"")</f>
        <v>Equity</v>
      </c>
      <c r="D2119" s="8" t="s">
        <v>41</v>
      </c>
      <c r="E2119" s="9">
        <v>46147</v>
      </c>
      <c r="F2119" s="8">
        <v>59.3367</v>
      </c>
    </row>
    <row r="2120" spans="1:6" ht="60" x14ac:dyDescent="0.25">
      <c r="A2120" s="8" t="s">
        <v>5</v>
      </c>
      <c r="B2120" s="8" t="s">
        <v>40</v>
      </c>
      <c r="C2120" s="8" t="str">
        <f>IFERROR(_xlfn.XLOOKUP(TRIM(B2120),Lookup!$B$2:$B$1000,Lookup!$C$2:$C$1000),"")</f>
        <v>Equity</v>
      </c>
      <c r="D2120" s="8" t="s">
        <v>41</v>
      </c>
      <c r="E2120" s="9">
        <v>46154</v>
      </c>
      <c r="F2120" s="8">
        <v>58.096899999999998</v>
      </c>
    </row>
    <row r="2121" spans="1:6" ht="60" x14ac:dyDescent="0.25">
      <c r="A2121" s="8" t="s">
        <v>5</v>
      </c>
      <c r="B2121" s="8" t="s">
        <v>40</v>
      </c>
      <c r="C2121" s="8" t="str">
        <f>IFERROR(_xlfn.XLOOKUP(TRIM(B2121),Lookup!$B$2:$B$1000,Lookup!$C$2:$C$1000),"")</f>
        <v>Equity</v>
      </c>
      <c r="D2121" s="8" t="s">
        <v>41</v>
      </c>
      <c r="E2121" s="9">
        <v>46161</v>
      </c>
      <c r="F2121" s="8">
        <v>58.598199999999999</v>
      </c>
    </row>
    <row r="2122" spans="1:6" ht="60" x14ac:dyDescent="0.25">
      <c r="A2122" s="8" t="s">
        <v>5</v>
      </c>
      <c r="B2122" s="8" t="s">
        <v>40</v>
      </c>
      <c r="C2122" s="8" t="str">
        <f>IFERROR(_xlfn.XLOOKUP(TRIM(B2122),Lookup!$B$2:$B$1000,Lookup!$C$2:$C$1000),"")</f>
        <v>Equity</v>
      </c>
      <c r="D2122" s="8" t="s">
        <v>41</v>
      </c>
      <c r="E2122" s="9">
        <v>46168</v>
      </c>
      <c r="F2122" s="8">
        <v>59.593899999999998</v>
      </c>
    </row>
    <row r="2123" spans="1:6" ht="60" x14ac:dyDescent="0.25">
      <c r="A2123" s="8" t="s">
        <v>5</v>
      </c>
      <c r="B2123" s="8" t="s">
        <v>40</v>
      </c>
      <c r="C2123" s="8" t="str">
        <f>IFERROR(_xlfn.XLOOKUP(TRIM(B2123),Lookup!$B$2:$B$1000,Lookup!$C$2:$C$1000),"")</f>
        <v>Equity</v>
      </c>
      <c r="D2123" s="8" t="s">
        <v>41</v>
      </c>
      <c r="E2123" s="9">
        <v>46176</v>
      </c>
      <c r="F2123" s="8">
        <v>58.476500000000001</v>
      </c>
    </row>
    <row r="2124" spans="1:6" ht="60" x14ac:dyDescent="0.25">
      <c r="A2124" s="8" t="s">
        <v>5</v>
      </c>
      <c r="B2124" s="8" t="s">
        <v>40</v>
      </c>
      <c r="C2124" s="8" t="str">
        <f>IFERROR(_xlfn.XLOOKUP(TRIM(B2124),Lookup!$B$2:$B$1000,Lookup!$C$2:$C$1000),"")</f>
        <v>Equity</v>
      </c>
      <c r="D2124" s="8" t="s">
        <v>41</v>
      </c>
      <c r="E2124" s="9">
        <v>46183</v>
      </c>
      <c r="F2124" s="8">
        <v>58.116999999999997</v>
      </c>
    </row>
    <row r="2125" spans="1:6" ht="60" x14ac:dyDescent="0.25">
      <c r="A2125" s="8" t="s">
        <v>5</v>
      </c>
      <c r="B2125" s="8" t="s">
        <v>40</v>
      </c>
      <c r="C2125" s="8" t="str">
        <f>IFERROR(_xlfn.XLOOKUP(TRIM(B2125),Lookup!$B$2:$B$1000,Lookup!$C$2:$C$1000),"")</f>
        <v>Equity</v>
      </c>
      <c r="D2125" s="8" t="s">
        <v>41</v>
      </c>
      <c r="E2125" s="9">
        <v>46190</v>
      </c>
      <c r="F2125" s="8">
        <v>60.558300000000003</v>
      </c>
    </row>
    <row r="2126" spans="1:6" ht="60" x14ac:dyDescent="0.25">
      <c r="A2126" s="8" t="s">
        <v>5</v>
      </c>
      <c r="B2126" s="8" t="s">
        <v>40</v>
      </c>
      <c r="C2126" s="8" t="str">
        <f>IFERROR(_xlfn.XLOOKUP(TRIM(B2126),Lookup!$B$2:$B$1000,Lookup!$C$2:$C$1000),"")</f>
        <v>Equity</v>
      </c>
      <c r="D2126" s="8" t="s">
        <v>41</v>
      </c>
      <c r="E2126" s="9">
        <v>46197</v>
      </c>
      <c r="F2126" s="8">
        <v>60.8065</v>
      </c>
    </row>
    <row r="2127" spans="1:6" ht="60" x14ac:dyDescent="0.25">
      <c r="A2127" s="8" t="s">
        <v>5</v>
      </c>
      <c r="B2127" s="8" t="s">
        <v>40</v>
      </c>
      <c r="C2127" s="8" t="str">
        <f>IFERROR(_xlfn.XLOOKUP(TRIM(B2127),Lookup!$B$2:$B$1000,Lookup!$C$2:$C$1000),"")</f>
        <v>Equity</v>
      </c>
      <c r="D2127" s="8" t="s">
        <v>41</v>
      </c>
      <c r="E2127" s="9">
        <v>46205</v>
      </c>
      <c r="F2127" s="8">
        <v>61.222999999999999</v>
      </c>
    </row>
    <row r="2128" spans="1:6" ht="60" x14ac:dyDescent="0.25">
      <c r="A2128" s="8" t="s">
        <v>5</v>
      </c>
      <c r="B2128" s="8" t="s">
        <v>40</v>
      </c>
      <c r="C2128" s="8" t="str">
        <f>IFERROR(_xlfn.XLOOKUP(TRIM(B2128),Lookup!$B$2:$B$1000,Lookup!$C$2:$C$1000),"")</f>
        <v>Equity</v>
      </c>
      <c r="D2128" s="8" t="s">
        <v>41</v>
      </c>
      <c r="E2128" s="9">
        <v>46212</v>
      </c>
      <c r="F2128" s="8">
        <v>60.746699999999997</v>
      </c>
    </row>
    <row r="2129" spans="1:6" ht="60" x14ac:dyDescent="0.25">
      <c r="A2129" s="8" t="s">
        <v>5</v>
      </c>
      <c r="B2129" s="8" t="s">
        <v>40</v>
      </c>
      <c r="C2129" s="8" t="str">
        <f>IFERROR(_xlfn.XLOOKUP(TRIM(B2129),Lookup!$B$2:$B$1000,Lookup!$C$2:$C$1000),"")</f>
        <v>Equity</v>
      </c>
      <c r="D2129" s="8" t="s">
        <v>41</v>
      </c>
      <c r="E2129" s="9">
        <v>46219</v>
      </c>
      <c r="F2129" s="8">
        <v>61.056899999999999</v>
      </c>
    </row>
    <row r="2130" spans="1:6" ht="60" x14ac:dyDescent="0.25">
      <c r="A2130" s="8" t="s">
        <v>5</v>
      </c>
      <c r="B2130" s="8" t="s">
        <v>40</v>
      </c>
      <c r="C2130" s="8" t="str">
        <f>IFERROR(_xlfn.XLOOKUP(TRIM(B2130),Lookup!$B$2:$B$1000,Lookup!$C$2:$C$1000),"")</f>
        <v>Equity</v>
      </c>
      <c r="D2130" s="8" t="s">
        <v>41</v>
      </c>
      <c r="E2130" s="9">
        <v>46226</v>
      </c>
      <c r="F2130" s="8">
        <v>60.256500000000003</v>
      </c>
    </row>
    <row r="2131" spans="1:6" ht="60" x14ac:dyDescent="0.25">
      <c r="A2131" s="8" t="s">
        <v>5</v>
      </c>
      <c r="B2131" s="8" t="s">
        <v>40</v>
      </c>
      <c r="C2131" s="8" t="str">
        <f>IFERROR(_xlfn.XLOOKUP(TRIM(B2131),Lookup!$B$2:$B$1000,Lookup!$C$2:$C$1000),"")</f>
        <v>Equity</v>
      </c>
      <c r="D2131" s="8" t="s">
        <v>41</v>
      </c>
      <c r="E2131" s="9">
        <v>46233</v>
      </c>
      <c r="F2131" s="8">
        <v>61.428800000000003</v>
      </c>
    </row>
    <row r="2132" spans="1:6" ht="60" x14ac:dyDescent="0.25">
      <c r="A2132" s="8" t="s">
        <v>5</v>
      </c>
      <c r="B2132" s="8" t="s">
        <v>42</v>
      </c>
      <c r="C2132" s="8" t="str">
        <f>IFERROR(_xlfn.XLOOKUP(TRIM(B2132),Lookup!$B$2:$B$1000,Lookup!$C$2:$C$1000),"")</f>
        <v>Equity</v>
      </c>
      <c r="D2132" s="8" t="s">
        <v>43</v>
      </c>
      <c r="E2132" s="9">
        <v>45869</v>
      </c>
      <c r="F2132" s="8">
        <v>44.540599999999998</v>
      </c>
    </row>
    <row r="2133" spans="1:6" ht="60" x14ac:dyDescent="0.25">
      <c r="A2133" s="8" t="s">
        <v>5</v>
      </c>
      <c r="B2133" s="8" t="s">
        <v>42</v>
      </c>
      <c r="C2133" s="8" t="str">
        <f>IFERROR(_xlfn.XLOOKUP(TRIM(B2133),Lookup!$B$2:$B$1000,Lookup!$C$2:$C$1000),"")</f>
        <v>Equity</v>
      </c>
      <c r="D2133" s="8" t="s">
        <v>43</v>
      </c>
      <c r="E2133" s="9">
        <v>45870</v>
      </c>
      <c r="F2133" s="8">
        <v>44.1967</v>
      </c>
    </row>
    <row r="2134" spans="1:6" ht="60" x14ac:dyDescent="0.25">
      <c r="A2134" s="8" t="s">
        <v>5</v>
      </c>
      <c r="B2134" s="8" t="s">
        <v>42</v>
      </c>
      <c r="C2134" s="8" t="str">
        <f>IFERROR(_xlfn.XLOOKUP(TRIM(B2134),Lookup!$B$2:$B$1000,Lookup!$C$2:$C$1000),"")</f>
        <v>Equity</v>
      </c>
      <c r="D2134" s="8" t="s">
        <v>43</v>
      </c>
      <c r="E2134" s="9">
        <v>45873</v>
      </c>
      <c r="F2134" s="8">
        <v>44.503</v>
      </c>
    </row>
    <row r="2135" spans="1:6" ht="60" x14ac:dyDescent="0.25">
      <c r="A2135" s="8" t="s">
        <v>5</v>
      </c>
      <c r="B2135" s="8" t="s">
        <v>42</v>
      </c>
      <c r="C2135" s="8" t="str">
        <f>IFERROR(_xlfn.XLOOKUP(TRIM(B2135),Lookup!$B$2:$B$1000,Lookup!$C$2:$C$1000),"")</f>
        <v>Equity</v>
      </c>
      <c r="D2135" s="8" t="s">
        <v>43</v>
      </c>
      <c r="E2135" s="9">
        <v>45874</v>
      </c>
      <c r="F2135" s="8">
        <v>44.385399999999997</v>
      </c>
    </row>
    <row r="2136" spans="1:6" ht="60" x14ac:dyDescent="0.25">
      <c r="A2136" s="8" t="s">
        <v>5</v>
      </c>
      <c r="B2136" s="8" t="s">
        <v>42</v>
      </c>
      <c r="C2136" s="8" t="str">
        <f>IFERROR(_xlfn.XLOOKUP(TRIM(B2136),Lookup!$B$2:$B$1000,Lookup!$C$2:$C$1000),"")</f>
        <v>Equity</v>
      </c>
      <c r="D2136" s="8" t="s">
        <v>43</v>
      </c>
      <c r="E2136" s="9">
        <v>45875</v>
      </c>
      <c r="F2136" s="8">
        <v>44.2224</v>
      </c>
    </row>
    <row r="2137" spans="1:6" ht="60" x14ac:dyDescent="0.25">
      <c r="A2137" s="8" t="s">
        <v>5</v>
      </c>
      <c r="B2137" s="8" t="s">
        <v>42</v>
      </c>
      <c r="C2137" s="8" t="str">
        <f>IFERROR(_xlfn.XLOOKUP(TRIM(B2137),Lookup!$B$2:$B$1000,Lookup!$C$2:$C$1000),"")</f>
        <v>Equity</v>
      </c>
      <c r="D2137" s="8" t="s">
        <v>43</v>
      </c>
      <c r="E2137" s="9">
        <v>45876</v>
      </c>
      <c r="F2137" s="8">
        <v>44.267299999999999</v>
      </c>
    </row>
    <row r="2138" spans="1:6" ht="60" x14ac:dyDescent="0.25">
      <c r="A2138" s="8" t="s">
        <v>5</v>
      </c>
      <c r="B2138" s="8" t="s">
        <v>42</v>
      </c>
      <c r="C2138" s="8" t="str">
        <f>IFERROR(_xlfn.XLOOKUP(TRIM(B2138),Lookup!$B$2:$B$1000,Lookup!$C$2:$C$1000),"")</f>
        <v>Equity</v>
      </c>
      <c r="D2138" s="8" t="s">
        <v>43</v>
      </c>
      <c r="E2138" s="9">
        <v>45877</v>
      </c>
      <c r="F2138" s="8">
        <v>43.814599999999999</v>
      </c>
    </row>
    <row r="2139" spans="1:6" ht="60" x14ac:dyDescent="0.25">
      <c r="A2139" s="8" t="s">
        <v>5</v>
      </c>
      <c r="B2139" s="8" t="s">
        <v>42</v>
      </c>
      <c r="C2139" s="8" t="str">
        <f>IFERROR(_xlfn.XLOOKUP(TRIM(B2139),Lookup!$B$2:$B$1000,Lookup!$C$2:$C$1000),"")</f>
        <v>Equity</v>
      </c>
      <c r="D2139" s="8" t="s">
        <v>43</v>
      </c>
      <c r="E2139" s="9">
        <v>45880</v>
      </c>
      <c r="F2139" s="8">
        <v>44.193399999999997</v>
      </c>
    </row>
    <row r="2140" spans="1:6" ht="60" x14ac:dyDescent="0.25">
      <c r="A2140" s="8" t="s">
        <v>5</v>
      </c>
      <c r="B2140" s="8" t="s">
        <v>42</v>
      </c>
      <c r="C2140" s="8" t="str">
        <f>IFERROR(_xlfn.XLOOKUP(TRIM(B2140),Lookup!$B$2:$B$1000,Lookup!$C$2:$C$1000),"")</f>
        <v>Equity</v>
      </c>
      <c r="D2140" s="8" t="s">
        <v>43</v>
      </c>
      <c r="E2140" s="9">
        <v>45881</v>
      </c>
      <c r="F2140" s="8">
        <v>44.069299999999998</v>
      </c>
    </row>
    <row r="2141" spans="1:6" ht="60" x14ac:dyDescent="0.25">
      <c r="A2141" s="8" t="s">
        <v>5</v>
      </c>
      <c r="B2141" s="8" t="s">
        <v>42</v>
      </c>
      <c r="C2141" s="8" t="str">
        <f>IFERROR(_xlfn.XLOOKUP(TRIM(B2141),Lookup!$B$2:$B$1000,Lookup!$C$2:$C$1000),"")</f>
        <v>Equity</v>
      </c>
      <c r="D2141" s="8" t="s">
        <v>43</v>
      </c>
      <c r="E2141" s="9">
        <v>45882</v>
      </c>
      <c r="F2141" s="8">
        <v>44.345799999999997</v>
      </c>
    </row>
    <row r="2142" spans="1:6" ht="60" x14ac:dyDescent="0.25">
      <c r="A2142" s="8" t="s">
        <v>5</v>
      </c>
      <c r="B2142" s="8" t="s">
        <v>42</v>
      </c>
      <c r="C2142" s="8" t="str">
        <f>IFERROR(_xlfn.XLOOKUP(TRIM(B2142),Lookup!$B$2:$B$1000,Lookup!$C$2:$C$1000),"")</f>
        <v>Equity</v>
      </c>
      <c r="D2142" s="8" t="s">
        <v>43</v>
      </c>
      <c r="E2142" s="9">
        <v>45883</v>
      </c>
      <c r="F2142" s="8">
        <v>44.357700000000001</v>
      </c>
    </row>
    <row r="2143" spans="1:6" ht="60" x14ac:dyDescent="0.25">
      <c r="A2143" s="8" t="s">
        <v>5</v>
      </c>
      <c r="B2143" s="8" t="s">
        <v>42</v>
      </c>
      <c r="C2143" s="8" t="str">
        <f>IFERROR(_xlfn.XLOOKUP(TRIM(B2143),Lookup!$B$2:$B$1000,Lookup!$C$2:$C$1000),"")</f>
        <v>Equity</v>
      </c>
      <c r="D2143" s="8" t="s">
        <v>43</v>
      </c>
      <c r="E2143" s="9">
        <v>45887</v>
      </c>
      <c r="F2143" s="8">
        <v>44.8142</v>
      </c>
    </row>
    <row r="2144" spans="1:6" ht="60" x14ac:dyDescent="0.25">
      <c r="A2144" s="8" t="s">
        <v>5</v>
      </c>
      <c r="B2144" s="8" t="s">
        <v>42</v>
      </c>
      <c r="C2144" s="8" t="str">
        <f>IFERROR(_xlfn.XLOOKUP(TRIM(B2144),Lookup!$B$2:$B$1000,Lookup!$C$2:$C$1000),"")</f>
        <v>Equity</v>
      </c>
      <c r="D2144" s="8" t="s">
        <v>43</v>
      </c>
      <c r="E2144" s="9">
        <v>45888</v>
      </c>
      <c r="F2144" s="8">
        <v>45.024299999999997</v>
      </c>
    </row>
    <row r="2145" spans="1:6" ht="60" x14ac:dyDescent="0.25">
      <c r="A2145" s="8" t="s">
        <v>5</v>
      </c>
      <c r="B2145" s="8" t="s">
        <v>42</v>
      </c>
      <c r="C2145" s="8" t="str">
        <f>IFERROR(_xlfn.XLOOKUP(TRIM(B2145),Lookup!$B$2:$B$1000,Lookup!$C$2:$C$1000),"")</f>
        <v>Equity</v>
      </c>
      <c r="D2145" s="8" t="s">
        <v>43</v>
      </c>
      <c r="E2145" s="9">
        <v>45889</v>
      </c>
      <c r="F2145" s="8">
        <v>45.158499999999997</v>
      </c>
    </row>
    <row r="2146" spans="1:6" ht="60" x14ac:dyDescent="0.25">
      <c r="A2146" s="8" t="s">
        <v>5</v>
      </c>
      <c r="B2146" s="8" t="s">
        <v>42</v>
      </c>
      <c r="C2146" s="8" t="str">
        <f>IFERROR(_xlfn.XLOOKUP(TRIM(B2146),Lookup!$B$2:$B$1000,Lookup!$C$2:$C$1000),"")</f>
        <v>Equity</v>
      </c>
      <c r="D2146" s="8" t="s">
        <v>43</v>
      </c>
      <c r="E2146" s="9">
        <v>45890</v>
      </c>
      <c r="F2146" s="8">
        <v>45.215000000000003</v>
      </c>
    </row>
    <row r="2147" spans="1:6" ht="60" x14ac:dyDescent="0.25">
      <c r="A2147" s="8" t="s">
        <v>5</v>
      </c>
      <c r="B2147" s="8" t="s">
        <v>42</v>
      </c>
      <c r="C2147" s="8" t="str">
        <f>IFERROR(_xlfn.XLOOKUP(TRIM(B2147),Lookup!$B$2:$B$1000,Lookup!$C$2:$C$1000),"")</f>
        <v>Equity</v>
      </c>
      <c r="D2147" s="8" t="s">
        <v>43</v>
      </c>
      <c r="E2147" s="9">
        <v>45891</v>
      </c>
      <c r="F2147" s="8">
        <v>44.846299999999999</v>
      </c>
    </row>
    <row r="2148" spans="1:6" ht="60" x14ac:dyDescent="0.25">
      <c r="A2148" s="8" t="s">
        <v>5</v>
      </c>
      <c r="B2148" s="8" t="s">
        <v>42</v>
      </c>
      <c r="C2148" s="8" t="str">
        <f>IFERROR(_xlfn.XLOOKUP(TRIM(B2148),Lookup!$B$2:$B$1000,Lookup!$C$2:$C$1000),"")</f>
        <v>Equity</v>
      </c>
      <c r="D2148" s="8" t="s">
        <v>43</v>
      </c>
      <c r="E2148" s="9">
        <v>45894</v>
      </c>
      <c r="F2148" s="8">
        <v>44.9925</v>
      </c>
    </row>
    <row r="2149" spans="1:6" ht="60" x14ac:dyDescent="0.25">
      <c r="A2149" s="8" t="s">
        <v>5</v>
      </c>
      <c r="B2149" s="8" t="s">
        <v>42</v>
      </c>
      <c r="C2149" s="8" t="str">
        <f>IFERROR(_xlfn.XLOOKUP(TRIM(B2149),Lookup!$B$2:$B$1000,Lookup!$C$2:$C$1000),"")</f>
        <v>Equity</v>
      </c>
      <c r="D2149" s="8" t="s">
        <v>43</v>
      </c>
      <c r="E2149" s="9">
        <v>45895</v>
      </c>
      <c r="F2149" s="8">
        <v>44.503599999999999</v>
      </c>
    </row>
    <row r="2150" spans="1:6" ht="60" x14ac:dyDescent="0.25">
      <c r="A2150" s="8" t="s">
        <v>5</v>
      </c>
      <c r="B2150" s="8" t="s">
        <v>42</v>
      </c>
      <c r="C2150" s="8" t="str">
        <f>IFERROR(_xlfn.XLOOKUP(TRIM(B2150),Lookup!$B$2:$B$1000,Lookup!$C$2:$C$1000),"")</f>
        <v>Equity</v>
      </c>
      <c r="D2150" s="8" t="s">
        <v>43</v>
      </c>
      <c r="E2150" s="9">
        <v>45897</v>
      </c>
      <c r="F2150" s="8">
        <v>44.158000000000001</v>
      </c>
    </row>
    <row r="2151" spans="1:6" ht="60" x14ac:dyDescent="0.25">
      <c r="A2151" s="8" t="s">
        <v>5</v>
      </c>
      <c r="B2151" s="8" t="s">
        <v>42</v>
      </c>
      <c r="C2151" s="8" t="str">
        <f>IFERROR(_xlfn.XLOOKUP(TRIM(B2151),Lookup!$B$2:$B$1000,Lookup!$C$2:$C$1000),"")</f>
        <v>Equity</v>
      </c>
      <c r="D2151" s="8" t="s">
        <v>43</v>
      </c>
      <c r="E2151" s="9">
        <v>45898</v>
      </c>
      <c r="F2151" s="8">
        <v>44.003700000000002</v>
      </c>
    </row>
    <row r="2152" spans="1:6" ht="60" x14ac:dyDescent="0.25">
      <c r="A2152" s="8" t="s">
        <v>5</v>
      </c>
      <c r="B2152" s="8" t="s">
        <v>42</v>
      </c>
      <c r="C2152" s="8" t="str">
        <f>IFERROR(_xlfn.XLOOKUP(TRIM(B2152),Lookup!$B$2:$B$1000,Lookup!$C$2:$C$1000),"")</f>
        <v>Equity</v>
      </c>
      <c r="D2152" s="8" t="s">
        <v>43</v>
      </c>
      <c r="E2152" s="9">
        <v>45901</v>
      </c>
      <c r="F2152" s="8">
        <v>44.345500000000001</v>
      </c>
    </row>
    <row r="2153" spans="1:6" ht="60" x14ac:dyDescent="0.25">
      <c r="A2153" s="8" t="s">
        <v>5</v>
      </c>
      <c r="B2153" s="8" t="s">
        <v>42</v>
      </c>
      <c r="C2153" s="8" t="str">
        <f>IFERROR(_xlfn.XLOOKUP(TRIM(B2153),Lookup!$B$2:$B$1000,Lookup!$C$2:$C$1000),"")</f>
        <v>Equity</v>
      </c>
      <c r="D2153" s="8" t="s">
        <v>43</v>
      </c>
      <c r="E2153" s="9">
        <v>45902</v>
      </c>
      <c r="F2153" s="8">
        <v>44.271900000000002</v>
      </c>
    </row>
    <row r="2154" spans="1:6" ht="60" x14ac:dyDescent="0.25">
      <c r="A2154" s="8" t="s">
        <v>5</v>
      </c>
      <c r="B2154" s="8" t="s">
        <v>42</v>
      </c>
      <c r="C2154" s="8" t="str">
        <f>IFERROR(_xlfn.XLOOKUP(TRIM(B2154),Lookup!$B$2:$B$1000,Lookup!$C$2:$C$1000),"")</f>
        <v>Equity</v>
      </c>
      <c r="D2154" s="8" t="s">
        <v>43</v>
      </c>
      <c r="E2154" s="9">
        <v>45903</v>
      </c>
      <c r="F2154" s="8">
        <v>44.513300000000001</v>
      </c>
    </row>
    <row r="2155" spans="1:6" ht="60" x14ac:dyDescent="0.25">
      <c r="A2155" s="8" t="s">
        <v>5</v>
      </c>
      <c r="B2155" s="8" t="s">
        <v>42</v>
      </c>
      <c r="C2155" s="8" t="str">
        <f>IFERROR(_xlfn.XLOOKUP(TRIM(B2155),Lookup!$B$2:$B$1000,Lookup!$C$2:$C$1000),"")</f>
        <v>Equity</v>
      </c>
      <c r="D2155" s="8" t="s">
        <v>43</v>
      </c>
      <c r="E2155" s="9">
        <v>45904</v>
      </c>
      <c r="F2155" s="8">
        <v>44.567</v>
      </c>
    </row>
    <row r="2156" spans="1:6" ht="60" x14ac:dyDescent="0.25">
      <c r="A2156" s="8" t="s">
        <v>5</v>
      </c>
      <c r="B2156" s="8" t="s">
        <v>42</v>
      </c>
      <c r="C2156" s="8" t="str">
        <f>IFERROR(_xlfn.XLOOKUP(TRIM(B2156),Lookup!$B$2:$B$1000,Lookup!$C$2:$C$1000),"")</f>
        <v>Equity</v>
      </c>
      <c r="D2156" s="8" t="s">
        <v>43</v>
      </c>
      <c r="E2156" s="9">
        <v>45905</v>
      </c>
      <c r="F2156" s="8">
        <v>44.605499999999999</v>
      </c>
    </row>
    <row r="2157" spans="1:6" ht="60" x14ac:dyDescent="0.25">
      <c r="A2157" s="8" t="s">
        <v>5</v>
      </c>
      <c r="B2157" s="8" t="s">
        <v>42</v>
      </c>
      <c r="C2157" s="8" t="str">
        <f>IFERROR(_xlfn.XLOOKUP(TRIM(B2157),Lookup!$B$2:$B$1000,Lookup!$C$2:$C$1000),"")</f>
        <v>Equity</v>
      </c>
      <c r="D2157" s="8" t="s">
        <v>43</v>
      </c>
      <c r="E2157" s="9">
        <v>45908</v>
      </c>
      <c r="F2157" s="8">
        <v>44.701799999999999</v>
      </c>
    </row>
    <row r="2158" spans="1:6" ht="60" x14ac:dyDescent="0.25">
      <c r="A2158" s="8" t="s">
        <v>5</v>
      </c>
      <c r="B2158" s="8" t="s">
        <v>42</v>
      </c>
      <c r="C2158" s="8" t="str">
        <f>IFERROR(_xlfn.XLOOKUP(TRIM(B2158),Lookup!$B$2:$B$1000,Lookup!$C$2:$C$1000),"")</f>
        <v>Equity</v>
      </c>
      <c r="D2158" s="8" t="s">
        <v>43</v>
      </c>
      <c r="E2158" s="9">
        <v>45909</v>
      </c>
      <c r="F2158" s="8">
        <v>44.823</v>
      </c>
    </row>
    <row r="2159" spans="1:6" ht="60" x14ac:dyDescent="0.25">
      <c r="A2159" s="8" t="s">
        <v>5</v>
      </c>
      <c r="B2159" s="8" t="s">
        <v>42</v>
      </c>
      <c r="C2159" s="8" t="str">
        <f>IFERROR(_xlfn.XLOOKUP(TRIM(B2159),Lookup!$B$2:$B$1000,Lookup!$C$2:$C$1000),"")</f>
        <v>Equity</v>
      </c>
      <c r="D2159" s="8" t="s">
        <v>43</v>
      </c>
      <c r="E2159" s="9">
        <v>45910</v>
      </c>
      <c r="F2159" s="8">
        <v>45.055199999999999</v>
      </c>
    </row>
    <row r="2160" spans="1:6" ht="60" x14ac:dyDescent="0.25">
      <c r="A2160" s="8" t="s">
        <v>5</v>
      </c>
      <c r="B2160" s="8" t="s">
        <v>42</v>
      </c>
      <c r="C2160" s="8" t="str">
        <f>IFERROR(_xlfn.XLOOKUP(TRIM(B2160),Lookup!$B$2:$B$1000,Lookup!$C$2:$C$1000),"")</f>
        <v>Equity</v>
      </c>
      <c r="D2160" s="8" t="s">
        <v>43</v>
      </c>
      <c r="E2160" s="9">
        <v>45911</v>
      </c>
      <c r="F2160" s="8">
        <v>45.127699999999997</v>
      </c>
    </row>
    <row r="2161" spans="1:6" ht="60" x14ac:dyDescent="0.25">
      <c r="A2161" s="8" t="s">
        <v>5</v>
      </c>
      <c r="B2161" s="8" t="s">
        <v>42</v>
      </c>
      <c r="C2161" s="8" t="str">
        <f>IFERROR(_xlfn.XLOOKUP(TRIM(B2161),Lookup!$B$2:$B$1000,Lookup!$C$2:$C$1000),"")</f>
        <v>Equity</v>
      </c>
      <c r="D2161" s="8" t="s">
        <v>43</v>
      </c>
      <c r="E2161" s="9">
        <v>45912</v>
      </c>
      <c r="F2161" s="8">
        <v>45.29</v>
      </c>
    </row>
    <row r="2162" spans="1:6" ht="60" x14ac:dyDescent="0.25">
      <c r="A2162" s="8" t="s">
        <v>5</v>
      </c>
      <c r="B2162" s="8" t="s">
        <v>42</v>
      </c>
      <c r="C2162" s="8" t="str">
        <f>IFERROR(_xlfn.XLOOKUP(TRIM(B2162),Lookup!$B$2:$B$1000,Lookup!$C$2:$C$1000),"")</f>
        <v>Equity</v>
      </c>
      <c r="D2162" s="8" t="s">
        <v>43</v>
      </c>
      <c r="E2162" s="9">
        <v>45915</v>
      </c>
      <c r="F2162" s="8">
        <v>45.240600000000001</v>
      </c>
    </row>
    <row r="2163" spans="1:6" ht="60" x14ac:dyDescent="0.25">
      <c r="A2163" s="8" t="s">
        <v>5</v>
      </c>
      <c r="B2163" s="8" t="s">
        <v>42</v>
      </c>
      <c r="C2163" s="8" t="str">
        <f>IFERROR(_xlfn.XLOOKUP(TRIM(B2163),Lookup!$B$2:$B$1000,Lookup!$C$2:$C$1000),"")</f>
        <v>Equity</v>
      </c>
      <c r="D2163" s="8" t="s">
        <v>43</v>
      </c>
      <c r="E2163" s="9">
        <v>45916</v>
      </c>
      <c r="F2163" s="8">
        <v>45.566499999999998</v>
      </c>
    </row>
    <row r="2164" spans="1:6" ht="60" x14ac:dyDescent="0.25">
      <c r="A2164" s="8" t="s">
        <v>5</v>
      </c>
      <c r="B2164" s="8" t="s">
        <v>42</v>
      </c>
      <c r="C2164" s="8" t="str">
        <f>IFERROR(_xlfn.XLOOKUP(TRIM(B2164),Lookup!$B$2:$B$1000,Lookup!$C$2:$C$1000),"")</f>
        <v>Equity</v>
      </c>
      <c r="D2164" s="8" t="s">
        <v>43</v>
      </c>
      <c r="E2164" s="9">
        <v>45917</v>
      </c>
      <c r="F2164" s="8">
        <v>45.739100000000001</v>
      </c>
    </row>
    <row r="2165" spans="1:6" ht="60" x14ac:dyDescent="0.25">
      <c r="A2165" s="8" t="s">
        <v>5</v>
      </c>
      <c r="B2165" s="8" t="s">
        <v>42</v>
      </c>
      <c r="C2165" s="8" t="str">
        <f>IFERROR(_xlfn.XLOOKUP(TRIM(B2165),Lookup!$B$2:$B$1000,Lookup!$C$2:$C$1000),"")</f>
        <v>Equity</v>
      </c>
      <c r="D2165" s="8" t="s">
        <v>43</v>
      </c>
      <c r="E2165" s="9">
        <v>45918</v>
      </c>
      <c r="F2165" s="8">
        <v>45.914099999999998</v>
      </c>
    </row>
    <row r="2166" spans="1:6" ht="60" x14ac:dyDescent="0.25">
      <c r="A2166" s="8" t="s">
        <v>5</v>
      </c>
      <c r="B2166" s="8" t="s">
        <v>42</v>
      </c>
      <c r="C2166" s="8" t="str">
        <f>IFERROR(_xlfn.XLOOKUP(TRIM(B2166),Lookup!$B$2:$B$1000,Lookup!$C$2:$C$1000),"")</f>
        <v>Equity</v>
      </c>
      <c r="D2166" s="8" t="s">
        <v>43</v>
      </c>
      <c r="E2166" s="9">
        <v>45919</v>
      </c>
      <c r="F2166" s="8">
        <v>45.769399999999997</v>
      </c>
    </row>
    <row r="2167" spans="1:6" ht="60" x14ac:dyDescent="0.25">
      <c r="A2167" s="8" t="s">
        <v>5</v>
      </c>
      <c r="B2167" s="8" t="s">
        <v>42</v>
      </c>
      <c r="C2167" s="8" t="str">
        <f>IFERROR(_xlfn.XLOOKUP(TRIM(B2167),Lookup!$B$2:$B$1000,Lookup!$C$2:$C$1000),"")</f>
        <v>Equity</v>
      </c>
      <c r="D2167" s="8" t="s">
        <v>43</v>
      </c>
      <c r="E2167" s="9">
        <v>45922</v>
      </c>
      <c r="F2167" s="8">
        <v>45.571100000000001</v>
      </c>
    </row>
    <row r="2168" spans="1:6" ht="60" x14ac:dyDescent="0.25">
      <c r="A2168" s="8" t="s">
        <v>5</v>
      </c>
      <c r="B2168" s="8" t="s">
        <v>42</v>
      </c>
      <c r="C2168" s="8" t="str">
        <f>IFERROR(_xlfn.XLOOKUP(TRIM(B2168),Lookup!$B$2:$B$1000,Lookup!$C$2:$C$1000),"")</f>
        <v>Equity</v>
      </c>
      <c r="D2168" s="8" t="s">
        <v>43</v>
      </c>
      <c r="E2168" s="9">
        <v>45923</v>
      </c>
      <c r="F2168" s="8">
        <v>45.521299999999997</v>
      </c>
    </row>
    <row r="2169" spans="1:6" ht="60" x14ac:dyDescent="0.25">
      <c r="A2169" s="8" t="s">
        <v>5</v>
      </c>
      <c r="B2169" s="8" t="s">
        <v>42</v>
      </c>
      <c r="C2169" s="8" t="str">
        <f>IFERROR(_xlfn.XLOOKUP(TRIM(B2169),Lookup!$B$2:$B$1000,Lookup!$C$2:$C$1000),"")</f>
        <v>Equity</v>
      </c>
      <c r="D2169" s="8" t="s">
        <v>43</v>
      </c>
      <c r="E2169" s="9">
        <v>45924</v>
      </c>
      <c r="F2169" s="8">
        <v>45.302900000000001</v>
      </c>
    </row>
    <row r="2170" spans="1:6" ht="60" x14ac:dyDescent="0.25">
      <c r="A2170" s="8" t="s">
        <v>5</v>
      </c>
      <c r="B2170" s="8" t="s">
        <v>42</v>
      </c>
      <c r="C2170" s="8" t="str">
        <f>IFERROR(_xlfn.XLOOKUP(TRIM(B2170),Lookup!$B$2:$B$1000,Lookup!$C$2:$C$1000),"")</f>
        <v>Equity</v>
      </c>
      <c r="D2170" s="8" t="s">
        <v>43</v>
      </c>
      <c r="E2170" s="9">
        <v>45925</v>
      </c>
      <c r="F2170" s="8">
        <v>45.033099999999997</v>
      </c>
    </row>
    <row r="2171" spans="1:6" ht="60" x14ac:dyDescent="0.25">
      <c r="A2171" s="8" t="s">
        <v>5</v>
      </c>
      <c r="B2171" s="8" t="s">
        <v>42</v>
      </c>
      <c r="C2171" s="8" t="str">
        <f>IFERROR(_xlfn.XLOOKUP(TRIM(B2171),Lookup!$B$2:$B$1000,Lookup!$C$2:$C$1000),"")</f>
        <v>Equity</v>
      </c>
      <c r="D2171" s="8" t="s">
        <v>43</v>
      </c>
      <c r="E2171" s="9">
        <v>45926</v>
      </c>
      <c r="F2171" s="8">
        <v>44.570399999999999</v>
      </c>
    </row>
    <row r="2172" spans="1:6" ht="60" x14ac:dyDescent="0.25">
      <c r="A2172" s="8" t="s">
        <v>5</v>
      </c>
      <c r="B2172" s="8" t="s">
        <v>42</v>
      </c>
      <c r="C2172" s="8" t="str">
        <f>IFERROR(_xlfn.XLOOKUP(TRIM(B2172),Lookup!$B$2:$B$1000,Lookup!$C$2:$C$1000),"")</f>
        <v>Equity</v>
      </c>
      <c r="D2172" s="8" t="s">
        <v>43</v>
      </c>
      <c r="E2172" s="9">
        <v>45929</v>
      </c>
      <c r="F2172" s="8">
        <v>44.526400000000002</v>
      </c>
    </row>
    <row r="2173" spans="1:6" ht="60" x14ac:dyDescent="0.25">
      <c r="A2173" s="8" t="s">
        <v>5</v>
      </c>
      <c r="B2173" s="8" t="s">
        <v>42</v>
      </c>
      <c r="C2173" s="8" t="str">
        <f>IFERROR(_xlfn.XLOOKUP(TRIM(B2173),Lookup!$B$2:$B$1000,Lookup!$C$2:$C$1000),"")</f>
        <v>Equity</v>
      </c>
      <c r="D2173" s="8" t="s">
        <v>43</v>
      </c>
      <c r="E2173" s="9">
        <v>45930</v>
      </c>
      <c r="F2173" s="8">
        <v>44.497599999999998</v>
      </c>
    </row>
    <row r="2174" spans="1:6" ht="60" x14ac:dyDescent="0.25">
      <c r="A2174" s="8" t="s">
        <v>5</v>
      </c>
      <c r="B2174" s="8" t="s">
        <v>42</v>
      </c>
      <c r="C2174" s="8" t="str">
        <f>IFERROR(_xlfn.XLOOKUP(TRIM(B2174),Lookup!$B$2:$B$1000,Lookup!$C$2:$C$1000),"")</f>
        <v>Equity</v>
      </c>
      <c r="D2174" s="8" t="s">
        <v>43</v>
      </c>
      <c r="E2174" s="9">
        <v>45931</v>
      </c>
      <c r="F2174" s="8">
        <v>44.898800000000001</v>
      </c>
    </row>
    <row r="2175" spans="1:6" ht="60" x14ac:dyDescent="0.25">
      <c r="A2175" s="8" t="s">
        <v>5</v>
      </c>
      <c r="B2175" s="8" t="s">
        <v>42</v>
      </c>
      <c r="C2175" s="8" t="str">
        <f>IFERROR(_xlfn.XLOOKUP(TRIM(B2175),Lookup!$B$2:$B$1000,Lookup!$C$2:$C$1000),"")</f>
        <v>Equity</v>
      </c>
      <c r="D2175" s="8" t="s">
        <v>43</v>
      </c>
      <c r="E2175" s="9">
        <v>45933</v>
      </c>
      <c r="F2175" s="8">
        <v>45.0627</v>
      </c>
    </row>
    <row r="2176" spans="1:6" ht="60" x14ac:dyDescent="0.25">
      <c r="A2176" s="8" t="s">
        <v>5</v>
      </c>
      <c r="B2176" s="8" t="s">
        <v>42</v>
      </c>
      <c r="C2176" s="8" t="str">
        <f>IFERROR(_xlfn.XLOOKUP(TRIM(B2176),Lookup!$B$2:$B$1000,Lookup!$C$2:$C$1000),"")</f>
        <v>Equity</v>
      </c>
      <c r="D2176" s="8" t="s">
        <v>43</v>
      </c>
      <c r="E2176" s="9">
        <v>45936</v>
      </c>
      <c r="F2176" s="8">
        <v>45.462899999999998</v>
      </c>
    </row>
    <row r="2177" spans="1:6" ht="60" x14ac:dyDescent="0.25">
      <c r="A2177" s="8" t="s">
        <v>5</v>
      </c>
      <c r="B2177" s="8" t="s">
        <v>42</v>
      </c>
      <c r="C2177" s="8" t="str">
        <f>IFERROR(_xlfn.XLOOKUP(TRIM(B2177),Lookup!$B$2:$B$1000,Lookup!$C$2:$C$1000),"")</f>
        <v>Equity</v>
      </c>
      <c r="D2177" s="8" t="s">
        <v>43</v>
      </c>
      <c r="E2177" s="9">
        <v>45937</v>
      </c>
      <c r="F2177" s="8">
        <v>45.4816</v>
      </c>
    </row>
    <row r="2178" spans="1:6" ht="60" x14ac:dyDescent="0.25">
      <c r="A2178" s="8" t="s">
        <v>5</v>
      </c>
      <c r="B2178" s="8" t="s">
        <v>42</v>
      </c>
      <c r="C2178" s="8" t="str">
        <f>IFERROR(_xlfn.XLOOKUP(TRIM(B2178),Lookup!$B$2:$B$1000,Lookup!$C$2:$C$1000),"")</f>
        <v>Equity</v>
      </c>
      <c r="D2178" s="8" t="s">
        <v>43</v>
      </c>
      <c r="E2178" s="9">
        <v>45938</v>
      </c>
      <c r="F2178" s="8">
        <v>45.373100000000001</v>
      </c>
    </row>
    <row r="2179" spans="1:6" ht="60" x14ac:dyDescent="0.25">
      <c r="A2179" s="8" t="s">
        <v>5</v>
      </c>
      <c r="B2179" s="8" t="s">
        <v>42</v>
      </c>
      <c r="C2179" s="8" t="str">
        <f>IFERROR(_xlfn.XLOOKUP(TRIM(B2179),Lookup!$B$2:$B$1000,Lookup!$C$2:$C$1000),"")</f>
        <v>Equity</v>
      </c>
      <c r="D2179" s="8" t="s">
        <v>43</v>
      </c>
      <c r="E2179" s="9">
        <v>45939</v>
      </c>
      <c r="F2179" s="8">
        <v>45.608899999999998</v>
      </c>
    </row>
    <row r="2180" spans="1:6" ht="60" x14ac:dyDescent="0.25">
      <c r="A2180" s="8" t="s">
        <v>5</v>
      </c>
      <c r="B2180" s="8" t="s">
        <v>42</v>
      </c>
      <c r="C2180" s="8" t="str">
        <f>IFERROR(_xlfn.XLOOKUP(TRIM(B2180),Lookup!$B$2:$B$1000,Lookup!$C$2:$C$1000),"")</f>
        <v>Equity</v>
      </c>
      <c r="D2180" s="8" t="s">
        <v>43</v>
      </c>
      <c r="E2180" s="9">
        <v>45940</v>
      </c>
      <c r="F2180" s="8">
        <v>45.806699999999999</v>
      </c>
    </row>
    <row r="2181" spans="1:6" ht="60" x14ac:dyDescent="0.25">
      <c r="A2181" s="8" t="s">
        <v>5</v>
      </c>
      <c r="B2181" s="8" t="s">
        <v>42</v>
      </c>
      <c r="C2181" s="8" t="str">
        <f>IFERROR(_xlfn.XLOOKUP(TRIM(B2181),Lookup!$B$2:$B$1000,Lookup!$C$2:$C$1000),"")</f>
        <v>Equity</v>
      </c>
      <c r="D2181" s="8" t="s">
        <v>43</v>
      </c>
      <c r="E2181" s="9">
        <v>45943</v>
      </c>
      <c r="F2181" s="8">
        <v>45.694800000000001</v>
      </c>
    </row>
    <row r="2182" spans="1:6" ht="60" x14ac:dyDescent="0.25">
      <c r="A2182" s="8" t="s">
        <v>5</v>
      </c>
      <c r="B2182" s="8" t="s">
        <v>42</v>
      </c>
      <c r="C2182" s="8" t="str">
        <f>IFERROR(_xlfn.XLOOKUP(TRIM(B2182),Lookup!$B$2:$B$1000,Lookup!$C$2:$C$1000),"")</f>
        <v>Equity</v>
      </c>
      <c r="D2182" s="8" t="s">
        <v>43</v>
      </c>
      <c r="E2182" s="9">
        <v>45944</v>
      </c>
      <c r="F2182" s="8">
        <v>45.5456</v>
      </c>
    </row>
    <row r="2183" spans="1:6" ht="60" x14ac:dyDescent="0.25">
      <c r="A2183" s="8" t="s">
        <v>5</v>
      </c>
      <c r="B2183" s="8" t="s">
        <v>42</v>
      </c>
      <c r="C2183" s="8" t="str">
        <f>IFERROR(_xlfn.XLOOKUP(TRIM(B2183),Lookup!$B$2:$B$1000,Lookup!$C$2:$C$1000),"")</f>
        <v>Equity</v>
      </c>
      <c r="D2183" s="8" t="s">
        <v>43</v>
      </c>
      <c r="E2183" s="9">
        <v>45945</v>
      </c>
      <c r="F2183" s="8">
        <v>45.836500000000001</v>
      </c>
    </row>
    <row r="2184" spans="1:6" ht="60" x14ac:dyDescent="0.25">
      <c r="A2184" s="8" t="s">
        <v>5</v>
      </c>
      <c r="B2184" s="8" t="s">
        <v>42</v>
      </c>
      <c r="C2184" s="8" t="str">
        <f>IFERROR(_xlfn.XLOOKUP(TRIM(B2184),Lookup!$B$2:$B$1000,Lookup!$C$2:$C$1000),"")</f>
        <v>Equity</v>
      </c>
      <c r="D2184" s="8" t="s">
        <v>43</v>
      </c>
      <c r="E2184" s="9">
        <v>45946</v>
      </c>
      <c r="F2184" s="8">
        <v>46.297400000000003</v>
      </c>
    </row>
    <row r="2185" spans="1:6" ht="60" x14ac:dyDescent="0.25">
      <c r="A2185" s="8" t="s">
        <v>5</v>
      </c>
      <c r="B2185" s="8" t="s">
        <v>42</v>
      </c>
      <c r="C2185" s="8" t="str">
        <f>IFERROR(_xlfn.XLOOKUP(TRIM(B2185),Lookup!$B$2:$B$1000,Lookup!$C$2:$C$1000),"")</f>
        <v>Equity</v>
      </c>
      <c r="D2185" s="8" t="s">
        <v>43</v>
      </c>
      <c r="E2185" s="9">
        <v>45947</v>
      </c>
      <c r="F2185" s="8">
        <v>46.493600000000001</v>
      </c>
    </row>
    <row r="2186" spans="1:6" ht="60" x14ac:dyDescent="0.25">
      <c r="A2186" s="8" t="s">
        <v>5</v>
      </c>
      <c r="B2186" s="8" t="s">
        <v>42</v>
      </c>
      <c r="C2186" s="8" t="str">
        <f>IFERROR(_xlfn.XLOOKUP(TRIM(B2186),Lookup!$B$2:$B$1000,Lookup!$C$2:$C$1000),"")</f>
        <v>Equity</v>
      </c>
      <c r="D2186" s="8" t="s">
        <v>43</v>
      </c>
      <c r="E2186" s="9">
        <v>45950</v>
      </c>
      <c r="F2186" s="8">
        <v>46.901600000000002</v>
      </c>
    </row>
    <row r="2187" spans="1:6" ht="60" x14ac:dyDescent="0.25">
      <c r="A2187" s="8" t="s">
        <v>5</v>
      </c>
      <c r="B2187" s="8" t="s">
        <v>42</v>
      </c>
      <c r="C2187" s="8" t="str">
        <f>IFERROR(_xlfn.XLOOKUP(TRIM(B2187),Lookup!$B$2:$B$1000,Lookup!$C$2:$C$1000),"")</f>
        <v>Equity</v>
      </c>
      <c r="D2187" s="8" t="s">
        <v>43</v>
      </c>
      <c r="E2187" s="9">
        <v>45953</v>
      </c>
      <c r="F2187" s="8">
        <v>47.0533</v>
      </c>
    </row>
    <row r="2188" spans="1:6" ht="60" x14ac:dyDescent="0.25">
      <c r="A2188" s="8" t="s">
        <v>5</v>
      </c>
      <c r="B2188" s="8" t="s">
        <v>42</v>
      </c>
      <c r="C2188" s="8" t="str">
        <f>IFERROR(_xlfn.XLOOKUP(TRIM(B2188),Lookup!$B$2:$B$1000,Lookup!$C$2:$C$1000),"")</f>
        <v>Equity</v>
      </c>
      <c r="D2188" s="8" t="s">
        <v>43</v>
      </c>
      <c r="E2188" s="9">
        <v>45954</v>
      </c>
      <c r="F2188" s="8">
        <v>46.818600000000004</v>
      </c>
    </row>
    <row r="2189" spans="1:6" ht="60" x14ac:dyDescent="0.25">
      <c r="A2189" s="8" t="s">
        <v>5</v>
      </c>
      <c r="B2189" s="8" t="s">
        <v>42</v>
      </c>
      <c r="C2189" s="8" t="str">
        <f>IFERROR(_xlfn.XLOOKUP(TRIM(B2189),Lookup!$B$2:$B$1000,Lookup!$C$2:$C$1000),"")</f>
        <v>Equity</v>
      </c>
      <c r="D2189" s="8" t="s">
        <v>43</v>
      </c>
      <c r="E2189" s="9">
        <v>45957</v>
      </c>
      <c r="F2189" s="8">
        <v>47.173400000000001</v>
      </c>
    </row>
    <row r="2190" spans="1:6" ht="60" x14ac:dyDescent="0.25">
      <c r="A2190" s="8" t="s">
        <v>5</v>
      </c>
      <c r="B2190" s="8" t="s">
        <v>42</v>
      </c>
      <c r="C2190" s="8" t="str">
        <f>IFERROR(_xlfn.XLOOKUP(TRIM(B2190),Lookup!$B$2:$B$1000,Lookup!$C$2:$C$1000),"")</f>
        <v>Equity</v>
      </c>
      <c r="D2190" s="8" t="s">
        <v>43</v>
      </c>
      <c r="E2190" s="9">
        <v>45958</v>
      </c>
      <c r="F2190" s="8">
        <v>47.1785</v>
      </c>
    </row>
    <row r="2191" spans="1:6" ht="60" x14ac:dyDescent="0.25">
      <c r="A2191" s="8" t="s">
        <v>5</v>
      </c>
      <c r="B2191" s="8" t="s">
        <v>42</v>
      </c>
      <c r="C2191" s="8" t="str">
        <f>IFERROR(_xlfn.XLOOKUP(TRIM(B2191),Lookup!$B$2:$B$1000,Lookup!$C$2:$C$1000),"")</f>
        <v>Equity</v>
      </c>
      <c r="D2191" s="8" t="s">
        <v>43</v>
      </c>
      <c r="E2191" s="9">
        <v>45959</v>
      </c>
      <c r="F2191" s="8">
        <v>47.382199999999997</v>
      </c>
    </row>
    <row r="2192" spans="1:6" ht="60" x14ac:dyDescent="0.25">
      <c r="A2192" s="8" t="s">
        <v>5</v>
      </c>
      <c r="B2192" s="8" t="s">
        <v>42</v>
      </c>
      <c r="C2192" s="8" t="str">
        <f>IFERROR(_xlfn.XLOOKUP(TRIM(B2192),Lookup!$B$2:$B$1000,Lookup!$C$2:$C$1000),"")</f>
        <v>Equity</v>
      </c>
      <c r="D2192" s="8" t="s">
        <v>43</v>
      </c>
      <c r="E2192" s="9">
        <v>45960</v>
      </c>
      <c r="F2192" s="8">
        <v>47.084099999999999</v>
      </c>
    </row>
    <row r="2193" spans="1:6" ht="60" x14ac:dyDescent="0.25">
      <c r="A2193" s="8" t="s">
        <v>5</v>
      </c>
      <c r="B2193" s="8" t="s">
        <v>42</v>
      </c>
      <c r="C2193" s="8" t="str">
        <f>IFERROR(_xlfn.XLOOKUP(TRIM(B2193),Lookup!$B$2:$B$1000,Lookup!$C$2:$C$1000),"")</f>
        <v>Equity</v>
      </c>
      <c r="D2193" s="8" t="s">
        <v>43</v>
      </c>
      <c r="E2193" s="9">
        <v>45961</v>
      </c>
      <c r="F2193" s="8">
        <v>46.8352</v>
      </c>
    </row>
    <row r="2194" spans="1:6" ht="60" x14ac:dyDescent="0.25">
      <c r="A2194" s="8" t="s">
        <v>5</v>
      </c>
      <c r="B2194" s="8" t="s">
        <v>42</v>
      </c>
      <c r="C2194" s="8" t="str">
        <f>IFERROR(_xlfn.XLOOKUP(TRIM(B2194),Lookup!$B$2:$B$1000,Lookup!$C$2:$C$1000),"")</f>
        <v>Equity</v>
      </c>
      <c r="D2194" s="8" t="s">
        <v>43</v>
      </c>
      <c r="E2194" s="9">
        <v>45964</v>
      </c>
      <c r="F2194" s="8">
        <v>46.895699999999998</v>
      </c>
    </row>
    <row r="2195" spans="1:6" ht="60" x14ac:dyDescent="0.25">
      <c r="A2195" s="8" t="s">
        <v>5</v>
      </c>
      <c r="B2195" s="8" t="s">
        <v>42</v>
      </c>
      <c r="C2195" s="8" t="str">
        <f>IFERROR(_xlfn.XLOOKUP(TRIM(B2195),Lookup!$B$2:$B$1000,Lookup!$C$2:$C$1000),"")</f>
        <v>Equity</v>
      </c>
      <c r="D2195" s="8" t="s">
        <v>43</v>
      </c>
      <c r="E2195" s="9">
        <v>45965</v>
      </c>
      <c r="F2195" s="8">
        <v>46.676900000000003</v>
      </c>
    </row>
    <row r="2196" spans="1:6" ht="60" x14ac:dyDescent="0.25">
      <c r="A2196" s="8" t="s">
        <v>5</v>
      </c>
      <c r="B2196" s="8" t="s">
        <v>42</v>
      </c>
      <c r="C2196" s="8" t="str">
        <f>IFERROR(_xlfn.XLOOKUP(TRIM(B2196),Lookup!$B$2:$B$1000,Lookup!$C$2:$C$1000),"")</f>
        <v>Equity</v>
      </c>
      <c r="D2196" s="8" t="s">
        <v>43</v>
      </c>
      <c r="E2196" s="9">
        <v>45967</v>
      </c>
      <c r="F2196" s="8">
        <v>46.483800000000002</v>
      </c>
    </row>
    <row r="2197" spans="1:6" ht="60" x14ac:dyDescent="0.25">
      <c r="A2197" s="8" t="s">
        <v>5</v>
      </c>
      <c r="B2197" s="8" t="s">
        <v>42</v>
      </c>
      <c r="C2197" s="8" t="str">
        <f>IFERROR(_xlfn.XLOOKUP(TRIM(B2197),Lookup!$B$2:$B$1000,Lookup!$C$2:$C$1000),"")</f>
        <v>Equity</v>
      </c>
      <c r="D2197" s="8" t="s">
        <v>43</v>
      </c>
      <c r="E2197" s="9">
        <v>45968</v>
      </c>
      <c r="F2197" s="8">
        <v>46.445799999999998</v>
      </c>
    </row>
    <row r="2198" spans="1:6" ht="60" x14ac:dyDescent="0.25">
      <c r="A2198" s="8" t="s">
        <v>5</v>
      </c>
      <c r="B2198" s="8" t="s">
        <v>42</v>
      </c>
      <c r="C2198" s="8" t="str">
        <f>IFERROR(_xlfn.XLOOKUP(TRIM(B2198),Lookup!$B$2:$B$1000,Lookup!$C$2:$C$1000),"")</f>
        <v>Equity</v>
      </c>
      <c r="D2198" s="8" t="s">
        <v>43</v>
      </c>
      <c r="E2198" s="9">
        <v>45971</v>
      </c>
      <c r="F2198" s="8">
        <v>46.620600000000003</v>
      </c>
    </row>
    <row r="2199" spans="1:6" ht="60" x14ac:dyDescent="0.25">
      <c r="A2199" s="8" t="s">
        <v>5</v>
      </c>
      <c r="B2199" s="8" t="s">
        <v>42</v>
      </c>
      <c r="C2199" s="8" t="str">
        <f>IFERROR(_xlfn.XLOOKUP(TRIM(B2199),Lookup!$B$2:$B$1000,Lookup!$C$2:$C$1000),"")</f>
        <v>Equity</v>
      </c>
      <c r="D2199" s="8" t="s">
        <v>43</v>
      </c>
      <c r="E2199" s="9">
        <v>45972</v>
      </c>
      <c r="F2199" s="8">
        <v>46.755099999999999</v>
      </c>
    </row>
    <row r="2200" spans="1:6" ht="60" x14ac:dyDescent="0.25">
      <c r="A2200" s="8" t="s">
        <v>5</v>
      </c>
      <c r="B2200" s="8" t="s">
        <v>42</v>
      </c>
      <c r="C2200" s="8" t="str">
        <f>IFERROR(_xlfn.XLOOKUP(TRIM(B2200),Lookup!$B$2:$B$1000,Lookup!$C$2:$C$1000),"")</f>
        <v>Equity</v>
      </c>
      <c r="D2200" s="8" t="s">
        <v>43</v>
      </c>
      <c r="E2200" s="9">
        <v>45973</v>
      </c>
      <c r="F2200" s="8">
        <v>47.087899999999998</v>
      </c>
    </row>
    <row r="2201" spans="1:6" ht="60" x14ac:dyDescent="0.25">
      <c r="A2201" s="8" t="s">
        <v>5</v>
      </c>
      <c r="B2201" s="8" t="s">
        <v>42</v>
      </c>
      <c r="C2201" s="8" t="str">
        <f>IFERROR(_xlfn.XLOOKUP(TRIM(B2201),Lookup!$B$2:$B$1000,Lookup!$C$2:$C$1000),"")</f>
        <v>Equity</v>
      </c>
      <c r="D2201" s="8" t="s">
        <v>43</v>
      </c>
      <c r="E2201" s="9">
        <v>45974</v>
      </c>
      <c r="F2201" s="8">
        <v>47.051900000000003</v>
      </c>
    </row>
    <row r="2202" spans="1:6" ht="60" x14ac:dyDescent="0.25">
      <c r="A2202" s="8" t="s">
        <v>5</v>
      </c>
      <c r="B2202" s="8" t="s">
        <v>42</v>
      </c>
      <c r="C2202" s="8" t="str">
        <f>IFERROR(_xlfn.XLOOKUP(TRIM(B2202),Lookup!$B$2:$B$1000,Lookup!$C$2:$C$1000),"")</f>
        <v>Equity</v>
      </c>
      <c r="D2202" s="8" t="s">
        <v>43</v>
      </c>
      <c r="E2202" s="9">
        <v>45975</v>
      </c>
      <c r="F2202" s="8">
        <v>47.175699999999999</v>
      </c>
    </row>
    <row r="2203" spans="1:6" ht="60" x14ac:dyDescent="0.25">
      <c r="A2203" s="8" t="s">
        <v>5</v>
      </c>
      <c r="B2203" s="8" t="s">
        <v>42</v>
      </c>
      <c r="C2203" s="8" t="str">
        <f>IFERROR(_xlfn.XLOOKUP(TRIM(B2203),Lookup!$B$2:$B$1000,Lookup!$C$2:$C$1000),"")</f>
        <v>Equity</v>
      </c>
      <c r="D2203" s="8" t="s">
        <v>43</v>
      </c>
      <c r="E2203" s="9">
        <v>45978</v>
      </c>
      <c r="F2203" s="8">
        <v>47.431899999999999</v>
      </c>
    </row>
    <row r="2204" spans="1:6" ht="60" x14ac:dyDescent="0.25">
      <c r="A2204" s="8" t="s">
        <v>5</v>
      </c>
      <c r="B2204" s="8" t="s">
        <v>42</v>
      </c>
      <c r="C2204" s="8" t="str">
        <f>IFERROR(_xlfn.XLOOKUP(TRIM(B2204),Lookup!$B$2:$B$1000,Lookup!$C$2:$C$1000),"")</f>
        <v>Equity</v>
      </c>
      <c r="D2204" s="8" t="s">
        <v>43</v>
      </c>
      <c r="E2204" s="9">
        <v>45979</v>
      </c>
      <c r="F2204" s="8">
        <v>47.293300000000002</v>
      </c>
    </row>
    <row r="2205" spans="1:6" ht="60" x14ac:dyDescent="0.25">
      <c r="A2205" s="8" t="s">
        <v>5</v>
      </c>
      <c r="B2205" s="8" t="s">
        <v>42</v>
      </c>
      <c r="C2205" s="8" t="str">
        <f>IFERROR(_xlfn.XLOOKUP(TRIM(B2205),Lookup!$B$2:$B$1000,Lookup!$C$2:$C$1000),"")</f>
        <v>Equity</v>
      </c>
      <c r="D2205" s="8" t="s">
        <v>43</v>
      </c>
      <c r="E2205" s="9">
        <v>45980</v>
      </c>
      <c r="F2205" s="8">
        <v>47.526499999999999</v>
      </c>
    </row>
    <row r="2206" spans="1:6" ht="60" x14ac:dyDescent="0.25">
      <c r="A2206" s="8" t="s">
        <v>5</v>
      </c>
      <c r="B2206" s="8" t="s">
        <v>42</v>
      </c>
      <c r="C2206" s="8" t="str">
        <f>IFERROR(_xlfn.XLOOKUP(TRIM(B2206),Lookup!$B$2:$B$1000,Lookup!$C$2:$C$1000),"")</f>
        <v>Equity</v>
      </c>
      <c r="D2206" s="8" t="s">
        <v>43</v>
      </c>
      <c r="E2206" s="9">
        <v>45981</v>
      </c>
      <c r="F2206" s="8">
        <v>47.717300000000002</v>
      </c>
    </row>
    <row r="2207" spans="1:6" ht="60" x14ac:dyDescent="0.25">
      <c r="A2207" s="8" t="s">
        <v>5</v>
      </c>
      <c r="B2207" s="8" t="s">
        <v>42</v>
      </c>
      <c r="C2207" s="8" t="str">
        <f>IFERROR(_xlfn.XLOOKUP(TRIM(B2207),Lookup!$B$2:$B$1000,Lookup!$C$2:$C$1000),"")</f>
        <v>Equity</v>
      </c>
      <c r="D2207" s="8" t="s">
        <v>43</v>
      </c>
      <c r="E2207" s="9">
        <v>45982</v>
      </c>
      <c r="F2207" s="8">
        <v>47.452300000000001</v>
      </c>
    </row>
    <row r="2208" spans="1:6" ht="60" x14ac:dyDescent="0.25">
      <c r="A2208" s="8" t="s">
        <v>5</v>
      </c>
      <c r="B2208" s="8" t="s">
        <v>42</v>
      </c>
      <c r="C2208" s="8" t="str">
        <f>IFERROR(_xlfn.XLOOKUP(TRIM(B2208),Lookup!$B$2:$B$1000,Lookup!$C$2:$C$1000),"")</f>
        <v>Equity</v>
      </c>
      <c r="D2208" s="8" t="s">
        <v>43</v>
      </c>
      <c r="E2208" s="9">
        <v>45985</v>
      </c>
      <c r="F2208" s="8">
        <v>47.285800000000002</v>
      </c>
    </row>
    <row r="2209" spans="1:6" ht="60" x14ac:dyDescent="0.25">
      <c r="A2209" s="8" t="s">
        <v>5</v>
      </c>
      <c r="B2209" s="8" t="s">
        <v>42</v>
      </c>
      <c r="C2209" s="8" t="str">
        <f>IFERROR(_xlfn.XLOOKUP(TRIM(B2209),Lookup!$B$2:$B$1000,Lookup!$C$2:$C$1000),"")</f>
        <v>Equity</v>
      </c>
      <c r="D2209" s="8" t="s">
        <v>43</v>
      </c>
      <c r="E2209" s="9">
        <v>45986</v>
      </c>
      <c r="F2209" s="8">
        <v>47.205800000000004</v>
      </c>
    </row>
    <row r="2210" spans="1:6" ht="60" x14ac:dyDescent="0.25">
      <c r="A2210" s="8" t="s">
        <v>5</v>
      </c>
      <c r="B2210" s="8" t="s">
        <v>42</v>
      </c>
      <c r="C2210" s="8" t="str">
        <f>IFERROR(_xlfn.XLOOKUP(TRIM(B2210),Lookup!$B$2:$B$1000,Lookup!$C$2:$C$1000),"")</f>
        <v>Equity</v>
      </c>
      <c r="D2210" s="8" t="s">
        <v>43</v>
      </c>
      <c r="E2210" s="9">
        <v>45987</v>
      </c>
      <c r="F2210" s="8">
        <v>47.747500000000002</v>
      </c>
    </row>
    <row r="2211" spans="1:6" ht="60" x14ac:dyDescent="0.25">
      <c r="A2211" s="8" t="s">
        <v>5</v>
      </c>
      <c r="B2211" s="8" t="s">
        <v>42</v>
      </c>
      <c r="C2211" s="8" t="str">
        <f>IFERROR(_xlfn.XLOOKUP(TRIM(B2211),Lookup!$B$2:$B$1000,Lookup!$C$2:$C$1000),"")</f>
        <v>Equity</v>
      </c>
      <c r="D2211" s="8" t="s">
        <v>43</v>
      </c>
      <c r="E2211" s="9">
        <v>45988</v>
      </c>
      <c r="F2211" s="8">
        <v>47.763599999999997</v>
      </c>
    </row>
    <row r="2212" spans="1:6" ht="60" x14ac:dyDescent="0.25">
      <c r="A2212" s="8" t="s">
        <v>5</v>
      </c>
      <c r="B2212" s="8" t="s">
        <v>42</v>
      </c>
      <c r="C2212" s="8" t="str">
        <f>IFERROR(_xlfn.XLOOKUP(TRIM(B2212),Lookup!$B$2:$B$1000,Lookup!$C$2:$C$1000),"")</f>
        <v>Equity</v>
      </c>
      <c r="D2212" s="8" t="s">
        <v>43</v>
      </c>
      <c r="E2212" s="9">
        <v>45989</v>
      </c>
      <c r="F2212" s="8">
        <v>47.756700000000002</v>
      </c>
    </row>
    <row r="2213" spans="1:6" ht="60" x14ac:dyDescent="0.25">
      <c r="A2213" s="8" t="s">
        <v>5</v>
      </c>
      <c r="B2213" s="8" t="s">
        <v>42</v>
      </c>
      <c r="C2213" s="8" t="str">
        <f>IFERROR(_xlfn.XLOOKUP(TRIM(B2213),Lookup!$B$2:$B$1000,Lookup!$C$2:$C$1000),"")</f>
        <v>Equity</v>
      </c>
      <c r="D2213" s="8" t="s">
        <v>43</v>
      </c>
      <c r="E2213" s="9">
        <v>45993</v>
      </c>
      <c r="F2213" s="8">
        <v>47.4876</v>
      </c>
    </row>
    <row r="2214" spans="1:6" ht="60" x14ac:dyDescent="0.25">
      <c r="A2214" s="8" t="s">
        <v>5</v>
      </c>
      <c r="B2214" s="8" t="s">
        <v>42</v>
      </c>
      <c r="C2214" s="8" t="str">
        <f>IFERROR(_xlfn.XLOOKUP(TRIM(B2214),Lookup!$B$2:$B$1000,Lookup!$C$2:$C$1000),"")</f>
        <v>Equity</v>
      </c>
      <c r="D2214" s="8" t="s">
        <v>43</v>
      </c>
      <c r="E2214" s="9">
        <v>45994</v>
      </c>
      <c r="F2214" s="8">
        <v>47.342199999999998</v>
      </c>
    </row>
    <row r="2215" spans="1:6" ht="60" x14ac:dyDescent="0.25">
      <c r="A2215" s="8" t="s">
        <v>5</v>
      </c>
      <c r="B2215" s="8" t="s">
        <v>42</v>
      </c>
      <c r="C2215" s="8" t="str">
        <f>IFERROR(_xlfn.XLOOKUP(TRIM(B2215),Lookup!$B$2:$B$1000,Lookup!$C$2:$C$1000),"")</f>
        <v>Equity</v>
      </c>
      <c r="D2215" s="8" t="s">
        <v>43</v>
      </c>
      <c r="E2215" s="9">
        <v>45995</v>
      </c>
      <c r="F2215" s="8">
        <v>47.400199999999998</v>
      </c>
    </row>
    <row r="2216" spans="1:6" ht="60" x14ac:dyDescent="0.25">
      <c r="A2216" s="8" t="s">
        <v>5</v>
      </c>
      <c r="B2216" s="8" t="s">
        <v>42</v>
      </c>
      <c r="C2216" s="8" t="str">
        <f>IFERROR(_xlfn.XLOOKUP(TRIM(B2216),Lookup!$B$2:$B$1000,Lookup!$C$2:$C$1000),"")</f>
        <v>Equity</v>
      </c>
      <c r="D2216" s="8" t="s">
        <v>43</v>
      </c>
      <c r="E2216" s="9">
        <v>45996</v>
      </c>
      <c r="F2216" s="8">
        <v>47.649900000000002</v>
      </c>
    </row>
    <row r="2217" spans="1:6" ht="60" x14ac:dyDescent="0.25">
      <c r="A2217" s="8" t="s">
        <v>5</v>
      </c>
      <c r="B2217" s="8" t="s">
        <v>42</v>
      </c>
      <c r="C2217" s="8" t="str">
        <f>IFERROR(_xlfn.XLOOKUP(TRIM(B2217),Lookup!$B$2:$B$1000,Lookup!$C$2:$C$1000),"")</f>
        <v>Equity</v>
      </c>
      <c r="D2217" s="8" t="s">
        <v>43</v>
      </c>
      <c r="E2217" s="9">
        <v>45999</v>
      </c>
      <c r="F2217" s="8">
        <v>47.219900000000003</v>
      </c>
    </row>
    <row r="2218" spans="1:6" ht="60" x14ac:dyDescent="0.25">
      <c r="A2218" s="8" t="s">
        <v>5</v>
      </c>
      <c r="B2218" s="8" t="s">
        <v>42</v>
      </c>
      <c r="C2218" s="8" t="str">
        <f>IFERROR(_xlfn.XLOOKUP(TRIM(B2218),Lookup!$B$2:$B$1000,Lookup!$C$2:$C$1000),"")</f>
        <v>Equity</v>
      </c>
      <c r="D2218" s="8" t="s">
        <v>43</v>
      </c>
      <c r="E2218" s="9">
        <v>46000</v>
      </c>
      <c r="F2218" s="8">
        <v>47.097299999999997</v>
      </c>
    </row>
    <row r="2219" spans="1:6" ht="60" x14ac:dyDescent="0.25">
      <c r="A2219" s="8" t="s">
        <v>5</v>
      </c>
      <c r="B2219" s="8" t="s">
        <v>42</v>
      </c>
      <c r="C2219" s="8" t="str">
        <f>IFERROR(_xlfn.XLOOKUP(TRIM(B2219),Lookup!$B$2:$B$1000,Lookup!$C$2:$C$1000),"")</f>
        <v>Equity</v>
      </c>
      <c r="D2219" s="8" t="s">
        <v>43</v>
      </c>
      <c r="E2219" s="9">
        <v>46001</v>
      </c>
      <c r="F2219" s="8">
        <v>46.940600000000003</v>
      </c>
    </row>
    <row r="2220" spans="1:6" ht="60" x14ac:dyDescent="0.25">
      <c r="A2220" s="8" t="s">
        <v>5</v>
      </c>
      <c r="B2220" s="8" t="s">
        <v>42</v>
      </c>
      <c r="C2220" s="8" t="str">
        <f>IFERROR(_xlfn.XLOOKUP(TRIM(B2220),Lookup!$B$2:$B$1000,Lookup!$C$2:$C$1000),"")</f>
        <v>Equity</v>
      </c>
      <c r="D2220" s="8" t="s">
        <v>43</v>
      </c>
      <c r="E2220" s="9">
        <v>46002</v>
      </c>
      <c r="F2220" s="8">
        <v>47.176400000000001</v>
      </c>
    </row>
    <row r="2221" spans="1:6" ht="60" x14ac:dyDescent="0.25">
      <c r="A2221" s="8" t="s">
        <v>5</v>
      </c>
      <c r="B2221" s="8" t="s">
        <v>42</v>
      </c>
      <c r="C2221" s="8" t="str">
        <f>IFERROR(_xlfn.XLOOKUP(TRIM(B2221),Lookup!$B$2:$B$1000,Lookup!$C$2:$C$1000),"")</f>
        <v>Equity</v>
      </c>
      <c r="D2221" s="8" t="s">
        <v>43</v>
      </c>
      <c r="E2221" s="9">
        <v>46003</v>
      </c>
      <c r="F2221" s="8">
        <v>47.466299999999997</v>
      </c>
    </row>
    <row r="2222" spans="1:6" ht="60" x14ac:dyDescent="0.25">
      <c r="A2222" s="8" t="s">
        <v>5</v>
      </c>
      <c r="B2222" s="8" t="s">
        <v>42</v>
      </c>
      <c r="C2222" s="8" t="str">
        <f>IFERROR(_xlfn.XLOOKUP(TRIM(B2222),Lookup!$B$2:$B$1000,Lookup!$C$2:$C$1000),"")</f>
        <v>Equity</v>
      </c>
      <c r="D2222" s="8" t="s">
        <v>43</v>
      </c>
      <c r="E2222" s="9">
        <v>46006</v>
      </c>
      <c r="F2222" s="8">
        <v>47.440899999999999</v>
      </c>
    </row>
    <row r="2223" spans="1:6" ht="60" x14ac:dyDescent="0.25">
      <c r="A2223" s="8" t="s">
        <v>5</v>
      </c>
      <c r="B2223" s="8" t="s">
        <v>42</v>
      </c>
      <c r="C2223" s="8" t="str">
        <f>IFERROR(_xlfn.XLOOKUP(TRIM(B2223),Lookup!$B$2:$B$1000,Lookup!$C$2:$C$1000),"")</f>
        <v>Equity</v>
      </c>
      <c r="D2223" s="8" t="s">
        <v>43</v>
      </c>
      <c r="E2223" s="9">
        <v>46007</v>
      </c>
      <c r="F2223" s="8">
        <v>47.065300000000001</v>
      </c>
    </row>
    <row r="2224" spans="1:6" ht="60" x14ac:dyDescent="0.25">
      <c r="A2224" s="8" t="s">
        <v>5</v>
      </c>
      <c r="B2224" s="8" t="s">
        <v>42</v>
      </c>
      <c r="C2224" s="8" t="str">
        <f>IFERROR(_xlfn.XLOOKUP(TRIM(B2224),Lookup!$B$2:$B$1000,Lookup!$C$2:$C$1000),"")</f>
        <v>Equity</v>
      </c>
      <c r="D2224" s="8" t="s">
        <v>43</v>
      </c>
      <c r="E2224" s="9">
        <v>46008</v>
      </c>
      <c r="F2224" s="8">
        <v>46.994399999999999</v>
      </c>
    </row>
    <row r="2225" spans="1:6" ht="60" x14ac:dyDescent="0.25">
      <c r="A2225" s="8" t="s">
        <v>5</v>
      </c>
      <c r="B2225" s="8" t="s">
        <v>42</v>
      </c>
      <c r="C2225" s="8" t="str">
        <f>IFERROR(_xlfn.XLOOKUP(TRIM(B2225),Lookup!$B$2:$B$1000,Lookup!$C$2:$C$1000),"")</f>
        <v>Equity</v>
      </c>
      <c r="D2225" s="8" t="s">
        <v>43</v>
      </c>
      <c r="E2225" s="9">
        <v>46009</v>
      </c>
      <c r="F2225" s="8">
        <v>46.9589</v>
      </c>
    </row>
    <row r="2226" spans="1:6" ht="60" x14ac:dyDescent="0.25">
      <c r="A2226" s="8" t="s">
        <v>5</v>
      </c>
      <c r="B2226" s="8" t="s">
        <v>42</v>
      </c>
      <c r="C2226" s="8" t="str">
        <f>IFERROR(_xlfn.XLOOKUP(TRIM(B2226),Lookup!$B$2:$B$1000,Lookup!$C$2:$C$1000),"")</f>
        <v>Equity</v>
      </c>
      <c r="D2226" s="8" t="s">
        <v>43</v>
      </c>
      <c r="E2226" s="9">
        <v>46010</v>
      </c>
      <c r="F2226" s="8">
        <v>47.3703</v>
      </c>
    </row>
    <row r="2227" spans="1:6" ht="60" x14ac:dyDescent="0.25">
      <c r="A2227" s="8" t="s">
        <v>5</v>
      </c>
      <c r="B2227" s="8" t="s">
        <v>42</v>
      </c>
      <c r="C2227" s="8" t="str">
        <f>IFERROR(_xlfn.XLOOKUP(TRIM(B2227),Lookup!$B$2:$B$1000,Lookup!$C$2:$C$1000),"")</f>
        <v>Equity</v>
      </c>
      <c r="D2227" s="8" t="s">
        <v>43</v>
      </c>
      <c r="E2227" s="9">
        <v>46013</v>
      </c>
      <c r="F2227" s="8">
        <v>47.668500000000002</v>
      </c>
    </row>
    <row r="2228" spans="1:6" ht="60" x14ac:dyDescent="0.25">
      <c r="A2228" s="8" t="s">
        <v>5</v>
      </c>
      <c r="B2228" s="8" t="s">
        <v>42</v>
      </c>
      <c r="C2228" s="8" t="str">
        <f>IFERROR(_xlfn.XLOOKUP(TRIM(B2228),Lookup!$B$2:$B$1000,Lookup!$C$2:$C$1000),"")</f>
        <v>Equity</v>
      </c>
      <c r="D2228" s="8" t="s">
        <v>43</v>
      </c>
      <c r="E2228" s="9">
        <v>46014</v>
      </c>
      <c r="F2228" s="8">
        <v>47.6554</v>
      </c>
    </row>
    <row r="2229" spans="1:6" ht="60" x14ac:dyDescent="0.25">
      <c r="A2229" s="8" t="s">
        <v>5</v>
      </c>
      <c r="B2229" s="8" t="s">
        <v>42</v>
      </c>
      <c r="C2229" s="8" t="str">
        <f>IFERROR(_xlfn.XLOOKUP(TRIM(B2229),Lookup!$B$2:$B$1000,Lookup!$C$2:$C$1000),"")</f>
        <v>Equity</v>
      </c>
      <c r="D2229" s="8" t="s">
        <v>43</v>
      </c>
      <c r="E2229" s="9">
        <v>46015</v>
      </c>
      <c r="F2229" s="8">
        <v>47.582900000000002</v>
      </c>
    </row>
    <row r="2230" spans="1:6" ht="60" x14ac:dyDescent="0.25">
      <c r="A2230" s="8" t="s">
        <v>5</v>
      </c>
      <c r="B2230" s="8" t="s">
        <v>42</v>
      </c>
      <c r="C2230" s="8" t="str">
        <f>IFERROR(_xlfn.XLOOKUP(TRIM(B2230),Lookup!$B$2:$B$1000,Lookup!$C$2:$C$1000),"")</f>
        <v>Equity</v>
      </c>
      <c r="D2230" s="8" t="s">
        <v>43</v>
      </c>
      <c r="E2230" s="9">
        <v>46017</v>
      </c>
      <c r="F2230" s="8">
        <v>47.420999999999999</v>
      </c>
    </row>
    <row r="2231" spans="1:6" ht="60" x14ac:dyDescent="0.25">
      <c r="A2231" s="8" t="s">
        <v>5</v>
      </c>
      <c r="B2231" s="8" t="s">
        <v>42</v>
      </c>
      <c r="C2231" s="8" t="str">
        <f>IFERROR(_xlfn.XLOOKUP(TRIM(B2231),Lookup!$B$2:$B$1000,Lookup!$C$2:$C$1000),"")</f>
        <v>Equity</v>
      </c>
      <c r="D2231" s="8" t="s">
        <v>43</v>
      </c>
      <c r="E2231" s="9">
        <v>46020</v>
      </c>
      <c r="F2231" s="8">
        <v>47.288699999999999</v>
      </c>
    </row>
    <row r="2232" spans="1:6" ht="60" x14ac:dyDescent="0.25">
      <c r="A2232" s="8" t="s">
        <v>5</v>
      </c>
      <c r="B2232" s="8" t="s">
        <v>42</v>
      </c>
      <c r="C2232" s="8" t="str">
        <f>IFERROR(_xlfn.XLOOKUP(TRIM(B2232),Lookup!$B$2:$B$1000,Lookup!$C$2:$C$1000),"")</f>
        <v>Equity</v>
      </c>
      <c r="D2232" s="8" t="s">
        <v>43</v>
      </c>
      <c r="E2232" s="9">
        <v>46022</v>
      </c>
      <c r="F2232" s="8">
        <v>47.667099999999998</v>
      </c>
    </row>
    <row r="2233" spans="1:6" ht="60" x14ac:dyDescent="0.25">
      <c r="A2233" s="8" t="s">
        <v>5</v>
      </c>
      <c r="B2233" s="8" t="s">
        <v>42</v>
      </c>
      <c r="C2233" s="8" t="str">
        <f>IFERROR(_xlfn.XLOOKUP(TRIM(B2233),Lookup!$B$2:$B$1000,Lookup!$C$2:$C$1000),"")</f>
        <v>Equity</v>
      </c>
      <c r="D2233" s="8" t="s">
        <v>43</v>
      </c>
      <c r="E2233" s="9">
        <v>46023</v>
      </c>
      <c r="F2233" s="8">
        <v>47.732199999999999</v>
      </c>
    </row>
    <row r="2234" spans="1:6" ht="60" x14ac:dyDescent="0.25">
      <c r="A2234" s="8" t="s">
        <v>5</v>
      </c>
      <c r="B2234" s="8" t="s">
        <v>42</v>
      </c>
      <c r="C2234" s="8" t="str">
        <f>IFERROR(_xlfn.XLOOKUP(TRIM(B2234),Lookup!$B$2:$B$1000,Lookup!$C$2:$C$1000),"")</f>
        <v>Equity</v>
      </c>
      <c r="D2234" s="8" t="s">
        <v>43</v>
      </c>
      <c r="E2234" s="9">
        <v>46024</v>
      </c>
      <c r="F2234" s="8">
        <v>48.038200000000003</v>
      </c>
    </row>
    <row r="2235" spans="1:6" ht="60" x14ac:dyDescent="0.25">
      <c r="A2235" s="8" t="s">
        <v>5</v>
      </c>
      <c r="B2235" s="8" t="s">
        <v>42</v>
      </c>
      <c r="C2235" s="8" t="str">
        <f>IFERROR(_xlfn.XLOOKUP(TRIM(B2235),Lookup!$B$2:$B$1000,Lookup!$C$2:$C$1000),"")</f>
        <v>Equity</v>
      </c>
      <c r="D2235" s="8" t="s">
        <v>43</v>
      </c>
      <c r="E2235" s="9">
        <v>46027</v>
      </c>
      <c r="F2235" s="8">
        <v>47.856900000000003</v>
      </c>
    </row>
    <row r="2236" spans="1:6" ht="60" x14ac:dyDescent="0.25">
      <c r="A2236" s="8" t="s">
        <v>5</v>
      </c>
      <c r="B2236" s="8" t="s">
        <v>42</v>
      </c>
      <c r="C2236" s="8" t="str">
        <f>IFERROR(_xlfn.XLOOKUP(TRIM(B2236),Lookup!$B$2:$B$1000,Lookup!$C$2:$C$1000),"")</f>
        <v>Equity</v>
      </c>
      <c r="D2236" s="8" t="s">
        <v>43</v>
      </c>
      <c r="E2236" s="9">
        <v>46028</v>
      </c>
      <c r="F2236" s="8">
        <v>47.6843</v>
      </c>
    </row>
    <row r="2237" spans="1:6" ht="60" x14ac:dyDescent="0.25">
      <c r="A2237" s="8" t="s">
        <v>5</v>
      </c>
      <c r="B2237" s="8" t="s">
        <v>42</v>
      </c>
      <c r="C2237" s="8" t="str">
        <f>IFERROR(_xlfn.XLOOKUP(TRIM(B2237),Lookup!$B$2:$B$1000,Lookup!$C$2:$C$1000),"")</f>
        <v>Equity</v>
      </c>
      <c r="D2237" s="8" t="s">
        <v>43</v>
      </c>
      <c r="E2237" s="9">
        <v>46029</v>
      </c>
      <c r="F2237" s="8">
        <v>47.6327</v>
      </c>
    </row>
    <row r="2238" spans="1:6" ht="60" x14ac:dyDescent="0.25">
      <c r="A2238" s="8" t="s">
        <v>5</v>
      </c>
      <c r="B2238" s="8" t="s">
        <v>42</v>
      </c>
      <c r="C2238" s="8" t="str">
        <f>IFERROR(_xlfn.XLOOKUP(TRIM(B2238),Lookup!$B$2:$B$1000,Lookup!$C$2:$C$1000),"")</f>
        <v>Equity</v>
      </c>
      <c r="D2238" s="8" t="s">
        <v>43</v>
      </c>
      <c r="E2238" s="9">
        <v>46030</v>
      </c>
      <c r="F2238" s="8">
        <v>47.1252</v>
      </c>
    </row>
    <row r="2239" spans="1:6" ht="60" x14ac:dyDescent="0.25">
      <c r="A2239" s="8" t="s">
        <v>5</v>
      </c>
      <c r="B2239" s="8" t="s">
        <v>42</v>
      </c>
      <c r="C2239" s="8" t="str">
        <f>IFERROR(_xlfn.XLOOKUP(TRIM(B2239),Lookup!$B$2:$B$1000,Lookup!$C$2:$C$1000),"")</f>
        <v>Equity</v>
      </c>
      <c r="D2239" s="8" t="s">
        <v>43</v>
      </c>
      <c r="E2239" s="9">
        <v>46031</v>
      </c>
      <c r="F2239" s="8">
        <v>46.808300000000003</v>
      </c>
    </row>
    <row r="2240" spans="1:6" ht="60" x14ac:dyDescent="0.25">
      <c r="A2240" s="8" t="s">
        <v>5</v>
      </c>
      <c r="B2240" s="8" t="s">
        <v>42</v>
      </c>
      <c r="C2240" s="8" t="str">
        <f>IFERROR(_xlfn.XLOOKUP(TRIM(B2240),Lookup!$B$2:$B$1000,Lookup!$C$2:$C$1000),"")</f>
        <v>Equity</v>
      </c>
      <c r="D2240" s="8" t="s">
        <v>43</v>
      </c>
      <c r="E2240" s="9">
        <v>46034</v>
      </c>
      <c r="F2240" s="8">
        <v>46.917900000000003</v>
      </c>
    </row>
    <row r="2241" spans="1:6" ht="60" x14ac:dyDescent="0.25">
      <c r="A2241" s="8" t="s">
        <v>5</v>
      </c>
      <c r="B2241" s="8" t="s">
        <v>42</v>
      </c>
      <c r="C2241" s="8" t="str">
        <f>IFERROR(_xlfn.XLOOKUP(TRIM(B2241),Lookup!$B$2:$B$1000,Lookup!$C$2:$C$1000),"")</f>
        <v>Equity</v>
      </c>
      <c r="D2241" s="8" t="s">
        <v>43</v>
      </c>
      <c r="E2241" s="9">
        <v>46035</v>
      </c>
      <c r="F2241" s="8">
        <v>46.7515</v>
      </c>
    </row>
    <row r="2242" spans="1:6" ht="60" x14ac:dyDescent="0.25">
      <c r="A2242" s="8" t="s">
        <v>5</v>
      </c>
      <c r="B2242" s="8" t="s">
        <v>42</v>
      </c>
      <c r="C2242" s="8" t="str">
        <f>IFERROR(_xlfn.XLOOKUP(TRIM(B2242),Lookup!$B$2:$B$1000,Lookup!$C$2:$C$1000),"")</f>
        <v>Equity</v>
      </c>
      <c r="D2242" s="8" t="s">
        <v>43</v>
      </c>
      <c r="E2242" s="9">
        <v>46036</v>
      </c>
      <c r="F2242" s="8">
        <v>46.723100000000002</v>
      </c>
    </row>
    <row r="2243" spans="1:6" ht="60" x14ac:dyDescent="0.25">
      <c r="A2243" s="8" t="s">
        <v>5</v>
      </c>
      <c r="B2243" s="8" t="s">
        <v>42</v>
      </c>
      <c r="C2243" s="8" t="str">
        <f>IFERROR(_xlfn.XLOOKUP(TRIM(B2243),Lookup!$B$2:$B$1000,Lookup!$C$2:$C$1000),"")</f>
        <v>Equity</v>
      </c>
      <c r="D2243" s="8" t="s">
        <v>43</v>
      </c>
      <c r="E2243" s="9">
        <v>46038</v>
      </c>
      <c r="F2243" s="8">
        <v>46.835599999999999</v>
      </c>
    </row>
    <row r="2244" spans="1:6" ht="60" x14ac:dyDescent="0.25">
      <c r="A2244" s="8" t="s">
        <v>5</v>
      </c>
      <c r="B2244" s="8" t="s">
        <v>42</v>
      </c>
      <c r="C2244" s="8" t="str">
        <f>IFERROR(_xlfn.XLOOKUP(TRIM(B2244),Lookup!$B$2:$B$1000,Lookup!$C$2:$C$1000),"")</f>
        <v>Equity</v>
      </c>
      <c r="D2244" s="8" t="s">
        <v>43</v>
      </c>
      <c r="E2244" s="9">
        <v>46041</v>
      </c>
      <c r="F2244" s="8">
        <v>46.671500000000002</v>
      </c>
    </row>
    <row r="2245" spans="1:6" ht="60" x14ac:dyDescent="0.25">
      <c r="A2245" s="8" t="s">
        <v>5</v>
      </c>
      <c r="B2245" s="8" t="s">
        <v>42</v>
      </c>
      <c r="C2245" s="8" t="str">
        <f>IFERROR(_xlfn.XLOOKUP(TRIM(B2245),Lookup!$B$2:$B$1000,Lookup!$C$2:$C$1000),"")</f>
        <v>Equity</v>
      </c>
      <c r="D2245" s="8" t="s">
        <v>43</v>
      </c>
      <c r="E2245" s="9">
        <v>46042</v>
      </c>
      <c r="F2245" s="8">
        <v>45.994</v>
      </c>
    </row>
    <row r="2246" spans="1:6" ht="60" x14ac:dyDescent="0.25">
      <c r="A2246" s="8" t="s">
        <v>5</v>
      </c>
      <c r="B2246" s="8" t="s">
        <v>42</v>
      </c>
      <c r="C2246" s="8" t="str">
        <f>IFERROR(_xlfn.XLOOKUP(TRIM(B2246),Lookup!$B$2:$B$1000,Lookup!$C$2:$C$1000),"")</f>
        <v>Equity</v>
      </c>
      <c r="D2246" s="8" t="s">
        <v>43</v>
      </c>
      <c r="E2246" s="9">
        <v>46043</v>
      </c>
      <c r="F2246" s="8">
        <v>45.879199999999997</v>
      </c>
    </row>
    <row r="2247" spans="1:6" ht="60" x14ac:dyDescent="0.25">
      <c r="A2247" s="8" t="s">
        <v>5</v>
      </c>
      <c r="B2247" s="8" t="s">
        <v>42</v>
      </c>
      <c r="C2247" s="8" t="str">
        <f>IFERROR(_xlfn.XLOOKUP(TRIM(B2247),Lookup!$B$2:$B$1000,Lookup!$C$2:$C$1000),"")</f>
        <v>Equity</v>
      </c>
      <c r="D2247" s="8" t="s">
        <v>43</v>
      </c>
      <c r="E2247" s="9">
        <v>46044</v>
      </c>
      <c r="F2247" s="8">
        <v>46.125</v>
      </c>
    </row>
    <row r="2248" spans="1:6" ht="60" x14ac:dyDescent="0.25">
      <c r="A2248" s="8" t="s">
        <v>5</v>
      </c>
      <c r="B2248" s="8" t="s">
        <v>42</v>
      </c>
      <c r="C2248" s="8" t="str">
        <f>IFERROR(_xlfn.XLOOKUP(TRIM(B2248),Lookup!$B$2:$B$1000,Lookup!$C$2:$C$1000),"")</f>
        <v>Equity</v>
      </c>
      <c r="D2248" s="8" t="s">
        <v>43</v>
      </c>
      <c r="E2248" s="9">
        <v>46045</v>
      </c>
      <c r="F2248" s="8">
        <v>45.627200000000002</v>
      </c>
    </row>
    <row r="2249" spans="1:6" ht="60" x14ac:dyDescent="0.25">
      <c r="A2249" s="8" t="s">
        <v>5</v>
      </c>
      <c r="B2249" s="8" t="s">
        <v>42</v>
      </c>
      <c r="C2249" s="8" t="str">
        <f>IFERROR(_xlfn.XLOOKUP(TRIM(B2249),Lookup!$B$2:$B$1000,Lookup!$C$2:$C$1000),"")</f>
        <v>Equity</v>
      </c>
      <c r="D2249" s="8" t="s">
        <v>43</v>
      </c>
      <c r="E2249" s="9">
        <v>46049</v>
      </c>
      <c r="F2249" s="8">
        <v>45.836100000000002</v>
      </c>
    </row>
    <row r="2250" spans="1:6" ht="60" x14ac:dyDescent="0.25">
      <c r="A2250" s="8" t="s">
        <v>5</v>
      </c>
      <c r="B2250" s="8" t="s">
        <v>42</v>
      </c>
      <c r="C2250" s="8" t="str">
        <f>IFERROR(_xlfn.XLOOKUP(TRIM(B2250),Lookup!$B$2:$B$1000,Lookup!$C$2:$C$1000),"")</f>
        <v>Equity</v>
      </c>
      <c r="D2250" s="8" t="s">
        <v>43</v>
      </c>
      <c r="E2250" s="9">
        <v>46050</v>
      </c>
      <c r="F2250" s="8">
        <v>46.136899999999997</v>
      </c>
    </row>
    <row r="2251" spans="1:6" ht="60" x14ac:dyDescent="0.25">
      <c r="A2251" s="8" t="s">
        <v>5</v>
      </c>
      <c r="B2251" s="8" t="s">
        <v>42</v>
      </c>
      <c r="C2251" s="8" t="str">
        <f>IFERROR(_xlfn.XLOOKUP(TRIM(B2251),Lookup!$B$2:$B$1000,Lookup!$C$2:$C$1000),"")</f>
        <v>Equity</v>
      </c>
      <c r="D2251" s="8" t="s">
        <v>43</v>
      </c>
      <c r="E2251" s="9">
        <v>46051</v>
      </c>
      <c r="F2251" s="8">
        <v>46.287599999999998</v>
      </c>
    </row>
    <row r="2252" spans="1:6" ht="60" x14ac:dyDescent="0.25">
      <c r="A2252" s="8" t="s">
        <v>5</v>
      </c>
      <c r="B2252" s="8" t="s">
        <v>42</v>
      </c>
      <c r="C2252" s="8" t="str">
        <f>IFERROR(_xlfn.XLOOKUP(TRIM(B2252),Lookup!$B$2:$B$1000,Lookup!$C$2:$C$1000),"")</f>
        <v>Equity</v>
      </c>
      <c r="D2252" s="8" t="s">
        <v>43</v>
      </c>
      <c r="E2252" s="9">
        <v>46052</v>
      </c>
      <c r="F2252" s="8">
        <v>46.2455</v>
      </c>
    </row>
    <row r="2253" spans="1:6" ht="60" x14ac:dyDescent="0.25">
      <c r="A2253" s="8" t="s">
        <v>5</v>
      </c>
      <c r="B2253" s="8" t="s">
        <v>42</v>
      </c>
      <c r="C2253" s="8" t="str">
        <f>IFERROR(_xlfn.XLOOKUP(TRIM(B2253),Lookup!$B$2:$B$1000,Lookup!$C$2:$C$1000),"")</f>
        <v>Equity</v>
      </c>
      <c r="D2253" s="8" t="s">
        <v>43</v>
      </c>
      <c r="E2253" s="9">
        <v>46054</v>
      </c>
      <c r="F2253" s="8">
        <v>45.414099999999998</v>
      </c>
    </row>
    <row r="2254" spans="1:6" ht="60" x14ac:dyDescent="0.25">
      <c r="A2254" s="8" t="s">
        <v>5</v>
      </c>
      <c r="B2254" s="8" t="s">
        <v>42</v>
      </c>
      <c r="C2254" s="8" t="str">
        <f>IFERROR(_xlfn.XLOOKUP(TRIM(B2254),Lookup!$B$2:$B$1000,Lookup!$C$2:$C$1000),"")</f>
        <v>Equity</v>
      </c>
      <c r="D2254" s="8" t="s">
        <v>43</v>
      </c>
      <c r="E2254" s="9">
        <v>46055</v>
      </c>
      <c r="F2254" s="8">
        <v>45.721499999999999</v>
      </c>
    </row>
    <row r="2255" spans="1:6" ht="60" x14ac:dyDescent="0.25">
      <c r="A2255" s="8" t="s">
        <v>5</v>
      </c>
      <c r="B2255" s="8" t="s">
        <v>42</v>
      </c>
      <c r="C2255" s="8" t="str">
        <f>IFERROR(_xlfn.XLOOKUP(TRIM(B2255),Lookup!$B$2:$B$1000,Lookup!$C$2:$C$1000),"")</f>
        <v>Equity</v>
      </c>
      <c r="D2255" s="8" t="s">
        <v>43</v>
      </c>
      <c r="E2255" s="9">
        <v>46056</v>
      </c>
      <c r="F2255" s="8">
        <v>46.844700000000003</v>
      </c>
    </row>
    <row r="2256" spans="1:6" ht="60" x14ac:dyDescent="0.25">
      <c r="A2256" s="8" t="s">
        <v>5</v>
      </c>
      <c r="B2256" s="8" t="s">
        <v>42</v>
      </c>
      <c r="C2256" s="8" t="str">
        <f>IFERROR(_xlfn.XLOOKUP(TRIM(B2256),Lookup!$B$2:$B$1000,Lookup!$C$2:$C$1000),"")</f>
        <v>Equity</v>
      </c>
      <c r="D2256" s="8" t="s">
        <v>43</v>
      </c>
      <c r="E2256" s="9">
        <v>46057</v>
      </c>
      <c r="F2256" s="8">
        <v>46.903100000000002</v>
      </c>
    </row>
    <row r="2257" spans="1:6" ht="60" x14ac:dyDescent="0.25">
      <c r="A2257" s="8" t="s">
        <v>5</v>
      </c>
      <c r="B2257" s="8" t="s">
        <v>42</v>
      </c>
      <c r="C2257" s="8" t="str">
        <f>IFERROR(_xlfn.XLOOKUP(TRIM(B2257),Lookup!$B$2:$B$1000,Lookup!$C$2:$C$1000),"")</f>
        <v>Equity</v>
      </c>
      <c r="D2257" s="8" t="s">
        <v>43</v>
      </c>
      <c r="E2257" s="9">
        <v>46058</v>
      </c>
      <c r="F2257" s="8">
        <v>46.694200000000002</v>
      </c>
    </row>
    <row r="2258" spans="1:6" ht="60" x14ac:dyDescent="0.25">
      <c r="A2258" s="8" t="s">
        <v>5</v>
      </c>
      <c r="B2258" s="8" t="s">
        <v>42</v>
      </c>
      <c r="C2258" s="8" t="str">
        <f>IFERROR(_xlfn.XLOOKUP(TRIM(B2258),Lookup!$B$2:$B$1000,Lookup!$C$2:$C$1000),"")</f>
        <v>Equity</v>
      </c>
      <c r="D2258" s="8" t="s">
        <v>43</v>
      </c>
      <c r="E2258" s="9">
        <v>46059</v>
      </c>
      <c r="F2258" s="8">
        <v>46.776200000000003</v>
      </c>
    </row>
    <row r="2259" spans="1:6" ht="60" x14ac:dyDescent="0.25">
      <c r="A2259" s="8" t="s">
        <v>5</v>
      </c>
      <c r="B2259" s="8" t="s">
        <v>42</v>
      </c>
      <c r="C2259" s="8" t="str">
        <f>IFERROR(_xlfn.XLOOKUP(TRIM(B2259),Lookup!$B$2:$B$1000,Lookup!$C$2:$C$1000),"")</f>
        <v>Equity</v>
      </c>
      <c r="D2259" s="8" t="s">
        <v>43</v>
      </c>
      <c r="E2259" s="9">
        <v>46062</v>
      </c>
      <c r="F2259" s="8">
        <v>47.134300000000003</v>
      </c>
    </row>
    <row r="2260" spans="1:6" ht="60" x14ac:dyDescent="0.25">
      <c r="A2260" s="8" t="s">
        <v>5</v>
      </c>
      <c r="B2260" s="8" t="s">
        <v>42</v>
      </c>
      <c r="C2260" s="8" t="str">
        <f>IFERROR(_xlfn.XLOOKUP(TRIM(B2260),Lookup!$B$2:$B$1000,Lookup!$C$2:$C$1000),"")</f>
        <v>Equity</v>
      </c>
      <c r="D2260" s="8" t="s">
        <v>43</v>
      </c>
      <c r="E2260" s="9">
        <v>46063</v>
      </c>
      <c r="F2260" s="8">
        <v>47.258299999999998</v>
      </c>
    </row>
    <row r="2261" spans="1:6" ht="60" x14ac:dyDescent="0.25">
      <c r="A2261" s="8" t="s">
        <v>5</v>
      </c>
      <c r="B2261" s="8" t="s">
        <v>42</v>
      </c>
      <c r="C2261" s="8" t="str">
        <f>IFERROR(_xlfn.XLOOKUP(TRIM(B2261),Lookup!$B$2:$B$1000,Lookup!$C$2:$C$1000),"")</f>
        <v>Equity</v>
      </c>
      <c r="D2261" s="8" t="s">
        <v>43</v>
      </c>
      <c r="E2261" s="9">
        <v>46064</v>
      </c>
      <c r="F2261" s="8">
        <v>47.286700000000003</v>
      </c>
    </row>
    <row r="2262" spans="1:6" ht="60" x14ac:dyDescent="0.25">
      <c r="A2262" s="8" t="s">
        <v>5</v>
      </c>
      <c r="B2262" s="8" t="s">
        <v>42</v>
      </c>
      <c r="C2262" s="8" t="str">
        <f>IFERROR(_xlfn.XLOOKUP(TRIM(B2262),Lookup!$B$2:$B$1000,Lookup!$C$2:$C$1000),"")</f>
        <v>Equity</v>
      </c>
      <c r="D2262" s="8" t="s">
        <v>43</v>
      </c>
      <c r="E2262" s="9">
        <v>46065</v>
      </c>
      <c r="F2262" s="8">
        <v>47.020699999999998</v>
      </c>
    </row>
    <row r="2263" spans="1:6" ht="60" x14ac:dyDescent="0.25">
      <c r="A2263" s="8" t="s">
        <v>5</v>
      </c>
      <c r="B2263" s="8" t="s">
        <v>42</v>
      </c>
      <c r="C2263" s="8" t="str">
        <f>IFERROR(_xlfn.XLOOKUP(TRIM(B2263),Lookup!$B$2:$B$1000,Lookup!$C$2:$C$1000),"")</f>
        <v>Equity</v>
      </c>
      <c r="D2263" s="8" t="s">
        <v>43</v>
      </c>
      <c r="E2263" s="9">
        <v>46066</v>
      </c>
      <c r="F2263" s="8">
        <v>46.436199999999999</v>
      </c>
    </row>
    <row r="2264" spans="1:6" ht="60" x14ac:dyDescent="0.25">
      <c r="A2264" s="8" t="s">
        <v>5</v>
      </c>
      <c r="B2264" s="8" t="s">
        <v>42</v>
      </c>
      <c r="C2264" s="8" t="str">
        <f>IFERROR(_xlfn.XLOOKUP(TRIM(B2264),Lookup!$B$2:$B$1000,Lookup!$C$2:$C$1000),"")</f>
        <v>Equity</v>
      </c>
      <c r="D2264" s="8" t="s">
        <v>43</v>
      </c>
      <c r="E2264" s="9">
        <v>46069</v>
      </c>
      <c r="F2264" s="8">
        <v>46.7746</v>
      </c>
    </row>
    <row r="2265" spans="1:6" ht="60" x14ac:dyDescent="0.25">
      <c r="A2265" s="8" t="s">
        <v>5</v>
      </c>
      <c r="B2265" s="8" t="s">
        <v>42</v>
      </c>
      <c r="C2265" s="8" t="str">
        <f>IFERROR(_xlfn.XLOOKUP(TRIM(B2265),Lookup!$B$2:$B$1000,Lookup!$C$2:$C$1000),"")</f>
        <v>Equity</v>
      </c>
      <c r="D2265" s="8" t="s">
        <v>43</v>
      </c>
      <c r="E2265" s="9">
        <v>46070</v>
      </c>
      <c r="F2265" s="8">
        <v>46.872799999999998</v>
      </c>
    </row>
    <row r="2266" spans="1:6" ht="60" x14ac:dyDescent="0.25">
      <c r="A2266" s="8" t="s">
        <v>5</v>
      </c>
      <c r="B2266" s="8" t="s">
        <v>42</v>
      </c>
      <c r="C2266" s="8" t="str">
        <f>IFERROR(_xlfn.XLOOKUP(TRIM(B2266),Lookup!$B$2:$B$1000,Lookup!$C$2:$C$1000),"")</f>
        <v>Equity</v>
      </c>
      <c r="D2266" s="8" t="s">
        <v>43</v>
      </c>
      <c r="E2266" s="9">
        <v>46071</v>
      </c>
      <c r="F2266" s="8">
        <v>47.060899999999997</v>
      </c>
    </row>
    <row r="2267" spans="1:6" ht="60" x14ac:dyDescent="0.25">
      <c r="A2267" s="8" t="s">
        <v>5</v>
      </c>
      <c r="B2267" s="8" t="s">
        <v>42</v>
      </c>
      <c r="C2267" s="8" t="str">
        <f>IFERROR(_xlfn.XLOOKUP(TRIM(B2267),Lookup!$B$2:$B$1000,Lookup!$C$2:$C$1000),"")</f>
        <v>Equity</v>
      </c>
      <c r="D2267" s="8" t="s">
        <v>43</v>
      </c>
      <c r="E2267" s="9">
        <v>46072</v>
      </c>
      <c r="F2267" s="8">
        <v>46.450099999999999</v>
      </c>
    </row>
    <row r="2268" spans="1:6" ht="60" x14ac:dyDescent="0.25">
      <c r="A2268" s="8" t="s">
        <v>5</v>
      </c>
      <c r="B2268" s="8" t="s">
        <v>42</v>
      </c>
      <c r="C2268" s="8" t="str">
        <f>IFERROR(_xlfn.XLOOKUP(TRIM(B2268),Lookup!$B$2:$B$1000,Lookup!$C$2:$C$1000),"")</f>
        <v>Equity</v>
      </c>
      <c r="D2268" s="8" t="s">
        <v>43</v>
      </c>
      <c r="E2268" s="9">
        <v>46073</v>
      </c>
      <c r="F2268" s="8">
        <v>46.625399999999999</v>
      </c>
    </row>
    <row r="2269" spans="1:6" ht="60" x14ac:dyDescent="0.25">
      <c r="A2269" s="8" t="s">
        <v>5</v>
      </c>
      <c r="B2269" s="8" t="s">
        <v>42</v>
      </c>
      <c r="C2269" s="8" t="str">
        <f>IFERROR(_xlfn.XLOOKUP(TRIM(B2269),Lookup!$B$2:$B$1000,Lookup!$C$2:$C$1000),"")</f>
        <v>Equity</v>
      </c>
      <c r="D2269" s="8" t="s">
        <v>43</v>
      </c>
      <c r="E2269" s="9">
        <v>46076</v>
      </c>
      <c r="F2269" s="8">
        <v>46.838900000000002</v>
      </c>
    </row>
    <row r="2270" spans="1:6" ht="60" x14ac:dyDescent="0.25">
      <c r="A2270" s="8" t="s">
        <v>5</v>
      </c>
      <c r="B2270" s="8" t="s">
        <v>42</v>
      </c>
      <c r="C2270" s="8" t="str">
        <f>IFERROR(_xlfn.XLOOKUP(TRIM(B2270),Lookup!$B$2:$B$1000,Lookup!$C$2:$C$1000),"")</f>
        <v>Equity</v>
      </c>
      <c r="D2270" s="8" t="s">
        <v>43</v>
      </c>
      <c r="E2270" s="9">
        <v>46077</v>
      </c>
      <c r="F2270" s="8">
        <v>46.356099999999998</v>
      </c>
    </row>
    <row r="2271" spans="1:6" ht="60" x14ac:dyDescent="0.25">
      <c r="A2271" s="8" t="s">
        <v>5</v>
      </c>
      <c r="B2271" s="8" t="s">
        <v>42</v>
      </c>
      <c r="C2271" s="8" t="str">
        <f>IFERROR(_xlfn.XLOOKUP(TRIM(B2271),Lookup!$B$2:$B$1000,Lookup!$C$2:$C$1000),"")</f>
        <v>Equity</v>
      </c>
      <c r="D2271" s="8" t="s">
        <v>43</v>
      </c>
      <c r="E2271" s="9">
        <v>46078</v>
      </c>
      <c r="F2271" s="8">
        <v>46.447899999999997</v>
      </c>
    </row>
    <row r="2272" spans="1:6" ht="60" x14ac:dyDescent="0.25">
      <c r="A2272" s="8" t="s">
        <v>5</v>
      </c>
      <c r="B2272" s="8" t="s">
        <v>42</v>
      </c>
      <c r="C2272" s="8" t="str">
        <f>IFERROR(_xlfn.XLOOKUP(TRIM(B2272),Lookup!$B$2:$B$1000,Lookup!$C$2:$C$1000),"")</f>
        <v>Equity</v>
      </c>
      <c r="D2272" s="8" t="s">
        <v>43</v>
      </c>
      <c r="E2272" s="9">
        <v>46079</v>
      </c>
      <c r="F2272" s="8">
        <v>46.465699999999998</v>
      </c>
    </row>
    <row r="2273" spans="1:6" ht="60" x14ac:dyDescent="0.25">
      <c r="A2273" s="8" t="s">
        <v>5</v>
      </c>
      <c r="B2273" s="8" t="s">
        <v>42</v>
      </c>
      <c r="C2273" s="8" t="str">
        <f>IFERROR(_xlfn.XLOOKUP(TRIM(B2273),Lookup!$B$2:$B$1000,Lookup!$C$2:$C$1000),"")</f>
        <v>Equity</v>
      </c>
      <c r="D2273" s="8" t="s">
        <v>43</v>
      </c>
      <c r="E2273" s="9">
        <v>46080</v>
      </c>
      <c r="F2273" s="8">
        <v>45.958100000000002</v>
      </c>
    </row>
    <row r="2274" spans="1:6" ht="60" x14ac:dyDescent="0.25">
      <c r="A2274" s="8" t="s">
        <v>5</v>
      </c>
      <c r="B2274" s="8" t="s">
        <v>42</v>
      </c>
      <c r="C2274" s="8" t="str">
        <f>IFERROR(_xlfn.XLOOKUP(TRIM(B2274),Lookup!$B$2:$B$1000,Lookup!$C$2:$C$1000),"")</f>
        <v>Equity</v>
      </c>
      <c r="D2274" s="8" t="s">
        <v>43</v>
      </c>
      <c r="E2274" s="9">
        <v>46083</v>
      </c>
      <c r="F2274" s="8">
        <v>45.317100000000003</v>
      </c>
    </row>
    <row r="2275" spans="1:6" ht="60" x14ac:dyDescent="0.25">
      <c r="A2275" s="8" t="s">
        <v>5</v>
      </c>
      <c r="B2275" s="8" t="s">
        <v>42</v>
      </c>
      <c r="C2275" s="8" t="str">
        <f>IFERROR(_xlfn.XLOOKUP(TRIM(B2275),Lookup!$B$2:$B$1000,Lookup!$C$2:$C$1000),"")</f>
        <v>Equity</v>
      </c>
      <c r="D2275" s="8" t="s">
        <v>43</v>
      </c>
      <c r="E2275" s="9">
        <v>46085</v>
      </c>
      <c r="F2275" s="8">
        <v>44.535899999999998</v>
      </c>
    </row>
    <row r="2276" spans="1:6" ht="60" x14ac:dyDescent="0.25">
      <c r="A2276" s="8" t="s">
        <v>5</v>
      </c>
      <c r="B2276" s="8" t="s">
        <v>42</v>
      </c>
      <c r="C2276" s="8" t="str">
        <f>IFERROR(_xlfn.XLOOKUP(TRIM(B2276),Lookup!$B$2:$B$1000,Lookup!$C$2:$C$1000),"")</f>
        <v>Equity</v>
      </c>
      <c r="D2276" s="8" t="s">
        <v>43</v>
      </c>
      <c r="E2276" s="9">
        <v>46086</v>
      </c>
      <c r="F2276" s="8">
        <v>45.0792</v>
      </c>
    </row>
    <row r="2277" spans="1:6" ht="60" x14ac:dyDescent="0.25">
      <c r="A2277" s="8" t="s">
        <v>5</v>
      </c>
      <c r="B2277" s="8" t="s">
        <v>42</v>
      </c>
      <c r="C2277" s="8" t="str">
        <f>IFERROR(_xlfn.XLOOKUP(TRIM(B2277),Lookup!$B$2:$B$1000,Lookup!$C$2:$C$1000),"")</f>
        <v>Equity</v>
      </c>
      <c r="D2277" s="8" t="s">
        <v>43</v>
      </c>
      <c r="E2277" s="9">
        <v>46087</v>
      </c>
      <c r="F2277" s="8">
        <v>44.561399999999999</v>
      </c>
    </row>
    <row r="2278" spans="1:6" ht="60" x14ac:dyDescent="0.25">
      <c r="A2278" s="8" t="s">
        <v>5</v>
      </c>
      <c r="B2278" s="8" t="s">
        <v>42</v>
      </c>
      <c r="C2278" s="8" t="str">
        <f>IFERROR(_xlfn.XLOOKUP(TRIM(B2278),Lookup!$B$2:$B$1000,Lookup!$C$2:$C$1000),"")</f>
        <v>Equity</v>
      </c>
      <c r="D2278" s="8" t="s">
        <v>43</v>
      </c>
      <c r="E2278" s="9">
        <v>46090</v>
      </c>
      <c r="F2278" s="8">
        <v>43.775399999999998</v>
      </c>
    </row>
    <row r="2279" spans="1:6" ht="60" x14ac:dyDescent="0.25">
      <c r="A2279" s="8" t="s">
        <v>5</v>
      </c>
      <c r="B2279" s="8" t="s">
        <v>42</v>
      </c>
      <c r="C2279" s="8" t="str">
        <f>IFERROR(_xlfn.XLOOKUP(TRIM(B2279),Lookup!$B$2:$B$1000,Lookup!$C$2:$C$1000),"")</f>
        <v>Equity</v>
      </c>
      <c r="D2279" s="8" t="s">
        <v>43</v>
      </c>
      <c r="E2279" s="9">
        <v>46091</v>
      </c>
      <c r="F2279" s="8">
        <v>44.181100000000001</v>
      </c>
    </row>
    <row r="2280" spans="1:6" ht="60" x14ac:dyDescent="0.25">
      <c r="A2280" s="8" t="s">
        <v>5</v>
      </c>
      <c r="B2280" s="8" t="s">
        <v>42</v>
      </c>
      <c r="C2280" s="8" t="str">
        <f>IFERROR(_xlfn.XLOOKUP(TRIM(B2280),Lookup!$B$2:$B$1000,Lookup!$C$2:$C$1000),"")</f>
        <v>Equity</v>
      </c>
      <c r="D2280" s="8" t="s">
        <v>43</v>
      </c>
      <c r="E2280" s="9">
        <v>46092</v>
      </c>
      <c r="F2280" s="8">
        <v>43.443300000000001</v>
      </c>
    </row>
    <row r="2281" spans="1:6" ht="60" x14ac:dyDescent="0.25">
      <c r="A2281" s="8" t="s">
        <v>5</v>
      </c>
      <c r="B2281" s="8" t="s">
        <v>42</v>
      </c>
      <c r="C2281" s="8" t="str">
        <f>IFERROR(_xlfn.XLOOKUP(TRIM(B2281),Lookup!$B$2:$B$1000,Lookup!$C$2:$C$1000),"")</f>
        <v>Equity</v>
      </c>
      <c r="D2281" s="8" t="s">
        <v>43</v>
      </c>
      <c r="E2281" s="9">
        <v>46093</v>
      </c>
      <c r="F2281" s="8">
        <v>42.999600000000001</v>
      </c>
    </row>
    <row r="2282" spans="1:6" ht="60" x14ac:dyDescent="0.25">
      <c r="A2282" s="8" t="s">
        <v>5</v>
      </c>
      <c r="B2282" s="8" t="s">
        <v>42</v>
      </c>
      <c r="C2282" s="8" t="str">
        <f>IFERROR(_xlfn.XLOOKUP(TRIM(B2282),Lookup!$B$2:$B$1000,Lookup!$C$2:$C$1000),"")</f>
        <v>Equity</v>
      </c>
      <c r="D2282" s="8" t="s">
        <v>43</v>
      </c>
      <c r="E2282" s="9">
        <v>46094</v>
      </c>
      <c r="F2282" s="8">
        <v>42.063099999999999</v>
      </c>
    </row>
    <row r="2283" spans="1:6" ht="60" x14ac:dyDescent="0.25">
      <c r="A2283" s="8" t="s">
        <v>5</v>
      </c>
      <c r="B2283" s="8" t="s">
        <v>42</v>
      </c>
      <c r="C2283" s="8" t="str">
        <f>IFERROR(_xlfn.XLOOKUP(TRIM(B2283),Lookup!$B$2:$B$1000,Lookup!$C$2:$C$1000),"")</f>
        <v>Equity</v>
      </c>
      <c r="D2283" s="8" t="s">
        <v>43</v>
      </c>
      <c r="E2283" s="9">
        <v>46097</v>
      </c>
      <c r="F2283" s="8">
        <v>42.35</v>
      </c>
    </row>
    <row r="2284" spans="1:6" ht="60" x14ac:dyDescent="0.25">
      <c r="A2284" s="8" t="s">
        <v>5</v>
      </c>
      <c r="B2284" s="8" t="s">
        <v>42</v>
      </c>
      <c r="C2284" s="8" t="str">
        <f>IFERROR(_xlfn.XLOOKUP(TRIM(B2284),Lookup!$B$2:$B$1000,Lookup!$C$2:$C$1000),"")</f>
        <v>Equity</v>
      </c>
      <c r="D2284" s="8" t="s">
        <v>43</v>
      </c>
      <c r="E2284" s="9">
        <v>46098</v>
      </c>
      <c r="F2284" s="8">
        <v>42.649500000000003</v>
      </c>
    </row>
    <row r="2285" spans="1:6" ht="60" x14ac:dyDescent="0.25">
      <c r="A2285" s="8" t="s">
        <v>5</v>
      </c>
      <c r="B2285" s="8" t="s">
        <v>42</v>
      </c>
      <c r="C2285" s="8" t="str">
        <f>IFERROR(_xlfn.XLOOKUP(TRIM(B2285),Lookup!$B$2:$B$1000,Lookup!$C$2:$C$1000),"")</f>
        <v>Equity</v>
      </c>
      <c r="D2285" s="8" t="s">
        <v>43</v>
      </c>
      <c r="E2285" s="9">
        <v>46099</v>
      </c>
      <c r="F2285" s="8">
        <v>43.118499999999997</v>
      </c>
    </row>
    <row r="2286" spans="1:6" ht="60" x14ac:dyDescent="0.25">
      <c r="A2286" s="8" t="s">
        <v>5</v>
      </c>
      <c r="B2286" s="8" t="s">
        <v>42</v>
      </c>
      <c r="C2286" s="8" t="str">
        <f>IFERROR(_xlfn.XLOOKUP(TRIM(B2286),Lookup!$B$2:$B$1000,Lookup!$C$2:$C$1000),"")</f>
        <v>Equity</v>
      </c>
      <c r="D2286" s="8" t="s">
        <v>43</v>
      </c>
      <c r="E2286" s="9">
        <v>46100</v>
      </c>
      <c r="F2286" s="8">
        <v>41.746299999999998</v>
      </c>
    </row>
    <row r="2287" spans="1:6" ht="60" x14ac:dyDescent="0.25">
      <c r="A2287" s="8" t="s">
        <v>5</v>
      </c>
      <c r="B2287" s="8" t="s">
        <v>42</v>
      </c>
      <c r="C2287" s="8" t="str">
        <f>IFERROR(_xlfn.XLOOKUP(TRIM(B2287),Lookup!$B$2:$B$1000,Lookup!$C$2:$C$1000),"")</f>
        <v>Equity</v>
      </c>
      <c r="D2287" s="8" t="s">
        <v>43</v>
      </c>
      <c r="E2287" s="9">
        <v>46101</v>
      </c>
      <c r="F2287" s="8">
        <v>41.943600000000004</v>
      </c>
    </row>
    <row r="2288" spans="1:6" ht="60" x14ac:dyDescent="0.25">
      <c r="A2288" s="8" t="s">
        <v>5</v>
      </c>
      <c r="B2288" s="8" t="s">
        <v>42</v>
      </c>
      <c r="C2288" s="8" t="str">
        <f>IFERROR(_xlfn.XLOOKUP(TRIM(B2288),Lookup!$B$2:$B$1000,Lookup!$C$2:$C$1000),"")</f>
        <v>Equity</v>
      </c>
      <c r="D2288" s="8" t="s">
        <v>43</v>
      </c>
      <c r="E2288" s="9">
        <v>46104</v>
      </c>
      <c r="F2288" s="8">
        <v>40.826599999999999</v>
      </c>
    </row>
    <row r="2289" spans="1:6" ht="60" x14ac:dyDescent="0.25">
      <c r="A2289" s="8" t="s">
        <v>5</v>
      </c>
      <c r="B2289" s="8" t="s">
        <v>42</v>
      </c>
      <c r="C2289" s="8" t="str">
        <f>IFERROR(_xlfn.XLOOKUP(TRIM(B2289),Lookup!$B$2:$B$1000,Lookup!$C$2:$C$1000),"")</f>
        <v>Equity</v>
      </c>
      <c r="D2289" s="8" t="s">
        <v>43</v>
      </c>
      <c r="E2289" s="9">
        <v>46105</v>
      </c>
      <c r="F2289" s="8">
        <v>41.590400000000002</v>
      </c>
    </row>
    <row r="2290" spans="1:6" ht="60" x14ac:dyDescent="0.25">
      <c r="A2290" s="8" t="s">
        <v>5</v>
      </c>
      <c r="B2290" s="8" t="s">
        <v>42</v>
      </c>
      <c r="C2290" s="8" t="str">
        <f>IFERROR(_xlfn.XLOOKUP(TRIM(B2290),Lookup!$B$2:$B$1000,Lookup!$C$2:$C$1000),"")</f>
        <v>Equity</v>
      </c>
      <c r="D2290" s="8" t="s">
        <v>43</v>
      </c>
      <c r="E2290" s="9">
        <v>46106</v>
      </c>
      <c r="F2290" s="8">
        <v>42.386299999999999</v>
      </c>
    </row>
    <row r="2291" spans="1:6" ht="60" x14ac:dyDescent="0.25">
      <c r="A2291" s="8" t="s">
        <v>5</v>
      </c>
      <c r="B2291" s="8" t="s">
        <v>42</v>
      </c>
      <c r="C2291" s="8" t="str">
        <f>IFERROR(_xlfn.XLOOKUP(TRIM(B2291),Lookup!$B$2:$B$1000,Lookup!$C$2:$C$1000),"")</f>
        <v>Equity</v>
      </c>
      <c r="D2291" s="8" t="s">
        <v>43</v>
      </c>
      <c r="E2291" s="9">
        <v>46108</v>
      </c>
      <c r="F2291" s="8">
        <v>41.529400000000003</v>
      </c>
    </row>
    <row r="2292" spans="1:6" ht="60" x14ac:dyDescent="0.25">
      <c r="A2292" s="8" t="s">
        <v>5</v>
      </c>
      <c r="B2292" s="8" t="s">
        <v>42</v>
      </c>
      <c r="C2292" s="8" t="str">
        <f>IFERROR(_xlfn.XLOOKUP(TRIM(B2292),Lookup!$B$2:$B$1000,Lookup!$C$2:$C$1000),"")</f>
        <v>Equity</v>
      </c>
      <c r="D2292" s="8" t="s">
        <v>43</v>
      </c>
      <c r="E2292" s="9">
        <v>46111</v>
      </c>
      <c r="F2292" s="8">
        <v>40.583799999999997</v>
      </c>
    </row>
    <row r="2293" spans="1:6" ht="60" x14ac:dyDescent="0.25">
      <c r="A2293" s="8" t="s">
        <v>5</v>
      </c>
      <c r="B2293" s="8" t="s">
        <v>42</v>
      </c>
      <c r="C2293" s="8" t="str">
        <f>IFERROR(_xlfn.XLOOKUP(TRIM(B2293),Lookup!$B$2:$B$1000,Lookup!$C$2:$C$1000),"")</f>
        <v>Equity</v>
      </c>
      <c r="D2293" s="8" t="s">
        <v>43</v>
      </c>
      <c r="E2293" s="9">
        <v>46113</v>
      </c>
      <c r="F2293" s="8">
        <v>41.315399999999997</v>
      </c>
    </row>
    <row r="2294" spans="1:6" ht="60" x14ac:dyDescent="0.25">
      <c r="A2294" s="8" t="s">
        <v>5</v>
      </c>
      <c r="B2294" s="8" t="s">
        <v>42</v>
      </c>
      <c r="C2294" s="8" t="str">
        <f>IFERROR(_xlfn.XLOOKUP(TRIM(B2294),Lookup!$B$2:$B$1000,Lookup!$C$2:$C$1000),"")</f>
        <v>Equity</v>
      </c>
      <c r="D2294" s="8" t="s">
        <v>43</v>
      </c>
      <c r="E2294" s="9">
        <v>46114</v>
      </c>
      <c r="F2294" s="8">
        <v>41.361699999999999</v>
      </c>
    </row>
    <row r="2295" spans="1:6" ht="60" x14ac:dyDescent="0.25">
      <c r="A2295" s="8" t="s">
        <v>5</v>
      </c>
      <c r="B2295" s="8" t="s">
        <v>42</v>
      </c>
      <c r="C2295" s="8" t="str">
        <f>IFERROR(_xlfn.XLOOKUP(TRIM(B2295),Lookup!$B$2:$B$1000,Lookup!$C$2:$C$1000),"")</f>
        <v>Equity</v>
      </c>
      <c r="D2295" s="8" t="s">
        <v>43</v>
      </c>
      <c r="E2295" s="9">
        <v>46118</v>
      </c>
      <c r="F2295" s="8">
        <v>41.870199999999997</v>
      </c>
    </row>
    <row r="2296" spans="1:6" ht="60" x14ac:dyDescent="0.25">
      <c r="A2296" s="8" t="s">
        <v>5</v>
      </c>
      <c r="B2296" s="8" t="s">
        <v>42</v>
      </c>
      <c r="C2296" s="8" t="str">
        <f>IFERROR(_xlfn.XLOOKUP(TRIM(B2296),Lookup!$B$2:$B$1000,Lookup!$C$2:$C$1000),"")</f>
        <v>Equity</v>
      </c>
      <c r="D2296" s="8" t="s">
        <v>43</v>
      </c>
      <c r="E2296" s="9">
        <v>46119</v>
      </c>
      <c r="F2296" s="8">
        <v>42.080800000000004</v>
      </c>
    </row>
    <row r="2297" spans="1:6" ht="60" x14ac:dyDescent="0.25">
      <c r="A2297" s="8" t="s">
        <v>5</v>
      </c>
      <c r="B2297" s="8" t="s">
        <v>42</v>
      </c>
      <c r="C2297" s="8" t="str">
        <f>IFERROR(_xlfn.XLOOKUP(TRIM(B2297),Lookup!$B$2:$B$1000,Lookup!$C$2:$C$1000),"")</f>
        <v>Equity</v>
      </c>
      <c r="D2297" s="8" t="s">
        <v>43</v>
      </c>
      <c r="E2297" s="9">
        <v>46120</v>
      </c>
      <c r="F2297" s="8">
        <v>43.782299999999999</v>
      </c>
    </row>
    <row r="2298" spans="1:6" ht="60" x14ac:dyDescent="0.25">
      <c r="A2298" s="8" t="s">
        <v>5</v>
      </c>
      <c r="B2298" s="8" t="s">
        <v>42</v>
      </c>
      <c r="C2298" s="8" t="str">
        <f>IFERROR(_xlfn.XLOOKUP(TRIM(B2298),Lookup!$B$2:$B$1000,Lookup!$C$2:$C$1000),"")</f>
        <v>Equity</v>
      </c>
      <c r="D2298" s="8" t="s">
        <v>43</v>
      </c>
      <c r="E2298" s="9">
        <v>46121</v>
      </c>
      <c r="F2298" s="8">
        <v>43.388599999999997</v>
      </c>
    </row>
    <row r="2299" spans="1:6" ht="60" x14ac:dyDescent="0.25">
      <c r="A2299" s="8" t="s">
        <v>5</v>
      </c>
      <c r="B2299" s="8" t="s">
        <v>42</v>
      </c>
      <c r="C2299" s="8" t="str">
        <f>IFERROR(_xlfn.XLOOKUP(TRIM(B2299),Lookup!$B$2:$B$1000,Lookup!$C$2:$C$1000),"")</f>
        <v>Equity</v>
      </c>
      <c r="D2299" s="8" t="s">
        <v>43</v>
      </c>
      <c r="E2299" s="9">
        <v>46122</v>
      </c>
      <c r="F2299" s="8">
        <v>43.911999999999999</v>
      </c>
    </row>
    <row r="2300" spans="1:6" ht="60" x14ac:dyDescent="0.25">
      <c r="A2300" s="8" t="s">
        <v>5</v>
      </c>
      <c r="B2300" s="8" t="s">
        <v>42</v>
      </c>
      <c r="C2300" s="8" t="str">
        <f>IFERROR(_xlfn.XLOOKUP(TRIM(B2300),Lookup!$B$2:$B$1000,Lookup!$C$2:$C$1000),"")</f>
        <v>Equity</v>
      </c>
      <c r="D2300" s="8" t="s">
        <v>43</v>
      </c>
      <c r="E2300" s="9">
        <v>46125</v>
      </c>
      <c r="F2300" s="8">
        <v>43.4497</v>
      </c>
    </row>
    <row r="2301" spans="1:6" ht="60" x14ac:dyDescent="0.25">
      <c r="A2301" s="8" t="s">
        <v>5</v>
      </c>
      <c r="B2301" s="8" t="s">
        <v>42</v>
      </c>
      <c r="C2301" s="8" t="str">
        <f>IFERROR(_xlfn.XLOOKUP(TRIM(B2301),Lookup!$B$2:$B$1000,Lookup!$C$2:$C$1000),"")</f>
        <v>Equity</v>
      </c>
      <c r="D2301" s="8" t="s">
        <v>43</v>
      </c>
      <c r="E2301" s="9">
        <v>46127</v>
      </c>
      <c r="F2301" s="8">
        <v>44.185400000000001</v>
      </c>
    </row>
    <row r="2302" spans="1:6" ht="60" x14ac:dyDescent="0.25">
      <c r="A2302" s="8" t="s">
        <v>5</v>
      </c>
      <c r="B2302" s="8" t="s">
        <v>42</v>
      </c>
      <c r="C2302" s="8" t="str">
        <f>IFERROR(_xlfn.XLOOKUP(TRIM(B2302),Lookup!$B$2:$B$1000,Lookup!$C$2:$C$1000),"")</f>
        <v>Equity</v>
      </c>
      <c r="D2302" s="8" t="s">
        <v>43</v>
      </c>
      <c r="E2302" s="9">
        <v>46128</v>
      </c>
      <c r="F2302" s="8">
        <v>44.134</v>
      </c>
    </row>
    <row r="2303" spans="1:6" ht="60" x14ac:dyDescent="0.25">
      <c r="A2303" s="8" t="s">
        <v>5</v>
      </c>
      <c r="B2303" s="8" t="s">
        <v>42</v>
      </c>
      <c r="C2303" s="8" t="str">
        <f>IFERROR(_xlfn.XLOOKUP(TRIM(B2303),Lookup!$B$2:$B$1000,Lookup!$C$2:$C$1000),"")</f>
        <v>Equity</v>
      </c>
      <c r="D2303" s="8" t="s">
        <v>43</v>
      </c>
      <c r="E2303" s="9">
        <v>46129</v>
      </c>
      <c r="F2303" s="8">
        <v>44.422199999999997</v>
      </c>
    </row>
    <row r="2304" spans="1:6" ht="60" x14ac:dyDescent="0.25">
      <c r="A2304" s="8" t="s">
        <v>5</v>
      </c>
      <c r="B2304" s="8" t="s">
        <v>42</v>
      </c>
      <c r="C2304" s="8" t="str">
        <f>IFERROR(_xlfn.XLOOKUP(TRIM(B2304),Lookup!$B$2:$B$1000,Lookup!$C$2:$C$1000),"")</f>
        <v>Equity</v>
      </c>
      <c r="D2304" s="8" t="s">
        <v>43</v>
      </c>
      <c r="E2304" s="9">
        <v>46132</v>
      </c>
      <c r="F2304" s="8">
        <v>44.384799999999998</v>
      </c>
    </row>
    <row r="2305" spans="1:6" ht="60" x14ac:dyDescent="0.25">
      <c r="A2305" s="8" t="s">
        <v>5</v>
      </c>
      <c r="B2305" s="8" t="s">
        <v>42</v>
      </c>
      <c r="C2305" s="8" t="str">
        <f>IFERROR(_xlfn.XLOOKUP(TRIM(B2305),Lookup!$B$2:$B$1000,Lookup!$C$2:$C$1000),"")</f>
        <v>Equity</v>
      </c>
      <c r="D2305" s="8" t="s">
        <v>43</v>
      </c>
      <c r="E2305" s="9">
        <v>46133</v>
      </c>
      <c r="F2305" s="8">
        <v>44.8033</v>
      </c>
    </row>
    <row r="2306" spans="1:6" ht="60" x14ac:dyDescent="0.25">
      <c r="A2306" s="8" t="s">
        <v>5</v>
      </c>
      <c r="B2306" s="8" t="s">
        <v>42</v>
      </c>
      <c r="C2306" s="8" t="str">
        <f>IFERROR(_xlfn.XLOOKUP(TRIM(B2306),Lookup!$B$2:$B$1000,Lookup!$C$2:$C$1000),"")</f>
        <v>Equity</v>
      </c>
      <c r="D2306" s="8" t="s">
        <v>43</v>
      </c>
      <c r="E2306" s="9">
        <v>46134</v>
      </c>
      <c r="F2306" s="8">
        <v>44.491100000000003</v>
      </c>
    </row>
    <row r="2307" spans="1:6" ht="60" x14ac:dyDescent="0.25">
      <c r="A2307" s="8" t="s">
        <v>5</v>
      </c>
      <c r="B2307" s="8" t="s">
        <v>42</v>
      </c>
      <c r="C2307" s="8" t="str">
        <f>IFERROR(_xlfn.XLOOKUP(TRIM(B2307),Lookup!$B$2:$B$1000,Lookup!$C$2:$C$1000),"")</f>
        <v>Equity</v>
      </c>
      <c r="D2307" s="8" t="s">
        <v>43</v>
      </c>
      <c r="E2307" s="9">
        <v>46135</v>
      </c>
      <c r="F2307" s="8">
        <v>44.121000000000002</v>
      </c>
    </row>
    <row r="2308" spans="1:6" ht="60" x14ac:dyDescent="0.25">
      <c r="A2308" s="8" t="s">
        <v>5</v>
      </c>
      <c r="B2308" s="8" t="s">
        <v>42</v>
      </c>
      <c r="C2308" s="8" t="str">
        <f>IFERROR(_xlfn.XLOOKUP(TRIM(B2308),Lookup!$B$2:$B$1000,Lookup!$C$2:$C$1000),"")</f>
        <v>Equity</v>
      </c>
      <c r="D2308" s="8" t="s">
        <v>43</v>
      </c>
      <c r="E2308" s="9">
        <v>46136</v>
      </c>
      <c r="F2308" s="8">
        <v>43.656599999999997</v>
      </c>
    </row>
    <row r="2309" spans="1:6" ht="60" x14ac:dyDescent="0.25">
      <c r="A2309" s="8" t="s">
        <v>5</v>
      </c>
      <c r="B2309" s="8" t="s">
        <v>42</v>
      </c>
      <c r="C2309" s="8" t="str">
        <f>IFERROR(_xlfn.XLOOKUP(TRIM(B2309),Lookup!$B$2:$B$1000,Lookup!$C$2:$C$1000),"")</f>
        <v>Equity</v>
      </c>
      <c r="D2309" s="8" t="s">
        <v>43</v>
      </c>
      <c r="E2309" s="9">
        <v>46139</v>
      </c>
      <c r="F2309" s="8">
        <v>44.0456</v>
      </c>
    </row>
    <row r="2310" spans="1:6" ht="60" x14ac:dyDescent="0.25">
      <c r="A2310" s="8" t="s">
        <v>5</v>
      </c>
      <c r="B2310" s="8" t="s">
        <v>42</v>
      </c>
      <c r="C2310" s="8" t="str">
        <f>IFERROR(_xlfn.XLOOKUP(TRIM(B2310),Lookup!$B$2:$B$1000,Lookup!$C$2:$C$1000),"")</f>
        <v>Equity</v>
      </c>
      <c r="D2310" s="8" t="s">
        <v>43</v>
      </c>
      <c r="E2310" s="9">
        <v>46140</v>
      </c>
      <c r="F2310" s="8">
        <v>43.845500000000001</v>
      </c>
    </row>
    <row r="2311" spans="1:6" ht="60" x14ac:dyDescent="0.25">
      <c r="A2311" s="8" t="s">
        <v>5</v>
      </c>
      <c r="B2311" s="8" t="s">
        <v>42</v>
      </c>
      <c r="C2311" s="8" t="str">
        <f>IFERROR(_xlfn.XLOOKUP(TRIM(B2311),Lookup!$B$2:$B$1000,Lookup!$C$2:$C$1000),"")</f>
        <v>Equity</v>
      </c>
      <c r="D2311" s="8" t="s">
        <v>43</v>
      </c>
      <c r="E2311" s="9">
        <v>46141</v>
      </c>
      <c r="F2311" s="8">
        <v>44.197000000000003</v>
      </c>
    </row>
    <row r="2312" spans="1:6" ht="60" x14ac:dyDescent="0.25">
      <c r="A2312" s="8" t="s">
        <v>5</v>
      </c>
      <c r="B2312" s="8" t="s">
        <v>42</v>
      </c>
      <c r="C2312" s="8" t="str">
        <f>IFERROR(_xlfn.XLOOKUP(TRIM(B2312),Lookup!$B$2:$B$1000,Lookup!$C$2:$C$1000),"")</f>
        <v>Equity</v>
      </c>
      <c r="D2312" s="8" t="s">
        <v>43</v>
      </c>
      <c r="E2312" s="9">
        <v>46142</v>
      </c>
      <c r="F2312" s="8">
        <v>43.866999999999997</v>
      </c>
    </row>
    <row r="2313" spans="1:6" ht="60" x14ac:dyDescent="0.25">
      <c r="A2313" s="8" t="s">
        <v>5</v>
      </c>
      <c r="B2313" s="8" t="s">
        <v>42</v>
      </c>
      <c r="C2313" s="8" t="str">
        <f>IFERROR(_xlfn.XLOOKUP(TRIM(B2313),Lookup!$B$2:$B$1000,Lookup!$C$2:$C$1000),"")</f>
        <v>Equity</v>
      </c>
      <c r="D2313" s="8" t="s">
        <v>43</v>
      </c>
      <c r="E2313" s="9">
        <v>46146</v>
      </c>
      <c r="F2313" s="8">
        <v>44.057699999999997</v>
      </c>
    </row>
    <row r="2314" spans="1:6" ht="60" x14ac:dyDescent="0.25">
      <c r="A2314" s="8" t="s">
        <v>5</v>
      </c>
      <c r="B2314" s="8" t="s">
        <v>42</v>
      </c>
      <c r="C2314" s="8" t="str">
        <f>IFERROR(_xlfn.XLOOKUP(TRIM(B2314),Lookup!$B$2:$B$1000,Lookup!$C$2:$C$1000),"")</f>
        <v>Equity</v>
      </c>
      <c r="D2314" s="8" t="s">
        <v>43</v>
      </c>
      <c r="E2314" s="9">
        <v>46147</v>
      </c>
      <c r="F2314" s="8">
        <v>43.9788</v>
      </c>
    </row>
    <row r="2315" spans="1:6" ht="60" x14ac:dyDescent="0.25">
      <c r="A2315" s="8" t="s">
        <v>5</v>
      </c>
      <c r="B2315" s="8" t="s">
        <v>42</v>
      </c>
      <c r="C2315" s="8" t="str">
        <f>IFERROR(_xlfn.XLOOKUP(TRIM(B2315),Lookup!$B$2:$B$1000,Lookup!$C$2:$C$1000),"")</f>
        <v>Equity</v>
      </c>
      <c r="D2315" s="8" t="s">
        <v>43</v>
      </c>
      <c r="E2315" s="9">
        <v>46148</v>
      </c>
      <c r="F2315" s="8">
        <v>44.5336</v>
      </c>
    </row>
    <row r="2316" spans="1:6" ht="60" x14ac:dyDescent="0.25">
      <c r="A2316" s="8" t="s">
        <v>5</v>
      </c>
      <c r="B2316" s="8" t="s">
        <v>42</v>
      </c>
      <c r="C2316" s="8" t="str">
        <f>IFERROR(_xlfn.XLOOKUP(TRIM(B2316),Lookup!$B$2:$B$1000,Lookup!$C$2:$C$1000),"")</f>
        <v>Equity</v>
      </c>
      <c r="D2316" s="8" t="s">
        <v>43</v>
      </c>
      <c r="E2316" s="9">
        <v>46149</v>
      </c>
      <c r="F2316" s="8">
        <v>44.5747</v>
      </c>
    </row>
    <row r="2317" spans="1:6" ht="60" x14ac:dyDescent="0.25">
      <c r="A2317" s="8" t="s">
        <v>5</v>
      </c>
      <c r="B2317" s="8" t="s">
        <v>42</v>
      </c>
      <c r="C2317" s="8" t="str">
        <f>IFERROR(_xlfn.XLOOKUP(TRIM(B2317),Lookup!$B$2:$B$1000,Lookup!$C$2:$C$1000),"")</f>
        <v>Equity</v>
      </c>
      <c r="D2317" s="8" t="s">
        <v>43</v>
      </c>
      <c r="E2317" s="9">
        <v>46150</v>
      </c>
      <c r="F2317" s="8">
        <v>44.382599999999996</v>
      </c>
    </row>
    <row r="2318" spans="1:6" ht="60" x14ac:dyDescent="0.25">
      <c r="A2318" s="8" t="s">
        <v>5</v>
      </c>
      <c r="B2318" s="8" t="s">
        <v>42</v>
      </c>
      <c r="C2318" s="8" t="str">
        <f>IFERROR(_xlfn.XLOOKUP(TRIM(B2318),Lookup!$B$2:$B$1000,Lookup!$C$2:$C$1000),"")</f>
        <v>Equity</v>
      </c>
      <c r="D2318" s="8" t="s">
        <v>43</v>
      </c>
      <c r="E2318" s="9">
        <v>46153</v>
      </c>
      <c r="F2318" s="8">
        <v>43.648499999999999</v>
      </c>
    </row>
    <row r="2319" spans="1:6" ht="60" x14ac:dyDescent="0.25">
      <c r="A2319" s="8" t="s">
        <v>5</v>
      </c>
      <c r="B2319" s="8" t="s">
        <v>42</v>
      </c>
      <c r="C2319" s="8" t="str">
        <f>IFERROR(_xlfn.XLOOKUP(TRIM(B2319),Lookup!$B$2:$B$1000,Lookup!$C$2:$C$1000),"")</f>
        <v>Equity</v>
      </c>
      <c r="D2319" s="8" t="s">
        <v>43</v>
      </c>
      <c r="E2319" s="9">
        <v>46154</v>
      </c>
      <c r="F2319" s="8">
        <v>42.850200000000001</v>
      </c>
    </row>
    <row r="2320" spans="1:6" ht="60" x14ac:dyDescent="0.25">
      <c r="A2320" s="8" t="s">
        <v>5</v>
      </c>
      <c r="B2320" s="8" t="s">
        <v>42</v>
      </c>
      <c r="C2320" s="8" t="str">
        <f>IFERROR(_xlfn.XLOOKUP(TRIM(B2320),Lookup!$B$2:$B$1000,Lookup!$C$2:$C$1000),"")</f>
        <v>Equity</v>
      </c>
      <c r="D2320" s="8" t="s">
        <v>43</v>
      </c>
      <c r="E2320" s="9">
        <v>46155</v>
      </c>
      <c r="F2320" s="8">
        <v>42.908000000000001</v>
      </c>
    </row>
    <row r="2321" spans="1:6" ht="60" x14ac:dyDescent="0.25">
      <c r="A2321" s="8" t="s">
        <v>5</v>
      </c>
      <c r="B2321" s="8" t="s">
        <v>42</v>
      </c>
      <c r="C2321" s="8" t="str">
        <f>IFERROR(_xlfn.XLOOKUP(TRIM(B2321),Lookup!$B$2:$B$1000,Lookup!$C$2:$C$1000),"")</f>
        <v>Equity</v>
      </c>
      <c r="D2321" s="8" t="s">
        <v>43</v>
      </c>
      <c r="E2321" s="9">
        <v>46156</v>
      </c>
      <c r="F2321" s="8">
        <v>43.420299999999997</v>
      </c>
    </row>
    <row r="2322" spans="1:6" ht="60" x14ac:dyDescent="0.25">
      <c r="A2322" s="8" t="s">
        <v>5</v>
      </c>
      <c r="B2322" s="8" t="s">
        <v>42</v>
      </c>
      <c r="C2322" s="8" t="str">
        <f>IFERROR(_xlfn.XLOOKUP(TRIM(B2322),Lookup!$B$2:$B$1000,Lookup!$C$2:$C$1000),"")</f>
        <v>Equity</v>
      </c>
      <c r="D2322" s="8" t="s">
        <v>43</v>
      </c>
      <c r="E2322" s="9">
        <v>46157</v>
      </c>
      <c r="F2322" s="8">
        <v>43.338200000000001</v>
      </c>
    </row>
    <row r="2323" spans="1:6" ht="60" x14ac:dyDescent="0.25">
      <c r="A2323" s="8" t="s">
        <v>5</v>
      </c>
      <c r="B2323" s="8" t="s">
        <v>42</v>
      </c>
      <c r="C2323" s="8" t="str">
        <f>IFERROR(_xlfn.XLOOKUP(TRIM(B2323),Lookup!$B$2:$B$1000,Lookup!$C$2:$C$1000),"")</f>
        <v>Equity</v>
      </c>
      <c r="D2323" s="8" t="s">
        <v>43</v>
      </c>
      <c r="E2323" s="9">
        <v>46160</v>
      </c>
      <c r="F2323" s="8">
        <v>43.296100000000003</v>
      </c>
    </row>
    <row r="2324" spans="1:6" ht="60" x14ac:dyDescent="0.25">
      <c r="A2324" s="8" t="s">
        <v>5</v>
      </c>
      <c r="B2324" s="8" t="s">
        <v>42</v>
      </c>
      <c r="C2324" s="8" t="str">
        <f>IFERROR(_xlfn.XLOOKUP(TRIM(B2324),Lookup!$B$2:$B$1000,Lookup!$C$2:$C$1000),"")</f>
        <v>Equity</v>
      </c>
      <c r="D2324" s="8" t="s">
        <v>43</v>
      </c>
      <c r="E2324" s="9">
        <v>46161</v>
      </c>
      <c r="F2324" s="8">
        <v>43.2986</v>
      </c>
    </row>
    <row r="2325" spans="1:6" ht="60" x14ac:dyDescent="0.25">
      <c r="A2325" s="8" t="s">
        <v>5</v>
      </c>
      <c r="B2325" s="8" t="s">
        <v>42</v>
      </c>
      <c r="C2325" s="8" t="str">
        <f>IFERROR(_xlfn.XLOOKUP(TRIM(B2325),Lookup!$B$2:$B$1000,Lookup!$C$2:$C$1000),"")</f>
        <v>Equity</v>
      </c>
      <c r="D2325" s="8" t="s">
        <v>43</v>
      </c>
      <c r="E2325" s="9">
        <v>46162</v>
      </c>
      <c r="F2325" s="8">
        <v>43.376399999999997</v>
      </c>
    </row>
    <row r="2326" spans="1:6" ht="60" x14ac:dyDescent="0.25">
      <c r="A2326" s="8" t="s">
        <v>5</v>
      </c>
      <c r="B2326" s="8" t="s">
        <v>42</v>
      </c>
      <c r="C2326" s="8" t="str">
        <f>IFERROR(_xlfn.XLOOKUP(TRIM(B2326),Lookup!$B$2:$B$1000,Lookup!$C$2:$C$1000),"")</f>
        <v>Equity</v>
      </c>
      <c r="D2326" s="8" t="s">
        <v>43</v>
      </c>
      <c r="E2326" s="9">
        <v>46163</v>
      </c>
      <c r="F2326" s="8">
        <v>43.352200000000003</v>
      </c>
    </row>
    <row r="2327" spans="1:6" ht="60" x14ac:dyDescent="0.25">
      <c r="A2327" s="8" t="s">
        <v>5</v>
      </c>
      <c r="B2327" s="8" t="s">
        <v>42</v>
      </c>
      <c r="C2327" s="8" t="str">
        <f>IFERROR(_xlfn.XLOOKUP(TRIM(B2327),Lookup!$B$2:$B$1000,Lookup!$C$2:$C$1000),"")</f>
        <v>Equity</v>
      </c>
      <c r="D2327" s="8" t="s">
        <v>43</v>
      </c>
      <c r="E2327" s="9">
        <v>46164</v>
      </c>
      <c r="F2327" s="8">
        <v>43.523000000000003</v>
      </c>
    </row>
    <row r="2328" spans="1:6" ht="60" x14ac:dyDescent="0.25">
      <c r="A2328" s="8" t="s">
        <v>5</v>
      </c>
      <c r="B2328" s="8" t="s">
        <v>42</v>
      </c>
      <c r="C2328" s="8" t="str">
        <f>IFERROR(_xlfn.XLOOKUP(TRIM(B2328),Lookup!$B$2:$B$1000,Lookup!$C$2:$C$1000),"")</f>
        <v>Equity</v>
      </c>
      <c r="D2328" s="8" t="s">
        <v>43</v>
      </c>
      <c r="E2328" s="9">
        <v>46167</v>
      </c>
      <c r="F2328" s="8">
        <v>44.120600000000003</v>
      </c>
    </row>
    <row r="2329" spans="1:6" ht="60" x14ac:dyDescent="0.25">
      <c r="A2329" s="8" t="s">
        <v>5</v>
      </c>
      <c r="B2329" s="8" t="s">
        <v>42</v>
      </c>
      <c r="C2329" s="8" t="str">
        <f>IFERROR(_xlfn.XLOOKUP(TRIM(B2329),Lookup!$B$2:$B$1000,Lookup!$C$2:$C$1000),"")</f>
        <v>Equity</v>
      </c>
      <c r="D2329" s="8" t="s">
        <v>43</v>
      </c>
      <c r="E2329" s="9">
        <v>46168</v>
      </c>
      <c r="F2329" s="8">
        <v>43.933500000000002</v>
      </c>
    </row>
    <row r="2330" spans="1:6" ht="60" x14ac:dyDescent="0.25">
      <c r="A2330" s="8" t="s">
        <v>5</v>
      </c>
      <c r="B2330" s="8" t="s">
        <v>42</v>
      </c>
      <c r="C2330" s="8" t="str">
        <f>IFERROR(_xlfn.XLOOKUP(TRIM(B2330),Lookup!$B$2:$B$1000,Lookup!$C$2:$C$1000),"")</f>
        <v>Equity</v>
      </c>
      <c r="D2330" s="8" t="s">
        <v>43</v>
      </c>
      <c r="E2330" s="9">
        <v>46169</v>
      </c>
      <c r="F2330" s="8">
        <v>43.871899999999997</v>
      </c>
    </row>
    <row r="2331" spans="1:6" ht="60" x14ac:dyDescent="0.25">
      <c r="A2331" s="8" t="s">
        <v>5</v>
      </c>
      <c r="B2331" s="8" t="s">
        <v>42</v>
      </c>
      <c r="C2331" s="8" t="str">
        <f>IFERROR(_xlfn.XLOOKUP(TRIM(B2331),Lookup!$B$2:$B$1000,Lookup!$C$2:$C$1000),"")</f>
        <v>Equity</v>
      </c>
      <c r="D2331" s="8" t="s">
        <v>43</v>
      </c>
      <c r="E2331" s="9">
        <v>46171</v>
      </c>
      <c r="F2331" s="8">
        <v>43.288899999999998</v>
      </c>
    </row>
    <row r="2332" spans="1:6" ht="60" x14ac:dyDescent="0.25">
      <c r="A2332" s="8" t="s">
        <v>5</v>
      </c>
      <c r="B2332" s="8" t="s">
        <v>42</v>
      </c>
      <c r="C2332" s="8" t="str">
        <f>IFERROR(_xlfn.XLOOKUP(TRIM(B2332),Lookup!$B$2:$B$1000,Lookup!$C$2:$C$1000),"")</f>
        <v>Equity</v>
      </c>
      <c r="D2332" s="8" t="s">
        <v>43</v>
      </c>
      <c r="E2332" s="9">
        <v>46174</v>
      </c>
      <c r="F2332" s="8">
        <v>42.9574</v>
      </c>
    </row>
    <row r="2333" spans="1:6" ht="60" x14ac:dyDescent="0.25">
      <c r="A2333" s="8" t="s">
        <v>5</v>
      </c>
      <c r="B2333" s="8" t="s">
        <v>42</v>
      </c>
      <c r="C2333" s="8" t="str">
        <f>IFERROR(_xlfn.XLOOKUP(TRIM(B2333),Lookup!$B$2:$B$1000,Lookup!$C$2:$C$1000),"")</f>
        <v>Equity</v>
      </c>
      <c r="D2333" s="8" t="s">
        <v>43</v>
      </c>
      <c r="E2333" s="9">
        <v>46175</v>
      </c>
      <c r="F2333" s="8">
        <v>43.171399999999998</v>
      </c>
    </row>
    <row r="2334" spans="1:6" ht="60" x14ac:dyDescent="0.25">
      <c r="A2334" s="8" t="s">
        <v>5</v>
      </c>
      <c r="B2334" s="8" t="s">
        <v>42</v>
      </c>
      <c r="C2334" s="8" t="str">
        <f>IFERROR(_xlfn.XLOOKUP(TRIM(B2334),Lookup!$B$2:$B$1000,Lookup!$C$2:$C$1000),"")</f>
        <v>Equity</v>
      </c>
      <c r="D2334" s="8" t="s">
        <v>43</v>
      </c>
      <c r="E2334" s="9">
        <v>46176</v>
      </c>
      <c r="F2334" s="8">
        <v>43.034300000000002</v>
      </c>
    </row>
    <row r="2335" spans="1:6" ht="60" x14ac:dyDescent="0.25">
      <c r="A2335" s="8" t="s">
        <v>5</v>
      </c>
      <c r="B2335" s="8" t="s">
        <v>42</v>
      </c>
      <c r="C2335" s="8" t="str">
        <f>IFERROR(_xlfn.XLOOKUP(TRIM(B2335),Lookup!$B$2:$B$1000,Lookup!$C$2:$C$1000),"")</f>
        <v>Equity</v>
      </c>
      <c r="D2335" s="8" t="s">
        <v>43</v>
      </c>
      <c r="E2335" s="9">
        <v>46177</v>
      </c>
      <c r="F2335" s="8">
        <v>43.018999999999998</v>
      </c>
    </row>
    <row r="2336" spans="1:6" ht="60" x14ac:dyDescent="0.25">
      <c r="A2336" s="8" t="s">
        <v>5</v>
      </c>
      <c r="B2336" s="8" t="s">
        <v>42</v>
      </c>
      <c r="C2336" s="8" t="str">
        <f>IFERROR(_xlfn.XLOOKUP(TRIM(B2336),Lookup!$B$2:$B$1000,Lookup!$C$2:$C$1000),"")</f>
        <v>Equity</v>
      </c>
      <c r="D2336" s="8" t="s">
        <v>43</v>
      </c>
      <c r="E2336" s="9">
        <v>46178</v>
      </c>
      <c r="F2336" s="8">
        <v>42.987400000000001</v>
      </c>
    </row>
    <row r="2337" spans="1:6" ht="60" x14ac:dyDescent="0.25">
      <c r="A2337" s="8" t="s">
        <v>5</v>
      </c>
      <c r="B2337" s="8" t="s">
        <v>42</v>
      </c>
      <c r="C2337" s="8" t="str">
        <f>IFERROR(_xlfn.XLOOKUP(TRIM(B2337),Lookup!$B$2:$B$1000,Lookup!$C$2:$C$1000),"")</f>
        <v>Equity</v>
      </c>
      <c r="D2337" s="8" t="s">
        <v>43</v>
      </c>
      <c r="E2337" s="9">
        <v>46181</v>
      </c>
      <c r="F2337" s="8">
        <v>42.526899999999998</v>
      </c>
    </row>
    <row r="2338" spans="1:6" ht="60" x14ac:dyDescent="0.25">
      <c r="A2338" s="8" t="s">
        <v>5</v>
      </c>
      <c r="B2338" s="8" t="s">
        <v>42</v>
      </c>
      <c r="C2338" s="8" t="str">
        <f>IFERROR(_xlfn.XLOOKUP(TRIM(B2338),Lookup!$B$2:$B$1000,Lookup!$C$2:$C$1000),"")</f>
        <v>Equity</v>
      </c>
      <c r="D2338" s="8" t="s">
        <v>43</v>
      </c>
      <c r="E2338" s="9">
        <v>46182</v>
      </c>
      <c r="F2338" s="8">
        <v>42.777500000000003</v>
      </c>
    </row>
    <row r="2339" spans="1:6" ht="60" x14ac:dyDescent="0.25">
      <c r="A2339" s="8" t="s">
        <v>5</v>
      </c>
      <c r="B2339" s="8" t="s">
        <v>42</v>
      </c>
      <c r="C2339" s="8" t="str">
        <f>IFERROR(_xlfn.XLOOKUP(TRIM(B2339),Lookup!$B$2:$B$1000,Lookup!$C$2:$C$1000),"")</f>
        <v>Equity</v>
      </c>
      <c r="D2339" s="8" t="s">
        <v>43</v>
      </c>
      <c r="E2339" s="9">
        <v>46183</v>
      </c>
      <c r="F2339" s="8">
        <v>42.682699999999997</v>
      </c>
    </row>
    <row r="2340" spans="1:6" ht="60" x14ac:dyDescent="0.25">
      <c r="A2340" s="8" t="s">
        <v>5</v>
      </c>
      <c r="B2340" s="8" t="s">
        <v>42</v>
      </c>
      <c r="C2340" s="8" t="str">
        <f>IFERROR(_xlfn.XLOOKUP(TRIM(B2340),Lookup!$B$2:$B$1000,Lookup!$C$2:$C$1000),"")</f>
        <v>Equity</v>
      </c>
      <c r="D2340" s="8" t="s">
        <v>43</v>
      </c>
      <c r="E2340" s="9">
        <v>46184</v>
      </c>
      <c r="F2340" s="8">
        <v>42.5291</v>
      </c>
    </row>
    <row r="2341" spans="1:6" ht="60" x14ac:dyDescent="0.25">
      <c r="A2341" s="8" t="s">
        <v>5</v>
      </c>
      <c r="B2341" s="8" t="s">
        <v>42</v>
      </c>
      <c r="C2341" s="8" t="str">
        <f>IFERROR(_xlfn.XLOOKUP(TRIM(B2341),Lookup!$B$2:$B$1000,Lookup!$C$2:$C$1000),"")</f>
        <v>Equity</v>
      </c>
      <c r="D2341" s="8" t="s">
        <v>43</v>
      </c>
      <c r="E2341" s="9">
        <v>46185</v>
      </c>
      <c r="F2341" s="8">
        <v>43.499400000000001</v>
      </c>
    </row>
    <row r="2342" spans="1:6" ht="60" x14ac:dyDescent="0.25">
      <c r="A2342" s="8" t="s">
        <v>5</v>
      </c>
      <c r="B2342" s="8" t="s">
        <v>42</v>
      </c>
      <c r="C2342" s="8" t="str">
        <f>IFERROR(_xlfn.XLOOKUP(TRIM(B2342),Lookup!$B$2:$B$1000,Lookup!$C$2:$C$1000),"")</f>
        <v>Equity</v>
      </c>
      <c r="D2342" s="8" t="s">
        <v>43</v>
      </c>
      <c r="E2342" s="9">
        <v>46188</v>
      </c>
      <c r="F2342" s="8">
        <v>44.003599999999999</v>
      </c>
    </row>
    <row r="2343" spans="1:6" ht="60" x14ac:dyDescent="0.25">
      <c r="A2343" s="8" t="s">
        <v>5</v>
      </c>
      <c r="B2343" s="8" t="s">
        <v>42</v>
      </c>
      <c r="C2343" s="8" t="str">
        <f>IFERROR(_xlfn.XLOOKUP(TRIM(B2343),Lookup!$B$2:$B$1000,Lookup!$C$2:$C$1000),"")</f>
        <v>Equity</v>
      </c>
      <c r="D2343" s="8" t="s">
        <v>43</v>
      </c>
      <c r="E2343" s="9">
        <v>46189</v>
      </c>
      <c r="F2343" s="8">
        <v>44.247300000000003</v>
      </c>
    </row>
    <row r="2344" spans="1:6" ht="60" x14ac:dyDescent="0.25">
      <c r="A2344" s="8" t="s">
        <v>5</v>
      </c>
      <c r="B2344" s="8" t="s">
        <v>42</v>
      </c>
      <c r="C2344" s="8" t="str">
        <f>IFERROR(_xlfn.XLOOKUP(TRIM(B2344),Lookup!$B$2:$B$1000,Lookup!$C$2:$C$1000),"")</f>
        <v>Equity</v>
      </c>
      <c r="D2344" s="8" t="s">
        <v>43</v>
      </c>
      <c r="E2344" s="9">
        <v>46190</v>
      </c>
      <c r="F2344" s="8">
        <v>44.413800000000002</v>
      </c>
    </row>
    <row r="2345" spans="1:6" ht="60" x14ac:dyDescent="0.25">
      <c r="A2345" s="8" t="s">
        <v>5</v>
      </c>
      <c r="B2345" s="8" t="s">
        <v>42</v>
      </c>
      <c r="C2345" s="8" t="str">
        <f>IFERROR(_xlfn.XLOOKUP(TRIM(B2345),Lookup!$B$2:$B$1000,Lookup!$C$2:$C$1000),"")</f>
        <v>Equity</v>
      </c>
      <c r="D2345" s="8" t="s">
        <v>43</v>
      </c>
      <c r="E2345" s="9">
        <v>46191</v>
      </c>
      <c r="F2345" s="8">
        <v>44.582999999999998</v>
      </c>
    </row>
    <row r="2346" spans="1:6" ht="60" x14ac:dyDescent="0.25">
      <c r="A2346" s="8" t="s">
        <v>5</v>
      </c>
      <c r="B2346" s="8" t="s">
        <v>42</v>
      </c>
      <c r="C2346" s="8" t="str">
        <f>IFERROR(_xlfn.XLOOKUP(TRIM(B2346),Lookup!$B$2:$B$1000,Lookup!$C$2:$C$1000),"")</f>
        <v>Equity</v>
      </c>
      <c r="D2346" s="8" t="s">
        <v>43</v>
      </c>
      <c r="E2346" s="9">
        <v>46192</v>
      </c>
      <c r="F2346" s="8">
        <v>44.4405</v>
      </c>
    </row>
    <row r="2347" spans="1:6" ht="60" x14ac:dyDescent="0.25">
      <c r="A2347" s="8" t="s">
        <v>5</v>
      </c>
      <c r="B2347" s="8" t="s">
        <v>42</v>
      </c>
      <c r="C2347" s="8" t="str">
        <f>IFERROR(_xlfn.XLOOKUP(TRIM(B2347),Lookup!$B$2:$B$1000,Lookup!$C$2:$C$1000),"")</f>
        <v>Equity</v>
      </c>
      <c r="D2347" s="8" t="s">
        <v>43</v>
      </c>
      <c r="E2347" s="9">
        <v>46195</v>
      </c>
      <c r="F2347" s="8">
        <v>44.627400000000002</v>
      </c>
    </row>
    <row r="2348" spans="1:6" ht="60" x14ac:dyDescent="0.25">
      <c r="A2348" s="8" t="s">
        <v>5</v>
      </c>
      <c r="B2348" s="8" t="s">
        <v>42</v>
      </c>
      <c r="C2348" s="8" t="str">
        <f>IFERROR(_xlfn.XLOOKUP(TRIM(B2348),Lookup!$B$2:$B$1000,Lookup!$C$2:$C$1000),"")</f>
        <v>Equity</v>
      </c>
      <c r="D2348" s="8" t="s">
        <v>43</v>
      </c>
      <c r="E2348" s="9">
        <v>46196</v>
      </c>
      <c r="F2348" s="8">
        <v>44.148400000000002</v>
      </c>
    </row>
    <row r="2349" spans="1:6" ht="60" x14ac:dyDescent="0.25">
      <c r="A2349" s="8" t="s">
        <v>5</v>
      </c>
      <c r="B2349" s="8" t="s">
        <v>42</v>
      </c>
      <c r="C2349" s="8" t="str">
        <f>IFERROR(_xlfn.XLOOKUP(TRIM(B2349),Lookup!$B$2:$B$1000,Lookup!$C$2:$C$1000),"")</f>
        <v>Equity</v>
      </c>
      <c r="D2349" s="8" t="s">
        <v>43</v>
      </c>
      <c r="E2349" s="9">
        <v>46197</v>
      </c>
      <c r="F2349" s="8">
        <v>44.496899999999997</v>
      </c>
    </row>
    <row r="2350" spans="1:6" ht="60" x14ac:dyDescent="0.25">
      <c r="A2350" s="8" t="s">
        <v>5</v>
      </c>
      <c r="B2350" s="8" t="s">
        <v>42</v>
      </c>
      <c r="C2350" s="8" t="str">
        <f>IFERROR(_xlfn.XLOOKUP(TRIM(B2350),Lookup!$B$2:$B$1000,Lookup!$C$2:$C$1000),"")</f>
        <v>Equity</v>
      </c>
      <c r="D2350" s="8" t="s">
        <v>43</v>
      </c>
      <c r="E2350" s="9">
        <v>46198</v>
      </c>
      <c r="F2350" s="8">
        <v>44.4876</v>
      </c>
    </row>
    <row r="2351" spans="1:6" ht="60" x14ac:dyDescent="0.25">
      <c r="A2351" s="8" t="s">
        <v>5</v>
      </c>
      <c r="B2351" s="8" t="s">
        <v>42</v>
      </c>
      <c r="C2351" s="8" t="str">
        <f>IFERROR(_xlfn.XLOOKUP(TRIM(B2351),Lookup!$B$2:$B$1000,Lookup!$C$2:$C$1000),"")</f>
        <v>Equity</v>
      </c>
      <c r="D2351" s="8" t="s">
        <v>43</v>
      </c>
      <c r="E2351" s="9">
        <v>46202</v>
      </c>
      <c r="F2351" s="8">
        <v>44.326000000000001</v>
      </c>
    </row>
    <row r="2352" spans="1:6" ht="60" x14ac:dyDescent="0.25">
      <c r="A2352" s="8" t="s">
        <v>5</v>
      </c>
      <c r="B2352" s="8" t="s">
        <v>42</v>
      </c>
      <c r="C2352" s="8" t="str">
        <f>IFERROR(_xlfn.XLOOKUP(TRIM(B2352),Lookup!$B$2:$B$1000,Lookup!$C$2:$C$1000),"")</f>
        <v>Equity</v>
      </c>
      <c r="D2352" s="8" t="s">
        <v>43</v>
      </c>
      <c r="E2352" s="9">
        <v>46203</v>
      </c>
      <c r="F2352" s="8">
        <v>44.239800000000002</v>
      </c>
    </row>
    <row r="2353" spans="1:6" ht="60" x14ac:dyDescent="0.25">
      <c r="A2353" s="8" t="s">
        <v>5</v>
      </c>
      <c r="B2353" s="8" t="s">
        <v>42</v>
      </c>
      <c r="C2353" s="8" t="str">
        <f>IFERROR(_xlfn.XLOOKUP(TRIM(B2353),Lookup!$B$2:$B$1000,Lookup!$C$2:$C$1000),"")</f>
        <v>Equity</v>
      </c>
      <c r="D2353" s="8" t="s">
        <v>43</v>
      </c>
      <c r="E2353" s="9">
        <v>46204</v>
      </c>
      <c r="F2353" s="8">
        <v>44.470199999999998</v>
      </c>
    </row>
    <row r="2354" spans="1:6" ht="60" x14ac:dyDescent="0.25">
      <c r="A2354" s="8" t="s">
        <v>5</v>
      </c>
      <c r="B2354" s="8" t="s">
        <v>42</v>
      </c>
      <c r="C2354" s="8" t="str">
        <f>IFERROR(_xlfn.XLOOKUP(TRIM(B2354),Lookup!$B$2:$B$1000,Lookup!$C$2:$C$1000),"")</f>
        <v>Equity</v>
      </c>
      <c r="D2354" s="8" t="s">
        <v>43</v>
      </c>
      <c r="E2354" s="9">
        <v>46205</v>
      </c>
      <c r="F2354" s="8">
        <v>44.735500000000002</v>
      </c>
    </row>
    <row r="2355" spans="1:6" ht="60" x14ac:dyDescent="0.25">
      <c r="A2355" s="8" t="s">
        <v>5</v>
      </c>
      <c r="B2355" s="8" t="s">
        <v>42</v>
      </c>
      <c r="C2355" s="8" t="str">
        <f>IFERROR(_xlfn.XLOOKUP(TRIM(B2355),Lookup!$B$2:$B$1000,Lookup!$C$2:$C$1000),"")</f>
        <v>Equity</v>
      </c>
      <c r="D2355" s="8" t="s">
        <v>43</v>
      </c>
      <c r="E2355" s="9">
        <v>46206</v>
      </c>
      <c r="F2355" s="8">
        <v>44.834000000000003</v>
      </c>
    </row>
    <row r="2356" spans="1:6" ht="60" x14ac:dyDescent="0.25">
      <c r="A2356" s="8" t="s">
        <v>5</v>
      </c>
      <c r="B2356" s="8" t="s">
        <v>42</v>
      </c>
      <c r="C2356" s="8" t="str">
        <f>IFERROR(_xlfn.XLOOKUP(TRIM(B2356),Lookup!$B$2:$B$1000,Lookup!$C$2:$C$1000),"")</f>
        <v>Equity</v>
      </c>
      <c r="D2356" s="8" t="s">
        <v>43</v>
      </c>
      <c r="E2356" s="9">
        <v>46209</v>
      </c>
      <c r="F2356" s="8">
        <v>45.1096</v>
      </c>
    </row>
    <row r="2357" spans="1:6" ht="60" x14ac:dyDescent="0.25">
      <c r="A2357" s="8" t="s">
        <v>5</v>
      </c>
      <c r="B2357" s="8" t="s">
        <v>42</v>
      </c>
      <c r="C2357" s="8" t="str">
        <f>IFERROR(_xlfn.XLOOKUP(TRIM(B2357),Lookup!$B$2:$B$1000,Lookup!$C$2:$C$1000),"")</f>
        <v>Equity</v>
      </c>
      <c r="D2357" s="8" t="s">
        <v>43</v>
      </c>
      <c r="E2357" s="9">
        <v>46210</v>
      </c>
      <c r="F2357" s="8">
        <v>45.141500000000001</v>
      </c>
    </row>
    <row r="2358" spans="1:6" ht="60" x14ac:dyDescent="0.25">
      <c r="A2358" s="8" t="s">
        <v>5</v>
      </c>
      <c r="B2358" s="8" t="s">
        <v>42</v>
      </c>
      <c r="C2358" s="8" t="str">
        <f>IFERROR(_xlfn.XLOOKUP(TRIM(B2358),Lookup!$B$2:$B$1000,Lookup!$C$2:$C$1000),"")</f>
        <v>Equity</v>
      </c>
      <c r="D2358" s="8" t="s">
        <v>43</v>
      </c>
      <c r="E2358" s="9">
        <v>46211</v>
      </c>
      <c r="F2358" s="8">
        <v>44.203099999999999</v>
      </c>
    </row>
    <row r="2359" spans="1:6" ht="60" x14ac:dyDescent="0.25">
      <c r="A2359" s="8" t="s">
        <v>5</v>
      </c>
      <c r="B2359" s="8" t="s">
        <v>42</v>
      </c>
      <c r="C2359" s="8" t="str">
        <f>IFERROR(_xlfn.XLOOKUP(TRIM(B2359),Lookup!$B$2:$B$1000,Lookup!$C$2:$C$1000),"")</f>
        <v>Equity</v>
      </c>
      <c r="D2359" s="8" t="s">
        <v>43</v>
      </c>
      <c r="E2359" s="9">
        <v>46212</v>
      </c>
      <c r="F2359" s="8">
        <v>44.422699999999999</v>
      </c>
    </row>
    <row r="2360" spans="1:6" ht="60" x14ac:dyDescent="0.25">
      <c r="A2360" s="8" t="s">
        <v>5</v>
      </c>
      <c r="B2360" s="8" t="s">
        <v>42</v>
      </c>
      <c r="C2360" s="8" t="str">
        <f>IFERROR(_xlfn.XLOOKUP(TRIM(B2360),Lookup!$B$2:$B$1000,Lookup!$C$2:$C$1000),"")</f>
        <v>Equity</v>
      </c>
      <c r="D2360" s="8" t="s">
        <v>43</v>
      </c>
      <c r="E2360" s="9">
        <v>46213</v>
      </c>
      <c r="F2360" s="8">
        <v>44.877400000000002</v>
      </c>
    </row>
    <row r="2361" spans="1:6" ht="60" x14ac:dyDescent="0.25">
      <c r="A2361" s="8" t="s">
        <v>5</v>
      </c>
      <c r="B2361" s="8" t="s">
        <v>42</v>
      </c>
      <c r="C2361" s="8" t="str">
        <f>IFERROR(_xlfn.XLOOKUP(TRIM(B2361),Lookup!$B$2:$B$1000,Lookup!$C$2:$C$1000),"")</f>
        <v>Equity</v>
      </c>
      <c r="D2361" s="8" t="s">
        <v>43</v>
      </c>
      <c r="E2361" s="9">
        <v>46216</v>
      </c>
      <c r="F2361" s="8">
        <v>44.888800000000003</v>
      </c>
    </row>
    <row r="2362" spans="1:6" ht="60" x14ac:dyDescent="0.25">
      <c r="A2362" s="8" t="s">
        <v>5</v>
      </c>
      <c r="B2362" s="8" t="s">
        <v>42</v>
      </c>
      <c r="C2362" s="8" t="str">
        <f>IFERROR(_xlfn.XLOOKUP(TRIM(B2362),Lookup!$B$2:$B$1000,Lookup!$C$2:$C$1000),"")</f>
        <v>Equity</v>
      </c>
      <c r="D2362" s="8" t="s">
        <v>43</v>
      </c>
      <c r="E2362" s="9">
        <v>46217</v>
      </c>
      <c r="F2362" s="8">
        <v>44.598799999999997</v>
      </c>
    </row>
    <row r="2363" spans="1:6" ht="60" x14ac:dyDescent="0.25">
      <c r="A2363" s="8" t="s">
        <v>5</v>
      </c>
      <c r="B2363" s="8" t="s">
        <v>42</v>
      </c>
      <c r="C2363" s="8" t="str">
        <f>IFERROR(_xlfn.XLOOKUP(TRIM(B2363),Lookup!$B$2:$B$1000,Lookup!$C$2:$C$1000),"")</f>
        <v>Equity</v>
      </c>
      <c r="D2363" s="8" t="s">
        <v>43</v>
      </c>
      <c r="E2363" s="9">
        <v>46218</v>
      </c>
      <c r="F2363" s="8">
        <v>44.620600000000003</v>
      </c>
    </row>
    <row r="2364" spans="1:6" ht="60" x14ac:dyDescent="0.25">
      <c r="A2364" s="8" t="s">
        <v>5</v>
      </c>
      <c r="B2364" s="8" t="s">
        <v>42</v>
      </c>
      <c r="C2364" s="8" t="str">
        <f>IFERROR(_xlfn.XLOOKUP(TRIM(B2364),Lookup!$B$2:$B$1000,Lookup!$C$2:$C$1000),"")</f>
        <v>Equity</v>
      </c>
      <c r="D2364" s="8" t="s">
        <v>43</v>
      </c>
      <c r="E2364" s="9">
        <v>46219</v>
      </c>
      <c r="F2364" s="8">
        <v>44.575200000000002</v>
      </c>
    </row>
    <row r="2365" spans="1:6" ht="60" x14ac:dyDescent="0.25">
      <c r="A2365" s="8" t="s">
        <v>5</v>
      </c>
      <c r="B2365" s="8" t="s">
        <v>42</v>
      </c>
      <c r="C2365" s="8" t="str">
        <f>IFERROR(_xlfn.XLOOKUP(TRIM(B2365),Lookup!$B$2:$B$1000,Lookup!$C$2:$C$1000),"")</f>
        <v>Equity</v>
      </c>
      <c r="D2365" s="8" t="s">
        <v>43</v>
      </c>
      <c r="E2365" s="9">
        <v>46220</v>
      </c>
      <c r="F2365" s="8">
        <v>45.001399999999997</v>
      </c>
    </row>
    <row r="2366" spans="1:6" ht="60" x14ac:dyDescent="0.25">
      <c r="A2366" s="8" t="s">
        <v>5</v>
      </c>
      <c r="B2366" s="8" t="s">
        <v>42</v>
      </c>
      <c r="C2366" s="8" t="str">
        <f>IFERROR(_xlfn.XLOOKUP(TRIM(B2366),Lookup!$B$2:$B$1000,Lookup!$C$2:$C$1000),"")</f>
        <v>Equity</v>
      </c>
      <c r="D2366" s="8" t="s">
        <v>43</v>
      </c>
      <c r="E2366" s="9">
        <v>46223</v>
      </c>
      <c r="F2366" s="8">
        <v>44.676499999999997</v>
      </c>
    </row>
    <row r="2367" spans="1:6" ht="60" x14ac:dyDescent="0.25">
      <c r="A2367" s="8" t="s">
        <v>5</v>
      </c>
      <c r="B2367" s="8" t="s">
        <v>42</v>
      </c>
      <c r="C2367" s="8" t="str">
        <f>IFERROR(_xlfn.XLOOKUP(TRIM(B2367),Lookup!$B$2:$B$1000,Lookup!$C$2:$C$1000),"")</f>
        <v>Equity</v>
      </c>
      <c r="D2367" s="8" t="s">
        <v>43</v>
      </c>
      <c r="E2367" s="9">
        <v>46224</v>
      </c>
      <c r="F2367" s="8">
        <v>44.603900000000003</v>
      </c>
    </row>
    <row r="2368" spans="1:6" ht="60" x14ac:dyDescent="0.25">
      <c r="A2368" s="8" t="s">
        <v>5</v>
      </c>
      <c r="B2368" s="8" t="s">
        <v>42</v>
      </c>
      <c r="C2368" s="8" t="str">
        <f>IFERROR(_xlfn.XLOOKUP(TRIM(B2368),Lookup!$B$2:$B$1000,Lookup!$C$2:$C$1000),"")</f>
        <v>Equity</v>
      </c>
      <c r="D2368" s="8" t="s">
        <v>43</v>
      </c>
      <c r="E2368" s="9">
        <v>46225</v>
      </c>
      <c r="F2368" s="8">
        <v>44.258600000000001</v>
      </c>
    </row>
    <row r="2369" spans="1:6" ht="60" x14ac:dyDescent="0.25">
      <c r="A2369" s="8" t="s">
        <v>5</v>
      </c>
      <c r="B2369" s="8" t="s">
        <v>42</v>
      </c>
      <c r="C2369" s="8" t="str">
        <f>IFERROR(_xlfn.XLOOKUP(TRIM(B2369),Lookup!$B$2:$B$1000,Lookup!$C$2:$C$1000),"")</f>
        <v>Equity</v>
      </c>
      <c r="D2369" s="8" t="s">
        <v>43</v>
      </c>
      <c r="E2369" s="9">
        <v>46226</v>
      </c>
      <c r="F2369" s="8">
        <v>43.992899999999999</v>
      </c>
    </row>
    <row r="2370" spans="1:6" ht="60" x14ac:dyDescent="0.25">
      <c r="A2370" s="8" t="s">
        <v>5</v>
      </c>
      <c r="B2370" s="8" t="s">
        <v>42</v>
      </c>
      <c r="C2370" s="8" t="str">
        <f>IFERROR(_xlfn.XLOOKUP(TRIM(B2370),Lookup!$B$2:$B$1000,Lookup!$C$2:$C$1000),"")</f>
        <v>Equity</v>
      </c>
      <c r="D2370" s="8" t="s">
        <v>43</v>
      </c>
      <c r="E2370" s="9">
        <v>46227</v>
      </c>
      <c r="F2370" s="8">
        <v>43.840699999999998</v>
      </c>
    </row>
    <row r="2371" spans="1:6" ht="60" x14ac:dyDescent="0.25">
      <c r="A2371" s="8" t="s">
        <v>5</v>
      </c>
      <c r="B2371" s="8" t="s">
        <v>42</v>
      </c>
      <c r="C2371" s="8" t="str">
        <f>IFERROR(_xlfn.XLOOKUP(TRIM(B2371),Lookup!$B$2:$B$1000,Lookup!$C$2:$C$1000),"")</f>
        <v>Equity</v>
      </c>
      <c r="D2371" s="8" t="s">
        <v>43</v>
      </c>
      <c r="E2371" s="9">
        <v>46230</v>
      </c>
      <c r="F2371" s="8">
        <v>44.276800000000001</v>
      </c>
    </row>
    <row r="2372" spans="1:6" ht="60" x14ac:dyDescent="0.25">
      <c r="A2372" s="8" t="s">
        <v>5</v>
      </c>
      <c r="B2372" s="8" t="s">
        <v>42</v>
      </c>
      <c r="C2372" s="8" t="str">
        <f>IFERROR(_xlfn.XLOOKUP(TRIM(B2372),Lookup!$B$2:$B$1000,Lookup!$C$2:$C$1000),"")</f>
        <v>Equity</v>
      </c>
      <c r="D2372" s="8" t="s">
        <v>43</v>
      </c>
      <c r="E2372" s="9">
        <v>46231</v>
      </c>
      <c r="F2372" s="8">
        <v>44.2624</v>
      </c>
    </row>
    <row r="2373" spans="1:6" ht="60" x14ac:dyDescent="0.25">
      <c r="A2373" s="8" t="s">
        <v>5</v>
      </c>
      <c r="B2373" s="8" t="s">
        <v>42</v>
      </c>
      <c r="C2373" s="8" t="str">
        <f>IFERROR(_xlfn.XLOOKUP(TRIM(B2373),Lookup!$B$2:$B$1000,Lookup!$C$2:$C$1000),"")</f>
        <v>Equity</v>
      </c>
      <c r="D2373" s="8" t="s">
        <v>43</v>
      </c>
      <c r="E2373" s="9">
        <v>46232</v>
      </c>
      <c r="F2373" s="8">
        <v>44.810299999999998</v>
      </c>
    </row>
    <row r="2374" spans="1:6" ht="60" x14ac:dyDescent="0.25">
      <c r="A2374" s="8" t="s">
        <v>5</v>
      </c>
      <c r="B2374" s="8" t="s">
        <v>42</v>
      </c>
      <c r="C2374" s="8" t="str">
        <f>IFERROR(_xlfn.XLOOKUP(TRIM(B2374),Lookup!$B$2:$B$1000,Lookup!$C$2:$C$1000),"")</f>
        <v>Equity</v>
      </c>
      <c r="D2374" s="8" t="s">
        <v>43</v>
      </c>
      <c r="E2374" s="9">
        <v>46233</v>
      </c>
      <c r="F2374" s="8">
        <v>44.916899999999998</v>
      </c>
    </row>
    <row r="2375" spans="1:6" ht="60" x14ac:dyDescent="0.25">
      <c r="A2375" s="8" t="s">
        <v>5</v>
      </c>
      <c r="B2375" s="8" t="s">
        <v>42</v>
      </c>
      <c r="C2375" s="8" t="str">
        <f>IFERROR(_xlfn.XLOOKUP(TRIM(B2375),Lookup!$B$2:$B$1000,Lookup!$C$2:$C$1000),"")</f>
        <v>Equity</v>
      </c>
      <c r="D2375" s="8" t="s">
        <v>43</v>
      </c>
      <c r="E2375" s="9">
        <v>46234</v>
      </c>
      <c r="F2375" s="8">
        <v>45.082000000000001</v>
      </c>
    </row>
    <row r="2376" spans="1:6" ht="75" x14ac:dyDescent="0.25">
      <c r="A2376" s="8" t="s">
        <v>5</v>
      </c>
      <c r="B2376" s="8" t="s">
        <v>44</v>
      </c>
      <c r="C2376" s="8" t="str">
        <f>IFERROR(_xlfn.XLOOKUP(TRIM(B2376),Lookup!$B$2:$B$1000,Lookup!$C$2:$C$1000),"")</f>
        <v>Equity</v>
      </c>
      <c r="D2376" s="8" t="s">
        <v>45</v>
      </c>
      <c r="E2376" s="9">
        <v>45869</v>
      </c>
      <c r="F2376" s="8">
        <v>10</v>
      </c>
    </row>
    <row r="2377" spans="1:6" ht="75" x14ac:dyDescent="0.25">
      <c r="A2377" s="8" t="s">
        <v>5</v>
      </c>
      <c r="B2377" s="8" t="s">
        <v>44</v>
      </c>
      <c r="C2377" s="8" t="str">
        <f>IFERROR(_xlfn.XLOOKUP(TRIM(B2377),Lookup!$B$2:$B$1000,Lookup!$C$2:$C$1000),"")</f>
        <v>Equity</v>
      </c>
      <c r="D2377" s="8" t="s">
        <v>45</v>
      </c>
      <c r="E2377" s="9">
        <v>45876</v>
      </c>
      <c r="F2377" s="8">
        <v>10.0021</v>
      </c>
    </row>
    <row r="2378" spans="1:6" ht="75" x14ac:dyDescent="0.25">
      <c r="A2378" s="8" t="s">
        <v>5</v>
      </c>
      <c r="B2378" s="8" t="s">
        <v>44</v>
      </c>
      <c r="C2378" s="8" t="str">
        <f>IFERROR(_xlfn.XLOOKUP(TRIM(B2378),Lookup!$B$2:$B$1000,Lookup!$C$2:$C$1000),"")</f>
        <v>Equity</v>
      </c>
      <c r="D2378" s="8" t="s">
        <v>45</v>
      </c>
      <c r="E2378" s="9">
        <v>45883</v>
      </c>
      <c r="F2378" s="8">
        <v>10.045199999999999</v>
      </c>
    </row>
    <row r="2379" spans="1:6" ht="75" x14ac:dyDescent="0.25">
      <c r="A2379" s="8" t="s">
        <v>5</v>
      </c>
      <c r="B2379" s="8" t="s">
        <v>44</v>
      </c>
      <c r="C2379" s="8" t="str">
        <f>IFERROR(_xlfn.XLOOKUP(TRIM(B2379),Lookup!$B$2:$B$1000,Lookup!$C$2:$C$1000),"")</f>
        <v>Equity</v>
      </c>
      <c r="D2379" s="8" t="s">
        <v>45</v>
      </c>
      <c r="E2379" s="9">
        <v>45891</v>
      </c>
      <c r="F2379" s="8">
        <v>10.346</v>
      </c>
    </row>
    <row r="2380" spans="1:6" ht="75" x14ac:dyDescent="0.25">
      <c r="A2380" s="8" t="s">
        <v>5</v>
      </c>
      <c r="B2380" s="8" t="s">
        <v>44</v>
      </c>
      <c r="C2380" s="8" t="str">
        <f>IFERROR(_xlfn.XLOOKUP(TRIM(B2380),Lookup!$B$2:$B$1000,Lookup!$C$2:$C$1000),"")</f>
        <v>Equity</v>
      </c>
      <c r="D2380" s="8" t="s">
        <v>45</v>
      </c>
      <c r="E2380" s="9">
        <v>45901</v>
      </c>
      <c r="F2380" s="8">
        <v>10.3485</v>
      </c>
    </row>
    <row r="2381" spans="1:6" ht="75" x14ac:dyDescent="0.25">
      <c r="A2381" s="8" t="s">
        <v>5</v>
      </c>
      <c r="B2381" s="8" t="s">
        <v>44</v>
      </c>
      <c r="C2381" s="8" t="str">
        <f>IFERROR(_xlfn.XLOOKUP(TRIM(B2381),Lookup!$B$2:$B$1000,Lookup!$C$2:$C$1000),"")</f>
        <v>Equity</v>
      </c>
      <c r="D2381" s="8" t="s">
        <v>45</v>
      </c>
      <c r="E2381" s="9">
        <v>45908</v>
      </c>
      <c r="F2381" s="8">
        <v>10.5405</v>
      </c>
    </row>
    <row r="2382" spans="1:6" ht="75" x14ac:dyDescent="0.25">
      <c r="A2382" s="8" t="s">
        <v>5</v>
      </c>
      <c r="B2382" s="8" t="s">
        <v>44</v>
      </c>
      <c r="C2382" s="8" t="str">
        <f>IFERROR(_xlfn.XLOOKUP(TRIM(B2382),Lookup!$B$2:$B$1000,Lookup!$C$2:$C$1000),"")</f>
        <v>Equity</v>
      </c>
      <c r="D2382" s="8" t="s">
        <v>45</v>
      </c>
      <c r="E2382" s="9">
        <v>45915</v>
      </c>
      <c r="F2382" s="8">
        <v>10.462</v>
      </c>
    </row>
    <row r="2383" spans="1:6" ht="75" x14ac:dyDescent="0.25">
      <c r="A2383" s="8" t="s">
        <v>5</v>
      </c>
      <c r="B2383" s="8" t="s">
        <v>44</v>
      </c>
      <c r="C2383" s="8" t="str">
        <f>IFERROR(_xlfn.XLOOKUP(TRIM(B2383),Lookup!$B$2:$B$1000,Lookup!$C$2:$C$1000),"")</f>
        <v>Equity</v>
      </c>
      <c r="D2383" s="8" t="s">
        <v>45</v>
      </c>
      <c r="E2383" s="9">
        <v>45922</v>
      </c>
      <c r="F2383" s="8">
        <v>10.529400000000001</v>
      </c>
    </row>
    <row r="2384" spans="1:6" ht="75" x14ac:dyDescent="0.25">
      <c r="A2384" s="8" t="s">
        <v>5</v>
      </c>
      <c r="B2384" s="8" t="s">
        <v>44</v>
      </c>
      <c r="C2384" s="8" t="str">
        <f>IFERROR(_xlfn.XLOOKUP(TRIM(B2384),Lookup!$B$2:$B$1000,Lookup!$C$2:$C$1000),"")</f>
        <v>Equity</v>
      </c>
      <c r="D2384" s="8" t="s">
        <v>45</v>
      </c>
      <c r="E2384" s="9">
        <v>45929</v>
      </c>
      <c r="F2384" s="8">
        <v>10.232699999999999</v>
      </c>
    </row>
    <row r="2385" spans="1:6" ht="75" x14ac:dyDescent="0.25">
      <c r="A2385" s="8" t="s">
        <v>5</v>
      </c>
      <c r="B2385" s="8" t="s">
        <v>44</v>
      </c>
      <c r="C2385" s="8" t="str">
        <f>IFERROR(_xlfn.XLOOKUP(TRIM(B2385),Lookup!$B$2:$B$1000,Lookup!$C$2:$C$1000),"")</f>
        <v>Equity</v>
      </c>
      <c r="D2385" s="8" t="s">
        <v>45</v>
      </c>
      <c r="E2385" s="9">
        <v>45937</v>
      </c>
      <c r="F2385" s="8">
        <v>10.3377</v>
      </c>
    </row>
    <row r="2386" spans="1:6" ht="75" x14ac:dyDescent="0.25">
      <c r="A2386" s="8" t="s">
        <v>5</v>
      </c>
      <c r="B2386" s="8" t="s">
        <v>44</v>
      </c>
      <c r="C2386" s="8" t="str">
        <f>IFERROR(_xlfn.XLOOKUP(TRIM(B2386),Lookup!$B$2:$B$1000,Lookup!$C$2:$C$1000),"")</f>
        <v>Equity</v>
      </c>
      <c r="D2386" s="8" t="s">
        <v>45</v>
      </c>
      <c r="E2386" s="9">
        <v>45944</v>
      </c>
      <c r="F2386" s="8">
        <v>10.355</v>
      </c>
    </row>
    <row r="2387" spans="1:6" ht="75" x14ac:dyDescent="0.25">
      <c r="A2387" s="8" t="s">
        <v>5</v>
      </c>
      <c r="B2387" s="8" t="s">
        <v>44</v>
      </c>
      <c r="C2387" s="8" t="str">
        <f>IFERROR(_xlfn.XLOOKUP(TRIM(B2387),Lookup!$B$2:$B$1000,Lookup!$C$2:$C$1000),"")</f>
        <v>Equity</v>
      </c>
      <c r="D2387" s="8" t="s">
        <v>45</v>
      </c>
      <c r="E2387" s="9">
        <v>45953</v>
      </c>
      <c r="F2387" s="8">
        <v>10.608499999999999</v>
      </c>
    </row>
    <row r="2388" spans="1:6" ht="75" x14ac:dyDescent="0.25">
      <c r="A2388" s="8" t="s">
        <v>5</v>
      </c>
      <c r="B2388" s="8" t="s">
        <v>44</v>
      </c>
      <c r="C2388" s="8" t="str">
        <f>IFERROR(_xlfn.XLOOKUP(TRIM(B2388),Lookup!$B$2:$B$1000,Lookup!$C$2:$C$1000),"")</f>
        <v>Equity</v>
      </c>
      <c r="D2388" s="8" t="s">
        <v>45</v>
      </c>
      <c r="E2388" s="9">
        <v>45960</v>
      </c>
      <c r="F2388" s="8">
        <v>10.5495</v>
      </c>
    </row>
    <row r="2389" spans="1:6" ht="75" x14ac:dyDescent="0.25">
      <c r="A2389" s="8" t="s">
        <v>5</v>
      </c>
      <c r="B2389" s="8" t="s">
        <v>44</v>
      </c>
      <c r="C2389" s="8" t="str">
        <f>IFERROR(_xlfn.XLOOKUP(TRIM(B2389),Lookup!$B$2:$B$1000,Lookup!$C$2:$C$1000),"")</f>
        <v>Equity</v>
      </c>
      <c r="D2389" s="8" t="s">
        <v>45</v>
      </c>
      <c r="E2389" s="9">
        <v>45968</v>
      </c>
      <c r="F2389" s="8">
        <v>10.358499999999999</v>
      </c>
    </row>
    <row r="2390" spans="1:6" ht="75" x14ac:dyDescent="0.25">
      <c r="A2390" s="8" t="s">
        <v>5</v>
      </c>
      <c r="B2390" s="8" t="s">
        <v>44</v>
      </c>
      <c r="C2390" s="8" t="str">
        <f>IFERROR(_xlfn.XLOOKUP(TRIM(B2390),Lookup!$B$2:$B$1000,Lookup!$C$2:$C$1000),"")</f>
        <v>Equity</v>
      </c>
      <c r="D2390" s="8" t="s">
        <v>45</v>
      </c>
      <c r="E2390" s="9">
        <v>45975</v>
      </c>
      <c r="F2390" s="8">
        <v>10.4657</v>
      </c>
    </row>
    <row r="2391" spans="1:6" ht="75" x14ac:dyDescent="0.25">
      <c r="A2391" s="8" t="s">
        <v>5</v>
      </c>
      <c r="B2391" s="8" t="s">
        <v>44</v>
      </c>
      <c r="C2391" s="8" t="str">
        <f>IFERROR(_xlfn.XLOOKUP(TRIM(B2391),Lookup!$B$2:$B$1000,Lookup!$C$2:$C$1000),"")</f>
        <v>Equity</v>
      </c>
      <c r="D2391" s="8" t="s">
        <v>45</v>
      </c>
      <c r="E2391" s="9">
        <v>45982</v>
      </c>
      <c r="F2391" s="8">
        <v>10.5618</v>
      </c>
    </row>
    <row r="2392" spans="1:6" ht="75" x14ac:dyDescent="0.25">
      <c r="A2392" s="8" t="s">
        <v>5</v>
      </c>
      <c r="B2392" s="8" t="s">
        <v>44</v>
      </c>
      <c r="C2392" s="8" t="str">
        <f>IFERROR(_xlfn.XLOOKUP(TRIM(B2392),Lookup!$B$2:$B$1000,Lookup!$C$2:$C$1000),"")</f>
        <v>Equity</v>
      </c>
      <c r="D2392" s="8" t="s">
        <v>45</v>
      </c>
      <c r="E2392" s="9">
        <v>45989</v>
      </c>
      <c r="F2392" s="8">
        <v>10.539400000000001</v>
      </c>
    </row>
    <row r="2393" spans="1:6" ht="75" x14ac:dyDescent="0.25">
      <c r="A2393" s="8" t="s">
        <v>5</v>
      </c>
      <c r="B2393" s="8" t="s">
        <v>44</v>
      </c>
      <c r="C2393" s="8" t="str">
        <f>IFERROR(_xlfn.XLOOKUP(TRIM(B2393),Lookup!$B$2:$B$1000,Lookup!$C$2:$C$1000),"")</f>
        <v>Equity</v>
      </c>
      <c r="D2393" s="8" t="s">
        <v>45</v>
      </c>
      <c r="E2393" s="9">
        <v>45996</v>
      </c>
      <c r="F2393" s="8">
        <v>10.4527</v>
      </c>
    </row>
    <row r="2394" spans="1:6" ht="75" x14ac:dyDescent="0.25">
      <c r="A2394" s="8" t="s">
        <v>5</v>
      </c>
      <c r="B2394" s="8" t="s">
        <v>44</v>
      </c>
      <c r="C2394" s="8" t="str">
        <f>IFERROR(_xlfn.XLOOKUP(TRIM(B2394),Lookup!$B$2:$B$1000,Lookup!$C$2:$C$1000),"")</f>
        <v>Equity</v>
      </c>
      <c r="D2394" s="8" t="s">
        <v>45</v>
      </c>
      <c r="E2394" s="9">
        <v>46003</v>
      </c>
      <c r="F2394" s="8">
        <v>10.315799999999999</v>
      </c>
    </row>
    <row r="2395" spans="1:6" ht="75" x14ac:dyDescent="0.25">
      <c r="A2395" s="8" t="s">
        <v>5</v>
      </c>
      <c r="B2395" s="8" t="s">
        <v>44</v>
      </c>
      <c r="C2395" s="8" t="str">
        <f>IFERROR(_xlfn.XLOOKUP(TRIM(B2395),Lookup!$B$2:$B$1000,Lookup!$C$2:$C$1000),"")</f>
        <v>Equity</v>
      </c>
      <c r="D2395" s="8" t="s">
        <v>45</v>
      </c>
      <c r="E2395" s="9">
        <v>46010</v>
      </c>
      <c r="F2395" s="8">
        <v>10.319100000000001</v>
      </c>
    </row>
    <row r="2396" spans="1:6" ht="75" x14ac:dyDescent="0.25">
      <c r="A2396" s="8" t="s">
        <v>5</v>
      </c>
      <c r="B2396" s="8" t="s">
        <v>44</v>
      </c>
      <c r="C2396" s="8" t="str">
        <f>IFERROR(_xlfn.XLOOKUP(TRIM(B2396),Lookup!$B$2:$B$1000,Lookup!$C$2:$C$1000),"")</f>
        <v>Equity</v>
      </c>
      <c r="D2396" s="8" t="s">
        <v>45</v>
      </c>
      <c r="E2396" s="9">
        <v>46020</v>
      </c>
      <c r="F2396" s="8">
        <v>10.311299999999999</v>
      </c>
    </row>
    <row r="2397" spans="1:6" ht="75" x14ac:dyDescent="0.25">
      <c r="A2397" s="8" t="s">
        <v>5</v>
      </c>
      <c r="B2397" s="8" t="s">
        <v>44</v>
      </c>
      <c r="C2397" s="8" t="str">
        <f>IFERROR(_xlfn.XLOOKUP(TRIM(B2397),Lookup!$B$2:$B$1000,Lookup!$C$2:$C$1000),"")</f>
        <v>Equity</v>
      </c>
      <c r="D2397" s="8" t="s">
        <v>45</v>
      </c>
      <c r="E2397" s="9">
        <v>46027</v>
      </c>
      <c r="F2397" s="8">
        <v>10.382</v>
      </c>
    </row>
    <row r="2398" spans="1:6" ht="75" x14ac:dyDescent="0.25">
      <c r="A2398" s="8" t="s">
        <v>5</v>
      </c>
      <c r="B2398" s="8" t="s">
        <v>44</v>
      </c>
      <c r="C2398" s="8" t="str">
        <f>IFERROR(_xlfn.XLOOKUP(TRIM(B2398),Lookup!$B$2:$B$1000,Lookup!$C$2:$C$1000),"")</f>
        <v>Equity</v>
      </c>
      <c r="D2398" s="8" t="s">
        <v>45</v>
      </c>
      <c r="E2398" s="9">
        <v>46034</v>
      </c>
      <c r="F2398" s="8">
        <v>10.204800000000001</v>
      </c>
    </row>
    <row r="2399" spans="1:6" ht="75" x14ac:dyDescent="0.25">
      <c r="A2399" s="8" t="s">
        <v>5</v>
      </c>
      <c r="B2399" s="8" t="s">
        <v>44</v>
      </c>
      <c r="C2399" s="8" t="str">
        <f>IFERROR(_xlfn.XLOOKUP(TRIM(B2399),Lookup!$B$2:$B$1000,Lookup!$C$2:$C$1000),"")</f>
        <v>Equity</v>
      </c>
      <c r="D2399" s="8" t="s">
        <v>45</v>
      </c>
      <c r="E2399" s="9">
        <v>46042</v>
      </c>
      <c r="F2399" s="8">
        <v>9.8559000000000001</v>
      </c>
    </row>
    <row r="2400" spans="1:6" ht="75" x14ac:dyDescent="0.25">
      <c r="A2400" s="8" t="s">
        <v>5</v>
      </c>
      <c r="B2400" s="8" t="s">
        <v>44</v>
      </c>
      <c r="C2400" s="8" t="str">
        <f>IFERROR(_xlfn.XLOOKUP(TRIM(B2400),Lookup!$B$2:$B$1000,Lookup!$C$2:$C$1000),"")</f>
        <v>Equity</v>
      </c>
      <c r="D2400" s="8" t="s">
        <v>45</v>
      </c>
      <c r="E2400" s="9">
        <v>46050</v>
      </c>
      <c r="F2400" s="8">
        <v>9.6839999999999993</v>
      </c>
    </row>
    <row r="2401" spans="1:6" ht="75" x14ac:dyDescent="0.25">
      <c r="A2401" s="8" t="s">
        <v>5</v>
      </c>
      <c r="B2401" s="8" t="s">
        <v>44</v>
      </c>
      <c r="C2401" s="8" t="str">
        <f>IFERROR(_xlfn.XLOOKUP(TRIM(B2401),Lookup!$B$2:$B$1000,Lookup!$C$2:$C$1000),"")</f>
        <v>Equity</v>
      </c>
      <c r="D2401" s="8" t="s">
        <v>45</v>
      </c>
      <c r="E2401" s="9">
        <v>46056</v>
      </c>
      <c r="F2401" s="8">
        <v>9.8139000000000003</v>
      </c>
    </row>
    <row r="2402" spans="1:6" ht="75" x14ac:dyDescent="0.25">
      <c r="A2402" s="8" t="s">
        <v>5</v>
      </c>
      <c r="B2402" s="8" t="s">
        <v>44</v>
      </c>
      <c r="C2402" s="8" t="str">
        <f>IFERROR(_xlfn.XLOOKUP(TRIM(B2402),Lookup!$B$2:$B$1000,Lookup!$C$2:$C$1000),"")</f>
        <v>Equity</v>
      </c>
      <c r="D2402" s="8" t="s">
        <v>45</v>
      </c>
      <c r="E2402" s="9">
        <v>46063</v>
      </c>
      <c r="F2402" s="8">
        <v>10.0906</v>
      </c>
    </row>
    <row r="2403" spans="1:6" ht="75" x14ac:dyDescent="0.25">
      <c r="A2403" s="8" t="s">
        <v>5</v>
      </c>
      <c r="B2403" s="8" t="s">
        <v>44</v>
      </c>
      <c r="C2403" s="8" t="str">
        <f>IFERROR(_xlfn.XLOOKUP(TRIM(B2403),Lookup!$B$2:$B$1000,Lookup!$C$2:$C$1000),"")</f>
        <v>Equity</v>
      </c>
      <c r="D2403" s="8" t="s">
        <v>45</v>
      </c>
      <c r="E2403" s="9">
        <v>46070</v>
      </c>
      <c r="F2403" s="8">
        <v>10.023400000000001</v>
      </c>
    </row>
    <row r="2404" spans="1:6" ht="75" x14ac:dyDescent="0.25">
      <c r="A2404" s="8" t="s">
        <v>5</v>
      </c>
      <c r="B2404" s="8" t="s">
        <v>44</v>
      </c>
      <c r="C2404" s="8" t="str">
        <f>IFERROR(_xlfn.XLOOKUP(TRIM(B2404),Lookup!$B$2:$B$1000,Lookup!$C$2:$C$1000),"")</f>
        <v>Equity</v>
      </c>
      <c r="D2404" s="8" t="s">
        <v>45</v>
      </c>
      <c r="E2404" s="9">
        <v>46077</v>
      </c>
      <c r="F2404" s="8">
        <v>9.8587000000000007</v>
      </c>
    </row>
    <row r="2405" spans="1:6" ht="75" x14ac:dyDescent="0.25">
      <c r="A2405" s="8" t="s">
        <v>5</v>
      </c>
      <c r="B2405" s="8" t="s">
        <v>44</v>
      </c>
      <c r="C2405" s="8" t="str">
        <f>IFERROR(_xlfn.XLOOKUP(TRIM(B2405),Lookup!$B$2:$B$1000,Lookup!$C$2:$C$1000),"")</f>
        <v>Equity</v>
      </c>
      <c r="D2405" s="8" t="s">
        <v>45</v>
      </c>
      <c r="E2405" s="9">
        <v>46085</v>
      </c>
      <c r="F2405" s="8">
        <v>9.4733999999999998</v>
      </c>
    </row>
    <row r="2406" spans="1:6" ht="75" x14ac:dyDescent="0.25">
      <c r="A2406" s="8" t="s">
        <v>5</v>
      </c>
      <c r="B2406" s="8" t="s">
        <v>44</v>
      </c>
      <c r="C2406" s="8" t="str">
        <f>IFERROR(_xlfn.XLOOKUP(TRIM(B2406),Lookup!$B$2:$B$1000,Lookup!$C$2:$C$1000),"")</f>
        <v>Equity</v>
      </c>
      <c r="D2406" s="8" t="s">
        <v>45</v>
      </c>
      <c r="E2406" s="9">
        <v>46092</v>
      </c>
      <c r="F2406" s="8">
        <v>9.2309000000000001</v>
      </c>
    </row>
    <row r="2407" spans="1:6" ht="75" x14ac:dyDescent="0.25">
      <c r="A2407" s="8" t="s">
        <v>5</v>
      </c>
      <c r="B2407" s="8" t="s">
        <v>44</v>
      </c>
      <c r="C2407" s="8" t="str">
        <f>IFERROR(_xlfn.XLOOKUP(TRIM(B2407),Lookup!$B$2:$B$1000,Lookup!$C$2:$C$1000),"")</f>
        <v>Equity</v>
      </c>
      <c r="D2407" s="8" t="s">
        <v>45</v>
      </c>
      <c r="E2407" s="9">
        <v>46099</v>
      </c>
      <c r="F2407" s="8">
        <v>9.2148000000000003</v>
      </c>
    </row>
    <row r="2408" spans="1:6" ht="75" x14ac:dyDescent="0.25">
      <c r="A2408" s="8" t="s">
        <v>5</v>
      </c>
      <c r="B2408" s="8" t="s">
        <v>44</v>
      </c>
      <c r="C2408" s="8" t="str">
        <f>IFERROR(_xlfn.XLOOKUP(TRIM(B2408),Lookup!$B$2:$B$1000,Lookup!$C$2:$C$1000),"")</f>
        <v>Equity</v>
      </c>
      <c r="D2408" s="8" t="s">
        <v>45</v>
      </c>
      <c r="E2408" s="9">
        <v>46106</v>
      </c>
      <c r="F2408" s="8">
        <v>9.0662000000000003</v>
      </c>
    </row>
    <row r="2409" spans="1:6" ht="75" x14ac:dyDescent="0.25">
      <c r="A2409" s="8" t="s">
        <v>5</v>
      </c>
      <c r="B2409" s="8" t="s">
        <v>44</v>
      </c>
      <c r="C2409" s="8" t="str">
        <f>IFERROR(_xlfn.XLOOKUP(TRIM(B2409),Lookup!$B$2:$B$1000,Lookup!$C$2:$C$1000),"")</f>
        <v>Equity</v>
      </c>
      <c r="D2409" s="8" t="s">
        <v>45</v>
      </c>
      <c r="E2409" s="9">
        <v>46114</v>
      </c>
      <c r="F2409" s="8">
        <v>8.8590999999999998</v>
      </c>
    </row>
    <row r="2410" spans="1:6" ht="75" x14ac:dyDescent="0.25">
      <c r="A2410" s="8" t="s">
        <v>5</v>
      </c>
      <c r="B2410" s="8" t="s">
        <v>44</v>
      </c>
      <c r="C2410" s="8" t="str">
        <f>IFERROR(_xlfn.XLOOKUP(TRIM(B2410),Lookup!$B$2:$B$1000,Lookup!$C$2:$C$1000),"")</f>
        <v>Equity</v>
      </c>
      <c r="D2410" s="8" t="s">
        <v>45</v>
      </c>
      <c r="E2410" s="9">
        <v>46122</v>
      </c>
      <c r="F2410" s="8">
        <v>9.4374000000000002</v>
      </c>
    </row>
    <row r="2411" spans="1:6" ht="75" x14ac:dyDescent="0.25">
      <c r="A2411" s="8" t="s">
        <v>5</v>
      </c>
      <c r="B2411" s="8" t="s">
        <v>44</v>
      </c>
      <c r="C2411" s="8" t="str">
        <f>IFERROR(_xlfn.XLOOKUP(TRIM(B2411),Lookup!$B$2:$B$1000,Lookup!$C$2:$C$1000),"")</f>
        <v>Equity</v>
      </c>
      <c r="D2411" s="8" t="s">
        <v>45</v>
      </c>
      <c r="E2411" s="9">
        <v>46132</v>
      </c>
      <c r="F2411" s="8">
        <v>9.5833999999999993</v>
      </c>
    </row>
    <row r="2412" spans="1:6" ht="75" x14ac:dyDescent="0.25">
      <c r="A2412" s="8" t="s">
        <v>5</v>
      </c>
      <c r="B2412" s="8" t="s">
        <v>44</v>
      </c>
      <c r="C2412" s="8" t="str">
        <f>IFERROR(_xlfn.XLOOKUP(TRIM(B2412),Lookup!$B$2:$B$1000,Lookup!$C$2:$C$1000),"")</f>
        <v>Equity</v>
      </c>
      <c r="D2412" s="8" t="s">
        <v>45</v>
      </c>
      <c r="E2412" s="9">
        <v>46139</v>
      </c>
      <c r="F2412" s="8">
        <v>9.5652000000000008</v>
      </c>
    </row>
    <row r="2413" spans="1:6" ht="75" x14ac:dyDescent="0.25">
      <c r="A2413" s="8" t="s">
        <v>5</v>
      </c>
      <c r="B2413" s="8" t="s">
        <v>44</v>
      </c>
      <c r="C2413" s="8" t="str">
        <f>IFERROR(_xlfn.XLOOKUP(TRIM(B2413),Lookup!$B$2:$B$1000,Lookup!$C$2:$C$1000),"")</f>
        <v>Equity</v>
      </c>
      <c r="D2413" s="8" t="s">
        <v>45</v>
      </c>
      <c r="E2413" s="9">
        <v>46147</v>
      </c>
      <c r="F2413" s="8">
        <v>9.5668000000000006</v>
      </c>
    </row>
    <row r="2414" spans="1:6" ht="75" x14ac:dyDescent="0.25">
      <c r="A2414" s="8" t="s">
        <v>5</v>
      </c>
      <c r="B2414" s="8" t="s">
        <v>44</v>
      </c>
      <c r="C2414" s="8" t="str">
        <f>IFERROR(_xlfn.XLOOKUP(TRIM(B2414),Lookup!$B$2:$B$1000,Lookup!$C$2:$C$1000),"")</f>
        <v>Equity</v>
      </c>
      <c r="D2414" s="8" t="s">
        <v>45</v>
      </c>
      <c r="E2414" s="9">
        <v>46154</v>
      </c>
      <c r="F2414" s="8">
        <v>9.3552999999999997</v>
      </c>
    </row>
    <row r="2415" spans="1:6" ht="75" x14ac:dyDescent="0.25">
      <c r="A2415" s="8" t="s">
        <v>5</v>
      </c>
      <c r="B2415" s="8" t="s">
        <v>44</v>
      </c>
      <c r="C2415" s="8" t="str">
        <f>IFERROR(_xlfn.XLOOKUP(TRIM(B2415),Lookup!$B$2:$B$1000,Lookup!$C$2:$C$1000),"")</f>
        <v>Equity</v>
      </c>
      <c r="D2415" s="8" t="s">
        <v>45</v>
      </c>
      <c r="E2415" s="9">
        <v>46161</v>
      </c>
      <c r="F2415" s="8">
        <v>9.4591999999999992</v>
      </c>
    </row>
    <row r="2416" spans="1:6" ht="75" x14ac:dyDescent="0.25">
      <c r="A2416" s="8" t="s">
        <v>5</v>
      </c>
      <c r="B2416" s="8" t="s">
        <v>44</v>
      </c>
      <c r="C2416" s="8" t="str">
        <f>IFERROR(_xlfn.XLOOKUP(TRIM(B2416),Lookup!$B$2:$B$1000,Lookup!$C$2:$C$1000),"")</f>
        <v>Equity</v>
      </c>
      <c r="D2416" s="8" t="s">
        <v>45</v>
      </c>
      <c r="E2416" s="9">
        <v>46168</v>
      </c>
      <c r="F2416" s="8">
        <v>9.5169999999999995</v>
      </c>
    </row>
    <row r="2417" spans="1:6" ht="75" x14ac:dyDescent="0.25">
      <c r="A2417" s="8" t="s">
        <v>5</v>
      </c>
      <c r="B2417" s="8" t="s">
        <v>44</v>
      </c>
      <c r="C2417" s="8" t="str">
        <f>IFERROR(_xlfn.XLOOKUP(TRIM(B2417),Lookup!$B$2:$B$1000,Lookup!$C$2:$C$1000),"")</f>
        <v>Equity</v>
      </c>
      <c r="D2417" s="8" t="s">
        <v>45</v>
      </c>
      <c r="E2417" s="9">
        <v>46176</v>
      </c>
      <c r="F2417" s="8">
        <v>9.3102999999999998</v>
      </c>
    </row>
    <row r="2418" spans="1:6" ht="75" x14ac:dyDescent="0.25">
      <c r="A2418" s="8" t="s">
        <v>5</v>
      </c>
      <c r="B2418" s="8" t="s">
        <v>44</v>
      </c>
      <c r="C2418" s="8" t="str">
        <f>IFERROR(_xlfn.XLOOKUP(TRIM(B2418),Lookup!$B$2:$B$1000,Lookup!$C$2:$C$1000),"")</f>
        <v>Equity</v>
      </c>
      <c r="D2418" s="8" t="s">
        <v>45</v>
      </c>
      <c r="E2418" s="9">
        <v>46183</v>
      </c>
      <c r="F2418" s="8">
        <v>9.2957999999999998</v>
      </c>
    </row>
    <row r="2419" spans="1:6" ht="75" x14ac:dyDescent="0.25">
      <c r="A2419" s="8" t="s">
        <v>5</v>
      </c>
      <c r="B2419" s="8" t="s">
        <v>44</v>
      </c>
      <c r="C2419" s="8" t="str">
        <f>IFERROR(_xlfn.XLOOKUP(TRIM(B2419),Lookup!$B$2:$B$1000,Lookup!$C$2:$C$1000),"")</f>
        <v>Equity</v>
      </c>
      <c r="D2419" s="8" t="s">
        <v>45</v>
      </c>
      <c r="E2419" s="9">
        <v>46190</v>
      </c>
      <c r="F2419" s="8">
        <v>9.6727000000000007</v>
      </c>
    </row>
    <row r="2420" spans="1:6" ht="75" x14ac:dyDescent="0.25">
      <c r="A2420" s="8" t="s">
        <v>5</v>
      </c>
      <c r="B2420" s="8" t="s">
        <v>44</v>
      </c>
      <c r="C2420" s="8" t="str">
        <f>IFERROR(_xlfn.XLOOKUP(TRIM(B2420),Lookup!$B$2:$B$1000,Lookup!$C$2:$C$1000),"")</f>
        <v>Equity</v>
      </c>
      <c r="D2420" s="8" t="s">
        <v>45</v>
      </c>
      <c r="E2420" s="9">
        <v>46197</v>
      </c>
      <c r="F2420" s="8">
        <v>9.6605000000000008</v>
      </c>
    </row>
    <row r="2421" spans="1:6" ht="75" x14ac:dyDescent="0.25">
      <c r="A2421" s="8" t="s">
        <v>5</v>
      </c>
      <c r="B2421" s="8" t="s">
        <v>44</v>
      </c>
      <c r="C2421" s="8" t="str">
        <f>IFERROR(_xlfn.XLOOKUP(TRIM(B2421),Lookup!$B$2:$B$1000,Lookup!$C$2:$C$1000),"")</f>
        <v>Equity</v>
      </c>
      <c r="D2421" s="8" t="s">
        <v>45</v>
      </c>
      <c r="E2421" s="9">
        <v>46205</v>
      </c>
      <c r="F2421" s="8">
        <v>9.8806999999999992</v>
      </c>
    </row>
    <row r="2422" spans="1:6" ht="75" x14ac:dyDescent="0.25">
      <c r="A2422" s="8" t="s">
        <v>5</v>
      </c>
      <c r="B2422" s="8" t="s">
        <v>44</v>
      </c>
      <c r="C2422" s="8" t="str">
        <f>IFERROR(_xlfn.XLOOKUP(TRIM(B2422),Lookup!$B$2:$B$1000,Lookup!$C$2:$C$1000),"")</f>
        <v>Equity</v>
      </c>
      <c r="D2422" s="8" t="s">
        <v>45</v>
      </c>
      <c r="E2422" s="9">
        <v>46212</v>
      </c>
      <c r="F2422" s="8">
        <v>9.8267000000000007</v>
      </c>
    </row>
    <row r="2423" spans="1:6" ht="75" x14ac:dyDescent="0.25">
      <c r="A2423" s="8" t="s">
        <v>5</v>
      </c>
      <c r="B2423" s="8" t="s">
        <v>44</v>
      </c>
      <c r="C2423" s="8" t="str">
        <f>IFERROR(_xlfn.XLOOKUP(TRIM(B2423),Lookup!$B$2:$B$1000,Lookup!$C$2:$C$1000),"")</f>
        <v>Equity</v>
      </c>
      <c r="D2423" s="8" t="s">
        <v>45</v>
      </c>
      <c r="E2423" s="9">
        <v>46219</v>
      </c>
      <c r="F2423" s="8">
        <v>9.8013999999999992</v>
      </c>
    </row>
    <row r="2424" spans="1:6" ht="75" x14ac:dyDescent="0.25">
      <c r="A2424" s="8" t="s">
        <v>5</v>
      </c>
      <c r="B2424" s="8" t="s">
        <v>44</v>
      </c>
      <c r="C2424" s="8" t="str">
        <f>IFERROR(_xlfn.XLOOKUP(TRIM(B2424),Lookup!$B$2:$B$1000,Lookup!$C$2:$C$1000),"")</f>
        <v>Equity</v>
      </c>
      <c r="D2424" s="8" t="s">
        <v>45</v>
      </c>
      <c r="E2424" s="9">
        <v>46226</v>
      </c>
      <c r="F2424" s="8">
        <v>9.8961000000000006</v>
      </c>
    </row>
    <row r="2425" spans="1:6" ht="75" x14ac:dyDescent="0.25">
      <c r="A2425" s="8" t="s">
        <v>5</v>
      </c>
      <c r="B2425" s="8" t="s">
        <v>44</v>
      </c>
      <c r="C2425" s="8" t="str">
        <f>IFERROR(_xlfn.XLOOKUP(TRIM(B2425),Lookup!$B$2:$B$1000,Lookup!$C$2:$C$1000),"")</f>
        <v>Equity</v>
      </c>
      <c r="D2425" s="8" t="s">
        <v>45</v>
      </c>
      <c r="E2425" s="9">
        <v>46233</v>
      </c>
      <c r="F2425" s="8">
        <v>10.159800000000001</v>
      </c>
    </row>
    <row r="2426" spans="1:6" ht="60" x14ac:dyDescent="0.25">
      <c r="A2426" s="8" t="s">
        <v>5</v>
      </c>
      <c r="B2426" s="8" t="s">
        <v>46</v>
      </c>
      <c r="C2426" s="8" t="str">
        <f>IFERROR(_xlfn.XLOOKUP(TRIM(B2426),Lookup!$B$2:$B$1000,Lookup!$C$2:$C$1000),"")</f>
        <v>Equity</v>
      </c>
      <c r="D2426" s="8" t="s">
        <v>47</v>
      </c>
      <c r="E2426" s="9">
        <v>45869</v>
      </c>
      <c r="F2426" s="8">
        <v>9.9369999999999994</v>
      </c>
    </row>
    <row r="2427" spans="1:6" ht="60" x14ac:dyDescent="0.25">
      <c r="A2427" s="8" t="s">
        <v>5</v>
      </c>
      <c r="B2427" s="8" t="s">
        <v>46</v>
      </c>
      <c r="C2427" s="8" t="str">
        <f>IFERROR(_xlfn.XLOOKUP(TRIM(B2427),Lookup!$B$2:$B$1000,Lookup!$C$2:$C$1000),"")</f>
        <v>Equity</v>
      </c>
      <c r="D2427" s="8" t="s">
        <v>47</v>
      </c>
      <c r="E2427" s="9">
        <v>45876</v>
      </c>
      <c r="F2427" s="8">
        <v>9.8726000000000003</v>
      </c>
    </row>
    <row r="2428" spans="1:6" ht="60" x14ac:dyDescent="0.25">
      <c r="A2428" s="8" t="s">
        <v>5</v>
      </c>
      <c r="B2428" s="8" t="s">
        <v>46</v>
      </c>
      <c r="C2428" s="8" t="str">
        <f>IFERROR(_xlfn.XLOOKUP(TRIM(B2428),Lookup!$B$2:$B$1000,Lookup!$C$2:$C$1000),"")</f>
        <v>Equity</v>
      </c>
      <c r="D2428" s="8" t="s">
        <v>47</v>
      </c>
      <c r="E2428" s="9">
        <v>45883</v>
      </c>
      <c r="F2428" s="8">
        <v>9.8933</v>
      </c>
    </row>
    <row r="2429" spans="1:6" ht="60" x14ac:dyDescent="0.25">
      <c r="A2429" s="8" t="s">
        <v>5</v>
      </c>
      <c r="B2429" s="8" t="s">
        <v>46</v>
      </c>
      <c r="C2429" s="8" t="str">
        <f>IFERROR(_xlfn.XLOOKUP(TRIM(B2429),Lookup!$B$2:$B$1000,Lookup!$C$2:$C$1000),"")</f>
        <v>Equity</v>
      </c>
      <c r="D2429" s="8" t="s">
        <v>47</v>
      </c>
      <c r="E2429" s="9">
        <v>45891</v>
      </c>
      <c r="F2429" s="8">
        <v>10.026</v>
      </c>
    </row>
    <row r="2430" spans="1:6" ht="60" x14ac:dyDescent="0.25">
      <c r="A2430" s="8" t="s">
        <v>5</v>
      </c>
      <c r="B2430" s="8" t="s">
        <v>46</v>
      </c>
      <c r="C2430" s="8" t="str">
        <f>IFERROR(_xlfn.XLOOKUP(TRIM(B2430),Lookup!$B$2:$B$1000,Lookup!$C$2:$C$1000),"")</f>
        <v>Equity</v>
      </c>
      <c r="D2430" s="8" t="s">
        <v>47</v>
      </c>
      <c r="E2430" s="9">
        <v>45901</v>
      </c>
      <c r="F2430" s="8">
        <v>9.9092000000000002</v>
      </c>
    </row>
    <row r="2431" spans="1:6" ht="60" x14ac:dyDescent="0.25">
      <c r="A2431" s="8" t="s">
        <v>5</v>
      </c>
      <c r="B2431" s="8" t="s">
        <v>46</v>
      </c>
      <c r="C2431" s="8" t="str">
        <f>IFERROR(_xlfn.XLOOKUP(TRIM(B2431),Lookup!$B$2:$B$1000,Lookup!$C$2:$C$1000),"")</f>
        <v>Equity</v>
      </c>
      <c r="D2431" s="8" t="s">
        <v>47</v>
      </c>
      <c r="E2431" s="9">
        <v>45908</v>
      </c>
      <c r="F2431" s="8">
        <v>9.9974000000000007</v>
      </c>
    </row>
    <row r="2432" spans="1:6" ht="60" x14ac:dyDescent="0.25">
      <c r="A2432" s="8" t="s">
        <v>5</v>
      </c>
      <c r="B2432" s="8" t="s">
        <v>46</v>
      </c>
      <c r="C2432" s="8" t="str">
        <f>IFERROR(_xlfn.XLOOKUP(TRIM(B2432),Lookup!$B$2:$B$1000,Lookup!$C$2:$C$1000),"")</f>
        <v>Equity</v>
      </c>
      <c r="D2432" s="8" t="s">
        <v>47</v>
      </c>
      <c r="E2432" s="9">
        <v>45915</v>
      </c>
      <c r="F2432" s="8">
        <v>10.1244</v>
      </c>
    </row>
    <row r="2433" spans="1:6" ht="60" x14ac:dyDescent="0.25">
      <c r="A2433" s="8" t="s">
        <v>5</v>
      </c>
      <c r="B2433" s="8" t="s">
        <v>46</v>
      </c>
      <c r="C2433" s="8" t="str">
        <f>IFERROR(_xlfn.XLOOKUP(TRIM(B2433),Lookup!$B$2:$B$1000,Lookup!$C$2:$C$1000),"")</f>
        <v>Equity</v>
      </c>
      <c r="D2433" s="8" t="s">
        <v>47</v>
      </c>
      <c r="E2433" s="9">
        <v>45922</v>
      </c>
      <c r="F2433" s="8">
        <v>10.195399999999999</v>
      </c>
    </row>
    <row r="2434" spans="1:6" ht="60" x14ac:dyDescent="0.25">
      <c r="A2434" s="8" t="s">
        <v>5</v>
      </c>
      <c r="B2434" s="8" t="s">
        <v>46</v>
      </c>
      <c r="C2434" s="8" t="str">
        <f>IFERROR(_xlfn.XLOOKUP(TRIM(B2434),Lookup!$B$2:$B$1000,Lookup!$C$2:$C$1000),"")</f>
        <v>Equity</v>
      </c>
      <c r="D2434" s="8" t="s">
        <v>47</v>
      </c>
      <c r="E2434" s="9">
        <v>45929</v>
      </c>
      <c r="F2434" s="8">
        <v>9.9652999999999992</v>
      </c>
    </row>
    <row r="2435" spans="1:6" ht="60" x14ac:dyDescent="0.25">
      <c r="A2435" s="8" t="s">
        <v>5</v>
      </c>
      <c r="B2435" s="8" t="s">
        <v>46</v>
      </c>
      <c r="C2435" s="8" t="str">
        <f>IFERROR(_xlfn.XLOOKUP(TRIM(B2435),Lookup!$B$2:$B$1000,Lookup!$C$2:$C$1000),"")</f>
        <v>Equity</v>
      </c>
      <c r="D2435" s="8" t="s">
        <v>47</v>
      </c>
      <c r="E2435" s="9">
        <v>45937</v>
      </c>
      <c r="F2435" s="8">
        <v>10.170199999999999</v>
      </c>
    </row>
    <row r="2436" spans="1:6" ht="60" x14ac:dyDescent="0.25">
      <c r="A2436" s="8" t="s">
        <v>5</v>
      </c>
      <c r="B2436" s="8" t="s">
        <v>46</v>
      </c>
      <c r="C2436" s="8" t="str">
        <f>IFERROR(_xlfn.XLOOKUP(TRIM(B2436),Lookup!$B$2:$B$1000,Lookup!$C$2:$C$1000),"")</f>
        <v>Equity</v>
      </c>
      <c r="D2436" s="8" t="s">
        <v>47</v>
      </c>
      <c r="E2436" s="9">
        <v>45944</v>
      </c>
      <c r="F2436" s="8">
        <v>10.2079</v>
      </c>
    </row>
    <row r="2437" spans="1:6" ht="60" x14ac:dyDescent="0.25">
      <c r="A2437" s="8" t="s">
        <v>5</v>
      </c>
      <c r="B2437" s="8" t="s">
        <v>46</v>
      </c>
      <c r="C2437" s="8" t="str">
        <f>IFERROR(_xlfn.XLOOKUP(TRIM(B2437),Lookup!$B$2:$B$1000,Lookup!$C$2:$C$1000),"")</f>
        <v>Equity</v>
      </c>
      <c r="D2437" s="8" t="s">
        <v>47</v>
      </c>
      <c r="E2437" s="9">
        <v>45953</v>
      </c>
      <c r="F2437" s="8">
        <v>10.509600000000001</v>
      </c>
    </row>
    <row r="2438" spans="1:6" ht="60" x14ac:dyDescent="0.25">
      <c r="A2438" s="8" t="s">
        <v>5</v>
      </c>
      <c r="B2438" s="8" t="s">
        <v>46</v>
      </c>
      <c r="C2438" s="8" t="str">
        <f>IFERROR(_xlfn.XLOOKUP(TRIM(B2438),Lookup!$B$2:$B$1000,Lookup!$C$2:$C$1000),"")</f>
        <v>Equity</v>
      </c>
      <c r="D2438" s="8" t="s">
        <v>47</v>
      </c>
      <c r="E2438" s="9">
        <v>45960</v>
      </c>
      <c r="F2438" s="8">
        <v>10.515599999999999</v>
      </c>
    </row>
    <row r="2439" spans="1:6" ht="60" x14ac:dyDescent="0.25">
      <c r="A2439" s="8" t="s">
        <v>5</v>
      </c>
      <c r="B2439" s="8" t="s">
        <v>46</v>
      </c>
      <c r="C2439" s="8" t="str">
        <f>IFERROR(_xlfn.XLOOKUP(TRIM(B2439),Lookup!$B$2:$B$1000,Lookup!$C$2:$C$1000),"")</f>
        <v>Equity</v>
      </c>
      <c r="D2439" s="8" t="s">
        <v>47</v>
      </c>
      <c r="E2439" s="9">
        <v>45968</v>
      </c>
      <c r="F2439" s="8">
        <v>10.3893</v>
      </c>
    </row>
    <row r="2440" spans="1:6" ht="60" x14ac:dyDescent="0.25">
      <c r="A2440" s="8" t="s">
        <v>5</v>
      </c>
      <c r="B2440" s="8" t="s">
        <v>46</v>
      </c>
      <c r="C2440" s="8" t="str">
        <f>IFERROR(_xlfn.XLOOKUP(TRIM(B2440),Lookup!$B$2:$B$1000,Lookup!$C$2:$C$1000),"")</f>
        <v>Equity</v>
      </c>
      <c r="D2440" s="8" t="s">
        <v>47</v>
      </c>
      <c r="E2440" s="9">
        <v>45975</v>
      </c>
      <c r="F2440" s="8">
        <v>10.5435</v>
      </c>
    </row>
    <row r="2441" spans="1:6" ht="60" x14ac:dyDescent="0.25">
      <c r="A2441" s="8" t="s">
        <v>5</v>
      </c>
      <c r="B2441" s="8" t="s">
        <v>46</v>
      </c>
      <c r="C2441" s="8" t="str">
        <f>IFERROR(_xlfn.XLOOKUP(TRIM(B2441),Lookup!$B$2:$B$1000,Lookup!$C$2:$C$1000),"")</f>
        <v>Equity</v>
      </c>
      <c r="D2441" s="8" t="s">
        <v>47</v>
      </c>
      <c r="E2441" s="9">
        <v>45982</v>
      </c>
      <c r="F2441" s="8">
        <v>10.5814</v>
      </c>
    </row>
    <row r="2442" spans="1:6" ht="60" x14ac:dyDescent="0.25">
      <c r="A2442" s="8" t="s">
        <v>5</v>
      </c>
      <c r="B2442" s="8" t="s">
        <v>46</v>
      </c>
      <c r="C2442" s="8" t="str">
        <f>IFERROR(_xlfn.XLOOKUP(TRIM(B2442),Lookup!$B$2:$B$1000,Lookup!$C$2:$C$1000),"")</f>
        <v>Equity</v>
      </c>
      <c r="D2442" s="8" t="s">
        <v>47</v>
      </c>
      <c r="E2442" s="9">
        <v>45989</v>
      </c>
      <c r="F2442" s="8">
        <v>10.6502</v>
      </c>
    </row>
    <row r="2443" spans="1:6" ht="60" x14ac:dyDescent="0.25">
      <c r="A2443" s="8" t="s">
        <v>5</v>
      </c>
      <c r="B2443" s="8" t="s">
        <v>46</v>
      </c>
      <c r="C2443" s="8" t="str">
        <f>IFERROR(_xlfn.XLOOKUP(TRIM(B2443),Lookup!$B$2:$B$1000,Lookup!$C$2:$C$1000),"")</f>
        <v>Equity</v>
      </c>
      <c r="D2443" s="8" t="s">
        <v>47</v>
      </c>
      <c r="E2443" s="9">
        <v>45996</v>
      </c>
      <c r="F2443" s="8">
        <v>10.6035</v>
      </c>
    </row>
    <row r="2444" spans="1:6" ht="60" x14ac:dyDescent="0.25">
      <c r="A2444" s="8" t="s">
        <v>5</v>
      </c>
      <c r="B2444" s="8" t="s">
        <v>46</v>
      </c>
      <c r="C2444" s="8" t="str">
        <f>IFERROR(_xlfn.XLOOKUP(TRIM(B2444),Lookup!$B$2:$B$1000,Lookup!$C$2:$C$1000),"")</f>
        <v>Equity</v>
      </c>
      <c r="D2444" s="8" t="s">
        <v>47</v>
      </c>
      <c r="E2444" s="9">
        <v>46003</v>
      </c>
      <c r="F2444" s="8">
        <v>10.601800000000001</v>
      </c>
    </row>
    <row r="2445" spans="1:6" ht="60" x14ac:dyDescent="0.25">
      <c r="A2445" s="8" t="s">
        <v>5</v>
      </c>
      <c r="B2445" s="8" t="s">
        <v>46</v>
      </c>
      <c r="C2445" s="8" t="str">
        <f>IFERROR(_xlfn.XLOOKUP(TRIM(B2445),Lookup!$B$2:$B$1000,Lookup!$C$2:$C$1000),"")</f>
        <v>Equity</v>
      </c>
      <c r="D2445" s="8" t="s">
        <v>47</v>
      </c>
      <c r="E2445" s="9">
        <v>46010</v>
      </c>
      <c r="F2445" s="8">
        <v>10.6366</v>
      </c>
    </row>
    <row r="2446" spans="1:6" ht="60" x14ac:dyDescent="0.25">
      <c r="A2446" s="8" t="s">
        <v>5</v>
      </c>
      <c r="B2446" s="8" t="s">
        <v>46</v>
      </c>
      <c r="C2446" s="8" t="str">
        <f>IFERROR(_xlfn.XLOOKUP(TRIM(B2446),Lookup!$B$2:$B$1000,Lookup!$C$2:$C$1000),"")</f>
        <v>Equity</v>
      </c>
      <c r="D2446" s="8" t="s">
        <v>47</v>
      </c>
      <c r="E2446" s="9">
        <v>46020</v>
      </c>
      <c r="F2446" s="8">
        <v>10.6035</v>
      </c>
    </row>
    <row r="2447" spans="1:6" ht="60" x14ac:dyDescent="0.25">
      <c r="A2447" s="8" t="s">
        <v>5</v>
      </c>
      <c r="B2447" s="8" t="s">
        <v>46</v>
      </c>
      <c r="C2447" s="8" t="str">
        <f>IFERROR(_xlfn.XLOOKUP(TRIM(B2447),Lookup!$B$2:$B$1000,Lookup!$C$2:$C$1000),"")</f>
        <v>Equity</v>
      </c>
      <c r="D2447" s="8" t="s">
        <v>47</v>
      </c>
      <c r="E2447" s="9">
        <v>46027</v>
      </c>
      <c r="F2447" s="8">
        <v>10.728899999999999</v>
      </c>
    </row>
    <row r="2448" spans="1:6" ht="60" x14ac:dyDescent="0.25">
      <c r="A2448" s="8" t="s">
        <v>5</v>
      </c>
      <c r="B2448" s="8" t="s">
        <v>46</v>
      </c>
      <c r="C2448" s="8" t="str">
        <f>IFERROR(_xlfn.XLOOKUP(TRIM(B2448),Lookup!$B$2:$B$1000,Lookup!$C$2:$C$1000),"")</f>
        <v>Equity</v>
      </c>
      <c r="D2448" s="8" t="s">
        <v>47</v>
      </c>
      <c r="E2448" s="9">
        <v>46034</v>
      </c>
      <c r="F2448" s="8">
        <v>10.4931</v>
      </c>
    </row>
    <row r="2449" spans="1:6" ht="60" x14ac:dyDescent="0.25">
      <c r="A2449" s="8" t="s">
        <v>5</v>
      </c>
      <c r="B2449" s="8" t="s">
        <v>46</v>
      </c>
      <c r="C2449" s="8" t="str">
        <f>IFERROR(_xlfn.XLOOKUP(TRIM(B2449),Lookup!$B$2:$B$1000,Lookup!$C$2:$C$1000),"")</f>
        <v>Equity</v>
      </c>
      <c r="D2449" s="8" t="s">
        <v>47</v>
      </c>
      <c r="E2449" s="9">
        <v>46042</v>
      </c>
      <c r="F2449" s="8">
        <v>10.2727</v>
      </c>
    </row>
    <row r="2450" spans="1:6" ht="60" x14ac:dyDescent="0.25">
      <c r="A2450" s="8" t="s">
        <v>5</v>
      </c>
      <c r="B2450" s="8" t="s">
        <v>46</v>
      </c>
      <c r="C2450" s="8" t="str">
        <f>IFERROR(_xlfn.XLOOKUP(TRIM(B2450),Lookup!$B$2:$B$1000,Lookup!$C$2:$C$1000),"")</f>
        <v>Equity</v>
      </c>
      <c r="D2450" s="8" t="s">
        <v>47</v>
      </c>
      <c r="E2450" s="9">
        <v>46050</v>
      </c>
      <c r="F2450" s="8">
        <v>10.3119</v>
      </c>
    </row>
    <row r="2451" spans="1:6" ht="60" x14ac:dyDescent="0.25">
      <c r="A2451" s="8" t="s">
        <v>5</v>
      </c>
      <c r="B2451" s="8" t="s">
        <v>46</v>
      </c>
      <c r="C2451" s="8" t="str">
        <f>IFERROR(_xlfn.XLOOKUP(TRIM(B2451),Lookup!$B$2:$B$1000,Lookup!$C$2:$C$1000),"")</f>
        <v>Equity</v>
      </c>
      <c r="D2451" s="8" t="s">
        <v>47</v>
      </c>
      <c r="E2451" s="9">
        <v>46056</v>
      </c>
      <c r="F2451" s="8">
        <v>10.4854</v>
      </c>
    </row>
    <row r="2452" spans="1:6" ht="60" x14ac:dyDescent="0.25">
      <c r="A2452" s="8" t="s">
        <v>5</v>
      </c>
      <c r="B2452" s="8" t="s">
        <v>46</v>
      </c>
      <c r="C2452" s="8" t="str">
        <f>IFERROR(_xlfn.XLOOKUP(TRIM(B2452),Lookup!$B$2:$B$1000,Lookup!$C$2:$C$1000),"")</f>
        <v>Equity</v>
      </c>
      <c r="D2452" s="8" t="s">
        <v>47</v>
      </c>
      <c r="E2452" s="9">
        <v>46063</v>
      </c>
      <c r="F2452" s="8">
        <v>10.6136</v>
      </c>
    </row>
    <row r="2453" spans="1:6" ht="60" x14ac:dyDescent="0.25">
      <c r="A2453" s="8" t="s">
        <v>5</v>
      </c>
      <c r="B2453" s="8" t="s">
        <v>46</v>
      </c>
      <c r="C2453" s="8" t="str">
        <f>IFERROR(_xlfn.XLOOKUP(TRIM(B2453),Lookup!$B$2:$B$1000,Lookup!$C$2:$C$1000),"")</f>
        <v>Equity</v>
      </c>
      <c r="D2453" s="8" t="s">
        <v>47</v>
      </c>
      <c r="E2453" s="9">
        <v>46070</v>
      </c>
      <c r="F2453" s="8">
        <v>10.53</v>
      </c>
    </row>
    <row r="2454" spans="1:6" ht="60" x14ac:dyDescent="0.25">
      <c r="A2454" s="8" t="s">
        <v>5</v>
      </c>
      <c r="B2454" s="8" t="s">
        <v>46</v>
      </c>
      <c r="C2454" s="8" t="str">
        <f>IFERROR(_xlfn.XLOOKUP(TRIM(B2454),Lookup!$B$2:$B$1000,Lookup!$C$2:$C$1000),"")</f>
        <v>Equity</v>
      </c>
      <c r="D2454" s="8" t="s">
        <v>47</v>
      </c>
      <c r="E2454" s="9">
        <v>46077</v>
      </c>
      <c r="F2454" s="8">
        <v>10.4133</v>
      </c>
    </row>
    <row r="2455" spans="1:6" ht="60" x14ac:dyDescent="0.25">
      <c r="A2455" s="8" t="s">
        <v>5</v>
      </c>
      <c r="B2455" s="8" t="s">
        <v>46</v>
      </c>
      <c r="C2455" s="8" t="str">
        <f>IFERROR(_xlfn.XLOOKUP(TRIM(B2455),Lookup!$B$2:$B$1000,Lookup!$C$2:$C$1000),"")</f>
        <v>Equity</v>
      </c>
      <c r="D2455" s="8" t="s">
        <v>47</v>
      </c>
      <c r="E2455" s="9">
        <v>46085</v>
      </c>
      <c r="F2455" s="8">
        <v>10.015599999999999</v>
      </c>
    </row>
    <row r="2456" spans="1:6" ht="60" x14ac:dyDescent="0.25">
      <c r="A2456" s="8" t="s">
        <v>5</v>
      </c>
      <c r="B2456" s="8" t="s">
        <v>46</v>
      </c>
      <c r="C2456" s="8" t="str">
        <f>IFERROR(_xlfn.XLOOKUP(TRIM(B2456),Lookup!$B$2:$B$1000,Lookup!$C$2:$C$1000),"")</f>
        <v>Equity</v>
      </c>
      <c r="D2456" s="8" t="s">
        <v>47</v>
      </c>
      <c r="E2456" s="9">
        <v>46092</v>
      </c>
      <c r="F2456" s="8">
        <v>9.7958999999999996</v>
      </c>
    </row>
    <row r="2457" spans="1:6" ht="60" x14ac:dyDescent="0.25">
      <c r="A2457" s="8" t="s">
        <v>5</v>
      </c>
      <c r="B2457" s="8" t="s">
        <v>46</v>
      </c>
      <c r="C2457" s="8" t="str">
        <f>IFERROR(_xlfn.XLOOKUP(TRIM(B2457),Lookup!$B$2:$B$1000,Lookup!$C$2:$C$1000),"")</f>
        <v>Equity</v>
      </c>
      <c r="D2457" s="8" t="s">
        <v>47</v>
      </c>
      <c r="E2457" s="9">
        <v>46099</v>
      </c>
      <c r="F2457" s="8">
        <v>9.7346000000000004</v>
      </c>
    </row>
    <row r="2458" spans="1:6" ht="60" x14ac:dyDescent="0.25">
      <c r="A2458" s="8" t="s">
        <v>5</v>
      </c>
      <c r="B2458" s="8" t="s">
        <v>46</v>
      </c>
      <c r="C2458" s="8" t="str">
        <f>IFERROR(_xlfn.XLOOKUP(TRIM(B2458),Lookup!$B$2:$B$1000,Lookup!$C$2:$C$1000),"")</f>
        <v>Equity</v>
      </c>
      <c r="D2458" s="8" t="s">
        <v>47</v>
      </c>
      <c r="E2458" s="9">
        <v>46106</v>
      </c>
      <c r="F2458" s="8">
        <v>9.5604999999999993</v>
      </c>
    </row>
    <row r="2459" spans="1:6" ht="60" x14ac:dyDescent="0.25">
      <c r="A2459" s="8" t="s">
        <v>5</v>
      </c>
      <c r="B2459" s="8" t="s">
        <v>46</v>
      </c>
      <c r="C2459" s="8" t="str">
        <f>IFERROR(_xlfn.XLOOKUP(TRIM(B2459),Lookup!$B$2:$B$1000,Lookup!$C$2:$C$1000),"")</f>
        <v>Equity</v>
      </c>
      <c r="D2459" s="8" t="s">
        <v>47</v>
      </c>
      <c r="E2459" s="9">
        <v>46114</v>
      </c>
      <c r="F2459" s="8">
        <v>9.3398000000000003</v>
      </c>
    </row>
    <row r="2460" spans="1:6" ht="60" x14ac:dyDescent="0.25">
      <c r="A2460" s="8" t="s">
        <v>5</v>
      </c>
      <c r="B2460" s="8" t="s">
        <v>46</v>
      </c>
      <c r="C2460" s="8" t="str">
        <f>IFERROR(_xlfn.XLOOKUP(TRIM(B2460),Lookup!$B$2:$B$1000,Lookup!$C$2:$C$1000),"")</f>
        <v>Equity</v>
      </c>
      <c r="D2460" s="8" t="s">
        <v>47</v>
      </c>
      <c r="E2460" s="9">
        <v>46122</v>
      </c>
      <c r="F2460" s="8">
        <v>9.9436999999999998</v>
      </c>
    </row>
    <row r="2461" spans="1:6" ht="60" x14ac:dyDescent="0.25">
      <c r="A2461" s="8" t="s">
        <v>5</v>
      </c>
      <c r="B2461" s="8" t="s">
        <v>46</v>
      </c>
      <c r="C2461" s="8" t="str">
        <f>IFERROR(_xlfn.XLOOKUP(TRIM(B2461),Lookup!$B$2:$B$1000,Lookup!$C$2:$C$1000),"")</f>
        <v>Equity</v>
      </c>
      <c r="D2461" s="8" t="s">
        <v>47</v>
      </c>
      <c r="E2461" s="9">
        <v>46132</v>
      </c>
      <c r="F2461" s="8">
        <v>10.088100000000001</v>
      </c>
    </row>
    <row r="2462" spans="1:6" ht="60" x14ac:dyDescent="0.25">
      <c r="A2462" s="8" t="s">
        <v>5</v>
      </c>
      <c r="B2462" s="8" t="s">
        <v>46</v>
      </c>
      <c r="C2462" s="8" t="str">
        <f>IFERROR(_xlfn.XLOOKUP(TRIM(B2462),Lookup!$B$2:$B$1000,Lookup!$C$2:$C$1000),"")</f>
        <v>Equity</v>
      </c>
      <c r="D2462" s="8" t="s">
        <v>47</v>
      </c>
      <c r="E2462" s="9">
        <v>46139</v>
      </c>
      <c r="F2462" s="8">
        <v>10.038399999999999</v>
      </c>
    </row>
    <row r="2463" spans="1:6" ht="60" x14ac:dyDescent="0.25">
      <c r="A2463" s="8" t="s">
        <v>5</v>
      </c>
      <c r="B2463" s="8" t="s">
        <v>46</v>
      </c>
      <c r="C2463" s="8" t="str">
        <f>IFERROR(_xlfn.XLOOKUP(TRIM(B2463),Lookup!$B$2:$B$1000,Lookup!$C$2:$C$1000),"")</f>
        <v>Equity</v>
      </c>
      <c r="D2463" s="8" t="s">
        <v>47</v>
      </c>
      <c r="E2463" s="9">
        <v>46147</v>
      </c>
      <c r="F2463" s="8">
        <v>10.0288</v>
      </c>
    </row>
    <row r="2464" spans="1:6" ht="60" x14ac:dyDescent="0.25">
      <c r="A2464" s="8" t="s">
        <v>5</v>
      </c>
      <c r="B2464" s="8" t="s">
        <v>46</v>
      </c>
      <c r="C2464" s="8" t="str">
        <f>IFERROR(_xlfn.XLOOKUP(TRIM(B2464),Lookup!$B$2:$B$1000,Lookup!$C$2:$C$1000),"")</f>
        <v>Equity</v>
      </c>
      <c r="D2464" s="8" t="s">
        <v>47</v>
      </c>
      <c r="E2464" s="9">
        <v>46154</v>
      </c>
      <c r="F2464" s="8">
        <v>9.7912999999999997</v>
      </c>
    </row>
    <row r="2465" spans="1:6" ht="60" x14ac:dyDescent="0.25">
      <c r="A2465" s="8" t="s">
        <v>5</v>
      </c>
      <c r="B2465" s="8" t="s">
        <v>46</v>
      </c>
      <c r="C2465" s="8" t="str">
        <f>IFERROR(_xlfn.XLOOKUP(TRIM(B2465),Lookup!$B$2:$B$1000,Lookup!$C$2:$C$1000),"")</f>
        <v>Equity</v>
      </c>
      <c r="D2465" s="8" t="s">
        <v>47</v>
      </c>
      <c r="E2465" s="9">
        <v>46161</v>
      </c>
      <c r="F2465" s="8">
        <v>9.8732000000000006</v>
      </c>
    </row>
    <row r="2466" spans="1:6" ht="60" x14ac:dyDescent="0.25">
      <c r="A2466" s="8" t="s">
        <v>5</v>
      </c>
      <c r="B2466" s="8" t="s">
        <v>46</v>
      </c>
      <c r="C2466" s="8" t="str">
        <f>IFERROR(_xlfn.XLOOKUP(TRIM(B2466),Lookup!$B$2:$B$1000,Lookup!$C$2:$C$1000),"")</f>
        <v>Equity</v>
      </c>
      <c r="D2466" s="8" t="s">
        <v>47</v>
      </c>
      <c r="E2466" s="9">
        <v>46168</v>
      </c>
      <c r="F2466" s="8">
        <v>10.0319</v>
      </c>
    </row>
    <row r="2467" spans="1:6" ht="60" x14ac:dyDescent="0.25">
      <c r="A2467" s="8" t="s">
        <v>5</v>
      </c>
      <c r="B2467" s="8" t="s">
        <v>46</v>
      </c>
      <c r="C2467" s="8" t="str">
        <f>IFERROR(_xlfn.XLOOKUP(TRIM(B2467),Lookup!$B$2:$B$1000,Lookup!$C$2:$C$1000),"")</f>
        <v>Equity</v>
      </c>
      <c r="D2467" s="8" t="s">
        <v>47</v>
      </c>
      <c r="E2467" s="9">
        <v>46176</v>
      </c>
      <c r="F2467" s="8">
        <v>9.8465000000000007</v>
      </c>
    </row>
    <row r="2468" spans="1:6" ht="60" x14ac:dyDescent="0.25">
      <c r="A2468" s="8" t="s">
        <v>5</v>
      </c>
      <c r="B2468" s="8" t="s">
        <v>46</v>
      </c>
      <c r="C2468" s="8" t="str">
        <f>IFERROR(_xlfn.XLOOKUP(TRIM(B2468),Lookup!$B$2:$B$1000,Lookup!$C$2:$C$1000),"")</f>
        <v>Equity</v>
      </c>
      <c r="D2468" s="8" t="s">
        <v>47</v>
      </c>
      <c r="E2468" s="9">
        <v>46183</v>
      </c>
      <c r="F2468" s="8">
        <v>9.8127999999999993</v>
      </c>
    </row>
    <row r="2469" spans="1:6" ht="60" x14ac:dyDescent="0.25">
      <c r="A2469" s="8" t="s">
        <v>5</v>
      </c>
      <c r="B2469" s="8" t="s">
        <v>46</v>
      </c>
      <c r="C2469" s="8" t="str">
        <f>IFERROR(_xlfn.XLOOKUP(TRIM(B2469),Lookup!$B$2:$B$1000,Lookup!$C$2:$C$1000),"")</f>
        <v>Equity</v>
      </c>
      <c r="D2469" s="8" t="s">
        <v>47</v>
      </c>
      <c r="E2469" s="9">
        <v>46190</v>
      </c>
      <c r="F2469" s="8">
        <v>10.2171</v>
      </c>
    </row>
    <row r="2470" spans="1:6" ht="60" x14ac:dyDescent="0.25">
      <c r="A2470" s="8" t="s">
        <v>5</v>
      </c>
      <c r="B2470" s="8" t="s">
        <v>46</v>
      </c>
      <c r="C2470" s="8" t="str">
        <f>IFERROR(_xlfn.XLOOKUP(TRIM(B2470),Lookup!$B$2:$B$1000,Lookup!$C$2:$C$1000),"")</f>
        <v>Equity</v>
      </c>
      <c r="D2470" s="8" t="s">
        <v>47</v>
      </c>
      <c r="E2470" s="9">
        <v>46197</v>
      </c>
      <c r="F2470" s="8">
        <v>10.2607</v>
      </c>
    </row>
    <row r="2471" spans="1:6" ht="60" x14ac:dyDescent="0.25">
      <c r="A2471" s="8" t="s">
        <v>5</v>
      </c>
      <c r="B2471" s="8" t="s">
        <v>46</v>
      </c>
      <c r="C2471" s="8" t="str">
        <f>IFERROR(_xlfn.XLOOKUP(TRIM(B2471),Lookup!$B$2:$B$1000,Lookup!$C$2:$C$1000),"")</f>
        <v>Equity</v>
      </c>
      <c r="D2471" s="8" t="s">
        <v>47</v>
      </c>
      <c r="E2471" s="9">
        <v>46205</v>
      </c>
      <c r="F2471" s="8">
        <v>10.3346</v>
      </c>
    </row>
    <row r="2472" spans="1:6" ht="60" x14ac:dyDescent="0.25">
      <c r="A2472" s="8" t="s">
        <v>5</v>
      </c>
      <c r="B2472" s="8" t="s">
        <v>46</v>
      </c>
      <c r="C2472" s="8" t="str">
        <f>IFERROR(_xlfn.XLOOKUP(TRIM(B2472),Lookup!$B$2:$B$1000,Lookup!$C$2:$C$1000),"")</f>
        <v>Equity</v>
      </c>
      <c r="D2472" s="8" t="s">
        <v>47</v>
      </c>
      <c r="E2472" s="9">
        <v>46212</v>
      </c>
      <c r="F2472" s="8">
        <v>10.253399999999999</v>
      </c>
    </row>
    <row r="2473" spans="1:6" ht="60" x14ac:dyDescent="0.25">
      <c r="A2473" s="8" t="s">
        <v>5</v>
      </c>
      <c r="B2473" s="8" t="s">
        <v>46</v>
      </c>
      <c r="C2473" s="8" t="str">
        <f>IFERROR(_xlfn.XLOOKUP(TRIM(B2473),Lookup!$B$2:$B$1000,Lookup!$C$2:$C$1000),"")</f>
        <v>Equity</v>
      </c>
      <c r="D2473" s="8" t="s">
        <v>47</v>
      </c>
      <c r="E2473" s="9">
        <v>46219</v>
      </c>
      <c r="F2473" s="8">
        <v>10.296900000000001</v>
      </c>
    </row>
    <row r="2474" spans="1:6" ht="60" x14ac:dyDescent="0.25">
      <c r="A2474" s="8" t="s">
        <v>5</v>
      </c>
      <c r="B2474" s="8" t="s">
        <v>46</v>
      </c>
      <c r="C2474" s="8" t="str">
        <f>IFERROR(_xlfn.XLOOKUP(TRIM(B2474),Lookup!$B$2:$B$1000,Lookup!$C$2:$C$1000),"")</f>
        <v>Equity</v>
      </c>
      <c r="D2474" s="8" t="s">
        <v>47</v>
      </c>
      <c r="E2474" s="9">
        <v>46226</v>
      </c>
      <c r="F2474" s="8">
        <v>10.1828</v>
      </c>
    </row>
    <row r="2475" spans="1:6" ht="60" x14ac:dyDescent="0.25">
      <c r="A2475" s="8" t="s">
        <v>5</v>
      </c>
      <c r="B2475" s="8" t="s">
        <v>46</v>
      </c>
      <c r="C2475" s="8" t="str">
        <f>IFERROR(_xlfn.XLOOKUP(TRIM(B2475),Lookup!$B$2:$B$1000,Lookup!$C$2:$C$1000),"")</f>
        <v>Equity</v>
      </c>
      <c r="D2475" s="8" t="s">
        <v>47</v>
      </c>
      <c r="E2475" s="9">
        <v>46233</v>
      </c>
      <c r="F2475" s="8">
        <v>10.4194</v>
      </c>
    </row>
    <row r="2476" spans="1:6" ht="75" x14ac:dyDescent="0.25">
      <c r="A2476" s="8" t="s">
        <v>5</v>
      </c>
      <c r="B2476" s="8" t="s">
        <v>48</v>
      </c>
      <c r="C2476" s="8" t="str">
        <f>IFERROR(_xlfn.XLOOKUP(TRIM(B2476),Lookup!$B$2:$B$1000,Lookup!$C$2:$C$1000),"")</f>
        <v>Equity</v>
      </c>
      <c r="D2476" s="8" t="s">
        <v>49</v>
      </c>
      <c r="E2476" s="9">
        <v>45869</v>
      </c>
      <c r="F2476" s="8">
        <v>51.118699999999997</v>
      </c>
    </row>
    <row r="2477" spans="1:6" ht="75" x14ac:dyDescent="0.25">
      <c r="A2477" s="8" t="s">
        <v>5</v>
      </c>
      <c r="B2477" s="8" t="s">
        <v>48</v>
      </c>
      <c r="C2477" s="8" t="str">
        <f>IFERROR(_xlfn.XLOOKUP(TRIM(B2477),Lookup!$B$2:$B$1000,Lookup!$C$2:$C$1000),"")</f>
        <v>Equity</v>
      </c>
      <c r="D2477" s="8" t="s">
        <v>49</v>
      </c>
      <c r="E2477" s="9">
        <v>45876</v>
      </c>
      <c r="F2477" s="8">
        <v>50.750599999999999</v>
      </c>
    </row>
    <row r="2478" spans="1:6" ht="75" x14ac:dyDescent="0.25">
      <c r="A2478" s="8" t="s">
        <v>5</v>
      </c>
      <c r="B2478" s="8" t="s">
        <v>48</v>
      </c>
      <c r="C2478" s="8" t="str">
        <f>IFERROR(_xlfn.XLOOKUP(TRIM(B2478),Lookup!$B$2:$B$1000,Lookup!$C$2:$C$1000),"")</f>
        <v>Equity</v>
      </c>
      <c r="D2478" s="8" t="s">
        <v>49</v>
      </c>
      <c r="E2478" s="9">
        <v>45883</v>
      </c>
      <c r="F2478" s="8">
        <v>50.805300000000003</v>
      </c>
    </row>
    <row r="2479" spans="1:6" ht="75" x14ac:dyDescent="0.25">
      <c r="A2479" s="8" t="s">
        <v>5</v>
      </c>
      <c r="B2479" s="8" t="s">
        <v>48</v>
      </c>
      <c r="C2479" s="8" t="str">
        <f>IFERROR(_xlfn.XLOOKUP(TRIM(B2479),Lookup!$B$2:$B$1000,Lookup!$C$2:$C$1000),"")</f>
        <v>Equity</v>
      </c>
      <c r="D2479" s="8" t="s">
        <v>49</v>
      </c>
      <c r="E2479" s="9">
        <v>45891</v>
      </c>
      <c r="F2479" s="8">
        <v>51.716500000000003</v>
      </c>
    </row>
    <row r="2480" spans="1:6" ht="75" x14ac:dyDescent="0.25">
      <c r="A2480" s="8" t="s">
        <v>5</v>
      </c>
      <c r="B2480" s="8" t="s">
        <v>48</v>
      </c>
      <c r="C2480" s="8" t="str">
        <f>IFERROR(_xlfn.XLOOKUP(TRIM(B2480),Lookup!$B$2:$B$1000,Lookup!$C$2:$C$1000),"")</f>
        <v>Equity</v>
      </c>
      <c r="D2480" s="8" t="s">
        <v>49</v>
      </c>
      <c r="E2480" s="9">
        <v>45901</v>
      </c>
      <c r="F2480" s="8">
        <v>51.1004</v>
      </c>
    </row>
    <row r="2481" spans="1:6" ht="75" x14ac:dyDescent="0.25">
      <c r="A2481" s="8" t="s">
        <v>5</v>
      </c>
      <c r="B2481" s="8" t="s">
        <v>48</v>
      </c>
      <c r="C2481" s="8" t="str">
        <f>IFERROR(_xlfn.XLOOKUP(TRIM(B2481),Lookup!$B$2:$B$1000,Lookup!$C$2:$C$1000),"")</f>
        <v>Equity</v>
      </c>
      <c r="D2481" s="8" t="s">
        <v>49</v>
      </c>
      <c r="E2481" s="9">
        <v>45908</v>
      </c>
      <c r="F2481" s="8">
        <v>51.494300000000003</v>
      </c>
    </row>
    <row r="2482" spans="1:6" ht="75" x14ac:dyDescent="0.25">
      <c r="A2482" s="8" t="s">
        <v>5</v>
      </c>
      <c r="B2482" s="8" t="s">
        <v>48</v>
      </c>
      <c r="C2482" s="8" t="str">
        <f>IFERROR(_xlfn.XLOOKUP(TRIM(B2482),Lookup!$B$2:$B$1000,Lookup!$C$2:$C$1000),"")</f>
        <v>Equity</v>
      </c>
      <c r="D2482" s="8" t="s">
        <v>49</v>
      </c>
      <c r="E2482" s="9">
        <v>45915</v>
      </c>
      <c r="F2482" s="8">
        <v>52.185899999999997</v>
      </c>
    </row>
    <row r="2483" spans="1:6" ht="75" x14ac:dyDescent="0.25">
      <c r="A2483" s="8" t="s">
        <v>5</v>
      </c>
      <c r="B2483" s="8" t="s">
        <v>48</v>
      </c>
      <c r="C2483" s="8" t="str">
        <f>IFERROR(_xlfn.XLOOKUP(TRIM(B2483),Lookup!$B$2:$B$1000,Lookup!$C$2:$C$1000),"")</f>
        <v>Equity</v>
      </c>
      <c r="D2483" s="8" t="s">
        <v>49</v>
      </c>
      <c r="E2483" s="9">
        <v>45922</v>
      </c>
      <c r="F2483" s="8">
        <v>52.4863</v>
      </c>
    </row>
    <row r="2484" spans="1:6" ht="75" x14ac:dyDescent="0.25">
      <c r="A2484" s="8" t="s">
        <v>5</v>
      </c>
      <c r="B2484" s="8" t="s">
        <v>48</v>
      </c>
      <c r="C2484" s="8" t="str">
        <f>IFERROR(_xlfn.XLOOKUP(TRIM(B2484),Lookup!$B$2:$B$1000,Lookup!$C$2:$C$1000),"")</f>
        <v>Equity</v>
      </c>
      <c r="D2484" s="8" t="s">
        <v>49</v>
      </c>
      <c r="E2484" s="9">
        <v>45929</v>
      </c>
      <c r="F2484" s="8">
        <v>51.124000000000002</v>
      </c>
    </row>
    <row r="2485" spans="1:6" ht="75" x14ac:dyDescent="0.25">
      <c r="A2485" s="8" t="s">
        <v>5</v>
      </c>
      <c r="B2485" s="8" t="s">
        <v>48</v>
      </c>
      <c r="C2485" s="8" t="str">
        <f>IFERROR(_xlfn.XLOOKUP(TRIM(B2485),Lookup!$B$2:$B$1000,Lookup!$C$2:$C$1000),"")</f>
        <v>Equity</v>
      </c>
      <c r="D2485" s="8" t="s">
        <v>49</v>
      </c>
      <c r="E2485" s="9">
        <v>45937</v>
      </c>
      <c r="F2485" s="8">
        <v>52.217700000000001</v>
      </c>
    </row>
    <row r="2486" spans="1:6" ht="75" x14ac:dyDescent="0.25">
      <c r="A2486" s="8" t="s">
        <v>5</v>
      </c>
      <c r="B2486" s="8" t="s">
        <v>48</v>
      </c>
      <c r="C2486" s="8" t="str">
        <f>IFERROR(_xlfn.XLOOKUP(TRIM(B2486),Lookup!$B$2:$B$1000,Lookup!$C$2:$C$1000),"")</f>
        <v>Equity</v>
      </c>
      <c r="D2486" s="8" t="s">
        <v>49</v>
      </c>
      <c r="E2486" s="9">
        <v>45944</v>
      </c>
      <c r="F2486" s="8">
        <v>52.261299999999999</v>
      </c>
    </row>
    <row r="2487" spans="1:6" ht="75" x14ac:dyDescent="0.25">
      <c r="A2487" s="8" t="s">
        <v>5</v>
      </c>
      <c r="B2487" s="8" t="s">
        <v>48</v>
      </c>
      <c r="C2487" s="8" t="str">
        <f>IFERROR(_xlfn.XLOOKUP(TRIM(B2487),Lookup!$B$2:$B$1000,Lookup!$C$2:$C$1000),"")</f>
        <v>Equity</v>
      </c>
      <c r="D2487" s="8" t="s">
        <v>49</v>
      </c>
      <c r="E2487" s="9">
        <v>45953</v>
      </c>
      <c r="F2487" s="8">
        <v>53.566699999999997</v>
      </c>
    </row>
    <row r="2488" spans="1:6" ht="75" x14ac:dyDescent="0.25">
      <c r="A2488" s="8" t="s">
        <v>5</v>
      </c>
      <c r="B2488" s="8" t="s">
        <v>48</v>
      </c>
      <c r="C2488" s="8" t="str">
        <f>IFERROR(_xlfn.XLOOKUP(TRIM(B2488),Lookup!$B$2:$B$1000,Lookup!$C$2:$C$1000),"")</f>
        <v>Equity</v>
      </c>
      <c r="D2488" s="8" t="s">
        <v>49</v>
      </c>
      <c r="E2488" s="9">
        <v>45960</v>
      </c>
      <c r="F2488" s="8">
        <v>53.646900000000002</v>
      </c>
    </row>
    <row r="2489" spans="1:6" ht="75" x14ac:dyDescent="0.25">
      <c r="A2489" s="8" t="s">
        <v>5</v>
      </c>
      <c r="B2489" s="8" t="s">
        <v>48</v>
      </c>
      <c r="C2489" s="8" t="str">
        <f>IFERROR(_xlfn.XLOOKUP(TRIM(B2489),Lookup!$B$2:$B$1000,Lookup!$C$2:$C$1000),"")</f>
        <v>Equity</v>
      </c>
      <c r="D2489" s="8" t="s">
        <v>49</v>
      </c>
      <c r="E2489" s="9">
        <v>45968</v>
      </c>
      <c r="F2489" s="8">
        <v>53.104399999999998</v>
      </c>
    </row>
    <row r="2490" spans="1:6" ht="75" x14ac:dyDescent="0.25">
      <c r="A2490" s="8" t="s">
        <v>5</v>
      </c>
      <c r="B2490" s="8" t="s">
        <v>48</v>
      </c>
      <c r="C2490" s="8" t="str">
        <f>IFERROR(_xlfn.XLOOKUP(TRIM(B2490),Lookup!$B$2:$B$1000,Lookup!$C$2:$C$1000),"")</f>
        <v>Equity</v>
      </c>
      <c r="D2490" s="8" t="s">
        <v>49</v>
      </c>
      <c r="E2490" s="9">
        <v>45975</v>
      </c>
      <c r="F2490" s="8">
        <v>53.801200000000001</v>
      </c>
    </row>
    <row r="2491" spans="1:6" ht="75" x14ac:dyDescent="0.25">
      <c r="A2491" s="8" t="s">
        <v>5</v>
      </c>
      <c r="B2491" s="8" t="s">
        <v>48</v>
      </c>
      <c r="C2491" s="8" t="str">
        <f>IFERROR(_xlfn.XLOOKUP(TRIM(B2491),Lookup!$B$2:$B$1000,Lookup!$C$2:$C$1000),"")</f>
        <v>Equity</v>
      </c>
      <c r="D2491" s="8" t="s">
        <v>49</v>
      </c>
      <c r="E2491" s="9">
        <v>45982</v>
      </c>
      <c r="F2491" s="8">
        <v>53.956000000000003</v>
      </c>
    </row>
    <row r="2492" spans="1:6" ht="75" x14ac:dyDescent="0.25">
      <c r="A2492" s="8" t="s">
        <v>5</v>
      </c>
      <c r="B2492" s="8" t="s">
        <v>48</v>
      </c>
      <c r="C2492" s="8" t="str">
        <f>IFERROR(_xlfn.XLOOKUP(TRIM(B2492),Lookup!$B$2:$B$1000,Lookup!$C$2:$C$1000),"")</f>
        <v>Equity</v>
      </c>
      <c r="D2492" s="8" t="s">
        <v>49</v>
      </c>
      <c r="E2492" s="9">
        <v>45989</v>
      </c>
      <c r="F2492" s="8">
        <v>54.352899999999998</v>
      </c>
    </row>
    <row r="2493" spans="1:6" ht="75" x14ac:dyDescent="0.25">
      <c r="A2493" s="8" t="s">
        <v>5</v>
      </c>
      <c r="B2493" s="8" t="s">
        <v>48</v>
      </c>
      <c r="C2493" s="8" t="str">
        <f>IFERROR(_xlfn.XLOOKUP(TRIM(B2493),Lookup!$B$2:$B$1000,Lookup!$C$2:$C$1000),"")</f>
        <v>Equity</v>
      </c>
      <c r="D2493" s="8" t="s">
        <v>49</v>
      </c>
      <c r="E2493" s="9">
        <v>45996</v>
      </c>
      <c r="F2493" s="8">
        <v>54.027099999999997</v>
      </c>
    </row>
    <row r="2494" spans="1:6" ht="75" x14ac:dyDescent="0.25">
      <c r="A2494" s="8" t="s">
        <v>5</v>
      </c>
      <c r="B2494" s="8" t="s">
        <v>48</v>
      </c>
      <c r="C2494" s="8" t="str">
        <f>IFERROR(_xlfn.XLOOKUP(TRIM(B2494),Lookup!$B$2:$B$1000,Lookup!$C$2:$C$1000),"")</f>
        <v>Equity</v>
      </c>
      <c r="D2494" s="8" t="s">
        <v>49</v>
      </c>
      <c r="E2494" s="9">
        <v>46003</v>
      </c>
      <c r="F2494" s="8">
        <v>53.866599999999998</v>
      </c>
    </row>
    <row r="2495" spans="1:6" ht="75" x14ac:dyDescent="0.25">
      <c r="A2495" s="8" t="s">
        <v>5</v>
      </c>
      <c r="B2495" s="8" t="s">
        <v>48</v>
      </c>
      <c r="C2495" s="8" t="str">
        <f>IFERROR(_xlfn.XLOOKUP(TRIM(B2495),Lookup!$B$2:$B$1000,Lookup!$C$2:$C$1000),"")</f>
        <v>Equity</v>
      </c>
      <c r="D2495" s="8" t="s">
        <v>49</v>
      </c>
      <c r="E2495" s="9">
        <v>46010</v>
      </c>
      <c r="F2495" s="8">
        <v>53.7502</v>
      </c>
    </row>
    <row r="2496" spans="1:6" ht="75" x14ac:dyDescent="0.25">
      <c r="A2496" s="8" t="s">
        <v>5</v>
      </c>
      <c r="B2496" s="8" t="s">
        <v>48</v>
      </c>
      <c r="C2496" s="8" t="str">
        <f>IFERROR(_xlfn.XLOOKUP(TRIM(B2496),Lookup!$B$2:$B$1000,Lookup!$C$2:$C$1000),"")</f>
        <v>Equity</v>
      </c>
      <c r="D2496" s="8" t="s">
        <v>49</v>
      </c>
      <c r="E2496" s="9">
        <v>46020</v>
      </c>
      <c r="F2496" s="8">
        <v>53.644300000000001</v>
      </c>
    </row>
    <row r="2497" spans="1:6" ht="75" x14ac:dyDescent="0.25">
      <c r="A2497" s="8" t="s">
        <v>5</v>
      </c>
      <c r="B2497" s="8" t="s">
        <v>48</v>
      </c>
      <c r="C2497" s="8" t="str">
        <f>IFERROR(_xlfn.XLOOKUP(TRIM(B2497),Lookup!$B$2:$B$1000,Lookup!$C$2:$C$1000),"")</f>
        <v>Equity</v>
      </c>
      <c r="D2497" s="8" t="s">
        <v>49</v>
      </c>
      <c r="E2497" s="9">
        <v>46027</v>
      </c>
      <c r="F2497" s="8">
        <v>54.301000000000002</v>
      </c>
    </row>
    <row r="2498" spans="1:6" ht="75" x14ac:dyDescent="0.25">
      <c r="A2498" s="8" t="s">
        <v>5</v>
      </c>
      <c r="B2498" s="8" t="s">
        <v>48</v>
      </c>
      <c r="C2498" s="8" t="str">
        <f>IFERROR(_xlfn.XLOOKUP(TRIM(B2498),Lookup!$B$2:$B$1000,Lookup!$C$2:$C$1000),"")</f>
        <v>Equity</v>
      </c>
      <c r="D2498" s="8" t="s">
        <v>49</v>
      </c>
      <c r="E2498" s="9">
        <v>46034</v>
      </c>
      <c r="F2498" s="8">
        <v>53.026299999999999</v>
      </c>
    </row>
    <row r="2499" spans="1:6" ht="75" x14ac:dyDescent="0.25">
      <c r="A2499" s="8" t="s">
        <v>5</v>
      </c>
      <c r="B2499" s="8" t="s">
        <v>48</v>
      </c>
      <c r="C2499" s="8" t="str">
        <f>IFERROR(_xlfn.XLOOKUP(TRIM(B2499),Lookup!$B$2:$B$1000,Lookup!$C$2:$C$1000),"")</f>
        <v>Equity</v>
      </c>
      <c r="D2499" s="8" t="s">
        <v>49</v>
      </c>
      <c r="E2499" s="9">
        <v>46042</v>
      </c>
      <c r="F2499" s="8">
        <v>51.907499999999999</v>
      </c>
    </row>
    <row r="2500" spans="1:6" ht="75" x14ac:dyDescent="0.25">
      <c r="A2500" s="8" t="s">
        <v>5</v>
      </c>
      <c r="B2500" s="8" t="s">
        <v>48</v>
      </c>
      <c r="C2500" s="8" t="str">
        <f>IFERROR(_xlfn.XLOOKUP(TRIM(B2500),Lookup!$B$2:$B$1000,Lookup!$C$2:$C$1000),"")</f>
        <v>Equity</v>
      </c>
      <c r="D2500" s="8" t="s">
        <v>49</v>
      </c>
      <c r="E2500" s="9">
        <v>46050</v>
      </c>
      <c r="F2500" s="8">
        <v>51.969299999999997</v>
      </c>
    </row>
    <row r="2501" spans="1:6" ht="75" x14ac:dyDescent="0.25">
      <c r="A2501" s="8" t="s">
        <v>5</v>
      </c>
      <c r="B2501" s="8" t="s">
        <v>48</v>
      </c>
      <c r="C2501" s="8" t="str">
        <f>IFERROR(_xlfn.XLOOKUP(TRIM(B2501),Lookup!$B$2:$B$1000,Lookup!$C$2:$C$1000),"")</f>
        <v>Equity</v>
      </c>
      <c r="D2501" s="8" t="s">
        <v>49</v>
      </c>
      <c r="E2501" s="9">
        <v>46056</v>
      </c>
      <c r="F2501" s="8">
        <v>52.903199999999998</v>
      </c>
    </row>
    <row r="2502" spans="1:6" ht="75" x14ac:dyDescent="0.25">
      <c r="A2502" s="8" t="s">
        <v>5</v>
      </c>
      <c r="B2502" s="8" t="s">
        <v>48</v>
      </c>
      <c r="C2502" s="8" t="str">
        <f>IFERROR(_xlfn.XLOOKUP(TRIM(B2502),Lookup!$B$2:$B$1000,Lookup!$C$2:$C$1000),"")</f>
        <v>Equity</v>
      </c>
      <c r="D2502" s="8" t="s">
        <v>49</v>
      </c>
      <c r="E2502" s="9">
        <v>46063</v>
      </c>
      <c r="F2502" s="8">
        <v>53.5563</v>
      </c>
    </row>
    <row r="2503" spans="1:6" ht="75" x14ac:dyDescent="0.25">
      <c r="A2503" s="8" t="s">
        <v>5</v>
      </c>
      <c r="B2503" s="8" t="s">
        <v>48</v>
      </c>
      <c r="C2503" s="8" t="str">
        <f>IFERROR(_xlfn.XLOOKUP(TRIM(B2503),Lookup!$B$2:$B$1000,Lookup!$C$2:$C$1000),"")</f>
        <v>Equity</v>
      </c>
      <c r="D2503" s="8" t="s">
        <v>49</v>
      </c>
      <c r="E2503" s="9">
        <v>46070</v>
      </c>
      <c r="F2503" s="8">
        <v>53.325099999999999</v>
      </c>
    </row>
    <row r="2504" spans="1:6" ht="75" x14ac:dyDescent="0.25">
      <c r="A2504" s="8" t="s">
        <v>5</v>
      </c>
      <c r="B2504" s="8" t="s">
        <v>48</v>
      </c>
      <c r="C2504" s="8" t="str">
        <f>IFERROR(_xlfn.XLOOKUP(TRIM(B2504),Lookup!$B$2:$B$1000,Lookup!$C$2:$C$1000),"")</f>
        <v>Equity</v>
      </c>
      <c r="D2504" s="8" t="s">
        <v>49</v>
      </c>
      <c r="E2504" s="9">
        <v>46077</v>
      </c>
      <c r="F2504" s="8">
        <v>52.6083</v>
      </c>
    </row>
    <row r="2505" spans="1:6" ht="75" x14ac:dyDescent="0.25">
      <c r="A2505" s="8" t="s">
        <v>5</v>
      </c>
      <c r="B2505" s="8" t="s">
        <v>48</v>
      </c>
      <c r="C2505" s="8" t="str">
        <f>IFERROR(_xlfn.XLOOKUP(TRIM(B2505),Lookup!$B$2:$B$1000,Lookup!$C$2:$C$1000),"")</f>
        <v>Equity</v>
      </c>
      <c r="D2505" s="8" t="s">
        <v>49</v>
      </c>
      <c r="E2505" s="9">
        <v>46085</v>
      </c>
      <c r="F2505" s="8">
        <v>50.531599999999997</v>
      </c>
    </row>
    <row r="2506" spans="1:6" ht="75" x14ac:dyDescent="0.25">
      <c r="A2506" s="8" t="s">
        <v>5</v>
      </c>
      <c r="B2506" s="8" t="s">
        <v>48</v>
      </c>
      <c r="C2506" s="8" t="str">
        <f>IFERROR(_xlfn.XLOOKUP(TRIM(B2506),Lookup!$B$2:$B$1000,Lookup!$C$2:$C$1000),"")</f>
        <v>Equity</v>
      </c>
      <c r="D2506" s="8" t="s">
        <v>49</v>
      </c>
      <c r="E2506" s="9">
        <v>46092</v>
      </c>
      <c r="F2506" s="8">
        <v>49.567100000000003</v>
      </c>
    </row>
    <row r="2507" spans="1:6" ht="75" x14ac:dyDescent="0.25">
      <c r="A2507" s="8" t="s">
        <v>5</v>
      </c>
      <c r="B2507" s="8" t="s">
        <v>48</v>
      </c>
      <c r="C2507" s="8" t="str">
        <f>IFERROR(_xlfn.XLOOKUP(TRIM(B2507),Lookup!$B$2:$B$1000,Lookup!$C$2:$C$1000),"")</f>
        <v>Equity</v>
      </c>
      <c r="D2507" s="8" t="s">
        <v>49</v>
      </c>
      <c r="E2507" s="9">
        <v>46099</v>
      </c>
      <c r="F2507" s="8">
        <v>49.231999999999999</v>
      </c>
    </row>
    <row r="2508" spans="1:6" ht="75" x14ac:dyDescent="0.25">
      <c r="A2508" s="8" t="s">
        <v>5</v>
      </c>
      <c r="B2508" s="8" t="s">
        <v>48</v>
      </c>
      <c r="C2508" s="8" t="str">
        <f>IFERROR(_xlfn.XLOOKUP(TRIM(B2508),Lookup!$B$2:$B$1000,Lookup!$C$2:$C$1000),"")</f>
        <v>Equity</v>
      </c>
      <c r="D2508" s="8" t="s">
        <v>49</v>
      </c>
      <c r="E2508" s="9">
        <v>46106</v>
      </c>
      <c r="F2508" s="8">
        <v>48.360100000000003</v>
      </c>
    </row>
    <row r="2509" spans="1:6" ht="75" x14ac:dyDescent="0.25">
      <c r="A2509" s="8" t="s">
        <v>5</v>
      </c>
      <c r="B2509" s="8" t="s">
        <v>48</v>
      </c>
      <c r="C2509" s="8" t="str">
        <f>IFERROR(_xlfn.XLOOKUP(TRIM(B2509),Lookup!$B$2:$B$1000,Lookup!$C$2:$C$1000),"")</f>
        <v>Equity</v>
      </c>
      <c r="D2509" s="8" t="s">
        <v>49</v>
      </c>
      <c r="E2509" s="9">
        <v>46114</v>
      </c>
      <c r="F2509" s="8">
        <v>47.034599999999998</v>
      </c>
    </row>
    <row r="2510" spans="1:6" ht="75" x14ac:dyDescent="0.25">
      <c r="A2510" s="8" t="s">
        <v>5</v>
      </c>
      <c r="B2510" s="8" t="s">
        <v>48</v>
      </c>
      <c r="C2510" s="8" t="str">
        <f>IFERROR(_xlfn.XLOOKUP(TRIM(B2510),Lookup!$B$2:$B$1000,Lookup!$C$2:$C$1000),"")</f>
        <v>Equity</v>
      </c>
      <c r="D2510" s="8" t="s">
        <v>49</v>
      </c>
      <c r="E2510" s="9">
        <v>46122</v>
      </c>
      <c r="F2510" s="8">
        <v>50.298400000000001</v>
      </c>
    </row>
    <row r="2511" spans="1:6" ht="75" x14ac:dyDescent="0.25">
      <c r="A2511" s="8" t="s">
        <v>5</v>
      </c>
      <c r="B2511" s="8" t="s">
        <v>48</v>
      </c>
      <c r="C2511" s="8" t="str">
        <f>IFERROR(_xlfn.XLOOKUP(TRIM(B2511),Lookup!$B$2:$B$1000,Lookup!$C$2:$C$1000),"")</f>
        <v>Equity</v>
      </c>
      <c r="D2511" s="8" t="s">
        <v>49</v>
      </c>
      <c r="E2511" s="9">
        <v>46132</v>
      </c>
      <c r="F2511" s="8">
        <v>51.199100000000001</v>
      </c>
    </row>
    <row r="2512" spans="1:6" ht="75" x14ac:dyDescent="0.25">
      <c r="A2512" s="8" t="s">
        <v>5</v>
      </c>
      <c r="B2512" s="8" t="s">
        <v>48</v>
      </c>
      <c r="C2512" s="8" t="str">
        <f>IFERROR(_xlfn.XLOOKUP(TRIM(B2512),Lookup!$B$2:$B$1000,Lookup!$C$2:$C$1000),"")</f>
        <v>Equity</v>
      </c>
      <c r="D2512" s="8" t="s">
        <v>49</v>
      </c>
      <c r="E2512" s="9">
        <v>46139</v>
      </c>
      <c r="F2512" s="8">
        <v>51.107100000000003</v>
      </c>
    </row>
    <row r="2513" spans="1:6" ht="75" x14ac:dyDescent="0.25">
      <c r="A2513" s="8" t="s">
        <v>5</v>
      </c>
      <c r="B2513" s="8" t="s">
        <v>48</v>
      </c>
      <c r="C2513" s="8" t="str">
        <f>IFERROR(_xlfn.XLOOKUP(TRIM(B2513),Lookup!$B$2:$B$1000,Lookup!$C$2:$C$1000),"")</f>
        <v>Equity</v>
      </c>
      <c r="D2513" s="8" t="s">
        <v>49</v>
      </c>
      <c r="E2513" s="9">
        <v>46147</v>
      </c>
      <c r="F2513" s="8">
        <v>51.015700000000002</v>
      </c>
    </row>
    <row r="2514" spans="1:6" ht="75" x14ac:dyDescent="0.25">
      <c r="A2514" s="8" t="s">
        <v>5</v>
      </c>
      <c r="B2514" s="8" t="s">
        <v>48</v>
      </c>
      <c r="C2514" s="8" t="str">
        <f>IFERROR(_xlfn.XLOOKUP(TRIM(B2514),Lookup!$B$2:$B$1000,Lookup!$C$2:$C$1000),"")</f>
        <v>Equity</v>
      </c>
      <c r="D2514" s="8" t="s">
        <v>49</v>
      </c>
      <c r="E2514" s="9">
        <v>46154</v>
      </c>
      <c r="F2514" s="8">
        <v>49.9818</v>
      </c>
    </row>
    <row r="2515" spans="1:6" ht="75" x14ac:dyDescent="0.25">
      <c r="A2515" s="8" t="s">
        <v>5</v>
      </c>
      <c r="B2515" s="8" t="s">
        <v>48</v>
      </c>
      <c r="C2515" s="8" t="str">
        <f>IFERROR(_xlfn.XLOOKUP(TRIM(B2515),Lookup!$B$2:$B$1000,Lookup!$C$2:$C$1000),"")</f>
        <v>Equity</v>
      </c>
      <c r="D2515" s="8" t="s">
        <v>49</v>
      </c>
      <c r="E2515" s="9">
        <v>46161</v>
      </c>
      <c r="F2515" s="8">
        <v>50.523899999999998</v>
      </c>
    </row>
    <row r="2516" spans="1:6" ht="75" x14ac:dyDescent="0.25">
      <c r="A2516" s="8" t="s">
        <v>5</v>
      </c>
      <c r="B2516" s="8" t="s">
        <v>48</v>
      </c>
      <c r="C2516" s="8" t="str">
        <f>IFERROR(_xlfn.XLOOKUP(TRIM(B2516),Lookup!$B$2:$B$1000,Lookup!$C$2:$C$1000),"")</f>
        <v>Equity</v>
      </c>
      <c r="D2516" s="8" t="s">
        <v>49</v>
      </c>
      <c r="E2516" s="9">
        <v>46168</v>
      </c>
      <c r="F2516" s="8">
        <v>51.361600000000003</v>
      </c>
    </row>
    <row r="2517" spans="1:6" ht="75" x14ac:dyDescent="0.25">
      <c r="A2517" s="8" t="s">
        <v>5</v>
      </c>
      <c r="B2517" s="8" t="s">
        <v>48</v>
      </c>
      <c r="C2517" s="8" t="str">
        <f>IFERROR(_xlfn.XLOOKUP(TRIM(B2517),Lookup!$B$2:$B$1000,Lookup!$C$2:$C$1000),"")</f>
        <v>Equity</v>
      </c>
      <c r="D2517" s="8" t="s">
        <v>49</v>
      </c>
      <c r="E2517" s="9">
        <v>46176</v>
      </c>
      <c r="F2517" s="8">
        <v>50.290399999999998</v>
      </c>
    </row>
    <row r="2518" spans="1:6" ht="75" x14ac:dyDescent="0.25">
      <c r="A2518" s="8" t="s">
        <v>5</v>
      </c>
      <c r="B2518" s="8" t="s">
        <v>48</v>
      </c>
      <c r="C2518" s="8" t="str">
        <f>IFERROR(_xlfn.XLOOKUP(TRIM(B2518),Lookup!$B$2:$B$1000,Lookup!$C$2:$C$1000),"")</f>
        <v>Equity</v>
      </c>
      <c r="D2518" s="8" t="s">
        <v>49</v>
      </c>
      <c r="E2518" s="9">
        <v>46183</v>
      </c>
      <c r="F2518" s="8">
        <v>50.080599999999997</v>
      </c>
    </row>
    <row r="2519" spans="1:6" ht="75" x14ac:dyDescent="0.25">
      <c r="A2519" s="8" t="s">
        <v>5</v>
      </c>
      <c r="B2519" s="8" t="s">
        <v>48</v>
      </c>
      <c r="C2519" s="8" t="str">
        <f>IFERROR(_xlfn.XLOOKUP(TRIM(B2519),Lookup!$B$2:$B$1000,Lookup!$C$2:$C$1000),"")</f>
        <v>Equity</v>
      </c>
      <c r="D2519" s="8" t="s">
        <v>49</v>
      </c>
      <c r="E2519" s="9">
        <v>46190</v>
      </c>
      <c r="F2519" s="8">
        <v>52.1541</v>
      </c>
    </row>
    <row r="2520" spans="1:6" ht="75" x14ac:dyDescent="0.25">
      <c r="A2520" s="8" t="s">
        <v>5</v>
      </c>
      <c r="B2520" s="8" t="s">
        <v>48</v>
      </c>
      <c r="C2520" s="8" t="str">
        <f>IFERROR(_xlfn.XLOOKUP(TRIM(B2520),Lookup!$B$2:$B$1000,Lookup!$C$2:$C$1000),"")</f>
        <v>Equity</v>
      </c>
      <c r="D2520" s="8" t="s">
        <v>49</v>
      </c>
      <c r="E2520" s="9">
        <v>46197</v>
      </c>
      <c r="F2520" s="8">
        <v>52.513800000000003</v>
      </c>
    </row>
    <row r="2521" spans="1:6" ht="75" x14ac:dyDescent="0.25">
      <c r="A2521" s="8" t="s">
        <v>5</v>
      </c>
      <c r="B2521" s="8" t="s">
        <v>48</v>
      </c>
      <c r="C2521" s="8" t="str">
        <f>IFERROR(_xlfn.XLOOKUP(TRIM(B2521),Lookup!$B$2:$B$1000,Lookup!$C$2:$C$1000),"")</f>
        <v>Equity</v>
      </c>
      <c r="D2521" s="8" t="s">
        <v>49</v>
      </c>
      <c r="E2521" s="9">
        <v>46205</v>
      </c>
      <c r="F2521" s="8">
        <v>52.8977</v>
      </c>
    </row>
    <row r="2522" spans="1:6" ht="75" x14ac:dyDescent="0.25">
      <c r="A2522" s="8" t="s">
        <v>5</v>
      </c>
      <c r="B2522" s="8" t="s">
        <v>48</v>
      </c>
      <c r="C2522" s="8" t="str">
        <f>IFERROR(_xlfn.XLOOKUP(TRIM(B2522),Lookup!$B$2:$B$1000,Lookup!$C$2:$C$1000),"")</f>
        <v>Equity</v>
      </c>
      <c r="D2522" s="8" t="s">
        <v>49</v>
      </c>
      <c r="E2522" s="9">
        <v>46212</v>
      </c>
      <c r="F2522" s="8">
        <v>52.653500000000001</v>
      </c>
    </row>
    <row r="2523" spans="1:6" ht="75" x14ac:dyDescent="0.25">
      <c r="A2523" s="8" t="s">
        <v>5</v>
      </c>
      <c r="B2523" s="8" t="s">
        <v>48</v>
      </c>
      <c r="C2523" s="8" t="str">
        <f>IFERROR(_xlfn.XLOOKUP(TRIM(B2523),Lookup!$B$2:$B$1000,Lookup!$C$2:$C$1000),"")</f>
        <v>Equity</v>
      </c>
      <c r="D2523" s="8" t="s">
        <v>49</v>
      </c>
      <c r="E2523" s="9">
        <v>46219</v>
      </c>
      <c r="F2523" s="8">
        <v>53.055100000000003</v>
      </c>
    </row>
    <row r="2524" spans="1:6" ht="75" x14ac:dyDescent="0.25">
      <c r="A2524" s="8" t="s">
        <v>5</v>
      </c>
      <c r="B2524" s="8" t="s">
        <v>48</v>
      </c>
      <c r="C2524" s="8" t="str">
        <f>IFERROR(_xlfn.XLOOKUP(TRIM(B2524),Lookup!$B$2:$B$1000,Lookup!$C$2:$C$1000),"")</f>
        <v>Equity</v>
      </c>
      <c r="D2524" s="8" t="s">
        <v>49</v>
      </c>
      <c r="E2524" s="9">
        <v>46226</v>
      </c>
      <c r="F2524" s="8">
        <v>52.2776</v>
      </c>
    </row>
    <row r="2525" spans="1:6" ht="75" x14ac:dyDescent="0.25">
      <c r="A2525" s="8" t="s">
        <v>5</v>
      </c>
      <c r="B2525" s="8" t="s">
        <v>48</v>
      </c>
      <c r="C2525" s="8" t="str">
        <f>IFERROR(_xlfn.XLOOKUP(TRIM(B2525),Lookup!$B$2:$B$1000,Lookup!$C$2:$C$1000),"")</f>
        <v>Equity</v>
      </c>
      <c r="D2525" s="8" t="s">
        <v>49</v>
      </c>
      <c r="E2525" s="9">
        <v>46233</v>
      </c>
      <c r="F2525" s="8">
        <v>53.1541</v>
      </c>
    </row>
    <row r="2526" spans="1:6" ht="60" x14ac:dyDescent="0.25">
      <c r="A2526" s="8" t="s">
        <v>5</v>
      </c>
      <c r="B2526" s="8" t="s">
        <v>50</v>
      </c>
      <c r="C2526" s="8" t="str">
        <f>IFERROR(_xlfn.XLOOKUP(TRIM(B2526),Lookup!$B$2:$B$1000,Lookup!$C$2:$C$1000),"")</f>
        <v>Equity</v>
      </c>
      <c r="D2526" s="8" t="s">
        <v>51</v>
      </c>
      <c r="E2526" s="9">
        <v>45869</v>
      </c>
      <c r="F2526" s="8">
        <v>58.5137</v>
      </c>
    </row>
    <row r="2527" spans="1:6" ht="60" x14ac:dyDescent="0.25">
      <c r="A2527" s="8" t="s">
        <v>5</v>
      </c>
      <c r="B2527" s="8" t="s">
        <v>50</v>
      </c>
      <c r="C2527" s="8" t="str">
        <f>IFERROR(_xlfn.XLOOKUP(TRIM(B2527),Lookup!$B$2:$B$1000,Lookup!$C$2:$C$1000),"")</f>
        <v>Equity</v>
      </c>
      <c r="D2527" s="8" t="s">
        <v>51</v>
      </c>
      <c r="E2527" s="9">
        <v>45876</v>
      </c>
      <c r="F2527" s="8">
        <v>58.073</v>
      </c>
    </row>
    <row r="2528" spans="1:6" ht="60" x14ac:dyDescent="0.25">
      <c r="A2528" s="8" t="s">
        <v>5</v>
      </c>
      <c r="B2528" s="8" t="s">
        <v>50</v>
      </c>
      <c r="C2528" s="8" t="str">
        <f>IFERROR(_xlfn.XLOOKUP(TRIM(B2528),Lookup!$B$2:$B$1000,Lookup!$C$2:$C$1000),"")</f>
        <v>Equity</v>
      </c>
      <c r="D2528" s="8" t="s">
        <v>51</v>
      </c>
      <c r="E2528" s="9">
        <v>45883</v>
      </c>
      <c r="F2528" s="8">
        <v>58.124600000000001</v>
      </c>
    </row>
    <row r="2529" spans="1:6" ht="60" x14ac:dyDescent="0.25">
      <c r="A2529" s="8" t="s">
        <v>5</v>
      </c>
      <c r="B2529" s="8" t="s">
        <v>50</v>
      </c>
      <c r="C2529" s="8" t="str">
        <f>IFERROR(_xlfn.XLOOKUP(TRIM(B2529),Lookup!$B$2:$B$1000,Lookup!$C$2:$C$1000),"")</f>
        <v>Equity</v>
      </c>
      <c r="D2529" s="8" t="s">
        <v>51</v>
      </c>
      <c r="E2529" s="9">
        <v>45891</v>
      </c>
      <c r="F2529" s="8">
        <v>59.010199999999998</v>
      </c>
    </row>
    <row r="2530" spans="1:6" ht="60" x14ac:dyDescent="0.25">
      <c r="A2530" s="8" t="s">
        <v>5</v>
      </c>
      <c r="B2530" s="8" t="s">
        <v>50</v>
      </c>
      <c r="C2530" s="8" t="str">
        <f>IFERROR(_xlfn.XLOOKUP(TRIM(B2530),Lookup!$B$2:$B$1000,Lookup!$C$2:$C$1000),"")</f>
        <v>Equity</v>
      </c>
      <c r="D2530" s="8" t="s">
        <v>51</v>
      </c>
      <c r="E2530" s="9">
        <v>45901</v>
      </c>
      <c r="F2530" s="8">
        <v>58.319699999999997</v>
      </c>
    </row>
    <row r="2531" spans="1:6" ht="60" x14ac:dyDescent="0.25">
      <c r="A2531" s="8" t="s">
        <v>5</v>
      </c>
      <c r="B2531" s="8" t="s">
        <v>50</v>
      </c>
      <c r="C2531" s="8" t="str">
        <f>IFERROR(_xlfn.XLOOKUP(TRIM(B2531),Lookup!$B$2:$B$1000,Lookup!$C$2:$C$1000),"")</f>
        <v>Equity</v>
      </c>
      <c r="D2531" s="8" t="s">
        <v>51</v>
      </c>
      <c r="E2531" s="9">
        <v>45908</v>
      </c>
      <c r="F2531" s="8">
        <v>58.884799999999998</v>
      </c>
    </row>
    <row r="2532" spans="1:6" ht="60" x14ac:dyDescent="0.25">
      <c r="A2532" s="8" t="s">
        <v>5</v>
      </c>
      <c r="B2532" s="8" t="s">
        <v>50</v>
      </c>
      <c r="C2532" s="8" t="str">
        <f>IFERROR(_xlfn.XLOOKUP(TRIM(B2532),Lookup!$B$2:$B$1000,Lookup!$C$2:$C$1000),"")</f>
        <v>Equity</v>
      </c>
      <c r="D2532" s="8" t="s">
        <v>51</v>
      </c>
      <c r="E2532" s="9">
        <v>45915</v>
      </c>
      <c r="F2532" s="8">
        <v>59.6663</v>
      </c>
    </row>
    <row r="2533" spans="1:6" ht="60" x14ac:dyDescent="0.25">
      <c r="A2533" s="8" t="s">
        <v>5</v>
      </c>
      <c r="B2533" s="8" t="s">
        <v>50</v>
      </c>
      <c r="C2533" s="8" t="str">
        <f>IFERROR(_xlfn.XLOOKUP(TRIM(B2533),Lookup!$B$2:$B$1000,Lookup!$C$2:$C$1000),"")</f>
        <v>Equity</v>
      </c>
      <c r="D2533" s="8" t="s">
        <v>51</v>
      </c>
      <c r="E2533" s="9">
        <v>45922</v>
      </c>
      <c r="F2533" s="8">
        <v>60.130800000000001</v>
      </c>
    </row>
    <row r="2534" spans="1:6" ht="60" x14ac:dyDescent="0.25">
      <c r="A2534" s="8" t="s">
        <v>5</v>
      </c>
      <c r="B2534" s="8" t="s">
        <v>50</v>
      </c>
      <c r="C2534" s="8" t="str">
        <f>IFERROR(_xlfn.XLOOKUP(TRIM(B2534),Lookup!$B$2:$B$1000,Lookup!$C$2:$C$1000),"")</f>
        <v>Equity</v>
      </c>
      <c r="D2534" s="8" t="s">
        <v>51</v>
      </c>
      <c r="E2534" s="9">
        <v>45929</v>
      </c>
      <c r="F2534" s="8">
        <v>58.558300000000003</v>
      </c>
    </row>
    <row r="2535" spans="1:6" ht="60" x14ac:dyDescent="0.25">
      <c r="A2535" s="8" t="s">
        <v>5</v>
      </c>
      <c r="B2535" s="8" t="s">
        <v>50</v>
      </c>
      <c r="C2535" s="8" t="str">
        <f>IFERROR(_xlfn.XLOOKUP(TRIM(B2535),Lookup!$B$2:$B$1000,Lookup!$C$2:$C$1000),"")</f>
        <v>Equity</v>
      </c>
      <c r="D2535" s="8" t="s">
        <v>51</v>
      </c>
      <c r="E2535" s="9">
        <v>45937</v>
      </c>
      <c r="F2535" s="8">
        <v>59.761899999999997</v>
      </c>
    </row>
    <row r="2536" spans="1:6" ht="60" x14ac:dyDescent="0.25">
      <c r="A2536" s="8" t="s">
        <v>5</v>
      </c>
      <c r="B2536" s="8" t="s">
        <v>50</v>
      </c>
      <c r="C2536" s="8" t="str">
        <f>IFERROR(_xlfn.XLOOKUP(TRIM(B2536),Lookup!$B$2:$B$1000,Lookup!$C$2:$C$1000),"")</f>
        <v>Equity</v>
      </c>
      <c r="D2536" s="8" t="s">
        <v>51</v>
      </c>
      <c r="E2536" s="9">
        <v>45944</v>
      </c>
      <c r="F2536" s="8">
        <v>59.614600000000003</v>
      </c>
    </row>
    <row r="2537" spans="1:6" ht="60" x14ac:dyDescent="0.25">
      <c r="A2537" s="8" t="s">
        <v>5</v>
      </c>
      <c r="B2537" s="8" t="s">
        <v>50</v>
      </c>
      <c r="C2537" s="8" t="str">
        <f>IFERROR(_xlfn.XLOOKUP(TRIM(B2537),Lookup!$B$2:$B$1000,Lookup!$C$2:$C$1000),"")</f>
        <v>Equity</v>
      </c>
      <c r="D2537" s="8" t="s">
        <v>51</v>
      </c>
      <c r="E2537" s="9">
        <v>45953</v>
      </c>
      <c r="F2537" s="8">
        <v>61.252099999999999</v>
      </c>
    </row>
    <row r="2538" spans="1:6" ht="60" x14ac:dyDescent="0.25">
      <c r="A2538" s="8" t="s">
        <v>5</v>
      </c>
      <c r="B2538" s="8" t="s">
        <v>50</v>
      </c>
      <c r="C2538" s="8" t="str">
        <f>IFERROR(_xlfn.XLOOKUP(TRIM(B2538),Lookup!$B$2:$B$1000,Lookup!$C$2:$C$1000),"")</f>
        <v>Equity</v>
      </c>
      <c r="D2538" s="8" t="s">
        <v>51</v>
      </c>
      <c r="E2538" s="9">
        <v>45960</v>
      </c>
      <c r="F2538" s="8">
        <v>61.444099999999999</v>
      </c>
    </row>
    <row r="2539" spans="1:6" ht="60" x14ac:dyDescent="0.25">
      <c r="A2539" s="8" t="s">
        <v>5</v>
      </c>
      <c r="B2539" s="8" t="s">
        <v>50</v>
      </c>
      <c r="C2539" s="8" t="str">
        <f>IFERROR(_xlfn.XLOOKUP(TRIM(B2539),Lookup!$B$2:$B$1000,Lookup!$C$2:$C$1000),"")</f>
        <v>Equity</v>
      </c>
      <c r="D2539" s="8" t="s">
        <v>51</v>
      </c>
      <c r="E2539" s="9">
        <v>45968</v>
      </c>
      <c r="F2539" s="8">
        <v>60.722099999999998</v>
      </c>
    </row>
    <row r="2540" spans="1:6" ht="60" x14ac:dyDescent="0.25">
      <c r="A2540" s="8" t="s">
        <v>5</v>
      </c>
      <c r="B2540" s="8" t="s">
        <v>50</v>
      </c>
      <c r="C2540" s="8" t="str">
        <f>IFERROR(_xlfn.XLOOKUP(TRIM(B2540),Lookup!$B$2:$B$1000,Lookup!$C$2:$C$1000),"")</f>
        <v>Equity</v>
      </c>
      <c r="D2540" s="8" t="s">
        <v>51</v>
      </c>
      <c r="E2540" s="9">
        <v>45975</v>
      </c>
      <c r="F2540" s="8">
        <v>61.666499999999999</v>
      </c>
    </row>
    <row r="2541" spans="1:6" ht="60" x14ac:dyDescent="0.25">
      <c r="A2541" s="8" t="s">
        <v>5</v>
      </c>
      <c r="B2541" s="8" t="s">
        <v>50</v>
      </c>
      <c r="C2541" s="8" t="str">
        <f>IFERROR(_xlfn.XLOOKUP(TRIM(B2541),Lookup!$B$2:$B$1000,Lookup!$C$2:$C$1000),"")</f>
        <v>Equity</v>
      </c>
      <c r="D2541" s="8" t="s">
        <v>51</v>
      </c>
      <c r="E2541" s="9">
        <v>45982</v>
      </c>
      <c r="F2541" s="8">
        <v>61.690100000000001</v>
      </c>
    </row>
    <row r="2542" spans="1:6" ht="60" x14ac:dyDescent="0.25">
      <c r="A2542" s="8" t="s">
        <v>5</v>
      </c>
      <c r="B2542" s="8" t="s">
        <v>50</v>
      </c>
      <c r="C2542" s="8" t="str">
        <f>IFERROR(_xlfn.XLOOKUP(TRIM(B2542),Lookup!$B$2:$B$1000,Lookup!$C$2:$C$1000),"")</f>
        <v>Equity</v>
      </c>
      <c r="D2542" s="8" t="s">
        <v>51</v>
      </c>
      <c r="E2542" s="9">
        <v>45989</v>
      </c>
      <c r="F2542" s="8">
        <v>62.119399999999999</v>
      </c>
    </row>
    <row r="2543" spans="1:6" ht="60" x14ac:dyDescent="0.25">
      <c r="A2543" s="8" t="s">
        <v>5</v>
      </c>
      <c r="B2543" s="8" t="s">
        <v>50</v>
      </c>
      <c r="C2543" s="8" t="str">
        <f>IFERROR(_xlfn.XLOOKUP(TRIM(B2543),Lookup!$B$2:$B$1000,Lookup!$C$2:$C$1000),"")</f>
        <v>Equity</v>
      </c>
      <c r="D2543" s="8" t="s">
        <v>51</v>
      </c>
      <c r="E2543" s="9">
        <v>45996</v>
      </c>
      <c r="F2543" s="8">
        <v>61.837699999999998</v>
      </c>
    </row>
    <row r="2544" spans="1:6" ht="60" x14ac:dyDescent="0.25">
      <c r="A2544" s="8" t="s">
        <v>5</v>
      </c>
      <c r="B2544" s="8" t="s">
        <v>50</v>
      </c>
      <c r="C2544" s="8" t="str">
        <f>IFERROR(_xlfn.XLOOKUP(TRIM(B2544),Lookup!$B$2:$B$1000,Lookup!$C$2:$C$1000),"")</f>
        <v>Equity</v>
      </c>
      <c r="D2544" s="8" t="s">
        <v>51</v>
      </c>
      <c r="E2544" s="9">
        <v>46003</v>
      </c>
      <c r="F2544" s="8">
        <v>61.631500000000003</v>
      </c>
    </row>
    <row r="2545" spans="1:6" ht="60" x14ac:dyDescent="0.25">
      <c r="A2545" s="8" t="s">
        <v>5</v>
      </c>
      <c r="B2545" s="8" t="s">
        <v>50</v>
      </c>
      <c r="C2545" s="8" t="str">
        <f>IFERROR(_xlfn.XLOOKUP(TRIM(B2545),Lookup!$B$2:$B$1000,Lookup!$C$2:$C$1000),"")</f>
        <v>Equity</v>
      </c>
      <c r="D2545" s="8" t="s">
        <v>51</v>
      </c>
      <c r="E2545" s="9">
        <v>46010</v>
      </c>
      <c r="F2545" s="8">
        <v>61.5747</v>
      </c>
    </row>
    <row r="2546" spans="1:6" ht="60" x14ac:dyDescent="0.25">
      <c r="A2546" s="8" t="s">
        <v>5</v>
      </c>
      <c r="B2546" s="8" t="s">
        <v>50</v>
      </c>
      <c r="C2546" s="8" t="str">
        <f>IFERROR(_xlfn.XLOOKUP(TRIM(B2546),Lookup!$B$2:$B$1000,Lookup!$C$2:$C$1000),"")</f>
        <v>Equity</v>
      </c>
      <c r="D2546" s="8" t="s">
        <v>51</v>
      </c>
      <c r="E2546" s="9">
        <v>46020</v>
      </c>
      <c r="F2546" s="8">
        <v>61.466700000000003</v>
      </c>
    </row>
    <row r="2547" spans="1:6" ht="60" x14ac:dyDescent="0.25">
      <c r="A2547" s="8" t="s">
        <v>5</v>
      </c>
      <c r="B2547" s="8" t="s">
        <v>50</v>
      </c>
      <c r="C2547" s="8" t="str">
        <f>IFERROR(_xlfn.XLOOKUP(TRIM(B2547),Lookup!$B$2:$B$1000,Lookup!$C$2:$C$1000),"")</f>
        <v>Equity</v>
      </c>
      <c r="D2547" s="8" t="s">
        <v>51</v>
      </c>
      <c r="E2547" s="9">
        <v>46027</v>
      </c>
      <c r="F2547" s="8">
        <v>62.292900000000003</v>
      </c>
    </row>
    <row r="2548" spans="1:6" ht="60" x14ac:dyDescent="0.25">
      <c r="A2548" s="8" t="s">
        <v>5</v>
      </c>
      <c r="B2548" s="8" t="s">
        <v>50</v>
      </c>
      <c r="C2548" s="8" t="str">
        <f>IFERROR(_xlfn.XLOOKUP(TRIM(B2548),Lookup!$B$2:$B$1000,Lookup!$C$2:$C$1000),"")</f>
        <v>Equity</v>
      </c>
      <c r="D2548" s="8" t="s">
        <v>51</v>
      </c>
      <c r="E2548" s="9">
        <v>46034</v>
      </c>
      <c r="F2548" s="8">
        <v>60.954999999999998</v>
      </c>
    </row>
    <row r="2549" spans="1:6" ht="60" x14ac:dyDescent="0.25">
      <c r="A2549" s="8" t="s">
        <v>5</v>
      </c>
      <c r="B2549" s="8" t="s">
        <v>50</v>
      </c>
      <c r="C2549" s="8" t="str">
        <f>IFERROR(_xlfn.XLOOKUP(TRIM(B2549),Lookup!$B$2:$B$1000,Lookup!$C$2:$C$1000),"")</f>
        <v>Equity</v>
      </c>
      <c r="D2549" s="8" t="s">
        <v>51</v>
      </c>
      <c r="E2549" s="9">
        <v>46042</v>
      </c>
      <c r="F2549" s="8">
        <v>59.614199999999997</v>
      </c>
    </row>
    <row r="2550" spans="1:6" ht="60" x14ac:dyDescent="0.25">
      <c r="A2550" s="8" t="s">
        <v>5</v>
      </c>
      <c r="B2550" s="8" t="s">
        <v>50</v>
      </c>
      <c r="C2550" s="8" t="str">
        <f>IFERROR(_xlfn.XLOOKUP(TRIM(B2550),Lookup!$B$2:$B$1000,Lookup!$C$2:$C$1000),"")</f>
        <v>Equity</v>
      </c>
      <c r="D2550" s="8" t="s">
        <v>51</v>
      </c>
      <c r="E2550" s="9">
        <v>46050</v>
      </c>
      <c r="F2550" s="8">
        <v>59.868899999999996</v>
      </c>
    </row>
    <row r="2551" spans="1:6" ht="60" x14ac:dyDescent="0.25">
      <c r="A2551" s="8" t="s">
        <v>5</v>
      </c>
      <c r="B2551" s="8" t="s">
        <v>50</v>
      </c>
      <c r="C2551" s="8" t="str">
        <f>IFERROR(_xlfn.XLOOKUP(TRIM(B2551),Lookup!$B$2:$B$1000,Lookup!$C$2:$C$1000),"")</f>
        <v>Equity</v>
      </c>
      <c r="D2551" s="8" t="s">
        <v>51</v>
      </c>
      <c r="E2551" s="9">
        <v>46056</v>
      </c>
      <c r="F2551" s="8">
        <v>60.993200000000002</v>
      </c>
    </row>
    <row r="2552" spans="1:6" ht="60" x14ac:dyDescent="0.25">
      <c r="A2552" s="8" t="s">
        <v>5</v>
      </c>
      <c r="B2552" s="8" t="s">
        <v>50</v>
      </c>
      <c r="C2552" s="8" t="str">
        <f>IFERROR(_xlfn.XLOOKUP(TRIM(B2552),Lookup!$B$2:$B$1000,Lookup!$C$2:$C$1000),"")</f>
        <v>Equity</v>
      </c>
      <c r="D2552" s="8" t="s">
        <v>51</v>
      </c>
      <c r="E2552" s="9">
        <v>46063</v>
      </c>
      <c r="F2552" s="8">
        <v>61.811599999999999</v>
      </c>
    </row>
    <row r="2553" spans="1:6" ht="60" x14ac:dyDescent="0.25">
      <c r="A2553" s="8" t="s">
        <v>5</v>
      </c>
      <c r="B2553" s="8" t="s">
        <v>50</v>
      </c>
      <c r="C2553" s="8" t="str">
        <f>IFERROR(_xlfn.XLOOKUP(TRIM(B2553),Lookup!$B$2:$B$1000,Lookup!$C$2:$C$1000),"")</f>
        <v>Equity</v>
      </c>
      <c r="D2553" s="8" t="s">
        <v>51</v>
      </c>
      <c r="E2553" s="9">
        <v>46070</v>
      </c>
      <c r="F2553" s="8">
        <v>61.349200000000003</v>
      </c>
    </row>
    <row r="2554" spans="1:6" ht="60" x14ac:dyDescent="0.25">
      <c r="A2554" s="8" t="s">
        <v>5</v>
      </c>
      <c r="B2554" s="8" t="s">
        <v>50</v>
      </c>
      <c r="C2554" s="8" t="str">
        <f>IFERROR(_xlfn.XLOOKUP(TRIM(B2554),Lookup!$B$2:$B$1000,Lookup!$C$2:$C$1000),"")</f>
        <v>Equity</v>
      </c>
      <c r="D2554" s="8" t="s">
        <v>51</v>
      </c>
      <c r="E2554" s="9">
        <v>46077</v>
      </c>
      <c r="F2554" s="8">
        <v>60.646799999999999</v>
      </c>
    </row>
    <row r="2555" spans="1:6" ht="60" x14ac:dyDescent="0.25">
      <c r="A2555" s="8" t="s">
        <v>5</v>
      </c>
      <c r="B2555" s="8" t="s">
        <v>50</v>
      </c>
      <c r="C2555" s="8" t="str">
        <f>IFERROR(_xlfn.XLOOKUP(TRIM(B2555),Lookup!$B$2:$B$1000,Lookup!$C$2:$C$1000),"")</f>
        <v>Equity</v>
      </c>
      <c r="D2555" s="8" t="s">
        <v>51</v>
      </c>
      <c r="E2555" s="9">
        <v>46085</v>
      </c>
      <c r="F2555" s="8">
        <v>58.351599999999998</v>
      </c>
    </row>
    <row r="2556" spans="1:6" ht="60" x14ac:dyDescent="0.25">
      <c r="A2556" s="8" t="s">
        <v>5</v>
      </c>
      <c r="B2556" s="8" t="s">
        <v>50</v>
      </c>
      <c r="C2556" s="8" t="str">
        <f>IFERROR(_xlfn.XLOOKUP(TRIM(B2556),Lookup!$B$2:$B$1000,Lookup!$C$2:$C$1000),"")</f>
        <v>Equity</v>
      </c>
      <c r="D2556" s="8" t="s">
        <v>51</v>
      </c>
      <c r="E2556" s="9">
        <v>46092</v>
      </c>
      <c r="F2556" s="8">
        <v>57.156700000000001</v>
      </c>
    </row>
    <row r="2557" spans="1:6" ht="60" x14ac:dyDescent="0.25">
      <c r="A2557" s="8" t="s">
        <v>5</v>
      </c>
      <c r="B2557" s="8" t="s">
        <v>50</v>
      </c>
      <c r="C2557" s="8" t="str">
        <f>IFERROR(_xlfn.XLOOKUP(TRIM(B2557),Lookup!$B$2:$B$1000,Lookup!$C$2:$C$1000),"")</f>
        <v>Equity</v>
      </c>
      <c r="D2557" s="8" t="s">
        <v>51</v>
      </c>
      <c r="E2557" s="9">
        <v>46099</v>
      </c>
      <c r="F2557" s="8">
        <v>56.7455</v>
      </c>
    </row>
    <row r="2558" spans="1:6" ht="60" x14ac:dyDescent="0.25">
      <c r="A2558" s="8" t="s">
        <v>5</v>
      </c>
      <c r="B2558" s="8" t="s">
        <v>50</v>
      </c>
      <c r="C2558" s="8" t="str">
        <f>IFERROR(_xlfn.XLOOKUP(TRIM(B2558),Lookup!$B$2:$B$1000,Lookup!$C$2:$C$1000),"")</f>
        <v>Equity</v>
      </c>
      <c r="D2558" s="8" t="s">
        <v>51</v>
      </c>
      <c r="E2558" s="9">
        <v>46106</v>
      </c>
      <c r="F2558" s="8">
        <v>55.765099999999997</v>
      </c>
    </row>
    <row r="2559" spans="1:6" ht="60" x14ac:dyDescent="0.25">
      <c r="A2559" s="8" t="s">
        <v>5</v>
      </c>
      <c r="B2559" s="8" t="s">
        <v>50</v>
      </c>
      <c r="C2559" s="8" t="str">
        <f>IFERROR(_xlfn.XLOOKUP(TRIM(B2559),Lookup!$B$2:$B$1000,Lookup!$C$2:$C$1000),"")</f>
        <v>Equity</v>
      </c>
      <c r="D2559" s="8" t="s">
        <v>51</v>
      </c>
      <c r="E2559" s="9">
        <v>46114</v>
      </c>
      <c r="F2559" s="8">
        <v>54.510800000000003</v>
      </c>
    </row>
    <row r="2560" spans="1:6" ht="60" x14ac:dyDescent="0.25">
      <c r="A2560" s="8" t="s">
        <v>5</v>
      </c>
      <c r="B2560" s="8" t="s">
        <v>50</v>
      </c>
      <c r="C2560" s="8" t="str">
        <f>IFERROR(_xlfn.XLOOKUP(TRIM(B2560),Lookup!$B$2:$B$1000,Lookup!$C$2:$C$1000),"")</f>
        <v>Equity</v>
      </c>
      <c r="D2560" s="8" t="s">
        <v>51</v>
      </c>
      <c r="E2560" s="9">
        <v>46122</v>
      </c>
      <c r="F2560" s="8">
        <v>58.092399999999998</v>
      </c>
    </row>
    <row r="2561" spans="1:6" ht="60" x14ac:dyDescent="0.25">
      <c r="A2561" s="8" t="s">
        <v>5</v>
      </c>
      <c r="B2561" s="8" t="s">
        <v>50</v>
      </c>
      <c r="C2561" s="8" t="str">
        <f>IFERROR(_xlfn.XLOOKUP(TRIM(B2561),Lookup!$B$2:$B$1000,Lookup!$C$2:$C$1000),"")</f>
        <v>Equity</v>
      </c>
      <c r="D2561" s="8" t="s">
        <v>51</v>
      </c>
      <c r="E2561" s="9">
        <v>46132</v>
      </c>
      <c r="F2561" s="8">
        <v>59.052900000000001</v>
      </c>
    </row>
    <row r="2562" spans="1:6" ht="60" x14ac:dyDescent="0.25">
      <c r="A2562" s="8" t="s">
        <v>5</v>
      </c>
      <c r="B2562" s="8" t="s">
        <v>50</v>
      </c>
      <c r="C2562" s="8" t="str">
        <f>IFERROR(_xlfn.XLOOKUP(TRIM(B2562),Lookup!$B$2:$B$1000,Lookup!$C$2:$C$1000),"")</f>
        <v>Equity</v>
      </c>
      <c r="D2562" s="8" t="s">
        <v>51</v>
      </c>
      <c r="E2562" s="9">
        <v>46139</v>
      </c>
      <c r="F2562" s="8">
        <v>58.874899999999997</v>
      </c>
    </row>
    <row r="2563" spans="1:6" ht="60" x14ac:dyDescent="0.25">
      <c r="A2563" s="8" t="s">
        <v>5</v>
      </c>
      <c r="B2563" s="8" t="s">
        <v>50</v>
      </c>
      <c r="C2563" s="8" t="str">
        <f>IFERROR(_xlfn.XLOOKUP(TRIM(B2563),Lookup!$B$2:$B$1000,Lookup!$C$2:$C$1000),"")</f>
        <v>Equity</v>
      </c>
      <c r="D2563" s="8" t="s">
        <v>51</v>
      </c>
      <c r="E2563" s="9">
        <v>46147</v>
      </c>
      <c r="F2563" s="8">
        <v>58.817100000000003</v>
      </c>
    </row>
    <row r="2564" spans="1:6" ht="60" x14ac:dyDescent="0.25">
      <c r="A2564" s="8" t="s">
        <v>5</v>
      </c>
      <c r="B2564" s="8" t="s">
        <v>50</v>
      </c>
      <c r="C2564" s="8" t="str">
        <f>IFERROR(_xlfn.XLOOKUP(TRIM(B2564),Lookup!$B$2:$B$1000,Lookup!$C$2:$C$1000),"")</f>
        <v>Equity</v>
      </c>
      <c r="D2564" s="8" t="s">
        <v>51</v>
      </c>
      <c r="E2564" s="9">
        <v>46154</v>
      </c>
      <c r="F2564" s="8">
        <v>57.597099999999998</v>
      </c>
    </row>
    <row r="2565" spans="1:6" ht="60" x14ac:dyDescent="0.25">
      <c r="A2565" s="8" t="s">
        <v>5</v>
      </c>
      <c r="B2565" s="8" t="s">
        <v>50</v>
      </c>
      <c r="C2565" s="8" t="str">
        <f>IFERROR(_xlfn.XLOOKUP(TRIM(B2565),Lookup!$B$2:$B$1000,Lookup!$C$2:$C$1000),"")</f>
        <v>Equity</v>
      </c>
      <c r="D2565" s="8" t="s">
        <v>51</v>
      </c>
      <c r="E2565" s="9">
        <v>46161</v>
      </c>
      <c r="F2565" s="8">
        <v>58.089500000000001</v>
      </c>
    </row>
    <row r="2566" spans="1:6" ht="60" x14ac:dyDescent="0.25">
      <c r="A2566" s="8" t="s">
        <v>5</v>
      </c>
      <c r="B2566" s="8" t="s">
        <v>50</v>
      </c>
      <c r="C2566" s="8" t="str">
        <f>IFERROR(_xlfn.XLOOKUP(TRIM(B2566),Lookup!$B$2:$B$1000,Lookup!$C$2:$C$1000),"")</f>
        <v>Equity</v>
      </c>
      <c r="D2566" s="8" t="s">
        <v>51</v>
      </c>
      <c r="E2566" s="9">
        <v>46168</v>
      </c>
      <c r="F2566" s="8">
        <v>59.082799999999999</v>
      </c>
    </row>
    <row r="2567" spans="1:6" ht="60" x14ac:dyDescent="0.25">
      <c r="A2567" s="8" t="s">
        <v>5</v>
      </c>
      <c r="B2567" s="8" t="s">
        <v>50</v>
      </c>
      <c r="C2567" s="8" t="str">
        <f>IFERROR(_xlfn.XLOOKUP(TRIM(B2567),Lookup!$B$2:$B$1000,Lookup!$C$2:$C$1000),"")</f>
        <v>Equity</v>
      </c>
      <c r="D2567" s="8" t="s">
        <v>51</v>
      </c>
      <c r="E2567" s="9">
        <v>46176</v>
      </c>
      <c r="F2567" s="8">
        <v>57.973399999999998</v>
      </c>
    </row>
    <row r="2568" spans="1:6" ht="60" x14ac:dyDescent="0.25">
      <c r="A2568" s="8" t="s">
        <v>5</v>
      </c>
      <c r="B2568" s="8" t="s">
        <v>50</v>
      </c>
      <c r="C2568" s="8" t="str">
        <f>IFERROR(_xlfn.XLOOKUP(TRIM(B2568),Lookup!$B$2:$B$1000,Lookup!$C$2:$C$1000),"")</f>
        <v>Equity</v>
      </c>
      <c r="D2568" s="8" t="s">
        <v>51</v>
      </c>
      <c r="E2568" s="9">
        <v>46183</v>
      </c>
      <c r="F2568" s="8">
        <v>57.622</v>
      </c>
    </row>
    <row r="2569" spans="1:6" ht="60" x14ac:dyDescent="0.25">
      <c r="A2569" s="8" t="s">
        <v>5</v>
      </c>
      <c r="B2569" s="8" t="s">
        <v>50</v>
      </c>
      <c r="C2569" s="8" t="str">
        <f>IFERROR(_xlfn.XLOOKUP(TRIM(B2569),Lookup!$B$2:$B$1000,Lookup!$C$2:$C$1000),"")</f>
        <v>Equity</v>
      </c>
      <c r="D2569" s="8" t="s">
        <v>51</v>
      </c>
      <c r="E2569" s="9">
        <v>46190</v>
      </c>
      <c r="F2569" s="8">
        <v>60.042400000000001</v>
      </c>
    </row>
    <row r="2570" spans="1:6" ht="60" x14ac:dyDescent="0.25">
      <c r="A2570" s="8" t="s">
        <v>5</v>
      </c>
      <c r="B2570" s="8" t="s">
        <v>50</v>
      </c>
      <c r="C2570" s="8" t="str">
        <f>IFERROR(_xlfn.XLOOKUP(TRIM(B2570),Lookup!$B$2:$B$1000,Lookup!$C$2:$C$1000),"")</f>
        <v>Equity</v>
      </c>
      <c r="D2570" s="8" t="s">
        <v>51</v>
      </c>
      <c r="E2570" s="9">
        <v>46197</v>
      </c>
      <c r="F2570" s="8">
        <v>60.283299999999997</v>
      </c>
    </row>
    <row r="2571" spans="1:6" ht="60" x14ac:dyDescent="0.25">
      <c r="A2571" s="8" t="s">
        <v>5</v>
      </c>
      <c r="B2571" s="8" t="s">
        <v>50</v>
      </c>
      <c r="C2571" s="8" t="str">
        <f>IFERROR(_xlfn.XLOOKUP(TRIM(B2571),Lookup!$B$2:$B$1000,Lookup!$C$2:$C$1000),"")</f>
        <v>Equity</v>
      </c>
      <c r="D2571" s="8" t="s">
        <v>51</v>
      </c>
      <c r="E2571" s="9">
        <v>46205</v>
      </c>
      <c r="F2571" s="8">
        <v>60.698300000000003</v>
      </c>
    </row>
    <row r="2572" spans="1:6" ht="60" x14ac:dyDescent="0.25">
      <c r="A2572" s="8" t="s">
        <v>5</v>
      </c>
      <c r="B2572" s="8" t="s">
        <v>50</v>
      </c>
      <c r="C2572" s="8" t="str">
        <f>IFERROR(_xlfn.XLOOKUP(TRIM(B2572),Lookup!$B$2:$B$1000,Lookup!$C$2:$C$1000),"")</f>
        <v>Equity</v>
      </c>
      <c r="D2572" s="8" t="s">
        <v>51</v>
      </c>
      <c r="E2572" s="9">
        <v>46212</v>
      </c>
      <c r="F2572" s="8">
        <v>60.228700000000003</v>
      </c>
    </row>
    <row r="2573" spans="1:6" ht="60" x14ac:dyDescent="0.25">
      <c r="A2573" s="8" t="s">
        <v>5</v>
      </c>
      <c r="B2573" s="8" t="s">
        <v>50</v>
      </c>
      <c r="C2573" s="8" t="str">
        <f>IFERROR(_xlfn.XLOOKUP(TRIM(B2573),Lookup!$B$2:$B$1000,Lookup!$C$2:$C$1000),"")</f>
        <v>Equity</v>
      </c>
      <c r="D2573" s="8" t="s">
        <v>51</v>
      </c>
      <c r="E2573" s="9">
        <v>46219</v>
      </c>
      <c r="F2573" s="8">
        <v>60.538899999999998</v>
      </c>
    </row>
    <row r="2574" spans="1:6" ht="60" x14ac:dyDescent="0.25">
      <c r="A2574" s="8" t="s">
        <v>5</v>
      </c>
      <c r="B2574" s="8" t="s">
        <v>50</v>
      </c>
      <c r="C2574" s="8" t="str">
        <f>IFERROR(_xlfn.XLOOKUP(TRIM(B2574),Lookup!$B$2:$B$1000,Lookup!$C$2:$C$1000),"")</f>
        <v>Equity</v>
      </c>
      <c r="D2574" s="8" t="s">
        <v>51</v>
      </c>
      <c r="E2574" s="9">
        <v>46226</v>
      </c>
      <c r="F2574" s="8">
        <v>59.747</v>
      </c>
    </row>
    <row r="2575" spans="1:6" ht="60" x14ac:dyDescent="0.25">
      <c r="A2575" s="8" t="s">
        <v>5</v>
      </c>
      <c r="B2575" s="8" t="s">
        <v>50</v>
      </c>
      <c r="C2575" s="8" t="str">
        <f>IFERROR(_xlfn.XLOOKUP(TRIM(B2575),Lookup!$B$2:$B$1000,Lookup!$C$2:$C$1000),"")</f>
        <v>Equity</v>
      </c>
      <c r="D2575" s="8" t="s">
        <v>51</v>
      </c>
      <c r="E2575" s="9">
        <v>46233</v>
      </c>
      <c r="F2575" s="8">
        <v>61.159199999999998</v>
      </c>
    </row>
    <row r="2576" spans="1:6" ht="60" x14ac:dyDescent="0.25">
      <c r="A2576" s="8" t="s">
        <v>5</v>
      </c>
      <c r="B2576" s="8" t="s">
        <v>52</v>
      </c>
      <c r="C2576" s="8" t="str">
        <f>IFERROR(_xlfn.XLOOKUP(TRIM(B2576),Lookup!$B$2:$B$1000,Lookup!$C$2:$C$1000),"")</f>
        <v>Equity</v>
      </c>
      <c r="D2576" s="8" t="s">
        <v>53</v>
      </c>
      <c r="E2576" s="9">
        <v>46020</v>
      </c>
      <c r="F2576" s="8">
        <v>10</v>
      </c>
    </row>
    <row r="2577" spans="1:6" ht="60" x14ac:dyDescent="0.25">
      <c r="A2577" s="8" t="s">
        <v>5</v>
      </c>
      <c r="B2577" s="8" t="s">
        <v>52</v>
      </c>
      <c r="C2577" s="8" t="str">
        <f>IFERROR(_xlfn.XLOOKUP(TRIM(B2577),Lookup!$B$2:$B$1000,Lookup!$C$2:$C$1000),"")</f>
        <v>Equity</v>
      </c>
      <c r="D2577" s="8" t="s">
        <v>53</v>
      </c>
      <c r="E2577" s="9">
        <v>46027</v>
      </c>
      <c r="F2577" s="8">
        <v>10.101599999999999</v>
      </c>
    </row>
    <row r="2578" spans="1:6" ht="60" x14ac:dyDescent="0.25">
      <c r="A2578" s="8" t="s">
        <v>5</v>
      </c>
      <c r="B2578" s="8" t="s">
        <v>52</v>
      </c>
      <c r="C2578" s="8" t="str">
        <f>IFERROR(_xlfn.XLOOKUP(TRIM(B2578),Lookup!$B$2:$B$1000,Lookup!$C$2:$C$1000),"")</f>
        <v>Equity</v>
      </c>
      <c r="D2578" s="8" t="s">
        <v>53</v>
      </c>
      <c r="E2578" s="9">
        <v>46034</v>
      </c>
      <c r="F2578" s="8">
        <v>9.8691999999999993</v>
      </c>
    </row>
    <row r="2579" spans="1:6" ht="60" x14ac:dyDescent="0.25">
      <c r="A2579" s="8" t="s">
        <v>5</v>
      </c>
      <c r="B2579" s="8" t="s">
        <v>52</v>
      </c>
      <c r="C2579" s="8" t="str">
        <f>IFERROR(_xlfn.XLOOKUP(TRIM(B2579),Lookup!$B$2:$B$1000,Lookup!$C$2:$C$1000),"")</f>
        <v>Equity</v>
      </c>
      <c r="D2579" s="8" t="s">
        <v>53</v>
      </c>
      <c r="E2579" s="9">
        <v>46042</v>
      </c>
      <c r="F2579" s="8">
        <v>9.5850000000000009</v>
      </c>
    </row>
    <row r="2580" spans="1:6" ht="60" x14ac:dyDescent="0.25">
      <c r="A2580" s="8" t="s">
        <v>5</v>
      </c>
      <c r="B2580" s="8" t="s">
        <v>52</v>
      </c>
      <c r="C2580" s="8" t="str">
        <f>IFERROR(_xlfn.XLOOKUP(TRIM(B2580),Lookup!$B$2:$B$1000,Lookup!$C$2:$C$1000),"")</f>
        <v>Equity</v>
      </c>
      <c r="D2580" s="8" t="s">
        <v>53</v>
      </c>
      <c r="E2580" s="9">
        <v>46050</v>
      </c>
      <c r="F2580" s="8">
        <v>9.6420999999999992</v>
      </c>
    </row>
    <row r="2581" spans="1:6" ht="60" x14ac:dyDescent="0.25">
      <c r="A2581" s="8" t="s">
        <v>5</v>
      </c>
      <c r="B2581" s="8" t="s">
        <v>52</v>
      </c>
      <c r="C2581" s="8" t="str">
        <f>IFERROR(_xlfn.XLOOKUP(TRIM(B2581),Lookup!$B$2:$B$1000,Lookup!$C$2:$C$1000),"")</f>
        <v>Equity</v>
      </c>
      <c r="D2581" s="8" t="s">
        <v>53</v>
      </c>
      <c r="E2581" s="9">
        <v>46056</v>
      </c>
      <c r="F2581" s="8">
        <v>9.7927999999999997</v>
      </c>
    </row>
    <row r="2582" spans="1:6" ht="60" x14ac:dyDescent="0.25">
      <c r="A2582" s="8" t="s">
        <v>5</v>
      </c>
      <c r="B2582" s="8" t="s">
        <v>52</v>
      </c>
      <c r="C2582" s="8" t="str">
        <f>IFERROR(_xlfn.XLOOKUP(TRIM(B2582),Lookup!$B$2:$B$1000,Lookup!$C$2:$C$1000),"")</f>
        <v>Equity</v>
      </c>
      <c r="D2582" s="8" t="s">
        <v>53</v>
      </c>
      <c r="E2582" s="9">
        <v>46063</v>
      </c>
      <c r="F2582" s="8">
        <v>9.9647000000000006</v>
      </c>
    </row>
    <row r="2583" spans="1:6" ht="60" x14ac:dyDescent="0.25">
      <c r="A2583" s="8" t="s">
        <v>5</v>
      </c>
      <c r="B2583" s="8" t="s">
        <v>52</v>
      </c>
      <c r="C2583" s="8" t="str">
        <f>IFERROR(_xlfn.XLOOKUP(TRIM(B2583),Lookup!$B$2:$B$1000,Lookup!$C$2:$C$1000),"")</f>
        <v>Equity</v>
      </c>
      <c r="D2583" s="8" t="s">
        <v>53</v>
      </c>
      <c r="E2583" s="9">
        <v>46070</v>
      </c>
      <c r="F2583" s="8">
        <v>9.8424999999999994</v>
      </c>
    </row>
    <row r="2584" spans="1:6" ht="60" x14ac:dyDescent="0.25">
      <c r="A2584" s="8" t="s">
        <v>5</v>
      </c>
      <c r="B2584" s="8" t="s">
        <v>52</v>
      </c>
      <c r="C2584" s="8" t="str">
        <f>IFERROR(_xlfn.XLOOKUP(TRIM(B2584),Lookup!$B$2:$B$1000,Lookup!$C$2:$C$1000),"")</f>
        <v>Equity</v>
      </c>
      <c r="D2584" s="8" t="s">
        <v>53</v>
      </c>
      <c r="E2584" s="9">
        <v>46077</v>
      </c>
      <c r="F2584" s="8">
        <v>9.6984999999999992</v>
      </c>
    </row>
    <row r="2585" spans="1:6" ht="60" x14ac:dyDescent="0.25">
      <c r="A2585" s="8" t="s">
        <v>5</v>
      </c>
      <c r="B2585" s="8" t="s">
        <v>52</v>
      </c>
      <c r="C2585" s="8" t="str">
        <f>IFERROR(_xlfn.XLOOKUP(TRIM(B2585),Lookup!$B$2:$B$1000,Lookup!$C$2:$C$1000),"")</f>
        <v>Equity</v>
      </c>
      <c r="D2585" s="8" t="s">
        <v>53</v>
      </c>
      <c r="E2585" s="9">
        <v>46085</v>
      </c>
      <c r="F2585" s="8">
        <v>9.3048999999999999</v>
      </c>
    </row>
    <row r="2586" spans="1:6" ht="60" x14ac:dyDescent="0.25">
      <c r="A2586" s="8" t="s">
        <v>5</v>
      </c>
      <c r="B2586" s="8" t="s">
        <v>52</v>
      </c>
      <c r="C2586" s="8" t="str">
        <f>IFERROR(_xlfn.XLOOKUP(TRIM(B2586),Lookup!$B$2:$B$1000,Lookup!$C$2:$C$1000),"")</f>
        <v>Equity</v>
      </c>
      <c r="D2586" s="8" t="s">
        <v>53</v>
      </c>
      <c r="E2586" s="9">
        <v>46092</v>
      </c>
      <c r="F2586" s="8">
        <v>9.1477000000000004</v>
      </c>
    </row>
    <row r="2587" spans="1:6" ht="60" x14ac:dyDescent="0.25">
      <c r="A2587" s="8" t="s">
        <v>5</v>
      </c>
      <c r="B2587" s="8" t="s">
        <v>52</v>
      </c>
      <c r="C2587" s="8" t="str">
        <f>IFERROR(_xlfn.XLOOKUP(TRIM(B2587),Lookup!$B$2:$B$1000,Lookup!$C$2:$C$1000),"")</f>
        <v>Equity</v>
      </c>
      <c r="D2587" s="8" t="s">
        <v>53</v>
      </c>
      <c r="E2587" s="9">
        <v>46099</v>
      </c>
      <c r="F2587" s="8">
        <v>9.0840999999999994</v>
      </c>
    </row>
    <row r="2588" spans="1:6" ht="60" x14ac:dyDescent="0.25">
      <c r="A2588" s="8" t="s">
        <v>5</v>
      </c>
      <c r="B2588" s="8" t="s">
        <v>52</v>
      </c>
      <c r="C2588" s="8" t="str">
        <f>IFERROR(_xlfn.XLOOKUP(TRIM(B2588),Lookup!$B$2:$B$1000,Lookup!$C$2:$C$1000),"")</f>
        <v>Equity</v>
      </c>
      <c r="D2588" s="8" t="s">
        <v>53</v>
      </c>
      <c r="E2588" s="9">
        <v>46106</v>
      </c>
      <c r="F2588" s="8">
        <v>8.9255999999999993</v>
      </c>
    </row>
    <row r="2589" spans="1:6" ht="60" x14ac:dyDescent="0.25">
      <c r="A2589" s="8" t="s">
        <v>5</v>
      </c>
      <c r="B2589" s="8" t="s">
        <v>52</v>
      </c>
      <c r="C2589" s="8" t="str">
        <f>IFERROR(_xlfn.XLOOKUP(TRIM(B2589),Lookup!$B$2:$B$1000,Lookup!$C$2:$C$1000),"")</f>
        <v>Equity</v>
      </c>
      <c r="D2589" s="8" t="s">
        <v>53</v>
      </c>
      <c r="E2589" s="9">
        <v>46114</v>
      </c>
      <c r="F2589" s="8">
        <v>8.7596000000000007</v>
      </c>
    </row>
    <row r="2590" spans="1:6" ht="60" x14ac:dyDescent="0.25">
      <c r="A2590" s="8" t="s">
        <v>5</v>
      </c>
      <c r="B2590" s="8" t="s">
        <v>52</v>
      </c>
      <c r="C2590" s="8" t="str">
        <f>IFERROR(_xlfn.XLOOKUP(TRIM(B2590),Lookup!$B$2:$B$1000,Lookup!$C$2:$C$1000),"")</f>
        <v>Equity</v>
      </c>
      <c r="D2590" s="8" t="s">
        <v>53</v>
      </c>
      <c r="E2590" s="9">
        <v>46122</v>
      </c>
      <c r="F2590" s="8">
        <v>9.2637999999999998</v>
      </c>
    </row>
    <row r="2591" spans="1:6" ht="60" x14ac:dyDescent="0.25">
      <c r="A2591" s="8" t="s">
        <v>5</v>
      </c>
      <c r="B2591" s="8" t="s">
        <v>52</v>
      </c>
      <c r="C2591" s="8" t="str">
        <f>IFERROR(_xlfn.XLOOKUP(TRIM(B2591),Lookup!$B$2:$B$1000,Lookup!$C$2:$C$1000),"")</f>
        <v>Equity</v>
      </c>
      <c r="D2591" s="8" t="s">
        <v>53</v>
      </c>
      <c r="E2591" s="9">
        <v>46132</v>
      </c>
      <c r="F2591" s="8">
        <v>9.4559999999999995</v>
      </c>
    </row>
    <row r="2592" spans="1:6" ht="60" x14ac:dyDescent="0.25">
      <c r="A2592" s="8" t="s">
        <v>5</v>
      </c>
      <c r="B2592" s="8" t="s">
        <v>52</v>
      </c>
      <c r="C2592" s="8" t="str">
        <f>IFERROR(_xlfn.XLOOKUP(TRIM(B2592),Lookup!$B$2:$B$1000,Lookup!$C$2:$C$1000),"")</f>
        <v>Equity</v>
      </c>
      <c r="D2592" s="8" t="s">
        <v>53</v>
      </c>
      <c r="E2592" s="9">
        <v>46139</v>
      </c>
      <c r="F2592" s="8">
        <v>9.4588999999999999</v>
      </c>
    </row>
    <row r="2593" spans="1:6" ht="60" x14ac:dyDescent="0.25">
      <c r="A2593" s="8" t="s">
        <v>5</v>
      </c>
      <c r="B2593" s="8" t="s">
        <v>52</v>
      </c>
      <c r="C2593" s="8" t="str">
        <f>IFERROR(_xlfn.XLOOKUP(TRIM(B2593),Lookup!$B$2:$B$1000,Lookup!$C$2:$C$1000),"")</f>
        <v>Equity</v>
      </c>
      <c r="D2593" s="8" t="s">
        <v>53</v>
      </c>
      <c r="E2593" s="9">
        <v>46147</v>
      </c>
      <c r="F2593" s="8">
        <v>9.4868000000000006</v>
      </c>
    </row>
    <row r="2594" spans="1:6" ht="60" x14ac:dyDescent="0.25">
      <c r="A2594" s="8" t="s">
        <v>5</v>
      </c>
      <c r="B2594" s="8" t="s">
        <v>52</v>
      </c>
      <c r="C2594" s="8" t="str">
        <f>IFERROR(_xlfn.XLOOKUP(TRIM(B2594),Lookup!$B$2:$B$1000,Lookup!$C$2:$C$1000),"")</f>
        <v>Equity</v>
      </c>
      <c r="D2594" s="8" t="s">
        <v>53</v>
      </c>
      <c r="E2594" s="9">
        <v>46154</v>
      </c>
      <c r="F2594" s="8">
        <v>9.2060999999999993</v>
      </c>
    </row>
    <row r="2595" spans="1:6" ht="60" x14ac:dyDescent="0.25">
      <c r="A2595" s="8" t="s">
        <v>5</v>
      </c>
      <c r="B2595" s="8" t="s">
        <v>52</v>
      </c>
      <c r="C2595" s="8" t="str">
        <f>IFERROR(_xlfn.XLOOKUP(TRIM(B2595),Lookup!$B$2:$B$1000,Lookup!$C$2:$C$1000),"")</f>
        <v>Equity</v>
      </c>
      <c r="D2595" s="8" t="s">
        <v>53</v>
      </c>
      <c r="E2595" s="9">
        <v>46161</v>
      </c>
      <c r="F2595" s="8">
        <v>9.3234999999999992</v>
      </c>
    </row>
    <row r="2596" spans="1:6" ht="60" x14ac:dyDescent="0.25">
      <c r="A2596" s="8" t="s">
        <v>5</v>
      </c>
      <c r="B2596" s="8" t="s">
        <v>52</v>
      </c>
      <c r="C2596" s="8" t="str">
        <f>IFERROR(_xlfn.XLOOKUP(TRIM(B2596),Lookup!$B$2:$B$1000,Lookup!$C$2:$C$1000),"")</f>
        <v>Equity</v>
      </c>
      <c r="D2596" s="8" t="s">
        <v>53</v>
      </c>
      <c r="E2596" s="9">
        <v>46168</v>
      </c>
      <c r="F2596" s="8">
        <v>9.3858999999999995</v>
      </c>
    </row>
    <row r="2597" spans="1:6" ht="60" x14ac:dyDescent="0.25">
      <c r="A2597" s="8" t="s">
        <v>5</v>
      </c>
      <c r="B2597" s="8" t="s">
        <v>52</v>
      </c>
      <c r="C2597" s="8" t="str">
        <f>IFERROR(_xlfn.XLOOKUP(TRIM(B2597),Lookup!$B$2:$B$1000,Lookup!$C$2:$C$1000),"")</f>
        <v>Equity</v>
      </c>
      <c r="D2597" s="8" t="s">
        <v>53</v>
      </c>
      <c r="E2597" s="9">
        <v>46176</v>
      </c>
      <c r="F2597" s="8">
        <v>9.2202000000000002</v>
      </c>
    </row>
    <row r="2598" spans="1:6" ht="60" x14ac:dyDescent="0.25">
      <c r="A2598" s="8" t="s">
        <v>5</v>
      </c>
      <c r="B2598" s="8" t="s">
        <v>52</v>
      </c>
      <c r="C2598" s="8" t="str">
        <f>IFERROR(_xlfn.XLOOKUP(TRIM(B2598),Lookup!$B$2:$B$1000,Lookup!$C$2:$C$1000),"")</f>
        <v>Equity</v>
      </c>
      <c r="D2598" s="8" t="s">
        <v>53</v>
      </c>
      <c r="E2598" s="9">
        <v>46183</v>
      </c>
      <c r="F2598" s="8">
        <v>9.0945999999999998</v>
      </c>
    </row>
    <row r="2599" spans="1:6" ht="60" x14ac:dyDescent="0.25">
      <c r="A2599" s="8" t="s">
        <v>5</v>
      </c>
      <c r="B2599" s="8" t="s">
        <v>52</v>
      </c>
      <c r="C2599" s="8" t="str">
        <f>IFERROR(_xlfn.XLOOKUP(TRIM(B2599),Lookup!$B$2:$B$1000,Lookup!$C$2:$C$1000),"")</f>
        <v>Equity</v>
      </c>
      <c r="D2599" s="8" t="s">
        <v>53</v>
      </c>
      <c r="E2599" s="9">
        <v>46190</v>
      </c>
      <c r="F2599" s="8">
        <v>9.4376999999999995</v>
      </c>
    </row>
    <row r="2600" spans="1:6" ht="60" x14ac:dyDescent="0.25">
      <c r="A2600" s="8" t="s">
        <v>5</v>
      </c>
      <c r="B2600" s="8" t="s">
        <v>52</v>
      </c>
      <c r="C2600" s="8" t="str">
        <f>IFERROR(_xlfn.XLOOKUP(TRIM(B2600),Lookup!$B$2:$B$1000,Lookup!$C$2:$C$1000),"")</f>
        <v>Equity</v>
      </c>
      <c r="D2600" s="8" t="s">
        <v>53</v>
      </c>
      <c r="E2600" s="9">
        <v>46197</v>
      </c>
      <c r="F2600" s="8">
        <v>9.4458000000000002</v>
      </c>
    </row>
    <row r="2601" spans="1:6" ht="60" x14ac:dyDescent="0.25">
      <c r="A2601" s="8" t="s">
        <v>5</v>
      </c>
      <c r="B2601" s="8" t="s">
        <v>52</v>
      </c>
      <c r="C2601" s="8" t="str">
        <f>IFERROR(_xlfn.XLOOKUP(TRIM(B2601),Lookup!$B$2:$B$1000,Lookup!$C$2:$C$1000),"")</f>
        <v>Equity</v>
      </c>
      <c r="D2601" s="8" t="s">
        <v>53</v>
      </c>
      <c r="E2601" s="9">
        <v>46205</v>
      </c>
      <c r="F2601" s="8">
        <v>9.5300999999999991</v>
      </c>
    </row>
    <row r="2602" spans="1:6" ht="60" x14ac:dyDescent="0.25">
      <c r="A2602" s="8" t="s">
        <v>5</v>
      </c>
      <c r="B2602" s="8" t="s">
        <v>52</v>
      </c>
      <c r="C2602" s="8" t="str">
        <f>IFERROR(_xlfn.XLOOKUP(TRIM(B2602),Lookup!$B$2:$B$1000,Lookup!$C$2:$C$1000),"")</f>
        <v>Equity</v>
      </c>
      <c r="D2602" s="8" t="s">
        <v>53</v>
      </c>
      <c r="E2602" s="9">
        <v>46212</v>
      </c>
      <c r="F2602" s="8">
        <v>9.4437999999999995</v>
      </c>
    </row>
    <row r="2603" spans="1:6" ht="60" x14ac:dyDescent="0.25">
      <c r="A2603" s="8" t="s">
        <v>5</v>
      </c>
      <c r="B2603" s="8" t="s">
        <v>52</v>
      </c>
      <c r="C2603" s="8" t="str">
        <f>IFERROR(_xlfn.XLOOKUP(TRIM(B2603),Lookup!$B$2:$B$1000,Lookup!$C$2:$C$1000),"")</f>
        <v>Equity</v>
      </c>
      <c r="D2603" s="8" t="s">
        <v>53</v>
      </c>
      <c r="E2603" s="9">
        <v>46219</v>
      </c>
      <c r="F2603" s="8">
        <v>9.5088000000000008</v>
      </c>
    </row>
    <row r="2604" spans="1:6" ht="60" x14ac:dyDescent="0.25">
      <c r="A2604" s="8" t="s">
        <v>5</v>
      </c>
      <c r="B2604" s="8" t="s">
        <v>52</v>
      </c>
      <c r="C2604" s="8" t="str">
        <f>IFERROR(_xlfn.XLOOKUP(TRIM(B2604),Lookup!$B$2:$B$1000,Lookup!$C$2:$C$1000),"")</f>
        <v>Equity</v>
      </c>
      <c r="D2604" s="8" t="s">
        <v>53</v>
      </c>
      <c r="E2604" s="9">
        <v>46226</v>
      </c>
      <c r="F2604" s="8">
        <v>9.4298999999999999</v>
      </c>
    </row>
    <row r="2605" spans="1:6" ht="60" x14ac:dyDescent="0.25">
      <c r="A2605" s="8" t="s">
        <v>5</v>
      </c>
      <c r="B2605" s="8" t="s">
        <v>52</v>
      </c>
      <c r="C2605" s="8" t="str">
        <f>IFERROR(_xlfn.XLOOKUP(TRIM(B2605),Lookup!$B$2:$B$1000,Lookup!$C$2:$C$1000),"")</f>
        <v>Equity</v>
      </c>
      <c r="D2605" s="8" t="s">
        <v>53</v>
      </c>
      <c r="E2605" s="9">
        <v>46233</v>
      </c>
      <c r="F2605" s="8">
        <v>9.6577999999999999</v>
      </c>
    </row>
    <row r="2606" spans="1:6" ht="60" x14ac:dyDescent="0.25">
      <c r="A2606" s="8" t="s">
        <v>5</v>
      </c>
      <c r="B2606" s="8" t="s">
        <v>54</v>
      </c>
      <c r="C2606" s="8" t="str">
        <f>IFERROR(_xlfn.XLOOKUP(TRIM(B2606),Lookup!$B$2:$B$1000,Lookup!$C$2:$C$1000),"")</f>
        <v>Equity</v>
      </c>
      <c r="D2606" s="8" t="s">
        <v>55</v>
      </c>
      <c r="E2606" s="9">
        <v>46114</v>
      </c>
      <c r="F2606" s="8">
        <v>9.9682999999999993</v>
      </c>
    </row>
    <row r="2607" spans="1:6" ht="60" x14ac:dyDescent="0.25">
      <c r="A2607" s="8" t="s">
        <v>5</v>
      </c>
      <c r="B2607" s="8" t="s">
        <v>54</v>
      </c>
      <c r="C2607" s="8" t="str">
        <f>IFERROR(_xlfn.XLOOKUP(TRIM(B2607),Lookup!$B$2:$B$1000,Lookup!$C$2:$C$1000),"")</f>
        <v>Equity</v>
      </c>
      <c r="D2607" s="8" t="s">
        <v>55</v>
      </c>
      <c r="E2607" s="9">
        <v>46122</v>
      </c>
      <c r="F2607" s="8">
        <v>10.644500000000001</v>
      </c>
    </row>
    <row r="2608" spans="1:6" ht="60" x14ac:dyDescent="0.25">
      <c r="A2608" s="8" t="s">
        <v>5</v>
      </c>
      <c r="B2608" s="8" t="s">
        <v>54</v>
      </c>
      <c r="C2608" s="8" t="str">
        <f>IFERROR(_xlfn.XLOOKUP(TRIM(B2608),Lookup!$B$2:$B$1000,Lookup!$C$2:$C$1000),"")</f>
        <v>Equity</v>
      </c>
      <c r="D2608" s="8" t="s">
        <v>55</v>
      </c>
      <c r="E2608" s="9">
        <v>46132</v>
      </c>
      <c r="F2608" s="8">
        <v>11.052899999999999</v>
      </c>
    </row>
    <row r="2609" spans="1:6" ht="60" x14ac:dyDescent="0.25">
      <c r="A2609" s="8" t="s">
        <v>5</v>
      </c>
      <c r="B2609" s="8" t="s">
        <v>54</v>
      </c>
      <c r="C2609" s="8" t="str">
        <f>IFERROR(_xlfn.XLOOKUP(TRIM(B2609),Lookup!$B$2:$B$1000,Lookup!$C$2:$C$1000),"")</f>
        <v>Equity</v>
      </c>
      <c r="D2609" s="8" t="s">
        <v>55</v>
      </c>
      <c r="E2609" s="9">
        <v>46139</v>
      </c>
      <c r="F2609" s="8">
        <v>11.264799999999999</v>
      </c>
    </row>
    <row r="2610" spans="1:6" ht="60" x14ac:dyDescent="0.25">
      <c r="A2610" s="8" t="s">
        <v>5</v>
      </c>
      <c r="B2610" s="8" t="s">
        <v>54</v>
      </c>
      <c r="C2610" s="8" t="str">
        <f>IFERROR(_xlfn.XLOOKUP(TRIM(B2610),Lookup!$B$2:$B$1000,Lookup!$C$2:$C$1000),"")</f>
        <v>Equity</v>
      </c>
      <c r="D2610" s="8" t="s">
        <v>55</v>
      </c>
      <c r="E2610" s="9">
        <v>46147</v>
      </c>
      <c r="F2610" s="8">
        <v>11.4001</v>
      </c>
    </row>
    <row r="2611" spans="1:6" ht="60" x14ac:dyDescent="0.25">
      <c r="A2611" s="8" t="s">
        <v>5</v>
      </c>
      <c r="B2611" s="8" t="s">
        <v>54</v>
      </c>
      <c r="C2611" s="8" t="str">
        <f>IFERROR(_xlfn.XLOOKUP(TRIM(B2611),Lookup!$B$2:$B$1000,Lookup!$C$2:$C$1000),"")</f>
        <v>Equity</v>
      </c>
      <c r="D2611" s="8" t="s">
        <v>55</v>
      </c>
      <c r="E2611" s="9">
        <v>46154</v>
      </c>
      <c r="F2611" s="8">
        <v>11.273999999999999</v>
      </c>
    </row>
    <row r="2612" spans="1:6" ht="60" x14ac:dyDescent="0.25">
      <c r="A2612" s="8" t="s">
        <v>5</v>
      </c>
      <c r="B2612" s="8" t="s">
        <v>54</v>
      </c>
      <c r="C2612" s="8" t="str">
        <f>IFERROR(_xlfn.XLOOKUP(TRIM(B2612),Lookup!$B$2:$B$1000,Lookup!$C$2:$C$1000),"")</f>
        <v>Equity</v>
      </c>
      <c r="D2612" s="8" t="s">
        <v>55</v>
      </c>
      <c r="E2612" s="9">
        <v>46161</v>
      </c>
      <c r="F2612" s="8">
        <v>11.228199999999999</v>
      </c>
    </row>
    <row r="2613" spans="1:6" ht="60" x14ac:dyDescent="0.25">
      <c r="A2613" s="8" t="s">
        <v>5</v>
      </c>
      <c r="B2613" s="8" t="s">
        <v>54</v>
      </c>
      <c r="C2613" s="8" t="str">
        <f>IFERROR(_xlfn.XLOOKUP(TRIM(B2613),Lookup!$B$2:$B$1000,Lookup!$C$2:$C$1000),"")</f>
        <v>Equity</v>
      </c>
      <c r="D2613" s="8" t="s">
        <v>55</v>
      </c>
      <c r="E2613" s="9">
        <v>46168</v>
      </c>
      <c r="F2613" s="8">
        <v>11.4551</v>
      </c>
    </row>
    <row r="2614" spans="1:6" ht="60" x14ac:dyDescent="0.25">
      <c r="A2614" s="8" t="s">
        <v>5</v>
      </c>
      <c r="B2614" s="8" t="s">
        <v>54</v>
      </c>
      <c r="C2614" s="8" t="str">
        <f>IFERROR(_xlfn.XLOOKUP(TRIM(B2614),Lookup!$B$2:$B$1000,Lookup!$C$2:$C$1000),"")</f>
        <v>Equity</v>
      </c>
      <c r="D2614" s="8" t="s">
        <v>55</v>
      </c>
      <c r="E2614" s="9">
        <v>46176</v>
      </c>
      <c r="F2614" s="8">
        <v>11.4206</v>
      </c>
    </row>
    <row r="2615" spans="1:6" ht="60" x14ac:dyDescent="0.25">
      <c r="A2615" s="8" t="s">
        <v>5</v>
      </c>
      <c r="B2615" s="8" t="s">
        <v>54</v>
      </c>
      <c r="C2615" s="8" t="str">
        <f>IFERROR(_xlfn.XLOOKUP(TRIM(B2615),Lookup!$B$2:$B$1000,Lookup!$C$2:$C$1000),"")</f>
        <v>Equity</v>
      </c>
      <c r="D2615" s="8" t="s">
        <v>55</v>
      </c>
      <c r="E2615" s="9">
        <v>46183</v>
      </c>
      <c r="F2615" s="8">
        <v>11.3009</v>
      </c>
    </row>
    <row r="2616" spans="1:6" ht="60" x14ac:dyDescent="0.25">
      <c r="A2616" s="8" t="s">
        <v>5</v>
      </c>
      <c r="B2616" s="8" t="s">
        <v>54</v>
      </c>
      <c r="C2616" s="8" t="str">
        <f>IFERROR(_xlfn.XLOOKUP(TRIM(B2616),Lookup!$B$2:$B$1000,Lookup!$C$2:$C$1000),"")</f>
        <v>Equity</v>
      </c>
      <c r="D2616" s="8" t="s">
        <v>55</v>
      </c>
      <c r="E2616" s="9">
        <v>46190</v>
      </c>
      <c r="F2616" s="8">
        <v>11.777100000000001</v>
      </c>
    </row>
    <row r="2617" spans="1:6" ht="60" x14ac:dyDescent="0.25">
      <c r="A2617" s="8" t="s">
        <v>5</v>
      </c>
      <c r="B2617" s="8" t="s">
        <v>54</v>
      </c>
      <c r="C2617" s="8" t="str">
        <f>IFERROR(_xlfn.XLOOKUP(TRIM(B2617),Lookup!$B$2:$B$1000,Lookup!$C$2:$C$1000),"")</f>
        <v>Equity</v>
      </c>
      <c r="D2617" s="8" t="s">
        <v>55</v>
      </c>
      <c r="E2617" s="9">
        <v>46197</v>
      </c>
      <c r="F2617" s="8">
        <v>11.9612</v>
      </c>
    </row>
    <row r="2618" spans="1:6" ht="60" x14ac:dyDescent="0.25">
      <c r="A2618" s="8" t="s">
        <v>5</v>
      </c>
      <c r="B2618" s="8" t="s">
        <v>54</v>
      </c>
      <c r="C2618" s="8" t="str">
        <f>IFERROR(_xlfn.XLOOKUP(TRIM(B2618),Lookup!$B$2:$B$1000,Lookup!$C$2:$C$1000),"")</f>
        <v>Equity</v>
      </c>
      <c r="D2618" s="8" t="s">
        <v>55</v>
      </c>
      <c r="E2618" s="9">
        <v>46205</v>
      </c>
      <c r="F2618" s="8">
        <v>12.0854</v>
      </c>
    </row>
    <row r="2619" spans="1:6" ht="60" x14ac:dyDescent="0.25">
      <c r="A2619" s="8" t="s">
        <v>5</v>
      </c>
      <c r="B2619" s="8" t="s">
        <v>54</v>
      </c>
      <c r="C2619" s="8" t="str">
        <f>IFERROR(_xlfn.XLOOKUP(TRIM(B2619),Lookup!$B$2:$B$1000,Lookup!$C$2:$C$1000),"")</f>
        <v>Equity</v>
      </c>
      <c r="D2619" s="8" t="s">
        <v>55</v>
      </c>
      <c r="E2619" s="9">
        <v>46212</v>
      </c>
      <c r="F2619" s="8">
        <v>12.014799999999999</v>
      </c>
    </row>
    <row r="2620" spans="1:6" ht="60" x14ac:dyDescent="0.25">
      <c r="A2620" s="8" t="s">
        <v>5</v>
      </c>
      <c r="B2620" s="8" t="s">
        <v>54</v>
      </c>
      <c r="C2620" s="8" t="str">
        <f>IFERROR(_xlfn.XLOOKUP(TRIM(B2620),Lookup!$B$2:$B$1000,Lookup!$C$2:$C$1000),"")</f>
        <v>Equity</v>
      </c>
      <c r="D2620" s="8" t="s">
        <v>55</v>
      </c>
      <c r="E2620" s="9">
        <v>46219</v>
      </c>
      <c r="F2620" s="8">
        <v>12.170999999999999</v>
      </c>
    </row>
    <row r="2621" spans="1:6" ht="60" x14ac:dyDescent="0.25">
      <c r="A2621" s="8" t="s">
        <v>5</v>
      </c>
      <c r="B2621" s="8" t="s">
        <v>54</v>
      </c>
      <c r="C2621" s="8" t="str">
        <f>IFERROR(_xlfn.XLOOKUP(TRIM(B2621),Lookup!$B$2:$B$1000,Lookup!$C$2:$C$1000),"")</f>
        <v>Equity</v>
      </c>
      <c r="D2621" s="8" t="s">
        <v>55</v>
      </c>
      <c r="E2621" s="9">
        <v>46226</v>
      </c>
      <c r="F2621" s="8">
        <v>11.8657</v>
      </c>
    </row>
    <row r="2622" spans="1:6" ht="60" x14ac:dyDescent="0.25">
      <c r="A2622" s="8" t="s">
        <v>5</v>
      </c>
      <c r="B2622" s="8" t="s">
        <v>54</v>
      </c>
      <c r="C2622" s="8" t="str">
        <f>IFERROR(_xlfn.XLOOKUP(TRIM(B2622),Lookup!$B$2:$B$1000,Lookup!$C$2:$C$1000),"")</f>
        <v>Equity</v>
      </c>
      <c r="D2622" s="8" t="s">
        <v>55</v>
      </c>
      <c r="E2622" s="9">
        <v>46233</v>
      </c>
      <c r="F2622" s="8">
        <v>11.997999999999999</v>
      </c>
    </row>
    <row r="2623" spans="1:6" ht="120" x14ac:dyDescent="0.25">
      <c r="A2623" s="8" t="s">
        <v>5</v>
      </c>
      <c r="B2623" s="8" t="s">
        <v>56</v>
      </c>
      <c r="C2623" s="8" t="str">
        <f>IFERROR(_xlfn.XLOOKUP(TRIM(B2623),Lookup!$B$2:$B$1000,Lookup!$C$2:$C$1000),"")</f>
        <v>Equity</v>
      </c>
      <c r="D2623" s="8" t="s">
        <v>57</v>
      </c>
      <c r="E2623" s="9">
        <v>45869</v>
      </c>
      <c r="F2623" s="8">
        <v>10.322699999999999</v>
      </c>
    </row>
    <row r="2624" spans="1:6" ht="120" x14ac:dyDescent="0.25">
      <c r="A2624" s="8" t="s">
        <v>5</v>
      </c>
      <c r="B2624" s="8" t="s">
        <v>56</v>
      </c>
      <c r="C2624" s="8" t="str">
        <f>IFERROR(_xlfn.XLOOKUP(TRIM(B2624),Lookup!$B$2:$B$1000,Lookup!$C$2:$C$1000),"")</f>
        <v>Equity</v>
      </c>
      <c r="D2624" s="8" t="s">
        <v>57</v>
      </c>
      <c r="E2624" s="9">
        <v>45870</v>
      </c>
      <c r="F2624" s="8">
        <v>10.1393</v>
      </c>
    </row>
    <row r="2625" spans="1:6" ht="120" x14ac:dyDescent="0.25">
      <c r="A2625" s="8" t="s">
        <v>5</v>
      </c>
      <c r="B2625" s="8" t="s">
        <v>56</v>
      </c>
      <c r="C2625" s="8" t="str">
        <f>IFERROR(_xlfn.XLOOKUP(TRIM(B2625),Lookup!$B$2:$B$1000,Lookup!$C$2:$C$1000),"")</f>
        <v>Equity</v>
      </c>
      <c r="D2625" s="8" t="s">
        <v>57</v>
      </c>
      <c r="E2625" s="9">
        <v>45873</v>
      </c>
      <c r="F2625" s="8">
        <v>10.2719</v>
      </c>
    </row>
    <row r="2626" spans="1:6" ht="120" x14ac:dyDescent="0.25">
      <c r="A2626" s="8" t="s">
        <v>5</v>
      </c>
      <c r="B2626" s="8" t="s">
        <v>56</v>
      </c>
      <c r="C2626" s="8" t="str">
        <f>IFERROR(_xlfn.XLOOKUP(TRIM(B2626),Lookup!$B$2:$B$1000,Lookup!$C$2:$C$1000),"")</f>
        <v>Equity</v>
      </c>
      <c r="D2626" s="8" t="s">
        <v>57</v>
      </c>
      <c r="E2626" s="9">
        <v>45874</v>
      </c>
      <c r="F2626" s="8">
        <v>10.272500000000001</v>
      </c>
    </row>
    <row r="2627" spans="1:6" ht="120" x14ac:dyDescent="0.25">
      <c r="A2627" s="8" t="s">
        <v>5</v>
      </c>
      <c r="B2627" s="8" t="s">
        <v>56</v>
      </c>
      <c r="C2627" s="8" t="str">
        <f>IFERROR(_xlfn.XLOOKUP(TRIM(B2627),Lookup!$B$2:$B$1000,Lookup!$C$2:$C$1000),"")</f>
        <v>Equity</v>
      </c>
      <c r="D2627" s="8" t="s">
        <v>57</v>
      </c>
      <c r="E2627" s="9">
        <v>45875</v>
      </c>
      <c r="F2627" s="8">
        <v>10.1615</v>
      </c>
    </row>
    <row r="2628" spans="1:6" ht="120" x14ac:dyDescent="0.25">
      <c r="A2628" s="8" t="s">
        <v>5</v>
      </c>
      <c r="B2628" s="8" t="s">
        <v>56</v>
      </c>
      <c r="C2628" s="8" t="str">
        <f>IFERROR(_xlfn.XLOOKUP(TRIM(B2628),Lookup!$B$2:$B$1000,Lookup!$C$2:$C$1000),"")</f>
        <v>Equity</v>
      </c>
      <c r="D2628" s="8" t="s">
        <v>57</v>
      </c>
      <c r="E2628" s="9">
        <v>45876</v>
      </c>
      <c r="F2628" s="8">
        <v>10.1439</v>
      </c>
    </row>
    <row r="2629" spans="1:6" ht="120" x14ac:dyDescent="0.25">
      <c r="A2629" s="8" t="s">
        <v>5</v>
      </c>
      <c r="B2629" s="8" t="s">
        <v>56</v>
      </c>
      <c r="C2629" s="8" t="str">
        <f>IFERROR(_xlfn.XLOOKUP(TRIM(B2629),Lookup!$B$2:$B$1000,Lookup!$C$2:$C$1000),"")</f>
        <v>Equity</v>
      </c>
      <c r="D2629" s="8" t="s">
        <v>57</v>
      </c>
      <c r="E2629" s="9">
        <v>45877</v>
      </c>
      <c r="F2629" s="8">
        <v>10.004799999999999</v>
      </c>
    </row>
    <row r="2630" spans="1:6" ht="120" x14ac:dyDescent="0.25">
      <c r="A2630" s="8" t="s">
        <v>5</v>
      </c>
      <c r="B2630" s="8" t="s">
        <v>56</v>
      </c>
      <c r="C2630" s="8" t="str">
        <f>IFERROR(_xlfn.XLOOKUP(TRIM(B2630),Lookup!$B$2:$B$1000,Lookup!$C$2:$C$1000),"")</f>
        <v>Equity</v>
      </c>
      <c r="D2630" s="8" t="s">
        <v>57</v>
      </c>
      <c r="E2630" s="9">
        <v>45880</v>
      </c>
      <c r="F2630" s="8">
        <v>10.037599999999999</v>
      </c>
    </row>
    <row r="2631" spans="1:6" ht="120" x14ac:dyDescent="0.25">
      <c r="A2631" s="8" t="s">
        <v>5</v>
      </c>
      <c r="B2631" s="8" t="s">
        <v>56</v>
      </c>
      <c r="C2631" s="8" t="str">
        <f>IFERROR(_xlfn.XLOOKUP(TRIM(B2631),Lookup!$B$2:$B$1000,Lookup!$C$2:$C$1000),"")</f>
        <v>Equity</v>
      </c>
      <c r="D2631" s="8" t="s">
        <v>57</v>
      </c>
      <c r="E2631" s="9">
        <v>45881</v>
      </c>
      <c r="F2631" s="8">
        <v>10.0296</v>
      </c>
    </row>
    <row r="2632" spans="1:6" ht="120" x14ac:dyDescent="0.25">
      <c r="A2632" s="8" t="s">
        <v>5</v>
      </c>
      <c r="B2632" s="8" t="s">
        <v>56</v>
      </c>
      <c r="C2632" s="8" t="str">
        <f>IFERROR(_xlfn.XLOOKUP(TRIM(B2632),Lookup!$B$2:$B$1000,Lookup!$C$2:$C$1000),"")</f>
        <v>Equity</v>
      </c>
      <c r="D2632" s="8" t="s">
        <v>57</v>
      </c>
      <c r="E2632" s="9">
        <v>45882</v>
      </c>
      <c r="F2632" s="8">
        <v>10.094900000000001</v>
      </c>
    </row>
    <row r="2633" spans="1:6" ht="120" x14ac:dyDescent="0.25">
      <c r="A2633" s="8" t="s">
        <v>5</v>
      </c>
      <c r="B2633" s="8" t="s">
        <v>56</v>
      </c>
      <c r="C2633" s="8" t="str">
        <f>IFERROR(_xlfn.XLOOKUP(TRIM(B2633),Lookup!$B$2:$B$1000,Lookup!$C$2:$C$1000),"")</f>
        <v>Equity</v>
      </c>
      <c r="D2633" s="8" t="s">
        <v>57</v>
      </c>
      <c r="E2633" s="9">
        <v>45883</v>
      </c>
      <c r="F2633" s="8">
        <v>10.0505</v>
      </c>
    </row>
    <row r="2634" spans="1:6" ht="120" x14ac:dyDescent="0.25">
      <c r="A2634" s="8" t="s">
        <v>5</v>
      </c>
      <c r="B2634" s="8" t="s">
        <v>56</v>
      </c>
      <c r="C2634" s="8" t="str">
        <f>IFERROR(_xlfn.XLOOKUP(TRIM(B2634),Lookup!$B$2:$B$1000,Lookup!$C$2:$C$1000),"")</f>
        <v>Equity</v>
      </c>
      <c r="D2634" s="8" t="s">
        <v>57</v>
      </c>
      <c r="E2634" s="9">
        <v>45887</v>
      </c>
      <c r="F2634" s="8">
        <v>10.1584</v>
      </c>
    </row>
    <row r="2635" spans="1:6" ht="120" x14ac:dyDescent="0.25">
      <c r="A2635" s="8" t="s">
        <v>5</v>
      </c>
      <c r="B2635" s="8" t="s">
        <v>56</v>
      </c>
      <c r="C2635" s="8" t="str">
        <f>IFERROR(_xlfn.XLOOKUP(TRIM(B2635),Lookup!$B$2:$B$1000,Lookup!$C$2:$C$1000),"")</f>
        <v>Equity</v>
      </c>
      <c r="D2635" s="8" t="s">
        <v>57</v>
      </c>
      <c r="E2635" s="9">
        <v>45888</v>
      </c>
      <c r="F2635" s="8">
        <v>10.2301</v>
      </c>
    </row>
    <row r="2636" spans="1:6" ht="120" x14ac:dyDescent="0.25">
      <c r="A2636" s="8" t="s">
        <v>5</v>
      </c>
      <c r="B2636" s="8" t="s">
        <v>56</v>
      </c>
      <c r="C2636" s="8" t="str">
        <f>IFERROR(_xlfn.XLOOKUP(TRIM(B2636),Lookup!$B$2:$B$1000,Lookup!$C$2:$C$1000),"")</f>
        <v>Equity</v>
      </c>
      <c r="D2636" s="8" t="s">
        <v>57</v>
      </c>
      <c r="E2636" s="9">
        <v>45889</v>
      </c>
      <c r="F2636" s="8">
        <v>10.2934</v>
      </c>
    </row>
    <row r="2637" spans="1:6" ht="120" x14ac:dyDescent="0.25">
      <c r="A2637" s="8" t="s">
        <v>5</v>
      </c>
      <c r="B2637" s="8" t="s">
        <v>56</v>
      </c>
      <c r="C2637" s="8" t="str">
        <f>IFERROR(_xlfn.XLOOKUP(TRIM(B2637),Lookup!$B$2:$B$1000,Lookup!$C$2:$C$1000),"")</f>
        <v>Equity</v>
      </c>
      <c r="D2637" s="8" t="s">
        <v>57</v>
      </c>
      <c r="E2637" s="9">
        <v>45890</v>
      </c>
      <c r="F2637" s="8">
        <v>10.2895</v>
      </c>
    </row>
    <row r="2638" spans="1:6" ht="120" x14ac:dyDescent="0.25">
      <c r="A2638" s="8" t="s">
        <v>5</v>
      </c>
      <c r="B2638" s="8" t="s">
        <v>56</v>
      </c>
      <c r="C2638" s="8" t="str">
        <f>IFERROR(_xlfn.XLOOKUP(TRIM(B2638),Lookup!$B$2:$B$1000,Lookup!$C$2:$C$1000),"")</f>
        <v>Equity</v>
      </c>
      <c r="D2638" s="8" t="s">
        <v>57</v>
      </c>
      <c r="E2638" s="9">
        <v>45891</v>
      </c>
      <c r="F2638" s="8">
        <v>10.258100000000001</v>
      </c>
    </row>
    <row r="2639" spans="1:6" ht="120" x14ac:dyDescent="0.25">
      <c r="A2639" s="8" t="s">
        <v>5</v>
      </c>
      <c r="B2639" s="8" t="s">
        <v>56</v>
      </c>
      <c r="C2639" s="8" t="str">
        <f>IFERROR(_xlfn.XLOOKUP(TRIM(B2639),Lookup!$B$2:$B$1000,Lookup!$C$2:$C$1000),"")</f>
        <v>Equity</v>
      </c>
      <c r="D2639" s="8" t="s">
        <v>57</v>
      </c>
      <c r="E2639" s="9">
        <v>45894</v>
      </c>
      <c r="F2639" s="8">
        <v>10.3004</v>
      </c>
    </row>
    <row r="2640" spans="1:6" ht="120" x14ac:dyDescent="0.25">
      <c r="A2640" s="8" t="s">
        <v>5</v>
      </c>
      <c r="B2640" s="8" t="s">
        <v>56</v>
      </c>
      <c r="C2640" s="8" t="str">
        <f>IFERROR(_xlfn.XLOOKUP(TRIM(B2640),Lookup!$B$2:$B$1000,Lookup!$C$2:$C$1000),"")</f>
        <v>Equity</v>
      </c>
      <c r="D2640" s="8" t="s">
        <v>57</v>
      </c>
      <c r="E2640" s="9">
        <v>45895</v>
      </c>
      <c r="F2640" s="8">
        <v>10.0794</v>
      </c>
    </row>
    <row r="2641" spans="1:6" ht="120" x14ac:dyDescent="0.25">
      <c r="A2641" s="8" t="s">
        <v>5</v>
      </c>
      <c r="B2641" s="8" t="s">
        <v>56</v>
      </c>
      <c r="C2641" s="8" t="str">
        <f>IFERROR(_xlfn.XLOOKUP(TRIM(B2641),Lookup!$B$2:$B$1000,Lookup!$C$2:$C$1000),"")</f>
        <v>Equity</v>
      </c>
      <c r="D2641" s="8" t="s">
        <v>57</v>
      </c>
      <c r="E2641" s="9">
        <v>45897</v>
      </c>
      <c r="F2641" s="8">
        <v>9.9618000000000002</v>
      </c>
    </row>
    <row r="2642" spans="1:6" ht="120" x14ac:dyDescent="0.25">
      <c r="A2642" s="8" t="s">
        <v>5</v>
      </c>
      <c r="B2642" s="8" t="s">
        <v>56</v>
      </c>
      <c r="C2642" s="8" t="str">
        <f>IFERROR(_xlfn.XLOOKUP(TRIM(B2642),Lookup!$B$2:$B$1000,Lookup!$C$2:$C$1000),"")</f>
        <v>Equity</v>
      </c>
      <c r="D2642" s="8" t="s">
        <v>57</v>
      </c>
      <c r="E2642" s="9">
        <v>45898</v>
      </c>
      <c r="F2642" s="8">
        <v>9.9582999999999995</v>
      </c>
    </row>
    <row r="2643" spans="1:6" ht="120" x14ac:dyDescent="0.25">
      <c r="A2643" s="8" t="s">
        <v>5</v>
      </c>
      <c r="B2643" s="8" t="s">
        <v>56</v>
      </c>
      <c r="C2643" s="8" t="str">
        <f>IFERROR(_xlfn.XLOOKUP(TRIM(B2643),Lookup!$B$2:$B$1000,Lookup!$C$2:$C$1000),"")</f>
        <v>Equity</v>
      </c>
      <c r="D2643" s="8" t="s">
        <v>57</v>
      </c>
      <c r="E2643" s="9">
        <v>45901</v>
      </c>
      <c r="F2643" s="8">
        <v>10.137</v>
      </c>
    </row>
    <row r="2644" spans="1:6" ht="120" x14ac:dyDescent="0.25">
      <c r="A2644" s="8" t="s">
        <v>5</v>
      </c>
      <c r="B2644" s="8" t="s">
        <v>56</v>
      </c>
      <c r="C2644" s="8" t="str">
        <f>IFERROR(_xlfn.XLOOKUP(TRIM(B2644),Lookup!$B$2:$B$1000,Lookup!$C$2:$C$1000),"")</f>
        <v>Equity</v>
      </c>
      <c r="D2644" s="8" t="s">
        <v>57</v>
      </c>
      <c r="E2644" s="9">
        <v>45902</v>
      </c>
      <c r="F2644" s="8">
        <v>10.1836</v>
      </c>
    </row>
    <row r="2645" spans="1:6" ht="120" x14ac:dyDescent="0.25">
      <c r="A2645" s="8" t="s">
        <v>5</v>
      </c>
      <c r="B2645" s="8" t="s">
        <v>56</v>
      </c>
      <c r="C2645" s="8" t="str">
        <f>IFERROR(_xlfn.XLOOKUP(TRIM(B2645),Lookup!$B$2:$B$1000,Lookup!$C$2:$C$1000),"")</f>
        <v>Equity</v>
      </c>
      <c r="D2645" s="8" t="s">
        <v>57</v>
      </c>
      <c r="E2645" s="9">
        <v>45903</v>
      </c>
      <c r="F2645" s="8">
        <v>10.2371</v>
      </c>
    </row>
    <row r="2646" spans="1:6" ht="120" x14ac:dyDescent="0.25">
      <c r="A2646" s="8" t="s">
        <v>5</v>
      </c>
      <c r="B2646" s="8" t="s">
        <v>56</v>
      </c>
      <c r="C2646" s="8" t="str">
        <f>IFERROR(_xlfn.XLOOKUP(TRIM(B2646),Lookup!$B$2:$B$1000,Lookup!$C$2:$C$1000),"")</f>
        <v>Equity</v>
      </c>
      <c r="D2646" s="8" t="s">
        <v>57</v>
      </c>
      <c r="E2646" s="9">
        <v>45904</v>
      </c>
      <c r="F2646" s="8">
        <v>10.1721</v>
      </c>
    </row>
    <row r="2647" spans="1:6" ht="120" x14ac:dyDescent="0.25">
      <c r="A2647" s="8" t="s">
        <v>5</v>
      </c>
      <c r="B2647" s="8" t="s">
        <v>56</v>
      </c>
      <c r="C2647" s="8" t="str">
        <f>IFERROR(_xlfn.XLOOKUP(TRIM(B2647),Lookup!$B$2:$B$1000,Lookup!$C$2:$C$1000),"")</f>
        <v>Equity</v>
      </c>
      <c r="D2647" s="8" t="s">
        <v>57</v>
      </c>
      <c r="E2647" s="9">
        <v>45905</v>
      </c>
      <c r="F2647" s="8">
        <v>10.1754</v>
      </c>
    </row>
    <row r="2648" spans="1:6" ht="120" x14ac:dyDescent="0.25">
      <c r="A2648" s="8" t="s">
        <v>5</v>
      </c>
      <c r="B2648" s="8" t="s">
        <v>56</v>
      </c>
      <c r="C2648" s="8" t="str">
        <f>IFERROR(_xlfn.XLOOKUP(TRIM(B2648),Lookup!$B$2:$B$1000,Lookup!$C$2:$C$1000),"")</f>
        <v>Equity</v>
      </c>
      <c r="D2648" s="8" t="s">
        <v>57</v>
      </c>
      <c r="E2648" s="9">
        <v>45908</v>
      </c>
      <c r="F2648" s="8">
        <v>10.1782</v>
      </c>
    </row>
    <row r="2649" spans="1:6" ht="120" x14ac:dyDescent="0.25">
      <c r="A2649" s="8" t="s">
        <v>5</v>
      </c>
      <c r="B2649" s="8" t="s">
        <v>56</v>
      </c>
      <c r="C2649" s="8" t="str">
        <f>IFERROR(_xlfn.XLOOKUP(TRIM(B2649),Lookup!$B$2:$B$1000,Lookup!$C$2:$C$1000),"")</f>
        <v>Equity</v>
      </c>
      <c r="D2649" s="8" t="s">
        <v>57</v>
      </c>
      <c r="E2649" s="9">
        <v>45909</v>
      </c>
      <c r="F2649" s="8">
        <v>10.2224</v>
      </c>
    </row>
    <row r="2650" spans="1:6" ht="120" x14ac:dyDescent="0.25">
      <c r="A2650" s="8" t="s">
        <v>5</v>
      </c>
      <c r="B2650" s="8" t="s">
        <v>56</v>
      </c>
      <c r="C2650" s="8" t="str">
        <f>IFERROR(_xlfn.XLOOKUP(TRIM(B2650),Lookup!$B$2:$B$1000,Lookup!$C$2:$C$1000),"")</f>
        <v>Equity</v>
      </c>
      <c r="D2650" s="8" t="s">
        <v>57</v>
      </c>
      <c r="E2650" s="9">
        <v>45910</v>
      </c>
      <c r="F2650" s="8">
        <v>10.3065</v>
      </c>
    </row>
    <row r="2651" spans="1:6" ht="120" x14ac:dyDescent="0.25">
      <c r="A2651" s="8" t="s">
        <v>5</v>
      </c>
      <c r="B2651" s="8" t="s">
        <v>56</v>
      </c>
      <c r="C2651" s="8" t="str">
        <f>IFERROR(_xlfn.XLOOKUP(TRIM(B2651),Lookup!$B$2:$B$1000,Lookup!$C$2:$C$1000),"")</f>
        <v>Equity</v>
      </c>
      <c r="D2651" s="8" t="s">
        <v>57</v>
      </c>
      <c r="E2651" s="9">
        <v>45911</v>
      </c>
      <c r="F2651" s="8">
        <v>10.292899999999999</v>
      </c>
    </row>
    <row r="2652" spans="1:6" ht="120" x14ac:dyDescent="0.25">
      <c r="A2652" s="8" t="s">
        <v>5</v>
      </c>
      <c r="B2652" s="8" t="s">
        <v>56</v>
      </c>
      <c r="C2652" s="8" t="str">
        <f>IFERROR(_xlfn.XLOOKUP(TRIM(B2652),Lookup!$B$2:$B$1000,Lookup!$C$2:$C$1000),"")</f>
        <v>Equity</v>
      </c>
      <c r="D2652" s="8" t="s">
        <v>57</v>
      </c>
      <c r="E2652" s="9">
        <v>45912</v>
      </c>
      <c r="F2652" s="8">
        <v>10.3545</v>
      </c>
    </row>
    <row r="2653" spans="1:6" ht="120" x14ac:dyDescent="0.25">
      <c r="A2653" s="8" t="s">
        <v>5</v>
      </c>
      <c r="B2653" s="8" t="s">
        <v>56</v>
      </c>
      <c r="C2653" s="8" t="str">
        <f>IFERROR(_xlfn.XLOOKUP(TRIM(B2653),Lookup!$B$2:$B$1000,Lookup!$C$2:$C$1000),"")</f>
        <v>Equity</v>
      </c>
      <c r="D2653" s="8" t="s">
        <v>57</v>
      </c>
      <c r="E2653" s="9">
        <v>45915</v>
      </c>
      <c r="F2653" s="8">
        <v>10.4191</v>
      </c>
    </row>
    <row r="2654" spans="1:6" ht="120" x14ac:dyDescent="0.25">
      <c r="A2654" s="8" t="s">
        <v>5</v>
      </c>
      <c r="B2654" s="8" t="s">
        <v>56</v>
      </c>
      <c r="C2654" s="8" t="str">
        <f>IFERROR(_xlfn.XLOOKUP(TRIM(B2654),Lookup!$B$2:$B$1000,Lookup!$C$2:$C$1000),"")</f>
        <v>Equity</v>
      </c>
      <c r="D2654" s="8" t="s">
        <v>57</v>
      </c>
      <c r="E2654" s="9">
        <v>45916</v>
      </c>
      <c r="F2654" s="8">
        <v>10.5282</v>
      </c>
    </row>
    <row r="2655" spans="1:6" ht="120" x14ac:dyDescent="0.25">
      <c r="A2655" s="8" t="s">
        <v>5</v>
      </c>
      <c r="B2655" s="8" t="s">
        <v>56</v>
      </c>
      <c r="C2655" s="8" t="str">
        <f>IFERROR(_xlfn.XLOOKUP(TRIM(B2655),Lookup!$B$2:$B$1000,Lookup!$C$2:$C$1000),"")</f>
        <v>Equity</v>
      </c>
      <c r="D2655" s="8" t="s">
        <v>57</v>
      </c>
      <c r="E2655" s="9">
        <v>45917</v>
      </c>
      <c r="F2655" s="8">
        <v>10.581899999999999</v>
      </c>
    </row>
    <row r="2656" spans="1:6" ht="120" x14ac:dyDescent="0.25">
      <c r="A2656" s="8" t="s">
        <v>5</v>
      </c>
      <c r="B2656" s="8" t="s">
        <v>56</v>
      </c>
      <c r="C2656" s="8" t="str">
        <f>IFERROR(_xlfn.XLOOKUP(TRIM(B2656),Lookup!$B$2:$B$1000,Lookup!$C$2:$C$1000),"")</f>
        <v>Equity</v>
      </c>
      <c r="D2656" s="8" t="s">
        <v>57</v>
      </c>
      <c r="E2656" s="9">
        <v>45918</v>
      </c>
      <c r="F2656" s="8">
        <v>10.579800000000001</v>
      </c>
    </row>
    <row r="2657" spans="1:6" ht="120" x14ac:dyDescent="0.25">
      <c r="A2657" s="8" t="s">
        <v>5</v>
      </c>
      <c r="B2657" s="8" t="s">
        <v>56</v>
      </c>
      <c r="C2657" s="8" t="str">
        <f>IFERROR(_xlfn.XLOOKUP(TRIM(B2657),Lookup!$B$2:$B$1000,Lookup!$C$2:$C$1000),"")</f>
        <v>Equity</v>
      </c>
      <c r="D2657" s="8" t="s">
        <v>57</v>
      </c>
      <c r="E2657" s="9">
        <v>45919</v>
      </c>
      <c r="F2657" s="8">
        <v>10.6045</v>
      </c>
    </row>
    <row r="2658" spans="1:6" ht="120" x14ac:dyDescent="0.25">
      <c r="A2658" s="8" t="s">
        <v>5</v>
      </c>
      <c r="B2658" s="8" t="s">
        <v>56</v>
      </c>
      <c r="C2658" s="8" t="str">
        <f>IFERROR(_xlfn.XLOOKUP(TRIM(B2658),Lookup!$B$2:$B$1000,Lookup!$C$2:$C$1000),"")</f>
        <v>Equity</v>
      </c>
      <c r="D2658" s="8" t="s">
        <v>57</v>
      </c>
      <c r="E2658" s="9">
        <v>45922</v>
      </c>
      <c r="F2658" s="8">
        <v>10.5191</v>
      </c>
    </row>
    <row r="2659" spans="1:6" ht="120" x14ac:dyDescent="0.25">
      <c r="A2659" s="8" t="s">
        <v>5</v>
      </c>
      <c r="B2659" s="8" t="s">
        <v>56</v>
      </c>
      <c r="C2659" s="8" t="str">
        <f>IFERROR(_xlfn.XLOOKUP(TRIM(B2659),Lookup!$B$2:$B$1000,Lookup!$C$2:$C$1000),"")</f>
        <v>Equity</v>
      </c>
      <c r="D2659" s="8" t="s">
        <v>57</v>
      </c>
      <c r="E2659" s="9">
        <v>45923</v>
      </c>
      <c r="F2659" s="8">
        <v>10.445600000000001</v>
      </c>
    </row>
    <row r="2660" spans="1:6" ht="120" x14ac:dyDescent="0.25">
      <c r="A2660" s="8" t="s">
        <v>5</v>
      </c>
      <c r="B2660" s="8" t="s">
        <v>56</v>
      </c>
      <c r="C2660" s="8" t="str">
        <f>IFERROR(_xlfn.XLOOKUP(TRIM(B2660),Lookup!$B$2:$B$1000,Lookup!$C$2:$C$1000),"")</f>
        <v>Equity</v>
      </c>
      <c r="D2660" s="8" t="s">
        <v>57</v>
      </c>
      <c r="E2660" s="9">
        <v>45924</v>
      </c>
      <c r="F2660" s="8">
        <v>10.3535</v>
      </c>
    </row>
    <row r="2661" spans="1:6" ht="120" x14ac:dyDescent="0.25">
      <c r="A2661" s="8" t="s">
        <v>5</v>
      </c>
      <c r="B2661" s="8" t="s">
        <v>56</v>
      </c>
      <c r="C2661" s="8" t="str">
        <f>IFERROR(_xlfn.XLOOKUP(TRIM(B2661),Lookup!$B$2:$B$1000,Lookup!$C$2:$C$1000),"")</f>
        <v>Equity</v>
      </c>
      <c r="D2661" s="8" t="s">
        <v>57</v>
      </c>
      <c r="E2661" s="9">
        <v>45925</v>
      </c>
      <c r="F2661" s="8">
        <v>10.295500000000001</v>
      </c>
    </row>
    <row r="2662" spans="1:6" ht="120" x14ac:dyDescent="0.25">
      <c r="A2662" s="8" t="s">
        <v>5</v>
      </c>
      <c r="B2662" s="8" t="s">
        <v>56</v>
      </c>
      <c r="C2662" s="8" t="str">
        <f>IFERROR(_xlfn.XLOOKUP(TRIM(B2662),Lookup!$B$2:$B$1000,Lookup!$C$2:$C$1000),"")</f>
        <v>Equity</v>
      </c>
      <c r="D2662" s="8" t="s">
        <v>57</v>
      </c>
      <c r="E2662" s="9">
        <v>45926</v>
      </c>
      <c r="F2662" s="8">
        <v>10.063700000000001</v>
      </c>
    </row>
    <row r="2663" spans="1:6" ht="120" x14ac:dyDescent="0.25">
      <c r="A2663" s="8" t="s">
        <v>5</v>
      </c>
      <c r="B2663" s="8" t="s">
        <v>56</v>
      </c>
      <c r="C2663" s="8" t="str">
        <f>IFERROR(_xlfn.XLOOKUP(TRIM(B2663),Lookup!$B$2:$B$1000,Lookup!$C$2:$C$1000),"")</f>
        <v>Equity</v>
      </c>
      <c r="D2663" s="8" t="s">
        <v>57</v>
      </c>
      <c r="E2663" s="9">
        <v>45929</v>
      </c>
      <c r="F2663" s="8">
        <v>10.0517</v>
      </c>
    </row>
    <row r="2664" spans="1:6" ht="120" x14ac:dyDescent="0.25">
      <c r="A2664" s="8" t="s">
        <v>5</v>
      </c>
      <c r="B2664" s="8" t="s">
        <v>56</v>
      </c>
      <c r="C2664" s="8" t="str">
        <f>IFERROR(_xlfn.XLOOKUP(TRIM(B2664),Lookup!$B$2:$B$1000,Lookup!$C$2:$C$1000),"")</f>
        <v>Equity</v>
      </c>
      <c r="D2664" s="8" t="s">
        <v>57</v>
      </c>
      <c r="E2664" s="9">
        <v>45930</v>
      </c>
      <c r="F2664" s="8">
        <v>10.0418</v>
      </c>
    </row>
    <row r="2665" spans="1:6" ht="120" x14ac:dyDescent="0.25">
      <c r="A2665" s="8" t="s">
        <v>5</v>
      </c>
      <c r="B2665" s="8" t="s">
        <v>56</v>
      </c>
      <c r="C2665" s="8" t="str">
        <f>IFERROR(_xlfn.XLOOKUP(TRIM(B2665),Lookup!$B$2:$B$1000,Lookup!$C$2:$C$1000),"")</f>
        <v>Equity</v>
      </c>
      <c r="D2665" s="8" t="s">
        <v>57</v>
      </c>
      <c r="E2665" s="9">
        <v>45931</v>
      </c>
      <c r="F2665" s="8">
        <v>10.159800000000001</v>
      </c>
    </row>
    <row r="2666" spans="1:6" ht="120" x14ac:dyDescent="0.25">
      <c r="A2666" s="8" t="s">
        <v>5</v>
      </c>
      <c r="B2666" s="8" t="s">
        <v>56</v>
      </c>
      <c r="C2666" s="8" t="str">
        <f>IFERROR(_xlfn.XLOOKUP(TRIM(B2666),Lookup!$B$2:$B$1000,Lookup!$C$2:$C$1000),"")</f>
        <v>Equity</v>
      </c>
      <c r="D2666" s="8" t="s">
        <v>57</v>
      </c>
      <c r="E2666" s="9">
        <v>45933</v>
      </c>
      <c r="F2666" s="8">
        <v>10.242100000000001</v>
      </c>
    </row>
    <row r="2667" spans="1:6" ht="120" x14ac:dyDescent="0.25">
      <c r="A2667" s="8" t="s">
        <v>5</v>
      </c>
      <c r="B2667" s="8" t="s">
        <v>56</v>
      </c>
      <c r="C2667" s="8" t="str">
        <f>IFERROR(_xlfn.XLOOKUP(TRIM(B2667),Lookup!$B$2:$B$1000,Lookup!$C$2:$C$1000),"")</f>
        <v>Equity</v>
      </c>
      <c r="D2667" s="8" t="s">
        <v>57</v>
      </c>
      <c r="E2667" s="9">
        <v>45936</v>
      </c>
      <c r="F2667" s="8">
        <v>10.247299999999999</v>
      </c>
    </row>
    <row r="2668" spans="1:6" ht="120" x14ac:dyDescent="0.25">
      <c r="A2668" s="8" t="s">
        <v>5</v>
      </c>
      <c r="B2668" s="8" t="s">
        <v>56</v>
      </c>
      <c r="C2668" s="8" t="str">
        <f>IFERROR(_xlfn.XLOOKUP(TRIM(B2668),Lookup!$B$2:$B$1000,Lookup!$C$2:$C$1000),"")</f>
        <v>Equity</v>
      </c>
      <c r="D2668" s="8" t="s">
        <v>57</v>
      </c>
      <c r="E2668" s="9">
        <v>45937</v>
      </c>
      <c r="F2668" s="8">
        <v>10.259</v>
      </c>
    </row>
    <row r="2669" spans="1:6" ht="120" x14ac:dyDescent="0.25">
      <c r="A2669" s="8" t="s">
        <v>5</v>
      </c>
      <c r="B2669" s="8" t="s">
        <v>56</v>
      </c>
      <c r="C2669" s="8" t="str">
        <f>IFERROR(_xlfn.XLOOKUP(TRIM(B2669),Lookup!$B$2:$B$1000,Lookup!$C$2:$C$1000),"")</f>
        <v>Equity</v>
      </c>
      <c r="D2669" s="8" t="s">
        <v>57</v>
      </c>
      <c r="E2669" s="9">
        <v>45938</v>
      </c>
      <c r="F2669" s="8">
        <v>10.2118</v>
      </c>
    </row>
    <row r="2670" spans="1:6" ht="120" x14ac:dyDescent="0.25">
      <c r="A2670" s="8" t="s">
        <v>5</v>
      </c>
      <c r="B2670" s="8" t="s">
        <v>56</v>
      </c>
      <c r="C2670" s="8" t="str">
        <f>IFERROR(_xlfn.XLOOKUP(TRIM(B2670),Lookup!$B$2:$B$1000,Lookup!$C$2:$C$1000),"")</f>
        <v>Equity</v>
      </c>
      <c r="D2670" s="8" t="s">
        <v>57</v>
      </c>
      <c r="E2670" s="9">
        <v>45939</v>
      </c>
      <c r="F2670" s="8">
        <v>10.2584</v>
      </c>
    </row>
    <row r="2671" spans="1:6" ht="120" x14ac:dyDescent="0.25">
      <c r="A2671" s="8" t="s">
        <v>5</v>
      </c>
      <c r="B2671" s="8" t="s">
        <v>56</v>
      </c>
      <c r="C2671" s="8" t="str">
        <f>IFERROR(_xlfn.XLOOKUP(TRIM(B2671),Lookup!$B$2:$B$1000,Lookup!$C$2:$C$1000),"")</f>
        <v>Equity</v>
      </c>
      <c r="D2671" s="8" t="s">
        <v>57</v>
      </c>
      <c r="E2671" s="9">
        <v>45940</v>
      </c>
      <c r="F2671" s="8">
        <v>10.308199999999999</v>
      </c>
    </row>
    <row r="2672" spans="1:6" ht="120" x14ac:dyDescent="0.25">
      <c r="A2672" s="8" t="s">
        <v>5</v>
      </c>
      <c r="B2672" s="8" t="s">
        <v>56</v>
      </c>
      <c r="C2672" s="8" t="str">
        <f>IFERROR(_xlfn.XLOOKUP(TRIM(B2672),Lookup!$B$2:$B$1000,Lookup!$C$2:$C$1000),"")</f>
        <v>Equity</v>
      </c>
      <c r="D2672" s="8" t="s">
        <v>57</v>
      </c>
      <c r="E2672" s="9">
        <v>45943</v>
      </c>
      <c r="F2672" s="8">
        <v>10.2746</v>
      </c>
    </row>
    <row r="2673" spans="1:6" ht="120" x14ac:dyDescent="0.25">
      <c r="A2673" s="8" t="s">
        <v>5</v>
      </c>
      <c r="B2673" s="8" t="s">
        <v>56</v>
      </c>
      <c r="C2673" s="8" t="str">
        <f>IFERROR(_xlfn.XLOOKUP(TRIM(B2673),Lookup!$B$2:$B$1000,Lookup!$C$2:$C$1000),"")</f>
        <v>Equity</v>
      </c>
      <c r="D2673" s="8" t="s">
        <v>57</v>
      </c>
      <c r="E2673" s="9">
        <v>45944</v>
      </c>
      <c r="F2673" s="8">
        <v>10.180099999999999</v>
      </c>
    </row>
    <row r="2674" spans="1:6" ht="120" x14ac:dyDescent="0.25">
      <c r="A2674" s="8" t="s">
        <v>5</v>
      </c>
      <c r="B2674" s="8" t="s">
        <v>56</v>
      </c>
      <c r="C2674" s="8" t="str">
        <f>IFERROR(_xlfn.XLOOKUP(TRIM(B2674),Lookup!$B$2:$B$1000,Lookup!$C$2:$C$1000),"")</f>
        <v>Equity</v>
      </c>
      <c r="D2674" s="8" t="s">
        <v>57</v>
      </c>
      <c r="E2674" s="9">
        <v>45945</v>
      </c>
      <c r="F2674" s="8">
        <v>10.2606</v>
      </c>
    </row>
    <row r="2675" spans="1:6" ht="120" x14ac:dyDescent="0.25">
      <c r="A2675" s="8" t="s">
        <v>5</v>
      </c>
      <c r="B2675" s="8" t="s">
        <v>56</v>
      </c>
      <c r="C2675" s="8" t="str">
        <f>IFERROR(_xlfn.XLOOKUP(TRIM(B2675),Lookup!$B$2:$B$1000,Lookup!$C$2:$C$1000),"")</f>
        <v>Equity</v>
      </c>
      <c r="D2675" s="8" t="s">
        <v>57</v>
      </c>
      <c r="E2675" s="9">
        <v>45946</v>
      </c>
      <c r="F2675" s="8">
        <v>10.2705</v>
      </c>
    </row>
    <row r="2676" spans="1:6" ht="120" x14ac:dyDescent="0.25">
      <c r="A2676" s="8" t="s">
        <v>5</v>
      </c>
      <c r="B2676" s="8" t="s">
        <v>56</v>
      </c>
      <c r="C2676" s="8" t="str">
        <f>IFERROR(_xlfn.XLOOKUP(TRIM(B2676),Lookup!$B$2:$B$1000,Lookup!$C$2:$C$1000),"")</f>
        <v>Equity</v>
      </c>
      <c r="D2676" s="8" t="s">
        <v>57</v>
      </c>
      <c r="E2676" s="9">
        <v>45947</v>
      </c>
      <c r="F2676" s="8">
        <v>10.220700000000001</v>
      </c>
    </row>
    <row r="2677" spans="1:6" ht="120" x14ac:dyDescent="0.25">
      <c r="A2677" s="8" t="s">
        <v>5</v>
      </c>
      <c r="B2677" s="8" t="s">
        <v>56</v>
      </c>
      <c r="C2677" s="8" t="str">
        <f>IFERROR(_xlfn.XLOOKUP(TRIM(B2677),Lookup!$B$2:$B$1000,Lookup!$C$2:$C$1000),"")</f>
        <v>Equity</v>
      </c>
      <c r="D2677" s="8" t="s">
        <v>57</v>
      </c>
      <c r="E2677" s="9">
        <v>45950</v>
      </c>
      <c r="F2677" s="8">
        <v>10.2685</v>
      </c>
    </row>
    <row r="2678" spans="1:6" ht="120" x14ac:dyDescent="0.25">
      <c r="A2678" s="8" t="s">
        <v>5</v>
      </c>
      <c r="B2678" s="8" t="s">
        <v>56</v>
      </c>
      <c r="C2678" s="8" t="str">
        <f>IFERROR(_xlfn.XLOOKUP(TRIM(B2678),Lookup!$B$2:$B$1000,Lookup!$C$2:$C$1000),"")</f>
        <v>Equity</v>
      </c>
      <c r="D2678" s="8" t="s">
        <v>57</v>
      </c>
      <c r="E2678" s="9">
        <v>45953</v>
      </c>
      <c r="F2678" s="8">
        <v>10.2858</v>
      </c>
    </row>
    <row r="2679" spans="1:6" ht="120" x14ac:dyDescent="0.25">
      <c r="A2679" s="8" t="s">
        <v>5</v>
      </c>
      <c r="B2679" s="8" t="s">
        <v>56</v>
      </c>
      <c r="C2679" s="8" t="str">
        <f>IFERROR(_xlfn.XLOOKUP(TRIM(B2679),Lookup!$B$2:$B$1000,Lookup!$C$2:$C$1000),"")</f>
        <v>Equity</v>
      </c>
      <c r="D2679" s="8" t="s">
        <v>57</v>
      </c>
      <c r="E2679" s="9">
        <v>45954</v>
      </c>
      <c r="F2679" s="8">
        <v>10.2835</v>
      </c>
    </row>
    <row r="2680" spans="1:6" ht="120" x14ac:dyDescent="0.25">
      <c r="A2680" s="8" t="s">
        <v>5</v>
      </c>
      <c r="B2680" s="8" t="s">
        <v>56</v>
      </c>
      <c r="C2680" s="8" t="str">
        <f>IFERROR(_xlfn.XLOOKUP(TRIM(B2680),Lookup!$B$2:$B$1000,Lookup!$C$2:$C$1000),"")</f>
        <v>Equity</v>
      </c>
      <c r="D2680" s="8" t="s">
        <v>57</v>
      </c>
      <c r="E2680" s="9">
        <v>45957</v>
      </c>
      <c r="F2680" s="8">
        <v>10.394</v>
      </c>
    </row>
    <row r="2681" spans="1:6" ht="120" x14ac:dyDescent="0.25">
      <c r="A2681" s="8" t="s">
        <v>5</v>
      </c>
      <c r="B2681" s="8" t="s">
        <v>56</v>
      </c>
      <c r="C2681" s="8" t="str">
        <f>IFERROR(_xlfn.XLOOKUP(TRIM(B2681),Lookup!$B$2:$B$1000,Lookup!$C$2:$C$1000),"")</f>
        <v>Equity</v>
      </c>
      <c r="D2681" s="8" t="s">
        <v>57</v>
      </c>
      <c r="E2681" s="9">
        <v>45958</v>
      </c>
      <c r="F2681" s="8">
        <v>10.3729</v>
      </c>
    </row>
    <row r="2682" spans="1:6" ht="120" x14ac:dyDescent="0.25">
      <c r="A2682" s="8" t="s">
        <v>5</v>
      </c>
      <c r="B2682" s="8" t="s">
        <v>56</v>
      </c>
      <c r="C2682" s="8" t="str">
        <f>IFERROR(_xlfn.XLOOKUP(TRIM(B2682),Lookup!$B$2:$B$1000,Lookup!$C$2:$C$1000),"")</f>
        <v>Equity</v>
      </c>
      <c r="D2682" s="8" t="s">
        <v>57</v>
      </c>
      <c r="E2682" s="9">
        <v>45959</v>
      </c>
      <c r="F2682" s="8">
        <v>10.398400000000001</v>
      </c>
    </row>
    <row r="2683" spans="1:6" ht="120" x14ac:dyDescent="0.25">
      <c r="A2683" s="8" t="s">
        <v>5</v>
      </c>
      <c r="B2683" s="8" t="s">
        <v>56</v>
      </c>
      <c r="C2683" s="8" t="str">
        <f>IFERROR(_xlfn.XLOOKUP(TRIM(B2683),Lookup!$B$2:$B$1000,Lookup!$C$2:$C$1000),"")</f>
        <v>Equity</v>
      </c>
      <c r="D2683" s="8" t="s">
        <v>57</v>
      </c>
      <c r="E2683" s="9">
        <v>45960</v>
      </c>
      <c r="F2683" s="8">
        <v>10.417899999999999</v>
      </c>
    </row>
    <row r="2684" spans="1:6" ht="120" x14ac:dyDescent="0.25">
      <c r="A2684" s="8" t="s">
        <v>5</v>
      </c>
      <c r="B2684" s="8" t="s">
        <v>56</v>
      </c>
      <c r="C2684" s="8" t="str">
        <f>IFERROR(_xlfn.XLOOKUP(TRIM(B2684),Lookup!$B$2:$B$1000,Lookup!$C$2:$C$1000),"")</f>
        <v>Equity</v>
      </c>
      <c r="D2684" s="8" t="s">
        <v>57</v>
      </c>
      <c r="E2684" s="9">
        <v>45961</v>
      </c>
      <c r="F2684" s="8">
        <v>10.364800000000001</v>
      </c>
    </row>
    <row r="2685" spans="1:6" ht="120" x14ac:dyDescent="0.25">
      <c r="A2685" s="8" t="s">
        <v>5</v>
      </c>
      <c r="B2685" s="8" t="s">
        <v>56</v>
      </c>
      <c r="C2685" s="8" t="str">
        <f>IFERROR(_xlfn.XLOOKUP(TRIM(B2685),Lookup!$B$2:$B$1000,Lookup!$C$2:$C$1000),"")</f>
        <v>Equity</v>
      </c>
      <c r="D2685" s="8" t="s">
        <v>57</v>
      </c>
      <c r="E2685" s="9">
        <v>45964</v>
      </c>
      <c r="F2685" s="8">
        <v>10.420500000000001</v>
      </c>
    </row>
    <row r="2686" spans="1:6" ht="120" x14ac:dyDescent="0.25">
      <c r="A2686" s="8" t="s">
        <v>5</v>
      </c>
      <c r="B2686" s="8" t="s">
        <v>56</v>
      </c>
      <c r="C2686" s="8" t="str">
        <f>IFERROR(_xlfn.XLOOKUP(TRIM(B2686),Lookup!$B$2:$B$1000,Lookup!$C$2:$C$1000),"")</f>
        <v>Equity</v>
      </c>
      <c r="D2686" s="8" t="s">
        <v>57</v>
      </c>
      <c r="E2686" s="9">
        <v>45965</v>
      </c>
      <c r="F2686" s="8">
        <v>10.302300000000001</v>
      </c>
    </row>
    <row r="2687" spans="1:6" ht="120" x14ac:dyDescent="0.25">
      <c r="A2687" s="8" t="s">
        <v>5</v>
      </c>
      <c r="B2687" s="8" t="s">
        <v>56</v>
      </c>
      <c r="C2687" s="8" t="str">
        <f>IFERROR(_xlfn.XLOOKUP(TRIM(B2687),Lookup!$B$2:$B$1000,Lookup!$C$2:$C$1000),"")</f>
        <v>Equity</v>
      </c>
      <c r="D2687" s="8" t="s">
        <v>57</v>
      </c>
      <c r="E2687" s="9">
        <v>45967</v>
      </c>
      <c r="F2687" s="8">
        <v>10.1812</v>
      </c>
    </row>
    <row r="2688" spans="1:6" ht="120" x14ac:dyDescent="0.25">
      <c r="A2688" s="8" t="s">
        <v>5</v>
      </c>
      <c r="B2688" s="8" t="s">
        <v>56</v>
      </c>
      <c r="C2688" s="8" t="str">
        <f>IFERROR(_xlfn.XLOOKUP(TRIM(B2688),Lookup!$B$2:$B$1000,Lookup!$C$2:$C$1000),"")</f>
        <v>Equity</v>
      </c>
      <c r="D2688" s="8" t="s">
        <v>57</v>
      </c>
      <c r="E2688" s="9">
        <v>45968</v>
      </c>
      <c r="F2688" s="8">
        <v>10.1534</v>
      </c>
    </row>
    <row r="2689" spans="1:6" ht="120" x14ac:dyDescent="0.25">
      <c r="A2689" s="8" t="s">
        <v>5</v>
      </c>
      <c r="B2689" s="8" t="s">
        <v>56</v>
      </c>
      <c r="C2689" s="8" t="str">
        <f>IFERROR(_xlfn.XLOOKUP(TRIM(B2689),Lookup!$B$2:$B$1000,Lookup!$C$2:$C$1000),"")</f>
        <v>Equity</v>
      </c>
      <c r="D2689" s="8" t="s">
        <v>57</v>
      </c>
      <c r="E2689" s="9">
        <v>45971</v>
      </c>
      <c r="F2689" s="8">
        <v>10.203099999999999</v>
      </c>
    </row>
    <row r="2690" spans="1:6" ht="120" x14ac:dyDescent="0.25">
      <c r="A2690" s="8" t="s">
        <v>5</v>
      </c>
      <c r="B2690" s="8" t="s">
        <v>56</v>
      </c>
      <c r="C2690" s="8" t="str">
        <f>IFERROR(_xlfn.XLOOKUP(TRIM(B2690),Lookup!$B$2:$B$1000,Lookup!$C$2:$C$1000),"")</f>
        <v>Equity</v>
      </c>
      <c r="D2690" s="8" t="s">
        <v>57</v>
      </c>
      <c r="E2690" s="9">
        <v>45972</v>
      </c>
      <c r="F2690" s="8">
        <v>10.196</v>
      </c>
    </row>
    <row r="2691" spans="1:6" ht="120" x14ac:dyDescent="0.25">
      <c r="A2691" s="8" t="s">
        <v>5</v>
      </c>
      <c r="B2691" s="8" t="s">
        <v>56</v>
      </c>
      <c r="C2691" s="8" t="str">
        <f>IFERROR(_xlfn.XLOOKUP(TRIM(B2691),Lookup!$B$2:$B$1000,Lookup!$C$2:$C$1000),"")</f>
        <v>Equity</v>
      </c>
      <c r="D2691" s="8" t="s">
        <v>57</v>
      </c>
      <c r="E2691" s="9">
        <v>45973</v>
      </c>
      <c r="F2691" s="8">
        <v>10.2804</v>
      </c>
    </row>
    <row r="2692" spans="1:6" ht="120" x14ac:dyDescent="0.25">
      <c r="A2692" s="8" t="s">
        <v>5</v>
      </c>
      <c r="B2692" s="8" t="s">
        <v>56</v>
      </c>
      <c r="C2692" s="8" t="str">
        <f>IFERROR(_xlfn.XLOOKUP(TRIM(B2692),Lookup!$B$2:$B$1000,Lookup!$C$2:$C$1000),"")</f>
        <v>Equity</v>
      </c>
      <c r="D2692" s="8" t="s">
        <v>57</v>
      </c>
      <c r="E2692" s="9">
        <v>45974</v>
      </c>
      <c r="F2692" s="8">
        <v>10.215400000000001</v>
      </c>
    </row>
    <row r="2693" spans="1:6" ht="120" x14ac:dyDescent="0.25">
      <c r="A2693" s="8" t="s">
        <v>5</v>
      </c>
      <c r="B2693" s="8" t="s">
        <v>56</v>
      </c>
      <c r="C2693" s="8" t="str">
        <f>IFERROR(_xlfn.XLOOKUP(TRIM(B2693),Lookup!$B$2:$B$1000,Lookup!$C$2:$C$1000),"")</f>
        <v>Equity</v>
      </c>
      <c r="D2693" s="8" t="s">
        <v>57</v>
      </c>
      <c r="E2693" s="9">
        <v>45975</v>
      </c>
      <c r="F2693" s="8">
        <v>10.2555</v>
      </c>
    </row>
    <row r="2694" spans="1:6" ht="120" x14ac:dyDescent="0.25">
      <c r="A2694" s="8" t="s">
        <v>5</v>
      </c>
      <c r="B2694" s="8" t="s">
        <v>56</v>
      </c>
      <c r="C2694" s="8" t="str">
        <f>IFERROR(_xlfn.XLOOKUP(TRIM(B2694),Lookup!$B$2:$B$1000,Lookup!$C$2:$C$1000),"")</f>
        <v>Equity</v>
      </c>
      <c r="D2694" s="8" t="s">
        <v>57</v>
      </c>
      <c r="E2694" s="9">
        <v>45978</v>
      </c>
      <c r="F2694" s="8">
        <v>10.3454</v>
      </c>
    </row>
    <row r="2695" spans="1:6" ht="120" x14ac:dyDescent="0.25">
      <c r="A2695" s="8" t="s">
        <v>5</v>
      </c>
      <c r="B2695" s="8" t="s">
        <v>56</v>
      </c>
      <c r="C2695" s="8" t="str">
        <f>IFERROR(_xlfn.XLOOKUP(TRIM(B2695),Lookup!$B$2:$B$1000,Lookup!$C$2:$C$1000),"")</f>
        <v>Equity</v>
      </c>
      <c r="D2695" s="8" t="s">
        <v>57</v>
      </c>
      <c r="E2695" s="9">
        <v>45979</v>
      </c>
      <c r="F2695" s="8">
        <v>10.2196</v>
      </c>
    </row>
    <row r="2696" spans="1:6" ht="120" x14ac:dyDescent="0.25">
      <c r="A2696" s="8" t="s">
        <v>5</v>
      </c>
      <c r="B2696" s="8" t="s">
        <v>56</v>
      </c>
      <c r="C2696" s="8" t="str">
        <f>IFERROR(_xlfn.XLOOKUP(TRIM(B2696),Lookup!$B$2:$B$1000,Lookup!$C$2:$C$1000),"")</f>
        <v>Equity</v>
      </c>
      <c r="D2696" s="8" t="s">
        <v>57</v>
      </c>
      <c r="E2696" s="9">
        <v>45980</v>
      </c>
      <c r="F2696" s="8">
        <v>10.217499999999999</v>
      </c>
    </row>
    <row r="2697" spans="1:6" ht="120" x14ac:dyDescent="0.25">
      <c r="A2697" s="8" t="s">
        <v>5</v>
      </c>
      <c r="B2697" s="8" t="s">
        <v>56</v>
      </c>
      <c r="C2697" s="8" t="str">
        <f>IFERROR(_xlfn.XLOOKUP(TRIM(B2697),Lookup!$B$2:$B$1000,Lookup!$C$2:$C$1000),"")</f>
        <v>Equity</v>
      </c>
      <c r="D2697" s="8" t="s">
        <v>57</v>
      </c>
      <c r="E2697" s="9">
        <v>45981</v>
      </c>
      <c r="F2697" s="8">
        <v>10.225099999999999</v>
      </c>
    </row>
    <row r="2698" spans="1:6" ht="120" x14ac:dyDescent="0.25">
      <c r="A2698" s="8" t="s">
        <v>5</v>
      </c>
      <c r="B2698" s="8" t="s">
        <v>56</v>
      </c>
      <c r="C2698" s="8" t="str">
        <f>IFERROR(_xlfn.XLOOKUP(TRIM(B2698),Lookup!$B$2:$B$1000,Lookup!$C$2:$C$1000),"")</f>
        <v>Equity</v>
      </c>
      <c r="D2698" s="8" t="s">
        <v>57</v>
      </c>
      <c r="E2698" s="9">
        <v>45982</v>
      </c>
      <c r="F2698" s="8">
        <v>10.09</v>
      </c>
    </row>
    <row r="2699" spans="1:6" ht="120" x14ac:dyDescent="0.25">
      <c r="A2699" s="8" t="s">
        <v>5</v>
      </c>
      <c r="B2699" s="8" t="s">
        <v>56</v>
      </c>
      <c r="C2699" s="8" t="str">
        <f>IFERROR(_xlfn.XLOOKUP(TRIM(B2699),Lookup!$B$2:$B$1000,Lookup!$C$2:$C$1000),"")</f>
        <v>Equity</v>
      </c>
      <c r="D2699" s="8" t="s">
        <v>57</v>
      </c>
      <c r="E2699" s="9">
        <v>45987</v>
      </c>
      <c r="F2699" s="8">
        <v>10.1341</v>
      </c>
    </row>
    <row r="2700" spans="1:6" ht="120" x14ac:dyDescent="0.25">
      <c r="A2700" s="8" t="s">
        <v>5</v>
      </c>
      <c r="B2700" s="8" t="s">
        <v>56</v>
      </c>
      <c r="C2700" s="8" t="str">
        <f>IFERROR(_xlfn.XLOOKUP(TRIM(B2700),Lookup!$B$2:$B$1000,Lookup!$C$2:$C$1000),"")</f>
        <v>Equity</v>
      </c>
      <c r="D2700" s="8" t="s">
        <v>57</v>
      </c>
      <c r="E2700" s="9">
        <v>45988</v>
      </c>
      <c r="F2700" s="8">
        <v>10.1069</v>
      </c>
    </row>
    <row r="2701" spans="1:6" ht="120" x14ac:dyDescent="0.25">
      <c r="A2701" s="8" t="s">
        <v>5</v>
      </c>
      <c r="B2701" s="8" t="s">
        <v>56</v>
      </c>
      <c r="C2701" s="8" t="str">
        <f>IFERROR(_xlfn.XLOOKUP(TRIM(B2701),Lookup!$B$2:$B$1000,Lookup!$C$2:$C$1000),"")</f>
        <v>Equity</v>
      </c>
      <c r="D2701" s="8" t="s">
        <v>57</v>
      </c>
      <c r="E2701" s="9">
        <v>45989</v>
      </c>
      <c r="F2701" s="8">
        <v>10.071199999999999</v>
      </c>
    </row>
    <row r="2702" spans="1:6" ht="120" x14ac:dyDescent="0.25">
      <c r="A2702" s="8" t="s">
        <v>5</v>
      </c>
      <c r="B2702" s="8" t="s">
        <v>56</v>
      </c>
      <c r="C2702" s="8" t="str">
        <f>IFERROR(_xlfn.XLOOKUP(TRIM(B2702),Lookup!$B$2:$B$1000,Lookup!$C$2:$C$1000),"")</f>
        <v>Equity</v>
      </c>
      <c r="D2702" s="8" t="s">
        <v>57</v>
      </c>
      <c r="E2702" s="9">
        <v>45993</v>
      </c>
      <c r="F2702" s="8">
        <v>10.017799999999999</v>
      </c>
    </row>
    <row r="2703" spans="1:6" ht="120" x14ac:dyDescent="0.25">
      <c r="A2703" s="8" t="s">
        <v>5</v>
      </c>
      <c r="B2703" s="8" t="s">
        <v>56</v>
      </c>
      <c r="C2703" s="8" t="str">
        <f>IFERROR(_xlfn.XLOOKUP(TRIM(B2703),Lookup!$B$2:$B$1000,Lookup!$C$2:$C$1000),"")</f>
        <v>Equity</v>
      </c>
      <c r="D2703" s="8" t="s">
        <v>57</v>
      </c>
      <c r="E2703" s="9">
        <v>45994</v>
      </c>
      <c r="F2703" s="8">
        <v>9.9755000000000003</v>
      </c>
    </row>
    <row r="2704" spans="1:6" ht="120" x14ac:dyDescent="0.25">
      <c r="A2704" s="8" t="s">
        <v>5</v>
      </c>
      <c r="B2704" s="8" t="s">
        <v>56</v>
      </c>
      <c r="C2704" s="8" t="str">
        <f>IFERROR(_xlfn.XLOOKUP(TRIM(B2704),Lookup!$B$2:$B$1000,Lookup!$C$2:$C$1000),"")</f>
        <v>Equity</v>
      </c>
      <c r="D2704" s="8" t="s">
        <v>57</v>
      </c>
      <c r="E2704" s="9">
        <v>45995</v>
      </c>
      <c r="F2704" s="8">
        <v>9.98</v>
      </c>
    </row>
    <row r="2705" spans="1:6" ht="120" x14ac:dyDescent="0.25">
      <c r="A2705" s="8" t="s">
        <v>5</v>
      </c>
      <c r="B2705" s="8" t="s">
        <v>56</v>
      </c>
      <c r="C2705" s="8" t="str">
        <f>IFERROR(_xlfn.XLOOKUP(TRIM(B2705),Lookup!$B$2:$B$1000,Lookup!$C$2:$C$1000),"")</f>
        <v>Equity</v>
      </c>
      <c r="D2705" s="8" t="s">
        <v>57</v>
      </c>
      <c r="E2705" s="9">
        <v>45996</v>
      </c>
      <c r="F2705" s="8">
        <v>9.9171999999999993</v>
      </c>
    </row>
    <row r="2706" spans="1:6" ht="120" x14ac:dyDescent="0.25">
      <c r="A2706" s="8" t="s">
        <v>5</v>
      </c>
      <c r="B2706" s="8" t="s">
        <v>56</v>
      </c>
      <c r="C2706" s="8" t="str">
        <f>IFERROR(_xlfn.XLOOKUP(TRIM(B2706),Lookup!$B$2:$B$1000,Lookup!$C$2:$C$1000),"")</f>
        <v>Equity</v>
      </c>
      <c r="D2706" s="8" t="s">
        <v>57</v>
      </c>
      <c r="E2706" s="9">
        <v>45999</v>
      </c>
      <c r="F2706" s="8">
        <v>9.6943999999999999</v>
      </c>
    </row>
    <row r="2707" spans="1:6" ht="120" x14ac:dyDescent="0.25">
      <c r="A2707" s="8" t="s">
        <v>5</v>
      </c>
      <c r="B2707" s="8" t="s">
        <v>56</v>
      </c>
      <c r="C2707" s="8" t="str">
        <f>IFERROR(_xlfn.XLOOKUP(TRIM(B2707),Lookup!$B$2:$B$1000,Lookup!$C$2:$C$1000),"")</f>
        <v>Equity</v>
      </c>
      <c r="D2707" s="8" t="s">
        <v>57</v>
      </c>
      <c r="E2707" s="9">
        <v>46000</v>
      </c>
      <c r="F2707" s="8">
        <v>9.8050999999999995</v>
      </c>
    </row>
    <row r="2708" spans="1:6" ht="120" x14ac:dyDescent="0.25">
      <c r="A2708" s="8" t="s">
        <v>5</v>
      </c>
      <c r="B2708" s="8" t="s">
        <v>56</v>
      </c>
      <c r="C2708" s="8" t="str">
        <f>IFERROR(_xlfn.XLOOKUP(TRIM(B2708),Lookup!$B$2:$B$1000,Lookup!$C$2:$C$1000),"")</f>
        <v>Equity</v>
      </c>
      <c r="D2708" s="8" t="s">
        <v>57</v>
      </c>
      <c r="E2708" s="9">
        <v>46001</v>
      </c>
      <c r="F2708" s="8">
        <v>9.7205999999999992</v>
      </c>
    </row>
    <row r="2709" spans="1:6" ht="120" x14ac:dyDescent="0.25">
      <c r="A2709" s="8" t="s">
        <v>5</v>
      </c>
      <c r="B2709" s="8" t="s">
        <v>56</v>
      </c>
      <c r="C2709" s="8" t="str">
        <f>IFERROR(_xlfn.XLOOKUP(TRIM(B2709),Lookup!$B$2:$B$1000,Lookup!$C$2:$C$1000),"")</f>
        <v>Equity</v>
      </c>
      <c r="D2709" s="8" t="s">
        <v>57</v>
      </c>
      <c r="E2709" s="9">
        <v>46002</v>
      </c>
      <c r="F2709" s="8">
        <v>9.7880000000000003</v>
      </c>
    </row>
    <row r="2710" spans="1:6" ht="120" x14ac:dyDescent="0.25">
      <c r="A2710" s="8" t="s">
        <v>5</v>
      </c>
      <c r="B2710" s="8" t="s">
        <v>56</v>
      </c>
      <c r="C2710" s="8" t="str">
        <f>IFERROR(_xlfn.XLOOKUP(TRIM(B2710),Lookup!$B$2:$B$1000,Lookup!$C$2:$C$1000),"")</f>
        <v>Equity</v>
      </c>
      <c r="D2710" s="8" t="s">
        <v>57</v>
      </c>
      <c r="E2710" s="9">
        <v>46003</v>
      </c>
      <c r="F2710" s="8">
        <v>9.8668999999999993</v>
      </c>
    </row>
    <row r="2711" spans="1:6" ht="120" x14ac:dyDescent="0.25">
      <c r="A2711" s="8" t="s">
        <v>5</v>
      </c>
      <c r="B2711" s="8" t="s">
        <v>56</v>
      </c>
      <c r="C2711" s="8" t="str">
        <f>IFERROR(_xlfn.XLOOKUP(TRIM(B2711),Lookup!$B$2:$B$1000,Lookup!$C$2:$C$1000),"")</f>
        <v>Equity</v>
      </c>
      <c r="D2711" s="8" t="s">
        <v>57</v>
      </c>
      <c r="E2711" s="9">
        <v>46006</v>
      </c>
      <c r="F2711" s="8">
        <v>9.9207999999999998</v>
      </c>
    </row>
    <row r="2712" spans="1:6" ht="120" x14ac:dyDescent="0.25">
      <c r="A2712" s="8" t="s">
        <v>5</v>
      </c>
      <c r="B2712" s="8" t="s">
        <v>56</v>
      </c>
      <c r="C2712" s="8" t="str">
        <f>IFERROR(_xlfn.XLOOKUP(TRIM(B2712),Lookup!$B$2:$B$1000,Lookup!$C$2:$C$1000),"")</f>
        <v>Equity</v>
      </c>
      <c r="D2712" s="8" t="s">
        <v>57</v>
      </c>
      <c r="E2712" s="9">
        <v>46007</v>
      </c>
      <c r="F2712" s="8">
        <v>9.8339999999999996</v>
      </c>
    </row>
    <row r="2713" spans="1:6" ht="120" x14ac:dyDescent="0.25">
      <c r="A2713" s="8" t="s">
        <v>5</v>
      </c>
      <c r="B2713" s="8" t="s">
        <v>56</v>
      </c>
      <c r="C2713" s="8" t="str">
        <f>IFERROR(_xlfn.XLOOKUP(TRIM(B2713),Lookup!$B$2:$B$1000,Lookup!$C$2:$C$1000),"")</f>
        <v>Equity</v>
      </c>
      <c r="D2713" s="8" t="s">
        <v>57</v>
      </c>
      <c r="E2713" s="9">
        <v>46008</v>
      </c>
      <c r="F2713" s="8">
        <v>9.7393000000000001</v>
      </c>
    </row>
    <row r="2714" spans="1:6" ht="120" x14ac:dyDescent="0.25">
      <c r="A2714" s="8" t="s">
        <v>5</v>
      </c>
      <c r="B2714" s="8" t="s">
        <v>56</v>
      </c>
      <c r="C2714" s="8" t="str">
        <f>IFERROR(_xlfn.XLOOKUP(TRIM(B2714),Lookup!$B$2:$B$1000,Lookup!$C$2:$C$1000),"")</f>
        <v>Equity</v>
      </c>
      <c r="D2714" s="8" t="s">
        <v>57</v>
      </c>
      <c r="E2714" s="9">
        <v>46009</v>
      </c>
      <c r="F2714" s="8">
        <v>9.7413000000000007</v>
      </c>
    </row>
    <row r="2715" spans="1:6" ht="120" x14ac:dyDescent="0.25">
      <c r="A2715" s="8" t="s">
        <v>5</v>
      </c>
      <c r="B2715" s="8" t="s">
        <v>56</v>
      </c>
      <c r="C2715" s="8" t="str">
        <f>IFERROR(_xlfn.XLOOKUP(TRIM(B2715),Lookup!$B$2:$B$1000,Lookup!$C$2:$C$1000),"")</f>
        <v>Equity</v>
      </c>
      <c r="D2715" s="8" t="s">
        <v>57</v>
      </c>
      <c r="E2715" s="9">
        <v>46010</v>
      </c>
      <c r="F2715" s="8">
        <v>9.8628</v>
      </c>
    </row>
    <row r="2716" spans="1:6" ht="120" x14ac:dyDescent="0.25">
      <c r="A2716" s="8" t="s">
        <v>5</v>
      </c>
      <c r="B2716" s="8" t="s">
        <v>56</v>
      </c>
      <c r="C2716" s="8" t="str">
        <f>IFERROR(_xlfn.XLOOKUP(TRIM(B2716),Lookup!$B$2:$B$1000,Lookup!$C$2:$C$1000),"")</f>
        <v>Equity</v>
      </c>
      <c r="D2716" s="8" t="s">
        <v>57</v>
      </c>
      <c r="E2716" s="9">
        <v>46013</v>
      </c>
      <c r="F2716" s="8">
        <v>9.9779</v>
      </c>
    </row>
    <row r="2717" spans="1:6" ht="120" x14ac:dyDescent="0.25">
      <c r="A2717" s="8" t="s">
        <v>5</v>
      </c>
      <c r="B2717" s="8" t="s">
        <v>56</v>
      </c>
      <c r="C2717" s="8" t="str">
        <f>IFERROR(_xlfn.XLOOKUP(TRIM(B2717),Lookup!$B$2:$B$1000,Lookup!$C$2:$C$1000),"")</f>
        <v>Equity</v>
      </c>
      <c r="D2717" s="8" t="s">
        <v>57</v>
      </c>
      <c r="E2717" s="9">
        <v>46014</v>
      </c>
      <c r="F2717" s="8">
        <v>10.0144</v>
      </c>
    </row>
    <row r="2718" spans="1:6" ht="120" x14ac:dyDescent="0.25">
      <c r="A2718" s="8" t="s">
        <v>5</v>
      </c>
      <c r="B2718" s="8" t="s">
        <v>56</v>
      </c>
      <c r="C2718" s="8" t="str">
        <f>IFERROR(_xlfn.XLOOKUP(TRIM(B2718),Lookup!$B$2:$B$1000,Lookup!$C$2:$C$1000),"")</f>
        <v>Equity</v>
      </c>
      <c r="D2718" s="8" t="s">
        <v>57</v>
      </c>
      <c r="E2718" s="9">
        <v>46015</v>
      </c>
      <c r="F2718" s="8">
        <v>10.0388</v>
      </c>
    </row>
    <row r="2719" spans="1:6" ht="120" x14ac:dyDescent="0.25">
      <c r="A2719" s="8" t="s">
        <v>5</v>
      </c>
      <c r="B2719" s="8" t="s">
        <v>56</v>
      </c>
      <c r="C2719" s="8" t="str">
        <f>IFERROR(_xlfn.XLOOKUP(TRIM(B2719),Lookup!$B$2:$B$1000,Lookup!$C$2:$C$1000),"")</f>
        <v>Equity</v>
      </c>
      <c r="D2719" s="8" t="s">
        <v>57</v>
      </c>
      <c r="E2719" s="9">
        <v>46017</v>
      </c>
      <c r="F2719" s="8">
        <v>10.009399999999999</v>
      </c>
    </row>
    <row r="2720" spans="1:6" ht="120" x14ac:dyDescent="0.25">
      <c r="A2720" s="8" t="s">
        <v>5</v>
      </c>
      <c r="B2720" s="8" t="s">
        <v>56</v>
      </c>
      <c r="C2720" s="8" t="str">
        <f>IFERROR(_xlfn.XLOOKUP(TRIM(B2720),Lookup!$B$2:$B$1000,Lookup!$C$2:$C$1000),"")</f>
        <v>Equity</v>
      </c>
      <c r="D2720" s="8" t="s">
        <v>57</v>
      </c>
      <c r="E2720" s="9">
        <v>46020</v>
      </c>
      <c r="F2720" s="8">
        <v>9.9413</v>
      </c>
    </row>
    <row r="2721" spans="1:6" ht="120" x14ac:dyDescent="0.25">
      <c r="A2721" s="8" t="s">
        <v>5</v>
      </c>
      <c r="B2721" s="8" t="s">
        <v>56</v>
      </c>
      <c r="C2721" s="8" t="str">
        <f>IFERROR(_xlfn.XLOOKUP(TRIM(B2721),Lookup!$B$2:$B$1000,Lookup!$C$2:$C$1000),"")</f>
        <v>Equity</v>
      </c>
      <c r="D2721" s="8" t="s">
        <v>57</v>
      </c>
      <c r="E2721" s="9">
        <v>46022</v>
      </c>
      <c r="F2721" s="8">
        <v>9.9032</v>
      </c>
    </row>
    <row r="2722" spans="1:6" ht="120" x14ac:dyDescent="0.25">
      <c r="A2722" s="8" t="s">
        <v>5</v>
      </c>
      <c r="B2722" s="8" t="s">
        <v>56</v>
      </c>
      <c r="C2722" s="8" t="str">
        <f>IFERROR(_xlfn.XLOOKUP(TRIM(B2722),Lookup!$B$2:$B$1000,Lookup!$C$2:$C$1000),"")</f>
        <v>Equity</v>
      </c>
      <c r="D2722" s="8" t="s">
        <v>57</v>
      </c>
      <c r="E2722" s="9">
        <v>46023</v>
      </c>
      <c r="F2722" s="8">
        <v>9.8908000000000005</v>
      </c>
    </row>
    <row r="2723" spans="1:6" ht="120" x14ac:dyDescent="0.25">
      <c r="A2723" s="8" t="s">
        <v>5</v>
      </c>
      <c r="B2723" s="8" t="s">
        <v>56</v>
      </c>
      <c r="C2723" s="8" t="str">
        <f>IFERROR(_xlfn.XLOOKUP(TRIM(B2723),Lookup!$B$2:$B$1000,Lookup!$C$2:$C$1000),"")</f>
        <v>Equity</v>
      </c>
      <c r="D2723" s="8" t="s">
        <v>57</v>
      </c>
      <c r="E2723" s="9">
        <v>46024</v>
      </c>
      <c r="F2723" s="8">
        <v>9.9542999999999999</v>
      </c>
    </row>
    <row r="2724" spans="1:6" ht="120" x14ac:dyDescent="0.25">
      <c r="A2724" s="8" t="s">
        <v>5</v>
      </c>
      <c r="B2724" s="8" t="s">
        <v>56</v>
      </c>
      <c r="C2724" s="8" t="str">
        <f>IFERROR(_xlfn.XLOOKUP(TRIM(B2724),Lookup!$B$2:$B$1000,Lookup!$C$2:$C$1000),"")</f>
        <v>Equity</v>
      </c>
      <c r="D2724" s="8" t="s">
        <v>57</v>
      </c>
      <c r="E2724" s="9">
        <v>46027</v>
      </c>
      <c r="F2724" s="8">
        <v>9.9922000000000004</v>
      </c>
    </row>
    <row r="2725" spans="1:6" ht="120" x14ac:dyDescent="0.25">
      <c r="A2725" s="8" t="s">
        <v>5</v>
      </c>
      <c r="B2725" s="8" t="s">
        <v>56</v>
      </c>
      <c r="C2725" s="8" t="str">
        <f>IFERROR(_xlfn.XLOOKUP(TRIM(B2725),Lookup!$B$2:$B$1000,Lookup!$C$2:$C$1000),"")</f>
        <v>Equity</v>
      </c>
      <c r="D2725" s="8" t="s">
        <v>57</v>
      </c>
      <c r="E2725" s="9">
        <v>46028</v>
      </c>
      <c r="F2725" s="8">
        <v>9.9824000000000002</v>
      </c>
    </row>
    <row r="2726" spans="1:6" ht="120" x14ac:dyDescent="0.25">
      <c r="A2726" s="8" t="s">
        <v>5</v>
      </c>
      <c r="B2726" s="8" t="s">
        <v>56</v>
      </c>
      <c r="C2726" s="8" t="str">
        <f>IFERROR(_xlfn.XLOOKUP(TRIM(B2726),Lookup!$B$2:$B$1000,Lookup!$C$2:$C$1000),"")</f>
        <v>Equity</v>
      </c>
      <c r="D2726" s="8" t="s">
        <v>57</v>
      </c>
      <c r="E2726" s="9">
        <v>46029</v>
      </c>
      <c r="F2726" s="8">
        <v>10.037699999999999</v>
      </c>
    </row>
    <row r="2727" spans="1:6" ht="120" x14ac:dyDescent="0.25">
      <c r="A2727" s="8" t="s">
        <v>5</v>
      </c>
      <c r="B2727" s="8" t="s">
        <v>56</v>
      </c>
      <c r="C2727" s="8" t="str">
        <f>IFERROR(_xlfn.XLOOKUP(TRIM(B2727),Lookup!$B$2:$B$1000,Lookup!$C$2:$C$1000),"")</f>
        <v>Equity</v>
      </c>
      <c r="D2727" s="8" t="s">
        <v>57</v>
      </c>
      <c r="E2727" s="9">
        <v>46030</v>
      </c>
      <c r="F2727" s="8">
        <v>9.8175000000000008</v>
      </c>
    </row>
    <row r="2728" spans="1:6" ht="120" x14ac:dyDescent="0.25">
      <c r="A2728" s="8" t="s">
        <v>5</v>
      </c>
      <c r="B2728" s="8" t="s">
        <v>56</v>
      </c>
      <c r="C2728" s="8" t="str">
        <f>IFERROR(_xlfn.XLOOKUP(TRIM(B2728),Lookup!$B$2:$B$1000,Lookup!$C$2:$C$1000),"")</f>
        <v>Equity</v>
      </c>
      <c r="D2728" s="8" t="s">
        <v>57</v>
      </c>
      <c r="E2728" s="9">
        <v>46031</v>
      </c>
      <c r="F2728" s="8">
        <v>9.6184999999999992</v>
      </c>
    </row>
    <row r="2729" spans="1:6" ht="120" x14ac:dyDescent="0.25">
      <c r="A2729" s="8" t="s">
        <v>5</v>
      </c>
      <c r="B2729" s="8" t="s">
        <v>56</v>
      </c>
      <c r="C2729" s="8" t="str">
        <f>IFERROR(_xlfn.XLOOKUP(TRIM(B2729),Lookup!$B$2:$B$1000,Lookup!$C$2:$C$1000),"")</f>
        <v>Equity</v>
      </c>
      <c r="D2729" s="8" t="s">
        <v>57</v>
      </c>
      <c r="E2729" s="9">
        <v>46034</v>
      </c>
      <c r="F2729" s="8">
        <v>9.5670999999999999</v>
      </c>
    </row>
    <row r="2730" spans="1:6" ht="120" x14ac:dyDescent="0.25">
      <c r="A2730" s="8" t="s">
        <v>5</v>
      </c>
      <c r="B2730" s="8" t="s">
        <v>56</v>
      </c>
      <c r="C2730" s="8" t="str">
        <f>IFERROR(_xlfn.XLOOKUP(TRIM(B2730),Lookup!$B$2:$B$1000,Lookup!$C$2:$C$1000),"")</f>
        <v>Equity</v>
      </c>
      <c r="D2730" s="8" t="s">
        <v>57</v>
      </c>
      <c r="E2730" s="9">
        <v>46035</v>
      </c>
      <c r="F2730" s="8">
        <v>9.6447000000000003</v>
      </c>
    </row>
    <row r="2731" spans="1:6" ht="120" x14ac:dyDescent="0.25">
      <c r="A2731" s="8" t="s">
        <v>5</v>
      </c>
      <c r="B2731" s="8" t="s">
        <v>56</v>
      </c>
      <c r="C2731" s="8" t="str">
        <f>IFERROR(_xlfn.XLOOKUP(TRIM(B2731),Lookup!$B$2:$B$1000,Lookup!$C$2:$C$1000),"")</f>
        <v>Equity</v>
      </c>
      <c r="D2731" s="8" t="s">
        <v>57</v>
      </c>
      <c r="E2731" s="9">
        <v>46036</v>
      </c>
      <c r="F2731" s="8">
        <v>9.7035999999999998</v>
      </c>
    </row>
    <row r="2732" spans="1:6" ht="120" x14ac:dyDescent="0.25">
      <c r="A2732" s="8" t="s">
        <v>5</v>
      </c>
      <c r="B2732" s="8" t="s">
        <v>56</v>
      </c>
      <c r="C2732" s="8" t="str">
        <f>IFERROR(_xlfn.XLOOKUP(TRIM(B2732),Lookup!$B$2:$B$1000,Lookup!$C$2:$C$1000),"")</f>
        <v>Equity</v>
      </c>
      <c r="D2732" s="8" t="s">
        <v>57</v>
      </c>
      <c r="E2732" s="9">
        <v>46038</v>
      </c>
      <c r="F2732" s="8">
        <v>9.6744000000000003</v>
      </c>
    </row>
    <row r="2733" spans="1:6" ht="120" x14ac:dyDescent="0.25">
      <c r="A2733" s="8" t="s">
        <v>5</v>
      </c>
      <c r="B2733" s="8" t="s">
        <v>56</v>
      </c>
      <c r="C2733" s="8" t="str">
        <f>IFERROR(_xlfn.XLOOKUP(TRIM(B2733),Lookup!$B$2:$B$1000,Lookup!$C$2:$C$1000),"")</f>
        <v>Equity</v>
      </c>
      <c r="D2733" s="8" t="s">
        <v>57</v>
      </c>
      <c r="E2733" s="9">
        <v>46041</v>
      </c>
      <c r="F2733" s="8">
        <v>9.5821000000000005</v>
      </c>
    </row>
    <row r="2734" spans="1:6" ht="120" x14ac:dyDescent="0.25">
      <c r="A2734" s="8" t="s">
        <v>5</v>
      </c>
      <c r="B2734" s="8" t="s">
        <v>56</v>
      </c>
      <c r="C2734" s="8" t="str">
        <f>IFERROR(_xlfn.XLOOKUP(TRIM(B2734),Lookup!$B$2:$B$1000,Lookup!$C$2:$C$1000),"")</f>
        <v>Equity</v>
      </c>
      <c r="D2734" s="8" t="s">
        <v>57</v>
      </c>
      <c r="E2734" s="9">
        <v>46042</v>
      </c>
      <c r="F2734" s="8">
        <v>9.3252000000000006</v>
      </c>
    </row>
    <row r="2735" spans="1:6" ht="120" x14ac:dyDescent="0.25">
      <c r="A2735" s="8" t="s">
        <v>5</v>
      </c>
      <c r="B2735" s="8" t="s">
        <v>56</v>
      </c>
      <c r="C2735" s="8" t="str">
        <f>IFERROR(_xlfn.XLOOKUP(TRIM(B2735),Lookup!$B$2:$B$1000,Lookup!$C$2:$C$1000),"")</f>
        <v>Equity</v>
      </c>
      <c r="D2735" s="8" t="s">
        <v>57</v>
      </c>
      <c r="E2735" s="9">
        <v>46043</v>
      </c>
      <c r="F2735" s="8">
        <v>9.2832000000000008</v>
      </c>
    </row>
    <row r="2736" spans="1:6" ht="120" x14ac:dyDescent="0.25">
      <c r="A2736" s="8" t="s">
        <v>5</v>
      </c>
      <c r="B2736" s="8" t="s">
        <v>56</v>
      </c>
      <c r="C2736" s="8" t="str">
        <f>IFERROR(_xlfn.XLOOKUP(TRIM(B2736),Lookup!$B$2:$B$1000,Lookup!$C$2:$C$1000),"")</f>
        <v>Equity</v>
      </c>
      <c r="D2736" s="8" t="s">
        <v>57</v>
      </c>
      <c r="E2736" s="9">
        <v>46044</v>
      </c>
      <c r="F2736" s="8">
        <v>9.3545999999999996</v>
      </c>
    </row>
    <row r="2737" spans="1:6" ht="120" x14ac:dyDescent="0.25">
      <c r="A2737" s="8" t="s">
        <v>5</v>
      </c>
      <c r="B2737" s="8" t="s">
        <v>56</v>
      </c>
      <c r="C2737" s="8" t="str">
        <f>IFERROR(_xlfn.XLOOKUP(TRIM(B2737),Lookup!$B$2:$B$1000,Lookup!$C$2:$C$1000),"")</f>
        <v>Equity</v>
      </c>
      <c r="D2737" s="8" t="s">
        <v>57</v>
      </c>
      <c r="E2737" s="9">
        <v>46045</v>
      </c>
      <c r="F2737" s="8">
        <v>9.1654999999999998</v>
      </c>
    </row>
    <row r="2738" spans="1:6" ht="120" x14ac:dyDescent="0.25">
      <c r="A2738" s="8" t="s">
        <v>5</v>
      </c>
      <c r="B2738" s="8" t="s">
        <v>56</v>
      </c>
      <c r="C2738" s="8" t="str">
        <f>IFERROR(_xlfn.XLOOKUP(TRIM(B2738),Lookup!$B$2:$B$1000,Lookup!$C$2:$C$1000),"")</f>
        <v>Equity</v>
      </c>
      <c r="D2738" s="8" t="s">
        <v>57</v>
      </c>
      <c r="E2738" s="9">
        <v>46049</v>
      </c>
      <c r="F2738" s="8">
        <v>9.1920999999999999</v>
      </c>
    </row>
    <row r="2739" spans="1:6" ht="120" x14ac:dyDescent="0.25">
      <c r="A2739" s="8" t="s">
        <v>5</v>
      </c>
      <c r="B2739" s="8" t="s">
        <v>56</v>
      </c>
      <c r="C2739" s="8" t="str">
        <f>IFERROR(_xlfn.XLOOKUP(TRIM(B2739),Lookup!$B$2:$B$1000,Lookup!$C$2:$C$1000),"")</f>
        <v>Equity</v>
      </c>
      <c r="D2739" s="8" t="s">
        <v>57</v>
      </c>
      <c r="E2739" s="9">
        <v>46050</v>
      </c>
      <c r="F2739" s="8">
        <v>9.3682999999999996</v>
      </c>
    </row>
    <row r="2740" spans="1:6" ht="120" x14ac:dyDescent="0.25">
      <c r="A2740" s="8" t="s">
        <v>5</v>
      </c>
      <c r="B2740" s="8" t="s">
        <v>56</v>
      </c>
      <c r="C2740" s="8" t="str">
        <f>IFERROR(_xlfn.XLOOKUP(TRIM(B2740),Lookup!$B$2:$B$1000,Lookup!$C$2:$C$1000),"")</f>
        <v>Equity</v>
      </c>
      <c r="D2740" s="8" t="s">
        <v>57</v>
      </c>
      <c r="E2740" s="9">
        <v>46051</v>
      </c>
      <c r="F2740" s="8">
        <v>9.4361999999999995</v>
      </c>
    </row>
    <row r="2741" spans="1:6" ht="120" x14ac:dyDescent="0.25">
      <c r="A2741" s="8" t="s">
        <v>5</v>
      </c>
      <c r="B2741" s="8" t="s">
        <v>56</v>
      </c>
      <c r="C2741" s="8" t="str">
        <f>IFERROR(_xlfn.XLOOKUP(TRIM(B2741),Lookup!$B$2:$B$1000,Lookup!$C$2:$C$1000),"")</f>
        <v>Equity</v>
      </c>
      <c r="D2741" s="8" t="s">
        <v>57</v>
      </c>
      <c r="E2741" s="9">
        <v>46052</v>
      </c>
      <c r="F2741" s="8">
        <v>9.4688999999999997</v>
      </c>
    </row>
    <row r="2742" spans="1:6" ht="120" x14ac:dyDescent="0.25">
      <c r="A2742" s="8" t="s">
        <v>5</v>
      </c>
      <c r="B2742" s="8" t="s">
        <v>56</v>
      </c>
      <c r="C2742" s="8" t="str">
        <f>IFERROR(_xlfn.XLOOKUP(TRIM(B2742),Lookup!$B$2:$B$1000,Lookup!$C$2:$C$1000),"")</f>
        <v>Equity</v>
      </c>
      <c r="D2742" s="8" t="s">
        <v>57</v>
      </c>
      <c r="E2742" s="9">
        <v>46054</v>
      </c>
      <c r="F2742" s="8">
        <v>9.2034000000000002</v>
      </c>
    </row>
    <row r="2743" spans="1:6" ht="120" x14ac:dyDescent="0.25">
      <c r="A2743" s="8" t="s">
        <v>5</v>
      </c>
      <c r="B2743" s="8" t="s">
        <v>56</v>
      </c>
      <c r="C2743" s="8" t="str">
        <f>IFERROR(_xlfn.XLOOKUP(TRIM(B2743),Lookup!$B$2:$B$1000,Lookup!$C$2:$C$1000),"")</f>
        <v>Equity</v>
      </c>
      <c r="D2743" s="8" t="s">
        <v>57</v>
      </c>
      <c r="E2743" s="9">
        <v>46055</v>
      </c>
      <c r="F2743" s="8">
        <v>9.2836999999999996</v>
      </c>
    </row>
    <row r="2744" spans="1:6" ht="120" x14ac:dyDescent="0.25">
      <c r="A2744" s="8" t="s">
        <v>5</v>
      </c>
      <c r="B2744" s="8" t="s">
        <v>56</v>
      </c>
      <c r="C2744" s="8" t="str">
        <f>IFERROR(_xlfn.XLOOKUP(TRIM(B2744),Lookup!$B$2:$B$1000,Lookup!$C$2:$C$1000),"")</f>
        <v>Equity</v>
      </c>
      <c r="D2744" s="8" t="s">
        <v>57</v>
      </c>
      <c r="E2744" s="9">
        <v>46056</v>
      </c>
      <c r="F2744" s="8">
        <v>9.5473999999999997</v>
      </c>
    </row>
    <row r="2745" spans="1:6" ht="120" x14ac:dyDescent="0.25">
      <c r="A2745" s="8" t="s">
        <v>5</v>
      </c>
      <c r="B2745" s="8" t="s">
        <v>56</v>
      </c>
      <c r="C2745" s="8" t="str">
        <f>IFERROR(_xlfn.XLOOKUP(TRIM(B2745),Lookup!$B$2:$B$1000,Lookup!$C$2:$C$1000),"")</f>
        <v>Equity</v>
      </c>
      <c r="D2745" s="8" t="s">
        <v>57</v>
      </c>
      <c r="E2745" s="9">
        <v>46057</v>
      </c>
      <c r="F2745" s="8">
        <v>9.6074000000000002</v>
      </c>
    </row>
    <row r="2746" spans="1:6" ht="120" x14ac:dyDescent="0.25">
      <c r="A2746" s="8" t="s">
        <v>5</v>
      </c>
      <c r="B2746" s="8" t="s">
        <v>56</v>
      </c>
      <c r="C2746" s="8" t="str">
        <f>IFERROR(_xlfn.XLOOKUP(TRIM(B2746),Lookup!$B$2:$B$1000,Lookup!$C$2:$C$1000),"")</f>
        <v>Equity</v>
      </c>
      <c r="D2746" s="8" t="s">
        <v>57</v>
      </c>
      <c r="E2746" s="9">
        <v>46058</v>
      </c>
      <c r="F2746" s="8">
        <v>9.5162999999999993</v>
      </c>
    </row>
    <row r="2747" spans="1:6" ht="120" x14ac:dyDescent="0.25">
      <c r="A2747" s="8" t="s">
        <v>5</v>
      </c>
      <c r="B2747" s="8" t="s">
        <v>56</v>
      </c>
      <c r="C2747" s="8" t="str">
        <f>IFERROR(_xlfn.XLOOKUP(TRIM(B2747),Lookup!$B$2:$B$1000,Lookup!$C$2:$C$1000),"")</f>
        <v>Equity</v>
      </c>
      <c r="D2747" s="8" t="s">
        <v>57</v>
      </c>
      <c r="E2747" s="9">
        <v>46059</v>
      </c>
      <c r="F2747" s="8">
        <v>9.4761000000000006</v>
      </c>
    </row>
    <row r="2748" spans="1:6" ht="120" x14ac:dyDescent="0.25">
      <c r="A2748" s="8" t="s">
        <v>5</v>
      </c>
      <c r="B2748" s="8" t="s">
        <v>56</v>
      </c>
      <c r="C2748" s="8" t="str">
        <f>IFERROR(_xlfn.XLOOKUP(TRIM(B2748),Lookup!$B$2:$B$1000,Lookup!$C$2:$C$1000),"")</f>
        <v>Equity</v>
      </c>
      <c r="D2748" s="8" t="s">
        <v>57</v>
      </c>
      <c r="E2748" s="9">
        <v>46062</v>
      </c>
      <c r="F2748" s="8">
        <v>9.6829999999999998</v>
      </c>
    </row>
    <row r="2749" spans="1:6" ht="120" x14ac:dyDescent="0.25">
      <c r="A2749" s="8" t="s">
        <v>5</v>
      </c>
      <c r="B2749" s="8" t="s">
        <v>56</v>
      </c>
      <c r="C2749" s="8" t="str">
        <f>IFERROR(_xlfn.XLOOKUP(TRIM(B2749),Lookup!$B$2:$B$1000,Lookup!$C$2:$C$1000),"")</f>
        <v>Equity</v>
      </c>
      <c r="D2749" s="8" t="s">
        <v>57</v>
      </c>
      <c r="E2749" s="9">
        <v>46063</v>
      </c>
      <c r="F2749" s="8">
        <v>9.7042999999999999</v>
      </c>
    </row>
    <row r="2750" spans="1:6" ht="120" x14ac:dyDescent="0.25">
      <c r="A2750" s="8" t="s">
        <v>5</v>
      </c>
      <c r="B2750" s="8" t="s">
        <v>56</v>
      </c>
      <c r="C2750" s="8" t="str">
        <f>IFERROR(_xlfn.XLOOKUP(TRIM(B2750),Lookup!$B$2:$B$1000,Lookup!$C$2:$C$1000),"")</f>
        <v>Equity</v>
      </c>
      <c r="D2750" s="8" t="s">
        <v>57</v>
      </c>
      <c r="E2750" s="9">
        <v>46064</v>
      </c>
      <c r="F2750" s="8">
        <v>9.7202999999999999</v>
      </c>
    </row>
    <row r="2751" spans="1:6" ht="120" x14ac:dyDescent="0.25">
      <c r="A2751" s="8" t="s">
        <v>5</v>
      </c>
      <c r="B2751" s="8" t="s">
        <v>56</v>
      </c>
      <c r="C2751" s="8" t="str">
        <f>IFERROR(_xlfn.XLOOKUP(TRIM(B2751),Lookup!$B$2:$B$1000,Lookup!$C$2:$C$1000),"")</f>
        <v>Equity</v>
      </c>
      <c r="D2751" s="8" t="s">
        <v>57</v>
      </c>
      <c r="E2751" s="9">
        <v>46065</v>
      </c>
      <c r="F2751" s="8">
        <v>9.6466999999999992</v>
      </c>
    </row>
    <row r="2752" spans="1:6" ht="120" x14ac:dyDescent="0.25">
      <c r="A2752" s="8" t="s">
        <v>5</v>
      </c>
      <c r="B2752" s="8" t="s">
        <v>56</v>
      </c>
      <c r="C2752" s="8" t="str">
        <f>IFERROR(_xlfn.XLOOKUP(TRIM(B2752),Lookup!$B$2:$B$1000,Lookup!$C$2:$C$1000),"")</f>
        <v>Equity</v>
      </c>
      <c r="D2752" s="8" t="s">
        <v>57</v>
      </c>
      <c r="E2752" s="9">
        <v>46066</v>
      </c>
      <c r="F2752" s="8">
        <v>9.4772999999999996</v>
      </c>
    </row>
    <row r="2753" spans="1:6" ht="120" x14ac:dyDescent="0.25">
      <c r="A2753" s="8" t="s">
        <v>5</v>
      </c>
      <c r="B2753" s="8" t="s">
        <v>56</v>
      </c>
      <c r="C2753" s="8" t="str">
        <f>IFERROR(_xlfn.XLOOKUP(TRIM(B2753),Lookup!$B$2:$B$1000,Lookup!$C$2:$C$1000),"")</f>
        <v>Equity</v>
      </c>
      <c r="D2753" s="8" t="s">
        <v>57</v>
      </c>
      <c r="E2753" s="9">
        <v>46069</v>
      </c>
      <c r="F2753" s="8">
        <v>9.4872999999999994</v>
      </c>
    </row>
    <row r="2754" spans="1:6" ht="120" x14ac:dyDescent="0.25">
      <c r="A2754" s="8" t="s">
        <v>5</v>
      </c>
      <c r="B2754" s="8" t="s">
        <v>56</v>
      </c>
      <c r="C2754" s="8" t="str">
        <f>IFERROR(_xlfn.XLOOKUP(TRIM(B2754),Lookup!$B$2:$B$1000,Lookup!$C$2:$C$1000),"")</f>
        <v>Equity</v>
      </c>
      <c r="D2754" s="8" t="s">
        <v>57</v>
      </c>
      <c r="E2754" s="9">
        <v>46070</v>
      </c>
      <c r="F2754" s="8">
        <v>9.5248000000000008</v>
      </c>
    </row>
    <row r="2755" spans="1:6" ht="120" x14ac:dyDescent="0.25">
      <c r="A2755" s="8" t="s">
        <v>5</v>
      </c>
      <c r="B2755" s="8" t="s">
        <v>56</v>
      </c>
      <c r="C2755" s="8" t="str">
        <f>IFERROR(_xlfn.XLOOKUP(TRIM(B2755),Lookup!$B$2:$B$1000,Lookup!$C$2:$C$1000),"")</f>
        <v>Equity</v>
      </c>
      <c r="D2755" s="8" t="s">
        <v>57</v>
      </c>
      <c r="E2755" s="9">
        <v>46071</v>
      </c>
      <c r="F2755" s="8">
        <v>9.5805000000000007</v>
      </c>
    </row>
    <row r="2756" spans="1:6" ht="120" x14ac:dyDescent="0.25">
      <c r="A2756" s="8" t="s">
        <v>5</v>
      </c>
      <c r="B2756" s="8" t="s">
        <v>56</v>
      </c>
      <c r="C2756" s="8" t="str">
        <f>IFERROR(_xlfn.XLOOKUP(TRIM(B2756),Lookup!$B$2:$B$1000,Lookup!$C$2:$C$1000),"")</f>
        <v>Equity</v>
      </c>
      <c r="D2756" s="8" t="s">
        <v>57</v>
      </c>
      <c r="E2756" s="9">
        <v>46072</v>
      </c>
      <c r="F2756" s="8">
        <v>9.4605999999999995</v>
      </c>
    </row>
    <row r="2757" spans="1:6" ht="120" x14ac:dyDescent="0.25">
      <c r="A2757" s="8" t="s">
        <v>5</v>
      </c>
      <c r="B2757" s="8" t="s">
        <v>56</v>
      </c>
      <c r="C2757" s="8" t="str">
        <f>IFERROR(_xlfn.XLOOKUP(TRIM(B2757),Lookup!$B$2:$B$1000,Lookup!$C$2:$C$1000),"")</f>
        <v>Equity</v>
      </c>
      <c r="D2757" s="8" t="s">
        <v>57</v>
      </c>
      <c r="E2757" s="9">
        <v>46073</v>
      </c>
      <c r="F2757" s="8">
        <v>9.4591999999999992</v>
      </c>
    </row>
    <row r="2758" spans="1:6" ht="120" x14ac:dyDescent="0.25">
      <c r="A2758" s="8" t="s">
        <v>5</v>
      </c>
      <c r="B2758" s="8" t="s">
        <v>56</v>
      </c>
      <c r="C2758" s="8" t="str">
        <f>IFERROR(_xlfn.XLOOKUP(TRIM(B2758),Lookup!$B$2:$B$1000,Lookup!$C$2:$C$1000),"")</f>
        <v>Equity</v>
      </c>
      <c r="D2758" s="8" t="s">
        <v>57</v>
      </c>
      <c r="E2758" s="9">
        <v>46076</v>
      </c>
      <c r="F2758" s="8">
        <v>9.5112000000000005</v>
      </c>
    </row>
    <row r="2759" spans="1:6" ht="120" x14ac:dyDescent="0.25">
      <c r="A2759" s="8" t="s">
        <v>5</v>
      </c>
      <c r="B2759" s="8" t="s">
        <v>56</v>
      </c>
      <c r="C2759" s="8" t="str">
        <f>IFERROR(_xlfn.XLOOKUP(TRIM(B2759),Lookup!$B$2:$B$1000,Lookup!$C$2:$C$1000),"")</f>
        <v>Equity</v>
      </c>
      <c r="D2759" s="8" t="s">
        <v>57</v>
      </c>
      <c r="E2759" s="9">
        <v>46077</v>
      </c>
      <c r="F2759" s="8">
        <v>9.4465000000000003</v>
      </c>
    </row>
    <row r="2760" spans="1:6" ht="120" x14ac:dyDescent="0.25">
      <c r="A2760" s="8" t="s">
        <v>5</v>
      </c>
      <c r="B2760" s="8" t="s">
        <v>56</v>
      </c>
      <c r="C2760" s="8" t="str">
        <f>IFERROR(_xlfn.XLOOKUP(TRIM(B2760),Lookup!$B$2:$B$1000,Lookup!$C$2:$C$1000),"")</f>
        <v>Equity</v>
      </c>
      <c r="D2760" s="8" t="s">
        <v>57</v>
      </c>
      <c r="E2760" s="9">
        <v>46078</v>
      </c>
      <c r="F2760" s="8">
        <v>9.5137999999999998</v>
      </c>
    </row>
    <row r="2761" spans="1:6" ht="120" x14ac:dyDescent="0.25">
      <c r="A2761" s="8" t="s">
        <v>5</v>
      </c>
      <c r="B2761" s="8" t="s">
        <v>56</v>
      </c>
      <c r="C2761" s="8" t="str">
        <f>IFERROR(_xlfn.XLOOKUP(TRIM(B2761),Lookup!$B$2:$B$1000,Lookup!$C$2:$C$1000),"")</f>
        <v>Equity</v>
      </c>
      <c r="D2761" s="8" t="s">
        <v>57</v>
      </c>
      <c r="E2761" s="9">
        <v>46079</v>
      </c>
      <c r="F2761" s="8">
        <v>9.5111000000000008</v>
      </c>
    </row>
    <row r="2762" spans="1:6" ht="120" x14ac:dyDescent="0.25">
      <c r="A2762" s="8" t="s">
        <v>5</v>
      </c>
      <c r="B2762" s="8" t="s">
        <v>56</v>
      </c>
      <c r="C2762" s="8" t="str">
        <f>IFERROR(_xlfn.XLOOKUP(TRIM(B2762),Lookup!$B$2:$B$1000,Lookup!$C$2:$C$1000),"")</f>
        <v>Equity</v>
      </c>
      <c r="D2762" s="8" t="s">
        <v>57</v>
      </c>
      <c r="E2762" s="9">
        <v>46080</v>
      </c>
      <c r="F2762" s="8">
        <v>9.3826000000000001</v>
      </c>
    </row>
    <row r="2763" spans="1:6" ht="120" x14ac:dyDescent="0.25">
      <c r="A2763" s="8" t="s">
        <v>5</v>
      </c>
      <c r="B2763" s="8" t="s">
        <v>56</v>
      </c>
      <c r="C2763" s="8" t="str">
        <f>IFERROR(_xlfn.XLOOKUP(TRIM(B2763),Lookup!$B$2:$B$1000,Lookup!$C$2:$C$1000),"")</f>
        <v>Equity</v>
      </c>
      <c r="D2763" s="8" t="s">
        <v>57</v>
      </c>
      <c r="E2763" s="9">
        <v>46083</v>
      </c>
      <c r="F2763" s="8">
        <v>9.2280999999999995</v>
      </c>
    </row>
    <row r="2764" spans="1:6" ht="120" x14ac:dyDescent="0.25">
      <c r="A2764" s="8" t="s">
        <v>5</v>
      </c>
      <c r="B2764" s="8" t="s">
        <v>56</v>
      </c>
      <c r="C2764" s="8" t="str">
        <f>IFERROR(_xlfn.XLOOKUP(TRIM(B2764),Lookup!$B$2:$B$1000,Lookup!$C$2:$C$1000),"")</f>
        <v>Equity</v>
      </c>
      <c r="D2764" s="8" t="s">
        <v>57</v>
      </c>
      <c r="E2764" s="9">
        <v>46085</v>
      </c>
      <c r="F2764" s="8">
        <v>9.0017999999999994</v>
      </c>
    </row>
    <row r="2765" spans="1:6" ht="120" x14ac:dyDescent="0.25">
      <c r="A2765" s="8" t="s">
        <v>5</v>
      </c>
      <c r="B2765" s="8" t="s">
        <v>56</v>
      </c>
      <c r="C2765" s="8" t="str">
        <f>IFERROR(_xlfn.XLOOKUP(TRIM(B2765),Lookup!$B$2:$B$1000,Lookup!$C$2:$C$1000),"")</f>
        <v>Equity</v>
      </c>
      <c r="D2765" s="8" t="s">
        <v>57</v>
      </c>
      <c r="E2765" s="9">
        <v>46086</v>
      </c>
      <c r="F2765" s="8">
        <v>9.1440000000000001</v>
      </c>
    </row>
    <row r="2766" spans="1:6" ht="120" x14ac:dyDescent="0.25">
      <c r="A2766" s="8" t="s">
        <v>5</v>
      </c>
      <c r="B2766" s="8" t="s">
        <v>56</v>
      </c>
      <c r="C2766" s="8" t="str">
        <f>IFERROR(_xlfn.XLOOKUP(TRIM(B2766),Lookup!$B$2:$B$1000,Lookup!$C$2:$C$1000),"")</f>
        <v>Equity</v>
      </c>
      <c r="D2766" s="8" t="s">
        <v>57</v>
      </c>
      <c r="E2766" s="9">
        <v>46087</v>
      </c>
      <c r="F2766" s="8">
        <v>9.1365999999999996</v>
      </c>
    </row>
    <row r="2767" spans="1:6" ht="120" x14ac:dyDescent="0.25">
      <c r="A2767" s="8" t="s">
        <v>5</v>
      </c>
      <c r="B2767" s="8" t="s">
        <v>56</v>
      </c>
      <c r="C2767" s="8" t="str">
        <f>IFERROR(_xlfn.XLOOKUP(TRIM(B2767),Lookup!$B$2:$B$1000,Lookup!$C$2:$C$1000),"")</f>
        <v>Equity</v>
      </c>
      <c r="D2767" s="8" t="s">
        <v>57</v>
      </c>
      <c r="E2767" s="9">
        <v>46090</v>
      </c>
      <c r="F2767" s="8">
        <v>8.9429999999999996</v>
      </c>
    </row>
    <row r="2768" spans="1:6" ht="120" x14ac:dyDescent="0.25">
      <c r="A2768" s="8" t="s">
        <v>5</v>
      </c>
      <c r="B2768" s="8" t="s">
        <v>56</v>
      </c>
      <c r="C2768" s="8" t="str">
        <f>IFERROR(_xlfn.XLOOKUP(TRIM(B2768),Lookup!$B$2:$B$1000,Lookup!$C$2:$C$1000),"")</f>
        <v>Equity</v>
      </c>
      <c r="D2768" s="8" t="s">
        <v>57</v>
      </c>
      <c r="E2768" s="9">
        <v>46091</v>
      </c>
      <c r="F2768" s="8">
        <v>9.1485000000000003</v>
      </c>
    </row>
    <row r="2769" spans="1:6" ht="120" x14ac:dyDescent="0.25">
      <c r="A2769" s="8" t="s">
        <v>5</v>
      </c>
      <c r="B2769" s="8" t="s">
        <v>56</v>
      </c>
      <c r="C2769" s="8" t="str">
        <f>IFERROR(_xlfn.XLOOKUP(TRIM(B2769),Lookup!$B$2:$B$1000,Lookup!$C$2:$C$1000),"")</f>
        <v>Equity</v>
      </c>
      <c r="D2769" s="8" t="s">
        <v>57</v>
      </c>
      <c r="E2769" s="9">
        <v>46092</v>
      </c>
      <c r="F2769" s="8">
        <v>9.0937999999999999</v>
      </c>
    </row>
    <row r="2770" spans="1:6" ht="120" x14ac:dyDescent="0.25">
      <c r="A2770" s="8" t="s">
        <v>5</v>
      </c>
      <c r="B2770" s="8" t="s">
        <v>56</v>
      </c>
      <c r="C2770" s="8" t="str">
        <f>IFERROR(_xlfn.XLOOKUP(TRIM(B2770),Lookup!$B$2:$B$1000,Lookup!$C$2:$C$1000),"")</f>
        <v>Equity</v>
      </c>
      <c r="D2770" s="8" t="s">
        <v>57</v>
      </c>
      <c r="E2770" s="9">
        <v>46093</v>
      </c>
      <c r="F2770" s="8">
        <v>9.0507000000000009</v>
      </c>
    </row>
    <row r="2771" spans="1:6" ht="120" x14ac:dyDescent="0.25">
      <c r="A2771" s="8" t="s">
        <v>5</v>
      </c>
      <c r="B2771" s="8" t="s">
        <v>56</v>
      </c>
      <c r="C2771" s="8" t="str">
        <f>IFERROR(_xlfn.XLOOKUP(TRIM(B2771),Lookup!$B$2:$B$1000,Lookup!$C$2:$C$1000),"")</f>
        <v>Equity</v>
      </c>
      <c r="D2771" s="8" t="s">
        <v>57</v>
      </c>
      <c r="E2771" s="9">
        <v>46094</v>
      </c>
      <c r="F2771" s="8">
        <v>8.7919</v>
      </c>
    </row>
    <row r="2772" spans="1:6" ht="120" x14ac:dyDescent="0.25">
      <c r="A2772" s="8" t="s">
        <v>5</v>
      </c>
      <c r="B2772" s="8" t="s">
        <v>56</v>
      </c>
      <c r="C2772" s="8" t="str">
        <f>IFERROR(_xlfn.XLOOKUP(TRIM(B2772),Lookup!$B$2:$B$1000,Lookup!$C$2:$C$1000),"")</f>
        <v>Equity</v>
      </c>
      <c r="D2772" s="8" t="s">
        <v>57</v>
      </c>
      <c r="E2772" s="9">
        <v>46097</v>
      </c>
      <c r="F2772" s="8">
        <v>8.7654999999999994</v>
      </c>
    </row>
    <row r="2773" spans="1:6" ht="120" x14ac:dyDescent="0.25">
      <c r="A2773" s="8" t="s">
        <v>5</v>
      </c>
      <c r="B2773" s="8" t="s">
        <v>56</v>
      </c>
      <c r="C2773" s="8" t="str">
        <f>IFERROR(_xlfn.XLOOKUP(TRIM(B2773),Lookup!$B$2:$B$1000,Lookup!$C$2:$C$1000),"")</f>
        <v>Equity</v>
      </c>
      <c r="D2773" s="8" t="s">
        <v>57</v>
      </c>
      <c r="E2773" s="9">
        <v>46098</v>
      </c>
      <c r="F2773" s="8">
        <v>8.8376999999999999</v>
      </c>
    </row>
    <row r="2774" spans="1:6" ht="120" x14ac:dyDescent="0.25">
      <c r="A2774" s="8" t="s">
        <v>5</v>
      </c>
      <c r="B2774" s="8" t="s">
        <v>56</v>
      </c>
      <c r="C2774" s="8" t="str">
        <f>IFERROR(_xlfn.XLOOKUP(TRIM(B2774),Lookup!$B$2:$B$1000,Lookup!$C$2:$C$1000),"")</f>
        <v>Equity</v>
      </c>
      <c r="D2774" s="8" t="s">
        <v>57</v>
      </c>
      <c r="E2774" s="9">
        <v>46099</v>
      </c>
      <c r="F2774" s="8">
        <v>8.9906000000000006</v>
      </c>
    </row>
    <row r="2775" spans="1:6" ht="120" x14ac:dyDescent="0.25">
      <c r="A2775" s="8" t="s">
        <v>5</v>
      </c>
      <c r="B2775" s="8" t="s">
        <v>56</v>
      </c>
      <c r="C2775" s="8" t="str">
        <f>IFERROR(_xlfn.XLOOKUP(TRIM(B2775),Lookup!$B$2:$B$1000,Lookup!$C$2:$C$1000),"")</f>
        <v>Equity</v>
      </c>
      <c r="D2775" s="8" t="s">
        <v>57</v>
      </c>
      <c r="E2775" s="9">
        <v>46100</v>
      </c>
      <c r="F2775" s="8">
        <v>8.7439999999999998</v>
      </c>
    </row>
    <row r="2776" spans="1:6" ht="120" x14ac:dyDescent="0.25">
      <c r="A2776" s="8" t="s">
        <v>5</v>
      </c>
      <c r="B2776" s="8" t="s">
        <v>56</v>
      </c>
      <c r="C2776" s="8" t="str">
        <f>IFERROR(_xlfn.XLOOKUP(TRIM(B2776),Lookup!$B$2:$B$1000,Lookup!$C$2:$C$1000),"")</f>
        <v>Equity</v>
      </c>
      <c r="D2776" s="8" t="s">
        <v>57</v>
      </c>
      <c r="E2776" s="9">
        <v>46101</v>
      </c>
      <c r="F2776" s="8">
        <v>8.7655999999999992</v>
      </c>
    </row>
    <row r="2777" spans="1:6" ht="120" x14ac:dyDescent="0.25">
      <c r="A2777" s="8" t="s">
        <v>5</v>
      </c>
      <c r="B2777" s="8" t="s">
        <v>56</v>
      </c>
      <c r="C2777" s="8" t="str">
        <f>IFERROR(_xlfn.XLOOKUP(TRIM(B2777),Lookup!$B$2:$B$1000,Lookup!$C$2:$C$1000),"")</f>
        <v>Equity</v>
      </c>
      <c r="D2777" s="8" t="s">
        <v>57</v>
      </c>
      <c r="E2777" s="9">
        <v>46104</v>
      </c>
      <c r="F2777" s="8">
        <v>8.4379000000000008</v>
      </c>
    </row>
    <row r="2778" spans="1:6" ht="120" x14ac:dyDescent="0.25">
      <c r="A2778" s="8" t="s">
        <v>5</v>
      </c>
      <c r="B2778" s="8" t="s">
        <v>56</v>
      </c>
      <c r="C2778" s="8" t="str">
        <f>IFERROR(_xlfn.XLOOKUP(TRIM(B2778),Lookup!$B$2:$B$1000,Lookup!$C$2:$C$1000),"")</f>
        <v>Equity</v>
      </c>
      <c r="D2778" s="8" t="s">
        <v>57</v>
      </c>
      <c r="E2778" s="9">
        <v>46105</v>
      </c>
      <c r="F2778" s="8">
        <v>8.6511999999999993</v>
      </c>
    </row>
    <row r="2779" spans="1:6" ht="120" x14ac:dyDescent="0.25">
      <c r="A2779" s="8" t="s">
        <v>5</v>
      </c>
      <c r="B2779" s="8" t="s">
        <v>56</v>
      </c>
      <c r="C2779" s="8" t="str">
        <f>IFERROR(_xlfn.XLOOKUP(TRIM(B2779),Lookup!$B$2:$B$1000,Lookup!$C$2:$C$1000),"")</f>
        <v>Equity</v>
      </c>
      <c r="D2779" s="8" t="s">
        <v>57</v>
      </c>
      <c r="E2779" s="9">
        <v>46106</v>
      </c>
      <c r="F2779" s="8">
        <v>8.8481000000000005</v>
      </c>
    </row>
    <row r="2780" spans="1:6" ht="120" x14ac:dyDescent="0.25">
      <c r="A2780" s="8" t="s">
        <v>5</v>
      </c>
      <c r="B2780" s="8" t="s">
        <v>56</v>
      </c>
      <c r="C2780" s="8" t="str">
        <f>IFERROR(_xlfn.XLOOKUP(TRIM(B2780),Lookup!$B$2:$B$1000,Lookup!$C$2:$C$1000),"")</f>
        <v>Equity</v>
      </c>
      <c r="D2780" s="8" t="s">
        <v>57</v>
      </c>
      <c r="E2780" s="9">
        <v>46108</v>
      </c>
      <c r="F2780" s="8">
        <v>8.6578999999999997</v>
      </c>
    </row>
    <row r="2781" spans="1:6" ht="120" x14ac:dyDescent="0.25">
      <c r="A2781" s="8" t="s">
        <v>5</v>
      </c>
      <c r="B2781" s="8" t="s">
        <v>56</v>
      </c>
      <c r="C2781" s="8" t="str">
        <f>IFERROR(_xlfn.XLOOKUP(TRIM(B2781),Lookup!$B$2:$B$1000,Lookup!$C$2:$C$1000),"")</f>
        <v>Equity</v>
      </c>
      <c r="D2781" s="8" t="s">
        <v>57</v>
      </c>
      <c r="E2781" s="9">
        <v>46111</v>
      </c>
      <c r="F2781" s="8">
        <v>8.4505999999999997</v>
      </c>
    </row>
    <row r="2782" spans="1:6" ht="120" x14ac:dyDescent="0.25">
      <c r="A2782" s="8" t="s">
        <v>5</v>
      </c>
      <c r="B2782" s="8" t="s">
        <v>56</v>
      </c>
      <c r="C2782" s="8" t="str">
        <f>IFERROR(_xlfn.XLOOKUP(TRIM(B2782),Lookup!$B$2:$B$1000,Lookup!$C$2:$C$1000),"")</f>
        <v>Equity</v>
      </c>
      <c r="D2782" s="8" t="s">
        <v>57</v>
      </c>
      <c r="E2782" s="9">
        <v>46113</v>
      </c>
      <c r="F2782" s="8">
        <v>8.7569999999999997</v>
      </c>
    </row>
    <row r="2783" spans="1:6" ht="120" x14ac:dyDescent="0.25">
      <c r="A2783" s="8" t="s">
        <v>5</v>
      </c>
      <c r="B2783" s="8" t="s">
        <v>56</v>
      </c>
      <c r="C2783" s="8" t="str">
        <f>IFERROR(_xlfn.XLOOKUP(TRIM(B2783),Lookup!$B$2:$B$1000,Lookup!$C$2:$C$1000),"")</f>
        <v>Equity</v>
      </c>
      <c r="D2783" s="8" t="s">
        <v>57</v>
      </c>
      <c r="E2783" s="9">
        <v>46114</v>
      </c>
      <c r="F2783" s="8">
        <v>8.7445000000000004</v>
      </c>
    </row>
    <row r="2784" spans="1:6" ht="120" x14ac:dyDescent="0.25">
      <c r="A2784" s="8" t="s">
        <v>5</v>
      </c>
      <c r="B2784" s="8" t="s">
        <v>56</v>
      </c>
      <c r="C2784" s="8" t="str">
        <f>IFERROR(_xlfn.XLOOKUP(TRIM(B2784),Lookup!$B$2:$B$1000,Lookup!$C$2:$C$1000),"")</f>
        <v>Equity</v>
      </c>
      <c r="D2784" s="8" t="s">
        <v>57</v>
      </c>
      <c r="E2784" s="9">
        <v>46118</v>
      </c>
      <c r="F2784" s="8">
        <v>8.8668999999999993</v>
      </c>
    </row>
    <row r="2785" spans="1:6" ht="120" x14ac:dyDescent="0.25">
      <c r="A2785" s="8" t="s">
        <v>5</v>
      </c>
      <c r="B2785" s="8" t="s">
        <v>56</v>
      </c>
      <c r="C2785" s="8" t="str">
        <f>IFERROR(_xlfn.XLOOKUP(TRIM(B2785),Lookup!$B$2:$B$1000,Lookup!$C$2:$C$1000),"")</f>
        <v>Equity</v>
      </c>
      <c r="D2785" s="8" t="s">
        <v>57</v>
      </c>
      <c r="E2785" s="9">
        <v>46119</v>
      </c>
      <c r="F2785" s="8">
        <v>8.8695000000000004</v>
      </c>
    </row>
    <row r="2786" spans="1:6" ht="120" x14ac:dyDescent="0.25">
      <c r="A2786" s="8" t="s">
        <v>5</v>
      </c>
      <c r="B2786" s="8" t="s">
        <v>56</v>
      </c>
      <c r="C2786" s="8" t="str">
        <f>IFERROR(_xlfn.XLOOKUP(TRIM(B2786),Lookup!$B$2:$B$1000,Lookup!$C$2:$C$1000),"")</f>
        <v>Equity</v>
      </c>
      <c r="D2786" s="8" t="s">
        <v>57</v>
      </c>
      <c r="E2786" s="9">
        <v>46120</v>
      </c>
      <c r="F2786" s="8">
        <v>9.2118000000000002</v>
      </c>
    </row>
    <row r="2787" spans="1:6" ht="120" x14ac:dyDescent="0.25">
      <c r="A2787" s="8" t="s">
        <v>5</v>
      </c>
      <c r="B2787" s="8" t="s">
        <v>56</v>
      </c>
      <c r="C2787" s="8" t="str">
        <f>IFERROR(_xlfn.XLOOKUP(TRIM(B2787),Lookup!$B$2:$B$1000,Lookup!$C$2:$C$1000),"")</f>
        <v>Equity</v>
      </c>
      <c r="D2787" s="8" t="s">
        <v>57</v>
      </c>
      <c r="E2787" s="9">
        <v>46121</v>
      </c>
      <c r="F2787" s="8">
        <v>9.2434999999999992</v>
      </c>
    </row>
    <row r="2788" spans="1:6" ht="120" x14ac:dyDescent="0.25">
      <c r="A2788" s="8" t="s">
        <v>5</v>
      </c>
      <c r="B2788" s="8" t="s">
        <v>56</v>
      </c>
      <c r="C2788" s="8" t="str">
        <f>IFERROR(_xlfn.XLOOKUP(TRIM(B2788),Lookup!$B$2:$B$1000,Lookup!$C$2:$C$1000),"")</f>
        <v>Equity</v>
      </c>
      <c r="D2788" s="8" t="s">
        <v>57</v>
      </c>
      <c r="E2788" s="9">
        <v>46122</v>
      </c>
      <c r="F2788" s="8">
        <v>9.3579000000000008</v>
      </c>
    </row>
    <row r="2789" spans="1:6" ht="120" x14ac:dyDescent="0.25">
      <c r="A2789" s="8" t="s">
        <v>5</v>
      </c>
      <c r="B2789" s="8" t="s">
        <v>56</v>
      </c>
      <c r="C2789" s="8" t="str">
        <f>IFERROR(_xlfn.XLOOKUP(TRIM(B2789),Lookup!$B$2:$B$1000,Lookup!$C$2:$C$1000),"")</f>
        <v>Equity</v>
      </c>
      <c r="D2789" s="8" t="s">
        <v>57</v>
      </c>
      <c r="E2789" s="9">
        <v>46125</v>
      </c>
      <c r="F2789" s="8">
        <v>9.3232999999999997</v>
      </c>
    </row>
    <row r="2790" spans="1:6" ht="120" x14ac:dyDescent="0.25">
      <c r="A2790" s="8" t="s">
        <v>5</v>
      </c>
      <c r="B2790" s="8" t="s">
        <v>56</v>
      </c>
      <c r="C2790" s="8" t="str">
        <f>IFERROR(_xlfn.XLOOKUP(TRIM(B2790),Lookup!$B$2:$B$1000,Lookup!$C$2:$C$1000),"")</f>
        <v>Equity</v>
      </c>
      <c r="D2790" s="8" t="s">
        <v>57</v>
      </c>
      <c r="E2790" s="9">
        <v>46127</v>
      </c>
      <c r="F2790" s="8">
        <v>9.5707000000000004</v>
      </c>
    </row>
    <row r="2791" spans="1:6" ht="120" x14ac:dyDescent="0.25">
      <c r="A2791" s="8" t="s">
        <v>5</v>
      </c>
      <c r="B2791" s="8" t="s">
        <v>56</v>
      </c>
      <c r="C2791" s="8" t="str">
        <f>IFERROR(_xlfn.XLOOKUP(TRIM(B2791),Lookup!$B$2:$B$1000,Lookup!$C$2:$C$1000),"")</f>
        <v>Equity</v>
      </c>
      <c r="D2791" s="8" t="s">
        <v>57</v>
      </c>
      <c r="E2791" s="9">
        <v>46128</v>
      </c>
      <c r="F2791" s="8">
        <v>9.6714000000000002</v>
      </c>
    </row>
    <row r="2792" spans="1:6" ht="120" x14ac:dyDescent="0.25">
      <c r="A2792" s="8" t="s">
        <v>5</v>
      </c>
      <c r="B2792" s="8" t="s">
        <v>56</v>
      </c>
      <c r="C2792" s="8" t="str">
        <f>IFERROR(_xlfn.XLOOKUP(TRIM(B2792),Lookup!$B$2:$B$1000,Lookup!$C$2:$C$1000),"")</f>
        <v>Equity</v>
      </c>
      <c r="D2792" s="8" t="s">
        <v>57</v>
      </c>
      <c r="E2792" s="9">
        <v>46129</v>
      </c>
      <c r="F2792" s="8">
        <v>9.8358000000000008</v>
      </c>
    </row>
    <row r="2793" spans="1:6" ht="120" x14ac:dyDescent="0.25">
      <c r="A2793" s="8" t="s">
        <v>5</v>
      </c>
      <c r="B2793" s="8" t="s">
        <v>56</v>
      </c>
      <c r="C2793" s="8" t="str">
        <f>IFERROR(_xlfn.XLOOKUP(TRIM(B2793),Lookup!$B$2:$B$1000,Lookup!$C$2:$C$1000),"")</f>
        <v>Equity</v>
      </c>
      <c r="D2793" s="8" t="s">
        <v>57</v>
      </c>
      <c r="E2793" s="9">
        <v>46132</v>
      </c>
      <c r="F2793" s="8">
        <v>9.7978000000000005</v>
      </c>
    </row>
    <row r="2794" spans="1:6" ht="120" x14ac:dyDescent="0.25">
      <c r="A2794" s="8" t="s">
        <v>5</v>
      </c>
      <c r="B2794" s="8" t="s">
        <v>56</v>
      </c>
      <c r="C2794" s="8" t="str">
        <f>IFERROR(_xlfn.XLOOKUP(TRIM(B2794),Lookup!$B$2:$B$1000,Lookup!$C$2:$C$1000),"")</f>
        <v>Equity</v>
      </c>
      <c r="D2794" s="8" t="s">
        <v>57</v>
      </c>
      <c r="E2794" s="9">
        <v>46133</v>
      </c>
      <c r="F2794" s="8">
        <v>9.8176000000000005</v>
      </c>
    </row>
    <row r="2795" spans="1:6" ht="120" x14ac:dyDescent="0.25">
      <c r="A2795" s="8" t="s">
        <v>5</v>
      </c>
      <c r="B2795" s="8" t="s">
        <v>56</v>
      </c>
      <c r="C2795" s="8" t="str">
        <f>IFERROR(_xlfn.XLOOKUP(TRIM(B2795),Lookup!$B$2:$B$1000,Lookup!$C$2:$C$1000),"")</f>
        <v>Equity</v>
      </c>
      <c r="D2795" s="8" t="s">
        <v>57</v>
      </c>
      <c r="E2795" s="9">
        <v>46134</v>
      </c>
      <c r="F2795" s="8">
        <v>9.8802000000000003</v>
      </c>
    </row>
    <row r="2796" spans="1:6" ht="120" x14ac:dyDescent="0.25">
      <c r="A2796" s="8" t="s">
        <v>5</v>
      </c>
      <c r="B2796" s="8" t="s">
        <v>56</v>
      </c>
      <c r="C2796" s="8" t="str">
        <f>IFERROR(_xlfn.XLOOKUP(TRIM(B2796),Lookup!$B$2:$B$1000,Lookup!$C$2:$C$1000),"")</f>
        <v>Equity</v>
      </c>
      <c r="D2796" s="8" t="s">
        <v>57</v>
      </c>
      <c r="E2796" s="9">
        <v>46135</v>
      </c>
      <c r="F2796" s="8">
        <v>9.8298000000000005</v>
      </c>
    </row>
    <row r="2797" spans="1:6" ht="120" x14ac:dyDescent="0.25">
      <c r="A2797" s="8" t="s">
        <v>5</v>
      </c>
      <c r="B2797" s="8" t="s">
        <v>56</v>
      </c>
      <c r="C2797" s="8" t="str">
        <f>IFERROR(_xlfn.XLOOKUP(TRIM(B2797),Lookup!$B$2:$B$1000,Lookup!$C$2:$C$1000),"")</f>
        <v>Equity</v>
      </c>
      <c r="D2797" s="8" t="s">
        <v>57</v>
      </c>
      <c r="E2797" s="9">
        <v>46136</v>
      </c>
      <c r="F2797" s="8">
        <v>9.7088000000000001</v>
      </c>
    </row>
    <row r="2798" spans="1:6" ht="120" x14ac:dyDescent="0.25">
      <c r="A2798" s="8" t="s">
        <v>5</v>
      </c>
      <c r="B2798" s="8" t="s">
        <v>56</v>
      </c>
      <c r="C2798" s="8" t="str">
        <f>IFERROR(_xlfn.XLOOKUP(TRIM(B2798),Lookup!$B$2:$B$1000,Lookup!$C$2:$C$1000),"")</f>
        <v>Equity</v>
      </c>
      <c r="D2798" s="8" t="s">
        <v>57</v>
      </c>
      <c r="E2798" s="9">
        <v>46139</v>
      </c>
      <c r="F2798" s="8">
        <v>9.8695000000000004</v>
      </c>
    </row>
    <row r="2799" spans="1:6" ht="120" x14ac:dyDescent="0.25">
      <c r="A2799" s="8" t="s">
        <v>5</v>
      </c>
      <c r="B2799" s="8" t="s">
        <v>56</v>
      </c>
      <c r="C2799" s="8" t="str">
        <f>IFERROR(_xlfn.XLOOKUP(TRIM(B2799),Lookup!$B$2:$B$1000,Lookup!$C$2:$C$1000),"")</f>
        <v>Equity</v>
      </c>
      <c r="D2799" s="8" t="s">
        <v>57</v>
      </c>
      <c r="E2799" s="9">
        <v>46140</v>
      </c>
      <c r="F2799" s="8">
        <v>9.8797999999999995</v>
      </c>
    </row>
    <row r="2800" spans="1:6" ht="120" x14ac:dyDescent="0.25">
      <c r="A2800" s="8" t="s">
        <v>5</v>
      </c>
      <c r="B2800" s="8" t="s">
        <v>56</v>
      </c>
      <c r="C2800" s="8" t="str">
        <f>IFERROR(_xlfn.XLOOKUP(TRIM(B2800),Lookup!$B$2:$B$1000,Lookup!$C$2:$C$1000),"")</f>
        <v>Equity</v>
      </c>
      <c r="D2800" s="8" t="s">
        <v>57</v>
      </c>
      <c r="E2800" s="9">
        <v>46141</v>
      </c>
      <c r="F2800" s="8">
        <v>9.9382000000000001</v>
      </c>
    </row>
    <row r="2801" spans="1:6" ht="120" x14ac:dyDescent="0.25">
      <c r="A2801" s="8" t="s">
        <v>5</v>
      </c>
      <c r="B2801" s="8" t="s">
        <v>56</v>
      </c>
      <c r="C2801" s="8" t="str">
        <f>IFERROR(_xlfn.XLOOKUP(TRIM(B2801),Lookup!$B$2:$B$1000,Lookup!$C$2:$C$1000),"")</f>
        <v>Equity</v>
      </c>
      <c r="D2801" s="8" t="s">
        <v>57</v>
      </c>
      <c r="E2801" s="9">
        <v>46142</v>
      </c>
      <c r="F2801" s="8">
        <v>9.8581000000000003</v>
      </c>
    </row>
    <row r="2802" spans="1:6" ht="120" x14ac:dyDescent="0.25">
      <c r="A2802" s="8" t="s">
        <v>5</v>
      </c>
      <c r="B2802" s="8" t="s">
        <v>56</v>
      </c>
      <c r="C2802" s="8" t="str">
        <f>IFERROR(_xlfn.XLOOKUP(TRIM(B2802),Lookup!$B$2:$B$1000,Lookup!$C$2:$C$1000),"")</f>
        <v>Equity</v>
      </c>
      <c r="D2802" s="8" t="s">
        <v>57</v>
      </c>
      <c r="E2802" s="9">
        <v>46146</v>
      </c>
      <c r="F2802" s="8">
        <v>9.9318000000000008</v>
      </c>
    </row>
    <row r="2803" spans="1:6" ht="120" x14ac:dyDescent="0.25">
      <c r="A2803" s="8" t="s">
        <v>5</v>
      </c>
      <c r="B2803" s="8" t="s">
        <v>56</v>
      </c>
      <c r="C2803" s="8" t="str">
        <f>IFERROR(_xlfn.XLOOKUP(TRIM(B2803),Lookup!$B$2:$B$1000,Lookup!$C$2:$C$1000),"")</f>
        <v>Equity</v>
      </c>
      <c r="D2803" s="8" t="s">
        <v>57</v>
      </c>
      <c r="E2803" s="9">
        <v>46147</v>
      </c>
      <c r="F2803" s="8">
        <v>9.9771999999999998</v>
      </c>
    </row>
    <row r="2804" spans="1:6" ht="120" x14ac:dyDescent="0.25">
      <c r="A2804" s="8" t="s">
        <v>5</v>
      </c>
      <c r="B2804" s="8" t="s">
        <v>56</v>
      </c>
      <c r="C2804" s="8" t="str">
        <f>IFERROR(_xlfn.XLOOKUP(TRIM(B2804),Lookup!$B$2:$B$1000,Lookup!$C$2:$C$1000),"")</f>
        <v>Equity</v>
      </c>
      <c r="D2804" s="8" t="s">
        <v>57</v>
      </c>
      <c r="E2804" s="9">
        <v>46148</v>
      </c>
      <c r="F2804" s="8">
        <v>10.186299999999999</v>
      </c>
    </row>
    <row r="2805" spans="1:6" ht="120" x14ac:dyDescent="0.25">
      <c r="A2805" s="8" t="s">
        <v>5</v>
      </c>
      <c r="B2805" s="8" t="s">
        <v>56</v>
      </c>
      <c r="C2805" s="8" t="str">
        <f>IFERROR(_xlfn.XLOOKUP(TRIM(B2805),Lookup!$B$2:$B$1000,Lookup!$C$2:$C$1000),"")</f>
        <v>Equity</v>
      </c>
      <c r="D2805" s="8" t="s">
        <v>57</v>
      </c>
      <c r="E2805" s="9">
        <v>46149</v>
      </c>
      <c r="F2805" s="8">
        <v>10.284599999999999</v>
      </c>
    </row>
    <row r="2806" spans="1:6" ht="120" x14ac:dyDescent="0.25">
      <c r="A2806" s="8" t="s">
        <v>5</v>
      </c>
      <c r="B2806" s="8" t="s">
        <v>56</v>
      </c>
      <c r="C2806" s="8" t="str">
        <f>IFERROR(_xlfn.XLOOKUP(TRIM(B2806),Lookup!$B$2:$B$1000,Lookup!$C$2:$C$1000),"")</f>
        <v>Equity</v>
      </c>
      <c r="D2806" s="8" t="s">
        <v>57</v>
      </c>
      <c r="E2806" s="9">
        <v>46150</v>
      </c>
      <c r="F2806" s="8">
        <v>10.3225</v>
      </c>
    </row>
    <row r="2807" spans="1:6" ht="120" x14ac:dyDescent="0.25">
      <c r="A2807" s="8" t="s">
        <v>5</v>
      </c>
      <c r="B2807" s="8" t="s">
        <v>56</v>
      </c>
      <c r="C2807" s="8" t="str">
        <f>IFERROR(_xlfn.XLOOKUP(TRIM(B2807),Lookup!$B$2:$B$1000,Lookup!$C$2:$C$1000),"")</f>
        <v>Equity</v>
      </c>
      <c r="D2807" s="8" t="s">
        <v>57</v>
      </c>
      <c r="E2807" s="9">
        <v>46153</v>
      </c>
      <c r="F2807" s="8">
        <v>10.237</v>
      </c>
    </row>
    <row r="2808" spans="1:6" ht="120" x14ac:dyDescent="0.25">
      <c r="A2808" s="8" t="s">
        <v>5</v>
      </c>
      <c r="B2808" s="8" t="s">
        <v>56</v>
      </c>
      <c r="C2808" s="8" t="str">
        <f>IFERROR(_xlfn.XLOOKUP(TRIM(B2808),Lookup!$B$2:$B$1000,Lookup!$C$2:$C$1000),"")</f>
        <v>Equity</v>
      </c>
      <c r="D2808" s="8" t="s">
        <v>57</v>
      </c>
      <c r="E2808" s="9">
        <v>46154</v>
      </c>
      <c r="F2808" s="8">
        <v>9.9288000000000007</v>
      </c>
    </row>
    <row r="2809" spans="1:6" ht="120" x14ac:dyDescent="0.25">
      <c r="A2809" s="8" t="s">
        <v>5</v>
      </c>
      <c r="B2809" s="8" t="s">
        <v>56</v>
      </c>
      <c r="C2809" s="8" t="str">
        <f>IFERROR(_xlfn.XLOOKUP(TRIM(B2809),Lookup!$B$2:$B$1000,Lookup!$C$2:$C$1000),"")</f>
        <v>Equity</v>
      </c>
      <c r="D2809" s="8" t="s">
        <v>57</v>
      </c>
      <c r="E2809" s="9">
        <v>46155</v>
      </c>
      <c r="F2809" s="8">
        <v>9.9734999999999996</v>
      </c>
    </row>
    <row r="2810" spans="1:6" ht="120" x14ac:dyDescent="0.25">
      <c r="A2810" s="8" t="s">
        <v>5</v>
      </c>
      <c r="B2810" s="8" t="s">
        <v>56</v>
      </c>
      <c r="C2810" s="8" t="str">
        <f>IFERROR(_xlfn.XLOOKUP(TRIM(B2810),Lookup!$B$2:$B$1000,Lookup!$C$2:$C$1000),"")</f>
        <v>Equity</v>
      </c>
      <c r="D2810" s="8" t="s">
        <v>57</v>
      </c>
      <c r="E2810" s="9">
        <v>46156</v>
      </c>
      <c r="F2810" s="8">
        <v>10.021000000000001</v>
      </c>
    </row>
    <row r="2811" spans="1:6" ht="120" x14ac:dyDescent="0.25">
      <c r="A2811" s="8" t="s">
        <v>5</v>
      </c>
      <c r="B2811" s="8" t="s">
        <v>56</v>
      </c>
      <c r="C2811" s="8" t="str">
        <f>IFERROR(_xlfn.XLOOKUP(TRIM(B2811),Lookup!$B$2:$B$1000,Lookup!$C$2:$C$1000),"")</f>
        <v>Equity</v>
      </c>
      <c r="D2811" s="8" t="s">
        <v>57</v>
      </c>
      <c r="E2811" s="9">
        <v>46157</v>
      </c>
      <c r="F2811" s="8">
        <v>9.9999000000000002</v>
      </c>
    </row>
    <row r="2812" spans="1:6" ht="120" x14ac:dyDescent="0.25">
      <c r="A2812" s="8" t="s">
        <v>5</v>
      </c>
      <c r="B2812" s="8" t="s">
        <v>56</v>
      </c>
      <c r="C2812" s="8" t="str">
        <f>IFERROR(_xlfn.XLOOKUP(TRIM(B2812),Lookup!$B$2:$B$1000,Lookup!$C$2:$C$1000),"")</f>
        <v>Equity</v>
      </c>
      <c r="D2812" s="8" t="s">
        <v>57</v>
      </c>
      <c r="E2812" s="9">
        <v>46160</v>
      </c>
      <c r="F2812" s="8">
        <v>9.8890999999999991</v>
      </c>
    </row>
    <row r="2813" spans="1:6" ht="120" x14ac:dyDescent="0.25">
      <c r="A2813" s="8" t="s">
        <v>5</v>
      </c>
      <c r="B2813" s="8" t="s">
        <v>56</v>
      </c>
      <c r="C2813" s="8" t="str">
        <f>IFERROR(_xlfn.XLOOKUP(TRIM(B2813),Lookup!$B$2:$B$1000,Lookup!$C$2:$C$1000),"")</f>
        <v>Equity</v>
      </c>
      <c r="D2813" s="8" t="s">
        <v>57</v>
      </c>
      <c r="E2813" s="9">
        <v>46161</v>
      </c>
      <c r="F2813" s="8">
        <v>10.0265</v>
      </c>
    </row>
    <row r="2814" spans="1:6" ht="120" x14ac:dyDescent="0.25">
      <c r="A2814" s="8" t="s">
        <v>5</v>
      </c>
      <c r="B2814" s="8" t="s">
        <v>56</v>
      </c>
      <c r="C2814" s="8" t="str">
        <f>IFERROR(_xlfn.XLOOKUP(TRIM(B2814),Lookup!$B$2:$B$1000,Lookup!$C$2:$C$1000),"")</f>
        <v>Equity</v>
      </c>
      <c r="D2814" s="8" t="s">
        <v>57</v>
      </c>
      <c r="E2814" s="9">
        <v>46162</v>
      </c>
      <c r="F2814" s="8">
        <v>10.0435</v>
      </c>
    </row>
    <row r="2815" spans="1:6" ht="120" x14ac:dyDescent="0.25">
      <c r="A2815" s="8" t="s">
        <v>5</v>
      </c>
      <c r="B2815" s="8" t="s">
        <v>56</v>
      </c>
      <c r="C2815" s="8" t="str">
        <f>IFERROR(_xlfn.XLOOKUP(TRIM(B2815),Lookup!$B$2:$B$1000,Lookup!$C$2:$C$1000),"")</f>
        <v>Equity</v>
      </c>
      <c r="D2815" s="8" t="s">
        <v>57</v>
      </c>
      <c r="E2815" s="9">
        <v>46163</v>
      </c>
      <c r="F2815" s="8">
        <v>10.1069</v>
      </c>
    </row>
    <row r="2816" spans="1:6" ht="120" x14ac:dyDescent="0.25">
      <c r="A2816" s="8" t="s">
        <v>5</v>
      </c>
      <c r="B2816" s="8" t="s">
        <v>56</v>
      </c>
      <c r="C2816" s="8" t="str">
        <f>IFERROR(_xlfn.XLOOKUP(TRIM(B2816),Lookup!$B$2:$B$1000,Lookup!$C$2:$C$1000),"")</f>
        <v>Equity</v>
      </c>
      <c r="D2816" s="8" t="s">
        <v>57</v>
      </c>
      <c r="E2816" s="9">
        <v>46164</v>
      </c>
      <c r="F2816" s="8">
        <v>10.0627</v>
      </c>
    </row>
    <row r="2817" spans="1:6" ht="120" x14ac:dyDescent="0.25">
      <c r="A2817" s="8" t="s">
        <v>5</v>
      </c>
      <c r="B2817" s="8" t="s">
        <v>56</v>
      </c>
      <c r="C2817" s="8" t="str">
        <f>IFERROR(_xlfn.XLOOKUP(TRIM(B2817),Lookup!$B$2:$B$1000,Lookup!$C$2:$C$1000),"")</f>
        <v>Equity</v>
      </c>
      <c r="D2817" s="8" t="s">
        <v>57</v>
      </c>
      <c r="E2817" s="9">
        <v>46167</v>
      </c>
      <c r="F2817" s="8">
        <v>10.1706</v>
      </c>
    </row>
    <row r="2818" spans="1:6" ht="120" x14ac:dyDescent="0.25">
      <c r="A2818" s="8" t="s">
        <v>5</v>
      </c>
      <c r="B2818" s="8" t="s">
        <v>56</v>
      </c>
      <c r="C2818" s="8" t="str">
        <f>IFERROR(_xlfn.XLOOKUP(TRIM(B2818),Lookup!$B$2:$B$1000,Lookup!$C$2:$C$1000),"")</f>
        <v>Equity</v>
      </c>
      <c r="D2818" s="8" t="s">
        <v>57</v>
      </c>
      <c r="E2818" s="9">
        <v>46168</v>
      </c>
      <c r="F2818" s="8">
        <v>10.186199999999999</v>
      </c>
    </row>
    <row r="2819" spans="1:6" ht="120" x14ac:dyDescent="0.25">
      <c r="A2819" s="8" t="s">
        <v>5</v>
      </c>
      <c r="B2819" s="8" t="s">
        <v>56</v>
      </c>
      <c r="C2819" s="8" t="str">
        <f>IFERROR(_xlfn.XLOOKUP(TRIM(B2819),Lookup!$B$2:$B$1000,Lookup!$C$2:$C$1000),"")</f>
        <v>Equity</v>
      </c>
      <c r="D2819" s="8" t="s">
        <v>57</v>
      </c>
      <c r="E2819" s="9">
        <v>46169</v>
      </c>
      <c r="F2819" s="8">
        <v>10.1716</v>
      </c>
    </row>
    <row r="2820" spans="1:6" ht="120" x14ac:dyDescent="0.25">
      <c r="A2820" s="8" t="s">
        <v>5</v>
      </c>
      <c r="B2820" s="8" t="s">
        <v>56</v>
      </c>
      <c r="C2820" s="8" t="str">
        <f>IFERROR(_xlfn.XLOOKUP(TRIM(B2820),Lookup!$B$2:$B$1000,Lookup!$C$2:$C$1000),"")</f>
        <v>Equity</v>
      </c>
      <c r="D2820" s="8" t="s">
        <v>57</v>
      </c>
      <c r="E2820" s="9">
        <v>46171</v>
      </c>
      <c r="F2820" s="8">
        <v>10.0548</v>
      </c>
    </row>
    <row r="2821" spans="1:6" ht="120" x14ac:dyDescent="0.25">
      <c r="A2821" s="8" t="s">
        <v>5</v>
      </c>
      <c r="B2821" s="8" t="s">
        <v>56</v>
      </c>
      <c r="C2821" s="8" t="str">
        <f>IFERROR(_xlfn.XLOOKUP(TRIM(B2821),Lookup!$B$2:$B$1000,Lookup!$C$2:$C$1000),"")</f>
        <v>Equity</v>
      </c>
      <c r="D2821" s="8" t="s">
        <v>57</v>
      </c>
      <c r="E2821" s="9">
        <v>46174</v>
      </c>
      <c r="F2821" s="8">
        <v>9.9829000000000008</v>
      </c>
    </row>
    <row r="2822" spans="1:6" ht="120" x14ac:dyDescent="0.25">
      <c r="A2822" s="8" t="s">
        <v>5</v>
      </c>
      <c r="B2822" s="8" t="s">
        <v>56</v>
      </c>
      <c r="C2822" s="8" t="str">
        <f>IFERROR(_xlfn.XLOOKUP(TRIM(B2822),Lookup!$B$2:$B$1000,Lookup!$C$2:$C$1000),"")</f>
        <v>Equity</v>
      </c>
      <c r="D2822" s="8" t="s">
        <v>57</v>
      </c>
      <c r="E2822" s="9">
        <v>46175</v>
      </c>
      <c r="F2822" s="8">
        <v>10.036300000000001</v>
      </c>
    </row>
    <row r="2823" spans="1:6" ht="120" x14ac:dyDescent="0.25">
      <c r="A2823" s="8" t="s">
        <v>5</v>
      </c>
      <c r="B2823" s="8" t="s">
        <v>56</v>
      </c>
      <c r="C2823" s="8" t="str">
        <f>IFERROR(_xlfn.XLOOKUP(TRIM(B2823),Lookup!$B$2:$B$1000,Lookup!$C$2:$C$1000),"")</f>
        <v>Equity</v>
      </c>
      <c r="D2823" s="8" t="s">
        <v>57</v>
      </c>
      <c r="E2823" s="9">
        <v>46176</v>
      </c>
      <c r="F2823" s="8">
        <v>9.9954000000000001</v>
      </c>
    </row>
    <row r="2824" spans="1:6" ht="120" x14ac:dyDescent="0.25">
      <c r="A2824" s="8" t="s">
        <v>5</v>
      </c>
      <c r="B2824" s="8" t="s">
        <v>56</v>
      </c>
      <c r="C2824" s="8" t="str">
        <f>IFERROR(_xlfn.XLOOKUP(TRIM(B2824),Lookup!$B$2:$B$1000,Lookup!$C$2:$C$1000),"")</f>
        <v>Equity</v>
      </c>
      <c r="D2824" s="8" t="s">
        <v>57</v>
      </c>
      <c r="E2824" s="9">
        <v>46177</v>
      </c>
      <c r="F2824" s="8">
        <v>10.0617</v>
      </c>
    </row>
    <row r="2825" spans="1:6" ht="120" x14ac:dyDescent="0.25">
      <c r="A2825" s="8" t="s">
        <v>5</v>
      </c>
      <c r="B2825" s="8" t="s">
        <v>56</v>
      </c>
      <c r="C2825" s="8" t="str">
        <f>IFERROR(_xlfn.XLOOKUP(TRIM(B2825),Lookup!$B$2:$B$1000,Lookup!$C$2:$C$1000),"")</f>
        <v>Equity</v>
      </c>
      <c r="D2825" s="8" t="s">
        <v>57</v>
      </c>
      <c r="E2825" s="9">
        <v>46178</v>
      </c>
      <c r="F2825" s="8">
        <v>10.0303</v>
      </c>
    </row>
    <row r="2826" spans="1:6" ht="120" x14ac:dyDescent="0.25">
      <c r="A2826" s="8" t="s">
        <v>5</v>
      </c>
      <c r="B2826" s="8" t="s">
        <v>56</v>
      </c>
      <c r="C2826" s="8" t="str">
        <f>IFERROR(_xlfn.XLOOKUP(TRIM(B2826),Lookup!$B$2:$B$1000,Lookup!$C$2:$C$1000),"")</f>
        <v>Equity</v>
      </c>
      <c r="D2826" s="8" t="s">
        <v>57</v>
      </c>
      <c r="E2826" s="9">
        <v>46181</v>
      </c>
      <c r="F2826" s="8">
        <v>9.8474000000000004</v>
      </c>
    </row>
    <row r="2827" spans="1:6" ht="120" x14ac:dyDescent="0.25">
      <c r="A2827" s="8" t="s">
        <v>5</v>
      </c>
      <c r="B2827" s="8" t="s">
        <v>56</v>
      </c>
      <c r="C2827" s="8" t="str">
        <f>IFERROR(_xlfn.XLOOKUP(TRIM(B2827),Lookup!$B$2:$B$1000,Lookup!$C$2:$C$1000),"")</f>
        <v>Equity</v>
      </c>
      <c r="D2827" s="8" t="s">
        <v>57</v>
      </c>
      <c r="E2827" s="9">
        <v>46182</v>
      </c>
      <c r="F2827" s="8">
        <v>9.9878</v>
      </c>
    </row>
    <row r="2828" spans="1:6" ht="120" x14ac:dyDescent="0.25">
      <c r="A2828" s="8" t="s">
        <v>5</v>
      </c>
      <c r="B2828" s="8" t="s">
        <v>56</v>
      </c>
      <c r="C2828" s="8" t="str">
        <f>IFERROR(_xlfn.XLOOKUP(TRIM(B2828),Lookup!$B$2:$B$1000,Lookup!$C$2:$C$1000),"")</f>
        <v>Equity</v>
      </c>
      <c r="D2828" s="8" t="s">
        <v>57</v>
      </c>
      <c r="E2828" s="9">
        <v>46183</v>
      </c>
      <c r="F2828" s="8">
        <v>9.84</v>
      </c>
    </row>
    <row r="2829" spans="1:6" ht="120" x14ac:dyDescent="0.25">
      <c r="A2829" s="8" t="s">
        <v>5</v>
      </c>
      <c r="B2829" s="8" t="s">
        <v>56</v>
      </c>
      <c r="C2829" s="8" t="str">
        <f>IFERROR(_xlfn.XLOOKUP(TRIM(B2829),Lookup!$B$2:$B$1000,Lookup!$C$2:$C$1000),"")</f>
        <v>Equity</v>
      </c>
      <c r="D2829" s="8" t="s">
        <v>57</v>
      </c>
      <c r="E2829" s="9">
        <v>46184</v>
      </c>
      <c r="F2829" s="8">
        <v>9.7787000000000006</v>
      </c>
    </row>
    <row r="2830" spans="1:6" ht="120" x14ac:dyDescent="0.25">
      <c r="A2830" s="8" t="s">
        <v>5</v>
      </c>
      <c r="B2830" s="8" t="s">
        <v>56</v>
      </c>
      <c r="C2830" s="8" t="str">
        <f>IFERROR(_xlfn.XLOOKUP(TRIM(B2830),Lookup!$B$2:$B$1000,Lookup!$C$2:$C$1000),"")</f>
        <v>Equity</v>
      </c>
      <c r="D2830" s="8" t="s">
        <v>57</v>
      </c>
      <c r="E2830" s="9">
        <v>46185</v>
      </c>
      <c r="F2830" s="8">
        <v>10.025600000000001</v>
      </c>
    </row>
    <row r="2831" spans="1:6" ht="120" x14ac:dyDescent="0.25">
      <c r="A2831" s="8" t="s">
        <v>5</v>
      </c>
      <c r="B2831" s="8" t="s">
        <v>56</v>
      </c>
      <c r="C2831" s="8" t="str">
        <f>IFERROR(_xlfn.XLOOKUP(TRIM(B2831),Lookup!$B$2:$B$1000,Lookup!$C$2:$C$1000),"")</f>
        <v>Equity</v>
      </c>
      <c r="D2831" s="8" t="s">
        <v>57</v>
      </c>
      <c r="E2831" s="9">
        <v>46188</v>
      </c>
      <c r="F2831" s="8">
        <v>10.149100000000001</v>
      </c>
    </row>
    <row r="2832" spans="1:6" ht="120" x14ac:dyDescent="0.25">
      <c r="A2832" s="8" t="s">
        <v>5</v>
      </c>
      <c r="B2832" s="8" t="s">
        <v>56</v>
      </c>
      <c r="C2832" s="8" t="str">
        <f>IFERROR(_xlfn.XLOOKUP(TRIM(B2832),Lookup!$B$2:$B$1000,Lookup!$C$2:$C$1000),"")</f>
        <v>Equity</v>
      </c>
      <c r="D2832" s="8" t="s">
        <v>57</v>
      </c>
      <c r="E2832" s="9">
        <v>46189</v>
      </c>
      <c r="F2832" s="8">
        <v>10.1975</v>
      </c>
    </row>
    <row r="2833" spans="1:6" ht="120" x14ac:dyDescent="0.25">
      <c r="A2833" s="8" t="s">
        <v>5</v>
      </c>
      <c r="B2833" s="8" t="s">
        <v>56</v>
      </c>
      <c r="C2833" s="8" t="str">
        <f>IFERROR(_xlfn.XLOOKUP(TRIM(B2833),Lookup!$B$2:$B$1000,Lookup!$C$2:$C$1000),"")</f>
        <v>Equity</v>
      </c>
      <c r="D2833" s="8" t="s">
        <v>57</v>
      </c>
      <c r="E2833" s="9">
        <v>46190</v>
      </c>
      <c r="F2833" s="8">
        <v>10.2608</v>
      </c>
    </row>
    <row r="2834" spans="1:6" ht="120" x14ac:dyDescent="0.25">
      <c r="A2834" s="8" t="s">
        <v>5</v>
      </c>
      <c r="B2834" s="8" t="s">
        <v>56</v>
      </c>
      <c r="C2834" s="8" t="str">
        <f>IFERROR(_xlfn.XLOOKUP(TRIM(B2834),Lookup!$B$2:$B$1000,Lookup!$C$2:$C$1000),"")</f>
        <v>Equity</v>
      </c>
      <c r="D2834" s="8" t="s">
        <v>57</v>
      </c>
      <c r="E2834" s="9">
        <v>46191</v>
      </c>
      <c r="F2834" s="8">
        <v>10.3276</v>
      </c>
    </row>
    <row r="2835" spans="1:6" ht="120" x14ac:dyDescent="0.25">
      <c r="A2835" s="8" t="s">
        <v>5</v>
      </c>
      <c r="B2835" s="8" t="s">
        <v>56</v>
      </c>
      <c r="C2835" s="8" t="str">
        <f>IFERROR(_xlfn.XLOOKUP(TRIM(B2835),Lookup!$B$2:$B$1000,Lookup!$C$2:$C$1000),"")</f>
        <v>Equity</v>
      </c>
      <c r="D2835" s="8" t="s">
        <v>57</v>
      </c>
      <c r="E2835" s="9">
        <v>46192</v>
      </c>
      <c r="F2835" s="8">
        <v>10.3682</v>
      </c>
    </row>
    <row r="2836" spans="1:6" ht="120" x14ac:dyDescent="0.25">
      <c r="A2836" s="8" t="s">
        <v>5</v>
      </c>
      <c r="B2836" s="8" t="s">
        <v>56</v>
      </c>
      <c r="C2836" s="8" t="str">
        <f>IFERROR(_xlfn.XLOOKUP(TRIM(B2836),Lookup!$B$2:$B$1000,Lookup!$C$2:$C$1000),"")</f>
        <v>Equity</v>
      </c>
      <c r="D2836" s="8" t="s">
        <v>57</v>
      </c>
      <c r="E2836" s="9">
        <v>46195</v>
      </c>
      <c r="F2836" s="8">
        <v>10.451700000000001</v>
      </c>
    </row>
    <row r="2837" spans="1:6" ht="120" x14ac:dyDescent="0.25">
      <c r="A2837" s="8" t="s">
        <v>5</v>
      </c>
      <c r="B2837" s="8" t="s">
        <v>56</v>
      </c>
      <c r="C2837" s="8" t="str">
        <f>IFERROR(_xlfn.XLOOKUP(TRIM(B2837),Lookup!$B$2:$B$1000,Lookup!$C$2:$C$1000),"")</f>
        <v>Equity</v>
      </c>
      <c r="D2837" s="8" t="s">
        <v>57</v>
      </c>
      <c r="E2837" s="9">
        <v>46196</v>
      </c>
      <c r="F2837" s="8">
        <v>10.379300000000001</v>
      </c>
    </row>
    <row r="2838" spans="1:6" ht="120" x14ac:dyDescent="0.25">
      <c r="A2838" s="8" t="s">
        <v>5</v>
      </c>
      <c r="B2838" s="8" t="s">
        <v>56</v>
      </c>
      <c r="C2838" s="8" t="str">
        <f>IFERROR(_xlfn.XLOOKUP(TRIM(B2838),Lookup!$B$2:$B$1000,Lookup!$C$2:$C$1000),"")</f>
        <v>Equity</v>
      </c>
      <c r="D2838" s="8" t="s">
        <v>57</v>
      </c>
      <c r="E2838" s="9">
        <v>46197</v>
      </c>
      <c r="F2838" s="8">
        <v>10.3947</v>
      </c>
    </row>
    <row r="2839" spans="1:6" ht="120" x14ac:dyDescent="0.25">
      <c r="A2839" s="8" t="s">
        <v>5</v>
      </c>
      <c r="B2839" s="8" t="s">
        <v>56</v>
      </c>
      <c r="C2839" s="8" t="str">
        <f>IFERROR(_xlfn.XLOOKUP(TRIM(B2839),Lookup!$B$2:$B$1000,Lookup!$C$2:$C$1000),"")</f>
        <v>Equity</v>
      </c>
      <c r="D2839" s="8" t="s">
        <v>57</v>
      </c>
      <c r="E2839" s="9">
        <v>46198</v>
      </c>
      <c r="F2839" s="8">
        <v>10.383100000000001</v>
      </c>
    </row>
    <row r="2840" spans="1:6" ht="120" x14ac:dyDescent="0.25">
      <c r="A2840" s="8" t="s">
        <v>5</v>
      </c>
      <c r="B2840" s="8" t="s">
        <v>56</v>
      </c>
      <c r="C2840" s="8" t="str">
        <f>IFERROR(_xlfn.XLOOKUP(TRIM(B2840),Lookup!$B$2:$B$1000,Lookup!$C$2:$C$1000),"")</f>
        <v>Equity</v>
      </c>
      <c r="D2840" s="8" t="s">
        <v>57</v>
      </c>
      <c r="E2840" s="9">
        <v>46202</v>
      </c>
      <c r="F2840" s="8">
        <v>10.3148</v>
      </c>
    </row>
    <row r="2841" spans="1:6" ht="120" x14ac:dyDescent="0.25">
      <c r="A2841" s="8" t="s">
        <v>5</v>
      </c>
      <c r="B2841" s="8" t="s">
        <v>56</v>
      </c>
      <c r="C2841" s="8" t="str">
        <f>IFERROR(_xlfn.XLOOKUP(TRIM(B2841),Lookup!$B$2:$B$1000,Lookup!$C$2:$C$1000),"")</f>
        <v>Equity</v>
      </c>
      <c r="D2841" s="8" t="s">
        <v>57</v>
      </c>
      <c r="E2841" s="9">
        <v>46203</v>
      </c>
      <c r="F2841" s="8">
        <v>10.364000000000001</v>
      </c>
    </row>
    <row r="2842" spans="1:6" ht="120" x14ac:dyDescent="0.25">
      <c r="A2842" s="8" t="s">
        <v>5</v>
      </c>
      <c r="B2842" s="8" t="s">
        <v>56</v>
      </c>
      <c r="C2842" s="8" t="str">
        <f>IFERROR(_xlfn.XLOOKUP(TRIM(B2842),Lookup!$B$2:$B$1000,Lookup!$C$2:$C$1000),"")</f>
        <v>Equity</v>
      </c>
      <c r="D2842" s="8" t="s">
        <v>57</v>
      </c>
      <c r="E2842" s="9">
        <v>46204</v>
      </c>
      <c r="F2842" s="8">
        <v>10.362</v>
      </c>
    </row>
    <row r="2843" spans="1:6" ht="120" x14ac:dyDescent="0.25">
      <c r="A2843" s="8" t="s">
        <v>5</v>
      </c>
      <c r="B2843" s="8" t="s">
        <v>56</v>
      </c>
      <c r="C2843" s="8" t="str">
        <f>IFERROR(_xlfn.XLOOKUP(TRIM(B2843),Lookup!$B$2:$B$1000,Lookup!$C$2:$C$1000),"")</f>
        <v>Equity</v>
      </c>
      <c r="D2843" s="8" t="s">
        <v>57</v>
      </c>
      <c r="E2843" s="9">
        <v>46205</v>
      </c>
      <c r="F2843" s="8">
        <v>10.4901</v>
      </c>
    </row>
    <row r="2844" spans="1:6" ht="120" x14ac:dyDescent="0.25">
      <c r="A2844" s="8" t="s">
        <v>5</v>
      </c>
      <c r="B2844" s="8" t="s">
        <v>56</v>
      </c>
      <c r="C2844" s="8" t="str">
        <f>IFERROR(_xlfn.XLOOKUP(TRIM(B2844),Lookup!$B$2:$B$1000,Lookup!$C$2:$C$1000),"")</f>
        <v>Equity</v>
      </c>
      <c r="D2844" s="8" t="s">
        <v>57</v>
      </c>
      <c r="E2844" s="9">
        <v>46206</v>
      </c>
      <c r="F2844" s="8">
        <v>10.5152</v>
      </c>
    </row>
    <row r="2845" spans="1:6" ht="120" x14ac:dyDescent="0.25">
      <c r="A2845" s="8" t="s">
        <v>5</v>
      </c>
      <c r="B2845" s="8" t="s">
        <v>56</v>
      </c>
      <c r="C2845" s="8" t="str">
        <f>IFERROR(_xlfn.XLOOKUP(TRIM(B2845),Lookup!$B$2:$B$1000,Lookup!$C$2:$C$1000),"")</f>
        <v>Equity</v>
      </c>
      <c r="D2845" s="8" t="s">
        <v>57</v>
      </c>
      <c r="E2845" s="9">
        <v>46209</v>
      </c>
      <c r="F2845" s="8">
        <v>10.604900000000001</v>
      </c>
    </row>
    <row r="2846" spans="1:6" ht="120" x14ac:dyDescent="0.25">
      <c r="A2846" s="8" t="s">
        <v>5</v>
      </c>
      <c r="B2846" s="8" t="s">
        <v>56</v>
      </c>
      <c r="C2846" s="8" t="str">
        <f>IFERROR(_xlfn.XLOOKUP(TRIM(B2846),Lookup!$B$2:$B$1000,Lookup!$C$2:$C$1000),"")</f>
        <v>Equity</v>
      </c>
      <c r="D2846" s="8" t="s">
        <v>57</v>
      </c>
      <c r="E2846" s="9">
        <v>46210</v>
      </c>
      <c r="F2846" s="8">
        <v>10.528</v>
      </c>
    </row>
    <row r="2847" spans="1:6" ht="120" x14ac:dyDescent="0.25">
      <c r="A2847" s="8" t="s">
        <v>5</v>
      </c>
      <c r="B2847" s="8" t="s">
        <v>56</v>
      </c>
      <c r="C2847" s="8" t="str">
        <f>IFERROR(_xlfn.XLOOKUP(TRIM(B2847),Lookup!$B$2:$B$1000,Lookup!$C$2:$C$1000),"")</f>
        <v>Equity</v>
      </c>
      <c r="D2847" s="8" t="s">
        <v>57</v>
      </c>
      <c r="E2847" s="9">
        <v>46211</v>
      </c>
      <c r="F2847" s="8">
        <v>10.323700000000001</v>
      </c>
    </row>
    <row r="2848" spans="1:6" ht="120" x14ac:dyDescent="0.25">
      <c r="A2848" s="8" t="s">
        <v>5</v>
      </c>
      <c r="B2848" s="8" t="s">
        <v>56</v>
      </c>
      <c r="C2848" s="8" t="str">
        <f>IFERROR(_xlfn.XLOOKUP(TRIM(B2848),Lookup!$B$2:$B$1000,Lookup!$C$2:$C$1000),"")</f>
        <v>Equity</v>
      </c>
      <c r="D2848" s="8" t="s">
        <v>57</v>
      </c>
      <c r="E2848" s="9">
        <v>46212</v>
      </c>
      <c r="F2848" s="8">
        <v>10.483599999999999</v>
      </c>
    </row>
    <row r="2849" spans="1:6" ht="120" x14ac:dyDescent="0.25">
      <c r="A2849" s="8" t="s">
        <v>5</v>
      </c>
      <c r="B2849" s="8" t="s">
        <v>56</v>
      </c>
      <c r="C2849" s="8" t="str">
        <f>IFERROR(_xlfn.XLOOKUP(TRIM(B2849),Lookup!$B$2:$B$1000,Lookup!$C$2:$C$1000),"")</f>
        <v>Equity</v>
      </c>
      <c r="D2849" s="8" t="s">
        <v>57</v>
      </c>
      <c r="E2849" s="9">
        <v>46213</v>
      </c>
      <c r="F2849" s="8">
        <v>10.6111</v>
      </c>
    </row>
    <row r="2850" spans="1:6" ht="120" x14ac:dyDescent="0.25">
      <c r="A2850" s="8" t="s">
        <v>5</v>
      </c>
      <c r="B2850" s="8" t="s">
        <v>56</v>
      </c>
      <c r="C2850" s="8" t="str">
        <f>IFERROR(_xlfn.XLOOKUP(TRIM(B2850),Lookup!$B$2:$B$1000,Lookup!$C$2:$C$1000),"")</f>
        <v>Equity</v>
      </c>
      <c r="D2850" s="8" t="s">
        <v>57</v>
      </c>
      <c r="E2850" s="9">
        <v>46216</v>
      </c>
      <c r="F2850" s="8">
        <v>10.6333</v>
      </c>
    </row>
    <row r="2851" spans="1:6" ht="120" x14ac:dyDescent="0.25">
      <c r="A2851" s="8" t="s">
        <v>5</v>
      </c>
      <c r="B2851" s="8" t="s">
        <v>56</v>
      </c>
      <c r="C2851" s="8" t="str">
        <f>IFERROR(_xlfn.XLOOKUP(TRIM(B2851),Lookup!$B$2:$B$1000,Lookup!$C$2:$C$1000),"")</f>
        <v>Equity</v>
      </c>
      <c r="D2851" s="8" t="s">
        <v>57</v>
      </c>
      <c r="E2851" s="9">
        <v>46217</v>
      </c>
      <c r="F2851" s="8">
        <v>10.5288</v>
      </c>
    </row>
    <row r="2852" spans="1:6" ht="120" x14ac:dyDescent="0.25">
      <c r="A2852" s="8" t="s">
        <v>5</v>
      </c>
      <c r="B2852" s="8" t="s">
        <v>56</v>
      </c>
      <c r="C2852" s="8" t="str">
        <f>IFERROR(_xlfn.XLOOKUP(TRIM(B2852),Lookup!$B$2:$B$1000,Lookup!$C$2:$C$1000),"")</f>
        <v>Equity</v>
      </c>
      <c r="D2852" s="8" t="s">
        <v>57</v>
      </c>
      <c r="E2852" s="9">
        <v>46218</v>
      </c>
      <c r="F2852" s="8">
        <v>10.6126</v>
      </c>
    </row>
    <row r="2853" spans="1:6" ht="120" x14ac:dyDescent="0.25">
      <c r="A2853" s="8" t="s">
        <v>5</v>
      </c>
      <c r="B2853" s="8" t="s">
        <v>56</v>
      </c>
      <c r="C2853" s="8" t="str">
        <f>IFERROR(_xlfn.XLOOKUP(TRIM(B2853),Lookup!$B$2:$B$1000,Lookup!$C$2:$C$1000),"")</f>
        <v>Equity</v>
      </c>
      <c r="D2853" s="8" t="s">
        <v>57</v>
      </c>
      <c r="E2853" s="9">
        <v>46219</v>
      </c>
      <c r="F2853" s="8">
        <v>10.6119</v>
      </c>
    </row>
    <row r="2854" spans="1:6" ht="120" x14ac:dyDescent="0.25">
      <c r="A2854" s="8" t="s">
        <v>5</v>
      </c>
      <c r="B2854" s="8" t="s">
        <v>56</v>
      </c>
      <c r="C2854" s="8" t="str">
        <f>IFERROR(_xlfn.XLOOKUP(TRIM(B2854),Lookup!$B$2:$B$1000,Lookup!$C$2:$C$1000),"")</f>
        <v>Equity</v>
      </c>
      <c r="D2854" s="8" t="s">
        <v>57</v>
      </c>
      <c r="E2854" s="9">
        <v>46220</v>
      </c>
      <c r="F2854" s="8">
        <v>10.551399999999999</v>
      </c>
    </row>
    <row r="2855" spans="1:6" ht="120" x14ac:dyDescent="0.25">
      <c r="A2855" s="8" t="s">
        <v>5</v>
      </c>
      <c r="B2855" s="8" t="s">
        <v>56</v>
      </c>
      <c r="C2855" s="8" t="str">
        <f>IFERROR(_xlfn.XLOOKUP(TRIM(B2855),Lookup!$B$2:$B$1000,Lookup!$C$2:$C$1000),"")</f>
        <v>Equity</v>
      </c>
      <c r="D2855" s="8" t="s">
        <v>57</v>
      </c>
      <c r="E2855" s="9">
        <v>46223</v>
      </c>
      <c r="F2855" s="8">
        <v>10.5893</v>
      </c>
    </row>
    <row r="2856" spans="1:6" ht="120" x14ac:dyDescent="0.25">
      <c r="A2856" s="8" t="s">
        <v>5</v>
      </c>
      <c r="B2856" s="8" t="s">
        <v>56</v>
      </c>
      <c r="C2856" s="8" t="str">
        <f>IFERROR(_xlfn.XLOOKUP(TRIM(B2856),Lookup!$B$2:$B$1000,Lookup!$C$2:$C$1000),"")</f>
        <v>Equity</v>
      </c>
      <c r="D2856" s="8" t="s">
        <v>57</v>
      </c>
      <c r="E2856" s="9">
        <v>46224</v>
      </c>
      <c r="F2856" s="8">
        <v>10.683999999999999</v>
      </c>
    </row>
    <row r="2857" spans="1:6" ht="120" x14ac:dyDescent="0.25">
      <c r="A2857" s="8" t="s">
        <v>5</v>
      </c>
      <c r="B2857" s="8" t="s">
        <v>56</v>
      </c>
      <c r="C2857" s="8" t="str">
        <f>IFERROR(_xlfn.XLOOKUP(TRIM(B2857),Lookup!$B$2:$B$1000,Lookup!$C$2:$C$1000),"")</f>
        <v>Equity</v>
      </c>
      <c r="D2857" s="8" t="s">
        <v>57</v>
      </c>
      <c r="E2857" s="9">
        <v>46225</v>
      </c>
      <c r="F2857" s="8">
        <v>10.583399999999999</v>
      </c>
    </row>
    <row r="2858" spans="1:6" ht="120" x14ac:dyDescent="0.25">
      <c r="A2858" s="8" t="s">
        <v>5</v>
      </c>
      <c r="B2858" s="8" t="s">
        <v>56</v>
      </c>
      <c r="C2858" s="8" t="str">
        <f>IFERROR(_xlfn.XLOOKUP(TRIM(B2858),Lookup!$B$2:$B$1000,Lookup!$C$2:$C$1000),"")</f>
        <v>Equity</v>
      </c>
      <c r="D2858" s="8" t="s">
        <v>57</v>
      </c>
      <c r="E2858" s="9">
        <v>46226</v>
      </c>
      <c r="F2858" s="8">
        <v>10.4434</v>
      </c>
    </row>
    <row r="2859" spans="1:6" ht="120" x14ac:dyDescent="0.25">
      <c r="A2859" s="8" t="s">
        <v>5</v>
      </c>
      <c r="B2859" s="8" t="s">
        <v>56</v>
      </c>
      <c r="C2859" s="8" t="str">
        <f>IFERROR(_xlfn.XLOOKUP(TRIM(B2859),Lookup!$B$2:$B$1000,Lookup!$C$2:$C$1000),"")</f>
        <v>Equity</v>
      </c>
      <c r="D2859" s="8" t="s">
        <v>57</v>
      </c>
      <c r="E2859" s="9">
        <v>46227</v>
      </c>
      <c r="F2859" s="8">
        <v>10.395799999999999</v>
      </c>
    </row>
    <row r="2860" spans="1:6" ht="120" x14ac:dyDescent="0.25">
      <c r="A2860" s="8" t="s">
        <v>5</v>
      </c>
      <c r="B2860" s="8" t="s">
        <v>56</v>
      </c>
      <c r="C2860" s="8" t="str">
        <f>IFERROR(_xlfn.XLOOKUP(TRIM(B2860),Lookup!$B$2:$B$1000,Lookup!$C$2:$C$1000),"")</f>
        <v>Equity</v>
      </c>
      <c r="D2860" s="8" t="s">
        <v>57</v>
      </c>
      <c r="E2860" s="9">
        <v>46230</v>
      </c>
      <c r="F2860" s="8">
        <v>10.4771</v>
      </c>
    </row>
    <row r="2861" spans="1:6" ht="120" x14ac:dyDescent="0.25">
      <c r="A2861" s="8" t="s">
        <v>5</v>
      </c>
      <c r="B2861" s="8" t="s">
        <v>56</v>
      </c>
      <c r="C2861" s="8" t="str">
        <f>IFERROR(_xlfn.XLOOKUP(TRIM(B2861),Lookup!$B$2:$B$1000,Lookup!$C$2:$C$1000),"")</f>
        <v>Equity</v>
      </c>
      <c r="D2861" s="8" t="s">
        <v>57</v>
      </c>
      <c r="E2861" s="9">
        <v>46231</v>
      </c>
      <c r="F2861" s="8">
        <v>10.42</v>
      </c>
    </row>
    <row r="2862" spans="1:6" ht="120" x14ac:dyDescent="0.25">
      <c r="A2862" s="8" t="s">
        <v>5</v>
      </c>
      <c r="B2862" s="8" t="s">
        <v>56</v>
      </c>
      <c r="C2862" s="8" t="str">
        <f>IFERROR(_xlfn.XLOOKUP(TRIM(B2862),Lookup!$B$2:$B$1000,Lookup!$C$2:$C$1000),"")</f>
        <v>Equity</v>
      </c>
      <c r="D2862" s="8" t="s">
        <v>57</v>
      </c>
      <c r="E2862" s="9">
        <v>46232</v>
      </c>
      <c r="F2862" s="8">
        <v>10.5366</v>
      </c>
    </row>
    <row r="2863" spans="1:6" ht="120" x14ac:dyDescent="0.25">
      <c r="A2863" s="8" t="s">
        <v>5</v>
      </c>
      <c r="B2863" s="8" t="s">
        <v>56</v>
      </c>
      <c r="C2863" s="8" t="str">
        <f>IFERROR(_xlfn.XLOOKUP(TRIM(B2863),Lookup!$B$2:$B$1000,Lookup!$C$2:$C$1000),"")</f>
        <v>Equity</v>
      </c>
      <c r="D2863" s="8" t="s">
        <v>57</v>
      </c>
      <c r="E2863" s="9">
        <v>46233</v>
      </c>
      <c r="F2863" s="8">
        <v>10.446899999999999</v>
      </c>
    </row>
    <row r="2864" spans="1:6" ht="120" x14ac:dyDescent="0.25">
      <c r="A2864" s="8" t="s">
        <v>5</v>
      </c>
      <c r="B2864" s="8" t="s">
        <v>56</v>
      </c>
      <c r="C2864" s="8" t="str">
        <f>IFERROR(_xlfn.XLOOKUP(TRIM(B2864),Lookup!$B$2:$B$1000,Lookup!$C$2:$C$1000),"")</f>
        <v>Equity</v>
      </c>
      <c r="D2864" s="8" t="s">
        <v>57</v>
      </c>
      <c r="E2864" s="9">
        <v>46234</v>
      </c>
      <c r="F2864" s="8">
        <v>10.485900000000001</v>
      </c>
    </row>
    <row r="2865" spans="1:6" ht="60" x14ac:dyDescent="0.25">
      <c r="A2865" s="8" t="s">
        <v>5</v>
      </c>
      <c r="B2865" s="8" t="s">
        <v>58</v>
      </c>
      <c r="C2865" s="8" t="str">
        <f>IFERROR(_xlfn.XLOOKUP(TRIM(B2865),Lookup!$B$2:$B$1000,Lookup!$C$2:$C$1000),"")</f>
        <v>Equity</v>
      </c>
      <c r="D2865" s="8" t="s">
        <v>59</v>
      </c>
      <c r="E2865" s="9">
        <v>45869</v>
      </c>
      <c r="F2865" s="8">
        <v>13.972899999999999</v>
      </c>
    </row>
    <row r="2866" spans="1:6" ht="60" x14ac:dyDescent="0.25">
      <c r="A2866" s="8" t="s">
        <v>5</v>
      </c>
      <c r="B2866" s="8" t="s">
        <v>58</v>
      </c>
      <c r="C2866" s="8" t="str">
        <f>IFERROR(_xlfn.XLOOKUP(TRIM(B2866),Lookup!$B$2:$B$1000,Lookup!$C$2:$C$1000),"")</f>
        <v>Equity</v>
      </c>
      <c r="D2866" s="8" t="s">
        <v>59</v>
      </c>
      <c r="E2866" s="9">
        <v>45876</v>
      </c>
      <c r="F2866" s="8">
        <v>13.8757</v>
      </c>
    </row>
    <row r="2867" spans="1:6" ht="60" x14ac:dyDescent="0.25">
      <c r="A2867" s="8" t="s">
        <v>5</v>
      </c>
      <c r="B2867" s="8" t="s">
        <v>58</v>
      </c>
      <c r="C2867" s="8" t="str">
        <f>IFERROR(_xlfn.XLOOKUP(TRIM(B2867),Lookup!$B$2:$B$1000,Lookup!$C$2:$C$1000),"")</f>
        <v>Equity</v>
      </c>
      <c r="D2867" s="8" t="s">
        <v>59</v>
      </c>
      <c r="E2867" s="9">
        <v>45883</v>
      </c>
      <c r="F2867" s="8">
        <v>13.935700000000001</v>
      </c>
    </row>
    <row r="2868" spans="1:6" ht="60" x14ac:dyDescent="0.25">
      <c r="A2868" s="8" t="s">
        <v>5</v>
      </c>
      <c r="B2868" s="8" t="s">
        <v>58</v>
      </c>
      <c r="C2868" s="8" t="str">
        <f>IFERROR(_xlfn.XLOOKUP(TRIM(B2868),Lookup!$B$2:$B$1000,Lookup!$C$2:$C$1000),"")</f>
        <v>Equity</v>
      </c>
      <c r="D2868" s="8" t="s">
        <v>59</v>
      </c>
      <c r="E2868" s="9">
        <v>45891</v>
      </c>
      <c r="F2868" s="8">
        <v>14.1623</v>
      </c>
    </row>
    <row r="2869" spans="1:6" ht="60" x14ac:dyDescent="0.25">
      <c r="A2869" s="8" t="s">
        <v>5</v>
      </c>
      <c r="B2869" s="8" t="s">
        <v>58</v>
      </c>
      <c r="C2869" s="8" t="str">
        <f>IFERROR(_xlfn.XLOOKUP(TRIM(B2869),Lookup!$B$2:$B$1000,Lookup!$C$2:$C$1000),"")</f>
        <v>Equity</v>
      </c>
      <c r="D2869" s="8" t="s">
        <v>59</v>
      </c>
      <c r="E2869" s="9">
        <v>45901</v>
      </c>
      <c r="F2869" s="8">
        <v>14.08</v>
      </c>
    </row>
    <row r="2870" spans="1:6" ht="60" x14ac:dyDescent="0.25">
      <c r="A2870" s="8" t="s">
        <v>5</v>
      </c>
      <c r="B2870" s="8" t="s">
        <v>58</v>
      </c>
      <c r="C2870" s="8" t="str">
        <f>IFERROR(_xlfn.XLOOKUP(TRIM(B2870),Lookup!$B$2:$B$1000,Lookup!$C$2:$C$1000),"")</f>
        <v>Equity</v>
      </c>
      <c r="D2870" s="8" t="s">
        <v>59</v>
      </c>
      <c r="E2870" s="9">
        <v>45908</v>
      </c>
      <c r="F2870" s="8">
        <v>14.1707</v>
      </c>
    </row>
    <row r="2871" spans="1:6" ht="60" x14ac:dyDescent="0.25">
      <c r="A2871" s="8" t="s">
        <v>5</v>
      </c>
      <c r="B2871" s="8" t="s">
        <v>58</v>
      </c>
      <c r="C2871" s="8" t="str">
        <f>IFERROR(_xlfn.XLOOKUP(TRIM(B2871),Lookup!$B$2:$B$1000,Lookup!$C$2:$C$1000),"")</f>
        <v>Equity</v>
      </c>
      <c r="D2871" s="8" t="s">
        <v>59</v>
      </c>
      <c r="E2871" s="9">
        <v>45915</v>
      </c>
      <c r="F2871" s="8">
        <v>14.327199999999999</v>
      </c>
    </row>
    <row r="2872" spans="1:6" ht="60" x14ac:dyDescent="0.25">
      <c r="A2872" s="8" t="s">
        <v>5</v>
      </c>
      <c r="B2872" s="8" t="s">
        <v>58</v>
      </c>
      <c r="C2872" s="8" t="str">
        <f>IFERROR(_xlfn.XLOOKUP(TRIM(B2872),Lookup!$B$2:$B$1000,Lookup!$C$2:$C$1000),"")</f>
        <v>Equity</v>
      </c>
      <c r="D2872" s="8" t="s">
        <v>59</v>
      </c>
      <c r="E2872" s="9">
        <v>45922</v>
      </c>
      <c r="F2872" s="8">
        <v>14.448700000000001</v>
      </c>
    </row>
    <row r="2873" spans="1:6" ht="60" x14ac:dyDescent="0.25">
      <c r="A2873" s="8" t="s">
        <v>5</v>
      </c>
      <c r="B2873" s="8" t="s">
        <v>58</v>
      </c>
      <c r="C2873" s="8" t="str">
        <f>IFERROR(_xlfn.XLOOKUP(TRIM(B2873),Lookup!$B$2:$B$1000,Lookup!$C$2:$C$1000),"")</f>
        <v>Equity</v>
      </c>
      <c r="D2873" s="8" t="s">
        <v>59</v>
      </c>
      <c r="E2873" s="9">
        <v>45929</v>
      </c>
      <c r="F2873" s="8">
        <v>14.027200000000001</v>
      </c>
    </row>
    <row r="2874" spans="1:6" ht="60" x14ac:dyDescent="0.25">
      <c r="A2874" s="8" t="s">
        <v>5</v>
      </c>
      <c r="B2874" s="8" t="s">
        <v>58</v>
      </c>
      <c r="C2874" s="8" t="str">
        <f>IFERROR(_xlfn.XLOOKUP(TRIM(B2874),Lookup!$B$2:$B$1000,Lookup!$C$2:$C$1000),"")</f>
        <v>Equity</v>
      </c>
      <c r="D2874" s="8" t="s">
        <v>59</v>
      </c>
      <c r="E2874" s="9">
        <v>45937</v>
      </c>
      <c r="F2874" s="8">
        <v>14.303000000000001</v>
      </c>
    </row>
    <row r="2875" spans="1:6" ht="60" x14ac:dyDescent="0.25">
      <c r="A2875" s="8" t="s">
        <v>5</v>
      </c>
      <c r="B2875" s="8" t="s">
        <v>58</v>
      </c>
      <c r="C2875" s="8" t="str">
        <f>IFERROR(_xlfn.XLOOKUP(TRIM(B2875),Lookup!$B$2:$B$1000,Lookup!$C$2:$C$1000),"")</f>
        <v>Equity</v>
      </c>
      <c r="D2875" s="8" t="s">
        <v>59</v>
      </c>
      <c r="E2875" s="9">
        <v>45944</v>
      </c>
      <c r="F2875" s="8">
        <v>14.335000000000001</v>
      </c>
    </row>
    <row r="2876" spans="1:6" ht="60" x14ac:dyDescent="0.25">
      <c r="A2876" s="8" t="s">
        <v>5</v>
      </c>
      <c r="B2876" s="8" t="s">
        <v>58</v>
      </c>
      <c r="C2876" s="8" t="str">
        <f>IFERROR(_xlfn.XLOOKUP(TRIM(B2876),Lookup!$B$2:$B$1000,Lookup!$C$2:$C$1000),"")</f>
        <v>Equity</v>
      </c>
      <c r="D2876" s="8" t="s">
        <v>59</v>
      </c>
      <c r="E2876" s="9">
        <v>45953</v>
      </c>
      <c r="F2876" s="8">
        <v>14.6997</v>
      </c>
    </row>
    <row r="2877" spans="1:6" ht="60" x14ac:dyDescent="0.25">
      <c r="A2877" s="8" t="s">
        <v>5</v>
      </c>
      <c r="B2877" s="8" t="s">
        <v>58</v>
      </c>
      <c r="C2877" s="8" t="str">
        <f>IFERROR(_xlfn.XLOOKUP(TRIM(B2877),Lookup!$B$2:$B$1000,Lookup!$C$2:$C$1000),"")</f>
        <v>Equity</v>
      </c>
      <c r="D2877" s="8" t="s">
        <v>59</v>
      </c>
      <c r="E2877" s="9">
        <v>45960</v>
      </c>
      <c r="F2877" s="8">
        <v>14.7034</v>
      </c>
    </row>
    <row r="2878" spans="1:6" ht="60" x14ac:dyDescent="0.25">
      <c r="A2878" s="8" t="s">
        <v>5</v>
      </c>
      <c r="B2878" s="8" t="s">
        <v>58</v>
      </c>
      <c r="C2878" s="8" t="str">
        <f>IFERROR(_xlfn.XLOOKUP(TRIM(B2878),Lookup!$B$2:$B$1000,Lookup!$C$2:$C$1000),"")</f>
        <v>Equity</v>
      </c>
      <c r="D2878" s="8" t="s">
        <v>59</v>
      </c>
      <c r="E2878" s="9">
        <v>45968</v>
      </c>
      <c r="F2878" s="8">
        <v>14.533899999999999</v>
      </c>
    </row>
    <row r="2879" spans="1:6" ht="60" x14ac:dyDescent="0.25">
      <c r="A2879" s="8" t="s">
        <v>5</v>
      </c>
      <c r="B2879" s="8" t="s">
        <v>58</v>
      </c>
      <c r="C2879" s="8" t="str">
        <f>IFERROR(_xlfn.XLOOKUP(TRIM(B2879),Lookup!$B$2:$B$1000,Lookup!$C$2:$C$1000),"")</f>
        <v>Equity</v>
      </c>
      <c r="D2879" s="8" t="s">
        <v>59</v>
      </c>
      <c r="E2879" s="9">
        <v>45975</v>
      </c>
      <c r="F2879" s="8">
        <v>14.7546</v>
      </c>
    </row>
    <row r="2880" spans="1:6" ht="60" x14ac:dyDescent="0.25">
      <c r="A2880" s="8" t="s">
        <v>5</v>
      </c>
      <c r="B2880" s="8" t="s">
        <v>58</v>
      </c>
      <c r="C2880" s="8" t="str">
        <f>IFERROR(_xlfn.XLOOKUP(TRIM(B2880),Lookup!$B$2:$B$1000,Lookup!$C$2:$C$1000),"")</f>
        <v>Equity</v>
      </c>
      <c r="D2880" s="8" t="s">
        <v>59</v>
      </c>
      <c r="E2880" s="9">
        <v>45982</v>
      </c>
      <c r="F2880" s="8">
        <v>14.8184</v>
      </c>
    </row>
    <row r="2881" spans="1:6" ht="60" x14ac:dyDescent="0.25">
      <c r="A2881" s="8" t="s">
        <v>5</v>
      </c>
      <c r="B2881" s="8" t="s">
        <v>58</v>
      </c>
      <c r="C2881" s="8" t="str">
        <f>IFERROR(_xlfn.XLOOKUP(TRIM(B2881),Lookup!$B$2:$B$1000,Lookup!$C$2:$C$1000),"")</f>
        <v>Equity</v>
      </c>
      <c r="D2881" s="8" t="s">
        <v>59</v>
      </c>
      <c r="E2881" s="9">
        <v>45989</v>
      </c>
      <c r="F2881" s="8">
        <v>14.9095</v>
      </c>
    </row>
    <row r="2882" spans="1:6" ht="60" x14ac:dyDescent="0.25">
      <c r="A2882" s="8" t="s">
        <v>5</v>
      </c>
      <c r="B2882" s="8" t="s">
        <v>58</v>
      </c>
      <c r="C2882" s="8" t="str">
        <f>IFERROR(_xlfn.XLOOKUP(TRIM(B2882),Lookup!$B$2:$B$1000,Lookup!$C$2:$C$1000),"")</f>
        <v>Equity</v>
      </c>
      <c r="D2882" s="8" t="s">
        <v>59</v>
      </c>
      <c r="E2882" s="9">
        <v>45996</v>
      </c>
      <c r="F2882" s="8">
        <v>14.9597</v>
      </c>
    </row>
    <row r="2883" spans="1:6" ht="60" x14ac:dyDescent="0.25">
      <c r="A2883" s="8" t="s">
        <v>5</v>
      </c>
      <c r="B2883" s="8" t="s">
        <v>58</v>
      </c>
      <c r="C2883" s="8" t="str">
        <f>IFERROR(_xlfn.XLOOKUP(TRIM(B2883),Lookup!$B$2:$B$1000,Lookup!$C$2:$C$1000),"")</f>
        <v>Equity</v>
      </c>
      <c r="D2883" s="8" t="s">
        <v>59</v>
      </c>
      <c r="E2883" s="9">
        <v>46003</v>
      </c>
      <c r="F2883" s="8">
        <v>14.879799999999999</v>
      </c>
    </row>
    <row r="2884" spans="1:6" ht="60" x14ac:dyDescent="0.25">
      <c r="A2884" s="8" t="s">
        <v>5</v>
      </c>
      <c r="B2884" s="8" t="s">
        <v>58</v>
      </c>
      <c r="C2884" s="8" t="str">
        <f>IFERROR(_xlfn.XLOOKUP(TRIM(B2884),Lookup!$B$2:$B$1000,Lookup!$C$2:$C$1000),"")</f>
        <v>Equity</v>
      </c>
      <c r="D2884" s="8" t="s">
        <v>59</v>
      </c>
      <c r="E2884" s="9">
        <v>46010</v>
      </c>
      <c r="F2884" s="8">
        <v>14.827999999999999</v>
      </c>
    </row>
    <row r="2885" spans="1:6" ht="60" x14ac:dyDescent="0.25">
      <c r="A2885" s="8" t="s">
        <v>5</v>
      </c>
      <c r="B2885" s="8" t="s">
        <v>58</v>
      </c>
      <c r="C2885" s="8" t="str">
        <f>IFERROR(_xlfn.XLOOKUP(TRIM(B2885),Lookup!$B$2:$B$1000,Lookup!$C$2:$C$1000),"")</f>
        <v>Equity</v>
      </c>
      <c r="D2885" s="8" t="s">
        <v>59</v>
      </c>
      <c r="E2885" s="9">
        <v>46020</v>
      </c>
      <c r="F2885" s="8">
        <v>14.7934</v>
      </c>
    </row>
    <row r="2886" spans="1:6" ht="60" x14ac:dyDescent="0.25">
      <c r="A2886" s="8" t="s">
        <v>5</v>
      </c>
      <c r="B2886" s="8" t="s">
        <v>58</v>
      </c>
      <c r="C2886" s="8" t="str">
        <f>IFERROR(_xlfn.XLOOKUP(TRIM(B2886),Lookup!$B$2:$B$1000,Lookup!$C$2:$C$1000),"")</f>
        <v>Equity</v>
      </c>
      <c r="D2886" s="8" t="s">
        <v>59</v>
      </c>
      <c r="E2886" s="9">
        <v>46027</v>
      </c>
      <c r="F2886" s="8">
        <v>15.030799999999999</v>
      </c>
    </row>
    <row r="2887" spans="1:6" ht="60" x14ac:dyDescent="0.25">
      <c r="A2887" s="8" t="s">
        <v>5</v>
      </c>
      <c r="B2887" s="8" t="s">
        <v>58</v>
      </c>
      <c r="C2887" s="8" t="str">
        <f>IFERROR(_xlfn.XLOOKUP(TRIM(B2887),Lookup!$B$2:$B$1000,Lookup!$C$2:$C$1000),"")</f>
        <v>Equity</v>
      </c>
      <c r="D2887" s="8" t="s">
        <v>59</v>
      </c>
      <c r="E2887" s="9">
        <v>46034</v>
      </c>
      <c r="F2887" s="8">
        <v>14.812900000000001</v>
      </c>
    </row>
    <row r="2888" spans="1:6" ht="60" x14ac:dyDescent="0.25">
      <c r="A2888" s="8" t="s">
        <v>5</v>
      </c>
      <c r="B2888" s="8" t="s">
        <v>58</v>
      </c>
      <c r="C2888" s="8" t="str">
        <f>IFERROR(_xlfn.XLOOKUP(TRIM(B2888),Lookup!$B$2:$B$1000,Lookup!$C$2:$C$1000),"")</f>
        <v>Equity</v>
      </c>
      <c r="D2888" s="8" t="s">
        <v>59</v>
      </c>
      <c r="E2888" s="9">
        <v>46042</v>
      </c>
      <c r="F2888" s="8">
        <v>14.572100000000001</v>
      </c>
    </row>
    <row r="2889" spans="1:6" ht="60" x14ac:dyDescent="0.25">
      <c r="A2889" s="8" t="s">
        <v>5</v>
      </c>
      <c r="B2889" s="8" t="s">
        <v>58</v>
      </c>
      <c r="C2889" s="8" t="str">
        <f>IFERROR(_xlfn.XLOOKUP(TRIM(B2889),Lookup!$B$2:$B$1000,Lookup!$C$2:$C$1000),"")</f>
        <v>Equity</v>
      </c>
      <c r="D2889" s="8" t="s">
        <v>59</v>
      </c>
      <c r="E2889" s="9">
        <v>46050</v>
      </c>
      <c r="F2889" s="8">
        <v>14.6099</v>
      </c>
    </row>
    <row r="2890" spans="1:6" ht="60" x14ac:dyDescent="0.25">
      <c r="A2890" s="8" t="s">
        <v>5</v>
      </c>
      <c r="B2890" s="8" t="s">
        <v>58</v>
      </c>
      <c r="C2890" s="8" t="str">
        <f>IFERROR(_xlfn.XLOOKUP(TRIM(B2890),Lookup!$B$2:$B$1000,Lookup!$C$2:$C$1000),"")</f>
        <v>Equity</v>
      </c>
      <c r="D2890" s="8" t="s">
        <v>59</v>
      </c>
      <c r="E2890" s="9">
        <v>46056</v>
      </c>
      <c r="F2890" s="8">
        <v>14.8278</v>
      </c>
    </row>
    <row r="2891" spans="1:6" ht="60" x14ac:dyDescent="0.25">
      <c r="A2891" s="8" t="s">
        <v>5</v>
      </c>
      <c r="B2891" s="8" t="s">
        <v>58</v>
      </c>
      <c r="C2891" s="8" t="str">
        <f>IFERROR(_xlfn.XLOOKUP(TRIM(B2891),Lookup!$B$2:$B$1000,Lookup!$C$2:$C$1000),"")</f>
        <v>Equity</v>
      </c>
      <c r="D2891" s="8" t="s">
        <v>59</v>
      </c>
      <c r="E2891" s="9">
        <v>46063</v>
      </c>
      <c r="F2891" s="8">
        <v>14.9344</v>
      </c>
    </row>
    <row r="2892" spans="1:6" ht="60" x14ac:dyDescent="0.25">
      <c r="A2892" s="8" t="s">
        <v>5</v>
      </c>
      <c r="B2892" s="8" t="s">
        <v>58</v>
      </c>
      <c r="C2892" s="8" t="str">
        <f>IFERROR(_xlfn.XLOOKUP(TRIM(B2892),Lookup!$B$2:$B$1000,Lookup!$C$2:$C$1000),"")</f>
        <v>Equity</v>
      </c>
      <c r="D2892" s="8" t="s">
        <v>59</v>
      </c>
      <c r="E2892" s="9">
        <v>46070</v>
      </c>
      <c r="F2892" s="8">
        <v>14.815899999999999</v>
      </c>
    </row>
    <row r="2893" spans="1:6" ht="60" x14ac:dyDescent="0.25">
      <c r="A2893" s="8" t="s">
        <v>5</v>
      </c>
      <c r="B2893" s="8" t="s">
        <v>58</v>
      </c>
      <c r="C2893" s="8" t="str">
        <f>IFERROR(_xlfn.XLOOKUP(TRIM(B2893),Lookup!$B$2:$B$1000,Lookup!$C$2:$C$1000),"")</f>
        <v>Equity</v>
      </c>
      <c r="D2893" s="8" t="s">
        <v>59</v>
      </c>
      <c r="E2893" s="9">
        <v>46077</v>
      </c>
      <c r="F2893" s="8">
        <v>14.5883</v>
      </c>
    </row>
    <row r="2894" spans="1:6" ht="60" x14ac:dyDescent="0.25">
      <c r="A2894" s="8" t="s">
        <v>5</v>
      </c>
      <c r="B2894" s="8" t="s">
        <v>58</v>
      </c>
      <c r="C2894" s="8" t="str">
        <f>IFERROR(_xlfn.XLOOKUP(TRIM(B2894),Lookup!$B$2:$B$1000,Lookup!$C$2:$C$1000),"")</f>
        <v>Equity</v>
      </c>
      <c r="D2894" s="8" t="s">
        <v>59</v>
      </c>
      <c r="E2894" s="9">
        <v>46085</v>
      </c>
      <c r="F2894" s="8">
        <v>14.043100000000001</v>
      </c>
    </row>
    <row r="2895" spans="1:6" ht="60" x14ac:dyDescent="0.25">
      <c r="A2895" s="8" t="s">
        <v>5</v>
      </c>
      <c r="B2895" s="8" t="s">
        <v>58</v>
      </c>
      <c r="C2895" s="8" t="str">
        <f>IFERROR(_xlfn.XLOOKUP(TRIM(B2895),Lookup!$B$2:$B$1000,Lookup!$C$2:$C$1000),"")</f>
        <v>Equity</v>
      </c>
      <c r="D2895" s="8" t="s">
        <v>59</v>
      </c>
      <c r="E2895" s="9">
        <v>46092</v>
      </c>
      <c r="F2895" s="8">
        <v>13.647399999999999</v>
      </c>
    </row>
    <row r="2896" spans="1:6" ht="60" x14ac:dyDescent="0.25">
      <c r="A2896" s="8" t="s">
        <v>5</v>
      </c>
      <c r="B2896" s="8" t="s">
        <v>58</v>
      </c>
      <c r="C2896" s="8" t="str">
        <f>IFERROR(_xlfn.XLOOKUP(TRIM(B2896),Lookup!$B$2:$B$1000,Lookup!$C$2:$C$1000),"")</f>
        <v>Equity</v>
      </c>
      <c r="D2896" s="8" t="s">
        <v>59</v>
      </c>
      <c r="E2896" s="9">
        <v>46099</v>
      </c>
      <c r="F2896" s="8">
        <v>13.5909</v>
      </c>
    </row>
    <row r="2897" spans="1:6" ht="60" x14ac:dyDescent="0.25">
      <c r="A2897" s="8" t="s">
        <v>5</v>
      </c>
      <c r="B2897" s="8" t="s">
        <v>58</v>
      </c>
      <c r="C2897" s="8" t="str">
        <f>IFERROR(_xlfn.XLOOKUP(TRIM(B2897),Lookup!$B$2:$B$1000,Lookup!$C$2:$C$1000),"")</f>
        <v>Equity</v>
      </c>
      <c r="D2897" s="8" t="s">
        <v>59</v>
      </c>
      <c r="E2897" s="9">
        <v>46106</v>
      </c>
      <c r="F2897" s="8">
        <v>13.331099999999999</v>
      </c>
    </row>
    <row r="2898" spans="1:6" ht="60" x14ac:dyDescent="0.25">
      <c r="A2898" s="8" t="s">
        <v>5</v>
      </c>
      <c r="B2898" s="8" t="s">
        <v>58</v>
      </c>
      <c r="C2898" s="8" t="str">
        <f>IFERROR(_xlfn.XLOOKUP(TRIM(B2898),Lookup!$B$2:$B$1000,Lookup!$C$2:$C$1000),"")</f>
        <v>Equity</v>
      </c>
      <c r="D2898" s="8" t="s">
        <v>59</v>
      </c>
      <c r="E2898" s="9">
        <v>46114</v>
      </c>
      <c r="F2898" s="8">
        <v>13.0298</v>
      </c>
    </row>
    <row r="2899" spans="1:6" ht="60" x14ac:dyDescent="0.25">
      <c r="A2899" s="8" t="s">
        <v>5</v>
      </c>
      <c r="B2899" s="8" t="s">
        <v>58</v>
      </c>
      <c r="C2899" s="8" t="str">
        <f>IFERROR(_xlfn.XLOOKUP(TRIM(B2899),Lookup!$B$2:$B$1000,Lookup!$C$2:$C$1000),"")</f>
        <v>Equity</v>
      </c>
      <c r="D2899" s="8" t="s">
        <v>59</v>
      </c>
      <c r="E2899" s="9">
        <v>46122</v>
      </c>
      <c r="F2899" s="8">
        <v>13.902100000000001</v>
      </c>
    </row>
    <row r="2900" spans="1:6" ht="60" x14ac:dyDescent="0.25">
      <c r="A2900" s="8" t="s">
        <v>5</v>
      </c>
      <c r="B2900" s="8" t="s">
        <v>58</v>
      </c>
      <c r="C2900" s="8" t="str">
        <f>IFERROR(_xlfn.XLOOKUP(TRIM(B2900),Lookup!$B$2:$B$1000,Lookup!$C$2:$C$1000),"")</f>
        <v>Equity</v>
      </c>
      <c r="D2900" s="8" t="s">
        <v>59</v>
      </c>
      <c r="E2900" s="9">
        <v>46132</v>
      </c>
      <c r="F2900" s="8">
        <v>14.164400000000001</v>
      </c>
    </row>
    <row r="2901" spans="1:6" ht="60" x14ac:dyDescent="0.25">
      <c r="A2901" s="8" t="s">
        <v>5</v>
      </c>
      <c r="B2901" s="8" t="s">
        <v>58</v>
      </c>
      <c r="C2901" s="8" t="str">
        <f>IFERROR(_xlfn.XLOOKUP(TRIM(B2901),Lookup!$B$2:$B$1000,Lookup!$C$2:$C$1000),"")</f>
        <v>Equity</v>
      </c>
      <c r="D2901" s="8" t="s">
        <v>59</v>
      </c>
      <c r="E2901" s="9">
        <v>46139</v>
      </c>
      <c r="F2901" s="8">
        <v>13.924300000000001</v>
      </c>
    </row>
    <row r="2902" spans="1:6" ht="60" x14ac:dyDescent="0.25">
      <c r="A2902" s="8" t="s">
        <v>5</v>
      </c>
      <c r="B2902" s="8" t="s">
        <v>58</v>
      </c>
      <c r="C2902" s="8" t="str">
        <f>IFERROR(_xlfn.XLOOKUP(TRIM(B2902),Lookup!$B$2:$B$1000,Lookup!$C$2:$C$1000),"")</f>
        <v>Equity</v>
      </c>
      <c r="D2902" s="8" t="s">
        <v>59</v>
      </c>
      <c r="E2902" s="9">
        <v>46147</v>
      </c>
      <c r="F2902" s="8">
        <v>13.835800000000001</v>
      </c>
    </row>
    <row r="2903" spans="1:6" ht="60" x14ac:dyDescent="0.25">
      <c r="A2903" s="8" t="s">
        <v>5</v>
      </c>
      <c r="B2903" s="8" t="s">
        <v>58</v>
      </c>
      <c r="C2903" s="8" t="str">
        <f>IFERROR(_xlfn.XLOOKUP(TRIM(B2903),Lookup!$B$2:$B$1000,Lookup!$C$2:$C$1000),"")</f>
        <v>Equity</v>
      </c>
      <c r="D2903" s="8" t="s">
        <v>59</v>
      </c>
      <c r="E2903" s="9">
        <v>46154</v>
      </c>
      <c r="F2903" s="8">
        <v>13.5108</v>
      </c>
    </row>
    <row r="2904" spans="1:6" ht="60" x14ac:dyDescent="0.25">
      <c r="A2904" s="8" t="s">
        <v>5</v>
      </c>
      <c r="B2904" s="8" t="s">
        <v>58</v>
      </c>
      <c r="C2904" s="8" t="str">
        <f>IFERROR(_xlfn.XLOOKUP(TRIM(B2904),Lookup!$B$2:$B$1000,Lookup!$C$2:$C$1000),"")</f>
        <v>Equity</v>
      </c>
      <c r="D2904" s="8" t="s">
        <v>59</v>
      </c>
      <c r="E2904" s="9">
        <v>46161</v>
      </c>
      <c r="F2904" s="8">
        <v>13.6799</v>
      </c>
    </row>
    <row r="2905" spans="1:6" ht="60" x14ac:dyDescent="0.25">
      <c r="A2905" s="8" t="s">
        <v>5</v>
      </c>
      <c r="B2905" s="8" t="s">
        <v>58</v>
      </c>
      <c r="C2905" s="8" t="str">
        <f>IFERROR(_xlfn.XLOOKUP(TRIM(B2905),Lookup!$B$2:$B$1000,Lookup!$C$2:$C$1000),"")</f>
        <v>Equity</v>
      </c>
      <c r="D2905" s="8" t="s">
        <v>59</v>
      </c>
      <c r="E2905" s="9">
        <v>46168</v>
      </c>
      <c r="F2905" s="8">
        <v>13.8361</v>
      </c>
    </row>
    <row r="2906" spans="1:6" ht="60" x14ac:dyDescent="0.25">
      <c r="A2906" s="8" t="s">
        <v>5</v>
      </c>
      <c r="B2906" s="8" t="s">
        <v>58</v>
      </c>
      <c r="C2906" s="8" t="str">
        <f>IFERROR(_xlfn.XLOOKUP(TRIM(B2906),Lookup!$B$2:$B$1000,Lookup!$C$2:$C$1000),"")</f>
        <v>Equity</v>
      </c>
      <c r="D2906" s="8" t="s">
        <v>59</v>
      </c>
      <c r="E2906" s="9">
        <v>46176</v>
      </c>
      <c r="F2906" s="8">
        <v>13.6609</v>
      </c>
    </row>
    <row r="2907" spans="1:6" ht="60" x14ac:dyDescent="0.25">
      <c r="A2907" s="8" t="s">
        <v>5</v>
      </c>
      <c r="B2907" s="8" t="s">
        <v>58</v>
      </c>
      <c r="C2907" s="8" t="str">
        <f>IFERROR(_xlfn.XLOOKUP(TRIM(B2907),Lookup!$B$2:$B$1000,Lookup!$C$2:$C$1000),"")</f>
        <v>Equity</v>
      </c>
      <c r="D2907" s="8" t="s">
        <v>59</v>
      </c>
      <c r="E2907" s="9">
        <v>46183</v>
      </c>
      <c r="F2907" s="8">
        <v>13.5809</v>
      </c>
    </row>
    <row r="2908" spans="1:6" ht="60" x14ac:dyDescent="0.25">
      <c r="A2908" s="8" t="s">
        <v>5</v>
      </c>
      <c r="B2908" s="8" t="s">
        <v>58</v>
      </c>
      <c r="C2908" s="8" t="str">
        <f>IFERROR(_xlfn.XLOOKUP(TRIM(B2908),Lookup!$B$2:$B$1000,Lookup!$C$2:$C$1000),"")</f>
        <v>Equity</v>
      </c>
      <c r="D2908" s="8" t="s">
        <v>59</v>
      </c>
      <c r="E2908" s="9">
        <v>46190</v>
      </c>
      <c r="F2908" s="8">
        <v>14.0688</v>
      </c>
    </row>
    <row r="2909" spans="1:6" ht="60" x14ac:dyDescent="0.25">
      <c r="A2909" s="8" t="s">
        <v>5</v>
      </c>
      <c r="B2909" s="8" t="s">
        <v>58</v>
      </c>
      <c r="C2909" s="8" t="str">
        <f>IFERROR(_xlfn.XLOOKUP(TRIM(B2909),Lookup!$B$2:$B$1000,Lookup!$C$2:$C$1000),"")</f>
        <v>Equity</v>
      </c>
      <c r="D2909" s="8" t="s">
        <v>59</v>
      </c>
      <c r="E2909" s="9">
        <v>46197</v>
      </c>
      <c r="F2909" s="8">
        <v>14.042899999999999</v>
      </c>
    </row>
    <row r="2910" spans="1:6" ht="60" x14ac:dyDescent="0.25">
      <c r="A2910" s="8" t="s">
        <v>5</v>
      </c>
      <c r="B2910" s="8" t="s">
        <v>58</v>
      </c>
      <c r="C2910" s="8" t="str">
        <f>IFERROR(_xlfn.XLOOKUP(TRIM(B2910),Lookup!$B$2:$B$1000,Lookup!$C$2:$C$1000),"")</f>
        <v>Equity</v>
      </c>
      <c r="D2910" s="8" t="s">
        <v>59</v>
      </c>
      <c r="E2910" s="9">
        <v>46205</v>
      </c>
      <c r="F2910" s="8">
        <v>14.180999999999999</v>
      </c>
    </row>
    <row r="2911" spans="1:6" ht="60" x14ac:dyDescent="0.25">
      <c r="A2911" s="8" t="s">
        <v>5</v>
      </c>
      <c r="B2911" s="8" t="s">
        <v>58</v>
      </c>
      <c r="C2911" s="8" t="str">
        <f>IFERROR(_xlfn.XLOOKUP(TRIM(B2911),Lookup!$B$2:$B$1000,Lookup!$C$2:$C$1000),"")</f>
        <v>Equity</v>
      </c>
      <c r="D2911" s="8" t="s">
        <v>59</v>
      </c>
      <c r="E2911" s="9">
        <v>46212</v>
      </c>
      <c r="F2911" s="8">
        <v>14.117000000000001</v>
      </c>
    </row>
    <row r="2912" spans="1:6" ht="60" x14ac:dyDescent="0.25">
      <c r="A2912" s="8" t="s">
        <v>5</v>
      </c>
      <c r="B2912" s="8" t="s">
        <v>58</v>
      </c>
      <c r="C2912" s="8" t="str">
        <f>IFERROR(_xlfn.XLOOKUP(TRIM(B2912),Lookup!$B$2:$B$1000,Lookup!$C$2:$C$1000),"")</f>
        <v>Equity</v>
      </c>
      <c r="D2912" s="8" t="s">
        <v>59</v>
      </c>
      <c r="E2912" s="9">
        <v>46219</v>
      </c>
      <c r="F2912" s="8">
        <v>14.2211</v>
      </c>
    </row>
    <row r="2913" spans="1:6" ht="60" x14ac:dyDescent="0.25">
      <c r="A2913" s="8" t="s">
        <v>5</v>
      </c>
      <c r="B2913" s="8" t="s">
        <v>58</v>
      </c>
      <c r="C2913" s="8" t="str">
        <f>IFERROR(_xlfn.XLOOKUP(TRIM(B2913),Lookup!$B$2:$B$1000,Lookup!$C$2:$C$1000),"")</f>
        <v>Equity</v>
      </c>
      <c r="D2913" s="8" t="s">
        <v>59</v>
      </c>
      <c r="E2913" s="9">
        <v>46226</v>
      </c>
      <c r="F2913" s="8">
        <v>14.172599999999999</v>
      </c>
    </row>
    <row r="2914" spans="1:6" ht="60" x14ac:dyDescent="0.25">
      <c r="A2914" s="8" t="s">
        <v>5</v>
      </c>
      <c r="B2914" s="8" t="s">
        <v>58</v>
      </c>
      <c r="C2914" s="8" t="str">
        <f>IFERROR(_xlfn.XLOOKUP(TRIM(B2914),Lookup!$B$2:$B$1000,Lookup!$C$2:$C$1000),"")</f>
        <v>Equity</v>
      </c>
      <c r="D2914" s="8" t="s">
        <v>59</v>
      </c>
      <c r="E2914" s="9">
        <v>46233</v>
      </c>
      <c r="F2914" s="8">
        <v>14.539199999999999</v>
      </c>
    </row>
    <row r="2915" spans="1:6" ht="45" x14ac:dyDescent="0.25">
      <c r="A2915" s="8" t="s">
        <v>5</v>
      </c>
      <c r="B2915" s="8" t="s">
        <v>60</v>
      </c>
      <c r="C2915" s="8" t="str">
        <f>IFERROR(_xlfn.XLOOKUP(TRIM(B2915),Lookup!$B$2:$B$1000,Lookup!$C$2:$C$1000),"")</f>
        <v>Equity</v>
      </c>
      <c r="D2915" s="8" t="s">
        <v>61</v>
      </c>
      <c r="E2915" s="9">
        <v>45869</v>
      </c>
      <c r="F2915" s="8">
        <v>23.177900000000001</v>
      </c>
    </row>
    <row r="2916" spans="1:6" ht="45" x14ac:dyDescent="0.25">
      <c r="A2916" s="8" t="s">
        <v>5</v>
      </c>
      <c r="B2916" s="8" t="s">
        <v>60</v>
      </c>
      <c r="C2916" s="8" t="str">
        <f>IFERROR(_xlfn.XLOOKUP(TRIM(B2916),Lookup!$B$2:$B$1000,Lookup!$C$2:$C$1000),"")</f>
        <v>Equity</v>
      </c>
      <c r="D2916" s="8" t="s">
        <v>61</v>
      </c>
      <c r="E2916" s="9">
        <v>45876</v>
      </c>
      <c r="F2916" s="8">
        <v>22.958200000000001</v>
      </c>
    </row>
    <row r="2917" spans="1:6" ht="45" x14ac:dyDescent="0.25">
      <c r="A2917" s="8" t="s">
        <v>5</v>
      </c>
      <c r="B2917" s="8" t="s">
        <v>60</v>
      </c>
      <c r="C2917" s="8" t="str">
        <f>IFERROR(_xlfn.XLOOKUP(TRIM(B2917),Lookup!$B$2:$B$1000,Lookup!$C$2:$C$1000),"")</f>
        <v>Equity</v>
      </c>
      <c r="D2917" s="8" t="s">
        <v>61</v>
      </c>
      <c r="E2917" s="9">
        <v>45883</v>
      </c>
      <c r="F2917" s="8">
        <v>23.040500000000002</v>
      </c>
    </row>
    <row r="2918" spans="1:6" ht="45" x14ac:dyDescent="0.25">
      <c r="A2918" s="8" t="s">
        <v>5</v>
      </c>
      <c r="B2918" s="8" t="s">
        <v>60</v>
      </c>
      <c r="C2918" s="8" t="str">
        <f>IFERROR(_xlfn.XLOOKUP(TRIM(B2918),Lookup!$B$2:$B$1000,Lookup!$C$2:$C$1000),"")</f>
        <v>Equity</v>
      </c>
      <c r="D2918" s="8" t="s">
        <v>61</v>
      </c>
      <c r="E2918" s="9">
        <v>45891</v>
      </c>
      <c r="F2918" s="8">
        <v>23.4526</v>
      </c>
    </row>
    <row r="2919" spans="1:6" ht="45" x14ac:dyDescent="0.25">
      <c r="A2919" s="8" t="s">
        <v>5</v>
      </c>
      <c r="B2919" s="8" t="s">
        <v>60</v>
      </c>
      <c r="C2919" s="8" t="str">
        <f>IFERROR(_xlfn.XLOOKUP(TRIM(B2919),Lookup!$B$2:$B$1000,Lookup!$C$2:$C$1000),"")</f>
        <v>Equity</v>
      </c>
      <c r="D2919" s="8" t="s">
        <v>61</v>
      </c>
      <c r="E2919" s="9">
        <v>45901</v>
      </c>
      <c r="F2919" s="8">
        <v>23.218599999999999</v>
      </c>
    </row>
    <row r="2920" spans="1:6" ht="45" x14ac:dyDescent="0.25">
      <c r="A2920" s="8" t="s">
        <v>5</v>
      </c>
      <c r="B2920" s="8" t="s">
        <v>60</v>
      </c>
      <c r="C2920" s="8" t="str">
        <f>IFERROR(_xlfn.XLOOKUP(TRIM(B2920),Lookup!$B$2:$B$1000,Lookup!$C$2:$C$1000),"")</f>
        <v>Equity</v>
      </c>
      <c r="D2920" s="8" t="s">
        <v>61</v>
      </c>
      <c r="E2920" s="9">
        <v>45908</v>
      </c>
      <c r="F2920" s="8">
        <v>23.471</v>
      </c>
    </row>
    <row r="2921" spans="1:6" ht="45" x14ac:dyDescent="0.25">
      <c r="A2921" s="8" t="s">
        <v>5</v>
      </c>
      <c r="B2921" s="8" t="s">
        <v>60</v>
      </c>
      <c r="C2921" s="8" t="str">
        <f>IFERROR(_xlfn.XLOOKUP(TRIM(B2921),Lookup!$B$2:$B$1000,Lookup!$C$2:$C$1000),"")</f>
        <v>Equity</v>
      </c>
      <c r="D2921" s="8" t="s">
        <v>61</v>
      </c>
      <c r="E2921" s="9">
        <v>45915</v>
      </c>
      <c r="F2921" s="8">
        <v>23.827100000000002</v>
      </c>
    </row>
    <row r="2922" spans="1:6" ht="45" x14ac:dyDescent="0.25">
      <c r="A2922" s="8" t="s">
        <v>5</v>
      </c>
      <c r="B2922" s="8" t="s">
        <v>60</v>
      </c>
      <c r="C2922" s="8" t="str">
        <f>IFERROR(_xlfn.XLOOKUP(TRIM(B2922),Lookup!$B$2:$B$1000,Lookup!$C$2:$C$1000),"")</f>
        <v>Equity</v>
      </c>
      <c r="D2922" s="8" t="s">
        <v>61</v>
      </c>
      <c r="E2922" s="9">
        <v>45922</v>
      </c>
      <c r="F2922" s="8">
        <v>24.059100000000001</v>
      </c>
    </row>
    <row r="2923" spans="1:6" ht="45" x14ac:dyDescent="0.25">
      <c r="A2923" s="8" t="s">
        <v>5</v>
      </c>
      <c r="B2923" s="8" t="s">
        <v>60</v>
      </c>
      <c r="C2923" s="8" t="str">
        <f>IFERROR(_xlfn.XLOOKUP(TRIM(B2923),Lookup!$B$2:$B$1000,Lookup!$C$2:$C$1000),"")</f>
        <v>Equity</v>
      </c>
      <c r="D2923" s="8" t="s">
        <v>61</v>
      </c>
      <c r="E2923" s="9">
        <v>45929</v>
      </c>
      <c r="F2923" s="8">
        <v>23.4251</v>
      </c>
    </row>
    <row r="2924" spans="1:6" ht="45" x14ac:dyDescent="0.25">
      <c r="A2924" s="8" t="s">
        <v>5</v>
      </c>
      <c r="B2924" s="8" t="s">
        <v>60</v>
      </c>
      <c r="C2924" s="8" t="str">
        <f>IFERROR(_xlfn.XLOOKUP(TRIM(B2924),Lookup!$B$2:$B$1000,Lookup!$C$2:$C$1000),"")</f>
        <v>Equity</v>
      </c>
      <c r="D2924" s="8" t="s">
        <v>61</v>
      </c>
      <c r="E2924" s="9">
        <v>45937</v>
      </c>
      <c r="F2924" s="8">
        <v>23.6723</v>
      </c>
    </row>
    <row r="2925" spans="1:6" ht="45" x14ac:dyDescent="0.25">
      <c r="A2925" s="8" t="s">
        <v>5</v>
      </c>
      <c r="B2925" s="8" t="s">
        <v>60</v>
      </c>
      <c r="C2925" s="8" t="str">
        <f>IFERROR(_xlfn.XLOOKUP(TRIM(B2925),Lookup!$B$2:$B$1000,Lookup!$C$2:$C$1000),"")</f>
        <v>Equity</v>
      </c>
      <c r="D2925" s="8" t="s">
        <v>61</v>
      </c>
      <c r="E2925" s="9">
        <v>45944</v>
      </c>
      <c r="F2925" s="8">
        <v>23.542300000000001</v>
      </c>
    </row>
    <row r="2926" spans="1:6" ht="45" x14ac:dyDescent="0.25">
      <c r="A2926" s="8" t="s">
        <v>5</v>
      </c>
      <c r="B2926" s="8" t="s">
        <v>60</v>
      </c>
      <c r="C2926" s="8" t="str">
        <f>IFERROR(_xlfn.XLOOKUP(TRIM(B2926),Lookup!$B$2:$B$1000,Lookup!$C$2:$C$1000),"")</f>
        <v>Equity</v>
      </c>
      <c r="D2926" s="8" t="s">
        <v>61</v>
      </c>
      <c r="E2926" s="9">
        <v>45953</v>
      </c>
      <c r="F2926" s="8">
        <v>23.930399999999999</v>
      </c>
    </row>
    <row r="2927" spans="1:6" ht="45" x14ac:dyDescent="0.25">
      <c r="A2927" s="8" t="s">
        <v>5</v>
      </c>
      <c r="B2927" s="8" t="s">
        <v>60</v>
      </c>
      <c r="C2927" s="8" t="str">
        <f>IFERROR(_xlfn.XLOOKUP(TRIM(B2927),Lookup!$B$2:$B$1000,Lookup!$C$2:$C$1000),"")</f>
        <v>Equity</v>
      </c>
      <c r="D2927" s="8" t="s">
        <v>61</v>
      </c>
      <c r="E2927" s="9">
        <v>45960</v>
      </c>
      <c r="F2927" s="8">
        <v>24.0748</v>
      </c>
    </row>
    <row r="2928" spans="1:6" ht="45" x14ac:dyDescent="0.25">
      <c r="A2928" s="8" t="s">
        <v>5</v>
      </c>
      <c r="B2928" s="8" t="s">
        <v>60</v>
      </c>
      <c r="C2928" s="8" t="str">
        <f>IFERROR(_xlfn.XLOOKUP(TRIM(B2928),Lookup!$B$2:$B$1000,Lookup!$C$2:$C$1000),"")</f>
        <v>Equity</v>
      </c>
      <c r="D2928" s="8" t="s">
        <v>61</v>
      </c>
      <c r="E2928" s="9">
        <v>45968</v>
      </c>
      <c r="F2928" s="8">
        <v>23.738099999999999</v>
      </c>
    </row>
    <row r="2929" spans="1:6" ht="45" x14ac:dyDescent="0.25">
      <c r="A2929" s="8" t="s">
        <v>5</v>
      </c>
      <c r="B2929" s="8" t="s">
        <v>60</v>
      </c>
      <c r="C2929" s="8" t="str">
        <f>IFERROR(_xlfn.XLOOKUP(TRIM(B2929),Lookup!$B$2:$B$1000,Lookup!$C$2:$C$1000),"")</f>
        <v>Equity</v>
      </c>
      <c r="D2929" s="8" t="s">
        <v>61</v>
      </c>
      <c r="E2929" s="9">
        <v>45975</v>
      </c>
      <c r="F2929" s="8">
        <v>23.959800000000001</v>
      </c>
    </row>
    <row r="2930" spans="1:6" ht="45" x14ac:dyDescent="0.25">
      <c r="A2930" s="8" t="s">
        <v>5</v>
      </c>
      <c r="B2930" s="8" t="s">
        <v>60</v>
      </c>
      <c r="C2930" s="8" t="str">
        <f>IFERROR(_xlfn.XLOOKUP(TRIM(B2930),Lookup!$B$2:$B$1000,Lookup!$C$2:$C$1000),"")</f>
        <v>Equity</v>
      </c>
      <c r="D2930" s="8" t="s">
        <v>61</v>
      </c>
      <c r="E2930" s="9">
        <v>45982</v>
      </c>
      <c r="F2930" s="8">
        <v>23.708100000000002</v>
      </c>
    </row>
    <row r="2931" spans="1:6" ht="45" x14ac:dyDescent="0.25">
      <c r="A2931" s="8" t="s">
        <v>5</v>
      </c>
      <c r="B2931" s="8" t="s">
        <v>60</v>
      </c>
      <c r="C2931" s="8" t="str">
        <f>IFERROR(_xlfn.XLOOKUP(TRIM(B2931),Lookup!$B$2:$B$1000,Lookup!$C$2:$C$1000),"")</f>
        <v>Equity</v>
      </c>
      <c r="D2931" s="8" t="s">
        <v>61</v>
      </c>
      <c r="E2931" s="9">
        <v>45989</v>
      </c>
      <c r="F2931" s="8">
        <v>23.900700000000001</v>
      </c>
    </row>
    <row r="2932" spans="1:6" ht="45" x14ac:dyDescent="0.25">
      <c r="A2932" s="8" t="s">
        <v>5</v>
      </c>
      <c r="B2932" s="8" t="s">
        <v>60</v>
      </c>
      <c r="C2932" s="8" t="str">
        <f>IFERROR(_xlfn.XLOOKUP(TRIM(B2932),Lookup!$B$2:$B$1000,Lookup!$C$2:$C$1000),"")</f>
        <v>Equity</v>
      </c>
      <c r="D2932" s="8" t="s">
        <v>61</v>
      </c>
      <c r="E2932" s="9">
        <v>45996</v>
      </c>
      <c r="F2932" s="8">
        <v>23.7818</v>
      </c>
    </row>
    <row r="2933" spans="1:6" ht="45" x14ac:dyDescent="0.25">
      <c r="A2933" s="8" t="s">
        <v>5</v>
      </c>
      <c r="B2933" s="8" t="s">
        <v>60</v>
      </c>
      <c r="C2933" s="8" t="str">
        <f>IFERROR(_xlfn.XLOOKUP(TRIM(B2933),Lookup!$B$2:$B$1000,Lookup!$C$2:$C$1000),"")</f>
        <v>Equity</v>
      </c>
      <c r="D2933" s="8" t="s">
        <v>61</v>
      </c>
      <c r="E2933" s="9">
        <v>46003</v>
      </c>
      <c r="F2933" s="8">
        <v>23.690799999999999</v>
      </c>
    </row>
    <row r="2934" spans="1:6" ht="45" x14ac:dyDescent="0.25">
      <c r="A2934" s="8" t="s">
        <v>5</v>
      </c>
      <c r="B2934" s="8" t="s">
        <v>60</v>
      </c>
      <c r="C2934" s="8" t="str">
        <f>IFERROR(_xlfn.XLOOKUP(TRIM(B2934),Lookup!$B$2:$B$1000,Lookup!$C$2:$C$1000),"")</f>
        <v>Equity</v>
      </c>
      <c r="D2934" s="8" t="s">
        <v>61</v>
      </c>
      <c r="E2934" s="9">
        <v>46010</v>
      </c>
      <c r="F2934" s="8">
        <v>23.593299999999999</v>
      </c>
    </row>
    <row r="2935" spans="1:6" ht="45" x14ac:dyDescent="0.25">
      <c r="A2935" s="8" t="s">
        <v>5</v>
      </c>
      <c r="B2935" s="8" t="s">
        <v>60</v>
      </c>
      <c r="C2935" s="8" t="str">
        <f>IFERROR(_xlfn.XLOOKUP(TRIM(B2935),Lookup!$B$2:$B$1000,Lookup!$C$2:$C$1000),"")</f>
        <v>Equity</v>
      </c>
      <c r="D2935" s="8" t="s">
        <v>61</v>
      </c>
      <c r="E2935" s="9">
        <v>46020</v>
      </c>
      <c r="F2935" s="8">
        <v>23.605699999999999</v>
      </c>
    </row>
    <row r="2936" spans="1:6" ht="45" x14ac:dyDescent="0.25">
      <c r="A2936" s="8" t="s">
        <v>5</v>
      </c>
      <c r="B2936" s="8" t="s">
        <v>60</v>
      </c>
      <c r="C2936" s="8" t="str">
        <f>IFERROR(_xlfn.XLOOKUP(TRIM(B2936),Lookup!$B$2:$B$1000,Lookup!$C$2:$C$1000),"")</f>
        <v>Equity</v>
      </c>
      <c r="D2936" s="8" t="s">
        <v>61</v>
      </c>
      <c r="E2936" s="9">
        <v>46027</v>
      </c>
      <c r="F2936" s="8">
        <v>24.1036</v>
      </c>
    </row>
    <row r="2937" spans="1:6" ht="45" x14ac:dyDescent="0.25">
      <c r="A2937" s="8" t="s">
        <v>5</v>
      </c>
      <c r="B2937" s="8" t="s">
        <v>60</v>
      </c>
      <c r="C2937" s="8" t="str">
        <f>IFERROR(_xlfn.XLOOKUP(TRIM(B2937),Lookup!$B$2:$B$1000,Lookup!$C$2:$C$1000),"")</f>
        <v>Equity</v>
      </c>
      <c r="D2937" s="8" t="s">
        <v>61</v>
      </c>
      <c r="E2937" s="9">
        <v>46034</v>
      </c>
      <c r="F2937" s="8">
        <v>23.505199999999999</v>
      </c>
    </row>
    <row r="2938" spans="1:6" ht="45" x14ac:dyDescent="0.25">
      <c r="A2938" s="8" t="s">
        <v>5</v>
      </c>
      <c r="B2938" s="8" t="s">
        <v>60</v>
      </c>
      <c r="C2938" s="8" t="str">
        <f>IFERROR(_xlfn.XLOOKUP(TRIM(B2938),Lookup!$B$2:$B$1000,Lookup!$C$2:$C$1000),"")</f>
        <v>Equity</v>
      </c>
      <c r="D2938" s="8" t="s">
        <v>61</v>
      </c>
      <c r="E2938" s="9">
        <v>46042</v>
      </c>
      <c r="F2938" s="8">
        <v>22.920500000000001</v>
      </c>
    </row>
    <row r="2939" spans="1:6" ht="45" x14ac:dyDescent="0.25">
      <c r="A2939" s="8" t="s">
        <v>5</v>
      </c>
      <c r="B2939" s="8" t="s">
        <v>60</v>
      </c>
      <c r="C2939" s="8" t="str">
        <f>IFERROR(_xlfn.XLOOKUP(TRIM(B2939),Lookup!$B$2:$B$1000,Lookup!$C$2:$C$1000),"")</f>
        <v>Equity</v>
      </c>
      <c r="D2939" s="8" t="s">
        <v>61</v>
      </c>
      <c r="E2939" s="9">
        <v>46050</v>
      </c>
      <c r="F2939" s="8">
        <v>23.186299999999999</v>
      </c>
    </row>
    <row r="2940" spans="1:6" ht="45" x14ac:dyDescent="0.25">
      <c r="A2940" s="8" t="s">
        <v>5</v>
      </c>
      <c r="B2940" s="8" t="s">
        <v>60</v>
      </c>
      <c r="C2940" s="8" t="str">
        <f>IFERROR(_xlfn.XLOOKUP(TRIM(B2940),Lookup!$B$2:$B$1000,Lookup!$C$2:$C$1000),"")</f>
        <v>Equity</v>
      </c>
      <c r="D2940" s="8" t="s">
        <v>61</v>
      </c>
      <c r="E2940" s="9">
        <v>46056</v>
      </c>
      <c r="F2940" s="8">
        <v>23.517499999999998</v>
      </c>
    </row>
    <row r="2941" spans="1:6" ht="45" x14ac:dyDescent="0.25">
      <c r="A2941" s="8" t="s">
        <v>5</v>
      </c>
      <c r="B2941" s="8" t="s">
        <v>60</v>
      </c>
      <c r="C2941" s="8" t="str">
        <f>IFERROR(_xlfn.XLOOKUP(TRIM(B2941),Lookup!$B$2:$B$1000,Lookup!$C$2:$C$1000),"")</f>
        <v>Equity</v>
      </c>
      <c r="D2941" s="8" t="s">
        <v>61</v>
      </c>
      <c r="E2941" s="9">
        <v>46063</v>
      </c>
      <c r="F2941" s="8">
        <v>23.897300000000001</v>
      </c>
    </row>
    <row r="2942" spans="1:6" ht="45" x14ac:dyDescent="0.25">
      <c r="A2942" s="8" t="s">
        <v>5</v>
      </c>
      <c r="B2942" s="8" t="s">
        <v>60</v>
      </c>
      <c r="C2942" s="8" t="str">
        <f>IFERROR(_xlfn.XLOOKUP(TRIM(B2942),Lookup!$B$2:$B$1000,Lookup!$C$2:$C$1000),"")</f>
        <v>Equity</v>
      </c>
      <c r="D2942" s="8" t="s">
        <v>61</v>
      </c>
      <c r="E2942" s="9">
        <v>46070</v>
      </c>
      <c r="F2942" s="8">
        <v>23.890699999999999</v>
      </c>
    </row>
    <row r="2943" spans="1:6" ht="45" x14ac:dyDescent="0.25">
      <c r="A2943" s="8" t="s">
        <v>5</v>
      </c>
      <c r="B2943" s="8" t="s">
        <v>60</v>
      </c>
      <c r="C2943" s="8" t="str">
        <f>IFERROR(_xlfn.XLOOKUP(TRIM(B2943),Lookup!$B$2:$B$1000,Lookup!$C$2:$C$1000),"")</f>
        <v>Equity</v>
      </c>
      <c r="D2943" s="8" t="s">
        <v>61</v>
      </c>
      <c r="E2943" s="9">
        <v>46077</v>
      </c>
      <c r="F2943" s="8">
        <v>23.8292</v>
      </c>
    </row>
    <row r="2944" spans="1:6" ht="45" x14ac:dyDescent="0.25">
      <c r="A2944" s="8" t="s">
        <v>5</v>
      </c>
      <c r="B2944" s="8" t="s">
        <v>60</v>
      </c>
      <c r="C2944" s="8" t="str">
        <f>IFERROR(_xlfn.XLOOKUP(TRIM(B2944),Lookup!$B$2:$B$1000,Lookup!$C$2:$C$1000),"")</f>
        <v>Equity</v>
      </c>
      <c r="D2944" s="8" t="s">
        <v>61</v>
      </c>
      <c r="E2944" s="9">
        <v>46085</v>
      </c>
      <c r="F2944" s="8">
        <v>22.8704</v>
      </c>
    </row>
    <row r="2945" spans="1:6" ht="45" x14ac:dyDescent="0.25">
      <c r="A2945" s="8" t="s">
        <v>5</v>
      </c>
      <c r="B2945" s="8" t="s">
        <v>60</v>
      </c>
      <c r="C2945" s="8" t="str">
        <f>IFERROR(_xlfn.XLOOKUP(TRIM(B2945),Lookup!$B$2:$B$1000,Lookup!$C$2:$C$1000),"")</f>
        <v>Equity</v>
      </c>
      <c r="D2945" s="8" t="s">
        <v>61</v>
      </c>
      <c r="E2945" s="9">
        <v>46092</v>
      </c>
      <c r="F2945" s="8">
        <v>22.6816</v>
      </c>
    </row>
    <row r="2946" spans="1:6" ht="45" x14ac:dyDescent="0.25">
      <c r="A2946" s="8" t="s">
        <v>5</v>
      </c>
      <c r="B2946" s="8" t="s">
        <v>60</v>
      </c>
      <c r="C2946" s="8" t="str">
        <f>IFERROR(_xlfn.XLOOKUP(TRIM(B2946),Lookup!$B$2:$B$1000,Lookup!$C$2:$C$1000),"")</f>
        <v>Equity</v>
      </c>
      <c r="D2946" s="8" t="s">
        <v>61</v>
      </c>
      <c r="E2946" s="9">
        <v>46099</v>
      </c>
      <c r="F2946" s="8">
        <v>22.3917</v>
      </c>
    </row>
    <row r="2947" spans="1:6" ht="45" x14ac:dyDescent="0.25">
      <c r="A2947" s="8" t="s">
        <v>5</v>
      </c>
      <c r="B2947" s="8" t="s">
        <v>60</v>
      </c>
      <c r="C2947" s="8" t="str">
        <f>IFERROR(_xlfn.XLOOKUP(TRIM(B2947),Lookup!$B$2:$B$1000,Lookup!$C$2:$C$1000),"")</f>
        <v>Equity</v>
      </c>
      <c r="D2947" s="8" t="s">
        <v>61</v>
      </c>
      <c r="E2947" s="9">
        <v>46106</v>
      </c>
      <c r="F2947" s="8">
        <v>21.824000000000002</v>
      </c>
    </row>
    <row r="2948" spans="1:6" ht="45" x14ac:dyDescent="0.25">
      <c r="A2948" s="8" t="s">
        <v>5</v>
      </c>
      <c r="B2948" s="8" t="s">
        <v>60</v>
      </c>
      <c r="C2948" s="8" t="str">
        <f>IFERROR(_xlfn.XLOOKUP(TRIM(B2948),Lookup!$B$2:$B$1000,Lookup!$C$2:$C$1000),"")</f>
        <v>Equity</v>
      </c>
      <c r="D2948" s="8" t="s">
        <v>61</v>
      </c>
      <c r="E2948" s="9">
        <v>46114</v>
      </c>
      <c r="F2948" s="8">
        <v>21.2072</v>
      </c>
    </row>
    <row r="2949" spans="1:6" ht="45" x14ac:dyDescent="0.25">
      <c r="A2949" s="8" t="s">
        <v>5</v>
      </c>
      <c r="B2949" s="8" t="s">
        <v>60</v>
      </c>
      <c r="C2949" s="8" t="str">
        <f>IFERROR(_xlfn.XLOOKUP(TRIM(B2949),Lookup!$B$2:$B$1000,Lookup!$C$2:$C$1000),"")</f>
        <v>Equity</v>
      </c>
      <c r="D2949" s="8" t="s">
        <v>61</v>
      </c>
      <c r="E2949" s="9">
        <v>46122</v>
      </c>
      <c r="F2949" s="8">
        <v>22.976700000000001</v>
      </c>
    </row>
    <row r="2950" spans="1:6" ht="45" x14ac:dyDescent="0.25">
      <c r="A2950" s="8" t="s">
        <v>5</v>
      </c>
      <c r="B2950" s="8" t="s">
        <v>60</v>
      </c>
      <c r="C2950" s="8" t="str">
        <f>IFERROR(_xlfn.XLOOKUP(TRIM(B2950),Lookup!$B$2:$B$1000,Lookup!$C$2:$C$1000),"")</f>
        <v>Equity</v>
      </c>
      <c r="D2950" s="8" t="s">
        <v>61</v>
      </c>
      <c r="E2950" s="9">
        <v>46132</v>
      </c>
      <c r="F2950" s="8">
        <v>23.717099999999999</v>
      </c>
    </row>
    <row r="2951" spans="1:6" ht="45" x14ac:dyDescent="0.25">
      <c r="A2951" s="8" t="s">
        <v>5</v>
      </c>
      <c r="B2951" s="8" t="s">
        <v>60</v>
      </c>
      <c r="C2951" s="8" t="str">
        <f>IFERROR(_xlfn.XLOOKUP(TRIM(B2951),Lookup!$B$2:$B$1000,Lookup!$C$2:$C$1000),"")</f>
        <v>Equity</v>
      </c>
      <c r="D2951" s="8" t="s">
        <v>61</v>
      </c>
      <c r="E2951" s="9">
        <v>46139</v>
      </c>
      <c r="F2951" s="8">
        <v>23.8766</v>
      </c>
    </row>
    <row r="2952" spans="1:6" ht="45" x14ac:dyDescent="0.25">
      <c r="A2952" s="8" t="s">
        <v>5</v>
      </c>
      <c r="B2952" s="8" t="s">
        <v>60</v>
      </c>
      <c r="C2952" s="8" t="str">
        <f>IFERROR(_xlfn.XLOOKUP(TRIM(B2952),Lookup!$B$2:$B$1000,Lookup!$C$2:$C$1000),"")</f>
        <v>Equity</v>
      </c>
      <c r="D2952" s="8" t="s">
        <v>61</v>
      </c>
      <c r="E2952" s="9">
        <v>46147</v>
      </c>
      <c r="F2952" s="8">
        <v>23.901499999999999</v>
      </c>
    </row>
    <row r="2953" spans="1:6" ht="45" x14ac:dyDescent="0.25">
      <c r="A2953" s="8" t="s">
        <v>5</v>
      </c>
      <c r="B2953" s="8" t="s">
        <v>60</v>
      </c>
      <c r="C2953" s="8" t="str">
        <f>IFERROR(_xlfn.XLOOKUP(TRIM(B2953),Lookup!$B$2:$B$1000,Lookup!$C$2:$C$1000),"")</f>
        <v>Equity</v>
      </c>
      <c r="D2953" s="8" t="s">
        <v>61</v>
      </c>
      <c r="E2953" s="9">
        <v>46154</v>
      </c>
      <c r="F2953" s="8">
        <v>23.373000000000001</v>
      </c>
    </row>
    <row r="2954" spans="1:6" ht="45" x14ac:dyDescent="0.25">
      <c r="A2954" s="8" t="s">
        <v>5</v>
      </c>
      <c r="B2954" s="8" t="s">
        <v>60</v>
      </c>
      <c r="C2954" s="8" t="str">
        <f>IFERROR(_xlfn.XLOOKUP(TRIM(B2954),Lookup!$B$2:$B$1000,Lookup!$C$2:$C$1000),"")</f>
        <v>Equity</v>
      </c>
      <c r="D2954" s="8" t="s">
        <v>61</v>
      </c>
      <c r="E2954" s="9">
        <v>46161</v>
      </c>
      <c r="F2954" s="8">
        <v>23.5776</v>
      </c>
    </row>
    <row r="2955" spans="1:6" ht="45" x14ac:dyDescent="0.25">
      <c r="A2955" s="8" t="s">
        <v>5</v>
      </c>
      <c r="B2955" s="8" t="s">
        <v>60</v>
      </c>
      <c r="C2955" s="8" t="str">
        <f>IFERROR(_xlfn.XLOOKUP(TRIM(B2955),Lookup!$B$2:$B$1000,Lookup!$C$2:$C$1000),"")</f>
        <v>Equity</v>
      </c>
      <c r="D2955" s="8" t="s">
        <v>61</v>
      </c>
      <c r="E2955" s="9">
        <v>46168</v>
      </c>
      <c r="F2955" s="8">
        <v>24.1587</v>
      </c>
    </row>
    <row r="2956" spans="1:6" ht="45" x14ac:dyDescent="0.25">
      <c r="A2956" s="8" t="s">
        <v>5</v>
      </c>
      <c r="B2956" s="8" t="s">
        <v>60</v>
      </c>
      <c r="C2956" s="8" t="str">
        <f>IFERROR(_xlfn.XLOOKUP(TRIM(B2956),Lookup!$B$2:$B$1000,Lookup!$C$2:$C$1000),"")</f>
        <v>Equity</v>
      </c>
      <c r="D2956" s="8" t="s">
        <v>61</v>
      </c>
      <c r="E2956" s="9">
        <v>46176</v>
      </c>
      <c r="F2956" s="8">
        <v>23.788499999999999</v>
      </c>
    </row>
    <row r="2957" spans="1:6" ht="45" x14ac:dyDescent="0.25">
      <c r="A2957" s="8" t="s">
        <v>5</v>
      </c>
      <c r="B2957" s="8" t="s">
        <v>60</v>
      </c>
      <c r="C2957" s="8" t="str">
        <f>IFERROR(_xlfn.XLOOKUP(TRIM(B2957),Lookup!$B$2:$B$1000,Lookup!$C$2:$C$1000),"")</f>
        <v>Equity</v>
      </c>
      <c r="D2957" s="8" t="s">
        <v>61</v>
      </c>
      <c r="E2957" s="9">
        <v>46183</v>
      </c>
      <c r="F2957" s="8">
        <v>23.598700000000001</v>
      </c>
    </row>
    <row r="2958" spans="1:6" ht="45" x14ac:dyDescent="0.25">
      <c r="A2958" s="8" t="s">
        <v>5</v>
      </c>
      <c r="B2958" s="8" t="s">
        <v>60</v>
      </c>
      <c r="C2958" s="8" t="str">
        <f>IFERROR(_xlfn.XLOOKUP(TRIM(B2958),Lookup!$B$2:$B$1000,Lookup!$C$2:$C$1000),"")</f>
        <v>Equity</v>
      </c>
      <c r="D2958" s="8" t="s">
        <v>61</v>
      </c>
      <c r="E2958" s="9">
        <v>46190</v>
      </c>
      <c r="F2958" s="8">
        <v>24.5688</v>
      </c>
    </row>
    <row r="2959" spans="1:6" ht="45" x14ac:dyDescent="0.25">
      <c r="A2959" s="8" t="s">
        <v>5</v>
      </c>
      <c r="B2959" s="8" t="s">
        <v>60</v>
      </c>
      <c r="C2959" s="8" t="str">
        <f>IFERROR(_xlfn.XLOOKUP(TRIM(B2959),Lookup!$B$2:$B$1000,Lookup!$C$2:$C$1000),"")</f>
        <v>Equity</v>
      </c>
      <c r="D2959" s="8" t="s">
        <v>61</v>
      </c>
      <c r="E2959" s="9">
        <v>46197</v>
      </c>
      <c r="F2959" s="8">
        <v>24.6402</v>
      </c>
    </row>
    <row r="2960" spans="1:6" ht="45" x14ac:dyDescent="0.25">
      <c r="A2960" s="8" t="s">
        <v>5</v>
      </c>
      <c r="B2960" s="8" t="s">
        <v>60</v>
      </c>
      <c r="C2960" s="8" t="str">
        <f>IFERROR(_xlfn.XLOOKUP(TRIM(B2960),Lookup!$B$2:$B$1000,Lookup!$C$2:$C$1000),"")</f>
        <v>Equity</v>
      </c>
      <c r="D2960" s="8" t="s">
        <v>61</v>
      </c>
      <c r="E2960" s="9">
        <v>46205</v>
      </c>
      <c r="F2960" s="8">
        <v>24.827500000000001</v>
      </c>
    </row>
    <row r="2961" spans="1:6" ht="45" x14ac:dyDescent="0.25">
      <c r="A2961" s="8" t="s">
        <v>5</v>
      </c>
      <c r="B2961" s="8" t="s">
        <v>60</v>
      </c>
      <c r="C2961" s="8" t="str">
        <f>IFERROR(_xlfn.XLOOKUP(TRIM(B2961),Lookup!$B$2:$B$1000,Lookup!$C$2:$C$1000),"")</f>
        <v>Equity</v>
      </c>
      <c r="D2961" s="8" t="s">
        <v>61</v>
      </c>
      <c r="E2961" s="9">
        <v>46212</v>
      </c>
      <c r="F2961" s="8">
        <v>24.555900000000001</v>
      </c>
    </row>
    <row r="2962" spans="1:6" ht="45" x14ac:dyDescent="0.25">
      <c r="A2962" s="8" t="s">
        <v>5</v>
      </c>
      <c r="B2962" s="8" t="s">
        <v>60</v>
      </c>
      <c r="C2962" s="8" t="str">
        <f>IFERROR(_xlfn.XLOOKUP(TRIM(B2962),Lookup!$B$2:$B$1000,Lookup!$C$2:$C$1000),"")</f>
        <v>Equity</v>
      </c>
      <c r="D2962" s="8" t="s">
        <v>61</v>
      </c>
      <c r="E2962" s="9">
        <v>46219</v>
      </c>
      <c r="F2962" s="8">
        <v>24.670999999999999</v>
      </c>
    </row>
    <row r="2963" spans="1:6" ht="45" x14ac:dyDescent="0.25">
      <c r="A2963" s="8" t="s">
        <v>5</v>
      </c>
      <c r="B2963" s="8" t="s">
        <v>60</v>
      </c>
      <c r="C2963" s="8" t="str">
        <f>IFERROR(_xlfn.XLOOKUP(TRIM(B2963),Lookup!$B$2:$B$1000,Lookup!$C$2:$C$1000),"")</f>
        <v>Equity</v>
      </c>
      <c r="D2963" s="8" t="s">
        <v>61</v>
      </c>
      <c r="E2963" s="9">
        <v>46226</v>
      </c>
      <c r="F2963" s="8">
        <v>24.6158</v>
      </c>
    </row>
    <row r="2964" spans="1:6" ht="45" x14ac:dyDescent="0.25">
      <c r="A2964" s="8" t="s">
        <v>5</v>
      </c>
      <c r="B2964" s="8" t="s">
        <v>60</v>
      </c>
      <c r="C2964" s="8" t="str">
        <f>IFERROR(_xlfn.XLOOKUP(TRIM(B2964),Lookup!$B$2:$B$1000,Lookup!$C$2:$C$1000),"")</f>
        <v>Equity</v>
      </c>
      <c r="D2964" s="8" t="s">
        <v>61</v>
      </c>
      <c r="E2964" s="9">
        <v>46233</v>
      </c>
      <c r="F2964" s="8">
        <v>24.840800000000002</v>
      </c>
    </row>
  </sheetData>
  <autoFilter ref="A1:F2964" xr:uid="{EA552E04-7775-45D9-BC02-87B00CB9A74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5384"/>
  <sheetViews>
    <sheetView tabSelected="1" workbookViewId="0">
      <pane ySplit="1" topLeftCell="A249" activePane="bottomLeft" state="frozen"/>
      <selection pane="bottomLeft" activeCell="B1" sqref="B1"/>
    </sheetView>
  </sheetViews>
  <sheetFormatPr defaultRowHeight="15" customHeight="1" x14ac:dyDescent="0.25"/>
  <cols>
    <col min="1" max="5" width="9.140625" style="8"/>
    <col min="6" max="6" width="10.42578125" style="9" bestFit="1" customWidth="1"/>
    <col min="7" max="16384" width="9.140625" style="8"/>
  </cols>
  <sheetData>
    <row r="1" spans="1:6" ht="30" x14ac:dyDescent="0.25">
      <c r="A1" s="10" t="s">
        <v>0</v>
      </c>
      <c r="B1" s="10" t="s">
        <v>1</v>
      </c>
      <c r="C1" s="10"/>
      <c r="D1" s="10" t="s">
        <v>2</v>
      </c>
      <c r="E1" s="8" t="s">
        <v>4</v>
      </c>
      <c r="F1" s="9" t="s">
        <v>3</v>
      </c>
    </row>
    <row r="2" spans="1:6" ht="60" x14ac:dyDescent="0.25">
      <c r="A2" s="8" t="s">
        <v>63</v>
      </c>
      <c r="B2" s="8" t="s">
        <v>64</v>
      </c>
      <c r="C2" s="8" t="str">
        <f>IFERROR(_xlfn.XLOOKUP(TRIM(B2),Lookup!$B$2:$B$1000,Lookup!$C$2:$C$1000),"")</f>
        <v>Hybrid</v>
      </c>
      <c r="D2" s="8" t="str">
        <f>IFERROR(INDEX('nav master'!$C:$C, MATCH(B2, 'nav master'!$B:$B, 0)), "")</f>
        <v>ULIF08028/02/25DynamicFnd101</v>
      </c>
      <c r="E2" s="8">
        <v>16.103899999999999</v>
      </c>
      <c r="F2" s="9">
        <v>45869</v>
      </c>
    </row>
    <row r="3" spans="1:6" ht="60" x14ac:dyDescent="0.25">
      <c r="A3" s="8" t="s">
        <v>63</v>
      </c>
      <c r="B3" s="8" t="s">
        <v>64</v>
      </c>
      <c r="C3" s="8" t="str">
        <f>IFERROR(_xlfn.XLOOKUP(TRIM(B3),Lookup!$B$2:$B$1000,Lookup!$C$2:$C$1000),"")</f>
        <v>Hybrid</v>
      </c>
      <c r="D3" s="8" t="str">
        <f>IFERROR(INDEX('nav master'!$C:$C, MATCH(B3, 'nav master'!$B:$B, 0)), "")</f>
        <v>ULIF08028/02/25DynamicFnd101</v>
      </c>
      <c r="E3" s="8">
        <v>15.988899999999999</v>
      </c>
      <c r="F3" s="9">
        <v>45870</v>
      </c>
    </row>
    <row r="4" spans="1:6" ht="60" x14ac:dyDescent="0.25">
      <c r="A4" s="8" t="s">
        <v>63</v>
      </c>
      <c r="B4" s="8" t="s">
        <v>64</v>
      </c>
      <c r="C4" s="8" t="str">
        <f>IFERROR(_xlfn.XLOOKUP(TRIM(B4),Lookup!$B$2:$B$1000,Lookup!$C$2:$C$1000),"")</f>
        <v>Hybrid</v>
      </c>
      <c r="D4" s="8" t="str">
        <f>IFERROR(INDEX('nav master'!$C:$C, MATCH(B4, 'nav master'!$B:$B, 0)), "")</f>
        <v>ULIF08028/02/25DynamicFnd101</v>
      </c>
      <c r="E4" s="8">
        <v>16.0703</v>
      </c>
      <c r="F4" s="9">
        <v>45873</v>
      </c>
    </row>
    <row r="5" spans="1:6" ht="60" x14ac:dyDescent="0.25">
      <c r="A5" s="8" t="s">
        <v>63</v>
      </c>
      <c r="B5" s="8" t="s">
        <v>64</v>
      </c>
      <c r="C5" s="8" t="str">
        <f>IFERROR(_xlfn.XLOOKUP(TRIM(B5),Lookup!$B$2:$B$1000,Lookup!$C$2:$C$1000),"")</f>
        <v>Hybrid</v>
      </c>
      <c r="D5" s="8" t="str">
        <f>IFERROR(INDEX('nav master'!$C:$C, MATCH(B5, 'nav master'!$B:$B, 0)), "")</f>
        <v>ULIF08028/02/25DynamicFnd101</v>
      </c>
      <c r="E5" s="8">
        <v>16.035399999999999</v>
      </c>
      <c r="F5" s="9">
        <v>45874</v>
      </c>
    </row>
    <row r="6" spans="1:6" ht="60" x14ac:dyDescent="0.25">
      <c r="A6" s="8" t="s">
        <v>63</v>
      </c>
      <c r="B6" s="8" t="s">
        <v>64</v>
      </c>
      <c r="C6" s="8" t="str">
        <f>IFERROR(_xlfn.XLOOKUP(TRIM(B6),Lookup!$B$2:$B$1000,Lookup!$C$2:$C$1000),"")</f>
        <v>Hybrid</v>
      </c>
      <c r="D6" s="8" t="str">
        <f>IFERROR(INDEX('nav master'!$C:$C, MATCH(B6, 'nav master'!$B:$B, 0)), "")</f>
        <v>ULIF08028/02/25DynamicFnd101</v>
      </c>
      <c r="E6" s="8">
        <v>15.925700000000001</v>
      </c>
      <c r="F6" s="9">
        <v>45875</v>
      </c>
    </row>
    <row r="7" spans="1:6" ht="60" x14ac:dyDescent="0.25">
      <c r="A7" s="8" t="s">
        <v>63</v>
      </c>
      <c r="B7" s="8" t="s">
        <v>64</v>
      </c>
      <c r="C7" s="8" t="str">
        <f>IFERROR(_xlfn.XLOOKUP(TRIM(B7),Lookup!$B$2:$B$1000,Lookup!$C$2:$C$1000),"")</f>
        <v>Hybrid</v>
      </c>
      <c r="D7" s="8" t="str">
        <f>IFERROR(INDEX('nav master'!$C:$C, MATCH(B7, 'nav master'!$B:$B, 0)), "")</f>
        <v>ULIF08028/02/25DynamicFnd101</v>
      </c>
      <c r="E7" s="8">
        <v>15.9422</v>
      </c>
      <c r="F7" s="9">
        <v>45876</v>
      </c>
    </row>
    <row r="8" spans="1:6" ht="60" x14ac:dyDescent="0.25">
      <c r="A8" s="8" t="s">
        <v>63</v>
      </c>
      <c r="B8" s="8" t="s">
        <v>64</v>
      </c>
      <c r="C8" s="8" t="str">
        <f>IFERROR(_xlfn.XLOOKUP(TRIM(B8),Lookup!$B$2:$B$1000,Lookup!$C$2:$C$1000),"")</f>
        <v>Hybrid</v>
      </c>
      <c r="D8" s="8" t="str">
        <f>IFERROR(INDEX('nav master'!$C:$C, MATCH(B8, 'nav master'!$B:$B, 0)), "")</f>
        <v>ULIF08028/02/25DynamicFnd101</v>
      </c>
      <c r="E8" s="8">
        <v>15.863799999999999</v>
      </c>
      <c r="F8" s="9">
        <v>45877</v>
      </c>
    </row>
    <row r="9" spans="1:6" ht="60" x14ac:dyDescent="0.25">
      <c r="A9" s="8" t="s">
        <v>63</v>
      </c>
      <c r="B9" s="8" t="s">
        <v>64</v>
      </c>
      <c r="C9" s="8" t="str">
        <f>IFERROR(_xlfn.XLOOKUP(TRIM(B9),Lookup!$B$2:$B$1000,Lookup!$C$2:$C$1000),"")</f>
        <v>Hybrid</v>
      </c>
      <c r="D9" s="8" t="str">
        <f>IFERROR(INDEX('nav master'!$C:$C, MATCH(B9, 'nav master'!$B:$B, 0)), "")</f>
        <v>ULIF08028/02/25DynamicFnd101</v>
      </c>
      <c r="E9" s="8">
        <v>15.929</v>
      </c>
      <c r="F9" s="9">
        <v>45880</v>
      </c>
    </row>
    <row r="10" spans="1:6" ht="60" x14ac:dyDescent="0.25">
      <c r="A10" s="8" t="s">
        <v>63</v>
      </c>
      <c r="B10" s="8" t="s">
        <v>64</v>
      </c>
      <c r="C10" s="8" t="str">
        <f>IFERROR(_xlfn.XLOOKUP(TRIM(B10),Lookup!$B$2:$B$1000,Lookup!$C$2:$C$1000),"")</f>
        <v>Hybrid</v>
      </c>
      <c r="D10" s="8" t="str">
        <f>IFERROR(INDEX('nav master'!$C:$C, MATCH(B10, 'nav master'!$B:$B, 0)), "")</f>
        <v>ULIF08028/02/25DynamicFnd101</v>
      </c>
      <c r="E10" s="8">
        <v>15.9023</v>
      </c>
      <c r="F10" s="9">
        <v>45881</v>
      </c>
    </row>
    <row r="11" spans="1:6" ht="60" x14ac:dyDescent="0.25">
      <c r="A11" s="8" t="s">
        <v>63</v>
      </c>
      <c r="B11" s="8" t="s">
        <v>64</v>
      </c>
      <c r="C11" s="8" t="str">
        <f>IFERROR(_xlfn.XLOOKUP(TRIM(B11),Lookup!$B$2:$B$1000,Lookup!$C$2:$C$1000),"")</f>
        <v>Hybrid</v>
      </c>
      <c r="D11" s="8" t="str">
        <f>IFERROR(INDEX('nav master'!$C:$C, MATCH(B11, 'nav master'!$B:$B, 0)), "")</f>
        <v>ULIF08028/02/25DynamicFnd101</v>
      </c>
      <c r="E11" s="8">
        <v>15.965999999999999</v>
      </c>
      <c r="F11" s="9">
        <v>45882</v>
      </c>
    </row>
    <row r="12" spans="1:6" ht="60" x14ac:dyDescent="0.25">
      <c r="A12" s="8" t="s">
        <v>63</v>
      </c>
      <c r="B12" s="8" t="s">
        <v>64</v>
      </c>
      <c r="C12" s="8" t="str">
        <f>IFERROR(_xlfn.XLOOKUP(TRIM(B12),Lookup!$B$2:$B$1000,Lookup!$C$2:$C$1000),"")</f>
        <v>Hybrid</v>
      </c>
      <c r="D12" s="8" t="str">
        <f>IFERROR(INDEX('nav master'!$C:$C, MATCH(B12, 'nav master'!$B:$B, 0)), "")</f>
        <v>ULIF08028/02/25DynamicFnd101</v>
      </c>
      <c r="E12" s="8">
        <v>16.006399999999999</v>
      </c>
      <c r="F12" s="9">
        <v>45883</v>
      </c>
    </row>
    <row r="13" spans="1:6" ht="60" x14ac:dyDescent="0.25">
      <c r="A13" s="8" t="s">
        <v>63</v>
      </c>
      <c r="B13" s="8" t="s">
        <v>64</v>
      </c>
      <c r="C13" s="8" t="str">
        <f>IFERROR(_xlfn.XLOOKUP(TRIM(B13),Lookup!$B$2:$B$1000,Lookup!$C$2:$C$1000),"")</f>
        <v>Hybrid</v>
      </c>
      <c r="D13" s="8" t="str">
        <f>IFERROR(INDEX('nav master'!$C:$C, MATCH(B13, 'nav master'!$B:$B, 0)), "")</f>
        <v>ULIF08028/02/25DynamicFnd101</v>
      </c>
      <c r="E13" s="8">
        <v>16.091200000000001</v>
      </c>
      <c r="F13" s="9">
        <v>45887</v>
      </c>
    </row>
    <row r="14" spans="1:6" ht="60" x14ac:dyDescent="0.25">
      <c r="A14" s="8" t="s">
        <v>63</v>
      </c>
      <c r="B14" s="8" t="s">
        <v>64</v>
      </c>
      <c r="C14" s="8" t="str">
        <f>IFERROR(_xlfn.XLOOKUP(TRIM(B14),Lookup!$B$2:$B$1000,Lookup!$C$2:$C$1000),"")</f>
        <v>Hybrid</v>
      </c>
      <c r="D14" s="8" t="str">
        <f>IFERROR(INDEX('nav master'!$C:$C, MATCH(B14, 'nav master'!$B:$B, 0)), "")</f>
        <v>ULIF08028/02/25DynamicFnd101</v>
      </c>
      <c r="E14" s="8">
        <v>16.121099999999998</v>
      </c>
      <c r="F14" s="9">
        <v>45888</v>
      </c>
    </row>
    <row r="15" spans="1:6" ht="60" x14ac:dyDescent="0.25">
      <c r="A15" s="8" t="s">
        <v>63</v>
      </c>
      <c r="B15" s="8" t="s">
        <v>64</v>
      </c>
      <c r="C15" s="8" t="str">
        <f>IFERROR(_xlfn.XLOOKUP(TRIM(B15),Lookup!$B$2:$B$1000,Lookup!$C$2:$C$1000),"")</f>
        <v>Hybrid</v>
      </c>
      <c r="D15" s="8" t="str">
        <f>IFERROR(INDEX('nav master'!$C:$C, MATCH(B15, 'nav master'!$B:$B, 0)), "")</f>
        <v>ULIF08028/02/25DynamicFnd101</v>
      </c>
      <c r="E15" s="8">
        <v>16.178999999999998</v>
      </c>
      <c r="F15" s="9">
        <v>45889</v>
      </c>
    </row>
    <row r="16" spans="1:6" ht="60" x14ac:dyDescent="0.25">
      <c r="A16" s="8" t="s">
        <v>63</v>
      </c>
      <c r="B16" s="8" t="s">
        <v>64</v>
      </c>
      <c r="C16" s="8" t="str">
        <f>IFERROR(_xlfn.XLOOKUP(TRIM(B16),Lookup!$B$2:$B$1000,Lookup!$C$2:$C$1000),"")</f>
        <v>Hybrid</v>
      </c>
      <c r="D16" s="8" t="str">
        <f>IFERROR(INDEX('nav master'!$C:$C, MATCH(B16, 'nav master'!$B:$B, 0)), "")</f>
        <v>ULIF08028/02/25DynamicFnd101</v>
      </c>
      <c r="E16" s="8">
        <v>16.147600000000001</v>
      </c>
      <c r="F16" s="9">
        <v>45890</v>
      </c>
    </row>
    <row r="17" spans="1:6" ht="60" x14ac:dyDescent="0.25">
      <c r="A17" s="8" t="s">
        <v>63</v>
      </c>
      <c r="B17" s="8" t="s">
        <v>64</v>
      </c>
      <c r="C17" s="8" t="str">
        <f>IFERROR(_xlfn.XLOOKUP(TRIM(B17),Lookup!$B$2:$B$1000,Lookup!$C$2:$C$1000),"")</f>
        <v>Hybrid</v>
      </c>
      <c r="D17" s="8" t="str">
        <f>IFERROR(INDEX('nav master'!$C:$C, MATCH(B17, 'nav master'!$B:$B, 0)), "")</f>
        <v>ULIF08028/02/25DynamicFnd101</v>
      </c>
      <c r="E17" s="8">
        <v>16.1233</v>
      </c>
      <c r="F17" s="9">
        <v>45891</v>
      </c>
    </row>
    <row r="18" spans="1:6" ht="60" x14ac:dyDescent="0.25">
      <c r="A18" s="8" t="s">
        <v>63</v>
      </c>
      <c r="B18" s="8" t="s">
        <v>64</v>
      </c>
      <c r="C18" s="8" t="str">
        <f>IFERROR(_xlfn.XLOOKUP(TRIM(B18),Lookup!$B$2:$B$1000,Lookup!$C$2:$C$1000),"")</f>
        <v>Hybrid</v>
      </c>
      <c r="D18" s="8" t="str">
        <f>IFERROR(INDEX('nav master'!$C:$C, MATCH(B18, 'nav master'!$B:$B, 0)), "")</f>
        <v>ULIF08028/02/25DynamicFnd101</v>
      </c>
      <c r="E18" s="8">
        <v>16.145600000000002</v>
      </c>
      <c r="F18" s="9">
        <v>45894</v>
      </c>
    </row>
    <row r="19" spans="1:6" ht="60" x14ac:dyDescent="0.25">
      <c r="A19" s="8" t="s">
        <v>63</v>
      </c>
      <c r="B19" s="8" t="s">
        <v>64</v>
      </c>
      <c r="C19" s="8" t="str">
        <f>IFERROR(_xlfn.XLOOKUP(TRIM(B19),Lookup!$B$2:$B$1000,Lookup!$C$2:$C$1000),"")</f>
        <v>Hybrid</v>
      </c>
      <c r="D19" s="8" t="str">
        <f>IFERROR(INDEX('nav master'!$C:$C, MATCH(B19, 'nav master'!$B:$B, 0)), "")</f>
        <v>ULIF08028/02/25DynamicFnd101</v>
      </c>
      <c r="E19" s="8">
        <v>16.021799999999999</v>
      </c>
      <c r="F19" s="9">
        <v>45895</v>
      </c>
    </row>
    <row r="20" spans="1:6" ht="60" x14ac:dyDescent="0.25">
      <c r="A20" s="8" t="s">
        <v>63</v>
      </c>
      <c r="B20" s="8" t="s">
        <v>64</v>
      </c>
      <c r="C20" s="8" t="str">
        <f>IFERROR(_xlfn.XLOOKUP(TRIM(B20),Lookup!$B$2:$B$1000,Lookup!$C$2:$C$1000),"")</f>
        <v>Hybrid</v>
      </c>
      <c r="D20" s="8" t="str">
        <f>IFERROR(INDEX('nav master'!$C:$C, MATCH(B20, 'nav master'!$B:$B, 0)), "")</f>
        <v>ULIF08028/02/25DynamicFnd101</v>
      </c>
      <c r="E20" s="8">
        <v>15.927199999999999</v>
      </c>
      <c r="F20" s="9">
        <v>45897</v>
      </c>
    </row>
    <row r="21" spans="1:6" ht="60" x14ac:dyDescent="0.25">
      <c r="A21" s="8" t="s">
        <v>63</v>
      </c>
      <c r="B21" s="8" t="s">
        <v>64</v>
      </c>
      <c r="C21" s="8" t="str">
        <f>IFERROR(_xlfn.XLOOKUP(TRIM(B21),Lookup!$B$2:$B$1000,Lookup!$C$2:$C$1000),"")</f>
        <v>Hybrid</v>
      </c>
      <c r="D21" s="8" t="str">
        <f>IFERROR(INDEX('nav master'!$C:$C, MATCH(B21, 'nav master'!$B:$B, 0)), "")</f>
        <v>ULIF08028/02/25DynamicFnd101</v>
      </c>
      <c r="E21" s="8">
        <v>15.8576</v>
      </c>
      <c r="F21" s="9">
        <v>45898</v>
      </c>
    </row>
    <row r="22" spans="1:6" ht="60" x14ac:dyDescent="0.25">
      <c r="A22" s="8" t="s">
        <v>63</v>
      </c>
      <c r="B22" s="8" t="s">
        <v>64</v>
      </c>
      <c r="C22" s="8" t="str">
        <f>IFERROR(_xlfn.XLOOKUP(TRIM(B22),Lookup!$B$2:$B$1000,Lookup!$C$2:$C$1000),"")</f>
        <v>Hybrid</v>
      </c>
      <c r="D22" s="8" t="str">
        <f>IFERROR(INDEX('nav master'!$C:$C, MATCH(B22, 'nav master'!$B:$B, 0)), "")</f>
        <v>ULIF08028/02/25DynamicFnd101</v>
      </c>
      <c r="E22" s="8">
        <v>15.9618</v>
      </c>
      <c r="F22" s="9">
        <v>45901</v>
      </c>
    </row>
    <row r="23" spans="1:6" ht="60" x14ac:dyDescent="0.25">
      <c r="A23" s="8" t="s">
        <v>63</v>
      </c>
      <c r="B23" s="8" t="s">
        <v>64</v>
      </c>
      <c r="C23" s="8" t="str">
        <f>IFERROR(_xlfn.XLOOKUP(TRIM(B23),Lookup!$B$2:$B$1000,Lookup!$C$2:$C$1000),"")</f>
        <v>Hybrid</v>
      </c>
      <c r="D23" s="8" t="str">
        <f>IFERROR(INDEX('nav master'!$C:$C, MATCH(B23, 'nav master'!$B:$B, 0)), "")</f>
        <v>ULIF08028/02/25DynamicFnd101</v>
      </c>
      <c r="E23" s="8">
        <v>15.9793</v>
      </c>
      <c r="F23" s="9">
        <v>45902</v>
      </c>
    </row>
    <row r="24" spans="1:6" ht="60" x14ac:dyDescent="0.25">
      <c r="A24" s="8" t="s">
        <v>63</v>
      </c>
      <c r="B24" s="8" t="s">
        <v>64</v>
      </c>
      <c r="C24" s="8" t="str">
        <f>IFERROR(_xlfn.XLOOKUP(TRIM(B24),Lookup!$B$2:$B$1000,Lookup!$C$2:$C$1000),"")</f>
        <v>Hybrid</v>
      </c>
      <c r="D24" s="8" t="str">
        <f>IFERROR(INDEX('nav master'!$C:$C, MATCH(B24, 'nav master'!$B:$B, 0)), "")</f>
        <v>ULIF08028/02/25DynamicFnd101</v>
      </c>
      <c r="E24" s="8">
        <v>16.049900000000001</v>
      </c>
      <c r="F24" s="9">
        <v>45903</v>
      </c>
    </row>
    <row r="25" spans="1:6" ht="60" x14ac:dyDescent="0.25">
      <c r="A25" s="8" t="s">
        <v>63</v>
      </c>
      <c r="B25" s="8" t="s">
        <v>64</v>
      </c>
      <c r="C25" s="8" t="str">
        <f>IFERROR(_xlfn.XLOOKUP(TRIM(B25),Lookup!$B$2:$B$1000,Lookup!$C$2:$C$1000),"")</f>
        <v>Hybrid</v>
      </c>
      <c r="D25" s="8" t="str">
        <f>IFERROR(INDEX('nav master'!$C:$C, MATCH(B25, 'nav master'!$B:$B, 0)), "")</f>
        <v>ULIF08028/02/25DynamicFnd101</v>
      </c>
      <c r="E25" s="8">
        <v>16.041799999999999</v>
      </c>
      <c r="F25" s="9">
        <v>45904</v>
      </c>
    </row>
    <row r="26" spans="1:6" ht="60" x14ac:dyDescent="0.25">
      <c r="A26" s="8" t="s">
        <v>63</v>
      </c>
      <c r="B26" s="8" t="s">
        <v>64</v>
      </c>
      <c r="C26" s="8" t="str">
        <f>IFERROR(_xlfn.XLOOKUP(TRIM(B26),Lookup!$B$2:$B$1000,Lookup!$C$2:$C$1000),"")</f>
        <v>Hybrid</v>
      </c>
      <c r="D26" s="8" t="str">
        <f>IFERROR(INDEX('nav master'!$C:$C, MATCH(B26, 'nav master'!$B:$B, 0)), "")</f>
        <v>ULIF08028/02/25DynamicFnd101</v>
      </c>
      <c r="E26" s="8">
        <v>16.046399999999998</v>
      </c>
      <c r="F26" s="9">
        <v>45905</v>
      </c>
    </row>
    <row r="27" spans="1:6" ht="60" x14ac:dyDescent="0.25">
      <c r="A27" s="8" t="s">
        <v>63</v>
      </c>
      <c r="B27" s="8" t="s">
        <v>64</v>
      </c>
      <c r="C27" s="8" t="str">
        <f>IFERROR(_xlfn.XLOOKUP(TRIM(B27),Lookup!$B$2:$B$1000,Lookup!$C$2:$C$1000),"")</f>
        <v>Hybrid</v>
      </c>
      <c r="D27" s="8" t="str">
        <f>IFERROR(INDEX('nav master'!$C:$C, MATCH(B27, 'nav master'!$B:$B, 0)), "")</f>
        <v>ULIF08028/02/25DynamicFnd101</v>
      </c>
      <c r="E27" s="8">
        <v>16.051200000000001</v>
      </c>
      <c r="F27" s="9">
        <v>45908</v>
      </c>
    </row>
    <row r="28" spans="1:6" ht="60" x14ac:dyDescent="0.25">
      <c r="A28" s="8" t="s">
        <v>63</v>
      </c>
      <c r="B28" s="8" t="s">
        <v>64</v>
      </c>
      <c r="C28" s="8" t="str">
        <f>IFERROR(_xlfn.XLOOKUP(TRIM(B28),Lookup!$B$2:$B$1000,Lookup!$C$2:$C$1000),"")</f>
        <v>Hybrid</v>
      </c>
      <c r="D28" s="8" t="str">
        <f>IFERROR(INDEX('nav master'!$C:$C, MATCH(B28, 'nav master'!$B:$B, 0)), "")</f>
        <v>ULIF08028/02/25DynamicFnd101</v>
      </c>
      <c r="E28" s="8">
        <v>16.061299999999999</v>
      </c>
      <c r="F28" s="9">
        <v>45909</v>
      </c>
    </row>
    <row r="29" spans="1:6" ht="60" x14ac:dyDescent="0.25">
      <c r="A29" s="8" t="s">
        <v>63</v>
      </c>
      <c r="B29" s="8" t="s">
        <v>64</v>
      </c>
      <c r="C29" s="8" t="str">
        <f>IFERROR(_xlfn.XLOOKUP(TRIM(B29),Lookup!$B$2:$B$1000,Lookup!$C$2:$C$1000),"")</f>
        <v>Hybrid</v>
      </c>
      <c r="D29" s="8" t="str">
        <f>IFERROR(INDEX('nav master'!$C:$C, MATCH(B29, 'nav master'!$B:$B, 0)), "")</f>
        <v>ULIF08028/02/25DynamicFnd101</v>
      </c>
      <c r="E29" s="8">
        <v>16.081</v>
      </c>
      <c r="F29" s="9">
        <v>45910</v>
      </c>
    </row>
    <row r="30" spans="1:6" ht="60" x14ac:dyDescent="0.25">
      <c r="A30" s="8" t="s">
        <v>63</v>
      </c>
      <c r="B30" s="8" t="s">
        <v>64</v>
      </c>
      <c r="C30" s="8" t="str">
        <f>IFERROR(_xlfn.XLOOKUP(TRIM(B30),Lookup!$B$2:$B$1000,Lookup!$C$2:$C$1000),"")</f>
        <v>Hybrid</v>
      </c>
      <c r="D30" s="8" t="str">
        <f>IFERROR(INDEX('nav master'!$C:$C, MATCH(B30, 'nav master'!$B:$B, 0)), "")</f>
        <v>ULIF08028/02/25DynamicFnd101</v>
      </c>
      <c r="E30" s="8">
        <v>16.0532</v>
      </c>
      <c r="F30" s="9">
        <v>45911</v>
      </c>
    </row>
    <row r="31" spans="1:6" ht="60" x14ac:dyDescent="0.25">
      <c r="A31" s="8" t="s">
        <v>63</v>
      </c>
      <c r="B31" s="8" t="s">
        <v>64</v>
      </c>
      <c r="C31" s="8" t="str">
        <f>IFERROR(_xlfn.XLOOKUP(TRIM(B31),Lookup!$B$2:$B$1000,Lookup!$C$2:$C$1000),"")</f>
        <v>Hybrid</v>
      </c>
      <c r="D31" s="8" t="str">
        <f>IFERROR(INDEX('nav master'!$C:$C, MATCH(B31, 'nav master'!$B:$B, 0)), "")</f>
        <v>ULIF08028/02/25DynamicFnd101</v>
      </c>
      <c r="E31" s="8">
        <v>16.0746</v>
      </c>
      <c r="F31" s="9">
        <v>45912</v>
      </c>
    </row>
    <row r="32" spans="1:6" ht="60" x14ac:dyDescent="0.25">
      <c r="A32" s="8" t="s">
        <v>63</v>
      </c>
      <c r="B32" s="8" t="s">
        <v>64</v>
      </c>
      <c r="C32" s="8" t="str">
        <f>IFERROR(_xlfn.XLOOKUP(TRIM(B32),Lookup!$B$2:$B$1000,Lookup!$C$2:$C$1000),"")</f>
        <v>Hybrid</v>
      </c>
      <c r="D32" s="8" t="str">
        <f>IFERROR(INDEX('nav master'!$C:$C, MATCH(B32, 'nav master'!$B:$B, 0)), "")</f>
        <v>ULIF08028/02/25DynamicFnd101</v>
      </c>
      <c r="E32" s="8">
        <v>16.084700000000002</v>
      </c>
      <c r="F32" s="9">
        <v>45915</v>
      </c>
    </row>
    <row r="33" spans="1:6" ht="60" x14ac:dyDescent="0.25">
      <c r="A33" s="8" t="s">
        <v>63</v>
      </c>
      <c r="B33" s="8" t="s">
        <v>64</v>
      </c>
      <c r="C33" s="8" t="str">
        <f>IFERROR(_xlfn.XLOOKUP(TRIM(B33),Lookup!$B$2:$B$1000,Lookup!$C$2:$C$1000),"")</f>
        <v>Hybrid</v>
      </c>
      <c r="D33" s="8" t="str">
        <f>IFERROR(INDEX('nav master'!$C:$C, MATCH(B33, 'nav master'!$B:$B, 0)), "")</f>
        <v>ULIF08028/02/25DynamicFnd101</v>
      </c>
      <c r="E33" s="8">
        <v>16.1008</v>
      </c>
      <c r="F33" s="9">
        <v>45916</v>
      </c>
    </row>
    <row r="34" spans="1:6" ht="60" x14ac:dyDescent="0.25">
      <c r="A34" s="8" t="s">
        <v>63</v>
      </c>
      <c r="B34" s="8" t="s">
        <v>64</v>
      </c>
      <c r="C34" s="8" t="str">
        <f>IFERROR(_xlfn.XLOOKUP(TRIM(B34),Lookup!$B$2:$B$1000,Lookup!$C$2:$C$1000),"")</f>
        <v>Hybrid</v>
      </c>
      <c r="D34" s="8" t="str">
        <f>IFERROR(INDEX('nav master'!$C:$C, MATCH(B34, 'nav master'!$B:$B, 0)), "")</f>
        <v>ULIF08028/02/25DynamicFnd101</v>
      </c>
      <c r="E34" s="8">
        <v>16.136399999999998</v>
      </c>
      <c r="F34" s="9">
        <v>45917</v>
      </c>
    </row>
    <row r="35" spans="1:6" ht="60" x14ac:dyDescent="0.25">
      <c r="A35" s="8" t="s">
        <v>63</v>
      </c>
      <c r="B35" s="8" t="s">
        <v>64</v>
      </c>
      <c r="C35" s="8" t="str">
        <f>IFERROR(_xlfn.XLOOKUP(TRIM(B35),Lookup!$B$2:$B$1000,Lookup!$C$2:$C$1000),"")</f>
        <v>Hybrid</v>
      </c>
      <c r="D35" s="8" t="str">
        <f>IFERROR(INDEX('nav master'!$C:$C, MATCH(B35, 'nav master'!$B:$B, 0)), "")</f>
        <v>ULIF08028/02/25DynamicFnd101</v>
      </c>
      <c r="E35" s="8">
        <v>16.1691</v>
      </c>
      <c r="F35" s="9">
        <v>45918</v>
      </c>
    </row>
    <row r="36" spans="1:6" ht="60" x14ac:dyDescent="0.25">
      <c r="A36" s="8" t="s">
        <v>63</v>
      </c>
      <c r="B36" s="8" t="s">
        <v>64</v>
      </c>
      <c r="C36" s="8" t="str">
        <f>IFERROR(_xlfn.XLOOKUP(TRIM(B36),Lookup!$B$2:$B$1000,Lookup!$C$2:$C$1000),"")</f>
        <v>Hybrid</v>
      </c>
      <c r="D36" s="8" t="str">
        <f>IFERROR(INDEX('nav master'!$C:$C, MATCH(B36, 'nav master'!$B:$B, 0)), "")</f>
        <v>ULIF08028/02/25DynamicFnd101</v>
      </c>
      <c r="E36" s="8">
        <v>16.159700000000001</v>
      </c>
      <c r="F36" s="9">
        <v>45919</v>
      </c>
    </row>
    <row r="37" spans="1:6" ht="60" x14ac:dyDescent="0.25">
      <c r="A37" s="8" t="s">
        <v>63</v>
      </c>
      <c r="B37" s="8" t="s">
        <v>64</v>
      </c>
      <c r="C37" s="8" t="str">
        <f>IFERROR(_xlfn.XLOOKUP(TRIM(B37),Lookup!$B$2:$B$1000,Lookup!$C$2:$C$1000),"")</f>
        <v>Hybrid</v>
      </c>
      <c r="D37" s="8" t="str">
        <f>IFERROR(INDEX('nav master'!$C:$C, MATCH(B37, 'nav master'!$B:$B, 0)), "")</f>
        <v>ULIF08028/02/25DynamicFnd101</v>
      </c>
      <c r="E37" s="8">
        <v>16.102</v>
      </c>
      <c r="F37" s="9">
        <v>45922</v>
      </c>
    </row>
    <row r="38" spans="1:6" ht="60" x14ac:dyDescent="0.25">
      <c r="A38" s="8" t="s">
        <v>63</v>
      </c>
      <c r="B38" s="8" t="s">
        <v>64</v>
      </c>
      <c r="C38" s="8" t="str">
        <f>IFERROR(_xlfn.XLOOKUP(TRIM(B38),Lookup!$B$2:$B$1000,Lookup!$C$2:$C$1000),"")</f>
        <v>Hybrid</v>
      </c>
      <c r="D38" s="8" t="str">
        <f>IFERROR(INDEX('nav master'!$C:$C, MATCH(B38, 'nav master'!$B:$B, 0)), "")</f>
        <v>ULIF08028/02/25DynamicFnd101</v>
      </c>
      <c r="E38" s="8">
        <v>16.073</v>
      </c>
      <c r="F38" s="9">
        <v>45923</v>
      </c>
    </row>
    <row r="39" spans="1:6" ht="60" x14ac:dyDescent="0.25">
      <c r="A39" s="8" t="s">
        <v>63</v>
      </c>
      <c r="B39" s="8" t="s">
        <v>64</v>
      </c>
      <c r="C39" s="8" t="str">
        <f>IFERROR(_xlfn.XLOOKUP(TRIM(B39),Lookup!$B$2:$B$1000,Lookup!$C$2:$C$1000),"")</f>
        <v>Hybrid</v>
      </c>
      <c r="D39" s="8" t="str">
        <f>IFERROR(INDEX('nav master'!$C:$C, MATCH(B39, 'nav master'!$B:$B, 0)), "")</f>
        <v>ULIF08028/02/25DynamicFnd101</v>
      </c>
      <c r="E39" s="8">
        <v>16.021100000000001</v>
      </c>
      <c r="F39" s="9">
        <v>45924</v>
      </c>
    </row>
    <row r="40" spans="1:6" ht="60" x14ac:dyDescent="0.25">
      <c r="A40" s="8" t="s">
        <v>63</v>
      </c>
      <c r="B40" s="8" t="s">
        <v>64</v>
      </c>
      <c r="C40" s="8" t="str">
        <f>IFERROR(_xlfn.XLOOKUP(TRIM(B40),Lookup!$B$2:$B$1000,Lookup!$C$2:$C$1000),"")</f>
        <v>Hybrid</v>
      </c>
      <c r="D40" s="8" t="str">
        <f>IFERROR(INDEX('nav master'!$C:$C, MATCH(B40, 'nav master'!$B:$B, 0)), "")</f>
        <v>ULIF08028/02/25DynamicFnd101</v>
      </c>
      <c r="E40" s="8">
        <v>15.9634</v>
      </c>
      <c r="F40" s="9">
        <v>45925</v>
      </c>
    </row>
    <row r="41" spans="1:6" ht="60" x14ac:dyDescent="0.25">
      <c r="A41" s="8" t="s">
        <v>63</v>
      </c>
      <c r="B41" s="8" t="s">
        <v>64</v>
      </c>
      <c r="C41" s="8" t="str">
        <f>IFERROR(_xlfn.XLOOKUP(TRIM(B41),Lookup!$B$2:$B$1000,Lookup!$C$2:$C$1000),"")</f>
        <v>Hybrid</v>
      </c>
      <c r="D41" s="8" t="str">
        <f>IFERROR(INDEX('nav master'!$C:$C, MATCH(B41, 'nav master'!$B:$B, 0)), "")</f>
        <v>ULIF08028/02/25DynamicFnd101</v>
      </c>
      <c r="E41" s="8">
        <v>15.8155</v>
      </c>
      <c r="F41" s="9">
        <v>45926</v>
      </c>
    </row>
    <row r="42" spans="1:6" ht="60" x14ac:dyDescent="0.25">
      <c r="A42" s="8" t="s">
        <v>63</v>
      </c>
      <c r="B42" s="8" t="s">
        <v>64</v>
      </c>
      <c r="C42" s="8" t="str">
        <f>IFERROR(_xlfn.XLOOKUP(TRIM(B42),Lookup!$B$2:$B$1000,Lookup!$C$2:$C$1000),"")</f>
        <v>Hybrid</v>
      </c>
      <c r="D42" s="8" t="str">
        <f>IFERROR(INDEX('nav master'!$C:$C, MATCH(B42, 'nav master'!$B:$B, 0)), "")</f>
        <v>ULIF08028/02/25DynamicFnd101</v>
      </c>
      <c r="E42" s="8">
        <v>15.834300000000001</v>
      </c>
      <c r="F42" s="9">
        <v>45929</v>
      </c>
    </row>
    <row r="43" spans="1:6" ht="60" x14ac:dyDescent="0.25">
      <c r="A43" s="8" t="s">
        <v>63</v>
      </c>
      <c r="B43" s="8" t="s">
        <v>64</v>
      </c>
      <c r="C43" s="8" t="str">
        <f>IFERROR(_xlfn.XLOOKUP(TRIM(B43),Lookup!$B$2:$B$1000,Lookup!$C$2:$C$1000),"")</f>
        <v>Hybrid</v>
      </c>
      <c r="D43" s="8" t="str">
        <f>IFERROR(INDEX('nav master'!$C:$C, MATCH(B43, 'nav master'!$B:$B, 0)), "")</f>
        <v>ULIF08028/02/25DynamicFnd101</v>
      </c>
      <c r="E43" s="8">
        <v>15.8271</v>
      </c>
      <c r="F43" s="9">
        <v>45930</v>
      </c>
    </row>
    <row r="44" spans="1:6" ht="60" x14ac:dyDescent="0.25">
      <c r="A44" s="8" t="s">
        <v>63</v>
      </c>
      <c r="B44" s="8" t="s">
        <v>64</v>
      </c>
      <c r="C44" s="8" t="str">
        <f>IFERROR(_xlfn.XLOOKUP(TRIM(B44),Lookup!$B$2:$B$1000,Lookup!$C$2:$C$1000),"")</f>
        <v>Hybrid</v>
      </c>
      <c r="D44" s="8" t="str">
        <f>IFERROR(INDEX('nav master'!$C:$C, MATCH(B44, 'nav master'!$B:$B, 0)), "")</f>
        <v>ULIF08028/02/25DynamicFnd101</v>
      </c>
      <c r="E44" s="8">
        <v>15.9331</v>
      </c>
      <c r="F44" s="9">
        <v>45931</v>
      </c>
    </row>
    <row r="45" spans="1:6" ht="60" x14ac:dyDescent="0.25">
      <c r="A45" s="8" t="s">
        <v>63</v>
      </c>
      <c r="B45" s="8" t="s">
        <v>64</v>
      </c>
      <c r="C45" s="8" t="str">
        <f>IFERROR(_xlfn.XLOOKUP(TRIM(B45),Lookup!$B$2:$B$1000,Lookup!$C$2:$C$1000),"")</f>
        <v>Hybrid</v>
      </c>
      <c r="D45" s="8" t="str">
        <f>IFERROR(INDEX('nav master'!$C:$C, MATCH(B45, 'nav master'!$B:$B, 0)), "")</f>
        <v>ULIF08028/02/25DynamicFnd101</v>
      </c>
      <c r="E45" s="8">
        <v>15.983000000000001</v>
      </c>
      <c r="F45" s="9">
        <v>45933</v>
      </c>
    </row>
    <row r="46" spans="1:6" ht="60" x14ac:dyDescent="0.25">
      <c r="A46" s="8" t="s">
        <v>63</v>
      </c>
      <c r="B46" s="8" t="s">
        <v>64</v>
      </c>
      <c r="C46" s="8" t="str">
        <f>IFERROR(_xlfn.XLOOKUP(TRIM(B46),Lookup!$B$2:$B$1000,Lookup!$C$2:$C$1000),"")</f>
        <v>Hybrid</v>
      </c>
      <c r="D46" s="8" t="str">
        <f>IFERROR(INDEX('nav master'!$C:$C, MATCH(B46, 'nav master'!$B:$B, 0)), "")</f>
        <v>ULIF08028/02/25DynamicFnd101</v>
      </c>
      <c r="E46" s="8">
        <v>16.070599999999999</v>
      </c>
      <c r="F46" s="9">
        <v>45936</v>
      </c>
    </row>
    <row r="47" spans="1:6" ht="60" x14ac:dyDescent="0.25">
      <c r="A47" s="8" t="s">
        <v>63</v>
      </c>
      <c r="B47" s="8" t="s">
        <v>64</v>
      </c>
      <c r="C47" s="8" t="str">
        <f>IFERROR(_xlfn.XLOOKUP(TRIM(B47),Lookup!$B$2:$B$1000,Lookup!$C$2:$C$1000),"")</f>
        <v>Hybrid</v>
      </c>
      <c r="D47" s="8" t="str">
        <f>IFERROR(INDEX('nav master'!$C:$C, MATCH(B47, 'nav master'!$B:$B, 0)), "")</f>
        <v>ULIF08028/02/25DynamicFnd101</v>
      </c>
      <c r="E47" s="8">
        <v>16.108899999999998</v>
      </c>
      <c r="F47" s="9">
        <v>45937</v>
      </c>
    </row>
    <row r="48" spans="1:6" ht="60" x14ac:dyDescent="0.25">
      <c r="A48" s="8" t="s">
        <v>63</v>
      </c>
      <c r="B48" s="8" t="s">
        <v>64</v>
      </c>
      <c r="C48" s="8" t="str">
        <f>IFERROR(_xlfn.XLOOKUP(TRIM(B48),Lookup!$B$2:$B$1000,Lookup!$C$2:$C$1000),"")</f>
        <v>Hybrid</v>
      </c>
      <c r="D48" s="8" t="str">
        <f>IFERROR(INDEX('nav master'!$C:$C, MATCH(B48, 'nav master'!$B:$B, 0)), "")</f>
        <v>ULIF08028/02/25DynamicFnd101</v>
      </c>
      <c r="E48" s="8">
        <v>16.081099999999999</v>
      </c>
      <c r="F48" s="9">
        <v>45938</v>
      </c>
    </row>
    <row r="49" spans="1:6" ht="60" x14ac:dyDescent="0.25">
      <c r="A49" s="8" t="s">
        <v>63</v>
      </c>
      <c r="B49" s="8" t="s">
        <v>64</v>
      </c>
      <c r="C49" s="8" t="str">
        <f>IFERROR(_xlfn.XLOOKUP(TRIM(B49),Lookup!$B$2:$B$1000,Lookup!$C$2:$C$1000),"")</f>
        <v>Hybrid</v>
      </c>
      <c r="D49" s="8" t="str">
        <f>IFERROR(INDEX('nav master'!$C:$C, MATCH(B49, 'nav master'!$B:$B, 0)), "")</f>
        <v>ULIF08028/02/25DynamicFnd101</v>
      </c>
      <c r="E49" s="8">
        <v>16.135899999999999</v>
      </c>
      <c r="F49" s="9">
        <v>45939</v>
      </c>
    </row>
    <row r="50" spans="1:6" ht="60" x14ac:dyDescent="0.25">
      <c r="A50" s="8" t="s">
        <v>63</v>
      </c>
      <c r="B50" s="8" t="s">
        <v>64</v>
      </c>
      <c r="C50" s="8" t="str">
        <f>IFERROR(_xlfn.XLOOKUP(TRIM(B50),Lookup!$B$2:$B$1000,Lookup!$C$2:$C$1000),"")</f>
        <v>Hybrid</v>
      </c>
      <c r="D50" s="8" t="str">
        <f>IFERROR(INDEX('nav master'!$C:$C, MATCH(B50, 'nav master'!$B:$B, 0)), "")</f>
        <v>ULIF08028/02/25DynamicFnd101</v>
      </c>
      <c r="E50" s="8">
        <v>16.1694</v>
      </c>
      <c r="F50" s="9">
        <v>45940</v>
      </c>
    </row>
    <row r="51" spans="1:6" ht="60" x14ac:dyDescent="0.25">
      <c r="A51" s="8" t="s">
        <v>63</v>
      </c>
      <c r="B51" s="8" t="s">
        <v>64</v>
      </c>
      <c r="C51" s="8" t="str">
        <f>IFERROR(_xlfn.XLOOKUP(TRIM(B51),Lookup!$B$2:$B$1000,Lookup!$C$2:$C$1000),"")</f>
        <v>Hybrid</v>
      </c>
      <c r="D51" s="8" t="str">
        <f>IFERROR(INDEX('nav master'!$C:$C, MATCH(B51, 'nav master'!$B:$B, 0)), "")</f>
        <v>ULIF08028/02/25DynamicFnd101</v>
      </c>
      <c r="E51" s="8">
        <v>16.1845</v>
      </c>
      <c r="F51" s="9">
        <v>45943</v>
      </c>
    </row>
    <row r="52" spans="1:6" ht="60" x14ac:dyDescent="0.25">
      <c r="A52" s="8" t="s">
        <v>63</v>
      </c>
      <c r="B52" s="8" t="s">
        <v>64</v>
      </c>
      <c r="C52" s="8" t="str">
        <f>IFERROR(_xlfn.XLOOKUP(TRIM(B52),Lookup!$B$2:$B$1000,Lookup!$C$2:$C$1000),"")</f>
        <v>Hybrid</v>
      </c>
      <c r="D52" s="8" t="str">
        <f>IFERROR(INDEX('nav master'!$C:$C, MATCH(B52, 'nav master'!$B:$B, 0)), "")</f>
        <v>ULIF08028/02/25DynamicFnd101</v>
      </c>
      <c r="E52" s="8">
        <v>16.166399999999999</v>
      </c>
      <c r="F52" s="9">
        <v>45944</v>
      </c>
    </row>
    <row r="53" spans="1:6" ht="60" x14ac:dyDescent="0.25">
      <c r="A53" s="8" t="s">
        <v>63</v>
      </c>
      <c r="B53" s="8" t="s">
        <v>64</v>
      </c>
      <c r="C53" s="8" t="str">
        <f>IFERROR(_xlfn.XLOOKUP(TRIM(B53),Lookup!$B$2:$B$1000,Lookup!$C$2:$C$1000),"")</f>
        <v>Hybrid</v>
      </c>
      <c r="D53" s="8" t="str">
        <f>IFERROR(INDEX('nav master'!$C:$C, MATCH(B53, 'nav master'!$B:$B, 0)), "")</f>
        <v>ULIF08028/02/25DynamicFnd101</v>
      </c>
      <c r="E53" s="8">
        <v>16.231200000000001</v>
      </c>
      <c r="F53" s="9">
        <v>45945</v>
      </c>
    </row>
    <row r="54" spans="1:6" ht="60" x14ac:dyDescent="0.25">
      <c r="A54" s="8" t="s">
        <v>63</v>
      </c>
      <c r="B54" s="8" t="s">
        <v>64</v>
      </c>
      <c r="C54" s="8" t="str">
        <f>IFERROR(_xlfn.XLOOKUP(TRIM(B54),Lookup!$B$2:$B$1000,Lookup!$C$2:$C$1000),"")</f>
        <v>Hybrid</v>
      </c>
      <c r="D54" s="8" t="str">
        <f>IFERROR(INDEX('nav master'!$C:$C, MATCH(B54, 'nav master'!$B:$B, 0)), "")</f>
        <v>ULIF08028/02/25DynamicFnd101</v>
      </c>
      <c r="E54" s="8">
        <v>16.272500000000001</v>
      </c>
      <c r="F54" s="9">
        <v>45946</v>
      </c>
    </row>
    <row r="55" spans="1:6" ht="60" x14ac:dyDescent="0.25">
      <c r="A55" s="8" t="s">
        <v>63</v>
      </c>
      <c r="B55" s="8" t="s">
        <v>64</v>
      </c>
      <c r="C55" s="8" t="str">
        <f>IFERROR(_xlfn.XLOOKUP(TRIM(B55),Lookup!$B$2:$B$1000,Lookup!$C$2:$C$1000),"")</f>
        <v>Hybrid</v>
      </c>
      <c r="D55" s="8" t="str">
        <f>IFERROR(INDEX('nav master'!$C:$C, MATCH(B55, 'nav master'!$B:$B, 0)), "")</f>
        <v>ULIF08028/02/25DynamicFnd101</v>
      </c>
      <c r="E55" s="8">
        <v>16.302600000000002</v>
      </c>
      <c r="F55" s="9">
        <v>45947</v>
      </c>
    </row>
    <row r="56" spans="1:6" ht="60" x14ac:dyDescent="0.25">
      <c r="A56" s="8" t="s">
        <v>63</v>
      </c>
      <c r="B56" s="8" t="s">
        <v>64</v>
      </c>
      <c r="C56" s="8" t="str">
        <f>IFERROR(_xlfn.XLOOKUP(TRIM(B56),Lookup!$B$2:$B$1000,Lookup!$C$2:$C$1000),"")</f>
        <v>Hybrid</v>
      </c>
      <c r="D56" s="8" t="str">
        <f>IFERROR(INDEX('nav master'!$C:$C, MATCH(B56, 'nav master'!$B:$B, 0)), "")</f>
        <v>ULIF08028/02/25DynamicFnd101</v>
      </c>
      <c r="E56" s="8">
        <v>16.3489</v>
      </c>
      <c r="F56" s="9">
        <v>45950</v>
      </c>
    </row>
    <row r="57" spans="1:6" ht="60" x14ac:dyDescent="0.25">
      <c r="A57" s="8" t="s">
        <v>63</v>
      </c>
      <c r="B57" s="8" t="s">
        <v>64</v>
      </c>
      <c r="C57" s="8" t="str">
        <f>IFERROR(_xlfn.XLOOKUP(TRIM(B57),Lookup!$B$2:$B$1000,Lookup!$C$2:$C$1000),"")</f>
        <v>Hybrid</v>
      </c>
      <c r="D57" s="8" t="str">
        <f>IFERROR(INDEX('nav master'!$C:$C, MATCH(B57, 'nav master'!$B:$B, 0)), "")</f>
        <v>ULIF08028/02/25DynamicFnd101</v>
      </c>
      <c r="E57" s="8">
        <v>16.3581</v>
      </c>
      <c r="F57" s="9">
        <v>45953</v>
      </c>
    </row>
    <row r="58" spans="1:6" ht="60" x14ac:dyDescent="0.25">
      <c r="A58" s="8" t="s">
        <v>63</v>
      </c>
      <c r="B58" s="8" t="s">
        <v>64</v>
      </c>
      <c r="C58" s="8" t="str">
        <f>IFERROR(_xlfn.XLOOKUP(TRIM(B58),Lookup!$B$2:$B$1000,Lookup!$C$2:$C$1000),"")</f>
        <v>Hybrid</v>
      </c>
      <c r="D58" s="8" t="str">
        <f>IFERROR(INDEX('nav master'!$C:$C, MATCH(B58, 'nav master'!$B:$B, 0)), "")</f>
        <v>ULIF08028/02/25DynamicFnd101</v>
      </c>
      <c r="E58" s="8">
        <v>16.295000000000002</v>
      </c>
      <c r="F58" s="9">
        <v>45954</v>
      </c>
    </row>
    <row r="59" spans="1:6" ht="60" x14ac:dyDescent="0.25">
      <c r="A59" s="8" t="s">
        <v>63</v>
      </c>
      <c r="B59" s="8" t="s">
        <v>64</v>
      </c>
      <c r="C59" s="8" t="str">
        <f>IFERROR(_xlfn.XLOOKUP(TRIM(B59),Lookup!$B$2:$B$1000,Lookup!$C$2:$C$1000),"")</f>
        <v>Hybrid</v>
      </c>
      <c r="D59" s="8" t="str">
        <f>IFERROR(INDEX('nav master'!$C:$C, MATCH(B59, 'nav master'!$B:$B, 0)), "")</f>
        <v>ULIF08028/02/25DynamicFnd101</v>
      </c>
      <c r="E59" s="8">
        <v>16.366299999999999</v>
      </c>
      <c r="F59" s="9">
        <v>45957</v>
      </c>
    </row>
    <row r="60" spans="1:6" ht="60" x14ac:dyDescent="0.25">
      <c r="A60" s="8" t="s">
        <v>63</v>
      </c>
      <c r="B60" s="8" t="s">
        <v>64</v>
      </c>
      <c r="C60" s="8" t="str">
        <f>IFERROR(_xlfn.XLOOKUP(TRIM(B60),Lookup!$B$2:$B$1000,Lookup!$C$2:$C$1000),"")</f>
        <v>Hybrid</v>
      </c>
      <c r="D60" s="8" t="str">
        <f>IFERROR(INDEX('nav master'!$C:$C, MATCH(B60, 'nav master'!$B:$B, 0)), "")</f>
        <v>ULIF08028/02/25DynamicFnd101</v>
      </c>
      <c r="E60" s="8">
        <v>16.341100000000001</v>
      </c>
      <c r="F60" s="9">
        <v>45958</v>
      </c>
    </row>
    <row r="61" spans="1:6" ht="60" x14ac:dyDescent="0.25">
      <c r="A61" s="8" t="s">
        <v>63</v>
      </c>
      <c r="B61" s="8" t="s">
        <v>64</v>
      </c>
      <c r="C61" s="8" t="str">
        <f>IFERROR(_xlfn.XLOOKUP(TRIM(B61),Lookup!$B$2:$B$1000,Lookup!$C$2:$C$1000),"")</f>
        <v>Hybrid</v>
      </c>
      <c r="D61" s="8" t="str">
        <f>IFERROR(INDEX('nav master'!$C:$C, MATCH(B61, 'nav master'!$B:$B, 0)), "")</f>
        <v>ULIF08028/02/25DynamicFnd101</v>
      </c>
      <c r="E61" s="8">
        <v>16.3782</v>
      </c>
      <c r="F61" s="9">
        <v>45959</v>
      </c>
    </row>
    <row r="62" spans="1:6" ht="60" x14ac:dyDescent="0.25">
      <c r="A62" s="8" t="s">
        <v>63</v>
      </c>
      <c r="B62" s="8" t="s">
        <v>64</v>
      </c>
      <c r="C62" s="8" t="str">
        <f>IFERROR(_xlfn.XLOOKUP(TRIM(B62),Lookup!$B$2:$B$1000,Lookup!$C$2:$C$1000),"")</f>
        <v>Hybrid</v>
      </c>
      <c r="D62" s="8" t="str">
        <f>IFERROR(INDEX('nav master'!$C:$C, MATCH(B62, 'nav master'!$B:$B, 0)), "")</f>
        <v>ULIF08028/02/25DynamicFnd101</v>
      </c>
      <c r="E62" s="8">
        <v>16.3217</v>
      </c>
      <c r="F62" s="9">
        <v>45960</v>
      </c>
    </row>
    <row r="63" spans="1:6" ht="60" x14ac:dyDescent="0.25">
      <c r="A63" s="8" t="s">
        <v>63</v>
      </c>
      <c r="B63" s="8" t="s">
        <v>64</v>
      </c>
      <c r="C63" s="8" t="str">
        <f>IFERROR(_xlfn.XLOOKUP(TRIM(B63),Lookup!$B$2:$B$1000,Lookup!$C$2:$C$1000),"")</f>
        <v>Hybrid</v>
      </c>
      <c r="D63" s="8" t="str">
        <f>IFERROR(INDEX('nav master'!$C:$C, MATCH(B63, 'nav master'!$B:$B, 0)), "")</f>
        <v>ULIF08028/02/25DynamicFnd101</v>
      </c>
      <c r="E63" s="8">
        <v>16.261900000000001</v>
      </c>
      <c r="F63" s="9">
        <v>45961</v>
      </c>
    </row>
    <row r="64" spans="1:6" ht="60" x14ac:dyDescent="0.25">
      <c r="A64" s="8" t="s">
        <v>63</v>
      </c>
      <c r="B64" s="8" t="s">
        <v>64</v>
      </c>
      <c r="C64" s="8" t="str">
        <f>IFERROR(_xlfn.XLOOKUP(TRIM(B64),Lookup!$B$2:$B$1000,Lookup!$C$2:$C$1000),"")</f>
        <v>Hybrid</v>
      </c>
      <c r="D64" s="8" t="str">
        <f>IFERROR(INDEX('nav master'!$C:$C, MATCH(B64, 'nav master'!$B:$B, 0)), "")</f>
        <v>ULIF08028/02/25DynamicFnd101</v>
      </c>
      <c r="E64" s="8">
        <v>16.3264</v>
      </c>
      <c r="F64" s="9">
        <v>45964</v>
      </c>
    </row>
    <row r="65" spans="1:6" ht="60" x14ac:dyDescent="0.25">
      <c r="A65" s="8" t="s">
        <v>63</v>
      </c>
      <c r="B65" s="8" t="s">
        <v>64</v>
      </c>
      <c r="C65" s="8" t="str">
        <f>IFERROR(_xlfn.XLOOKUP(TRIM(B65),Lookup!$B$2:$B$1000,Lookup!$C$2:$C$1000),"")</f>
        <v>Hybrid</v>
      </c>
      <c r="D65" s="8" t="str">
        <f>IFERROR(INDEX('nav master'!$C:$C, MATCH(B65, 'nav master'!$B:$B, 0)), "")</f>
        <v>ULIF08028/02/25DynamicFnd101</v>
      </c>
      <c r="E65" s="8">
        <v>16.313300000000002</v>
      </c>
      <c r="F65" s="9">
        <v>45965</v>
      </c>
    </row>
    <row r="66" spans="1:6" ht="60" x14ac:dyDescent="0.25">
      <c r="A66" s="8" t="s">
        <v>63</v>
      </c>
      <c r="B66" s="8" t="s">
        <v>64</v>
      </c>
      <c r="C66" s="8" t="str">
        <f>IFERROR(_xlfn.XLOOKUP(TRIM(B66),Lookup!$B$2:$B$1000,Lookup!$C$2:$C$1000),"")</f>
        <v>Hybrid</v>
      </c>
      <c r="D66" s="8" t="str">
        <f>IFERROR(INDEX('nav master'!$C:$C, MATCH(B66, 'nav master'!$B:$B, 0)), "")</f>
        <v>ULIF08028/02/25DynamicFnd101</v>
      </c>
      <c r="E66" s="8">
        <v>16.227699999999999</v>
      </c>
      <c r="F66" s="9">
        <v>45967</v>
      </c>
    </row>
    <row r="67" spans="1:6" ht="60" x14ac:dyDescent="0.25">
      <c r="A67" s="8" t="s">
        <v>63</v>
      </c>
      <c r="B67" s="8" t="s">
        <v>64</v>
      </c>
      <c r="C67" s="8" t="str">
        <f>IFERROR(_xlfn.XLOOKUP(TRIM(B67),Lookup!$B$2:$B$1000,Lookup!$C$2:$C$1000),"")</f>
        <v>Hybrid</v>
      </c>
      <c r="D67" s="8" t="str">
        <f>IFERROR(INDEX('nav master'!$C:$C, MATCH(B67, 'nav master'!$B:$B, 0)), "")</f>
        <v>ULIF08028/02/25DynamicFnd101</v>
      </c>
      <c r="E67" s="8">
        <v>16.2516</v>
      </c>
      <c r="F67" s="9">
        <v>45968</v>
      </c>
    </row>
    <row r="68" spans="1:6" ht="60" x14ac:dyDescent="0.25">
      <c r="A68" s="8" t="s">
        <v>63</v>
      </c>
      <c r="B68" s="8" t="s">
        <v>64</v>
      </c>
      <c r="C68" s="8" t="str">
        <f>IFERROR(_xlfn.XLOOKUP(TRIM(B68),Lookup!$B$2:$B$1000,Lookup!$C$2:$C$1000),"")</f>
        <v>Hybrid</v>
      </c>
      <c r="D68" s="8" t="str">
        <f>IFERROR(INDEX('nav master'!$C:$C, MATCH(B68, 'nav master'!$B:$B, 0)), "")</f>
        <v>ULIF08028/02/25DynamicFnd101</v>
      </c>
      <c r="E68" s="8">
        <v>16.3064</v>
      </c>
      <c r="F68" s="9">
        <v>45971</v>
      </c>
    </row>
    <row r="69" spans="1:6" ht="60" x14ac:dyDescent="0.25">
      <c r="A69" s="8" t="s">
        <v>63</v>
      </c>
      <c r="B69" s="8" t="s">
        <v>64</v>
      </c>
      <c r="C69" s="8" t="str">
        <f>IFERROR(_xlfn.XLOOKUP(TRIM(B69),Lookup!$B$2:$B$1000,Lookup!$C$2:$C$1000),"")</f>
        <v>Hybrid</v>
      </c>
      <c r="D69" s="8" t="str">
        <f>IFERROR(INDEX('nav master'!$C:$C, MATCH(B69, 'nav master'!$B:$B, 0)), "")</f>
        <v>ULIF08028/02/25DynamicFnd101</v>
      </c>
      <c r="E69" s="8">
        <v>16.3703</v>
      </c>
      <c r="F69" s="9">
        <v>45972</v>
      </c>
    </row>
    <row r="70" spans="1:6" ht="60" x14ac:dyDescent="0.25">
      <c r="A70" s="8" t="s">
        <v>63</v>
      </c>
      <c r="B70" s="8" t="s">
        <v>64</v>
      </c>
      <c r="C70" s="8" t="str">
        <f>IFERROR(_xlfn.XLOOKUP(TRIM(B70),Lookup!$B$2:$B$1000,Lookup!$C$2:$C$1000),"")</f>
        <v>Hybrid</v>
      </c>
      <c r="D70" s="8" t="str">
        <f>IFERROR(INDEX('nav master'!$C:$C, MATCH(B70, 'nav master'!$B:$B, 0)), "")</f>
        <v>ULIF08028/02/25DynamicFnd101</v>
      </c>
      <c r="E70" s="8">
        <v>16.436699999999998</v>
      </c>
      <c r="F70" s="9">
        <v>45973</v>
      </c>
    </row>
    <row r="71" spans="1:6" ht="60" x14ac:dyDescent="0.25">
      <c r="A71" s="8" t="s">
        <v>63</v>
      </c>
      <c r="B71" s="8" t="s">
        <v>64</v>
      </c>
      <c r="C71" s="8" t="str">
        <f>IFERROR(_xlfn.XLOOKUP(TRIM(B71),Lookup!$B$2:$B$1000,Lookup!$C$2:$C$1000),"")</f>
        <v>Hybrid</v>
      </c>
      <c r="D71" s="8" t="str">
        <f>IFERROR(INDEX('nav master'!$C:$C, MATCH(B71, 'nav master'!$B:$B, 0)), "")</f>
        <v>ULIF08028/02/25DynamicFnd101</v>
      </c>
      <c r="E71" s="8">
        <v>16.387699999999999</v>
      </c>
      <c r="F71" s="9">
        <v>45974</v>
      </c>
    </row>
    <row r="72" spans="1:6" ht="60" x14ac:dyDescent="0.25">
      <c r="A72" s="8" t="s">
        <v>63</v>
      </c>
      <c r="B72" s="8" t="s">
        <v>64</v>
      </c>
      <c r="C72" s="8" t="str">
        <f>IFERROR(_xlfn.XLOOKUP(TRIM(B72),Lookup!$B$2:$B$1000,Lookup!$C$2:$C$1000),"")</f>
        <v>Hybrid</v>
      </c>
      <c r="D72" s="8" t="str">
        <f>IFERROR(INDEX('nav master'!$C:$C, MATCH(B72, 'nav master'!$B:$B, 0)), "")</f>
        <v>ULIF08028/02/25DynamicFnd101</v>
      </c>
      <c r="E72" s="8">
        <v>16.405799999999999</v>
      </c>
      <c r="F72" s="9">
        <v>45975</v>
      </c>
    </row>
    <row r="73" spans="1:6" ht="60" x14ac:dyDescent="0.25">
      <c r="A73" s="8" t="s">
        <v>63</v>
      </c>
      <c r="B73" s="8" t="s">
        <v>64</v>
      </c>
      <c r="C73" s="8" t="str">
        <f>IFERROR(_xlfn.XLOOKUP(TRIM(B73),Lookup!$B$2:$B$1000,Lookup!$C$2:$C$1000),"")</f>
        <v>Hybrid</v>
      </c>
      <c r="D73" s="8" t="str">
        <f>IFERROR(INDEX('nav master'!$C:$C, MATCH(B73, 'nav master'!$B:$B, 0)), "")</f>
        <v>ULIF08028/02/25DynamicFnd101</v>
      </c>
      <c r="E73" s="8">
        <v>16.474699999999999</v>
      </c>
      <c r="F73" s="9">
        <v>45978</v>
      </c>
    </row>
    <row r="74" spans="1:6" ht="60" x14ac:dyDescent="0.25">
      <c r="A74" s="8" t="s">
        <v>63</v>
      </c>
      <c r="B74" s="8" t="s">
        <v>64</v>
      </c>
      <c r="C74" s="8" t="str">
        <f>IFERROR(_xlfn.XLOOKUP(TRIM(B74),Lookup!$B$2:$B$1000,Lookup!$C$2:$C$1000),"")</f>
        <v>Hybrid</v>
      </c>
      <c r="D74" s="8" t="str">
        <f>IFERROR(INDEX('nav master'!$C:$C, MATCH(B74, 'nav master'!$B:$B, 0)), "")</f>
        <v>ULIF08028/02/25DynamicFnd101</v>
      </c>
      <c r="E74" s="8">
        <v>16.440100000000001</v>
      </c>
      <c r="F74" s="9">
        <v>45979</v>
      </c>
    </row>
    <row r="75" spans="1:6" ht="60" x14ac:dyDescent="0.25">
      <c r="A75" s="8" t="s">
        <v>63</v>
      </c>
      <c r="B75" s="8" t="s">
        <v>64</v>
      </c>
      <c r="C75" s="8" t="str">
        <f>IFERROR(_xlfn.XLOOKUP(TRIM(B75),Lookup!$B$2:$B$1000,Lookup!$C$2:$C$1000),"")</f>
        <v>Hybrid</v>
      </c>
      <c r="D75" s="8" t="str">
        <f>IFERROR(INDEX('nav master'!$C:$C, MATCH(B75, 'nav master'!$B:$B, 0)), "")</f>
        <v>ULIF08028/02/25DynamicFnd101</v>
      </c>
      <c r="E75" s="8">
        <v>16.480799999999999</v>
      </c>
      <c r="F75" s="9">
        <v>45980</v>
      </c>
    </row>
    <row r="76" spans="1:6" ht="60" x14ac:dyDescent="0.25">
      <c r="A76" s="8" t="s">
        <v>63</v>
      </c>
      <c r="B76" s="8" t="s">
        <v>64</v>
      </c>
      <c r="C76" s="8" t="str">
        <f>IFERROR(_xlfn.XLOOKUP(TRIM(B76),Lookup!$B$2:$B$1000,Lookup!$C$2:$C$1000),"")</f>
        <v>Hybrid</v>
      </c>
      <c r="D76" s="8" t="str">
        <f>IFERROR(INDEX('nav master'!$C:$C, MATCH(B76, 'nav master'!$B:$B, 0)), "")</f>
        <v>ULIF08028/02/25DynamicFnd101</v>
      </c>
      <c r="E76" s="8">
        <v>16.500499999999999</v>
      </c>
      <c r="F76" s="9">
        <v>45981</v>
      </c>
    </row>
    <row r="77" spans="1:6" ht="60" x14ac:dyDescent="0.25">
      <c r="A77" s="8" t="s">
        <v>63</v>
      </c>
      <c r="B77" s="8" t="s">
        <v>64</v>
      </c>
      <c r="C77" s="8" t="str">
        <f>IFERROR(_xlfn.XLOOKUP(TRIM(B77),Lookup!$B$2:$B$1000,Lookup!$C$2:$C$1000),"")</f>
        <v>Hybrid</v>
      </c>
      <c r="D77" s="8" t="str">
        <f>IFERROR(INDEX('nav master'!$C:$C, MATCH(B77, 'nav master'!$B:$B, 0)), "")</f>
        <v>ULIF08028/02/25DynamicFnd101</v>
      </c>
      <c r="E77" s="8">
        <v>16.420000000000002</v>
      </c>
      <c r="F77" s="9">
        <v>45982</v>
      </c>
    </row>
    <row r="78" spans="1:6" ht="60" x14ac:dyDescent="0.25">
      <c r="A78" s="8" t="s">
        <v>63</v>
      </c>
      <c r="B78" s="8" t="s">
        <v>64</v>
      </c>
      <c r="C78" s="8" t="str">
        <f>IFERROR(_xlfn.XLOOKUP(TRIM(B78),Lookup!$B$2:$B$1000,Lookup!$C$2:$C$1000),"")</f>
        <v>Hybrid</v>
      </c>
      <c r="D78" s="8" t="str">
        <f>IFERROR(INDEX('nav master'!$C:$C, MATCH(B78, 'nav master'!$B:$B, 0)), "")</f>
        <v>ULIF08028/02/25DynamicFnd101</v>
      </c>
      <c r="E78" s="8">
        <v>16.3965</v>
      </c>
      <c r="F78" s="9">
        <v>45985</v>
      </c>
    </row>
    <row r="79" spans="1:6" ht="60" x14ac:dyDescent="0.25">
      <c r="A79" s="8" t="s">
        <v>63</v>
      </c>
      <c r="B79" s="8" t="s">
        <v>64</v>
      </c>
      <c r="C79" s="8" t="str">
        <f>IFERROR(_xlfn.XLOOKUP(TRIM(B79),Lookup!$B$2:$B$1000,Lookup!$C$2:$C$1000),"")</f>
        <v>Hybrid</v>
      </c>
      <c r="D79" s="8" t="str">
        <f>IFERROR(INDEX('nav master'!$C:$C, MATCH(B79, 'nav master'!$B:$B, 0)), "")</f>
        <v>ULIF08028/02/25DynamicFnd101</v>
      </c>
      <c r="E79" s="8">
        <v>16.411100000000001</v>
      </c>
      <c r="F79" s="9">
        <v>45986</v>
      </c>
    </row>
    <row r="80" spans="1:6" ht="60" x14ac:dyDescent="0.25">
      <c r="A80" s="8" t="s">
        <v>63</v>
      </c>
      <c r="B80" s="8" t="s">
        <v>64</v>
      </c>
      <c r="C80" s="8" t="str">
        <f>IFERROR(_xlfn.XLOOKUP(TRIM(B80),Lookup!$B$2:$B$1000,Lookup!$C$2:$C$1000),"")</f>
        <v>Hybrid</v>
      </c>
      <c r="D80" s="8" t="str">
        <f>IFERROR(INDEX('nav master'!$C:$C, MATCH(B80, 'nav master'!$B:$B, 0)), "")</f>
        <v>ULIF08028/02/25DynamicFnd101</v>
      </c>
      <c r="E80" s="8">
        <v>16.5366</v>
      </c>
      <c r="F80" s="9">
        <v>45987</v>
      </c>
    </row>
    <row r="81" spans="1:6" ht="60" x14ac:dyDescent="0.25">
      <c r="A81" s="8" t="s">
        <v>63</v>
      </c>
      <c r="B81" s="8" t="s">
        <v>64</v>
      </c>
      <c r="C81" s="8" t="str">
        <f>IFERROR(_xlfn.XLOOKUP(TRIM(B81),Lookup!$B$2:$B$1000,Lookup!$C$2:$C$1000),"")</f>
        <v>Hybrid</v>
      </c>
      <c r="D81" s="8" t="str">
        <f>IFERROR(INDEX('nav master'!$C:$C, MATCH(B81, 'nav master'!$B:$B, 0)), "")</f>
        <v>ULIF08028/02/25DynamicFnd101</v>
      </c>
      <c r="E81" s="8">
        <v>16.538900000000002</v>
      </c>
      <c r="F81" s="9">
        <v>45988</v>
      </c>
    </row>
    <row r="82" spans="1:6" ht="60" x14ac:dyDescent="0.25">
      <c r="A82" s="8" t="s">
        <v>63</v>
      </c>
      <c r="B82" s="8" t="s">
        <v>64</v>
      </c>
      <c r="C82" s="8" t="str">
        <f>IFERROR(_xlfn.XLOOKUP(TRIM(B82),Lookup!$B$2:$B$1000,Lookup!$C$2:$C$1000),"")</f>
        <v>Hybrid</v>
      </c>
      <c r="D82" s="8" t="str">
        <f>IFERROR(INDEX('nav master'!$C:$C, MATCH(B82, 'nav master'!$B:$B, 0)), "")</f>
        <v>ULIF08028/02/25DynamicFnd101</v>
      </c>
      <c r="E82" s="8">
        <v>16.5093</v>
      </c>
      <c r="F82" s="9">
        <v>45989</v>
      </c>
    </row>
    <row r="83" spans="1:6" ht="60" x14ac:dyDescent="0.25">
      <c r="A83" s="8" t="s">
        <v>63</v>
      </c>
      <c r="B83" s="8" t="s">
        <v>64</v>
      </c>
      <c r="C83" s="8" t="str">
        <f>IFERROR(_xlfn.XLOOKUP(TRIM(B83),Lookup!$B$2:$B$1000,Lookup!$C$2:$C$1000),"")</f>
        <v>Hybrid</v>
      </c>
      <c r="D83" s="8" t="str">
        <f>IFERROR(INDEX('nav master'!$C:$C, MATCH(B83, 'nav master'!$B:$B, 0)), "")</f>
        <v>ULIF08028/02/25DynamicFnd101</v>
      </c>
      <c r="E83" s="8">
        <v>16.518699999999999</v>
      </c>
      <c r="F83" s="9">
        <v>45992</v>
      </c>
    </row>
    <row r="84" spans="1:6" ht="60" x14ac:dyDescent="0.25">
      <c r="A84" s="8" t="s">
        <v>63</v>
      </c>
      <c r="B84" s="8" t="s">
        <v>64</v>
      </c>
      <c r="C84" s="8" t="str">
        <f>IFERROR(_xlfn.XLOOKUP(TRIM(B84),Lookup!$B$2:$B$1000,Lookup!$C$2:$C$1000),"")</f>
        <v>Hybrid</v>
      </c>
      <c r="D84" s="8" t="str">
        <f>IFERROR(INDEX('nav master'!$C:$C, MATCH(B84, 'nav master'!$B:$B, 0)), "")</f>
        <v>ULIF08028/02/25DynamicFnd101</v>
      </c>
      <c r="E84" s="8">
        <v>16.4709</v>
      </c>
      <c r="F84" s="9">
        <v>45993</v>
      </c>
    </row>
    <row r="85" spans="1:6" ht="60" x14ac:dyDescent="0.25">
      <c r="A85" s="8" t="s">
        <v>63</v>
      </c>
      <c r="B85" s="8" t="s">
        <v>64</v>
      </c>
      <c r="C85" s="8" t="str">
        <f>IFERROR(_xlfn.XLOOKUP(TRIM(B85),Lookup!$B$2:$B$1000,Lookup!$C$2:$C$1000),"")</f>
        <v>Hybrid</v>
      </c>
      <c r="D85" s="8" t="str">
        <f>IFERROR(INDEX('nav master'!$C:$C, MATCH(B85, 'nav master'!$B:$B, 0)), "")</f>
        <v>ULIF08028/02/25DynamicFnd101</v>
      </c>
      <c r="E85" s="8">
        <v>16.435700000000001</v>
      </c>
      <c r="F85" s="9">
        <v>45994</v>
      </c>
    </row>
    <row r="86" spans="1:6" ht="60" x14ac:dyDescent="0.25">
      <c r="A86" s="8" t="s">
        <v>63</v>
      </c>
      <c r="B86" s="8" t="s">
        <v>64</v>
      </c>
      <c r="C86" s="8" t="str">
        <f>IFERROR(_xlfn.XLOOKUP(TRIM(B86),Lookup!$B$2:$B$1000,Lookup!$C$2:$C$1000),"")</f>
        <v>Hybrid</v>
      </c>
      <c r="D86" s="8" t="str">
        <f>IFERROR(INDEX('nav master'!$C:$C, MATCH(B86, 'nav master'!$B:$B, 0)), "")</f>
        <v>ULIF08028/02/25DynamicFnd101</v>
      </c>
      <c r="E86" s="8">
        <v>16.443999999999999</v>
      </c>
      <c r="F86" s="9">
        <v>45995</v>
      </c>
    </row>
    <row r="87" spans="1:6" ht="60" x14ac:dyDescent="0.25">
      <c r="A87" s="8" t="s">
        <v>63</v>
      </c>
      <c r="B87" s="8" t="s">
        <v>64</v>
      </c>
      <c r="C87" s="8" t="str">
        <f>IFERROR(_xlfn.XLOOKUP(TRIM(B87),Lookup!$B$2:$B$1000,Lookup!$C$2:$C$1000),"")</f>
        <v>Hybrid</v>
      </c>
      <c r="D87" s="8" t="str">
        <f>IFERROR(INDEX('nav master'!$C:$C, MATCH(B87, 'nav master'!$B:$B, 0)), "")</f>
        <v>ULIF08028/02/25DynamicFnd101</v>
      </c>
      <c r="E87" s="8">
        <v>16.492599999999999</v>
      </c>
      <c r="F87" s="9">
        <v>45996</v>
      </c>
    </row>
    <row r="88" spans="1:6" ht="60" x14ac:dyDescent="0.25">
      <c r="A88" s="8" t="s">
        <v>63</v>
      </c>
      <c r="B88" s="8" t="s">
        <v>64</v>
      </c>
      <c r="C88" s="8" t="str">
        <f>IFERROR(_xlfn.XLOOKUP(TRIM(B88),Lookup!$B$2:$B$1000,Lookup!$C$2:$C$1000),"")</f>
        <v>Hybrid</v>
      </c>
      <c r="D88" s="8" t="str">
        <f>IFERROR(INDEX('nav master'!$C:$C, MATCH(B88, 'nav master'!$B:$B, 0)), "")</f>
        <v>ULIF08028/02/25DynamicFnd101</v>
      </c>
      <c r="E88" s="8">
        <v>16.362200000000001</v>
      </c>
      <c r="F88" s="9">
        <v>45999</v>
      </c>
    </row>
    <row r="89" spans="1:6" ht="60" x14ac:dyDescent="0.25">
      <c r="A89" s="8" t="s">
        <v>63</v>
      </c>
      <c r="B89" s="8" t="s">
        <v>64</v>
      </c>
      <c r="C89" s="8" t="str">
        <f>IFERROR(_xlfn.XLOOKUP(TRIM(B89),Lookup!$B$2:$B$1000,Lookup!$C$2:$C$1000),"")</f>
        <v>Hybrid</v>
      </c>
      <c r="D89" s="8" t="str">
        <f>IFERROR(INDEX('nav master'!$C:$C, MATCH(B89, 'nav master'!$B:$B, 0)), "")</f>
        <v>ULIF08028/02/25DynamicFnd101</v>
      </c>
      <c r="E89" s="8">
        <v>16.383900000000001</v>
      </c>
      <c r="F89" s="9">
        <v>46000</v>
      </c>
    </row>
    <row r="90" spans="1:6" ht="60" x14ac:dyDescent="0.25">
      <c r="A90" s="8" t="s">
        <v>63</v>
      </c>
      <c r="B90" s="8" t="s">
        <v>64</v>
      </c>
      <c r="C90" s="8" t="str">
        <f>IFERROR(_xlfn.XLOOKUP(TRIM(B90),Lookup!$B$2:$B$1000,Lookup!$C$2:$C$1000),"")</f>
        <v>Hybrid</v>
      </c>
      <c r="D90" s="8" t="str">
        <f>IFERROR(INDEX('nav master'!$C:$C, MATCH(B90, 'nav master'!$B:$B, 0)), "")</f>
        <v>ULIF08028/02/25DynamicFnd101</v>
      </c>
      <c r="E90" s="8">
        <v>16.2821</v>
      </c>
      <c r="F90" s="9">
        <v>46001</v>
      </c>
    </row>
    <row r="91" spans="1:6" ht="60" x14ac:dyDescent="0.25">
      <c r="A91" s="8" t="s">
        <v>63</v>
      </c>
      <c r="B91" s="8" t="s">
        <v>64</v>
      </c>
      <c r="C91" s="8" t="str">
        <f>IFERROR(_xlfn.XLOOKUP(TRIM(B91),Lookup!$B$2:$B$1000,Lookup!$C$2:$C$1000),"")</f>
        <v>Hybrid</v>
      </c>
      <c r="D91" s="8" t="str">
        <f>IFERROR(INDEX('nav master'!$C:$C, MATCH(B91, 'nav master'!$B:$B, 0)), "")</f>
        <v>ULIF08028/02/25DynamicFnd101</v>
      </c>
      <c r="E91" s="8">
        <v>16.351099999999999</v>
      </c>
      <c r="F91" s="9">
        <v>46002</v>
      </c>
    </row>
    <row r="92" spans="1:6" ht="60" x14ac:dyDescent="0.25">
      <c r="A92" s="8" t="s">
        <v>63</v>
      </c>
      <c r="B92" s="8" t="s">
        <v>64</v>
      </c>
      <c r="C92" s="8" t="str">
        <f>IFERROR(_xlfn.XLOOKUP(TRIM(B92),Lookup!$B$2:$B$1000,Lookup!$C$2:$C$1000),"")</f>
        <v>Hybrid</v>
      </c>
      <c r="D92" s="8" t="str">
        <f>IFERROR(INDEX('nav master'!$C:$C, MATCH(B92, 'nav master'!$B:$B, 0)), "")</f>
        <v>ULIF08028/02/25DynamicFnd101</v>
      </c>
      <c r="E92" s="8">
        <v>16.4436</v>
      </c>
      <c r="F92" s="9">
        <v>46003</v>
      </c>
    </row>
    <row r="93" spans="1:6" ht="60" x14ac:dyDescent="0.25">
      <c r="A93" s="8" t="s">
        <v>63</v>
      </c>
      <c r="B93" s="8" t="s">
        <v>64</v>
      </c>
      <c r="C93" s="8" t="str">
        <f>IFERROR(_xlfn.XLOOKUP(TRIM(B93),Lookup!$B$2:$B$1000,Lookup!$C$2:$C$1000),"")</f>
        <v>Hybrid</v>
      </c>
      <c r="D93" s="8" t="str">
        <f>IFERROR(INDEX('nav master'!$C:$C, MATCH(B93, 'nav master'!$B:$B, 0)), "")</f>
        <v>ULIF08028/02/25DynamicFnd101</v>
      </c>
      <c r="E93" s="8">
        <v>16.424499999999998</v>
      </c>
      <c r="F93" s="9">
        <v>46006</v>
      </c>
    </row>
    <row r="94" spans="1:6" ht="60" x14ac:dyDescent="0.25">
      <c r="A94" s="8" t="s">
        <v>63</v>
      </c>
      <c r="B94" s="8" t="s">
        <v>64</v>
      </c>
      <c r="C94" s="8" t="str">
        <f>IFERROR(_xlfn.XLOOKUP(TRIM(B94),Lookup!$B$2:$B$1000,Lookup!$C$2:$C$1000),"")</f>
        <v>Hybrid</v>
      </c>
      <c r="D94" s="8" t="str">
        <f>IFERROR(INDEX('nav master'!$C:$C, MATCH(B94, 'nav master'!$B:$B, 0)), "")</f>
        <v>ULIF08028/02/25DynamicFnd101</v>
      </c>
      <c r="E94" s="8">
        <v>16.356100000000001</v>
      </c>
      <c r="F94" s="9">
        <v>46007</v>
      </c>
    </row>
    <row r="95" spans="1:6" ht="60" x14ac:dyDescent="0.25">
      <c r="A95" s="8" t="s">
        <v>63</v>
      </c>
      <c r="B95" s="8" t="s">
        <v>64</v>
      </c>
      <c r="C95" s="8" t="str">
        <f>IFERROR(_xlfn.XLOOKUP(TRIM(B95),Lookup!$B$2:$B$1000,Lookup!$C$2:$C$1000),"")</f>
        <v>Hybrid</v>
      </c>
      <c r="D95" s="8" t="str">
        <f>IFERROR(INDEX('nav master'!$C:$C, MATCH(B95, 'nav master'!$B:$B, 0)), "")</f>
        <v>ULIF08028/02/25DynamicFnd101</v>
      </c>
      <c r="E95" s="8">
        <v>16.319299999999998</v>
      </c>
      <c r="F95" s="9">
        <v>46008</v>
      </c>
    </row>
    <row r="96" spans="1:6" ht="60" x14ac:dyDescent="0.25">
      <c r="A96" s="8" t="s">
        <v>63</v>
      </c>
      <c r="B96" s="8" t="s">
        <v>64</v>
      </c>
      <c r="C96" s="8" t="str">
        <f>IFERROR(_xlfn.XLOOKUP(TRIM(B96),Lookup!$B$2:$B$1000,Lookup!$C$2:$C$1000),"")</f>
        <v>Hybrid</v>
      </c>
      <c r="D96" s="8" t="str">
        <f>IFERROR(INDEX('nav master'!$C:$C, MATCH(B96, 'nav master'!$B:$B, 0)), "")</f>
        <v>ULIF08028/02/25DynamicFnd101</v>
      </c>
      <c r="E96" s="8">
        <v>16.3583</v>
      </c>
      <c r="F96" s="9">
        <v>46009</v>
      </c>
    </row>
    <row r="97" spans="1:6" ht="60" x14ac:dyDescent="0.25">
      <c r="A97" s="8" t="s">
        <v>63</v>
      </c>
      <c r="B97" s="8" t="s">
        <v>64</v>
      </c>
      <c r="C97" s="8" t="str">
        <f>IFERROR(_xlfn.XLOOKUP(TRIM(B97),Lookup!$B$2:$B$1000,Lookup!$C$2:$C$1000),"")</f>
        <v>Hybrid</v>
      </c>
      <c r="D97" s="8" t="str">
        <f>IFERROR(INDEX('nav master'!$C:$C, MATCH(B97, 'nav master'!$B:$B, 0)), "")</f>
        <v>ULIF08028/02/25DynamicFnd101</v>
      </c>
      <c r="E97" s="8">
        <v>16.440999999999999</v>
      </c>
      <c r="F97" s="9">
        <v>46010</v>
      </c>
    </row>
    <row r="98" spans="1:6" ht="60" x14ac:dyDescent="0.25">
      <c r="A98" s="8" t="s">
        <v>63</v>
      </c>
      <c r="B98" s="8" t="s">
        <v>64</v>
      </c>
      <c r="C98" s="8" t="str">
        <f>IFERROR(_xlfn.XLOOKUP(TRIM(B98),Lookup!$B$2:$B$1000,Lookup!$C$2:$C$1000),"")</f>
        <v>Hybrid</v>
      </c>
      <c r="D98" s="8" t="str">
        <f>IFERROR(INDEX('nav master'!$C:$C, MATCH(B98, 'nav master'!$B:$B, 0)), "")</f>
        <v>ULIF08028/02/25DynamicFnd101</v>
      </c>
      <c r="E98" s="8">
        <v>16.5322</v>
      </c>
      <c r="F98" s="9">
        <v>46013</v>
      </c>
    </row>
    <row r="99" spans="1:6" ht="60" x14ac:dyDescent="0.25">
      <c r="A99" s="8" t="s">
        <v>63</v>
      </c>
      <c r="B99" s="8" t="s">
        <v>64</v>
      </c>
      <c r="C99" s="8" t="str">
        <f>IFERROR(_xlfn.XLOOKUP(TRIM(B99),Lookup!$B$2:$B$1000,Lookup!$C$2:$C$1000),"")</f>
        <v>Hybrid</v>
      </c>
      <c r="D99" s="8" t="str">
        <f>IFERROR(INDEX('nav master'!$C:$C, MATCH(B99, 'nav master'!$B:$B, 0)), "")</f>
        <v>ULIF08028/02/25DynamicFnd101</v>
      </c>
      <c r="E99" s="8">
        <v>16.536300000000001</v>
      </c>
      <c r="F99" s="9">
        <v>46014</v>
      </c>
    </row>
    <row r="100" spans="1:6" ht="60" x14ac:dyDescent="0.25">
      <c r="A100" s="8" t="s">
        <v>63</v>
      </c>
      <c r="B100" s="8" t="s">
        <v>64</v>
      </c>
      <c r="C100" s="8" t="str">
        <f>IFERROR(_xlfn.XLOOKUP(TRIM(B100),Lookup!$B$2:$B$1000,Lookup!$C$2:$C$1000),"")</f>
        <v>Hybrid</v>
      </c>
      <c r="D100" s="8" t="str">
        <f>IFERROR(INDEX('nav master'!$C:$C, MATCH(B100, 'nav master'!$B:$B, 0)), "")</f>
        <v>ULIF08028/02/25DynamicFnd101</v>
      </c>
      <c r="E100" s="8">
        <v>16.5565</v>
      </c>
      <c r="F100" s="9">
        <v>46015</v>
      </c>
    </row>
    <row r="101" spans="1:6" ht="60" x14ac:dyDescent="0.25">
      <c r="A101" s="8" t="s">
        <v>63</v>
      </c>
      <c r="B101" s="8" t="s">
        <v>64</v>
      </c>
      <c r="C101" s="8" t="str">
        <f>IFERROR(_xlfn.XLOOKUP(TRIM(B101),Lookup!$B$2:$B$1000,Lookup!$C$2:$C$1000),"")</f>
        <v>Hybrid</v>
      </c>
      <c r="D101" s="8" t="str">
        <f>IFERROR(INDEX('nav master'!$C:$C, MATCH(B101, 'nav master'!$B:$B, 0)), "")</f>
        <v>ULIF08028/02/25DynamicFnd101</v>
      </c>
      <c r="E101" s="8">
        <v>16.498799999999999</v>
      </c>
      <c r="F101" s="9">
        <v>46017</v>
      </c>
    </row>
    <row r="102" spans="1:6" ht="60" x14ac:dyDescent="0.25">
      <c r="A102" s="8" t="s">
        <v>63</v>
      </c>
      <c r="B102" s="8" t="s">
        <v>64</v>
      </c>
      <c r="C102" s="8" t="str">
        <f>IFERROR(_xlfn.XLOOKUP(TRIM(B102),Lookup!$B$2:$B$1000,Lookup!$C$2:$C$1000),"")</f>
        <v>Hybrid</v>
      </c>
      <c r="D102" s="8" t="str">
        <f>IFERROR(INDEX('nav master'!$C:$C, MATCH(B102, 'nav master'!$B:$B, 0)), "")</f>
        <v>ULIF08028/02/25DynamicFnd101</v>
      </c>
      <c r="E102" s="8">
        <v>16.458300000000001</v>
      </c>
      <c r="F102" s="9">
        <v>46020</v>
      </c>
    </row>
    <row r="103" spans="1:6" ht="60" x14ac:dyDescent="0.25">
      <c r="A103" s="8" t="s">
        <v>63</v>
      </c>
      <c r="B103" s="8" t="s">
        <v>64</v>
      </c>
      <c r="C103" s="8" t="str">
        <f>IFERROR(_xlfn.XLOOKUP(TRIM(B103),Lookup!$B$2:$B$1000,Lookup!$C$2:$C$1000),"")</f>
        <v>Hybrid</v>
      </c>
      <c r="D103" s="8" t="str">
        <f>IFERROR(INDEX('nav master'!$C:$C, MATCH(B103, 'nav master'!$B:$B, 0)), "")</f>
        <v>ULIF08028/02/25DynamicFnd101</v>
      </c>
      <c r="E103" s="8">
        <v>16.433499999999999</v>
      </c>
      <c r="F103" s="9">
        <v>46021</v>
      </c>
    </row>
    <row r="104" spans="1:6" ht="60" x14ac:dyDescent="0.25">
      <c r="A104" s="8" t="s">
        <v>63</v>
      </c>
      <c r="B104" s="8" t="s">
        <v>64</v>
      </c>
      <c r="C104" s="8" t="str">
        <f>IFERROR(_xlfn.XLOOKUP(TRIM(B104),Lookup!$B$2:$B$1000,Lookup!$C$2:$C$1000),"")</f>
        <v>Hybrid</v>
      </c>
      <c r="D104" s="8" t="str">
        <f>IFERROR(INDEX('nav master'!$C:$C, MATCH(B104, 'nav master'!$B:$B, 0)), "")</f>
        <v>ULIF08028/02/25DynamicFnd101</v>
      </c>
      <c r="E104" s="8">
        <v>16.516999999999999</v>
      </c>
      <c r="F104" s="9">
        <v>46022</v>
      </c>
    </row>
    <row r="105" spans="1:6" ht="60" x14ac:dyDescent="0.25">
      <c r="A105" s="8" t="s">
        <v>63</v>
      </c>
      <c r="B105" s="8" t="s">
        <v>64</v>
      </c>
      <c r="C105" s="8" t="str">
        <f>IFERROR(_xlfn.XLOOKUP(TRIM(B105),Lookup!$B$2:$B$1000,Lookup!$C$2:$C$1000),"")</f>
        <v>Hybrid</v>
      </c>
      <c r="D105" s="8" t="str">
        <f>IFERROR(INDEX('nav master'!$C:$C, MATCH(B105, 'nav master'!$B:$B, 0)), "")</f>
        <v>ULIF08028/02/25DynamicFnd101</v>
      </c>
      <c r="E105" s="8">
        <v>16.563300000000002</v>
      </c>
      <c r="F105" s="9">
        <v>46023</v>
      </c>
    </row>
    <row r="106" spans="1:6" ht="60" x14ac:dyDescent="0.25">
      <c r="A106" s="8" t="s">
        <v>63</v>
      </c>
      <c r="B106" s="8" t="s">
        <v>64</v>
      </c>
      <c r="C106" s="8" t="str">
        <f>IFERROR(_xlfn.XLOOKUP(TRIM(B106),Lookup!$B$2:$B$1000,Lookup!$C$2:$C$1000),"")</f>
        <v>Hybrid</v>
      </c>
      <c r="D106" s="8" t="str">
        <f>IFERROR(INDEX('nav master'!$C:$C, MATCH(B106, 'nav master'!$B:$B, 0)), "")</f>
        <v>ULIF08028/02/25DynamicFnd101</v>
      </c>
      <c r="E106" s="8">
        <v>16.643999999999998</v>
      </c>
      <c r="F106" s="9">
        <v>46024</v>
      </c>
    </row>
    <row r="107" spans="1:6" ht="60" x14ac:dyDescent="0.25">
      <c r="A107" s="8" t="s">
        <v>63</v>
      </c>
      <c r="B107" s="8" t="s">
        <v>64</v>
      </c>
      <c r="C107" s="8" t="str">
        <f>IFERROR(_xlfn.XLOOKUP(TRIM(B107),Lookup!$B$2:$B$1000,Lookup!$C$2:$C$1000),"")</f>
        <v>Hybrid</v>
      </c>
      <c r="D107" s="8" t="str">
        <f>IFERROR(INDEX('nav master'!$C:$C, MATCH(B107, 'nav master'!$B:$B, 0)), "")</f>
        <v>ULIF08028/02/25DynamicFnd101</v>
      </c>
      <c r="E107" s="8">
        <v>16.610700000000001</v>
      </c>
      <c r="F107" s="9">
        <v>46027</v>
      </c>
    </row>
    <row r="108" spans="1:6" ht="60" x14ac:dyDescent="0.25">
      <c r="A108" s="8" t="s">
        <v>63</v>
      </c>
      <c r="B108" s="8" t="s">
        <v>64</v>
      </c>
      <c r="C108" s="8" t="str">
        <f>IFERROR(_xlfn.XLOOKUP(TRIM(B108),Lookup!$B$2:$B$1000,Lookup!$C$2:$C$1000),"")</f>
        <v>Hybrid</v>
      </c>
      <c r="D108" s="8" t="str">
        <f>IFERROR(INDEX('nav master'!$C:$C, MATCH(B108, 'nav master'!$B:$B, 0)), "")</f>
        <v>ULIF08028/02/25DynamicFnd101</v>
      </c>
      <c r="E108" s="8">
        <v>16.6191</v>
      </c>
      <c r="F108" s="9">
        <v>46028</v>
      </c>
    </row>
    <row r="109" spans="1:6" ht="60" x14ac:dyDescent="0.25">
      <c r="A109" s="8" t="s">
        <v>63</v>
      </c>
      <c r="B109" s="8" t="s">
        <v>64</v>
      </c>
      <c r="C109" s="8" t="str">
        <f>IFERROR(_xlfn.XLOOKUP(TRIM(B109),Lookup!$B$2:$B$1000,Lookup!$C$2:$C$1000),"")</f>
        <v>Hybrid</v>
      </c>
      <c r="D109" s="8" t="str">
        <f>IFERROR(INDEX('nav master'!$C:$C, MATCH(B109, 'nav master'!$B:$B, 0)), "")</f>
        <v>ULIF08028/02/25DynamicFnd101</v>
      </c>
      <c r="E109" s="8">
        <v>16.632400000000001</v>
      </c>
      <c r="F109" s="9">
        <v>46029</v>
      </c>
    </row>
    <row r="110" spans="1:6" ht="60" x14ac:dyDescent="0.25">
      <c r="A110" s="8" t="s">
        <v>63</v>
      </c>
      <c r="B110" s="8" t="s">
        <v>64</v>
      </c>
      <c r="C110" s="8" t="str">
        <f>IFERROR(_xlfn.XLOOKUP(TRIM(B110),Lookup!$B$2:$B$1000,Lookup!$C$2:$C$1000),"")</f>
        <v>Hybrid</v>
      </c>
      <c r="D110" s="8" t="str">
        <f>IFERROR(INDEX('nav master'!$C:$C, MATCH(B110, 'nav master'!$B:$B, 0)), "")</f>
        <v>ULIF08028/02/25DynamicFnd101</v>
      </c>
      <c r="E110" s="8">
        <v>16.479099999999999</v>
      </c>
      <c r="F110" s="9">
        <v>46030</v>
      </c>
    </row>
    <row r="111" spans="1:6" ht="60" x14ac:dyDescent="0.25">
      <c r="A111" s="8" t="s">
        <v>63</v>
      </c>
      <c r="B111" s="8" t="s">
        <v>64</v>
      </c>
      <c r="C111" s="8" t="str">
        <f>IFERROR(_xlfn.XLOOKUP(TRIM(B111),Lookup!$B$2:$B$1000,Lookup!$C$2:$C$1000),"")</f>
        <v>Hybrid</v>
      </c>
      <c r="D111" s="8" t="str">
        <f>IFERROR(INDEX('nav master'!$C:$C, MATCH(B111, 'nav master'!$B:$B, 0)), "")</f>
        <v>ULIF08028/02/25DynamicFnd101</v>
      </c>
      <c r="E111" s="8">
        <v>16.364999999999998</v>
      </c>
      <c r="F111" s="9">
        <v>46031</v>
      </c>
    </row>
    <row r="112" spans="1:6" ht="60" x14ac:dyDescent="0.25">
      <c r="A112" s="8" t="s">
        <v>63</v>
      </c>
      <c r="B112" s="8" t="s">
        <v>64</v>
      </c>
      <c r="C112" s="8" t="str">
        <f>IFERROR(_xlfn.XLOOKUP(TRIM(B112),Lookup!$B$2:$B$1000,Lookup!$C$2:$C$1000),"")</f>
        <v>Hybrid</v>
      </c>
      <c r="D112" s="8" t="str">
        <f>IFERROR(INDEX('nav master'!$C:$C, MATCH(B112, 'nav master'!$B:$B, 0)), "")</f>
        <v>ULIF08028/02/25DynamicFnd101</v>
      </c>
      <c r="E112" s="8">
        <v>16.370100000000001</v>
      </c>
      <c r="F112" s="9">
        <v>46034</v>
      </c>
    </row>
    <row r="113" spans="1:6" ht="60" x14ac:dyDescent="0.25">
      <c r="A113" s="8" t="s">
        <v>63</v>
      </c>
      <c r="B113" s="8" t="s">
        <v>64</v>
      </c>
      <c r="C113" s="8" t="str">
        <f>IFERROR(_xlfn.XLOOKUP(TRIM(B113),Lookup!$B$2:$B$1000,Lookup!$C$2:$C$1000),"")</f>
        <v>Hybrid</v>
      </c>
      <c r="D113" s="8" t="str">
        <f>IFERROR(INDEX('nav master'!$C:$C, MATCH(B113, 'nav master'!$B:$B, 0)), "")</f>
        <v>ULIF08028/02/25DynamicFnd101</v>
      </c>
      <c r="E113" s="8">
        <v>16.387599999999999</v>
      </c>
      <c r="F113" s="9">
        <v>46035</v>
      </c>
    </row>
    <row r="114" spans="1:6" ht="60" x14ac:dyDescent="0.25">
      <c r="A114" s="8" t="s">
        <v>63</v>
      </c>
      <c r="B114" s="8" t="s">
        <v>64</v>
      </c>
      <c r="C114" s="8" t="str">
        <f>IFERROR(_xlfn.XLOOKUP(TRIM(B114),Lookup!$B$2:$B$1000,Lookup!$C$2:$C$1000),"")</f>
        <v>Hybrid</v>
      </c>
      <c r="D114" s="8" t="str">
        <f>IFERROR(INDEX('nav master'!$C:$C, MATCH(B114, 'nav master'!$B:$B, 0)), "")</f>
        <v>ULIF08028/02/25DynamicFnd101</v>
      </c>
      <c r="E114" s="8">
        <v>16.406300000000002</v>
      </c>
      <c r="F114" s="9">
        <v>46036</v>
      </c>
    </row>
    <row r="115" spans="1:6" ht="60" x14ac:dyDescent="0.25">
      <c r="A115" s="8" t="s">
        <v>63</v>
      </c>
      <c r="B115" s="8" t="s">
        <v>64</v>
      </c>
      <c r="C115" s="8" t="str">
        <f>IFERROR(_xlfn.XLOOKUP(TRIM(B115),Lookup!$B$2:$B$1000,Lookup!$C$2:$C$1000),"")</f>
        <v>Hybrid</v>
      </c>
      <c r="D115" s="8" t="str">
        <f>IFERROR(INDEX('nav master'!$C:$C, MATCH(B115, 'nav master'!$B:$B, 0)), "")</f>
        <v>ULIF08028/02/25DynamicFnd101</v>
      </c>
      <c r="E115" s="8">
        <v>16.415600000000001</v>
      </c>
      <c r="F115" s="9">
        <v>46038</v>
      </c>
    </row>
    <row r="116" spans="1:6" ht="60" x14ac:dyDescent="0.25">
      <c r="A116" s="8" t="s">
        <v>63</v>
      </c>
      <c r="B116" s="8" t="s">
        <v>64</v>
      </c>
      <c r="C116" s="8" t="str">
        <f>IFERROR(_xlfn.XLOOKUP(TRIM(B116),Lookup!$B$2:$B$1000,Lookup!$C$2:$C$1000),"")</f>
        <v>Hybrid</v>
      </c>
      <c r="D116" s="8" t="str">
        <f>IFERROR(INDEX('nav master'!$C:$C, MATCH(B116, 'nav master'!$B:$B, 0)), "")</f>
        <v>ULIF08028/02/25DynamicFnd101</v>
      </c>
      <c r="E116" s="8">
        <v>16.351199999999999</v>
      </c>
      <c r="F116" s="9">
        <v>46041</v>
      </c>
    </row>
    <row r="117" spans="1:6" ht="60" x14ac:dyDescent="0.25">
      <c r="A117" s="8" t="s">
        <v>63</v>
      </c>
      <c r="B117" s="8" t="s">
        <v>64</v>
      </c>
      <c r="C117" s="8" t="str">
        <f>IFERROR(_xlfn.XLOOKUP(TRIM(B117),Lookup!$B$2:$B$1000,Lookup!$C$2:$C$1000),"")</f>
        <v>Hybrid</v>
      </c>
      <c r="D117" s="8" t="str">
        <f>IFERROR(INDEX('nav master'!$C:$C, MATCH(B117, 'nav master'!$B:$B, 0)), "")</f>
        <v>ULIF08028/02/25DynamicFnd101</v>
      </c>
      <c r="E117" s="8">
        <v>16.130299999999998</v>
      </c>
      <c r="F117" s="9">
        <v>46042</v>
      </c>
    </row>
    <row r="118" spans="1:6" ht="60" x14ac:dyDescent="0.25">
      <c r="A118" s="8" t="s">
        <v>63</v>
      </c>
      <c r="B118" s="8" t="s">
        <v>64</v>
      </c>
      <c r="C118" s="8" t="str">
        <f>IFERROR(_xlfn.XLOOKUP(TRIM(B118),Lookup!$B$2:$B$1000,Lookup!$C$2:$C$1000),"")</f>
        <v>Hybrid</v>
      </c>
      <c r="D118" s="8" t="str">
        <f>IFERROR(INDEX('nav master'!$C:$C, MATCH(B118, 'nav master'!$B:$B, 0)), "")</f>
        <v>ULIF08028/02/25DynamicFnd101</v>
      </c>
      <c r="E118" s="8">
        <v>16.089400000000001</v>
      </c>
      <c r="F118" s="9">
        <v>46043</v>
      </c>
    </row>
    <row r="119" spans="1:6" ht="60" x14ac:dyDescent="0.25">
      <c r="A119" s="8" t="s">
        <v>63</v>
      </c>
      <c r="B119" s="8" t="s">
        <v>64</v>
      </c>
      <c r="C119" s="8" t="str">
        <f>IFERROR(_xlfn.XLOOKUP(TRIM(B119),Lookup!$B$2:$B$1000,Lookup!$C$2:$C$1000),"")</f>
        <v>Hybrid</v>
      </c>
      <c r="D119" s="8" t="str">
        <f>IFERROR(INDEX('nav master'!$C:$C, MATCH(B119, 'nav master'!$B:$B, 0)), "")</f>
        <v>ULIF08028/02/25DynamicFnd101</v>
      </c>
      <c r="E119" s="8">
        <v>16.198499999999999</v>
      </c>
      <c r="F119" s="9">
        <v>46044</v>
      </c>
    </row>
    <row r="120" spans="1:6" ht="60" x14ac:dyDescent="0.25">
      <c r="A120" s="8" t="s">
        <v>63</v>
      </c>
      <c r="B120" s="8" t="s">
        <v>64</v>
      </c>
      <c r="C120" s="8" t="str">
        <f>IFERROR(_xlfn.XLOOKUP(TRIM(B120),Lookup!$B$2:$B$1000,Lookup!$C$2:$C$1000),"")</f>
        <v>Hybrid</v>
      </c>
      <c r="D120" s="8" t="str">
        <f>IFERROR(INDEX('nav master'!$C:$C, MATCH(B120, 'nav master'!$B:$B, 0)), "")</f>
        <v>ULIF08028/02/25DynamicFnd101</v>
      </c>
      <c r="E120" s="8">
        <v>16.052800000000001</v>
      </c>
      <c r="F120" s="9">
        <v>46045</v>
      </c>
    </row>
    <row r="121" spans="1:6" ht="60" x14ac:dyDescent="0.25">
      <c r="A121" s="8" t="s">
        <v>63</v>
      </c>
      <c r="B121" s="8" t="s">
        <v>64</v>
      </c>
      <c r="C121" s="8" t="str">
        <f>IFERROR(_xlfn.XLOOKUP(TRIM(B121),Lookup!$B$2:$B$1000,Lookup!$C$2:$C$1000),"")</f>
        <v>Hybrid</v>
      </c>
      <c r="D121" s="8" t="str">
        <f>IFERROR(INDEX('nav master'!$C:$C, MATCH(B121, 'nav master'!$B:$B, 0)), "")</f>
        <v>ULIF08028/02/25DynamicFnd101</v>
      </c>
      <c r="E121" s="8">
        <v>16.035299999999999</v>
      </c>
      <c r="F121" s="9">
        <v>46049</v>
      </c>
    </row>
    <row r="122" spans="1:6" ht="60" x14ac:dyDescent="0.25">
      <c r="A122" s="8" t="s">
        <v>63</v>
      </c>
      <c r="B122" s="8" t="s">
        <v>64</v>
      </c>
      <c r="C122" s="8" t="str">
        <f>IFERROR(_xlfn.XLOOKUP(TRIM(B122),Lookup!$B$2:$B$1000,Lookup!$C$2:$C$1000),"")</f>
        <v>Hybrid</v>
      </c>
      <c r="D122" s="8" t="str">
        <f>IFERROR(INDEX('nav master'!$C:$C, MATCH(B122, 'nav master'!$B:$B, 0)), "")</f>
        <v>ULIF08028/02/25DynamicFnd101</v>
      </c>
      <c r="E122" s="8">
        <v>16.1816</v>
      </c>
      <c r="F122" s="9">
        <v>46050</v>
      </c>
    </row>
    <row r="123" spans="1:6" ht="60" x14ac:dyDescent="0.25">
      <c r="A123" s="8" t="s">
        <v>63</v>
      </c>
      <c r="B123" s="8" t="s">
        <v>64</v>
      </c>
      <c r="C123" s="8" t="str">
        <f>IFERROR(_xlfn.XLOOKUP(TRIM(B123),Lookup!$B$2:$B$1000,Lookup!$C$2:$C$1000),"")</f>
        <v>Hybrid</v>
      </c>
      <c r="D123" s="8" t="str">
        <f>IFERROR(INDEX('nav master'!$C:$C, MATCH(B123, 'nav master'!$B:$B, 0)), "")</f>
        <v>ULIF08028/02/25DynamicFnd101</v>
      </c>
      <c r="E123" s="8">
        <v>16.194400000000002</v>
      </c>
      <c r="F123" s="9">
        <v>46051</v>
      </c>
    </row>
    <row r="124" spans="1:6" ht="60" x14ac:dyDescent="0.25">
      <c r="A124" s="8" t="s">
        <v>63</v>
      </c>
      <c r="B124" s="8" t="s">
        <v>64</v>
      </c>
      <c r="C124" s="8" t="str">
        <f>IFERROR(_xlfn.XLOOKUP(TRIM(B124),Lookup!$B$2:$B$1000,Lookup!$C$2:$C$1000),"")</f>
        <v>Hybrid</v>
      </c>
      <c r="D124" s="8" t="str">
        <f>IFERROR(INDEX('nav master'!$C:$C, MATCH(B124, 'nav master'!$B:$B, 0)), "")</f>
        <v>ULIF08028/02/25DynamicFnd101</v>
      </c>
      <c r="E124" s="8">
        <v>16.189</v>
      </c>
      <c r="F124" s="9">
        <v>46052</v>
      </c>
    </row>
    <row r="125" spans="1:6" ht="60" x14ac:dyDescent="0.25">
      <c r="A125" s="8" t="s">
        <v>63</v>
      </c>
      <c r="B125" s="8" t="s">
        <v>64</v>
      </c>
      <c r="C125" s="8" t="str">
        <f>IFERROR(_xlfn.XLOOKUP(TRIM(B125),Lookup!$B$2:$B$1000,Lookup!$C$2:$C$1000),"")</f>
        <v>Hybrid</v>
      </c>
      <c r="D125" s="8" t="str">
        <f>IFERROR(INDEX('nav master'!$C:$C, MATCH(B125, 'nav master'!$B:$B, 0)), "")</f>
        <v>ULIF08028/02/25DynamicFnd101</v>
      </c>
      <c r="E125" s="8">
        <v>15.9922</v>
      </c>
      <c r="F125" s="9">
        <v>46054</v>
      </c>
    </row>
    <row r="126" spans="1:6" ht="60" x14ac:dyDescent="0.25">
      <c r="A126" s="8" t="s">
        <v>63</v>
      </c>
      <c r="B126" s="8" t="s">
        <v>64</v>
      </c>
      <c r="C126" s="8" t="str">
        <f>IFERROR(_xlfn.XLOOKUP(TRIM(B126),Lookup!$B$2:$B$1000,Lookup!$C$2:$C$1000),"")</f>
        <v>Hybrid</v>
      </c>
      <c r="D126" s="8" t="str">
        <f>IFERROR(INDEX('nav master'!$C:$C, MATCH(B126, 'nav master'!$B:$B, 0)), "")</f>
        <v>ULIF08028/02/25DynamicFnd101</v>
      </c>
      <c r="E126" s="8">
        <v>16.0535</v>
      </c>
      <c r="F126" s="9">
        <v>46055</v>
      </c>
    </row>
    <row r="127" spans="1:6" ht="60" x14ac:dyDescent="0.25">
      <c r="A127" s="8" t="s">
        <v>63</v>
      </c>
      <c r="B127" s="8" t="s">
        <v>64</v>
      </c>
      <c r="C127" s="8" t="str">
        <f>IFERROR(_xlfn.XLOOKUP(TRIM(B127),Lookup!$B$2:$B$1000,Lookup!$C$2:$C$1000),"")</f>
        <v>Hybrid</v>
      </c>
      <c r="D127" s="8" t="str">
        <f>IFERROR(INDEX('nav master'!$C:$C, MATCH(B127, 'nav master'!$B:$B, 0)), "")</f>
        <v>ULIF08028/02/25DynamicFnd101</v>
      </c>
      <c r="E127" s="8">
        <v>16.34</v>
      </c>
      <c r="F127" s="9">
        <v>46056</v>
      </c>
    </row>
    <row r="128" spans="1:6" ht="60" x14ac:dyDescent="0.25">
      <c r="A128" s="8" t="s">
        <v>63</v>
      </c>
      <c r="B128" s="8" t="s">
        <v>64</v>
      </c>
      <c r="C128" s="8" t="str">
        <f>IFERROR(_xlfn.XLOOKUP(TRIM(B128),Lookup!$B$2:$B$1000,Lookup!$C$2:$C$1000),"")</f>
        <v>Hybrid</v>
      </c>
      <c r="D128" s="8" t="str">
        <f>IFERROR(INDEX('nav master'!$C:$C, MATCH(B128, 'nav master'!$B:$B, 0)), "")</f>
        <v>ULIF08028/02/25DynamicFnd101</v>
      </c>
      <c r="E128" s="8">
        <v>16.368200000000002</v>
      </c>
      <c r="F128" s="9">
        <v>46057</v>
      </c>
    </row>
    <row r="129" spans="1:6" ht="60" x14ac:dyDescent="0.25">
      <c r="A129" s="8" t="s">
        <v>63</v>
      </c>
      <c r="B129" s="8" t="s">
        <v>64</v>
      </c>
      <c r="C129" s="8" t="str">
        <f>IFERROR(_xlfn.XLOOKUP(TRIM(B129),Lookup!$B$2:$B$1000,Lookup!$C$2:$C$1000),"")</f>
        <v>Hybrid</v>
      </c>
      <c r="D129" s="8" t="str">
        <f>IFERROR(INDEX('nav master'!$C:$C, MATCH(B129, 'nav master'!$B:$B, 0)), "")</f>
        <v>ULIF08028/02/25DynamicFnd101</v>
      </c>
      <c r="E129" s="8">
        <v>16.308399999999999</v>
      </c>
      <c r="F129" s="9">
        <v>46058</v>
      </c>
    </row>
    <row r="130" spans="1:6" ht="60" x14ac:dyDescent="0.25">
      <c r="A130" s="8" t="s">
        <v>63</v>
      </c>
      <c r="B130" s="8" t="s">
        <v>64</v>
      </c>
      <c r="C130" s="8" t="str">
        <f>IFERROR(_xlfn.XLOOKUP(TRIM(B130),Lookup!$B$2:$B$1000,Lookup!$C$2:$C$1000),"")</f>
        <v>Hybrid</v>
      </c>
      <c r="D130" s="8" t="str">
        <f>IFERROR(INDEX('nav master'!$C:$C, MATCH(B130, 'nav master'!$B:$B, 0)), "")</f>
        <v>ULIF08028/02/25DynamicFnd101</v>
      </c>
      <c r="E130" s="8">
        <v>16.273900000000001</v>
      </c>
      <c r="F130" s="9">
        <v>46059</v>
      </c>
    </row>
    <row r="131" spans="1:6" ht="60" x14ac:dyDescent="0.25">
      <c r="A131" s="8" t="s">
        <v>63</v>
      </c>
      <c r="B131" s="8" t="s">
        <v>64</v>
      </c>
      <c r="C131" s="8" t="str">
        <f>IFERROR(_xlfn.XLOOKUP(TRIM(B131),Lookup!$B$2:$B$1000,Lookup!$C$2:$C$1000),"")</f>
        <v>Hybrid</v>
      </c>
      <c r="D131" s="8" t="str">
        <f>IFERROR(INDEX('nav master'!$C:$C, MATCH(B131, 'nav master'!$B:$B, 0)), "")</f>
        <v>ULIF08028/02/25DynamicFnd101</v>
      </c>
      <c r="E131" s="8">
        <v>16.434000000000001</v>
      </c>
      <c r="F131" s="9">
        <v>46062</v>
      </c>
    </row>
    <row r="132" spans="1:6" ht="60" x14ac:dyDescent="0.25">
      <c r="A132" s="8" t="s">
        <v>63</v>
      </c>
      <c r="B132" s="8" t="s">
        <v>64</v>
      </c>
      <c r="C132" s="8" t="str">
        <f>IFERROR(_xlfn.XLOOKUP(TRIM(B132),Lookup!$B$2:$B$1000,Lookup!$C$2:$C$1000),"")</f>
        <v>Hybrid</v>
      </c>
      <c r="D132" s="8" t="str">
        <f>IFERROR(INDEX('nav master'!$C:$C, MATCH(B132, 'nav master'!$B:$B, 0)), "")</f>
        <v>ULIF08028/02/25DynamicFnd101</v>
      </c>
      <c r="E132" s="8">
        <v>16.5151</v>
      </c>
      <c r="F132" s="9">
        <v>46063</v>
      </c>
    </row>
    <row r="133" spans="1:6" ht="60" x14ac:dyDescent="0.25">
      <c r="A133" s="8" t="s">
        <v>63</v>
      </c>
      <c r="B133" s="8" t="s">
        <v>64</v>
      </c>
      <c r="C133" s="8" t="str">
        <f>IFERROR(_xlfn.XLOOKUP(TRIM(B133),Lookup!$B$2:$B$1000,Lookup!$C$2:$C$1000),"")</f>
        <v>Hybrid</v>
      </c>
      <c r="D133" s="8" t="str">
        <f>IFERROR(INDEX('nav master'!$C:$C, MATCH(B133, 'nav master'!$B:$B, 0)), "")</f>
        <v>ULIF08028/02/25DynamicFnd101</v>
      </c>
      <c r="E133" s="8">
        <v>16.515899999999998</v>
      </c>
      <c r="F133" s="9">
        <v>46064</v>
      </c>
    </row>
    <row r="134" spans="1:6" ht="60" x14ac:dyDescent="0.25">
      <c r="A134" s="8" t="s">
        <v>63</v>
      </c>
      <c r="B134" s="8" t="s">
        <v>64</v>
      </c>
      <c r="C134" s="8" t="str">
        <f>IFERROR(_xlfn.XLOOKUP(TRIM(B134),Lookup!$B$2:$B$1000,Lookup!$C$2:$C$1000),"")</f>
        <v>Hybrid</v>
      </c>
      <c r="D134" s="8" t="str">
        <f>IFERROR(INDEX('nav master'!$C:$C, MATCH(B134, 'nav master'!$B:$B, 0)), "")</f>
        <v>ULIF08028/02/25DynamicFnd101</v>
      </c>
      <c r="E134" s="8">
        <v>16.475000000000001</v>
      </c>
      <c r="F134" s="9">
        <v>46065</v>
      </c>
    </row>
    <row r="135" spans="1:6" ht="60" x14ac:dyDescent="0.25">
      <c r="A135" s="8" t="s">
        <v>63</v>
      </c>
      <c r="B135" s="8" t="s">
        <v>64</v>
      </c>
      <c r="C135" s="8" t="str">
        <f>IFERROR(_xlfn.XLOOKUP(TRIM(B135),Lookup!$B$2:$B$1000,Lookup!$C$2:$C$1000),"")</f>
        <v>Hybrid</v>
      </c>
      <c r="D135" s="8" t="str">
        <f>IFERROR(INDEX('nav master'!$C:$C, MATCH(B135, 'nav master'!$B:$B, 0)), "")</f>
        <v>ULIF08028/02/25DynamicFnd101</v>
      </c>
      <c r="E135" s="8">
        <v>16.27</v>
      </c>
      <c r="F135" s="9">
        <v>46066</v>
      </c>
    </row>
    <row r="136" spans="1:6" ht="60" x14ac:dyDescent="0.25">
      <c r="A136" s="8" t="s">
        <v>63</v>
      </c>
      <c r="B136" s="8" t="s">
        <v>64</v>
      </c>
      <c r="C136" s="8" t="str">
        <f>IFERROR(_xlfn.XLOOKUP(TRIM(B136),Lookup!$B$2:$B$1000,Lookup!$C$2:$C$1000),"")</f>
        <v>Hybrid</v>
      </c>
      <c r="D136" s="8" t="str">
        <f>IFERROR(INDEX('nav master'!$C:$C, MATCH(B136, 'nav master'!$B:$B, 0)), "")</f>
        <v>ULIF08028/02/25DynamicFnd101</v>
      </c>
      <c r="E136" s="8">
        <v>16.292300000000001</v>
      </c>
      <c r="F136" s="9">
        <v>46069</v>
      </c>
    </row>
    <row r="137" spans="1:6" ht="60" x14ac:dyDescent="0.25">
      <c r="A137" s="8" t="s">
        <v>63</v>
      </c>
      <c r="B137" s="8" t="s">
        <v>64</v>
      </c>
      <c r="C137" s="8" t="str">
        <f>IFERROR(_xlfn.XLOOKUP(TRIM(B137),Lookup!$B$2:$B$1000,Lookup!$C$2:$C$1000),"")</f>
        <v>Hybrid</v>
      </c>
      <c r="D137" s="8" t="str">
        <f>IFERROR(INDEX('nav master'!$C:$C, MATCH(B137, 'nav master'!$B:$B, 0)), "")</f>
        <v>ULIF08028/02/25DynamicFnd101</v>
      </c>
      <c r="E137" s="8">
        <v>16.295999999999999</v>
      </c>
      <c r="F137" s="9">
        <v>46070</v>
      </c>
    </row>
    <row r="138" spans="1:6" ht="60" x14ac:dyDescent="0.25">
      <c r="A138" s="8" t="s">
        <v>63</v>
      </c>
      <c r="B138" s="8" t="s">
        <v>64</v>
      </c>
      <c r="C138" s="8" t="str">
        <f>IFERROR(_xlfn.XLOOKUP(TRIM(B138),Lookup!$B$2:$B$1000,Lookup!$C$2:$C$1000),"")</f>
        <v>Hybrid</v>
      </c>
      <c r="D138" s="8" t="str">
        <f>IFERROR(INDEX('nav master'!$C:$C, MATCH(B138, 'nav master'!$B:$B, 0)), "")</f>
        <v>ULIF08028/02/25DynamicFnd101</v>
      </c>
      <c r="E138" s="8">
        <v>16.339400000000001</v>
      </c>
      <c r="F138" s="9">
        <v>46071</v>
      </c>
    </row>
    <row r="139" spans="1:6" ht="60" x14ac:dyDescent="0.25">
      <c r="A139" s="8" t="s">
        <v>63</v>
      </c>
      <c r="B139" s="8" t="s">
        <v>64</v>
      </c>
      <c r="C139" s="8" t="str">
        <f>IFERROR(_xlfn.XLOOKUP(TRIM(B139),Lookup!$B$2:$B$1000,Lookup!$C$2:$C$1000),"")</f>
        <v>Hybrid</v>
      </c>
      <c r="D139" s="8" t="str">
        <f>IFERROR(INDEX('nav master'!$C:$C, MATCH(B139, 'nav master'!$B:$B, 0)), "")</f>
        <v>ULIF08028/02/25DynamicFnd101</v>
      </c>
      <c r="E139" s="8">
        <v>16.187799999999999</v>
      </c>
      <c r="F139" s="9">
        <v>46072</v>
      </c>
    </row>
    <row r="140" spans="1:6" ht="60" x14ac:dyDescent="0.25">
      <c r="A140" s="8" t="s">
        <v>63</v>
      </c>
      <c r="B140" s="8" t="s">
        <v>64</v>
      </c>
      <c r="C140" s="8" t="str">
        <f>IFERROR(_xlfn.XLOOKUP(TRIM(B140),Lookup!$B$2:$B$1000,Lookup!$C$2:$C$1000),"")</f>
        <v>Hybrid</v>
      </c>
      <c r="D140" s="8" t="str">
        <f>IFERROR(INDEX('nav master'!$C:$C, MATCH(B140, 'nav master'!$B:$B, 0)), "")</f>
        <v>ULIF08028/02/25DynamicFnd101</v>
      </c>
      <c r="E140" s="8">
        <v>16.197099999999999</v>
      </c>
      <c r="F140" s="9">
        <v>46073</v>
      </c>
    </row>
    <row r="141" spans="1:6" ht="60" x14ac:dyDescent="0.25">
      <c r="A141" s="8" t="s">
        <v>63</v>
      </c>
      <c r="B141" s="8" t="s">
        <v>64</v>
      </c>
      <c r="C141" s="8" t="str">
        <f>IFERROR(_xlfn.XLOOKUP(TRIM(B141),Lookup!$B$2:$B$1000,Lookup!$C$2:$C$1000),"")</f>
        <v>Hybrid</v>
      </c>
      <c r="D141" s="8" t="str">
        <f>IFERROR(INDEX('nav master'!$C:$C, MATCH(B141, 'nav master'!$B:$B, 0)), "")</f>
        <v>ULIF08028/02/25DynamicFnd101</v>
      </c>
      <c r="E141" s="8">
        <v>16.248200000000001</v>
      </c>
      <c r="F141" s="9">
        <v>46076</v>
      </c>
    </row>
    <row r="142" spans="1:6" ht="60" x14ac:dyDescent="0.25">
      <c r="A142" s="8" t="s">
        <v>63</v>
      </c>
      <c r="B142" s="8" t="s">
        <v>64</v>
      </c>
      <c r="C142" s="8" t="str">
        <f>IFERROR(_xlfn.XLOOKUP(TRIM(B142),Lookup!$B$2:$B$1000,Lookup!$C$2:$C$1000),"")</f>
        <v>Hybrid</v>
      </c>
      <c r="D142" s="8" t="str">
        <f>IFERROR(INDEX('nav master'!$C:$C, MATCH(B142, 'nav master'!$B:$B, 0)), "")</f>
        <v>ULIF08028/02/25DynamicFnd101</v>
      </c>
      <c r="E142" s="8">
        <v>16.158999999999999</v>
      </c>
      <c r="F142" s="9">
        <v>46077</v>
      </c>
    </row>
    <row r="143" spans="1:6" ht="60" x14ac:dyDescent="0.25">
      <c r="A143" s="8" t="s">
        <v>63</v>
      </c>
      <c r="B143" s="8" t="s">
        <v>64</v>
      </c>
      <c r="C143" s="8" t="str">
        <f>IFERROR(_xlfn.XLOOKUP(TRIM(B143),Lookup!$B$2:$B$1000,Lookup!$C$2:$C$1000),"")</f>
        <v>Hybrid</v>
      </c>
      <c r="D143" s="8" t="str">
        <f>IFERROR(INDEX('nav master'!$C:$C, MATCH(B143, 'nav master'!$B:$B, 0)), "")</f>
        <v>ULIF08028/02/25DynamicFnd101</v>
      </c>
      <c r="E143" s="8">
        <v>16.221599999999999</v>
      </c>
      <c r="F143" s="9">
        <v>46078</v>
      </c>
    </row>
    <row r="144" spans="1:6" ht="60" x14ac:dyDescent="0.25">
      <c r="A144" s="8" t="s">
        <v>63</v>
      </c>
      <c r="B144" s="8" t="s">
        <v>64</v>
      </c>
      <c r="C144" s="8" t="str">
        <f>IFERROR(_xlfn.XLOOKUP(TRIM(B144),Lookup!$B$2:$B$1000,Lookup!$C$2:$C$1000),"")</f>
        <v>Hybrid</v>
      </c>
      <c r="D144" s="8" t="str">
        <f>IFERROR(INDEX('nav master'!$C:$C, MATCH(B144, 'nav master'!$B:$B, 0)), "")</f>
        <v>ULIF08028/02/25DynamicFnd101</v>
      </c>
      <c r="E144" s="8">
        <v>16.23</v>
      </c>
      <c r="F144" s="9">
        <v>46079</v>
      </c>
    </row>
    <row r="145" spans="1:6" ht="60" x14ac:dyDescent="0.25">
      <c r="A145" s="8" t="s">
        <v>63</v>
      </c>
      <c r="B145" s="8" t="s">
        <v>64</v>
      </c>
      <c r="C145" s="8" t="str">
        <f>IFERROR(_xlfn.XLOOKUP(TRIM(B145),Lookup!$B$2:$B$1000,Lookup!$C$2:$C$1000),"")</f>
        <v>Hybrid</v>
      </c>
      <c r="D145" s="8" t="str">
        <f>IFERROR(INDEX('nav master'!$C:$C, MATCH(B145, 'nav master'!$B:$B, 0)), "")</f>
        <v>ULIF08028/02/25DynamicFnd101</v>
      </c>
      <c r="E145" s="8">
        <v>16.090699999999998</v>
      </c>
      <c r="F145" s="9">
        <v>46080</v>
      </c>
    </row>
    <row r="146" spans="1:6" ht="60" x14ac:dyDescent="0.25">
      <c r="A146" s="8" t="s">
        <v>63</v>
      </c>
      <c r="B146" s="8" t="s">
        <v>64</v>
      </c>
      <c r="C146" s="8" t="str">
        <f>IFERROR(_xlfn.XLOOKUP(TRIM(B146),Lookup!$B$2:$B$1000,Lookup!$C$2:$C$1000),"")</f>
        <v>Hybrid</v>
      </c>
      <c r="D146" s="8" t="str">
        <f>IFERROR(INDEX('nav master'!$C:$C, MATCH(B146, 'nav master'!$B:$B, 0)), "")</f>
        <v>ULIF08028/02/25DynamicFnd101</v>
      </c>
      <c r="E146" s="8">
        <v>15.939500000000001</v>
      </c>
      <c r="F146" s="9">
        <v>46083</v>
      </c>
    </row>
    <row r="147" spans="1:6" ht="60" x14ac:dyDescent="0.25">
      <c r="A147" s="8" t="s">
        <v>63</v>
      </c>
      <c r="B147" s="8" t="s">
        <v>64</v>
      </c>
      <c r="C147" s="8" t="str">
        <f>IFERROR(_xlfn.XLOOKUP(TRIM(B147),Lookup!$B$2:$B$1000,Lookup!$C$2:$C$1000),"")</f>
        <v>Hybrid</v>
      </c>
      <c r="D147" s="8" t="str">
        <f>IFERROR(INDEX('nav master'!$C:$C, MATCH(B147, 'nav master'!$B:$B, 0)), "")</f>
        <v>ULIF08028/02/25DynamicFnd101</v>
      </c>
      <c r="E147" s="8">
        <v>15.7567</v>
      </c>
      <c r="F147" s="9">
        <v>46085</v>
      </c>
    </row>
    <row r="148" spans="1:6" ht="60" x14ac:dyDescent="0.25">
      <c r="A148" s="8" t="s">
        <v>63</v>
      </c>
      <c r="B148" s="8" t="s">
        <v>64</v>
      </c>
      <c r="C148" s="8" t="str">
        <f>IFERROR(_xlfn.XLOOKUP(TRIM(B148),Lookup!$B$2:$B$1000,Lookup!$C$2:$C$1000),"")</f>
        <v>Hybrid</v>
      </c>
      <c r="D148" s="8" t="str">
        <f>IFERROR(INDEX('nav master'!$C:$C, MATCH(B148, 'nav master'!$B:$B, 0)), "")</f>
        <v>ULIF08028/02/25DynamicFnd101</v>
      </c>
      <c r="E148" s="8">
        <v>15.897</v>
      </c>
      <c r="F148" s="9">
        <v>46086</v>
      </c>
    </row>
    <row r="149" spans="1:6" ht="60" x14ac:dyDescent="0.25">
      <c r="A149" s="8" t="s">
        <v>63</v>
      </c>
      <c r="B149" s="8" t="s">
        <v>64</v>
      </c>
      <c r="C149" s="8" t="str">
        <f>IFERROR(_xlfn.XLOOKUP(TRIM(B149),Lookup!$B$2:$B$1000,Lookup!$C$2:$C$1000),"")</f>
        <v>Hybrid</v>
      </c>
      <c r="D149" s="8" t="str">
        <f>IFERROR(INDEX('nav master'!$C:$C, MATCH(B149, 'nav master'!$B:$B, 0)), "")</f>
        <v>ULIF08028/02/25DynamicFnd101</v>
      </c>
      <c r="E149" s="8">
        <v>15.813499999999999</v>
      </c>
      <c r="F149" s="9">
        <v>46087</v>
      </c>
    </row>
    <row r="150" spans="1:6" ht="60" x14ac:dyDescent="0.25">
      <c r="A150" s="8" t="s">
        <v>63</v>
      </c>
      <c r="B150" s="8" t="s">
        <v>64</v>
      </c>
      <c r="C150" s="8" t="str">
        <f>IFERROR(_xlfn.XLOOKUP(TRIM(B150),Lookup!$B$2:$B$1000,Lookup!$C$2:$C$1000),"")</f>
        <v>Hybrid</v>
      </c>
      <c r="D150" s="8" t="str">
        <f>IFERROR(INDEX('nav master'!$C:$C, MATCH(B150, 'nav master'!$B:$B, 0)), "")</f>
        <v>ULIF08028/02/25DynamicFnd101</v>
      </c>
      <c r="E150" s="8">
        <v>15.6234</v>
      </c>
      <c r="F150" s="9">
        <v>46090</v>
      </c>
    </row>
    <row r="151" spans="1:6" ht="60" x14ac:dyDescent="0.25">
      <c r="A151" s="8" t="s">
        <v>63</v>
      </c>
      <c r="B151" s="8" t="s">
        <v>64</v>
      </c>
      <c r="C151" s="8" t="str">
        <f>IFERROR(_xlfn.XLOOKUP(TRIM(B151),Lookup!$B$2:$B$1000,Lookup!$C$2:$C$1000),"")</f>
        <v>Hybrid</v>
      </c>
      <c r="D151" s="8" t="str">
        <f>IFERROR(INDEX('nav master'!$C:$C, MATCH(B151, 'nav master'!$B:$B, 0)), "")</f>
        <v>ULIF08028/02/25DynamicFnd101</v>
      </c>
      <c r="E151" s="8">
        <v>15.7766</v>
      </c>
      <c r="F151" s="9">
        <v>46091</v>
      </c>
    </row>
    <row r="152" spans="1:6" ht="60" x14ac:dyDescent="0.25">
      <c r="A152" s="8" t="s">
        <v>63</v>
      </c>
      <c r="B152" s="8" t="s">
        <v>64</v>
      </c>
      <c r="C152" s="8" t="str">
        <f>IFERROR(_xlfn.XLOOKUP(TRIM(B152),Lookup!$B$2:$B$1000,Lookup!$C$2:$C$1000),"")</f>
        <v>Hybrid</v>
      </c>
      <c r="D152" s="8" t="str">
        <f>IFERROR(INDEX('nav master'!$C:$C, MATCH(B152, 'nav master'!$B:$B, 0)), "")</f>
        <v>ULIF08028/02/25DynamicFnd101</v>
      </c>
      <c r="E152" s="8">
        <v>15.6448</v>
      </c>
      <c r="F152" s="9">
        <v>46092</v>
      </c>
    </row>
    <row r="153" spans="1:6" ht="60" x14ac:dyDescent="0.25">
      <c r="A153" s="8" t="s">
        <v>63</v>
      </c>
      <c r="B153" s="8" t="s">
        <v>64</v>
      </c>
      <c r="C153" s="8" t="str">
        <f>IFERROR(_xlfn.XLOOKUP(TRIM(B153),Lookup!$B$2:$B$1000,Lookup!$C$2:$C$1000),"")</f>
        <v>Hybrid</v>
      </c>
      <c r="D153" s="8" t="str">
        <f>IFERROR(INDEX('nav master'!$C:$C, MATCH(B153, 'nav master'!$B:$B, 0)), "")</f>
        <v>ULIF08028/02/25DynamicFnd101</v>
      </c>
      <c r="E153" s="8">
        <v>15.585900000000001</v>
      </c>
      <c r="F153" s="9">
        <v>46093</v>
      </c>
    </row>
    <row r="154" spans="1:6" ht="60" x14ac:dyDescent="0.25">
      <c r="A154" s="8" t="s">
        <v>63</v>
      </c>
      <c r="B154" s="8" t="s">
        <v>64</v>
      </c>
      <c r="C154" s="8" t="str">
        <f>IFERROR(_xlfn.XLOOKUP(TRIM(B154),Lookup!$B$2:$B$1000,Lookup!$C$2:$C$1000),"")</f>
        <v>Hybrid</v>
      </c>
      <c r="D154" s="8" t="str">
        <f>IFERROR(INDEX('nav master'!$C:$C, MATCH(B154, 'nav master'!$B:$B, 0)), "")</f>
        <v>ULIF08028/02/25DynamicFnd101</v>
      </c>
      <c r="E154" s="8">
        <v>15.3545</v>
      </c>
      <c r="F154" s="9">
        <v>46094</v>
      </c>
    </row>
    <row r="155" spans="1:6" ht="60" x14ac:dyDescent="0.25">
      <c r="A155" s="8" t="s">
        <v>63</v>
      </c>
      <c r="B155" s="8" t="s">
        <v>64</v>
      </c>
      <c r="C155" s="8" t="str">
        <f>IFERROR(_xlfn.XLOOKUP(TRIM(B155),Lookup!$B$2:$B$1000,Lookup!$C$2:$C$1000),"")</f>
        <v>Hybrid</v>
      </c>
      <c r="D155" s="8" t="str">
        <f>IFERROR(INDEX('nav master'!$C:$C, MATCH(B155, 'nav master'!$B:$B, 0)), "")</f>
        <v>ULIF08028/02/25DynamicFnd101</v>
      </c>
      <c r="E155" s="8">
        <v>15.410299999999999</v>
      </c>
      <c r="F155" s="9">
        <v>46097</v>
      </c>
    </row>
    <row r="156" spans="1:6" ht="60" x14ac:dyDescent="0.25">
      <c r="A156" s="8" t="s">
        <v>63</v>
      </c>
      <c r="B156" s="8" t="s">
        <v>64</v>
      </c>
      <c r="C156" s="8" t="str">
        <f>IFERROR(_xlfn.XLOOKUP(TRIM(B156),Lookup!$B$2:$B$1000,Lookup!$C$2:$C$1000),"")</f>
        <v>Hybrid</v>
      </c>
      <c r="D156" s="8" t="str">
        <f>IFERROR(INDEX('nav master'!$C:$C, MATCH(B156, 'nav master'!$B:$B, 0)), "")</f>
        <v>ULIF08028/02/25DynamicFnd101</v>
      </c>
      <c r="E156" s="8">
        <v>15.4937</v>
      </c>
      <c r="F156" s="9">
        <v>46098</v>
      </c>
    </row>
    <row r="157" spans="1:6" ht="60" x14ac:dyDescent="0.25">
      <c r="A157" s="8" t="s">
        <v>63</v>
      </c>
      <c r="B157" s="8" t="s">
        <v>64</v>
      </c>
      <c r="C157" s="8" t="str">
        <f>IFERROR(_xlfn.XLOOKUP(TRIM(B157),Lookup!$B$2:$B$1000,Lookup!$C$2:$C$1000),"")</f>
        <v>Hybrid</v>
      </c>
      <c r="D157" s="8" t="str">
        <f>IFERROR(INDEX('nav master'!$C:$C, MATCH(B157, 'nav master'!$B:$B, 0)), "")</f>
        <v>ULIF08028/02/25DynamicFnd101</v>
      </c>
      <c r="E157" s="8">
        <v>15.621499999999999</v>
      </c>
      <c r="F157" s="9">
        <v>46099</v>
      </c>
    </row>
    <row r="158" spans="1:6" ht="60" x14ac:dyDescent="0.25">
      <c r="A158" s="8" t="s">
        <v>63</v>
      </c>
      <c r="B158" s="8" t="s">
        <v>64</v>
      </c>
      <c r="C158" s="8" t="str">
        <f>IFERROR(_xlfn.XLOOKUP(TRIM(B158),Lookup!$B$2:$B$1000,Lookup!$C$2:$C$1000),"")</f>
        <v>Hybrid</v>
      </c>
      <c r="D158" s="8" t="str">
        <f>IFERROR(INDEX('nav master'!$C:$C, MATCH(B158, 'nav master'!$B:$B, 0)), "")</f>
        <v>ULIF08028/02/25DynamicFnd101</v>
      </c>
      <c r="E158" s="8">
        <v>15.3003</v>
      </c>
      <c r="F158" s="9">
        <v>46100</v>
      </c>
    </row>
    <row r="159" spans="1:6" ht="60" x14ac:dyDescent="0.25">
      <c r="A159" s="8" t="s">
        <v>63</v>
      </c>
      <c r="B159" s="8" t="s">
        <v>64</v>
      </c>
      <c r="C159" s="8" t="str">
        <f>IFERROR(_xlfn.XLOOKUP(TRIM(B159),Lookup!$B$2:$B$1000,Lookup!$C$2:$C$1000),"")</f>
        <v>Hybrid</v>
      </c>
      <c r="D159" s="8" t="str">
        <f>IFERROR(INDEX('nav master'!$C:$C, MATCH(B159, 'nav master'!$B:$B, 0)), "")</f>
        <v>ULIF08028/02/25DynamicFnd101</v>
      </c>
      <c r="E159" s="8">
        <v>15.3371</v>
      </c>
      <c r="F159" s="9">
        <v>46101</v>
      </c>
    </row>
    <row r="160" spans="1:6" ht="60" x14ac:dyDescent="0.25">
      <c r="A160" s="8" t="s">
        <v>63</v>
      </c>
      <c r="B160" s="8" t="s">
        <v>64</v>
      </c>
      <c r="C160" s="8" t="str">
        <f>IFERROR(_xlfn.XLOOKUP(TRIM(B160),Lookup!$B$2:$B$1000,Lookup!$C$2:$C$1000),"")</f>
        <v>Hybrid</v>
      </c>
      <c r="D160" s="8" t="str">
        <f>IFERROR(INDEX('nav master'!$C:$C, MATCH(B160, 'nav master'!$B:$B, 0)), "")</f>
        <v>ULIF08028/02/25DynamicFnd101</v>
      </c>
      <c r="E160" s="8">
        <v>14.993600000000001</v>
      </c>
      <c r="F160" s="9">
        <v>46104</v>
      </c>
    </row>
    <row r="161" spans="1:6" ht="60" x14ac:dyDescent="0.25">
      <c r="A161" s="8" t="s">
        <v>63</v>
      </c>
      <c r="B161" s="8" t="s">
        <v>64</v>
      </c>
      <c r="C161" s="8" t="str">
        <f>IFERROR(_xlfn.XLOOKUP(TRIM(B161),Lookup!$B$2:$B$1000,Lookup!$C$2:$C$1000),"")</f>
        <v>Hybrid</v>
      </c>
      <c r="D161" s="8" t="str">
        <f>IFERROR(INDEX('nav master'!$C:$C, MATCH(B161, 'nav master'!$B:$B, 0)), "")</f>
        <v>ULIF08028/02/25DynamicFnd101</v>
      </c>
      <c r="E161" s="8">
        <v>15.198499999999999</v>
      </c>
      <c r="F161" s="9">
        <v>46105</v>
      </c>
    </row>
    <row r="162" spans="1:6" ht="60" x14ac:dyDescent="0.25">
      <c r="A162" s="8" t="s">
        <v>63</v>
      </c>
      <c r="B162" s="8" t="s">
        <v>64</v>
      </c>
      <c r="C162" s="8" t="str">
        <f>IFERROR(_xlfn.XLOOKUP(TRIM(B162),Lookup!$B$2:$B$1000,Lookup!$C$2:$C$1000),"")</f>
        <v>Hybrid</v>
      </c>
      <c r="D162" s="8" t="str">
        <f>IFERROR(INDEX('nav master'!$C:$C, MATCH(B162, 'nav master'!$B:$B, 0)), "")</f>
        <v>ULIF08028/02/25DynamicFnd101</v>
      </c>
      <c r="E162" s="8">
        <v>15.4034</v>
      </c>
      <c r="F162" s="9">
        <v>46106</v>
      </c>
    </row>
    <row r="163" spans="1:6" ht="60" x14ac:dyDescent="0.25">
      <c r="A163" s="8" t="s">
        <v>63</v>
      </c>
      <c r="B163" s="8" t="s">
        <v>64</v>
      </c>
      <c r="C163" s="8" t="str">
        <f>IFERROR(_xlfn.XLOOKUP(TRIM(B163),Lookup!$B$2:$B$1000,Lookup!$C$2:$C$1000),"")</f>
        <v>Hybrid</v>
      </c>
      <c r="D163" s="8" t="str">
        <f>IFERROR(INDEX('nav master'!$C:$C, MATCH(B163, 'nav master'!$B:$B, 0)), "")</f>
        <v>ULIF08028/02/25DynamicFnd101</v>
      </c>
      <c r="E163" s="8">
        <v>15.195600000000001</v>
      </c>
      <c r="F163" s="9">
        <v>46108</v>
      </c>
    </row>
    <row r="164" spans="1:6" ht="60" x14ac:dyDescent="0.25">
      <c r="A164" s="8" t="s">
        <v>63</v>
      </c>
      <c r="B164" s="8" t="s">
        <v>64</v>
      </c>
      <c r="C164" s="8" t="str">
        <f>IFERROR(_xlfn.XLOOKUP(TRIM(B164),Lookup!$B$2:$B$1000,Lookup!$C$2:$C$1000),"")</f>
        <v>Hybrid</v>
      </c>
      <c r="D164" s="8" t="str">
        <f>IFERROR(INDEX('nav master'!$C:$C, MATCH(B164, 'nav master'!$B:$B, 0)), "")</f>
        <v>ULIF08028/02/25DynamicFnd101</v>
      </c>
      <c r="E164" s="8">
        <v>14.978999999999999</v>
      </c>
      <c r="F164" s="9">
        <v>46111</v>
      </c>
    </row>
    <row r="165" spans="1:6" ht="60" x14ac:dyDescent="0.25">
      <c r="A165" s="8" t="s">
        <v>63</v>
      </c>
      <c r="B165" s="8" t="s">
        <v>64</v>
      </c>
      <c r="C165" s="8" t="str">
        <f>IFERROR(_xlfn.XLOOKUP(TRIM(B165),Lookup!$B$2:$B$1000,Lookup!$C$2:$C$1000),"")</f>
        <v>Hybrid</v>
      </c>
      <c r="D165" s="8" t="str">
        <f>IFERROR(INDEX('nav master'!$C:$C, MATCH(B165, 'nav master'!$B:$B, 0)), "")</f>
        <v>ULIF08028/02/25DynamicFnd101</v>
      </c>
      <c r="E165" s="8">
        <v>14.9795</v>
      </c>
      <c r="F165" s="9">
        <v>46112</v>
      </c>
    </row>
    <row r="166" spans="1:6" ht="60" x14ac:dyDescent="0.25">
      <c r="A166" s="8" t="s">
        <v>63</v>
      </c>
      <c r="B166" s="8" t="s">
        <v>64</v>
      </c>
      <c r="C166" s="8" t="str">
        <f>IFERROR(_xlfn.XLOOKUP(TRIM(B166),Lookup!$B$2:$B$1000,Lookup!$C$2:$C$1000),"")</f>
        <v>Hybrid</v>
      </c>
      <c r="D166" s="8" t="str">
        <f>IFERROR(INDEX('nav master'!$C:$C, MATCH(B166, 'nav master'!$B:$B, 0)), "")</f>
        <v>ULIF08028/02/25DynamicFnd101</v>
      </c>
      <c r="E166" s="8">
        <v>15.1617</v>
      </c>
      <c r="F166" s="9">
        <v>46113</v>
      </c>
    </row>
    <row r="167" spans="1:6" ht="60" x14ac:dyDescent="0.25">
      <c r="A167" s="8" t="s">
        <v>63</v>
      </c>
      <c r="B167" s="8" t="s">
        <v>64</v>
      </c>
      <c r="C167" s="8" t="str">
        <f>IFERROR(_xlfn.XLOOKUP(TRIM(B167),Lookup!$B$2:$B$1000,Lookup!$C$2:$C$1000),"")</f>
        <v>Hybrid</v>
      </c>
      <c r="D167" s="8" t="str">
        <f>IFERROR(INDEX('nav master'!$C:$C, MATCH(B167, 'nav master'!$B:$B, 0)), "")</f>
        <v>ULIF08028/02/25DynamicFnd101</v>
      </c>
      <c r="E167" s="8">
        <v>15.144399999999999</v>
      </c>
      <c r="F167" s="9">
        <v>46114</v>
      </c>
    </row>
    <row r="168" spans="1:6" ht="60" x14ac:dyDescent="0.25">
      <c r="A168" s="8" t="s">
        <v>63</v>
      </c>
      <c r="B168" s="8" t="s">
        <v>64</v>
      </c>
      <c r="C168" s="8" t="str">
        <f>IFERROR(_xlfn.XLOOKUP(TRIM(B168),Lookup!$B$2:$B$1000,Lookup!$C$2:$C$1000),"")</f>
        <v>Hybrid</v>
      </c>
      <c r="D168" s="8" t="str">
        <f>IFERROR(INDEX('nav master'!$C:$C, MATCH(B168, 'nav master'!$B:$B, 0)), "")</f>
        <v>ULIF08028/02/25DynamicFnd101</v>
      </c>
      <c r="E168" s="8">
        <v>15.2752</v>
      </c>
      <c r="F168" s="9">
        <v>46118</v>
      </c>
    </row>
    <row r="169" spans="1:6" ht="60" x14ac:dyDescent="0.25">
      <c r="A169" s="8" t="s">
        <v>63</v>
      </c>
      <c r="B169" s="8" t="s">
        <v>64</v>
      </c>
      <c r="C169" s="8" t="str">
        <f>IFERROR(_xlfn.XLOOKUP(TRIM(B169),Lookup!$B$2:$B$1000,Lookup!$C$2:$C$1000),"")</f>
        <v>Hybrid</v>
      </c>
      <c r="D169" s="8" t="str">
        <f>IFERROR(INDEX('nav master'!$C:$C, MATCH(B169, 'nav master'!$B:$B, 0)), "")</f>
        <v>ULIF08028/02/25DynamicFnd101</v>
      </c>
      <c r="E169" s="8">
        <v>15.3192</v>
      </c>
      <c r="F169" s="9">
        <v>46119</v>
      </c>
    </row>
    <row r="170" spans="1:6" ht="60" x14ac:dyDescent="0.25">
      <c r="A170" s="8" t="s">
        <v>63</v>
      </c>
      <c r="B170" s="8" t="s">
        <v>64</v>
      </c>
      <c r="C170" s="8" t="str">
        <f>IFERROR(_xlfn.XLOOKUP(TRIM(B170),Lookup!$B$2:$B$1000,Lookup!$C$2:$C$1000),"")</f>
        <v>Hybrid</v>
      </c>
      <c r="D170" s="8" t="str">
        <f>IFERROR(INDEX('nav master'!$C:$C, MATCH(B170, 'nav master'!$B:$B, 0)), "")</f>
        <v>ULIF08028/02/25DynamicFnd101</v>
      </c>
      <c r="E170" s="8">
        <v>15.723599999999999</v>
      </c>
      <c r="F170" s="9">
        <v>46120</v>
      </c>
    </row>
    <row r="171" spans="1:6" ht="60" x14ac:dyDescent="0.25">
      <c r="A171" s="8" t="s">
        <v>63</v>
      </c>
      <c r="B171" s="8" t="s">
        <v>64</v>
      </c>
      <c r="C171" s="8" t="str">
        <f>IFERROR(_xlfn.XLOOKUP(TRIM(B171),Lookup!$B$2:$B$1000,Lookup!$C$2:$C$1000),"")</f>
        <v>Hybrid</v>
      </c>
      <c r="D171" s="8" t="str">
        <f>IFERROR(INDEX('nav master'!$C:$C, MATCH(B171, 'nav master'!$B:$B, 0)), "")</f>
        <v>ULIF08028/02/25DynamicFnd101</v>
      </c>
      <c r="E171" s="8">
        <v>15.684699999999999</v>
      </c>
      <c r="F171" s="9">
        <v>46121</v>
      </c>
    </row>
    <row r="172" spans="1:6" ht="60" x14ac:dyDescent="0.25">
      <c r="A172" s="8" t="s">
        <v>63</v>
      </c>
      <c r="B172" s="8" t="s">
        <v>64</v>
      </c>
      <c r="C172" s="8" t="str">
        <f>IFERROR(_xlfn.XLOOKUP(TRIM(B172),Lookup!$B$2:$B$1000,Lookup!$C$2:$C$1000),"")</f>
        <v>Hybrid</v>
      </c>
      <c r="D172" s="8" t="str">
        <f>IFERROR(INDEX('nav master'!$C:$C, MATCH(B172, 'nav master'!$B:$B, 0)), "")</f>
        <v>ULIF08028/02/25DynamicFnd101</v>
      </c>
      <c r="E172" s="8">
        <v>15.8422</v>
      </c>
      <c r="F172" s="9">
        <v>46122</v>
      </c>
    </row>
    <row r="173" spans="1:6" ht="60" x14ac:dyDescent="0.25">
      <c r="A173" s="8" t="s">
        <v>63</v>
      </c>
      <c r="B173" s="8" t="s">
        <v>64</v>
      </c>
      <c r="C173" s="8" t="str">
        <f>IFERROR(_xlfn.XLOOKUP(TRIM(B173),Lookup!$B$2:$B$1000,Lookup!$C$2:$C$1000),"")</f>
        <v>Hybrid</v>
      </c>
      <c r="D173" s="8" t="str">
        <f>IFERROR(INDEX('nav master'!$C:$C, MATCH(B173, 'nav master'!$B:$B, 0)), "")</f>
        <v>ULIF08028/02/25DynamicFnd101</v>
      </c>
      <c r="E173" s="8">
        <v>15.7738</v>
      </c>
      <c r="F173" s="9">
        <v>46125</v>
      </c>
    </row>
    <row r="174" spans="1:6" ht="60" x14ac:dyDescent="0.25">
      <c r="A174" s="8" t="s">
        <v>63</v>
      </c>
      <c r="B174" s="8" t="s">
        <v>64</v>
      </c>
      <c r="C174" s="8" t="str">
        <f>IFERROR(_xlfn.XLOOKUP(TRIM(B174),Lookup!$B$2:$B$1000,Lookup!$C$2:$C$1000),"")</f>
        <v>Hybrid</v>
      </c>
      <c r="D174" s="8" t="str">
        <f>IFERROR(INDEX('nav master'!$C:$C, MATCH(B174, 'nav master'!$B:$B, 0)), "")</f>
        <v>ULIF08028/02/25DynamicFnd101</v>
      </c>
      <c r="E174" s="8">
        <v>16.010000000000002</v>
      </c>
      <c r="F174" s="9">
        <v>46127</v>
      </c>
    </row>
    <row r="175" spans="1:6" ht="60" x14ac:dyDescent="0.25">
      <c r="A175" s="8" t="s">
        <v>63</v>
      </c>
      <c r="B175" s="8" t="s">
        <v>64</v>
      </c>
      <c r="C175" s="8" t="str">
        <f>IFERROR(_xlfn.XLOOKUP(TRIM(B175),Lookup!$B$2:$B$1000,Lookup!$C$2:$C$1000),"")</f>
        <v>Hybrid</v>
      </c>
      <c r="D175" s="8" t="str">
        <f>IFERROR(INDEX('nav master'!$C:$C, MATCH(B175, 'nav master'!$B:$B, 0)), "")</f>
        <v>ULIF08028/02/25DynamicFnd101</v>
      </c>
      <c r="E175" s="8">
        <v>16.048400000000001</v>
      </c>
      <c r="F175" s="9">
        <v>46128</v>
      </c>
    </row>
    <row r="176" spans="1:6" ht="60" x14ac:dyDescent="0.25">
      <c r="A176" s="8" t="s">
        <v>63</v>
      </c>
      <c r="B176" s="8" t="s">
        <v>64</v>
      </c>
      <c r="C176" s="8" t="str">
        <f>IFERROR(_xlfn.XLOOKUP(TRIM(B176),Lookup!$B$2:$B$1000,Lookup!$C$2:$C$1000),"")</f>
        <v>Hybrid</v>
      </c>
      <c r="D176" s="8" t="str">
        <f>IFERROR(INDEX('nav master'!$C:$C, MATCH(B176, 'nav master'!$B:$B, 0)), "")</f>
        <v>ULIF08028/02/25DynamicFnd101</v>
      </c>
      <c r="E176" s="8">
        <v>16.111899999999999</v>
      </c>
      <c r="F176" s="9">
        <v>46129</v>
      </c>
    </row>
    <row r="177" spans="1:6" ht="60" x14ac:dyDescent="0.25">
      <c r="A177" s="8" t="s">
        <v>63</v>
      </c>
      <c r="B177" s="8" t="s">
        <v>64</v>
      </c>
      <c r="C177" s="8" t="str">
        <f>IFERROR(_xlfn.XLOOKUP(TRIM(B177),Lookup!$B$2:$B$1000,Lookup!$C$2:$C$1000),"")</f>
        <v>Hybrid</v>
      </c>
      <c r="D177" s="8" t="str">
        <f>IFERROR(INDEX('nav master'!$C:$C, MATCH(B177, 'nav master'!$B:$B, 0)), "")</f>
        <v>ULIF08028/02/25DynamicFnd101</v>
      </c>
      <c r="E177" s="8">
        <v>16.092600000000001</v>
      </c>
      <c r="F177" s="9">
        <v>46132</v>
      </c>
    </row>
    <row r="178" spans="1:6" ht="60" x14ac:dyDescent="0.25">
      <c r="A178" s="8" t="s">
        <v>63</v>
      </c>
      <c r="B178" s="8" t="s">
        <v>64</v>
      </c>
      <c r="C178" s="8" t="str">
        <f>IFERROR(_xlfn.XLOOKUP(TRIM(B178),Lookup!$B$2:$B$1000,Lookup!$C$2:$C$1000),"")</f>
        <v>Hybrid</v>
      </c>
      <c r="D178" s="8" t="str">
        <f>IFERROR(INDEX('nav master'!$C:$C, MATCH(B178, 'nav master'!$B:$B, 0)), "")</f>
        <v>ULIF08028/02/25DynamicFnd101</v>
      </c>
      <c r="E178" s="8">
        <v>16.1432</v>
      </c>
      <c r="F178" s="9">
        <v>46133</v>
      </c>
    </row>
    <row r="179" spans="1:6" ht="60" x14ac:dyDescent="0.25">
      <c r="A179" s="8" t="s">
        <v>63</v>
      </c>
      <c r="B179" s="8" t="s">
        <v>64</v>
      </c>
      <c r="C179" s="8" t="str">
        <f>IFERROR(_xlfn.XLOOKUP(TRIM(B179),Lookup!$B$2:$B$1000,Lookup!$C$2:$C$1000),"")</f>
        <v>Hybrid</v>
      </c>
      <c r="D179" s="8" t="str">
        <f>IFERROR(INDEX('nav master'!$C:$C, MATCH(B179, 'nav master'!$B:$B, 0)), "")</f>
        <v>ULIF08028/02/25DynamicFnd101</v>
      </c>
      <c r="E179" s="8">
        <v>16.063300000000002</v>
      </c>
      <c r="F179" s="9">
        <v>46134</v>
      </c>
    </row>
    <row r="180" spans="1:6" ht="60" x14ac:dyDescent="0.25">
      <c r="A180" s="8" t="s">
        <v>63</v>
      </c>
      <c r="B180" s="8" t="s">
        <v>64</v>
      </c>
      <c r="C180" s="8" t="str">
        <f>IFERROR(_xlfn.XLOOKUP(TRIM(B180),Lookup!$B$2:$B$1000,Lookup!$C$2:$C$1000),"")</f>
        <v>Hybrid</v>
      </c>
      <c r="D180" s="8" t="str">
        <f>IFERROR(INDEX('nav master'!$C:$C, MATCH(B180, 'nav master'!$B:$B, 0)), "")</f>
        <v>ULIF08028/02/25DynamicFnd101</v>
      </c>
      <c r="E180" s="8">
        <v>15.9368</v>
      </c>
      <c r="F180" s="9">
        <v>46135</v>
      </c>
    </row>
    <row r="181" spans="1:6" ht="60" x14ac:dyDescent="0.25">
      <c r="A181" s="8" t="s">
        <v>63</v>
      </c>
      <c r="B181" s="8" t="s">
        <v>64</v>
      </c>
      <c r="C181" s="8" t="str">
        <f>IFERROR(_xlfn.XLOOKUP(TRIM(B181),Lookup!$B$2:$B$1000,Lookup!$C$2:$C$1000),"")</f>
        <v>Hybrid</v>
      </c>
      <c r="D181" s="8" t="str">
        <f>IFERROR(INDEX('nav master'!$C:$C, MATCH(B181, 'nav master'!$B:$B, 0)), "")</f>
        <v>ULIF08028/02/25DynamicFnd101</v>
      </c>
      <c r="E181" s="8">
        <v>15.8193</v>
      </c>
      <c r="F181" s="9">
        <v>46136</v>
      </c>
    </row>
    <row r="182" spans="1:6" ht="60" x14ac:dyDescent="0.25">
      <c r="A182" s="8" t="s">
        <v>63</v>
      </c>
      <c r="B182" s="8" t="s">
        <v>64</v>
      </c>
      <c r="C182" s="8" t="str">
        <f>IFERROR(_xlfn.XLOOKUP(TRIM(B182),Lookup!$B$2:$B$1000,Lookup!$C$2:$C$1000),"")</f>
        <v>Hybrid</v>
      </c>
      <c r="D182" s="8" t="str">
        <f>IFERROR(INDEX('nav master'!$C:$C, MATCH(B182, 'nav master'!$B:$B, 0)), "")</f>
        <v>ULIF08028/02/25DynamicFnd101</v>
      </c>
      <c r="E182" s="8">
        <v>15.9474</v>
      </c>
      <c r="F182" s="9">
        <v>46139</v>
      </c>
    </row>
    <row r="183" spans="1:6" ht="60" x14ac:dyDescent="0.25">
      <c r="A183" s="8" t="s">
        <v>63</v>
      </c>
      <c r="B183" s="8" t="s">
        <v>64</v>
      </c>
      <c r="C183" s="8" t="str">
        <f>IFERROR(_xlfn.XLOOKUP(TRIM(B183),Lookup!$B$2:$B$1000,Lookup!$C$2:$C$1000),"")</f>
        <v>Hybrid</v>
      </c>
      <c r="D183" s="8" t="str">
        <f>IFERROR(INDEX('nav master'!$C:$C, MATCH(B183, 'nav master'!$B:$B, 0)), "")</f>
        <v>ULIF08028/02/25DynamicFnd101</v>
      </c>
      <c r="E183" s="8">
        <v>15.9285</v>
      </c>
      <c r="F183" s="9">
        <v>46140</v>
      </c>
    </row>
    <row r="184" spans="1:6" ht="60" x14ac:dyDescent="0.25">
      <c r="A184" s="8" t="s">
        <v>63</v>
      </c>
      <c r="B184" s="8" t="s">
        <v>64</v>
      </c>
      <c r="C184" s="8" t="str">
        <f>IFERROR(_xlfn.XLOOKUP(TRIM(B184),Lookup!$B$2:$B$1000,Lookup!$C$2:$C$1000),"")</f>
        <v>Hybrid</v>
      </c>
      <c r="D184" s="8" t="str">
        <f>IFERROR(INDEX('nav master'!$C:$C, MATCH(B184, 'nav master'!$B:$B, 0)), "")</f>
        <v>ULIF08028/02/25DynamicFnd101</v>
      </c>
      <c r="E184" s="8">
        <v>15.943199999999999</v>
      </c>
      <c r="F184" s="9">
        <v>46141</v>
      </c>
    </row>
    <row r="185" spans="1:6" ht="60" x14ac:dyDescent="0.25">
      <c r="A185" s="8" t="s">
        <v>63</v>
      </c>
      <c r="B185" s="8" t="s">
        <v>64</v>
      </c>
      <c r="C185" s="8" t="str">
        <f>IFERROR(_xlfn.XLOOKUP(TRIM(B185),Lookup!$B$2:$B$1000,Lookup!$C$2:$C$1000),"")</f>
        <v>Hybrid</v>
      </c>
      <c r="D185" s="8" t="str">
        <f>IFERROR(INDEX('nav master'!$C:$C, MATCH(B185, 'nav master'!$B:$B, 0)), "")</f>
        <v>ULIF08028/02/25DynamicFnd101</v>
      </c>
      <c r="E185" s="8">
        <v>15.862</v>
      </c>
      <c r="F185" s="9">
        <v>46142</v>
      </c>
    </row>
    <row r="186" spans="1:6" ht="60" x14ac:dyDescent="0.25">
      <c r="A186" s="8" t="s">
        <v>63</v>
      </c>
      <c r="B186" s="8" t="s">
        <v>64</v>
      </c>
      <c r="C186" s="8" t="str">
        <f>IFERROR(_xlfn.XLOOKUP(TRIM(B186),Lookup!$B$2:$B$1000,Lookup!$C$2:$C$1000),"")</f>
        <v>Hybrid</v>
      </c>
      <c r="D186" s="8" t="str">
        <f>IFERROR(INDEX('nav master'!$C:$C, MATCH(B186, 'nav master'!$B:$B, 0)), "")</f>
        <v>ULIF08028/02/25DynamicFnd101</v>
      </c>
      <c r="E186" s="8">
        <v>15.9247</v>
      </c>
      <c r="F186" s="9">
        <v>46146</v>
      </c>
    </row>
    <row r="187" spans="1:6" ht="60" x14ac:dyDescent="0.25">
      <c r="A187" s="8" t="s">
        <v>63</v>
      </c>
      <c r="B187" s="8" t="s">
        <v>64</v>
      </c>
      <c r="C187" s="8" t="str">
        <f>IFERROR(_xlfn.XLOOKUP(TRIM(B187),Lookup!$B$2:$B$1000,Lookup!$C$2:$C$1000),"")</f>
        <v>Hybrid</v>
      </c>
      <c r="D187" s="8" t="str">
        <f>IFERROR(INDEX('nav master'!$C:$C, MATCH(B187, 'nav master'!$B:$B, 0)), "")</f>
        <v>ULIF08028/02/25DynamicFnd101</v>
      </c>
      <c r="E187" s="8">
        <v>15.9168</v>
      </c>
      <c r="F187" s="9">
        <v>46147</v>
      </c>
    </row>
    <row r="188" spans="1:6" ht="60" x14ac:dyDescent="0.25">
      <c r="A188" s="8" t="s">
        <v>63</v>
      </c>
      <c r="B188" s="8" t="s">
        <v>64</v>
      </c>
      <c r="C188" s="8" t="str">
        <f>IFERROR(_xlfn.XLOOKUP(TRIM(B188),Lookup!$B$2:$B$1000,Lookup!$C$2:$C$1000),"")</f>
        <v>Hybrid</v>
      </c>
      <c r="D188" s="8" t="str">
        <f>IFERROR(INDEX('nav master'!$C:$C, MATCH(B188, 'nav master'!$B:$B, 0)), "")</f>
        <v>ULIF08028/02/25DynamicFnd101</v>
      </c>
      <c r="E188" s="8">
        <v>16.1311</v>
      </c>
      <c r="F188" s="9">
        <v>46148</v>
      </c>
    </row>
    <row r="189" spans="1:6" ht="60" x14ac:dyDescent="0.25">
      <c r="A189" s="8" t="s">
        <v>63</v>
      </c>
      <c r="B189" s="8" t="s">
        <v>64</v>
      </c>
      <c r="C189" s="8" t="str">
        <f>IFERROR(_xlfn.XLOOKUP(TRIM(B189),Lookup!$B$2:$B$1000,Lookup!$C$2:$C$1000),"")</f>
        <v>Hybrid</v>
      </c>
      <c r="D189" s="8" t="str">
        <f>IFERROR(INDEX('nav master'!$C:$C, MATCH(B189, 'nav master'!$B:$B, 0)), "")</f>
        <v>ULIF08028/02/25DynamicFnd101</v>
      </c>
      <c r="E189" s="8">
        <v>16.215399999999999</v>
      </c>
      <c r="F189" s="9">
        <v>46149</v>
      </c>
    </row>
    <row r="190" spans="1:6" ht="60" x14ac:dyDescent="0.25">
      <c r="A190" s="8" t="s">
        <v>63</v>
      </c>
      <c r="B190" s="8" t="s">
        <v>64</v>
      </c>
      <c r="C190" s="8" t="str">
        <f>IFERROR(_xlfn.XLOOKUP(TRIM(B190),Lookup!$B$2:$B$1000,Lookup!$C$2:$C$1000),"")</f>
        <v>Hybrid</v>
      </c>
      <c r="D190" s="8" t="str">
        <f>IFERROR(INDEX('nav master'!$C:$C, MATCH(B190, 'nav master'!$B:$B, 0)), "")</f>
        <v>ULIF08028/02/25DynamicFnd101</v>
      </c>
      <c r="E190" s="8">
        <v>16.191500000000001</v>
      </c>
      <c r="F190" s="9">
        <v>46150</v>
      </c>
    </row>
    <row r="191" spans="1:6" ht="60" x14ac:dyDescent="0.25">
      <c r="A191" s="8" t="s">
        <v>63</v>
      </c>
      <c r="B191" s="8" t="s">
        <v>64</v>
      </c>
      <c r="C191" s="8" t="str">
        <f>IFERROR(_xlfn.XLOOKUP(TRIM(B191),Lookup!$B$2:$B$1000,Lookup!$C$2:$C$1000),"")</f>
        <v>Hybrid</v>
      </c>
      <c r="D191" s="8" t="str">
        <f>IFERROR(INDEX('nav master'!$C:$C, MATCH(B191, 'nav master'!$B:$B, 0)), "")</f>
        <v>ULIF08028/02/25DynamicFnd101</v>
      </c>
      <c r="E191" s="8">
        <v>16.050799999999999</v>
      </c>
      <c r="F191" s="9">
        <v>46153</v>
      </c>
    </row>
    <row r="192" spans="1:6" ht="60" x14ac:dyDescent="0.25">
      <c r="A192" s="8" t="s">
        <v>63</v>
      </c>
      <c r="B192" s="8" t="s">
        <v>64</v>
      </c>
      <c r="C192" s="8" t="str">
        <f>IFERROR(_xlfn.XLOOKUP(TRIM(B192),Lookup!$B$2:$B$1000,Lookup!$C$2:$C$1000),"")</f>
        <v>Hybrid</v>
      </c>
      <c r="D192" s="8" t="str">
        <f>IFERROR(INDEX('nav master'!$C:$C, MATCH(B192, 'nav master'!$B:$B, 0)), "")</f>
        <v>ULIF08028/02/25DynamicFnd101</v>
      </c>
      <c r="E192" s="8">
        <v>15.8086</v>
      </c>
      <c r="F192" s="9">
        <v>46154</v>
      </c>
    </row>
    <row r="193" spans="1:6" ht="60" x14ac:dyDescent="0.25">
      <c r="A193" s="8" t="s">
        <v>63</v>
      </c>
      <c r="B193" s="8" t="s">
        <v>64</v>
      </c>
      <c r="C193" s="8" t="str">
        <f>IFERROR(_xlfn.XLOOKUP(TRIM(B193),Lookup!$B$2:$B$1000,Lookup!$C$2:$C$1000),"")</f>
        <v>Hybrid</v>
      </c>
      <c r="D193" s="8" t="str">
        <f>IFERROR(INDEX('nav master'!$C:$C, MATCH(B193, 'nav master'!$B:$B, 0)), "")</f>
        <v>ULIF08028/02/25DynamicFnd101</v>
      </c>
      <c r="E193" s="8">
        <v>15.8096</v>
      </c>
      <c r="F193" s="9">
        <v>46155</v>
      </c>
    </row>
    <row r="194" spans="1:6" ht="60" x14ac:dyDescent="0.25">
      <c r="A194" s="8" t="s">
        <v>63</v>
      </c>
      <c r="B194" s="8" t="s">
        <v>64</v>
      </c>
      <c r="C194" s="8" t="str">
        <f>IFERROR(_xlfn.XLOOKUP(TRIM(B194),Lookup!$B$2:$B$1000,Lookup!$C$2:$C$1000),"")</f>
        <v>Hybrid</v>
      </c>
      <c r="D194" s="8" t="str">
        <f>IFERROR(INDEX('nav master'!$C:$C, MATCH(B194, 'nav master'!$B:$B, 0)), "")</f>
        <v>ULIF08028/02/25DynamicFnd101</v>
      </c>
      <c r="E194" s="8">
        <v>15.927199999999999</v>
      </c>
      <c r="F194" s="9">
        <v>46156</v>
      </c>
    </row>
    <row r="195" spans="1:6" ht="60" x14ac:dyDescent="0.25">
      <c r="A195" s="8" t="s">
        <v>63</v>
      </c>
      <c r="B195" s="8" t="s">
        <v>64</v>
      </c>
      <c r="C195" s="8" t="str">
        <f>IFERROR(_xlfn.XLOOKUP(TRIM(B195),Lookup!$B$2:$B$1000,Lookup!$C$2:$C$1000),"")</f>
        <v>Hybrid</v>
      </c>
      <c r="D195" s="8" t="str">
        <f>IFERROR(INDEX('nav master'!$C:$C, MATCH(B195, 'nav master'!$B:$B, 0)), "")</f>
        <v>ULIF08028/02/25DynamicFnd101</v>
      </c>
      <c r="E195" s="8">
        <v>15.9184</v>
      </c>
      <c r="F195" s="9">
        <v>46157</v>
      </c>
    </row>
    <row r="196" spans="1:6" ht="60" x14ac:dyDescent="0.25">
      <c r="A196" s="8" t="s">
        <v>63</v>
      </c>
      <c r="B196" s="8" t="s">
        <v>64</v>
      </c>
      <c r="C196" s="8" t="str">
        <f>IFERROR(_xlfn.XLOOKUP(TRIM(B196),Lookup!$B$2:$B$1000,Lookup!$C$2:$C$1000),"")</f>
        <v>Hybrid</v>
      </c>
      <c r="D196" s="8" t="str">
        <f>IFERROR(INDEX('nav master'!$C:$C, MATCH(B196, 'nav master'!$B:$B, 0)), "")</f>
        <v>ULIF08028/02/25DynamicFnd101</v>
      </c>
      <c r="E196" s="8">
        <v>15.844099999999999</v>
      </c>
      <c r="F196" s="9">
        <v>46160</v>
      </c>
    </row>
    <row r="197" spans="1:6" ht="60" x14ac:dyDescent="0.25">
      <c r="A197" s="8" t="s">
        <v>63</v>
      </c>
      <c r="B197" s="8" t="s">
        <v>64</v>
      </c>
      <c r="C197" s="8" t="str">
        <f>IFERROR(_xlfn.XLOOKUP(TRIM(B197),Lookup!$B$2:$B$1000,Lookup!$C$2:$C$1000),"")</f>
        <v>Hybrid</v>
      </c>
      <c r="D197" s="8" t="str">
        <f>IFERROR(INDEX('nav master'!$C:$C, MATCH(B197, 'nav master'!$B:$B, 0)), "")</f>
        <v>ULIF08028/02/25DynamicFnd101</v>
      </c>
      <c r="E197" s="8">
        <v>15.9146</v>
      </c>
      <c r="F197" s="9">
        <v>46161</v>
      </c>
    </row>
    <row r="198" spans="1:6" ht="60" x14ac:dyDescent="0.25">
      <c r="A198" s="8" t="s">
        <v>63</v>
      </c>
      <c r="B198" s="8" t="s">
        <v>64</v>
      </c>
      <c r="C198" s="8" t="str">
        <f>IFERROR(_xlfn.XLOOKUP(TRIM(B198),Lookup!$B$2:$B$1000,Lookup!$C$2:$C$1000),"")</f>
        <v>Hybrid</v>
      </c>
      <c r="D198" s="8" t="str">
        <f>IFERROR(INDEX('nav master'!$C:$C, MATCH(B198, 'nav master'!$B:$B, 0)), "")</f>
        <v>ULIF08028/02/25DynamicFnd101</v>
      </c>
      <c r="E198" s="8">
        <v>15.9396</v>
      </c>
      <c r="F198" s="9">
        <v>46162</v>
      </c>
    </row>
    <row r="199" spans="1:6" ht="60" x14ac:dyDescent="0.25">
      <c r="A199" s="8" t="s">
        <v>63</v>
      </c>
      <c r="B199" s="8" t="s">
        <v>64</v>
      </c>
      <c r="C199" s="8" t="str">
        <f>IFERROR(_xlfn.XLOOKUP(TRIM(B199),Lookup!$B$2:$B$1000,Lookup!$C$2:$C$1000),"")</f>
        <v>Hybrid</v>
      </c>
      <c r="D199" s="8" t="str">
        <f>IFERROR(INDEX('nav master'!$C:$C, MATCH(B199, 'nav master'!$B:$B, 0)), "")</f>
        <v>ULIF08028/02/25DynamicFnd101</v>
      </c>
      <c r="E199" s="8">
        <v>15.914400000000001</v>
      </c>
      <c r="F199" s="9">
        <v>46163</v>
      </c>
    </row>
    <row r="200" spans="1:6" ht="60" x14ac:dyDescent="0.25">
      <c r="A200" s="8" t="s">
        <v>63</v>
      </c>
      <c r="B200" s="8" t="s">
        <v>64</v>
      </c>
      <c r="C200" s="8" t="str">
        <f>IFERROR(_xlfn.XLOOKUP(TRIM(B200),Lookup!$B$2:$B$1000,Lookup!$C$2:$C$1000),"")</f>
        <v>Hybrid</v>
      </c>
      <c r="D200" s="8" t="str">
        <f>IFERROR(INDEX('nav master'!$C:$C, MATCH(B200, 'nav master'!$B:$B, 0)), "")</f>
        <v>ULIF08028/02/25DynamicFnd101</v>
      </c>
      <c r="E200" s="8">
        <v>15.9413</v>
      </c>
      <c r="F200" s="9">
        <v>46164</v>
      </c>
    </row>
    <row r="201" spans="1:6" ht="60" x14ac:dyDescent="0.25">
      <c r="A201" s="8" t="s">
        <v>63</v>
      </c>
      <c r="B201" s="8" t="s">
        <v>64</v>
      </c>
      <c r="C201" s="8" t="str">
        <f>IFERROR(_xlfn.XLOOKUP(TRIM(B201),Lookup!$B$2:$B$1000,Lookup!$C$2:$C$1000),"")</f>
        <v>Hybrid</v>
      </c>
      <c r="D201" s="8" t="str">
        <f>IFERROR(INDEX('nav master'!$C:$C, MATCH(B201, 'nav master'!$B:$B, 0)), "")</f>
        <v>ULIF08028/02/25DynamicFnd101</v>
      </c>
      <c r="E201" s="8">
        <v>16.064299999999999</v>
      </c>
      <c r="F201" s="9">
        <v>46167</v>
      </c>
    </row>
    <row r="202" spans="1:6" ht="60" x14ac:dyDescent="0.25">
      <c r="A202" s="8" t="s">
        <v>63</v>
      </c>
      <c r="B202" s="8" t="s">
        <v>64</v>
      </c>
      <c r="C202" s="8" t="str">
        <f>IFERROR(_xlfn.XLOOKUP(TRIM(B202),Lookup!$B$2:$B$1000,Lookup!$C$2:$C$1000),"")</f>
        <v>Hybrid</v>
      </c>
      <c r="D202" s="8" t="str">
        <f>IFERROR(INDEX('nav master'!$C:$C, MATCH(B202, 'nav master'!$B:$B, 0)), "")</f>
        <v>ULIF08028/02/25DynamicFnd101</v>
      </c>
      <c r="E202" s="8">
        <v>16.085999999999999</v>
      </c>
      <c r="F202" s="9">
        <v>46168</v>
      </c>
    </row>
    <row r="203" spans="1:6" ht="60" x14ac:dyDescent="0.25">
      <c r="A203" s="8" t="s">
        <v>63</v>
      </c>
      <c r="B203" s="8" t="s">
        <v>64</v>
      </c>
      <c r="C203" s="8" t="str">
        <f>IFERROR(_xlfn.XLOOKUP(TRIM(B203),Lookup!$B$2:$B$1000,Lookup!$C$2:$C$1000),"")</f>
        <v>Hybrid</v>
      </c>
      <c r="D203" s="8" t="str">
        <f>IFERROR(INDEX('nav master'!$C:$C, MATCH(B203, 'nav master'!$B:$B, 0)), "")</f>
        <v>ULIF08028/02/25DynamicFnd101</v>
      </c>
      <c r="E203" s="8">
        <v>16.065100000000001</v>
      </c>
      <c r="F203" s="9">
        <v>46169</v>
      </c>
    </row>
    <row r="204" spans="1:6" ht="60" x14ac:dyDescent="0.25">
      <c r="A204" s="8" t="s">
        <v>63</v>
      </c>
      <c r="B204" s="8" t="s">
        <v>64</v>
      </c>
      <c r="C204" s="8" t="str">
        <f>IFERROR(_xlfn.XLOOKUP(TRIM(B204),Lookup!$B$2:$B$1000,Lookup!$C$2:$C$1000),"")</f>
        <v>Hybrid</v>
      </c>
      <c r="D204" s="8" t="str">
        <f>IFERROR(INDEX('nav master'!$C:$C, MATCH(B204, 'nav master'!$B:$B, 0)), "")</f>
        <v>ULIF08028/02/25DynamicFnd101</v>
      </c>
      <c r="E204" s="8">
        <v>15.979100000000001</v>
      </c>
      <c r="F204" s="9">
        <v>46171</v>
      </c>
    </row>
    <row r="205" spans="1:6" ht="60" x14ac:dyDescent="0.25">
      <c r="A205" s="8" t="s">
        <v>63</v>
      </c>
      <c r="B205" s="8" t="s">
        <v>64</v>
      </c>
      <c r="C205" s="8" t="str">
        <f>IFERROR(_xlfn.XLOOKUP(TRIM(B205),Lookup!$B$2:$B$1000,Lookup!$C$2:$C$1000),"")</f>
        <v>Hybrid</v>
      </c>
      <c r="D205" s="8" t="str">
        <f>IFERROR(INDEX('nav master'!$C:$C, MATCH(B205, 'nav master'!$B:$B, 0)), "")</f>
        <v>ULIF08028/02/25DynamicFnd101</v>
      </c>
      <c r="E205" s="8">
        <v>15.898300000000001</v>
      </c>
      <c r="F205" s="9">
        <v>46174</v>
      </c>
    </row>
    <row r="206" spans="1:6" ht="60" x14ac:dyDescent="0.25">
      <c r="A206" s="8" t="s">
        <v>63</v>
      </c>
      <c r="B206" s="8" t="s">
        <v>64</v>
      </c>
      <c r="C206" s="8" t="str">
        <f>IFERROR(_xlfn.XLOOKUP(TRIM(B206),Lookup!$B$2:$B$1000,Lookup!$C$2:$C$1000),"")</f>
        <v>Hybrid</v>
      </c>
      <c r="D206" s="8" t="str">
        <f>IFERROR(INDEX('nav master'!$C:$C, MATCH(B206, 'nav master'!$B:$B, 0)), "")</f>
        <v>ULIF08028/02/25DynamicFnd101</v>
      </c>
      <c r="E206" s="8">
        <v>15.903700000000001</v>
      </c>
      <c r="F206" s="9">
        <v>46175</v>
      </c>
    </row>
    <row r="207" spans="1:6" ht="60" x14ac:dyDescent="0.25">
      <c r="A207" s="8" t="s">
        <v>63</v>
      </c>
      <c r="B207" s="8" t="s">
        <v>64</v>
      </c>
      <c r="C207" s="8" t="str">
        <f>IFERROR(_xlfn.XLOOKUP(TRIM(B207),Lookup!$B$2:$B$1000,Lookup!$C$2:$C$1000),"")</f>
        <v>Hybrid</v>
      </c>
      <c r="D207" s="8" t="str">
        <f>IFERROR(INDEX('nav master'!$C:$C, MATCH(B207, 'nav master'!$B:$B, 0)), "")</f>
        <v>ULIF08028/02/25DynamicFnd101</v>
      </c>
      <c r="E207" s="8">
        <v>15.8797</v>
      </c>
      <c r="F207" s="9">
        <v>46176</v>
      </c>
    </row>
    <row r="208" spans="1:6" ht="60" x14ac:dyDescent="0.25">
      <c r="A208" s="8" t="s">
        <v>63</v>
      </c>
      <c r="B208" s="8" t="s">
        <v>64</v>
      </c>
      <c r="C208" s="8" t="str">
        <f>IFERROR(_xlfn.XLOOKUP(TRIM(B208),Lookup!$B$2:$B$1000,Lookup!$C$2:$C$1000),"")</f>
        <v>Hybrid</v>
      </c>
      <c r="D208" s="8" t="str">
        <f>IFERROR(INDEX('nav master'!$C:$C, MATCH(B208, 'nav master'!$B:$B, 0)), "")</f>
        <v>ULIF08028/02/25DynamicFnd101</v>
      </c>
      <c r="E208" s="8">
        <v>15.918799999999999</v>
      </c>
      <c r="F208" s="9">
        <v>46177</v>
      </c>
    </row>
    <row r="209" spans="1:6" ht="60" x14ac:dyDescent="0.25">
      <c r="A209" s="8" t="s">
        <v>63</v>
      </c>
      <c r="B209" s="8" t="s">
        <v>64</v>
      </c>
      <c r="C209" s="8" t="str">
        <f>IFERROR(_xlfn.XLOOKUP(TRIM(B209),Lookup!$B$2:$B$1000,Lookup!$C$2:$C$1000),"")</f>
        <v>Hybrid</v>
      </c>
      <c r="D209" s="8" t="str">
        <f>IFERROR(INDEX('nav master'!$C:$C, MATCH(B209, 'nav master'!$B:$B, 0)), "")</f>
        <v>ULIF08028/02/25DynamicFnd101</v>
      </c>
      <c r="E209" s="8">
        <v>15.888999999999999</v>
      </c>
      <c r="F209" s="9">
        <v>46178</v>
      </c>
    </row>
    <row r="210" spans="1:6" ht="60" x14ac:dyDescent="0.25">
      <c r="A210" s="8" t="s">
        <v>63</v>
      </c>
      <c r="B210" s="8" t="s">
        <v>64</v>
      </c>
      <c r="C210" s="8" t="str">
        <f>IFERROR(_xlfn.XLOOKUP(TRIM(B210),Lookup!$B$2:$B$1000,Lookup!$C$2:$C$1000),"")</f>
        <v>Hybrid</v>
      </c>
      <c r="D210" s="8" t="str">
        <f>IFERROR(INDEX('nav master'!$C:$C, MATCH(B210, 'nav master'!$B:$B, 0)), "")</f>
        <v>ULIF08028/02/25DynamicFnd101</v>
      </c>
      <c r="E210" s="8">
        <v>15.7651</v>
      </c>
      <c r="F210" s="9">
        <v>46181</v>
      </c>
    </row>
    <row r="211" spans="1:6" ht="60" x14ac:dyDescent="0.25">
      <c r="A211" s="8" t="s">
        <v>63</v>
      </c>
      <c r="B211" s="8" t="s">
        <v>64</v>
      </c>
      <c r="C211" s="8" t="str">
        <f>IFERROR(_xlfn.XLOOKUP(TRIM(B211),Lookup!$B$2:$B$1000,Lookup!$C$2:$C$1000),"")</f>
        <v>Hybrid</v>
      </c>
      <c r="D211" s="8" t="str">
        <f>IFERROR(INDEX('nav master'!$C:$C, MATCH(B211, 'nav master'!$B:$B, 0)), "")</f>
        <v>ULIF08028/02/25DynamicFnd101</v>
      </c>
      <c r="E211" s="8">
        <v>15.840400000000001</v>
      </c>
      <c r="F211" s="9">
        <v>46182</v>
      </c>
    </row>
    <row r="212" spans="1:6" ht="60" x14ac:dyDescent="0.25">
      <c r="A212" s="8" t="s">
        <v>63</v>
      </c>
      <c r="B212" s="8" t="s">
        <v>64</v>
      </c>
      <c r="C212" s="8" t="str">
        <f>IFERROR(_xlfn.XLOOKUP(TRIM(B212),Lookup!$B$2:$B$1000,Lookup!$C$2:$C$1000),"")</f>
        <v>Hybrid</v>
      </c>
      <c r="D212" s="8" t="str">
        <f>IFERROR(INDEX('nav master'!$C:$C, MATCH(B212, 'nav master'!$B:$B, 0)), "")</f>
        <v>ULIF08028/02/25DynamicFnd101</v>
      </c>
      <c r="E212" s="8">
        <v>15.763299999999999</v>
      </c>
      <c r="F212" s="9">
        <v>46183</v>
      </c>
    </row>
    <row r="213" spans="1:6" ht="60" x14ac:dyDescent="0.25">
      <c r="A213" s="8" t="s">
        <v>63</v>
      </c>
      <c r="B213" s="8" t="s">
        <v>64</v>
      </c>
      <c r="C213" s="8" t="str">
        <f>IFERROR(_xlfn.XLOOKUP(TRIM(B213),Lookup!$B$2:$B$1000,Lookup!$C$2:$C$1000),"")</f>
        <v>Hybrid</v>
      </c>
      <c r="D213" s="8" t="str">
        <f>IFERROR(INDEX('nav master'!$C:$C, MATCH(B213, 'nav master'!$B:$B, 0)), "")</f>
        <v>ULIF08028/02/25DynamicFnd101</v>
      </c>
      <c r="E213" s="8">
        <v>15.7148</v>
      </c>
      <c r="F213" s="9">
        <v>46184</v>
      </c>
    </row>
    <row r="214" spans="1:6" ht="60" x14ac:dyDescent="0.25">
      <c r="A214" s="8" t="s">
        <v>63</v>
      </c>
      <c r="B214" s="8" t="s">
        <v>64</v>
      </c>
      <c r="C214" s="8" t="str">
        <f>IFERROR(_xlfn.XLOOKUP(TRIM(B214),Lookup!$B$2:$B$1000,Lookup!$C$2:$C$1000),"")</f>
        <v>Hybrid</v>
      </c>
      <c r="D214" s="8" t="str">
        <f>IFERROR(INDEX('nav master'!$C:$C, MATCH(B214, 'nav master'!$B:$B, 0)), "")</f>
        <v>ULIF08028/02/25DynamicFnd101</v>
      </c>
      <c r="E214" s="8">
        <v>15.922800000000001</v>
      </c>
      <c r="F214" s="9">
        <v>46185</v>
      </c>
    </row>
    <row r="215" spans="1:6" ht="60" x14ac:dyDescent="0.25">
      <c r="A215" s="8" t="s">
        <v>63</v>
      </c>
      <c r="B215" s="8" t="s">
        <v>64</v>
      </c>
      <c r="C215" s="8" t="str">
        <f>IFERROR(_xlfn.XLOOKUP(TRIM(B215),Lookup!$B$2:$B$1000,Lookup!$C$2:$C$1000),"")</f>
        <v>Hybrid</v>
      </c>
      <c r="D215" s="8" t="str">
        <f>IFERROR(INDEX('nav master'!$C:$C, MATCH(B215, 'nav master'!$B:$B, 0)), "")</f>
        <v>ULIF08028/02/25DynamicFnd101</v>
      </c>
      <c r="E215" s="8">
        <v>16.083300000000001</v>
      </c>
      <c r="F215" s="9">
        <v>46188</v>
      </c>
    </row>
    <row r="216" spans="1:6" ht="60" x14ac:dyDescent="0.25">
      <c r="A216" s="8" t="s">
        <v>63</v>
      </c>
      <c r="B216" s="8" t="s">
        <v>64</v>
      </c>
      <c r="C216" s="8" t="str">
        <f>IFERROR(_xlfn.XLOOKUP(TRIM(B216),Lookup!$B$2:$B$1000,Lookup!$C$2:$C$1000),"")</f>
        <v>Hybrid</v>
      </c>
      <c r="D216" s="8" t="str">
        <f>IFERROR(INDEX('nav master'!$C:$C, MATCH(B216, 'nav master'!$B:$B, 0)), "")</f>
        <v>ULIF08028/02/25DynamicFnd101</v>
      </c>
      <c r="E216" s="8">
        <v>16.095400000000001</v>
      </c>
      <c r="F216" s="9">
        <v>46189</v>
      </c>
    </row>
    <row r="217" spans="1:6" ht="60" x14ac:dyDescent="0.25">
      <c r="A217" s="8" t="s">
        <v>63</v>
      </c>
      <c r="B217" s="8" t="s">
        <v>64</v>
      </c>
      <c r="C217" s="8" t="str">
        <f>IFERROR(_xlfn.XLOOKUP(TRIM(B217),Lookup!$B$2:$B$1000,Lookup!$C$2:$C$1000),"")</f>
        <v>Hybrid</v>
      </c>
      <c r="D217" s="8" t="str">
        <f>IFERROR(INDEX('nav master'!$C:$C, MATCH(B217, 'nav master'!$B:$B, 0)), "")</f>
        <v>ULIF08028/02/25DynamicFnd101</v>
      </c>
      <c r="E217" s="8">
        <v>16.131</v>
      </c>
      <c r="F217" s="9">
        <v>46190</v>
      </c>
    </row>
    <row r="218" spans="1:6" ht="60" x14ac:dyDescent="0.25">
      <c r="A218" s="8" t="s">
        <v>63</v>
      </c>
      <c r="B218" s="8" t="s">
        <v>64</v>
      </c>
      <c r="C218" s="8" t="str">
        <f>IFERROR(_xlfn.XLOOKUP(TRIM(B218),Lookup!$B$2:$B$1000,Lookup!$C$2:$C$1000),"")</f>
        <v>Hybrid</v>
      </c>
      <c r="D218" s="8" t="str">
        <f>IFERROR(INDEX('nav master'!$C:$C, MATCH(B218, 'nav master'!$B:$B, 0)), "")</f>
        <v>ULIF08028/02/25DynamicFnd101</v>
      </c>
      <c r="E218" s="8">
        <v>16.165700000000001</v>
      </c>
      <c r="F218" s="9">
        <v>46191</v>
      </c>
    </row>
    <row r="219" spans="1:6" ht="60" x14ac:dyDescent="0.25">
      <c r="A219" s="8" t="s">
        <v>63</v>
      </c>
      <c r="B219" s="8" t="s">
        <v>64</v>
      </c>
      <c r="C219" s="8" t="str">
        <f>IFERROR(_xlfn.XLOOKUP(TRIM(B219),Lookup!$B$2:$B$1000,Lookup!$C$2:$C$1000),"")</f>
        <v>Hybrid</v>
      </c>
      <c r="D219" s="8" t="str">
        <f>IFERROR(INDEX('nav master'!$C:$C, MATCH(B219, 'nav master'!$B:$B, 0)), "")</f>
        <v>ULIF08028/02/25DynamicFnd101</v>
      </c>
      <c r="E219" s="8">
        <v>16.149699999999999</v>
      </c>
      <c r="F219" s="9">
        <v>46192</v>
      </c>
    </row>
    <row r="220" spans="1:6" ht="60" x14ac:dyDescent="0.25">
      <c r="A220" s="8" t="s">
        <v>63</v>
      </c>
      <c r="B220" s="8" t="s">
        <v>64</v>
      </c>
      <c r="C220" s="8" t="str">
        <f>IFERROR(_xlfn.XLOOKUP(TRIM(B220),Lookup!$B$2:$B$1000,Lookup!$C$2:$C$1000),"")</f>
        <v>Hybrid</v>
      </c>
      <c r="D220" s="8" t="str">
        <f>IFERROR(INDEX('nav master'!$C:$C, MATCH(B220, 'nav master'!$B:$B, 0)), "")</f>
        <v>ULIF08028/02/25DynamicFnd101</v>
      </c>
      <c r="E220" s="8">
        <v>16.241800000000001</v>
      </c>
      <c r="F220" s="9">
        <v>46195</v>
      </c>
    </row>
    <row r="221" spans="1:6" ht="60" x14ac:dyDescent="0.25">
      <c r="A221" s="8" t="s">
        <v>63</v>
      </c>
      <c r="B221" s="8" t="s">
        <v>64</v>
      </c>
      <c r="C221" s="8" t="str">
        <f>IFERROR(_xlfn.XLOOKUP(TRIM(B221),Lookup!$B$2:$B$1000,Lookup!$C$2:$C$1000),"")</f>
        <v>Hybrid</v>
      </c>
      <c r="D221" s="8" t="str">
        <f>IFERROR(INDEX('nav master'!$C:$C, MATCH(B221, 'nav master'!$B:$B, 0)), "")</f>
        <v>ULIF08028/02/25DynamicFnd101</v>
      </c>
      <c r="E221" s="8">
        <v>16.1694</v>
      </c>
      <c r="F221" s="9">
        <v>46196</v>
      </c>
    </row>
    <row r="222" spans="1:6" ht="60" x14ac:dyDescent="0.25">
      <c r="A222" s="8" t="s">
        <v>63</v>
      </c>
      <c r="B222" s="8" t="s">
        <v>64</v>
      </c>
      <c r="C222" s="8" t="str">
        <f>IFERROR(_xlfn.XLOOKUP(TRIM(B222),Lookup!$B$2:$B$1000,Lookup!$C$2:$C$1000),"")</f>
        <v>Hybrid</v>
      </c>
      <c r="D222" s="8" t="str">
        <f>IFERROR(INDEX('nav master'!$C:$C, MATCH(B222, 'nav master'!$B:$B, 0)), "")</f>
        <v>ULIF08028/02/25DynamicFnd101</v>
      </c>
      <c r="E222" s="8">
        <v>16.220199999999998</v>
      </c>
      <c r="F222" s="9">
        <v>46197</v>
      </c>
    </row>
    <row r="223" spans="1:6" ht="60" x14ac:dyDescent="0.25">
      <c r="A223" s="8" t="s">
        <v>63</v>
      </c>
      <c r="B223" s="8" t="s">
        <v>64</v>
      </c>
      <c r="C223" s="8" t="str">
        <f>IFERROR(_xlfn.XLOOKUP(TRIM(B223),Lookup!$B$2:$B$1000,Lookup!$C$2:$C$1000),"")</f>
        <v>Hybrid</v>
      </c>
      <c r="D223" s="8" t="str">
        <f>IFERROR(INDEX('nav master'!$C:$C, MATCH(B223, 'nav master'!$B:$B, 0)), "")</f>
        <v>ULIF08028/02/25DynamicFnd101</v>
      </c>
      <c r="E223" s="8">
        <v>16.1936</v>
      </c>
      <c r="F223" s="9">
        <v>46198</v>
      </c>
    </row>
    <row r="224" spans="1:6" ht="60" x14ac:dyDescent="0.25">
      <c r="A224" s="8" t="s">
        <v>63</v>
      </c>
      <c r="B224" s="8" t="s">
        <v>64</v>
      </c>
      <c r="C224" s="8" t="str">
        <f>IFERROR(_xlfn.XLOOKUP(TRIM(B224),Lookup!$B$2:$B$1000,Lookup!$C$2:$C$1000),"")</f>
        <v>Hybrid</v>
      </c>
      <c r="D224" s="8" t="str">
        <f>IFERROR(INDEX('nav master'!$C:$C, MATCH(B224, 'nav master'!$B:$B, 0)), "")</f>
        <v>ULIF08028/02/25DynamicFnd101</v>
      </c>
      <c r="E224" s="8">
        <v>16.164899999999999</v>
      </c>
      <c r="F224" s="9">
        <v>46202</v>
      </c>
    </row>
    <row r="225" spans="1:6" ht="60" x14ac:dyDescent="0.25">
      <c r="A225" s="8" t="s">
        <v>63</v>
      </c>
      <c r="B225" s="8" t="s">
        <v>64</v>
      </c>
      <c r="C225" s="8" t="str">
        <f>IFERROR(_xlfn.XLOOKUP(TRIM(B225),Lookup!$B$2:$B$1000,Lookup!$C$2:$C$1000),"")</f>
        <v>Hybrid</v>
      </c>
      <c r="D225" s="8" t="str">
        <f>IFERROR(INDEX('nav master'!$C:$C, MATCH(B225, 'nav master'!$B:$B, 0)), "")</f>
        <v>ULIF08028/02/25DynamicFnd101</v>
      </c>
      <c r="E225" s="8">
        <v>16.1694</v>
      </c>
      <c r="F225" s="9">
        <v>46203</v>
      </c>
    </row>
    <row r="226" spans="1:6" ht="60" x14ac:dyDescent="0.25">
      <c r="A226" s="8" t="s">
        <v>63</v>
      </c>
      <c r="B226" s="8" t="s">
        <v>64</v>
      </c>
      <c r="C226" s="8" t="str">
        <f>IFERROR(_xlfn.XLOOKUP(TRIM(B226),Lookup!$B$2:$B$1000,Lookup!$C$2:$C$1000),"")</f>
        <v>Hybrid</v>
      </c>
      <c r="D226" s="8" t="str">
        <f>IFERROR(INDEX('nav master'!$C:$C, MATCH(B226, 'nav master'!$B:$B, 0)), "")</f>
        <v>ULIF08028/02/25DynamicFnd101</v>
      </c>
      <c r="E226" s="8">
        <v>16.209800000000001</v>
      </c>
      <c r="F226" s="9">
        <v>46204</v>
      </c>
    </row>
    <row r="227" spans="1:6" ht="60" x14ac:dyDescent="0.25">
      <c r="A227" s="8" t="s">
        <v>63</v>
      </c>
      <c r="B227" s="8" t="s">
        <v>64</v>
      </c>
      <c r="C227" s="8" t="str">
        <f>IFERROR(_xlfn.XLOOKUP(TRIM(B227),Lookup!$B$2:$B$1000,Lookup!$C$2:$C$1000),"")</f>
        <v>Hybrid</v>
      </c>
      <c r="D227" s="8" t="str">
        <f>IFERROR(INDEX('nav master'!$C:$C, MATCH(B227, 'nav master'!$B:$B, 0)), "")</f>
        <v>ULIF08028/02/25DynamicFnd101</v>
      </c>
      <c r="E227" s="8">
        <v>16.290099999999999</v>
      </c>
      <c r="F227" s="9">
        <v>46205</v>
      </c>
    </row>
    <row r="228" spans="1:6" ht="60" x14ac:dyDescent="0.25">
      <c r="A228" s="8" t="s">
        <v>63</v>
      </c>
      <c r="B228" s="8" t="s">
        <v>64</v>
      </c>
      <c r="C228" s="8" t="str">
        <f>IFERROR(_xlfn.XLOOKUP(TRIM(B228),Lookup!$B$2:$B$1000,Lookup!$C$2:$C$1000),"")</f>
        <v>Hybrid</v>
      </c>
      <c r="D228" s="8" t="str">
        <f>IFERROR(INDEX('nav master'!$C:$C, MATCH(B228, 'nav master'!$B:$B, 0)), "")</f>
        <v>ULIF08028/02/25DynamicFnd101</v>
      </c>
      <c r="E228" s="8">
        <v>16.2729</v>
      </c>
      <c r="F228" s="9">
        <v>46206</v>
      </c>
    </row>
    <row r="229" spans="1:6" ht="60" x14ac:dyDescent="0.25">
      <c r="A229" s="8" t="s">
        <v>63</v>
      </c>
      <c r="B229" s="8" t="s">
        <v>64</v>
      </c>
      <c r="C229" s="8" t="str">
        <f>IFERROR(_xlfn.XLOOKUP(TRIM(B229),Lookup!$B$2:$B$1000,Lookup!$C$2:$C$1000),"")</f>
        <v>Hybrid</v>
      </c>
      <c r="D229" s="8" t="str">
        <f>IFERROR(INDEX('nav master'!$C:$C, MATCH(B229, 'nav master'!$B:$B, 0)), "")</f>
        <v>ULIF08028/02/25DynamicFnd101</v>
      </c>
      <c r="E229" s="8">
        <v>16.336400000000001</v>
      </c>
      <c r="F229" s="9">
        <v>46209</v>
      </c>
    </row>
    <row r="230" spans="1:6" ht="60" x14ac:dyDescent="0.25">
      <c r="A230" s="8" t="s">
        <v>63</v>
      </c>
      <c r="B230" s="8" t="s">
        <v>64</v>
      </c>
      <c r="C230" s="8" t="str">
        <f>IFERROR(_xlfn.XLOOKUP(TRIM(B230),Lookup!$B$2:$B$1000,Lookup!$C$2:$C$1000),"")</f>
        <v>Hybrid</v>
      </c>
      <c r="D230" s="8" t="str">
        <f>IFERROR(INDEX('nav master'!$C:$C, MATCH(B230, 'nav master'!$B:$B, 0)), "")</f>
        <v>ULIF08028/02/25DynamicFnd101</v>
      </c>
      <c r="E230" s="8">
        <v>16.333600000000001</v>
      </c>
      <c r="F230" s="9">
        <v>46210</v>
      </c>
    </row>
    <row r="231" spans="1:6" ht="60" x14ac:dyDescent="0.25">
      <c r="A231" s="8" t="s">
        <v>63</v>
      </c>
      <c r="B231" s="8" t="s">
        <v>64</v>
      </c>
      <c r="C231" s="8" t="str">
        <f>IFERROR(_xlfn.XLOOKUP(TRIM(B231),Lookup!$B$2:$B$1000,Lookup!$C$2:$C$1000),"")</f>
        <v>Hybrid</v>
      </c>
      <c r="D231" s="8" t="str">
        <f>IFERROR(INDEX('nav master'!$C:$C, MATCH(B231, 'nav master'!$B:$B, 0)), "")</f>
        <v>ULIF08028/02/25DynamicFnd101</v>
      </c>
      <c r="E231" s="8">
        <v>16.1601</v>
      </c>
      <c r="F231" s="9">
        <v>46211</v>
      </c>
    </row>
    <row r="232" spans="1:6" ht="60" x14ac:dyDescent="0.25">
      <c r="A232" s="8" t="s">
        <v>63</v>
      </c>
      <c r="B232" s="8" t="s">
        <v>64</v>
      </c>
      <c r="C232" s="8" t="str">
        <f>IFERROR(_xlfn.XLOOKUP(TRIM(B232),Lookup!$B$2:$B$1000,Lookup!$C$2:$C$1000),"")</f>
        <v>Hybrid</v>
      </c>
      <c r="D232" s="8" t="str">
        <f>IFERROR(INDEX('nav master'!$C:$C, MATCH(B232, 'nav master'!$B:$B, 0)), "")</f>
        <v>ULIF08028/02/25DynamicFnd101</v>
      </c>
      <c r="E232" s="8">
        <v>16.2944</v>
      </c>
      <c r="F232" s="9">
        <v>46212</v>
      </c>
    </row>
    <row r="233" spans="1:6" ht="60" x14ac:dyDescent="0.25">
      <c r="A233" s="8" t="s">
        <v>63</v>
      </c>
      <c r="B233" s="8" t="s">
        <v>64</v>
      </c>
      <c r="C233" s="8" t="str">
        <f>IFERROR(_xlfn.XLOOKUP(TRIM(B233),Lookup!$B$2:$B$1000,Lookup!$C$2:$C$1000),"")</f>
        <v>Hybrid</v>
      </c>
      <c r="D233" s="8" t="str">
        <f>IFERROR(INDEX('nav master'!$C:$C, MATCH(B233, 'nav master'!$B:$B, 0)), "")</f>
        <v>ULIF08028/02/25DynamicFnd101</v>
      </c>
      <c r="E233" s="8">
        <v>16.430399999999999</v>
      </c>
      <c r="F233" s="9">
        <v>46213</v>
      </c>
    </row>
    <row r="234" spans="1:6" ht="60" x14ac:dyDescent="0.25">
      <c r="A234" s="8" t="s">
        <v>63</v>
      </c>
      <c r="B234" s="8" t="s">
        <v>64</v>
      </c>
      <c r="C234" s="8" t="str">
        <f>IFERROR(_xlfn.XLOOKUP(TRIM(B234),Lookup!$B$2:$B$1000,Lookup!$C$2:$C$1000),"")</f>
        <v>Hybrid</v>
      </c>
      <c r="D234" s="8" t="str">
        <f>IFERROR(INDEX('nav master'!$C:$C, MATCH(B234, 'nav master'!$B:$B, 0)), "")</f>
        <v>ULIF08028/02/25DynamicFnd101</v>
      </c>
      <c r="E234" s="8">
        <v>16.464099999999998</v>
      </c>
      <c r="F234" s="9">
        <v>46216</v>
      </c>
    </row>
    <row r="235" spans="1:6" ht="60" x14ac:dyDescent="0.25">
      <c r="A235" s="8" t="s">
        <v>63</v>
      </c>
      <c r="B235" s="8" t="s">
        <v>64</v>
      </c>
      <c r="C235" s="8" t="str">
        <f>IFERROR(_xlfn.XLOOKUP(TRIM(B235),Lookup!$B$2:$B$1000,Lookup!$C$2:$C$1000),"")</f>
        <v>Hybrid</v>
      </c>
      <c r="D235" s="8" t="str">
        <f>IFERROR(INDEX('nav master'!$C:$C, MATCH(B235, 'nav master'!$B:$B, 0)), "")</f>
        <v>ULIF08028/02/25DynamicFnd101</v>
      </c>
      <c r="E235" s="8">
        <v>16.359300000000001</v>
      </c>
      <c r="F235" s="9">
        <v>46217</v>
      </c>
    </row>
    <row r="236" spans="1:6" ht="60" x14ac:dyDescent="0.25">
      <c r="A236" s="8" t="s">
        <v>63</v>
      </c>
      <c r="B236" s="8" t="s">
        <v>64</v>
      </c>
      <c r="C236" s="8" t="str">
        <f>IFERROR(_xlfn.XLOOKUP(TRIM(B236),Lookup!$B$2:$B$1000,Lookup!$C$2:$C$1000),"")</f>
        <v>Hybrid</v>
      </c>
      <c r="D236" s="8" t="str">
        <f>IFERROR(INDEX('nav master'!$C:$C, MATCH(B236, 'nav master'!$B:$B, 0)), "")</f>
        <v>ULIF08028/02/25DynamicFnd101</v>
      </c>
      <c r="E236" s="8">
        <v>16.387899999999998</v>
      </c>
      <c r="F236" s="9">
        <v>46218</v>
      </c>
    </row>
    <row r="237" spans="1:6" ht="60" x14ac:dyDescent="0.25">
      <c r="A237" s="8" t="s">
        <v>63</v>
      </c>
      <c r="B237" s="8" t="s">
        <v>64</v>
      </c>
      <c r="C237" s="8" t="str">
        <f>IFERROR(_xlfn.XLOOKUP(TRIM(B237),Lookup!$B$2:$B$1000,Lookup!$C$2:$C$1000),"")</f>
        <v>Hybrid</v>
      </c>
      <c r="D237" s="8" t="str">
        <f>IFERROR(INDEX('nav master'!$C:$C, MATCH(B237, 'nav master'!$B:$B, 0)), "")</f>
        <v>ULIF08028/02/25DynamicFnd101</v>
      </c>
      <c r="E237" s="8">
        <v>16.377600000000001</v>
      </c>
      <c r="F237" s="9">
        <v>46219</v>
      </c>
    </row>
    <row r="238" spans="1:6" ht="60" x14ac:dyDescent="0.25">
      <c r="A238" s="8" t="s">
        <v>63</v>
      </c>
      <c r="B238" s="8" t="s">
        <v>64</v>
      </c>
      <c r="C238" s="8" t="str">
        <f>IFERROR(_xlfn.XLOOKUP(TRIM(B238),Lookup!$B$2:$B$1000,Lookup!$C$2:$C$1000),"")</f>
        <v>Hybrid</v>
      </c>
      <c r="D238" s="8" t="str">
        <f>IFERROR(INDEX('nav master'!$C:$C, MATCH(B238, 'nav master'!$B:$B, 0)), "")</f>
        <v>ULIF08028/02/25DynamicFnd101</v>
      </c>
      <c r="E238" s="8">
        <v>16.3414</v>
      </c>
      <c r="F238" s="9">
        <v>46220</v>
      </c>
    </row>
    <row r="239" spans="1:6" ht="60" x14ac:dyDescent="0.25">
      <c r="A239" s="8" t="s">
        <v>63</v>
      </c>
      <c r="B239" s="8" t="s">
        <v>64</v>
      </c>
      <c r="C239" s="8" t="str">
        <f>IFERROR(_xlfn.XLOOKUP(TRIM(B239),Lookup!$B$2:$B$1000,Lookup!$C$2:$C$1000),"")</f>
        <v>Hybrid</v>
      </c>
      <c r="D239" s="8" t="str">
        <f>IFERROR(INDEX('nav master'!$C:$C, MATCH(B239, 'nav master'!$B:$B, 0)), "")</f>
        <v>ULIF08028/02/25DynamicFnd101</v>
      </c>
      <c r="E239" s="8">
        <v>16.3535</v>
      </c>
      <c r="F239" s="9">
        <v>46223</v>
      </c>
    </row>
    <row r="240" spans="1:6" ht="60" x14ac:dyDescent="0.25">
      <c r="A240" s="8" t="s">
        <v>63</v>
      </c>
      <c r="B240" s="8" t="s">
        <v>64</v>
      </c>
      <c r="C240" s="8" t="str">
        <f>IFERROR(_xlfn.XLOOKUP(TRIM(B240),Lookup!$B$2:$B$1000,Lookup!$C$2:$C$1000),"")</f>
        <v>Hybrid</v>
      </c>
      <c r="D240" s="8" t="str">
        <f>IFERROR(INDEX('nav master'!$C:$C, MATCH(B240, 'nav master'!$B:$B, 0)), "")</f>
        <v>ULIF08028/02/25DynamicFnd101</v>
      </c>
      <c r="E240" s="8">
        <v>16.363099999999999</v>
      </c>
      <c r="F240" s="9">
        <v>46224</v>
      </c>
    </row>
    <row r="241" spans="1:6" ht="60" x14ac:dyDescent="0.25">
      <c r="A241" s="8" t="s">
        <v>63</v>
      </c>
      <c r="B241" s="8" t="s">
        <v>64</v>
      </c>
      <c r="C241" s="8" t="str">
        <f>IFERROR(_xlfn.XLOOKUP(TRIM(B241),Lookup!$B$2:$B$1000,Lookup!$C$2:$C$1000),"")</f>
        <v>Hybrid</v>
      </c>
      <c r="D241" s="8" t="str">
        <f>IFERROR(INDEX('nav master'!$C:$C, MATCH(B241, 'nav master'!$B:$B, 0)), "")</f>
        <v>ULIF08028/02/25DynamicFnd101</v>
      </c>
      <c r="E241" s="8">
        <v>16.242699999999999</v>
      </c>
      <c r="F241" s="9">
        <v>46225</v>
      </c>
    </row>
    <row r="242" spans="1:6" ht="60" x14ac:dyDescent="0.25">
      <c r="A242" s="8" t="s">
        <v>63</v>
      </c>
      <c r="B242" s="8" t="s">
        <v>64</v>
      </c>
      <c r="C242" s="8" t="str">
        <f>IFERROR(_xlfn.XLOOKUP(TRIM(B242),Lookup!$B$2:$B$1000,Lookup!$C$2:$C$1000),"")</f>
        <v>Hybrid</v>
      </c>
      <c r="D242" s="8" t="str">
        <f>IFERROR(INDEX('nav master'!$C:$C, MATCH(B242, 'nav master'!$B:$B, 0)), "")</f>
        <v>ULIF08028/02/25DynamicFnd101</v>
      </c>
      <c r="E242" s="8">
        <v>16.161799999999999</v>
      </c>
      <c r="F242" s="9">
        <v>46226</v>
      </c>
    </row>
    <row r="243" spans="1:6" ht="60" x14ac:dyDescent="0.25">
      <c r="A243" s="8" t="s">
        <v>63</v>
      </c>
      <c r="B243" s="8" t="s">
        <v>64</v>
      </c>
      <c r="C243" s="8" t="str">
        <f>IFERROR(_xlfn.XLOOKUP(TRIM(B243),Lookup!$B$2:$B$1000,Lookup!$C$2:$C$1000),"")</f>
        <v>Hybrid</v>
      </c>
      <c r="D243" s="8" t="str">
        <f>IFERROR(INDEX('nav master'!$C:$C, MATCH(B243, 'nav master'!$B:$B, 0)), "")</f>
        <v>ULIF08028/02/25DynamicFnd101</v>
      </c>
      <c r="E243" s="8">
        <v>16.1448</v>
      </c>
      <c r="F243" s="9">
        <v>46227</v>
      </c>
    </row>
    <row r="244" spans="1:6" ht="60" x14ac:dyDescent="0.25">
      <c r="A244" s="8" t="s">
        <v>63</v>
      </c>
      <c r="B244" s="8" t="s">
        <v>64</v>
      </c>
      <c r="C244" s="8" t="str">
        <f>IFERROR(_xlfn.XLOOKUP(TRIM(B244),Lookup!$B$2:$B$1000,Lookup!$C$2:$C$1000),"")</f>
        <v>Hybrid</v>
      </c>
      <c r="D244" s="8" t="str">
        <f>IFERROR(INDEX('nav master'!$C:$C, MATCH(B244, 'nav master'!$B:$B, 0)), "")</f>
        <v>ULIF08028/02/25DynamicFnd101</v>
      </c>
      <c r="E244" s="8">
        <v>16.264900000000001</v>
      </c>
      <c r="F244" s="9">
        <v>46230</v>
      </c>
    </row>
    <row r="245" spans="1:6" ht="60" x14ac:dyDescent="0.25">
      <c r="A245" s="8" t="s">
        <v>63</v>
      </c>
      <c r="B245" s="8" t="s">
        <v>64</v>
      </c>
      <c r="C245" s="8" t="str">
        <f>IFERROR(_xlfn.XLOOKUP(TRIM(B245),Lookup!$B$2:$B$1000,Lookup!$C$2:$C$1000),"")</f>
        <v>Hybrid</v>
      </c>
      <c r="D245" s="8" t="str">
        <f>IFERROR(INDEX('nav master'!$C:$C, MATCH(B245, 'nav master'!$B:$B, 0)), "")</f>
        <v>ULIF08028/02/25DynamicFnd101</v>
      </c>
      <c r="E245" s="8">
        <v>16.299299999999999</v>
      </c>
      <c r="F245" s="9">
        <v>46231</v>
      </c>
    </row>
    <row r="246" spans="1:6" ht="60" x14ac:dyDescent="0.25">
      <c r="A246" s="8" t="s">
        <v>63</v>
      </c>
      <c r="B246" s="8" t="s">
        <v>64</v>
      </c>
      <c r="C246" s="8" t="str">
        <f>IFERROR(_xlfn.XLOOKUP(TRIM(B246),Lookup!$B$2:$B$1000,Lookup!$C$2:$C$1000),"")</f>
        <v>Hybrid</v>
      </c>
      <c r="D246" s="8" t="str">
        <f>IFERROR(INDEX('nav master'!$C:$C, MATCH(B246, 'nav master'!$B:$B, 0)), "")</f>
        <v>ULIF08028/02/25DynamicFnd101</v>
      </c>
      <c r="E246" s="8">
        <v>16.3841</v>
      </c>
      <c r="F246" s="9">
        <v>46232</v>
      </c>
    </row>
    <row r="247" spans="1:6" ht="60" x14ac:dyDescent="0.25">
      <c r="A247" s="8" t="s">
        <v>63</v>
      </c>
      <c r="B247" s="8" t="s">
        <v>64</v>
      </c>
      <c r="C247" s="8" t="str">
        <f>IFERROR(_xlfn.XLOOKUP(TRIM(B247),Lookup!$B$2:$B$1000,Lookup!$C$2:$C$1000),"")</f>
        <v>Hybrid</v>
      </c>
      <c r="D247" s="8" t="str">
        <f>IFERROR(INDEX('nav master'!$C:$C, MATCH(B247, 'nav master'!$B:$B, 0)), "")</f>
        <v>ULIF08028/02/25DynamicFnd101</v>
      </c>
      <c r="E247" s="8">
        <v>16.375299999999999</v>
      </c>
      <c r="F247" s="9">
        <v>46233</v>
      </c>
    </row>
    <row r="248" spans="1:6" ht="60" x14ac:dyDescent="0.25">
      <c r="A248" s="8" t="s">
        <v>63</v>
      </c>
      <c r="B248" s="8" t="s">
        <v>64</v>
      </c>
      <c r="C248" s="8" t="str">
        <f>IFERROR(_xlfn.XLOOKUP(TRIM(B248),Lookup!$B$2:$B$1000,Lookup!$C$2:$C$1000),"")</f>
        <v>Hybrid</v>
      </c>
      <c r="D248" s="8" t="str">
        <f>IFERROR(INDEX('nav master'!$C:$C, MATCH(B248, 'nav master'!$B:$B, 0)), "")</f>
        <v>ULIF08028/02/25DynamicFnd101</v>
      </c>
      <c r="E248" s="8">
        <v>16.429099999999998</v>
      </c>
      <c r="F248" s="9">
        <v>46234</v>
      </c>
    </row>
    <row r="249" spans="1:6" ht="75" x14ac:dyDescent="0.25">
      <c r="A249" s="8" t="s">
        <v>63</v>
      </c>
      <c r="B249" s="11" t="s">
        <v>65</v>
      </c>
      <c r="C249" s="8" t="str">
        <f>IFERROR(_xlfn.XLOOKUP(TRIM(B249),Lookup!$B$2:$B$1000,Lookup!$C$2:$C$1000),"")</f>
        <v>Equity - Mid Cap Oriented</v>
      </c>
      <c r="D249" s="8" t="str">
        <f>IFERROR(INDEX('nav master'!$C:$C, MATCH(B249, 'nav master'!$B:$B, 0)), "")</f>
        <v>ULIF 064 12/09/22 EOF 110</v>
      </c>
      <c r="E249" s="8">
        <v>19.360199999999999</v>
      </c>
      <c r="F249" s="9">
        <v>45869</v>
      </c>
    </row>
    <row r="250" spans="1:6" ht="75" x14ac:dyDescent="0.25">
      <c r="A250" s="8" t="s">
        <v>63</v>
      </c>
      <c r="B250" s="11" t="s">
        <v>65</v>
      </c>
      <c r="C250" s="8" t="str">
        <f>IFERROR(_xlfn.XLOOKUP(TRIM(B250),Lookup!$B$2:$B$1000,Lookup!$C$2:$C$1000),"")</f>
        <v>Equity - Mid Cap Oriented</v>
      </c>
      <c r="D250" s="8" t="str">
        <f>IFERROR(INDEX('nav master'!$C:$C, MATCH(B250, 'nav master'!$B:$B, 0)), "")</f>
        <v>ULIF 064 12/09/22 EOF 110</v>
      </c>
      <c r="E250" s="8">
        <v>19.053000000000001</v>
      </c>
      <c r="F250" s="9">
        <v>45870</v>
      </c>
    </row>
    <row r="251" spans="1:6" ht="75" x14ac:dyDescent="0.25">
      <c r="A251" s="8" t="s">
        <v>63</v>
      </c>
      <c r="B251" s="11" t="s">
        <v>65</v>
      </c>
      <c r="C251" s="8" t="str">
        <f>IFERROR(_xlfn.XLOOKUP(TRIM(B251),Lookup!$B$2:$B$1000,Lookup!$C$2:$C$1000),"")</f>
        <v>Equity - Mid Cap Oriented</v>
      </c>
      <c r="D251" s="8" t="str">
        <f>IFERROR(INDEX('nav master'!$C:$C, MATCH(B251, 'nav master'!$B:$B, 0)), "")</f>
        <v>ULIF 064 12/09/22 EOF 110</v>
      </c>
      <c r="E251" s="8">
        <v>19.2501</v>
      </c>
      <c r="F251" s="9">
        <v>45873</v>
      </c>
    </row>
    <row r="252" spans="1:6" ht="75" x14ac:dyDescent="0.25">
      <c r="A252" s="8" t="s">
        <v>63</v>
      </c>
      <c r="B252" s="11" t="s">
        <v>65</v>
      </c>
      <c r="C252" s="8" t="str">
        <f>IFERROR(_xlfn.XLOOKUP(TRIM(B252),Lookup!$B$2:$B$1000,Lookup!$C$2:$C$1000),"")</f>
        <v>Equity - Mid Cap Oriented</v>
      </c>
      <c r="D252" s="8" t="str">
        <f>IFERROR(INDEX('nav master'!$C:$C, MATCH(B252, 'nav master'!$B:$B, 0)), "")</f>
        <v>ULIF 064 12/09/22 EOF 110</v>
      </c>
      <c r="E252" s="8">
        <v>19.118099999999998</v>
      </c>
      <c r="F252" s="9">
        <v>45874</v>
      </c>
    </row>
    <row r="253" spans="1:6" ht="75" x14ac:dyDescent="0.25">
      <c r="A253" s="8" t="s">
        <v>63</v>
      </c>
      <c r="B253" s="11" t="s">
        <v>65</v>
      </c>
      <c r="C253" s="8" t="str">
        <f>IFERROR(_xlfn.XLOOKUP(TRIM(B253),Lookup!$B$2:$B$1000,Lookup!$C$2:$C$1000),"")</f>
        <v>Equity - Mid Cap Oriented</v>
      </c>
      <c r="D253" s="8" t="str">
        <f>IFERROR(INDEX('nav master'!$C:$C, MATCH(B253, 'nav master'!$B:$B, 0)), "")</f>
        <v>ULIF 064 12/09/22 EOF 110</v>
      </c>
      <c r="E253" s="8">
        <v>19.0045</v>
      </c>
      <c r="F253" s="9">
        <v>45875</v>
      </c>
    </row>
    <row r="254" spans="1:6" ht="75" x14ac:dyDescent="0.25">
      <c r="A254" s="8" t="s">
        <v>63</v>
      </c>
      <c r="B254" s="11" t="s">
        <v>65</v>
      </c>
      <c r="C254" s="8" t="str">
        <f>IFERROR(_xlfn.XLOOKUP(TRIM(B254),Lookup!$B$2:$B$1000,Lookup!$C$2:$C$1000),"")</f>
        <v>Equity - Mid Cap Oriented</v>
      </c>
      <c r="D254" s="8" t="str">
        <f>IFERROR(INDEX('nav master'!$C:$C, MATCH(B254, 'nav master'!$B:$B, 0)), "")</f>
        <v>ULIF 064 12/09/22 EOF 110</v>
      </c>
      <c r="E254" s="8">
        <v>19.082699999999999</v>
      </c>
      <c r="F254" s="9">
        <v>45876</v>
      </c>
    </row>
    <row r="255" spans="1:6" ht="75" x14ac:dyDescent="0.25">
      <c r="A255" s="8" t="s">
        <v>63</v>
      </c>
      <c r="B255" s="11" t="s">
        <v>65</v>
      </c>
      <c r="C255" s="8" t="str">
        <f>IFERROR(_xlfn.XLOOKUP(TRIM(B255),Lookup!$B$2:$B$1000,Lookup!$C$2:$C$1000),"")</f>
        <v>Equity - Mid Cap Oriented</v>
      </c>
      <c r="D255" s="8" t="str">
        <f>IFERROR(INDEX('nav master'!$C:$C, MATCH(B255, 'nav master'!$B:$B, 0)), "")</f>
        <v>ULIF 064 12/09/22 EOF 110</v>
      </c>
      <c r="E255" s="8">
        <v>18.904199999999999</v>
      </c>
      <c r="F255" s="9">
        <v>45877</v>
      </c>
    </row>
    <row r="256" spans="1:6" ht="75" x14ac:dyDescent="0.25">
      <c r="A256" s="8" t="s">
        <v>63</v>
      </c>
      <c r="B256" s="11" t="s">
        <v>65</v>
      </c>
      <c r="C256" s="8" t="str">
        <f>IFERROR(_xlfn.XLOOKUP(TRIM(B256),Lookup!$B$2:$B$1000,Lookup!$C$2:$C$1000),"")</f>
        <v>Equity - Mid Cap Oriented</v>
      </c>
      <c r="D256" s="8" t="str">
        <f>IFERROR(INDEX('nav master'!$C:$C, MATCH(B256, 'nav master'!$B:$B, 0)), "")</f>
        <v>ULIF 064 12/09/22 EOF 110</v>
      </c>
      <c r="E256" s="8">
        <v>19.042000000000002</v>
      </c>
      <c r="F256" s="9">
        <v>45880</v>
      </c>
    </row>
    <row r="257" spans="1:6" ht="75" x14ac:dyDescent="0.25">
      <c r="A257" s="8" t="s">
        <v>63</v>
      </c>
      <c r="B257" s="11" t="s">
        <v>65</v>
      </c>
      <c r="C257" s="8" t="str">
        <f>IFERROR(_xlfn.XLOOKUP(TRIM(B257),Lookup!$B$2:$B$1000,Lookup!$C$2:$C$1000),"")</f>
        <v>Equity - Mid Cap Oriented</v>
      </c>
      <c r="D257" s="8" t="str">
        <f>IFERROR(INDEX('nav master'!$C:$C, MATCH(B257, 'nav master'!$B:$B, 0)), "")</f>
        <v>ULIF 064 12/09/22 EOF 110</v>
      </c>
      <c r="E257" s="8">
        <v>19.064900000000002</v>
      </c>
      <c r="F257" s="9">
        <v>45881</v>
      </c>
    </row>
    <row r="258" spans="1:6" ht="75" x14ac:dyDescent="0.25">
      <c r="A258" s="8" t="s">
        <v>63</v>
      </c>
      <c r="B258" s="11" t="s">
        <v>65</v>
      </c>
      <c r="C258" s="8" t="str">
        <f>IFERROR(_xlfn.XLOOKUP(TRIM(B258),Lookup!$B$2:$B$1000,Lookup!$C$2:$C$1000),"")</f>
        <v>Equity - Mid Cap Oriented</v>
      </c>
      <c r="D258" s="8" t="str">
        <f>IFERROR(INDEX('nav master'!$C:$C, MATCH(B258, 'nav master'!$B:$B, 0)), "")</f>
        <v>ULIF 064 12/09/22 EOF 110</v>
      </c>
      <c r="E258" s="8">
        <v>19.225899999999999</v>
      </c>
      <c r="F258" s="9">
        <v>45882</v>
      </c>
    </row>
    <row r="259" spans="1:6" ht="75" x14ac:dyDescent="0.25">
      <c r="A259" s="8" t="s">
        <v>63</v>
      </c>
      <c r="B259" s="11" t="s">
        <v>65</v>
      </c>
      <c r="C259" s="8" t="str">
        <f>IFERROR(_xlfn.XLOOKUP(TRIM(B259),Lookup!$B$2:$B$1000,Lookup!$C$2:$C$1000),"")</f>
        <v>Equity - Mid Cap Oriented</v>
      </c>
      <c r="D259" s="8" t="str">
        <f>IFERROR(INDEX('nav master'!$C:$C, MATCH(B259, 'nav master'!$B:$B, 0)), "")</f>
        <v>ULIF 064 12/09/22 EOF 110</v>
      </c>
      <c r="E259" s="8">
        <v>19.2544</v>
      </c>
      <c r="F259" s="9">
        <v>45883</v>
      </c>
    </row>
    <row r="260" spans="1:6" ht="75" x14ac:dyDescent="0.25">
      <c r="A260" s="8" t="s">
        <v>63</v>
      </c>
      <c r="B260" s="11" t="s">
        <v>65</v>
      </c>
      <c r="C260" s="8" t="str">
        <f>IFERROR(_xlfn.XLOOKUP(TRIM(B260),Lookup!$B$2:$B$1000,Lookup!$C$2:$C$1000),"")</f>
        <v>Equity - Mid Cap Oriented</v>
      </c>
      <c r="D260" s="8" t="str">
        <f>IFERROR(INDEX('nav master'!$C:$C, MATCH(B260, 'nav master'!$B:$B, 0)), "")</f>
        <v>ULIF 064 12/09/22 EOF 110</v>
      </c>
      <c r="E260" s="8">
        <v>19.459199999999999</v>
      </c>
      <c r="F260" s="9">
        <v>45887</v>
      </c>
    </row>
    <row r="261" spans="1:6" ht="75" x14ac:dyDescent="0.25">
      <c r="A261" s="8" t="s">
        <v>63</v>
      </c>
      <c r="B261" s="11" t="s">
        <v>65</v>
      </c>
      <c r="C261" s="8" t="str">
        <f>IFERROR(_xlfn.XLOOKUP(TRIM(B261),Lookup!$B$2:$B$1000,Lookup!$C$2:$C$1000),"")</f>
        <v>Equity - Mid Cap Oriented</v>
      </c>
      <c r="D261" s="8" t="str">
        <f>IFERROR(INDEX('nav master'!$C:$C, MATCH(B261, 'nav master'!$B:$B, 0)), "")</f>
        <v>ULIF 064 12/09/22 EOF 110</v>
      </c>
      <c r="E261" s="8">
        <v>19.628299999999999</v>
      </c>
      <c r="F261" s="9">
        <v>45888</v>
      </c>
    </row>
    <row r="262" spans="1:6" ht="75" x14ac:dyDescent="0.25">
      <c r="A262" s="8" t="s">
        <v>63</v>
      </c>
      <c r="B262" s="11" t="s">
        <v>65</v>
      </c>
      <c r="C262" s="8" t="str">
        <f>IFERROR(_xlfn.XLOOKUP(TRIM(B262),Lookup!$B$2:$B$1000,Lookup!$C$2:$C$1000),"")</f>
        <v>Equity - Mid Cap Oriented</v>
      </c>
      <c r="D262" s="8" t="str">
        <f>IFERROR(INDEX('nav master'!$C:$C, MATCH(B262, 'nav master'!$B:$B, 0)), "")</f>
        <v>ULIF 064 12/09/22 EOF 110</v>
      </c>
      <c r="E262" s="8">
        <v>19.7103</v>
      </c>
      <c r="F262" s="9">
        <v>45889</v>
      </c>
    </row>
    <row r="263" spans="1:6" ht="75" x14ac:dyDescent="0.25">
      <c r="A263" s="8" t="s">
        <v>63</v>
      </c>
      <c r="B263" s="11" t="s">
        <v>65</v>
      </c>
      <c r="C263" s="8" t="str">
        <f>IFERROR(_xlfn.XLOOKUP(TRIM(B263),Lookup!$B$2:$B$1000,Lookup!$C$2:$C$1000),"")</f>
        <v>Equity - Mid Cap Oriented</v>
      </c>
      <c r="D263" s="8" t="str">
        <f>IFERROR(INDEX('nav master'!$C:$C, MATCH(B263, 'nav master'!$B:$B, 0)), "")</f>
        <v>ULIF 064 12/09/22 EOF 110</v>
      </c>
      <c r="E263" s="8">
        <v>19.603400000000001</v>
      </c>
      <c r="F263" s="9">
        <v>45890</v>
      </c>
    </row>
    <row r="264" spans="1:6" ht="75" x14ac:dyDescent="0.25">
      <c r="A264" s="8" t="s">
        <v>63</v>
      </c>
      <c r="B264" s="11" t="s">
        <v>65</v>
      </c>
      <c r="C264" s="8" t="str">
        <f>IFERROR(_xlfn.XLOOKUP(TRIM(B264),Lookup!$B$2:$B$1000,Lookup!$C$2:$C$1000),"")</f>
        <v>Equity - Mid Cap Oriented</v>
      </c>
      <c r="D264" s="8" t="str">
        <f>IFERROR(INDEX('nav master'!$C:$C, MATCH(B264, 'nav master'!$B:$B, 0)), "")</f>
        <v>ULIF 064 12/09/22 EOF 110</v>
      </c>
      <c r="E264" s="8">
        <v>19.5928</v>
      </c>
      <c r="F264" s="9">
        <v>45891</v>
      </c>
    </row>
    <row r="265" spans="1:6" ht="75" x14ac:dyDescent="0.25">
      <c r="A265" s="8" t="s">
        <v>63</v>
      </c>
      <c r="B265" s="11" t="s">
        <v>65</v>
      </c>
      <c r="C265" s="8" t="str">
        <f>IFERROR(_xlfn.XLOOKUP(TRIM(B265),Lookup!$B$2:$B$1000,Lookup!$C$2:$C$1000),"")</f>
        <v>Equity - Mid Cap Oriented</v>
      </c>
      <c r="D265" s="8" t="str">
        <f>IFERROR(INDEX('nav master'!$C:$C, MATCH(B265, 'nav master'!$B:$B, 0)), "")</f>
        <v>ULIF 064 12/09/22 EOF 110</v>
      </c>
      <c r="E265" s="8">
        <v>19.6355</v>
      </c>
      <c r="F265" s="9">
        <v>45894</v>
      </c>
    </row>
    <row r="266" spans="1:6" ht="75" x14ac:dyDescent="0.25">
      <c r="A266" s="8" t="s">
        <v>63</v>
      </c>
      <c r="B266" s="11" t="s">
        <v>65</v>
      </c>
      <c r="C266" s="8" t="str">
        <f>IFERROR(_xlfn.XLOOKUP(TRIM(B266),Lookup!$B$2:$B$1000,Lookup!$C$2:$C$1000),"")</f>
        <v>Equity - Mid Cap Oriented</v>
      </c>
      <c r="D266" s="8" t="str">
        <f>IFERROR(INDEX('nav master'!$C:$C, MATCH(B266, 'nav master'!$B:$B, 0)), "")</f>
        <v>ULIF 064 12/09/22 EOF 110</v>
      </c>
      <c r="E266" s="8">
        <v>19.345600000000001</v>
      </c>
      <c r="F266" s="9">
        <v>45895</v>
      </c>
    </row>
    <row r="267" spans="1:6" ht="75" x14ac:dyDescent="0.25">
      <c r="A267" s="8" t="s">
        <v>63</v>
      </c>
      <c r="B267" s="11" t="s">
        <v>65</v>
      </c>
      <c r="C267" s="8" t="str">
        <f>IFERROR(_xlfn.XLOOKUP(TRIM(B267),Lookup!$B$2:$B$1000,Lookup!$C$2:$C$1000),"")</f>
        <v>Equity - Mid Cap Oriented</v>
      </c>
      <c r="D267" s="8" t="str">
        <f>IFERROR(INDEX('nav master'!$C:$C, MATCH(B267, 'nav master'!$B:$B, 0)), "")</f>
        <v>ULIF 064 12/09/22 EOF 110</v>
      </c>
      <c r="E267" s="8">
        <v>19.0794</v>
      </c>
      <c r="F267" s="9">
        <v>45897</v>
      </c>
    </row>
    <row r="268" spans="1:6" ht="75" x14ac:dyDescent="0.25">
      <c r="A268" s="8" t="s">
        <v>63</v>
      </c>
      <c r="B268" s="11" t="s">
        <v>65</v>
      </c>
      <c r="C268" s="8" t="str">
        <f>IFERROR(_xlfn.XLOOKUP(TRIM(B268),Lookup!$B$2:$B$1000,Lookup!$C$2:$C$1000),"")</f>
        <v>Equity - Mid Cap Oriented</v>
      </c>
      <c r="D268" s="8" t="str">
        <f>IFERROR(INDEX('nav master'!$C:$C, MATCH(B268, 'nav master'!$B:$B, 0)), "")</f>
        <v>ULIF 064 12/09/22 EOF 110</v>
      </c>
      <c r="E268" s="8">
        <v>18.9495</v>
      </c>
      <c r="F268" s="9">
        <v>45898</v>
      </c>
    </row>
    <row r="269" spans="1:6" ht="75" x14ac:dyDescent="0.25">
      <c r="A269" s="8" t="s">
        <v>63</v>
      </c>
      <c r="B269" s="11" t="s">
        <v>65</v>
      </c>
      <c r="C269" s="8" t="str">
        <f>IFERROR(_xlfn.XLOOKUP(TRIM(B269),Lookup!$B$2:$B$1000,Lookup!$C$2:$C$1000),"")</f>
        <v>Equity - Mid Cap Oriented</v>
      </c>
      <c r="D269" s="8" t="str">
        <f>IFERROR(INDEX('nav master'!$C:$C, MATCH(B269, 'nav master'!$B:$B, 0)), "")</f>
        <v>ULIF 064 12/09/22 EOF 110</v>
      </c>
      <c r="E269" s="8">
        <v>19.293500000000002</v>
      </c>
      <c r="F269" s="9">
        <v>45901</v>
      </c>
    </row>
    <row r="270" spans="1:6" ht="75" x14ac:dyDescent="0.25">
      <c r="A270" s="8" t="s">
        <v>63</v>
      </c>
      <c r="B270" s="11" t="s">
        <v>65</v>
      </c>
      <c r="C270" s="8" t="str">
        <f>IFERROR(_xlfn.XLOOKUP(TRIM(B270),Lookup!$B$2:$B$1000,Lookup!$C$2:$C$1000),"")</f>
        <v>Equity - Mid Cap Oriented</v>
      </c>
      <c r="D270" s="8" t="str">
        <f>IFERROR(INDEX('nav master'!$C:$C, MATCH(B270, 'nav master'!$B:$B, 0)), "")</f>
        <v>ULIF 064 12/09/22 EOF 110</v>
      </c>
      <c r="E270" s="8">
        <v>19.311900000000001</v>
      </c>
      <c r="F270" s="9">
        <v>45902</v>
      </c>
    </row>
    <row r="271" spans="1:6" ht="75" x14ac:dyDescent="0.25">
      <c r="A271" s="8" t="s">
        <v>63</v>
      </c>
      <c r="B271" s="11" t="s">
        <v>65</v>
      </c>
      <c r="C271" s="8" t="str">
        <f>IFERROR(_xlfn.XLOOKUP(TRIM(B271),Lookup!$B$2:$B$1000,Lookup!$C$2:$C$1000),"")</f>
        <v>Equity - Mid Cap Oriented</v>
      </c>
      <c r="D271" s="8" t="str">
        <f>IFERROR(INDEX('nav master'!$C:$C, MATCH(B271, 'nav master'!$B:$B, 0)), "")</f>
        <v>ULIF 064 12/09/22 EOF 110</v>
      </c>
      <c r="E271" s="8">
        <v>19.442499999999999</v>
      </c>
      <c r="F271" s="9">
        <v>45903</v>
      </c>
    </row>
    <row r="272" spans="1:6" ht="75" x14ac:dyDescent="0.25">
      <c r="A272" s="8" t="s">
        <v>63</v>
      </c>
      <c r="B272" s="11" t="s">
        <v>65</v>
      </c>
      <c r="C272" s="8" t="str">
        <f>IFERROR(_xlfn.XLOOKUP(TRIM(B272),Lookup!$B$2:$B$1000,Lookup!$C$2:$C$1000),"")</f>
        <v>Equity - Mid Cap Oriented</v>
      </c>
      <c r="D272" s="8" t="str">
        <f>IFERROR(INDEX('nav master'!$C:$C, MATCH(B272, 'nav master'!$B:$B, 0)), "")</f>
        <v>ULIF 064 12/09/22 EOF 110</v>
      </c>
      <c r="E272" s="8">
        <v>19.3231</v>
      </c>
      <c r="F272" s="9">
        <v>45904</v>
      </c>
    </row>
    <row r="273" spans="1:6" ht="75" x14ac:dyDescent="0.25">
      <c r="A273" s="8" t="s">
        <v>63</v>
      </c>
      <c r="B273" s="11" t="s">
        <v>65</v>
      </c>
      <c r="C273" s="8" t="str">
        <f>IFERROR(_xlfn.XLOOKUP(TRIM(B273),Lookup!$B$2:$B$1000,Lookup!$C$2:$C$1000),"")</f>
        <v>Equity - Mid Cap Oriented</v>
      </c>
      <c r="D273" s="8" t="str">
        <f>IFERROR(INDEX('nav master'!$C:$C, MATCH(B273, 'nav master'!$B:$B, 0)), "")</f>
        <v>ULIF 064 12/09/22 EOF 110</v>
      </c>
      <c r="E273" s="8">
        <v>19.331199999999999</v>
      </c>
      <c r="F273" s="9">
        <v>45905</v>
      </c>
    </row>
    <row r="274" spans="1:6" ht="75" x14ac:dyDescent="0.25">
      <c r="A274" s="8" t="s">
        <v>63</v>
      </c>
      <c r="B274" s="11" t="s">
        <v>65</v>
      </c>
      <c r="C274" s="8" t="str">
        <f>IFERROR(_xlfn.XLOOKUP(TRIM(B274),Lookup!$B$2:$B$1000,Lookup!$C$2:$C$1000),"")</f>
        <v>Equity - Mid Cap Oriented</v>
      </c>
      <c r="D274" s="8" t="str">
        <f>IFERROR(INDEX('nav master'!$C:$C, MATCH(B274, 'nav master'!$B:$B, 0)), "")</f>
        <v>ULIF 064 12/09/22 EOF 110</v>
      </c>
      <c r="E274" s="8">
        <v>19.3872</v>
      </c>
      <c r="F274" s="9">
        <v>45908</v>
      </c>
    </row>
    <row r="275" spans="1:6" ht="75" x14ac:dyDescent="0.25">
      <c r="A275" s="8" t="s">
        <v>63</v>
      </c>
      <c r="B275" s="11" t="s">
        <v>65</v>
      </c>
      <c r="C275" s="8" t="str">
        <f>IFERROR(_xlfn.XLOOKUP(TRIM(B275),Lookup!$B$2:$B$1000,Lookup!$C$2:$C$1000),"")</f>
        <v>Equity - Mid Cap Oriented</v>
      </c>
      <c r="D275" s="8" t="str">
        <f>IFERROR(INDEX('nav master'!$C:$C, MATCH(B275, 'nav master'!$B:$B, 0)), "")</f>
        <v>ULIF 064 12/09/22 EOF 110</v>
      </c>
      <c r="E275" s="8">
        <v>19.414100000000001</v>
      </c>
      <c r="F275" s="9">
        <v>45909</v>
      </c>
    </row>
    <row r="276" spans="1:6" ht="75" x14ac:dyDescent="0.25">
      <c r="A276" s="8" t="s">
        <v>63</v>
      </c>
      <c r="B276" s="11" t="s">
        <v>65</v>
      </c>
      <c r="C276" s="8" t="str">
        <f>IFERROR(_xlfn.XLOOKUP(TRIM(B276),Lookup!$B$2:$B$1000,Lookup!$C$2:$C$1000),"")</f>
        <v>Equity - Mid Cap Oriented</v>
      </c>
      <c r="D276" s="8" t="str">
        <f>IFERROR(INDEX('nav master'!$C:$C, MATCH(B276, 'nav master'!$B:$B, 0)), "")</f>
        <v>ULIF 064 12/09/22 EOF 110</v>
      </c>
      <c r="E276" s="8">
        <v>19.532599999999999</v>
      </c>
      <c r="F276" s="9">
        <v>45910</v>
      </c>
    </row>
    <row r="277" spans="1:6" ht="75" x14ac:dyDescent="0.25">
      <c r="A277" s="8" t="s">
        <v>63</v>
      </c>
      <c r="B277" s="11" t="s">
        <v>65</v>
      </c>
      <c r="C277" s="8" t="str">
        <f>IFERROR(_xlfn.XLOOKUP(TRIM(B277),Lookup!$B$2:$B$1000,Lookup!$C$2:$C$1000),"")</f>
        <v>Equity - Mid Cap Oriented</v>
      </c>
      <c r="D277" s="8" t="str">
        <f>IFERROR(INDEX('nav master'!$C:$C, MATCH(B277, 'nav master'!$B:$B, 0)), "")</f>
        <v>ULIF 064 12/09/22 EOF 110</v>
      </c>
      <c r="E277" s="8">
        <v>19.456499999999998</v>
      </c>
      <c r="F277" s="9">
        <v>45911</v>
      </c>
    </row>
    <row r="278" spans="1:6" ht="75" x14ac:dyDescent="0.25">
      <c r="A278" s="8" t="s">
        <v>63</v>
      </c>
      <c r="B278" s="11" t="s">
        <v>65</v>
      </c>
      <c r="C278" s="8" t="str">
        <f>IFERROR(_xlfn.XLOOKUP(TRIM(B278),Lookup!$B$2:$B$1000,Lookup!$C$2:$C$1000),"")</f>
        <v>Equity - Mid Cap Oriented</v>
      </c>
      <c r="D278" s="8" t="str">
        <f>IFERROR(INDEX('nav master'!$C:$C, MATCH(B278, 'nav master'!$B:$B, 0)), "")</f>
        <v>ULIF 064 12/09/22 EOF 110</v>
      </c>
      <c r="E278" s="8">
        <v>19.417000000000002</v>
      </c>
      <c r="F278" s="9">
        <v>45912</v>
      </c>
    </row>
    <row r="279" spans="1:6" ht="75" x14ac:dyDescent="0.25">
      <c r="A279" s="8" t="s">
        <v>63</v>
      </c>
      <c r="B279" s="11" t="s">
        <v>65</v>
      </c>
      <c r="C279" s="8" t="str">
        <f>IFERROR(_xlfn.XLOOKUP(TRIM(B279),Lookup!$B$2:$B$1000,Lookup!$C$2:$C$1000),"")</f>
        <v>Equity - Mid Cap Oriented</v>
      </c>
      <c r="D279" s="8" t="str">
        <f>IFERROR(INDEX('nav master'!$C:$C, MATCH(B279, 'nav master'!$B:$B, 0)), "")</f>
        <v>ULIF 064 12/09/22 EOF 110</v>
      </c>
      <c r="E279" s="8">
        <v>19.483499999999999</v>
      </c>
      <c r="F279" s="9">
        <v>45915</v>
      </c>
    </row>
    <row r="280" spans="1:6" ht="75" x14ac:dyDescent="0.25">
      <c r="A280" s="8" t="s">
        <v>63</v>
      </c>
      <c r="B280" s="11" t="s">
        <v>65</v>
      </c>
      <c r="C280" s="8" t="str">
        <f>IFERROR(_xlfn.XLOOKUP(TRIM(B280),Lookup!$B$2:$B$1000,Lookup!$C$2:$C$1000),"")</f>
        <v>Equity - Mid Cap Oriented</v>
      </c>
      <c r="D280" s="8" t="str">
        <f>IFERROR(INDEX('nav master'!$C:$C, MATCH(B280, 'nav master'!$B:$B, 0)), "")</f>
        <v>ULIF 064 12/09/22 EOF 110</v>
      </c>
      <c r="E280" s="8">
        <v>19.5337</v>
      </c>
      <c r="F280" s="9">
        <v>45916</v>
      </c>
    </row>
    <row r="281" spans="1:6" ht="75" x14ac:dyDescent="0.25">
      <c r="A281" s="8" t="s">
        <v>63</v>
      </c>
      <c r="B281" s="11" t="s">
        <v>65</v>
      </c>
      <c r="C281" s="8" t="str">
        <f>IFERROR(_xlfn.XLOOKUP(TRIM(B281),Lookup!$B$2:$B$1000,Lookup!$C$2:$C$1000),"")</f>
        <v>Equity - Mid Cap Oriented</v>
      </c>
      <c r="D281" s="8" t="str">
        <f>IFERROR(INDEX('nav master'!$C:$C, MATCH(B281, 'nav master'!$B:$B, 0)), "")</f>
        <v>ULIF 064 12/09/22 EOF 110</v>
      </c>
      <c r="E281" s="8">
        <v>19.584299999999999</v>
      </c>
      <c r="F281" s="9">
        <v>45917</v>
      </c>
    </row>
    <row r="282" spans="1:6" ht="75" x14ac:dyDescent="0.25">
      <c r="A282" s="8" t="s">
        <v>63</v>
      </c>
      <c r="B282" s="11" t="s">
        <v>65</v>
      </c>
      <c r="C282" s="8" t="str">
        <f>IFERROR(_xlfn.XLOOKUP(TRIM(B282),Lookup!$B$2:$B$1000,Lookup!$C$2:$C$1000),"")</f>
        <v>Equity - Mid Cap Oriented</v>
      </c>
      <c r="D282" s="8" t="str">
        <f>IFERROR(INDEX('nav master'!$C:$C, MATCH(B282, 'nav master'!$B:$B, 0)), "")</f>
        <v>ULIF 064 12/09/22 EOF 110</v>
      </c>
      <c r="E282" s="8">
        <v>19.6401</v>
      </c>
      <c r="F282" s="9">
        <v>45918</v>
      </c>
    </row>
    <row r="283" spans="1:6" ht="75" x14ac:dyDescent="0.25">
      <c r="A283" s="8" t="s">
        <v>63</v>
      </c>
      <c r="B283" s="11" t="s">
        <v>65</v>
      </c>
      <c r="C283" s="8" t="str">
        <f>IFERROR(_xlfn.XLOOKUP(TRIM(B283),Lookup!$B$2:$B$1000,Lookup!$C$2:$C$1000),"")</f>
        <v>Equity - Mid Cap Oriented</v>
      </c>
      <c r="D283" s="8" t="str">
        <f>IFERROR(INDEX('nav master'!$C:$C, MATCH(B283, 'nav master'!$B:$B, 0)), "")</f>
        <v>ULIF 064 12/09/22 EOF 110</v>
      </c>
      <c r="E283" s="8">
        <v>19.5838</v>
      </c>
      <c r="F283" s="9">
        <v>45919</v>
      </c>
    </row>
    <row r="284" spans="1:6" ht="75" x14ac:dyDescent="0.25">
      <c r="A284" s="8" t="s">
        <v>63</v>
      </c>
      <c r="B284" s="11" t="s">
        <v>65</v>
      </c>
      <c r="C284" s="8" t="str">
        <f>IFERROR(_xlfn.XLOOKUP(TRIM(B284),Lookup!$B$2:$B$1000,Lookup!$C$2:$C$1000),"")</f>
        <v>Equity - Mid Cap Oriented</v>
      </c>
      <c r="D284" s="8" t="str">
        <f>IFERROR(INDEX('nav master'!$C:$C, MATCH(B284, 'nav master'!$B:$B, 0)), "")</f>
        <v>ULIF 064 12/09/22 EOF 110</v>
      </c>
      <c r="E284" s="8">
        <v>19.403500000000001</v>
      </c>
      <c r="F284" s="9">
        <v>45922</v>
      </c>
    </row>
    <row r="285" spans="1:6" ht="75" x14ac:dyDescent="0.25">
      <c r="A285" s="8" t="s">
        <v>63</v>
      </c>
      <c r="B285" s="11" t="s">
        <v>65</v>
      </c>
      <c r="C285" s="8" t="str">
        <f>IFERROR(_xlfn.XLOOKUP(TRIM(B285),Lookup!$B$2:$B$1000,Lookup!$C$2:$C$1000),"")</f>
        <v>Equity - Mid Cap Oriented</v>
      </c>
      <c r="D285" s="8" t="str">
        <f>IFERROR(INDEX('nav master'!$C:$C, MATCH(B285, 'nav master'!$B:$B, 0)), "")</f>
        <v>ULIF 064 12/09/22 EOF 110</v>
      </c>
      <c r="E285" s="8">
        <v>19.3443</v>
      </c>
      <c r="F285" s="9">
        <v>45923</v>
      </c>
    </row>
    <row r="286" spans="1:6" ht="75" x14ac:dyDescent="0.25">
      <c r="A286" s="8" t="s">
        <v>63</v>
      </c>
      <c r="B286" s="11" t="s">
        <v>65</v>
      </c>
      <c r="C286" s="8" t="str">
        <f>IFERROR(_xlfn.XLOOKUP(TRIM(B286),Lookup!$B$2:$B$1000,Lookup!$C$2:$C$1000),"")</f>
        <v>Equity - Mid Cap Oriented</v>
      </c>
      <c r="D286" s="8" t="str">
        <f>IFERROR(INDEX('nav master'!$C:$C, MATCH(B286, 'nav master'!$B:$B, 0)), "")</f>
        <v>ULIF 064 12/09/22 EOF 110</v>
      </c>
      <c r="E286" s="8">
        <v>19.220800000000001</v>
      </c>
      <c r="F286" s="9">
        <v>45924</v>
      </c>
    </row>
    <row r="287" spans="1:6" ht="75" x14ac:dyDescent="0.25">
      <c r="A287" s="8" t="s">
        <v>63</v>
      </c>
      <c r="B287" s="11" t="s">
        <v>65</v>
      </c>
      <c r="C287" s="8" t="str">
        <f>IFERROR(_xlfn.XLOOKUP(TRIM(B287),Lookup!$B$2:$B$1000,Lookup!$C$2:$C$1000),"")</f>
        <v>Equity - Mid Cap Oriented</v>
      </c>
      <c r="D287" s="8" t="str">
        <f>IFERROR(INDEX('nav master'!$C:$C, MATCH(B287, 'nav master'!$B:$B, 0)), "")</f>
        <v>ULIF 064 12/09/22 EOF 110</v>
      </c>
      <c r="E287" s="8">
        <v>19.099799999999998</v>
      </c>
      <c r="F287" s="9">
        <v>45925</v>
      </c>
    </row>
    <row r="288" spans="1:6" ht="75" x14ac:dyDescent="0.25">
      <c r="A288" s="8" t="s">
        <v>63</v>
      </c>
      <c r="B288" s="11" t="s">
        <v>65</v>
      </c>
      <c r="C288" s="8" t="str">
        <f>IFERROR(_xlfn.XLOOKUP(TRIM(B288),Lookup!$B$2:$B$1000,Lookup!$C$2:$C$1000),"")</f>
        <v>Equity - Mid Cap Oriented</v>
      </c>
      <c r="D288" s="8" t="str">
        <f>IFERROR(INDEX('nav master'!$C:$C, MATCH(B288, 'nav master'!$B:$B, 0)), "")</f>
        <v>ULIF 064 12/09/22 EOF 110</v>
      </c>
      <c r="E288" s="8">
        <v>18.742000000000001</v>
      </c>
      <c r="F288" s="9">
        <v>45926</v>
      </c>
    </row>
    <row r="289" spans="1:6" ht="75" x14ac:dyDescent="0.25">
      <c r="A289" s="8" t="s">
        <v>63</v>
      </c>
      <c r="B289" s="11" t="s">
        <v>65</v>
      </c>
      <c r="C289" s="8" t="str">
        <f>IFERROR(_xlfn.XLOOKUP(TRIM(B289),Lookup!$B$2:$B$1000,Lookup!$C$2:$C$1000),"")</f>
        <v>Equity - Mid Cap Oriented</v>
      </c>
      <c r="D289" s="8" t="str">
        <f>IFERROR(INDEX('nav master'!$C:$C, MATCH(B289, 'nav master'!$B:$B, 0)), "")</f>
        <v>ULIF 064 12/09/22 EOF 110</v>
      </c>
      <c r="E289" s="8">
        <v>18.762899999999998</v>
      </c>
      <c r="F289" s="9">
        <v>45929</v>
      </c>
    </row>
    <row r="290" spans="1:6" ht="75" x14ac:dyDescent="0.25">
      <c r="A290" s="8" t="s">
        <v>63</v>
      </c>
      <c r="B290" s="11" t="s">
        <v>65</v>
      </c>
      <c r="C290" s="8" t="str">
        <f>IFERROR(_xlfn.XLOOKUP(TRIM(B290),Lookup!$B$2:$B$1000,Lookup!$C$2:$C$1000),"")</f>
        <v>Equity - Mid Cap Oriented</v>
      </c>
      <c r="D290" s="8" t="str">
        <f>IFERROR(INDEX('nav master'!$C:$C, MATCH(B290, 'nav master'!$B:$B, 0)), "")</f>
        <v>ULIF 064 12/09/22 EOF 110</v>
      </c>
      <c r="E290" s="8">
        <v>18.754999999999999</v>
      </c>
      <c r="F290" s="9">
        <v>45930</v>
      </c>
    </row>
    <row r="291" spans="1:6" ht="75" x14ac:dyDescent="0.25">
      <c r="A291" s="8" t="s">
        <v>63</v>
      </c>
      <c r="B291" s="11" t="s">
        <v>65</v>
      </c>
      <c r="C291" s="8" t="str">
        <f>IFERROR(_xlfn.XLOOKUP(TRIM(B291),Lookup!$B$2:$B$1000,Lookup!$C$2:$C$1000),"")</f>
        <v>Equity - Mid Cap Oriented</v>
      </c>
      <c r="D291" s="8" t="str">
        <f>IFERROR(INDEX('nav master'!$C:$C, MATCH(B291, 'nav master'!$B:$B, 0)), "")</f>
        <v>ULIF 064 12/09/22 EOF 110</v>
      </c>
      <c r="E291" s="8">
        <v>18.951899999999998</v>
      </c>
      <c r="F291" s="9">
        <v>45931</v>
      </c>
    </row>
    <row r="292" spans="1:6" ht="75" x14ac:dyDescent="0.25">
      <c r="A292" s="8" t="s">
        <v>63</v>
      </c>
      <c r="B292" s="11" t="s">
        <v>65</v>
      </c>
      <c r="C292" s="8" t="str">
        <f>IFERROR(_xlfn.XLOOKUP(TRIM(B292),Lookup!$B$2:$B$1000,Lookup!$C$2:$C$1000),"")</f>
        <v>Equity - Mid Cap Oriented</v>
      </c>
      <c r="D292" s="8" t="str">
        <f>IFERROR(INDEX('nav master'!$C:$C, MATCH(B292, 'nav master'!$B:$B, 0)), "")</f>
        <v>ULIF 064 12/09/22 EOF 110</v>
      </c>
      <c r="E292" s="8">
        <v>19.0806</v>
      </c>
      <c r="F292" s="9">
        <v>45933</v>
      </c>
    </row>
    <row r="293" spans="1:6" ht="75" x14ac:dyDescent="0.25">
      <c r="A293" s="8" t="s">
        <v>63</v>
      </c>
      <c r="B293" s="11" t="s">
        <v>65</v>
      </c>
      <c r="C293" s="8" t="str">
        <f>IFERROR(_xlfn.XLOOKUP(TRIM(B293),Lookup!$B$2:$B$1000,Lookup!$C$2:$C$1000),"")</f>
        <v>Equity - Mid Cap Oriented</v>
      </c>
      <c r="D293" s="8" t="str">
        <f>IFERROR(INDEX('nav master'!$C:$C, MATCH(B293, 'nav master'!$B:$B, 0)), "")</f>
        <v>ULIF 064 12/09/22 EOF 110</v>
      </c>
      <c r="E293" s="8">
        <v>19.2578</v>
      </c>
      <c r="F293" s="9">
        <v>45936</v>
      </c>
    </row>
    <row r="294" spans="1:6" ht="75" x14ac:dyDescent="0.25">
      <c r="A294" s="8" t="s">
        <v>63</v>
      </c>
      <c r="B294" s="11" t="s">
        <v>65</v>
      </c>
      <c r="C294" s="8" t="str">
        <f>IFERROR(_xlfn.XLOOKUP(TRIM(B294),Lookup!$B$2:$B$1000,Lookup!$C$2:$C$1000),"")</f>
        <v>Equity - Mid Cap Oriented</v>
      </c>
      <c r="D294" s="8" t="str">
        <f>IFERROR(INDEX('nav master'!$C:$C, MATCH(B294, 'nav master'!$B:$B, 0)), "")</f>
        <v>ULIF 064 12/09/22 EOF 110</v>
      </c>
      <c r="E294" s="8">
        <v>19.400600000000001</v>
      </c>
      <c r="F294" s="9">
        <v>45937</v>
      </c>
    </row>
    <row r="295" spans="1:6" ht="75" x14ac:dyDescent="0.25">
      <c r="A295" s="8" t="s">
        <v>63</v>
      </c>
      <c r="B295" s="11" t="s">
        <v>65</v>
      </c>
      <c r="C295" s="8" t="str">
        <f>IFERROR(_xlfn.XLOOKUP(TRIM(B295),Lookup!$B$2:$B$1000,Lookup!$C$2:$C$1000),"")</f>
        <v>Equity - Mid Cap Oriented</v>
      </c>
      <c r="D295" s="8" t="str">
        <f>IFERROR(INDEX('nav master'!$C:$C, MATCH(B295, 'nav master'!$B:$B, 0)), "")</f>
        <v>ULIF 064 12/09/22 EOF 110</v>
      </c>
      <c r="E295" s="8">
        <v>19.292400000000001</v>
      </c>
      <c r="F295" s="9">
        <v>45938</v>
      </c>
    </row>
    <row r="296" spans="1:6" ht="75" x14ac:dyDescent="0.25">
      <c r="A296" s="8" t="s">
        <v>63</v>
      </c>
      <c r="B296" s="11" t="s">
        <v>65</v>
      </c>
      <c r="C296" s="8" t="str">
        <f>IFERROR(_xlfn.XLOOKUP(TRIM(B296),Lookup!$B$2:$B$1000,Lookup!$C$2:$C$1000),"")</f>
        <v>Equity - Mid Cap Oriented</v>
      </c>
      <c r="D296" s="8" t="str">
        <f>IFERROR(INDEX('nav master'!$C:$C, MATCH(B296, 'nav master'!$B:$B, 0)), "")</f>
        <v>ULIF 064 12/09/22 EOF 110</v>
      </c>
      <c r="E296" s="8">
        <v>19.501100000000001</v>
      </c>
      <c r="F296" s="9">
        <v>45939</v>
      </c>
    </row>
    <row r="297" spans="1:6" ht="75" x14ac:dyDescent="0.25">
      <c r="A297" s="8" t="s">
        <v>63</v>
      </c>
      <c r="B297" s="11" t="s">
        <v>65</v>
      </c>
      <c r="C297" s="8" t="str">
        <f>IFERROR(_xlfn.XLOOKUP(TRIM(B297),Lookup!$B$2:$B$1000,Lookup!$C$2:$C$1000),"")</f>
        <v>Equity - Mid Cap Oriented</v>
      </c>
      <c r="D297" s="8" t="str">
        <f>IFERROR(INDEX('nav master'!$C:$C, MATCH(B297, 'nav master'!$B:$B, 0)), "")</f>
        <v>ULIF 064 12/09/22 EOF 110</v>
      </c>
      <c r="E297" s="8">
        <v>19.614999999999998</v>
      </c>
      <c r="F297" s="9">
        <v>45940</v>
      </c>
    </row>
    <row r="298" spans="1:6" ht="75" x14ac:dyDescent="0.25">
      <c r="A298" s="8" t="s">
        <v>63</v>
      </c>
      <c r="B298" s="11" t="s">
        <v>65</v>
      </c>
      <c r="C298" s="8" t="str">
        <f>IFERROR(_xlfn.XLOOKUP(TRIM(B298),Lookup!$B$2:$B$1000,Lookup!$C$2:$C$1000),"")</f>
        <v>Equity - Mid Cap Oriented</v>
      </c>
      <c r="D298" s="8" t="str">
        <f>IFERROR(INDEX('nav master'!$C:$C, MATCH(B298, 'nav master'!$B:$B, 0)), "")</f>
        <v>ULIF 064 12/09/22 EOF 110</v>
      </c>
      <c r="E298" s="8">
        <v>19.644400000000001</v>
      </c>
      <c r="F298" s="9">
        <v>45943</v>
      </c>
    </row>
    <row r="299" spans="1:6" ht="75" x14ac:dyDescent="0.25">
      <c r="A299" s="8" t="s">
        <v>63</v>
      </c>
      <c r="B299" s="11" t="s">
        <v>65</v>
      </c>
      <c r="C299" s="8" t="str">
        <f>IFERROR(_xlfn.XLOOKUP(TRIM(B299),Lookup!$B$2:$B$1000,Lookup!$C$2:$C$1000),"")</f>
        <v>Equity - Mid Cap Oriented</v>
      </c>
      <c r="D299" s="8" t="str">
        <f>IFERROR(INDEX('nav master'!$C:$C, MATCH(B299, 'nav master'!$B:$B, 0)), "")</f>
        <v>ULIF 064 12/09/22 EOF 110</v>
      </c>
      <c r="E299" s="8">
        <v>19.5839</v>
      </c>
      <c r="F299" s="9">
        <v>45944</v>
      </c>
    </row>
    <row r="300" spans="1:6" ht="75" x14ac:dyDescent="0.25">
      <c r="A300" s="8" t="s">
        <v>63</v>
      </c>
      <c r="B300" s="11" t="s">
        <v>65</v>
      </c>
      <c r="C300" s="8" t="str">
        <f>IFERROR(_xlfn.XLOOKUP(TRIM(B300),Lookup!$B$2:$B$1000,Lookup!$C$2:$C$1000),"")</f>
        <v>Equity - Mid Cap Oriented</v>
      </c>
      <c r="D300" s="8" t="str">
        <f>IFERROR(INDEX('nav master'!$C:$C, MATCH(B300, 'nav master'!$B:$B, 0)), "")</f>
        <v>ULIF 064 12/09/22 EOF 110</v>
      </c>
      <c r="E300" s="8">
        <v>19.72</v>
      </c>
      <c r="F300" s="9">
        <v>45945</v>
      </c>
    </row>
    <row r="301" spans="1:6" ht="75" x14ac:dyDescent="0.25">
      <c r="A301" s="8" t="s">
        <v>63</v>
      </c>
      <c r="B301" s="11" t="s">
        <v>65</v>
      </c>
      <c r="C301" s="8" t="str">
        <f>IFERROR(_xlfn.XLOOKUP(TRIM(B301),Lookup!$B$2:$B$1000,Lookup!$C$2:$C$1000),"")</f>
        <v>Equity - Mid Cap Oriented</v>
      </c>
      <c r="D301" s="8" t="str">
        <f>IFERROR(INDEX('nav master'!$C:$C, MATCH(B301, 'nav master'!$B:$B, 0)), "")</f>
        <v>ULIF 064 12/09/22 EOF 110</v>
      </c>
      <c r="E301" s="8">
        <v>19.742799999999999</v>
      </c>
      <c r="F301" s="9">
        <v>45946</v>
      </c>
    </row>
    <row r="302" spans="1:6" ht="75" x14ac:dyDescent="0.25">
      <c r="A302" s="8" t="s">
        <v>63</v>
      </c>
      <c r="B302" s="11" t="s">
        <v>65</v>
      </c>
      <c r="C302" s="8" t="str">
        <f>IFERROR(_xlfn.XLOOKUP(TRIM(B302),Lookup!$B$2:$B$1000,Lookup!$C$2:$C$1000),"")</f>
        <v>Equity - Mid Cap Oriented</v>
      </c>
      <c r="D302" s="8" t="str">
        <f>IFERROR(INDEX('nav master'!$C:$C, MATCH(B302, 'nav master'!$B:$B, 0)), "")</f>
        <v>ULIF 064 12/09/22 EOF 110</v>
      </c>
      <c r="E302" s="8">
        <v>19.6889</v>
      </c>
      <c r="F302" s="9">
        <v>45947</v>
      </c>
    </row>
    <row r="303" spans="1:6" ht="75" x14ac:dyDescent="0.25">
      <c r="A303" s="8" t="s">
        <v>63</v>
      </c>
      <c r="B303" s="11" t="s">
        <v>65</v>
      </c>
      <c r="C303" s="8" t="str">
        <f>IFERROR(_xlfn.XLOOKUP(TRIM(B303),Lookup!$B$2:$B$1000,Lookup!$C$2:$C$1000),"")</f>
        <v>Equity - Mid Cap Oriented</v>
      </c>
      <c r="D303" s="8" t="str">
        <f>IFERROR(INDEX('nav master'!$C:$C, MATCH(B303, 'nav master'!$B:$B, 0)), "")</f>
        <v>ULIF 064 12/09/22 EOF 110</v>
      </c>
      <c r="E303" s="8">
        <v>19.780100000000001</v>
      </c>
      <c r="F303" s="9">
        <v>45950</v>
      </c>
    </row>
    <row r="304" spans="1:6" ht="75" x14ac:dyDescent="0.25">
      <c r="A304" s="8" t="s">
        <v>63</v>
      </c>
      <c r="B304" s="11" t="s">
        <v>65</v>
      </c>
      <c r="C304" s="8" t="str">
        <f>IFERROR(_xlfn.XLOOKUP(TRIM(B304),Lookup!$B$2:$B$1000,Lookup!$C$2:$C$1000),"")</f>
        <v>Equity - Mid Cap Oriented</v>
      </c>
      <c r="D304" s="8" t="str">
        <f>IFERROR(INDEX('nav master'!$C:$C, MATCH(B304, 'nav master'!$B:$B, 0)), "")</f>
        <v>ULIF 064 12/09/22 EOF 110</v>
      </c>
      <c r="E304" s="8">
        <v>19.7669</v>
      </c>
      <c r="F304" s="9">
        <v>45953</v>
      </c>
    </row>
    <row r="305" spans="1:6" ht="75" x14ac:dyDescent="0.25">
      <c r="A305" s="8" t="s">
        <v>63</v>
      </c>
      <c r="B305" s="11" t="s">
        <v>65</v>
      </c>
      <c r="C305" s="8" t="str">
        <f>IFERROR(_xlfn.XLOOKUP(TRIM(B305),Lookup!$B$2:$B$1000,Lookup!$C$2:$C$1000),"")</f>
        <v>Equity - Mid Cap Oriented</v>
      </c>
      <c r="D305" s="8" t="str">
        <f>IFERROR(INDEX('nav master'!$C:$C, MATCH(B305, 'nav master'!$B:$B, 0)), "")</f>
        <v>ULIF 064 12/09/22 EOF 110</v>
      </c>
      <c r="E305" s="8">
        <v>19.6965</v>
      </c>
      <c r="F305" s="9">
        <v>45954</v>
      </c>
    </row>
    <row r="306" spans="1:6" ht="75" x14ac:dyDescent="0.25">
      <c r="A306" s="8" t="s">
        <v>63</v>
      </c>
      <c r="B306" s="11" t="s">
        <v>65</v>
      </c>
      <c r="C306" s="8" t="str">
        <f>IFERROR(_xlfn.XLOOKUP(TRIM(B306),Lookup!$B$2:$B$1000,Lookup!$C$2:$C$1000),"")</f>
        <v>Equity - Mid Cap Oriented</v>
      </c>
      <c r="D306" s="8" t="str">
        <f>IFERROR(INDEX('nav master'!$C:$C, MATCH(B306, 'nav master'!$B:$B, 0)), "")</f>
        <v>ULIF 064 12/09/22 EOF 110</v>
      </c>
      <c r="E306" s="8">
        <v>19.866099999999999</v>
      </c>
      <c r="F306" s="9">
        <v>45957</v>
      </c>
    </row>
    <row r="307" spans="1:6" ht="75" x14ac:dyDescent="0.25">
      <c r="A307" s="8" t="s">
        <v>63</v>
      </c>
      <c r="B307" s="11" t="s">
        <v>65</v>
      </c>
      <c r="C307" s="8" t="str">
        <f>IFERROR(_xlfn.XLOOKUP(TRIM(B307),Lookup!$B$2:$B$1000,Lookup!$C$2:$C$1000),"")</f>
        <v>Equity - Mid Cap Oriented</v>
      </c>
      <c r="D307" s="8" t="str">
        <f>IFERROR(INDEX('nav master'!$C:$C, MATCH(B307, 'nav master'!$B:$B, 0)), "")</f>
        <v>ULIF 064 12/09/22 EOF 110</v>
      </c>
      <c r="E307" s="8">
        <v>19.7986</v>
      </c>
      <c r="F307" s="9">
        <v>45958</v>
      </c>
    </row>
    <row r="308" spans="1:6" ht="75" x14ac:dyDescent="0.25">
      <c r="A308" s="8" t="s">
        <v>63</v>
      </c>
      <c r="B308" s="11" t="s">
        <v>65</v>
      </c>
      <c r="C308" s="8" t="str">
        <f>IFERROR(_xlfn.XLOOKUP(TRIM(B308),Lookup!$B$2:$B$1000,Lookup!$C$2:$C$1000),"")</f>
        <v>Equity - Mid Cap Oriented</v>
      </c>
      <c r="D308" s="8" t="str">
        <f>IFERROR(INDEX('nav master'!$C:$C, MATCH(B308, 'nav master'!$B:$B, 0)), "")</f>
        <v>ULIF 064 12/09/22 EOF 110</v>
      </c>
      <c r="E308" s="8">
        <v>19.882999999999999</v>
      </c>
      <c r="F308" s="9">
        <v>45959</v>
      </c>
    </row>
    <row r="309" spans="1:6" ht="75" x14ac:dyDescent="0.25">
      <c r="A309" s="8" t="s">
        <v>63</v>
      </c>
      <c r="B309" s="11" t="s">
        <v>65</v>
      </c>
      <c r="C309" s="8" t="str">
        <f>IFERROR(_xlfn.XLOOKUP(TRIM(B309),Lookup!$B$2:$B$1000,Lookup!$C$2:$C$1000),"")</f>
        <v>Equity - Mid Cap Oriented</v>
      </c>
      <c r="D309" s="8" t="str">
        <f>IFERROR(INDEX('nav master'!$C:$C, MATCH(B309, 'nav master'!$B:$B, 0)), "")</f>
        <v>ULIF 064 12/09/22 EOF 110</v>
      </c>
      <c r="E309" s="8">
        <v>19.883800000000001</v>
      </c>
      <c r="F309" s="9">
        <v>45960</v>
      </c>
    </row>
    <row r="310" spans="1:6" ht="75" x14ac:dyDescent="0.25">
      <c r="A310" s="8" t="s">
        <v>63</v>
      </c>
      <c r="B310" s="11" t="s">
        <v>65</v>
      </c>
      <c r="C310" s="8" t="str">
        <f>IFERROR(_xlfn.XLOOKUP(TRIM(B310),Lookup!$B$2:$B$1000,Lookup!$C$2:$C$1000),"")</f>
        <v>Equity - Mid Cap Oriented</v>
      </c>
      <c r="D310" s="8" t="str">
        <f>IFERROR(INDEX('nav master'!$C:$C, MATCH(B310, 'nav master'!$B:$B, 0)), "")</f>
        <v>ULIF 064 12/09/22 EOF 110</v>
      </c>
      <c r="E310" s="8">
        <v>19.8017</v>
      </c>
      <c r="F310" s="9">
        <v>45961</v>
      </c>
    </row>
    <row r="311" spans="1:6" ht="75" x14ac:dyDescent="0.25">
      <c r="A311" s="8" t="s">
        <v>63</v>
      </c>
      <c r="B311" s="11" t="s">
        <v>65</v>
      </c>
      <c r="C311" s="8" t="str">
        <f>IFERROR(_xlfn.XLOOKUP(TRIM(B311),Lookup!$B$2:$B$1000,Lookup!$C$2:$C$1000),"")</f>
        <v>Equity - Mid Cap Oriented</v>
      </c>
      <c r="D311" s="8" t="str">
        <f>IFERROR(INDEX('nav master'!$C:$C, MATCH(B311, 'nav master'!$B:$B, 0)), "")</f>
        <v>ULIF 064 12/09/22 EOF 110</v>
      </c>
      <c r="E311" s="8">
        <v>19.937899999999999</v>
      </c>
      <c r="F311" s="9">
        <v>45964</v>
      </c>
    </row>
    <row r="312" spans="1:6" ht="75" x14ac:dyDescent="0.25">
      <c r="A312" s="8" t="s">
        <v>63</v>
      </c>
      <c r="B312" s="11" t="s">
        <v>65</v>
      </c>
      <c r="C312" s="8" t="str">
        <f>IFERROR(_xlfn.XLOOKUP(TRIM(B312),Lookup!$B$2:$B$1000,Lookup!$C$2:$C$1000),"")</f>
        <v>Equity - Mid Cap Oriented</v>
      </c>
      <c r="D312" s="8" t="str">
        <f>IFERROR(INDEX('nav master'!$C:$C, MATCH(B312, 'nav master'!$B:$B, 0)), "")</f>
        <v>ULIF 064 12/09/22 EOF 110</v>
      </c>
      <c r="E312" s="8">
        <v>19.8353</v>
      </c>
      <c r="F312" s="9">
        <v>45965</v>
      </c>
    </row>
    <row r="313" spans="1:6" ht="75" x14ac:dyDescent="0.25">
      <c r="A313" s="8" t="s">
        <v>63</v>
      </c>
      <c r="B313" s="11" t="s">
        <v>65</v>
      </c>
      <c r="C313" s="8" t="str">
        <f>IFERROR(_xlfn.XLOOKUP(TRIM(B313),Lookup!$B$2:$B$1000,Lookup!$C$2:$C$1000),"")</f>
        <v>Equity - Mid Cap Oriented</v>
      </c>
      <c r="D313" s="8" t="str">
        <f>IFERROR(INDEX('nav master'!$C:$C, MATCH(B313, 'nav master'!$B:$B, 0)), "")</f>
        <v>ULIF 064 12/09/22 EOF 110</v>
      </c>
      <c r="E313" s="8">
        <v>19.630400000000002</v>
      </c>
      <c r="F313" s="9">
        <v>45967</v>
      </c>
    </row>
    <row r="314" spans="1:6" ht="75" x14ac:dyDescent="0.25">
      <c r="A314" s="8" t="s">
        <v>63</v>
      </c>
      <c r="B314" s="11" t="s">
        <v>65</v>
      </c>
      <c r="C314" s="8" t="str">
        <f>IFERROR(_xlfn.XLOOKUP(TRIM(B314),Lookup!$B$2:$B$1000,Lookup!$C$2:$C$1000),"")</f>
        <v>Equity - Mid Cap Oriented</v>
      </c>
      <c r="D314" s="8" t="str">
        <f>IFERROR(INDEX('nav master'!$C:$C, MATCH(B314, 'nav master'!$B:$B, 0)), "")</f>
        <v>ULIF 064 12/09/22 EOF 110</v>
      </c>
      <c r="E314" s="8">
        <v>19.7545</v>
      </c>
      <c r="F314" s="9">
        <v>45968</v>
      </c>
    </row>
    <row r="315" spans="1:6" ht="75" x14ac:dyDescent="0.25">
      <c r="A315" s="8" t="s">
        <v>63</v>
      </c>
      <c r="B315" s="11" t="s">
        <v>65</v>
      </c>
      <c r="C315" s="8" t="str">
        <f>IFERROR(_xlfn.XLOOKUP(TRIM(B315),Lookup!$B$2:$B$1000,Lookup!$C$2:$C$1000),"")</f>
        <v>Equity - Mid Cap Oriented</v>
      </c>
      <c r="D315" s="8" t="str">
        <f>IFERROR(INDEX('nav master'!$C:$C, MATCH(B315, 'nav master'!$B:$B, 0)), "")</f>
        <v>ULIF 064 12/09/22 EOF 110</v>
      </c>
      <c r="E315" s="8">
        <v>19.848700000000001</v>
      </c>
      <c r="F315" s="9">
        <v>45971</v>
      </c>
    </row>
    <row r="316" spans="1:6" ht="75" x14ac:dyDescent="0.25">
      <c r="A316" s="8" t="s">
        <v>63</v>
      </c>
      <c r="B316" s="11" t="s">
        <v>65</v>
      </c>
      <c r="C316" s="8" t="str">
        <f>IFERROR(_xlfn.XLOOKUP(TRIM(B316),Lookup!$B$2:$B$1000,Lookup!$C$2:$C$1000),"")</f>
        <v>Equity - Mid Cap Oriented</v>
      </c>
      <c r="D316" s="8" t="str">
        <f>IFERROR(INDEX('nav master'!$C:$C, MATCH(B316, 'nav master'!$B:$B, 0)), "")</f>
        <v>ULIF 064 12/09/22 EOF 110</v>
      </c>
      <c r="E316" s="8">
        <v>19.891999999999999</v>
      </c>
      <c r="F316" s="9">
        <v>45972</v>
      </c>
    </row>
    <row r="317" spans="1:6" ht="75" x14ac:dyDescent="0.25">
      <c r="A317" s="8" t="s">
        <v>63</v>
      </c>
      <c r="B317" s="11" t="s">
        <v>65</v>
      </c>
      <c r="C317" s="8" t="str">
        <f>IFERROR(_xlfn.XLOOKUP(TRIM(B317),Lookup!$B$2:$B$1000,Lookup!$C$2:$C$1000),"")</f>
        <v>Equity - Mid Cap Oriented</v>
      </c>
      <c r="D317" s="8" t="str">
        <f>IFERROR(INDEX('nav master'!$C:$C, MATCH(B317, 'nav master'!$B:$B, 0)), "")</f>
        <v>ULIF 064 12/09/22 EOF 110</v>
      </c>
      <c r="E317" s="8">
        <v>20.075600000000001</v>
      </c>
      <c r="F317" s="9">
        <v>45973</v>
      </c>
    </row>
    <row r="318" spans="1:6" ht="75" x14ac:dyDescent="0.25">
      <c r="A318" s="8" t="s">
        <v>63</v>
      </c>
      <c r="B318" s="11" t="s">
        <v>65</v>
      </c>
      <c r="C318" s="8" t="str">
        <f>IFERROR(_xlfn.XLOOKUP(TRIM(B318),Lookup!$B$2:$B$1000,Lookup!$C$2:$C$1000),"")</f>
        <v>Equity - Mid Cap Oriented</v>
      </c>
      <c r="D318" s="8" t="str">
        <f>IFERROR(INDEX('nav master'!$C:$C, MATCH(B318, 'nav master'!$B:$B, 0)), "")</f>
        <v>ULIF 064 12/09/22 EOF 110</v>
      </c>
      <c r="E318" s="8">
        <v>20.0351</v>
      </c>
      <c r="F318" s="9">
        <v>45974</v>
      </c>
    </row>
    <row r="319" spans="1:6" ht="75" x14ac:dyDescent="0.25">
      <c r="A319" s="8" t="s">
        <v>63</v>
      </c>
      <c r="B319" s="11" t="s">
        <v>65</v>
      </c>
      <c r="C319" s="8" t="str">
        <f>IFERROR(_xlfn.XLOOKUP(TRIM(B319),Lookup!$B$2:$B$1000,Lookup!$C$2:$C$1000),"")</f>
        <v>Equity - Mid Cap Oriented</v>
      </c>
      <c r="D319" s="8" t="str">
        <f>IFERROR(INDEX('nav master'!$C:$C, MATCH(B319, 'nav master'!$B:$B, 0)), "")</f>
        <v>ULIF 064 12/09/22 EOF 110</v>
      </c>
      <c r="E319" s="8">
        <v>20.035</v>
      </c>
      <c r="F319" s="9">
        <v>45975</v>
      </c>
    </row>
    <row r="320" spans="1:6" ht="75" x14ac:dyDescent="0.25">
      <c r="A320" s="8" t="s">
        <v>63</v>
      </c>
      <c r="B320" s="11" t="s">
        <v>65</v>
      </c>
      <c r="C320" s="8" t="str">
        <f>IFERROR(_xlfn.XLOOKUP(TRIM(B320),Lookup!$B$2:$B$1000,Lookup!$C$2:$C$1000),"")</f>
        <v>Equity - Mid Cap Oriented</v>
      </c>
      <c r="D320" s="8" t="str">
        <f>IFERROR(INDEX('nav master'!$C:$C, MATCH(B320, 'nav master'!$B:$B, 0)), "")</f>
        <v>ULIF 064 12/09/22 EOF 110</v>
      </c>
      <c r="E320" s="8">
        <v>20.1661</v>
      </c>
      <c r="F320" s="9">
        <v>45978</v>
      </c>
    </row>
    <row r="321" spans="1:6" ht="75" x14ac:dyDescent="0.25">
      <c r="A321" s="8" t="s">
        <v>63</v>
      </c>
      <c r="B321" s="11" t="s">
        <v>65</v>
      </c>
      <c r="C321" s="8" t="str">
        <f>IFERROR(_xlfn.XLOOKUP(TRIM(B321),Lookup!$B$2:$B$1000,Lookup!$C$2:$C$1000),"")</f>
        <v>Equity - Mid Cap Oriented</v>
      </c>
      <c r="D321" s="8" t="str">
        <f>IFERROR(INDEX('nav master'!$C:$C, MATCH(B321, 'nav master'!$B:$B, 0)), "")</f>
        <v>ULIF 064 12/09/22 EOF 110</v>
      </c>
      <c r="E321" s="8">
        <v>20.0367</v>
      </c>
      <c r="F321" s="9">
        <v>45979</v>
      </c>
    </row>
    <row r="322" spans="1:6" ht="75" x14ac:dyDescent="0.25">
      <c r="A322" s="8" t="s">
        <v>63</v>
      </c>
      <c r="B322" s="11" t="s">
        <v>65</v>
      </c>
      <c r="C322" s="8" t="str">
        <f>IFERROR(_xlfn.XLOOKUP(TRIM(B322),Lookup!$B$2:$B$1000,Lookup!$C$2:$C$1000),"")</f>
        <v>Equity - Mid Cap Oriented</v>
      </c>
      <c r="D322" s="8" t="str">
        <f>IFERROR(INDEX('nav master'!$C:$C, MATCH(B322, 'nav master'!$B:$B, 0)), "")</f>
        <v>ULIF 064 12/09/22 EOF 110</v>
      </c>
      <c r="E322" s="8">
        <v>20.139299999999999</v>
      </c>
      <c r="F322" s="9">
        <v>45980</v>
      </c>
    </row>
    <row r="323" spans="1:6" ht="75" x14ac:dyDescent="0.25">
      <c r="A323" s="8" t="s">
        <v>63</v>
      </c>
      <c r="B323" s="11" t="s">
        <v>65</v>
      </c>
      <c r="C323" s="8" t="str">
        <f>IFERROR(_xlfn.XLOOKUP(TRIM(B323),Lookup!$B$2:$B$1000,Lookup!$C$2:$C$1000),"")</f>
        <v>Equity - Mid Cap Oriented</v>
      </c>
      <c r="D323" s="8" t="str">
        <f>IFERROR(INDEX('nav master'!$C:$C, MATCH(B323, 'nav master'!$B:$B, 0)), "")</f>
        <v>ULIF 064 12/09/22 EOF 110</v>
      </c>
      <c r="E323" s="8">
        <v>20.144100000000002</v>
      </c>
      <c r="F323" s="9">
        <v>45981</v>
      </c>
    </row>
    <row r="324" spans="1:6" ht="75" x14ac:dyDescent="0.25">
      <c r="A324" s="8" t="s">
        <v>63</v>
      </c>
      <c r="B324" s="11" t="s">
        <v>65</v>
      </c>
      <c r="C324" s="8" t="str">
        <f>IFERROR(_xlfn.XLOOKUP(TRIM(B324),Lookup!$B$2:$B$1000,Lookup!$C$2:$C$1000),"")</f>
        <v>Equity - Mid Cap Oriented</v>
      </c>
      <c r="D324" s="8" t="str">
        <f>IFERROR(INDEX('nav master'!$C:$C, MATCH(B324, 'nav master'!$B:$B, 0)), "")</f>
        <v>ULIF 064 12/09/22 EOF 110</v>
      </c>
      <c r="E324" s="8">
        <v>19.9069</v>
      </c>
      <c r="F324" s="9">
        <v>45982</v>
      </c>
    </row>
    <row r="325" spans="1:6" ht="75" x14ac:dyDescent="0.25">
      <c r="A325" s="8" t="s">
        <v>63</v>
      </c>
      <c r="B325" s="11" t="s">
        <v>65</v>
      </c>
      <c r="C325" s="8" t="str">
        <f>IFERROR(_xlfn.XLOOKUP(TRIM(B325),Lookup!$B$2:$B$1000,Lookup!$C$2:$C$1000),"")</f>
        <v>Equity - Mid Cap Oriented</v>
      </c>
      <c r="D325" s="8" t="str">
        <f>IFERROR(INDEX('nav master'!$C:$C, MATCH(B325, 'nav master'!$B:$B, 0)), "")</f>
        <v>ULIF 064 12/09/22 EOF 110</v>
      </c>
      <c r="E325" s="8">
        <v>19.833400000000001</v>
      </c>
      <c r="F325" s="9">
        <v>45985</v>
      </c>
    </row>
    <row r="326" spans="1:6" ht="75" x14ac:dyDescent="0.25">
      <c r="A326" s="8" t="s">
        <v>63</v>
      </c>
      <c r="B326" s="11" t="s">
        <v>65</v>
      </c>
      <c r="C326" s="8" t="str">
        <f>IFERROR(_xlfn.XLOOKUP(TRIM(B326),Lookup!$B$2:$B$1000,Lookup!$C$2:$C$1000),"")</f>
        <v>Equity - Mid Cap Oriented</v>
      </c>
      <c r="D326" s="8" t="str">
        <f>IFERROR(INDEX('nav master'!$C:$C, MATCH(B326, 'nav master'!$B:$B, 0)), "")</f>
        <v>ULIF 064 12/09/22 EOF 110</v>
      </c>
      <c r="E326" s="8">
        <v>19.918099999999999</v>
      </c>
      <c r="F326" s="9">
        <v>45986</v>
      </c>
    </row>
    <row r="327" spans="1:6" ht="75" x14ac:dyDescent="0.25">
      <c r="A327" s="8" t="s">
        <v>63</v>
      </c>
      <c r="B327" s="11" t="s">
        <v>65</v>
      </c>
      <c r="C327" s="8" t="str">
        <f>IFERROR(_xlfn.XLOOKUP(TRIM(B327),Lookup!$B$2:$B$1000,Lookup!$C$2:$C$1000),"")</f>
        <v>Equity - Mid Cap Oriented</v>
      </c>
      <c r="D327" s="8" t="str">
        <f>IFERROR(INDEX('nav master'!$C:$C, MATCH(B327, 'nav master'!$B:$B, 0)), "")</f>
        <v>ULIF 064 12/09/22 EOF 110</v>
      </c>
      <c r="E327" s="8">
        <v>20.198499999999999</v>
      </c>
      <c r="F327" s="9">
        <v>45987</v>
      </c>
    </row>
    <row r="328" spans="1:6" ht="75" x14ac:dyDescent="0.25">
      <c r="A328" s="8" t="s">
        <v>63</v>
      </c>
      <c r="B328" s="11" t="s">
        <v>65</v>
      </c>
      <c r="C328" s="8" t="str">
        <f>IFERROR(_xlfn.XLOOKUP(TRIM(B328),Lookup!$B$2:$B$1000,Lookup!$C$2:$C$1000),"")</f>
        <v>Equity - Mid Cap Oriented</v>
      </c>
      <c r="D328" s="8" t="str">
        <f>IFERROR(INDEX('nav master'!$C:$C, MATCH(B328, 'nav master'!$B:$B, 0)), "")</f>
        <v>ULIF 064 12/09/22 EOF 110</v>
      </c>
      <c r="E328" s="8">
        <v>20.202200000000001</v>
      </c>
      <c r="F328" s="9">
        <v>45988</v>
      </c>
    </row>
    <row r="329" spans="1:6" ht="75" x14ac:dyDescent="0.25">
      <c r="A329" s="8" t="s">
        <v>63</v>
      </c>
      <c r="B329" s="11" t="s">
        <v>65</v>
      </c>
      <c r="C329" s="8" t="str">
        <f>IFERROR(_xlfn.XLOOKUP(TRIM(B329),Lookup!$B$2:$B$1000,Lookup!$C$2:$C$1000),"")</f>
        <v>Equity - Mid Cap Oriented</v>
      </c>
      <c r="D329" s="8" t="str">
        <f>IFERROR(INDEX('nav master'!$C:$C, MATCH(B329, 'nav master'!$B:$B, 0)), "")</f>
        <v>ULIF 064 12/09/22 EOF 110</v>
      </c>
      <c r="E329" s="8">
        <v>20.149899999999999</v>
      </c>
      <c r="F329" s="9">
        <v>45989</v>
      </c>
    </row>
    <row r="330" spans="1:6" ht="75" x14ac:dyDescent="0.25">
      <c r="A330" s="8" t="s">
        <v>63</v>
      </c>
      <c r="B330" s="11" t="s">
        <v>65</v>
      </c>
      <c r="C330" s="8" t="str">
        <f>IFERROR(_xlfn.XLOOKUP(TRIM(B330),Lookup!$B$2:$B$1000,Lookup!$C$2:$C$1000),"")</f>
        <v>Equity - Mid Cap Oriented</v>
      </c>
      <c r="D330" s="8" t="str">
        <f>IFERROR(INDEX('nav master'!$C:$C, MATCH(B330, 'nav master'!$B:$B, 0)), "")</f>
        <v>ULIF 064 12/09/22 EOF 110</v>
      </c>
      <c r="E330" s="8">
        <v>20.169599999999999</v>
      </c>
      <c r="F330" s="9">
        <v>45992</v>
      </c>
    </row>
    <row r="331" spans="1:6" ht="75" x14ac:dyDescent="0.25">
      <c r="A331" s="8" t="s">
        <v>63</v>
      </c>
      <c r="B331" s="11" t="s">
        <v>65</v>
      </c>
      <c r="C331" s="8" t="str">
        <f>IFERROR(_xlfn.XLOOKUP(TRIM(B331),Lookup!$B$2:$B$1000,Lookup!$C$2:$C$1000),"")</f>
        <v>Equity - Mid Cap Oriented</v>
      </c>
      <c r="D331" s="8" t="str">
        <f>IFERROR(INDEX('nav master'!$C:$C, MATCH(B331, 'nav master'!$B:$B, 0)), "")</f>
        <v>ULIF 064 12/09/22 EOF 110</v>
      </c>
      <c r="E331" s="8">
        <v>20.114100000000001</v>
      </c>
      <c r="F331" s="9">
        <v>45993</v>
      </c>
    </row>
    <row r="332" spans="1:6" ht="75" x14ac:dyDescent="0.25">
      <c r="A332" s="8" t="s">
        <v>63</v>
      </c>
      <c r="B332" s="11" t="s">
        <v>65</v>
      </c>
      <c r="C332" s="8" t="str">
        <f>IFERROR(_xlfn.XLOOKUP(TRIM(B332),Lookup!$B$2:$B$1000,Lookup!$C$2:$C$1000),"")</f>
        <v>Equity - Mid Cap Oriented</v>
      </c>
      <c r="D332" s="8" t="str">
        <f>IFERROR(INDEX('nav master'!$C:$C, MATCH(B332, 'nav master'!$B:$B, 0)), "")</f>
        <v>ULIF 064 12/09/22 EOF 110</v>
      </c>
      <c r="E332" s="8">
        <v>19.941700000000001</v>
      </c>
      <c r="F332" s="9">
        <v>45994</v>
      </c>
    </row>
    <row r="333" spans="1:6" ht="75" x14ac:dyDescent="0.25">
      <c r="A333" s="8" t="s">
        <v>63</v>
      </c>
      <c r="B333" s="11" t="s">
        <v>65</v>
      </c>
      <c r="C333" s="8" t="str">
        <f>IFERROR(_xlfn.XLOOKUP(TRIM(B333),Lookup!$B$2:$B$1000,Lookup!$C$2:$C$1000),"")</f>
        <v>Equity - Mid Cap Oriented</v>
      </c>
      <c r="D333" s="8" t="str">
        <f>IFERROR(INDEX('nav master'!$C:$C, MATCH(B333, 'nav master'!$B:$B, 0)), "")</f>
        <v>ULIF 064 12/09/22 EOF 110</v>
      </c>
      <c r="E333" s="8">
        <v>19.978999999999999</v>
      </c>
      <c r="F333" s="9">
        <v>45995</v>
      </c>
    </row>
    <row r="334" spans="1:6" ht="75" x14ac:dyDescent="0.25">
      <c r="A334" s="8" t="s">
        <v>63</v>
      </c>
      <c r="B334" s="11" t="s">
        <v>65</v>
      </c>
      <c r="C334" s="8" t="str">
        <f>IFERROR(_xlfn.XLOOKUP(TRIM(B334),Lookup!$B$2:$B$1000,Lookup!$C$2:$C$1000),"")</f>
        <v>Equity - Mid Cap Oriented</v>
      </c>
      <c r="D334" s="8" t="str">
        <f>IFERROR(INDEX('nav master'!$C:$C, MATCH(B334, 'nav master'!$B:$B, 0)), "")</f>
        <v>ULIF 064 12/09/22 EOF 110</v>
      </c>
      <c r="E334" s="8">
        <v>20.044499999999999</v>
      </c>
      <c r="F334" s="9">
        <v>45996</v>
      </c>
    </row>
    <row r="335" spans="1:6" ht="75" x14ac:dyDescent="0.25">
      <c r="A335" s="8" t="s">
        <v>63</v>
      </c>
      <c r="B335" s="11" t="s">
        <v>65</v>
      </c>
      <c r="C335" s="8" t="str">
        <f>IFERROR(_xlfn.XLOOKUP(TRIM(B335),Lookup!$B$2:$B$1000,Lookup!$C$2:$C$1000),"")</f>
        <v>Equity - Mid Cap Oriented</v>
      </c>
      <c r="D335" s="8" t="str">
        <f>IFERROR(INDEX('nav master'!$C:$C, MATCH(B335, 'nav master'!$B:$B, 0)), "")</f>
        <v>ULIF 064 12/09/22 EOF 110</v>
      </c>
      <c r="E335" s="8">
        <v>19.707999999999998</v>
      </c>
      <c r="F335" s="9">
        <v>45999</v>
      </c>
    </row>
    <row r="336" spans="1:6" ht="75" x14ac:dyDescent="0.25">
      <c r="A336" s="8" t="s">
        <v>63</v>
      </c>
      <c r="B336" s="11" t="s">
        <v>65</v>
      </c>
      <c r="C336" s="8" t="str">
        <f>IFERROR(_xlfn.XLOOKUP(TRIM(B336),Lookup!$B$2:$B$1000,Lookup!$C$2:$C$1000),"")</f>
        <v>Equity - Mid Cap Oriented</v>
      </c>
      <c r="D336" s="8" t="str">
        <f>IFERROR(INDEX('nav master'!$C:$C, MATCH(B336, 'nav master'!$B:$B, 0)), "")</f>
        <v>ULIF 064 12/09/22 EOF 110</v>
      </c>
      <c r="E336" s="8">
        <v>19.7849</v>
      </c>
      <c r="F336" s="9">
        <v>46000</v>
      </c>
    </row>
    <row r="337" spans="1:6" ht="75" x14ac:dyDescent="0.25">
      <c r="A337" s="8" t="s">
        <v>63</v>
      </c>
      <c r="B337" s="11" t="s">
        <v>65</v>
      </c>
      <c r="C337" s="8" t="str">
        <f>IFERROR(_xlfn.XLOOKUP(TRIM(B337),Lookup!$B$2:$B$1000,Lookup!$C$2:$C$1000),"")</f>
        <v>Equity - Mid Cap Oriented</v>
      </c>
      <c r="D337" s="8" t="str">
        <f>IFERROR(INDEX('nav master'!$C:$C, MATCH(B337, 'nav master'!$B:$B, 0)), "")</f>
        <v>ULIF 064 12/09/22 EOF 110</v>
      </c>
      <c r="E337" s="8">
        <v>19.517299999999999</v>
      </c>
      <c r="F337" s="9">
        <v>46001</v>
      </c>
    </row>
    <row r="338" spans="1:6" ht="75" x14ac:dyDescent="0.25">
      <c r="A338" s="8" t="s">
        <v>63</v>
      </c>
      <c r="B338" s="11" t="s">
        <v>65</v>
      </c>
      <c r="C338" s="8" t="str">
        <f>IFERROR(_xlfn.XLOOKUP(TRIM(B338),Lookup!$B$2:$B$1000,Lookup!$C$2:$C$1000),"")</f>
        <v>Equity - Mid Cap Oriented</v>
      </c>
      <c r="D338" s="8" t="str">
        <f>IFERROR(INDEX('nav master'!$C:$C, MATCH(B338, 'nav master'!$B:$B, 0)), "")</f>
        <v>ULIF 064 12/09/22 EOF 110</v>
      </c>
      <c r="E338" s="8">
        <v>19.717500000000001</v>
      </c>
      <c r="F338" s="9">
        <v>46002</v>
      </c>
    </row>
    <row r="339" spans="1:6" ht="75" x14ac:dyDescent="0.25">
      <c r="A339" s="8" t="s">
        <v>63</v>
      </c>
      <c r="B339" s="11" t="s">
        <v>65</v>
      </c>
      <c r="C339" s="8" t="str">
        <f>IFERROR(_xlfn.XLOOKUP(TRIM(B339),Lookup!$B$2:$B$1000,Lookup!$C$2:$C$1000),"")</f>
        <v>Equity - Mid Cap Oriented</v>
      </c>
      <c r="D339" s="8" t="str">
        <f>IFERROR(INDEX('nav master'!$C:$C, MATCH(B339, 'nav master'!$B:$B, 0)), "")</f>
        <v>ULIF 064 12/09/22 EOF 110</v>
      </c>
      <c r="E339" s="8">
        <v>19.906700000000001</v>
      </c>
      <c r="F339" s="9">
        <v>46003</v>
      </c>
    </row>
    <row r="340" spans="1:6" ht="75" x14ac:dyDescent="0.25">
      <c r="A340" s="8" t="s">
        <v>63</v>
      </c>
      <c r="B340" s="11" t="s">
        <v>65</v>
      </c>
      <c r="C340" s="8" t="str">
        <f>IFERROR(_xlfn.XLOOKUP(TRIM(B340),Lookup!$B$2:$B$1000,Lookup!$C$2:$C$1000),"")</f>
        <v>Equity - Mid Cap Oriented</v>
      </c>
      <c r="D340" s="8" t="str">
        <f>IFERROR(INDEX('nav master'!$C:$C, MATCH(B340, 'nav master'!$B:$B, 0)), "")</f>
        <v>ULIF 064 12/09/22 EOF 110</v>
      </c>
      <c r="E340" s="8">
        <v>19.902200000000001</v>
      </c>
      <c r="F340" s="9">
        <v>46006</v>
      </c>
    </row>
    <row r="341" spans="1:6" ht="75" x14ac:dyDescent="0.25">
      <c r="A341" s="8" t="s">
        <v>63</v>
      </c>
      <c r="B341" s="11" t="s">
        <v>65</v>
      </c>
      <c r="C341" s="8" t="str">
        <f>IFERROR(_xlfn.XLOOKUP(TRIM(B341),Lookup!$B$2:$B$1000,Lookup!$C$2:$C$1000),"")</f>
        <v>Equity - Mid Cap Oriented</v>
      </c>
      <c r="D341" s="8" t="str">
        <f>IFERROR(INDEX('nav master'!$C:$C, MATCH(B341, 'nav master'!$B:$B, 0)), "")</f>
        <v>ULIF 064 12/09/22 EOF 110</v>
      </c>
      <c r="E341" s="8">
        <v>19.732199999999999</v>
      </c>
      <c r="F341" s="9">
        <v>46007</v>
      </c>
    </row>
    <row r="342" spans="1:6" ht="75" x14ac:dyDescent="0.25">
      <c r="A342" s="8" t="s">
        <v>63</v>
      </c>
      <c r="B342" s="11" t="s">
        <v>65</v>
      </c>
      <c r="C342" s="8" t="str">
        <f>IFERROR(_xlfn.XLOOKUP(TRIM(B342),Lookup!$B$2:$B$1000,Lookup!$C$2:$C$1000),"")</f>
        <v>Equity - Mid Cap Oriented</v>
      </c>
      <c r="D342" s="8" t="str">
        <f>IFERROR(INDEX('nav master'!$C:$C, MATCH(B342, 'nav master'!$B:$B, 0)), "")</f>
        <v>ULIF 064 12/09/22 EOF 110</v>
      </c>
      <c r="E342" s="8">
        <v>19.639399999999998</v>
      </c>
      <c r="F342" s="9">
        <v>46008</v>
      </c>
    </row>
    <row r="343" spans="1:6" ht="75" x14ac:dyDescent="0.25">
      <c r="A343" s="8" t="s">
        <v>63</v>
      </c>
      <c r="B343" s="11" t="s">
        <v>65</v>
      </c>
      <c r="C343" s="8" t="str">
        <f>IFERROR(_xlfn.XLOOKUP(TRIM(B343),Lookup!$B$2:$B$1000,Lookup!$C$2:$C$1000),"")</f>
        <v>Equity - Mid Cap Oriented</v>
      </c>
      <c r="D343" s="8" t="str">
        <f>IFERROR(INDEX('nav master'!$C:$C, MATCH(B343, 'nav master'!$B:$B, 0)), "")</f>
        <v>ULIF 064 12/09/22 EOF 110</v>
      </c>
      <c r="E343" s="8">
        <v>19.742699999999999</v>
      </c>
      <c r="F343" s="9">
        <v>46009</v>
      </c>
    </row>
    <row r="344" spans="1:6" ht="75" x14ac:dyDescent="0.25">
      <c r="A344" s="8" t="s">
        <v>63</v>
      </c>
      <c r="B344" s="11" t="s">
        <v>65</v>
      </c>
      <c r="C344" s="8" t="str">
        <f>IFERROR(_xlfn.XLOOKUP(TRIM(B344),Lookup!$B$2:$B$1000,Lookup!$C$2:$C$1000),"")</f>
        <v>Equity - Mid Cap Oriented</v>
      </c>
      <c r="D344" s="8" t="str">
        <f>IFERROR(INDEX('nav master'!$C:$C, MATCH(B344, 'nav master'!$B:$B, 0)), "")</f>
        <v>ULIF 064 12/09/22 EOF 110</v>
      </c>
      <c r="E344" s="8">
        <v>19.943000000000001</v>
      </c>
      <c r="F344" s="9">
        <v>46010</v>
      </c>
    </row>
    <row r="345" spans="1:6" ht="75" x14ac:dyDescent="0.25">
      <c r="A345" s="8" t="s">
        <v>63</v>
      </c>
      <c r="B345" s="11" t="s">
        <v>65</v>
      </c>
      <c r="C345" s="8" t="str">
        <f>IFERROR(_xlfn.XLOOKUP(TRIM(B345),Lookup!$B$2:$B$1000,Lookup!$C$2:$C$1000),"")</f>
        <v>Equity - Mid Cap Oriented</v>
      </c>
      <c r="D345" s="8" t="str">
        <f>IFERROR(INDEX('nav master'!$C:$C, MATCH(B345, 'nav master'!$B:$B, 0)), "")</f>
        <v>ULIF 064 12/09/22 EOF 110</v>
      </c>
      <c r="E345" s="8">
        <v>20.1129</v>
      </c>
      <c r="F345" s="9">
        <v>46013</v>
      </c>
    </row>
    <row r="346" spans="1:6" ht="75" x14ac:dyDescent="0.25">
      <c r="A346" s="8" t="s">
        <v>63</v>
      </c>
      <c r="B346" s="11" t="s">
        <v>65</v>
      </c>
      <c r="C346" s="8" t="str">
        <f>IFERROR(_xlfn.XLOOKUP(TRIM(B346),Lookup!$B$2:$B$1000,Lookup!$C$2:$C$1000),"")</f>
        <v>Equity - Mid Cap Oriented</v>
      </c>
      <c r="D346" s="8" t="str">
        <f>IFERROR(INDEX('nav master'!$C:$C, MATCH(B346, 'nav master'!$B:$B, 0)), "")</f>
        <v>ULIF 064 12/09/22 EOF 110</v>
      </c>
      <c r="E346" s="8">
        <v>20.101099999999999</v>
      </c>
      <c r="F346" s="9">
        <v>46014</v>
      </c>
    </row>
    <row r="347" spans="1:6" ht="75" x14ac:dyDescent="0.25">
      <c r="A347" s="8" t="s">
        <v>63</v>
      </c>
      <c r="B347" s="11" t="s">
        <v>65</v>
      </c>
      <c r="C347" s="8" t="str">
        <f>IFERROR(_xlfn.XLOOKUP(TRIM(B347),Lookup!$B$2:$B$1000,Lookup!$C$2:$C$1000),"")</f>
        <v>Equity - Mid Cap Oriented</v>
      </c>
      <c r="D347" s="8" t="str">
        <f>IFERROR(INDEX('nav master'!$C:$C, MATCH(B347, 'nav master'!$B:$B, 0)), "")</f>
        <v>ULIF 064 12/09/22 EOF 110</v>
      </c>
      <c r="E347" s="8">
        <v>20.002600000000001</v>
      </c>
      <c r="F347" s="9">
        <v>46015</v>
      </c>
    </row>
    <row r="348" spans="1:6" ht="75" x14ac:dyDescent="0.25">
      <c r="A348" s="8" t="s">
        <v>63</v>
      </c>
      <c r="B348" s="11" t="s">
        <v>65</v>
      </c>
      <c r="C348" s="8" t="str">
        <f>IFERROR(_xlfn.XLOOKUP(TRIM(B348),Lookup!$B$2:$B$1000,Lookup!$C$2:$C$1000),"")</f>
        <v>Equity - Mid Cap Oriented</v>
      </c>
      <c r="D348" s="8" t="str">
        <f>IFERROR(INDEX('nav master'!$C:$C, MATCH(B348, 'nav master'!$B:$B, 0)), "")</f>
        <v>ULIF 064 12/09/22 EOF 110</v>
      </c>
      <c r="E348" s="8">
        <v>19.9206</v>
      </c>
      <c r="F348" s="9">
        <v>46017</v>
      </c>
    </row>
    <row r="349" spans="1:6" ht="75" x14ac:dyDescent="0.25">
      <c r="A349" s="8" t="s">
        <v>63</v>
      </c>
      <c r="B349" s="11" t="s">
        <v>65</v>
      </c>
      <c r="C349" s="8" t="str">
        <f>IFERROR(_xlfn.XLOOKUP(TRIM(B349),Lookup!$B$2:$B$1000,Lookup!$C$2:$C$1000),"")</f>
        <v>Equity - Mid Cap Oriented</v>
      </c>
      <c r="D349" s="8" t="str">
        <f>IFERROR(INDEX('nav master'!$C:$C, MATCH(B349, 'nav master'!$B:$B, 0)), "")</f>
        <v>ULIF 064 12/09/22 EOF 110</v>
      </c>
      <c r="E349" s="8">
        <v>19.835899999999999</v>
      </c>
      <c r="F349" s="9">
        <v>46020</v>
      </c>
    </row>
    <row r="350" spans="1:6" ht="75" x14ac:dyDescent="0.25">
      <c r="A350" s="8" t="s">
        <v>63</v>
      </c>
      <c r="B350" s="11" t="s">
        <v>65</v>
      </c>
      <c r="C350" s="8" t="str">
        <f>IFERROR(_xlfn.XLOOKUP(TRIM(B350),Lookup!$B$2:$B$1000,Lookup!$C$2:$C$1000),"")</f>
        <v>Equity - Mid Cap Oriented</v>
      </c>
      <c r="D350" s="8" t="str">
        <f>IFERROR(INDEX('nav master'!$C:$C, MATCH(B350, 'nav master'!$B:$B, 0)), "")</f>
        <v>ULIF 064 12/09/22 EOF 110</v>
      </c>
      <c r="E350" s="8">
        <v>19.7377</v>
      </c>
      <c r="F350" s="9">
        <v>46021</v>
      </c>
    </row>
    <row r="351" spans="1:6" ht="75" x14ac:dyDescent="0.25">
      <c r="A351" s="8" t="s">
        <v>63</v>
      </c>
      <c r="B351" s="11" t="s">
        <v>65</v>
      </c>
      <c r="C351" s="8" t="str">
        <f>IFERROR(_xlfn.XLOOKUP(TRIM(B351),Lookup!$B$2:$B$1000,Lookup!$C$2:$C$1000),"")</f>
        <v>Equity - Mid Cap Oriented</v>
      </c>
      <c r="D351" s="8" t="str">
        <f>IFERROR(INDEX('nav master'!$C:$C, MATCH(B351, 'nav master'!$B:$B, 0)), "")</f>
        <v>ULIF 064 12/09/22 EOF 110</v>
      </c>
      <c r="E351" s="8">
        <v>19.948899999999998</v>
      </c>
      <c r="F351" s="9">
        <v>46022</v>
      </c>
    </row>
    <row r="352" spans="1:6" ht="75" x14ac:dyDescent="0.25">
      <c r="A352" s="8" t="s">
        <v>63</v>
      </c>
      <c r="B352" s="11" t="s">
        <v>65</v>
      </c>
      <c r="C352" s="8" t="str">
        <f>IFERROR(_xlfn.XLOOKUP(TRIM(B352),Lookup!$B$2:$B$1000,Lookup!$C$2:$C$1000),"")</f>
        <v>Equity - Mid Cap Oriented</v>
      </c>
      <c r="D352" s="8" t="str">
        <f>IFERROR(INDEX('nav master'!$C:$C, MATCH(B352, 'nav master'!$B:$B, 0)), "")</f>
        <v>ULIF 064 12/09/22 EOF 110</v>
      </c>
      <c r="E352" s="8">
        <v>20.031400000000001</v>
      </c>
      <c r="F352" s="9">
        <v>46023</v>
      </c>
    </row>
    <row r="353" spans="1:6" ht="75" x14ac:dyDescent="0.25">
      <c r="A353" s="8" t="s">
        <v>63</v>
      </c>
      <c r="B353" s="11" t="s">
        <v>65</v>
      </c>
      <c r="C353" s="8" t="str">
        <f>IFERROR(_xlfn.XLOOKUP(TRIM(B353),Lookup!$B$2:$B$1000,Lookup!$C$2:$C$1000),"")</f>
        <v>Equity - Mid Cap Oriented</v>
      </c>
      <c r="D353" s="8" t="str">
        <f>IFERROR(INDEX('nav master'!$C:$C, MATCH(B353, 'nav master'!$B:$B, 0)), "")</f>
        <v>ULIF 064 12/09/22 EOF 110</v>
      </c>
      <c r="E353" s="8">
        <v>20.169599999999999</v>
      </c>
      <c r="F353" s="9">
        <v>46024</v>
      </c>
    </row>
    <row r="354" spans="1:6" ht="75" x14ac:dyDescent="0.25">
      <c r="A354" s="8" t="s">
        <v>63</v>
      </c>
      <c r="B354" s="11" t="s">
        <v>65</v>
      </c>
      <c r="C354" s="8" t="str">
        <f>IFERROR(_xlfn.XLOOKUP(TRIM(B354),Lookup!$B$2:$B$1000,Lookup!$C$2:$C$1000),"")</f>
        <v>Equity - Mid Cap Oriented</v>
      </c>
      <c r="D354" s="8" t="str">
        <f>IFERROR(INDEX('nav master'!$C:$C, MATCH(B354, 'nav master'!$B:$B, 0)), "")</f>
        <v>ULIF 064 12/09/22 EOF 110</v>
      </c>
      <c r="E354" s="8">
        <v>20.1601</v>
      </c>
      <c r="F354" s="9">
        <v>46027</v>
      </c>
    </row>
    <row r="355" spans="1:6" ht="75" x14ac:dyDescent="0.25">
      <c r="A355" s="8" t="s">
        <v>63</v>
      </c>
      <c r="B355" s="11" t="s">
        <v>65</v>
      </c>
      <c r="C355" s="8" t="str">
        <f>IFERROR(_xlfn.XLOOKUP(TRIM(B355),Lookup!$B$2:$B$1000,Lookup!$C$2:$C$1000),"")</f>
        <v>Equity - Mid Cap Oriented</v>
      </c>
      <c r="D355" s="8" t="str">
        <f>IFERROR(INDEX('nav master'!$C:$C, MATCH(B355, 'nav master'!$B:$B, 0)), "")</f>
        <v>ULIF 064 12/09/22 EOF 110</v>
      </c>
      <c r="E355" s="8">
        <v>20.157499999999999</v>
      </c>
      <c r="F355" s="9">
        <v>46028</v>
      </c>
    </row>
    <row r="356" spans="1:6" ht="75" x14ac:dyDescent="0.25">
      <c r="A356" s="8" t="s">
        <v>63</v>
      </c>
      <c r="B356" s="11" t="s">
        <v>65</v>
      </c>
      <c r="C356" s="8" t="str">
        <f>IFERROR(_xlfn.XLOOKUP(TRIM(B356),Lookup!$B$2:$B$1000,Lookup!$C$2:$C$1000),"")</f>
        <v>Equity - Mid Cap Oriented</v>
      </c>
      <c r="D356" s="8" t="str">
        <f>IFERROR(INDEX('nav master'!$C:$C, MATCH(B356, 'nav master'!$B:$B, 0)), "")</f>
        <v>ULIF 064 12/09/22 EOF 110</v>
      </c>
      <c r="E356" s="8">
        <v>20.238199999999999</v>
      </c>
      <c r="F356" s="9">
        <v>46029</v>
      </c>
    </row>
    <row r="357" spans="1:6" ht="75" x14ac:dyDescent="0.25">
      <c r="A357" s="8" t="s">
        <v>63</v>
      </c>
      <c r="B357" s="11" t="s">
        <v>65</v>
      </c>
      <c r="C357" s="8" t="str">
        <f>IFERROR(_xlfn.XLOOKUP(TRIM(B357),Lookup!$B$2:$B$1000,Lookup!$C$2:$C$1000),"")</f>
        <v>Equity - Mid Cap Oriented</v>
      </c>
      <c r="D357" s="8" t="str">
        <f>IFERROR(INDEX('nav master'!$C:$C, MATCH(B357, 'nav master'!$B:$B, 0)), "")</f>
        <v>ULIF 064 12/09/22 EOF 110</v>
      </c>
      <c r="E357" s="8">
        <v>19.963999999999999</v>
      </c>
      <c r="F357" s="9">
        <v>46030</v>
      </c>
    </row>
    <row r="358" spans="1:6" ht="75" x14ac:dyDescent="0.25">
      <c r="A358" s="8" t="s">
        <v>63</v>
      </c>
      <c r="B358" s="11" t="s">
        <v>65</v>
      </c>
      <c r="C358" s="8" t="str">
        <f>IFERROR(_xlfn.XLOOKUP(TRIM(B358),Lookup!$B$2:$B$1000,Lookup!$C$2:$C$1000),"")</f>
        <v>Equity - Mid Cap Oriented</v>
      </c>
      <c r="D358" s="8" t="str">
        <f>IFERROR(INDEX('nav master'!$C:$C, MATCH(B358, 'nav master'!$B:$B, 0)), "")</f>
        <v>ULIF 064 12/09/22 EOF 110</v>
      </c>
      <c r="E358" s="8">
        <v>19.809899999999999</v>
      </c>
      <c r="F358" s="9">
        <v>46031</v>
      </c>
    </row>
    <row r="359" spans="1:6" ht="75" x14ac:dyDescent="0.25">
      <c r="A359" s="8" t="s">
        <v>63</v>
      </c>
      <c r="B359" s="11" t="s">
        <v>65</v>
      </c>
      <c r="C359" s="8" t="str">
        <f>IFERROR(_xlfn.XLOOKUP(TRIM(B359),Lookup!$B$2:$B$1000,Lookup!$C$2:$C$1000),"")</f>
        <v>Equity - Mid Cap Oriented</v>
      </c>
      <c r="D359" s="8" t="str">
        <f>IFERROR(INDEX('nav master'!$C:$C, MATCH(B359, 'nav master'!$B:$B, 0)), "")</f>
        <v>ULIF 064 12/09/22 EOF 110</v>
      </c>
      <c r="E359" s="8">
        <v>19.778099999999998</v>
      </c>
      <c r="F359" s="9">
        <v>46034</v>
      </c>
    </row>
    <row r="360" spans="1:6" ht="75" x14ac:dyDescent="0.25">
      <c r="A360" s="8" t="s">
        <v>63</v>
      </c>
      <c r="B360" s="11" t="s">
        <v>65</v>
      </c>
      <c r="C360" s="8" t="str">
        <f>IFERROR(_xlfn.XLOOKUP(TRIM(B360),Lookup!$B$2:$B$1000,Lookup!$C$2:$C$1000),"")</f>
        <v>Equity - Mid Cap Oriented</v>
      </c>
      <c r="D360" s="8" t="str">
        <f>IFERROR(INDEX('nav master'!$C:$C, MATCH(B360, 'nav master'!$B:$B, 0)), "")</f>
        <v>ULIF 064 12/09/22 EOF 110</v>
      </c>
      <c r="E360" s="8">
        <v>19.7972</v>
      </c>
      <c r="F360" s="9">
        <v>46035</v>
      </c>
    </row>
    <row r="361" spans="1:6" ht="75" x14ac:dyDescent="0.25">
      <c r="A361" s="8" t="s">
        <v>63</v>
      </c>
      <c r="B361" s="11" t="s">
        <v>65</v>
      </c>
      <c r="C361" s="8" t="str">
        <f>IFERROR(_xlfn.XLOOKUP(TRIM(B361),Lookup!$B$2:$B$1000,Lookup!$C$2:$C$1000),"")</f>
        <v>Equity - Mid Cap Oriented</v>
      </c>
      <c r="D361" s="8" t="str">
        <f>IFERROR(INDEX('nav master'!$C:$C, MATCH(B361, 'nav master'!$B:$B, 0)), "")</f>
        <v>ULIF 064 12/09/22 EOF 110</v>
      </c>
      <c r="E361" s="8">
        <v>19.889900000000001</v>
      </c>
      <c r="F361" s="9">
        <v>46036</v>
      </c>
    </row>
    <row r="362" spans="1:6" ht="75" x14ac:dyDescent="0.25">
      <c r="A362" s="8" t="s">
        <v>63</v>
      </c>
      <c r="B362" s="11" t="s">
        <v>65</v>
      </c>
      <c r="C362" s="8" t="str">
        <f>IFERROR(_xlfn.XLOOKUP(TRIM(B362),Lookup!$B$2:$B$1000,Lookup!$C$2:$C$1000),"")</f>
        <v>Equity - Mid Cap Oriented</v>
      </c>
      <c r="D362" s="8" t="str">
        <f>IFERROR(INDEX('nav master'!$C:$C, MATCH(B362, 'nav master'!$B:$B, 0)), "")</f>
        <v>ULIF 064 12/09/22 EOF 110</v>
      </c>
      <c r="E362" s="8">
        <v>19.912800000000001</v>
      </c>
      <c r="F362" s="9">
        <v>46038</v>
      </c>
    </row>
    <row r="363" spans="1:6" ht="75" x14ac:dyDescent="0.25">
      <c r="A363" s="8" t="s">
        <v>63</v>
      </c>
      <c r="B363" s="11" t="s">
        <v>65</v>
      </c>
      <c r="C363" s="8" t="str">
        <f>IFERROR(_xlfn.XLOOKUP(TRIM(B363),Lookup!$B$2:$B$1000,Lookup!$C$2:$C$1000),"")</f>
        <v>Equity - Mid Cap Oriented</v>
      </c>
      <c r="D363" s="8" t="str">
        <f>IFERROR(INDEX('nav master'!$C:$C, MATCH(B363, 'nav master'!$B:$B, 0)), "")</f>
        <v>ULIF 064 12/09/22 EOF 110</v>
      </c>
      <c r="E363" s="8">
        <v>19.792300000000001</v>
      </c>
      <c r="F363" s="9">
        <v>46041</v>
      </c>
    </row>
    <row r="364" spans="1:6" ht="75" x14ac:dyDescent="0.25">
      <c r="A364" s="8" t="s">
        <v>63</v>
      </c>
      <c r="B364" s="11" t="s">
        <v>65</v>
      </c>
      <c r="C364" s="8" t="str">
        <f>IFERROR(_xlfn.XLOOKUP(TRIM(B364),Lookup!$B$2:$B$1000,Lookup!$C$2:$C$1000),"")</f>
        <v>Equity - Mid Cap Oriented</v>
      </c>
      <c r="D364" s="8" t="str">
        <f>IFERROR(INDEX('nav master'!$C:$C, MATCH(B364, 'nav master'!$B:$B, 0)), "")</f>
        <v>ULIF 064 12/09/22 EOF 110</v>
      </c>
      <c r="E364" s="8">
        <v>19.329599999999999</v>
      </c>
      <c r="F364" s="9">
        <v>46042</v>
      </c>
    </row>
    <row r="365" spans="1:6" ht="75" x14ac:dyDescent="0.25">
      <c r="A365" s="8" t="s">
        <v>63</v>
      </c>
      <c r="B365" s="11" t="s">
        <v>65</v>
      </c>
      <c r="C365" s="8" t="str">
        <f>IFERROR(_xlfn.XLOOKUP(TRIM(B365),Lookup!$B$2:$B$1000,Lookup!$C$2:$C$1000),"")</f>
        <v>Equity - Mid Cap Oriented</v>
      </c>
      <c r="D365" s="8" t="str">
        <f>IFERROR(INDEX('nav master'!$C:$C, MATCH(B365, 'nav master'!$B:$B, 0)), "")</f>
        <v>ULIF 064 12/09/22 EOF 110</v>
      </c>
      <c r="E365" s="8">
        <v>19.2639</v>
      </c>
      <c r="F365" s="9">
        <v>46043</v>
      </c>
    </row>
    <row r="366" spans="1:6" ht="75" x14ac:dyDescent="0.25">
      <c r="A366" s="8" t="s">
        <v>63</v>
      </c>
      <c r="B366" s="11" t="s">
        <v>65</v>
      </c>
      <c r="C366" s="8" t="str">
        <f>IFERROR(_xlfn.XLOOKUP(TRIM(B366),Lookup!$B$2:$B$1000,Lookup!$C$2:$C$1000),"")</f>
        <v>Equity - Mid Cap Oriented</v>
      </c>
      <c r="D366" s="8" t="str">
        <f>IFERROR(INDEX('nav master'!$C:$C, MATCH(B366, 'nav master'!$B:$B, 0)), "")</f>
        <v>ULIF 064 12/09/22 EOF 110</v>
      </c>
      <c r="E366" s="8">
        <v>19.449400000000001</v>
      </c>
      <c r="F366" s="9">
        <v>46044</v>
      </c>
    </row>
    <row r="367" spans="1:6" ht="75" x14ac:dyDescent="0.25">
      <c r="A367" s="8" t="s">
        <v>63</v>
      </c>
      <c r="B367" s="11" t="s">
        <v>65</v>
      </c>
      <c r="C367" s="8" t="str">
        <f>IFERROR(_xlfn.XLOOKUP(TRIM(B367),Lookup!$B$2:$B$1000,Lookup!$C$2:$C$1000),"")</f>
        <v>Equity - Mid Cap Oriented</v>
      </c>
      <c r="D367" s="8" t="str">
        <f>IFERROR(INDEX('nav master'!$C:$C, MATCH(B367, 'nav master'!$B:$B, 0)), "")</f>
        <v>ULIF 064 12/09/22 EOF 110</v>
      </c>
      <c r="E367" s="8">
        <v>19.1282</v>
      </c>
      <c r="F367" s="9">
        <v>46045</v>
      </c>
    </row>
    <row r="368" spans="1:6" ht="75" x14ac:dyDescent="0.25">
      <c r="A368" s="8" t="s">
        <v>63</v>
      </c>
      <c r="B368" s="11" t="s">
        <v>65</v>
      </c>
      <c r="C368" s="8" t="str">
        <f>IFERROR(_xlfn.XLOOKUP(TRIM(B368),Lookup!$B$2:$B$1000,Lookup!$C$2:$C$1000),"")</f>
        <v>Equity - Mid Cap Oriented</v>
      </c>
      <c r="D368" s="8" t="str">
        <f>IFERROR(INDEX('nav master'!$C:$C, MATCH(B368, 'nav master'!$B:$B, 0)), "")</f>
        <v>ULIF 064 12/09/22 EOF 110</v>
      </c>
      <c r="E368" s="8">
        <v>19.270700000000001</v>
      </c>
      <c r="F368" s="9">
        <v>46049</v>
      </c>
    </row>
    <row r="369" spans="1:6" ht="75" x14ac:dyDescent="0.25">
      <c r="A369" s="8" t="s">
        <v>63</v>
      </c>
      <c r="B369" s="11" t="s">
        <v>65</v>
      </c>
      <c r="C369" s="8" t="str">
        <f>IFERROR(_xlfn.XLOOKUP(TRIM(B369),Lookup!$B$2:$B$1000,Lookup!$C$2:$C$1000),"")</f>
        <v>Equity - Mid Cap Oriented</v>
      </c>
      <c r="D369" s="8" t="str">
        <f>IFERROR(INDEX('nav master'!$C:$C, MATCH(B369, 'nav master'!$B:$B, 0)), "")</f>
        <v>ULIF 064 12/09/22 EOF 110</v>
      </c>
      <c r="E369" s="8">
        <v>19.637799999999999</v>
      </c>
      <c r="F369" s="9">
        <v>46050</v>
      </c>
    </row>
    <row r="370" spans="1:6" ht="75" x14ac:dyDescent="0.25">
      <c r="A370" s="8" t="s">
        <v>63</v>
      </c>
      <c r="B370" s="11" t="s">
        <v>65</v>
      </c>
      <c r="C370" s="8" t="str">
        <f>IFERROR(_xlfn.XLOOKUP(TRIM(B370),Lookup!$B$2:$B$1000,Lookup!$C$2:$C$1000),"")</f>
        <v>Equity - Mid Cap Oriented</v>
      </c>
      <c r="D370" s="8" t="str">
        <f>IFERROR(INDEX('nav master'!$C:$C, MATCH(B370, 'nav master'!$B:$B, 0)), "")</f>
        <v>ULIF 064 12/09/22 EOF 110</v>
      </c>
      <c r="E370" s="8">
        <v>19.6859</v>
      </c>
      <c r="F370" s="9">
        <v>46051</v>
      </c>
    </row>
    <row r="371" spans="1:6" ht="75" x14ac:dyDescent="0.25">
      <c r="A371" s="8" t="s">
        <v>63</v>
      </c>
      <c r="B371" s="11" t="s">
        <v>65</v>
      </c>
      <c r="C371" s="8" t="str">
        <f>IFERROR(_xlfn.XLOOKUP(TRIM(B371),Lookup!$B$2:$B$1000,Lookup!$C$2:$C$1000),"")</f>
        <v>Equity - Mid Cap Oriented</v>
      </c>
      <c r="D371" s="8" t="str">
        <f>IFERROR(INDEX('nav master'!$C:$C, MATCH(B371, 'nav master'!$B:$B, 0)), "")</f>
        <v>ULIF 064 12/09/22 EOF 110</v>
      </c>
      <c r="E371" s="8">
        <v>19.642299999999999</v>
      </c>
      <c r="F371" s="9">
        <v>46052</v>
      </c>
    </row>
    <row r="372" spans="1:6" ht="75" x14ac:dyDescent="0.25">
      <c r="A372" s="8" t="s">
        <v>63</v>
      </c>
      <c r="B372" s="11" t="s">
        <v>65</v>
      </c>
      <c r="C372" s="8" t="str">
        <f>IFERROR(_xlfn.XLOOKUP(TRIM(B372),Lookup!$B$2:$B$1000,Lookup!$C$2:$C$1000),"")</f>
        <v>Equity - Mid Cap Oriented</v>
      </c>
      <c r="D372" s="8" t="str">
        <f>IFERROR(INDEX('nav master'!$C:$C, MATCH(B372, 'nav master'!$B:$B, 0)), "")</f>
        <v>ULIF 064 12/09/22 EOF 110</v>
      </c>
      <c r="E372" s="8">
        <v>19.2545</v>
      </c>
      <c r="F372" s="9">
        <v>46054</v>
      </c>
    </row>
    <row r="373" spans="1:6" ht="75" x14ac:dyDescent="0.25">
      <c r="A373" s="8" t="s">
        <v>63</v>
      </c>
      <c r="B373" s="11" t="s">
        <v>65</v>
      </c>
      <c r="C373" s="8" t="str">
        <f>IFERROR(_xlfn.XLOOKUP(TRIM(B373),Lookup!$B$2:$B$1000,Lookup!$C$2:$C$1000),"")</f>
        <v>Equity - Mid Cap Oriented</v>
      </c>
      <c r="D373" s="8" t="str">
        <f>IFERROR(INDEX('nav master'!$C:$C, MATCH(B373, 'nav master'!$B:$B, 0)), "")</f>
        <v>ULIF 064 12/09/22 EOF 110</v>
      </c>
      <c r="E373" s="8">
        <v>19.3552</v>
      </c>
      <c r="F373" s="9">
        <v>46055</v>
      </c>
    </row>
    <row r="374" spans="1:6" ht="75" x14ac:dyDescent="0.25">
      <c r="A374" s="8" t="s">
        <v>63</v>
      </c>
      <c r="B374" s="11" t="s">
        <v>65</v>
      </c>
      <c r="C374" s="8" t="str">
        <f>IFERROR(_xlfn.XLOOKUP(TRIM(B374),Lookup!$B$2:$B$1000,Lookup!$C$2:$C$1000),"")</f>
        <v>Equity - Mid Cap Oriented</v>
      </c>
      <c r="D374" s="8" t="str">
        <f>IFERROR(INDEX('nav master'!$C:$C, MATCH(B374, 'nav master'!$B:$B, 0)), "")</f>
        <v>ULIF 064 12/09/22 EOF 110</v>
      </c>
      <c r="E374" s="8">
        <v>19.873899999999999</v>
      </c>
      <c r="F374" s="9">
        <v>46056</v>
      </c>
    </row>
    <row r="375" spans="1:6" ht="75" x14ac:dyDescent="0.25">
      <c r="A375" s="8" t="s">
        <v>63</v>
      </c>
      <c r="B375" s="11" t="s">
        <v>65</v>
      </c>
      <c r="C375" s="8" t="str">
        <f>IFERROR(_xlfn.XLOOKUP(TRIM(B375),Lookup!$B$2:$B$1000,Lookup!$C$2:$C$1000),"")</f>
        <v>Equity - Mid Cap Oriented</v>
      </c>
      <c r="D375" s="8" t="str">
        <f>IFERROR(INDEX('nav master'!$C:$C, MATCH(B375, 'nav master'!$B:$B, 0)), "")</f>
        <v>ULIF 064 12/09/22 EOF 110</v>
      </c>
      <c r="E375" s="8">
        <v>19.991499999999998</v>
      </c>
      <c r="F375" s="9">
        <v>46057</v>
      </c>
    </row>
    <row r="376" spans="1:6" ht="75" x14ac:dyDescent="0.25">
      <c r="A376" s="8" t="s">
        <v>63</v>
      </c>
      <c r="B376" s="11" t="s">
        <v>65</v>
      </c>
      <c r="C376" s="8" t="str">
        <f>IFERROR(_xlfn.XLOOKUP(TRIM(B376),Lookup!$B$2:$B$1000,Lookup!$C$2:$C$1000),"")</f>
        <v>Equity - Mid Cap Oriented</v>
      </c>
      <c r="D376" s="8" t="str">
        <f>IFERROR(INDEX('nav master'!$C:$C, MATCH(B376, 'nav master'!$B:$B, 0)), "")</f>
        <v>ULIF 064 12/09/22 EOF 110</v>
      </c>
      <c r="E376" s="8">
        <v>19.942799999999998</v>
      </c>
      <c r="F376" s="9">
        <v>46058</v>
      </c>
    </row>
    <row r="377" spans="1:6" ht="75" x14ac:dyDescent="0.25">
      <c r="A377" s="8" t="s">
        <v>63</v>
      </c>
      <c r="B377" s="11" t="s">
        <v>65</v>
      </c>
      <c r="C377" s="8" t="str">
        <f>IFERROR(_xlfn.XLOOKUP(TRIM(B377),Lookup!$B$2:$B$1000,Lookup!$C$2:$C$1000),"")</f>
        <v>Equity - Mid Cap Oriented</v>
      </c>
      <c r="D377" s="8" t="str">
        <f>IFERROR(INDEX('nav master'!$C:$C, MATCH(B377, 'nav master'!$B:$B, 0)), "")</f>
        <v>ULIF 064 12/09/22 EOF 110</v>
      </c>
      <c r="E377" s="8">
        <v>19.903500000000001</v>
      </c>
      <c r="F377" s="9">
        <v>46059</v>
      </c>
    </row>
    <row r="378" spans="1:6" ht="75" x14ac:dyDescent="0.25">
      <c r="A378" s="8" t="s">
        <v>63</v>
      </c>
      <c r="B378" s="11" t="s">
        <v>65</v>
      </c>
      <c r="C378" s="8" t="str">
        <f>IFERROR(_xlfn.XLOOKUP(TRIM(B378),Lookup!$B$2:$B$1000,Lookup!$C$2:$C$1000),"")</f>
        <v>Equity - Mid Cap Oriented</v>
      </c>
      <c r="D378" s="8" t="str">
        <f>IFERROR(INDEX('nav master'!$C:$C, MATCH(B378, 'nav master'!$B:$B, 0)), "")</f>
        <v>ULIF 064 12/09/22 EOF 110</v>
      </c>
      <c r="E378" s="8">
        <v>20.2059</v>
      </c>
      <c r="F378" s="9">
        <v>46062</v>
      </c>
    </row>
    <row r="379" spans="1:6" ht="75" x14ac:dyDescent="0.25">
      <c r="A379" s="8" t="s">
        <v>63</v>
      </c>
      <c r="B379" s="11" t="s">
        <v>65</v>
      </c>
      <c r="C379" s="8" t="str">
        <f>IFERROR(_xlfn.XLOOKUP(TRIM(B379),Lookup!$B$2:$B$1000,Lookup!$C$2:$C$1000),"")</f>
        <v>Equity - Mid Cap Oriented</v>
      </c>
      <c r="D379" s="8" t="str">
        <f>IFERROR(INDEX('nav master'!$C:$C, MATCH(B379, 'nav master'!$B:$B, 0)), "")</f>
        <v>ULIF 064 12/09/22 EOF 110</v>
      </c>
      <c r="E379" s="8">
        <v>20.2971</v>
      </c>
      <c r="F379" s="9">
        <v>46063</v>
      </c>
    </row>
    <row r="380" spans="1:6" ht="75" x14ac:dyDescent="0.25">
      <c r="A380" s="8" t="s">
        <v>63</v>
      </c>
      <c r="B380" s="11" t="s">
        <v>65</v>
      </c>
      <c r="C380" s="8" t="str">
        <f>IFERROR(_xlfn.XLOOKUP(TRIM(B380),Lookup!$B$2:$B$1000,Lookup!$C$2:$C$1000),"")</f>
        <v>Equity - Mid Cap Oriented</v>
      </c>
      <c r="D380" s="8" t="str">
        <f>IFERROR(INDEX('nav master'!$C:$C, MATCH(B380, 'nav master'!$B:$B, 0)), "")</f>
        <v>ULIF 064 12/09/22 EOF 110</v>
      </c>
      <c r="E380" s="8">
        <v>20.3355</v>
      </c>
      <c r="F380" s="9">
        <v>46064</v>
      </c>
    </row>
    <row r="381" spans="1:6" ht="75" x14ac:dyDescent="0.25">
      <c r="A381" s="8" t="s">
        <v>63</v>
      </c>
      <c r="B381" s="11" t="s">
        <v>65</v>
      </c>
      <c r="C381" s="8" t="str">
        <f>IFERROR(_xlfn.XLOOKUP(TRIM(B381),Lookup!$B$2:$B$1000,Lookup!$C$2:$C$1000),"")</f>
        <v>Equity - Mid Cap Oriented</v>
      </c>
      <c r="D381" s="8" t="str">
        <f>IFERROR(INDEX('nav master'!$C:$C, MATCH(B381, 'nav master'!$B:$B, 0)), "")</f>
        <v>ULIF 064 12/09/22 EOF 110</v>
      </c>
      <c r="E381" s="8">
        <v>20.259899999999998</v>
      </c>
      <c r="F381" s="9">
        <v>46065</v>
      </c>
    </row>
    <row r="382" spans="1:6" ht="75" x14ac:dyDescent="0.25">
      <c r="A382" s="8" t="s">
        <v>63</v>
      </c>
      <c r="B382" s="11" t="s">
        <v>65</v>
      </c>
      <c r="C382" s="8" t="str">
        <f>IFERROR(_xlfn.XLOOKUP(TRIM(B382),Lookup!$B$2:$B$1000,Lookup!$C$2:$C$1000),"")</f>
        <v>Equity - Mid Cap Oriented</v>
      </c>
      <c r="D382" s="8" t="str">
        <f>IFERROR(INDEX('nav master'!$C:$C, MATCH(B382, 'nav master'!$B:$B, 0)), "")</f>
        <v>ULIF 064 12/09/22 EOF 110</v>
      </c>
      <c r="E382" s="8">
        <v>19.959299999999999</v>
      </c>
      <c r="F382" s="9">
        <v>46066</v>
      </c>
    </row>
    <row r="383" spans="1:6" ht="75" x14ac:dyDescent="0.25">
      <c r="A383" s="8" t="s">
        <v>63</v>
      </c>
      <c r="B383" s="11" t="s">
        <v>65</v>
      </c>
      <c r="C383" s="8" t="str">
        <f>IFERROR(_xlfn.XLOOKUP(TRIM(B383),Lookup!$B$2:$B$1000,Lookup!$C$2:$C$1000),"")</f>
        <v>Equity - Mid Cap Oriented</v>
      </c>
      <c r="D383" s="8" t="str">
        <f>IFERROR(INDEX('nav master'!$C:$C, MATCH(B383, 'nav master'!$B:$B, 0)), "")</f>
        <v>ULIF 064 12/09/22 EOF 110</v>
      </c>
      <c r="E383" s="8">
        <v>19.9438</v>
      </c>
      <c r="F383" s="9">
        <v>46069</v>
      </c>
    </row>
    <row r="384" spans="1:6" ht="75" x14ac:dyDescent="0.25">
      <c r="A384" s="8" t="s">
        <v>63</v>
      </c>
      <c r="B384" s="11" t="s">
        <v>65</v>
      </c>
      <c r="C384" s="8" t="str">
        <f>IFERROR(_xlfn.XLOOKUP(TRIM(B384),Lookup!$B$2:$B$1000,Lookup!$C$2:$C$1000),"")</f>
        <v>Equity - Mid Cap Oriented</v>
      </c>
      <c r="D384" s="8" t="str">
        <f>IFERROR(INDEX('nav master'!$C:$C, MATCH(B384, 'nav master'!$B:$B, 0)), "")</f>
        <v>ULIF 064 12/09/22 EOF 110</v>
      </c>
      <c r="E384" s="8">
        <v>19.974</v>
      </c>
      <c r="F384" s="9">
        <v>46070</v>
      </c>
    </row>
    <row r="385" spans="1:6" ht="75" x14ac:dyDescent="0.25">
      <c r="A385" s="8" t="s">
        <v>63</v>
      </c>
      <c r="B385" s="11" t="s">
        <v>65</v>
      </c>
      <c r="C385" s="8" t="str">
        <f>IFERROR(_xlfn.XLOOKUP(TRIM(B385),Lookup!$B$2:$B$1000,Lookup!$C$2:$C$1000),"")</f>
        <v>Equity - Mid Cap Oriented</v>
      </c>
      <c r="D385" s="8" t="str">
        <f>IFERROR(INDEX('nav master'!$C:$C, MATCH(B385, 'nav master'!$B:$B, 0)), "")</f>
        <v>ULIF 064 12/09/22 EOF 110</v>
      </c>
      <c r="E385" s="8">
        <v>20.054600000000001</v>
      </c>
      <c r="F385" s="9">
        <v>46071</v>
      </c>
    </row>
    <row r="386" spans="1:6" ht="75" x14ac:dyDescent="0.25">
      <c r="A386" s="8" t="s">
        <v>63</v>
      </c>
      <c r="B386" s="11" t="s">
        <v>65</v>
      </c>
      <c r="C386" s="8" t="str">
        <f>IFERROR(_xlfn.XLOOKUP(TRIM(B386),Lookup!$B$2:$B$1000,Lookup!$C$2:$C$1000),"")</f>
        <v>Equity - Mid Cap Oriented</v>
      </c>
      <c r="D386" s="8" t="str">
        <f>IFERROR(INDEX('nav master'!$C:$C, MATCH(B386, 'nav master'!$B:$B, 0)), "")</f>
        <v>ULIF 064 12/09/22 EOF 110</v>
      </c>
      <c r="E386" s="8">
        <v>19.7669</v>
      </c>
      <c r="F386" s="9">
        <v>46072</v>
      </c>
    </row>
    <row r="387" spans="1:6" ht="75" x14ac:dyDescent="0.25">
      <c r="A387" s="8" t="s">
        <v>63</v>
      </c>
      <c r="B387" s="11" t="s">
        <v>65</v>
      </c>
      <c r="C387" s="8" t="str">
        <f>IFERROR(_xlfn.XLOOKUP(TRIM(B387),Lookup!$B$2:$B$1000,Lookup!$C$2:$C$1000),"")</f>
        <v>Equity - Mid Cap Oriented</v>
      </c>
      <c r="D387" s="8" t="str">
        <f>IFERROR(INDEX('nav master'!$C:$C, MATCH(B387, 'nav master'!$B:$B, 0)), "")</f>
        <v>ULIF 064 12/09/22 EOF 110</v>
      </c>
      <c r="E387" s="8">
        <v>19.8413</v>
      </c>
      <c r="F387" s="9">
        <v>46073</v>
      </c>
    </row>
    <row r="388" spans="1:6" ht="75" x14ac:dyDescent="0.25">
      <c r="A388" s="8" t="s">
        <v>63</v>
      </c>
      <c r="B388" s="11" t="s">
        <v>65</v>
      </c>
      <c r="C388" s="8" t="str">
        <f>IFERROR(_xlfn.XLOOKUP(TRIM(B388),Lookup!$B$2:$B$1000,Lookup!$C$2:$C$1000),"")</f>
        <v>Equity - Mid Cap Oriented</v>
      </c>
      <c r="D388" s="8" t="str">
        <f>IFERROR(INDEX('nav master'!$C:$C, MATCH(B388, 'nav master'!$B:$B, 0)), "")</f>
        <v>ULIF 064 12/09/22 EOF 110</v>
      </c>
      <c r="E388" s="8">
        <v>19.765499999999999</v>
      </c>
      <c r="F388" s="9">
        <v>46076</v>
      </c>
    </row>
    <row r="389" spans="1:6" ht="75" x14ac:dyDescent="0.25">
      <c r="A389" s="8" t="s">
        <v>63</v>
      </c>
      <c r="B389" s="11" t="s">
        <v>65</v>
      </c>
      <c r="C389" s="8" t="str">
        <f>IFERROR(_xlfn.XLOOKUP(TRIM(B389),Lookup!$B$2:$B$1000,Lookup!$C$2:$C$1000),"")</f>
        <v>Equity - Mid Cap Oriented</v>
      </c>
      <c r="D389" s="8" t="str">
        <f>IFERROR(INDEX('nav master'!$C:$C, MATCH(B389, 'nav master'!$B:$B, 0)), "")</f>
        <v>ULIF 064 12/09/22 EOF 110</v>
      </c>
      <c r="E389" s="8">
        <v>19.5943</v>
      </c>
      <c r="F389" s="9">
        <v>46077</v>
      </c>
    </row>
    <row r="390" spans="1:6" ht="75" x14ac:dyDescent="0.25">
      <c r="A390" s="8" t="s">
        <v>63</v>
      </c>
      <c r="B390" s="11" t="s">
        <v>65</v>
      </c>
      <c r="C390" s="8" t="str">
        <f>IFERROR(_xlfn.XLOOKUP(TRIM(B390),Lookup!$B$2:$B$1000,Lookup!$C$2:$C$1000),"")</f>
        <v>Equity - Mid Cap Oriented</v>
      </c>
      <c r="D390" s="8" t="str">
        <f>IFERROR(INDEX('nav master'!$C:$C, MATCH(B390, 'nav master'!$B:$B, 0)), "")</f>
        <v>ULIF 064 12/09/22 EOF 110</v>
      </c>
      <c r="E390" s="8">
        <v>19.733499999999999</v>
      </c>
      <c r="F390" s="9">
        <v>46078</v>
      </c>
    </row>
    <row r="391" spans="1:6" ht="75" x14ac:dyDescent="0.25">
      <c r="A391" s="8" t="s">
        <v>63</v>
      </c>
      <c r="B391" s="11" t="s">
        <v>65</v>
      </c>
      <c r="C391" s="8" t="str">
        <f>IFERROR(_xlfn.XLOOKUP(TRIM(B391),Lookup!$B$2:$B$1000,Lookup!$C$2:$C$1000),"")</f>
        <v>Equity - Mid Cap Oriented</v>
      </c>
      <c r="D391" s="8" t="str">
        <f>IFERROR(INDEX('nav master'!$C:$C, MATCH(B391, 'nav master'!$B:$B, 0)), "")</f>
        <v>ULIF 064 12/09/22 EOF 110</v>
      </c>
      <c r="E391" s="8">
        <v>19.829000000000001</v>
      </c>
      <c r="F391" s="9">
        <v>46079</v>
      </c>
    </row>
    <row r="392" spans="1:6" ht="75" x14ac:dyDescent="0.25">
      <c r="A392" s="8" t="s">
        <v>63</v>
      </c>
      <c r="B392" s="11" t="s">
        <v>65</v>
      </c>
      <c r="C392" s="8" t="str">
        <f>IFERROR(_xlfn.XLOOKUP(TRIM(B392),Lookup!$B$2:$B$1000,Lookup!$C$2:$C$1000),"")</f>
        <v>Equity - Mid Cap Oriented</v>
      </c>
      <c r="D392" s="8" t="str">
        <f>IFERROR(INDEX('nav master'!$C:$C, MATCH(B392, 'nav master'!$B:$B, 0)), "")</f>
        <v>ULIF 064 12/09/22 EOF 110</v>
      </c>
      <c r="E392" s="8">
        <v>19.7241</v>
      </c>
      <c r="F392" s="9">
        <v>46080</v>
      </c>
    </row>
    <row r="393" spans="1:6" ht="75" x14ac:dyDescent="0.25">
      <c r="A393" s="8" t="s">
        <v>63</v>
      </c>
      <c r="B393" s="11" t="s">
        <v>65</v>
      </c>
      <c r="C393" s="8" t="str">
        <f>IFERROR(_xlfn.XLOOKUP(TRIM(B393),Lookup!$B$2:$B$1000,Lookup!$C$2:$C$1000),"")</f>
        <v>Equity - Mid Cap Oriented</v>
      </c>
      <c r="D393" s="8" t="str">
        <f>IFERROR(INDEX('nav master'!$C:$C, MATCH(B393, 'nav master'!$B:$B, 0)), "")</f>
        <v>ULIF 064 12/09/22 EOF 110</v>
      </c>
      <c r="E393" s="8">
        <v>19.469799999999999</v>
      </c>
      <c r="F393" s="9">
        <v>46083</v>
      </c>
    </row>
    <row r="394" spans="1:6" ht="75" x14ac:dyDescent="0.25">
      <c r="A394" s="8" t="s">
        <v>63</v>
      </c>
      <c r="B394" s="11" t="s">
        <v>65</v>
      </c>
      <c r="C394" s="8" t="str">
        <f>IFERROR(_xlfn.XLOOKUP(TRIM(B394),Lookup!$B$2:$B$1000,Lookup!$C$2:$C$1000),"")</f>
        <v>Equity - Mid Cap Oriented</v>
      </c>
      <c r="D394" s="8" t="str">
        <f>IFERROR(INDEX('nav master'!$C:$C, MATCH(B394, 'nav master'!$B:$B, 0)), "")</f>
        <v>ULIF 064 12/09/22 EOF 110</v>
      </c>
      <c r="E394" s="8">
        <v>19.14</v>
      </c>
      <c r="F394" s="9">
        <v>46085</v>
      </c>
    </row>
    <row r="395" spans="1:6" ht="75" x14ac:dyDescent="0.25">
      <c r="A395" s="8" t="s">
        <v>63</v>
      </c>
      <c r="B395" s="11" t="s">
        <v>65</v>
      </c>
      <c r="C395" s="8" t="str">
        <f>IFERROR(_xlfn.XLOOKUP(TRIM(B395),Lookup!$B$2:$B$1000,Lookup!$C$2:$C$1000),"")</f>
        <v>Equity - Mid Cap Oriented</v>
      </c>
      <c r="D395" s="8" t="str">
        <f>IFERROR(INDEX('nav master'!$C:$C, MATCH(B395, 'nav master'!$B:$B, 0)), "")</f>
        <v>ULIF 064 12/09/22 EOF 110</v>
      </c>
      <c r="E395" s="8">
        <v>19.323599999999999</v>
      </c>
      <c r="F395" s="9">
        <v>46086</v>
      </c>
    </row>
    <row r="396" spans="1:6" ht="75" x14ac:dyDescent="0.25">
      <c r="A396" s="8" t="s">
        <v>63</v>
      </c>
      <c r="B396" s="11" t="s">
        <v>65</v>
      </c>
      <c r="C396" s="8" t="str">
        <f>IFERROR(_xlfn.XLOOKUP(TRIM(B396),Lookup!$B$2:$B$1000,Lookup!$C$2:$C$1000),"")</f>
        <v>Equity - Mid Cap Oriented</v>
      </c>
      <c r="D396" s="8" t="str">
        <f>IFERROR(INDEX('nav master'!$C:$C, MATCH(B396, 'nav master'!$B:$B, 0)), "")</f>
        <v>ULIF 064 12/09/22 EOF 110</v>
      </c>
      <c r="E396" s="8">
        <v>19.203199999999999</v>
      </c>
      <c r="F396" s="9">
        <v>46087</v>
      </c>
    </row>
    <row r="397" spans="1:6" ht="75" x14ac:dyDescent="0.25">
      <c r="A397" s="8" t="s">
        <v>63</v>
      </c>
      <c r="B397" s="11" t="s">
        <v>65</v>
      </c>
      <c r="C397" s="8" t="str">
        <f>IFERROR(_xlfn.XLOOKUP(TRIM(B397),Lookup!$B$2:$B$1000,Lookup!$C$2:$C$1000),"")</f>
        <v>Equity - Mid Cap Oriented</v>
      </c>
      <c r="D397" s="8" t="str">
        <f>IFERROR(INDEX('nav master'!$C:$C, MATCH(B397, 'nav master'!$B:$B, 0)), "")</f>
        <v>ULIF 064 12/09/22 EOF 110</v>
      </c>
      <c r="E397" s="8">
        <v>18.867599999999999</v>
      </c>
      <c r="F397" s="9">
        <v>46090</v>
      </c>
    </row>
    <row r="398" spans="1:6" ht="75" x14ac:dyDescent="0.25">
      <c r="A398" s="8" t="s">
        <v>63</v>
      </c>
      <c r="B398" s="11" t="s">
        <v>65</v>
      </c>
      <c r="C398" s="8" t="str">
        <f>IFERROR(_xlfn.XLOOKUP(TRIM(B398),Lookup!$B$2:$B$1000,Lookup!$C$2:$C$1000),"")</f>
        <v>Equity - Mid Cap Oriented</v>
      </c>
      <c r="D398" s="8" t="str">
        <f>IFERROR(INDEX('nav master'!$C:$C, MATCH(B398, 'nav master'!$B:$B, 0)), "")</f>
        <v>ULIF 064 12/09/22 EOF 110</v>
      </c>
      <c r="E398" s="8">
        <v>19.111799999999999</v>
      </c>
      <c r="F398" s="9">
        <v>46091</v>
      </c>
    </row>
    <row r="399" spans="1:6" ht="75" x14ac:dyDescent="0.25">
      <c r="A399" s="8" t="s">
        <v>63</v>
      </c>
      <c r="B399" s="11" t="s">
        <v>65</v>
      </c>
      <c r="C399" s="8" t="str">
        <f>IFERROR(_xlfn.XLOOKUP(TRIM(B399),Lookup!$B$2:$B$1000,Lookup!$C$2:$C$1000),"")</f>
        <v>Equity - Mid Cap Oriented</v>
      </c>
      <c r="D399" s="8" t="str">
        <f>IFERROR(INDEX('nav master'!$C:$C, MATCH(B399, 'nav master'!$B:$B, 0)), "")</f>
        <v>ULIF 064 12/09/22 EOF 110</v>
      </c>
      <c r="E399" s="8">
        <v>18.953199999999999</v>
      </c>
      <c r="F399" s="9">
        <v>46092</v>
      </c>
    </row>
    <row r="400" spans="1:6" ht="75" x14ac:dyDescent="0.25">
      <c r="A400" s="8" t="s">
        <v>63</v>
      </c>
      <c r="B400" s="11" t="s">
        <v>65</v>
      </c>
      <c r="C400" s="8" t="str">
        <f>IFERROR(_xlfn.XLOOKUP(TRIM(B400),Lookup!$B$2:$B$1000,Lookup!$C$2:$C$1000),"")</f>
        <v>Equity - Mid Cap Oriented</v>
      </c>
      <c r="D400" s="8" t="str">
        <f>IFERROR(INDEX('nav master'!$C:$C, MATCH(B400, 'nav master'!$B:$B, 0)), "")</f>
        <v>ULIF 064 12/09/22 EOF 110</v>
      </c>
      <c r="E400" s="8">
        <v>18.8917</v>
      </c>
      <c r="F400" s="9">
        <v>46093</v>
      </c>
    </row>
    <row r="401" spans="1:6" ht="75" x14ac:dyDescent="0.25">
      <c r="A401" s="8" t="s">
        <v>63</v>
      </c>
      <c r="B401" s="11" t="s">
        <v>65</v>
      </c>
      <c r="C401" s="8" t="str">
        <f>IFERROR(_xlfn.XLOOKUP(TRIM(B401),Lookup!$B$2:$B$1000,Lookup!$C$2:$C$1000),"")</f>
        <v>Equity - Mid Cap Oriented</v>
      </c>
      <c r="D401" s="8" t="str">
        <f>IFERROR(INDEX('nav master'!$C:$C, MATCH(B401, 'nav master'!$B:$B, 0)), "")</f>
        <v>ULIF 064 12/09/22 EOF 110</v>
      </c>
      <c r="E401" s="8">
        <v>18.4451</v>
      </c>
      <c r="F401" s="9">
        <v>46094</v>
      </c>
    </row>
    <row r="402" spans="1:6" ht="75" x14ac:dyDescent="0.25">
      <c r="A402" s="8" t="s">
        <v>63</v>
      </c>
      <c r="B402" s="11" t="s">
        <v>65</v>
      </c>
      <c r="C402" s="8" t="str">
        <f>IFERROR(_xlfn.XLOOKUP(TRIM(B402),Lookup!$B$2:$B$1000,Lookup!$C$2:$C$1000),"")</f>
        <v>Equity - Mid Cap Oriented</v>
      </c>
      <c r="D402" s="8" t="str">
        <f>IFERROR(INDEX('nav master'!$C:$C, MATCH(B402, 'nav master'!$B:$B, 0)), "")</f>
        <v>ULIF 064 12/09/22 EOF 110</v>
      </c>
      <c r="E402" s="8">
        <v>18.4985</v>
      </c>
      <c r="F402" s="9">
        <v>46097</v>
      </c>
    </row>
    <row r="403" spans="1:6" ht="75" x14ac:dyDescent="0.25">
      <c r="A403" s="8" t="s">
        <v>63</v>
      </c>
      <c r="B403" s="11" t="s">
        <v>65</v>
      </c>
      <c r="C403" s="8" t="str">
        <f>IFERROR(_xlfn.XLOOKUP(TRIM(B403),Lookup!$B$2:$B$1000,Lookup!$C$2:$C$1000),"")</f>
        <v>Equity - Mid Cap Oriented</v>
      </c>
      <c r="D403" s="8" t="str">
        <f>IFERROR(INDEX('nav master'!$C:$C, MATCH(B403, 'nav master'!$B:$B, 0)), "")</f>
        <v>ULIF 064 12/09/22 EOF 110</v>
      </c>
      <c r="E403" s="8">
        <v>18.693899999999999</v>
      </c>
      <c r="F403" s="9">
        <v>46098</v>
      </c>
    </row>
    <row r="404" spans="1:6" ht="75" x14ac:dyDescent="0.25">
      <c r="A404" s="8" t="s">
        <v>63</v>
      </c>
      <c r="B404" s="11" t="s">
        <v>65</v>
      </c>
      <c r="C404" s="8" t="str">
        <f>IFERROR(_xlfn.XLOOKUP(TRIM(B404),Lookup!$B$2:$B$1000,Lookup!$C$2:$C$1000),"")</f>
        <v>Equity - Mid Cap Oriented</v>
      </c>
      <c r="D404" s="8" t="str">
        <f>IFERROR(INDEX('nav master'!$C:$C, MATCH(B404, 'nav master'!$B:$B, 0)), "")</f>
        <v>ULIF 064 12/09/22 EOF 110</v>
      </c>
      <c r="E404" s="8">
        <v>19.001899999999999</v>
      </c>
      <c r="F404" s="9">
        <v>46099</v>
      </c>
    </row>
    <row r="405" spans="1:6" ht="75" x14ac:dyDescent="0.25">
      <c r="A405" s="8" t="s">
        <v>63</v>
      </c>
      <c r="B405" s="11" t="s">
        <v>65</v>
      </c>
      <c r="C405" s="8" t="str">
        <f>IFERROR(_xlfn.XLOOKUP(TRIM(B405),Lookup!$B$2:$B$1000,Lookup!$C$2:$C$1000),"")</f>
        <v>Equity - Mid Cap Oriented</v>
      </c>
      <c r="D405" s="8" t="str">
        <f>IFERROR(INDEX('nav master'!$C:$C, MATCH(B405, 'nav master'!$B:$B, 0)), "")</f>
        <v>ULIF 064 12/09/22 EOF 110</v>
      </c>
      <c r="E405" s="8">
        <v>18.423200000000001</v>
      </c>
      <c r="F405" s="9">
        <v>46100</v>
      </c>
    </row>
    <row r="406" spans="1:6" ht="75" x14ac:dyDescent="0.25">
      <c r="A406" s="8" t="s">
        <v>63</v>
      </c>
      <c r="B406" s="11" t="s">
        <v>65</v>
      </c>
      <c r="C406" s="8" t="str">
        <f>IFERROR(_xlfn.XLOOKUP(TRIM(B406),Lookup!$B$2:$B$1000,Lookup!$C$2:$C$1000),"")</f>
        <v>Equity - Mid Cap Oriented</v>
      </c>
      <c r="D406" s="8" t="str">
        <f>IFERROR(INDEX('nav master'!$C:$C, MATCH(B406, 'nav master'!$B:$B, 0)), "")</f>
        <v>ULIF 064 12/09/22 EOF 110</v>
      </c>
      <c r="E406" s="8">
        <v>18.523599999999998</v>
      </c>
      <c r="F406" s="9">
        <v>46101</v>
      </c>
    </row>
    <row r="407" spans="1:6" ht="75" x14ac:dyDescent="0.25">
      <c r="A407" s="8" t="s">
        <v>63</v>
      </c>
      <c r="B407" s="11" t="s">
        <v>65</v>
      </c>
      <c r="C407" s="8" t="str">
        <f>IFERROR(_xlfn.XLOOKUP(TRIM(B407),Lookup!$B$2:$B$1000,Lookup!$C$2:$C$1000),"")</f>
        <v>Equity - Mid Cap Oriented</v>
      </c>
      <c r="D407" s="8" t="str">
        <f>IFERROR(INDEX('nav master'!$C:$C, MATCH(B407, 'nav master'!$B:$B, 0)), "")</f>
        <v>ULIF 064 12/09/22 EOF 110</v>
      </c>
      <c r="E407" s="8">
        <v>17.875399999999999</v>
      </c>
      <c r="F407" s="9">
        <v>46104</v>
      </c>
    </row>
    <row r="408" spans="1:6" ht="75" x14ac:dyDescent="0.25">
      <c r="A408" s="8" t="s">
        <v>63</v>
      </c>
      <c r="B408" s="11" t="s">
        <v>65</v>
      </c>
      <c r="C408" s="8" t="str">
        <f>IFERROR(_xlfn.XLOOKUP(TRIM(B408),Lookup!$B$2:$B$1000,Lookup!$C$2:$C$1000),"")</f>
        <v>Equity - Mid Cap Oriented</v>
      </c>
      <c r="D408" s="8" t="str">
        <f>IFERROR(INDEX('nav master'!$C:$C, MATCH(B408, 'nav master'!$B:$B, 0)), "")</f>
        <v>ULIF 064 12/09/22 EOF 110</v>
      </c>
      <c r="E408" s="8">
        <v>18.311</v>
      </c>
      <c r="F408" s="9">
        <v>46105</v>
      </c>
    </row>
    <row r="409" spans="1:6" ht="75" x14ac:dyDescent="0.25">
      <c r="A409" s="8" t="s">
        <v>63</v>
      </c>
      <c r="B409" s="11" t="s">
        <v>65</v>
      </c>
      <c r="C409" s="8" t="str">
        <f>IFERROR(_xlfn.XLOOKUP(TRIM(B409),Lookup!$B$2:$B$1000,Lookup!$C$2:$C$1000),"")</f>
        <v>Equity - Mid Cap Oriented</v>
      </c>
      <c r="D409" s="8" t="str">
        <f>IFERROR(INDEX('nav master'!$C:$C, MATCH(B409, 'nav master'!$B:$B, 0)), "")</f>
        <v>ULIF 064 12/09/22 EOF 110</v>
      </c>
      <c r="E409" s="8">
        <v>18.632999999999999</v>
      </c>
      <c r="F409" s="9">
        <v>46106</v>
      </c>
    </row>
    <row r="410" spans="1:6" ht="75" x14ac:dyDescent="0.25">
      <c r="A410" s="8" t="s">
        <v>63</v>
      </c>
      <c r="B410" s="11" t="s">
        <v>65</v>
      </c>
      <c r="C410" s="8" t="str">
        <f>IFERROR(_xlfn.XLOOKUP(TRIM(B410),Lookup!$B$2:$B$1000,Lookup!$C$2:$C$1000),"")</f>
        <v>Equity - Mid Cap Oriented</v>
      </c>
      <c r="D410" s="8" t="str">
        <f>IFERROR(INDEX('nav master'!$C:$C, MATCH(B410, 'nav master'!$B:$B, 0)), "")</f>
        <v>ULIF 064 12/09/22 EOF 110</v>
      </c>
      <c r="E410" s="8">
        <v>18.281300000000002</v>
      </c>
      <c r="F410" s="9">
        <v>46108</v>
      </c>
    </row>
    <row r="411" spans="1:6" ht="75" x14ac:dyDescent="0.25">
      <c r="A411" s="8" t="s">
        <v>63</v>
      </c>
      <c r="B411" s="11" t="s">
        <v>65</v>
      </c>
      <c r="C411" s="8" t="str">
        <f>IFERROR(_xlfn.XLOOKUP(TRIM(B411),Lookup!$B$2:$B$1000,Lookup!$C$2:$C$1000),"")</f>
        <v>Equity - Mid Cap Oriented</v>
      </c>
      <c r="D411" s="8" t="str">
        <f>IFERROR(INDEX('nav master'!$C:$C, MATCH(B411, 'nav master'!$B:$B, 0)), "")</f>
        <v>ULIF 064 12/09/22 EOF 110</v>
      </c>
      <c r="E411" s="8">
        <v>17.844200000000001</v>
      </c>
      <c r="F411" s="9">
        <v>46111</v>
      </c>
    </row>
    <row r="412" spans="1:6" ht="75" x14ac:dyDescent="0.25">
      <c r="A412" s="8" t="s">
        <v>63</v>
      </c>
      <c r="B412" s="11" t="s">
        <v>65</v>
      </c>
      <c r="C412" s="8" t="str">
        <f>IFERROR(_xlfn.XLOOKUP(TRIM(B412),Lookup!$B$2:$B$1000,Lookup!$C$2:$C$1000),"")</f>
        <v>Equity - Mid Cap Oriented</v>
      </c>
      <c r="D412" s="8" t="str">
        <f>IFERROR(INDEX('nav master'!$C:$C, MATCH(B412, 'nav master'!$B:$B, 0)), "")</f>
        <v>ULIF 064 12/09/22 EOF 110</v>
      </c>
      <c r="E412" s="8">
        <v>17.843900000000001</v>
      </c>
      <c r="F412" s="9">
        <v>46112</v>
      </c>
    </row>
    <row r="413" spans="1:6" ht="75" x14ac:dyDescent="0.25">
      <c r="A413" s="8" t="s">
        <v>63</v>
      </c>
      <c r="B413" s="11" t="s">
        <v>65</v>
      </c>
      <c r="C413" s="8" t="str">
        <f>IFERROR(_xlfn.XLOOKUP(TRIM(B413),Lookup!$B$2:$B$1000,Lookup!$C$2:$C$1000),"")</f>
        <v>Equity - Mid Cap Oriented</v>
      </c>
      <c r="D413" s="8" t="str">
        <f>IFERROR(INDEX('nav master'!$C:$C, MATCH(B413, 'nav master'!$B:$B, 0)), "")</f>
        <v>ULIF 064 12/09/22 EOF 110</v>
      </c>
      <c r="E413" s="8">
        <v>18.185099999999998</v>
      </c>
      <c r="F413" s="9">
        <v>46113</v>
      </c>
    </row>
    <row r="414" spans="1:6" ht="75" x14ac:dyDescent="0.25">
      <c r="A414" s="8" t="s">
        <v>63</v>
      </c>
      <c r="B414" s="11" t="s">
        <v>65</v>
      </c>
      <c r="C414" s="8" t="str">
        <f>IFERROR(_xlfn.XLOOKUP(TRIM(B414),Lookup!$B$2:$B$1000,Lookup!$C$2:$C$1000),"")</f>
        <v>Equity - Mid Cap Oriented</v>
      </c>
      <c r="D414" s="8" t="str">
        <f>IFERROR(INDEX('nav master'!$C:$C, MATCH(B414, 'nav master'!$B:$B, 0)), "")</f>
        <v>ULIF 064 12/09/22 EOF 110</v>
      </c>
      <c r="E414" s="8">
        <v>18.125699999999998</v>
      </c>
      <c r="F414" s="9">
        <v>46114</v>
      </c>
    </row>
    <row r="415" spans="1:6" ht="75" x14ac:dyDescent="0.25">
      <c r="A415" s="8" t="s">
        <v>63</v>
      </c>
      <c r="B415" s="11" t="s">
        <v>65</v>
      </c>
      <c r="C415" s="8" t="str">
        <f>IFERROR(_xlfn.XLOOKUP(TRIM(B415),Lookup!$B$2:$B$1000,Lookup!$C$2:$C$1000),"")</f>
        <v>Equity - Mid Cap Oriented</v>
      </c>
      <c r="D415" s="8" t="str">
        <f>IFERROR(INDEX('nav master'!$C:$C, MATCH(B415, 'nav master'!$B:$B, 0)), "")</f>
        <v>ULIF 064 12/09/22 EOF 110</v>
      </c>
      <c r="E415" s="8">
        <v>18.353200000000001</v>
      </c>
      <c r="F415" s="9">
        <v>46118</v>
      </c>
    </row>
    <row r="416" spans="1:6" ht="75" x14ac:dyDescent="0.25">
      <c r="A416" s="8" t="s">
        <v>63</v>
      </c>
      <c r="B416" s="11" t="s">
        <v>65</v>
      </c>
      <c r="C416" s="8" t="str">
        <f>IFERROR(_xlfn.XLOOKUP(TRIM(B416),Lookup!$B$2:$B$1000,Lookup!$C$2:$C$1000),"")</f>
        <v>Equity - Mid Cap Oriented</v>
      </c>
      <c r="D416" s="8" t="str">
        <f>IFERROR(INDEX('nav master'!$C:$C, MATCH(B416, 'nav master'!$B:$B, 0)), "")</f>
        <v>ULIF 064 12/09/22 EOF 110</v>
      </c>
      <c r="E416" s="8">
        <v>18.375900000000001</v>
      </c>
      <c r="F416" s="9">
        <v>46119</v>
      </c>
    </row>
    <row r="417" spans="1:6" ht="75" x14ac:dyDescent="0.25">
      <c r="A417" s="8" t="s">
        <v>63</v>
      </c>
      <c r="B417" s="11" t="s">
        <v>65</v>
      </c>
      <c r="C417" s="8" t="str">
        <f>IFERROR(_xlfn.XLOOKUP(TRIM(B417),Lookup!$B$2:$B$1000,Lookup!$C$2:$C$1000),"")</f>
        <v>Equity - Mid Cap Oriented</v>
      </c>
      <c r="D417" s="8" t="str">
        <f>IFERROR(INDEX('nav master'!$C:$C, MATCH(B417, 'nav master'!$B:$B, 0)), "")</f>
        <v>ULIF 064 12/09/22 EOF 110</v>
      </c>
      <c r="E417" s="8">
        <v>19.121300000000002</v>
      </c>
      <c r="F417" s="9">
        <v>46120</v>
      </c>
    </row>
    <row r="418" spans="1:6" ht="75" x14ac:dyDescent="0.25">
      <c r="A418" s="8" t="s">
        <v>63</v>
      </c>
      <c r="B418" s="11" t="s">
        <v>65</v>
      </c>
      <c r="C418" s="8" t="str">
        <f>IFERROR(_xlfn.XLOOKUP(TRIM(B418),Lookup!$B$2:$B$1000,Lookup!$C$2:$C$1000),"")</f>
        <v>Equity - Mid Cap Oriented</v>
      </c>
      <c r="D418" s="8" t="str">
        <f>IFERROR(INDEX('nav master'!$C:$C, MATCH(B418, 'nav master'!$B:$B, 0)), "")</f>
        <v>ULIF 064 12/09/22 EOF 110</v>
      </c>
      <c r="E418" s="8">
        <v>19.107199999999999</v>
      </c>
      <c r="F418" s="9">
        <v>46121</v>
      </c>
    </row>
    <row r="419" spans="1:6" ht="75" x14ac:dyDescent="0.25">
      <c r="A419" s="8" t="s">
        <v>63</v>
      </c>
      <c r="B419" s="11" t="s">
        <v>65</v>
      </c>
      <c r="C419" s="8" t="str">
        <f>IFERROR(_xlfn.XLOOKUP(TRIM(B419),Lookup!$B$2:$B$1000,Lookup!$C$2:$C$1000),"")</f>
        <v>Equity - Mid Cap Oriented</v>
      </c>
      <c r="D419" s="8" t="str">
        <f>IFERROR(INDEX('nav master'!$C:$C, MATCH(B419, 'nav master'!$B:$B, 0)), "")</f>
        <v>ULIF 064 12/09/22 EOF 110</v>
      </c>
      <c r="E419" s="8">
        <v>19.317900000000002</v>
      </c>
      <c r="F419" s="9">
        <v>46122</v>
      </c>
    </row>
    <row r="420" spans="1:6" ht="75" x14ac:dyDescent="0.25">
      <c r="A420" s="8" t="s">
        <v>63</v>
      </c>
      <c r="B420" s="11" t="s">
        <v>65</v>
      </c>
      <c r="C420" s="8" t="str">
        <f>IFERROR(_xlfn.XLOOKUP(TRIM(B420),Lookup!$B$2:$B$1000,Lookup!$C$2:$C$1000),"")</f>
        <v>Equity - Mid Cap Oriented</v>
      </c>
      <c r="D420" s="8" t="str">
        <f>IFERROR(INDEX('nav master'!$C:$C, MATCH(B420, 'nav master'!$B:$B, 0)), "")</f>
        <v>ULIF 064 12/09/22 EOF 110</v>
      </c>
      <c r="E420" s="8">
        <v>19.192299999999999</v>
      </c>
      <c r="F420" s="9">
        <v>46125</v>
      </c>
    </row>
    <row r="421" spans="1:6" ht="75" x14ac:dyDescent="0.25">
      <c r="A421" s="8" t="s">
        <v>63</v>
      </c>
      <c r="B421" s="11" t="s">
        <v>65</v>
      </c>
      <c r="C421" s="8" t="str">
        <f>IFERROR(_xlfn.XLOOKUP(TRIM(B421),Lookup!$B$2:$B$1000,Lookup!$C$2:$C$1000),"")</f>
        <v>Equity - Mid Cap Oriented</v>
      </c>
      <c r="D421" s="8" t="str">
        <f>IFERROR(INDEX('nav master'!$C:$C, MATCH(B421, 'nav master'!$B:$B, 0)), "")</f>
        <v>ULIF 064 12/09/22 EOF 110</v>
      </c>
      <c r="E421" s="8">
        <v>19.613199999999999</v>
      </c>
      <c r="F421" s="9">
        <v>46127</v>
      </c>
    </row>
    <row r="422" spans="1:6" ht="75" x14ac:dyDescent="0.25">
      <c r="A422" s="8" t="s">
        <v>63</v>
      </c>
      <c r="B422" s="11" t="s">
        <v>65</v>
      </c>
      <c r="C422" s="8" t="str">
        <f>IFERROR(_xlfn.XLOOKUP(TRIM(B422),Lookup!$B$2:$B$1000,Lookup!$C$2:$C$1000),"")</f>
        <v>Equity - Mid Cap Oriented</v>
      </c>
      <c r="D422" s="8" t="str">
        <f>IFERROR(INDEX('nav master'!$C:$C, MATCH(B422, 'nav master'!$B:$B, 0)), "")</f>
        <v>ULIF 064 12/09/22 EOF 110</v>
      </c>
      <c r="E422" s="8">
        <v>19.796500000000002</v>
      </c>
      <c r="F422" s="9">
        <v>46128</v>
      </c>
    </row>
    <row r="423" spans="1:6" ht="75" x14ac:dyDescent="0.25">
      <c r="A423" s="8" t="s">
        <v>63</v>
      </c>
      <c r="B423" s="11" t="s">
        <v>65</v>
      </c>
      <c r="C423" s="8" t="str">
        <f>IFERROR(_xlfn.XLOOKUP(TRIM(B423),Lookup!$B$2:$B$1000,Lookup!$C$2:$C$1000),"")</f>
        <v>Equity - Mid Cap Oriented</v>
      </c>
      <c r="D423" s="8" t="str">
        <f>IFERROR(INDEX('nav master'!$C:$C, MATCH(B423, 'nav master'!$B:$B, 0)), "")</f>
        <v>ULIF 064 12/09/22 EOF 110</v>
      </c>
      <c r="E423" s="8">
        <v>19.992000000000001</v>
      </c>
      <c r="F423" s="9">
        <v>46129</v>
      </c>
    </row>
    <row r="424" spans="1:6" ht="75" x14ac:dyDescent="0.25">
      <c r="A424" s="8" t="s">
        <v>63</v>
      </c>
      <c r="B424" s="11" t="s">
        <v>65</v>
      </c>
      <c r="C424" s="8" t="str">
        <f>IFERROR(_xlfn.XLOOKUP(TRIM(B424),Lookup!$B$2:$B$1000,Lookup!$C$2:$C$1000),"")</f>
        <v>Equity - Mid Cap Oriented</v>
      </c>
      <c r="D424" s="8" t="str">
        <f>IFERROR(INDEX('nav master'!$C:$C, MATCH(B424, 'nav master'!$B:$B, 0)), "")</f>
        <v>ULIF 064 12/09/22 EOF 110</v>
      </c>
      <c r="E424" s="8">
        <v>20.012</v>
      </c>
      <c r="F424" s="9">
        <v>46132</v>
      </c>
    </row>
    <row r="425" spans="1:6" ht="75" x14ac:dyDescent="0.25">
      <c r="A425" s="8" t="s">
        <v>63</v>
      </c>
      <c r="B425" s="11" t="s">
        <v>65</v>
      </c>
      <c r="C425" s="8" t="str">
        <f>IFERROR(_xlfn.XLOOKUP(TRIM(B425),Lookup!$B$2:$B$1000,Lookup!$C$2:$C$1000),"")</f>
        <v>Equity - Mid Cap Oriented</v>
      </c>
      <c r="D425" s="8" t="str">
        <f>IFERROR(INDEX('nav master'!$C:$C, MATCH(B425, 'nav master'!$B:$B, 0)), "")</f>
        <v>ULIF 064 12/09/22 EOF 110</v>
      </c>
      <c r="E425" s="8">
        <v>20.125399999999999</v>
      </c>
      <c r="F425" s="9">
        <v>46133</v>
      </c>
    </row>
    <row r="426" spans="1:6" ht="75" x14ac:dyDescent="0.25">
      <c r="A426" s="8" t="s">
        <v>63</v>
      </c>
      <c r="B426" s="11" t="s">
        <v>65</v>
      </c>
      <c r="C426" s="8" t="str">
        <f>IFERROR(_xlfn.XLOOKUP(TRIM(B426),Lookup!$B$2:$B$1000,Lookup!$C$2:$C$1000),"")</f>
        <v>Equity - Mid Cap Oriented</v>
      </c>
      <c r="D426" s="8" t="str">
        <f>IFERROR(INDEX('nav master'!$C:$C, MATCH(B426, 'nav master'!$B:$B, 0)), "")</f>
        <v>ULIF 064 12/09/22 EOF 110</v>
      </c>
      <c r="E426" s="8">
        <v>20.1722</v>
      </c>
      <c r="F426" s="9">
        <v>46134</v>
      </c>
    </row>
    <row r="427" spans="1:6" ht="75" x14ac:dyDescent="0.25">
      <c r="A427" s="8" t="s">
        <v>63</v>
      </c>
      <c r="B427" s="11" t="s">
        <v>65</v>
      </c>
      <c r="C427" s="8" t="str">
        <f>IFERROR(_xlfn.XLOOKUP(TRIM(B427),Lookup!$B$2:$B$1000,Lookup!$C$2:$C$1000),"")</f>
        <v>Equity - Mid Cap Oriented</v>
      </c>
      <c r="D427" s="8" t="str">
        <f>IFERROR(INDEX('nav master'!$C:$C, MATCH(B427, 'nav master'!$B:$B, 0)), "")</f>
        <v>ULIF 064 12/09/22 EOF 110</v>
      </c>
      <c r="E427" s="8">
        <v>20.029</v>
      </c>
      <c r="F427" s="9">
        <v>46135</v>
      </c>
    </row>
    <row r="428" spans="1:6" ht="75" x14ac:dyDescent="0.25">
      <c r="A428" s="8" t="s">
        <v>63</v>
      </c>
      <c r="B428" s="11" t="s">
        <v>65</v>
      </c>
      <c r="C428" s="8" t="str">
        <f>IFERROR(_xlfn.XLOOKUP(TRIM(B428),Lookup!$B$2:$B$1000,Lookup!$C$2:$C$1000),"")</f>
        <v>Equity - Mid Cap Oriented</v>
      </c>
      <c r="D428" s="8" t="str">
        <f>IFERROR(INDEX('nav master'!$C:$C, MATCH(B428, 'nav master'!$B:$B, 0)), "")</f>
        <v>ULIF 064 12/09/22 EOF 110</v>
      </c>
      <c r="E428" s="8">
        <v>19.831199999999999</v>
      </c>
      <c r="F428" s="9">
        <v>46136</v>
      </c>
    </row>
    <row r="429" spans="1:6" ht="75" x14ac:dyDescent="0.25">
      <c r="A429" s="8" t="s">
        <v>63</v>
      </c>
      <c r="B429" s="11" t="s">
        <v>65</v>
      </c>
      <c r="C429" s="8" t="str">
        <f>IFERROR(_xlfn.XLOOKUP(TRIM(B429),Lookup!$B$2:$B$1000,Lookup!$C$2:$C$1000),"")</f>
        <v>Equity - Mid Cap Oriented</v>
      </c>
      <c r="D429" s="8" t="str">
        <f>IFERROR(INDEX('nav master'!$C:$C, MATCH(B429, 'nav master'!$B:$B, 0)), "")</f>
        <v>ULIF 064 12/09/22 EOF 110</v>
      </c>
      <c r="E429" s="8">
        <v>20.133199999999999</v>
      </c>
      <c r="F429" s="9">
        <v>46139</v>
      </c>
    </row>
    <row r="430" spans="1:6" ht="75" x14ac:dyDescent="0.25">
      <c r="A430" s="8" t="s">
        <v>63</v>
      </c>
      <c r="B430" s="11" t="s">
        <v>65</v>
      </c>
      <c r="C430" s="8" t="str">
        <f>IFERROR(_xlfn.XLOOKUP(TRIM(B430),Lookup!$B$2:$B$1000,Lookup!$C$2:$C$1000),"")</f>
        <v>Equity - Mid Cap Oriented</v>
      </c>
      <c r="D430" s="8" t="str">
        <f>IFERROR(INDEX('nav master'!$C:$C, MATCH(B430, 'nav master'!$B:$B, 0)), "")</f>
        <v>ULIF 064 12/09/22 EOF 110</v>
      </c>
      <c r="E430" s="8">
        <v>20.137699999999999</v>
      </c>
      <c r="F430" s="9">
        <v>46140</v>
      </c>
    </row>
    <row r="431" spans="1:6" ht="75" x14ac:dyDescent="0.25">
      <c r="A431" s="8" t="s">
        <v>63</v>
      </c>
      <c r="B431" s="11" t="s">
        <v>65</v>
      </c>
      <c r="C431" s="8" t="str">
        <f>IFERROR(_xlfn.XLOOKUP(TRIM(B431),Lookup!$B$2:$B$1000,Lookup!$C$2:$C$1000),"")</f>
        <v>Equity - Mid Cap Oriented</v>
      </c>
      <c r="D431" s="8" t="str">
        <f>IFERROR(INDEX('nav master'!$C:$C, MATCH(B431, 'nav master'!$B:$B, 0)), "")</f>
        <v>ULIF 064 12/09/22 EOF 110</v>
      </c>
      <c r="E431" s="8">
        <v>20.139800000000001</v>
      </c>
      <c r="F431" s="9">
        <v>46141</v>
      </c>
    </row>
    <row r="432" spans="1:6" ht="75" x14ac:dyDescent="0.25">
      <c r="A432" s="8" t="s">
        <v>63</v>
      </c>
      <c r="B432" s="11" t="s">
        <v>65</v>
      </c>
      <c r="C432" s="8" t="str">
        <f>IFERROR(_xlfn.XLOOKUP(TRIM(B432),Lookup!$B$2:$B$1000,Lookup!$C$2:$C$1000),"")</f>
        <v>Equity - Mid Cap Oriented</v>
      </c>
      <c r="D432" s="8" t="str">
        <f>IFERROR(INDEX('nav master'!$C:$C, MATCH(B432, 'nav master'!$B:$B, 0)), "")</f>
        <v>ULIF 064 12/09/22 EOF 110</v>
      </c>
      <c r="E432" s="8">
        <v>19.972200000000001</v>
      </c>
      <c r="F432" s="9">
        <v>46142</v>
      </c>
    </row>
    <row r="433" spans="1:6" ht="75" x14ac:dyDescent="0.25">
      <c r="A433" s="8" t="s">
        <v>63</v>
      </c>
      <c r="B433" s="11" t="s">
        <v>65</v>
      </c>
      <c r="C433" s="8" t="str">
        <f>IFERROR(_xlfn.XLOOKUP(TRIM(B433),Lookup!$B$2:$B$1000,Lookup!$C$2:$C$1000),"")</f>
        <v>Equity - Mid Cap Oriented</v>
      </c>
      <c r="D433" s="8" t="str">
        <f>IFERROR(INDEX('nav master'!$C:$C, MATCH(B433, 'nav master'!$B:$B, 0)), "")</f>
        <v>ULIF 064 12/09/22 EOF 110</v>
      </c>
      <c r="E433" s="8">
        <v>20.1449</v>
      </c>
      <c r="F433" s="9">
        <v>46146</v>
      </c>
    </row>
    <row r="434" spans="1:6" ht="75" x14ac:dyDescent="0.25">
      <c r="A434" s="8" t="s">
        <v>63</v>
      </c>
      <c r="B434" s="11" t="s">
        <v>65</v>
      </c>
      <c r="C434" s="8" t="str">
        <f>IFERROR(_xlfn.XLOOKUP(TRIM(B434),Lookup!$B$2:$B$1000,Lookup!$C$2:$C$1000),"")</f>
        <v>Equity - Mid Cap Oriented</v>
      </c>
      <c r="D434" s="8" t="str">
        <f>IFERROR(INDEX('nav master'!$C:$C, MATCH(B434, 'nav master'!$B:$B, 0)), "")</f>
        <v>ULIF 064 12/09/22 EOF 110</v>
      </c>
      <c r="E434" s="8">
        <v>20.079499999999999</v>
      </c>
      <c r="F434" s="9">
        <v>46147</v>
      </c>
    </row>
    <row r="435" spans="1:6" ht="75" x14ac:dyDescent="0.25">
      <c r="A435" s="8" t="s">
        <v>63</v>
      </c>
      <c r="B435" s="11" t="s">
        <v>65</v>
      </c>
      <c r="C435" s="8" t="str">
        <f>IFERROR(_xlfn.XLOOKUP(TRIM(B435),Lookup!$B$2:$B$1000,Lookup!$C$2:$C$1000),"")</f>
        <v>Equity - Mid Cap Oriented</v>
      </c>
      <c r="D435" s="8" t="str">
        <f>IFERROR(INDEX('nav master'!$C:$C, MATCH(B435, 'nav master'!$B:$B, 0)), "")</f>
        <v>ULIF 064 12/09/22 EOF 110</v>
      </c>
      <c r="E435" s="8">
        <v>20.475899999999999</v>
      </c>
      <c r="F435" s="9">
        <v>46148</v>
      </c>
    </row>
    <row r="436" spans="1:6" ht="75" x14ac:dyDescent="0.25">
      <c r="A436" s="8" t="s">
        <v>63</v>
      </c>
      <c r="B436" s="11" t="s">
        <v>65</v>
      </c>
      <c r="C436" s="8" t="str">
        <f>IFERROR(_xlfn.XLOOKUP(TRIM(B436),Lookup!$B$2:$B$1000,Lookup!$C$2:$C$1000),"")</f>
        <v>Equity - Mid Cap Oriented</v>
      </c>
      <c r="D436" s="8" t="str">
        <f>IFERROR(INDEX('nav master'!$C:$C, MATCH(B436, 'nav master'!$B:$B, 0)), "")</f>
        <v>ULIF 064 12/09/22 EOF 110</v>
      </c>
      <c r="E436" s="8">
        <v>20.610600000000002</v>
      </c>
      <c r="F436" s="9">
        <v>46149</v>
      </c>
    </row>
    <row r="437" spans="1:6" ht="75" x14ac:dyDescent="0.25">
      <c r="A437" s="8" t="s">
        <v>63</v>
      </c>
      <c r="B437" s="11" t="s">
        <v>65</v>
      </c>
      <c r="C437" s="8" t="str">
        <f>IFERROR(_xlfn.XLOOKUP(TRIM(B437),Lookup!$B$2:$B$1000,Lookup!$C$2:$C$1000),"")</f>
        <v>Equity - Mid Cap Oriented</v>
      </c>
      <c r="D437" s="8" t="str">
        <f>IFERROR(INDEX('nav master'!$C:$C, MATCH(B437, 'nav master'!$B:$B, 0)), "")</f>
        <v>ULIF 064 12/09/22 EOF 110</v>
      </c>
      <c r="E437" s="8">
        <v>20.616</v>
      </c>
      <c r="F437" s="9">
        <v>46150</v>
      </c>
    </row>
    <row r="438" spans="1:6" ht="75" x14ac:dyDescent="0.25">
      <c r="A438" s="8" t="s">
        <v>63</v>
      </c>
      <c r="B438" s="11" t="s">
        <v>65</v>
      </c>
      <c r="C438" s="8" t="str">
        <f>IFERROR(_xlfn.XLOOKUP(TRIM(B438),Lookup!$B$2:$B$1000,Lookup!$C$2:$C$1000),"")</f>
        <v>Equity - Mid Cap Oriented</v>
      </c>
      <c r="D438" s="8" t="str">
        <f>IFERROR(INDEX('nav master'!$C:$C, MATCH(B438, 'nav master'!$B:$B, 0)), "")</f>
        <v>ULIF 064 12/09/22 EOF 110</v>
      </c>
      <c r="E438" s="8">
        <v>20.369199999999999</v>
      </c>
      <c r="F438" s="9">
        <v>46153</v>
      </c>
    </row>
    <row r="439" spans="1:6" ht="75" x14ac:dyDescent="0.25">
      <c r="A439" s="8" t="s">
        <v>63</v>
      </c>
      <c r="B439" s="11" t="s">
        <v>65</v>
      </c>
      <c r="C439" s="8" t="str">
        <f>IFERROR(_xlfn.XLOOKUP(TRIM(B439),Lookup!$B$2:$B$1000,Lookup!$C$2:$C$1000),"")</f>
        <v>Equity - Mid Cap Oriented</v>
      </c>
      <c r="D439" s="8" t="str">
        <f>IFERROR(INDEX('nav master'!$C:$C, MATCH(B439, 'nav master'!$B:$B, 0)), "")</f>
        <v>ULIF 064 12/09/22 EOF 110</v>
      </c>
      <c r="E439" s="8">
        <v>19.875499999999999</v>
      </c>
      <c r="F439" s="9">
        <v>46154</v>
      </c>
    </row>
    <row r="440" spans="1:6" ht="75" x14ac:dyDescent="0.25">
      <c r="A440" s="8" t="s">
        <v>63</v>
      </c>
      <c r="B440" s="11" t="s">
        <v>65</v>
      </c>
      <c r="C440" s="8" t="str">
        <f>IFERROR(_xlfn.XLOOKUP(TRIM(B440),Lookup!$B$2:$B$1000,Lookup!$C$2:$C$1000),"")</f>
        <v>Equity - Mid Cap Oriented</v>
      </c>
      <c r="D440" s="8" t="str">
        <f>IFERROR(INDEX('nav master'!$C:$C, MATCH(B440, 'nav master'!$B:$B, 0)), "")</f>
        <v>ULIF 064 12/09/22 EOF 110</v>
      </c>
      <c r="E440" s="8">
        <v>19.968900000000001</v>
      </c>
      <c r="F440" s="9">
        <v>46155</v>
      </c>
    </row>
    <row r="441" spans="1:6" ht="75" x14ac:dyDescent="0.25">
      <c r="A441" s="8" t="s">
        <v>63</v>
      </c>
      <c r="B441" s="11" t="s">
        <v>65</v>
      </c>
      <c r="C441" s="8" t="str">
        <f>IFERROR(_xlfn.XLOOKUP(TRIM(B441),Lookup!$B$2:$B$1000,Lookup!$C$2:$C$1000),"")</f>
        <v>Equity - Mid Cap Oriented</v>
      </c>
      <c r="D441" s="8" t="str">
        <f>IFERROR(INDEX('nav master'!$C:$C, MATCH(B441, 'nav master'!$B:$B, 0)), "")</f>
        <v>ULIF 064 12/09/22 EOF 110</v>
      </c>
      <c r="E441" s="8">
        <v>20.196999999999999</v>
      </c>
      <c r="F441" s="9">
        <v>46156</v>
      </c>
    </row>
    <row r="442" spans="1:6" ht="75" x14ac:dyDescent="0.25">
      <c r="A442" s="8" t="s">
        <v>63</v>
      </c>
      <c r="B442" s="11" t="s">
        <v>65</v>
      </c>
      <c r="C442" s="8" t="str">
        <f>IFERROR(_xlfn.XLOOKUP(TRIM(B442),Lookup!$B$2:$B$1000,Lookup!$C$2:$C$1000),"")</f>
        <v>Equity - Mid Cap Oriented</v>
      </c>
      <c r="D442" s="8" t="str">
        <f>IFERROR(INDEX('nav master'!$C:$C, MATCH(B442, 'nav master'!$B:$B, 0)), "")</f>
        <v>ULIF 064 12/09/22 EOF 110</v>
      </c>
      <c r="E442" s="8">
        <v>20.052700000000002</v>
      </c>
      <c r="F442" s="9">
        <v>46157</v>
      </c>
    </row>
    <row r="443" spans="1:6" ht="75" x14ac:dyDescent="0.25">
      <c r="A443" s="8" t="s">
        <v>63</v>
      </c>
      <c r="B443" s="11" t="s">
        <v>65</v>
      </c>
      <c r="C443" s="8" t="str">
        <f>IFERROR(_xlfn.XLOOKUP(TRIM(B443),Lookup!$B$2:$B$1000,Lookup!$C$2:$C$1000),"")</f>
        <v>Equity - Mid Cap Oriented</v>
      </c>
      <c r="D443" s="8" t="str">
        <f>IFERROR(INDEX('nav master'!$C:$C, MATCH(B443, 'nav master'!$B:$B, 0)), "")</f>
        <v>ULIF 064 12/09/22 EOF 110</v>
      </c>
      <c r="E443" s="8">
        <v>20.034199999999998</v>
      </c>
      <c r="F443" s="9">
        <v>46160</v>
      </c>
    </row>
    <row r="444" spans="1:6" ht="75" x14ac:dyDescent="0.25">
      <c r="A444" s="8" t="s">
        <v>63</v>
      </c>
      <c r="B444" s="11" t="s">
        <v>65</v>
      </c>
      <c r="C444" s="8" t="str">
        <f>IFERROR(_xlfn.XLOOKUP(TRIM(B444),Lookup!$B$2:$B$1000,Lookup!$C$2:$C$1000),"")</f>
        <v>Equity - Mid Cap Oriented</v>
      </c>
      <c r="D444" s="8" t="str">
        <f>IFERROR(INDEX('nav master'!$C:$C, MATCH(B444, 'nav master'!$B:$B, 0)), "")</f>
        <v>ULIF 064 12/09/22 EOF 110</v>
      </c>
      <c r="E444" s="8">
        <v>20.308700000000002</v>
      </c>
      <c r="F444" s="9">
        <v>46161</v>
      </c>
    </row>
    <row r="445" spans="1:6" ht="75" x14ac:dyDescent="0.25">
      <c r="A445" s="8" t="s">
        <v>63</v>
      </c>
      <c r="B445" s="11" t="s">
        <v>65</v>
      </c>
      <c r="C445" s="8" t="str">
        <f>IFERROR(_xlfn.XLOOKUP(TRIM(B445),Lookup!$B$2:$B$1000,Lookup!$C$2:$C$1000),"")</f>
        <v>Equity - Mid Cap Oriented</v>
      </c>
      <c r="D445" s="8" t="str">
        <f>IFERROR(INDEX('nav master'!$C:$C, MATCH(B445, 'nav master'!$B:$B, 0)), "")</f>
        <v>ULIF 064 12/09/22 EOF 110</v>
      </c>
      <c r="E445" s="8">
        <v>20.3765</v>
      </c>
      <c r="F445" s="9">
        <v>46162</v>
      </c>
    </row>
    <row r="446" spans="1:6" ht="75" x14ac:dyDescent="0.25">
      <c r="A446" s="8" t="s">
        <v>63</v>
      </c>
      <c r="B446" s="11" t="s">
        <v>65</v>
      </c>
      <c r="C446" s="8" t="str">
        <f>IFERROR(_xlfn.XLOOKUP(TRIM(B446),Lookup!$B$2:$B$1000,Lookup!$C$2:$C$1000),"")</f>
        <v>Equity - Mid Cap Oriented</v>
      </c>
      <c r="D446" s="8" t="str">
        <f>IFERROR(INDEX('nav master'!$C:$C, MATCH(B446, 'nav master'!$B:$B, 0)), "")</f>
        <v>ULIF 064 12/09/22 EOF 110</v>
      </c>
      <c r="E446" s="8">
        <v>20.3994</v>
      </c>
      <c r="F446" s="9">
        <v>46163</v>
      </c>
    </row>
    <row r="447" spans="1:6" ht="75" x14ac:dyDescent="0.25">
      <c r="A447" s="8" t="s">
        <v>63</v>
      </c>
      <c r="B447" s="11" t="s">
        <v>65</v>
      </c>
      <c r="C447" s="8" t="str">
        <f>IFERROR(_xlfn.XLOOKUP(TRIM(B447),Lookup!$B$2:$B$1000,Lookup!$C$2:$C$1000),"")</f>
        <v>Equity - Mid Cap Oriented</v>
      </c>
      <c r="D447" s="8" t="str">
        <f>IFERROR(INDEX('nav master'!$C:$C, MATCH(B447, 'nav master'!$B:$B, 0)), "")</f>
        <v>ULIF 064 12/09/22 EOF 110</v>
      </c>
      <c r="E447" s="8">
        <v>20.407299999999999</v>
      </c>
      <c r="F447" s="9">
        <v>46164</v>
      </c>
    </row>
    <row r="448" spans="1:6" ht="75" x14ac:dyDescent="0.25">
      <c r="A448" s="8" t="s">
        <v>63</v>
      </c>
      <c r="B448" s="11" t="s">
        <v>65</v>
      </c>
      <c r="C448" s="8" t="str">
        <f>IFERROR(_xlfn.XLOOKUP(TRIM(B448),Lookup!$B$2:$B$1000,Lookup!$C$2:$C$1000),"")</f>
        <v>Equity - Mid Cap Oriented</v>
      </c>
      <c r="D448" s="8" t="str">
        <f>IFERROR(INDEX('nav master'!$C:$C, MATCH(B448, 'nav master'!$B:$B, 0)), "")</f>
        <v>ULIF 064 12/09/22 EOF 110</v>
      </c>
      <c r="E448" s="8">
        <v>20.628900000000002</v>
      </c>
      <c r="F448" s="9">
        <v>46167</v>
      </c>
    </row>
    <row r="449" spans="1:6" ht="75" x14ac:dyDescent="0.25">
      <c r="A449" s="8" t="s">
        <v>63</v>
      </c>
      <c r="B449" s="11" t="s">
        <v>65</v>
      </c>
      <c r="C449" s="8" t="str">
        <f>IFERROR(_xlfn.XLOOKUP(TRIM(B449),Lookup!$B$2:$B$1000,Lookup!$C$2:$C$1000),"")</f>
        <v>Equity - Mid Cap Oriented</v>
      </c>
      <c r="D449" s="8" t="str">
        <f>IFERROR(INDEX('nav master'!$C:$C, MATCH(B449, 'nav master'!$B:$B, 0)), "")</f>
        <v>ULIF 064 12/09/22 EOF 110</v>
      </c>
      <c r="E449" s="8">
        <v>20.675799999999999</v>
      </c>
      <c r="F449" s="9">
        <v>46168</v>
      </c>
    </row>
    <row r="450" spans="1:6" ht="75" x14ac:dyDescent="0.25">
      <c r="A450" s="8" t="s">
        <v>63</v>
      </c>
      <c r="B450" s="11" t="s">
        <v>65</v>
      </c>
      <c r="C450" s="8" t="str">
        <f>IFERROR(_xlfn.XLOOKUP(TRIM(B450),Lookup!$B$2:$B$1000,Lookup!$C$2:$C$1000),"")</f>
        <v>Equity - Mid Cap Oriented</v>
      </c>
      <c r="D450" s="8" t="str">
        <f>IFERROR(INDEX('nav master'!$C:$C, MATCH(B450, 'nav master'!$B:$B, 0)), "")</f>
        <v>ULIF 064 12/09/22 EOF 110</v>
      </c>
      <c r="E450" s="8">
        <v>20.700399999999998</v>
      </c>
      <c r="F450" s="9">
        <v>46169</v>
      </c>
    </row>
    <row r="451" spans="1:6" ht="75" x14ac:dyDescent="0.25">
      <c r="A451" s="8" t="s">
        <v>63</v>
      </c>
      <c r="B451" s="11" t="s">
        <v>65</v>
      </c>
      <c r="C451" s="8" t="str">
        <f>IFERROR(_xlfn.XLOOKUP(TRIM(B451),Lookup!$B$2:$B$1000,Lookup!$C$2:$C$1000),"")</f>
        <v>Equity - Mid Cap Oriented</v>
      </c>
      <c r="D451" s="8" t="str">
        <f>IFERROR(INDEX('nav master'!$C:$C, MATCH(B451, 'nav master'!$B:$B, 0)), "")</f>
        <v>ULIF 064 12/09/22 EOF 110</v>
      </c>
      <c r="E451" s="8">
        <v>20.376899999999999</v>
      </c>
      <c r="F451" s="9">
        <v>46171</v>
      </c>
    </row>
    <row r="452" spans="1:6" ht="75" x14ac:dyDescent="0.25">
      <c r="A452" s="8" t="s">
        <v>63</v>
      </c>
      <c r="B452" s="11" t="s">
        <v>65</v>
      </c>
      <c r="C452" s="8" t="str">
        <f>IFERROR(_xlfn.XLOOKUP(TRIM(B452),Lookup!$B$2:$B$1000,Lookup!$C$2:$C$1000),"")</f>
        <v>Equity - Mid Cap Oriented</v>
      </c>
      <c r="D452" s="8" t="str">
        <f>IFERROR(INDEX('nav master'!$C:$C, MATCH(B452, 'nav master'!$B:$B, 0)), "")</f>
        <v>ULIF 064 12/09/22 EOF 110</v>
      </c>
      <c r="E452" s="8">
        <v>20.1496</v>
      </c>
      <c r="F452" s="9">
        <v>46174</v>
      </c>
    </row>
    <row r="453" spans="1:6" ht="75" x14ac:dyDescent="0.25">
      <c r="A453" s="8" t="s">
        <v>63</v>
      </c>
      <c r="B453" s="11" t="s">
        <v>65</v>
      </c>
      <c r="C453" s="8" t="str">
        <f>IFERROR(_xlfn.XLOOKUP(TRIM(B453),Lookup!$B$2:$B$1000,Lookup!$C$2:$C$1000),"")</f>
        <v>Equity - Mid Cap Oriented</v>
      </c>
      <c r="D453" s="8" t="str">
        <f>IFERROR(INDEX('nav master'!$C:$C, MATCH(B453, 'nav master'!$B:$B, 0)), "")</f>
        <v>ULIF 064 12/09/22 EOF 110</v>
      </c>
      <c r="E453" s="8">
        <v>20.2013</v>
      </c>
      <c r="F453" s="9">
        <v>46175</v>
      </c>
    </row>
    <row r="454" spans="1:6" ht="75" x14ac:dyDescent="0.25">
      <c r="A454" s="8" t="s">
        <v>63</v>
      </c>
      <c r="B454" s="11" t="s">
        <v>65</v>
      </c>
      <c r="C454" s="8" t="str">
        <f>IFERROR(_xlfn.XLOOKUP(TRIM(B454),Lookup!$B$2:$B$1000,Lookup!$C$2:$C$1000),"")</f>
        <v>Equity - Mid Cap Oriented</v>
      </c>
      <c r="D454" s="8" t="str">
        <f>IFERROR(INDEX('nav master'!$C:$C, MATCH(B454, 'nav master'!$B:$B, 0)), "")</f>
        <v>ULIF 064 12/09/22 EOF 110</v>
      </c>
      <c r="E454" s="8">
        <v>20.076799999999999</v>
      </c>
      <c r="F454" s="9">
        <v>46176</v>
      </c>
    </row>
    <row r="455" spans="1:6" ht="75" x14ac:dyDescent="0.25">
      <c r="A455" s="8" t="s">
        <v>63</v>
      </c>
      <c r="B455" s="11" t="s">
        <v>65</v>
      </c>
      <c r="C455" s="8" t="str">
        <f>IFERROR(_xlfn.XLOOKUP(TRIM(B455),Lookup!$B$2:$B$1000,Lookup!$C$2:$C$1000),"")</f>
        <v>Equity - Mid Cap Oriented</v>
      </c>
      <c r="D455" s="8" t="str">
        <f>IFERROR(INDEX('nav master'!$C:$C, MATCH(B455, 'nav master'!$B:$B, 0)), "")</f>
        <v>ULIF 064 12/09/22 EOF 110</v>
      </c>
      <c r="E455" s="8">
        <v>20.214400000000001</v>
      </c>
      <c r="F455" s="9">
        <v>46177</v>
      </c>
    </row>
    <row r="456" spans="1:6" ht="75" x14ac:dyDescent="0.25">
      <c r="A456" s="8" t="s">
        <v>63</v>
      </c>
      <c r="B456" s="11" t="s">
        <v>65</v>
      </c>
      <c r="C456" s="8" t="str">
        <f>IFERROR(_xlfn.XLOOKUP(TRIM(B456),Lookup!$B$2:$B$1000,Lookup!$C$2:$C$1000),"")</f>
        <v>Equity - Mid Cap Oriented</v>
      </c>
      <c r="D456" s="8" t="str">
        <f>IFERROR(INDEX('nav master'!$C:$C, MATCH(B456, 'nav master'!$B:$B, 0)), "")</f>
        <v>ULIF 064 12/09/22 EOF 110</v>
      </c>
      <c r="E456" s="8">
        <v>20.2013</v>
      </c>
      <c r="F456" s="9">
        <v>46178</v>
      </c>
    </row>
    <row r="457" spans="1:6" ht="75" x14ac:dyDescent="0.25">
      <c r="A457" s="8" t="s">
        <v>63</v>
      </c>
      <c r="B457" s="11" t="s">
        <v>65</v>
      </c>
      <c r="C457" s="8" t="str">
        <f>IFERROR(_xlfn.XLOOKUP(TRIM(B457),Lookup!$B$2:$B$1000,Lookup!$C$2:$C$1000),"")</f>
        <v>Equity - Mid Cap Oriented</v>
      </c>
      <c r="D457" s="8" t="str">
        <f>IFERROR(INDEX('nav master'!$C:$C, MATCH(B457, 'nav master'!$B:$B, 0)), "")</f>
        <v>ULIF 064 12/09/22 EOF 110</v>
      </c>
      <c r="E457" s="8">
        <v>19.917400000000001</v>
      </c>
      <c r="F457" s="9">
        <v>46181</v>
      </c>
    </row>
    <row r="458" spans="1:6" ht="75" x14ac:dyDescent="0.25">
      <c r="A458" s="8" t="s">
        <v>63</v>
      </c>
      <c r="B458" s="11" t="s">
        <v>65</v>
      </c>
      <c r="C458" s="8" t="str">
        <f>IFERROR(_xlfn.XLOOKUP(TRIM(B458),Lookup!$B$2:$B$1000,Lookup!$C$2:$C$1000),"")</f>
        <v>Equity - Mid Cap Oriented</v>
      </c>
      <c r="D458" s="8" t="str">
        <f>IFERROR(INDEX('nav master'!$C:$C, MATCH(B458, 'nav master'!$B:$B, 0)), "")</f>
        <v>ULIF 064 12/09/22 EOF 110</v>
      </c>
      <c r="E458" s="8">
        <v>20.216000000000001</v>
      </c>
      <c r="F458" s="9">
        <v>46182</v>
      </c>
    </row>
    <row r="459" spans="1:6" ht="75" x14ac:dyDescent="0.25">
      <c r="A459" s="8" t="s">
        <v>63</v>
      </c>
      <c r="B459" s="11" t="s">
        <v>65</v>
      </c>
      <c r="C459" s="8" t="str">
        <f>IFERROR(_xlfn.XLOOKUP(TRIM(B459),Lookup!$B$2:$B$1000,Lookup!$C$2:$C$1000),"")</f>
        <v>Equity - Mid Cap Oriented</v>
      </c>
      <c r="D459" s="8" t="str">
        <f>IFERROR(INDEX('nav master'!$C:$C, MATCH(B459, 'nav master'!$B:$B, 0)), "")</f>
        <v>ULIF 064 12/09/22 EOF 110</v>
      </c>
      <c r="E459" s="8">
        <v>19.979099999999999</v>
      </c>
      <c r="F459" s="9">
        <v>46183</v>
      </c>
    </row>
    <row r="460" spans="1:6" ht="75" x14ac:dyDescent="0.25">
      <c r="A460" s="8" t="s">
        <v>63</v>
      </c>
      <c r="B460" s="11" t="s">
        <v>65</v>
      </c>
      <c r="C460" s="8" t="str">
        <f>IFERROR(_xlfn.XLOOKUP(TRIM(B460),Lookup!$B$2:$B$1000,Lookup!$C$2:$C$1000),"")</f>
        <v>Equity - Mid Cap Oriented</v>
      </c>
      <c r="D460" s="8" t="str">
        <f>IFERROR(INDEX('nav master'!$C:$C, MATCH(B460, 'nav master'!$B:$B, 0)), "")</f>
        <v>ULIF 064 12/09/22 EOF 110</v>
      </c>
      <c r="E460" s="8">
        <v>19.829899999999999</v>
      </c>
      <c r="F460" s="9">
        <v>46184</v>
      </c>
    </row>
    <row r="461" spans="1:6" ht="75" x14ac:dyDescent="0.25">
      <c r="A461" s="8" t="s">
        <v>63</v>
      </c>
      <c r="B461" s="11" t="s">
        <v>65</v>
      </c>
      <c r="C461" s="8" t="str">
        <f>IFERROR(_xlfn.XLOOKUP(TRIM(B461),Lookup!$B$2:$B$1000,Lookup!$C$2:$C$1000),"")</f>
        <v>Equity - Mid Cap Oriented</v>
      </c>
      <c r="D461" s="8" t="str">
        <f>IFERROR(INDEX('nav master'!$C:$C, MATCH(B461, 'nav master'!$B:$B, 0)), "")</f>
        <v>ULIF 064 12/09/22 EOF 110</v>
      </c>
      <c r="E461" s="8">
        <v>20.353400000000001</v>
      </c>
      <c r="F461" s="9">
        <v>46185</v>
      </c>
    </row>
    <row r="462" spans="1:6" ht="75" x14ac:dyDescent="0.25">
      <c r="A462" s="8" t="s">
        <v>63</v>
      </c>
      <c r="B462" s="11" t="s">
        <v>65</v>
      </c>
      <c r="C462" s="8" t="str">
        <f>IFERROR(_xlfn.XLOOKUP(TRIM(B462),Lookup!$B$2:$B$1000,Lookup!$C$2:$C$1000),"")</f>
        <v>Equity - Mid Cap Oriented</v>
      </c>
      <c r="D462" s="8" t="str">
        <f>IFERROR(INDEX('nav master'!$C:$C, MATCH(B462, 'nav master'!$B:$B, 0)), "")</f>
        <v>ULIF 064 12/09/22 EOF 110</v>
      </c>
      <c r="E462" s="8">
        <v>20.736000000000001</v>
      </c>
      <c r="F462" s="9">
        <v>46188</v>
      </c>
    </row>
    <row r="463" spans="1:6" ht="75" x14ac:dyDescent="0.25">
      <c r="A463" s="8" t="s">
        <v>63</v>
      </c>
      <c r="B463" s="11" t="s">
        <v>65</v>
      </c>
      <c r="C463" s="8" t="str">
        <f>IFERROR(_xlfn.XLOOKUP(TRIM(B463),Lookup!$B$2:$B$1000,Lookup!$C$2:$C$1000),"")</f>
        <v>Equity - Mid Cap Oriented</v>
      </c>
      <c r="D463" s="8" t="str">
        <f>IFERROR(INDEX('nav master'!$C:$C, MATCH(B463, 'nav master'!$B:$B, 0)), "")</f>
        <v>ULIF 064 12/09/22 EOF 110</v>
      </c>
      <c r="E463" s="8">
        <v>20.800899999999999</v>
      </c>
      <c r="F463" s="9">
        <v>46189</v>
      </c>
    </row>
    <row r="464" spans="1:6" ht="75" x14ac:dyDescent="0.25">
      <c r="A464" s="8" t="s">
        <v>63</v>
      </c>
      <c r="B464" s="11" t="s">
        <v>65</v>
      </c>
      <c r="C464" s="8" t="str">
        <f>IFERROR(_xlfn.XLOOKUP(TRIM(B464),Lookup!$B$2:$B$1000,Lookup!$C$2:$C$1000),"")</f>
        <v>Equity - Mid Cap Oriented</v>
      </c>
      <c r="D464" s="8" t="str">
        <f>IFERROR(INDEX('nav master'!$C:$C, MATCH(B464, 'nav master'!$B:$B, 0)), "")</f>
        <v>ULIF 064 12/09/22 EOF 110</v>
      </c>
      <c r="E464" s="8">
        <v>20.916699999999999</v>
      </c>
      <c r="F464" s="9">
        <v>46190</v>
      </c>
    </row>
    <row r="465" spans="1:6" ht="75" x14ac:dyDescent="0.25">
      <c r="A465" s="8" t="s">
        <v>63</v>
      </c>
      <c r="B465" s="11" t="s">
        <v>65</v>
      </c>
      <c r="C465" s="8" t="str">
        <f>IFERROR(_xlfn.XLOOKUP(TRIM(B465),Lookup!$B$2:$B$1000,Lookup!$C$2:$C$1000),"")</f>
        <v>Equity - Mid Cap Oriented</v>
      </c>
      <c r="D465" s="8" t="str">
        <f>IFERROR(INDEX('nav master'!$C:$C, MATCH(B465, 'nav master'!$B:$B, 0)), "")</f>
        <v>ULIF 064 12/09/22 EOF 110</v>
      </c>
      <c r="E465" s="8">
        <v>20.9846</v>
      </c>
      <c r="F465" s="9">
        <v>46191</v>
      </c>
    </row>
    <row r="466" spans="1:6" ht="75" x14ac:dyDescent="0.25">
      <c r="A466" s="8" t="s">
        <v>63</v>
      </c>
      <c r="B466" s="11" t="s">
        <v>65</v>
      </c>
      <c r="C466" s="8" t="str">
        <f>IFERROR(_xlfn.XLOOKUP(TRIM(B466),Lookup!$B$2:$B$1000,Lookup!$C$2:$C$1000),"")</f>
        <v>Equity - Mid Cap Oriented</v>
      </c>
      <c r="D466" s="8" t="str">
        <f>IFERROR(INDEX('nav master'!$C:$C, MATCH(B466, 'nav master'!$B:$B, 0)), "")</f>
        <v>ULIF 064 12/09/22 EOF 110</v>
      </c>
      <c r="E466" s="8">
        <v>20.985499999999998</v>
      </c>
      <c r="F466" s="9">
        <v>46192</v>
      </c>
    </row>
    <row r="467" spans="1:6" ht="75" x14ac:dyDescent="0.25">
      <c r="A467" s="8" t="s">
        <v>63</v>
      </c>
      <c r="B467" s="11" t="s">
        <v>65</v>
      </c>
      <c r="C467" s="8" t="str">
        <f>IFERROR(_xlfn.XLOOKUP(TRIM(B467),Lookup!$B$2:$B$1000,Lookup!$C$2:$C$1000),"")</f>
        <v>Equity - Mid Cap Oriented</v>
      </c>
      <c r="D467" s="8" t="str">
        <f>IFERROR(INDEX('nav master'!$C:$C, MATCH(B467, 'nav master'!$B:$B, 0)), "")</f>
        <v>ULIF 064 12/09/22 EOF 110</v>
      </c>
      <c r="E467" s="8">
        <v>21.048300000000001</v>
      </c>
      <c r="F467" s="9">
        <v>46195</v>
      </c>
    </row>
    <row r="468" spans="1:6" ht="75" x14ac:dyDescent="0.25">
      <c r="A468" s="8" t="s">
        <v>63</v>
      </c>
      <c r="B468" s="11" t="s">
        <v>65</v>
      </c>
      <c r="C468" s="8" t="str">
        <f>IFERROR(_xlfn.XLOOKUP(TRIM(B468),Lookup!$B$2:$B$1000,Lookup!$C$2:$C$1000),"")</f>
        <v>Equity - Mid Cap Oriented</v>
      </c>
      <c r="D468" s="8" t="str">
        <f>IFERROR(INDEX('nav master'!$C:$C, MATCH(B468, 'nav master'!$B:$B, 0)), "")</f>
        <v>ULIF 064 12/09/22 EOF 110</v>
      </c>
      <c r="E468" s="8">
        <v>20.809100000000001</v>
      </c>
      <c r="F468" s="9">
        <v>46196</v>
      </c>
    </row>
    <row r="469" spans="1:6" ht="75" x14ac:dyDescent="0.25">
      <c r="A469" s="8" t="s">
        <v>63</v>
      </c>
      <c r="B469" s="11" t="s">
        <v>65</v>
      </c>
      <c r="C469" s="8" t="str">
        <f>IFERROR(_xlfn.XLOOKUP(TRIM(B469),Lookup!$B$2:$B$1000,Lookup!$C$2:$C$1000),"")</f>
        <v>Equity - Mid Cap Oriented</v>
      </c>
      <c r="D469" s="8" t="str">
        <f>IFERROR(INDEX('nav master'!$C:$C, MATCH(B469, 'nav master'!$B:$B, 0)), "")</f>
        <v>ULIF 064 12/09/22 EOF 110</v>
      </c>
      <c r="E469" s="8">
        <v>20.890999999999998</v>
      </c>
      <c r="F469" s="9">
        <v>46197</v>
      </c>
    </row>
    <row r="470" spans="1:6" ht="75" x14ac:dyDescent="0.25">
      <c r="A470" s="8" t="s">
        <v>63</v>
      </c>
      <c r="B470" s="11" t="s">
        <v>65</v>
      </c>
      <c r="C470" s="8" t="str">
        <f>IFERROR(_xlfn.XLOOKUP(TRIM(B470),Lookup!$B$2:$B$1000,Lookup!$C$2:$C$1000),"")</f>
        <v>Equity - Mid Cap Oriented</v>
      </c>
      <c r="D470" s="8" t="str">
        <f>IFERROR(INDEX('nav master'!$C:$C, MATCH(B470, 'nav master'!$B:$B, 0)), "")</f>
        <v>ULIF 064 12/09/22 EOF 110</v>
      </c>
      <c r="E470" s="8">
        <v>20.851400000000002</v>
      </c>
      <c r="F470" s="9">
        <v>46198</v>
      </c>
    </row>
    <row r="471" spans="1:6" ht="75" x14ac:dyDescent="0.25">
      <c r="A471" s="8" t="s">
        <v>63</v>
      </c>
      <c r="B471" s="11" t="s">
        <v>65</v>
      </c>
      <c r="C471" s="8" t="str">
        <f>IFERROR(_xlfn.XLOOKUP(TRIM(B471),Lookup!$B$2:$B$1000,Lookup!$C$2:$C$1000),"")</f>
        <v>Equity - Mid Cap Oriented</v>
      </c>
      <c r="D471" s="8" t="str">
        <f>IFERROR(INDEX('nav master'!$C:$C, MATCH(B471, 'nav master'!$B:$B, 0)), "")</f>
        <v>ULIF 064 12/09/22 EOF 110</v>
      </c>
      <c r="E471" s="8">
        <v>20.733799999999999</v>
      </c>
      <c r="F471" s="9">
        <v>46202</v>
      </c>
    </row>
    <row r="472" spans="1:6" ht="75" x14ac:dyDescent="0.25">
      <c r="A472" s="8" t="s">
        <v>63</v>
      </c>
      <c r="B472" s="11" t="s">
        <v>65</v>
      </c>
      <c r="C472" s="8" t="str">
        <f>IFERROR(_xlfn.XLOOKUP(TRIM(B472),Lookup!$B$2:$B$1000,Lookup!$C$2:$C$1000),"")</f>
        <v>Equity - Mid Cap Oriented</v>
      </c>
      <c r="D472" s="8" t="str">
        <f>IFERROR(INDEX('nav master'!$C:$C, MATCH(B472, 'nav master'!$B:$B, 0)), "")</f>
        <v>ULIF 064 12/09/22 EOF 110</v>
      </c>
      <c r="E472" s="8">
        <v>20.8445</v>
      </c>
      <c r="F472" s="9">
        <v>46203</v>
      </c>
    </row>
    <row r="473" spans="1:6" ht="75" x14ac:dyDescent="0.25">
      <c r="A473" s="8" t="s">
        <v>63</v>
      </c>
      <c r="B473" s="11" t="s">
        <v>65</v>
      </c>
      <c r="C473" s="8" t="str">
        <f>IFERROR(_xlfn.XLOOKUP(TRIM(B473),Lookup!$B$2:$B$1000,Lookup!$C$2:$C$1000),"")</f>
        <v>Equity - Mid Cap Oriented</v>
      </c>
      <c r="D473" s="8" t="str">
        <f>IFERROR(INDEX('nav master'!$C:$C, MATCH(B473, 'nav master'!$B:$B, 0)), "")</f>
        <v>ULIF 064 12/09/22 EOF 110</v>
      </c>
      <c r="E473" s="8">
        <v>20.9956</v>
      </c>
      <c r="F473" s="9">
        <v>46204</v>
      </c>
    </row>
    <row r="474" spans="1:6" ht="75" x14ac:dyDescent="0.25">
      <c r="A474" s="8" t="s">
        <v>63</v>
      </c>
      <c r="B474" s="11" t="s">
        <v>65</v>
      </c>
      <c r="C474" s="8" t="str">
        <f>IFERROR(_xlfn.XLOOKUP(TRIM(B474),Lookup!$B$2:$B$1000,Lookup!$C$2:$C$1000),"")</f>
        <v>Equity - Mid Cap Oriented</v>
      </c>
      <c r="D474" s="8" t="str">
        <f>IFERROR(INDEX('nav master'!$C:$C, MATCH(B474, 'nav master'!$B:$B, 0)), "")</f>
        <v>ULIF 064 12/09/22 EOF 110</v>
      </c>
      <c r="E474" s="8">
        <v>21.158100000000001</v>
      </c>
      <c r="F474" s="9">
        <v>46205</v>
      </c>
    </row>
    <row r="475" spans="1:6" ht="75" x14ac:dyDescent="0.25">
      <c r="A475" s="8" t="s">
        <v>63</v>
      </c>
      <c r="B475" s="11" t="s">
        <v>65</v>
      </c>
      <c r="C475" s="8" t="str">
        <f>IFERROR(_xlfn.XLOOKUP(TRIM(B475),Lookup!$B$2:$B$1000,Lookup!$C$2:$C$1000),"")</f>
        <v>Equity - Mid Cap Oriented</v>
      </c>
      <c r="D475" s="8" t="str">
        <f>IFERROR(INDEX('nav master'!$C:$C, MATCH(B475, 'nav master'!$B:$B, 0)), "")</f>
        <v>ULIF 064 12/09/22 EOF 110</v>
      </c>
      <c r="E475" s="8">
        <v>21.1431</v>
      </c>
      <c r="F475" s="9">
        <v>46206</v>
      </c>
    </row>
    <row r="476" spans="1:6" ht="75" x14ac:dyDescent="0.25">
      <c r="A476" s="8" t="s">
        <v>63</v>
      </c>
      <c r="B476" s="11" t="s">
        <v>65</v>
      </c>
      <c r="C476" s="8" t="str">
        <f>IFERROR(_xlfn.XLOOKUP(TRIM(B476),Lookup!$B$2:$B$1000,Lookup!$C$2:$C$1000),"")</f>
        <v>Equity - Mid Cap Oriented</v>
      </c>
      <c r="D476" s="8" t="str">
        <f>IFERROR(INDEX('nav master'!$C:$C, MATCH(B476, 'nav master'!$B:$B, 0)), "")</f>
        <v>ULIF 064 12/09/22 EOF 110</v>
      </c>
      <c r="E476" s="8">
        <v>21.348600000000001</v>
      </c>
      <c r="F476" s="9">
        <v>46209</v>
      </c>
    </row>
    <row r="477" spans="1:6" ht="75" x14ac:dyDescent="0.25">
      <c r="A477" s="8" t="s">
        <v>63</v>
      </c>
      <c r="B477" s="11" t="s">
        <v>65</v>
      </c>
      <c r="C477" s="8" t="str">
        <f>IFERROR(_xlfn.XLOOKUP(TRIM(B477),Lookup!$B$2:$B$1000,Lookup!$C$2:$C$1000),"")</f>
        <v>Equity - Mid Cap Oriented</v>
      </c>
      <c r="D477" s="8" t="str">
        <f>IFERROR(INDEX('nav master'!$C:$C, MATCH(B477, 'nav master'!$B:$B, 0)), "")</f>
        <v>ULIF 064 12/09/22 EOF 110</v>
      </c>
      <c r="E477" s="8">
        <v>21.3673</v>
      </c>
      <c r="F477" s="9">
        <v>46210</v>
      </c>
    </row>
    <row r="478" spans="1:6" ht="75" x14ac:dyDescent="0.25">
      <c r="A478" s="8" t="s">
        <v>63</v>
      </c>
      <c r="B478" s="11" t="s">
        <v>65</v>
      </c>
      <c r="C478" s="8" t="str">
        <f>IFERROR(_xlfn.XLOOKUP(TRIM(B478),Lookup!$B$2:$B$1000,Lookup!$C$2:$C$1000),"")</f>
        <v>Equity - Mid Cap Oriented</v>
      </c>
      <c r="D478" s="8" t="str">
        <f>IFERROR(INDEX('nav master'!$C:$C, MATCH(B478, 'nav master'!$B:$B, 0)), "")</f>
        <v>ULIF 064 12/09/22 EOF 110</v>
      </c>
      <c r="E478" s="8">
        <v>20.973700000000001</v>
      </c>
      <c r="F478" s="9">
        <v>46211</v>
      </c>
    </row>
    <row r="479" spans="1:6" ht="75" x14ac:dyDescent="0.25">
      <c r="A479" s="8" t="s">
        <v>63</v>
      </c>
      <c r="B479" s="11" t="s">
        <v>65</v>
      </c>
      <c r="C479" s="8" t="str">
        <f>IFERROR(_xlfn.XLOOKUP(TRIM(B479),Lookup!$B$2:$B$1000,Lookup!$C$2:$C$1000),"")</f>
        <v>Equity - Mid Cap Oriented</v>
      </c>
      <c r="D479" s="8" t="str">
        <f>IFERROR(INDEX('nav master'!$C:$C, MATCH(B479, 'nav master'!$B:$B, 0)), "")</f>
        <v>ULIF 064 12/09/22 EOF 110</v>
      </c>
      <c r="E479" s="8">
        <v>21.309699999999999</v>
      </c>
      <c r="F479" s="9">
        <v>46212</v>
      </c>
    </row>
    <row r="480" spans="1:6" ht="75" x14ac:dyDescent="0.25">
      <c r="A480" s="8" t="s">
        <v>63</v>
      </c>
      <c r="B480" s="11" t="s">
        <v>65</v>
      </c>
      <c r="C480" s="8" t="str">
        <f>IFERROR(_xlfn.XLOOKUP(TRIM(B480),Lookup!$B$2:$B$1000,Lookup!$C$2:$C$1000),"")</f>
        <v>Equity - Mid Cap Oriented</v>
      </c>
      <c r="D480" s="8" t="str">
        <f>IFERROR(INDEX('nav master'!$C:$C, MATCH(B480, 'nav master'!$B:$B, 0)), "")</f>
        <v>ULIF 064 12/09/22 EOF 110</v>
      </c>
      <c r="E480" s="8">
        <v>21.5777</v>
      </c>
      <c r="F480" s="9">
        <v>46213</v>
      </c>
    </row>
    <row r="481" spans="1:6" ht="75" x14ac:dyDescent="0.25">
      <c r="A481" s="8" t="s">
        <v>63</v>
      </c>
      <c r="B481" s="11" t="s">
        <v>65</v>
      </c>
      <c r="C481" s="8" t="str">
        <f>IFERROR(_xlfn.XLOOKUP(TRIM(B481),Lookup!$B$2:$B$1000,Lookup!$C$2:$C$1000),"")</f>
        <v>Equity - Mid Cap Oriented</v>
      </c>
      <c r="D481" s="8" t="str">
        <f>IFERROR(INDEX('nav master'!$C:$C, MATCH(B481, 'nav master'!$B:$B, 0)), "")</f>
        <v>ULIF 064 12/09/22 EOF 110</v>
      </c>
      <c r="E481" s="8">
        <v>21.622299999999999</v>
      </c>
      <c r="F481" s="9">
        <v>46216</v>
      </c>
    </row>
    <row r="482" spans="1:6" ht="75" x14ac:dyDescent="0.25">
      <c r="A482" s="8" t="s">
        <v>63</v>
      </c>
      <c r="B482" s="11" t="s">
        <v>65</v>
      </c>
      <c r="C482" s="8" t="str">
        <f>IFERROR(_xlfn.XLOOKUP(TRIM(B482),Lookup!$B$2:$B$1000,Lookup!$C$2:$C$1000),"")</f>
        <v>Equity - Mid Cap Oriented</v>
      </c>
      <c r="D482" s="8" t="str">
        <f>IFERROR(INDEX('nav master'!$C:$C, MATCH(B482, 'nav master'!$B:$B, 0)), "")</f>
        <v>ULIF 064 12/09/22 EOF 110</v>
      </c>
      <c r="E482" s="8">
        <v>21.514199999999999</v>
      </c>
      <c r="F482" s="9">
        <v>46217</v>
      </c>
    </row>
    <row r="483" spans="1:6" ht="75" x14ac:dyDescent="0.25">
      <c r="A483" s="8" t="s">
        <v>63</v>
      </c>
      <c r="B483" s="11" t="s">
        <v>65</v>
      </c>
      <c r="C483" s="8" t="str">
        <f>IFERROR(_xlfn.XLOOKUP(TRIM(B483),Lookup!$B$2:$B$1000,Lookup!$C$2:$C$1000),"")</f>
        <v>Equity - Mid Cap Oriented</v>
      </c>
      <c r="D483" s="8" t="str">
        <f>IFERROR(INDEX('nav master'!$C:$C, MATCH(B483, 'nav master'!$B:$B, 0)), "")</f>
        <v>ULIF 064 12/09/22 EOF 110</v>
      </c>
      <c r="E483" s="8">
        <v>21.652899999999999</v>
      </c>
      <c r="F483" s="9">
        <v>46218</v>
      </c>
    </row>
    <row r="484" spans="1:6" ht="75" x14ac:dyDescent="0.25">
      <c r="A484" s="8" t="s">
        <v>63</v>
      </c>
      <c r="B484" s="11" t="s">
        <v>65</v>
      </c>
      <c r="C484" s="8" t="str">
        <f>IFERROR(_xlfn.XLOOKUP(TRIM(B484),Lookup!$B$2:$B$1000,Lookup!$C$2:$C$1000),"")</f>
        <v>Equity - Mid Cap Oriented</v>
      </c>
      <c r="D484" s="8" t="str">
        <f>IFERROR(INDEX('nav master'!$C:$C, MATCH(B484, 'nav master'!$B:$B, 0)), "")</f>
        <v>ULIF 064 12/09/22 EOF 110</v>
      </c>
      <c r="E484" s="8">
        <v>21.5869</v>
      </c>
      <c r="F484" s="9">
        <v>46219</v>
      </c>
    </row>
    <row r="485" spans="1:6" ht="75" x14ac:dyDescent="0.25">
      <c r="A485" s="8" t="s">
        <v>63</v>
      </c>
      <c r="B485" s="11" t="s">
        <v>65</v>
      </c>
      <c r="C485" s="8" t="str">
        <f>IFERROR(_xlfn.XLOOKUP(TRIM(B485),Lookup!$B$2:$B$1000,Lookup!$C$2:$C$1000),"")</f>
        <v>Equity - Mid Cap Oriented</v>
      </c>
      <c r="D485" s="8" t="str">
        <f>IFERROR(INDEX('nav master'!$C:$C, MATCH(B485, 'nav master'!$B:$B, 0)), "")</f>
        <v>ULIF 064 12/09/22 EOF 110</v>
      </c>
      <c r="E485" s="8">
        <v>21.481000000000002</v>
      </c>
      <c r="F485" s="9">
        <v>46220</v>
      </c>
    </row>
    <row r="486" spans="1:6" ht="75" x14ac:dyDescent="0.25">
      <c r="A486" s="8" t="s">
        <v>63</v>
      </c>
      <c r="B486" s="11" t="s">
        <v>65</v>
      </c>
      <c r="C486" s="8" t="str">
        <f>IFERROR(_xlfn.XLOOKUP(TRIM(B486),Lookup!$B$2:$B$1000,Lookup!$C$2:$C$1000),"")</f>
        <v>Equity - Mid Cap Oriented</v>
      </c>
      <c r="D486" s="8" t="str">
        <f>IFERROR(INDEX('nav master'!$C:$C, MATCH(B486, 'nav master'!$B:$B, 0)), "")</f>
        <v>ULIF 064 12/09/22 EOF 110</v>
      </c>
      <c r="E486" s="8">
        <v>21.575099999999999</v>
      </c>
      <c r="F486" s="9">
        <v>46223</v>
      </c>
    </row>
    <row r="487" spans="1:6" ht="75" x14ac:dyDescent="0.25">
      <c r="A487" s="8" t="s">
        <v>63</v>
      </c>
      <c r="B487" s="11" t="s">
        <v>65</v>
      </c>
      <c r="C487" s="8" t="str">
        <f>IFERROR(_xlfn.XLOOKUP(TRIM(B487),Lookup!$B$2:$B$1000,Lookup!$C$2:$C$1000),"")</f>
        <v>Equity - Mid Cap Oriented</v>
      </c>
      <c r="D487" s="8" t="str">
        <f>IFERROR(INDEX('nav master'!$C:$C, MATCH(B487, 'nav master'!$B:$B, 0)), "")</f>
        <v>ULIF 064 12/09/22 EOF 110</v>
      </c>
      <c r="E487" s="8">
        <v>21.654399999999999</v>
      </c>
      <c r="F487" s="9">
        <v>46224</v>
      </c>
    </row>
    <row r="488" spans="1:6" ht="75" x14ac:dyDescent="0.25">
      <c r="A488" s="8" t="s">
        <v>63</v>
      </c>
      <c r="B488" s="11" t="s">
        <v>65</v>
      </c>
      <c r="C488" s="8" t="str">
        <f>IFERROR(_xlfn.XLOOKUP(TRIM(B488),Lookup!$B$2:$B$1000,Lookup!$C$2:$C$1000),"")</f>
        <v>Equity - Mid Cap Oriented</v>
      </c>
      <c r="D488" s="8" t="str">
        <f>IFERROR(INDEX('nav master'!$C:$C, MATCH(B488, 'nav master'!$B:$B, 0)), "")</f>
        <v>ULIF 064 12/09/22 EOF 110</v>
      </c>
      <c r="E488" s="8">
        <v>21.442399999999999</v>
      </c>
      <c r="F488" s="9">
        <v>46225</v>
      </c>
    </row>
    <row r="489" spans="1:6" ht="75" x14ac:dyDescent="0.25">
      <c r="A489" s="8" t="s">
        <v>63</v>
      </c>
      <c r="B489" s="11" t="s">
        <v>65</v>
      </c>
      <c r="C489" s="8" t="str">
        <f>IFERROR(_xlfn.XLOOKUP(TRIM(B489),Lookup!$B$2:$B$1000,Lookup!$C$2:$C$1000),"")</f>
        <v>Equity - Mid Cap Oriented</v>
      </c>
      <c r="D489" s="8" t="str">
        <f>IFERROR(INDEX('nav master'!$C:$C, MATCH(B489, 'nav master'!$B:$B, 0)), "")</f>
        <v>ULIF 064 12/09/22 EOF 110</v>
      </c>
      <c r="E489" s="8">
        <v>21.1905</v>
      </c>
      <c r="F489" s="9">
        <v>46226</v>
      </c>
    </row>
    <row r="490" spans="1:6" ht="75" x14ac:dyDescent="0.25">
      <c r="A490" s="8" t="s">
        <v>63</v>
      </c>
      <c r="B490" s="11" t="s">
        <v>65</v>
      </c>
      <c r="C490" s="8" t="str">
        <f>IFERROR(_xlfn.XLOOKUP(TRIM(B490),Lookup!$B$2:$B$1000,Lookup!$C$2:$C$1000),"")</f>
        <v>Equity - Mid Cap Oriented</v>
      </c>
      <c r="D490" s="8" t="str">
        <f>IFERROR(INDEX('nav master'!$C:$C, MATCH(B490, 'nav master'!$B:$B, 0)), "")</f>
        <v>ULIF 064 12/09/22 EOF 110</v>
      </c>
      <c r="E490" s="8">
        <v>21.1143</v>
      </c>
      <c r="F490" s="9">
        <v>46227</v>
      </c>
    </row>
    <row r="491" spans="1:6" ht="75" x14ac:dyDescent="0.25">
      <c r="A491" s="8" t="s">
        <v>63</v>
      </c>
      <c r="B491" s="11" t="s">
        <v>65</v>
      </c>
      <c r="C491" s="8" t="str">
        <f>IFERROR(_xlfn.XLOOKUP(TRIM(B491),Lookup!$B$2:$B$1000,Lookup!$C$2:$C$1000),"")</f>
        <v>Equity - Mid Cap Oriented</v>
      </c>
      <c r="D491" s="8" t="str">
        <f>IFERROR(INDEX('nav master'!$C:$C, MATCH(B491, 'nav master'!$B:$B, 0)), "")</f>
        <v>ULIF 064 12/09/22 EOF 110</v>
      </c>
      <c r="E491" s="8">
        <v>21.411200000000001</v>
      </c>
      <c r="F491" s="9">
        <v>46230</v>
      </c>
    </row>
    <row r="492" spans="1:6" ht="75" x14ac:dyDescent="0.25">
      <c r="A492" s="8" t="s">
        <v>63</v>
      </c>
      <c r="B492" s="11" t="s">
        <v>65</v>
      </c>
      <c r="C492" s="8" t="str">
        <f>IFERROR(_xlfn.XLOOKUP(TRIM(B492),Lookup!$B$2:$B$1000,Lookup!$C$2:$C$1000),"")</f>
        <v>Equity - Mid Cap Oriented</v>
      </c>
      <c r="D492" s="8" t="str">
        <f>IFERROR(INDEX('nav master'!$C:$C, MATCH(B492, 'nav master'!$B:$B, 0)), "")</f>
        <v>ULIF 064 12/09/22 EOF 110</v>
      </c>
      <c r="E492" s="8">
        <v>21.532299999999999</v>
      </c>
      <c r="F492" s="9">
        <v>46231</v>
      </c>
    </row>
    <row r="493" spans="1:6" ht="75" x14ac:dyDescent="0.25">
      <c r="A493" s="8" t="s">
        <v>63</v>
      </c>
      <c r="B493" s="11" t="s">
        <v>65</v>
      </c>
      <c r="C493" s="8" t="str">
        <f>IFERROR(_xlfn.XLOOKUP(TRIM(B493),Lookup!$B$2:$B$1000,Lookup!$C$2:$C$1000),"")</f>
        <v>Equity - Mid Cap Oriented</v>
      </c>
      <c r="D493" s="8" t="str">
        <f>IFERROR(INDEX('nav master'!$C:$C, MATCH(B493, 'nav master'!$B:$B, 0)), "")</f>
        <v>ULIF 064 12/09/22 EOF 110</v>
      </c>
      <c r="E493" s="8">
        <v>21.754000000000001</v>
      </c>
      <c r="F493" s="9">
        <v>46232</v>
      </c>
    </row>
    <row r="494" spans="1:6" ht="75" x14ac:dyDescent="0.25">
      <c r="A494" s="8" t="s">
        <v>63</v>
      </c>
      <c r="B494" s="11" t="s">
        <v>65</v>
      </c>
      <c r="C494" s="8" t="str">
        <f>IFERROR(_xlfn.XLOOKUP(TRIM(B494),Lookup!$B$2:$B$1000,Lookup!$C$2:$C$1000),"")</f>
        <v>Equity - Mid Cap Oriented</v>
      </c>
      <c r="D494" s="8" t="str">
        <f>IFERROR(INDEX('nav master'!$C:$C, MATCH(B494, 'nav master'!$B:$B, 0)), "")</f>
        <v>ULIF 064 12/09/22 EOF 110</v>
      </c>
      <c r="E494" s="8">
        <v>21.709399999999999</v>
      </c>
      <c r="F494" s="9">
        <v>46233</v>
      </c>
    </row>
    <row r="495" spans="1:6" ht="75" x14ac:dyDescent="0.25">
      <c r="A495" s="8" t="s">
        <v>63</v>
      </c>
      <c r="B495" s="11" t="s">
        <v>65</v>
      </c>
      <c r="C495" s="8" t="str">
        <f>IFERROR(_xlfn.XLOOKUP(TRIM(B495),Lookup!$B$2:$B$1000,Lookup!$C$2:$C$1000),"")</f>
        <v>Equity - Mid Cap Oriented</v>
      </c>
      <c r="D495" s="8" t="str">
        <f>IFERROR(INDEX('nav master'!$C:$C, MATCH(B495, 'nav master'!$B:$B, 0)), "")</f>
        <v>ULIF 064 12/09/22 EOF 110</v>
      </c>
      <c r="E495" s="8">
        <v>21.793700000000001</v>
      </c>
      <c r="F495" s="9">
        <v>46234</v>
      </c>
    </row>
    <row r="496" spans="1:6" ht="45" x14ac:dyDescent="0.25">
      <c r="A496" s="8" t="s">
        <v>63</v>
      </c>
      <c r="B496" s="8" t="s">
        <v>66</v>
      </c>
      <c r="C496" s="8" t="str">
        <f>IFERROR(_xlfn.XLOOKUP(TRIM(B496),Lookup!$B$2:$B$1000,Lookup!$C$2:$C$1000),"")</f>
        <v>Equity - Flexi Cap</v>
      </c>
      <c r="D496" s="8" t="str">
        <f>IFERROR(INDEX('nav master'!$C:$C, MATCH(B496, 'nav master'!$B:$B, 0)), "")</f>
        <v>ULIF 068 25/04/23 FGF 110</v>
      </c>
      <c r="E496" s="8">
        <v>13.175800000000001</v>
      </c>
      <c r="F496" s="9">
        <v>45869</v>
      </c>
    </row>
    <row r="497" spans="1:6" ht="45" x14ac:dyDescent="0.25">
      <c r="A497" s="8" t="s">
        <v>63</v>
      </c>
      <c r="B497" s="8" t="s">
        <v>66</v>
      </c>
      <c r="C497" s="8" t="str">
        <f>IFERROR(_xlfn.XLOOKUP(TRIM(B497),Lookup!$B$2:$B$1000,Lookup!$C$2:$C$1000),"")</f>
        <v>Equity - Flexi Cap</v>
      </c>
      <c r="D497" s="8" t="str">
        <f>IFERROR(INDEX('nav master'!$C:$C, MATCH(B497, 'nav master'!$B:$B, 0)), "")</f>
        <v>ULIF 068 25/04/23 FGF 110</v>
      </c>
      <c r="E497" s="8">
        <v>13.009600000000001</v>
      </c>
      <c r="F497" s="9">
        <v>45870</v>
      </c>
    </row>
    <row r="498" spans="1:6" ht="45" x14ac:dyDescent="0.25">
      <c r="A498" s="8" t="s">
        <v>63</v>
      </c>
      <c r="B498" s="8" t="s">
        <v>66</v>
      </c>
      <c r="C498" s="8" t="str">
        <f>IFERROR(_xlfn.XLOOKUP(TRIM(B498),Lookup!$B$2:$B$1000,Lookup!$C$2:$C$1000),"")</f>
        <v>Equity - Flexi Cap</v>
      </c>
      <c r="D498" s="8" t="str">
        <f>IFERROR(INDEX('nav master'!$C:$C, MATCH(B498, 'nav master'!$B:$B, 0)), "")</f>
        <v>ULIF 068 25/04/23 FGF 110</v>
      </c>
      <c r="E498" s="8">
        <v>13.0832</v>
      </c>
      <c r="F498" s="9">
        <v>45873</v>
      </c>
    </row>
    <row r="499" spans="1:6" ht="45" x14ac:dyDescent="0.25">
      <c r="A499" s="8" t="s">
        <v>63</v>
      </c>
      <c r="B499" s="8" t="s">
        <v>66</v>
      </c>
      <c r="C499" s="8" t="str">
        <f>IFERROR(_xlfn.XLOOKUP(TRIM(B499),Lookup!$B$2:$B$1000,Lookup!$C$2:$C$1000),"")</f>
        <v>Equity - Flexi Cap</v>
      </c>
      <c r="D499" s="8" t="str">
        <f>IFERROR(INDEX('nav master'!$C:$C, MATCH(B499, 'nav master'!$B:$B, 0)), "")</f>
        <v>ULIF 068 25/04/23 FGF 110</v>
      </c>
      <c r="E499" s="8">
        <v>12.9998</v>
      </c>
      <c r="F499" s="9">
        <v>45874</v>
      </c>
    </row>
    <row r="500" spans="1:6" ht="45" x14ac:dyDescent="0.25">
      <c r="A500" s="8" t="s">
        <v>63</v>
      </c>
      <c r="B500" s="8" t="s">
        <v>66</v>
      </c>
      <c r="C500" s="8" t="str">
        <f>IFERROR(_xlfn.XLOOKUP(TRIM(B500),Lookup!$B$2:$B$1000,Lookup!$C$2:$C$1000),"")</f>
        <v>Equity - Flexi Cap</v>
      </c>
      <c r="D500" s="8" t="str">
        <f>IFERROR(INDEX('nav master'!$C:$C, MATCH(B500, 'nav master'!$B:$B, 0)), "")</f>
        <v>ULIF 068 25/04/23 FGF 110</v>
      </c>
      <c r="E500" s="8">
        <v>12.927199999999999</v>
      </c>
      <c r="F500" s="9">
        <v>45875</v>
      </c>
    </row>
    <row r="501" spans="1:6" ht="45" x14ac:dyDescent="0.25">
      <c r="A501" s="8" t="s">
        <v>63</v>
      </c>
      <c r="B501" s="8" t="s">
        <v>66</v>
      </c>
      <c r="C501" s="8" t="str">
        <f>IFERROR(_xlfn.XLOOKUP(TRIM(B501),Lookup!$B$2:$B$1000,Lookup!$C$2:$C$1000),"")</f>
        <v>Equity - Flexi Cap</v>
      </c>
      <c r="D501" s="8" t="str">
        <f>IFERROR(INDEX('nav master'!$C:$C, MATCH(B501, 'nav master'!$B:$B, 0)), "")</f>
        <v>ULIF 068 25/04/23 FGF 110</v>
      </c>
      <c r="E501" s="8">
        <v>12.9556</v>
      </c>
      <c r="F501" s="9">
        <v>45876</v>
      </c>
    </row>
    <row r="502" spans="1:6" ht="45" x14ac:dyDescent="0.25">
      <c r="A502" s="8" t="s">
        <v>63</v>
      </c>
      <c r="B502" s="8" t="s">
        <v>66</v>
      </c>
      <c r="C502" s="8" t="str">
        <f>IFERROR(_xlfn.XLOOKUP(TRIM(B502),Lookup!$B$2:$B$1000,Lookup!$C$2:$C$1000),"")</f>
        <v>Equity - Flexi Cap</v>
      </c>
      <c r="D502" s="8" t="str">
        <f>IFERROR(INDEX('nav master'!$C:$C, MATCH(B502, 'nav master'!$B:$B, 0)), "")</f>
        <v>ULIF 068 25/04/23 FGF 110</v>
      </c>
      <c r="E502" s="8">
        <v>12.8063</v>
      </c>
      <c r="F502" s="9">
        <v>45877</v>
      </c>
    </row>
    <row r="503" spans="1:6" ht="45" x14ac:dyDescent="0.25">
      <c r="A503" s="8" t="s">
        <v>63</v>
      </c>
      <c r="B503" s="8" t="s">
        <v>66</v>
      </c>
      <c r="C503" s="8" t="str">
        <f>IFERROR(_xlfn.XLOOKUP(TRIM(B503),Lookup!$B$2:$B$1000,Lookup!$C$2:$C$1000),"")</f>
        <v>Equity - Flexi Cap</v>
      </c>
      <c r="D503" s="8" t="str">
        <f>IFERROR(INDEX('nav master'!$C:$C, MATCH(B503, 'nav master'!$B:$B, 0)), "")</f>
        <v>ULIF 068 25/04/23 FGF 110</v>
      </c>
      <c r="E503" s="8">
        <v>12.92</v>
      </c>
      <c r="F503" s="9">
        <v>45880</v>
      </c>
    </row>
    <row r="504" spans="1:6" ht="45" x14ac:dyDescent="0.25">
      <c r="A504" s="8" t="s">
        <v>63</v>
      </c>
      <c r="B504" s="8" t="s">
        <v>66</v>
      </c>
      <c r="C504" s="8" t="str">
        <f>IFERROR(_xlfn.XLOOKUP(TRIM(B504),Lookup!$B$2:$B$1000,Lookup!$C$2:$C$1000),"")</f>
        <v>Equity - Flexi Cap</v>
      </c>
      <c r="D504" s="8" t="str">
        <f>IFERROR(INDEX('nav master'!$C:$C, MATCH(B504, 'nav master'!$B:$B, 0)), "")</f>
        <v>ULIF 068 25/04/23 FGF 110</v>
      </c>
      <c r="E504" s="8">
        <v>12.904400000000001</v>
      </c>
      <c r="F504" s="9">
        <v>45881</v>
      </c>
    </row>
    <row r="505" spans="1:6" ht="45" x14ac:dyDescent="0.25">
      <c r="A505" s="8" t="s">
        <v>63</v>
      </c>
      <c r="B505" s="8" t="s">
        <v>66</v>
      </c>
      <c r="C505" s="8" t="str">
        <f>IFERROR(_xlfn.XLOOKUP(TRIM(B505),Lookup!$B$2:$B$1000,Lookup!$C$2:$C$1000),"")</f>
        <v>Equity - Flexi Cap</v>
      </c>
      <c r="D505" s="8" t="str">
        <f>IFERROR(INDEX('nav master'!$C:$C, MATCH(B505, 'nav master'!$B:$B, 0)), "")</f>
        <v>ULIF 068 25/04/23 FGF 110</v>
      </c>
      <c r="E505" s="8">
        <v>12.996700000000001</v>
      </c>
      <c r="F505" s="9">
        <v>45882</v>
      </c>
    </row>
    <row r="506" spans="1:6" ht="45" x14ac:dyDescent="0.25">
      <c r="A506" s="8" t="s">
        <v>63</v>
      </c>
      <c r="B506" s="8" t="s">
        <v>66</v>
      </c>
      <c r="C506" s="8" t="str">
        <f>IFERROR(_xlfn.XLOOKUP(TRIM(B506),Lookup!$B$2:$B$1000,Lookup!$C$2:$C$1000),"")</f>
        <v>Equity - Flexi Cap</v>
      </c>
      <c r="D506" s="8" t="str">
        <f>IFERROR(INDEX('nav master'!$C:$C, MATCH(B506, 'nav master'!$B:$B, 0)), "")</f>
        <v>ULIF 068 25/04/23 FGF 110</v>
      </c>
      <c r="E506" s="8">
        <v>13.019</v>
      </c>
      <c r="F506" s="9">
        <v>45883</v>
      </c>
    </row>
    <row r="507" spans="1:6" ht="45" x14ac:dyDescent="0.25">
      <c r="A507" s="8" t="s">
        <v>63</v>
      </c>
      <c r="B507" s="8" t="s">
        <v>66</v>
      </c>
      <c r="C507" s="8" t="str">
        <f>IFERROR(_xlfn.XLOOKUP(TRIM(B507),Lookup!$B$2:$B$1000,Lookup!$C$2:$C$1000),"")</f>
        <v>Equity - Flexi Cap</v>
      </c>
      <c r="D507" s="8" t="str">
        <f>IFERROR(INDEX('nav master'!$C:$C, MATCH(B507, 'nav master'!$B:$B, 0)), "")</f>
        <v>ULIF 068 25/04/23 FGF 110</v>
      </c>
      <c r="E507" s="8">
        <v>13.1713</v>
      </c>
      <c r="F507" s="9">
        <v>45887</v>
      </c>
    </row>
    <row r="508" spans="1:6" ht="45" x14ac:dyDescent="0.25">
      <c r="A508" s="8" t="s">
        <v>63</v>
      </c>
      <c r="B508" s="8" t="s">
        <v>66</v>
      </c>
      <c r="C508" s="8" t="str">
        <f>IFERROR(_xlfn.XLOOKUP(TRIM(B508),Lookup!$B$2:$B$1000,Lookup!$C$2:$C$1000),"")</f>
        <v>Equity - Flexi Cap</v>
      </c>
      <c r="D508" s="8" t="str">
        <f>IFERROR(INDEX('nav master'!$C:$C, MATCH(B508, 'nav master'!$B:$B, 0)), "")</f>
        <v>ULIF 068 25/04/23 FGF 110</v>
      </c>
      <c r="E508" s="8">
        <v>13.2536</v>
      </c>
      <c r="F508" s="9">
        <v>45888</v>
      </c>
    </row>
    <row r="509" spans="1:6" ht="45" x14ac:dyDescent="0.25">
      <c r="A509" s="8" t="s">
        <v>63</v>
      </c>
      <c r="B509" s="8" t="s">
        <v>66</v>
      </c>
      <c r="C509" s="8" t="str">
        <f>IFERROR(_xlfn.XLOOKUP(TRIM(B509),Lookup!$B$2:$B$1000,Lookup!$C$2:$C$1000),"")</f>
        <v>Equity - Flexi Cap</v>
      </c>
      <c r="D509" s="8" t="str">
        <f>IFERROR(INDEX('nav master'!$C:$C, MATCH(B509, 'nav master'!$B:$B, 0)), "")</f>
        <v>ULIF 068 25/04/23 FGF 110</v>
      </c>
      <c r="E509" s="8">
        <v>13.353199999999999</v>
      </c>
      <c r="F509" s="9">
        <v>45889</v>
      </c>
    </row>
    <row r="510" spans="1:6" ht="45" x14ac:dyDescent="0.25">
      <c r="A510" s="8" t="s">
        <v>63</v>
      </c>
      <c r="B510" s="8" t="s">
        <v>66</v>
      </c>
      <c r="C510" s="8" t="str">
        <f>IFERROR(_xlfn.XLOOKUP(TRIM(B510),Lookup!$B$2:$B$1000,Lookup!$C$2:$C$1000),"")</f>
        <v>Equity - Flexi Cap</v>
      </c>
      <c r="D510" s="8" t="str">
        <f>IFERROR(INDEX('nav master'!$C:$C, MATCH(B510, 'nav master'!$B:$B, 0)), "")</f>
        <v>ULIF 068 25/04/23 FGF 110</v>
      </c>
      <c r="E510" s="8">
        <v>13.339399999999999</v>
      </c>
      <c r="F510" s="9">
        <v>45890</v>
      </c>
    </row>
    <row r="511" spans="1:6" ht="45" x14ac:dyDescent="0.25">
      <c r="A511" s="8" t="s">
        <v>63</v>
      </c>
      <c r="B511" s="8" t="s">
        <v>66</v>
      </c>
      <c r="C511" s="8" t="str">
        <f>IFERROR(_xlfn.XLOOKUP(TRIM(B511),Lookup!$B$2:$B$1000,Lookup!$C$2:$C$1000),"")</f>
        <v>Equity - Flexi Cap</v>
      </c>
      <c r="D511" s="8" t="str">
        <f>IFERROR(INDEX('nav master'!$C:$C, MATCH(B511, 'nav master'!$B:$B, 0)), "")</f>
        <v>ULIF 068 25/04/23 FGF 110</v>
      </c>
      <c r="E511" s="8">
        <v>13.3111</v>
      </c>
      <c r="F511" s="9">
        <v>45891</v>
      </c>
    </row>
    <row r="512" spans="1:6" ht="45" x14ac:dyDescent="0.25">
      <c r="A512" s="8" t="s">
        <v>63</v>
      </c>
      <c r="B512" s="8" t="s">
        <v>66</v>
      </c>
      <c r="C512" s="8" t="str">
        <f>IFERROR(_xlfn.XLOOKUP(TRIM(B512),Lookup!$B$2:$B$1000,Lookup!$C$2:$C$1000),"")</f>
        <v>Equity - Flexi Cap</v>
      </c>
      <c r="D512" s="8" t="str">
        <f>IFERROR(INDEX('nav master'!$C:$C, MATCH(B512, 'nav master'!$B:$B, 0)), "")</f>
        <v>ULIF 068 25/04/23 FGF 110</v>
      </c>
      <c r="E512" s="8">
        <v>13.3697</v>
      </c>
      <c r="F512" s="9">
        <v>45894</v>
      </c>
    </row>
    <row r="513" spans="1:6" ht="45" x14ac:dyDescent="0.25">
      <c r="A513" s="8" t="s">
        <v>63</v>
      </c>
      <c r="B513" s="8" t="s">
        <v>66</v>
      </c>
      <c r="C513" s="8" t="str">
        <f>IFERROR(_xlfn.XLOOKUP(TRIM(B513),Lookup!$B$2:$B$1000,Lookup!$C$2:$C$1000),"")</f>
        <v>Equity - Flexi Cap</v>
      </c>
      <c r="D513" s="8" t="str">
        <f>IFERROR(INDEX('nav master'!$C:$C, MATCH(B513, 'nav master'!$B:$B, 0)), "")</f>
        <v>ULIF 068 25/04/23 FGF 110</v>
      </c>
      <c r="E513" s="8">
        <v>13.176399999999999</v>
      </c>
      <c r="F513" s="9">
        <v>45895</v>
      </c>
    </row>
    <row r="514" spans="1:6" ht="45" x14ac:dyDescent="0.25">
      <c r="A514" s="8" t="s">
        <v>63</v>
      </c>
      <c r="B514" s="8" t="s">
        <v>66</v>
      </c>
      <c r="C514" s="8" t="str">
        <f>IFERROR(_xlfn.XLOOKUP(TRIM(B514),Lookup!$B$2:$B$1000,Lookup!$C$2:$C$1000),"")</f>
        <v>Equity - Flexi Cap</v>
      </c>
      <c r="D514" s="8" t="str">
        <f>IFERROR(INDEX('nav master'!$C:$C, MATCH(B514, 'nav master'!$B:$B, 0)), "")</f>
        <v>ULIF 068 25/04/23 FGF 110</v>
      </c>
      <c r="E514" s="8">
        <v>13.022</v>
      </c>
      <c r="F514" s="9">
        <v>45897</v>
      </c>
    </row>
    <row r="515" spans="1:6" ht="45" x14ac:dyDescent="0.25">
      <c r="A515" s="8" t="s">
        <v>63</v>
      </c>
      <c r="B515" s="8" t="s">
        <v>66</v>
      </c>
      <c r="C515" s="8" t="str">
        <f>IFERROR(_xlfn.XLOOKUP(TRIM(B515),Lookup!$B$2:$B$1000,Lookup!$C$2:$C$1000),"")</f>
        <v>Equity - Flexi Cap</v>
      </c>
      <c r="D515" s="8" t="str">
        <f>IFERROR(INDEX('nav master'!$C:$C, MATCH(B515, 'nav master'!$B:$B, 0)), "")</f>
        <v>ULIF 068 25/04/23 FGF 110</v>
      </c>
      <c r="E515" s="8">
        <v>12.9001</v>
      </c>
      <c r="F515" s="9">
        <v>45898</v>
      </c>
    </row>
    <row r="516" spans="1:6" ht="45" x14ac:dyDescent="0.25">
      <c r="A516" s="8" t="s">
        <v>63</v>
      </c>
      <c r="B516" s="8" t="s">
        <v>66</v>
      </c>
      <c r="C516" s="8" t="str">
        <f>IFERROR(_xlfn.XLOOKUP(TRIM(B516),Lookup!$B$2:$B$1000,Lookup!$C$2:$C$1000),"")</f>
        <v>Equity - Flexi Cap</v>
      </c>
      <c r="D516" s="8" t="str">
        <f>IFERROR(INDEX('nav master'!$C:$C, MATCH(B516, 'nav master'!$B:$B, 0)), "")</f>
        <v>ULIF 068 25/04/23 FGF 110</v>
      </c>
      <c r="E516" s="8">
        <v>13.077500000000001</v>
      </c>
      <c r="F516" s="9">
        <v>45901</v>
      </c>
    </row>
    <row r="517" spans="1:6" ht="45" x14ac:dyDescent="0.25">
      <c r="A517" s="8" t="s">
        <v>63</v>
      </c>
      <c r="B517" s="8" t="s">
        <v>66</v>
      </c>
      <c r="C517" s="8" t="str">
        <f>IFERROR(_xlfn.XLOOKUP(TRIM(B517),Lookup!$B$2:$B$1000,Lookup!$C$2:$C$1000),"")</f>
        <v>Equity - Flexi Cap</v>
      </c>
      <c r="D517" s="8" t="str">
        <f>IFERROR(INDEX('nav master'!$C:$C, MATCH(B517, 'nav master'!$B:$B, 0)), "")</f>
        <v>ULIF 068 25/04/23 FGF 110</v>
      </c>
      <c r="E517" s="8">
        <v>13.1</v>
      </c>
      <c r="F517" s="9">
        <v>45902</v>
      </c>
    </row>
    <row r="518" spans="1:6" ht="45" x14ac:dyDescent="0.25">
      <c r="A518" s="8" t="s">
        <v>63</v>
      </c>
      <c r="B518" s="8" t="s">
        <v>66</v>
      </c>
      <c r="C518" s="8" t="str">
        <f>IFERROR(_xlfn.XLOOKUP(TRIM(B518),Lookup!$B$2:$B$1000,Lookup!$C$2:$C$1000),"")</f>
        <v>Equity - Flexi Cap</v>
      </c>
      <c r="D518" s="8" t="str">
        <f>IFERROR(INDEX('nav master'!$C:$C, MATCH(B518, 'nav master'!$B:$B, 0)), "")</f>
        <v>ULIF 068 25/04/23 FGF 110</v>
      </c>
      <c r="E518" s="8">
        <v>13.193899999999999</v>
      </c>
      <c r="F518" s="9">
        <v>45903</v>
      </c>
    </row>
    <row r="519" spans="1:6" ht="45" x14ac:dyDescent="0.25">
      <c r="A519" s="8" t="s">
        <v>63</v>
      </c>
      <c r="B519" s="8" t="s">
        <v>66</v>
      </c>
      <c r="C519" s="8" t="str">
        <f>IFERROR(_xlfn.XLOOKUP(TRIM(B519),Lookup!$B$2:$B$1000,Lookup!$C$2:$C$1000),"")</f>
        <v>Equity - Flexi Cap</v>
      </c>
      <c r="D519" s="8" t="str">
        <f>IFERROR(INDEX('nav master'!$C:$C, MATCH(B519, 'nav master'!$B:$B, 0)), "")</f>
        <v>ULIF 068 25/04/23 FGF 110</v>
      </c>
      <c r="E519" s="8">
        <v>13.1313</v>
      </c>
      <c r="F519" s="9">
        <v>45904</v>
      </c>
    </row>
    <row r="520" spans="1:6" ht="45" x14ac:dyDescent="0.25">
      <c r="A520" s="8" t="s">
        <v>63</v>
      </c>
      <c r="B520" s="8" t="s">
        <v>66</v>
      </c>
      <c r="C520" s="8" t="str">
        <f>IFERROR(_xlfn.XLOOKUP(TRIM(B520),Lookup!$B$2:$B$1000,Lookup!$C$2:$C$1000),"")</f>
        <v>Equity - Flexi Cap</v>
      </c>
      <c r="D520" s="8" t="str">
        <f>IFERROR(INDEX('nav master'!$C:$C, MATCH(B520, 'nav master'!$B:$B, 0)), "")</f>
        <v>ULIF 068 25/04/23 FGF 110</v>
      </c>
      <c r="E520" s="8">
        <v>13.130699999999999</v>
      </c>
      <c r="F520" s="9">
        <v>45905</v>
      </c>
    </row>
    <row r="521" spans="1:6" ht="45" x14ac:dyDescent="0.25">
      <c r="A521" s="8" t="s">
        <v>63</v>
      </c>
      <c r="B521" s="8" t="s">
        <v>66</v>
      </c>
      <c r="C521" s="8" t="str">
        <f>IFERROR(_xlfn.XLOOKUP(TRIM(B521),Lookup!$B$2:$B$1000,Lookup!$C$2:$C$1000),"")</f>
        <v>Equity - Flexi Cap</v>
      </c>
      <c r="D521" s="8" t="str">
        <f>IFERROR(INDEX('nav master'!$C:$C, MATCH(B521, 'nav master'!$B:$B, 0)), "")</f>
        <v>ULIF 068 25/04/23 FGF 110</v>
      </c>
      <c r="E521" s="8">
        <v>13.194800000000001</v>
      </c>
      <c r="F521" s="9">
        <v>45908</v>
      </c>
    </row>
    <row r="522" spans="1:6" ht="45" x14ac:dyDescent="0.25">
      <c r="A522" s="8" t="s">
        <v>63</v>
      </c>
      <c r="B522" s="8" t="s">
        <v>66</v>
      </c>
      <c r="C522" s="8" t="str">
        <f>IFERROR(_xlfn.XLOOKUP(TRIM(B522),Lookup!$B$2:$B$1000,Lookup!$C$2:$C$1000),"")</f>
        <v>Equity - Flexi Cap</v>
      </c>
      <c r="D522" s="8" t="str">
        <f>IFERROR(INDEX('nav master'!$C:$C, MATCH(B522, 'nav master'!$B:$B, 0)), "")</f>
        <v>ULIF 068 25/04/23 FGF 110</v>
      </c>
      <c r="E522" s="8">
        <v>13.217000000000001</v>
      </c>
      <c r="F522" s="9">
        <v>45909</v>
      </c>
    </row>
    <row r="523" spans="1:6" ht="45" x14ac:dyDescent="0.25">
      <c r="A523" s="8" t="s">
        <v>63</v>
      </c>
      <c r="B523" s="8" t="s">
        <v>66</v>
      </c>
      <c r="C523" s="8" t="str">
        <f>IFERROR(_xlfn.XLOOKUP(TRIM(B523),Lookup!$B$2:$B$1000,Lookup!$C$2:$C$1000),"")</f>
        <v>Equity - Flexi Cap</v>
      </c>
      <c r="D523" s="8" t="str">
        <f>IFERROR(INDEX('nav master'!$C:$C, MATCH(B523, 'nav master'!$B:$B, 0)), "")</f>
        <v>ULIF 068 25/04/23 FGF 110</v>
      </c>
      <c r="E523" s="8">
        <v>13.2727</v>
      </c>
      <c r="F523" s="9">
        <v>45910</v>
      </c>
    </row>
    <row r="524" spans="1:6" ht="45" x14ac:dyDescent="0.25">
      <c r="A524" s="8" t="s">
        <v>63</v>
      </c>
      <c r="B524" s="8" t="s">
        <v>66</v>
      </c>
      <c r="C524" s="8" t="str">
        <f>IFERROR(_xlfn.XLOOKUP(TRIM(B524),Lookup!$B$2:$B$1000,Lookup!$C$2:$C$1000),"")</f>
        <v>Equity - Flexi Cap</v>
      </c>
      <c r="D524" s="8" t="str">
        <f>IFERROR(INDEX('nav master'!$C:$C, MATCH(B524, 'nav master'!$B:$B, 0)), "")</f>
        <v>ULIF 068 25/04/23 FGF 110</v>
      </c>
      <c r="E524" s="8">
        <v>13.2639</v>
      </c>
      <c r="F524" s="9">
        <v>45911</v>
      </c>
    </row>
    <row r="525" spans="1:6" ht="45" x14ac:dyDescent="0.25">
      <c r="A525" s="8" t="s">
        <v>63</v>
      </c>
      <c r="B525" s="8" t="s">
        <v>66</v>
      </c>
      <c r="C525" s="8" t="str">
        <f>IFERROR(_xlfn.XLOOKUP(TRIM(B525),Lookup!$B$2:$B$1000,Lookup!$C$2:$C$1000),"")</f>
        <v>Equity - Flexi Cap</v>
      </c>
      <c r="D525" s="8" t="str">
        <f>IFERROR(INDEX('nav master'!$C:$C, MATCH(B525, 'nav master'!$B:$B, 0)), "")</f>
        <v>ULIF 068 25/04/23 FGF 110</v>
      </c>
      <c r="E525" s="8">
        <v>13.271599999999999</v>
      </c>
      <c r="F525" s="9">
        <v>45912</v>
      </c>
    </row>
    <row r="526" spans="1:6" ht="45" x14ac:dyDescent="0.25">
      <c r="A526" s="8" t="s">
        <v>63</v>
      </c>
      <c r="B526" s="8" t="s">
        <v>66</v>
      </c>
      <c r="C526" s="8" t="str">
        <f>IFERROR(_xlfn.XLOOKUP(TRIM(B526),Lookup!$B$2:$B$1000,Lookup!$C$2:$C$1000),"")</f>
        <v>Equity - Flexi Cap</v>
      </c>
      <c r="D526" s="8" t="str">
        <f>IFERROR(INDEX('nav master'!$C:$C, MATCH(B526, 'nav master'!$B:$B, 0)), "")</f>
        <v>ULIF 068 25/04/23 FGF 110</v>
      </c>
      <c r="E526" s="8">
        <v>13.2925</v>
      </c>
      <c r="F526" s="9">
        <v>45915</v>
      </c>
    </row>
    <row r="527" spans="1:6" ht="45" x14ac:dyDescent="0.25">
      <c r="A527" s="8" t="s">
        <v>63</v>
      </c>
      <c r="B527" s="8" t="s">
        <v>66</v>
      </c>
      <c r="C527" s="8" t="str">
        <f>IFERROR(_xlfn.XLOOKUP(TRIM(B527),Lookup!$B$2:$B$1000,Lookup!$C$2:$C$1000),"")</f>
        <v>Equity - Flexi Cap</v>
      </c>
      <c r="D527" s="8" t="str">
        <f>IFERROR(INDEX('nav master'!$C:$C, MATCH(B527, 'nav master'!$B:$B, 0)), "")</f>
        <v>ULIF 068 25/04/23 FGF 110</v>
      </c>
      <c r="E527" s="8">
        <v>13.3529</v>
      </c>
      <c r="F527" s="9">
        <v>45916</v>
      </c>
    </row>
    <row r="528" spans="1:6" ht="45" x14ac:dyDescent="0.25">
      <c r="A528" s="8" t="s">
        <v>63</v>
      </c>
      <c r="B528" s="8" t="s">
        <v>66</v>
      </c>
      <c r="C528" s="8" t="str">
        <f>IFERROR(_xlfn.XLOOKUP(TRIM(B528),Lookup!$B$2:$B$1000,Lookup!$C$2:$C$1000),"")</f>
        <v>Equity - Flexi Cap</v>
      </c>
      <c r="D528" s="8" t="str">
        <f>IFERROR(INDEX('nav master'!$C:$C, MATCH(B528, 'nav master'!$B:$B, 0)), "")</f>
        <v>ULIF 068 25/04/23 FGF 110</v>
      </c>
      <c r="E528" s="8">
        <v>13.3691</v>
      </c>
      <c r="F528" s="9">
        <v>45917</v>
      </c>
    </row>
    <row r="529" spans="1:6" ht="45" x14ac:dyDescent="0.25">
      <c r="A529" s="8" t="s">
        <v>63</v>
      </c>
      <c r="B529" s="8" t="s">
        <v>66</v>
      </c>
      <c r="C529" s="8" t="str">
        <f>IFERROR(_xlfn.XLOOKUP(TRIM(B529),Lookup!$B$2:$B$1000,Lookup!$C$2:$C$1000),"")</f>
        <v>Equity - Flexi Cap</v>
      </c>
      <c r="D529" s="8" t="str">
        <f>IFERROR(INDEX('nav master'!$C:$C, MATCH(B529, 'nav master'!$B:$B, 0)), "")</f>
        <v>ULIF 068 25/04/23 FGF 110</v>
      </c>
      <c r="E529" s="8">
        <v>13.411300000000001</v>
      </c>
      <c r="F529" s="9">
        <v>45918</v>
      </c>
    </row>
    <row r="530" spans="1:6" ht="45" x14ac:dyDescent="0.25">
      <c r="A530" s="8" t="s">
        <v>63</v>
      </c>
      <c r="B530" s="8" t="s">
        <v>66</v>
      </c>
      <c r="C530" s="8" t="str">
        <f>IFERROR(_xlfn.XLOOKUP(TRIM(B530),Lookup!$B$2:$B$1000,Lookup!$C$2:$C$1000),"")</f>
        <v>Equity - Flexi Cap</v>
      </c>
      <c r="D530" s="8" t="str">
        <f>IFERROR(INDEX('nav master'!$C:$C, MATCH(B530, 'nav master'!$B:$B, 0)), "")</f>
        <v>ULIF 068 25/04/23 FGF 110</v>
      </c>
      <c r="E530" s="8">
        <v>13.365600000000001</v>
      </c>
      <c r="F530" s="9">
        <v>45919</v>
      </c>
    </row>
    <row r="531" spans="1:6" ht="45" x14ac:dyDescent="0.25">
      <c r="A531" s="8" t="s">
        <v>63</v>
      </c>
      <c r="B531" s="8" t="s">
        <v>66</v>
      </c>
      <c r="C531" s="8" t="str">
        <f>IFERROR(_xlfn.XLOOKUP(TRIM(B531),Lookup!$B$2:$B$1000,Lookup!$C$2:$C$1000),"")</f>
        <v>Equity - Flexi Cap</v>
      </c>
      <c r="D531" s="8" t="str">
        <f>IFERROR(INDEX('nav master'!$C:$C, MATCH(B531, 'nav master'!$B:$B, 0)), "")</f>
        <v>ULIF 068 25/04/23 FGF 110</v>
      </c>
      <c r="E531" s="8">
        <v>13.249599999999999</v>
      </c>
      <c r="F531" s="9">
        <v>45922</v>
      </c>
    </row>
    <row r="532" spans="1:6" ht="45" x14ac:dyDescent="0.25">
      <c r="A532" s="8" t="s">
        <v>63</v>
      </c>
      <c r="B532" s="8" t="s">
        <v>66</v>
      </c>
      <c r="C532" s="8" t="str">
        <f>IFERROR(_xlfn.XLOOKUP(TRIM(B532),Lookup!$B$2:$B$1000,Lookup!$C$2:$C$1000),"")</f>
        <v>Equity - Flexi Cap</v>
      </c>
      <c r="D532" s="8" t="str">
        <f>IFERROR(INDEX('nav master'!$C:$C, MATCH(B532, 'nav master'!$B:$B, 0)), "")</f>
        <v>ULIF 068 25/04/23 FGF 110</v>
      </c>
      <c r="E532" s="8">
        <v>13.1966</v>
      </c>
      <c r="F532" s="9">
        <v>45923</v>
      </c>
    </row>
    <row r="533" spans="1:6" ht="45" x14ac:dyDescent="0.25">
      <c r="A533" s="8" t="s">
        <v>63</v>
      </c>
      <c r="B533" s="8" t="s">
        <v>66</v>
      </c>
      <c r="C533" s="8" t="str">
        <f>IFERROR(_xlfn.XLOOKUP(TRIM(B533),Lookup!$B$2:$B$1000,Lookup!$C$2:$C$1000),"")</f>
        <v>Equity - Flexi Cap</v>
      </c>
      <c r="D533" s="8" t="str">
        <f>IFERROR(INDEX('nav master'!$C:$C, MATCH(B533, 'nav master'!$B:$B, 0)), "")</f>
        <v>ULIF 068 25/04/23 FGF 110</v>
      </c>
      <c r="E533" s="8">
        <v>13.1051</v>
      </c>
      <c r="F533" s="9">
        <v>45924</v>
      </c>
    </row>
    <row r="534" spans="1:6" ht="45" x14ac:dyDescent="0.25">
      <c r="A534" s="8" t="s">
        <v>63</v>
      </c>
      <c r="B534" s="8" t="s">
        <v>66</v>
      </c>
      <c r="C534" s="8" t="str">
        <f>IFERROR(_xlfn.XLOOKUP(TRIM(B534),Lookup!$B$2:$B$1000,Lookup!$C$2:$C$1000),"")</f>
        <v>Equity - Flexi Cap</v>
      </c>
      <c r="D534" s="8" t="str">
        <f>IFERROR(INDEX('nav master'!$C:$C, MATCH(B534, 'nav master'!$B:$B, 0)), "")</f>
        <v>ULIF 068 25/04/23 FGF 110</v>
      </c>
      <c r="E534" s="8">
        <v>13.0205</v>
      </c>
      <c r="F534" s="9">
        <v>45925</v>
      </c>
    </row>
    <row r="535" spans="1:6" ht="45" x14ac:dyDescent="0.25">
      <c r="A535" s="8" t="s">
        <v>63</v>
      </c>
      <c r="B535" s="8" t="s">
        <v>66</v>
      </c>
      <c r="C535" s="8" t="str">
        <f>IFERROR(_xlfn.XLOOKUP(TRIM(B535),Lookup!$B$2:$B$1000,Lookup!$C$2:$C$1000),"")</f>
        <v>Equity - Flexi Cap</v>
      </c>
      <c r="D535" s="8" t="str">
        <f>IFERROR(INDEX('nav master'!$C:$C, MATCH(B535, 'nav master'!$B:$B, 0)), "")</f>
        <v>ULIF 068 25/04/23 FGF 110</v>
      </c>
      <c r="E535" s="8">
        <v>12.7888</v>
      </c>
      <c r="F535" s="9">
        <v>45926</v>
      </c>
    </row>
    <row r="536" spans="1:6" ht="45" x14ac:dyDescent="0.25">
      <c r="A536" s="8" t="s">
        <v>63</v>
      </c>
      <c r="B536" s="8" t="s">
        <v>66</v>
      </c>
      <c r="C536" s="8" t="str">
        <f>IFERROR(_xlfn.XLOOKUP(TRIM(B536),Lookup!$B$2:$B$1000,Lookup!$C$2:$C$1000),"")</f>
        <v>Equity - Flexi Cap</v>
      </c>
      <c r="D536" s="8" t="str">
        <f>IFERROR(INDEX('nav master'!$C:$C, MATCH(B536, 'nav master'!$B:$B, 0)), "")</f>
        <v>ULIF 068 25/04/23 FGF 110</v>
      </c>
      <c r="E536" s="8">
        <v>12.8009</v>
      </c>
      <c r="F536" s="9">
        <v>45929</v>
      </c>
    </row>
    <row r="537" spans="1:6" ht="45" x14ac:dyDescent="0.25">
      <c r="A537" s="8" t="s">
        <v>63</v>
      </c>
      <c r="B537" s="8" t="s">
        <v>66</v>
      </c>
      <c r="C537" s="8" t="str">
        <f>IFERROR(_xlfn.XLOOKUP(TRIM(B537),Lookup!$B$2:$B$1000,Lookup!$C$2:$C$1000),"")</f>
        <v>Equity - Flexi Cap</v>
      </c>
      <c r="D537" s="8" t="str">
        <f>IFERROR(INDEX('nav master'!$C:$C, MATCH(B537, 'nav master'!$B:$B, 0)), "")</f>
        <v>ULIF 068 25/04/23 FGF 110</v>
      </c>
      <c r="E537" s="8">
        <v>12.7752</v>
      </c>
      <c r="F537" s="9">
        <v>45930</v>
      </c>
    </row>
    <row r="538" spans="1:6" ht="45" x14ac:dyDescent="0.25">
      <c r="A538" s="8" t="s">
        <v>63</v>
      </c>
      <c r="B538" s="8" t="s">
        <v>66</v>
      </c>
      <c r="C538" s="8" t="str">
        <f>IFERROR(_xlfn.XLOOKUP(TRIM(B538),Lookup!$B$2:$B$1000,Lookup!$C$2:$C$1000),"")</f>
        <v>Equity - Flexi Cap</v>
      </c>
      <c r="D538" s="8" t="str">
        <f>IFERROR(INDEX('nav master'!$C:$C, MATCH(B538, 'nav master'!$B:$B, 0)), "")</f>
        <v>ULIF 068 25/04/23 FGF 110</v>
      </c>
      <c r="E538" s="8">
        <v>12.8992</v>
      </c>
      <c r="F538" s="9">
        <v>45931</v>
      </c>
    </row>
    <row r="539" spans="1:6" ht="45" x14ac:dyDescent="0.25">
      <c r="A539" s="8" t="s">
        <v>63</v>
      </c>
      <c r="B539" s="8" t="s">
        <v>66</v>
      </c>
      <c r="C539" s="8" t="str">
        <f>IFERROR(_xlfn.XLOOKUP(TRIM(B539),Lookup!$B$2:$B$1000,Lookup!$C$2:$C$1000),"")</f>
        <v>Equity - Flexi Cap</v>
      </c>
      <c r="D539" s="8" t="str">
        <f>IFERROR(INDEX('nav master'!$C:$C, MATCH(B539, 'nav master'!$B:$B, 0)), "")</f>
        <v>ULIF 068 25/04/23 FGF 110</v>
      </c>
      <c r="E539" s="8">
        <v>12.9496</v>
      </c>
      <c r="F539" s="9">
        <v>45933</v>
      </c>
    </row>
    <row r="540" spans="1:6" ht="45" x14ac:dyDescent="0.25">
      <c r="A540" s="8" t="s">
        <v>63</v>
      </c>
      <c r="B540" s="8" t="s">
        <v>66</v>
      </c>
      <c r="C540" s="8" t="str">
        <f>IFERROR(_xlfn.XLOOKUP(TRIM(B540),Lookup!$B$2:$B$1000,Lookup!$C$2:$C$1000),"")</f>
        <v>Equity - Flexi Cap</v>
      </c>
      <c r="D540" s="8" t="str">
        <f>IFERROR(INDEX('nav master'!$C:$C, MATCH(B540, 'nav master'!$B:$B, 0)), "")</f>
        <v>ULIF 068 25/04/23 FGF 110</v>
      </c>
      <c r="E540" s="8">
        <v>13.052099999999999</v>
      </c>
      <c r="F540" s="9">
        <v>45936</v>
      </c>
    </row>
    <row r="541" spans="1:6" ht="45" x14ac:dyDescent="0.25">
      <c r="A541" s="8" t="s">
        <v>63</v>
      </c>
      <c r="B541" s="8" t="s">
        <v>66</v>
      </c>
      <c r="C541" s="8" t="str">
        <f>IFERROR(_xlfn.XLOOKUP(TRIM(B541),Lookup!$B$2:$B$1000,Lookup!$C$2:$C$1000),"")</f>
        <v>Equity - Flexi Cap</v>
      </c>
      <c r="D541" s="8" t="str">
        <f>IFERROR(INDEX('nav master'!$C:$C, MATCH(B541, 'nav master'!$B:$B, 0)), "")</f>
        <v>ULIF 068 25/04/23 FGF 110</v>
      </c>
      <c r="E541" s="8">
        <v>13.1189</v>
      </c>
      <c r="F541" s="9">
        <v>45937</v>
      </c>
    </row>
    <row r="542" spans="1:6" ht="45" x14ac:dyDescent="0.25">
      <c r="A542" s="8" t="s">
        <v>63</v>
      </c>
      <c r="B542" s="8" t="s">
        <v>66</v>
      </c>
      <c r="C542" s="8" t="str">
        <f>IFERROR(_xlfn.XLOOKUP(TRIM(B542),Lookup!$B$2:$B$1000,Lookup!$C$2:$C$1000),"")</f>
        <v>Equity - Flexi Cap</v>
      </c>
      <c r="D542" s="8" t="str">
        <f>IFERROR(INDEX('nav master'!$C:$C, MATCH(B542, 'nav master'!$B:$B, 0)), "")</f>
        <v>ULIF 068 25/04/23 FGF 110</v>
      </c>
      <c r="E542" s="8">
        <v>13.075900000000001</v>
      </c>
      <c r="F542" s="9">
        <v>45938</v>
      </c>
    </row>
    <row r="543" spans="1:6" ht="45" x14ac:dyDescent="0.25">
      <c r="A543" s="8" t="s">
        <v>63</v>
      </c>
      <c r="B543" s="8" t="s">
        <v>66</v>
      </c>
      <c r="C543" s="8" t="str">
        <f>IFERROR(_xlfn.XLOOKUP(TRIM(B543),Lookup!$B$2:$B$1000,Lookup!$C$2:$C$1000),"")</f>
        <v>Equity - Flexi Cap</v>
      </c>
      <c r="D543" s="8" t="str">
        <f>IFERROR(INDEX('nav master'!$C:$C, MATCH(B543, 'nav master'!$B:$B, 0)), "")</f>
        <v>ULIF 068 25/04/23 FGF 110</v>
      </c>
      <c r="E543" s="8">
        <v>13.152100000000001</v>
      </c>
      <c r="F543" s="9">
        <v>45939</v>
      </c>
    </row>
    <row r="544" spans="1:6" ht="45" x14ac:dyDescent="0.25">
      <c r="A544" s="8" t="s">
        <v>63</v>
      </c>
      <c r="B544" s="8" t="s">
        <v>66</v>
      </c>
      <c r="C544" s="8" t="str">
        <f>IFERROR(_xlfn.XLOOKUP(TRIM(B544),Lookup!$B$2:$B$1000,Lookup!$C$2:$C$1000),"")</f>
        <v>Equity - Flexi Cap</v>
      </c>
      <c r="D544" s="8" t="str">
        <f>IFERROR(INDEX('nav master'!$C:$C, MATCH(B544, 'nav master'!$B:$B, 0)), "")</f>
        <v>ULIF 068 25/04/23 FGF 110</v>
      </c>
      <c r="E544" s="8">
        <v>13.2341</v>
      </c>
      <c r="F544" s="9">
        <v>45940</v>
      </c>
    </row>
    <row r="545" spans="1:6" ht="45" x14ac:dyDescent="0.25">
      <c r="A545" s="8" t="s">
        <v>63</v>
      </c>
      <c r="B545" s="8" t="s">
        <v>66</v>
      </c>
      <c r="C545" s="8" t="str">
        <f>IFERROR(_xlfn.XLOOKUP(TRIM(B545),Lookup!$B$2:$B$1000,Lookup!$C$2:$C$1000),"")</f>
        <v>Equity - Flexi Cap</v>
      </c>
      <c r="D545" s="8" t="str">
        <f>IFERROR(INDEX('nav master'!$C:$C, MATCH(B545, 'nav master'!$B:$B, 0)), "")</f>
        <v>ULIF 068 25/04/23 FGF 110</v>
      </c>
      <c r="E545" s="8">
        <v>13.2409</v>
      </c>
      <c r="F545" s="9">
        <v>45943</v>
      </c>
    </row>
    <row r="546" spans="1:6" ht="45" x14ac:dyDescent="0.25">
      <c r="A546" s="8" t="s">
        <v>63</v>
      </c>
      <c r="B546" s="8" t="s">
        <v>66</v>
      </c>
      <c r="C546" s="8" t="str">
        <f>IFERROR(_xlfn.XLOOKUP(TRIM(B546),Lookup!$B$2:$B$1000,Lookup!$C$2:$C$1000),"")</f>
        <v>Equity - Flexi Cap</v>
      </c>
      <c r="D546" s="8" t="str">
        <f>IFERROR(INDEX('nav master'!$C:$C, MATCH(B546, 'nav master'!$B:$B, 0)), "")</f>
        <v>ULIF 068 25/04/23 FGF 110</v>
      </c>
      <c r="E546" s="8">
        <v>13.2027</v>
      </c>
      <c r="F546" s="9">
        <v>45944</v>
      </c>
    </row>
    <row r="547" spans="1:6" ht="45" x14ac:dyDescent="0.25">
      <c r="A547" s="8" t="s">
        <v>63</v>
      </c>
      <c r="B547" s="8" t="s">
        <v>66</v>
      </c>
      <c r="C547" s="8" t="str">
        <f>IFERROR(_xlfn.XLOOKUP(TRIM(B547),Lookup!$B$2:$B$1000,Lookup!$C$2:$C$1000),"")</f>
        <v>Equity - Flexi Cap</v>
      </c>
      <c r="D547" s="8" t="str">
        <f>IFERROR(INDEX('nav master'!$C:$C, MATCH(B547, 'nav master'!$B:$B, 0)), "")</f>
        <v>ULIF 068 25/04/23 FGF 110</v>
      </c>
      <c r="E547" s="8">
        <v>13.285600000000001</v>
      </c>
      <c r="F547" s="9">
        <v>45945</v>
      </c>
    </row>
    <row r="548" spans="1:6" ht="45" x14ac:dyDescent="0.25">
      <c r="A548" s="8" t="s">
        <v>63</v>
      </c>
      <c r="B548" s="8" t="s">
        <v>66</v>
      </c>
      <c r="C548" s="8" t="str">
        <f>IFERROR(_xlfn.XLOOKUP(TRIM(B548),Lookup!$B$2:$B$1000,Lookup!$C$2:$C$1000),"")</f>
        <v>Equity - Flexi Cap</v>
      </c>
      <c r="D548" s="8" t="str">
        <f>IFERROR(INDEX('nav master'!$C:$C, MATCH(B548, 'nav master'!$B:$B, 0)), "")</f>
        <v>ULIF 068 25/04/23 FGF 110</v>
      </c>
      <c r="E548" s="8">
        <v>13.382899999999999</v>
      </c>
      <c r="F548" s="9">
        <v>45946</v>
      </c>
    </row>
    <row r="549" spans="1:6" ht="45" x14ac:dyDescent="0.25">
      <c r="A549" s="8" t="s">
        <v>63</v>
      </c>
      <c r="B549" s="8" t="s">
        <v>66</v>
      </c>
      <c r="C549" s="8" t="str">
        <f>IFERROR(_xlfn.XLOOKUP(TRIM(B549),Lookup!$B$2:$B$1000,Lookup!$C$2:$C$1000),"")</f>
        <v>Equity - Flexi Cap</v>
      </c>
      <c r="D549" s="8" t="str">
        <f>IFERROR(INDEX('nav master'!$C:$C, MATCH(B549, 'nav master'!$B:$B, 0)), "")</f>
        <v>ULIF 068 25/04/23 FGF 110</v>
      </c>
      <c r="E549" s="8">
        <v>13.4031</v>
      </c>
      <c r="F549" s="9">
        <v>45947</v>
      </c>
    </row>
    <row r="550" spans="1:6" ht="45" x14ac:dyDescent="0.25">
      <c r="A550" s="8" t="s">
        <v>63</v>
      </c>
      <c r="B550" s="8" t="s">
        <v>66</v>
      </c>
      <c r="C550" s="8" t="str">
        <f>IFERROR(_xlfn.XLOOKUP(TRIM(B550),Lookup!$B$2:$B$1000,Lookup!$C$2:$C$1000),"")</f>
        <v>Equity - Flexi Cap</v>
      </c>
      <c r="D550" s="8" t="str">
        <f>IFERROR(INDEX('nav master'!$C:$C, MATCH(B550, 'nav master'!$B:$B, 0)), "")</f>
        <v>ULIF 068 25/04/23 FGF 110</v>
      </c>
      <c r="E550" s="8">
        <v>13.445399999999999</v>
      </c>
      <c r="F550" s="9">
        <v>45950</v>
      </c>
    </row>
    <row r="551" spans="1:6" ht="45" x14ac:dyDescent="0.25">
      <c r="A551" s="8" t="s">
        <v>63</v>
      </c>
      <c r="B551" s="8" t="s">
        <v>66</v>
      </c>
      <c r="C551" s="8" t="str">
        <f>IFERROR(_xlfn.XLOOKUP(TRIM(B551),Lookup!$B$2:$B$1000,Lookup!$C$2:$C$1000),"")</f>
        <v>Equity - Flexi Cap</v>
      </c>
      <c r="D551" s="8" t="str">
        <f>IFERROR(INDEX('nav master'!$C:$C, MATCH(B551, 'nav master'!$B:$B, 0)), "")</f>
        <v>ULIF 068 25/04/23 FGF 110</v>
      </c>
      <c r="E551" s="8">
        <v>13.437200000000001</v>
      </c>
      <c r="F551" s="9">
        <v>45953</v>
      </c>
    </row>
    <row r="552" spans="1:6" ht="45" x14ac:dyDescent="0.25">
      <c r="A552" s="8" t="s">
        <v>63</v>
      </c>
      <c r="B552" s="8" t="s">
        <v>66</v>
      </c>
      <c r="C552" s="8" t="str">
        <f>IFERROR(_xlfn.XLOOKUP(TRIM(B552),Lookup!$B$2:$B$1000,Lookup!$C$2:$C$1000),"")</f>
        <v>Equity - Flexi Cap</v>
      </c>
      <c r="D552" s="8" t="str">
        <f>IFERROR(INDEX('nav master'!$C:$C, MATCH(B552, 'nav master'!$B:$B, 0)), "")</f>
        <v>ULIF 068 25/04/23 FGF 110</v>
      </c>
      <c r="E552" s="8">
        <v>13.383100000000001</v>
      </c>
      <c r="F552" s="9">
        <v>45954</v>
      </c>
    </row>
    <row r="553" spans="1:6" ht="45" x14ac:dyDescent="0.25">
      <c r="A553" s="8" t="s">
        <v>63</v>
      </c>
      <c r="B553" s="8" t="s">
        <v>66</v>
      </c>
      <c r="C553" s="8" t="str">
        <f>IFERROR(_xlfn.XLOOKUP(TRIM(B553),Lookup!$B$2:$B$1000,Lookup!$C$2:$C$1000),"")</f>
        <v>Equity - Flexi Cap</v>
      </c>
      <c r="D553" s="8" t="str">
        <f>IFERROR(INDEX('nav master'!$C:$C, MATCH(B553, 'nav master'!$B:$B, 0)), "")</f>
        <v>ULIF 068 25/04/23 FGF 110</v>
      </c>
      <c r="E553" s="8">
        <v>13.4923</v>
      </c>
      <c r="F553" s="9">
        <v>45957</v>
      </c>
    </row>
    <row r="554" spans="1:6" ht="45" x14ac:dyDescent="0.25">
      <c r="A554" s="8" t="s">
        <v>63</v>
      </c>
      <c r="B554" s="8" t="s">
        <v>66</v>
      </c>
      <c r="C554" s="8" t="str">
        <f>IFERROR(_xlfn.XLOOKUP(TRIM(B554),Lookup!$B$2:$B$1000,Lookup!$C$2:$C$1000),"")</f>
        <v>Equity - Flexi Cap</v>
      </c>
      <c r="D554" s="8" t="str">
        <f>IFERROR(INDEX('nav master'!$C:$C, MATCH(B554, 'nav master'!$B:$B, 0)), "")</f>
        <v>ULIF 068 25/04/23 FGF 110</v>
      </c>
      <c r="E554" s="8">
        <v>13.4404</v>
      </c>
      <c r="F554" s="9">
        <v>45958</v>
      </c>
    </row>
    <row r="555" spans="1:6" ht="45" x14ac:dyDescent="0.25">
      <c r="A555" s="8" t="s">
        <v>63</v>
      </c>
      <c r="B555" s="8" t="s">
        <v>66</v>
      </c>
      <c r="C555" s="8" t="str">
        <f>IFERROR(_xlfn.XLOOKUP(TRIM(B555),Lookup!$B$2:$B$1000,Lookup!$C$2:$C$1000),"")</f>
        <v>Equity - Flexi Cap</v>
      </c>
      <c r="D555" s="8" t="str">
        <f>IFERROR(INDEX('nav master'!$C:$C, MATCH(B555, 'nav master'!$B:$B, 0)), "")</f>
        <v>ULIF 068 25/04/23 FGF 110</v>
      </c>
      <c r="E555" s="8">
        <v>13.488</v>
      </c>
      <c r="F555" s="9">
        <v>45959</v>
      </c>
    </row>
    <row r="556" spans="1:6" ht="45" x14ac:dyDescent="0.25">
      <c r="A556" s="8" t="s">
        <v>63</v>
      </c>
      <c r="B556" s="8" t="s">
        <v>66</v>
      </c>
      <c r="C556" s="8" t="str">
        <f>IFERROR(_xlfn.XLOOKUP(TRIM(B556),Lookup!$B$2:$B$1000,Lookup!$C$2:$C$1000),"")</f>
        <v>Equity - Flexi Cap</v>
      </c>
      <c r="D556" s="8" t="str">
        <f>IFERROR(INDEX('nav master'!$C:$C, MATCH(B556, 'nav master'!$B:$B, 0)), "")</f>
        <v>ULIF 068 25/04/23 FGF 110</v>
      </c>
      <c r="E556" s="8">
        <v>13.438499999999999</v>
      </c>
      <c r="F556" s="9">
        <v>45960</v>
      </c>
    </row>
    <row r="557" spans="1:6" ht="45" x14ac:dyDescent="0.25">
      <c r="A557" s="8" t="s">
        <v>63</v>
      </c>
      <c r="B557" s="8" t="s">
        <v>66</v>
      </c>
      <c r="C557" s="8" t="str">
        <f>IFERROR(_xlfn.XLOOKUP(TRIM(B557),Lookup!$B$2:$B$1000,Lookup!$C$2:$C$1000),"")</f>
        <v>Equity - Flexi Cap</v>
      </c>
      <c r="D557" s="8" t="str">
        <f>IFERROR(INDEX('nav master'!$C:$C, MATCH(B557, 'nav master'!$B:$B, 0)), "")</f>
        <v>ULIF 068 25/04/23 FGF 110</v>
      </c>
      <c r="E557" s="8">
        <v>13.374000000000001</v>
      </c>
      <c r="F557" s="9">
        <v>45961</v>
      </c>
    </row>
    <row r="558" spans="1:6" ht="45" x14ac:dyDescent="0.25">
      <c r="A558" s="8" t="s">
        <v>63</v>
      </c>
      <c r="B558" s="8" t="s">
        <v>66</v>
      </c>
      <c r="C558" s="8" t="str">
        <f>IFERROR(_xlfn.XLOOKUP(TRIM(B558),Lookup!$B$2:$B$1000,Lookup!$C$2:$C$1000),"")</f>
        <v>Equity - Flexi Cap</v>
      </c>
      <c r="D558" s="8" t="str">
        <f>IFERROR(INDEX('nav master'!$C:$C, MATCH(B558, 'nav master'!$B:$B, 0)), "")</f>
        <v>ULIF 068 25/04/23 FGF 110</v>
      </c>
      <c r="E558" s="8">
        <v>13.4491</v>
      </c>
      <c r="F558" s="9">
        <v>45964</v>
      </c>
    </row>
    <row r="559" spans="1:6" ht="45" x14ac:dyDescent="0.25">
      <c r="A559" s="8" t="s">
        <v>63</v>
      </c>
      <c r="B559" s="8" t="s">
        <v>66</v>
      </c>
      <c r="C559" s="8" t="str">
        <f>IFERROR(_xlfn.XLOOKUP(TRIM(B559),Lookup!$B$2:$B$1000,Lookup!$C$2:$C$1000),"")</f>
        <v>Equity - Flexi Cap</v>
      </c>
      <c r="D559" s="8" t="str">
        <f>IFERROR(INDEX('nav master'!$C:$C, MATCH(B559, 'nav master'!$B:$B, 0)), "")</f>
        <v>ULIF 068 25/04/23 FGF 110</v>
      </c>
      <c r="E559" s="8">
        <v>13.3719</v>
      </c>
      <c r="F559" s="9">
        <v>45965</v>
      </c>
    </row>
    <row r="560" spans="1:6" ht="45" x14ac:dyDescent="0.25">
      <c r="A560" s="8" t="s">
        <v>63</v>
      </c>
      <c r="B560" s="8" t="s">
        <v>66</v>
      </c>
      <c r="C560" s="8" t="str">
        <f>IFERROR(_xlfn.XLOOKUP(TRIM(B560),Lookup!$B$2:$B$1000,Lookup!$C$2:$C$1000),"")</f>
        <v>Equity - Flexi Cap</v>
      </c>
      <c r="D560" s="8" t="str">
        <f>IFERROR(INDEX('nav master'!$C:$C, MATCH(B560, 'nav master'!$B:$B, 0)), "")</f>
        <v>ULIF 068 25/04/23 FGF 110</v>
      </c>
      <c r="E560" s="8">
        <v>13.2981</v>
      </c>
      <c r="F560" s="9">
        <v>45967</v>
      </c>
    </row>
    <row r="561" spans="1:6" ht="45" x14ac:dyDescent="0.25">
      <c r="A561" s="8" t="s">
        <v>63</v>
      </c>
      <c r="B561" s="8" t="s">
        <v>66</v>
      </c>
      <c r="C561" s="8" t="str">
        <f>IFERROR(_xlfn.XLOOKUP(TRIM(B561),Lookup!$B$2:$B$1000,Lookup!$C$2:$C$1000),"")</f>
        <v>Equity - Flexi Cap</v>
      </c>
      <c r="D561" s="8" t="str">
        <f>IFERROR(INDEX('nav master'!$C:$C, MATCH(B561, 'nav master'!$B:$B, 0)), "")</f>
        <v>ULIF 068 25/04/23 FGF 110</v>
      </c>
      <c r="E561" s="8">
        <v>13.366400000000001</v>
      </c>
      <c r="F561" s="9">
        <v>45968</v>
      </c>
    </row>
    <row r="562" spans="1:6" ht="45" x14ac:dyDescent="0.25">
      <c r="A562" s="8" t="s">
        <v>63</v>
      </c>
      <c r="B562" s="8" t="s">
        <v>66</v>
      </c>
      <c r="C562" s="8" t="str">
        <f>IFERROR(_xlfn.XLOOKUP(TRIM(B562),Lookup!$B$2:$B$1000,Lookup!$C$2:$C$1000),"")</f>
        <v>Equity - Flexi Cap</v>
      </c>
      <c r="D562" s="8" t="str">
        <f>IFERROR(INDEX('nav master'!$C:$C, MATCH(B562, 'nav master'!$B:$B, 0)), "")</f>
        <v>ULIF 068 25/04/23 FGF 110</v>
      </c>
      <c r="E562" s="8">
        <v>13.4117</v>
      </c>
      <c r="F562" s="9">
        <v>45971</v>
      </c>
    </row>
    <row r="563" spans="1:6" ht="45" x14ac:dyDescent="0.25">
      <c r="A563" s="8" t="s">
        <v>63</v>
      </c>
      <c r="B563" s="8" t="s">
        <v>66</v>
      </c>
      <c r="C563" s="8" t="str">
        <f>IFERROR(_xlfn.XLOOKUP(TRIM(B563),Lookup!$B$2:$B$1000,Lookup!$C$2:$C$1000),"")</f>
        <v>Equity - Flexi Cap</v>
      </c>
      <c r="D563" s="8" t="str">
        <f>IFERROR(INDEX('nav master'!$C:$C, MATCH(B563, 'nav master'!$B:$B, 0)), "")</f>
        <v>ULIF 068 25/04/23 FGF 110</v>
      </c>
      <c r="E563" s="8">
        <v>13.477600000000001</v>
      </c>
      <c r="F563" s="9">
        <v>45972</v>
      </c>
    </row>
    <row r="564" spans="1:6" ht="45" x14ac:dyDescent="0.25">
      <c r="A564" s="8" t="s">
        <v>63</v>
      </c>
      <c r="B564" s="8" t="s">
        <v>66</v>
      </c>
      <c r="C564" s="8" t="str">
        <f>IFERROR(_xlfn.XLOOKUP(TRIM(B564),Lookup!$B$2:$B$1000,Lookup!$C$2:$C$1000),"")</f>
        <v>Equity - Flexi Cap</v>
      </c>
      <c r="D564" s="8" t="str">
        <f>IFERROR(INDEX('nav master'!$C:$C, MATCH(B564, 'nav master'!$B:$B, 0)), "")</f>
        <v>ULIF 068 25/04/23 FGF 110</v>
      </c>
      <c r="E564" s="8">
        <v>13.588800000000001</v>
      </c>
      <c r="F564" s="9">
        <v>45973</v>
      </c>
    </row>
    <row r="565" spans="1:6" ht="45" x14ac:dyDescent="0.25">
      <c r="A565" s="8" t="s">
        <v>63</v>
      </c>
      <c r="B565" s="8" t="s">
        <v>66</v>
      </c>
      <c r="C565" s="8" t="str">
        <f>IFERROR(_xlfn.XLOOKUP(TRIM(B565),Lookup!$B$2:$B$1000,Lookup!$C$2:$C$1000),"")</f>
        <v>Equity - Flexi Cap</v>
      </c>
      <c r="D565" s="8" t="str">
        <f>IFERROR(INDEX('nav master'!$C:$C, MATCH(B565, 'nav master'!$B:$B, 0)), "")</f>
        <v>ULIF 068 25/04/23 FGF 110</v>
      </c>
      <c r="E565" s="8">
        <v>13.532500000000001</v>
      </c>
      <c r="F565" s="9">
        <v>45974</v>
      </c>
    </row>
    <row r="566" spans="1:6" ht="45" x14ac:dyDescent="0.25">
      <c r="A566" s="8" t="s">
        <v>63</v>
      </c>
      <c r="B566" s="8" t="s">
        <v>66</v>
      </c>
      <c r="C566" s="8" t="str">
        <f>IFERROR(_xlfn.XLOOKUP(TRIM(B566),Lookup!$B$2:$B$1000,Lookup!$C$2:$C$1000),"")</f>
        <v>Equity - Flexi Cap</v>
      </c>
      <c r="D566" s="8" t="str">
        <f>IFERROR(INDEX('nav master'!$C:$C, MATCH(B566, 'nav master'!$B:$B, 0)), "")</f>
        <v>ULIF 068 25/04/23 FGF 110</v>
      </c>
      <c r="E566" s="8">
        <v>13.5474</v>
      </c>
      <c r="F566" s="9">
        <v>45975</v>
      </c>
    </row>
    <row r="567" spans="1:6" ht="45" x14ac:dyDescent="0.25">
      <c r="A567" s="8" t="s">
        <v>63</v>
      </c>
      <c r="B567" s="8" t="s">
        <v>66</v>
      </c>
      <c r="C567" s="8" t="str">
        <f>IFERROR(_xlfn.XLOOKUP(TRIM(B567),Lookup!$B$2:$B$1000,Lookup!$C$2:$C$1000),"")</f>
        <v>Equity - Flexi Cap</v>
      </c>
      <c r="D567" s="8" t="str">
        <f>IFERROR(INDEX('nav master'!$C:$C, MATCH(B567, 'nav master'!$B:$B, 0)), "")</f>
        <v>ULIF 068 25/04/23 FGF 110</v>
      </c>
      <c r="E567" s="8">
        <v>13.630699999999999</v>
      </c>
      <c r="F567" s="9">
        <v>45978</v>
      </c>
    </row>
    <row r="568" spans="1:6" ht="45" x14ac:dyDescent="0.25">
      <c r="A568" s="8" t="s">
        <v>63</v>
      </c>
      <c r="B568" s="8" t="s">
        <v>66</v>
      </c>
      <c r="C568" s="8" t="str">
        <f>IFERROR(_xlfn.XLOOKUP(TRIM(B568),Lookup!$B$2:$B$1000,Lookup!$C$2:$C$1000),"")</f>
        <v>Equity - Flexi Cap</v>
      </c>
      <c r="D568" s="8" t="str">
        <f>IFERROR(INDEX('nav master'!$C:$C, MATCH(B568, 'nav master'!$B:$B, 0)), "")</f>
        <v>ULIF 068 25/04/23 FGF 110</v>
      </c>
      <c r="E568" s="8">
        <v>13.5496</v>
      </c>
      <c r="F568" s="9">
        <v>45979</v>
      </c>
    </row>
    <row r="569" spans="1:6" ht="45" x14ac:dyDescent="0.25">
      <c r="A569" s="8" t="s">
        <v>63</v>
      </c>
      <c r="B569" s="8" t="s">
        <v>66</v>
      </c>
      <c r="C569" s="8" t="str">
        <f>IFERROR(_xlfn.XLOOKUP(TRIM(B569),Lookup!$B$2:$B$1000,Lookup!$C$2:$C$1000),"")</f>
        <v>Equity - Flexi Cap</v>
      </c>
      <c r="D569" s="8" t="str">
        <f>IFERROR(INDEX('nav master'!$C:$C, MATCH(B569, 'nav master'!$B:$B, 0)), "")</f>
        <v>ULIF 068 25/04/23 FGF 110</v>
      </c>
      <c r="E569" s="8">
        <v>13.5951</v>
      </c>
      <c r="F569" s="9">
        <v>45980</v>
      </c>
    </row>
    <row r="570" spans="1:6" ht="45" x14ac:dyDescent="0.25">
      <c r="A570" s="8" t="s">
        <v>63</v>
      </c>
      <c r="B570" s="8" t="s">
        <v>66</v>
      </c>
      <c r="C570" s="8" t="str">
        <f>IFERROR(_xlfn.XLOOKUP(TRIM(B570),Lookup!$B$2:$B$1000,Lookup!$C$2:$C$1000),"")</f>
        <v>Equity - Flexi Cap</v>
      </c>
      <c r="D570" s="8" t="str">
        <f>IFERROR(INDEX('nav master'!$C:$C, MATCH(B570, 'nav master'!$B:$B, 0)), "")</f>
        <v>ULIF 068 25/04/23 FGF 110</v>
      </c>
      <c r="E570" s="8">
        <v>13.6509</v>
      </c>
      <c r="F570" s="9">
        <v>45981</v>
      </c>
    </row>
    <row r="571" spans="1:6" ht="45" x14ac:dyDescent="0.25">
      <c r="A571" s="8" t="s">
        <v>63</v>
      </c>
      <c r="B571" s="8" t="s">
        <v>66</v>
      </c>
      <c r="C571" s="8" t="str">
        <f>IFERROR(_xlfn.XLOOKUP(TRIM(B571),Lookup!$B$2:$B$1000,Lookup!$C$2:$C$1000),"")</f>
        <v>Equity - Flexi Cap</v>
      </c>
      <c r="D571" s="8" t="str">
        <f>IFERROR(INDEX('nav master'!$C:$C, MATCH(B571, 'nav master'!$B:$B, 0)), "")</f>
        <v>ULIF 068 25/04/23 FGF 110</v>
      </c>
      <c r="E571" s="8">
        <v>13.5258</v>
      </c>
      <c r="F571" s="9">
        <v>45982</v>
      </c>
    </row>
    <row r="572" spans="1:6" ht="45" x14ac:dyDescent="0.25">
      <c r="A572" s="8" t="s">
        <v>63</v>
      </c>
      <c r="B572" s="8" t="s">
        <v>66</v>
      </c>
      <c r="C572" s="8" t="str">
        <f>IFERROR(_xlfn.XLOOKUP(TRIM(B572),Lookup!$B$2:$B$1000,Lookup!$C$2:$C$1000),"")</f>
        <v>Equity - Flexi Cap</v>
      </c>
      <c r="D572" s="8" t="str">
        <f>IFERROR(INDEX('nav master'!$C:$C, MATCH(B572, 'nav master'!$B:$B, 0)), "")</f>
        <v>ULIF 068 25/04/23 FGF 110</v>
      </c>
      <c r="E572" s="8">
        <v>13.4863</v>
      </c>
      <c r="F572" s="9">
        <v>45985</v>
      </c>
    </row>
    <row r="573" spans="1:6" ht="45" x14ac:dyDescent="0.25">
      <c r="A573" s="8" t="s">
        <v>63</v>
      </c>
      <c r="B573" s="8" t="s">
        <v>66</v>
      </c>
      <c r="C573" s="8" t="str">
        <f>IFERROR(_xlfn.XLOOKUP(TRIM(B573),Lookup!$B$2:$B$1000,Lookup!$C$2:$C$1000),"")</f>
        <v>Equity - Flexi Cap</v>
      </c>
      <c r="D573" s="8" t="str">
        <f>IFERROR(INDEX('nav master'!$C:$C, MATCH(B573, 'nav master'!$B:$B, 0)), "")</f>
        <v>ULIF 068 25/04/23 FGF 110</v>
      </c>
      <c r="E573" s="8">
        <v>13.4895</v>
      </c>
      <c r="F573" s="9">
        <v>45986</v>
      </c>
    </row>
    <row r="574" spans="1:6" ht="45" x14ac:dyDescent="0.25">
      <c r="A574" s="8" t="s">
        <v>63</v>
      </c>
      <c r="B574" s="8" t="s">
        <v>66</v>
      </c>
      <c r="C574" s="8" t="str">
        <f>IFERROR(_xlfn.XLOOKUP(TRIM(B574),Lookup!$B$2:$B$1000,Lookup!$C$2:$C$1000),"")</f>
        <v>Equity - Flexi Cap</v>
      </c>
      <c r="D574" s="8" t="str">
        <f>IFERROR(INDEX('nav master'!$C:$C, MATCH(B574, 'nav master'!$B:$B, 0)), "")</f>
        <v>ULIF 068 25/04/23 FGF 110</v>
      </c>
      <c r="E574" s="8">
        <v>13.689</v>
      </c>
      <c r="F574" s="9">
        <v>45987</v>
      </c>
    </row>
    <row r="575" spans="1:6" ht="45" x14ac:dyDescent="0.25">
      <c r="A575" s="8" t="s">
        <v>63</v>
      </c>
      <c r="B575" s="8" t="s">
        <v>66</v>
      </c>
      <c r="C575" s="8" t="str">
        <f>IFERROR(_xlfn.XLOOKUP(TRIM(B575),Lookup!$B$2:$B$1000,Lookup!$C$2:$C$1000),"")</f>
        <v>Equity - Flexi Cap</v>
      </c>
      <c r="D575" s="8" t="str">
        <f>IFERROR(INDEX('nav master'!$C:$C, MATCH(B575, 'nav master'!$B:$B, 0)), "")</f>
        <v>ULIF 068 25/04/23 FGF 110</v>
      </c>
      <c r="E575" s="8">
        <v>13.683299999999999</v>
      </c>
      <c r="F575" s="9">
        <v>45988</v>
      </c>
    </row>
    <row r="576" spans="1:6" ht="45" x14ac:dyDescent="0.25">
      <c r="A576" s="8" t="s">
        <v>63</v>
      </c>
      <c r="B576" s="8" t="s">
        <v>66</v>
      </c>
      <c r="C576" s="8" t="str">
        <f>IFERROR(_xlfn.XLOOKUP(TRIM(B576),Lookup!$B$2:$B$1000,Lookup!$C$2:$C$1000),"")</f>
        <v>Equity - Flexi Cap</v>
      </c>
      <c r="D576" s="8" t="str">
        <f>IFERROR(INDEX('nav master'!$C:$C, MATCH(B576, 'nav master'!$B:$B, 0)), "")</f>
        <v>ULIF 068 25/04/23 FGF 110</v>
      </c>
      <c r="E576" s="8">
        <v>13.6272</v>
      </c>
      <c r="F576" s="9">
        <v>45989</v>
      </c>
    </row>
    <row r="577" spans="1:6" ht="45" x14ac:dyDescent="0.25">
      <c r="A577" s="8" t="s">
        <v>63</v>
      </c>
      <c r="B577" s="8" t="s">
        <v>66</v>
      </c>
      <c r="C577" s="8" t="str">
        <f>IFERROR(_xlfn.XLOOKUP(TRIM(B577),Lookup!$B$2:$B$1000,Lookup!$C$2:$C$1000),"")</f>
        <v>Equity - Flexi Cap</v>
      </c>
      <c r="D577" s="8" t="str">
        <f>IFERROR(INDEX('nav master'!$C:$C, MATCH(B577, 'nav master'!$B:$B, 0)), "")</f>
        <v>ULIF 068 25/04/23 FGF 110</v>
      </c>
      <c r="E577" s="8">
        <v>13.633599999999999</v>
      </c>
      <c r="F577" s="9">
        <v>45992</v>
      </c>
    </row>
    <row r="578" spans="1:6" ht="45" x14ac:dyDescent="0.25">
      <c r="A578" s="8" t="s">
        <v>63</v>
      </c>
      <c r="B578" s="8" t="s">
        <v>66</v>
      </c>
      <c r="C578" s="8" t="str">
        <f>IFERROR(_xlfn.XLOOKUP(TRIM(B578),Lookup!$B$2:$B$1000,Lookup!$C$2:$C$1000),"")</f>
        <v>Equity - Flexi Cap</v>
      </c>
      <c r="D578" s="8" t="str">
        <f>IFERROR(INDEX('nav master'!$C:$C, MATCH(B578, 'nav master'!$B:$B, 0)), "")</f>
        <v>ULIF 068 25/04/23 FGF 110</v>
      </c>
      <c r="E578" s="8">
        <v>13.5634</v>
      </c>
      <c r="F578" s="9">
        <v>45993</v>
      </c>
    </row>
    <row r="579" spans="1:6" ht="45" x14ac:dyDescent="0.25">
      <c r="A579" s="8" t="s">
        <v>63</v>
      </c>
      <c r="B579" s="8" t="s">
        <v>66</v>
      </c>
      <c r="C579" s="8" t="str">
        <f>IFERROR(_xlfn.XLOOKUP(TRIM(B579),Lookup!$B$2:$B$1000,Lookup!$C$2:$C$1000),"")</f>
        <v>Equity - Flexi Cap</v>
      </c>
      <c r="D579" s="8" t="str">
        <f>IFERROR(INDEX('nav master'!$C:$C, MATCH(B579, 'nav master'!$B:$B, 0)), "")</f>
        <v>ULIF 068 25/04/23 FGF 110</v>
      </c>
      <c r="E579" s="8">
        <v>13.494899999999999</v>
      </c>
      <c r="F579" s="9">
        <v>45994</v>
      </c>
    </row>
    <row r="580" spans="1:6" ht="45" x14ac:dyDescent="0.25">
      <c r="A580" s="8" t="s">
        <v>63</v>
      </c>
      <c r="B580" s="8" t="s">
        <v>66</v>
      </c>
      <c r="C580" s="8" t="str">
        <f>IFERROR(_xlfn.XLOOKUP(TRIM(B580),Lookup!$B$2:$B$1000,Lookup!$C$2:$C$1000),"")</f>
        <v>Equity - Flexi Cap</v>
      </c>
      <c r="D580" s="8" t="str">
        <f>IFERROR(INDEX('nav master'!$C:$C, MATCH(B580, 'nav master'!$B:$B, 0)), "")</f>
        <v>ULIF 068 25/04/23 FGF 110</v>
      </c>
      <c r="E580" s="8">
        <v>13.515000000000001</v>
      </c>
      <c r="F580" s="9">
        <v>45995</v>
      </c>
    </row>
    <row r="581" spans="1:6" ht="45" x14ac:dyDescent="0.25">
      <c r="A581" s="8" t="s">
        <v>63</v>
      </c>
      <c r="B581" s="8" t="s">
        <v>66</v>
      </c>
      <c r="C581" s="8" t="str">
        <f>IFERROR(_xlfn.XLOOKUP(TRIM(B581),Lookup!$B$2:$B$1000,Lookup!$C$2:$C$1000),"")</f>
        <v>Equity - Flexi Cap</v>
      </c>
      <c r="D581" s="8" t="str">
        <f>IFERROR(INDEX('nav master'!$C:$C, MATCH(B581, 'nav master'!$B:$B, 0)), "")</f>
        <v>ULIF 068 25/04/23 FGF 110</v>
      </c>
      <c r="E581" s="8">
        <v>13.5517</v>
      </c>
      <c r="F581" s="9">
        <v>45996</v>
      </c>
    </row>
    <row r="582" spans="1:6" ht="45" x14ac:dyDescent="0.25">
      <c r="A582" s="8" t="s">
        <v>63</v>
      </c>
      <c r="B582" s="8" t="s">
        <v>66</v>
      </c>
      <c r="C582" s="8" t="str">
        <f>IFERROR(_xlfn.XLOOKUP(TRIM(B582),Lookup!$B$2:$B$1000,Lookup!$C$2:$C$1000),"")</f>
        <v>Equity - Flexi Cap</v>
      </c>
      <c r="D582" s="8" t="str">
        <f>IFERROR(INDEX('nav master'!$C:$C, MATCH(B582, 'nav master'!$B:$B, 0)), "")</f>
        <v>ULIF 068 25/04/23 FGF 110</v>
      </c>
      <c r="E582" s="8">
        <v>13.353199999999999</v>
      </c>
      <c r="F582" s="9">
        <v>45999</v>
      </c>
    </row>
    <row r="583" spans="1:6" ht="45" x14ac:dyDescent="0.25">
      <c r="A583" s="8" t="s">
        <v>63</v>
      </c>
      <c r="B583" s="8" t="s">
        <v>66</v>
      </c>
      <c r="C583" s="8" t="str">
        <f>IFERROR(_xlfn.XLOOKUP(TRIM(B583),Lookup!$B$2:$B$1000,Lookup!$C$2:$C$1000),"")</f>
        <v>Equity - Flexi Cap</v>
      </c>
      <c r="D583" s="8" t="str">
        <f>IFERROR(INDEX('nav master'!$C:$C, MATCH(B583, 'nav master'!$B:$B, 0)), "")</f>
        <v>ULIF 068 25/04/23 FGF 110</v>
      </c>
      <c r="E583" s="8">
        <v>13.401400000000001</v>
      </c>
      <c r="F583" s="9">
        <v>46000</v>
      </c>
    </row>
    <row r="584" spans="1:6" ht="45" x14ac:dyDescent="0.25">
      <c r="A584" s="8" t="s">
        <v>63</v>
      </c>
      <c r="B584" s="8" t="s">
        <v>66</v>
      </c>
      <c r="C584" s="8" t="str">
        <f>IFERROR(_xlfn.XLOOKUP(TRIM(B584),Lookup!$B$2:$B$1000,Lookup!$C$2:$C$1000),"")</f>
        <v>Equity - Flexi Cap</v>
      </c>
      <c r="D584" s="8" t="str">
        <f>IFERROR(INDEX('nav master'!$C:$C, MATCH(B584, 'nav master'!$B:$B, 0)), "")</f>
        <v>ULIF 068 25/04/23 FGF 110</v>
      </c>
      <c r="E584" s="8">
        <v>13.260999999999999</v>
      </c>
      <c r="F584" s="9">
        <v>46001</v>
      </c>
    </row>
    <row r="585" spans="1:6" ht="45" x14ac:dyDescent="0.25">
      <c r="A585" s="8" t="s">
        <v>63</v>
      </c>
      <c r="B585" s="8" t="s">
        <v>66</v>
      </c>
      <c r="C585" s="8" t="str">
        <f>IFERROR(_xlfn.XLOOKUP(TRIM(B585),Lookup!$B$2:$B$1000,Lookup!$C$2:$C$1000),"")</f>
        <v>Equity - Flexi Cap</v>
      </c>
      <c r="D585" s="8" t="str">
        <f>IFERROR(INDEX('nav master'!$C:$C, MATCH(B585, 'nav master'!$B:$B, 0)), "")</f>
        <v>ULIF 068 25/04/23 FGF 110</v>
      </c>
      <c r="E585" s="8">
        <v>13.337400000000001</v>
      </c>
      <c r="F585" s="9">
        <v>46002</v>
      </c>
    </row>
    <row r="586" spans="1:6" ht="45" x14ac:dyDescent="0.25">
      <c r="A586" s="8" t="s">
        <v>63</v>
      </c>
      <c r="B586" s="8" t="s">
        <v>66</v>
      </c>
      <c r="C586" s="8" t="str">
        <f>IFERROR(_xlfn.XLOOKUP(TRIM(B586),Lookup!$B$2:$B$1000,Lookup!$C$2:$C$1000),"")</f>
        <v>Equity - Flexi Cap</v>
      </c>
      <c r="D586" s="8" t="str">
        <f>IFERROR(INDEX('nav master'!$C:$C, MATCH(B586, 'nav master'!$B:$B, 0)), "")</f>
        <v>ULIF 068 25/04/23 FGF 110</v>
      </c>
      <c r="E586" s="8">
        <v>13.450100000000001</v>
      </c>
      <c r="F586" s="9">
        <v>46003</v>
      </c>
    </row>
    <row r="587" spans="1:6" ht="45" x14ac:dyDescent="0.25">
      <c r="A587" s="8" t="s">
        <v>63</v>
      </c>
      <c r="B587" s="8" t="s">
        <v>66</v>
      </c>
      <c r="C587" s="8" t="str">
        <f>IFERROR(_xlfn.XLOOKUP(TRIM(B587),Lookup!$B$2:$B$1000,Lookup!$C$2:$C$1000),"")</f>
        <v>Equity - Flexi Cap</v>
      </c>
      <c r="D587" s="8" t="str">
        <f>IFERROR(INDEX('nav master'!$C:$C, MATCH(B587, 'nav master'!$B:$B, 0)), "")</f>
        <v>ULIF 068 25/04/23 FGF 110</v>
      </c>
      <c r="E587" s="8">
        <v>13.426600000000001</v>
      </c>
      <c r="F587" s="9">
        <v>46006</v>
      </c>
    </row>
    <row r="588" spans="1:6" ht="45" x14ac:dyDescent="0.25">
      <c r="A588" s="8" t="s">
        <v>63</v>
      </c>
      <c r="B588" s="8" t="s">
        <v>66</v>
      </c>
      <c r="C588" s="8" t="str">
        <f>IFERROR(_xlfn.XLOOKUP(TRIM(B588),Lookup!$B$2:$B$1000,Lookup!$C$2:$C$1000),"")</f>
        <v>Equity - Flexi Cap</v>
      </c>
      <c r="D588" s="8" t="str">
        <f>IFERROR(INDEX('nav master'!$C:$C, MATCH(B588, 'nav master'!$B:$B, 0)), "")</f>
        <v>ULIF 068 25/04/23 FGF 110</v>
      </c>
      <c r="E588" s="8">
        <v>13.3459</v>
      </c>
      <c r="F588" s="9">
        <v>46007</v>
      </c>
    </row>
    <row r="589" spans="1:6" ht="45" x14ac:dyDescent="0.25">
      <c r="A589" s="8" t="s">
        <v>63</v>
      </c>
      <c r="B589" s="8" t="s">
        <v>66</v>
      </c>
      <c r="C589" s="8" t="str">
        <f>IFERROR(_xlfn.XLOOKUP(TRIM(B589),Lookup!$B$2:$B$1000,Lookup!$C$2:$C$1000),"")</f>
        <v>Equity - Flexi Cap</v>
      </c>
      <c r="D589" s="8" t="str">
        <f>IFERROR(INDEX('nav master'!$C:$C, MATCH(B589, 'nav master'!$B:$B, 0)), "")</f>
        <v>ULIF 068 25/04/23 FGF 110</v>
      </c>
      <c r="E589" s="8">
        <v>13.2821</v>
      </c>
      <c r="F589" s="9">
        <v>46008</v>
      </c>
    </row>
    <row r="590" spans="1:6" ht="45" x14ac:dyDescent="0.25">
      <c r="A590" s="8" t="s">
        <v>63</v>
      </c>
      <c r="B590" s="8" t="s">
        <v>66</v>
      </c>
      <c r="C590" s="8" t="str">
        <f>IFERROR(_xlfn.XLOOKUP(TRIM(B590),Lookup!$B$2:$B$1000,Lookup!$C$2:$C$1000),"")</f>
        <v>Equity - Flexi Cap</v>
      </c>
      <c r="D590" s="8" t="str">
        <f>IFERROR(INDEX('nav master'!$C:$C, MATCH(B590, 'nav master'!$B:$B, 0)), "")</f>
        <v>ULIF 068 25/04/23 FGF 110</v>
      </c>
      <c r="E590" s="8">
        <v>13.3367</v>
      </c>
      <c r="F590" s="9">
        <v>46009</v>
      </c>
    </row>
    <row r="591" spans="1:6" ht="45" x14ac:dyDescent="0.25">
      <c r="A591" s="8" t="s">
        <v>63</v>
      </c>
      <c r="B591" s="8" t="s">
        <v>66</v>
      </c>
      <c r="C591" s="8" t="str">
        <f>IFERROR(_xlfn.XLOOKUP(TRIM(B591),Lookup!$B$2:$B$1000,Lookup!$C$2:$C$1000),"")</f>
        <v>Equity - Flexi Cap</v>
      </c>
      <c r="D591" s="8" t="str">
        <f>IFERROR(INDEX('nav master'!$C:$C, MATCH(B591, 'nav master'!$B:$B, 0)), "")</f>
        <v>ULIF 068 25/04/23 FGF 110</v>
      </c>
      <c r="E591" s="8">
        <v>13.4696</v>
      </c>
      <c r="F591" s="9">
        <v>46010</v>
      </c>
    </row>
    <row r="592" spans="1:6" ht="45" x14ac:dyDescent="0.25">
      <c r="A592" s="8" t="s">
        <v>63</v>
      </c>
      <c r="B592" s="8" t="s">
        <v>66</v>
      </c>
      <c r="C592" s="8" t="str">
        <f>IFERROR(_xlfn.XLOOKUP(TRIM(B592),Lookup!$B$2:$B$1000,Lookup!$C$2:$C$1000),"")</f>
        <v>Equity - Flexi Cap</v>
      </c>
      <c r="D592" s="8" t="str">
        <f>IFERROR(INDEX('nav master'!$C:$C, MATCH(B592, 'nav master'!$B:$B, 0)), "")</f>
        <v>ULIF 068 25/04/23 FGF 110</v>
      </c>
      <c r="E592" s="8">
        <v>13.5983</v>
      </c>
      <c r="F592" s="9">
        <v>46013</v>
      </c>
    </row>
    <row r="593" spans="1:6" ht="45" x14ac:dyDescent="0.25">
      <c r="A593" s="8" t="s">
        <v>63</v>
      </c>
      <c r="B593" s="8" t="s">
        <v>66</v>
      </c>
      <c r="C593" s="8" t="str">
        <f>IFERROR(_xlfn.XLOOKUP(TRIM(B593),Lookup!$B$2:$B$1000,Lookup!$C$2:$C$1000),"")</f>
        <v>Equity - Flexi Cap</v>
      </c>
      <c r="D593" s="8" t="str">
        <f>IFERROR(INDEX('nav master'!$C:$C, MATCH(B593, 'nav master'!$B:$B, 0)), "")</f>
        <v>ULIF 068 25/04/23 FGF 110</v>
      </c>
      <c r="E593" s="8">
        <v>13.604699999999999</v>
      </c>
      <c r="F593" s="9">
        <v>46014</v>
      </c>
    </row>
    <row r="594" spans="1:6" ht="45" x14ac:dyDescent="0.25">
      <c r="A594" s="8" t="s">
        <v>63</v>
      </c>
      <c r="B594" s="8" t="s">
        <v>66</v>
      </c>
      <c r="C594" s="8" t="str">
        <f>IFERROR(_xlfn.XLOOKUP(TRIM(B594),Lookup!$B$2:$B$1000,Lookup!$C$2:$C$1000),"")</f>
        <v>Equity - Flexi Cap</v>
      </c>
      <c r="D594" s="8" t="str">
        <f>IFERROR(INDEX('nav master'!$C:$C, MATCH(B594, 'nav master'!$B:$B, 0)), "")</f>
        <v>ULIF 068 25/04/23 FGF 110</v>
      </c>
      <c r="E594" s="8">
        <v>13.5533</v>
      </c>
      <c r="F594" s="9">
        <v>46015</v>
      </c>
    </row>
    <row r="595" spans="1:6" ht="45" x14ac:dyDescent="0.25">
      <c r="A595" s="8" t="s">
        <v>63</v>
      </c>
      <c r="B595" s="8" t="s">
        <v>66</v>
      </c>
      <c r="C595" s="8" t="str">
        <f>IFERROR(_xlfn.XLOOKUP(TRIM(B595),Lookup!$B$2:$B$1000,Lookup!$C$2:$C$1000),"")</f>
        <v>Equity - Flexi Cap</v>
      </c>
      <c r="D595" s="8" t="str">
        <f>IFERROR(INDEX('nav master'!$C:$C, MATCH(B595, 'nav master'!$B:$B, 0)), "")</f>
        <v>ULIF 068 25/04/23 FGF 110</v>
      </c>
      <c r="E595" s="8">
        <v>13.489800000000001</v>
      </c>
      <c r="F595" s="9">
        <v>46017</v>
      </c>
    </row>
    <row r="596" spans="1:6" ht="45" x14ac:dyDescent="0.25">
      <c r="A596" s="8" t="s">
        <v>63</v>
      </c>
      <c r="B596" s="8" t="s">
        <v>66</v>
      </c>
      <c r="C596" s="8" t="str">
        <f>IFERROR(_xlfn.XLOOKUP(TRIM(B596),Lookup!$B$2:$B$1000,Lookup!$C$2:$C$1000),"")</f>
        <v>Equity - Flexi Cap</v>
      </c>
      <c r="D596" s="8" t="str">
        <f>IFERROR(INDEX('nav master'!$C:$C, MATCH(B596, 'nav master'!$B:$B, 0)), "")</f>
        <v>ULIF 068 25/04/23 FGF 110</v>
      </c>
      <c r="E596" s="8">
        <v>13.417299999999999</v>
      </c>
      <c r="F596" s="9">
        <v>46020</v>
      </c>
    </row>
    <row r="597" spans="1:6" ht="45" x14ac:dyDescent="0.25">
      <c r="A597" s="8" t="s">
        <v>63</v>
      </c>
      <c r="B597" s="8" t="s">
        <v>66</v>
      </c>
      <c r="C597" s="8" t="str">
        <f>IFERROR(_xlfn.XLOOKUP(TRIM(B597),Lookup!$B$2:$B$1000,Lookup!$C$2:$C$1000),"")</f>
        <v>Equity - Flexi Cap</v>
      </c>
      <c r="D597" s="8" t="str">
        <f>IFERROR(INDEX('nav master'!$C:$C, MATCH(B597, 'nav master'!$B:$B, 0)), "")</f>
        <v>ULIF 068 25/04/23 FGF 110</v>
      </c>
      <c r="E597" s="8">
        <v>13.3848</v>
      </c>
      <c r="F597" s="9">
        <v>46021</v>
      </c>
    </row>
    <row r="598" spans="1:6" ht="45" x14ac:dyDescent="0.25">
      <c r="A598" s="8" t="s">
        <v>63</v>
      </c>
      <c r="B598" s="8" t="s">
        <v>66</v>
      </c>
      <c r="C598" s="8" t="str">
        <f>IFERROR(_xlfn.XLOOKUP(TRIM(B598),Lookup!$B$2:$B$1000,Lookup!$C$2:$C$1000),"")</f>
        <v>Equity - Flexi Cap</v>
      </c>
      <c r="D598" s="8" t="str">
        <f>IFERROR(INDEX('nav master'!$C:$C, MATCH(B598, 'nav master'!$B:$B, 0)), "")</f>
        <v>ULIF 068 25/04/23 FGF 110</v>
      </c>
      <c r="E598" s="8">
        <v>13.4977</v>
      </c>
      <c r="F598" s="9">
        <v>46022</v>
      </c>
    </row>
    <row r="599" spans="1:6" ht="45" x14ac:dyDescent="0.25">
      <c r="A599" s="8" t="s">
        <v>63</v>
      </c>
      <c r="B599" s="8" t="s">
        <v>66</v>
      </c>
      <c r="C599" s="8" t="str">
        <f>IFERROR(_xlfn.XLOOKUP(TRIM(B599),Lookup!$B$2:$B$1000,Lookup!$C$2:$C$1000),"")</f>
        <v>Equity - Flexi Cap</v>
      </c>
      <c r="D599" s="8" t="str">
        <f>IFERROR(INDEX('nav master'!$C:$C, MATCH(B599, 'nav master'!$B:$B, 0)), "")</f>
        <v>ULIF 068 25/04/23 FGF 110</v>
      </c>
      <c r="E599" s="8">
        <v>13.5349</v>
      </c>
      <c r="F599" s="9">
        <v>46023</v>
      </c>
    </row>
    <row r="600" spans="1:6" ht="45" x14ac:dyDescent="0.25">
      <c r="A600" s="8" t="s">
        <v>63</v>
      </c>
      <c r="B600" s="8" t="s">
        <v>66</v>
      </c>
      <c r="C600" s="8" t="str">
        <f>IFERROR(_xlfn.XLOOKUP(TRIM(B600),Lookup!$B$2:$B$1000,Lookup!$C$2:$C$1000),"")</f>
        <v>Equity - Flexi Cap</v>
      </c>
      <c r="D600" s="8" t="str">
        <f>IFERROR(INDEX('nav master'!$C:$C, MATCH(B600, 'nav master'!$B:$B, 0)), "")</f>
        <v>ULIF 068 25/04/23 FGF 110</v>
      </c>
      <c r="E600" s="8">
        <v>13.6548</v>
      </c>
      <c r="F600" s="9">
        <v>46024</v>
      </c>
    </row>
    <row r="601" spans="1:6" ht="45" x14ac:dyDescent="0.25">
      <c r="A601" s="8" t="s">
        <v>63</v>
      </c>
      <c r="B601" s="8" t="s">
        <v>66</v>
      </c>
      <c r="C601" s="8" t="str">
        <f>IFERROR(_xlfn.XLOOKUP(TRIM(B601),Lookup!$B$2:$B$1000,Lookup!$C$2:$C$1000),"")</f>
        <v>Equity - Flexi Cap</v>
      </c>
      <c r="D601" s="8" t="str">
        <f>IFERROR(INDEX('nav master'!$C:$C, MATCH(B601, 'nav master'!$B:$B, 0)), "")</f>
        <v>ULIF 068 25/04/23 FGF 110</v>
      </c>
      <c r="E601" s="8">
        <v>13.648199999999999</v>
      </c>
      <c r="F601" s="9">
        <v>46027</v>
      </c>
    </row>
    <row r="602" spans="1:6" ht="45" x14ac:dyDescent="0.25">
      <c r="A602" s="8" t="s">
        <v>63</v>
      </c>
      <c r="B602" s="8" t="s">
        <v>66</v>
      </c>
      <c r="C602" s="8" t="str">
        <f>IFERROR(_xlfn.XLOOKUP(TRIM(B602),Lookup!$B$2:$B$1000,Lookup!$C$2:$C$1000),"")</f>
        <v>Equity - Flexi Cap</v>
      </c>
      <c r="D602" s="8" t="str">
        <f>IFERROR(INDEX('nav master'!$C:$C, MATCH(B602, 'nav master'!$B:$B, 0)), "")</f>
        <v>ULIF 068 25/04/23 FGF 110</v>
      </c>
      <c r="E602" s="8">
        <v>13.6304</v>
      </c>
      <c r="F602" s="9">
        <v>46028</v>
      </c>
    </row>
    <row r="603" spans="1:6" ht="45" x14ac:dyDescent="0.25">
      <c r="A603" s="8" t="s">
        <v>63</v>
      </c>
      <c r="B603" s="8" t="s">
        <v>66</v>
      </c>
      <c r="C603" s="8" t="str">
        <f>IFERROR(_xlfn.XLOOKUP(TRIM(B603),Lookup!$B$2:$B$1000,Lookup!$C$2:$C$1000),"")</f>
        <v>Equity - Flexi Cap</v>
      </c>
      <c r="D603" s="8" t="str">
        <f>IFERROR(INDEX('nav master'!$C:$C, MATCH(B603, 'nav master'!$B:$B, 0)), "")</f>
        <v>ULIF 068 25/04/23 FGF 110</v>
      </c>
      <c r="E603" s="8">
        <v>13.676500000000001</v>
      </c>
      <c r="F603" s="9">
        <v>46029</v>
      </c>
    </row>
    <row r="604" spans="1:6" ht="45" x14ac:dyDescent="0.25">
      <c r="A604" s="8" t="s">
        <v>63</v>
      </c>
      <c r="B604" s="8" t="s">
        <v>66</v>
      </c>
      <c r="C604" s="8" t="str">
        <f>IFERROR(_xlfn.XLOOKUP(TRIM(B604),Lookup!$B$2:$B$1000,Lookup!$C$2:$C$1000),"")</f>
        <v>Equity - Flexi Cap</v>
      </c>
      <c r="D604" s="8" t="str">
        <f>IFERROR(INDEX('nav master'!$C:$C, MATCH(B604, 'nav master'!$B:$B, 0)), "")</f>
        <v>ULIF 068 25/04/23 FGF 110</v>
      </c>
      <c r="E604" s="8">
        <v>13.4878</v>
      </c>
      <c r="F604" s="9">
        <v>46030</v>
      </c>
    </row>
    <row r="605" spans="1:6" ht="45" x14ac:dyDescent="0.25">
      <c r="A605" s="8" t="s">
        <v>63</v>
      </c>
      <c r="B605" s="8" t="s">
        <v>66</v>
      </c>
      <c r="C605" s="8" t="str">
        <f>IFERROR(_xlfn.XLOOKUP(TRIM(B605),Lookup!$B$2:$B$1000,Lookup!$C$2:$C$1000),"")</f>
        <v>Equity - Flexi Cap</v>
      </c>
      <c r="D605" s="8" t="str">
        <f>IFERROR(INDEX('nav master'!$C:$C, MATCH(B605, 'nav master'!$B:$B, 0)), "")</f>
        <v>ULIF 068 25/04/23 FGF 110</v>
      </c>
      <c r="E605" s="8">
        <v>13.366099999999999</v>
      </c>
      <c r="F605" s="9">
        <v>46031</v>
      </c>
    </row>
    <row r="606" spans="1:6" ht="45" x14ac:dyDescent="0.25">
      <c r="A606" s="8" t="s">
        <v>63</v>
      </c>
      <c r="B606" s="8" t="s">
        <v>66</v>
      </c>
      <c r="C606" s="8" t="str">
        <f>IFERROR(_xlfn.XLOOKUP(TRIM(B606),Lookup!$B$2:$B$1000,Lookup!$C$2:$C$1000),"")</f>
        <v>Equity - Flexi Cap</v>
      </c>
      <c r="D606" s="8" t="str">
        <f>IFERROR(INDEX('nav master'!$C:$C, MATCH(B606, 'nav master'!$B:$B, 0)), "")</f>
        <v>ULIF 068 25/04/23 FGF 110</v>
      </c>
      <c r="E606" s="8">
        <v>13.358700000000001</v>
      </c>
      <c r="F606" s="9">
        <v>46034</v>
      </c>
    </row>
    <row r="607" spans="1:6" ht="45" x14ac:dyDescent="0.25">
      <c r="A607" s="8" t="s">
        <v>63</v>
      </c>
      <c r="B607" s="8" t="s">
        <v>66</v>
      </c>
      <c r="C607" s="8" t="str">
        <f>IFERROR(_xlfn.XLOOKUP(TRIM(B607),Lookup!$B$2:$B$1000,Lookup!$C$2:$C$1000),"")</f>
        <v>Equity - Flexi Cap</v>
      </c>
      <c r="D607" s="8" t="str">
        <f>IFERROR(INDEX('nav master'!$C:$C, MATCH(B607, 'nav master'!$B:$B, 0)), "")</f>
        <v>ULIF 068 25/04/23 FGF 110</v>
      </c>
      <c r="E607" s="8">
        <v>13.397</v>
      </c>
      <c r="F607" s="9">
        <v>46035</v>
      </c>
    </row>
    <row r="608" spans="1:6" ht="45" x14ac:dyDescent="0.25">
      <c r="A608" s="8" t="s">
        <v>63</v>
      </c>
      <c r="B608" s="8" t="s">
        <v>66</v>
      </c>
      <c r="C608" s="8" t="str">
        <f>IFERROR(_xlfn.XLOOKUP(TRIM(B608),Lookup!$B$2:$B$1000,Lookup!$C$2:$C$1000),"")</f>
        <v>Equity - Flexi Cap</v>
      </c>
      <c r="D608" s="8" t="str">
        <f>IFERROR(INDEX('nav master'!$C:$C, MATCH(B608, 'nav master'!$B:$B, 0)), "")</f>
        <v>ULIF 068 25/04/23 FGF 110</v>
      </c>
      <c r="E608" s="8">
        <v>13.424099999999999</v>
      </c>
      <c r="F608" s="9">
        <v>46036</v>
      </c>
    </row>
    <row r="609" spans="1:6" ht="45" x14ac:dyDescent="0.25">
      <c r="A609" s="8" t="s">
        <v>63</v>
      </c>
      <c r="B609" s="8" t="s">
        <v>66</v>
      </c>
      <c r="C609" s="8" t="str">
        <f>IFERROR(_xlfn.XLOOKUP(TRIM(B609),Lookup!$B$2:$B$1000,Lookup!$C$2:$C$1000),"")</f>
        <v>Equity - Flexi Cap</v>
      </c>
      <c r="D609" s="8" t="str">
        <f>IFERROR(INDEX('nav master'!$C:$C, MATCH(B609, 'nav master'!$B:$B, 0)), "")</f>
        <v>ULIF 068 25/04/23 FGF 110</v>
      </c>
      <c r="E609" s="8">
        <v>13.438000000000001</v>
      </c>
      <c r="F609" s="9">
        <v>46038</v>
      </c>
    </row>
    <row r="610" spans="1:6" ht="45" x14ac:dyDescent="0.25">
      <c r="A610" s="8" t="s">
        <v>63</v>
      </c>
      <c r="B610" s="8" t="s">
        <v>66</v>
      </c>
      <c r="C610" s="8" t="str">
        <f>IFERROR(_xlfn.XLOOKUP(TRIM(B610),Lookup!$B$2:$B$1000,Lookup!$C$2:$C$1000),"")</f>
        <v>Equity - Flexi Cap</v>
      </c>
      <c r="D610" s="8" t="str">
        <f>IFERROR(INDEX('nav master'!$C:$C, MATCH(B610, 'nav master'!$B:$B, 0)), "")</f>
        <v>ULIF 068 25/04/23 FGF 110</v>
      </c>
      <c r="E610" s="8">
        <v>13.305999999999999</v>
      </c>
      <c r="F610" s="9">
        <v>46041</v>
      </c>
    </row>
    <row r="611" spans="1:6" ht="45" x14ac:dyDescent="0.25">
      <c r="A611" s="8" t="s">
        <v>63</v>
      </c>
      <c r="B611" s="8" t="s">
        <v>66</v>
      </c>
      <c r="C611" s="8" t="str">
        <f>IFERROR(_xlfn.XLOOKUP(TRIM(B611),Lookup!$B$2:$B$1000,Lookup!$C$2:$C$1000),"")</f>
        <v>Equity - Flexi Cap</v>
      </c>
      <c r="D611" s="8" t="str">
        <f>IFERROR(INDEX('nav master'!$C:$C, MATCH(B611, 'nav master'!$B:$B, 0)), "")</f>
        <v>ULIF 068 25/04/23 FGF 110</v>
      </c>
      <c r="E611" s="8">
        <v>12.999499999999999</v>
      </c>
      <c r="F611" s="9">
        <v>46042</v>
      </c>
    </row>
    <row r="612" spans="1:6" ht="45" x14ac:dyDescent="0.25">
      <c r="A612" s="8" t="s">
        <v>63</v>
      </c>
      <c r="B612" s="8" t="s">
        <v>66</v>
      </c>
      <c r="C612" s="8" t="str">
        <f>IFERROR(_xlfn.XLOOKUP(TRIM(B612),Lookup!$B$2:$B$1000,Lookup!$C$2:$C$1000),"")</f>
        <v>Equity - Flexi Cap</v>
      </c>
      <c r="D612" s="8" t="str">
        <f>IFERROR(INDEX('nav master'!$C:$C, MATCH(B612, 'nav master'!$B:$B, 0)), "")</f>
        <v>ULIF 068 25/04/23 FGF 110</v>
      </c>
      <c r="E612" s="8">
        <v>12.9664</v>
      </c>
      <c r="F612" s="9">
        <v>46043</v>
      </c>
    </row>
    <row r="613" spans="1:6" ht="45" x14ac:dyDescent="0.25">
      <c r="A613" s="8" t="s">
        <v>63</v>
      </c>
      <c r="B613" s="8" t="s">
        <v>66</v>
      </c>
      <c r="C613" s="8" t="str">
        <f>IFERROR(_xlfn.XLOOKUP(TRIM(B613),Lookup!$B$2:$B$1000,Lookup!$C$2:$C$1000),"")</f>
        <v>Equity - Flexi Cap</v>
      </c>
      <c r="D613" s="8" t="str">
        <f>IFERROR(INDEX('nav master'!$C:$C, MATCH(B613, 'nav master'!$B:$B, 0)), "")</f>
        <v>ULIF 068 25/04/23 FGF 110</v>
      </c>
      <c r="E613" s="8">
        <v>13.053900000000001</v>
      </c>
      <c r="F613" s="9">
        <v>46044</v>
      </c>
    </row>
    <row r="614" spans="1:6" ht="45" x14ac:dyDescent="0.25">
      <c r="A614" s="8" t="s">
        <v>63</v>
      </c>
      <c r="B614" s="8" t="s">
        <v>66</v>
      </c>
      <c r="C614" s="8" t="str">
        <f>IFERROR(_xlfn.XLOOKUP(TRIM(B614),Lookup!$B$2:$B$1000,Lookup!$C$2:$C$1000),"")</f>
        <v>Equity - Flexi Cap</v>
      </c>
      <c r="D614" s="8" t="str">
        <f>IFERROR(INDEX('nav master'!$C:$C, MATCH(B614, 'nav master'!$B:$B, 0)), "")</f>
        <v>ULIF 068 25/04/23 FGF 110</v>
      </c>
      <c r="E614" s="8">
        <v>12.8675</v>
      </c>
      <c r="F614" s="9">
        <v>46045</v>
      </c>
    </row>
    <row r="615" spans="1:6" ht="45" x14ac:dyDescent="0.25">
      <c r="A615" s="8" t="s">
        <v>63</v>
      </c>
      <c r="B615" s="8" t="s">
        <v>66</v>
      </c>
      <c r="C615" s="8" t="str">
        <f>IFERROR(_xlfn.XLOOKUP(TRIM(B615),Lookup!$B$2:$B$1000,Lookup!$C$2:$C$1000),"")</f>
        <v>Equity - Flexi Cap</v>
      </c>
      <c r="D615" s="8" t="str">
        <f>IFERROR(INDEX('nav master'!$C:$C, MATCH(B615, 'nav master'!$B:$B, 0)), "")</f>
        <v>ULIF 068 25/04/23 FGF 110</v>
      </c>
      <c r="E615" s="8">
        <v>12.9292</v>
      </c>
      <c r="F615" s="9">
        <v>46049</v>
      </c>
    </row>
    <row r="616" spans="1:6" ht="45" x14ac:dyDescent="0.25">
      <c r="A616" s="8" t="s">
        <v>63</v>
      </c>
      <c r="B616" s="8" t="s">
        <v>66</v>
      </c>
      <c r="C616" s="8" t="str">
        <f>IFERROR(_xlfn.XLOOKUP(TRIM(B616),Lookup!$B$2:$B$1000,Lookup!$C$2:$C$1000),"")</f>
        <v>Equity - Flexi Cap</v>
      </c>
      <c r="D616" s="8" t="str">
        <f>IFERROR(INDEX('nav master'!$C:$C, MATCH(B616, 'nav master'!$B:$B, 0)), "")</f>
        <v>ULIF 068 25/04/23 FGF 110</v>
      </c>
      <c r="E616" s="8">
        <v>13.1555</v>
      </c>
      <c r="F616" s="9">
        <v>46050</v>
      </c>
    </row>
    <row r="617" spans="1:6" ht="45" x14ac:dyDescent="0.25">
      <c r="A617" s="8" t="s">
        <v>63</v>
      </c>
      <c r="B617" s="8" t="s">
        <v>66</v>
      </c>
      <c r="C617" s="8" t="str">
        <f>IFERROR(_xlfn.XLOOKUP(TRIM(B617),Lookup!$B$2:$B$1000,Lookup!$C$2:$C$1000),"")</f>
        <v>Equity - Flexi Cap</v>
      </c>
      <c r="D617" s="8" t="str">
        <f>IFERROR(INDEX('nav master'!$C:$C, MATCH(B617, 'nav master'!$B:$B, 0)), "")</f>
        <v>ULIF 068 25/04/23 FGF 110</v>
      </c>
      <c r="E617" s="8">
        <v>13.211</v>
      </c>
      <c r="F617" s="9">
        <v>46051</v>
      </c>
    </row>
    <row r="618" spans="1:6" ht="45" x14ac:dyDescent="0.25">
      <c r="A618" s="8" t="s">
        <v>63</v>
      </c>
      <c r="B618" s="8" t="s">
        <v>66</v>
      </c>
      <c r="C618" s="8" t="str">
        <f>IFERROR(_xlfn.XLOOKUP(TRIM(B618),Lookup!$B$2:$B$1000,Lookup!$C$2:$C$1000),"")</f>
        <v>Equity - Flexi Cap</v>
      </c>
      <c r="D618" s="8" t="str">
        <f>IFERROR(INDEX('nav master'!$C:$C, MATCH(B618, 'nav master'!$B:$B, 0)), "")</f>
        <v>ULIF 068 25/04/23 FGF 110</v>
      </c>
      <c r="E618" s="8">
        <v>13.164899999999999</v>
      </c>
      <c r="F618" s="9">
        <v>46052</v>
      </c>
    </row>
    <row r="619" spans="1:6" ht="45" x14ac:dyDescent="0.25">
      <c r="A619" s="8" t="s">
        <v>63</v>
      </c>
      <c r="B619" s="8" t="s">
        <v>66</v>
      </c>
      <c r="C619" s="8" t="str">
        <f>IFERROR(_xlfn.XLOOKUP(TRIM(B619),Lookup!$B$2:$B$1000,Lookup!$C$2:$C$1000),"")</f>
        <v>Equity - Flexi Cap</v>
      </c>
      <c r="D619" s="8" t="str">
        <f>IFERROR(INDEX('nav master'!$C:$C, MATCH(B619, 'nav master'!$B:$B, 0)), "")</f>
        <v>ULIF 068 25/04/23 FGF 110</v>
      </c>
      <c r="E619" s="8">
        <v>12.9062</v>
      </c>
      <c r="F619" s="9">
        <v>46054</v>
      </c>
    </row>
    <row r="620" spans="1:6" ht="45" x14ac:dyDescent="0.25">
      <c r="A620" s="8" t="s">
        <v>63</v>
      </c>
      <c r="B620" s="8" t="s">
        <v>66</v>
      </c>
      <c r="C620" s="8" t="str">
        <f>IFERROR(_xlfn.XLOOKUP(TRIM(B620),Lookup!$B$2:$B$1000,Lookup!$C$2:$C$1000),"")</f>
        <v>Equity - Flexi Cap</v>
      </c>
      <c r="D620" s="8" t="str">
        <f>IFERROR(INDEX('nav master'!$C:$C, MATCH(B620, 'nav master'!$B:$B, 0)), "")</f>
        <v>ULIF 068 25/04/23 FGF 110</v>
      </c>
      <c r="E620" s="8">
        <v>13.012499999999999</v>
      </c>
      <c r="F620" s="9">
        <v>46055</v>
      </c>
    </row>
    <row r="621" spans="1:6" ht="45" x14ac:dyDescent="0.25">
      <c r="A621" s="8" t="s">
        <v>63</v>
      </c>
      <c r="B621" s="8" t="s">
        <v>66</v>
      </c>
      <c r="C621" s="8" t="str">
        <f>IFERROR(_xlfn.XLOOKUP(TRIM(B621),Lookup!$B$2:$B$1000,Lookup!$C$2:$C$1000),"")</f>
        <v>Equity - Flexi Cap</v>
      </c>
      <c r="D621" s="8" t="str">
        <f>IFERROR(INDEX('nav master'!$C:$C, MATCH(B621, 'nav master'!$B:$B, 0)), "")</f>
        <v>ULIF 068 25/04/23 FGF 110</v>
      </c>
      <c r="E621" s="8">
        <v>13.358499999999999</v>
      </c>
      <c r="F621" s="9">
        <v>46056</v>
      </c>
    </row>
    <row r="622" spans="1:6" ht="45" x14ac:dyDescent="0.25">
      <c r="A622" s="8" t="s">
        <v>63</v>
      </c>
      <c r="B622" s="8" t="s">
        <v>66</v>
      </c>
      <c r="C622" s="8" t="str">
        <f>IFERROR(_xlfn.XLOOKUP(TRIM(B622),Lookup!$B$2:$B$1000,Lookup!$C$2:$C$1000),"")</f>
        <v>Equity - Flexi Cap</v>
      </c>
      <c r="D622" s="8" t="str">
        <f>IFERROR(INDEX('nav master'!$C:$C, MATCH(B622, 'nav master'!$B:$B, 0)), "")</f>
        <v>ULIF 068 25/04/23 FGF 110</v>
      </c>
      <c r="E622" s="8">
        <v>13.4109</v>
      </c>
      <c r="F622" s="9">
        <v>46057</v>
      </c>
    </row>
    <row r="623" spans="1:6" ht="45" x14ac:dyDescent="0.25">
      <c r="A623" s="8" t="s">
        <v>63</v>
      </c>
      <c r="B623" s="8" t="s">
        <v>66</v>
      </c>
      <c r="C623" s="8" t="str">
        <f>IFERROR(_xlfn.XLOOKUP(TRIM(B623),Lookup!$B$2:$B$1000,Lookup!$C$2:$C$1000),"")</f>
        <v>Equity - Flexi Cap</v>
      </c>
      <c r="D623" s="8" t="str">
        <f>IFERROR(INDEX('nav master'!$C:$C, MATCH(B623, 'nav master'!$B:$B, 0)), "")</f>
        <v>ULIF 068 25/04/23 FGF 110</v>
      </c>
      <c r="E623" s="8">
        <v>13.3652</v>
      </c>
      <c r="F623" s="9">
        <v>46058</v>
      </c>
    </row>
    <row r="624" spans="1:6" ht="45" x14ac:dyDescent="0.25">
      <c r="A624" s="8" t="s">
        <v>63</v>
      </c>
      <c r="B624" s="8" t="s">
        <v>66</v>
      </c>
      <c r="C624" s="8" t="str">
        <f>IFERROR(_xlfn.XLOOKUP(TRIM(B624),Lookup!$B$2:$B$1000,Lookup!$C$2:$C$1000),"")</f>
        <v>Equity - Flexi Cap</v>
      </c>
      <c r="D624" s="8" t="str">
        <f>IFERROR(INDEX('nav master'!$C:$C, MATCH(B624, 'nav master'!$B:$B, 0)), "")</f>
        <v>ULIF 068 25/04/23 FGF 110</v>
      </c>
      <c r="E624" s="8">
        <v>13.3484</v>
      </c>
      <c r="F624" s="9">
        <v>46059</v>
      </c>
    </row>
    <row r="625" spans="1:6" ht="45" x14ac:dyDescent="0.25">
      <c r="A625" s="8" t="s">
        <v>63</v>
      </c>
      <c r="B625" s="8" t="s">
        <v>66</v>
      </c>
      <c r="C625" s="8" t="str">
        <f>IFERROR(_xlfn.XLOOKUP(TRIM(B625),Lookup!$B$2:$B$1000,Lookup!$C$2:$C$1000),"")</f>
        <v>Equity - Flexi Cap</v>
      </c>
      <c r="D625" s="8" t="str">
        <f>IFERROR(INDEX('nav master'!$C:$C, MATCH(B625, 'nav master'!$B:$B, 0)), "")</f>
        <v>ULIF 068 25/04/23 FGF 110</v>
      </c>
      <c r="E625" s="8">
        <v>13.5276</v>
      </c>
      <c r="F625" s="9">
        <v>46062</v>
      </c>
    </row>
    <row r="626" spans="1:6" ht="45" x14ac:dyDescent="0.25">
      <c r="A626" s="8" t="s">
        <v>63</v>
      </c>
      <c r="B626" s="8" t="s">
        <v>66</v>
      </c>
      <c r="C626" s="8" t="str">
        <f>IFERROR(_xlfn.XLOOKUP(TRIM(B626),Lookup!$B$2:$B$1000,Lookup!$C$2:$C$1000),"")</f>
        <v>Equity - Flexi Cap</v>
      </c>
      <c r="D626" s="8" t="str">
        <f>IFERROR(INDEX('nav master'!$C:$C, MATCH(B626, 'nav master'!$B:$B, 0)), "")</f>
        <v>ULIF 068 25/04/23 FGF 110</v>
      </c>
      <c r="E626" s="8">
        <v>13.625</v>
      </c>
      <c r="F626" s="9">
        <v>46063</v>
      </c>
    </row>
    <row r="627" spans="1:6" ht="45" x14ac:dyDescent="0.25">
      <c r="A627" s="8" t="s">
        <v>63</v>
      </c>
      <c r="B627" s="8" t="s">
        <v>66</v>
      </c>
      <c r="C627" s="8" t="str">
        <f>IFERROR(_xlfn.XLOOKUP(TRIM(B627),Lookup!$B$2:$B$1000,Lookup!$C$2:$C$1000),"")</f>
        <v>Equity - Flexi Cap</v>
      </c>
      <c r="D627" s="8" t="str">
        <f>IFERROR(INDEX('nav master'!$C:$C, MATCH(B627, 'nav master'!$B:$B, 0)), "")</f>
        <v>ULIF 068 25/04/23 FGF 110</v>
      </c>
      <c r="E627" s="8">
        <v>13.647500000000001</v>
      </c>
      <c r="F627" s="9">
        <v>46064</v>
      </c>
    </row>
    <row r="628" spans="1:6" ht="45" x14ac:dyDescent="0.25">
      <c r="A628" s="8" t="s">
        <v>63</v>
      </c>
      <c r="B628" s="8" t="s">
        <v>66</v>
      </c>
      <c r="C628" s="8" t="str">
        <f>IFERROR(_xlfn.XLOOKUP(TRIM(B628),Lookup!$B$2:$B$1000,Lookup!$C$2:$C$1000),"")</f>
        <v>Equity - Flexi Cap</v>
      </c>
      <c r="D628" s="8" t="str">
        <f>IFERROR(INDEX('nav master'!$C:$C, MATCH(B628, 'nav master'!$B:$B, 0)), "")</f>
        <v>ULIF 068 25/04/23 FGF 110</v>
      </c>
      <c r="E628" s="8">
        <v>13.580299999999999</v>
      </c>
      <c r="F628" s="9">
        <v>46065</v>
      </c>
    </row>
    <row r="629" spans="1:6" ht="45" x14ac:dyDescent="0.25">
      <c r="A629" s="8" t="s">
        <v>63</v>
      </c>
      <c r="B629" s="8" t="s">
        <v>66</v>
      </c>
      <c r="C629" s="8" t="str">
        <f>IFERROR(_xlfn.XLOOKUP(TRIM(B629),Lookup!$B$2:$B$1000,Lookup!$C$2:$C$1000),"")</f>
        <v>Equity - Flexi Cap</v>
      </c>
      <c r="D629" s="8" t="str">
        <f>IFERROR(INDEX('nav master'!$C:$C, MATCH(B629, 'nav master'!$B:$B, 0)), "")</f>
        <v>ULIF 068 25/04/23 FGF 110</v>
      </c>
      <c r="E629" s="8">
        <v>13.3713</v>
      </c>
      <c r="F629" s="9">
        <v>46066</v>
      </c>
    </row>
    <row r="630" spans="1:6" ht="45" x14ac:dyDescent="0.25">
      <c r="A630" s="8" t="s">
        <v>63</v>
      </c>
      <c r="B630" s="8" t="s">
        <v>66</v>
      </c>
      <c r="C630" s="8" t="str">
        <f>IFERROR(_xlfn.XLOOKUP(TRIM(B630),Lookup!$B$2:$B$1000,Lookup!$C$2:$C$1000),"")</f>
        <v>Equity - Flexi Cap</v>
      </c>
      <c r="D630" s="8" t="str">
        <f>IFERROR(INDEX('nav master'!$C:$C, MATCH(B630, 'nav master'!$B:$B, 0)), "")</f>
        <v>ULIF 068 25/04/23 FGF 110</v>
      </c>
      <c r="E630" s="8">
        <v>13.37</v>
      </c>
      <c r="F630" s="9">
        <v>46069</v>
      </c>
    </row>
    <row r="631" spans="1:6" ht="45" x14ac:dyDescent="0.25">
      <c r="A631" s="8" t="s">
        <v>63</v>
      </c>
      <c r="B631" s="8" t="s">
        <v>66</v>
      </c>
      <c r="C631" s="8" t="str">
        <f>IFERROR(_xlfn.XLOOKUP(TRIM(B631),Lookup!$B$2:$B$1000,Lookup!$C$2:$C$1000),"")</f>
        <v>Equity - Flexi Cap</v>
      </c>
      <c r="D631" s="8" t="str">
        <f>IFERROR(INDEX('nav master'!$C:$C, MATCH(B631, 'nav master'!$B:$B, 0)), "")</f>
        <v>ULIF 068 25/04/23 FGF 110</v>
      </c>
      <c r="E631" s="8">
        <v>13.3596</v>
      </c>
      <c r="F631" s="9">
        <v>46070</v>
      </c>
    </row>
    <row r="632" spans="1:6" ht="45" x14ac:dyDescent="0.25">
      <c r="A632" s="8" t="s">
        <v>63</v>
      </c>
      <c r="B632" s="8" t="s">
        <v>66</v>
      </c>
      <c r="C632" s="8" t="str">
        <f>IFERROR(_xlfn.XLOOKUP(TRIM(B632),Lookup!$B$2:$B$1000,Lookup!$C$2:$C$1000),"")</f>
        <v>Equity - Flexi Cap</v>
      </c>
      <c r="D632" s="8" t="str">
        <f>IFERROR(INDEX('nav master'!$C:$C, MATCH(B632, 'nav master'!$B:$B, 0)), "")</f>
        <v>ULIF 068 25/04/23 FGF 110</v>
      </c>
      <c r="E632" s="8">
        <v>13.3969</v>
      </c>
      <c r="F632" s="9">
        <v>46071</v>
      </c>
    </row>
    <row r="633" spans="1:6" ht="45" x14ac:dyDescent="0.25">
      <c r="A633" s="8" t="s">
        <v>63</v>
      </c>
      <c r="B633" s="8" t="s">
        <v>66</v>
      </c>
      <c r="C633" s="8" t="str">
        <f>IFERROR(_xlfn.XLOOKUP(TRIM(B633),Lookup!$B$2:$B$1000,Lookup!$C$2:$C$1000),"")</f>
        <v>Equity - Flexi Cap</v>
      </c>
      <c r="D633" s="8" t="str">
        <f>IFERROR(INDEX('nav master'!$C:$C, MATCH(B633, 'nav master'!$B:$B, 0)), "")</f>
        <v>ULIF 068 25/04/23 FGF 110</v>
      </c>
      <c r="E633" s="8">
        <v>13.1737</v>
      </c>
      <c r="F633" s="9">
        <v>46072</v>
      </c>
    </row>
    <row r="634" spans="1:6" ht="45" x14ac:dyDescent="0.25">
      <c r="A634" s="8" t="s">
        <v>63</v>
      </c>
      <c r="B634" s="8" t="s">
        <v>66</v>
      </c>
      <c r="C634" s="8" t="str">
        <f>IFERROR(_xlfn.XLOOKUP(TRIM(B634),Lookup!$B$2:$B$1000,Lookup!$C$2:$C$1000),"")</f>
        <v>Equity - Flexi Cap</v>
      </c>
      <c r="D634" s="8" t="str">
        <f>IFERROR(INDEX('nav master'!$C:$C, MATCH(B634, 'nav master'!$B:$B, 0)), "")</f>
        <v>ULIF 068 25/04/23 FGF 110</v>
      </c>
      <c r="E634" s="8">
        <v>13.2164</v>
      </c>
      <c r="F634" s="9">
        <v>46073</v>
      </c>
    </row>
    <row r="635" spans="1:6" ht="45" x14ac:dyDescent="0.25">
      <c r="A635" s="8" t="s">
        <v>63</v>
      </c>
      <c r="B635" s="8" t="s">
        <v>66</v>
      </c>
      <c r="C635" s="8" t="str">
        <f>IFERROR(_xlfn.XLOOKUP(TRIM(B635),Lookup!$B$2:$B$1000,Lookup!$C$2:$C$1000),"")</f>
        <v>Equity - Flexi Cap</v>
      </c>
      <c r="D635" s="8" t="str">
        <f>IFERROR(INDEX('nav master'!$C:$C, MATCH(B635, 'nav master'!$B:$B, 0)), "")</f>
        <v>ULIF 068 25/04/23 FGF 110</v>
      </c>
      <c r="E635" s="8">
        <v>13.2218</v>
      </c>
      <c r="F635" s="9">
        <v>46076</v>
      </c>
    </row>
    <row r="636" spans="1:6" ht="45" x14ac:dyDescent="0.25">
      <c r="A636" s="8" t="s">
        <v>63</v>
      </c>
      <c r="B636" s="8" t="s">
        <v>66</v>
      </c>
      <c r="C636" s="8" t="str">
        <f>IFERROR(_xlfn.XLOOKUP(TRIM(B636),Lookup!$B$2:$B$1000,Lookup!$C$2:$C$1000),"")</f>
        <v>Equity - Flexi Cap</v>
      </c>
      <c r="D636" s="8" t="str">
        <f>IFERROR(INDEX('nav master'!$C:$C, MATCH(B636, 'nav master'!$B:$B, 0)), "")</f>
        <v>ULIF 068 25/04/23 FGF 110</v>
      </c>
      <c r="E636" s="8">
        <v>13.075900000000001</v>
      </c>
      <c r="F636" s="9">
        <v>46077</v>
      </c>
    </row>
    <row r="637" spans="1:6" ht="45" x14ac:dyDescent="0.25">
      <c r="A637" s="8" t="s">
        <v>63</v>
      </c>
      <c r="B637" s="8" t="s">
        <v>66</v>
      </c>
      <c r="C637" s="8" t="str">
        <f>IFERROR(_xlfn.XLOOKUP(TRIM(B637),Lookup!$B$2:$B$1000,Lookup!$C$2:$C$1000),"")</f>
        <v>Equity - Flexi Cap</v>
      </c>
      <c r="D637" s="8" t="str">
        <f>IFERROR(INDEX('nav master'!$C:$C, MATCH(B637, 'nav master'!$B:$B, 0)), "")</f>
        <v>ULIF 068 25/04/23 FGF 110</v>
      </c>
      <c r="E637" s="8">
        <v>13.158799999999999</v>
      </c>
      <c r="F637" s="9">
        <v>46078</v>
      </c>
    </row>
    <row r="638" spans="1:6" ht="45" x14ac:dyDescent="0.25">
      <c r="A638" s="8" t="s">
        <v>63</v>
      </c>
      <c r="B638" s="8" t="s">
        <v>66</v>
      </c>
      <c r="C638" s="8" t="str">
        <f>IFERROR(_xlfn.XLOOKUP(TRIM(B638),Lookup!$B$2:$B$1000,Lookup!$C$2:$C$1000),"")</f>
        <v>Equity - Flexi Cap</v>
      </c>
      <c r="D638" s="8" t="str">
        <f>IFERROR(INDEX('nav master'!$C:$C, MATCH(B638, 'nav master'!$B:$B, 0)), "")</f>
        <v>ULIF 068 25/04/23 FGF 110</v>
      </c>
      <c r="E638" s="8">
        <v>13.1999</v>
      </c>
      <c r="F638" s="9">
        <v>46079</v>
      </c>
    </row>
    <row r="639" spans="1:6" ht="45" x14ac:dyDescent="0.25">
      <c r="A639" s="8" t="s">
        <v>63</v>
      </c>
      <c r="B639" s="8" t="s">
        <v>66</v>
      </c>
      <c r="C639" s="8" t="str">
        <f>IFERROR(_xlfn.XLOOKUP(TRIM(B639),Lookup!$B$2:$B$1000,Lookup!$C$2:$C$1000),"")</f>
        <v>Equity - Flexi Cap</v>
      </c>
      <c r="D639" s="8" t="str">
        <f>IFERROR(INDEX('nav master'!$C:$C, MATCH(B639, 'nav master'!$B:$B, 0)), "")</f>
        <v>ULIF 068 25/04/23 FGF 110</v>
      </c>
      <c r="E639" s="8">
        <v>13.0739</v>
      </c>
      <c r="F639" s="9">
        <v>46080</v>
      </c>
    </row>
    <row r="640" spans="1:6" ht="45" x14ac:dyDescent="0.25">
      <c r="A640" s="8" t="s">
        <v>63</v>
      </c>
      <c r="B640" s="8" t="s">
        <v>66</v>
      </c>
      <c r="C640" s="8" t="str">
        <f>IFERROR(_xlfn.XLOOKUP(TRIM(B640),Lookup!$B$2:$B$1000,Lookup!$C$2:$C$1000),"")</f>
        <v>Equity - Flexi Cap</v>
      </c>
      <c r="D640" s="8" t="str">
        <f>IFERROR(INDEX('nav master'!$C:$C, MATCH(B640, 'nav master'!$B:$B, 0)), "")</f>
        <v>ULIF 068 25/04/23 FGF 110</v>
      </c>
      <c r="E640" s="8">
        <v>12.870699999999999</v>
      </c>
      <c r="F640" s="9">
        <v>46083</v>
      </c>
    </row>
    <row r="641" spans="1:6" ht="45" x14ac:dyDescent="0.25">
      <c r="A641" s="8" t="s">
        <v>63</v>
      </c>
      <c r="B641" s="8" t="s">
        <v>66</v>
      </c>
      <c r="C641" s="8" t="str">
        <f>IFERROR(_xlfn.XLOOKUP(TRIM(B641),Lookup!$B$2:$B$1000,Lookup!$C$2:$C$1000),"")</f>
        <v>Equity - Flexi Cap</v>
      </c>
      <c r="D641" s="8" t="str">
        <f>IFERROR(INDEX('nav master'!$C:$C, MATCH(B641, 'nav master'!$B:$B, 0)), "")</f>
        <v>ULIF 068 25/04/23 FGF 110</v>
      </c>
      <c r="E641" s="8">
        <v>12.6777</v>
      </c>
      <c r="F641" s="9">
        <v>46085</v>
      </c>
    </row>
    <row r="642" spans="1:6" ht="45" x14ac:dyDescent="0.25">
      <c r="A642" s="8" t="s">
        <v>63</v>
      </c>
      <c r="B642" s="8" t="s">
        <v>66</v>
      </c>
      <c r="C642" s="8" t="str">
        <f>IFERROR(_xlfn.XLOOKUP(TRIM(B642),Lookup!$B$2:$B$1000,Lookup!$C$2:$C$1000),"")</f>
        <v>Equity - Flexi Cap</v>
      </c>
      <c r="D642" s="8" t="str">
        <f>IFERROR(INDEX('nav master'!$C:$C, MATCH(B642, 'nav master'!$B:$B, 0)), "")</f>
        <v>ULIF 068 25/04/23 FGF 110</v>
      </c>
      <c r="E642" s="8">
        <v>12.827199999999999</v>
      </c>
      <c r="F642" s="9">
        <v>46086</v>
      </c>
    </row>
    <row r="643" spans="1:6" ht="45" x14ac:dyDescent="0.25">
      <c r="A643" s="8" t="s">
        <v>63</v>
      </c>
      <c r="B643" s="8" t="s">
        <v>66</v>
      </c>
      <c r="C643" s="8" t="str">
        <f>IFERROR(_xlfn.XLOOKUP(TRIM(B643),Lookup!$B$2:$B$1000,Lookup!$C$2:$C$1000),"")</f>
        <v>Equity - Flexi Cap</v>
      </c>
      <c r="D643" s="8" t="str">
        <f>IFERROR(INDEX('nav master'!$C:$C, MATCH(B643, 'nav master'!$B:$B, 0)), "")</f>
        <v>ULIF 068 25/04/23 FGF 110</v>
      </c>
      <c r="E643" s="8">
        <v>12.752700000000001</v>
      </c>
      <c r="F643" s="9">
        <v>46087</v>
      </c>
    </row>
    <row r="644" spans="1:6" ht="45" x14ac:dyDescent="0.25">
      <c r="A644" s="8" t="s">
        <v>63</v>
      </c>
      <c r="B644" s="8" t="s">
        <v>66</v>
      </c>
      <c r="C644" s="8" t="str">
        <f>IFERROR(_xlfn.XLOOKUP(TRIM(B644),Lookup!$B$2:$B$1000,Lookup!$C$2:$C$1000),"")</f>
        <v>Equity - Flexi Cap</v>
      </c>
      <c r="D644" s="8" t="str">
        <f>IFERROR(INDEX('nav master'!$C:$C, MATCH(B644, 'nav master'!$B:$B, 0)), "")</f>
        <v>ULIF 068 25/04/23 FGF 110</v>
      </c>
      <c r="E644" s="8">
        <v>12.580500000000001</v>
      </c>
      <c r="F644" s="9">
        <v>46090</v>
      </c>
    </row>
    <row r="645" spans="1:6" ht="45" x14ac:dyDescent="0.25">
      <c r="A645" s="8" t="s">
        <v>63</v>
      </c>
      <c r="B645" s="8" t="s">
        <v>66</v>
      </c>
      <c r="C645" s="8" t="str">
        <f>IFERROR(_xlfn.XLOOKUP(TRIM(B645),Lookup!$B$2:$B$1000,Lookup!$C$2:$C$1000),"")</f>
        <v>Equity - Flexi Cap</v>
      </c>
      <c r="D645" s="8" t="str">
        <f>IFERROR(INDEX('nav master'!$C:$C, MATCH(B645, 'nav master'!$B:$B, 0)), "")</f>
        <v>ULIF 068 25/04/23 FGF 110</v>
      </c>
      <c r="E645" s="8">
        <v>12.7483</v>
      </c>
      <c r="F645" s="9">
        <v>46091</v>
      </c>
    </row>
    <row r="646" spans="1:6" ht="45" x14ac:dyDescent="0.25">
      <c r="A646" s="8" t="s">
        <v>63</v>
      </c>
      <c r="B646" s="8" t="s">
        <v>66</v>
      </c>
      <c r="C646" s="8" t="str">
        <f>IFERROR(_xlfn.XLOOKUP(TRIM(B646),Lookup!$B$2:$B$1000,Lookup!$C$2:$C$1000),"")</f>
        <v>Equity - Flexi Cap</v>
      </c>
      <c r="D646" s="8" t="str">
        <f>IFERROR(INDEX('nav master'!$C:$C, MATCH(B646, 'nav master'!$B:$B, 0)), "")</f>
        <v>ULIF 068 25/04/23 FGF 110</v>
      </c>
      <c r="E646" s="8">
        <v>12.633599999999999</v>
      </c>
      <c r="F646" s="9">
        <v>46092</v>
      </c>
    </row>
    <row r="647" spans="1:6" ht="45" x14ac:dyDescent="0.25">
      <c r="A647" s="8" t="s">
        <v>63</v>
      </c>
      <c r="B647" s="8" t="s">
        <v>66</v>
      </c>
      <c r="C647" s="8" t="str">
        <f>IFERROR(_xlfn.XLOOKUP(TRIM(B647),Lookup!$B$2:$B$1000,Lookup!$C$2:$C$1000),"")</f>
        <v>Equity - Flexi Cap</v>
      </c>
      <c r="D647" s="8" t="str">
        <f>IFERROR(INDEX('nav master'!$C:$C, MATCH(B647, 'nav master'!$B:$B, 0)), "")</f>
        <v>ULIF 068 25/04/23 FGF 110</v>
      </c>
      <c r="E647" s="8">
        <v>12.5753</v>
      </c>
      <c r="F647" s="9">
        <v>46093</v>
      </c>
    </row>
    <row r="648" spans="1:6" ht="45" x14ac:dyDescent="0.25">
      <c r="A648" s="8" t="s">
        <v>63</v>
      </c>
      <c r="B648" s="8" t="s">
        <v>66</v>
      </c>
      <c r="C648" s="8" t="str">
        <f>IFERROR(_xlfn.XLOOKUP(TRIM(B648),Lookup!$B$2:$B$1000,Lookup!$C$2:$C$1000),"")</f>
        <v>Equity - Flexi Cap</v>
      </c>
      <c r="D648" s="8" t="str">
        <f>IFERROR(INDEX('nav master'!$C:$C, MATCH(B648, 'nav master'!$B:$B, 0)), "")</f>
        <v>ULIF 068 25/04/23 FGF 110</v>
      </c>
      <c r="E648" s="8">
        <v>12.334</v>
      </c>
      <c r="F648" s="9">
        <v>46094</v>
      </c>
    </row>
    <row r="649" spans="1:6" ht="45" x14ac:dyDescent="0.25">
      <c r="A649" s="8" t="s">
        <v>63</v>
      </c>
      <c r="B649" s="8" t="s">
        <v>66</v>
      </c>
      <c r="C649" s="8" t="str">
        <f>IFERROR(_xlfn.XLOOKUP(TRIM(B649),Lookup!$B$2:$B$1000,Lookup!$C$2:$C$1000),"")</f>
        <v>Equity - Flexi Cap</v>
      </c>
      <c r="D649" s="8" t="str">
        <f>IFERROR(INDEX('nav master'!$C:$C, MATCH(B649, 'nav master'!$B:$B, 0)), "")</f>
        <v>ULIF 068 25/04/23 FGF 110</v>
      </c>
      <c r="E649" s="8">
        <v>12.3985</v>
      </c>
      <c r="F649" s="9">
        <v>46097</v>
      </c>
    </row>
    <row r="650" spans="1:6" ht="45" x14ac:dyDescent="0.25">
      <c r="A650" s="8" t="s">
        <v>63</v>
      </c>
      <c r="B650" s="8" t="s">
        <v>66</v>
      </c>
      <c r="C650" s="8" t="str">
        <f>IFERROR(_xlfn.XLOOKUP(TRIM(B650),Lookup!$B$2:$B$1000,Lookup!$C$2:$C$1000),"")</f>
        <v>Equity - Flexi Cap</v>
      </c>
      <c r="D650" s="8" t="str">
        <f>IFERROR(INDEX('nav master'!$C:$C, MATCH(B650, 'nav master'!$B:$B, 0)), "")</f>
        <v>ULIF 068 25/04/23 FGF 110</v>
      </c>
      <c r="E650" s="8">
        <v>12.553599999999999</v>
      </c>
      <c r="F650" s="9">
        <v>46098</v>
      </c>
    </row>
    <row r="651" spans="1:6" ht="45" x14ac:dyDescent="0.25">
      <c r="A651" s="8" t="s">
        <v>63</v>
      </c>
      <c r="B651" s="8" t="s">
        <v>66</v>
      </c>
      <c r="C651" s="8" t="str">
        <f>IFERROR(_xlfn.XLOOKUP(TRIM(B651),Lookup!$B$2:$B$1000,Lookup!$C$2:$C$1000),"")</f>
        <v>Equity - Flexi Cap</v>
      </c>
      <c r="D651" s="8" t="str">
        <f>IFERROR(INDEX('nav master'!$C:$C, MATCH(B651, 'nav master'!$B:$B, 0)), "")</f>
        <v>ULIF 068 25/04/23 FGF 110</v>
      </c>
      <c r="E651" s="8">
        <v>12.7319</v>
      </c>
      <c r="F651" s="9">
        <v>46099</v>
      </c>
    </row>
    <row r="652" spans="1:6" ht="45" x14ac:dyDescent="0.25">
      <c r="A652" s="8" t="s">
        <v>63</v>
      </c>
      <c r="B652" s="8" t="s">
        <v>66</v>
      </c>
      <c r="C652" s="8" t="str">
        <f>IFERROR(_xlfn.XLOOKUP(TRIM(B652),Lookup!$B$2:$B$1000,Lookup!$C$2:$C$1000),"")</f>
        <v>Equity - Flexi Cap</v>
      </c>
      <c r="D652" s="8" t="str">
        <f>IFERROR(INDEX('nav master'!$C:$C, MATCH(B652, 'nav master'!$B:$B, 0)), "")</f>
        <v>ULIF 068 25/04/23 FGF 110</v>
      </c>
      <c r="E652" s="8">
        <v>12.325799999999999</v>
      </c>
      <c r="F652" s="9">
        <v>46100</v>
      </c>
    </row>
    <row r="653" spans="1:6" ht="45" x14ac:dyDescent="0.25">
      <c r="A653" s="8" t="s">
        <v>63</v>
      </c>
      <c r="B653" s="8" t="s">
        <v>66</v>
      </c>
      <c r="C653" s="8" t="str">
        <f>IFERROR(_xlfn.XLOOKUP(TRIM(B653),Lookup!$B$2:$B$1000,Lookup!$C$2:$C$1000),"")</f>
        <v>Equity - Flexi Cap</v>
      </c>
      <c r="D653" s="8" t="str">
        <f>IFERROR(INDEX('nav master'!$C:$C, MATCH(B653, 'nav master'!$B:$B, 0)), "")</f>
        <v>ULIF 068 25/04/23 FGF 110</v>
      </c>
      <c r="E653" s="8">
        <v>12.382300000000001</v>
      </c>
      <c r="F653" s="9">
        <v>46101</v>
      </c>
    </row>
    <row r="654" spans="1:6" ht="45" x14ac:dyDescent="0.25">
      <c r="A654" s="8" t="s">
        <v>63</v>
      </c>
      <c r="B654" s="8" t="s">
        <v>66</v>
      </c>
      <c r="C654" s="8" t="str">
        <f>IFERROR(_xlfn.XLOOKUP(TRIM(B654),Lookup!$B$2:$B$1000,Lookup!$C$2:$C$1000),"")</f>
        <v>Equity - Flexi Cap</v>
      </c>
      <c r="D654" s="8" t="str">
        <f>IFERROR(INDEX('nav master'!$C:$C, MATCH(B654, 'nav master'!$B:$B, 0)), "")</f>
        <v>ULIF 068 25/04/23 FGF 110</v>
      </c>
      <c r="E654" s="8">
        <v>11.992100000000001</v>
      </c>
      <c r="F654" s="9">
        <v>46104</v>
      </c>
    </row>
    <row r="655" spans="1:6" ht="45" x14ac:dyDescent="0.25">
      <c r="A655" s="8" t="s">
        <v>63</v>
      </c>
      <c r="B655" s="8" t="s">
        <v>66</v>
      </c>
      <c r="C655" s="8" t="str">
        <f>IFERROR(_xlfn.XLOOKUP(TRIM(B655),Lookup!$B$2:$B$1000,Lookup!$C$2:$C$1000),"")</f>
        <v>Equity - Flexi Cap</v>
      </c>
      <c r="D655" s="8" t="str">
        <f>IFERROR(INDEX('nav master'!$C:$C, MATCH(B655, 'nav master'!$B:$B, 0)), "")</f>
        <v>ULIF 068 25/04/23 FGF 110</v>
      </c>
      <c r="E655" s="8">
        <v>12.240399999999999</v>
      </c>
      <c r="F655" s="9">
        <v>46105</v>
      </c>
    </row>
    <row r="656" spans="1:6" ht="45" x14ac:dyDescent="0.25">
      <c r="A656" s="8" t="s">
        <v>63</v>
      </c>
      <c r="B656" s="8" t="s">
        <v>66</v>
      </c>
      <c r="C656" s="8" t="str">
        <f>IFERROR(_xlfn.XLOOKUP(TRIM(B656),Lookup!$B$2:$B$1000,Lookup!$C$2:$C$1000),"")</f>
        <v>Equity - Flexi Cap</v>
      </c>
      <c r="D656" s="8" t="str">
        <f>IFERROR(INDEX('nav master'!$C:$C, MATCH(B656, 'nav master'!$B:$B, 0)), "")</f>
        <v>ULIF 068 25/04/23 FGF 110</v>
      </c>
      <c r="E656" s="8">
        <v>12.455299999999999</v>
      </c>
      <c r="F656" s="9">
        <v>46106</v>
      </c>
    </row>
    <row r="657" spans="1:6" ht="45" x14ac:dyDescent="0.25">
      <c r="A657" s="8" t="s">
        <v>63</v>
      </c>
      <c r="B657" s="8" t="s">
        <v>66</v>
      </c>
      <c r="C657" s="8" t="str">
        <f>IFERROR(_xlfn.XLOOKUP(TRIM(B657),Lookup!$B$2:$B$1000,Lookup!$C$2:$C$1000),"")</f>
        <v>Equity - Flexi Cap</v>
      </c>
      <c r="D657" s="8" t="str">
        <f>IFERROR(INDEX('nav master'!$C:$C, MATCH(B657, 'nav master'!$B:$B, 0)), "")</f>
        <v>ULIF 068 25/04/23 FGF 110</v>
      </c>
      <c r="E657" s="8">
        <v>12.1921</v>
      </c>
      <c r="F657" s="9">
        <v>46108</v>
      </c>
    </row>
    <row r="658" spans="1:6" ht="45" x14ac:dyDescent="0.25">
      <c r="A658" s="8" t="s">
        <v>63</v>
      </c>
      <c r="B658" s="8" t="s">
        <v>66</v>
      </c>
      <c r="C658" s="8" t="str">
        <f>IFERROR(_xlfn.XLOOKUP(TRIM(B658),Lookup!$B$2:$B$1000,Lookup!$C$2:$C$1000),"")</f>
        <v>Equity - Flexi Cap</v>
      </c>
      <c r="D658" s="8" t="str">
        <f>IFERROR(INDEX('nav master'!$C:$C, MATCH(B658, 'nav master'!$B:$B, 0)), "")</f>
        <v>ULIF 068 25/04/23 FGF 110</v>
      </c>
      <c r="E658" s="8">
        <v>11.922499999999999</v>
      </c>
      <c r="F658" s="9">
        <v>46111</v>
      </c>
    </row>
    <row r="659" spans="1:6" ht="45" x14ac:dyDescent="0.25">
      <c r="A659" s="8" t="s">
        <v>63</v>
      </c>
      <c r="B659" s="8" t="s">
        <v>66</v>
      </c>
      <c r="C659" s="8" t="str">
        <f>IFERROR(_xlfn.XLOOKUP(TRIM(B659),Lookup!$B$2:$B$1000,Lookup!$C$2:$C$1000),"")</f>
        <v>Equity - Flexi Cap</v>
      </c>
      <c r="D659" s="8" t="str">
        <f>IFERROR(INDEX('nav master'!$C:$C, MATCH(B659, 'nav master'!$B:$B, 0)), "")</f>
        <v>ULIF 068 25/04/23 FGF 110</v>
      </c>
      <c r="E659" s="8">
        <v>11.9223</v>
      </c>
      <c r="F659" s="9">
        <v>46112</v>
      </c>
    </row>
    <row r="660" spans="1:6" ht="45" x14ac:dyDescent="0.25">
      <c r="A660" s="8" t="s">
        <v>63</v>
      </c>
      <c r="B660" s="8" t="s">
        <v>66</v>
      </c>
      <c r="C660" s="8" t="str">
        <f>IFERROR(_xlfn.XLOOKUP(TRIM(B660),Lookup!$B$2:$B$1000,Lookup!$C$2:$C$1000),"")</f>
        <v>Equity - Flexi Cap</v>
      </c>
      <c r="D660" s="8" t="str">
        <f>IFERROR(INDEX('nav master'!$C:$C, MATCH(B660, 'nav master'!$B:$B, 0)), "")</f>
        <v>ULIF 068 25/04/23 FGF 110</v>
      </c>
      <c r="E660" s="8">
        <v>12.139799999999999</v>
      </c>
      <c r="F660" s="9">
        <v>46113</v>
      </c>
    </row>
    <row r="661" spans="1:6" ht="45" x14ac:dyDescent="0.25">
      <c r="A661" s="8" t="s">
        <v>63</v>
      </c>
      <c r="B661" s="8" t="s">
        <v>66</v>
      </c>
      <c r="C661" s="8" t="str">
        <f>IFERROR(_xlfn.XLOOKUP(TRIM(B661),Lookup!$B$2:$B$1000,Lookup!$C$2:$C$1000),"")</f>
        <v>Equity - Flexi Cap</v>
      </c>
      <c r="D661" s="8" t="str">
        <f>IFERROR(INDEX('nav master'!$C:$C, MATCH(B661, 'nav master'!$B:$B, 0)), "")</f>
        <v>ULIF 068 25/04/23 FGF 110</v>
      </c>
      <c r="E661" s="8">
        <v>12.1249</v>
      </c>
      <c r="F661" s="9">
        <v>46114</v>
      </c>
    </row>
    <row r="662" spans="1:6" ht="45" x14ac:dyDescent="0.25">
      <c r="A662" s="8" t="s">
        <v>63</v>
      </c>
      <c r="B662" s="8" t="s">
        <v>66</v>
      </c>
      <c r="C662" s="8" t="str">
        <f>IFERROR(_xlfn.XLOOKUP(TRIM(B662),Lookup!$B$2:$B$1000,Lookup!$C$2:$C$1000),"")</f>
        <v>Equity - Flexi Cap</v>
      </c>
      <c r="D662" s="8" t="str">
        <f>IFERROR(INDEX('nav master'!$C:$C, MATCH(B662, 'nav master'!$B:$B, 0)), "")</f>
        <v>ULIF 068 25/04/23 FGF 110</v>
      </c>
      <c r="E662" s="8">
        <v>12.2623</v>
      </c>
      <c r="F662" s="9">
        <v>46118</v>
      </c>
    </row>
    <row r="663" spans="1:6" ht="45" x14ac:dyDescent="0.25">
      <c r="A663" s="8" t="s">
        <v>63</v>
      </c>
      <c r="B663" s="8" t="s">
        <v>66</v>
      </c>
      <c r="C663" s="8" t="str">
        <f>IFERROR(_xlfn.XLOOKUP(TRIM(B663),Lookup!$B$2:$B$1000,Lookup!$C$2:$C$1000),"")</f>
        <v>Equity - Flexi Cap</v>
      </c>
      <c r="D663" s="8" t="str">
        <f>IFERROR(INDEX('nav master'!$C:$C, MATCH(B663, 'nav master'!$B:$B, 0)), "")</f>
        <v>ULIF 068 25/04/23 FGF 110</v>
      </c>
      <c r="E663" s="8">
        <v>12.299799999999999</v>
      </c>
      <c r="F663" s="9">
        <v>46119</v>
      </c>
    </row>
    <row r="664" spans="1:6" ht="45" x14ac:dyDescent="0.25">
      <c r="A664" s="8" t="s">
        <v>63</v>
      </c>
      <c r="B664" s="8" t="s">
        <v>66</v>
      </c>
      <c r="C664" s="8" t="str">
        <f>IFERROR(_xlfn.XLOOKUP(TRIM(B664),Lookup!$B$2:$B$1000,Lookup!$C$2:$C$1000),"")</f>
        <v>Equity - Flexi Cap</v>
      </c>
      <c r="D664" s="8" t="str">
        <f>IFERROR(INDEX('nav master'!$C:$C, MATCH(B664, 'nav master'!$B:$B, 0)), "")</f>
        <v>ULIF 068 25/04/23 FGF 110</v>
      </c>
      <c r="E664" s="8">
        <v>12.843400000000001</v>
      </c>
      <c r="F664" s="9">
        <v>46120</v>
      </c>
    </row>
    <row r="665" spans="1:6" ht="45" x14ac:dyDescent="0.25">
      <c r="A665" s="8" t="s">
        <v>63</v>
      </c>
      <c r="B665" s="8" t="s">
        <v>66</v>
      </c>
      <c r="C665" s="8" t="str">
        <f>IFERROR(_xlfn.XLOOKUP(TRIM(B665),Lookup!$B$2:$B$1000,Lookup!$C$2:$C$1000),"")</f>
        <v>Equity - Flexi Cap</v>
      </c>
      <c r="D665" s="8" t="str">
        <f>IFERROR(INDEX('nav master'!$C:$C, MATCH(B665, 'nav master'!$B:$B, 0)), "")</f>
        <v>ULIF 068 25/04/23 FGF 110</v>
      </c>
      <c r="E665" s="8">
        <v>12.7736</v>
      </c>
      <c r="F665" s="9">
        <v>46121</v>
      </c>
    </row>
    <row r="666" spans="1:6" ht="45" x14ac:dyDescent="0.25">
      <c r="A666" s="8" t="s">
        <v>63</v>
      </c>
      <c r="B666" s="8" t="s">
        <v>66</v>
      </c>
      <c r="C666" s="8" t="str">
        <f>IFERROR(_xlfn.XLOOKUP(TRIM(B666),Lookup!$B$2:$B$1000,Lookup!$C$2:$C$1000),"")</f>
        <v>Equity - Flexi Cap</v>
      </c>
      <c r="D666" s="8" t="str">
        <f>IFERROR(INDEX('nav master'!$C:$C, MATCH(B666, 'nav master'!$B:$B, 0)), "")</f>
        <v>ULIF 068 25/04/23 FGF 110</v>
      </c>
      <c r="E666" s="8">
        <v>12.9663</v>
      </c>
      <c r="F666" s="9">
        <v>46122</v>
      </c>
    </row>
    <row r="667" spans="1:6" ht="45" x14ac:dyDescent="0.25">
      <c r="A667" s="8" t="s">
        <v>63</v>
      </c>
      <c r="B667" s="8" t="s">
        <v>66</v>
      </c>
      <c r="C667" s="8" t="str">
        <f>IFERROR(_xlfn.XLOOKUP(TRIM(B667),Lookup!$B$2:$B$1000,Lookup!$C$2:$C$1000),"")</f>
        <v>Equity - Flexi Cap</v>
      </c>
      <c r="D667" s="8" t="str">
        <f>IFERROR(INDEX('nav master'!$C:$C, MATCH(B667, 'nav master'!$B:$B, 0)), "")</f>
        <v>ULIF 068 25/04/23 FGF 110</v>
      </c>
      <c r="E667" s="8">
        <v>12.874000000000001</v>
      </c>
      <c r="F667" s="9">
        <v>46125</v>
      </c>
    </row>
    <row r="668" spans="1:6" ht="45" x14ac:dyDescent="0.25">
      <c r="A668" s="8" t="s">
        <v>63</v>
      </c>
      <c r="B668" s="8" t="s">
        <v>66</v>
      </c>
      <c r="C668" s="8" t="str">
        <f>IFERROR(_xlfn.XLOOKUP(TRIM(B668),Lookup!$B$2:$B$1000,Lookup!$C$2:$C$1000),"")</f>
        <v>Equity - Flexi Cap</v>
      </c>
      <c r="D668" s="8" t="str">
        <f>IFERROR(INDEX('nav master'!$C:$C, MATCH(B668, 'nav master'!$B:$B, 0)), "")</f>
        <v>ULIF 068 25/04/23 FGF 110</v>
      </c>
      <c r="E668" s="8">
        <v>13.162100000000001</v>
      </c>
      <c r="F668" s="9">
        <v>46127</v>
      </c>
    </row>
    <row r="669" spans="1:6" ht="45" x14ac:dyDescent="0.25">
      <c r="A669" s="8" t="s">
        <v>63</v>
      </c>
      <c r="B669" s="8" t="s">
        <v>66</v>
      </c>
      <c r="C669" s="8" t="str">
        <f>IFERROR(_xlfn.XLOOKUP(TRIM(B669),Lookup!$B$2:$B$1000,Lookup!$C$2:$C$1000),"")</f>
        <v>Equity - Flexi Cap</v>
      </c>
      <c r="D669" s="8" t="str">
        <f>IFERROR(INDEX('nav master'!$C:$C, MATCH(B669, 'nav master'!$B:$B, 0)), "")</f>
        <v>ULIF 068 25/04/23 FGF 110</v>
      </c>
      <c r="E669" s="8">
        <v>13.2697</v>
      </c>
      <c r="F669" s="9">
        <v>46128</v>
      </c>
    </row>
    <row r="670" spans="1:6" ht="45" x14ac:dyDescent="0.25">
      <c r="A670" s="8" t="s">
        <v>63</v>
      </c>
      <c r="B670" s="8" t="s">
        <v>66</v>
      </c>
      <c r="C670" s="8" t="str">
        <f>IFERROR(_xlfn.XLOOKUP(TRIM(B670),Lookup!$B$2:$B$1000,Lookup!$C$2:$C$1000),"")</f>
        <v>Equity - Flexi Cap</v>
      </c>
      <c r="D670" s="8" t="str">
        <f>IFERROR(INDEX('nav master'!$C:$C, MATCH(B670, 'nav master'!$B:$B, 0)), "")</f>
        <v>ULIF 068 25/04/23 FGF 110</v>
      </c>
      <c r="E670" s="8">
        <v>13.3927</v>
      </c>
      <c r="F670" s="9">
        <v>46129</v>
      </c>
    </row>
    <row r="671" spans="1:6" ht="45" x14ac:dyDescent="0.25">
      <c r="A671" s="8" t="s">
        <v>63</v>
      </c>
      <c r="B671" s="8" t="s">
        <v>66</v>
      </c>
      <c r="C671" s="8" t="str">
        <f>IFERROR(_xlfn.XLOOKUP(TRIM(B671),Lookup!$B$2:$B$1000,Lookup!$C$2:$C$1000),"")</f>
        <v>Equity - Flexi Cap</v>
      </c>
      <c r="D671" s="8" t="str">
        <f>IFERROR(INDEX('nav master'!$C:$C, MATCH(B671, 'nav master'!$B:$B, 0)), "")</f>
        <v>ULIF 068 25/04/23 FGF 110</v>
      </c>
      <c r="E671" s="8">
        <v>13.3817</v>
      </c>
      <c r="F671" s="9">
        <v>46132</v>
      </c>
    </row>
    <row r="672" spans="1:6" ht="45" x14ac:dyDescent="0.25">
      <c r="A672" s="8" t="s">
        <v>63</v>
      </c>
      <c r="B672" s="8" t="s">
        <v>66</v>
      </c>
      <c r="C672" s="8" t="str">
        <f>IFERROR(_xlfn.XLOOKUP(TRIM(B672),Lookup!$B$2:$B$1000,Lookup!$C$2:$C$1000),"")</f>
        <v>Equity - Flexi Cap</v>
      </c>
      <c r="D672" s="8" t="str">
        <f>IFERROR(INDEX('nav master'!$C:$C, MATCH(B672, 'nav master'!$B:$B, 0)), "")</f>
        <v>ULIF 068 25/04/23 FGF 110</v>
      </c>
      <c r="E672" s="8">
        <v>13.4732</v>
      </c>
      <c r="F672" s="9">
        <v>46133</v>
      </c>
    </row>
    <row r="673" spans="1:6" ht="45" x14ac:dyDescent="0.25">
      <c r="A673" s="8" t="s">
        <v>63</v>
      </c>
      <c r="B673" s="8" t="s">
        <v>66</v>
      </c>
      <c r="C673" s="8" t="str">
        <f>IFERROR(_xlfn.XLOOKUP(TRIM(B673),Lookup!$B$2:$B$1000,Lookup!$C$2:$C$1000),"")</f>
        <v>Equity - Flexi Cap</v>
      </c>
      <c r="D673" s="8" t="str">
        <f>IFERROR(INDEX('nav master'!$C:$C, MATCH(B673, 'nav master'!$B:$B, 0)), "")</f>
        <v>ULIF 068 25/04/23 FGF 110</v>
      </c>
      <c r="E673" s="8">
        <v>13.4361</v>
      </c>
      <c r="F673" s="9">
        <v>46134</v>
      </c>
    </row>
    <row r="674" spans="1:6" ht="45" x14ac:dyDescent="0.25">
      <c r="A674" s="8" t="s">
        <v>63</v>
      </c>
      <c r="B674" s="8" t="s">
        <v>66</v>
      </c>
      <c r="C674" s="8" t="str">
        <f>IFERROR(_xlfn.XLOOKUP(TRIM(B674),Lookup!$B$2:$B$1000,Lookup!$C$2:$C$1000),"")</f>
        <v>Equity - Flexi Cap</v>
      </c>
      <c r="D674" s="8" t="str">
        <f>IFERROR(INDEX('nav master'!$C:$C, MATCH(B674, 'nav master'!$B:$B, 0)), "")</f>
        <v>ULIF 068 25/04/23 FGF 110</v>
      </c>
      <c r="E674" s="8">
        <v>13.279</v>
      </c>
      <c r="F674" s="9">
        <v>46135</v>
      </c>
    </row>
    <row r="675" spans="1:6" ht="45" x14ac:dyDescent="0.25">
      <c r="A675" s="8" t="s">
        <v>63</v>
      </c>
      <c r="B675" s="8" t="s">
        <v>66</v>
      </c>
      <c r="C675" s="8" t="str">
        <f>IFERROR(_xlfn.XLOOKUP(TRIM(B675),Lookup!$B$2:$B$1000,Lookup!$C$2:$C$1000),"")</f>
        <v>Equity - Flexi Cap</v>
      </c>
      <c r="D675" s="8" t="str">
        <f>IFERROR(INDEX('nav master'!$C:$C, MATCH(B675, 'nav master'!$B:$B, 0)), "")</f>
        <v>ULIF 068 25/04/23 FGF 110</v>
      </c>
      <c r="E675" s="8">
        <v>13.1447</v>
      </c>
      <c r="F675" s="9">
        <v>46136</v>
      </c>
    </row>
    <row r="676" spans="1:6" ht="45" x14ac:dyDescent="0.25">
      <c r="A676" s="8" t="s">
        <v>63</v>
      </c>
      <c r="B676" s="8" t="s">
        <v>66</v>
      </c>
      <c r="C676" s="8" t="str">
        <f>IFERROR(_xlfn.XLOOKUP(TRIM(B676),Lookup!$B$2:$B$1000,Lookup!$C$2:$C$1000),"")</f>
        <v>Equity - Flexi Cap</v>
      </c>
      <c r="D676" s="8" t="str">
        <f>IFERROR(INDEX('nav master'!$C:$C, MATCH(B676, 'nav master'!$B:$B, 0)), "")</f>
        <v>ULIF 068 25/04/23 FGF 110</v>
      </c>
      <c r="E676" s="8">
        <v>13.2928</v>
      </c>
      <c r="F676" s="9">
        <v>46139</v>
      </c>
    </row>
    <row r="677" spans="1:6" ht="45" x14ac:dyDescent="0.25">
      <c r="A677" s="8" t="s">
        <v>63</v>
      </c>
      <c r="B677" s="8" t="s">
        <v>66</v>
      </c>
      <c r="C677" s="8" t="str">
        <f>IFERROR(_xlfn.XLOOKUP(TRIM(B677),Lookup!$B$2:$B$1000,Lookup!$C$2:$C$1000),"")</f>
        <v>Equity - Flexi Cap</v>
      </c>
      <c r="D677" s="8" t="str">
        <f>IFERROR(INDEX('nav master'!$C:$C, MATCH(B677, 'nav master'!$B:$B, 0)), "")</f>
        <v>ULIF 068 25/04/23 FGF 110</v>
      </c>
      <c r="E677" s="8">
        <v>13.278600000000001</v>
      </c>
      <c r="F677" s="9">
        <v>46140</v>
      </c>
    </row>
    <row r="678" spans="1:6" ht="45" x14ac:dyDescent="0.25">
      <c r="A678" s="8" t="s">
        <v>63</v>
      </c>
      <c r="B678" s="8" t="s">
        <v>66</v>
      </c>
      <c r="C678" s="8" t="str">
        <f>IFERROR(_xlfn.XLOOKUP(TRIM(B678),Lookup!$B$2:$B$1000,Lookup!$C$2:$C$1000),"")</f>
        <v>Equity - Flexi Cap</v>
      </c>
      <c r="D678" s="8" t="str">
        <f>IFERROR(INDEX('nav master'!$C:$C, MATCH(B678, 'nav master'!$B:$B, 0)), "")</f>
        <v>ULIF 068 25/04/23 FGF 110</v>
      </c>
      <c r="E678" s="8">
        <v>13.3132</v>
      </c>
      <c r="F678" s="9">
        <v>46141</v>
      </c>
    </row>
    <row r="679" spans="1:6" ht="45" x14ac:dyDescent="0.25">
      <c r="A679" s="8" t="s">
        <v>63</v>
      </c>
      <c r="B679" s="8" t="s">
        <v>66</v>
      </c>
      <c r="C679" s="8" t="str">
        <f>IFERROR(_xlfn.XLOOKUP(TRIM(B679),Lookup!$B$2:$B$1000,Lookup!$C$2:$C$1000),"")</f>
        <v>Equity - Flexi Cap</v>
      </c>
      <c r="D679" s="8" t="str">
        <f>IFERROR(INDEX('nav master'!$C:$C, MATCH(B679, 'nav master'!$B:$B, 0)), "")</f>
        <v>ULIF 068 25/04/23 FGF 110</v>
      </c>
      <c r="E679" s="8">
        <v>13.180300000000001</v>
      </c>
      <c r="F679" s="9">
        <v>46142</v>
      </c>
    </row>
    <row r="680" spans="1:6" ht="45" x14ac:dyDescent="0.25">
      <c r="A680" s="8" t="s">
        <v>63</v>
      </c>
      <c r="B680" s="8" t="s">
        <v>66</v>
      </c>
      <c r="C680" s="8" t="str">
        <f>IFERROR(_xlfn.XLOOKUP(TRIM(B680),Lookup!$B$2:$B$1000,Lookup!$C$2:$C$1000),"")</f>
        <v>Equity - Flexi Cap</v>
      </c>
      <c r="D680" s="8" t="str">
        <f>IFERROR(INDEX('nav master'!$C:$C, MATCH(B680, 'nav master'!$B:$B, 0)), "")</f>
        <v>ULIF 068 25/04/23 FGF 110</v>
      </c>
      <c r="E680" s="8">
        <v>13.3302</v>
      </c>
      <c r="F680" s="9">
        <v>46146</v>
      </c>
    </row>
    <row r="681" spans="1:6" ht="45" x14ac:dyDescent="0.25">
      <c r="A681" s="8" t="s">
        <v>63</v>
      </c>
      <c r="B681" s="8" t="s">
        <v>66</v>
      </c>
      <c r="C681" s="8" t="str">
        <f>IFERROR(_xlfn.XLOOKUP(TRIM(B681),Lookup!$B$2:$B$1000,Lookup!$C$2:$C$1000),"")</f>
        <v>Equity - Flexi Cap</v>
      </c>
      <c r="D681" s="8" t="str">
        <f>IFERROR(INDEX('nav master'!$C:$C, MATCH(B681, 'nav master'!$B:$B, 0)), "")</f>
        <v>ULIF 068 25/04/23 FGF 110</v>
      </c>
      <c r="E681" s="8">
        <v>13.302199999999999</v>
      </c>
      <c r="F681" s="9">
        <v>46147</v>
      </c>
    </row>
    <row r="682" spans="1:6" ht="45" x14ac:dyDescent="0.25">
      <c r="A682" s="8" t="s">
        <v>63</v>
      </c>
      <c r="B682" s="8" t="s">
        <v>66</v>
      </c>
      <c r="C682" s="8" t="str">
        <f>IFERROR(_xlfn.XLOOKUP(TRIM(B682),Lookup!$B$2:$B$1000,Lookup!$C$2:$C$1000),"")</f>
        <v>Equity - Flexi Cap</v>
      </c>
      <c r="D682" s="8" t="str">
        <f>IFERROR(INDEX('nav master'!$C:$C, MATCH(B682, 'nav master'!$B:$B, 0)), "")</f>
        <v>ULIF 068 25/04/23 FGF 110</v>
      </c>
      <c r="E682" s="8">
        <v>13.536199999999999</v>
      </c>
      <c r="F682" s="9">
        <v>46148</v>
      </c>
    </row>
    <row r="683" spans="1:6" ht="45" x14ac:dyDescent="0.25">
      <c r="A683" s="8" t="s">
        <v>63</v>
      </c>
      <c r="B683" s="8" t="s">
        <v>66</v>
      </c>
      <c r="C683" s="8" t="str">
        <f>IFERROR(_xlfn.XLOOKUP(TRIM(B683),Lookup!$B$2:$B$1000,Lookup!$C$2:$C$1000),"")</f>
        <v>Equity - Flexi Cap</v>
      </c>
      <c r="D683" s="8" t="str">
        <f>IFERROR(INDEX('nav master'!$C:$C, MATCH(B683, 'nav master'!$B:$B, 0)), "")</f>
        <v>ULIF 068 25/04/23 FGF 110</v>
      </c>
      <c r="E683" s="8">
        <v>13.63</v>
      </c>
      <c r="F683" s="9">
        <v>46149</v>
      </c>
    </row>
    <row r="684" spans="1:6" ht="45" x14ac:dyDescent="0.25">
      <c r="A684" s="8" t="s">
        <v>63</v>
      </c>
      <c r="B684" s="8" t="s">
        <v>66</v>
      </c>
      <c r="C684" s="8" t="str">
        <f>IFERROR(_xlfn.XLOOKUP(TRIM(B684),Lookup!$B$2:$B$1000,Lookup!$C$2:$C$1000),"")</f>
        <v>Equity - Flexi Cap</v>
      </c>
      <c r="D684" s="8" t="str">
        <f>IFERROR(INDEX('nav master'!$C:$C, MATCH(B684, 'nav master'!$B:$B, 0)), "")</f>
        <v>ULIF 068 25/04/23 FGF 110</v>
      </c>
      <c r="E684" s="8">
        <v>13.590199999999999</v>
      </c>
      <c r="F684" s="9">
        <v>46150</v>
      </c>
    </row>
    <row r="685" spans="1:6" ht="45" x14ac:dyDescent="0.25">
      <c r="A685" s="8" t="s">
        <v>63</v>
      </c>
      <c r="B685" s="8" t="s">
        <v>66</v>
      </c>
      <c r="C685" s="8" t="str">
        <f>IFERROR(_xlfn.XLOOKUP(TRIM(B685),Lookup!$B$2:$B$1000,Lookup!$C$2:$C$1000),"")</f>
        <v>Equity - Flexi Cap</v>
      </c>
      <c r="D685" s="8" t="str">
        <f>IFERROR(INDEX('nav master'!$C:$C, MATCH(B685, 'nav master'!$B:$B, 0)), "")</f>
        <v>ULIF 068 25/04/23 FGF 110</v>
      </c>
      <c r="E685" s="8">
        <v>13.3843</v>
      </c>
      <c r="F685" s="9">
        <v>46153</v>
      </c>
    </row>
    <row r="686" spans="1:6" ht="45" x14ac:dyDescent="0.25">
      <c r="A686" s="8" t="s">
        <v>63</v>
      </c>
      <c r="B686" s="8" t="s">
        <v>66</v>
      </c>
      <c r="C686" s="8" t="str">
        <f>IFERROR(_xlfn.XLOOKUP(TRIM(B686),Lookup!$B$2:$B$1000,Lookup!$C$2:$C$1000),"")</f>
        <v>Equity - Flexi Cap</v>
      </c>
      <c r="D686" s="8" t="str">
        <f>IFERROR(INDEX('nav master'!$C:$C, MATCH(B686, 'nav master'!$B:$B, 0)), "")</f>
        <v>ULIF 068 25/04/23 FGF 110</v>
      </c>
      <c r="E686" s="8">
        <v>13.027699999999999</v>
      </c>
      <c r="F686" s="9">
        <v>46154</v>
      </c>
    </row>
    <row r="687" spans="1:6" ht="45" x14ac:dyDescent="0.25">
      <c r="A687" s="8" t="s">
        <v>63</v>
      </c>
      <c r="B687" s="8" t="s">
        <v>66</v>
      </c>
      <c r="C687" s="8" t="str">
        <f>IFERROR(_xlfn.XLOOKUP(TRIM(B687),Lookup!$B$2:$B$1000,Lookup!$C$2:$C$1000),"")</f>
        <v>Equity - Flexi Cap</v>
      </c>
      <c r="D687" s="8" t="str">
        <f>IFERROR(INDEX('nav master'!$C:$C, MATCH(B687, 'nav master'!$B:$B, 0)), "")</f>
        <v>ULIF 068 25/04/23 FGF 110</v>
      </c>
      <c r="E687" s="8">
        <v>13.0128</v>
      </c>
      <c r="F687" s="9">
        <v>46155</v>
      </c>
    </row>
    <row r="688" spans="1:6" ht="45" x14ac:dyDescent="0.25">
      <c r="A688" s="8" t="s">
        <v>63</v>
      </c>
      <c r="B688" s="8" t="s">
        <v>66</v>
      </c>
      <c r="C688" s="8" t="str">
        <f>IFERROR(_xlfn.XLOOKUP(TRIM(B688),Lookup!$B$2:$B$1000,Lookup!$C$2:$C$1000),"")</f>
        <v>Equity - Flexi Cap</v>
      </c>
      <c r="D688" s="8" t="str">
        <f>IFERROR(INDEX('nav master'!$C:$C, MATCH(B688, 'nav master'!$B:$B, 0)), "")</f>
        <v>ULIF 068 25/04/23 FGF 110</v>
      </c>
      <c r="E688" s="8">
        <v>13.1821</v>
      </c>
      <c r="F688" s="9">
        <v>46156</v>
      </c>
    </row>
    <row r="689" spans="1:6" ht="45" x14ac:dyDescent="0.25">
      <c r="A689" s="8" t="s">
        <v>63</v>
      </c>
      <c r="B689" s="8" t="s">
        <v>66</v>
      </c>
      <c r="C689" s="8" t="str">
        <f>IFERROR(_xlfn.XLOOKUP(TRIM(B689),Lookup!$B$2:$B$1000,Lookup!$C$2:$C$1000),"")</f>
        <v>Equity - Flexi Cap</v>
      </c>
      <c r="D689" s="8" t="str">
        <f>IFERROR(INDEX('nav master'!$C:$C, MATCH(B689, 'nav master'!$B:$B, 0)), "")</f>
        <v>ULIF 068 25/04/23 FGF 110</v>
      </c>
      <c r="E689" s="8">
        <v>13.104900000000001</v>
      </c>
      <c r="F689" s="9">
        <v>46157</v>
      </c>
    </row>
    <row r="690" spans="1:6" ht="45" x14ac:dyDescent="0.25">
      <c r="A690" s="8" t="s">
        <v>63</v>
      </c>
      <c r="B690" s="8" t="s">
        <v>66</v>
      </c>
      <c r="C690" s="8" t="str">
        <f>IFERROR(_xlfn.XLOOKUP(TRIM(B690),Lookup!$B$2:$B$1000,Lookup!$C$2:$C$1000),"")</f>
        <v>Equity - Flexi Cap</v>
      </c>
      <c r="D690" s="8" t="str">
        <f>IFERROR(INDEX('nav master'!$C:$C, MATCH(B690, 'nav master'!$B:$B, 0)), "")</f>
        <v>ULIF 068 25/04/23 FGF 110</v>
      </c>
      <c r="E690" s="8">
        <v>13.084300000000001</v>
      </c>
      <c r="F690" s="9">
        <v>46160</v>
      </c>
    </row>
    <row r="691" spans="1:6" ht="45" x14ac:dyDescent="0.25">
      <c r="A691" s="8" t="s">
        <v>63</v>
      </c>
      <c r="B691" s="8" t="s">
        <v>66</v>
      </c>
      <c r="C691" s="8" t="str">
        <f>IFERROR(_xlfn.XLOOKUP(TRIM(B691),Lookup!$B$2:$B$1000,Lookup!$C$2:$C$1000),"")</f>
        <v>Equity - Flexi Cap</v>
      </c>
      <c r="D691" s="8" t="str">
        <f>IFERROR(INDEX('nav master'!$C:$C, MATCH(B691, 'nav master'!$B:$B, 0)), "")</f>
        <v>ULIF 068 25/04/23 FGF 110</v>
      </c>
      <c r="E691" s="8">
        <v>13.212</v>
      </c>
      <c r="F691" s="9">
        <v>46161</v>
      </c>
    </row>
    <row r="692" spans="1:6" ht="45" x14ac:dyDescent="0.25">
      <c r="A692" s="8" t="s">
        <v>63</v>
      </c>
      <c r="B692" s="8" t="s">
        <v>66</v>
      </c>
      <c r="C692" s="8" t="str">
        <f>IFERROR(_xlfn.XLOOKUP(TRIM(B692),Lookup!$B$2:$B$1000,Lookup!$C$2:$C$1000),"")</f>
        <v>Equity - Flexi Cap</v>
      </c>
      <c r="D692" s="8" t="str">
        <f>IFERROR(INDEX('nav master'!$C:$C, MATCH(B692, 'nav master'!$B:$B, 0)), "")</f>
        <v>ULIF 068 25/04/23 FGF 110</v>
      </c>
      <c r="E692" s="8">
        <v>13.250299999999999</v>
      </c>
      <c r="F692" s="9">
        <v>46162</v>
      </c>
    </row>
    <row r="693" spans="1:6" ht="45" x14ac:dyDescent="0.25">
      <c r="A693" s="8" t="s">
        <v>63</v>
      </c>
      <c r="B693" s="8" t="s">
        <v>66</v>
      </c>
      <c r="C693" s="8" t="str">
        <f>IFERROR(_xlfn.XLOOKUP(TRIM(B693),Lookup!$B$2:$B$1000,Lookup!$C$2:$C$1000),"")</f>
        <v>Equity - Flexi Cap</v>
      </c>
      <c r="D693" s="8" t="str">
        <f>IFERROR(INDEX('nav master'!$C:$C, MATCH(B693, 'nav master'!$B:$B, 0)), "")</f>
        <v>ULIF 068 25/04/23 FGF 110</v>
      </c>
      <c r="E693" s="8">
        <v>13.2456</v>
      </c>
      <c r="F693" s="9">
        <v>46163</v>
      </c>
    </row>
    <row r="694" spans="1:6" ht="45" x14ac:dyDescent="0.25">
      <c r="A694" s="8" t="s">
        <v>63</v>
      </c>
      <c r="B694" s="8" t="s">
        <v>66</v>
      </c>
      <c r="C694" s="8" t="str">
        <f>IFERROR(_xlfn.XLOOKUP(TRIM(B694),Lookup!$B$2:$B$1000,Lookup!$C$2:$C$1000),"")</f>
        <v>Equity - Flexi Cap</v>
      </c>
      <c r="D694" s="8" t="str">
        <f>IFERROR(INDEX('nav master'!$C:$C, MATCH(B694, 'nav master'!$B:$B, 0)), "")</f>
        <v>ULIF 068 25/04/23 FGF 110</v>
      </c>
      <c r="E694" s="8">
        <v>13.2416</v>
      </c>
      <c r="F694" s="9">
        <v>46164</v>
      </c>
    </row>
    <row r="695" spans="1:6" ht="45" x14ac:dyDescent="0.25">
      <c r="A695" s="8" t="s">
        <v>63</v>
      </c>
      <c r="B695" s="8" t="s">
        <v>66</v>
      </c>
      <c r="C695" s="8" t="str">
        <f>IFERROR(_xlfn.XLOOKUP(TRIM(B695),Lookup!$B$2:$B$1000,Lookup!$C$2:$C$1000),"")</f>
        <v>Equity - Flexi Cap</v>
      </c>
      <c r="D695" s="8" t="str">
        <f>IFERROR(INDEX('nav master'!$C:$C, MATCH(B695, 'nav master'!$B:$B, 0)), "")</f>
        <v>ULIF 068 25/04/23 FGF 110</v>
      </c>
      <c r="E695" s="8">
        <v>13.4057</v>
      </c>
      <c r="F695" s="9">
        <v>46167</v>
      </c>
    </row>
    <row r="696" spans="1:6" ht="45" x14ac:dyDescent="0.25">
      <c r="A696" s="8" t="s">
        <v>63</v>
      </c>
      <c r="B696" s="8" t="s">
        <v>66</v>
      </c>
      <c r="C696" s="8" t="str">
        <f>IFERROR(_xlfn.XLOOKUP(TRIM(B696),Lookup!$B$2:$B$1000,Lookup!$C$2:$C$1000),"")</f>
        <v>Equity - Flexi Cap</v>
      </c>
      <c r="D696" s="8" t="str">
        <f>IFERROR(INDEX('nav master'!$C:$C, MATCH(B696, 'nav master'!$B:$B, 0)), "")</f>
        <v>ULIF 068 25/04/23 FGF 110</v>
      </c>
      <c r="E696" s="8">
        <v>13.421099999999999</v>
      </c>
      <c r="F696" s="9">
        <v>46168</v>
      </c>
    </row>
    <row r="697" spans="1:6" ht="45" x14ac:dyDescent="0.25">
      <c r="A697" s="8" t="s">
        <v>63</v>
      </c>
      <c r="B697" s="8" t="s">
        <v>66</v>
      </c>
      <c r="C697" s="8" t="str">
        <f>IFERROR(_xlfn.XLOOKUP(TRIM(B697),Lookup!$B$2:$B$1000,Lookup!$C$2:$C$1000),"")</f>
        <v>Equity - Flexi Cap</v>
      </c>
      <c r="D697" s="8" t="str">
        <f>IFERROR(INDEX('nav master'!$C:$C, MATCH(B697, 'nav master'!$B:$B, 0)), "")</f>
        <v>ULIF 068 25/04/23 FGF 110</v>
      </c>
      <c r="E697" s="8">
        <v>13.4102</v>
      </c>
      <c r="F697" s="9">
        <v>46169</v>
      </c>
    </row>
    <row r="698" spans="1:6" ht="45" x14ac:dyDescent="0.25">
      <c r="A698" s="8" t="s">
        <v>63</v>
      </c>
      <c r="B698" s="8" t="s">
        <v>66</v>
      </c>
      <c r="C698" s="8" t="str">
        <f>IFERROR(_xlfn.XLOOKUP(TRIM(B698),Lookup!$B$2:$B$1000,Lookup!$C$2:$C$1000),"")</f>
        <v>Equity - Flexi Cap</v>
      </c>
      <c r="D698" s="8" t="str">
        <f>IFERROR(INDEX('nav master'!$C:$C, MATCH(B698, 'nav master'!$B:$B, 0)), "")</f>
        <v>ULIF 068 25/04/23 FGF 110</v>
      </c>
      <c r="E698" s="8">
        <v>13.233499999999999</v>
      </c>
      <c r="F698" s="9">
        <v>46171</v>
      </c>
    </row>
    <row r="699" spans="1:6" ht="45" x14ac:dyDescent="0.25">
      <c r="A699" s="8" t="s">
        <v>63</v>
      </c>
      <c r="B699" s="8" t="s">
        <v>66</v>
      </c>
      <c r="C699" s="8" t="str">
        <f>IFERROR(_xlfn.XLOOKUP(TRIM(B699),Lookup!$B$2:$B$1000,Lookup!$C$2:$C$1000),"")</f>
        <v>Equity - Flexi Cap</v>
      </c>
      <c r="D699" s="8" t="str">
        <f>IFERROR(INDEX('nav master'!$C:$C, MATCH(B699, 'nav master'!$B:$B, 0)), "")</f>
        <v>ULIF 068 25/04/23 FGF 110</v>
      </c>
      <c r="E699" s="8">
        <v>13.095599999999999</v>
      </c>
      <c r="F699" s="9">
        <v>46174</v>
      </c>
    </row>
    <row r="700" spans="1:6" ht="45" x14ac:dyDescent="0.25">
      <c r="A700" s="8" t="s">
        <v>63</v>
      </c>
      <c r="B700" s="8" t="s">
        <v>66</v>
      </c>
      <c r="C700" s="8" t="str">
        <f>IFERROR(_xlfn.XLOOKUP(TRIM(B700),Lookup!$B$2:$B$1000,Lookup!$C$2:$C$1000),"")</f>
        <v>Equity - Flexi Cap</v>
      </c>
      <c r="D700" s="8" t="str">
        <f>IFERROR(INDEX('nav master'!$C:$C, MATCH(B700, 'nav master'!$B:$B, 0)), "")</f>
        <v>ULIF 068 25/04/23 FGF 110</v>
      </c>
      <c r="E700" s="8">
        <v>13.151400000000001</v>
      </c>
      <c r="F700" s="9">
        <v>46175</v>
      </c>
    </row>
    <row r="701" spans="1:6" ht="45" x14ac:dyDescent="0.25">
      <c r="A701" s="8" t="s">
        <v>63</v>
      </c>
      <c r="B701" s="8" t="s">
        <v>66</v>
      </c>
      <c r="C701" s="8" t="str">
        <f>IFERROR(_xlfn.XLOOKUP(TRIM(B701),Lookup!$B$2:$B$1000,Lookup!$C$2:$C$1000),"")</f>
        <v>Equity - Flexi Cap</v>
      </c>
      <c r="D701" s="8" t="str">
        <f>IFERROR(INDEX('nav master'!$C:$C, MATCH(B701, 'nav master'!$B:$B, 0)), "")</f>
        <v>ULIF 068 25/04/23 FGF 110</v>
      </c>
      <c r="E701" s="8">
        <v>13.1027</v>
      </c>
      <c r="F701" s="9">
        <v>46176</v>
      </c>
    </row>
    <row r="702" spans="1:6" ht="45" x14ac:dyDescent="0.25">
      <c r="A702" s="8" t="s">
        <v>63</v>
      </c>
      <c r="B702" s="8" t="s">
        <v>66</v>
      </c>
      <c r="C702" s="8" t="str">
        <f>IFERROR(_xlfn.XLOOKUP(TRIM(B702),Lookup!$B$2:$B$1000,Lookup!$C$2:$C$1000),"")</f>
        <v>Equity - Flexi Cap</v>
      </c>
      <c r="D702" s="8" t="str">
        <f>IFERROR(INDEX('nav master'!$C:$C, MATCH(B702, 'nav master'!$B:$B, 0)), "")</f>
        <v>ULIF 068 25/04/23 FGF 110</v>
      </c>
      <c r="E702" s="8">
        <v>13.1715</v>
      </c>
      <c r="F702" s="9">
        <v>46177</v>
      </c>
    </row>
    <row r="703" spans="1:6" ht="45" x14ac:dyDescent="0.25">
      <c r="A703" s="8" t="s">
        <v>63</v>
      </c>
      <c r="B703" s="8" t="s">
        <v>66</v>
      </c>
      <c r="C703" s="8" t="str">
        <f>IFERROR(_xlfn.XLOOKUP(TRIM(B703),Lookup!$B$2:$B$1000,Lookup!$C$2:$C$1000),"")</f>
        <v>Equity - Flexi Cap</v>
      </c>
      <c r="D703" s="8" t="str">
        <f>IFERROR(INDEX('nav master'!$C:$C, MATCH(B703, 'nav master'!$B:$B, 0)), "")</f>
        <v>ULIF 068 25/04/23 FGF 110</v>
      </c>
      <c r="E703" s="8">
        <v>13.151999999999999</v>
      </c>
      <c r="F703" s="9">
        <v>46178</v>
      </c>
    </row>
    <row r="704" spans="1:6" ht="45" x14ac:dyDescent="0.25">
      <c r="A704" s="8" t="s">
        <v>63</v>
      </c>
      <c r="B704" s="8" t="s">
        <v>66</v>
      </c>
      <c r="C704" s="8" t="str">
        <f>IFERROR(_xlfn.XLOOKUP(TRIM(B704),Lookup!$B$2:$B$1000,Lookup!$C$2:$C$1000),"")</f>
        <v>Equity - Flexi Cap</v>
      </c>
      <c r="D704" s="8" t="str">
        <f>IFERROR(INDEX('nav master'!$C:$C, MATCH(B704, 'nav master'!$B:$B, 0)), "")</f>
        <v>ULIF 068 25/04/23 FGF 110</v>
      </c>
      <c r="E704" s="8">
        <v>12.968999999999999</v>
      </c>
      <c r="F704" s="9">
        <v>46181</v>
      </c>
    </row>
    <row r="705" spans="1:6" ht="45" x14ac:dyDescent="0.25">
      <c r="A705" s="8" t="s">
        <v>63</v>
      </c>
      <c r="B705" s="8" t="s">
        <v>66</v>
      </c>
      <c r="C705" s="8" t="str">
        <f>IFERROR(_xlfn.XLOOKUP(TRIM(B705),Lookup!$B$2:$B$1000,Lookup!$C$2:$C$1000),"")</f>
        <v>Equity - Flexi Cap</v>
      </c>
      <c r="D705" s="8" t="str">
        <f>IFERROR(INDEX('nav master'!$C:$C, MATCH(B705, 'nav master'!$B:$B, 0)), "")</f>
        <v>ULIF 068 25/04/23 FGF 110</v>
      </c>
      <c r="E705" s="8">
        <v>13.110200000000001</v>
      </c>
      <c r="F705" s="9">
        <v>46182</v>
      </c>
    </row>
    <row r="706" spans="1:6" ht="45" x14ac:dyDescent="0.25">
      <c r="A706" s="8" t="s">
        <v>63</v>
      </c>
      <c r="B706" s="8" t="s">
        <v>66</v>
      </c>
      <c r="C706" s="8" t="str">
        <f>IFERROR(_xlfn.XLOOKUP(TRIM(B706),Lookup!$B$2:$B$1000,Lookup!$C$2:$C$1000),"")</f>
        <v>Equity - Flexi Cap</v>
      </c>
      <c r="D706" s="8" t="str">
        <f>IFERROR(INDEX('nav master'!$C:$C, MATCH(B706, 'nav master'!$B:$B, 0)), "")</f>
        <v>ULIF 068 25/04/23 FGF 110</v>
      </c>
      <c r="E706" s="8">
        <v>13.0152</v>
      </c>
      <c r="F706" s="9">
        <v>46183</v>
      </c>
    </row>
    <row r="707" spans="1:6" ht="45" x14ac:dyDescent="0.25">
      <c r="A707" s="8" t="s">
        <v>63</v>
      </c>
      <c r="B707" s="8" t="s">
        <v>66</v>
      </c>
      <c r="C707" s="8" t="str">
        <f>IFERROR(_xlfn.XLOOKUP(TRIM(B707),Lookup!$B$2:$B$1000,Lookup!$C$2:$C$1000),"")</f>
        <v>Equity - Flexi Cap</v>
      </c>
      <c r="D707" s="8" t="str">
        <f>IFERROR(INDEX('nav master'!$C:$C, MATCH(B707, 'nav master'!$B:$B, 0)), "")</f>
        <v>ULIF 068 25/04/23 FGF 110</v>
      </c>
      <c r="E707" s="8">
        <v>12.950799999999999</v>
      </c>
      <c r="F707" s="9">
        <v>46184</v>
      </c>
    </row>
    <row r="708" spans="1:6" ht="45" x14ac:dyDescent="0.25">
      <c r="A708" s="8" t="s">
        <v>63</v>
      </c>
      <c r="B708" s="8" t="s">
        <v>66</v>
      </c>
      <c r="C708" s="8" t="str">
        <f>IFERROR(_xlfn.XLOOKUP(TRIM(B708),Lookup!$B$2:$B$1000,Lookup!$C$2:$C$1000),"")</f>
        <v>Equity - Flexi Cap</v>
      </c>
      <c r="D708" s="8" t="str">
        <f>IFERROR(INDEX('nav master'!$C:$C, MATCH(B708, 'nav master'!$B:$B, 0)), "")</f>
        <v>ULIF 068 25/04/23 FGF 110</v>
      </c>
      <c r="E708" s="8">
        <v>13.2865</v>
      </c>
      <c r="F708" s="9">
        <v>46185</v>
      </c>
    </row>
    <row r="709" spans="1:6" ht="45" x14ac:dyDescent="0.25">
      <c r="A709" s="8" t="s">
        <v>63</v>
      </c>
      <c r="B709" s="8" t="s">
        <v>66</v>
      </c>
      <c r="C709" s="8" t="str">
        <f>IFERROR(_xlfn.XLOOKUP(TRIM(B709),Lookup!$B$2:$B$1000,Lookup!$C$2:$C$1000),"")</f>
        <v>Equity - Flexi Cap</v>
      </c>
      <c r="D709" s="8" t="str">
        <f>IFERROR(INDEX('nav master'!$C:$C, MATCH(B709, 'nav master'!$B:$B, 0)), "")</f>
        <v>ULIF 068 25/04/23 FGF 110</v>
      </c>
      <c r="E709" s="8">
        <v>13.5511</v>
      </c>
      <c r="F709" s="9">
        <v>46188</v>
      </c>
    </row>
    <row r="710" spans="1:6" ht="45" x14ac:dyDescent="0.25">
      <c r="A710" s="8" t="s">
        <v>63</v>
      </c>
      <c r="B710" s="8" t="s">
        <v>66</v>
      </c>
      <c r="C710" s="8" t="str">
        <f>IFERROR(_xlfn.XLOOKUP(TRIM(B710),Lookup!$B$2:$B$1000,Lookup!$C$2:$C$1000),"")</f>
        <v>Equity - Flexi Cap</v>
      </c>
      <c r="D710" s="8" t="str">
        <f>IFERROR(INDEX('nav master'!$C:$C, MATCH(B710, 'nav master'!$B:$B, 0)), "")</f>
        <v>ULIF 068 25/04/23 FGF 110</v>
      </c>
      <c r="E710" s="8">
        <v>13.6052</v>
      </c>
      <c r="F710" s="9">
        <v>46189</v>
      </c>
    </row>
    <row r="711" spans="1:6" ht="45" x14ac:dyDescent="0.25">
      <c r="A711" s="8" t="s">
        <v>63</v>
      </c>
      <c r="B711" s="8" t="s">
        <v>66</v>
      </c>
      <c r="C711" s="8" t="str">
        <f>IFERROR(_xlfn.XLOOKUP(TRIM(B711),Lookup!$B$2:$B$1000,Lookup!$C$2:$C$1000),"")</f>
        <v>Equity - Flexi Cap</v>
      </c>
      <c r="D711" s="8" t="str">
        <f>IFERROR(INDEX('nav master'!$C:$C, MATCH(B711, 'nav master'!$B:$B, 0)), "")</f>
        <v>ULIF 068 25/04/23 FGF 110</v>
      </c>
      <c r="E711" s="8">
        <v>13.637499999999999</v>
      </c>
      <c r="F711" s="9">
        <v>46190</v>
      </c>
    </row>
    <row r="712" spans="1:6" ht="45" x14ac:dyDescent="0.25">
      <c r="A712" s="8" t="s">
        <v>63</v>
      </c>
      <c r="B712" s="8" t="s">
        <v>66</v>
      </c>
      <c r="C712" s="8" t="str">
        <f>IFERROR(_xlfn.XLOOKUP(TRIM(B712),Lookup!$B$2:$B$1000,Lookup!$C$2:$C$1000),"")</f>
        <v>Equity - Flexi Cap</v>
      </c>
      <c r="D712" s="8" t="str">
        <f>IFERROR(INDEX('nav master'!$C:$C, MATCH(B712, 'nav master'!$B:$B, 0)), "")</f>
        <v>ULIF 068 25/04/23 FGF 110</v>
      </c>
      <c r="E712" s="8">
        <v>13.712</v>
      </c>
      <c r="F712" s="9">
        <v>46191</v>
      </c>
    </row>
    <row r="713" spans="1:6" ht="45" x14ac:dyDescent="0.25">
      <c r="A713" s="8" t="s">
        <v>63</v>
      </c>
      <c r="B713" s="8" t="s">
        <v>66</v>
      </c>
      <c r="C713" s="8" t="str">
        <f>IFERROR(_xlfn.XLOOKUP(TRIM(B713),Lookup!$B$2:$B$1000,Lookup!$C$2:$C$1000),"")</f>
        <v>Equity - Flexi Cap</v>
      </c>
      <c r="D713" s="8" t="str">
        <f>IFERROR(INDEX('nav master'!$C:$C, MATCH(B713, 'nav master'!$B:$B, 0)), "")</f>
        <v>ULIF 068 25/04/23 FGF 110</v>
      </c>
      <c r="E713" s="8">
        <v>13.7044</v>
      </c>
      <c r="F713" s="9">
        <v>46192</v>
      </c>
    </row>
    <row r="714" spans="1:6" ht="45" x14ac:dyDescent="0.25">
      <c r="A714" s="8" t="s">
        <v>63</v>
      </c>
      <c r="B714" s="8" t="s">
        <v>66</v>
      </c>
      <c r="C714" s="8" t="str">
        <f>IFERROR(_xlfn.XLOOKUP(TRIM(B714),Lookup!$B$2:$B$1000,Lookup!$C$2:$C$1000),"")</f>
        <v>Equity - Flexi Cap</v>
      </c>
      <c r="D714" s="8" t="str">
        <f>IFERROR(INDEX('nav master'!$C:$C, MATCH(B714, 'nav master'!$B:$B, 0)), "")</f>
        <v>ULIF 068 25/04/23 FGF 110</v>
      </c>
      <c r="E714" s="8">
        <v>13.7415</v>
      </c>
      <c r="F714" s="9">
        <v>46195</v>
      </c>
    </row>
    <row r="715" spans="1:6" ht="45" x14ac:dyDescent="0.25">
      <c r="A715" s="8" t="s">
        <v>63</v>
      </c>
      <c r="B715" s="8" t="s">
        <v>66</v>
      </c>
      <c r="C715" s="8" t="str">
        <f>IFERROR(_xlfn.XLOOKUP(TRIM(B715),Lookup!$B$2:$B$1000,Lookup!$C$2:$C$1000),"")</f>
        <v>Equity - Flexi Cap</v>
      </c>
      <c r="D715" s="8" t="str">
        <f>IFERROR(INDEX('nav master'!$C:$C, MATCH(B715, 'nav master'!$B:$B, 0)), "")</f>
        <v>ULIF 068 25/04/23 FGF 110</v>
      </c>
      <c r="E715" s="8">
        <v>13.6068</v>
      </c>
      <c r="F715" s="9">
        <v>46196</v>
      </c>
    </row>
    <row r="716" spans="1:6" ht="45" x14ac:dyDescent="0.25">
      <c r="A716" s="8" t="s">
        <v>63</v>
      </c>
      <c r="B716" s="8" t="s">
        <v>66</v>
      </c>
      <c r="C716" s="8" t="str">
        <f>IFERROR(_xlfn.XLOOKUP(TRIM(B716),Lookup!$B$2:$B$1000,Lookup!$C$2:$C$1000),"")</f>
        <v>Equity - Flexi Cap</v>
      </c>
      <c r="D716" s="8" t="str">
        <f>IFERROR(INDEX('nav master'!$C:$C, MATCH(B716, 'nav master'!$B:$B, 0)), "")</f>
        <v>ULIF 068 25/04/23 FGF 110</v>
      </c>
      <c r="E716" s="8">
        <v>13.6647</v>
      </c>
      <c r="F716" s="9">
        <v>46197</v>
      </c>
    </row>
    <row r="717" spans="1:6" ht="45" x14ac:dyDescent="0.25">
      <c r="A717" s="8" t="s">
        <v>63</v>
      </c>
      <c r="B717" s="8" t="s">
        <v>66</v>
      </c>
      <c r="C717" s="8" t="str">
        <f>IFERROR(_xlfn.XLOOKUP(TRIM(B717),Lookup!$B$2:$B$1000,Lookup!$C$2:$C$1000),"")</f>
        <v>Equity - Flexi Cap</v>
      </c>
      <c r="D717" s="8" t="str">
        <f>IFERROR(INDEX('nav master'!$C:$C, MATCH(B717, 'nav master'!$B:$B, 0)), "")</f>
        <v>ULIF 068 25/04/23 FGF 110</v>
      </c>
      <c r="E717" s="8">
        <v>13.7135</v>
      </c>
      <c r="F717" s="9">
        <v>46198</v>
      </c>
    </row>
    <row r="718" spans="1:6" ht="45" x14ac:dyDescent="0.25">
      <c r="A718" s="8" t="s">
        <v>63</v>
      </c>
      <c r="B718" s="8" t="s">
        <v>66</v>
      </c>
      <c r="C718" s="8" t="str">
        <f>IFERROR(_xlfn.XLOOKUP(TRIM(B718),Lookup!$B$2:$B$1000,Lookup!$C$2:$C$1000),"")</f>
        <v>Equity - Flexi Cap</v>
      </c>
      <c r="D718" s="8" t="str">
        <f>IFERROR(INDEX('nav master'!$C:$C, MATCH(B718, 'nav master'!$B:$B, 0)), "")</f>
        <v>ULIF 068 25/04/23 FGF 110</v>
      </c>
      <c r="E718" s="8">
        <v>13.6112</v>
      </c>
      <c r="F718" s="9">
        <v>46202</v>
      </c>
    </row>
    <row r="719" spans="1:6" ht="45" x14ac:dyDescent="0.25">
      <c r="A719" s="8" t="s">
        <v>63</v>
      </c>
      <c r="B719" s="8" t="s">
        <v>66</v>
      </c>
      <c r="C719" s="8" t="str">
        <f>IFERROR(_xlfn.XLOOKUP(TRIM(B719),Lookup!$B$2:$B$1000,Lookup!$C$2:$C$1000),"")</f>
        <v>Equity - Flexi Cap</v>
      </c>
      <c r="D719" s="8" t="str">
        <f>IFERROR(INDEX('nav master'!$C:$C, MATCH(B719, 'nav master'!$B:$B, 0)), "")</f>
        <v>ULIF 068 25/04/23 FGF 110</v>
      </c>
      <c r="E719" s="8">
        <v>13.635300000000001</v>
      </c>
      <c r="F719" s="9">
        <v>46203</v>
      </c>
    </row>
    <row r="720" spans="1:6" ht="45" x14ac:dyDescent="0.25">
      <c r="A720" s="8" t="s">
        <v>63</v>
      </c>
      <c r="B720" s="8" t="s">
        <v>66</v>
      </c>
      <c r="C720" s="8" t="str">
        <f>IFERROR(_xlfn.XLOOKUP(TRIM(B720),Lookup!$B$2:$B$1000,Lookup!$C$2:$C$1000),"")</f>
        <v>Equity - Flexi Cap</v>
      </c>
      <c r="D720" s="8" t="str">
        <f>IFERROR(INDEX('nav master'!$C:$C, MATCH(B720, 'nav master'!$B:$B, 0)), "")</f>
        <v>ULIF 068 25/04/23 FGF 110</v>
      </c>
      <c r="E720" s="8">
        <v>13.7683</v>
      </c>
      <c r="F720" s="9">
        <v>46204</v>
      </c>
    </row>
    <row r="721" spans="1:6" ht="45" x14ac:dyDescent="0.25">
      <c r="A721" s="8" t="s">
        <v>63</v>
      </c>
      <c r="B721" s="8" t="s">
        <v>66</v>
      </c>
      <c r="C721" s="8" t="str">
        <f>IFERROR(_xlfn.XLOOKUP(TRIM(B721),Lookup!$B$2:$B$1000,Lookup!$C$2:$C$1000),"")</f>
        <v>Equity - Flexi Cap</v>
      </c>
      <c r="D721" s="8" t="str">
        <f>IFERROR(INDEX('nav master'!$C:$C, MATCH(B721, 'nav master'!$B:$B, 0)), "")</f>
        <v>ULIF 068 25/04/23 FGF 110</v>
      </c>
      <c r="E721" s="8">
        <v>13.857900000000001</v>
      </c>
      <c r="F721" s="9">
        <v>46205</v>
      </c>
    </row>
    <row r="722" spans="1:6" ht="45" x14ac:dyDescent="0.25">
      <c r="A722" s="8" t="s">
        <v>63</v>
      </c>
      <c r="B722" s="8" t="s">
        <v>66</v>
      </c>
      <c r="C722" s="8" t="str">
        <f>IFERROR(_xlfn.XLOOKUP(TRIM(B722),Lookup!$B$2:$B$1000,Lookup!$C$2:$C$1000),"")</f>
        <v>Equity - Flexi Cap</v>
      </c>
      <c r="D722" s="8" t="str">
        <f>IFERROR(INDEX('nav master'!$C:$C, MATCH(B722, 'nav master'!$B:$B, 0)), "")</f>
        <v>ULIF 068 25/04/23 FGF 110</v>
      </c>
      <c r="E722" s="8">
        <v>13.8759</v>
      </c>
      <c r="F722" s="9">
        <v>46206</v>
      </c>
    </row>
    <row r="723" spans="1:6" ht="45" x14ac:dyDescent="0.25">
      <c r="A723" s="8" t="s">
        <v>63</v>
      </c>
      <c r="B723" s="8" t="s">
        <v>66</v>
      </c>
      <c r="C723" s="8" t="str">
        <f>IFERROR(_xlfn.XLOOKUP(TRIM(B723),Lookup!$B$2:$B$1000,Lookup!$C$2:$C$1000),"")</f>
        <v>Equity - Flexi Cap</v>
      </c>
      <c r="D723" s="8" t="str">
        <f>IFERROR(INDEX('nav master'!$C:$C, MATCH(B723, 'nav master'!$B:$B, 0)), "")</f>
        <v>ULIF 068 25/04/23 FGF 110</v>
      </c>
      <c r="E723" s="8">
        <v>13.948700000000001</v>
      </c>
      <c r="F723" s="9">
        <v>46209</v>
      </c>
    </row>
    <row r="724" spans="1:6" ht="45" x14ac:dyDescent="0.25">
      <c r="A724" s="8" t="s">
        <v>63</v>
      </c>
      <c r="B724" s="8" t="s">
        <v>66</v>
      </c>
      <c r="C724" s="8" t="str">
        <f>IFERROR(_xlfn.XLOOKUP(TRIM(B724),Lookup!$B$2:$B$1000,Lookup!$C$2:$C$1000),"")</f>
        <v>Equity - Flexi Cap</v>
      </c>
      <c r="D724" s="8" t="str">
        <f>IFERROR(INDEX('nav master'!$C:$C, MATCH(B724, 'nav master'!$B:$B, 0)), "")</f>
        <v>ULIF 068 25/04/23 FGF 110</v>
      </c>
      <c r="E724" s="8">
        <v>13.945600000000001</v>
      </c>
      <c r="F724" s="9">
        <v>46210</v>
      </c>
    </row>
    <row r="725" spans="1:6" ht="45" x14ac:dyDescent="0.25">
      <c r="A725" s="8" t="s">
        <v>63</v>
      </c>
      <c r="B725" s="8" t="s">
        <v>66</v>
      </c>
      <c r="C725" s="8" t="str">
        <f>IFERROR(_xlfn.XLOOKUP(TRIM(B725),Lookup!$B$2:$B$1000,Lookup!$C$2:$C$1000),"")</f>
        <v>Equity - Flexi Cap</v>
      </c>
      <c r="D725" s="8" t="str">
        <f>IFERROR(INDEX('nav master'!$C:$C, MATCH(B725, 'nav master'!$B:$B, 0)), "")</f>
        <v>ULIF 068 25/04/23 FGF 110</v>
      </c>
      <c r="E725" s="8">
        <v>13.6945</v>
      </c>
      <c r="F725" s="9">
        <v>46211</v>
      </c>
    </row>
    <row r="726" spans="1:6" ht="45" x14ac:dyDescent="0.25">
      <c r="A726" s="8" t="s">
        <v>63</v>
      </c>
      <c r="B726" s="8" t="s">
        <v>66</v>
      </c>
      <c r="C726" s="8" t="str">
        <f>IFERROR(_xlfn.XLOOKUP(TRIM(B726),Lookup!$B$2:$B$1000,Lookup!$C$2:$C$1000),"")</f>
        <v>Equity - Flexi Cap</v>
      </c>
      <c r="D726" s="8" t="str">
        <f>IFERROR(INDEX('nav master'!$C:$C, MATCH(B726, 'nav master'!$B:$B, 0)), "")</f>
        <v>ULIF 068 25/04/23 FGF 110</v>
      </c>
      <c r="E726" s="8">
        <v>13.866099999999999</v>
      </c>
      <c r="F726" s="9">
        <v>46212</v>
      </c>
    </row>
    <row r="727" spans="1:6" ht="45" x14ac:dyDescent="0.25">
      <c r="A727" s="8" t="s">
        <v>63</v>
      </c>
      <c r="B727" s="8" t="s">
        <v>66</v>
      </c>
      <c r="C727" s="8" t="str">
        <f>IFERROR(_xlfn.XLOOKUP(TRIM(B727),Lookup!$B$2:$B$1000,Lookup!$C$2:$C$1000),"")</f>
        <v>Equity - Flexi Cap</v>
      </c>
      <c r="D727" s="8" t="str">
        <f>IFERROR(INDEX('nav master'!$C:$C, MATCH(B727, 'nav master'!$B:$B, 0)), "")</f>
        <v>ULIF 068 25/04/23 FGF 110</v>
      </c>
      <c r="E727" s="8">
        <v>14.014099999999999</v>
      </c>
      <c r="F727" s="9">
        <v>46213</v>
      </c>
    </row>
    <row r="728" spans="1:6" ht="45" x14ac:dyDescent="0.25">
      <c r="A728" s="8" t="s">
        <v>63</v>
      </c>
      <c r="B728" s="8" t="s">
        <v>66</v>
      </c>
      <c r="C728" s="8" t="str">
        <f>IFERROR(_xlfn.XLOOKUP(TRIM(B728),Lookup!$B$2:$B$1000,Lookup!$C$2:$C$1000),"")</f>
        <v>Equity - Flexi Cap</v>
      </c>
      <c r="D728" s="8" t="str">
        <f>IFERROR(INDEX('nav master'!$C:$C, MATCH(B728, 'nav master'!$B:$B, 0)), "")</f>
        <v>ULIF 068 25/04/23 FGF 110</v>
      </c>
      <c r="E728" s="8">
        <v>14.038500000000001</v>
      </c>
      <c r="F728" s="9">
        <v>46216</v>
      </c>
    </row>
    <row r="729" spans="1:6" ht="45" x14ac:dyDescent="0.25">
      <c r="A729" s="8" t="s">
        <v>63</v>
      </c>
      <c r="B729" s="8" t="s">
        <v>66</v>
      </c>
      <c r="C729" s="8" t="str">
        <f>IFERROR(_xlfn.XLOOKUP(TRIM(B729),Lookup!$B$2:$B$1000,Lookup!$C$2:$C$1000),"")</f>
        <v>Equity - Flexi Cap</v>
      </c>
      <c r="D729" s="8" t="str">
        <f>IFERROR(INDEX('nav master'!$C:$C, MATCH(B729, 'nav master'!$B:$B, 0)), "")</f>
        <v>ULIF 068 25/04/23 FGF 110</v>
      </c>
      <c r="E729" s="8">
        <v>13.9245</v>
      </c>
      <c r="F729" s="9">
        <v>46217</v>
      </c>
    </row>
    <row r="730" spans="1:6" ht="45" x14ac:dyDescent="0.25">
      <c r="A730" s="8" t="s">
        <v>63</v>
      </c>
      <c r="B730" s="8" t="s">
        <v>66</v>
      </c>
      <c r="C730" s="8" t="str">
        <f>IFERROR(_xlfn.XLOOKUP(TRIM(B730),Lookup!$B$2:$B$1000,Lookup!$C$2:$C$1000),"")</f>
        <v>Equity - Flexi Cap</v>
      </c>
      <c r="D730" s="8" t="str">
        <f>IFERROR(INDEX('nav master'!$C:$C, MATCH(B730, 'nav master'!$B:$B, 0)), "")</f>
        <v>ULIF 068 25/04/23 FGF 110</v>
      </c>
      <c r="E730" s="8">
        <v>13.9785</v>
      </c>
      <c r="F730" s="9">
        <v>46218</v>
      </c>
    </row>
    <row r="731" spans="1:6" ht="45" x14ac:dyDescent="0.25">
      <c r="A731" s="8" t="s">
        <v>63</v>
      </c>
      <c r="B731" s="8" t="s">
        <v>66</v>
      </c>
      <c r="C731" s="8" t="str">
        <f>IFERROR(_xlfn.XLOOKUP(TRIM(B731),Lookup!$B$2:$B$1000,Lookup!$C$2:$C$1000),"")</f>
        <v>Equity - Flexi Cap</v>
      </c>
      <c r="D731" s="8" t="str">
        <f>IFERROR(INDEX('nav master'!$C:$C, MATCH(B731, 'nav master'!$B:$B, 0)), "")</f>
        <v>ULIF 068 25/04/23 FGF 110</v>
      </c>
      <c r="E731" s="8">
        <v>13.9217</v>
      </c>
      <c r="F731" s="9">
        <v>46219</v>
      </c>
    </row>
    <row r="732" spans="1:6" ht="45" x14ac:dyDescent="0.25">
      <c r="A732" s="8" t="s">
        <v>63</v>
      </c>
      <c r="B732" s="8" t="s">
        <v>66</v>
      </c>
      <c r="C732" s="8" t="str">
        <f>IFERROR(_xlfn.XLOOKUP(TRIM(B732),Lookup!$B$2:$B$1000,Lookup!$C$2:$C$1000),"")</f>
        <v>Equity - Flexi Cap</v>
      </c>
      <c r="D732" s="8" t="str">
        <f>IFERROR(INDEX('nav master'!$C:$C, MATCH(B732, 'nav master'!$B:$B, 0)), "")</f>
        <v>ULIF 068 25/04/23 FGF 110</v>
      </c>
      <c r="E732" s="8">
        <v>13.9236</v>
      </c>
      <c r="F732" s="9">
        <v>46220</v>
      </c>
    </row>
    <row r="733" spans="1:6" ht="45" x14ac:dyDescent="0.25">
      <c r="A733" s="8" t="s">
        <v>63</v>
      </c>
      <c r="B733" s="8" t="s">
        <v>66</v>
      </c>
      <c r="C733" s="8" t="str">
        <f>IFERROR(_xlfn.XLOOKUP(TRIM(B733),Lookup!$B$2:$B$1000,Lookup!$C$2:$C$1000),"")</f>
        <v>Equity - Flexi Cap</v>
      </c>
      <c r="D733" s="8" t="str">
        <f>IFERROR(INDEX('nav master'!$C:$C, MATCH(B733, 'nav master'!$B:$B, 0)), "")</f>
        <v>ULIF 068 25/04/23 FGF 110</v>
      </c>
      <c r="E733" s="8">
        <v>13.936</v>
      </c>
      <c r="F733" s="9">
        <v>46223</v>
      </c>
    </row>
    <row r="734" spans="1:6" ht="45" x14ac:dyDescent="0.25">
      <c r="A734" s="8" t="s">
        <v>63</v>
      </c>
      <c r="B734" s="8" t="s">
        <v>66</v>
      </c>
      <c r="C734" s="8" t="str">
        <f>IFERROR(_xlfn.XLOOKUP(TRIM(B734),Lookup!$B$2:$B$1000,Lookup!$C$2:$C$1000),"")</f>
        <v>Equity - Flexi Cap</v>
      </c>
      <c r="D734" s="8" t="str">
        <f>IFERROR(INDEX('nav master'!$C:$C, MATCH(B734, 'nav master'!$B:$B, 0)), "")</f>
        <v>ULIF 068 25/04/23 FGF 110</v>
      </c>
      <c r="E734" s="8">
        <v>13.965999999999999</v>
      </c>
      <c r="F734" s="9">
        <v>46224</v>
      </c>
    </row>
    <row r="735" spans="1:6" ht="45" x14ac:dyDescent="0.25">
      <c r="A735" s="8" t="s">
        <v>63</v>
      </c>
      <c r="B735" s="8" t="s">
        <v>66</v>
      </c>
      <c r="C735" s="8" t="str">
        <f>IFERROR(_xlfn.XLOOKUP(TRIM(B735),Lookup!$B$2:$B$1000,Lookup!$C$2:$C$1000),"")</f>
        <v>Equity - Flexi Cap</v>
      </c>
      <c r="D735" s="8" t="str">
        <f>IFERROR(INDEX('nav master'!$C:$C, MATCH(B735, 'nav master'!$B:$B, 0)), "")</f>
        <v>ULIF 068 25/04/23 FGF 110</v>
      </c>
      <c r="E735" s="8">
        <v>13.829000000000001</v>
      </c>
      <c r="F735" s="9">
        <v>46225</v>
      </c>
    </row>
    <row r="736" spans="1:6" ht="45" x14ac:dyDescent="0.25">
      <c r="A736" s="8" t="s">
        <v>63</v>
      </c>
      <c r="B736" s="8" t="s">
        <v>66</v>
      </c>
      <c r="C736" s="8" t="str">
        <f>IFERROR(_xlfn.XLOOKUP(TRIM(B736),Lookup!$B$2:$B$1000,Lookup!$C$2:$C$1000),"")</f>
        <v>Equity - Flexi Cap</v>
      </c>
      <c r="D736" s="8" t="str">
        <f>IFERROR(INDEX('nav master'!$C:$C, MATCH(B736, 'nav master'!$B:$B, 0)), "")</f>
        <v>ULIF 068 25/04/23 FGF 110</v>
      </c>
      <c r="E736" s="8">
        <v>13.712899999999999</v>
      </c>
      <c r="F736" s="9">
        <v>46226</v>
      </c>
    </row>
    <row r="737" spans="1:6" ht="45" x14ac:dyDescent="0.25">
      <c r="A737" s="8" t="s">
        <v>63</v>
      </c>
      <c r="B737" s="8" t="s">
        <v>66</v>
      </c>
      <c r="C737" s="8" t="str">
        <f>IFERROR(_xlfn.XLOOKUP(TRIM(B737),Lookup!$B$2:$B$1000,Lookup!$C$2:$C$1000),"")</f>
        <v>Equity - Flexi Cap</v>
      </c>
      <c r="D737" s="8" t="str">
        <f>IFERROR(INDEX('nav master'!$C:$C, MATCH(B737, 'nav master'!$B:$B, 0)), "")</f>
        <v>ULIF 068 25/04/23 FGF 110</v>
      </c>
      <c r="E737" s="8">
        <v>13.642799999999999</v>
      </c>
      <c r="F737" s="9">
        <v>46227</v>
      </c>
    </row>
    <row r="738" spans="1:6" ht="45" x14ac:dyDescent="0.25">
      <c r="A738" s="8" t="s">
        <v>63</v>
      </c>
      <c r="B738" s="8" t="s">
        <v>66</v>
      </c>
      <c r="C738" s="8" t="str">
        <f>IFERROR(_xlfn.XLOOKUP(TRIM(B738),Lookup!$B$2:$B$1000,Lookup!$C$2:$C$1000),"")</f>
        <v>Equity - Flexi Cap</v>
      </c>
      <c r="D738" s="8" t="str">
        <f>IFERROR(INDEX('nav master'!$C:$C, MATCH(B738, 'nav master'!$B:$B, 0)), "")</f>
        <v>ULIF 068 25/04/23 FGF 110</v>
      </c>
      <c r="E738" s="8">
        <v>13.8476</v>
      </c>
      <c r="F738" s="9">
        <v>46230</v>
      </c>
    </row>
    <row r="739" spans="1:6" ht="45" x14ac:dyDescent="0.25">
      <c r="A739" s="8" t="s">
        <v>63</v>
      </c>
      <c r="B739" s="8" t="s">
        <v>66</v>
      </c>
      <c r="C739" s="8" t="str">
        <f>IFERROR(_xlfn.XLOOKUP(TRIM(B739),Lookup!$B$2:$B$1000,Lookup!$C$2:$C$1000),"")</f>
        <v>Equity - Flexi Cap</v>
      </c>
      <c r="D739" s="8" t="str">
        <f>IFERROR(INDEX('nav master'!$C:$C, MATCH(B739, 'nav master'!$B:$B, 0)), "")</f>
        <v>ULIF 068 25/04/23 FGF 110</v>
      </c>
      <c r="E739" s="8">
        <v>13.869199999999999</v>
      </c>
      <c r="F739" s="9">
        <v>46231</v>
      </c>
    </row>
    <row r="740" spans="1:6" ht="45" x14ac:dyDescent="0.25">
      <c r="A740" s="8" t="s">
        <v>63</v>
      </c>
      <c r="B740" s="8" t="s">
        <v>66</v>
      </c>
      <c r="C740" s="8" t="str">
        <f>IFERROR(_xlfn.XLOOKUP(TRIM(B740),Lookup!$B$2:$B$1000,Lookup!$C$2:$C$1000),"")</f>
        <v>Equity - Flexi Cap</v>
      </c>
      <c r="D740" s="8" t="str">
        <f>IFERROR(INDEX('nav master'!$C:$C, MATCH(B740, 'nav master'!$B:$B, 0)), "")</f>
        <v>ULIF 068 25/04/23 FGF 110</v>
      </c>
      <c r="E740" s="8">
        <v>14.0176</v>
      </c>
      <c r="F740" s="9">
        <v>46232</v>
      </c>
    </row>
    <row r="741" spans="1:6" ht="45" x14ac:dyDescent="0.25">
      <c r="A741" s="8" t="s">
        <v>63</v>
      </c>
      <c r="B741" s="8" t="s">
        <v>66</v>
      </c>
      <c r="C741" s="8" t="str">
        <f>IFERROR(_xlfn.XLOOKUP(TRIM(B741),Lookup!$B$2:$B$1000,Lookup!$C$2:$C$1000),"")</f>
        <v>Equity - Flexi Cap</v>
      </c>
      <c r="D741" s="8" t="str">
        <f>IFERROR(INDEX('nav master'!$C:$C, MATCH(B741, 'nav master'!$B:$B, 0)), "")</f>
        <v>ULIF 068 25/04/23 FGF 110</v>
      </c>
      <c r="E741" s="8">
        <v>14.0183</v>
      </c>
      <c r="F741" s="9">
        <v>46233</v>
      </c>
    </row>
    <row r="742" spans="1:6" ht="45" x14ac:dyDescent="0.25">
      <c r="A742" s="8" t="s">
        <v>63</v>
      </c>
      <c r="B742" s="8" t="s">
        <v>66</v>
      </c>
      <c r="C742" s="8" t="str">
        <f>IFERROR(_xlfn.XLOOKUP(TRIM(B742),Lookup!$B$2:$B$1000,Lookup!$C$2:$C$1000),"")</f>
        <v>Equity - Flexi Cap</v>
      </c>
      <c r="D742" s="8" t="str">
        <f>IFERROR(INDEX('nav master'!$C:$C, MATCH(B742, 'nav master'!$B:$B, 0)), "")</f>
        <v>ULIF 068 25/04/23 FGF 110</v>
      </c>
      <c r="E742" s="8">
        <v>14.0837</v>
      </c>
      <c r="F742" s="9">
        <v>46234</v>
      </c>
    </row>
    <row r="743" spans="1:6" ht="60" x14ac:dyDescent="0.25">
      <c r="A743" s="8" t="s">
        <v>63</v>
      </c>
      <c r="B743" s="8" t="s">
        <v>14</v>
      </c>
      <c r="C743" s="8" t="str">
        <f>IFERROR(_xlfn.XLOOKUP(TRIM(B743),Lookup!$B$2:$B$1000,Lookup!$C$2:$C$1000),"")</f>
        <v>Equity</v>
      </c>
      <c r="D743" s="8" t="str">
        <f>IFERROR(INDEX('nav master'!$C:$C, MATCH(B743, 'nav master'!$B:$B, 0)), "")</f>
        <v>ULIF 158 170425 IndConsump 105</v>
      </c>
      <c r="E743" s="8">
        <v>61.334600000000002</v>
      </c>
      <c r="F743" s="9">
        <v>45869</v>
      </c>
    </row>
    <row r="744" spans="1:6" ht="60" x14ac:dyDescent="0.25">
      <c r="A744" s="8" t="s">
        <v>63</v>
      </c>
      <c r="B744" s="8" t="s">
        <v>14</v>
      </c>
      <c r="C744" s="8" t="str">
        <f>IFERROR(_xlfn.XLOOKUP(TRIM(B744),Lookup!$B$2:$B$1000,Lookup!$C$2:$C$1000),"")</f>
        <v>Equity</v>
      </c>
      <c r="D744" s="8" t="str">
        <f>IFERROR(INDEX('nav master'!$C:$C, MATCH(B744, 'nav master'!$B:$B, 0)), "")</f>
        <v>ULIF 158 170425 IndConsump 105</v>
      </c>
      <c r="E744" s="8">
        <v>60.722799999999999</v>
      </c>
      <c r="F744" s="9">
        <v>45870</v>
      </c>
    </row>
    <row r="745" spans="1:6" ht="60" x14ac:dyDescent="0.25">
      <c r="A745" s="8" t="s">
        <v>63</v>
      </c>
      <c r="B745" s="8" t="s">
        <v>14</v>
      </c>
      <c r="C745" s="8" t="str">
        <f>IFERROR(_xlfn.XLOOKUP(TRIM(B745),Lookup!$B$2:$B$1000,Lookup!$C$2:$C$1000),"")</f>
        <v>Equity</v>
      </c>
      <c r="D745" s="8" t="str">
        <f>IFERROR(INDEX('nav master'!$C:$C, MATCH(B745, 'nav master'!$B:$B, 0)), "")</f>
        <v>ULIF 158 170425 IndConsump 105</v>
      </c>
      <c r="E745" s="8">
        <v>61.206099999999999</v>
      </c>
      <c r="F745" s="9">
        <v>45873</v>
      </c>
    </row>
    <row r="746" spans="1:6" ht="60" x14ac:dyDescent="0.25">
      <c r="A746" s="8" t="s">
        <v>63</v>
      </c>
      <c r="B746" s="8" t="s">
        <v>14</v>
      </c>
      <c r="C746" s="8" t="str">
        <f>IFERROR(_xlfn.XLOOKUP(TRIM(B746),Lookup!$B$2:$B$1000,Lookup!$C$2:$C$1000),"")</f>
        <v>Equity</v>
      </c>
      <c r="D746" s="8" t="str">
        <f>IFERROR(INDEX('nav master'!$C:$C, MATCH(B746, 'nav master'!$B:$B, 0)), "")</f>
        <v>ULIF 158 170425 IndConsump 105</v>
      </c>
      <c r="E746" s="8">
        <v>61.035699999999999</v>
      </c>
      <c r="F746" s="9">
        <v>45874</v>
      </c>
    </row>
    <row r="747" spans="1:6" ht="60" x14ac:dyDescent="0.25">
      <c r="A747" s="8" t="s">
        <v>63</v>
      </c>
      <c r="B747" s="8" t="s">
        <v>14</v>
      </c>
      <c r="C747" s="8" t="str">
        <f>IFERROR(_xlfn.XLOOKUP(TRIM(B747),Lookup!$B$2:$B$1000,Lookup!$C$2:$C$1000),"")</f>
        <v>Equity</v>
      </c>
      <c r="D747" s="8" t="str">
        <f>IFERROR(INDEX('nav master'!$C:$C, MATCH(B747, 'nav master'!$B:$B, 0)), "")</f>
        <v>ULIF 158 170425 IndConsump 105</v>
      </c>
      <c r="E747" s="8">
        <v>60.734200000000001</v>
      </c>
      <c r="F747" s="9">
        <v>45875</v>
      </c>
    </row>
    <row r="748" spans="1:6" ht="60" x14ac:dyDescent="0.25">
      <c r="A748" s="8" t="s">
        <v>63</v>
      </c>
      <c r="B748" s="8" t="s">
        <v>14</v>
      </c>
      <c r="C748" s="8" t="str">
        <f>IFERROR(_xlfn.XLOOKUP(TRIM(B748),Lookup!$B$2:$B$1000,Lookup!$C$2:$C$1000),"")</f>
        <v>Equity</v>
      </c>
      <c r="D748" s="8" t="str">
        <f>IFERROR(INDEX('nav master'!$C:$C, MATCH(B748, 'nav master'!$B:$B, 0)), "")</f>
        <v>ULIF 158 170425 IndConsump 105</v>
      </c>
      <c r="E748" s="8">
        <v>61.0443</v>
      </c>
      <c r="F748" s="9">
        <v>45876</v>
      </c>
    </row>
    <row r="749" spans="1:6" ht="60" x14ac:dyDescent="0.25">
      <c r="A749" s="8" t="s">
        <v>63</v>
      </c>
      <c r="B749" s="8" t="s">
        <v>14</v>
      </c>
      <c r="C749" s="8" t="str">
        <f>IFERROR(_xlfn.XLOOKUP(TRIM(B749),Lookup!$B$2:$B$1000,Lookup!$C$2:$C$1000),"")</f>
        <v>Equity</v>
      </c>
      <c r="D749" s="8" t="str">
        <f>IFERROR(INDEX('nav master'!$C:$C, MATCH(B749, 'nav master'!$B:$B, 0)), "")</f>
        <v>ULIF 158 170425 IndConsump 105</v>
      </c>
      <c r="E749" s="8">
        <v>60.285699999999999</v>
      </c>
      <c r="F749" s="9">
        <v>45877</v>
      </c>
    </row>
    <row r="750" spans="1:6" ht="60" x14ac:dyDescent="0.25">
      <c r="A750" s="8" t="s">
        <v>63</v>
      </c>
      <c r="B750" s="8" t="s">
        <v>14</v>
      </c>
      <c r="C750" s="8" t="str">
        <f>IFERROR(_xlfn.XLOOKUP(TRIM(B750),Lookup!$B$2:$B$1000,Lookup!$C$2:$C$1000),"")</f>
        <v>Equity</v>
      </c>
      <c r="D750" s="8" t="str">
        <f>IFERROR(INDEX('nav master'!$C:$C, MATCH(B750, 'nav master'!$B:$B, 0)), "")</f>
        <v>ULIF 158 170425 IndConsump 105</v>
      </c>
      <c r="E750" s="8">
        <v>60.943100000000001</v>
      </c>
      <c r="F750" s="9">
        <v>45880</v>
      </c>
    </row>
    <row r="751" spans="1:6" ht="60" x14ac:dyDescent="0.25">
      <c r="A751" s="8" t="s">
        <v>63</v>
      </c>
      <c r="B751" s="8" t="s">
        <v>14</v>
      </c>
      <c r="C751" s="8" t="str">
        <f>IFERROR(_xlfn.XLOOKUP(TRIM(B751),Lookup!$B$2:$B$1000,Lookup!$C$2:$C$1000),"")</f>
        <v>Equity</v>
      </c>
      <c r="D751" s="8" t="str">
        <f>IFERROR(INDEX('nav master'!$C:$C, MATCH(B751, 'nav master'!$B:$B, 0)), "")</f>
        <v>ULIF 158 170425 IndConsump 105</v>
      </c>
      <c r="E751" s="8">
        <v>60.996299999999998</v>
      </c>
      <c r="F751" s="9">
        <v>45881</v>
      </c>
    </row>
    <row r="752" spans="1:6" ht="60" x14ac:dyDescent="0.25">
      <c r="A752" s="8" t="s">
        <v>63</v>
      </c>
      <c r="B752" s="8" t="s">
        <v>14</v>
      </c>
      <c r="C752" s="8" t="str">
        <f>IFERROR(_xlfn.XLOOKUP(TRIM(B752),Lookup!$B$2:$B$1000,Lookup!$C$2:$C$1000),"")</f>
        <v>Equity</v>
      </c>
      <c r="D752" s="8" t="str">
        <f>IFERROR(INDEX('nav master'!$C:$C, MATCH(B752, 'nav master'!$B:$B, 0)), "")</f>
        <v>ULIF 158 170425 IndConsump 105</v>
      </c>
      <c r="E752" s="8">
        <v>61.5139</v>
      </c>
      <c r="F752" s="9">
        <v>45882</v>
      </c>
    </row>
    <row r="753" spans="1:6" ht="60" x14ac:dyDescent="0.25">
      <c r="A753" s="8" t="s">
        <v>63</v>
      </c>
      <c r="B753" s="8" t="s">
        <v>14</v>
      </c>
      <c r="C753" s="8" t="str">
        <f>IFERROR(_xlfn.XLOOKUP(TRIM(B753),Lookup!$B$2:$B$1000,Lookup!$C$2:$C$1000),"")</f>
        <v>Equity</v>
      </c>
      <c r="D753" s="8" t="str">
        <f>IFERROR(INDEX('nav master'!$C:$C, MATCH(B753, 'nav master'!$B:$B, 0)), "")</f>
        <v>ULIF 158 170425 IndConsump 105</v>
      </c>
      <c r="E753" s="8">
        <v>61.480200000000004</v>
      </c>
      <c r="F753" s="9">
        <v>45883</v>
      </c>
    </row>
    <row r="754" spans="1:6" ht="60" x14ac:dyDescent="0.25">
      <c r="A754" s="8" t="s">
        <v>63</v>
      </c>
      <c r="B754" s="8" t="s">
        <v>14</v>
      </c>
      <c r="C754" s="8" t="str">
        <f>IFERROR(_xlfn.XLOOKUP(TRIM(B754),Lookup!$B$2:$B$1000,Lookup!$C$2:$C$1000),"")</f>
        <v>Equity</v>
      </c>
      <c r="D754" s="8" t="str">
        <f>IFERROR(INDEX('nav master'!$C:$C, MATCH(B754, 'nav master'!$B:$B, 0)), "")</f>
        <v>ULIF 158 170425 IndConsump 105</v>
      </c>
      <c r="E754" s="8">
        <v>62.440199999999997</v>
      </c>
      <c r="F754" s="9">
        <v>45887</v>
      </c>
    </row>
    <row r="755" spans="1:6" ht="60" x14ac:dyDescent="0.25">
      <c r="A755" s="8" t="s">
        <v>63</v>
      </c>
      <c r="B755" s="8" t="s">
        <v>14</v>
      </c>
      <c r="C755" s="8" t="str">
        <f>IFERROR(_xlfn.XLOOKUP(TRIM(B755),Lookup!$B$2:$B$1000,Lookup!$C$2:$C$1000),"")</f>
        <v>Equity</v>
      </c>
      <c r="D755" s="8" t="str">
        <f>IFERROR(INDEX('nav master'!$C:$C, MATCH(B755, 'nav master'!$B:$B, 0)), "")</f>
        <v>ULIF 158 170425 IndConsump 105</v>
      </c>
      <c r="E755" s="8">
        <v>62.770200000000003</v>
      </c>
      <c r="F755" s="9">
        <v>45888</v>
      </c>
    </row>
    <row r="756" spans="1:6" ht="60" x14ac:dyDescent="0.25">
      <c r="A756" s="8" t="s">
        <v>63</v>
      </c>
      <c r="B756" s="8" t="s">
        <v>14</v>
      </c>
      <c r="C756" s="8" t="str">
        <f>IFERROR(_xlfn.XLOOKUP(TRIM(B756),Lookup!$B$2:$B$1000,Lookup!$C$2:$C$1000),"")</f>
        <v>Equity</v>
      </c>
      <c r="D756" s="8" t="str">
        <f>IFERROR(INDEX('nav master'!$C:$C, MATCH(B756, 'nav master'!$B:$B, 0)), "")</f>
        <v>ULIF 158 170425 IndConsump 105</v>
      </c>
      <c r="E756" s="8">
        <v>63.176099999999998</v>
      </c>
      <c r="F756" s="9">
        <v>45889</v>
      </c>
    </row>
    <row r="757" spans="1:6" ht="60" x14ac:dyDescent="0.25">
      <c r="A757" s="8" t="s">
        <v>63</v>
      </c>
      <c r="B757" s="8" t="s">
        <v>14</v>
      </c>
      <c r="C757" s="8" t="str">
        <f>IFERROR(_xlfn.XLOOKUP(TRIM(B757),Lookup!$B$2:$B$1000,Lookup!$C$2:$C$1000),"")</f>
        <v>Equity</v>
      </c>
      <c r="D757" s="8" t="str">
        <f>IFERROR(INDEX('nav master'!$C:$C, MATCH(B757, 'nav master'!$B:$B, 0)), "")</f>
        <v>ULIF 158 170425 IndConsump 105</v>
      </c>
      <c r="E757" s="8">
        <v>63.041499999999999</v>
      </c>
      <c r="F757" s="9">
        <v>45890</v>
      </c>
    </row>
    <row r="758" spans="1:6" ht="60" x14ac:dyDescent="0.25">
      <c r="A758" s="8" t="s">
        <v>63</v>
      </c>
      <c r="B758" s="8" t="s">
        <v>14</v>
      </c>
      <c r="C758" s="8" t="str">
        <f>IFERROR(_xlfn.XLOOKUP(TRIM(B758),Lookup!$B$2:$B$1000,Lookup!$C$2:$C$1000),"")</f>
        <v>Equity</v>
      </c>
      <c r="D758" s="8" t="str">
        <f>IFERROR(INDEX('nav master'!$C:$C, MATCH(B758, 'nav master'!$B:$B, 0)), "")</f>
        <v>ULIF 158 170425 IndConsump 105</v>
      </c>
      <c r="E758" s="8">
        <v>62.810299999999998</v>
      </c>
      <c r="F758" s="9">
        <v>45891</v>
      </c>
    </row>
    <row r="759" spans="1:6" ht="60" x14ac:dyDescent="0.25">
      <c r="A759" s="8" t="s">
        <v>63</v>
      </c>
      <c r="B759" s="8" t="s">
        <v>14</v>
      </c>
      <c r="C759" s="8" t="str">
        <f>IFERROR(_xlfn.XLOOKUP(TRIM(B759),Lookup!$B$2:$B$1000,Lookup!$C$2:$C$1000),"")</f>
        <v>Equity</v>
      </c>
      <c r="D759" s="8" t="str">
        <f>IFERROR(INDEX('nav master'!$C:$C, MATCH(B759, 'nav master'!$B:$B, 0)), "")</f>
        <v>ULIF 158 170425 IndConsump 105</v>
      </c>
      <c r="E759" s="8">
        <v>62.872799999999998</v>
      </c>
      <c r="F759" s="9">
        <v>45894</v>
      </c>
    </row>
    <row r="760" spans="1:6" ht="60" x14ac:dyDescent="0.25">
      <c r="A760" s="8" t="s">
        <v>63</v>
      </c>
      <c r="B760" s="8" t="s">
        <v>14</v>
      </c>
      <c r="C760" s="8" t="str">
        <f>IFERROR(_xlfn.XLOOKUP(TRIM(B760),Lookup!$B$2:$B$1000,Lookup!$C$2:$C$1000),"")</f>
        <v>Equity</v>
      </c>
      <c r="D760" s="8" t="str">
        <f>IFERROR(INDEX('nav master'!$C:$C, MATCH(B760, 'nav master'!$B:$B, 0)), "")</f>
        <v>ULIF 158 170425 IndConsump 105</v>
      </c>
      <c r="E760" s="8">
        <v>62.18</v>
      </c>
      <c r="F760" s="9">
        <v>45895</v>
      </c>
    </row>
    <row r="761" spans="1:6" ht="60" x14ac:dyDescent="0.25">
      <c r="A761" s="8" t="s">
        <v>63</v>
      </c>
      <c r="B761" s="8" t="s">
        <v>14</v>
      </c>
      <c r="C761" s="8" t="str">
        <f>IFERROR(_xlfn.XLOOKUP(TRIM(B761),Lookup!$B$2:$B$1000,Lookup!$C$2:$C$1000),"")</f>
        <v>Equity</v>
      </c>
      <c r="D761" s="8" t="str">
        <f>IFERROR(INDEX('nav master'!$C:$C, MATCH(B761, 'nav master'!$B:$B, 0)), "")</f>
        <v>ULIF 158 170425 IndConsump 105</v>
      </c>
      <c r="E761" s="8">
        <v>61.452100000000002</v>
      </c>
      <c r="F761" s="9">
        <v>45897</v>
      </c>
    </row>
    <row r="762" spans="1:6" ht="60" x14ac:dyDescent="0.25">
      <c r="A762" s="8" t="s">
        <v>63</v>
      </c>
      <c r="B762" s="8" t="s">
        <v>14</v>
      </c>
      <c r="C762" s="8" t="str">
        <f>IFERROR(_xlfn.XLOOKUP(TRIM(B762),Lookup!$B$2:$B$1000,Lookup!$C$2:$C$1000),"")</f>
        <v>Equity</v>
      </c>
      <c r="D762" s="8" t="str">
        <f>IFERROR(INDEX('nav master'!$C:$C, MATCH(B762, 'nav master'!$B:$B, 0)), "")</f>
        <v>ULIF 158 170425 IndConsump 105</v>
      </c>
      <c r="E762" s="8">
        <v>61.109900000000003</v>
      </c>
      <c r="F762" s="9">
        <v>45898</v>
      </c>
    </row>
    <row r="763" spans="1:6" ht="60" x14ac:dyDescent="0.25">
      <c r="A763" s="8" t="s">
        <v>63</v>
      </c>
      <c r="B763" s="8" t="s">
        <v>14</v>
      </c>
      <c r="C763" s="8" t="str">
        <f>IFERROR(_xlfn.XLOOKUP(TRIM(B763),Lookup!$B$2:$B$1000,Lookup!$C$2:$C$1000),"")</f>
        <v>Equity</v>
      </c>
      <c r="D763" s="8" t="str">
        <f>IFERROR(INDEX('nav master'!$C:$C, MATCH(B763, 'nav master'!$B:$B, 0)), "")</f>
        <v>ULIF 158 170425 IndConsump 105</v>
      </c>
      <c r="E763" s="8">
        <v>61.957099999999997</v>
      </c>
      <c r="F763" s="9">
        <v>45901</v>
      </c>
    </row>
    <row r="764" spans="1:6" ht="60" x14ac:dyDescent="0.25">
      <c r="A764" s="8" t="s">
        <v>63</v>
      </c>
      <c r="B764" s="8" t="s">
        <v>14</v>
      </c>
      <c r="C764" s="8" t="str">
        <f>IFERROR(_xlfn.XLOOKUP(TRIM(B764),Lookup!$B$2:$B$1000,Lookup!$C$2:$C$1000),"")</f>
        <v>Equity</v>
      </c>
      <c r="D764" s="8" t="str">
        <f>IFERROR(INDEX('nav master'!$C:$C, MATCH(B764, 'nav master'!$B:$B, 0)), "")</f>
        <v>ULIF 158 170425 IndConsump 105</v>
      </c>
      <c r="E764" s="8">
        <v>62.061599999999999</v>
      </c>
      <c r="F764" s="9">
        <v>45902</v>
      </c>
    </row>
    <row r="765" spans="1:6" ht="60" x14ac:dyDescent="0.25">
      <c r="A765" s="8" t="s">
        <v>63</v>
      </c>
      <c r="B765" s="8" t="s">
        <v>14</v>
      </c>
      <c r="C765" s="8" t="str">
        <f>IFERROR(_xlfn.XLOOKUP(TRIM(B765),Lookup!$B$2:$B$1000,Lookup!$C$2:$C$1000),"")</f>
        <v>Equity</v>
      </c>
      <c r="D765" s="8" t="str">
        <f>IFERROR(INDEX('nav master'!$C:$C, MATCH(B765, 'nav master'!$B:$B, 0)), "")</f>
        <v>ULIF 158 170425 IndConsump 105</v>
      </c>
      <c r="E765" s="8">
        <v>62.669499999999999</v>
      </c>
      <c r="F765" s="9">
        <v>45903</v>
      </c>
    </row>
    <row r="766" spans="1:6" ht="60" x14ac:dyDescent="0.25">
      <c r="A766" s="8" t="s">
        <v>63</v>
      </c>
      <c r="B766" s="8" t="s">
        <v>14</v>
      </c>
      <c r="C766" s="8" t="str">
        <f>IFERROR(_xlfn.XLOOKUP(TRIM(B766),Lookup!$B$2:$B$1000,Lookup!$C$2:$C$1000),"")</f>
        <v>Equity</v>
      </c>
      <c r="D766" s="8" t="str">
        <f>IFERROR(INDEX('nav master'!$C:$C, MATCH(B766, 'nav master'!$B:$B, 0)), "")</f>
        <v>ULIF 158 170425 IndConsump 105</v>
      </c>
      <c r="E766" s="8">
        <v>62.5276</v>
      </c>
      <c r="F766" s="9">
        <v>45904</v>
      </c>
    </row>
    <row r="767" spans="1:6" ht="60" x14ac:dyDescent="0.25">
      <c r="A767" s="8" t="s">
        <v>63</v>
      </c>
      <c r="B767" s="8" t="s">
        <v>14</v>
      </c>
      <c r="C767" s="8" t="str">
        <f>IFERROR(_xlfn.XLOOKUP(TRIM(B767),Lookup!$B$2:$B$1000,Lookup!$C$2:$C$1000),"")</f>
        <v>Equity</v>
      </c>
      <c r="D767" s="8" t="str">
        <f>IFERROR(INDEX('nav master'!$C:$C, MATCH(B767, 'nav master'!$B:$B, 0)), "")</f>
        <v>ULIF 158 170425 IndConsump 105</v>
      </c>
      <c r="E767" s="8">
        <v>62.684600000000003</v>
      </c>
      <c r="F767" s="9">
        <v>45905</v>
      </c>
    </row>
    <row r="768" spans="1:6" ht="60" x14ac:dyDescent="0.25">
      <c r="A768" s="8" t="s">
        <v>63</v>
      </c>
      <c r="B768" s="8" t="s">
        <v>14</v>
      </c>
      <c r="C768" s="8" t="str">
        <f>IFERROR(_xlfn.XLOOKUP(TRIM(B768),Lookup!$B$2:$B$1000,Lookup!$C$2:$C$1000),"")</f>
        <v>Equity</v>
      </c>
      <c r="D768" s="8" t="str">
        <f>IFERROR(INDEX('nav master'!$C:$C, MATCH(B768, 'nav master'!$B:$B, 0)), "")</f>
        <v>ULIF 158 170425 IndConsump 105</v>
      </c>
      <c r="E768" s="8">
        <v>63.020800000000001</v>
      </c>
      <c r="F768" s="9">
        <v>45908</v>
      </c>
    </row>
    <row r="769" spans="1:6" ht="60" x14ac:dyDescent="0.25">
      <c r="A769" s="8" t="s">
        <v>63</v>
      </c>
      <c r="B769" s="8" t="s">
        <v>14</v>
      </c>
      <c r="C769" s="8" t="str">
        <f>IFERROR(_xlfn.XLOOKUP(TRIM(B769),Lookup!$B$2:$B$1000,Lookup!$C$2:$C$1000),"")</f>
        <v>Equity</v>
      </c>
      <c r="D769" s="8" t="str">
        <f>IFERROR(INDEX('nav master'!$C:$C, MATCH(B769, 'nav master'!$B:$B, 0)), "")</f>
        <v>ULIF 158 170425 IndConsump 105</v>
      </c>
      <c r="E769" s="8">
        <v>63.031100000000002</v>
      </c>
      <c r="F769" s="9">
        <v>45909</v>
      </c>
    </row>
    <row r="770" spans="1:6" ht="60" x14ac:dyDescent="0.25">
      <c r="A770" s="8" t="s">
        <v>63</v>
      </c>
      <c r="B770" s="8" t="s">
        <v>14</v>
      </c>
      <c r="C770" s="8" t="str">
        <f>IFERROR(_xlfn.XLOOKUP(TRIM(B770),Lookup!$B$2:$B$1000,Lookup!$C$2:$C$1000),"")</f>
        <v>Equity</v>
      </c>
      <c r="D770" s="8" t="str">
        <f>IFERROR(INDEX('nav master'!$C:$C, MATCH(B770, 'nav master'!$B:$B, 0)), "")</f>
        <v>ULIF 158 170425 IndConsump 105</v>
      </c>
      <c r="E770" s="8">
        <v>62.948599999999999</v>
      </c>
      <c r="F770" s="9">
        <v>45910</v>
      </c>
    </row>
    <row r="771" spans="1:6" ht="60" x14ac:dyDescent="0.25">
      <c r="A771" s="8" t="s">
        <v>63</v>
      </c>
      <c r="B771" s="8" t="s">
        <v>14</v>
      </c>
      <c r="C771" s="8" t="str">
        <f>IFERROR(_xlfn.XLOOKUP(TRIM(B771),Lookup!$B$2:$B$1000,Lookup!$C$2:$C$1000),"")</f>
        <v>Equity</v>
      </c>
      <c r="D771" s="8" t="str">
        <f>IFERROR(INDEX('nav master'!$C:$C, MATCH(B771, 'nav master'!$B:$B, 0)), "")</f>
        <v>ULIF 158 170425 IndConsump 105</v>
      </c>
      <c r="E771" s="8">
        <v>62.955100000000002</v>
      </c>
      <c r="F771" s="9">
        <v>45911</v>
      </c>
    </row>
    <row r="772" spans="1:6" ht="60" x14ac:dyDescent="0.25">
      <c r="A772" s="8" t="s">
        <v>63</v>
      </c>
      <c r="B772" s="8" t="s">
        <v>14</v>
      </c>
      <c r="C772" s="8" t="str">
        <f>IFERROR(_xlfn.XLOOKUP(TRIM(B772),Lookup!$B$2:$B$1000,Lookup!$C$2:$C$1000),"")</f>
        <v>Equity</v>
      </c>
      <c r="D772" s="8" t="str">
        <f>IFERROR(INDEX('nav master'!$C:$C, MATCH(B772, 'nav master'!$B:$B, 0)), "")</f>
        <v>ULIF 158 170425 IndConsump 105</v>
      </c>
      <c r="E772" s="8">
        <v>63.110900000000001</v>
      </c>
      <c r="F772" s="9">
        <v>45912</v>
      </c>
    </row>
    <row r="773" spans="1:6" ht="60" x14ac:dyDescent="0.25">
      <c r="A773" s="8" t="s">
        <v>63</v>
      </c>
      <c r="B773" s="8" t="s">
        <v>14</v>
      </c>
      <c r="C773" s="8" t="str">
        <f>IFERROR(_xlfn.XLOOKUP(TRIM(B773),Lookup!$B$2:$B$1000,Lookup!$C$2:$C$1000),"")</f>
        <v>Equity</v>
      </c>
      <c r="D773" s="8" t="str">
        <f>IFERROR(INDEX('nav master'!$C:$C, MATCH(B773, 'nav master'!$B:$B, 0)), "")</f>
        <v>ULIF 158 170425 IndConsump 105</v>
      </c>
      <c r="E773" s="8">
        <v>63.2883</v>
      </c>
      <c r="F773" s="9">
        <v>45915</v>
      </c>
    </row>
    <row r="774" spans="1:6" ht="60" x14ac:dyDescent="0.25">
      <c r="A774" s="8" t="s">
        <v>63</v>
      </c>
      <c r="B774" s="8" t="s">
        <v>14</v>
      </c>
      <c r="C774" s="8" t="str">
        <f>IFERROR(_xlfn.XLOOKUP(TRIM(B774),Lookup!$B$2:$B$1000,Lookup!$C$2:$C$1000),"")</f>
        <v>Equity</v>
      </c>
      <c r="D774" s="8" t="str">
        <f>IFERROR(INDEX('nav master'!$C:$C, MATCH(B774, 'nav master'!$B:$B, 0)), "")</f>
        <v>ULIF 158 170425 IndConsump 105</v>
      </c>
      <c r="E774" s="8">
        <v>63.579500000000003</v>
      </c>
      <c r="F774" s="9">
        <v>45916</v>
      </c>
    </row>
    <row r="775" spans="1:6" ht="60" x14ac:dyDescent="0.25">
      <c r="A775" s="8" t="s">
        <v>63</v>
      </c>
      <c r="B775" s="8" t="s">
        <v>14</v>
      </c>
      <c r="C775" s="8" t="str">
        <f>IFERROR(_xlfn.XLOOKUP(TRIM(B775),Lookup!$B$2:$B$1000,Lookup!$C$2:$C$1000),"")</f>
        <v>Equity</v>
      </c>
      <c r="D775" s="8" t="str">
        <f>IFERROR(INDEX('nav master'!$C:$C, MATCH(B775, 'nav master'!$B:$B, 0)), "")</f>
        <v>ULIF 158 170425 IndConsump 105</v>
      </c>
      <c r="E775" s="8">
        <v>63.859200000000001</v>
      </c>
      <c r="F775" s="9">
        <v>45917</v>
      </c>
    </row>
    <row r="776" spans="1:6" ht="60" x14ac:dyDescent="0.25">
      <c r="A776" s="8" t="s">
        <v>63</v>
      </c>
      <c r="B776" s="8" t="s">
        <v>14</v>
      </c>
      <c r="C776" s="8" t="str">
        <f>IFERROR(_xlfn.XLOOKUP(TRIM(B776),Lookup!$B$2:$B$1000,Lookup!$C$2:$C$1000),"")</f>
        <v>Equity</v>
      </c>
      <c r="D776" s="8" t="str">
        <f>IFERROR(INDEX('nav master'!$C:$C, MATCH(B776, 'nav master'!$B:$B, 0)), "")</f>
        <v>ULIF 158 170425 IndConsump 105</v>
      </c>
      <c r="E776" s="8">
        <v>64.014899999999997</v>
      </c>
      <c r="F776" s="9">
        <v>45918</v>
      </c>
    </row>
    <row r="777" spans="1:6" ht="60" x14ac:dyDescent="0.25">
      <c r="A777" s="8" t="s">
        <v>63</v>
      </c>
      <c r="B777" s="8" t="s">
        <v>14</v>
      </c>
      <c r="C777" s="8" t="str">
        <f>IFERROR(_xlfn.XLOOKUP(TRIM(B777),Lookup!$B$2:$B$1000,Lookup!$C$2:$C$1000),"")</f>
        <v>Equity</v>
      </c>
      <c r="D777" s="8" t="str">
        <f>IFERROR(INDEX('nav master'!$C:$C, MATCH(B777, 'nav master'!$B:$B, 0)), "")</f>
        <v>ULIF 158 170425 IndConsump 105</v>
      </c>
      <c r="E777" s="8">
        <v>63.963200000000001</v>
      </c>
      <c r="F777" s="9">
        <v>45919</v>
      </c>
    </row>
    <row r="778" spans="1:6" ht="60" x14ac:dyDescent="0.25">
      <c r="A778" s="8" t="s">
        <v>63</v>
      </c>
      <c r="B778" s="8" t="s">
        <v>14</v>
      </c>
      <c r="C778" s="8" t="str">
        <f>IFERROR(_xlfn.XLOOKUP(TRIM(B778),Lookup!$B$2:$B$1000,Lookup!$C$2:$C$1000),"")</f>
        <v>Equity</v>
      </c>
      <c r="D778" s="8" t="str">
        <f>IFERROR(INDEX('nav master'!$C:$C, MATCH(B778, 'nav master'!$B:$B, 0)), "")</f>
        <v>ULIF 158 170425 IndConsump 105</v>
      </c>
      <c r="E778" s="8">
        <v>63.810299999999998</v>
      </c>
      <c r="F778" s="9">
        <v>45922</v>
      </c>
    </row>
    <row r="779" spans="1:6" ht="60" x14ac:dyDescent="0.25">
      <c r="A779" s="8" t="s">
        <v>63</v>
      </c>
      <c r="B779" s="8" t="s">
        <v>14</v>
      </c>
      <c r="C779" s="8" t="str">
        <f>IFERROR(_xlfn.XLOOKUP(TRIM(B779),Lookup!$B$2:$B$1000,Lookup!$C$2:$C$1000),"")</f>
        <v>Equity</v>
      </c>
      <c r="D779" s="8" t="str">
        <f>IFERROR(INDEX('nav master'!$C:$C, MATCH(B779, 'nav master'!$B:$B, 0)), "")</f>
        <v>ULIF 158 170425 IndConsump 105</v>
      </c>
      <c r="E779" s="8">
        <v>63.431199999999997</v>
      </c>
      <c r="F779" s="9">
        <v>45923</v>
      </c>
    </row>
    <row r="780" spans="1:6" ht="60" x14ac:dyDescent="0.25">
      <c r="A780" s="8" t="s">
        <v>63</v>
      </c>
      <c r="B780" s="8" t="s">
        <v>14</v>
      </c>
      <c r="C780" s="8" t="str">
        <f>IFERROR(_xlfn.XLOOKUP(TRIM(B780),Lookup!$B$2:$B$1000,Lookup!$C$2:$C$1000),"")</f>
        <v>Equity</v>
      </c>
      <c r="D780" s="8" t="str">
        <f>IFERROR(INDEX('nav master'!$C:$C, MATCH(B780, 'nav master'!$B:$B, 0)), "")</f>
        <v>ULIF 158 170425 IndConsump 105</v>
      </c>
      <c r="E780" s="8">
        <v>62.984499999999997</v>
      </c>
      <c r="F780" s="9">
        <v>45924</v>
      </c>
    </row>
    <row r="781" spans="1:6" ht="60" x14ac:dyDescent="0.25">
      <c r="A781" s="8" t="s">
        <v>63</v>
      </c>
      <c r="B781" s="8" t="s">
        <v>14</v>
      </c>
      <c r="C781" s="8" t="str">
        <f>IFERROR(_xlfn.XLOOKUP(TRIM(B781),Lookup!$B$2:$B$1000,Lookup!$C$2:$C$1000),"")</f>
        <v>Equity</v>
      </c>
      <c r="D781" s="8" t="str">
        <f>IFERROR(INDEX('nav master'!$C:$C, MATCH(B781, 'nav master'!$B:$B, 0)), "")</f>
        <v>ULIF 158 170425 IndConsump 105</v>
      </c>
      <c r="E781" s="8">
        <v>62.619500000000002</v>
      </c>
      <c r="F781" s="9">
        <v>45925</v>
      </c>
    </row>
    <row r="782" spans="1:6" ht="60" x14ac:dyDescent="0.25">
      <c r="A782" s="8" t="s">
        <v>63</v>
      </c>
      <c r="B782" s="8" t="s">
        <v>14</v>
      </c>
      <c r="C782" s="8" t="str">
        <f>IFERROR(_xlfn.XLOOKUP(TRIM(B782),Lookup!$B$2:$B$1000,Lookup!$C$2:$C$1000),"")</f>
        <v>Equity</v>
      </c>
      <c r="D782" s="8" t="str">
        <f>IFERROR(INDEX('nav master'!$C:$C, MATCH(B782, 'nav master'!$B:$B, 0)), "")</f>
        <v>ULIF 158 170425 IndConsump 105</v>
      </c>
      <c r="E782" s="8">
        <v>61.755099999999999</v>
      </c>
      <c r="F782" s="9">
        <v>45926</v>
      </c>
    </row>
    <row r="783" spans="1:6" ht="60" x14ac:dyDescent="0.25">
      <c r="A783" s="8" t="s">
        <v>63</v>
      </c>
      <c r="B783" s="8" t="s">
        <v>14</v>
      </c>
      <c r="C783" s="8" t="str">
        <f>IFERROR(_xlfn.XLOOKUP(TRIM(B783),Lookup!$B$2:$B$1000,Lookup!$C$2:$C$1000),"")</f>
        <v>Equity</v>
      </c>
      <c r="D783" s="8" t="str">
        <f>IFERROR(INDEX('nav master'!$C:$C, MATCH(B783, 'nav master'!$B:$B, 0)), "")</f>
        <v>ULIF 158 170425 IndConsump 105</v>
      </c>
      <c r="E783" s="8">
        <v>61.795999999999999</v>
      </c>
      <c r="F783" s="9">
        <v>45929</v>
      </c>
    </row>
    <row r="784" spans="1:6" ht="60" x14ac:dyDescent="0.25">
      <c r="A784" s="8" t="s">
        <v>63</v>
      </c>
      <c r="B784" s="8" t="s">
        <v>14</v>
      </c>
      <c r="C784" s="8" t="str">
        <f>IFERROR(_xlfn.XLOOKUP(TRIM(B784),Lookup!$B$2:$B$1000,Lookup!$C$2:$C$1000),"")</f>
        <v>Equity</v>
      </c>
      <c r="D784" s="8" t="str">
        <f>IFERROR(INDEX('nav master'!$C:$C, MATCH(B784, 'nav master'!$B:$B, 0)), "")</f>
        <v>ULIF 158 170425 IndConsump 105</v>
      </c>
      <c r="E784" s="8">
        <v>61.6877</v>
      </c>
      <c r="F784" s="9">
        <v>45930</v>
      </c>
    </row>
    <row r="785" spans="1:6" ht="60" x14ac:dyDescent="0.25">
      <c r="A785" s="8" t="s">
        <v>63</v>
      </c>
      <c r="B785" s="8" t="s">
        <v>14</v>
      </c>
      <c r="C785" s="8" t="str">
        <f>IFERROR(_xlfn.XLOOKUP(TRIM(B785),Lookup!$B$2:$B$1000,Lookup!$C$2:$C$1000),"")</f>
        <v>Equity</v>
      </c>
      <c r="D785" s="8" t="str">
        <f>IFERROR(INDEX('nav master'!$C:$C, MATCH(B785, 'nav master'!$B:$B, 0)), "")</f>
        <v>ULIF 158 170425 IndConsump 105</v>
      </c>
      <c r="E785" s="8">
        <v>62.138500000000001</v>
      </c>
      <c r="F785" s="9">
        <v>45931</v>
      </c>
    </row>
    <row r="786" spans="1:6" ht="60" x14ac:dyDescent="0.25">
      <c r="A786" s="8" t="s">
        <v>63</v>
      </c>
      <c r="B786" s="8" t="s">
        <v>14</v>
      </c>
      <c r="C786" s="8" t="str">
        <f>IFERROR(_xlfn.XLOOKUP(TRIM(B786),Lookup!$B$2:$B$1000,Lookup!$C$2:$C$1000),"")</f>
        <v>Equity</v>
      </c>
      <c r="D786" s="8" t="str">
        <f>IFERROR(INDEX('nav master'!$C:$C, MATCH(B786, 'nav master'!$B:$B, 0)), "")</f>
        <v>ULIF 158 170425 IndConsump 105</v>
      </c>
      <c r="E786" s="8">
        <v>62.461199999999998</v>
      </c>
      <c r="F786" s="9">
        <v>45933</v>
      </c>
    </row>
    <row r="787" spans="1:6" ht="60" x14ac:dyDescent="0.25">
      <c r="A787" s="8" t="s">
        <v>63</v>
      </c>
      <c r="B787" s="8" t="s">
        <v>14</v>
      </c>
      <c r="C787" s="8" t="str">
        <f>IFERROR(_xlfn.XLOOKUP(TRIM(B787),Lookup!$B$2:$B$1000,Lookup!$C$2:$C$1000),"")</f>
        <v>Equity</v>
      </c>
      <c r="D787" s="8" t="str">
        <f>IFERROR(INDEX('nav master'!$C:$C, MATCH(B787, 'nav master'!$B:$B, 0)), "")</f>
        <v>ULIF 158 170425 IndConsump 105</v>
      </c>
      <c r="E787" s="8">
        <v>63.004600000000003</v>
      </c>
      <c r="F787" s="9">
        <v>45936</v>
      </c>
    </row>
    <row r="788" spans="1:6" ht="60" x14ac:dyDescent="0.25">
      <c r="A788" s="8" t="s">
        <v>63</v>
      </c>
      <c r="B788" s="8" t="s">
        <v>14</v>
      </c>
      <c r="C788" s="8" t="str">
        <f>IFERROR(_xlfn.XLOOKUP(TRIM(B788),Lookup!$B$2:$B$1000,Lookup!$C$2:$C$1000),"")</f>
        <v>Equity</v>
      </c>
      <c r="D788" s="8" t="str">
        <f>IFERROR(INDEX('nav master'!$C:$C, MATCH(B788, 'nav master'!$B:$B, 0)), "")</f>
        <v>ULIF 158 170425 IndConsump 105</v>
      </c>
      <c r="E788" s="8">
        <v>63.080599999999997</v>
      </c>
      <c r="F788" s="9">
        <v>45937</v>
      </c>
    </row>
    <row r="789" spans="1:6" ht="60" x14ac:dyDescent="0.25">
      <c r="A789" s="8" t="s">
        <v>63</v>
      </c>
      <c r="B789" s="8" t="s">
        <v>14</v>
      </c>
      <c r="C789" s="8" t="str">
        <f>IFERROR(_xlfn.XLOOKUP(TRIM(B789),Lookup!$B$2:$B$1000,Lookup!$C$2:$C$1000),"")</f>
        <v>Equity</v>
      </c>
      <c r="D789" s="8" t="str">
        <f>IFERROR(INDEX('nav master'!$C:$C, MATCH(B789, 'nav master'!$B:$B, 0)), "")</f>
        <v>ULIF 158 170425 IndConsump 105</v>
      </c>
      <c r="E789" s="8">
        <v>62.856400000000001</v>
      </c>
      <c r="F789" s="9">
        <v>45938</v>
      </c>
    </row>
    <row r="790" spans="1:6" ht="60" x14ac:dyDescent="0.25">
      <c r="A790" s="8" t="s">
        <v>63</v>
      </c>
      <c r="B790" s="8" t="s">
        <v>14</v>
      </c>
      <c r="C790" s="8" t="str">
        <f>IFERROR(_xlfn.XLOOKUP(TRIM(B790),Lookup!$B$2:$B$1000,Lookup!$C$2:$C$1000),"")</f>
        <v>Equity</v>
      </c>
      <c r="D790" s="8" t="str">
        <f>IFERROR(INDEX('nav master'!$C:$C, MATCH(B790, 'nav master'!$B:$B, 0)), "")</f>
        <v>ULIF 158 170425 IndConsump 105</v>
      </c>
      <c r="E790" s="8">
        <v>63.317399999999999</v>
      </c>
      <c r="F790" s="9">
        <v>45939</v>
      </c>
    </row>
    <row r="791" spans="1:6" ht="60" x14ac:dyDescent="0.25">
      <c r="A791" s="8" t="s">
        <v>63</v>
      </c>
      <c r="B791" s="8" t="s">
        <v>14</v>
      </c>
      <c r="C791" s="8" t="str">
        <f>IFERROR(_xlfn.XLOOKUP(TRIM(B791),Lookup!$B$2:$B$1000,Lookup!$C$2:$C$1000),"")</f>
        <v>Equity</v>
      </c>
      <c r="D791" s="8" t="str">
        <f>IFERROR(INDEX('nav master'!$C:$C, MATCH(B791, 'nav master'!$B:$B, 0)), "")</f>
        <v>ULIF 158 170425 IndConsump 105</v>
      </c>
      <c r="E791" s="8">
        <v>63.552599999999998</v>
      </c>
      <c r="F791" s="9">
        <v>45940</v>
      </c>
    </row>
    <row r="792" spans="1:6" ht="60" x14ac:dyDescent="0.25">
      <c r="A792" s="8" t="s">
        <v>63</v>
      </c>
      <c r="B792" s="8" t="s">
        <v>14</v>
      </c>
      <c r="C792" s="8" t="str">
        <f>IFERROR(_xlfn.XLOOKUP(TRIM(B792),Lookup!$B$2:$B$1000,Lookup!$C$2:$C$1000),"")</f>
        <v>Equity</v>
      </c>
      <c r="D792" s="8" t="str">
        <f>IFERROR(INDEX('nav master'!$C:$C, MATCH(B792, 'nav master'!$B:$B, 0)), "")</f>
        <v>ULIF 158 170425 IndConsump 105</v>
      </c>
      <c r="E792" s="8">
        <v>63.536499999999997</v>
      </c>
      <c r="F792" s="9">
        <v>45943</v>
      </c>
    </row>
    <row r="793" spans="1:6" ht="60" x14ac:dyDescent="0.25">
      <c r="A793" s="8" t="s">
        <v>63</v>
      </c>
      <c r="B793" s="8" t="s">
        <v>14</v>
      </c>
      <c r="C793" s="8" t="str">
        <f>IFERROR(_xlfn.XLOOKUP(TRIM(B793),Lookup!$B$2:$B$1000,Lookup!$C$2:$C$1000),"")</f>
        <v>Equity</v>
      </c>
      <c r="D793" s="8" t="str">
        <f>IFERROR(INDEX('nav master'!$C:$C, MATCH(B793, 'nav master'!$B:$B, 0)), "")</f>
        <v>ULIF 158 170425 IndConsump 105</v>
      </c>
      <c r="E793" s="8">
        <v>63.463000000000001</v>
      </c>
      <c r="F793" s="9">
        <v>45944</v>
      </c>
    </row>
    <row r="794" spans="1:6" ht="60" x14ac:dyDescent="0.25">
      <c r="A794" s="8" t="s">
        <v>63</v>
      </c>
      <c r="B794" s="8" t="s">
        <v>14</v>
      </c>
      <c r="C794" s="8" t="str">
        <f>IFERROR(_xlfn.XLOOKUP(TRIM(B794),Lookup!$B$2:$B$1000,Lookup!$C$2:$C$1000),"")</f>
        <v>Equity</v>
      </c>
      <c r="D794" s="8" t="str">
        <f>IFERROR(INDEX('nav master'!$C:$C, MATCH(B794, 'nav master'!$B:$B, 0)), "")</f>
        <v>ULIF 158 170425 IndConsump 105</v>
      </c>
      <c r="E794" s="8">
        <v>64.005799999999994</v>
      </c>
      <c r="F794" s="9">
        <v>45945</v>
      </c>
    </row>
    <row r="795" spans="1:6" ht="60" x14ac:dyDescent="0.25">
      <c r="A795" s="8" t="s">
        <v>63</v>
      </c>
      <c r="B795" s="8" t="s">
        <v>14</v>
      </c>
      <c r="C795" s="8" t="str">
        <f>IFERROR(_xlfn.XLOOKUP(TRIM(B795),Lookup!$B$2:$B$1000,Lookup!$C$2:$C$1000),"")</f>
        <v>Equity</v>
      </c>
      <c r="D795" s="8" t="str">
        <f>IFERROR(INDEX('nav master'!$C:$C, MATCH(B795, 'nav master'!$B:$B, 0)), "")</f>
        <v>ULIF 158 170425 IndConsump 105</v>
      </c>
      <c r="E795" s="8">
        <v>64.486900000000006</v>
      </c>
      <c r="F795" s="9">
        <v>45946</v>
      </c>
    </row>
    <row r="796" spans="1:6" ht="60" x14ac:dyDescent="0.25">
      <c r="A796" s="8" t="s">
        <v>63</v>
      </c>
      <c r="B796" s="8" t="s">
        <v>14</v>
      </c>
      <c r="C796" s="8" t="str">
        <f>IFERROR(_xlfn.XLOOKUP(TRIM(B796),Lookup!$B$2:$B$1000,Lookup!$C$2:$C$1000),"")</f>
        <v>Equity</v>
      </c>
      <c r="D796" s="8" t="str">
        <f>IFERROR(INDEX('nav master'!$C:$C, MATCH(B796, 'nav master'!$B:$B, 0)), "")</f>
        <v>ULIF 158 170425 IndConsump 105</v>
      </c>
      <c r="E796" s="8">
        <v>64.622600000000006</v>
      </c>
      <c r="F796" s="9">
        <v>45947</v>
      </c>
    </row>
    <row r="797" spans="1:6" ht="60" x14ac:dyDescent="0.25">
      <c r="A797" s="8" t="s">
        <v>63</v>
      </c>
      <c r="B797" s="8" t="s">
        <v>14</v>
      </c>
      <c r="C797" s="8" t="str">
        <f>IFERROR(_xlfn.XLOOKUP(TRIM(B797),Lookup!$B$2:$B$1000,Lookup!$C$2:$C$1000),"")</f>
        <v>Equity</v>
      </c>
      <c r="D797" s="8" t="str">
        <f>IFERROR(INDEX('nav master'!$C:$C, MATCH(B797, 'nav master'!$B:$B, 0)), "")</f>
        <v>ULIF 158 170425 IndConsump 105</v>
      </c>
      <c r="E797" s="8">
        <v>64.850700000000003</v>
      </c>
      <c r="F797" s="9">
        <v>45950</v>
      </c>
    </row>
    <row r="798" spans="1:6" ht="60" x14ac:dyDescent="0.25">
      <c r="A798" s="8" t="s">
        <v>63</v>
      </c>
      <c r="B798" s="8" t="s">
        <v>14</v>
      </c>
      <c r="C798" s="8" t="str">
        <f>IFERROR(_xlfn.XLOOKUP(TRIM(B798),Lookup!$B$2:$B$1000,Lookup!$C$2:$C$1000),"")</f>
        <v>Equity</v>
      </c>
      <c r="D798" s="8" t="str">
        <f>IFERROR(INDEX('nav master'!$C:$C, MATCH(B798, 'nav master'!$B:$B, 0)), "")</f>
        <v>ULIF 158 170425 IndConsump 105</v>
      </c>
      <c r="E798" s="8">
        <v>64.798199999999994</v>
      </c>
      <c r="F798" s="9">
        <v>45953</v>
      </c>
    </row>
    <row r="799" spans="1:6" ht="60" x14ac:dyDescent="0.25">
      <c r="A799" s="8" t="s">
        <v>63</v>
      </c>
      <c r="B799" s="8" t="s">
        <v>14</v>
      </c>
      <c r="C799" s="8" t="str">
        <f>IFERROR(_xlfn.XLOOKUP(TRIM(B799),Lookup!$B$2:$B$1000,Lookup!$C$2:$C$1000),"")</f>
        <v>Equity</v>
      </c>
      <c r="D799" s="8" t="str">
        <f>IFERROR(INDEX('nav master'!$C:$C, MATCH(B799, 'nav master'!$B:$B, 0)), "")</f>
        <v>ULIF 158 170425 IndConsump 105</v>
      </c>
      <c r="E799" s="8">
        <v>64.459100000000007</v>
      </c>
      <c r="F799" s="9">
        <v>45954</v>
      </c>
    </row>
    <row r="800" spans="1:6" ht="60" x14ac:dyDescent="0.25">
      <c r="A800" s="8" t="s">
        <v>63</v>
      </c>
      <c r="B800" s="8" t="s">
        <v>14</v>
      </c>
      <c r="C800" s="8" t="str">
        <f>IFERROR(_xlfn.XLOOKUP(TRIM(B800),Lookup!$B$2:$B$1000,Lookup!$C$2:$C$1000),"")</f>
        <v>Equity</v>
      </c>
      <c r="D800" s="8" t="str">
        <f>IFERROR(INDEX('nav master'!$C:$C, MATCH(B800, 'nav master'!$B:$B, 0)), "")</f>
        <v>ULIF 158 170425 IndConsump 105</v>
      </c>
      <c r="E800" s="8">
        <v>64.876599999999996</v>
      </c>
      <c r="F800" s="9">
        <v>45957</v>
      </c>
    </row>
    <row r="801" spans="1:6" ht="60" x14ac:dyDescent="0.25">
      <c r="A801" s="8" t="s">
        <v>63</v>
      </c>
      <c r="B801" s="8" t="s">
        <v>14</v>
      </c>
      <c r="C801" s="8" t="str">
        <f>IFERROR(_xlfn.XLOOKUP(TRIM(B801),Lookup!$B$2:$B$1000,Lookup!$C$2:$C$1000),"")</f>
        <v>Equity</v>
      </c>
      <c r="D801" s="8" t="str">
        <f>IFERROR(INDEX('nav master'!$C:$C, MATCH(B801, 'nav master'!$B:$B, 0)), "")</f>
        <v>ULIF 158 170425 IndConsump 105</v>
      </c>
      <c r="E801" s="8">
        <v>64.658100000000005</v>
      </c>
      <c r="F801" s="9">
        <v>45958</v>
      </c>
    </row>
    <row r="802" spans="1:6" ht="60" x14ac:dyDescent="0.25">
      <c r="A802" s="8" t="s">
        <v>63</v>
      </c>
      <c r="B802" s="8" t="s">
        <v>14</v>
      </c>
      <c r="C802" s="8" t="str">
        <f>IFERROR(_xlfn.XLOOKUP(TRIM(B802),Lookup!$B$2:$B$1000,Lookup!$C$2:$C$1000),"")</f>
        <v>Equity</v>
      </c>
      <c r="D802" s="8" t="str">
        <f>IFERROR(INDEX('nav master'!$C:$C, MATCH(B802, 'nav master'!$B:$B, 0)), "")</f>
        <v>ULIF 158 170425 IndConsump 105</v>
      </c>
      <c r="E802" s="8">
        <v>64.781199999999998</v>
      </c>
      <c r="F802" s="9">
        <v>45959</v>
      </c>
    </row>
    <row r="803" spans="1:6" ht="60" x14ac:dyDescent="0.25">
      <c r="A803" s="8" t="s">
        <v>63</v>
      </c>
      <c r="B803" s="8" t="s">
        <v>14</v>
      </c>
      <c r="C803" s="8" t="str">
        <f>IFERROR(_xlfn.XLOOKUP(TRIM(B803),Lookup!$B$2:$B$1000,Lookup!$C$2:$C$1000),"")</f>
        <v>Equity</v>
      </c>
      <c r="D803" s="8" t="str">
        <f>IFERROR(INDEX('nav master'!$C:$C, MATCH(B803, 'nav master'!$B:$B, 0)), "")</f>
        <v>ULIF 158 170425 IndConsump 105</v>
      </c>
      <c r="E803" s="8">
        <v>64.472700000000003</v>
      </c>
      <c r="F803" s="9">
        <v>45960</v>
      </c>
    </row>
    <row r="804" spans="1:6" ht="60" x14ac:dyDescent="0.25">
      <c r="A804" s="8" t="s">
        <v>63</v>
      </c>
      <c r="B804" s="8" t="s">
        <v>14</v>
      </c>
      <c r="C804" s="8" t="str">
        <f>IFERROR(_xlfn.XLOOKUP(TRIM(B804),Lookup!$B$2:$B$1000,Lookup!$C$2:$C$1000),"")</f>
        <v>Equity</v>
      </c>
      <c r="D804" s="8" t="str">
        <f>IFERROR(INDEX('nav master'!$C:$C, MATCH(B804, 'nav master'!$B:$B, 0)), "")</f>
        <v>ULIF 158 170425 IndConsump 105</v>
      </c>
      <c r="E804" s="8">
        <v>64.023499999999999</v>
      </c>
      <c r="F804" s="9">
        <v>45961</v>
      </c>
    </row>
    <row r="805" spans="1:6" ht="60" x14ac:dyDescent="0.25">
      <c r="A805" s="8" t="s">
        <v>63</v>
      </c>
      <c r="B805" s="8" t="s">
        <v>14</v>
      </c>
      <c r="C805" s="8" t="str">
        <f>IFERROR(_xlfn.XLOOKUP(TRIM(B805),Lookup!$B$2:$B$1000,Lookup!$C$2:$C$1000),"")</f>
        <v>Equity</v>
      </c>
      <c r="D805" s="8" t="str">
        <f>IFERROR(INDEX('nav master'!$C:$C, MATCH(B805, 'nav master'!$B:$B, 0)), "")</f>
        <v>ULIF 158 170425 IndConsump 105</v>
      </c>
      <c r="E805" s="8">
        <v>64.391400000000004</v>
      </c>
      <c r="F805" s="9">
        <v>45964</v>
      </c>
    </row>
    <row r="806" spans="1:6" ht="60" x14ac:dyDescent="0.25">
      <c r="A806" s="8" t="s">
        <v>63</v>
      </c>
      <c r="B806" s="8" t="s">
        <v>14</v>
      </c>
      <c r="C806" s="8" t="str">
        <f>IFERROR(_xlfn.XLOOKUP(TRIM(B806),Lookup!$B$2:$B$1000,Lookup!$C$2:$C$1000),"")</f>
        <v>Equity</v>
      </c>
      <c r="D806" s="8" t="str">
        <f>IFERROR(INDEX('nav master'!$C:$C, MATCH(B806, 'nav master'!$B:$B, 0)), "")</f>
        <v>ULIF 158 170425 IndConsump 105</v>
      </c>
      <c r="E806" s="8">
        <v>64.144900000000007</v>
      </c>
      <c r="F806" s="9">
        <v>45965</v>
      </c>
    </row>
    <row r="807" spans="1:6" ht="60" x14ac:dyDescent="0.25">
      <c r="A807" s="8" t="s">
        <v>63</v>
      </c>
      <c r="B807" s="8" t="s">
        <v>14</v>
      </c>
      <c r="C807" s="8" t="str">
        <f>IFERROR(_xlfn.XLOOKUP(TRIM(B807),Lookup!$B$2:$B$1000,Lookup!$C$2:$C$1000),"")</f>
        <v>Equity</v>
      </c>
      <c r="D807" s="8" t="str">
        <f>IFERROR(INDEX('nav master'!$C:$C, MATCH(B807, 'nav master'!$B:$B, 0)), "")</f>
        <v>ULIF 158 170425 IndConsump 105</v>
      </c>
      <c r="E807" s="8">
        <v>63.643799999999999</v>
      </c>
      <c r="F807" s="9">
        <v>45967</v>
      </c>
    </row>
    <row r="808" spans="1:6" ht="60" x14ac:dyDescent="0.25">
      <c r="A808" s="8" t="s">
        <v>63</v>
      </c>
      <c r="B808" s="8" t="s">
        <v>14</v>
      </c>
      <c r="C808" s="8" t="str">
        <f>IFERROR(_xlfn.XLOOKUP(TRIM(B808),Lookup!$B$2:$B$1000,Lookup!$C$2:$C$1000),"")</f>
        <v>Equity</v>
      </c>
      <c r="D808" s="8" t="str">
        <f>IFERROR(INDEX('nav master'!$C:$C, MATCH(B808, 'nav master'!$B:$B, 0)), "")</f>
        <v>ULIF 158 170425 IndConsump 105</v>
      </c>
      <c r="E808" s="8">
        <v>63.860500000000002</v>
      </c>
      <c r="F808" s="9">
        <v>45968</v>
      </c>
    </row>
    <row r="809" spans="1:6" ht="60" x14ac:dyDescent="0.25">
      <c r="A809" s="8" t="s">
        <v>63</v>
      </c>
      <c r="B809" s="8" t="s">
        <v>14</v>
      </c>
      <c r="C809" s="8" t="str">
        <f>IFERROR(_xlfn.XLOOKUP(TRIM(B809),Lookup!$B$2:$B$1000,Lookup!$C$2:$C$1000),"")</f>
        <v>Equity</v>
      </c>
      <c r="D809" s="8" t="str">
        <f>IFERROR(INDEX('nav master'!$C:$C, MATCH(B809, 'nav master'!$B:$B, 0)), "")</f>
        <v>ULIF 158 170425 IndConsump 105</v>
      </c>
      <c r="E809" s="8">
        <v>63.9557</v>
      </c>
      <c r="F809" s="9">
        <v>45971</v>
      </c>
    </row>
    <row r="810" spans="1:6" ht="60" x14ac:dyDescent="0.25">
      <c r="A810" s="8" t="s">
        <v>63</v>
      </c>
      <c r="B810" s="8" t="s">
        <v>14</v>
      </c>
      <c r="C810" s="8" t="str">
        <f>IFERROR(_xlfn.XLOOKUP(TRIM(B810),Lookup!$B$2:$B$1000,Lookup!$C$2:$C$1000),"")</f>
        <v>Equity</v>
      </c>
      <c r="D810" s="8" t="str">
        <f>IFERROR(INDEX('nav master'!$C:$C, MATCH(B810, 'nav master'!$B:$B, 0)), "")</f>
        <v>ULIF 158 170425 IndConsump 105</v>
      </c>
      <c r="E810" s="8">
        <v>64.212800000000001</v>
      </c>
      <c r="F810" s="9">
        <v>45972</v>
      </c>
    </row>
    <row r="811" spans="1:6" ht="60" x14ac:dyDescent="0.25">
      <c r="A811" s="8" t="s">
        <v>63</v>
      </c>
      <c r="B811" s="8" t="s">
        <v>14</v>
      </c>
      <c r="C811" s="8" t="str">
        <f>IFERROR(_xlfn.XLOOKUP(TRIM(B811),Lookup!$B$2:$B$1000,Lookup!$C$2:$C$1000),"")</f>
        <v>Equity</v>
      </c>
      <c r="D811" s="8" t="str">
        <f>IFERROR(INDEX('nav master'!$C:$C, MATCH(B811, 'nav master'!$B:$B, 0)), "")</f>
        <v>ULIF 158 170425 IndConsump 105</v>
      </c>
      <c r="E811" s="8">
        <v>64.415400000000005</v>
      </c>
      <c r="F811" s="9">
        <v>45973</v>
      </c>
    </row>
    <row r="812" spans="1:6" ht="60" x14ac:dyDescent="0.25">
      <c r="A812" s="8" t="s">
        <v>63</v>
      </c>
      <c r="B812" s="8" t="s">
        <v>14</v>
      </c>
      <c r="C812" s="8" t="str">
        <f>IFERROR(_xlfn.XLOOKUP(TRIM(B812),Lookup!$B$2:$B$1000,Lookup!$C$2:$C$1000),"")</f>
        <v>Equity</v>
      </c>
      <c r="D812" s="8" t="str">
        <f>IFERROR(INDEX('nav master'!$C:$C, MATCH(B812, 'nav master'!$B:$B, 0)), "")</f>
        <v>ULIF 158 170425 IndConsump 105</v>
      </c>
      <c r="E812" s="8">
        <v>64.204899999999995</v>
      </c>
      <c r="F812" s="9">
        <v>45974</v>
      </c>
    </row>
    <row r="813" spans="1:6" ht="60" x14ac:dyDescent="0.25">
      <c r="A813" s="8" t="s">
        <v>63</v>
      </c>
      <c r="B813" s="8" t="s">
        <v>14</v>
      </c>
      <c r="C813" s="8" t="str">
        <f>IFERROR(_xlfn.XLOOKUP(TRIM(B813),Lookup!$B$2:$B$1000,Lookup!$C$2:$C$1000),"")</f>
        <v>Equity</v>
      </c>
      <c r="D813" s="8" t="str">
        <f>IFERROR(INDEX('nav master'!$C:$C, MATCH(B813, 'nav master'!$B:$B, 0)), "")</f>
        <v>ULIF 158 170425 IndConsump 105</v>
      </c>
      <c r="E813" s="8">
        <v>64.431700000000006</v>
      </c>
      <c r="F813" s="9">
        <v>45975</v>
      </c>
    </row>
    <row r="814" spans="1:6" ht="60" x14ac:dyDescent="0.25">
      <c r="A814" s="8" t="s">
        <v>63</v>
      </c>
      <c r="B814" s="8" t="s">
        <v>14</v>
      </c>
      <c r="C814" s="8" t="str">
        <f>IFERROR(_xlfn.XLOOKUP(TRIM(B814),Lookup!$B$2:$B$1000,Lookup!$C$2:$C$1000),"")</f>
        <v>Equity</v>
      </c>
      <c r="D814" s="8" t="str">
        <f>IFERROR(INDEX('nav master'!$C:$C, MATCH(B814, 'nav master'!$B:$B, 0)), "")</f>
        <v>ULIF 158 170425 IndConsump 105</v>
      </c>
      <c r="E814" s="8">
        <v>64.808000000000007</v>
      </c>
      <c r="F814" s="9">
        <v>45978</v>
      </c>
    </row>
    <row r="815" spans="1:6" ht="60" x14ac:dyDescent="0.25">
      <c r="A815" s="8" t="s">
        <v>63</v>
      </c>
      <c r="B815" s="8" t="s">
        <v>14</v>
      </c>
      <c r="C815" s="8" t="str">
        <f>IFERROR(_xlfn.XLOOKUP(TRIM(B815),Lookup!$B$2:$B$1000,Lookup!$C$2:$C$1000),"")</f>
        <v>Equity</v>
      </c>
      <c r="D815" s="8" t="str">
        <f>IFERROR(INDEX('nav master'!$C:$C, MATCH(B815, 'nav master'!$B:$B, 0)), "")</f>
        <v>ULIF 158 170425 IndConsump 105</v>
      </c>
      <c r="E815" s="8">
        <v>64.505200000000002</v>
      </c>
      <c r="F815" s="9">
        <v>45979</v>
      </c>
    </row>
    <row r="816" spans="1:6" ht="60" x14ac:dyDescent="0.25">
      <c r="A816" s="8" t="s">
        <v>63</v>
      </c>
      <c r="B816" s="8" t="s">
        <v>14</v>
      </c>
      <c r="C816" s="8" t="str">
        <f>IFERROR(_xlfn.XLOOKUP(TRIM(B816),Lookup!$B$2:$B$1000,Lookup!$C$2:$C$1000),"")</f>
        <v>Equity</v>
      </c>
      <c r="D816" s="8" t="str">
        <f>IFERROR(INDEX('nav master'!$C:$C, MATCH(B816, 'nav master'!$B:$B, 0)), "")</f>
        <v>ULIF 158 170425 IndConsump 105</v>
      </c>
      <c r="E816" s="8">
        <v>64.627399999999994</v>
      </c>
      <c r="F816" s="9">
        <v>45980</v>
      </c>
    </row>
    <row r="817" spans="1:6" ht="60" x14ac:dyDescent="0.25">
      <c r="A817" s="8" t="s">
        <v>63</v>
      </c>
      <c r="B817" s="8" t="s">
        <v>14</v>
      </c>
      <c r="C817" s="8" t="str">
        <f>IFERROR(_xlfn.XLOOKUP(TRIM(B817),Lookup!$B$2:$B$1000,Lookup!$C$2:$C$1000),"")</f>
        <v>Equity</v>
      </c>
      <c r="D817" s="8" t="str">
        <f>IFERROR(INDEX('nav master'!$C:$C, MATCH(B817, 'nav master'!$B:$B, 0)), "")</f>
        <v>ULIF 158 170425 IndConsump 105</v>
      </c>
      <c r="E817" s="8">
        <v>64.836100000000002</v>
      </c>
      <c r="F817" s="9">
        <v>45981</v>
      </c>
    </row>
    <row r="818" spans="1:6" ht="60" x14ac:dyDescent="0.25">
      <c r="A818" s="8" t="s">
        <v>63</v>
      </c>
      <c r="B818" s="8" t="s">
        <v>14</v>
      </c>
      <c r="C818" s="8" t="str">
        <f>IFERROR(_xlfn.XLOOKUP(TRIM(B818),Lookup!$B$2:$B$1000,Lookup!$C$2:$C$1000),"")</f>
        <v>Equity</v>
      </c>
      <c r="D818" s="8" t="str">
        <f>IFERROR(INDEX('nav master'!$C:$C, MATCH(B818, 'nav master'!$B:$B, 0)), "")</f>
        <v>ULIF 158 170425 IndConsump 105</v>
      </c>
      <c r="E818" s="8">
        <v>64.449200000000005</v>
      </c>
      <c r="F818" s="9">
        <v>45982</v>
      </c>
    </row>
    <row r="819" spans="1:6" ht="60" x14ac:dyDescent="0.25">
      <c r="A819" s="8" t="s">
        <v>63</v>
      </c>
      <c r="B819" s="8" t="s">
        <v>14</v>
      </c>
      <c r="C819" s="8" t="str">
        <f>IFERROR(_xlfn.XLOOKUP(TRIM(B819),Lookup!$B$2:$B$1000,Lookup!$C$2:$C$1000),"")</f>
        <v>Equity</v>
      </c>
      <c r="D819" s="8" t="str">
        <f>IFERROR(INDEX('nav master'!$C:$C, MATCH(B819, 'nav master'!$B:$B, 0)), "")</f>
        <v>ULIF 158 170425 IndConsump 105</v>
      </c>
      <c r="E819" s="8">
        <v>64.148399999999995</v>
      </c>
      <c r="F819" s="9">
        <v>45985</v>
      </c>
    </row>
    <row r="820" spans="1:6" ht="60" x14ac:dyDescent="0.25">
      <c r="A820" s="8" t="s">
        <v>63</v>
      </c>
      <c r="B820" s="8" t="s">
        <v>14</v>
      </c>
      <c r="C820" s="8" t="str">
        <f>IFERROR(_xlfn.XLOOKUP(TRIM(B820),Lookup!$B$2:$B$1000,Lookup!$C$2:$C$1000),"")</f>
        <v>Equity</v>
      </c>
      <c r="D820" s="8" t="str">
        <f>IFERROR(INDEX('nav master'!$C:$C, MATCH(B820, 'nav master'!$B:$B, 0)), "")</f>
        <v>ULIF 158 170425 IndConsump 105</v>
      </c>
      <c r="E820" s="8">
        <v>64.037099999999995</v>
      </c>
      <c r="F820" s="9">
        <v>45986</v>
      </c>
    </row>
    <row r="821" spans="1:6" ht="60" x14ac:dyDescent="0.25">
      <c r="A821" s="8" t="s">
        <v>63</v>
      </c>
      <c r="B821" s="8" t="s">
        <v>14</v>
      </c>
      <c r="C821" s="8" t="str">
        <f>IFERROR(_xlfn.XLOOKUP(TRIM(B821),Lookup!$B$2:$B$1000,Lookup!$C$2:$C$1000),"")</f>
        <v>Equity</v>
      </c>
      <c r="D821" s="8" t="str">
        <f>IFERROR(INDEX('nav master'!$C:$C, MATCH(B821, 'nav master'!$B:$B, 0)), "")</f>
        <v>ULIF 158 170425 IndConsump 105</v>
      </c>
      <c r="E821" s="8">
        <v>64.891900000000007</v>
      </c>
      <c r="F821" s="9">
        <v>45987</v>
      </c>
    </row>
    <row r="822" spans="1:6" ht="60" x14ac:dyDescent="0.25">
      <c r="A822" s="8" t="s">
        <v>63</v>
      </c>
      <c r="B822" s="8" t="s">
        <v>14</v>
      </c>
      <c r="C822" s="8" t="str">
        <f>IFERROR(_xlfn.XLOOKUP(TRIM(B822),Lookup!$B$2:$B$1000,Lookup!$C$2:$C$1000),"")</f>
        <v>Equity</v>
      </c>
      <c r="D822" s="8" t="str">
        <f>IFERROR(INDEX('nav master'!$C:$C, MATCH(B822, 'nav master'!$B:$B, 0)), "")</f>
        <v>ULIF 158 170425 IndConsump 105</v>
      </c>
      <c r="E822" s="8">
        <v>64.807100000000005</v>
      </c>
      <c r="F822" s="9">
        <v>45988</v>
      </c>
    </row>
    <row r="823" spans="1:6" ht="60" x14ac:dyDescent="0.25">
      <c r="A823" s="8" t="s">
        <v>63</v>
      </c>
      <c r="B823" s="8" t="s">
        <v>14</v>
      </c>
      <c r="C823" s="8" t="str">
        <f>IFERROR(_xlfn.XLOOKUP(TRIM(B823),Lookup!$B$2:$B$1000,Lookup!$C$2:$C$1000),"")</f>
        <v>Equity</v>
      </c>
      <c r="D823" s="8" t="str">
        <f>IFERROR(INDEX('nav master'!$C:$C, MATCH(B823, 'nav master'!$B:$B, 0)), "")</f>
        <v>ULIF 158 170425 IndConsump 105</v>
      </c>
      <c r="E823" s="8">
        <v>64.626300000000001</v>
      </c>
      <c r="F823" s="9">
        <v>45989</v>
      </c>
    </row>
    <row r="824" spans="1:6" ht="60" x14ac:dyDescent="0.25">
      <c r="A824" s="8" t="s">
        <v>63</v>
      </c>
      <c r="B824" s="8" t="s">
        <v>14</v>
      </c>
      <c r="C824" s="8" t="str">
        <f>IFERROR(_xlfn.XLOOKUP(TRIM(B824),Lookup!$B$2:$B$1000,Lookup!$C$2:$C$1000),"")</f>
        <v>Equity</v>
      </c>
      <c r="D824" s="8" t="str">
        <f>IFERROR(INDEX('nav master'!$C:$C, MATCH(B824, 'nav master'!$B:$B, 0)), "")</f>
        <v>ULIF 158 170425 IndConsump 105</v>
      </c>
      <c r="E824" s="8">
        <v>64.736900000000006</v>
      </c>
      <c r="F824" s="9">
        <v>45992</v>
      </c>
    </row>
    <row r="825" spans="1:6" ht="60" x14ac:dyDescent="0.25">
      <c r="A825" s="8" t="s">
        <v>63</v>
      </c>
      <c r="B825" s="8" t="s">
        <v>14</v>
      </c>
      <c r="C825" s="8" t="str">
        <f>IFERROR(_xlfn.XLOOKUP(TRIM(B825),Lookup!$B$2:$B$1000,Lookup!$C$2:$C$1000),"")</f>
        <v>Equity</v>
      </c>
      <c r="D825" s="8" t="str">
        <f>IFERROR(INDEX('nav master'!$C:$C, MATCH(B825, 'nav master'!$B:$B, 0)), "")</f>
        <v>ULIF 158 170425 IndConsump 105</v>
      </c>
      <c r="E825" s="8">
        <v>64.478700000000003</v>
      </c>
      <c r="F825" s="9">
        <v>45993</v>
      </c>
    </row>
    <row r="826" spans="1:6" ht="60" x14ac:dyDescent="0.25">
      <c r="A826" s="8" t="s">
        <v>63</v>
      </c>
      <c r="B826" s="8" t="s">
        <v>14</v>
      </c>
      <c r="C826" s="8" t="str">
        <f>IFERROR(_xlfn.XLOOKUP(TRIM(B826),Lookup!$B$2:$B$1000,Lookup!$C$2:$C$1000),"")</f>
        <v>Equity</v>
      </c>
      <c r="D826" s="8" t="str">
        <f>IFERROR(INDEX('nav master'!$C:$C, MATCH(B826, 'nav master'!$B:$B, 0)), "")</f>
        <v>ULIF 158 170425 IndConsump 105</v>
      </c>
      <c r="E826" s="8">
        <v>64.030199999999994</v>
      </c>
      <c r="F826" s="9">
        <v>45994</v>
      </c>
    </row>
    <row r="827" spans="1:6" ht="60" x14ac:dyDescent="0.25">
      <c r="A827" s="8" t="s">
        <v>63</v>
      </c>
      <c r="B827" s="8" t="s">
        <v>14</v>
      </c>
      <c r="C827" s="8" t="str">
        <f>IFERROR(_xlfn.XLOOKUP(TRIM(B827),Lookup!$B$2:$B$1000,Lookup!$C$2:$C$1000),"")</f>
        <v>Equity</v>
      </c>
      <c r="D827" s="8" t="str">
        <f>IFERROR(INDEX('nav master'!$C:$C, MATCH(B827, 'nav master'!$B:$B, 0)), "")</f>
        <v>ULIF 158 170425 IndConsump 105</v>
      </c>
      <c r="E827" s="8">
        <v>64.087400000000002</v>
      </c>
      <c r="F827" s="9">
        <v>45995</v>
      </c>
    </row>
    <row r="828" spans="1:6" ht="60" x14ac:dyDescent="0.25">
      <c r="A828" s="8" t="s">
        <v>63</v>
      </c>
      <c r="B828" s="8" t="s">
        <v>14</v>
      </c>
      <c r="C828" s="8" t="str">
        <f>IFERROR(_xlfn.XLOOKUP(TRIM(B828),Lookup!$B$2:$B$1000,Lookup!$C$2:$C$1000),"")</f>
        <v>Equity</v>
      </c>
      <c r="D828" s="8" t="str">
        <f>IFERROR(INDEX('nav master'!$C:$C, MATCH(B828, 'nav master'!$B:$B, 0)), "")</f>
        <v>ULIF 158 170425 IndConsump 105</v>
      </c>
      <c r="E828" s="8">
        <v>64.246799999999993</v>
      </c>
      <c r="F828" s="9">
        <v>45996</v>
      </c>
    </row>
    <row r="829" spans="1:6" ht="60" x14ac:dyDescent="0.25">
      <c r="A829" s="8" t="s">
        <v>63</v>
      </c>
      <c r="B829" s="8" t="s">
        <v>14</v>
      </c>
      <c r="C829" s="8" t="str">
        <f>IFERROR(_xlfn.XLOOKUP(TRIM(B829),Lookup!$B$2:$B$1000,Lookup!$C$2:$C$1000),"")</f>
        <v>Equity</v>
      </c>
      <c r="D829" s="8" t="str">
        <f>IFERROR(INDEX('nav master'!$C:$C, MATCH(B829, 'nav master'!$B:$B, 0)), "")</f>
        <v>ULIF 158 170425 IndConsump 105</v>
      </c>
      <c r="E829" s="8">
        <v>63.257199999999997</v>
      </c>
      <c r="F829" s="9">
        <v>45999</v>
      </c>
    </row>
    <row r="830" spans="1:6" ht="60" x14ac:dyDescent="0.25">
      <c r="A830" s="8" t="s">
        <v>63</v>
      </c>
      <c r="B830" s="8" t="s">
        <v>14</v>
      </c>
      <c r="C830" s="8" t="str">
        <f>IFERROR(_xlfn.XLOOKUP(TRIM(B830),Lookup!$B$2:$B$1000,Lookup!$C$2:$C$1000),"")</f>
        <v>Equity</v>
      </c>
      <c r="D830" s="8" t="str">
        <f>IFERROR(INDEX('nav master'!$C:$C, MATCH(B830, 'nav master'!$B:$B, 0)), "")</f>
        <v>ULIF 158 170425 IndConsump 105</v>
      </c>
      <c r="E830" s="8">
        <v>63.485399999999998</v>
      </c>
      <c r="F830" s="9">
        <v>46000</v>
      </c>
    </row>
    <row r="831" spans="1:6" ht="60" x14ac:dyDescent="0.25">
      <c r="A831" s="8" t="s">
        <v>63</v>
      </c>
      <c r="B831" s="8" t="s">
        <v>14</v>
      </c>
      <c r="C831" s="8" t="str">
        <f>IFERROR(_xlfn.XLOOKUP(TRIM(B831),Lookup!$B$2:$B$1000,Lookup!$C$2:$C$1000),"")</f>
        <v>Equity</v>
      </c>
      <c r="D831" s="8" t="str">
        <f>IFERROR(INDEX('nav master'!$C:$C, MATCH(B831, 'nav master'!$B:$B, 0)), "")</f>
        <v>ULIF 158 170425 IndConsump 105</v>
      </c>
      <c r="E831" s="8">
        <v>62.8187</v>
      </c>
      <c r="F831" s="9">
        <v>46001</v>
      </c>
    </row>
    <row r="832" spans="1:6" ht="60" x14ac:dyDescent="0.25">
      <c r="A832" s="8" t="s">
        <v>63</v>
      </c>
      <c r="B832" s="8" t="s">
        <v>14</v>
      </c>
      <c r="C832" s="8" t="str">
        <f>IFERROR(_xlfn.XLOOKUP(TRIM(B832),Lookup!$B$2:$B$1000,Lookup!$C$2:$C$1000),"")</f>
        <v>Equity</v>
      </c>
      <c r="D832" s="8" t="str">
        <f>IFERROR(INDEX('nav master'!$C:$C, MATCH(B832, 'nav master'!$B:$B, 0)), "")</f>
        <v>ULIF 158 170425 IndConsump 105</v>
      </c>
      <c r="E832" s="8">
        <v>63.275100000000002</v>
      </c>
      <c r="F832" s="9">
        <v>46002</v>
      </c>
    </row>
    <row r="833" spans="1:6" ht="60" x14ac:dyDescent="0.25">
      <c r="A833" s="8" t="s">
        <v>63</v>
      </c>
      <c r="B833" s="8" t="s">
        <v>14</v>
      </c>
      <c r="C833" s="8" t="str">
        <f>IFERROR(_xlfn.XLOOKUP(TRIM(B833),Lookup!$B$2:$B$1000,Lookup!$C$2:$C$1000),"")</f>
        <v>Equity</v>
      </c>
      <c r="D833" s="8" t="str">
        <f>IFERROR(INDEX('nav master'!$C:$C, MATCH(B833, 'nav master'!$B:$B, 0)), "")</f>
        <v>ULIF 158 170425 IndConsump 105</v>
      </c>
      <c r="E833" s="8">
        <v>63.839700000000001</v>
      </c>
      <c r="F833" s="9">
        <v>46003</v>
      </c>
    </row>
    <row r="834" spans="1:6" ht="60" x14ac:dyDescent="0.25">
      <c r="A834" s="8" t="s">
        <v>63</v>
      </c>
      <c r="B834" s="8" t="s">
        <v>14</v>
      </c>
      <c r="C834" s="8" t="str">
        <f>IFERROR(_xlfn.XLOOKUP(TRIM(B834),Lookup!$B$2:$B$1000,Lookup!$C$2:$C$1000),"")</f>
        <v>Equity</v>
      </c>
      <c r="D834" s="8" t="str">
        <f>IFERROR(INDEX('nav master'!$C:$C, MATCH(B834, 'nav master'!$B:$B, 0)), "")</f>
        <v>ULIF 158 170425 IndConsump 105</v>
      </c>
      <c r="E834" s="8">
        <v>63.801000000000002</v>
      </c>
      <c r="F834" s="9">
        <v>46006</v>
      </c>
    </row>
    <row r="835" spans="1:6" ht="60" x14ac:dyDescent="0.25">
      <c r="A835" s="8" t="s">
        <v>63</v>
      </c>
      <c r="B835" s="8" t="s">
        <v>14</v>
      </c>
      <c r="C835" s="8" t="str">
        <f>IFERROR(_xlfn.XLOOKUP(TRIM(B835),Lookup!$B$2:$B$1000,Lookup!$C$2:$C$1000),"")</f>
        <v>Equity</v>
      </c>
      <c r="D835" s="8" t="str">
        <f>IFERROR(INDEX('nav master'!$C:$C, MATCH(B835, 'nav master'!$B:$B, 0)), "")</f>
        <v>ULIF 158 170425 IndConsump 105</v>
      </c>
      <c r="E835" s="8">
        <v>63.372</v>
      </c>
      <c r="F835" s="9">
        <v>46007</v>
      </c>
    </row>
    <row r="836" spans="1:6" ht="60" x14ac:dyDescent="0.25">
      <c r="A836" s="8" t="s">
        <v>63</v>
      </c>
      <c r="B836" s="8" t="s">
        <v>14</v>
      </c>
      <c r="C836" s="8" t="str">
        <f>IFERROR(_xlfn.XLOOKUP(TRIM(B836),Lookup!$B$2:$B$1000,Lookup!$C$2:$C$1000),"")</f>
        <v>Equity</v>
      </c>
      <c r="D836" s="8" t="str">
        <f>IFERROR(INDEX('nav master'!$C:$C, MATCH(B836, 'nav master'!$B:$B, 0)), "")</f>
        <v>ULIF 158 170425 IndConsump 105</v>
      </c>
      <c r="E836" s="8">
        <v>63.073</v>
      </c>
      <c r="F836" s="9">
        <v>46008</v>
      </c>
    </row>
    <row r="837" spans="1:6" ht="60" x14ac:dyDescent="0.25">
      <c r="A837" s="8" t="s">
        <v>63</v>
      </c>
      <c r="B837" s="8" t="s">
        <v>14</v>
      </c>
      <c r="C837" s="8" t="str">
        <f>IFERROR(_xlfn.XLOOKUP(TRIM(B837),Lookup!$B$2:$B$1000,Lookup!$C$2:$C$1000),"")</f>
        <v>Equity</v>
      </c>
      <c r="D837" s="8" t="str">
        <f>IFERROR(INDEX('nav master'!$C:$C, MATCH(B837, 'nav master'!$B:$B, 0)), "")</f>
        <v>ULIF 158 170425 IndConsump 105</v>
      </c>
      <c r="E837" s="8">
        <v>63.199300000000001</v>
      </c>
      <c r="F837" s="9">
        <v>46009</v>
      </c>
    </row>
    <row r="838" spans="1:6" ht="60" x14ac:dyDescent="0.25">
      <c r="A838" s="8" t="s">
        <v>63</v>
      </c>
      <c r="B838" s="8" t="s">
        <v>14</v>
      </c>
      <c r="C838" s="8" t="str">
        <f>IFERROR(_xlfn.XLOOKUP(TRIM(B838),Lookup!$B$2:$B$1000,Lookup!$C$2:$C$1000),"")</f>
        <v>Equity</v>
      </c>
      <c r="D838" s="8" t="str">
        <f>IFERROR(INDEX('nav master'!$C:$C, MATCH(B838, 'nav master'!$B:$B, 0)), "")</f>
        <v>ULIF 158 170425 IndConsump 105</v>
      </c>
      <c r="E838" s="8">
        <v>63.801900000000003</v>
      </c>
      <c r="F838" s="9">
        <v>46010</v>
      </c>
    </row>
    <row r="839" spans="1:6" ht="60" x14ac:dyDescent="0.25">
      <c r="A839" s="8" t="s">
        <v>63</v>
      </c>
      <c r="B839" s="8" t="s">
        <v>14</v>
      </c>
      <c r="C839" s="8" t="str">
        <f>IFERROR(_xlfn.XLOOKUP(TRIM(B839),Lookup!$B$2:$B$1000,Lookup!$C$2:$C$1000),"")</f>
        <v>Equity</v>
      </c>
      <c r="D839" s="8" t="str">
        <f>IFERROR(INDEX('nav master'!$C:$C, MATCH(B839, 'nav master'!$B:$B, 0)), "")</f>
        <v>ULIF 158 170425 IndConsump 105</v>
      </c>
      <c r="E839" s="8">
        <v>64.300299999999993</v>
      </c>
      <c r="F839" s="9">
        <v>46013</v>
      </c>
    </row>
    <row r="840" spans="1:6" ht="60" x14ac:dyDescent="0.25">
      <c r="A840" s="8" t="s">
        <v>63</v>
      </c>
      <c r="B840" s="8" t="s">
        <v>14</v>
      </c>
      <c r="C840" s="8" t="str">
        <f>IFERROR(_xlfn.XLOOKUP(TRIM(B840),Lookup!$B$2:$B$1000,Lookup!$C$2:$C$1000),"")</f>
        <v>Equity</v>
      </c>
      <c r="D840" s="8" t="str">
        <f>IFERROR(INDEX('nav master'!$C:$C, MATCH(B840, 'nav master'!$B:$B, 0)), "")</f>
        <v>ULIF 158 170425 IndConsump 105</v>
      </c>
      <c r="E840" s="8">
        <v>64.376000000000005</v>
      </c>
      <c r="F840" s="9">
        <v>46014</v>
      </c>
    </row>
    <row r="841" spans="1:6" ht="60" x14ac:dyDescent="0.25">
      <c r="A841" s="8" t="s">
        <v>63</v>
      </c>
      <c r="B841" s="8" t="s">
        <v>14</v>
      </c>
      <c r="C841" s="8" t="str">
        <f>IFERROR(_xlfn.XLOOKUP(TRIM(B841),Lookup!$B$2:$B$1000,Lookup!$C$2:$C$1000),"")</f>
        <v>Equity</v>
      </c>
      <c r="D841" s="8" t="str">
        <f>IFERROR(INDEX('nav master'!$C:$C, MATCH(B841, 'nav master'!$B:$B, 0)), "")</f>
        <v>ULIF 158 170425 IndConsump 105</v>
      </c>
      <c r="E841" s="8">
        <v>64.229799999999997</v>
      </c>
      <c r="F841" s="9">
        <v>46015</v>
      </c>
    </row>
    <row r="842" spans="1:6" ht="60" x14ac:dyDescent="0.25">
      <c r="A842" s="8" t="s">
        <v>63</v>
      </c>
      <c r="B842" s="8" t="s">
        <v>14</v>
      </c>
      <c r="C842" s="8" t="str">
        <f>IFERROR(_xlfn.XLOOKUP(TRIM(B842),Lookup!$B$2:$B$1000,Lookup!$C$2:$C$1000),"")</f>
        <v>Equity</v>
      </c>
      <c r="D842" s="8" t="str">
        <f>IFERROR(INDEX('nav master'!$C:$C, MATCH(B842, 'nav master'!$B:$B, 0)), "")</f>
        <v>ULIF 158 170425 IndConsump 105</v>
      </c>
      <c r="E842" s="8">
        <v>64.031000000000006</v>
      </c>
      <c r="F842" s="9">
        <v>46017</v>
      </c>
    </row>
    <row r="843" spans="1:6" ht="60" x14ac:dyDescent="0.25">
      <c r="A843" s="8" t="s">
        <v>63</v>
      </c>
      <c r="B843" s="8" t="s">
        <v>14</v>
      </c>
      <c r="C843" s="8" t="str">
        <f>IFERROR(_xlfn.XLOOKUP(TRIM(B843),Lookup!$B$2:$B$1000,Lookup!$C$2:$C$1000),"")</f>
        <v>Equity</v>
      </c>
      <c r="D843" s="8" t="str">
        <f>IFERROR(INDEX('nav master'!$C:$C, MATCH(B843, 'nav master'!$B:$B, 0)), "")</f>
        <v>ULIF 158 170425 IndConsump 105</v>
      </c>
      <c r="E843" s="8">
        <v>63.693300000000001</v>
      </c>
      <c r="F843" s="9">
        <v>46020</v>
      </c>
    </row>
    <row r="844" spans="1:6" ht="60" x14ac:dyDescent="0.25">
      <c r="A844" s="8" t="s">
        <v>63</v>
      </c>
      <c r="B844" s="8" t="s">
        <v>14</v>
      </c>
      <c r="C844" s="8" t="str">
        <f>IFERROR(_xlfn.XLOOKUP(TRIM(B844),Lookup!$B$2:$B$1000,Lookup!$C$2:$C$1000),"")</f>
        <v>Equity</v>
      </c>
      <c r="D844" s="8" t="str">
        <f>IFERROR(INDEX('nav master'!$C:$C, MATCH(B844, 'nav master'!$B:$B, 0)), "")</f>
        <v>ULIF 158 170425 IndConsump 105</v>
      </c>
      <c r="E844" s="8">
        <v>63.629800000000003</v>
      </c>
      <c r="F844" s="9">
        <v>46021</v>
      </c>
    </row>
    <row r="845" spans="1:6" ht="60" x14ac:dyDescent="0.25">
      <c r="A845" s="8" t="s">
        <v>63</v>
      </c>
      <c r="B845" s="8" t="s">
        <v>14</v>
      </c>
      <c r="C845" s="8" t="str">
        <f>IFERROR(_xlfn.XLOOKUP(TRIM(B845),Lookup!$B$2:$B$1000,Lookup!$C$2:$C$1000),"")</f>
        <v>Equity</v>
      </c>
      <c r="D845" s="8" t="str">
        <f>IFERROR(INDEX('nav master'!$C:$C, MATCH(B845, 'nav master'!$B:$B, 0)), "")</f>
        <v>ULIF 158 170425 IndConsump 105</v>
      </c>
      <c r="E845" s="8">
        <v>64.324700000000007</v>
      </c>
      <c r="F845" s="9">
        <v>46022</v>
      </c>
    </row>
    <row r="846" spans="1:6" ht="60" x14ac:dyDescent="0.25">
      <c r="A846" s="8" t="s">
        <v>63</v>
      </c>
      <c r="B846" s="8" t="s">
        <v>14</v>
      </c>
      <c r="C846" s="8" t="str">
        <f>IFERROR(_xlfn.XLOOKUP(TRIM(B846),Lookup!$B$2:$B$1000,Lookup!$C$2:$C$1000),"")</f>
        <v>Equity</v>
      </c>
      <c r="D846" s="8" t="str">
        <f>IFERROR(INDEX('nav master'!$C:$C, MATCH(B846, 'nav master'!$B:$B, 0)), "")</f>
        <v>ULIF 158 170425 IndConsump 105</v>
      </c>
      <c r="E846" s="8">
        <v>64.353999999999999</v>
      </c>
      <c r="F846" s="9">
        <v>46023</v>
      </c>
    </row>
    <row r="847" spans="1:6" ht="60" x14ac:dyDescent="0.25">
      <c r="A847" s="8" t="s">
        <v>63</v>
      </c>
      <c r="B847" s="8" t="s">
        <v>14</v>
      </c>
      <c r="C847" s="8" t="str">
        <f>IFERROR(_xlfn.XLOOKUP(TRIM(B847),Lookup!$B$2:$B$1000,Lookup!$C$2:$C$1000),"")</f>
        <v>Equity</v>
      </c>
      <c r="D847" s="8" t="str">
        <f>IFERROR(INDEX('nav master'!$C:$C, MATCH(B847, 'nav master'!$B:$B, 0)), "")</f>
        <v>ULIF 158 170425 IndConsump 105</v>
      </c>
      <c r="E847" s="8">
        <v>64.719300000000004</v>
      </c>
      <c r="F847" s="9">
        <v>46024</v>
      </c>
    </row>
    <row r="848" spans="1:6" ht="60" x14ac:dyDescent="0.25">
      <c r="A848" s="8" t="s">
        <v>63</v>
      </c>
      <c r="B848" s="8" t="s">
        <v>14</v>
      </c>
      <c r="C848" s="8" t="str">
        <f>IFERROR(_xlfn.XLOOKUP(TRIM(B848),Lookup!$B$2:$B$1000,Lookup!$C$2:$C$1000),"")</f>
        <v>Equity</v>
      </c>
      <c r="D848" s="8" t="str">
        <f>IFERROR(INDEX('nav master'!$C:$C, MATCH(B848, 'nav master'!$B:$B, 0)), "")</f>
        <v>ULIF 158 170425 IndConsump 105</v>
      </c>
      <c r="E848" s="8">
        <v>64.831999999999994</v>
      </c>
      <c r="F848" s="9">
        <v>46027</v>
      </c>
    </row>
    <row r="849" spans="1:6" ht="60" x14ac:dyDescent="0.25">
      <c r="A849" s="8" t="s">
        <v>63</v>
      </c>
      <c r="B849" s="8" t="s">
        <v>14</v>
      </c>
      <c r="C849" s="8" t="str">
        <f>IFERROR(_xlfn.XLOOKUP(TRIM(B849),Lookup!$B$2:$B$1000,Lookup!$C$2:$C$1000),"")</f>
        <v>Equity</v>
      </c>
      <c r="D849" s="8" t="str">
        <f>IFERROR(INDEX('nav master'!$C:$C, MATCH(B849, 'nav master'!$B:$B, 0)), "")</f>
        <v>ULIF 158 170425 IndConsump 105</v>
      </c>
      <c r="E849" s="8">
        <v>64.636799999999994</v>
      </c>
      <c r="F849" s="9">
        <v>46028</v>
      </c>
    </row>
    <row r="850" spans="1:6" ht="60" x14ac:dyDescent="0.25">
      <c r="A850" s="8" t="s">
        <v>63</v>
      </c>
      <c r="B850" s="8" t="s">
        <v>14</v>
      </c>
      <c r="C850" s="8" t="str">
        <f>IFERROR(_xlfn.XLOOKUP(TRIM(B850),Lookup!$B$2:$B$1000,Lookup!$C$2:$C$1000),"")</f>
        <v>Equity</v>
      </c>
      <c r="D850" s="8" t="str">
        <f>IFERROR(INDEX('nav master'!$C:$C, MATCH(B850, 'nav master'!$B:$B, 0)), "")</f>
        <v>ULIF 158 170425 IndConsump 105</v>
      </c>
      <c r="E850" s="8">
        <v>64.683999999999997</v>
      </c>
      <c r="F850" s="9">
        <v>46029</v>
      </c>
    </row>
    <row r="851" spans="1:6" ht="60" x14ac:dyDescent="0.25">
      <c r="A851" s="8" t="s">
        <v>63</v>
      </c>
      <c r="B851" s="8" t="s">
        <v>14</v>
      </c>
      <c r="C851" s="8" t="str">
        <f>IFERROR(_xlfn.XLOOKUP(TRIM(B851),Lookup!$B$2:$B$1000,Lookup!$C$2:$C$1000),"")</f>
        <v>Equity</v>
      </c>
      <c r="D851" s="8" t="str">
        <f>IFERROR(INDEX('nav master'!$C:$C, MATCH(B851, 'nav master'!$B:$B, 0)), "")</f>
        <v>ULIF 158 170425 IndConsump 105</v>
      </c>
      <c r="E851" s="8">
        <v>63.736499999999999</v>
      </c>
      <c r="F851" s="9">
        <v>46030</v>
      </c>
    </row>
    <row r="852" spans="1:6" ht="60" x14ac:dyDescent="0.25">
      <c r="A852" s="8" t="s">
        <v>63</v>
      </c>
      <c r="B852" s="8" t="s">
        <v>14</v>
      </c>
      <c r="C852" s="8" t="str">
        <f>IFERROR(_xlfn.XLOOKUP(TRIM(B852),Lookup!$B$2:$B$1000,Lookup!$C$2:$C$1000),"")</f>
        <v>Equity</v>
      </c>
      <c r="D852" s="8" t="str">
        <f>IFERROR(INDEX('nav master'!$C:$C, MATCH(B852, 'nav master'!$B:$B, 0)), "")</f>
        <v>ULIF 158 170425 IndConsump 105</v>
      </c>
      <c r="E852" s="8">
        <v>63.082599999999999</v>
      </c>
      <c r="F852" s="9">
        <v>46031</v>
      </c>
    </row>
    <row r="853" spans="1:6" ht="60" x14ac:dyDescent="0.25">
      <c r="A853" s="8" t="s">
        <v>63</v>
      </c>
      <c r="B853" s="8" t="s">
        <v>14</v>
      </c>
      <c r="C853" s="8" t="str">
        <f>IFERROR(_xlfn.XLOOKUP(TRIM(B853),Lookup!$B$2:$B$1000,Lookup!$C$2:$C$1000),"")</f>
        <v>Equity</v>
      </c>
      <c r="D853" s="8" t="str">
        <f>IFERROR(INDEX('nav master'!$C:$C, MATCH(B853, 'nav master'!$B:$B, 0)), "")</f>
        <v>ULIF 158 170425 IndConsump 105</v>
      </c>
      <c r="E853" s="8">
        <v>63.090499999999999</v>
      </c>
      <c r="F853" s="9">
        <v>46034</v>
      </c>
    </row>
    <row r="854" spans="1:6" ht="60" x14ac:dyDescent="0.25">
      <c r="A854" s="8" t="s">
        <v>63</v>
      </c>
      <c r="B854" s="8" t="s">
        <v>14</v>
      </c>
      <c r="C854" s="8" t="str">
        <f>IFERROR(_xlfn.XLOOKUP(TRIM(B854),Lookup!$B$2:$B$1000,Lookup!$C$2:$C$1000),"")</f>
        <v>Equity</v>
      </c>
      <c r="D854" s="8" t="str">
        <f>IFERROR(INDEX('nav master'!$C:$C, MATCH(B854, 'nav master'!$B:$B, 0)), "")</f>
        <v>ULIF 158 170425 IndConsump 105</v>
      </c>
      <c r="E854" s="8">
        <v>63.153599999999997</v>
      </c>
      <c r="F854" s="9">
        <v>46035</v>
      </c>
    </row>
    <row r="855" spans="1:6" ht="60" x14ac:dyDescent="0.25">
      <c r="A855" s="8" t="s">
        <v>63</v>
      </c>
      <c r="B855" s="8" t="s">
        <v>14</v>
      </c>
      <c r="C855" s="8" t="str">
        <f>IFERROR(_xlfn.XLOOKUP(TRIM(B855),Lookup!$B$2:$B$1000,Lookup!$C$2:$C$1000),"")</f>
        <v>Equity</v>
      </c>
      <c r="D855" s="8" t="str">
        <f>IFERROR(INDEX('nav master'!$C:$C, MATCH(B855, 'nav master'!$B:$B, 0)), "")</f>
        <v>ULIF 158 170425 IndConsump 105</v>
      </c>
      <c r="E855" s="8">
        <v>63.265500000000003</v>
      </c>
      <c r="F855" s="9">
        <v>46036</v>
      </c>
    </row>
    <row r="856" spans="1:6" ht="60" x14ac:dyDescent="0.25">
      <c r="A856" s="8" t="s">
        <v>63</v>
      </c>
      <c r="B856" s="8" t="s">
        <v>14</v>
      </c>
      <c r="C856" s="8" t="str">
        <f>IFERROR(_xlfn.XLOOKUP(TRIM(B856),Lookup!$B$2:$B$1000,Lookup!$C$2:$C$1000),"")</f>
        <v>Equity</v>
      </c>
      <c r="D856" s="8" t="str">
        <f>IFERROR(INDEX('nav master'!$C:$C, MATCH(B856, 'nav master'!$B:$B, 0)), "")</f>
        <v>ULIF 158 170425 IndConsump 105</v>
      </c>
      <c r="E856" s="8">
        <v>63.0625</v>
      </c>
      <c r="F856" s="9">
        <v>46038</v>
      </c>
    </row>
    <row r="857" spans="1:6" ht="60" x14ac:dyDescent="0.25">
      <c r="A857" s="8" t="s">
        <v>63</v>
      </c>
      <c r="B857" s="8" t="s">
        <v>14</v>
      </c>
      <c r="C857" s="8" t="str">
        <f>IFERROR(_xlfn.XLOOKUP(TRIM(B857),Lookup!$B$2:$B$1000,Lookup!$C$2:$C$1000),"")</f>
        <v>Equity</v>
      </c>
      <c r="D857" s="8" t="str">
        <f>IFERROR(INDEX('nav master'!$C:$C, MATCH(B857, 'nav master'!$B:$B, 0)), "")</f>
        <v>ULIF 158 170425 IndConsump 105</v>
      </c>
      <c r="E857" s="8">
        <v>62.795499999999997</v>
      </c>
      <c r="F857" s="9">
        <v>46041</v>
      </c>
    </row>
    <row r="858" spans="1:6" ht="60" x14ac:dyDescent="0.25">
      <c r="A858" s="8" t="s">
        <v>63</v>
      </c>
      <c r="B858" s="8" t="s">
        <v>14</v>
      </c>
      <c r="C858" s="8" t="str">
        <f>IFERROR(_xlfn.XLOOKUP(TRIM(B858),Lookup!$B$2:$B$1000,Lookup!$C$2:$C$1000),"")</f>
        <v>Equity</v>
      </c>
      <c r="D858" s="8" t="str">
        <f>IFERROR(INDEX('nav master'!$C:$C, MATCH(B858, 'nav master'!$B:$B, 0)), "")</f>
        <v>ULIF 158 170425 IndConsump 105</v>
      </c>
      <c r="E858" s="8">
        <v>61.5139</v>
      </c>
      <c r="F858" s="9">
        <v>46042</v>
      </c>
    </row>
    <row r="859" spans="1:6" ht="60" x14ac:dyDescent="0.25">
      <c r="A859" s="8" t="s">
        <v>63</v>
      </c>
      <c r="B859" s="8" t="s">
        <v>14</v>
      </c>
      <c r="C859" s="8" t="str">
        <f>IFERROR(_xlfn.XLOOKUP(TRIM(B859),Lookup!$B$2:$B$1000,Lookup!$C$2:$C$1000),"")</f>
        <v>Equity</v>
      </c>
      <c r="D859" s="8" t="str">
        <f>IFERROR(INDEX('nav master'!$C:$C, MATCH(B859, 'nav master'!$B:$B, 0)), "")</f>
        <v>ULIF 158 170425 IndConsump 105</v>
      </c>
      <c r="E859" s="8">
        <v>61.144100000000002</v>
      </c>
      <c r="F859" s="9">
        <v>46043</v>
      </c>
    </row>
    <row r="860" spans="1:6" ht="60" x14ac:dyDescent="0.25">
      <c r="A860" s="8" t="s">
        <v>63</v>
      </c>
      <c r="B860" s="8" t="s">
        <v>14</v>
      </c>
      <c r="C860" s="8" t="str">
        <f>IFERROR(_xlfn.XLOOKUP(TRIM(B860),Lookup!$B$2:$B$1000,Lookup!$C$2:$C$1000),"")</f>
        <v>Equity</v>
      </c>
      <c r="D860" s="8" t="str">
        <f>IFERROR(INDEX('nav master'!$C:$C, MATCH(B860, 'nav master'!$B:$B, 0)), "")</f>
        <v>ULIF 158 170425 IndConsump 105</v>
      </c>
      <c r="E860" s="8">
        <v>61.4163</v>
      </c>
      <c r="F860" s="9">
        <v>46044</v>
      </c>
    </row>
    <row r="861" spans="1:6" ht="60" x14ac:dyDescent="0.25">
      <c r="A861" s="8" t="s">
        <v>63</v>
      </c>
      <c r="B861" s="8" t="s">
        <v>14</v>
      </c>
      <c r="C861" s="8" t="str">
        <f>IFERROR(_xlfn.XLOOKUP(TRIM(B861),Lookup!$B$2:$B$1000,Lookup!$C$2:$C$1000),"")</f>
        <v>Equity</v>
      </c>
      <c r="D861" s="8" t="str">
        <f>IFERROR(INDEX('nav master'!$C:$C, MATCH(B861, 'nav master'!$B:$B, 0)), "")</f>
        <v>ULIF 158 170425 IndConsump 105</v>
      </c>
      <c r="E861" s="8">
        <v>60.414499999999997</v>
      </c>
      <c r="F861" s="9">
        <v>46045</v>
      </c>
    </row>
    <row r="862" spans="1:6" ht="60" x14ac:dyDescent="0.25">
      <c r="A862" s="8" t="s">
        <v>63</v>
      </c>
      <c r="B862" s="8" t="s">
        <v>14</v>
      </c>
      <c r="C862" s="8" t="str">
        <f>IFERROR(_xlfn.XLOOKUP(TRIM(B862),Lookup!$B$2:$B$1000,Lookup!$C$2:$C$1000),"")</f>
        <v>Equity</v>
      </c>
      <c r="D862" s="8" t="str">
        <f>IFERROR(INDEX('nav master'!$C:$C, MATCH(B862, 'nav master'!$B:$B, 0)), "")</f>
        <v>ULIF 158 170425 IndConsump 105</v>
      </c>
      <c r="E862" s="8">
        <v>60.693100000000001</v>
      </c>
      <c r="F862" s="9">
        <v>46049</v>
      </c>
    </row>
    <row r="863" spans="1:6" ht="60" x14ac:dyDescent="0.25">
      <c r="A863" s="8" t="s">
        <v>63</v>
      </c>
      <c r="B863" s="8" t="s">
        <v>14</v>
      </c>
      <c r="C863" s="8" t="str">
        <f>IFERROR(_xlfn.XLOOKUP(TRIM(B863),Lookup!$B$2:$B$1000,Lookup!$C$2:$C$1000),"")</f>
        <v>Equity</v>
      </c>
      <c r="D863" s="8" t="str">
        <f>IFERROR(INDEX('nav master'!$C:$C, MATCH(B863, 'nav master'!$B:$B, 0)), "")</f>
        <v>ULIF 158 170425 IndConsump 105</v>
      </c>
      <c r="E863" s="8">
        <v>61.630699999999997</v>
      </c>
      <c r="F863" s="9">
        <v>46050</v>
      </c>
    </row>
    <row r="864" spans="1:6" ht="60" x14ac:dyDescent="0.25">
      <c r="A864" s="8" t="s">
        <v>63</v>
      </c>
      <c r="B864" s="8" t="s">
        <v>14</v>
      </c>
      <c r="C864" s="8" t="str">
        <f>IFERROR(_xlfn.XLOOKUP(TRIM(B864),Lookup!$B$2:$B$1000,Lookup!$C$2:$C$1000),"")</f>
        <v>Equity</v>
      </c>
      <c r="D864" s="8" t="str">
        <f>IFERROR(INDEX('nav master'!$C:$C, MATCH(B864, 'nav master'!$B:$B, 0)), "")</f>
        <v>ULIF 158 170425 IndConsump 105</v>
      </c>
      <c r="E864" s="8">
        <v>61.641199999999998</v>
      </c>
      <c r="F864" s="9">
        <v>46051</v>
      </c>
    </row>
    <row r="865" spans="1:6" ht="60" x14ac:dyDescent="0.25">
      <c r="A865" s="8" t="s">
        <v>63</v>
      </c>
      <c r="B865" s="8" t="s">
        <v>14</v>
      </c>
      <c r="C865" s="8" t="str">
        <f>IFERROR(_xlfn.XLOOKUP(TRIM(B865),Lookup!$B$2:$B$1000,Lookup!$C$2:$C$1000),"")</f>
        <v>Equity</v>
      </c>
      <c r="D865" s="8" t="str">
        <f>IFERROR(INDEX('nav master'!$C:$C, MATCH(B865, 'nav master'!$B:$B, 0)), "")</f>
        <v>ULIF 158 170425 IndConsump 105</v>
      </c>
      <c r="E865" s="8">
        <v>61.579000000000001</v>
      </c>
      <c r="F865" s="9">
        <v>46052</v>
      </c>
    </row>
    <row r="866" spans="1:6" ht="60" x14ac:dyDescent="0.25">
      <c r="A866" s="8" t="s">
        <v>63</v>
      </c>
      <c r="B866" s="8" t="s">
        <v>14</v>
      </c>
      <c r="C866" s="8" t="str">
        <f>IFERROR(_xlfn.XLOOKUP(TRIM(B866),Lookup!$B$2:$B$1000,Lookup!$C$2:$C$1000),"")</f>
        <v>Equity</v>
      </c>
      <c r="D866" s="8" t="str">
        <f>IFERROR(INDEX('nav master'!$C:$C, MATCH(B866, 'nav master'!$B:$B, 0)), "")</f>
        <v>ULIF 158 170425 IndConsump 105</v>
      </c>
      <c r="E866" s="8">
        <v>60.317</v>
      </c>
      <c r="F866" s="9">
        <v>46054</v>
      </c>
    </row>
    <row r="867" spans="1:6" ht="60" x14ac:dyDescent="0.25">
      <c r="A867" s="8" t="s">
        <v>63</v>
      </c>
      <c r="B867" s="8" t="s">
        <v>14</v>
      </c>
      <c r="C867" s="8" t="str">
        <f>IFERROR(_xlfn.XLOOKUP(TRIM(B867),Lookup!$B$2:$B$1000,Lookup!$C$2:$C$1000),"")</f>
        <v>Equity</v>
      </c>
      <c r="D867" s="8" t="str">
        <f>IFERROR(INDEX('nav master'!$C:$C, MATCH(B867, 'nav master'!$B:$B, 0)), "")</f>
        <v>ULIF 158 170425 IndConsump 105</v>
      </c>
      <c r="E867" s="8">
        <v>60.855600000000003</v>
      </c>
      <c r="F867" s="9">
        <v>46055</v>
      </c>
    </row>
    <row r="868" spans="1:6" ht="60" x14ac:dyDescent="0.25">
      <c r="A868" s="8" t="s">
        <v>63</v>
      </c>
      <c r="B868" s="8" t="s">
        <v>14</v>
      </c>
      <c r="C868" s="8" t="str">
        <f>IFERROR(_xlfn.XLOOKUP(TRIM(B868),Lookup!$B$2:$B$1000,Lookup!$C$2:$C$1000),"")</f>
        <v>Equity</v>
      </c>
      <c r="D868" s="8" t="str">
        <f>IFERROR(INDEX('nav master'!$C:$C, MATCH(B868, 'nav master'!$B:$B, 0)), "")</f>
        <v>ULIF 158 170425 IndConsump 105</v>
      </c>
      <c r="E868" s="8">
        <v>62.402000000000001</v>
      </c>
      <c r="F868" s="9">
        <v>46056</v>
      </c>
    </row>
    <row r="869" spans="1:6" ht="60" x14ac:dyDescent="0.25">
      <c r="A869" s="8" t="s">
        <v>63</v>
      </c>
      <c r="B869" s="8" t="s">
        <v>14</v>
      </c>
      <c r="C869" s="8" t="str">
        <f>IFERROR(_xlfn.XLOOKUP(TRIM(B869),Lookup!$B$2:$B$1000,Lookup!$C$2:$C$1000),"")</f>
        <v>Equity</v>
      </c>
      <c r="D869" s="8" t="str">
        <f>IFERROR(INDEX('nav master'!$C:$C, MATCH(B869, 'nav master'!$B:$B, 0)), "")</f>
        <v>ULIF 158 170425 IndConsump 105</v>
      </c>
      <c r="E869" s="8">
        <v>62.979399999999998</v>
      </c>
      <c r="F869" s="9">
        <v>46057</v>
      </c>
    </row>
    <row r="870" spans="1:6" ht="60" x14ac:dyDescent="0.25">
      <c r="A870" s="8" t="s">
        <v>63</v>
      </c>
      <c r="B870" s="8" t="s">
        <v>14</v>
      </c>
      <c r="C870" s="8" t="str">
        <f>IFERROR(_xlfn.XLOOKUP(TRIM(B870),Lookup!$B$2:$B$1000,Lookup!$C$2:$C$1000),"")</f>
        <v>Equity</v>
      </c>
      <c r="D870" s="8" t="str">
        <f>IFERROR(INDEX('nav master'!$C:$C, MATCH(B870, 'nav master'!$B:$B, 0)), "")</f>
        <v>ULIF 158 170425 IndConsump 105</v>
      </c>
      <c r="E870" s="8">
        <v>62.481699999999996</v>
      </c>
      <c r="F870" s="9">
        <v>46058</v>
      </c>
    </row>
    <row r="871" spans="1:6" ht="60" x14ac:dyDescent="0.25">
      <c r="A871" s="8" t="s">
        <v>63</v>
      </c>
      <c r="B871" s="8" t="s">
        <v>14</v>
      </c>
      <c r="C871" s="8" t="str">
        <f>IFERROR(_xlfn.XLOOKUP(TRIM(B871),Lookup!$B$2:$B$1000,Lookup!$C$2:$C$1000),"")</f>
        <v>Equity</v>
      </c>
      <c r="D871" s="8" t="str">
        <f>IFERROR(INDEX('nav master'!$C:$C, MATCH(B871, 'nav master'!$B:$B, 0)), "")</f>
        <v>ULIF 158 170425 IndConsump 105</v>
      </c>
      <c r="E871" s="8">
        <v>62.46</v>
      </c>
      <c r="F871" s="9">
        <v>46059</v>
      </c>
    </row>
    <row r="872" spans="1:6" ht="60" x14ac:dyDescent="0.25">
      <c r="A872" s="8" t="s">
        <v>63</v>
      </c>
      <c r="B872" s="8" t="s">
        <v>14</v>
      </c>
      <c r="C872" s="8" t="str">
        <f>IFERROR(_xlfn.XLOOKUP(TRIM(B872),Lookup!$B$2:$B$1000,Lookup!$C$2:$C$1000),"")</f>
        <v>Equity</v>
      </c>
      <c r="D872" s="8" t="str">
        <f>IFERROR(INDEX('nav master'!$C:$C, MATCH(B872, 'nav master'!$B:$B, 0)), "")</f>
        <v>ULIF 158 170425 IndConsump 105</v>
      </c>
      <c r="E872" s="8">
        <v>63.457099999999997</v>
      </c>
      <c r="F872" s="9">
        <v>46062</v>
      </c>
    </row>
    <row r="873" spans="1:6" ht="60" x14ac:dyDescent="0.25">
      <c r="A873" s="8" t="s">
        <v>63</v>
      </c>
      <c r="B873" s="8" t="s">
        <v>14</v>
      </c>
      <c r="C873" s="8" t="str">
        <f>IFERROR(_xlfn.XLOOKUP(TRIM(B873),Lookup!$B$2:$B$1000,Lookup!$C$2:$C$1000),"")</f>
        <v>Equity</v>
      </c>
      <c r="D873" s="8" t="str">
        <f>IFERROR(INDEX('nav master'!$C:$C, MATCH(B873, 'nav master'!$B:$B, 0)), "")</f>
        <v>ULIF 158 170425 IndConsump 105</v>
      </c>
      <c r="E873" s="8">
        <v>64.0548</v>
      </c>
      <c r="F873" s="9">
        <v>46063</v>
      </c>
    </row>
    <row r="874" spans="1:6" ht="60" x14ac:dyDescent="0.25">
      <c r="A874" s="8" t="s">
        <v>63</v>
      </c>
      <c r="B874" s="8" t="s">
        <v>14</v>
      </c>
      <c r="C874" s="8" t="str">
        <f>IFERROR(_xlfn.XLOOKUP(TRIM(B874),Lookup!$B$2:$B$1000,Lookup!$C$2:$C$1000),"")</f>
        <v>Equity</v>
      </c>
      <c r="D874" s="8" t="str">
        <f>IFERROR(INDEX('nav master'!$C:$C, MATCH(B874, 'nav master'!$B:$B, 0)), "")</f>
        <v>ULIF 158 170425 IndConsump 105</v>
      </c>
      <c r="E874" s="8">
        <v>64.075999999999993</v>
      </c>
      <c r="F874" s="9">
        <v>46064</v>
      </c>
    </row>
    <row r="875" spans="1:6" ht="60" x14ac:dyDescent="0.25">
      <c r="A875" s="8" t="s">
        <v>63</v>
      </c>
      <c r="B875" s="8" t="s">
        <v>14</v>
      </c>
      <c r="C875" s="8" t="str">
        <f>IFERROR(_xlfn.XLOOKUP(TRIM(B875),Lookup!$B$2:$B$1000,Lookup!$C$2:$C$1000),"")</f>
        <v>Equity</v>
      </c>
      <c r="D875" s="8" t="str">
        <f>IFERROR(INDEX('nav master'!$C:$C, MATCH(B875, 'nav master'!$B:$B, 0)), "")</f>
        <v>ULIF 158 170425 IndConsump 105</v>
      </c>
      <c r="E875" s="8">
        <v>63.93</v>
      </c>
      <c r="F875" s="9">
        <v>46065</v>
      </c>
    </row>
    <row r="876" spans="1:6" ht="60" x14ac:dyDescent="0.25">
      <c r="A876" s="8" t="s">
        <v>63</v>
      </c>
      <c r="B876" s="8" t="s">
        <v>14</v>
      </c>
      <c r="C876" s="8" t="str">
        <f>IFERROR(_xlfn.XLOOKUP(TRIM(B876),Lookup!$B$2:$B$1000,Lookup!$C$2:$C$1000),"")</f>
        <v>Equity</v>
      </c>
      <c r="D876" s="8" t="str">
        <f>IFERROR(INDEX('nav master'!$C:$C, MATCH(B876, 'nav master'!$B:$B, 0)), "")</f>
        <v>ULIF 158 170425 IndConsump 105</v>
      </c>
      <c r="E876" s="8">
        <v>62.904800000000002</v>
      </c>
      <c r="F876" s="9">
        <v>46066</v>
      </c>
    </row>
    <row r="877" spans="1:6" ht="60" x14ac:dyDescent="0.25">
      <c r="A877" s="8" t="s">
        <v>63</v>
      </c>
      <c r="B877" s="8" t="s">
        <v>14</v>
      </c>
      <c r="C877" s="8" t="str">
        <f>IFERROR(_xlfn.XLOOKUP(TRIM(B877),Lookup!$B$2:$B$1000,Lookup!$C$2:$C$1000),"")</f>
        <v>Equity</v>
      </c>
      <c r="D877" s="8" t="str">
        <f>IFERROR(INDEX('nav master'!$C:$C, MATCH(B877, 'nav master'!$B:$B, 0)), "")</f>
        <v>ULIF 158 170425 IndConsump 105</v>
      </c>
      <c r="E877" s="8">
        <v>63.031799999999997</v>
      </c>
      <c r="F877" s="9">
        <v>46069</v>
      </c>
    </row>
    <row r="878" spans="1:6" ht="60" x14ac:dyDescent="0.25">
      <c r="A878" s="8" t="s">
        <v>63</v>
      </c>
      <c r="B878" s="8" t="s">
        <v>14</v>
      </c>
      <c r="C878" s="8" t="str">
        <f>IFERROR(_xlfn.XLOOKUP(TRIM(B878),Lookup!$B$2:$B$1000,Lookup!$C$2:$C$1000),"")</f>
        <v>Equity</v>
      </c>
      <c r="D878" s="8" t="str">
        <f>IFERROR(INDEX('nav master'!$C:$C, MATCH(B878, 'nav master'!$B:$B, 0)), "")</f>
        <v>ULIF 158 170425 IndConsump 105</v>
      </c>
      <c r="E878" s="8">
        <v>63.076500000000003</v>
      </c>
      <c r="F878" s="9">
        <v>46070</v>
      </c>
    </row>
    <row r="879" spans="1:6" ht="60" x14ac:dyDescent="0.25">
      <c r="A879" s="8" t="s">
        <v>63</v>
      </c>
      <c r="B879" s="8" t="s">
        <v>14</v>
      </c>
      <c r="C879" s="8" t="str">
        <f>IFERROR(_xlfn.XLOOKUP(TRIM(B879),Lookup!$B$2:$B$1000,Lookup!$C$2:$C$1000),"")</f>
        <v>Equity</v>
      </c>
      <c r="D879" s="8" t="str">
        <f>IFERROR(INDEX('nav master'!$C:$C, MATCH(B879, 'nav master'!$B:$B, 0)), "")</f>
        <v>ULIF 158 170425 IndConsump 105</v>
      </c>
      <c r="E879" s="8">
        <v>63.433100000000003</v>
      </c>
      <c r="F879" s="9">
        <v>46071</v>
      </c>
    </row>
    <row r="880" spans="1:6" ht="60" x14ac:dyDescent="0.25">
      <c r="A880" s="8" t="s">
        <v>63</v>
      </c>
      <c r="B880" s="8" t="s">
        <v>14</v>
      </c>
      <c r="C880" s="8" t="str">
        <f>IFERROR(_xlfn.XLOOKUP(TRIM(B880),Lookup!$B$2:$B$1000,Lookup!$C$2:$C$1000),"")</f>
        <v>Equity</v>
      </c>
      <c r="D880" s="8" t="str">
        <f>IFERROR(INDEX('nav master'!$C:$C, MATCH(B880, 'nav master'!$B:$B, 0)), "")</f>
        <v>ULIF 158 170425 IndConsump 105</v>
      </c>
      <c r="E880" s="8">
        <v>62.412199999999999</v>
      </c>
      <c r="F880" s="9">
        <v>46072</v>
      </c>
    </row>
    <row r="881" spans="1:6" ht="60" x14ac:dyDescent="0.25">
      <c r="A881" s="8" t="s">
        <v>63</v>
      </c>
      <c r="B881" s="8" t="s">
        <v>14</v>
      </c>
      <c r="C881" s="8" t="str">
        <f>IFERROR(_xlfn.XLOOKUP(TRIM(B881),Lookup!$B$2:$B$1000,Lookup!$C$2:$C$1000),"")</f>
        <v>Equity</v>
      </c>
      <c r="D881" s="8" t="str">
        <f>IFERROR(INDEX('nav master'!$C:$C, MATCH(B881, 'nav master'!$B:$B, 0)), "")</f>
        <v>ULIF 158 170425 IndConsump 105</v>
      </c>
      <c r="E881" s="8">
        <v>62.543100000000003</v>
      </c>
      <c r="F881" s="9">
        <v>46073</v>
      </c>
    </row>
    <row r="882" spans="1:6" ht="60" x14ac:dyDescent="0.25">
      <c r="A882" s="8" t="s">
        <v>63</v>
      </c>
      <c r="B882" s="8" t="s">
        <v>14</v>
      </c>
      <c r="C882" s="8" t="str">
        <f>IFERROR(_xlfn.XLOOKUP(TRIM(B882),Lookup!$B$2:$B$1000,Lookup!$C$2:$C$1000),"")</f>
        <v>Equity</v>
      </c>
      <c r="D882" s="8" t="str">
        <f>IFERROR(INDEX('nav master'!$C:$C, MATCH(B882, 'nav master'!$B:$B, 0)), "")</f>
        <v>ULIF 158 170425 IndConsump 105</v>
      </c>
      <c r="E882" s="8">
        <v>62.845700000000001</v>
      </c>
      <c r="F882" s="9">
        <v>46076</v>
      </c>
    </row>
    <row r="883" spans="1:6" ht="60" x14ac:dyDescent="0.25">
      <c r="A883" s="8" t="s">
        <v>63</v>
      </c>
      <c r="B883" s="8" t="s">
        <v>14</v>
      </c>
      <c r="C883" s="8" t="str">
        <f>IFERROR(_xlfn.XLOOKUP(TRIM(B883),Lookup!$B$2:$B$1000,Lookup!$C$2:$C$1000),"")</f>
        <v>Equity</v>
      </c>
      <c r="D883" s="8" t="str">
        <f>IFERROR(INDEX('nav master'!$C:$C, MATCH(B883, 'nav master'!$B:$B, 0)), "")</f>
        <v>ULIF 158 170425 IndConsump 105</v>
      </c>
      <c r="E883" s="8">
        <v>62.423299999999998</v>
      </c>
      <c r="F883" s="9">
        <v>46077</v>
      </c>
    </row>
    <row r="884" spans="1:6" ht="60" x14ac:dyDescent="0.25">
      <c r="A884" s="8" t="s">
        <v>63</v>
      </c>
      <c r="B884" s="8" t="s">
        <v>14</v>
      </c>
      <c r="C884" s="8" t="str">
        <f>IFERROR(_xlfn.XLOOKUP(TRIM(B884),Lookup!$B$2:$B$1000,Lookup!$C$2:$C$1000),"")</f>
        <v>Equity</v>
      </c>
      <c r="D884" s="8" t="str">
        <f>IFERROR(INDEX('nav master'!$C:$C, MATCH(B884, 'nav master'!$B:$B, 0)), "")</f>
        <v>ULIF 158 170425 IndConsump 105</v>
      </c>
      <c r="E884" s="8">
        <v>62.6907</v>
      </c>
      <c r="F884" s="9">
        <v>46078</v>
      </c>
    </row>
    <row r="885" spans="1:6" ht="60" x14ac:dyDescent="0.25">
      <c r="A885" s="8" t="s">
        <v>63</v>
      </c>
      <c r="B885" s="8" t="s">
        <v>14</v>
      </c>
      <c r="C885" s="8" t="str">
        <f>IFERROR(_xlfn.XLOOKUP(TRIM(B885),Lookup!$B$2:$B$1000,Lookup!$C$2:$C$1000),"")</f>
        <v>Equity</v>
      </c>
      <c r="D885" s="8" t="str">
        <f>IFERROR(INDEX('nav master'!$C:$C, MATCH(B885, 'nav master'!$B:$B, 0)), "")</f>
        <v>ULIF 158 170425 IndConsump 105</v>
      </c>
      <c r="E885" s="8">
        <v>62.771700000000003</v>
      </c>
      <c r="F885" s="9">
        <v>46079</v>
      </c>
    </row>
    <row r="886" spans="1:6" ht="60" x14ac:dyDescent="0.25">
      <c r="A886" s="8" t="s">
        <v>63</v>
      </c>
      <c r="B886" s="8" t="s">
        <v>14</v>
      </c>
      <c r="C886" s="8" t="str">
        <f>IFERROR(_xlfn.XLOOKUP(TRIM(B886),Lookup!$B$2:$B$1000,Lookup!$C$2:$C$1000),"")</f>
        <v>Equity</v>
      </c>
      <c r="D886" s="8" t="str">
        <f>IFERROR(INDEX('nav master'!$C:$C, MATCH(B886, 'nav master'!$B:$B, 0)), "")</f>
        <v>ULIF 158 170425 IndConsump 105</v>
      </c>
      <c r="E886" s="8">
        <v>61.954500000000003</v>
      </c>
      <c r="F886" s="9">
        <v>46080</v>
      </c>
    </row>
    <row r="887" spans="1:6" ht="60" x14ac:dyDescent="0.25">
      <c r="A887" s="8" t="s">
        <v>63</v>
      </c>
      <c r="B887" s="8" t="s">
        <v>14</v>
      </c>
      <c r="C887" s="8" t="str">
        <f>IFERROR(_xlfn.XLOOKUP(TRIM(B887),Lookup!$B$2:$B$1000,Lookup!$C$2:$C$1000),"")</f>
        <v>Equity</v>
      </c>
      <c r="D887" s="8" t="str">
        <f>IFERROR(INDEX('nav master'!$C:$C, MATCH(B887, 'nav master'!$B:$B, 0)), "")</f>
        <v>ULIF 158 170425 IndConsump 105</v>
      </c>
      <c r="E887" s="8">
        <v>60.915399999999998</v>
      </c>
      <c r="F887" s="9">
        <v>46083</v>
      </c>
    </row>
    <row r="888" spans="1:6" ht="60" x14ac:dyDescent="0.25">
      <c r="A888" s="8" t="s">
        <v>63</v>
      </c>
      <c r="B888" s="8" t="s">
        <v>14</v>
      </c>
      <c r="C888" s="8" t="str">
        <f>IFERROR(_xlfn.XLOOKUP(TRIM(B888),Lookup!$B$2:$B$1000,Lookup!$C$2:$C$1000),"")</f>
        <v>Equity</v>
      </c>
      <c r="D888" s="8" t="str">
        <f>IFERROR(INDEX('nav master'!$C:$C, MATCH(B888, 'nav master'!$B:$B, 0)), "")</f>
        <v>ULIF 158 170425 IndConsump 105</v>
      </c>
      <c r="E888" s="8">
        <v>59.841799999999999</v>
      </c>
      <c r="F888" s="9">
        <v>46085</v>
      </c>
    </row>
    <row r="889" spans="1:6" ht="60" x14ac:dyDescent="0.25">
      <c r="A889" s="8" t="s">
        <v>63</v>
      </c>
      <c r="B889" s="8" t="s">
        <v>14</v>
      </c>
      <c r="C889" s="8" t="str">
        <f>IFERROR(_xlfn.XLOOKUP(TRIM(B889),Lookup!$B$2:$B$1000,Lookup!$C$2:$C$1000),"")</f>
        <v>Equity</v>
      </c>
      <c r="D889" s="8" t="str">
        <f>IFERROR(INDEX('nav master'!$C:$C, MATCH(B889, 'nav master'!$B:$B, 0)), "")</f>
        <v>ULIF 158 170425 IndConsump 105</v>
      </c>
      <c r="E889" s="8">
        <v>60.634099999999997</v>
      </c>
      <c r="F889" s="9">
        <v>46086</v>
      </c>
    </row>
    <row r="890" spans="1:6" ht="60" x14ac:dyDescent="0.25">
      <c r="A890" s="8" t="s">
        <v>63</v>
      </c>
      <c r="B890" s="8" t="s">
        <v>14</v>
      </c>
      <c r="C890" s="8" t="str">
        <f>IFERROR(_xlfn.XLOOKUP(TRIM(B890),Lookup!$B$2:$B$1000,Lookup!$C$2:$C$1000),"")</f>
        <v>Equity</v>
      </c>
      <c r="D890" s="8" t="str">
        <f>IFERROR(INDEX('nav master'!$C:$C, MATCH(B890, 'nav master'!$B:$B, 0)), "")</f>
        <v>ULIF 158 170425 IndConsump 105</v>
      </c>
      <c r="E890" s="8">
        <v>60.213500000000003</v>
      </c>
      <c r="F890" s="9">
        <v>46087</v>
      </c>
    </row>
    <row r="891" spans="1:6" ht="60" x14ac:dyDescent="0.25">
      <c r="A891" s="8" t="s">
        <v>63</v>
      </c>
      <c r="B891" s="8" t="s">
        <v>14</v>
      </c>
      <c r="C891" s="8" t="str">
        <f>IFERROR(_xlfn.XLOOKUP(TRIM(B891),Lookup!$B$2:$B$1000,Lookup!$C$2:$C$1000),"")</f>
        <v>Equity</v>
      </c>
      <c r="D891" s="8" t="str">
        <f>IFERROR(INDEX('nav master'!$C:$C, MATCH(B891, 'nav master'!$B:$B, 0)), "")</f>
        <v>ULIF 158 170425 IndConsump 105</v>
      </c>
      <c r="E891" s="8">
        <v>59.274099999999997</v>
      </c>
      <c r="F891" s="9">
        <v>46090</v>
      </c>
    </row>
    <row r="892" spans="1:6" ht="60" x14ac:dyDescent="0.25">
      <c r="A892" s="8" t="s">
        <v>63</v>
      </c>
      <c r="B892" s="8" t="s">
        <v>14</v>
      </c>
      <c r="C892" s="8" t="str">
        <f>IFERROR(_xlfn.XLOOKUP(TRIM(B892),Lookup!$B$2:$B$1000,Lookup!$C$2:$C$1000),"")</f>
        <v>Equity</v>
      </c>
      <c r="D892" s="8" t="str">
        <f>IFERROR(INDEX('nav master'!$C:$C, MATCH(B892, 'nav master'!$B:$B, 0)), "")</f>
        <v>ULIF 158 170425 IndConsump 105</v>
      </c>
      <c r="E892" s="8">
        <v>60.2333</v>
      </c>
      <c r="F892" s="9">
        <v>46091</v>
      </c>
    </row>
    <row r="893" spans="1:6" ht="60" x14ac:dyDescent="0.25">
      <c r="A893" s="8" t="s">
        <v>63</v>
      </c>
      <c r="B893" s="8" t="s">
        <v>14</v>
      </c>
      <c r="C893" s="8" t="str">
        <f>IFERROR(_xlfn.XLOOKUP(TRIM(B893),Lookup!$B$2:$B$1000,Lookup!$C$2:$C$1000),"")</f>
        <v>Equity</v>
      </c>
      <c r="D893" s="8" t="str">
        <f>IFERROR(INDEX('nav master'!$C:$C, MATCH(B893, 'nav master'!$B:$B, 0)), "")</f>
        <v>ULIF 158 170425 IndConsump 105</v>
      </c>
      <c r="E893" s="8">
        <v>59.423499999999997</v>
      </c>
      <c r="F893" s="9">
        <v>46092</v>
      </c>
    </row>
    <row r="894" spans="1:6" ht="60" x14ac:dyDescent="0.25">
      <c r="A894" s="8" t="s">
        <v>63</v>
      </c>
      <c r="B894" s="8" t="s">
        <v>14</v>
      </c>
      <c r="C894" s="8" t="str">
        <f>IFERROR(_xlfn.XLOOKUP(TRIM(B894),Lookup!$B$2:$B$1000,Lookup!$C$2:$C$1000),"")</f>
        <v>Equity</v>
      </c>
      <c r="D894" s="8" t="str">
        <f>IFERROR(INDEX('nav master'!$C:$C, MATCH(B894, 'nav master'!$B:$B, 0)), "")</f>
        <v>ULIF 158 170425 IndConsump 105</v>
      </c>
      <c r="E894" s="8">
        <v>58.943399999999997</v>
      </c>
      <c r="F894" s="9">
        <v>46093</v>
      </c>
    </row>
    <row r="895" spans="1:6" ht="60" x14ac:dyDescent="0.25">
      <c r="A895" s="8" t="s">
        <v>63</v>
      </c>
      <c r="B895" s="8" t="s">
        <v>14</v>
      </c>
      <c r="C895" s="8" t="str">
        <f>IFERROR(_xlfn.XLOOKUP(TRIM(B895),Lookup!$B$2:$B$1000,Lookup!$C$2:$C$1000),"")</f>
        <v>Equity</v>
      </c>
      <c r="D895" s="8" t="str">
        <f>IFERROR(INDEX('nav master'!$C:$C, MATCH(B895, 'nav master'!$B:$B, 0)), "")</f>
        <v>ULIF 158 170425 IndConsump 105</v>
      </c>
      <c r="E895" s="8">
        <v>57.715000000000003</v>
      </c>
      <c r="F895" s="9">
        <v>46094</v>
      </c>
    </row>
    <row r="896" spans="1:6" ht="60" x14ac:dyDescent="0.25">
      <c r="A896" s="8" t="s">
        <v>63</v>
      </c>
      <c r="B896" s="8" t="s">
        <v>14</v>
      </c>
      <c r="C896" s="8" t="str">
        <f>IFERROR(_xlfn.XLOOKUP(TRIM(B896),Lookup!$B$2:$B$1000,Lookup!$C$2:$C$1000),"")</f>
        <v>Equity</v>
      </c>
      <c r="D896" s="8" t="str">
        <f>IFERROR(INDEX('nav master'!$C:$C, MATCH(B896, 'nav master'!$B:$B, 0)), "")</f>
        <v>ULIF 158 170425 IndConsump 105</v>
      </c>
      <c r="E896" s="8">
        <v>58.056199999999997</v>
      </c>
      <c r="F896" s="9">
        <v>46097</v>
      </c>
    </row>
    <row r="897" spans="1:6" ht="60" x14ac:dyDescent="0.25">
      <c r="A897" s="8" t="s">
        <v>63</v>
      </c>
      <c r="B897" s="8" t="s">
        <v>14</v>
      </c>
      <c r="C897" s="8" t="str">
        <f>IFERROR(_xlfn.XLOOKUP(TRIM(B897),Lookup!$B$2:$B$1000,Lookup!$C$2:$C$1000),"")</f>
        <v>Equity</v>
      </c>
      <c r="D897" s="8" t="str">
        <f>IFERROR(INDEX('nav master'!$C:$C, MATCH(B897, 'nav master'!$B:$B, 0)), "")</f>
        <v>ULIF 158 170425 IndConsump 105</v>
      </c>
      <c r="E897" s="8">
        <v>58.829799999999999</v>
      </c>
      <c r="F897" s="9">
        <v>46098</v>
      </c>
    </row>
    <row r="898" spans="1:6" ht="60" x14ac:dyDescent="0.25">
      <c r="A898" s="8" t="s">
        <v>63</v>
      </c>
      <c r="B898" s="8" t="s">
        <v>14</v>
      </c>
      <c r="C898" s="8" t="str">
        <f>IFERROR(_xlfn.XLOOKUP(TRIM(B898),Lookup!$B$2:$B$1000,Lookup!$C$2:$C$1000),"")</f>
        <v>Equity</v>
      </c>
      <c r="D898" s="8" t="str">
        <f>IFERROR(INDEX('nav master'!$C:$C, MATCH(B898, 'nav master'!$B:$B, 0)), "")</f>
        <v>ULIF 158 170425 IndConsump 105</v>
      </c>
      <c r="E898" s="8">
        <v>59.5745</v>
      </c>
      <c r="F898" s="9">
        <v>46099</v>
      </c>
    </row>
    <row r="899" spans="1:6" ht="60" x14ac:dyDescent="0.25">
      <c r="A899" s="8" t="s">
        <v>63</v>
      </c>
      <c r="B899" s="8" t="s">
        <v>14</v>
      </c>
      <c r="C899" s="8" t="str">
        <f>IFERROR(_xlfn.XLOOKUP(TRIM(B899),Lookup!$B$2:$B$1000,Lookup!$C$2:$C$1000),"")</f>
        <v>Equity</v>
      </c>
      <c r="D899" s="8" t="str">
        <f>IFERROR(INDEX('nav master'!$C:$C, MATCH(B899, 'nav master'!$B:$B, 0)), "")</f>
        <v>ULIF 158 170425 IndConsump 105</v>
      </c>
      <c r="E899" s="8">
        <v>57.710099999999997</v>
      </c>
      <c r="F899" s="9">
        <v>46100</v>
      </c>
    </row>
    <row r="900" spans="1:6" ht="60" x14ac:dyDescent="0.25">
      <c r="A900" s="8" t="s">
        <v>63</v>
      </c>
      <c r="B900" s="8" t="s">
        <v>14</v>
      </c>
      <c r="C900" s="8" t="str">
        <f>IFERROR(_xlfn.XLOOKUP(TRIM(B900),Lookup!$B$2:$B$1000,Lookup!$C$2:$C$1000),"")</f>
        <v>Equity</v>
      </c>
      <c r="D900" s="8" t="str">
        <f>IFERROR(INDEX('nav master'!$C:$C, MATCH(B900, 'nav master'!$B:$B, 0)), "")</f>
        <v>ULIF 158 170425 IndConsump 105</v>
      </c>
      <c r="E900" s="8">
        <v>57.808</v>
      </c>
      <c r="F900" s="9">
        <v>46101</v>
      </c>
    </row>
    <row r="901" spans="1:6" ht="60" x14ac:dyDescent="0.25">
      <c r="A901" s="8" t="s">
        <v>63</v>
      </c>
      <c r="B901" s="8" t="s">
        <v>14</v>
      </c>
      <c r="C901" s="8" t="str">
        <f>IFERROR(_xlfn.XLOOKUP(TRIM(B901),Lookup!$B$2:$B$1000,Lookup!$C$2:$C$1000),"")</f>
        <v>Equity</v>
      </c>
      <c r="D901" s="8" t="str">
        <f>IFERROR(INDEX('nav master'!$C:$C, MATCH(B901, 'nav master'!$B:$B, 0)), "")</f>
        <v>ULIF 158 170425 IndConsump 105</v>
      </c>
      <c r="E901" s="8">
        <v>55.956499999999998</v>
      </c>
      <c r="F901" s="9">
        <v>46104</v>
      </c>
    </row>
    <row r="902" spans="1:6" ht="60" x14ac:dyDescent="0.25">
      <c r="A902" s="8" t="s">
        <v>63</v>
      </c>
      <c r="B902" s="8" t="s">
        <v>14</v>
      </c>
      <c r="C902" s="8" t="str">
        <f>IFERROR(_xlfn.XLOOKUP(TRIM(B902),Lookup!$B$2:$B$1000,Lookup!$C$2:$C$1000),"")</f>
        <v>Equity</v>
      </c>
      <c r="D902" s="8" t="str">
        <f>IFERROR(INDEX('nav master'!$C:$C, MATCH(B902, 'nav master'!$B:$B, 0)), "")</f>
        <v>ULIF 158 170425 IndConsump 105</v>
      </c>
      <c r="E902" s="8">
        <v>57.195399999999999</v>
      </c>
      <c r="F902" s="9">
        <v>46105</v>
      </c>
    </row>
    <row r="903" spans="1:6" ht="60" x14ac:dyDescent="0.25">
      <c r="A903" s="8" t="s">
        <v>63</v>
      </c>
      <c r="B903" s="8" t="s">
        <v>14</v>
      </c>
      <c r="C903" s="8" t="str">
        <f>IFERROR(_xlfn.XLOOKUP(TRIM(B903),Lookup!$B$2:$B$1000,Lookup!$C$2:$C$1000),"")</f>
        <v>Equity</v>
      </c>
      <c r="D903" s="8" t="str">
        <f>IFERROR(INDEX('nav master'!$C:$C, MATCH(B903, 'nav master'!$B:$B, 0)), "")</f>
        <v>ULIF 158 170425 IndConsump 105</v>
      </c>
      <c r="E903" s="8">
        <v>58.3827</v>
      </c>
      <c r="F903" s="9">
        <v>46106</v>
      </c>
    </row>
    <row r="904" spans="1:6" ht="60" x14ac:dyDescent="0.25">
      <c r="A904" s="8" t="s">
        <v>63</v>
      </c>
      <c r="B904" s="8" t="s">
        <v>14</v>
      </c>
      <c r="C904" s="8" t="str">
        <f>IFERROR(_xlfn.XLOOKUP(TRIM(B904),Lookup!$B$2:$B$1000,Lookup!$C$2:$C$1000),"")</f>
        <v>Equity</v>
      </c>
      <c r="D904" s="8" t="str">
        <f>IFERROR(INDEX('nav master'!$C:$C, MATCH(B904, 'nav master'!$B:$B, 0)), "")</f>
        <v>ULIF 158 170425 IndConsump 105</v>
      </c>
      <c r="E904" s="8">
        <v>57.159100000000002</v>
      </c>
      <c r="F904" s="9">
        <v>46108</v>
      </c>
    </row>
    <row r="905" spans="1:6" ht="60" x14ac:dyDescent="0.25">
      <c r="A905" s="8" t="s">
        <v>63</v>
      </c>
      <c r="B905" s="8" t="s">
        <v>14</v>
      </c>
      <c r="C905" s="8" t="str">
        <f>IFERROR(_xlfn.XLOOKUP(TRIM(B905),Lookup!$B$2:$B$1000,Lookup!$C$2:$C$1000),"")</f>
        <v>Equity</v>
      </c>
      <c r="D905" s="8" t="str">
        <f>IFERROR(INDEX('nav master'!$C:$C, MATCH(B905, 'nav master'!$B:$B, 0)), "")</f>
        <v>ULIF 158 170425 IndConsump 105</v>
      </c>
      <c r="E905" s="8">
        <v>56.028799999999997</v>
      </c>
      <c r="F905" s="9">
        <v>46111</v>
      </c>
    </row>
    <row r="906" spans="1:6" ht="60" x14ac:dyDescent="0.25">
      <c r="A906" s="8" t="s">
        <v>63</v>
      </c>
      <c r="B906" s="8" t="s">
        <v>14</v>
      </c>
      <c r="C906" s="8" t="str">
        <f>IFERROR(_xlfn.XLOOKUP(TRIM(B906),Lookup!$B$2:$B$1000,Lookup!$C$2:$C$1000),"")</f>
        <v>Equity</v>
      </c>
      <c r="D906" s="8" t="str">
        <f>IFERROR(INDEX('nav master'!$C:$C, MATCH(B906, 'nav master'!$B:$B, 0)), "")</f>
        <v>ULIF 158 170425 IndConsump 105</v>
      </c>
      <c r="E906" s="8">
        <v>56.027500000000003</v>
      </c>
      <c r="F906" s="9">
        <v>46112</v>
      </c>
    </row>
    <row r="907" spans="1:6" ht="60" x14ac:dyDescent="0.25">
      <c r="A907" s="8" t="s">
        <v>63</v>
      </c>
      <c r="B907" s="8" t="s">
        <v>14</v>
      </c>
      <c r="C907" s="8" t="str">
        <f>IFERROR(_xlfn.XLOOKUP(TRIM(B907),Lookup!$B$2:$B$1000,Lookup!$C$2:$C$1000),"")</f>
        <v>Equity</v>
      </c>
      <c r="D907" s="8" t="str">
        <f>IFERROR(INDEX('nav master'!$C:$C, MATCH(B907, 'nav master'!$B:$B, 0)), "")</f>
        <v>ULIF 158 170425 IndConsump 105</v>
      </c>
      <c r="E907" s="8">
        <v>57.1995</v>
      </c>
      <c r="F907" s="9">
        <v>46113</v>
      </c>
    </row>
    <row r="908" spans="1:6" ht="60" x14ac:dyDescent="0.25">
      <c r="A908" s="8" t="s">
        <v>63</v>
      </c>
      <c r="B908" s="8" t="s">
        <v>14</v>
      </c>
      <c r="C908" s="8" t="str">
        <f>IFERROR(_xlfn.XLOOKUP(TRIM(B908),Lookup!$B$2:$B$1000,Lookup!$C$2:$C$1000),"")</f>
        <v>Equity</v>
      </c>
      <c r="D908" s="8" t="str">
        <f>IFERROR(INDEX('nav master'!$C:$C, MATCH(B908, 'nav master'!$B:$B, 0)), "")</f>
        <v>ULIF 158 170425 IndConsump 105</v>
      </c>
      <c r="E908" s="8">
        <v>57.035600000000002</v>
      </c>
      <c r="F908" s="9">
        <v>46114</v>
      </c>
    </row>
    <row r="909" spans="1:6" ht="60" x14ac:dyDescent="0.25">
      <c r="A909" s="8" t="s">
        <v>63</v>
      </c>
      <c r="B909" s="8" t="s">
        <v>14</v>
      </c>
      <c r="C909" s="8" t="str">
        <f>IFERROR(_xlfn.XLOOKUP(TRIM(B909),Lookup!$B$2:$B$1000,Lookup!$C$2:$C$1000),"")</f>
        <v>Equity</v>
      </c>
      <c r="D909" s="8" t="str">
        <f>IFERROR(INDEX('nav master'!$C:$C, MATCH(B909, 'nav master'!$B:$B, 0)), "")</f>
        <v>ULIF 158 170425 IndConsump 105</v>
      </c>
      <c r="E909" s="8">
        <v>57.793700000000001</v>
      </c>
      <c r="F909" s="9">
        <v>46118</v>
      </c>
    </row>
    <row r="910" spans="1:6" ht="60" x14ac:dyDescent="0.25">
      <c r="A910" s="8" t="s">
        <v>63</v>
      </c>
      <c r="B910" s="8" t="s">
        <v>14</v>
      </c>
      <c r="C910" s="8" t="str">
        <f>IFERROR(_xlfn.XLOOKUP(TRIM(B910),Lookup!$B$2:$B$1000,Lookup!$C$2:$C$1000),"")</f>
        <v>Equity</v>
      </c>
      <c r="D910" s="8" t="str">
        <f>IFERROR(INDEX('nav master'!$C:$C, MATCH(B910, 'nav master'!$B:$B, 0)), "")</f>
        <v>ULIF 158 170425 IndConsump 105</v>
      </c>
      <c r="E910" s="8">
        <v>57.882800000000003</v>
      </c>
      <c r="F910" s="9">
        <v>46119</v>
      </c>
    </row>
    <row r="911" spans="1:6" ht="60" x14ac:dyDescent="0.25">
      <c r="A911" s="8" t="s">
        <v>63</v>
      </c>
      <c r="B911" s="8" t="s">
        <v>14</v>
      </c>
      <c r="C911" s="8" t="str">
        <f>IFERROR(_xlfn.XLOOKUP(TRIM(B911),Lookup!$B$2:$B$1000,Lookup!$C$2:$C$1000),"")</f>
        <v>Equity</v>
      </c>
      <c r="D911" s="8" t="str">
        <f>IFERROR(INDEX('nav master'!$C:$C, MATCH(B911, 'nav master'!$B:$B, 0)), "")</f>
        <v>ULIF 158 170425 IndConsump 105</v>
      </c>
      <c r="E911" s="8">
        <v>60.225200000000001</v>
      </c>
      <c r="F911" s="9">
        <v>46120</v>
      </c>
    </row>
    <row r="912" spans="1:6" ht="60" x14ac:dyDescent="0.25">
      <c r="A912" s="8" t="s">
        <v>63</v>
      </c>
      <c r="B912" s="8" t="s">
        <v>14</v>
      </c>
      <c r="C912" s="8" t="str">
        <f>IFERROR(_xlfn.XLOOKUP(TRIM(B912),Lookup!$B$2:$B$1000,Lookup!$C$2:$C$1000),"")</f>
        <v>Equity</v>
      </c>
      <c r="D912" s="8" t="str">
        <f>IFERROR(INDEX('nav master'!$C:$C, MATCH(B912, 'nav master'!$B:$B, 0)), "")</f>
        <v>ULIF 158 170425 IndConsump 105</v>
      </c>
      <c r="E912" s="8">
        <v>60.020200000000003</v>
      </c>
      <c r="F912" s="9">
        <v>46121</v>
      </c>
    </row>
    <row r="913" spans="1:6" ht="60" x14ac:dyDescent="0.25">
      <c r="A913" s="8" t="s">
        <v>63</v>
      </c>
      <c r="B913" s="8" t="s">
        <v>14</v>
      </c>
      <c r="C913" s="8" t="str">
        <f>IFERROR(_xlfn.XLOOKUP(TRIM(B913),Lookup!$B$2:$B$1000,Lookup!$C$2:$C$1000),"")</f>
        <v>Equity</v>
      </c>
      <c r="D913" s="8" t="str">
        <f>IFERROR(INDEX('nav master'!$C:$C, MATCH(B913, 'nav master'!$B:$B, 0)), "")</f>
        <v>ULIF 158 170425 IndConsump 105</v>
      </c>
      <c r="E913" s="8">
        <v>61.001600000000003</v>
      </c>
      <c r="F913" s="9">
        <v>46122</v>
      </c>
    </row>
    <row r="914" spans="1:6" ht="60" x14ac:dyDescent="0.25">
      <c r="A914" s="8" t="s">
        <v>63</v>
      </c>
      <c r="B914" s="8" t="s">
        <v>14</v>
      </c>
      <c r="C914" s="8" t="str">
        <f>IFERROR(_xlfn.XLOOKUP(TRIM(B914),Lookup!$B$2:$B$1000,Lookup!$C$2:$C$1000),"")</f>
        <v>Equity</v>
      </c>
      <c r="D914" s="8" t="str">
        <f>IFERROR(INDEX('nav master'!$C:$C, MATCH(B914, 'nav master'!$B:$B, 0)), "")</f>
        <v>ULIF 158 170425 IndConsump 105</v>
      </c>
      <c r="E914" s="8">
        <v>60.623199999999997</v>
      </c>
      <c r="F914" s="9">
        <v>46125</v>
      </c>
    </row>
    <row r="915" spans="1:6" ht="60" x14ac:dyDescent="0.25">
      <c r="A915" s="8" t="s">
        <v>63</v>
      </c>
      <c r="B915" s="8" t="s">
        <v>14</v>
      </c>
      <c r="C915" s="8" t="str">
        <f>IFERROR(_xlfn.XLOOKUP(TRIM(B915),Lookup!$B$2:$B$1000,Lookup!$C$2:$C$1000),"")</f>
        <v>Equity</v>
      </c>
      <c r="D915" s="8" t="str">
        <f>IFERROR(INDEX('nav master'!$C:$C, MATCH(B915, 'nav master'!$B:$B, 0)), "")</f>
        <v>ULIF 158 170425 IndConsump 105</v>
      </c>
      <c r="E915" s="8">
        <v>61.685200000000002</v>
      </c>
      <c r="F915" s="9">
        <v>46127</v>
      </c>
    </row>
    <row r="916" spans="1:6" ht="60" x14ac:dyDescent="0.25">
      <c r="A916" s="8" t="s">
        <v>63</v>
      </c>
      <c r="B916" s="8" t="s">
        <v>14</v>
      </c>
      <c r="C916" s="8" t="str">
        <f>IFERROR(_xlfn.XLOOKUP(TRIM(B916),Lookup!$B$2:$B$1000,Lookup!$C$2:$C$1000),"")</f>
        <v>Equity</v>
      </c>
      <c r="D916" s="8" t="str">
        <f>IFERROR(INDEX('nav master'!$C:$C, MATCH(B916, 'nav master'!$B:$B, 0)), "")</f>
        <v>ULIF 158 170425 IndConsump 105</v>
      </c>
      <c r="E916" s="8">
        <v>61.911799999999999</v>
      </c>
      <c r="F916" s="9">
        <v>46128</v>
      </c>
    </row>
    <row r="917" spans="1:6" ht="60" x14ac:dyDescent="0.25">
      <c r="A917" s="8" t="s">
        <v>63</v>
      </c>
      <c r="B917" s="8" t="s">
        <v>14</v>
      </c>
      <c r="C917" s="8" t="str">
        <f>IFERROR(_xlfn.XLOOKUP(TRIM(B917),Lookup!$B$2:$B$1000,Lookup!$C$2:$C$1000),"")</f>
        <v>Equity</v>
      </c>
      <c r="D917" s="8" t="str">
        <f>IFERROR(INDEX('nav master'!$C:$C, MATCH(B917, 'nav master'!$B:$B, 0)), "")</f>
        <v>ULIF 158 170425 IndConsump 105</v>
      </c>
      <c r="E917" s="8">
        <v>62.447600000000001</v>
      </c>
      <c r="F917" s="9">
        <v>46129</v>
      </c>
    </row>
    <row r="918" spans="1:6" ht="60" x14ac:dyDescent="0.25">
      <c r="A918" s="8" t="s">
        <v>63</v>
      </c>
      <c r="B918" s="8" t="s">
        <v>14</v>
      </c>
      <c r="C918" s="8" t="str">
        <f>IFERROR(_xlfn.XLOOKUP(TRIM(B918),Lookup!$B$2:$B$1000,Lookup!$C$2:$C$1000),"")</f>
        <v>Equity</v>
      </c>
      <c r="D918" s="8" t="str">
        <f>IFERROR(INDEX('nav master'!$C:$C, MATCH(B918, 'nav master'!$B:$B, 0)), "")</f>
        <v>ULIF 158 170425 IndConsump 105</v>
      </c>
      <c r="E918" s="8">
        <v>62.464799999999997</v>
      </c>
      <c r="F918" s="9">
        <v>46132</v>
      </c>
    </row>
    <row r="919" spans="1:6" ht="60" x14ac:dyDescent="0.25">
      <c r="A919" s="8" t="s">
        <v>63</v>
      </c>
      <c r="B919" s="8" t="s">
        <v>14</v>
      </c>
      <c r="C919" s="8" t="str">
        <f>IFERROR(_xlfn.XLOOKUP(TRIM(B919),Lookup!$B$2:$B$1000,Lookup!$C$2:$C$1000),"")</f>
        <v>Equity</v>
      </c>
      <c r="D919" s="8" t="str">
        <f>IFERROR(INDEX('nav master'!$C:$C, MATCH(B919, 'nav master'!$B:$B, 0)), "")</f>
        <v>ULIF 158 170425 IndConsump 105</v>
      </c>
      <c r="E919" s="8">
        <v>62.801099999999998</v>
      </c>
      <c r="F919" s="9">
        <v>46133</v>
      </c>
    </row>
    <row r="920" spans="1:6" ht="60" x14ac:dyDescent="0.25">
      <c r="A920" s="8" t="s">
        <v>63</v>
      </c>
      <c r="B920" s="8" t="s">
        <v>14</v>
      </c>
      <c r="C920" s="8" t="str">
        <f>IFERROR(_xlfn.XLOOKUP(TRIM(B920),Lookup!$B$2:$B$1000,Lookup!$C$2:$C$1000),"")</f>
        <v>Equity</v>
      </c>
      <c r="D920" s="8" t="str">
        <f>IFERROR(INDEX('nav master'!$C:$C, MATCH(B920, 'nav master'!$B:$B, 0)), "")</f>
        <v>ULIF 158 170425 IndConsump 105</v>
      </c>
      <c r="E920" s="8">
        <v>62.7761</v>
      </c>
      <c r="F920" s="9">
        <v>46134</v>
      </c>
    </row>
    <row r="921" spans="1:6" ht="60" x14ac:dyDescent="0.25">
      <c r="A921" s="8" t="s">
        <v>63</v>
      </c>
      <c r="B921" s="8" t="s">
        <v>14</v>
      </c>
      <c r="C921" s="8" t="str">
        <f>IFERROR(_xlfn.XLOOKUP(TRIM(B921),Lookup!$B$2:$B$1000,Lookup!$C$2:$C$1000),"")</f>
        <v>Equity</v>
      </c>
      <c r="D921" s="8" t="str">
        <f>IFERROR(INDEX('nav master'!$C:$C, MATCH(B921, 'nav master'!$B:$B, 0)), "")</f>
        <v>ULIF 158 170425 IndConsump 105</v>
      </c>
      <c r="E921" s="8">
        <v>62.117199999999997</v>
      </c>
      <c r="F921" s="9">
        <v>46135</v>
      </c>
    </row>
    <row r="922" spans="1:6" ht="60" x14ac:dyDescent="0.25">
      <c r="A922" s="8" t="s">
        <v>63</v>
      </c>
      <c r="B922" s="8" t="s">
        <v>14</v>
      </c>
      <c r="C922" s="8" t="str">
        <f>IFERROR(_xlfn.XLOOKUP(TRIM(B922),Lookup!$B$2:$B$1000,Lookup!$C$2:$C$1000),"")</f>
        <v>Equity</v>
      </c>
      <c r="D922" s="8" t="str">
        <f>IFERROR(INDEX('nav master'!$C:$C, MATCH(B922, 'nav master'!$B:$B, 0)), "")</f>
        <v>ULIF 158 170425 IndConsump 105</v>
      </c>
      <c r="E922" s="8">
        <v>61.633200000000002</v>
      </c>
      <c r="F922" s="9">
        <v>46136</v>
      </c>
    </row>
    <row r="923" spans="1:6" ht="60" x14ac:dyDescent="0.25">
      <c r="A923" s="8" t="s">
        <v>63</v>
      </c>
      <c r="B923" s="8" t="s">
        <v>14</v>
      </c>
      <c r="C923" s="8" t="str">
        <f>IFERROR(_xlfn.XLOOKUP(TRIM(B923),Lookup!$B$2:$B$1000,Lookup!$C$2:$C$1000),"")</f>
        <v>Equity</v>
      </c>
      <c r="D923" s="8" t="str">
        <f>IFERROR(INDEX('nav master'!$C:$C, MATCH(B923, 'nav master'!$B:$B, 0)), "")</f>
        <v>ULIF 158 170425 IndConsump 105</v>
      </c>
      <c r="E923" s="8">
        <v>62.538699999999999</v>
      </c>
      <c r="F923" s="9">
        <v>46139</v>
      </c>
    </row>
    <row r="924" spans="1:6" ht="60" x14ac:dyDescent="0.25">
      <c r="A924" s="8" t="s">
        <v>63</v>
      </c>
      <c r="B924" s="8" t="s">
        <v>14</v>
      </c>
      <c r="C924" s="8" t="str">
        <f>IFERROR(_xlfn.XLOOKUP(TRIM(B924),Lookup!$B$2:$B$1000,Lookup!$C$2:$C$1000),"")</f>
        <v>Equity</v>
      </c>
      <c r="D924" s="8" t="str">
        <f>IFERROR(INDEX('nav master'!$C:$C, MATCH(B924, 'nav master'!$B:$B, 0)), "")</f>
        <v>ULIF 158 170425 IndConsump 105</v>
      </c>
      <c r="E924" s="8">
        <v>62.380200000000002</v>
      </c>
      <c r="F924" s="9">
        <v>46140</v>
      </c>
    </row>
    <row r="925" spans="1:6" ht="60" x14ac:dyDescent="0.25">
      <c r="A925" s="8" t="s">
        <v>63</v>
      </c>
      <c r="B925" s="8" t="s">
        <v>14</v>
      </c>
      <c r="C925" s="8" t="str">
        <f>IFERROR(_xlfn.XLOOKUP(TRIM(B925),Lookup!$B$2:$B$1000,Lookup!$C$2:$C$1000),"")</f>
        <v>Equity</v>
      </c>
      <c r="D925" s="8" t="str">
        <f>IFERROR(INDEX('nav master'!$C:$C, MATCH(B925, 'nav master'!$B:$B, 0)), "")</f>
        <v>ULIF 158 170425 IndConsump 105</v>
      </c>
      <c r="E925" s="8">
        <v>62.706600000000002</v>
      </c>
      <c r="F925" s="9">
        <v>46141</v>
      </c>
    </row>
    <row r="926" spans="1:6" ht="60" x14ac:dyDescent="0.25">
      <c r="A926" s="8" t="s">
        <v>63</v>
      </c>
      <c r="B926" s="8" t="s">
        <v>14</v>
      </c>
      <c r="C926" s="8" t="str">
        <f>IFERROR(_xlfn.XLOOKUP(TRIM(B926),Lookup!$B$2:$B$1000,Lookup!$C$2:$C$1000),"")</f>
        <v>Equity</v>
      </c>
      <c r="D926" s="8" t="str">
        <f>IFERROR(INDEX('nav master'!$C:$C, MATCH(B926, 'nav master'!$B:$B, 0)), "")</f>
        <v>ULIF 158 170425 IndConsump 105</v>
      </c>
      <c r="E926" s="8">
        <v>62.211399999999998</v>
      </c>
      <c r="F926" s="9">
        <v>46142</v>
      </c>
    </row>
    <row r="927" spans="1:6" ht="60" x14ac:dyDescent="0.25">
      <c r="A927" s="8" t="s">
        <v>63</v>
      </c>
      <c r="B927" s="8" t="s">
        <v>14</v>
      </c>
      <c r="C927" s="8" t="str">
        <f>IFERROR(_xlfn.XLOOKUP(TRIM(B927),Lookup!$B$2:$B$1000,Lookup!$C$2:$C$1000),"")</f>
        <v>Equity</v>
      </c>
      <c r="D927" s="8" t="str">
        <f>IFERROR(INDEX('nav master'!$C:$C, MATCH(B927, 'nav master'!$B:$B, 0)), "")</f>
        <v>ULIF 158 170425 IndConsump 105</v>
      </c>
      <c r="E927" s="8">
        <v>62.6845</v>
      </c>
      <c r="F927" s="9">
        <v>46146</v>
      </c>
    </row>
    <row r="928" spans="1:6" ht="60" x14ac:dyDescent="0.25">
      <c r="A928" s="8" t="s">
        <v>63</v>
      </c>
      <c r="B928" s="8" t="s">
        <v>14</v>
      </c>
      <c r="C928" s="8" t="str">
        <f>IFERROR(_xlfn.XLOOKUP(TRIM(B928),Lookup!$B$2:$B$1000,Lookup!$C$2:$C$1000),"")</f>
        <v>Equity</v>
      </c>
      <c r="D928" s="8" t="str">
        <f>IFERROR(INDEX('nav master'!$C:$C, MATCH(B928, 'nav master'!$B:$B, 0)), "")</f>
        <v>ULIF 158 170425 IndConsump 105</v>
      </c>
      <c r="E928" s="8">
        <v>62.5655</v>
      </c>
      <c r="F928" s="9">
        <v>46147</v>
      </c>
    </row>
    <row r="929" spans="1:6" ht="60" x14ac:dyDescent="0.25">
      <c r="A929" s="8" t="s">
        <v>63</v>
      </c>
      <c r="B929" s="8" t="s">
        <v>14</v>
      </c>
      <c r="C929" s="8" t="str">
        <f>IFERROR(_xlfn.XLOOKUP(TRIM(B929),Lookup!$B$2:$B$1000,Lookup!$C$2:$C$1000),"")</f>
        <v>Equity</v>
      </c>
      <c r="D929" s="8" t="str">
        <f>IFERROR(INDEX('nav master'!$C:$C, MATCH(B929, 'nav master'!$B:$B, 0)), "")</f>
        <v>ULIF 158 170425 IndConsump 105</v>
      </c>
      <c r="E929" s="8">
        <v>63.317799999999998</v>
      </c>
      <c r="F929" s="9">
        <v>46148</v>
      </c>
    </row>
    <row r="930" spans="1:6" ht="60" x14ac:dyDescent="0.25">
      <c r="A930" s="8" t="s">
        <v>63</v>
      </c>
      <c r="B930" s="8" t="s">
        <v>14</v>
      </c>
      <c r="C930" s="8" t="str">
        <f>IFERROR(_xlfn.XLOOKUP(TRIM(B930),Lookup!$B$2:$B$1000,Lookup!$C$2:$C$1000),"")</f>
        <v>Equity</v>
      </c>
      <c r="D930" s="8" t="str">
        <f>IFERROR(INDEX('nav master'!$C:$C, MATCH(B930, 'nav master'!$B:$B, 0)), "")</f>
        <v>ULIF 158 170425 IndConsump 105</v>
      </c>
      <c r="E930" s="8">
        <v>63.813699999999997</v>
      </c>
      <c r="F930" s="9">
        <v>46149</v>
      </c>
    </row>
    <row r="931" spans="1:6" ht="60" x14ac:dyDescent="0.25">
      <c r="A931" s="8" t="s">
        <v>63</v>
      </c>
      <c r="B931" s="8" t="s">
        <v>14</v>
      </c>
      <c r="C931" s="8" t="str">
        <f>IFERROR(_xlfn.XLOOKUP(TRIM(B931),Lookup!$B$2:$B$1000,Lookup!$C$2:$C$1000),"")</f>
        <v>Equity</v>
      </c>
      <c r="D931" s="8" t="str">
        <f>IFERROR(INDEX('nav master'!$C:$C, MATCH(B931, 'nav master'!$B:$B, 0)), "")</f>
        <v>ULIF 158 170425 IndConsump 105</v>
      </c>
      <c r="E931" s="8">
        <v>63.6282</v>
      </c>
      <c r="F931" s="9">
        <v>46150</v>
      </c>
    </row>
    <row r="932" spans="1:6" ht="60" x14ac:dyDescent="0.25">
      <c r="A932" s="8" t="s">
        <v>63</v>
      </c>
      <c r="B932" s="8" t="s">
        <v>14</v>
      </c>
      <c r="C932" s="8" t="str">
        <f>IFERROR(_xlfn.XLOOKUP(TRIM(B932),Lookup!$B$2:$B$1000,Lookup!$C$2:$C$1000),"")</f>
        <v>Equity</v>
      </c>
      <c r="D932" s="8" t="str">
        <f>IFERROR(INDEX('nav master'!$C:$C, MATCH(B932, 'nav master'!$B:$B, 0)), "")</f>
        <v>ULIF 158 170425 IndConsump 105</v>
      </c>
      <c r="E932" s="8">
        <v>62.842399999999998</v>
      </c>
      <c r="F932" s="9">
        <v>46153</v>
      </c>
    </row>
    <row r="933" spans="1:6" ht="60" x14ac:dyDescent="0.25">
      <c r="A933" s="8" t="s">
        <v>63</v>
      </c>
      <c r="B933" s="8" t="s">
        <v>14</v>
      </c>
      <c r="C933" s="8" t="str">
        <f>IFERROR(_xlfn.XLOOKUP(TRIM(B933),Lookup!$B$2:$B$1000,Lookup!$C$2:$C$1000),"")</f>
        <v>Equity</v>
      </c>
      <c r="D933" s="8" t="str">
        <f>IFERROR(INDEX('nav master'!$C:$C, MATCH(B933, 'nav master'!$B:$B, 0)), "")</f>
        <v>ULIF 158 170425 IndConsump 105</v>
      </c>
      <c r="E933" s="8">
        <v>61.441099999999999</v>
      </c>
      <c r="F933" s="9">
        <v>46154</v>
      </c>
    </row>
    <row r="934" spans="1:6" ht="60" x14ac:dyDescent="0.25">
      <c r="A934" s="8" t="s">
        <v>63</v>
      </c>
      <c r="B934" s="8" t="s">
        <v>14</v>
      </c>
      <c r="C934" s="8" t="str">
        <f>IFERROR(_xlfn.XLOOKUP(TRIM(B934),Lookup!$B$2:$B$1000,Lookup!$C$2:$C$1000),"")</f>
        <v>Equity</v>
      </c>
      <c r="D934" s="8" t="str">
        <f>IFERROR(INDEX('nav master'!$C:$C, MATCH(B934, 'nav master'!$B:$B, 0)), "")</f>
        <v>ULIF 158 170425 IndConsump 105</v>
      </c>
      <c r="E934" s="8">
        <v>61.612499999999997</v>
      </c>
      <c r="F934" s="9">
        <v>46155</v>
      </c>
    </row>
    <row r="935" spans="1:6" ht="60" x14ac:dyDescent="0.25">
      <c r="A935" s="8" t="s">
        <v>63</v>
      </c>
      <c r="B935" s="8" t="s">
        <v>14</v>
      </c>
      <c r="C935" s="8" t="str">
        <f>IFERROR(_xlfn.XLOOKUP(TRIM(B935),Lookup!$B$2:$B$1000,Lookup!$C$2:$C$1000),"")</f>
        <v>Equity</v>
      </c>
      <c r="D935" s="8" t="str">
        <f>IFERROR(INDEX('nav master'!$C:$C, MATCH(B935, 'nav master'!$B:$B, 0)), "")</f>
        <v>ULIF 158 170425 IndConsump 105</v>
      </c>
      <c r="E935" s="8">
        <v>62.406199999999998</v>
      </c>
      <c r="F935" s="9">
        <v>46156</v>
      </c>
    </row>
    <row r="936" spans="1:6" ht="60" x14ac:dyDescent="0.25">
      <c r="A936" s="8" t="s">
        <v>63</v>
      </c>
      <c r="B936" s="8" t="s">
        <v>14</v>
      </c>
      <c r="C936" s="8" t="str">
        <f>IFERROR(_xlfn.XLOOKUP(TRIM(B936),Lookup!$B$2:$B$1000,Lookup!$C$2:$C$1000),"")</f>
        <v>Equity</v>
      </c>
      <c r="D936" s="8" t="str">
        <f>IFERROR(INDEX('nav master'!$C:$C, MATCH(B936, 'nav master'!$B:$B, 0)), "")</f>
        <v>ULIF 158 170425 IndConsump 105</v>
      </c>
      <c r="E936" s="8">
        <v>62.2562</v>
      </c>
      <c r="F936" s="9">
        <v>46157</v>
      </c>
    </row>
    <row r="937" spans="1:6" ht="60" x14ac:dyDescent="0.25">
      <c r="A937" s="8" t="s">
        <v>63</v>
      </c>
      <c r="B937" s="8" t="s">
        <v>14</v>
      </c>
      <c r="C937" s="8" t="str">
        <f>IFERROR(_xlfn.XLOOKUP(TRIM(B937),Lookup!$B$2:$B$1000,Lookup!$C$2:$C$1000),"")</f>
        <v>Equity</v>
      </c>
      <c r="D937" s="8" t="str">
        <f>IFERROR(INDEX('nav master'!$C:$C, MATCH(B937, 'nav master'!$B:$B, 0)), "")</f>
        <v>ULIF 158 170425 IndConsump 105</v>
      </c>
      <c r="E937" s="8">
        <v>61.797899999999998</v>
      </c>
      <c r="F937" s="9">
        <v>46160</v>
      </c>
    </row>
    <row r="938" spans="1:6" ht="60" x14ac:dyDescent="0.25">
      <c r="A938" s="8" t="s">
        <v>63</v>
      </c>
      <c r="B938" s="8" t="s">
        <v>14</v>
      </c>
      <c r="C938" s="8" t="str">
        <f>IFERROR(_xlfn.XLOOKUP(TRIM(B938),Lookup!$B$2:$B$1000,Lookup!$C$2:$C$1000),"")</f>
        <v>Equity</v>
      </c>
      <c r="D938" s="8" t="str">
        <f>IFERROR(INDEX('nav master'!$C:$C, MATCH(B938, 'nav master'!$B:$B, 0)), "")</f>
        <v>ULIF 158 170425 IndConsump 105</v>
      </c>
      <c r="E938" s="8">
        <v>62.118000000000002</v>
      </c>
      <c r="F938" s="9">
        <v>46161</v>
      </c>
    </row>
    <row r="939" spans="1:6" ht="60" x14ac:dyDescent="0.25">
      <c r="A939" s="8" t="s">
        <v>63</v>
      </c>
      <c r="B939" s="8" t="s">
        <v>14</v>
      </c>
      <c r="C939" s="8" t="str">
        <f>IFERROR(_xlfn.XLOOKUP(TRIM(B939),Lookup!$B$2:$B$1000,Lookup!$C$2:$C$1000),"")</f>
        <v>Equity</v>
      </c>
      <c r="D939" s="8" t="str">
        <f>IFERROR(INDEX('nav master'!$C:$C, MATCH(B939, 'nav master'!$B:$B, 0)), "")</f>
        <v>ULIF 158 170425 IndConsump 105</v>
      </c>
      <c r="E939" s="8">
        <v>62.347999999999999</v>
      </c>
      <c r="F939" s="9">
        <v>46162</v>
      </c>
    </row>
    <row r="940" spans="1:6" ht="60" x14ac:dyDescent="0.25">
      <c r="A940" s="8" t="s">
        <v>63</v>
      </c>
      <c r="B940" s="8" t="s">
        <v>14</v>
      </c>
      <c r="C940" s="8" t="str">
        <f>IFERROR(_xlfn.XLOOKUP(TRIM(B940),Lookup!$B$2:$B$1000,Lookup!$C$2:$C$1000),"")</f>
        <v>Equity</v>
      </c>
      <c r="D940" s="8" t="str">
        <f>IFERROR(INDEX('nav master'!$C:$C, MATCH(B940, 'nav master'!$B:$B, 0)), "")</f>
        <v>ULIF 158 170425 IndConsump 105</v>
      </c>
      <c r="E940" s="8">
        <v>62.325299999999999</v>
      </c>
      <c r="F940" s="9">
        <v>46163</v>
      </c>
    </row>
    <row r="941" spans="1:6" ht="60" x14ac:dyDescent="0.25">
      <c r="A941" s="8" t="s">
        <v>63</v>
      </c>
      <c r="B941" s="8" t="s">
        <v>14</v>
      </c>
      <c r="C941" s="8" t="str">
        <f>IFERROR(_xlfn.XLOOKUP(TRIM(B941),Lookup!$B$2:$B$1000,Lookup!$C$2:$C$1000),"")</f>
        <v>Equity</v>
      </c>
      <c r="D941" s="8" t="str">
        <f>IFERROR(INDEX('nav master'!$C:$C, MATCH(B941, 'nav master'!$B:$B, 0)), "")</f>
        <v>ULIF 158 170425 IndConsump 105</v>
      </c>
      <c r="E941" s="8">
        <v>62.355600000000003</v>
      </c>
      <c r="F941" s="9">
        <v>46164</v>
      </c>
    </row>
    <row r="942" spans="1:6" ht="60" x14ac:dyDescent="0.25">
      <c r="A942" s="8" t="s">
        <v>63</v>
      </c>
      <c r="B942" s="8" t="s">
        <v>14</v>
      </c>
      <c r="C942" s="8" t="str">
        <f>IFERROR(_xlfn.XLOOKUP(TRIM(B942),Lookup!$B$2:$B$1000,Lookup!$C$2:$C$1000),"")</f>
        <v>Equity</v>
      </c>
      <c r="D942" s="8" t="str">
        <f>IFERROR(INDEX('nav master'!$C:$C, MATCH(B942, 'nav master'!$B:$B, 0)), "")</f>
        <v>ULIF 158 170425 IndConsump 105</v>
      </c>
      <c r="E942" s="8">
        <v>63.0503</v>
      </c>
      <c r="F942" s="9">
        <v>46167</v>
      </c>
    </row>
    <row r="943" spans="1:6" ht="60" x14ac:dyDescent="0.25">
      <c r="A943" s="8" t="s">
        <v>63</v>
      </c>
      <c r="B943" s="8" t="s">
        <v>14</v>
      </c>
      <c r="C943" s="8" t="str">
        <f>IFERROR(_xlfn.XLOOKUP(TRIM(B943),Lookup!$B$2:$B$1000,Lookup!$C$2:$C$1000),"")</f>
        <v>Equity</v>
      </c>
      <c r="D943" s="8" t="str">
        <f>IFERROR(INDEX('nav master'!$C:$C, MATCH(B943, 'nav master'!$B:$B, 0)), "")</f>
        <v>ULIF 158 170425 IndConsump 105</v>
      </c>
      <c r="E943" s="8">
        <v>63.203200000000002</v>
      </c>
      <c r="F943" s="9">
        <v>46168</v>
      </c>
    </row>
    <row r="944" spans="1:6" ht="60" x14ac:dyDescent="0.25">
      <c r="A944" s="8" t="s">
        <v>63</v>
      </c>
      <c r="B944" s="8" t="s">
        <v>14</v>
      </c>
      <c r="C944" s="8" t="str">
        <f>IFERROR(_xlfn.XLOOKUP(TRIM(B944),Lookup!$B$2:$B$1000,Lookup!$C$2:$C$1000),"")</f>
        <v>Equity</v>
      </c>
      <c r="D944" s="8" t="str">
        <f>IFERROR(INDEX('nav master'!$C:$C, MATCH(B944, 'nav master'!$B:$B, 0)), "")</f>
        <v>ULIF 158 170425 IndConsump 105</v>
      </c>
      <c r="E944" s="8">
        <v>63.287799999999997</v>
      </c>
      <c r="F944" s="9">
        <v>46169</v>
      </c>
    </row>
    <row r="945" spans="1:6" ht="60" x14ac:dyDescent="0.25">
      <c r="A945" s="8" t="s">
        <v>63</v>
      </c>
      <c r="B945" s="8" t="s">
        <v>14</v>
      </c>
      <c r="C945" s="8" t="str">
        <f>IFERROR(_xlfn.XLOOKUP(TRIM(B945),Lookup!$B$2:$B$1000,Lookup!$C$2:$C$1000),"")</f>
        <v>Equity</v>
      </c>
      <c r="D945" s="8" t="str">
        <f>IFERROR(INDEX('nav master'!$C:$C, MATCH(B945, 'nav master'!$B:$B, 0)), "")</f>
        <v>ULIF 158 170425 IndConsump 105</v>
      </c>
      <c r="E945" s="8">
        <v>62.379600000000003</v>
      </c>
      <c r="F945" s="9">
        <v>46171</v>
      </c>
    </row>
    <row r="946" spans="1:6" ht="60" x14ac:dyDescent="0.25">
      <c r="A946" s="8" t="s">
        <v>63</v>
      </c>
      <c r="B946" s="8" t="s">
        <v>14</v>
      </c>
      <c r="C946" s="8" t="str">
        <f>IFERROR(_xlfn.XLOOKUP(TRIM(B946),Lookup!$B$2:$B$1000,Lookup!$C$2:$C$1000),"")</f>
        <v>Equity</v>
      </c>
      <c r="D946" s="8" t="str">
        <f>IFERROR(INDEX('nav master'!$C:$C, MATCH(B946, 'nav master'!$B:$B, 0)), "")</f>
        <v>ULIF 158 170425 IndConsump 105</v>
      </c>
      <c r="E946" s="8">
        <v>61.674399999999999</v>
      </c>
      <c r="F946" s="9">
        <v>46174</v>
      </c>
    </row>
    <row r="947" spans="1:6" ht="60" x14ac:dyDescent="0.25">
      <c r="A947" s="8" t="s">
        <v>63</v>
      </c>
      <c r="B947" s="8" t="s">
        <v>14</v>
      </c>
      <c r="C947" s="8" t="str">
        <f>IFERROR(_xlfn.XLOOKUP(TRIM(B947),Lookup!$B$2:$B$1000,Lookup!$C$2:$C$1000),"")</f>
        <v>Equity</v>
      </c>
      <c r="D947" s="8" t="str">
        <f>IFERROR(INDEX('nav master'!$C:$C, MATCH(B947, 'nav master'!$B:$B, 0)), "")</f>
        <v>ULIF 158 170425 IndConsump 105</v>
      </c>
      <c r="E947" s="8">
        <v>61.656799999999997</v>
      </c>
      <c r="F947" s="9">
        <v>46175</v>
      </c>
    </row>
    <row r="948" spans="1:6" ht="60" x14ac:dyDescent="0.25">
      <c r="A948" s="8" t="s">
        <v>63</v>
      </c>
      <c r="B948" s="8" t="s">
        <v>14</v>
      </c>
      <c r="C948" s="8" t="str">
        <f>IFERROR(_xlfn.XLOOKUP(TRIM(B948),Lookup!$B$2:$B$1000,Lookup!$C$2:$C$1000),"")</f>
        <v>Equity</v>
      </c>
      <c r="D948" s="8" t="str">
        <f>IFERROR(INDEX('nav master'!$C:$C, MATCH(B948, 'nav master'!$B:$B, 0)), "")</f>
        <v>ULIF 158 170425 IndConsump 105</v>
      </c>
      <c r="E948" s="8">
        <v>61.445900000000002</v>
      </c>
      <c r="F948" s="9">
        <v>46176</v>
      </c>
    </row>
    <row r="949" spans="1:6" ht="60" x14ac:dyDescent="0.25">
      <c r="A949" s="8" t="s">
        <v>63</v>
      </c>
      <c r="B949" s="8" t="s">
        <v>14</v>
      </c>
      <c r="C949" s="8" t="str">
        <f>IFERROR(_xlfn.XLOOKUP(TRIM(B949),Lookup!$B$2:$B$1000,Lookup!$C$2:$C$1000),"")</f>
        <v>Equity</v>
      </c>
      <c r="D949" s="8" t="str">
        <f>IFERROR(INDEX('nav master'!$C:$C, MATCH(B949, 'nav master'!$B:$B, 0)), "")</f>
        <v>ULIF 158 170425 IndConsump 105</v>
      </c>
      <c r="E949" s="8">
        <v>61.927199999999999</v>
      </c>
      <c r="F949" s="9">
        <v>46177</v>
      </c>
    </row>
    <row r="950" spans="1:6" ht="60" x14ac:dyDescent="0.25">
      <c r="A950" s="8" t="s">
        <v>63</v>
      </c>
      <c r="B950" s="8" t="s">
        <v>14</v>
      </c>
      <c r="C950" s="8" t="str">
        <f>IFERROR(_xlfn.XLOOKUP(TRIM(B950),Lookup!$B$2:$B$1000,Lookup!$C$2:$C$1000),"")</f>
        <v>Equity</v>
      </c>
      <c r="D950" s="8" t="str">
        <f>IFERROR(INDEX('nav master'!$C:$C, MATCH(B950, 'nav master'!$B:$B, 0)), "")</f>
        <v>ULIF 158 170425 IndConsump 105</v>
      </c>
      <c r="E950" s="8">
        <v>61.863399999999999</v>
      </c>
      <c r="F950" s="9">
        <v>46178</v>
      </c>
    </row>
    <row r="951" spans="1:6" ht="60" x14ac:dyDescent="0.25">
      <c r="A951" s="8" t="s">
        <v>63</v>
      </c>
      <c r="B951" s="8" t="s">
        <v>14</v>
      </c>
      <c r="C951" s="8" t="str">
        <f>IFERROR(_xlfn.XLOOKUP(TRIM(B951),Lookup!$B$2:$B$1000,Lookup!$C$2:$C$1000),"")</f>
        <v>Equity</v>
      </c>
      <c r="D951" s="8" t="str">
        <f>IFERROR(INDEX('nav master'!$C:$C, MATCH(B951, 'nav master'!$B:$B, 0)), "")</f>
        <v>ULIF 158 170425 IndConsump 105</v>
      </c>
      <c r="E951" s="8">
        <v>61.014800000000001</v>
      </c>
      <c r="F951" s="9">
        <v>46181</v>
      </c>
    </row>
    <row r="952" spans="1:6" ht="60" x14ac:dyDescent="0.25">
      <c r="A952" s="8" t="s">
        <v>63</v>
      </c>
      <c r="B952" s="8" t="s">
        <v>14</v>
      </c>
      <c r="C952" s="8" t="str">
        <f>IFERROR(_xlfn.XLOOKUP(TRIM(B952),Lookup!$B$2:$B$1000,Lookup!$C$2:$C$1000),"")</f>
        <v>Equity</v>
      </c>
      <c r="D952" s="8" t="str">
        <f>IFERROR(INDEX('nav master'!$C:$C, MATCH(B952, 'nav master'!$B:$B, 0)), "")</f>
        <v>ULIF 158 170425 IndConsump 105</v>
      </c>
      <c r="E952" s="8">
        <v>61.606200000000001</v>
      </c>
      <c r="F952" s="9">
        <v>46182</v>
      </c>
    </row>
    <row r="953" spans="1:6" ht="60" x14ac:dyDescent="0.25">
      <c r="A953" s="8" t="s">
        <v>63</v>
      </c>
      <c r="B953" s="8" t="s">
        <v>14</v>
      </c>
      <c r="C953" s="8" t="str">
        <f>IFERROR(_xlfn.XLOOKUP(TRIM(B953),Lookup!$B$2:$B$1000,Lookup!$C$2:$C$1000),"")</f>
        <v>Equity</v>
      </c>
      <c r="D953" s="8" t="str">
        <f>IFERROR(INDEX('nav master'!$C:$C, MATCH(B953, 'nav master'!$B:$B, 0)), "")</f>
        <v>ULIF 158 170425 IndConsump 105</v>
      </c>
      <c r="E953" s="8">
        <v>61.084200000000003</v>
      </c>
      <c r="F953" s="9">
        <v>46183</v>
      </c>
    </row>
    <row r="954" spans="1:6" ht="60" x14ac:dyDescent="0.25">
      <c r="A954" s="8" t="s">
        <v>63</v>
      </c>
      <c r="B954" s="8" t="s">
        <v>14</v>
      </c>
      <c r="C954" s="8" t="str">
        <f>IFERROR(_xlfn.XLOOKUP(TRIM(B954),Lookup!$B$2:$B$1000,Lookup!$C$2:$C$1000),"")</f>
        <v>Equity</v>
      </c>
      <c r="D954" s="8" t="str">
        <f>IFERROR(INDEX('nav master'!$C:$C, MATCH(B954, 'nav master'!$B:$B, 0)), "")</f>
        <v>ULIF 158 170425 IndConsump 105</v>
      </c>
      <c r="E954" s="8">
        <v>60.811</v>
      </c>
      <c r="F954" s="9">
        <v>46184</v>
      </c>
    </row>
    <row r="955" spans="1:6" ht="60" x14ac:dyDescent="0.25">
      <c r="A955" s="8" t="s">
        <v>63</v>
      </c>
      <c r="B955" s="8" t="s">
        <v>14</v>
      </c>
      <c r="C955" s="8" t="str">
        <f>IFERROR(_xlfn.XLOOKUP(TRIM(B955),Lookup!$B$2:$B$1000,Lookup!$C$2:$C$1000),"")</f>
        <v>Equity</v>
      </c>
      <c r="D955" s="8" t="str">
        <f>IFERROR(INDEX('nav master'!$C:$C, MATCH(B955, 'nav master'!$B:$B, 0)), "")</f>
        <v>ULIF 158 170425 IndConsump 105</v>
      </c>
      <c r="E955" s="8">
        <v>62.265500000000003</v>
      </c>
      <c r="F955" s="9">
        <v>46185</v>
      </c>
    </row>
    <row r="956" spans="1:6" ht="60" x14ac:dyDescent="0.25">
      <c r="A956" s="8" t="s">
        <v>63</v>
      </c>
      <c r="B956" s="8" t="s">
        <v>14</v>
      </c>
      <c r="C956" s="8" t="str">
        <f>IFERROR(_xlfn.XLOOKUP(TRIM(B956),Lookup!$B$2:$B$1000,Lookup!$C$2:$C$1000),"")</f>
        <v>Equity</v>
      </c>
      <c r="D956" s="8" t="str">
        <f>IFERROR(INDEX('nav master'!$C:$C, MATCH(B956, 'nav master'!$B:$B, 0)), "")</f>
        <v>ULIF 158 170425 IndConsump 105</v>
      </c>
      <c r="E956" s="8">
        <v>63.307400000000001</v>
      </c>
      <c r="F956" s="9">
        <v>46188</v>
      </c>
    </row>
    <row r="957" spans="1:6" ht="60" x14ac:dyDescent="0.25">
      <c r="A957" s="8" t="s">
        <v>63</v>
      </c>
      <c r="B957" s="8" t="s">
        <v>14</v>
      </c>
      <c r="C957" s="8" t="str">
        <f>IFERROR(_xlfn.XLOOKUP(TRIM(B957),Lookup!$B$2:$B$1000,Lookup!$C$2:$C$1000),"")</f>
        <v>Equity</v>
      </c>
      <c r="D957" s="8" t="str">
        <f>IFERROR(INDEX('nav master'!$C:$C, MATCH(B957, 'nav master'!$B:$B, 0)), "")</f>
        <v>ULIF 158 170425 IndConsump 105</v>
      </c>
      <c r="E957" s="8">
        <v>63.497999999999998</v>
      </c>
      <c r="F957" s="9">
        <v>46189</v>
      </c>
    </row>
    <row r="958" spans="1:6" ht="60" x14ac:dyDescent="0.25">
      <c r="A958" s="8" t="s">
        <v>63</v>
      </c>
      <c r="B958" s="8" t="s">
        <v>14</v>
      </c>
      <c r="C958" s="8" t="str">
        <f>IFERROR(_xlfn.XLOOKUP(TRIM(B958),Lookup!$B$2:$B$1000,Lookup!$C$2:$C$1000),"")</f>
        <v>Equity</v>
      </c>
      <c r="D958" s="8" t="str">
        <f>IFERROR(INDEX('nav master'!$C:$C, MATCH(B958, 'nav master'!$B:$B, 0)), "")</f>
        <v>ULIF 158 170425 IndConsump 105</v>
      </c>
      <c r="E958" s="8">
        <v>63.908200000000001</v>
      </c>
      <c r="F958" s="9">
        <v>46190</v>
      </c>
    </row>
    <row r="959" spans="1:6" ht="60" x14ac:dyDescent="0.25">
      <c r="A959" s="8" t="s">
        <v>63</v>
      </c>
      <c r="B959" s="8" t="s">
        <v>14</v>
      </c>
      <c r="C959" s="8" t="str">
        <f>IFERROR(_xlfn.XLOOKUP(TRIM(B959),Lookup!$B$2:$B$1000,Lookup!$C$2:$C$1000),"")</f>
        <v>Equity</v>
      </c>
      <c r="D959" s="8" t="str">
        <f>IFERROR(INDEX('nav master'!$C:$C, MATCH(B959, 'nav master'!$B:$B, 0)), "")</f>
        <v>ULIF 158 170425 IndConsump 105</v>
      </c>
      <c r="E959" s="8">
        <v>64.087500000000006</v>
      </c>
      <c r="F959" s="9">
        <v>46191</v>
      </c>
    </row>
    <row r="960" spans="1:6" ht="60" x14ac:dyDescent="0.25">
      <c r="A960" s="8" t="s">
        <v>63</v>
      </c>
      <c r="B960" s="8" t="s">
        <v>14</v>
      </c>
      <c r="C960" s="8" t="str">
        <f>IFERROR(_xlfn.XLOOKUP(TRIM(B960),Lookup!$B$2:$B$1000,Lookup!$C$2:$C$1000),"")</f>
        <v>Equity</v>
      </c>
      <c r="D960" s="8" t="str">
        <f>IFERROR(INDEX('nav master'!$C:$C, MATCH(B960, 'nav master'!$B:$B, 0)), "")</f>
        <v>ULIF 158 170425 IndConsump 105</v>
      </c>
      <c r="E960" s="8">
        <v>64.228700000000003</v>
      </c>
      <c r="F960" s="9">
        <v>46192</v>
      </c>
    </row>
    <row r="961" spans="1:6" ht="60" x14ac:dyDescent="0.25">
      <c r="A961" s="8" t="s">
        <v>63</v>
      </c>
      <c r="B961" s="8" t="s">
        <v>14</v>
      </c>
      <c r="C961" s="8" t="str">
        <f>IFERROR(_xlfn.XLOOKUP(TRIM(B961),Lookup!$B$2:$B$1000,Lookup!$C$2:$C$1000),"")</f>
        <v>Equity</v>
      </c>
      <c r="D961" s="8" t="str">
        <f>IFERROR(INDEX('nav master'!$C:$C, MATCH(B961, 'nav master'!$B:$B, 0)), "")</f>
        <v>ULIF 158 170425 IndConsump 105</v>
      </c>
      <c r="E961" s="8">
        <v>64.742599999999996</v>
      </c>
      <c r="F961" s="9">
        <v>46195</v>
      </c>
    </row>
    <row r="962" spans="1:6" ht="60" x14ac:dyDescent="0.25">
      <c r="A962" s="8" t="s">
        <v>63</v>
      </c>
      <c r="B962" s="8" t="s">
        <v>14</v>
      </c>
      <c r="C962" s="8" t="str">
        <f>IFERROR(_xlfn.XLOOKUP(TRIM(B962),Lookup!$B$2:$B$1000,Lookup!$C$2:$C$1000),"")</f>
        <v>Equity</v>
      </c>
      <c r="D962" s="8" t="str">
        <f>IFERROR(INDEX('nav master'!$C:$C, MATCH(B962, 'nav master'!$B:$B, 0)), "")</f>
        <v>ULIF 158 170425 IndConsump 105</v>
      </c>
      <c r="E962" s="8">
        <v>64.406999999999996</v>
      </c>
      <c r="F962" s="9">
        <v>46196</v>
      </c>
    </row>
    <row r="963" spans="1:6" ht="60" x14ac:dyDescent="0.25">
      <c r="A963" s="8" t="s">
        <v>63</v>
      </c>
      <c r="B963" s="8" t="s">
        <v>14</v>
      </c>
      <c r="C963" s="8" t="str">
        <f>IFERROR(_xlfn.XLOOKUP(TRIM(B963),Lookup!$B$2:$B$1000,Lookup!$C$2:$C$1000),"")</f>
        <v>Equity</v>
      </c>
      <c r="D963" s="8" t="str">
        <f>IFERROR(INDEX('nav master'!$C:$C, MATCH(B963, 'nav master'!$B:$B, 0)), "")</f>
        <v>ULIF 158 170425 IndConsump 105</v>
      </c>
      <c r="E963" s="8">
        <v>64.407200000000003</v>
      </c>
      <c r="F963" s="9">
        <v>46197</v>
      </c>
    </row>
    <row r="964" spans="1:6" ht="60" x14ac:dyDescent="0.25">
      <c r="A964" s="8" t="s">
        <v>63</v>
      </c>
      <c r="B964" s="8" t="s">
        <v>14</v>
      </c>
      <c r="C964" s="8" t="str">
        <f>IFERROR(_xlfn.XLOOKUP(TRIM(B964),Lookup!$B$2:$B$1000,Lookup!$C$2:$C$1000),"")</f>
        <v>Equity</v>
      </c>
      <c r="D964" s="8" t="str">
        <f>IFERROR(INDEX('nav master'!$C:$C, MATCH(B964, 'nav master'!$B:$B, 0)), "")</f>
        <v>ULIF 158 170425 IndConsump 105</v>
      </c>
      <c r="E964" s="8">
        <v>64.385800000000003</v>
      </c>
      <c r="F964" s="9">
        <v>46198</v>
      </c>
    </row>
    <row r="965" spans="1:6" ht="60" x14ac:dyDescent="0.25">
      <c r="A965" s="8" t="s">
        <v>63</v>
      </c>
      <c r="B965" s="8" t="s">
        <v>14</v>
      </c>
      <c r="C965" s="8" t="str">
        <f>IFERROR(_xlfn.XLOOKUP(TRIM(B965),Lookup!$B$2:$B$1000,Lookup!$C$2:$C$1000),"")</f>
        <v>Equity</v>
      </c>
      <c r="D965" s="8" t="str">
        <f>IFERROR(INDEX('nav master'!$C:$C, MATCH(B965, 'nav master'!$B:$B, 0)), "")</f>
        <v>ULIF 158 170425 IndConsump 105</v>
      </c>
      <c r="E965" s="8">
        <v>64.0291</v>
      </c>
      <c r="F965" s="9">
        <v>46202</v>
      </c>
    </row>
    <row r="966" spans="1:6" ht="60" x14ac:dyDescent="0.25">
      <c r="A966" s="8" t="s">
        <v>63</v>
      </c>
      <c r="B966" s="8" t="s">
        <v>14</v>
      </c>
      <c r="C966" s="8" t="str">
        <f>IFERROR(_xlfn.XLOOKUP(TRIM(B966),Lookup!$B$2:$B$1000,Lookup!$C$2:$C$1000),"")</f>
        <v>Equity</v>
      </c>
      <c r="D966" s="8" t="str">
        <f>IFERROR(INDEX('nav master'!$C:$C, MATCH(B966, 'nav master'!$B:$B, 0)), "")</f>
        <v>ULIF 158 170425 IndConsump 105</v>
      </c>
      <c r="E966" s="8">
        <v>64.316800000000001</v>
      </c>
      <c r="F966" s="9">
        <v>46203</v>
      </c>
    </row>
    <row r="967" spans="1:6" ht="60" x14ac:dyDescent="0.25">
      <c r="A967" s="8" t="s">
        <v>63</v>
      </c>
      <c r="B967" s="8" t="s">
        <v>14</v>
      </c>
      <c r="C967" s="8" t="str">
        <f>IFERROR(_xlfn.XLOOKUP(TRIM(B967),Lookup!$B$2:$B$1000,Lookup!$C$2:$C$1000),"")</f>
        <v>Equity</v>
      </c>
      <c r="D967" s="8" t="str">
        <f>IFERROR(INDEX('nav master'!$C:$C, MATCH(B967, 'nav master'!$B:$B, 0)), "")</f>
        <v>ULIF 158 170425 IndConsump 105</v>
      </c>
      <c r="E967" s="8">
        <v>65.172899999999998</v>
      </c>
      <c r="F967" s="9">
        <v>46204</v>
      </c>
    </row>
    <row r="968" spans="1:6" ht="60" x14ac:dyDescent="0.25">
      <c r="A968" s="8" t="s">
        <v>63</v>
      </c>
      <c r="B968" s="8" t="s">
        <v>14</v>
      </c>
      <c r="C968" s="8" t="str">
        <f>IFERROR(_xlfn.XLOOKUP(TRIM(B968),Lookup!$B$2:$B$1000,Lookup!$C$2:$C$1000),"")</f>
        <v>Equity</v>
      </c>
      <c r="D968" s="8" t="str">
        <f>IFERROR(INDEX('nav master'!$C:$C, MATCH(B968, 'nav master'!$B:$B, 0)), "")</f>
        <v>ULIF 158 170425 IndConsump 105</v>
      </c>
      <c r="E968" s="8">
        <v>65.632800000000003</v>
      </c>
      <c r="F968" s="9">
        <v>46205</v>
      </c>
    </row>
    <row r="969" spans="1:6" ht="60" x14ac:dyDescent="0.25">
      <c r="A969" s="8" t="s">
        <v>63</v>
      </c>
      <c r="B969" s="8" t="s">
        <v>14</v>
      </c>
      <c r="C969" s="8" t="str">
        <f>IFERROR(_xlfn.XLOOKUP(TRIM(B969),Lookup!$B$2:$B$1000,Lookup!$C$2:$C$1000),"")</f>
        <v>Equity</v>
      </c>
      <c r="D969" s="8" t="str">
        <f>IFERROR(INDEX('nav master'!$C:$C, MATCH(B969, 'nav master'!$B:$B, 0)), "")</f>
        <v>ULIF 158 170425 IndConsump 105</v>
      </c>
      <c r="E969" s="8">
        <v>65.219399999999993</v>
      </c>
      <c r="F969" s="9">
        <v>46206</v>
      </c>
    </row>
    <row r="970" spans="1:6" ht="60" x14ac:dyDescent="0.25">
      <c r="A970" s="8" t="s">
        <v>63</v>
      </c>
      <c r="B970" s="8" t="s">
        <v>14</v>
      </c>
      <c r="C970" s="8" t="str">
        <f>IFERROR(_xlfn.XLOOKUP(TRIM(B970),Lookup!$B$2:$B$1000,Lookup!$C$2:$C$1000),"")</f>
        <v>Equity</v>
      </c>
      <c r="D970" s="8" t="str">
        <f>IFERROR(INDEX('nav master'!$C:$C, MATCH(B970, 'nav master'!$B:$B, 0)), "")</f>
        <v>ULIF 158 170425 IndConsump 105</v>
      </c>
      <c r="E970" s="8">
        <v>65.790700000000001</v>
      </c>
      <c r="F970" s="9">
        <v>46209</v>
      </c>
    </row>
    <row r="971" spans="1:6" ht="60" x14ac:dyDescent="0.25">
      <c r="A971" s="8" t="s">
        <v>63</v>
      </c>
      <c r="B971" s="8" t="s">
        <v>14</v>
      </c>
      <c r="C971" s="8" t="str">
        <f>IFERROR(_xlfn.XLOOKUP(TRIM(B971),Lookup!$B$2:$B$1000,Lookup!$C$2:$C$1000),"")</f>
        <v>Equity</v>
      </c>
      <c r="D971" s="8" t="str">
        <f>IFERROR(INDEX('nav master'!$C:$C, MATCH(B971, 'nav master'!$B:$B, 0)), "")</f>
        <v>ULIF 158 170425 IndConsump 105</v>
      </c>
      <c r="E971" s="8">
        <v>65.977999999999994</v>
      </c>
      <c r="F971" s="9">
        <v>46210</v>
      </c>
    </row>
    <row r="972" spans="1:6" ht="60" x14ac:dyDescent="0.25">
      <c r="A972" s="8" t="s">
        <v>63</v>
      </c>
      <c r="B972" s="8" t="s">
        <v>14</v>
      </c>
      <c r="C972" s="8" t="str">
        <f>IFERROR(_xlfn.XLOOKUP(TRIM(B972),Lookup!$B$2:$B$1000,Lookup!$C$2:$C$1000),"")</f>
        <v>Equity</v>
      </c>
      <c r="D972" s="8" t="str">
        <f>IFERROR(INDEX('nav master'!$C:$C, MATCH(B972, 'nav master'!$B:$B, 0)), "")</f>
        <v>ULIF 158 170425 IndConsump 105</v>
      </c>
      <c r="E972" s="8">
        <v>65.006299999999996</v>
      </c>
      <c r="F972" s="9">
        <v>46211</v>
      </c>
    </row>
    <row r="973" spans="1:6" ht="60" x14ac:dyDescent="0.25">
      <c r="A973" s="8" t="s">
        <v>63</v>
      </c>
      <c r="B973" s="8" t="s">
        <v>14</v>
      </c>
      <c r="C973" s="8" t="str">
        <f>IFERROR(_xlfn.XLOOKUP(TRIM(B973),Lookup!$B$2:$B$1000,Lookup!$C$2:$C$1000),"")</f>
        <v>Equity</v>
      </c>
      <c r="D973" s="8" t="str">
        <f>IFERROR(INDEX('nav master'!$C:$C, MATCH(B973, 'nav master'!$B:$B, 0)), "")</f>
        <v>ULIF 158 170425 IndConsump 105</v>
      </c>
      <c r="E973" s="8">
        <v>66.105400000000003</v>
      </c>
      <c r="F973" s="9">
        <v>46212</v>
      </c>
    </row>
    <row r="974" spans="1:6" ht="60" x14ac:dyDescent="0.25">
      <c r="A974" s="8" t="s">
        <v>63</v>
      </c>
      <c r="B974" s="8" t="s">
        <v>14</v>
      </c>
      <c r="C974" s="8" t="str">
        <f>IFERROR(_xlfn.XLOOKUP(TRIM(B974),Lookup!$B$2:$B$1000,Lookup!$C$2:$C$1000),"")</f>
        <v>Equity</v>
      </c>
      <c r="D974" s="8" t="str">
        <f>IFERROR(INDEX('nav master'!$C:$C, MATCH(B974, 'nav master'!$B:$B, 0)), "")</f>
        <v>ULIF 158 170425 IndConsump 105</v>
      </c>
      <c r="E974" s="8">
        <v>66.661299999999997</v>
      </c>
      <c r="F974" s="9">
        <v>46213</v>
      </c>
    </row>
    <row r="975" spans="1:6" ht="60" x14ac:dyDescent="0.25">
      <c r="A975" s="8" t="s">
        <v>63</v>
      </c>
      <c r="B975" s="8" t="s">
        <v>14</v>
      </c>
      <c r="C975" s="8" t="str">
        <f>IFERROR(_xlfn.XLOOKUP(TRIM(B975),Lookup!$B$2:$B$1000,Lookup!$C$2:$C$1000),"")</f>
        <v>Equity</v>
      </c>
      <c r="D975" s="8" t="str">
        <f>IFERROR(INDEX('nav master'!$C:$C, MATCH(B975, 'nav master'!$B:$B, 0)), "")</f>
        <v>ULIF 158 170425 IndConsump 105</v>
      </c>
      <c r="E975" s="8">
        <v>66.616699999999994</v>
      </c>
      <c r="F975" s="9">
        <v>46216</v>
      </c>
    </row>
    <row r="976" spans="1:6" ht="60" x14ac:dyDescent="0.25">
      <c r="A976" s="8" t="s">
        <v>63</v>
      </c>
      <c r="B976" s="8" t="s">
        <v>14</v>
      </c>
      <c r="C976" s="8" t="str">
        <f>IFERROR(_xlfn.XLOOKUP(TRIM(B976),Lookup!$B$2:$B$1000,Lookup!$C$2:$C$1000),"")</f>
        <v>Equity</v>
      </c>
      <c r="D976" s="8" t="str">
        <f>IFERROR(INDEX('nav master'!$C:$C, MATCH(B976, 'nav master'!$B:$B, 0)), "")</f>
        <v>ULIF 158 170425 IndConsump 105</v>
      </c>
      <c r="E976" s="8">
        <v>65.976100000000002</v>
      </c>
      <c r="F976" s="9">
        <v>46217</v>
      </c>
    </row>
    <row r="977" spans="1:6" ht="60" x14ac:dyDescent="0.25">
      <c r="A977" s="8" t="s">
        <v>63</v>
      </c>
      <c r="B977" s="8" t="s">
        <v>14</v>
      </c>
      <c r="C977" s="8" t="str">
        <f>IFERROR(_xlfn.XLOOKUP(TRIM(B977),Lookup!$B$2:$B$1000,Lookup!$C$2:$C$1000),"")</f>
        <v>Equity</v>
      </c>
      <c r="D977" s="8" t="str">
        <f>IFERROR(INDEX('nav master'!$C:$C, MATCH(B977, 'nav master'!$B:$B, 0)), "")</f>
        <v>ULIF 158 170425 IndConsump 105</v>
      </c>
      <c r="E977" s="8">
        <v>66.483099999999993</v>
      </c>
      <c r="F977" s="9">
        <v>46218</v>
      </c>
    </row>
    <row r="978" spans="1:6" ht="60" x14ac:dyDescent="0.25">
      <c r="A978" s="8" t="s">
        <v>63</v>
      </c>
      <c r="B978" s="8" t="s">
        <v>14</v>
      </c>
      <c r="C978" s="8" t="str">
        <f>IFERROR(_xlfn.XLOOKUP(TRIM(B978),Lookup!$B$2:$B$1000,Lookup!$C$2:$C$1000),"")</f>
        <v>Equity</v>
      </c>
      <c r="D978" s="8" t="str">
        <f>IFERROR(INDEX('nav master'!$C:$C, MATCH(B978, 'nav master'!$B:$B, 0)), "")</f>
        <v>ULIF 158 170425 IndConsump 105</v>
      </c>
      <c r="E978" s="8">
        <v>66.197199999999995</v>
      </c>
      <c r="F978" s="9">
        <v>46219</v>
      </c>
    </row>
    <row r="979" spans="1:6" ht="60" x14ac:dyDescent="0.25">
      <c r="A979" s="8" t="s">
        <v>63</v>
      </c>
      <c r="B979" s="8" t="s">
        <v>14</v>
      </c>
      <c r="C979" s="8" t="str">
        <f>IFERROR(_xlfn.XLOOKUP(TRIM(B979),Lookup!$B$2:$B$1000,Lookup!$C$2:$C$1000),"")</f>
        <v>Equity</v>
      </c>
      <c r="D979" s="8" t="str">
        <f>IFERROR(INDEX('nav master'!$C:$C, MATCH(B979, 'nav master'!$B:$B, 0)), "")</f>
        <v>ULIF 158 170425 IndConsump 105</v>
      </c>
      <c r="E979" s="8">
        <v>66.101200000000006</v>
      </c>
      <c r="F979" s="9">
        <v>46220</v>
      </c>
    </row>
    <row r="980" spans="1:6" ht="60" x14ac:dyDescent="0.25">
      <c r="A980" s="8" t="s">
        <v>63</v>
      </c>
      <c r="B980" s="8" t="s">
        <v>14</v>
      </c>
      <c r="C980" s="8" t="str">
        <f>IFERROR(_xlfn.XLOOKUP(TRIM(B980),Lookup!$B$2:$B$1000,Lookup!$C$2:$C$1000),"")</f>
        <v>Equity</v>
      </c>
      <c r="D980" s="8" t="str">
        <f>IFERROR(INDEX('nav master'!$C:$C, MATCH(B980, 'nav master'!$B:$B, 0)), "")</f>
        <v>ULIF 158 170425 IndConsump 105</v>
      </c>
      <c r="E980" s="8">
        <v>66.127499999999998</v>
      </c>
      <c r="F980" s="9">
        <v>46223</v>
      </c>
    </row>
    <row r="981" spans="1:6" ht="60" x14ac:dyDescent="0.25">
      <c r="A981" s="8" t="s">
        <v>63</v>
      </c>
      <c r="B981" s="8" t="s">
        <v>14</v>
      </c>
      <c r="C981" s="8" t="str">
        <f>IFERROR(_xlfn.XLOOKUP(TRIM(B981),Lookup!$B$2:$B$1000,Lookup!$C$2:$C$1000),"")</f>
        <v>Equity</v>
      </c>
      <c r="D981" s="8" t="str">
        <f>IFERROR(INDEX('nav master'!$C:$C, MATCH(B981, 'nav master'!$B:$B, 0)), "")</f>
        <v>ULIF 158 170425 IndConsump 105</v>
      </c>
      <c r="E981" s="8">
        <v>66.319900000000004</v>
      </c>
      <c r="F981" s="9">
        <v>46224</v>
      </c>
    </row>
    <row r="982" spans="1:6" ht="60" x14ac:dyDescent="0.25">
      <c r="A982" s="8" t="s">
        <v>63</v>
      </c>
      <c r="B982" s="8" t="s">
        <v>14</v>
      </c>
      <c r="C982" s="8" t="str">
        <f>IFERROR(_xlfn.XLOOKUP(TRIM(B982),Lookup!$B$2:$B$1000,Lookup!$C$2:$C$1000),"")</f>
        <v>Equity</v>
      </c>
      <c r="D982" s="8" t="str">
        <f>IFERROR(INDEX('nav master'!$C:$C, MATCH(B982, 'nav master'!$B:$B, 0)), "")</f>
        <v>ULIF 158 170425 IndConsump 105</v>
      </c>
      <c r="E982" s="8">
        <v>65.764200000000002</v>
      </c>
      <c r="F982" s="9">
        <v>46225</v>
      </c>
    </row>
    <row r="983" spans="1:6" ht="60" x14ac:dyDescent="0.25">
      <c r="A983" s="8" t="s">
        <v>63</v>
      </c>
      <c r="B983" s="8" t="s">
        <v>14</v>
      </c>
      <c r="C983" s="8" t="str">
        <f>IFERROR(_xlfn.XLOOKUP(TRIM(B983),Lookup!$B$2:$B$1000,Lookup!$C$2:$C$1000),"")</f>
        <v>Equity</v>
      </c>
      <c r="D983" s="8" t="str">
        <f>IFERROR(INDEX('nav master'!$C:$C, MATCH(B983, 'nav master'!$B:$B, 0)), "")</f>
        <v>ULIF 158 170425 IndConsump 105</v>
      </c>
      <c r="E983" s="8">
        <v>65.346199999999996</v>
      </c>
      <c r="F983" s="9">
        <v>46226</v>
      </c>
    </row>
    <row r="984" spans="1:6" ht="60" x14ac:dyDescent="0.25">
      <c r="A984" s="8" t="s">
        <v>63</v>
      </c>
      <c r="B984" s="8" t="s">
        <v>14</v>
      </c>
      <c r="C984" s="8" t="str">
        <f>IFERROR(_xlfn.XLOOKUP(TRIM(B984),Lookup!$B$2:$B$1000,Lookup!$C$2:$C$1000),"")</f>
        <v>Equity</v>
      </c>
      <c r="D984" s="8" t="str">
        <f>IFERROR(INDEX('nav master'!$C:$C, MATCH(B984, 'nav master'!$B:$B, 0)), "")</f>
        <v>ULIF 158 170425 IndConsump 105</v>
      </c>
      <c r="E984" s="8">
        <v>64.8095</v>
      </c>
      <c r="F984" s="9">
        <v>46227</v>
      </c>
    </row>
    <row r="985" spans="1:6" ht="60" x14ac:dyDescent="0.25">
      <c r="A985" s="8" t="s">
        <v>63</v>
      </c>
      <c r="B985" s="8" t="s">
        <v>14</v>
      </c>
      <c r="C985" s="8" t="str">
        <f>IFERROR(_xlfn.XLOOKUP(TRIM(B985),Lookup!$B$2:$B$1000,Lookup!$C$2:$C$1000),"")</f>
        <v>Equity</v>
      </c>
      <c r="D985" s="8" t="str">
        <f>IFERROR(INDEX('nav master'!$C:$C, MATCH(B985, 'nav master'!$B:$B, 0)), "")</f>
        <v>ULIF 158 170425 IndConsump 105</v>
      </c>
      <c r="E985" s="8">
        <v>65.630099999999999</v>
      </c>
      <c r="F985" s="9">
        <v>46230</v>
      </c>
    </row>
    <row r="986" spans="1:6" ht="60" x14ac:dyDescent="0.25">
      <c r="A986" s="8" t="s">
        <v>63</v>
      </c>
      <c r="B986" s="8" t="s">
        <v>14</v>
      </c>
      <c r="C986" s="8" t="str">
        <f>IFERROR(_xlfn.XLOOKUP(TRIM(B986),Lookup!$B$2:$B$1000,Lookup!$C$2:$C$1000),"")</f>
        <v>Equity</v>
      </c>
      <c r="D986" s="8" t="str">
        <f>IFERROR(INDEX('nav master'!$C:$C, MATCH(B986, 'nav master'!$B:$B, 0)), "")</f>
        <v>ULIF 158 170425 IndConsump 105</v>
      </c>
      <c r="E986" s="8">
        <v>65.775199999999998</v>
      </c>
      <c r="F986" s="9">
        <v>46231</v>
      </c>
    </row>
    <row r="987" spans="1:6" ht="60" x14ac:dyDescent="0.25">
      <c r="A987" s="8" t="s">
        <v>63</v>
      </c>
      <c r="B987" s="8" t="s">
        <v>14</v>
      </c>
      <c r="C987" s="8" t="str">
        <f>IFERROR(_xlfn.XLOOKUP(TRIM(B987),Lookup!$B$2:$B$1000,Lookup!$C$2:$C$1000),"")</f>
        <v>Equity</v>
      </c>
      <c r="D987" s="8" t="str">
        <f>IFERROR(INDEX('nav master'!$C:$C, MATCH(B987, 'nav master'!$B:$B, 0)), "")</f>
        <v>ULIF 158 170425 IndConsump 105</v>
      </c>
      <c r="E987" s="8">
        <v>66.496700000000004</v>
      </c>
      <c r="F987" s="9">
        <v>46232</v>
      </c>
    </row>
    <row r="988" spans="1:6" ht="60" x14ac:dyDescent="0.25">
      <c r="A988" s="8" t="s">
        <v>63</v>
      </c>
      <c r="B988" s="8" t="s">
        <v>14</v>
      </c>
      <c r="C988" s="8" t="str">
        <f>IFERROR(_xlfn.XLOOKUP(TRIM(B988),Lookup!$B$2:$B$1000,Lookup!$C$2:$C$1000),"")</f>
        <v>Equity</v>
      </c>
      <c r="D988" s="8" t="str">
        <f>IFERROR(INDEX('nav master'!$C:$C, MATCH(B988, 'nav master'!$B:$B, 0)), "")</f>
        <v>ULIF 158 170425 IndConsump 105</v>
      </c>
      <c r="E988" s="8">
        <v>66.533500000000004</v>
      </c>
      <c r="F988" s="9">
        <v>46233</v>
      </c>
    </row>
    <row r="989" spans="1:6" ht="60" x14ac:dyDescent="0.25">
      <c r="A989" s="8" t="s">
        <v>63</v>
      </c>
      <c r="B989" s="8" t="s">
        <v>14</v>
      </c>
      <c r="C989" s="8" t="str">
        <f>IFERROR(_xlfn.XLOOKUP(TRIM(B989),Lookup!$B$2:$B$1000,Lookup!$C$2:$C$1000),"")</f>
        <v>Equity</v>
      </c>
      <c r="D989" s="8" t="str">
        <f>IFERROR(INDEX('nav master'!$C:$C, MATCH(B989, 'nav master'!$B:$B, 0)), "")</f>
        <v>ULIF 158 170425 IndConsump 105</v>
      </c>
      <c r="E989" s="8">
        <v>66.8065</v>
      </c>
      <c r="F989" s="9">
        <v>46234</v>
      </c>
    </row>
    <row r="990" spans="1:6" ht="60" x14ac:dyDescent="0.25">
      <c r="A990" s="8" t="s">
        <v>63</v>
      </c>
      <c r="B990" s="8" t="s">
        <v>67</v>
      </c>
      <c r="C990" s="8" t="str">
        <f>IFERROR(_xlfn.XLOOKUP(TRIM(B990),Lookup!$B$2:$B$1000,Lookup!$C$2:$C$1000),"")</f>
        <v>Equity - Large Cap</v>
      </c>
      <c r="D990" s="8" t="str">
        <f>IFERROR(INDEX('nav master'!$C:$C, MATCH(B990, 'nav master'!$B:$B, 0)), "")</f>
        <v>ULIF017 07/01/08 TLC 110</v>
      </c>
      <c r="E990" s="8">
        <v>72.481499999999997</v>
      </c>
      <c r="F990" s="9">
        <v>45869</v>
      </c>
    </row>
    <row r="991" spans="1:6" ht="60" x14ac:dyDescent="0.25">
      <c r="A991" s="8" t="s">
        <v>63</v>
      </c>
      <c r="B991" s="8" t="s">
        <v>67</v>
      </c>
      <c r="C991" s="8" t="str">
        <f>IFERROR(_xlfn.XLOOKUP(TRIM(B991),Lookup!$B$2:$B$1000,Lookup!$C$2:$C$1000),"")</f>
        <v>Equity - Large Cap</v>
      </c>
      <c r="D991" s="8" t="str">
        <f>IFERROR(INDEX('nav master'!$C:$C, MATCH(B991, 'nav master'!$B:$B, 0)), "")</f>
        <v>ULIF017 07/01/08 TLC 110</v>
      </c>
      <c r="E991" s="8">
        <v>71.669399999999996</v>
      </c>
      <c r="F991" s="9">
        <v>45870</v>
      </c>
    </row>
    <row r="992" spans="1:6" ht="60" x14ac:dyDescent="0.25">
      <c r="A992" s="8" t="s">
        <v>63</v>
      </c>
      <c r="B992" s="8" t="s">
        <v>67</v>
      </c>
      <c r="C992" s="8" t="str">
        <f>IFERROR(_xlfn.XLOOKUP(TRIM(B992),Lookup!$B$2:$B$1000,Lookup!$C$2:$C$1000),"")</f>
        <v>Equity - Large Cap</v>
      </c>
      <c r="D992" s="8" t="str">
        <f>IFERROR(INDEX('nav master'!$C:$C, MATCH(B992, 'nav master'!$B:$B, 0)), "")</f>
        <v>ULIF017 07/01/08 TLC 110</v>
      </c>
      <c r="E992" s="8">
        <v>72.163300000000007</v>
      </c>
      <c r="F992" s="9">
        <v>45873</v>
      </c>
    </row>
    <row r="993" spans="1:6" ht="60" x14ac:dyDescent="0.25">
      <c r="A993" s="8" t="s">
        <v>63</v>
      </c>
      <c r="B993" s="8" t="s">
        <v>67</v>
      </c>
      <c r="C993" s="8" t="str">
        <f>IFERROR(_xlfn.XLOOKUP(TRIM(B993),Lookup!$B$2:$B$1000,Lookup!$C$2:$C$1000),"")</f>
        <v>Equity - Large Cap</v>
      </c>
      <c r="D993" s="8" t="str">
        <f>IFERROR(INDEX('nav master'!$C:$C, MATCH(B993, 'nav master'!$B:$B, 0)), "")</f>
        <v>ULIF017 07/01/08 TLC 110</v>
      </c>
      <c r="E993" s="8">
        <v>71.836100000000002</v>
      </c>
      <c r="F993" s="9">
        <v>45874</v>
      </c>
    </row>
    <row r="994" spans="1:6" ht="60" x14ac:dyDescent="0.25">
      <c r="A994" s="8" t="s">
        <v>63</v>
      </c>
      <c r="B994" s="8" t="s">
        <v>67</v>
      </c>
      <c r="C994" s="8" t="str">
        <f>IFERROR(_xlfn.XLOOKUP(TRIM(B994),Lookup!$B$2:$B$1000,Lookup!$C$2:$C$1000),"")</f>
        <v>Equity - Large Cap</v>
      </c>
      <c r="D994" s="8" t="str">
        <f>IFERROR(INDEX('nav master'!$C:$C, MATCH(B994, 'nav master'!$B:$B, 0)), "")</f>
        <v>ULIF017 07/01/08 TLC 110</v>
      </c>
      <c r="E994" s="8">
        <v>71.558099999999996</v>
      </c>
      <c r="F994" s="9">
        <v>45875</v>
      </c>
    </row>
    <row r="995" spans="1:6" ht="60" x14ac:dyDescent="0.25">
      <c r="A995" s="8" t="s">
        <v>63</v>
      </c>
      <c r="B995" s="8" t="s">
        <v>67</v>
      </c>
      <c r="C995" s="8" t="str">
        <f>IFERROR(_xlfn.XLOOKUP(TRIM(B995),Lookup!$B$2:$B$1000,Lookup!$C$2:$C$1000),"")</f>
        <v>Equity - Large Cap</v>
      </c>
      <c r="D995" s="8" t="str">
        <f>IFERROR(INDEX('nav master'!$C:$C, MATCH(B995, 'nav master'!$B:$B, 0)), "")</f>
        <v>ULIF017 07/01/08 TLC 110</v>
      </c>
      <c r="E995" s="8">
        <v>71.704499999999996</v>
      </c>
      <c r="F995" s="9">
        <v>45876</v>
      </c>
    </row>
    <row r="996" spans="1:6" ht="60" x14ac:dyDescent="0.25">
      <c r="A996" s="8" t="s">
        <v>63</v>
      </c>
      <c r="B996" s="8" t="s">
        <v>67</v>
      </c>
      <c r="C996" s="8" t="str">
        <f>IFERROR(_xlfn.XLOOKUP(TRIM(B996),Lookup!$B$2:$B$1000,Lookup!$C$2:$C$1000),"")</f>
        <v>Equity - Large Cap</v>
      </c>
      <c r="D996" s="8" t="str">
        <f>IFERROR(INDEX('nav master'!$C:$C, MATCH(B996, 'nav master'!$B:$B, 0)), "")</f>
        <v>ULIF017 07/01/08 TLC 110</v>
      </c>
      <c r="E996" s="8">
        <v>71.0017</v>
      </c>
      <c r="F996" s="9">
        <v>45877</v>
      </c>
    </row>
    <row r="997" spans="1:6" ht="60" x14ac:dyDescent="0.25">
      <c r="A997" s="8" t="s">
        <v>63</v>
      </c>
      <c r="B997" s="8" t="s">
        <v>67</v>
      </c>
      <c r="C997" s="8" t="str">
        <f>IFERROR(_xlfn.XLOOKUP(TRIM(B997),Lookup!$B$2:$B$1000,Lookup!$C$2:$C$1000),"")</f>
        <v>Equity - Large Cap</v>
      </c>
      <c r="D997" s="8" t="str">
        <f>IFERROR(INDEX('nav master'!$C:$C, MATCH(B997, 'nav master'!$B:$B, 0)), "")</f>
        <v>ULIF017 07/01/08 TLC 110</v>
      </c>
      <c r="E997" s="8">
        <v>71.726600000000005</v>
      </c>
      <c r="F997" s="9">
        <v>45880</v>
      </c>
    </row>
    <row r="998" spans="1:6" ht="60" x14ac:dyDescent="0.25">
      <c r="A998" s="8" t="s">
        <v>63</v>
      </c>
      <c r="B998" s="8" t="s">
        <v>67</v>
      </c>
      <c r="C998" s="8" t="str">
        <f>IFERROR(_xlfn.XLOOKUP(TRIM(B998),Lookup!$B$2:$B$1000,Lookup!$C$2:$C$1000),"")</f>
        <v>Equity - Large Cap</v>
      </c>
      <c r="D998" s="8" t="str">
        <f>IFERROR(INDEX('nav master'!$C:$C, MATCH(B998, 'nav master'!$B:$B, 0)), "")</f>
        <v>ULIF017 07/01/08 TLC 110</v>
      </c>
      <c r="E998" s="8">
        <v>71.764099999999999</v>
      </c>
      <c r="F998" s="9">
        <v>45881</v>
      </c>
    </row>
    <row r="999" spans="1:6" ht="60" x14ac:dyDescent="0.25">
      <c r="A999" s="8" t="s">
        <v>63</v>
      </c>
      <c r="B999" s="8" t="s">
        <v>67</v>
      </c>
      <c r="C999" s="8" t="str">
        <f>IFERROR(_xlfn.XLOOKUP(TRIM(B999),Lookup!$B$2:$B$1000,Lookup!$C$2:$C$1000),"")</f>
        <v>Equity - Large Cap</v>
      </c>
      <c r="D999" s="8" t="str">
        <f>IFERROR(INDEX('nav master'!$C:$C, MATCH(B999, 'nav master'!$B:$B, 0)), "")</f>
        <v>ULIF017 07/01/08 TLC 110</v>
      </c>
      <c r="E999" s="8">
        <v>72.214100000000002</v>
      </c>
      <c r="F999" s="9">
        <v>45882</v>
      </c>
    </row>
    <row r="1000" spans="1:6" ht="60" x14ac:dyDescent="0.25">
      <c r="A1000" s="8" t="s">
        <v>63</v>
      </c>
      <c r="B1000" s="8" t="s">
        <v>67</v>
      </c>
      <c r="C1000" s="8" t="str">
        <f>IFERROR(_xlfn.XLOOKUP(TRIM(B1000),Lookup!$B$2:$B$1000,Lookup!$C$2:$C$1000),"")</f>
        <v>Equity - Large Cap</v>
      </c>
      <c r="D1000" s="8" t="str">
        <f>IFERROR(INDEX('nav master'!$C:$C, MATCH(B1000, 'nav master'!$B:$B, 0)), "")</f>
        <v>ULIF017 07/01/08 TLC 110</v>
      </c>
      <c r="E1000" s="8">
        <v>72.251800000000003</v>
      </c>
      <c r="F1000" s="9">
        <v>45883</v>
      </c>
    </row>
    <row r="1001" spans="1:6" ht="60" x14ac:dyDescent="0.25">
      <c r="A1001" s="8" t="s">
        <v>63</v>
      </c>
      <c r="B1001" s="8" t="s">
        <v>67</v>
      </c>
      <c r="C1001" s="8" t="str">
        <f>IFERROR(_xlfn.XLOOKUP(TRIM(B1001),Lookup!$B$2:$B$1000,Lookup!$C$2:$C$1000),"")</f>
        <v>Equity - Large Cap</v>
      </c>
      <c r="D1001" s="8" t="str">
        <f>IFERROR(INDEX('nav master'!$C:$C, MATCH(B1001, 'nav master'!$B:$B, 0)), "")</f>
        <v>ULIF017 07/01/08 TLC 110</v>
      </c>
      <c r="E1001" s="8">
        <v>72.864800000000002</v>
      </c>
      <c r="F1001" s="9">
        <v>45887</v>
      </c>
    </row>
    <row r="1002" spans="1:6" ht="60" x14ac:dyDescent="0.25">
      <c r="A1002" s="8" t="s">
        <v>63</v>
      </c>
      <c r="B1002" s="8" t="s">
        <v>67</v>
      </c>
      <c r="C1002" s="8" t="str">
        <f>IFERROR(_xlfn.XLOOKUP(TRIM(B1002),Lookup!$B$2:$B$1000,Lookup!$C$2:$C$1000),"")</f>
        <v>Equity - Large Cap</v>
      </c>
      <c r="D1002" s="8" t="str">
        <f>IFERROR(INDEX('nav master'!$C:$C, MATCH(B1002, 'nav master'!$B:$B, 0)), "")</f>
        <v>ULIF017 07/01/08 TLC 110</v>
      </c>
      <c r="E1002" s="8">
        <v>73.197400000000002</v>
      </c>
      <c r="F1002" s="9">
        <v>45888</v>
      </c>
    </row>
    <row r="1003" spans="1:6" ht="60" x14ac:dyDescent="0.25">
      <c r="A1003" s="8" t="s">
        <v>63</v>
      </c>
      <c r="B1003" s="8" t="s">
        <v>67</v>
      </c>
      <c r="C1003" s="8" t="str">
        <f>IFERROR(_xlfn.XLOOKUP(TRIM(B1003),Lookup!$B$2:$B$1000,Lookup!$C$2:$C$1000),"")</f>
        <v>Equity - Large Cap</v>
      </c>
      <c r="D1003" s="8" t="str">
        <f>IFERROR(INDEX('nav master'!$C:$C, MATCH(B1003, 'nav master'!$B:$B, 0)), "")</f>
        <v>ULIF017 07/01/08 TLC 110</v>
      </c>
      <c r="E1003" s="8">
        <v>73.411100000000005</v>
      </c>
      <c r="F1003" s="9">
        <v>45889</v>
      </c>
    </row>
    <row r="1004" spans="1:6" ht="60" x14ac:dyDescent="0.25">
      <c r="A1004" s="8" t="s">
        <v>63</v>
      </c>
      <c r="B1004" s="8" t="s">
        <v>67</v>
      </c>
      <c r="C1004" s="8" t="str">
        <f>IFERROR(_xlfn.XLOOKUP(TRIM(B1004),Lookup!$B$2:$B$1000,Lookup!$C$2:$C$1000),"")</f>
        <v>Equity - Large Cap</v>
      </c>
      <c r="D1004" s="8" t="str">
        <f>IFERROR(INDEX('nav master'!$C:$C, MATCH(B1004, 'nav master'!$B:$B, 0)), "")</f>
        <v>ULIF017 07/01/08 TLC 110</v>
      </c>
      <c r="E1004" s="8">
        <v>73.3583</v>
      </c>
      <c r="F1004" s="9">
        <v>45890</v>
      </c>
    </row>
    <row r="1005" spans="1:6" ht="60" x14ac:dyDescent="0.25">
      <c r="A1005" s="8" t="s">
        <v>63</v>
      </c>
      <c r="B1005" s="8" t="s">
        <v>67</v>
      </c>
      <c r="C1005" s="8" t="str">
        <f>IFERROR(_xlfn.XLOOKUP(TRIM(B1005),Lookup!$B$2:$B$1000,Lookup!$C$2:$C$1000),"")</f>
        <v>Equity - Large Cap</v>
      </c>
      <c r="D1005" s="8" t="str">
        <f>IFERROR(INDEX('nav master'!$C:$C, MATCH(B1005, 'nav master'!$B:$B, 0)), "")</f>
        <v>ULIF017 07/01/08 TLC 110</v>
      </c>
      <c r="E1005" s="8">
        <v>72.949799999999996</v>
      </c>
      <c r="F1005" s="9">
        <v>45891</v>
      </c>
    </row>
    <row r="1006" spans="1:6" ht="60" x14ac:dyDescent="0.25">
      <c r="A1006" s="8" t="s">
        <v>63</v>
      </c>
      <c r="B1006" s="8" t="s">
        <v>67</v>
      </c>
      <c r="C1006" s="8" t="str">
        <f>IFERROR(_xlfn.XLOOKUP(TRIM(B1006),Lookup!$B$2:$B$1000,Lookup!$C$2:$C$1000),"")</f>
        <v>Equity - Large Cap</v>
      </c>
      <c r="D1006" s="8" t="str">
        <f>IFERROR(INDEX('nav master'!$C:$C, MATCH(B1006, 'nav master'!$B:$B, 0)), "")</f>
        <v>ULIF017 07/01/08 TLC 110</v>
      </c>
      <c r="E1006" s="8">
        <v>73.105400000000003</v>
      </c>
      <c r="F1006" s="9">
        <v>45894</v>
      </c>
    </row>
    <row r="1007" spans="1:6" ht="60" x14ac:dyDescent="0.25">
      <c r="A1007" s="8" t="s">
        <v>63</v>
      </c>
      <c r="B1007" s="8" t="s">
        <v>67</v>
      </c>
      <c r="C1007" s="8" t="str">
        <f>IFERROR(_xlfn.XLOOKUP(TRIM(B1007),Lookup!$B$2:$B$1000,Lookup!$C$2:$C$1000),"")</f>
        <v>Equity - Large Cap</v>
      </c>
      <c r="D1007" s="8" t="str">
        <f>IFERROR(INDEX('nav master'!$C:$C, MATCH(B1007, 'nav master'!$B:$B, 0)), "")</f>
        <v>ULIF017 07/01/08 TLC 110</v>
      </c>
      <c r="E1007" s="8">
        <v>72.03</v>
      </c>
      <c r="F1007" s="9">
        <v>45895</v>
      </c>
    </row>
    <row r="1008" spans="1:6" ht="60" x14ac:dyDescent="0.25">
      <c r="A1008" s="8" t="s">
        <v>63</v>
      </c>
      <c r="B1008" s="8" t="s">
        <v>67</v>
      </c>
      <c r="C1008" s="8" t="str">
        <f>IFERROR(_xlfn.XLOOKUP(TRIM(B1008),Lookup!$B$2:$B$1000,Lookup!$C$2:$C$1000),"")</f>
        <v>Equity - Large Cap</v>
      </c>
      <c r="D1008" s="8" t="str">
        <f>IFERROR(INDEX('nav master'!$C:$C, MATCH(B1008, 'nav master'!$B:$B, 0)), "")</f>
        <v>ULIF017 07/01/08 TLC 110</v>
      </c>
      <c r="E1008" s="8">
        <v>71.2286</v>
      </c>
      <c r="F1008" s="9">
        <v>45897</v>
      </c>
    </row>
    <row r="1009" spans="1:6" ht="60" x14ac:dyDescent="0.25">
      <c r="A1009" s="8" t="s">
        <v>63</v>
      </c>
      <c r="B1009" s="8" t="s">
        <v>67</v>
      </c>
      <c r="C1009" s="8" t="str">
        <f>IFERROR(_xlfn.XLOOKUP(TRIM(B1009),Lookup!$B$2:$B$1000,Lookup!$C$2:$C$1000),"")</f>
        <v>Equity - Large Cap</v>
      </c>
      <c r="D1009" s="8" t="str">
        <f>IFERROR(INDEX('nav master'!$C:$C, MATCH(B1009, 'nav master'!$B:$B, 0)), "")</f>
        <v>ULIF017 07/01/08 TLC 110</v>
      </c>
      <c r="E1009" s="8">
        <v>70.749799999999993</v>
      </c>
      <c r="F1009" s="9">
        <v>45898</v>
      </c>
    </row>
    <row r="1010" spans="1:6" ht="60" x14ac:dyDescent="0.25">
      <c r="A1010" s="8" t="s">
        <v>63</v>
      </c>
      <c r="B1010" s="8" t="s">
        <v>67</v>
      </c>
      <c r="C1010" s="8" t="str">
        <f>IFERROR(_xlfn.XLOOKUP(TRIM(B1010),Lookup!$B$2:$B$1000,Lookup!$C$2:$C$1000),"")</f>
        <v>Equity - Large Cap</v>
      </c>
      <c r="D1010" s="8" t="str">
        <f>IFERROR(INDEX('nav master'!$C:$C, MATCH(B1010, 'nav master'!$B:$B, 0)), "")</f>
        <v>ULIF017 07/01/08 TLC 110</v>
      </c>
      <c r="E1010" s="8">
        <v>71.538899999999998</v>
      </c>
      <c r="F1010" s="9">
        <v>45901</v>
      </c>
    </row>
    <row r="1011" spans="1:6" ht="60" x14ac:dyDescent="0.25">
      <c r="A1011" s="8" t="s">
        <v>63</v>
      </c>
      <c r="B1011" s="8" t="s">
        <v>67</v>
      </c>
      <c r="C1011" s="8" t="str">
        <f>IFERROR(_xlfn.XLOOKUP(TRIM(B1011),Lookup!$B$2:$B$1000,Lookup!$C$2:$C$1000),"")</f>
        <v>Equity - Large Cap</v>
      </c>
      <c r="D1011" s="8" t="str">
        <f>IFERROR(INDEX('nav master'!$C:$C, MATCH(B1011, 'nav master'!$B:$B, 0)), "")</f>
        <v>ULIF017 07/01/08 TLC 110</v>
      </c>
      <c r="E1011" s="8">
        <v>71.407799999999995</v>
      </c>
      <c r="F1011" s="9">
        <v>45902</v>
      </c>
    </row>
    <row r="1012" spans="1:6" ht="60" x14ac:dyDescent="0.25">
      <c r="A1012" s="8" t="s">
        <v>63</v>
      </c>
      <c r="B1012" s="8" t="s">
        <v>67</v>
      </c>
      <c r="C1012" s="8" t="str">
        <f>IFERROR(_xlfn.XLOOKUP(TRIM(B1012),Lookup!$B$2:$B$1000,Lookup!$C$2:$C$1000),"")</f>
        <v>Equity - Large Cap</v>
      </c>
      <c r="D1012" s="8" t="str">
        <f>IFERROR(INDEX('nav master'!$C:$C, MATCH(B1012, 'nav master'!$B:$B, 0)), "")</f>
        <v>ULIF017 07/01/08 TLC 110</v>
      </c>
      <c r="E1012" s="8">
        <v>71.796000000000006</v>
      </c>
      <c r="F1012" s="9">
        <v>45903</v>
      </c>
    </row>
    <row r="1013" spans="1:6" ht="60" x14ac:dyDescent="0.25">
      <c r="A1013" s="8" t="s">
        <v>63</v>
      </c>
      <c r="B1013" s="8" t="s">
        <v>67</v>
      </c>
      <c r="C1013" s="8" t="str">
        <f>IFERROR(_xlfn.XLOOKUP(TRIM(B1013),Lookup!$B$2:$B$1000,Lookup!$C$2:$C$1000),"")</f>
        <v>Equity - Large Cap</v>
      </c>
      <c r="D1013" s="8" t="str">
        <f>IFERROR(INDEX('nav master'!$C:$C, MATCH(B1013, 'nav master'!$B:$B, 0)), "")</f>
        <v>ULIF017 07/01/08 TLC 110</v>
      </c>
      <c r="E1013" s="8">
        <v>71.668499999999995</v>
      </c>
      <c r="F1013" s="9">
        <v>45904</v>
      </c>
    </row>
    <row r="1014" spans="1:6" ht="60" x14ac:dyDescent="0.25">
      <c r="A1014" s="8" t="s">
        <v>63</v>
      </c>
      <c r="B1014" s="8" t="s">
        <v>67</v>
      </c>
      <c r="C1014" s="8" t="str">
        <f>IFERROR(_xlfn.XLOOKUP(TRIM(B1014),Lookup!$B$2:$B$1000,Lookup!$C$2:$C$1000),"")</f>
        <v>Equity - Large Cap</v>
      </c>
      <c r="D1014" s="8" t="str">
        <f>IFERROR(INDEX('nav master'!$C:$C, MATCH(B1014, 'nav master'!$B:$B, 0)), "")</f>
        <v>ULIF017 07/01/08 TLC 110</v>
      </c>
      <c r="E1014" s="8">
        <v>71.668199999999999</v>
      </c>
      <c r="F1014" s="9">
        <v>45905</v>
      </c>
    </row>
    <row r="1015" spans="1:6" ht="60" x14ac:dyDescent="0.25">
      <c r="A1015" s="8" t="s">
        <v>63</v>
      </c>
      <c r="B1015" s="8" t="s">
        <v>67</v>
      </c>
      <c r="C1015" s="8" t="str">
        <f>IFERROR(_xlfn.XLOOKUP(TRIM(B1015),Lookup!$B$2:$B$1000,Lookup!$C$2:$C$1000),"")</f>
        <v>Equity - Large Cap</v>
      </c>
      <c r="D1015" s="8" t="str">
        <f>IFERROR(INDEX('nav master'!$C:$C, MATCH(B1015, 'nav master'!$B:$B, 0)), "")</f>
        <v>ULIF017 07/01/08 TLC 110</v>
      </c>
      <c r="E1015" s="8">
        <v>71.765000000000001</v>
      </c>
      <c r="F1015" s="9">
        <v>45908</v>
      </c>
    </row>
    <row r="1016" spans="1:6" ht="60" x14ac:dyDescent="0.25">
      <c r="A1016" s="8" t="s">
        <v>63</v>
      </c>
      <c r="B1016" s="8" t="s">
        <v>67</v>
      </c>
      <c r="C1016" s="8" t="str">
        <f>IFERROR(_xlfn.XLOOKUP(TRIM(B1016),Lookup!$B$2:$B$1000,Lookup!$C$2:$C$1000),"")</f>
        <v>Equity - Large Cap</v>
      </c>
      <c r="D1016" s="8" t="str">
        <f>IFERROR(INDEX('nav master'!$C:$C, MATCH(B1016, 'nav master'!$B:$B, 0)), "")</f>
        <v>ULIF017 07/01/08 TLC 110</v>
      </c>
      <c r="E1016" s="8">
        <v>71.847700000000003</v>
      </c>
      <c r="F1016" s="9">
        <v>45909</v>
      </c>
    </row>
    <row r="1017" spans="1:6" ht="60" x14ac:dyDescent="0.25">
      <c r="A1017" s="8" t="s">
        <v>63</v>
      </c>
      <c r="B1017" s="8" t="s">
        <v>67</v>
      </c>
      <c r="C1017" s="8" t="str">
        <f>IFERROR(_xlfn.XLOOKUP(TRIM(B1017),Lookup!$B$2:$B$1000,Lookup!$C$2:$C$1000),"")</f>
        <v>Equity - Large Cap</v>
      </c>
      <c r="D1017" s="8" t="str">
        <f>IFERROR(INDEX('nav master'!$C:$C, MATCH(B1017, 'nav master'!$B:$B, 0)), "")</f>
        <v>ULIF017 07/01/08 TLC 110</v>
      </c>
      <c r="E1017" s="8">
        <v>72.080799999999996</v>
      </c>
      <c r="F1017" s="9">
        <v>45910</v>
      </c>
    </row>
    <row r="1018" spans="1:6" ht="60" x14ac:dyDescent="0.25">
      <c r="A1018" s="8" t="s">
        <v>63</v>
      </c>
      <c r="B1018" s="8" t="s">
        <v>67</v>
      </c>
      <c r="C1018" s="8" t="str">
        <f>IFERROR(_xlfn.XLOOKUP(TRIM(B1018),Lookup!$B$2:$B$1000,Lookup!$C$2:$C$1000),"")</f>
        <v>Equity - Large Cap</v>
      </c>
      <c r="D1018" s="8" t="str">
        <f>IFERROR(INDEX('nav master'!$C:$C, MATCH(B1018, 'nav master'!$B:$B, 0)), "")</f>
        <v>ULIF017 07/01/08 TLC 110</v>
      </c>
      <c r="E1018" s="8">
        <v>72.111500000000007</v>
      </c>
      <c r="F1018" s="9">
        <v>45911</v>
      </c>
    </row>
    <row r="1019" spans="1:6" ht="60" x14ac:dyDescent="0.25">
      <c r="A1019" s="8" t="s">
        <v>63</v>
      </c>
      <c r="B1019" s="8" t="s">
        <v>67</v>
      </c>
      <c r="C1019" s="8" t="str">
        <f>IFERROR(_xlfn.XLOOKUP(TRIM(B1019),Lookup!$B$2:$B$1000,Lookup!$C$2:$C$1000),"")</f>
        <v>Equity - Large Cap</v>
      </c>
      <c r="D1019" s="8" t="str">
        <f>IFERROR(INDEX('nav master'!$C:$C, MATCH(B1019, 'nav master'!$B:$B, 0)), "")</f>
        <v>ULIF017 07/01/08 TLC 110</v>
      </c>
      <c r="E1019" s="8">
        <v>72.367800000000003</v>
      </c>
      <c r="F1019" s="9">
        <v>45912</v>
      </c>
    </row>
    <row r="1020" spans="1:6" ht="60" x14ac:dyDescent="0.25">
      <c r="A1020" s="8" t="s">
        <v>63</v>
      </c>
      <c r="B1020" s="8" t="s">
        <v>67</v>
      </c>
      <c r="C1020" s="8" t="str">
        <f>IFERROR(_xlfn.XLOOKUP(TRIM(B1020),Lookup!$B$2:$B$1000,Lookup!$C$2:$C$1000),"")</f>
        <v>Equity - Large Cap</v>
      </c>
      <c r="D1020" s="8" t="str">
        <f>IFERROR(INDEX('nav master'!$C:$C, MATCH(B1020, 'nav master'!$B:$B, 0)), "")</f>
        <v>ULIF017 07/01/08 TLC 110</v>
      </c>
      <c r="E1020" s="8">
        <v>72.325000000000003</v>
      </c>
      <c r="F1020" s="9">
        <v>45915</v>
      </c>
    </row>
    <row r="1021" spans="1:6" ht="60" x14ac:dyDescent="0.25">
      <c r="A1021" s="8" t="s">
        <v>63</v>
      </c>
      <c r="B1021" s="8" t="s">
        <v>67</v>
      </c>
      <c r="C1021" s="8" t="str">
        <f>IFERROR(_xlfn.XLOOKUP(TRIM(B1021),Lookup!$B$2:$B$1000,Lookup!$C$2:$C$1000),"")</f>
        <v>Equity - Large Cap</v>
      </c>
      <c r="D1021" s="8" t="str">
        <f>IFERROR(INDEX('nav master'!$C:$C, MATCH(B1021, 'nav master'!$B:$B, 0)), "")</f>
        <v>ULIF017 07/01/08 TLC 110</v>
      </c>
      <c r="E1021" s="8">
        <v>72.655500000000004</v>
      </c>
      <c r="F1021" s="9">
        <v>45916</v>
      </c>
    </row>
    <row r="1022" spans="1:6" ht="60" x14ac:dyDescent="0.25">
      <c r="A1022" s="8" t="s">
        <v>63</v>
      </c>
      <c r="B1022" s="8" t="s">
        <v>67</v>
      </c>
      <c r="C1022" s="8" t="str">
        <f>IFERROR(_xlfn.XLOOKUP(TRIM(B1022),Lookup!$B$2:$B$1000,Lookup!$C$2:$C$1000),"")</f>
        <v>Equity - Large Cap</v>
      </c>
      <c r="D1022" s="8" t="str">
        <f>IFERROR(INDEX('nav master'!$C:$C, MATCH(B1022, 'nav master'!$B:$B, 0)), "")</f>
        <v>ULIF017 07/01/08 TLC 110</v>
      </c>
      <c r="E1022" s="8">
        <v>72.942300000000003</v>
      </c>
      <c r="F1022" s="9">
        <v>45917</v>
      </c>
    </row>
    <row r="1023" spans="1:6" ht="60" x14ac:dyDescent="0.25">
      <c r="A1023" s="8" t="s">
        <v>63</v>
      </c>
      <c r="B1023" s="8" t="s">
        <v>67</v>
      </c>
      <c r="C1023" s="8" t="str">
        <f>IFERROR(_xlfn.XLOOKUP(TRIM(B1023),Lookup!$B$2:$B$1000,Lookup!$C$2:$C$1000),"")</f>
        <v>Equity - Large Cap</v>
      </c>
      <c r="D1023" s="8" t="str">
        <f>IFERROR(INDEX('nav master'!$C:$C, MATCH(B1023, 'nav master'!$B:$B, 0)), "")</f>
        <v>ULIF017 07/01/08 TLC 110</v>
      </c>
      <c r="E1023" s="8">
        <v>73.262299999999996</v>
      </c>
      <c r="F1023" s="9">
        <v>45918</v>
      </c>
    </row>
    <row r="1024" spans="1:6" ht="60" x14ac:dyDescent="0.25">
      <c r="A1024" s="8" t="s">
        <v>63</v>
      </c>
      <c r="B1024" s="8" t="s">
        <v>67</v>
      </c>
      <c r="C1024" s="8" t="str">
        <f>IFERROR(_xlfn.XLOOKUP(TRIM(B1024),Lookup!$B$2:$B$1000,Lookup!$C$2:$C$1000),"")</f>
        <v>Equity - Large Cap</v>
      </c>
      <c r="D1024" s="8" t="str">
        <f>IFERROR(INDEX('nav master'!$C:$C, MATCH(B1024, 'nav master'!$B:$B, 0)), "")</f>
        <v>ULIF017 07/01/08 TLC 110</v>
      </c>
      <c r="E1024" s="8">
        <v>73.004400000000004</v>
      </c>
      <c r="F1024" s="9">
        <v>45919</v>
      </c>
    </row>
    <row r="1025" spans="1:6" ht="60" x14ac:dyDescent="0.25">
      <c r="A1025" s="8" t="s">
        <v>63</v>
      </c>
      <c r="B1025" s="8" t="s">
        <v>67</v>
      </c>
      <c r="C1025" s="8" t="str">
        <f>IFERROR(_xlfn.XLOOKUP(TRIM(B1025),Lookup!$B$2:$B$1000,Lookup!$C$2:$C$1000),"")</f>
        <v>Equity - Large Cap</v>
      </c>
      <c r="D1025" s="8" t="str">
        <f>IFERROR(INDEX('nav master'!$C:$C, MATCH(B1025, 'nav master'!$B:$B, 0)), "")</f>
        <v>ULIF017 07/01/08 TLC 110</v>
      </c>
      <c r="E1025" s="8">
        <v>72.7059</v>
      </c>
      <c r="F1025" s="9">
        <v>45922</v>
      </c>
    </row>
    <row r="1026" spans="1:6" ht="60" x14ac:dyDescent="0.25">
      <c r="A1026" s="8" t="s">
        <v>63</v>
      </c>
      <c r="B1026" s="8" t="s">
        <v>67</v>
      </c>
      <c r="C1026" s="8" t="str">
        <f>IFERROR(_xlfn.XLOOKUP(TRIM(B1026),Lookup!$B$2:$B$1000,Lookup!$C$2:$C$1000),"")</f>
        <v>Equity - Large Cap</v>
      </c>
      <c r="D1026" s="8" t="str">
        <f>IFERROR(INDEX('nav master'!$C:$C, MATCH(B1026, 'nav master'!$B:$B, 0)), "")</f>
        <v>ULIF017 07/01/08 TLC 110</v>
      </c>
      <c r="E1026" s="8">
        <v>72.534400000000005</v>
      </c>
      <c r="F1026" s="9">
        <v>45923</v>
      </c>
    </row>
    <row r="1027" spans="1:6" ht="60" x14ac:dyDescent="0.25">
      <c r="A1027" s="8" t="s">
        <v>63</v>
      </c>
      <c r="B1027" s="8" t="s">
        <v>67</v>
      </c>
      <c r="C1027" s="8" t="str">
        <f>IFERROR(_xlfn.XLOOKUP(TRIM(B1027),Lookup!$B$2:$B$1000,Lookup!$C$2:$C$1000),"")</f>
        <v>Equity - Large Cap</v>
      </c>
      <c r="D1027" s="8" t="str">
        <f>IFERROR(INDEX('nav master'!$C:$C, MATCH(B1027, 'nav master'!$B:$B, 0)), "")</f>
        <v>ULIF017 07/01/08 TLC 110</v>
      </c>
      <c r="E1027" s="8">
        <v>72.061700000000002</v>
      </c>
      <c r="F1027" s="9">
        <v>45924</v>
      </c>
    </row>
    <row r="1028" spans="1:6" ht="60" x14ac:dyDescent="0.25">
      <c r="A1028" s="8" t="s">
        <v>63</v>
      </c>
      <c r="B1028" s="8" t="s">
        <v>67</v>
      </c>
      <c r="C1028" s="8" t="str">
        <f>IFERROR(_xlfn.XLOOKUP(TRIM(B1028),Lookup!$B$2:$B$1000,Lookup!$C$2:$C$1000),"")</f>
        <v>Equity - Large Cap</v>
      </c>
      <c r="D1028" s="8" t="str">
        <f>IFERROR(INDEX('nav master'!$C:$C, MATCH(B1028, 'nav master'!$B:$B, 0)), "")</f>
        <v>ULIF017 07/01/08 TLC 110</v>
      </c>
      <c r="E1028" s="8">
        <v>71.664000000000001</v>
      </c>
      <c r="F1028" s="9">
        <v>45925</v>
      </c>
    </row>
    <row r="1029" spans="1:6" ht="60" x14ac:dyDescent="0.25">
      <c r="A1029" s="8" t="s">
        <v>63</v>
      </c>
      <c r="B1029" s="8" t="s">
        <v>67</v>
      </c>
      <c r="C1029" s="8" t="str">
        <f>IFERROR(_xlfn.XLOOKUP(TRIM(B1029),Lookup!$B$2:$B$1000,Lookup!$C$2:$C$1000),"")</f>
        <v>Equity - Large Cap</v>
      </c>
      <c r="D1029" s="8" t="str">
        <f>IFERROR(INDEX('nav master'!$C:$C, MATCH(B1029, 'nav master'!$B:$B, 0)), "")</f>
        <v>ULIF017 07/01/08 TLC 110</v>
      </c>
      <c r="E1029" s="8">
        <v>70.886700000000005</v>
      </c>
      <c r="F1029" s="9">
        <v>45926</v>
      </c>
    </row>
    <row r="1030" spans="1:6" ht="60" x14ac:dyDescent="0.25">
      <c r="A1030" s="8" t="s">
        <v>63</v>
      </c>
      <c r="B1030" s="8" t="s">
        <v>67</v>
      </c>
      <c r="C1030" s="8" t="str">
        <f>IFERROR(_xlfn.XLOOKUP(TRIM(B1030),Lookup!$B$2:$B$1000,Lookup!$C$2:$C$1000),"")</f>
        <v>Equity - Large Cap</v>
      </c>
      <c r="D1030" s="8" t="str">
        <f>IFERROR(INDEX('nav master'!$C:$C, MATCH(B1030, 'nav master'!$B:$B, 0)), "")</f>
        <v>ULIF017 07/01/08 TLC 110</v>
      </c>
      <c r="E1030" s="8">
        <v>70.900300000000001</v>
      </c>
      <c r="F1030" s="9">
        <v>45929</v>
      </c>
    </row>
    <row r="1031" spans="1:6" ht="60" x14ac:dyDescent="0.25">
      <c r="A1031" s="8" t="s">
        <v>63</v>
      </c>
      <c r="B1031" s="8" t="s">
        <v>67</v>
      </c>
      <c r="C1031" s="8" t="str">
        <f>IFERROR(_xlfn.XLOOKUP(TRIM(B1031),Lookup!$B$2:$B$1000,Lookup!$C$2:$C$1000),"")</f>
        <v>Equity - Large Cap</v>
      </c>
      <c r="D1031" s="8" t="str">
        <f>IFERROR(INDEX('nav master'!$C:$C, MATCH(B1031, 'nav master'!$B:$B, 0)), "")</f>
        <v>ULIF017 07/01/08 TLC 110</v>
      </c>
      <c r="E1031" s="8">
        <v>70.743499999999997</v>
      </c>
      <c r="F1031" s="9">
        <v>45930</v>
      </c>
    </row>
    <row r="1032" spans="1:6" ht="60" x14ac:dyDescent="0.25">
      <c r="A1032" s="8" t="s">
        <v>63</v>
      </c>
      <c r="B1032" s="8" t="s">
        <v>67</v>
      </c>
      <c r="C1032" s="8" t="str">
        <f>IFERROR(_xlfn.XLOOKUP(TRIM(B1032),Lookup!$B$2:$B$1000,Lookup!$C$2:$C$1000),"")</f>
        <v>Equity - Large Cap</v>
      </c>
      <c r="D1032" s="8" t="str">
        <f>IFERROR(INDEX('nav master'!$C:$C, MATCH(B1032, 'nav master'!$B:$B, 0)), "")</f>
        <v>ULIF017 07/01/08 TLC 110</v>
      </c>
      <c r="E1032" s="8">
        <v>71.361000000000004</v>
      </c>
      <c r="F1032" s="9">
        <v>45931</v>
      </c>
    </row>
    <row r="1033" spans="1:6" ht="60" x14ac:dyDescent="0.25">
      <c r="A1033" s="8" t="s">
        <v>63</v>
      </c>
      <c r="B1033" s="8" t="s">
        <v>67</v>
      </c>
      <c r="C1033" s="8" t="str">
        <f>IFERROR(_xlfn.XLOOKUP(TRIM(B1033),Lookup!$B$2:$B$1000,Lookup!$C$2:$C$1000),"")</f>
        <v>Equity - Large Cap</v>
      </c>
      <c r="D1033" s="8" t="str">
        <f>IFERROR(INDEX('nav master'!$C:$C, MATCH(B1033, 'nav master'!$B:$B, 0)), "")</f>
        <v>ULIF017 07/01/08 TLC 110</v>
      </c>
      <c r="E1033" s="8">
        <v>71.644400000000005</v>
      </c>
      <c r="F1033" s="9">
        <v>45933</v>
      </c>
    </row>
    <row r="1034" spans="1:6" ht="60" x14ac:dyDescent="0.25">
      <c r="A1034" s="8" t="s">
        <v>63</v>
      </c>
      <c r="B1034" s="8" t="s">
        <v>67</v>
      </c>
      <c r="C1034" s="8" t="str">
        <f>IFERROR(_xlfn.XLOOKUP(TRIM(B1034),Lookup!$B$2:$B$1000,Lookup!$C$2:$C$1000),"")</f>
        <v>Equity - Large Cap</v>
      </c>
      <c r="D1034" s="8" t="str">
        <f>IFERROR(INDEX('nav master'!$C:$C, MATCH(B1034, 'nav master'!$B:$B, 0)), "")</f>
        <v>ULIF017 07/01/08 TLC 110</v>
      </c>
      <c r="E1034" s="8">
        <v>72.175399999999996</v>
      </c>
      <c r="F1034" s="9">
        <v>45936</v>
      </c>
    </row>
    <row r="1035" spans="1:6" ht="60" x14ac:dyDescent="0.25">
      <c r="A1035" s="8" t="s">
        <v>63</v>
      </c>
      <c r="B1035" s="8" t="s">
        <v>67</v>
      </c>
      <c r="C1035" s="8" t="str">
        <f>IFERROR(_xlfn.XLOOKUP(TRIM(B1035),Lookup!$B$2:$B$1000,Lookup!$C$2:$C$1000),"")</f>
        <v>Equity - Large Cap</v>
      </c>
      <c r="D1035" s="8" t="str">
        <f>IFERROR(INDEX('nav master'!$C:$C, MATCH(B1035, 'nav master'!$B:$B, 0)), "")</f>
        <v>ULIF017 07/01/08 TLC 110</v>
      </c>
      <c r="E1035" s="8">
        <v>72.359499999999997</v>
      </c>
      <c r="F1035" s="9">
        <v>45937</v>
      </c>
    </row>
    <row r="1036" spans="1:6" ht="60" x14ac:dyDescent="0.25">
      <c r="A1036" s="8" t="s">
        <v>63</v>
      </c>
      <c r="B1036" s="8" t="s">
        <v>67</v>
      </c>
      <c r="C1036" s="8" t="str">
        <f>IFERROR(_xlfn.XLOOKUP(TRIM(B1036),Lookup!$B$2:$B$1000,Lookup!$C$2:$C$1000),"")</f>
        <v>Equity - Large Cap</v>
      </c>
      <c r="D1036" s="8" t="str">
        <f>IFERROR(INDEX('nav master'!$C:$C, MATCH(B1036, 'nav master'!$B:$B, 0)), "")</f>
        <v>ULIF017 07/01/08 TLC 110</v>
      </c>
      <c r="E1036" s="8">
        <v>72.116200000000006</v>
      </c>
      <c r="F1036" s="9">
        <v>45938</v>
      </c>
    </row>
    <row r="1037" spans="1:6" ht="60" x14ac:dyDescent="0.25">
      <c r="A1037" s="8" t="s">
        <v>63</v>
      </c>
      <c r="B1037" s="8" t="s">
        <v>67</v>
      </c>
      <c r="C1037" s="8" t="str">
        <f>IFERROR(_xlfn.XLOOKUP(TRIM(B1037),Lookup!$B$2:$B$1000,Lookup!$C$2:$C$1000),"")</f>
        <v>Equity - Large Cap</v>
      </c>
      <c r="D1037" s="8" t="str">
        <f>IFERROR(INDEX('nav master'!$C:$C, MATCH(B1037, 'nav master'!$B:$B, 0)), "")</f>
        <v>ULIF017 07/01/08 TLC 110</v>
      </c>
      <c r="E1037" s="8">
        <v>72.671800000000005</v>
      </c>
      <c r="F1037" s="9">
        <v>45939</v>
      </c>
    </row>
    <row r="1038" spans="1:6" ht="60" x14ac:dyDescent="0.25">
      <c r="A1038" s="8" t="s">
        <v>63</v>
      </c>
      <c r="B1038" s="8" t="s">
        <v>67</v>
      </c>
      <c r="C1038" s="8" t="str">
        <f>IFERROR(_xlfn.XLOOKUP(TRIM(B1038),Lookup!$B$2:$B$1000,Lookup!$C$2:$C$1000),"")</f>
        <v>Equity - Large Cap</v>
      </c>
      <c r="D1038" s="8" t="str">
        <f>IFERROR(INDEX('nav master'!$C:$C, MATCH(B1038, 'nav master'!$B:$B, 0)), "")</f>
        <v>ULIF017 07/01/08 TLC 110</v>
      </c>
      <c r="E1038" s="8">
        <v>72.924599999999998</v>
      </c>
      <c r="F1038" s="9">
        <v>45940</v>
      </c>
    </row>
    <row r="1039" spans="1:6" ht="60" x14ac:dyDescent="0.25">
      <c r="A1039" s="8" t="s">
        <v>63</v>
      </c>
      <c r="B1039" s="8" t="s">
        <v>67</v>
      </c>
      <c r="C1039" s="8" t="str">
        <f>IFERROR(_xlfn.XLOOKUP(TRIM(B1039),Lookup!$B$2:$B$1000,Lookup!$C$2:$C$1000),"")</f>
        <v>Equity - Large Cap</v>
      </c>
      <c r="D1039" s="8" t="str">
        <f>IFERROR(INDEX('nav master'!$C:$C, MATCH(B1039, 'nav master'!$B:$B, 0)), "")</f>
        <v>ULIF017 07/01/08 TLC 110</v>
      </c>
      <c r="E1039" s="8">
        <v>72.932100000000005</v>
      </c>
      <c r="F1039" s="9">
        <v>45943</v>
      </c>
    </row>
    <row r="1040" spans="1:6" ht="60" x14ac:dyDescent="0.25">
      <c r="A1040" s="8" t="s">
        <v>63</v>
      </c>
      <c r="B1040" s="8" t="s">
        <v>67</v>
      </c>
      <c r="C1040" s="8" t="str">
        <f>IFERROR(_xlfn.XLOOKUP(TRIM(B1040),Lookup!$B$2:$B$1000,Lookup!$C$2:$C$1000),"")</f>
        <v>Equity - Large Cap</v>
      </c>
      <c r="D1040" s="8" t="str">
        <f>IFERROR(INDEX('nav master'!$C:$C, MATCH(B1040, 'nav master'!$B:$B, 0)), "")</f>
        <v>ULIF017 07/01/08 TLC 110</v>
      </c>
      <c r="E1040" s="8">
        <v>72.902000000000001</v>
      </c>
      <c r="F1040" s="9">
        <v>45944</v>
      </c>
    </row>
    <row r="1041" spans="1:6" ht="60" x14ac:dyDescent="0.25">
      <c r="A1041" s="8" t="s">
        <v>63</v>
      </c>
      <c r="B1041" s="8" t="s">
        <v>67</v>
      </c>
      <c r="C1041" s="8" t="str">
        <f>IFERROR(_xlfn.XLOOKUP(TRIM(B1041),Lookup!$B$2:$B$1000,Lookup!$C$2:$C$1000),"")</f>
        <v>Equity - Large Cap</v>
      </c>
      <c r="D1041" s="8" t="str">
        <f>IFERROR(INDEX('nav master'!$C:$C, MATCH(B1041, 'nav master'!$B:$B, 0)), "")</f>
        <v>ULIF017 07/01/08 TLC 110</v>
      </c>
      <c r="E1041" s="8">
        <v>73.357399999999998</v>
      </c>
      <c r="F1041" s="9">
        <v>45945</v>
      </c>
    </row>
    <row r="1042" spans="1:6" ht="60" x14ac:dyDescent="0.25">
      <c r="A1042" s="8" t="s">
        <v>63</v>
      </c>
      <c r="B1042" s="8" t="s">
        <v>67</v>
      </c>
      <c r="C1042" s="8" t="str">
        <f>IFERROR(_xlfn.XLOOKUP(TRIM(B1042),Lookup!$B$2:$B$1000,Lookup!$C$2:$C$1000),"")</f>
        <v>Equity - Large Cap</v>
      </c>
      <c r="D1042" s="8" t="str">
        <f>IFERROR(INDEX('nav master'!$C:$C, MATCH(B1042, 'nav master'!$B:$B, 0)), "")</f>
        <v>ULIF017 07/01/08 TLC 110</v>
      </c>
      <c r="E1042" s="8">
        <v>73.9709</v>
      </c>
      <c r="F1042" s="9">
        <v>45946</v>
      </c>
    </row>
    <row r="1043" spans="1:6" ht="60" x14ac:dyDescent="0.25">
      <c r="A1043" s="8" t="s">
        <v>63</v>
      </c>
      <c r="B1043" s="8" t="s">
        <v>67</v>
      </c>
      <c r="C1043" s="8" t="str">
        <f>IFERROR(_xlfn.XLOOKUP(TRIM(B1043),Lookup!$B$2:$B$1000,Lookup!$C$2:$C$1000),"")</f>
        <v>Equity - Large Cap</v>
      </c>
      <c r="D1043" s="8" t="str">
        <f>IFERROR(INDEX('nav master'!$C:$C, MATCH(B1043, 'nav master'!$B:$B, 0)), "")</f>
        <v>ULIF017 07/01/08 TLC 110</v>
      </c>
      <c r="E1043" s="8">
        <v>74.308000000000007</v>
      </c>
      <c r="F1043" s="9">
        <v>45947</v>
      </c>
    </row>
    <row r="1044" spans="1:6" ht="60" x14ac:dyDescent="0.25">
      <c r="A1044" s="8" t="s">
        <v>63</v>
      </c>
      <c r="B1044" s="8" t="s">
        <v>67</v>
      </c>
      <c r="C1044" s="8" t="str">
        <f>IFERROR(_xlfn.XLOOKUP(TRIM(B1044),Lookup!$B$2:$B$1000,Lookup!$C$2:$C$1000),"")</f>
        <v>Equity - Large Cap</v>
      </c>
      <c r="D1044" s="8" t="str">
        <f>IFERROR(INDEX('nav master'!$C:$C, MATCH(B1044, 'nav master'!$B:$B, 0)), "")</f>
        <v>ULIF017 07/01/08 TLC 110</v>
      </c>
      <c r="E1044" s="8">
        <v>74.674899999999994</v>
      </c>
      <c r="F1044" s="9">
        <v>45950</v>
      </c>
    </row>
    <row r="1045" spans="1:6" ht="60" x14ac:dyDescent="0.25">
      <c r="A1045" s="8" t="s">
        <v>63</v>
      </c>
      <c r="B1045" s="8" t="s">
        <v>67</v>
      </c>
      <c r="C1045" s="8" t="str">
        <f>IFERROR(_xlfn.XLOOKUP(TRIM(B1045),Lookup!$B$2:$B$1000,Lookup!$C$2:$C$1000),"")</f>
        <v>Equity - Large Cap</v>
      </c>
      <c r="D1045" s="8" t="str">
        <f>IFERROR(INDEX('nav master'!$C:$C, MATCH(B1045, 'nav master'!$B:$B, 0)), "")</f>
        <v>ULIF017 07/01/08 TLC 110</v>
      </c>
      <c r="E1045" s="8">
        <v>74.656899999999993</v>
      </c>
      <c r="F1045" s="9">
        <v>45953</v>
      </c>
    </row>
    <row r="1046" spans="1:6" ht="60" x14ac:dyDescent="0.25">
      <c r="A1046" s="8" t="s">
        <v>63</v>
      </c>
      <c r="B1046" s="8" t="s">
        <v>67</v>
      </c>
      <c r="C1046" s="8" t="str">
        <f>IFERROR(_xlfn.XLOOKUP(TRIM(B1046),Lookup!$B$2:$B$1000,Lookup!$C$2:$C$1000),"")</f>
        <v>Equity - Large Cap</v>
      </c>
      <c r="D1046" s="8" t="str">
        <f>IFERROR(INDEX('nav master'!$C:$C, MATCH(B1046, 'nav master'!$B:$B, 0)), "")</f>
        <v>ULIF017 07/01/08 TLC 110</v>
      </c>
      <c r="E1046" s="8">
        <v>74.282399999999996</v>
      </c>
      <c r="F1046" s="9">
        <v>45954</v>
      </c>
    </row>
    <row r="1047" spans="1:6" ht="60" x14ac:dyDescent="0.25">
      <c r="A1047" s="8" t="s">
        <v>63</v>
      </c>
      <c r="B1047" s="8" t="s">
        <v>67</v>
      </c>
      <c r="C1047" s="8" t="str">
        <f>IFERROR(_xlfn.XLOOKUP(TRIM(B1047),Lookup!$B$2:$B$1000,Lookup!$C$2:$C$1000),"")</f>
        <v>Equity - Large Cap</v>
      </c>
      <c r="D1047" s="8" t="str">
        <f>IFERROR(INDEX('nav master'!$C:$C, MATCH(B1047, 'nav master'!$B:$B, 0)), "")</f>
        <v>ULIF017 07/01/08 TLC 110</v>
      </c>
      <c r="E1047" s="8">
        <v>74.946899999999999</v>
      </c>
      <c r="F1047" s="9">
        <v>45957</v>
      </c>
    </row>
    <row r="1048" spans="1:6" ht="60" x14ac:dyDescent="0.25">
      <c r="A1048" s="8" t="s">
        <v>63</v>
      </c>
      <c r="B1048" s="8" t="s">
        <v>67</v>
      </c>
      <c r="C1048" s="8" t="str">
        <f>IFERROR(_xlfn.XLOOKUP(TRIM(B1048),Lookup!$B$2:$B$1000,Lookup!$C$2:$C$1000),"")</f>
        <v>Equity - Large Cap</v>
      </c>
      <c r="D1048" s="8" t="str">
        <f>IFERROR(INDEX('nav master'!$C:$C, MATCH(B1048, 'nav master'!$B:$B, 0)), "")</f>
        <v>ULIF017 07/01/08 TLC 110</v>
      </c>
      <c r="E1048" s="8">
        <v>74.757099999999994</v>
      </c>
      <c r="F1048" s="9">
        <v>45958</v>
      </c>
    </row>
    <row r="1049" spans="1:6" ht="60" x14ac:dyDescent="0.25">
      <c r="A1049" s="8" t="s">
        <v>63</v>
      </c>
      <c r="B1049" s="8" t="s">
        <v>67</v>
      </c>
      <c r="C1049" s="8" t="str">
        <f>IFERROR(_xlfn.XLOOKUP(TRIM(B1049),Lookup!$B$2:$B$1000,Lookup!$C$2:$C$1000),"")</f>
        <v>Equity - Large Cap</v>
      </c>
      <c r="D1049" s="8" t="str">
        <f>IFERROR(INDEX('nav master'!$C:$C, MATCH(B1049, 'nav master'!$B:$B, 0)), "")</f>
        <v>ULIF017 07/01/08 TLC 110</v>
      </c>
      <c r="E1049" s="8">
        <v>75.328100000000006</v>
      </c>
      <c r="F1049" s="9">
        <v>45959</v>
      </c>
    </row>
    <row r="1050" spans="1:6" ht="60" x14ac:dyDescent="0.25">
      <c r="A1050" s="8" t="s">
        <v>63</v>
      </c>
      <c r="B1050" s="8" t="s">
        <v>67</v>
      </c>
      <c r="C1050" s="8" t="str">
        <f>IFERROR(_xlfn.XLOOKUP(TRIM(B1050),Lookup!$B$2:$B$1000,Lookup!$C$2:$C$1000),"")</f>
        <v>Equity - Large Cap</v>
      </c>
      <c r="D1050" s="8" t="str">
        <f>IFERROR(INDEX('nav master'!$C:$C, MATCH(B1050, 'nav master'!$B:$B, 0)), "")</f>
        <v>ULIF017 07/01/08 TLC 110</v>
      </c>
      <c r="E1050" s="8">
        <v>74.846299999999999</v>
      </c>
      <c r="F1050" s="9">
        <v>45960</v>
      </c>
    </row>
    <row r="1051" spans="1:6" ht="60" x14ac:dyDescent="0.25">
      <c r="A1051" s="8" t="s">
        <v>63</v>
      </c>
      <c r="B1051" s="8" t="s">
        <v>67</v>
      </c>
      <c r="C1051" s="8" t="str">
        <f>IFERROR(_xlfn.XLOOKUP(TRIM(B1051),Lookup!$B$2:$B$1000,Lookup!$C$2:$C$1000),"")</f>
        <v>Equity - Large Cap</v>
      </c>
      <c r="D1051" s="8" t="str">
        <f>IFERROR(INDEX('nav master'!$C:$C, MATCH(B1051, 'nav master'!$B:$B, 0)), "")</f>
        <v>ULIF017 07/01/08 TLC 110</v>
      </c>
      <c r="E1051" s="8">
        <v>74.333699999999993</v>
      </c>
      <c r="F1051" s="9">
        <v>45961</v>
      </c>
    </row>
    <row r="1052" spans="1:6" ht="60" x14ac:dyDescent="0.25">
      <c r="A1052" s="8" t="s">
        <v>63</v>
      </c>
      <c r="B1052" s="8" t="s">
        <v>67</v>
      </c>
      <c r="C1052" s="8" t="str">
        <f>IFERROR(_xlfn.XLOOKUP(TRIM(B1052),Lookup!$B$2:$B$1000,Lookup!$C$2:$C$1000),"")</f>
        <v>Equity - Large Cap</v>
      </c>
      <c r="D1052" s="8" t="str">
        <f>IFERROR(INDEX('nav master'!$C:$C, MATCH(B1052, 'nav master'!$B:$B, 0)), "")</f>
        <v>ULIF017 07/01/08 TLC 110</v>
      </c>
      <c r="E1052" s="8">
        <v>74.751400000000004</v>
      </c>
      <c r="F1052" s="9">
        <v>45964</v>
      </c>
    </row>
    <row r="1053" spans="1:6" ht="60" x14ac:dyDescent="0.25">
      <c r="A1053" s="8" t="s">
        <v>63</v>
      </c>
      <c r="B1053" s="8" t="s">
        <v>67</v>
      </c>
      <c r="C1053" s="8" t="str">
        <f>IFERROR(_xlfn.XLOOKUP(TRIM(B1053),Lookup!$B$2:$B$1000,Lookup!$C$2:$C$1000),"")</f>
        <v>Equity - Large Cap</v>
      </c>
      <c r="D1053" s="8" t="str">
        <f>IFERROR(INDEX('nav master'!$C:$C, MATCH(B1053, 'nav master'!$B:$B, 0)), "")</f>
        <v>ULIF017 07/01/08 TLC 110</v>
      </c>
      <c r="E1053" s="8">
        <v>74.420299999999997</v>
      </c>
      <c r="F1053" s="9">
        <v>45965</v>
      </c>
    </row>
    <row r="1054" spans="1:6" ht="60" x14ac:dyDescent="0.25">
      <c r="A1054" s="8" t="s">
        <v>63</v>
      </c>
      <c r="B1054" s="8" t="s">
        <v>67</v>
      </c>
      <c r="C1054" s="8" t="str">
        <f>IFERROR(_xlfn.XLOOKUP(TRIM(B1054),Lookup!$B$2:$B$1000,Lookup!$C$2:$C$1000),"")</f>
        <v>Equity - Large Cap</v>
      </c>
      <c r="D1054" s="8" t="str">
        <f>IFERROR(INDEX('nav master'!$C:$C, MATCH(B1054, 'nav master'!$B:$B, 0)), "")</f>
        <v>ULIF017 07/01/08 TLC 110</v>
      </c>
      <c r="E1054" s="8">
        <v>74.253500000000003</v>
      </c>
      <c r="F1054" s="9">
        <v>45967</v>
      </c>
    </row>
    <row r="1055" spans="1:6" ht="60" x14ac:dyDescent="0.25">
      <c r="A1055" s="8" t="s">
        <v>63</v>
      </c>
      <c r="B1055" s="8" t="s">
        <v>67</v>
      </c>
      <c r="C1055" s="8" t="str">
        <f>IFERROR(_xlfn.XLOOKUP(TRIM(B1055),Lookup!$B$2:$B$1000,Lookup!$C$2:$C$1000),"")</f>
        <v>Equity - Large Cap</v>
      </c>
      <c r="D1055" s="8" t="str">
        <f>IFERROR(INDEX('nav master'!$C:$C, MATCH(B1055, 'nav master'!$B:$B, 0)), "")</f>
        <v>ULIF017 07/01/08 TLC 110</v>
      </c>
      <c r="E1055" s="8">
        <v>74.188100000000006</v>
      </c>
      <c r="F1055" s="9">
        <v>45968</v>
      </c>
    </row>
    <row r="1056" spans="1:6" ht="60" x14ac:dyDescent="0.25">
      <c r="A1056" s="8" t="s">
        <v>63</v>
      </c>
      <c r="B1056" s="8" t="s">
        <v>67</v>
      </c>
      <c r="C1056" s="8" t="str">
        <f>IFERROR(_xlfn.XLOOKUP(TRIM(B1056),Lookup!$B$2:$B$1000,Lookup!$C$2:$C$1000),"")</f>
        <v>Equity - Large Cap</v>
      </c>
      <c r="D1056" s="8" t="str">
        <f>IFERROR(INDEX('nav master'!$C:$C, MATCH(B1056, 'nav master'!$B:$B, 0)), "")</f>
        <v>ULIF017 07/01/08 TLC 110</v>
      </c>
      <c r="E1056" s="8">
        <v>74.423500000000004</v>
      </c>
      <c r="F1056" s="9">
        <v>45971</v>
      </c>
    </row>
    <row r="1057" spans="1:6" ht="60" x14ac:dyDescent="0.25">
      <c r="A1057" s="8" t="s">
        <v>63</v>
      </c>
      <c r="B1057" s="8" t="s">
        <v>67</v>
      </c>
      <c r="C1057" s="8" t="str">
        <f>IFERROR(_xlfn.XLOOKUP(TRIM(B1057),Lookup!$B$2:$B$1000,Lookup!$C$2:$C$1000),"")</f>
        <v>Equity - Large Cap</v>
      </c>
      <c r="D1057" s="8" t="str">
        <f>IFERROR(INDEX('nav master'!$C:$C, MATCH(B1057, 'nav master'!$B:$B, 0)), "")</f>
        <v>ULIF017 07/01/08 TLC 110</v>
      </c>
      <c r="E1057" s="8">
        <v>74.980400000000003</v>
      </c>
      <c r="F1057" s="9">
        <v>45972</v>
      </c>
    </row>
    <row r="1058" spans="1:6" ht="60" x14ac:dyDescent="0.25">
      <c r="A1058" s="8" t="s">
        <v>63</v>
      </c>
      <c r="B1058" s="8" t="s">
        <v>67</v>
      </c>
      <c r="C1058" s="8" t="str">
        <f>IFERROR(_xlfn.XLOOKUP(TRIM(B1058),Lookup!$B$2:$B$1000,Lookup!$C$2:$C$1000),"")</f>
        <v>Equity - Large Cap</v>
      </c>
      <c r="D1058" s="8" t="str">
        <f>IFERROR(INDEX('nav master'!$C:$C, MATCH(B1058, 'nav master'!$B:$B, 0)), "")</f>
        <v>ULIF017 07/01/08 TLC 110</v>
      </c>
      <c r="E1058" s="8">
        <v>75.270300000000006</v>
      </c>
      <c r="F1058" s="9">
        <v>45973</v>
      </c>
    </row>
    <row r="1059" spans="1:6" ht="60" x14ac:dyDescent="0.25">
      <c r="A1059" s="8" t="s">
        <v>63</v>
      </c>
      <c r="B1059" s="8" t="s">
        <v>67</v>
      </c>
      <c r="C1059" s="8" t="str">
        <f>IFERROR(_xlfn.XLOOKUP(TRIM(B1059),Lookup!$B$2:$B$1000,Lookup!$C$2:$C$1000),"")</f>
        <v>Equity - Large Cap</v>
      </c>
      <c r="D1059" s="8" t="str">
        <f>IFERROR(INDEX('nav master'!$C:$C, MATCH(B1059, 'nav master'!$B:$B, 0)), "")</f>
        <v>ULIF017 07/01/08 TLC 110</v>
      </c>
      <c r="E1059" s="8">
        <v>75.412099999999995</v>
      </c>
      <c r="F1059" s="9">
        <v>45974</v>
      </c>
    </row>
    <row r="1060" spans="1:6" ht="60" x14ac:dyDescent="0.25">
      <c r="A1060" s="8" t="s">
        <v>63</v>
      </c>
      <c r="B1060" s="8" t="s">
        <v>67</v>
      </c>
      <c r="C1060" s="8" t="str">
        <f>IFERROR(_xlfn.XLOOKUP(TRIM(B1060),Lookup!$B$2:$B$1000,Lookup!$C$2:$C$1000),"")</f>
        <v>Equity - Large Cap</v>
      </c>
      <c r="D1060" s="8" t="str">
        <f>IFERROR(INDEX('nav master'!$C:$C, MATCH(B1060, 'nav master'!$B:$B, 0)), "")</f>
        <v>ULIF017 07/01/08 TLC 110</v>
      </c>
      <c r="E1060" s="8">
        <v>75.409599999999998</v>
      </c>
      <c r="F1060" s="9">
        <v>45975</v>
      </c>
    </row>
    <row r="1061" spans="1:6" ht="60" x14ac:dyDescent="0.25">
      <c r="A1061" s="8" t="s">
        <v>63</v>
      </c>
      <c r="B1061" s="8" t="s">
        <v>67</v>
      </c>
      <c r="C1061" s="8" t="str">
        <f>IFERROR(_xlfn.XLOOKUP(TRIM(B1061),Lookup!$B$2:$B$1000,Lookup!$C$2:$C$1000),"")</f>
        <v>Equity - Large Cap</v>
      </c>
      <c r="D1061" s="8" t="str">
        <f>IFERROR(INDEX('nav master'!$C:$C, MATCH(B1061, 'nav master'!$B:$B, 0)), "")</f>
        <v>ULIF017 07/01/08 TLC 110</v>
      </c>
      <c r="E1061" s="8">
        <v>75.751300000000001</v>
      </c>
      <c r="F1061" s="9">
        <v>45978</v>
      </c>
    </row>
    <row r="1062" spans="1:6" ht="60" x14ac:dyDescent="0.25">
      <c r="A1062" s="8" t="s">
        <v>63</v>
      </c>
      <c r="B1062" s="8" t="s">
        <v>67</v>
      </c>
      <c r="C1062" s="8" t="str">
        <f>IFERROR(_xlfn.XLOOKUP(TRIM(B1062),Lookup!$B$2:$B$1000,Lookup!$C$2:$C$1000),"")</f>
        <v>Equity - Large Cap</v>
      </c>
      <c r="D1062" s="8" t="str">
        <f>IFERROR(INDEX('nav master'!$C:$C, MATCH(B1062, 'nav master'!$B:$B, 0)), "")</f>
        <v>ULIF017 07/01/08 TLC 110</v>
      </c>
      <c r="E1062" s="8">
        <v>75.426699999999997</v>
      </c>
      <c r="F1062" s="9">
        <v>45979</v>
      </c>
    </row>
    <row r="1063" spans="1:6" ht="60" x14ac:dyDescent="0.25">
      <c r="A1063" s="8" t="s">
        <v>63</v>
      </c>
      <c r="B1063" s="8" t="s">
        <v>67</v>
      </c>
      <c r="C1063" s="8" t="str">
        <f>IFERROR(_xlfn.XLOOKUP(TRIM(B1063),Lookup!$B$2:$B$1000,Lookup!$C$2:$C$1000),"")</f>
        <v>Equity - Large Cap</v>
      </c>
      <c r="D1063" s="8" t="str">
        <f>IFERROR(INDEX('nav master'!$C:$C, MATCH(B1063, 'nav master'!$B:$B, 0)), "")</f>
        <v>ULIF017 07/01/08 TLC 110</v>
      </c>
      <c r="E1063" s="8">
        <v>75.730800000000002</v>
      </c>
      <c r="F1063" s="9">
        <v>45980</v>
      </c>
    </row>
    <row r="1064" spans="1:6" ht="60" x14ac:dyDescent="0.25">
      <c r="A1064" s="8" t="s">
        <v>63</v>
      </c>
      <c r="B1064" s="8" t="s">
        <v>67</v>
      </c>
      <c r="C1064" s="8" t="str">
        <f>IFERROR(_xlfn.XLOOKUP(TRIM(B1064),Lookup!$B$2:$B$1000,Lookup!$C$2:$C$1000),"")</f>
        <v>Equity - Large Cap</v>
      </c>
      <c r="D1064" s="8" t="str">
        <f>IFERROR(INDEX('nav master'!$C:$C, MATCH(B1064, 'nav master'!$B:$B, 0)), "")</f>
        <v>ULIF017 07/01/08 TLC 110</v>
      </c>
      <c r="E1064" s="8">
        <v>76.066299999999998</v>
      </c>
      <c r="F1064" s="9">
        <v>45981</v>
      </c>
    </row>
    <row r="1065" spans="1:6" ht="60" x14ac:dyDescent="0.25">
      <c r="A1065" s="8" t="s">
        <v>63</v>
      </c>
      <c r="B1065" s="8" t="s">
        <v>67</v>
      </c>
      <c r="C1065" s="8" t="str">
        <f>IFERROR(_xlfn.XLOOKUP(TRIM(B1065),Lookup!$B$2:$B$1000,Lookup!$C$2:$C$1000),"")</f>
        <v>Equity - Large Cap</v>
      </c>
      <c r="D1065" s="8" t="str">
        <f>IFERROR(INDEX('nav master'!$C:$C, MATCH(B1065, 'nav master'!$B:$B, 0)), "")</f>
        <v>ULIF017 07/01/08 TLC 110</v>
      </c>
      <c r="E1065" s="8">
        <v>75.652600000000007</v>
      </c>
      <c r="F1065" s="9">
        <v>45982</v>
      </c>
    </row>
    <row r="1066" spans="1:6" ht="60" x14ac:dyDescent="0.25">
      <c r="A1066" s="8" t="s">
        <v>63</v>
      </c>
      <c r="B1066" s="8" t="s">
        <v>67</v>
      </c>
      <c r="C1066" s="8" t="str">
        <f>IFERROR(_xlfn.XLOOKUP(TRIM(B1066),Lookup!$B$2:$B$1000,Lookup!$C$2:$C$1000),"")</f>
        <v>Equity - Large Cap</v>
      </c>
      <c r="D1066" s="8" t="str">
        <f>IFERROR(INDEX('nav master'!$C:$C, MATCH(B1066, 'nav master'!$B:$B, 0)), "")</f>
        <v>ULIF017 07/01/08 TLC 110</v>
      </c>
      <c r="E1066" s="8">
        <v>75.485500000000002</v>
      </c>
      <c r="F1066" s="9">
        <v>45985</v>
      </c>
    </row>
    <row r="1067" spans="1:6" ht="60" x14ac:dyDescent="0.25">
      <c r="A1067" s="8" t="s">
        <v>63</v>
      </c>
      <c r="B1067" s="8" t="s">
        <v>67</v>
      </c>
      <c r="C1067" s="8" t="str">
        <f>IFERROR(_xlfn.XLOOKUP(TRIM(B1067),Lookup!$B$2:$B$1000,Lookup!$C$2:$C$1000),"")</f>
        <v>Equity - Large Cap</v>
      </c>
      <c r="D1067" s="8" t="str">
        <f>IFERROR(INDEX('nav master'!$C:$C, MATCH(B1067, 'nav master'!$B:$B, 0)), "")</f>
        <v>ULIF017 07/01/08 TLC 110</v>
      </c>
      <c r="E1067" s="8">
        <v>75.3202</v>
      </c>
      <c r="F1067" s="9">
        <v>45986</v>
      </c>
    </row>
    <row r="1068" spans="1:6" ht="60" x14ac:dyDescent="0.25">
      <c r="A1068" s="8" t="s">
        <v>63</v>
      </c>
      <c r="B1068" s="8" t="s">
        <v>67</v>
      </c>
      <c r="C1068" s="8" t="str">
        <f>IFERROR(_xlfn.XLOOKUP(TRIM(B1068),Lookup!$B$2:$B$1000,Lookup!$C$2:$C$1000),"")</f>
        <v>Equity - Large Cap</v>
      </c>
      <c r="D1068" s="8" t="str">
        <f>IFERROR(INDEX('nav master'!$C:$C, MATCH(B1068, 'nav master'!$B:$B, 0)), "")</f>
        <v>ULIF017 07/01/08 TLC 110</v>
      </c>
      <c r="E1068" s="8">
        <v>76.468999999999994</v>
      </c>
      <c r="F1068" s="9">
        <v>45987</v>
      </c>
    </row>
    <row r="1069" spans="1:6" ht="60" x14ac:dyDescent="0.25">
      <c r="A1069" s="8" t="s">
        <v>63</v>
      </c>
      <c r="B1069" s="8" t="s">
        <v>67</v>
      </c>
      <c r="C1069" s="8" t="str">
        <f>IFERROR(_xlfn.XLOOKUP(TRIM(B1069),Lookup!$B$2:$B$1000,Lookup!$C$2:$C$1000),"")</f>
        <v>Equity - Large Cap</v>
      </c>
      <c r="D1069" s="8" t="str">
        <f>IFERROR(INDEX('nav master'!$C:$C, MATCH(B1069, 'nav master'!$B:$B, 0)), "")</f>
        <v>ULIF017 07/01/08 TLC 110</v>
      </c>
      <c r="E1069" s="8">
        <v>76.570800000000006</v>
      </c>
      <c r="F1069" s="9">
        <v>45988</v>
      </c>
    </row>
    <row r="1070" spans="1:6" ht="60" x14ac:dyDescent="0.25">
      <c r="A1070" s="8" t="s">
        <v>63</v>
      </c>
      <c r="B1070" s="8" t="s">
        <v>67</v>
      </c>
      <c r="C1070" s="8" t="str">
        <f>IFERROR(_xlfn.XLOOKUP(TRIM(B1070),Lookup!$B$2:$B$1000,Lookup!$C$2:$C$1000),"")</f>
        <v>Equity - Large Cap</v>
      </c>
      <c r="D1070" s="8" t="str">
        <f>IFERROR(INDEX('nav master'!$C:$C, MATCH(B1070, 'nav master'!$B:$B, 0)), "")</f>
        <v>ULIF017 07/01/08 TLC 110</v>
      </c>
      <c r="E1070" s="8">
        <v>76.432500000000005</v>
      </c>
      <c r="F1070" s="9">
        <v>45989</v>
      </c>
    </row>
    <row r="1071" spans="1:6" ht="60" x14ac:dyDescent="0.25">
      <c r="A1071" s="8" t="s">
        <v>63</v>
      </c>
      <c r="B1071" s="8" t="s">
        <v>67</v>
      </c>
      <c r="C1071" s="8" t="str">
        <f>IFERROR(_xlfn.XLOOKUP(TRIM(B1071),Lookup!$B$2:$B$1000,Lookup!$C$2:$C$1000),"")</f>
        <v>Equity - Large Cap</v>
      </c>
      <c r="D1071" s="8" t="str">
        <f>IFERROR(INDEX('nav master'!$C:$C, MATCH(B1071, 'nav master'!$B:$B, 0)), "")</f>
        <v>ULIF017 07/01/08 TLC 110</v>
      </c>
      <c r="E1071" s="8">
        <v>76.379199999999997</v>
      </c>
      <c r="F1071" s="9">
        <v>45992</v>
      </c>
    </row>
    <row r="1072" spans="1:6" ht="60" x14ac:dyDescent="0.25">
      <c r="A1072" s="8" t="s">
        <v>63</v>
      </c>
      <c r="B1072" s="8" t="s">
        <v>67</v>
      </c>
      <c r="C1072" s="8" t="str">
        <f>IFERROR(_xlfn.XLOOKUP(TRIM(B1072),Lookup!$B$2:$B$1000,Lookup!$C$2:$C$1000),"")</f>
        <v>Equity - Large Cap</v>
      </c>
      <c r="D1072" s="8" t="str">
        <f>IFERROR(INDEX('nav master'!$C:$C, MATCH(B1072, 'nav master'!$B:$B, 0)), "")</f>
        <v>ULIF017 07/01/08 TLC 110</v>
      </c>
      <c r="E1072" s="8">
        <v>75.993799999999993</v>
      </c>
      <c r="F1072" s="9">
        <v>45993</v>
      </c>
    </row>
    <row r="1073" spans="1:6" ht="60" x14ac:dyDescent="0.25">
      <c r="A1073" s="8" t="s">
        <v>63</v>
      </c>
      <c r="B1073" s="8" t="s">
        <v>67</v>
      </c>
      <c r="C1073" s="8" t="str">
        <f>IFERROR(_xlfn.XLOOKUP(TRIM(B1073),Lookup!$B$2:$B$1000,Lookup!$C$2:$C$1000),"")</f>
        <v>Equity - Large Cap</v>
      </c>
      <c r="D1073" s="8" t="str">
        <f>IFERROR(INDEX('nav master'!$C:$C, MATCH(B1073, 'nav master'!$B:$B, 0)), "")</f>
        <v>ULIF017 07/01/08 TLC 110</v>
      </c>
      <c r="E1073" s="8">
        <v>75.778099999999995</v>
      </c>
      <c r="F1073" s="9">
        <v>45994</v>
      </c>
    </row>
    <row r="1074" spans="1:6" ht="60" x14ac:dyDescent="0.25">
      <c r="A1074" s="8" t="s">
        <v>63</v>
      </c>
      <c r="B1074" s="8" t="s">
        <v>67</v>
      </c>
      <c r="C1074" s="8" t="str">
        <f>IFERROR(_xlfn.XLOOKUP(TRIM(B1074),Lookup!$B$2:$B$1000,Lookup!$C$2:$C$1000),"")</f>
        <v>Equity - Large Cap</v>
      </c>
      <c r="D1074" s="8" t="str">
        <f>IFERROR(INDEX('nav master'!$C:$C, MATCH(B1074, 'nav master'!$B:$B, 0)), "")</f>
        <v>ULIF017 07/01/08 TLC 110</v>
      </c>
      <c r="E1074" s="8">
        <v>75.816699999999997</v>
      </c>
      <c r="F1074" s="9">
        <v>45995</v>
      </c>
    </row>
    <row r="1075" spans="1:6" ht="60" x14ac:dyDescent="0.25">
      <c r="A1075" s="8" t="s">
        <v>63</v>
      </c>
      <c r="B1075" s="8" t="s">
        <v>67</v>
      </c>
      <c r="C1075" s="8" t="str">
        <f>IFERROR(_xlfn.XLOOKUP(TRIM(B1075),Lookup!$B$2:$B$1000,Lookup!$C$2:$C$1000),"")</f>
        <v>Equity - Large Cap</v>
      </c>
      <c r="D1075" s="8" t="str">
        <f>IFERROR(INDEX('nav master'!$C:$C, MATCH(B1075, 'nav master'!$B:$B, 0)), "")</f>
        <v>ULIF017 07/01/08 TLC 110</v>
      </c>
      <c r="E1075" s="8">
        <v>76.243600000000001</v>
      </c>
      <c r="F1075" s="9">
        <v>45996</v>
      </c>
    </row>
    <row r="1076" spans="1:6" ht="60" x14ac:dyDescent="0.25">
      <c r="A1076" s="8" t="s">
        <v>63</v>
      </c>
      <c r="B1076" s="8" t="s">
        <v>67</v>
      </c>
      <c r="C1076" s="8" t="str">
        <f>IFERROR(_xlfn.XLOOKUP(TRIM(B1076),Lookup!$B$2:$B$1000,Lookup!$C$2:$C$1000),"")</f>
        <v>Equity - Large Cap</v>
      </c>
      <c r="D1076" s="8" t="str">
        <f>IFERROR(INDEX('nav master'!$C:$C, MATCH(B1076, 'nav master'!$B:$B, 0)), "")</f>
        <v>ULIF017 07/01/08 TLC 110</v>
      </c>
      <c r="E1076" s="8">
        <v>75.503200000000007</v>
      </c>
      <c r="F1076" s="9">
        <v>45999</v>
      </c>
    </row>
    <row r="1077" spans="1:6" ht="60" x14ac:dyDescent="0.25">
      <c r="A1077" s="8" t="s">
        <v>63</v>
      </c>
      <c r="B1077" s="8" t="s">
        <v>67</v>
      </c>
      <c r="C1077" s="8" t="str">
        <f>IFERROR(_xlfn.XLOOKUP(TRIM(B1077),Lookup!$B$2:$B$1000,Lookup!$C$2:$C$1000),"")</f>
        <v>Equity - Large Cap</v>
      </c>
      <c r="D1077" s="8" t="str">
        <f>IFERROR(INDEX('nav master'!$C:$C, MATCH(B1077, 'nav master'!$B:$B, 0)), "")</f>
        <v>ULIF017 07/01/08 TLC 110</v>
      </c>
      <c r="E1077" s="8">
        <v>75.421099999999996</v>
      </c>
      <c r="F1077" s="9">
        <v>46000</v>
      </c>
    </row>
    <row r="1078" spans="1:6" ht="60" x14ac:dyDescent="0.25">
      <c r="A1078" s="8" t="s">
        <v>63</v>
      </c>
      <c r="B1078" s="8" t="s">
        <v>67</v>
      </c>
      <c r="C1078" s="8" t="str">
        <f>IFERROR(_xlfn.XLOOKUP(TRIM(B1078),Lookup!$B$2:$B$1000,Lookup!$C$2:$C$1000),"")</f>
        <v>Equity - Large Cap</v>
      </c>
      <c r="D1078" s="8" t="str">
        <f>IFERROR(INDEX('nav master'!$C:$C, MATCH(B1078, 'nav master'!$B:$B, 0)), "")</f>
        <v>ULIF017 07/01/08 TLC 110</v>
      </c>
      <c r="E1078" s="8">
        <v>74.913399999999996</v>
      </c>
      <c r="F1078" s="9">
        <v>46001</v>
      </c>
    </row>
    <row r="1079" spans="1:6" ht="60" x14ac:dyDescent="0.25">
      <c r="A1079" s="8" t="s">
        <v>63</v>
      </c>
      <c r="B1079" s="8" t="s">
        <v>67</v>
      </c>
      <c r="C1079" s="8" t="str">
        <f>IFERROR(_xlfn.XLOOKUP(TRIM(B1079),Lookup!$B$2:$B$1000,Lookup!$C$2:$C$1000),"")</f>
        <v>Equity - Large Cap</v>
      </c>
      <c r="D1079" s="8" t="str">
        <f>IFERROR(INDEX('nav master'!$C:$C, MATCH(B1079, 'nav master'!$B:$B, 0)), "")</f>
        <v>ULIF017 07/01/08 TLC 110</v>
      </c>
      <c r="E1079" s="8">
        <v>75.310100000000006</v>
      </c>
      <c r="F1079" s="9">
        <v>46002</v>
      </c>
    </row>
    <row r="1080" spans="1:6" ht="60" x14ac:dyDescent="0.25">
      <c r="A1080" s="8" t="s">
        <v>63</v>
      </c>
      <c r="B1080" s="8" t="s">
        <v>67</v>
      </c>
      <c r="C1080" s="8" t="str">
        <f>IFERROR(_xlfn.XLOOKUP(TRIM(B1080),Lookup!$B$2:$B$1000,Lookup!$C$2:$C$1000),"")</f>
        <v>Equity - Large Cap</v>
      </c>
      <c r="D1080" s="8" t="str">
        <f>IFERROR(INDEX('nav master'!$C:$C, MATCH(B1080, 'nav master'!$B:$B, 0)), "")</f>
        <v>ULIF017 07/01/08 TLC 110</v>
      </c>
      <c r="E1080" s="8">
        <v>75.919399999999996</v>
      </c>
      <c r="F1080" s="9">
        <v>46003</v>
      </c>
    </row>
    <row r="1081" spans="1:6" ht="60" x14ac:dyDescent="0.25">
      <c r="A1081" s="8" t="s">
        <v>63</v>
      </c>
      <c r="B1081" s="8" t="s">
        <v>67</v>
      </c>
      <c r="C1081" s="8" t="str">
        <f>IFERROR(_xlfn.XLOOKUP(TRIM(B1081),Lookup!$B$2:$B$1000,Lookup!$C$2:$C$1000),"")</f>
        <v>Equity - Large Cap</v>
      </c>
      <c r="D1081" s="8" t="str">
        <f>IFERROR(INDEX('nav master'!$C:$C, MATCH(B1081, 'nav master'!$B:$B, 0)), "")</f>
        <v>ULIF017 07/01/08 TLC 110</v>
      </c>
      <c r="E1081" s="8">
        <v>75.843100000000007</v>
      </c>
      <c r="F1081" s="9">
        <v>46006</v>
      </c>
    </row>
    <row r="1082" spans="1:6" ht="60" x14ac:dyDescent="0.25">
      <c r="A1082" s="8" t="s">
        <v>63</v>
      </c>
      <c r="B1082" s="8" t="s">
        <v>67</v>
      </c>
      <c r="C1082" s="8" t="str">
        <f>IFERROR(_xlfn.XLOOKUP(TRIM(B1082),Lookup!$B$2:$B$1000,Lookup!$C$2:$C$1000),"")</f>
        <v>Equity - Large Cap</v>
      </c>
      <c r="D1082" s="8" t="str">
        <f>IFERROR(INDEX('nav master'!$C:$C, MATCH(B1082, 'nav master'!$B:$B, 0)), "")</f>
        <v>ULIF017 07/01/08 TLC 110</v>
      </c>
      <c r="E1082" s="8">
        <v>75.430300000000003</v>
      </c>
      <c r="F1082" s="9">
        <v>46007</v>
      </c>
    </row>
    <row r="1083" spans="1:6" ht="60" x14ac:dyDescent="0.25">
      <c r="A1083" s="8" t="s">
        <v>63</v>
      </c>
      <c r="B1083" s="8" t="s">
        <v>67</v>
      </c>
      <c r="C1083" s="8" t="str">
        <f>IFERROR(_xlfn.XLOOKUP(TRIM(B1083),Lookup!$B$2:$B$1000,Lookup!$C$2:$C$1000),"")</f>
        <v>Equity - Large Cap</v>
      </c>
      <c r="D1083" s="8" t="str">
        <f>IFERROR(INDEX('nav master'!$C:$C, MATCH(B1083, 'nav master'!$B:$B, 0)), "")</f>
        <v>ULIF017 07/01/08 TLC 110</v>
      </c>
      <c r="E1083" s="8">
        <v>75.138300000000001</v>
      </c>
      <c r="F1083" s="9">
        <v>46008</v>
      </c>
    </row>
    <row r="1084" spans="1:6" ht="60" x14ac:dyDescent="0.25">
      <c r="A1084" s="8" t="s">
        <v>63</v>
      </c>
      <c r="B1084" s="8" t="s">
        <v>67</v>
      </c>
      <c r="C1084" s="8" t="str">
        <f>IFERROR(_xlfn.XLOOKUP(TRIM(B1084),Lookup!$B$2:$B$1000,Lookup!$C$2:$C$1000),"")</f>
        <v>Equity - Large Cap</v>
      </c>
      <c r="D1084" s="8" t="str">
        <f>IFERROR(INDEX('nav master'!$C:$C, MATCH(B1084, 'nav master'!$B:$B, 0)), "")</f>
        <v>ULIF017 07/01/08 TLC 110</v>
      </c>
      <c r="E1084" s="8">
        <v>75.2239</v>
      </c>
      <c r="F1084" s="9">
        <v>46009</v>
      </c>
    </row>
    <row r="1085" spans="1:6" ht="60" x14ac:dyDescent="0.25">
      <c r="A1085" s="8" t="s">
        <v>63</v>
      </c>
      <c r="B1085" s="8" t="s">
        <v>67</v>
      </c>
      <c r="C1085" s="8" t="str">
        <f>IFERROR(_xlfn.XLOOKUP(TRIM(B1085),Lookup!$B$2:$B$1000,Lookup!$C$2:$C$1000),"")</f>
        <v>Equity - Large Cap</v>
      </c>
      <c r="D1085" s="8" t="str">
        <f>IFERROR(INDEX('nav master'!$C:$C, MATCH(B1085, 'nav master'!$B:$B, 0)), "")</f>
        <v>ULIF017 07/01/08 TLC 110</v>
      </c>
      <c r="E1085" s="8">
        <v>75.874899999999997</v>
      </c>
      <c r="F1085" s="9">
        <v>46010</v>
      </c>
    </row>
    <row r="1086" spans="1:6" ht="60" x14ac:dyDescent="0.25">
      <c r="A1086" s="8" t="s">
        <v>63</v>
      </c>
      <c r="B1086" s="8" t="s">
        <v>67</v>
      </c>
      <c r="C1086" s="8" t="str">
        <f>IFERROR(_xlfn.XLOOKUP(TRIM(B1086),Lookup!$B$2:$B$1000,Lookup!$C$2:$C$1000),"")</f>
        <v>Equity - Large Cap</v>
      </c>
      <c r="D1086" s="8" t="str">
        <f>IFERROR(INDEX('nav master'!$C:$C, MATCH(B1086, 'nav master'!$B:$B, 0)), "")</f>
        <v>ULIF017 07/01/08 TLC 110</v>
      </c>
      <c r="E1086" s="8">
        <v>76.676100000000005</v>
      </c>
      <c r="F1086" s="9">
        <v>46013</v>
      </c>
    </row>
    <row r="1087" spans="1:6" ht="60" x14ac:dyDescent="0.25">
      <c r="A1087" s="8" t="s">
        <v>63</v>
      </c>
      <c r="B1087" s="8" t="s">
        <v>67</v>
      </c>
      <c r="C1087" s="8" t="str">
        <f>IFERROR(_xlfn.XLOOKUP(TRIM(B1087),Lookup!$B$2:$B$1000,Lookup!$C$2:$C$1000),"")</f>
        <v>Equity - Large Cap</v>
      </c>
      <c r="D1087" s="8" t="str">
        <f>IFERROR(INDEX('nav master'!$C:$C, MATCH(B1087, 'nav master'!$B:$B, 0)), "")</f>
        <v>ULIF017 07/01/08 TLC 110</v>
      </c>
      <c r="E1087" s="8">
        <v>76.669600000000003</v>
      </c>
      <c r="F1087" s="9">
        <v>46014</v>
      </c>
    </row>
    <row r="1088" spans="1:6" ht="60" x14ac:dyDescent="0.25">
      <c r="A1088" s="8" t="s">
        <v>63</v>
      </c>
      <c r="B1088" s="8" t="s">
        <v>67</v>
      </c>
      <c r="C1088" s="8" t="str">
        <f>IFERROR(_xlfn.XLOOKUP(TRIM(B1088),Lookup!$B$2:$B$1000,Lookup!$C$2:$C$1000),"")</f>
        <v>Equity - Large Cap</v>
      </c>
      <c r="D1088" s="8" t="str">
        <f>IFERROR(INDEX('nav master'!$C:$C, MATCH(B1088, 'nav master'!$B:$B, 0)), "")</f>
        <v>ULIF017 07/01/08 TLC 110</v>
      </c>
      <c r="E1088" s="8">
        <v>76.541600000000003</v>
      </c>
      <c r="F1088" s="9">
        <v>46015</v>
      </c>
    </row>
    <row r="1089" spans="1:6" ht="60" x14ac:dyDescent="0.25">
      <c r="A1089" s="8" t="s">
        <v>63</v>
      </c>
      <c r="B1089" s="8" t="s">
        <v>67</v>
      </c>
      <c r="C1089" s="8" t="str">
        <f>IFERROR(_xlfn.XLOOKUP(TRIM(B1089),Lookup!$B$2:$B$1000,Lookup!$C$2:$C$1000),"")</f>
        <v>Equity - Large Cap</v>
      </c>
      <c r="D1089" s="8" t="str">
        <f>IFERROR(INDEX('nav master'!$C:$C, MATCH(B1089, 'nav master'!$B:$B, 0)), "")</f>
        <v>ULIF017 07/01/08 TLC 110</v>
      </c>
      <c r="E1089" s="8">
        <v>76.361800000000002</v>
      </c>
      <c r="F1089" s="9">
        <v>46017</v>
      </c>
    </row>
    <row r="1090" spans="1:6" ht="60" x14ac:dyDescent="0.25">
      <c r="A1090" s="8" t="s">
        <v>63</v>
      </c>
      <c r="B1090" s="8" t="s">
        <v>67</v>
      </c>
      <c r="C1090" s="8" t="str">
        <f>IFERROR(_xlfn.XLOOKUP(TRIM(B1090),Lookup!$B$2:$B$1000,Lookup!$C$2:$C$1000),"")</f>
        <v>Equity - Large Cap</v>
      </c>
      <c r="D1090" s="8" t="str">
        <f>IFERROR(INDEX('nav master'!$C:$C, MATCH(B1090, 'nav master'!$B:$B, 0)), "")</f>
        <v>ULIF017 07/01/08 TLC 110</v>
      </c>
      <c r="E1090" s="8">
        <v>76.048599999999993</v>
      </c>
      <c r="F1090" s="9">
        <v>46020</v>
      </c>
    </row>
    <row r="1091" spans="1:6" ht="60" x14ac:dyDescent="0.25">
      <c r="A1091" s="8" t="s">
        <v>63</v>
      </c>
      <c r="B1091" s="8" t="s">
        <v>67</v>
      </c>
      <c r="C1091" s="8" t="str">
        <f>IFERROR(_xlfn.XLOOKUP(TRIM(B1091),Lookup!$B$2:$B$1000,Lookup!$C$2:$C$1000),"")</f>
        <v>Equity - Large Cap</v>
      </c>
      <c r="D1091" s="8" t="str">
        <f>IFERROR(INDEX('nav master'!$C:$C, MATCH(B1091, 'nav master'!$B:$B, 0)), "")</f>
        <v>ULIF017 07/01/08 TLC 110</v>
      </c>
      <c r="E1091" s="8">
        <v>76.043000000000006</v>
      </c>
      <c r="F1091" s="9">
        <v>46021</v>
      </c>
    </row>
    <row r="1092" spans="1:6" ht="60" x14ac:dyDescent="0.25">
      <c r="A1092" s="8" t="s">
        <v>63</v>
      </c>
      <c r="B1092" s="8" t="s">
        <v>67</v>
      </c>
      <c r="C1092" s="8" t="str">
        <f>IFERROR(_xlfn.XLOOKUP(TRIM(B1092),Lookup!$B$2:$B$1000,Lookup!$C$2:$C$1000),"")</f>
        <v>Equity - Large Cap</v>
      </c>
      <c r="D1092" s="8" t="str">
        <f>IFERROR(INDEX('nav master'!$C:$C, MATCH(B1092, 'nav master'!$B:$B, 0)), "")</f>
        <v>ULIF017 07/01/08 TLC 110</v>
      </c>
      <c r="E1092" s="8">
        <v>76.764600000000002</v>
      </c>
      <c r="F1092" s="9">
        <v>46022</v>
      </c>
    </row>
    <row r="1093" spans="1:6" ht="60" x14ac:dyDescent="0.25">
      <c r="A1093" s="8" t="s">
        <v>63</v>
      </c>
      <c r="B1093" s="8" t="s">
        <v>67</v>
      </c>
      <c r="C1093" s="8" t="str">
        <f>IFERROR(_xlfn.XLOOKUP(TRIM(B1093),Lookup!$B$2:$B$1000,Lookup!$C$2:$C$1000),"")</f>
        <v>Equity - Large Cap</v>
      </c>
      <c r="D1093" s="8" t="str">
        <f>IFERROR(INDEX('nav master'!$C:$C, MATCH(B1093, 'nav master'!$B:$B, 0)), "")</f>
        <v>ULIF017 07/01/08 TLC 110</v>
      </c>
      <c r="E1093" s="8">
        <v>77.038600000000002</v>
      </c>
      <c r="F1093" s="9">
        <v>46023</v>
      </c>
    </row>
    <row r="1094" spans="1:6" ht="60" x14ac:dyDescent="0.25">
      <c r="A1094" s="8" t="s">
        <v>63</v>
      </c>
      <c r="B1094" s="8" t="s">
        <v>67</v>
      </c>
      <c r="C1094" s="8" t="str">
        <f>IFERROR(_xlfn.XLOOKUP(TRIM(B1094),Lookup!$B$2:$B$1000,Lookup!$C$2:$C$1000),"")</f>
        <v>Equity - Large Cap</v>
      </c>
      <c r="D1094" s="8" t="str">
        <f>IFERROR(INDEX('nav master'!$C:$C, MATCH(B1094, 'nav master'!$B:$B, 0)), "")</f>
        <v>ULIF017 07/01/08 TLC 110</v>
      </c>
      <c r="E1094" s="8">
        <v>77.665499999999994</v>
      </c>
      <c r="F1094" s="9">
        <v>46024</v>
      </c>
    </row>
    <row r="1095" spans="1:6" ht="60" x14ac:dyDescent="0.25">
      <c r="A1095" s="8" t="s">
        <v>63</v>
      </c>
      <c r="B1095" s="8" t="s">
        <v>67</v>
      </c>
      <c r="C1095" s="8" t="str">
        <f>IFERROR(_xlfn.XLOOKUP(TRIM(B1095),Lookup!$B$2:$B$1000,Lookup!$C$2:$C$1000),"")</f>
        <v>Equity - Large Cap</v>
      </c>
      <c r="D1095" s="8" t="str">
        <f>IFERROR(INDEX('nav master'!$C:$C, MATCH(B1095, 'nav master'!$B:$B, 0)), "")</f>
        <v>ULIF017 07/01/08 TLC 110</v>
      </c>
      <c r="E1095" s="8">
        <v>77.346800000000002</v>
      </c>
      <c r="F1095" s="9">
        <v>46027</v>
      </c>
    </row>
    <row r="1096" spans="1:6" ht="60" x14ac:dyDescent="0.25">
      <c r="A1096" s="8" t="s">
        <v>63</v>
      </c>
      <c r="B1096" s="8" t="s">
        <v>67</v>
      </c>
      <c r="C1096" s="8" t="str">
        <f>IFERROR(_xlfn.XLOOKUP(TRIM(B1096),Lookup!$B$2:$B$1000,Lookup!$C$2:$C$1000),"")</f>
        <v>Equity - Large Cap</v>
      </c>
      <c r="D1096" s="8" t="str">
        <f>IFERROR(INDEX('nav master'!$C:$C, MATCH(B1096, 'nav master'!$B:$B, 0)), "")</f>
        <v>ULIF017 07/01/08 TLC 110</v>
      </c>
      <c r="E1096" s="8">
        <v>77.233000000000004</v>
      </c>
      <c r="F1096" s="9">
        <v>46028</v>
      </c>
    </row>
    <row r="1097" spans="1:6" ht="60" x14ac:dyDescent="0.25">
      <c r="A1097" s="8" t="s">
        <v>63</v>
      </c>
      <c r="B1097" s="8" t="s">
        <v>67</v>
      </c>
      <c r="C1097" s="8" t="str">
        <f>IFERROR(_xlfn.XLOOKUP(TRIM(B1097),Lookup!$B$2:$B$1000,Lookup!$C$2:$C$1000),"")</f>
        <v>Equity - Large Cap</v>
      </c>
      <c r="D1097" s="8" t="str">
        <f>IFERROR(INDEX('nav master'!$C:$C, MATCH(B1097, 'nav master'!$B:$B, 0)), "")</f>
        <v>ULIF017 07/01/08 TLC 110</v>
      </c>
      <c r="E1097" s="8">
        <v>77.364900000000006</v>
      </c>
      <c r="F1097" s="9">
        <v>46029</v>
      </c>
    </row>
    <row r="1098" spans="1:6" ht="60" x14ac:dyDescent="0.25">
      <c r="A1098" s="8" t="s">
        <v>63</v>
      </c>
      <c r="B1098" s="8" t="s">
        <v>67</v>
      </c>
      <c r="C1098" s="8" t="str">
        <f>IFERROR(_xlfn.XLOOKUP(TRIM(B1098),Lookup!$B$2:$B$1000,Lookup!$C$2:$C$1000),"")</f>
        <v>Equity - Large Cap</v>
      </c>
      <c r="D1098" s="8" t="str">
        <f>IFERROR(INDEX('nav master'!$C:$C, MATCH(B1098, 'nav master'!$B:$B, 0)), "")</f>
        <v>ULIF017 07/01/08 TLC 110</v>
      </c>
      <c r="E1098" s="8">
        <v>76.447999999999993</v>
      </c>
      <c r="F1098" s="9">
        <v>46030</v>
      </c>
    </row>
    <row r="1099" spans="1:6" ht="60" x14ac:dyDescent="0.25">
      <c r="A1099" s="8" t="s">
        <v>63</v>
      </c>
      <c r="B1099" s="8" t="s">
        <v>67</v>
      </c>
      <c r="C1099" s="8" t="str">
        <f>IFERROR(_xlfn.XLOOKUP(TRIM(B1099),Lookup!$B$2:$B$1000,Lookup!$C$2:$C$1000),"")</f>
        <v>Equity - Large Cap</v>
      </c>
      <c r="D1099" s="8" t="str">
        <f>IFERROR(INDEX('nav master'!$C:$C, MATCH(B1099, 'nav master'!$B:$B, 0)), "")</f>
        <v>ULIF017 07/01/08 TLC 110</v>
      </c>
      <c r="E1099" s="8">
        <v>75.743200000000002</v>
      </c>
      <c r="F1099" s="9">
        <v>46031</v>
      </c>
    </row>
    <row r="1100" spans="1:6" ht="60" x14ac:dyDescent="0.25">
      <c r="A1100" s="8" t="s">
        <v>63</v>
      </c>
      <c r="B1100" s="8" t="s">
        <v>67</v>
      </c>
      <c r="C1100" s="8" t="str">
        <f>IFERROR(_xlfn.XLOOKUP(TRIM(B1100),Lookup!$B$2:$B$1000,Lookup!$C$2:$C$1000),"")</f>
        <v>Equity - Large Cap</v>
      </c>
      <c r="D1100" s="8" t="str">
        <f>IFERROR(INDEX('nav master'!$C:$C, MATCH(B1100, 'nav master'!$B:$B, 0)), "")</f>
        <v>ULIF017 07/01/08 TLC 110</v>
      </c>
      <c r="E1100" s="8">
        <v>75.872200000000007</v>
      </c>
      <c r="F1100" s="9">
        <v>46034</v>
      </c>
    </row>
    <row r="1101" spans="1:6" ht="60" x14ac:dyDescent="0.25">
      <c r="A1101" s="8" t="s">
        <v>63</v>
      </c>
      <c r="B1101" s="8" t="s">
        <v>67</v>
      </c>
      <c r="C1101" s="8" t="str">
        <f>IFERROR(_xlfn.XLOOKUP(TRIM(B1101),Lookup!$B$2:$B$1000,Lookup!$C$2:$C$1000),"")</f>
        <v>Equity - Large Cap</v>
      </c>
      <c r="D1101" s="8" t="str">
        <f>IFERROR(INDEX('nav master'!$C:$C, MATCH(B1101, 'nav master'!$B:$B, 0)), "")</f>
        <v>ULIF017 07/01/08 TLC 110</v>
      </c>
      <c r="E1101" s="8">
        <v>75.780100000000004</v>
      </c>
      <c r="F1101" s="9">
        <v>46035</v>
      </c>
    </row>
    <row r="1102" spans="1:6" ht="60" x14ac:dyDescent="0.25">
      <c r="A1102" s="8" t="s">
        <v>63</v>
      </c>
      <c r="B1102" s="8" t="s">
        <v>67</v>
      </c>
      <c r="C1102" s="8" t="str">
        <f>IFERROR(_xlfn.XLOOKUP(TRIM(B1102),Lookup!$B$2:$B$1000,Lookup!$C$2:$C$1000),"")</f>
        <v>Equity - Large Cap</v>
      </c>
      <c r="D1102" s="8" t="str">
        <f>IFERROR(INDEX('nav master'!$C:$C, MATCH(B1102, 'nav master'!$B:$B, 0)), "")</f>
        <v>ULIF017 07/01/08 TLC 110</v>
      </c>
      <c r="E1102" s="8">
        <v>75.981800000000007</v>
      </c>
      <c r="F1102" s="9">
        <v>46036</v>
      </c>
    </row>
    <row r="1103" spans="1:6" ht="60" x14ac:dyDescent="0.25">
      <c r="A1103" s="8" t="s">
        <v>63</v>
      </c>
      <c r="B1103" s="8" t="s">
        <v>67</v>
      </c>
      <c r="C1103" s="8" t="str">
        <f>IFERROR(_xlfn.XLOOKUP(TRIM(B1103),Lookup!$B$2:$B$1000,Lookup!$C$2:$C$1000),"")</f>
        <v>Equity - Large Cap</v>
      </c>
      <c r="D1103" s="8" t="str">
        <f>IFERROR(INDEX('nav master'!$C:$C, MATCH(B1103, 'nav master'!$B:$B, 0)), "")</f>
        <v>ULIF017 07/01/08 TLC 110</v>
      </c>
      <c r="E1103" s="8">
        <v>76.312399999999997</v>
      </c>
      <c r="F1103" s="9">
        <v>46038</v>
      </c>
    </row>
    <row r="1104" spans="1:6" ht="60" x14ac:dyDescent="0.25">
      <c r="A1104" s="8" t="s">
        <v>63</v>
      </c>
      <c r="B1104" s="8" t="s">
        <v>67</v>
      </c>
      <c r="C1104" s="8" t="str">
        <f>IFERROR(_xlfn.XLOOKUP(TRIM(B1104),Lookup!$B$2:$B$1000,Lookup!$C$2:$C$1000),"")</f>
        <v>Equity - Large Cap</v>
      </c>
      <c r="D1104" s="8" t="str">
        <f>IFERROR(INDEX('nav master'!$C:$C, MATCH(B1104, 'nav master'!$B:$B, 0)), "")</f>
        <v>ULIF017 07/01/08 TLC 110</v>
      </c>
      <c r="E1104" s="8">
        <v>75.924300000000002</v>
      </c>
      <c r="F1104" s="9">
        <v>46041</v>
      </c>
    </row>
    <row r="1105" spans="1:6" ht="60" x14ac:dyDescent="0.25">
      <c r="A1105" s="8" t="s">
        <v>63</v>
      </c>
      <c r="B1105" s="8" t="s">
        <v>67</v>
      </c>
      <c r="C1105" s="8" t="str">
        <f>IFERROR(_xlfn.XLOOKUP(TRIM(B1105),Lookup!$B$2:$B$1000,Lookup!$C$2:$C$1000),"")</f>
        <v>Equity - Large Cap</v>
      </c>
      <c r="D1105" s="8" t="str">
        <f>IFERROR(INDEX('nav master'!$C:$C, MATCH(B1105, 'nav master'!$B:$B, 0)), "")</f>
        <v>ULIF017 07/01/08 TLC 110</v>
      </c>
      <c r="E1105" s="8">
        <v>74.822500000000005</v>
      </c>
      <c r="F1105" s="9">
        <v>46042</v>
      </c>
    </row>
    <row r="1106" spans="1:6" ht="60" x14ac:dyDescent="0.25">
      <c r="A1106" s="8" t="s">
        <v>63</v>
      </c>
      <c r="B1106" s="8" t="s">
        <v>67</v>
      </c>
      <c r="C1106" s="8" t="str">
        <f>IFERROR(_xlfn.XLOOKUP(TRIM(B1106),Lookup!$B$2:$B$1000,Lookup!$C$2:$C$1000),"")</f>
        <v>Equity - Large Cap</v>
      </c>
      <c r="D1106" s="8" t="str">
        <f>IFERROR(INDEX('nav master'!$C:$C, MATCH(B1106, 'nav master'!$B:$B, 0)), "")</f>
        <v>ULIF017 07/01/08 TLC 110</v>
      </c>
      <c r="E1106" s="8">
        <v>74.330299999999994</v>
      </c>
      <c r="F1106" s="9">
        <v>46043</v>
      </c>
    </row>
    <row r="1107" spans="1:6" ht="60" x14ac:dyDescent="0.25">
      <c r="A1107" s="8" t="s">
        <v>63</v>
      </c>
      <c r="B1107" s="8" t="s">
        <v>67</v>
      </c>
      <c r="C1107" s="8" t="str">
        <f>IFERROR(_xlfn.XLOOKUP(TRIM(B1107),Lookup!$B$2:$B$1000,Lookup!$C$2:$C$1000),"")</f>
        <v>Equity - Large Cap</v>
      </c>
      <c r="D1107" s="8" t="str">
        <f>IFERROR(INDEX('nav master'!$C:$C, MATCH(B1107, 'nav master'!$B:$B, 0)), "")</f>
        <v>ULIF017 07/01/08 TLC 110</v>
      </c>
      <c r="E1107" s="8">
        <v>74.654399999999995</v>
      </c>
      <c r="F1107" s="9">
        <v>46044</v>
      </c>
    </row>
    <row r="1108" spans="1:6" ht="60" x14ac:dyDescent="0.25">
      <c r="A1108" s="8" t="s">
        <v>63</v>
      </c>
      <c r="B1108" s="8" t="s">
        <v>67</v>
      </c>
      <c r="C1108" s="8" t="str">
        <f>IFERROR(_xlfn.XLOOKUP(TRIM(B1108),Lookup!$B$2:$B$1000,Lookup!$C$2:$C$1000),"")</f>
        <v>Equity - Large Cap</v>
      </c>
      <c r="D1108" s="8" t="str">
        <f>IFERROR(INDEX('nav master'!$C:$C, MATCH(B1108, 'nav master'!$B:$B, 0)), "")</f>
        <v>ULIF017 07/01/08 TLC 110</v>
      </c>
      <c r="E1108" s="8">
        <v>73.687600000000003</v>
      </c>
      <c r="F1108" s="9">
        <v>46045</v>
      </c>
    </row>
    <row r="1109" spans="1:6" ht="60" x14ac:dyDescent="0.25">
      <c r="A1109" s="8" t="s">
        <v>63</v>
      </c>
      <c r="B1109" s="8" t="s">
        <v>67</v>
      </c>
      <c r="C1109" s="8" t="str">
        <f>IFERROR(_xlfn.XLOOKUP(TRIM(B1109),Lookup!$B$2:$B$1000,Lookup!$C$2:$C$1000),"")</f>
        <v>Equity - Large Cap</v>
      </c>
      <c r="D1109" s="8" t="str">
        <f>IFERROR(INDEX('nav master'!$C:$C, MATCH(B1109, 'nav master'!$B:$B, 0)), "")</f>
        <v>ULIF017 07/01/08 TLC 110</v>
      </c>
      <c r="E1109" s="8">
        <v>74.271500000000003</v>
      </c>
      <c r="F1109" s="9">
        <v>46049</v>
      </c>
    </row>
    <row r="1110" spans="1:6" ht="60" x14ac:dyDescent="0.25">
      <c r="A1110" s="8" t="s">
        <v>63</v>
      </c>
      <c r="B1110" s="8" t="s">
        <v>67</v>
      </c>
      <c r="C1110" s="8" t="str">
        <f>IFERROR(_xlfn.XLOOKUP(TRIM(B1110),Lookup!$B$2:$B$1000,Lookup!$C$2:$C$1000),"")</f>
        <v>Equity - Large Cap</v>
      </c>
      <c r="D1110" s="8" t="str">
        <f>IFERROR(INDEX('nav master'!$C:$C, MATCH(B1110, 'nav master'!$B:$B, 0)), "")</f>
        <v>ULIF017 07/01/08 TLC 110</v>
      </c>
      <c r="E1110" s="8">
        <v>75.120599999999996</v>
      </c>
      <c r="F1110" s="9">
        <v>46050</v>
      </c>
    </row>
    <row r="1111" spans="1:6" ht="60" x14ac:dyDescent="0.25">
      <c r="A1111" s="8" t="s">
        <v>63</v>
      </c>
      <c r="B1111" s="8" t="s">
        <v>67</v>
      </c>
      <c r="C1111" s="8" t="str">
        <f>IFERROR(_xlfn.XLOOKUP(TRIM(B1111),Lookup!$B$2:$B$1000,Lookup!$C$2:$C$1000),"")</f>
        <v>Equity - Large Cap</v>
      </c>
      <c r="D1111" s="8" t="str">
        <f>IFERROR(INDEX('nav master'!$C:$C, MATCH(B1111, 'nav master'!$B:$B, 0)), "")</f>
        <v>ULIF017 07/01/08 TLC 110</v>
      </c>
      <c r="E1111" s="8">
        <v>75.415700000000001</v>
      </c>
      <c r="F1111" s="9">
        <v>46051</v>
      </c>
    </row>
    <row r="1112" spans="1:6" ht="60" x14ac:dyDescent="0.25">
      <c r="A1112" s="8" t="s">
        <v>63</v>
      </c>
      <c r="B1112" s="8" t="s">
        <v>67</v>
      </c>
      <c r="C1112" s="8" t="str">
        <f>IFERROR(_xlfn.XLOOKUP(TRIM(B1112),Lookup!$B$2:$B$1000,Lookup!$C$2:$C$1000),"")</f>
        <v>Equity - Large Cap</v>
      </c>
      <c r="D1112" s="8" t="str">
        <f>IFERROR(INDEX('nav master'!$C:$C, MATCH(B1112, 'nav master'!$B:$B, 0)), "")</f>
        <v>ULIF017 07/01/08 TLC 110</v>
      </c>
      <c r="E1112" s="8">
        <v>74.968400000000003</v>
      </c>
      <c r="F1112" s="9">
        <v>46052</v>
      </c>
    </row>
    <row r="1113" spans="1:6" ht="60" x14ac:dyDescent="0.25">
      <c r="A1113" s="8" t="s">
        <v>63</v>
      </c>
      <c r="B1113" s="8" t="s">
        <v>67</v>
      </c>
      <c r="C1113" s="8" t="str">
        <f>IFERROR(_xlfn.XLOOKUP(TRIM(B1113),Lookup!$B$2:$B$1000,Lookup!$C$2:$C$1000),"")</f>
        <v>Equity - Large Cap</v>
      </c>
      <c r="D1113" s="8" t="str">
        <f>IFERROR(INDEX('nav master'!$C:$C, MATCH(B1113, 'nav master'!$B:$B, 0)), "")</f>
        <v>ULIF017 07/01/08 TLC 110</v>
      </c>
      <c r="E1113" s="8">
        <v>73.307699999999997</v>
      </c>
      <c r="F1113" s="9">
        <v>46054</v>
      </c>
    </row>
    <row r="1114" spans="1:6" ht="60" x14ac:dyDescent="0.25">
      <c r="A1114" s="8" t="s">
        <v>63</v>
      </c>
      <c r="B1114" s="8" t="s">
        <v>67</v>
      </c>
      <c r="C1114" s="8" t="str">
        <f>IFERROR(_xlfn.XLOOKUP(TRIM(B1114),Lookup!$B$2:$B$1000,Lookup!$C$2:$C$1000),"")</f>
        <v>Equity - Large Cap</v>
      </c>
      <c r="D1114" s="8" t="str">
        <f>IFERROR(INDEX('nav master'!$C:$C, MATCH(B1114, 'nav master'!$B:$B, 0)), "")</f>
        <v>ULIF017 07/01/08 TLC 110</v>
      </c>
      <c r="E1114" s="8">
        <v>74.012100000000004</v>
      </c>
      <c r="F1114" s="9">
        <v>46055</v>
      </c>
    </row>
    <row r="1115" spans="1:6" ht="60" x14ac:dyDescent="0.25">
      <c r="A1115" s="8" t="s">
        <v>63</v>
      </c>
      <c r="B1115" s="8" t="s">
        <v>67</v>
      </c>
      <c r="C1115" s="8" t="str">
        <f>IFERROR(_xlfn.XLOOKUP(TRIM(B1115),Lookup!$B$2:$B$1000,Lookup!$C$2:$C$1000),"")</f>
        <v>Equity - Large Cap</v>
      </c>
      <c r="D1115" s="8" t="str">
        <f>IFERROR(INDEX('nav master'!$C:$C, MATCH(B1115, 'nav master'!$B:$B, 0)), "")</f>
        <v>ULIF017 07/01/08 TLC 110</v>
      </c>
      <c r="E1115" s="8">
        <v>75.929900000000004</v>
      </c>
      <c r="F1115" s="9">
        <v>46056</v>
      </c>
    </row>
    <row r="1116" spans="1:6" ht="60" x14ac:dyDescent="0.25">
      <c r="A1116" s="8" t="s">
        <v>63</v>
      </c>
      <c r="B1116" s="8" t="s">
        <v>67</v>
      </c>
      <c r="C1116" s="8" t="str">
        <f>IFERROR(_xlfn.XLOOKUP(TRIM(B1116),Lookup!$B$2:$B$1000,Lookup!$C$2:$C$1000),"")</f>
        <v>Equity - Large Cap</v>
      </c>
      <c r="D1116" s="8" t="str">
        <f>IFERROR(INDEX('nav master'!$C:$C, MATCH(B1116, 'nav master'!$B:$B, 0)), "")</f>
        <v>ULIF017 07/01/08 TLC 110</v>
      </c>
      <c r="E1116" s="8">
        <v>76.308700000000002</v>
      </c>
      <c r="F1116" s="9">
        <v>46057</v>
      </c>
    </row>
    <row r="1117" spans="1:6" ht="60" x14ac:dyDescent="0.25">
      <c r="A1117" s="8" t="s">
        <v>63</v>
      </c>
      <c r="B1117" s="8" t="s">
        <v>67</v>
      </c>
      <c r="C1117" s="8" t="str">
        <f>IFERROR(_xlfn.XLOOKUP(TRIM(B1117),Lookup!$B$2:$B$1000,Lookup!$C$2:$C$1000),"")</f>
        <v>Equity - Large Cap</v>
      </c>
      <c r="D1117" s="8" t="str">
        <f>IFERROR(INDEX('nav master'!$C:$C, MATCH(B1117, 'nav master'!$B:$B, 0)), "")</f>
        <v>ULIF017 07/01/08 TLC 110</v>
      </c>
      <c r="E1117" s="8">
        <v>75.778400000000005</v>
      </c>
      <c r="F1117" s="9">
        <v>46058</v>
      </c>
    </row>
    <row r="1118" spans="1:6" ht="60" x14ac:dyDescent="0.25">
      <c r="A1118" s="8" t="s">
        <v>63</v>
      </c>
      <c r="B1118" s="8" t="s">
        <v>67</v>
      </c>
      <c r="C1118" s="8" t="str">
        <f>IFERROR(_xlfn.XLOOKUP(TRIM(B1118),Lookup!$B$2:$B$1000,Lookup!$C$2:$C$1000),"")</f>
        <v>Equity - Large Cap</v>
      </c>
      <c r="D1118" s="8" t="str">
        <f>IFERROR(INDEX('nav master'!$C:$C, MATCH(B1118, 'nav master'!$B:$B, 0)), "")</f>
        <v>ULIF017 07/01/08 TLC 110</v>
      </c>
      <c r="E1118" s="8">
        <v>75.781099999999995</v>
      </c>
      <c r="F1118" s="9">
        <v>46059</v>
      </c>
    </row>
    <row r="1119" spans="1:6" ht="60" x14ac:dyDescent="0.25">
      <c r="A1119" s="8" t="s">
        <v>63</v>
      </c>
      <c r="B1119" s="8" t="s">
        <v>67</v>
      </c>
      <c r="C1119" s="8" t="str">
        <f>IFERROR(_xlfn.XLOOKUP(TRIM(B1119),Lookup!$B$2:$B$1000,Lookup!$C$2:$C$1000),"")</f>
        <v>Equity - Large Cap</v>
      </c>
      <c r="D1119" s="8" t="str">
        <f>IFERROR(INDEX('nav master'!$C:$C, MATCH(B1119, 'nav master'!$B:$B, 0)), "")</f>
        <v>ULIF017 07/01/08 TLC 110</v>
      </c>
      <c r="E1119" s="8">
        <v>76.358099999999993</v>
      </c>
      <c r="F1119" s="9">
        <v>46062</v>
      </c>
    </row>
    <row r="1120" spans="1:6" ht="60" x14ac:dyDescent="0.25">
      <c r="A1120" s="8" t="s">
        <v>63</v>
      </c>
      <c r="B1120" s="8" t="s">
        <v>67</v>
      </c>
      <c r="C1120" s="8" t="str">
        <f>IFERROR(_xlfn.XLOOKUP(TRIM(B1120),Lookup!$B$2:$B$1000,Lookup!$C$2:$C$1000),"")</f>
        <v>Equity - Large Cap</v>
      </c>
      <c r="D1120" s="8" t="str">
        <f>IFERROR(INDEX('nav master'!$C:$C, MATCH(B1120, 'nav master'!$B:$B, 0)), "")</f>
        <v>ULIF017 07/01/08 TLC 110</v>
      </c>
      <c r="E1120" s="8">
        <v>76.579899999999995</v>
      </c>
      <c r="F1120" s="9">
        <v>46063</v>
      </c>
    </row>
    <row r="1121" spans="1:6" ht="60" x14ac:dyDescent="0.25">
      <c r="A1121" s="8" t="s">
        <v>63</v>
      </c>
      <c r="B1121" s="8" t="s">
        <v>67</v>
      </c>
      <c r="C1121" s="8" t="str">
        <f>IFERROR(_xlfn.XLOOKUP(TRIM(B1121),Lookup!$B$2:$B$1000,Lookup!$C$2:$C$1000),"")</f>
        <v>Equity - Large Cap</v>
      </c>
      <c r="D1121" s="8" t="str">
        <f>IFERROR(INDEX('nav master'!$C:$C, MATCH(B1121, 'nav master'!$B:$B, 0)), "")</f>
        <v>ULIF017 07/01/08 TLC 110</v>
      </c>
      <c r="E1121" s="8">
        <v>76.593199999999996</v>
      </c>
      <c r="F1121" s="9">
        <v>46064</v>
      </c>
    </row>
    <row r="1122" spans="1:6" ht="60" x14ac:dyDescent="0.25">
      <c r="A1122" s="8" t="s">
        <v>63</v>
      </c>
      <c r="B1122" s="8" t="s">
        <v>67</v>
      </c>
      <c r="C1122" s="8" t="str">
        <f>IFERROR(_xlfn.XLOOKUP(TRIM(B1122),Lookup!$B$2:$B$1000,Lookup!$C$2:$C$1000),"")</f>
        <v>Equity - Large Cap</v>
      </c>
      <c r="D1122" s="8" t="str">
        <f>IFERROR(INDEX('nav master'!$C:$C, MATCH(B1122, 'nav master'!$B:$B, 0)), "")</f>
        <v>ULIF017 07/01/08 TLC 110</v>
      </c>
      <c r="E1122" s="8">
        <v>76.322599999999994</v>
      </c>
      <c r="F1122" s="9">
        <v>46065</v>
      </c>
    </row>
    <row r="1123" spans="1:6" ht="60" x14ac:dyDescent="0.25">
      <c r="A1123" s="8" t="s">
        <v>63</v>
      </c>
      <c r="B1123" s="8" t="s">
        <v>67</v>
      </c>
      <c r="C1123" s="8" t="str">
        <f>IFERROR(_xlfn.XLOOKUP(TRIM(B1123),Lookup!$B$2:$B$1000,Lookup!$C$2:$C$1000),"")</f>
        <v>Equity - Large Cap</v>
      </c>
      <c r="D1123" s="8" t="str">
        <f>IFERROR(INDEX('nav master'!$C:$C, MATCH(B1123, 'nav master'!$B:$B, 0)), "")</f>
        <v>ULIF017 07/01/08 TLC 110</v>
      </c>
      <c r="E1123" s="8">
        <v>75.353999999999999</v>
      </c>
      <c r="F1123" s="9">
        <v>46066</v>
      </c>
    </row>
    <row r="1124" spans="1:6" ht="60" x14ac:dyDescent="0.25">
      <c r="A1124" s="8" t="s">
        <v>63</v>
      </c>
      <c r="B1124" s="8" t="s">
        <v>67</v>
      </c>
      <c r="C1124" s="8" t="str">
        <f>IFERROR(_xlfn.XLOOKUP(TRIM(B1124),Lookup!$B$2:$B$1000,Lookup!$C$2:$C$1000),"")</f>
        <v>Equity - Large Cap</v>
      </c>
      <c r="D1124" s="8" t="str">
        <f>IFERROR(INDEX('nav master'!$C:$C, MATCH(B1124, 'nav master'!$B:$B, 0)), "")</f>
        <v>ULIF017 07/01/08 TLC 110</v>
      </c>
      <c r="E1124" s="8">
        <v>75.935599999999994</v>
      </c>
      <c r="F1124" s="9">
        <v>46069</v>
      </c>
    </row>
    <row r="1125" spans="1:6" ht="60" x14ac:dyDescent="0.25">
      <c r="A1125" s="8" t="s">
        <v>63</v>
      </c>
      <c r="B1125" s="8" t="s">
        <v>67</v>
      </c>
      <c r="C1125" s="8" t="str">
        <f>IFERROR(_xlfn.XLOOKUP(TRIM(B1125),Lookup!$B$2:$B$1000,Lookup!$C$2:$C$1000),"")</f>
        <v>Equity - Large Cap</v>
      </c>
      <c r="D1125" s="8" t="str">
        <f>IFERROR(INDEX('nav master'!$C:$C, MATCH(B1125, 'nav master'!$B:$B, 0)), "")</f>
        <v>ULIF017 07/01/08 TLC 110</v>
      </c>
      <c r="E1125" s="8">
        <v>75.991699999999994</v>
      </c>
      <c r="F1125" s="9">
        <v>46070</v>
      </c>
    </row>
    <row r="1126" spans="1:6" ht="60" x14ac:dyDescent="0.25">
      <c r="A1126" s="8" t="s">
        <v>63</v>
      </c>
      <c r="B1126" s="8" t="s">
        <v>67</v>
      </c>
      <c r="C1126" s="8" t="str">
        <f>IFERROR(_xlfn.XLOOKUP(TRIM(B1126),Lookup!$B$2:$B$1000,Lookup!$C$2:$C$1000),"")</f>
        <v>Equity - Large Cap</v>
      </c>
      <c r="D1126" s="8" t="str">
        <f>IFERROR(INDEX('nav master'!$C:$C, MATCH(B1126, 'nav master'!$B:$B, 0)), "")</f>
        <v>ULIF017 07/01/08 TLC 110</v>
      </c>
      <c r="E1126" s="8">
        <v>76.436800000000005</v>
      </c>
      <c r="F1126" s="9">
        <v>46071</v>
      </c>
    </row>
    <row r="1127" spans="1:6" ht="60" x14ac:dyDescent="0.25">
      <c r="A1127" s="8" t="s">
        <v>63</v>
      </c>
      <c r="B1127" s="8" t="s">
        <v>67</v>
      </c>
      <c r="C1127" s="8" t="str">
        <f>IFERROR(_xlfn.XLOOKUP(TRIM(B1127),Lookup!$B$2:$B$1000,Lookup!$C$2:$C$1000),"")</f>
        <v>Equity - Large Cap</v>
      </c>
      <c r="D1127" s="8" t="str">
        <f>IFERROR(INDEX('nav master'!$C:$C, MATCH(B1127, 'nav master'!$B:$B, 0)), "")</f>
        <v>ULIF017 07/01/08 TLC 110</v>
      </c>
      <c r="E1127" s="8">
        <v>75.314999999999998</v>
      </c>
      <c r="F1127" s="9">
        <v>46072</v>
      </c>
    </row>
    <row r="1128" spans="1:6" ht="60" x14ac:dyDescent="0.25">
      <c r="A1128" s="8" t="s">
        <v>63</v>
      </c>
      <c r="B1128" s="8" t="s">
        <v>67</v>
      </c>
      <c r="C1128" s="8" t="str">
        <f>IFERROR(_xlfn.XLOOKUP(TRIM(B1128),Lookup!$B$2:$B$1000,Lookup!$C$2:$C$1000),"")</f>
        <v>Equity - Large Cap</v>
      </c>
      <c r="D1128" s="8" t="str">
        <f>IFERROR(INDEX('nav master'!$C:$C, MATCH(B1128, 'nav master'!$B:$B, 0)), "")</f>
        <v>ULIF017 07/01/08 TLC 110</v>
      </c>
      <c r="E1128" s="8">
        <v>75.571600000000004</v>
      </c>
      <c r="F1128" s="9">
        <v>46073</v>
      </c>
    </row>
    <row r="1129" spans="1:6" ht="60" x14ac:dyDescent="0.25">
      <c r="A1129" s="8" t="s">
        <v>63</v>
      </c>
      <c r="B1129" s="8" t="s">
        <v>67</v>
      </c>
      <c r="C1129" s="8" t="str">
        <f>IFERROR(_xlfn.XLOOKUP(TRIM(B1129),Lookup!$B$2:$B$1000,Lookup!$C$2:$C$1000),"")</f>
        <v>Equity - Large Cap</v>
      </c>
      <c r="D1129" s="8" t="str">
        <f>IFERROR(INDEX('nav master'!$C:$C, MATCH(B1129, 'nav master'!$B:$B, 0)), "")</f>
        <v>ULIF017 07/01/08 TLC 110</v>
      </c>
      <c r="E1129" s="8">
        <v>75.952500000000001</v>
      </c>
      <c r="F1129" s="9">
        <v>46076</v>
      </c>
    </row>
    <row r="1130" spans="1:6" ht="60" x14ac:dyDescent="0.25">
      <c r="A1130" s="8" t="s">
        <v>63</v>
      </c>
      <c r="B1130" s="8" t="s">
        <v>67</v>
      </c>
      <c r="C1130" s="8" t="str">
        <f>IFERROR(_xlfn.XLOOKUP(TRIM(B1130),Lookup!$B$2:$B$1000,Lookup!$C$2:$C$1000),"")</f>
        <v>Equity - Large Cap</v>
      </c>
      <c r="D1130" s="8" t="str">
        <f>IFERROR(INDEX('nav master'!$C:$C, MATCH(B1130, 'nav master'!$B:$B, 0)), "")</f>
        <v>ULIF017 07/01/08 TLC 110</v>
      </c>
      <c r="E1130" s="8">
        <v>75.337599999999995</v>
      </c>
      <c r="F1130" s="9">
        <v>46077</v>
      </c>
    </row>
    <row r="1131" spans="1:6" ht="60" x14ac:dyDescent="0.25">
      <c r="A1131" s="8" t="s">
        <v>63</v>
      </c>
      <c r="B1131" s="8" t="s">
        <v>67</v>
      </c>
      <c r="C1131" s="8" t="str">
        <f>IFERROR(_xlfn.XLOOKUP(TRIM(B1131),Lookup!$B$2:$B$1000,Lookup!$C$2:$C$1000),"")</f>
        <v>Equity - Large Cap</v>
      </c>
      <c r="D1131" s="8" t="str">
        <f>IFERROR(INDEX('nav master'!$C:$C, MATCH(B1131, 'nav master'!$B:$B, 0)), "")</f>
        <v>ULIF017 07/01/08 TLC 110</v>
      </c>
      <c r="E1131" s="8">
        <v>75.620199999999997</v>
      </c>
      <c r="F1131" s="9">
        <v>46078</v>
      </c>
    </row>
    <row r="1132" spans="1:6" ht="60" x14ac:dyDescent="0.25">
      <c r="A1132" s="8" t="s">
        <v>63</v>
      </c>
      <c r="B1132" s="8" t="s">
        <v>67</v>
      </c>
      <c r="C1132" s="8" t="str">
        <f>IFERROR(_xlfn.XLOOKUP(TRIM(B1132),Lookup!$B$2:$B$1000,Lookup!$C$2:$C$1000),"")</f>
        <v>Equity - Large Cap</v>
      </c>
      <c r="D1132" s="8" t="str">
        <f>IFERROR(INDEX('nav master'!$C:$C, MATCH(B1132, 'nav master'!$B:$B, 0)), "")</f>
        <v>ULIF017 07/01/08 TLC 110</v>
      </c>
      <c r="E1132" s="8">
        <v>75.712100000000007</v>
      </c>
      <c r="F1132" s="9">
        <v>46079</v>
      </c>
    </row>
    <row r="1133" spans="1:6" ht="60" x14ac:dyDescent="0.25">
      <c r="A1133" s="8" t="s">
        <v>63</v>
      </c>
      <c r="B1133" s="8" t="s">
        <v>67</v>
      </c>
      <c r="C1133" s="8" t="str">
        <f>IFERROR(_xlfn.XLOOKUP(TRIM(B1133),Lookup!$B$2:$B$1000,Lookup!$C$2:$C$1000),"")</f>
        <v>Equity - Large Cap</v>
      </c>
      <c r="D1133" s="8" t="str">
        <f>IFERROR(INDEX('nav master'!$C:$C, MATCH(B1133, 'nav master'!$B:$B, 0)), "")</f>
        <v>ULIF017 07/01/08 TLC 110</v>
      </c>
      <c r="E1133" s="8">
        <v>74.933899999999994</v>
      </c>
      <c r="F1133" s="9">
        <v>46080</v>
      </c>
    </row>
    <row r="1134" spans="1:6" ht="60" x14ac:dyDescent="0.25">
      <c r="A1134" s="8" t="s">
        <v>63</v>
      </c>
      <c r="B1134" s="8" t="s">
        <v>67</v>
      </c>
      <c r="C1134" s="8" t="str">
        <f>IFERROR(_xlfn.XLOOKUP(TRIM(B1134),Lookup!$B$2:$B$1000,Lookup!$C$2:$C$1000),"")</f>
        <v>Equity - Large Cap</v>
      </c>
      <c r="D1134" s="8" t="str">
        <f>IFERROR(INDEX('nav master'!$C:$C, MATCH(B1134, 'nav master'!$B:$B, 0)), "")</f>
        <v>ULIF017 07/01/08 TLC 110</v>
      </c>
      <c r="E1134" s="8">
        <v>73.957800000000006</v>
      </c>
      <c r="F1134" s="9">
        <v>46083</v>
      </c>
    </row>
    <row r="1135" spans="1:6" ht="60" x14ac:dyDescent="0.25">
      <c r="A1135" s="8" t="s">
        <v>63</v>
      </c>
      <c r="B1135" s="8" t="s">
        <v>67</v>
      </c>
      <c r="C1135" s="8" t="str">
        <f>IFERROR(_xlfn.XLOOKUP(TRIM(B1135),Lookup!$B$2:$B$1000,Lookup!$C$2:$C$1000),"")</f>
        <v>Equity - Large Cap</v>
      </c>
      <c r="D1135" s="8" t="str">
        <f>IFERROR(INDEX('nav master'!$C:$C, MATCH(B1135, 'nav master'!$B:$B, 0)), "")</f>
        <v>ULIF017 07/01/08 TLC 110</v>
      </c>
      <c r="E1135" s="8">
        <v>72.750200000000007</v>
      </c>
      <c r="F1135" s="9">
        <v>46085</v>
      </c>
    </row>
    <row r="1136" spans="1:6" ht="60" x14ac:dyDescent="0.25">
      <c r="A1136" s="8" t="s">
        <v>63</v>
      </c>
      <c r="B1136" s="8" t="s">
        <v>67</v>
      </c>
      <c r="C1136" s="8" t="str">
        <f>IFERROR(_xlfn.XLOOKUP(TRIM(B1136),Lookup!$B$2:$B$1000,Lookup!$C$2:$C$1000),"")</f>
        <v>Equity - Large Cap</v>
      </c>
      <c r="D1136" s="8" t="str">
        <f>IFERROR(INDEX('nav master'!$C:$C, MATCH(B1136, 'nav master'!$B:$B, 0)), "")</f>
        <v>ULIF017 07/01/08 TLC 110</v>
      </c>
      <c r="E1136" s="8">
        <v>73.721000000000004</v>
      </c>
      <c r="F1136" s="9">
        <v>46086</v>
      </c>
    </row>
    <row r="1137" spans="1:6" ht="60" x14ac:dyDescent="0.25">
      <c r="A1137" s="8" t="s">
        <v>63</v>
      </c>
      <c r="B1137" s="8" t="s">
        <v>67</v>
      </c>
      <c r="C1137" s="8" t="str">
        <f>IFERROR(_xlfn.XLOOKUP(TRIM(B1137),Lookup!$B$2:$B$1000,Lookup!$C$2:$C$1000),"")</f>
        <v>Equity - Large Cap</v>
      </c>
      <c r="D1137" s="8" t="str">
        <f>IFERROR(INDEX('nav master'!$C:$C, MATCH(B1137, 'nav master'!$B:$B, 0)), "")</f>
        <v>ULIF017 07/01/08 TLC 110</v>
      </c>
      <c r="E1137" s="8">
        <v>72.8399</v>
      </c>
      <c r="F1137" s="9">
        <v>46087</v>
      </c>
    </row>
    <row r="1138" spans="1:6" ht="60" x14ac:dyDescent="0.25">
      <c r="A1138" s="8" t="s">
        <v>63</v>
      </c>
      <c r="B1138" s="8" t="s">
        <v>67</v>
      </c>
      <c r="C1138" s="8" t="str">
        <f>IFERROR(_xlfn.XLOOKUP(TRIM(B1138),Lookup!$B$2:$B$1000,Lookup!$C$2:$C$1000),"")</f>
        <v>Equity - Large Cap</v>
      </c>
      <c r="D1138" s="8" t="str">
        <f>IFERROR(INDEX('nav master'!$C:$C, MATCH(B1138, 'nav master'!$B:$B, 0)), "")</f>
        <v>ULIF017 07/01/08 TLC 110</v>
      </c>
      <c r="E1138" s="8">
        <v>71.650599999999997</v>
      </c>
      <c r="F1138" s="9">
        <v>46090</v>
      </c>
    </row>
    <row r="1139" spans="1:6" ht="60" x14ac:dyDescent="0.25">
      <c r="A1139" s="8" t="s">
        <v>63</v>
      </c>
      <c r="B1139" s="8" t="s">
        <v>67</v>
      </c>
      <c r="C1139" s="8" t="str">
        <f>IFERROR(_xlfn.XLOOKUP(TRIM(B1139),Lookup!$B$2:$B$1000,Lookup!$C$2:$C$1000),"")</f>
        <v>Equity - Large Cap</v>
      </c>
      <c r="D1139" s="8" t="str">
        <f>IFERROR(INDEX('nav master'!$C:$C, MATCH(B1139, 'nav master'!$B:$B, 0)), "")</f>
        <v>ULIF017 07/01/08 TLC 110</v>
      </c>
      <c r="E1139" s="8">
        <v>72.458299999999994</v>
      </c>
      <c r="F1139" s="9">
        <v>46091</v>
      </c>
    </row>
    <row r="1140" spans="1:6" ht="60" x14ac:dyDescent="0.25">
      <c r="A1140" s="8" t="s">
        <v>63</v>
      </c>
      <c r="B1140" s="8" t="s">
        <v>67</v>
      </c>
      <c r="C1140" s="8" t="str">
        <f>IFERROR(_xlfn.XLOOKUP(TRIM(B1140),Lookup!$B$2:$B$1000,Lookup!$C$2:$C$1000),"")</f>
        <v>Equity - Large Cap</v>
      </c>
      <c r="D1140" s="8" t="str">
        <f>IFERROR(INDEX('nav master'!$C:$C, MATCH(B1140, 'nav master'!$B:$B, 0)), "")</f>
        <v>ULIF017 07/01/08 TLC 110</v>
      </c>
      <c r="E1140" s="8">
        <v>71.366699999999994</v>
      </c>
      <c r="F1140" s="9">
        <v>46092</v>
      </c>
    </row>
    <row r="1141" spans="1:6" ht="60" x14ac:dyDescent="0.25">
      <c r="A1141" s="8" t="s">
        <v>63</v>
      </c>
      <c r="B1141" s="8" t="s">
        <v>67</v>
      </c>
      <c r="C1141" s="8" t="str">
        <f>IFERROR(_xlfn.XLOOKUP(TRIM(B1141),Lookup!$B$2:$B$1000,Lookup!$C$2:$C$1000),"")</f>
        <v>Equity - Large Cap</v>
      </c>
      <c r="D1141" s="8" t="str">
        <f>IFERROR(INDEX('nav master'!$C:$C, MATCH(B1141, 'nav master'!$B:$B, 0)), "")</f>
        <v>ULIF017 07/01/08 TLC 110</v>
      </c>
      <c r="E1141" s="8">
        <v>70.801000000000002</v>
      </c>
      <c r="F1141" s="9">
        <v>46093</v>
      </c>
    </row>
    <row r="1142" spans="1:6" ht="60" x14ac:dyDescent="0.25">
      <c r="A1142" s="8" t="s">
        <v>63</v>
      </c>
      <c r="B1142" s="8" t="s">
        <v>67</v>
      </c>
      <c r="C1142" s="8" t="str">
        <f>IFERROR(_xlfn.XLOOKUP(TRIM(B1142),Lookup!$B$2:$B$1000,Lookup!$C$2:$C$1000),"")</f>
        <v>Equity - Large Cap</v>
      </c>
      <c r="D1142" s="8" t="str">
        <f>IFERROR(INDEX('nav master'!$C:$C, MATCH(B1142, 'nav master'!$B:$B, 0)), "")</f>
        <v>ULIF017 07/01/08 TLC 110</v>
      </c>
      <c r="E1142" s="8">
        <v>69.344800000000006</v>
      </c>
      <c r="F1142" s="9">
        <v>46094</v>
      </c>
    </row>
    <row r="1143" spans="1:6" ht="60" x14ac:dyDescent="0.25">
      <c r="A1143" s="8" t="s">
        <v>63</v>
      </c>
      <c r="B1143" s="8" t="s">
        <v>67</v>
      </c>
      <c r="C1143" s="8" t="str">
        <f>IFERROR(_xlfn.XLOOKUP(TRIM(B1143),Lookup!$B$2:$B$1000,Lookup!$C$2:$C$1000),"")</f>
        <v>Equity - Large Cap</v>
      </c>
      <c r="D1143" s="8" t="str">
        <f>IFERROR(INDEX('nav master'!$C:$C, MATCH(B1143, 'nav master'!$B:$B, 0)), "")</f>
        <v>ULIF017 07/01/08 TLC 110</v>
      </c>
      <c r="E1143" s="8">
        <v>69.848399999999998</v>
      </c>
      <c r="F1143" s="9">
        <v>46097</v>
      </c>
    </row>
    <row r="1144" spans="1:6" ht="60" x14ac:dyDescent="0.25">
      <c r="A1144" s="8" t="s">
        <v>63</v>
      </c>
      <c r="B1144" s="8" t="s">
        <v>67</v>
      </c>
      <c r="C1144" s="8" t="str">
        <f>IFERROR(_xlfn.XLOOKUP(TRIM(B1144),Lookup!$B$2:$B$1000,Lookup!$C$2:$C$1000),"")</f>
        <v>Equity - Large Cap</v>
      </c>
      <c r="D1144" s="8" t="str">
        <f>IFERROR(INDEX('nav master'!$C:$C, MATCH(B1144, 'nav master'!$B:$B, 0)), "")</f>
        <v>ULIF017 07/01/08 TLC 110</v>
      </c>
      <c r="E1144" s="8">
        <v>70.613</v>
      </c>
      <c r="F1144" s="9">
        <v>46098</v>
      </c>
    </row>
    <row r="1145" spans="1:6" ht="60" x14ac:dyDescent="0.25">
      <c r="A1145" s="8" t="s">
        <v>63</v>
      </c>
      <c r="B1145" s="8" t="s">
        <v>67</v>
      </c>
      <c r="C1145" s="8" t="str">
        <f>IFERROR(_xlfn.XLOOKUP(TRIM(B1145),Lookup!$B$2:$B$1000,Lookup!$C$2:$C$1000),"")</f>
        <v>Equity - Large Cap</v>
      </c>
      <c r="D1145" s="8" t="str">
        <f>IFERROR(INDEX('nav master'!$C:$C, MATCH(B1145, 'nav master'!$B:$B, 0)), "")</f>
        <v>ULIF017 07/01/08 TLC 110</v>
      </c>
      <c r="E1145" s="8">
        <v>71.300399999999996</v>
      </c>
      <c r="F1145" s="9">
        <v>46099</v>
      </c>
    </row>
    <row r="1146" spans="1:6" ht="60" x14ac:dyDescent="0.25">
      <c r="A1146" s="8" t="s">
        <v>63</v>
      </c>
      <c r="B1146" s="8" t="s">
        <v>67</v>
      </c>
      <c r="C1146" s="8" t="str">
        <f>IFERROR(_xlfn.XLOOKUP(TRIM(B1146),Lookup!$B$2:$B$1000,Lookup!$C$2:$C$1000),"")</f>
        <v>Equity - Large Cap</v>
      </c>
      <c r="D1146" s="8" t="str">
        <f>IFERROR(INDEX('nav master'!$C:$C, MATCH(B1146, 'nav master'!$B:$B, 0)), "")</f>
        <v>ULIF017 07/01/08 TLC 110</v>
      </c>
      <c r="E1146" s="8">
        <v>68.972899999999996</v>
      </c>
      <c r="F1146" s="9">
        <v>46100</v>
      </c>
    </row>
    <row r="1147" spans="1:6" ht="60" x14ac:dyDescent="0.25">
      <c r="A1147" s="8" t="s">
        <v>63</v>
      </c>
      <c r="B1147" s="8" t="s">
        <v>67</v>
      </c>
      <c r="C1147" s="8" t="str">
        <f>IFERROR(_xlfn.XLOOKUP(TRIM(B1147),Lookup!$B$2:$B$1000,Lookup!$C$2:$C$1000),"")</f>
        <v>Equity - Large Cap</v>
      </c>
      <c r="D1147" s="8" t="str">
        <f>IFERROR(INDEX('nav master'!$C:$C, MATCH(B1147, 'nav master'!$B:$B, 0)), "")</f>
        <v>ULIF017 07/01/08 TLC 110</v>
      </c>
      <c r="E1147" s="8">
        <v>69.220200000000006</v>
      </c>
      <c r="F1147" s="9">
        <v>46101</v>
      </c>
    </row>
    <row r="1148" spans="1:6" ht="60" x14ac:dyDescent="0.25">
      <c r="A1148" s="8" t="s">
        <v>63</v>
      </c>
      <c r="B1148" s="8" t="s">
        <v>67</v>
      </c>
      <c r="C1148" s="8" t="str">
        <f>IFERROR(_xlfn.XLOOKUP(TRIM(B1148),Lookup!$B$2:$B$1000,Lookup!$C$2:$C$1000),"")</f>
        <v>Equity - Large Cap</v>
      </c>
      <c r="D1148" s="8" t="str">
        <f>IFERROR(INDEX('nav master'!$C:$C, MATCH(B1148, 'nav master'!$B:$B, 0)), "")</f>
        <v>ULIF017 07/01/08 TLC 110</v>
      </c>
      <c r="E1148" s="8">
        <v>67.208500000000001</v>
      </c>
      <c r="F1148" s="9">
        <v>46104</v>
      </c>
    </row>
    <row r="1149" spans="1:6" ht="60" x14ac:dyDescent="0.25">
      <c r="A1149" s="8" t="s">
        <v>63</v>
      </c>
      <c r="B1149" s="8" t="s">
        <v>67</v>
      </c>
      <c r="C1149" s="8" t="str">
        <f>IFERROR(_xlfn.XLOOKUP(TRIM(B1149),Lookup!$B$2:$B$1000,Lookup!$C$2:$C$1000),"")</f>
        <v>Equity - Large Cap</v>
      </c>
      <c r="D1149" s="8" t="str">
        <f>IFERROR(INDEX('nav master'!$C:$C, MATCH(B1149, 'nav master'!$B:$B, 0)), "")</f>
        <v>ULIF017 07/01/08 TLC 110</v>
      </c>
      <c r="E1149" s="8">
        <v>68.692300000000003</v>
      </c>
      <c r="F1149" s="9">
        <v>46105</v>
      </c>
    </row>
    <row r="1150" spans="1:6" ht="60" x14ac:dyDescent="0.25">
      <c r="A1150" s="8" t="s">
        <v>63</v>
      </c>
      <c r="B1150" s="8" t="s">
        <v>67</v>
      </c>
      <c r="C1150" s="8" t="str">
        <f>IFERROR(_xlfn.XLOOKUP(TRIM(B1150),Lookup!$B$2:$B$1000,Lookup!$C$2:$C$1000),"")</f>
        <v>Equity - Large Cap</v>
      </c>
      <c r="D1150" s="8" t="str">
        <f>IFERROR(INDEX('nav master'!$C:$C, MATCH(B1150, 'nav master'!$B:$B, 0)), "")</f>
        <v>ULIF017 07/01/08 TLC 110</v>
      </c>
      <c r="E1150" s="8">
        <v>69.874200000000002</v>
      </c>
      <c r="F1150" s="9">
        <v>46106</v>
      </c>
    </row>
    <row r="1151" spans="1:6" ht="60" x14ac:dyDescent="0.25">
      <c r="A1151" s="8" t="s">
        <v>63</v>
      </c>
      <c r="B1151" s="8" t="s">
        <v>67</v>
      </c>
      <c r="C1151" s="8" t="str">
        <f>IFERROR(_xlfn.XLOOKUP(TRIM(B1151),Lookup!$B$2:$B$1000,Lookup!$C$2:$C$1000),"")</f>
        <v>Equity - Large Cap</v>
      </c>
      <c r="D1151" s="8" t="str">
        <f>IFERROR(INDEX('nav master'!$C:$C, MATCH(B1151, 'nav master'!$B:$B, 0)), "")</f>
        <v>ULIF017 07/01/08 TLC 110</v>
      </c>
      <c r="E1151" s="8">
        <v>68.3352</v>
      </c>
      <c r="F1151" s="9">
        <v>46108</v>
      </c>
    </row>
    <row r="1152" spans="1:6" ht="60" x14ac:dyDescent="0.25">
      <c r="A1152" s="8" t="s">
        <v>63</v>
      </c>
      <c r="B1152" s="8" t="s">
        <v>67</v>
      </c>
      <c r="C1152" s="8" t="str">
        <f>IFERROR(_xlfn.XLOOKUP(TRIM(B1152),Lookup!$B$2:$B$1000,Lookup!$C$2:$C$1000),"")</f>
        <v>Equity - Large Cap</v>
      </c>
      <c r="D1152" s="8" t="str">
        <f>IFERROR(INDEX('nav master'!$C:$C, MATCH(B1152, 'nav master'!$B:$B, 0)), "")</f>
        <v>ULIF017 07/01/08 TLC 110</v>
      </c>
      <c r="E1152" s="8">
        <v>66.7697</v>
      </c>
      <c r="F1152" s="9">
        <v>46111</v>
      </c>
    </row>
    <row r="1153" spans="1:6" ht="60" x14ac:dyDescent="0.25">
      <c r="A1153" s="8" t="s">
        <v>63</v>
      </c>
      <c r="B1153" s="8" t="s">
        <v>67</v>
      </c>
      <c r="C1153" s="8" t="str">
        <f>IFERROR(_xlfn.XLOOKUP(TRIM(B1153),Lookup!$B$2:$B$1000,Lookup!$C$2:$C$1000),"")</f>
        <v>Equity - Large Cap</v>
      </c>
      <c r="D1153" s="8" t="str">
        <f>IFERROR(INDEX('nav master'!$C:$C, MATCH(B1153, 'nav master'!$B:$B, 0)), "")</f>
        <v>ULIF017 07/01/08 TLC 110</v>
      </c>
      <c r="E1153" s="8">
        <v>66.767600000000002</v>
      </c>
      <c r="F1153" s="9">
        <v>46112</v>
      </c>
    </row>
    <row r="1154" spans="1:6" ht="60" x14ac:dyDescent="0.25">
      <c r="A1154" s="8" t="s">
        <v>63</v>
      </c>
      <c r="B1154" s="8" t="s">
        <v>67</v>
      </c>
      <c r="C1154" s="8" t="str">
        <f>IFERROR(_xlfn.XLOOKUP(TRIM(B1154),Lookup!$B$2:$B$1000,Lookup!$C$2:$C$1000),"")</f>
        <v>Equity - Large Cap</v>
      </c>
      <c r="D1154" s="8" t="str">
        <f>IFERROR(INDEX('nav master'!$C:$C, MATCH(B1154, 'nav master'!$B:$B, 0)), "")</f>
        <v>ULIF017 07/01/08 TLC 110</v>
      </c>
      <c r="E1154" s="8">
        <v>67.842500000000001</v>
      </c>
      <c r="F1154" s="9">
        <v>46113</v>
      </c>
    </row>
    <row r="1155" spans="1:6" ht="60" x14ac:dyDescent="0.25">
      <c r="A1155" s="8" t="s">
        <v>63</v>
      </c>
      <c r="B1155" s="8" t="s">
        <v>67</v>
      </c>
      <c r="C1155" s="8" t="str">
        <f>IFERROR(_xlfn.XLOOKUP(TRIM(B1155),Lookup!$B$2:$B$1000,Lookup!$C$2:$C$1000),"")</f>
        <v>Equity - Large Cap</v>
      </c>
      <c r="D1155" s="8" t="str">
        <f>IFERROR(INDEX('nav master'!$C:$C, MATCH(B1155, 'nav master'!$B:$B, 0)), "")</f>
        <v>ULIF017 07/01/08 TLC 110</v>
      </c>
      <c r="E1155" s="8">
        <v>67.6066</v>
      </c>
      <c r="F1155" s="9">
        <v>46114</v>
      </c>
    </row>
    <row r="1156" spans="1:6" ht="60" x14ac:dyDescent="0.25">
      <c r="A1156" s="8" t="s">
        <v>63</v>
      </c>
      <c r="B1156" s="8" t="s">
        <v>67</v>
      </c>
      <c r="C1156" s="8" t="str">
        <f>IFERROR(_xlfn.XLOOKUP(TRIM(B1156),Lookup!$B$2:$B$1000,Lookup!$C$2:$C$1000),"")</f>
        <v>Equity - Large Cap</v>
      </c>
      <c r="D1156" s="8" t="str">
        <f>IFERROR(INDEX('nav master'!$C:$C, MATCH(B1156, 'nav master'!$B:$B, 0)), "")</f>
        <v>ULIF017 07/01/08 TLC 110</v>
      </c>
      <c r="E1156" s="8">
        <v>68.357500000000002</v>
      </c>
      <c r="F1156" s="9">
        <v>46118</v>
      </c>
    </row>
    <row r="1157" spans="1:6" ht="60" x14ac:dyDescent="0.25">
      <c r="A1157" s="8" t="s">
        <v>63</v>
      </c>
      <c r="B1157" s="8" t="s">
        <v>67</v>
      </c>
      <c r="C1157" s="8" t="str">
        <f>IFERROR(_xlfn.XLOOKUP(TRIM(B1157),Lookup!$B$2:$B$1000,Lookup!$C$2:$C$1000),"")</f>
        <v>Equity - Large Cap</v>
      </c>
      <c r="D1157" s="8" t="str">
        <f>IFERROR(INDEX('nav master'!$C:$C, MATCH(B1157, 'nav master'!$B:$B, 0)), "")</f>
        <v>ULIF017 07/01/08 TLC 110</v>
      </c>
      <c r="E1157" s="8">
        <v>68.654200000000003</v>
      </c>
      <c r="F1157" s="9">
        <v>46119</v>
      </c>
    </row>
    <row r="1158" spans="1:6" ht="60" x14ac:dyDescent="0.25">
      <c r="A1158" s="8" t="s">
        <v>63</v>
      </c>
      <c r="B1158" s="8" t="s">
        <v>67</v>
      </c>
      <c r="C1158" s="8" t="str">
        <f>IFERROR(_xlfn.XLOOKUP(TRIM(B1158),Lookup!$B$2:$B$1000,Lookup!$C$2:$C$1000),"")</f>
        <v>Equity - Large Cap</v>
      </c>
      <c r="D1158" s="8" t="str">
        <f>IFERROR(INDEX('nav master'!$C:$C, MATCH(B1158, 'nav master'!$B:$B, 0)), "")</f>
        <v>ULIF017 07/01/08 TLC 110</v>
      </c>
      <c r="E1158" s="8">
        <v>71.485399999999998</v>
      </c>
      <c r="F1158" s="9">
        <v>46120</v>
      </c>
    </row>
    <row r="1159" spans="1:6" ht="60" x14ac:dyDescent="0.25">
      <c r="A1159" s="8" t="s">
        <v>63</v>
      </c>
      <c r="B1159" s="8" t="s">
        <v>67</v>
      </c>
      <c r="C1159" s="8" t="str">
        <f>IFERROR(_xlfn.XLOOKUP(TRIM(B1159),Lookup!$B$2:$B$1000,Lookup!$C$2:$C$1000),"")</f>
        <v>Equity - Large Cap</v>
      </c>
      <c r="D1159" s="8" t="str">
        <f>IFERROR(INDEX('nav master'!$C:$C, MATCH(B1159, 'nav master'!$B:$B, 0)), "")</f>
        <v>ULIF017 07/01/08 TLC 110</v>
      </c>
      <c r="E1159" s="8">
        <v>70.883700000000005</v>
      </c>
      <c r="F1159" s="9">
        <v>46121</v>
      </c>
    </row>
    <row r="1160" spans="1:6" ht="60" x14ac:dyDescent="0.25">
      <c r="A1160" s="8" t="s">
        <v>63</v>
      </c>
      <c r="B1160" s="8" t="s">
        <v>67</v>
      </c>
      <c r="C1160" s="8" t="str">
        <f>IFERROR(_xlfn.XLOOKUP(TRIM(B1160),Lookup!$B$2:$B$1000,Lookup!$C$2:$C$1000),"")</f>
        <v>Equity - Large Cap</v>
      </c>
      <c r="D1160" s="8" t="str">
        <f>IFERROR(INDEX('nav master'!$C:$C, MATCH(B1160, 'nav master'!$B:$B, 0)), "")</f>
        <v>ULIF017 07/01/08 TLC 110</v>
      </c>
      <c r="E1160" s="8">
        <v>71.925200000000004</v>
      </c>
      <c r="F1160" s="9">
        <v>46122</v>
      </c>
    </row>
    <row r="1161" spans="1:6" ht="60" x14ac:dyDescent="0.25">
      <c r="A1161" s="8" t="s">
        <v>63</v>
      </c>
      <c r="B1161" s="8" t="s">
        <v>67</v>
      </c>
      <c r="C1161" s="8" t="str">
        <f>IFERROR(_xlfn.XLOOKUP(TRIM(B1161),Lookup!$B$2:$B$1000,Lookup!$C$2:$C$1000),"")</f>
        <v>Equity - Large Cap</v>
      </c>
      <c r="D1161" s="8" t="str">
        <f>IFERROR(INDEX('nav master'!$C:$C, MATCH(B1161, 'nav master'!$B:$B, 0)), "")</f>
        <v>ULIF017 07/01/08 TLC 110</v>
      </c>
      <c r="E1161" s="8">
        <v>71.553700000000006</v>
      </c>
      <c r="F1161" s="9">
        <v>46125</v>
      </c>
    </row>
    <row r="1162" spans="1:6" ht="60" x14ac:dyDescent="0.25">
      <c r="A1162" s="8" t="s">
        <v>63</v>
      </c>
      <c r="B1162" s="8" t="s">
        <v>67</v>
      </c>
      <c r="C1162" s="8" t="str">
        <f>IFERROR(_xlfn.XLOOKUP(TRIM(B1162),Lookup!$B$2:$B$1000,Lookup!$C$2:$C$1000),"")</f>
        <v>Equity - Large Cap</v>
      </c>
      <c r="D1162" s="8" t="str">
        <f>IFERROR(INDEX('nav master'!$C:$C, MATCH(B1162, 'nav master'!$B:$B, 0)), "")</f>
        <v>ULIF017 07/01/08 TLC 110</v>
      </c>
      <c r="E1162" s="8">
        <v>72.795299999999997</v>
      </c>
      <c r="F1162" s="9">
        <v>46127</v>
      </c>
    </row>
    <row r="1163" spans="1:6" ht="60" x14ac:dyDescent="0.25">
      <c r="A1163" s="8" t="s">
        <v>63</v>
      </c>
      <c r="B1163" s="8" t="s">
        <v>67</v>
      </c>
      <c r="C1163" s="8" t="str">
        <f>IFERROR(_xlfn.XLOOKUP(TRIM(B1163),Lookup!$B$2:$B$1000,Lookup!$C$2:$C$1000),"")</f>
        <v>Equity - Large Cap</v>
      </c>
      <c r="D1163" s="8" t="str">
        <f>IFERROR(INDEX('nav master'!$C:$C, MATCH(B1163, 'nav master'!$B:$B, 0)), "")</f>
        <v>ULIF017 07/01/08 TLC 110</v>
      </c>
      <c r="E1163" s="8">
        <v>72.787000000000006</v>
      </c>
      <c r="F1163" s="9">
        <v>46128</v>
      </c>
    </row>
    <row r="1164" spans="1:6" ht="60" x14ac:dyDescent="0.25">
      <c r="A1164" s="8" t="s">
        <v>63</v>
      </c>
      <c r="B1164" s="8" t="s">
        <v>67</v>
      </c>
      <c r="C1164" s="8" t="str">
        <f>IFERROR(_xlfn.XLOOKUP(TRIM(B1164),Lookup!$B$2:$B$1000,Lookup!$C$2:$C$1000),"")</f>
        <v>Equity - Large Cap</v>
      </c>
      <c r="D1164" s="8" t="str">
        <f>IFERROR(INDEX('nav master'!$C:$C, MATCH(B1164, 'nav master'!$B:$B, 0)), "")</f>
        <v>ULIF017 07/01/08 TLC 110</v>
      </c>
      <c r="E1164" s="8">
        <v>73.178899999999999</v>
      </c>
      <c r="F1164" s="9">
        <v>46129</v>
      </c>
    </row>
    <row r="1165" spans="1:6" ht="60" x14ac:dyDescent="0.25">
      <c r="A1165" s="8" t="s">
        <v>63</v>
      </c>
      <c r="B1165" s="8" t="s">
        <v>67</v>
      </c>
      <c r="C1165" s="8" t="str">
        <f>IFERROR(_xlfn.XLOOKUP(TRIM(B1165),Lookup!$B$2:$B$1000,Lookup!$C$2:$C$1000),"")</f>
        <v>Equity - Large Cap</v>
      </c>
      <c r="D1165" s="8" t="str">
        <f>IFERROR(INDEX('nav master'!$C:$C, MATCH(B1165, 'nav master'!$B:$B, 0)), "")</f>
        <v>ULIF017 07/01/08 TLC 110</v>
      </c>
      <c r="E1165" s="8">
        <v>73.173100000000005</v>
      </c>
      <c r="F1165" s="9">
        <v>46132</v>
      </c>
    </row>
    <row r="1166" spans="1:6" ht="60" x14ac:dyDescent="0.25">
      <c r="A1166" s="8" t="s">
        <v>63</v>
      </c>
      <c r="B1166" s="8" t="s">
        <v>67</v>
      </c>
      <c r="C1166" s="8" t="str">
        <f>IFERROR(_xlfn.XLOOKUP(TRIM(B1166),Lookup!$B$2:$B$1000,Lookup!$C$2:$C$1000),"")</f>
        <v>Equity - Large Cap</v>
      </c>
      <c r="D1166" s="8" t="str">
        <f>IFERROR(INDEX('nav master'!$C:$C, MATCH(B1166, 'nav master'!$B:$B, 0)), "")</f>
        <v>ULIF017 07/01/08 TLC 110</v>
      </c>
      <c r="E1166" s="8">
        <v>73.763800000000003</v>
      </c>
      <c r="F1166" s="9">
        <v>46133</v>
      </c>
    </row>
    <row r="1167" spans="1:6" ht="60" x14ac:dyDescent="0.25">
      <c r="A1167" s="8" t="s">
        <v>63</v>
      </c>
      <c r="B1167" s="8" t="s">
        <v>67</v>
      </c>
      <c r="C1167" s="8" t="str">
        <f>IFERROR(_xlfn.XLOOKUP(TRIM(B1167),Lookup!$B$2:$B$1000,Lookup!$C$2:$C$1000),"")</f>
        <v>Equity - Large Cap</v>
      </c>
      <c r="D1167" s="8" t="str">
        <f>IFERROR(INDEX('nav master'!$C:$C, MATCH(B1167, 'nav master'!$B:$B, 0)), "")</f>
        <v>ULIF017 07/01/08 TLC 110</v>
      </c>
      <c r="E1167" s="8">
        <v>73.388199999999998</v>
      </c>
      <c r="F1167" s="9">
        <v>46134</v>
      </c>
    </row>
    <row r="1168" spans="1:6" ht="60" x14ac:dyDescent="0.25">
      <c r="A1168" s="8" t="s">
        <v>63</v>
      </c>
      <c r="B1168" s="8" t="s">
        <v>67</v>
      </c>
      <c r="C1168" s="8" t="str">
        <f>IFERROR(_xlfn.XLOOKUP(TRIM(B1168),Lookup!$B$2:$B$1000,Lookup!$C$2:$C$1000),"")</f>
        <v>Equity - Large Cap</v>
      </c>
      <c r="D1168" s="8" t="str">
        <f>IFERROR(INDEX('nav master'!$C:$C, MATCH(B1168, 'nav master'!$B:$B, 0)), "")</f>
        <v>ULIF017 07/01/08 TLC 110</v>
      </c>
      <c r="E1168" s="8">
        <v>72.662899999999993</v>
      </c>
      <c r="F1168" s="9">
        <v>46135</v>
      </c>
    </row>
    <row r="1169" spans="1:6" ht="60" x14ac:dyDescent="0.25">
      <c r="A1169" s="8" t="s">
        <v>63</v>
      </c>
      <c r="B1169" s="8" t="s">
        <v>67</v>
      </c>
      <c r="C1169" s="8" t="str">
        <f>IFERROR(_xlfn.XLOOKUP(TRIM(B1169),Lookup!$B$2:$B$1000,Lookup!$C$2:$C$1000),"")</f>
        <v>Equity - Large Cap</v>
      </c>
      <c r="D1169" s="8" t="str">
        <f>IFERROR(INDEX('nav master'!$C:$C, MATCH(B1169, 'nav master'!$B:$B, 0)), "")</f>
        <v>ULIF017 07/01/08 TLC 110</v>
      </c>
      <c r="E1169" s="8">
        <v>71.936499999999995</v>
      </c>
      <c r="F1169" s="9">
        <v>46136</v>
      </c>
    </row>
    <row r="1170" spans="1:6" ht="60" x14ac:dyDescent="0.25">
      <c r="A1170" s="8" t="s">
        <v>63</v>
      </c>
      <c r="B1170" s="8" t="s">
        <v>67</v>
      </c>
      <c r="C1170" s="8" t="str">
        <f>IFERROR(_xlfn.XLOOKUP(TRIM(B1170),Lookup!$B$2:$B$1000,Lookup!$C$2:$C$1000),"")</f>
        <v>Equity - Large Cap</v>
      </c>
      <c r="D1170" s="8" t="str">
        <f>IFERROR(INDEX('nav master'!$C:$C, MATCH(B1170, 'nav master'!$B:$B, 0)), "")</f>
        <v>ULIF017 07/01/08 TLC 110</v>
      </c>
      <c r="E1170" s="8">
        <v>72.492999999999995</v>
      </c>
      <c r="F1170" s="9">
        <v>46139</v>
      </c>
    </row>
    <row r="1171" spans="1:6" ht="60" x14ac:dyDescent="0.25">
      <c r="A1171" s="8" t="s">
        <v>63</v>
      </c>
      <c r="B1171" s="8" t="s">
        <v>67</v>
      </c>
      <c r="C1171" s="8" t="str">
        <f>IFERROR(_xlfn.XLOOKUP(TRIM(B1171),Lookup!$B$2:$B$1000,Lookup!$C$2:$C$1000),"")</f>
        <v>Equity - Large Cap</v>
      </c>
      <c r="D1171" s="8" t="str">
        <f>IFERROR(INDEX('nav master'!$C:$C, MATCH(B1171, 'nav master'!$B:$B, 0)), "")</f>
        <v>ULIF017 07/01/08 TLC 110</v>
      </c>
      <c r="E1171" s="8">
        <v>72.001800000000003</v>
      </c>
      <c r="F1171" s="9">
        <v>46140</v>
      </c>
    </row>
    <row r="1172" spans="1:6" ht="60" x14ac:dyDescent="0.25">
      <c r="A1172" s="8" t="s">
        <v>63</v>
      </c>
      <c r="B1172" s="8" t="s">
        <v>67</v>
      </c>
      <c r="C1172" s="8" t="str">
        <f>IFERROR(_xlfn.XLOOKUP(TRIM(B1172),Lookup!$B$2:$B$1000,Lookup!$C$2:$C$1000),"")</f>
        <v>Equity - Large Cap</v>
      </c>
      <c r="D1172" s="8" t="str">
        <f>IFERROR(INDEX('nav master'!$C:$C, MATCH(B1172, 'nav master'!$B:$B, 0)), "")</f>
        <v>ULIF017 07/01/08 TLC 110</v>
      </c>
      <c r="E1172" s="8">
        <v>72.341200000000001</v>
      </c>
      <c r="F1172" s="9">
        <v>46141</v>
      </c>
    </row>
    <row r="1173" spans="1:6" ht="60" x14ac:dyDescent="0.25">
      <c r="A1173" s="8" t="s">
        <v>63</v>
      </c>
      <c r="B1173" s="8" t="s">
        <v>67</v>
      </c>
      <c r="C1173" s="8" t="str">
        <f>IFERROR(_xlfn.XLOOKUP(TRIM(B1173),Lookup!$B$2:$B$1000,Lookup!$C$2:$C$1000),"")</f>
        <v>Equity - Large Cap</v>
      </c>
      <c r="D1173" s="8" t="str">
        <f>IFERROR(INDEX('nav master'!$C:$C, MATCH(B1173, 'nav master'!$B:$B, 0)), "")</f>
        <v>ULIF017 07/01/08 TLC 110</v>
      </c>
      <c r="E1173" s="8">
        <v>71.857900000000001</v>
      </c>
      <c r="F1173" s="9">
        <v>46142</v>
      </c>
    </row>
    <row r="1174" spans="1:6" ht="60" x14ac:dyDescent="0.25">
      <c r="A1174" s="8" t="s">
        <v>63</v>
      </c>
      <c r="B1174" s="8" t="s">
        <v>67</v>
      </c>
      <c r="C1174" s="8" t="str">
        <f>IFERROR(_xlfn.XLOOKUP(TRIM(B1174),Lookup!$B$2:$B$1000,Lookup!$C$2:$C$1000),"")</f>
        <v>Equity - Large Cap</v>
      </c>
      <c r="D1174" s="8" t="str">
        <f>IFERROR(INDEX('nav master'!$C:$C, MATCH(B1174, 'nav master'!$B:$B, 0)), "")</f>
        <v>ULIF017 07/01/08 TLC 110</v>
      </c>
      <c r="E1174" s="8">
        <v>72.202799999999996</v>
      </c>
      <c r="F1174" s="9">
        <v>46146</v>
      </c>
    </row>
    <row r="1175" spans="1:6" ht="60" x14ac:dyDescent="0.25">
      <c r="A1175" s="8" t="s">
        <v>63</v>
      </c>
      <c r="B1175" s="8" t="s">
        <v>67</v>
      </c>
      <c r="C1175" s="8" t="str">
        <f>IFERROR(_xlfn.XLOOKUP(TRIM(B1175),Lookup!$B$2:$B$1000,Lookup!$C$2:$C$1000),"")</f>
        <v>Equity - Large Cap</v>
      </c>
      <c r="D1175" s="8" t="str">
        <f>IFERROR(INDEX('nav master'!$C:$C, MATCH(B1175, 'nav master'!$B:$B, 0)), "")</f>
        <v>ULIF017 07/01/08 TLC 110</v>
      </c>
      <c r="E1175" s="8">
        <v>71.950500000000005</v>
      </c>
      <c r="F1175" s="9">
        <v>46147</v>
      </c>
    </row>
    <row r="1176" spans="1:6" ht="60" x14ac:dyDescent="0.25">
      <c r="A1176" s="8" t="s">
        <v>63</v>
      </c>
      <c r="B1176" s="8" t="s">
        <v>67</v>
      </c>
      <c r="C1176" s="8" t="str">
        <f>IFERROR(_xlfn.XLOOKUP(TRIM(B1176),Lookup!$B$2:$B$1000,Lookup!$C$2:$C$1000),"")</f>
        <v>Equity - Large Cap</v>
      </c>
      <c r="D1176" s="8" t="str">
        <f>IFERROR(INDEX('nav master'!$C:$C, MATCH(B1176, 'nav master'!$B:$B, 0)), "")</f>
        <v>ULIF017 07/01/08 TLC 110</v>
      </c>
      <c r="E1176" s="8">
        <v>72.987300000000005</v>
      </c>
      <c r="F1176" s="9">
        <v>46148</v>
      </c>
    </row>
    <row r="1177" spans="1:6" ht="60" x14ac:dyDescent="0.25">
      <c r="A1177" s="8" t="s">
        <v>63</v>
      </c>
      <c r="B1177" s="8" t="s">
        <v>67</v>
      </c>
      <c r="C1177" s="8" t="str">
        <f>IFERROR(_xlfn.XLOOKUP(TRIM(B1177),Lookup!$B$2:$B$1000,Lookup!$C$2:$C$1000),"")</f>
        <v>Equity - Large Cap</v>
      </c>
      <c r="D1177" s="8" t="str">
        <f>IFERROR(INDEX('nav master'!$C:$C, MATCH(B1177, 'nav master'!$B:$B, 0)), "")</f>
        <v>ULIF017 07/01/08 TLC 110</v>
      </c>
      <c r="E1177" s="8">
        <v>73.177700000000002</v>
      </c>
      <c r="F1177" s="9">
        <v>46149</v>
      </c>
    </row>
    <row r="1178" spans="1:6" ht="60" x14ac:dyDescent="0.25">
      <c r="A1178" s="8" t="s">
        <v>63</v>
      </c>
      <c r="B1178" s="8" t="s">
        <v>67</v>
      </c>
      <c r="C1178" s="8" t="str">
        <f>IFERROR(_xlfn.XLOOKUP(TRIM(B1178),Lookup!$B$2:$B$1000,Lookup!$C$2:$C$1000),"")</f>
        <v>Equity - Large Cap</v>
      </c>
      <c r="D1178" s="8" t="str">
        <f>IFERROR(INDEX('nav master'!$C:$C, MATCH(B1178, 'nav master'!$B:$B, 0)), "")</f>
        <v>ULIF017 07/01/08 TLC 110</v>
      </c>
      <c r="E1178" s="8">
        <v>72.748800000000003</v>
      </c>
      <c r="F1178" s="9">
        <v>46150</v>
      </c>
    </row>
    <row r="1179" spans="1:6" ht="60" x14ac:dyDescent="0.25">
      <c r="A1179" s="8" t="s">
        <v>63</v>
      </c>
      <c r="B1179" s="8" t="s">
        <v>67</v>
      </c>
      <c r="C1179" s="8" t="str">
        <f>IFERROR(_xlfn.XLOOKUP(TRIM(B1179),Lookup!$B$2:$B$1000,Lookup!$C$2:$C$1000),"")</f>
        <v>Equity - Large Cap</v>
      </c>
      <c r="D1179" s="8" t="str">
        <f>IFERROR(INDEX('nav master'!$C:$C, MATCH(B1179, 'nav master'!$B:$B, 0)), "")</f>
        <v>ULIF017 07/01/08 TLC 110</v>
      </c>
      <c r="E1179" s="8">
        <v>71.588200000000001</v>
      </c>
      <c r="F1179" s="9">
        <v>46153</v>
      </c>
    </row>
    <row r="1180" spans="1:6" ht="60" x14ac:dyDescent="0.25">
      <c r="A1180" s="8" t="s">
        <v>63</v>
      </c>
      <c r="B1180" s="8" t="s">
        <v>67</v>
      </c>
      <c r="C1180" s="8" t="str">
        <f>IFERROR(_xlfn.XLOOKUP(TRIM(B1180),Lookup!$B$2:$B$1000,Lookup!$C$2:$C$1000),"")</f>
        <v>Equity - Large Cap</v>
      </c>
      <c r="D1180" s="8" t="str">
        <f>IFERROR(INDEX('nav master'!$C:$C, MATCH(B1180, 'nav master'!$B:$B, 0)), "")</f>
        <v>ULIF017 07/01/08 TLC 110</v>
      </c>
      <c r="E1180" s="8">
        <v>70.259699999999995</v>
      </c>
      <c r="F1180" s="9">
        <v>46154</v>
      </c>
    </row>
    <row r="1181" spans="1:6" ht="60" x14ac:dyDescent="0.25">
      <c r="A1181" s="8" t="s">
        <v>63</v>
      </c>
      <c r="B1181" s="8" t="s">
        <v>67</v>
      </c>
      <c r="C1181" s="8" t="str">
        <f>IFERROR(_xlfn.XLOOKUP(TRIM(B1181),Lookup!$B$2:$B$1000,Lookup!$C$2:$C$1000),"")</f>
        <v>Equity - Large Cap</v>
      </c>
      <c r="D1181" s="8" t="str">
        <f>IFERROR(INDEX('nav master'!$C:$C, MATCH(B1181, 'nav master'!$B:$B, 0)), "")</f>
        <v>ULIF017 07/01/08 TLC 110</v>
      </c>
      <c r="E1181" s="8">
        <v>70.285200000000003</v>
      </c>
      <c r="F1181" s="9">
        <v>46155</v>
      </c>
    </row>
    <row r="1182" spans="1:6" ht="60" x14ac:dyDescent="0.25">
      <c r="A1182" s="8" t="s">
        <v>63</v>
      </c>
      <c r="B1182" s="8" t="s">
        <v>67</v>
      </c>
      <c r="C1182" s="8" t="str">
        <f>IFERROR(_xlfn.XLOOKUP(TRIM(B1182),Lookup!$B$2:$B$1000,Lookup!$C$2:$C$1000),"")</f>
        <v>Equity - Large Cap</v>
      </c>
      <c r="D1182" s="8" t="str">
        <f>IFERROR(INDEX('nav master'!$C:$C, MATCH(B1182, 'nav master'!$B:$B, 0)), "")</f>
        <v>ULIF017 07/01/08 TLC 110</v>
      </c>
      <c r="E1182" s="8">
        <v>71.185199999999995</v>
      </c>
      <c r="F1182" s="9">
        <v>46156</v>
      </c>
    </row>
    <row r="1183" spans="1:6" ht="60" x14ac:dyDescent="0.25">
      <c r="A1183" s="8" t="s">
        <v>63</v>
      </c>
      <c r="B1183" s="8" t="s">
        <v>67</v>
      </c>
      <c r="C1183" s="8" t="str">
        <f>IFERROR(_xlfn.XLOOKUP(TRIM(B1183),Lookup!$B$2:$B$1000,Lookup!$C$2:$C$1000),"")</f>
        <v>Equity - Large Cap</v>
      </c>
      <c r="D1183" s="8" t="str">
        <f>IFERROR(INDEX('nav master'!$C:$C, MATCH(B1183, 'nav master'!$B:$B, 0)), "")</f>
        <v>ULIF017 07/01/08 TLC 110</v>
      </c>
      <c r="E1183" s="8">
        <v>70.831999999999994</v>
      </c>
      <c r="F1183" s="9">
        <v>46157</v>
      </c>
    </row>
    <row r="1184" spans="1:6" ht="60" x14ac:dyDescent="0.25">
      <c r="A1184" s="8" t="s">
        <v>63</v>
      </c>
      <c r="B1184" s="8" t="s">
        <v>67</v>
      </c>
      <c r="C1184" s="8" t="str">
        <f>IFERROR(_xlfn.XLOOKUP(TRIM(B1184),Lookup!$B$2:$B$1000,Lookup!$C$2:$C$1000),"")</f>
        <v>Equity - Large Cap</v>
      </c>
      <c r="D1184" s="8" t="str">
        <f>IFERROR(INDEX('nav master'!$C:$C, MATCH(B1184, 'nav master'!$B:$B, 0)), "")</f>
        <v>ULIF017 07/01/08 TLC 110</v>
      </c>
      <c r="E1184" s="8">
        <v>70.794499999999999</v>
      </c>
      <c r="F1184" s="9">
        <v>46160</v>
      </c>
    </row>
    <row r="1185" spans="1:6" ht="60" x14ac:dyDescent="0.25">
      <c r="A1185" s="8" t="s">
        <v>63</v>
      </c>
      <c r="B1185" s="8" t="s">
        <v>67</v>
      </c>
      <c r="C1185" s="8" t="str">
        <f>IFERROR(_xlfn.XLOOKUP(TRIM(B1185),Lookup!$B$2:$B$1000,Lookup!$C$2:$C$1000),"")</f>
        <v>Equity - Large Cap</v>
      </c>
      <c r="D1185" s="8" t="str">
        <f>IFERROR(INDEX('nav master'!$C:$C, MATCH(B1185, 'nav master'!$B:$B, 0)), "")</f>
        <v>ULIF017 07/01/08 TLC 110</v>
      </c>
      <c r="E1185" s="8">
        <v>70.784999999999997</v>
      </c>
      <c r="F1185" s="9">
        <v>46161</v>
      </c>
    </row>
    <row r="1186" spans="1:6" ht="60" x14ac:dyDescent="0.25">
      <c r="A1186" s="8" t="s">
        <v>63</v>
      </c>
      <c r="B1186" s="8" t="s">
        <v>67</v>
      </c>
      <c r="C1186" s="8" t="str">
        <f>IFERROR(_xlfn.XLOOKUP(TRIM(B1186),Lookup!$B$2:$B$1000,Lookup!$C$2:$C$1000),"")</f>
        <v>Equity - Large Cap</v>
      </c>
      <c r="D1186" s="8" t="str">
        <f>IFERROR(INDEX('nav master'!$C:$C, MATCH(B1186, 'nav master'!$B:$B, 0)), "")</f>
        <v>ULIF017 07/01/08 TLC 110</v>
      </c>
      <c r="E1186" s="8">
        <v>70.98</v>
      </c>
      <c r="F1186" s="9">
        <v>46162</v>
      </c>
    </row>
    <row r="1187" spans="1:6" ht="60" x14ac:dyDescent="0.25">
      <c r="A1187" s="8" t="s">
        <v>63</v>
      </c>
      <c r="B1187" s="8" t="s">
        <v>67</v>
      </c>
      <c r="C1187" s="8" t="str">
        <f>IFERROR(_xlfn.XLOOKUP(TRIM(B1187),Lookup!$B$2:$B$1000,Lookup!$C$2:$C$1000),"")</f>
        <v>Equity - Large Cap</v>
      </c>
      <c r="D1187" s="8" t="str">
        <f>IFERROR(INDEX('nav master'!$C:$C, MATCH(B1187, 'nav master'!$B:$B, 0)), "")</f>
        <v>ULIF017 07/01/08 TLC 110</v>
      </c>
      <c r="E1187" s="8">
        <v>70.937600000000003</v>
      </c>
      <c r="F1187" s="9">
        <v>46163</v>
      </c>
    </row>
    <row r="1188" spans="1:6" ht="60" x14ac:dyDescent="0.25">
      <c r="A1188" s="8" t="s">
        <v>63</v>
      </c>
      <c r="B1188" s="8" t="s">
        <v>67</v>
      </c>
      <c r="C1188" s="8" t="str">
        <f>IFERROR(_xlfn.XLOOKUP(TRIM(B1188),Lookup!$B$2:$B$1000,Lookup!$C$2:$C$1000),"")</f>
        <v>Equity - Large Cap</v>
      </c>
      <c r="D1188" s="8" t="str">
        <f>IFERROR(INDEX('nav master'!$C:$C, MATCH(B1188, 'nav master'!$B:$B, 0)), "")</f>
        <v>ULIF017 07/01/08 TLC 110</v>
      </c>
      <c r="E1188" s="8">
        <v>71.223200000000006</v>
      </c>
      <c r="F1188" s="9">
        <v>46164</v>
      </c>
    </row>
    <row r="1189" spans="1:6" ht="60" x14ac:dyDescent="0.25">
      <c r="A1189" s="8" t="s">
        <v>63</v>
      </c>
      <c r="B1189" s="8" t="s">
        <v>67</v>
      </c>
      <c r="C1189" s="8" t="str">
        <f>IFERROR(_xlfn.XLOOKUP(TRIM(B1189),Lookup!$B$2:$B$1000,Lookup!$C$2:$C$1000),"")</f>
        <v>Equity - Large Cap</v>
      </c>
      <c r="D1189" s="8" t="str">
        <f>IFERROR(INDEX('nav master'!$C:$C, MATCH(B1189, 'nav master'!$B:$B, 0)), "")</f>
        <v>ULIF017 07/01/08 TLC 110</v>
      </c>
      <c r="E1189" s="8">
        <v>72.0989</v>
      </c>
      <c r="F1189" s="9">
        <v>46167</v>
      </c>
    </row>
    <row r="1190" spans="1:6" ht="60" x14ac:dyDescent="0.25">
      <c r="A1190" s="8" t="s">
        <v>63</v>
      </c>
      <c r="B1190" s="8" t="s">
        <v>67</v>
      </c>
      <c r="C1190" s="8" t="str">
        <f>IFERROR(_xlfn.XLOOKUP(TRIM(B1190),Lookup!$B$2:$B$1000,Lookup!$C$2:$C$1000),"")</f>
        <v>Equity - Large Cap</v>
      </c>
      <c r="D1190" s="8" t="str">
        <f>IFERROR(INDEX('nav master'!$C:$C, MATCH(B1190, 'nav master'!$B:$B, 0)), "")</f>
        <v>ULIF017 07/01/08 TLC 110</v>
      </c>
      <c r="E1190" s="8">
        <v>71.827100000000002</v>
      </c>
      <c r="F1190" s="9">
        <v>46168</v>
      </c>
    </row>
    <row r="1191" spans="1:6" ht="60" x14ac:dyDescent="0.25">
      <c r="A1191" s="8" t="s">
        <v>63</v>
      </c>
      <c r="B1191" s="8" t="s">
        <v>67</v>
      </c>
      <c r="C1191" s="8" t="str">
        <f>IFERROR(_xlfn.XLOOKUP(TRIM(B1191),Lookup!$B$2:$B$1000,Lookup!$C$2:$C$1000),"")</f>
        <v>Equity - Large Cap</v>
      </c>
      <c r="D1191" s="8" t="str">
        <f>IFERROR(INDEX('nav master'!$C:$C, MATCH(B1191, 'nav master'!$B:$B, 0)), "")</f>
        <v>ULIF017 07/01/08 TLC 110</v>
      </c>
      <c r="E1191" s="8">
        <v>71.860900000000001</v>
      </c>
      <c r="F1191" s="9">
        <v>46169</v>
      </c>
    </row>
    <row r="1192" spans="1:6" ht="60" x14ac:dyDescent="0.25">
      <c r="A1192" s="8" t="s">
        <v>63</v>
      </c>
      <c r="B1192" s="8" t="s">
        <v>67</v>
      </c>
      <c r="C1192" s="8" t="str">
        <f>IFERROR(_xlfn.XLOOKUP(TRIM(B1192),Lookup!$B$2:$B$1000,Lookup!$C$2:$C$1000),"")</f>
        <v>Equity - Large Cap</v>
      </c>
      <c r="D1192" s="8" t="str">
        <f>IFERROR(INDEX('nav master'!$C:$C, MATCH(B1192, 'nav master'!$B:$B, 0)), "")</f>
        <v>ULIF017 07/01/08 TLC 110</v>
      </c>
      <c r="E1192" s="8">
        <v>70.861599999999996</v>
      </c>
      <c r="F1192" s="9">
        <v>46171</v>
      </c>
    </row>
    <row r="1193" spans="1:6" ht="60" x14ac:dyDescent="0.25">
      <c r="A1193" s="8" t="s">
        <v>63</v>
      </c>
      <c r="B1193" s="8" t="s">
        <v>67</v>
      </c>
      <c r="C1193" s="8" t="str">
        <f>IFERROR(_xlfn.XLOOKUP(TRIM(B1193),Lookup!$B$2:$B$1000,Lookup!$C$2:$C$1000),"")</f>
        <v>Equity - Large Cap</v>
      </c>
      <c r="D1193" s="8" t="str">
        <f>IFERROR(INDEX('nav master'!$C:$C, MATCH(B1193, 'nav master'!$B:$B, 0)), "")</f>
        <v>ULIF017 07/01/08 TLC 110</v>
      </c>
      <c r="E1193" s="8">
        <v>70.183000000000007</v>
      </c>
      <c r="F1193" s="9">
        <v>46174</v>
      </c>
    </row>
    <row r="1194" spans="1:6" ht="60" x14ac:dyDescent="0.25">
      <c r="A1194" s="8" t="s">
        <v>63</v>
      </c>
      <c r="B1194" s="8" t="s">
        <v>67</v>
      </c>
      <c r="C1194" s="8" t="str">
        <f>IFERROR(_xlfn.XLOOKUP(TRIM(B1194),Lookup!$B$2:$B$1000,Lookup!$C$2:$C$1000),"")</f>
        <v>Equity - Large Cap</v>
      </c>
      <c r="D1194" s="8" t="str">
        <f>IFERROR(INDEX('nav master'!$C:$C, MATCH(B1194, 'nav master'!$B:$B, 0)), "")</f>
        <v>ULIF017 07/01/08 TLC 110</v>
      </c>
      <c r="E1194" s="8">
        <v>70.238299999999995</v>
      </c>
      <c r="F1194" s="9">
        <v>46175</v>
      </c>
    </row>
    <row r="1195" spans="1:6" ht="60" x14ac:dyDescent="0.25">
      <c r="A1195" s="8" t="s">
        <v>63</v>
      </c>
      <c r="B1195" s="8" t="s">
        <v>67</v>
      </c>
      <c r="C1195" s="8" t="str">
        <f>IFERROR(_xlfn.XLOOKUP(TRIM(B1195),Lookup!$B$2:$B$1000,Lookup!$C$2:$C$1000),"")</f>
        <v>Equity - Large Cap</v>
      </c>
      <c r="D1195" s="8" t="str">
        <f>IFERROR(INDEX('nav master'!$C:$C, MATCH(B1195, 'nav master'!$B:$B, 0)), "")</f>
        <v>ULIF017 07/01/08 TLC 110</v>
      </c>
      <c r="E1195" s="8">
        <v>70.286100000000005</v>
      </c>
      <c r="F1195" s="9">
        <v>46176</v>
      </c>
    </row>
    <row r="1196" spans="1:6" ht="60" x14ac:dyDescent="0.25">
      <c r="A1196" s="8" t="s">
        <v>63</v>
      </c>
      <c r="B1196" s="8" t="s">
        <v>67</v>
      </c>
      <c r="C1196" s="8" t="str">
        <f>IFERROR(_xlfn.XLOOKUP(TRIM(B1196),Lookup!$B$2:$B$1000,Lookup!$C$2:$C$1000),"")</f>
        <v>Equity - Large Cap</v>
      </c>
      <c r="D1196" s="8" t="str">
        <f>IFERROR(INDEX('nav master'!$C:$C, MATCH(B1196, 'nav master'!$B:$B, 0)), "")</f>
        <v>ULIF017 07/01/08 TLC 110</v>
      </c>
      <c r="E1196" s="8">
        <v>70.359200000000001</v>
      </c>
      <c r="F1196" s="9">
        <v>46177</v>
      </c>
    </row>
    <row r="1197" spans="1:6" ht="60" x14ac:dyDescent="0.25">
      <c r="A1197" s="8" t="s">
        <v>63</v>
      </c>
      <c r="B1197" s="8" t="s">
        <v>67</v>
      </c>
      <c r="C1197" s="8" t="str">
        <f>IFERROR(_xlfn.XLOOKUP(TRIM(B1197),Lookup!$B$2:$B$1000,Lookup!$C$2:$C$1000),"")</f>
        <v>Equity - Large Cap</v>
      </c>
      <c r="D1197" s="8" t="str">
        <f>IFERROR(INDEX('nav master'!$C:$C, MATCH(B1197, 'nav master'!$B:$B, 0)), "")</f>
        <v>ULIF017 07/01/08 TLC 110</v>
      </c>
      <c r="E1197" s="8">
        <v>70.285700000000006</v>
      </c>
      <c r="F1197" s="9">
        <v>46178</v>
      </c>
    </row>
    <row r="1198" spans="1:6" ht="60" x14ac:dyDescent="0.25">
      <c r="A1198" s="8" t="s">
        <v>63</v>
      </c>
      <c r="B1198" s="8" t="s">
        <v>67</v>
      </c>
      <c r="C1198" s="8" t="str">
        <f>IFERROR(_xlfn.XLOOKUP(TRIM(B1198),Lookup!$B$2:$B$1000,Lookup!$C$2:$C$1000),"")</f>
        <v>Equity - Large Cap</v>
      </c>
      <c r="D1198" s="8" t="str">
        <f>IFERROR(INDEX('nav master'!$C:$C, MATCH(B1198, 'nav master'!$B:$B, 0)), "")</f>
        <v>ULIF017 07/01/08 TLC 110</v>
      </c>
      <c r="E1198" s="8">
        <v>69.5839</v>
      </c>
      <c r="F1198" s="9">
        <v>46181</v>
      </c>
    </row>
    <row r="1199" spans="1:6" ht="60" x14ac:dyDescent="0.25">
      <c r="A1199" s="8" t="s">
        <v>63</v>
      </c>
      <c r="B1199" s="8" t="s">
        <v>67</v>
      </c>
      <c r="C1199" s="8" t="str">
        <f>IFERROR(_xlfn.XLOOKUP(TRIM(B1199),Lookup!$B$2:$B$1000,Lookup!$C$2:$C$1000),"")</f>
        <v>Equity - Large Cap</v>
      </c>
      <c r="D1199" s="8" t="str">
        <f>IFERROR(INDEX('nav master'!$C:$C, MATCH(B1199, 'nav master'!$B:$B, 0)), "")</f>
        <v>ULIF017 07/01/08 TLC 110</v>
      </c>
      <c r="E1199" s="8">
        <v>70.139600000000002</v>
      </c>
      <c r="F1199" s="9">
        <v>46182</v>
      </c>
    </row>
    <row r="1200" spans="1:6" ht="60" x14ac:dyDescent="0.25">
      <c r="A1200" s="8" t="s">
        <v>63</v>
      </c>
      <c r="B1200" s="8" t="s">
        <v>67</v>
      </c>
      <c r="C1200" s="8" t="str">
        <f>IFERROR(_xlfn.XLOOKUP(TRIM(B1200),Lookup!$B$2:$B$1000,Lookup!$C$2:$C$1000),"")</f>
        <v>Equity - Large Cap</v>
      </c>
      <c r="D1200" s="8" t="str">
        <f>IFERROR(INDEX('nav master'!$C:$C, MATCH(B1200, 'nav master'!$B:$B, 0)), "")</f>
        <v>ULIF017 07/01/08 TLC 110</v>
      </c>
      <c r="E1200" s="8">
        <v>69.933899999999994</v>
      </c>
      <c r="F1200" s="9">
        <v>46183</v>
      </c>
    </row>
    <row r="1201" spans="1:6" ht="60" x14ac:dyDescent="0.25">
      <c r="A1201" s="8" t="s">
        <v>63</v>
      </c>
      <c r="B1201" s="8" t="s">
        <v>67</v>
      </c>
      <c r="C1201" s="8" t="str">
        <f>IFERROR(_xlfn.XLOOKUP(TRIM(B1201),Lookup!$B$2:$B$1000,Lookup!$C$2:$C$1000),"")</f>
        <v>Equity - Large Cap</v>
      </c>
      <c r="D1201" s="8" t="str">
        <f>IFERROR(INDEX('nav master'!$C:$C, MATCH(B1201, 'nav master'!$B:$B, 0)), "")</f>
        <v>ULIF017 07/01/08 TLC 110</v>
      </c>
      <c r="E1201" s="8">
        <v>69.856099999999998</v>
      </c>
      <c r="F1201" s="9">
        <v>46184</v>
      </c>
    </row>
    <row r="1202" spans="1:6" ht="60" x14ac:dyDescent="0.25">
      <c r="A1202" s="8" t="s">
        <v>63</v>
      </c>
      <c r="B1202" s="8" t="s">
        <v>67</v>
      </c>
      <c r="C1202" s="8" t="str">
        <f>IFERROR(_xlfn.XLOOKUP(TRIM(B1202),Lookup!$B$2:$B$1000,Lookup!$C$2:$C$1000),"")</f>
        <v>Equity - Large Cap</v>
      </c>
      <c r="D1202" s="8" t="str">
        <f>IFERROR(INDEX('nav master'!$C:$C, MATCH(B1202, 'nav master'!$B:$B, 0)), "")</f>
        <v>ULIF017 07/01/08 TLC 110</v>
      </c>
      <c r="E1202" s="8">
        <v>71.423500000000004</v>
      </c>
      <c r="F1202" s="9">
        <v>46185</v>
      </c>
    </row>
    <row r="1203" spans="1:6" ht="60" x14ac:dyDescent="0.25">
      <c r="A1203" s="8" t="s">
        <v>63</v>
      </c>
      <c r="B1203" s="8" t="s">
        <v>67</v>
      </c>
      <c r="C1203" s="8" t="str">
        <f>IFERROR(_xlfn.XLOOKUP(TRIM(B1203),Lookup!$B$2:$B$1000,Lookup!$C$2:$C$1000),"")</f>
        <v>Equity - Large Cap</v>
      </c>
      <c r="D1203" s="8" t="str">
        <f>IFERROR(INDEX('nav master'!$C:$C, MATCH(B1203, 'nav master'!$B:$B, 0)), "")</f>
        <v>ULIF017 07/01/08 TLC 110</v>
      </c>
      <c r="E1203" s="8">
        <v>72.259900000000002</v>
      </c>
      <c r="F1203" s="9">
        <v>46188</v>
      </c>
    </row>
    <row r="1204" spans="1:6" ht="60" x14ac:dyDescent="0.25">
      <c r="A1204" s="8" t="s">
        <v>63</v>
      </c>
      <c r="B1204" s="8" t="s">
        <v>67</v>
      </c>
      <c r="C1204" s="8" t="str">
        <f>IFERROR(_xlfn.XLOOKUP(TRIM(B1204),Lookup!$B$2:$B$1000,Lookup!$C$2:$C$1000),"")</f>
        <v>Equity - Large Cap</v>
      </c>
      <c r="D1204" s="8" t="str">
        <f>IFERROR(INDEX('nav master'!$C:$C, MATCH(B1204, 'nav master'!$B:$B, 0)), "")</f>
        <v>ULIF017 07/01/08 TLC 110</v>
      </c>
      <c r="E1204" s="8">
        <v>72.542000000000002</v>
      </c>
      <c r="F1204" s="9">
        <v>46189</v>
      </c>
    </row>
    <row r="1205" spans="1:6" ht="60" x14ac:dyDescent="0.25">
      <c r="A1205" s="8" t="s">
        <v>63</v>
      </c>
      <c r="B1205" s="8" t="s">
        <v>67</v>
      </c>
      <c r="C1205" s="8" t="str">
        <f>IFERROR(_xlfn.XLOOKUP(TRIM(B1205),Lookup!$B$2:$B$1000,Lookup!$C$2:$C$1000),"")</f>
        <v>Equity - Large Cap</v>
      </c>
      <c r="D1205" s="8" t="str">
        <f>IFERROR(INDEX('nav master'!$C:$C, MATCH(B1205, 'nav master'!$B:$B, 0)), "")</f>
        <v>ULIF017 07/01/08 TLC 110</v>
      </c>
      <c r="E1205" s="8">
        <v>72.875200000000007</v>
      </c>
      <c r="F1205" s="9">
        <v>46190</v>
      </c>
    </row>
    <row r="1206" spans="1:6" ht="60" x14ac:dyDescent="0.25">
      <c r="A1206" s="8" t="s">
        <v>63</v>
      </c>
      <c r="B1206" s="8" t="s">
        <v>67</v>
      </c>
      <c r="C1206" s="8" t="str">
        <f>IFERROR(_xlfn.XLOOKUP(TRIM(B1206),Lookup!$B$2:$B$1000,Lookup!$C$2:$C$1000),"")</f>
        <v>Equity - Large Cap</v>
      </c>
      <c r="D1206" s="8" t="str">
        <f>IFERROR(INDEX('nav master'!$C:$C, MATCH(B1206, 'nav master'!$B:$B, 0)), "")</f>
        <v>ULIF017 07/01/08 TLC 110</v>
      </c>
      <c r="E1206" s="8">
        <v>73.174599999999998</v>
      </c>
      <c r="F1206" s="9">
        <v>46191</v>
      </c>
    </row>
    <row r="1207" spans="1:6" ht="60" x14ac:dyDescent="0.25">
      <c r="A1207" s="8" t="s">
        <v>63</v>
      </c>
      <c r="B1207" s="8" t="s">
        <v>67</v>
      </c>
      <c r="C1207" s="8" t="str">
        <f>IFERROR(_xlfn.XLOOKUP(TRIM(B1207),Lookup!$B$2:$B$1000,Lookup!$C$2:$C$1000),"")</f>
        <v>Equity - Large Cap</v>
      </c>
      <c r="D1207" s="8" t="str">
        <f>IFERROR(INDEX('nav master'!$C:$C, MATCH(B1207, 'nav master'!$B:$B, 0)), "")</f>
        <v>ULIF017 07/01/08 TLC 110</v>
      </c>
      <c r="E1207" s="8">
        <v>73.016000000000005</v>
      </c>
      <c r="F1207" s="9">
        <v>46192</v>
      </c>
    </row>
    <row r="1208" spans="1:6" ht="60" x14ac:dyDescent="0.25">
      <c r="A1208" s="8" t="s">
        <v>63</v>
      </c>
      <c r="B1208" s="8" t="s">
        <v>67</v>
      </c>
      <c r="C1208" s="8" t="str">
        <f>IFERROR(_xlfn.XLOOKUP(TRIM(B1208),Lookup!$B$2:$B$1000,Lookup!$C$2:$C$1000),"")</f>
        <v>Equity - Large Cap</v>
      </c>
      <c r="D1208" s="8" t="str">
        <f>IFERROR(INDEX('nav master'!$C:$C, MATCH(B1208, 'nav master'!$B:$B, 0)), "")</f>
        <v>ULIF017 07/01/08 TLC 110</v>
      </c>
      <c r="E1208" s="8">
        <v>73.241900000000001</v>
      </c>
      <c r="F1208" s="9">
        <v>46195</v>
      </c>
    </row>
    <row r="1209" spans="1:6" ht="60" x14ac:dyDescent="0.25">
      <c r="A1209" s="8" t="s">
        <v>63</v>
      </c>
      <c r="B1209" s="8" t="s">
        <v>67</v>
      </c>
      <c r="C1209" s="8" t="str">
        <f>IFERROR(_xlfn.XLOOKUP(TRIM(B1209),Lookup!$B$2:$B$1000,Lookup!$C$2:$C$1000),"")</f>
        <v>Equity - Large Cap</v>
      </c>
      <c r="D1209" s="8" t="str">
        <f>IFERROR(INDEX('nav master'!$C:$C, MATCH(B1209, 'nav master'!$B:$B, 0)), "")</f>
        <v>ULIF017 07/01/08 TLC 110</v>
      </c>
      <c r="E1209" s="8">
        <v>72.494699999999995</v>
      </c>
      <c r="F1209" s="9">
        <v>46196</v>
      </c>
    </row>
    <row r="1210" spans="1:6" ht="60" x14ac:dyDescent="0.25">
      <c r="A1210" s="8" t="s">
        <v>63</v>
      </c>
      <c r="B1210" s="8" t="s">
        <v>67</v>
      </c>
      <c r="C1210" s="8" t="str">
        <f>IFERROR(_xlfn.XLOOKUP(TRIM(B1210),Lookup!$B$2:$B$1000,Lookup!$C$2:$C$1000),"")</f>
        <v>Equity - Large Cap</v>
      </c>
      <c r="D1210" s="8" t="str">
        <f>IFERROR(INDEX('nav master'!$C:$C, MATCH(B1210, 'nav master'!$B:$B, 0)), "")</f>
        <v>ULIF017 07/01/08 TLC 110</v>
      </c>
      <c r="E1210" s="8">
        <v>73.124200000000002</v>
      </c>
      <c r="F1210" s="9">
        <v>46197</v>
      </c>
    </row>
    <row r="1211" spans="1:6" ht="60" x14ac:dyDescent="0.25">
      <c r="A1211" s="8" t="s">
        <v>63</v>
      </c>
      <c r="B1211" s="8" t="s">
        <v>67</v>
      </c>
      <c r="C1211" s="8" t="str">
        <f>IFERROR(_xlfn.XLOOKUP(TRIM(B1211),Lookup!$B$2:$B$1000,Lookup!$C$2:$C$1000),"")</f>
        <v>Equity - Large Cap</v>
      </c>
      <c r="D1211" s="8" t="str">
        <f>IFERROR(INDEX('nav master'!$C:$C, MATCH(B1211, 'nav master'!$B:$B, 0)), "")</f>
        <v>ULIF017 07/01/08 TLC 110</v>
      </c>
      <c r="E1211" s="8">
        <v>73.346199999999996</v>
      </c>
      <c r="F1211" s="9">
        <v>46198</v>
      </c>
    </row>
    <row r="1212" spans="1:6" ht="60" x14ac:dyDescent="0.25">
      <c r="A1212" s="8" t="s">
        <v>63</v>
      </c>
      <c r="B1212" s="8" t="s">
        <v>67</v>
      </c>
      <c r="C1212" s="8" t="str">
        <f>IFERROR(_xlfn.XLOOKUP(TRIM(B1212),Lookup!$B$2:$B$1000,Lookup!$C$2:$C$1000),"")</f>
        <v>Equity - Large Cap</v>
      </c>
      <c r="D1212" s="8" t="str">
        <f>IFERROR(INDEX('nav master'!$C:$C, MATCH(B1212, 'nav master'!$B:$B, 0)), "")</f>
        <v>ULIF017 07/01/08 TLC 110</v>
      </c>
      <c r="E1212" s="8">
        <v>73.019000000000005</v>
      </c>
      <c r="F1212" s="9">
        <v>46202</v>
      </c>
    </row>
    <row r="1213" spans="1:6" ht="60" x14ac:dyDescent="0.25">
      <c r="A1213" s="8" t="s">
        <v>63</v>
      </c>
      <c r="B1213" s="8" t="s">
        <v>67</v>
      </c>
      <c r="C1213" s="8" t="str">
        <f>IFERROR(_xlfn.XLOOKUP(TRIM(B1213),Lookup!$B$2:$B$1000,Lookup!$C$2:$C$1000),"")</f>
        <v>Equity - Large Cap</v>
      </c>
      <c r="D1213" s="8" t="str">
        <f>IFERROR(INDEX('nav master'!$C:$C, MATCH(B1213, 'nav master'!$B:$B, 0)), "")</f>
        <v>ULIF017 07/01/08 TLC 110</v>
      </c>
      <c r="E1213" s="8">
        <v>72.895099999999999</v>
      </c>
      <c r="F1213" s="9">
        <v>46203</v>
      </c>
    </row>
    <row r="1214" spans="1:6" ht="60" x14ac:dyDescent="0.25">
      <c r="A1214" s="8" t="s">
        <v>63</v>
      </c>
      <c r="B1214" s="8" t="s">
        <v>67</v>
      </c>
      <c r="C1214" s="8" t="str">
        <f>IFERROR(_xlfn.XLOOKUP(TRIM(B1214),Lookup!$B$2:$B$1000,Lookup!$C$2:$C$1000),"")</f>
        <v>Equity - Large Cap</v>
      </c>
      <c r="D1214" s="8" t="str">
        <f>IFERROR(INDEX('nav master'!$C:$C, MATCH(B1214, 'nav master'!$B:$B, 0)), "")</f>
        <v>ULIF017 07/01/08 TLC 110</v>
      </c>
      <c r="E1214" s="8">
        <v>73.308099999999996</v>
      </c>
      <c r="F1214" s="9">
        <v>46204</v>
      </c>
    </row>
    <row r="1215" spans="1:6" ht="60" x14ac:dyDescent="0.25">
      <c r="A1215" s="8" t="s">
        <v>63</v>
      </c>
      <c r="B1215" s="8" t="s">
        <v>67</v>
      </c>
      <c r="C1215" s="8" t="str">
        <f>IFERROR(_xlfn.XLOOKUP(TRIM(B1215),Lookup!$B$2:$B$1000,Lookup!$C$2:$C$1000),"")</f>
        <v>Equity - Large Cap</v>
      </c>
      <c r="D1215" s="8" t="str">
        <f>IFERROR(INDEX('nav master'!$C:$C, MATCH(B1215, 'nav master'!$B:$B, 0)), "")</f>
        <v>ULIF017 07/01/08 TLC 110</v>
      </c>
      <c r="E1215" s="8">
        <v>73.703900000000004</v>
      </c>
      <c r="F1215" s="9">
        <v>46205</v>
      </c>
    </row>
    <row r="1216" spans="1:6" ht="60" x14ac:dyDescent="0.25">
      <c r="A1216" s="8" t="s">
        <v>63</v>
      </c>
      <c r="B1216" s="8" t="s">
        <v>67</v>
      </c>
      <c r="C1216" s="8" t="str">
        <f>IFERROR(_xlfn.XLOOKUP(TRIM(B1216),Lookup!$B$2:$B$1000,Lookup!$C$2:$C$1000),"")</f>
        <v>Equity - Large Cap</v>
      </c>
      <c r="D1216" s="8" t="str">
        <f>IFERROR(INDEX('nav master'!$C:$C, MATCH(B1216, 'nav master'!$B:$B, 0)), "")</f>
        <v>ULIF017 07/01/08 TLC 110</v>
      </c>
      <c r="E1216" s="8">
        <v>73.891499999999994</v>
      </c>
      <c r="F1216" s="9">
        <v>46206</v>
      </c>
    </row>
    <row r="1217" spans="1:6" ht="60" x14ac:dyDescent="0.25">
      <c r="A1217" s="8" t="s">
        <v>63</v>
      </c>
      <c r="B1217" s="8" t="s">
        <v>67</v>
      </c>
      <c r="C1217" s="8" t="str">
        <f>IFERROR(_xlfn.XLOOKUP(TRIM(B1217),Lookup!$B$2:$B$1000,Lookup!$C$2:$C$1000),"")</f>
        <v>Equity - Large Cap</v>
      </c>
      <c r="D1217" s="8" t="str">
        <f>IFERROR(INDEX('nav master'!$C:$C, MATCH(B1217, 'nav master'!$B:$B, 0)), "")</f>
        <v>ULIF017 07/01/08 TLC 110</v>
      </c>
      <c r="E1217" s="8">
        <v>74.239800000000002</v>
      </c>
      <c r="F1217" s="9">
        <v>46209</v>
      </c>
    </row>
    <row r="1218" spans="1:6" ht="60" x14ac:dyDescent="0.25">
      <c r="A1218" s="8" t="s">
        <v>63</v>
      </c>
      <c r="B1218" s="8" t="s">
        <v>67</v>
      </c>
      <c r="C1218" s="8" t="str">
        <f>IFERROR(_xlfn.XLOOKUP(TRIM(B1218),Lookup!$B$2:$B$1000,Lookup!$C$2:$C$1000),"")</f>
        <v>Equity - Large Cap</v>
      </c>
      <c r="D1218" s="8" t="str">
        <f>IFERROR(INDEX('nav master'!$C:$C, MATCH(B1218, 'nav master'!$B:$B, 0)), "")</f>
        <v>ULIF017 07/01/08 TLC 110</v>
      </c>
      <c r="E1218" s="8">
        <v>74.080100000000002</v>
      </c>
      <c r="F1218" s="9">
        <v>46210</v>
      </c>
    </row>
    <row r="1219" spans="1:6" ht="60" x14ac:dyDescent="0.25">
      <c r="A1219" s="8" t="s">
        <v>63</v>
      </c>
      <c r="B1219" s="8" t="s">
        <v>67</v>
      </c>
      <c r="C1219" s="8" t="str">
        <f>IFERROR(_xlfn.XLOOKUP(TRIM(B1219),Lookup!$B$2:$B$1000,Lookup!$C$2:$C$1000),"")</f>
        <v>Equity - Large Cap</v>
      </c>
      <c r="D1219" s="8" t="str">
        <f>IFERROR(INDEX('nav master'!$C:$C, MATCH(B1219, 'nav master'!$B:$B, 0)), "")</f>
        <v>ULIF017 07/01/08 TLC 110</v>
      </c>
      <c r="E1219" s="8">
        <v>72.562100000000001</v>
      </c>
      <c r="F1219" s="9">
        <v>46211</v>
      </c>
    </row>
    <row r="1220" spans="1:6" ht="60" x14ac:dyDescent="0.25">
      <c r="A1220" s="8" t="s">
        <v>63</v>
      </c>
      <c r="B1220" s="8" t="s">
        <v>67</v>
      </c>
      <c r="C1220" s="8" t="str">
        <f>IFERROR(_xlfn.XLOOKUP(TRIM(B1220),Lookup!$B$2:$B$1000,Lookup!$C$2:$C$1000),"")</f>
        <v>Equity - Large Cap</v>
      </c>
      <c r="D1220" s="8" t="str">
        <f>IFERROR(INDEX('nav master'!$C:$C, MATCH(B1220, 'nav master'!$B:$B, 0)), "")</f>
        <v>ULIF017 07/01/08 TLC 110</v>
      </c>
      <c r="E1220" s="8">
        <v>73.045599999999993</v>
      </c>
      <c r="F1220" s="9">
        <v>46212</v>
      </c>
    </row>
    <row r="1221" spans="1:6" ht="60" x14ac:dyDescent="0.25">
      <c r="A1221" s="8" t="s">
        <v>63</v>
      </c>
      <c r="B1221" s="8" t="s">
        <v>67</v>
      </c>
      <c r="C1221" s="8" t="str">
        <f>IFERROR(_xlfn.XLOOKUP(TRIM(B1221),Lookup!$B$2:$B$1000,Lookup!$C$2:$C$1000),"")</f>
        <v>Equity - Large Cap</v>
      </c>
      <c r="D1221" s="8" t="str">
        <f>IFERROR(INDEX('nav master'!$C:$C, MATCH(B1221, 'nav master'!$B:$B, 0)), "")</f>
        <v>ULIF017 07/01/08 TLC 110</v>
      </c>
      <c r="E1221" s="8">
        <v>73.865600000000001</v>
      </c>
      <c r="F1221" s="9">
        <v>46213</v>
      </c>
    </row>
    <row r="1222" spans="1:6" ht="60" x14ac:dyDescent="0.25">
      <c r="A1222" s="8" t="s">
        <v>63</v>
      </c>
      <c r="B1222" s="8" t="s">
        <v>67</v>
      </c>
      <c r="C1222" s="8" t="str">
        <f>IFERROR(_xlfn.XLOOKUP(TRIM(B1222),Lookup!$B$2:$B$1000,Lookup!$C$2:$C$1000),"")</f>
        <v>Equity - Large Cap</v>
      </c>
      <c r="D1222" s="8" t="str">
        <f>IFERROR(INDEX('nav master'!$C:$C, MATCH(B1222, 'nav master'!$B:$B, 0)), "")</f>
        <v>ULIF017 07/01/08 TLC 110</v>
      </c>
      <c r="E1222" s="8">
        <v>73.999600000000001</v>
      </c>
      <c r="F1222" s="9">
        <v>46216</v>
      </c>
    </row>
    <row r="1223" spans="1:6" ht="60" x14ac:dyDescent="0.25">
      <c r="A1223" s="8" t="s">
        <v>63</v>
      </c>
      <c r="B1223" s="8" t="s">
        <v>67</v>
      </c>
      <c r="C1223" s="8" t="str">
        <f>IFERROR(_xlfn.XLOOKUP(TRIM(B1223),Lookup!$B$2:$B$1000,Lookup!$C$2:$C$1000),"")</f>
        <v>Equity - Large Cap</v>
      </c>
      <c r="D1223" s="8" t="str">
        <f>IFERROR(INDEX('nav master'!$C:$C, MATCH(B1223, 'nav master'!$B:$B, 0)), "")</f>
        <v>ULIF017 07/01/08 TLC 110</v>
      </c>
      <c r="E1223" s="8">
        <v>73.545400000000001</v>
      </c>
      <c r="F1223" s="9">
        <v>46217</v>
      </c>
    </row>
    <row r="1224" spans="1:6" ht="60" x14ac:dyDescent="0.25">
      <c r="A1224" s="8" t="s">
        <v>63</v>
      </c>
      <c r="B1224" s="8" t="s">
        <v>67</v>
      </c>
      <c r="C1224" s="8" t="str">
        <f>IFERROR(_xlfn.XLOOKUP(TRIM(B1224),Lookup!$B$2:$B$1000,Lookup!$C$2:$C$1000),"")</f>
        <v>Equity - Large Cap</v>
      </c>
      <c r="D1224" s="8" t="str">
        <f>IFERROR(INDEX('nav master'!$C:$C, MATCH(B1224, 'nav master'!$B:$B, 0)), "")</f>
        <v>ULIF017 07/01/08 TLC 110</v>
      </c>
      <c r="E1224" s="8">
        <v>73.7684</v>
      </c>
      <c r="F1224" s="9">
        <v>46218</v>
      </c>
    </row>
    <row r="1225" spans="1:6" ht="60" x14ac:dyDescent="0.25">
      <c r="A1225" s="8" t="s">
        <v>63</v>
      </c>
      <c r="B1225" s="8" t="s">
        <v>67</v>
      </c>
      <c r="C1225" s="8" t="str">
        <f>IFERROR(_xlfn.XLOOKUP(TRIM(B1225),Lookup!$B$2:$B$1000,Lookup!$C$2:$C$1000),"")</f>
        <v>Equity - Large Cap</v>
      </c>
      <c r="D1225" s="8" t="str">
        <f>IFERROR(INDEX('nav master'!$C:$C, MATCH(B1225, 'nav master'!$B:$B, 0)), "")</f>
        <v>ULIF017 07/01/08 TLC 110</v>
      </c>
      <c r="E1225" s="8">
        <v>73.692099999999996</v>
      </c>
      <c r="F1225" s="9">
        <v>46219</v>
      </c>
    </row>
    <row r="1226" spans="1:6" ht="60" x14ac:dyDescent="0.25">
      <c r="A1226" s="8" t="s">
        <v>63</v>
      </c>
      <c r="B1226" s="8" t="s">
        <v>67</v>
      </c>
      <c r="C1226" s="8" t="str">
        <f>IFERROR(_xlfn.XLOOKUP(TRIM(B1226),Lookup!$B$2:$B$1000,Lookup!$C$2:$C$1000),"")</f>
        <v>Equity - Large Cap</v>
      </c>
      <c r="D1226" s="8" t="str">
        <f>IFERROR(INDEX('nav master'!$C:$C, MATCH(B1226, 'nav master'!$B:$B, 0)), "")</f>
        <v>ULIF017 07/01/08 TLC 110</v>
      </c>
      <c r="E1226" s="8">
        <v>74.248699999999999</v>
      </c>
      <c r="F1226" s="9">
        <v>46220</v>
      </c>
    </row>
    <row r="1227" spans="1:6" ht="60" x14ac:dyDescent="0.25">
      <c r="A1227" s="8" t="s">
        <v>63</v>
      </c>
      <c r="B1227" s="8" t="s">
        <v>67</v>
      </c>
      <c r="C1227" s="8" t="str">
        <f>IFERROR(_xlfn.XLOOKUP(TRIM(B1227),Lookup!$B$2:$B$1000,Lookup!$C$2:$C$1000),"")</f>
        <v>Equity - Large Cap</v>
      </c>
      <c r="D1227" s="8" t="str">
        <f>IFERROR(INDEX('nav master'!$C:$C, MATCH(B1227, 'nav master'!$B:$B, 0)), "")</f>
        <v>ULIF017 07/01/08 TLC 110</v>
      </c>
      <c r="E1227" s="8">
        <v>74.266999999999996</v>
      </c>
      <c r="F1227" s="9">
        <v>46223</v>
      </c>
    </row>
    <row r="1228" spans="1:6" ht="60" x14ac:dyDescent="0.25">
      <c r="A1228" s="8" t="s">
        <v>63</v>
      </c>
      <c r="B1228" s="8" t="s">
        <v>67</v>
      </c>
      <c r="C1228" s="8" t="str">
        <f>IFERROR(_xlfn.XLOOKUP(TRIM(B1228),Lookup!$B$2:$B$1000,Lookup!$C$2:$C$1000),"")</f>
        <v>Equity - Large Cap</v>
      </c>
      <c r="D1228" s="8" t="str">
        <f>IFERROR(INDEX('nav master'!$C:$C, MATCH(B1228, 'nav master'!$B:$B, 0)), "")</f>
        <v>ULIF017 07/01/08 TLC 110</v>
      </c>
      <c r="E1228" s="8">
        <v>74.204599999999999</v>
      </c>
      <c r="F1228" s="9">
        <v>46224</v>
      </c>
    </row>
    <row r="1229" spans="1:6" ht="60" x14ac:dyDescent="0.25">
      <c r="A1229" s="8" t="s">
        <v>63</v>
      </c>
      <c r="B1229" s="8" t="s">
        <v>67</v>
      </c>
      <c r="C1229" s="8" t="str">
        <f>IFERROR(_xlfn.XLOOKUP(TRIM(B1229),Lookup!$B$2:$B$1000,Lookup!$C$2:$C$1000),"")</f>
        <v>Equity - Large Cap</v>
      </c>
      <c r="D1229" s="8" t="str">
        <f>IFERROR(INDEX('nav master'!$C:$C, MATCH(B1229, 'nav master'!$B:$B, 0)), "")</f>
        <v>ULIF017 07/01/08 TLC 110</v>
      </c>
      <c r="E1229" s="8">
        <v>73.485500000000002</v>
      </c>
      <c r="F1229" s="9">
        <v>46225</v>
      </c>
    </row>
    <row r="1230" spans="1:6" ht="60" x14ac:dyDescent="0.25">
      <c r="A1230" s="8" t="s">
        <v>63</v>
      </c>
      <c r="B1230" s="8" t="s">
        <v>67</v>
      </c>
      <c r="C1230" s="8" t="str">
        <f>IFERROR(_xlfn.XLOOKUP(TRIM(B1230),Lookup!$B$2:$B$1000,Lookup!$C$2:$C$1000),"")</f>
        <v>Equity - Large Cap</v>
      </c>
      <c r="D1230" s="8" t="str">
        <f>IFERROR(INDEX('nav master'!$C:$C, MATCH(B1230, 'nav master'!$B:$B, 0)), "")</f>
        <v>ULIF017 07/01/08 TLC 110</v>
      </c>
      <c r="E1230" s="8">
        <v>73.024699999999996</v>
      </c>
      <c r="F1230" s="9">
        <v>46226</v>
      </c>
    </row>
    <row r="1231" spans="1:6" ht="60" x14ac:dyDescent="0.25">
      <c r="A1231" s="8" t="s">
        <v>63</v>
      </c>
      <c r="B1231" s="8" t="s">
        <v>67</v>
      </c>
      <c r="C1231" s="8" t="str">
        <f>IFERROR(_xlfn.XLOOKUP(TRIM(B1231),Lookup!$B$2:$B$1000,Lookup!$C$2:$C$1000),"")</f>
        <v>Equity - Large Cap</v>
      </c>
      <c r="D1231" s="8" t="str">
        <f>IFERROR(INDEX('nav master'!$C:$C, MATCH(B1231, 'nav master'!$B:$B, 0)), "")</f>
        <v>ULIF017 07/01/08 TLC 110</v>
      </c>
      <c r="E1231" s="8">
        <v>72.812600000000003</v>
      </c>
      <c r="F1231" s="9">
        <v>46227</v>
      </c>
    </row>
    <row r="1232" spans="1:6" ht="60" x14ac:dyDescent="0.25">
      <c r="A1232" s="8" t="s">
        <v>63</v>
      </c>
      <c r="B1232" s="8" t="s">
        <v>67</v>
      </c>
      <c r="C1232" s="8" t="str">
        <f>IFERROR(_xlfn.XLOOKUP(TRIM(B1232),Lookup!$B$2:$B$1000,Lookup!$C$2:$C$1000),"")</f>
        <v>Equity - Large Cap</v>
      </c>
      <c r="D1232" s="8" t="str">
        <f>IFERROR(INDEX('nav master'!$C:$C, MATCH(B1232, 'nav master'!$B:$B, 0)), "")</f>
        <v>ULIF017 07/01/08 TLC 110</v>
      </c>
      <c r="E1232" s="8">
        <v>73.611999999999995</v>
      </c>
      <c r="F1232" s="9">
        <v>46230</v>
      </c>
    </row>
    <row r="1233" spans="1:6" ht="60" x14ac:dyDescent="0.25">
      <c r="A1233" s="8" t="s">
        <v>63</v>
      </c>
      <c r="B1233" s="8" t="s">
        <v>67</v>
      </c>
      <c r="C1233" s="8" t="str">
        <f>IFERROR(_xlfn.XLOOKUP(TRIM(B1233),Lookup!$B$2:$B$1000,Lookup!$C$2:$C$1000),"")</f>
        <v>Equity - Large Cap</v>
      </c>
      <c r="D1233" s="8" t="str">
        <f>IFERROR(INDEX('nav master'!$C:$C, MATCH(B1233, 'nav master'!$B:$B, 0)), "")</f>
        <v>ULIF017 07/01/08 TLC 110</v>
      </c>
      <c r="E1233" s="8">
        <v>73.546700000000001</v>
      </c>
      <c r="F1233" s="9">
        <v>46231</v>
      </c>
    </row>
    <row r="1234" spans="1:6" ht="60" x14ac:dyDescent="0.25">
      <c r="A1234" s="8" t="s">
        <v>63</v>
      </c>
      <c r="B1234" s="8" t="s">
        <v>67</v>
      </c>
      <c r="C1234" s="8" t="str">
        <f>IFERROR(_xlfn.XLOOKUP(TRIM(B1234),Lookup!$B$2:$B$1000,Lookup!$C$2:$C$1000),"")</f>
        <v>Equity - Large Cap</v>
      </c>
      <c r="D1234" s="8" t="str">
        <f>IFERROR(INDEX('nav master'!$C:$C, MATCH(B1234, 'nav master'!$B:$B, 0)), "")</f>
        <v>ULIF017 07/01/08 TLC 110</v>
      </c>
      <c r="E1234" s="8">
        <v>74.331500000000005</v>
      </c>
      <c r="F1234" s="9">
        <v>46232</v>
      </c>
    </row>
    <row r="1235" spans="1:6" ht="60" x14ac:dyDescent="0.25">
      <c r="A1235" s="8" t="s">
        <v>63</v>
      </c>
      <c r="B1235" s="8" t="s">
        <v>67</v>
      </c>
      <c r="C1235" s="8" t="str">
        <f>IFERROR(_xlfn.XLOOKUP(TRIM(B1235),Lookup!$B$2:$B$1000,Lookup!$C$2:$C$1000),"")</f>
        <v>Equity - Large Cap</v>
      </c>
      <c r="D1235" s="8" t="str">
        <f>IFERROR(INDEX('nav master'!$C:$C, MATCH(B1235, 'nav master'!$B:$B, 0)), "")</f>
        <v>ULIF017 07/01/08 TLC 110</v>
      </c>
      <c r="E1235" s="8">
        <v>74.512799999999999</v>
      </c>
      <c r="F1235" s="9">
        <v>46233</v>
      </c>
    </row>
    <row r="1236" spans="1:6" ht="60" x14ac:dyDescent="0.25">
      <c r="A1236" s="8" t="s">
        <v>63</v>
      </c>
      <c r="B1236" s="8" t="s">
        <v>67</v>
      </c>
      <c r="C1236" s="8" t="str">
        <f>IFERROR(_xlfn.XLOOKUP(TRIM(B1236),Lookup!$B$2:$B$1000,Lookup!$C$2:$C$1000),"")</f>
        <v>Equity - Large Cap</v>
      </c>
      <c r="D1236" s="8" t="str">
        <f>IFERROR(INDEX('nav master'!$C:$C, MATCH(B1236, 'nav master'!$B:$B, 0)), "")</f>
        <v>ULIF017 07/01/08 TLC 110</v>
      </c>
      <c r="E1236" s="8">
        <v>74.825699999999998</v>
      </c>
      <c r="F1236" s="9">
        <v>46234</v>
      </c>
    </row>
    <row r="1237" spans="1:6" ht="75" x14ac:dyDescent="0.25">
      <c r="A1237" s="8" t="s">
        <v>63</v>
      </c>
      <c r="B1237" s="8" t="s">
        <v>68</v>
      </c>
      <c r="C1237" s="8" t="str">
        <f>IFERROR(_xlfn.XLOOKUP(TRIM(B1237),Lookup!$B$2:$B$1000,Lookup!$C$2:$C$1000),"")</f>
        <v>Equity - Index (Midcap Momentum)</v>
      </c>
      <c r="D1237" s="8" t="str">
        <f>IFERROR(INDEX('nav master'!$C:$C, MATCH(B1237, 'nav master'!$B:$B, 0)), "")</f>
        <v>ULIF 075 09/05/24 MIF 110</v>
      </c>
      <c r="E1237" s="8">
        <v>9.6080000000000005</v>
      </c>
      <c r="F1237" s="9">
        <v>45869</v>
      </c>
    </row>
    <row r="1238" spans="1:6" ht="75" x14ac:dyDescent="0.25">
      <c r="A1238" s="8" t="s">
        <v>63</v>
      </c>
      <c r="B1238" s="8" t="s">
        <v>68</v>
      </c>
      <c r="C1238" s="8" t="str">
        <f>IFERROR(_xlfn.XLOOKUP(TRIM(B1238),Lookup!$B$2:$B$1000,Lookup!$C$2:$C$1000),"")</f>
        <v>Equity - Index (Midcap Momentum)</v>
      </c>
      <c r="D1238" s="8" t="str">
        <f>IFERROR(INDEX('nav master'!$C:$C, MATCH(B1238, 'nav master'!$B:$B, 0)), "")</f>
        <v>ULIF 075 09/05/24 MIF 110</v>
      </c>
      <c r="E1238" s="8">
        <v>9.4926999999999992</v>
      </c>
      <c r="F1238" s="9">
        <v>45870</v>
      </c>
    </row>
    <row r="1239" spans="1:6" ht="75" x14ac:dyDescent="0.25">
      <c r="A1239" s="8" t="s">
        <v>63</v>
      </c>
      <c r="B1239" s="8" t="s">
        <v>68</v>
      </c>
      <c r="C1239" s="8" t="str">
        <f>IFERROR(_xlfn.XLOOKUP(TRIM(B1239),Lookup!$B$2:$B$1000,Lookup!$C$2:$C$1000),"")</f>
        <v>Equity - Index (Midcap Momentum)</v>
      </c>
      <c r="D1239" s="8" t="str">
        <f>IFERROR(INDEX('nav master'!$C:$C, MATCH(B1239, 'nav master'!$B:$B, 0)), "")</f>
        <v>ULIF 075 09/05/24 MIF 110</v>
      </c>
      <c r="E1239" s="8">
        <v>9.5925999999999991</v>
      </c>
      <c r="F1239" s="9">
        <v>45873</v>
      </c>
    </row>
    <row r="1240" spans="1:6" ht="75" x14ac:dyDescent="0.25">
      <c r="A1240" s="8" t="s">
        <v>63</v>
      </c>
      <c r="B1240" s="8" t="s">
        <v>68</v>
      </c>
      <c r="C1240" s="8" t="str">
        <f>IFERROR(_xlfn.XLOOKUP(TRIM(B1240),Lookup!$B$2:$B$1000,Lookup!$C$2:$C$1000),"")</f>
        <v>Equity - Index (Midcap Momentum)</v>
      </c>
      <c r="D1240" s="8" t="str">
        <f>IFERROR(INDEX('nav master'!$C:$C, MATCH(B1240, 'nav master'!$B:$B, 0)), "")</f>
        <v>ULIF 075 09/05/24 MIF 110</v>
      </c>
      <c r="E1240" s="8">
        <v>9.5909999999999993</v>
      </c>
      <c r="F1240" s="9">
        <v>45874</v>
      </c>
    </row>
    <row r="1241" spans="1:6" ht="75" x14ac:dyDescent="0.25">
      <c r="A1241" s="8" t="s">
        <v>63</v>
      </c>
      <c r="B1241" s="8" t="s">
        <v>68</v>
      </c>
      <c r="C1241" s="8" t="str">
        <f>IFERROR(_xlfn.XLOOKUP(TRIM(B1241),Lookup!$B$2:$B$1000,Lookup!$C$2:$C$1000),"")</f>
        <v>Equity - Index (Midcap Momentum)</v>
      </c>
      <c r="D1241" s="8" t="str">
        <f>IFERROR(INDEX('nav master'!$C:$C, MATCH(B1241, 'nav master'!$B:$B, 0)), "")</f>
        <v>ULIF 075 09/05/24 MIF 110</v>
      </c>
      <c r="E1241" s="8">
        <v>9.4877000000000002</v>
      </c>
      <c r="F1241" s="9">
        <v>45875</v>
      </c>
    </row>
    <row r="1242" spans="1:6" ht="75" x14ac:dyDescent="0.25">
      <c r="A1242" s="8" t="s">
        <v>63</v>
      </c>
      <c r="B1242" s="8" t="s">
        <v>68</v>
      </c>
      <c r="C1242" s="8" t="str">
        <f>IFERROR(_xlfn.XLOOKUP(TRIM(B1242),Lookup!$B$2:$B$1000,Lookup!$C$2:$C$1000),"")</f>
        <v>Equity - Index (Midcap Momentum)</v>
      </c>
      <c r="D1242" s="8" t="str">
        <f>IFERROR(INDEX('nav master'!$C:$C, MATCH(B1242, 'nav master'!$B:$B, 0)), "")</f>
        <v>ULIF 075 09/05/24 MIF 110</v>
      </c>
      <c r="E1242" s="8">
        <v>9.5234000000000005</v>
      </c>
      <c r="F1242" s="9">
        <v>45876</v>
      </c>
    </row>
    <row r="1243" spans="1:6" ht="75" x14ac:dyDescent="0.25">
      <c r="A1243" s="8" t="s">
        <v>63</v>
      </c>
      <c r="B1243" s="8" t="s">
        <v>68</v>
      </c>
      <c r="C1243" s="8" t="str">
        <f>IFERROR(_xlfn.XLOOKUP(TRIM(B1243),Lookup!$B$2:$B$1000,Lookup!$C$2:$C$1000),"")</f>
        <v>Equity - Index (Midcap Momentum)</v>
      </c>
      <c r="D1243" s="8" t="str">
        <f>IFERROR(INDEX('nav master'!$C:$C, MATCH(B1243, 'nav master'!$B:$B, 0)), "")</f>
        <v>ULIF 075 09/05/24 MIF 110</v>
      </c>
      <c r="E1243" s="8">
        <v>9.3825000000000003</v>
      </c>
      <c r="F1243" s="9">
        <v>45877</v>
      </c>
    </row>
    <row r="1244" spans="1:6" ht="75" x14ac:dyDescent="0.25">
      <c r="A1244" s="8" t="s">
        <v>63</v>
      </c>
      <c r="B1244" s="8" t="s">
        <v>68</v>
      </c>
      <c r="C1244" s="8" t="str">
        <f>IFERROR(_xlfn.XLOOKUP(TRIM(B1244),Lookup!$B$2:$B$1000,Lookup!$C$2:$C$1000),"")</f>
        <v>Equity - Index (Midcap Momentum)</v>
      </c>
      <c r="D1244" s="8" t="str">
        <f>IFERROR(INDEX('nav master'!$C:$C, MATCH(B1244, 'nav master'!$B:$B, 0)), "")</f>
        <v>ULIF 075 09/05/24 MIF 110</v>
      </c>
      <c r="E1244" s="8">
        <v>9.4675999999999991</v>
      </c>
      <c r="F1244" s="9">
        <v>45880</v>
      </c>
    </row>
    <row r="1245" spans="1:6" ht="75" x14ac:dyDescent="0.25">
      <c r="A1245" s="8" t="s">
        <v>63</v>
      </c>
      <c r="B1245" s="8" t="s">
        <v>68</v>
      </c>
      <c r="C1245" s="8" t="str">
        <f>IFERROR(_xlfn.XLOOKUP(TRIM(B1245),Lookup!$B$2:$B$1000,Lookup!$C$2:$C$1000),"")</f>
        <v>Equity - Index (Midcap Momentum)</v>
      </c>
      <c r="D1245" s="8" t="str">
        <f>IFERROR(INDEX('nav master'!$C:$C, MATCH(B1245, 'nav master'!$B:$B, 0)), "")</f>
        <v>ULIF 075 09/05/24 MIF 110</v>
      </c>
      <c r="E1245" s="8">
        <v>9.4250000000000007</v>
      </c>
      <c r="F1245" s="9">
        <v>45881</v>
      </c>
    </row>
    <row r="1246" spans="1:6" ht="75" x14ac:dyDescent="0.25">
      <c r="A1246" s="8" t="s">
        <v>63</v>
      </c>
      <c r="B1246" s="8" t="s">
        <v>68</v>
      </c>
      <c r="C1246" s="8" t="str">
        <f>IFERROR(_xlfn.XLOOKUP(TRIM(B1246),Lookup!$B$2:$B$1000,Lookup!$C$2:$C$1000),"")</f>
        <v>Equity - Index (Midcap Momentum)</v>
      </c>
      <c r="D1246" s="8" t="str">
        <f>IFERROR(INDEX('nav master'!$C:$C, MATCH(B1246, 'nav master'!$B:$B, 0)), "")</f>
        <v>ULIF 075 09/05/24 MIF 110</v>
      </c>
      <c r="E1246" s="8">
        <v>9.4860000000000007</v>
      </c>
      <c r="F1246" s="9">
        <v>45882</v>
      </c>
    </row>
    <row r="1247" spans="1:6" ht="75" x14ac:dyDescent="0.25">
      <c r="A1247" s="8" t="s">
        <v>63</v>
      </c>
      <c r="B1247" s="8" t="s">
        <v>68</v>
      </c>
      <c r="C1247" s="8" t="str">
        <f>IFERROR(_xlfn.XLOOKUP(TRIM(B1247),Lookup!$B$2:$B$1000,Lookup!$C$2:$C$1000),"")</f>
        <v>Equity - Index (Midcap Momentum)</v>
      </c>
      <c r="D1247" s="8" t="str">
        <f>IFERROR(INDEX('nav master'!$C:$C, MATCH(B1247, 'nav master'!$B:$B, 0)), "")</f>
        <v>ULIF 075 09/05/24 MIF 110</v>
      </c>
      <c r="E1247" s="8">
        <v>9.4890000000000008</v>
      </c>
      <c r="F1247" s="9">
        <v>45883</v>
      </c>
    </row>
    <row r="1248" spans="1:6" ht="75" x14ac:dyDescent="0.25">
      <c r="A1248" s="8" t="s">
        <v>63</v>
      </c>
      <c r="B1248" s="8" t="s">
        <v>68</v>
      </c>
      <c r="C1248" s="8" t="str">
        <f>IFERROR(_xlfn.XLOOKUP(TRIM(B1248),Lookup!$B$2:$B$1000,Lookup!$C$2:$C$1000),"")</f>
        <v>Equity - Index (Midcap Momentum)</v>
      </c>
      <c r="D1248" s="8" t="str">
        <f>IFERROR(INDEX('nav master'!$C:$C, MATCH(B1248, 'nav master'!$B:$B, 0)), "")</f>
        <v>ULIF 075 09/05/24 MIF 110</v>
      </c>
      <c r="E1248" s="8">
        <v>9.5945999999999998</v>
      </c>
      <c r="F1248" s="9">
        <v>45887</v>
      </c>
    </row>
    <row r="1249" spans="1:6" ht="75" x14ac:dyDescent="0.25">
      <c r="A1249" s="8" t="s">
        <v>63</v>
      </c>
      <c r="B1249" s="8" t="s">
        <v>68</v>
      </c>
      <c r="C1249" s="8" t="str">
        <f>IFERROR(_xlfn.XLOOKUP(TRIM(B1249),Lookup!$B$2:$B$1000,Lookup!$C$2:$C$1000),"")</f>
        <v>Equity - Index (Midcap Momentum)</v>
      </c>
      <c r="D1249" s="8" t="str">
        <f>IFERROR(INDEX('nav master'!$C:$C, MATCH(B1249, 'nav master'!$B:$B, 0)), "")</f>
        <v>ULIF 075 09/05/24 MIF 110</v>
      </c>
      <c r="E1249" s="8">
        <v>9.6658000000000008</v>
      </c>
      <c r="F1249" s="9">
        <v>45888</v>
      </c>
    </row>
    <row r="1250" spans="1:6" ht="75" x14ac:dyDescent="0.25">
      <c r="A1250" s="8" t="s">
        <v>63</v>
      </c>
      <c r="B1250" s="8" t="s">
        <v>68</v>
      </c>
      <c r="C1250" s="8" t="str">
        <f>IFERROR(_xlfn.XLOOKUP(TRIM(B1250),Lookup!$B$2:$B$1000,Lookup!$C$2:$C$1000),"")</f>
        <v>Equity - Index (Midcap Momentum)</v>
      </c>
      <c r="D1250" s="8" t="str">
        <f>IFERROR(INDEX('nav master'!$C:$C, MATCH(B1250, 'nav master'!$B:$B, 0)), "")</f>
        <v>ULIF 075 09/05/24 MIF 110</v>
      </c>
      <c r="E1250" s="8">
        <v>9.7201000000000004</v>
      </c>
      <c r="F1250" s="9">
        <v>45889</v>
      </c>
    </row>
    <row r="1251" spans="1:6" ht="75" x14ac:dyDescent="0.25">
      <c r="A1251" s="8" t="s">
        <v>63</v>
      </c>
      <c r="B1251" s="8" t="s">
        <v>68</v>
      </c>
      <c r="C1251" s="8" t="str">
        <f>IFERROR(_xlfn.XLOOKUP(TRIM(B1251),Lookup!$B$2:$B$1000,Lookup!$C$2:$C$1000),"")</f>
        <v>Equity - Index (Midcap Momentum)</v>
      </c>
      <c r="D1251" s="8" t="str">
        <f>IFERROR(INDEX('nav master'!$C:$C, MATCH(B1251, 'nav master'!$B:$B, 0)), "")</f>
        <v>ULIF 075 09/05/24 MIF 110</v>
      </c>
      <c r="E1251" s="8">
        <v>9.6767000000000003</v>
      </c>
      <c r="F1251" s="9">
        <v>45890</v>
      </c>
    </row>
    <row r="1252" spans="1:6" ht="75" x14ac:dyDescent="0.25">
      <c r="A1252" s="8" t="s">
        <v>63</v>
      </c>
      <c r="B1252" s="8" t="s">
        <v>68</v>
      </c>
      <c r="C1252" s="8" t="str">
        <f>IFERROR(_xlfn.XLOOKUP(TRIM(B1252),Lookup!$B$2:$B$1000,Lookup!$C$2:$C$1000),"")</f>
        <v>Equity - Index (Midcap Momentum)</v>
      </c>
      <c r="D1252" s="8" t="str">
        <f>IFERROR(INDEX('nav master'!$C:$C, MATCH(B1252, 'nav master'!$B:$B, 0)), "")</f>
        <v>ULIF 075 09/05/24 MIF 110</v>
      </c>
      <c r="E1252" s="8">
        <v>9.6622000000000003</v>
      </c>
      <c r="F1252" s="9">
        <v>45891</v>
      </c>
    </row>
    <row r="1253" spans="1:6" ht="75" x14ac:dyDescent="0.25">
      <c r="A1253" s="8" t="s">
        <v>63</v>
      </c>
      <c r="B1253" s="8" t="s">
        <v>68</v>
      </c>
      <c r="C1253" s="8" t="str">
        <f>IFERROR(_xlfn.XLOOKUP(TRIM(B1253),Lookup!$B$2:$B$1000,Lookup!$C$2:$C$1000),"")</f>
        <v>Equity - Index (Midcap Momentum)</v>
      </c>
      <c r="D1253" s="8" t="str">
        <f>IFERROR(INDEX('nav master'!$C:$C, MATCH(B1253, 'nav master'!$B:$B, 0)), "")</f>
        <v>ULIF 075 09/05/24 MIF 110</v>
      </c>
      <c r="E1253" s="8">
        <v>9.6457999999999995</v>
      </c>
      <c r="F1253" s="9">
        <v>45894</v>
      </c>
    </row>
    <row r="1254" spans="1:6" ht="75" x14ac:dyDescent="0.25">
      <c r="A1254" s="8" t="s">
        <v>63</v>
      </c>
      <c r="B1254" s="8" t="s">
        <v>68</v>
      </c>
      <c r="C1254" s="8" t="str">
        <f>IFERROR(_xlfn.XLOOKUP(TRIM(B1254),Lookup!$B$2:$B$1000,Lookup!$C$2:$C$1000),"")</f>
        <v>Equity - Index (Midcap Momentum)</v>
      </c>
      <c r="D1254" s="8" t="str">
        <f>IFERROR(INDEX('nav master'!$C:$C, MATCH(B1254, 'nav master'!$B:$B, 0)), "")</f>
        <v>ULIF 075 09/05/24 MIF 110</v>
      </c>
      <c r="E1254" s="8">
        <v>9.4991000000000003</v>
      </c>
      <c r="F1254" s="9">
        <v>45895</v>
      </c>
    </row>
    <row r="1255" spans="1:6" ht="75" x14ac:dyDescent="0.25">
      <c r="A1255" s="8" t="s">
        <v>63</v>
      </c>
      <c r="B1255" s="8" t="s">
        <v>68</v>
      </c>
      <c r="C1255" s="8" t="str">
        <f>IFERROR(_xlfn.XLOOKUP(TRIM(B1255),Lookup!$B$2:$B$1000,Lookup!$C$2:$C$1000),"")</f>
        <v>Equity - Index (Midcap Momentum)</v>
      </c>
      <c r="D1255" s="8" t="str">
        <f>IFERROR(INDEX('nav master'!$C:$C, MATCH(B1255, 'nav master'!$B:$B, 0)), "")</f>
        <v>ULIF 075 09/05/24 MIF 110</v>
      </c>
      <c r="E1255" s="8">
        <v>9.3727</v>
      </c>
      <c r="F1255" s="9">
        <v>45897</v>
      </c>
    </row>
    <row r="1256" spans="1:6" ht="75" x14ac:dyDescent="0.25">
      <c r="A1256" s="8" t="s">
        <v>63</v>
      </c>
      <c r="B1256" s="8" t="s">
        <v>68</v>
      </c>
      <c r="C1256" s="8" t="str">
        <f>IFERROR(_xlfn.XLOOKUP(TRIM(B1256),Lookup!$B$2:$B$1000,Lookup!$C$2:$C$1000),"")</f>
        <v>Equity - Index (Midcap Momentum)</v>
      </c>
      <c r="D1256" s="8" t="str">
        <f>IFERROR(INDEX('nav master'!$C:$C, MATCH(B1256, 'nav master'!$B:$B, 0)), "")</f>
        <v>ULIF 075 09/05/24 MIF 110</v>
      </c>
      <c r="E1256" s="8">
        <v>9.3168000000000006</v>
      </c>
      <c r="F1256" s="9">
        <v>45898</v>
      </c>
    </row>
    <row r="1257" spans="1:6" ht="75" x14ac:dyDescent="0.25">
      <c r="A1257" s="8" t="s">
        <v>63</v>
      </c>
      <c r="B1257" s="8" t="s">
        <v>68</v>
      </c>
      <c r="C1257" s="8" t="str">
        <f>IFERROR(_xlfn.XLOOKUP(TRIM(B1257),Lookup!$B$2:$B$1000,Lookup!$C$2:$C$1000),"")</f>
        <v>Equity - Index (Midcap Momentum)</v>
      </c>
      <c r="D1257" s="8" t="str">
        <f>IFERROR(INDEX('nav master'!$C:$C, MATCH(B1257, 'nav master'!$B:$B, 0)), "")</f>
        <v>ULIF 075 09/05/24 MIF 110</v>
      </c>
      <c r="E1257" s="8">
        <v>9.4848999999999997</v>
      </c>
      <c r="F1257" s="9">
        <v>45901</v>
      </c>
    </row>
    <row r="1258" spans="1:6" ht="75" x14ac:dyDescent="0.25">
      <c r="A1258" s="8" t="s">
        <v>63</v>
      </c>
      <c r="B1258" s="8" t="s">
        <v>68</v>
      </c>
      <c r="C1258" s="8" t="str">
        <f>IFERROR(_xlfn.XLOOKUP(TRIM(B1258),Lookup!$B$2:$B$1000,Lookup!$C$2:$C$1000),"")</f>
        <v>Equity - Index (Midcap Momentum)</v>
      </c>
      <c r="D1258" s="8" t="str">
        <f>IFERROR(INDEX('nav master'!$C:$C, MATCH(B1258, 'nav master'!$B:$B, 0)), "")</f>
        <v>ULIF 075 09/05/24 MIF 110</v>
      </c>
      <c r="E1258" s="8">
        <v>9.4700000000000006</v>
      </c>
      <c r="F1258" s="9">
        <v>45902</v>
      </c>
    </row>
    <row r="1259" spans="1:6" ht="75" x14ac:dyDescent="0.25">
      <c r="A1259" s="8" t="s">
        <v>63</v>
      </c>
      <c r="B1259" s="8" t="s">
        <v>68</v>
      </c>
      <c r="C1259" s="8" t="str">
        <f>IFERROR(_xlfn.XLOOKUP(TRIM(B1259),Lookup!$B$2:$B$1000,Lookup!$C$2:$C$1000),"")</f>
        <v>Equity - Index (Midcap Momentum)</v>
      </c>
      <c r="D1259" s="8" t="str">
        <f>IFERROR(INDEX('nav master'!$C:$C, MATCH(B1259, 'nav master'!$B:$B, 0)), "")</f>
        <v>ULIF 075 09/05/24 MIF 110</v>
      </c>
      <c r="E1259" s="8">
        <v>9.5266999999999999</v>
      </c>
      <c r="F1259" s="9">
        <v>45903</v>
      </c>
    </row>
    <row r="1260" spans="1:6" ht="75" x14ac:dyDescent="0.25">
      <c r="A1260" s="8" t="s">
        <v>63</v>
      </c>
      <c r="B1260" s="8" t="s">
        <v>68</v>
      </c>
      <c r="C1260" s="8" t="str">
        <f>IFERROR(_xlfn.XLOOKUP(TRIM(B1260),Lookup!$B$2:$B$1000,Lookup!$C$2:$C$1000),"")</f>
        <v>Equity - Index (Midcap Momentum)</v>
      </c>
      <c r="D1260" s="8" t="str">
        <f>IFERROR(INDEX('nav master'!$C:$C, MATCH(B1260, 'nav master'!$B:$B, 0)), "")</f>
        <v>ULIF 075 09/05/24 MIF 110</v>
      </c>
      <c r="E1260" s="8">
        <v>9.4344000000000001</v>
      </c>
      <c r="F1260" s="9">
        <v>45904</v>
      </c>
    </row>
    <row r="1261" spans="1:6" ht="75" x14ac:dyDescent="0.25">
      <c r="A1261" s="8" t="s">
        <v>63</v>
      </c>
      <c r="B1261" s="8" t="s">
        <v>68</v>
      </c>
      <c r="C1261" s="8" t="str">
        <f>IFERROR(_xlfn.XLOOKUP(TRIM(B1261),Lookup!$B$2:$B$1000,Lookup!$C$2:$C$1000),"")</f>
        <v>Equity - Index (Midcap Momentum)</v>
      </c>
      <c r="D1261" s="8" t="str">
        <f>IFERROR(INDEX('nav master'!$C:$C, MATCH(B1261, 'nav master'!$B:$B, 0)), "")</f>
        <v>ULIF 075 09/05/24 MIF 110</v>
      </c>
      <c r="E1261" s="8">
        <v>9.4276</v>
      </c>
      <c r="F1261" s="9">
        <v>45905</v>
      </c>
    </row>
    <row r="1262" spans="1:6" ht="75" x14ac:dyDescent="0.25">
      <c r="A1262" s="8" t="s">
        <v>63</v>
      </c>
      <c r="B1262" s="8" t="s">
        <v>68</v>
      </c>
      <c r="C1262" s="8" t="str">
        <f>IFERROR(_xlfn.XLOOKUP(TRIM(B1262),Lookup!$B$2:$B$1000,Lookup!$C$2:$C$1000),"")</f>
        <v>Equity - Index (Midcap Momentum)</v>
      </c>
      <c r="D1262" s="8" t="str">
        <f>IFERROR(INDEX('nav master'!$C:$C, MATCH(B1262, 'nav master'!$B:$B, 0)), "")</f>
        <v>ULIF 075 09/05/24 MIF 110</v>
      </c>
      <c r="E1262" s="8">
        <v>9.4512</v>
      </c>
      <c r="F1262" s="9">
        <v>45908</v>
      </c>
    </row>
    <row r="1263" spans="1:6" ht="75" x14ac:dyDescent="0.25">
      <c r="A1263" s="8" t="s">
        <v>63</v>
      </c>
      <c r="B1263" s="8" t="s">
        <v>68</v>
      </c>
      <c r="C1263" s="8" t="str">
        <f>IFERROR(_xlfn.XLOOKUP(TRIM(B1263),Lookup!$B$2:$B$1000,Lookup!$C$2:$C$1000),"")</f>
        <v>Equity - Index (Midcap Momentum)</v>
      </c>
      <c r="D1263" s="8" t="str">
        <f>IFERROR(INDEX('nav master'!$C:$C, MATCH(B1263, 'nav master'!$B:$B, 0)), "")</f>
        <v>ULIF 075 09/05/24 MIF 110</v>
      </c>
      <c r="E1263" s="8">
        <v>9.4722000000000008</v>
      </c>
      <c r="F1263" s="9">
        <v>45909</v>
      </c>
    </row>
    <row r="1264" spans="1:6" ht="75" x14ac:dyDescent="0.25">
      <c r="A1264" s="8" t="s">
        <v>63</v>
      </c>
      <c r="B1264" s="8" t="s">
        <v>68</v>
      </c>
      <c r="C1264" s="8" t="str">
        <f>IFERROR(_xlfn.XLOOKUP(TRIM(B1264),Lookup!$B$2:$B$1000,Lookup!$C$2:$C$1000),"")</f>
        <v>Equity - Index (Midcap Momentum)</v>
      </c>
      <c r="D1264" s="8" t="str">
        <f>IFERROR(INDEX('nav master'!$C:$C, MATCH(B1264, 'nav master'!$B:$B, 0)), "")</f>
        <v>ULIF 075 09/05/24 MIF 110</v>
      </c>
      <c r="E1264" s="8">
        <v>9.5630000000000006</v>
      </c>
      <c r="F1264" s="9">
        <v>45910</v>
      </c>
    </row>
    <row r="1265" spans="1:6" ht="75" x14ac:dyDescent="0.25">
      <c r="A1265" s="8" t="s">
        <v>63</v>
      </c>
      <c r="B1265" s="8" t="s">
        <v>68</v>
      </c>
      <c r="C1265" s="8" t="str">
        <f>IFERROR(_xlfn.XLOOKUP(TRIM(B1265),Lookup!$B$2:$B$1000,Lookup!$C$2:$C$1000),"")</f>
        <v>Equity - Index (Midcap Momentum)</v>
      </c>
      <c r="D1265" s="8" t="str">
        <f>IFERROR(INDEX('nav master'!$C:$C, MATCH(B1265, 'nav master'!$B:$B, 0)), "")</f>
        <v>ULIF 075 09/05/24 MIF 110</v>
      </c>
      <c r="E1265" s="8">
        <v>9.5388999999999999</v>
      </c>
      <c r="F1265" s="9">
        <v>45911</v>
      </c>
    </row>
    <row r="1266" spans="1:6" ht="75" x14ac:dyDescent="0.25">
      <c r="A1266" s="8" t="s">
        <v>63</v>
      </c>
      <c r="B1266" s="8" t="s">
        <v>68</v>
      </c>
      <c r="C1266" s="8" t="str">
        <f>IFERROR(_xlfn.XLOOKUP(TRIM(B1266),Lookup!$B$2:$B$1000,Lookup!$C$2:$C$1000),"")</f>
        <v>Equity - Index (Midcap Momentum)</v>
      </c>
      <c r="D1266" s="8" t="str">
        <f>IFERROR(INDEX('nav master'!$C:$C, MATCH(B1266, 'nav master'!$B:$B, 0)), "")</f>
        <v>ULIF 075 09/05/24 MIF 110</v>
      </c>
      <c r="E1266" s="8">
        <v>9.5706000000000007</v>
      </c>
      <c r="F1266" s="9">
        <v>45912</v>
      </c>
    </row>
    <row r="1267" spans="1:6" ht="75" x14ac:dyDescent="0.25">
      <c r="A1267" s="8" t="s">
        <v>63</v>
      </c>
      <c r="B1267" s="8" t="s">
        <v>68</v>
      </c>
      <c r="C1267" s="8" t="str">
        <f>IFERROR(_xlfn.XLOOKUP(TRIM(B1267),Lookup!$B$2:$B$1000,Lookup!$C$2:$C$1000),"")</f>
        <v>Equity - Index (Midcap Momentum)</v>
      </c>
      <c r="D1267" s="8" t="str">
        <f>IFERROR(INDEX('nav master'!$C:$C, MATCH(B1267, 'nav master'!$B:$B, 0)), "")</f>
        <v>ULIF 075 09/05/24 MIF 110</v>
      </c>
      <c r="E1267" s="8">
        <v>9.5954999999999995</v>
      </c>
      <c r="F1267" s="9">
        <v>45915</v>
      </c>
    </row>
    <row r="1268" spans="1:6" ht="75" x14ac:dyDescent="0.25">
      <c r="A1268" s="8" t="s">
        <v>63</v>
      </c>
      <c r="B1268" s="8" t="s">
        <v>68</v>
      </c>
      <c r="C1268" s="8" t="str">
        <f>IFERROR(_xlfn.XLOOKUP(TRIM(B1268),Lookup!$B$2:$B$1000,Lookup!$C$2:$C$1000),"")</f>
        <v>Equity - Index (Midcap Momentum)</v>
      </c>
      <c r="D1268" s="8" t="str">
        <f>IFERROR(INDEX('nav master'!$C:$C, MATCH(B1268, 'nav master'!$B:$B, 0)), "")</f>
        <v>ULIF 075 09/05/24 MIF 110</v>
      </c>
      <c r="E1268" s="8">
        <v>9.6423000000000005</v>
      </c>
      <c r="F1268" s="9">
        <v>45916</v>
      </c>
    </row>
    <row r="1269" spans="1:6" ht="75" x14ac:dyDescent="0.25">
      <c r="A1269" s="8" t="s">
        <v>63</v>
      </c>
      <c r="B1269" s="8" t="s">
        <v>68</v>
      </c>
      <c r="C1269" s="8" t="str">
        <f>IFERROR(_xlfn.XLOOKUP(TRIM(B1269),Lookup!$B$2:$B$1000,Lookup!$C$2:$C$1000),"")</f>
        <v>Equity - Index (Midcap Momentum)</v>
      </c>
      <c r="D1269" s="8" t="str">
        <f>IFERROR(INDEX('nav master'!$C:$C, MATCH(B1269, 'nav master'!$B:$B, 0)), "")</f>
        <v>ULIF 075 09/05/24 MIF 110</v>
      </c>
      <c r="E1269" s="8">
        <v>9.6572999999999993</v>
      </c>
      <c r="F1269" s="9">
        <v>45917</v>
      </c>
    </row>
    <row r="1270" spans="1:6" ht="75" x14ac:dyDescent="0.25">
      <c r="A1270" s="8" t="s">
        <v>63</v>
      </c>
      <c r="B1270" s="8" t="s">
        <v>68</v>
      </c>
      <c r="C1270" s="8" t="str">
        <f>IFERROR(_xlfn.XLOOKUP(TRIM(B1270),Lookup!$B$2:$B$1000,Lookup!$C$2:$C$1000),"")</f>
        <v>Equity - Index (Midcap Momentum)</v>
      </c>
      <c r="D1270" s="8" t="str">
        <f>IFERROR(INDEX('nav master'!$C:$C, MATCH(B1270, 'nav master'!$B:$B, 0)), "")</f>
        <v>ULIF 075 09/05/24 MIF 110</v>
      </c>
      <c r="E1270" s="8">
        <v>9.6701999999999995</v>
      </c>
      <c r="F1270" s="9">
        <v>45918</v>
      </c>
    </row>
    <row r="1271" spans="1:6" ht="75" x14ac:dyDescent="0.25">
      <c r="A1271" s="8" t="s">
        <v>63</v>
      </c>
      <c r="B1271" s="8" t="s">
        <v>68</v>
      </c>
      <c r="C1271" s="8" t="str">
        <f>IFERROR(_xlfn.XLOOKUP(TRIM(B1271),Lookup!$B$2:$B$1000,Lookup!$C$2:$C$1000),"")</f>
        <v>Equity - Index (Midcap Momentum)</v>
      </c>
      <c r="D1271" s="8" t="str">
        <f>IFERROR(INDEX('nav master'!$C:$C, MATCH(B1271, 'nav master'!$B:$B, 0)), "")</f>
        <v>ULIF 075 09/05/24 MIF 110</v>
      </c>
      <c r="E1271" s="8">
        <v>9.6298999999999992</v>
      </c>
      <c r="F1271" s="9">
        <v>45919</v>
      </c>
    </row>
    <row r="1272" spans="1:6" ht="75" x14ac:dyDescent="0.25">
      <c r="A1272" s="8" t="s">
        <v>63</v>
      </c>
      <c r="B1272" s="8" t="s">
        <v>68</v>
      </c>
      <c r="C1272" s="8" t="str">
        <f>IFERROR(_xlfn.XLOOKUP(TRIM(B1272),Lookup!$B$2:$B$1000,Lookup!$C$2:$C$1000),"")</f>
        <v>Equity - Index (Midcap Momentum)</v>
      </c>
      <c r="D1272" s="8" t="str">
        <f>IFERROR(INDEX('nav master'!$C:$C, MATCH(B1272, 'nav master'!$B:$B, 0)), "")</f>
        <v>ULIF 075 09/05/24 MIF 110</v>
      </c>
      <c r="E1272" s="8">
        <v>9.5792000000000002</v>
      </c>
      <c r="F1272" s="9">
        <v>45922</v>
      </c>
    </row>
    <row r="1273" spans="1:6" ht="75" x14ac:dyDescent="0.25">
      <c r="A1273" s="8" t="s">
        <v>63</v>
      </c>
      <c r="B1273" s="8" t="s">
        <v>68</v>
      </c>
      <c r="C1273" s="8" t="str">
        <f>IFERROR(_xlfn.XLOOKUP(TRIM(B1273),Lookup!$B$2:$B$1000,Lookup!$C$2:$C$1000),"")</f>
        <v>Equity - Index (Midcap Momentum)</v>
      </c>
      <c r="D1273" s="8" t="str">
        <f>IFERROR(INDEX('nav master'!$C:$C, MATCH(B1273, 'nav master'!$B:$B, 0)), "")</f>
        <v>ULIF 075 09/05/24 MIF 110</v>
      </c>
      <c r="E1273" s="8">
        <v>9.5388999999999999</v>
      </c>
      <c r="F1273" s="9">
        <v>45923</v>
      </c>
    </row>
    <row r="1274" spans="1:6" ht="75" x14ac:dyDescent="0.25">
      <c r="A1274" s="8" t="s">
        <v>63</v>
      </c>
      <c r="B1274" s="8" t="s">
        <v>68</v>
      </c>
      <c r="C1274" s="8" t="str">
        <f>IFERROR(_xlfn.XLOOKUP(TRIM(B1274),Lookup!$B$2:$B$1000,Lookup!$C$2:$C$1000),"")</f>
        <v>Equity - Index (Midcap Momentum)</v>
      </c>
      <c r="D1274" s="8" t="str">
        <f>IFERROR(INDEX('nav master'!$C:$C, MATCH(B1274, 'nav master'!$B:$B, 0)), "")</f>
        <v>ULIF 075 09/05/24 MIF 110</v>
      </c>
      <c r="E1274" s="8">
        <v>9.4589999999999996</v>
      </c>
      <c r="F1274" s="9">
        <v>45924</v>
      </c>
    </row>
    <row r="1275" spans="1:6" ht="75" x14ac:dyDescent="0.25">
      <c r="A1275" s="8" t="s">
        <v>63</v>
      </c>
      <c r="B1275" s="8" t="s">
        <v>68</v>
      </c>
      <c r="C1275" s="8" t="str">
        <f>IFERROR(_xlfn.XLOOKUP(TRIM(B1275),Lookup!$B$2:$B$1000,Lookup!$C$2:$C$1000),"")</f>
        <v>Equity - Index (Midcap Momentum)</v>
      </c>
      <c r="D1275" s="8" t="str">
        <f>IFERROR(INDEX('nav master'!$C:$C, MATCH(B1275, 'nav master'!$B:$B, 0)), "")</f>
        <v>ULIF 075 09/05/24 MIF 110</v>
      </c>
      <c r="E1275" s="8">
        <v>9.3986000000000001</v>
      </c>
      <c r="F1275" s="9">
        <v>45925</v>
      </c>
    </row>
    <row r="1276" spans="1:6" ht="75" x14ac:dyDescent="0.25">
      <c r="A1276" s="8" t="s">
        <v>63</v>
      </c>
      <c r="B1276" s="8" t="s">
        <v>68</v>
      </c>
      <c r="C1276" s="8" t="str">
        <f>IFERROR(_xlfn.XLOOKUP(TRIM(B1276),Lookup!$B$2:$B$1000,Lookup!$C$2:$C$1000),"")</f>
        <v>Equity - Index (Midcap Momentum)</v>
      </c>
      <c r="D1276" s="8" t="str">
        <f>IFERROR(INDEX('nav master'!$C:$C, MATCH(B1276, 'nav master'!$B:$B, 0)), "")</f>
        <v>ULIF 075 09/05/24 MIF 110</v>
      </c>
      <c r="E1276" s="8">
        <v>9.2075999999999993</v>
      </c>
      <c r="F1276" s="9">
        <v>45926</v>
      </c>
    </row>
    <row r="1277" spans="1:6" ht="75" x14ac:dyDescent="0.25">
      <c r="A1277" s="8" t="s">
        <v>63</v>
      </c>
      <c r="B1277" s="8" t="s">
        <v>68</v>
      </c>
      <c r="C1277" s="8" t="str">
        <f>IFERROR(_xlfn.XLOOKUP(TRIM(B1277),Lookup!$B$2:$B$1000,Lookup!$C$2:$C$1000),"")</f>
        <v>Equity - Index (Midcap Momentum)</v>
      </c>
      <c r="D1277" s="8" t="str">
        <f>IFERROR(INDEX('nav master'!$C:$C, MATCH(B1277, 'nav master'!$B:$B, 0)), "")</f>
        <v>ULIF 075 09/05/24 MIF 110</v>
      </c>
      <c r="E1277" s="8">
        <v>9.2111999999999998</v>
      </c>
      <c r="F1277" s="9">
        <v>45929</v>
      </c>
    </row>
    <row r="1278" spans="1:6" ht="75" x14ac:dyDescent="0.25">
      <c r="A1278" s="8" t="s">
        <v>63</v>
      </c>
      <c r="B1278" s="8" t="s">
        <v>68</v>
      </c>
      <c r="C1278" s="8" t="str">
        <f>IFERROR(_xlfn.XLOOKUP(TRIM(B1278),Lookup!$B$2:$B$1000,Lookup!$C$2:$C$1000),"")</f>
        <v>Equity - Index (Midcap Momentum)</v>
      </c>
      <c r="D1278" s="8" t="str">
        <f>IFERROR(INDEX('nav master'!$C:$C, MATCH(B1278, 'nav master'!$B:$B, 0)), "")</f>
        <v>ULIF 075 09/05/24 MIF 110</v>
      </c>
      <c r="E1278" s="8">
        <v>9.1952999999999996</v>
      </c>
      <c r="F1278" s="9">
        <v>45930</v>
      </c>
    </row>
    <row r="1279" spans="1:6" ht="75" x14ac:dyDescent="0.25">
      <c r="A1279" s="8" t="s">
        <v>63</v>
      </c>
      <c r="B1279" s="8" t="s">
        <v>68</v>
      </c>
      <c r="C1279" s="8" t="str">
        <f>IFERROR(_xlfn.XLOOKUP(TRIM(B1279),Lookup!$B$2:$B$1000,Lookup!$C$2:$C$1000),"")</f>
        <v>Equity - Index (Midcap Momentum)</v>
      </c>
      <c r="D1279" s="8" t="str">
        <f>IFERROR(INDEX('nav master'!$C:$C, MATCH(B1279, 'nav master'!$B:$B, 0)), "")</f>
        <v>ULIF 075 09/05/24 MIF 110</v>
      </c>
      <c r="E1279" s="8">
        <v>9.3024000000000004</v>
      </c>
      <c r="F1279" s="9">
        <v>45931</v>
      </c>
    </row>
    <row r="1280" spans="1:6" ht="75" x14ac:dyDescent="0.25">
      <c r="A1280" s="8" t="s">
        <v>63</v>
      </c>
      <c r="B1280" s="8" t="s">
        <v>68</v>
      </c>
      <c r="C1280" s="8" t="str">
        <f>IFERROR(_xlfn.XLOOKUP(TRIM(B1280),Lookup!$B$2:$B$1000,Lookup!$C$2:$C$1000),"")</f>
        <v>Equity - Index (Midcap Momentum)</v>
      </c>
      <c r="D1280" s="8" t="str">
        <f>IFERROR(INDEX('nav master'!$C:$C, MATCH(B1280, 'nav master'!$B:$B, 0)), "")</f>
        <v>ULIF 075 09/05/24 MIF 110</v>
      </c>
      <c r="E1280" s="8">
        <v>9.3722999999999992</v>
      </c>
      <c r="F1280" s="9">
        <v>45933</v>
      </c>
    </row>
    <row r="1281" spans="1:6" ht="75" x14ac:dyDescent="0.25">
      <c r="A1281" s="8" t="s">
        <v>63</v>
      </c>
      <c r="B1281" s="8" t="s">
        <v>68</v>
      </c>
      <c r="C1281" s="8" t="str">
        <f>IFERROR(_xlfn.XLOOKUP(TRIM(B1281),Lookup!$B$2:$B$1000,Lookup!$C$2:$C$1000),"")</f>
        <v>Equity - Index (Midcap Momentum)</v>
      </c>
      <c r="D1281" s="8" t="str">
        <f>IFERROR(INDEX('nav master'!$C:$C, MATCH(B1281, 'nav master'!$B:$B, 0)), "")</f>
        <v>ULIF 075 09/05/24 MIF 110</v>
      </c>
      <c r="E1281" s="8">
        <v>9.5303000000000004</v>
      </c>
      <c r="F1281" s="9">
        <v>45936</v>
      </c>
    </row>
    <row r="1282" spans="1:6" ht="75" x14ac:dyDescent="0.25">
      <c r="A1282" s="8" t="s">
        <v>63</v>
      </c>
      <c r="B1282" s="8" t="s">
        <v>68</v>
      </c>
      <c r="C1282" s="8" t="str">
        <f>IFERROR(_xlfn.XLOOKUP(TRIM(B1282),Lookup!$B$2:$B$1000,Lookup!$C$2:$C$1000),"")</f>
        <v>Equity - Index (Midcap Momentum)</v>
      </c>
      <c r="D1282" s="8" t="str">
        <f>IFERROR(INDEX('nav master'!$C:$C, MATCH(B1282, 'nav master'!$B:$B, 0)), "")</f>
        <v>ULIF 075 09/05/24 MIF 110</v>
      </c>
      <c r="E1282" s="8">
        <v>9.5449999999999999</v>
      </c>
      <c r="F1282" s="9">
        <v>45937</v>
      </c>
    </row>
    <row r="1283" spans="1:6" ht="75" x14ac:dyDescent="0.25">
      <c r="A1283" s="8" t="s">
        <v>63</v>
      </c>
      <c r="B1283" s="8" t="s">
        <v>68</v>
      </c>
      <c r="C1283" s="8" t="str">
        <f>IFERROR(_xlfn.XLOOKUP(TRIM(B1283),Lookup!$B$2:$B$1000,Lookup!$C$2:$C$1000),"")</f>
        <v>Equity - Index (Midcap Momentum)</v>
      </c>
      <c r="D1283" s="8" t="str">
        <f>IFERROR(INDEX('nav master'!$C:$C, MATCH(B1283, 'nav master'!$B:$B, 0)), "")</f>
        <v>ULIF 075 09/05/24 MIF 110</v>
      </c>
      <c r="E1283" s="8">
        <v>9.5020000000000007</v>
      </c>
      <c r="F1283" s="9">
        <v>45938</v>
      </c>
    </row>
    <row r="1284" spans="1:6" ht="75" x14ac:dyDescent="0.25">
      <c r="A1284" s="8" t="s">
        <v>63</v>
      </c>
      <c r="B1284" s="8" t="s">
        <v>68</v>
      </c>
      <c r="C1284" s="8" t="str">
        <f>IFERROR(_xlfn.XLOOKUP(TRIM(B1284),Lookup!$B$2:$B$1000,Lookup!$C$2:$C$1000),"")</f>
        <v>Equity - Index (Midcap Momentum)</v>
      </c>
      <c r="D1284" s="8" t="str">
        <f>IFERROR(INDEX('nav master'!$C:$C, MATCH(B1284, 'nav master'!$B:$B, 0)), "")</f>
        <v>ULIF 075 09/05/24 MIF 110</v>
      </c>
      <c r="E1284" s="8">
        <v>9.5927000000000007</v>
      </c>
      <c r="F1284" s="9">
        <v>45939</v>
      </c>
    </row>
    <row r="1285" spans="1:6" ht="75" x14ac:dyDescent="0.25">
      <c r="A1285" s="8" t="s">
        <v>63</v>
      </c>
      <c r="B1285" s="8" t="s">
        <v>68</v>
      </c>
      <c r="C1285" s="8" t="str">
        <f>IFERROR(_xlfn.XLOOKUP(TRIM(B1285),Lookup!$B$2:$B$1000,Lookup!$C$2:$C$1000),"")</f>
        <v>Equity - Index (Midcap Momentum)</v>
      </c>
      <c r="D1285" s="8" t="str">
        <f>IFERROR(INDEX('nav master'!$C:$C, MATCH(B1285, 'nav master'!$B:$B, 0)), "")</f>
        <v>ULIF 075 09/05/24 MIF 110</v>
      </c>
      <c r="E1285" s="8">
        <v>9.6016999999999992</v>
      </c>
      <c r="F1285" s="9">
        <v>45940</v>
      </c>
    </row>
    <row r="1286" spans="1:6" ht="75" x14ac:dyDescent="0.25">
      <c r="A1286" s="8" t="s">
        <v>63</v>
      </c>
      <c r="B1286" s="8" t="s">
        <v>68</v>
      </c>
      <c r="C1286" s="8" t="str">
        <f>IFERROR(_xlfn.XLOOKUP(TRIM(B1286),Lookup!$B$2:$B$1000,Lookup!$C$2:$C$1000),"")</f>
        <v>Equity - Index (Midcap Momentum)</v>
      </c>
      <c r="D1286" s="8" t="str">
        <f>IFERROR(INDEX('nav master'!$C:$C, MATCH(B1286, 'nav master'!$B:$B, 0)), "")</f>
        <v>ULIF 075 09/05/24 MIF 110</v>
      </c>
      <c r="E1286" s="8">
        <v>9.6285000000000007</v>
      </c>
      <c r="F1286" s="9">
        <v>45943</v>
      </c>
    </row>
    <row r="1287" spans="1:6" ht="75" x14ac:dyDescent="0.25">
      <c r="A1287" s="8" t="s">
        <v>63</v>
      </c>
      <c r="B1287" s="8" t="s">
        <v>68</v>
      </c>
      <c r="C1287" s="8" t="str">
        <f>IFERROR(_xlfn.XLOOKUP(TRIM(B1287),Lookup!$B$2:$B$1000,Lookup!$C$2:$C$1000),"")</f>
        <v>Equity - Index (Midcap Momentum)</v>
      </c>
      <c r="D1287" s="8" t="str">
        <f>IFERROR(INDEX('nav master'!$C:$C, MATCH(B1287, 'nav master'!$B:$B, 0)), "")</f>
        <v>ULIF 075 09/05/24 MIF 110</v>
      </c>
      <c r="E1287" s="8">
        <v>9.5647000000000002</v>
      </c>
      <c r="F1287" s="9">
        <v>45944</v>
      </c>
    </row>
    <row r="1288" spans="1:6" ht="75" x14ac:dyDescent="0.25">
      <c r="A1288" s="8" t="s">
        <v>63</v>
      </c>
      <c r="B1288" s="8" t="s">
        <v>68</v>
      </c>
      <c r="C1288" s="8" t="str">
        <f>IFERROR(_xlfn.XLOOKUP(TRIM(B1288),Lookup!$B$2:$B$1000,Lookup!$C$2:$C$1000),"")</f>
        <v>Equity - Index (Midcap Momentum)</v>
      </c>
      <c r="D1288" s="8" t="str">
        <f>IFERROR(INDEX('nav master'!$C:$C, MATCH(B1288, 'nav master'!$B:$B, 0)), "")</f>
        <v>ULIF 075 09/05/24 MIF 110</v>
      </c>
      <c r="E1288" s="8">
        <v>9.6594999999999995</v>
      </c>
      <c r="F1288" s="9">
        <v>45945</v>
      </c>
    </row>
    <row r="1289" spans="1:6" ht="75" x14ac:dyDescent="0.25">
      <c r="A1289" s="8" t="s">
        <v>63</v>
      </c>
      <c r="B1289" s="8" t="s">
        <v>68</v>
      </c>
      <c r="C1289" s="8" t="str">
        <f>IFERROR(_xlfn.XLOOKUP(TRIM(B1289),Lookup!$B$2:$B$1000,Lookup!$C$2:$C$1000),"")</f>
        <v>Equity - Index (Midcap Momentum)</v>
      </c>
      <c r="D1289" s="8" t="str">
        <f>IFERROR(INDEX('nav master'!$C:$C, MATCH(B1289, 'nav master'!$B:$B, 0)), "")</f>
        <v>ULIF 075 09/05/24 MIF 110</v>
      </c>
      <c r="E1289" s="8">
        <v>9.6931999999999992</v>
      </c>
      <c r="F1289" s="9">
        <v>45946</v>
      </c>
    </row>
    <row r="1290" spans="1:6" ht="75" x14ac:dyDescent="0.25">
      <c r="A1290" s="8" t="s">
        <v>63</v>
      </c>
      <c r="B1290" s="8" t="s">
        <v>68</v>
      </c>
      <c r="C1290" s="8" t="str">
        <f>IFERROR(_xlfn.XLOOKUP(TRIM(B1290),Lookup!$B$2:$B$1000,Lookup!$C$2:$C$1000),"")</f>
        <v>Equity - Index (Midcap Momentum)</v>
      </c>
      <c r="D1290" s="8" t="str">
        <f>IFERROR(INDEX('nav master'!$C:$C, MATCH(B1290, 'nav master'!$B:$B, 0)), "")</f>
        <v>ULIF 075 09/05/24 MIF 110</v>
      </c>
      <c r="E1290" s="8">
        <v>9.6656999999999993</v>
      </c>
      <c r="F1290" s="9">
        <v>45947</v>
      </c>
    </row>
    <row r="1291" spans="1:6" ht="75" x14ac:dyDescent="0.25">
      <c r="A1291" s="8" t="s">
        <v>63</v>
      </c>
      <c r="B1291" s="8" t="s">
        <v>68</v>
      </c>
      <c r="C1291" s="8" t="str">
        <f>IFERROR(_xlfn.XLOOKUP(TRIM(B1291),Lookup!$B$2:$B$1000,Lookup!$C$2:$C$1000),"")</f>
        <v>Equity - Index (Midcap Momentum)</v>
      </c>
      <c r="D1291" s="8" t="str">
        <f>IFERROR(INDEX('nav master'!$C:$C, MATCH(B1291, 'nav master'!$B:$B, 0)), "")</f>
        <v>ULIF 075 09/05/24 MIF 110</v>
      </c>
      <c r="E1291" s="8">
        <v>9.7271000000000001</v>
      </c>
      <c r="F1291" s="9">
        <v>45950</v>
      </c>
    </row>
    <row r="1292" spans="1:6" ht="75" x14ac:dyDescent="0.25">
      <c r="A1292" s="8" t="s">
        <v>63</v>
      </c>
      <c r="B1292" s="8" t="s">
        <v>68</v>
      </c>
      <c r="C1292" s="8" t="str">
        <f>IFERROR(_xlfn.XLOOKUP(TRIM(B1292),Lookup!$B$2:$B$1000,Lookup!$C$2:$C$1000),"")</f>
        <v>Equity - Index (Midcap Momentum)</v>
      </c>
      <c r="D1292" s="8" t="str">
        <f>IFERROR(INDEX('nav master'!$C:$C, MATCH(B1292, 'nav master'!$B:$B, 0)), "")</f>
        <v>ULIF 075 09/05/24 MIF 110</v>
      </c>
      <c r="E1292" s="8">
        <v>9.6738</v>
      </c>
      <c r="F1292" s="9">
        <v>45953</v>
      </c>
    </row>
    <row r="1293" spans="1:6" ht="75" x14ac:dyDescent="0.25">
      <c r="A1293" s="8" t="s">
        <v>63</v>
      </c>
      <c r="B1293" s="8" t="s">
        <v>68</v>
      </c>
      <c r="C1293" s="8" t="str">
        <f>IFERROR(_xlfn.XLOOKUP(TRIM(B1293),Lookup!$B$2:$B$1000,Lookup!$C$2:$C$1000),"")</f>
        <v>Equity - Index (Midcap Momentum)</v>
      </c>
      <c r="D1293" s="8" t="str">
        <f>IFERROR(INDEX('nav master'!$C:$C, MATCH(B1293, 'nav master'!$B:$B, 0)), "")</f>
        <v>ULIF 075 09/05/24 MIF 110</v>
      </c>
      <c r="E1293" s="8">
        <v>9.6250999999999998</v>
      </c>
      <c r="F1293" s="9">
        <v>45954</v>
      </c>
    </row>
    <row r="1294" spans="1:6" ht="75" x14ac:dyDescent="0.25">
      <c r="A1294" s="8" t="s">
        <v>63</v>
      </c>
      <c r="B1294" s="8" t="s">
        <v>68</v>
      </c>
      <c r="C1294" s="8" t="str">
        <f>IFERROR(_xlfn.XLOOKUP(TRIM(B1294),Lookup!$B$2:$B$1000,Lookup!$C$2:$C$1000),"")</f>
        <v>Equity - Index (Midcap Momentum)</v>
      </c>
      <c r="D1294" s="8" t="str">
        <f>IFERROR(INDEX('nav master'!$C:$C, MATCH(B1294, 'nav master'!$B:$B, 0)), "")</f>
        <v>ULIF 075 09/05/24 MIF 110</v>
      </c>
      <c r="E1294" s="8">
        <v>9.6954999999999991</v>
      </c>
      <c r="F1294" s="9">
        <v>45957</v>
      </c>
    </row>
    <row r="1295" spans="1:6" ht="75" x14ac:dyDescent="0.25">
      <c r="A1295" s="8" t="s">
        <v>63</v>
      </c>
      <c r="B1295" s="8" t="s">
        <v>68</v>
      </c>
      <c r="C1295" s="8" t="str">
        <f>IFERROR(_xlfn.XLOOKUP(TRIM(B1295),Lookup!$B$2:$B$1000,Lookup!$C$2:$C$1000),"")</f>
        <v>Equity - Index (Midcap Momentum)</v>
      </c>
      <c r="D1295" s="8" t="str">
        <f>IFERROR(INDEX('nav master'!$C:$C, MATCH(B1295, 'nav master'!$B:$B, 0)), "")</f>
        <v>ULIF 075 09/05/24 MIF 110</v>
      </c>
      <c r="E1295" s="8">
        <v>9.7189999999999994</v>
      </c>
      <c r="F1295" s="9">
        <v>45958</v>
      </c>
    </row>
    <row r="1296" spans="1:6" ht="75" x14ac:dyDescent="0.25">
      <c r="A1296" s="8" t="s">
        <v>63</v>
      </c>
      <c r="B1296" s="8" t="s">
        <v>68</v>
      </c>
      <c r="C1296" s="8" t="str">
        <f>IFERROR(_xlfn.XLOOKUP(TRIM(B1296),Lookup!$B$2:$B$1000,Lookup!$C$2:$C$1000),"")</f>
        <v>Equity - Index (Midcap Momentum)</v>
      </c>
      <c r="D1296" s="8" t="str">
        <f>IFERROR(INDEX('nav master'!$C:$C, MATCH(B1296, 'nav master'!$B:$B, 0)), "")</f>
        <v>ULIF 075 09/05/24 MIF 110</v>
      </c>
      <c r="E1296" s="8">
        <v>9.7591000000000001</v>
      </c>
      <c r="F1296" s="9">
        <v>45959</v>
      </c>
    </row>
    <row r="1297" spans="1:6" ht="75" x14ac:dyDescent="0.25">
      <c r="A1297" s="8" t="s">
        <v>63</v>
      </c>
      <c r="B1297" s="8" t="s">
        <v>68</v>
      </c>
      <c r="C1297" s="8" t="str">
        <f>IFERROR(_xlfn.XLOOKUP(TRIM(B1297),Lookup!$B$2:$B$1000,Lookup!$C$2:$C$1000),"")</f>
        <v>Equity - Index (Midcap Momentum)</v>
      </c>
      <c r="D1297" s="8" t="str">
        <f>IFERROR(INDEX('nav master'!$C:$C, MATCH(B1297, 'nav master'!$B:$B, 0)), "")</f>
        <v>ULIF 075 09/05/24 MIF 110</v>
      </c>
      <c r="E1297" s="8">
        <v>9.7403999999999993</v>
      </c>
      <c r="F1297" s="9">
        <v>45960</v>
      </c>
    </row>
    <row r="1298" spans="1:6" ht="75" x14ac:dyDescent="0.25">
      <c r="A1298" s="8" t="s">
        <v>63</v>
      </c>
      <c r="B1298" s="8" t="s">
        <v>68</v>
      </c>
      <c r="C1298" s="8" t="str">
        <f>IFERROR(_xlfn.XLOOKUP(TRIM(B1298),Lookup!$B$2:$B$1000,Lookup!$C$2:$C$1000),"")</f>
        <v>Equity - Index (Midcap Momentum)</v>
      </c>
      <c r="D1298" s="8" t="str">
        <f>IFERROR(INDEX('nav master'!$C:$C, MATCH(B1298, 'nav master'!$B:$B, 0)), "")</f>
        <v>ULIF 075 09/05/24 MIF 110</v>
      </c>
      <c r="E1298" s="8">
        <v>9.6827000000000005</v>
      </c>
      <c r="F1298" s="9">
        <v>45961</v>
      </c>
    </row>
    <row r="1299" spans="1:6" ht="75" x14ac:dyDescent="0.25">
      <c r="A1299" s="8" t="s">
        <v>63</v>
      </c>
      <c r="B1299" s="8" t="s">
        <v>68</v>
      </c>
      <c r="C1299" s="8" t="str">
        <f>IFERROR(_xlfn.XLOOKUP(TRIM(B1299),Lookup!$B$2:$B$1000,Lookup!$C$2:$C$1000),"")</f>
        <v>Equity - Index (Midcap Momentum)</v>
      </c>
      <c r="D1299" s="8" t="str">
        <f>IFERROR(INDEX('nav master'!$C:$C, MATCH(B1299, 'nav master'!$B:$B, 0)), "")</f>
        <v>ULIF 075 09/05/24 MIF 110</v>
      </c>
      <c r="E1299" s="8">
        <v>9.7463999999999995</v>
      </c>
      <c r="F1299" s="9">
        <v>45964</v>
      </c>
    </row>
    <row r="1300" spans="1:6" ht="75" x14ac:dyDescent="0.25">
      <c r="A1300" s="8" t="s">
        <v>63</v>
      </c>
      <c r="B1300" s="8" t="s">
        <v>68</v>
      </c>
      <c r="C1300" s="8" t="str">
        <f>IFERROR(_xlfn.XLOOKUP(TRIM(B1300),Lookup!$B$2:$B$1000,Lookup!$C$2:$C$1000),"")</f>
        <v>Equity - Index (Midcap Momentum)</v>
      </c>
      <c r="D1300" s="8" t="str">
        <f>IFERROR(INDEX('nav master'!$C:$C, MATCH(B1300, 'nav master'!$B:$B, 0)), "")</f>
        <v>ULIF 075 09/05/24 MIF 110</v>
      </c>
      <c r="E1300" s="8">
        <v>9.7327999999999992</v>
      </c>
      <c r="F1300" s="9">
        <v>45965</v>
      </c>
    </row>
    <row r="1301" spans="1:6" ht="75" x14ac:dyDescent="0.25">
      <c r="A1301" s="8" t="s">
        <v>63</v>
      </c>
      <c r="B1301" s="8" t="s">
        <v>68</v>
      </c>
      <c r="C1301" s="8" t="str">
        <f>IFERROR(_xlfn.XLOOKUP(TRIM(B1301),Lookup!$B$2:$B$1000,Lookup!$C$2:$C$1000),"")</f>
        <v>Equity - Index (Midcap Momentum)</v>
      </c>
      <c r="D1301" s="8" t="str">
        <f>IFERROR(INDEX('nav master'!$C:$C, MATCH(B1301, 'nav master'!$B:$B, 0)), "")</f>
        <v>ULIF 075 09/05/24 MIF 110</v>
      </c>
      <c r="E1301" s="8">
        <v>9.6667000000000005</v>
      </c>
      <c r="F1301" s="9">
        <v>45967</v>
      </c>
    </row>
    <row r="1302" spans="1:6" ht="75" x14ac:dyDescent="0.25">
      <c r="A1302" s="8" t="s">
        <v>63</v>
      </c>
      <c r="B1302" s="8" t="s">
        <v>68</v>
      </c>
      <c r="C1302" s="8" t="str">
        <f>IFERROR(_xlfn.XLOOKUP(TRIM(B1302),Lookup!$B$2:$B$1000,Lookup!$C$2:$C$1000),"")</f>
        <v>Equity - Index (Midcap Momentum)</v>
      </c>
      <c r="D1302" s="8" t="str">
        <f>IFERROR(INDEX('nav master'!$C:$C, MATCH(B1302, 'nav master'!$B:$B, 0)), "")</f>
        <v>ULIF 075 09/05/24 MIF 110</v>
      </c>
      <c r="E1302" s="8">
        <v>9.7433999999999994</v>
      </c>
      <c r="F1302" s="9">
        <v>45968</v>
      </c>
    </row>
    <row r="1303" spans="1:6" ht="75" x14ac:dyDescent="0.25">
      <c r="A1303" s="8" t="s">
        <v>63</v>
      </c>
      <c r="B1303" s="8" t="s">
        <v>68</v>
      </c>
      <c r="C1303" s="8" t="str">
        <f>IFERROR(_xlfn.XLOOKUP(TRIM(B1303),Lookup!$B$2:$B$1000,Lookup!$C$2:$C$1000),"")</f>
        <v>Equity - Index (Midcap Momentum)</v>
      </c>
      <c r="D1303" s="8" t="str">
        <f>IFERROR(INDEX('nav master'!$C:$C, MATCH(B1303, 'nav master'!$B:$B, 0)), "")</f>
        <v>ULIF 075 09/05/24 MIF 110</v>
      </c>
      <c r="E1303" s="8">
        <v>9.7637999999999998</v>
      </c>
      <c r="F1303" s="9">
        <v>45971</v>
      </c>
    </row>
    <row r="1304" spans="1:6" ht="75" x14ac:dyDescent="0.25">
      <c r="A1304" s="8" t="s">
        <v>63</v>
      </c>
      <c r="B1304" s="8" t="s">
        <v>68</v>
      </c>
      <c r="C1304" s="8" t="str">
        <f>IFERROR(_xlfn.XLOOKUP(TRIM(B1304),Lookup!$B$2:$B$1000,Lookup!$C$2:$C$1000),"")</f>
        <v>Equity - Index (Midcap Momentum)</v>
      </c>
      <c r="D1304" s="8" t="str">
        <f>IFERROR(INDEX('nav master'!$C:$C, MATCH(B1304, 'nav master'!$B:$B, 0)), "")</f>
        <v>ULIF 075 09/05/24 MIF 110</v>
      </c>
      <c r="E1304" s="8">
        <v>9.8050999999999995</v>
      </c>
      <c r="F1304" s="9">
        <v>45972</v>
      </c>
    </row>
    <row r="1305" spans="1:6" ht="75" x14ac:dyDescent="0.25">
      <c r="A1305" s="8" t="s">
        <v>63</v>
      </c>
      <c r="B1305" s="8" t="s">
        <v>68</v>
      </c>
      <c r="C1305" s="8" t="str">
        <f>IFERROR(_xlfn.XLOOKUP(TRIM(B1305),Lookup!$B$2:$B$1000,Lookup!$C$2:$C$1000),"")</f>
        <v>Equity - Index (Midcap Momentum)</v>
      </c>
      <c r="D1305" s="8" t="str">
        <f>IFERROR(INDEX('nav master'!$C:$C, MATCH(B1305, 'nav master'!$B:$B, 0)), "")</f>
        <v>ULIF 075 09/05/24 MIF 110</v>
      </c>
      <c r="E1305" s="8">
        <v>9.8853000000000009</v>
      </c>
      <c r="F1305" s="9">
        <v>45973</v>
      </c>
    </row>
    <row r="1306" spans="1:6" ht="75" x14ac:dyDescent="0.25">
      <c r="A1306" s="8" t="s">
        <v>63</v>
      </c>
      <c r="B1306" s="8" t="s">
        <v>68</v>
      </c>
      <c r="C1306" s="8" t="str">
        <f>IFERROR(_xlfn.XLOOKUP(TRIM(B1306),Lookup!$B$2:$B$1000,Lookup!$C$2:$C$1000),"")</f>
        <v>Equity - Index (Midcap Momentum)</v>
      </c>
      <c r="D1306" s="8" t="str">
        <f>IFERROR(INDEX('nav master'!$C:$C, MATCH(B1306, 'nav master'!$B:$B, 0)), "")</f>
        <v>ULIF 075 09/05/24 MIF 110</v>
      </c>
      <c r="E1306" s="8">
        <v>9.8388000000000009</v>
      </c>
      <c r="F1306" s="9">
        <v>45974</v>
      </c>
    </row>
    <row r="1307" spans="1:6" ht="75" x14ac:dyDescent="0.25">
      <c r="A1307" s="8" t="s">
        <v>63</v>
      </c>
      <c r="B1307" s="8" t="s">
        <v>68</v>
      </c>
      <c r="C1307" s="8" t="str">
        <f>IFERROR(_xlfn.XLOOKUP(TRIM(B1307),Lookup!$B$2:$B$1000,Lookup!$C$2:$C$1000),"")</f>
        <v>Equity - Index (Midcap Momentum)</v>
      </c>
      <c r="D1307" s="8" t="str">
        <f>IFERROR(INDEX('nav master'!$C:$C, MATCH(B1307, 'nav master'!$B:$B, 0)), "")</f>
        <v>ULIF 075 09/05/24 MIF 110</v>
      </c>
      <c r="E1307" s="8">
        <v>9.8770000000000007</v>
      </c>
      <c r="F1307" s="9">
        <v>45975</v>
      </c>
    </row>
    <row r="1308" spans="1:6" ht="75" x14ac:dyDescent="0.25">
      <c r="A1308" s="8" t="s">
        <v>63</v>
      </c>
      <c r="B1308" s="8" t="s">
        <v>68</v>
      </c>
      <c r="C1308" s="8" t="str">
        <f>IFERROR(_xlfn.XLOOKUP(TRIM(B1308),Lookup!$B$2:$B$1000,Lookup!$C$2:$C$1000),"")</f>
        <v>Equity - Index (Midcap Momentum)</v>
      </c>
      <c r="D1308" s="8" t="str">
        <f>IFERROR(INDEX('nav master'!$C:$C, MATCH(B1308, 'nav master'!$B:$B, 0)), "")</f>
        <v>ULIF 075 09/05/24 MIF 110</v>
      </c>
      <c r="E1308" s="8">
        <v>9.9542000000000002</v>
      </c>
      <c r="F1308" s="9">
        <v>45978</v>
      </c>
    </row>
    <row r="1309" spans="1:6" ht="75" x14ac:dyDescent="0.25">
      <c r="A1309" s="8" t="s">
        <v>63</v>
      </c>
      <c r="B1309" s="8" t="s">
        <v>68</v>
      </c>
      <c r="C1309" s="8" t="str">
        <f>IFERROR(_xlfn.XLOOKUP(TRIM(B1309),Lookup!$B$2:$B$1000,Lookup!$C$2:$C$1000),"")</f>
        <v>Equity - Index (Midcap Momentum)</v>
      </c>
      <c r="D1309" s="8" t="str">
        <f>IFERROR(INDEX('nav master'!$C:$C, MATCH(B1309, 'nav master'!$B:$B, 0)), "")</f>
        <v>ULIF 075 09/05/24 MIF 110</v>
      </c>
      <c r="E1309" s="8">
        <v>9.8854000000000006</v>
      </c>
      <c r="F1309" s="9">
        <v>45979</v>
      </c>
    </row>
    <row r="1310" spans="1:6" ht="75" x14ac:dyDescent="0.25">
      <c r="A1310" s="8" t="s">
        <v>63</v>
      </c>
      <c r="B1310" s="8" t="s">
        <v>68</v>
      </c>
      <c r="C1310" s="8" t="str">
        <f>IFERROR(_xlfn.XLOOKUP(TRIM(B1310),Lookup!$B$2:$B$1000,Lookup!$C$2:$C$1000),"")</f>
        <v>Equity - Index (Midcap Momentum)</v>
      </c>
      <c r="D1310" s="8" t="str">
        <f>IFERROR(INDEX('nav master'!$C:$C, MATCH(B1310, 'nav master'!$B:$B, 0)), "")</f>
        <v>ULIF 075 09/05/24 MIF 110</v>
      </c>
      <c r="E1310" s="8">
        <v>9.9341000000000008</v>
      </c>
      <c r="F1310" s="9">
        <v>45980</v>
      </c>
    </row>
    <row r="1311" spans="1:6" ht="75" x14ac:dyDescent="0.25">
      <c r="A1311" s="8" t="s">
        <v>63</v>
      </c>
      <c r="B1311" s="8" t="s">
        <v>68</v>
      </c>
      <c r="C1311" s="8" t="str">
        <f>IFERROR(_xlfn.XLOOKUP(TRIM(B1311),Lookup!$B$2:$B$1000,Lookup!$C$2:$C$1000),"")</f>
        <v>Equity - Index (Midcap Momentum)</v>
      </c>
      <c r="D1311" s="8" t="str">
        <f>IFERROR(INDEX('nav master'!$C:$C, MATCH(B1311, 'nav master'!$B:$B, 0)), "")</f>
        <v>ULIF 075 09/05/24 MIF 110</v>
      </c>
      <c r="E1311" s="8">
        <v>9.9494000000000007</v>
      </c>
      <c r="F1311" s="9">
        <v>45981</v>
      </c>
    </row>
    <row r="1312" spans="1:6" ht="75" x14ac:dyDescent="0.25">
      <c r="A1312" s="8" t="s">
        <v>63</v>
      </c>
      <c r="B1312" s="8" t="s">
        <v>68</v>
      </c>
      <c r="C1312" s="8" t="str">
        <f>IFERROR(_xlfn.XLOOKUP(TRIM(B1312),Lookup!$B$2:$B$1000,Lookup!$C$2:$C$1000),"")</f>
        <v>Equity - Index (Midcap Momentum)</v>
      </c>
      <c r="D1312" s="8" t="str">
        <f>IFERROR(INDEX('nav master'!$C:$C, MATCH(B1312, 'nav master'!$B:$B, 0)), "")</f>
        <v>ULIF 075 09/05/24 MIF 110</v>
      </c>
      <c r="E1312" s="8">
        <v>9.8447999999999993</v>
      </c>
      <c r="F1312" s="9">
        <v>45982</v>
      </c>
    </row>
    <row r="1313" spans="1:6" ht="75" x14ac:dyDescent="0.25">
      <c r="A1313" s="8" t="s">
        <v>63</v>
      </c>
      <c r="B1313" s="8" t="s">
        <v>68</v>
      </c>
      <c r="C1313" s="8" t="str">
        <f>IFERROR(_xlfn.XLOOKUP(TRIM(B1313),Lookup!$B$2:$B$1000,Lookup!$C$2:$C$1000),"")</f>
        <v>Equity - Index (Midcap Momentum)</v>
      </c>
      <c r="D1313" s="8" t="str">
        <f>IFERROR(INDEX('nav master'!$C:$C, MATCH(B1313, 'nav master'!$B:$B, 0)), "")</f>
        <v>ULIF 075 09/05/24 MIF 110</v>
      </c>
      <c r="E1313" s="8">
        <v>9.7995000000000001</v>
      </c>
      <c r="F1313" s="9">
        <v>45985</v>
      </c>
    </row>
    <row r="1314" spans="1:6" ht="75" x14ac:dyDescent="0.25">
      <c r="A1314" s="8" t="s">
        <v>63</v>
      </c>
      <c r="B1314" s="8" t="s">
        <v>68</v>
      </c>
      <c r="C1314" s="8" t="str">
        <f>IFERROR(_xlfn.XLOOKUP(TRIM(B1314),Lookup!$B$2:$B$1000,Lookup!$C$2:$C$1000),"")</f>
        <v>Equity - Index (Midcap Momentum)</v>
      </c>
      <c r="D1314" s="8" t="str">
        <f>IFERROR(INDEX('nav master'!$C:$C, MATCH(B1314, 'nav master'!$B:$B, 0)), "")</f>
        <v>ULIF 075 09/05/24 MIF 110</v>
      </c>
      <c r="E1314" s="8">
        <v>9.8152000000000008</v>
      </c>
      <c r="F1314" s="9">
        <v>45986</v>
      </c>
    </row>
    <row r="1315" spans="1:6" ht="75" x14ac:dyDescent="0.25">
      <c r="A1315" s="8" t="s">
        <v>63</v>
      </c>
      <c r="B1315" s="8" t="s">
        <v>68</v>
      </c>
      <c r="C1315" s="8" t="str">
        <f>IFERROR(_xlfn.XLOOKUP(TRIM(B1315),Lookup!$B$2:$B$1000,Lookup!$C$2:$C$1000),"")</f>
        <v>Equity - Index (Midcap Momentum)</v>
      </c>
      <c r="D1315" s="8" t="str">
        <f>IFERROR(INDEX('nav master'!$C:$C, MATCH(B1315, 'nav master'!$B:$B, 0)), "")</f>
        <v>ULIF 075 09/05/24 MIF 110</v>
      </c>
      <c r="E1315" s="8">
        <v>9.9527000000000001</v>
      </c>
      <c r="F1315" s="9">
        <v>45987</v>
      </c>
    </row>
    <row r="1316" spans="1:6" ht="75" x14ac:dyDescent="0.25">
      <c r="A1316" s="8" t="s">
        <v>63</v>
      </c>
      <c r="B1316" s="8" t="s">
        <v>68</v>
      </c>
      <c r="C1316" s="8" t="str">
        <f>IFERROR(_xlfn.XLOOKUP(TRIM(B1316),Lookup!$B$2:$B$1000,Lookup!$C$2:$C$1000),"")</f>
        <v>Equity - Index (Midcap Momentum)</v>
      </c>
      <c r="D1316" s="8" t="str">
        <f>IFERROR(INDEX('nav master'!$C:$C, MATCH(B1316, 'nav master'!$B:$B, 0)), "")</f>
        <v>ULIF 075 09/05/24 MIF 110</v>
      </c>
      <c r="E1316" s="8">
        <v>9.9430999999999994</v>
      </c>
      <c r="F1316" s="9">
        <v>45988</v>
      </c>
    </row>
    <row r="1317" spans="1:6" ht="75" x14ac:dyDescent="0.25">
      <c r="A1317" s="8" t="s">
        <v>63</v>
      </c>
      <c r="B1317" s="8" t="s">
        <v>68</v>
      </c>
      <c r="C1317" s="8" t="str">
        <f>IFERROR(_xlfn.XLOOKUP(TRIM(B1317),Lookup!$B$2:$B$1000,Lookup!$C$2:$C$1000),"")</f>
        <v>Equity - Index (Midcap Momentum)</v>
      </c>
      <c r="D1317" s="8" t="str">
        <f>IFERROR(INDEX('nav master'!$C:$C, MATCH(B1317, 'nav master'!$B:$B, 0)), "")</f>
        <v>ULIF 075 09/05/24 MIF 110</v>
      </c>
      <c r="E1317" s="8">
        <v>9.9408999999999992</v>
      </c>
      <c r="F1317" s="9">
        <v>45989</v>
      </c>
    </row>
    <row r="1318" spans="1:6" ht="75" x14ac:dyDescent="0.25">
      <c r="A1318" s="8" t="s">
        <v>63</v>
      </c>
      <c r="B1318" s="8" t="s">
        <v>68</v>
      </c>
      <c r="C1318" s="8" t="str">
        <f>IFERROR(_xlfn.XLOOKUP(TRIM(B1318),Lookup!$B$2:$B$1000,Lookup!$C$2:$C$1000),"")</f>
        <v>Equity - Index (Midcap Momentum)</v>
      </c>
      <c r="D1318" s="8" t="str">
        <f>IFERROR(INDEX('nav master'!$C:$C, MATCH(B1318, 'nav master'!$B:$B, 0)), "")</f>
        <v>ULIF 075 09/05/24 MIF 110</v>
      </c>
      <c r="E1318" s="8">
        <v>9.9268999999999998</v>
      </c>
      <c r="F1318" s="9">
        <v>45992</v>
      </c>
    </row>
    <row r="1319" spans="1:6" ht="75" x14ac:dyDescent="0.25">
      <c r="A1319" s="8" t="s">
        <v>63</v>
      </c>
      <c r="B1319" s="8" t="s">
        <v>68</v>
      </c>
      <c r="C1319" s="8" t="str">
        <f>IFERROR(_xlfn.XLOOKUP(TRIM(B1319),Lookup!$B$2:$B$1000,Lookup!$C$2:$C$1000),"")</f>
        <v>Equity - Index (Midcap Momentum)</v>
      </c>
      <c r="D1319" s="8" t="str">
        <f>IFERROR(INDEX('nav master'!$C:$C, MATCH(B1319, 'nav master'!$B:$B, 0)), "")</f>
        <v>ULIF 075 09/05/24 MIF 110</v>
      </c>
      <c r="E1319" s="8">
        <v>9.8930000000000007</v>
      </c>
      <c r="F1319" s="9">
        <v>45993</v>
      </c>
    </row>
    <row r="1320" spans="1:6" ht="75" x14ac:dyDescent="0.25">
      <c r="A1320" s="8" t="s">
        <v>63</v>
      </c>
      <c r="B1320" s="8" t="s">
        <v>68</v>
      </c>
      <c r="C1320" s="8" t="str">
        <f>IFERROR(_xlfn.XLOOKUP(TRIM(B1320),Lookup!$B$2:$B$1000,Lookup!$C$2:$C$1000),"")</f>
        <v>Equity - Index (Midcap Momentum)</v>
      </c>
      <c r="D1320" s="8" t="str">
        <f>IFERROR(INDEX('nav master'!$C:$C, MATCH(B1320, 'nav master'!$B:$B, 0)), "")</f>
        <v>ULIF 075 09/05/24 MIF 110</v>
      </c>
      <c r="E1320" s="8">
        <v>9.7605000000000004</v>
      </c>
      <c r="F1320" s="9">
        <v>45994</v>
      </c>
    </row>
    <row r="1321" spans="1:6" ht="75" x14ac:dyDescent="0.25">
      <c r="A1321" s="8" t="s">
        <v>63</v>
      </c>
      <c r="B1321" s="8" t="s">
        <v>68</v>
      </c>
      <c r="C1321" s="8" t="str">
        <f>IFERROR(_xlfn.XLOOKUP(TRIM(B1321),Lookup!$B$2:$B$1000,Lookup!$C$2:$C$1000),"")</f>
        <v>Equity - Index (Midcap Momentum)</v>
      </c>
      <c r="D1321" s="8" t="str">
        <f>IFERROR(INDEX('nav master'!$C:$C, MATCH(B1321, 'nav master'!$B:$B, 0)), "")</f>
        <v>ULIF 075 09/05/24 MIF 110</v>
      </c>
      <c r="E1321" s="8">
        <v>9.7413000000000007</v>
      </c>
      <c r="F1321" s="9">
        <v>45995</v>
      </c>
    </row>
    <row r="1322" spans="1:6" ht="75" x14ac:dyDescent="0.25">
      <c r="A1322" s="8" t="s">
        <v>63</v>
      </c>
      <c r="B1322" s="8" t="s">
        <v>68</v>
      </c>
      <c r="C1322" s="8" t="str">
        <f>IFERROR(_xlfn.XLOOKUP(TRIM(B1322),Lookup!$B$2:$B$1000,Lookup!$C$2:$C$1000),"")</f>
        <v>Equity - Index (Midcap Momentum)</v>
      </c>
      <c r="D1322" s="8" t="str">
        <f>IFERROR(INDEX('nav master'!$C:$C, MATCH(B1322, 'nav master'!$B:$B, 0)), "")</f>
        <v>ULIF 075 09/05/24 MIF 110</v>
      </c>
      <c r="E1322" s="8">
        <v>9.8148999999999997</v>
      </c>
      <c r="F1322" s="9">
        <v>45996</v>
      </c>
    </row>
    <row r="1323" spans="1:6" ht="75" x14ac:dyDescent="0.25">
      <c r="A1323" s="8" t="s">
        <v>63</v>
      </c>
      <c r="B1323" s="8" t="s">
        <v>68</v>
      </c>
      <c r="C1323" s="8" t="str">
        <f>IFERROR(_xlfn.XLOOKUP(TRIM(B1323),Lookup!$B$2:$B$1000,Lookup!$C$2:$C$1000),"")</f>
        <v>Equity - Index (Midcap Momentum)</v>
      </c>
      <c r="D1323" s="8" t="str">
        <f>IFERROR(INDEX('nav master'!$C:$C, MATCH(B1323, 'nav master'!$B:$B, 0)), "")</f>
        <v>ULIF 075 09/05/24 MIF 110</v>
      </c>
      <c r="E1323" s="8">
        <v>9.6748999999999992</v>
      </c>
      <c r="F1323" s="9">
        <v>45999</v>
      </c>
    </row>
    <row r="1324" spans="1:6" ht="75" x14ac:dyDescent="0.25">
      <c r="A1324" s="8" t="s">
        <v>63</v>
      </c>
      <c r="B1324" s="8" t="s">
        <v>68</v>
      </c>
      <c r="C1324" s="8" t="str">
        <f>IFERROR(_xlfn.XLOOKUP(TRIM(B1324),Lookup!$B$2:$B$1000,Lookup!$C$2:$C$1000),"")</f>
        <v>Equity - Index (Midcap Momentum)</v>
      </c>
      <c r="D1324" s="8" t="str">
        <f>IFERROR(INDEX('nav master'!$C:$C, MATCH(B1324, 'nav master'!$B:$B, 0)), "")</f>
        <v>ULIF 075 09/05/24 MIF 110</v>
      </c>
      <c r="E1324" s="8">
        <v>9.6776999999999997</v>
      </c>
      <c r="F1324" s="9">
        <v>46000</v>
      </c>
    </row>
    <row r="1325" spans="1:6" ht="75" x14ac:dyDescent="0.25">
      <c r="A1325" s="8" t="s">
        <v>63</v>
      </c>
      <c r="B1325" s="8" t="s">
        <v>68</v>
      </c>
      <c r="C1325" s="8" t="str">
        <f>IFERROR(_xlfn.XLOOKUP(TRIM(B1325),Lookup!$B$2:$B$1000,Lookup!$C$2:$C$1000),"")</f>
        <v>Equity - Index (Midcap Momentum)</v>
      </c>
      <c r="D1325" s="8" t="str">
        <f>IFERROR(INDEX('nav master'!$C:$C, MATCH(B1325, 'nav master'!$B:$B, 0)), "")</f>
        <v>ULIF 075 09/05/24 MIF 110</v>
      </c>
      <c r="E1325" s="8">
        <v>9.5585000000000004</v>
      </c>
      <c r="F1325" s="9">
        <v>46001</v>
      </c>
    </row>
    <row r="1326" spans="1:6" ht="75" x14ac:dyDescent="0.25">
      <c r="A1326" s="8" t="s">
        <v>63</v>
      </c>
      <c r="B1326" s="8" t="s">
        <v>68</v>
      </c>
      <c r="C1326" s="8" t="str">
        <f>IFERROR(_xlfn.XLOOKUP(TRIM(B1326),Lookup!$B$2:$B$1000,Lookup!$C$2:$C$1000),"")</f>
        <v>Equity - Index (Midcap Momentum)</v>
      </c>
      <c r="D1326" s="8" t="str">
        <f>IFERROR(INDEX('nav master'!$C:$C, MATCH(B1326, 'nav master'!$B:$B, 0)), "")</f>
        <v>ULIF 075 09/05/24 MIF 110</v>
      </c>
      <c r="E1326" s="8">
        <v>9.6480999999999995</v>
      </c>
      <c r="F1326" s="9">
        <v>46002</v>
      </c>
    </row>
    <row r="1327" spans="1:6" ht="75" x14ac:dyDescent="0.25">
      <c r="A1327" s="8" t="s">
        <v>63</v>
      </c>
      <c r="B1327" s="8" t="s">
        <v>68</v>
      </c>
      <c r="C1327" s="8" t="str">
        <f>IFERROR(_xlfn.XLOOKUP(TRIM(B1327),Lookup!$B$2:$B$1000,Lookup!$C$2:$C$1000),"")</f>
        <v>Equity - Index (Midcap Momentum)</v>
      </c>
      <c r="D1327" s="8" t="str">
        <f>IFERROR(INDEX('nav master'!$C:$C, MATCH(B1327, 'nav master'!$B:$B, 0)), "")</f>
        <v>ULIF 075 09/05/24 MIF 110</v>
      </c>
      <c r="E1327" s="8">
        <v>9.7409999999999997</v>
      </c>
      <c r="F1327" s="9">
        <v>46003</v>
      </c>
    </row>
    <row r="1328" spans="1:6" ht="75" x14ac:dyDescent="0.25">
      <c r="A1328" s="8" t="s">
        <v>63</v>
      </c>
      <c r="B1328" s="8" t="s">
        <v>68</v>
      </c>
      <c r="C1328" s="8" t="str">
        <f>IFERROR(_xlfn.XLOOKUP(TRIM(B1328),Lookup!$B$2:$B$1000,Lookup!$C$2:$C$1000),"")</f>
        <v>Equity - Index (Midcap Momentum)</v>
      </c>
      <c r="D1328" s="8" t="str">
        <f>IFERROR(INDEX('nav master'!$C:$C, MATCH(B1328, 'nav master'!$B:$B, 0)), "")</f>
        <v>ULIF 075 09/05/24 MIF 110</v>
      </c>
      <c r="E1328" s="8">
        <v>9.7245000000000008</v>
      </c>
      <c r="F1328" s="9">
        <v>46006</v>
      </c>
    </row>
    <row r="1329" spans="1:6" ht="75" x14ac:dyDescent="0.25">
      <c r="A1329" s="8" t="s">
        <v>63</v>
      </c>
      <c r="B1329" s="8" t="s">
        <v>68</v>
      </c>
      <c r="C1329" s="8" t="str">
        <f>IFERROR(_xlfn.XLOOKUP(TRIM(B1329),Lookup!$B$2:$B$1000,Lookup!$C$2:$C$1000),"")</f>
        <v>Equity - Index (Midcap Momentum)</v>
      </c>
      <c r="D1329" s="8" t="str">
        <f>IFERROR(INDEX('nav master'!$C:$C, MATCH(B1329, 'nav master'!$B:$B, 0)), "")</f>
        <v>ULIF 075 09/05/24 MIF 110</v>
      </c>
      <c r="E1329" s="8">
        <v>9.6319999999999997</v>
      </c>
      <c r="F1329" s="9">
        <v>46007</v>
      </c>
    </row>
    <row r="1330" spans="1:6" ht="75" x14ac:dyDescent="0.25">
      <c r="A1330" s="8" t="s">
        <v>63</v>
      </c>
      <c r="B1330" s="8" t="s">
        <v>68</v>
      </c>
      <c r="C1330" s="8" t="str">
        <f>IFERROR(_xlfn.XLOOKUP(TRIM(B1330),Lookup!$B$2:$B$1000,Lookup!$C$2:$C$1000),"")</f>
        <v>Equity - Index (Midcap Momentum)</v>
      </c>
      <c r="D1330" s="8" t="str">
        <f>IFERROR(INDEX('nav master'!$C:$C, MATCH(B1330, 'nav master'!$B:$B, 0)), "")</f>
        <v>ULIF 075 09/05/24 MIF 110</v>
      </c>
      <c r="E1330" s="8">
        <v>9.5669000000000004</v>
      </c>
      <c r="F1330" s="9">
        <v>46008</v>
      </c>
    </row>
    <row r="1331" spans="1:6" ht="75" x14ac:dyDescent="0.25">
      <c r="A1331" s="8" t="s">
        <v>63</v>
      </c>
      <c r="B1331" s="8" t="s">
        <v>68</v>
      </c>
      <c r="C1331" s="8" t="str">
        <f>IFERROR(_xlfn.XLOOKUP(TRIM(B1331),Lookup!$B$2:$B$1000,Lookup!$C$2:$C$1000),"")</f>
        <v>Equity - Index (Midcap Momentum)</v>
      </c>
      <c r="D1331" s="8" t="str">
        <f>IFERROR(INDEX('nav master'!$C:$C, MATCH(B1331, 'nav master'!$B:$B, 0)), "")</f>
        <v>ULIF 075 09/05/24 MIF 110</v>
      </c>
      <c r="E1331" s="8">
        <v>9.6135000000000002</v>
      </c>
      <c r="F1331" s="9">
        <v>46009</v>
      </c>
    </row>
    <row r="1332" spans="1:6" ht="75" x14ac:dyDescent="0.25">
      <c r="A1332" s="8" t="s">
        <v>63</v>
      </c>
      <c r="B1332" s="8" t="s">
        <v>68</v>
      </c>
      <c r="C1332" s="8" t="str">
        <f>IFERROR(_xlfn.XLOOKUP(TRIM(B1332),Lookup!$B$2:$B$1000,Lookup!$C$2:$C$1000),"")</f>
        <v>Equity - Index (Midcap Momentum)</v>
      </c>
      <c r="D1332" s="8" t="str">
        <f>IFERROR(INDEX('nav master'!$C:$C, MATCH(B1332, 'nav master'!$B:$B, 0)), "")</f>
        <v>ULIF 075 09/05/24 MIF 110</v>
      </c>
      <c r="E1332" s="8">
        <v>9.7239000000000004</v>
      </c>
      <c r="F1332" s="9">
        <v>46010</v>
      </c>
    </row>
    <row r="1333" spans="1:6" ht="75" x14ac:dyDescent="0.25">
      <c r="A1333" s="8" t="s">
        <v>63</v>
      </c>
      <c r="B1333" s="8" t="s">
        <v>68</v>
      </c>
      <c r="C1333" s="8" t="str">
        <f>IFERROR(_xlfn.XLOOKUP(TRIM(B1333),Lookup!$B$2:$B$1000,Lookup!$C$2:$C$1000),"")</f>
        <v>Equity - Index (Midcap Momentum)</v>
      </c>
      <c r="D1333" s="8" t="str">
        <f>IFERROR(INDEX('nav master'!$C:$C, MATCH(B1333, 'nav master'!$B:$B, 0)), "")</f>
        <v>ULIF 075 09/05/24 MIF 110</v>
      </c>
      <c r="E1333" s="8">
        <v>9.827</v>
      </c>
      <c r="F1333" s="9">
        <v>46013</v>
      </c>
    </row>
    <row r="1334" spans="1:6" ht="75" x14ac:dyDescent="0.25">
      <c r="A1334" s="8" t="s">
        <v>63</v>
      </c>
      <c r="B1334" s="8" t="s">
        <v>68</v>
      </c>
      <c r="C1334" s="8" t="str">
        <f>IFERROR(_xlfn.XLOOKUP(TRIM(B1334),Lookup!$B$2:$B$1000,Lookup!$C$2:$C$1000),"")</f>
        <v>Equity - Index (Midcap Momentum)</v>
      </c>
      <c r="D1334" s="8" t="str">
        <f>IFERROR(INDEX('nav master'!$C:$C, MATCH(B1334, 'nav master'!$B:$B, 0)), "")</f>
        <v>ULIF 075 09/05/24 MIF 110</v>
      </c>
      <c r="E1334" s="8">
        <v>9.8271999999999995</v>
      </c>
      <c r="F1334" s="9">
        <v>46014</v>
      </c>
    </row>
    <row r="1335" spans="1:6" ht="75" x14ac:dyDescent="0.25">
      <c r="A1335" s="8" t="s">
        <v>63</v>
      </c>
      <c r="B1335" s="8" t="s">
        <v>68</v>
      </c>
      <c r="C1335" s="8" t="str">
        <f>IFERROR(_xlfn.XLOOKUP(TRIM(B1335),Lookup!$B$2:$B$1000,Lookup!$C$2:$C$1000),"")</f>
        <v>Equity - Index (Midcap Momentum)</v>
      </c>
      <c r="D1335" s="8" t="str">
        <f>IFERROR(INDEX('nav master'!$C:$C, MATCH(B1335, 'nav master'!$B:$B, 0)), "")</f>
        <v>ULIF 075 09/05/24 MIF 110</v>
      </c>
      <c r="E1335" s="8">
        <v>9.7776999999999994</v>
      </c>
      <c r="F1335" s="9">
        <v>46015</v>
      </c>
    </row>
    <row r="1336" spans="1:6" ht="75" x14ac:dyDescent="0.25">
      <c r="A1336" s="8" t="s">
        <v>63</v>
      </c>
      <c r="B1336" s="8" t="s">
        <v>68</v>
      </c>
      <c r="C1336" s="8" t="str">
        <f>IFERROR(_xlfn.XLOOKUP(TRIM(B1336),Lookup!$B$2:$B$1000,Lookup!$C$2:$C$1000),"")</f>
        <v>Equity - Index (Midcap Momentum)</v>
      </c>
      <c r="D1336" s="8" t="str">
        <f>IFERROR(INDEX('nav master'!$C:$C, MATCH(B1336, 'nav master'!$B:$B, 0)), "")</f>
        <v>ULIF 075 09/05/24 MIF 110</v>
      </c>
      <c r="E1336" s="8">
        <v>9.7396999999999991</v>
      </c>
      <c r="F1336" s="9">
        <v>46017</v>
      </c>
    </row>
    <row r="1337" spans="1:6" ht="75" x14ac:dyDescent="0.25">
      <c r="A1337" s="8" t="s">
        <v>63</v>
      </c>
      <c r="B1337" s="8" t="s">
        <v>68</v>
      </c>
      <c r="C1337" s="8" t="str">
        <f>IFERROR(_xlfn.XLOOKUP(TRIM(B1337),Lookup!$B$2:$B$1000,Lookup!$C$2:$C$1000),"")</f>
        <v>Equity - Index (Midcap Momentum)</v>
      </c>
      <c r="D1337" s="8" t="str">
        <f>IFERROR(INDEX('nav master'!$C:$C, MATCH(B1337, 'nav master'!$B:$B, 0)), "")</f>
        <v>ULIF 075 09/05/24 MIF 110</v>
      </c>
      <c r="E1337" s="8">
        <v>9.7020999999999997</v>
      </c>
      <c r="F1337" s="9">
        <v>46020</v>
      </c>
    </row>
    <row r="1338" spans="1:6" ht="75" x14ac:dyDescent="0.25">
      <c r="A1338" s="8" t="s">
        <v>63</v>
      </c>
      <c r="B1338" s="8" t="s">
        <v>68</v>
      </c>
      <c r="C1338" s="8" t="str">
        <f>IFERROR(_xlfn.XLOOKUP(TRIM(B1338),Lookup!$B$2:$B$1000,Lookup!$C$2:$C$1000),"")</f>
        <v>Equity - Index (Midcap Momentum)</v>
      </c>
      <c r="D1338" s="8" t="str">
        <f>IFERROR(INDEX('nav master'!$C:$C, MATCH(B1338, 'nav master'!$B:$B, 0)), "")</f>
        <v>ULIF 075 09/05/24 MIF 110</v>
      </c>
      <c r="E1338" s="8">
        <v>9.5732999999999997</v>
      </c>
      <c r="F1338" s="9">
        <v>46021</v>
      </c>
    </row>
    <row r="1339" spans="1:6" ht="75" x14ac:dyDescent="0.25">
      <c r="A1339" s="8" t="s">
        <v>63</v>
      </c>
      <c r="B1339" s="8" t="s">
        <v>68</v>
      </c>
      <c r="C1339" s="8" t="str">
        <f>IFERROR(_xlfn.XLOOKUP(TRIM(B1339),Lookup!$B$2:$B$1000,Lookup!$C$2:$C$1000),"")</f>
        <v>Equity - Index (Midcap Momentum)</v>
      </c>
      <c r="D1339" s="8" t="str">
        <f>IFERROR(INDEX('nav master'!$C:$C, MATCH(B1339, 'nav master'!$B:$B, 0)), "")</f>
        <v>ULIF 075 09/05/24 MIF 110</v>
      </c>
      <c r="E1339" s="8">
        <v>9.6687999999999992</v>
      </c>
      <c r="F1339" s="9">
        <v>46022</v>
      </c>
    </row>
    <row r="1340" spans="1:6" ht="75" x14ac:dyDescent="0.25">
      <c r="A1340" s="8" t="s">
        <v>63</v>
      </c>
      <c r="B1340" s="8" t="s">
        <v>68</v>
      </c>
      <c r="C1340" s="8" t="str">
        <f>IFERROR(_xlfn.XLOOKUP(TRIM(B1340),Lookup!$B$2:$B$1000,Lookup!$C$2:$C$1000),"")</f>
        <v>Equity - Index (Midcap Momentum)</v>
      </c>
      <c r="D1340" s="8" t="str">
        <f>IFERROR(INDEX('nav master'!$C:$C, MATCH(B1340, 'nav master'!$B:$B, 0)), "")</f>
        <v>ULIF 075 09/05/24 MIF 110</v>
      </c>
      <c r="E1340" s="8">
        <v>9.7250999999999994</v>
      </c>
      <c r="F1340" s="9">
        <v>46023</v>
      </c>
    </row>
    <row r="1341" spans="1:6" ht="75" x14ac:dyDescent="0.25">
      <c r="A1341" s="8" t="s">
        <v>63</v>
      </c>
      <c r="B1341" s="8" t="s">
        <v>68</v>
      </c>
      <c r="C1341" s="8" t="str">
        <f>IFERROR(_xlfn.XLOOKUP(TRIM(B1341),Lookup!$B$2:$B$1000,Lookup!$C$2:$C$1000),"")</f>
        <v>Equity - Index (Midcap Momentum)</v>
      </c>
      <c r="D1341" s="8" t="str">
        <f>IFERROR(INDEX('nav master'!$C:$C, MATCH(B1341, 'nav master'!$B:$B, 0)), "")</f>
        <v>ULIF 075 09/05/24 MIF 110</v>
      </c>
      <c r="E1341" s="8">
        <v>9.8047000000000004</v>
      </c>
      <c r="F1341" s="9">
        <v>46024</v>
      </c>
    </row>
    <row r="1342" spans="1:6" ht="75" x14ac:dyDescent="0.25">
      <c r="A1342" s="8" t="s">
        <v>63</v>
      </c>
      <c r="B1342" s="8" t="s">
        <v>68</v>
      </c>
      <c r="C1342" s="8" t="str">
        <f>IFERROR(_xlfn.XLOOKUP(TRIM(B1342),Lookup!$B$2:$B$1000,Lookup!$C$2:$C$1000),"")</f>
        <v>Equity - Index (Midcap Momentum)</v>
      </c>
      <c r="D1342" s="8" t="str">
        <f>IFERROR(INDEX('nav master'!$C:$C, MATCH(B1342, 'nav master'!$B:$B, 0)), "")</f>
        <v>ULIF 075 09/05/24 MIF 110</v>
      </c>
      <c r="E1342" s="8">
        <v>9.8045000000000009</v>
      </c>
      <c r="F1342" s="9">
        <v>46027</v>
      </c>
    </row>
    <row r="1343" spans="1:6" ht="75" x14ac:dyDescent="0.25">
      <c r="A1343" s="8" t="s">
        <v>63</v>
      </c>
      <c r="B1343" s="8" t="s">
        <v>68</v>
      </c>
      <c r="C1343" s="8" t="str">
        <f>IFERROR(_xlfn.XLOOKUP(TRIM(B1343),Lookup!$B$2:$B$1000,Lookup!$C$2:$C$1000),"")</f>
        <v>Equity - Index (Midcap Momentum)</v>
      </c>
      <c r="D1343" s="8" t="str">
        <f>IFERROR(INDEX('nav master'!$C:$C, MATCH(B1343, 'nav master'!$B:$B, 0)), "")</f>
        <v>ULIF 075 09/05/24 MIF 110</v>
      </c>
      <c r="E1343" s="8">
        <v>9.8046000000000006</v>
      </c>
      <c r="F1343" s="9">
        <v>46028</v>
      </c>
    </row>
    <row r="1344" spans="1:6" ht="75" x14ac:dyDescent="0.25">
      <c r="A1344" s="8" t="s">
        <v>63</v>
      </c>
      <c r="B1344" s="8" t="s">
        <v>68</v>
      </c>
      <c r="C1344" s="8" t="str">
        <f>IFERROR(_xlfn.XLOOKUP(TRIM(B1344),Lookup!$B$2:$B$1000,Lookup!$C$2:$C$1000),"")</f>
        <v>Equity - Index (Midcap Momentum)</v>
      </c>
      <c r="D1344" s="8" t="str">
        <f>IFERROR(INDEX('nav master'!$C:$C, MATCH(B1344, 'nav master'!$B:$B, 0)), "")</f>
        <v>ULIF 075 09/05/24 MIF 110</v>
      </c>
      <c r="E1344" s="8">
        <v>9.8244000000000007</v>
      </c>
      <c r="F1344" s="9">
        <v>46029</v>
      </c>
    </row>
    <row r="1345" spans="1:6" ht="75" x14ac:dyDescent="0.25">
      <c r="A1345" s="8" t="s">
        <v>63</v>
      </c>
      <c r="B1345" s="8" t="s">
        <v>68</v>
      </c>
      <c r="C1345" s="8" t="str">
        <f>IFERROR(_xlfn.XLOOKUP(TRIM(B1345),Lookup!$B$2:$B$1000,Lookup!$C$2:$C$1000),"")</f>
        <v>Equity - Index (Midcap Momentum)</v>
      </c>
      <c r="D1345" s="8" t="str">
        <f>IFERROR(INDEX('nav master'!$C:$C, MATCH(B1345, 'nav master'!$B:$B, 0)), "")</f>
        <v>ULIF 075 09/05/24 MIF 110</v>
      </c>
      <c r="E1345" s="8">
        <v>9.6349999999999998</v>
      </c>
      <c r="F1345" s="9">
        <v>46030</v>
      </c>
    </row>
    <row r="1346" spans="1:6" ht="75" x14ac:dyDescent="0.25">
      <c r="A1346" s="8" t="s">
        <v>63</v>
      </c>
      <c r="B1346" s="8" t="s">
        <v>68</v>
      </c>
      <c r="C1346" s="8" t="str">
        <f>IFERROR(_xlfn.XLOOKUP(TRIM(B1346),Lookup!$B$2:$B$1000,Lookup!$C$2:$C$1000),"")</f>
        <v>Equity - Index (Midcap Momentum)</v>
      </c>
      <c r="D1346" s="8" t="str">
        <f>IFERROR(INDEX('nav master'!$C:$C, MATCH(B1346, 'nav master'!$B:$B, 0)), "")</f>
        <v>ULIF 075 09/05/24 MIF 110</v>
      </c>
      <c r="E1346" s="8">
        <v>9.5414999999999992</v>
      </c>
      <c r="F1346" s="9">
        <v>46031</v>
      </c>
    </row>
    <row r="1347" spans="1:6" ht="75" x14ac:dyDescent="0.25">
      <c r="A1347" s="8" t="s">
        <v>63</v>
      </c>
      <c r="B1347" s="8" t="s">
        <v>68</v>
      </c>
      <c r="C1347" s="8" t="str">
        <f>IFERROR(_xlfn.XLOOKUP(TRIM(B1347),Lookup!$B$2:$B$1000,Lookup!$C$2:$C$1000),"")</f>
        <v>Equity - Index (Midcap Momentum)</v>
      </c>
      <c r="D1347" s="8" t="str">
        <f>IFERROR(INDEX('nav master'!$C:$C, MATCH(B1347, 'nav master'!$B:$B, 0)), "")</f>
        <v>ULIF 075 09/05/24 MIF 110</v>
      </c>
      <c r="E1347" s="8">
        <v>9.52</v>
      </c>
      <c r="F1347" s="9">
        <v>46034</v>
      </c>
    </row>
    <row r="1348" spans="1:6" ht="75" x14ac:dyDescent="0.25">
      <c r="A1348" s="8" t="s">
        <v>63</v>
      </c>
      <c r="B1348" s="8" t="s">
        <v>68</v>
      </c>
      <c r="C1348" s="8" t="str">
        <f>IFERROR(_xlfn.XLOOKUP(TRIM(B1348),Lookup!$B$2:$B$1000,Lookup!$C$2:$C$1000),"")</f>
        <v>Equity - Index (Midcap Momentum)</v>
      </c>
      <c r="D1348" s="8" t="str">
        <f>IFERROR(INDEX('nav master'!$C:$C, MATCH(B1348, 'nav master'!$B:$B, 0)), "")</f>
        <v>ULIF 075 09/05/24 MIF 110</v>
      </c>
      <c r="E1348" s="8">
        <v>9.5283999999999995</v>
      </c>
      <c r="F1348" s="9">
        <v>46035</v>
      </c>
    </row>
    <row r="1349" spans="1:6" ht="75" x14ac:dyDescent="0.25">
      <c r="A1349" s="8" t="s">
        <v>63</v>
      </c>
      <c r="B1349" s="8" t="s">
        <v>68</v>
      </c>
      <c r="C1349" s="8" t="str">
        <f>IFERROR(_xlfn.XLOOKUP(TRIM(B1349),Lookup!$B$2:$B$1000,Lookup!$C$2:$C$1000),"")</f>
        <v>Equity - Index (Midcap Momentum)</v>
      </c>
      <c r="D1349" s="8" t="str">
        <f>IFERROR(INDEX('nav master'!$C:$C, MATCH(B1349, 'nav master'!$B:$B, 0)), "")</f>
        <v>ULIF 075 09/05/24 MIF 110</v>
      </c>
      <c r="E1349" s="8">
        <v>9.5785999999999998</v>
      </c>
      <c r="F1349" s="9">
        <v>46036</v>
      </c>
    </row>
    <row r="1350" spans="1:6" ht="75" x14ac:dyDescent="0.25">
      <c r="A1350" s="8" t="s">
        <v>63</v>
      </c>
      <c r="B1350" s="8" t="s">
        <v>68</v>
      </c>
      <c r="C1350" s="8" t="str">
        <f>IFERROR(_xlfn.XLOOKUP(TRIM(B1350),Lookup!$B$2:$B$1000,Lookup!$C$2:$C$1000),"")</f>
        <v>Equity - Index (Midcap Momentum)</v>
      </c>
      <c r="D1350" s="8" t="str">
        <f>IFERROR(INDEX('nav master'!$C:$C, MATCH(B1350, 'nav master'!$B:$B, 0)), "")</f>
        <v>ULIF 075 09/05/24 MIF 110</v>
      </c>
      <c r="E1350" s="8">
        <v>9.5777000000000001</v>
      </c>
      <c r="F1350" s="9">
        <v>46038</v>
      </c>
    </row>
    <row r="1351" spans="1:6" ht="75" x14ac:dyDescent="0.25">
      <c r="A1351" s="8" t="s">
        <v>63</v>
      </c>
      <c r="B1351" s="8" t="s">
        <v>68</v>
      </c>
      <c r="C1351" s="8" t="str">
        <f>IFERROR(_xlfn.XLOOKUP(TRIM(B1351),Lookup!$B$2:$B$1000,Lookup!$C$2:$C$1000),"")</f>
        <v>Equity - Index (Midcap Momentum)</v>
      </c>
      <c r="D1351" s="8" t="str">
        <f>IFERROR(INDEX('nav master'!$C:$C, MATCH(B1351, 'nav master'!$B:$B, 0)), "")</f>
        <v>ULIF 075 09/05/24 MIF 110</v>
      </c>
      <c r="E1351" s="8">
        <v>9.5672999999999995</v>
      </c>
      <c r="F1351" s="9">
        <v>46041</v>
      </c>
    </row>
    <row r="1352" spans="1:6" ht="75" x14ac:dyDescent="0.25">
      <c r="A1352" s="8" t="s">
        <v>63</v>
      </c>
      <c r="B1352" s="8" t="s">
        <v>68</v>
      </c>
      <c r="C1352" s="8" t="str">
        <f>IFERROR(_xlfn.XLOOKUP(TRIM(B1352),Lookup!$B$2:$B$1000,Lookup!$C$2:$C$1000),"")</f>
        <v>Equity - Index (Midcap Momentum)</v>
      </c>
      <c r="D1352" s="8" t="str">
        <f>IFERROR(INDEX('nav master'!$C:$C, MATCH(B1352, 'nav master'!$B:$B, 0)), "")</f>
        <v>ULIF 075 09/05/24 MIF 110</v>
      </c>
      <c r="E1352" s="8">
        <v>9.3488000000000007</v>
      </c>
      <c r="F1352" s="9">
        <v>46042</v>
      </c>
    </row>
    <row r="1353" spans="1:6" ht="75" x14ac:dyDescent="0.25">
      <c r="A1353" s="8" t="s">
        <v>63</v>
      </c>
      <c r="B1353" s="8" t="s">
        <v>68</v>
      </c>
      <c r="C1353" s="8" t="str">
        <f>IFERROR(_xlfn.XLOOKUP(TRIM(B1353),Lookup!$B$2:$B$1000,Lookup!$C$2:$C$1000),"")</f>
        <v>Equity - Index (Midcap Momentum)</v>
      </c>
      <c r="D1353" s="8" t="str">
        <f>IFERROR(INDEX('nav master'!$C:$C, MATCH(B1353, 'nav master'!$B:$B, 0)), "")</f>
        <v>ULIF 075 09/05/24 MIF 110</v>
      </c>
      <c r="E1353" s="8">
        <v>9.2254000000000005</v>
      </c>
      <c r="F1353" s="9">
        <v>46043</v>
      </c>
    </row>
    <row r="1354" spans="1:6" ht="75" x14ac:dyDescent="0.25">
      <c r="A1354" s="8" t="s">
        <v>63</v>
      </c>
      <c r="B1354" s="8" t="s">
        <v>68</v>
      </c>
      <c r="C1354" s="8" t="str">
        <f>IFERROR(_xlfn.XLOOKUP(TRIM(B1354),Lookup!$B$2:$B$1000,Lookup!$C$2:$C$1000),"")</f>
        <v>Equity - Index (Midcap Momentum)</v>
      </c>
      <c r="D1354" s="8" t="str">
        <f>IFERROR(INDEX('nav master'!$C:$C, MATCH(B1354, 'nav master'!$B:$B, 0)), "")</f>
        <v>ULIF 075 09/05/24 MIF 110</v>
      </c>
      <c r="E1354" s="8">
        <v>9.3512000000000004</v>
      </c>
      <c r="F1354" s="9">
        <v>46044</v>
      </c>
    </row>
    <row r="1355" spans="1:6" ht="75" x14ac:dyDescent="0.25">
      <c r="A1355" s="8" t="s">
        <v>63</v>
      </c>
      <c r="B1355" s="8" t="s">
        <v>68</v>
      </c>
      <c r="C1355" s="8" t="str">
        <f>IFERROR(_xlfn.XLOOKUP(TRIM(B1355),Lookup!$B$2:$B$1000,Lookup!$C$2:$C$1000),"")</f>
        <v>Equity - Index (Midcap Momentum)</v>
      </c>
      <c r="D1355" s="8" t="str">
        <f>IFERROR(INDEX('nav master'!$C:$C, MATCH(B1355, 'nav master'!$B:$B, 0)), "")</f>
        <v>ULIF 075 09/05/24 MIF 110</v>
      </c>
      <c r="E1355" s="8">
        <v>9.1904000000000003</v>
      </c>
      <c r="F1355" s="9">
        <v>46045</v>
      </c>
    </row>
    <row r="1356" spans="1:6" ht="75" x14ac:dyDescent="0.25">
      <c r="A1356" s="8" t="s">
        <v>63</v>
      </c>
      <c r="B1356" s="8" t="s">
        <v>68</v>
      </c>
      <c r="C1356" s="8" t="str">
        <f>IFERROR(_xlfn.XLOOKUP(TRIM(B1356),Lookup!$B$2:$B$1000,Lookup!$C$2:$C$1000),"")</f>
        <v>Equity - Index (Midcap Momentum)</v>
      </c>
      <c r="D1356" s="8" t="str">
        <f>IFERROR(INDEX('nav master'!$C:$C, MATCH(B1356, 'nav master'!$B:$B, 0)), "")</f>
        <v>ULIF 075 09/05/24 MIF 110</v>
      </c>
      <c r="E1356" s="8">
        <v>9.2611000000000008</v>
      </c>
      <c r="F1356" s="9">
        <v>46049</v>
      </c>
    </row>
    <row r="1357" spans="1:6" ht="75" x14ac:dyDescent="0.25">
      <c r="A1357" s="8" t="s">
        <v>63</v>
      </c>
      <c r="B1357" s="8" t="s">
        <v>68</v>
      </c>
      <c r="C1357" s="8" t="str">
        <f>IFERROR(_xlfn.XLOOKUP(TRIM(B1357),Lookup!$B$2:$B$1000,Lookup!$C$2:$C$1000),"")</f>
        <v>Equity - Index (Midcap Momentum)</v>
      </c>
      <c r="D1357" s="8" t="str">
        <f>IFERROR(INDEX('nav master'!$C:$C, MATCH(B1357, 'nav master'!$B:$B, 0)), "")</f>
        <v>ULIF 075 09/05/24 MIF 110</v>
      </c>
      <c r="E1357" s="8">
        <v>9.4154999999999998</v>
      </c>
      <c r="F1357" s="9">
        <v>46050</v>
      </c>
    </row>
    <row r="1358" spans="1:6" ht="75" x14ac:dyDescent="0.25">
      <c r="A1358" s="8" t="s">
        <v>63</v>
      </c>
      <c r="B1358" s="8" t="s">
        <v>68</v>
      </c>
      <c r="C1358" s="8" t="str">
        <f>IFERROR(_xlfn.XLOOKUP(TRIM(B1358),Lookup!$B$2:$B$1000,Lookup!$C$2:$C$1000),"")</f>
        <v>Equity - Index (Midcap Momentum)</v>
      </c>
      <c r="D1358" s="8" t="str">
        <f>IFERROR(INDEX('nav master'!$C:$C, MATCH(B1358, 'nav master'!$B:$B, 0)), "")</f>
        <v>ULIF 075 09/05/24 MIF 110</v>
      </c>
      <c r="E1358" s="8">
        <v>9.4682999999999993</v>
      </c>
      <c r="F1358" s="9">
        <v>46051</v>
      </c>
    </row>
    <row r="1359" spans="1:6" ht="75" x14ac:dyDescent="0.25">
      <c r="A1359" s="8" t="s">
        <v>63</v>
      </c>
      <c r="B1359" s="8" t="s">
        <v>68</v>
      </c>
      <c r="C1359" s="8" t="str">
        <f>IFERROR(_xlfn.XLOOKUP(TRIM(B1359),Lookup!$B$2:$B$1000,Lookup!$C$2:$C$1000),"")</f>
        <v>Equity - Index (Midcap Momentum)</v>
      </c>
      <c r="D1359" s="8" t="str">
        <f>IFERROR(INDEX('nav master'!$C:$C, MATCH(B1359, 'nav master'!$B:$B, 0)), "")</f>
        <v>ULIF 075 09/05/24 MIF 110</v>
      </c>
      <c r="E1359" s="8">
        <v>9.4253999999999998</v>
      </c>
      <c r="F1359" s="9">
        <v>46052</v>
      </c>
    </row>
    <row r="1360" spans="1:6" ht="75" x14ac:dyDescent="0.25">
      <c r="A1360" s="8" t="s">
        <v>63</v>
      </c>
      <c r="B1360" s="8" t="s">
        <v>68</v>
      </c>
      <c r="C1360" s="8" t="str">
        <f>IFERROR(_xlfn.XLOOKUP(TRIM(B1360),Lookup!$B$2:$B$1000,Lookup!$C$2:$C$1000),"")</f>
        <v>Equity - Index (Midcap Momentum)</v>
      </c>
      <c r="D1360" s="8" t="str">
        <f>IFERROR(INDEX('nav master'!$C:$C, MATCH(B1360, 'nav master'!$B:$B, 0)), "")</f>
        <v>ULIF 075 09/05/24 MIF 110</v>
      </c>
      <c r="E1360" s="8">
        <v>9.1495999999999995</v>
      </c>
      <c r="F1360" s="9">
        <v>46054</v>
      </c>
    </row>
    <row r="1361" spans="1:6" ht="75" x14ac:dyDescent="0.25">
      <c r="A1361" s="8" t="s">
        <v>63</v>
      </c>
      <c r="B1361" s="8" t="s">
        <v>68</v>
      </c>
      <c r="C1361" s="8" t="str">
        <f>IFERROR(_xlfn.XLOOKUP(TRIM(B1361),Lookup!$B$2:$B$1000,Lookup!$C$2:$C$1000),"")</f>
        <v>Equity - Index (Midcap Momentum)</v>
      </c>
      <c r="D1361" s="8" t="str">
        <f>IFERROR(INDEX('nav master'!$C:$C, MATCH(B1361, 'nav master'!$B:$B, 0)), "")</f>
        <v>ULIF 075 09/05/24 MIF 110</v>
      </c>
      <c r="E1361" s="8">
        <v>9.2901000000000007</v>
      </c>
      <c r="F1361" s="9">
        <v>46055</v>
      </c>
    </row>
    <row r="1362" spans="1:6" ht="75" x14ac:dyDescent="0.25">
      <c r="A1362" s="8" t="s">
        <v>63</v>
      </c>
      <c r="B1362" s="8" t="s">
        <v>68</v>
      </c>
      <c r="C1362" s="8" t="str">
        <f>IFERROR(_xlfn.XLOOKUP(TRIM(B1362),Lookup!$B$2:$B$1000,Lookup!$C$2:$C$1000),"")</f>
        <v>Equity - Index (Midcap Momentum)</v>
      </c>
      <c r="D1362" s="8" t="str">
        <f>IFERROR(INDEX('nav master'!$C:$C, MATCH(B1362, 'nav master'!$B:$B, 0)), "")</f>
        <v>ULIF 075 09/05/24 MIF 110</v>
      </c>
      <c r="E1362" s="8">
        <v>9.5615000000000006</v>
      </c>
      <c r="F1362" s="9">
        <v>46056</v>
      </c>
    </row>
    <row r="1363" spans="1:6" ht="75" x14ac:dyDescent="0.25">
      <c r="A1363" s="8" t="s">
        <v>63</v>
      </c>
      <c r="B1363" s="8" t="s">
        <v>68</v>
      </c>
      <c r="C1363" s="8" t="str">
        <f>IFERROR(_xlfn.XLOOKUP(TRIM(B1363),Lookup!$B$2:$B$1000,Lookup!$C$2:$C$1000),"")</f>
        <v>Equity - Index (Midcap Momentum)</v>
      </c>
      <c r="D1363" s="8" t="str">
        <f>IFERROR(INDEX('nav master'!$C:$C, MATCH(B1363, 'nav master'!$B:$B, 0)), "")</f>
        <v>ULIF 075 09/05/24 MIF 110</v>
      </c>
      <c r="E1363" s="8">
        <v>9.6281999999999996</v>
      </c>
      <c r="F1363" s="9">
        <v>46057</v>
      </c>
    </row>
    <row r="1364" spans="1:6" ht="75" x14ac:dyDescent="0.25">
      <c r="A1364" s="8" t="s">
        <v>63</v>
      </c>
      <c r="B1364" s="8" t="s">
        <v>68</v>
      </c>
      <c r="C1364" s="8" t="str">
        <f>IFERROR(_xlfn.XLOOKUP(TRIM(B1364),Lookup!$B$2:$B$1000,Lookup!$C$2:$C$1000),"")</f>
        <v>Equity - Index (Midcap Momentum)</v>
      </c>
      <c r="D1364" s="8" t="str">
        <f>IFERROR(INDEX('nav master'!$C:$C, MATCH(B1364, 'nav master'!$B:$B, 0)), "")</f>
        <v>ULIF 075 09/05/24 MIF 110</v>
      </c>
      <c r="E1364" s="8">
        <v>9.6132000000000009</v>
      </c>
      <c r="F1364" s="9">
        <v>46058</v>
      </c>
    </row>
    <row r="1365" spans="1:6" ht="75" x14ac:dyDescent="0.25">
      <c r="A1365" s="8" t="s">
        <v>63</v>
      </c>
      <c r="B1365" s="8" t="s">
        <v>68</v>
      </c>
      <c r="C1365" s="8" t="str">
        <f>IFERROR(_xlfn.XLOOKUP(TRIM(B1365),Lookup!$B$2:$B$1000,Lookup!$C$2:$C$1000),"")</f>
        <v>Equity - Index (Midcap Momentum)</v>
      </c>
      <c r="D1365" s="8" t="str">
        <f>IFERROR(INDEX('nav master'!$C:$C, MATCH(B1365, 'nav master'!$B:$B, 0)), "")</f>
        <v>ULIF 075 09/05/24 MIF 110</v>
      </c>
      <c r="E1365" s="8">
        <v>9.6495999999999995</v>
      </c>
      <c r="F1365" s="9">
        <v>46059</v>
      </c>
    </row>
    <row r="1366" spans="1:6" ht="75" x14ac:dyDescent="0.25">
      <c r="A1366" s="8" t="s">
        <v>63</v>
      </c>
      <c r="B1366" s="8" t="s">
        <v>68</v>
      </c>
      <c r="C1366" s="8" t="str">
        <f>IFERROR(_xlfn.XLOOKUP(TRIM(B1366),Lookup!$B$2:$B$1000,Lookup!$C$2:$C$1000),"")</f>
        <v>Equity - Index (Midcap Momentum)</v>
      </c>
      <c r="D1366" s="8" t="str">
        <f>IFERROR(INDEX('nav master'!$C:$C, MATCH(B1366, 'nav master'!$B:$B, 0)), "")</f>
        <v>ULIF 075 09/05/24 MIF 110</v>
      </c>
      <c r="E1366" s="8">
        <v>9.8226999999999993</v>
      </c>
      <c r="F1366" s="9">
        <v>46062</v>
      </c>
    </row>
    <row r="1367" spans="1:6" ht="75" x14ac:dyDescent="0.25">
      <c r="A1367" s="8" t="s">
        <v>63</v>
      </c>
      <c r="B1367" s="8" t="s">
        <v>68</v>
      </c>
      <c r="C1367" s="8" t="str">
        <f>IFERROR(_xlfn.XLOOKUP(TRIM(B1367),Lookup!$B$2:$B$1000,Lookup!$C$2:$C$1000),"")</f>
        <v>Equity - Index (Midcap Momentum)</v>
      </c>
      <c r="D1367" s="8" t="str">
        <f>IFERROR(INDEX('nav master'!$C:$C, MATCH(B1367, 'nav master'!$B:$B, 0)), "")</f>
        <v>ULIF 075 09/05/24 MIF 110</v>
      </c>
      <c r="E1367" s="8">
        <v>9.8691999999999993</v>
      </c>
      <c r="F1367" s="9">
        <v>46063</v>
      </c>
    </row>
    <row r="1368" spans="1:6" ht="75" x14ac:dyDescent="0.25">
      <c r="A1368" s="8" t="s">
        <v>63</v>
      </c>
      <c r="B1368" s="8" t="s">
        <v>68</v>
      </c>
      <c r="C1368" s="8" t="str">
        <f>IFERROR(_xlfn.XLOOKUP(TRIM(B1368),Lookup!$B$2:$B$1000,Lookup!$C$2:$C$1000),"")</f>
        <v>Equity - Index (Midcap Momentum)</v>
      </c>
      <c r="D1368" s="8" t="str">
        <f>IFERROR(INDEX('nav master'!$C:$C, MATCH(B1368, 'nav master'!$B:$B, 0)), "")</f>
        <v>ULIF 075 09/05/24 MIF 110</v>
      </c>
      <c r="E1368" s="8">
        <v>9.8803999999999998</v>
      </c>
      <c r="F1368" s="9">
        <v>46064</v>
      </c>
    </row>
    <row r="1369" spans="1:6" ht="75" x14ac:dyDescent="0.25">
      <c r="A1369" s="8" t="s">
        <v>63</v>
      </c>
      <c r="B1369" s="8" t="s">
        <v>68</v>
      </c>
      <c r="C1369" s="8" t="str">
        <f>IFERROR(_xlfn.XLOOKUP(TRIM(B1369),Lookup!$B$2:$B$1000,Lookup!$C$2:$C$1000),"")</f>
        <v>Equity - Index (Midcap Momentum)</v>
      </c>
      <c r="D1369" s="8" t="str">
        <f>IFERROR(INDEX('nav master'!$C:$C, MATCH(B1369, 'nav master'!$B:$B, 0)), "")</f>
        <v>ULIF 075 09/05/24 MIF 110</v>
      </c>
      <c r="E1369" s="8">
        <v>9.8901000000000003</v>
      </c>
      <c r="F1369" s="9">
        <v>46065</v>
      </c>
    </row>
    <row r="1370" spans="1:6" ht="75" x14ac:dyDescent="0.25">
      <c r="A1370" s="8" t="s">
        <v>63</v>
      </c>
      <c r="B1370" s="8" t="s">
        <v>68</v>
      </c>
      <c r="C1370" s="8" t="str">
        <f>IFERROR(_xlfn.XLOOKUP(TRIM(B1370),Lookup!$B$2:$B$1000,Lookup!$C$2:$C$1000),"")</f>
        <v>Equity - Index (Midcap Momentum)</v>
      </c>
      <c r="D1370" s="8" t="str">
        <f>IFERROR(INDEX('nav master'!$C:$C, MATCH(B1370, 'nav master'!$B:$B, 0)), "")</f>
        <v>ULIF 075 09/05/24 MIF 110</v>
      </c>
      <c r="E1370" s="8">
        <v>9.6607000000000003</v>
      </c>
      <c r="F1370" s="9">
        <v>46066</v>
      </c>
    </row>
    <row r="1371" spans="1:6" ht="75" x14ac:dyDescent="0.25">
      <c r="A1371" s="8" t="s">
        <v>63</v>
      </c>
      <c r="B1371" s="8" t="s">
        <v>68</v>
      </c>
      <c r="C1371" s="8" t="str">
        <f>IFERROR(_xlfn.XLOOKUP(TRIM(B1371),Lookup!$B$2:$B$1000,Lookup!$C$2:$C$1000),"")</f>
        <v>Equity - Index (Midcap Momentum)</v>
      </c>
      <c r="D1371" s="8" t="str">
        <f>IFERROR(INDEX('nav master'!$C:$C, MATCH(B1371, 'nav master'!$B:$B, 0)), "")</f>
        <v>ULIF 075 09/05/24 MIF 110</v>
      </c>
      <c r="E1371" s="8">
        <v>9.7057000000000002</v>
      </c>
      <c r="F1371" s="9">
        <v>46069</v>
      </c>
    </row>
    <row r="1372" spans="1:6" ht="75" x14ac:dyDescent="0.25">
      <c r="A1372" s="8" t="s">
        <v>63</v>
      </c>
      <c r="B1372" s="8" t="s">
        <v>68</v>
      </c>
      <c r="C1372" s="8" t="str">
        <f>IFERROR(_xlfn.XLOOKUP(TRIM(B1372),Lookup!$B$2:$B$1000,Lookup!$C$2:$C$1000),"")</f>
        <v>Equity - Index (Midcap Momentum)</v>
      </c>
      <c r="D1372" s="8" t="str">
        <f>IFERROR(INDEX('nav master'!$C:$C, MATCH(B1372, 'nav master'!$B:$B, 0)), "")</f>
        <v>ULIF 075 09/05/24 MIF 110</v>
      </c>
      <c r="E1372" s="8">
        <v>9.7558000000000007</v>
      </c>
      <c r="F1372" s="9">
        <v>46070</v>
      </c>
    </row>
    <row r="1373" spans="1:6" ht="75" x14ac:dyDescent="0.25">
      <c r="A1373" s="8" t="s">
        <v>63</v>
      </c>
      <c r="B1373" s="8" t="s">
        <v>68</v>
      </c>
      <c r="C1373" s="8" t="str">
        <f>IFERROR(_xlfn.XLOOKUP(TRIM(B1373),Lookup!$B$2:$B$1000,Lookup!$C$2:$C$1000),"")</f>
        <v>Equity - Index (Midcap Momentum)</v>
      </c>
      <c r="D1373" s="8" t="str">
        <f>IFERROR(INDEX('nav master'!$C:$C, MATCH(B1373, 'nav master'!$B:$B, 0)), "")</f>
        <v>ULIF 075 09/05/24 MIF 110</v>
      </c>
      <c r="E1373" s="8">
        <v>9.8303999999999991</v>
      </c>
      <c r="F1373" s="9">
        <v>46071</v>
      </c>
    </row>
    <row r="1374" spans="1:6" ht="75" x14ac:dyDescent="0.25">
      <c r="A1374" s="8" t="s">
        <v>63</v>
      </c>
      <c r="B1374" s="8" t="s">
        <v>68</v>
      </c>
      <c r="C1374" s="8" t="str">
        <f>IFERROR(_xlfn.XLOOKUP(TRIM(B1374),Lookup!$B$2:$B$1000,Lookup!$C$2:$C$1000),"")</f>
        <v>Equity - Index (Midcap Momentum)</v>
      </c>
      <c r="D1374" s="8" t="str">
        <f>IFERROR(INDEX('nav master'!$C:$C, MATCH(B1374, 'nav master'!$B:$B, 0)), "")</f>
        <v>ULIF 075 09/05/24 MIF 110</v>
      </c>
      <c r="E1374" s="8">
        <v>9.6521000000000008</v>
      </c>
      <c r="F1374" s="9">
        <v>46072</v>
      </c>
    </row>
    <row r="1375" spans="1:6" ht="75" x14ac:dyDescent="0.25">
      <c r="A1375" s="8" t="s">
        <v>63</v>
      </c>
      <c r="B1375" s="8" t="s">
        <v>68</v>
      </c>
      <c r="C1375" s="8" t="str">
        <f>IFERROR(_xlfn.XLOOKUP(TRIM(B1375),Lookup!$B$2:$B$1000,Lookup!$C$2:$C$1000),"")</f>
        <v>Equity - Index (Midcap Momentum)</v>
      </c>
      <c r="D1375" s="8" t="str">
        <f>IFERROR(INDEX('nav master'!$C:$C, MATCH(B1375, 'nav master'!$B:$B, 0)), "")</f>
        <v>ULIF 075 09/05/24 MIF 110</v>
      </c>
      <c r="E1375" s="8">
        <v>9.7086000000000006</v>
      </c>
      <c r="F1375" s="9">
        <v>46073</v>
      </c>
    </row>
    <row r="1376" spans="1:6" ht="75" x14ac:dyDescent="0.25">
      <c r="A1376" s="8" t="s">
        <v>63</v>
      </c>
      <c r="B1376" s="8" t="s">
        <v>68</v>
      </c>
      <c r="C1376" s="8" t="str">
        <f>IFERROR(_xlfn.XLOOKUP(TRIM(B1376),Lookup!$B$2:$B$1000,Lookup!$C$2:$C$1000),"")</f>
        <v>Equity - Index (Midcap Momentum)</v>
      </c>
      <c r="D1376" s="8" t="str">
        <f>IFERROR(INDEX('nav master'!$C:$C, MATCH(B1376, 'nav master'!$B:$B, 0)), "")</f>
        <v>ULIF 075 09/05/24 MIF 110</v>
      </c>
      <c r="E1376" s="8">
        <v>9.7393000000000001</v>
      </c>
      <c r="F1376" s="9">
        <v>46076</v>
      </c>
    </row>
    <row r="1377" spans="1:6" ht="75" x14ac:dyDescent="0.25">
      <c r="A1377" s="8" t="s">
        <v>63</v>
      </c>
      <c r="B1377" s="8" t="s">
        <v>68</v>
      </c>
      <c r="C1377" s="8" t="str">
        <f>IFERROR(_xlfn.XLOOKUP(TRIM(B1377),Lookup!$B$2:$B$1000,Lookup!$C$2:$C$1000),"")</f>
        <v>Equity - Index (Midcap Momentum)</v>
      </c>
      <c r="D1377" s="8" t="str">
        <f>IFERROR(INDEX('nav master'!$C:$C, MATCH(B1377, 'nav master'!$B:$B, 0)), "")</f>
        <v>ULIF 075 09/05/24 MIF 110</v>
      </c>
      <c r="E1377" s="8">
        <v>9.6983999999999995</v>
      </c>
      <c r="F1377" s="9">
        <v>46077</v>
      </c>
    </row>
    <row r="1378" spans="1:6" ht="75" x14ac:dyDescent="0.25">
      <c r="A1378" s="8" t="s">
        <v>63</v>
      </c>
      <c r="B1378" s="8" t="s">
        <v>68</v>
      </c>
      <c r="C1378" s="8" t="str">
        <f>IFERROR(_xlfn.XLOOKUP(TRIM(B1378),Lookup!$B$2:$B$1000,Lookup!$C$2:$C$1000),"")</f>
        <v>Equity - Index (Midcap Momentum)</v>
      </c>
      <c r="D1378" s="8" t="str">
        <f>IFERROR(INDEX('nav master'!$C:$C, MATCH(B1378, 'nav master'!$B:$B, 0)), "")</f>
        <v>ULIF 075 09/05/24 MIF 110</v>
      </c>
      <c r="E1378" s="8">
        <v>9.7885000000000009</v>
      </c>
      <c r="F1378" s="9">
        <v>46078</v>
      </c>
    </row>
    <row r="1379" spans="1:6" ht="75" x14ac:dyDescent="0.25">
      <c r="A1379" s="8" t="s">
        <v>63</v>
      </c>
      <c r="B1379" s="8" t="s">
        <v>68</v>
      </c>
      <c r="C1379" s="8" t="str">
        <f>IFERROR(_xlfn.XLOOKUP(TRIM(B1379),Lookup!$B$2:$B$1000,Lookup!$C$2:$C$1000),"")</f>
        <v>Equity - Index (Midcap Momentum)</v>
      </c>
      <c r="D1379" s="8" t="str">
        <f>IFERROR(INDEX('nav master'!$C:$C, MATCH(B1379, 'nav master'!$B:$B, 0)), "")</f>
        <v>ULIF 075 09/05/24 MIF 110</v>
      </c>
      <c r="E1379" s="8">
        <v>9.8336000000000006</v>
      </c>
      <c r="F1379" s="9">
        <v>46079</v>
      </c>
    </row>
    <row r="1380" spans="1:6" ht="75" x14ac:dyDescent="0.25">
      <c r="A1380" s="8" t="s">
        <v>63</v>
      </c>
      <c r="B1380" s="8" t="s">
        <v>68</v>
      </c>
      <c r="C1380" s="8" t="str">
        <f>IFERROR(_xlfn.XLOOKUP(TRIM(B1380),Lookup!$B$2:$B$1000,Lookup!$C$2:$C$1000),"")</f>
        <v>Equity - Index (Midcap Momentum)</v>
      </c>
      <c r="D1380" s="8" t="str">
        <f>IFERROR(INDEX('nav master'!$C:$C, MATCH(B1380, 'nav master'!$B:$B, 0)), "")</f>
        <v>ULIF 075 09/05/24 MIF 110</v>
      </c>
      <c r="E1380" s="8">
        <v>9.6771999999999991</v>
      </c>
      <c r="F1380" s="9">
        <v>46080</v>
      </c>
    </row>
    <row r="1381" spans="1:6" ht="75" x14ac:dyDescent="0.25">
      <c r="A1381" s="8" t="s">
        <v>63</v>
      </c>
      <c r="B1381" s="8" t="s">
        <v>68</v>
      </c>
      <c r="C1381" s="8" t="str">
        <f>IFERROR(_xlfn.XLOOKUP(TRIM(B1381),Lookup!$B$2:$B$1000,Lookup!$C$2:$C$1000),"")</f>
        <v>Equity - Index (Midcap Momentum)</v>
      </c>
      <c r="D1381" s="8" t="str">
        <f>IFERROR(INDEX('nav master'!$C:$C, MATCH(B1381, 'nav master'!$B:$B, 0)), "")</f>
        <v>ULIF 075 09/05/24 MIF 110</v>
      </c>
      <c r="E1381" s="8">
        <v>9.5343</v>
      </c>
      <c r="F1381" s="9">
        <v>46083</v>
      </c>
    </row>
    <row r="1382" spans="1:6" ht="75" x14ac:dyDescent="0.25">
      <c r="A1382" s="8" t="s">
        <v>63</v>
      </c>
      <c r="B1382" s="8" t="s">
        <v>68</v>
      </c>
      <c r="C1382" s="8" t="str">
        <f>IFERROR(_xlfn.XLOOKUP(TRIM(B1382),Lookup!$B$2:$B$1000,Lookup!$C$2:$C$1000),"")</f>
        <v>Equity - Index (Midcap Momentum)</v>
      </c>
      <c r="D1382" s="8" t="str">
        <f>IFERROR(INDEX('nav master'!$C:$C, MATCH(B1382, 'nav master'!$B:$B, 0)), "")</f>
        <v>ULIF 075 09/05/24 MIF 110</v>
      </c>
      <c r="E1382" s="8">
        <v>9.3085000000000004</v>
      </c>
      <c r="F1382" s="9">
        <v>46085</v>
      </c>
    </row>
    <row r="1383" spans="1:6" ht="75" x14ac:dyDescent="0.25">
      <c r="A1383" s="8" t="s">
        <v>63</v>
      </c>
      <c r="B1383" s="8" t="s">
        <v>68</v>
      </c>
      <c r="C1383" s="8" t="str">
        <f>IFERROR(_xlfn.XLOOKUP(TRIM(B1383),Lookup!$B$2:$B$1000,Lookup!$C$2:$C$1000),"")</f>
        <v>Equity - Index (Midcap Momentum)</v>
      </c>
      <c r="D1383" s="8" t="str">
        <f>IFERROR(INDEX('nav master'!$C:$C, MATCH(B1383, 'nav master'!$B:$B, 0)), "")</f>
        <v>ULIF 075 09/05/24 MIF 110</v>
      </c>
      <c r="E1383" s="8">
        <v>9.4651999999999994</v>
      </c>
      <c r="F1383" s="9">
        <v>46086</v>
      </c>
    </row>
    <row r="1384" spans="1:6" ht="75" x14ac:dyDescent="0.25">
      <c r="A1384" s="8" t="s">
        <v>63</v>
      </c>
      <c r="B1384" s="8" t="s">
        <v>68</v>
      </c>
      <c r="C1384" s="8" t="str">
        <f>IFERROR(_xlfn.XLOOKUP(TRIM(B1384),Lookup!$B$2:$B$1000,Lookup!$C$2:$C$1000),"")</f>
        <v>Equity - Index (Midcap Momentum)</v>
      </c>
      <c r="D1384" s="8" t="str">
        <f>IFERROR(INDEX('nav master'!$C:$C, MATCH(B1384, 'nav master'!$B:$B, 0)), "")</f>
        <v>ULIF 075 09/05/24 MIF 110</v>
      </c>
      <c r="E1384" s="8">
        <v>9.3663000000000007</v>
      </c>
      <c r="F1384" s="9">
        <v>46087</v>
      </c>
    </row>
    <row r="1385" spans="1:6" ht="75" x14ac:dyDescent="0.25">
      <c r="A1385" s="8" t="s">
        <v>63</v>
      </c>
      <c r="B1385" s="8" t="s">
        <v>68</v>
      </c>
      <c r="C1385" s="8" t="str">
        <f>IFERROR(_xlfn.XLOOKUP(TRIM(B1385),Lookup!$B$2:$B$1000,Lookup!$C$2:$C$1000),"")</f>
        <v>Equity - Index (Midcap Momentum)</v>
      </c>
      <c r="D1385" s="8" t="str">
        <f>IFERROR(INDEX('nav master'!$C:$C, MATCH(B1385, 'nav master'!$B:$B, 0)), "")</f>
        <v>ULIF 075 09/05/24 MIF 110</v>
      </c>
      <c r="E1385" s="8">
        <v>9.1859000000000002</v>
      </c>
      <c r="F1385" s="9">
        <v>46090</v>
      </c>
    </row>
    <row r="1386" spans="1:6" ht="75" x14ac:dyDescent="0.25">
      <c r="A1386" s="8" t="s">
        <v>63</v>
      </c>
      <c r="B1386" s="8" t="s">
        <v>68</v>
      </c>
      <c r="C1386" s="8" t="str">
        <f>IFERROR(_xlfn.XLOOKUP(TRIM(B1386),Lookup!$B$2:$B$1000,Lookup!$C$2:$C$1000),"")</f>
        <v>Equity - Index (Midcap Momentum)</v>
      </c>
      <c r="D1386" s="8" t="str">
        <f>IFERROR(INDEX('nav master'!$C:$C, MATCH(B1386, 'nav master'!$B:$B, 0)), "")</f>
        <v>ULIF 075 09/05/24 MIF 110</v>
      </c>
      <c r="E1386" s="8">
        <v>9.3587000000000007</v>
      </c>
      <c r="F1386" s="9">
        <v>46091</v>
      </c>
    </row>
    <row r="1387" spans="1:6" ht="75" x14ac:dyDescent="0.25">
      <c r="A1387" s="8" t="s">
        <v>63</v>
      </c>
      <c r="B1387" s="8" t="s">
        <v>68</v>
      </c>
      <c r="C1387" s="8" t="str">
        <f>IFERROR(_xlfn.XLOOKUP(TRIM(B1387),Lookup!$B$2:$B$1000,Lookup!$C$2:$C$1000),"")</f>
        <v>Equity - Index (Midcap Momentum)</v>
      </c>
      <c r="D1387" s="8" t="str">
        <f>IFERROR(INDEX('nav master'!$C:$C, MATCH(B1387, 'nav master'!$B:$B, 0)), "")</f>
        <v>ULIF 075 09/05/24 MIF 110</v>
      </c>
      <c r="E1387" s="8">
        <v>9.1973000000000003</v>
      </c>
      <c r="F1387" s="9">
        <v>46092</v>
      </c>
    </row>
    <row r="1388" spans="1:6" ht="75" x14ac:dyDescent="0.25">
      <c r="A1388" s="8" t="s">
        <v>63</v>
      </c>
      <c r="B1388" s="8" t="s">
        <v>68</v>
      </c>
      <c r="C1388" s="8" t="str">
        <f>IFERROR(_xlfn.XLOOKUP(TRIM(B1388),Lookup!$B$2:$B$1000,Lookup!$C$2:$C$1000),"")</f>
        <v>Equity - Index (Midcap Momentum)</v>
      </c>
      <c r="D1388" s="8" t="str">
        <f>IFERROR(INDEX('nav master'!$C:$C, MATCH(B1388, 'nav master'!$B:$B, 0)), "")</f>
        <v>ULIF 075 09/05/24 MIF 110</v>
      </c>
      <c r="E1388" s="8">
        <v>9.1569000000000003</v>
      </c>
      <c r="F1388" s="9">
        <v>46093</v>
      </c>
    </row>
    <row r="1389" spans="1:6" ht="75" x14ac:dyDescent="0.25">
      <c r="A1389" s="8" t="s">
        <v>63</v>
      </c>
      <c r="B1389" s="8" t="s">
        <v>68</v>
      </c>
      <c r="C1389" s="8" t="str">
        <f>IFERROR(_xlfn.XLOOKUP(TRIM(B1389),Lookup!$B$2:$B$1000,Lookup!$C$2:$C$1000),"")</f>
        <v>Equity - Index (Midcap Momentum)</v>
      </c>
      <c r="D1389" s="8" t="str">
        <f>IFERROR(INDEX('nav master'!$C:$C, MATCH(B1389, 'nav master'!$B:$B, 0)), "")</f>
        <v>ULIF 075 09/05/24 MIF 110</v>
      </c>
      <c r="E1389" s="8">
        <v>8.9009</v>
      </c>
      <c r="F1389" s="9">
        <v>46094</v>
      </c>
    </row>
    <row r="1390" spans="1:6" ht="75" x14ac:dyDescent="0.25">
      <c r="A1390" s="8" t="s">
        <v>63</v>
      </c>
      <c r="B1390" s="8" t="s">
        <v>68</v>
      </c>
      <c r="C1390" s="8" t="str">
        <f>IFERROR(_xlfn.XLOOKUP(TRIM(B1390),Lookup!$B$2:$B$1000,Lookup!$C$2:$C$1000),"")</f>
        <v>Equity - Index (Midcap Momentum)</v>
      </c>
      <c r="D1390" s="8" t="str">
        <f>IFERROR(INDEX('nav master'!$C:$C, MATCH(B1390, 'nav master'!$B:$B, 0)), "")</f>
        <v>ULIF 075 09/05/24 MIF 110</v>
      </c>
      <c r="E1390" s="8">
        <v>8.9059000000000008</v>
      </c>
      <c r="F1390" s="9">
        <v>46097</v>
      </c>
    </row>
    <row r="1391" spans="1:6" ht="75" x14ac:dyDescent="0.25">
      <c r="A1391" s="8" t="s">
        <v>63</v>
      </c>
      <c r="B1391" s="8" t="s">
        <v>68</v>
      </c>
      <c r="C1391" s="8" t="str">
        <f>IFERROR(_xlfn.XLOOKUP(TRIM(B1391),Lookup!$B$2:$B$1000,Lookup!$C$2:$C$1000),"")</f>
        <v>Equity - Index (Midcap Momentum)</v>
      </c>
      <c r="D1391" s="8" t="str">
        <f>IFERROR(INDEX('nav master'!$C:$C, MATCH(B1391, 'nav master'!$B:$B, 0)), "")</f>
        <v>ULIF 075 09/05/24 MIF 110</v>
      </c>
      <c r="E1391" s="8">
        <v>9.0099</v>
      </c>
      <c r="F1391" s="9">
        <v>46098</v>
      </c>
    </row>
    <row r="1392" spans="1:6" ht="75" x14ac:dyDescent="0.25">
      <c r="A1392" s="8" t="s">
        <v>63</v>
      </c>
      <c r="B1392" s="8" t="s">
        <v>68</v>
      </c>
      <c r="C1392" s="8" t="str">
        <f>IFERROR(_xlfn.XLOOKUP(TRIM(B1392),Lookup!$B$2:$B$1000,Lookup!$C$2:$C$1000),"")</f>
        <v>Equity - Index (Midcap Momentum)</v>
      </c>
      <c r="D1392" s="8" t="str">
        <f>IFERROR(INDEX('nav master'!$C:$C, MATCH(B1392, 'nav master'!$B:$B, 0)), "")</f>
        <v>ULIF 075 09/05/24 MIF 110</v>
      </c>
      <c r="E1392" s="8">
        <v>9.1606000000000005</v>
      </c>
      <c r="F1392" s="9">
        <v>46099</v>
      </c>
    </row>
    <row r="1393" spans="1:6" ht="75" x14ac:dyDescent="0.25">
      <c r="A1393" s="8" t="s">
        <v>63</v>
      </c>
      <c r="B1393" s="8" t="s">
        <v>68</v>
      </c>
      <c r="C1393" s="8" t="str">
        <f>IFERROR(_xlfn.XLOOKUP(TRIM(B1393),Lookup!$B$2:$B$1000,Lookup!$C$2:$C$1000),"")</f>
        <v>Equity - Index (Midcap Momentum)</v>
      </c>
      <c r="D1393" s="8" t="str">
        <f>IFERROR(INDEX('nav master'!$C:$C, MATCH(B1393, 'nav master'!$B:$B, 0)), "")</f>
        <v>ULIF 075 09/05/24 MIF 110</v>
      </c>
      <c r="E1393" s="8">
        <v>8.8520000000000003</v>
      </c>
      <c r="F1393" s="9">
        <v>46100</v>
      </c>
    </row>
    <row r="1394" spans="1:6" ht="75" x14ac:dyDescent="0.25">
      <c r="A1394" s="8" t="s">
        <v>63</v>
      </c>
      <c r="B1394" s="8" t="s">
        <v>68</v>
      </c>
      <c r="C1394" s="8" t="str">
        <f>IFERROR(_xlfn.XLOOKUP(TRIM(B1394),Lookup!$B$2:$B$1000,Lookup!$C$2:$C$1000),"")</f>
        <v>Equity - Index (Midcap Momentum)</v>
      </c>
      <c r="D1394" s="8" t="str">
        <f>IFERROR(INDEX('nav master'!$C:$C, MATCH(B1394, 'nav master'!$B:$B, 0)), "")</f>
        <v>ULIF 075 09/05/24 MIF 110</v>
      </c>
      <c r="E1394" s="8">
        <v>8.8991000000000007</v>
      </c>
      <c r="F1394" s="9">
        <v>46101</v>
      </c>
    </row>
    <row r="1395" spans="1:6" ht="75" x14ac:dyDescent="0.25">
      <c r="A1395" s="8" t="s">
        <v>63</v>
      </c>
      <c r="B1395" s="8" t="s">
        <v>68</v>
      </c>
      <c r="C1395" s="8" t="str">
        <f>IFERROR(_xlfn.XLOOKUP(TRIM(B1395),Lookup!$B$2:$B$1000,Lookup!$C$2:$C$1000),"")</f>
        <v>Equity - Index (Midcap Momentum)</v>
      </c>
      <c r="D1395" s="8" t="str">
        <f>IFERROR(INDEX('nav master'!$C:$C, MATCH(B1395, 'nav master'!$B:$B, 0)), "")</f>
        <v>ULIF 075 09/05/24 MIF 110</v>
      </c>
      <c r="E1395" s="8">
        <v>8.5507000000000009</v>
      </c>
      <c r="F1395" s="9">
        <v>46104</v>
      </c>
    </row>
    <row r="1396" spans="1:6" ht="75" x14ac:dyDescent="0.25">
      <c r="A1396" s="8" t="s">
        <v>63</v>
      </c>
      <c r="B1396" s="8" t="s">
        <v>68</v>
      </c>
      <c r="C1396" s="8" t="str">
        <f>IFERROR(_xlfn.XLOOKUP(TRIM(B1396),Lookup!$B$2:$B$1000,Lookup!$C$2:$C$1000),"")</f>
        <v>Equity - Index (Midcap Momentum)</v>
      </c>
      <c r="D1396" s="8" t="str">
        <f>IFERROR(INDEX('nav master'!$C:$C, MATCH(B1396, 'nav master'!$B:$B, 0)), "")</f>
        <v>ULIF 075 09/05/24 MIF 110</v>
      </c>
      <c r="E1396" s="8">
        <v>8.7822999999999993</v>
      </c>
      <c r="F1396" s="9">
        <v>46105</v>
      </c>
    </row>
    <row r="1397" spans="1:6" ht="75" x14ac:dyDescent="0.25">
      <c r="A1397" s="8" t="s">
        <v>63</v>
      </c>
      <c r="B1397" s="8" t="s">
        <v>68</v>
      </c>
      <c r="C1397" s="8" t="str">
        <f>IFERROR(_xlfn.XLOOKUP(TRIM(B1397),Lookup!$B$2:$B$1000,Lookup!$C$2:$C$1000),"")</f>
        <v>Equity - Index (Midcap Momentum)</v>
      </c>
      <c r="D1397" s="8" t="str">
        <f>IFERROR(INDEX('nav master'!$C:$C, MATCH(B1397, 'nav master'!$B:$B, 0)), "")</f>
        <v>ULIF 075 09/05/24 MIF 110</v>
      </c>
      <c r="E1397" s="8">
        <v>8.9972999999999992</v>
      </c>
      <c r="F1397" s="9">
        <v>46106</v>
      </c>
    </row>
    <row r="1398" spans="1:6" ht="75" x14ac:dyDescent="0.25">
      <c r="A1398" s="8" t="s">
        <v>63</v>
      </c>
      <c r="B1398" s="8" t="s">
        <v>68</v>
      </c>
      <c r="C1398" s="8" t="str">
        <f>IFERROR(_xlfn.XLOOKUP(TRIM(B1398),Lookup!$B$2:$B$1000,Lookup!$C$2:$C$1000),"")</f>
        <v>Equity - Index (Midcap Momentum)</v>
      </c>
      <c r="D1398" s="8" t="str">
        <f>IFERROR(INDEX('nav master'!$C:$C, MATCH(B1398, 'nav master'!$B:$B, 0)), "")</f>
        <v>ULIF 075 09/05/24 MIF 110</v>
      </c>
      <c r="E1398" s="8">
        <v>8.7706999999999997</v>
      </c>
      <c r="F1398" s="9">
        <v>46108</v>
      </c>
    </row>
    <row r="1399" spans="1:6" ht="75" x14ac:dyDescent="0.25">
      <c r="A1399" s="8" t="s">
        <v>63</v>
      </c>
      <c r="B1399" s="8" t="s">
        <v>68</v>
      </c>
      <c r="C1399" s="8" t="str">
        <f>IFERROR(_xlfn.XLOOKUP(TRIM(B1399),Lookup!$B$2:$B$1000,Lookup!$C$2:$C$1000),"")</f>
        <v>Equity - Index (Midcap Momentum)</v>
      </c>
      <c r="D1399" s="8" t="str">
        <f>IFERROR(INDEX('nav master'!$C:$C, MATCH(B1399, 'nav master'!$B:$B, 0)), "")</f>
        <v>ULIF 075 09/05/24 MIF 110</v>
      </c>
      <c r="E1399" s="8">
        <v>8.5164000000000009</v>
      </c>
      <c r="F1399" s="9">
        <v>46111</v>
      </c>
    </row>
    <row r="1400" spans="1:6" ht="75" x14ac:dyDescent="0.25">
      <c r="A1400" s="8" t="s">
        <v>63</v>
      </c>
      <c r="B1400" s="8" t="s">
        <v>68</v>
      </c>
      <c r="C1400" s="8" t="str">
        <f>IFERROR(_xlfn.XLOOKUP(TRIM(B1400),Lookup!$B$2:$B$1000,Lookup!$C$2:$C$1000),"")</f>
        <v>Equity - Index (Midcap Momentum)</v>
      </c>
      <c r="D1400" s="8" t="str">
        <f>IFERROR(INDEX('nav master'!$C:$C, MATCH(B1400, 'nav master'!$B:$B, 0)), "")</f>
        <v>ULIF 075 09/05/24 MIF 110</v>
      </c>
      <c r="E1400" s="8">
        <v>8.5161999999999995</v>
      </c>
      <c r="F1400" s="9">
        <v>46112</v>
      </c>
    </row>
    <row r="1401" spans="1:6" ht="75" x14ac:dyDescent="0.25">
      <c r="A1401" s="8" t="s">
        <v>63</v>
      </c>
      <c r="B1401" s="8" t="s">
        <v>68</v>
      </c>
      <c r="C1401" s="8" t="str">
        <f>IFERROR(_xlfn.XLOOKUP(TRIM(B1401),Lookup!$B$2:$B$1000,Lookup!$C$2:$C$1000),"")</f>
        <v>Equity - Index (Midcap Momentum)</v>
      </c>
      <c r="D1401" s="8" t="str">
        <f>IFERROR(INDEX('nav master'!$C:$C, MATCH(B1401, 'nav master'!$B:$B, 0)), "")</f>
        <v>ULIF 075 09/05/24 MIF 110</v>
      </c>
      <c r="E1401" s="8">
        <v>8.7193000000000005</v>
      </c>
      <c r="F1401" s="9">
        <v>46113</v>
      </c>
    </row>
    <row r="1402" spans="1:6" ht="75" x14ac:dyDescent="0.25">
      <c r="A1402" s="8" t="s">
        <v>63</v>
      </c>
      <c r="B1402" s="8" t="s">
        <v>68</v>
      </c>
      <c r="C1402" s="8" t="str">
        <f>IFERROR(_xlfn.XLOOKUP(TRIM(B1402),Lookup!$B$2:$B$1000,Lookup!$C$2:$C$1000),"")</f>
        <v>Equity - Index (Midcap Momentum)</v>
      </c>
      <c r="D1402" s="8" t="str">
        <f>IFERROR(INDEX('nav master'!$C:$C, MATCH(B1402, 'nav master'!$B:$B, 0)), "")</f>
        <v>ULIF 075 09/05/24 MIF 110</v>
      </c>
      <c r="E1402" s="8">
        <v>8.6768999999999998</v>
      </c>
      <c r="F1402" s="9">
        <v>46114</v>
      </c>
    </row>
    <row r="1403" spans="1:6" ht="75" x14ac:dyDescent="0.25">
      <c r="A1403" s="8" t="s">
        <v>63</v>
      </c>
      <c r="B1403" s="8" t="s">
        <v>68</v>
      </c>
      <c r="C1403" s="8" t="str">
        <f>IFERROR(_xlfn.XLOOKUP(TRIM(B1403),Lookup!$B$2:$B$1000,Lookup!$C$2:$C$1000),"")</f>
        <v>Equity - Index (Midcap Momentum)</v>
      </c>
      <c r="D1403" s="8" t="str">
        <f>IFERROR(INDEX('nav master'!$C:$C, MATCH(B1403, 'nav master'!$B:$B, 0)), "")</f>
        <v>ULIF 075 09/05/24 MIF 110</v>
      </c>
      <c r="E1403" s="8">
        <v>8.8415999999999997</v>
      </c>
      <c r="F1403" s="9">
        <v>46118</v>
      </c>
    </row>
    <row r="1404" spans="1:6" ht="75" x14ac:dyDescent="0.25">
      <c r="A1404" s="8" t="s">
        <v>63</v>
      </c>
      <c r="B1404" s="8" t="s">
        <v>68</v>
      </c>
      <c r="C1404" s="8" t="str">
        <f>IFERROR(_xlfn.XLOOKUP(TRIM(B1404),Lookup!$B$2:$B$1000,Lookup!$C$2:$C$1000),"")</f>
        <v>Equity - Index (Midcap Momentum)</v>
      </c>
      <c r="D1404" s="8" t="str">
        <f>IFERROR(INDEX('nav master'!$C:$C, MATCH(B1404, 'nav master'!$B:$B, 0)), "")</f>
        <v>ULIF 075 09/05/24 MIF 110</v>
      </c>
      <c r="E1404" s="8">
        <v>8.8193999999999999</v>
      </c>
      <c r="F1404" s="9">
        <v>46119</v>
      </c>
    </row>
    <row r="1405" spans="1:6" ht="75" x14ac:dyDescent="0.25">
      <c r="A1405" s="8" t="s">
        <v>63</v>
      </c>
      <c r="B1405" s="8" t="s">
        <v>68</v>
      </c>
      <c r="C1405" s="8" t="str">
        <f>IFERROR(_xlfn.XLOOKUP(TRIM(B1405),Lookup!$B$2:$B$1000,Lookup!$C$2:$C$1000),"")</f>
        <v>Equity - Index (Midcap Momentum)</v>
      </c>
      <c r="D1405" s="8" t="str">
        <f>IFERROR(INDEX('nav master'!$C:$C, MATCH(B1405, 'nav master'!$B:$B, 0)), "")</f>
        <v>ULIF 075 09/05/24 MIF 110</v>
      </c>
      <c r="E1405" s="8">
        <v>9.2723999999999993</v>
      </c>
      <c r="F1405" s="9">
        <v>46120</v>
      </c>
    </row>
    <row r="1406" spans="1:6" ht="75" x14ac:dyDescent="0.25">
      <c r="A1406" s="8" t="s">
        <v>63</v>
      </c>
      <c r="B1406" s="8" t="s">
        <v>68</v>
      </c>
      <c r="C1406" s="8" t="str">
        <f>IFERROR(_xlfn.XLOOKUP(TRIM(B1406),Lookup!$B$2:$B$1000,Lookup!$C$2:$C$1000),"")</f>
        <v>Equity - Index (Midcap Momentum)</v>
      </c>
      <c r="D1406" s="8" t="str">
        <f>IFERROR(INDEX('nav master'!$C:$C, MATCH(B1406, 'nav master'!$B:$B, 0)), "")</f>
        <v>ULIF 075 09/05/24 MIF 110</v>
      </c>
      <c r="E1406" s="8">
        <v>9.2842000000000002</v>
      </c>
      <c r="F1406" s="9">
        <v>46121</v>
      </c>
    </row>
    <row r="1407" spans="1:6" ht="75" x14ac:dyDescent="0.25">
      <c r="A1407" s="8" t="s">
        <v>63</v>
      </c>
      <c r="B1407" s="8" t="s">
        <v>68</v>
      </c>
      <c r="C1407" s="8" t="str">
        <f>IFERROR(_xlfn.XLOOKUP(TRIM(B1407),Lookup!$B$2:$B$1000,Lookup!$C$2:$C$1000),"")</f>
        <v>Equity - Index (Midcap Momentum)</v>
      </c>
      <c r="D1407" s="8" t="str">
        <f>IFERROR(INDEX('nav master'!$C:$C, MATCH(B1407, 'nav master'!$B:$B, 0)), "")</f>
        <v>ULIF 075 09/05/24 MIF 110</v>
      </c>
      <c r="E1407" s="8">
        <v>9.4750999999999994</v>
      </c>
      <c r="F1407" s="9">
        <v>46122</v>
      </c>
    </row>
    <row r="1408" spans="1:6" ht="75" x14ac:dyDescent="0.25">
      <c r="A1408" s="8" t="s">
        <v>63</v>
      </c>
      <c r="B1408" s="8" t="s">
        <v>68</v>
      </c>
      <c r="C1408" s="8" t="str">
        <f>IFERROR(_xlfn.XLOOKUP(TRIM(B1408),Lookup!$B$2:$B$1000,Lookup!$C$2:$C$1000),"")</f>
        <v>Equity - Index (Midcap Momentum)</v>
      </c>
      <c r="D1408" s="8" t="str">
        <f>IFERROR(INDEX('nav master'!$C:$C, MATCH(B1408, 'nav master'!$B:$B, 0)), "")</f>
        <v>ULIF 075 09/05/24 MIF 110</v>
      </c>
      <c r="E1408" s="8">
        <v>9.3710000000000004</v>
      </c>
      <c r="F1408" s="9">
        <v>46125</v>
      </c>
    </row>
    <row r="1409" spans="1:6" ht="75" x14ac:dyDescent="0.25">
      <c r="A1409" s="8" t="s">
        <v>63</v>
      </c>
      <c r="B1409" s="8" t="s">
        <v>68</v>
      </c>
      <c r="C1409" s="8" t="str">
        <f>IFERROR(_xlfn.XLOOKUP(TRIM(B1409),Lookup!$B$2:$B$1000,Lookup!$C$2:$C$1000),"")</f>
        <v>Equity - Index (Midcap Momentum)</v>
      </c>
      <c r="D1409" s="8" t="str">
        <f>IFERROR(INDEX('nav master'!$C:$C, MATCH(B1409, 'nav master'!$B:$B, 0)), "")</f>
        <v>ULIF 075 09/05/24 MIF 110</v>
      </c>
      <c r="E1409" s="8">
        <v>9.5360999999999994</v>
      </c>
      <c r="F1409" s="9">
        <v>46127</v>
      </c>
    </row>
    <row r="1410" spans="1:6" ht="75" x14ac:dyDescent="0.25">
      <c r="A1410" s="8" t="s">
        <v>63</v>
      </c>
      <c r="B1410" s="8" t="s">
        <v>68</v>
      </c>
      <c r="C1410" s="8" t="str">
        <f>IFERROR(_xlfn.XLOOKUP(TRIM(B1410),Lookup!$B$2:$B$1000,Lookup!$C$2:$C$1000),"")</f>
        <v>Equity - Index (Midcap Momentum)</v>
      </c>
      <c r="D1410" s="8" t="str">
        <f>IFERROR(INDEX('nav master'!$C:$C, MATCH(B1410, 'nav master'!$B:$B, 0)), "")</f>
        <v>ULIF 075 09/05/24 MIF 110</v>
      </c>
      <c r="E1410" s="8">
        <v>9.5276999999999994</v>
      </c>
      <c r="F1410" s="9">
        <v>46128</v>
      </c>
    </row>
    <row r="1411" spans="1:6" ht="75" x14ac:dyDescent="0.25">
      <c r="A1411" s="8" t="s">
        <v>63</v>
      </c>
      <c r="B1411" s="8" t="s">
        <v>68</v>
      </c>
      <c r="C1411" s="8" t="str">
        <f>IFERROR(_xlfn.XLOOKUP(TRIM(B1411),Lookup!$B$2:$B$1000,Lookup!$C$2:$C$1000),"")</f>
        <v>Equity - Index (Midcap Momentum)</v>
      </c>
      <c r="D1411" s="8" t="str">
        <f>IFERROR(INDEX('nav master'!$C:$C, MATCH(B1411, 'nav master'!$B:$B, 0)), "")</f>
        <v>ULIF 075 09/05/24 MIF 110</v>
      </c>
      <c r="E1411" s="8">
        <v>9.6293000000000006</v>
      </c>
      <c r="F1411" s="9">
        <v>46129</v>
      </c>
    </row>
    <row r="1412" spans="1:6" ht="75" x14ac:dyDescent="0.25">
      <c r="A1412" s="8" t="s">
        <v>63</v>
      </c>
      <c r="B1412" s="8" t="s">
        <v>68</v>
      </c>
      <c r="C1412" s="8" t="str">
        <f>IFERROR(_xlfn.XLOOKUP(TRIM(B1412),Lookup!$B$2:$B$1000,Lookup!$C$2:$C$1000),"")</f>
        <v>Equity - Index (Midcap Momentum)</v>
      </c>
      <c r="D1412" s="8" t="str">
        <f>IFERROR(INDEX('nav master'!$C:$C, MATCH(B1412, 'nav master'!$B:$B, 0)), "")</f>
        <v>ULIF 075 09/05/24 MIF 110</v>
      </c>
      <c r="E1412" s="8">
        <v>9.6252999999999993</v>
      </c>
      <c r="F1412" s="9">
        <v>46132</v>
      </c>
    </row>
    <row r="1413" spans="1:6" ht="75" x14ac:dyDescent="0.25">
      <c r="A1413" s="8" t="s">
        <v>63</v>
      </c>
      <c r="B1413" s="8" t="s">
        <v>68</v>
      </c>
      <c r="C1413" s="8" t="str">
        <f>IFERROR(_xlfn.XLOOKUP(TRIM(B1413),Lookup!$B$2:$B$1000,Lookup!$C$2:$C$1000),"")</f>
        <v>Equity - Index (Midcap Momentum)</v>
      </c>
      <c r="D1413" s="8" t="str">
        <f>IFERROR(INDEX('nav master'!$C:$C, MATCH(B1413, 'nav master'!$B:$B, 0)), "")</f>
        <v>ULIF 075 09/05/24 MIF 110</v>
      </c>
      <c r="E1413" s="8">
        <v>9.6689000000000007</v>
      </c>
      <c r="F1413" s="9">
        <v>46133</v>
      </c>
    </row>
    <row r="1414" spans="1:6" ht="75" x14ac:dyDescent="0.25">
      <c r="A1414" s="8" t="s">
        <v>63</v>
      </c>
      <c r="B1414" s="8" t="s">
        <v>68</v>
      </c>
      <c r="C1414" s="8" t="str">
        <f>IFERROR(_xlfn.XLOOKUP(TRIM(B1414),Lookup!$B$2:$B$1000,Lookup!$C$2:$C$1000),"")</f>
        <v>Equity - Index (Midcap Momentum)</v>
      </c>
      <c r="D1414" s="8" t="str">
        <f>IFERROR(INDEX('nav master'!$C:$C, MATCH(B1414, 'nav master'!$B:$B, 0)), "")</f>
        <v>ULIF 075 09/05/24 MIF 110</v>
      </c>
      <c r="E1414" s="8">
        <v>9.6527999999999992</v>
      </c>
      <c r="F1414" s="9">
        <v>46134</v>
      </c>
    </row>
    <row r="1415" spans="1:6" ht="75" x14ac:dyDescent="0.25">
      <c r="A1415" s="8" t="s">
        <v>63</v>
      </c>
      <c r="B1415" s="8" t="s">
        <v>68</v>
      </c>
      <c r="C1415" s="8" t="str">
        <f>IFERROR(_xlfn.XLOOKUP(TRIM(B1415),Lookup!$B$2:$B$1000,Lookup!$C$2:$C$1000),"")</f>
        <v>Equity - Index (Midcap Momentum)</v>
      </c>
      <c r="D1415" s="8" t="str">
        <f>IFERROR(INDEX('nav master'!$C:$C, MATCH(B1415, 'nav master'!$B:$B, 0)), "")</f>
        <v>ULIF 075 09/05/24 MIF 110</v>
      </c>
      <c r="E1415" s="8">
        <v>9.5924999999999994</v>
      </c>
      <c r="F1415" s="9">
        <v>46135</v>
      </c>
    </row>
    <row r="1416" spans="1:6" ht="75" x14ac:dyDescent="0.25">
      <c r="A1416" s="8" t="s">
        <v>63</v>
      </c>
      <c r="B1416" s="8" t="s">
        <v>68</v>
      </c>
      <c r="C1416" s="8" t="str">
        <f>IFERROR(_xlfn.XLOOKUP(TRIM(B1416),Lookup!$B$2:$B$1000,Lookup!$C$2:$C$1000),"")</f>
        <v>Equity - Index (Midcap Momentum)</v>
      </c>
      <c r="D1416" s="8" t="str">
        <f>IFERROR(INDEX('nav master'!$C:$C, MATCH(B1416, 'nav master'!$B:$B, 0)), "")</f>
        <v>ULIF 075 09/05/24 MIF 110</v>
      </c>
      <c r="E1416" s="8">
        <v>9.5128000000000004</v>
      </c>
      <c r="F1416" s="9">
        <v>46136</v>
      </c>
    </row>
    <row r="1417" spans="1:6" ht="75" x14ac:dyDescent="0.25">
      <c r="A1417" s="8" t="s">
        <v>63</v>
      </c>
      <c r="B1417" s="8" t="s">
        <v>68</v>
      </c>
      <c r="C1417" s="8" t="str">
        <f>IFERROR(_xlfn.XLOOKUP(TRIM(B1417),Lookup!$B$2:$B$1000,Lookup!$C$2:$C$1000),"")</f>
        <v>Equity - Index (Midcap Momentum)</v>
      </c>
      <c r="D1417" s="8" t="str">
        <f>IFERROR(INDEX('nav master'!$C:$C, MATCH(B1417, 'nav master'!$B:$B, 0)), "")</f>
        <v>ULIF 075 09/05/24 MIF 110</v>
      </c>
      <c r="E1417" s="8">
        <v>9.5909999999999993</v>
      </c>
      <c r="F1417" s="9">
        <v>46139</v>
      </c>
    </row>
    <row r="1418" spans="1:6" ht="75" x14ac:dyDescent="0.25">
      <c r="A1418" s="8" t="s">
        <v>63</v>
      </c>
      <c r="B1418" s="8" t="s">
        <v>68</v>
      </c>
      <c r="C1418" s="8" t="str">
        <f>IFERROR(_xlfn.XLOOKUP(TRIM(B1418),Lookup!$B$2:$B$1000,Lookup!$C$2:$C$1000),"")</f>
        <v>Equity - Index (Midcap Momentum)</v>
      </c>
      <c r="D1418" s="8" t="str">
        <f>IFERROR(INDEX('nav master'!$C:$C, MATCH(B1418, 'nav master'!$B:$B, 0)), "")</f>
        <v>ULIF 075 09/05/24 MIF 110</v>
      </c>
      <c r="E1418" s="8">
        <v>9.5981000000000005</v>
      </c>
      <c r="F1418" s="9">
        <v>46140</v>
      </c>
    </row>
    <row r="1419" spans="1:6" ht="75" x14ac:dyDescent="0.25">
      <c r="A1419" s="8" t="s">
        <v>63</v>
      </c>
      <c r="B1419" s="8" t="s">
        <v>68</v>
      </c>
      <c r="C1419" s="8" t="str">
        <f>IFERROR(_xlfn.XLOOKUP(TRIM(B1419),Lookup!$B$2:$B$1000,Lookup!$C$2:$C$1000),"")</f>
        <v>Equity - Index (Midcap Momentum)</v>
      </c>
      <c r="D1419" s="8" t="str">
        <f>IFERROR(INDEX('nav master'!$C:$C, MATCH(B1419, 'nav master'!$B:$B, 0)), "")</f>
        <v>ULIF 075 09/05/24 MIF 110</v>
      </c>
      <c r="E1419" s="8">
        <v>9.5888000000000009</v>
      </c>
      <c r="F1419" s="9">
        <v>46141</v>
      </c>
    </row>
    <row r="1420" spans="1:6" ht="75" x14ac:dyDescent="0.25">
      <c r="A1420" s="8" t="s">
        <v>63</v>
      </c>
      <c r="B1420" s="8" t="s">
        <v>68</v>
      </c>
      <c r="C1420" s="8" t="str">
        <f>IFERROR(_xlfn.XLOOKUP(TRIM(B1420),Lookup!$B$2:$B$1000,Lookup!$C$2:$C$1000),"")</f>
        <v>Equity - Index (Midcap Momentum)</v>
      </c>
      <c r="D1420" s="8" t="str">
        <f>IFERROR(INDEX('nav master'!$C:$C, MATCH(B1420, 'nav master'!$B:$B, 0)), "")</f>
        <v>ULIF 075 09/05/24 MIF 110</v>
      </c>
      <c r="E1420" s="8">
        <v>9.4873999999999992</v>
      </c>
      <c r="F1420" s="9">
        <v>46142</v>
      </c>
    </row>
    <row r="1421" spans="1:6" ht="75" x14ac:dyDescent="0.25">
      <c r="A1421" s="8" t="s">
        <v>63</v>
      </c>
      <c r="B1421" s="8" t="s">
        <v>68</v>
      </c>
      <c r="C1421" s="8" t="str">
        <f>IFERROR(_xlfn.XLOOKUP(TRIM(B1421),Lookup!$B$2:$B$1000,Lookup!$C$2:$C$1000),"")</f>
        <v>Equity - Index (Midcap Momentum)</v>
      </c>
      <c r="D1421" s="8" t="str">
        <f>IFERROR(INDEX('nav master'!$C:$C, MATCH(B1421, 'nav master'!$B:$B, 0)), "")</f>
        <v>ULIF 075 09/05/24 MIF 110</v>
      </c>
      <c r="E1421" s="8">
        <v>9.5424000000000007</v>
      </c>
      <c r="F1421" s="9">
        <v>46146</v>
      </c>
    </row>
    <row r="1422" spans="1:6" ht="75" x14ac:dyDescent="0.25">
      <c r="A1422" s="8" t="s">
        <v>63</v>
      </c>
      <c r="B1422" s="8" t="s">
        <v>68</v>
      </c>
      <c r="C1422" s="8" t="str">
        <f>IFERROR(_xlfn.XLOOKUP(TRIM(B1422),Lookup!$B$2:$B$1000,Lookup!$C$2:$C$1000),"")</f>
        <v>Equity - Index (Midcap Momentum)</v>
      </c>
      <c r="D1422" s="8" t="str">
        <f>IFERROR(INDEX('nav master'!$C:$C, MATCH(B1422, 'nav master'!$B:$B, 0)), "")</f>
        <v>ULIF 075 09/05/24 MIF 110</v>
      </c>
      <c r="E1422" s="8">
        <v>9.5765999999999991</v>
      </c>
      <c r="F1422" s="9">
        <v>46147</v>
      </c>
    </row>
    <row r="1423" spans="1:6" ht="75" x14ac:dyDescent="0.25">
      <c r="A1423" s="8" t="s">
        <v>63</v>
      </c>
      <c r="B1423" s="8" t="s">
        <v>68</v>
      </c>
      <c r="C1423" s="8" t="str">
        <f>IFERROR(_xlfn.XLOOKUP(TRIM(B1423),Lookup!$B$2:$B$1000,Lookup!$C$2:$C$1000),"")</f>
        <v>Equity - Index (Midcap Momentum)</v>
      </c>
      <c r="D1423" s="8" t="str">
        <f>IFERROR(INDEX('nav master'!$C:$C, MATCH(B1423, 'nav master'!$B:$B, 0)), "")</f>
        <v>ULIF 075 09/05/24 MIF 110</v>
      </c>
      <c r="E1423" s="8">
        <v>9.7906999999999993</v>
      </c>
      <c r="F1423" s="9">
        <v>46148</v>
      </c>
    </row>
    <row r="1424" spans="1:6" ht="75" x14ac:dyDescent="0.25">
      <c r="A1424" s="8" t="s">
        <v>63</v>
      </c>
      <c r="B1424" s="8" t="s">
        <v>68</v>
      </c>
      <c r="C1424" s="8" t="str">
        <f>IFERROR(_xlfn.XLOOKUP(TRIM(B1424),Lookup!$B$2:$B$1000,Lookup!$C$2:$C$1000),"")</f>
        <v>Equity - Index (Midcap Momentum)</v>
      </c>
      <c r="D1424" s="8" t="str">
        <f>IFERROR(INDEX('nav master'!$C:$C, MATCH(B1424, 'nav master'!$B:$B, 0)), "")</f>
        <v>ULIF 075 09/05/24 MIF 110</v>
      </c>
      <c r="E1424" s="8">
        <v>9.9184999999999999</v>
      </c>
      <c r="F1424" s="9">
        <v>46149</v>
      </c>
    </row>
    <row r="1425" spans="1:6" ht="75" x14ac:dyDescent="0.25">
      <c r="A1425" s="8" t="s">
        <v>63</v>
      </c>
      <c r="B1425" s="8" t="s">
        <v>68</v>
      </c>
      <c r="C1425" s="8" t="str">
        <f>IFERROR(_xlfn.XLOOKUP(TRIM(B1425),Lookup!$B$2:$B$1000,Lookup!$C$2:$C$1000),"")</f>
        <v>Equity - Index (Midcap Momentum)</v>
      </c>
      <c r="D1425" s="8" t="str">
        <f>IFERROR(INDEX('nav master'!$C:$C, MATCH(B1425, 'nav master'!$B:$B, 0)), "")</f>
        <v>ULIF 075 09/05/24 MIF 110</v>
      </c>
      <c r="E1425" s="8">
        <v>9.8664000000000005</v>
      </c>
      <c r="F1425" s="9">
        <v>46150</v>
      </c>
    </row>
    <row r="1426" spans="1:6" ht="75" x14ac:dyDescent="0.25">
      <c r="A1426" s="8" t="s">
        <v>63</v>
      </c>
      <c r="B1426" s="8" t="s">
        <v>68</v>
      </c>
      <c r="C1426" s="8" t="str">
        <f>IFERROR(_xlfn.XLOOKUP(TRIM(B1426),Lookup!$B$2:$B$1000,Lookup!$C$2:$C$1000),"")</f>
        <v>Equity - Index (Midcap Momentum)</v>
      </c>
      <c r="D1426" s="8" t="str">
        <f>IFERROR(INDEX('nav master'!$C:$C, MATCH(B1426, 'nav master'!$B:$B, 0)), "")</f>
        <v>ULIF 075 09/05/24 MIF 110</v>
      </c>
      <c r="E1426" s="8">
        <v>9.7385000000000002</v>
      </c>
      <c r="F1426" s="9">
        <v>46153</v>
      </c>
    </row>
    <row r="1427" spans="1:6" ht="75" x14ac:dyDescent="0.25">
      <c r="A1427" s="8" t="s">
        <v>63</v>
      </c>
      <c r="B1427" s="8" t="s">
        <v>68</v>
      </c>
      <c r="C1427" s="8" t="str">
        <f>IFERROR(_xlfn.XLOOKUP(TRIM(B1427),Lookup!$B$2:$B$1000,Lookup!$C$2:$C$1000),"")</f>
        <v>Equity - Index (Midcap Momentum)</v>
      </c>
      <c r="D1427" s="8" t="str">
        <f>IFERROR(INDEX('nav master'!$C:$C, MATCH(B1427, 'nav master'!$B:$B, 0)), "")</f>
        <v>ULIF 075 09/05/24 MIF 110</v>
      </c>
      <c r="E1427" s="8">
        <v>9.4939</v>
      </c>
      <c r="F1427" s="9">
        <v>46154</v>
      </c>
    </row>
    <row r="1428" spans="1:6" ht="75" x14ac:dyDescent="0.25">
      <c r="A1428" s="8" t="s">
        <v>63</v>
      </c>
      <c r="B1428" s="8" t="s">
        <v>68</v>
      </c>
      <c r="C1428" s="8" t="str">
        <f>IFERROR(_xlfn.XLOOKUP(TRIM(B1428),Lookup!$B$2:$B$1000,Lookup!$C$2:$C$1000),"")</f>
        <v>Equity - Index (Midcap Momentum)</v>
      </c>
      <c r="D1428" s="8" t="str">
        <f>IFERROR(INDEX('nav master'!$C:$C, MATCH(B1428, 'nav master'!$B:$B, 0)), "")</f>
        <v>ULIF 075 09/05/24 MIF 110</v>
      </c>
      <c r="E1428" s="8">
        <v>9.5352999999999994</v>
      </c>
      <c r="F1428" s="9">
        <v>46155</v>
      </c>
    </row>
    <row r="1429" spans="1:6" ht="75" x14ac:dyDescent="0.25">
      <c r="A1429" s="8" t="s">
        <v>63</v>
      </c>
      <c r="B1429" s="8" t="s">
        <v>68</v>
      </c>
      <c r="C1429" s="8" t="str">
        <f>IFERROR(_xlfn.XLOOKUP(TRIM(B1429),Lookup!$B$2:$B$1000,Lookup!$C$2:$C$1000),"")</f>
        <v>Equity - Index (Midcap Momentum)</v>
      </c>
      <c r="D1429" s="8" t="str">
        <f>IFERROR(INDEX('nav master'!$C:$C, MATCH(B1429, 'nav master'!$B:$B, 0)), "")</f>
        <v>ULIF 075 09/05/24 MIF 110</v>
      </c>
      <c r="E1429" s="8">
        <v>9.6648999999999994</v>
      </c>
      <c r="F1429" s="9">
        <v>46156</v>
      </c>
    </row>
    <row r="1430" spans="1:6" ht="75" x14ac:dyDescent="0.25">
      <c r="A1430" s="8" t="s">
        <v>63</v>
      </c>
      <c r="B1430" s="8" t="s">
        <v>68</v>
      </c>
      <c r="C1430" s="8" t="str">
        <f>IFERROR(_xlfn.XLOOKUP(TRIM(B1430),Lookup!$B$2:$B$1000,Lookup!$C$2:$C$1000),"")</f>
        <v>Equity - Index (Midcap Momentum)</v>
      </c>
      <c r="D1430" s="8" t="str">
        <f>IFERROR(INDEX('nav master'!$C:$C, MATCH(B1430, 'nav master'!$B:$B, 0)), "")</f>
        <v>ULIF 075 09/05/24 MIF 110</v>
      </c>
      <c r="E1430" s="8">
        <v>9.6122999999999994</v>
      </c>
      <c r="F1430" s="9">
        <v>46157</v>
      </c>
    </row>
    <row r="1431" spans="1:6" ht="75" x14ac:dyDescent="0.25">
      <c r="A1431" s="8" t="s">
        <v>63</v>
      </c>
      <c r="B1431" s="8" t="s">
        <v>68</v>
      </c>
      <c r="C1431" s="8" t="str">
        <f>IFERROR(_xlfn.XLOOKUP(TRIM(B1431),Lookup!$B$2:$B$1000,Lookup!$C$2:$C$1000),"")</f>
        <v>Equity - Index (Midcap Momentum)</v>
      </c>
      <c r="D1431" s="8" t="str">
        <f>IFERROR(INDEX('nav master'!$C:$C, MATCH(B1431, 'nav master'!$B:$B, 0)), "")</f>
        <v>ULIF 075 09/05/24 MIF 110</v>
      </c>
      <c r="E1431" s="8">
        <v>9.5782000000000007</v>
      </c>
      <c r="F1431" s="9">
        <v>46160</v>
      </c>
    </row>
    <row r="1432" spans="1:6" ht="75" x14ac:dyDescent="0.25">
      <c r="A1432" s="8" t="s">
        <v>63</v>
      </c>
      <c r="B1432" s="8" t="s">
        <v>68</v>
      </c>
      <c r="C1432" s="8" t="str">
        <f>IFERROR(_xlfn.XLOOKUP(TRIM(B1432),Lookup!$B$2:$B$1000,Lookup!$C$2:$C$1000),"")</f>
        <v>Equity - Index (Midcap Momentum)</v>
      </c>
      <c r="D1432" s="8" t="str">
        <f>IFERROR(INDEX('nav master'!$C:$C, MATCH(B1432, 'nav master'!$B:$B, 0)), "")</f>
        <v>ULIF 075 09/05/24 MIF 110</v>
      </c>
      <c r="E1432" s="8">
        <v>9.6311999999999998</v>
      </c>
      <c r="F1432" s="9">
        <v>46161</v>
      </c>
    </row>
    <row r="1433" spans="1:6" ht="75" x14ac:dyDescent="0.25">
      <c r="A1433" s="8" t="s">
        <v>63</v>
      </c>
      <c r="B1433" s="8" t="s">
        <v>68</v>
      </c>
      <c r="C1433" s="8" t="str">
        <f>IFERROR(_xlfn.XLOOKUP(TRIM(B1433),Lookup!$B$2:$B$1000,Lookup!$C$2:$C$1000),"")</f>
        <v>Equity - Index (Midcap Momentum)</v>
      </c>
      <c r="D1433" s="8" t="str">
        <f>IFERROR(INDEX('nav master'!$C:$C, MATCH(B1433, 'nav master'!$B:$B, 0)), "")</f>
        <v>ULIF 075 09/05/24 MIF 110</v>
      </c>
      <c r="E1433" s="8">
        <v>9.6989999999999998</v>
      </c>
      <c r="F1433" s="9">
        <v>46162</v>
      </c>
    </row>
    <row r="1434" spans="1:6" ht="75" x14ac:dyDescent="0.25">
      <c r="A1434" s="8" t="s">
        <v>63</v>
      </c>
      <c r="B1434" s="8" t="s">
        <v>68</v>
      </c>
      <c r="C1434" s="8" t="str">
        <f>IFERROR(_xlfn.XLOOKUP(TRIM(B1434),Lookup!$B$2:$B$1000,Lookup!$C$2:$C$1000),"")</f>
        <v>Equity - Index (Midcap Momentum)</v>
      </c>
      <c r="D1434" s="8" t="str">
        <f>IFERROR(INDEX('nav master'!$C:$C, MATCH(B1434, 'nav master'!$B:$B, 0)), "")</f>
        <v>ULIF 075 09/05/24 MIF 110</v>
      </c>
      <c r="E1434" s="8">
        <v>9.7022999999999993</v>
      </c>
      <c r="F1434" s="9">
        <v>46163</v>
      </c>
    </row>
    <row r="1435" spans="1:6" ht="75" x14ac:dyDescent="0.25">
      <c r="A1435" s="8" t="s">
        <v>63</v>
      </c>
      <c r="B1435" s="8" t="s">
        <v>68</v>
      </c>
      <c r="C1435" s="8" t="str">
        <f>IFERROR(_xlfn.XLOOKUP(TRIM(B1435),Lookup!$B$2:$B$1000,Lookup!$C$2:$C$1000),"")</f>
        <v>Equity - Index (Midcap Momentum)</v>
      </c>
      <c r="D1435" s="8" t="str">
        <f>IFERROR(INDEX('nav master'!$C:$C, MATCH(B1435, 'nav master'!$B:$B, 0)), "")</f>
        <v>ULIF 075 09/05/24 MIF 110</v>
      </c>
      <c r="E1435" s="8">
        <v>9.7213999999999992</v>
      </c>
      <c r="F1435" s="9">
        <v>46164</v>
      </c>
    </row>
    <row r="1436" spans="1:6" ht="75" x14ac:dyDescent="0.25">
      <c r="A1436" s="8" t="s">
        <v>63</v>
      </c>
      <c r="B1436" s="8" t="s">
        <v>68</v>
      </c>
      <c r="C1436" s="8" t="str">
        <f>IFERROR(_xlfn.XLOOKUP(TRIM(B1436),Lookup!$B$2:$B$1000,Lookup!$C$2:$C$1000),"")</f>
        <v>Equity - Index (Midcap Momentum)</v>
      </c>
      <c r="D1436" s="8" t="str">
        <f>IFERROR(INDEX('nav master'!$C:$C, MATCH(B1436, 'nav master'!$B:$B, 0)), "")</f>
        <v>ULIF 075 09/05/24 MIF 110</v>
      </c>
      <c r="E1436" s="8">
        <v>9.8447999999999993</v>
      </c>
      <c r="F1436" s="9">
        <v>46167</v>
      </c>
    </row>
    <row r="1437" spans="1:6" ht="75" x14ac:dyDescent="0.25">
      <c r="A1437" s="8" t="s">
        <v>63</v>
      </c>
      <c r="B1437" s="8" t="s">
        <v>68</v>
      </c>
      <c r="C1437" s="8" t="str">
        <f>IFERROR(_xlfn.XLOOKUP(TRIM(B1437),Lookup!$B$2:$B$1000,Lookup!$C$2:$C$1000),"")</f>
        <v>Equity - Index (Midcap Momentum)</v>
      </c>
      <c r="D1437" s="8" t="str">
        <f>IFERROR(INDEX('nav master'!$C:$C, MATCH(B1437, 'nav master'!$B:$B, 0)), "")</f>
        <v>ULIF 075 09/05/24 MIF 110</v>
      </c>
      <c r="E1437" s="8">
        <v>9.8752999999999993</v>
      </c>
      <c r="F1437" s="9">
        <v>46168</v>
      </c>
    </row>
    <row r="1438" spans="1:6" ht="75" x14ac:dyDescent="0.25">
      <c r="A1438" s="8" t="s">
        <v>63</v>
      </c>
      <c r="B1438" s="8" t="s">
        <v>68</v>
      </c>
      <c r="C1438" s="8" t="str">
        <f>IFERROR(_xlfn.XLOOKUP(TRIM(B1438),Lookup!$B$2:$B$1000,Lookup!$C$2:$C$1000),"")</f>
        <v>Equity - Index (Midcap Momentum)</v>
      </c>
      <c r="D1438" s="8" t="str">
        <f>IFERROR(INDEX('nav master'!$C:$C, MATCH(B1438, 'nav master'!$B:$B, 0)), "")</f>
        <v>ULIF 075 09/05/24 MIF 110</v>
      </c>
      <c r="E1438" s="8">
        <v>9.9375</v>
      </c>
      <c r="F1438" s="9">
        <v>46169</v>
      </c>
    </row>
    <row r="1439" spans="1:6" ht="75" x14ac:dyDescent="0.25">
      <c r="A1439" s="8" t="s">
        <v>63</v>
      </c>
      <c r="B1439" s="8" t="s">
        <v>68</v>
      </c>
      <c r="C1439" s="8" t="str">
        <f>IFERROR(_xlfn.XLOOKUP(TRIM(B1439),Lookup!$B$2:$B$1000,Lookup!$C$2:$C$1000),"")</f>
        <v>Equity - Index (Midcap Momentum)</v>
      </c>
      <c r="D1439" s="8" t="str">
        <f>IFERROR(INDEX('nav master'!$C:$C, MATCH(B1439, 'nav master'!$B:$B, 0)), "")</f>
        <v>ULIF 075 09/05/24 MIF 110</v>
      </c>
      <c r="E1439" s="8">
        <v>9.8216000000000001</v>
      </c>
      <c r="F1439" s="9">
        <v>46171</v>
      </c>
    </row>
    <row r="1440" spans="1:6" ht="75" x14ac:dyDescent="0.25">
      <c r="A1440" s="8" t="s">
        <v>63</v>
      </c>
      <c r="B1440" s="8" t="s">
        <v>68</v>
      </c>
      <c r="C1440" s="8" t="str">
        <f>IFERROR(_xlfn.XLOOKUP(TRIM(B1440),Lookup!$B$2:$B$1000,Lookup!$C$2:$C$1000),"")</f>
        <v>Equity - Index (Midcap Momentum)</v>
      </c>
      <c r="D1440" s="8" t="str">
        <f>IFERROR(INDEX('nav master'!$C:$C, MATCH(B1440, 'nav master'!$B:$B, 0)), "")</f>
        <v>ULIF 075 09/05/24 MIF 110</v>
      </c>
      <c r="E1440" s="8">
        <v>9.64</v>
      </c>
      <c r="F1440" s="9">
        <v>46174</v>
      </c>
    </row>
    <row r="1441" spans="1:6" ht="75" x14ac:dyDescent="0.25">
      <c r="A1441" s="8" t="s">
        <v>63</v>
      </c>
      <c r="B1441" s="8" t="s">
        <v>68</v>
      </c>
      <c r="C1441" s="8" t="str">
        <f>IFERROR(_xlfn.XLOOKUP(TRIM(B1441),Lookup!$B$2:$B$1000,Lookup!$C$2:$C$1000),"")</f>
        <v>Equity - Index (Midcap Momentum)</v>
      </c>
      <c r="D1441" s="8" t="str">
        <f>IFERROR(INDEX('nav master'!$C:$C, MATCH(B1441, 'nav master'!$B:$B, 0)), "")</f>
        <v>ULIF 075 09/05/24 MIF 110</v>
      </c>
      <c r="E1441" s="8">
        <v>9.6158000000000001</v>
      </c>
      <c r="F1441" s="9">
        <v>46175</v>
      </c>
    </row>
    <row r="1442" spans="1:6" ht="75" x14ac:dyDescent="0.25">
      <c r="A1442" s="8" t="s">
        <v>63</v>
      </c>
      <c r="B1442" s="8" t="s">
        <v>68</v>
      </c>
      <c r="C1442" s="8" t="str">
        <f>IFERROR(_xlfn.XLOOKUP(TRIM(B1442),Lookup!$B$2:$B$1000,Lookup!$C$2:$C$1000),"")</f>
        <v>Equity - Index (Midcap Momentum)</v>
      </c>
      <c r="D1442" s="8" t="str">
        <f>IFERROR(INDEX('nav master'!$C:$C, MATCH(B1442, 'nav master'!$B:$B, 0)), "")</f>
        <v>ULIF 075 09/05/24 MIF 110</v>
      </c>
      <c r="E1442" s="8">
        <v>9.5980000000000008</v>
      </c>
      <c r="F1442" s="9">
        <v>46176</v>
      </c>
    </row>
    <row r="1443" spans="1:6" ht="75" x14ac:dyDescent="0.25">
      <c r="A1443" s="8" t="s">
        <v>63</v>
      </c>
      <c r="B1443" s="8" t="s">
        <v>68</v>
      </c>
      <c r="C1443" s="8" t="str">
        <f>IFERROR(_xlfn.XLOOKUP(TRIM(B1443),Lookup!$B$2:$B$1000,Lookup!$C$2:$C$1000),"")</f>
        <v>Equity - Index (Midcap Momentum)</v>
      </c>
      <c r="D1443" s="8" t="str">
        <f>IFERROR(INDEX('nav master'!$C:$C, MATCH(B1443, 'nav master'!$B:$B, 0)), "")</f>
        <v>ULIF 075 09/05/24 MIF 110</v>
      </c>
      <c r="E1443" s="8">
        <v>9.6491000000000007</v>
      </c>
      <c r="F1443" s="9">
        <v>46177</v>
      </c>
    </row>
    <row r="1444" spans="1:6" ht="75" x14ac:dyDescent="0.25">
      <c r="A1444" s="8" t="s">
        <v>63</v>
      </c>
      <c r="B1444" s="8" t="s">
        <v>68</v>
      </c>
      <c r="C1444" s="8" t="str">
        <f>IFERROR(_xlfn.XLOOKUP(TRIM(B1444),Lookup!$B$2:$B$1000,Lookup!$C$2:$C$1000),"")</f>
        <v>Equity - Index (Midcap Momentum)</v>
      </c>
      <c r="D1444" s="8" t="str">
        <f>IFERROR(INDEX('nav master'!$C:$C, MATCH(B1444, 'nav master'!$B:$B, 0)), "")</f>
        <v>ULIF 075 09/05/24 MIF 110</v>
      </c>
      <c r="E1444" s="8">
        <v>9.6240000000000006</v>
      </c>
      <c r="F1444" s="9">
        <v>46178</v>
      </c>
    </row>
    <row r="1445" spans="1:6" ht="75" x14ac:dyDescent="0.25">
      <c r="A1445" s="8" t="s">
        <v>63</v>
      </c>
      <c r="B1445" s="8" t="s">
        <v>68</v>
      </c>
      <c r="C1445" s="8" t="str">
        <f>IFERROR(_xlfn.XLOOKUP(TRIM(B1445),Lookup!$B$2:$B$1000,Lookup!$C$2:$C$1000),"")</f>
        <v>Equity - Index (Midcap Momentum)</v>
      </c>
      <c r="D1445" s="8" t="str">
        <f>IFERROR(INDEX('nav master'!$C:$C, MATCH(B1445, 'nav master'!$B:$B, 0)), "")</f>
        <v>ULIF 075 09/05/24 MIF 110</v>
      </c>
      <c r="E1445" s="8">
        <v>9.4435000000000002</v>
      </c>
      <c r="F1445" s="9">
        <v>46181</v>
      </c>
    </row>
    <row r="1446" spans="1:6" ht="75" x14ac:dyDescent="0.25">
      <c r="A1446" s="8" t="s">
        <v>63</v>
      </c>
      <c r="B1446" s="8" t="s">
        <v>68</v>
      </c>
      <c r="C1446" s="8" t="str">
        <f>IFERROR(_xlfn.XLOOKUP(TRIM(B1446),Lookup!$B$2:$B$1000,Lookup!$C$2:$C$1000),"")</f>
        <v>Equity - Index (Midcap Momentum)</v>
      </c>
      <c r="D1446" s="8" t="str">
        <f>IFERROR(INDEX('nav master'!$C:$C, MATCH(B1446, 'nav master'!$B:$B, 0)), "")</f>
        <v>ULIF 075 09/05/24 MIF 110</v>
      </c>
      <c r="E1446" s="8">
        <v>9.58</v>
      </c>
      <c r="F1446" s="9">
        <v>46182</v>
      </c>
    </row>
    <row r="1447" spans="1:6" ht="75" x14ac:dyDescent="0.25">
      <c r="A1447" s="8" t="s">
        <v>63</v>
      </c>
      <c r="B1447" s="8" t="s">
        <v>68</v>
      </c>
      <c r="C1447" s="8" t="str">
        <f>IFERROR(_xlfn.XLOOKUP(TRIM(B1447),Lookup!$B$2:$B$1000,Lookup!$C$2:$C$1000),"")</f>
        <v>Equity - Index (Midcap Momentum)</v>
      </c>
      <c r="D1447" s="8" t="str">
        <f>IFERROR(INDEX('nav master'!$C:$C, MATCH(B1447, 'nav master'!$B:$B, 0)), "")</f>
        <v>ULIF 075 09/05/24 MIF 110</v>
      </c>
      <c r="E1447" s="8">
        <v>9.4658999999999995</v>
      </c>
      <c r="F1447" s="9">
        <v>46183</v>
      </c>
    </row>
    <row r="1448" spans="1:6" ht="75" x14ac:dyDescent="0.25">
      <c r="A1448" s="8" t="s">
        <v>63</v>
      </c>
      <c r="B1448" s="8" t="s">
        <v>68</v>
      </c>
      <c r="C1448" s="8" t="str">
        <f>IFERROR(_xlfn.XLOOKUP(TRIM(B1448),Lookup!$B$2:$B$1000,Lookup!$C$2:$C$1000),"")</f>
        <v>Equity - Index (Midcap Momentum)</v>
      </c>
      <c r="D1448" s="8" t="str">
        <f>IFERROR(INDEX('nav master'!$C:$C, MATCH(B1448, 'nav master'!$B:$B, 0)), "")</f>
        <v>ULIF 075 09/05/24 MIF 110</v>
      </c>
      <c r="E1448" s="8">
        <v>9.3695000000000004</v>
      </c>
      <c r="F1448" s="9">
        <v>46184</v>
      </c>
    </row>
    <row r="1449" spans="1:6" ht="75" x14ac:dyDescent="0.25">
      <c r="A1449" s="8" t="s">
        <v>63</v>
      </c>
      <c r="B1449" s="8" t="s">
        <v>68</v>
      </c>
      <c r="C1449" s="8" t="str">
        <f>IFERROR(_xlfn.XLOOKUP(TRIM(B1449),Lookup!$B$2:$B$1000,Lookup!$C$2:$C$1000),"")</f>
        <v>Equity - Index (Midcap Momentum)</v>
      </c>
      <c r="D1449" s="8" t="str">
        <f>IFERROR(INDEX('nav master'!$C:$C, MATCH(B1449, 'nav master'!$B:$B, 0)), "")</f>
        <v>ULIF 075 09/05/24 MIF 110</v>
      </c>
      <c r="E1449" s="8">
        <v>9.6622000000000003</v>
      </c>
      <c r="F1449" s="9">
        <v>46185</v>
      </c>
    </row>
    <row r="1450" spans="1:6" ht="75" x14ac:dyDescent="0.25">
      <c r="A1450" s="8" t="s">
        <v>63</v>
      </c>
      <c r="B1450" s="8" t="s">
        <v>68</v>
      </c>
      <c r="C1450" s="8" t="str">
        <f>IFERROR(_xlfn.XLOOKUP(TRIM(B1450),Lookup!$B$2:$B$1000,Lookup!$C$2:$C$1000),"")</f>
        <v>Equity - Index (Midcap Momentum)</v>
      </c>
      <c r="D1450" s="8" t="str">
        <f>IFERROR(INDEX('nav master'!$C:$C, MATCH(B1450, 'nav master'!$B:$B, 0)), "")</f>
        <v>ULIF 075 09/05/24 MIF 110</v>
      </c>
      <c r="E1450" s="8">
        <v>9.8303999999999991</v>
      </c>
      <c r="F1450" s="9">
        <v>46188</v>
      </c>
    </row>
    <row r="1451" spans="1:6" ht="75" x14ac:dyDescent="0.25">
      <c r="A1451" s="8" t="s">
        <v>63</v>
      </c>
      <c r="B1451" s="8" t="s">
        <v>68</v>
      </c>
      <c r="C1451" s="8" t="str">
        <f>IFERROR(_xlfn.XLOOKUP(TRIM(B1451),Lookup!$B$2:$B$1000,Lookup!$C$2:$C$1000),"")</f>
        <v>Equity - Index (Midcap Momentum)</v>
      </c>
      <c r="D1451" s="8" t="str">
        <f>IFERROR(INDEX('nav master'!$C:$C, MATCH(B1451, 'nav master'!$B:$B, 0)), "")</f>
        <v>ULIF 075 09/05/24 MIF 110</v>
      </c>
      <c r="E1451" s="8">
        <v>9.8491999999999997</v>
      </c>
      <c r="F1451" s="9">
        <v>46189</v>
      </c>
    </row>
    <row r="1452" spans="1:6" ht="75" x14ac:dyDescent="0.25">
      <c r="A1452" s="8" t="s">
        <v>63</v>
      </c>
      <c r="B1452" s="8" t="s">
        <v>68</v>
      </c>
      <c r="C1452" s="8" t="str">
        <f>IFERROR(_xlfn.XLOOKUP(TRIM(B1452),Lookup!$B$2:$B$1000,Lookup!$C$2:$C$1000),"")</f>
        <v>Equity - Index (Midcap Momentum)</v>
      </c>
      <c r="D1452" s="8" t="str">
        <f>IFERROR(INDEX('nav master'!$C:$C, MATCH(B1452, 'nav master'!$B:$B, 0)), "")</f>
        <v>ULIF 075 09/05/24 MIF 110</v>
      </c>
      <c r="E1452" s="8">
        <v>9.9064999999999994</v>
      </c>
      <c r="F1452" s="9">
        <v>46190</v>
      </c>
    </row>
    <row r="1453" spans="1:6" ht="75" x14ac:dyDescent="0.25">
      <c r="A1453" s="8" t="s">
        <v>63</v>
      </c>
      <c r="B1453" s="8" t="s">
        <v>68</v>
      </c>
      <c r="C1453" s="8" t="str">
        <f>IFERROR(_xlfn.XLOOKUP(TRIM(B1453),Lookup!$B$2:$B$1000,Lookup!$C$2:$C$1000),"")</f>
        <v>Equity - Index (Midcap Momentum)</v>
      </c>
      <c r="D1453" s="8" t="str">
        <f>IFERROR(INDEX('nav master'!$C:$C, MATCH(B1453, 'nav master'!$B:$B, 0)), "")</f>
        <v>ULIF 075 09/05/24 MIF 110</v>
      </c>
      <c r="E1453" s="8">
        <v>9.9494000000000007</v>
      </c>
      <c r="F1453" s="9">
        <v>46191</v>
      </c>
    </row>
    <row r="1454" spans="1:6" ht="75" x14ac:dyDescent="0.25">
      <c r="A1454" s="8" t="s">
        <v>63</v>
      </c>
      <c r="B1454" s="8" t="s">
        <v>68</v>
      </c>
      <c r="C1454" s="8" t="str">
        <f>IFERROR(_xlfn.XLOOKUP(TRIM(B1454),Lookup!$B$2:$B$1000,Lookup!$C$2:$C$1000),"")</f>
        <v>Equity - Index (Midcap Momentum)</v>
      </c>
      <c r="D1454" s="8" t="str">
        <f>IFERROR(INDEX('nav master'!$C:$C, MATCH(B1454, 'nav master'!$B:$B, 0)), "")</f>
        <v>ULIF 075 09/05/24 MIF 110</v>
      </c>
      <c r="E1454" s="8">
        <v>9.9604999999999997</v>
      </c>
      <c r="F1454" s="9">
        <v>46192</v>
      </c>
    </row>
    <row r="1455" spans="1:6" ht="75" x14ac:dyDescent="0.25">
      <c r="A1455" s="8" t="s">
        <v>63</v>
      </c>
      <c r="B1455" s="8" t="s">
        <v>68</v>
      </c>
      <c r="C1455" s="8" t="str">
        <f>IFERROR(_xlfn.XLOOKUP(TRIM(B1455),Lookup!$B$2:$B$1000,Lookup!$C$2:$C$1000),"")</f>
        <v>Equity - Index (Midcap Momentum)</v>
      </c>
      <c r="D1455" s="8" t="str">
        <f>IFERROR(INDEX('nav master'!$C:$C, MATCH(B1455, 'nav master'!$B:$B, 0)), "")</f>
        <v>ULIF 075 09/05/24 MIF 110</v>
      </c>
      <c r="E1455" s="8">
        <v>9.9913000000000007</v>
      </c>
      <c r="F1455" s="9">
        <v>46195</v>
      </c>
    </row>
    <row r="1456" spans="1:6" ht="75" x14ac:dyDescent="0.25">
      <c r="A1456" s="8" t="s">
        <v>63</v>
      </c>
      <c r="B1456" s="8" t="s">
        <v>68</v>
      </c>
      <c r="C1456" s="8" t="str">
        <f>IFERROR(_xlfn.XLOOKUP(TRIM(B1456),Lookup!$B$2:$B$1000,Lookup!$C$2:$C$1000),"")</f>
        <v>Equity - Index (Midcap Momentum)</v>
      </c>
      <c r="D1456" s="8" t="str">
        <f>IFERROR(INDEX('nav master'!$C:$C, MATCH(B1456, 'nav master'!$B:$B, 0)), "")</f>
        <v>ULIF 075 09/05/24 MIF 110</v>
      </c>
      <c r="E1456" s="8">
        <v>9.8780000000000001</v>
      </c>
      <c r="F1456" s="9">
        <v>46196</v>
      </c>
    </row>
    <row r="1457" spans="1:6" ht="75" x14ac:dyDescent="0.25">
      <c r="A1457" s="8" t="s">
        <v>63</v>
      </c>
      <c r="B1457" s="8" t="s">
        <v>68</v>
      </c>
      <c r="C1457" s="8" t="str">
        <f>IFERROR(_xlfn.XLOOKUP(TRIM(B1457),Lookup!$B$2:$B$1000,Lookup!$C$2:$C$1000),"")</f>
        <v>Equity - Index (Midcap Momentum)</v>
      </c>
      <c r="D1457" s="8" t="str">
        <f>IFERROR(INDEX('nav master'!$C:$C, MATCH(B1457, 'nav master'!$B:$B, 0)), "")</f>
        <v>ULIF 075 09/05/24 MIF 110</v>
      </c>
      <c r="E1457" s="8">
        <v>9.8535000000000004</v>
      </c>
      <c r="F1457" s="9">
        <v>46197</v>
      </c>
    </row>
    <row r="1458" spans="1:6" ht="75" x14ac:dyDescent="0.25">
      <c r="A1458" s="8" t="s">
        <v>63</v>
      </c>
      <c r="B1458" s="8" t="s">
        <v>68</v>
      </c>
      <c r="C1458" s="8" t="str">
        <f>IFERROR(_xlfn.XLOOKUP(TRIM(B1458),Lookup!$B$2:$B$1000,Lookup!$C$2:$C$1000),"")</f>
        <v>Equity - Index (Midcap Momentum)</v>
      </c>
      <c r="D1458" s="8" t="str">
        <f>IFERROR(INDEX('nav master'!$C:$C, MATCH(B1458, 'nav master'!$B:$B, 0)), "")</f>
        <v>ULIF 075 09/05/24 MIF 110</v>
      </c>
      <c r="E1458" s="8">
        <v>9.8283000000000005</v>
      </c>
      <c r="F1458" s="9">
        <v>46198</v>
      </c>
    </row>
    <row r="1459" spans="1:6" ht="75" x14ac:dyDescent="0.25">
      <c r="A1459" s="8" t="s">
        <v>63</v>
      </c>
      <c r="B1459" s="8" t="s">
        <v>68</v>
      </c>
      <c r="C1459" s="8" t="str">
        <f>IFERROR(_xlfn.XLOOKUP(TRIM(B1459),Lookup!$B$2:$B$1000,Lookup!$C$2:$C$1000),"")</f>
        <v>Equity - Index (Midcap Momentum)</v>
      </c>
      <c r="D1459" s="8" t="str">
        <f>IFERROR(INDEX('nav master'!$C:$C, MATCH(B1459, 'nav master'!$B:$B, 0)), "")</f>
        <v>ULIF 075 09/05/24 MIF 110</v>
      </c>
      <c r="E1459" s="8">
        <v>9.7852999999999994</v>
      </c>
      <c r="F1459" s="9">
        <v>46202</v>
      </c>
    </row>
    <row r="1460" spans="1:6" ht="75" x14ac:dyDescent="0.25">
      <c r="A1460" s="8" t="s">
        <v>63</v>
      </c>
      <c r="B1460" s="8" t="s">
        <v>68</v>
      </c>
      <c r="C1460" s="8" t="str">
        <f>IFERROR(_xlfn.XLOOKUP(TRIM(B1460),Lookup!$B$2:$B$1000,Lookup!$C$2:$C$1000),"")</f>
        <v>Equity - Index (Midcap Momentum)</v>
      </c>
      <c r="D1460" s="8" t="str">
        <f>IFERROR(INDEX('nav master'!$C:$C, MATCH(B1460, 'nav master'!$B:$B, 0)), "")</f>
        <v>ULIF 075 09/05/24 MIF 110</v>
      </c>
      <c r="E1460" s="8">
        <v>9.7978000000000005</v>
      </c>
      <c r="F1460" s="9">
        <v>46203</v>
      </c>
    </row>
    <row r="1461" spans="1:6" ht="75" x14ac:dyDescent="0.25">
      <c r="A1461" s="8" t="s">
        <v>63</v>
      </c>
      <c r="B1461" s="8" t="s">
        <v>68</v>
      </c>
      <c r="C1461" s="8" t="str">
        <f>IFERROR(_xlfn.XLOOKUP(TRIM(B1461),Lookup!$B$2:$B$1000,Lookup!$C$2:$C$1000),"")</f>
        <v>Equity - Index (Midcap Momentum)</v>
      </c>
      <c r="D1461" s="8" t="str">
        <f>IFERROR(INDEX('nav master'!$C:$C, MATCH(B1461, 'nav master'!$B:$B, 0)), "")</f>
        <v>ULIF 075 09/05/24 MIF 110</v>
      </c>
      <c r="E1461" s="8">
        <v>9.7754999999999992</v>
      </c>
      <c r="F1461" s="9">
        <v>46204</v>
      </c>
    </row>
    <row r="1462" spans="1:6" ht="75" x14ac:dyDescent="0.25">
      <c r="A1462" s="8" t="s">
        <v>63</v>
      </c>
      <c r="B1462" s="8" t="s">
        <v>68</v>
      </c>
      <c r="C1462" s="8" t="str">
        <f>IFERROR(_xlfn.XLOOKUP(TRIM(B1462),Lookup!$B$2:$B$1000,Lookup!$C$2:$C$1000),"")</f>
        <v>Equity - Index (Midcap Momentum)</v>
      </c>
      <c r="D1462" s="8" t="str">
        <f>IFERROR(INDEX('nav master'!$C:$C, MATCH(B1462, 'nav master'!$B:$B, 0)), "")</f>
        <v>ULIF 075 09/05/24 MIF 110</v>
      </c>
      <c r="E1462" s="8">
        <v>9.7608999999999995</v>
      </c>
      <c r="F1462" s="9">
        <v>46205</v>
      </c>
    </row>
    <row r="1463" spans="1:6" ht="75" x14ac:dyDescent="0.25">
      <c r="A1463" s="8" t="s">
        <v>63</v>
      </c>
      <c r="B1463" s="8" t="s">
        <v>68</v>
      </c>
      <c r="C1463" s="8" t="str">
        <f>IFERROR(_xlfn.XLOOKUP(TRIM(B1463),Lookup!$B$2:$B$1000,Lookup!$C$2:$C$1000),"")</f>
        <v>Equity - Index (Midcap Momentum)</v>
      </c>
      <c r="D1463" s="8" t="str">
        <f>IFERROR(INDEX('nav master'!$C:$C, MATCH(B1463, 'nav master'!$B:$B, 0)), "")</f>
        <v>ULIF 075 09/05/24 MIF 110</v>
      </c>
      <c r="E1463" s="8">
        <v>9.6546000000000003</v>
      </c>
      <c r="F1463" s="9">
        <v>46206</v>
      </c>
    </row>
    <row r="1464" spans="1:6" ht="75" x14ac:dyDescent="0.25">
      <c r="A1464" s="8" t="s">
        <v>63</v>
      </c>
      <c r="B1464" s="8" t="s">
        <v>68</v>
      </c>
      <c r="C1464" s="8" t="str">
        <f>IFERROR(_xlfn.XLOOKUP(TRIM(B1464),Lookup!$B$2:$B$1000,Lookup!$C$2:$C$1000),"")</f>
        <v>Equity - Index (Midcap Momentum)</v>
      </c>
      <c r="D1464" s="8" t="str">
        <f>IFERROR(INDEX('nav master'!$C:$C, MATCH(B1464, 'nav master'!$B:$B, 0)), "")</f>
        <v>ULIF 075 09/05/24 MIF 110</v>
      </c>
      <c r="E1464" s="8">
        <v>9.6956000000000007</v>
      </c>
      <c r="F1464" s="9">
        <v>46209</v>
      </c>
    </row>
    <row r="1465" spans="1:6" ht="75" x14ac:dyDescent="0.25">
      <c r="A1465" s="8" t="s">
        <v>63</v>
      </c>
      <c r="B1465" s="8" t="s">
        <v>68</v>
      </c>
      <c r="C1465" s="8" t="str">
        <f>IFERROR(_xlfn.XLOOKUP(TRIM(B1465),Lookup!$B$2:$B$1000,Lookup!$C$2:$C$1000),"")</f>
        <v>Equity - Index (Midcap Momentum)</v>
      </c>
      <c r="D1465" s="8" t="str">
        <f>IFERROR(INDEX('nav master'!$C:$C, MATCH(B1465, 'nav master'!$B:$B, 0)), "")</f>
        <v>ULIF 075 09/05/24 MIF 110</v>
      </c>
      <c r="E1465" s="8">
        <v>9.5785999999999998</v>
      </c>
      <c r="F1465" s="9">
        <v>46210</v>
      </c>
    </row>
    <row r="1466" spans="1:6" ht="75" x14ac:dyDescent="0.25">
      <c r="A1466" s="8" t="s">
        <v>63</v>
      </c>
      <c r="B1466" s="8" t="s">
        <v>68</v>
      </c>
      <c r="C1466" s="8" t="str">
        <f>IFERROR(_xlfn.XLOOKUP(TRIM(B1466),Lookup!$B$2:$B$1000,Lookup!$C$2:$C$1000),"")</f>
        <v>Equity - Index (Midcap Momentum)</v>
      </c>
      <c r="D1466" s="8" t="str">
        <f>IFERROR(INDEX('nav master'!$C:$C, MATCH(B1466, 'nav master'!$B:$B, 0)), "")</f>
        <v>ULIF 075 09/05/24 MIF 110</v>
      </c>
      <c r="E1466" s="8">
        <v>9.4894999999999996</v>
      </c>
      <c r="F1466" s="9">
        <v>46211</v>
      </c>
    </row>
    <row r="1467" spans="1:6" ht="75" x14ac:dyDescent="0.25">
      <c r="A1467" s="8" t="s">
        <v>63</v>
      </c>
      <c r="B1467" s="8" t="s">
        <v>68</v>
      </c>
      <c r="C1467" s="8" t="str">
        <f>IFERROR(_xlfn.XLOOKUP(TRIM(B1467),Lookup!$B$2:$B$1000,Lookup!$C$2:$C$1000),"")</f>
        <v>Equity - Index (Midcap Momentum)</v>
      </c>
      <c r="D1467" s="8" t="str">
        <f>IFERROR(INDEX('nav master'!$C:$C, MATCH(B1467, 'nav master'!$B:$B, 0)), "")</f>
        <v>ULIF 075 09/05/24 MIF 110</v>
      </c>
      <c r="E1467" s="8">
        <v>9.6290999999999993</v>
      </c>
      <c r="F1467" s="9">
        <v>46212</v>
      </c>
    </row>
    <row r="1468" spans="1:6" ht="75" x14ac:dyDescent="0.25">
      <c r="A1468" s="8" t="s">
        <v>63</v>
      </c>
      <c r="B1468" s="8" t="s">
        <v>68</v>
      </c>
      <c r="C1468" s="8" t="str">
        <f>IFERROR(_xlfn.XLOOKUP(TRIM(B1468),Lookup!$B$2:$B$1000,Lookup!$C$2:$C$1000),"")</f>
        <v>Equity - Index (Midcap Momentum)</v>
      </c>
      <c r="D1468" s="8" t="str">
        <f>IFERROR(INDEX('nav master'!$C:$C, MATCH(B1468, 'nav master'!$B:$B, 0)), "")</f>
        <v>ULIF 075 09/05/24 MIF 110</v>
      </c>
      <c r="E1468" s="8">
        <v>9.7522000000000002</v>
      </c>
      <c r="F1468" s="9">
        <v>46213</v>
      </c>
    </row>
    <row r="1469" spans="1:6" ht="75" x14ac:dyDescent="0.25">
      <c r="A1469" s="8" t="s">
        <v>63</v>
      </c>
      <c r="B1469" s="8" t="s">
        <v>68</v>
      </c>
      <c r="C1469" s="8" t="str">
        <f>IFERROR(_xlfn.XLOOKUP(TRIM(B1469),Lookup!$B$2:$B$1000,Lookup!$C$2:$C$1000),"")</f>
        <v>Equity - Index (Midcap Momentum)</v>
      </c>
      <c r="D1469" s="8" t="str">
        <f>IFERROR(INDEX('nav master'!$C:$C, MATCH(B1469, 'nav master'!$B:$B, 0)), "")</f>
        <v>ULIF 075 09/05/24 MIF 110</v>
      </c>
      <c r="E1469" s="8">
        <v>9.7477</v>
      </c>
      <c r="F1469" s="9">
        <v>46216</v>
      </c>
    </row>
    <row r="1470" spans="1:6" ht="75" x14ac:dyDescent="0.25">
      <c r="A1470" s="8" t="s">
        <v>63</v>
      </c>
      <c r="B1470" s="8" t="s">
        <v>68</v>
      </c>
      <c r="C1470" s="8" t="str">
        <f>IFERROR(_xlfn.XLOOKUP(TRIM(B1470),Lookup!$B$2:$B$1000,Lookup!$C$2:$C$1000),"")</f>
        <v>Equity - Index (Midcap Momentum)</v>
      </c>
      <c r="D1470" s="8" t="str">
        <f>IFERROR(INDEX('nav master'!$C:$C, MATCH(B1470, 'nav master'!$B:$B, 0)), "")</f>
        <v>ULIF 075 09/05/24 MIF 110</v>
      </c>
      <c r="E1470" s="8">
        <v>9.7304999999999993</v>
      </c>
      <c r="F1470" s="9">
        <v>46217</v>
      </c>
    </row>
    <row r="1471" spans="1:6" ht="75" x14ac:dyDescent="0.25">
      <c r="A1471" s="8" t="s">
        <v>63</v>
      </c>
      <c r="B1471" s="8" t="s">
        <v>68</v>
      </c>
      <c r="C1471" s="8" t="str">
        <f>IFERROR(_xlfn.XLOOKUP(TRIM(B1471),Lookup!$B$2:$B$1000,Lookup!$C$2:$C$1000),"")</f>
        <v>Equity - Index (Midcap Momentum)</v>
      </c>
      <c r="D1471" s="8" t="str">
        <f>IFERROR(INDEX('nav master'!$C:$C, MATCH(B1471, 'nav master'!$B:$B, 0)), "")</f>
        <v>ULIF 075 09/05/24 MIF 110</v>
      </c>
      <c r="E1471" s="8">
        <v>9.7751000000000001</v>
      </c>
      <c r="F1471" s="9">
        <v>46218</v>
      </c>
    </row>
    <row r="1472" spans="1:6" ht="75" x14ac:dyDescent="0.25">
      <c r="A1472" s="8" t="s">
        <v>63</v>
      </c>
      <c r="B1472" s="8" t="s">
        <v>68</v>
      </c>
      <c r="C1472" s="8" t="str">
        <f>IFERROR(_xlfn.XLOOKUP(TRIM(B1472),Lookup!$B$2:$B$1000,Lookup!$C$2:$C$1000),"")</f>
        <v>Equity - Index (Midcap Momentum)</v>
      </c>
      <c r="D1472" s="8" t="str">
        <f>IFERROR(INDEX('nav master'!$C:$C, MATCH(B1472, 'nav master'!$B:$B, 0)), "")</f>
        <v>ULIF 075 09/05/24 MIF 110</v>
      </c>
      <c r="E1472" s="8">
        <v>9.7210000000000001</v>
      </c>
      <c r="F1472" s="9">
        <v>46219</v>
      </c>
    </row>
    <row r="1473" spans="1:6" ht="75" x14ac:dyDescent="0.25">
      <c r="A1473" s="8" t="s">
        <v>63</v>
      </c>
      <c r="B1473" s="8" t="s">
        <v>68</v>
      </c>
      <c r="C1473" s="8" t="str">
        <f>IFERROR(_xlfn.XLOOKUP(TRIM(B1473),Lookup!$B$2:$B$1000,Lookup!$C$2:$C$1000),"")</f>
        <v>Equity - Index (Midcap Momentum)</v>
      </c>
      <c r="D1473" s="8" t="str">
        <f>IFERROR(INDEX('nav master'!$C:$C, MATCH(B1473, 'nav master'!$B:$B, 0)), "")</f>
        <v>ULIF 075 09/05/24 MIF 110</v>
      </c>
      <c r="E1473" s="8">
        <v>9.6356000000000002</v>
      </c>
      <c r="F1473" s="9">
        <v>46220</v>
      </c>
    </row>
    <row r="1474" spans="1:6" ht="75" x14ac:dyDescent="0.25">
      <c r="A1474" s="8" t="s">
        <v>63</v>
      </c>
      <c r="B1474" s="8" t="s">
        <v>68</v>
      </c>
      <c r="C1474" s="8" t="str">
        <f>IFERROR(_xlfn.XLOOKUP(TRIM(B1474),Lookup!$B$2:$B$1000,Lookup!$C$2:$C$1000),"")</f>
        <v>Equity - Index (Midcap Momentum)</v>
      </c>
      <c r="D1474" s="8" t="str">
        <f>IFERROR(INDEX('nav master'!$C:$C, MATCH(B1474, 'nav master'!$B:$B, 0)), "")</f>
        <v>ULIF 075 09/05/24 MIF 110</v>
      </c>
      <c r="E1474" s="8">
        <v>9.6997999999999998</v>
      </c>
      <c r="F1474" s="9">
        <v>46223</v>
      </c>
    </row>
    <row r="1475" spans="1:6" ht="75" x14ac:dyDescent="0.25">
      <c r="A1475" s="8" t="s">
        <v>63</v>
      </c>
      <c r="B1475" s="8" t="s">
        <v>68</v>
      </c>
      <c r="C1475" s="8" t="str">
        <f>IFERROR(_xlfn.XLOOKUP(TRIM(B1475),Lookup!$B$2:$B$1000,Lookup!$C$2:$C$1000),"")</f>
        <v>Equity - Index (Midcap Momentum)</v>
      </c>
      <c r="D1475" s="8" t="str">
        <f>IFERROR(INDEX('nav master'!$C:$C, MATCH(B1475, 'nav master'!$B:$B, 0)), "")</f>
        <v>ULIF 075 09/05/24 MIF 110</v>
      </c>
      <c r="E1475" s="8">
        <v>9.7406000000000006</v>
      </c>
      <c r="F1475" s="9">
        <v>46224</v>
      </c>
    </row>
    <row r="1476" spans="1:6" ht="75" x14ac:dyDescent="0.25">
      <c r="A1476" s="8" t="s">
        <v>63</v>
      </c>
      <c r="B1476" s="8" t="s">
        <v>68</v>
      </c>
      <c r="C1476" s="8" t="str">
        <f>IFERROR(_xlfn.XLOOKUP(TRIM(B1476),Lookup!$B$2:$B$1000,Lookup!$C$2:$C$1000),"")</f>
        <v>Equity - Index (Midcap Momentum)</v>
      </c>
      <c r="D1476" s="8" t="str">
        <f>IFERROR(INDEX('nav master'!$C:$C, MATCH(B1476, 'nav master'!$B:$B, 0)), "")</f>
        <v>ULIF 075 09/05/24 MIF 110</v>
      </c>
      <c r="E1476" s="8">
        <v>9.6488999999999994</v>
      </c>
      <c r="F1476" s="9">
        <v>46225</v>
      </c>
    </row>
    <row r="1477" spans="1:6" ht="75" x14ac:dyDescent="0.25">
      <c r="A1477" s="8" t="s">
        <v>63</v>
      </c>
      <c r="B1477" s="8" t="s">
        <v>68</v>
      </c>
      <c r="C1477" s="8" t="str">
        <f>IFERROR(_xlfn.XLOOKUP(TRIM(B1477),Lookup!$B$2:$B$1000,Lookup!$C$2:$C$1000),"")</f>
        <v>Equity - Index (Midcap Momentum)</v>
      </c>
      <c r="D1477" s="8" t="str">
        <f>IFERROR(INDEX('nav master'!$C:$C, MATCH(B1477, 'nav master'!$B:$B, 0)), "")</f>
        <v>ULIF 075 09/05/24 MIF 110</v>
      </c>
      <c r="E1477" s="8">
        <v>9.5481999999999996</v>
      </c>
      <c r="F1477" s="9">
        <v>46226</v>
      </c>
    </row>
    <row r="1478" spans="1:6" ht="75" x14ac:dyDescent="0.25">
      <c r="A1478" s="8" t="s">
        <v>63</v>
      </c>
      <c r="B1478" s="8" t="s">
        <v>68</v>
      </c>
      <c r="C1478" s="8" t="str">
        <f>IFERROR(_xlfn.XLOOKUP(TRIM(B1478),Lookup!$B$2:$B$1000,Lookup!$C$2:$C$1000),"")</f>
        <v>Equity - Index (Midcap Momentum)</v>
      </c>
      <c r="D1478" s="8" t="str">
        <f>IFERROR(INDEX('nav master'!$C:$C, MATCH(B1478, 'nav master'!$B:$B, 0)), "")</f>
        <v>ULIF 075 09/05/24 MIF 110</v>
      </c>
      <c r="E1478" s="8">
        <v>9.5304000000000002</v>
      </c>
      <c r="F1478" s="9">
        <v>46227</v>
      </c>
    </row>
    <row r="1479" spans="1:6" ht="75" x14ac:dyDescent="0.25">
      <c r="A1479" s="8" t="s">
        <v>63</v>
      </c>
      <c r="B1479" s="8" t="s">
        <v>68</v>
      </c>
      <c r="C1479" s="8" t="str">
        <f>IFERROR(_xlfn.XLOOKUP(TRIM(B1479),Lookup!$B$2:$B$1000,Lookup!$C$2:$C$1000),"")</f>
        <v>Equity - Index (Midcap Momentum)</v>
      </c>
      <c r="D1479" s="8" t="str">
        <f>IFERROR(INDEX('nav master'!$C:$C, MATCH(B1479, 'nav master'!$B:$B, 0)), "")</f>
        <v>ULIF 075 09/05/24 MIF 110</v>
      </c>
      <c r="E1479" s="8">
        <v>9.6329999999999991</v>
      </c>
      <c r="F1479" s="9">
        <v>46230</v>
      </c>
    </row>
    <row r="1480" spans="1:6" ht="75" x14ac:dyDescent="0.25">
      <c r="A1480" s="8" t="s">
        <v>63</v>
      </c>
      <c r="B1480" s="8" t="s">
        <v>68</v>
      </c>
      <c r="C1480" s="8" t="str">
        <f>IFERROR(_xlfn.XLOOKUP(TRIM(B1480),Lookup!$B$2:$B$1000,Lookup!$C$2:$C$1000),"")</f>
        <v>Equity - Index (Midcap Momentum)</v>
      </c>
      <c r="D1480" s="8" t="str">
        <f>IFERROR(INDEX('nav master'!$C:$C, MATCH(B1480, 'nav master'!$B:$B, 0)), "")</f>
        <v>ULIF 075 09/05/24 MIF 110</v>
      </c>
      <c r="E1480" s="8">
        <v>9.5975999999999999</v>
      </c>
      <c r="F1480" s="9">
        <v>46231</v>
      </c>
    </row>
    <row r="1481" spans="1:6" ht="75" x14ac:dyDescent="0.25">
      <c r="A1481" s="8" t="s">
        <v>63</v>
      </c>
      <c r="B1481" s="8" t="s">
        <v>68</v>
      </c>
      <c r="C1481" s="8" t="str">
        <f>IFERROR(_xlfn.XLOOKUP(TRIM(B1481),Lookup!$B$2:$B$1000,Lookup!$C$2:$C$1000),"")</f>
        <v>Equity - Index (Midcap Momentum)</v>
      </c>
      <c r="D1481" s="8" t="str">
        <f>IFERROR(INDEX('nav master'!$C:$C, MATCH(B1481, 'nav master'!$B:$B, 0)), "")</f>
        <v>ULIF 075 09/05/24 MIF 110</v>
      </c>
      <c r="E1481" s="8">
        <v>9.6854999999999993</v>
      </c>
      <c r="F1481" s="9">
        <v>46232</v>
      </c>
    </row>
    <row r="1482" spans="1:6" ht="75" x14ac:dyDescent="0.25">
      <c r="A1482" s="8" t="s">
        <v>63</v>
      </c>
      <c r="B1482" s="8" t="s">
        <v>68</v>
      </c>
      <c r="C1482" s="8" t="str">
        <f>IFERROR(_xlfn.XLOOKUP(TRIM(B1482),Lookup!$B$2:$B$1000,Lookup!$C$2:$C$1000),"")</f>
        <v>Equity - Index (Midcap Momentum)</v>
      </c>
      <c r="D1482" s="8" t="str">
        <f>IFERROR(INDEX('nav master'!$C:$C, MATCH(B1482, 'nav master'!$B:$B, 0)), "")</f>
        <v>ULIF 075 09/05/24 MIF 110</v>
      </c>
      <c r="E1482" s="8">
        <v>9.6320999999999994</v>
      </c>
      <c r="F1482" s="9">
        <v>46233</v>
      </c>
    </row>
    <row r="1483" spans="1:6" ht="75" x14ac:dyDescent="0.25">
      <c r="A1483" s="8" t="s">
        <v>63</v>
      </c>
      <c r="B1483" s="8" t="s">
        <v>68</v>
      </c>
      <c r="C1483" s="8" t="str">
        <f>IFERROR(_xlfn.XLOOKUP(TRIM(B1483),Lookup!$B$2:$B$1000,Lookup!$C$2:$C$1000),"")</f>
        <v>Equity - Index (Midcap Momentum)</v>
      </c>
      <c r="D1483" s="8" t="str">
        <f>IFERROR(INDEX('nav master'!$C:$C, MATCH(B1483, 'nav master'!$B:$B, 0)), "")</f>
        <v>ULIF 075 09/05/24 MIF 110</v>
      </c>
      <c r="E1483" s="8">
        <v>9.7513000000000005</v>
      </c>
      <c r="F1483" s="9">
        <v>46234</v>
      </c>
    </row>
    <row r="1484" spans="1:6" ht="60" x14ac:dyDescent="0.25">
      <c r="A1484" s="8" t="s">
        <v>63</v>
      </c>
      <c r="B1484" s="8" t="s">
        <v>69</v>
      </c>
      <c r="C1484" s="8" t="str">
        <f>IFERROR(_xlfn.XLOOKUP(TRIM(B1484),Lookup!$B$2:$B$1000,Lookup!$C$2:$C$1000),"")</f>
        <v>Equity - Index (Momentum 50)</v>
      </c>
      <c r="D1484" s="8" t="str">
        <f>IFERROR(INDEX('nav master'!$C:$C, MATCH(B1484, 'nav master'!$B:$B, 0)), "")</f>
        <v>ULIF 092 25/08/25 MFI 110</v>
      </c>
      <c r="E1484" s="8">
        <v>10</v>
      </c>
      <c r="F1484" s="9">
        <v>45894</v>
      </c>
    </row>
    <row r="1485" spans="1:6" ht="60" x14ac:dyDescent="0.25">
      <c r="A1485" s="8" t="s">
        <v>63</v>
      </c>
      <c r="B1485" s="8" t="s">
        <v>69</v>
      </c>
      <c r="C1485" s="8" t="str">
        <f>IFERROR(_xlfn.XLOOKUP(TRIM(B1485),Lookup!$B$2:$B$1000,Lookup!$C$2:$C$1000),"")</f>
        <v>Equity - Index (Momentum 50)</v>
      </c>
      <c r="D1485" s="8" t="str">
        <f>IFERROR(INDEX('nav master'!$C:$C, MATCH(B1485, 'nav master'!$B:$B, 0)), "")</f>
        <v>ULIF 092 25/08/25 MFI 110</v>
      </c>
      <c r="E1485" s="8">
        <v>9.9351000000000003</v>
      </c>
      <c r="F1485" s="9">
        <v>45895</v>
      </c>
    </row>
    <row r="1486" spans="1:6" ht="60" x14ac:dyDescent="0.25">
      <c r="A1486" s="8" t="s">
        <v>63</v>
      </c>
      <c r="B1486" s="8" t="s">
        <v>69</v>
      </c>
      <c r="C1486" s="8" t="str">
        <f>IFERROR(_xlfn.XLOOKUP(TRIM(B1486),Lookup!$B$2:$B$1000,Lookup!$C$2:$C$1000),"")</f>
        <v>Equity - Index (Momentum 50)</v>
      </c>
      <c r="D1486" s="8" t="str">
        <f>IFERROR(INDEX('nav master'!$C:$C, MATCH(B1486, 'nav master'!$B:$B, 0)), "")</f>
        <v>ULIF 092 25/08/25 MFI 110</v>
      </c>
      <c r="E1486" s="8">
        <v>9.8249999999999993</v>
      </c>
      <c r="F1486" s="9">
        <v>45897</v>
      </c>
    </row>
    <row r="1487" spans="1:6" ht="60" x14ac:dyDescent="0.25">
      <c r="A1487" s="8" t="s">
        <v>63</v>
      </c>
      <c r="B1487" s="8" t="s">
        <v>69</v>
      </c>
      <c r="C1487" s="8" t="str">
        <f>IFERROR(_xlfn.XLOOKUP(TRIM(B1487),Lookup!$B$2:$B$1000,Lookup!$C$2:$C$1000),"")</f>
        <v>Equity - Index (Momentum 50)</v>
      </c>
      <c r="D1487" s="8" t="str">
        <f>IFERROR(INDEX('nav master'!$C:$C, MATCH(B1487, 'nav master'!$B:$B, 0)), "")</f>
        <v>ULIF 092 25/08/25 MFI 110</v>
      </c>
      <c r="E1487" s="8">
        <v>9.7850000000000001</v>
      </c>
      <c r="F1487" s="9">
        <v>45898</v>
      </c>
    </row>
    <row r="1488" spans="1:6" ht="60" x14ac:dyDescent="0.25">
      <c r="A1488" s="8" t="s">
        <v>63</v>
      </c>
      <c r="B1488" s="8" t="s">
        <v>69</v>
      </c>
      <c r="C1488" s="8" t="str">
        <f>IFERROR(_xlfn.XLOOKUP(TRIM(B1488),Lookup!$B$2:$B$1000,Lookup!$C$2:$C$1000),"")</f>
        <v>Equity - Index (Momentum 50)</v>
      </c>
      <c r="D1488" s="8" t="str">
        <f>IFERROR(INDEX('nav master'!$C:$C, MATCH(B1488, 'nav master'!$B:$B, 0)), "")</f>
        <v>ULIF 092 25/08/25 MFI 110</v>
      </c>
      <c r="E1488" s="8">
        <v>9.9275000000000002</v>
      </c>
      <c r="F1488" s="9">
        <v>45901</v>
      </c>
    </row>
    <row r="1489" spans="1:6" ht="60" x14ac:dyDescent="0.25">
      <c r="A1489" s="8" t="s">
        <v>63</v>
      </c>
      <c r="B1489" s="8" t="s">
        <v>69</v>
      </c>
      <c r="C1489" s="8" t="str">
        <f>IFERROR(_xlfn.XLOOKUP(TRIM(B1489),Lookup!$B$2:$B$1000,Lookup!$C$2:$C$1000),"")</f>
        <v>Equity - Index (Momentum 50)</v>
      </c>
      <c r="D1489" s="8" t="str">
        <f>IFERROR(INDEX('nav master'!$C:$C, MATCH(B1489, 'nav master'!$B:$B, 0)), "")</f>
        <v>ULIF 092 25/08/25 MFI 110</v>
      </c>
      <c r="E1489" s="8">
        <v>9.9266000000000005</v>
      </c>
      <c r="F1489" s="9">
        <v>45902</v>
      </c>
    </row>
    <row r="1490" spans="1:6" ht="60" x14ac:dyDescent="0.25">
      <c r="A1490" s="8" t="s">
        <v>63</v>
      </c>
      <c r="B1490" s="8" t="s">
        <v>69</v>
      </c>
      <c r="C1490" s="8" t="str">
        <f>IFERROR(_xlfn.XLOOKUP(TRIM(B1490),Lookup!$B$2:$B$1000,Lookup!$C$2:$C$1000),"")</f>
        <v>Equity - Index (Momentum 50)</v>
      </c>
      <c r="D1490" s="8" t="str">
        <f>IFERROR(INDEX('nav master'!$C:$C, MATCH(B1490, 'nav master'!$B:$B, 0)), "")</f>
        <v>ULIF 092 25/08/25 MFI 110</v>
      </c>
      <c r="E1490" s="8">
        <v>9.9938000000000002</v>
      </c>
      <c r="F1490" s="9">
        <v>45903</v>
      </c>
    </row>
    <row r="1491" spans="1:6" ht="60" x14ac:dyDescent="0.25">
      <c r="A1491" s="8" t="s">
        <v>63</v>
      </c>
      <c r="B1491" s="8" t="s">
        <v>69</v>
      </c>
      <c r="C1491" s="8" t="str">
        <f>IFERROR(_xlfn.XLOOKUP(TRIM(B1491),Lookup!$B$2:$B$1000,Lookup!$C$2:$C$1000),"")</f>
        <v>Equity - Index (Momentum 50)</v>
      </c>
      <c r="D1491" s="8" t="str">
        <f>IFERROR(INDEX('nav master'!$C:$C, MATCH(B1491, 'nav master'!$B:$B, 0)), "")</f>
        <v>ULIF 092 25/08/25 MFI 110</v>
      </c>
      <c r="E1491" s="8">
        <v>9.9177</v>
      </c>
      <c r="F1491" s="9">
        <v>45904</v>
      </c>
    </row>
    <row r="1492" spans="1:6" ht="60" x14ac:dyDescent="0.25">
      <c r="A1492" s="8" t="s">
        <v>63</v>
      </c>
      <c r="B1492" s="8" t="s">
        <v>69</v>
      </c>
      <c r="C1492" s="8" t="str">
        <f>IFERROR(_xlfn.XLOOKUP(TRIM(B1492),Lookup!$B$2:$B$1000,Lookup!$C$2:$C$1000),"")</f>
        <v>Equity - Index (Momentum 50)</v>
      </c>
      <c r="D1492" s="8" t="str">
        <f>IFERROR(INDEX('nav master'!$C:$C, MATCH(B1492, 'nav master'!$B:$B, 0)), "")</f>
        <v>ULIF 092 25/08/25 MFI 110</v>
      </c>
      <c r="E1492" s="8">
        <v>9.8903999999999996</v>
      </c>
      <c r="F1492" s="9">
        <v>45905</v>
      </c>
    </row>
    <row r="1493" spans="1:6" ht="60" x14ac:dyDescent="0.25">
      <c r="A1493" s="8" t="s">
        <v>63</v>
      </c>
      <c r="B1493" s="8" t="s">
        <v>69</v>
      </c>
      <c r="C1493" s="8" t="str">
        <f>IFERROR(_xlfn.XLOOKUP(TRIM(B1493),Lookup!$B$2:$B$1000,Lookup!$C$2:$C$1000),"")</f>
        <v>Equity - Index (Momentum 50)</v>
      </c>
      <c r="D1493" s="8" t="str">
        <f>IFERROR(INDEX('nav master'!$C:$C, MATCH(B1493, 'nav master'!$B:$B, 0)), "")</f>
        <v>ULIF 092 25/08/25 MFI 110</v>
      </c>
      <c r="E1493" s="8">
        <v>9.8818999999999999</v>
      </c>
      <c r="F1493" s="9">
        <v>45908</v>
      </c>
    </row>
    <row r="1494" spans="1:6" ht="60" x14ac:dyDescent="0.25">
      <c r="A1494" s="8" t="s">
        <v>63</v>
      </c>
      <c r="B1494" s="8" t="s">
        <v>69</v>
      </c>
      <c r="C1494" s="8" t="str">
        <f>IFERROR(_xlfn.XLOOKUP(TRIM(B1494),Lookup!$B$2:$B$1000,Lookup!$C$2:$C$1000),"")</f>
        <v>Equity - Index (Momentum 50)</v>
      </c>
      <c r="D1494" s="8" t="str">
        <f>IFERROR(INDEX('nav master'!$C:$C, MATCH(B1494, 'nav master'!$B:$B, 0)), "")</f>
        <v>ULIF 092 25/08/25 MFI 110</v>
      </c>
      <c r="E1494" s="8">
        <v>9.9438999999999993</v>
      </c>
      <c r="F1494" s="9">
        <v>45909</v>
      </c>
    </row>
    <row r="1495" spans="1:6" ht="60" x14ac:dyDescent="0.25">
      <c r="A1495" s="8" t="s">
        <v>63</v>
      </c>
      <c r="B1495" s="8" t="s">
        <v>69</v>
      </c>
      <c r="C1495" s="8" t="str">
        <f>IFERROR(_xlfn.XLOOKUP(TRIM(B1495),Lookup!$B$2:$B$1000,Lookup!$C$2:$C$1000),"")</f>
        <v>Equity - Index (Momentum 50)</v>
      </c>
      <c r="D1495" s="8" t="str">
        <f>IFERROR(INDEX('nav master'!$C:$C, MATCH(B1495, 'nav master'!$B:$B, 0)), "")</f>
        <v>ULIF 092 25/08/25 MFI 110</v>
      </c>
      <c r="E1495" s="8">
        <v>10.0411</v>
      </c>
      <c r="F1495" s="9">
        <v>45910</v>
      </c>
    </row>
    <row r="1496" spans="1:6" ht="60" x14ac:dyDescent="0.25">
      <c r="A1496" s="8" t="s">
        <v>63</v>
      </c>
      <c r="B1496" s="8" t="s">
        <v>69</v>
      </c>
      <c r="C1496" s="8" t="str">
        <f>IFERROR(_xlfn.XLOOKUP(TRIM(B1496),Lookup!$B$2:$B$1000,Lookup!$C$2:$C$1000),"")</f>
        <v>Equity - Index (Momentum 50)</v>
      </c>
      <c r="D1496" s="8" t="str">
        <f>IFERROR(INDEX('nav master'!$C:$C, MATCH(B1496, 'nav master'!$B:$B, 0)), "")</f>
        <v>ULIF 092 25/08/25 MFI 110</v>
      </c>
      <c r="E1496" s="8">
        <v>10.0479</v>
      </c>
      <c r="F1496" s="9">
        <v>45911</v>
      </c>
    </row>
    <row r="1497" spans="1:6" ht="60" x14ac:dyDescent="0.25">
      <c r="A1497" s="8" t="s">
        <v>63</v>
      </c>
      <c r="B1497" s="8" t="s">
        <v>69</v>
      </c>
      <c r="C1497" s="8" t="str">
        <f>IFERROR(_xlfn.XLOOKUP(TRIM(B1497),Lookup!$B$2:$B$1000,Lookup!$C$2:$C$1000),"")</f>
        <v>Equity - Index (Momentum 50)</v>
      </c>
      <c r="D1497" s="8" t="str">
        <f>IFERROR(INDEX('nav master'!$C:$C, MATCH(B1497, 'nav master'!$B:$B, 0)), "")</f>
        <v>ULIF 092 25/08/25 MFI 110</v>
      </c>
      <c r="E1497" s="8">
        <v>10.086600000000001</v>
      </c>
      <c r="F1497" s="9">
        <v>45912</v>
      </c>
    </row>
    <row r="1498" spans="1:6" ht="60" x14ac:dyDescent="0.25">
      <c r="A1498" s="8" t="s">
        <v>63</v>
      </c>
      <c r="B1498" s="8" t="s">
        <v>69</v>
      </c>
      <c r="C1498" s="8" t="str">
        <f>IFERROR(_xlfn.XLOOKUP(TRIM(B1498),Lookup!$B$2:$B$1000,Lookup!$C$2:$C$1000),"")</f>
        <v>Equity - Index (Momentum 50)</v>
      </c>
      <c r="D1498" s="8" t="str">
        <f>IFERROR(INDEX('nav master'!$C:$C, MATCH(B1498, 'nav master'!$B:$B, 0)), "")</f>
        <v>ULIF 092 25/08/25 MFI 110</v>
      </c>
      <c r="E1498" s="8">
        <v>10.111499999999999</v>
      </c>
      <c r="F1498" s="9">
        <v>45915</v>
      </c>
    </row>
    <row r="1499" spans="1:6" ht="60" x14ac:dyDescent="0.25">
      <c r="A1499" s="8" t="s">
        <v>63</v>
      </c>
      <c r="B1499" s="8" t="s">
        <v>69</v>
      </c>
      <c r="C1499" s="8" t="str">
        <f>IFERROR(_xlfn.XLOOKUP(TRIM(B1499),Lookup!$B$2:$B$1000,Lookup!$C$2:$C$1000),"")</f>
        <v>Equity - Index (Momentum 50)</v>
      </c>
      <c r="D1499" s="8" t="str">
        <f>IFERROR(INDEX('nav master'!$C:$C, MATCH(B1499, 'nav master'!$B:$B, 0)), "")</f>
        <v>ULIF 092 25/08/25 MFI 110</v>
      </c>
      <c r="E1499" s="8">
        <v>10.1814</v>
      </c>
      <c r="F1499" s="9">
        <v>45916</v>
      </c>
    </row>
    <row r="1500" spans="1:6" ht="60" x14ac:dyDescent="0.25">
      <c r="A1500" s="8" t="s">
        <v>63</v>
      </c>
      <c r="B1500" s="8" t="s">
        <v>69</v>
      </c>
      <c r="C1500" s="8" t="str">
        <f>IFERROR(_xlfn.XLOOKUP(TRIM(B1500),Lookup!$B$2:$B$1000,Lookup!$C$2:$C$1000),"")</f>
        <v>Equity - Index (Momentum 50)</v>
      </c>
      <c r="D1500" s="8" t="str">
        <f>IFERROR(INDEX('nav master'!$C:$C, MATCH(B1500, 'nav master'!$B:$B, 0)), "")</f>
        <v>ULIF 092 25/08/25 MFI 110</v>
      </c>
      <c r="E1500" s="8">
        <v>10.212899999999999</v>
      </c>
      <c r="F1500" s="9">
        <v>45917</v>
      </c>
    </row>
    <row r="1501" spans="1:6" ht="60" x14ac:dyDescent="0.25">
      <c r="A1501" s="8" t="s">
        <v>63</v>
      </c>
      <c r="B1501" s="8" t="s">
        <v>69</v>
      </c>
      <c r="C1501" s="8" t="str">
        <f>IFERROR(_xlfn.XLOOKUP(TRIM(B1501),Lookup!$B$2:$B$1000,Lookup!$C$2:$C$1000),"")</f>
        <v>Equity - Index (Momentum 50)</v>
      </c>
      <c r="D1501" s="8" t="str">
        <f>IFERROR(INDEX('nav master'!$C:$C, MATCH(B1501, 'nav master'!$B:$B, 0)), "")</f>
        <v>ULIF 092 25/08/25 MFI 110</v>
      </c>
      <c r="E1501" s="8">
        <v>10.186299999999999</v>
      </c>
      <c r="F1501" s="9">
        <v>45918</v>
      </c>
    </row>
    <row r="1502" spans="1:6" ht="60" x14ac:dyDescent="0.25">
      <c r="A1502" s="8" t="s">
        <v>63</v>
      </c>
      <c r="B1502" s="8" t="s">
        <v>69</v>
      </c>
      <c r="C1502" s="8" t="str">
        <f>IFERROR(_xlfn.XLOOKUP(TRIM(B1502),Lookup!$B$2:$B$1000,Lookup!$C$2:$C$1000),"")</f>
        <v>Equity - Index (Momentum 50)</v>
      </c>
      <c r="D1502" s="8" t="str">
        <f>IFERROR(INDEX('nav master'!$C:$C, MATCH(B1502, 'nav master'!$B:$B, 0)), "")</f>
        <v>ULIF 092 25/08/25 MFI 110</v>
      </c>
      <c r="E1502" s="8">
        <v>10.140700000000001</v>
      </c>
      <c r="F1502" s="9">
        <v>45919</v>
      </c>
    </row>
    <row r="1503" spans="1:6" ht="60" x14ac:dyDescent="0.25">
      <c r="A1503" s="8" t="s">
        <v>63</v>
      </c>
      <c r="B1503" s="8" t="s">
        <v>69</v>
      </c>
      <c r="C1503" s="8" t="str">
        <f>IFERROR(_xlfn.XLOOKUP(TRIM(B1503),Lookup!$B$2:$B$1000,Lookup!$C$2:$C$1000),"")</f>
        <v>Equity - Index (Momentum 50)</v>
      </c>
      <c r="D1503" s="8" t="str">
        <f>IFERROR(INDEX('nav master'!$C:$C, MATCH(B1503, 'nav master'!$B:$B, 0)), "")</f>
        <v>ULIF 092 25/08/25 MFI 110</v>
      </c>
      <c r="E1503" s="8">
        <v>10.0992</v>
      </c>
      <c r="F1503" s="9">
        <v>45922</v>
      </c>
    </row>
    <row r="1504" spans="1:6" ht="60" x14ac:dyDescent="0.25">
      <c r="A1504" s="8" t="s">
        <v>63</v>
      </c>
      <c r="B1504" s="8" t="s">
        <v>69</v>
      </c>
      <c r="C1504" s="8" t="str">
        <f>IFERROR(_xlfn.XLOOKUP(TRIM(B1504),Lookup!$B$2:$B$1000,Lookup!$C$2:$C$1000),"")</f>
        <v>Equity - Index (Momentum 50)</v>
      </c>
      <c r="D1504" s="8" t="str">
        <f>IFERROR(INDEX('nav master'!$C:$C, MATCH(B1504, 'nav master'!$B:$B, 0)), "")</f>
        <v>ULIF 092 25/08/25 MFI 110</v>
      </c>
      <c r="E1504" s="8">
        <v>10.079499999999999</v>
      </c>
      <c r="F1504" s="9">
        <v>45923</v>
      </c>
    </row>
    <row r="1505" spans="1:6" ht="60" x14ac:dyDescent="0.25">
      <c r="A1505" s="8" t="s">
        <v>63</v>
      </c>
      <c r="B1505" s="8" t="s">
        <v>69</v>
      </c>
      <c r="C1505" s="8" t="str">
        <f>IFERROR(_xlfn.XLOOKUP(TRIM(B1505),Lookup!$B$2:$B$1000,Lookup!$C$2:$C$1000),"")</f>
        <v>Equity - Index (Momentum 50)</v>
      </c>
      <c r="D1505" s="8" t="str">
        <f>IFERROR(INDEX('nav master'!$C:$C, MATCH(B1505, 'nav master'!$B:$B, 0)), "")</f>
        <v>ULIF 092 25/08/25 MFI 110</v>
      </c>
      <c r="E1505" s="8">
        <v>10.024800000000001</v>
      </c>
      <c r="F1505" s="9">
        <v>45924</v>
      </c>
    </row>
    <row r="1506" spans="1:6" ht="60" x14ac:dyDescent="0.25">
      <c r="A1506" s="8" t="s">
        <v>63</v>
      </c>
      <c r="B1506" s="8" t="s">
        <v>69</v>
      </c>
      <c r="C1506" s="8" t="str">
        <f>IFERROR(_xlfn.XLOOKUP(TRIM(B1506),Lookup!$B$2:$B$1000,Lookup!$C$2:$C$1000),"")</f>
        <v>Equity - Index (Momentum 50)</v>
      </c>
      <c r="D1506" s="8" t="str">
        <f>IFERROR(INDEX('nav master'!$C:$C, MATCH(B1506, 'nav master'!$B:$B, 0)), "")</f>
        <v>ULIF 092 25/08/25 MFI 110</v>
      </c>
      <c r="E1506" s="8">
        <v>9.9651999999999994</v>
      </c>
      <c r="F1506" s="9">
        <v>45925</v>
      </c>
    </row>
    <row r="1507" spans="1:6" ht="60" x14ac:dyDescent="0.25">
      <c r="A1507" s="8" t="s">
        <v>63</v>
      </c>
      <c r="B1507" s="8" t="s">
        <v>69</v>
      </c>
      <c r="C1507" s="8" t="str">
        <f>IFERROR(_xlfn.XLOOKUP(TRIM(B1507),Lookup!$B$2:$B$1000,Lookup!$C$2:$C$1000),"")</f>
        <v>Equity - Index (Momentum 50)</v>
      </c>
      <c r="D1507" s="8" t="str">
        <f>IFERROR(INDEX('nav master'!$C:$C, MATCH(B1507, 'nav master'!$B:$B, 0)), "")</f>
        <v>ULIF 092 25/08/25 MFI 110</v>
      </c>
      <c r="E1507" s="8">
        <v>9.7713000000000001</v>
      </c>
      <c r="F1507" s="9">
        <v>45926</v>
      </c>
    </row>
    <row r="1508" spans="1:6" ht="60" x14ac:dyDescent="0.25">
      <c r="A1508" s="8" t="s">
        <v>63</v>
      </c>
      <c r="B1508" s="8" t="s">
        <v>69</v>
      </c>
      <c r="C1508" s="8" t="str">
        <f>IFERROR(_xlfn.XLOOKUP(TRIM(B1508),Lookup!$B$2:$B$1000,Lookup!$C$2:$C$1000),"")</f>
        <v>Equity - Index (Momentum 50)</v>
      </c>
      <c r="D1508" s="8" t="str">
        <f>IFERROR(INDEX('nav master'!$C:$C, MATCH(B1508, 'nav master'!$B:$B, 0)), "")</f>
        <v>ULIF 092 25/08/25 MFI 110</v>
      </c>
      <c r="E1508" s="8">
        <v>9.7638999999999996</v>
      </c>
      <c r="F1508" s="9">
        <v>45929</v>
      </c>
    </row>
    <row r="1509" spans="1:6" ht="60" x14ac:dyDescent="0.25">
      <c r="A1509" s="8" t="s">
        <v>63</v>
      </c>
      <c r="B1509" s="8" t="s">
        <v>69</v>
      </c>
      <c r="C1509" s="8" t="str">
        <f>IFERROR(_xlfn.XLOOKUP(TRIM(B1509),Lookup!$B$2:$B$1000,Lookup!$C$2:$C$1000),"")</f>
        <v>Equity - Index (Momentum 50)</v>
      </c>
      <c r="D1509" s="8" t="str">
        <f>IFERROR(INDEX('nav master'!$C:$C, MATCH(B1509, 'nav master'!$B:$B, 0)), "")</f>
        <v>ULIF 092 25/08/25 MFI 110</v>
      </c>
      <c r="E1509" s="8">
        <v>9.7356999999999996</v>
      </c>
      <c r="F1509" s="9">
        <v>45930</v>
      </c>
    </row>
    <row r="1510" spans="1:6" ht="60" x14ac:dyDescent="0.25">
      <c r="A1510" s="8" t="s">
        <v>63</v>
      </c>
      <c r="B1510" s="8" t="s">
        <v>69</v>
      </c>
      <c r="C1510" s="8" t="str">
        <f>IFERROR(_xlfn.XLOOKUP(TRIM(B1510),Lookup!$B$2:$B$1000,Lookup!$C$2:$C$1000),"")</f>
        <v>Equity - Index (Momentum 50)</v>
      </c>
      <c r="D1510" s="8" t="str">
        <f>IFERROR(INDEX('nav master'!$C:$C, MATCH(B1510, 'nav master'!$B:$B, 0)), "")</f>
        <v>ULIF 092 25/08/25 MFI 110</v>
      </c>
      <c r="E1510" s="8">
        <v>9.8074999999999992</v>
      </c>
      <c r="F1510" s="9">
        <v>45931</v>
      </c>
    </row>
    <row r="1511" spans="1:6" ht="60" x14ac:dyDescent="0.25">
      <c r="A1511" s="8" t="s">
        <v>63</v>
      </c>
      <c r="B1511" s="8" t="s">
        <v>69</v>
      </c>
      <c r="C1511" s="8" t="str">
        <f>IFERROR(_xlfn.XLOOKUP(TRIM(B1511),Lookup!$B$2:$B$1000,Lookup!$C$2:$C$1000),"")</f>
        <v>Equity - Index (Momentum 50)</v>
      </c>
      <c r="D1511" s="8" t="str">
        <f>IFERROR(INDEX('nav master'!$C:$C, MATCH(B1511, 'nav master'!$B:$B, 0)), "")</f>
        <v>ULIF 092 25/08/25 MFI 110</v>
      </c>
      <c r="E1511" s="8">
        <v>9.8462999999999994</v>
      </c>
      <c r="F1511" s="9">
        <v>45933</v>
      </c>
    </row>
    <row r="1512" spans="1:6" ht="60" x14ac:dyDescent="0.25">
      <c r="A1512" s="8" t="s">
        <v>63</v>
      </c>
      <c r="B1512" s="8" t="s">
        <v>69</v>
      </c>
      <c r="C1512" s="8" t="str">
        <f>IFERROR(_xlfn.XLOOKUP(TRIM(B1512),Lookup!$B$2:$B$1000,Lookup!$C$2:$C$1000),"")</f>
        <v>Equity - Index (Momentum 50)</v>
      </c>
      <c r="D1512" s="8" t="str">
        <f>IFERROR(INDEX('nav master'!$C:$C, MATCH(B1512, 'nav master'!$B:$B, 0)), "")</f>
        <v>ULIF 092 25/08/25 MFI 110</v>
      </c>
      <c r="E1512" s="8">
        <v>9.9896999999999991</v>
      </c>
      <c r="F1512" s="9">
        <v>45936</v>
      </c>
    </row>
    <row r="1513" spans="1:6" ht="60" x14ac:dyDescent="0.25">
      <c r="A1513" s="8" t="s">
        <v>63</v>
      </c>
      <c r="B1513" s="8" t="s">
        <v>69</v>
      </c>
      <c r="C1513" s="8" t="str">
        <f>IFERROR(_xlfn.XLOOKUP(TRIM(B1513),Lookup!$B$2:$B$1000,Lookup!$C$2:$C$1000),"")</f>
        <v>Equity - Index (Momentum 50)</v>
      </c>
      <c r="D1513" s="8" t="str">
        <f>IFERROR(INDEX('nav master'!$C:$C, MATCH(B1513, 'nav master'!$B:$B, 0)), "")</f>
        <v>ULIF 092 25/08/25 MFI 110</v>
      </c>
      <c r="E1513" s="8">
        <v>10.036899999999999</v>
      </c>
      <c r="F1513" s="9">
        <v>45937</v>
      </c>
    </row>
    <row r="1514" spans="1:6" ht="60" x14ac:dyDescent="0.25">
      <c r="A1514" s="8" t="s">
        <v>63</v>
      </c>
      <c r="B1514" s="8" t="s">
        <v>69</v>
      </c>
      <c r="C1514" s="8" t="str">
        <f>IFERROR(_xlfn.XLOOKUP(TRIM(B1514),Lookup!$B$2:$B$1000,Lookup!$C$2:$C$1000),"")</f>
        <v>Equity - Index (Momentum 50)</v>
      </c>
      <c r="D1514" s="8" t="str">
        <f>IFERROR(INDEX('nav master'!$C:$C, MATCH(B1514, 'nav master'!$B:$B, 0)), "")</f>
        <v>ULIF 092 25/08/25 MFI 110</v>
      </c>
      <c r="E1514" s="8">
        <v>10.014200000000001</v>
      </c>
      <c r="F1514" s="9">
        <v>45938</v>
      </c>
    </row>
    <row r="1515" spans="1:6" ht="60" x14ac:dyDescent="0.25">
      <c r="A1515" s="8" t="s">
        <v>63</v>
      </c>
      <c r="B1515" s="8" t="s">
        <v>69</v>
      </c>
      <c r="C1515" s="8" t="str">
        <f>IFERROR(_xlfn.XLOOKUP(TRIM(B1515),Lookup!$B$2:$B$1000,Lookup!$C$2:$C$1000),"")</f>
        <v>Equity - Index (Momentum 50)</v>
      </c>
      <c r="D1515" s="8" t="str">
        <f>IFERROR(INDEX('nav master'!$C:$C, MATCH(B1515, 'nav master'!$B:$B, 0)), "")</f>
        <v>ULIF 092 25/08/25 MFI 110</v>
      </c>
      <c r="E1515" s="8">
        <v>10.064299999999999</v>
      </c>
      <c r="F1515" s="9">
        <v>45939</v>
      </c>
    </row>
    <row r="1516" spans="1:6" ht="60" x14ac:dyDescent="0.25">
      <c r="A1516" s="8" t="s">
        <v>63</v>
      </c>
      <c r="B1516" s="8" t="s">
        <v>69</v>
      </c>
      <c r="C1516" s="8" t="str">
        <f>IFERROR(_xlfn.XLOOKUP(TRIM(B1516),Lookup!$B$2:$B$1000,Lookup!$C$2:$C$1000),"")</f>
        <v>Equity - Index (Momentum 50)</v>
      </c>
      <c r="D1516" s="8" t="str">
        <f>IFERROR(INDEX('nav master'!$C:$C, MATCH(B1516, 'nav master'!$B:$B, 0)), "")</f>
        <v>ULIF 092 25/08/25 MFI 110</v>
      </c>
      <c r="E1516" s="8">
        <v>10.1114</v>
      </c>
      <c r="F1516" s="9">
        <v>45940</v>
      </c>
    </row>
    <row r="1517" spans="1:6" ht="60" x14ac:dyDescent="0.25">
      <c r="A1517" s="8" t="s">
        <v>63</v>
      </c>
      <c r="B1517" s="8" t="s">
        <v>69</v>
      </c>
      <c r="C1517" s="8" t="str">
        <f>IFERROR(_xlfn.XLOOKUP(TRIM(B1517),Lookup!$B$2:$B$1000,Lookup!$C$2:$C$1000),"")</f>
        <v>Equity - Index (Momentum 50)</v>
      </c>
      <c r="D1517" s="8" t="str">
        <f>IFERROR(INDEX('nav master'!$C:$C, MATCH(B1517, 'nav master'!$B:$B, 0)), "")</f>
        <v>ULIF 092 25/08/25 MFI 110</v>
      </c>
      <c r="E1517" s="8">
        <v>10.1564</v>
      </c>
      <c r="F1517" s="9">
        <v>45943</v>
      </c>
    </row>
    <row r="1518" spans="1:6" ht="60" x14ac:dyDescent="0.25">
      <c r="A1518" s="8" t="s">
        <v>63</v>
      </c>
      <c r="B1518" s="8" t="s">
        <v>69</v>
      </c>
      <c r="C1518" s="8" t="str">
        <f>IFERROR(_xlfn.XLOOKUP(TRIM(B1518),Lookup!$B$2:$B$1000,Lookup!$C$2:$C$1000),"")</f>
        <v>Equity - Index (Momentum 50)</v>
      </c>
      <c r="D1518" s="8" t="str">
        <f>IFERROR(INDEX('nav master'!$C:$C, MATCH(B1518, 'nav master'!$B:$B, 0)), "")</f>
        <v>ULIF 092 25/08/25 MFI 110</v>
      </c>
      <c r="E1518" s="8">
        <v>10.1149</v>
      </c>
      <c r="F1518" s="9">
        <v>45944</v>
      </c>
    </row>
    <row r="1519" spans="1:6" ht="60" x14ac:dyDescent="0.25">
      <c r="A1519" s="8" t="s">
        <v>63</v>
      </c>
      <c r="B1519" s="8" t="s">
        <v>69</v>
      </c>
      <c r="C1519" s="8" t="str">
        <f>IFERROR(_xlfn.XLOOKUP(TRIM(B1519),Lookup!$B$2:$B$1000,Lookup!$C$2:$C$1000),"")</f>
        <v>Equity - Index (Momentum 50)</v>
      </c>
      <c r="D1519" s="8" t="str">
        <f>IFERROR(INDEX('nav master'!$C:$C, MATCH(B1519, 'nav master'!$B:$B, 0)), "")</f>
        <v>ULIF 092 25/08/25 MFI 110</v>
      </c>
      <c r="E1519" s="8">
        <v>10.1997</v>
      </c>
      <c r="F1519" s="9">
        <v>45945</v>
      </c>
    </row>
    <row r="1520" spans="1:6" ht="60" x14ac:dyDescent="0.25">
      <c r="A1520" s="8" t="s">
        <v>63</v>
      </c>
      <c r="B1520" s="8" t="s">
        <v>69</v>
      </c>
      <c r="C1520" s="8" t="str">
        <f>IFERROR(_xlfn.XLOOKUP(TRIM(B1520),Lookup!$B$2:$B$1000,Lookup!$C$2:$C$1000),"")</f>
        <v>Equity - Index (Momentum 50)</v>
      </c>
      <c r="D1520" s="8" t="str">
        <f>IFERROR(INDEX('nav master'!$C:$C, MATCH(B1520, 'nav master'!$B:$B, 0)), "")</f>
        <v>ULIF 092 25/08/25 MFI 110</v>
      </c>
      <c r="E1520" s="8">
        <v>10.235099999999999</v>
      </c>
      <c r="F1520" s="9">
        <v>45946</v>
      </c>
    </row>
    <row r="1521" spans="1:6" ht="60" x14ac:dyDescent="0.25">
      <c r="A1521" s="8" t="s">
        <v>63</v>
      </c>
      <c r="B1521" s="8" t="s">
        <v>69</v>
      </c>
      <c r="C1521" s="8" t="str">
        <f>IFERROR(_xlfn.XLOOKUP(TRIM(B1521),Lookup!$B$2:$B$1000,Lookup!$C$2:$C$1000),"")</f>
        <v>Equity - Index (Momentum 50)</v>
      </c>
      <c r="D1521" s="8" t="str">
        <f>IFERROR(INDEX('nav master'!$C:$C, MATCH(B1521, 'nav master'!$B:$B, 0)), "")</f>
        <v>ULIF 092 25/08/25 MFI 110</v>
      </c>
      <c r="E1521" s="8">
        <v>10.2751</v>
      </c>
      <c r="F1521" s="9">
        <v>45947</v>
      </c>
    </row>
    <row r="1522" spans="1:6" ht="60" x14ac:dyDescent="0.25">
      <c r="A1522" s="8" t="s">
        <v>63</v>
      </c>
      <c r="B1522" s="8" t="s">
        <v>69</v>
      </c>
      <c r="C1522" s="8" t="str">
        <f>IFERROR(_xlfn.XLOOKUP(TRIM(B1522),Lookup!$B$2:$B$1000,Lookup!$C$2:$C$1000),"")</f>
        <v>Equity - Index (Momentum 50)</v>
      </c>
      <c r="D1522" s="8" t="str">
        <f>IFERROR(INDEX('nav master'!$C:$C, MATCH(B1522, 'nav master'!$B:$B, 0)), "")</f>
        <v>ULIF 092 25/08/25 MFI 110</v>
      </c>
      <c r="E1522" s="8">
        <v>10.292899999999999</v>
      </c>
      <c r="F1522" s="9">
        <v>45950</v>
      </c>
    </row>
    <row r="1523" spans="1:6" ht="60" x14ac:dyDescent="0.25">
      <c r="A1523" s="8" t="s">
        <v>63</v>
      </c>
      <c r="B1523" s="8" t="s">
        <v>69</v>
      </c>
      <c r="C1523" s="8" t="str">
        <f>IFERROR(_xlfn.XLOOKUP(TRIM(B1523),Lookup!$B$2:$B$1000,Lookup!$C$2:$C$1000),"")</f>
        <v>Equity - Index (Momentum 50)</v>
      </c>
      <c r="D1523" s="8" t="str">
        <f>IFERROR(INDEX('nav master'!$C:$C, MATCH(B1523, 'nav master'!$B:$B, 0)), "")</f>
        <v>ULIF 092 25/08/25 MFI 110</v>
      </c>
      <c r="E1523" s="8">
        <v>10.213800000000001</v>
      </c>
      <c r="F1523" s="9">
        <v>45953</v>
      </c>
    </row>
    <row r="1524" spans="1:6" ht="60" x14ac:dyDescent="0.25">
      <c r="A1524" s="8" t="s">
        <v>63</v>
      </c>
      <c r="B1524" s="8" t="s">
        <v>69</v>
      </c>
      <c r="C1524" s="8" t="str">
        <f>IFERROR(_xlfn.XLOOKUP(TRIM(B1524),Lookup!$B$2:$B$1000,Lookup!$C$2:$C$1000),"")</f>
        <v>Equity - Index (Momentum 50)</v>
      </c>
      <c r="D1524" s="8" t="str">
        <f>IFERROR(INDEX('nav master'!$C:$C, MATCH(B1524, 'nav master'!$B:$B, 0)), "")</f>
        <v>ULIF 092 25/08/25 MFI 110</v>
      </c>
      <c r="E1524" s="8">
        <v>10.1578</v>
      </c>
      <c r="F1524" s="9">
        <v>45954</v>
      </c>
    </row>
    <row r="1525" spans="1:6" ht="60" x14ac:dyDescent="0.25">
      <c r="A1525" s="8" t="s">
        <v>63</v>
      </c>
      <c r="B1525" s="8" t="s">
        <v>69</v>
      </c>
      <c r="C1525" s="8" t="str">
        <f>IFERROR(_xlfn.XLOOKUP(TRIM(B1525),Lookup!$B$2:$B$1000,Lookup!$C$2:$C$1000),"")</f>
        <v>Equity - Index (Momentum 50)</v>
      </c>
      <c r="D1525" s="8" t="str">
        <f>IFERROR(INDEX('nav master'!$C:$C, MATCH(B1525, 'nav master'!$B:$B, 0)), "")</f>
        <v>ULIF 092 25/08/25 MFI 110</v>
      </c>
      <c r="E1525" s="8">
        <v>10.241099999999999</v>
      </c>
      <c r="F1525" s="9">
        <v>45957</v>
      </c>
    </row>
    <row r="1526" spans="1:6" ht="60" x14ac:dyDescent="0.25">
      <c r="A1526" s="8" t="s">
        <v>63</v>
      </c>
      <c r="B1526" s="8" t="s">
        <v>69</v>
      </c>
      <c r="C1526" s="8" t="str">
        <f>IFERROR(_xlfn.XLOOKUP(TRIM(B1526),Lookup!$B$2:$B$1000,Lookup!$C$2:$C$1000),"")</f>
        <v>Equity - Index (Momentum 50)</v>
      </c>
      <c r="D1526" s="8" t="str">
        <f>IFERROR(INDEX('nav master'!$C:$C, MATCH(B1526, 'nav master'!$B:$B, 0)), "")</f>
        <v>ULIF 092 25/08/25 MFI 110</v>
      </c>
      <c r="E1526" s="8">
        <v>10.2417</v>
      </c>
      <c r="F1526" s="9">
        <v>45958</v>
      </c>
    </row>
    <row r="1527" spans="1:6" ht="60" x14ac:dyDescent="0.25">
      <c r="A1527" s="8" t="s">
        <v>63</v>
      </c>
      <c r="B1527" s="8" t="s">
        <v>69</v>
      </c>
      <c r="C1527" s="8" t="str">
        <f>IFERROR(_xlfn.XLOOKUP(TRIM(B1527),Lookup!$B$2:$B$1000,Lookup!$C$2:$C$1000),"")</f>
        <v>Equity - Index (Momentum 50)</v>
      </c>
      <c r="D1527" s="8" t="str">
        <f>IFERROR(INDEX('nav master'!$C:$C, MATCH(B1527, 'nav master'!$B:$B, 0)), "")</f>
        <v>ULIF 092 25/08/25 MFI 110</v>
      </c>
      <c r="E1527" s="8">
        <v>10.235300000000001</v>
      </c>
      <c r="F1527" s="9">
        <v>45959</v>
      </c>
    </row>
    <row r="1528" spans="1:6" ht="60" x14ac:dyDescent="0.25">
      <c r="A1528" s="8" t="s">
        <v>63</v>
      </c>
      <c r="B1528" s="8" t="s">
        <v>69</v>
      </c>
      <c r="C1528" s="8" t="str">
        <f>IFERROR(_xlfn.XLOOKUP(TRIM(B1528),Lookup!$B$2:$B$1000,Lookup!$C$2:$C$1000),"")</f>
        <v>Equity - Index (Momentum 50)</v>
      </c>
      <c r="D1528" s="8" t="str">
        <f>IFERROR(INDEX('nav master'!$C:$C, MATCH(B1528, 'nav master'!$B:$B, 0)), "")</f>
        <v>ULIF 092 25/08/25 MFI 110</v>
      </c>
      <c r="E1528" s="8">
        <v>10.203900000000001</v>
      </c>
      <c r="F1528" s="9">
        <v>45960</v>
      </c>
    </row>
    <row r="1529" spans="1:6" ht="60" x14ac:dyDescent="0.25">
      <c r="A1529" s="8" t="s">
        <v>63</v>
      </c>
      <c r="B1529" s="8" t="s">
        <v>69</v>
      </c>
      <c r="C1529" s="8" t="str">
        <f>IFERROR(_xlfn.XLOOKUP(TRIM(B1529),Lookup!$B$2:$B$1000,Lookup!$C$2:$C$1000),"")</f>
        <v>Equity - Index (Momentum 50)</v>
      </c>
      <c r="D1529" s="8" t="str">
        <f>IFERROR(INDEX('nav master'!$C:$C, MATCH(B1529, 'nav master'!$B:$B, 0)), "")</f>
        <v>ULIF 092 25/08/25 MFI 110</v>
      </c>
      <c r="E1529" s="8">
        <v>10.157299999999999</v>
      </c>
      <c r="F1529" s="9">
        <v>45961</v>
      </c>
    </row>
    <row r="1530" spans="1:6" ht="60" x14ac:dyDescent="0.25">
      <c r="A1530" s="8" t="s">
        <v>63</v>
      </c>
      <c r="B1530" s="8" t="s">
        <v>69</v>
      </c>
      <c r="C1530" s="8" t="str">
        <f>IFERROR(_xlfn.XLOOKUP(TRIM(B1530),Lookup!$B$2:$B$1000,Lookup!$C$2:$C$1000),"")</f>
        <v>Equity - Index (Momentum 50)</v>
      </c>
      <c r="D1530" s="8" t="str">
        <f>IFERROR(INDEX('nav master'!$C:$C, MATCH(B1530, 'nav master'!$B:$B, 0)), "")</f>
        <v>ULIF 092 25/08/25 MFI 110</v>
      </c>
      <c r="E1530" s="8">
        <v>10.181800000000001</v>
      </c>
      <c r="F1530" s="9">
        <v>45964</v>
      </c>
    </row>
    <row r="1531" spans="1:6" ht="60" x14ac:dyDescent="0.25">
      <c r="A1531" s="8" t="s">
        <v>63</v>
      </c>
      <c r="B1531" s="8" t="s">
        <v>69</v>
      </c>
      <c r="C1531" s="8" t="str">
        <f>IFERROR(_xlfn.XLOOKUP(TRIM(B1531),Lookup!$B$2:$B$1000,Lookup!$C$2:$C$1000),"")</f>
        <v>Equity - Index (Momentum 50)</v>
      </c>
      <c r="D1531" s="8" t="str">
        <f>IFERROR(INDEX('nav master'!$C:$C, MATCH(B1531, 'nav master'!$B:$B, 0)), "")</f>
        <v>ULIF 092 25/08/25 MFI 110</v>
      </c>
      <c r="E1531" s="8">
        <v>10.1716</v>
      </c>
      <c r="F1531" s="9">
        <v>45965</v>
      </c>
    </row>
    <row r="1532" spans="1:6" ht="60" x14ac:dyDescent="0.25">
      <c r="A1532" s="8" t="s">
        <v>63</v>
      </c>
      <c r="B1532" s="8" t="s">
        <v>69</v>
      </c>
      <c r="C1532" s="8" t="str">
        <f>IFERROR(_xlfn.XLOOKUP(TRIM(B1532),Lookup!$B$2:$B$1000,Lookup!$C$2:$C$1000),"")</f>
        <v>Equity - Index (Momentum 50)</v>
      </c>
      <c r="D1532" s="8" t="str">
        <f>IFERROR(INDEX('nav master'!$C:$C, MATCH(B1532, 'nav master'!$B:$B, 0)), "")</f>
        <v>ULIF 092 25/08/25 MFI 110</v>
      </c>
      <c r="E1532" s="8">
        <v>10.1386</v>
      </c>
      <c r="F1532" s="9">
        <v>45967</v>
      </c>
    </row>
    <row r="1533" spans="1:6" ht="60" x14ac:dyDescent="0.25">
      <c r="A1533" s="8" t="s">
        <v>63</v>
      </c>
      <c r="B1533" s="8" t="s">
        <v>69</v>
      </c>
      <c r="C1533" s="8" t="str">
        <f>IFERROR(_xlfn.XLOOKUP(TRIM(B1533),Lookup!$B$2:$B$1000,Lookup!$C$2:$C$1000),"")</f>
        <v>Equity - Index (Momentum 50)</v>
      </c>
      <c r="D1533" s="8" t="str">
        <f>IFERROR(INDEX('nav master'!$C:$C, MATCH(B1533, 'nav master'!$B:$B, 0)), "")</f>
        <v>ULIF 092 25/08/25 MFI 110</v>
      </c>
      <c r="E1533" s="8">
        <v>10.1431</v>
      </c>
      <c r="F1533" s="9">
        <v>45968</v>
      </c>
    </row>
    <row r="1534" spans="1:6" ht="60" x14ac:dyDescent="0.25">
      <c r="A1534" s="8" t="s">
        <v>63</v>
      </c>
      <c r="B1534" s="8" t="s">
        <v>69</v>
      </c>
      <c r="C1534" s="8" t="str">
        <f>IFERROR(_xlfn.XLOOKUP(TRIM(B1534),Lookup!$B$2:$B$1000,Lookup!$C$2:$C$1000),"")</f>
        <v>Equity - Index (Momentum 50)</v>
      </c>
      <c r="D1534" s="8" t="str">
        <f>IFERROR(INDEX('nav master'!$C:$C, MATCH(B1534, 'nav master'!$B:$B, 0)), "")</f>
        <v>ULIF 092 25/08/25 MFI 110</v>
      </c>
      <c r="E1534" s="8">
        <v>10.1473</v>
      </c>
      <c r="F1534" s="9">
        <v>45971</v>
      </c>
    </row>
    <row r="1535" spans="1:6" ht="60" x14ac:dyDescent="0.25">
      <c r="A1535" s="8" t="s">
        <v>63</v>
      </c>
      <c r="B1535" s="8" t="s">
        <v>69</v>
      </c>
      <c r="C1535" s="8" t="str">
        <f>IFERROR(_xlfn.XLOOKUP(TRIM(B1535),Lookup!$B$2:$B$1000,Lookup!$C$2:$C$1000),"")</f>
        <v>Equity - Index (Momentum 50)</v>
      </c>
      <c r="D1535" s="8" t="str">
        <f>IFERROR(INDEX('nav master'!$C:$C, MATCH(B1535, 'nav master'!$B:$B, 0)), "")</f>
        <v>ULIF 092 25/08/25 MFI 110</v>
      </c>
      <c r="E1535" s="8">
        <v>10.1122</v>
      </c>
      <c r="F1535" s="9">
        <v>45972</v>
      </c>
    </row>
    <row r="1536" spans="1:6" ht="60" x14ac:dyDescent="0.25">
      <c r="A1536" s="8" t="s">
        <v>63</v>
      </c>
      <c r="B1536" s="8" t="s">
        <v>69</v>
      </c>
      <c r="C1536" s="8" t="str">
        <f>IFERROR(_xlfn.XLOOKUP(TRIM(B1536),Lookup!$B$2:$B$1000,Lookup!$C$2:$C$1000),"")</f>
        <v>Equity - Index (Momentum 50)</v>
      </c>
      <c r="D1536" s="8" t="str">
        <f>IFERROR(INDEX('nav master'!$C:$C, MATCH(B1536, 'nav master'!$B:$B, 0)), "")</f>
        <v>ULIF 092 25/08/25 MFI 110</v>
      </c>
      <c r="E1536" s="8">
        <v>10.1533</v>
      </c>
      <c r="F1536" s="9">
        <v>45973</v>
      </c>
    </row>
    <row r="1537" spans="1:6" ht="60" x14ac:dyDescent="0.25">
      <c r="A1537" s="8" t="s">
        <v>63</v>
      </c>
      <c r="B1537" s="8" t="s">
        <v>69</v>
      </c>
      <c r="C1537" s="8" t="str">
        <f>IFERROR(_xlfn.XLOOKUP(TRIM(B1537),Lookup!$B$2:$B$1000,Lookup!$C$2:$C$1000),"")</f>
        <v>Equity - Index (Momentum 50)</v>
      </c>
      <c r="D1537" s="8" t="str">
        <f>IFERROR(INDEX('nav master'!$C:$C, MATCH(B1537, 'nav master'!$B:$B, 0)), "")</f>
        <v>ULIF 092 25/08/25 MFI 110</v>
      </c>
      <c r="E1537" s="8">
        <v>10.1394</v>
      </c>
      <c r="F1537" s="9">
        <v>45974</v>
      </c>
    </row>
    <row r="1538" spans="1:6" ht="60" x14ac:dyDescent="0.25">
      <c r="A1538" s="8" t="s">
        <v>63</v>
      </c>
      <c r="B1538" s="8" t="s">
        <v>69</v>
      </c>
      <c r="C1538" s="8" t="str">
        <f>IFERROR(_xlfn.XLOOKUP(TRIM(B1538),Lookup!$B$2:$B$1000,Lookup!$C$2:$C$1000),"")</f>
        <v>Equity - Index (Momentum 50)</v>
      </c>
      <c r="D1538" s="8" t="str">
        <f>IFERROR(INDEX('nav master'!$C:$C, MATCH(B1538, 'nav master'!$B:$B, 0)), "")</f>
        <v>ULIF 092 25/08/25 MFI 110</v>
      </c>
      <c r="E1538" s="8">
        <v>10.1371</v>
      </c>
      <c r="F1538" s="9">
        <v>45975</v>
      </c>
    </row>
    <row r="1539" spans="1:6" ht="60" x14ac:dyDescent="0.25">
      <c r="A1539" s="8" t="s">
        <v>63</v>
      </c>
      <c r="B1539" s="8" t="s">
        <v>69</v>
      </c>
      <c r="C1539" s="8" t="str">
        <f>IFERROR(_xlfn.XLOOKUP(TRIM(B1539),Lookup!$B$2:$B$1000,Lookup!$C$2:$C$1000),"")</f>
        <v>Equity - Index (Momentum 50)</v>
      </c>
      <c r="D1539" s="8" t="str">
        <f>IFERROR(INDEX('nav master'!$C:$C, MATCH(B1539, 'nav master'!$B:$B, 0)), "")</f>
        <v>ULIF 092 25/08/25 MFI 110</v>
      </c>
      <c r="E1539" s="8">
        <v>10.230600000000001</v>
      </c>
      <c r="F1539" s="9">
        <v>45978</v>
      </c>
    </row>
    <row r="1540" spans="1:6" ht="60" x14ac:dyDescent="0.25">
      <c r="A1540" s="8" t="s">
        <v>63</v>
      </c>
      <c r="B1540" s="8" t="s">
        <v>69</v>
      </c>
      <c r="C1540" s="8" t="str">
        <f>IFERROR(_xlfn.XLOOKUP(TRIM(B1540),Lookup!$B$2:$B$1000,Lookup!$C$2:$C$1000),"")</f>
        <v>Equity - Index (Momentum 50)</v>
      </c>
      <c r="D1540" s="8" t="str">
        <f>IFERROR(INDEX('nav master'!$C:$C, MATCH(B1540, 'nav master'!$B:$B, 0)), "")</f>
        <v>ULIF 092 25/08/25 MFI 110</v>
      </c>
      <c r="E1540" s="8">
        <v>10.148400000000001</v>
      </c>
      <c r="F1540" s="9">
        <v>45979</v>
      </c>
    </row>
    <row r="1541" spans="1:6" ht="60" x14ac:dyDescent="0.25">
      <c r="A1541" s="8" t="s">
        <v>63</v>
      </c>
      <c r="B1541" s="8" t="s">
        <v>69</v>
      </c>
      <c r="C1541" s="8" t="str">
        <f>IFERROR(_xlfn.XLOOKUP(TRIM(B1541),Lookup!$B$2:$B$1000,Lookup!$C$2:$C$1000),"")</f>
        <v>Equity - Index (Momentum 50)</v>
      </c>
      <c r="D1541" s="8" t="str">
        <f>IFERROR(INDEX('nav master'!$C:$C, MATCH(B1541, 'nav master'!$B:$B, 0)), "")</f>
        <v>ULIF 092 25/08/25 MFI 110</v>
      </c>
      <c r="E1541" s="8">
        <v>10.171200000000001</v>
      </c>
      <c r="F1541" s="9">
        <v>45980</v>
      </c>
    </row>
    <row r="1542" spans="1:6" ht="60" x14ac:dyDescent="0.25">
      <c r="A1542" s="8" t="s">
        <v>63</v>
      </c>
      <c r="B1542" s="8" t="s">
        <v>69</v>
      </c>
      <c r="C1542" s="8" t="str">
        <f>IFERROR(_xlfn.XLOOKUP(TRIM(B1542),Lookup!$B$2:$B$1000,Lookup!$C$2:$C$1000),"")</f>
        <v>Equity - Index (Momentum 50)</v>
      </c>
      <c r="D1542" s="8" t="str">
        <f>IFERROR(INDEX('nav master'!$C:$C, MATCH(B1542, 'nav master'!$B:$B, 0)), "")</f>
        <v>ULIF 092 25/08/25 MFI 110</v>
      </c>
      <c r="E1542" s="8">
        <v>10.2233</v>
      </c>
      <c r="F1542" s="9">
        <v>45981</v>
      </c>
    </row>
    <row r="1543" spans="1:6" ht="60" x14ac:dyDescent="0.25">
      <c r="A1543" s="8" t="s">
        <v>63</v>
      </c>
      <c r="B1543" s="8" t="s">
        <v>69</v>
      </c>
      <c r="C1543" s="8" t="str">
        <f>IFERROR(_xlfn.XLOOKUP(TRIM(B1543),Lookup!$B$2:$B$1000,Lookup!$C$2:$C$1000),"")</f>
        <v>Equity - Index (Momentum 50)</v>
      </c>
      <c r="D1543" s="8" t="str">
        <f>IFERROR(INDEX('nav master'!$C:$C, MATCH(B1543, 'nav master'!$B:$B, 0)), "")</f>
        <v>ULIF 092 25/08/25 MFI 110</v>
      </c>
      <c r="E1543" s="8">
        <v>10.114699999999999</v>
      </c>
      <c r="F1543" s="9">
        <v>45982</v>
      </c>
    </row>
    <row r="1544" spans="1:6" ht="60" x14ac:dyDescent="0.25">
      <c r="A1544" s="8" t="s">
        <v>63</v>
      </c>
      <c r="B1544" s="8" t="s">
        <v>69</v>
      </c>
      <c r="C1544" s="8" t="str">
        <f>IFERROR(_xlfn.XLOOKUP(TRIM(B1544),Lookup!$B$2:$B$1000,Lookup!$C$2:$C$1000),"")</f>
        <v>Equity - Index (Momentum 50)</v>
      </c>
      <c r="D1544" s="8" t="str">
        <f>IFERROR(INDEX('nav master'!$C:$C, MATCH(B1544, 'nav master'!$B:$B, 0)), "")</f>
        <v>ULIF 092 25/08/25 MFI 110</v>
      </c>
      <c r="E1544" s="8">
        <v>10.086499999999999</v>
      </c>
      <c r="F1544" s="9">
        <v>45985</v>
      </c>
    </row>
    <row r="1545" spans="1:6" ht="60" x14ac:dyDescent="0.25">
      <c r="A1545" s="8" t="s">
        <v>63</v>
      </c>
      <c r="B1545" s="8" t="s">
        <v>69</v>
      </c>
      <c r="C1545" s="8" t="str">
        <f>IFERROR(_xlfn.XLOOKUP(TRIM(B1545),Lookup!$B$2:$B$1000,Lookup!$C$2:$C$1000),"")</f>
        <v>Equity - Index (Momentum 50)</v>
      </c>
      <c r="D1545" s="8" t="str">
        <f>IFERROR(INDEX('nav master'!$C:$C, MATCH(B1545, 'nav master'!$B:$B, 0)), "")</f>
        <v>ULIF 092 25/08/25 MFI 110</v>
      </c>
      <c r="E1545" s="8">
        <v>10.075699999999999</v>
      </c>
      <c r="F1545" s="9">
        <v>45986</v>
      </c>
    </row>
    <row r="1546" spans="1:6" ht="60" x14ac:dyDescent="0.25">
      <c r="A1546" s="8" t="s">
        <v>63</v>
      </c>
      <c r="B1546" s="8" t="s">
        <v>69</v>
      </c>
      <c r="C1546" s="8" t="str">
        <f>IFERROR(_xlfn.XLOOKUP(TRIM(B1546),Lookup!$B$2:$B$1000,Lookup!$C$2:$C$1000),"")</f>
        <v>Equity - Index (Momentum 50)</v>
      </c>
      <c r="D1546" s="8" t="str">
        <f>IFERROR(INDEX('nav master'!$C:$C, MATCH(B1546, 'nav master'!$B:$B, 0)), "")</f>
        <v>ULIF 092 25/08/25 MFI 110</v>
      </c>
      <c r="E1546" s="8">
        <v>10.2182</v>
      </c>
      <c r="F1546" s="9">
        <v>45987</v>
      </c>
    </row>
    <row r="1547" spans="1:6" ht="60" x14ac:dyDescent="0.25">
      <c r="A1547" s="8" t="s">
        <v>63</v>
      </c>
      <c r="B1547" s="8" t="s">
        <v>69</v>
      </c>
      <c r="C1547" s="8" t="str">
        <f>IFERROR(_xlfn.XLOOKUP(TRIM(B1547),Lookup!$B$2:$B$1000,Lookup!$C$2:$C$1000),"")</f>
        <v>Equity - Index (Momentum 50)</v>
      </c>
      <c r="D1547" s="8" t="str">
        <f>IFERROR(INDEX('nav master'!$C:$C, MATCH(B1547, 'nav master'!$B:$B, 0)), "")</f>
        <v>ULIF 092 25/08/25 MFI 110</v>
      </c>
      <c r="E1547" s="8">
        <v>10.190300000000001</v>
      </c>
      <c r="F1547" s="9">
        <v>45988</v>
      </c>
    </row>
    <row r="1548" spans="1:6" ht="60" x14ac:dyDescent="0.25">
      <c r="A1548" s="8" t="s">
        <v>63</v>
      </c>
      <c r="B1548" s="8" t="s">
        <v>69</v>
      </c>
      <c r="C1548" s="8" t="str">
        <f>IFERROR(_xlfn.XLOOKUP(TRIM(B1548),Lookup!$B$2:$B$1000,Lookup!$C$2:$C$1000),"")</f>
        <v>Equity - Index (Momentum 50)</v>
      </c>
      <c r="D1548" s="8" t="str">
        <f>IFERROR(INDEX('nav master'!$C:$C, MATCH(B1548, 'nav master'!$B:$B, 0)), "")</f>
        <v>ULIF 092 25/08/25 MFI 110</v>
      </c>
      <c r="E1548" s="8">
        <v>10.191599999999999</v>
      </c>
      <c r="F1548" s="9">
        <v>45989</v>
      </c>
    </row>
    <row r="1549" spans="1:6" ht="60" x14ac:dyDescent="0.25">
      <c r="A1549" s="8" t="s">
        <v>63</v>
      </c>
      <c r="B1549" s="8" t="s">
        <v>69</v>
      </c>
      <c r="C1549" s="8" t="str">
        <f>IFERROR(_xlfn.XLOOKUP(TRIM(B1549),Lookup!$B$2:$B$1000,Lookup!$C$2:$C$1000),"")</f>
        <v>Equity - Index (Momentum 50)</v>
      </c>
      <c r="D1549" s="8" t="str">
        <f>IFERROR(INDEX('nav master'!$C:$C, MATCH(B1549, 'nav master'!$B:$B, 0)), "")</f>
        <v>ULIF 092 25/08/25 MFI 110</v>
      </c>
      <c r="E1549" s="8">
        <v>10.1937</v>
      </c>
      <c r="F1549" s="9">
        <v>45992</v>
      </c>
    </row>
    <row r="1550" spans="1:6" ht="60" x14ac:dyDescent="0.25">
      <c r="A1550" s="8" t="s">
        <v>63</v>
      </c>
      <c r="B1550" s="8" t="s">
        <v>69</v>
      </c>
      <c r="C1550" s="8" t="str">
        <f>IFERROR(_xlfn.XLOOKUP(TRIM(B1550),Lookup!$B$2:$B$1000,Lookup!$C$2:$C$1000),"")</f>
        <v>Equity - Index (Momentum 50)</v>
      </c>
      <c r="D1550" s="8" t="str">
        <f>IFERROR(INDEX('nav master'!$C:$C, MATCH(B1550, 'nav master'!$B:$B, 0)), "")</f>
        <v>ULIF 092 25/08/25 MFI 110</v>
      </c>
      <c r="E1550" s="8">
        <v>10.1723</v>
      </c>
      <c r="F1550" s="9">
        <v>45993</v>
      </c>
    </row>
    <row r="1551" spans="1:6" ht="60" x14ac:dyDescent="0.25">
      <c r="A1551" s="8" t="s">
        <v>63</v>
      </c>
      <c r="B1551" s="8" t="s">
        <v>69</v>
      </c>
      <c r="C1551" s="8" t="str">
        <f>IFERROR(_xlfn.XLOOKUP(TRIM(B1551),Lookup!$B$2:$B$1000,Lookup!$C$2:$C$1000),"")</f>
        <v>Equity - Index (Momentum 50)</v>
      </c>
      <c r="D1551" s="8" t="str">
        <f>IFERROR(INDEX('nav master'!$C:$C, MATCH(B1551, 'nav master'!$B:$B, 0)), "")</f>
        <v>ULIF 092 25/08/25 MFI 110</v>
      </c>
      <c r="E1551" s="8">
        <v>10.1005</v>
      </c>
      <c r="F1551" s="9">
        <v>45994</v>
      </c>
    </row>
    <row r="1552" spans="1:6" ht="60" x14ac:dyDescent="0.25">
      <c r="A1552" s="8" t="s">
        <v>63</v>
      </c>
      <c r="B1552" s="8" t="s">
        <v>69</v>
      </c>
      <c r="C1552" s="8" t="str">
        <f>IFERROR(_xlfn.XLOOKUP(TRIM(B1552),Lookup!$B$2:$B$1000,Lookup!$C$2:$C$1000),"")</f>
        <v>Equity - Index (Momentum 50)</v>
      </c>
      <c r="D1552" s="8" t="str">
        <f>IFERROR(INDEX('nav master'!$C:$C, MATCH(B1552, 'nav master'!$B:$B, 0)), "")</f>
        <v>ULIF 092 25/08/25 MFI 110</v>
      </c>
      <c r="E1552" s="8">
        <v>10.0649</v>
      </c>
      <c r="F1552" s="9">
        <v>45995</v>
      </c>
    </row>
    <row r="1553" spans="1:6" ht="60" x14ac:dyDescent="0.25">
      <c r="A1553" s="8" t="s">
        <v>63</v>
      </c>
      <c r="B1553" s="8" t="s">
        <v>69</v>
      </c>
      <c r="C1553" s="8" t="str">
        <f>IFERROR(_xlfn.XLOOKUP(TRIM(B1553),Lookup!$B$2:$B$1000,Lookup!$C$2:$C$1000),"")</f>
        <v>Equity - Index (Momentum 50)</v>
      </c>
      <c r="D1553" s="8" t="str">
        <f>IFERROR(INDEX('nav master'!$C:$C, MATCH(B1553, 'nav master'!$B:$B, 0)), "")</f>
        <v>ULIF 092 25/08/25 MFI 110</v>
      </c>
      <c r="E1553" s="8">
        <v>10.098699999999999</v>
      </c>
      <c r="F1553" s="9">
        <v>45996</v>
      </c>
    </row>
    <row r="1554" spans="1:6" ht="60" x14ac:dyDescent="0.25">
      <c r="A1554" s="8" t="s">
        <v>63</v>
      </c>
      <c r="B1554" s="8" t="s">
        <v>69</v>
      </c>
      <c r="C1554" s="8" t="str">
        <f>IFERROR(_xlfn.XLOOKUP(TRIM(B1554),Lookup!$B$2:$B$1000,Lookup!$C$2:$C$1000),"")</f>
        <v>Equity - Index (Momentum 50)</v>
      </c>
      <c r="D1554" s="8" t="str">
        <f>IFERROR(INDEX('nav master'!$C:$C, MATCH(B1554, 'nav master'!$B:$B, 0)), "")</f>
        <v>ULIF 092 25/08/25 MFI 110</v>
      </c>
      <c r="E1554" s="8">
        <v>9.9395000000000007</v>
      </c>
      <c r="F1554" s="9">
        <v>45999</v>
      </c>
    </row>
    <row r="1555" spans="1:6" ht="60" x14ac:dyDescent="0.25">
      <c r="A1555" s="8" t="s">
        <v>63</v>
      </c>
      <c r="B1555" s="8" t="s">
        <v>69</v>
      </c>
      <c r="C1555" s="8" t="str">
        <f>IFERROR(_xlfn.XLOOKUP(TRIM(B1555),Lookup!$B$2:$B$1000,Lookup!$C$2:$C$1000),"")</f>
        <v>Equity - Index (Momentum 50)</v>
      </c>
      <c r="D1555" s="8" t="str">
        <f>IFERROR(INDEX('nav master'!$C:$C, MATCH(B1555, 'nav master'!$B:$B, 0)), "")</f>
        <v>ULIF 092 25/08/25 MFI 110</v>
      </c>
      <c r="E1555" s="8">
        <v>9.9506999999999994</v>
      </c>
      <c r="F1555" s="9">
        <v>46000</v>
      </c>
    </row>
    <row r="1556" spans="1:6" ht="60" x14ac:dyDescent="0.25">
      <c r="A1556" s="8" t="s">
        <v>63</v>
      </c>
      <c r="B1556" s="8" t="s">
        <v>69</v>
      </c>
      <c r="C1556" s="8" t="str">
        <f>IFERROR(_xlfn.XLOOKUP(TRIM(B1556),Lookup!$B$2:$B$1000,Lookup!$C$2:$C$1000),"")</f>
        <v>Equity - Index (Momentum 50)</v>
      </c>
      <c r="D1556" s="8" t="str">
        <f>IFERROR(INDEX('nav master'!$C:$C, MATCH(B1556, 'nav master'!$B:$B, 0)), "")</f>
        <v>ULIF 092 25/08/25 MFI 110</v>
      </c>
      <c r="E1556" s="8">
        <v>9.8603000000000005</v>
      </c>
      <c r="F1556" s="9">
        <v>46001</v>
      </c>
    </row>
    <row r="1557" spans="1:6" ht="60" x14ac:dyDescent="0.25">
      <c r="A1557" s="8" t="s">
        <v>63</v>
      </c>
      <c r="B1557" s="8" t="s">
        <v>69</v>
      </c>
      <c r="C1557" s="8" t="str">
        <f>IFERROR(_xlfn.XLOOKUP(TRIM(B1557),Lookup!$B$2:$B$1000,Lookup!$C$2:$C$1000),"")</f>
        <v>Equity - Index (Momentum 50)</v>
      </c>
      <c r="D1557" s="8" t="str">
        <f>IFERROR(INDEX('nav master'!$C:$C, MATCH(B1557, 'nav master'!$B:$B, 0)), "")</f>
        <v>ULIF 092 25/08/25 MFI 110</v>
      </c>
      <c r="E1557" s="8">
        <v>9.9260999999999999</v>
      </c>
      <c r="F1557" s="9">
        <v>46002</v>
      </c>
    </row>
    <row r="1558" spans="1:6" ht="60" x14ac:dyDescent="0.25">
      <c r="A1558" s="8" t="s">
        <v>63</v>
      </c>
      <c r="B1558" s="8" t="s">
        <v>69</v>
      </c>
      <c r="C1558" s="8" t="str">
        <f>IFERROR(_xlfn.XLOOKUP(TRIM(B1558),Lookup!$B$2:$B$1000,Lookup!$C$2:$C$1000),"")</f>
        <v>Equity - Index (Momentum 50)</v>
      </c>
      <c r="D1558" s="8" t="str">
        <f>IFERROR(INDEX('nav master'!$C:$C, MATCH(B1558, 'nav master'!$B:$B, 0)), "")</f>
        <v>ULIF 092 25/08/25 MFI 110</v>
      </c>
      <c r="E1558" s="8">
        <v>10.016999999999999</v>
      </c>
      <c r="F1558" s="9">
        <v>46003</v>
      </c>
    </row>
    <row r="1559" spans="1:6" ht="60" x14ac:dyDescent="0.25">
      <c r="A1559" s="8" t="s">
        <v>63</v>
      </c>
      <c r="B1559" s="8" t="s">
        <v>69</v>
      </c>
      <c r="C1559" s="8" t="str">
        <f>IFERROR(_xlfn.XLOOKUP(TRIM(B1559),Lookup!$B$2:$B$1000,Lookup!$C$2:$C$1000),"")</f>
        <v>Equity - Index (Momentum 50)</v>
      </c>
      <c r="D1559" s="8" t="str">
        <f>IFERROR(INDEX('nav master'!$C:$C, MATCH(B1559, 'nav master'!$B:$B, 0)), "")</f>
        <v>ULIF 092 25/08/25 MFI 110</v>
      </c>
      <c r="E1559" s="8">
        <v>10.0137</v>
      </c>
      <c r="F1559" s="9">
        <v>46006</v>
      </c>
    </row>
    <row r="1560" spans="1:6" ht="60" x14ac:dyDescent="0.25">
      <c r="A1560" s="8" t="s">
        <v>63</v>
      </c>
      <c r="B1560" s="8" t="s">
        <v>69</v>
      </c>
      <c r="C1560" s="8" t="str">
        <f>IFERROR(_xlfn.XLOOKUP(TRIM(B1560),Lookup!$B$2:$B$1000,Lookup!$C$2:$C$1000),"")</f>
        <v>Equity - Index (Momentum 50)</v>
      </c>
      <c r="D1560" s="8" t="str">
        <f>IFERROR(INDEX('nav master'!$C:$C, MATCH(B1560, 'nav master'!$B:$B, 0)), "")</f>
        <v>ULIF 092 25/08/25 MFI 110</v>
      </c>
      <c r="E1560" s="8">
        <v>9.9530999999999992</v>
      </c>
      <c r="F1560" s="9">
        <v>46007</v>
      </c>
    </row>
    <row r="1561" spans="1:6" ht="60" x14ac:dyDescent="0.25">
      <c r="A1561" s="8" t="s">
        <v>63</v>
      </c>
      <c r="B1561" s="8" t="s">
        <v>69</v>
      </c>
      <c r="C1561" s="8" t="str">
        <f>IFERROR(_xlfn.XLOOKUP(TRIM(B1561),Lookup!$B$2:$B$1000,Lookup!$C$2:$C$1000),"")</f>
        <v>Equity - Index (Momentum 50)</v>
      </c>
      <c r="D1561" s="8" t="str">
        <f>IFERROR(INDEX('nav master'!$C:$C, MATCH(B1561, 'nav master'!$B:$B, 0)), "")</f>
        <v>ULIF 092 25/08/25 MFI 110</v>
      </c>
      <c r="E1561" s="8">
        <v>9.8745999999999992</v>
      </c>
      <c r="F1561" s="9">
        <v>46008</v>
      </c>
    </row>
    <row r="1562" spans="1:6" ht="60" x14ac:dyDescent="0.25">
      <c r="A1562" s="8" t="s">
        <v>63</v>
      </c>
      <c r="B1562" s="8" t="s">
        <v>69</v>
      </c>
      <c r="C1562" s="8" t="str">
        <f>IFERROR(_xlfn.XLOOKUP(TRIM(B1562),Lookup!$B$2:$B$1000,Lookup!$C$2:$C$1000),"")</f>
        <v>Equity - Index (Momentum 50)</v>
      </c>
      <c r="D1562" s="8" t="str">
        <f>IFERROR(INDEX('nav master'!$C:$C, MATCH(B1562, 'nav master'!$B:$B, 0)), "")</f>
        <v>ULIF 092 25/08/25 MFI 110</v>
      </c>
      <c r="E1562" s="8">
        <v>9.8836999999999993</v>
      </c>
      <c r="F1562" s="9">
        <v>46009</v>
      </c>
    </row>
    <row r="1563" spans="1:6" ht="60" x14ac:dyDescent="0.25">
      <c r="A1563" s="8" t="s">
        <v>63</v>
      </c>
      <c r="B1563" s="8" t="s">
        <v>69</v>
      </c>
      <c r="C1563" s="8" t="str">
        <f>IFERROR(_xlfn.XLOOKUP(TRIM(B1563),Lookup!$B$2:$B$1000,Lookup!$C$2:$C$1000),"")</f>
        <v>Equity - Index (Momentum 50)</v>
      </c>
      <c r="D1563" s="8" t="str">
        <f>IFERROR(INDEX('nav master'!$C:$C, MATCH(B1563, 'nav master'!$B:$B, 0)), "")</f>
        <v>ULIF 092 25/08/25 MFI 110</v>
      </c>
      <c r="E1563" s="8">
        <v>9.9593000000000007</v>
      </c>
      <c r="F1563" s="9">
        <v>46010</v>
      </c>
    </row>
    <row r="1564" spans="1:6" ht="60" x14ac:dyDescent="0.25">
      <c r="A1564" s="8" t="s">
        <v>63</v>
      </c>
      <c r="B1564" s="8" t="s">
        <v>69</v>
      </c>
      <c r="C1564" s="8" t="str">
        <f>IFERROR(_xlfn.XLOOKUP(TRIM(B1564),Lookup!$B$2:$B$1000,Lookup!$C$2:$C$1000),"")</f>
        <v>Equity - Index (Momentum 50)</v>
      </c>
      <c r="D1564" s="8" t="str">
        <f>IFERROR(INDEX('nav master'!$C:$C, MATCH(B1564, 'nav master'!$B:$B, 0)), "")</f>
        <v>ULIF 092 25/08/25 MFI 110</v>
      </c>
      <c r="E1564" s="8">
        <v>10.07</v>
      </c>
      <c r="F1564" s="9">
        <v>46013</v>
      </c>
    </row>
    <row r="1565" spans="1:6" ht="60" x14ac:dyDescent="0.25">
      <c r="A1565" s="8" t="s">
        <v>63</v>
      </c>
      <c r="B1565" s="8" t="s">
        <v>69</v>
      </c>
      <c r="C1565" s="8" t="str">
        <f>IFERROR(_xlfn.XLOOKUP(TRIM(B1565),Lookup!$B$2:$B$1000,Lookup!$C$2:$C$1000),"")</f>
        <v>Equity - Index (Momentum 50)</v>
      </c>
      <c r="D1565" s="8" t="str">
        <f>IFERROR(INDEX('nav master'!$C:$C, MATCH(B1565, 'nav master'!$B:$B, 0)), "")</f>
        <v>ULIF 092 25/08/25 MFI 110</v>
      </c>
      <c r="E1565" s="8">
        <v>10.1013</v>
      </c>
      <c r="F1565" s="9">
        <v>46014</v>
      </c>
    </row>
    <row r="1566" spans="1:6" ht="60" x14ac:dyDescent="0.25">
      <c r="A1566" s="8" t="s">
        <v>63</v>
      </c>
      <c r="B1566" s="8" t="s">
        <v>69</v>
      </c>
      <c r="C1566" s="8" t="str">
        <f>IFERROR(_xlfn.XLOOKUP(TRIM(B1566),Lookup!$B$2:$B$1000,Lookup!$C$2:$C$1000),"")</f>
        <v>Equity - Index (Momentum 50)</v>
      </c>
      <c r="D1566" s="8" t="str">
        <f>IFERROR(INDEX('nav master'!$C:$C, MATCH(B1566, 'nav master'!$B:$B, 0)), "")</f>
        <v>ULIF 092 25/08/25 MFI 110</v>
      </c>
      <c r="E1566" s="8">
        <v>10.088900000000001</v>
      </c>
      <c r="F1566" s="9">
        <v>46015</v>
      </c>
    </row>
    <row r="1567" spans="1:6" ht="60" x14ac:dyDescent="0.25">
      <c r="A1567" s="8" t="s">
        <v>63</v>
      </c>
      <c r="B1567" s="8" t="s">
        <v>69</v>
      </c>
      <c r="C1567" s="8" t="str">
        <f>IFERROR(_xlfn.XLOOKUP(TRIM(B1567),Lookup!$B$2:$B$1000,Lookup!$C$2:$C$1000),"")</f>
        <v>Equity - Index (Momentum 50)</v>
      </c>
      <c r="D1567" s="8" t="str">
        <f>IFERROR(INDEX('nav master'!$C:$C, MATCH(B1567, 'nav master'!$B:$B, 0)), "")</f>
        <v>ULIF 092 25/08/25 MFI 110</v>
      </c>
      <c r="E1567" s="8">
        <v>10.0489</v>
      </c>
      <c r="F1567" s="9">
        <v>46017</v>
      </c>
    </row>
    <row r="1568" spans="1:6" ht="60" x14ac:dyDescent="0.25">
      <c r="A1568" s="8" t="s">
        <v>63</v>
      </c>
      <c r="B1568" s="8" t="s">
        <v>69</v>
      </c>
      <c r="C1568" s="8" t="str">
        <f>IFERROR(_xlfn.XLOOKUP(TRIM(B1568),Lookup!$B$2:$B$1000,Lookup!$C$2:$C$1000),"")</f>
        <v>Equity - Index (Momentum 50)</v>
      </c>
      <c r="D1568" s="8" t="str">
        <f>IFERROR(INDEX('nav master'!$C:$C, MATCH(B1568, 'nav master'!$B:$B, 0)), "")</f>
        <v>ULIF 092 25/08/25 MFI 110</v>
      </c>
      <c r="E1568" s="8">
        <v>10.003500000000001</v>
      </c>
      <c r="F1568" s="9">
        <v>46020</v>
      </c>
    </row>
    <row r="1569" spans="1:6" ht="60" x14ac:dyDescent="0.25">
      <c r="A1569" s="8" t="s">
        <v>63</v>
      </c>
      <c r="B1569" s="8" t="s">
        <v>69</v>
      </c>
      <c r="C1569" s="8" t="str">
        <f>IFERROR(_xlfn.XLOOKUP(TRIM(B1569),Lookup!$B$2:$B$1000,Lookup!$C$2:$C$1000),"")</f>
        <v>Equity - Index (Momentum 50)</v>
      </c>
      <c r="D1569" s="8" t="str">
        <f>IFERROR(INDEX('nav master'!$C:$C, MATCH(B1569, 'nav master'!$B:$B, 0)), "")</f>
        <v>ULIF 092 25/08/25 MFI 110</v>
      </c>
      <c r="E1569" s="8">
        <v>10.057700000000001</v>
      </c>
      <c r="F1569" s="9">
        <v>46021</v>
      </c>
    </row>
    <row r="1570" spans="1:6" ht="60" x14ac:dyDescent="0.25">
      <c r="A1570" s="8" t="s">
        <v>63</v>
      </c>
      <c r="B1570" s="8" t="s">
        <v>69</v>
      </c>
      <c r="C1570" s="8" t="str">
        <f>IFERROR(_xlfn.XLOOKUP(TRIM(B1570),Lookup!$B$2:$B$1000,Lookup!$C$2:$C$1000),"")</f>
        <v>Equity - Index (Momentum 50)</v>
      </c>
      <c r="D1570" s="8" t="str">
        <f>IFERROR(INDEX('nav master'!$C:$C, MATCH(B1570, 'nav master'!$B:$B, 0)), "")</f>
        <v>ULIF 092 25/08/25 MFI 110</v>
      </c>
      <c r="E1570" s="8">
        <v>10.1509</v>
      </c>
      <c r="F1570" s="9">
        <v>46022</v>
      </c>
    </row>
    <row r="1571" spans="1:6" ht="60" x14ac:dyDescent="0.25">
      <c r="A1571" s="8" t="s">
        <v>63</v>
      </c>
      <c r="B1571" s="8" t="s">
        <v>69</v>
      </c>
      <c r="C1571" s="8" t="str">
        <f>IFERROR(_xlfn.XLOOKUP(TRIM(B1571),Lookup!$B$2:$B$1000,Lookup!$C$2:$C$1000),"")</f>
        <v>Equity - Index (Momentum 50)</v>
      </c>
      <c r="D1571" s="8" t="str">
        <f>IFERROR(INDEX('nav master'!$C:$C, MATCH(B1571, 'nav master'!$B:$B, 0)), "")</f>
        <v>ULIF 092 25/08/25 MFI 110</v>
      </c>
      <c r="E1571" s="8">
        <v>10.2034</v>
      </c>
      <c r="F1571" s="9">
        <v>46023</v>
      </c>
    </row>
    <row r="1572" spans="1:6" ht="60" x14ac:dyDescent="0.25">
      <c r="A1572" s="8" t="s">
        <v>63</v>
      </c>
      <c r="B1572" s="8" t="s">
        <v>69</v>
      </c>
      <c r="C1572" s="8" t="str">
        <f>IFERROR(_xlfn.XLOOKUP(TRIM(B1572),Lookup!$B$2:$B$1000,Lookup!$C$2:$C$1000),"")</f>
        <v>Equity - Index (Momentum 50)</v>
      </c>
      <c r="D1572" s="8" t="str">
        <f>IFERROR(INDEX('nav master'!$C:$C, MATCH(B1572, 'nav master'!$B:$B, 0)), "")</f>
        <v>ULIF 092 25/08/25 MFI 110</v>
      </c>
      <c r="E1572" s="8">
        <v>10.266400000000001</v>
      </c>
      <c r="F1572" s="9">
        <v>46024</v>
      </c>
    </row>
    <row r="1573" spans="1:6" ht="60" x14ac:dyDescent="0.25">
      <c r="A1573" s="8" t="s">
        <v>63</v>
      </c>
      <c r="B1573" s="8" t="s">
        <v>69</v>
      </c>
      <c r="C1573" s="8" t="str">
        <f>IFERROR(_xlfn.XLOOKUP(TRIM(B1573),Lookup!$B$2:$B$1000,Lookup!$C$2:$C$1000),"")</f>
        <v>Equity - Index (Momentum 50)</v>
      </c>
      <c r="D1573" s="8" t="str">
        <f>IFERROR(INDEX('nav master'!$C:$C, MATCH(B1573, 'nav master'!$B:$B, 0)), "")</f>
        <v>ULIF 092 25/08/25 MFI 110</v>
      </c>
      <c r="E1573" s="8">
        <v>10.3102</v>
      </c>
      <c r="F1573" s="9">
        <v>46027</v>
      </c>
    </row>
    <row r="1574" spans="1:6" ht="60" x14ac:dyDescent="0.25">
      <c r="A1574" s="8" t="s">
        <v>63</v>
      </c>
      <c r="B1574" s="8" t="s">
        <v>69</v>
      </c>
      <c r="C1574" s="8" t="str">
        <f>IFERROR(_xlfn.XLOOKUP(TRIM(B1574),Lookup!$B$2:$B$1000,Lookup!$C$2:$C$1000),"")</f>
        <v>Equity - Index (Momentum 50)</v>
      </c>
      <c r="D1574" s="8" t="str">
        <f>IFERROR(INDEX('nav master'!$C:$C, MATCH(B1574, 'nav master'!$B:$B, 0)), "")</f>
        <v>ULIF 092 25/08/25 MFI 110</v>
      </c>
      <c r="E1574" s="8">
        <v>10.3155</v>
      </c>
      <c r="F1574" s="9">
        <v>46028</v>
      </c>
    </row>
    <row r="1575" spans="1:6" ht="60" x14ac:dyDescent="0.25">
      <c r="A1575" s="8" t="s">
        <v>63</v>
      </c>
      <c r="B1575" s="8" t="s">
        <v>69</v>
      </c>
      <c r="C1575" s="8" t="str">
        <f>IFERROR(_xlfn.XLOOKUP(TRIM(B1575),Lookup!$B$2:$B$1000,Lookup!$C$2:$C$1000),"")</f>
        <v>Equity - Index (Momentum 50)</v>
      </c>
      <c r="D1575" s="8" t="str">
        <f>IFERROR(INDEX('nav master'!$C:$C, MATCH(B1575, 'nav master'!$B:$B, 0)), "")</f>
        <v>ULIF 092 25/08/25 MFI 110</v>
      </c>
      <c r="E1575" s="8">
        <v>10.297599999999999</v>
      </c>
      <c r="F1575" s="9">
        <v>46029</v>
      </c>
    </row>
    <row r="1576" spans="1:6" ht="60" x14ac:dyDescent="0.25">
      <c r="A1576" s="8" t="s">
        <v>63</v>
      </c>
      <c r="B1576" s="8" t="s">
        <v>69</v>
      </c>
      <c r="C1576" s="8" t="str">
        <f>IFERROR(_xlfn.XLOOKUP(TRIM(B1576),Lookup!$B$2:$B$1000,Lookup!$C$2:$C$1000),"")</f>
        <v>Equity - Index (Momentum 50)</v>
      </c>
      <c r="D1576" s="8" t="str">
        <f>IFERROR(INDEX('nav master'!$C:$C, MATCH(B1576, 'nav master'!$B:$B, 0)), "")</f>
        <v>ULIF 092 25/08/25 MFI 110</v>
      </c>
      <c r="E1576" s="8">
        <v>10.1431</v>
      </c>
      <c r="F1576" s="9">
        <v>46030</v>
      </c>
    </row>
    <row r="1577" spans="1:6" ht="60" x14ac:dyDescent="0.25">
      <c r="A1577" s="8" t="s">
        <v>63</v>
      </c>
      <c r="B1577" s="8" t="s">
        <v>69</v>
      </c>
      <c r="C1577" s="8" t="str">
        <f>IFERROR(_xlfn.XLOOKUP(TRIM(B1577),Lookup!$B$2:$B$1000,Lookup!$C$2:$C$1000),"")</f>
        <v>Equity - Index (Momentum 50)</v>
      </c>
      <c r="D1577" s="8" t="str">
        <f>IFERROR(INDEX('nav master'!$C:$C, MATCH(B1577, 'nav master'!$B:$B, 0)), "")</f>
        <v>ULIF 092 25/08/25 MFI 110</v>
      </c>
      <c r="E1577" s="8">
        <v>10.0212</v>
      </c>
      <c r="F1577" s="9">
        <v>46031</v>
      </c>
    </row>
    <row r="1578" spans="1:6" ht="60" x14ac:dyDescent="0.25">
      <c r="A1578" s="8" t="s">
        <v>63</v>
      </c>
      <c r="B1578" s="8" t="s">
        <v>69</v>
      </c>
      <c r="C1578" s="8" t="str">
        <f>IFERROR(_xlfn.XLOOKUP(TRIM(B1578),Lookup!$B$2:$B$1000,Lookup!$C$2:$C$1000),"")</f>
        <v>Equity - Index (Momentum 50)</v>
      </c>
      <c r="D1578" s="8" t="str">
        <f>IFERROR(INDEX('nav master'!$C:$C, MATCH(B1578, 'nav master'!$B:$B, 0)), "")</f>
        <v>ULIF 092 25/08/25 MFI 110</v>
      </c>
      <c r="E1578" s="8">
        <v>9.9730000000000008</v>
      </c>
      <c r="F1578" s="9">
        <v>46034</v>
      </c>
    </row>
    <row r="1579" spans="1:6" ht="60" x14ac:dyDescent="0.25">
      <c r="A1579" s="8" t="s">
        <v>63</v>
      </c>
      <c r="B1579" s="8" t="s">
        <v>69</v>
      </c>
      <c r="C1579" s="8" t="str">
        <f>IFERROR(_xlfn.XLOOKUP(TRIM(B1579),Lookup!$B$2:$B$1000,Lookup!$C$2:$C$1000),"")</f>
        <v>Equity - Index (Momentum 50)</v>
      </c>
      <c r="D1579" s="8" t="str">
        <f>IFERROR(INDEX('nav master'!$C:$C, MATCH(B1579, 'nav master'!$B:$B, 0)), "")</f>
        <v>ULIF 092 25/08/25 MFI 110</v>
      </c>
      <c r="E1579" s="8">
        <v>9.9802</v>
      </c>
      <c r="F1579" s="9">
        <v>46035</v>
      </c>
    </row>
    <row r="1580" spans="1:6" ht="60" x14ac:dyDescent="0.25">
      <c r="A1580" s="8" t="s">
        <v>63</v>
      </c>
      <c r="B1580" s="8" t="s">
        <v>69</v>
      </c>
      <c r="C1580" s="8" t="str">
        <f>IFERROR(_xlfn.XLOOKUP(TRIM(B1580),Lookup!$B$2:$B$1000,Lookup!$C$2:$C$1000),"")</f>
        <v>Equity - Index (Momentum 50)</v>
      </c>
      <c r="D1580" s="8" t="str">
        <f>IFERROR(INDEX('nav master'!$C:$C, MATCH(B1580, 'nav master'!$B:$B, 0)), "")</f>
        <v>ULIF 092 25/08/25 MFI 110</v>
      </c>
      <c r="E1580" s="8">
        <v>10.0097</v>
      </c>
      <c r="F1580" s="9">
        <v>46036</v>
      </c>
    </row>
    <row r="1581" spans="1:6" ht="60" x14ac:dyDescent="0.25">
      <c r="A1581" s="8" t="s">
        <v>63</v>
      </c>
      <c r="B1581" s="8" t="s">
        <v>69</v>
      </c>
      <c r="C1581" s="8" t="str">
        <f>IFERROR(_xlfn.XLOOKUP(TRIM(B1581),Lookup!$B$2:$B$1000,Lookup!$C$2:$C$1000),"")</f>
        <v>Equity - Index (Momentum 50)</v>
      </c>
      <c r="D1581" s="8" t="str">
        <f>IFERROR(INDEX('nav master'!$C:$C, MATCH(B1581, 'nav master'!$B:$B, 0)), "")</f>
        <v>ULIF 092 25/08/25 MFI 110</v>
      </c>
      <c r="E1581" s="8">
        <v>9.9822000000000006</v>
      </c>
      <c r="F1581" s="9">
        <v>46038</v>
      </c>
    </row>
    <row r="1582" spans="1:6" ht="60" x14ac:dyDescent="0.25">
      <c r="A1582" s="8" t="s">
        <v>63</v>
      </c>
      <c r="B1582" s="8" t="s">
        <v>69</v>
      </c>
      <c r="C1582" s="8" t="str">
        <f>IFERROR(_xlfn.XLOOKUP(TRIM(B1582),Lookup!$B$2:$B$1000,Lookup!$C$2:$C$1000),"")</f>
        <v>Equity - Index (Momentum 50)</v>
      </c>
      <c r="D1582" s="8" t="str">
        <f>IFERROR(INDEX('nav master'!$C:$C, MATCH(B1582, 'nav master'!$B:$B, 0)), "")</f>
        <v>ULIF 092 25/08/25 MFI 110</v>
      </c>
      <c r="E1582" s="8">
        <v>10.0251</v>
      </c>
      <c r="F1582" s="9">
        <v>46041</v>
      </c>
    </row>
    <row r="1583" spans="1:6" ht="60" x14ac:dyDescent="0.25">
      <c r="A1583" s="8" t="s">
        <v>63</v>
      </c>
      <c r="B1583" s="8" t="s">
        <v>69</v>
      </c>
      <c r="C1583" s="8" t="str">
        <f>IFERROR(_xlfn.XLOOKUP(TRIM(B1583),Lookup!$B$2:$B$1000,Lookup!$C$2:$C$1000),"")</f>
        <v>Equity - Index (Momentum 50)</v>
      </c>
      <c r="D1583" s="8" t="str">
        <f>IFERROR(INDEX('nav master'!$C:$C, MATCH(B1583, 'nav master'!$B:$B, 0)), "")</f>
        <v>ULIF 092 25/08/25 MFI 110</v>
      </c>
      <c r="E1583" s="8">
        <v>9.7871000000000006</v>
      </c>
      <c r="F1583" s="9">
        <v>46042</v>
      </c>
    </row>
    <row r="1584" spans="1:6" ht="60" x14ac:dyDescent="0.25">
      <c r="A1584" s="8" t="s">
        <v>63</v>
      </c>
      <c r="B1584" s="8" t="s">
        <v>69</v>
      </c>
      <c r="C1584" s="8" t="str">
        <f>IFERROR(_xlfn.XLOOKUP(TRIM(B1584),Lookup!$B$2:$B$1000,Lookup!$C$2:$C$1000),"")</f>
        <v>Equity - Index (Momentum 50)</v>
      </c>
      <c r="D1584" s="8" t="str">
        <f>IFERROR(INDEX('nav master'!$C:$C, MATCH(B1584, 'nav master'!$B:$B, 0)), "")</f>
        <v>ULIF 092 25/08/25 MFI 110</v>
      </c>
      <c r="E1584" s="8">
        <v>9.6868999999999996</v>
      </c>
      <c r="F1584" s="9">
        <v>46043</v>
      </c>
    </row>
    <row r="1585" spans="1:6" ht="60" x14ac:dyDescent="0.25">
      <c r="A1585" s="8" t="s">
        <v>63</v>
      </c>
      <c r="B1585" s="8" t="s">
        <v>69</v>
      </c>
      <c r="C1585" s="8" t="str">
        <f>IFERROR(_xlfn.XLOOKUP(TRIM(B1585),Lookup!$B$2:$B$1000,Lookup!$C$2:$C$1000),"")</f>
        <v>Equity - Index (Momentum 50)</v>
      </c>
      <c r="D1585" s="8" t="str">
        <f>IFERROR(INDEX('nav master'!$C:$C, MATCH(B1585, 'nav master'!$B:$B, 0)), "")</f>
        <v>ULIF 092 25/08/25 MFI 110</v>
      </c>
      <c r="E1585" s="8">
        <v>9.7819000000000003</v>
      </c>
      <c r="F1585" s="9">
        <v>46044</v>
      </c>
    </row>
    <row r="1586" spans="1:6" ht="60" x14ac:dyDescent="0.25">
      <c r="A1586" s="8" t="s">
        <v>63</v>
      </c>
      <c r="B1586" s="8" t="s">
        <v>69</v>
      </c>
      <c r="C1586" s="8" t="str">
        <f>IFERROR(_xlfn.XLOOKUP(TRIM(B1586),Lookup!$B$2:$B$1000,Lookup!$C$2:$C$1000),"")</f>
        <v>Equity - Index (Momentum 50)</v>
      </c>
      <c r="D1586" s="8" t="str">
        <f>IFERROR(INDEX('nav master'!$C:$C, MATCH(B1586, 'nav master'!$B:$B, 0)), "")</f>
        <v>ULIF 092 25/08/25 MFI 110</v>
      </c>
      <c r="E1586" s="8">
        <v>9.6264000000000003</v>
      </c>
      <c r="F1586" s="9">
        <v>46045</v>
      </c>
    </row>
    <row r="1587" spans="1:6" ht="60" x14ac:dyDescent="0.25">
      <c r="A1587" s="8" t="s">
        <v>63</v>
      </c>
      <c r="B1587" s="8" t="s">
        <v>69</v>
      </c>
      <c r="C1587" s="8" t="str">
        <f>IFERROR(_xlfn.XLOOKUP(TRIM(B1587),Lookup!$B$2:$B$1000,Lookup!$C$2:$C$1000),"")</f>
        <v>Equity - Index (Momentum 50)</v>
      </c>
      <c r="D1587" s="8" t="str">
        <f>IFERROR(INDEX('nav master'!$C:$C, MATCH(B1587, 'nav master'!$B:$B, 0)), "")</f>
        <v>ULIF 092 25/08/25 MFI 110</v>
      </c>
      <c r="E1587" s="8">
        <v>9.6613000000000007</v>
      </c>
      <c r="F1587" s="9">
        <v>46049</v>
      </c>
    </row>
    <row r="1588" spans="1:6" ht="60" x14ac:dyDescent="0.25">
      <c r="A1588" s="8" t="s">
        <v>63</v>
      </c>
      <c r="B1588" s="8" t="s">
        <v>69</v>
      </c>
      <c r="C1588" s="8" t="str">
        <f>IFERROR(_xlfn.XLOOKUP(TRIM(B1588),Lookup!$B$2:$B$1000,Lookup!$C$2:$C$1000),"")</f>
        <v>Equity - Index (Momentum 50)</v>
      </c>
      <c r="D1588" s="8" t="str">
        <f>IFERROR(INDEX('nav master'!$C:$C, MATCH(B1588, 'nav master'!$B:$B, 0)), "")</f>
        <v>ULIF 092 25/08/25 MFI 110</v>
      </c>
      <c r="E1588" s="8">
        <v>9.8180999999999994</v>
      </c>
      <c r="F1588" s="9">
        <v>46050</v>
      </c>
    </row>
    <row r="1589" spans="1:6" ht="60" x14ac:dyDescent="0.25">
      <c r="A1589" s="8" t="s">
        <v>63</v>
      </c>
      <c r="B1589" s="8" t="s">
        <v>69</v>
      </c>
      <c r="C1589" s="8" t="str">
        <f>IFERROR(_xlfn.XLOOKUP(TRIM(B1589),Lookup!$B$2:$B$1000,Lookup!$C$2:$C$1000),"")</f>
        <v>Equity - Index (Momentum 50)</v>
      </c>
      <c r="D1589" s="8" t="str">
        <f>IFERROR(INDEX('nav master'!$C:$C, MATCH(B1589, 'nav master'!$B:$B, 0)), "")</f>
        <v>ULIF 092 25/08/25 MFI 110</v>
      </c>
      <c r="E1589" s="8">
        <v>9.7911999999999999</v>
      </c>
      <c r="F1589" s="9">
        <v>46051</v>
      </c>
    </row>
    <row r="1590" spans="1:6" ht="60" x14ac:dyDescent="0.25">
      <c r="A1590" s="8" t="s">
        <v>63</v>
      </c>
      <c r="B1590" s="8" t="s">
        <v>69</v>
      </c>
      <c r="C1590" s="8" t="str">
        <f>IFERROR(_xlfn.XLOOKUP(TRIM(B1590),Lookup!$B$2:$B$1000,Lookup!$C$2:$C$1000),"")</f>
        <v>Equity - Index (Momentum 50)</v>
      </c>
      <c r="D1590" s="8" t="str">
        <f>IFERROR(INDEX('nav master'!$C:$C, MATCH(B1590, 'nav master'!$B:$B, 0)), "")</f>
        <v>ULIF 092 25/08/25 MFI 110</v>
      </c>
      <c r="E1590" s="8">
        <v>9.7932000000000006</v>
      </c>
      <c r="F1590" s="9">
        <v>46052</v>
      </c>
    </row>
    <row r="1591" spans="1:6" ht="60" x14ac:dyDescent="0.25">
      <c r="A1591" s="8" t="s">
        <v>63</v>
      </c>
      <c r="B1591" s="8" t="s">
        <v>69</v>
      </c>
      <c r="C1591" s="8" t="str">
        <f>IFERROR(_xlfn.XLOOKUP(TRIM(B1591),Lookup!$B$2:$B$1000,Lookup!$C$2:$C$1000),"")</f>
        <v>Equity - Index (Momentum 50)</v>
      </c>
      <c r="D1591" s="8" t="str">
        <f>IFERROR(INDEX('nav master'!$C:$C, MATCH(B1591, 'nav master'!$B:$B, 0)), "")</f>
        <v>ULIF 092 25/08/25 MFI 110</v>
      </c>
      <c r="E1591" s="8">
        <v>9.5488</v>
      </c>
      <c r="F1591" s="9">
        <v>46054</v>
      </c>
    </row>
    <row r="1592" spans="1:6" ht="60" x14ac:dyDescent="0.25">
      <c r="A1592" s="8" t="s">
        <v>63</v>
      </c>
      <c r="B1592" s="8" t="s">
        <v>69</v>
      </c>
      <c r="C1592" s="8" t="str">
        <f>IFERROR(_xlfn.XLOOKUP(TRIM(B1592),Lookup!$B$2:$B$1000,Lookup!$C$2:$C$1000),"")</f>
        <v>Equity - Index (Momentum 50)</v>
      </c>
      <c r="D1592" s="8" t="str">
        <f>IFERROR(INDEX('nav master'!$C:$C, MATCH(B1592, 'nav master'!$B:$B, 0)), "")</f>
        <v>ULIF 092 25/08/25 MFI 110</v>
      </c>
      <c r="E1592" s="8">
        <v>9.6782000000000004</v>
      </c>
      <c r="F1592" s="9">
        <v>46055</v>
      </c>
    </row>
    <row r="1593" spans="1:6" ht="60" x14ac:dyDescent="0.25">
      <c r="A1593" s="8" t="s">
        <v>63</v>
      </c>
      <c r="B1593" s="8" t="s">
        <v>69</v>
      </c>
      <c r="C1593" s="8" t="str">
        <f>IFERROR(_xlfn.XLOOKUP(TRIM(B1593),Lookup!$B$2:$B$1000,Lookup!$C$2:$C$1000),"")</f>
        <v>Equity - Index (Momentum 50)</v>
      </c>
      <c r="D1593" s="8" t="str">
        <f>IFERROR(INDEX('nav master'!$C:$C, MATCH(B1593, 'nav master'!$B:$B, 0)), "")</f>
        <v>ULIF 092 25/08/25 MFI 110</v>
      </c>
      <c r="E1593" s="8">
        <v>9.9617000000000004</v>
      </c>
      <c r="F1593" s="9">
        <v>46056</v>
      </c>
    </row>
    <row r="1594" spans="1:6" ht="60" x14ac:dyDescent="0.25">
      <c r="A1594" s="8" t="s">
        <v>63</v>
      </c>
      <c r="B1594" s="8" t="s">
        <v>69</v>
      </c>
      <c r="C1594" s="8" t="str">
        <f>IFERROR(_xlfn.XLOOKUP(TRIM(B1594),Lookup!$B$2:$B$1000,Lookup!$C$2:$C$1000),"")</f>
        <v>Equity - Index (Momentum 50)</v>
      </c>
      <c r="D1594" s="8" t="str">
        <f>IFERROR(INDEX('nav master'!$C:$C, MATCH(B1594, 'nav master'!$B:$B, 0)), "")</f>
        <v>ULIF 092 25/08/25 MFI 110</v>
      </c>
      <c r="E1594" s="8">
        <v>10.0444</v>
      </c>
      <c r="F1594" s="9">
        <v>46057</v>
      </c>
    </row>
    <row r="1595" spans="1:6" ht="60" x14ac:dyDescent="0.25">
      <c r="A1595" s="8" t="s">
        <v>63</v>
      </c>
      <c r="B1595" s="8" t="s">
        <v>69</v>
      </c>
      <c r="C1595" s="8" t="str">
        <f>IFERROR(_xlfn.XLOOKUP(TRIM(B1595),Lookup!$B$2:$B$1000,Lookup!$C$2:$C$1000),"")</f>
        <v>Equity - Index (Momentum 50)</v>
      </c>
      <c r="D1595" s="8" t="str">
        <f>IFERROR(INDEX('nav master'!$C:$C, MATCH(B1595, 'nav master'!$B:$B, 0)), "")</f>
        <v>ULIF 092 25/08/25 MFI 110</v>
      </c>
      <c r="E1595" s="8">
        <v>9.9883000000000006</v>
      </c>
      <c r="F1595" s="9">
        <v>46058</v>
      </c>
    </row>
    <row r="1596" spans="1:6" ht="60" x14ac:dyDescent="0.25">
      <c r="A1596" s="8" t="s">
        <v>63</v>
      </c>
      <c r="B1596" s="8" t="s">
        <v>69</v>
      </c>
      <c r="C1596" s="8" t="str">
        <f>IFERROR(_xlfn.XLOOKUP(TRIM(B1596),Lookup!$B$2:$B$1000,Lookup!$C$2:$C$1000),"")</f>
        <v>Equity - Index (Momentum 50)</v>
      </c>
      <c r="D1596" s="8" t="str">
        <f>IFERROR(INDEX('nav master'!$C:$C, MATCH(B1596, 'nav master'!$B:$B, 0)), "")</f>
        <v>ULIF 092 25/08/25 MFI 110</v>
      </c>
      <c r="E1596" s="8">
        <v>10.0495</v>
      </c>
      <c r="F1596" s="9">
        <v>46059</v>
      </c>
    </row>
    <row r="1597" spans="1:6" ht="60" x14ac:dyDescent="0.25">
      <c r="A1597" s="8" t="s">
        <v>63</v>
      </c>
      <c r="B1597" s="8" t="s">
        <v>69</v>
      </c>
      <c r="C1597" s="8" t="str">
        <f>IFERROR(_xlfn.XLOOKUP(TRIM(B1597),Lookup!$B$2:$B$1000,Lookup!$C$2:$C$1000),"")</f>
        <v>Equity - Index (Momentum 50)</v>
      </c>
      <c r="D1597" s="8" t="str">
        <f>IFERROR(INDEX('nav master'!$C:$C, MATCH(B1597, 'nav master'!$B:$B, 0)), "")</f>
        <v>ULIF 092 25/08/25 MFI 110</v>
      </c>
      <c r="E1597" s="8">
        <v>10.198399999999999</v>
      </c>
      <c r="F1597" s="9">
        <v>46062</v>
      </c>
    </row>
    <row r="1598" spans="1:6" ht="60" x14ac:dyDescent="0.25">
      <c r="A1598" s="8" t="s">
        <v>63</v>
      </c>
      <c r="B1598" s="8" t="s">
        <v>69</v>
      </c>
      <c r="C1598" s="8" t="str">
        <f>IFERROR(_xlfn.XLOOKUP(TRIM(B1598),Lookup!$B$2:$B$1000,Lookup!$C$2:$C$1000),"")</f>
        <v>Equity - Index (Momentum 50)</v>
      </c>
      <c r="D1598" s="8" t="str">
        <f>IFERROR(INDEX('nav master'!$C:$C, MATCH(B1598, 'nav master'!$B:$B, 0)), "")</f>
        <v>ULIF 092 25/08/25 MFI 110</v>
      </c>
      <c r="E1598" s="8">
        <v>10.1891</v>
      </c>
      <c r="F1598" s="9">
        <v>46063</v>
      </c>
    </row>
    <row r="1599" spans="1:6" ht="60" x14ac:dyDescent="0.25">
      <c r="A1599" s="8" t="s">
        <v>63</v>
      </c>
      <c r="B1599" s="8" t="s">
        <v>69</v>
      </c>
      <c r="C1599" s="8" t="str">
        <f>IFERROR(_xlfn.XLOOKUP(TRIM(B1599),Lookup!$B$2:$B$1000,Lookup!$C$2:$C$1000),"")</f>
        <v>Equity - Index (Momentum 50)</v>
      </c>
      <c r="D1599" s="8" t="str">
        <f>IFERROR(INDEX('nav master'!$C:$C, MATCH(B1599, 'nav master'!$B:$B, 0)), "")</f>
        <v>ULIF 092 25/08/25 MFI 110</v>
      </c>
      <c r="E1599" s="8">
        <v>10.283799999999999</v>
      </c>
      <c r="F1599" s="9">
        <v>46064</v>
      </c>
    </row>
    <row r="1600" spans="1:6" ht="60" x14ac:dyDescent="0.25">
      <c r="A1600" s="8" t="s">
        <v>63</v>
      </c>
      <c r="B1600" s="8" t="s">
        <v>69</v>
      </c>
      <c r="C1600" s="8" t="str">
        <f>IFERROR(_xlfn.XLOOKUP(TRIM(B1600),Lookup!$B$2:$B$1000,Lookup!$C$2:$C$1000),"")</f>
        <v>Equity - Index (Momentum 50)</v>
      </c>
      <c r="D1600" s="8" t="str">
        <f>IFERROR(INDEX('nav master'!$C:$C, MATCH(B1600, 'nav master'!$B:$B, 0)), "")</f>
        <v>ULIF 092 25/08/25 MFI 110</v>
      </c>
      <c r="E1600" s="8">
        <v>10.343299999999999</v>
      </c>
      <c r="F1600" s="9">
        <v>46065</v>
      </c>
    </row>
    <row r="1601" spans="1:6" ht="60" x14ac:dyDescent="0.25">
      <c r="A1601" s="8" t="s">
        <v>63</v>
      </c>
      <c r="B1601" s="8" t="s">
        <v>69</v>
      </c>
      <c r="C1601" s="8" t="str">
        <f>IFERROR(_xlfn.XLOOKUP(TRIM(B1601),Lookup!$B$2:$B$1000,Lookup!$C$2:$C$1000),"")</f>
        <v>Equity - Index (Momentum 50)</v>
      </c>
      <c r="D1601" s="8" t="str">
        <f>IFERROR(INDEX('nav master'!$C:$C, MATCH(B1601, 'nav master'!$B:$B, 0)), "")</f>
        <v>ULIF 092 25/08/25 MFI 110</v>
      </c>
      <c r="E1601" s="8">
        <v>10.190099999999999</v>
      </c>
      <c r="F1601" s="9">
        <v>46066</v>
      </c>
    </row>
    <row r="1602" spans="1:6" ht="60" x14ac:dyDescent="0.25">
      <c r="A1602" s="8" t="s">
        <v>63</v>
      </c>
      <c r="B1602" s="8" t="s">
        <v>69</v>
      </c>
      <c r="C1602" s="8" t="str">
        <f>IFERROR(_xlfn.XLOOKUP(TRIM(B1602),Lookup!$B$2:$B$1000,Lookup!$C$2:$C$1000),"")</f>
        <v>Equity - Index (Momentum 50)</v>
      </c>
      <c r="D1602" s="8" t="str">
        <f>IFERROR(INDEX('nav master'!$C:$C, MATCH(B1602, 'nav master'!$B:$B, 0)), "")</f>
        <v>ULIF 092 25/08/25 MFI 110</v>
      </c>
      <c r="E1602" s="8">
        <v>10.2273</v>
      </c>
      <c r="F1602" s="9">
        <v>46069</v>
      </c>
    </row>
    <row r="1603" spans="1:6" ht="60" x14ac:dyDescent="0.25">
      <c r="A1603" s="8" t="s">
        <v>63</v>
      </c>
      <c r="B1603" s="8" t="s">
        <v>69</v>
      </c>
      <c r="C1603" s="8" t="str">
        <f>IFERROR(_xlfn.XLOOKUP(TRIM(B1603),Lookup!$B$2:$B$1000,Lookup!$C$2:$C$1000),"")</f>
        <v>Equity - Index (Momentum 50)</v>
      </c>
      <c r="D1603" s="8" t="str">
        <f>IFERROR(INDEX('nav master'!$C:$C, MATCH(B1603, 'nav master'!$B:$B, 0)), "")</f>
        <v>ULIF 092 25/08/25 MFI 110</v>
      </c>
      <c r="E1603" s="8">
        <v>10.303900000000001</v>
      </c>
      <c r="F1603" s="9">
        <v>46070</v>
      </c>
    </row>
    <row r="1604" spans="1:6" ht="60" x14ac:dyDescent="0.25">
      <c r="A1604" s="8" t="s">
        <v>63</v>
      </c>
      <c r="B1604" s="8" t="s">
        <v>69</v>
      </c>
      <c r="C1604" s="8" t="str">
        <f>IFERROR(_xlfn.XLOOKUP(TRIM(B1604),Lookup!$B$2:$B$1000,Lookup!$C$2:$C$1000),"")</f>
        <v>Equity - Index (Momentum 50)</v>
      </c>
      <c r="D1604" s="8" t="str">
        <f>IFERROR(INDEX('nav master'!$C:$C, MATCH(B1604, 'nav master'!$B:$B, 0)), "")</f>
        <v>ULIF 092 25/08/25 MFI 110</v>
      </c>
      <c r="E1604" s="8">
        <v>10.366099999999999</v>
      </c>
      <c r="F1604" s="9">
        <v>46071</v>
      </c>
    </row>
    <row r="1605" spans="1:6" ht="60" x14ac:dyDescent="0.25">
      <c r="A1605" s="8" t="s">
        <v>63</v>
      </c>
      <c r="B1605" s="8" t="s">
        <v>69</v>
      </c>
      <c r="C1605" s="8" t="str">
        <f>IFERROR(_xlfn.XLOOKUP(TRIM(B1605),Lookup!$B$2:$B$1000,Lookup!$C$2:$C$1000),"")</f>
        <v>Equity - Index (Momentum 50)</v>
      </c>
      <c r="D1605" s="8" t="str">
        <f>IFERROR(INDEX('nav master'!$C:$C, MATCH(B1605, 'nav master'!$B:$B, 0)), "")</f>
        <v>ULIF 092 25/08/25 MFI 110</v>
      </c>
      <c r="E1605" s="8">
        <v>10.180099999999999</v>
      </c>
      <c r="F1605" s="9">
        <v>46072</v>
      </c>
    </row>
    <row r="1606" spans="1:6" ht="60" x14ac:dyDescent="0.25">
      <c r="A1606" s="8" t="s">
        <v>63</v>
      </c>
      <c r="B1606" s="8" t="s">
        <v>69</v>
      </c>
      <c r="C1606" s="8" t="str">
        <f>IFERROR(_xlfn.XLOOKUP(TRIM(B1606),Lookup!$B$2:$B$1000,Lookup!$C$2:$C$1000),"")</f>
        <v>Equity - Index (Momentum 50)</v>
      </c>
      <c r="D1606" s="8" t="str">
        <f>IFERROR(INDEX('nav master'!$C:$C, MATCH(B1606, 'nav master'!$B:$B, 0)), "")</f>
        <v>ULIF 092 25/08/25 MFI 110</v>
      </c>
      <c r="E1606" s="8">
        <v>10.252700000000001</v>
      </c>
      <c r="F1606" s="9">
        <v>46073</v>
      </c>
    </row>
    <row r="1607" spans="1:6" ht="60" x14ac:dyDescent="0.25">
      <c r="A1607" s="8" t="s">
        <v>63</v>
      </c>
      <c r="B1607" s="8" t="s">
        <v>69</v>
      </c>
      <c r="C1607" s="8" t="str">
        <f>IFERROR(_xlfn.XLOOKUP(TRIM(B1607),Lookup!$B$2:$B$1000,Lookup!$C$2:$C$1000),"")</f>
        <v>Equity - Index (Momentum 50)</v>
      </c>
      <c r="D1607" s="8" t="str">
        <f>IFERROR(INDEX('nav master'!$C:$C, MATCH(B1607, 'nav master'!$B:$B, 0)), "")</f>
        <v>ULIF 092 25/08/25 MFI 110</v>
      </c>
      <c r="E1607" s="8">
        <v>10.262499999999999</v>
      </c>
      <c r="F1607" s="9">
        <v>46076</v>
      </c>
    </row>
    <row r="1608" spans="1:6" ht="60" x14ac:dyDescent="0.25">
      <c r="A1608" s="8" t="s">
        <v>63</v>
      </c>
      <c r="B1608" s="8" t="s">
        <v>69</v>
      </c>
      <c r="C1608" s="8" t="str">
        <f>IFERROR(_xlfn.XLOOKUP(TRIM(B1608),Lookup!$B$2:$B$1000,Lookup!$C$2:$C$1000),"")</f>
        <v>Equity - Index (Momentum 50)</v>
      </c>
      <c r="D1608" s="8" t="str">
        <f>IFERROR(INDEX('nav master'!$C:$C, MATCH(B1608, 'nav master'!$B:$B, 0)), "")</f>
        <v>ULIF 092 25/08/25 MFI 110</v>
      </c>
      <c r="E1608" s="8">
        <v>10.194699999999999</v>
      </c>
      <c r="F1608" s="9">
        <v>46077</v>
      </c>
    </row>
    <row r="1609" spans="1:6" ht="60" x14ac:dyDescent="0.25">
      <c r="A1609" s="8" t="s">
        <v>63</v>
      </c>
      <c r="B1609" s="8" t="s">
        <v>69</v>
      </c>
      <c r="C1609" s="8" t="str">
        <f>IFERROR(_xlfn.XLOOKUP(TRIM(B1609),Lookup!$B$2:$B$1000,Lookup!$C$2:$C$1000),"")</f>
        <v>Equity - Index (Momentum 50)</v>
      </c>
      <c r="D1609" s="8" t="str">
        <f>IFERROR(INDEX('nav master'!$C:$C, MATCH(B1609, 'nav master'!$B:$B, 0)), "")</f>
        <v>ULIF 092 25/08/25 MFI 110</v>
      </c>
      <c r="E1609" s="8">
        <v>10.3146</v>
      </c>
      <c r="F1609" s="9">
        <v>46078</v>
      </c>
    </row>
    <row r="1610" spans="1:6" ht="60" x14ac:dyDescent="0.25">
      <c r="A1610" s="8" t="s">
        <v>63</v>
      </c>
      <c r="B1610" s="8" t="s">
        <v>69</v>
      </c>
      <c r="C1610" s="8" t="str">
        <f>IFERROR(_xlfn.XLOOKUP(TRIM(B1610),Lookup!$B$2:$B$1000,Lookup!$C$2:$C$1000),"")</f>
        <v>Equity - Index (Momentum 50)</v>
      </c>
      <c r="D1610" s="8" t="str">
        <f>IFERROR(INDEX('nav master'!$C:$C, MATCH(B1610, 'nav master'!$B:$B, 0)), "")</f>
        <v>ULIF 092 25/08/25 MFI 110</v>
      </c>
      <c r="E1610" s="8">
        <v>10.3919</v>
      </c>
      <c r="F1610" s="9">
        <v>46079</v>
      </c>
    </row>
    <row r="1611" spans="1:6" ht="60" x14ac:dyDescent="0.25">
      <c r="A1611" s="8" t="s">
        <v>63</v>
      </c>
      <c r="B1611" s="8" t="s">
        <v>69</v>
      </c>
      <c r="C1611" s="8" t="str">
        <f>IFERROR(_xlfn.XLOOKUP(TRIM(B1611),Lookup!$B$2:$B$1000,Lookup!$C$2:$C$1000),"")</f>
        <v>Equity - Index (Momentum 50)</v>
      </c>
      <c r="D1611" s="8" t="str">
        <f>IFERROR(INDEX('nav master'!$C:$C, MATCH(B1611, 'nav master'!$B:$B, 0)), "")</f>
        <v>ULIF 092 25/08/25 MFI 110</v>
      </c>
      <c r="E1611" s="8">
        <v>10.2097</v>
      </c>
      <c r="F1611" s="9">
        <v>46080</v>
      </c>
    </row>
    <row r="1612" spans="1:6" ht="60" x14ac:dyDescent="0.25">
      <c r="A1612" s="8" t="s">
        <v>63</v>
      </c>
      <c r="B1612" s="8" t="s">
        <v>69</v>
      </c>
      <c r="C1612" s="8" t="str">
        <f>IFERROR(_xlfn.XLOOKUP(TRIM(B1612),Lookup!$B$2:$B$1000,Lookup!$C$2:$C$1000),"")</f>
        <v>Equity - Index (Momentum 50)</v>
      </c>
      <c r="D1612" s="8" t="str">
        <f>IFERROR(INDEX('nav master'!$C:$C, MATCH(B1612, 'nav master'!$B:$B, 0)), "")</f>
        <v>ULIF 092 25/08/25 MFI 110</v>
      </c>
      <c r="E1612" s="8">
        <v>10.045</v>
      </c>
      <c r="F1612" s="9">
        <v>46083</v>
      </c>
    </row>
    <row r="1613" spans="1:6" ht="60" x14ac:dyDescent="0.25">
      <c r="A1613" s="8" t="s">
        <v>63</v>
      </c>
      <c r="B1613" s="8" t="s">
        <v>69</v>
      </c>
      <c r="C1613" s="8" t="str">
        <f>IFERROR(_xlfn.XLOOKUP(TRIM(B1613),Lookup!$B$2:$B$1000,Lookup!$C$2:$C$1000),"")</f>
        <v>Equity - Index (Momentum 50)</v>
      </c>
      <c r="D1613" s="8" t="str">
        <f>IFERROR(INDEX('nav master'!$C:$C, MATCH(B1613, 'nav master'!$B:$B, 0)), "")</f>
        <v>ULIF 092 25/08/25 MFI 110</v>
      </c>
      <c r="E1613" s="8">
        <v>9.8088999999999995</v>
      </c>
      <c r="F1613" s="9">
        <v>46085</v>
      </c>
    </row>
    <row r="1614" spans="1:6" ht="60" x14ac:dyDescent="0.25">
      <c r="A1614" s="8" t="s">
        <v>63</v>
      </c>
      <c r="B1614" s="8" t="s">
        <v>69</v>
      </c>
      <c r="C1614" s="8" t="str">
        <f>IFERROR(_xlfn.XLOOKUP(TRIM(B1614),Lookup!$B$2:$B$1000,Lookup!$C$2:$C$1000),"")</f>
        <v>Equity - Index (Momentum 50)</v>
      </c>
      <c r="D1614" s="8" t="str">
        <f>IFERROR(INDEX('nav master'!$C:$C, MATCH(B1614, 'nav master'!$B:$B, 0)), "")</f>
        <v>ULIF 092 25/08/25 MFI 110</v>
      </c>
      <c r="E1614" s="8">
        <v>9.9771000000000001</v>
      </c>
      <c r="F1614" s="9">
        <v>46086</v>
      </c>
    </row>
    <row r="1615" spans="1:6" ht="60" x14ac:dyDescent="0.25">
      <c r="A1615" s="8" t="s">
        <v>63</v>
      </c>
      <c r="B1615" s="8" t="s">
        <v>69</v>
      </c>
      <c r="C1615" s="8" t="str">
        <f>IFERROR(_xlfn.XLOOKUP(TRIM(B1615),Lookup!$B$2:$B$1000,Lookup!$C$2:$C$1000),"")</f>
        <v>Equity - Index (Momentum 50)</v>
      </c>
      <c r="D1615" s="8" t="str">
        <f>IFERROR(INDEX('nav master'!$C:$C, MATCH(B1615, 'nav master'!$B:$B, 0)), "")</f>
        <v>ULIF 092 25/08/25 MFI 110</v>
      </c>
      <c r="E1615" s="8">
        <v>9.8589000000000002</v>
      </c>
      <c r="F1615" s="9">
        <v>46087</v>
      </c>
    </row>
    <row r="1616" spans="1:6" ht="60" x14ac:dyDescent="0.25">
      <c r="A1616" s="8" t="s">
        <v>63</v>
      </c>
      <c r="B1616" s="8" t="s">
        <v>69</v>
      </c>
      <c r="C1616" s="8" t="str">
        <f>IFERROR(_xlfn.XLOOKUP(TRIM(B1616),Lookup!$B$2:$B$1000,Lookup!$C$2:$C$1000),"")</f>
        <v>Equity - Index (Momentum 50)</v>
      </c>
      <c r="D1616" s="8" t="str">
        <f>IFERROR(INDEX('nav master'!$C:$C, MATCH(B1616, 'nav master'!$B:$B, 0)), "")</f>
        <v>ULIF 092 25/08/25 MFI 110</v>
      </c>
      <c r="E1616" s="8">
        <v>9.6277000000000008</v>
      </c>
      <c r="F1616" s="9">
        <v>46090</v>
      </c>
    </row>
    <row r="1617" spans="1:6" ht="60" x14ac:dyDescent="0.25">
      <c r="A1617" s="8" t="s">
        <v>63</v>
      </c>
      <c r="B1617" s="8" t="s">
        <v>69</v>
      </c>
      <c r="C1617" s="8" t="str">
        <f>IFERROR(_xlfn.XLOOKUP(TRIM(B1617),Lookup!$B$2:$B$1000,Lookup!$C$2:$C$1000),"")</f>
        <v>Equity - Index (Momentum 50)</v>
      </c>
      <c r="D1617" s="8" t="str">
        <f>IFERROR(INDEX('nav master'!$C:$C, MATCH(B1617, 'nav master'!$B:$B, 0)), "")</f>
        <v>ULIF 092 25/08/25 MFI 110</v>
      </c>
      <c r="E1617" s="8">
        <v>9.8496000000000006</v>
      </c>
      <c r="F1617" s="9">
        <v>46091</v>
      </c>
    </row>
    <row r="1618" spans="1:6" ht="60" x14ac:dyDescent="0.25">
      <c r="A1618" s="8" t="s">
        <v>63</v>
      </c>
      <c r="B1618" s="8" t="s">
        <v>69</v>
      </c>
      <c r="C1618" s="8" t="str">
        <f>IFERROR(_xlfn.XLOOKUP(TRIM(B1618),Lookup!$B$2:$B$1000,Lookup!$C$2:$C$1000),"")</f>
        <v>Equity - Index (Momentum 50)</v>
      </c>
      <c r="D1618" s="8" t="str">
        <f>IFERROR(INDEX('nav master'!$C:$C, MATCH(B1618, 'nav master'!$B:$B, 0)), "")</f>
        <v>ULIF 092 25/08/25 MFI 110</v>
      </c>
      <c r="E1618" s="8">
        <v>9.6365999999999996</v>
      </c>
      <c r="F1618" s="9">
        <v>46092</v>
      </c>
    </row>
    <row r="1619" spans="1:6" ht="60" x14ac:dyDescent="0.25">
      <c r="A1619" s="8" t="s">
        <v>63</v>
      </c>
      <c r="B1619" s="8" t="s">
        <v>69</v>
      </c>
      <c r="C1619" s="8" t="str">
        <f>IFERROR(_xlfn.XLOOKUP(TRIM(B1619),Lookup!$B$2:$B$1000,Lookup!$C$2:$C$1000),"")</f>
        <v>Equity - Index (Momentum 50)</v>
      </c>
      <c r="D1619" s="8" t="str">
        <f>IFERROR(INDEX('nav master'!$C:$C, MATCH(B1619, 'nav master'!$B:$B, 0)), "")</f>
        <v>ULIF 092 25/08/25 MFI 110</v>
      </c>
      <c r="E1619" s="8">
        <v>9.4934999999999992</v>
      </c>
      <c r="F1619" s="9">
        <v>46093</v>
      </c>
    </row>
    <row r="1620" spans="1:6" ht="60" x14ac:dyDescent="0.25">
      <c r="A1620" s="8" t="s">
        <v>63</v>
      </c>
      <c r="B1620" s="8" t="s">
        <v>69</v>
      </c>
      <c r="C1620" s="8" t="str">
        <f>IFERROR(_xlfn.XLOOKUP(TRIM(B1620),Lookup!$B$2:$B$1000,Lookup!$C$2:$C$1000),"")</f>
        <v>Equity - Index (Momentum 50)</v>
      </c>
      <c r="D1620" s="8" t="str">
        <f>IFERROR(INDEX('nav master'!$C:$C, MATCH(B1620, 'nav master'!$B:$B, 0)), "")</f>
        <v>ULIF 092 25/08/25 MFI 110</v>
      </c>
      <c r="E1620" s="8">
        <v>9.2416999999999998</v>
      </c>
      <c r="F1620" s="9">
        <v>46094</v>
      </c>
    </row>
    <row r="1621" spans="1:6" ht="60" x14ac:dyDescent="0.25">
      <c r="A1621" s="8" t="s">
        <v>63</v>
      </c>
      <c r="B1621" s="8" t="s">
        <v>69</v>
      </c>
      <c r="C1621" s="8" t="str">
        <f>IFERROR(_xlfn.XLOOKUP(TRIM(B1621),Lookup!$B$2:$B$1000,Lookup!$C$2:$C$1000),"")</f>
        <v>Equity - Index (Momentum 50)</v>
      </c>
      <c r="D1621" s="8" t="str">
        <f>IFERROR(INDEX('nav master'!$C:$C, MATCH(B1621, 'nav master'!$B:$B, 0)), "")</f>
        <v>ULIF 092 25/08/25 MFI 110</v>
      </c>
      <c r="E1621" s="8">
        <v>9.2437000000000005</v>
      </c>
      <c r="F1621" s="9">
        <v>46097</v>
      </c>
    </row>
    <row r="1622" spans="1:6" ht="60" x14ac:dyDescent="0.25">
      <c r="A1622" s="8" t="s">
        <v>63</v>
      </c>
      <c r="B1622" s="8" t="s">
        <v>69</v>
      </c>
      <c r="C1622" s="8" t="str">
        <f>IFERROR(_xlfn.XLOOKUP(TRIM(B1622),Lookup!$B$2:$B$1000,Lookup!$C$2:$C$1000),"")</f>
        <v>Equity - Index (Momentum 50)</v>
      </c>
      <c r="D1622" s="8" t="str">
        <f>IFERROR(INDEX('nav master'!$C:$C, MATCH(B1622, 'nav master'!$B:$B, 0)), "")</f>
        <v>ULIF 092 25/08/25 MFI 110</v>
      </c>
      <c r="E1622" s="8">
        <v>9.3931000000000004</v>
      </c>
      <c r="F1622" s="9">
        <v>46098</v>
      </c>
    </row>
    <row r="1623" spans="1:6" ht="60" x14ac:dyDescent="0.25">
      <c r="A1623" s="8" t="s">
        <v>63</v>
      </c>
      <c r="B1623" s="8" t="s">
        <v>69</v>
      </c>
      <c r="C1623" s="8" t="str">
        <f>IFERROR(_xlfn.XLOOKUP(TRIM(B1623),Lookup!$B$2:$B$1000,Lookup!$C$2:$C$1000),"")</f>
        <v>Equity - Index (Momentum 50)</v>
      </c>
      <c r="D1623" s="8" t="str">
        <f>IFERROR(INDEX('nav master'!$C:$C, MATCH(B1623, 'nav master'!$B:$B, 0)), "")</f>
        <v>ULIF 092 25/08/25 MFI 110</v>
      </c>
      <c r="E1623" s="8">
        <v>9.5414999999999992</v>
      </c>
      <c r="F1623" s="9">
        <v>46099</v>
      </c>
    </row>
    <row r="1624" spans="1:6" ht="60" x14ac:dyDescent="0.25">
      <c r="A1624" s="8" t="s">
        <v>63</v>
      </c>
      <c r="B1624" s="8" t="s">
        <v>69</v>
      </c>
      <c r="C1624" s="8" t="str">
        <f>IFERROR(_xlfn.XLOOKUP(TRIM(B1624),Lookup!$B$2:$B$1000,Lookup!$C$2:$C$1000),"")</f>
        <v>Equity - Index (Momentum 50)</v>
      </c>
      <c r="D1624" s="8" t="str">
        <f>IFERROR(INDEX('nav master'!$C:$C, MATCH(B1624, 'nav master'!$B:$B, 0)), "")</f>
        <v>ULIF 092 25/08/25 MFI 110</v>
      </c>
      <c r="E1624" s="8">
        <v>9.2286000000000001</v>
      </c>
      <c r="F1624" s="9">
        <v>46100</v>
      </c>
    </row>
    <row r="1625" spans="1:6" ht="60" x14ac:dyDescent="0.25">
      <c r="A1625" s="8" t="s">
        <v>63</v>
      </c>
      <c r="B1625" s="8" t="s">
        <v>69</v>
      </c>
      <c r="C1625" s="8" t="str">
        <f>IFERROR(_xlfn.XLOOKUP(TRIM(B1625),Lookup!$B$2:$B$1000,Lookup!$C$2:$C$1000),"")</f>
        <v>Equity - Index (Momentum 50)</v>
      </c>
      <c r="D1625" s="8" t="str">
        <f>IFERROR(INDEX('nav master'!$C:$C, MATCH(B1625, 'nav master'!$B:$B, 0)), "")</f>
        <v>ULIF 092 25/08/25 MFI 110</v>
      </c>
      <c r="E1625" s="8">
        <v>9.2495999999999992</v>
      </c>
      <c r="F1625" s="9">
        <v>46101</v>
      </c>
    </row>
    <row r="1626" spans="1:6" ht="60" x14ac:dyDescent="0.25">
      <c r="A1626" s="8" t="s">
        <v>63</v>
      </c>
      <c r="B1626" s="8" t="s">
        <v>69</v>
      </c>
      <c r="C1626" s="8" t="str">
        <f>IFERROR(_xlfn.XLOOKUP(TRIM(B1626),Lookup!$B$2:$B$1000,Lookup!$C$2:$C$1000),"")</f>
        <v>Equity - Index (Momentum 50)</v>
      </c>
      <c r="D1626" s="8" t="str">
        <f>IFERROR(INDEX('nav master'!$C:$C, MATCH(B1626, 'nav master'!$B:$B, 0)), "")</f>
        <v>ULIF 092 25/08/25 MFI 110</v>
      </c>
      <c r="E1626" s="8">
        <v>8.8854000000000006</v>
      </c>
      <c r="F1626" s="9">
        <v>46104</v>
      </c>
    </row>
    <row r="1627" spans="1:6" ht="60" x14ac:dyDescent="0.25">
      <c r="A1627" s="8" t="s">
        <v>63</v>
      </c>
      <c r="B1627" s="8" t="s">
        <v>69</v>
      </c>
      <c r="C1627" s="8" t="str">
        <f>IFERROR(_xlfn.XLOOKUP(TRIM(B1627),Lookup!$B$2:$B$1000,Lookup!$C$2:$C$1000),"")</f>
        <v>Equity - Index (Momentum 50)</v>
      </c>
      <c r="D1627" s="8" t="str">
        <f>IFERROR(INDEX('nav master'!$C:$C, MATCH(B1627, 'nav master'!$B:$B, 0)), "")</f>
        <v>ULIF 092 25/08/25 MFI 110</v>
      </c>
      <c r="E1627" s="8">
        <v>9.1</v>
      </c>
      <c r="F1627" s="9">
        <v>46105</v>
      </c>
    </row>
    <row r="1628" spans="1:6" ht="60" x14ac:dyDescent="0.25">
      <c r="A1628" s="8" t="s">
        <v>63</v>
      </c>
      <c r="B1628" s="8" t="s">
        <v>69</v>
      </c>
      <c r="C1628" s="8" t="str">
        <f>IFERROR(_xlfn.XLOOKUP(TRIM(B1628),Lookup!$B$2:$B$1000,Lookup!$C$2:$C$1000),"")</f>
        <v>Equity - Index (Momentum 50)</v>
      </c>
      <c r="D1628" s="8" t="str">
        <f>IFERROR(INDEX('nav master'!$C:$C, MATCH(B1628, 'nav master'!$B:$B, 0)), "")</f>
        <v>ULIF 092 25/08/25 MFI 110</v>
      </c>
      <c r="E1628" s="8">
        <v>9.3015000000000008</v>
      </c>
      <c r="F1628" s="9">
        <v>46106</v>
      </c>
    </row>
    <row r="1629" spans="1:6" ht="60" x14ac:dyDescent="0.25">
      <c r="A1629" s="8" t="s">
        <v>63</v>
      </c>
      <c r="B1629" s="8" t="s">
        <v>69</v>
      </c>
      <c r="C1629" s="8" t="str">
        <f>IFERROR(_xlfn.XLOOKUP(TRIM(B1629),Lookup!$B$2:$B$1000,Lookup!$C$2:$C$1000),"")</f>
        <v>Equity - Index (Momentum 50)</v>
      </c>
      <c r="D1629" s="8" t="str">
        <f>IFERROR(INDEX('nav master'!$C:$C, MATCH(B1629, 'nav master'!$B:$B, 0)), "")</f>
        <v>ULIF 092 25/08/25 MFI 110</v>
      </c>
      <c r="E1629" s="8">
        <v>9.1097999999999999</v>
      </c>
      <c r="F1629" s="9">
        <v>46108</v>
      </c>
    </row>
    <row r="1630" spans="1:6" ht="60" x14ac:dyDescent="0.25">
      <c r="A1630" s="8" t="s">
        <v>63</v>
      </c>
      <c r="B1630" s="8" t="s">
        <v>69</v>
      </c>
      <c r="C1630" s="8" t="str">
        <f>IFERROR(_xlfn.XLOOKUP(TRIM(B1630),Lookup!$B$2:$B$1000,Lookup!$C$2:$C$1000),"")</f>
        <v>Equity - Index (Momentum 50)</v>
      </c>
      <c r="D1630" s="8" t="str">
        <f>IFERROR(INDEX('nav master'!$C:$C, MATCH(B1630, 'nav master'!$B:$B, 0)), "")</f>
        <v>ULIF 092 25/08/25 MFI 110</v>
      </c>
      <c r="E1630" s="8">
        <v>8.8878000000000004</v>
      </c>
      <c r="F1630" s="9">
        <v>46111</v>
      </c>
    </row>
    <row r="1631" spans="1:6" ht="60" x14ac:dyDescent="0.25">
      <c r="A1631" s="8" t="s">
        <v>63</v>
      </c>
      <c r="B1631" s="8" t="s">
        <v>69</v>
      </c>
      <c r="C1631" s="8" t="str">
        <f>IFERROR(_xlfn.XLOOKUP(TRIM(B1631),Lookup!$B$2:$B$1000,Lookup!$C$2:$C$1000),"")</f>
        <v>Equity - Index (Momentum 50)</v>
      </c>
      <c r="D1631" s="8" t="str">
        <f>IFERROR(INDEX('nav master'!$C:$C, MATCH(B1631, 'nav master'!$B:$B, 0)), "")</f>
        <v>ULIF 092 25/08/25 MFI 110</v>
      </c>
      <c r="E1631" s="8">
        <v>8.8874999999999993</v>
      </c>
      <c r="F1631" s="9">
        <v>46112</v>
      </c>
    </row>
    <row r="1632" spans="1:6" ht="60" x14ac:dyDescent="0.25">
      <c r="A1632" s="8" t="s">
        <v>63</v>
      </c>
      <c r="B1632" s="8" t="s">
        <v>69</v>
      </c>
      <c r="C1632" s="8" t="str">
        <f>IFERROR(_xlfn.XLOOKUP(TRIM(B1632),Lookup!$B$2:$B$1000,Lookup!$C$2:$C$1000),"")</f>
        <v>Equity - Index (Momentum 50)</v>
      </c>
      <c r="D1632" s="8" t="str">
        <f>IFERROR(INDEX('nav master'!$C:$C, MATCH(B1632, 'nav master'!$B:$B, 0)), "")</f>
        <v>ULIF 092 25/08/25 MFI 110</v>
      </c>
      <c r="E1632" s="8">
        <v>9.0752000000000006</v>
      </c>
      <c r="F1632" s="9">
        <v>46113</v>
      </c>
    </row>
    <row r="1633" spans="1:6" ht="60" x14ac:dyDescent="0.25">
      <c r="A1633" s="8" t="s">
        <v>63</v>
      </c>
      <c r="B1633" s="8" t="s">
        <v>69</v>
      </c>
      <c r="C1633" s="8" t="str">
        <f>IFERROR(_xlfn.XLOOKUP(TRIM(B1633),Lookup!$B$2:$B$1000,Lookup!$C$2:$C$1000),"")</f>
        <v>Equity - Index (Momentum 50)</v>
      </c>
      <c r="D1633" s="8" t="str">
        <f>IFERROR(INDEX('nav master'!$C:$C, MATCH(B1633, 'nav master'!$B:$B, 0)), "")</f>
        <v>ULIF 092 25/08/25 MFI 110</v>
      </c>
      <c r="E1633" s="8">
        <v>9.0287000000000006</v>
      </c>
      <c r="F1633" s="9">
        <v>46114</v>
      </c>
    </row>
    <row r="1634" spans="1:6" ht="60" x14ac:dyDescent="0.25">
      <c r="A1634" s="8" t="s">
        <v>63</v>
      </c>
      <c r="B1634" s="8" t="s">
        <v>69</v>
      </c>
      <c r="C1634" s="8" t="str">
        <f>IFERROR(_xlfn.XLOOKUP(TRIM(B1634),Lookup!$B$2:$B$1000,Lookup!$C$2:$C$1000),"")</f>
        <v>Equity - Index (Momentum 50)</v>
      </c>
      <c r="D1634" s="8" t="str">
        <f>IFERROR(INDEX('nav master'!$C:$C, MATCH(B1634, 'nav master'!$B:$B, 0)), "")</f>
        <v>ULIF 092 25/08/25 MFI 110</v>
      </c>
      <c r="E1634" s="8">
        <v>9.1622000000000003</v>
      </c>
      <c r="F1634" s="9">
        <v>46118</v>
      </c>
    </row>
    <row r="1635" spans="1:6" ht="60" x14ac:dyDescent="0.25">
      <c r="A1635" s="8" t="s">
        <v>63</v>
      </c>
      <c r="B1635" s="8" t="s">
        <v>69</v>
      </c>
      <c r="C1635" s="8" t="str">
        <f>IFERROR(_xlfn.XLOOKUP(TRIM(B1635),Lookup!$B$2:$B$1000,Lookup!$C$2:$C$1000),"")</f>
        <v>Equity - Index (Momentum 50)</v>
      </c>
      <c r="D1635" s="8" t="str">
        <f>IFERROR(INDEX('nav master'!$C:$C, MATCH(B1635, 'nav master'!$B:$B, 0)), "")</f>
        <v>ULIF 092 25/08/25 MFI 110</v>
      </c>
      <c r="E1635" s="8">
        <v>9.1669</v>
      </c>
      <c r="F1635" s="9">
        <v>46119</v>
      </c>
    </row>
    <row r="1636" spans="1:6" ht="60" x14ac:dyDescent="0.25">
      <c r="A1636" s="8" t="s">
        <v>63</v>
      </c>
      <c r="B1636" s="8" t="s">
        <v>69</v>
      </c>
      <c r="C1636" s="8" t="str">
        <f>IFERROR(_xlfn.XLOOKUP(TRIM(B1636),Lookup!$B$2:$B$1000,Lookup!$C$2:$C$1000),"")</f>
        <v>Equity - Index (Momentum 50)</v>
      </c>
      <c r="D1636" s="8" t="str">
        <f>IFERROR(INDEX('nav master'!$C:$C, MATCH(B1636, 'nav master'!$B:$B, 0)), "")</f>
        <v>ULIF 092 25/08/25 MFI 110</v>
      </c>
      <c r="E1636" s="8">
        <v>9.5902999999999992</v>
      </c>
      <c r="F1636" s="9">
        <v>46120</v>
      </c>
    </row>
    <row r="1637" spans="1:6" ht="60" x14ac:dyDescent="0.25">
      <c r="A1637" s="8" t="s">
        <v>63</v>
      </c>
      <c r="B1637" s="8" t="s">
        <v>69</v>
      </c>
      <c r="C1637" s="8" t="str">
        <f>IFERROR(_xlfn.XLOOKUP(TRIM(B1637),Lookup!$B$2:$B$1000,Lookup!$C$2:$C$1000),"")</f>
        <v>Equity - Index (Momentum 50)</v>
      </c>
      <c r="D1637" s="8" t="str">
        <f>IFERROR(INDEX('nav master'!$C:$C, MATCH(B1637, 'nav master'!$B:$B, 0)), "")</f>
        <v>ULIF 092 25/08/25 MFI 110</v>
      </c>
      <c r="E1637" s="8">
        <v>9.6310000000000002</v>
      </c>
      <c r="F1637" s="9">
        <v>46121</v>
      </c>
    </row>
    <row r="1638" spans="1:6" ht="60" x14ac:dyDescent="0.25">
      <c r="A1638" s="8" t="s">
        <v>63</v>
      </c>
      <c r="B1638" s="8" t="s">
        <v>69</v>
      </c>
      <c r="C1638" s="8" t="str">
        <f>IFERROR(_xlfn.XLOOKUP(TRIM(B1638),Lookup!$B$2:$B$1000,Lookup!$C$2:$C$1000),"")</f>
        <v>Equity - Index (Momentum 50)</v>
      </c>
      <c r="D1638" s="8" t="str">
        <f>IFERROR(INDEX('nav master'!$C:$C, MATCH(B1638, 'nav master'!$B:$B, 0)), "")</f>
        <v>ULIF 092 25/08/25 MFI 110</v>
      </c>
      <c r="E1638" s="8">
        <v>9.8384</v>
      </c>
      <c r="F1638" s="9">
        <v>46122</v>
      </c>
    </row>
    <row r="1639" spans="1:6" ht="60" x14ac:dyDescent="0.25">
      <c r="A1639" s="8" t="s">
        <v>63</v>
      </c>
      <c r="B1639" s="8" t="s">
        <v>69</v>
      </c>
      <c r="C1639" s="8" t="str">
        <f>IFERROR(_xlfn.XLOOKUP(TRIM(B1639),Lookup!$B$2:$B$1000,Lookup!$C$2:$C$1000),"")</f>
        <v>Equity - Index (Momentum 50)</v>
      </c>
      <c r="D1639" s="8" t="str">
        <f>IFERROR(INDEX('nav master'!$C:$C, MATCH(B1639, 'nav master'!$B:$B, 0)), "")</f>
        <v>ULIF 092 25/08/25 MFI 110</v>
      </c>
      <c r="E1639" s="8">
        <v>9.7197999999999993</v>
      </c>
      <c r="F1639" s="9">
        <v>46125</v>
      </c>
    </row>
    <row r="1640" spans="1:6" ht="60" x14ac:dyDescent="0.25">
      <c r="A1640" s="8" t="s">
        <v>63</v>
      </c>
      <c r="B1640" s="8" t="s">
        <v>69</v>
      </c>
      <c r="C1640" s="8" t="str">
        <f>IFERROR(_xlfn.XLOOKUP(TRIM(B1640),Lookup!$B$2:$B$1000,Lookup!$C$2:$C$1000),"")</f>
        <v>Equity - Index (Momentum 50)</v>
      </c>
      <c r="D1640" s="8" t="str">
        <f>IFERROR(INDEX('nav master'!$C:$C, MATCH(B1640, 'nav master'!$B:$B, 0)), "")</f>
        <v>ULIF 092 25/08/25 MFI 110</v>
      </c>
      <c r="E1640" s="8">
        <v>9.9017999999999997</v>
      </c>
      <c r="F1640" s="9">
        <v>46127</v>
      </c>
    </row>
    <row r="1641" spans="1:6" ht="60" x14ac:dyDescent="0.25">
      <c r="A1641" s="8" t="s">
        <v>63</v>
      </c>
      <c r="B1641" s="8" t="s">
        <v>69</v>
      </c>
      <c r="C1641" s="8" t="str">
        <f>IFERROR(_xlfn.XLOOKUP(TRIM(B1641),Lookup!$B$2:$B$1000,Lookup!$C$2:$C$1000),"")</f>
        <v>Equity - Index (Momentum 50)</v>
      </c>
      <c r="D1641" s="8" t="str">
        <f>IFERROR(INDEX('nav master'!$C:$C, MATCH(B1641, 'nav master'!$B:$B, 0)), "")</f>
        <v>ULIF 092 25/08/25 MFI 110</v>
      </c>
      <c r="E1641" s="8">
        <v>9.9290000000000003</v>
      </c>
      <c r="F1641" s="9">
        <v>46128</v>
      </c>
    </row>
    <row r="1642" spans="1:6" ht="60" x14ac:dyDescent="0.25">
      <c r="A1642" s="8" t="s">
        <v>63</v>
      </c>
      <c r="B1642" s="8" t="s">
        <v>69</v>
      </c>
      <c r="C1642" s="8" t="str">
        <f>IFERROR(_xlfn.XLOOKUP(TRIM(B1642),Lookup!$B$2:$B$1000,Lookup!$C$2:$C$1000),"")</f>
        <v>Equity - Index (Momentum 50)</v>
      </c>
      <c r="D1642" s="8" t="str">
        <f>IFERROR(INDEX('nav master'!$C:$C, MATCH(B1642, 'nav master'!$B:$B, 0)), "")</f>
        <v>ULIF 092 25/08/25 MFI 110</v>
      </c>
      <c r="E1642" s="8">
        <v>10.030799999999999</v>
      </c>
      <c r="F1642" s="9">
        <v>46129</v>
      </c>
    </row>
    <row r="1643" spans="1:6" ht="60" x14ac:dyDescent="0.25">
      <c r="A1643" s="8" t="s">
        <v>63</v>
      </c>
      <c r="B1643" s="8" t="s">
        <v>69</v>
      </c>
      <c r="C1643" s="8" t="str">
        <f>IFERROR(_xlfn.XLOOKUP(TRIM(B1643),Lookup!$B$2:$B$1000,Lookup!$C$2:$C$1000),"")</f>
        <v>Equity - Index (Momentum 50)</v>
      </c>
      <c r="D1643" s="8" t="str">
        <f>IFERROR(INDEX('nav master'!$C:$C, MATCH(B1643, 'nav master'!$B:$B, 0)), "")</f>
        <v>ULIF 092 25/08/25 MFI 110</v>
      </c>
      <c r="E1643" s="8">
        <v>10.055999999999999</v>
      </c>
      <c r="F1643" s="9">
        <v>46132</v>
      </c>
    </row>
    <row r="1644" spans="1:6" ht="60" x14ac:dyDescent="0.25">
      <c r="A1644" s="8" t="s">
        <v>63</v>
      </c>
      <c r="B1644" s="8" t="s">
        <v>69</v>
      </c>
      <c r="C1644" s="8" t="str">
        <f>IFERROR(_xlfn.XLOOKUP(TRIM(B1644),Lookup!$B$2:$B$1000,Lookup!$C$2:$C$1000),"")</f>
        <v>Equity - Index (Momentum 50)</v>
      </c>
      <c r="D1644" s="8" t="str">
        <f>IFERROR(INDEX('nav master'!$C:$C, MATCH(B1644, 'nav master'!$B:$B, 0)), "")</f>
        <v>ULIF 092 25/08/25 MFI 110</v>
      </c>
      <c r="E1644" s="8">
        <v>10.036099999999999</v>
      </c>
      <c r="F1644" s="9">
        <v>46133</v>
      </c>
    </row>
    <row r="1645" spans="1:6" ht="60" x14ac:dyDescent="0.25">
      <c r="A1645" s="8" t="s">
        <v>63</v>
      </c>
      <c r="B1645" s="8" t="s">
        <v>69</v>
      </c>
      <c r="C1645" s="8" t="str">
        <f>IFERROR(_xlfn.XLOOKUP(TRIM(B1645),Lookup!$B$2:$B$1000,Lookup!$C$2:$C$1000),"")</f>
        <v>Equity - Index (Momentum 50)</v>
      </c>
      <c r="D1645" s="8" t="str">
        <f>IFERROR(INDEX('nav master'!$C:$C, MATCH(B1645, 'nav master'!$B:$B, 0)), "")</f>
        <v>ULIF 092 25/08/25 MFI 110</v>
      </c>
      <c r="E1645" s="8">
        <v>10.023400000000001</v>
      </c>
      <c r="F1645" s="9">
        <v>46134</v>
      </c>
    </row>
    <row r="1646" spans="1:6" ht="60" x14ac:dyDescent="0.25">
      <c r="A1646" s="8" t="s">
        <v>63</v>
      </c>
      <c r="B1646" s="8" t="s">
        <v>69</v>
      </c>
      <c r="C1646" s="8" t="str">
        <f>IFERROR(_xlfn.XLOOKUP(TRIM(B1646),Lookup!$B$2:$B$1000,Lookup!$C$2:$C$1000),"")</f>
        <v>Equity - Index (Momentum 50)</v>
      </c>
      <c r="D1646" s="8" t="str">
        <f>IFERROR(INDEX('nav master'!$C:$C, MATCH(B1646, 'nav master'!$B:$B, 0)), "")</f>
        <v>ULIF 092 25/08/25 MFI 110</v>
      </c>
      <c r="E1646" s="8">
        <v>9.9374000000000002</v>
      </c>
      <c r="F1646" s="9">
        <v>46135</v>
      </c>
    </row>
    <row r="1647" spans="1:6" ht="60" x14ac:dyDescent="0.25">
      <c r="A1647" s="8" t="s">
        <v>63</v>
      </c>
      <c r="B1647" s="8" t="s">
        <v>69</v>
      </c>
      <c r="C1647" s="8" t="str">
        <f>IFERROR(_xlfn.XLOOKUP(TRIM(B1647),Lookup!$B$2:$B$1000,Lookup!$C$2:$C$1000),"")</f>
        <v>Equity - Index (Momentum 50)</v>
      </c>
      <c r="D1647" s="8" t="str">
        <f>IFERROR(INDEX('nav master'!$C:$C, MATCH(B1647, 'nav master'!$B:$B, 0)), "")</f>
        <v>ULIF 092 25/08/25 MFI 110</v>
      </c>
      <c r="E1647" s="8">
        <v>9.8963000000000001</v>
      </c>
      <c r="F1647" s="9">
        <v>46136</v>
      </c>
    </row>
    <row r="1648" spans="1:6" ht="60" x14ac:dyDescent="0.25">
      <c r="A1648" s="8" t="s">
        <v>63</v>
      </c>
      <c r="B1648" s="8" t="s">
        <v>69</v>
      </c>
      <c r="C1648" s="8" t="str">
        <f>IFERROR(_xlfn.XLOOKUP(TRIM(B1648),Lookup!$B$2:$B$1000,Lookup!$C$2:$C$1000),"")</f>
        <v>Equity - Index (Momentum 50)</v>
      </c>
      <c r="D1648" s="8" t="str">
        <f>IFERROR(INDEX('nav master'!$C:$C, MATCH(B1648, 'nav master'!$B:$B, 0)), "")</f>
        <v>ULIF 092 25/08/25 MFI 110</v>
      </c>
      <c r="E1648" s="8">
        <v>9.9695</v>
      </c>
      <c r="F1648" s="9">
        <v>46139</v>
      </c>
    </row>
    <row r="1649" spans="1:6" ht="60" x14ac:dyDescent="0.25">
      <c r="A1649" s="8" t="s">
        <v>63</v>
      </c>
      <c r="B1649" s="8" t="s">
        <v>69</v>
      </c>
      <c r="C1649" s="8" t="str">
        <f>IFERROR(_xlfn.XLOOKUP(TRIM(B1649),Lookup!$B$2:$B$1000,Lookup!$C$2:$C$1000),"")</f>
        <v>Equity - Index (Momentum 50)</v>
      </c>
      <c r="D1649" s="8" t="str">
        <f>IFERROR(INDEX('nav master'!$C:$C, MATCH(B1649, 'nav master'!$B:$B, 0)), "")</f>
        <v>ULIF 092 25/08/25 MFI 110</v>
      </c>
      <c r="E1649" s="8">
        <v>9.9313000000000002</v>
      </c>
      <c r="F1649" s="9">
        <v>46140</v>
      </c>
    </row>
    <row r="1650" spans="1:6" ht="60" x14ac:dyDescent="0.25">
      <c r="A1650" s="8" t="s">
        <v>63</v>
      </c>
      <c r="B1650" s="8" t="s">
        <v>69</v>
      </c>
      <c r="C1650" s="8" t="str">
        <f>IFERROR(_xlfn.XLOOKUP(TRIM(B1650),Lookup!$B$2:$B$1000,Lookup!$C$2:$C$1000),"")</f>
        <v>Equity - Index (Momentum 50)</v>
      </c>
      <c r="D1650" s="8" t="str">
        <f>IFERROR(INDEX('nav master'!$C:$C, MATCH(B1650, 'nav master'!$B:$B, 0)), "")</f>
        <v>ULIF 092 25/08/25 MFI 110</v>
      </c>
      <c r="E1650" s="8">
        <v>9.9497</v>
      </c>
      <c r="F1650" s="9">
        <v>46141</v>
      </c>
    </row>
    <row r="1651" spans="1:6" ht="60" x14ac:dyDescent="0.25">
      <c r="A1651" s="8" t="s">
        <v>63</v>
      </c>
      <c r="B1651" s="8" t="s">
        <v>69</v>
      </c>
      <c r="C1651" s="8" t="str">
        <f>IFERROR(_xlfn.XLOOKUP(TRIM(B1651),Lookup!$B$2:$B$1000,Lookup!$C$2:$C$1000),"")</f>
        <v>Equity - Index (Momentum 50)</v>
      </c>
      <c r="D1651" s="8" t="str">
        <f>IFERROR(INDEX('nav master'!$C:$C, MATCH(B1651, 'nav master'!$B:$B, 0)), "")</f>
        <v>ULIF 092 25/08/25 MFI 110</v>
      </c>
      <c r="E1651" s="8">
        <v>9.8407</v>
      </c>
      <c r="F1651" s="9">
        <v>46142</v>
      </c>
    </row>
    <row r="1652" spans="1:6" ht="60" x14ac:dyDescent="0.25">
      <c r="A1652" s="8" t="s">
        <v>63</v>
      </c>
      <c r="B1652" s="8" t="s">
        <v>69</v>
      </c>
      <c r="C1652" s="8" t="str">
        <f>IFERROR(_xlfn.XLOOKUP(TRIM(B1652),Lookup!$B$2:$B$1000,Lookup!$C$2:$C$1000),"")</f>
        <v>Equity - Index (Momentum 50)</v>
      </c>
      <c r="D1652" s="8" t="str">
        <f>IFERROR(INDEX('nav master'!$C:$C, MATCH(B1652, 'nav master'!$B:$B, 0)), "")</f>
        <v>ULIF 092 25/08/25 MFI 110</v>
      </c>
      <c r="E1652" s="8">
        <v>9.9024000000000001</v>
      </c>
      <c r="F1652" s="9">
        <v>46146</v>
      </c>
    </row>
    <row r="1653" spans="1:6" ht="60" x14ac:dyDescent="0.25">
      <c r="A1653" s="8" t="s">
        <v>63</v>
      </c>
      <c r="B1653" s="8" t="s">
        <v>69</v>
      </c>
      <c r="C1653" s="8" t="str">
        <f>IFERROR(_xlfn.XLOOKUP(TRIM(B1653),Lookup!$B$2:$B$1000,Lookup!$C$2:$C$1000),"")</f>
        <v>Equity - Index (Momentum 50)</v>
      </c>
      <c r="D1653" s="8" t="str">
        <f>IFERROR(INDEX('nav master'!$C:$C, MATCH(B1653, 'nav master'!$B:$B, 0)), "")</f>
        <v>ULIF 092 25/08/25 MFI 110</v>
      </c>
      <c r="E1653" s="8">
        <v>9.9423999999999992</v>
      </c>
      <c r="F1653" s="9">
        <v>46147</v>
      </c>
    </row>
    <row r="1654" spans="1:6" ht="60" x14ac:dyDescent="0.25">
      <c r="A1654" s="8" t="s">
        <v>63</v>
      </c>
      <c r="B1654" s="8" t="s">
        <v>69</v>
      </c>
      <c r="C1654" s="8" t="str">
        <f>IFERROR(_xlfn.XLOOKUP(TRIM(B1654),Lookup!$B$2:$B$1000,Lookup!$C$2:$C$1000),"")</f>
        <v>Equity - Index (Momentum 50)</v>
      </c>
      <c r="D1654" s="8" t="str">
        <f>IFERROR(INDEX('nav master'!$C:$C, MATCH(B1654, 'nav master'!$B:$B, 0)), "")</f>
        <v>ULIF 092 25/08/25 MFI 110</v>
      </c>
      <c r="E1654" s="8">
        <v>10.0969</v>
      </c>
      <c r="F1654" s="9">
        <v>46148</v>
      </c>
    </row>
    <row r="1655" spans="1:6" ht="60" x14ac:dyDescent="0.25">
      <c r="A1655" s="8" t="s">
        <v>63</v>
      </c>
      <c r="B1655" s="8" t="s">
        <v>69</v>
      </c>
      <c r="C1655" s="8" t="str">
        <f>IFERROR(_xlfn.XLOOKUP(TRIM(B1655),Lookup!$B$2:$B$1000,Lookup!$C$2:$C$1000),"")</f>
        <v>Equity - Index (Momentum 50)</v>
      </c>
      <c r="D1655" s="8" t="str">
        <f>IFERROR(INDEX('nav master'!$C:$C, MATCH(B1655, 'nav master'!$B:$B, 0)), "")</f>
        <v>ULIF 092 25/08/25 MFI 110</v>
      </c>
      <c r="E1655" s="8">
        <v>10.2392</v>
      </c>
      <c r="F1655" s="9">
        <v>46149</v>
      </c>
    </row>
    <row r="1656" spans="1:6" ht="60" x14ac:dyDescent="0.25">
      <c r="A1656" s="8" t="s">
        <v>63</v>
      </c>
      <c r="B1656" s="8" t="s">
        <v>69</v>
      </c>
      <c r="C1656" s="8" t="str">
        <f>IFERROR(_xlfn.XLOOKUP(TRIM(B1656),Lookup!$B$2:$B$1000,Lookup!$C$2:$C$1000),"")</f>
        <v>Equity - Index (Momentum 50)</v>
      </c>
      <c r="D1656" s="8" t="str">
        <f>IFERROR(INDEX('nav master'!$C:$C, MATCH(B1656, 'nav master'!$B:$B, 0)), "")</f>
        <v>ULIF 092 25/08/25 MFI 110</v>
      </c>
      <c r="E1656" s="8">
        <v>10.1846</v>
      </c>
      <c r="F1656" s="9">
        <v>46150</v>
      </c>
    </row>
    <row r="1657" spans="1:6" ht="60" x14ac:dyDescent="0.25">
      <c r="A1657" s="8" t="s">
        <v>63</v>
      </c>
      <c r="B1657" s="8" t="s">
        <v>69</v>
      </c>
      <c r="C1657" s="8" t="str">
        <f>IFERROR(_xlfn.XLOOKUP(TRIM(B1657),Lookup!$B$2:$B$1000,Lookup!$C$2:$C$1000),"")</f>
        <v>Equity - Index (Momentum 50)</v>
      </c>
      <c r="D1657" s="8" t="str">
        <f>IFERROR(INDEX('nav master'!$C:$C, MATCH(B1657, 'nav master'!$B:$B, 0)), "")</f>
        <v>ULIF 092 25/08/25 MFI 110</v>
      </c>
      <c r="E1657" s="8">
        <v>10.0411</v>
      </c>
      <c r="F1657" s="9">
        <v>46153</v>
      </c>
    </row>
    <row r="1658" spans="1:6" ht="60" x14ac:dyDescent="0.25">
      <c r="A1658" s="8" t="s">
        <v>63</v>
      </c>
      <c r="B1658" s="8" t="s">
        <v>69</v>
      </c>
      <c r="C1658" s="8" t="str">
        <f>IFERROR(_xlfn.XLOOKUP(TRIM(B1658),Lookup!$B$2:$B$1000,Lookup!$C$2:$C$1000),"")</f>
        <v>Equity - Index (Momentum 50)</v>
      </c>
      <c r="D1658" s="8" t="str">
        <f>IFERROR(INDEX('nav master'!$C:$C, MATCH(B1658, 'nav master'!$B:$B, 0)), "")</f>
        <v>ULIF 092 25/08/25 MFI 110</v>
      </c>
      <c r="E1658" s="8">
        <v>9.8109999999999999</v>
      </c>
      <c r="F1658" s="9">
        <v>46154</v>
      </c>
    </row>
    <row r="1659" spans="1:6" ht="60" x14ac:dyDescent="0.25">
      <c r="A1659" s="8" t="s">
        <v>63</v>
      </c>
      <c r="B1659" s="8" t="s">
        <v>69</v>
      </c>
      <c r="C1659" s="8" t="str">
        <f>IFERROR(_xlfn.XLOOKUP(TRIM(B1659),Lookup!$B$2:$B$1000,Lookup!$C$2:$C$1000),"")</f>
        <v>Equity - Index (Momentum 50)</v>
      </c>
      <c r="D1659" s="8" t="str">
        <f>IFERROR(INDEX('nav master'!$C:$C, MATCH(B1659, 'nav master'!$B:$B, 0)), "")</f>
        <v>ULIF 092 25/08/25 MFI 110</v>
      </c>
      <c r="E1659" s="8">
        <v>9.8434000000000008</v>
      </c>
      <c r="F1659" s="9">
        <v>46155</v>
      </c>
    </row>
    <row r="1660" spans="1:6" ht="60" x14ac:dyDescent="0.25">
      <c r="A1660" s="8" t="s">
        <v>63</v>
      </c>
      <c r="B1660" s="8" t="s">
        <v>69</v>
      </c>
      <c r="C1660" s="8" t="str">
        <f>IFERROR(_xlfn.XLOOKUP(TRIM(B1660),Lookup!$B$2:$B$1000,Lookup!$C$2:$C$1000),"")</f>
        <v>Equity - Index (Momentum 50)</v>
      </c>
      <c r="D1660" s="8" t="str">
        <f>IFERROR(INDEX('nav master'!$C:$C, MATCH(B1660, 'nav master'!$B:$B, 0)), "")</f>
        <v>ULIF 092 25/08/25 MFI 110</v>
      </c>
      <c r="E1660" s="8">
        <v>9.9522999999999993</v>
      </c>
      <c r="F1660" s="9">
        <v>46156</v>
      </c>
    </row>
    <row r="1661" spans="1:6" ht="60" x14ac:dyDescent="0.25">
      <c r="A1661" s="8" t="s">
        <v>63</v>
      </c>
      <c r="B1661" s="8" t="s">
        <v>69</v>
      </c>
      <c r="C1661" s="8" t="str">
        <f>IFERROR(_xlfn.XLOOKUP(TRIM(B1661),Lookup!$B$2:$B$1000,Lookup!$C$2:$C$1000),"")</f>
        <v>Equity - Index (Momentum 50)</v>
      </c>
      <c r="D1661" s="8" t="str">
        <f>IFERROR(INDEX('nav master'!$C:$C, MATCH(B1661, 'nav master'!$B:$B, 0)), "")</f>
        <v>ULIF 092 25/08/25 MFI 110</v>
      </c>
      <c r="E1661" s="8">
        <v>9.8986999999999998</v>
      </c>
      <c r="F1661" s="9">
        <v>46157</v>
      </c>
    </row>
    <row r="1662" spans="1:6" ht="60" x14ac:dyDescent="0.25">
      <c r="A1662" s="8" t="s">
        <v>63</v>
      </c>
      <c r="B1662" s="8" t="s">
        <v>69</v>
      </c>
      <c r="C1662" s="8" t="str">
        <f>IFERROR(_xlfn.XLOOKUP(TRIM(B1662),Lookup!$B$2:$B$1000,Lookup!$C$2:$C$1000),"")</f>
        <v>Equity - Index (Momentum 50)</v>
      </c>
      <c r="D1662" s="8" t="str">
        <f>IFERROR(INDEX('nav master'!$C:$C, MATCH(B1662, 'nav master'!$B:$B, 0)), "")</f>
        <v>ULIF 092 25/08/25 MFI 110</v>
      </c>
      <c r="E1662" s="8">
        <v>9.7989999999999995</v>
      </c>
      <c r="F1662" s="9">
        <v>46160</v>
      </c>
    </row>
    <row r="1663" spans="1:6" ht="60" x14ac:dyDescent="0.25">
      <c r="A1663" s="8" t="s">
        <v>63</v>
      </c>
      <c r="B1663" s="8" t="s">
        <v>69</v>
      </c>
      <c r="C1663" s="8" t="str">
        <f>IFERROR(_xlfn.XLOOKUP(TRIM(B1663),Lookup!$B$2:$B$1000,Lookup!$C$2:$C$1000),"")</f>
        <v>Equity - Index (Momentum 50)</v>
      </c>
      <c r="D1663" s="8" t="str">
        <f>IFERROR(INDEX('nav master'!$C:$C, MATCH(B1663, 'nav master'!$B:$B, 0)), "")</f>
        <v>ULIF 092 25/08/25 MFI 110</v>
      </c>
      <c r="E1663" s="8">
        <v>9.8234999999999992</v>
      </c>
      <c r="F1663" s="9">
        <v>46161</v>
      </c>
    </row>
    <row r="1664" spans="1:6" ht="60" x14ac:dyDescent="0.25">
      <c r="A1664" s="8" t="s">
        <v>63</v>
      </c>
      <c r="B1664" s="8" t="s">
        <v>69</v>
      </c>
      <c r="C1664" s="8" t="str">
        <f>IFERROR(_xlfn.XLOOKUP(TRIM(B1664),Lookup!$B$2:$B$1000,Lookup!$C$2:$C$1000),"")</f>
        <v>Equity - Index (Momentum 50)</v>
      </c>
      <c r="D1664" s="8" t="str">
        <f>IFERROR(INDEX('nav master'!$C:$C, MATCH(B1664, 'nav master'!$B:$B, 0)), "")</f>
        <v>ULIF 092 25/08/25 MFI 110</v>
      </c>
      <c r="E1664" s="8">
        <v>9.9251000000000005</v>
      </c>
      <c r="F1664" s="9">
        <v>46162</v>
      </c>
    </row>
    <row r="1665" spans="1:6" ht="60" x14ac:dyDescent="0.25">
      <c r="A1665" s="8" t="s">
        <v>63</v>
      </c>
      <c r="B1665" s="8" t="s">
        <v>69</v>
      </c>
      <c r="C1665" s="8" t="str">
        <f>IFERROR(_xlfn.XLOOKUP(TRIM(B1665),Lookup!$B$2:$B$1000,Lookup!$C$2:$C$1000),"")</f>
        <v>Equity - Index (Momentum 50)</v>
      </c>
      <c r="D1665" s="8" t="str">
        <f>IFERROR(INDEX('nav master'!$C:$C, MATCH(B1665, 'nav master'!$B:$B, 0)), "")</f>
        <v>ULIF 092 25/08/25 MFI 110</v>
      </c>
      <c r="E1665" s="8">
        <v>9.9536999999999995</v>
      </c>
      <c r="F1665" s="9">
        <v>46163</v>
      </c>
    </row>
    <row r="1666" spans="1:6" ht="60" x14ac:dyDescent="0.25">
      <c r="A1666" s="8" t="s">
        <v>63</v>
      </c>
      <c r="B1666" s="8" t="s">
        <v>69</v>
      </c>
      <c r="C1666" s="8" t="str">
        <f>IFERROR(_xlfn.XLOOKUP(TRIM(B1666),Lookup!$B$2:$B$1000,Lookup!$C$2:$C$1000),"")</f>
        <v>Equity - Index (Momentum 50)</v>
      </c>
      <c r="D1666" s="8" t="str">
        <f>IFERROR(INDEX('nav master'!$C:$C, MATCH(B1666, 'nav master'!$B:$B, 0)), "")</f>
        <v>ULIF 092 25/08/25 MFI 110</v>
      </c>
      <c r="E1666" s="8">
        <v>9.9802</v>
      </c>
      <c r="F1666" s="9">
        <v>46164</v>
      </c>
    </row>
    <row r="1667" spans="1:6" ht="60" x14ac:dyDescent="0.25">
      <c r="A1667" s="8" t="s">
        <v>63</v>
      </c>
      <c r="B1667" s="8" t="s">
        <v>69</v>
      </c>
      <c r="C1667" s="8" t="str">
        <f>IFERROR(_xlfn.XLOOKUP(TRIM(B1667),Lookup!$B$2:$B$1000,Lookup!$C$2:$C$1000),"")</f>
        <v>Equity - Index (Momentum 50)</v>
      </c>
      <c r="D1667" s="8" t="str">
        <f>IFERROR(INDEX('nav master'!$C:$C, MATCH(B1667, 'nav master'!$B:$B, 0)), "")</f>
        <v>ULIF 092 25/08/25 MFI 110</v>
      </c>
      <c r="E1667" s="8">
        <v>10.1464</v>
      </c>
      <c r="F1667" s="9">
        <v>46167</v>
      </c>
    </row>
    <row r="1668" spans="1:6" ht="60" x14ac:dyDescent="0.25">
      <c r="A1668" s="8" t="s">
        <v>63</v>
      </c>
      <c r="B1668" s="8" t="s">
        <v>69</v>
      </c>
      <c r="C1668" s="8" t="str">
        <f>IFERROR(_xlfn.XLOOKUP(TRIM(B1668),Lookup!$B$2:$B$1000,Lookup!$C$2:$C$1000),"")</f>
        <v>Equity - Index (Momentum 50)</v>
      </c>
      <c r="D1668" s="8" t="str">
        <f>IFERROR(INDEX('nav master'!$C:$C, MATCH(B1668, 'nav master'!$B:$B, 0)), "")</f>
        <v>ULIF 092 25/08/25 MFI 110</v>
      </c>
      <c r="E1668" s="8">
        <v>10.148</v>
      </c>
      <c r="F1668" s="9">
        <v>46168</v>
      </c>
    </row>
    <row r="1669" spans="1:6" ht="60" x14ac:dyDescent="0.25">
      <c r="A1669" s="8" t="s">
        <v>63</v>
      </c>
      <c r="B1669" s="8" t="s">
        <v>69</v>
      </c>
      <c r="C1669" s="8" t="str">
        <f>IFERROR(_xlfn.XLOOKUP(TRIM(B1669),Lookup!$B$2:$B$1000,Lookup!$C$2:$C$1000),"")</f>
        <v>Equity - Index (Momentum 50)</v>
      </c>
      <c r="D1669" s="8" t="str">
        <f>IFERROR(INDEX('nav master'!$C:$C, MATCH(B1669, 'nav master'!$B:$B, 0)), "")</f>
        <v>ULIF 092 25/08/25 MFI 110</v>
      </c>
      <c r="E1669" s="8">
        <v>10.256500000000001</v>
      </c>
      <c r="F1669" s="9">
        <v>46169</v>
      </c>
    </row>
    <row r="1670" spans="1:6" ht="60" x14ac:dyDescent="0.25">
      <c r="A1670" s="8" t="s">
        <v>63</v>
      </c>
      <c r="B1670" s="8" t="s">
        <v>69</v>
      </c>
      <c r="C1670" s="8" t="str">
        <f>IFERROR(_xlfn.XLOOKUP(TRIM(B1670),Lookup!$B$2:$B$1000,Lookup!$C$2:$C$1000),"")</f>
        <v>Equity - Index (Momentum 50)</v>
      </c>
      <c r="D1670" s="8" t="str">
        <f>IFERROR(INDEX('nav master'!$C:$C, MATCH(B1670, 'nav master'!$B:$B, 0)), "")</f>
        <v>ULIF 092 25/08/25 MFI 110</v>
      </c>
      <c r="E1670" s="8">
        <v>10.090999999999999</v>
      </c>
      <c r="F1670" s="9">
        <v>46171</v>
      </c>
    </row>
    <row r="1671" spans="1:6" ht="60" x14ac:dyDescent="0.25">
      <c r="A1671" s="8" t="s">
        <v>63</v>
      </c>
      <c r="B1671" s="8" t="s">
        <v>69</v>
      </c>
      <c r="C1671" s="8" t="str">
        <f>IFERROR(_xlfn.XLOOKUP(TRIM(B1671),Lookup!$B$2:$B$1000,Lookup!$C$2:$C$1000),"")</f>
        <v>Equity - Index (Momentum 50)</v>
      </c>
      <c r="D1671" s="8" t="str">
        <f>IFERROR(INDEX('nav master'!$C:$C, MATCH(B1671, 'nav master'!$B:$B, 0)), "")</f>
        <v>ULIF 092 25/08/25 MFI 110</v>
      </c>
      <c r="E1671" s="8">
        <v>9.9202999999999992</v>
      </c>
      <c r="F1671" s="9">
        <v>46174</v>
      </c>
    </row>
    <row r="1672" spans="1:6" ht="60" x14ac:dyDescent="0.25">
      <c r="A1672" s="8" t="s">
        <v>63</v>
      </c>
      <c r="B1672" s="8" t="s">
        <v>69</v>
      </c>
      <c r="C1672" s="8" t="str">
        <f>IFERROR(_xlfn.XLOOKUP(TRIM(B1672),Lookup!$B$2:$B$1000,Lookup!$C$2:$C$1000),"")</f>
        <v>Equity - Index (Momentum 50)</v>
      </c>
      <c r="D1672" s="8" t="str">
        <f>IFERROR(INDEX('nav master'!$C:$C, MATCH(B1672, 'nav master'!$B:$B, 0)), "")</f>
        <v>ULIF 092 25/08/25 MFI 110</v>
      </c>
      <c r="E1672" s="8">
        <v>9.9235000000000007</v>
      </c>
      <c r="F1672" s="9">
        <v>46175</v>
      </c>
    </row>
    <row r="1673" spans="1:6" ht="60" x14ac:dyDescent="0.25">
      <c r="A1673" s="8" t="s">
        <v>63</v>
      </c>
      <c r="B1673" s="8" t="s">
        <v>69</v>
      </c>
      <c r="C1673" s="8" t="str">
        <f>IFERROR(_xlfn.XLOOKUP(TRIM(B1673),Lookup!$B$2:$B$1000,Lookup!$C$2:$C$1000),"")</f>
        <v>Equity - Index (Momentum 50)</v>
      </c>
      <c r="D1673" s="8" t="str">
        <f>IFERROR(INDEX('nav master'!$C:$C, MATCH(B1673, 'nav master'!$B:$B, 0)), "")</f>
        <v>ULIF 092 25/08/25 MFI 110</v>
      </c>
      <c r="E1673" s="8">
        <v>9.9459999999999997</v>
      </c>
      <c r="F1673" s="9">
        <v>46176</v>
      </c>
    </row>
    <row r="1674" spans="1:6" ht="60" x14ac:dyDescent="0.25">
      <c r="A1674" s="8" t="s">
        <v>63</v>
      </c>
      <c r="B1674" s="8" t="s">
        <v>69</v>
      </c>
      <c r="C1674" s="8" t="str">
        <f>IFERROR(_xlfn.XLOOKUP(TRIM(B1674),Lookup!$B$2:$B$1000,Lookup!$C$2:$C$1000),"")</f>
        <v>Equity - Index (Momentum 50)</v>
      </c>
      <c r="D1674" s="8" t="str">
        <f>IFERROR(INDEX('nav master'!$C:$C, MATCH(B1674, 'nav master'!$B:$B, 0)), "")</f>
        <v>ULIF 092 25/08/25 MFI 110</v>
      </c>
      <c r="E1674" s="8">
        <v>10.0213</v>
      </c>
      <c r="F1674" s="9">
        <v>46177</v>
      </c>
    </row>
    <row r="1675" spans="1:6" ht="60" x14ac:dyDescent="0.25">
      <c r="A1675" s="8" t="s">
        <v>63</v>
      </c>
      <c r="B1675" s="8" t="s">
        <v>69</v>
      </c>
      <c r="C1675" s="8" t="str">
        <f>IFERROR(_xlfn.XLOOKUP(TRIM(B1675),Lookup!$B$2:$B$1000,Lookup!$C$2:$C$1000),"")</f>
        <v>Equity - Index (Momentum 50)</v>
      </c>
      <c r="D1675" s="8" t="str">
        <f>IFERROR(INDEX('nav master'!$C:$C, MATCH(B1675, 'nav master'!$B:$B, 0)), "")</f>
        <v>ULIF 092 25/08/25 MFI 110</v>
      </c>
      <c r="E1675" s="8">
        <v>10.0162</v>
      </c>
      <c r="F1675" s="9">
        <v>46178</v>
      </c>
    </row>
    <row r="1676" spans="1:6" ht="60" x14ac:dyDescent="0.25">
      <c r="A1676" s="8" t="s">
        <v>63</v>
      </c>
      <c r="B1676" s="8" t="s">
        <v>69</v>
      </c>
      <c r="C1676" s="8" t="str">
        <f>IFERROR(_xlfn.XLOOKUP(TRIM(B1676),Lookup!$B$2:$B$1000,Lookup!$C$2:$C$1000),"")</f>
        <v>Equity - Index (Momentum 50)</v>
      </c>
      <c r="D1676" s="8" t="str">
        <f>IFERROR(INDEX('nav master'!$C:$C, MATCH(B1676, 'nav master'!$B:$B, 0)), "")</f>
        <v>ULIF 092 25/08/25 MFI 110</v>
      </c>
      <c r="E1676" s="8">
        <v>9.8302999999999994</v>
      </c>
      <c r="F1676" s="9">
        <v>46181</v>
      </c>
    </row>
    <row r="1677" spans="1:6" ht="60" x14ac:dyDescent="0.25">
      <c r="A1677" s="8" t="s">
        <v>63</v>
      </c>
      <c r="B1677" s="8" t="s">
        <v>69</v>
      </c>
      <c r="C1677" s="8" t="str">
        <f>IFERROR(_xlfn.XLOOKUP(TRIM(B1677),Lookup!$B$2:$B$1000,Lookup!$C$2:$C$1000),"")</f>
        <v>Equity - Index (Momentum 50)</v>
      </c>
      <c r="D1677" s="8" t="str">
        <f>IFERROR(INDEX('nav master'!$C:$C, MATCH(B1677, 'nav master'!$B:$B, 0)), "")</f>
        <v>ULIF 092 25/08/25 MFI 110</v>
      </c>
      <c r="E1677" s="8">
        <v>9.9976000000000003</v>
      </c>
      <c r="F1677" s="9">
        <v>46182</v>
      </c>
    </row>
    <row r="1678" spans="1:6" ht="60" x14ac:dyDescent="0.25">
      <c r="A1678" s="8" t="s">
        <v>63</v>
      </c>
      <c r="B1678" s="8" t="s">
        <v>69</v>
      </c>
      <c r="C1678" s="8" t="str">
        <f>IFERROR(_xlfn.XLOOKUP(TRIM(B1678),Lookup!$B$2:$B$1000,Lookup!$C$2:$C$1000),"")</f>
        <v>Equity - Index (Momentum 50)</v>
      </c>
      <c r="D1678" s="8" t="str">
        <f>IFERROR(INDEX('nav master'!$C:$C, MATCH(B1678, 'nav master'!$B:$B, 0)), "")</f>
        <v>ULIF 092 25/08/25 MFI 110</v>
      </c>
      <c r="E1678" s="8">
        <v>9.8795000000000002</v>
      </c>
      <c r="F1678" s="9">
        <v>46183</v>
      </c>
    </row>
    <row r="1679" spans="1:6" ht="60" x14ac:dyDescent="0.25">
      <c r="A1679" s="8" t="s">
        <v>63</v>
      </c>
      <c r="B1679" s="8" t="s">
        <v>69</v>
      </c>
      <c r="C1679" s="8" t="str">
        <f>IFERROR(_xlfn.XLOOKUP(TRIM(B1679),Lookup!$B$2:$B$1000,Lookup!$C$2:$C$1000),"")</f>
        <v>Equity - Index (Momentum 50)</v>
      </c>
      <c r="D1679" s="8" t="str">
        <f>IFERROR(INDEX('nav master'!$C:$C, MATCH(B1679, 'nav master'!$B:$B, 0)), "")</f>
        <v>ULIF 092 25/08/25 MFI 110</v>
      </c>
      <c r="E1679" s="8">
        <v>9.7981999999999996</v>
      </c>
      <c r="F1679" s="9">
        <v>46184</v>
      </c>
    </row>
    <row r="1680" spans="1:6" ht="60" x14ac:dyDescent="0.25">
      <c r="A1680" s="8" t="s">
        <v>63</v>
      </c>
      <c r="B1680" s="8" t="s">
        <v>69</v>
      </c>
      <c r="C1680" s="8" t="str">
        <f>IFERROR(_xlfn.XLOOKUP(TRIM(B1680),Lookup!$B$2:$B$1000,Lookup!$C$2:$C$1000),"")</f>
        <v>Equity - Index (Momentum 50)</v>
      </c>
      <c r="D1680" s="8" t="str">
        <f>IFERROR(INDEX('nav master'!$C:$C, MATCH(B1680, 'nav master'!$B:$B, 0)), "")</f>
        <v>ULIF 092 25/08/25 MFI 110</v>
      </c>
      <c r="E1680" s="8">
        <v>10.0654</v>
      </c>
      <c r="F1680" s="9">
        <v>46185</v>
      </c>
    </row>
    <row r="1681" spans="1:6" ht="60" x14ac:dyDescent="0.25">
      <c r="A1681" s="8" t="s">
        <v>63</v>
      </c>
      <c r="B1681" s="8" t="s">
        <v>69</v>
      </c>
      <c r="C1681" s="8" t="str">
        <f>IFERROR(_xlfn.XLOOKUP(TRIM(B1681),Lookup!$B$2:$B$1000,Lookup!$C$2:$C$1000),"")</f>
        <v>Equity - Index (Momentum 50)</v>
      </c>
      <c r="D1681" s="8" t="str">
        <f>IFERROR(INDEX('nav master'!$C:$C, MATCH(B1681, 'nav master'!$B:$B, 0)), "")</f>
        <v>ULIF 092 25/08/25 MFI 110</v>
      </c>
      <c r="E1681" s="8">
        <v>10.215199999999999</v>
      </c>
      <c r="F1681" s="9">
        <v>46188</v>
      </c>
    </row>
    <row r="1682" spans="1:6" ht="60" x14ac:dyDescent="0.25">
      <c r="A1682" s="8" t="s">
        <v>63</v>
      </c>
      <c r="B1682" s="8" t="s">
        <v>69</v>
      </c>
      <c r="C1682" s="8" t="str">
        <f>IFERROR(_xlfn.XLOOKUP(TRIM(B1682),Lookup!$B$2:$B$1000,Lookup!$C$2:$C$1000),"")</f>
        <v>Equity - Index (Momentum 50)</v>
      </c>
      <c r="D1682" s="8" t="str">
        <f>IFERROR(INDEX('nav master'!$C:$C, MATCH(B1682, 'nav master'!$B:$B, 0)), "")</f>
        <v>ULIF 092 25/08/25 MFI 110</v>
      </c>
      <c r="E1682" s="8">
        <v>10.200900000000001</v>
      </c>
      <c r="F1682" s="9">
        <v>46189</v>
      </c>
    </row>
    <row r="1683" spans="1:6" ht="60" x14ac:dyDescent="0.25">
      <c r="A1683" s="8" t="s">
        <v>63</v>
      </c>
      <c r="B1683" s="8" t="s">
        <v>69</v>
      </c>
      <c r="C1683" s="8" t="str">
        <f>IFERROR(_xlfn.XLOOKUP(TRIM(B1683),Lookup!$B$2:$B$1000,Lookup!$C$2:$C$1000),"")</f>
        <v>Equity - Index (Momentum 50)</v>
      </c>
      <c r="D1683" s="8" t="str">
        <f>IFERROR(INDEX('nav master'!$C:$C, MATCH(B1683, 'nav master'!$B:$B, 0)), "")</f>
        <v>ULIF 092 25/08/25 MFI 110</v>
      </c>
      <c r="E1683" s="8">
        <v>10.3146</v>
      </c>
      <c r="F1683" s="9">
        <v>46190</v>
      </c>
    </row>
    <row r="1684" spans="1:6" ht="60" x14ac:dyDescent="0.25">
      <c r="A1684" s="8" t="s">
        <v>63</v>
      </c>
      <c r="B1684" s="8" t="s">
        <v>69</v>
      </c>
      <c r="C1684" s="8" t="str">
        <f>IFERROR(_xlfn.XLOOKUP(TRIM(B1684),Lookup!$B$2:$B$1000,Lookup!$C$2:$C$1000),"")</f>
        <v>Equity - Index (Momentum 50)</v>
      </c>
      <c r="D1684" s="8" t="str">
        <f>IFERROR(INDEX('nav master'!$C:$C, MATCH(B1684, 'nav master'!$B:$B, 0)), "")</f>
        <v>ULIF 092 25/08/25 MFI 110</v>
      </c>
      <c r="E1684" s="8">
        <v>10.365600000000001</v>
      </c>
      <c r="F1684" s="9">
        <v>46191</v>
      </c>
    </row>
    <row r="1685" spans="1:6" ht="60" x14ac:dyDescent="0.25">
      <c r="A1685" s="8" t="s">
        <v>63</v>
      </c>
      <c r="B1685" s="8" t="s">
        <v>69</v>
      </c>
      <c r="C1685" s="8" t="str">
        <f>IFERROR(_xlfn.XLOOKUP(TRIM(B1685),Lookup!$B$2:$B$1000,Lookup!$C$2:$C$1000),"")</f>
        <v>Equity - Index (Momentum 50)</v>
      </c>
      <c r="D1685" s="8" t="str">
        <f>IFERROR(INDEX('nav master'!$C:$C, MATCH(B1685, 'nav master'!$B:$B, 0)), "")</f>
        <v>ULIF 092 25/08/25 MFI 110</v>
      </c>
      <c r="E1685" s="8">
        <v>10.3901</v>
      </c>
      <c r="F1685" s="9">
        <v>46192</v>
      </c>
    </row>
    <row r="1686" spans="1:6" ht="60" x14ac:dyDescent="0.25">
      <c r="A1686" s="8" t="s">
        <v>63</v>
      </c>
      <c r="B1686" s="8" t="s">
        <v>69</v>
      </c>
      <c r="C1686" s="8" t="str">
        <f>IFERROR(_xlfn.XLOOKUP(TRIM(B1686),Lookup!$B$2:$B$1000,Lookup!$C$2:$C$1000),"")</f>
        <v>Equity - Index (Momentum 50)</v>
      </c>
      <c r="D1686" s="8" t="str">
        <f>IFERROR(INDEX('nav master'!$C:$C, MATCH(B1686, 'nav master'!$B:$B, 0)), "")</f>
        <v>ULIF 092 25/08/25 MFI 110</v>
      </c>
      <c r="E1686" s="8">
        <v>10.46</v>
      </c>
      <c r="F1686" s="9">
        <v>46195</v>
      </c>
    </row>
    <row r="1687" spans="1:6" ht="60" x14ac:dyDescent="0.25">
      <c r="A1687" s="8" t="s">
        <v>63</v>
      </c>
      <c r="B1687" s="8" t="s">
        <v>69</v>
      </c>
      <c r="C1687" s="8" t="str">
        <f>IFERROR(_xlfn.XLOOKUP(TRIM(B1687),Lookup!$B$2:$B$1000,Lookup!$C$2:$C$1000),"")</f>
        <v>Equity - Index (Momentum 50)</v>
      </c>
      <c r="D1687" s="8" t="str">
        <f>IFERROR(INDEX('nav master'!$C:$C, MATCH(B1687, 'nav master'!$B:$B, 0)), "")</f>
        <v>ULIF 092 25/08/25 MFI 110</v>
      </c>
      <c r="E1687" s="8">
        <v>10.3653</v>
      </c>
      <c r="F1687" s="9">
        <v>46196</v>
      </c>
    </row>
    <row r="1688" spans="1:6" ht="60" x14ac:dyDescent="0.25">
      <c r="A1688" s="8" t="s">
        <v>63</v>
      </c>
      <c r="B1688" s="8" t="s">
        <v>69</v>
      </c>
      <c r="C1688" s="8" t="str">
        <f>IFERROR(_xlfn.XLOOKUP(TRIM(B1688),Lookup!$B$2:$B$1000,Lookup!$C$2:$C$1000),"")</f>
        <v>Equity - Index (Momentum 50)</v>
      </c>
      <c r="D1688" s="8" t="str">
        <f>IFERROR(INDEX('nav master'!$C:$C, MATCH(B1688, 'nav master'!$B:$B, 0)), "")</f>
        <v>ULIF 092 25/08/25 MFI 110</v>
      </c>
      <c r="E1688" s="8">
        <v>10.3248</v>
      </c>
      <c r="F1688" s="9">
        <v>46197</v>
      </c>
    </row>
    <row r="1689" spans="1:6" ht="60" x14ac:dyDescent="0.25">
      <c r="A1689" s="8" t="s">
        <v>63</v>
      </c>
      <c r="B1689" s="8" t="s">
        <v>69</v>
      </c>
      <c r="C1689" s="8" t="str">
        <f>IFERROR(_xlfn.XLOOKUP(TRIM(B1689),Lookup!$B$2:$B$1000,Lookup!$C$2:$C$1000),"")</f>
        <v>Equity - Index (Momentum 50)</v>
      </c>
      <c r="D1689" s="8" t="str">
        <f>IFERROR(INDEX('nav master'!$C:$C, MATCH(B1689, 'nav master'!$B:$B, 0)), "")</f>
        <v>ULIF 092 25/08/25 MFI 110</v>
      </c>
      <c r="E1689" s="8">
        <v>10.2682</v>
      </c>
      <c r="F1689" s="9">
        <v>46198</v>
      </c>
    </row>
    <row r="1690" spans="1:6" ht="60" x14ac:dyDescent="0.25">
      <c r="A1690" s="8" t="s">
        <v>63</v>
      </c>
      <c r="B1690" s="8" t="s">
        <v>69</v>
      </c>
      <c r="C1690" s="8" t="str">
        <f>IFERROR(_xlfn.XLOOKUP(TRIM(B1690),Lookup!$B$2:$B$1000,Lookup!$C$2:$C$1000),"")</f>
        <v>Equity - Index (Momentum 50)</v>
      </c>
      <c r="D1690" s="8" t="str">
        <f>IFERROR(INDEX('nav master'!$C:$C, MATCH(B1690, 'nav master'!$B:$B, 0)), "")</f>
        <v>ULIF 092 25/08/25 MFI 110</v>
      </c>
      <c r="E1690" s="8">
        <v>10.348800000000001</v>
      </c>
      <c r="F1690" s="9">
        <v>46202</v>
      </c>
    </row>
    <row r="1691" spans="1:6" ht="60" x14ac:dyDescent="0.25">
      <c r="A1691" s="8" t="s">
        <v>63</v>
      </c>
      <c r="B1691" s="8" t="s">
        <v>69</v>
      </c>
      <c r="C1691" s="8" t="str">
        <f>IFERROR(_xlfn.XLOOKUP(TRIM(B1691),Lookup!$B$2:$B$1000,Lookup!$C$2:$C$1000),"")</f>
        <v>Equity - Index (Momentum 50)</v>
      </c>
      <c r="D1691" s="8" t="str">
        <f>IFERROR(INDEX('nav master'!$C:$C, MATCH(B1691, 'nav master'!$B:$B, 0)), "")</f>
        <v>ULIF 092 25/08/25 MFI 110</v>
      </c>
      <c r="E1691" s="8">
        <v>10.349399999999999</v>
      </c>
      <c r="F1691" s="9">
        <v>46203</v>
      </c>
    </row>
    <row r="1692" spans="1:6" ht="60" x14ac:dyDescent="0.25">
      <c r="A1692" s="8" t="s">
        <v>63</v>
      </c>
      <c r="B1692" s="8" t="s">
        <v>69</v>
      </c>
      <c r="C1692" s="8" t="str">
        <f>IFERROR(_xlfn.XLOOKUP(TRIM(B1692),Lookup!$B$2:$B$1000,Lookup!$C$2:$C$1000),"")</f>
        <v>Equity - Index (Momentum 50)</v>
      </c>
      <c r="D1692" s="8" t="str">
        <f>IFERROR(INDEX('nav master'!$C:$C, MATCH(B1692, 'nav master'!$B:$B, 0)), "")</f>
        <v>ULIF 092 25/08/25 MFI 110</v>
      </c>
      <c r="E1692" s="8">
        <v>10.314</v>
      </c>
      <c r="F1692" s="9">
        <v>46204</v>
      </c>
    </row>
    <row r="1693" spans="1:6" ht="60" x14ac:dyDescent="0.25">
      <c r="A1693" s="8" t="s">
        <v>63</v>
      </c>
      <c r="B1693" s="8" t="s">
        <v>69</v>
      </c>
      <c r="C1693" s="8" t="str">
        <f>IFERROR(_xlfn.XLOOKUP(TRIM(B1693),Lookup!$B$2:$B$1000,Lookup!$C$2:$C$1000),"")</f>
        <v>Equity - Index (Momentum 50)</v>
      </c>
      <c r="D1693" s="8" t="str">
        <f>IFERROR(INDEX('nav master'!$C:$C, MATCH(B1693, 'nav master'!$B:$B, 0)), "")</f>
        <v>ULIF 092 25/08/25 MFI 110</v>
      </c>
      <c r="E1693" s="8">
        <v>10.337999999999999</v>
      </c>
      <c r="F1693" s="9">
        <v>46205</v>
      </c>
    </row>
    <row r="1694" spans="1:6" ht="60" x14ac:dyDescent="0.25">
      <c r="A1694" s="8" t="s">
        <v>63</v>
      </c>
      <c r="B1694" s="8" t="s">
        <v>69</v>
      </c>
      <c r="C1694" s="8" t="str">
        <f>IFERROR(_xlfn.XLOOKUP(TRIM(B1694),Lookup!$B$2:$B$1000,Lookup!$C$2:$C$1000),"")</f>
        <v>Equity - Index (Momentum 50)</v>
      </c>
      <c r="D1694" s="8" t="str">
        <f>IFERROR(INDEX('nav master'!$C:$C, MATCH(B1694, 'nav master'!$B:$B, 0)), "")</f>
        <v>ULIF 092 25/08/25 MFI 110</v>
      </c>
      <c r="E1694" s="8">
        <v>10.271000000000001</v>
      </c>
      <c r="F1694" s="9">
        <v>46206</v>
      </c>
    </row>
    <row r="1695" spans="1:6" ht="60" x14ac:dyDescent="0.25">
      <c r="A1695" s="8" t="s">
        <v>63</v>
      </c>
      <c r="B1695" s="8" t="s">
        <v>69</v>
      </c>
      <c r="C1695" s="8" t="str">
        <f>IFERROR(_xlfn.XLOOKUP(TRIM(B1695),Lookup!$B$2:$B$1000,Lookup!$C$2:$C$1000),"")</f>
        <v>Equity - Index (Momentum 50)</v>
      </c>
      <c r="D1695" s="8" t="str">
        <f>IFERROR(INDEX('nav master'!$C:$C, MATCH(B1695, 'nav master'!$B:$B, 0)), "")</f>
        <v>ULIF 092 25/08/25 MFI 110</v>
      </c>
      <c r="E1695" s="8">
        <v>10.3485</v>
      </c>
      <c r="F1695" s="9">
        <v>46209</v>
      </c>
    </row>
    <row r="1696" spans="1:6" ht="60" x14ac:dyDescent="0.25">
      <c r="A1696" s="8" t="s">
        <v>63</v>
      </c>
      <c r="B1696" s="8" t="s">
        <v>69</v>
      </c>
      <c r="C1696" s="8" t="str">
        <f>IFERROR(_xlfn.XLOOKUP(TRIM(B1696),Lookup!$B$2:$B$1000,Lookup!$C$2:$C$1000),"")</f>
        <v>Equity - Index (Momentum 50)</v>
      </c>
      <c r="D1696" s="8" t="str">
        <f>IFERROR(INDEX('nav master'!$C:$C, MATCH(B1696, 'nav master'!$B:$B, 0)), "")</f>
        <v>ULIF 092 25/08/25 MFI 110</v>
      </c>
      <c r="E1696" s="8">
        <v>10.2475</v>
      </c>
      <c r="F1696" s="9">
        <v>46210</v>
      </c>
    </row>
    <row r="1697" spans="1:6" ht="60" x14ac:dyDescent="0.25">
      <c r="A1697" s="8" t="s">
        <v>63</v>
      </c>
      <c r="B1697" s="8" t="s">
        <v>69</v>
      </c>
      <c r="C1697" s="8" t="str">
        <f>IFERROR(_xlfn.XLOOKUP(TRIM(B1697),Lookup!$B$2:$B$1000,Lookup!$C$2:$C$1000),"")</f>
        <v>Equity - Index (Momentum 50)</v>
      </c>
      <c r="D1697" s="8" t="str">
        <f>IFERROR(INDEX('nav master'!$C:$C, MATCH(B1697, 'nav master'!$B:$B, 0)), "")</f>
        <v>ULIF 092 25/08/25 MFI 110</v>
      </c>
      <c r="E1697" s="8">
        <v>10.154999999999999</v>
      </c>
      <c r="F1697" s="9">
        <v>46211</v>
      </c>
    </row>
    <row r="1698" spans="1:6" ht="60" x14ac:dyDescent="0.25">
      <c r="A1698" s="8" t="s">
        <v>63</v>
      </c>
      <c r="B1698" s="8" t="s">
        <v>69</v>
      </c>
      <c r="C1698" s="8" t="str">
        <f>IFERROR(_xlfn.XLOOKUP(TRIM(B1698),Lookup!$B$2:$B$1000,Lookup!$C$2:$C$1000),"")</f>
        <v>Equity - Index (Momentum 50)</v>
      </c>
      <c r="D1698" s="8" t="str">
        <f>IFERROR(INDEX('nav master'!$C:$C, MATCH(B1698, 'nav master'!$B:$B, 0)), "")</f>
        <v>ULIF 092 25/08/25 MFI 110</v>
      </c>
      <c r="E1698" s="8">
        <v>10.271699999999999</v>
      </c>
      <c r="F1698" s="9">
        <v>46212</v>
      </c>
    </row>
    <row r="1699" spans="1:6" ht="60" x14ac:dyDescent="0.25">
      <c r="A1699" s="8" t="s">
        <v>63</v>
      </c>
      <c r="B1699" s="8" t="s">
        <v>69</v>
      </c>
      <c r="C1699" s="8" t="str">
        <f>IFERROR(_xlfn.XLOOKUP(TRIM(B1699),Lookup!$B$2:$B$1000,Lookup!$C$2:$C$1000),"")</f>
        <v>Equity - Index (Momentum 50)</v>
      </c>
      <c r="D1699" s="8" t="str">
        <f>IFERROR(INDEX('nav master'!$C:$C, MATCH(B1699, 'nav master'!$B:$B, 0)), "")</f>
        <v>ULIF 092 25/08/25 MFI 110</v>
      </c>
      <c r="E1699" s="8">
        <v>10.3993</v>
      </c>
      <c r="F1699" s="9">
        <v>46213</v>
      </c>
    </row>
    <row r="1700" spans="1:6" ht="60" x14ac:dyDescent="0.25">
      <c r="A1700" s="8" t="s">
        <v>63</v>
      </c>
      <c r="B1700" s="8" t="s">
        <v>69</v>
      </c>
      <c r="C1700" s="8" t="str">
        <f>IFERROR(_xlfn.XLOOKUP(TRIM(B1700),Lookup!$B$2:$B$1000,Lookup!$C$2:$C$1000),"")</f>
        <v>Equity - Index (Momentum 50)</v>
      </c>
      <c r="D1700" s="8" t="str">
        <f>IFERROR(INDEX('nav master'!$C:$C, MATCH(B1700, 'nav master'!$B:$B, 0)), "")</f>
        <v>ULIF 092 25/08/25 MFI 110</v>
      </c>
      <c r="E1700" s="8">
        <v>10.3697</v>
      </c>
      <c r="F1700" s="9">
        <v>46216</v>
      </c>
    </row>
    <row r="1701" spans="1:6" ht="60" x14ac:dyDescent="0.25">
      <c r="A1701" s="8" t="s">
        <v>63</v>
      </c>
      <c r="B1701" s="8" t="s">
        <v>69</v>
      </c>
      <c r="C1701" s="8" t="str">
        <f>IFERROR(_xlfn.XLOOKUP(TRIM(B1701),Lookup!$B$2:$B$1000,Lookup!$C$2:$C$1000),"")</f>
        <v>Equity - Index (Momentum 50)</v>
      </c>
      <c r="D1701" s="8" t="str">
        <f>IFERROR(INDEX('nav master'!$C:$C, MATCH(B1701, 'nav master'!$B:$B, 0)), "")</f>
        <v>ULIF 092 25/08/25 MFI 110</v>
      </c>
      <c r="E1701" s="8">
        <v>10.358499999999999</v>
      </c>
      <c r="F1701" s="9">
        <v>46217</v>
      </c>
    </row>
    <row r="1702" spans="1:6" ht="60" x14ac:dyDescent="0.25">
      <c r="A1702" s="8" t="s">
        <v>63</v>
      </c>
      <c r="B1702" s="8" t="s">
        <v>69</v>
      </c>
      <c r="C1702" s="8" t="str">
        <f>IFERROR(_xlfn.XLOOKUP(TRIM(B1702),Lookup!$B$2:$B$1000,Lookup!$C$2:$C$1000),"")</f>
        <v>Equity - Index (Momentum 50)</v>
      </c>
      <c r="D1702" s="8" t="str">
        <f>IFERROR(INDEX('nav master'!$C:$C, MATCH(B1702, 'nav master'!$B:$B, 0)), "")</f>
        <v>ULIF 092 25/08/25 MFI 110</v>
      </c>
      <c r="E1702" s="8">
        <v>10.4229</v>
      </c>
      <c r="F1702" s="9">
        <v>46218</v>
      </c>
    </row>
    <row r="1703" spans="1:6" ht="60" x14ac:dyDescent="0.25">
      <c r="A1703" s="8" t="s">
        <v>63</v>
      </c>
      <c r="B1703" s="8" t="s">
        <v>69</v>
      </c>
      <c r="C1703" s="8" t="str">
        <f>IFERROR(_xlfn.XLOOKUP(TRIM(B1703),Lookup!$B$2:$B$1000,Lookup!$C$2:$C$1000),"")</f>
        <v>Equity - Index (Momentum 50)</v>
      </c>
      <c r="D1703" s="8" t="str">
        <f>IFERROR(INDEX('nav master'!$C:$C, MATCH(B1703, 'nav master'!$B:$B, 0)), "")</f>
        <v>ULIF 092 25/08/25 MFI 110</v>
      </c>
      <c r="E1703" s="8">
        <v>10.385899999999999</v>
      </c>
      <c r="F1703" s="9">
        <v>46219</v>
      </c>
    </row>
    <row r="1704" spans="1:6" ht="60" x14ac:dyDescent="0.25">
      <c r="A1704" s="8" t="s">
        <v>63</v>
      </c>
      <c r="B1704" s="8" t="s">
        <v>69</v>
      </c>
      <c r="C1704" s="8" t="str">
        <f>IFERROR(_xlfn.XLOOKUP(TRIM(B1704),Lookup!$B$2:$B$1000,Lookup!$C$2:$C$1000),"")</f>
        <v>Equity - Index (Momentum 50)</v>
      </c>
      <c r="D1704" s="8" t="str">
        <f>IFERROR(INDEX('nav master'!$C:$C, MATCH(B1704, 'nav master'!$B:$B, 0)), "")</f>
        <v>ULIF 092 25/08/25 MFI 110</v>
      </c>
      <c r="E1704" s="8">
        <v>10.284800000000001</v>
      </c>
      <c r="F1704" s="9">
        <v>46220</v>
      </c>
    </row>
    <row r="1705" spans="1:6" ht="60" x14ac:dyDescent="0.25">
      <c r="A1705" s="8" t="s">
        <v>63</v>
      </c>
      <c r="B1705" s="8" t="s">
        <v>69</v>
      </c>
      <c r="C1705" s="8" t="str">
        <f>IFERROR(_xlfn.XLOOKUP(TRIM(B1705),Lookup!$B$2:$B$1000,Lookup!$C$2:$C$1000),"")</f>
        <v>Equity - Index (Momentum 50)</v>
      </c>
      <c r="D1705" s="8" t="str">
        <f>IFERROR(INDEX('nav master'!$C:$C, MATCH(B1705, 'nav master'!$B:$B, 0)), "")</f>
        <v>ULIF 092 25/08/25 MFI 110</v>
      </c>
      <c r="E1705" s="8">
        <v>10.348699999999999</v>
      </c>
      <c r="F1705" s="9">
        <v>46223</v>
      </c>
    </row>
    <row r="1706" spans="1:6" ht="60" x14ac:dyDescent="0.25">
      <c r="A1706" s="8" t="s">
        <v>63</v>
      </c>
      <c r="B1706" s="8" t="s">
        <v>69</v>
      </c>
      <c r="C1706" s="8" t="str">
        <f>IFERROR(_xlfn.XLOOKUP(TRIM(B1706),Lookup!$B$2:$B$1000,Lookup!$C$2:$C$1000),"")</f>
        <v>Equity - Index (Momentum 50)</v>
      </c>
      <c r="D1706" s="8" t="str">
        <f>IFERROR(INDEX('nav master'!$C:$C, MATCH(B1706, 'nav master'!$B:$B, 0)), "")</f>
        <v>ULIF 092 25/08/25 MFI 110</v>
      </c>
      <c r="E1706" s="8">
        <v>10.429399999999999</v>
      </c>
      <c r="F1706" s="9">
        <v>46224</v>
      </c>
    </row>
    <row r="1707" spans="1:6" ht="60" x14ac:dyDescent="0.25">
      <c r="A1707" s="8" t="s">
        <v>63</v>
      </c>
      <c r="B1707" s="8" t="s">
        <v>69</v>
      </c>
      <c r="C1707" s="8" t="str">
        <f>IFERROR(_xlfn.XLOOKUP(TRIM(B1707),Lookup!$B$2:$B$1000,Lookup!$C$2:$C$1000),"")</f>
        <v>Equity - Index (Momentum 50)</v>
      </c>
      <c r="D1707" s="8" t="str">
        <f>IFERROR(INDEX('nav master'!$C:$C, MATCH(B1707, 'nav master'!$B:$B, 0)), "")</f>
        <v>ULIF 092 25/08/25 MFI 110</v>
      </c>
      <c r="E1707" s="8">
        <v>10.356199999999999</v>
      </c>
      <c r="F1707" s="9">
        <v>46225</v>
      </c>
    </row>
    <row r="1708" spans="1:6" ht="60" x14ac:dyDescent="0.25">
      <c r="A1708" s="8" t="s">
        <v>63</v>
      </c>
      <c r="B1708" s="8" t="s">
        <v>69</v>
      </c>
      <c r="C1708" s="8" t="str">
        <f>IFERROR(_xlfn.XLOOKUP(TRIM(B1708),Lookup!$B$2:$B$1000,Lookup!$C$2:$C$1000),"")</f>
        <v>Equity - Index (Momentum 50)</v>
      </c>
      <c r="D1708" s="8" t="str">
        <f>IFERROR(INDEX('nav master'!$C:$C, MATCH(B1708, 'nav master'!$B:$B, 0)), "")</f>
        <v>ULIF 092 25/08/25 MFI 110</v>
      </c>
      <c r="E1708" s="8">
        <v>10.2493</v>
      </c>
      <c r="F1708" s="9">
        <v>46226</v>
      </c>
    </row>
    <row r="1709" spans="1:6" ht="60" x14ac:dyDescent="0.25">
      <c r="A1709" s="8" t="s">
        <v>63</v>
      </c>
      <c r="B1709" s="8" t="s">
        <v>69</v>
      </c>
      <c r="C1709" s="8" t="str">
        <f>IFERROR(_xlfn.XLOOKUP(TRIM(B1709),Lookup!$B$2:$B$1000,Lookup!$C$2:$C$1000),"")</f>
        <v>Equity - Index (Momentum 50)</v>
      </c>
      <c r="D1709" s="8" t="str">
        <f>IFERROR(INDEX('nav master'!$C:$C, MATCH(B1709, 'nav master'!$B:$B, 0)), "")</f>
        <v>ULIF 092 25/08/25 MFI 110</v>
      </c>
      <c r="E1709" s="8">
        <v>10.1792</v>
      </c>
      <c r="F1709" s="9">
        <v>46227</v>
      </c>
    </row>
    <row r="1710" spans="1:6" ht="60" x14ac:dyDescent="0.25">
      <c r="A1710" s="8" t="s">
        <v>63</v>
      </c>
      <c r="B1710" s="8" t="s">
        <v>69</v>
      </c>
      <c r="C1710" s="8" t="str">
        <f>IFERROR(_xlfn.XLOOKUP(TRIM(B1710),Lookup!$B$2:$B$1000,Lookup!$C$2:$C$1000),"")</f>
        <v>Equity - Index (Momentum 50)</v>
      </c>
      <c r="D1710" s="8" t="str">
        <f>IFERROR(INDEX('nav master'!$C:$C, MATCH(B1710, 'nav master'!$B:$B, 0)), "")</f>
        <v>ULIF 092 25/08/25 MFI 110</v>
      </c>
      <c r="E1710" s="8">
        <v>10.314</v>
      </c>
      <c r="F1710" s="9">
        <v>46230</v>
      </c>
    </row>
    <row r="1711" spans="1:6" ht="60" x14ac:dyDescent="0.25">
      <c r="A1711" s="8" t="s">
        <v>63</v>
      </c>
      <c r="B1711" s="8" t="s">
        <v>69</v>
      </c>
      <c r="C1711" s="8" t="str">
        <f>IFERROR(_xlfn.XLOOKUP(TRIM(B1711),Lookup!$B$2:$B$1000,Lookup!$C$2:$C$1000),"")</f>
        <v>Equity - Index (Momentum 50)</v>
      </c>
      <c r="D1711" s="8" t="str">
        <f>IFERROR(INDEX('nav master'!$C:$C, MATCH(B1711, 'nav master'!$B:$B, 0)), "")</f>
        <v>ULIF 092 25/08/25 MFI 110</v>
      </c>
      <c r="E1711" s="8">
        <v>10.2233</v>
      </c>
      <c r="F1711" s="9">
        <v>46231</v>
      </c>
    </row>
    <row r="1712" spans="1:6" ht="60" x14ac:dyDescent="0.25">
      <c r="A1712" s="8" t="s">
        <v>63</v>
      </c>
      <c r="B1712" s="8" t="s">
        <v>69</v>
      </c>
      <c r="C1712" s="8" t="str">
        <f>IFERROR(_xlfn.XLOOKUP(TRIM(B1712),Lookup!$B$2:$B$1000,Lookup!$C$2:$C$1000),"")</f>
        <v>Equity - Index (Momentum 50)</v>
      </c>
      <c r="D1712" s="8" t="str">
        <f>IFERROR(INDEX('nav master'!$C:$C, MATCH(B1712, 'nav master'!$B:$B, 0)), "")</f>
        <v>ULIF 092 25/08/25 MFI 110</v>
      </c>
      <c r="E1712" s="8">
        <v>10.297599999999999</v>
      </c>
      <c r="F1712" s="9">
        <v>46232</v>
      </c>
    </row>
    <row r="1713" spans="1:6" ht="60" x14ac:dyDescent="0.25">
      <c r="A1713" s="8" t="s">
        <v>63</v>
      </c>
      <c r="B1713" s="8" t="s">
        <v>69</v>
      </c>
      <c r="C1713" s="8" t="str">
        <f>IFERROR(_xlfn.XLOOKUP(TRIM(B1713),Lookup!$B$2:$B$1000,Lookup!$C$2:$C$1000),"")</f>
        <v>Equity - Index (Momentum 50)</v>
      </c>
      <c r="D1713" s="8" t="str">
        <f>IFERROR(INDEX('nav master'!$C:$C, MATCH(B1713, 'nav master'!$B:$B, 0)), "")</f>
        <v>ULIF 092 25/08/25 MFI 110</v>
      </c>
      <c r="E1713" s="8">
        <v>10.2431</v>
      </c>
      <c r="F1713" s="9">
        <v>46233</v>
      </c>
    </row>
    <row r="1714" spans="1:6" ht="60" x14ac:dyDescent="0.25">
      <c r="A1714" s="8" t="s">
        <v>63</v>
      </c>
      <c r="B1714" s="8" t="s">
        <v>69</v>
      </c>
      <c r="C1714" s="8" t="str">
        <f>IFERROR(_xlfn.XLOOKUP(TRIM(B1714),Lookup!$B$2:$B$1000,Lookup!$C$2:$C$1000),"")</f>
        <v>Equity - Index (Momentum 50)</v>
      </c>
      <c r="D1714" s="8" t="str">
        <f>IFERROR(INDEX('nav master'!$C:$C, MATCH(B1714, 'nav master'!$B:$B, 0)), "")</f>
        <v>ULIF 092 25/08/25 MFI 110</v>
      </c>
      <c r="E1714" s="8">
        <v>10.395300000000001</v>
      </c>
      <c r="F1714" s="9">
        <v>46234</v>
      </c>
    </row>
    <row r="1715" spans="1:6" ht="30" x14ac:dyDescent="0.25">
      <c r="A1715" s="8" t="s">
        <v>63</v>
      </c>
      <c r="B1715" s="8" t="s">
        <v>5798</v>
      </c>
      <c r="C1715" s="8" t="str">
        <f>IFERROR(_xlfn.XLOOKUP(TRIM(B1715),Lookup!$B$2:$B$1000,Lookup!$C$2:$C$1000),"")</f>
        <v/>
      </c>
      <c r="D1715" s="8" t="str">
        <f>IFERROR(INDEX('nav master'!$C:$C, MATCH(B1715, 'nav master'!$B:$B, 0)), "")</f>
        <v/>
      </c>
      <c r="E1715" s="8">
        <v>64.267099999999999</v>
      </c>
      <c r="F1715" s="9">
        <v>45869</v>
      </c>
    </row>
    <row r="1716" spans="1:6" ht="30" x14ac:dyDescent="0.25">
      <c r="A1716" s="8" t="s">
        <v>63</v>
      </c>
      <c r="B1716" s="8" t="s">
        <v>5798</v>
      </c>
      <c r="C1716" s="8" t="str">
        <f>IFERROR(_xlfn.XLOOKUP(TRIM(B1716),Lookup!$B$2:$B$1000,Lookup!$C$2:$C$1000),"")</f>
        <v/>
      </c>
      <c r="D1716" s="8" t="str">
        <f>IFERROR(INDEX('nav master'!$C:$C, MATCH(B1716, 'nav master'!$B:$B, 0)), "")</f>
        <v/>
      </c>
      <c r="E1716" s="8">
        <v>63.442</v>
      </c>
      <c r="F1716" s="9">
        <v>45870</v>
      </c>
    </row>
    <row r="1717" spans="1:6" ht="30" x14ac:dyDescent="0.25">
      <c r="A1717" s="8" t="s">
        <v>63</v>
      </c>
      <c r="B1717" s="8" t="s">
        <v>5798</v>
      </c>
      <c r="C1717" s="8" t="str">
        <f>IFERROR(_xlfn.XLOOKUP(TRIM(B1717),Lookup!$B$2:$B$1000,Lookup!$C$2:$C$1000),"")</f>
        <v/>
      </c>
      <c r="D1717" s="8" t="str">
        <f>IFERROR(INDEX('nav master'!$C:$C, MATCH(B1717, 'nav master'!$B:$B, 0)), "")</f>
        <v/>
      </c>
      <c r="E1717" s="8">
        <v>63.843400000000003</v>
      </c>
      <c r="F1717" s="9">
        <v>45873</v>
      </c>
    </row>
    <row r="1718" spans="1:6" ht="30" x14ac:dyDescent="0.25">
      <c r="A1718" s="8" t="s">
        <v>63</v>
      </c>
      <c r="B1718" s="8" t="s">
        <v>5798</v>
      </c>
      <c r="C1718" s="8" t="str">
        <f>IFERROR(_xlfn.XLOOKUP(TRIM(B1718),Lookup!$B$2:$B$1000,Lookup!$C$2:$C$1000),"")</f>
        <v/>
      </c>
      <c r="D1718" s="8" t="str">
        <f>IFERROR(INDEX('nav master'!$C:$C, MATCH(B1718, 'nav master'!$B:$B, 0)), "")</f>
        <v/>
      </c>
      <c r="E1718" s="8">
        <v>63.315899999999999</v>
      </c>
      <c r="F1718" s="9">
        <v>45874</v>
      </c>
    </row>
    <row r="1719" spans="1:6" ht="30" x14ac:dyDescent="0.25">
      <c r="A1719" s="8" t="s">
        <v>63</v>
      </c>
      <c r="B1719" s="8" t="s">
        <v>5798</v>
      </c>
      <c r="C1719" s="8" t="str">
        <f>IFERROR(_xlfn.XLOOKUP(TRIM(B1719),Lookup!$B$2:$B$1000,Lookup!$C$2:$C$1000),"")</f>
        <v/>
      </c>
      <c r="D1719" s="8" t="str">
        <f>IFERROR(INDEX('nav master'!$C:$C, MATCH(B1719, 'nav master'!$B:$B, 0)), "")</f>
        <v/>
      </c>
      <c r="E1719" s="8">
        <v>62.981499999999997</v>
      </c>
      <c r="F1719" s="9">
        <v>45875</v>
      </c>
    </row>
    <row r="1720" spans="1:6" ht="30" x14ac:dyDescent="0.25">
      <c r="A1720" s="8" t="s">
        <v>63</v>
      </c>
      <c r="B1720" s="8" t="s">
        <v>5798</v>
      </c>
      <c r="C1720" s="8" t="str">
        <f>IFERROR(_xlfn.XLOOKUP(TRIM(B1720),Lookup!$B$2:$B$1000,Lookup!$C$2:$C$1000),"")</f>
        <v/>
      </c>
      <c r="D1720" s="8" t="str">
        <f>IFERROR(INDEX('nav master'!$C:$C, MATCH(B1720, 'nav master'!$B:$B, 0)), "")</f>
        <v/>
      </c>
      <c r="E1720" s="8">
        <v>63.1038</v>
      </c>
      <c r="F1720" s="9">
        <v>45876</v>
      </c>
    </row>
    <row r="1721" spans="1:6" ht="30" x14ac:dyDescent="0.25">
      <c r="A1721" s="8" t="s">
        <v>63</v>
      </c>
      <c r="B1721" s="8" t="s">
        <v>5798</v>
      </c>
      <c r="C1721" s="8" t="str">
        <f>IFERROR(_xlfn.XLOOKUP(TRIM(B1721),Lookup!$B$2:$B$1000,Lookup!$C$2:$C$1000),"")</f>
        <v/>
      </c>
      <c r="D1721" s="8" t="str">
        <f>IFERROR(INDEX('nav master'!$C:$C, MATCH(B1721, 'nav master'!$B:$B, 0)), "")</f>
        <v/>
      </c>
      <c r="E1721" s="8">
        <v>62.344200000000001</v>
      </c>
      <c r="F1721" s="9">
        <v>45877</v>
      </c>
    </row>
    <row r="1722" spans="1:6" ht="30" x14ac:dyDescent="0.25">
      <c r="A1722" s="8" t="s">
        <v>63</v>
      </c>
      <c r="B1722" s="8" t="s">
        <v>5798</v>
      </c>
      <c r="C1722" s="8" t="str">
        <f>IFERROR(_xlfn.XLOOKUP(TRIM(B1722),Lookup!$B$2:$B$1000,Lookup!$C$2:$C$1000),"")</f>
        <v/>
      </c>
      <c r="D1722" s="8" t="str">
        <f>IFERROR(INDEX('nav master'!$C:$C, MATCH(B1722, 'nav master'!$B:$B, 0)), "")</f>
        <v/>
      </c>
      <c r="E1722" s="8">
        <v>62.930199999999999</v>
      </c>
      <c r="F1722" s="9">
        <v>45880</v>
      </c>
    </row>
    <row r="1723" spans="1:6" ht="30" x14ac:dyDescent="0.25">
      <c r="A1723" s="8" t="s">
        <v>63</v>
      </c>
      <c r="B1723" s="8" t="s">
        <v>5798</v>
      </c>
      <c r="C1723" s="8" t="str">
        <f>IFERROR(_xlfn.XLOOKUP(TRIM(B1723),Lookup!$B$2:$B$1000,Lookup!$C$2:$C$1000),"")</f>
        <v/>
      </c>
      <c r="D1723" s="8" t="str">
        <f>IFERROR(INDEX('nav master'!$C:$C, MATCH(B1723, 'nav master'!$B:$B, 0)), "")</f>
        <v/>
      </c>
      <c r="E1723" s="8">
        <v>62.947699999999998</v>
      </c>
      <c r="F1723" s="9">
        <v>45881</v>
      </c>
    </row>
    <row r="1724" spans="1:6" ht="30" x14ac:dyDescent="0.25">
      <c r="A1724" s="8" t="s">
        <v>63</v>
      </c>
      <c r="B1724" s="8" t="s">
        <v>5798</v>
      </c>
      <c r="C1724" s="8" t="str">
        <f>IFERROR(_xlfn.XLOOKUP(TRIM(B1724),Lookup!$B$2:$B$1000,Lookup!$C$2:$C$1000),"")</f>
        <v/>
      </c>
      <c r="D1724" s="8" t="str">
        <f>IFERROR(INDEX('nav master'!$C:$C, MATCH(B1724, 'nav master'!$B:$B, 0)), "")</f>
        <v/>
      </c>
      <c r="E1724" s="8">
        <v>63.508699999999997</v>
      </c>
      <c r="F1724" s="9">
        <v>45882</v>
      </c>
    </row>
    <row r="1725" spans="1:6" ht="30" x14ac:dyDescent="0.25">
      <c r="A1725" s="8" t="s">
        <v>63</v>
      </c>
      <c r="B1725" s="8" t="s">
        <v>5798</v>
      </c>
      <c r="C1725" s="8" t="str">
        <f>IFERROR(_xlfn.XLOOKUP(TRIM(B1725),Lookup!$B$2:$B$1000,Lookup!$C$2:$C$1000),"")</f>
        <v/>
      </c>
      <c r="D1725" s="8" t="str">
        <f>IFERROR(INDEX('nav master'!$C:$C, MATCH(B1725, 'nav master'!$B:$B, 0)), "")</f>
        <v/>
      </c>
      <c r="E1725" s="8">
        <v>63.467599999999997</v>
      </c>
      <c r="F1725" s="9">
        <v>45883</v>
      </c>
    </row>
    <row r="1726" spans="1:6" ht="30" x14ac:dyDescent="0.25">
      <c r="A1726" s="8" t="s">
        <v>63</v>
      </c>
      <c r="B1726" s="8" t="s">
        <v>5798</v>
      </c>
      <c r="C1726" s="8" t="str">
        <f>IFERROR(_xlfn.XLOOKUP(TRIM(B1726),Lookup!$B$2:$B$1000,Lookup!$C$2:$C$1000),"")</f>
        <v/>
      </c>
      <c r="D1726" s="8" t="str">
        <f>IFERROR(INDEX('nav master'!$C:$C, MATCH(B1726, 'nav master'!$B:$B, 0)), "")</f>
        <v/>
      </c>
      <c r="E1726" s="8">
        <v>64.174700000000001</v>
      </c>
      <c r="F1726" s="9">
        <v>45887</v>
      </c>
    </row>
    <row r="1727" spans="1:6" ht="30" x14ac:dyDescent="0.25">
      <c r="A1727" s="8" t="s">
        <v>63</v>
      </c>
      <c r="B1727" s="8" t="s">
        <v>5798</v>
      </c>
      <c r="C1727" s="8" t="str">
        <f>IFERROR(_xlfn.XLOOKUP(TRIM(B1727),Lookup!$B$2:$B$1000,Lookup!$C$2:$C$1000),"")</f>
        <v/>
      </c>
      <c r="D1727" s="8" t="str">
        <f>IFERROR(INDEX('nav master'!$C:$C, MATCH(B1727, 'nav master'!$B:$B, 0)), "")</f>
        <v/>
      </c>
      <c r="E1727" s="8">
        <v>64.733400000000003</v>
      </c>
      <c r="F1727" s="9">
        <v>45888</v>
      </c>
    </row>
    <row r="1728" spans="1:6" ht="30" x14ac:dyDescent="0.25">
      <c r="A1728" s="8" t="s">
        <v>63</v>
      </c>
      <c r="B1728" s="8" t="s">
        <v>5798</v>
      </c>
      <c r="C1728" s="8" t="str">
        <f>IFERROR(_xlfn.XLOOKUP(TRIM(B1728),Lookup!$B$2:$B$1000,Lookup!$C$2:$C$1000),"")</f>
        <v/>
      </c>
      <c r="D1728" s="8" t="str">
        <f>IFERROR(INDEX('nav master'!$C:$C, MATCH(B1728, 'nav master'!$B:$B, 0)), "")</f>
        <v/>
      </c>
      <c r="E1728" s="8">
        <v>65.025400000000005</v>
      </c>
      <c r="F1728" s="9">
        <v>45889</v>
      </c>
    </row>
    <row r="1729" spans="1:6" ht="30" x14ac:dyDescent="0.25">
      <c r="A1729" s="8" t="s">
        <v>63</v>
      </c>
      <c r="B1729" s="8" t="s">
        <v>5798</v>
      </c>
      <c r="C1729" s="8" t="str">
        <f>IFERROR(_xlfn.XLOOKUP(TRIM(B1729),Lookup!$B$2:$B$1000,Lookup!$C$2:$C$1000),"")</f>
        <v/>
      </c>
      <c r="D1729" s="8" t="str">
        <f>IFERROR(INDEX('nav master'!$C:$C, MATCH(B1729, 'nav master'!$B:$B, 0)), "")</f>
        <v/>
      </c>
      <c r="E1729" s="8">
        <v>64.917199999999994</v>
      </c>
      <c r="F1729" s="9">
        <v>45890</v>
      </c>
    </row>
    <row r="1730" spans="1:6" ht="30" x14ac:dyDescent="0.25">
      <c r="A1730" s="8" t="s">
        <v>63</v>
      </c>
      <c r="B1730" s="8" t="s">
        <v>5798</v>
      </c>
      <c r="C1730" s="8" t="str">
        <f>IFERROR(_xlfn.XLOOKUP(TRIM(B1730),Lookup!$B$2:$B$1000,Lookup!$C$2:$C$1000),"")</f>
        <v/>
      </c>
      <c r="D1730" s="8" t="str">
        <f>IFERROR(INDEX('nav master'!$C:$C, MATCH(B1730, 'nav master'!$B:$B, 0)), "")</f>
        <v/>
      </c>
      <c r="E1730" s="8">
        <v>64.771900000000002</v>
      </c>
      <c r="F1730" s="9">
        <v>45891</v>
      </c>
    </row>
    <row r="1731" spans="1:6" ht="30" x14ac:dyDescent="0.25">
      <c r="A1731" s="8" t="s">
        <v>63</v>
      </c>
      <c r="B1731" s="8" t="s">
        <v>5798</v>
      </c>
      <c r="C1731" s="8" t="str">
        <f>IFERROR(_xlfn.XLOOKUP(TRIM(B1731),Lookup!$B$2:$B$1000,Lookup!$C$2:$C$1000),"")</f>
        <v/>
      </c>
      <c r="D1731" s="8" t="str">
        <f>IFERROR(INDEX('nav master'!$C:$C, MATCH(B1731, 'nav master'!$B:$B, 0)), "")</f>
        <v/>
      </c>
      <c r="E1731" s="8">
        <v>64.932299999999998</v>
      </c>
      <c r="F1731" s="9">
        <v>45894</v>
      </c>
    </row>
    <row r="1732" spans="1:6" ht="30" x14ac:dyDescent="0.25">
      <c r="A1732" s="8" t="s">
        <v>63</v>
      </c>
      <c r="B1732" s="8" t="s">
        <v>5798</v>
      </c>
      <c r="C1732" s="8" t="str">
        <f>IFERROR(_xlfn.XLOOKUP(TRIM(B1732),Lookup!$B$2:$B$1000,Lookup!$C$2:$C$1000),"")</f>
        <v/>
      </c>
      <c r="D1732" s="8" t="str">
        <f>IFERROR(INDEX('nav master'!$C:$C, MATCH(B1732, 'nav master'!$B:$B, 0)), "")</f>
        <v/>
      </c>
      <c r="E1732" s="8">
        <v>63.995800000000003</v>
      </c>
      <c r="F1732" s="9">
        <v>45895</v>
      </c>
    </row>
    <row r="1733" spans="1:6" ht="30" x14ac:dyDescent="0.25">
      <c r="A1733" s="8" t="s">
        <v>63</v>
      </c>
      <c r="B1733" s="8" t="s">
        <v>5798</v>
      </c>
      <c r="C1733" s="8" t="str">
        <f>IFERROR(_xlfn.XLOOKUP(TRIM(B1733),Lookup!$B$2:$B$1000,Lookup!$C$2:$C$1000),"")</f>
        <v/>
      </c>
      <c r="D1733" s="8" t="str">
        <f>IFERROR(INDEX('nav master'!$C:$C, MATCH(B1733, 'nav master'!$B:$B, 0)), "")</f>
        <v/>
      </c>
      <c r="E1733" s="8">
        <v>63.213299999999997</v>
      </c>
      <c r="F1733" s="9">
        <v>45897</v>
      </c>
    </row>
    <row r="1734" spans="1:6" ht="30" x14ac:dyDescent="0.25">
      <c r="A1734" s="8" t="s">
        <v>63</v>
      </c>
      <c r="B1734" s="8" t="s">
        <v>5798</v>
      </c>
      <c r="C1734" s="8" t="str">
        <f>IFERROR(_xlfn.XLOOKUP(TRIM(B1734),Lookup!$B$2:$B$1000,Lookup!$C$2:$C$1000),"")</f>
        <v/>
      </c>
      <c r="D1734" s="8" t="str">
        <f>IFERROR(INDEX('nav master'!$C:$C, MATCH(B1734, 'nav master'!$B:$B, 0)), "")</f>
        <v/>
      </c>
      <c r="E1734" s="8">
        <v>62.702599999999997</v>
      </c>
      <c r="F1734" s="9">
        <v>45898</v>
      </c>
    </row>
    <row r="1735" spans="1:6" ht="30" x14ac:dyDescent="0.25">
      <c r="A1735" s="8" t="s">
        <v>63</v>
      </c>
      <c r="B1735" s="8" t="s">
        <v>5798</v>
      </c>
      <c r="C1735" s="8" t="str">
        <f>IFERROR(_xlfn.XLOOKUP(TRIM(B1735),Lookup!$B$2:$B$1000,Lookup!$C$2:$C$1000),"")</f>
        <v/>
      </c>
      <c r="D1735" s="8" t="str">
        <f>IFERROR(INDEX('nav master'!$C:$C, MATCH(B1735, 'nav master'!$B:$B, 0)), "")</f>
        <v/>
      </c>
      <c r="E1735" s="8">
        <v>63.5732</v>
      </c>
      <c r="F1735" s="9">
        <v>45901</v>
      </c>
    </row>
    <row r="1736" spans="1:6" ht="30" x14ac:dyDescent="0.25">
      <c r="A1736" s="8" t="s">
        <v>63</v>
      </c>
      <c r="B1736" s="8" t="s">
        <v>5798</v>
      </c>
      <c r="C1736" s="8" t="str">
        <f>IFERROR(_xlfn.XLOOKUP(TRIM(B1736),Lookup!$B$2:$B$1000,Lookup!$C$2:$C$1000),"")</f>
        <v/>
      </c>
      <c r="D1736" s="8" t="str">
        <f>IFERROR(INDEX('nav master'!$C:$C, MATCH(B1736, 'nav master'!$B:$B, 0)), "")</f>
        <v/>
      </c>
      <c r="E1736" s="8">
        <v>63.590499999999999</v>
      </c>
      <c r="F1736" s="9">
        <v>45902</v>
      </c>
    </row>
    <row r="1737" spans="1:6" ht="30" x14ac:dyDescent="0.25">
      <c r="A1737" s="8" t="s">
        <v>63</v>
      </c>
      <c r="B1737" s="8" t="s">
        <v>5798</v>
      </c>
      <c r="C1737" s="8" t="str">
        <f>IFERROR(_xlfn.XLOOKUP(TRIM(B1737),Lookup!$B$2:$B$1000,Lookup!$C$2:$C$1000),"")</f>
        <v/>
      </c>
      <c r="D1737" s="8" t="str">
        <f>IFERROR(INDEX('nav master'!$C:$C, MATCH(B1737, 'nav master'!$B:$B, 0)), "")</f>
        <v/>
      </c>
      <c r="E1737" s="8">
        <v>64.089200000000005</v>
      </c>
      <c r="F1737" s="9">
        <v>45903</v>
      </c>
    </row>
    <row r="1738" spans="1:6" ht="30" x14ac:dyDescent="0.25">
      <c r="A1738" s="8" t="s">
        <v>63</v>
      </c>
      <c r="B1738" s="8" t="s">
        <v>5798</v>
      </c>
      <c r="C1738" s="8" t="str">
        <f>IFERROR(_xlfn.XLOOKUP(TRIM(B1738),Lookup!$B$2:$B$1000,Lookup!$C$2:$C$1000),"")</f>
        <v/>
      </c>
      <c r="D1738" s="8" t="str">
        <f>IFERROR(INDEX('nav master'!$C:$C, MATCH(B1738, 'nav master'!$B:$B, 0)), "")</f>
        <v/>
      </c>
      <c r="E1738" s="8">
        <v>63.788600000000002</v>
      </c>
      <c r="F1738" s="9">
        <v>45904</v>
      </c>
    </row>
    <row r="1739" spans="1:6" ht="30" x14ac:dyDescent="0.25">
      <c r="A1739" s="8" t="s">
        <v>63</v>
      </c>
      <c r="B1739" s="8" t="s">
        <v>5798</v>
      </c>
      <c r="C1739" s="8" t="str">
        <f>IFERROR(_xlfn.XLOOKUP(TRIM(B1739),Lookup!$B$2:$B$1000,Lookup!$C$2:$C$1000),"")</f>
        <v/>
      </c>
      <c r="D1739" s="8" t="str">
        <f>IFERROR(INDEX('nav master'!$C:$C, MATCH(B1739, 'nav master'!$B:$B, 0)), "")</f>
        <v/>
      </c>
      <c r="E1739" s="8">
        <v>63.856400000000001</v>
      </c>
      <c r="F1739" s="9">
        <v>45905</v>
      </c>
    </row>
    <row r="1740" spans="1:6" ht="30" x14ac:dyDescent="0.25">
      <c r="A1740" s="8" t="s">
        <v>63</v>
      </c>
      <c r="B1740" s="8" t="s">
        <v>5798</v>
      </c>
      <c r="C1740" s="8" t="str">
        <f>IFERROR(_xlfn.XLOOKUP(TRIM(B1740),Lookup!$B$2:$B$1000,Lookup!$C$2:$C$1000),"")</f>
        <v/>
      </c>
      <c r="D1740" s="8" t="str">
        <f>IFERROR(INDEX('nav master'!$C:$C, MATCH(B1740, 'nav master'!$B:$B, 0)), "")</f>
        <v/>
      </c>
      <c r="E1740" s="8">
        <v>64.212699999999998</v>
      </c>
      <c r="F1740" s="9">
        <v>45908</v>
      </c>
    </row>
    <row r="1741" spans="1:6" ht="30" x14ac:dyDescent="0.25">
      <c r="A1741" s="8" t="s">
        <v>63</v>
      </c>
      <c r="B1741" s="8" t="s">
        <v>5798</v>
      </c>
      <c r="C1741" s="8" t="str">
        <f>IFERROR(_xlfn.XLOOKUP(TRIM(B1741),Lookup!$B$2:$B$1000,Lookup!$C$2:$C$1000),"")</f>
        <v/>
      </c>
      <c r="D1741" s="8" t="str">
        <f>IFERROR(INDEX('nav master'!$C:$C, MATCH(B1741, 'nav master'!$B:$B, 0)), "")</f>
        <v/>
      </c>
      <c r="E1741" s="8">
        <v>64.269099999999995</v>
      </c>
      <c r="F1741" s="9">
        <v>45909</v>
      </c>
    </row>
    <row r="1742" spans="1:6" ht="30" x14ac:dyDescent="0.25">
      <c r="A1742" s="8" t="s">
        <v>63</v>
      </c>
      <c r="B1742" s="8" t="s">
        <v>5798</v>
      </c>
      <c r="C1742" s="8" t="str">
        <f>IFERROR(_xlfn.XLOOKUP(TRIM(B1742),Lookup!$B$2:$B$1000,Lookup!$C$2:$C$1000),"")</f>
        <v/>
      </c>
      <c r="D1742" s="8" t="str">
        <f>IFERROR(INDEX('nav master'!$C:$C, MATCH(B1742, 'nav master'!$B:$B, 0)), "")</f>
        <v/>
      </c>
      <c r="E1742" s="8">
        <v>64.358999999999995</v>
      </c>
      <c r="F1742" s="9">
        <v>45910</v>
      </c>
    </row>
    <row r="1743" spans="1:6" ht="30" x14ac:dyDescent="0.25">
      <c r="A1743" s="8" t="s">
        <v>63</v>
      </c>
      <c r="B1743" s="8" t="s">
        <v>5798</v>
      </c>
      <c r="C1743" s="8" t="str">
        <f>IFERROR(_xlfn.XLOOKUP(TRIM(B1743),Lookup!$B$2:$B$1000,Lookup!$C$2:$C$1000),"")</f>
        <v/>
      </c>
      <c r="D1743" s="8" t="str">
        <f>IFERROR(INDEX('nav master'!$C:$C, MATCH(B1743, 'nav master'!$B:$B, 0)), "")</f>
        <v/>
      </c>
      <c r="E1743" s="8">
        <v>64.159499999999994</v>
      </c>
      <c r="F1743" s="9">
        <v>45911</v>
      </c>
    </row>
    <row r="1744" spans="1:6" ht="30" x14ac:dyDescent="0.25">
      <c r="A1744" s="8" t="s">
        <v>63</v>
      </c>
      <c r="B1744" s="8" t="s">
        <v>5798</v>
      </c>
      <c r="C1744" s="8" t="str">
        <f>IFERROR(_xlfn.XLOOKUP(TRIM(B1744),Lookup!$B$2:$B$1000,Lookup!$C$2:$C$1000),"")</f>
        <v/>
      </c>
      <c r="D1744" s="8" t="str">
        <f>IFERROR(INDEX('nav master'!$C:$C, MATCH(B1744, 'nav master'!$B:$B, 0)), "")</f>
        <v/>
      </c>
      <c r="E1744" s="8">
        <v>64.203400000000002</v>
      </c>
      <c r="F1744" s="9">
        <v>45912</v>
      </c>
    </row>
    <row r="1745" spans="1:6" ht="30" x14ac:dyDescent="0.25">
      <c r="A1745" s="8" t="s">
        <v>63</v>
      </c>
      <c r="B1745" s="8" t="s">
        <v>5798</v>
      </c>
      <c r="C1745" s="8" t="str">
        <f>IFERROR(_xlfn.XLOOKUP(TRIM(B1745),Lookup!$B$2:$B$1000,Lookup!$C$2:$C$1000),"")</f>
        <v/>
      </c>
      <c r="D1745" s="8" t="str">
        <f>IFERROR(INDEX('nav master'!$C:$C, MATCH(B1745, 'nav master'!$B:$B, 0)), "")</f>
        <v/>
      </c>
      <c r="E1745" s="8">
        <v>64.403099999999995</v>
      </c>
      <c r="F1745" s="9">
        <v>45915</v>
      </c>
    </row>
    <row r="1746" spans="1:6" ht="30" x14ac:dyDescent="0.25">
      <c r="A1746" s="8" t="s">
        <v>63</v>
      </c>
      <c r="B1746" s="8" t="s">
        <v>5798</v>
      </c>
      <c r="C1746" s="8" t="str">
        <f>IFERROR(_xlfn.XLOOKUP(TRIM(B1746),Lookup!$B$2:$B$1000,Lookup!$C$2:$C$1000),"")</f>
        <v/>
      </c>
      <c r="D1746" s="8" t="str">
        <f>IFERROR(INDEX('nav master'!$C:$C, MATCH(B1746, 'nav master'!$B:$B, 0)), "")</f>
        <v/>
      </c>
      <c r="E1746" s="8">
        <v>64.670699999999997</v>
      </c>
      <c r="F1746" s="9">
        <v>45916</v>
      </c>
    </row>
    <row r="1747" spans="1:6" ht="30" x14ac:dyDescent="0.25">
      <c r="A1747" s="8" t="s">
        <v>63</v>
      </c>
      <c r="B1747" s="8" t="s">
        <v>5798</v>
      </c>
      <c r="C1747" s="8" t="str">
        <f>IFERROR(_xlfn.XLOOKUP(TRIM(B1747),Lookup!$B$2:$B$1000,Lookup!$C$2:$C$1000),"")</f>
        <v/>
      </c>
      <c r="D1747" s="8" t="str">
        <f>IFERROR(INDEX('nav master'!$C:$C, MATCH(B1747, 'nav master'!$B:$B, 0)), "")</f>
        <v/>
      </c>
      <c r="E1747" s="8">
        <v>64.821399999999997</v>
      </c>
      <c r="F1747" s="9">
        <v>45917</v>
      </c>
    </row>
    <row r="1748" spans="1:6" ht="30" x14ac:dyDescent="0.25">
      <c r="A1748" s="8" t="s">
        <v>63</v>
      </c>
      <c r="B1748" s="8" t="s">
        <v>5798</v>
      </c>
      <c r="C1748" s="8" t="str">
        <f>IFERROR(_xlfn.XLOOKUP(TRIM(B1748),Lookup!$B$2:$B$1000,Lookup!$C$2:$C$1000),"")</f>
        <v/>
      </c>
      <c r="D1748" s="8" t="str">
        <f>IFERROR(INDEX('nav master'!$C:$C, MATCH(B1748, 'nav master'!$B:$B, 0)), "")</f>
        <v/>
      </c>
      <c r="E1748" s="8">
        <v>64.978499999999997</v>
      </c>
      <c r="F1748" s="9">
        <v>45918</v>
      </c>
    </row>
    <row r="1749" spans="1:6" ht="30" x14ac:dyDescent="0.25">
      <c r="A1749" s="8" t="s">
        <v>63</v>
      </c>
      <c r="B1749" s="8" t="s">
        <v>5798</v>
      </c>
      <c r="C1749" s="8" t="str">
        <f>IFERROR(_xlfn.XLOOKUP(TRIM(B1749),Lookup!$B$2:$B$1000,Lookup!$C$2:$C$1000),"")</f>
        <v/>
      </c>
      <c r="D1749" s="8" t="str">
        <f>IFERROR(INDEX('nav master'!$C:$C, MATCH(B1749, 'nav master'!$B:$B, 0)), "")</f>
        <v/>
      </c>
      <c r="E1749" s="8">
        <v>64.771900000000002</v>
      </c>
      <c r="F1749" s="9">
        <v>45919</v>
      </c>
    </row>
    <row r="1750" spans="1:6" ht="30" x14ac:dyDescent="0.25">
      <c r="A1750" s="8" t="s">
        <v>63</v>
      </c>
      <c r="B1750" s="8" t="s">
        <v>5798</v>
      </c>
      <c r="C1750" s="8" t="str">
        <f>IFERROR(_xlfn.XLOOKUP(TRIM(B1750),Lookup!$B$2:$B$1000,Lookup!$C$2:$C$1000),"")</f>
        <v/>
      </c>
      <c r="D1750" s="8" t="str">
        <f>IFERROR(INDEX('nav master'!$C:$C, MATCH(B1750, 'nav master'!$B:$B, 0)), "")</f>
        <v/>
      </c>
      <c r="E1750" s="8">
        <v>64.300299999999993</v>
      </c>
      <c r="F1750" s="9">
        <v>45922</v>
      </c>
    </row>
    <row r="1751" spans="1:6" ht="30" x14ac:dyDescent="0.25">
      <c r="A1751" s="8" t="s">
        <v>63</v>
      </c>
      <c r="B1751" s="8" t="s">
        <v>5798</v>
      </c>
      <c r="C1751" s="8" t="str">
        <f>IFERROR(_xlfn.XLOOKUP(TRIM(B1751),Lookup!$B$2:$B$1000,Lookup!$C$2:$C$1000),"")</f>
        <v/>
      </c>
      <c r="D1751" s="8" t="str">
        <f>IFERROR(INDEX('nav master'!$C:$C, MATCH(B1751, 'nav master'!$B:$B, 0)), "")</f>
        <v/>
      </c>
      <c r="E1751" s="8">
        <v>64.033100000000005</v>
      </c>
      <c r="F1751" s="9">
        <v>45923</v>
      </c>
    </row>
    <row r="1752" spans="1:6" ht="30" x14ac:dyDescent="0.25">
      <c r="A1752" s="8" t="s">
        <v>63</v>
      </c>
      <c r="B1752" s="8" t="s">
        <v>5798</v>
      </c>
      <c r="C1752" s="8" t="str">
        <f>IFERROR(_xlfn.XLOOKUP(TRIM(B1752),Lookup!$B$2:$B$1000,Lookup!$C$2:$C$1000),"")</f>
        <v/>
      </c>
      <c r="D1752" s="8" t="str">
        <f>IFERROR(INDEX('nav master'!$C:$C, MATCH(B1752, 'nav master'!$B:$B, 0)), "")</f>
        <v/>
      </c>
      <c r="E1752" s="8">
        <v>63.542000000000002</v>
      </c>
      <c r="F1752" s="9">
        <v>45924</v>
      </c>
    </row>
    <row r="1753" spans="1:6" ht="30" x14ac:dyDescent="0.25">
      <c r="A1753" s="8" t="s">
        <v>63</v>
      </c>
      <c r="B1753" s="8" t="s">
        <v>5798</v>
      </c>
      <c r="C1753" s="8" t="str">
        <f>IFERROR(_xlfn.XLOOKUP(TRIM(B1753),Lookup!$B$2:$B$1000,Lookup!$C$2:$C$1000),"")</f>
        <v/>
      </c>
      <c r="D1753" s="8" t="str">
        <f>IFERROR(INDEX('nav master'!$C:$C, MATCH(B1753, 'nav master'!$B:$B, 0)), "")</f>
        <v/>
      </c>
      <c r="E1753" s="8">
        <v>63.057400000000001</v>
      </c>
      <c r="F1753" s="9">
        <v>45925</v>
      </c>
    </row>
    <row r="1754" spans="1:6" ht="30" x14ac:dyDescent="0.25">
      <c r="A1754" s="8" t="s">
        <v>63</v>
      </c>
      <c r="B1754" s="8" t="s">
        <v>5798</v>
      </c>
      <c r="C1754" s="8" t="str">
        <f>IFERROR(_xlfn.XLOOKUP(TRIM(B1754),Lookup!$B$2:$B$1000,Lookup!$C$2:$C$1000),"")</f>
        <v/>
      </c>
      <c r="D1754" s="8" t="str">
        <f>IFERROR(INDEX('nav master'!$C:$C, MATCH(B1754, 'nav master'!$B:$B, 0)), "")</f>
        <v/>
      </c>
      <c r="E1754" s="8">
        <v>62.1355</v>
      </c>
      <c r="F1754" s="9">
        <v>45926</v>
      </c>
    </row>
    <row r="1755" spans="1:6" ht="30" x14ac:dyDescent="0.25">
      <c r="A1755" s="8" t="s">
        <v>63</v>
      </c>
      <c r="B1755" s="8" t="s">
        <v>5798</v>
      </c>
      <c r="C1755" s="8" t="str">
        <f>IFERROR(_xlfn.XLOOKUP(TRIM(B1755),Lookup!$B$2:$B$1000,Lookup!$C$2:$C$1000),"")</f>
        <v/>
      </c>
      <c r="D1755" s="8" t="str">
        <f>IFERROR(INDEX('nav master'!$C:$C, MATCH(B1755, 'nav master'!$B:$B, 0)), "")</f>
        <v/>
      </c>
      <c r="E1755" s="8">
        <v>62.213200000000001</v>
      </c>
      <c r="F1755" s="9">
        <v>45929</v>
      </c>
    </row>
    <row r="1756" spans="1:6" ht="30" x14ac:dyDescent="0.25">
      <c r="A1756" s="8" t="s">
        <v>63</v>
      </c>
      <c r="B1756" s="8" t="s">
        <v>5798</v>
      </c>
      <c r="C1756" s="8" t="str">
        <f>IFERROR(_xlfn.XLOOKUP(TRIM(B1756),Lookup!$B$2:$B$1000,Lookup!$C$2:$C$1000),"")</f>
        <v/>
      </c>
      <c r="D1756" s="8" t="str">
        <f>IFERROR(INDEX('nav master'!$C:$C, MATCH(B1756, 'nav master'!$B:$B, 0)), "")</f>
        <v/>
      </c>
      <c r="E1756" s="8">
        <v>62.053699999999999</v>
      </c>
      <c r="F1756" s="9">
        <v>45930</v>
      </c>
    </row>
    <row r="1757" spans="1:6" ht="30" x14ac:dyDescent="0.25">
      <c r="A1757" s="8" t="s">
        <v>63</v>
      </c>
      <c r="B1757" s="8" t="s">
        <v>5798</v>
      </c>
      <c r="C1757" s="8" t="str">
        <f>IFERROR(_xlfn.XLOOKUP(TRIM(B1757),Lookup!$B$2:$B$1000,Lookup!$C$2:$C$1000),"")</f>
        <v/>
      </c>
      <c r="D1757" s="8" t="str">
        <f>IFERROR(INDEX('nav master'!$C:$C, MATCH(B1757, 'nav master'!$B:$B, 0)), "")</f>
        <v/>
      </c>
      <c r="E1757" s="8">
        <v>62.663400000000003</v>
      </c>
      <c r="F1757" s="9">
        <v>45931</v>
      </c>
    </row>
    <row r="1758" spans="1:6" ht="30" x14ac:dyDescent="0.25">
      <c r="A1758" s="8" t="s">
        <v>63</v>
      </c>
      <c r="B1758" s="8" t="s">
        <v>5798</v>
      </c>
      <c r="C1758" s="8" t="str">
        <f>IFERROR(_xlfn.XLOOKUP(TRIM(B1758),Lookup!$B$2:$B$1000,Lookup!$C$2:$C$1000),"")</f>
        <v/>
      </c>
      <c r="D1758" s="8" t="str">
        <f>IFERROR(INDEX('nav master'!$C:$C, MATCH(B1758, 'nav master'!$B:$B, 0)), "")</f>
        <v/>
      </c>
      <c r="E1758" s="8">
        <v>63.0428</v>
      </c>
      <c r="F1758" s="9">
        <v>45933</v>
      </c>
    </row>
    <row r="1759" spans="1:6" ht="30" x14ac:dyDescent="0.25">
      <c r="A1759" s="8" t="s">
        <v>63</v>
      </c>
      <c r="B1759" s="8" t="s">
        <v>5798</v>
      </c>
      <c r="C1759" s="8" t="str">
        <f>IFERROR(_xlfn.XLOOKUP(TRIM(B1759),Lookup!$B$2:$B$1000,Lookup!$C$2:$C$1000),"")</f>
        <v/>
      </c>
      <c r="D1759" s="8" t="str">
        <f>IFERROR(INDEX('nav master'!$C:$C, MATCH(B1759, 'nav master'!$B:$B, 0)), "")</f>
        <v/>
      </c>
      <c r="E1759" s="8">
        <v>63.504600000000003</v>
      </c>
      <c r="F1759" s="9">
        <v>45936</v>
      </c>
    </row>
    <row r="1760" spans="1:6" ht="30" x14ac:dyDescent="0.25">
      <c r="A1760" s="8" t="s">
        <v>63</v>
      </c>
      <c r="B1760" s="8" t="s">
        <v>5798</v>
      </c>
      <c r="C1760" s="8" t="str">
        <f>IFERROR(_xlfn.XLOOKUP(TRIM(B1760),Lookup!$B$2:$B$1000,Lookup!$C$2:$C$1000),"")</f>
        <v/>
      </c>
      <c r="D1760" s="8" t="str">
        <f>IFERROR(INDEX('nav master'!$C:$C, MATCH(B1760, 'nav master'!$B:$B, 0)), "")</f>
        <v/>
      </c>
      <c r="E1760" s="8">
        <v>63.811799999999998</v>
      </c>
      <c r="F1760" s="9">
        <v>45937</v>
      </c>
    </row>
    <row r="1761" spans="1:6" ht="30" x14ac:dyDescent="0.25">
      <c r="A1761" s="8" t="s">
        <v>63</v>
      </c>
      <c r="B1761" s="8" t="s">
        <v>5798</v>
      </c>
      <c r="C1761" s="8" t="str">
        <f>IFERROR(_xlfn.XLOOKUP(TRIM(B1761),Lookup!$B$2:$B$1000,Lookup!$C$2:$C$1000),"")</f>
        <v/>
      </c>
      <c r="D1761" s="8" t="str">
        <f>IFERROR(INDEX('nav master'!$C:$C, MATCH(B1761, 'nav master'!$B:$B, 0)), "")</f>
        <v/>
      </c>
      <c r="E1761" s="8">
        <v>63.587200000000003</v>
      </c>
      <c r="F1761" s="9">
        <v>45938</v>
      </c>
    </row>
    <row r="1762" spans="1:6" ht="30" x14ac:dyDescent="0.25">
      <c r="A1762" s="8" t="s">
        <v>63</v>
      </c>
      <c r="B1762" s="8" t="s">
        <v>5798</v>
      </c>
      <c r="C1762" s="8" t="str">
        <f>IFERROR(_xlfn.XLOOKUP(TRIM(B1762),Lookup!$B$2:$B$1000,Lookup!$C$2:$C$1000),"")</f>
        <v/>
      </c>
      <c r="D1762" s="8" t="str">
        <f>IFERROR(INDEX('nav master'!$C:$C, MATCH(B1762, 'nav master'!$B:$B, 0)), "")</f>
        <v/>
      </c>
      <c r="E1762" s="8">
        <v>64.263099999999994</v>
      </c>
      <c r="F1762" s="9">
        <v>45939</v>
      </c>
    </row>
    <row r="1763" spans="1:6" ht="30" x14ac:dyDescent="0.25">
      <c r="A1763" s="8" t="s">
        <v>63</v>
      </c>
      <c r="B1763" s="8" t="s">
        <v>5798</v>
      </c>
      <c r="C1763" s="8" t="str">
        <f>IFERROR(_xlfn.XLOOKUP(TRIM(B1763),Lookup!$B$2:$B$1000,Lookup!$C$2:$C$1000),"")</f>
        <v/>
      </c>
      <c r="D1763" s="8" t="str">
        <f>IFERROR(INDEX('nav master'!$C:$C, MATCH(B1763, 'nav master'!$B:$B, 0)), "")</f>
        <v/>
      </c>
      <c r="E1763" s="8">
        <v>64.665000000000006</v>
      </c>
      <c r="F1763" s="9">
        <v>45940</v>
      </c>
    </row>
    <row r="1764" spans="1:6" ht="30" x14ac:dyDescent="0.25">
      <c r="A1764" s="8" t="s">
        <v>63</v>
      </c>
      <c r="B1764" s="8" t="s">
        <v>5798</v>
      </c>
      <c r="C1764" s="8" t="str">
        <f>IFERROR(_xlfn.XLOOKUP(TRIM(B1764),Lookup!$B$2:$B$1000,Lookup!$C$2:$C$1000),"")</f>
        <v/>
      </c>
      <c r="D1764" s="8" t="str">
        <f>IFERROR(INDEX('nav master'!$C:$C, MATCH(B1764, 'nav master'!$B:$B, 0)), "")</f>
        <v/>
      </c>
      <c r="E1764" s="8">
        <v>64.645600000000002</v>
      </c>
      <c r="F1764" s="9">
        <v>45943</v>
      </c>
    </row>
    <row r="1765" spans="1:6" ht="30" x14ac:dyDescent="0.25">
      <c r="A1765" s="8" t="s">
        <v>63</v>
      </c>
      <c r="B1765" s="8" t="s">
        <v>5798</v>
      </c>
      <c r="C1765" s="8" t="str">
        <f>IFERROR(_xlfn.XLOOKUP(TRIM(B1765),Lookup!$B$2:$B$1000,Lookup!$C$2:$C$1000),"")</f>
        <v/>
      </c>
      <c r="D1765" s="8" t="str">
        <f>IFERROR(INDEX('nav master'!$C:$C, MATCH(B1765, 'nav master'!$B:$B, 0)), "")</f>
        <v/>
      </c>
      <c r="E1765" s="8">
        <v>64.578800000000001</v>
      </c>
      <c r="F1765" s="9">
        <v>45944</v>
      </c>
    </row>
    <row r="1766" spans="1:6" ht="30" x14ac:dyDescent="0.25">
      <c r="A1766" s="8" t="s">
        <v>63</v>
      </c>
      <c r="B1766" s="8" t="s">
        <v>5798</v>
      </c>
      <c r="C1766" s="8" t="str">
        <f>IFERROR(_xlfn.XLOOKUP(TRIM(B1766),Lookup!$B$2:$B$1000,Lookup!$C$2:$C$1000),"")</f>
        <v/>
      </c>
      <c r="D1766" s="8" t="str">
        <f>IFERROR(INDEX('nav master'!$C:$C, MATCH(B1766, 'nav master'!$B:$B, 0)), "")</f>
        <v/>
      </c>
      <c r="E1766" s="8">
        <v>64.991399999999999</v>
      </c>
      <c r="F1766" s="9">
        <v>45945</v>
      </c>
    </row>
    <row r="1767" spans="1:6" ht="30" x14ac:dyDescent="0.25">
      <c r="A1767" s="8" t="s">
        <v>63</v>
      </c>
      <c r="B1767" s="8" t="s">
        <v>5798</v>
      </c>
      <c r="C1767" s="8" t="str">
        <f>IFERROR(_xlfn.XLOOKUP(TRIM(B1767),Lookup!$B$2:$B$1000,Lookup!$C$2:$C$1000),"")</f>
        <v/>
      </c>
      <c r="D1767" s="8" t="str">
        <f>IFERROR(INDEX('nav master'!$C:$C, MATCH(B1767, 'nav master'!$B:$B, 0)), "")</f>
        <v/>
      </c>
      <c r="E1767" s="8">
        <v>65.56</v>
      </c>
      <c r="F1767" s="9">
        <v>45946</v>
      </c>
    </row>
    <row r="1768" spans="1:6" ht="30" x14ac:dyDescent="0.25">
      <c r="A1768" s="8" t="s">
        <v>63</v>
      </c>
      <c r="B1768" s="8" t="s">
        <v>5798</v>
      </c>
      <c r="C1768" s="8" t="str">
        <f>IFERROR(_xlfn.XLOOKUP(TRIM(B1768),Lookup!$B$2:$B$1000,Lookup!$C$2:$C$1000),"")</f>
        <v/>
      </c>
      <c r="D1768" s="8" t="str">
        <f>IFERROR(INDEX('nav master'!$C:$C, MATCH(B1768, 'nav master'!$B:$B, 0)), "")</f>
        <v/>
      </c>
      <c r="E1768" s="8">
        <v>65.593299999999999</v>
      </c>
      <c r="F1768" s="9">
        <v>45947</v>
      </c>
    </row>
    <row r="1769" spans="1:6" ht="30" x14ac:dyDescent="0.25">
      <c r="A1769" s="8" t="s">
        <v>63</v>
      </c>
      <c r="B1769" s="8" t="s">
        <v>5798</v>
      </c>
      <c r="C1769" s="8" t="str">
        <f>IFERROR(_xlfn.XLOOKUP(TRIM(B1769),Lookup!$B$2:$B$1000,Lookup!$C$2:$C$1000),"")</f>
        <v/>
      </c>
      <c r="D1769" s="8" t="str">
        <f>IFERROR(INDEX('nav master'!$C:$C, MATCH(B1769, 'nav master'!$B:$B, 0)), "")</f>
        <v/>
      </c>
      <c r="E1769" s="8">
        <v>65.629499999999993</v>
      </c>
      <c r="F1769" s="9">
        <v>45950</v>
      </c>
    </row>
    <row r="1770" spans="1:6" ht="30" x14ac:dyDescent="0.25">
      <c r="A1770" s="8" t="s">
        <v>63</v>
      </c>
      <c r="B1770" s="8" t="s">
        <v>5798</v>
      </c>
      <c r="C1770" s="8" t="str">
        <f>IFERROR(_xlfn.XLOOKUP(TRIM(B1770),Lookup!$B$2:$B$1000,Lookup!$C$2:$C$1000),"")</f>
        <v/>
      </c>
      <c r="D1770" s="8" t="str">
        <f>IFERROR(INDEX('nav master'!$C:$C, MATCH(B1770, 'nav master'!$B:$B, 0)), "")</f>
        <v/>
      </c>
      <c r="E1770" s="8">
        <v>65.640199999999993</v>
      </c>
      <c r="F1770" s="9">
        <v>45953</v>
      </c>
    </row>
    <row r="1771" spans="1:6" ht="30" x14ac:dyDescent="0.25">
      <c r="A1771" s="8" t="s">
        <v>63</v>
      </c>
      <c r="B1771" s="8" t="s">
        <v>5798</v>
      </c>
      <c r="C1771" s="8" t="str">
        <f>IFERROR(_xlfn.XLOOKUP(TRIM(B1771),Lookup!$B$2:$B$1000,Lookup!$C$2:$C$1000),"")</f>
        <v/>
      </c>
      <c r="D1771" s="8" t="str">
        <f>IFERROR(INDEX('nav master'!$C:$C, MATCH(B1771, 'nav master'!$B:$B, 0)), "")</f>
        <v/>
      </c>
      <c r="E1771" s="8">
        <v>65.293099999999995</v>
      </c>
      <c r="F1771" s="9">
        <v>45954</v>
      </c>
    </row>
    <row r="1772" spans="1:6" ht="30" x14ac:dyDescent="0.25">
      <c r="A1772" s="8" t="s">
        <v>63</v>
      </c>
      <c r="B1772" s="8" t="s">
        <v>5798</v>
      </c>
      <c r="C1772" s="8" t="str">
        <f>IFERROR(_xlfn.XLOOKUP(TRIM(B1772),Lookup!$B$2:$B$1000,Lookup!$C$2:$C$1000),"")</f>
        <v/>
      </c>
      <c r="D1772" s="8" t="str">
        <f>IFERROR(INDEX('nav master'!$C:$C, MATCH(B1772, 'nav master'!$B:$B, 0)), "")</f>
        <v/>
      </c>
      <c r="E1772" s="8">
        <v>65.683199999999999</v>
      </c>
      <c r="F1772" s="9">
        <v>45957</v>
      </c>
    </row>
    <row r="1773" spans="1:6" ht="30" x14ac:dyDescent="0.25">
      <c r="A1773" s="8" t="s">
        <v>63</v>
      </c>
      <c r="B1773" s="8" t="s">
        <v>5798</v>
      </c>
      <c r="C1773" s="8" t="str">
        <f>IFERROR(_xlfn.XLOOKUP(TRIM(B1773),Lookup!$B$2:$B$1000,Lookup!$C$2:$C$1000),"")</f>
        <v/>
      </c>
      <c r="D1773" s="8" t="str">
        <f>IFERROR(INDEX('nav master'!$C:$C, MATCH(B1773, 'nav master'!$B:$B, 0)), "")</f>
        <v/>
      </c>
      <c r="E1773" s="8">
        <v>65.412499999999994</v>
      </c>
      <c r="F1773" s="9">
        <v>45958</v>
      </c>
    </row>
    <row r="1774" spans="1:6" ht="30" x14ac:dyDescent="0.25">
      <c r="A1774" s="8" t="s">
        <v>63</v>
      </c>
      <c r="B1774" s="8" t="s">
        <v>5798</v>
      </c>
      <c r="C1774" s="8" t="str">
        <f>IFERROR(_xlfn.XLOOKUP(TRIM(B1774),Lookup!$B$2:$B$1000,Lookup!$C$2:$C$1000),"")</f>
        <v/>
      </c>
      <c r="D1774" s="8" t="str">
        <f>IFERROR(INDEX('nav master'!$C:$C, MATCH(B1774, 'nav master'!$B:$B, 0)), "")</f>
        <v/>
      </c>
      <c r="E1774" s="8">
        <v>65.793899999999994</v>
      </c>
      <c r="F1774" s="9">
        <v>45959</v>
      </c>
    </row>
    <row r="1775" spans="1:6" ht="30" x14ac:dyDescent="0.25">
      <c r="A1775" s="8" t="s">
        <v>63</v>
      </c>
      <c r="B1775" s="8" t="s">
        <v>5798</v>
      </c>
      <c r="C1775" s="8" t="str">
        <f>IFERROR(_xlfn.XLOOKUP(TRIM(B1775),Lookup!$B$2:$B$1000,Lookup!$C$2:$C$1000),"")</f>
        <v/>
      </c>
      <c r="D1775" s="8" t="str">
        <f>IFERROR(INDEX('nav master'!$C:$C, MATCH(B1775, 'nav master'!$B:$B, 0)), "")</f>
        <v/>
      </c>
      <c r="E1775" s="8">
        <v>65.410499999999999</v>
      </c>
      <c r="F1775" s="9">
        <v>45960</v>
      </c>
    </row>
    <row r="1776" spans="1:6" ht="30" x14ac:dyDescent="0.25">
      <c r="A1776" s="8" t="s">
        <v>63</v>
      </c>
      <c r="B1776" s="8" t="s">
        <v>5798</v>
      </c>
      <c r="C1776" s="8" t="str">
        <f>IFERROR(_xlfn.XLOOKUP(TRIM(B1776),Lookup!$B$2:$B$1000,Lookup!$C$2:$C$1000),"")</f>
        <v/>
      </c>
      <c r="D1776" s="8" t="str">
        <f>IFERROR(INDEX('nav master'!$C:$C, MATCH(B1776, 'nav master'!$B:$B, 0)), "")</f>
        <v/>
      </c>
      <c r="E1776" s="8">
        <v>64.775899999999993</v>
      </c>
      <c r="F1776" s="9">
        <v>45961</v>
      </c>
    </row>
    <row r="1777" spans="1:6" ht="30" x14ac:dyDescent="0.25">
      <c r="A1777" s="8" t="s">
        <v>63</v>
      </c>
      <c r="B1777" s="8" t="s">
        <v>5798</v>
      </c>
      <c r="C1777" s="8" t="str">
        <f>IFERROR(_xlfn.XLOOKUP(TRIM(B1777),Lookup!$B$2:$B$1000,Lookup!$C$2:$C$1000),"")</f>
        <v/>
      </c>
      <c r="D1777" s="8" t="str">
        <f>IFERROR(INDEX('nav master'!$C:$C, MATCH(B1777, 'nav master'!$B:$B, 0)), "")</f>
        <v/>
      </c>
      <c r="E1777" s="8">
        <v>65.187399999999997</v>
      </c>
      <c r="F1777" s="9">
        <v>45964</v>
      </c>
    </row>
    <row r="1778" spans="1:6" ht="30" x14ac:dyDescent="0.25">
      <c r="A1778" s="8" t="s">
        <v>63</v>
      </c>
      <c r="B1778" s="8" t="s">
        <v>5798</v>
      </c>
      <c r="C1778" s="8" t="str">
        <f>IFERROR(_xlfn.XLOOKUP(TRIM(B1778),Lookup!$B$2:$B$1000,Lookup!$C$2:$C$1000),"")</f>
        <v/>
      </c>
      <c r="D1778" s="8" t="str">
        <f>IFERROR(INDEX('nav master'!$C:$C, MATCH(B1778, 'nav master'!$B:$B, 0)), "")</f>
        <v/>
      </c>
      <c r="E1778" s="8">
        <v>64.804299999999998</v>
      </c>
      <c r="F1778" s="9">
        <v>45965</v>
      </c>
    </row>
    <row r="1779" spans="1:6" ht="30" x14ac:dyDescent="0.25">
      <c r="A1779" s="8" t="s">
        <v>63</v>
      </c>
      <c r="B1779" s="8" t="s">
        <v>5798</v>
      </c>
      <c r="C1779" s="8" t="str">
        <f>IFERROR(_xlfn.XLOOKUP(TRIM(B1779),Lookup!$B$2:$B$1000,Lookup!$C$2:$C$1000),"")</f>
        <v/>
      </c>
      <c r="D1779" s="8" t="str">
        <f>IFERROR(INDEX('nav master'!$C:$C, MATCH(B1779, 'nav master'!$B:$B, 0)), "")</f>
        <v/>
      </c>
      <c r="E1779" s="8">
        <v>64.4161</v>
      </c>
      <c r="F1779" s="9">
        <v>45967</v>
      </c>
    </row>
    <row r="1780" spans="1:6" ht="30" x14ac:dyDescent="0.25">
      <c r="A1780" s="8" t="s">
        <v>63</v>
      </c>
      <c r="B1780" s="8" t="s">
        <v>5798</v>
      </c>
      <c r="C1780" s="8" t="str">
        <f>IFERROR(_xlfn.XLOOKUP(TRIM(B1780),Lookup!$B$2:$B$1000,Lookup!$C$2:$C$1000),"")</f>
        <v/>
      </c>
      <c r="D1780" s="8" t="str">
        <f>IFERROR(INDEX('nav master'!$C:$C, MATCH(B1780, 'nav master'!$B:$B, 0)), "")</f>
        <v/>
      </c>
      <c r="E1780" s="8">
        <v>64.591499999999996</v>
      </c>
      <c r="F1780" s="9">
        <v>45968</v>
      </c>
    </row>
    <row r="1781" spans="1:6" ht="30" x14ac:dyDescent="0.25">
      <c r="A1781" s="8" t="s">
        <v>63</v>
      </c>
      <c r="B1781" s="8" t="s">
        <v>5798</v>
      </c>
      <c r="C1781" s="8" t="str">
        <f>IFERROR(_xlfn.XLOOKUP(TRIM(B1781),Lookup!$B$2:$B$1000,Lookup!$C$2:$C$1000),"")</f>
        <v/>
      </c>
      <c r="D1781" s="8" t="str">
        <f>IFERROR(INDEX('nav master'!$C:$C, MATCH(B1781, 'nav master'!$B:$B, 0)), "")</f>
        <v/>
      </c>
      <c r="E1781" s="8">
        <v>64.715100000000007</v>
      </c>
      <c r="F1781" s="9">
        <v>45971</v>
      </c>
    </row>
    <row r="1782" spans="1:6" ht="30" x14ac:dyDescent="0.25">
      <c r="A1782" s="8" t="s">
        <v>63</v>
      </c>
      <c r="B1782" s="8" t="s">
        <v>5798</v>
      </c>
      <c r="C1782" s="8" t="str">
        <f>IFERROR(_xlfn.XLOOKUP(TRIM(B1782),Lookup!$B$2:$B$1000,Lookup!$C$2:$C$1000),"")</f>
        <v/>
      </c>
      <c r="D1782" s="8" t="str">
        <f>IFERROR(INDEX('nav master'!$C:$C, MATCH(B1782, 'nav master'!$B:$B, 0)), "")</f>
        <v/>
      </c>
      <c r="E1782" s="8">
        <v>65.069199999999995</v>
      </c>
      <c r="F1782" s="9">
        <v>45972</v>
      </c>
    </row>
    <row r="1783" spans="1:6" ht="30" x14ac:dyDescent="0.25">
      <c r="A1783" s="8" t="s">
        <v>63</v>
      </c>
      <c r="B1783" s="8" t="s">
        <v>5798</v>
      </c>
      <c r="C1783" s="8" t="str">
        <f>IFERROR(_xlfn.XLOOKUP(TRIM(B1783),Lookup!$B$2:$B$1000,Lookup!$C$2:$C$1000),"")</f>
        <v/>
      </c>
      <c r="D1783" s="8" t="str">
        <f>IFERROR(INDEX('nav master'!$C:$C, MATCH(B1783, 'nav master'!$B:$B, 0)), "")</f>
        <v/>
      </c>
      <c r="E1783" s="8">
        <v>65.450299999999999</v>
      </c>
      <c r="F1783" s="9">
        <v>45973</v>
      </c>
    </row>
    <row r="1784" spans="1:6" ht="30" x14ac:dyDescent="0.25">
      <c r="A1784" s="8" t="s">
        <v>63</v>
      </c>
      <c r="B1784" s="8" t="s">
        <v>5798</v>
      </c>
      <c r="C1784" s="8" t="str">
        <f>IFERROR(_xlfn.XLOOKUP(TRIM(B1784),Lookup!$B$2:$B$1000,Lookup!$C$2:$C$1000),"")</f>
        <v/>
      </c>
      <c r="D1784" s="8" t="str">
        <f>IFERROR(INDEX('nav master'!$C:$C, MATCH(B1784, 'nav master'!$B:$B, 0)), "")</f>
        <v/>
      </c>
      <c r="E1784" s="8">
        <v>65.347099999999998</v>
      </c>
      <c r="F1784" s="9">
        <v>45974</v>
      </c>
    </row>
    <row r="1785" spans="1:6" ht="30" x14ac:dyDescent="0.25">
      <c r="A1785" s="8" t="s">
        <v>63</v>
      </c>
      <c r="B1785" s="8" t="s">
        <v>5798</v>
      </c>
      <c r="C1785" s="8" t="str">
        <f>IFERROR(_xlfn.XLOOKUP(TRIM(B1785),Lookup!$B$2:$B$1000,Lookup!$C$2:$C$1000),"")</f>
        <v/>
      </c>
      <c r="D1785" s="8" t="str">
        <f>IFERROR(INDEX('nav master'!$C:$C, MATCH(B1785, 'nav master'!$B:$B, 0)), "")</f>
        <v/>
      </c>
      <c r="E1785" s="8">
        <v>65.361199999999997</v>
      </c>
      <c r="F1785" s="9">
        <v>45975</v>
      </c>
    </row>
    <row r="1786" spans="1:6" ht="30" x14ac:dyDescent="0.25">
      <c r="A1786" s="8" t="s">
        <v>63</v>
      </c>
      <c r="B1786" s="8" t="s">
        <v>5798</v>
      </c>
      <c r="C1786" s="8" t="str">
        <f>IFERROR(_xlfn.XLOOKUP(TRIM(B1786),Lookup!$B$2:$B$1000,Lookup!$C$2:$C$1000),"")</f>
        <v/>
      </c>
      <c r="D1786" s="8" t="str">
        <f>IFERROR(INDEX('nav master'!$C:$C, MATCH(B1786, 'nav master'!$B:$B, 0)), "")</f>
        <v/>
      </c>
      <c r="E1786" s="8">
        <v>65.741200000000006</v>
      </c>
      <c r="F1786" s="9">
        <v>45978</v>
      </c>
    </row>
    <row r="1787" spans="1:6" ht="30" x14ac:dyDescent="0.25">
      <c r="A1787" s="8" t="s">
        <v>63</v>
      </c>
      <c r="B1787" s="8" t="s">
        <v>5798</v>
      </c>
      <c r="C1787" s="8" t="str">
        <f>IFERROR(_xlfn.XLOOKUP(TRIM(B1787),Lookup!$B$2:$B$1000,Lookup!$C$2:$C$1000),"")</f>
        <v/>
      </c>
      <c r="D1787" s="8" t="str">
        <f>IFERROR(INDEX('nav master'!$C:$C, MATCH(B1787, 'nav master'!$B:$B, 0)), "")</f>
        <v/>
      </c>
      <c r="E1787" s="8">
        <v>65.313299999999998</v>
      </c>
      <c r="F1787" s="9">
        <v>45979</v>
      </c>
    </row>
    <row r="1788" spans="1:6" ht="30" x14ac:dyDescent="0.25">
      <c r="A1788" s="8" t="s">
        <v>63</v>
      </c>
      <c r="B1788" s="8" t="s">
        <v>5798</v>
      </c>
      <c r="C1788" s="8" t="str">
        <f>IFERROR(_xlfn.XLOOKUP(TRIM(B1788),Lookup!$B$2:$B$1000,Lookup!$C$2:$C$1000),"")</f>
        <v/>
      </c>
      <c r="D1788" s="8" t="str">
        <f>IFERROR(INDEX('nav master'!$C:$C, MATCH(B1788, 'nav master'!$B:$B, 0)), "")</f>
        <v/>
      </c>
      <c r="E1788" s="8">
        <v>65.596299999999999</v>
      </c>
      <c r="F1788" s="9">
        <v>45980</v>
      </c>
    </row>
    <row r="1789" spans="1:6" ht="30" x14ac:dyDescent="0.25">
      <c r="A1789" s="8" t="s">
        <v>63</v>
      </c>
      <c r="B1789" s="8" t="s">
        <v>5798</v>
      </c>
      <c r="C1789" s="8" t="str">
        <f>IFERROR(_xlfn.XLOOKUP(TRIM(B1789),Lookup!$B$2:$B$1000,Lookup!$C$2:$C$1000),"")</f>
        <v/>
      </c>
      <c r="D1789" s="8" t="str">
        <f>IFERROR(INDEX('nav master'!$C:$C, MATCH(B1789, 'nav master'!$B:$B, 0)), "")</f>
        <v/>
      </c>
      <c r="E1789" s="8">
        <v>65.717600000000004</v>
      </c>
      <c r="F1789" s="9">
        <v>45981</v>
      </c>
    </row>
    <row r="1790" spans="1:6" ht="30" x14ac:dyDescent="0.25">
      <c r="A1790" s="8" t="s">
        <v>63</v>
      </c>
      <c r="B1790" s="8" t="s">
        <v>5798</v>
      </c>
      <c r="C1790" s="8" t="str">
        <f>IFERROR(_xlfn.XLOOKUP(TRIM(B1790),Lookup!$B$2:$B$1000,Lookup!$C$2:$C$1000),"")</f>
        <v/>
      </c>
      <c r="D1790" s="8" t="str">
        <f>IFERROR(INDEX('nav master'!$C:$C, MATCH(B1790, 'nav master'!$B:$B, 0)), "")</f>
        <v/>
      </c>
      <c r="E1790" s="8">
        <v>65.130099999999999</v>
      </c>
      <c r="F1790" s="9">
        <v>45982</v>
      </c>
    </row>
    <row r="1791" spans="1:6" ht="30" x14ac:dyDescent="0.25">
      <c r="A1791" s="8" t="s">
        <v>63</v>
      </c>
      <c r="B1791" s="8" t="s">
        <v>5798</v>
      </c>
      <c r="C1791" s="8" t="str">
        <f>IFERROR(_xlfn.XLOOKUP(TRIM(B1791),Lookup!$B$2:$B$1000,Lookup!$C$2:$C$1000),"")</f>
        <v/>
      </c>
      <c r="D1791" s="8" t="str">
        <f>IFERROR(INDEX('nav master'!$C:$C, MATCH(B1791, 'nav master'!$B:$B, 0)), "")</f>
        <v/>
      </c>
      <c r="E1791" s="8">
        <v>64.909400000000005</v>
      </c>
      <c r="F1791" s="9">
        <v>45985</v>
      </c>
    </row>
    <row r="1792" spans="1:6" ht="30" x14ac:dyDescent="0.25">
      <c r="A1792" s="8" t="s">
        <v>63</v>
      </c>
      <c r="B1792" s="8" t="s">
        <v>5798</v>
      </c>
      <c r="C1792" s="8" t="str">
        <f>IFERROR(_xlfn.XLOOKUP(TRIM(B1792),Lookup!$B$2:$B$1000,Lookup!$C$2:$C$1000),"")</f>
        <v/>
      </c>
      <c r="D1792" s="8" t="str">
        <f>IFERROR(INDEX('nav master'!$C:$C, MATCH(B1792, 'nav master'!$B:$B, 0)), "")</f>
        <v/>
      </c>
      <c r="E1792" s="8">
        <v>64.863799999999998</v>
      </c>
      <c r="F1792" s="9">
        <v>45986</v>
      </c>
    </row>
    <row r="1793" spans="1:6" ht="30" x14ac:dyDescent="0.25">
      <c r="A1793" s="8" t="s">
        <v>63</v>
      </c>
      <c r="B1793" s="8" t="s">
        <v>5798</v>
      </c>
      <c r="C1793" s="8" t="str">
        <f>IFERROR(_xlfn.XLOOKUP(TRIM(B1793),Lookup!$B$2:$B$1000,Lookup!$C$2:$C$1000),"")</f>
        <v/>
      </c>
      <c r="D1793" s="8" t="str">
        <f>IFERROR(INDEX('nav master'!$C:$C, MATCH(B1793, 'nav master'!$B:$B, 0)), "")</f>
        <v/>
      </c>
      <c r="E1793" s="8">
        <v>65.854500000000002</v>
      </c>
      <c r="F1793" s="9">
        <v>45987</v>
      </c>
    </row>
    <row r="1794" spans="1:6" ht="30" x14ac:dyDescent="0.25">
      <c r="A1794" s="8" t="s">
        <v>63</v>
      </c>
      <c r="B1794" s="8" t="s">
        <v>5798</v>
      </c>
      <c r="C1794" s="8" t="str">
        <f>IFERROR(_xlfn.XLOOKUP(TRIM(B1794),Lookup!$B$2:$B$1000,Lookup!$C$2:$C$1000),"")</f>
        <v/>
      </c>
      <c r="D1794" s="8" t="str">
        <f>IFERROR(INDEX('nav master'!$C:$C, MATCH(B1794, 'nav master'!$B:$B, 0)), "")</f>
        <v/>
      </c>
      <c r="E1794" s="8">
        <v>65.956299999999999</v>
      </c>
      <c r="F1794" s="9">
        <v>45988</v>
      </c>
    </row>
    <row r="1795" spans="1:6" ht="30" x14ac:dyDescent="0.25">
      <c r="A1795" s="8" t="s">
        <v>63</v>
      </c>
      <c r="B1795" s="8" t="s">
        <v>5798</v>
      </c>
      <c r="C1795" s="8" t="str">
        <f>IFERROR(_xlfn.XLOOKUP(TRIM(B1795),Lookup!$B$2:$B$1000,Lookup!$C$2:$C$1000),"")</f>
        <v/>
      </c>
      <c r="D1795" s="8" t="str">
        <f>IFERROR(INDEX('nav master'!$C:$C, MATCH(B1795, 'nav master'!$B:$B, 0)), "")</f>
        <v/>
      </c>
      <c r="E1795" s="8">
        <v>65.760400000000004</v>
      </c>
      <c r="F1795" s="9">
        <v>45989</v>
      </c>
    </row>
    <row r="1796" spans="1:6" ht="30" x14ac:dyDescent="0.25">
      <c r="A1796" s="8" t="s">
        <v>63</v>
      </c>
      <c r="B1796" s="8" t="s">
        <v>5798</v>
      </c>
      <c r="C1796" s="8" t="str">
        <f>IFERROR(_xlfn.XLOOKUP(TRIM(B1796),Lookup!$B$2:$B$1000,Lookup!$C$2:$C$1000),"")</f>
        <v/>
      </c>
      <c r="D1796" s="8" t="str">
        <f>IFERROR(INDEX('nav master'!$C:$C, MATCH(B1796, 'nav master'!$B:$B, 0)), "")</f>
        <v/>
      </c>
      <c r="E1796" s="8">
        <v>65.726200000000006</v>
      </c>
      <c r="F1796" s="9">
        <v>45992</v>
      </c>
    </row>
    <row r="1797" spans="1:6" ht="30" x14ac:dyDescent="0.25">
      <c r="A1797" s="8" t="s">
        <v>63</v>
      </c>
      <c r="B1797" s="8" t="s">
        <v>5798</v>
      </c>
      <c r="C1797" s="8" t="str">
        <f>IFERROR(_xlfn.XLOOKUP(TRIM(B1797),Lookup!$B$2:$B$1000,Lookup!$C$2:$C$1000),"")</f>
        <v/>
      </c>
      <c r="D1797" s="8" t="str">
        <f>IFERROR(INDEX('nav master'!$C:$C, MATCH(B1797, 'nav master'!$B:$B, 0)), "")</f>
        <v/>
      </c>
      <c r="E1797" s="8">
        <v>65.473500000000001</v>
      </c>
      <c r="F1797" s="9">
        <v>45993</v>
      </c>
    </row>
    <row r="1798" spans="1:6" ht="30" x14ac:dyDescent="0.25">
      <c r="A1798" s="8" t="s">
        <v>63</v>
      </c>
      <c r="B1798" s="8" t="s">
        <v>5798</v>
      </c>
      <c r="C1798" s="8" t="str">
        <f>IFERROR(_xlfn.XLOOKUP(TRIM(B1798),Lookup!$B$2:$B$1000,Lookup!$C$2:$C$1000),"")</f>
        <v/>
      </c>
      <c r="D1798" s="8" t="str">
        <f>IFERROR(INDEX('nav master'!$C:$C, MATCH(B1798, 'nav master'!$B:$B, 0)), "")</f>
        <v/>
      </c>
      <c r="E1798" s="8">
        <v>65.153099999999995</v>
      </c>
      <c r="F1798" s="9">
        <v>45994</v>
      </c>
    </row>
    <row r="1799" spans="1:6" ht="30" x14ac:dyDescent="0.25">
      <c r="A1799" s="8" t="s">
        <v>63</v>
      </c>
      <c r="B1799" s="8" t="s">
        <v>5798</v>
      </c>
      <c r="C1799" s="8" t="str">
        <f>IFERROR(_xlfn.XLOOKUP(TRIM(B1799),Lookup!$B$2:$B$1000,Lookup!$C$2:$C$1000),"")</f>
        <v/>
      </c>
      <c r="D1799" s="8" t="str">
        <f>IFERROR(INDEX('nav master'!$C:$C, MATCH(B1799, 'nav master'!$B:$B, 0)), "")</f>
        <v/>
      </c>
      <c r="E1799" s="8">
        <v>65.215299999999999</v>
      </c>
      <c r="F1799" s="9">
        <v>45995</v>
      </c>
    </row>
    <row r="1800" spans="1:6" ht="30" x14ac:dyDescent="0.25">
      <c r="A1800" s="8" t="s">
        <v>63</v>
      </c>
      <c r="B1800" s="8" t="s">
        <v>5798</v>
      </c>
      <c r="C1800" s="8" t="str">
        <f>IFERROR(_xlfn.XLOOKUP(TRIM(B1800),Lookup!$B$2:$B$1000,Lookup!$C$2:$C$1000),"")</f>
        <v/>
      </c>
      <c r="D1800" s="8" t="str">
        <f>IFERROR(INDEX('nav master'!$C:$C, MATCH(B1800, 'nav master'!$B:$B, 0)), "")</f>
        <v/>
      </c>
      <c r="E1800" s="8">
        <v>65.438199999999995</v>
      </c>
      <c r="F1800" s="9">
        <v>45996</v>
      </c>
    </row>
    <row r="1801" spans="1:6" ht="30" x14ac:dyDescent="0.25">
      <c r="A1801" s="8" t="s">
        <v>63</v>
      </c>
      <c r="B1801" s="8" t="s">
        <v>5798</v>
      </c>
      <c r="C1801" s="8" t="str">
        <f>IFERROR(_xlfn.XLOOKUP(TRIM(B1801),Lookup!$B$2:$B$1000,Lookup!$C$2:$C$1000),"")</f>
        <v/>
      </c>
      <c r="D1801" s="8" t="str">
        <f>IFERROR(INDEX('nav master'!$C:$C, MATCH(B1801, 'nav master'!$B:$B, 0)), "")</f>
        <v/>
      </c>
      <c r="E1801" s="8">
        <v>64.509399999999999</v>
      </c>
      <c r="F1801" s="9">
        <v>45999</v>
      </c>
    </row>
    <row r="1802" spans="1:6" ht="30" x14ac:dyDescent="0.25">
      <c r="A1802" s="8" t="s">
        <v>63</v>
      </c>
      <c r="B1802" s="8" t="s">
        <v>5798</v>
      </c>
      <c r="C1802" s="8" t="str">
        <f>IFERROR(_xlfn.XLOOKUP(TRIM(B1802),Lookup!$B$2:$B$1000,Lookup!$C$2:$C$1000),"")</f>
        <v/>
      </c>
      <c r="D1802" s="8" t="str">
        <f>IFERROR(INDEX('nav master'!$C:$C, MATCH(B1802, 'nav master'!$B:$B, 0)), "")</f>
        <v/>
      </c>
      <c r="E1802" s="8">
        <v>64.7029</v>
      </c>
      <c r="F1802" s="9">
        <v>46000</v>
      </c>
    </row>
    <row r="1803" spans="1:6" ht="30" x14ac:dyDescent="0.25">
      <c r="A1803" s="8" t="s">
        <v>63</v>
      </c>
      <c r="B1803" s="8" t="s">
        <v>5798</v>
      </c>
      <c r="C1803" s="8" t="str">
        <f>IFERROR(_xlfn.XLOOKUP(TRIM(B1803),Lookup!$B$2:$B$1000,Lookup!$C$2:$C$1000),"")</f>
        <v/>
      </c>
      <c r="D1803" s="8" t="str">
        <f>IFERROR(INDEX('nav master'!$C:$C, MATCH(B1803, 'nav master'!$B:$B, 0)), "")</f>
        <v/>
      </c>
      <c r="E1803" s="8">
        <v>64.007400000000004</v>
      </c>
      <c r="F1803" s="9">
        <v>46001</v>
      </c>
    </row>
    <row r="1804" spans="1:6" ht="30" x14ac:dyDescent="0.25">
      <c r="A1804" s="8" t="s">
        <v>63</v>
      </c>
      <c r="B1804" s="8" t="s">
        <v>5798</v>
      </c>
      <c r="C1804" s="8" t="str">
        <f>IFERROR(_xlfn.XLOOKUP(TRIM(B1804),Lookup!$B$2:$B$1000,Lookup!$C$2:$C$1000),"")</f>
        <v/>
      </c>
      <c r="D1804" s="8" t="str">
        <f>IFERROR(INDEX('nav master'!$C:$C, MATCH(B1804, 'nav master'!$B:$B, 0)), "")</f>
        <v/>
      </c>
      <c r="E1804" s="8">
        <v>64.580500000000001</v>
      </c>
      <c r="F1804" s="9">
        <v>46002</v>
      </c>
    </row>
    <row r="1805" spans="1:6" ht="30" x14ac:dyDescent="0.25">
      <c r="A1805" s="8" t="s">
        <v>63</v>
      </c>
      <c r="B1805" s="8" t="s">
        <v>5798</v>
      </c>
      <c r="C1805" s="8" t="str">
        <f>IFERROR(_xlfn.XLOOKUP(TRIM(B1805),Lookup!$B$2:$B$1000,Lookup!$C$2:$C$1000),"")</f>
        <v/>
      </c>
      <c r="D1805" s="8" t="str">
        <f>IFERROR(INDEX('nav master'!$C:$C, MATCH(B1805, 'nav master'!$B:$B, 0)), "")</f>
        <v/>
      </c>
      <c r="E1805" s="8">
        <v>65.0642</v>
      </c>
      <c r="F1805" s="9">
        <v>46003</v>
      </c>
    </row>
    <row r="1806" spans="1:6" ht="30" x14ac:dyDescent="0.25">
      <c r="A1806" s="8" t="s">
        <v>63</v>
      </c>
      <c r="B1806" s="8" t="s">
        <v>5798</v>
      </c>
      <c r="C1806" s="8" t="str">
        <f>IFERROR(_xlfn.XLOOKUP(TRIM(B1806),Lookup!$B$2:$B$1000,Lookup!$C$2:$C$1000),"")</f>
        <v/>
      </c>
      <c r="D1806" s="8" t="str">
        <f>IFERROR(INDEX('nav master'!$C:$C, MATCH(B1806, 'nav master'!$B:$B, 0)), "")</f>
        <v/>
      </c>
      <c r="E1806" s="8">
        <v>65.012500000000003</v>
      </c>
      <c r="F1806" s="9">
        <v>46006</v>
      </c>
    </row>
    <row r="1807" spans="1:6" ht="30" x14ac:dyDescent="0.25">
      <c r="A1807" s="8" t="s">
        <v>63</v>
      </c>
      <c r="B1807" s="8" t="s">
        <v>5798</v>
      </c>
      <c r="C1807" s="8" t="str">
        <f>IFERROR(_xlfn.XLOOKUP(TRIM(B1807),Lookup!$B$2:$B$1000,Lookup!$C$2:$C$1000),"")</f>
        <v/>
      </c>
      <c r="D1807" s="8" t="str">
        <f>IFERROR(INDEX('nav master'!$C:$C, MATCH(B1807, 'nav master'!$B:$B, 0)), "")</f>
        <v/>
      </c>
      <c r="E1807" s="8">
        <v>64.662300000000002</v>
      </c>
      <c r="F1807" s="9">
        <v>46007</v>
      </c>
    </row>
    <row r="1808" spans="1:6" ht="30" x14ac:dyDescent="0.25">
      <c r="A1808" s="8" t="s">
        <v>63</v>
      </c>
      <c r="B1808" s="8" t="s">
        <v>5798</v>
      </c>
      <c r="C1808" s="8" t="str">
        <f>IFERROR(_xlfn.XLOOKUP(TRIM(B1808),Lookup!$B$2:$B$1000,Lookup!$C$2:$C$1000),"")</f>
        <v/>
      </c>
      <c r="D1808" s="8" t="str">
        <f>IFERROR(INDEX('nav master'!$C:$C, MATCH(B1808, 'nav master'!$B:$B, 0)), "")</f>
        <v/>
      </c>
      <c r="E1808" s="8">
        <v>64.365899999999996</v>
      </c>
      <c r="F1808" s="9">
        <v>46008</v>
      </c>
    </row>
    <row r="1809" spans="1:6" ht="30" x14ac:dyDescent="0.25">
      <c r="A1809" s="8" t="s">
        <v>63</v>
      </c>
      <c r="B1809" s="8" t="s">
        <v>5798</v>
      </c>
      <c r="C1809" s="8" t="str">
        <f>IFERROR(_xlfn.XLOOKUP(TRIM(B1809),Lookup!$B$2:$B$1000,Lookup!$C$2:$C$1000),"")</f>
        <v/>
      </c>
      <c r="D1809" s="8" t="str">
        <f>IFERROR(INDEX('nav master'!$C:$C, MATCH(B1809, 'nav master'!$B:$B, 0)), "")</f>
        <v/>
      </c>
      <c r="E1809" s="8">
        <v>64.545500000000004</v>
      </c>
      <c r="F1809" s="9">
        <v>46009</v>
      </c>
    </row>
    <row r="1810" spans="1:6" ht="30" x14ac:dyDescent="0.25">
      <c r="A1810" s="8" t="s">
        <v>63</v>
      </c>
      <c r="B1810" s="8" t="s">
        <v>5798</v>
      </c>
      <c r="C1810" s="8" t="str">
        <f>IFERROR(_xlfn.XLOOKUP(TRIM(B1810),Lookup!$B$2:$B$1000,Lookup!$C$2:$C$1000),"")</f>
        <v/>
      </c>
      <c r="D1810" s="8" t="str">
        <f>IFERROR(INDEX('nav master'!$C:$C, MATCH(B1810, 'nav master'!$B:$B, 0)), "")</f>
        <v/>
      </c>
      <c r="E1810" s="8">
        <v>65.152299999999997</v>
      </c>
      <c r="F1810" s="9">
        <v>46010</v>
      </c>
    </row>
    <row r="1811" spans="1:6" ht="30" x14ac:dyDescent="0.25">
      <c r="A1811" s="8" t="s">
        <v>63</v>
      </c>
      <c r="B1811" s="8" t="s">
        <v>5798</v>
      </c>
      <c r="C1811" s="8" t="str">
        <f>IFERROR(_xlfn.XLOOKUP(TRIM(B1811),Lookup!$B$2:$B$1000,Lookup!$C$2:$C$1000),"")</f>
        <v/>
      </c>
      <c r="D1811" s="8" t="str">
        <f>IFERROR(INDEX('nav master'!$C:$C, MATCH(B1811, 'nav master'!$B:$B, 0)), "")</f>
        <v/>
      </c>
      <c r="E1811" s="8">
        <v>65.756799999999998</v>
      </c>
      <c r="F1811" s="9">
        <v>46013</v>
      </c>
    </row>
    <row r="1812" spans="1:6" ht="30" x14ac:dyDescent="0.25">
      <c r="A1812" s="8" t="s">
        <v>63</v>
      </c>
      <c r="B1812" s="8" t="s">
        <v>5798</v>
      </c>
      <c r="C1812" s="8" t="str">
        <f>IFERROR(_xlfn.XLOOKUP(TRIM(B1812),Lookup!$B$2:$B$1000,Lookup!$C$2:$C$1000),"")</f>
        <v/>
      </c>
      <c r="D1812" s="8" t="str">
        <f>IFERROR(INDEX('nav master'!$C:$C, MATCH(B1812, 'nav master'!$B:$B, 0)), "")</f>
        <v/>
      </c>
      <c r="E1812" s="8">
        <v>65.821299999999994</v>
      </c>
      <c r="F1812" s="9">
        <v>46014</v>
      </c>
    </row>
    <row r="1813" spans="1:6" ht="30" x14ac:dyDescent="0.25">
      <c r="A1813" s="8" t="s">
        <v>63</v>
      </c>
      <c r="B1813" s="8" t="s">
        <v>5798</v>
      </c>
      <c r="C1813" s="8" t="str">
        <f>IFERROR(_xlfn.XLOOKUP(TRIM(B1813),Lookup!$B$2:$B$1000,Lookup!$C$2:$C$1000),"")</f>
        <v/>
      </c>
      <c r="D1813" s="8" t="str">
        <f>IFERROR(INDEX('nav master'!$C:$C, MATCH(B1813, 'nav master'!$B:$B, 0)), "")</f>
        <v/>
      </c>
      <c r="E1813" s="8">
        <v>65.664000000000001</v>
      </c>
      <c r="F1813" s="9">
        <v>46015</v>
      </c>
    </row>
    <row r="1814" spans="1:6" ht="30" x14ac:dyDescent="0.25">
      <c r="A1814" s="8" t="s">
        <v>63</v>
      </c>
      <c r="B1814" s="8" t="s">
        <v>5798</v>
      </c>
      <c r="C1814" s="8" t="str">
        <f>IFERROR(_xlfn.XLOOKUP(TRIM(B1814),Lookup!$B$2:$B$1000,Lookup!$C$2:$C$1000),"")</f>
        <v/>
      </c>
      <c r="D1814" s="8" t="str">
        <f>IFERROR(INDEX('nav master'!$C:$C, MATCH(B1814, 'nav master'!$B:$B, 0)), "")</f>
        <v/>
      </c>
      <c r="E1814" s="8">
        <v>65.415300000000002</v>
      </c>
      <c r="F1814" s="9">
        <v>46017</v>
      </c>
    </row>
    <row r="1815" spans="1:6" ht="30" x14ac:dyDescent="0.25">
      <c r="A1815" s="8" t="s">
        <v>63</v>
      </c>
      <c r="B1815" s="8" t="s">
        <v>5798</v>
      </c>
      <c r="C1815" s="8" t="str">
        <f>IFERROR(_xlfn.XLOOKUP(TRIM(B1815),Lookup!$B$2:$B$1000,Lookup!$C$2:$C$1000),"")</f>
        <v/>
      </c>
      <c r="D1815" s="8" t="str">
        <f>IFERROR(INDEX('nav master'!$C:$C, MATCH(B1815, 'nav master'!$B:$B, 0)), "")</f>
        <v/>
      </c>
      <c r="E1815" s="8">
        <v>65.108199999999997</v>
      </c>
      <c r="F1815" s="9">
        <v>46020</v>
      </c>
    </row>
    <row r="1816" spans="1:6" ht="30" x14ac:dyDescent="0.25">
      <c r="A1816" s="8" t="s">
        <v>63</v>
      </c>
      <c r="B1816" s="8" t="s">
        <v>5798</v>
      </c>
      <c r="C1816" s="8" t="str">
        <f>IFERROR(_xlfn.XLOOKUP(TRIM(B1816),Lookup!$B$2:$B$1000,Lookup!$C$2:$C$1000),"")</f>
        <v/>
      </c>
      <c r="D1816" s="8" t="str">
        <f>IFERROR(INDEX('nav master'!$C:$C, MATCH(B1816, 'nav master'!$B:$B, 0)), "")</f>
        <v/>
      </c>
      <c r="E1816" s="8">
        <v>64.923299999999998</v>
      </c>
      <c r="F1816" s="9">
        <v>46021</v>
      </c>
    </row>
    <row r="1817" spans="1:6" ht="30" x14ac:dyDescent="0.25">
      <c r="A1817" s="8" t="s">
        <v>63</v>
      </c>
      <c r="B1817" s="8" t="s">
        <v>5798</v>
      </c>
      <c r="C1817" s="8" t="str">
        <f>IFERROR(_xlfn.XLOOKUP(TRIM(B1817),Lookup!$B$2:$B$1000,Lookup!$C$2:$C$1000),"")</f>
        <v/>
      </c>
      <c r="D1817" s="8" t="str">
        <f>IFERROR(INDEX('nav master'!$C:$C, MATCH(B1817, 'nav master'!$B:$B, 0)), "")</f>
        <v/>
      </c>
      <c r="E1817" s="8">
        <v>65.512500000000003</v>
      </c>
      <c r="F1817" s="9">
        <v>46022</v>
      </c>
    </row>
    <row r="1818" spans="1:6" ht="30" x14ac:dyDescent="0.25">
      <c r="A1818" s="8" t="s">
        <v>63</v>
      </c>
      <c r="B1818" s="8" t="s">
        <v>5798</v>
      </c>
      <c r="C1818" s="8" t="str">
        <f>IFERROR(_xlfn.XLOOKUP(TRIM(B1818),Lookup!$B$2:$B$1000,Lookup!$C$2:$C$1000),"")</f>
        <v/>
      </c>
      <c r="D1818" s="8" t="str">
        <f>IFERROR(INDEX('nav master'!$C:$C, MATCH(B1818, 'nav master'!$B:$B, 0)), "")</f>
        <v/>
      </c>
      <c r="E1818" s="8">
        <v>65.8339</v>
      </c>
      <c r="F1818" s="9">
        <v>46023</v>
      </c>
    </row>
    <row r="1819" spans="1:6" ht="30" x14ac:dyDescent="0.25">
      <c r="A1819" s="8" t="s">
        <v>63</v>
      </c>
      <c r="B1819" s="8" t="s">
        <v>5798</v>
      </c>
      <c r="C1819" s="8" t="str">
        <f>IFERROR(_xlfn.XLOOKUP(TRIM(B1819),Lookup!$B$2:$B$1000,Lookup!$C$2:$C$1000),"")</f>
        <v/>
      </c>
      <c r="D1819" s="8" t="str">
        <f>IFERROR(INDEX('nav master'!$C:$C, MATCH(B1819, 'nav master'!$B:$B, 0)), "")</f>
        <v/>
      </c>
      <c r="E1819" s="8">
        <v>66.373999999999995</v>
      </c>
      <c r="F1819" s="9">
        <v>46024</v>
      </c>
    </row>
    <row r="1820" spans="1:6" ht="30" x14ac:dyDescent="0.25">
      <c r="A1820" s="8" t="s">
        <v>63</v>
      </c>
      <c r="B1820" s="8" t="s">
        <v>5798</v>
      </c>
      <c r="C1820" s="8" t="str">
        <f>IFERROR(_xlfn.XLOOKUP(TRIM(B1820),Lookup!$B$2:$B$1000,Lookup!$C$2:$C$1000),"")</f>
        <v/>
      </c>
      <c r="D1820" s="8" t="str">
        <f>IFERROR(INDEX('nav master'!$C:$C, MATCH(B1820, 'nav master'!$B:$B, 0)), "")</f>
        <v/>
      </c>
      <c r="E1820" s="8">
        <v>66.158900000000003</v>
      </c>
      <c r="F1820" s="9">
        <v>46027</v>
      </c>
    </row>
    <row r="1821" spans="1:6" ht="30" x14ac:dyDescent="0.25">
      <c r="A1821" s="8" t="s">
        <v>63</v>
      </c>
      <c r="B1821" s="8" t="s">
        <v>5798</v>
      </c>
      <c r="C1821" s="8" t="str">
        <f>IFERROR(_xlfn.XLOOKUP(TRIM(B1821),Lookup!$B$2:$B$1000,Lookup!$C$2:$C$1000),"")</f>
        <v/>
      </c>
      <c r="D1821" s="8" t="str">
        <f>IFERROR(INDEX('nav master'!$C:$C, MATCH(B1821, 'nav master'!$B:$B, 0)), "")</f>
        <v/>
      </c>
      <c r="E1821" s="8">
        <v>66.070499999999996</v>
      </c>
      <c r="F1821" s="9">
        <v>46028</v>
      </c>
    </row>
    <row r="1822" spans="1:6" ht="30" x14ac:dyDescent="0.25">
      <c r="A1822" s="8" t="s">
        <v>63</v>
      </c>
      <c r="B1822" s="8" t="s">
        <v>5798</v>
      </c>
      <c r="C1822" s="8" t="str">
        <f>IFERROR(_xlfn.XLOOKUP(TRIM(B1822),Lookup!$B$2:$B$1000,Lookup!$C$2:$C$1000),"")</f>
        <v/>
      </c>
      <c r="D1822" s="8" t="str">
        <f>IFERROR(INDEX('nav master'!$C:$C, MATCH(B1822, 'nav master'!$B:$B, 0)), "")</f>
        <v/>
      </c>
      <c r="E1822" s="8">
        <v>66.260199999999998</v>
      </c>
      <c r="F1822" s="9">
        <v>46029</v>
      </c>
    </row>
    <row r="1823" spans="1:6" ht="30" x14ac:dyDescent="0.25">
      <c r="A1823" s="8" t="s">
        <v>63</v>
      </c>
      <c r="B1823" s="8" t="s">
        <v>5798</v>
      </c>
      <c r="C1823" s="8" t="str">
        <f>IFERROR(_xlfn.XLOOKUP(TRIM(B1823),Lookup!$B$2:$B$1000,Lookup!$C$2:$C$1000),"")</f>
        <v/>
      </c>
      <c r="D1823" s="8" t="str">
        <f>IFERROR(INDEX('nav master'!$C:$C, MATCH(B1823, 'nav master'!$B:$B, 0)), "")</f>
        <v/>
      </c>
      <c r="E1823" s="8">
        <v>65.334500000000006</v>
      </c>
      <c r="F1823" s="9">
        <v>46030</v>
      </c>
    </row>
    <row r="1824" spans="1:6" ht="30" x14ac:dyDescent="0.25">
      <c r="A1824" s="8" t="s">
        <v>63</v>
      </c>
      <c r="B1824" s="8" t="s">
        <v>5798</v>
      </c>
      <c r="C1824" s="8" t="str">
        <f>IFERROR(_xlfn.XLOOKUP(TRIM(B1824),Lookup!$B$2:$B$1000,Lookup!$C$2:$C$1000),"")</f>
        <v/>
      </c>
      <c r="D1824" s="8" t="str">
        <f>IFERROR(INDEX('nav master'!$C:$C, MATCH(B1824, 'nav master'!$B:$B, 0)), "")</f>
        <v/>
      </c>
      <c r="E1824" s="8">
        <v>64.661500000000004</v>
      </c>
      <c r="F1824" s="9">
        <v>46031</v>
      </c>
    </row>
    <row r="1825" spans="1:6" ht="30" x14ac:dyDescent="0.25">
      <c r="A1825" s="8" t="s">
        <v>63</v>
      </c>
      <c r="B1825" s="8" t="s">
        <v>5798</v>
      </c>
      <c r="C1825" s="8" t="str">
        <f>IFERROR(_xlfn.XLOOKUP(TRIM(B1825),Lookup!$B$2:$B$1000,Lookup!$C$2:$C$1000),"")</f>
        <v/>
      </c>
      <c r="D1825" s="8" t="str">
        <f>IFERROR(INDEX('nav master'!$C:$C, MATCH(B1825, 'nav master'!$B:$B, 0)), "")</f>
        <v/>
      </c>
      <c r="E1825" s="8">
        <v>64.643000000000001</v>
      </c>
      <c r="F1825" s="9">
        <v>46034</v>
      </c>
    </row>
    <row r="1826" spans="1:6" ht="30" x14ac:dyDescent="0.25">
      <c r="A1826" s="8" t="s">
        <v>63</v>
      </c>
      <c r="B1826" s="8" t="s">
        <v>5798</v>
      </c>
      <c r="C1826" s="8" t="str">
        <f>IFERROR(_xlfn.XLOOKUP(TRIM(B1826),Lookup!$B$2:$B$1000,Lookup!$C$2:$C$1000),"")</f>
        <v/>
      </c>
      <c r="D1826" s="8" t="str">
        <f>IFERROR(INDEX('nav master'!$C:$C, MATCH(B1826, 'nav master'!$B:$B, 0)), "")</f>
        <v/>
      </c>
      <c r="E1826" s="8">
        <v>64.896100000000004</v>
      </c>
      <c r="F1826" s="9">
        <v>46035</v>
      </c>
    </row>
    <row r="1827" spans="1:6" ht="30" x14ac:dyDescent="0.25">
      <c r="A1827" s="8" t="s">
        <v>63</v>
      </c>
      <c r="B1827" s="8" t="s">
        <v>5798</v>
      </c>
      <c r="C1827" s="8" t="str">
        <f>IFERROR(_xlfn.XLOOKUP(TRIM(B1827),Lookup!$B$2:$B$1000,Lookup!$C$2:$C$1000),"")</f>
        <v/>
      </c>
      <c r="D1827" s="8" t="str">
        <f>IFERROR(INDEX('nav master'!$C:$C, MATCH(B1827, 'nav master'!$B:$B, 0)), "")</f>
        <v/>
      </c>
      <c r="E1827" s="8">
        <v>65.016599999999997</v>
      </c>
      <c r="F1827" s="9">
        <v>46036</v>
      </c>
    </row>
    <row r="1828" spans="1:6" ht="30" x14ac:dyDescent="0.25">
      <c r="A1828" s="8" t="s">
        <v>63</v>
      </c>
      <c r="B1828" s="8" t="s">
        <v>5798</v>
      </c>
      <c r="C1828" s="8" t="str">
        <f>IFERROR(_xlfn.XLOOKUP(TRIM(B1828),Lookup!$B$2:$B$1000,Lookup!$C$2:$C$1000),"")</f>
        <v/>
      </c>
      <c r="D1828" s="8" t="str">
        <f>IFERROR(INDEX('nav master'!$C:$C, MATCH(B1828, 'nav master'!$B:$B, 0)), "")</f>
        <v/>
      </c>
      <c r="E1828" s="8">
        <v>64.997900000000001</v>
      </c>
      <c r="F1828" s="9">
        <v>46038</v>
      </c>
    </row>
    <row r="1829" spans="1:6" ht="30" x14ac:dyDescent="0.25">
      <c r="A1829" s="8" t="s">
        <v>63</v>
      </c>
      <c r="B1829" s="8" t="s">
        <v>5798</v>
      </c>
      <c r="C1829" s="8" t="str">
        <f>IFERROR(_xlfn.XLOOKUP(TRIM(B1829),Lookup!$B$2:$B$1000,Lookup!$C$2:$C$1000),"")</f>
        <v/>
      </c>
      <c r="D1829" s="8" t="str">
        <f>IFERROR(INDEX('nav master'!$C:$C, MATCH(B1829, 'nav master'!$B:$B, 0)), "")</f>
        <v/>
      </c>
      <c r="E1829" s="8">
        <v>64.464500000000001</v>
      </c>
      <c r="F1829" s="9">
        <v>46041</v>
      </c>
    </row>
    <row r="1830" spans="1:6" ht="30" x14ac:dyDescent="0.25">
      <c r="A1830" s="8" t="s">
        <v>63</v>
      </c>
      <c r="B1830" s="8" t="s">
        <v>5798</v>
      </c>
      <c r="C1830" s="8" t="str">
        <f>IFERROR(_xlfn.XLOOKUP(TRIM(B1830),Lookup!$B$2:$B$1000,Lookup!$C$2:$C$1000),"")</f>
        <v/>
      </c>
      <c r="D1830" s="8" t="str">
        <f>IFERROR(INDEX('nav master'!$C:$C, MATCH(B1830, 'nav master'!$B:$B, 0)), "")</f>
        <v/>
      </c>
      <c r="E1830" s="8">
        <v>63.045699999999997</v>
      </c>
      <c r="F1830" s="9">
        <v>46042</v>
      </c>
    </row>
    <row r="1831" spans="1:6" ht="30" x14ac:dyDescent="0.25">
      <c r="A1831" s="8" t="s">
        <v>63</v>
      </c>
      <c r="B1831" s="8" t="s">
        <v>5798</v>
      </c>
      <c r="C1831" s="8" t="str">
        <f>IFERROR(_xlfn.XLOOKUP(TRIM(B1831),Lookup!$B$2:$B$1000,Lookup!$C$2:$C$1000),"")</f>
        <v/>
      </c>
      <c r="D1831" s="8" t="str">
        <f>IFERROR(INDEX('nav master'!$C:$C, MATCH(B1831, 'nav master'!$B:$B, 0)), "")</f>
        <v/>
      </c>
      <c r="E1831" s="8">
        <v>62.826099999999997</v>
      </c>
      <c r="F1831" s="9">
        <v>46043</v>
      </c>
    </row>
    <row r="1832" spans="1:6" ht="30" x14ac:dyDescent="0.25">
      <c r="A1832" s="8" t="s">
        <v>63</v>
      </c>
      <c r="B1832" s="8" t="s">
        <v>5798</v>
      </c>
      <c r="C1832" s="8" t="str">
        <f>IFERROR(_xlfn.XLOOKUP(TRIM(B1832),Lookup!$B$2:$B$1000,Lookup!$C$2:$C$1000),"")</f>
        <v/>
      </c>
      <c r="D1832" s="8" t="str">
        <f>IFERROR(INDEX('nav master'!$C:$C, MATCH(B1832, 'nav master'!$B:$B, 0)), "")</f>
        <v/>
      </c>
      <c r="E1832" s="8">
        <v>63.0687</v>
      </c>
      <c r="F1832" s="9">
        <v>46044</v>
      </c>
    </row>
    <row r="1833" spans="1:6" ht="30" x14ac:dyDescent="0.25">
      <c r="A1833" s="8" t="s">
        <v>63</v>
      </c>
      <c r="B1833" s="8" t="s">
        <v>5798</v>
      </c>
      <c r="C1833" s="8" t="str">
        <f>IFERROR(_xlfn.XLOOKUP(TRIM(B1833),Lookup!$B$2:$B$1000,Lookup!$C$2:$C$1000),"")</f>
        <v/>
      </c>
      <c r="D1833" s="8" t="str">
        <f>IFERROR(INDEX('nav master'!$C:$C, MATCH(B1833, 'nav master'!$B:$B, 0)), "")</f>
        <v/>
      </c>
      <c r="E1833" s="8">
        <v>62.121299999999998</v>
      </c>
      <c r="F1833" s="9">
        <v>46045</v>
      </c>
    </row>
    <row r="1834" spans="1:6" ht="30" x14ac:dyDescent="0.25">
      <c r="A1834" s="8" t="s">
        <v>63</v>
      </c>
      <c r="B1834" s="8" t="s">
        <v>5798</v>
      </c>
      <c r="C1834" s="8" t="str">
        <f>IFERROR(_xlfn.XLOOKUP(TRIM(B1834),Lookup!$B$2:$B$1000,Lookup!$C$2:$C$1000),"")</f>
        <v/>
      </c>
      <c r="D1834" s="8" t="str">
        <f>IFERROR(INDEX('nav master'!$C:$C, MATCH(B1834, 'nav master'!$B:$B, 0)), "")</f>
        <v/>
      </c>
      <c r="E1834" s="8">
        <v>62.405200000000001</v>
      </c>
      <c r="F1834" s="9">
        <v>46049</v>
      </c>
    </row>
    <row r="1835" spans="1:6" ht="30" x14ac:dyDescent="0.25">
      <c r="A1835" s="8" t="s">
        <v>63</v>
      </c>
      <c r="B1835" s="8" t="s">
        <v>5798</v>
      </c>
      <c r="C1835" s="8" t="str">
        <f>IFERROR(_xlfn.XLOOKUP(TRIM(B1835),Lookup!$B$2:$B$1000,Lookup!$C$2:$C$1000),"")</f>
        <v/>
      </c>
      <c r="D1835" s="8" t="str">
        <f>IFERROR(INDEX('nav master'!$C:$C, MATCH(B1835, 'nav master'!$B:$B, 0)), "")</f>
        <v/>
      </c>
      <c r="E1835" s="8">
        <v>63.574399999999997</v>
      </c>
      <c r="F1835" s="9">
        <v>46050</v>
      </c>
    </row>
    <row r="1836" spans="1:6" ht="30" x14ac:dyDescent="0.25">
      <c r="A1836" s="8" t="s">
        <v>63</v>
      </c>
      <c r="B1836" s="8" t="s">
        <v>5798</v>
      </c>
      <c r="C1836" s="8" t="str">
        <f>IFERROR(_xlfn.XLOOKUP(TRIM(B1836),Lookup!$B$2:$B$1000,Lookup!$C$2:$C$1000),"")</f>
        <v/>
      </c>
      <c r="D1836" s="8" t="str">
        <f>IFERROR(INDEX('nav master'!$C:$C, MATCH(B1836, 'nav master'!$B:$B, 0)), "")</f>
        <v/>
      </c>
      <c r="E1836" s="8">
        <v>64.019800000000004</v>
      </c>
      <c r="F1836" s="9">
        <v>46051</v>
      </c>
    </row>
    <row r="1837" spans="1:6" ht="30" x14ac:dyDescent="0.25">
      <c r="A1837" s="8" t="s">
        <v>63</v>
      </c>
      <c r="B1837" s="8" t="s">
        <v>5798</v>
      </c>
      <c r="C1837" s="8" t="str">
        <f>IFERROR(_xlfn.XLOOKUP(TRIM(B1837),Lookup!$B$2:$B$1000,Lookup!$C$2:$C$1000),"")</f>
        <v/>
      </c>
      <c r="D1837" s="8" t="str">
        <f>IFERROR(INDEX('nav master'!$C:$C, MATCH(B1837, 'nav master'!$B:$B, 0)), "")</f>
        <v/>
      </c>
      <c r="E1837" s="8">
        <v>63.640999999999998</v>
      </c>
      <c r="F1837" s="9">
        <v>46052</v>
      </c>
    </row>
    <row r="1838" spans="1:6" ht="30" x14ac:dyDescent="0.25">
      <c r="A1838" s="8" t="s">
        <v>63</v>
      </c>
      <c r="B1838" s="8" t="s">
        <v>5798</v>
      </c>
      <c r="C1838" s="8" t="str">
        <f>IFERROR(_xlfn.XLOOKUP(TRIM(B1838),Lookup!$B$2:$B$1000,Lookup!$C$2:$C$1000),"")</f>
        <v/>
      </c>
      <c r="D1838" s="8" t="str">
        <f>IFERROR(INDEX('nav master'!$C:$C, MATCH(B1838, 'nav master'!$B:$B, 0)), "")</f>
        <v/>
      </c>
      <c r="E1838" s="8">
        <v>62.4133</v>
      </c>
      <c r="F1838" s="9">
        <v>46054</v>
      </c>
    </row>
    <row r="1839" spans="1:6" ht="30" x14ac:dyDescent="0.25">
      <c r="A1839" s="8" t="s">
        <v>63</v>
      </c>
      <c r="B1839" s="8" t="s">
        <v>5798</v>
      </c>
      <c r="C1839" s="8" t="str">
        <f>IFERROR(_xlfn.XLOOKUP(TRIM(B1839),Lookup!$B$2:$B$1000,Lookup!$C$2:$C$1000),"")</f>
        <v/>
      </c>
      <c r="D1839" s="8" t="str">
        <f>IFERROR(INDEX('nav master'!$C:$C, MATCH(B1839, 'nav master'!$B:$B, 0)), "")</f>
        <v/>
      </c>
      <c r="E1839" s="8">
        <v>62.923200000000001</v>
      </c>
      <c r="F1839" s="9">
        <v>46055</v>
      </c>
    </row>
    <row r="1840" spans="1:6" ht="30" x14ac:dyDescent="0.25">
      <c r="A1840" s="8" t="s">
        <v>63</v>
      </c>
      <c r="B1840" s="8" t="s">
        <v>5798</v>
      </c>
      <c r="C1840" s="8" t="str">
        <f>IFERROR(_xlfn.XLOOKUP(TRIM(B1840),Lookup!$B$2:$B$1000,Lookup!$C$2:$C$1000),"")</f>
        <v/>
      </c>
      <c r="D1840" s="8" t="str">
        <f>IFERROR(INDEX('nav master'!$C:$C, MATCH(B1840, 'nav master'!$B:$B, 0)), "")</f>
        <v/>
      </c>
      <c r="E1840" s="8">
        <v>64.702299999999994</v>
      </c>
      <c r="F1840" s="9">
        <v>46056</v>
      </c>
    </row>
    <row r="1841" spans="1:6" ht="30" x14ac:dyDescent="0.25">
      <c r="A1841" s="8" t="s">
        <v>63</v>
      </c>
      <c r="B1841" s="8" t="s">
        <v>5798</v>
      </c>
      <c r="C1841" s="8" t="str">
        <f>IFERROR(_xlfn.XLOOKUP(TRIM(B1841),Lookup!$B$2:$B$1000,Lookup!$C$2:$C$1000),"")</f>
        <v/>
      </c>
      <c r="D1841" s="8" t="str">
        <f>IFERROR(INDEX('nav master'!$C:$C, MATCH(B1841, 'nav master'!$B:$B, 0)), "")</f>
        <v/>
      </c>
      <c r="E1841" s="8">
        <v>65.081199999999995</v>
      </c>
      <c r="F1841" s="9">
        <v>46057</v>
      </c>
    </row>
    <row r="1842" spans="1:6" ht="30" x14ac:dyDescent="0.25">
      <c r="A1842" s="8" t="s">
        <v>63</v>
      </c>
      <c r="B1842" s="8" t="s">
        <v>5798</v>
      </c>
      <c r="C1842" s="8" t="str">
        <f>IFERROR(_xlfn.XLOOKUP(TRIM(B1842),Lookup!$B$2:$B$1000,Lookup!$C$2:$C$1000),"")</f>
        <v/>
      </c>
      <c r="D1842" s="8" t="str">
        <f>IFERROR(INDEX('nav master'!$C:$C, MATCH(B1842, 'nav master'!$B:$B, 0)), "")</f>
        <v/>
      </c>
      <c r="E1842" s="8">
        <v>64.728999999999999</v>
      </c>
      <c r="F1842" s="9">
        <v>46058</v>
      </c>
    </row>
    <row r="1843" spans="1:6" ht="30" x14ac:dyDescent="0.25">
      <c r="A1843" s="8" t="s">
        <v>63</v>
      </c>
      <c r="B1843" s="8" t="s">
        <v>5798</v>
      </c>
      <c r="C1843" s="8" t="str">
        <f>IFERROR(_xlfn.XLOOKUP(TRIM(B1843),Lookup!$B$2:$B$1000,Lookup!$C$2:$C$1000),"")</f>
        <v/>
      </c>
      <c r="D1843" s="8" t="str">
        <f>IFERROR(INDEX('nav master'!$C:$C, MATCH(B1843, 'nav master'!$B:$B, 0)), "")</f>
        <v/>
      </c>
      <c r="E1843" s="8">
        <v>64.653199999999998</v>
      </c>
      <c r="F1843" s="9">
        <v>46059</v>
      </c>
    </row>
    <row r="1844" spans="1:6" ht="30" x14ac:dyDescent="0.25">
      <c r="A1844" s="8" t="s">
        <v>63</v>
      </c>
      <c r="B1844" s="8" t="s">
        <v>5798</v>
      </c>
      <c r="C1844" s="8" t="str">
        <f>IFERROR(_xlfn.XLOOKUP(TRIM(B1844),Lookup!$B$2:$B$1000,Lookup!$C$2:$C$1000),"")</f>
        <v/>
      </c>
      <c r="D1844" s="8" t="str">
        <f>IFERROR(INDEX('nav master'!$C:$C, MATCH(B1844, 'nav master'!$B:$B, 0)), "")</f>
        <v/>
      </c>
      <c r="E1844" s="8">
        <v>65.590900000000005</v>
      </c>
      <c r="F1844" s="9">
        <v>46062</v>
      </c>
    </row>
    <row r="1845" spans="1:6" ht="30" x14ac:dyDescent="0.25">
      <c r="A1845" s="8" t="s">
        <v>63</v>
      </c>
      <c r="B1845" s="8" t="s">
        <v>5798</v>
      </c>
      <c r="C1845" s="8" t="str">
        <f>IFERROR(_xlfn.XLOOKUP(TRIM(B1845),Lookup!$B$2:$B$1000,Lookup!$C$2:$C$1000),"")</f>
        <v/>
      </c>
      <c r="D1845" s="8" t="str">
        <f>IFERROR(INDEX('nav master'!$C:$C, MATCH(B1845, 'nav master'!$B:$B, 0)), "")</f>
        <v/>
      </c>
      <c r="E1845" s="8">
        <v>66.234999999999999</v>
      </c>
      <c r="F1845" s="9">
        <v>46063</v>
      </c>
    </row>
    <row r="1846" spans="1:6" ht="30" x14ac:dyDescent="0.25">
      <c r="A1846" s="8" t="s">
        <v>63</v>
      </c>
      <c r="B1846" s="8" t="s">
        <v>5798</v>
      </c>
      <c r="C1846" s="8" t="str">
        <f>IFERROR(_xlfn.XLOOKUP(TRIM(B1846),Lookup!$B$2:$B$1000,Lookup!$C$2:$C$1000),"")</f>
        <v/>
      </c>
      <c r="D1846" s="8" t="str">
        <f>IFERROR(INDEX('nav master'!$C:$C, MATCH(B1846, 'nav master'!$B:$B, 0)), "")</f>
        <v/>
      </c>
      <c r="E1846" s="8">
        <v>66.313900000000004</v>
      </c>
      <c r="F1846" s="9">
        <v>46064</v>
      </c>
    </row>
    <row r="1847" spans="1:6" ht="30" x14ac:dyDescent="0.25">
      <c r="A1847" s="8" t="s">
        <v>63</v>
      </c>
      <c r="B1847" s="8" t="s">
        <v>5798</v>
      </c>
      <c r="C1847" s="8" t="str">
        <f>IFERROR(_xlfn.XLOOKUP(TRIM(B1847),Lookup!$B$2:$B$1000,Lookup!$C$2:$C$1000),"")</f>
        <v/>
      </c>
      <c r="D1847" s="8" t="str">
        <f>IFERROR(INDEX('nav master'!$C:$C, MATCH(B1847, 'nav master'!$B:$B, 0)), "")</f>
        <v/>
      </c>
      <c r="E1847" s="8">
        <v>65.920299999999997</v>
      </c>
      <c r="F1847" s="9">
        <v>46065</v>
      </c>
    </row>
    <row r="1848" spans="1:6" ht="30" x14ac:dyDescent="0.25">
      <c r="A1848" s="8" t="s">
        <v>63</v>
      </c>
      <c r="B1848" s="8" t="s">
        <v>5798</v>
      </c>
      <c r="C1848" s="8" t="str">
        <f>IFERROR(_xlfn.XLOOKUP(TRIM(B1848),Lookup!$B$2:$B$1000,Lookup!$C$2:$C$1000),"")</f>
        <v/>
      </c>
      <c r="D1848" s="8" t="str">
        <f>IFERROR(INDEX('nav master'!$C:$C, MATCH(B1848, 'nav master'!$B:$B, 0)), "")</f>
        <v/>
      </c>
      <c r="E1848" s="8">
        <v>64.773099999999999</v>
      </c>
      <c r="F1848" s="9">
        <v>46066</v>
      </c>
    </row>
    <row r="1849" spans="1:6" ht="30" x14ac:dyDescent="0.25">
      <c r="A1849" s="8" t="s">
        <v>63</v>
      </c>
      <c r="B1849" s="8" t="s">
        <v>5798</v>
      </c>
      <c r="C1849" s="8" t="str">
        <f>IFERROR(_xlfn.XLOOKUP(TRIM(B1849),Lookup!$B$2:$B$1000,Lookup!$C$2:$C$1000),"")</f>
        <v/>
      </c>
      <c r="D1849" s="8" t="str">
        <f>IFERROR(INDEX('nav master'!$C:$C, MATCH(B1849, 'nav master'!$B:$B, 0)), "")</f>
        <v/>
      </c>
      <c r="E1849" s="8">
        <v>64.815399999999997</v>
      </c>
      <c r="F1849" s="9">
        <v>46069</v>
      </c>
    </row>
    <row r="1850" spans="1:6" ht="30" x14ac:dyDescent="0.25">
      <c r="A1850" s="8" t="s">
        <v>63</v>
      </c>
      <c r="B1850" s="8" t="s">
        <v>5798</v>
      </c>
      <c r="C1850" s="8" t="str">
        <f>IFERROR(_xlfn.XLOOKUP(TRIM(B1850),Lookup!$B$2:$B$1000,Lookup!$C$2:$C$1000),"")</f>
        <v/>
      </c>
      <c r="D1850" s="8" t="str">
        <f>IFERROR(INDEX('nav master'!$C:$C, MATCH(B1850, 'nav master'!$B:$B, 0)), "")</f>
        <v/>
      </c>
      <c r="E1850" s="8">
        <v>64.770600000000002</v>
      </c>
      <c r="F1850" s="9">
        <v>46070</v>
      </c>
    </row>
    <row r="1851" spans="1:6" ht="30" x14ac:dyDescent="0.25">
      <c r="A1851" s="8" t="s">
        <v>63</v>
      </c>
      <c r="B1851" s="8" t="s">
        <v>5798</v>
      </c>
      <c r="C1851" s="8" t="str">
        <f>IFERROR(_xlfn.XLOOKUP(TRIM(B1851),Lookup!$B$2:$B$1000,Lookup!$C$2:$C$1000),"")</f>
        <v/>
      </c>
      <c r="D1851" s="8" t="str">
        <f>IFERROR(INDEX('nav master'!$C:$C, MATCH(B1851, 'nav master'!$B:$B, 0)), "")</f>
        <v/>
      </c>
      <c r="E1851" s="8">
        <v>65.094099999999997</v>
      </c>
      <c r="F1851" s="9">
        <v>46071</v>
      </c>
    </row>
    <row r="1852" spans="1:6" ht="30" x14ac:dyDescent="0.25">
      <c r="A1852" s="8" t="s">
        <v>63</v>
      </c>
      <c r="B1852" s="8" t="s">
        <v>5798</v>
      </c>
      <c r="C1852" s="8" t="str">
        <f>IFERROR(_xlfn.XLOOKUP(TRIM(B1852),Lookup!$B$2:$B$1000,Lookup!$C$2:$C$1000),"")</f>
        <v/>
      </c>
      <c r="D1852" s="8" t="str">
        <f>IFERROR(INDEX('nav master'!$C:$C, MATCH(B1852, 'nav master'!$B:$B, 0)), "")</f>
        <v/>
      </c>
      <c r="E1852" s="8">
        <v>63.915700000000001</v>
      </c>
      <c r="F1852" s="9">
        <v>46072</v>
      </c>
    </row>
    <row r="1853" spans="1:6" ht="30" x14ac:dyDescent="0.25">
      <c r="A1853" s="8" t="s">
        <v>63</v>
      </c>
      <c r="B1853" s="8" t="s">
        <v>5798</v>
      </c>
      <c r="C1853" s="8" t="str">
        <f>IFERROR(_xlfn.XLOOKUP(TRIM(B1853),Lookup!$B$2:$B$1000,Lookup!$C$2:$C$1000),"")</f>
        <v/>
      </c>
      <c r="D1853" s="8" t="str">
        <f>IFERROR(INDEX('nav master'!$C:$C, MATCH(B1853, 'nav master'!$B:$B, 0)), "")</f>
        <v/>
      </c>
      <c r="E1853" s="8">
        <v>64.103899999999996</v>
      </c>
      <c r="F1853" s="9">
        <v>46073</v>
      </c>
    </row>
    <row r="1854" spans="1:6" ht="30" x14ac:dyDescent="0.25">
      <c r="A1854" s="8" t="s">
        <v>63</v>
      </c>
      <c r="B1854" s="8" t="s">
        <v>5798</v>
      </c>
      <c r="C1854" s="8" t="str">
        <f>IFERROR(_xlfn.XLOOKUP(TRIM(B1854),Lookup!$B$2:$B$1000,Lookup!$C$2:$C$1000),"")</f>
        <v/>
      </c>
      <c r="D1854" s="8" t="str">
        <f>IFERROR(INDEX('nav master'!$C:$C, MATCH(B1854, 'nav master'!$B:$B, 0)), "")</f>
        <v/>
      </c>
      <c r="E1854" s="8">
        <v>64.207499999999996</v>
      </c>
      <c r="F1854" s="9">
        <v>46076</v>
      </c>
    </row>
    <row r="1855" spans="1:6" ht="30" x14ac:dyDescent="0.25">
      <c r="A1855" s="8" t="s">
        <v>63</v>
      </c>
      <c r="B1855" s="8" t="s">
        <v>5798</v>
      </c>
      <c r="C1855" s="8" t="str">
        <f>IFERROR(_xlfn.XLOOKUP(TRIM(B1855),Lookup!$B$2:$B$1000,Lookup!$C$2:$C$1000),"")</f>
        <v/>
      </c>
      <c r="D1855" s="8" t="str">
        <f>IFERROR(INDEX('nav master'!$C:$C, MATCH(B1855, 'nav master'!$B:$B, 0)), "")</f>
        <v/>
      </c>
      <c r="E1855" s="8">
        <v>63.590400000000002</v>
      </c>
      <c r="F1855" s="9">
        <v>46077</v>
      </c>
    </row>
    <row r="1856" spans="1:6" ht="30" x14ac:dyDescent="0.25">
      <c r="A1856" s="8" t="s">
        <v>63</v>
      </c>
      <c r="B1856" s="8" t="s">
        <v>5798</v>
      </c>
      <c r="C1856" s="8" t="str">
        <f>IFERROR(_xlfn.XLOOKUP(TRIM(B1856),Lookup!$B$2:$B$1000,Lookup!$C$2:$C$1000),"")</f>
        <v/>
      </c>
      <c r="D1856" s="8" t="str">
        <f>IFERROR(INDEX('nav master'!$C:$C, MATCH(B1856, 'nav master'!$B:$B, 0)), "")</f>
        <v/>
      </c>
      <c r="E1856" s="8">
        <v>64.015699999999995</v>
      </c>
      <c r="F1856" s="9">
        <v>46078</v>
      </c>
    </row>
    <row r="1857" spans="1:6" ht="30" x14ac:dyDescent="0.25">
      <c r="A1857" s="8" t="s">
        <v>63</v>
      </c>
      <c r="B1857" s="8" t="s">
        <v>5798</v>
      </c>
      <c r="C1857" s="8" t="str">
        <f>IFERROR(_xlfn.XLOOKUP(TRIM(B1857),Lookup!$B$2:$B$1000,Lookup!$C$2:$C$1000),"")</f>
        <v/>
      </c>
      <c r="D1857" s="8" t="str">
        <f>IFERROR(INDEX('nav master'!$C:$C, MATCH(B1857, 'nav master'!$B:$B, 0)), "")</f>
        <v/>
      </c>
      <c r="E1857" s="8">
        <v>64.245800000000003</v>
      </c>
      <c r="F1857" s="9">
        <v>46079</v>
      </c>
    </row>
    <row r="1858" spans="1:6" ht="30" x14ac:dyDescent="0.25">
      <c r="A1858" s="8" t="s">
        <v>63</v>
      </c>
      <c r="B1858" s="8" t="s">
        <v>5798</v>
      </c>
      <c r="C1858" s="8" t="str">
        <f>IFERROR(_xlfn.XLOOKUP(TRIM(B1858),Lookup!$B$2:$B$1000,Lookup!$C$2:$C$1000),"")</f>
        <v/>
      </c>
      <c r="D1858" s="8" t="str">
        <f>IFERROR(INDEX('nav master'!$C:$C, MATCH(B1858, 'nav master'!$B:$B, 0)), "")</f>
        <v/>
      </c>
      <c r="E1858" s="8">
        <v>63.606699999999996</v>
      </c>
      <c r="F1858" s="9">
        <v>46080</v>
      </c>
    </row>
    <row r="1859" spans="1:6" ht="30" x14ac:dyDescent="0.25">
      <c r="A1859" s="8" t="s">
        <v>63</v>
      </c>
      <c r="B1859" s="8" t="s">
        <v>5798</v>
      </c>
      <c r="C1859" s="8" t="str">
        <f>IFERROR(_xlfn.XLOOKUP(TRIM(B1859),Lookup!$B$2:$B$1000,Lookup!$C$2:$C$1000),"")</f>
        <v/>
      </c>
      <c r="D1859" s="8" t="str">
        <f>IFERROR(INDEX('nav master'!$C:$C, MATCH(B1859, 'nav master'!$B:$B, 0)), "")</f>
        <v/>
      </c>
      <c r="E1859" s="8">
        <v>62.606000000000002</v>
      </c>
      <c r="F1859" s="9">
        <v>46083</v>
      </c>
    </row>
    <row r="1860" spans="1:6" ht="30" x14ac:dyDescent="0.25">
      <c r="A1860" s="8" t="s">
        <v>63</v>
      </c>
      <c r="B1860" s="8" t="s">
        <v>5798</v>
      </c>
      <c r="C1860" s="8" t="str">
        <f>IFERROR(_xlfn.XLOOKUP(TRIM(B1860),Lookup!$B$2:$B$1000,Lookup!$C$2:$C$1000),"")</f>
        <v/>
      </c>
      <c r="D1860" s="8" t="str">
        <f>IFERROR(INDEX('nav master'!$C:$C, MATCH(B1860, 'nav master'!$B:$B, 0)), "")</f>
        <v/>
      </c>
      <c r="E1860" s="8">
        <v>61.532400000000003</v>
      </c>
      <c r="F1860" s="9">
        <v>46085</v>
      </c>
    </row>
    <row r="1861" spans="1:6" ht="30" x14ac:dyDescent="0.25">
      <c r="A1861" s="8" t="s">
        <v>63</v>
      </c>
      <c r="B1861" s="8" t="s">
        <v>5798</v>
      </c>
      <c r="C1861" s="8" t="str">
        <f>IFERROR(_xlfn.XLOOKUP(TRIM(B1861),Lookup!$B$2:$B$1000,Lookup!$C$2:$C$1000),"")</f>
        <v/>
      </c>
      <c r="D1861" s="8" t="str">
        <f>IFERROR(INDEX('nav master'!$C:$C, MATCH(B1861, 'nav master'!$B:$B, 0)), "")</f>
        <v/>
      </c>
      <c r="E1861" s="8">
        <v>62.448900000000002</v>
      </c>
      <c r="F1861" s="9">
        <v>46086</v>
      </c>
    </row>
    <row r="1862" spans="1:6" ht="30" x14ac:dyDescent="0.25">
      <c r="A1862" s="8" t="s">
        <v>63</v>
      </c>
      <c r="B1862" s="8" t="s">
        <v>5798</v>
      </c>
      <c r="C1862" s="8" t="str">
        <f>IFERROR(_xlfn.XLOOKUP(TRIM(B1862),Lookup!$B$2:$B$1000,Lookup!$C$2:$C$1000),"")</f>
        <v/>
      </c>
      <c r="D1862" s="8" t="str">
        <f>IFERROR(INDEX('nav master'!$C:$C, MATCH(B1862, 'nav master'!$B:$B, 0)), "")</f>
        <v/>
      </c>
      <c r="E1862" s="8">
        <v>61.944099999999999</v>
      </c>
      <c r="F1862" s="9">
        <v>46087</v>
      </c>
    </row>
    <row r="1863" spans="1:6" ht="30" x14ac:dyDescent="0.25">
      <c r="A1863" s="8" t="s">
        <v>63</v>
      </c>
      <c r="B1863" s="8" t="s">
        <v>5798</v>
      </c>
      <c r="C1863" s="8" t="str">
        <f>IFERROR(_xlfn.XLOOKUP(TRIM(B1863),Lookup!$B$2:$B$1000,Lookup!$C$2:$C$1000),"")</f>
        <v/>
      </c>
      <c r="D1863" s="8" t="str">
        <f>IFERROR(INDEX('nav master'!$C:$C, MATCH(B1863, 'nav master'!$B:$B, 0)), "")</f>
        <v/>
      </c>
      <c r="E1863" s="8">
        <v>61.035200000000003</v>
      </c>
      <c r="F1863" s="9">
        <v>46090</v>
      </c>
    </row>
    <row r="1864" spans="1:6" ht="30" x14ac:dyDescent="0.25">
      <c r="A1864" s="8" t="s">
        <v>63</v>
      </c>
      <c r="B1864" s="8" t="s">
        <v>5798</v>
      </c>
      <c r="C1864" s="8" t="str">
        <f>IFERROR(_xlfn.XLOOKUP(TRIM(B1864),Lookup!$B$2:$B$1000,Lookup!$C$2:$C$1000),"")</f>
        <v/>
      </c>
      <c r="D1864" s="8" t="str">
        <f>IFERROR(INDEX('nav master'!$C:$C, MATCH(B1864, 'nav master'!$B:$B, 0)), "")</f>
        <v/>
      </c>
      <c r="E1864" s="8">
        <v>61.966000000000001</v>
      </c>
      <c r="F1864" s="9">
        <v>46091</v>
      </c>
    </row>
    <row r="1865" spans="1:6" ht="30" x14ac:dyDescent="0.25">
      <c r="A1865" s="8" t="s">
        <v>63</v>
      </c>
      <c r="B1865" s="8" t="s">
        <v>5798</v>
      </c>
      <c r="C1865" s="8" t="str">
        <f>IFERROR(_xlfn.XLOOKUP(TRIM(B1865),Lookup!$B$2:$B$1000,Lookup!$C$2:$C$1000),"")</f>
        <v/>
      </c>
      <c r="D1865" s="8" t="str">
        <f>IFERROR(INDEX('nav master'!$C:$C, MATCH(B1865, 'nav master'!$B:$B, 0)), "")</f>
        <v/>
      </c>
      <c r="E1865" s="8">
        <v>61.273600000000002</v>
      </c>
      <c r="F1865" s="9">
        <v>46092</v>
      </c>
    </row>
    <row r="1866" spans="1:6" ht="30" x14ac:dyDescent="0.25">
      <c r="A1866" s="8" t="s">
        <v>63</v>
      </c>
      <c r="B1866" s="8" t="s">
        <v>5798</v>
      </c>
      <c r="C1866" s="8" t="str">
        <f>IFERROR(_xlfn.XLOOKUP(TRIM(B1866),Lookup!$B$2:$B$1000,Lookup!$C$2:$C$1000),"")</f>
        <v/>
      </c>
      <c r="D1866" s="8" t="str">
        <f>IFERROR(INDEX('nav master'!$C:$C, MATCH(B1866, 'nav master'!$B:$B, 0)), "")</f>
        <v/>
      </c>
      <c r="E1866" s="8">
        <v>60.972200000000001</v>
      </c>
      <c r="F1866" s="9">
        <v>46093</v>
      </c>
    </row>
    <row r="1867" spans="1:6" ht="30" x14ac:dyDescent="0.25">
      <c r="A1867" s="8" t="s">
        <v>63</v>
      </c>
      <c r="B1867" s="8" t="s">
        <v>5798</v>
      </c>
      <c r="C1867" s="8" t="str">
        <f>IFERROR(_xlfn.XLOOKUP(TRIM(B1867),Lookup!$B$2:$B$1000,Lookup!$C$2:$C$1000),"")</f>
        <v/>
      </c>
      <c r="D1867" s="8" t="str">
        <f>IFERROR(INDEX('nav master'!$C:$C, MATCH(B1867, 'nav master'!$B:$B, 0)), "")</f>
        <v/>
      </c>
      <c r="E1867" s="8">
        <v>59.774700000000003</v>
      </c>
      <c r="F1867" s="9">
        <v>46094</v>
      </c>
    </row>
    <row r="1868" spans="1:6" ht="30" x14ac:dyDescent="0.25">
      <c r="A1868" s="8" t="s">
        <v>63</v>
      </c>
      <c r="B1868" s="8" t="s">
        <v>5798</v>
      </c>
      <c r="C1868" s="8" t="str">
        <f>IFERROR(_xlfn.XLOOKUP(TRIM(B1868),Lookup!$B$2:$B$1000,Lookup!$C$2:$C$1000),"")</f>
        <v/>
      </c>
      <c r="D1868" s="8" t="str">
        <f>IFERROR(INDEX('nav master'!$C:$C, MATCH(B1868, 'nav master'!$B:$B, 0)), "")</f>
        <v/>
      </c>
      <c r="E1868" s="8">
        <v>60.068899999999999</v>
      </c>
      <c r="F1868" s="9">
        <v>46097</v>
      </c>
    </row>
    <row r="1869" spans="1:6" ht="30" x14ac:dyDescent="0.25">
      <c r="A1869" s="8" t="s">
        <v>63</v>
      </c>
      <c r="B1869" s="8" t="s">
        <v>5798</v>
      </c>
      <c r="C1869" s="8" t="str">
        <f>IFERROR(_xlfn.XLOOKUP(TRIM(B1869),Lookup!$B$2:$B$1000,Lookup!$C$2:$C$1000),"")</f>
        <v/>
      </c>
      <c r="D1869" s="8" t="str">
        <f>IFERROR(INDEX('nav master'!$C:$C, MATCH(B1869, 'nav master'!$B:$B, 0)), "")</f>
        <v/>
      </c>
      <c r="E1869" s="8">
        <v>60.935200000000002</v>
      </c>
      <c r="F1869" s="9">
        <v>46098</v>
      </c>
    </row>
    <row r="1870" spans="1:6" ht="30" x14ac:dyDescent="0.25">
      <c r="A1870" s="8" t="s">
        <v>63</v>
      </c>
      <c r="B1870" s="8" t="s">
        <v>5798</v>
      </c>
      <c r="C1870" s="8" t="str">
        <f>IFERROR(_xlfn.XLOOKUP(TRIM(B1870),Lookup!$B$2:$B$1000,Lookup!$C$2:$C$1000),"")</f>
        <v/>
      </c>
      <c r="D1870" s="8" t="str">
        <f>IFERROR(INDEX('nav master'!$C:$C, MATCH(B1870, 'nav master'!$B:$B, 0)), "")</f>
        <v/>
      </c>
      <c r="E1870" s="8">
        <v>61.833199999999998</v>
      </c>
      <c r="F1870" s="9">
        <v>46099</v>
      </c>
    </row>
    <row r="1871" spans="1:6" ht="30" x14ac:dyDescent="0.25">
      <c r="A1871" s="8" t="s">
        <v>63</v>
      </c>
      <c r="B1871" s="8" t="s">
        <v>5798</v>
      </c>
      <c r="C1871" s="8" t="str">
        <f>IFERROR(_xlfn.XLOOKUP(TRIM(B1871),Lookup!$B$2:$B$1000,Lookup!$C$2:$C$1000),"")</f>
        <v/>
      </c>
      <c r="D1871" s="8" t="str">
        <f>IFERROR(INDEX('nav master'!$C:$C, MATCH(B1871, 'nav master'!$B:$B, 0)), "")</f>
        <v/>
      </c>
      <c r="E1871" s="8">
        <v>59.765900000000002</v>
      </c>
      <c r="F1871" s="9">
        <v>46100</v>
      </c>
    </row>
    <row r="1872" spans="1:6" ht="30" x14ac:dyDescent="0.25">
      <c r="A1872" s="8" t="s">
        <v>63</v>
      </c>
      <c r="B1872" s="8" t="s">
        <v>5798</v>
      </c>
      <c r="C1872" s="8" t="str">
        <f>IFERROR(_xlfn.XLOOKUP(TRIM(B1872),Lookup!$B$2:$B$1000,Lookup!$C$2:$C$1000),"")</f>
        <v/>
      </c>
      <c r="D1872" s="8" t="str">
        <f>IFERROR(INDEX('nav master'!$C:$C, MATCH(B1872, 'nav master'!$B:$B, 0)), "")</f>
        <v/>
      </c>
      <c r="E1872" s="8">
        <v>59.903399999999998</v>
      </c>
      <c r="F1872" s="9">
        <v>46101</v>
      </c>
    </row>
    <row r="1873" spans="1:6" ht="30" x14ac:dyDescent="0.25">
      <c r="A1873" s="8" t="s">
        <v>63</v>
      </c>
      <c r="B1873" s="8" t="s">
        <v>5798</v>
      </c>
      <c r="C1873" s="8" t="str">
        <f>IFERROR(_xlfn.XLOOKUP(TRIM(B1873),Lookup!$B$2:$B$1000,Lookup!$C$2:$C$1000),"")</f>
        <v/>
      </c>
      <c r="D1873" s="8" t="str">
        <f>IFERROR(INDEX('nav master'!$C:$C, MATCH(B1873, 'nav master'!$B:$B, 0)), "")</f>
        <v/>
      </c>
      <c r="E1873" s="8">
        <v>57.913600000000002</v>
      </c>
      <c r="F1873" s="9">
        <v>46104</v>
      </c>
    </row>
    <row r="1874" spans="1:6" ht="30" x14ac:dyDescent="0.25">
      <c r="A1874" s="8" t="s">
        <v>63</v>
      </c>
      <c r="B1874" s="8" t="s">
        <v>5798</v>
      </c>
      <c r="C1874" s="8" t="str">
        <f>IFERROR(_xlfn.XLOOKUP(TRIM(B1874),Lookup!$B$2:$B$1000,Lookup!$C$2:$C$1000),"")</f>
        <v/>
      </c>
      <c r="D1874" s="8" t="str">
        <f>IFERROR(INDEX('nav master'!$C:$C, MATCH(B1874, 'nav master'!$B:$B, 0)), "")</f>
        <v/>
      </c>
      <c r="E1874" s="8">
        <v>59.253599999999999</v>
      </c>
      <c r="F1874" s="9">
        <v>46105</v>
      </c>
    </row>
    <row r="1875" spans="1:6" ht="30" x14ac:dyDescent="0.25">
      <c r="A1875" s="8" t="s">
        <v>63</v>
      </c>
      <c r="B1875" s="8" t="s">
        <v>5798</v>
      </c>
      <c r="C1875" s="8" t="str">
        <f>IFERROR(_xlfn.XLOOKUP(TRIM(B1875),Lookup!$B$2:$B$1000,Lookup!$C$2:$C$1000),"")</f>
        <v/>
      </c>
      <c r="D1875" s="8" t="str">
        <f>IFERROR(INDEX('nav master'!$C:$C, MATCH(B1875, 'nav master'!$B:$B, 0)), "")</f>
        <v/>
      </c>
      <c r="E1875" s="8">
        <v>60.365600000000001</v>
      </c>
      <c r="F1875" s="9">
        <v>46106</v>
      </c>
    </row>
    <row r="1876" spans="1:6" ht="30" x14ac:dyDescent="0.25">
      <c r="A1876" s="8" t="s">
        <v>63</v>
      </c>
      <c r="B1876" s="8" t="s">
        <v>5798</v>
      </c>
      <c r="C1876" s="8" t="str">
        <f>IFERROR(_xlfn.XLOOKUP(TRIM(B1876),Lookup!$B$2:$B$1000,Lookup!$C$2:$C$1000),"")</f>
        <v/>
      </c>
      <c r="D1876" s="8" t="str">
        <f>IFERROR(INDEX('nav master'!$C:$C, MATCH(B1876, 'nav master'!$B:$B, 0)), "")</f>
        <v/>
      </c>
      <c r="E1876" s="8">
        <v>58.874400000000001</v>
      </c>
      <c r="F1876" s="9">
        <v>46108</v>
      </c>
    </row>
    <row r="1877" spans="1:6" ht="30" x14ac:dyDescent="0.25">
      <c r="A1877" s="8" t="s">
        <v>63</v>
      </c>
      <c r="B1877" s="8" t="s">
        <v>5798</v>
      </c>
      <c r="C1877" s="8" t="str">
        <f>IFERROR(_xlfn.XLOOKUP(TRIM(B1877),Lookup!$B$2:$B$1000,Lookup!$C$2:$C$1000),"")</f>
        <v/>
      </c>
      <c r="D1877" s="8" t="str">
        <f>IFERROR(INDEX('nav master'!$C:$C, MATCH(B1877, 'nav master'!$B:$B, 0)), "")</f>
        <v/>
      </c>
      <c r="E1877" s="8">
        <v>57.515099999999997</v>
      </c>
      <c r="F1877" s="9">
        <v>46111</v>
      </c>
    </row>
    <row r="1878" spans="1:6" ht="30" x14ac:dyDescent="0.25">
      <c r="A1878" s="8" t="s">
        <v>63</v>
      </c>
      <c r="B1878" s="8" t="s">
        <v>5798</v>
      </c>
      <c r="C1878" s="8" t="str">
        <f>IFERROR(_xlfn.XLOOKUP(TRIM(B1878),Lookup!$B$2:$B$1000,Lookup!$C$2:$C$1000),"")</f>
        <v/>
      </c>
      <c r="D1878" s="8" t="str">
        <f>IFERROR(INDEX('nav master'!$C:$C, MATCH(B1878, 'nav master'!$B:$B, 0)), "")</f>
        <v/>
      </c>
      <c r="E1878" s="8">
        <v>57.5139</v>
      </c>
      <c r="F1878" s="9">
        <v>46112</v>
      </c>
    </row>
    <row r="1879" spans="1:6" ht="30" x14ac:dyDescent="0.25">
      <c r="A1879" s="8" t="s">
        <v>63</v>
      </c>
      <c r="B1879" s="8" t="s">
        <v>5798</v>
      </c>
      <c r="C1879" s="8" t="str">
        <f>IFERROR(_xlfn.XLOOKUP(TRIM(B1879),Lookup!$B$2:$B$1000,Lookup!$C$2:$C$1000),"")</f>
        <v/>
      </c>
      <c r="D1879" s="8" t="str">
        <f>IFERROR(INDEX('nav master'!$C:$C, MATCH(B1879, 'nav master'!$B:$B, 0)), "")</f>
        <v/>
      </c>
      <c r="E1879" s="8">
        <v>58.747399999999999</v>
      </c>
      <c r="F1879" s="9">
        <v>46113</v>
      </c>
    </row>
    <row r="1880" spans="1:6" ht="30" x14ac:dyDescent="0.25">
      <c r="A1880" s="8" t="s">
        <v>63</v>
      </c>
      <c r="B1880" s="8" t="s">
        <v>5798</v>
      </c>
      <c r="C1880" s="8" t="str">
        <f>IFERROR(_xlfn.XLOOKUP(TRIM(B1880),Lookup!$B$2:$B$1000,Lookup!$C$2:$C$1000),"")</f>
        <v/>
      </c>
      <c r="D1880" s="8" t="str">
        <f>IFERROR(INDEX('nav master'!$C:$C, MATCH(B1880, 'nav master'!$B:$B, 0)), "")</f>
        <v/>
      </c>
      <c r="E1880" s="8">
        <v>58.762599999999999</v>
      </c>
      <c r="F1880" s="9">
        <v>46114</v>
      </c>
    </row>
    <row r="1881" spans="1:6" ht="30" x14ac:dyDescent="0.25">
      <c r="A1881" s="8" t="s">
        <v>63</v>
      </c>
      <c r="B1881" s="8" t="s">
        <v>5798</v>
      </c>
      <c r="C1881" s="8" t="str">
        <f>IFERROR(_xlfn.XLOOKUP(TRIM(B1881),Lookup!$B$2:$B$1000,Lookup!$C$2:$C$1000),"")</f>
        <v/>
      </c>
      <c r="D1881" s="8" t="str">
        <f>IFERROR(INDEX('nav master'!$C:$C, MATCH(B1881, 'nav master'!$B:$B, 0)), "")</f>
        <v/>
      </c>
      <c r="E1881" s="8">
        <v>59.3551</v>
      </c>
      <c r="F1881" s="9">
        <v>46118</v>
      </c>
    </row>
    <row r="1882" spans="1:6" ht="30" x14ac:dyDescent="0.25">
      <c r="A1882" s="8" t="s">
        <v>63</v>
      </c>
      <c r="B1882" s="8" t="s">
        <v>5798</v>
      </c>
      <c r="C1882" s="8" t="str">
        <f>IFERROR(_xlfn.XLOOKUP(TRIM(B1882),Lookup!$B$2:$B$1000,Lookup!$C$2:$C$1000),"")</f>
        <v/>
      </c>
      <c r="D1882" s="8" t="str">
        <f>IFERROR(INDEX('nav master'!$C:$C, MATCH(B1882, 'nav master'!$B:$B, 0)), "")</f>
        <v/>
      </c>
      <c r="E1882" s="8">
        <v>59.533799999999999</v>
      </c>
      <c r="F1882" s="9">
        <v>46119</v>
      </c>
    </row>
    <row r="1883" spans="1:6" ht="30" x14ac:dyDescent="0.25">
      <c r="A1883" s="8" t="s">
        <v>63</v>
      </c>
      <c r="B1883" s="8" t="s">
        <v>5798</v>
      </c>
      <c r="C1883" s="8" t="str">
        <f>IFERROR(_xlfn.XLOOKUP(TRIM(B1883),Lookup!$B$2:$B$1000,Lookup!$C$2:$C$1000),"")</f>
        <v/>
      </c>
      <c r="D1883" s="8" t="str">
        <f>IFERROR(INDEX('nav master'!$C:$C, MATCH(B1883, 'nav master'!$B:$B, 0)), "")</f>
        <v/>
      </c>
      <c r="E1883" s="8">
        <v>62.138199999999998</v>
      </c>
      <c r="F1883" s="9">
        <v>46120</v>
      </c>
    </row>
    <row r="1884" spans="1:6" ht="30" x14ac:dyDescent="0.25">
      <c r="A1884" s="8" t="s">
        <v>63</v>
      </c>
      <c r="B1884" s="8" t="s">
        <v>5798</v>
      </c>
      <c r="C1884" s="8" t="str">
        <f>IFERROR(_xlfn.XLOOKUP(TRIM(B1884),Lookup!$B$2:$B$1000,Lookup!$C$2:$C$1000),"")</f>
        <v/>
      </c>
      <c r="D1884" s="8" t="str">
        <f>IFERROR(INDEX('nav master'!$C:$C, MATCH(B1884, 'nav master'!$B:$B, 0)), "")</f>
        <v/>
      </c>
      <c r="E1884" s="8">
        <v>61.867899999999999</v>
      </c>
      <c r="F1884" s="9">
        <v>46121</v>
      </c>
    </row>
    <row r="1885" spans="1:6" ht="30" x14ac:dyDescent="0.25">
      <c r="A1885" s="8" t="s">
        <v>63</v>
      </c>
      <c r="B1885" s="8" t="s">
        <v>5798</v>
      </c>
      <c r="C1885" s="8" t="str">
        <f>IFERROR(_xlfn.XLOOKUP(TRIM(B1885),Lookup!$B$2:$B$1000,Lookup!$C$2:$C$1000),"")</f>
        <v/>
      </c>
      <c r="D1885" s="8" t="str">
        <f>IFERROR(INDEX('nav master'!$C:$C, MATCH(B1885, 'nav master'!$B:$B, 0)), "")</f>
        <v/>
      </c>
      <c r="E1885" s="8">
        <v>62.688899999999997</v>
      </c>
      <c r="F1885" s="9">
        <v>46122</v>
      </c>
    </row>
    <row r="1886" spans="1:6" ht="30" x14ac:dyDescent="0.25">
      <c r="A1886" s="8" t="s">
        <v>63</v>
      </c>
      <c r="B1886" s="8" t="s">
        <v>5798</v>
      </c>
      <c r="C1886" s="8" t="str">
        <f>IFERROR(_xlfn.XLOOKUP(TRIM(B1886),Lookup!$B$2:$B$1000,Lookup!$C$2:$C$1000),"")</f>
        <v/>
      </c>
      <c r="D1886" s="8" t="str">
        <f>IFERROR(INDEX('nav master'!$C:$C, MATCH(B1886, 'nav master'!$B:$B, 0)), "")</f>
        <v/>
      </c>
      <c r="E1886" s="8">
        <v>62.198900000000002</v>
      </c>
      <c r="F1886" s="9">
        <v>46125</v>
      </c>
    </row>
    <row r="1887" spans="1:6" ht="30" x14ac:dyDescent="0.25">
      <c r="A1887" s="8" t="s">
        <v>63</v>
      </c>
      <c r="B1887" s="8" t="s">
        <v>5798</v>
      </c>
      <c r="C1887" s="8" t="str">
        <f>IFERROR(_xlfn.XLOOKUP(TRIM(B1887),Lookup!$B$2:$B$1000,Lookup!$C$2:$C$1000),"")</f>
        <v/>
      </c>
      <c r="D1887" s="8" t="str">
        <f>IFERROR(INDEX('nav master'!$C:$C, MATCH(B1887, 'nav master'!$B:$B, 0)), "")</f>
        <v/>
      </c>
      <c r="E1887" s="8">
        <v>63.675199999999997</v>
      </c>
      <c r="F1887" s="9">
        <v>46127</v>
      </c>
    </row>
    <row r="1888" spans="1:6" ht="30" x14ac:dyDescent="0.25">
      <c r="A1888" s="8" t="s">
        <v>63</v>
      </c>
      <c r="B1888" s="8" t="s">
        <v>5798</v>
      </c>
      <c r="C1888" s="8" t="str">
        <f>IFERROR(_xlfn.XLOOKUP(TRIM(B1888),Lookup!$B$2:$B$1000,Lookup!$C$2:$C$1000),"")</f>
        <v/>
      </c>
      <c r="D1888" s="8" t="str">
        <f>IFERROR(INDEX('nav master'!$C:$C, MATCH(B1888, 'nav master'!$B:$B, 0)), "")</f>
        <v/>
      </c>
      <c r="E1888" s="8">
        <v>64.146600000000007</v>
      </c>
      <c r="F1888" s="9">
        <v>46128</v>
      </c>
    </row>
    <row r="1889" spans="1:6" ht="30" x14ac:dyDescent="0.25">
      <c r="A1889" s="8" t="s">
        <v>63</v>
      </c>
      <c r="B1889" s="8" t="s">
        <v>5798</v>
      </c>
      <c r="C1889" s="8" t="str">
        <f>IFERROR(_xlfn.XLOOKUP(TRIM(B1889),Lookup!$B$2:$B$1000,Lookup!$C$2:$C$1000),"")</f>
        <v/>
      </c>
      <c r="D1889" s="8" t="str">
        <f>IFERROR(INDEX('nav master'!$C:$C, MATCH(B1889, 'nav master'!$B:$B, 0)), "")</f>
        <v/>
      </c>
      <c r="E1889" s="8">
        <v>64.825699999999998</v>
      </c>
      <c r="F1889" s="9">
        <v>46129</v>
      </c>
    </row>
    <row r="1890" spans="1:6" ht="30" x14ac:dyDescent="0.25">
      <c r="A1890" s="8" t="s">
        <v>63</v>
      </c>
      <c r="B1890" s="8" t="s">
        <v>5798</v>
      </c>
      <c r="C1890" s="8" t="str">
        <f>IFERROR(_xlfn.XLOOKUP(TRIM(B1890),Lookup!$B$2:$B$1000,Lookup!$C$2:$C$1000),"")</f>
        <v/>
      </c>
      <c r="D1890" s="8" t="str">
        <f>IFERROR(INDEX('nav master'!$C:$C, MATCH(B1890, 'nav master'!$B:$B, 0)), "")</f>
        <v/>
      </c>
      <c r="E1890" s="8">
        <v>64.743700000000004</v>
      </c>
      <c r="F1890" s="9">
        <v>46132</v>
      </c>
    </row>
    <row r="1891" spans="1:6" ht="30" x14ac:dyDescent="0.25">
      <c r="A1891" s="8" t="s">
        <v>63</v>
      </c>
      <c r="B1891" s="8" t="s">
        <v>5798</v>
      </c>
      <c r="C1891" s="8" t="str">
        <f>IFERROR(_xlfn.XLOOKUP(TRIM(B1891),Lookup!$B$2:$B$1000,Lookup!$C$2:$C$1000),"")</f>
        <v/>
      </c>
      <c r="D1891" s="8" t="str">
        <f>IFERROR(INDEX('nav master'!$C:$C, MATCH(B1891, 'nav master'!$B:$B, 0)), "")</f>
        <v/>
      </c>
      <c r="E1891" s="8">
        <v>65.223600000000005</v>
      </c>
      <c r="F1891" s="9">
        <v>46133</v>
      </c>
    </row>
    <row r="1892" spans="1:6" ht="30" x14ac:dyDescent="0.25">
      <c r="A1892" s="8" t="s">
        <v>63</v>
      </c>
      <c r="B1892" s="8" t="s">
        <v>5798</v>
      </c>
      <c r="C1892" s="8" t="str">
        <f>IFERROR(_xlfn.XLOOKUP(TRIM(B1892),Lookup!$B$2:$B$1000,Lookup!$C$2:$C$1000),"")</f>
        <v/>
      </c>
      <c r="D1892" s="8" t="str">
        <f>IFERROR(INDEX('nav master'!$C:$C, MATCH(B1892, 'nav master'!$B:$B, 0)), "")</f>
        <v/>
      </c>
      <c r="E1892" s="8">
        <v>65.216099999999997</v>
      </c>
      <c r="F1892" s="9">
        <v>46134</v>
      </c>
    </row>
    <row r="1893" spans="1:6" ht="30" x14ac:dyDescent="0.25">
      <c r="A1893" s="8" t="s">
        <v>63</v>
      </c>
      <c r="B1893" s="8" t="s">
        <v>5798</v>
      </c>
      <c r="C1893" s="8" t="str">
        <f>IFERROR(_xlfn.XLOOKUP(TRIM(B1893),Lookup!$B$2:$B$1000,Lookup!$C$2:$C$1000),"")</f>
        <v/>
      </c>
      <c r="D1893" s="8" t="str">
        <f>IFERROR(INDEX('nav master'!$C:$C, MATCH(B1893, 'nav master'!$B:$B, 0)), "")</f>
        <v/>
      </c>
      <c r="E1893" s="8">
        <v>64.491799999999998</v>
      </c>
      <c r="F1893" s="9">
        <v>46135</v>
      </c>
    </row>
    <row r="1894" spans="1:6" ht="30" x14ac:dyDescent="0.25">
      <c r="A1894" s="8" t="s">
        <v>63</v>
      </c>
      <c r="B1894" s="8" t="s">
        <v>5798</v>
      </c>
      <c r="C1894" s="8" t="str">
        <f>IFERROR(_xlfn.XLOOKUP(TRIM(B1894),Lookup!$B$2:$B$1000,Lookup!$C$2:$C$1000),"")</f>
        <v/>
      </c>
      <c r="D1894" s="8" t="str">
        <f>IFERROR(INDEX('nav master'!$C:$C, MATCH(B1894, 'nav master'!$B:$B, 0)), "")</f>
        <v/>
      </c>
      <c r="E1894" s="8">
        <v>63.8994</v>
      </c>
      <c r="F1894" s="9">
        <v>46136</v>
      </c>
    </row>
    <row r="1895" spans="1:6" ht="30" x14ac:dyDescent="0.25">
      <c r="A1895" s="8" t="s">
        <v>63</v>
      </c>
      <c r="B1895" s="8" t="s">
        <v>5798</v>
      </c>
      <c r="C1895" s="8" t="str">
        <f>IFERROR(_xlfn.XLOOKUP(TRIM(B1895),Lookup!$B$2:$B$1000,Lookup!$C$2:$C$1000),"")</f>
        <v/>
      </c>
      <c r="D1895" s="8" t="str">
        <f>IFERROR(INDEX('nav master'!$C:$C, MATCH(B1895, 'nav master'!$B:$B, 0)), "")</f>
        <v/>
      </c>
      <c r="E1895" s="8">
        <v>64.7119</v>
      </c>
      <c r="F1895" s="9">
        <v>46139</v>
      </c>
    </row>
    <row r="1896" spans="1:6" ht="30" x14ac:dyDescent="0.25">
      <c r="A1896" s="8" t="s">
        <v>63</v>
      </c>
      <c r="B1896" s="8" t="s">
        <v>5798</v>
      </c>
      <c r="C1896" s="8" t="str">
        <f>IFERROR(_xlfn.XLOOKUP(TRIM(B1896),Lookup!$B$2:$B$1000,Lookup!$C$2:$C$1000),"")</f>
        <v/>
      </c>
      <c r="D1896" s="8" t="str">
        <f>IFERROR(INDEX('nav master'!$C:$C, MATCH(B1896, 'nav master'!$B:$B, 0)), "")</f>
        <v/>
      </c>
      <c r="E1896" s="8">
        <v>64.566800000000001</v>
      </c>
      <c r="F1896" s="9">
        <v>46140</v>
      </c>
    </row>
    <row r="1897" spans="1:6" ht="30" x14ac:dyDescent="0.25">
      <c r="A1897" s="8" t="s">
        <v>63</v>
      </c>
      <c r="B1897" s="8" t="s">
        <v>5798</v>
      </c>
      <c r="C1897" s="8" t="str">
        <f>IFERROR(_xlfn.XLOOKUP(TRIM(B1897),Lookup!$B$2:$B$1000,Lookup!$C$2:$C$1000),"")</f>
        <v/>
      </c>
      <c r="D1897" s="8" t="str">
        <f>IFERROR(INDEX('nav master'!$C:$C, MATCH(B1897, 'nav master'!$B:$B, 0)), "")</f>
        <v/>
      </c>
      <c r="E1897" s="8">
        <v>64.745000000000005</v>
      </c>
      <c r="F1897" s="9">
        <v>46141</v>
      </c>
    </row>
    <row r="1898" spans="1:6" ht="30" x14ac:dyDescent="0.25">
      <c r="A1898" s="8" t="s">
        <v>63</v>
      </c>
      <c r="B1898" s="8" t="s">
        <v>5798</v>
      </c>
      <c r="C1898" s="8" t="str">
        <f>IFERROR(_xlfn.XLOOKUP(TRIM(B1898),Lookup!$B$2:$B$1000,Lookup!$C$2:$C$1000),"")</f>
        <v/>
      </c>
      <c r="D1898" s="8" t="str">
        <f>IFERROR(INDEX('nav master'!$C:$C, MATCH(B1898, 'nav master'!$B:$B, 0)), "")</f>
        <v/>
      </c>
      <c r="E1898" s="8">
        <v>64.142099999999999</v>
      </c>
      <c r="F1898" s="9">
        <v>46142</v>
      </c>
    </row>
    <row r="1899" spans="1:6" ht="30" x14ac:dyDescent="0.25">
      <c r="A1899" s="8" t="s">
        <v>63</v>
      </c>
      <c r="B1899" s="8" t="s">
        <v>5798</v>
      </c>
      <c r="C1899" s="8" t="str">
        <f>IFERROR(_xlfn.XLOOKUP(TRIM(B1899),Lookup!$B$2:$B$1000,Lookup!$C$2:$C$1000),"")</f>
        <v/>
      </c>
      <c r="D1899" s="8" t="str">
        <f>IFERROR(INDEX('nav master'!$C:$C, MATCH(B1899, 'nav master'!$B:$B, 0)), "")</f>
        <v/>
      </c>
      <c r="E1899" s="8">
        <v>64.791399999999996</v>
      </c>
      <c r="F1899" s="9">
        <v>46146</v>
      </c>
    </row>
    <row r="1900" spans="1:6" ht="30" x14ac:dyDescent="0.25">
      <c r="A1900" s="8" t="s">
        <v>63</v>
      </c>
      <c r="B1900" s="8" t="s">
        <v>5798</v>
      </c>
      <c r="C1900" s="8" t="str">
        <f>IFERROR(_xlfn.XLOOKUP(TRIM(B1900),Lookup!$B$2:$B$1000,Lookup!$C$2:$C$1000),"")</f>
        <v/>
      </c>
      <c r="D1900" s="8" t="str">
        <f>IFERROR(INDEX('nav master'!$C:$C, MATCH(B1900, 'nav master'!$B:$B, 0)), "")</f>
        <v/>
      </c>
      <c r="E1900" s="8">
        <v>64.688199999999995</v>
      </c>
      <c r="F1900" s="9">
        <v>46147</v>
      </c>
    </row>
    <row r="1901" spans="1:6" ht="30" x14ac:dyDescent="0.25">
      <c r="A1901" s="8" t="s">
        <v>63</v>
      </c>
      <c r="B1901" s="8" t="s">
        <v>5798</v>
      </c>
      <c r="C1901" s="8" t="str">
        <f>IFERROR(_xlfn.XLOOKUP(TRIM(B1901),Lookup!$B$2:$B$1000,Lookup!$C$2:$C$1000),"")</f>
        <v/>
      </c>
      <c r="D1901" s="8" t="str">
        <f>IFERROR(INDEX('nav master'!$C:$C, MATCH(B1901, 'nav master'!$B:$B, 0)), "")</f>
        <v/>
      </c>
      <c r="E1901" s="8">
        <v>65.874899999999997</v>
      </c>
      <c r="F1901" s="9">
        <v>46148</v>
      </c>
    </row>
    <row r="1902" spans="1:6" ht="30" x14ac:dyDescent="0.25">
      <c r="A1902" s="8" t="s">
        <v>63</v>
      </c>
      <c r="B1902" s="8" t="s">
        <v>5798</v>
      </c>
      <c r="C1902" s="8" t="str">
        <f>IFERROR(_xlfn.XLOOKUP(TRIM(B1902),Lookup!$B$2:$B$1000,Lookup!$C$2:$C$1000),"")</f>
        <v/>
      </c>
      <c r="D1902" s="8" t="str">
        <f>IFERROR(INDEX('nav master'!$C:$C, MATCH(B1902, 'nav master'!$B:$B, 0)), "")</f>
        <v/>
      </c>
      <c r="E1902" s="8">
        <v>66.315700000000007</v>
      </c>
      <c r="F1902" s="9">
        <v>46149</v>
      </c>
    </row>
    <row r="1903" spans="1:6" ht="30" x14ac:dyDescent="0.25">
      <c r="A1903" s="8" t="s">
        <v>63</v>
      </c>
      <c r="B1903" s="8" t="s">
        <v>5798</v>
      </c>
      <c r="C1903" s="8" t="str">
        <f>IFERROR(_xlfn.XLOOKUP(TRIM(B1903),Lookup!$B$2:$B$1000,Lookup!$C$2:$C$1000),"")</f>
        <v/>
      </c>
      <c r="D1903" s="8" t="str">
        <f>IFERROR(INDEX('nav master'!$C:$C, MATCH(B1903, 'nav master'!$B:$B, 0)), "")</f>
        <v/>
      </c>
      <c r="E1903" s="8">
        <v>66.108999999999995</v>
      </c>
      <c r="F1903" s="9">
        <v>46150</v>
      </c>
    </row>
    <row r="1904" spans="1:6" ht="30" x14ac:dyDescent="0.25">
      <c r="A1904" s="8" t="s">
        <v>63</v>
      </c>
      <c r="B1904" s="8" t="s">
        <v>5798</v>
      </c>
      <c r="C1904" s="8" t="str">
        <f>IFERROR(_xlfn.XLOOKUP(TRIM(B1904),Lookup!$B$2:$B$1000,Lookup!$C$2:$C$1000),"")</f>
        <v/>
      </c>
      <c r="D1904" s="8" t="str">
        <f>IFERROR(INDEX('nav master'!$C:$C, MATCH(B1904, 'nav master'!$B:$B, 0)), "")</f>
        <v/>
      </c>
      <c r="E1904" s="8">
        <v>65.085899999999995</v>
      </c>
      <c r="F1904" s="9">
        <v>46153</v>
      </c>
    </row>
    <row r="1905" spans="1:6" ht="30" x14ac:dyDescent="0.25">
      <c r="A1905" s="8" t="s">
        <v>63</v>
      </c>
      <c r="B1905" s="8" t="s">
        <v>5798</v>
      </c>
      <c r="C1905" s="8" t="str">
        <f>IFERROR(_xlfn.XLOOKUP(TRIM(B1905),Lookup!$B$2:$B$1000,Lookup!$C$2:$C$1000),"")</f>
        <v/>
      </c>
      <c r="D1905" s="8" t="str">
        <f>IFERROR(INDEX('nav master'!$C:$C, MATCH(B1905, 'nav master'!$B:$B, 0)), "")</f>
        <v/>
      </c>
      <c r="E1905" s="8">
        <v>63.524700000000003</v>
      </c>
      <c r="F1905" s="9">
        <v>46154</v>
      </c>
    </row>
    <row r="1906" spans="1:6" ht="30" x14ac:dyDescent="0.25">
      <c r="A1906" s="8" t="s">
        <v>63</v>
      </c>
      <c r="B1906" s="8" t="s">
        <v>5798</v>
      </c>
      <c r="C1906" s="8" t="str">
        <f>IFERROR(_xlfn.XLOOKUP(TRIM(B1906),Lookup!$B$2:$B$1000,Lookup!$C$2:$C$1000),"")</f>
        <v/>
      </c>
      <c r="D1906" s="8" t="str">
        <f>IFERROR(INDEX('nav master'!$C:$C, MATCH(B1906, 'nav master'!$B:$B, 0)), "")</f>
        <v/>
      </c>
      <c r="E1906" s="8">
        <v>63.579300000000003</v>
      </c>
      <c r="F1906" s="9">
        <v>46155</v>
      </c>
    </row>
    <row r="1907" spans="1:6" ht="30" x14ac:dyDescent="0.25">
      <c r="A1907" s="8" t="s">
        <v>63</v>
      </c>
      <c r="B1907" s="8" t="s">
        <v>5798</v>
      </c>
      <c r="C1907" s="8" t="str">
        <f>IFERROR(_xlfn.XLOOKUP(TRIM(B1907),Lookup!$B$2:$B$1000,Lookup!$C$2:$C$1000),"")</f>
        <v/>
      </c>
      <c r="D1907" s="8" t="str">
        <f>IFERROR(INDEX('nav master'!$C:$C, MATCH(B1907, 'nav master'!$B:$B, 0)), "")</f>
        <v/>
      </c>
      <c r="E1907" s="8">
        <v>64.314400000000006</v>
      </c>
      <c r="F1907" s="9">
        <v>46156</v>
      </c>
    </row>
    <row r="1908" spans="1:6" ht="30" x14ac:dyDescent="0.25">
      <c r="A1908" s="8" t="s">
        <v>63</v>
      </c>
      <c r="B1908" s="8" t="s">
        <v>5798</v>
      </c>
      <c r="C1908" s="8" t="str">
        <f>IFERROR(_xlfn.XLOOKUP(TRIM(B1908),Lookup!$B$2:$B$1000,Lookup!$C$2:$C$1000),"")</f>
        <v/>
      </c>
      <c r="D1908" s="8" t="str">
        <f>IFERROR(INDEX('nav master'!$C:$C, MATCH(B1908, 'nav master'!$B:$B, 0)), "")</f>
        <v/>
      </c>
      <c r="E1908" s="8">
        <v>63.981900000000003</v>
      </c>
      <c r="F1908" s="9">
        <v>46157</v>
      </c>
    </row>
    <row r="1909" spans="1:6" ht="30" x14ac:dyDescent="0.25">
      <c r="A1909" s="8" t="s">
        <v>63</v>
      </c>
      <c r="B1909" s="8" t="s">
        <v>5798</v>
      </c>
      <c r="C1909" s="8" t="str">
        <f>IFERROR(_xlfn.XLOOKUP(TRIM(B1909),Lookup!$B$2:$B$1000,Lookup!$C$2:$C$1000),"")</f>
        <v/>
      </c>
      <c r="D1909" s="8" t="str">
        <f>IFERROR(INDEX('nav master'!$C:$C, MATCH(B1909, 'nav master'!$B:$B, 0)), "")</f>
        <v/>
      </c>
      <c r="E1909" s="8">
        <v>63.889299999999999</v>
      </c>
      <c r="F1909" s="9">
        <v>46160</v>
      </c>
    </row>
    <row r="1910" spans="1:6" ht="30" x14ac:dyDescent="0.25">
      <c r="A1910" s="8" t="s">
        <v>63</v>
      </c>
      <c r="B1910" s="8" t="s">
        <v>5798</v>
      </c>
      <c r="C1910" s="8" t="str">
        <f>IFERROR(_xlfn.XLOOKUP(TRIM(B1910),Lookup!$B$2:$B$1000,Lookup!$C$2:$C$1000),"")</f>
        <v/>
      </c>
      <c r="D1910" s="8" t="str">
        <f>IFERROR(INDEX('nav master'!$C:$C, MATCH(B1910, 'nav master'!$B:$B, 0)), "")</f>
        <v/>
      </c>
      <c r="E1910" s="8">
        <v>64.589699999999993</v>
      </c>
      <c r="F1910" s="9">
        <v>46161</v>
      </c>
    </row>
    <row r="1911" spans="1:6" ht="30" x14ac:dyDescent="0.25">
      <c r="A1911" s="8" t="s">
        <v>63</v>
      </c>
      <c r="B1911" s="8" t="s">
        <v>5798</v>
      </c>
      <c r="C1911" s="8" t="str">
        <f>IFERROR(_xlfn.XLOOKUP(TRIM(B1911),Lookup!$B$2:$B$1000,Lookup!$C$2:$C$1000),"")</f>
        <v/>
      </c>
      <c r="D1911" s="8" t="str">
        <f>IFERROR(INDEX('nav master'!$C:$C, MATCH(B1911, 'nav master'!$B:$B, 0)), "")</f>
        <v/>
      </c>
      <c r="E1911" s="8">
        <v>64.823599999999999</v>
      </c>
      <c r="F1911" s="9">
        <v>46162</v>
      </c>
    </row>
    <row r="1912" spans="1:6" ht="30" x14ac:dyDescent="0.25">
      <c r="A1912" s="8" t="s">
        <v>63</v>
      </c>
      <c r="B1912" s="8" t="s">
        <v>5798</v>
      </c>
      <c r="C1912" s="8" t="str">
        <f>IFERROR(_xlfn.XLOOKUP(TRIM(B1912),Lookup!$B$2:$B$1000,Lookup!$C$2:$C$1000),"")</f>
        <v/>
      </c>
      <c r="D1912" s="8" t="str">
        <f>IFERROR(INDEX('nav master'!$C:$C, MATCH(B1912, 'nav master'!$B:$B, 0)), "")</f>
        <v/>
      </c>
      <c r="E1912" s="8">
        <v>64.840800000000002</v>
      </c>
      <c r="F1912" s="9">
        <v>46163</v>
      </c>
    </row>
    <row r="1913" spans="1:6" ht="30" x14ac:dyDescent="0.25">
      <c r="A1913" s="8" t="s">
        <v>63</v>
      </c>
      <c r="B1913" s="8" t="s">
        <v>5798</v>
      </c>
      <c r="C1913" s="8" t="str">
        <f>IFERROR(_xlfn.XLOOKUP(TRIM(B1913),Lookup!$B$2:$B$1000,Lookup!$C$2:$C$1000),"")</f>
        <v/>
      </c>
      <c r="D1913" s="8" t="str">
        <f>IFERROR(INDEX('nav master'!$C:$C, MATCH(B1913, 'nav master'!$B:$B, 0)), "")</f>
        <v/>
      </c>
      <c r="E1913" s="8">
        <v>64.832499999999996</v>
      </c>
      <c r="F1913" s="9">
        <v>46164</v>
      </c>
    </row>
    <row r="1914" spans="1:6" ht="30" x14ac:dyDescent="0.25">
      <c r="A1914" s="8" t="s">
        <v>63</v>
      </c>
      <c r="B1914" s="8" t="s">
        <v>5798</v>
      </c>
      <c r="C1914" s="8" t="str">
        <f>IFERROR(_xlfn.XLOOKUP(TRIM(B1914),Lookup!$B$2:$B$1000,Lookup!$C$2:$C$1000),"")</f>
        <v/>
      </c>
      <c r="D1914" s="8" t="str">
        <f>IFERROR(INDEX('nav master'!$C:$C, MATCH(B1914, 'nav master'!$B:$B, 0)), "")</f>
        <v/>
      </c>
      <c r="E1914" s="8">
        <v>65.537999999999997</v>
      </c>
      <c r="F1914" s="9">
        <v>46167</v>
      </c>
    </row>
    <row r="1915" spans="1:6" ht="30" x14ac:dyDescent="0.25">
      <c r="A1915" s="8" t="s">
        <v>63</v>
      </c>
      <c r="B1915" s="8" t="s">
        <v>5798</v>
      </c>
      <c r="C1915" s="8" t="str">
        <f>IFERROR(_xlfn.XLOOKUP(TRIM(B1915),Lookup!$B$2:$B$1000,Lookup!$C$2:$C$1000),"")</f>
        <v/>
      </c>
      <c r="D1915" s="8" t="str">
        <f>IFERROR(INDEX('nav master'!$C:$C, MATCH(B1915, 'nav master'!$B:$B, 0)), "")</f>
        <v/>
      </c>
      <c r="E1915" s="8">
        <v>65.688500000000005</v>
      </c>
      <c r="F1915" s="9">
        <v>46168</v>
      </c>
    </row>
    <row r="1916" spans="1:6" ht="30" x14ac:dyDescent="0.25">
      <c r="A1916" s="8" t="s">
        <v>63</v>
      </c>
      <c r="B1916" s="8" t="s">
        <v>5798</v>
      </c>
      <c r="C1916" s="8" t="str">
        <f>IFERROR(_xlfn.XLOOKUP(TRIM(B1916),Lookup!$B$2:$B$1000,Lookup!$C$2:$C$1000),"")</f>
        <v/>
      </c>
      <c r="D1916" s="8" t="str">
        <f>IFERROR(INDEX('nav master'!$C:$C, MATCH(B1916, 'nav master'!$B:$B, 0)), "")</f>
        <v/>
      </c>
      <c r="E1916" s="8">
        <v>65.867000000000004</v>
      </c>
      <c r="F1916" s="9">
        <v>46169</v>
      </c>
    </row>
    <row r="1917" spans="1:6" ht="30" x14ac:dyDescent="0.25">
      <c r="A1917" s="8" t="s">
        <v>63</v>
      </c>
      <c r="B1917" s="8" t="s">
        <v>5798</v>
      </c>
      <c r="C1917" s="8" t="str">
        <f>IFERROR(_xlfn.XLOOKUP(TRIM(B1917),Lookup!$B$2:$B$1000,Lookup!$C$2:$C$1000),"")</f>
        <v/>
      </c>
      <c r="D1917" s="8" t="str">
        <f>IFERROR(INDEX('nav master'!$C:$C, MATCH(B1917, 'nav master'!$B:$B, 0)), "")</f>
        <v/>
      </c>
      <c r="E1917" s="8">
        <v>64.886600000000001</v>
      </c>
      <c r="F1917" s="9">
        <v>46171</v>
      </c>
    </row>
    <row r="1918" spans="1:6" ht="30" x14ac:dyDescent="0.25">
      <c r="A1918" s="8" t="s">
        <v>63</v>
      </c>
      <c r="B1918" s="8" t="s">
        <v>5798</v>
      </c>
      <c r="C1918" s="8" t="str">
        <f>IFERROR(_xlfn.XLOOKUP(TRIM(B1918),Lookup!$B$2:$B$1000,Lookup!$C$2:$C$1000),"")</f>
        <v/>
      </c>
      <c r="D1918" s="8" t="str">
        <f>IFERROR(INDEX('nav master'!$C:$C, MATCH(B1918, 'nav master'!$B:$B, 0)), "")</f>
        <v/>
      </c>
      <c r="E1918" s="8">
        <v>64.205799999999996</v>
      </c>
      <c r="F1918" s="9">
        <v>46174</v>
      </c>
    </row>
    <row r="1919" spans="1:6" ht="30" x14ac:dyDescent="0.25">
      <c r="A1919" s="8" t="s">
        <v>63</v>
      </c>
      <c r="B1919" s="8" t="s">
        <v>5798</v>
      </c>
      <c r="C1919" s="8" t="str">
        <f>IFERROR(_xlfn.XLOOKUP(TRIM(B1919),Lookup!$B$2:$B$1000,Lookup!$C$2:$C$1000),"")</f>
        <v/>
      </c>
      <c r="D1919" s="8" t="str">
        <f>IFERROR(INDEX('nav master'!$C:$C, MATCH(B1919, 'nav master'!$B:$B, 0)), "")</f>
        <v/>
      </c>
      <c r="E1919" s="8">
        <v>64.483900000000006</v>
      </c>
      <c r="F1919" s="9">
        <v>46175</v>
      </c>
    </row>
    <row r="1920" spans="1:6" ht="30" x14ac:dyDescent="0.25">
      <c r="A1920" s="8" t="s">
        <v>63</v>
      </c>
      <c r="B1920" s="8" t="s">
        <v>5798</v>
      </c>
      <c r="C1920" s="8" t="str">
        <f>IFERROR(_xlfn.XLOOKUP(TRIM(B1920),Lookup!$B$2:$B$1000,Lookup!$C$2:$C$1000),"")</f>
        <v/>
      </c>
      <c r="D1920" s="8" t="str">
        <f>IFERROR(INDEX('nav master'!$C:$C, MATCH(B1920, 'nav master'!$B:$B, 0)), "")</f>
        <v/>
      </c>
      <c r="E1920" s="8">
        <v>64.216499999999996</v>
      </c>
      <c r="F1920" s="9">
        <v>46176</v>
      </c>
    </row>
    <row r="1921" spans="1:6" ht="30" x14ac:dyDescent="0.25">
      <c r="A1921" s="8" t="s">
        <v>63</v>
      </c>
      <c r="B1921" s="8" t="s">
        <v>5798</v>
      </c>
      <c r="C1921" s="8" t="str">
        <f>IFERROR(_xlfn.XLOOKUP(TRIM(B1921),Lookup!$B$2:$B$1000,Lookup!$C$2:$C$1000),"")</f>
        <v/>
      </c>
      <c r="D1921" s="8" t="str">
        <f>IFERROR(INDEX('nav master'!$C:$C, MATCH(B1921, 'nav master'!$B:$B, 0)), "")</f>
        <v/>
      </c>
      <c r="E1921" s="8">
        <v>64.599699999999999</v>
      </c>
      <c r="F1921" s="9">
        <v>46177</v>
      </c>
    </row>
    <row r="1922" spans="1:6" ht="30" x14ac:dyDescent="0.25">
      <c r="A1922" s="8" t="s">
        <v>63</v>
      </c>
      <c r="B1922" s="8" t="s">
        <v>5798</v>
      </c>
      <c r="C1922" s="8" t="str">
        <f>IFERROR(_xlfn.XLOOKUP(TRIM(B1922),Lookup!$B$2:$B$1000,Lookup!$C$2:$C$1000),"")</f>
        <v/>
      </c>
      <c r="D1922" s="8" t="str">
        <f>IFERROR(INDEX('nav master'!$C:$C, MATCH(B1922, 'nav master'!$B:$B, 0)), "")</f>
        <v/>
      </c>
      <c r="E1922" s="8">
        <v>64.509900000000002</v>
      </c>
      <c r="F1922" s="9">
        <v>46178</v>
      </c>
    </row>
    <row r="1923" spans="1:6" ht="30" x14ac:dyDescent="0.25">
      <c r="A1923" s="8" t="s">
        <v>63</v>
      </c>
      <c r="B1923" s="8" t="s">
        <v>5798</v>
      </c>
      <c r="C1923" s="8" t="str">
        <f>IFERROR(_xlfn.XLOOKUP(TRIM(B1923),Lookup!$B$2:$B$1000,Lookup!$C$2:$C$1000),"")</f>
        <v/>
      </c>
      <c r="D1923" s="8" t="str">
        <f>IFERROR(INDEX('nav master'!$C:$C, MATCH(B1923, 'nav master'!$B:$B, 0)), "")</f>
        <v/>
      </c>
      <c r="E1923" s="8">
        <v>63.647599999999997</v>
      </c>
      <c r="F1923" s="9">
        <v>46181</v>
      </c>
    </row>
    <row r="1924" spans="1:6" ht="30" x14ac:dyDescent="0.25">
      <c r="A1924" s="8" t="s">
        <v>63</v>
      </c>
      <c r="B1924" s="8" t="s">
        <v>5798</v>
      </c>
      <c r="C1924" s="8" t="str">
        <f>IFERROR(_xlfn.XLOOKUP(TRIM(B1924),Lookup!$B$2:$B$1000,Lookup!$C$2:$C$1000),"")</f>
        <v/>
      </c>
      <c r="D1924" s="8" t="str">
        <f>IFERROR(INDEX('nav master'!$C:$C, MATCH(B1924, 'nav master'!$B:$B, 0)), "")</f>
        <v/>
      </c>
      <c r="E1924" s="8">
        <v>64.349900000000005</v>
      </c>
      <c r="F1924" s="9">
        <v>46182</v>
      </c>
    </row>
    <row r="1925" spans="1:6" ht="30" x14ac:dyDescent="0.25">
      <c r="A1925" s="8" t="s">
        <v>63</v>
      </c>
      <c r="B1925" s="8" t="s">
        <v>5798</v>
      </c>
      <c r="C1925" s="8" t="str">
        <f>IFERROR(_xlfn.XLOOKUP(TRIM(B1925),Lookup!$B$2:$B$1000,Lookup!$C$2:$C$1000),"")</f>
        <v/>
      </c>
      <c r="D1925" s="8" t="str">
        <f>IFERROR(INDEX('nav master'!$C:$C, MATCH(B1925, 'nav master'!$B:$B, 0)), "")</f>
        <v/>
      </c>
      <c r="E1925" s="8">
        <v>63.7971</v>
      </c>
      <c r="F1925" s="9">
        <v>46183</v>
      </c>
    </row>
    <row r="1926" spans="1:6" ht="30" x14ac:dyDescent="0.25">
      <c r="A1926" s="8" t="s">
        <v>63</v>
      </c>
      <c r="B1926" s="8" t="s">
        <v>5798</v>
      </c>
      <c r="C1926" s="8" t="str">
        <f>IFERROR(_xlfn.XLOOKUP(TRIM(B1926),Lookup!$B$2:$B$1000,Lookup!$C$2:$C$1000),"")</f>
        <v/>
      </c>
      <c r="D1926" s="8" t="str">
        <f>IFERROR(INDEX('nav master'!$C:$C, MATCH(B1926, 'nav master'!$B:$B, 0)), "")</f>
        <v/>
      </c>
      <c r="E1926" s="8">
        <v>63.516399999999997</v>
      </c>
      <c r="F1926" s="9">
        <v>46184</v>
      </c>
    </row>
    <row r="1927" spans="1:6" ht="30" x14ac:dyDescent="0.25">
      <c r="A1927" s="8" t="s">
        <v>63</v>
      </c>
      <c r="B1927" s="8" t="s">
        <v>5798</v>
      </c>
      <c r="C1927" s="8" t="str">
        <f>IFERROR(_xlfn.XLOOKUP(TRIM(B1927),Lookup!$B$2:$B$1000,Lookup!$C$2:$C$1000),"")</f>
        <v/>
      </c>
      <c r="D1927" s="8" t="str">
        <f>IFERROR(INDEX('nav master'!$C:$C, MATCH(B1927, 'nav master'!$B:$B, 0)), "")</f>
        <v/>
      </c>
      <c r="E1927" s="8">
        <v>65.006600000000006</v>
      </c>
      <c r="F1927" s="9">
        <v>46185</v>
      </c>
    </row>
    <row r="1928" spans="1:6" ht="30" x14ac:dyDescent="0.25">
      <c r="A1928" s="8" t="s">
        <v>63</v>
      </c>
      <c r="B1928" s="8" t="s">
        <v>5798</v>
      </c>
      <c r="C1928" s="8" t="str">
        <f>IFERROR(_xlfn.XLOOKUP(TRIM(B1928),Lookup!$B$2:$B$1000,Lookup!$C$2:$C$1000),"")</f>
        <v/>
      </c>
      <c r="D1928" s="8" t="str">
        <f>IFERROR(INDEX('nav master'!$C:$C, MATCH(B1928, 'nav master'!$B:$B, 0)), "")</f>
        <v/>
      </c>
      <c r="E1928" s="8">
        <v>66.194000000000003</v>
      </c>
      <c r="F1928" s="9">
        <v>46188</v>
      </c>
    </row>
    <row r="1929" spans="1:6" ht="30" x14ac:dyDescent="0.25">
      <c r="A1929" s="8" t="s">
        <v>63</v>
      </c>
      <c r="B1929" s="8" t="s">
        <v>5798</v>
      </c>
      <c r="C1929" s="8" t="str">
        <f>IFERROR(_xlfn.XLOOKUP(TRIM(B1929),Lookup!$B$2:$B$1000,Lookup!$C$2:$C$1000),"")</f>
        <v/>
      </c>
      <c r="D1929" s="8" t="str">
        <f>IFERROR(INDEX('nav master'!$C:$C, MATCH(B1929, 'nav master'!$B:$B, 0)), "")</f>
        <v/>
      </c>
      <c r="E1929" s="8">
        <v>66.529899999999998</v>
      </c>
      <c r="F1929" s="9">
        <v>46189</v>
      </c>
    </row>
    <row r="1930" spans="1:6" ht="30" x14ac:dyDescent="0.25">
      <c r="A1930" s="8" t="s">
        <v>63</v>
      </c>
      <c r="B1930" s="8" t="s">
        <v>5798</v>
      </c>
      <c r="C1930" s="8" t="str">
        <f>IFERROR(_xlfn.XLOOKUP(TRIM(B1930),Lookup!$B$2:$B$1000,Lookup!$C$2:$C$1000),"")</f>
        <v/>
      </c>
      <c r="D1930" s="8" t="str">
        <f>IFERROR(INDEX('nav master'!$C:$C, MATCH(B1930, 'nav master'!$B:$B, 0)), "")</f>
        <v/>
      </c>
      <c r="E1930" s="8">
        <v>66.616399999999999</v>
      </c>
      <c r="F1930" s="9">
        <v>46190</v>
      </c>
    </row>
    <row r="1931" spans="1:6" ht="30" x14ac:dyDescent="0.25">
      <c r="A1931" s="8" t="s">
        <v>63</v>
      </c>
      <c r="B1931" s="8" t="s">
        <v>5798</v>
      </c>
      <c r="C1931" s="8" t="str">
        <f>IFERROR(_xlfn.XLOOKUP(TRIM(B1931),Lookup!$B$2:$B$1000,Lookup!$C$2:$C$1000),"")</f>
        <v/>
      </c>
      <c r="D1931" s="8" t="str">
        <f>IFERROR(INDEX('nav master'!$C:$C, MATCH(B1931, 'nav master'!$B:$B, 0)), "")</f>
        <v/>
      </c>
      <c r="E1931" s="8">
        <v>66.826800000000006</v>
      </c>
      <c r="F1931" s="9">
        <v>46191</v>
      </c>
    </row>
    <row r="1932" spans="1:6" ht="30" x14ac:dyDescent="0.25">
      <c r="A1932" s="8" t="s">
        <v>63</v>
      </c>
      <c r="B1932" s="8" t="s">
        <v>5798</v>
      </c>
      <c r="C1932" s="8" t="str">
        <f>IFERROR(_xlfn.XLOOKUP(TRIM(B1932),Lookup!$B$2:$B$1000,Lookup!$C$2:$C$1000),"")</f>
        <v/>
      </c>
      <c r="D1932" s="8" t="str">
        <f>IFERROR(INDEX('nav master'!$C:$C, MATCH(B1932, 'nav master'!$B:$B, 0)), "")</f>
        <v/>
      </c>
      <c r="E1932" s="8">
        <v>66.644199999999998</v>
      </c>
      <c r="F1932" s="9">
        <v>46192</v>
      </c>
    </row>
    <row r="1933" spans="1:6" ht="30" x14ac:dyDescent="0.25">
      <c r="A1933" s="8" t="s">
        <v>63</v>
      </c>
      <c r="B1933" s="8" t="s">
        <v>5798</v>
      </c>
      <c r="C1933" s="8" t="str">
        <f>IFERROR(_xlfn.XLOOKUP(TRIM(B1933),Lookup!$B$2:$B$1000,Lookup!$C$2:$C$1000),"")</f>
        <v/>
      </c>
      <c r="D1933" s="8" t="str">
        <f>IFERROR(INDEX('nav master'!$C:$C, MATCH(B1933, 'nav master'!$B:$B, 0)), "")</f>
        <v/>
      </c>
      <c r="E1933" s="8">
        <v>66.853099999999998</v>
      </c>
      <c r="F1933" s="9">
        <v>46195</v>
      </c>
    </row>
    <row r="1934" spans="1:6" ht="30" x14ac:dyDescent="0.25">
      <c r="A1934" s="8" t="s">
        <v>63</v>
      </c>
      <c r="B1934" s="8" t="s">
        <v>5798</v>
      </c>
      <c r="C1934" s="8" t="str">
        <f>IFERROR(_xlfn.XLOOKUP(TRIM(B1934),Lookup!$B$2:$B$1000,Lookup!$C$2:$C$1000),"")</f>
        <v/>
      </c>
      <c r="D1934" s="8" t="str">
        <f>IFERROR(INDEX('nav master'!$C:$C, MATCH(B1934, 'nav master'!$B:$B, 0)), "")</f>
        <v/>
      </c>
      <c r="E1934" s="8">
        <v>66.137299999999996</v>
      </c>
      <c r="F1934" s="9">
        <v>46196</v>
      </c>
    </row>
    <row r="1935" spans="1:6" ht="30" x14ac:dyDescent="0.25">
      <c r="A1935" s="8" t="s">
        <v>63</v>
      </c>
      <c r="B1935" s="8" t="s">
        <v>5798</v>
      </c>
      <c r="C1935" s="8" t="str">
        <f>IFERROR(_xlfn.XLOOKUP(TRIM(B1935),Lookup!$B$2:$B$1000,Lookup!$C$2:$C$1000),"")</f>
        <v/>
      </c>
      <c r="D1935" s="8" t="str">
        <f>IFERROR(INDEX('nav master'!$C:$C, MATCH(B1935, 'nav master'!$B:$B, 0)), "")</f>
        <v/>
      </c>
      <c r="E1935" s="8">
        <v>66.384900000000002</v>
      </c>
      <c r="F1935" s="9">
        <v>46197</v>
      </c>
    </row>
    <row r="1936" spans="1:6" ht="30" x14ac:dyDescent="0.25">
      <c r="A1936" s="8" t="s">
        <v>63</v>
      </c>
      <c r="B1936" s="8" t="s">
        <v>5798</v>
      </c>
      <c r="C1936" s="8" t="str">
        <f>IFERROR(_xlfn.XLOOKUP(TRIM(B1936),Lookup!$B$2:$B$1000,Lookup!$C$2:$C$1000),"")</f>
        <v/>
      </c>
      <c r="D1936" s="8" t="str">
        <f>IFERROR(INDEX('nav master'!$C:$C, MATCH(B1936, 'nav master'!$B:$B, 0)), "")</f>
        <v/>
      </c>
      <c r="E1936" s="8">
        <v>66.658900000000003</v>
      </c>
      <c r="F1936" s="9">
        <v>46198</v>
      </c>
    </row>
    <row r="1937" spans="1:6" ht="30" x14ac:dyDescent="0.25">
      <c r="A1937" s="8" t="s">
        <v>63</v>
      </c>
      <c r="B1937" s="8" t="s">
        <v>5798</v>
      </c>
      <c r="C1937" s="8" t="str">
        <f>IFERROR(_xlfn.XLOOKUP(TRIM(B1937),Lookup!$B$2:$B$1000,Lookup!$C$2:$C$1000),"")</f>
        <v/>
      </c>
      <c r="D1937" s="8" t="str">
        <f>IFERROR(INDEX('nav master'!$C:$C, MATCH(B1937, 'nav master'!$B:$B, 0)), "")</f>
        <v/>
      </c>
      <c r="E1937" s="8">
        <v>66.284499999999994</v>
      </c>
      <c r="F1937" s="9">
        <v>46202</v>
      </c>
    </row>
    <row r="1938" spans="1:6" ht="30" x14ac:dyDescent="0.25">
      <c r="A1938" s="8" t="s">
        <v>63</v>
      </c>
      <c r="B1938" s="8" t="s">
        <v>5798</v>
      </c>
      <c r="C1938" s="8" t="str">
        <f>IFERROR(_xlfn.XLOOKUP(TRIM(B1938),Lookup!$B$2:$B$1000,Lookup!$C$2:$C$1000),"")</f>
        <v/>
      </c>
      <c r="D1938" s="8" t="str">
        <f>IFERROR(INDEX('nav master'!$C:$C, MATCH(B1938, 'nav master'!$B:$B, 0)), "")</f>
        <v/>
      </c>
      <c r="E1938" s="8">
        <v>66.404300000000006</v>
      </c>
      <c r="F1938" s="9">
        <v>46203</v>
      </c>
    </row>
    <row r="1939" spans="1:6" ht="30" x14ac:dyDescent="0.25">
      <c r="A1939" s="8" t="s">
        <v>63</v>
      </c>
      <c r="B1939" s="8" t="s">
        <v>5798</v>
      </c>
      <c r="C1939" s="8" t="str">
        <f>IFERROR(_xlfn.XLOOKUP(TRIM(B1939),Lookup!$B$2:$B$1000,Lookup!$C$2:$C$1000),"")</f>
        <v/>
      </c>
      <c r="D1939" s="8" t="str">
        <f>IFERROR(INDEX('nav master'!$C:$C, MATCH(B1939, 'nav master'!$B:$B, 0)), "")</f>
        <v/>
      </c>
      <c r="E1939" s="8">
        <v>67.141999999999996</v>
      </c>
      <c r="F1939" s="9">
        <v>46204</v>
      </c>
    </row>
    <row r="1940" spans="1:6" ht="30" x14ac:dyDescent="0.25">
      <c r="A1940" s="8" t="s">
        <v>63</v>
      </c>
      <c r="B1940" s="8" t="s">
        <v>5798</v>
      </c>
      <c r="C1940" s="8" t="str">
        <f>IFERROR(_xlfn.XLOOKUP(TRIM(B1940),Lookup!$B$2:$B$1000,Lookup!$C$2:$C$1000),"")</f>
        <v/>
      </c>
      <c r="D1940" s="8" t="str">
        <f>IFERROR(INDEX('nav master'!$C:$C, MATCH(B1940, 'nav master'!$B:$B, 0)), "")</f>
        <v/>
      </c>
      <c r="E1940" s="8">
        <v>67.418899999999994</v>
      </c>
      <c r="F1940" s="9">
        <v>46205</v>
      </c>
    </row>
    <row r="1941" spans="1:6" ht="30" x14ac:dyDescent="0.25">
      <c r="A1941" s="8" t="s">
        <v>63</v>
      </c>
      <c r="B1941" s="8" t="s">
        <v>5798</v>
      </c>
      <c r="C1941" s="8" t="str">
        <f>IFERROR(_xlfn.XLOOKUP(TRIM(B1941),Lookup!$B$2:$B$1000,Lookup!$C$2:$C$1000),"")</f>
        <v/>
      </c>
      <c r="D1941" s="8" t="str">
        <f>IFERROR(INDEX('nav master'!$C:$C, MATCH(B1941, 'nav master'!$B:$B, 0)), "")</f>
        <v/>
      </c>
      <c r="E1941" s="8">
        <v>67.377700000000004</v>
      </c>
      <c r="F1941" s="9">
        <v>46206</v>
      </c>
    </row>
    <row r="1942" spans="1:6" ht="30" x14ac:dyDescent="0.25">
      <c r="A1942" s="8" t="s">
        <v>63</v>
      </c>
      <c r="B1942" s="8" t="s">
        <v>5798</v>
      </c>
      <c r="C1942" s="8" t="str">
        <f>IFERROR(_xlfn.XLOOKUP(TRIM(B1942),Lookup!$B$2:$B$1000,Lookup!$C$2:$C$1000),"")</f>
        <v/>
      </c>
      <c r="D1942" s="8" t="str">
        <f>IFERROR(INDEX('nav master'!$C:$C, MATCH(B1942, 'nav master'!$B:$B, 0)), "")</f>
        <v/>
      </c>
      <c r="E1942" s="8">
        <v>67.627799999999993</v>
      </c>
      <c r="F1942" s="9">
        <v>46209</v>
      </c>
    </row>
    <row r="1943" spans="1:6" ht="30" x14ac:dyDescent="0.25">
      <c r="A1943" s="8" t="s">
        <v>63</v>
      </c>
      <c r="B1943" s="8" t="s">
        <v>5798</v>
      </c>
      <c r="C1943" s="8" t="str">
        <f>IFERROR(_xlfn.XLOOKUP(TRIM(B1943),Lookup!$B$2:$B$1000,Lookup!$C$2:$C$1000),"")</f>
        <v/>
      </c>
      <c r="D1943" s="8" t="str">
        <f>IFERROR(INDEX('nav master'!$C:$C, MATCH(B1943, 'nav master'!$B:$B, 0)), "")</f>
        <v/>
      </c>
      <c r="E1943" s="8">
        <v>67.535399999999996</v>
      </c>
      <c r="F1943" s="9">
        <v>46210</v>
      </c>
    </row>
    <row r="1944" spans="1:6" ht="30" x14ac:dyDescent="0.25">
      <c r="A1944" s="8" t="s">
        <v>63</v>
      </c>
      <c r="B1944" s="8" t="s">
        <v>5798</v>
      </c>
      <c r="C1944" s="8" t="str">
        <f>IFERROR(_xlfn.XLOOKUP(TRIM(B1944),Lookup!$B$2:$B$1000,Lookup!$C$2:$C$1000),"")</f>
        <v/>
      </c>
      <c r="D1944" s="8" t="str">
        <f>IFERROR(INDEX('nav master'!$C:$C, MATCH(B1944, 'nav master'!$B:$B, 0)), "")</f>
        <v/>
      </c>
      <c r="E1944" s="8">
        <v>66.242000000000004</v>
      </c>
      <c r="F1944" s="9">
        <v>46211</v>
      </c>
    </row>
    <row r="1945" spans="1:6" ht="30" x14ac:dyDescent="0.25">
      <c r="A1945" s="8" t="s">
        <v>63</v>
      </c>
      <c r="B1945" s="8" t="s">
        <v>5798</v>
      </c>
      <c r="C1945" s="8" t="str">
        <f>IFERROR(_xlfn.XLOOKUP(TRIM(B1945),Lookup!$B$2:$B$1000,Lookup!$C$2:$C$1000),"")</f>
        <v/>
      </c>
      <c r="D1945" s="8" t="str">
        <f>IFERROR(INDEX('nav master'!$C:$C, MATCH(B1945, 'nav master'!$B:$B, 0)), "")</f>
        <v/>
      </c>
      <c r="E1945" s="8">
        <v>67.130600000000001</v>
      </c>
      <c r="F1945" s="9">
        <v>46212</v>
      </c>
    </row>
    <row r="1946" spans="1:6" ht="30" x14ac:dyDescent="0.25">
      <c r="A1946" s="8" t="s">
        <v>63</v>
      </c>
      <c r="B1946" s="8" t="s">
        <v>5798</v>
      </c>
      <c r="C1946" s="8" t="str">
        <f>IFERROR(_xlfn.XLOOKUP(TRIM(B1946),Lookup!$B$2:$B$1000,Lookup!$C$2:$C$1000),"")</f>
        <v/>
      </c>
      <c r="D1946" s="8" t="str">
        <f>IFERROR(INDEX('nav master'!$C:$C, MATCH(B1946, 'nav master'!$B:$B, 0)), "")</f>
        <v/>
      </c>
      <c r="E1946" s="8">
        <v>67.925600000000003</v>
      </c>
      <c r="F1946" s="9">
        <v>46213</v>
      </c>
    </row>
    <row r="1947" spans="1:6" ht="30" x14ac:dyDescent="0.25">
      <c r="A1947" s="8" t="s">
        <v>63</v>
      </c>
      <c r="B1947" s="8" t="s">
        <v>5798</v>
      </c>
      <c r="C1947" s="8" t="str">
        <f>IFERROR(_xlfn.XLOOKUP(TRIM(B1947),Lookup!$B$2:$B$1000,Lookup!$C$2:$C$1000),"")</f>
        <v/>
      </c>
      <c r="D1947" s="8" t="str">
        <f>IFERROR(INDEX('nav master'!$C:$C, MATCH(B1947, 'nav master'!$B:$B, 0)), "")</f>
        <v/>
      </c>
      <c r="E1947" s="8">
        <v>68.096500000000006</v>
      </c>
      <c r="F1947" s="9">
        <v>46216</v>
      </c>
    </row>
    <row r="1948" spans="1:6" ht="30" x14ac:dyDescent="0.25">
      <c r="A1948" s="8" t="s">
        <v>63</v>
      </c>
      <c r="B1948" s="8" t="s">
        <v>5798</v>
      </c>
      <c r="C1948" s="8" t="str">
        <f>IFERROR(_xlfn.XLOOKUP(TRIM(B1948),Lookup!$B$2:$B$1000,Lookup!$C$2:$C$1000),"")</f>
        <v/>
      </c>
      <c r="D1948" s="8" t="str">
        <f>IFERROR(INDEX('nav master'!$C:$C, MATCH(B1948, 'nav master'!$B:$B, 0)), "")</f>
        <v/>
      </c>
      <c r="E1948" s="8">
        <v>67.5381</v>
      </c>
      <c r="F1948" s="9">
        <v>46217</v>
      </c>
    </row>
    <row r="1949" spans="1:6" ht="30" x14ac:dyDescent="0.25">
      <c r="A1949" s="8" t="s">
        <v>63</v>
      </c>
      <c r="B1949" s="8" t="s">
        <v>5798</v>
      </c>
      <c r="C1949" s="8" t="str">
        <f>IFERROR(_xlfn.XLOOKUP(TRIM(B1949),Lookup!$B$2:$B$1000,Lookup!$C$2:$C$1000),"")</f>
        <v/>
      </c>
      <c r="D1949" s="8" t="str">
        <f>IFERROR(INDEX('nav master'!$C:$C, MATCH(B1949, 'nav master'!$B:$B, 0)), "")</f>
        <v/>
      </c>
      <c r="E1949" s="8">
        <v>67.866399999999999</v>
      </c>
      <c r="F1949" s="9">
        <v>46218</v>
      </c>
    </row>
    <row r="1950" spans="1:6" ht="30" x14ac:dyDescent="0.25">
      <c r="A1950" s="8" t="s">
        <v>63</v>
      </c>
      <c r="B1950" s="8" t="s">
        <v>5798</v>
      </c>
      <c r="C1950" s="8" t="str">
        <f>IFERROR(_xlfn.XLOOKUP(TRIM(B1950),Lookup!$B$2:$B$1000,Lookup!$C$2:$C$1000),"")</f>
        <v/>
      </c>
      <c r="D1950" s="8" t="str">
        <f>IFERROR(INDEX('nav master'!$C:$C, MATCH(B1950, 'nav master'!$B:$B, 0)), "")</f>
        <v/>
      </c>
      <c r="E1950" s="8">
        <v>67.549700000000001</v>
      </c>
      <c r="F1950" s="9">
        <v>46219</v>
      </c>
    </row>
    <row r="1951" spans="1:6" ht="30" x14ac:dyDescent="0.25">
      <c r="A1951" s="8" t="s">
        <v>63</v>
      </c>
      <c r="B1951" s="8" t="s">
        <v>5798</v>
      </c>
      <c r="C1951" s="8" t="str">
        <f>IFERROR(_xlfn.XLOOKUP(TRIM(B1951),Lookup!$B$2:$B$1000,Lookup!$C$2:$C$1000),"")</f>
        <v/>
      </c>
      <c r="D1951" s="8" t="str">
        <f>IFERROR(INDEX('nav master'!$C:$C, MATCH(B1951, 'nav master'!$B:$B, 0)), "")</f>
        <v/>
      </c>
      <c r="E1951" s="8">
        <v>67.634799999999998</v>
      </c>
      <c r="F1951" s="9">
        <v>46220</v>
      </c>
    </row>
    <row r="1952" spans="1:6" ht="30" x14ac:dyDescent="0.25">
      <c r="A1952" s="8" t="s">
        <v>63</v>
      </c>
      <c r="B1952" s="8" t="s">
        <v>5798</v>
      </c>
      <c r="C1952" s="8" t="str">
        <f>IFERROR(_xlfn.XLOOKUP(TRIM(B1952),Lookup!$B$2:$B$1000,Lookup!$C$2:$C$1000),"")</f>
        <v/>
      </c>
      <c r="D1952" s="8" t="str">
        <f>IFERROR(INDEX('nav master'!$C:$C, MATCH(B1952, 'nav master'!$B:$B, 0)), "")</f>
        <v/>
      </c>
      <c r="E1952" s="8">
        <v>67.772900000000007</v>
      </c>
      <c r="F1952" s="9">
        <v>46223</v>
      </c>
    </row>
    <row r="1953" spans="1:6" ht="30" x14ac:dyDescent="0.25">
      <c r="A1953" s="8" t="s">
        <v>63</v>
      </c>
      <c r="B1953" s="8" t="s">
        <v>5798</v>
      </c>
      <c r="C1953" s="8" t="str">
        <f>IFERROR(_xlfn.XLOOKUP(TRIM(B1953),Lookup!$B$2:$B$1000,Lookup!$C$2:$C$1000),"")</f>
        <v/>
      </c>
      <c r="D1953" s="8" t="str">
        <f>IFERROR(INDEX('nav master'!$C:$C, MATCH(B1953, 'nav master'!$B:$B, 0)), "")</f>
        <v/>
      </c>
      <c r="E1953" s="8">
        <v>67.934100000000001</v>
      </c>
      <c r="F1953" s="9">
        <v>46224</v>
      </c>
    </row>
    <row r="1954" spans="1:6" ht="30" x14ac:dyDescent="0.25">
      <c r="A1954" s="8" t="s">
        <v>63</v>
      </c>
      <c r="B1954" s="8" t="s">
        <v>5798</v>
      </c>
      <c r="C1954" s="8" t="str">
        <f>IFERROR(_xlfn.XLOOKUP(TRIM(B1954),Lookup!$B$2:$B$1000,Lookup!$C$2:$C$1000),"")</f>
        <v/>
      </c>
      <c r="D1954" s="8" t="str">
        <f>IFERROR(INDEX('nav master'!$C:$C, MATCH(B1954, 'nav master'!$B:$B, 0)), "")</f>
        <v/>
      </c>
      <c r="E1954" s="8">
        <v>67.185000000000002</v>
      </c>
      <c r="F1954" s="9">
        <v>46225</v>
      </c>
    </row>
    <row r="1955" spans="1:6" ht="30" x14ac:dyDescent="0.25">
      <c r="A1955" s="8" t="s">
        <v>63</v>
      </c>
      <c r="B1955" s="8" t="s">
        <v>5798</v>
      </c>
      <c r="C1955" s="8" t="str">
        <f>IFERROR(_xlfn.XLOOKUP(TRIM(B1955),Lookup!$B$2:$B$1000,Lookup!$C$2:$C$1000),"")</f>
        <v/>
      </c>
      <c r="D1955" s="8" t="str">
        <f>IFERROR(INDEX('nav master'!$C:$C, MATCH(B1955, 'nav master'!$B:$B, 0)), "")</f>
        <v/>
      </c>
      <c r="E1955" s="8">
        <v>66.599500000000006</v>
      </c>
      <c r="F1955" s="9">
        <v>46226</v>
      </c>
    </row>
    <row r="1956" spans="1:6" ht="30" x14ac:dyDescent="0.25">
      <c r="A1956" s="8" t="s">
        <v>63</v>
      </c>
      <c r="B1956" s="8" t="s">
        <v>5798</v>
      </c>
      <c r="C1956" s="8" t="str">
        <f>IFERROR(_xlfn.XLOOKUP(TRIM(B1956),Lookup!$B$2:$B$1000,Lookup!$C$2:$C$1000),"")</f>
        <v/>
      </c>
      <c r="D1956" s="8" t="str">
        <f>IFERROR(INDEX('nav master'!$C:$C, MATCH(B1956, 'nav master'!$B:$B, 0)), "")</f>
        <v/>
      </c>
      <c r="E1956" s="8">
        <v>66.250299999999996</v>
      </c>
      <c r="F1956" s="9">
        <v>46227</v>
      </c>
    </row>
    <row r="1957" spans="1:6" ht="30" x14ac:dyDescent="0.25">
      <c r="A1957" s="8" t="s">
        <v>63</v>
      </c>
      <c r="B1957" s="8" t="s">
        <v>5798</v>
      </c>
      <c r="C1957" s="8" t="str">
        <f>IFERROR(_xlfn.XLOOKUP(TRIM(B1957),Lookup!$B$2:$B$1000,Lookup!$C$2:$C$1000),"")</f>
        <v/>
      </c>
      <c r="D1957" s="8" t="str">
        <f>IFERROR(INDEX('nav master'!$C:$C, MATCH(B1957, 'nav master'!$B:$B, 0)), "")</f>
        <v/>
      </c>
      <c r="E1957" s="8">
        <v>67.246899999999997</v>
      </c>
      <c r="F1957" s="9">
        <v>46230</v>
      </c>
    </row>
    <row r="1958" spans="1:6" ht="30" x14ac:dyDescent="0.25">
      <c r="A1958" s="8" t="s">
        <v>63</v>
      </c>
      <c r="B1958" s="8" t="s">
        <v>5798</v>
      </c>
      <c r="C1958" s="8" t="str">
        <f>IFERROR(_xlfn.XLOOKUP(TRIM(B1958),Lookup!$B$2:$B$1000,Lookup!$C$2:$C$1000),"")</f>
        <v/>
      </c>
      <c r="D1958" s="8" t="str">
        <f>IFERROR(INDEX('nav master'!$C:$C, MATCH(B1958, 'nav master'!$B:$B, 0)), "")</f>
        <v/>
      </c>
      <c r="E1958" s="8">
        <v>67.364000000000004</v>
      </c>
      <c r="F1958" s="9">
        <v>46231</v>
      </c>
    </row>
    <row r="1959" spans="1:6" ht="30" x14ac:dyDescent="0.25">
      <c r="A1959" s="8" t="s">
        <v>63</v>
      </c>
      <c r="B1959" s="8" t="s">
        <v>5798</v>
      </c>
      <c r="C1959" s="8" t="str">
        <f>IFERROR(_xlfn.XLOOKUP(TRIM(B1959),Lookup!$B$2:$B$1000,Lookup!$C$2:$C$1000),"")</f>
        <v/>
      </c>
      <c r="D1959" s="8" t="str">
        <f>IFERROR(INDEX('nav master'!$C:$C, MATCH(B1959, 'nav master'!$B:$B, 0)), "")</f>
        <v/>
      </c>
      <c r="E1959" s="8">
        <v>67.977999999999994</v>
      </c>
      <c r="F1959" s="9">
        <v>46232</v>
      </c>
    </row>
    <row r="1960" spans="1:6" ht="30" x14ac:dyDescent="0.25">
      <c r="A1960" s="8" t="s">
        <v>63</v>
      </c>
      <c r="B1960" s="8" t="s">
        <v>5798</v>
      </c>
      <c r="C1960" s="8" t="str">
        <f>IFERROR(_xlfn.XLOOKUP(TRIM(B1960),Lookup!$B$2:$B$1000,Lookup!$C$2:$C$1000),"")</f>
        <v/>
      </c>
      <c r="D1960" s="8" t="str">
        <f>IFERROR(INDEX('nav master'!$C:$C, MATCH(B1960, 'nav master'!$B:$B, 0)), "")</f>
        <v/>
      </c>
      <c r="E1960" s="8">
        <v>68.0154</v>
      </c>
      <c r="F1960" s="9">
        <v>46233</v>
      </c>
    </row>
    <row r="1961" spans="1:6" ht="30" x14ac:dyDescent="0.25">
      <c r="A1961" s="8" t="s">
        <v>63</v>
      </c>
      <c r="B1961" s="8" t="s">
        <v>5798</v>
      </c>
      <c r="C1961" s="8" t="str">
        <f>IFERROR(_xlfn.XLOOKUP(TRIM(B1961),Lookup!$B$2:$B$1000,Lookup!$C$2:$C$1000),"")</f>
        <v/>
      </c>
      <c r="D1961" s="8" t="str">
        <f>IFERROR(INDEX('nav master'!$C:$C, MATCH(B1961, 'nav master'!$B:$B, 0)), "")</f>
        <v/>
      </c>
      <c r="E1961" s="8">
        <v>68.399199999999993</v>
      </c>
      <c r="F1961" s="9">
        <v>46234</v>
      </c>
    </row>
    <row r="1962" spans="1:6" ht="105" x14ac:dyDescent="0.25">
      <c r="A1962" s="8" t="s">
        <v>63</v>
      </c>
      <c r="B1962" s="8" t="s">
        <v>71</v>
      </c>
      <c r="C1962" s="8" t="str">
        <f>IFERROR(_xlfn.XLOOKUP(TRIM(B1962),Lookup!$B$2:$B$1000,Lookup!$C$2:$C$1000),"")</f>
        <v>Equity - Index (Multicap Momentum Quality)</v>
      </c>
      <c r="D1962" s="8" t="str">
        <f>IFERROR(INDEX('nav master'!$C:$C, MATCH(B1962, 'nav master'!$B:$B, 0)), "")</f>
        <v>ULIF 078 31/12/24 MQI 110</v>
      </c>
      <c r="E1962" s="8">
        <v>9.1548999999999996</v>
      </c>
      <c r="F1962" s="9">
        <v>45869</v>
      </c>
    </row>
    <row r="1963" spans="1:6" ht="105" x14ac:dyDescent="0.25">
      <c r="A1963" s="8" t="s">
        <v>63</v>
      </c>
      <c r="B1963" s="8" t="s">
        <v>71</v>
      </c>
      <c r="C1963" s="8" t="str">
        <f>IFERROR(_xlfn.XLOOKUP(TRIM(B1963),Lookup!$B$2:$B$1000,Lookup!$C$2:$C$1000),"")</f>
        <v>Equity - Index (Multicap Momentum Quality)</v>
      </c>
      <c r="D1963" s="8" t="str">
        <f>IFERROR(INDEX('nav master'!$C:$C, MATCH(B1963, 'nav master'!$B:$B, 0)), "")</f>
        <v>ULIF 078 31/12/24 MQI 110</v>
      </c>
      <c r="E1963" s="8">
        <v>9.0785</v>
      </c>
      <c r="F1963" s="9">
        <v>45870</v>
      </c>
    </row>
    <row r="1964" spans="1:6" ht="105" x14ac:dyDescent="0.25">
      <c r="A1964" s="8" t="s">
        <v>63</v>
      </c>
      <c r="B1964" s="8" t="s">
        <v>71</v>
      </c>
      <c r="C1964" s="8" t="str">
        <f>IFERROR(_xlfn.XLOOKUP(TRIM(B1964),Lookup!$B$2:$B$1000,Lookup!$C$2:$C$1000),"")</f>
        <v>Equity - Index (Multicap Momentum Quality)</v>
      </c>
      <c r="D1964" s="8" t="str">
        <f>IFERROR(INDEX('nav master'!$C:$C, MATCH(B1964, 'nav master'!$B:$B, 0)), "")</f>
        <v>ULIF 078 31/12/24 MQI 110</v>
      </c>
      <c r="E1964" s="8">
        <v>9.1981000000000002</v>
      </c>
      <c r="F1964" s="9">
        <v>45873</v>
      </c>
    </row>
    <row r="1965" spans="1:6" ht="105" x14ac:dyDescent="0.25">
      <c r="A1965" s="8" t="s">
        <v>63</v>
      </c>
      <c r="B1965" s="8" t="s">
        <v>71</v>
      </c>
      <c r="C1965" s="8" t="str">
        <f>IFERROR(_xlfn.XLOOKUP(TRIM(B1965),Lookup!$B$2:$B$1000,Lookup!$C$2:$C$1000),"")</f>
        <v>Equity - Index (Multicap Momentum Quality)</v>
      </c>
      <c r="D1965" s="8" t="str">
        <f>IFERROR(INDEX('nav master'!$C:$C, MATCH(B1965, 'nav master'!$B:$B, 0)), "")</f>
        <v>ULIF 078 31/12/24 MQI 110</v>
      </c>
      <c r="E1965" s="8">
        <v>9.1821000000000002</v>
      </c>
      <c r="F1965" s="9">
        <v>45874</v>
      </c>
    </row>
    <row r="1966" spans="1:6" ht="105" x14ac:dyDescent="0.25">
      <c r="A1966" s="8" t="s">
        <v>63</v>
      </c>
      <c r="B1966" s="8" t="s">
        <v>71</v>
      </c>
      <c r="C1966" s="8" t="str">
        <f>IFERROR(_xlfn.XLOOKUP(TRIM(B1966),Lookup!$B$2:$B$1000,Lookup!$C$2:$C$1000),"")</f>
        <v>Equity - Index (Multicap Momentum Quality)</v>
      </c>
      <c r="D1966" s="8" t="str">
        <f>IFERROR(INDEX('nav master'!$C:$C, MATCH(B1966, 'nav master'!$B:$B, 0)), "")</f>
        <v>ULIF 078 31/12/24 MQI 110</v>
      </c>
      <c r="E1966" s="8">
        <v>9.0719999999999992</v>
      </c>
      <c r="F1966" s="9">
        <v>45875</v>
      </c>
    </row>
    <row r="1967" spans="1:6" ht="105" x14ac:dyDescent="0.25">
      <c r="A1967" s="8" t="s">
        <v>63</v>
      </c>
      <c r="B1967" s="8" t="s">
        <v>71</v>
      </c>
      <c r="C1967" s="8" t="str">
        <f>IFERROR(_xlfn.XLOOKUP(TRIM(B1967),Lookup!$B$2:$B$1000,Lookup!$C$2:$C$1000),"")</f>
        <v>Equity - Index (Multicap Momentum Quality)</v>
      </c>
      <c r="D1967" s="8" t="str">
        <f>IFERROR(INDEX('nav master'!$C:$C, MATCH(B1967, 'nav master'!$B:$B, 0)), "")</f>
        <v>ULIF 078 31/12/24 MQI 110</v>
      </c>
      <c r="E1967" s="8">
        <v>9.0914999999999999</v>
      </c>
      <c r="F1967" s="9">
        <v>45876</v>
      </c>
    </row>
    <row r="1968" spans="1:6" ht="105" x14ac:dyDescent="0.25">
      <c r="A1968" s="8" t="s">
        <v>63</v>
      </c>
      <c r="B1968" s="8" t="s">
        <v>71</v>
      </c>
      <c r="C1968" s="8" t="str">
        <f>IFERROR(_xlfn.XLOOKUP(TRIM(B1968),Lookup!$B$2:$B$1000,Lookup!$C$2:$C$1000),"")</f>
        <v>Equity - Index (Multicap Momentum Quality)</v>
      </c>
      <c r="D1968" s="8" t="str">
        <f>IFERROR(INDEX('nav master'!$C:$C, MATCH(B1968, 'nav master'!$B:$B, 0)), "")</f>
        <v>ULIF 078 31/12/24 MQI 110</v>
      </c>
      <c r="E1968" s="8">
        <v>8.9395000000000007</v>
      </c>
      <c r="F1968" s="9">
        <v>45877</v>
      </c>
    </row>
    <row r="1969" spans="1:6" ht="105" x14ac:dyDescent="0.25">
      <c r="A1969" s="8" t="s">
        <v>63</v>
      </c>
      <c r="B1969" s="8" t="s">
        <v>71</v>
      </c>
      <c r="C1969" s="8" t="str">
        <f>IFERROR(_xlfn.XLOOKUP(TRIM(B1969),Lookup!$B$2:$B$1000,Lookup!$C$2:$C$1000),"")</f>
        <v>Equity - Index (Multicap Momentum Quality)</v>
      </c>
      <c r="D1969" s="8" t="str">
        <f>IFERROR(INDEX('nav master'!$C:$C, MATCH(B1969, 'nav master'!$B:$B, 0)), "")</f>
        <v>ULIF 078 31/12/24 MQI 110</v>
      </c>
      <c r="E1969" s="8">
        <v>8.9786999999999999</v>
      </c>
      <c r="F1969" s="9">
        <v>45880</v>
      </c>
    </row>
    <row r="1970" spans="1:6" ht="105" x14ac:dyDescent="0.25">
      <c r="A1970" s="8" t="s">
        <v>63</v>
      </c>
      <c r="B1970" s="8" t="s">
        <v>71</v>
      </c>
      <c r="C1970" s="8" t="str">
        <f>IFERROR(_xlfn.XLOOKUP(TRIM(B1970),Lookup!$B$2:$B$1000,Lookup!$C$2:$C$1000),"")</f>
        <v>Equity - Index (Multicap Momentum Quality)</v>
      </c>
      <c r="D1970" s="8" t="str">
        <f>IFERROR(INDEX('nav master'!$C:$C, MATCH(B1970, 'nav master'!$B:$B, 0)), "")</f>
        <v>ULIF 078 31/12/24 MQI 110</v>
      </c>
      <c r="E1970" s="8">
        <v>8.9109999999999996</v>
      </c>
      <c r="F1970" s="9">
        <v>45881</v>
      </c>
    </row>
    <row r="1971" spans="1:6" ht="105" x14ac:dyDescent="0.25">
      <c r="A1971" s="8" t="s">
        <v>63</v>
      </c>
      <c r="B1971" s="8" t="s">
        <v>71</v>
      </c>
      <c r="C1971" s="8" t="str">
        <f>IFERROR(_xlfn.XLOOKUP(TRIM(B1971),Lookup!$B$2:$B$1000,Lookup!$C$2:$C$1000),"")</f>
        <v>Equity - Index (Multicap Momentum Quality)</v>
      </c>
      <c r="D1971" s="8" t="str">
        <f>IFERROR(INDEX('nav master'!$C:$C, MATCH(B1971, 'nav master'!$B:$B, 0)), "")</f>
        <v>ULIF 078 31/12/24 MQI 110</v>
      </c>
      <c r="E1971" s="8">
        <v>8.9885999999999999</v>
      </c>
      <c r="F1971" s="9">
        <v>45882</v>
      </c>
    </row>
    <row r="1972" spans="1:6" ht="105" x14ac:dyDescent="0.25">
      <c r="A1972" s="8" t="s">
        <v>63</v>
      </c>
      <c r="B1972" s="8" t="s">
        <v>71</v>
      </c>
      <c r="C1972" s="8" t="str">
        <f>IFERROR(_xlfn.XLOOKUP(TRIM(B1972),Lookup!$B$2:$B$1000,Lookup!$C$2:$C$1000),"")</f>
        <v>Equity - Index (Multicap Momentum Quality)</v>
      </c>
      <c r="D1972" s="8" t="str">
        <f>IFERROR(INDEX('nav master'!$C:$C, MATCH(B1972, 'nav master'!$B:$B, 0)), "")</f>
        <v>ULIF 078 31/12/24 MQI 110</v>
      </c>
      <c r="E1972" s="8">
        <v>8.9938000000000002</v>
      </c>
      <c r="F1972" s="9">
        <v>45883</v>
      </c>
    </row>
    <row r="1973" spans="1:6" ht="105" x14ac:dyDescent="0.25">
      <c r="A1973" s="8" t="s">
        <v>63</v>
      </c>
      <c r="B1973" s="8" t="s">
        <v>71</v>
      </c>
      <c r="C1973" s="8" t="str">
        <f>IFERROR(_xlfn.XLOOKUP(TRIM(B1973),Lookup!$B$2:$B$1000,Lookup!$C$2:$C$1000),"")</f>
        <v>Equity - Index (Multicap Momentum Quality)</v>
      </c>
      <c r="D1973" s="8" t="str">
        <f>IFERROR(INDEX('nav master'!$C:$C, MATCH(B1973, 'nav master'!$B:$B, 0)), "")</f>
        <v>ULIF 078 31/12/24 MQI 110</v>
      </c>
      <c r="E1973" s="8">
        <v>9.0808999999999997</v>
      </c>
      <c r="F1973" s="9">
        <v>45887</v>
      </c>
    </row>
    <row r="1974" spans="1:6" ht="105" x14ac:dyDescent="0.25">
      <c r="A1974" s="8" t="s">
        <v>63</v>
      </c>
      <c r="B1974" s="8" t="s">
        <v>71</v>
      </c>
      <c r="C1974" s="8" t="str">
        <f>IFERROR(_xlfn.XLOOKUP(TRIM(B1974),Lookup!$B$2:$B$1000,Lookup!$C$2:$C$1000),"")</f>
        <v>Equity - Index (Multicap Momentum Quality)</v>
      </c>
      <c r="D1974" s="8" t="str">
        <f>IFERROR(INDEX('nav master'!$C:$C, MATCH(B1974, 'nav master'!$B:$B, 0)), "")</f>
        <v>ULIF 078 31/12/24 MQI 110</v>
      </c>
      <c r="E1974" s="8">
        <v>9.1105</v>
      </c>
      <c r="F1974" s="9">
        <v>45888</v>
      </c>
    </row>
    <row r="1975" spans="1:6" ht="105" x14ac:dyDescent="0.25">
      <c r="A1975" s="8" t="s">
        <v>63</v>
      </c>
      <c r="B1975" s="8" t="s">
        <v>71</v>
      </c>
      <c r="C1975" s="8" t="str">
        <f>IFERROR(_xlfn.XLOOKUP(TRIM(B1975),Lookup!$B$2:$B$1000,Lookup!$C$2:$C$1000),"")</f>
        <v>Equity - Index (Multicap Momentum Quality)</v>
      </c>
      <c r="D1975" s="8" t="str">
        <f>IFERROR(INDEX('nav master'!$C:$C, MATCH(B1975, 'nav master'!$B:$B, 0)), "")</f>
        <v>ULIF 078 31/12/24 MQI 110</v>
      </c>
      <c r="E1975" s="8">
        <v>9.1745000000000001</v>
      </c>
      <c r="F1975" s="9">
        <v>45889</v>
      </c>
    </row>
    <row r="1976" spans="1:6" ht="105" x14ac:dyDescent="0.25">
      <c r="A1976" s="8" t="s">
        <v>63</v>
      </c>
      <c r="B1976" s="8" t="s">
        <v>71</v>
      </c>
      <c r="C1976" s="8" t="str">
        <f>IFERROR(_xlfn.XLOOKUP(TRIM(B1976),Lookup!$B$2:$B$1000,Lookup!$C$2:$C$1000),"")</f>
        <v>Equity - Index (Multicap Momentum Quality)</v>
      </c>
      <c r="D1976" s="8" t="str">
        <f>IFERROR(INDEX('nav master'!$C:$C, MATCH(B1976, 'nav master'!$B:$B, 0)), "")</f>
        <v>ULIF 078 31/12/24 MQI 110</v>
      </c>
      <c r="E1976" s="8">
        <v>9.1295000000000002</v>
      </c>
      <c r="F1976" s="9">
        <v>45890</v>
      </c>
    </row>
    <row r="1977" spans="1:6" ht="105" x14ac:dyDescent="0.25">
      <c r="A1977" s="8" t="s">
        <v>63</v>
      </c>
      <c r="B1977" s="8" t="s">
        <v>71</v>
      </c>
      <c r="C1977" s="8" t="str">
        <f>IFERROR(_xlfn.XLOOKUP(TRIM(B1977),Lookup!$B$2:$B$1000,Lookup!$C$2:$C$1000),"")</f>
        <v>Equity - Index (Multicap Momentum Quality)</v>
      </c>
      <c r="D1977" s="8" t="str">
        <f>IFERROR(INDEX('nav master'!$C:$C, MATCH(B1977, 'nav master'!$B:$B, 0)), "")</f>
        <v>ULIF 078 31/12/24 MQI 110</v>
      </c>
      <c r="E1977" s="8">
        <v>9.1164000000000005</v>
      </c>
      <c r="F1977" s="9">
        <v>45891</v>
      </c>
    </row>
    <row r="1978" spans="1:6" ht="105" x14ac:dyDescent="0.25">
      <c r="A1978" s="8" t="s">
        <v>63</v>
      </c>
      <c r="B1978" s="8" t="s">
        <v>71</v>
      </c>
      <c r="C1978" s="8" t="str">
        <f>IFERROR(_xlfn.XLOOKUP(TRIM(B1978),Lookup!$B$2:$B$1000,Lookup!$C$2:$C$1000),"")</f>
        <v>Equity - Index (Multicap Momentum Quality)</v>
      </c>
      <c r="D1978" s="8" t="str">
        <f>IFERROR(INDEX('nav master'!$C:$C, MATCH(B1978, 'nav master'!$B:$B, 0)), "")</f>
        <v>ULIF 078 31/12/24 MQI 110</v>
      </c>
      <c r="E1978" s="8">
        <v>9.1370000000000005</v>
      </c>
      <c r="F1978" s="9">
        <v>45894</v>
      </c>
    </row>
    <row r="1979" spans="1:6" ht="105" x14ac:dyDescent="0.25">
      <c r="A1979" s="8" t="s">
        <v>63</v>
      </c>
      <c r="B1979" s="8" t="s">
        <v>71</v>
      </c>
      <c r="C1979" s="8" t="str">
        <f>IFERROR(_xlfn.XLOOKUP(TRIM(B1979),Lookup!$B$2:$B$1000,Lookup!$C$2:$C$1000),"")</f>
        <v>Equity - Index (Multicap Momentum Quality)</v>
      </c>
      <c r="D1979" s="8" t="str">
        <f>IFERROR(INDEX('nav master'!$C:$C, MATCH(B1979, 'nav master'!$B:$B, 0)), "")</f>
        <v>ULIF 078 31/12/24 MQI 110</v>
      </c>
      <c r="E1979" s="8">
        <v>9.0351999999999997</v>
      </c>
      <c r="F1979" s="9">
        <v>45895</v>
      </c>
    </row>
    <row r="1980" spans="1:6" ht="105" x14ac:dyDescent="0.25">
      <c r="A1980" s="8" t="s">
        <v>63</v>
      </c>
      <c r="B1980" s="8" t="s">
        <v>71</v>
      </c>
      <c r="C1980" s="8" t="str">
        <f>IFERROR(_xlfn.XLOOKUP(TRIM(B1980),Lookup!$B$2:$B$1000,Lookup!$C$2:$C$1000),"")</f>
        <v>Equity - Index (Multicap Momentum Quality)</v>
      </c>
      <c r="D1980" s="8" t="str">
        <f>IFERROR(INDEX('nav master'!$C:$C, MATCH(B1980, 'nav master'!$B:$B, 0)), "")</f>
        <v>ULIF 078 31/12/24 MQI 110</v>
      </c>
      <c r="E1980" s="8">
        <v>8.9265000000000008</v>
      </c>
      <c r="F1980" s="9">
        <v>45897</v>
      </c>
    </row>
    <row r="1981" spans="1:6" ht="105" x14ac:dyDescent="0.25">
      <c r="A1981" s="8" t="s">
        <v>63</v>
      </c>
      <c r="B1981" s="8" t="s">
        <v>71</v>
      </c>
      <c r="C1981" s="8" t="str">
        <f>IFERROR(_xlfn.XLOOKUP(TRIM(B1981),Lookup!$B$2:$B$1000,Lookup!$C$2:$C$1000),"")</f>
        <v>Equity - Index (Multicap Momentum Quality)</v>
      </c>
      <c r="D1981" s="8" t="str">
        <f>IFERROR(INDEX('nav master'!$C:$C, MATCH(B1981, 'nav master'!$B:$B, 0)), "")</f>
        <v>ULIF 078 31/12/24 MQI 110</v>
      </c>
      <c r="E1981" s="8">
        <v>8.9169999999999998</v>
      </c>
      <c r="F1981" s="9">
        <v>45898</v>
      </c>
    </row>
    <row r="1982" spans="1:6" ht="105" x14ac:dyDescent="0.25">
      <c r="A1982" s="8" t="s">
        <v>63</v>
      </c>
      <c r="B1982" s="8" t="s">
        <v>71</v>
      </c>
      <c r="C1982" s="8" t="str">
        <f>IFERROR(_xlfn.XLOOKUP(TRIM(B1982),Lookup!$B$2:$B$1000,Lookup!$C$2:$C$1000),"")</f>
        <v>Equity - Index (Multicap Momentum Quality)</v>
      </c>
      <c r="D1982" s="8" t="str">
        <f>IFERROR(INDEX('nav master'!$C:$C, MATCH(B1982, 'nav master'!$B:$B, 0)), "")</f>
        <v>ULIF 078 31/12/24 MQI 110</v>
      </c>
      <c r="E1982" s="8">
        <v>9.0868000000000002</v>
      </c>
      <c r="F1982" s="9">
        <v>45901</v>
      </c>
    </row>
    <row r="1983" spans="1:6" ht="105" x14ac:dyDescent="0.25">
      <c r="A1983" s="8" t="s">
        <v>63</v>
      </c>
      <c r="B1983" s="8" t="s">
        <v>71</v>
      </c>
      <c r="C1983" s="8" t="str">
        <f>IFERROR(_xlfn.XLOOKUP(TRIM(B1983),Lookup!$B$2:$B$1000,Lookup!$C$2:$C$1000),"")</f>
        <v>Equity - Index (Multicap Momentum Quality)</v>
      </c>
      <c r="D1983" s="8" t="str">
        <f>IFERROR(INDEX('nav master'!$C:$C, MATCH(B1983, 'nav master'!$B:$B, 0)), "")</f>
        <v>ULIF 078 31/12/24 MQI 110</v>
      </c>
      <c r="E1983" s="8">
        <v>9.1221999999999994</v>
      </c>
      <c r="F1983" s="9">
        <v>45902</v>
      </c>
    </row>
    <row r="1984" spans="1:6" ht="105" x14ac:dyDescent="0.25">
      <c r="A1984" s="8" t="s">
        <v>63</v>
      </c>
      <c r="B1984" s="8" t="s">
        <v>71</v>
      </c>
      <c r="C1984" s="8" t="str">
        <f>IFERROR(_xlfn.XLOOKUP(TRIM(B1984),Lookup!$B$2:$B$1000,Lookup!$C$2:$C$1000),"")</f>
        <v>Equity - Index (Multicap Momentum Quality)</v>
      </c>
      <c r="D1984" s="8" t="str">
        <f>IFERROR(INDEX('nav master'!$C:$C, MATCH(B1984, 'nav master'!$B:$B, 0)), "")</f>
        <v>ULIF 078 31/12/24 MQI 110</v>
      </c>
      <c r="E1984" s="8">
        <v>9.1455000000000002</v>
      </c>
      <c r="F1984" s="9">
        <v>45903</v>
      </c>
    </row>
    <row r="1985" spans="1:6" ht="105" x14ac:dyDescent="0.25">
      <c r="A1985" s="8" t="s">
        <v>63</v>
      </c>
      <c r="B1985" s="8" t="s">
        <v>71</v>
      </c>
      <c r="C1985" s="8" t="str">
        <f>IFERROR(_xlfn.XLOOKUP(TRIM(B1985),Lookup!$B$2:$B$1000,Lookup!$C$2:$C$1000),"")</f>
        <v>Equity - Index (Multicap Momentum Quality)</v>
      </c>
      <c r="D1985" s="8" t="str">
        <f>IFERROR(INDEX('nav master'!$C:$C, MATCH(B1985, 'nav master'!$B:$B, 0)), "")</f>
        <v>ULIF 078 31/12/24 MQI 110</v>
      </c>
      <c r="E1985" s="8">
        <v>9.1428999999999991</v>
      </c>
      <c r="F1985" s="9">
        <v>45904</v>
      </c>
    </row>
    <row r="1986" spans="1:6" ht="105" x14ac:dyDescent="0.25">
      <c r="A1986" s="8" t="s">
        <v>63</v>
      </c>
      <c r="B1986" s="8" t="s">
        <v>71</v>
      </c>
      <c r="C1986" s="8" t="str">
        <f>IFERROR(_xlfn.XLOOKUP(TRIM(B1986),Lookup!$B$2:$B$1000,Lookup!$C$2:$C$1000),"")</f>
        <v>Equity - Index (Multicap Momentum Quality)</v>
      </c>
      <c r="D1986" s="8" t="str">
        <f>IFERROR(INDEX('nav master'!$C:$C, MATCH(B1986, 'nav master'!$B:$B, 0)), "")</f>
        <v>ULIF 078 31/12/24 MQI 110</v>
      </c>
      <c r="E1986" s="8">
        <v>9.1283999999999992</v>
      </c>
      <c r="F1986" s="9">
        <v>45905</v>
      </c>
    </row>
    <row r="1987" spans="1:6" ht="105" x14ac:dyDescent="0.25">
      <c r="A1987" s="8" t="s">
        <v>63</v>
      </c>
      <c r="B1987" s="8" t="s">
        <v>71</v>
      </c>
      <c r="C1987" s="8" t="str">
        <f>IFERROR(_xlfn.XLOOKUP(TRIM(B1987),Lookup!$B$2:$B$1000,Lookup!$C$2:$C$1000),"")</f>
        <v>Equity - Index (Multicap Momentum Quality)</v>
      </c>
      <c r="D1987" s="8" t="str">
        <f>IFERROR(INDEX('nav master'!$C:$C, MATCH(B1987, 'nav master'!$B:$B, 0)), "")</f>
        <v>ULIF 078 31/12/24 MQI 110</v>
      </c>
      <c r="E1987" s="8">
        <v>9.1614000000000004</v>
      </c>
      <c r="F1987" s="9">
        <v>45908</v>
      </c>
    </row>
    <row r="1988" spans="1:6" ht="105" x14ac:dyDescent="0.25">
      <c r="A1988" s="8" t="s">
        <v>63</v>
      </c>
      <c r="B1988" s="8" t="s">
        <v>71</v>
      </c>
      <c r="C1988" s="8" t="str">
        <f>IFERROR(_xlfn.XLOOKUP(TRIM(B1988),Lookup!$B$2:$B$1000,Lookup!$C$2:$C$1000),"")</f>
        <v>Equity - Index (Multicap Momentum Quality)</v>
      </c>
      <c r="D1988" s="8" t="str">
        <f>IFERROR(INDEX('nav master'!$C:$C, MATCH(B1988, 'nav master'!$B:$B, 0)), "")</f>
        <v>ULIF 078 31/12/24 MQI 110</v>
      </c>
      <c r="E1988" s="8">
        <v>9.2040000000000006</v>
      </c>
      <c r="F1988" s="9">
        <v>45909</v>
      </c>
    </row>
    <row r="1989" spans="1:6" ht="105" x14ac:dyDescent="0.25">
      <c r="A1989" s="8" t="s">
        <v>63</v>
      </c>
      <c r="B1989" s="8" t="s">
        <v>71</v>
      </c>
      <c r="C1989" s="8" t="str">
        <f>IFERROR(_xlfn.XLOOKUP(TRIM(B1989),Lookup!$B$2:$B$1000,Lookup!$C$2:$C$1000),"")</f>
        <v>Equity - Index (Multicap Momentum Quality)</v>
      </c>
      <c r="D1989" s="8" t="str">
        <f>IFERROR(INDEX('nav master'!$C:$C, MATCH(B1989, 'nav master'!$B:$B, 0)), "")</f>
        <v>ULIF 078 31/12/24 MQI 110</v>
      </c>
      <c r="E1989" s="8">
        <v>9.3294999999999995</v>
      </c>
      <c r="F1989" s="9">
        <v>45910</v>
      </c>
    </row>
    <row r="1990" spans="1:6" ht="105" x14ac:dyDescent="0.25">
      <c r="A1990" s="8" t="s">
        <v>63</v>
      </c>
      <c r="B1990" s="8" t="s">
        <v>71</v>
      </c>
      <c r="C1990" s="8" t="str">
        <f>IFERROR(_xlfn.XLOOKUP(TRIM(B1990),Lookup!$B$2:$B$1000,Lookup!$C$2:$C$1000),"")</f>
        <v>Equity - Index (Multicap Momentum Quality)</v>
      </c>
      <c r="D1990" s="8" t="str">
        <f>IFERROR(INDEX('nav master'!$C:$C, MATCH(B1990, 'nav master'!$B:$B, 0)), "")</f>
        <v>ULIF 078 31/12/24 MQI 110</v>
      </c>
      <c r="E1990" s="8">
        <v>9.3041999999999998</v>
      </c>
      <c r="F1990" s="9">
        <v>45911</v>
      </c>
    </row>
    <row r="1991" spans="1:6" ht="105" x14ac:dyDescent="0.25">
      <c r="A1991" s="8" t="s">
        <v>63</v>
      </c>
      <c r="B1991" s="8" t="s">
        <v>71</v>
      </c>
      <c r="C1991" s="8" t="str">
        <f>IFERROR(_xlfn.XLOOKUP(TRIM(B1991),Lookup!$B$2:$B$1000,Lookup!$C$2:$C$1000),"")</f>
        <v>Equity - Index (Multicap Momentum Quality)</v>
      </c>
      <c r="D1991" s="8" t="str">
        <f>IFERROR(INDEX('nav master'!$C:$C, MATCH(B1991, 'nav master'!$B:$B, 0)), "")</f>
        <v>ULIF 078 31/12/24 MQI 110</v>
      </c>
      <c r="E1991" s="8">
        <v>9.3838000000000008</v>
      </c>
      <c r="F1991" s="9">
        <v>45912</v>
      </c>
    </row>
    <row r="1992" spans="1:6" ht="105" x14ac:dyDescent="0.25">
      <c r="A1992" s="8" t="s">
        <v>63</v>
      </c>
      <c r="B1992" s="8" t="s">
        <v>71</v>
      </c>
      <c r="C1992" s="8" t="str">
        <f>IFERROR(_xlfn.XLOOKUP(TRIM(B1992),Lookup!$B$2:$B$1000,Lookup!$C$2:$C$1000),"")</f>
        <v>Equity - Index (Multicap Momentum Quality)</v>
      </c>
      <c r="D1992" s="8" t="str">
        <f>IFERROR(INDEX('nav master'!$C:$C, MATCH(B1992, 'nav master'!$B:$B, 0)), "")</f>
        <v>ULIF 078 31/12/24 MQI 110</v>
      </c>
      <c r="E1992" s="8">
        <v>9.3848000000000003</v>
      </c>
      <c r="F1992" s="9">
        <v>45915</v>
      </c>
    </row>
    <row r="1993" spans="1:6" ht="105" x14ac:dyDescent="0.25">
      <c r="A1993" s="8" t="s">
        <v>63</v>
      </c>
      <c r="B1993" s="8" t="s">
        <v>71</v>
      </c>
      <c r="C1993" s="8" t="str">
        <f>IFERROR(_xlfn.XLOOKUP(TRIM(B1993),Lookup!$B$2:$B$1000,Lookup!$C$2:$C$1000),"")</f>
        <v>Equity - Index (Multicap Momentum Quality)</v>
      </c>
      <c r="D1993" s="8" t="str">
        <f>IFERROR(INDEX('nav master'!$C:$C, MATCH(B1993, 'nav master'!$B:$B, 0)), "")</f>
        <v>ULIF 078 31/12/24 MQI 110</v>
      </c>
      <c r="E1993" s="8">
        <v>9.4469999999999992</v>
      </c>
      <c r="F1993" s="9">
        <v>45916</v>
      </c>
    </row>
    <row r="1994" spans="1:6" ht="105" x14ac:dyDescent="0.25">
      <c r="A1994" s="8" t="s">
        <v>63</v>
      </c>
      <c r="B1994" s="8" t="s">
        <v>71</v>
      </c>
      <c r="C1994" s="8" t="str">
        <f>IFERROR(_xlfn.XLOOKUP(TRIM(B1994),Lookup!$B$2:$B$1000,Lookup!$C$2:$C$1000),"")</f>
        <v>Equity - Index (Multicap Momentum Quality)</v>
      </c>
      <c r="D1994" s="8" t="str">
        <f>IFERROR(INDEX('nav master'!$C:$C, MATCH(B1994, 'nav master'!$B:$B, 0)), "")</f>
        <v>ULIF 078 31/12/24 MQI 110</v>
      </c>
      <c r="E1994" s="8">
        <v>9.4949999999999992</v>
      </c>
      <c r="F1994" s="9">
        <v>45917</v>
      </c>
    </row>
    <row r="1995" spans="1:6" ht="105" x14ac:dyDescent="0.25">
      <c r="A1995" s="8" t="s">
        <v>63</v>
      </c>
      <c r="B1995" s="8" t="s">
        <v>71</v>
      </c>
      <c r="C1995" s="8" t="str">
        <f>IFERROR(_xlfn.XLOOKUP(TRIM(B1995),Lookup!$B$2:$B$1000,Lookup!$C$2:$C$1000),"")</f>
        <v>Equity - Index (Multicap Momentum Quality)</v>
      </c>
      <c r="D1995" s="8" t="str">
        <f>IFERROR(INDEX('nav master'!$C:$C, MATCH(B1995, 'nav master'!$B:$B, 0)), "")</f>
        <v>ULIF 078 31/12/24 MQI 110</v>
      </c>
      <c r="E1995" s="8">
        <v>9.4969999999999999</v>
      </c>
      <c r="F1995" s="9">
        <v>45918</v>
      </c>
    </row>
    <row r="1996" spans="1:6" ht="105" x14ac:dyDescent="0.25">
      <c r="A1996" s="8" t="s">
        <v>63</v>
      </c>
      <c r="B1996" s="8" t="s">
        <v>71</v>
      </c>
      <c r="C1996" s="8" t="str">
        <f>IFERROR(_xlfn.XLOOKUP(TRIM(B1996),Lookup!$B$2:$B$1000,Lookup!$C$2:$C$1000),"")</f>
        <v>Equity - Index (Multicap Momentum Quality)</v>
      </c>
      <c r="D1996" s="8" t="str">
        <f>IFERROR(INDEX('nav master'!$C:$C, MATCH(B1996, 'nav master'!$B:$B, 0)), "")</f>
        <v>ULIF 078 31/12/24 MQI 110</v>
      </c>
      <c r="E1996" s="8">
        <v>9.4887999999999995</v>
      </c>
      <c r="F1996" s="9">
        <v>45919</v>
      </c>
    </row>
    <row r="1997" spans="1:6" ht="105" x14ac:dyDescent="0.25">
      <c r="A1997" s="8" t="s">
        <v>63</v>
      </c>
      <c r="B1997" s="8" t="s">
        <v>71</v>
      </c>
      <c r="C1997" s="8" t="str">
        <f>IFERROR(_xlfn.XLOOKUP(TRIM(B1997),Lookup!$B$2:$B$1000,Lookup!$C$2:$C$1000),"")</f>
        <v>Equity - Index (Multicap Momentum Quality)</v>
      </c>
      <c r="D1997" s="8" t="str">
        <f>IFERROR(INDEX('nav master'!$C:$C, MATCH(B1997, 'nav master'!$B:$B, 0)), "")</f>
        <v>ULIF 078 31/12/24 MQI 110</v>
      </c>
      <c r="E1997" s="8">
        <v>9.3888999999999996</v>
      </c>
      <c r="F1997" s="9">
        <v>45922</v>
      </c>
    </row>
    <row r="1998" spans="1:6" ht="105" x14ac:dyDescent="0.25">
      <c r="A1998" s="8" t="s">
        <v>63</v>
      </c>
      <c r="B1998" s="8" t="s">
        <v>71</v>
      </c>
      <c r="C1998" s="8" t="str">
        <f>IFERROR(_xlfn.XLOOKUP(TRIM(B1998),Lookup!$B$2:$B$1000,Lookup!$C$2:$C$1000),"")</f>
        <v>Equity - Index (Multicap Momentum Quality)</v>
      </c>
      <c r="D1998" s="8" t="str">
        <f>IFERROR(INDEX('nav master'!$C:$C, MATCH(B1998, 'nav master'!$B:$B, 0)), "")</f>
        <v>ULIF 078 31/12/24 MQI 110</v>
      </c>
      <c r="E1998" s="8">
        <v>9.3261000000000003</v>
      </c>
      <c r="F1998" s="9">
        <v>45923</v>
      </c>
    </row>
    <row r="1999" spans="1:6" ht="105" x14ac:dyDescent="0.25">
      <c r="A1999" s="8" t="s">
        <v>63</v>
      </c>
      <c r="B1999" s="8" t="s">
        <v>71</v>
      </c>
      <c r="C1999" s="8" t="str">
        <f>IFERROR(_xlfn.XLOOKUP(TRIM(B1999),Lookup!$B$2:$B$1000,Lookup!$C$2:$C$1000),"")</f>
        <v>Equity - Index (Multicap Momentum Quality)</v>
      </c>
      <c r="D1999" s="8" t="str">
        <f>IFERROR(INDEX('nav master'!$C:$C, MATCH(B1999, 'nav master'!$B:$B, 0)), "")</f>
        <v>ULIF 078 31/12/24 MQI 110</v>
      </c>
      <c r="E1999" s="8">
        <v>9.2502999999999993</v>
      </c>
      <c r="F1999" s="9">
        <v>45924</v>
      </c>
    </row>
    <row r="2000" spans="1:6" ht="105" x14ac:dyDescent="0.25">
      <c r="A2000" s="8" t="s">
        <v>63</v>
      </c>
      <c r="B2000" s="8" t="s">
        <v>71</v>
      </c>
      <c r="C2000" s="8" t="str">
        <f>IFERROR(_xlfn.XLOOKUP(TRIM(B2000),Lookup!$B$2:$B$1000,Lookup!$C$2:$C$1000),"")</f>
        <v>Equity - Index (Multicap Momentum Quality)</v>
      </c>
      <c r="D2000" s="8" t="str">
        <f>IFERROR(INDEX('nav master'!$C:$C, MATCH(B2000, 'nav master'!$B:$B, 0)), "")</f>
        <v>ULIF 078 31/12/24 MQI 110</v>
      </c>
      <c r="E2000" s="8">
        <v>9.2041000000000004</v>
      </c>
      <c r="F2000" s="9">
        <v>45925</v>
      </c>
    </row>
    <row r="2001" spans="1:6" ht="105" x14ac:dyDescent="0.25">
      <c r="A2001" s="8" t="s">
        <v>63</v>
      </c>
      <c r="B2001" s="8" t="s">
        <v>71</v>
      </c>
      <c r="C2001" s="8" t="str">
        <f>IFERROR(_xlfn.XLOOKUP(TRIM(B2001),Lookup!$B$2:$B$1000,Lookup!$C$2:$C$1000),"")</f>
        <v>Equity - Index (Multicap Momentum Quality)</v>
      </c>
      <c r="D2001" s="8" t="str">
        <f>IFERROR(INDEX('nav master'!$C:$C, MATCH(B2001, 'nav master'!$B:$B, 0)), "")</f>
        <v>ULIF 078 31/12/24 MQI 110</v>
      </c>
      <c r="E2001" s="8">
        <v>9.0241000000000007</v>
      </c>
      <c r="F2001" s="9">
        <v>45926</v>
      </c>
    </row>
    <row r="2002" spans="1:6" ht="105" x14ac:dyDescent="0.25">
      <c r="A2002" s="8" t="s">
        <v>63</v>
      </c>
      <c r="B2002" s="8" t="s">
        <v>71</v>
      </c>
      <c r="C2002" s="8" t="str">
        <f>IFERROR(_xlfn.XLOOKUP(TRIM(B2002),Lookup!$B$2:$B$1000,Lookup!$C$2:$C$1000),"")</f>
        <v>Equity - Index (Multicap Momentum Quality)</v>
      </c>
      <c r="D2002" s="8" t="str">
        <f>IFERROR(INDEX('nav master'!$C:$C, MATCH(B2002, 'nav master'!$B:$B, 0)), "")</f>
        <v>ULIF 078 31/12/24 MQI 110</v>
      </c>
      <c r="E2002" s="8">
        <v>9.0299999999999994</v>
      </c>
      <c r="F2002" s="9">
        <v>45929</v>
      </c>
    </row>
    <row r="2003" spans="1:6" ht="105" x14ac:dyDescent="0.25">
      <c r="A2003" s="8" t="s">
        <v>63</v>
      </c>
      <c r="B2003" s="8" t="s">
        <v>71</v>
      </c>
      <c r="C2003" s="8" t="str">
        <f>IFERROR(_xlfn.XLOOKUP(TRIM(B2003),Lookup!$B$2:$B$1000,Lookup!$C$2:$C$1000),"")</f>
        <v>Equity - Index (Multicap Momentum Quality)</v>
      </c>
      <c r="D2003" s="8" t="str">
        <f>IFERROR(INDEX('nav master'!$C:$C, MATCH(B2003, 'nav master'!$B:$B, 0)), "")</f>
        <v>ULIF 078 31/12/24 MQI 110</v>
      </c>
      <c r="E2003" s="8">
        <v>9.0134000000000007</v>
      </c>
      <c r="F2003" s="9">
        <v>45930</v>
      </c>
    </row>
    <row r="2004" spans="1:6" ht="105" x14ac:dyDescent="0.25">
      <c r="A2004" s="8" t="s">
        <v>63</v>
      </c>
      <c r="B2004" s="8" t="s">
        <v>71</v>
      </c>
      <c r="C2004" s="8" t="str">
        <f>IFERROR(_xlfn.XLOOKUP(TRIM(B2004),Lookup!$B$2:$B$1000,Lookup!$C$2:$C$1000),"")</f>
        <v>Equity - Index (Multicap Momentum Quality)</v>
      </c>
      <c r="D2004" s="8" t="str">
        <f>IFERROR(INDEX('nav master'!$C:$C, MATCH(B2004, 'nav master'!$B:$B, 0)), "")</f>
        <v>ULIF 078 31/12/24 MQI 110</v>
      </c>
      <c r="E2004" s="8">
        <v>9.0763999999999996</v>
      </c>
      <c r="F2004" s="9">
        <v>45931</v>
      </c>
    </row>
    <row r="2005" spans="1:6" ht="105" x14ac:dyDescent="0.25">
      <c r="A2005" s="8" t="s">
        <v>63</v>
      </c>
      <c r="B2005" s="8" t="s">
        <v>71</v>
      </c>
      <c r="C2005" s="8" t="str">
        <f>IFERROR(_xlfn.XLOOKUP(TRIM(B2005),Lookup!$B$2:$B$1000,Lookup!$C$2:$C$1000),"")</f>
        <v>Equity - Index (Multicap Momentum Quality)</v>
      </c>
      <c r="D2005" s="8" t="str">
        <f>IFERROR(INDEX('nav master'!$C:$C, MATCH(B2005, 'nav master'!$B:$B, 0)), "")</f>
        <v>ULIF 078 31/12/24 MQI 110</v>
      </c>
      <c r="E2005" s="8">
        <v>9.1489999999999991</v>
      </c>
      <c r="F2005" s="9">
        <v>45933</v>
      </c>
    </row>
    <row r="2006" spans="1:6" ht="105" x14ac:dyDescent="0.25">
      <c r="A2006" s="8" t="s">
        <v>63</v>
      </c>
      <c r="B2006" s="8" t="s">
        <v>71</v>
      </c>
      <c r="C2006" s="8" t="str">
        <f>IFERROR(_xlfn.XLOOKUP(TRIM(B2006),Lookup!$B$2:$B$1000,Lookup!$C$2:$C$1000),"")</f>
        <v>Equity - Index (Multicap Momentum Quality)</v>
      </c>
      <c r="D2006" s="8" t="str">
        <f>IFERROR(INDEX('nav master'!$C:$C, MATCH(B2006, 'nav master'!$B:$B, 0)), "")</f>
        <v>ULIF 078 31/12/24 MQI 110</v>
      </c>
      <c r="E2006" s="8">
        <v>9.2327999999999992</v>
      </c>
      <c r="F2006" s="9">
        <v>45936</v>
      </c>
    </row>
    <row r="2007" spans="1:6" ht="105" x14ac:dyDescent="0.25">
      <c r="A2007" s="8" t="s">
        <v>63</v>
      </c>
      <c r="B2007" s="8" t="s">
        <v>71</v>
      </c>
      <c r="C2007" s="8" t="str">
        <f>IFERROR(_xlfn.XLOOKUP(TRIM(B2007),Lookup!$B$2:$B$1000,Lookup!$C$2:$C$1000),"")</f>
        <v>Equity - Index (Multicap Momentum Quality)</v>
      </c>
      <c r="D2007" s="8" t="str">
        <f>IFERROR(INDEX('nav master'!$C:$C, MATCH(B2007, 'nav master'!$B:$B, 0)), "")</f>
        <v>ULIF 078 31/12/24 MQI 110</v>
      </c>
      <c r="E2007" s="8">
        <v>9.2477</v>
      </c>
      <c r="F2007" s="9">
        <v>45937</v>
      </c>
    </row>
    <row r="2008" spans="1:6" ht="105" x14ac:dyDescent="0.25">
      <c r="A2008" s="8" t="s">
        <v>63</v>
      </c>
      <c r="B2008" s="8" t="s">
        <v>71</v>
      </c>
      <c r="C2008" s="8" t="str">
        <f>IFERROR(_xlfn.XLOOKUP(TRIM(B2008),Lookup!$B$2:$B$1000,Lookup!$C$2:$C$1000),"")</f>
        <v>Equity - Index (Multicap Momentum Quality)</v>
      </c>
      <c r="D2008" s="8" t="str">
        <f>IFERROR(INDEX('nav master'!$C:$C, MATCH(B2008, 'nav master'!$B:$B, 0)), "")</f>
        <v>ULIF 078 31/12/24 MQI 110</v>
      </c>
      <c r="E2008" s="8">
        <v>9.2060999999999993</v>
      </c>
      <c r="F2008" s="9">
        <v>45938</v>
      </c>
    </row>
    <row r="2009" spans="1:6" ht="105" x14ac:dyDescent="0.25">
      <c r="A2009" s="8" t="s">
        <v>63</v>
      </c>
      <c r="B2009" s="8" t="s">
        <v>71</v>
      </c>
      <c r="C2009" s="8" t="str">
        <f>IFERROR(_xlfn.XLOOKUP(TRIM(B2009),Lookup!$B$2:$B$1000,Lookup!$C$2:$C$1000),"")</f>
        <v>Equity - Index (Multicap Momentum Quality)</v>
      </c>
      <c r="D2009" s="8" t="str">
        <f>IFERROR(INDEX('nav master'!$C:$C, MATCH(B2009, 'nav master'!$B:$B, 0)), "")</f>
        <v>ULIF 078 31/12/24 MQI 110</v>
      </c>
      <c r="E2009" s="8">
        <v>9.2805999999999997</v>
      </c>
      <c r="F2009" s="9">
        <v>45939</v>
      </c>
    </row>
    <row r="2010" spans="1:6" ht="105" x14ac:dyDescent="0.25">
      <c r="A2010" s="8" t="s">
        <v>63</v>
      </c>
      <c r="B2010" s="8" t="s">
        <v>71</v>
      </c>
      <c r="C2010" s="8" t="str">
        <f>IFERROR(_xlfn.XLOOKUP(TRIM(B2010),Lookup!$B$2:$B$1000,Lookup!$C$2:$C$1000),"")</f>
        <v>Equity - Index (Multicap Momentum Quality)</v>
      </c>
      <c r="D2010" s="8" t="str">
        <f>IFERROR(INDEX('nav master'!$C:$C, MATCH(B2010, 'nav master'!$B:$B, 0)), "")</f>
        <v>ULIF 078 31/12/24 MQI 110</v>
      </c>
      <c r="E2010" s="8">
        <v>9.3402999999999992</v>
      </c>
      <c r="F2010" s="9">
        <v>45940</v>
      </c>
    </row>
    <row r="2011" spans="1:6" ht="105" x14ac:dyDescent="0.25">
      <c r="A2011" s="8" t="s">
        <v>63</v>
      </c>
      <c r="B2011" s="8" t="s">
        <v>71</v>
      </c>
      <c r="C2011" s="8" t="str">
        <f>IFERROR(_xlfn.XLOOKUP(TRIM(B2011),Lookup!$B$2:$B$1000,Lookup!$C$2:$C$1000),"")</f>
        <v>Equity - Index (Multicap Momentum Quality)</v>
      </c>
      <c r="D2011" s="8" t="str">
        <f>IFERROR(INDEX('nav master'!$C:$C, MATCH(B2011, 'nav master'!$B:$B, 0)), "")</f>
        <v>ULIF 078 31/12/24 MQI 110</v>
      </c>
      <c r="E2011" s="8">
        <v>9.3283000000000005</v>
      </c>
      <c r="F2011" s="9">
        <v>45943</v>
      </c>
    </row>
    <row r="2012" spans="1:6" ht="105" x14ac:dyDescent="0.25">
      <c r="A2012" s="8" t="s">
        <v>63</v>
      </c>
      <c r="B2012" s="8" t="s">
        <v>71</v>
      </c>
      <c r="C2012" s="8" t="str">
        <f>IFERROR(_xlfn.XLOOKUP(TRIM(B2012),Lookup!$B$2:$B$1000,Lookup!$C$2:$C$1000),"")</f>
        <v>Equity - Index (Multicap Momentum Quality)</v>
      </c>
      <c r="D2012" s="8" t="str">
        <f>IFERROR(INDEX('nav master'!$C:$C, MATCH(B2012, 'nav master'!$B:$B, 0)), "")</f>
        <v>ULIF 078 31/12/24 MQI 110</v>
      </c>
      <c r="E2012" s="8">
        <v>9.2428000000000008</v>
      </c>
      <c r="F2012" s="9">
        <v>45944</v>
      </c>
    </row>
    <row r="2013" spans="1:6" ht="105" x14ac:dyDescent="0.25">
      <c r="A2013" s="8" t="s">
        <v>63</v>
      </c>
      <c r="B2013" s="8" t="s">
        <v>71</v>
      </c>
      <c r="C2013" s="8" t="str">
        <f>IFERROR(_xlfn.XLOOKUP(TRIM(B2013),Lookup!$B$2:$B$1000,Lookup!$C$2:$C$1000),"")</f>
        <v>Equity - Index (Multicap Momentum Quality)</v>
      </c>
      <c r="D2013" s="8" t="str">
        <f>IFERROR(INDEX('nav master'!$C:$C, MATCH(B2013, 'nav master'!$B:$B, 0)), "")</f>
        <v>ULIF 078 31/12/24 MQI 110</v>
      </c>
      <c r="E2013" s="8">
        <v>9.3911999999999995</v>
      </c>
      <c r="F2013" s="9">
        <v>45945</v>
      </c>
    </row>
    <row r="2014" spans="1:6" ht="105" x14ac:dyDescent="0.25">
      <c r="A2014" s="8" t="s">
        <v>63</v>
      </c>
      <c r="B2014" s="8" t="s">
        <v>71</v>
      </c>
      <c r="C2014" s="8" t="str">
        <f>IFERROR(_xlfn.XLOOKUP(TRIM(B2014),Lookup!$B$2:$B$1000,Lookup!$C$2:$C$1000),"")</f>
        <v>Equity - Index (Multicap Momentum Quality)</v>
      </c>
      <c r="D2014" s="8" t="str">
        <f>IFERROR(INDEX('nav master'!$C:$C, MATCH(B2014, 'nav master'!$B:$B, 0)), "")</f>
        <v>ULIF 078 31/12/24 MQI 110</v>
      </c>
      <c r="E2014" s="8">
        <v>9.4666999999999994</v>
      </c>
      <c r="F2014" s="9">
        <v>45946</v>
      </c>
    </row>
    <row r="2015" spans="1:6" ht="105" x14ac:dyDescent="0.25">
      <c r="A2015" s="8" t="s">
        <v>63</v>
      </c>
      <c r="B2015" s="8" t="s">
        <v>71</v>
      </c>
      <c r="C2015" s="8" t="str">
        <f>IFERROR(_xlfn.XLOOKUP(TRIM(B2015),Lookup!$B$2:$B$1000,Lookup!$C$2:$C$1000),"")</f>
        <v>Equity - Index (Multicap Momentum Quality)</v>
      </c>
      <c r="D2015" s="8" t="str">
        <f>IFERROR(INDEX('nav master'!$C:$C, MATCH(B2015, 'nav master'!$B:$B, 0)), "")</f>
        <v>ULIF 078 31/12/24 MQI 110</v>
      </c>
      <c r="E2015" s="8">
        <v>9.4527000000000001</v>
      </c>
      <c r="F2015" s="9">
        <v>45947</v>
      </c>
    </row>
    <row r="2016" spans="1:6" ht="105" x14ac:dyDescent="0.25">
      <c r="A2016" s="8" t="s">
        <v>63</v>
      </c>
      <c r="B2016" s="8" t="s">
        <v>71</v>
      </c>
      <c r="C2016" s="8" t="str">
        <f>IFERROR(_xlfn.XLOOKUP(TRIM(B2016),Lookup!$B$2:$B$1000,Lookup!$C$2:$C$1000),"")</f>
        <v>Equity - Index (Multicap Momentum Quality)</v>
      </c>
      <c r="D2016" s="8" t="str">
        <f>IFERROR(INDEX('nav master'!$C:$C, MATCH(B2016, 'nav master'!$B:$B, 0)), "")</f>
        <v>ULIF 078 31/12/24 MQI 110</v>
      </c>
      <c r="E2016" s="8">
        <v>9.4713999999999992</v>
      </c>
      <c r="F2016" s="9">
        <v>45950</v>
      </c>
    </row>
    <row r="2017" spans="1:6" ht="105" x14ac:dyDescent="0.25">
      <c r="A2017" s="8" t="s">
        <v>63</v>
      </c>
      <c r="B2017" s="8" t="s">
        <v>71</v>
      </c>
      <c r="C2017" s="8" t="str">
        <f>IFERROR(_xlfn.XLOOKUP(TRIM(B2017),Lookup!$B$2:$B$1000,Lookup!$C$2:$C$1000),"")</f>
        <v>Equity - Index (Multicap Momentum Quality)</v>
      </c>
      <c r="D2017" s="8" t="str">
        <f>IFERROR(INDEX('nav master'!$C:$C, MATCH(B2017, 'nav master'!$B:$B, 0)), "")</f>
        <v>ULIF 078 31/12/24 MQI 110</v>
      </c>
      <c r="E2017" s="8">
        <v>9.4464000000000006</v>
      </c>
      <c r="F2017" s="9">
        <v>45953</v>
      </c>
    </row>
    <row r="2018" spans="1:6" ht="105" x14ac:dyDescent="0.25">
      <c r="A2018" s="8" t="s">
        <v>63</v>
      </c>
      <c r="B2018" s="8" t="s">
        <v>71</v>
      </c>
      <c r="C2018" s="8" t="str">
        <f>IFERROR(_xlfn.XLOOKUP(TRIM(B2018),Lookup!$B$2:$B$1000,Lookup!$C$2:$C$1000),"")</f>
        <v>Equity - Index (Multicap Momentum Quality)</v>
      </c>
      <c r="D2018" s="8" t="str">
        <f>IFERROR(INDEX('nav master'!$C:$C, MATCH(B2018, 'nav master'!$B:$B, 0)), "")</f>
        <v>ULIF 078 31/12/24 MQI 110</v>
      </c>
      <c r="E2018" s="8">
        <v>9.4298000000000002</v>
      </c>
      <c r="F2018" s="9">
        <v>45954</v>
      </c>
    </row>
    <row r="2019" spans="1:6" ht="105" x14ac:dyDescent="0.25">
      <c r="A2019" s="8" t="s">
        <v>63</v>
      </c>
      <c r="B2019" s="8" t="s">
        <v>71</v>
      </c>
      <c r="C2019" s="8" t="str">
        <f>IFERROR(_xlfn.XLOOKUP(TRIM(B2019),Lookup!$B$2:$B$1000,Lookup!$C$2:$C$1000),"")</f>
        <v>Equity - Index (Multicap Momentum Quality)</v>
      </c>
      <c r="D2019" s="8" t="str">
        <f>IFERROR(INDEX('nav master'!$C:$C, MATCH(B2019, 'nav master'!$B:$B, 0)), "")</f>
        <v>ULIF 078 31/12/24 MQI 110</v>
      </c>
      <c r="E2019" s="8">
        <v>9.4572000000000003</v>
      </c>
      <c r="F2019" s="9">
        <v>45957</v>
      </c>
    </row>
    <row r="2020" spans="1:6" ht="105" x14ac:dyDescent="0.25">
      <c r="A2020" s="8" t="s">
        <v>63</v>
      </c>
      <c r="B2020" s="8" t="s">
        <v>71</v>
      </c>
      <c r="C2020" s="8" t="str">
        <f>IFERROR(_xlfn.XLOOKUP(TRIM(B2020),Lookup!$B$2:$B$1000,Lookup!$C$2:$C$1000),"")</f>
        <v>Equity - Index (Multicap Momentum Quality)</v>
      </c>
      <c r="D2020" s="8" t="str">
        <f>IFERROR(INDEX('nav master'!$C:$C, MATCH(B2020, 'nav master'!$B:$B, 0)), "")</f>
        <v>ULIF 078 31/12/24 MQI 110</v>
      </c>
      <c r="E2020" s="8">
        <v>9.4255999999999993</v>
      </c>
      <c r="F2020" s="9">
        <v>45958</v>
      </c>
    </row>
    <row r="2021" spans="1:6" ht="105" x14ac:dyDescent="0.25">
      <c r="A2021" s="8" t="s">
        <v>63</v>
      </c>
      <c r="B2021" s="8" t="s">
        <v>71</v>
      </c>
      <c r="C2021" s="8" t="str">
        <f>IFERROR(_xlfn.XLOOKUP(TRIM(B2021),Lookup!$B$2:$B$1000,Lookup!$C$2:$C$1000),"")</f>
        <v>Equity - Index (Multicap Momentum Quality)</v>
      </c>
      <c r="D2021" s="8" t="str">
        <f>IFERROR(INDEX('nav master'!$C:$C, MATCH(B2021, 'nav master'!$B:$B, 0)), "")</f>
        <v>ULIF 078 31/12/24 MQI 110</v>
      </c>
      <c r="E2021" s="8">
        <v>9.4201999999999995</v>
      </c>
      <c r="F2021" s="9">
        <v>45959</v>
      </c>
    </row>
    <row r="2022" spans="1:6" ht="105" x14ac:dyDescent="0.25">
      <c r="A2022" s="8" t="s">
        <v>63</v>
      </c>
      <c r="B2022" s="8" t="s">
        <v>71</v>
      </c>
      <c r="C2022" s="8" t="str">
        <f>IFERROR(_xlfn.XLOOKUP(TRIM(B2022),Lookup!$B$2:$B$1000,Lookup!$C$2:$C$1000),"")</f>
        <v>Equity - Index (Multicap Momentum Quality)</v>
      </c>
      <c r="D2022" s="8" t="str">
        <f>IFERROR(INDEX('nav master'!$C:$C, MATCH(B2022, 'nav master'!$B:$B, 0)), "")</f>
        <v>ULIF 078 31/12/24 MQI 110</v>
      </c>
      <c r="E2022" s="8">
        <v>9.4228000000000005</v>
      </c>
      <c r="F2022" s="9">
        <v>45960</v>
      </c>
    </row>
    <row r="2023" spans="1:6" ht="105" x14ac:dyDescent="0.25">
      <c r="A2023" s="8" t="s">
        <v>63</v>
      </c>
      <c r="B2023" s="8" t="s">
        <v>71</v>
      </c>
      <c r="C2023" s="8" t="str">
        <f>IFERROR(_xlfn.XLOOKUP(TRIM(B2023),Lookup!$B$2:$B$1000,Lookup!$C$2:$C$1000),"")</f>
        <v>Equity - Index (Multicap Momentum Quality)</v>
      </c>
      <c r="D2023" s="8" t="str">
        <f>IFERROR(INDEX('nav master'!$C:$C, MATCH(B2023, 'nav master'!$B:$B, 0)), "")</f>
        <v>ULIF 078 31/12/24 MQI 110</v>
      </c>
      <c r="E2023" s="8">
        <v>9.4260000000000002</v>
      </c>
      <c r="F2023" s="9">
        <v>45961</v>
      </c>
    </row>
    <row r="2024" spans="1:6" ht="105" x14ac:dyDescent="0.25">
      <c r="A2024" s="8" t="s">
        <v>63</v>
      </c>
      <c r="B2024" s="8" t="s">
        <v>71</v>
      </c>
      <c r="C2024" s="8" t="str">
        <f>IFERROR(_xlfn.XLOOKUP(TRIM(B2024),Lookup!$B$2:$B$1000,Lookup!$C$2:$C$1000),"")</f>
        <v>Equity - Index (Multicap Momentum Quality)</v>
      </c>
      <c r="D2024" s="8" t="str">
        <f>IFERROR(INDEX('nav master'!$C:$C, MATCH(B2024, 'nav master'!$B:$B, 0)), "")</f>
        <v>ULIF 078 31/12/24 MQI 110</v>
      </c>
      <c r="E2024" s="8">
        <v>9.4731000000000005</v>
      </c>
      <c r="F2024" s="9">
        <v>45964</v>
      </c>
    </row>
    <row r="2025" spans="1:6" ht="105" x14ac:dyDescent="0.25">
      <c r="A2025" s="8" t="s">
        <v>63</v>
      </c>
      <c r="B2025" s="8" t="s">
        <v>71</v>
      </c>
      <c r="C2025" s="8" t="str">
        <f>IFERROR(_xlfn.XLOOKUP(TRIM(B2025),Lookup!$B$2:$B$1000,Lookup!$C$2:$C$1000),"")</f>
        <v>Equity - Index (Multicap Momentum Quality)</v>
      </c>
      <c r="D2025" s="8" t="str">
        <f>IFERROR(INDEX('nav master'!$C:$C, MATCH(B2025, 'nav master'!$B:$B, 0)), "")</f>
        <v>ULIF 078 31/12/24 MQI 110</v>
      </c>
      <c r="E2025" s="8">
        <v>9.4161999999999999</v>
      </c>
      <c r="F2025" s="9">
        <v>45965</v>
      </c>
    </row>
    <row r="2026" spans="1:6" ht="105" x14ac:dyDescent="0.25">
      <c r="A2026" s="8" t="s">
        <v>63</v>
      </c>
      <c r="B2026" s="8" t="s">
        <v>71</v>
      </c>
      <c r="C2026" s="8" t="str">
        <f>IFERROR(_xlfn.XLOOKUP(TRIM(B2026),Lookup!$B$2:$B$1000,Lookup!$C$2:$C$1000),"")</f>
        <v>Equity - Index (Multicap Momentum Quality)</v>
      </c>
      <c r="D2026" s="8" t="str">
        <f>IFERROR(INDEX('nav master'!$C:$C, MATCH(B2026, 'nav master'!$B:$B, 0)), "")</f>
        <v>ULIF 078 31/12/24 MQI 110</v>
      </c>
      <c r="E2026" s="8">
        <v>9.3417999999999992</v>
      </c>
      <c r="F2026" s="9">
        <v>45967</v>
      </c>
    </row>
    <row r="2027" spans="1:6" ht="105" x14ac:dyDescent="0.25">
      <c r="A2027" s="8" t="s">
        <v>63</v>
      </c>
      <c r="B2027" s="8" t="s">
        <v>71</v>
      </c>
      <c r="C2027" s="8" t="str">
        <f>IFERROR(_xlfn.XLOOKUP(TRIM(B2027),Lookup!$B$2:$B$1000,Lookup!$C$2:$C$1000),"")</f>
        <v>Equity - Index (Multicap Momentum Quality)</v>
      </c>
      <c r="D2027" s="8" t="str">
        <f>IFERROR(INDEX('nav master'!$C:$C, MATCH(B2027, 'nav master'!$B:$B, 0)), "")</f>
        <v>ULIF 078 31/12/24 MQI 110</v>
      </c>
      <c r="E2027" s="8">
        <v>9.3795000000000002</v>
      </c>
      <c r="F2027" s="9">
        <v>45968</v>
      </c>
    </row>
    <row r="2028" spans="1:6" ht="105" x14ac:dyDescent="0.25">
      <c r="A2028" s="8" t="s">
        <v>63</v>
      </c>
      <c r="B2028" s="8" t="s">
        <v>71</v>
      </c>
      <c r="C2028" s="8" t="str">
        <f>IFERROR(_xlfn.XLOOKUP(TRIM(B2028),Lookup!$B$2:$B$1000,Lookup!$C$2:$C$1000),"")</f>
        <v>Equity - Index (Multicap Momentum Quality)</v>
      </c>
      <c r="D2028" s="8" t="str">
        <f>IFERROR(INDEX('nav master'!$C:$C, MATCH(B2028, 'nav master'!$B:$B, 0)), "")</f>
        <v>ULIF 078 31/12/24 MQI 110</v>
      </c>
      <c r="E2028" s="8">
        <v>9.4273000000000007</v>
      </c>
      <c r="F2028" s="9">
        <v>45971</v>
      </c>
    </row>
    <row r="2029" spans="1:6" ht="105" x14ac:dyDescent="0.25">
      <c r="A2029" s="8" t="s">
        <v>63</v>
      </c>
      <c r="B2029" s="8" t="s">
        <v>71</v>
      </c>
      <c r="C2029" s="8" t="str">
        <f>IFERROR(_xlfn.XLOOKUP(TRIM(B2029),Lookup!$B$2:$B$1000,Lookup!$C$2:$C$1000),"")</f>
        <v>Equity - Index (Multicap Momentum Quality)</v>
      </c>
      <c r="D2029" s="8" t="str">
        <f>IFERROR(INDEX('nav master'!$C:$C, MATCH(B2029, 'nav master'!$B:$B, 0)), "")</f>
        <v>ULIF 078 31/12/24 MQI 110</v>
      </c>
      <c r="E2029" s="8">
        <v>9.4271999999999991</v>
      </c>
      <c r="F2029" s="9">
        <v>45972</v>
      </c>
    </row>
    <row r="2030" spans="1:6" ht="105" x14ac:dyDescent="0.25">
      <c r="A2030" s="8" t="s">
        <v>63</v>
      </c>
      <c r="B2030" s="8" t="s">
        <v>71</v>
      </c>
      <c r="C2030" s="8" t="str">
        <f>IFERROR(_xlfn.XLOOKUP(TRIM(B2030),Lookup!$B$2:$B$1000,Lookup!$C$2:$C$1000),"")</f>
        <v>Equity - Index (Multicap Momentum Quality)</v>
      </c>
      <c r="D2030" s="8" t="str">
        <f>IFERROR(INDEX('nav master'!$C:$C, MATCH(B2030, 'nav master'!$B:$B, 0)), "")</f>
        <v>ULIF 078 31/12/24 MQI 110</v>
      </c>
      <c r="E2030" s="8">
        <v>9.5081000000000007</v>
      </c>
      <c r="F2030" s="9">
        <v>45973</v>
      </c>
    </row>
    <row r="2031" spans="1:6" ht="105" x14ac:dyDescent="0.25">
      <c r="A2031" s="8" t="s">
        <v>63</v>
      </c>
      <c r="B2031" s="8" t="s">
        <v>71</v>
      </c>
      <c r="C2031" s="8" t="str">
        <f>IFERROR(_xlfn.XLOOKUP(TRIM(B2031),Lookup!$B$2:$B$1000,Lookup!$C$2:$C$1000),"")</f>
        <v>Equity - Index (Multicap Momentum Quality)</v>
      </c>
      <c r="D2031" s="8" t="str">
        <f>IFERROR(INDEX('nav master'!$C:$C, MATCH(B2031, 'nav master'!$B:$B, 0)), "")</f>
        <v>ULIF 078 31/12/24 MQI 110</v>
      </c>
      <c r="E2031" s="8">
        <v>9.4594000000000005</v>
      </c>
      <c r="F2031" s="9">
        <v>45974</v>
      </c>
    </row>
    <row r="2032" spans="1:6" ht="105" x14ac:dyDescent="0.25">
      <c r="A2032" s="8" t="s">
        <v>63</v>
      </c>
      <c r="B2032" s="8" t="s">
        <v>71</v>
      </c>
      <c r="C2032" s="8" t="str">
        <f>IFERROR(_xlfn.XLOOKUP(TRIM(B2032),Lookup!$B$2:$B$1000,Lookup!$C$2:$C$1000),"")</f>
        <v>Equity - Index (Multicap Momentum Quality)</v>
      </c>
      <c r="D2032" s="8" t="str">
        <f>IFERROR(INDEX('nav master'!$C:$C, MATCH(B2032, 'nav master'!$B:$B, 0)), "")</f>
        <v>ULIF 078 31/12/24 MQI 110</v>
      </c>
      <c r="E2032" s="8">
        <v>9.4563000000000006</v>
      </c>
      <c r="F2032" s="9">
        <v>45975</v>
      </c>
    </row>
    <row r="2033" spans="1:6" ht="105" x14ac:dyDescent="0.25">
      <c r="A2033" s="8" t="s">
        <v>63</v>
      </c>
      <c r="B2033" s="8" t="s">
        <v>71</v>
      </c>
      <c r="C2033" s="8" t="str">
        <f>IFERROR(_xlfn.XLOOKUP(TRIM(B2033),Lookup!$B$2:$B$1000,Lookup!$C$2:$C$1000),"")</f>
        <v>Equity - Index (Multicap Momentum Quality)</v>
      </c>
      <c r="D2033" s="8" t="str">
        <f>IFERROR(INDEX('nav master'!$C:$C, MATCH(B2033, 'nav master'!$B:$B, 0)), "")</f>
        <v>ULIF 078 31/12/24 MQI 110</v>
      </c>
      <c r="E2033" s="8">
        <v>9.5114999999999998</v>
      </c>
      <c r="F2033" s="9">
        <v>45978</v>
      </c>
    </row>
    <row r="2034" spans="1:6" ht="105" x14ac:dyDescent="0.25">
      <c r="A2034" s="8" t="s">
        <v>63</v>
      </c>
      <c r="B2034" s="8" t="s">
        <v>71</v>
      </c>
      <c r="C2034" s="8" t="str">
        <f>IFERROR(_xlfn.XLOOKUP(TRIM(B2034),Lookup!$B$2:$B$1000,Lookup!$C$2:$C$1000),"")</f>
        <v>Equity - Index (Multicap Momentum Quality)</v>
      </c>
      <c r="D2034" s="8" t="str">
        <f>IFERROR(INDEX('nav master'!$C:$C, MATCH(B2034, 'nav master'!$B:$B, 0)), "")</f>
        <v>ULIF 078 31/12/24 MQI 110</v>
      </c>
      <c r="E2034" s="8">
        <v>9.4514999999999993</v>
      </c>
      <c r="F2034" s="9">
        <v>45979</v>
      </c>
    </row>
    <row r="2035" spans="1:6" ht="105" x14ac:dyDescent="0.25">
      <c r="A2035" s="8" t="s">
        <v>63</v>
      </c>
      <c r="B2035" s="8" t="s">
        <v>71</v>
      </c>
      <c r="C2035" s="8" t="str">
        <f>IFERROR(_xlfn.XLOOKUP(TRIM(B2035),Lookup!$B$2:$B$1000,Lookup!$C$2:$C$1000),"")</f>
        <v>Equity - Index (Multicap Momentum Quality)</v>
      </c>
      <c r="D2035" s="8" t="str">
        <f>IFERROR(INDEX('nav master'!$C:$C, MATCH(B2035, 'nav master'!$B:$B, 0)), "")</f>
        <v>ULIF 078 31/12/24 MQI 110</v>
      </c>
      <c r="E2035" s="8">
        <v>9.5076999999999998</v>
      </c>
      <c r="F2035" s="9">
        <v>45980</v>
      </c>
    </row>
    <row r="2036" spans="1:6" ht="105" x14ac:dyDescent="0.25">
      <c r="A2036" s="8" t="s">
        <v>63</v>
      </c>
      <c r="B2036" s="8" t="s">
        <v>71</v>
      </c>
      <c r="C2036" s="8" t="str">
        <f>IFERROR(_xlfn.XLOOKUP(TRIM(B2036),Lookup!$B$2:$B$1000,Lookup!$C$2:$C$1000),"")</f>
        <v>Equity - Index (Multicap Momentum Quality)</v>
      </c>
      <c r="D2036" s="8" t="str">
        <f>IFERROR(INDEX('nav master'!$C:$C, MATCH(B2036, 'nav master'!$B:$B, 0)), "")</f>
        <v>ULIF 078 31/12/24 MQI 110</v>
      </c>
      <c r="E2036" s="8">
        <v>9.5408000000000008</v>
      </c>
      <c r="F2036" s="9">
        <v>45981</v>
      </c>
    </row>
    <row r="2037" spans="1:6" ht="105" x14ac:dyDescent="0.25">
      <c r="A2037" s="8" t="s">
        <v>63</v>
      </c>
      <c r="B2037" s="8" t="s">
        <v>71</v>
      </c>
      <c r="C2037" s="8" t="str">
        <f>IFERROR(_xlfn.XLOOKUP(TRIM(B2037),Lookup!$B$2:$B$1000,Lookup!$C$2:$C$1000),"")</f>
        <v>Equity - Index (Multicap Momentum Quality)</v>
      </c>
      <c r="D2037" s="8" t="str">
        <f>IFERROR(INDEX('nav master'!$C:$C, MATCH(B2037, 'nav master'!$B:$B, 0)), "")</f>
        <v>ULIF 078 31/12/24 MQI 110</v>
      </c>
      <c r="E2037" s="8">
        <v>9.4337</v>
      </c>
      <c r="F2037" s="9">
        <v>45982</v>
      </c>
    </row>
    <row r="2038" spans="1:6" ht="105" x14ac:dyDescent="0.25">
      <c r="A2038" s="8" t="s">
        <v>63</v>
      </c>
      <c r="B2038" s="8" t="s">
        <v>71</v>
      </c>
      <c r="C2038" s="8" t="str">
        <f>IFERROR(_xlfn.XLOOKUP(TRIM(B2038),Lookup!$B$2:$B$1000,Lookup!$C$2:$C$1000),"")</f>
        <v>Equity - Index (Multicap Momentum Quality)</v>
      </c>
      <c r="D2038" s="8" t="str">
        <f>IFERROR(INDEX('nav master'!$C:$C, MATCH(B2038, 'nav master'!$B:$B, 0)), "")</f>
        <v>ULIF 078 31/12/24 MQI 110</v>
      </c>
      <c r="E2038" s="8">
        <v>9.3559999999999999</v>
      </c>
      <c r="F2038" s="9">
        <v>45985</v>
      </c>
    </row>
    <row r="2039" spans="1:6" ht="105" x14ac:dyDescent="0.25">
      <c r="A2039" s="8" t="s">
        <v>63</v>
      </c>
      <c r="B2039" s="8" t="s">
        <v>71</v>
      </c>
      <c r="C2039" s="8" t="str">
        <f>IFERROR(_xlfn.XLOOKUP(TRIM(B2039),Lookup!$B$2:$B$1000,Lookup!$C$2:$C$1000),"")</f>
        <v>Equity - Index (Multicap Momentum Quality)</v>
      </c>
      <c r="D2039" s="8" t="str">
        <f>IFERROR(INDEX('nav master'!$C:$C, MATCH(B2039, 'nav master'!$B:$B, 0)), "")</f>
        <v>ULIF 078 31/12/24 MQI 110</v>
      </c>
      <c r="E2039" s="8">
        <v>9.3400999999999996</v>
      </c>
      <c r="F2039" s="9">
        <v>45986</v>
      </c>
    </row>
    <row r="2040" spans="1:6" ht="105" x14ac:dyDescent="0.25">
      <c r="A2040" s="8" t="s">
        <v>63</v>
      </c>
      <c r="B2040" s="8" t="s">
        <v>71</v>
      </c>
      <c r="C2040" s="8" t="str">
        <f>IFERROR(_xlfn.XLOOKUP(TRIM(B2040),Lookup!$B$2:$B$1000,Lookup!$C$2:$C$1000),"")</f>
        <v>Equity - Index (Multicap Momentum Quality)</v>
      </c>
      <c r="D2040" s="8" t="str">
        <f>IFERROR(INDEX('nav master'!$C:$C, MATCH(B2040, 'nav master'!$B:$B, 0)), "")</f>
        <v>ULIF 078 31/12/24 MQI 110</v>
      </c>
      <c r="E2040" s="8">
        <v>9.4649000000000001</v>
      </c>
      <c r="F2040" s="9">
        <v>45987</v>
      </c>
    </row>
    <row r="2041" spans="1:6" ht="105" x14ac:dyDescent="0.25">
      <c r="A2041" s="8" t="s">
        <v>63</v>
      </c>
      <c r="B2041" s="8" t="s">
        <v>71</v>
      </c>
      <c r="C2041" s="8" t="str">
        <f>IFERROR(_xlfn.XLOOKUP(TRIM(B2041),Lookup!$B$2:$B$1000,Lookup!$C$2:$C$1000),"")</f>
        <v>Equity - Index (Multicap Momentum Quality)</v>
      </c>
      <c r="D2041" s="8" t="str">
        <f>IFERROR(INDEX('nav master'!$C:$C, MATCH(B2041, 'nav master'!$B:$B, 0)), "")</f>
        <v>ULIF 078 31/12/24 MQI 110</v>
      </c>
      <c r="E2041" s="8">
        <v>9.4536999999999995</v>
      </c>
      <c r="F2041" s="9">
        <v>45988</v>
      </c>
    </row>
    <row r="2042" spans="1:6" ht="105" x14ac:dyDescent="0.25">
      <c r="A2042" s="8" t="s">
        <v>63</v>
      </c>
      <c r="B2042" s="8" t="s">
        <v>71</v>
      </c>
      <c r="C2042" s="8" t="str">
        <f>IFERROR(_xlfn.XLOOKUP(TRIM(B2042),Lookup!$B$2:$B$1000,Lookup!$C$2:$C$1000),"")</f>
        <v>Equity - Index (Multicap Momentum Quality)</v>
      </c>
      <c r="D2042" s="8" t="str">
        <f>IFERROR(INDEX('nav master'!$C:$C, MATCH(B2042, 'nav master'!$B:$B, 0)), "")</f>
        <v>ULIF 078 31/12/24 MQI 110</v>
      </c>
      <c r="E2042" s="8">
        <v>9.4320000000000004</v>
      </c>
      <c r="F2042" s="9">
        <v>45989</v>
      </c>
    </row>
    <row r="2043" spans="1:6" ht="105" x14ac:dyDescent="0.25">
      <c r="A2043" s="8" t="s">
        <v>63</v>
      </c>
      <c r="B2043" s="8" t="s">
        <v>71</v>
      </c>
      <c r="C2043" s="8" t="str">
        <f>IFERROR(_xlfn.XLOOKUP(TRIM(B2043),Lookup!$B$2:$B$1000,Lookup!$C$2:$C$1000),"")</f>
        <v>Equity - Index (Multicap Momentum Quality)</v>
      </c>
      <c r="D2043" s="8" t="str">
        <f>IFERROR(INDEX('nav master'!$C:$C, MATCH(B2043, 'nav master'!$B:$B, 0)), "")</f>
        <v>ULIF 078 31/12/24 MQI 110</v>
      </c>
      <c r="E2043" s="8">
        <v>9.4094999999999995</v>
      </c>
      <c r="F2043" s="9">
        <v>45992</v>
      </c>
    </row>
    <row r="2044" spans="1:6" ht="105" x14ac:dyDescent="0.25">
      <c r="A2044" s="8" t="s">
        <v>63</v>
      </c>
      <c r="B2044" s="8" t="s">
        <v>71</v>
      </c>
      <c r="C2044" s="8" t="str">
        <f>IFERROR(_xlfn.XLOOKUP(TRIM(B2044),Lookup!$B$2:$B$1000,Lookup!$C$2:$C$1000),"")</f>
        <v>Equity - Index (Multicap Momentum Quality)</v>
      </c>
      <c r="D2044" s="8" t="str">
        <f>IFERROR(INDEX('nav master'!$C:$C, MATCH(B2044, 'nav master'!$B:$B, 0)), "")</f>
        <v>ULIF 078 31/12/24 MQI 110</v>
      </c>
      <c r="E2044" s="8">
        <v>9.3767999999999994</v>
      </c>
      <c r="F2044" s="9">
        <v>45993</v>
      </c>
    </row>
    <row r="2045" spans="1:6" ht="105" x14ac:dyDescent="0.25">
      <c r="A2045" s="8" t="s">
        <v>63</v>
      </c>
      <c r="B2045" s="8" t="s">
        <v>71</v>
      </c>
      <c r="C2045" s="8" t="str">
        <f>IFERROR(_xlfn.XLOOKUP(TRIM(B2045),Lookup!$B$2:$B$1000,Lookup!$C$2:$C$1000),"")</f>
        <v>Equity - Index (Multicap Momentum Quality)</v>
      </c>
      <c r="D2045" s="8" t="str">
        <f>IFERROR(INDEX('nav master'!$C:$C, MATCH(B2045, 'nav master'!$B:$B, 0)), "")</f>
        <v>ULIF 078 31/12/24 MQI 110</v>
      </c>
      <c r="E2045" s="8">
        <v>9.2850999999999999</v>
      </c>
      <c r="F2045" s="9">
        <v>45994</v>
      </c>
    </row>
    <row r="2046" spans="1:6" ht="105" x14ac:dyDescent="0.25">
      <c r="A2046" s="8" t="s">
        <v>63</v>
      </c>
      <c r="B2046" s="8" t="s">
        <v>71</v>
      </c>
      <c r="C2046" s="8" t="str">
        <f>IFERROR(_xlfn.XLOOKUP(TRIM(B2046),Lookup!$B$2:$B$1000,Lookup!$C$2:$C$1000),"")</f>
        <v>Equity - Index (Multicap Momentum Quality)</v>
      </c>
      <c r="D2046" s="8" t="str">
        <f>IFERROR(INDEX('nav master'!$C:$C, MATCH(B2046, 'nav master'!$B:$B, 0)), "")</f>
        <v>ULIF 078 31/12/24 MQI 110</v>
      </c>
      <c r="E2046" s="8">
        <v>9.3140000000000001</v>
      </c>
      <c r="F2046" s="9">
        <v>45995</v>
      </c>
    </row>
    <row r="2047" spans="1:6" ht="105" x14ac:dyDescent="0.25">
      <c r="A2047" s="8" t="s">
        <v>63</v>
      </c>
      <c r="B2047" s="8" t="s">
        <v>71</v>
      </c>
      <c r="C2047" s="8" t="str">
        <f>IFERROR(_xlfn.XLOOKUP(TRIM(B2047),Lookup!$B$2:$B$1000,Lookup!$C$2:$C$1000),"")</f>
        <v>Equity - Index (Multicap Momentum Quality)</v>
      </c>
      <c r="D2047" s="8" t="str">
        <f>IFERROR(INDEX('nav master'!$C:$C, MATCH(B2047, 'nav master'!$B:$B, 0)), "")</f>
        <v>ULIF 078 31/12/24 MQI 110</v>
      </c>
      <c r="E2047" s="8">
        <v>9.3541000000000007</v>
      </c>
      <c r="F2047" s="9">
        <v>45996</v>
      </c>
    </row>
    <row r="2048" spans="1:6" ht="105" x14ac:dyDescent="0.25">
      <c r="A2048" s="8" t="s">
        <v>63</v>
      </c>
      <c r="B2048" s="8" t="s">
        <v>71</v>
      </c>
      <c r="C2048" s="8" t="str">
        <f>IFERROR(_xlfn.XLOOKUP(TRIM(B2048),Lookup!$B$2:$B$1000,Lookup!$C$2:$C$1000),"")</f>
        <v>Equity - Index (Multicap Momentum Quality)</v>
      </c>
      <c r="D2048" s="8" t="str">
        <f>IFERROR(INDEX('nav master'!$C:$C, MATCH(B2048, 'nav master'!$B:$B, 0)), "")</f>
        <v>ULIF 078 31/12/24 MQI 110</v>
      </c>
      <c r="E2048" s="8">
        <v>9.1796000000000006</v>
      </c>
      <c r="F2048" s="9">
        <v>45999</v>
      </c>
    </row>
    <row r="2049" spans="1:6" ht="105" x14ac:dyDescent="0.25">
      <c r="A2049" s="8" t="s">
        <v>63</v>
      </c>
      <c r="B2049" s="8" t="s">
        <v>71</v>
      </c>
      <c r="C2049" s="8" t="str">
        <f>IFERROR(_xlfn.XLOOKUP(TRIM(B2049),Lookup!$B$2:$B$1000,Lookup!$C$2:$C$1000),"")</f>
        <v>Equity - Index (Multicap Momentum Quality)</v>
      </c>
      <c r="D2049" s="8" t="str">
        <f>IFERROR(INDEX('nav master'!$C:$C, MATCH(B2049, 'nav master'!$B:$B, 0)), "")</f>
        <v>ULIF 078 31/12/24 MQI 110</v>
      </c>
      <c r="E2049" s="8">
        <v>9.1628000000000007</v>
      </c>
      <c r="F2049" s="9">
        <v>46000</v>
      </c>
    </row>
    <row r="2050" spans="1:6" ht="105" x14ac:dyDescent="0.25">
      <c r="A2050" s="8" t="s">
        <v>63</v>
      </c>
      <c r="B2050" s="8" t="s">
        <v>71</v>
      </c>
      <c r="C2050" s="8" t="str">
        <f>IFERROR(_xlfn.XLOOKUP(TRIM(B2050),Lookup!$B$2:$B$1000,Lookup!$C$2:$C$1000),"")</f>
        <v>Equity - Index (Multicap Momentum Quality)</v>
      </c>
      <c r="D2050" s="8" t="str">
        <f>IFERROR(INDEX('nav master'!$C:$C, MATCH(B2050, 'nav master'!$B:$B, 0)), "")</f>
        <v>ULIF 078 31/12/24 MQI 110</v>
      </c>
      <c r="E2050" s="8">
        <v>9.0464000000000002</v>
      </c>
      <c r="F2050" s="9">
        <v>46001</v>
      </c>
    </row>
    <row r="2051" spans="1:6" ht="105" x14ac:dyDescent="0.25">
      <c r="A2051" s="8" t="s">
        <v>63</v>
      </c>
      <c r="B2051" s="8" t="s">
        <v>71</v>
      </c>
      <c r="C2051" s="8" t="str">
        <f>IFERROR(_xlfn.XLOOKUP(TRIM(B2051),Lookup!$B$2:$B$1000,Lookup!$C$2:$C$1000),"")</f>
        <v>Equity - Index (Multicap Momentum Quality)</v>
      </c>
      <c r="D2051" s="8" t="str">
        <f>IFERROR(INDEX('nav master'!$C:$C, MATCH(B2051, 'nav master'!$B:$B, 0)), "")</f>
        <v>ULIF 078 31/12/24 MQI 110</v>
      </c>
      <c r="E2051" s="8">
        <v>9.1417000000000002</v>
      </c>
      <c r="F2051" s="9">
        <v>46002</v>
      </c>
    </row>
    <row r="2052" spans="1:6" ht="105" x14ac:dyDescent="0.25">
      <c r="A2052" s="8" t="s">
        <v>63</v>
      </c>
      <c r="B2052" s="8" t="s">
        <v>71</v>
      </c>
      <c r="C2052" s="8" t="str">
        <f>IFERROR(_xlfn.XLOOKUP(TRIM(B2052),Lookup!$B$2:$B$1000,Lookup!$C$2:$C$1000),"")</f>
        <v>Equity - Index (Multicap Momentum Quality)</v>
      </c>
      <c r="D2052" s="8" t="str">
        <f>IFERROR(INDEX('nav master'!$C:$C, MATCH(B2052, 'nav master'!$B:$B, 0)), "")</f>
        <v>ULIF 078 31/12/24 MQI 110</v>
      </c>
      <c r="E2052" s="8">
        <v>9.2218</v>
      </c>
      <c r="F2052" s="9">
        <v>46003</v>
      </c>
    </row>
    <row r="2053" spans="1:6" ht="105" x14ac:dyDescent="0.25">
      <c r="A2053" s="8" t="s">
        <v>63</v>
      </c>
      <c r="B2053" s="8" t="s">
        <v>71</v>
      </c>
      <c r="C2053" s="8" t="str">
        <f>IFERROR(_xlfn.XLOOKUP(TRIM(B2053),Lookup!$B$2:$B$1000,Lookup!$C$2:$C$1000),"")</f>
        <v>Equity - Index (Multicap Momentum Quality)</v>
      </c>
      <c r="D2053" s="8" t="str">
        <f>IFERROR(INDEX('nav master'!$C:$C, MATCH(B2053, 'nav master'!$B:$B, 0)), "")</f>
        <v>ULIF 078 31/12/24 MQI 110</v>
      </c>
      <c r="E2053" s="8">
        <v>9.2090999999999994</v>
      </c>
      <c r="F2053" s="9">
        <v>46006</v>
      </c>
    </row>
    <row r="2054" spans="1:6" ht="105" x14ac:dyDescent="0.25">
      <c r="A2054" s="8" t="s">
        <v>63</v>
      </c>
      <c r="B2054" s="8" t="s">
        <v>71</v>
      </c>
      <c r="C2054" s="8" t="str">
        <f>IFERROR(_xlfn.XLOOKUP(TRIM(B2054),Lookup!$B$2:$B$1000,Lookup!$C$2:$C$1000),"")</f>
        <v>Equity - Index (Multicap Momentum Quality)</v>
      </c>
      <c r="D2054" s="8" t="str">
        <f>IFERROR(INDEX('nav master'!$C:$C, MATCH(B2054, 'nav master'!$B:$B, 0)), "")</f>
        <v>ULIF 078 31/12/24 MQI 110</v>
      </c>
      <c r="E2054" s="8">
        <v>9.1463000000000001</v>
      </c>
      <c r="F2054" s="9">
        <v>46007</v>
      </c>
    </row>
    <row r="2055" spans="1:6" ht="105" x14ac:dyDescent="0.25">
      <c r="A2055" s="8" t="s">
        <v>63</v>
      </c>
      <c r="B2055" s="8" t="s">
        <v>71</v>
      </c>
      <c r="C2055" s="8" t="str">
        <f>IFERROR(_xlfn.XLOOKUP(TRIM(B2055),Lookup!$B$2:$B$1000,Lookup!$C$2:$C$1000),"")</f>
        <v>Equity - Index (Multicap Momentum Quality)</v>
      </c>
      <c r="D2055" s="8" t="str">
        <f>IFERROR(INDEX('nav master'!$C:$C, MATCH(B2055, 'nav master'!$B:$B, 0)), "")</f>
        <v>ULIF 078 31/12/24 MQI 110</v>
      </c>
      <c r="E2055" s="8">
        <v>9.1015999999999995</v>
      </c>
      <c r="F2055" s="9">
        <v>46008</v>
      </c>
    </row>
    <row r="2056" spans="1:6" ht="105" x14ac:dyDescent="0.25">
      <c r="A2056" s="8" t="s">
        <v>63</v>
      </c>
      <c r="B2056" s="8" t="s">
        <v>71</v>
      </c>
      <c r="C2056" s="8" t="str">
        <f>IFERROR(_xlfn.XLOOKUP(TRIM(B2056),Lookup!$B$2:$B$1000,Lookup!$C$2:$C$1000),"")</f>
        <v>Equity - Index (Multicap Momentum Quality)</v>
      </c>
      <c r="D2056" s="8" t="str">
        <f>IFERROR(INDEX('nav master'!$C:$C, MATCH(B2056, 'nav master'!$B:$B, 0)), "")</f>
        <v>ULIF 078 31/12/24 MQI 110</v>
      </c>
      <c r="E2056" s="8">
        <v>9.1390999999999991</v>
      </c>
      <c r="F2056" s="9">
        <v>46009</v>
      </c>
    </row>
    <row r="2057" spans="1:6" ht="105" x14ac:dyDescent="0.25">
      <c r="A2057" s="8" t="s">
        <v>63</v>
      </c>
      <c r="B2057" s="8" t="s">
        <v>71</v>
      </c>
      <c r="C2057" s="8" t="str">
        <f>IFERROR(_xlfn.XLOOKUP(TRIM(B2057),Lookup!$B$2:$B$1000,Lookup!$C$2:$C$1000),"")</f>
        <v>Equity - Index (Multicap Momentum Quality)</v>
      </c>
      <c r="D2057" s="8" t="str">
        <f>IFERROR(INDEX('nav master'!$C:$C, MATCH(B2057, 'nav master'!$B:$B, 0)), "")</f>
        <v>ULIF 078 31/12/24 MQI 110</v>
      </c>
      <c r="E2057" s="8">
        <v>9.2224000000000004</v>
      </c>
      <c r="F2057" s="9">
        <v>46010</v>
      </c>
    </row>
    <row r="2058" spans="1:6" ht="105" x14ac:dyDescent="0.25">
      <c r="A2058" s="8" t="s">
        <v>63</v>
      </c>
      <c r="B2058" s="8" t="s">
        <v>71</v>
      </c>
      <c r="C2058" s="8" t="str">
        <f>IFERROR(_xlfn.XLOOKUP(TRIM(B2058),Lookup!$B$2:$B$1000,Lookup!$C$2:$C$1000),"")</f>
        <v>Equity - Index (Multicap Momentum Quality)</v>
      </c>
      <c r="D2058" s="8" t="str">
        <f>IFERROR(INDEX('nav master'!$C:$C, MATCH(B2058, 'nav master'!$B:$B, 0)), "")</f>
        <v>ULIF 078 31/12/24 MQI 110</v>
      </c>
      <c r="E2058" s="8">
        <v>9.3392999999999997</v>
      </c>
      <c r="F2058" s="9">
        <v>46013</v>
      </c>
    </row>
    <row r="2059" spans="1:6" ht="105" x14ac:dyDescent="0.25">
      <c r="A2059" s="8" t="s">
        <v>63</v>
      </c>
      <c r="B2059" s="8" t="s">
        <v>71</v>
      </c>
      <c r="C2059" s="8" t="str">
        <f>IFERROR(_xlfn.XLOOKUP(TRIM(B2059),Lookup!$B$2:$B$1000,Lookup!$C$2:$C$1000),"")</f>
        <v>Equity - Index (Multicap Momentum Quality)</v>
      </c>
      <c r="D2059" s="8" t="str">
        <f>IFERROR(INDEX('nav master'!$C:$C, MATCH(B2059, 'nav master'!$B:$B, 0)), "")</f>
        <v>ULIF 078 31/12/24 MQI 110</v>
      </c>
      <c r="E2059" s="8">
        <v>9.3099000000000007</v>
      </c>
      <c r="F2059" s="9">
        <v>46014</v>
      </c>
    </row>
    <row r="2060" spans="1:6" ht="105" x14ac:dyDescent="0.25">
      <c r="A2060" s="8" t="s">
        <v>63</v>
      </c>
      <c r="B2060" s="8" t="s">
        <v>71</v>
      </c>
      <c r="C2060" s="8" t="str">
        <f>IFERROR(_xlfn.XLOOKUP(TRIM(B2060),Lookup!$B$2:$B$1000,Lookup!$C$2:$C$1000),"")</f>
        <v>Equity - Index (Multicap Momentum Quality)</v>
      </c>
      <c r="D2060" s="8" t="str">
        <f>IFERROR(INDEX('nav master'!$C:$C, MATCH(B2060, 'nav master'!$B:$B, 0)), "")</f>
        <v>ULIF 078 31/12/24 MQI 110</v>
      </c>
      <c r="E2060" s="8">
        <v>9.2664000000000009</v>
      </c>
      <c r="F2060" s="9">
        <v>46015</v>
      </c>
    </row>
    <row r="2061" spans="1:6" ht="105" x14ac:dyDescent="0.25">
      <c r="A2061" s="8" t="s">
        <v>63</v>
      </c>
      <c r="B2061" s="8" t="s">
        <v>71</v>
      </c>
      <c r="C2061" s="8" t="str">
        <f>IFERROR(_xlfn.XLOOKUP(TRIM(B2061),Lookup!$B$2:$B$1000,Lookup!$C$2:$C$1000),"")</f>
        <v>Equity - Index (Multicap Momentum Quality)</v>
      </c>
      <c r="D2061" s="8" t="str">
        <f>IFERROR(INDEX('nav master'!$C:$C, MATCH(B2061, 'nav master'!$B:$B, 0)), "")</f>
        <v>ULIF 078 31/12/24 MQI 110</v>
      </c>
      <c r="E2061" s="8">
        <v>9.2062000000000008</v>
      </c>
      <c r="F2061" s="9">
        <v>46017</v>
      </c>
    </row>
    <row r="2062" spans="1:6" ht="105" x14ac:dyDescent="0.25">
      <c r="A2062" s="8" t="s">
        <v>63</v>
      </c>
      <c r="B2062" s="8" t="s">
        <v>71</v>
      </c>
      <c r="C2062" s="8" t="str">
        <f>IFERROR(_xlfn.XLOOKUP(TRIM(B2062),Lookup!$B$2:$B$1000,Lookup!$C$2:$C$1000),"")</f>
        <v>Equity - Index (Multicap Momentum Quality)</v>
      </c>
      <c r="D2062" s="8" t="str">
        <f>IFERROR(INDEX('nav master'!$C:$C, MATCH(B2062, 'nav master'!$B:$B, 0)), "")</f>
        <v>ULIF 078 31/12/24 MQI 110</v>
      </c>
      <c r="E2062" s="8">
        <v>9.1586999999999996</v>
      </c>
      <c r="F2062" s="9">
        <v>46020</v>
      </c>
    </row>
    <row r="2063" spans="1:6" ht="105" x14ac:dyDescent="0.25">
      <c r="A2063" s="8" t="s">
        <v>63</v>
      </c>
      <c r="B2063" s="8" t="s">
        <v>71</v>
      </c>
      <c r="C2063" s="8" t="str">
        <f>IFERROR(_xlfn.XLOOKUP(TRIM(B2063),Lookup!$B$2:$B$1000,Lookup!$C$2:$C$1000),"")</f>
        <v>Equity - Index (Multicap Momentum Quality)</v>
      </c>
      <c r="D2063" s="8" t="str">
        <f>IFERROR(INDEX('nav master'!$C:$C, MATCH(B2063, 'nav master'!$B:$B, 0)), "")</f>
        <v>ULIF 078 31/12/24 MQI 110</v>
      </c>
      <c r="E2063" s="8">
        <v>9.0379000000000005</v>
      </c>
      <c r="F2063" s="9">
        <v>46021</v>
      </c>
    </row>
    <row r="2064" spans="1:6" ht="105" x14ac:dyDescent="0.25">
      <c r="A2064" s="8" t="s">
        <v>63</v>
      </c>
      <c r="B2064" s="8" t="s">
        <v>71</v>
      </c>
      <c r="C2064" s="8" t="str">
        <f>IFERROR(_xlfn.XLOOKUP(TRIM(B2064),Lookup!$B$2:$B$1000,Lookup!$C$2:$C$1000),"")</f>
        <v>Equity - Index (Multicap Momentum Quality)</v>
      </c>
      <c r="D2064" s="8" t="str">
        <f>IFERROR(INDEX('nav master'!$C:$C, MATCH(B2064, 'nav master'!$B:$B, 0)), "")</f>
        <v>ULIF 078 31/12/24 MQI 110</v>
      </c>
      <c r="E2064" s="8">
        <v>9.1286000000000005</v>
      </c>
      <c r="F2064" s="9">
        <v>46022</v>
      </c>
    </row>
    <row r="2065" spans="1:6" ht="105" x14ac:dyDescent="0.25">
      <c r="A2065" s="8" t="s">
        <v>63</v>
      </c>
      <c r="B2065" s="8" t="s">
        <v>71</v>
      </c>
      <c r="C2065" s="8" t="str">
        <f>IFERROR(_xlfn.XLOOKUP(TRIM(B2065),Lookup!$B$2:$B$1000,Lookup!$C$2:$C$1000),"")</f>
        <v>Equity - Index (Multicap Momentum Quality)</v>
      </c>
      <c r="D2065" s="8" t="str">
        <f>IFERROR(INDEX('nav master'!$C:$C, MATCH(B2065, 'nav master'!$B:$B, 0)), "")</f>
        <v>ULIF 078 31/12/24 MQI 110</v>
      </c>
      <c r="E2065" s="8">
        <v>9.1270000000000007</v>
      </c>
      <c r="F2065" s="9">
        <v>46023</v>
      </c>
    </row>
    <row r="2066" spans="1:6" ht="105" x14ac:dyDescent="0.25">
      <c r="A2066" s="8" t="s">
        <v>63</v>
      </c>
      <c r="B2066" s="8" t="s">
        <v>71</v>
      </c>
      <c r="C2066" s="8" t="str">
        <f>IFERROR(_xlfn.XLOOKUP(TRIM(B2066),Lookup!$B$2:$B$1000,Lookup!$C$2:$C$1000),"")</f>
        <v>Equity - Index (Multicap Momentum Quality)</v>
      </c>
      <c r="D2066" s="8" t="str">
        <f>IFERROR(INDEX('nav master'!$C:$C, MATCH(B2066, 'nav master'!$B:$B, 0)), "")</f>
        <v>ULIF 078 31/12/24 MQI 110</v>
      </c>
      <c r="E2066" s="8">
        <v>9.1745000000000001</v>
      </c>
      <c r="F2066" s="9">
        <v>46024</v>
      </c>
    </row>
    <row r="2067" spans="1:6" ht="105" x14ac:dyDescent="0.25">
      <c r="A2067" s="8" t="s">
        <v>63</v>
      </c>
      <c r="B2067" s="8" t="s">
        <v>71</v>
      </c>
      <c r="C2067" s="8" t="str">
        <f>IFERROR(_xlfn.XLOOKUP(TRIM(B2067),Lookup!$B$2:$B$1000,Lookup!$C$2:$C$1000),"")</f>
        <v>Equity - Index (Multicap Momentum Quality)</v>
      </c>
      <c r="D2067" s="8" t="str">
        <f>IFERROR(INDEX('nav master'!$C:$C, MATCH(B2067, 'nav master'!$B:$B, 0)), "")</f>
        <v>ULIF 078 31/12/24 MQI 110</v>
      </c>
      <c r="E2067" s="8">
        <v>9.2276000000000007</v>
      </c>
      <c r="F2067" s="9">
        <v>46027</v>
      </c>
    </row>
    <row r="2068" spans="1:6" ht="105" x14ac:dyDescent="0.25">
      <c r="A2068" s="8" t="s">
        <v>63</v>
      </c>
      <c r="B2068" s="8" t="s">
        <v>71</v>
      </c>
      <c r="C2068" s="8" t="str">
        <f>IFERROR(_xlfn.XLOOKUP(TRIM(B2068),Lookup!$B$2:$B$1000,Lookup!$C$2:$C$1000),"")</f>
        <v>Equity - Index (Multicap Momentum Quality)</v>
      </c>
      <c r="D2068" s="8" t="str">
        <f>IFERROR(INDEX('nav master'!$C:$C, MATCH(B2068, 'nav master'!$B:$B, 0)), "")</f>
        <v>ULIF 078 31/12/24 MQI 110</v>
      </c>
      <c r="E2068" s="8">
        <v>9.2430000000000003</v>
      </c>
      <c r="F2068" s="9">
        <v>46028</v>
      </c>
    </row>
    <row r="2069" spans="1:6" ht="105" x14ac:dyDescent="0.25">
      <c r="A2069" s="8" t="s">
        <v>63</v>
      </c>
      <c r="B2069" s="8" t="s">
        <v>71</v>
      </c>
      <c r="C2069" s="8" t="str">
        <f>IFERROR(_xlfn.XLOOKUP(TRIM(B2069),Lookup!$B$2:$B$1000,Lookup!$C$2:$C$1000),"")</f>
        <v>Equity - Index (Multicap Momentum Quality)</v>
      </c>
      <c r="D2069" s="8" t="str">
        <f>IFERROR(INDEX('nav master'!$C:$C, MATCH(B2069, 'nav master'!$B:$B, 0)), "")</f>
        <v>ULIF 078 31/12/24 MQI 110</v>
      </c>
      <c r="E2069" s="8">
        <v>9.2799999999999994</v>
      </c>
      <c r="F2069" s="9">
        <v>46029</v>
      </c>
    </row>
    <row r="2070" spans="1:6" ht="105" x14ac:dyDescent="0.25">
      <c r="A2070" s="8" t="s">
        <v>63</v>
      </c>
      <c r="B2070" s="8" t="s">
        <v>71</v>
      </c>
      <c r="C2070" s="8" t="str">
        <f>IFERROR(_xlfn.XLOOKUP(TRIM(B2070),Lookup!$B$2:$B$1000,Lookup!$C$2:$C$1000),"")</f>
        <v>Equity - Index (Multicap Momentum Quality)</v>
      </c>
      <c r="D2070" s="8" t="str">
        <f>IFERROR(INDEX('nav master'!$C:$C, MATCH(B2070, 'nav master'!$B:$B, 0)), "")</f>
        <v>ULIF 078 31/12/24 MQI 110</v>
      </c>
      <c r="E2070" s="8">
        <v>9.1323000000000008</v>
      </c>
      <c r="F2070" s="9">
        <v>46030</v>
      </c>
    </row>
    <row r="2071" spans="1:6" ht="105" x14ac:dyDescent="0.25">
      <c r="A2071" s="8" t="s">
        <v>63</v>
      </c>
      <c r="B2071" s="8" t="s">
        <v>71</v>
      </c>
      <c r="C2071" s="8" t="str">
        <f>IFERROR(_xlfn.XLOOKUP(TRIM(B2071),Lookup!$B$2:$B$1000,Lookup!$C$2:$C$1000),"")</f>
        <v>Equity - Index (Multicap Momentum Quality)</v>
      </c>
      <c r="D2071" s="8" t="str">
        <f>IFERROR(INDEX('nav master'!$C:$C, MATCH(B2071, 'nav master'!$B:$B, 0)), "")</f>
        <v>ULIF 078 31/12/24 MQI 110</v>
      </c>
      <c r="E2071" s="8">
        <v>9.0510999999999999</v>
      </c>
      <c r="F2071" s="9">
        <v>46031</v>
      </c>
    </row>
    <row r="2072" spans="1:6" ht="105" x14ac:dyDescent="0.25">
      <c r="A2072" s="8" t="s">
        <v>63</v>
      </c>
      <c r="B2072" s="8" t="s">
        <v>71</v>
      </c>
      <c r="C2072" s="8" t="str">
        <f>IFERROR(_xlfn.XLOOKUP(TRIM(B2072),Lookup!$B$2:$B$1000,Lookup!$C$2:$C$1000),"")</f>
        <v>Equity - Index (Multicap Momentum Quality)</v>
      </c>
      <c r="D2072" s="8" t="str">
        <f>IFERROR(INDEX('nav master'!$C:$C, MATCH(B2072, 'nav master'!$B:$B, 0)), "")</f>
        <v>ULIF 078 31/12/24 MQI 110</v>
      </c>
      <c r="E2072" s="8">
        <v>9.0609000000000002</v>
      </c>
      <c r="F2072" s="9">
        <v>46034</v>
      </c>
    </row>
    <row r="2073" spans="1:6" ht="105" x14ac:dyDescent="0.25">
      <c r="A2073" s="8" t="s">
        <v>63</v>
      </c>
      <c r="B2073" s="8" t="s">
        <v>71</v>
      </c>
      <c r="C2073" s="8" t="str">
        <f>IFERROR(_xlfn.XLOOKUP(TRIM(B2073),Lookup!$B$2:$B$1000,Lookup!$C$2:$C$1000),"")</f>
        <v>Equity - Index (Multicap Momentum Quality)</v>
      </c>
      <c r="D2073" s="8" t="str">
        <f>IFERROR(INDEX('nav master'!$C:$C, MATCH(B2073, 'nav master'!$B:$B, 0)), "")</f>
        <v>ULIF 078 31/12/24 MQI 110</v>
      </c>
      <c r="E2073" s="8">
        <v>9.0875000000000004</v>
      </c>
      <c r="F2073" s="9">
        <v>46035</v>
      </c>
    </row>
    <row r="2074" spans="1:6" ht="105" x14ac:dyDescent="0.25">
      <c r="A2074" s="8" t="s">
        <v>63</v>
      </c>
      <c r="B2074" s="8" t="s">
        <v>71</v>
      </c>
      <c r="C2074" s="8" t="str">
        <f>IFERROR(_xlfn.XLOOKUP(TRIM(B2074),Lookup!$B$2:$B$1000,Lookup!$C$2:$C$1000),"")</f>
        <v>Equity - Index (Multicap Momentum Quality)</v>
      </c>
      <c r="D2074" s="8" t="str">
        <f>IFERROR(INDEX('nav master'!$C:$C, MATCH(B2074, 'nav master'!$B:$B, 0)), "")</f>
        <v>ULIF 078 31/12/24 MQI 110</v>
      </c>
      <c r="E2074" s="8">
        <v>9.1226000000000003</v>
      </c>
      <c r="F2074" s="9">
        <v>46036</v>
      </c>
    </row>
    <row r="2075" spans="1:6" ht="105" x14ac:dyDescent="0.25">
      <c r="A2075" s="8" t="s">
        <v>63</v>
      </c>
      <c r="B2075" s="8" t="s">
        <v>71</v>
      </c>
      <c r="C2075" s="8" t="str">
        <f>IFERROR(_xlfn.XLOOKUP(TRIM(B2075),Lookup!$B$2:$B$1000,Lookup!$C$2:$C$1000),"")</f>
        <v>Equity - Index (Multicap Momentum Quality)</v>
      </c>
      <c r="D2075" s="8" t="str">
        <f>IFERROR(INDEX('nav master'!$C:$C, MATCH(B2075, 'nav master'!$B:$B, 0)), "")</f>
        <v>ULIF 078 31/12/24 MQI 110</v>
      </c>
      <c r="E2075" s="8">
        <v>9.1127000000000002</v>
      </c>
      <c r="F2075" s="9">
        <v>46038</v>
      </c>
    </row>
    <row r="2076" spans="1:6" ht="105" x14ac:dyDescent="0.25">
      <c r="A2076" s="8" t="s">
        <v>63</v>
      </c>
      <c r="B2076" s="8" t="s">
        <v>71</v>
      </c>
      <c r="C2076" s="8" t="str">
        <f>IFERROR(_xlfn.XLOOKUP(TRIM(B2076),Lookup!$B$2:$B$1000,Lookup!$C$2:$C$1000),"")</f>
        <v>Equity - Index (Multicap Momentum Quality)</v>
      </c>
      <c r="D2076" s="8" t="str">
        <f>IFERROR(INDEX('nav master'!$C:$C, MATCH(B2076, 'nav master'!$B:$B, 0)), "")</f>
        <v>ULIF 078 31/12/24 MQI 110</v>
      </c>
      <c r="E2076" s="8">
        <v>9.1067</v>
      </c>
      <c r="F2076" s="9">
        <v>46041</v>
      </c>
    </row>
    <row r="2077" spans="1:6" ht="105" x14ac:dyDescent="0.25">
      <c r="A2077" s="8" t="s">
        <v>63</v>
      </c>
      <c r="B2077" s="8" t="s">
        <v>71</v>
      </c>
      <c r="C2077" s="8" t="str">
        <f>IFERROR(_xlfn.XLOOKUP(TRIM(B2077),Lookup!$B$2:$B$1000,Lookup!$C$2:$C$1000),"")</f>
        <v>Equity - Index (Multicap Momentum Quality)</v>
      </c>
      <c r="D2077" s="8" t="str">
        <f>IFERROR(INDEX('nav master'!$C:$C, MATCH(B2077, 'nav master'!$B:$B, 0)), "")</f>
        <v>ULIF 078 31/12/24 MQI 110</v>
      </c>
      <c r="E2077" s="8">
        <v>8.9166000000000007</v>
      </c>
      <c r="F2077" s="9">
        <v>46042</v>
      </c>
    </row>
    <row r="2078" spans="1:6" ht="105" x14ac:dyDescent="0.25">
      <c r="A2078" s="8" t="s">
        <v>63</v>
      </c>
      <c r="B2078" s="8" t="s">
        <v>71</v>
      </c>
      <c r="C2078" s="8" t="str">
        <f>IFERROR(_xlfn.XLOOKUP(TRIM(B2078),Lookup!$B$2:$B$1000,Lookup!$C$2:$C$1000),"")</f>
        <v>Equity - Index (Multicap Momentum Quality)</v>
      </c>
      <c r="D2078" s="8" t="str">
        <f>IFERROR(INDEX('nav master'!$C:$C, MATCH(B2078, 'nav master'!$B:$B, 0)), "")</f>
        <v>ULIF 078 31/12/24 MQI 110</v>
      </c>
      <c r="E2078" s="8">
        <v>8.8262</v>
      </c>
      <c r="F2078" s="9">
        <v>46043</v>
      </c>
    </row>
    <row r="2079" spans="1:6" ht="105" x14ac:dyDescent="0.25">
      <c r="A2079" s="8" t="s">
        <v>63</v>
      </c>
      <c r="B2079" s="8" t="s">
        <v>71</v>
      </c>
      <c r="C2079" s="8" t="str">
        <f>IFERROR(_xlfn.XLOOKUP(TRIM(B2079),Lookup!$B$2:$B$1000,Lookup!$C$2:$C$1000),"")</f>
        <v>Equity - Index (Multicap Momentum Quality)</v>
      </c>
      <c r="D2079" s="8" t="str">
        <f>IFERROR(INDEX('nav master'!$C:$C, MATCH(B2079, 'nav master'!$B:$B, 0)), "")</f>
        <v>ULIF 078 31/12/24 MQI 110</v>
      </c>
      <c r="E2079" s="8">
        <v>8.9152000000000005</v>
      </c>
      <c r="F2079" s="9">
        <v>46044</v>
      </c>
    </row>
    <row r="2080" spans="1:6" ht="105" x14ac:dyDescent="0.25">
      <c r="A2080" s="8" t="s">
        <v>63</v>
      </c>
      <c r="B2080" s="8" t="s">
        <v>71</v>
      </c>
      <c r="C2080" s="8" t="str">
        <f>IFERROR(_xlfn.XLOOKUP(TRIM(B2080),Lookup!$B$2:$B$1000,Lookup!$C$2:$C$1000),"")</f>
        <v>Equity - Index (Multicap Momentum Quality)</v>
      </c>
      <c r="D2080" s="8" t="str">
        <f>IFERROR(INDEX('nav master'!$C:$C, MATCH(B2080, 'nav master'!$B:$B, 0)), "")</f>
        <v>ULIF 078 31/12/24 MQI 110</v>
      </c>
      <c r="E2080" s="8">
        <v>8.7812000000000001</v>
      </c>
      <c r="F2080" s="9">
        <v>46045</v>
      </c>
    </row>
    <row r="2081" spans="1:6" ht="105" x14ac:dyDescent="0.25">
      <c r="A2081" s="8" t="s">
        <v>63</v>
      </c>
      <c r="B2081" s="8" t="s">
        <v>71</v>
      </c>
      <c r="C2081" s="8" t="str">
        <f>IFERROR(_xlfn.XLOOKUP(TRIM(B2081),Lookup!$B$2:$B$1000,Lookup!$C$2:$C$1000),"")</f>
        <v>Equity - Index (Multicap Momentum Quality)</v>
      </c>
      <c r="D2081" s="8" t="str">
        <f>IFERROR(INDEX('nav master'!$C:$C, MATCH(B2081, 'nav master'!$B:$B, 0)), "")</f>
        <v>ULIF 078 31/12/24 MQI 110</v>
      </c>
      <c r="E2081" s="8">
        <v>8.8547999999999991</v>
      </c>
      <c r="F2081" s="9">
        <v>46049</v>
      </c>
    </row>
    <row r="2082" spans="1:6" ht="105" x14ac:dyDescent="0.25">
      <c r="A2082" s="8" t="s">
        <v>63</v>
      </c>
      <c r="B2082" s="8" t="s">
        <v>71</v>
      </c>
      <c r="C2082" s="8" t="str">
        <f>IFERROR(_xlfn.XLOOKUP(TRIM(B2082),Lookup!$B$2:$B$1000,Lookup!$C$2:$C$1000),"")</f>
        <v>Equity - Index (Multicap Momentum Quality)</v>
      </c>
      <c r="D2082" s="8" t="str">
        <f>IFERROR(INDEX('nav master'!$C:$C, MATCH(B2082, 'nav master'!$B:$B, 0)), "")</f>
        <v>ULIF 078 31/12/24 MQI 110</v>
      </c>
      <c r="E2082" s="8">
        <v>9.0111000000000008</v>
      </c>
      <c r="F2082" s="9">
        <v>46050</v>
      </c>
    </row>
    <row r="2083" spans="1:6" ht="105" x14ac:dyDescent="0.25">
      <c r="A2083" s="8" t="s">
        <v>63</v>
      </c>
      <c r="B2083" s="8" t="s">
        <v>71</v>
      </c>
      <c r="C2083" s="8" t="str">
        <f>IFERROR(_xlfn.XLOOKUP(TRIM(B2083),Lookup!$B$2:$B$1000,Lookup!$C$2:$C$1000),"")</f>
        <v>Equity - Index (Multicap Momentum Quality)</v>
      </c>
      <c r="D2083" s="8" t="str">
        <f>IFERROR(INDEX('nav master'!$C:$C, MATCH(B2083, 'nav master'!$B:$B, 0)), "")</f>
        <v>ULIF 078 31/12/24 MQI 110</v>
      </c>
      <c r="E2083" s="8">
        <v>9.0503</v>
      </c>
      <c r="F2083" s="9">
        <v>46051</v>
      </c>
    </row>
    <row r="2084" spans="1:6" ht="105" x14ac:dyDescent="0.25">
      <c r="A2084" s="8" t="s">
        <v>63</v>
      </c>
      <c r="B2084" s="8" t="s">
        <v>71</v>
      </c>
      <c r="C2084" s="8" t="str">
        <f>IFERROR(_xlfn.XLOOKUP(TRIM(B2084),Lookup!$B$2:$B$1000,Lookup!$C$2:$C$1000),"")</f>
        <v>Equity - Index (Multicap Momentum Quality)</v>
      </c>
      <c r="D2084" s="8" t="str">
        <f>IFERROR(INDEX('nav master'!$C:$C, MATCH(B2084, 'nav master'!$B:$B, 0)), "")</f>
        <v>ULIF 078 31/12/24 MQI 110</v>
      </c>
      <c r="E2084" s="8">
        <v>8.9924999999999997</v>
      </c>
      <c r="F2084" s="9">
        <v>46052</v>
      </c>
    </row>
    <row r="2085" spans="1:6" ht="105" x14ac:dyDescent="0.25">
      <c r="A2085" s="8" t="s">
        <v>63</v>
      </c>
      <c r="B2085" s="8" t="s">
        <v>71</v>
      </c>
      <c r="C2085" s="8" t="str">
        <f>IFERROR(_xlfn.XLOOKUP(TRIM(B2085),Lookup!$B$2:$B$1000,Lookup!$C$2:$C$1000),"")</f>
        <v>Equity - Index (Multicap Momentum Quality)</v>
      </c>
      <c r="D2085" s="8" t="str">
        <f>IFERROR(INDEX('nav master'!$C:$C, MATCH(B2085, 'nav master'!$B:$B, 0)), "")</f>
        <v>ULIF 078 31/12/24 MQI 110</v>
      </c>
      <c r="E2085" s="8">
        <v>8.6606000000000005</v>
      </c>
      <c r="F2085" s="9">
        <v>46054</v>
      </c>
    </row>
    <row r="2086" spans="1:6" ht="105" x14ac:dyDescent="0.25">
      <c r="A2086" s="8" t="s">
        <v>63</v>
      </c>
      <c r="B2086" s="8" t="s">
        <v>71</v>
      </c>
      <c r="C2086" s="8" t="str">
        <f>IFERROR(_xlfn.XLOOKUP(TRIM(B2086),Lookup!$B$2:$B$1000,Lookup!$C$2:$C$1000),"")</f>
        <v>Equity - Index (Multicap Momentum Quality)</v>
      </c>
      <c r="D2086" s="8" t="str">
        <f>IFERROR(INDEX('nav master'!$C:$C, MATCH(B2086, 'nav master'!$B:$B, 0)), "")</f>
        <v>ULIF 078 31/12/24 MQI 110</v>
      </c>
      <c r="E2086" s="8">
        <v>8.82</v>
      </c>
      <c r="F2086" s="9">
        <v>46055</v>
      </c>
    </row>
    <row r="2087" spans="1:6" ht="105" x14ac:dyDescent="0.25">
      <c r="A2087" s="8" t="s">
        <v>63</v>
      </c>
      <c r="B2087" s="8" t="s">
        <v>71</v>
      </c>
      <c r="C2087" s="8" t="str">
        <f>IFERROR(_xlfn.XLOOKUP(TRIM(B2087),Lookup!$B$2:$B$1000,Lookup!$C$2:$C$1000),"")</f>
        <v>Equity - Index (Multicap Momentum Quality)</v>
      </c>
      <c r="D2087" s="8" t="str">
        <f>IFERROR(INDEX('nav master'!$C:$C, MATCH(B2087, 'nav master'!$B:$B, 0)), "")</f>
        <v>ULIF 078 31/12/24 MQI 110</v>
      </c>
      <c r="E2087" s="8">
        <v>9.0493000000000006</v>
      </c>
      <c r="F2087" s="9">
        <v>46056</v>
      </c>
    </row>
    <row r="2088" spans="1:6" ht="105" x14ac:dyDescent="0.25">
      <c r="A2088" s="8" t="s">
        <v>63</v>
      </c>
      <c r="B2088" s="8" t="s">
        <v>71</v>
      </c>
      <c r="C2088" s="8" t="str">
        <f>IFERROR(_xlfn.XLOOKUP(TRIM(B2088),Lookup!$B$2:$B$1000,Lookup!$C$2:$C$1000),"")</f>
        <v>Equity - Index (Multicap Momentum Quality)</v>
      </c>
      <c r="D2088" s="8" t="str">
        <f>IFERROR(INDEX('nav master'!$C:$C, MATCH(B2088, 'nav master'!$B:$B, 0)), "")</f>
        <v>ULIF 078 31/12/24 MQI 110</v>
      </c>
      <c r="E2088" s="8">
        <v>9.1140000000000008</v>
      </c>
      <c r="F2088" s="9">
        <v>46057</v>
      </c>
    </row>
    <row r="2089" spans="1:6" ht="105" x14ac:dyDescent="0.25">
      <c r="A2089" s="8" t="s">
        <v>63</v>
      </c>
      <c r="B2089" s="8" t="s">
        <v>71</v>
      </c>
      <c r="C2089" s="8" t="str">
        <f>IFERROR(_xlfn.XLOOKUP(TRIM(B2089),Lookup!$B$2:$B$1000,Lookup!$C$2:$C$1000),"")</f>
        <v>Equity - Index (Multicap Momentum Quality)</v>
      </c>
      <c r="D2089" s="8" t="str">
        <f>IFERROR(INDEX('nav master'!$C:$C, MATCH(B2089, 'nav master'!$B:$B, 0)), "")</f>
        <v>ULIF 078 31/12/24 MQI 110</v>
      </c>
      <c r="E2089" s="8">
        <v>9.0516000000000005</v>
      </c>
      <c r="F2089" s="9">
        <v>46058</v>
      </c>
    </row>
    <row r="2090" spans="1:6" ht="105" x14ac:dyDescent="0.25">
      <c r="A2090" s="8" t="s">
        <v>63</v>
      </c>
      <c r="B2090" s="8" t="s">
        <v>71</v>
      </c>
      <c r="C2090" s="8" t="str">
        <f>IFERROR(_xlfn.XLOOKUP(TRIM(B2090),Lookup!$B$2:$B$1000,Lookup!$C$2:$C$1000),"")</f>
        <v>Equity - Index (Multicap Momentum Quality)</v>
      </c>
      <c r="D2090" s="8" t="str">
        <f>IFERROR(INDEX('nav master'!$C:$C, MATCH(B2090, 'nav master'!$B:$B, 0)), "")</f>
        <v>ULIF 078 31/12/24 MQI 110</v>
      </c>
      <c r="E2090" s="8">
        <v>9.0203000000000007</v>
      </c>
      <c r="F2090" s="9">
        <v>46059</v>
      </c>
    </row>
    <row r="2091" spans="1:6" ht="105" x14ac:dyDescent="0.25">
      <c r="A2091" s="8" t="s">
        <v>63</v>
      </c>
      <c r="B2091" s="8" t="s">
        <v>71</v>
      </c>
      <c r="C2091" s="8" t="str">
        <f>IFERROR(_xlfn.XLOOKUP(TRIM(B2091),Lookup!$B$2:$B$1000,Lookup!$C$2:$C$1000),"")</f>
        <v>Equity - Index (Multicap Momentum Quality)</v>
      </c>
      <c r="D2091" s="8" t="str">
        <f>IFERROR(INDEX('nav master'!$C:$C, MATCH(B2091, 'nav master'!$B:$B, 0)), "")</f>
        <v>ULIF 078 31/12/24 MQI 110</v>
      </c>
      <c r="E2091" s="8">
        <v>9.1313999999999993</v>
      </c>
      <c r="F2091" s="9">
        <v>46062</v>
      </c>
    </row>
    <row r="2092" spans="1:6" ht="105" x14ac:dyDescent="0.25">
      <c r="A2092" s="8" t="s">
        <v>63</v>
      </c>
      <c r="B2092" s="8" t="s">
        <v>71</v>
      </c>
      <c r="C2092" s="8" t="str">
        <f>IFERROR(_xlfn.XLOOKUP(TRIM(B2092),Lookup!$B$2:$B$1000,Lookup!$C$2:$C$1000),"")</f>
        <v>Equity - Index (Multicap Momentum Quality)</v>
      </c>
      <c r="D2092" s="8" t="str">
        <f>IFERROR(INDEX('nav master'!$C:$C, MATCH(B2092, 'nav master'!$B:$B, 0)), "")</f>
        <v>ULIF 078 31/12/24 MQI 110</v>
      </c>
      <c r="E2092" s="8">
        <v>9.2050999999999998</v>
      </c>
      <c r="F2092" s="9">
        <v>46063</v>
      </c>
    </row>
    <row r="2093" spans="1:6" ht="105" x14ac:dyDescent="0.25">
      <c r="A2093" s="8" t="s">
        <v>63</v>
      </c>
      <c r="B2093" s="8" t="s">
        <v>71</v>
      </c>
      <c r="C2093" s="8" t="str">
        <f>IFERROR(_xlfn.XLOOKUP(TRIM(B2093),Lookup!$B$2:$B$1000,Lookup!$C$2:$C$1000),"")</f>
        <v>Equity - Index (Multicap Momentum Quality)</v>
      </c>
      <c r="D2093" s="8" t="str">
        <f>IFERROR(INDEX('nav master'!$C:$C, MATCH(B2093, 'nav master'!$B:$B, 0)), "")</f>
        <v>ULIF 078 31/12/24 MQI 110</v>
      </c>
      <c r="E2093" s="8">
        <v>9.2359000000000009</v>
      </c>
      <c r="F2093" s="9">
        <v>46064</v>
      </c>
    </row>
    <row r="2094" spans="1:6" ht="105" x14ac:dyDescent="0.25">
      <c r="A2094" s="8" t="s">
        <v>63</v>
      </c>
      <c r="B2094" s="8" t="s">
        <v>71</v>
      </c>
      <c r="C2094" s="8" t="str">
        <f>IFERROR(_xlfn.XLOOKUP(TRIM(B2094),Lookup!$B$2:$B$1000,Lookup!$C$2:$C$1000),"")</f>
        <v>Equity - Index (Multicap Momentum Quality)</v>
      </c>
      <c r="D2094" s="8" t="str">
        <f>IFERROR(INDEX('nav master'!$C:$C, MATCH(B2094, 'nav master'!$B:$B, 0)), "")</f>
        <v>ULIF 078 31/12/24 MQI 110</v>
      </c>
      <c r="E2094" s="8">
        <v>9.2495999999999992</v>
      </c>
      <c r="F2094" s="9">
        <v>46065</v>
      </c>
    </row>
    <row r="2095" spans="1:6" ht="105" x14ac:dyDescent="0.25">
      <c r="A2095" s="8" t="s">
        <v>63</v>
      </c>
      <c r="B2095" s="8" t="s">
        <v>71</v>
      </c>
      <c r="C2095" s="8" t="str">
        <f>IFERROR(_xlfn.XLOOKUP(TRIM(B2095),Lookup!$B$2:$B$1000,Lookup!$C$2:$C$1000),"")</f>
        <v>Equity - Index (Multicap Momentum Quality)</v>
      </c>
      <c r="D2095" s="8" t="str">
        <f>IFERROR(INDEX('nav master'!$C:$C, MATCH(B2095, 'nav master'!$B:$B, 0)), "")</f>
        <v>ULIF 078 31/12/24 MQI 110</v>
      </c>
      <c r="E2095" s="8">
        <v>9.0497999999999994</v>
      </c>
      <c r="F2095" s="9">
        <v>46066</v>
      </c>
    </row>
    <row r="2096" spans="1:6" ht="105" x14ac:dyDescent="0.25">
      <c r="A2096" s="8" t="s">
        <v>63</v>
      </c>
      <c r="B2096" s="8" t="s">
        <v>71</v>
      </c>
      <c r="C2096" s="8" t="str">
        <f>IFERROR(_xlfn.XLOOKUP(TRIM(B2096),Lookup!$B$2:$B$1000,Lookup!$C$2:$C$1000),"")</f>
        <v>Equity - Index (Multicap Momentum Quality)</v>
      </c>
      <c r="D2096" s="8" t="str">
        <f>IFERROR(INDEX('nav master'!$C:$C, MATCH(B2096, 'nav master'!$B:$B, 0)), "")</f>
        <v>ULIF 078 31/12/24 MQI 110</v>
      </c>
      <c r="E2096" s="8">
        <v>9.0556999999999999</v>
      </c>
      <c r="F2096" s="9">
        <v>46069</v>
      </c>
    </row>
    <row r="2097" spans="1:6" ht="105" x14ac:dyDescent="0.25">
      <c r="A2097" s="8" t="s">
        <v>63</v>
      </c>
      <c r="B2097" s="8" t="s">
        <v>71</v>
      </c>
      <c r="C2097" s="8" t="str">
        <f>IFERROR(_xlfn.XLOOKUP(TRIM(B2097),Lookup!$B$2:$B$1000,Lookup!$C$2:$C$1000),"")</f>
        <v>Equity - Index (Multicap Momentum Quality)</v>
      </c>
      <c r="D2097" s="8" t="str">
        <f>IFERROR(INDEX('nav master'!$C:$C, MATCH(B2097, 'nav master'!$B:$B, 0)), "")</f>
        <v>ULIF 078 31/12/24 MQI 110</v>
      </c>
      <c r="E2097" s="8">
        <v>9.0902999999999992</v>
      </c>
      <c r="F2097" s="9">
        <v>46070</v>
      </c>
    </row>
    <row r="2098" spans="1:6" ht="105" x14ac:dyDescent="0.25">
      <c r="A2098" s="8" t="s">
        <v>63</v>
      </c>
      <c r="B2098" s="8" t="s">
        <v>71</v>
      </c>
      <c r="C2098" s="8" t="str">
        <f>IFERROR(_xlfn.XLOOKUP(TRIM(B2098),Lookup!$B$2:$B$1000,Lookup!$C$2:$C$1000),"")</f>
        <v>Equity - Index (Multicap Momentum Quality)</v>
      </c>
      <c r="D2098" s="8" t="str">
        <f>IFERROR(INDEX('nav master'!$C:$C, MATCH(B2098, 'nav master'!$B:$B, 0)), "")</f>
        <v>ULIF 078 31/12/24 MQI 110</v>
      </c>
      <c r="E2098" s="8">
        <v>9.1504999999999992</v>
      </c>
      <c r="F2098" s="9">
        <v>46071</v>
      </c>
    </row>
    <row r="2099" spans="1:6" ht="105" x14ac:dyDescent="0.25">
      <c r="A2099" s="8" t="s">
        <v>63</v>
      </c>
      <c r="B2099" s="8" t="s">
        <v>71</v>
      </c>
      <c r="C2099" s="8" t="str">
        <f>IFERROR(_xlfn.XLOOKUP(TRIM(B2099),Lookup!$B$2:$B$1000,Lookup!$C$2:$C$1000),"")</f>
        <v>Equity - Index (Multicap Momentum Quality)</v>
      </c>
      <c r="D2099" s="8" t="str">
        <f>IFERROR(INDEX('nav master'!$C:$C, MATCH(B2099, 'nav master'!$B:$B, 0)), "")</f>
        <v>ULIF 078 31/12/24 MQI 110</v>
      </c>
      <c r="E2099" s="8">
        <v>8.9803999999999995</v>
      </c>
      <c r="F2099" s="9">
        <v>46072</v>
      </c>
    </row>
    <row r="2100" spans="1:6" ht="105" x14ac:dyDescent="0.25">
      <c r="A2100" s="8" t="s">
        <v>63</v>
      </c>
      <c r="B2100" s="8" t="s">
        <v>71</v>
      </c>
      <c r="C2100" s="8" t="str">
        <f>IFERROR(_xlfn.XLOOKUP(TRIM(B2100),Lookup!$B$2:$B$1000,Lookup!$C$2:$C$1000),"")</f>
        <v>Equity - Index (Multicap Momentum Quality)</v>
      </c>
      <c r="D2100" s="8" t="str">
        <f>IFERROR(INDEX('nav master'!$C:$C, MATCH(B2100, 'nav master'!$B:$B, 0)), "")</f>
        <v>ULIF 078 31/12/24 MQI 110</v>
      </c>
      <c r="E2100" s="8">
        <v>9.0300999999999991</v>
      </c>
      <c r="F2100" s="9">
        <v>46073</v>
      </c>
    </row>
    <row r="2101" spans="1:6" ht="105" x14ac:dyDescent="0.25">
      <c r="A2101" s="8" t="s">
        <v>63</v>
      </c>
      <c r="B2101" s="8" t="s">
        <v>71</v>
      </c>
      <c r="C2101" s="8" t="str">
        <f>IFERROR(_xlfn.XLOOKUP(TRIM(B2101),Lookup!$B$2:$B$1000,Lookup!$C$2:$C$1000),"")</f>
        <v>Equity - Index (Multicap Momentum Quality)</v>
      </c>
      <c r="D2101" s="8" t="str">
        <f>IFERROR(INDEX('nav master'!$C:$C, MATCH(B2101, 'nav master'!$B:$B, 0)), "")</f>
        <v>ULIF 078 31/12/24 MQI 110</v>
      </c>
      <c r="E2101" s="8">
        <v>9.0664999999999996</v>
      </c>
      <c r="F2101" s="9">
        <v>46076</v>
      </c>
    </row>
    <row r="2102" spans="1:6" ht="105" x14ac:dyDescent="0.25">
      <c r="A2102" s="8" t="s">
        <v>63</v>
      </c>
      <c r="B2102" s="8" t="s">
        <v>71</v>
      </c>
      <c r="C2102" s="8" t="str">
        <f>IFERROR(_xlfn.XLOOKUP(TRIM(B2102),Lookup!$B$2:$B$1000,Lookup!$C$2:$C$1000),"")</f>
        <v>Equity - Index (Multicap Momentum Quality)</v>
      </c>
      <c r="D2102" s="8" t="str">
        <f>IFERROR(INDEX('nav master'!$C:$C, MATCH(B2102, 'nav master'!$B:$B, 0)), "")</f>
        <v>ULIF 078 31/12/24 MQI 110</v>
      </c>
      <c r="E2102" s="8">
        <v>9.0190999999999999</v>
      </c>
      <c r="F2102" s="9">
        <v>46077</v>
      </c>
    </row>
    <row r="2103" spans="1:6" ht="105" x14ac:dyDescent="0.25">
      <c r="A2103" s="8" t="s">
        <v>63</v>
      </c>
      <c r="B2103" s="8" t="s">
        <v>71</v>
      </c>
      <c r="C2103" s="8" t="str">
        <f>IFERROR(_xlfn.XLOOKUP(TRIM(B2103),Lookup!$B$2:$B$1000,Lookup!$C$2:$C$1000),"")</f>
        <v>Equity - Index (Multicap Momentum Quality)</v>
      </c>
      <c r="D2103" s="8" t="str">
        <f>IFERROR(INDEX('nav master'!$C:$C, MATCH(B2103, 'nav master'!$B:$B, 0)), "")</f>
        <v>ULIF 078 31/12/24 MQI 110</v>
      </c>
      <c r="E2103" s="8">
        <v>9.1031999999999993</v>
      </c>
      <c r="F2103" s="9">
        <v>46078</v>
      </c>
    </row>
    <row r="2104" spans="1:6" ht="105" x14ac:dyDescent="0.25">
      <c r="A2104" s="8" t="s">
        <v>63</v>
      </c>
      <c r="B2104" s="8" t="s">
        <v>71</v>
      </c>
      <c r="C2104" s="8" t="str">
        <f>IFERROR(_xlfn.XLOOKUP(TRIM(B2104),Lookup!$B$2:$B$1000,Lookup!$C$2:$C$1000),"")</f>
        <v>Equity - Index (Multicap Momentum Quality)</v>
      </c>
      <c r="D2104" s="8" t="str">
        <f>IFERROR(INDEX('nav master'!$C:$C, MATCH(B2104, 'nav master'!$B:$B, 0)), "")</f>
        <v>ULIF 078 31/12/24 MQI 110</v>
      </c>
      <c r="E2104" s="8">
        <v>9.125</v>
      </c>
      <c r="F2104" s="9">
        <v>46079</v>
      </c>
    </row>
    <row r="2105" spans="1:6" ht="105" x14ac:dyDescent="0.25">
      <c r="A2105" s="8" t="s">
        <v>63</v>
      </c>
      <c r="B2105" s="8" t="s">
        <v>71</v>
      </c>
      <c r="C2105" s="8" t="str">
        <f>IFERROR(_xlfn.XLOOKUP(TRIM(B2105),Lookup!$B$2:$B$1000,Lookup!$C$2:$C$1000),"")</f>
        <v>Equity - Index (Multicap Momentum Quality)</v>
      </c>
      <c r="D2105" s="8" t="str">
        <f>IFERROR(INDEX('nav master'!$C:$C, MATCH(B2105, 'nav master'!$B:$B, 0)), "")</f>
        <v>ULIF 078 31/12/24 MQI 110</v>
      </c>
      <c r="E2105" s="8">
        <v>8.9825999999999997</v>
      </c>
      <c r="F2105" s="9">
        <v>46080</v>
      </c>
    </row>
    <row r="2106" spans="1:6" ht="105" x14ac:dyDescent="0.25">
      <c r="A2106" s="8" t="s">
        <v>63</v>
      </c>
      <c r="B2106" s="8" t="s">
        <v>71</v>
      </c>
      <c r="C2106" s="8" t="str">
        <f>IFERROR(_xlfn.XLOOKUP(TRIM(B2106),Lookup!$B$2:$B$1000,Lookup!$C$2:$C$1000),"")</f>
        <v>Equity - Index (Multicap Momentum Quality)</v>
      </c>
      <c r="D2106" s="8" t="str">
        <f>IFERROR(INDEX('nav master'!$C:$C, MATCH(B2106, 'nav master'!$B:$B, 0)), "")</f>
        <v>ULIF 078 31/12/24 MQI 110</v>
      </c>
      <c r="E2106" s="8">
        <v>8.8834</v>
      </c>
      <c r="F2106" s="9">
        <v>46083</v>
      </c>
    </row>
    <row r="2107" spans="1:6" ht="105" x14ac:dyDescent="0.25">
      <c r="A2107" s="8" t="s">
        <v>63</v>
      </c>
      <c r="B2107" s="8" t="s">
        <v>71</v>
      </c>
      <c r="C2107" s="8" t="str">
        <f>IFERROR(_xlfn.XLOOKUP(TRIM(B2107),Lookup!$B$2:$B$1000,Lookup!$C$2:$C$1000),"")</f>
        <v>Equity - Index (Multicap Momentum Quality)</v>
      </c>
      <c r="D2107" s="8" t="str">
        <f>IFERROR(INDEX('nav master'!$C:$C, MATCH(B2107, 'nav master'!$B:$B, 0)), "")</f>
        <v>ULIF 078 31/12/24 MQI 110</v>
      </c>
      <c r="E2107" s="8">
        <v>8.7097999999999995</v>
      </c>
      <c r="F2107" s="9">
        <v>46085</v>
      </c>
    </row>
    <row r="2108" spans="1:6" ht="105" x14ac:dyDescent="0.25">
      <c r="A2108" s="8" t="s">
        <v>63</v>
      </c>
      <c r="B2108" s="8" t="s">
        <v>71</v>
      </c>
      <c r="C2108" s="8" t="str">
        <f>IFERROR(_xlfn.XLOOKUP(TRIM(B2108),Lookup!$B$2:$B$1000,Lookup!$C$2:$C$1000),"")</f>
        <v>Equity - Index (Multicap Momentum Quality)</v>
      </c>
      <c r="D2108" s="8" t="str">
        <f>IFERROR(INDEX('nav master'!$C:$C, MATCH(B2108, 'nav master'!$B:$B, 0)), "")</f>
        <v>ULIF 078 31/12/24 MQI 110</v>
      </c>
      <c r="E2108" s="8">
        <v>8.8491</v>
      </c>
      <c r="F2108" s="9">
        <v>46086</v>
      </c>
    </row>
    <row r="2109" spans="1:6" ht="105" x14ac:dyDescent="0.25">
      <c r="A2109" s="8" t="s">
        <v>63</v>
      </c>
      <c r="B2109" s="8" t="s">
        <v>71</v>
      </c>
      <c r="C2109" s="8" t="str">
        <f>IFERROR(_xlfn.XLOOKUP(TRIM(B2109),Lookup!$B$2:$B$1000,Lookup!$C$2:$C$1000),"")</f>
        <v>Equity - Index (Multicap Momentum Quality)</v>
      </c>
      <c r="D2109" s="8" t="str">
        <f>IFERROR(INDEX('nav master'!$C:$C, MATCH(B2109, 'nav master'!$B:$B, 0)), "")</f>
        <v>ULIF 078 31/12/24 MQI 110</v>
      </c>
      <c r="E2109" s="8">
        <v>8.8116000000000003</v>
      </c>
      <c r="F2109" s="9">
        <v>46087</v>
      </c>
    </row>
    <row r="2110" spans="1:6" ht="105" x14ac:dyDescent="0.25">
      <c r="A2110" s="8" t="s">
        <v>63</v>
      </c>
      <c r="B2110" s="8" t="s">
        <v>71</v>
      </c>
      <c r="C2110" s="8" t="str">
        <f>IFERROR(_xlfn.XLOOKUP(TRIM(B2110),Lookup!$B$2:$B$1000,Lookup!$C$2:$C$1000),"")</f>
        <v>Equity - Index (Multicap Momentum Quality)</v>
      </c>
      <c r="D2110" s="8" t="str">
        <f>IFERROR(INDEX('nav master'!$C:$C, MATCH(B2110, 'nav master'!$B:$B, 0)), "")</f>
        <v>ULIF 078 31/12/24 MQI 110</v>
      </c>
      <c r="E2110" s="8">
        <v>8.6626999999999992</v>
      </c>
      <c r="F2110" s="9">
        <v>46090</v>
      </c>
    </row>
    <row r="2111" spans="1:6" ht="105" x14ac:dyDescent="0.25">
      <c r="A2111" s="8" t="s">
        <v>63</v>
      </c>
      <c r="B2111" s="8" t="s">
        <v>71</v>
      </c>
      <c r="C2111" s="8" t="str">
        <f>IFERROR(_xlfn.XLOOKUP(TRIM(B2111),Lookup!$B$2:$B$1000,Lookup!$C$2:$C$1000),"")</f>
        <v>Equity - Index (Multicap Momentum Quality)</v>
      </c>
      <c r="D2111" s="8" t="str">
        <f>IFERROR(INDEX('nav master'!$C:$C, MATCH(B2111, 'nav master'!$B:$B, 0)), "")</f>
        <v>ULIF 078 31/12/24 MQI 110</v>
      </c>
      <c r="E2111" s="8">
        <v>8.8444000000000003</v>
      </c>
      <c r="F2111" s="9">
        <v>46091</v>
      </c>
    </row>
    <row r="2112" spans="1:6" ht="105" x14ac:dyDescent="0.25">
      <c r="A2112" s="8" t="s">
        <v>63</v>
      </c>
      <c r="B2112" s="8" t="s">
        <v>71</v>
      </c>
      <c r="C2112" s="8" t="str">
        <f>IFERROR(_xlfn.XLOOKUP(TRIM(B2112),Lookup!$B$2:$B$1000,Lookup!$C$2:$C$1000),"")</f>
        <v>Equity - Index (Multicap Momentum Quality)</v>
      </c>
      <c r="D2112" s="8" t="str">
        <f>IFERROR(INDEX('nav master'!$C:$C, MATCH(B2112, 'nav master'!$B:$B, 0)), "")</f>
        <v>ULIF 078 31/12/24 MQI 110</v>
      </c>
      <c r="E2112" s="8">
        <v>8.6869999999999994</v>
      </c>
      <c r="F2112" s="9">
        <v>46092</v>
      </c>
    </row>
    <row r="2113" spans="1:6" ht="105" x14ac:dyDescent="0.25">
      <c r="A2113" s="8" t="s">
        <v>63</v>
      </c>
      <c r="B2113" s="8" t="s">
        <v>71</v>
      </c>
      <c r="C2113" s="8" t="str">
        <f>IFERROR(_xlfn.XLOOKUP(TRIM(B2113),Lookup!$B$2:$B$1000,Lookup!$C$2:$C$1000),"")</f>
        <v>Equity - Index (Multicap Momentum Quality)</v>
      </c>
      <c r="D2113" s="8" t="str">
        <f>IFERROR(INDEX('nav master'!$C:$C, MATCH(B2113, 'nav master'!$B:$B, 0)), "")</f>
        <v>ULIF 078 31/12/24 MQI 110</v>
      </c>
      <c r="E2113" s="8">
        <v>8.6347000000000005</v>
      </c>
      <c r="F2113" s="9">
        <v>46093</v>
      </c>
    </row>
    <row r="2114" spans="1:6" ht="105" x14ac:dyDescent="0.25">
      <c r="A2114" s="8" t="s">
        <v>63</v>
      </c>
      <c r="B2114" s="8" t="s">
        <v>71</v>
      </c>
      <c r="C2114" s="8" t="str">
        <f>IFERROR(_xlfn.XLOOKUP(TRIM(B2114),Lookup!$B$2:$B$1000,Lookup!$C$2:$C$1000),"")</f>
        <v>Equity - Index (Multicap Momentum Quality)</v>
      </c>
      <c r="D2114" s="8" t="str">
        <f>IFERROR(INDEX('nav master'!$C:$C, MATCH(B2114, 'nav master'!$B:$B, 0)), "")</f>
        <v>ULIF 078 31/12/24 MQI 110</v>
      </c>
      <c r="E2114" s="8">
        <v>8.4461999999999993</v>
      </c>
      <c r="F2114" s="9">
        <v>46094</v>
      </c>
    </row>
    <row r="2115" spans="1:6" ht="105" x14ac:dyDescent="0.25">
      <c r="A2115" s="8" t="s">
        <v>63</v>
      </c>
      <c r="B2115" s="8" t="s">
        <v>71</v>
      </c>
      <c r="C2115" s="8" t="str">
        <f>IFERROR(_xlfn.XLOOKUP(TRIM(B2115),Lookup!$B$2:$B$1000,Lookup!$C$2:$C$1000),"")</f>
        <v>Equity - Index (Multicap Momentum Quality)</v>
      </c>
      <c r="D2115" s="8" t="str">
        <f>IFERROR(INDEX('nav master'!$C:$C, MATCH(B2115, 'nav master'!$B:$B, 0)), "")</f>
        <v>ULIF 078 31/12/24 MQI 110</v>
      </c>
      <c r="E2115" s="8">
        <v>8.4556000000000004</v>
      </c>
      <c r="F2115" s="9">
        <v>46097</v>
      </c>
    </row>
    <row r="2116" spans="1:6" ht="105" x14ac:dyDescent="0.25">
      <c r="A2116" s="8" t="s">
        <v>63</v>
      </c>
      <c r="B2116" s="8" t="s">
        <v>71</v>
      </c>
      <c r="C2116" s="8" t="str">
        <f>IFERROR(_xlfn.XLOOKUP(TRIM(B2116),Lookup!$B$2:$B$1000,Lookup!$C$2:$C$1000),"")</f>
        <v>Equity - Index (Multicap Momentum Quality)</v>
      </c>
      <c r="D2116" s="8" t="str">
        <f>IFERROR(INDEX('nav master'!$C:$C, MATCH(B2116, 'nav master'!$B:$B, 0)), "")</f>
        <v>ULIF 078 31/12/24 MQI 110</v>
      </c>
      <c r="E2116" s="8">
        <v>8.5739999999999998</v>
      </c>
      <c r="F2116" s="9">
        <v>46098</v>
      </c>
    </row>
    <row r="2117" spans="1:6" ht="105" x14ac:dyDescent="0.25">
      <c r="A2117" s="8" t="s">
        <v>63</v>
      </c>
      <c r="B2117" s="8" t="s">
        <v>71</v>
      </c>
      <c r="C2117" s="8" t="str">
        <f>IFERROR(_xlfn.XLOOKUP(TRIM(B2117),Lookup!$B$2:$B$1000,Lookup!$C$2:$C$1000),"")</f>
        <v>Equity - Index (Multicap Momentum Quality)</v>
      </c>
      <c r="D2117" s="8" t="str">
        <f>IFERROR(INDEX('nav master'!$C:$C, MATCH(B2117, 'nav master'!$B:$B, 0)), "")</f>
        <v>ULIF 078 31/12/24 MQI 110</v>
      </c>
      <c r="E2117" s="8">
        <v>8.6715</v>
      </c>
      <c r="F2117" s="9">
        <v>46099</v>
      </c>
    </row>
    <row r="2118" spans="1:6" ht="105" x14ac:dyDescent="0.25">
      <c r="A2118" s="8" t="s">
        <v>63</v>
      </c>
      <c r="B2118" s="8" t="s">
        <v>71</v>
      </c>
      <c r="C2118" s="8" t="str">
        <f>IFERROR(_xlfn.XLOOKUP(TRIM(B2118),Lookup!$B$2:$B$1000,Lookup!$C$2:$C$1000),"")</f>
        <v>Equity - Index (Multicap Momentum Quality)</v>
      </c>
      <c r="D2118" s="8" t="str">
        <f>IFERROR(INDEX('nav master'!$C:$C, MATCH(B2118, 'nav master'!$B:$B, 0)), "")</f>
        <v>ULIF 078 31/12/24 MQI 110</v>
      </c>
      <c r="E2118" s="8">
        <v>8.4103999999999992</v>
      </c>
      <c r="F2118" s="9">
        <v>46100</v>
      </c>
    </row>
    <row r="2119" spans="1:6" ht="105" x14ac:dyDescent="0.25">
      <c r="A2119" s="8" t="s">
        <v>63</v>
      </c>
      <c r="B2119" s="8" t="s">
        <v>71</v>
      </c>
      <c r="C2119" s="8" t="str">
        <f>IFERROR(_xlfn.XLOOKUP(TRIM(B2119),Lookup!$B$2:$B$1000,Lookup!$C$2:$C$1000),"")</f>
        <v>Equity - Index (Multicap Momentum Quality)</v>
      </c>
      <c r="D2119" s="8" t="str">
        <f>IFERROR(INDEX('nav master'!$C:$C, MATCH(B2119, 'nav master'!$B:$B, 0)), "")</f>
        <v>ULIF 078 31/12/24 MQI 110</v>
      </c>
      <c r="E2119" s="8">
        <v>8.4009</v>
      </c>
      <c r="F2119" s="9">
        <v>46101</v>
      </c>
    </row>
    <row r="2120" spans="1:6" ht="105" x14ac:dyDescent="0.25">
      <c r="A2120" s="8" t="s">
        <v>63</v>
      </c>
      <c r="B2120" s="8" t="s">
        <v>71</v>
      </c>
      <c r="C2120" s="8" t="str">
        <f>IFERROR(_xlfn.XLOOKUP(TRIM(B2120),Lookup!$B$2:$B$1000,Lookup!$C$2:$C$1000),"")</f>
        <v>Equity - Index (Multicap Momentum Quality)</v>
      </c>
      <c r="D2120" s="8" t="str">
        <f>IFERROR(INDEX('nav master'!$C:$C, MATCH(B2120, 'nav master'!$B:$B, 0)), "")</f>
        <v>ULIF 078 31/12/24 MQI 110</v>
      </c>
      <c r="E2120" s="8">
        <v>8.0985999999999994</v>
      </c>
      <c r="F2120" s="9">
        <v>46104</v>
      </c>
    </row>
    <row r="2121" spans="1:6" ht="105" x14ac:dyDescent="0.25">
      <c r="A2121" s="8" t="s">
        <v>63</v>
      </c>
      <c r="B2121" s="8" t="s">
        <v>71</v>
      </c>
      <c r="C2121" s="8" t="str">
        <f>IFERROR(_xlfn.XLOOKUP(TRIM(B2121),Lookup!$B$2:$B$1000,Lookup!$C$2:$C$1000),"")</f>
        <v>Equity - Index (Multicap Momentum Quality)</v>
      </c>
      <c r="D2121" s="8" t="str">
        <f>IFERROR(INDEX('nav master'!$C:$C, MATCH(B2121, 'nav master'!$B:$B, 0)), "")</f>
        <v>ULIF 078 31/12/24 MQI 110</v>
      </c>
      <c r="E2121" s="8">
        <v>8.3028999999999993</v>
      </c>
      <c r="F2121" s="9">
        <v>46105</v>
      </c>
    </row>
    <row r="2122" spans="1:6" ht="105" x14ac:dyDescent="0.25">
      <c r="A2122" s="8" t="s">
        <v>63</v>
      </c>
      <c r="B2122" s="8" t="s">
        <v>71</v>
      </c>
      <c r="C2122" s="8" t="str">
        <f>IFERROR(_xlfn.XLOOKUP(TRIM(B2122),Lookup!$B$2:$B$1000,Lookup!$C$2:$C$1000),"")</f>
        <v>Equity - Index (Multicap Momentum Quality)</v>
      </c>
      <c r="D2122" s="8" t="str">
        <f>IFERROR(INDEX('nav master'!$C:$C, MATCH(B2122, 'nav master'!$B:$B, 0)), "")</f>
        <v>ULIF 078 31/12/24 MQI 110</v>
      </c>
      <c r="E2122" s="8">
        <v>8.4878</v>
      </c>
      <c r="F2122" s="9">
        <v>46106</v>
      </c>
    </row>
    <row r="2123" spans="1:6" ht="105" x14ac:dyDescent="0.25">
      <c r="A2123" s="8" t="s">
        <v>63</v>
      </c>
      <c r="B2123" s="8" t="s">
        <v>71</v>
      </c>
      <c r="C2123" s="8" t="str">
        <f>IFERROR(_xlfn.XLOOKUP(TRIM(B2123),Lookup!$B$2:$B$1000,Lookup!$C$2:$C$1000),"")</f>
        <v>Equity - Index (Multicap Momentum Quality)</v>
      </c>
      <c r="D2123" s="8" t="str">
        <f>IFERROR(INDEX('nav master'!$C:$C, MATCH(B2123, 'nav master'!$B:$B, 0)), "")</f>
        <v>ULIF 078 31/12/24 MQI 110</v>
      </c>
      <c r="E2123" s="8">
        <v>8.2888000000000002</v>
      </c>
      <c r="F2123" s="9">
        <v>46108</v>
      </c>
    </row>
    <row r="2124" spans="1:6" ht="105" x14ac:dyDescent="0.25">
      <c r="A2124" s="8" t="s">
        <v>63</v>
      </c>
      <c r="B2124" s="8" t="s">
        <v>71</v>
      </c>
      <c r="C2124" s="8" t="str">
        <f>IFERROR(_xlfn.XLOOKUP(TRIM(B2124),Lookup!$B$2:$B$1000,Lookup!$C$2:$C$1000),"")</f>
        <v>Equity - Index (Multicap Momentum Quality)</v>
      </c>
      <c r="D2124" s="8" t="str">
        <f>IFERROR(INDEX('nav master'!$C:$C, MATCH(B2124, 'nav master'!$B:$B, 0)), "")</f>
        <v>ULIF 078 31/12/24 MQI 110</v>
      </c>
      <c r="E2124" s="8">
        <v>8.0998000000000001</v>
      </c>
      <c r="F2124" s="9">
        <v>46111</v>
      </c>
    </row>
    <row r="2125" spans="1:6" ht="105" x14ac:dyDescent="0.25">
      <c r="A2125" s="8" t="s">
        <v>63</v>
      </c>
      <c r="B2125" s="8" t="s">
        <v>71</v>
      </c>
      <c r="C2125" s="8" t="str">
        <f>IFERROR(_xlfn.XLOOKUP(TRIM(B2125),Lookup!$B$2:$B$1000,Lookup!$C$2:$C$1000),"")</f>
        <v>Equity - Index (Multicap Momentum Quality)</v>
      </c>
      <c r="D2125" s="8" t="str">
        <f>IFERROR(INDEX('nav master'!$C:$C, MATCH(B2125, 'nav master'!$B:$B, 0)), "")</f>
        <v>ULIF 078 31/12/24 MQI 110</v>
      </c>
      <c r="E2125" s="8">
        <v>8.0995000000000008</v>
      </c>
      <c r="F2125" s="9">
        <v>46112</v>
      </c>
    </row>
    <row r="2126" spans="1:6" ht="105" x14ac:dyDescent="0.25">
      <c r="A2126" s="8" t="s">
        <v>63</v>
      </c>
      <c r="B2126" s="8" t="s">
        <v>71</v>
      </c>
      <c r="C2126" s="8" t="str">
        <f>IFERROR(_xlfn.XLOOKUP(TRIM(B2126),Lookup!$B$2:$B$1000,Lookup!$C$2:$C$1000),"")</f>
        <v>Equity - Index (Multicap Momentum Quality)</v>
      </c>
      <c r="D2126" s="8" t="str">
        <f>IFERROR(INDEX('nav master'!$C:$C, MATCH(B2126, 'nav master'!$B:$B, 0)), "")</f>
        <v>ULIF 078 31/12/24 MQI 110</v>
      </c>
      <c r="E2126" s="8">
        <v>8.3626000000000005</v>
      </c>
      <c r="F2126" s="9">
        <v>46113</v>
      </c>
    </row>
    <row r="2127" spans="1:6" ht="105" x14ac:dyDescent="0.25">
      <c r="A2127" s="8" t="s">
        <v>63</v>
      </c>
      <c r="B2127" s="8" t="s">
        <v>71</v>
      </c>
      <c r="C2127" s="8" t="str">
        <f>IFERROR(_xlfn.XLOOKUP(TRIM(B2127),Lookup!$B$2:$B$1000,Lookup!$C$2:$C$1000),"")</f>
        <v>Equity - Index (Multicap Momentum Quality)</v>
      </c>
      <c r="D2127" s="8" t="str">
        <f>IFERROR(INDEX('nav master'!$C:$C, MATCH(B2127, 'nav master'!$B:$B, 0)), "")</f>
        <v>ULIF 078 31/12/24 MQI 110</v>
      </c>
      <c r="E2127" s="8">
        <v>8.3457000000000008</v>
      </c>
      <c r="F2127" s="9">
        <v>46114</v>
      </c>
    </row>
    <row r="2128" spans="1:6" ht="105" x14ac:dyDescent="0.25">
      <c r="A2128" s="8" t="s">
        <v>63</v>
      </c>
      <c r="B2128" s="8" t="s">
        <v>71</v>
      </c>
      <c r="C2128" s="8" t="str">
        <f>IFERROR(_xlfn.XLOOKUP(TRIM(B2128),Lookup!$B$2:$B$1000,Lookup!$C$2:$C$1000),"")</f>
        <v>Equity - Index (Multicap Momentum Quality)</v>
      </c>
      <c r="D2128" s="8" t="str">
        <f>IFERROR(INDEX('nav master'!$C:$C, MATCH(B2128, 'nav master'!$B:$B, 0)), "")</f>
        <v>ULIF 078 31/12/24 MQI 110</v>
      </c>
      <c r="E2128" s="8">
        <v>8.4700000000000006</v>
      </c>
      <c r="F2128" s="9">
        <v>46118</v>
      </c>
    </row>
    <row r="2129" spans="1:6" ht="105" x14ac:dyDescent="0.25">
      <c r="A2129" s="8" t="s">
        <v>63</v>
      </c>
      <c r="B2129" s="8" t="s">
        <v>71</v>
      </c>
      <c r="C2129" s="8" t="str">
        <f>IFERROR(_xlfn.XLOOKUP(TRIM(B2129),Lookup!$B$2:$B$1000,Lookup!$C$2:$C$1000),"")</f>
        <v>Equity - Index (Multicap Momentum Quality)</v>
      </c>
      <c r="D2129" s="8" t="str">
        <f>IFERROR(INDEX('nav master'!$C:$C, MATCH(B2129, 'nav master'!$B:$B, 0)), "")</f>
        <v>ULIF 078 31/12/24 MQI 110</v>
      </c>
      <c r="E2129" s="8">
        <v>8.4623000000000008</v>
      </c>
      <c r="F2129" s="9">
        <v>46119</v>
      </c>
    </row>
    <row r="2130" spans="1:6" ht="105" x14ac:dyDescent="0.25">
      <c r="A2130" s="8" t="s">
        <v>63</v>
      </c>
      <c r="B2130" s="8" t="s">
        <v>71</v>
      </c>
      <c r="C2130" s="8" t="str">
        <f>IFERROR(_xlfn.XLOOKUP(TRIM(B2130),Lookup!$B$2:$B$1000,Lookup!$C$2:$C$1000),"")</f>
        <v>Equity - Index (Multicap Momentum Quality)</v>
      </c>
      <c r="D2130" s="8" t="str">
        <f>IFERROR(INDEX('nav master'!$C:$C, MATCH(B2130, 'nav master'!$B:$B, 0)), "")</f>
        <v>ULIF 078 31/12/24 MQI 110</v>
      </c>
      <c r="E2130" s="8">
        <v>8.7932000000000006</v>
      </c>
      <c r="F2130" s="9">
        <v>46120</v>
      </c>
    </row>
    <row r="2131" spans="1:6" ht="105" x14ac:dyDescent="0.25">
      <c r="A2131" s="8" t="s">
        <v>63</v>
      </c>
      <c r="B2131" s="8" t="s">
        <v>71</v>
      </c>
      <c r="C2131" s="8" t="str">
        <f>IFERROR(_xlfn.XLOOKUP(TRIM(B2131),Lookup!$B$2:$B$1000,Lookup!$C$2:$C$1000),"")</f>
        <v>Equity - Index (Multicap Momentum Quality)</v>
      </c>
      <c r="D2131" s="8" t="str">
        <f>IFERROR(INDEX('nav master'!$C:$C, MATCH(B2131, 'nav master'!$B:$B, 0)), "")</f>
        <v>ULIF 078 31/12/24 MQI 110</v>
      </c>
      <c r="E2131" s="8">
        <v>8.8589000000000002</v>
      </c>
      <c r="F2131" s="9">
        <v>46121</v>
      </c>
    </row>
    <row r="2132" spans="1:6" ht="105" x14ac:dyDescent="0.25">
      <c r="A2132" s="8" t="s">
        <v>63</v>
      </c>
      <c r="B2132" s="8" t="s">
        <v>71</v>
      </c>
      <c r="C2132" s="8" t="str">
        <f>IFERROR(_xlfn.XLOOKUP(TRIM(B2132),Lookup!$B$2:$B$1000,Lookup!$C$2:$C$1000),"")</f>
        <v>Equity - Index (Multicap Momentum Quality)</v>
      </c>
      <c r="D2132" s="8" t="str">
        <f>IFERROR(INDEX('nav master'!$C:$C, MATCH(B2132, 'nav master'!$B:$B, 0)), "")</f>
        <v>ULIF 078 31/12/24 MQI 110</v>
      </c>
      <c r="E2132" s="8">
        <v>9.0236999999999998</v>
      </c>
      <c r="F2132" s="9">
        <v>46122</v>
      </c>
    </row>
    <row r="2133" spans="1:6" ht="105" x14ac:dyDescent="0.25">
      <c r="A2133" s="8" t="s">
        <v>63</v>
      </c>
      <c r="B2133" s="8" t="s">
        <v>71</v>
      </c>
      <c r="C2133" s="8" t="str">
        <f>IFERROR(_xlfn.XLOOKUP(TRIM(B2133),Lookup!$B$2:$B$1000,Lookup!$C$2:$C$1000),"")</f>
        <v>Equity - Index (Multicap Momentum Quality)</v>
      </c>
      <c r="D2133" s="8" t="str">
        <f>IFERROR(INDEX('nav master'!$C:$C, MATCH(B2133, 'nav master'!$B:$B, 0)), "")</f>
        <v>ULIF 078 31/12/24 MQI 110</v>
      </c>
      <c r="E2133" s="8">
        <v>8.9319000000000006</v>
      </c>
      <c r="F2133" s="9">
        <v>46125</v>
      </c>
    </row>
    <row r="2134" spans="1:6" ht="105" x14ac:dyDescent="0.25">
      <c r="A2134" s="8" t="s">
        <v>63</v>
      </c>
      <c r="B2134" s="8" t="s">
        <v>71</v>
      </c>
      <c r="C2134" s="8" t="str">
        <f>IFERROR(_xlfn.XLOOKUP(TRIM(B2134),Lookup!$B$2:$B$1000,Lookup!$C$2:$C$1000),"")</f>
        <v>Equity - Index (Multicap Momentum Quality)</v>
      </c>
      <c r="D2134" s="8" t="str">
        <f>IFERROR(INDEX('nav master'!$C:$C, MATCH(B2134, 'nav master'!$B:$B, 0)), "")</f>
        <v>ULIF 078 31/12/24 MQI 110</v>
      </c>
      <c r="E2134" s="8">
        <v>9.1118000000000006</v>
      </c>
      <c r="F2134" s="9">
        <v>46127</v>
      </c>
    </row>
    <row r="2135" spans="1:6" ht="105" x14ac:dyDescent="0.25">
      <c r="A2135" s="8" t="s">
        <v>63</v>
      </c>
      <c r="B2135" s="8" t="s">
        <v>71</v>
      </c>
      <c r="C2135" s="8" t="str">
        <f>IFERROR(_xlfn.XLOOKUP(TRIM(B2135),Lookup!$B$2:$B$1000,Lookup!$C$2:$C$1000),"")</f>
        <v>Equity - Index (Multicap Momentum Quality)</v>
      </c>
      <c r="D2135" s="8" t="str">
        <f>IFERROR(INDEX('nav master'!$C:$C, MATCH(B2135, 'nav master'!$B:$B, 0)), "")</f>
        <v>ULIF 078 31/12/24 MQI 110</v>
      </c>
      <c r="E2135" s="8">
        <v>9.1418999999999997</v>
      </c>
      <c r="F2135" s="9">
        <v>46128</v>
      </c>
    </row>
    <row r="2136" spans="1:6" ht="105" x14ac:dyDescent="0.25">
      <c r="A2136" s="8" t="s">
        <v>63</v>
      </c>
      <c r="B2136" s="8" t="s">
        <v>71</v>
      </c>
      <c r="C2136" s="8" t="str">
        <f>IFERROR(_xlfn.XLOOKUP(TRIM(B2136),Lookup!$B$2:$B$1000,Lookup!$C$2:$C$1000),"")</f>
        <v>Equity - Index (Multicap Momentum Quality)</v>
      </c>
      <c r="D2136" s="8" t="str">
        <f>IFERROR(INDEX('nav master'!$C:$C, MATCH(B2136, 'nav master'!$B:$B, 0)), "")</f>
        <v>ULIF 078 31/12/24 MQI 110</v>
      </c>
      <c r="E2136" s="8">
        <v>9.2720000000000002</v>
      </c>
      <c r="F2136" s="9">
        <v>46129</v>
      </c>
    </row>
    <row r="2137" spans="1:6" ht="105" x14ac:dyDescent="0.25">
      <c r="A2137" s="8" t="s">
        <v>63</v>
      </c>
      <c r="B2137" s="8" t="s">
        <v>71</v>
      </c>
      <c r="C2137" s="8" t="str">
        <f>IFERROR(_xlfn.XLOOKUP(TRIM(B2137),Lookup!$B$2:$B$1000,Lookup!$C$2:$C$1000),"")</f>
        <v>Equity - Index (Multicap Momentum Quality)</v>
      </c>
      <c r="D2137" s="8" t="str">
        <f>IFERROR(INDEX('nav master'!$C:$C, MATCH(B2137, 'nav master'!$B:$B, 0)), "")</f>
        <v>ULIF 078 31/12/24 MQI 110</v>
      </c>
      <c r="E2137" s="8">
        <v>9.2431999999999999</v>
      </c>
      <c r="F2137" s="9">
        <v>46132</v>
      </c>
    </row>
    <row r="2138" spans="1:6" ht="105" x14ac:dyDescent="0.25">
      <c r="A2138" s="8" t="s">
        <v>63</v>
      </c>
      <c r="B2138" s="8" t="s">
        <v>71</v>
      </c>
      <c r="C2138" s="8" t="str">
        <f>IFERROR(_xlfn.XLOOKUP(TRIM(B2138),Lookup!$B$2:$B$1000,Lookup!$C$2:$C$1000),"")</f>
        <v>Equity - Index (Multicap Momentum Quality)</v>
      </c>
      <c r="D2138" s="8" t="str">
        <f>IFERROR(INDEX('nav master'!$C:$C, MATCH(B2138, 'nav master'!$B:$B, 0)), "")</f>
        <v>ULIF 078 31/12/24 MQI 110</v>
      </c>
      <c r="E2138" s="8">
        <v>9.3078000000000003</v>
      </c>
      <c r="F2138" s="9">
        <v>46133</v>
      </c>
    </row>
    <row r="2139" spans="1:6" ht="105" x14ac:dyDescent="0.25">
      <c r="A2139" s="8" t="s">
        <v>63</v>
      </c>
      <c r="B2139" s="8" t="s">
        <v>71</v>
      </c>
      <c r="C2139" s="8" t="str">
        <f>IFERROR(_xlfn.XLOOKUP(TRIM(B2139),Lookup!$B$2:$B$1000,Lookup!$C$2:$C$1000),"")</f>
        <v>Equity - Index (Multicap Momentum Quality)</v>
      </c>
      <c r="D2139" s="8" t="str">
        <f>IFERROR(INDEX('nav master'!$C:$C, MATCH(B2139, 'nav master'!$B:$B, 0)), "")</f>
        <v>ULIF 078 31/12/24 MQI 110</v>
      </c>
      <c r="E2139" s="8">
        <v>9.2919999999999998</v>
      </c>
      <c r="F2139" s="9">
        <v>46134</v>
      </c>
    </row>
    <row r="2140" spans="1:6" ht="105" x14ac:dyDescent="0.25">
      <c r="A2140" s="8" t="s">
        <v>63</v>
      </c>
      <c r="B2140" s="8" t="s">
        <v>71</v>
      </c>
      <c r="C2140" s="8" t="str">
        <f>IFERROR(_xlfn.XLOOKUP(TRIM(B2140),Lookup!$B$2:$B$1000,Lookup!$C$2:$C$1000),"")</f>
        <v>Equity - Index (Multicap Momentum Quality)</v>
      </c>
      <c r="D2140" s="8" t="str">
        <f>IFERROR(INDEX('nav master'!$C:$C, MATCH(B2140, 'nav master'!$B:$B, 0)), "")</f>
        <v>ULIF 078 31/12/24 MQI 110</v>
      </c>
      <c r="E2140" s="8">
        <v>9.2260000000000009</v>
      </c>
      <c r="F2140" s="9">
        <v>46135</v>
      </c>
    </row>
    <row r="2141" spans="1:6" ht="105" x14ac:dyDescent="0.25">
      <c r="A2141" s="8" t="s">
        <v>63</v>
      </c>
      <c r="B2141" s="8" t="s">
        <v>71</v>
      </c>
      <c r="C2141" s="8" t="str">
        <f>IFERROR(_xlfn.XLOOKUP(TRIM(B2141),Lookup!$B$2:$B$1000,Lookup!$C$2:$C$1000),"")</f>
        <v>Equity - Index (Multicap Momentum Quality)</v>
      </c>
      <c r="D2141" s="8" t="str">
        <f>IFERROR(INDEX('nav master'!$C:$C, MATCH(B2141, 'nav master'!$B:$B, 0)), "")</f>
        <v>ULIF 078 31/12/24 MQI 110</v>
      </c>
      <c r="E2141" s="8">
        <v>9.1568000000000005</v>
      </c>
      <c r="F2141" s="9">
        <v>46136</v>
      </c>
    </row>
    <row r="2142" spans="1:6" ht="105" x14ac:dyDescent="0.25">
      <c r="A2142" s="8" t="s">
        <v>63</v>
      </c>
      <c r="B2142" s="8" t="s">
        <v>71</v>
      </c>
      <c r="C2142" s="8" t="str">
        <f>IFERROR(_xlfn.XLOOKUP(TRIM(B2142),Lookup!$B$2:$B$1000,Lookup!$C$2:$C$1000),"")</f>
        <v>Equity - Index (Multicap Momentum Quality)</v>
      </c>
      <c r="D2142" s="8" t="str">
        <f>IFERROR(INDEX('nav master'!$C:$C, MATCH(B2142, 'nav master'!$B:$B, 0)), "")</f>
        <v>ULIF 078 31/12/24 MQI 110</v>
      </c>
      <c r="E2142" s="8">
        <v>9.2177000000000007</v>
      </c>
      <c r="F2142" s="9">
        <v>46139</v>
      </c>
    </row>
    <row r="2143" spans="1:6" ht="105" x14ac:dyDescent="0.25">
      <c r="A2143" s="8" t="s">
        <v>63</v>
      </c>
      <c r="B2143" s="8" t="s">
        <v>71</v>
      </c>
      <c r="C2143" s="8" t="str">
        <f>IFERROR(_xlfn.XLOOKUP(TRIM(B2143),Lookup!$B$2:$B$1000,Lookup!$C$2:$C$1000),"")</f>
        <v>Equity - Index (Multicap Momentum Quality)</v>
      </c>
      <c r="D2143" s="8" t="str">
        <f>IFERROR(INDEX('nav master'!$C:$C, MATCH(B2143, 'nav master'!$B:$B, 0)), "")</f>
        <v>ULIF 078 31/12/24 MQI 110</v>
      </c>
      <c r="E2143" s="8">
        <v>9.2225999999999999</v>
      </c>
      <c r="F2143" s="9">
        <v>46140</v>
      </c>
    </row>
    <row r="2144" spans="1:6" ht="105" x14ac:dyDescent="0.25">
      <c r="A2144" s="8" t="s">
        <v>63</v>
      </c>
      <c r="B2144" s="8" t="s">
        <v>71</v>
      </c>
      <c r="C2144" s="8" t="str">
        <f>IFERROR(_xlfn.XLOOKUP(TRIM(B2144),Lookup!$B$2:$B$1000,Lookup!$C$2:$C$1000),"")</f>
        <v>Equity - Index (Multicap Momentum Quality)</v>
      </c>
      <c r="D2144" s="8" t="str">
        <f>IFERROR(INDEX('nav master'!$C:$C, MATCH(B2144, 'nav master'!$B:$B, 0)), "")</f>
        <v>ULIF 078 31/12/24 MQI 110</v>
      </c>
      <c r="E2144" s="8">
        <v>9.2669999999999995</v>
      </c>
      <c r="F2144" s="9">
        <v>46141</v>
      </c>
    </row>
    <row r="2145" spans="1:6" ht="105" x14ac:dyDescent="0.25">
      <c r="A2145" s="8" t="s">
        <v>63</v>
      </c>
      <c r="B2145" s="8" t="s">
        <v>71</v>
      </c>
      <c r="C2145" s="8" t="str">
        <f>IFERROR(_xlfn.XLOOKUP(TRIM(B2145),Lookup!$B$2:$B$1000,Lookup!$C$2:$C$1000),"")</f>
        <v>Equity - Index (Multicap Momentum Quality)</v>
      </c>
      <c r="D2145" s="8" t="str">
        <f>IFERROR(INDEX('nav master'!$C:$C, MATCH(B2145, 'nav master'!$B:$B, 0)), "")</f>
        <v>ULIF 078 31/12/24 MQI 110</v>
      </c>
      <c r="E2145" s="8">
        <v>9.1832999999999991</v>
      </c>
      <c r="F2145" s="9">
        <v>46142</v>
      </c>
    </row>
    <row r="2146" spans="1:6" ht="105" x14ac:dyDescent="0.25">
      <c r="A2146" s="8" t="s">
        <v>63</v>
      </c>
      <c r="B2146" s="8" t="s">
        <v>71</v>
      </c>
      <c r="C2146" s="8" t="str">
        <f>IFERROR(_xlfn.XLOOKUP(TRIM(B2146),Lookup!$B$2:$B$1000,Lookup!$C$2:$C$1000),"")</f>
        <v>Equity - Index (Multicap Momentum Quality)</v>
      </c>
      <c r="D2146" s="8" t="str">
        <f>IFERROR(INDEX('nav master'!$C:$C, MATCH(B2146, 'nav master'!$B:$B, 0)), "")</f>
        <v>ULIF 078 31/12/24 MQI 110</v>
      </c>
      <c r="E2146" s="8">
        <v>9.2414000000000005</v>
      </c>
      <c r="F2146" s="9">
        <v>46146</v>
      </c>
    </row>
    <row r="2147" spans="1:6" ht="105" x14ac:dyDescent="0.25">
      <c r="A2147" s="8" t="s">
        <v>63</v>
      </c>
      <c r="B2147" s="8" t="s">
        <v>71</v>
      </c>
      <c r="C2147" s="8" t="str">
        <f>IFERROR(_xlfn.XLOOKUP(TRIM(B2147),Lookup!$B$2:$B$1000,Lookup!$C$2:$C$1000),"")</f>
        <v>Equity - Index (Multicap Momentum Quality)</v>
      </c>
      <c r="D2147" s="8" t="str">
        <f>IFERROR(INDEX('nav master'!$C:$C, MATCH(B2147, 'nav master'!$B:$B, 0)), "")</f>
        <v>ULIF 078 31/12/24 MQI 110</v>
      </c>
      <c r="E2147" s="8">
        <v>9.2768999999999995</v>
      </c>
      <c r="F2147" s="9">
        <v>46147</v>
      </c>
    </row>
    <row r="2148" spans="1:6" ht="105" x14ac:dyDescent="0.25">
      <c r="A2148" s="8" t="s">
        <v>63</v>
      </c>
      <c r="B2148" s="8" t="s">
        <v>71</v>
      </c>
      <c r="C2148" s="8" t="str">
        <f>IFERROR(_xlfn.XLOOKUP(TRIM(B2148),Lookup!$B$2:$B$1000,Lookup!$C$2:$C$1000),"")</f>
        <v>Equity - Index (Multicap Momentum Quality)</v>
      </c>
      <c r="D2148" s="8" t="str">
        <f>IFERROR(INDEX('nav master'!$C:$C, MATCH(B2148, 'nav master'!$B:$B, 0)), "")</f>
        <v>ULIF 078 31/12/24 MQI 110</v>
      </c>
      <c r="E2148" s="8">
        <v>9.4275000000000002</v>
      </c>
      <c r="F2148" s="9">
        <v>46148</v>
      </c>
    </row>
    <row r="2149" spans="1:6" ht="105" x14ac:dyDescent="0.25">
      <c r="A2149" s="8" t="s">
        <v>63</v>
      </c>
      <c r="B2149" s="8" t="s">
        <v>71</v>
      </c>
      <c r="C2149" s="8" t="str">
        <f>IFERROR(_xlfn.XLOOKUP(TRIM(B2149),Lookup!$B$2:$B$1000,Lookup!$C$2:$C$1000),"")</f>
        <v>Equity - Index (Multicap Momentum Quality)</v>
      </c>
      <c r="D2149" s="8" t="str">
        <f>IFERROR(INDEX('nav master'!$C:$C, MATCH(B2149, 'nav master'!$B:$B, 0)), "")</f>
        <v>ULIF 078 31/12/24 MQI 110</v>
      </c>
      <c r="E2149" s="8">
        <v>9.5112000000000005</v>
      </c>
      <c r="F2149" s="9">
        <v>46149</v>
      </c>
    </row>
    <row r="2150" spans="1:6" ht="105" x14ac:dyDescent="0.25">
      <c r="A2150" s="8" t="s">
        <v>63</v>
      </c>
      <c r="B2150" s="8" t="s">
        <v>71</v>
      </c>
      <c r="C2150" s="8" t="str">
        <f>IFERROR(_xlfn.XLOOKUP(TRIM(B2150),Lookup!$B$2:$B$1000,Lookup!$C$2:$C$1000),"")</f>
        <v>Equity - Index (Multicap Momentum Quality)</v>
      </c>
      <c r="D2150" s="8" t="str">
        <f>IFERROR(INDEX('nav master'!$C:$C, MATCH(B2150, 'nav master'!$B:$B, 0)), "")</f>
        <v>ULIF 078 31/12/24 MQI 110</v>
      </c>
      <c r="E2150" s="8">
        <v>9.484</v>
      </c>
      <c r="F2150" s="9">
        <v>46150</v>
      </c>
    </row>
    <row r="2151" spans="1:6" ht="105" x14ac:dyDescent="0.25">
      <c r="A2151" s="8" t="s">
        <v>63</v>
      </c>
      <c r="B2151" s="8" t="s">
        <v>71</v>
      </c>
      <c r="C2151" s="8" t="str">
        <f>IFERROR(_xlfn.XLOOKUP(TRIM(B2151),Lookup!$B$2:$B$1000,Lookup!$C$2:$C$1000),"")</f>
        <v>Equity - Index (Multicap Momentum Quality)</v>
      </c>
      <c r="D2151" s="8" t="str">
        <f>IFERROR(INDEX('nav master'!$C:$C, MATCH(B2151, 'nav master'!$B:$B, 0)), "")</f>
        <v>ULIF 078 31/12/24 MQI 110</v>
      </c>
      <c r="E2151" s="8">
        <v>9.3675999999999995</v>
      </c>
      <c r="F2151" s="9">
        <v>46153</v>
      </c>
    </row>
    <row r="2152" spans="1:6" ht="105" x14ac:dyDescent="0.25">
      <c r="A2152" s="8" t="s">
        <v>63</v>
      </c>
      <c r="B2152" s="8" t="s">
        <v>71</v>
      </c>
      <c r="C2152" s="8" t="str">
        <f>IFERROR(_xlfn.XLOOKUP(TRIM(B2152),Lookup!$B$2:$B$1000,Lookup!$C$2:$C$1000),"")</f>
        <v>Equity - Index (Multicap Momentum Quality)</v>
      </c>
      <c r="D2152" s="8" t="str">
        <f>IFERROR(INDEX('nav master'!$C:$C, MATCH(B2152, 'nav master'!$B:$B, 0)), "")</f>
        <v>ULIF 078 31/12/24 MQI 110</v>
      </c>
      <c r="E2152" s="8">
        <v>9.1552000000000007</v>
      </c>
      <c r="F2152" s="9">
        <v>46154</v>
      </c>
    </row>
    <row r="2153" spans="1:6" ht="105" x14ac:dyDescent="0.25">
      <c r="A2153" s="8" t="s">
        <v>63</v>
      </c>
      <c r="B2153" s="8" t="s">
        <v>71</v>
      </c>
      <c r="C2153" s="8" t="str">
        <f>IFERROR(_xlfn.XLOOKUP(TRIM(B2153),Lookup!$B$2:$B$1000,Lookup!$C$2:$C$1000),"")</f>
        <v>Equity - Index (Multicap Momentum Quality)</v>
      </c>
      <c r="D2153" s="8" t="str">
        <f>IFERROR(INDEX('nav master'!$C:$C, MATCH(B2153, 'nav master'!$B:$B, 0)), "")</f>
        <v>ULIF 078 31/12/24 MQI 110</v>
      </c>
      <c r="E2153" s="8">
        <v>9.2447999999999997</v>
      </c>
      <c r="F2153" s="9">
        <v>46155</v>
      </c>
    </row>
    <row r="2154" spans="1:6" ht="105" x14ac:dyDescent="0.25">
      <c r="A2154" s="8" t="s">
        <v>63</v>
      </c>
      <c r="B2154" s="8" t="s">
        <v>71</v>
      </c>
      <c r="C2154" s="8" t="str">
        <f>IFERROR(_xlfn.XLOOKUP(TRIM(B2154),Lookup!$B$2:$B$1000,Lookup!$C$2:$C$1000),"")</f>
        <v>Equity - Index (Multicap Momentum Quality)</v>
      </c>
      <c r="D2154" s="8" t="str">
        <f>IFERROR(INDEX('nav master'!$C:$C, MATCH(B2154, 'nav master'!$B:$B, 0)), "")</f>
        <v>ULIF 078 31/12/24 MQI 110</v>
      </c>
      <c r="E2154" s="8">
        <v>9.3370999999999995</v>
      </c>
      <c r="F2154" s="9">
        <v>46156</v>
      </c>
    </row>
    <row r="2155" spans="1:6" ht="105" x14ac:dyDescent="0.25">
      <c r="A2155" s="8" t="s">
        <v>63</v>
      </c>
      <c r="B2155" s="8" t="s">
        <v>71</v>
      </c>
      <c r="C2155" s="8" t="str">
        <f>IFERROR(_xlfn.XLOOKUP(TRIM(B2155),Lookup!$B$2:$B$1000,Lookup!$C$2:$C$1000),"")</f>
        <v>Equity - Index (Multicap Momentum Quality)</v>
      </c>
      <c r="D2155" s="8" t="str">
        <f>IFERROR(INDEX('nav master'!$C:$C, MATCH(B2155, 'nav master'!$B:$B, 0)), "")</f>
        <v>ULIF 078 31/12/24 MQI 110</v>
      </c>
      <c r="E2155" s="8">
        <v>9.2925000000000004</v>
      </c>
      <c r="F2155" s="9">
        <v>46157</v>
      </c>
    </row>
    <row r="2156" spans="1:6" ht="105" x14ac:dyDescent="0.25">
      <c r="A2156" s="8" t="s">
        <v>63</v>
      </c>
      <c r="B2156" s="8" t="s">
        <v>71</v>
      </c>
      <c r="C2156" s="8" t="str">
        <f>IFERROR(_xlfn.XLOOKUP(TRIM(B2156),Lookup!$B$2:$B$1000,Lookup!$C$2:$C$1000),"")</f>
        <v>Equity - Index (Multicap Momentum Quality)</v>
      </c>
      <c r="D2156" s="8" t="str">
        <f>IFERROR(INDEX('nav master'!$C:$C, MATCH(B2156, 'nav master'!$B:$B, 0)), "")</f>
        <v>ULIF 078 31/12/24 MQI 110</v>
      </c>
      <c r="E2156" s="8">
        <v>9.2588000000000008</v>
      </c>
      <c r="F2156" s="9">
        <v>46160</v>
      </c>
    </row>
    <row r="2157" spans="1:6" ht="105" x14ac:dyDescent="0.25">
      <c r="A2157" s="8" t="s">
        <v>63</v>
      </c>
      <c r="B2157" s="8" t="s">
        <v>71</v>
      </c>
      <c r="C2157" s="8" t="str">
        <f>IFERROR(_xlfn.XLOOKUP(TRIM(B2157),Lookup!$B$2:$B$1000,Lookup!$C$2:$C$1000),"")</f>
        <v>Equity - Index (Multicap Momentum Quality)</v>
      </c>
      <c r="D2157" s="8" t="str">
        <f>IFERROR(INDEX('nav master'!$C:$C, MATCH(B2157, 'nav master'!$B:$B, 0)), "")</f>
        <v>ULIF 078 31/12/24 MQI 110</v>
      </c>
      <c r="E2157" s="8">
        <v>9.3097999999999992</v>
      </c>
      <c r="F2157" s="9">
        <v>46161</v>
      </c>
    </row>
    <row r="2158" spans="1:6" ht="105" x14ac:dyDescent="0.25">
      <c r="A2158" s="8" t="s">
        <v>63</v>
      </c>
      <c r="B2158" s="8" t="s">
        <v>71</v>
      </c>
      <c r="C2158" s="8" t="str">
        <f>IFERROR(_xlfn.XLOOKUP(TRIM(B2158),Lookup!$B$2:$B$1000,Lookup!$C$2:$C$1000),"")</f>
        <v>Equity - Index (Multicap Momentum Quality)</v>
      </c>
      <c r="D2158" s="8" t="str">
        <f>IFERROR(INDEX('nav master'!$C:$C, MATCH(B2158, 'nav master'!$B:$B, 0)), "")</f>
        <v>ULIF 078 31/12/24 MQI 110</v>
      </c>
      <c r="E2158" s="8">
        <v>9.3353000000000002</v>
      </c>
      <c r="F2158" s="9">
        <v>46162</v>
      </c>
    </row>
    <row r="2159" spans="1:6" ht="105" x14ac:dyDescent="0.25">
      <c r="A2159" s="8" t="s">
        <v>63</v>
      </c>
      <c r="B2159" s="8" t="s">
        <v>71</v>
      </c>
      <c r="C2159" s="8" t="str">
        <f>IFERROR(_xlfn.XLOOKUP(TRIM(B2159),Lookup!$B$2:$B$1000,Lookup!$C$2:$C$1000),"")</f>
        <v>Equity - Index (Multicap Momentum Quality)</v>
      </c>
      <c r="D2159" s="8" t="str">
        <f>IFERROR(INDEX('nav master'!$C:$C, MATCH(B2159, 'nav master'!$B:$B, 0)), "")</f>
        <v>ULIF 078 31/12/24 MQI 110</v>
      </c>
      <c r="E2159" s="8">
        <v>9.3251000000000008</v>
      </c>
      <c r="F2159" s="9">
        <v>46163</v>
      </c>
    </row>
    <row r="2160" spans="1:6" ht="105" x14ac:dyDescent="0.25">
      <c r="A2160" s="8" t="s">
        <v>63</v>
      </c>
      <c r="B2160" s="8" t="s">
        <v>71</v>
      </c>
      <c r="C2160" s="8" t="str">
        <f>IFERROR(_xlfn.XLOOKUP(TRIM(B2160),Lookup!$B$2:$B$1000,Lookup!$C$2:$C$1000),"")</f>
        <v>Equity - Index (Multicap Momentum Quality)</v>
      </c>
      <c r="D2160" s="8" t="str">
        <f>IFERROR(INDEX('nav master'!$C:$C, MATCH(B2160, 'nav master'!$B:$B, 0)), "")</f>
        <v>ULIF 078 31/12/24 MQI 110</v>
      </c>
      <c r="E2160" s="8">
        <v>9.3310999999999993</v>
      </c>
      <c r="F2160" s="9">
        <v>46164</v>
      </c>
    </row>
    <row r="2161" spans="1:6" ht="105" x14ac:dyDescent="0.25">
      <c r="A2161" s="8" t="s">
        <v>63</v>
      </c>
      <c r="B2161" s="8" t="s">
        <v>71</v>
      </c>
      <c r="C2161" s="8" t="str">
        <f>IFERROR(_xlfn.XLOOKUP(TRIM(B2161),Lookup!$B$2:$B$1000,Lookup!$C$2:$C$1000),"")</f>
        <v>Equity - Index (Multicap Momentum Quality)</v>
      </c>
      <c r="D2161" s="8" t="str">
        <f>IFERROR(INDEX('nav master'!$C:$C, MATCH(B2161, 'nav master'!$B:$B, 0)), "")</f>
        <v>ULIF 078 31/12/24 MQI 110</v>
      </c>
      <c r="E2161" s="8">
        <v>9.4435000000000002</v>
      </c>
      <c r="F2161" s="9">
        <v>46167</v>
      </c>
    </row>
    <row r="2162" spans="1:6" ht="105" x14ac:dyDescent="0.25">
      <c r="A2162" s="8" t="s">
        <v>63</v>
      </c>
      <c r="B2162" s="8" t="s">
        <v>71</v>
      </c>
      <c r="C2162" s="8" t="str">
        <f>IFERROR(_xlfn.XLOOKUP(TRIM(B2162),Lookup!$B$2:$B$1000,Lookup!$C$2:$C$1000),"")</f>
        <v>Equity - Index (Multicap Momentum Quality)</v>
      </c>
      <c r="D2162" s="8" t="str">
        <f>IFERROR(INDEX('nav master'!$C:$C, MATCH(B2162, 'nav master'!$B:$B, 0)), "")</f>
        <v>ULIF 078 31/12/24 MQI 110</v>
      </c>
      <c r="E2162" s="8">
        <v>9.4748000000000001</v>
      </c>
      <c r="F2162" s="9">
        <v>46168</v>
      </c>
    </row>
    <row r="2163" spans="1:6" ht="105" x14ac:dyDescent="0.25">
      <c r="A2163" s="8" t="s">
        <v>63</v>
      </c>
      <c r="B2163" s="8" t="s">
        <v>71</v>
      </c>
      <c r="C2163" s="8" t="str">
        <f>IFERROR(_xlfn.XLOOKUP(TRIM(B2163),Lookup!$B$2:$B$1000,Lookup!$C$2:$C$1000),"")</f>
        <v>Equity - Index (Multicap Momentum Quality)</v>
      </c>
      <c r="D2163" s="8" t="str">
        <f>IFERROR(INDEX('nav master'!$C:$C, MATCH(B2163, 'nav master'!$B:$B, 0)), "")</f>
        <v>ULIF 078 31/12/24 MQI 110</v>
      </c>
      <c r="E2163" s="8">
        <v>9.5207999999999995</v>
      </c>
      <c r="F2163" s="9">
        <v>46169</v>
      </c>
    </row>
    <row r="2164" spans="1:6" ht="105" x14ac:dyDescent="0.25">
      <c r="A2164" s="8" t="s">
        <v>63</v>
      </c>
      <c r="B2164" s="8" t="s">
        <v>71</v>
      </c>
      <c r="C2164" s="8" t="str">
        <f>IFERROR(_xlfn.XLOOKUP(TRIM(B2164),Lookup!$B$2:$B$1000,Lookup!$C$2:$C$1000),"")</f>
        <v>Equity - Index (Multicap Momentum Quality)</v>
      </c>
      <c r="D2164" s="8" t="str">
        <f>IFERROR(INDEX('nav master'!$C:$C, MATCH(B2164, 'nav master'!$B:$B, 0)), "")</f>
        <v>ULIF 078 31/12/24 MQI 110</v>
      </c>
      <c r="E2164" s="8">
        <v>9.3575999999999997</v>
      </c>
      <c r="F2164" s="9">
        <v>46171</v>
      </c>
    </row>
    <row r="2165" spans="1:6" ht="105" x14ac:dyDescent="0.25">
      <c r="A2165" s="8" t="s">
        <v>63</v>
      </c>
      <c r="B2165" s="8" t="s">
        <v>71</v>
      </c>
      <c r="C2165" s="8" t="str">
        <f>IFERROR(_xlfn.XLOOKUP(TRIM(B2165),Lookup!$B$2:$B$1000,Lookup!$C$2:$C$1000),"")</f>
        <v>Equity - Index (Multicap Momentum Quality)</v>
      </c>
      <c r="D2165" s="8" t="str">
        <f>IFERROR(INDEX('nav master'!$C:$C, MATCH(B2165, 'nav master'!$B:$B, 0)), "")</f>
        <v>ULIF 078 31/12/24 MQI 110</v>
      </c>
      <c r="E2165" s="8">
        <v>9.2108000000000008</v>
      </c>
      <c r="F2165" s="9">
        <v>46174</v>
      </c>
    </row>
    <row r="2166" spans="1:6" ht="105" x14ac:dyDescent="0.25">
      <c r="A2166" s="8" t="s">
        <v>63</v>
      </c>
      <c r="B2166" s="8" t="s">
        <v>71</v>
      </c>
      <c r="C2166" s="8" t="str">
        <f>IFERROR(_xlfn.XLOOKUP(TRIM(B2166),Lookup!$B$2:$B$1000,Lookup!$C$2:$C$1000),"")</f>
        <v>Equity - Index (Multicap Momentum Quality)</v>
      </c>
      <c r="D2166" s="8" t="str">
        <f>IFERROR(INDEX('nav master'!$C:$C, MATCH(B2166, 'nav master'!$B:$B, 0)), "")</f>
        <v>ULIF 078 31/12/24 MQI 110</v>
      </c>
      <c r="E2166" s="8">
        <v>9.2241999999999997</v>
      </c>
      <c r="F2166" s="9">
        <v>46175</v>
      </c>
    </row>
    <row r="2167" spans="1:6" ht="105" x14ac:dyDescent="0.25">
      <c r="A2167" s="8" t="s">
        <v>63</v>
      </c>
      <c r="B2167" s="8" t="s">
        <v>71</v>
      </c>
      <c r="C2167" s="8" t="str">
        <f>IFERROR(_xlfn.XLOOKUP(TRIM(B2167),Lookup!$B$2:$B$1000,Lookup!$C$2:$C$1000),"")</f>
        <v>Equity - Index (Multicap Momentum Quality)</v>
      </c>
      <c r="D2167" s="8" t="str">
        <f>IFERROR(INDEX('nav master'!$C:$C, MATCH(B2167, 'nav master'!$B:$B, 0)), "")</f>
        <v>ULIF 078 31/12/24 MQI 110</v>
      </c>
      <c r="E2167" s="8">
        <v>9.1814</v>
      </c>
      <c r="F2167" s="9">
        <v>46176</v>
      </c>
    </row>
    <row r="2168" spans="1:6" ht="105" x14ac:dyDescent="0.25">
      <c r="A2168" s="8" t="s">
        <v>63</v>
      </c>
      <c r="B2168" s="8" t="s">
        <v>71</v>
      </c>
      <c r="C2168" s="8" t="str">
        <f>IFERROR(_xlfn.XLOOKUP(TRIM(B2168),Lookup!$B$2:$B$1000,Lookup!$C$2:$C$1000),"")</f>
        <v>Equity - Index (Multicap Momentum Quality)</v>
      </c>
      <c r="D2168" s="8" t="str">
        <f>IFERROR(INDEX('nav master'!$C:$C, MATCH(B2168, 'nav master'!$B:$B, 0)), "")</f>
        <v>ULIF 078 31/12/24 MQI 110</v>
      </c>
      <c r="E2168" s="8">
        <v>9.2304999999999993</v>
      </c>
      <c r="F2168" s="9">
        <v>46177</v>
      </c>
    </row>
    <row r="2169" spans="1:6" ht="105" x14ac:dyDescent="0.25">
      <c r="A2169" s="8" t="s">
        <v>63</v>
      </c>
      <c r="B2169" s="8" t="s">
        <v>71</v>
      </c>
      <c r="C2169" s="8" t="str">
        <f>IFERROR(_xlfn.XLOOKUP(TRIM(B2169),Lookup!$B$2:$B$1000,Lookup!$C$2:$C$1000),"")</f>
        <v>Equity - Index (Multicap Momentum Quality)</v>
      </c>
      <c r="D2169" s="8" t="str">
        <f>IFERROR(INDEX('nav master'!$C:$C, MATCH(B2169, 'nav master'!$B:$B, 0)), "")</f>
        <v>ULIF 078 31/12/24 MQI 110</v>
      </c>
      <c r="E2169" s="8">
        <v>9.1704000000000008</v>
      </c>
      <c r="F2169" s="9">
        <v>46178</v>
      </c>
    </row>
    <row r="2170" spans="1:6" ht="105" x14ac:dyDescent="0.25">
      <c r="A2170" s="8" t="s">
        <v>63</v>
      </c>
      <c r="B2170" s="8" t="s">
        <v>71</v>
      </c>
      <c r="C2170" s="8" t="str">
        <f>IFERROR(_xlfn.XLOOKUP(TRIM(B2170),Lookup!$B$2:$B$1000,Lookup!$C$2:$C$1000),"")</f>
        <v>Equity - Index (Multicap Momentum Quality)</v>
      </c>
      <c r="D2170" s="8" t="str">
        <f>IFERROR(INDEX('nav master'!$C:$C, MATCH(B2170, 'nav master'!$B:$B, 0)), "")</f>
        <v>ULIF 078 31/12/24 MQI 110</v>
      </c>
      <c r="E2170" s="8">
        <v>9.0518000000000001</v>
      </c>
      <c r="F2170" s="9">
        <v>46181</v>
      </c>
    </row>
    <row r="2171" spans="1:6" ht="105" x14ac:dyDescent="0.25">
      <c r="A2171" s="8" t="s">
        <v>63</v>
      </c>
      <c r="B2171" s="8" t="s">
        <v>71</v>
      </c>
      <c r="C2171" s="8" t="str">
        <f>IFERROR(_xlfn.XLOOKUP(TRIM(B2171),Lookup!$B$2:$B$1000,Lookup!$C$2:$C$1000),"")</f>
        <v>Equity - Index (Multicap Momentum Quality)</v>
      </c>
      <c r="D2171" s="8" t="str">
        <f>IFERROR(INDEX('nav master'!$C:$C, MATCH(B2171, 'nav master'!$B:$B, 0)), "")</f>
        <v>ULIF 078 31/12/24 MQI 110</v>
      </c>
      <c r="E2171" s="8">
        <v>9.1795000000000009</v>
      </c>
      <c r="F2171" s="9">
        <v>46182</v>
      </c>
    </row>
    <row r="2172" spans="1:6" ht="105" x14ac:dyDescent="0.25">
      <c r="A2172" s="8" t="s">
        <v>63</v>
      </c>
      <c r="B2172" s="8" t="s">
        <v>71</v>
      </c>
      <c r="C2172" s="8" t="str">
        <f>IFERROR(_xlfn.XLOOKUP(TRIM(B2172),Lookup!$B$2:$B$1000,Lookup!$C$2:$C$1000),"")</f>
        <v>Equity - Index (Multicap Momentum Quality)</v>
      </c>
      <c r="D2172" s="8" t="str">
        <f>IFERROR(INDEX('nav master'!$C:$C, MATCH(B2172, 'nav master'!$B:$B, 0)), "")</f>
        <v>ULIF 078 31/12/24 MQI 110</v>
      </c>
      <c r="E2172" s="8">
        <v>9.1001999999999992</v>
      </c>
      <c r="F2172" s="9">
        <v>46183</v>
      </c>
    </row>
    <row r="2173" spans="1:6" ht="105" x14ac:dyDescent="0.25">
      <c r="A2173" s="8" t="s">
        <v>63</v>
      </c>
      <c r="B2173" s="8" t="s">
        <v>71</v>
      </c>
      <c r="C2173" s="8" t="str">
        <f>IFERROR(_xlfn.XLOOKUP(TRIM(B2173),Lookup!$B$2:$B$1000,Lookup!$C$2:$C$1000),"")</f>
        <v>Equity - Index (Multicap Momentum Quality)</v>
      </c>
      <c r="D2173" s="8" t="str">
        <f>IFERROR(INDEX('nav master'!$C:$C, MATCH(B2173, 'nav master'!$B:$B, 0)), "")</f>
        <v>ULIF 078 31/12/24 MQI 110</v>
      </c>
      <c r="E2173" s="8">
        <v>9.0119000000000007</v>
      </c>
      <c r="F2173" s="9">
        <v>46184</v>
      </c>
    </row>
    <row r="2174" spans="1:6" ht="105" x14ac:dyDescent="0.25">
      <c r="A2174" s="8" t="s">
        <v>63</v>
      </c>
      <c r="B2174" s="8" t="s">
        <v>71</v>
      </c>
      <c r="C2174" s="8" t="str">
        <f>IFERROR(_xlfn.XLOOKUP(TRIM(B2174),Lookup!$B$2:$B$1000,Lookup!$C$2:$C$1000),"")</f>
        <v>Equity - Index (Multicap Momentum Quality)</v>
      </c>
      <c r="D2174" s="8" t="str">
        <f>IFERROR(INDEX('nav master'!$C:$C, MATCH(B2174, 'nav master'!$B:$B, 0)), "")</f>
        <v>ULIF 078 31/12/24 MQI 110</v>
      </c>
      <c r="E2174" s="8">
        <v>9.1956000000000007</v>
      </c>
      <c r="F2174" s="9">
        <v>46185</v>
      </c>
    </row>
    <row r="2175" spans="1:6" ht="105" x14ac:dyDescent="0.25">
      <c r="A2175" s="8" t="s">
        <v>63</v>
      </c>
      <c r="B2175" s="8" t="s">
        <v>71</v>
      </c>
      <c r="C2175" s="8" t="str">
        <f>IFERROR(_xlfn.XLOOKUP(TRIM(B2175),Lookup!$B$2:$B$1000,Lookup!$C$2:$C$1000),"")</f>
        <v>Equity - Index (Multicap Momentum Quality)</v>
      </c>
      <c r="D2175" s="8" t="str">
        <f>IFERROR(INDEX('nav master'!$C:$C, MATCH(B2175, 'nav master'!$B:$B, 0)), "")</f>
        <v>ULIF 078 31/12/24 MQI 110</v>
      </c>
      <c r="E2175" s="8">
        <v>9.34</v>
      </c>
      <c r="F2175" s="9">
        <v>46188</v>
      </c>
    </row>
    <row r="2176" spans="1:6" ht="105" x14ac:dyDescent="0.25">
      <c r="A2176" s="8" t="s">
        <v>63</v>
      </c>
      <c r="B2176" s="8" t="s">
        <v>71</v>
      </c>
      <c r="C2176" s="8" t="str">
        <f>IFERROR(_xlfn.XLOOKUP(TRIM(B2176),Lookup!$B$2:$B$1000,Lookup!$C$2:$C$1000),"")</f>
        <v>Equity - Index (Multicap Momentum Quality)</v>
      </c>
      <c r="D2176" s="8" t="str">
        <f>IFERROR(INDEX('nav master'!$C:$C, MATCH(B2176, 'nav master'!$B:$B, 0)), "")</f>
        <v>ULIF 078 31/12/24 MQI 110</v>
      </c>
      <c r="E2176" s="8">
        <v>9.3643999999999998</v>
      </c>
      <c r="F2176" s="9">
        <v>46189</v>
      </c>
    </row>
    <row r="2177" spans="1:6" ht="105" x14ac:dyDescent="0.25">
      <c r="A2177" s="8" t="s">
        <v>63</v>
      </c>
      <c r="B2177" s="8" t="s">
        <v>71</v>
      </c>
      <c r="C2177" s="8" t="str">
        <f>IFERROR(_xlfn.XLOOKUP(TRIM(B2177),Lookup!$B$2:$B$1000,Lookup!$C$2:$C$1000),"")</f>
        <v>Equity - Index (Multicap Momentum Quality)</v>
      </c>
      <c r="D2177" s="8" t="str">
        <f>IFERROR(INDEX('nav master'!$C:$C, MATCH(B2177, 'nav master'!$B:$B, 0)), "")</f>
        <v>ULIF 078 31/12/24 MQI 110</v>
      </c>
      <c r="E2177" s="8">
        <v>9.4177999999999997</v>
      </c>
      <c r="F2177" s="9">
        <v>46190</v>
      </c>
    </row>
    <row r="2178" spans="1:6" ht="105" x14ac:dyDescent="0.25">
      <c r="A2178" s="8" t="s">
        <v>63</v>
      </c>
      <c r="B2178" s="8" t="s">
        <v>71</v>
      </c>
      <c r="C2178" s="8" t="str">
        <f>IFERROR(_xlfn.XLOOKUP(TRIM(B2178),Lookup!$B$2:$B$1000,Lookup!$C$2:$C$1000),"")</f>
        <v>Equity - Index (Multicap Momentum Quality)</v>
      </c>
      <c r="D2178" s="8" t="str">
        <f>IFERROR(INDEX('nav master'!$C:$C, MATCH(B2178, 'nav master'!$B:$B, 0)), "")</f>
        <v>ULIF 078 31/12/24 MQI 110</v>
      </c>
      <c r="E2178" s="8">
        <v>9.4530999999999992</v>
      </c>
      <c r="F2178" s="9">
        <v>46191</v>
      </c>
    </row>
    <row r="2179" spans="1:6" ht="105" x14ac:dyDescent="0.25">
      <c r="A2179" s="8" t="s">
        <v>63</v>
      </c>
      <c r="B2179" s="8" t="s">
        <v>71</v>
      </c>
      <c r="C2179" s="8" t="str">
        <f>IFERROR(_xlfn.XLOOKUP(TRIM(B2179),Lookup!$B$2:$B$1000,Lookup!$C$2:$C$1000),"")</f>
        <v>Equity - Index (Multicap Momentum Quality)</v>
      </c>
      <c r="D2179" s="8" t="str">
        <f>IFERROR(INDEX('nav master'!$C:$C, MATCH(B2179, 'nav master'!$B:$B, 0)), "")</f>
        <v>ULIF 078 31/12/24 MQI 110</v>
      </c>
      <c r="E2179" s="8">
        <v>9.4437999999999995</v>
      </c>
      <c r="F2179" s="9">
        <v>46192</v>
      </c>
    </row>
    <row r="2180" spans="1:6" ht="105" x14ac:dyDescent="0.25">
      <c r="A2180" s="8" t="s">
        <v>63</v>
      </c>
      <c r="B2180" s="8" t="s">
        <v>71</v>
      </c>
      <c r="C2180" s="8" t="str">
        <f>IFERROR(_xlfn.XLOOKUP(TRIM(B2180),Lookup!$B$2:$B$1000,Lookup!$C$2:$C$1000),"")</f>
        <v>Equity - Index (Multicap Momentum Quality)</v>
      </c>
      <c r="D2180" s="8" t="str">
        <f>IFERROR(INDEX('nav master'!$C:$C, MATCH(B2180, 'nav master'!$B:$B, 0)), "")</f>
        <v>ULIF 078 31/12/24 MQI 110</v>
      </c>
      <c r="E2180" s="8">
        <v>9.4644999999999992</v>
      </c>
      <c r="F2180" s="9">
        <v>46195</v>
      </c>
    </row>
    <row r="2181" spans="1:6" ht="105" x14ac:dyDescent="0.25">
      <c r="A2181" s="8" t="s">
        <v>63</v>
      </c>
      <c r="B2181" s="8" t="s">
        <v>71</v>
      </c>
      <c r="C2181" s="8" t="str">
        <f>IFERROR(_xlfn.XLOOKUP(TRIM(B2181),Lookup!$B$2:$B$1000,Lookup!$C$2:$C$1000),"")</f>
        <v>Equity - Index (Multicap Momentum Quality)</v>
      </c>
      <c r="D2181" s="8" t="str">
        <f>IFERROR(INDEX('nav master'!$C:$C, MATCH(B2181, 'nav master'!$B:$B, 0)), "")</f>
        <v>ULIF 078 31/12/24 MQI 110</v>
      </c>
      <c r="E2181" s="8">
        <v>9.3482000000000003</v>
      </c>
      <c r="F2181" s="9">
        <v>46196</v>
      </c>
    </row>
    <row r="2182" spans="1:6" ht="105" x14ac:dyDescent="0.25">
      <c r="A2182" s="8" t="s">
        <v>63</v>
      </c>
      <c r="B2182" s="8" t="s">
        <v>71</v>
      </c>
      <c r="C2182" s="8" t="str">
        <f>IFERROR(_xlfn.XLOOKUP(TRIM(B2182),Lookup!$B$2:$B$1000,Lookup!$C$2:$C$1000),"")</f>
        <v>Equity - Index (Multicap Momentum Quality)</v>
      </c>
      <c r="D2182" s="8" t="str">
        <f>IFERROR(INDEX('nav master'!$C:$C, MATCH(B2182, 'nav master'!$B:$B, 0)), "")</f>
        <v>ULIF 078 31/12/24 MQI 110</v>
      </c>
      <c r="E2182" s="8">
        <v>9.2781000000000002</v>
      </c>
      <c r="F2182" s="9">
        <v>46197</v>
      </c>
    </row>
    <row r="2183" spans="1:6" ht="105" x14ac:dyDescent="0.25">
      <c r="A2183" s="8" t="s">
        <v>63</v>
      </c>
      <c r="B2183" s="8" t="s">
        <v>71</v>
      </c>
      <c r="C2183" s="8" t="str">
        <f>IFERROR(_xlfn.XLOOKUP(TRIM(B2183),Lookup!$B$2:$B$1000,Lookup!$C$2:$C$1000),"")</f>
        <v>Equity - Index (Multicap Momentum Quality)</v>
      </c>
      <c r="D2183" s="8" t="str">
        <f>IFERROR(INDEX('nav master'!$C:$C, MATCH(B2183, 'nav master'!$B:$B, 0)), "")</f>
        <v>ULIF 078 31/12/24 MQI 110</v>
      </c>
      <c r="E2183" s="8">
        <v>9.2698</v>
      </c>
      <c r="F2183" s="9">
        <v>46198</v>
      </c>
    </row>
    <row r="2184" spans="1:6" ht="105" x14ac:dyDescent="0.25">
      <c r="A2184" s="8" t="s">
        <v>63</v>
      </c>
      <c r="B2184" s="8" t="s">
        <v>71</v>
      </c>
      <c r="C2184" s="8" t="str">
        <f>IFERROR(_xlfn.XLOOKUP(TRIM(B2184),Lookup!$B$2:$B$1000,Lookup!$C$2:$C$1000),"")</f>
        <v>Equity - Index (Multicap Momentum Quality)</v>
      </c>
      <c r="D2184" s="8" t="str">
        <f>IFERROR(INDEX('nav master'!$C:$C, MATCH(B2184, 'nav master'!$B:$B, 0)), "")</f>
        <v>ULIF 078 31/12/24 MQI 110</v>
      </c>
      <c r="E2184" s="8">
        <v>9.2139000000000006</v>
      </c>
      <c r="F2184" s="9">
        <v>46202</v>
      </c>
    </row>
    <row r="2185" spans="1:6" ht="105" x14ac:dyDescent="0.25">
      <c r="A2185" s="8" t="s">
        <v>63</v>
      </c>
      <c r="B2185" s="8" t="s">
        <v>71</v>
      </c>
      <c r="C2185" s="8" t="str">
        <f>IFERROR(_xlfn.XLOOKUP(TRIM(B2185),Lookup!$B$2:$B$1000,Lookup!$C$2:$C$1000),"")</f>
        <v>Equity - Index (Multicap Momentum Quality)</v>
      </c>
      <c r="D2185" s="8" t="str">
        <f>IFERROR(INDEX('nav master'!$C:$C, MATCH(B2185, 'nav master'!$B:$B, 0)), "")</f>
        <v>ULIF 078 31/12/24 MQI 110</v>
      </c>
      <c r="E2185" s="8">
        <v>9.1781000000000006</v>
      </c>
      <c r="F2185" s="9">
        <v>46203</v>
      </c>
    </row>
    <row r="2186" spans="1:6" ht="105" x14ac:dyDescent="0.25">
      <c r="A2186" s="8" t="s">
        <v>63</v>
      </c>
      <c r="B2186" s="8" t="s">
        <v>71</v>
      </c>
      <c r="C2186" s="8" t="str">
        <f>IFERROR(_xlfn.XLOOKUP(TRIM(B2186),Lookup!$B$2:$B$1000,Lookup!$C$2:$C$1000),"")</f>
        <v>Equity - Index (Multicap Momentum Quality)</v>
      </c>
      <c r="D2186" s="8" t="str">
        <f>IFERROR(INDEX('nav master'!$C:$C, MATCH(B2186, 'nav master'!$B:$B, 0)), "")</f>
        <v>ULIF 078 31/12/24 MQI 110</v>
      </c>
      <c r="E2186" s="8">
        <v>9.1972000000000005</v>
      </c>
      <c r="F2186" s="9">
        <v>46204</v>
      </c>
    </row>
    <row r="2187" spans="1:6" ht="105" x14ac:dyDescent="0.25">
      <c r="A2187" s="8" t="s">
        <v>63</v>
      </c>
      <c r="B2187" s="8" t="s">
        <v>71</v>
      </c>
      <c r="C2187" s="8" t="str">
        <f>IFERROR(_xlfn.XLOOKUP(TRIM(B2187),Lookup!$B$2:$B$1000,Lookup!$C$2:$C$1000),"")</f>
        <v>Equity - Index (Multicap Momentum Quality)</v>
      </c>
      <c r="D2187" s="8" t="str">
        <f>IFERROR(INDEX('nav master'!$C:$C, MATCH(B2187, 'nav master'!$B:$B, 0)), "")</f>
        <v>ULIF 078 31/12/24 MQI 110</v>
      </c>
      <c r="E2187" s="8">
        <v>9.2157999999999998</v>
      </c>
      <c r="F2187" s="9">
        <v>46205</v>
      </c>
    </row>
    <row r="2188" spans="1:6" ht="105" x14ac:dyDescent="0.25">
      <c r="A2188" s="8" t="s">
        <v>63</v>
      </c>
      <c r="B2188" s="8" t="s">
        <v>71</v>
      </c>
      <c r="C2188" s="8" t="str">
        <f>IFERROR(_xlfn.XLOOKUP(TRIM(B2188),Lookup!$B$2:$B$1000,Lookup!$C$2:$C$1000),"")</f>
        <v>Equity - Index (Multicap Momentum Quality)</v>
      </c>
      <c r="D2188" s="8" t="str">
        <f>IFERROR(INDEX('nav master'!$C:$C, MATCH(B2188, 'nav master'!$B:$B, 0)), "")</f>
        <v>ULIF 078 31/12/24 MQI 110</v>
      </c>
      <c r="E2188" s="8">
        <v>9.1580999999999992</v>
      </c>
      <c r="F2188" s="9">
        <v>46206</v>
      </c>
    </row>
    <row r="2189" spans="1:6" ht="105" x14ac:dyDescent="0.25">
      <c r="A2189" s="8" t="s">
        <v>63</v>
      </c>
      <c r="B2189" s="8" t="s">
        <v>71</v>
      </c>
      <c r="C2189" s="8" t="str">
        <f>IFERROR(_xlfn.XLOOKUP(TRIM(B2189),Lookup!$B$2:$B$1000,Lookup!$C$2:$C$1000),"")</f>
        <v>Equity - Index (Multicap Momentum Quality)</v>
      </c>
      <c r="D2189" s="8" t="str">
        <f>IFERROR(INDEX('nav master'!$C:$C, MATCH(B2189, 'nav master'!$B:$B, 0)), "")</f>
        <v>ULIF 078 31/12/24 MQI 110</v>
      </c>
      <c r="E2189" s="8">
        <v>9.1991999999999994</v>
      </c>
      <c r="F2189" s="9">
        <v>46209</v>
      </c>
    </row>
    <row r="2190" spans="1:6" ht="105" x14ac:dyDescent="0.25">
      <c r="A2190" s="8" t="s">
        <v>63</v>
      </c>
      <c r="B2190" s="8" t="s">
        <v>71</v>
      </c>
      <c r="C2190" s="8" t="str">
        <f>IFERROR(_xlfn.XLOOKUP(TRIM(B2190),Lookup!$B$2:$B$1000,Lookup!$C$2:$C$1000),"")</f>
        <v>Equity - Index (Multicap Momentum Quality)</v>
      </c>
      <c r="D2190" s="8" t="str">
        <f>IFERROR(INDEX('nav master'!$C:$C, MATCH(B2190, 'nav master'!$B:$B, 0)), "")</f>
        <v>ULIF 078 31/12/24 MQI 110</v>
      </c>
      <c r="E2190" s="8">
        <v>9.0843000000000007</v>
      </c>
      <c r="F2190" s="9">
        <v>46210</v>
      </c>
    </row>
    <row r="2191" spans="1:6" ht="105" x14ac:dyDescent="0.25">
      <c r="A2191" s="8" t="s">
        <v>63</v>
      </c>
      <c r="B2191" s="8" t="s">
        <v>71</v>
      </c>
      <c r="C2191" s="8" t="str">
        <f>IFERROR(_xlfn.XLOOKUP(TRIM(B2191),Lookup!$B$2:$B$1000,Lookup!$C$2:$C$1000),"")</f>
        <v>Equity - Index (Multicap Momentum Quality)</v>
      </c>
      <c r="D2191" s="8" t="str">
        <f>IFERROR(INDEX('nav master'!$C:$C, MATCH(B2191, 'nav master'!$B:$B, 0)), "")</f>
        <v>ULIF 078 31/12/24 MQI 110</v>
      </c>
      <c r="E2191" s="8">
        <v>8.9903999999999993</v>
      </c>
      <c r="F2191" s="9">
        <v>46211</v>
      </c>
    </row>
    <row r="2192" spans="1:6" ht="105" x14ac:dyDescent="0.25">
      <c r="A2192" s="8" t="s">
        <v>63</v>
      </c>
      <c r="B2192" s="8" t="s">
        <v>71</v>
      </c>
      <c r="C2192" s="8" t="str">
        <f>IFERROR(_xlfn.XLOOKUP(TRIM(B2192),Lookup!$B$2:$B$1000,Lookup!$C$2:$C$1000),"")</f>
        <v>Equity - Index (Multicap Momentum Quality)</v>
      </c>
      <c r="D2192" s="8" t="str">
        <f>IFERROR(INDEX('nav master'!$C:$C, MATCH(B2192, 'nav master'!$B:$B, 0)), "")</f>
        <v>ULIF 078 31/12/24 MQI 110</v>
      </c>
      <c r="E2192" s="8">
        <v>9.0643999999999991</v>
      </c>
      <c r="F2192" s="9">
        <v>46212</v>
      </c>
    </row>
    <row r="2193" spans="1:6" ht="105" x14ac:dyDescent="0.25">
      <c r="A2193" s="8" t="s">
        <v>63</v>
      </c>
      <c r="B2193" s="8" t="s">
        <v>71</v>
      </c>
      <c r="C2193" s="8" t="str">
        <f>IFERROR(_xlfn.XLOOKUP(TRIM(B2193),Lookup!$B$2:$B$1000,Lookup!$C$2:$C$1000),"")</f>
        <v>Equity - Index (Multicap Momentum Quality)</v>
      </c>
      <c r="D2193" s="8" t="str">
        <f>IFERROR(INDEX('nav master'!$C:$C, MATCH(B2193, 'nav master'!$B:$B, 0)), "")</f>
        <v>ULIF 078 31/12/24 MQI 110</v>
      </c>
      <c r="E2193" s="8">
        <v>9.1506000000000007</v>
      </c>
      <c r="F2193" s="9">
        <v>46213</v>
      </c>
    </row>
    <row r="2194" spans="1:6" ht="105" x14ac:dyDescent="0.25">
      <c r="A2194" s="8" t="s">
        <v>63</v>
      </c>
      <c r="B2194" s="8" t="s">
        <v>71</v>
      </c>
      <c r="C2194" s="8" t="str">
        <f>IFERROR(_xlfn.XLOOKUP(TRIM(B2194),Lookup!$B$2:$B$1000,Lookup!$C$2:$C$1000),"")</f>
        <v>Equity - Index (Multicap Momentum Quality)</v>
      </c>
      <c r="D2194" s="8" t="str">
        <f>IFERROR(INDEX('nav master'!$C:$C, MATCH(B2194, 'nav master'!$B:$B, 0)), "")</f>
        <v>ULIF 078 31/12/24 MQI 110</v>
      </c>
      <c r="E2194" s="8">
        <v>9.1178000000000008</v>
      </c>
      <c r="F2194" s="9">
        <v>46216</v>
      </c>
    </row>
    <row r="2195" spans="1:6" ht="105" x14ac:dyDescent="0.25">
      <c r="A2195" s="8" t="s">
        <v>63</v>
      </c>
      <c r="B2195" s="8" t="s">
        <v>71</v>
      </c>
      <c r="C2195" s="8" t="str">
        <f>IFERROR(_xlfn.XLOOKUP(TRIM(B2195),Lookup!$B$2:$B$1000,Lookup!$C$2:$C$1000),"")</f>
        <v>Equity - Index (Multicap Momentum Quality)</v>
      </c>
      <c r="D2195" s="8" t="str">
        <f>IFERROR(INDEX('nav master'!$C:$C, MATCH(B2195, 'nav master'!$B:$B, 0)), "")</f>
        <v>ULIF 078 31/12/24 MQI 110</v>
      </c>
      <c r="E2195" s="8">
        <v>9.1110000000000007</v>
      </c>
      <c r="F2195" s="9">
        <v>46217</v>
      </c>
    </row>
    <row r="2196" spans="1:6" ht="105" x14ac:dyDescent="0.25">
      <c r="A2196" s="8" t="s">
        <v>63</v>
      </c>
      <c r="B2196" s="8" t="s">
        <v>71</v>
      </c>
      <c r="C2196" s="8" t="str">
        <f>IFERROR(_xlfn.XLOOKUP(TRIM(B2196),Lookup!$B$2:$B$1000,Lookup!$C$2:$C$1000),"")</f>
        <v>Equity - Index (Multicap Momentum Quality)</v>
      </c>
      <c r="D2196" s="8" t="str">
        <f>IFERROR(INDEX('nav master'!$C:$C, MATCH(B2196, 'nav master'!$B:$B, 0)), "")</f>
        <v>ULIF 078 31/12/24 MQI 110</v>
      </c>
      <c r="E2196" s="8">
        <v>9.1697000000000006</v>
      </c>
      <c r="F2196" s="9">
        <v>46218</v>
      </c>
    </row>
    <row r="2197" spans="1:6" ht="105" x14ac:dyDescent="0.25">
      <c r="A2197" s="8" t="s">
        <v>63</v>
      </c>
      <c r="B2197" s="8" t="s">
        <v>71</v>
      </c>
      <c r="C2197" s="8" t="str">
        <f>IFERROR(_xlfn.XLOOKUP(TRIM(B2197),Lookup!$B$2:$B$1000,Lookup!$C$2:$C$1000),"")</f>
        <v>Equity - Index (Multicap Momentum Quality)</v>
      </c>
      <c r="D2197" s="8" t="str">
        <f>IFERROR(INDEX('nav master'!$C:$C, MATCH(B2197, 'nav master'!$B:$B, 0)), "")</f>
        <v>ULIF 078 31/12/24 MQI 110</v>
      </c>
      <c r="E2197" s="8">
        <v>9.1161999999999992</v>
      </c>
      <c r="F2197" s="9">
        <v>46219</v>
      </c>
    </row>
    <row r="2198" spans="1:6" ht="105" x14ac:dyDescent="0.25">
      <c r="A2198" s="8" t="s">
        <v>63</v>
      </c>
      <c r="B2198" s="8" t="s">
        <v>71</v>
      </c>
      <c r="C2198" s="8" t="str">
        <f>IFERROR(_xlfn.XLOOKUP(TRIM(B2198),Lookup!$B$2:$B$1000,Lookup!$C$2:$C$1000),"")</f>
        <v>Equity - Index (Multicap Momentum Quality)</v>
      </c>
      <c r="D2198" s="8" t="str">
        <f>IFERROR(INDEX('nav master'!$C:$C, MATCH(B2198, 'nav master'!$B:$B, 0)), "")</f>
        <v>ULIF 078 31/12/24 MQI 110</v>
      </c>
      <c r="E2198" s="8">
        <v>9.0474999999999994</v>
      </c>
      <c r="F2198" s="9">
        <v>46220</v>
      </c>
    </row>
    <row r="2199" spans="1:6" ht="105" x14ac:dyDescent="0.25">
      <c r="A2199" s="8" t="s">
        <v>63</v>
      </c>
      <c r="B2199" s="8" t="s">
        <v>71</v>
      </c>
      <c r="C2199" s="8" t="str">
        <f>IFERROR(_xlfn.XLOOKUP(TRIM(B2199),Lookup!$B$2:$B$1000,Lookup!$C$2:$C$1000),"")</f>
        <v>Equity - Index (Multicap Momentum Quality)</v>
      </c>
      <c r="D2199" s="8" t="str">
        <f>IFERROR(INDEX('nav master'!$C:$C, MATCH(B2199, 'nav master'!$B:$B, 0)), "")</f>
        <v>ULIF 078 31/12/24 MQI 110</v>
      </c>
      <c r="E2199" s="8">
        <v>9.1102000000000007</v>
      </c>
      <c r="F2199" s="9">
        <v>46223</v>
      </c>
    </row>
    <row r="2200" spans="1:6" ht="105" x14ac:dyDescent="0.25">
      <c r="A2200" s="8" t="s">
        <v>63</v>
      </c>
      <c r="B2200" s="8" t="s">
        <v>71</v>
      </c>
      <c r="C2200" s="8" t="str">
        <f>IFERROR(_xlfn.XLOOKUP(TRIM(B2200),Lookup!$B$2:$B$1000,Lookup!$C$2:$C$1000),"")</f>
        <v>Equity - Index (Multicap Momentum Quality)</v>
      </c>
      <c r="D2200" s="8" t="str">
        <f>IFERROR(INDEX('nav master'!$C:$C, MATCH(B2200, 'nav master'!$B:$B, 0)), "")</f>
        <v>ULIF 078 31/12/24 MQI 110</v>
      </c>
      <c r="E2200" s="8">
        <v>9.1674000000000007</v>
      </c>
      <c r="F2200" s="9">
        <v>46224</v>
      </c>
    </row>
    <row r="2201" spans="1:6" ht="105" x14ac:dyDescent="0.25">
      <c r="A2201" s="8" t="s">
        <v>63</v>
      </c>
      <c r="B2201" s="8" t="s">
        <v>71</v>
      </c>
      <c r="C2201" s="8" t="str">
        <f>IFERROR(_xlfn.XLOOKUP(TRIM(B2201),Lookup!$B$2:$B$1000,Lookup!$C$2:$C$1000),"")</f>
        <v>Equity - Index (Multicap Momentum Quality)</v>
      </c>
      <c r="D2201" s="8" t="str">
        <f>IFERROR(INDEX('nav master'!$C:$C, MATCH(B2201, 'nav master'!$B:$B, 0)), "")</f>
        <v>ULIF 078 31/12/24 MQI 110</v>
      </c>
      <c r="E2201" s="8">
        <v>9.1097999999999999</v>
      </c>
      <c r="F2201" s="9">
        <v>46225</v>
      </c>
    </row>
    <row r="2202" spans="1:6" ht="105" x14ac:dyDescent="0.25">
      <c r="A2202" s="8" t="s">
        <v>63</v>
      </c>
      <c r="B2202" s="8" t="s">
        <v>71</v>
      </c>
      <c r="C2202" s="8" t="str">
        <f>IFERROR(_xlfn.XLOOKUP(TRIM(B2202),Lookup!$B$2:$B$1000,Lookup!$C$2:$C$1000),"")</f>
        <v>Equity - Index (Multicap Momentum Quality)</v>
      </c>
      <c r="D2202" s="8" t="str">
        <f>IFERROR(INDEX('nav master'!$C:$C, MATCH(B2202, 'nav master'!$B:$B, 0)), "")</f>
        <v>ULIF 078 31/12/24 MQI 110</v>
      </c>
      <c r="E2202" s="8">
        <v>9.0251000000000001</v>
      </c>
      <c r="F2202" s="9">
        <v>46226</v>
      </c>
    </row>
    <row r="2203" spans="1:6" ht="105" x14ac:dyDescent="0.25">
      <c r="A2203" s="8" t="s">
        <v>63</v>
      </c>
      <c r="B2203" s="8" t="s">
        <v>71</v>
      </c>
      <c r="C2203" s="8" t="str">
        <f>IFERROR(_xlfn.XLOOKUP(TRIM(B2203),Lookup!$B$2:$B$1000,Lookup!$C$2:$C$1000),"")</f>
        <v>Equity - Index (Multicap Momentum Quality)</v>
      </c>
      <c r="D2203" s="8" t="str">
        <f>IFERROR(INDEX('nav master'!$C:$C, MATCH(B2203, 'nav master'!$B:$B, 0)), "")</f>
        <v>ULIF 078 31/12/24 MQI 110</v>
      </c>
      <c r="E2203" s="8">
        <v>8.9810999999999996</v>
      </c>
      <c r="F2203" s="9">
        <v>46227</v>
      </c>
    </row>
    <row r="2204" spans="1:6" ht="105" x14ac:dyDescent="0.25">
      <c r="A2204" s="8" t="s">
        <v>63</v>
      </c>
      <c r="B2204" s="8" t="s">
        <v>71</v>
      </c>
      <c r="C2204" s="8" t="str">
        <f>IFERROR(_xlfn.XLOOKUP(TRIM(B2204),Lookup!$B$2:$B$1000,Lookup!$C$2:$C$1000),"")</f>
        <v>Equity - Index (Multicap Momentum Quality)</v>
      </c>
      <c r="D2204" s="8" t="str">
        <f>IFERROR(INDEX('nav master'!$C:$C, MATCH(B2204, 'nav master'!$B:$B, 0)), "")</f>
        <v>ULIF 078 31/12/24 MQI 110</v>
      </c>
      <c r="E2204" s="8">
        <v>9.0676000000000005</v>
      </c>
      <c r="F2204" s="9">
        <v>46230</v>
      </c>
    </row>
    <row r="2205" spans="1:6" ht="105" x14ac:dyDescent="0.25">
      <c r="A2205" s="8" t="s">
        <v>63</v>
      </c>
      <c r="B2205" s="8" t="s">
        <v>71</v>
      </c>
      <c r="C2205" s="8" t="str">
        <f>IFERROR(_xlfn.XLOOKUP(TRIM(B2205),Lookup!$B$2:$B$1000,Lookup!$C$2:$C$1000),"")</f>
        <v>Equity - Index (Multicap Momentum Quality)</v>
      </c>
      <c r="D2205" s="8" t="str">
        <f>IFERROR(INDEX('nav master'!$C:$C, MATCH(B2205, 'nav master'!$B:$B, 0)), "")</f>
        <v>ULIF 078 31/12/24 MQI 110</v>
      </c>
      <c r="E2205" s="8">
        <v>8.9605999999999995</v>
      </c>
      <c r="F2205" s="9">
        <v>46231</v>
      </c>
    </row>
    <row r="2206" spans="1:6" ht="105" x14ac:dyDescent="0.25">
      <c r="A2206" s="8" t="s">
        <v>63</v>
      </c>
      <c r="B2206" s="8" t="s">
        <v>71</v>
      </c>
      <c r="C2206" s="8" t="str">
        <f>IFERROR(_xlfn.XLOOKUP(TRIM(B2206),Lookup!$B$2:$B$1000,Lookup!$C$2:$C$1000),"")</f>
        <v>Equity - Index (Multicap Momentum Quality)</v>
      </c>
      <c r="D2206" s="8" t="str">
        <f>IFERROR(INDEX('nav master'!$C:$C, MATCH(B2206, 'nav master'!$B:$B, 0)), "")</f>
        <v>ULIF 078 31/12/24 MQI 110</v>
      </c>
      <c r="E2206" s="8">
        <v>9.0035000000000007</v>
      </c>
      <c r="F2206" s="9">
        <v>46232</v>
      </c>
    </row>
    <row r="2207" spans="1:6" ht="105" x14ac:dyDescent="0.25">
      <c r="A2207" s="8" t="s">
        <v>63</v>
      </c>
      <c r="B2207" s="8" t="s">
        <v>71</v>
      </c>
      <c r="C2207" s="8" t="str">
        <f>IFERROR(_xlfn.XLOOKUP(TRIM(B2207),Lookup!$B$2:$B$1000,Lookup!$C$2:$C$1000),"")</f>
        <v>Equity - Index (Multicap Momentum Quality)</v>
      </c>
      <c r="D2207" s="8" t="str">
        <f>IFERROR(INDEX('nav master'!$C:$C, MATCH(B2207, 'nav master'!$B:$B, 0)), "")</f>
        <v>ULIF 078 31/12/24 MQI 110</v>
      </c>
      <c r="E2207" s="8">
        <v>8.9725999999999999</v>
      </c>
      <c r="F2207" s="9">
        <v>46233</v>
      </c>
    </row>
    <row r="2208" spans="1:6" ht="105" x14ac:dyDescent="0.25">
      <c r="A2208" s="8" t="s">
        <v>63</v>
      </c>
      <c r="B2208" s="8" t="s">
        <v>71</v>
      </c>
      <c r="C2208" s="8" t="str">
        <f>IFERROR(_xlfn.XLOOKUP(TRIM(B2208),Lookup!$B$2:$B$1000,Lookup!$C$2:$C$1000),"")</f>
        <v>Equity - Index (Multicap Momentum Quality)</v>
      </c>
      <c r="D2208" s="8" t="str">
        <f>IFERROR(INDEX('nav master'!$C:$C, MATCH(B2208, 'nav master'!$B:$B, 0)), "")</f>
        <v>ULIF 078 31/12/24 MQI 110</v>
      </c>
      <c r="E2208" s="8">
        <v>9.0586000000000002</v>
      </c>
      <c r="F2208" s="9">
        <v>46234</v>
      </c>
    </row>
    <row r="2209" spans="1:6" ht="60" x14ac:dyDescent="0.25">
      <c r="A2209" s="8" t="s">
        <v>63</v>
      </c>
      <c r="B2209" s="8" t="s">
        <v>38</v>
      </c>
      <c r="C2209" s="8" t="str">
        <f>IFERROR(_xlfn.XLOOKUP(TRIM(B2209),Lookup!$B$2:$B$1000,Lookup!$C$2:$C$1000),"")</f>
        <v>Equity</v>
      </c>
      <c r="D2209" s="8" t="str">
        <f>IFERROR(INDEX('nav master'!$C:$C, MATCH(B2209, 'nav master'!$B:$B, 0)), "")</f>
        <v>ULIF 160 290725 AlphaIndIF 105</v>
      </c>
      <c r="E2209" s="8">
        <v>8.6952999999999996</v>
      </c>
      <c r="F2209" s="9">
        <v>45869</v>
      </c>
    </row>
    <row r="2210" spans="1:6" ht="60" x14ac:dyDescent="0.25">
      <c r="A2210" s="8" t="s">
        <v>63</v>
      </c>
      <c r="B2210" s="8" t="s">
        <v>38</v>
      </c>
      <c r="C2210" s="8" t="str">
        <f>IFERROR(_xlfn.XLOOKUP(TRIM(B2210),Lookup!$B$2:$B$1000,Lookup!$C$2:$C$1000),"")</f>
        <v>Equity</v>
      </c>
      <c r="D2210" s="8" t="str">
        <f>IFERROR(INDEX('nav master'!$C:$C, MATCH(B2210, 'nav master'!$B:$B, 0)), "")</f>
        <v>ULIF 160 290725 AlphaIndIF 105</v>
      </c>
      <c r="E2210" s="8">
        <v>8.5853000000000002</v>
      </c>
      <c r="F2210" s="9">
        <v>45870</v>
      </c>
    </row>
    <row r="2211" spans="1:6" ht="60" x14ac:dyDescent="0.25">
      <c r="A2211" s="8" t="s">
        <v>63</v>
      </c>
      <c r="B2211" s="8" t="s">
        <v>38</v>
      </c>
      <c r="C2211" s="8" t="str">
        <f>IFERROR(_xlfn.XLOOKUP(TRIM(B2211),Lookup!$B$2:$B$1000,Lookup!$C$2:$C$1000),"")</f>
        <v>Equity</v>
      </c>
      <c r="D2211" s="8" t="str">
        <f>IFERROR(INDEX('nav master'!$C:$C, MATCH(B2211, 'nav master'!$B:$B, 0)), "")</f>
        <v>ULIF 160 290725 AlphaIndIF 105</v>
      </c>
      <c r="E2211" s="8">
        <v>8.6557999999999993</v>
      </c>
      <c r="F2211" s="9">
        <v>45873</v>
      </c>
    </row>
    <row r="2212" spans="1:6" ht="60" x14ac:dyDescent="0.25">
      <c r="A2212" s="8" t="s">
        <v>63</v>
      </c>
      <c r="B2212" s="8" t="s">
        <v>38</v>
      </c>
      <c r="C2212" s="8" t="str">
        <f>IFERROR(_xlfn.XLOOKUP(TRIM(B2212),Lookup!$B$2:$B$1000,Lookup!$C$2:$C$1000),"")</f>
        <v>Equity</v>
      </c>
      <c r="D2212" s="8" t="str">
        <f>IFERROR(INDEX('nav master'!$C:$C, MATCH(B2212, 'nav master'!$B:$B, 0)), "")</f>
        <v>ULIF 160 290725 AlphaIndIF 105</v>
      </c>
      <c r="E2212" s="8">
        <v>8.6242000000000001</v>
      </c>
      <c r="F2212" s="9">
        <v>45874</v>
      </c>
    </row>
    <row r="2213" spans="1:6" ht="60" x14ac:dyDescent="0.25">
      <c r="A2213" s="8" t="s">
        <v>63</v>
      </c>
      <c r="B2213" s="8" t="s">
        <v>38</v>
      </c>
      <c r="C2213" s="8" t="str">
        <f>IFERROR(_xlfn.XLOOKUP(TRIM(B2213),Lookup!$B$2:$B$1000,Lookup!$C$2:$C$1000),"")</f>
        <v>Equity</v>
      </c>
      <c r="D2213" s="8" t="str">
        <f>IFERROR(INDEX('nav master'!$C:$C, MATCH(B2213, 'nav master'!$B:$B, 0)), "")</f>
        <v>ULIF 160 290725 AlphaIndIF 105</v>
      </c>
      <c r="E2213" s="8">
        <v>8.4979999999999993</v>
      </c>
      <c r="F2213" s="9">
        <v>45875</v>
      </c>
    </row>
    <row r="2214" spans="1:6" ht="60" x14ac:dyDescent="0.25">
      <c r="A2214" s="8" t="s">
        <v>63</v>
      </c>
      <c r="B2214" s="8" t="s">
        <v>38</v>
      </c>
      <c r="C2214" s="8" t="str">
        <f>IFERROR(_xlfn.XLOOKUP(TRIM(B2214),Lookup!$B$2:$B$1000,Lookup!$C$2:$C$1000),"")</f>
        <v>Equity</v>
      </c>
      <c r="D2214" s="8" t="str">
        <f>IFERROR(INDEX('nav master'!$C:$C, MATCH(B2214, 'nav master'!$B:$B, 0)), "")</f>
        <v>ULIF 160 290725 AlphaIndIF 105</v>
      </c>
      <c r="E2214" s="8">
        <v>8.5353999999999992</v>
      </c>
      <c r="F2214" s="9">
        <v>45876</v>
      </c>
    </row>
    <row r="2215" spans="1:6" ht="60" x14ac:dyDescent="0.25">
      <c r="A2215" s="8" t="s">
        <v>63</v>
      </c>
      <c r="B2215" s="8" t="s">
        <v>38</v>
      </c>
      <c r="C2215" s="8" t="str">
        <f>IFERROR(_xlfn.XLOOKUP(TRIM(B2215),Lookup!$B$2:$B$1000,Lookup!$C$2:$C$1000),"")</f>
        <v>Equity</v>
      </c>
      <c r="D2215" s="8" t="str">
        <f>IFERROR(INDEX('nav master'!$C:$C, MATCH(B2215, 'nav master'!$B:$B, 0)), "")</f>
        <v>ULIF 160 290725 AlphaIndIF 105</v>
      </c>
      <c r="E2215" s="8">
        <v>8.2845999999999993</v>
      </c>
      <c r="F2215" s="9">
        <v>45877</v>
      </c>
    </row>
    <row r="2216" spans="1:6" ht="60" x14ac:dyDescent="0.25">
      <c r="A2216" s="8" t="s">
        <v>63</v>
      </c>
      <c r="B2216" s="8" t="s">
        <v>38</v>
      </c>
      <c r="C2216" s="8" t="str">
        <f>IFERROR(_xlfn.XLOOKUP(TRIM(B2216),Lookup!$B$2:$B$1000,Lookup!$C$2:$C$1000),"")</f>
        <v>Equity</v>
      </c>
      <c r="D2216" s="8" t="str">
        <f>IFERROR(INDEX('nav master'!$C:$C, MATCH(B2216, 'nav master'!$B:$B, 0)), "")</f>
        <v>ULIF 160 290725 AlphaIndIF 105</v>
      </c>
      <c r="E2216" s="8">
        <v>8.3420000000000005</v>
      </c>
      <c r="F2216" s="9">
        <v>45880</v>
      </c>
    </row>
    <row r="2217" spans="1:6" ht="60" x14ac:dyDescent="0.25">
      <c r="A2217" s="8" t="s">
        <v>63</v>
      </c>
      <c r="B2217" s="8" t="s">
        <v>38</v>
      </c>
      <c r="C2217" s="8" t="str">
        <f>IFERROR(_xlfn.XLOOKUP(TRIM(B2217),Lookup!$B$2:$B$1000,Lookup!$C$2:$C$1000),"")</f>
        <v>Equity</v>
      </c>
      <c r="D2217" s="8" t="str">
        <f>IFERROR(INDEX('nav master'!$C:$C, MATCH(B2217, 'nav master'!$B:$B, 0)), "")</f>
        <v>ULIF 160 290725 AlphaIndIF 105</v>
      </c>
      <c r="E2217" s="8">
        <v>8.3173999999999992</v>
      </c>
      <c r="F2217" s="9">
        <v>45881</v>
      </c>
    </row>
    <row r="2218" spans="1:6" ht="60" x14ac:dyDescent="0.25">
      <c r="A2218" s="8" t="s">
        <v>63</v>
      </c>
      <c r="B2218" s="8" t="s">
        <v>38</v>
      </c>
      <c r="C2218" s="8" t="str">
        <f>IFERROR(_xlfn.XLOOKUP(TRIM(B2218),Lookup!$B$2:$B$1000,Lookup!$C$2:$C$1000),"")</f>
        <v>Equity</v>
      </c>
      <c r="D2218" s="8" t="str">
        <f>IFERROR(INDEX('nav master'!$C:$C, MATCH(B2218, 'nav master'!$B:$B, 0)), "")</f>
        <v>ULIF 160 290725 AlphaIndIF 105</v>
      </c>
      <c r="E2218" s="8">
        <v>8.3879999999999999</v>
      </c>
      <c r="F2218" s="9">
        <v>45882</v>
      </c>
    </row>
    <row r="2219" spans="1:6" ht="60" x14ac:dyDescent="0.25">
      <c r="A2219" s="8" t="s">
        <v>63</v>
      </c>
      <c r="B2219" s="8" t="s">
        <v>38</v>
      </c>
      <c r="C2219" s="8" t="str">
        <f>IFERROR(_xlfn.XLOOKUP(TRIM(B2219),Lookup!$B$2:$B$1000,Lookup!$C$2:$C$1000),"")</f>
        <v>Equity</v>
      </c>
      <c r="D2219" s="8" t="str">
        <f>IFERROR(INDEX('nav master'!$C:$C, MATCH(B2219, 'nav master'!$B:$B, 0)), "")</f>
        <v>ULIF 160 290725 AlphaIndIF 105</v>
      </c>
      <c r="E2219" s="8">
        <v>8.3940000000000001</v>
      </c>
      <c r="F2219" s="9">
        <v>45883</v>
      </c>
    </row>
    <row r="2220" spans="1:6" ht="60" x14ac:dyDescent="0.25">
      <c r="A2220" s="8" t="s">
        <v>63</v>
      </c>
      <c r="B2220" s="8" t="s">
        <v>38</v>
      </c>
      <c r="C2220" s="8" t="str">
        <f>IFERROR(_xlfn.XLOOKUP(TRIM(B2220),Lookup!$B$2:$B$1000,Lookup!$C$2:$C$1000),"")</f>
        <v>Equity</v>
      </c>
      <c r="D2220" s="8" t="str">
        <f>IFERROR(INDEX('nav master'!$C:$C, MATCH(B2220, 'nav master'!$B:$B, 0)), "")</f>
        <v>ULIF 160 290725 AlphaIndIF 105</v>
      </c>
      <c r="E2220" s="8">
        <v>8.4832999999999998</v>
      </c>
      <c r="F2220" s="9">
        <v>45887</v>
      </c>
    </row>
    <row r="2221" spans="1:6" ht="60" x14ac:dyDescent="0.25">
      <c r="A2221" s="8" t="s">
        <v>63</v>
      </c>
      <c r="B2221" s="8" t="s">
        <v>38</v>
      </c>
      <c r="C2221" s="8" t="str">
        <f>IFERROR(_xlfn.XLOOKUP(TRIM(B2221),Lookup!$B$2:$B$1000,Lookup!$C$2:$C$1000),"")</f>
        <v>Equity</v>
      </c>
      <c r="D2221" s="8" t="str">
        <f>IFERROR(INDEX('nav master'!$C:$C, MATCH(B2221, 'nav master'!$B:$B, 0)), "")</f>
        <v>ULIF 160 290725 AlphaIndIF 105</v>
      </c>
      <c r="E2221" s="8">
        <v>8.5449000000000002</v>
      </c>
      <c r="F2221" s="9">
        <v>45888</v>
      </c>
    </row>
    <row r="2222" spans="1:6" ht="60" x14ac:dyDescent="0.25">
      <c r="A2222" s="8" t="s">
        <v>63</v>
      </c>
      <c r="B2222" s="8" t="s">
        <v>38</v>
      </c>
      <c r="C2222" s="8" t="str">
        <f>IFERROR(_xlfn.XLOOKUP(TRIM(B2222),Lookup!$B$2:$B$1000,Lookup!$C$2:$C$1000),"")</f>
        <v>Equity</v>
      </c>
      <c r="D2222" s="8" t="str">
        <f>IFERROR(INDEX('nav master'!$C:$C, MATCH(B2222, 'nav master'!$B:$B, 0)), "")</f>
        <v>ULIF 160 290725 AlphaIndIF 105</v>
      </c>
      <c r="E2222" s="8">
        <v>8.5786999999999995</v>
      </c>
      <c r="F2222" s="9">
        <v>45889</v>
      </c>
    </row>
    <row r="2223" spans="1:6" ht="60" x14ac:dyDescent="0.25">
      <c r="A2223" s="8" t="s">
        <v>63</v>
      </c>
      <c r="B2223" s="8" t="s">
        <v>38</v>
      </c>
      <c r="C2223" s="8" t="str">
        <f>IFERROR(_xlfn.XLOOKUP(TRIM(B2223),Lookup!$B$2:$B$1000,Lookup!$C$2:$C$1000),"")</f>
        <v>Equity</v>
      </c>
      <c r="D2223" s="8" t="str">
        <f>IFERROR(INDEX('nav master'!$C:$C, MATCH(B2223, 'nav master'!$B:$B, 0)), "")</f>
        <v>ULIF 160 290725 AlphaIndIF 105</v>
      </c>
      <c r="E2223" s="8">
        <v>8.5599000000000007</v>
      </c>
      <c r="F2223" s="9">
        <v>45890</v>
      </c>
    </row>
    <row r="2224" spans="1:6" ht="60" x14ac:dyDescent="0.25">
      <c r="A2224" s="8" t="s">
        <v>63</v>
      </c>
      <c r="B2224" s="8" t="s">
        <v>38</v>
      </c>
      <c r="C2224" s="8" t="str">
        <f>IFERROR(_xlfn.XLOOKUP(TRIM(B2224),Lookup!$B$2:$B$1000,Lookup!$C$2:$C$1000),"")</f>
        <v>Equity</v>
      </c>
      <c r="D2224" s="8" t="str">
        <f>IFERROR(INDEX('nav master'!$C:$C, MATCH(B2224, 'nav master'!$B:$B, 0)), "")</f>
        <v>ULIF 160 290725 AlphaIndIF 105</v>
      </c>
      <c r="E2224" s="8">
        <v>8.5614000000000008</v>
      </c>
      <c r="F2224" s="9">
        <v>45891</v>
      </c>
    </row>
    <row r="2225" spans="1:6" ht="60" x14ac:dyDescent="0.25">
      <c r="A2225" s="8" t="s">
        <v>63</v>
      </c>
      <c r="B2225" s="8" t="s">
        <v>38</v>
      </c>
      <c r="C2225" s="8" t="str">
        <f>IFERROR(_xlfn.XLOOKUP(TRIM(B2225),Lookup!$B$2:$B$1000,Lookup!$C$2:$C$1000),"")</f>
        <v>Equity</v>
      </c>
      <c r="D2225" s="8" t="str">
        <f>IFERROR(INDEX('nav master'!$C:$C, MATCH(B2225, 'nav master'!$B:$B, 0)), "")</f>
        <v>ULIF 160 290725 AlphaIndIF 105</v>
      </c>
      <c r="E2225" s="8">
        <v>8.5576000000000008</v>
      </c>
      <c r="F2225" s="9">
        <v>45894</v>
      </c>
    </row>
    <row r="2226" spans="1:6" ht="60" x14ac:dyDescent="0.25">
      <c r="A2226" s="8" t="s">
        <v>63</v>
      </c>
      <c r="B2226" s="8" t="s">
        <v>38</v>
      </c>
      <c r="C2226" s="8" t="str">
        <f>IFERROR(_xlfn.XLOOKUP(TRIM(B2226),Lookup!$B$2:$B$1000,Lookup!$C$2:$C$1000),"")</f>
        <v>Equity</v>
      </c>
      <c r="D2226" s="8" t="str">
        <f>IFERROR(INDEX('nav master'!$C:$C, MATCH(B2226, 'nav master'!$B:$B, 0)), "")</f>
        <v>ULIF 160 290725 AlphaIndIF 105</v>
      </c>
      <c r="E2226" s="8">
        <v>8.3798999999999992</v>
      </c>
      <c r="F2226" s="9">
        <v>45895</v>
      </c>
    </row>
    <row r="2227" spans="1:6" ht="60" x14ac:dyDescent="0.25">
      <c r="A2227" s="8" t="s">
        <v>63</v>
      </c>
      <c r="B2227" s="8" t="s">
        <v>38</v>
      </c>
      <c r="C2227" s="8" t="str">
        <f>IFERROR(_xlfn.XLOOKUP(TRIM(B2227),Lookup!$B$2:$B$1000,Lookup!$C$2:$C$1000),"")</f>
        <v>Equity</v>
      </c>
      <c r="D2227" s="8" t="str">
        <f>IFERROR(INDEX('nav master'!$C:$C, MATCH(B2227, 'nav master'!$B:$B, 0)), "")</f>
        <v>ULIF 160 290725 AlphaIndIF 105</v>
      </c>
      <c r="E2227" s="8">
        <v>8.2647999999999993</v>
      </c>
      <c r="F2227" s="9">
        <v>45897</v>
      </c>
    </row>
    <row r="2228" spans="1:6" ht="60" x14ac:dyDescent="0.25">
      <c r="A2228" s="8" t="s">
        <v>63</v>
      </c>
      <c r="B2228" s="8" t="s">
        <v>38</v>
      </c>
      <c r="C2228" s="8" t="str">
        <f>IFERROR(_xlfn.XLOOKUP(TRIM(B2228),Lookup!$B$2:$B$1000,Lookup!$C$2:$C$1000),"")</f>
        <v>Equity</v>
      </c>
      <c r="D2228" s="8" t="str">
        <f>IFERROR(INDEX('nav master'!$C:$C, MATCH(B2228, 'nav master'!$B:$B, 0)), "")</f>
        <v>ULIF 160 290725 AlphaIndIF 105</v>
      </c>
      <c r="E2228" s="8">
        <v>8.1989000000000001</v>
      </c>
      <c r="F2228" s="9">
        <v>45898</v>
      </c>
    </row>
    <row r="2229" spans="1:6" ht="60" x14ac:dyDescent="0.25">
      <c r="A2229" s="8" t="s">
        <v>63</v>
      </c>
      <c r="B2229" s="8" t="s">
        <v>38</v>
      </c>
      <c r="C2229" s="8" t="str">
        <f>IFERROR(_xlfn.XLOOKUP(TRIM(B2229),Lookup!$B$2:$B$1000,Lookup!$C$2:$C$1000),"")</f>
        <v>Equity</v>
      </c>
      <c r="D2229" s="8" t="str">
        <f>IFERROR(INDEX('nav master'!$C:$C, MATCH(B2229, 'nav master'!$B:$B, 0)), "")</f>
        <v>ULIF 160 290725 AlphaIndIF 105</v>
      </c>
      <c r="E2229" s="8">
        <v>8.3745999999999992</v>
      </c>
      <c r="F2229" s="9">
        <v>45901</v>
      </c>
    </row>
    <row r="2230" spans="1:6" ht="60" x14ac:dyDescent="0.25">
      <c r="A2230" s="8" t="s">
        <v>63</v>
      </c>
      <c r="B2230" s="8" t="s">
        <v>38</v>
      </c>
      <c r="C2230" s="8" t="str">
        <f>IFERROR(_xlfn.XLOOKUP(TRIM(B2230),Lookup!$B$2:$B$1000,Lookup!$C$2:$C$1000),"")</f>
        <v>Equity</v>
      </c>
      <c r="D2230" s="8" t="str">
        <f>IFERROR(INDEX('nav master'!$C:$C, MATCH(B2230, 'nav master'!$B:$B, 0)), "")</f>
        <v>ULIF 160 290725 AlphaIndIF 105</v>
      </c>
      <c r="E2230" s="8">
        <v>8.3975000000000009</v>
      </c>
      <c r="F2230" s="9">
        <v>45902</v>
      </c>
    </row>
    <row r="2231" spans="1:6" ht="60" x14ac:dyDescent="0.25">
      <c r="A2231" s="8" t="s">
        <v>63</v>
      </c>
      <c r="B2231" s="8" t="s">
        <v>38</v>
      </c>
      <c r="C2231" s="8" t="str">
        <f>IFERROR(_xlfn.XLOOKUP(TRIM(B2231),Lookup!$B$2:$B$1000,Lookup!$C$2:$C$1000),"")</f>
        <v>Equity</v>
      </c>
      <c r="D2231" s="8" t="str">
        <f>IFERROR(INDEX('nav master'!$C:$C, MATCH(B2231, 'nav master'!$B:$B, 0)), "")</f>
        <v>ULIF 160 290725 AlphaIndIF 105</v>
      </c>
      <c r="E2231" s="8">
        <v>8.5012000000000008</v>
      </c>
      <c r="F2231" s="9">
        <v>45903</v>
      </c>
    </row>
    <row r="2232" spans="1:6" ht="60" x14ac:dyDescent="0.25">
      <c r="A2232" s="8" t="s">
        <v>63</v>
      </c>
      <c r="B2232" s="8" t="s">
        <v>38</v>
      </c>
      <c r="C2232" s="8" t="str">
        <f>IFERROR(_xlfn.XLOOKUP(TRIM(B2232),Lookup!$B$2:$B$1000,Lookup!$C$2:$C$1000),"")</f>
        <v>Equity</v>
      </c>
      <c r="D2232" s="8" t="str">
        <f>IFERROR(INDEX('nav master'!$C:$C, MATCH(B2232, 'nav master'!$B:$B, 0)), "")</f>
        <v>ULIF 160 290725 AlphaIndIF 105</v>
      </c>
      <c r="E2232" s="8">
        <v>8.4149999999999991</v>
      </c>
      <c r="F2232" s="9">
        <v>45904</v>
      </c>
    </row>
    <row r="2233" spans="1:6" ht="60" x14ac:dyDescent="0.25">
      <c r="A2233" s="8" t="s">
        <v>63</v>
      </c>
      <c r="B2233" s="8" t="s">
        <v>38</v>
      </c>
      <c r="C2233" s="8" t="str">
        <f>IFERROR(_xlfn.XLOOKUP(TRIM(B2233),Lookup!$B$2:$B$1000,Lookup!$C$2:$C$1000),"")</f>
        <v>Equity</v>
      </c>
      <c r="D2233" s="8" t="str">
        <f>IFERROR(INDEX('nav master'!$C:$C, MATCH(B2233, 'nav master'!$B:$B, 0)), "")</f>
        <v>ULIF 160 290725 AlphaIndIF 105</v>
      </c>
      <c r="E2233" s="8">
        <v>8.4253</v>
      </c>
      <c r="F2233" s="9">
        <v>45905</v>
      </c>
    </row>
    <row r="2234" spans="1:6" ht="60" x14ac:dyDescent="0.25">
      <c r="A2234" s="8" t="s">
        <v>63</v>
      </c>
      <c r="B2234" s="8" t="s">
        <v>38</v>
      </c>
      <c r="C2234" s="8" t="str">
        <f>IFERROR(_xlfn.XLOOKUP(TRIM(B2234),Lookup!$B$2:$B$1000,Lookup!$C$2:$C$1000),"")</f>
        <v>Equity</v>
      </c>
      <c r="D2234" s="8" t="str">
        <f>IFERROR(INDEX('nav master'!$C:$C, MATCH(B2234, 'nav master'!$B:$B, 0)), "")</f>
        <v>ULIF 160 290725 AlphaIndIF 105</v>
      </c>
      <c r="E2234" s="8">
        <v>8.4266000000000005</v>
      </c>
      <c r="F2234" s="9">
        <v>45908</v>
      </c>
    </row>
    <row r="2235" spans="1:6" ht="60" x14ac:dyDescent="0.25">
      <c r="A2235" s="8" t="s">
        <v>63</v>
      </c>
      <c r="B2235" s="8" t="s">
        <v>38</v>
      </c>
      <c r="C2235" s="8" t="str">
        <f>IFERROR(_xlfn.XLOOKUP(TRIM(B2235),Lookup!$B$2:$B$1000,Lookup!$C$2:$C$1000),"")</f>
        <v>Equity</v>
      </c>
      <c r="D2235" s="8" t="str">
        <f>IFERROR(INDEX('nav master'!$C:$C, MATCH(B2235, 'nav master'!$B:$B, 0)), "")</f>
        <v>ULIF 160 290725 AlphaIndIF 105</v>
      </c>
      <c r="E2235" s="8">
        <v>8.4521999999999995</v>
      </c>
      <c r="F2235" s="9">
        <v>45909</v>
      </c>
    </row>
    <row r="2236" spans="1:6" ht="60" x14ac:dyDescent="0.25">
      <c r="A2236" s="8" t="s">
        <v>63</v>
      </c>
      <c r="B2236" s="8" t="s">
        <v>38</v>
      </c>
      <c r="C2236" s="8" t="str">
        <f>IFERROR(_xlfn.XLOOKUP(TRIM(B2236),Lookup!$B$2:$B$1000,Lookup!$C$2:$C$1000),"")</f>
        <v>Equity</v>
      </c>
      <c r="D2236" s="8" t="str">
        <f>IFERROR(INDEX('nav master'!$C:$C, MATCH(B2236, 'nav master'!$B:$B, 0)), "")</f>
        <v>ULIF 160 290725 AlphaIndIF 105</v>
      </c>
      <c r="E2236" s="8">
        <v>8.5282999999999998</v>
      </c>
      <c r="F2236" s="9">
        <v>45910</v>
      </c>
    </row>
    <row r="2237" spans="1:6" ht="60" x14ac:dyDescent="0.25">
      <c r="A2237" s="8" t="s">
        <v>63</v>
      </c>
      <c r="B2237" s="8" t="s">
        <v>38</v>
      </c>
      <c r="C2237" s="8" t="str">
        <f>IFERROR(_xlfn.XLOOKUP(TRIM(B2237),Lookup!$B$2:$B$1000,Lookup!$C$2:$C$1000),"")</f>
        <v>Equity</v>
      </c>
      <c r="D2237" s="8" t="str">
        <f>IFERROR(INDEX('nav master'!$C:$C, MATCH(B2237, 'nav master'!$B:$B, 0)), "")</f>
        <v>ULIF 160 290725 AlphaIndIF 105</v>
      </c>
      <c r="E2237" s="8">
        <v>8.4991000000000003</v>
      </c>
      <c r="F2237" s="9">
        <v>45911</v>
      </c>
    </row>
    <row r="2238" spans="1:6" ht="60" x14ac:dyDescent="0.25">
      <c r="A2238" s="8" t="s">
        <v>63</v>
      </c>
      <c r="B2238" s="8" t="s">
        <v>38</v>
      </c>
      <c r="C2238" s="8" t="str">
        <f>IFERROR(_xlfn.XLOOKUP(TRIM(B2238),Lookup!$B$2:$B$1000,Lookup!$C$2:$C$1000),"")</f>
        <v>Equity</v>
      </c>
      <c r="D2238" s="8" t="str">
        <f>IFERROR(INDEX('nav master'!$C:$C, MATCH(B2238, 'nav master'!$B:$B, 0)), "")</f>
        <v>ULIF 160 290725 AlphaIndIF 105</v>
      </c>
      <c r="E2238" s="8">
        <v>8.5536999999999992</v>
      </c>
      <c r="F2238" s="9">
        <v>45912</v>
      </c>
    </row>
    <row r="2239" spans="1:6" ht="60" x14ac:dyDescent="0.25">
      <c r="A2239" s="8" t="s">
        <v>63</v>
      </c>
      <c r="B2239" s="8" t="s">
        <v>38</v>
      </c>
      <c r="C2239" s="8" t="str">
        <f>IFERROR(_xlfn.XLOOKUP(TRIM(B2239),Lookup!$B$2:$B$1000,Lookup!$C$2:$C$1000),"")</f>
        <v>Equity</v>
      </c>
      <c r="D2239" s="8" t="str">
        <f>IFERROR(INDEX('nav master'!$C:$C, MATCH(B2239, 'nav master'!$B:$B, 0)), "")</f>
        <v>ULIF 160 290725 AlphaIndIF 105</v>
      </c>
      <c r="E2239" s="8">
        <v>8.5772999999999993</v>
      </c>
      <c r="F2239" s="9">
        <v>45915</v>
      </c>
    </row>
    <row r="2240" spans="1:6" ht="60" x14ac:dyDescent="0.25">
      <c r="A2240" s="8" t="s">
        <v>63</v>
      </c>
      <c r="B2240" s="8" t="s">
        <v>38</v>
      </c>
      <c r="C2240" s="8" t="str">
        <f>IFERROR(_xlfn.XLOOKUP(TRIM(B2240),Lookup!$B$2:$B$1000,Lookup!$C$2:$C$1000),"")</f>
        <v>Equity</v>
      </c>
      <c r="D2240" s="8" t="str">
        <f>IFERROR(INDEX('nav master'!$C:$C, MATCH(B2240, 'nav master'!$B:$B, 0)), "")</f>
        <v>ULIF 160 290725 AlphaIndIF 105</v>
      </c>
      <c r="E2240" s="8">
        <v>8.6211000000000002</v>
      </c>
      <c r="F2240" s="9">
        <v>45916</v>
      </c>
    </row>
    <row r="2241" spans="1:6" ht="60" x14ac:dyDescent="0.25">
      <c r="A2241" s="8" t="s">
        <v>63</v>
      </c>
      <c r="B2241" s="8" t="s">
        <v>38</v>
      </c>
      <c r="C2241" s="8" t="str">
        <f>IFERROR(_xlfn.XLOOKUP(TRIM(B2241),Lookup!$B$2:$B$1000,Lookup!$C$2:$C$1000),"")</f>
        <v>Equity</v>
      </c>
      <c r="D2241" s="8" t="str">
        <f>IFERROR(INDEX('nav master'!$C:$C, MATCH(B2241, 'nav master'!$B:$B, 0)), "")</f>
        <v>ULIF 160 290725 AlphaIndIF 105</v>
      </c>
      <c r="E2241" s="8">
        <v>8.6681000000000008</v>
      </c>
      <c r="F2241" s="9">
        <v>45917</v>
      </c>
    </row>
    <row r="2242" spans="1:6" ht="60" x14ac:dyDescent="0.25">
      <c r="A2242" s="8" t="s">
        <v>63</v>
      </c>
      <c r="B2242" s="8" t="s">
        <v>38</v>
      </c>
      <c r="C2242" s="8" t="str">
        <f>IFERROR(_xlfn.XLOOKUP(TRIM(B2242),Lookup!$B$2:$B$1000,Lookup!$C$2:$C$1000),"")</f>
        <v>Equity</v>
      </c>
      <c r="D2242" s="8" t="str">
        <f>IFERROR(INDEX('nav master'!$C:$C, MATCH(B2242, 'nav master'!$B:$B, 0)), "")</f>
        <v>ULIF 160 290725 AlphaIndIF 105</v>
      </c>
      <c r="E2242" s="8">
        <v>8.6723999999999997</v>
      </c>
      <c r="F2242" s="9">
        <v>45918</v>
      </c>
    </row>
    <row r="2243" spans="1:6" ht="60" x14ac:dyDescent="0.25">
      <c r="A2243" s="8" t="s">
        <v>63</v>
      </c>
      <c r="B2243" s="8" t="s">
        <v>38</v>
      </c>
      <c r="C2243" s="8" t="str">
        <f>IFERROR(_xlfn.XLOOKUP(TRIM(B2243),Lookup!$B$2:$B$1000,Lookup!$C$2:$C$1000),"")</f>
        <v>Equity</v>
      </c>
      <c r="D2243" s="8" t="str">
        <f>IFERROR(INDEX('nav master'!$C:$C, MATCH(B2243, 'nav master'!$B:$B, 0)), "")</f>
        <v>ULIF 160 290725 AlphaIndIF 105</v>
      </c>
      <c r="E2243" s="8">
        <v>8.6410999999999998</v>
      </c>
      <c r="F2243" s="9">
        <v>45919</v>
      </c>
    </row>
    <row r="2244" spans="1:6" ht="60" x14ac:dyDescent="0.25">
      <c r="A2244" s="8" t="s">
        <v>63</v>
      </c>
      <c r="B2244" s="8" t="s">
        <v>38</v>
      </c>
      <c r="C2244" s="8" t="str">
        <f>IFERROR(_xlfn.XLOOKUP(TRIM(B2244),Lookup!$B$2:$B$1000,Lookup!$C$2:$C$1000),"")</f>
        <v>Equity</v>
      </c>
      <c r="D2244" s="8" t="str">
        <f>IFERROR(INDEX('nav master'!$C:$C, MATCH(B2244, 'nav master'!$B:$B, 0)), "")</f>
        <v>ULIF 160 290725 AlphaIndIF 105</v>
      </c>
      <c r="E2244" s="8">
        <v>8.5808999999999997</v>
      </c>
      <c r="F2244" s="9">
        <v>45922</v>
      </c>
    </row>
    <row r="2245" spans="1:6" ht="60" x14ac:dyDescent="0.25">
      <c r="A2245" s="8" t="s">
        <v>63</v>
      </c>
      <c r="B2245" s="8" t="s">
        <v>38</v>
      </c>
      <c r="C2245" s="8" t="str">
        <f>IFERROR(_xlfn.XLOOKUP(TRIM(B2245),Lookup!$B$2:$B$1000,Lookup!$C$2:$C$1000),"")</f>
        <v>Equity</v>
      </c>
      <c r="D2245" s="8" t="str">
        <f>IFERROR(INDEX('nav master'!$C:$C, MATCH(B2245, 'nav master'!$B:$B, 0)), "")</f>
        <v>ULIF 160 290725 AlphaIndIF 105</v>
      </c>
      <c r="E2245" s="8">
        <v>8.5390999999999995</v>
      </c>
      <c r="F2245" s="9">
        <v>45923</v>
      </c>
    </row>
    <row r="2246" spans="1:6" ht="60" x14ac:dyDescent="0.25">
      <c r="A2246" s="8" t="s">
        <v>63</v>
      </c>
      <c r="B2246" s="8" t="s">
        <v>38</v>
      </c>
      <c r="C2246" s="8" t="str">
        <f>IFERROR(_xlfn.XLOOKUP(TRIM(B2246),Lookup!$B$2:$B$1000,Lookup!$C$2:$C$1000),"")</f>
        <v>Equity</v>
      </c>
      <c r="D2246" s="8" t="str">
        <f>IFERROR(INDEX('nav master'!$C:$C, MATCH(B2246, 'nav master'!$B:$B, 0)), "")</f>
        <v>ULIF 160 290725 AlphaIndIF 105</v>
      </c>
      <c r="E2246" s="8">
        <v>8.4621999999999993</v>
      </c>
      <c r="F2246" s="9">
        <v>45924</v>
      </c>
    </row>
    <row r="2247" spans="1:6" ht="60" x14ac:dyDescent="0.25">
      <c r="A2247" s="8" t="s">
        <v>63</v>
      </c>
      <c r="B2247" s="8" t="s">
        <v>38</v>
      </c>
      <c r="C2247" s="8" t="str">
        <f>IFERROR(_xlfn.XLOOKUP(TRIM(B2247),Lookup!$B$2:$B$1000,Lookup!$C$2:$C$1000),"")</f>
        <v>Equity</v>
      </c>
      <c r="D2247" s="8" t="str">
        <f>IFERROR(INDEX('nav master'!$C:$C, MATCH(B2247, 'nav master'!$B:$B, 0)), "")</f>
        <v>ULIF 160 290725 AlphaIndIF 105</v>
      </c>
      <c r="E2247" s="8">
        <v>8.4053000000000004</v>
      </c>
      <c r="F2247" s="9">
        <v>45925</v>
      </c>
    </row>
    <row r="2248" spans="1:6" ht="60" x14ac:dyDescent="0.25">
      <c r="A2248" s="8" t="s">
        <v>63</v>
      </c>
      <c r="B2248" s="8" t="s">
        <v>38</v>
      </c>
      <c r="C2248" s="8" t="str">
        <f>IFERROR(_xlfn.XLOOKUP(TRIM(B2248),Lookup!$B$2:$B$1000,Lookup!$C$2:$C$1000),"")</f>
        <v>Equity</v>
      </c>
      <c r="D2248" s="8" t="str">
        <f>IFERROR(INDEX('nav master'!$C:$C, MATCH(B2248, 'nav master'!$B:$B, 0)), "")</f>
        <v>ULIF 160 290725 AlphaIndIF 105</v>
      </c>
      <c r="E2248" s="8">
        <v>8.2162000000000006</v>
      </c>
      <c r="F2248" s="9">
        <v>45926</v>
      </c>
    </row>
    <row r="2249" spans="1:6" ht="60" x14ac:dyDescent="0.25">
      <c r="A2249" s="8" t="s">
        <v>63</v>
      </c>
      <c r="B2249" s="8" t="s">
        <v>38</v>
      </c>
      <c r="C2249" s="8" t="str">
        <f>IFERROR(_xlfn.XLOOKUP(TRIM(B2249),Lookup!$B$2:$B$1000,Lookup!$C$2:$C$1000),"")</f>
        <v>Equity</v>
      </c>
      <c r="D2249" s="8" t="str">
        <f>IFERROR(INDEX('nav master'!$C:$C, MATCH(B2249, 'nav master'!$B:$B, 0)), "")</f>
        <v>ULIF 160 290725 AlphaIndIF 105</v>
      </c>
      <c r="E2249" s="8">
        <v>8.2075999999999993</v>
      </c>
      <c r="F2249" s="9">
        <v>45929</v>
      </c>
    </row>
    <row r="2250" spans="1:6" ht="60" x14ac:dyDescent="0.25">
      <c r="A2250" s="8" t="s">
        <v>63</v>
      </c>
      <c r="B2250" s="8" t="s">
        <v>38</v>
      </c>
      <c r="C2250" s="8" t="str">
        <f>IFERROR(_xlfn.XLOOKUP(TRIM(B2250),Lookup!$B$2:$B$1000,Lookup!$C$2:$C$1000),"")</f>
        <v>Equity</v>
      </c>
      <c r="D2250" s="8" t="str">
        <f>IFERROR(INDEX('nav master'!$C:$C, MATCH(B2250, 'nav master'!$B:$B, 0)), "")</f>
        <v>ULIF 160 290725 AlphaIndIF 105</v>
      </c>
      <c r="E2250" s="8">
        <v>8.1357999999999997</v>
      </c>
      <c r="F2250" s="9">
        <v>45930</v>
      </c>
    </row>
    <row r="2251" spans="1:6" ht="60" x14ac:dyDescent="0.25">
      <c r="A2251" s="8" t="s">
        <v>63</v>
      </c>
      <c r="B2251" s="8" t="s">
        <v>38</v>
      </c>
      <c r="C2251" s="8" t="str">
        <f>IFERROR(_xlfn.XLOOKUP(TRIM(B2251),Lookup!$B$2:$B$1000,Lookup!$C$2:$C$1000),"")</f>
        <v>Equity</v>
      </c>
      <c r="D2251" s="8" t="str">
        <f>IFERROR(INDEX('nav master'!$C:$C, MATCH(B2251, 'nav master'!$B:$B, 0)), "")</f>
        <v>ULIF 160 290725 AlphaIndIF 105</v>
      </c>
      <c r="E2251" s="8">
        <v>8.2274999999999991</v>
      </c>
      <c r="F2251" s="9">
        <v>45931</v>
      </c>
    </row>
    <row r="2252" spans="1:6" ht="60" x14ac:dyDescent="0.25">
      <c r="A2252" s="8" t="s">
        <v>63</v>
      </c>
      <c r="B2252" s="8" t="s">
        <v>38</v>
      </c>
      <c r="C2252" s="8" t="str">
        <f>IFERROR(_xlfn.XLOOKUP(TRIM(B2252),Lookup!$B$2:$B$1000,Lookup!$C$2:$C$1000),"")</f>
        <v>Equity</v>
      </c>
      <c r="D2252" s="8" t="str">
        <f>IFERROR(INDEX('nav master'!$C:$C, MATCH(B2252, 'nav master'!$B:$B, 0)), "")</f>
        <v>ULIF 160 290725 AlphaIndIF 105</v>
      </c>
      <c r="E2252" s="8">
        <v>8.2721999999999998</v>
      </c>
      <c r="F2252" s="9">
        <v>45933</v>
      </c>
    </row>
    <row r="2253" spans="1:6" ht="60" x14ac:dyDescent="0.25">
      <c r="A2253" s="8" t="s">
        <v>63</v>
      </c>
      <c r="B2253" s="8" t="s">
        <v>38</v>
      </c>
      <c r="C2253" s="8" t="str">
        <f>IFERROR(_xlfn.XLOOKUP(TRIM(B2253),Lookup!$B$2:$B$1000,Lookup!$C$2:$C$1000),"")</f>
        <v>Equity</v>
      </c>
      <c r="D2253" s="8" t="str">
        <f>IFERROR(INDEX('nav master'!$C:$C, MATCH(B2253, 'nav master'!$B:$B, 0)), "")</f>
        <v>ULIF 160 290725 AlphaIndIF 105</v>
      </c>
      <c r="E2253" s="8">
        <v>8.3793000000000006</v>
      </c>
      <c r="F2253" s="9">
        <v>45936</v>
      </c>
    </row>
    <row r="2254" spans="1:6" ht="60" x14ac:dyDescent="0.25">
      <c r="A2254" s="8" t="s">
        <v>63</v>
      </c>
      <c r="B2254" s="8" t="s">
        <v>38</v>
      </c>
      <c r="C2254" s="8" t="str">
        <f>IFERROR(_xlfn.XLOOKUP(TRIM(B2254),Lookup!$B$2:$B$1000,Lookup!$C$2:$C$1000),"")</f>
        <v>Equity</v>
      </c>
      <c r="D2254" s="8" t="str">
        <f>IFERROR(INDEX('nav master'!$C:$C, MATCH(B2254, 'nav master'!$B:$B, 0)), "")</f>
        <v>ULIF 160 290725 AlphaIndIF 105</v>
      </c>
      <c r="E2254" s="8">
        <v>8.3801000000000005</v>
      </c>
      <c r="F2254" s="9">
        <v>45937</v>
      </c>
    </row>
    <row r="2255" spans="1:6" ht="60" x14ac:dyDescent="0.25">
      <c r="A2255" s="8" t="s">
        <v>63</v>
      </c>
      <c r="B2255" s="8" t="s">
        <v>38</v>
      </c>
      <c r="C2255" s="8" t="str">
        <f>IFERROR(_xlfn.XLOOKUP(TRIM(B2255),Lookup!$B$2:$B$1000,Lookup!$C$2:$C$1000),"")</f>
        <v>Equity</v>
      </c>
      <c r="D2255" s="8" t="str">
        <f>IFERROR(INDEX('nav master'!$C:$C, MATCH(B2255, 'nav master'!$B:$B, 0)), "")</f>
        <v>ULIF 160 290725 AlphaIndIF 105</v>
      </c>
      <c r="E2255" s="8">
        <v>8.3290000000000006</v>
      </c>
      <c r="F2255" s="9">
        <v>45938</v>
      </c>
    </row>
    <row r="2256" spans="1:6" ht="60" x14ac:dyDescent="0.25">
      <c r="A2256" s="8" t="s">
        <v>63</v>
      </c>
      <c r="B2256" s="8" t="s">
        <v>38</v>
      </c>
      <c r="C2256" s="8" t="str">
        <f>IFERROR(_xlfn.XLOOKUP(TRIM(B2256),Lookup!$B$2:$B$1000,Lookup!$C$2:$C$1000),"")</f>
        <v>Equity</v>
      </c>
      <c r="D2256" s="8" t="str">
        <f>IFERROR(INDEX('nav master'!$C:$C, MATCH(B2256, 'nav master'!$B:$B, 0)), "")</f>
        <v>ULIF 160 290725 AlphaIndIF 105</v>
      </c>
      <c r="E2256" s="8">
        <v>8.4070999999999998</v>
      </c>
      <c r="F2256" s="9">
        <v>45939</v>
      </c>
    </row>
    <row r="2257" spans="1:6" ht="60" x14ac:dyDescent="0.25">
      <c r="A2257" s="8" t="s">
        <v>63</v>
      </c>
      <c r="B2257" s="8" t="s">
        <v>38</v>
      </c>
      <c r="C2257" s="8" t="str">
        <f>IFERROR(_xlfn.XLOOKUP(TRIM(B2257),Lookup!$B$2:$B$1000,Lookup!$C$2:$C$1000),"")</f>
        <v>Equity</v>
      </c>
      <c r="D2257" s="8" t="str">
        <f>IFERROR(INDEX('nav master'!$C:$C, MATCH(B2257, 'nav master'!$B:$B, 0)), "")</f>
        <v>ULIF 160 290725 AlphaIndIF 105</v>
      </c>
      <c r="E2257" s="8">
        <v>8.4504999999999999</v>
      </c>
      <c r="F2257" s="9">
        <v>45940</v>
      </c>
    </row>
    <row r="2258" spans="1:6" ht="60" x14ac:dyDescent="0.25">
      <c r="A2258" s="8" t="s">
        <v>63</v>
      </c>
      <c r="B2258" s="8" t="s">
        <v>38</v>
      </c>
      <c r="C2258" s="8" t="str">
        <f>IFERROR(_xlfn.XLOOKUP(TRIM(B2258),Lookup!$B$2:$B$1000,Lookup!$C$2:$C$1000),"")</f>
        <v>Equity</v>
      </c>
      <c r="D2258" s="8" t="str">
        <f>IFERROR(INDEX('nav master'!$C:$C, MATCH(B2258, 'nav master'!$B:$B, 0)), "")</f>
        <v>ULIF 160 290725 AlphaIndIF 105</v>
      </c>
      <c r="E2258" s="8">
        <v>8.4853000000000005</v>
      </c>
      <c r="F2258" s="9">
        <v>45943</v>
      </c>
    </row>
    <row r="2259" spans="1:6" ht="60" x14ac:dyDescent="0.25">
      <c r="A2259" s="8" t="s">
        <v>63</v>
      </c>
      <c r="B2259" s="8" t="s">
        <v>38</v>
      </c>
      <c r="C2259" s="8" t="str">
        <f>IFERROR(_xlfn.XLOOKUP(TRIM(B2259),Lookup!$B$2:$B$1000,Lookup!$C$2:$C$1000),"")</f>
        <v>Equity</v>
      </c>
      <c r="D2259" s="8" t="str">
        <f>IFERROR(INDEX('nav master'!$C:$C, MATCH(B2259, 'nav master'!$B:$B, 0)), "")</f>
        <v>ULIF 160 290725 AlphaIndIF 105</v>
      </c>
      <c r="E2259" s="8">
        <v>8.4276999999999997</v>
      </c>
      <c r="F2259" s="9">
        <v>45944</v>
      </c>
    </row>
    <row r="2260" spans="1:6" ht="60" x14ac:dyDescent="0.25">
      <c r="A2260" s="8" t="s">
        <v>63</v>
      </c>
      <c r="B2260" s="8" t="s">
        <v>38</v>
      </c>
      <c r="C2260" s="8" t="str">
        <f>IFERROR(_xlfn.XLOOKUP(TRIM(B2260),Lookup!$B$2:$B$1000,Lookup!$C$2:$C$1000),"")</f>
        <v>Equity</v>
      </c>
      <c r="D2260" s="8" t="str">
        <f>IFERROR(INDEX('nav master'!$C:$C, MATCH(B2260, 'nav master'!$B:$B, 0)), "")</f>
        <v>ULIF 160 290725 AlphaIndIF 105</v>
      </c>
      <c r="E2260" s="8">
        <v>8.5067000000000004</v>
      </c>
      <c r="F2260" s="9">
        <v>45945</v>
      </c>
    </row>
    <row r="2261" spans="1:6" ht="60" x14ac:dyDescent="0.25">
      <c r="A2261" s="8" t="s">
        <v>63</v>
      </c>
      <c r="B2261" s="8" t="s">
        <v>38</v>
      </c>
      <c r="C2261" s="8" t="str">
        <f>IFERROR(_xlfn.XLOOKUP(TRIM(B2261),Lookup!$B$2:$B$1000,Lookup!$C$2:$C$1000),"")</f>
        <v>Equity</v>
      </c>
      <c r="D2261" s="8" t="str">
        <f>IFERROR(INDEX('nav master'!$C:$C, MATCH(B2261, 'nav master'!$B:$B, 0)), "")</f>
        <v>ULIF 160 290725 AlphaIndIF 105</v>
      </c>
      <c r="E2261" s="8">
        <v>8.5197000000000003</v>
      </c>
      <c r="F2261" s="9">
        <v>45946</v>
      </c>
    </row>
    <row r="2262" spans="1:6" ht="60" x14ac:dyDescent="0.25">
      <c r="A2262" s="8" t="s">
        <v>63</v>
      </c>
      <c r="B2262" s="8" t="s">
        <v>38</v>
      </c>
      <c r="C2262" s="8" t="str">
        <f>IFERROR(_xlfn.XLOOKUP(TRIM(B2262),Lookup!$B$2:$B$1000,Lookup!$C$2:$C$1000),"")</f>
        <v>Equity</v>
      </c>
      <c r="D2262" s="8" t="str">
        <f>IFERROR(INDEX('nav master'!$C:$C, MATCH(B2262, 'nav master'!$B:$B, 0)), "")</f>
        <v>ULIF 160 290725 AlphaIndIF 105</v>
      </c>
      <c r="E2262" s="8">
        <v>8.5371000000000006</v>
      </c>
      <c r="F2262" s="9">
        <v>45947</v>
      </c>
    </row>
    <row r="2263" spans="1:6" ht="60" x14ac:dyDescent="0.25">
      <c r="A2263" s="8" t="s">
        <v>63</v>
      </c>
      <c r="B2263" s="8" t="s">
        <v>38</v>
      </c>
      <c r="C2263" s="8" t="str">
        <f>IFERROR(_xlfn.XLOOKUP(TRIM(B2263),Lookup!$B$2:$B$1000,Lookup!$C$2:$C$1000),"")</f>
        <v>Equity</v>
      </c>
      <c r="D2263" s="8" t="str">
        <f>IFERROR(INDEX('nav master'!$C:$C, MATCH(B2263, 'nav master'!$B:$B, 0)), "")</f>
        <v>ULIF 160 290725 AlphaIndIF 105</v>
      </c>
      <c r="E2263" s="8">
        <v>8.5601000000000003</v>
      </c>
      <c r="F2263" s="9">
        <v>45950</v>
      </c>
    </row>
    <row r="2264" spans="1:6" ht="60" x14ac:dyDescent="0.25">
      <c r="A2264" s="8" t="s">
        <v>63</v>
      </c>
      <c r="B2264" s="8" t="s">
        <v>38</v>
      </c>
      <c r="C2264" s="8" t="str">
        <f>IFERROR(_xlfn.XLOOKUP(TRIM(B2264),Lookup!$B$2:$B$1000,Lookup!$C$2:$C$1000),"")</f>
        <v>Equity</v>
      </c>
      <c r="D2264" s="8" t="str">
        <f>IFERROR(INDEX('nav master'!$C:$C, MATCH(B2264, 'nav master'!$B:$B, 0)), "")</f>
        <v>ULIF 160 290725 AlphaIndIF 105</v>
      </c>
      <c r="E2264" s="8">
        <v>8.4773999999999994</v>
      </c>
      <c r="F2264" s="9">
        <v>45953</v>
      </c>
    </row>
    <row r="2265" spans="1:6" ht="60" x14ac:dyDescent="0.25">
      <c r="A2265" s="8" t="s">
        <v>63</v>
      </c>
      <c r="B2265" s="8" t="s">
        <v>38</v>
      </c>
      <c r="C2265" s="8" t="str">
        <f>IFERROR(_xlfn.XLOOKUP(TRIM(B2265),Lookup!$B$2:$B$1000,Lookup!$C$2:$C$1000),"")</f>
        <v>Equity</v>
      </c>
      <c r="D2265" s="8" t="str">
        <f>IFERROR(INDEX('nav master'!$C:$C, MATCH(B2265, 'nav master'!$B:$B, 0)), "")</f>
        <v>ULIF 160 290725 AlphaIndIF 105</v>
      </c>
      <c r="E2265" s="8">
        <v>8.4451999999999998</v>
      </c>
      <c r="F2265" s="9">
        <v>45954</v>
      </c>
    </row>
    <row r="2266" spans="1:6" ht="60" x14ac:dyDescent="0.25">
      <c r="A2266" s="8" t="s">
        <v>63</v>
      </c>
      <c r="B2266" s="8" t="s">
        <v>38</v>
      </c>
      <c r="C2266" s="8" t="str">
        <f>IFERROR(_xlfn.XLOOKUP(TRIM(B2266),Lookup!$B$2:$B$1000,Lookup!$C$2:$C$1000),"")</f>
        <v>Equity</v>
      </c>
      <c r="D2266" s="8" t="str">
        <f>IFERROR(INDEX('nav master'!$C:$C, MATCH(B2266, 'nav master'!$B:$B, 0)), "")</f>
        <v>ULIF 160 290725 AlphaIndIF 105</v>
      </c>
      <c r="E2266" s="8">
        <v>8.5009999999999994</v>
      </c>
      <c r="F2266" s="9">
        <v>45957</v>
      </c>
    </row>
    <row r="2267" spans="1:6" ht="60" x14ac:dyDescent="0.25">
      <c r="A2267" s="8" t="s">
        <v>63</v>
      </c>
      <c r="B2267" s="8" t="s">
        <v>38</v>
      </c>
      <c r="C2267" s="8" t="str">
        <f>IFERROR(_xlfn.XLOOKUP(TRIM(B2267),Lookup!$B$2:$B$1000,Lookup!$C$2:$C$1000),"")</f>
        <v>Equity</v>
      </c>
      <c r="D2267" s="8" t="str">
        <f>IFERROR(INDEX('nav master'!$C:$C, MATCH(B2267, 'nav master'!$B:$B, 0)), "")</f>
        <v>ULIF 160 290725 AlphaIndIF 105</v>
      </c>
      <c r="E2267" s="8">
        <v>8.4961000000000002</v>
      </c>
      <c r="F2267" s="9">
        <v>45958</v>
      </c>
    </row>
    <row r="2268" spans="1:6" ht="60" x14ac:dyDescent="0.25">
      <c r="A2268" s="8" t="s">
        <v>63</v>
      </c>
      <c r="B2268" s="8" t="s">
        <v>38</v>
      </c>
      <c r="C2268" s="8" t="str">
        <f>IFERROR(_xlfn.XLOOKUP(TRIM(B2268),Lookup!$B$2:$B$1000,Lookup!$C$2:$C$1000),"")</f>
        <v>Equity</v>
      </c>
      <c r="D2268" s="8" t="str">
        <f>IFERROR(INDEX('nav master'!$C:$C, MATCH(B2268, 'nav master'!$B:$B, 0)), "")</f>
        <v>ULIF 160 290725 AlphaIndIF 105</v>
      </c>
      <c r="E2268" s="8">
        <v>8.5075000000000003</v>
      </c>
      <c r="F2268" s="9">
        <v>45959</v>
      </c>
    </row>
    <row r="2269" spans="1:6" ht="60" x14ac:dyDescent="0.25">
      <c r="A2269" s="8" t="s">
        <v>63</v>
      </c>
      <c r="B2269" s="8" t="s">
        <v>38</v>
      </c>
      <c r="C2269" s="8" t="str">
        <f>IFERROR(_xlfn.XLOOKUP(TRIM(B2269),Lookup!$B$2:$B$1000,Lookup!$C$2:$C$1000),"")</f>
        <v>Equity</v>
      </c>
      <c r="D2269" s="8" t="str">
        <f>IFERROR(INDEX('nav master'!$C:$C, MATCH(B2269, 'nav master'!$B:$B, 0)), "")</f>
        <v>ULIF 160 290725 AlphaIndIF 105</v>
      </c>
      <c r="E2269" s="8">
        <v>8.4909999999999997</v>
      </c>
      <c r="F2269" s="9">
        <v>45960</v>
      </c>
    </row>
    <row r="2270" spans="1:6" ht="60" x14ac:dyDescent="0.25">
      <c r="A2270" s="8" t="s">
        <v>63</v>
      </c>
      <c r="B2270" s="8" t="s">
        <v>38</v>
      </c>
      <c r="C2270" s="8" t="str">
        <f>IFERROR(_xlfn.XLOOKUP(TRIM(B2270),Lookup!$B$2:$B$1000,Lookup!$C$2:$C$1000),"")</f>
        <v>Equity</v>
      </c>
      <c r="D2270" s="8" t="str">
        <f>IFERROR(INDEX('nav master'!$C:$C, MATCH(B2270, 'nav master'!$B:$B, 0)), "")</f>
        <v>ULIF 160 290725 AlphaIndIF 105</v>
      </c>
      <c r="E2270" s="8">
        <v>8.4353999999999996</v>
      </c>
      <c r="F2270" s="9">
        <v>45961</v>
      </c>
    </row>
    <row r="2271" spans="1:6" ht="60" x14ac:dyDescent="0.25">
      <c r="A2271" s="8" t="s">
        <v>63</v>
      </c>
      <c r="B2271" s="8" t="s">
        <v>38</v>
      </c>
      <c r="C2271" s="8" t="str">
        <f>IFERROR(_xlfn.XLOOKUP(TRIM(B2271),Lookup!$B$2:$B$1000,Lookup!$C$2:$C$1000),"")</f>
        <v>Equity</v>
      </c>
      <c r="D2271" s="8" t="str">
        <f>IFERROR(INDEX('nav master'!$C:$C, MATCH(B2271, 'nav master'!$B:$B, 0)), "")</f>
        <v>ULIF 160 290725 AlphaIndIF 105</v>
      </c>
      <c r="E2271" s="8">
        <v>8.5101999999999993</v>
      </c>
      <c r="F2271" s="9">
        <v>45964</v>
      </c>
    </row>
    <row r="2272" spans="1:6" ht="60" x14ac:dyDescent="0.25">
      <c r="A2272" s="8" t="s">
        <v>63</v>
      </c>
      <c r="B2272" s="8" t="s">
        <v>38</v>
      </c>
      <c r="C2272" s="8" t="str">
        <f>IFERROR(_xlfn.XLOOKUP(TRIM(B2272),Lookup!$B$2:$B$1000,Lookup!$C$2:$C$1000),"")</f>
        <v>Equity</v>
      </c>
      <c r="D2272" s="8" t="str">
        <f>IFERROR(INDEX('nav master'!$C:$C, MATCH(B2272, 'nav master'!$B:$B, 0)), "")</f>
        <v>ULIF 160 290725 AlphaIndIF 105</v>
      </c>
      <c r="E2272" s="8">
        <v>8.4603999999999999</v>
      </c>
      <c r="F2272" s="9">
        <v>45965</v>
      </c>
    </row>
    <row r="2273" spans="1:6" ht="60" x14ac:dyDescent="0.25">
      <c r="A2273" s="8" t="s">
        <v>63</v>
      </c>
      <c r="B2273" s="8" t="s">
        <v>38</v>
      </c>
      <c r="C2273" s="8" t="str">
        <f>IFERROR(_xlfn.XLOOKUP(TRIM(B2273),Lookup!$B$2:$B$1000,Lookup!$C$2:$C$1000),"")</f>
        <v>Equity</v>
      </c>
      <c r="D2273" s="8" t="str">
        <f>IFERROR(INDEX('nav master'!$C:$C, MATCH(B2273, 'nav master'!$B:$B, 0)), "")</f>
        <v>ULIF 160 290725 AlphaIndIF 105</v>
      </c>
      <c r="E2273" s="8">
        <v>8.4276999999999997</v>
      </c>
      <c r="F2273" s="9">
        <v>45967</v>
      </c>
    </row>
    <row r="2274" spans="1:6" ht="60" x14ac:dyDescent="0.25">
      <c r="A2274" s="8" t="s">
        <v>63</v>
      </c>
      <c r="B2274" s="8" t="s">
        <v>38</v>
      </c>
      <c r="C2274" s="8" t="str">
        <f>IFERROR(_xlfn.XLOOKUP(TRIM(B2274),Lookup!$B$2:$B$1000,Lookup!$C$2:$C$1000),"")</f>
        <v>Equity</v>
      </c>
      <c r="D2274" s="8" t="str">
        <f>IFERROR(INDEX('nav master'!$C:$C, MATCH(B2274, 'nav master'!$B:$B, 0)), "")</f>
        <v>ULIF 160 290725 AlphaIndIF 105</v>
      </c>
      <c r="E2274" s="8">
        <v>8.4987999999999992</v>
      </c>
      <c r="F2274" s="9">
        <v>45968</v>
      </c>
    </row>
    <row r="2275" spans="1:6" ht="60" x14ac:dyDescent="0.25">
      <c r="A2275" s="8" t="s">
        <v>63</v>
      </c>
      <c r="B2275" s="8" t="s">
        <v>38</v>
      </c>
      <c r="C2275" s="8" t="str">
        <f>IFERROR(_xlfn.XLOOKUP(TRIM(B2275),Lookup!$B$2:$B$1000,Lookup!$C$2:$C$1000),"")</f>
        <v>Equity</v>
      </c>
      <c r="D2275" s="8" t="str">
        <f>IFERROR(INDEX('nav master'!$C:$C, MATCH(B2275, 'nav master'!$B:$B, 0)), "")</f>
        <v>ULIF 160 290725 AlphaIndIF 105</v>
      </c>
      <c r="E2275" s="8">
        <v>8.5183</v>
      </c>
      <c r="F2275" s="9">
        <v>45971</v>
      </c>
    </row>
    <row r="2276" spans="1:6" ht="60" x14ac:dyDescent="0.25">
      <c r="A2276" s="8" t="s">
        <v>63</v>
      </c>
      <c r="B2276" s="8" t="s">
        <v>38</v>
      </c>
      <c r="C2276" s="8" t="str">
        <f>IFERROR(_xlfn.XLOOKUP(TRIM(B2276),Lookup!$B$2:$B$1000,Lookup!$C$2:$C$1000),"")</f>
        <v>Equity</v>
      </c>
      <c r="D2276" s="8" t="str">
        <f>IFERROR(INDEX('nav master'!$C:$C, MATCH(B2276, 'nav master'!$B:$B, 0)), "")</f>
        <v>ULIF 160 290725 AlphaIndIF 105</v>
      </c>
      <c r="E2276" s="8">
        <v>8.5280000000000005</v>
      </c>
      <c r="F2276" s="9">
        <v>45972</v>
      </c>
    </row>
    <row r="2277" spans="1:6" ht="60" x14ac:dyDescent="0.25">
      <c r="A2277" s="8" t="s">
        <v>63</v>
      </c>
      <c r="B2277" s="8" t="s">
        <v>38</v>
      </c>
      <c r="C2277" s="8" t="str">
        <f>IFERROR(_xlfn.XLOOKUP(TRIM(B2277),Lookup!$B$2:$B$1000,Lookup!$C$2:$C$1000),"")</f>
        <v>Equity</v>
      </c>
      <c r="D2277" s="8" t="str">
        <f>IFERROR(INDEX('nav master'!$C:$C, MATCH(B2277, 'nav master'!$B:$B, 0)), "")</f>
        <v>ULIF 160 290725 AlphaIndIF 105</v>
      </c>
      <c r="E2277" s="8">
        <v>8.5855999999999995</v>
      </c>
      <c r="F2277" s="9">
        <v>45973</v>
      </c>
    </row>
    <row r="2278" spans="1:6" ht="60" x14ac:dyDescent="0.25">
      <c r="A2278" s="8" t="s">
        <v>63</v>
      </c>
      <c r="B2278" s="8" t="s">
        <v>38</v>
      </c>
      <c r="C2278" s="8" t="str">
        <f>IFERROR(_xlfn.XLOOKUP(TRIM(B2278),Lookup!$B$2:$B$1000,Lookup!$C$2:$C$1000),"")</f>
        <v>Equity</v>
      </c>
      <c r="D2278" s="8" t="str">
        <f>IFERROR(INDEX('nav master'!$C:$C, MATCH(B2278, 'nav master'!$B:$B, 0)), "")</f>
        <v>ULIF 160 290725 AlphaIndIF 105</v>
      </c>
      <c r="E2278" s="8">
        <v>8.5607000000000006</v>
      </c>
      <c r="F2278" s="9">
        <v>45974</v>
      </c>
    </row>
    <row r="2279" spans="1:6" ht="60" x14ac:dyDescent="0.25">
      <c r="A2279" s="8" t="s">
        <v>63</v>
      </c>
      <c r="B2279" s="8" t="s">
        <v>38</v>
      </c>
      <c r="C2279" s="8" t="str">
        <f>IFERROR(_xlfn.XLOOKUP(TRIM(B2279),Lookup!$B$2:$B$1000,Lookup!$C$2:$C$1000),"")</f>
        <v>Equity</v>
      </c>
      <c r="D2279" s="8" t="str">
        <f>IFERROR(INDEX('nav master'!$C:$C, MATCH(B2279, 'nav master'!$B:$B, 0)), "")</f>
        <v>ULIF 160 290725 AlphaIndIF 105</v>
      </c>
      <c r="E2279" s="8">
        <v>8.6045999999999996</v>
      </c>
      <c r="F2279" s="9">
        <v>45975</v>
      </c>
    </row>
    <row r="2280" spans="1:6" ht="60" x14ac:dyDescent="0.25">
      <c r="A2280" s="8" t="s">
        <v>63</v>
      </c>
      <c r="B2280" s="8" t="s">
        <v>38</v>
      </c>
      <c r="C2280" s="8" t="str">
        <f>IFERROR(_xlfn.XLOOKUP(TRIM(B2280),Lookup!$B$2:$B$1000,Lookup!$C$2:$C$1000),"")</f>
        <v>Equity</v>
      </c>
      <c r="D2280" s="8" t="str">
        <f>IFERROR(INDEX('nav master'!$C:$C, MATCH(B2280, 'nav master'!$B:$B, 0)), "")</f>
        <v>ULIF 160 290725 AlphaIndIF 105</v>
      </c>
      <c r="E2280" s="8">
        <v>8.6763999999999992</v>
      </c>
      <c r="F2280" s="9">
        <v>45978</v>
      </c>
    </row>
    <row r="2281" spans="1:6" ht="60" x14ac:dyDescent="0.25">
      <c r="A2281" s="8" t="s">
        <v>63</v>
      </c>
      <c r="B2281" s="8" t="s">
        <v>38</v>
      </c>
      <c r="C2281" s="8" t="str">
        <f>IFERROR(_xlfn.XLOOKUP(TRIM(B2281),Lookup!$B$2:$B$1000,Lookup!$C$2:$C$1000),"")</f>
        <v>Equity</v>
      </c>
      <c r="D2281" s="8" t="str">
        <f>IFERROR(INDEX('nav master'!$C:$C, MATCH(B2281, 'nav master'!$B:$B, 0)), "")</f>
        <v>ULIF 160 290725 AlphaIndIF 105</v>
      </c>
      <c r="E2281" s="8">
        <v>8.5853999999999999</v>
      </c>
      <c r="F2281" s="9">
        <v>45979</v>
      </c>
    </row>
    <row r="2282" spans="1:6" ht="60" x14ac:dyDescent="0.25">
      <c r="A2282" s="8" t="s">
        <v>63</v>
      </c>
      <c r="B2282" s="8" t="s">
        <v>38</v>
      </c>
      <c r="C2282" s="8" t="str">
        <f>IFERROR(_xlfn.XLOOKUP(TRIM(B2282),Lookup!$B$2:$B$1000,Lookup!$C$2:$C$1000),"")</f>
        <v>Equity</v>
      </c>
      <c r="D2282" s="8" t="str">
        <f>IFERROR(INDEX('nav master'!$C:$C, MATCH(B2282, 'nav master'!$B:$B, 0)), "")</f>
        <v>ULIF 160 290725 AlphaIndIF 105</v>
      </c>
      <c r="E2282" s="8">
        <v>8.6235999999999997</v>
      </c>
      <c r="F2282" s="9">
        <v>45980</v>
      </c>
    </row>
    <row r="2283" spans="1:6" ht="60" x14ac:dyDescent="0.25">
      <c r="A2283" s="8" t="s">
        <v>63</v>
      </c>
      <c r="B2283" s="8" t="s">
        <v>38</v>
      </c>
      <c r="C2283" s="8" t="str">
        <f>IFERROR(_xlfn.XLOOKUP(TRIM(B2283),Lookup!$B$2:$B$1000,Lookup!$C$2:$C$1000),"")</f>
        <v>Equity</v>
      </c>
      <c r="D2283" s="8" t="str">
        <f>IFERROR(INDEX('nav master'!$C:$C, MATCH(B2283, 'nav master'!$B:$B, 0)), "")</f>
        <v>ULIF 160 290725 AlphaIndIF 105</v>
      </c>
      <c r="E2283" s="8">
        <v>8.6545000000000005</v>
      </c>
      <c r="F2283" s="9">
        <v>45981</v>
      </c>
    </row>
    <row r="2284" spans="1:6" ht="60" x14ac:dyDescent="0.25">
      <c r="A2284" s="8" t="s">
        <v>63</v>
      </c>
      <c r="B2284" s="8" t="s">
        <v>38</v>
      </c>
      <c r="C2284" s="8" t="str">
        <f>IFERROR(_xlfn.XLOOKUP(TRIM(B2284),Lookup!$B$2:$B$1000,Lookup!$C$2:$C$1000),"")</f>
        <v>Equity</v>
      </c>
      <c r="D2284" s="8" t="str">
        <f>IFERROR(INDEX('nav master'!$C:$C, MATCH(B2284, 'nav master'!$B:$B, 0)), "")</f>
        <v>ULIF 160 290725 AlphaIndIF 105</v>
      </c>
      <c r="E2284" s="8">
        <v>8.5420999999999996</v>
      </c>
      <c r="F2284" s="9">
        <v>45982</v>
      </c>
    </row>
    <row r="2285" spans="1:6" ht="60" x14ac:dyDescent="0.25">
      <c r="A2285" s="8" t="s">
        <v>63</v>
      </c>
      <c r="B2285" s="8" t="s">
        <v>38</v>
      </c>
      <c r="C2285" s="8" t="str">
        <f>IFERROR(_xlfn.XLOOKUP(TRIM(B2285),Lookup!$B$2:$B$1000,Lookup!$C$2:$C$1000),"")</f>
        <v>Equity</v>
      </c>
      <c r="D2285" s="8" t="str">
        <f>IFERROR(INDEX('nav master'!$C:$C, MATCH(B2285, 'nav master'!$B:$B, 0)), "")</f>
        <v>ULIF 160 290725 AlphaIndIF 105</v>
      </c>
      <c r="E2285" s="8">
        <v>8.4748999999999999</v>
      </c>
      <c r="F2285" s="9">
        <v>45985</v>
      </c>
    </row>
    <row r="2286" spans="1:6" ht="60" x14ac:dyDescent="0.25">
      <c r="A2286" s="8" t="s">
        <v>63</v>
      </c>
      <c r="B2286" s="8" t="s">
        <v>38</v>
      </c>
      <c r="C2286" s="8" t="str">
        <f>IFERROR(_xlfn.XLOOKUP(TRIM(B2286),Lookup!$B$2:$B$1000,Lookup!$C$2:$C$1000),"")</f>
        <v>Equity</v>
      </c>
      <c r="D2286" s="8" t="str">
        <f>IFERROR(INDEX('nav master'!$C:$C, MATCH(B2286, 'nav master'!$B:$B, 0)), "")</f>
        <v>ULIF 160 290725 AlphaIndIF 105</v>
      </c>
      <c r="E2286" s="8">
        <v>8.4814000000000007</v>
      </c>
      <c r="F2286" s="9">
        <v>45986</v>
      </c>
    </row>
    <row r="2287" spans="1:6" ht="60" x14ac:dyDescent="0.25">
      <c r="A2287" s="8" t="s">
        <v>63</v>
      </c>
      <c r="B2287" s="8" t="s">
        <v>38</v>
      </c>
      <c r="C2287" s="8" t="str">
        <f>IFERROR(_xlfn.XLOOKUP(TRIM(B2287),Lookup!$B$2:$B$1000,Lookup!$C$2:$C$1000),"")</f>
        <v>Equity</v>
      </c>
      <c r="D2287" s="8" t="str">
        <f>IFERROR(INDEX('nav master'!$C:$C, MATCH(B2287, 'nav master'!$B:$B, 0)), "")</f>
        <v>ULIF 160 290725 AlphaIndIF 105</v>
      </c>
      <c r="E2287" s="8">
        <v>8.6433</v>
      </c>
      <c r="F2287" s="9">
        <v>45987</v>
      </c>
    </row>
    <row r="2288" spans="1:6" ht="60" x14ac:dyDescent="0.25">
      <c r="A2288" s="8" t="s">
        <v>63</v>
      </c>
      <c r="B2288" s="8" t="s">
        <v>38</v>
      </c>
      <c r="C2288" s="8" t="str">
        <f>IFERROR(_xlfn.XLOOKUP(TRIM(B2288),Lookup!$B$2:$B$1000,Lookup!$C$2:$C$1000),"")</f>
        <v>Equity</v>
      </c>
      <c r="D2288" s="8" t="str">
        <f>IFERROR(INDEX('nav master'!$C:$C, MATCH(B2288, 'nav master'!$B:$B, 0)), "")</f>
        <v>ULIF 160 290725 AlphaIndIF 105</v>
      </c>
      <c r="E2288" s="8">
        <v>8.6228999999999996</v>
      </c>
      <c r="F2288" s="9">
        <v>45988</v>
      </c>
    </row>
    <row r="2289" spans="1:6" ht="60" x14ac:dyDescent="0.25">
      <c r="A2289" s="8" t="s">
        <v>63</v>
      </c>
      <c r="B2289" s="8" t="s">
        <v>38</v>
      </c>
      <c r="C2289" s="8" t="str">
        <f>IFERROR(_xlfn.XLOOKUP(TRIM(B2289),Lookup!$B$2:$B$1000,Lookup!$C$2:$C$1000),"")</f>
        <v>Equity</v>
      </c>
      <c r="D2289" s="8" t="str">
        <f>IFERROR(INDEX('nav master'!$C:$C, MATCH(B2289, 'nav master'!$B:$B, 0)), "")</f>
        <v>ULIF 160 290725 AlphaIndIF 105</v>
      </c>
      <c r="E2289" s="8">
        <v>8.6210000000000004</v>
      </c>
      <c r="F2289" s="9">
        <v>45989</v>
      </c>
    </row>
    <row r="2290" spans="1:6" ht="60" x14ac:dyDescent="0.25">
      <c r="A2290" s="8" t="s">
        <v>63</v>
      </c>
      <c r="B2290" s="8" t="s">
        <v>38</v>
      </c>
      <c r="C2290" s="8" t="str">
        <f>IFERROR(_xlfn.XLOOKUP(TRIM(B2290),Lookup!$B$2:$B$1000,Lookup!$C$2:$C$1000),"")</f>
        <v>Equity</v>
      </c>
      <c r="D2290" s="8" t="str">
        <f>IFERROR(INDEX('nav master'!$C:$C, MATCH(B2290, 'nav master'!$B:$B, 0)), "")</f>
        <v>ULIF 160 290725 AlphaIndIF 105</v>
      </c>
      <c r="E2290" s="8">
        <v>8.6377000000000006</v>
      </c>
      <c r="F2290" s="9">
        <v>45992</v>
      </c>
    </row>
    <row r="2291" spans="1:6" ht="60" x14ac:dyDescent="0.25">
      <c r="A2291" s="8" t="s">
        <v>63</v>
      </c>
      <c r="B2291" s="8" t="s">
        <v>38</v>
      </c>
      <c r="C2291" s="8" t="str">
        <f>IFERROR(_xlfn.XLOOKUP(TRIM(B2291),Lookup!$B$2:$B$1000,Lookup!$C$2:$C$1000),"")</f>
        <v>Equity</v>
      </c>
      <c r="D2291" s="8" t="str">
        <f>IFERROR(INDEX('nav master'!$C:$C, MATCH(B2291, 'nav master'!$B:$B, 0)), "")</f>
        <v>ULIF 160 290725 AlphaIndIF 105</v>
      </c>
      <c r="E2291" s="8">
        <v>8.6126000000000005</v>
      </c>
      <c r="F2291" s="9">
        <v>45993</v>
      </c>
    </row>
    <row r="2292" spans="1:6" ht="60" x14ac:dyDescent="0.25">
      <c r="A2292" s="8" t="s">
        <v>63</v>
      </c>
      <c r="B2292" s="8" t="s">
        <v>38</v>
      </c>
      <c r="C2292" s="8" t="str">
        <f>IFERROR(_xlfn.XLOOKUP(TRIM(B2292),Lookup!$B$2:$B$1000,Lookup!$C$2:$C$1000),"")</f>
        <v>Equity</v>
      </c>
      <c r="D2292" s="8" t="str">
        <f>IFERROR(INDEX('nav master'!$C:$C, MATCH(B2292, 'nav master'!$B:$B, 0)), "")</f>
        <v>ULIF 160 290725 AlphaIndIF 105</v>
      </c>
      <c r="E2292" s="8">
        <v>8.4908000000000001</v>
      </c>
      <c r="F2292" s="9">
        <v>45994</v>
      </c>
    </row>
    <row r="2293" spans="1:6" ht="60" x14ac:dyDescent="0.25">
      <c r="A2293" s="8" t="s">
        <v>63</v>
      </c>
      <c r="B2293" s="8" t="s">
        <v>38</v>
      </c>
      <c r="C2293" s="8" t="str">
        <f>IFERROR(_xlfn.XLOOKUP(TRIM(B2293),Lookup!$B$2:$B$1000,Lookup!$C$2:$C$1000),"")</f>
        <v>Equity</v>
      </c>
      <c r="D2293" s="8" t="str">
        <f>IFERROR(INDEX('nav master'!$C:$C, MATCH(B2293, 'nav master'!$B:$B, 0)), "")</f>
        <v>ULIF 160 290725 AlphaIndIF 105</v>
      </c>
      <c r="E2293" s="8">
        <v>8.4304000000000006</v>
      </c>
      <c r="F2293" s="9">
        <v>45995</v>
      </c>
    </row>
    <row r="2294" spans="1:6" ht="60" x14ac:dyDescent="0.25">
      <c r="A2294" s="8" t="s">
        <v>63</v>
      </c>
      <c r="B2294" s="8" t="s">
        <v>38</v>
      </c>
      <c r="C2294" s="8" t="str">
        <f>IFERROR(_xlfn.XLOOKUP(TRIM(B2294),Lookup!$B$2:$B$1000,Lookup!$C$2:$C$1000),"")</f>
        <v>Equity</v>
      </c>
      <c r="D2294" s="8" t="str">
        <f>IFERROR(INDEX('nav master'!$C:$C, MATCH(B2294, 'nav master'!$B:$B, 0)), "")</f>
        <v>ULIF 160 290725 AlphaIndIF 105</v>
      </c>
      <c r="E2294" s="8">
        <v>8.4259000000000004</v>
      </c>
      <c r="F2294" s="9">
        <v>45996</v>
      </c>
    </row>
    <row r="2295" spans="1:6" ht="60" x14ac:dyDescent="0.25">
      <c r="A2295" s="8" t="s">
        <v>63</v>
      </c>
      <c r="B2295" s="8" t="s">
        <v>38</v>
      </c>
      <c r="C2295" s="8" t="str">
        <f>IFERROR(_xlfn.XLOOKUP(TRIM(B2295),Lookup!$B$2:$B$1000,Lookup!$C$2:$C$1000),"")</f>
        <v>Equity</v>
      </c>
      <c r="D2295" s="8" t="str">
        <f>IFERROR(INDEX('nav master'!$C:$C, MATCH(B2295, 'nav master'!$B:$B, 0)), "")</f>
        <v>ULIF 160 290725 AlphaIndIF 105</v>
      </c>
      <c r="E2295" s="8">
        <v>8.2485999999999997</v>
      </c>
      <c r="F2295" s="9">
        <v>45999</v>
      </c>
    </row>
    <row r="2296" spans="1:6" ht="60" x14ac:dyDescent="0.25">
      <c r="A2296" s="8" t="s">
        <v>63</v>
      </c>
      <c r="B2296" s="8" t="s">
        <v>38</v>
      </c>
      <c r="C2296" s="8" t="str">
        <f>IFERROR(_xlfn.XLOOKUP(TRIM(B2296),Lookup!$B$2:$B$1000,Lookup!$C$2:$C$1000),"")</f>
        <v>Equity</v>
      </c>
      <c r="D2296" s="8" t="str">
        <f>IFERROR(INDEX('nav master'!$C:$C, MATCH(B2296, 'nav master'!$B:$B, 0)), "")</f>
        <v>ULIF 160 290725 AlphaIndIF 105</v>
      </c>
      <c r="E2296" s="8">
        <v>8.3106000000000009</v>
      </c>
      <c r="F2296" s="9">
        <v>46000</v>
      </c>
    </row>
    <row r="2297" spans="1:6" ht="60" x14ac:dyDescent="0.25">
      <c r="A2297" s="8" t="s">
        <v>63</v>
      </c>
      <c r="B2297" s="8" t="s">
        <v>38</v>
      </c>
      <c r="C2297" s="8" t="str">
        <f>IFERROR(_xlfn.XLOOKUP(TRIM(B2297),Lookup!$B$2:$B$1000,Lookup!$C$2:$C$1000),"")</f>
        <v>Equity</v>
      </c>
      <c r="D2297" s="8" t="str">
        <f>IFERROR(INDEX('nav master'!$C:$C, MATCH(B2297, 'nav master'!$B:$B, 0)), "")</f>
        <v>ULIF 160 290725 AlphaIndIF 105</v>
      </c>
      <c r="E2297" s="8">
        <v>8.1643000000000008</v>
      </c>
      <c r="F2297" s="9">
        <v>46001</v>
      </c>
    </row>
    <row r="2298" spans="1:6" ht="60" x14ac:dyDescent="0.25">
      <c r="A2298" s="8" t="s">
        <v>63</v>
      </c>
      <c r="B2298" s="8" t="s">
        <v>38</v>
      </c>
      <c r="C2298" s="8" t="str">
        <f>IFERROR(_xlfn.XLOOKUP(TRIM(B2298),Lookup!$B$2:$B$1000,Lookup!$C$2:$C$1000),"")</f>
        <v>Equity</v>
      </c>
      <c r="D2298" s="8" t="str">
        <f>IFERROR(INDEX('nav master'!$C:$C, MATCH(B2298, 'nav master'!$B:$B, 0)), "")</f>
        <v>ULIF 160 290725 AlphaIndIF 105</v>
      </c>
      <c r="E2298" s="8">
        <v>8.2542000000000009</v>
      </c>
      <c r="F2298" s="9">
        <v>46002</v>
      </c>
    </row>
    <row r="2299" spans="1:6" ht="60" x14ac:dyDescent="0.25">
      <c r="A2299" s="8" t="s">
        <v>63</v>
      </c>
      <c r="B2299" s="8" t="s">
        <v>38</v>
      </c>
      <c r="C2299" s="8" t="str">
        <f>IFERROR(_xlfn.XLOOKUP(TRIM(B2299),Lookup!$B$2:$B$1000,Lookup!$C$2:$C$1000),"")</f>
        <v>Equity</v>
      </c>
      <c r="D2299" s="8" t="str">
        <f>IFERROR(INDEX('nav master'!$C:$C, MATCH(B2299, 'nav master'!$B:$B, 0)), "")</f>
        <v>ULIF 160 290725 AlphaIndIF 105</v>
      </c>
      <c r="E2299" s="8">
        <v>8.3533000000000008</v>
      </c>
      <c r="F2299" s="9">
        <v>46003</v>
      </c>
    </row>
    <row r="2300" spans="1:6" ht="60" x14ac:dyDescent="0.25">
      <c r="A2300" s="8" t="s">
        <v>63</v>
      </c>
      <c r="B2300" s="8" t="s">
        <v>38</v>
      </c>
      <c r="C2300" s="8" t="str">
        <f>IFERROR(_xlfn.XLOOKUP(TRIM(B2300),Lookup!$B$2:$B$1000,Lookup!$C$2:$C$1000),"")</f>
        <v>Equity</v>
      </c>
      <c r="D2300" s="8" t="str">
        <f>IFERROR(INDEX('nav master'!$C:$C, MATCH(B2300, 'nav master'!$B:$B, 0)), "")</f>
        <v>ULIF 160 290725 AlphaIndIF 105</v>
      </c>
      <c r="E2300" s="8">
        <v>8.3181999999999992</v>
      </c>
      <c r="F2300" s="9">
        <v>46006</v>
      </c>
    </row>
    <row r="2301" spans="1:6" ht="60" x14ac:dyDescent="0.25">
      <c r="A2301" s="8" t="s">
        <v>63</v>
      </c>
      <c r="B2301" s="8" t="s">
        <v>38</v>
      </c>
      <c r="C2301" s="8" t="str">
        <f>IFERROR(_xlfn.XLOOKUP(TRIM(B2301),Lookup!$B$2:$B$1000,Lookup!$C$2:$C$1000),"")</f>
        <v>Equity</v>
      </c>
      <c r="D2301" s="8" t="str">
        <f>IFERROR(INDEX('nav master'!$C:$C, MATCH(B2301, 'nav master'!$B:$B, 0)), "")</f>
        <v>ULIF 160 290725 AlphaIndIF 105</v>
      </c>
      <c r="E2301" s="8">
        <v>8.2527000000000008</v>
      </c>
      <c r="F2301" s="9">
        <v>46007</v>
      </c>
    </row>
    <row r="2302" spans="1:6" ht="60" x14ac:dyDescent="0.25">
      <c r="A2302" s="8" t="s">
        <v>63</v>
      </c>
      <c r="B2302" s="8" t="s">
        <v>38</v>
      </c>
      <c r="C2302" s="8" t="str">
        <f>IFERROR(_xlfn.XLOOKUP(TRIM(B2302),Lookup!$B$2:$B$1000,Lookup!$C$2:$C$1000),"")</f>
        <v>Equity</v>
      </c>
      <c r="D2302" s="8" t="str">
        <f>IFERROR(INDEX('nav master'!$C:$C, MATCH(B2302, 'nav master'!$B:$B, 0)), "")</f>
        <v>ULIF 160 290725 AlphaIndIF 105</v>
      </c>
      <c r="E2302" s="8">
        <v>8.1991999999999994</v>
      </c>
      <c r="F2302" s="9">
        <v>46008</v>
      </c>
    </row>
    <row r="2303" spans="1:6" ht="60" x14ac:dyDescent="0.25">
      <c r="A2303" s="8" t="s">
        <v>63</v>
      </c>
      <c r="B2303" s="8" t="s">
        <v>38</v>
      </c>
      <c r="C2303" s="8" t="str">
        <f>IFERROR(_xlfn.XLOOKUP(TRIM(B2303),Lookup!$B$2:$B$1000,Lookup!$C$2:$C$1000),"")</f>
        <v>Equity</v>
      </c>
      <c r="D2303" s="8" t="str">
        <f>IFERROR(INDEX('nav master'!$C:$C, MATCH(B2303, 'nav master'!$B:$B, 0)), "")</f>
        <v>ULIF 160 290725 AlphaIndIF 105</v>
      </c>
      <c r="E2303" s="8">
        <v>8.2247000000000003</v>
      </c>
      <c r="F2303" s="9">
        <v>46009</v>
      </c>
    </row>
    <row r="2304" spans="1:6" ht="60" x14ac:dyDescent="0.25">
      <c r="A2304" s="8" t="s">
        <v>63</v>
      </c>
      <c r="B2304" s="8" t="s">
        <v>38</v>
      </c>
      <c r="C2304" s="8" t="str">
        <f>IFERROR(_xlfn.XLOOKUP(TRIM(B2304),Lookup!$B$2:$B$1000,Lookup!$C$2:$C$1000),"")</f>
        <v>Equity</v>
      </c>
      <c r="D2304" s="8" t="str">
        <f>IFERROR(INDEX('nav master'!$C:$C, MATCH(B2304, 'nav master'!$B:$B, 0)), "")</f>
        <v>ULIF 160 290725 AlphaIndIF 105</v>
      </c>
      <c r="E2304" s="8">
        <v>8.3490000000000002</v>
      </c>
      <c r="F2304" s="9">
        <v>46010</v>
      </c>
    </row>
    <row r="2305" spans="1:6" ht="60" x14ac:dyDescent="0.25">
      <c r="A2305" s="8" t="s">
        <v>63</v>
      </c>
      <c r="B2305" s="8" t="s">
        <v>38</v>
      </c>
      <c r="C2305" s="8" t="str">
        <f>IFERROR(_xlfn.XLOOKUP(TRIM(B2305),Lookup!$B$2:$B$1000,Lookup!$C$2:$C$1000),"")</f>
        <v>Equity</v>
      </c>
      <c r="D2305" s="8" t="str">
        <f>IFERROR(INDEX('nav master'!$C:$C, MATCH(B2305, 'nav master'!$B:$B, 0)), "")</f>
        <v>ULIF 160 290725 AlphaIndIF 105</v>
      </c>
      <c r="E2305" s="8">
        <v>8.4551999999999996</v>
      </c>
      <c r="F2305" s="9">
        <v>46013</v>
      </c>
    </row>
    <row r="2306" spans="1:6" ht="60" x14ac:dyDescent="0.25">
      <c r="A2306" s="8" t="s">
        <v>63</v>
      </c>
      <c r="B2306" s="8" t="s">
        <v>38</v>
      </c>
      <c r="C2306" s="8" t="str">
        <f>IFERROR(_xlfn.XLOOKUP(TRIM(B2306),Lookup!$B$2:$B$1000,Lookup!$C$2:$C$1000),"")</f>
        <v>Equity</v>
      </c>
      <c r="D2306" s="8" t="str">
        <f>IFERROR(INDEX('nav master'!$C:$C, MATCH(B2306, 'nav master'!$B:$B, 0)), "")</f>
        <v>ULIF 160 290725 AlphaIndIF 105</v>
      </c>
      <c r="E2306" s="8">
        <v>8.4352999999999998</v>
      </c>
      <c r="F2306" s="9">
        <v>46014</v>
      </c>
    </row>
    <row r="2307" spans="1:6" ht="60" x14ac:dyDescent="0.25">
      <c r="A2307" s="8" t="s">
        <v>63</v>
      </c>
      <c r="B2307" s="8" t="s">
        <v>38</v>
      </c>
      <c r="C2307" s="8" t="str">
        <f>IFERROR(_xlfn.XLOOKUP(TRIM(B2307),Lookup!$B$2:$B$1000,Lookup!$C$2:$C$1000),"")</f>
        <v>Equity</v>
      </c>
      <c r="D2307" s="8" t="str">
        <f>IFERROR(INDEX('nav master'!$C:$C, MATCH(B2307, 'nav master'!$B:$B, 0)), "")</f>
        <v>ULIF 160 290725 AlphaIndIF 105</v>
      </c>
      <c r="E2307" s="8">
        <v>8.4278999999999993</v>
      </c>
      <c r="F2307" s="9">
        <v>46015</v>
      </c>
    </row>
    <row r="2308" spans="1:6" ht="60" x14ac:dyDescent="0.25">
      <c r="A2308" s="8" t="s">
        <v>63</v>
      </c>
      <c r="B2308" s="8" t="s">
        <v>38</v>
      </c>
      <c r="C2308" s="8" t="str">
        <f>IFERROR(_xlfn.XLOOKUP(TRIM(B2308),Lookup!$B$2:$B$1000,Lookup!$C$2:$C$1000),"")</f>
        <v>Equity</v>
      </c>
      <c r="D2308" s="8" t="str">
        <f>IFERROR(INDEX('nav master'!$C:$C, MATCH(B2308, 'nav master'!$B:$B, 0)), "")</f>
        <v>ULIF 160 290725 AlphaIndIF 105</v>
      </c>
      <c r="E2308" s="8">
        <v>8.3675999999999995</v>
      </c>
      <c r="F2308" s="9">
        <v>46017</v>
      </c>
    </row>
    <row r="2309" spans="1:6" ht="60" x14ac:dyDescent="0.25">
      <c r="A2309" s="8" t="s">
        <v>63</v>
      </c>
      <c r="B2309" s="8" t="s">
        <v>38</v>
      </c>
      <c r="C2309" s="8" t="str">
        <f>IFERROR(_xlfn.XLOOKUP(TRIM(B2309),Lookup!$B$2:$B$1000,Lookup!$C$2:$C$1000),"")</f>
        <v>Equity</v>
      </c>
      <c r="D2309" s="8" t="str">
        <f>IFERROR(INDEX('nav master'!$C:$C, MATCH(B2309, 'nav master'!$B:$B, 0)), "")</f>
        <v>ULIF 160 290725 AlphaIndIF 105</v>
      </c>
      <c r="E2309" s="8">
        <v>8.3016000000000005</v>
      </c>
      <c r="F2309" s="9">
        <v>46020</v>
      </c>
    </row>
    <row r="2310" spans="1:6" ht="60" x14ac:dyDescent="0.25">
      <c r="A2310" s="8" t="s">
        <v>63</v>
      </c>
      <c r="B2310" s="8" t="s">
        <v>38</v>
      </c>
      <c r="C2310" s="8" t="str">
        <f>IFERROR(_xlfn.XLOOKUP(TRIM(B2310),Lookup!$B$2:$B$1000,Lookup!$C$2:$C$1000),"")</f>
        <v>Equity</v>
      </c>
      <c r="D2310" s="8" t="str">
        <f>IFERROR(INDEX('nav master'!$C:$C, MATCH(B2310, 'nav master'!$B:$B, 0)), "")</f>
        <v>ULIF 160 290725 AlphaIndIF 105</v>
      </c>
      <c r="E2310" s="8">
        <v>8.2251999999999992</v>
      </c>
      <c r="F2310" s="9">
        <v>46021</v>
      </c>
    </row>
    <row r="2311" spans="1:6" ht="60" x14ac:dyDescent="0.25">
      <c r="A2311" s="8" t="s">
        <v>63</v>
      </c>
      <c r="B2311" s="8" t="s">
        <v>38</v>
      </c>
      <c r="C2311" s="8" t="str">
        <f>IFERROR(_xlfn.XLOOKUP(TRIM(B2311),Lookup!$B$2:$B$1000,Lookup!$C$2:$C$1000),"")</f>
        <v>Equity</v>
      </c>
      <c r="D2311" s="8" t="str">
        <f>IFERROR(INDEX('nav master'!$C:$C, MATCH(B2311, 'nav master'!$B:$B, 0)), "")</f>
        <v>ULIF 160 290725 AlphaIndIF 105</v>
      </c>
      <c r="E2311" s="8">
        <v>8.2995999999999999</v>
      </c>
      <c r="F2311" s="9">
        <v>46022</v>
      </c>
    </row>
    <row r="2312" spans="1:6" ht="60" x14ac:dyDescent="0.25">
      <c r="A2312" s="8" t="s">
        <v>63</v>
      </c>
      <c r="B2312" s="8" t="s">
        <v>38</v>
      </c>
      <c r="C2312" s="8" t="str">
        <f>IFERROR(_xlfn.XLOOKUP(TRIM(B2312),Lookup!$B$2:$B$1000,Lookup!$C$2:$C$1000),"")</f>
        <v>Equity</v>
      </c>
      <c r="D2312" s="8" t="str">
        <f>IFERROR(INDEX('nav master'!$C:$C, MATCH(B2312, 'nav master'!$B:$B, 0)), "")</f>
        <v>ULIF 160 290725 AlphaIndIF 105</v>
      </c>
      <c r="E2312" s="8">
        <v>8.3071000000000002</v>
      </c>
      <c r="F2312" s="9">
        <v>46023</v>
      </c>
    </row>
    <row r="2313" spans="1:6" ht="60" x14ac:dyDescent="0.25">
      <c r="A2313" s="8" t="s">
        <v>63</v>
      </c>
      <c r="B2313" s="8" t="s">
        <v>38</v>
      </c>
      <c r="C2313" s="8" t="str">
        <f>IFERROR(_xlfn.XLOOKUP(TRIM(B2313),Lookup!$B$2:$B$1000,Lookup!$C$2:$C$1000),"")</f>
        <v>Equity</v>
      </c>
      <c r="D2313" s="8" t="str">
        <f>IFERROR(INDEX('nav master'!$C:$C, MATCH(B2313, 'nav master'!$B:$B, 0)), "")</f>
        <v>ULIF 160 290725 AlphaIndIF 105</v>
      </c>
      <c r="E2313" s="8">
        <v>8.3504000000000005</v>
      </c>
      <c r="F2313" s="9">
        <v>46024</v>
      </c>
    </row>
    <row r="2314" spans="1:6" ht="60" x14ac:dyDescent="0.25">
      <c r="A2314" s="8" t="s">
        <v>63</v>
      </c>
      <c r="B2314" s="8" t="s">
        <v>38</v>
      </c>
      <c r="C2314" s="8" t="str">
        <f>IFERROR(_xlfn.XLOOKUP(TRIM(B2314),Lookup!$B$2:$B$1000,Lookup!$C$2:$C$1000),"")</f>
        <v>Equity</v>
      </c>
      <c r="D2314" s="8" t="str">
        <f>IFERROR(INDEX('nav master'!$C:$C, MATCH(B2314, 'nav master'!$B:$B, 0)), "")</f>
        <v>ULIF 160 290725 AlphaIndIF 105</v>
      </c>
      <c r="E2314" s="8">
        <v>8.3825000000000003</v>
      </c>
      <c r="F2314" s="9">
        <v>46027</v>
      </c>
    </row>
    <row r="2315" spans="1:6" ht="60" x14ac:dyDescent="0.25">
      <c r="A2315" s="8" t="s">
        <v>63</v>
      </c>
      <c r="B2315" s="8" t="s">
        <v>38</v>
      </c>
      <c r="C2315" s="8" t="str">
        <f>IFERROR(_xlfn.XLOOKUP(TRIM(B2315),Lookup!$B$2:$B$1000,Lookup!$C$2:$C$1000),"")</f>
        <v>Equity</v>
      </c>
      <c r="D2315" s="8" t="str">
        <f>IFERROR(INDEX('nav master'!$C:$C, MATCH(B2315, 'nav master'!$B:$B, 0)), "")</f>
        <v>ULIF 160 290725 AlphaIndIF 105</v>
      </c>
      <c r="E2315" s="8">
        <v>8.4074000000000009</v>
      </c>
      <c r="F2315" s="9">
        <v>46028</v>
      </c>
    </row>
    <row r="2316" spans="1:6" ht="60" x14ac:dyDescent="0.25">
      <c r="A2316" s="8" t="s">
        <v>63</v>
      </c>
      <c r="B2316" s="8" t="s">
        <v>38</v>
      </c>
      <c r="C2316" s="8" t="str">
        <f>IFERROR(_xlfn.XLOOKUP(TRIM(B2316),Lookup!$B$2:$B$1000,Lookup!$C$2:$C$1000),"")</f>
        <v>Equity</v>
      </c>
      <c r="D2316" s="8" t="str">
        <f>IFERROR(INDEX('nav master'!$C:$C, MATCH(B2316, 'nav master'!$B:$B, 0)), "")</f>
        <v>ULIF 160 290725 AlphaIndIF 105</v>
      </c>
      <c r="E2316" s="8">
        <v>8.4250000000000007</v>
      </c>
      <c r="F2316" s="9">
        <v>46029</v>
      </c>
    </row>
    <row r="2317" spans="1:6" ht="60" x14ac:dyDescent="0.25">
      <c r="A2317" s="8" t="s">
        <v>63</v>
      </c>
      <c r="B2317" s="8" t="s">
        <v>38</v>
      </c>
      <c r="C2317" s="8" t="str">
        <f>IFERROR(_xlfn.XLOOKUP(TRIM(B2317),Lookup!$B$2:$B$1000,Lookup!$C$2:$C$1000),"")</f>
        <v>Equity</v>
      </c>
      <c r="D2317" s="8" t="str">
        <f>IFERROR(INDEX('nav master'!$C:$C, MATCH(B2317, 'nav master'!$B:$B, 0)), "")</f>
        <v>ULIF 160 290725 AlphaIndIF 105</v>
      </c>
      <c r="E2317" s="8">
        <v>8.2843</v>
      </c>
      <c r="F2317" s="9">
        <v>46030</v>
      </c>
    </row>
    <row r="2318" spans="1:6" ht="60" x14ac:dyDescent="0.25">
      <c r="A2318" s="8" t="s">
        <v>63</v>
      </c>
      <c r="B2318" s="8" t="s">
        <v>38</v>
      </c>
      <c r="C2318" s="8" t="str">
        <f>IFERROR(_xlfn.XLOOKUP(TRIM(B2318),Lookup!$B$2:$B$1000,Lookup!$C$2:$C$1000),"")</f>
        <v>Equity</v>
      </c>
      <c r="D2318" s="8" t="str">
        <f>IFERROR(INDEX('nav master'!$C:$C, MATCH(B2318, 'nav master'!$B:$B, 0)), "")</f>
        <v>ULIF 160 290725 AlphaIndIF 105</v>
      </c>
      <c r="E2318" s="8">
        <v>8.1766000000000005</v>
      </c>
      <c r="F2318" s="9">
        <v>46031</v>
      </c>
    </row>
    <row r="2319" spans="1:6" ht="60" x14ac:dyDescent="0.25">
      <c r="A2319" s="8" t="s">
        <v>63</v>
      </c>
      <c r="B2319" s="8" t="s">
        <v>38</v>
      </c>
      <c r="C2319" s="8" t="str">
        <f>IFERROR(_xlfn.XLOOKUP(TRIM(B2319),Lookup!$B$2:$B$1000,Lookup!$C$2:$C$1000),"")</f>
        <v>Equity</v>
      </c>
      <c r="D2319" s="8" t="str">
        <f>IFERROR(INDEX('nav master'!$C:$C, MATCH(B2319, 'nav master'!$B:$B, 0)), "")</f>
        <v>ULIF 160 290725 AlphaIndIF 105</v>
      </c>
      <c r="E2319" s="8">
        <v>8.1552000000000007</v>
      </c>
      <c r="F2319" s="9">
        <v>46034</v>
      </c>
    </row>
    <row r="2320" spans="1:6" ht="60" x14ac:dyDescent="0.25">
      <c r="A2320" s="8" t="s">
        <v>63</v>
      </c>
      <c r="B2320" s="8" t="s">
        <v>38</v>
      </c>
      <c r="C2320" s="8" t="str">
        <f>IFERROR(_xlfn.XLOOKUP(TRIM(B2320),Lookup!$B$2:$B$1000,Lookup!$C$2:$C$1000),"")</f>
        <v>Equity</v>
      </c>
      <c r="D2320" s="8" t="str">
        <f>IFERROR(INDEX('nav master'!$C:$C, MATCH(B2320, 'nav master'!$B:$B, 0)), "")</f>
        <v>ULIF 160 290725 AlphaIndIF 105</v>
      </c>
      <c r="E2320" s="8">
        <v>8.1859999999999999</v>
      </c>
      <c r="F2320" s="9">
        <v>46035</v>
      </c>
    </row>
    <row r="2321" spans="1:6" ht="60" x14ac:dyDescent="0.25">
      <c r="A2321" s="8" t="s">
        <v>63</v>
      </c>
      <c r="B2321" s="8" t="s">
        <v>38</v>
      </c>
      <c r="C2321" s="8" t="str">
        <f>IFERROR(_xlfn.XLOOKUP(TRIM(B2321),Lookup!$B$2:$B$1000,Lookup!$C$2:$C$1000),"")</f>
        <v>Equity</v>
      </c>
      <c r="D2321" s="8" t="str">
        <f>IFERROR(INDEX('nav master'!$C:$C, MATCH(B2321, 'nav master'!$B:$B, 0)), "")</f>
        <v>ULIF 160 290725 AlphaIndIF 105</v>
      </c>
      <c r="E2321" s="8">
        <v>8.2345000000000006</v>
      </c>
      <c r="F2321" s="9">
        <v>46036</v>
      </c>
    </row>
    <row r="2322" spans="1:6" ht="60" x14ac:dyDescent="0.25">
      <c r="A2322" s="8" t="s">
        <v>63</v>
      </c>
      <c r="B2322" s="8" t="s">
        <v>38</v>
      </c>
      <c r="C2322" s="8" t="str">
        <f>IFERROR(_xlfn.XLOOKUP(TRIM(B2322),Lookup!$B$2:$B$1000,Lookup!$C$2:$C$1000),"")</f>
        <v>Equity</v>
      </c>
      <c r="D2322" s="8" t="str">
        <f>IFERROR(INDEX('nav master'!$C:$C, MATCH(B2322, 'nav master'!$B:$B, 0)), "")</f>
        <v>ULIF 160 290725 AlphaIndIF 105</v>
      </c>
      <c r="E2322" s="8">
        <v>8.2033000000000005</v>
      </c>
      <c r="F2322" s="9">
        <v>46038</v>
      </c>
    </row>
    <row r="2323" spans="1:6" ht="60" x14ac:dyDescent="0.25">
      <c r="A2323" s="8" t="s">
        <v>63</v>
      </c>
      <c r="B2323" s="8" t="s">
        <v>38</v>
      </c>
      <c r="C2323" s="8" t="str">
        <f>IFERROR(_xlfn.XLOOKUP(TRIM(B2323),Lookup!$B$2:$B$1000,Lookup!$C$2:$C$1000),"")</f>
        <v>Equity</v>
      </c>
      <c r="D2323" s="8" t="str">
        <f>IFERROR(INDEX('nav master'!$C:$C, MATCH(B2323, 'nav master'!$B:$B, 0)), "")</f>
        <v>ULIF 160 290725 AlphaIndIF 105</v>
      </c>
      <c r="E2323" s="8">
        <v>8.1989000000000001</v>
      </c>
      <c r="F2323" s="9">
        <v>46041</v>
      </c>
    </row>
    <row r="2324" spans="1:6" ht="60" x14ac:dyDescent="0.25">
      <c r="A2324" s="8" t="s">
        <v>63</v>
      </c>
      <c r="B2324" s="8" t="s">
        <v>38</v>
      </c>
      <c r="C2324" s="8" t="str">
        <f>IFERROR(_xlfn.XLOOKUP(TRIM(B2324),Lookup!$B$2:$B$1000,Lookup!$C$2:$C$1000),"")</f>
        <v>Equity</v>
      </c>
      <c r="D2324" s="8" t="str">
        <f>IFERROR(INDEX('nav master'!$C:$C, MATCH(B2324, 'nav master'!$B:$B, 0)), "")</f>
        <v>ULIF 160 290725 AlphaIndIF 105</v>
      </c>
      <c r="E2324" s="8">
        <v>8.0135000000000005</v>
      </c>
      <c r="F2324" s="9">
        <v>46042</v>
      </c>
    </row>
    <row r="2325" spans="1:6" ht="60" x14ac:dyDescent="0.25">
      <c r="A2325" s="8" t="s">
        <v>63</v>
      </c>
      <c r="B2325" s="8" t="s">
        <v>38</v>
      </c>
      <c r="C2325" s="8" t="str">
        <f>IFERROR(_xlfn.XLOOKUP(TRIM(B2325),Lookup!$B$2:$B$1000,Lookup!$C$2:$C$1000),"")</f>
        <v>Equity</v>
      </c>
      <c r="D2325" s="8" t="str">
        <f>IFERROR(INDEX('nav master'!$C:$C, MATCH(B2325, 'nav master'!$B:$B, 0)), "")</f>
        <v>ULIF 160 290725 AlphaIndIF 105</v>
      </c>
      <c r="E2325" s="8">
        <v>7.9306999999999999</v>
      </c>
      <c r="F2325" s="9">
        <v>46043</v>
      </c>
    </row>
    <row r="2326" spans="1:6" ht="60" x14ac:dyDescent="0.25">
      <c r="A2326" s="8" t="s">
        <v>63</v>
      </c>
      <c r="B2326" s="8" t="s">
        <v>38</v>
      </c>
      <c r="C2326" s="8" t="str">
        <f>IFERROR(_xlfn.XLOOKUP(TRIM(B2326),Lookup!$B$2:$B$1000,Lookup!$C$2:$C$1000),"")</f>
        <v>Equity</v>
      </c>
      <c r="D2326" s="8" t="str">
        <f>IFERROR(INDEX('nav master'!$C:$C, MATCH(B2326, 'nav master'!$B:$B, 0)), "")</f>
        <v>ULIF 160 290725 AlphaIndIF 105</v>
      </c>
      <c r="E2326" s="8">
        <v>7.9950000000000001</v>
      </c>
      <c r="F2326" s="9">
        <v>46044</v>
      </c>
    </row>
    <row r="2327" spans="1:6" ht="60" x14ac:dyDescent="0.25">
      <c r="A2327" s="8" t="s">
        <v>63</v>
      </c>
      <c r="B2327" s="8" t="s">
        <v>38</v>
      </c>
      <c r="C2327" s="8" t="str">
        <f>IFERROR(_xlfn.XLOOKUP(TRIM(B2327),Lookup!$B$2:$B$1000,Lookup!$C$2:$C$1000),"")</f>
        <v>Equity</v>
      </c>
      <c r="D2327" s="8" t="str">
        <f>IFERROR(INDEX('nav master'!$C:$C, MATCH(B2327, 'nav master'!$B:$B, 0)), "")</f>
        <v>ULIF 160 290725 AlphaIndIF 105</v>
      </c>
      <c r="E2327" s="8">
        <v>7.8715000000000002</v>
      </c>
      <c r="F2327" s="9">
        <v>46045</v>
      </c>
    </row>
    <row r="2328" spans="1:6" ht="60" x14ac:dyDescent="0.25">
      <c r="A2328" s="8" t="s">
        <v>63</v>
      </c>
      <c r="B2328" s="8" t="s">
        <v>38</v>
      </c>
      <c r="C2328" s="8" t="str">
        <f>IFERROR(_xlfn.XLOOKUP(TRIM(B2328),Lookup!$B$2:$B$1000,Lookup!$C$2:$C$1000),"")</f>
        <v>Equity</v>
      </c>
      <c r="D2328" s="8" t="str">
        <f>IFERROR(INDEX('nav master'!$C:$C, MATCH(B2328, 'nav master'!$B:$B, 0)), "")</f>
        <v>ULIF 160 290725 AlphaIndIF 105</v>
      </c>
      <c r="E2328" s="8">
        <v>7.9177</v>
      </c>
      <c r="F2328" s="9">
        <v>46049</v>
      </c>
    </row>
    <row r="2329" spans="1:6" ht="60" x14ac:dyDescent="0.25">
      <c r="A2329" s="8" t="s">
        <v>63</v>
      </c>
      <c r="B2329" s="8" t="s">
        <v>38</v>
      </c>
      <c r="C2329" s="8" t="str">
        <f>IFERROR(_xlfn.XLOOKUP(TRIM(B2329),Lookup!$B$2:$B$1000,Lookup!$C$2:$C$1000),"")</f>
        <v>Equity</v>
      </c>
      <c r="D2329" s="8" t="str">
        <f>IFERROR(INDEX('nav master'!$C:$C, MATCH(B2329, 'nav master'!$B:$B, 0)), "")</f>
        <v>ULIF 160 290725 AlphaIndIF 105</v>
      </c>
      <c r="E2329" s="8">
        <v>8.0693999999999999</v>
      </c>
      <c r="F2329" s="9">
        <v>46050</v>
      </c>
    </row>
    <row r="2330" spans="1:6" ht="60" x14ac:dyDescent="0.25">
      <c r="A2330" s="8" t="s">
        <v>63</v>
      </c>
      <c r="B2330" s="8" t="s">
        <v>38</v>
      </c>
      <c r="C2330" s="8" t="str">
        <f>IFERROR(_xlfn.XLOOKUP(TRIM(B2330),Lookup!$B$2:$B$1000,Lookup!$C$2:$C$1000),"")</f>
        <v>Equity</v>
      </c>
      <c r="D2330" s="8" t="str">
        <f>IFERROR(INDEX('nav master'!$C:$C, MATCH(B2330, 'nav master'!$B:$B, 0)), "")</f>
        <v>ULIF 160 290725 AlphaIndIF 105</v>
      </c>
      <c r="E2330" s="8">
        <v>8.0897000000000006</v>
      </c>
      <c r="F2330" s="9">
        <v>46051</v>
      </c>
    </row>
    <row r="2331" spans="1:6" ht="60" x14ac:dyDescent="0.25">
      <c r="A2331" s="8" t="s">
        <v>63</v>
      </c>
      <c r="B2331" s="8" t="s">
        <v>38</v>
      </c>
      <c r="C2331" s="8" t="str">
        <f>IFERROR(_xlfn.XLOOKUP(TRIM(B2331),Lookup!$B$2:$B$1000,Lookup!$C$2:$C$1000),"")</f>
        <v>Equity</v>
      </c>
      <c r="D2331" s="8" t="str">
        <f>IFERROR(INDEX('nav master'!$C:$C, MATCH(B2331, 'nav master'!$B:$B, 0)), "")</f>
        <v>ULIF 160 290725 AlphaIndIF 105</v>
      </c>
      <c r="E2331" s="8">
        <v>8.0752000000000006</v>
      </c>
      <c r="F2331" s="9">
        <v>46052</v>
      </c>
    </row>
    <row r="2332" spans="1:6" ht="60" x14ac:dyDescent="0.25">
      <c r="A2332" s="8" t="s">
        <v>63</v>
      </c>
      <c r="B2332" s="8" t="s">
        <v>38</v>
      </c>
      <c r="C2332" s="8" t="str">
        <f>IFERROR(_xlfn.XLOOKUP(TRIM(B2332),Lookup!$B$2:$B$1000,Lookup!$C$2:$C$1000),"")</f>
        <v>Equity</v>
      </c>
      <c r="D2332" s="8" t="str">
        <f>IFERROR(INDEX('nav master'!$C:$C, MATCH(B2332, 'nav master'!$B:$B, 0)), "")</f>
        <v>ULIF 160 290725 AlphaIndIF 105</v>
      </c>
      <c r="E2332" s="8">
        <v>7.8132000000000001</v>
      </c>
      <c r="F2332" s="9">
        <v>46054</v>
      </c>
    </row>
    <row r="2333" spans="1:6" ht="60" x14ac:dyDescent="0.25">
      <c r="A2333" s="8" t="s">
        <v>63</v>
      </c>
      <c r="B2333" s="8" t="s">
        <v>38</v>
      </c>
      <c r="C2333" s="8" t="str">
        <f>IFERROR(_xlfn.XLOOKUP(TRIM(B2333),Lookup!$B$2:$B$1000,Lookup!$C$2:$C$1000),"")</f>
        <v>Equity</v>
      </c>
      <c r="D2333" s="8" t="str">
        <f>IFERROR(INDEX('nav master'!$C:$C, MATCH(B2333, 'nav master'!$B:$B, 0)), "")</f>
        <v>ULIF 160 290725 AlphaIndIF 105</v>
      </c>
      <c r="E2333" s="8">
        <v>7.9</v>
      </c>
      <c r="F2333" s="9">
        <v>46055</v>
      </c>
    </row>
    <row r="2334" spans="1:6" ht="60" x14ac:dyDescent="0.25">
      <c r="A2334" s="8" t="s">
        <v>63</v>
      </c>
      <c r="B2334" s="8" t="s">
        <v>38</v>
      </c>
      <c r="C2334" s="8" t="str">
        <f>IFERROR(_xlfn.XLOOKUP(TRIM(B2334),Lookup!$B$2:$B$1000,Lookup!$C$2:$C$1000),"")</f>
        <v>Equity</v>
      </c>
      <c r="D2334" s="8" t="str">
        <f>IFERROR(INDEX('nav master'!$C:$C, MATCH(B2334, 'nav master'!$B:$B, 0)), "")</f>
        <v>ULIF 160 290725 AlphaIndIF 105</v>
      </c>
      <c r="E2334" s="8">
        <v>8.1599000000000004</v>
      </c>
      <c r="F2334" s="9">
        <v>46056</v>
      </c>
    </row>
    <row r="2335" spans="1:6" ht="60" x14ac:dyDescent="0.25">
      <c r="A2335" s="8" t="s">
        <v>63</v>
      </c>
      <c r="B2335" s="8" t="s">
        <v>38</v>
      </c>
      <c r="C2335" s="8" t="str">
        <f>IFERROR(_xlfn.XLOOKUP(TRIM(B2335),Lookup!$B$2:$B$1000,Lookup!$C$2:$C$1000),"")</f>
        <v>Equity</v>
      </c>
      <c r="D2335" s="8" t="str">
        <f>IFERROR(INDEX('nav master'!$C:$C, MATCH(B2335, 'nav master'!$B:$B, 0)), "")</f>
        <v>ULIF 160 290725 AlphaIndIF 105</v>
      </c>
      <c r="E2335" s="8">
        <v>8.2379999999999995</v>
      </c>
      <c r="F2335" s="9">
        <v>46057</v>
      </c>
    </row>
    <row r="2336" spans="1:6" ht="60" x14ac:dyDescent="0.25">
      <c r="A2336" s="8" t="s">
        <v>63</v>
      </c>
      <c r="B2336" s="8" t="s">
        <v>38</v>
      </c>
      <c r="C2336" s="8" t="str">
        <f>IFERROR(_xlfn.XLOOKUP(TRIM(B2336),Lookup!$B$2:$B$1000,Lookup!$C$2:$C$1000),"")</f>
        <v>Equity</v>
      </c>
      <c r="D2336" s="8" t="str">
        <f>IFERROR(INDEX('nav master'!$C:$C, MATCH(B2336, 'nav master'!$B:$B, 0)), "")</f>
        <v>ULIF 160 290725 AlphaIndIF 105</v>
      </c>
      <c r="E2336" s="8">
        <v>8.1727000000000007</v>
      </c>
      <c r="F2336" s="9">
        <v>46058</v>
      </c>
    </row>
    <row r="2337" spans="1:6" ht="60" x14ac:dyDescent="0.25">
      <c r="A2337" s="8" t="s">
        <v>63</v>
      </c>
      <c r="B2337" s="8" t="s">
        <v>38</v>
      </c>
      <c r="C2337" s="8" t="str">
        <f>IFERROR(_xlfn.XLOOKUP(TRIM(B2337),Lookup!$B$2:$B$1000,Lookup!$C$2:$C$1000),"")</f>
        <v>Equity</v>
      </c>
      <c r="D2337" s="8" t="str">
        <f>IFERROR(INDEX('nav master'!$C:$C, MATCH(B2337, 'nav master'!$B:$B, 0)), "")</f>
        <v>ULIF 160 290725 AlphaIndIF 105</v>
      </c>
      <c r="E2337" s="8">
        <v>8.2723999999999993</v>
      </c>
      <c r="F2337" s="9">
        <v>46059</v>
      </c>
    </row>
    <row r="2338" spans="1:6" ht="60" x14ac:dyDescent="0.25">
      <c r="A2338" s="8" t="s">
        <v>63</v>
      </c>
      <c r="B2338" s="8" t="s">
        <v>38</v>
      </c>
      <c r="C2338" s="8" t="str">
        <f>IFERROR(_xlfn.XLOOKUP(TRIM(B2338),Lookup!$B$2:$B$1000,Lookup!$C$2:$C$1000),"")</f>
        <v>Equity</v>
      </c>
      <c r="D2338" s="8" t="str">
        <f>IFERROR(INDEX('nav master'!$C:$C, MATCH(B2338, 'nav master'!$B:$B, 0)), "")</f>
        <v>ULIF 160 290725 AlphaIndIF 105</v>
      </c>
      <c r="E2338" s="8">
        <v>8.4178999999999995</v>
      </c>
      <c r="F2338" s="9">
        <v>46062</v>
      </c>
    </row>
    <row r="2339" spans="1:6" ht="60" x14ac:dyDescent="0.25">
      <c r="A2339" s="8" t="s">
        <v>63</v>
      </c>
      <c r="B2339" s="8" t="s">
        <v>38</v>
      </c>
      <c r="C2339" s="8" t="str">
        <f>IFERROR(_xlfn.XLOOKUP(TRIM(B2339),Lookup!$B$2:$B$1000,Lookup!$C$2:$C$1000),"")</f>
        <v>Equity</v>
      </c>
      <c r="D2339" s="8" t="str">
        <f>IFERROR(INDEX('nav master'!$C:$C, MATCH(B2339, 'nav master'!$B:$B, 0)), "")</f>
        <v>ULIF 160 290725 AlphaIndIF 105</v>
      </c>
      <c r="E2339" s="8">
        <v>8.4284999999999997</v>
      </c>
      <c r="F2339" s="9">
        <v>46063</v>
      </c>
    </row>
    <row r="2340" spans="1:6" ht="60" x14ac:dyDescent="0.25">
      <c r="A2340" s="8" t="s">
        <v>63</v>
      </c>
      <c r="B2340" s="8" t="s">
        <v>38</v>
      </c>
      <c r="C2340" s="8" t="str">
        <f>IFERROR(_xlfn.XLOOKUP(TRIM(B2340),Lookup!$B$2:$B$1000,Lookup!$C$2:$C$1000),"")</f>
        <v>Equity</v>
      </c>
      <c r="D2340" s="8" t="str">
        <f>IFERROR(INDEX('nav master'!$C:$C, MATCH(B2340, 'nav master'!$B:$B, 0)), "")</f>
        <v>ULIF 160 290725 AlphaIndIF 105</v>
      </c>
      <c r="E2340" s="8">
        <v>8.4875000000000007</v>
      </c>
      <c r="F2340" s="9">
        <v>46064</v>
      </c>
    </row>
    <row r="2341" spans="1:6" ht="60" x14ac:dyDescent="0.25">
      <c r="A2341" s="8" t="s">
        <v>63</v>
      </c>
      <c r="B2341" s="8" t="s">
        <v>38</v>
      </c>
      <c r="C2341" s="8" t="str">
        <f>IFERROR(_xlfn.XLOOKUP(TRIM(B2341),Lookup!$B$2:$B$1000,Lookup!$C$2:$C$1000),"")</f>
        <v>Equity</v>
      </c>
      <c r="D2341" s="8" t="str">
        <f>IFERROR(INDEX('nav master'!$C:$C, MATCH(B2341, 'nav master'!$B:$B, 0)), "")</f>
        <v>ULIF 160 290725 AlphaIndIF 105</v>
      </c>
      <c r="E2341" s="8">
        <v>8.5340000000000007</v>
      </c>
      <c r="F2341" s="9">
        <v>46065</v>
      </c>
    </row>
    <row r="2342" spans="1:6" ht="60" x14ac:dyDescent="0.25">
      <c r="A2342" s="8" t="s">
        <v>63</v>
      </c>
      <c r="B2342" s="8" t="s">
        <v>38</v>
      </c>
      <c r="C2342" s="8" t="str">
        <f>IFERROR(_xlfn.XLOOKUP(TRIM(B2342),Lookup!$B$2:$B$1000,Lookup!$C$2:$C$1000),"")</f>
        <v>Equity</v>
      </c>
      <c r="D2342" s="8" t="str">
        <f>IFERROR(INDEX('nav master'!$C:$C, MATCH(B2342, 'nav master'!$B:$B, 0)), "")</f>
        <v>ULIF 160 290725 AlphaIndIF 105</v>
      </c>
      <c r="E2342" s="8">
        <v>8.3642000000000003</v>
      </c>
      <c r="F2342" s="9">
        <v>46066</v>
      </c>
    </row>
    <row r="2343" spans="1:6" ht="60" x14ac:dyDescent="0.25">
      <c r="A2343" s="8" t="s">
        <v>63</v>
      </c>
      <c r="B2343" s="8" t="s">
        <v>38</v>
      </c>
      <c r="C2343" s="8" t="str">
        <f>IFERROR(_xlfn.XLOOKUP(TRIM(B2343),Lookup!$B$2:$B$1000,Lookup!$C$2:$C$1000),"")</f>
        <v>Equity</v>
      </c>
      <c r="D2343" s="8" t="str">
        <f>IFERROR(INDEX('nav master'!$C:$C, MATCH(B2343, 'nav master'!$B:$B, 0)), "")</f>
        <v>ULIF 160 290725 AlphaIndIF 105</v>
      </c>
      <c r="E2343" s="8">
        <v>8.3743999999999996</v>
      </c>
      <c r="F2343" s="9">
        <v>46069</v>
      </c>
    </row>
    <row r="2344" spans="1:6" ht="60" x14ac:dyDescent="0.25">
      <c r="A2344" s="8" t="s">
        <v>63</v>
      </c>
      <c r="B2344" s="8" t="s">
        <v>38</v>
      </c>
      <c r="C2344" s="8" t="str">
        <f>IFERROR(_xlfn.XLOOKUP(TRIM(B2344),Lookup!$B$2:$B$1000,Lookup!$C$2:$C$1000),"")</f>
        <v>Equity</v>
      </c>
      <c r="D2344" s="8" t="str">
        <f>IFERROR(INDEX('nav master'!$C:$C, MATCH(B2344, 'nav master'!$B:$B, 0)), "")</f>
        <v>ULIF 160 290725 AlphaIndIF 105</v>
      </c>
      <c r="E2344" s="8">
        <v>8.4083000000000006</v>
      </c>
      <c r="F2344" s="9">
        <v>46070</v>
      </c>
    </row>
    <row r="2345" spans="1:6" ht="60" x14ac:dyDescent="0.25">
      <c r="A2345" s="8" t="s">
        <v>63</v>
      </c>
      <c r="B2345" s="8" t="s">
        <v>38</v>
      </c>
      <c r="C2345" s="8" t="str">
        <f>IFERROR(_xlfn.XLOOKUP(TRIM(B2345),Lookup!$B$2:$B$1000,Lookup!$C$2:$C$1000),"")</f>
        <v>Equity</v>
      </c>
      <c r="D2345" s="8" t="str">
        <f>IFERROR(INDEX('nav master'!$C:$C, MATCH(B2345, 'nav master'!$B:$B, 0)), "")</f>
        <v>ULIF 160 290725 AlphaIndIF 105</v>
      </c>
      <c r="E2345" s="8">
        <v>8.5107999999999997</v>
      </c>
      <c r="F2345" s="9">
        <v>46071</v>
      </c>
    </row>
    <row r="2346" spans="1:6" ht="60" x14ac:dyDescent="0.25">
      <c r="A2346" s="8" t="s">
        <v>63</v>
      </c>
      <c r="B2346" s="8" t="s">
        <v>38</v>
      </c>
      <c r="C2346" s="8" t="str">
        <f>IFERROR(_xlfn.XLOOKUP(TRIM(B2346),Lookup!$B$2:$B$1000,Lookup!$C$2:$C$1000),"")</f>
        <v>Equity</v>
      </c>
      <c r="D2346" s="8" t="str">
        <f>IFERROR(INDEX('nav master'!$C:$C, MATCH(B2346, 'nav master'!$B:$B, 0)), "")</f>
        <v>ULIF 160 290725 AlphaIndIF 105</v>
      </c>
      <c r="E2346" s="8">
        <v>8.3747000000000007</v>
      </c>
      <c r="F2346" s="9">
        <v>46072</v>
      </c>
    </row>
    <row r="2347" spans="1:6" ht="60" x14ac:dyDescent="0.25">
      <c r="A2347" s="8" t="s">
        <v>63</v>
      </c>
      <c r="B2347" s="8" t="s">
        <v>38</v>
      </c>
      <c r="C2347" s="8" t="str">
        <f>IFERROR(_xlfn.XLOOKUP(TRIM(B2347),Lookup!$B$2:$B$1000,Lookup!$C$2:$C$1000),"")</f>
        <v>Equity</v>
      </c>
      <c r="D2347" s="8" t="str">
        <f>IFERROR(INDEX('nav master'!$C:$C, MATCH(B2347, 'nav master'!$B:$B, 0)), "")</f>
        <v>ULIF 160 290725 AlphaIndIF 105</v>
      </c>
      <c r="E2347" s="8">
        <v>8.4398</v>
      </c>
      <c r="F2347" s="9">
        <v>46073</v>
      </c>
    </row>
    <row r="2348" spans="1:6" ht="60" x14ac:dyDescent="0.25">
      <c r="A2348" s="8" t="s">
        <v>63</v>
      </c>
      <c r="B2348" s="8" t="s">
        <v>38</v>
      </c>
      <c r="C2348" s="8" t="str">
        <f>IFERROR(_xlfn.XLOOKUP(TRIM(B2348),Lookup!$B$2:$B$1000,Lookup!$C$2:$C$1000),"")</f>
        <v>Equity</v>
      </c>
      <c r="D2348" s="8" t="str">
        <f>IFERROR(INDEX('nav master'!$C:$C, MATCH(B2348, 'nav master'!$B:$B, 0)), "")</f>
        <v>ULIF 160 290725 AlphaIndIF 105</v>
      </c>
      <c r="E2348" s="8">
        <v>8.4456000000000007</v>
      </c>
      <c r="F2348" s="9">
        <v>46076</v>
      </c>
    </row>
    <row r="2349" spans="1:6" ht="60" x14ac:dyDescent="0.25">
      <c r="A2349" s="8" t="s">
        <v>63</v>
      </c>
      <c r="B2349" s="8" t="s">
        <v>38</v>
      </c>
      <c r="C2349" s="8" t="str">
        <f>IFERROR(_xlfn.XLOOKUP(TRIM(B2349),Lookup!$B$2:$B$1000,Lookup!$C$2:$C$1000),"")</f>
        <v>Equity</v>
      </c>
      <c r="D2349" s="8" t="str">
        <f>IFERROR(INDEX('nav master'!$C:$C, MATCH(B2349, 'nav master'!$B:$B, 0)), "")</f>
        <v>ULIF 160 290725 AlphaIndIF 105</v>
      </c>
      <c r="E2349" s="8">
        <v>8.4040999999999997</v>
      </c>
      <c r="F2349" s="9">
        <v>46077</v>
      </c>
    </row>
    <row r="2350" spans="1:6" ht="60" x14ac:dyDescent="0.25">
      <c r="A2350" s="8" t="s">
        <v>63</v>
      </c>
      <c r="B2350" s="8" t="s">
        <v>38</v>
      </c>
      <c r="C2350" s="8" t="str">
        <f>IFERROR(_xlfn.XLOOKUP(TRIM(B2350),Lookup!$B$2:$B$1000,Lookup!$C$2:$C$1000),"")</f>
        <v>Equity</v>
      </c>
      <c r="D2350" s="8" t="str">
        <f>IFERROR(INDEX('nav master'!$C:$C, MATCH(B2350, 'nav master'!$B:$B, 0)), "")</f>
        <v>ULIF 160 290725 AlphaIndIF 105</v>
      </c>
      <c r="E2350" s="8">
        <v>8.4786000000000001</v>
      </c>
      <c r="F2350" s="9">
        <v>46078</v>
      </c>
    </row>
    <row r="2351" spans="1:6" ht="60" x14ac:dyDescent="0.25">
      <c r="A2351" s="8" t="s">
        <v>63</v>
      </c>
      <c r="B2351" s="8" t="s">
        <v>38</v>
      </c>
      <c r="C2351" s="8" t="str">
        <f>IFERROR(_xlfn.XLOOKUP(TRIM(B2351),Lookup!$B$2:$B$1000,Lookup!$C$2:$C$1000),"")</f>
        <v>Equity</v>
      </c>
      <c r="D2351" s="8" t="str">
        <f>IFERROR(INDEX('nav master'!$C:$C, MATCH(B2351, 'nav master'!$B:$B, 0)), "")</f>
        <v>ULIF 160 290725 AlphaIndIF 105</v>
      </c>
      <c r="E2351" s="8">
        <v>8.5314999999999994</v>
      </c>
      <c r="F2351" s="9">
        <v>46079</v>
      </c>
    </row>
    <row r="2352" spans="1:6" ht="60" x14ac:dyDescent="0.25">
      <c r="A2352" s="8" t="s">
        <v>63</v>
      </c>
      <c r="B2352" s="8" t="s">
        <v>38</v>
      </c>
      <c r="C2352" s="8" t="str">
        <f>IFERROR(_xlfn.XLOOKUP(TRIM(B2352),Lookup!$B$2:$B$1000,Lookup!$C$2:$C$1000),"")</f>
        <v>Equity</v>
      </c>
      <c r="D2352" s="8" t="str">
        <f>IFERROR(INDEX('nav master'!$C:$C, MATCH(B2352, 'nav master'!$B:$B, 0)), "")</f>
        <v>ULIF 160 290725 AlphaIndIF 105</v>
      </c>
      <c r="E2352" s="8">
        <v>8.4285999999999994</v>
      </c>
      <c r="F2352" s="9">
        <v>46080</v>
      </c>
    </row>
    <row r="2353" spans="1:6" ht="60" x14ac:dyDescent="0.25">
      <c r="A2353" s="8" t="s">
        <v>63</v>
      </c>
      <c r="B2353" s="8" t="s">
        <v>38</v>
      </c>
      <c r="C2353" s="8" t="str">
        <f>IFERROR(_xlfn.XLOOKUP(TRIM(B2353),Lookup!$B$2:$B$1000,Lookup!$C$2:$C$1000),"")</f>
        <v>Equity</v>
      </c>
      <c r="D2353" s="8" t="str">
        <f>IFERROR(INDEX('nav master'!$C:$C, MATCH(B2353, 'nav master'!$B:$B, 0)), "")</f>
        <v>ULIF 160 290725 AlphaIndIF 105</v>
      </c>
      <c r="E2353" s="8">
        <v>8.3224999999999998</v>
      </c>
      <c r="F2353" s="9">
        <v>46083</v>
      </c>
    </row>
    <row r="2354" spans="1:6" ht="60" x14ac:dyDescent="0.25">
      <c r="A2354" s="8" t="s">
        <v>63</v>
      </c>
      <c r="B2354" s="8" t="s">
        <v>38</v>
      </c>
      <c r="C2354" s="8" t="str">
        <f>IFERROR(_xlfn.XLOOKUP(TRIM(B2354),Lookup!$B$2:$B$1000,Lookup!$C$2:$C$1000),"")</f>
        <v>Equity</v>
      </c>
      <c r="D2354" s="8" t="str">
        <f>IFERROR(INDEX('nav master'!$C:$C, MATCH(B2354, 'nav master'!$B:$B, 0)), "")</f>
        <v>ULIF 160 290725 AlphaIndIF 105</v>
      </c>
      <c r="E2354" s="8">
        <v>8.1085999999999991</v>
      </c>
      <c r="F2354" s="9">
        <v>46085</v>
      </c>
    </row>
    <row r="2355" spans="1:6" ht="60" x14ac:dyDescent="0.25">
      <c r="A2355" s="8" t="s">
        <v>63</v>
      </c>
      <c r="B2355" s="8" t="s">
        <v>38</v>
      </c>
      <c r="C2355" s="8" t="str">
        <f>IFERROR(_xlfn.XLOOKUP(TRIM(B2355),Lookup!$B$2:$B$1000,Lookup!$C$2:$C$1000),"")</f>
        <v>Equity</v>
      </c>
      <c r="D2355" s="8" t="str">
        <f>IFERROR(INDEX('nav master'!$C:$C, MATCH(B2355, 'nav master'!$B:$B, 0)), "")</f>
        <v>ULIF 160 290725 AlphaIndIF 105</v>
      </c>
      <c r="E2355" s="8">
        <v>8.2575000000000003</v>
      </c>
      <c r="F2355" s="9">
        <v>46086</v>
      </c>
    </row>
    <row r="2356" spans="1:6" ht="60" x14ac:dyDescent="0.25">
      <c r="A2356" s="8" t="s">
        <v>63</v>
      </c>
      <c r="B2356" s="8" t="s">
        <v>38</v>
      </c>
      <c r="C2356" s="8" t="str">
        <f>IFERROR(_xlfn.XLOOKUP(TRIM(B2356),Lookup!$B$2:$B$1000,Lookup!$C$2:$C$1000),"")</f>
        <v>Equity</v>
      </c>
      <c r="D2356" s="8" t="str">
        <f>IFERROR(INDEX('nav master'!$C:$C, MATCH(B2356, 'nav master'!$B:$B, 0)), "")</f>
        <v>ULIF 160 290725 AlphaIndIF 105</v>
      </c>
      <c r="E2356" s="8">
        <v>8.1996000000000002</v>
      </c>
      <c r="F2356" s="9">
        <v>46087</v>
      </c>
    </row>
    <row r="2357" spans="1:6" ht="60" x14ac:dyDescent="0.25">
      <c r="A2357" s="8" t="s">
        <v>63</v>
      </c>
      <c r="B2357" s="8" t="s">
        <v>38</v>
      </c>
      <c r="C2357" s="8" t="str">
        <f>IFERROR(_xlfn.XLOOKUP(TRIM(B2357),Lookup!$B$2:$B$1000,Lookup!$C$2:$C$1000),"")</f>
        <v>Equity</v>
      </c>
      <c r="D2357" s="8" t="str">
        <f>IFERROR(INDEX('nav master'!$C:$C, MATCH(B2357, 'nav master'!$B:$B, 0)), "")</f>
        <v>ULIF 160 290725 AlphaIndIF 105</v>
      </c>
      <c r="E2357" s="8">
        <v>8.0416000000000007</v>
      </c>
      <c r="F2357" s="9">
        <v>46090</v>
      </c>
    </row>
    <row r="2358" spans="1:6" ht="60" x14ac:dyDescent="0.25">
      <c r="A2358" s="8" t="s">
        <v>63</v>
      </c>
      <c r="B2358" s="8" t="s">
        <v>38</v>
      </c>
      <c r="C2358" s="8" t="str">
        <f>IFERROR(_xlfn.XLOOKUP(TRIM(B2358),Lookup!$B$2:$B$1000,Lookup!$C$2:$C$1000),"")</f>
        <v>Equity</v>
      </c>
      <c r="D2358" s="8" t="str">
        <f>IFERROR(INDEX('nav master'!$C:$C, MATCH(B2358, 'nav master'!$B:$B, 0)), "")</f>
        <v>ULIF 160 290725 AlphaIndIF 105</v>
      </c>
      <c r="E2358" s="8">
        <v>8.2138000000000009</v>
      </c>
      <c r="F2358" s="9">
        <v>46091</v>
      </c>
    </row>
    <row r="2359" spans="1:6" ht="60" x14ac:dyDescent="0.25">
      <c r="A2359" s="8" t="s">
        <v>63</v>
      </c>
      <c r="B2359" s="8" t="s">
        <v>38</v>
      </c>
      <c r="C2359" s="8" t="str">
        <f>IFERROR(_xlfn.XLOOKUP(TRIM(B2359),Lookup!$B$2:$B$1000,Lookup!$C$2:$C$1000),"")</f>
        <v>Equity</v>
      </c>
      <c r="D2359" s="8" t="str">
        <f>IFERROR(INDEX('nav master'!$C:$C, MATCH(B2359, 'nav master'!$B:$B, 0)), "")</f>
        <v>ULIF 160 290725 AlphaIndIF 105</v>
      </c>
      <c r="E2359" s="8">
        <v>8.0601000000000003</v>
      </c>
      <c r="F2359" s="9">
        <v>46092</v>
      </c>
    </row>
    <row r="2360" spans="1:6" ht="60" x14ac:dyDescent="0.25">
      <c r="A2360" s="8" t="s">
        <v>63</v>
      </c>
      <c r="B2360" s="8" t="s">
        <v>38</v>
      </c>
      <c r="C2360" s="8" t="str">
        <f>IFERROR(_xlfn.XLOOKUP(TRIM(B2360),Lookup!$B$2:$B$1000,Lookup!$C$2:$C$1000),"")</f>
        <v>Equity</v>
      </c>
      <c r="D2360" s="8" t="str">
        <f>IFERROR(INDEX('nav master'!$C:$C, MATCH(B2360, 'nav master'!$B:$B, 0)), "")</f>
        <v>ULIF 160 290725 AlphaIndIF 105</v>
      </c>
      <c r="E2360" s="8">
        <v>7.9829999999999997</v>
      </c>
      <c r="F2360" s="9">
        <v>46093</v>
      </c>
    </row>
    <row r="2361" spans="1:6" ht="60" x14ac:dyDescent="0.25">
      <c r="A2361" s="8" t="s">
        <v>63</v>
      </c>
      <c r="B2361" s="8" t="s">
        <v>38</v>
      </c>
      <c r="C2361" s="8" t="str">
        <f>IFERROR(_xlfn.XLOOKUP(TRIM(B2361),Lookup!$B$2:$B$1000,Lookup!$C$2:$C$1000),"")</f>
        <v>Equity</v>
      </c>
      <c r="D2361" s="8" t="str">
        <f>IFERROR(INDEX('nav master'!$C:$C, MATCH(B2361, 'nav master'!$B:$B, 0)), "")</f>
        <v>ULIF 160 290725 AlphaIndIF 105</v>
      </c>
      <c r="E2361" s="8">
        <v>7.7911000000000001</v>
      </c>
      <c r="F2361" s="9">
        <v>46094</v>
      </c>
    </row>
    <row r="2362" spans="1:6" ht="60" x14ac:dyDescent="0.25">
      <c r="A2362" s="8" t="s">
        <v>63</v>
      </c>
      <c r="B2362" s="8" t="s">
        <v>38</v>
      </c>
      <c r="C2362" s="8" t="str">
        <f>IFERROR(_xlfn.XLOOKUP(TRIM(B2362),Lookup!$B$2:$B$1000,Lookup!$C$2:$C$1000),"")</f>
        <v>Equity</v>
      </c>
      <c r="D2362" s="8" t="str">
        <f>IFERROR(INDEX('nav master'!$C:$C, MATCH(B2362, 'nav master'!$B:$B, 0)), "")</f>
        <v>ULIF 160 290725 AlphaIndIF 105</v>
      </c>
      <c r="E2362" s="8">
        <v>7.8101000000000003</v>
      </c>
      <c r="F2362" s="9">
        <v>46097</v>
      </c>
    </row>
    <row r="2363" spans="1:6" ht="60" x14ac:dyDescent="0.25">
      <c r="A2363" s="8" t="s">
        <v>63</v>
      </c>
      <c r="B2363" s="8" t="s">
        <v>38</v>
      </c>
      <c r="C2363" s="8" t="str">
        <f>IFERROR(_xlfn.XLOOKUP(TRIM(B2363),Lookup!$B$2:$B$1000,Lookup!$C$2:$C$1000),"")</f>
        <v>Equity</v>
      </c>
      <c r="D2363" s="8" t="str">
        <f>IFERROR(INDEX('nav master'!$C:$C, MATCH(B2363, 'nav master'!$B:$B, 0)), "")</f>
        <v>ULIF 160 290725 AlphaIndIF 105</v>
      </c>
      <c r="E2363" s="8">
        <v>7.9170999999999996</v>
      </c>
      <c r="F2363" s="9">
        <v>46098</v>
      </c>
    </row>
    <row r="2364" spans="1:6" ht="60" x14ac:dyDescent="0.25">
      <c r="A2364" s="8" t="s">
        <v>63</v>
      </c>
      <c r="B2364" s="8" t="s">
        <v>38</v>
      </c>
      <c r="C2364" s="8" t="str">
        <f>IFERROR(_xlfn.XLOOKUP(TRIM(B2364),Lookup!$B$2:$B$1000,Lookup!$C$2:$C$1000),"")</f>
        <v>Equity</v>
      </c>
      <c r="D2364" s="8" t="str">
        <f>IFERROR(INDEX('nav master'!$C:$C, MATCH(B2364, 'nav master'!$B:$B, 0)), "")</f>
        <v>ULIF 160 290725 AlphaIndIF 105</v>
      </c>
      <c r="E2364" s="8">
        <v>8.0180000000000007</v>
      </c>
      <c r="F2364" s="9">
        <v>46099</v>
      </c>
    </row>
    <row r="2365" spans="1:6" ht="60" x14ac:dyDescent="0.25">
      <c r="A2365" s="8" t="s">
        <v>63</v>
      </c>
      <c r="B2365" s="8" t="s">
        <v>38</v>
      </c>
      <c r="C2365" s="8" t="str">
        <f>IFERROR(_xlfn.XLOOKUP(TRIM(B2365),Lookup!$B$2:$B$1000,Lookup!$C$2:$C$1000),"")</f>
        <v>Equity</v>
      </c>
      <c r="D2365" s="8" t="str">
        <f>IFERROR(INDEX('nav master'!$C:$C, MATCH(B2365, 'nav master'!$B:$B, 0)), "")</f>
        <v>ULIF 160 290725 AlphaIndIF 105</v>
      </c>
      <c r="E2365" s="8">
        <v>7.7614000000000001</v>
      </c>
      <c r="F2365" s="9">
        <v>46100</v>
      </c>
    </row>
    <row r="2366" spans="1:6" ht="60" x14ac:dyDescent="0.25">
      <c r="A2366" s="8" t="s">
        <v>63</v>
      </c>
      <c r="B2366" s="8" t="s">
        <v>38</v>
      </c>
      <c r="C2366" s="8" t="str">
        <f>IFERROR(_xlfn.XLOOKUP(TRIM(B2366),Lookup!$B$2:$B$1000,Lookup!$C$2:$C$1000),"")</f>
        <v>Equity</v>
      </c>
      <c r="D2366" s="8" t="str">
        <f>IFERROR(INDEX('nav master'!$C:$C, MATCH(B2366, 'nav master'!$B:$B, 0)), "")</f>
        <v>ULIF 160 290725 AlphaIndIF 105</v>
      </c>
      <c r="E2366" s="8">
        <v>7.7575000000000003</v>
      </c>
      <c r="F2366" s="9">
        <v>46101</v>
      </c>
    </row>
    <row r="2367" spans="1:6" ht="60" x14ac:dyDescent="0.25">
      <c r="A2367" s="8" t="s">
        <v>63</v>
      </c>
      <c r="B2367" s="8" t="s">
        <v>38</v>
      </c>
      <c r="C2367" s="8" t="str">
        <f>IFERROR(_xlfn.XLOOKUP(TRIM(B2367),Lookup!$B$2:$B$1000,Lookup!$C$2:$C$1000),"")</f>
        <v>Equity</v>
      </c>
      <c r="D2367" s="8" t="str">
        <f>IFERROR(INDEX('nav master'!$C:$C, MATCH(B2367, 'nav master'!$B:$B, 0)), "")</f>
        <v>ULIF 160 290725 AlphaIndIF 105</v>
      </c>
      <c r="E2367" s="8">
        <v>7.4602000000000004</v>
      </c>
      <c r="F2367" s="9">
        <v>46104</v>
      </c>
    </row>
    <row r="2368" spans="1:6" ht="60" x14ac:dyDescent="0.25">
      <c r="A2368" s="8" t="s">
        <v>63</v>
      </c>
      <c r="B2368" s="8" t="s">
        <v>38</v>
      </c>
      <c r="C2368" s="8" t="str">
        <f>IFERROR(_xlfn.XLOOKUP(TRIM(B2368),Lookup!$B$2:$B$1000,Lookup!$C$2:$C$1000),"")</f>
        <v>Equity</v>
      </c>
      <c r="D2368" s="8" t="str">
        <f>IFERROR(INDEX('nav master'!$C:$C, MATCH(B2368, 'nav master'!$B:$B, 0)), "")</f>
        <v>ULIF 160 290725 AlphaIndIF 105</v>
      </c>
      <c r="E2368" s="8">
        <v>7.6429999999999998</v>
      </c>
      <c r="F2368" s="9">
        <v>46105</v>
      </c>
    </row>
    <row r="2369" spans="1:6" ht="60" x14ac:dyDescent="0.25">
      <c r="A2369" s="8" t="s">
        <v>63</v>
      </c>
      <c r="B2369" s="8" t="s">
        <v>38</v>
      </c>
      <c r="C2369" s="8" t="str">
        <f>IFERROR(_xlfn.XLOOKUP(TRIM(B2369),Lookup!$B$2:$B$1000,Lookup!$C$2:$C$1000),"")</f>
        <v>Equity</v>
      </c>
      <c r="D2369" s="8" t="str">
        <f>IFERROR(INDEX('nav master'!$C:$C, MATCH(B2369, 'nav master'!$B:$B, 0)), "")</f>
        <v>ULIF 160 290725 AlphaIndIF 105</v>
      </c>
      <c r="E2369" s="8">
        <v>7.8514999999999997</v>
      </c>
      <c r="F2369" s="9">
        <v>46106</v>
      </c>
    </row>
    <row r="2370" spans="1:6" ht="60" x14ac:dyDescent="0.25">
      <c r="A2370" s="8" t="s">
        <v>63</v>
      </c>
      <c r="B2370" s="8" t="s">
        <v>38</v>
      </c>
      <c r="C2370" s="8" t="str">
        <f>IFERROR(_xlfn.XLOOKUP(TRIM(B2370),Lookup!$B$2:$B$1000,Lookup!$C$2:$C$1000),"")</f>
        <v>Equity</v>
      </c>
      <c r="D2370" s="8" t="str">
        <f>IFERROR(INDEX('nav master'!$C:$C, MATCH(B2370, 'nav master'!$B:$B, 0)), "")</f>
        <v>ULIF 160 290725 AlphaIndIF 105</v>
      </c>
      <c r="E2370" s="8">
        <v>7.6355000000000004</v>
      </c>
      <c r="F2370" s="9">
        <v>46108</v>
      </c>
    </row>
    <row r="2371" spans="1:6" ht="60" x14ac:dyDescent="0.25">
      <c r="A2371" s="8" t="s">
        <v>63</v>
      </c>
      <c r="B2371" s="8" t="s">
        <v>38</v>
      </c>
      <c r="C2371" s="8" t="str">
        <f>IFERROR(_xlfn.XLOOKUP(TRIM(B2371),Lookup!$B$2:$B$1000,Lookup!$C$2:$C$1000),"")</f>
        <v>Equity</v>
      </c>
      <c r="D2371" s="8" t="str">
        <f>IFERROR(INDEX('nav master'!$C:$C, MATCH(B2371, 'nav master'!$B:$B, 0)), "")</f>
        <v>ULIF 160 290725 AlphaIndIF 105</v>
      </c>
      <c r="E2371" s="8">
        <v>7.4119999999999999</v>
      </c>
      <c r="F2371" s="9">
        <v>46111</v>
      </c>
    </row>
    <row r="2372" spans="1:6" ht="60" x14ac:dyDescent="0.25">
      <c r="A2372" s="8" t="s">
        <v>63</v>
      </c>
      <c r="B2372" s="8" t="s">
        <v>38</v>
      </c>
      <c r="C2372" s="8" t="str">
        <f>IFERROR(_xlfn.XLOOKUP(TRIM(B2372),Lookup!$B$2:$B$1000,Lookup!$C$2:$C$1000),"")</f>
        <v>Equity</v>
      </c>
      <c r="D2372" s="8" t="str">
        <f>IFERROR(INDEX('nav master'!$C:$C, MATCH(B2372, 'nav master'!$B:$B, 0)), "")</f>
        <v>ULIF 160 290725 AlphaIndIF 105</v>
      </c>
      <c r="E2372" s="8">
        <v>7.4118000000000004</v>
      </c>
      <c r="F2372" s="9">
        <v>46112</v>
      </c>
    </row>
    <row r="2373" spans="1:6" ht="60" x14ac:dyDescent="0.25">
      <c r="A2373" s="8" t="s">
        <v>63</v>
      </c>
      <c r="B2373" s="8" t="s">
        <v>38</v>
      </c>
      <c r="C2373" s="8" t="str">
        <f>IFERROR(_xlfn.XLOOKUP(TRIM(B2373),Lookup!$B$2:$B$1000,Lookup!$C$2:$C$1000),"")</f>
        <v>Equity</v>
      </c>
      <c r="D2373" s="8" t="str">
        <f>IFERROR(INDEX('nav master'!$C:$C, MATCH(B2373, 'nav master'!$B:$B, 0)), "")</f>
        <v>ULIF 160 290725 AlphaIndIF 105</v>
      </c>
      <c r="E2373" s="8">
        <v>7.6177000000000001</v>
      </c>
      <c r="F2373" s="9">
        <v>46113</v>
      </c>
    </row>
    <row r="2374" spans="1:6" ht="60" x14ac:dyDescent="0.25">
      <c r="A2374" s="8" t="s">
        <v>63</v>
      </c>
      <c r="B2374" s="8" t="s">
        <v>38</v>
      </c>
      <c r="C2374" s="8" t="str">
        <f>IFERROR(_xlfn.XLOOKUP(TRIM(B2374),Lookup!$B$2:$B$1000,Lookup!$C$2:$C$1000),"")</f>
        <v>Equity</v>
      </c>
      <c r="D2374" s="8" t="str">
        <f>IFERROR(INDEX('nav master'!$C:$C, MATCH(B2374, 'nav master'!$B:$B, 0)), "")</f>
        <v>ULIF 160 290725 AlphaIndIF 105</v>
      </c>
      <c r="E2374" s="8">
        <v>7.5814000000000004</v>
      </c>
      <c r="F2374" s="9">
        <v>46114</v>
      </c>
    </row>
    <row r="2375" spans="1:6" ht="60" x14ac:dyDescent="0.25">
      <c r="A2375" s="8" t="s">
        <v>63</v>
      </c>
      <c r="B2375" s="8" t="s">
        <v>38</v>
      </c>
      <c r="C2375" s="8" t="str">
        <f>IFERROR(_xlfn.XLOOKUP(TRIM(B2375),Lookup!$B$2:$B$1000,Lookup!$C$2:$C$1000),"")</f>
        <v>Equity</v>
      </c>
      <c r="D2375" s="8" t="str">
        <f>IFERROR(INDEX('nav master'!$C:$C, MATCH(B2375, 'nav master'!$B:$B, 0)), "")</f>
        <v>ULIF 160 290725 AlphaIndIF 105</v>
      </c>
      <c r="E2375" s="8">
        <v>7.7008999999999999</v>
      </c>
      <c r="F2375" s="9">
        <v>46118</v>
      </c>
    </row>
    <row r="2376" spans="1:6" ht="60" x14ac:dyDescent="0.25">
      <c r="A2376" s="8" t="s">
        <v>63</v>
      </c>
      <c r="B2376" s="8" t="s">
        <v>38</v>
      </c>
      <c r="C2376" s="8" t="str">
        <f>IFERROR(_xlfn.XLOOKUP(TRIM(B2376),Lookup!$B$2:$B$1000,Lookup!$C$2:$C$1000),"")</f>
        <v>Equity</v>
      </c>
      <c r="D2376" s="8" t="str">
        <f>IFERROR(INDEX('nav master'!$C:$C, MATCH(B2376, 'nav master'!$B:$B, 0)), "")</f>
        <v>ULIF 160 290725 AlphaIndIF 105</v>
      </c>
      <c r="E2376" s="8">
        <v>7.7009999999999996</v>
      </c>
      <c r="F2376" s="9">
        <v>46119</v>
      </c>
    </row>
    <row r="2377" spans="1:6" ht="60" x14ac:dyDescent="0.25">
      <c r="A2377" s="8" t="s">
        <v>63</v>
      </c>
      <c r="B2377" s="8" t="s">
        <v>38</v>
      </c>
      <c r="C2377" s="8" t="str">
        <f>IFERROR(_xlfn.XLOOKUP(TRIM(B2377),Lookup!$B$2:$B$1000,Lookup!$C$2:$C$1000),"")</f>
        <v>Equity</v>
      </c>
      <c r="D2377" s="8" t="str">
        <f>IFERROR(INDEX('nav master'!$C:$C, MATCH(B2377, 'nav master'!$B:$B, 0)), "")</f>
        <v>ULIF 160 290725 AlphaIndIF 105</v>
      </c>
      <c r="E2377" s="8">
        <v>8.0592000000000006</v>
      </c>
      <c r="F2377" s="9">
        <v>46120</v>
      </c>
    </row>
    <row r="2378" spans="1:6" ht="60" x14ac:dyDescent="0.25">
      <c r="A2378" s="8" t="s">
        <v>63</v>
      </c>
      <c r="B2378" s="8" t="s">
        <v>38</v>
      </c>
      <c r="C2378" s="8" t="str">
        <f>IFERROR(_xlfn.XLOOKUP(TRIM(B2378),Lookup!$B$2:$B$1000,Lookup!$C$2:$C$1000),"")</f>
        <v>Equity</v>
      </c>
      <c r="D2378" s="8" t="str">
        <f>IFERROR(INDEX('nav master'!$C:$C, MATCH(B2378, 'nav master'!$B:$B, 0)), "")</f>
        <v>ULIF 160 290725 AlphaIndIF 105</v>
      </c>
      <c r="E2378" s="8">
        <v>8.0975000000000001</v>
      </c>
      <c r="F2378" s="9">
        <v>46121</v>
      </c>
    </row>
    <row r="2379" spans="1:6" ht="60" x14ac:dyDescent="0.25">
      <c r="A2379" s="8" t="s">
        <v>63</v>
      </c>
      <c r="B2379" s="8" t="s">
        <v>38</v>
      </c>
      <c r="C2379" s="8" t="str">
        <f>IFERROR(_xlfn.XLOOKUP(TRIM(B2379),Lookup!$B$2:$B$1000,Lookup!$C$2:$C$1000),"")</f>
        <v>Equity</v>
      </c>
      <c r="D2379" s="8" t="str">
        <f>IFERROR(INDEX('nav master'!$C:$C, MATCH(B2379, 'nav master'!$B:$B, 0)), "")</f>
        <v>ULIF 160 290725 AlphaIndIF 105</v>
      </c>
      <c r="E2379" s="8">
        <v>8.2751000000000001</v>
      </c>
      <c r="F2379" s="9">
        <v>46122</v>
      </c>
    </row>
    <row r="2380" spans="1:6" ht="60" x14ac:dyDescent="0.25">
      <c r="A2380" s="8" t="s">
        <v>63</v>
      </c>
      <c r="B2380" s="8" t="s">
        <v>38</v>
      </c>
      <c r="C2380" s="8" t="str">
        <f>IFERROR(_xlfn.XLOOKUP(TRIM(B2380),Lookup!$B$2:$B$1000,Lookup!$C$2:$C$1000),"")</f>
        <v>Equity</v>
      </c>
      <c r="D2380" s="8" t="str">
        <f>IFERROR(INDEX('nav master'!$C:$C, MATCH(B2380, 'nav master'!$B:$B, 0)), "")</f>
        <v>ULIF 160 290725 AlphaIndIF 105</v>
      </c>
      <c r="E2380" s="8">
        <v>8.2231000000000005</v>
      </c>
      <c r="F2380" s="9">
        <v>46125</v>
      </c>
    </row>
    <row r="2381" spans="1:6" ht="60" x14ac:dyDescent="0.25">
      <c r="A2381" s="8" t="s">
        <v>63</v>
      </c>
      <c r="B2381" s="8" t="s">
        <v>38</v>
      </c>
      <c r="C2381" s="8" t="str">
        <f>IFERROR(_xlfn.XLOOKUP(TRIM(B2381),Lookup!$B$2:$B$1000,Lookup!$C$2:$C$1000),"")</f>
        <v>Equity</v>
      </c>
      <c r="D2381" s="8" t="str">
        <f>IFERROR(INDEX('nav master'!$C:$C, MATCH(B2381, 'nav master'!$B:$B, 0)), "")</f>
        <v>ULIF 160 290725 AlphaIndIF 105</v>
      </c>
      <c r="E2381" s="8">
        <v>8.3666999999999998</v>
      </c>
      <c r="F2381" s="9">
        <v>46127</v>
      </c>
    </row>
    <row r="2382" spans="1:6" ht="60" x14ac:dyDescent="0.25">
      <c r="A2382" s="8" t="s">
        <v>63</v>
      </c>
      <c r="B2382" s="8" t="s">
        <v>38</v>
      </c>
      <c r="C2382" s="8" t="str">
        <f>IFERROR(_xlfn.XLOOKUP(TRIM(B2382),Lookup!$B$2:$B$1000,Lookup!$C$2:$C$1000),"")</f>
        <v>Equity</v>
      </c>
      <c r="D2382" s="8" t="str">
        <f>IFERROR(INDEX('nav master'!$C:$C, MATCH(B2382, 'nav master'!$B:$B, 0)), "")</f>
        <v>ULIF 160 290725 AlphaIndIF 105</v>
      </c>
      <c r="E2382" s="8">
        <v>8.3971999999999998</v>
      </c>
      <c r="F2382" s="9">
        <v>46128</v>
      </c>
    </row>
    <row r="2383" spans="1:6" ht="60" x14ac:dyDescent="0.25">
      <c r="A2383" s="8" t="s">
        <v>63</v>
      </c>
      <c r="B2383" s="8" t="s">
        <v>38</v>
      </c>
      <c r="C2383" s="8" t="str">
        <f>IFERROR(_xlfn.XLOOKUP(TRIM(B2383),Lookup!$B$2:$B$1000,Lookup!$C$2:$C$1000),"")</f>
        <v>Equity</v>
      </c>
      <c r="D2383" s="8" t="str">
        <f>IFERROR(INDEX('nav master'!$C:$C, MATCH(B2383, 'nav master'!$B:$B, 0)), "")</f>
        <v>ULIF 160 290725 AlphaIndIF 105</v>
      </c>
      <c r="E2383" s="8">
        <v>8.4884000000000004</v>
      </c>
      <c r="F2383" s="9">
        <v>46129</v>
      </c>
    </row>
    <row r="2384" spans="1:6" ht="60" x14ac:dyDescent="0.25">
      <c r="A2384" s="8" t="s">
        <v>63</v>
      </c>
      <c r="B2384" s="8" t="s">
        <v>38</v>
      </c>
      <c r="C2384" s="8" t="str">
        <f>IFERROR(_xlfn.XLOOKUP(TRIM(B2384),Lookup!$B$2:$B$1000,Lookup!$C$2:$C$1000),"")</f>
        <v>Equity</v>
      </c>
      <c r="D2384" s="8" t="str">
        <f>IFERROR(INDEX('nav master'!$C:$C, MATCH(B2384, 'nav master'!$B:$B, 0)), "")</f>
        <v>ULIF 160 290725 AlphaIndIF 105</v>
      </c>
      <c r="E2384" s="8">
        <v>8.5023</v>
      </c>
      <c r="F2384" s="9">
        <v>46132</v>
      </c>
    </row>
    <row r="2385" spans="1:6" ht="60" x14ac:dyDescent="0.25">
      <c r="A2385" s="8" t="s">
        <v>63</v>
      </c>
      <c r="B2385" s="8" t="s">
        <v>38</v>
      </c>
      <c r="C2385" s="8" t="str">
        <f>IFERROR(_xlfn.XLOOKUP(TRIM(B2385),Lookup!$B$2:$B$1000,Lookup!$C$2:$C$1000),"")</f>
        <v>Equity</v>
      </c>
      <c r="D2385" s="8" t="str">
        <f>IFERROR(INDEX('nav master'!$C:$C, MATCH(B2385, 'nav master'!$B:$B, 0)), "")</f>
        <v>ULIF 160 290725 AlphaIndIF 105</v>
      </c>
      <c r="E2385" s="8">
        <v>8.5175999999999998</v>
      </c>
      <c r="F2385" s="9">
        <v>46133</v>
      </c>
    </row>
    <row r="2386" spans="1:6" ht="60" x14ac:dyDescent="0.25">
      <c r="A2386" s="8" t="s">
        <v>63</v>
      </c>
      <c r="B2386" s="8" t="s">
        <v>38</v>
      </c>
      <c r="C2386" s="8" t="str">
        <f>IFERROR(_xlfn.XLOOKUP(TRIM(B2386),Lookup!$B$2:$B$1000,Lookup!$C$2:$C$1000),"")</f>
        <v>Equity</v>
      </c>
      <c r="D2386" s="8" t="str">
        <f>IFERROR(INDEX('nav master'!$C:$C, MATCH(B2386, 'nav master'!$B:$B, 0)), "")</f>
        <v>ULIF 160 290725 AlphaIndIF 105</v>
      </c>
      <c r="E2386" s="8">
        <v>8.5238999999999994</v>
      </c>
      <c r="F2386" s="9">
        <v>46134</v>
      </c>
    </row>
    <row r="2387" spans="1:6" ht="60" x14ac:dyDescent="0.25">
      <c r="A2387" s="8" t="s">
        <v>63</v>
      </c>
      <c r="B2387" s="8" t="s">
        <v>38</v>
      </c>
      <c r="C2387" s="8" t="str">
        <f>IFERROR(_xlfn.XLOOKUP(TRIM(B2387),Lookup!$B$2:$B$1000,Lookup!$C$2:$C$1000),"")</f>
        <v>Equity</v>
      </c>
      <c r="D2387" s="8" t="str">
        <f>IFERROR(INDEX('nav master'!$C:$C, MATCH(B2387, 'nav master'!$B:$B, 0)), "")</f>
        <v>ULIF 160 290725 AlphaIndIF 105</v>
      </c>
      <c r="E2387" s="8">
        <v>8.4741999999999997</v>
      </c>
      <c r="F2387" s="9">
        <v>46135</v>
      </c>
    </row>
    <row r="2388" spans="1:6" ht="60" x14ac:dyDescent="0.25">
      <c r="A2388" s="8" t="s">
        <v>63</v>
      </c>
      <c r="B2388" s="8" t="s">
        <v>38</v>
      </c>
      <c r="C2388" s="8" t="str">
        <f>IFERROR(_xlfn.XLOOKUP(TRIM(B2388),Lookup!$B$2:$B$1000,Lookup!$C$2:$C$1000),"")</f>
        <v>Equity</v>
      </c>
      <c r="D2388" s="8" t="str">
        <f>IFERROR(INDEX('nav master'!$C:$C, MATCH(B2388, 'nav master'!$B:$B, 0)), "")</f>
        <v>ULIF 160 290725 AlphaIndIF 105</v>
      </c>
      <c r="E2388" s="8">
        <v>8.4337999999999997</v>
      </c>
      <c r="F2388" s="9">
        <v>46136</v>
      </c>
    </row>
    <row r="2389" spans="1:6" ht="60" x14ac:dyDescent="0.25">
      <c r="A2389" s="8" t="s">
        <v>63</v>
      </c>
      <c r="B2389" s="8" t="s">
        <v>38</v>
      </c>
      <c r="C2389" s="8" t="str">
        <f>IFERROR(_xlfn.XLOOKUP(TRIM(B2389),Lookup!$B$2:$B$1000,Lookup!$C$2:$C$1000),"")</f>
        <v>Equity</v>
      </c>
      <c r="D2389" s="8" t="str">
        <f>IFERROR(INDEX('nav master'!$C:$C, MATCH(B2389, 'nav master'!$B:$B, 0)), "")</f>
        <v>ULIF 160 290725 AlphaIndIF 105</v>
      </c>
      <c r="E2389" s="8">
        <v>8.5169999999999995</v>
      </c>
      <c r="F2389" s="9">
        <v>46139</v>
      </c>
    </row>
    <row r="2390" spans="1:6" ht="60" x14ac:dyDescent="0.25">
      <c r="A2390" s="8" t="s">
        <v>63</v>
      </c>
      <c r="B2390" s="8" t="s">
        <v>38</v>
      </c>
      <c r="C2390" s="8" t="str">
        <f>IFERROR(_xlfn.XLOOKUP(TRIM(B2390),Lookup!$B$2:$B$1000,Lookup!$C$2:$C$1000),"")</f>
        <v>Equity</v>
      </c>
      <c r="D2390" s="8" t="str">
        <f>IFERROR(INDEX('nav master'!$C:$C, MATCH(B2390, 'nav master'!$B:$B, 0)), "")</f>
        <v>ULIF 160 290725 AlphaIndIF 105</v>
      </c>
      <c r="E2390" s="8">
        <v>8.4924999999999997</v>
      </c>
      <c r="F2390" s="9">
        <v>46140</v>
      </c>
    </row>
    <row r="2391" spans="1:6" ht="60" x14ac:dyDescent="0.25">
      <c r="A2391" s="8" t="s">
        <v>63</v>
      </c>
      <c r="B2391" s="8" t="s">
        <v>38</v>
      </c>
      <c r="C2391" s="8" t="str">
        <f>IFERROR(_xlfn.XLOOKUP(TRIM(B2391),Lookup!$B$2:$B$1000,Lookup!$C$2:$C$1000),"")</f>
        <v>Equity</v>
      </c>
      <c r="D2391" s="8" t="str">
        <f>IFERROR(INDEX('nav master'!$C:$C, MATCH(B2391, 'nav master'!$B:$B, 0)), "")</f>
        <v>ULIF 160 290725 AlphaIndIF 105</v>
      </c>
      <c r="E2391" s="8">
        <v>8.5207999999999995</v>
      </c>
      <c r="F2391" s="9">
        <v>46141</v>
      </c>
    </row>
    <row r="2392" spans="1:6" ht="60" x14ac:dyDescent="0.25">
      <c r="A2392" s="8" t="s">
        <v>63</v>
      </c>
      <c r="B2392" s="8" t="s">
        <v>38</v>
      </c>
      <c r="C2392" s="8" t="str">
        <f>IFERROR(_xlfn.XLOOKUP(TRIM(B2392),Lookup!$B$2:$B$1000,Lookup!$C$2:$C$1000),"")</f>
        <v>Equity</v>
      </c>
      <c r="D2392" s="8" t="str">
        <f>IFERROR(INDEX('nav master'!$C:$C, MATCH(B2392, 'nav master'!$B:$B, 0)), "")</f>
        <v>ULIF 160 290725 AlphaIndIF 105</v>
      </c>
      <c r="E2392" s="8">
        <v>8.4407999999999994</v>
      </c>
      <c r="F2392" s="9">
        <v>46142</v>
      </c>
    </row>
    <row r="2393" spans="1:6" ht="60" x14ac:dyDescent="0.25">
      <c r="A2393" s="8" t="s">
        <v>63</v>
      </c>
      <c r="B2393" s="8" t="s">
        <v>38</v>
      </c>
      <c r="C2393" s="8" t="str">
        <f>IFERROR(_xlfn.XLOOKUP(TRIM(B2393),Lookup!$B$2:$B$1000,Lookup!$C$2:$C$1000),"")</f>
        <v>Equity</v>
      </c>
      <c r="D2393" s="8" t="str">
        <f>IFERROR(INDEX('nav master'!$C:$C, MATCH(B2393, 'nav master'!$B:$B, 0)), "")</f>
        <v>ULIF 160 290725 AlphaIndIF 105</v>
      </c>
      <c r="E2393" s="8">
        <v>8.5000999999999998</v>
      </c>
      <c r="F2393" s="9">
        <v>46146</v>
      </c>
    </row>
    <row r="2394" spans="1:6" ht="60" x14ac:dyDescent="0.25">
      <c r="A2394" s="8" t="s">
        <v>63</v>
      </c>
      <c r="B2394" s="8" t="s">
        <v>38</v>
      </c>
      <c r="C2394" s="8" t="str">
        <f>IFERROR(_xlfn.XLOOKUP(TRIM(B2394),Lookup!$B$2:$B$1000,Lookup!$C$2:$C$1000),"")</f>
        <v>Equity</v>
      </c>
      <c r="D2394" s="8" t="str">
        <f>IFERROR(INDEX('nav master'!$C:$C, MATCH(B2394, 'nav master'!$B:$B, 0)), "")</f>
        <v>ULIF 160 290725 AlphaIndIF 105</v>
      </c>
      <c r="E2394" s="8">
        <v>8.5396000000000001</v>
      </c>
      <c r="F2394" s="9">
        <v>46147</v>
      </c>
    </row>
    <row r="2395" spans="1:6" ht="60" x14ac:dyDescent="0.25">
      <c r="A2395" s="8" t="s">
        <v>63</v>
      </c>
      <c r="B2395" s="8" t="s">
        <v>38</v>
      </c>
      <c r="C2395" s="8" t="str">
        <f>IFERROR(_xlfn.XLOOKUP(TRIM(B2395),Lookup!$B$2:$B$1000,Lookup!$C$2:$C$1000),"")</f>
        <v>Equity</v>
      </c>
      <c r="D2395" s="8" t="str">
        <f>IFERROR(INDEX('nav master'!$C:$C, MATCH(B2395, 'nav master'!$B:$B, 0)), "")</f>
        <v>ULIF 160 290725 AlphaIndIF 105</v>
      </c>
      <c r="E2395" s="8">
        <v>8.6591000000000005</v>
      </c>
      <c r="F2395" s="9">
        <v>46148</v>
      </c>
    </row>
    <row r="2396" spans="1:6" ht="60" x14ac:dyDescent="0.25">
      <c r="A2396" s="8" t="s">
        <v>63</v>
      </c>
      <c r="B2396" s="8" t="s">
        <v>38</v>
      </c>
      <c r="C2396" s="8" t="str">
        <f>IFERROR(_xlfn.XLOOKUP(TRIM(B2396),Lookup!$B$2:$B$1000,Lookup!$C$2:$C$1000),"")</f>
        <v>Equity</v>
      </c>
      <c r="D2396" s="8" t="str">
        <f>IFERROR(INDEX('nav master'!$C:$C, MATCH(B2396, 'nav master'!$B:$B, 0)), "")</f>
        <v>ULIF 160 290725 AlphaIndIF 105</v>
      </c>
      <c r="E2396" s="8">
        <v>8.8094000000000001</v>
      </c>
      <c r="F2396" s="9">
        <v>46149</v>
      </c>
    </row>
    <row r="2397" spans="1:6" ht="60" x14ac:dyDescent="0.25">
      <c r="A2397" s="8" t="s">
        <v>63</v>
      </c>
      <c r="B2397" s="8" t="s">
        <v>38</v>
      </c>
      <c r="C2397" s="8" t="str">
        <f>IFERROR(_xlfn.XLOOKUP(TRIM(B2397),Lookup!$B$2:$B$1000,Lookup!$C$2:$C$1000),"")</f>
        <v>Equity</v>
      </c>
      <c r="D2397" s="8" t="str">
        <f>IFERROR(INDEX('nav master'!$C:$C, MATCH(B2397, 'nav master'!$B:$B, 0)), "")</f>
        <v>ULIF 160 290725 AlphaIndIF 105</v>
      </c>
      <c r="E2397" s="8">
        <v>8.7407000000000004</v>
      </c>
      <c r="F2397" s="9">
        <v>46150</v>
      </c>
    </row>
    <row r="2398" spans="1:6" ht="60" x14ac:dyDescent="0.25">
      <c r="A2398" s="8" t="s">
        <v>63</v>
      </c>
      <c r="B2398" s="8" t="s">
        <v>38</v>
      </c>
      <c r="C2398" s="8" t="str">
        <f>IFERROR(_xlfn.XLOOKUP(TRIM(B2398),Lookup!$B$2:$B$1000,Lookup!$C$2:$C$1000),"")</f>
        <v>Equity</v>
      </c>
      <c r="D2398" s="8" t="str">
        <f>IFERROR(INDEX('nav master'!$C:$C, MATCH(B2398, 'nav master'!$B:$B, 0)), "")</f>
        <v>ULIF 160 290725 AlphaIndIF 105</v>
      </c>
      <c r="E2398" s="8">
        <v>8.6395</v>
      </c>
      <c r="F2398" s="9">
        <v>46153</v>
      </c>
    </row>
    <row r="2399" spans="1:6" ht="60" x14ac:dyDescent="0.25">
      <c r="A2399" s="8" t="s">
        <v>63</v>
      </c>
      <c r="B2399" s="8" t="s">
        <v>38</v>
      </c>
      <c r="C2399" s="8" t="str">
        <f>IFERROR(_xlfn.XLOOKUP(TRIM(B2399),Lookup!$B$2:$B$1000,Lookup!$C$2:$C$1000),"")</f>
        <v>Equity</v>
      </c>
      <c r="D2399" s="8" t="str">
        <f>IFERROR(INDEX('nav master'!$C:$C, MATCH(B2399, 'nav master'!$B:$B, 0)), "")</f>
        <v>ULIF 160 290725 AlphaIndIF 105</v>
      </c>
      <c r="E2399" s="8">
        <v>8.4436</v>
      </c>
      <c r="F2399" s="9">
        <v>46154</v>
      </c>
    </row>
    <row r="2400" spans="1:6" ht="60" x14ac:dyDescent="0.25">
      <c r="A2400" s="8" t="s">
        <v>63</v>
      </c>
      <c r="B2400" s="8" t="s">
        <v>38</v>
      </c>
      <c r="C2400" s="8" t="str">
        <f>IFERROR(_xlfn.XLOOKUP(TRIM(B2400),Lookup!$B$2:$B$1000,Lookup!$C$2:$C$1000),"")</f>
        <v>Equity</v>
      </c>
      <c r="D2400" s="8" t="str">
        <f>IFERROR(INDEX('nav master'!$C:$C, MATCH(B2400, 'nav master'!$B:$B, 0)), "")</f>
        <v>ULIF 160 290725 AlphaIndIF 105</v>
      </c>
      <c r="E2400" s="8">
        <v>8.4907000000000004</v>
      </c>
      <c r="F2400" s="9">
        <v>46155</v>
      </c>
    </row>
    <row r="2401" spans="1:6" ht="60" x14ac:dyDescent="0.25">
      <c r="A2401" s="8" t="s">
        <v>63</v>
      </c>
      <c r="B2401" s="8" t="s">
        <v>38</v>
      </c>
      <c r="C2401" s="8" t="str">
        <f>IFERROR(_xlfn.XLOOKUP(TRIM(B2401),Lookup!$B$2:$B$1000,Lookup!$C$2:$C$1000),"")</f>
        <v>Equity</v>
      </c>
      <c r="D2401" s="8" t="str">
        <f>IFERROR(INDEX('nav master'!$C:$C, MATCH(B2401, 'nav master'!$B:$B, 0)), "")</f>
        <v>ULIF 160 290725 AlphaIndIF 105</v>
      </c>
      <c r="E2401" s="8">
        <v>8.6302000000000003</v>
      </c>
      <c r="F2401" s="9">
        <v>46156</v>
      </c>
    </row>
    <row r="2402" spans="1:6" ht="60" x14ac:dyDescent="0.25">
      <c r="A2402" s="8" t="s">
        <v>63</v>
      </c>
      <c r="B2402" s="8" t="s">
        <v>38</v>
      </c>
      <c r="C2402" s="8" t="str">
        <f>IFERROR(_xlfn.XLOOKUP(TRIM(B2402),Lookup!$B$2:$B$1000,Lookup!$C$2:$C$1000),"")</f>
        <v>Equity</v>
      </c>
      <c r="D2402" s="8" t="str">
        <f>IFERROR(INDEX('nav master'!$C:$C, MATCH(B2402, 'nav master'!$B:$B, 0)), "")</f>
        <v>ULIF 160 290725 AlphaIndIF 105</v>
      </c>
      <c r="E2402" s="8">
        <v>8.5967000000000002</v>
      </c>
      <c r="F2402" s="9">
        <v>46157</v>
      </c>
    </row>
    <row r="2403" spans="1:6" ht="60" x14ac:dyDescent="0.25">
      <c r="A2403" s="8" t="s">
        <v>63</v>
      </c>
      <c r="B2403" s="8" t="s">
        <v>38</v>
      </c>
      <c r="C2403" s="8" t="str">
        <f>IFERROR(_xlfn.XLOOKUP(TRIM(B2403),Lookup!$B$2:$B$1000,Lookup!$C$2:$C$1000),"")</f>
        <v>Equity</v>
      </c>
      <c r="D2403" s="8" t="str">
        <f>IFERROR(INDEX('nav master'!$C:$C, MATCH(B2403, 'nav master'!$B:$B, 0)), "")</f>
        <v>ULIF 160 290725 AlphaIndIF 105</v>
      </c>
      <c r="E2403" s="8">
        <v>8.5315999999999992</v>
      </c>
      <c r="F2403" s="9">
        <v>46160</v>
      </c>
    </row>
    <row r="2404" spans="1:6" ht="60" x14ac:dyDescent="0.25">
      <c r="A2404" s="8" t="s">
        <v>63</v>
      </c>
      <c r="B2404" s="8" t="s">
        <v>38</v>
      </c>
      <c r="C2404" s="8" t="str">
        <f>IFERROR(_xlfn.XLOOKUP(TRIM(B2404),Lookup!$B$2:$B$1000,Lookup!$C$2:$C$1000),"")</f>
        <v>Equity</v>
      </c>
      <c r="D2404" s="8" t="str">
        <f>IFERROR(INDEX('nav master'!$C:$C, MATCH(B2404, 'nav master'!$B:$B, 0)), "")</f>
        <v>ULIF 160 290725 AlphaIndIF 105</v>
      </c>
      <c r="E2404" s="8">
        <v>8.5663</v>
      </c>
      <c r="F2404" s="9">
        <v>46161</v>
      </c>
    </row>
    <row r="2405" spans="1:6" ht="60" x14ac:dyDescent="0.25">
      <c r="A2405" s="8" t="s">
        <v>63</v>
      </c>
      <c r="B2405" s="8" t="s">
        <v>38</v>
      </c>
      <c r="C2405" s="8" t="str">
        <f>IFERROR(_xlfn.XLOOKUP(TRIM(B2405),Lookup!$B$2:$B$1000,Lookup!$C$2:$C$1000),"")</f>
        <v>Equity</v>
      </c>
      <c r="D2405" s="8" t="str">
        <f>IFERROR(INDEX('nav master'!$C:$C, MATCH(B2405, 'nav master'!$B:$B, 0)), "")</f>
        <v>ULIF 160 290725 AlphaIndIF 105</v>
      </c>
      <c r="E2405" s="8">
        <v>8.6416000000000004</v>
      </c>
      <c r="F2405" s="9">
        <v>46162</v>
      </c>
    </row>
    <row r="2406" spans="1:6" ht="60" x14ac:dyDescent="0.25">
      <c r="A2406" s="8" t="s">
        <v>63</v>
      </c>
      <c r="B2406" s="8" t="s">
        <v>38</v>
      </c>
      <c r="C2406" s="8" t="str">
        <f>IFERROR(_xlfn.XLOOKUP(TRIM(B2406),Lookup!$B$2:$B$1000,Lookup!$C$2:$C$1000),"")</f>
        <v>Equity</v>
      </c>
      <c r="D2406" s="8" t="str">
        <f>IFERROR(INDEX('nav master'!$C:$C, MATCH(B2406, 'nav master'!$B:$B, 0)), "")</f>
        <v>ULIF 160 290725 AlphaIndIF 105</v>
      </c>
      <c r="E2406" s="8">
        <v>8.6548999999999996</v>
      </c>
      <c r="F2406" s="9">
        <v>46163</v>
      </c>
    </row>
    <row r="2407" spans="1:6" ht="60" x14ac:dyDescent="0.25">
      <c r="A2407" s="8" t="s">
        <v>63</v>
      </c>
      <c r="B2407" s="8" t="s">
        <v>38</v>
      </c>
      <c r="C2407" s="8" t="str">
        <f>IFERROR(_xlfn.XLOOKUP(TRIM(B2407),Lookup!$B$2:$B$1000,Lookup!$C$2:$C$1000),"")</f>
        <v>Equity</v>
      </c>
      <c r="D2407" s="8" t="str">
        <f>IFERROR(INDEX('nav master'!$C:$C, MATCH(B2407, 'nav master'!$B:$B, 0)), "")</f>
        <v>ULIF 160 290725 AlphaIndIF 105</v>
      </c>
      <c r="E2407" s="8">
        <v>8.6556999999999995</v>
      </c>
      <c r="F2407" s="9">
        <v>46164</v>
      </c>
    </row>
    <row r="2408" spans="1:6" ht="60" x14ac:dyDescent="0.25">
      <c r="A2408" s="8" t="s">
        <v>63</v>
      </c>
      <c r="B2408" s="8" t="s">
        <v>38</v>
      </c>
      <c r="C2408" s="8" t="str">
        <f>IFERROR(_xlfn.XLOOKUP(TRIM(B2408),Lookup!$B$2:$B$1000,Lookup!$C$2:$C$1000),"")</f>
        <v>Equity</v>
      </c>
      <c r="D2408" s="8" t="str">
        <f>IFERROR(INDEX('nav master'!$C:$C, MATCH(B2408, 'nav master'!$B:$B, 0)), "")</f>
        <v>ULIF 160 290725 AlphaIndIF 105</v>
      </c>
      <c r="E2408" s="8">
        <v>8.7736000000000001</v>
      </c>
      <c r="F2408" s="9">
        <v>46167</v>
      </c>
    </row>
    <row r="2409" spans="1:6" ht="60" x14ac:dyDescent="0.25">
      <c r="A2409" s="8" t="s">
        <v>63</v>
      </c>
      <c r="B2409" s="8" t="s">
        <v>38</v>
      </c>
      <c r="C2409" s="8" t="str">
        <f>IFERROR(_xlfn.XLOOKUP(TRIM(B2409),Lookup!$B$2:$B$1000,Lookup!$C$2:$C$1000),"")</f>
        <v>Equity</v>
      </c>
      <c r="D2409" s="8" t="str">
        <f>IFERROR(INDEX('nav master'!$C:$C, MATCH(B2409, 'nav master'!$B:$B, 0)), "")</f>
        <v>ULIF 160 290725 AlphaIndIF 105</v>
      </c>
      <c r="E2409" s="8">
        <v>8.8102999999999998</v>
      </c>
      <c r="F2409" s="9">
        <v>46168</v>
      </c>
    </row>
    <row r="2410" spans="1:6" ht="60" x14ac:dyDescent="0.25">
      <c r="A2410" s="8" t="s">
        <v>63</v>
      </c>
      <c r="B2410" s="8" t="s">
        <v>38</v>
      </c>
      <c r="C2410" s="8" t="str">
        <f>IFERROR(_xlfn.XLOOKUP(TRIM(B2410),Lookup!$B$2:$B$1000,Lookup!$C$2:$C$1000),"")</f>
        <v>Equity</v>
      </c>
      <c r="D2410" s="8" t="str">
        <f>IFERROR(INDEX('nav master'!$C:$C, MATCH(B2410, 'nav master'!$B:$B, 0)), "")</f>
        <v>ULIF 160 290725 AlphaIndIF 105</v>
      </c>
      <c r="E2410" s="8">
        <v>8.8744999999999994</v>
      </c>
      <c r="F2410" s="9">
        <v>46169</v>
      </c>
    </row>
    <row r="2411" spans="1:6" ht="60" x14ac:dyDescent="0.25">
      <c r="A2411" s="8" t="s">
        <v>63</v>
      </c>
      <c r="B2411" s="8" t="s">
        <v>38</v>
      </c>
      <c r="C2411" s="8" t="str">
        <f>IFERROR(_xlfn.XLOOKUP(TRIM(B2411),Lookup!$B$2:$B$1000,Lookup!$C$2:$C$1000),"")</f>
        <v>Equity</v>
      </c>
      <c r="D2411" s="8" t="str">
        <f>IFERROR(INDEX('nav master'!$C:$C, MATCH(B2411, 'nav master'!$B:$B, 0)), "")</f>
        <v>ULIF 160 290725 AlphaIndIF 105</v>
      </c>
      <c r="E2411" s="8">
        <v>8.7489000000000008</v>
      </c>
      <c r="F2411" s="9">
        <v>46171</v>
      </c>
    </row>
    <row r="2412" spans="1:6" ht="60" x14ac:dyDescent="0.25">
      <c r="A2412" s="8" t="s">
        <v>63</v>
      </c>
      <c r="B2412" s="8" t="s">
        <v>38</v>
      </c>
      <c r="C2412" s="8" t="str">
        <f>IFERROR(_xlfn.XLOOKUP(TRIM(B2412),Lookup!$B$2:$B$1000,Lookup!$C$2:$C$1000),"")</f>
        <v>Equity</v>
      </c>
      <c r="D2412" s="8" t="str">
        <f>IFERROR(INDEX('nav master'!$C:$C, MATCH(B2412, 'nav master'!$B:$B, 0)), "")</f>
        <v>ULIF 160 290725 AlphaIndIF 105</v>
      </c>
      <c r="E2412" s="8">
        <v>8.5821000000000005</v>
      </c>
      <c r="F2412" s="9">
        <v>46174</v>
      </c>
    </row>
    <row r="2413" spans="1:6" ht="60" x14ac:dyDescent="0.25">
      <c r="A2413" s="8" t="s">
        <v>63</v>
      </c>
      <c r="B2413" s="8" t="s">
        <v>38</v>
      </c>
      <c r="C2413" s="8" t="str">
        <f>IFERROR(_xlfn.XLOOKUP(TRIM(B2413),Lookup!$B$2:$B$1000,Lookup!$C$2:$C$1000),"")</f>
        <v>Equity</v>
      </c>
      <c r="D2413" s="8" t="str">
        <f>IFERROR(INDEX('nav master'!$C:$C, MATCH(B2413, 'nav master'!$B:$B, 0)), "")</f>
        <v>ULIF 160 290725 AlphaIndIF 105</v>
      </c>
      <c r="E2413" s="8">
        <v>8.5886999999999993</v>
      </c>
      <c r="F2413" s="9">
        <v>46175</v>
      </c>
    </row>
    <row r="2414" spans="1:6" ht="60" x14ac:dyDescent="0.25">
      <c r="A2414" s="8" t="s">
        <v>63</v>
      </c>
      <c r="B2414" s="8" t="s">
        <v>38</v>
      </c>
      <c r="C2414" s="8" t="str">
        <f>IFERROR(_xlfn.XLOOKUP(TRIM(B2414),Lookup!$B$2:$B$1000,Lookup!$C$2:$C$1000),"")</f>
        <v>Equity</v>
      </c>
      <c r="D2414" s="8" t="str">
        <f>IFERROR(INDEX('nav master'!$C:$C, MATCH(B2414, 'nav master'!$B:$B, 0)), "")</f>
        <v>ULIF 160 290725 AlphaIndIF 105</v>
      </c>
      <c r="E2414" s="8">
        <v>8.6206999999999994</v>
      </c>
      <c r="F2414" s="9">
        <v>46176</v>
      </c>
    </row>
    <row r="2415" spans="1:6" ht="60" x14ac:dyDescent="0.25">
      <c r="A2415" s="8" t="s">
        <v>63</v>
      </c>
      <c r="B2415" s="8" t="s">
        <v>38</v>
      </c>
      <c r="C2415" s="8" t="str">
        <f>IFERROR(_xlfn.XLOOKUP(TRIM(B2415),Lookup!$B$2:$B$1000,Lookup!$C$2:$C$1000),"")</f>
        <v>Equity</v>
      </c>
      <c r="D2415" s="8" t="str">
        <f>IFERROR(INDEX('nav master'!$C:$C, MATCH(B2415, 'nav master'!$B:$B, 0)), "")</f>
        <v>ULIF 160 290725 AlphaIndIF 105</v>
      </c>
      <c r="E2415" s="8">
        <v>8.6724999999999994</v>
      </c>
      <c r="F2415" s="9">
        <v>46177</v>
      </c>
    </row>
    <row r="2416" spans="1:6" ht="60" x14ac:dyDescent="0.25">
      <c r="A2416" s="8" t="s">
        <v>63</v>
      </c>
      <c r="B2416" s="8" t="s">
        <v>38</v>
      </c>
      <c r="C2416" s="8" t="str">
        <f>IFERROR(_xlfn.XLOOKUP(TRIM(B2416),Lookup!$B$2:$B$1000,Lookup!$C$2:$C$1000),"")</f>
        <v>Equity</v>
      </c>
      <c r="D2416" s="8" t="str">
        <f>IFERROR(INDEX('nav master'!$C:$C, MATCH(B2416, 'nav master'!$B:$B, 0)), "")</f>
        <v>ULIF 160 290725 AlphaIndIF 105</v>
      </c>
      <c r="E2416" s="8">
        <v>8.6536000000000008</v>
      </c>
      <c r="F2416" s="9">
        <v>46178</v>
      </c>
    </row>
    <row r="2417" spans="1:6" ht="60" x14ac:dyDescent="0.25">
      <c r="A2417" s="8" t="s">
        <v>63</v>
      </c>
      <c r="B2417" s="8" t="s">
        <v>38</v>
      </c>
      <c r="C2417" s="8" t="str">
        <f>IFERROR(_xlfn.XLOOKUP(TRIM(B2417),Lookup!$B$2:$B$1000,Lookup!$C$2:$C$1000),"")</f>
        <v>Equity</v>
      </c>
      <c r="D2417" s="8" t="str">
        <f>IFERROR(INDEX('nav master'!$C:$C, MATCH(B2417, 'nav master'!$B:$B, 0)), "")</f>
        <v>ULIF 160 290725 AlphaIndIF 105</v>
      </c>
      <c r="E2417" s="8">
        <v>8.4731000000000005</v>
      </c>
      <c r="F2417" s="9">
        <v>46181</v>
      </c>
    </row>
    <row r="2418" spans="1:6" ht="60" x14ac:dyDescent="0.25">
      <c r="A2418" s="8" t="s">
        <v>63</v>
      </c>
      <c r="B2418" s="8" t="s">
        <v>38</v>
      </c>
      <c r="C2418" s="8" t="str">
        <f>IFERROR(_xlfn.XLOOKUP(TRIM(B2418),Lookup!$B$2:$B$1000,Lookup!$C$2:$C$1000),"")</f>
        <v>Equity</v>
      </c>
      <c r="D2418" s="8" t="str">
        <f>IFERROR(INDEX('nav master'!$C:$C, MATCH(B2418, 'nav master'!$B:$B, 0)), "")</f>
        <v>ULIF 160 290725 AlphaIndIF 105</v>
      </c>
      <c r="E2418" s="8">
        <v>8.6064000000000007</v>
      </c>
      <c r="F2418" s="9">
        <v>46182</v>
      </c>
    </row>
    <row r="2419" spans="1:6" ht="60" x14ac:dyDescent="0.25">
      <c r="A2419" s="8" t="s">
        <v>63</v>
      </c>
      <c r="B2419" s="8" t="s">
        <v>38</v>
      </c>
      <c r="C2419" s="8" t="str">
        <f>IFERROR(_xlfn.XLOOKUP(TRIM(B2419),Lookup!$B$2:$B$1000,Lookup!$C$2:$C$1000),"")</f>
        <v>Equity</v>
      </c>
      <c r="D2419" s="8" t="str">
        <f>IFERROR(INDEX('nav master'!$C:$C, MATCH(B2419, 'nav master'!$B:$B, 0)), "")</f>
        <v>ULIF 160 290725 AlphaIndIF 105</v>
      </c>
      <c r="E2419" s="8">
        <v>8.4944000000000006</v>
      </c>
      <c r="F2419" s="9">
        <v>46183</v>
      </c>
    </row>
    <row r="2420" spans="1:6" ht="60" x14ac:dyDescent="0.25">
      <c r="A2420" s="8" t="s">
        <v>63</v>
      </c>
      <c r="B2420" s="8" t="s">
        <v>38</v>
      </c>
      <c r="C2420" s="8" t="str">
        <f>IFERROR(_xlfn.XLOOKUP(TRIM(B2420),Lookup!$B$2:$B$1000,Lookup!$C$2:$C$1000),"")</f>
        <v>Equity</v>
      </c>
      <c r="D2420" s="8" t="str">
        <f>IFERROR(INDEX('nav master'!$C:$C, MATCH(B2420, 'nav master'!$B:$B, 0)), "")</f>
        <v>ULIF 160 290725 AlphaIndIF 105</v>
      </c>
      <c r="E2420" s="8">
        <v>8.4315999999999995</v>
      </c>
      <c r="F2420" s="9">
        <v>46184</v>
      </c>
    </row>
    <row r="2421" spans="1:6" ht="60" x14ac:dyDescent="0.25">
      <c r="A2421" s="8" t="s">
        <v>63</v>
      </c>
      <c r="B2421" s="8" t="s">
        <v>38</v>
      </c>
      <c r="C2421" s="8" t="str">
        <f>IFERROR(_xlfn.XLOOKUP(TRIM(B2421),Lookup!$B$2:$B$1000,Lookup!$C$2:$C$1000),"")</f>
        <v>Equity</v>
      </c>
      <c r="D2421" s="8" t="str">
        <f>IFERROR(INDEX('nav master'!$C:$C, MATCH(B2421, 'nav master'!$B:$B, 0)), "")</f>
        <v>ULIF 160 290725 AlphaIndIF 105</v>
      </c>
      <c r="E2421" s="8">
        <v>8.6706000000000003</v>
      </c>
      <c r="F2421" s="9">
        <v>46185</v>
      </c>
    </row>
    <row r="2422" spans="1:6" ht="60" x14ac:dyDescent="0.25">
      <c r="A2422" s="8" t="s">
        <v>63</v>
      </c>
      <c r="B2422" s="8" t="s">
        <v>38</v>
      </c>
      <c r="C2422" s="8" t="str">
        <f>IFERROR(_xlfn.XLOOKUP(TRIM(B2422),Lookup!$B$2:$B$1000,Lookup!$C$2:$C$1000),"")</f>
        <v>Equity</v>
      </c>
      <c r="D2422" s="8" t="str">
        <f>IFERROR(INDEX('nav master'!$C:$C, MATCH(B2422, 'nav master'!$B:$B, 0)), "")</f>
        <v>ULIF 160 290725 AlphaIndIF 105</v>
      </c>
      <c r="E2422" s="8">
        <v>8.8119999999999994</v>
      </c>
      <c r="F2422" s="9">
        <v>46188</v>
      </c>
    </row>
    <row r="2423" spans="1:6" ht="60" x14ac:dyDescent="0.25">
      <c r="A2423" s="8" t="s">
        <v>63</v>
      </c>
      <c r="B2423" s="8" t="s">
        <v>38</v>
      </c>
      <c r="C2423" s="8" t="str">
        <f>IFERROR(_xlfn.XLOOKUP(TRIM(B2423),Lookup!$B$2:$B$1000,Lookup!$C$2:$C$1000),"")</f>
        <v>Equity</v>
      </c>
      <c r="D2423" s="8" t="str">
        <f>IFERROR(INDEX('nav master'!$C:$C, MATCH(B2423, 'nav master'!$B:$B, 0)), "")</f>
        <v>ULIF 160 290725 AlphaIndIF 105</v>
      </c>
      <c r="E2423" s="8">
        <v>8.8071999999999999</v>
      </c>
      <c r="F2423" s="9">
        <v>46189</v>
      </c>
    </row>
    <row r="2424" spans="1:6" ht="60" x14ac:dyDescent="0.25">
      <c r="A2424" s="8" t="s">
        <v>63</v>
      </c>
      <c r="B2424" s="8" t="s">
        <v>38</v>
      </c>
      <c r="C2424" s="8" t="str">
        <f>IFERROR(_xlfn.XLOOKUP(TRIM(B2424),Lookup!$B$2:$B$1000,Lookup!$C$2:$C$1000),"")</f>
        <v>Equity</v>
      </c>
      <c r="D2424" s="8" t="str">
        <f>IFERROR(INDEX('nav master'!$C:$C, MATCH(B2424, 'nav master'!$B:$B, 0)), "")</f>
        <v>ULIF 160 290725 AlphaIndIF 105</v>
      </c>
      <c r="E2424" s="8">
        <v>8.8918999999999997</v>
      </c>
      <c r="F2424" s="9">
        <v>46190</v>
      </c>
    </row>
    <row r="2425" spans="1:6" ht="60" x14ac:dyDescent="0.25">
      <c r="A2425" s="8" t="s">
        <v>63</v>
      </c>
      <c r="B2425" s="8" t="s">
        <v>38</v>
      </c>
      <c r="C2425" s="8" t="str">
        <f>IFERROR(_xlfn.XLOOKUP(TRIM(B2425),Lookup!$B$2:$B$1000,Lookup!$C$2:$C$1000),"")</f>
        <v>Equity</v>
      </c>
      <c r="D2425" s="8" t="str">
        <f>IFERROR(INDEX('nav master'!$C:$C, MATCH(B2425, 'nav master'!$B:$B, 0)), "")</f>
        <v>ULIF 160 290725 AlphaIndIF 105</v>
      </c>
      <c r="E2425" s="8">
        <v>8.9367000000000001</v>
      </c>
      <c r="F2425" s="9">
        <v>46191</v>
      </c>
    </row>
    <row r="2426" spans="1:6" ht="60" x14ac:dyDescent="0.25">
      <c r="A2426" s="8" t="s">
        <v>63</v>
      </c>
      <c r="B2426" s="8" t="s">
        <v>38</v>
      </c>
      <c r="C2426" s="8" t="str">
        <f>IFERROR(_xlfn.XLOOKUP(TRIM(B2426),Lookup!$B$2:$B$1000,Lookup!$C$2:$C$1000),"")</f>
        <v>Equity</v>
      </c>
      <c r="D2426" s="8" t="str">
        <f>IFERROR(INDEX('nav master'!$C:$C, MATCH(B2426, 'nav master'!$B:$B, 0)), "")</f>
        <v>ULIF 160 290725 AlphaIndIF 105</v>
      </c>
      <c r="E2426" s="8">
        <v>9.0090000000000003</v>
      </c>
      <c r="F2426" s="9">
        <v>46192</v>
      </c>
    </row>
    <row r="2427" spans="1:6" ht="60" x14ac:dyDescent="0.25">
      <c r="A2427" s="8" t="s">
        <v>63</v>
      </c>
      <c r="B2427" s="8" t="s">
        <v>38</v>
      </c>
      <c r="C2427" s="8" t="str">
        <f>IFERROR(_xlfn.XLOOKUP(TRIM(B2427),Lookup!$B$2:$B$1000,Lookup!$C$2:$C$1000),"")</f>
        <v>Equity</v>
      </c>
      <c r="D2427" s="8" t="str">
        <f>IFERROR(INDEX('nav master'!$C:$C, MATCH(B2427, 'nav master'!$B:$B, 0)), "")</f>
        <v>ULIF 160 290725 AlphaIndIF 105</v>
      </c>
      <c r="E2427" s="8">
        <v>9.0746000000000002</v>
      </c>
      <c r="F2427" s="9">
        <v>46195</v>
      </c>
    </row>
    <row r="2428" spans="1:6" ht="60" x14ac:dyDescent="0.25">
      <c r="A2428" s="8" t="s">
        <v>63</v>
      </c>
      <c r="B2428" s="8" t="s">
        <v>38</v>
      </c>
      <c r="C2428" s="8" t="str">
        <f>IFERROR(_xlfn.XLOOKUP(TRIM(B2428),Lookup!$B$2:$B$1000,Lookup!$C$2:$C$1000),"")</f>
        <v>Equity</v>
      </c>
      <c r="D2428" s="8" t="str">
        <f>IFERROR(INDEX('nav master'!$C:$C, MATCH(B2428, 'nav master'!$B:$B, 0)), "")</f>
        <v>ULIF 160 290725 AlphaIndIF 105</v>
      </c>
      <c r="E2428" s="8">
        <v>8.9802</v>
      </c>
      <c r="F2428" s="9">
        <v>46196</v>
      </c>
    </row>
    <row r="2429" spans="1:6" ht="60" x14ac:dyDescent="0.25">
      <c r="A2429" s="8" t="s">
        <v>63</v>
      </c>
      <c r="B2429" s="8" t="s">
        <v>38</v>
      </c>
      <c r="C2429" s="8" t="str">
        <f>IFERROR(_xlfn.XLOOKUP(TRIM(B2429),Lookup!$B$2:$B$1000,Lookup!$C$2:$C$1000),"")</f>
        <v>Equity</v>
      </c>
      <c r="D2429" s="8" t="str">
        <f>IFERROR(INDEX('nav master'!$C:$C, MATCH(B2429, 'nav master'!$B:$B, 0)), "")</f>
        <v>ULIF 160 290725 AlphaIndIF 105</v>
      </c>
      <c r="E2429" s="8">
        <v>8.9311000000000007</v>
      </c>
      <c r="F2429" s="9">
        <v>46197</v>
      </c>
    </row>
    <row r="2430" spans="1:6" ht="60" x14ac:dyDescent="0.25">
      <c r="A2430" s="8" t="s">
        <v>63</v>
      </c>
      <c r="B2430" s="8" t="s">
        <v>38</v>
      </c>
      <c r="C2430" s="8" t="str">
        <f>IFERROR(_xlfn.XLOOKUP(TRIM(B2430),Lookup!$B$2:$B$1000,Lookup!$C$2:$C$1000),"")</f>
        <v>Equity</v>
      </c>
      <c r="D2430" s="8" t="str">
        <f>IFERROR(INDEX('nav master'!$C:$C, MATCH(B2430, 'nav master'!$B:$B, 0)), "")</f>
        <v>ULIF 160 290725 AlphaIndIF 105</v>
      </c>
      <c r="E2430" s="8">
        <v>8.8765000000000001</v>
      </c>
      <c r="F2430" s="9">
        <v>46198</v>
      </c>
    </row>
    <row r="2431" spans="1:6" ht="60" x14ac:dyDescent="0.25">
      <c r="A2431" s="8" t="s">
        <v>63</v>
      </c>
      <c r="B2431" s="8" t="s">
        <v>38</v>
      </c>
      <c r="C2431" s="8" t="str">
        <f>IFERROR(_xlfn.XLOOKUP(TRIM(B2431),Lookup!$B$2:$B$1000,Lookup!$C$2:$C$1000),"")</f>
        <v>Equity</v>
      </c>
      <c r="D2431" s="8" t="str">
        <f>IFERROR(INDEX('nav master'!$C:$C, MATCH(B2431, 'nav master'!$B:$B, 0)), "")</f>
        <v>ULIF 160 290725 AlphaIndIF 105</v>
      </c>
      <c r="E2431" s="8">
        <v>8.8805999999999994</v>
      </c>
      <c r="F2431" s="9">
        <v>46202</v>
      </c>
    </row>
    <row r="2432" spans="1:6" ht="60" x14ac:dyDescent="0.25">
      <c r="A2432" s="8" t="s">
        <v>63</v>
      </c>
      <c r="B2432" s="8" t="s">
        <v>38</v>
      </c>
      <c r="C2432" s="8" t="str">
        <f>IFERROR(_xlfn.XLOOKUP(TRIM(B2432),Lookup!$B$2:$B$1000,Lookup!$C$2:$C$1000),"")</f>
        <v>Equity</v>
      </c>
      <c r="D2432" s="8" t="str">
        <f>IFERROR(INDEX('nav master'!$C:$C, MATCH(B2432, 'nav master'!$B:$B, 0)), "")</f>
        <v>ULIF 160 290725 AlphaIndIF 105</v>
      </c>
      <c r="E2432" s="8">
        <v>8.9123999999999999</v>
      </c>
      <c r="F2432" s="9">
        <v>46203</v>
      </c>
    </row>
    <row r="2433" spans="1:6" ht="60" x14ac:dyDescent="0.25">
      <c r="A2433" s="8" t="s">
        <v>63</v>
      </c>
      <c r="B2433" s="8" t="s">
        <v>38</v>
      </c>
      <c r="C2433" s="8" t="str">
        <f>IFERROR(_xlfn.XLOOKUP(TRIM(B2433),Lookup!$B$2:$B$1000,Lookup!$C$2:$C$1000),"")</f>
        <v>Equity</v>
      </c>
      <c r="D2433" s="8" t="str">
        <f>IFERROR(INDEX('nav master'!$C:$C, MATCH(B2433, 'nav master'!$B:$B, 0)), "")</f>
        <v>ULIF 160 290725 AlphaIndIF 105</v>
      </c>
      <c r="E2433" s="8">
        <v>8.8934999999999995</v>
      </c>
      <c r="F2433" s="9">
        <v>46204</v>
      </c>
    </row>
    <row r="2434" spans="1:6" ht="60" x14ac:dyDescent="0.25">
      <c r="A2434" s="8" t="s">
        <v>63</v>
      </c>
      <c r="B2434" s="8" t="s">
        <v>38</v>
      </c>
      <c r="C2434" s="8" t="str">
        <f>IFERROR(_xlfn.XLOOKUP(TRIM(B2434),Lookup!$B$2:$B$1000,Lookup!$C$2:$C$1000),"")</f>
        <v>Equity</v>
      </c>
      <c r="D2434" s="8" t="str">
        <f>IFERROR(INDEX('nav master'!$C:$C, MATCH(B2434, 'nav master'!$B:$B, 0)), "")</f>
        <v>ULIF 160 290725 AlphaIndIF 105</v>
      </c>
      <c r="E2434" s="8">
        <v>8.9314</v>
      </c>
      <c r="F2434" s="9">
        <v>46205</v>
      </c>
    </row>
    <row r="2435" spans="1:6" ht="60" x14ac:dyDescent="0.25">
      <c r="A2435" s="8" t="s">
        <v>63</v>
      </c>
      <c r="B2435" s="8" t="s">
        <v>38</v>
      </c>
      <c r="C2435" s="8" t="str">
        <f>IFERROR(_xlfn.XLOOKUP(TRIM(B2435),Lookup!$B$2:$B$1000,Lookup!$C$2:$C$1000),"")</f>
        <v>Equity</v>
      </c>
      <c r="D2435" s="8" t="str">
        <f>IFERROR(INDEX('nav master'!$C:$C, MATCH(B2435, 'nav master'!$B:$B, 0)), "")</f>
        <v>ULIF 160 290725 AlphaIndIF 105</v>
      </c>
      <c r="E2435" s="8">
        <v>8.8804999999999996</v>
      </c>
      <c r="F2435" s="9">
        <v>46206</v>
      </c>
    </row>
    <row r="2436" spans="1:6" ht="60" x14ac:dyDescent="0.25">
      <c r="A2436" s="8" t="s">
        <v>63</v>
      </c>
      <c r="B2436" s="8" t="s">
        <v>38</v>
      </c>
      <c r="C2436" s="8" t="str">
        <f>IFERROR(_xlfn.XLOOKUP(TRIM(B2436),Lookup!$B$2:$B$1000,Lookup!$C$2:$C$1000),"")</f>
        <v>Equity</v>
      </c>
      <c r="D2436" s="8" t="str">
        <f>IFERROR(INDEX('nav master'!$C:$C, MATCH(B2436, 'nav master'!$B:$B, 0)), "")</f>
        <v>ULIF 160 290725 AlphaIndIF 105</v>
      </c>
      <c r="E2436" s="8">
        <v>8.9375999999999998</v>
      </c>
      <c r="F2436" s="9">
        <v>46209</v>
      </c>
    </row>
    <row r="2437" spans="1:6" ht="60" x14ac:dyDescent="0.25">
      <c r="A2437" s="8" t="s">
        <v>63</v>
      </c>
      <c r="B2437" s="8" t="s">
        <v>38</v>
      </c>
      <c r="C2437" s="8" t="str">
        <f>IFERROR(_xlfn.XLOOKUP(TRIM(B2437),Lookup!$B$2:$B$1000,Lookup!$C$2:$C$1000),"")</f>
        <v>Equity</v>
      </c>
      <c r="D2437" s="8" t="str">
        <f>IFERROR(INDEX('nav master'!$C:$C, MATCH(B2437, 'nav master'!$B:$B, 0)), "")</f>
        <v>ULIF 160 290725 AlphaIndIF 105</v>
      </c>
      <c r="E2437" s="8">
        <v>8.8468</v>
      </c>
      <c r="F2437" s="9">
        <v>46210</v>
      </c>
    </row>
    <row r="2438" spans="1:6" ht="60" x14ac:dyDescent="0.25">
      <c r="A2438" s="8" t="s">
        <v>63</v>
      </c>
      <c r="B2438" s="8" t="s">
        <v>38</v>
      </c>
      <c r="C2438" s="8" t="str">
        <f>IFERROR(_xlfn.XLOOKUP(TRIM(B2438),Lookup!$B$2:$B$1000,Lookup!$C$2:$C$1000),"")</f>
        <v>Equity</v>
      </c>
      <c r="D2438" s="8" t="str">
        <f>IFERROR(INDEX('nav master'!$C:$C, MATCH(B2438, 'nav master'!$B:$B, 0)), "")</f>
        <v>ULIF 160 290725 AlphaIndIF 105</v>
      </c>
      <c r="E2438" s="8">
        <v>8.7746999999999993</v>
      </c>
      <c r="F2438" s="9">
        <v>46211</v>
      </c>
    </row>
    <row r="2439" spans="1:6" ht="60" x14ac:dyDescent="0.25">
      <c r="A2439" s="8" t="s">
        <v>63</v>
      </c>
      <c r="B2439" s="8" t="s">
        <v>38</v>
      </c>
      <c r="C2439" s="8" t="str">
        <f>IFERROR(_xlfn.XLOOKUP(TRIM(B2439),Lookup!$B$2:$B$1000,Lookup!$C$2:$C$1000),"")</f>
        <v>Equity</v>
      </c>
      <c r="D2439" s="8" t="str">
        <f>IFERROR(INDEX('nav master'!$C:$C, MATCH(B2439, 'nav master'!$B:$B, 0)), "")</f>
        <v>ULIF 160 290725 AlphaIndIF 105</v>
      </c>
      <c r="E2439" s="8">
        <v>8.8725000000000005</v>
      </c>
      <c r="F2439" s="9">
        <v>46212</v>
      </c>
    </row>
    <row r="2440" spans="1:6" ht="60" x14ac:dyDescent="0.25">
      <c r="A2440" s="8" t="s">
        <v>63</v>
      </c>
      <c r="B2440" s="8" t="s">
        <v>38</v>
      </c>
      <c r="C2440" s="8" t="str">
        <f>IFERROR(_xlfn.XLOOKUP(TRIM(B2440),Lookup!$B$2:$B$1000,Lookup!$C$2:$C$1000),"")</f>
        <v>Equity</v>
      </c>
      <c r="D2440" s="8" t="str">
        <f>IFERROR(INDEX('nav master'!$C:$C, MATCH(B2440, 'nav master'!$B:$B, 0)), "")</f>
        <v>ULIF 160 290725 AlphaIndIF 105</v>
      </c>
      <c r="E2440" s="8">
        <v>8.9962999999999997</v>
      </c>
      <c r="F2440" s="9">
        <v>46213</v>
      </c>
    </row>
    <row r="2441" spans="1:6" ht="60" x14ac:dyDescent="0.25">
      <c r="A2441" s="8" t="s">
        <v>63</v>
      </c>
      <c r="B2441" s="8" t="s">
        <v>38</v>
      </c>
      <c r="C2441" s="8" t="str">
        <f>IFERROR(_xlfn.XLOOKUP(TRIM(B2441),Lookup!$B$2:$B$1000,Lookup!$C$2:$C$1000),"")</f>
        <v>Equity</v>
      </c>
      <c r="D2441" s="8" t="str">
        <f>IFERROR(INDEX('nav master'!$C:$C, MATCH(B2441, 'nav master'!$B:$B, 0)), "")</f>
        <v>ULIF 160 290725 AlphaIndIF 105</v>
      </c>
      <c r="E2441" s="8">
        <v>8.9662000000000006</v>
      </c>
      <c r="F2441" s="9">
        <v>46216</v>
      </c>
    </row>
    <row r="2442" spans="1:6" ht="60" x14ac:dyDescent="0.25">
      <c r="A2442" s="8" t="s">
        <v>63</v>
      </c>
      <c r="B2442" s="8" t="s">
        <v>38</v>
      </c>
      <c r="C2442" s="8" t="str">
        <f>IFERROR(_xlfn.XLOOKUP(TRIM(B2442),Lookup!$B$2:$B$1000,Lookup!$C$2:$C$1000),"")</f>
        <v>Equity</v>
      </c>
      <c r="D2442" s="8" t="str">
        <f>IFERROR(INDEX('nav master'!$C:$C, MATCH(B2442, 'nav master'!$B:$B, 0)), "")</f>
        <v>ULIF 160 290725 AlphaIndIF 105</v>
      </c>
      <c r="E2442" s="8">
        <v>8.9492999999999991</v>
      </c>
      <c r="F2442" s="9">
        <v>46217</v>
      </c>
    </row>
    <row r="2443" spans="1:6" ht="60" x14ac:dyDescent="0.25">
      <c r="A2443" s="8" t="s">
        <v>63</v>
      </c>
      <c r="B2443" s="8" t="s">
        <v>38</v>
      </c>
      <c r="C2443" s="8" t="str">
        <f>IFERROR(_xlfn.XLOOKUP(TRIM(B2443),Lookup!$B$2:$B$1000,Lookup!$C$2:$C$1000),"")</f>
        <v>Equity</v>
      </c>
      <c r="D2443" s="8" t="str">
        <f>IFERROR(INDEX('nav master'!$C:$C, MATCH(B2443, 'nav master'!$B:$B, 0)), "")</f>
        <v>ULIF 160 290725 AlphaIndIF 105</v>
      </c>
      <c r="E2443" s="8">
        <v>9.0105000000000004</v>
      </c>
      <c r="F2443" s="9">
        <v>46218</v>
      </c>
    </row>
    <row r="2444" spans="1:6" ht="60" x14ac:dyDescent="0.25">
      <c r="A2444" s="8" t="s">
        <v>63</v>
      </c>
      <c r="B2444" s="8" t="s">
        <v>38</v>
      </c>
      <c r="C2444" s="8" t="str">
        <f>IFERROR(_xlfn.XLOOKUP(TRIM(B2444),Lookup!$B$2:$B$1000,Lookup!$C$2:$C$1000),"")</f>
        <v>Equity</v>
      </c>
      <c r="D2444" s="8" t="str">
        <f>IFERROR(INDEX('nav master'!$C:$C, MATCH(B2444, 'nav master'!$B:$B, 0)), "")</f>
        <v>ULIF 160 290725 AlphaIndIF 105</v>
      </c>
      <c r="E2444" s="8">
        <v>8.9575999999999993</v>
      </c>
      <c r="F2444" s="9">
        <v>46219</v>
      </c>
    </row>
    <row r="2445" spans="1:6" ht="60" x14ac:dyDescent="0.25">
      <c r="A2445" s="8" t="s">
        <v>63</v>
      </c>
      <c r="B2445" s="8" t="s">
        <v>38</v>
      </c>
      <c r="C2445" s="8" t="str">
        <f>IFERROR(_xlfn.XLOOKUP(TRIM(B2445),Lookup!$B$2:$B$1000,Lookup!$C$2:$C$1000),"")</f>
        <v>Equity</v>
      </c>
      <c r="D2445" s="8" t="str">
        <f>IFERROR(INDEX('nav master'!$C:$C, MATCH(B2445, 'nav master'!$B:$B, 0)), "")</f>
        <v>ULIF 160 290725 AlphaIndIF 105</v>
      </c>
      <c r="E2445" s="8">
        <v>8.8999000000000006</v>
      </c>
      <c r="F2445" s="9">
        <v>46220</v>
      </c>
    </row>
    <row r="2446" spans="1:6" ht="60" x14ac:dyDescent="0.25">
      <c r="A2446" s="8" t="s">
        <v>63</v>
      </c>
      <c r="B2446" s="8" t="s">
        <v>38</v>
      </c>
      <c r="C2446" s="8" t="str">
        <f>IFERROR(_xlfn.XLOOKUP(TRIM(B2446),Lookup!$B$2:$B$1000,Lookup!$C$2:$C$1000),"")</f>
        <v>Equity</v>
      </c>
      <c r="D2446" s="8" t="str">
        <f>IFERROR(INDEX('nav master'!$C:$C, MATCH(B2446, 'nav master'!$B:$B, 0)), "")</f>
        <v>ULIF 160 290725 AlphaIndIF 105</v>
      </c>
      <c r="E2446" s="8">
        <v>8.9619999999999997</v>
      </c>
      <c r="F2446" s="9">
        <v>46223</v>
      </c>
    </row>
    <row r="2447" spans="1:6" ht="60" x14ac:dyDescent="0.25">
      <c r="A2447" s="8" t="s">
        <v>63</v>
      </c>
      <c r="B2447" s="8" t="s">
        <v>38</v>
      </c>
      <c r="C2447" s="8" t="str">
        <f>IFERROR(_xlfn.XLOOKUP(TRIM(B2447),Lookup!$B$2:$B$1000,Lookup!$C$2:$C$1000),"")</f>
        <v>Equity</v>
      </c>
      <c r="D2447" s="8" t="str">
        <f>IFERROR(INDEX('nav master'!$C:$C, MATCH(B2447, 'nav master'!$B:$B, 0)), "")</f>
        <v>ULIF 160 290725 AlphaIndIF 105</v>
      </c>
      <c r="E2447" s="8">
        <v>9.0237999999999996</v>
      </c>
      <c r="F2447" s="9">
        <v>46224</v>
      </c>
    </row>
    <row r="2448" spans="1:6" ht="60" x14ac:dyDescent="0.25">
      <c r="A2448" s="8" t="s">
        <v>63</v>
      </c>
      <c r="B2448" s="8" t="s">
        <v>38</v>
      </c>
      <c r="C2448" s="8" t="str">
        <f>IFERROR(_xlfn.XLOOKUP(TRIM(B2448),Lookup!$B$2:$B$1000,Lookup!$C$2:$C$1000),"")</f>
        <v>Equity</v>
      </c>
      <c r="D2448" s="8" t="str">
        <f>IFERROR(INDEX('nav master'!$C:$C, MATCH(B2448, 'nav master'!$B:$B, 0)), "")</f>
        <v>ULIF 160 290725 AlphaIndIF 105</v>
      </c>
      <c r="E2448" s="8">
        <v>8.9512</v>
      </c>
      <c r="F2448" s="9">
        <v>46225</v>
      </c>
    </row>
    <row r="2449" spans="1:6" ht="60" x14ac:dyDescent="0.25">
      <c r="A2449" s="8" t="s">
        <v>63</v>
      </c>
      <c r="B2449" s="8" t="s">
        <v>38</v>
      </c>
      <c r="C2449" s="8" t="str">
        <f>IFERROR(_xlfn.XLOOKUP(TRIM(B2449),Lookup!$B$2:$B$1000,Lookup!$C$2:$C$1000),"")</f>
        <v>Equity</v>
      </c>
      <c r="D2449" s="8" t="str">
        <f>IFERROR(INDEX('nav master'!$C:$C, MATCH(B2449, 'nav master'!$B:$B, 0)), "")</f>
        <v>ULIF 160 290725 AlphaIndIF 105</v>
      </c>
      <c r="E2449" s="8">
        <v>8.8455999999999992</v>
      </c>
      <c r="F2449" s="9">
        <v>46226</v>
      </c>
    </row>
    <row r="2450" spans="1:6" ht="60" x14ac:dyDescent="0.25">
      <c r="A2450" s="8" t="s">
        <v>63</v>
      </c>
      <c r="B2450" s="8" t="s">
        <v>38</v>
      </c>
      <c r="C2450" s="8" t="str">
        <f>IFERROR(_xlfn.XLOOKUP(TRIM(B2450),Lookup!$B$2:$B$1000,Lookup!$C$2:$C$1000),"")</f>
        <v>Equity</v>
      </c>
      <c r="D2450" s="8" t="str">
        <f>IFERROR(INDEX('nav master'!$C:$C, MATCH(B2450, 'nav master'!$B:$B, 0)), "")</f>
        <v>ULIF 160 290725 AlphaIndIF 105</v>
      </c>
      <c r="E2450" s="8">
        <v>8.7913999999999994</v>
      </c>
      <c r="F2450" s="9">
        <v>46227</v>
      </c>
    </row>
    <row r="2451" spans="1:6" ht="60" x14ac:dyDescent="0.25">
      <c r="A2451" s="8" t="s">
        <v>63</v>
      </c>
      <c r="B2451" s="8" t="s">
        <v>38</v>
      </c>
      <c r="C2451" s="8" t="str">
        <f>IFERROR(_xlfn.XLOOKUP(TRIM(B2451),Lookup!$B$2:$B$1000,Lookup!$C$2:$C$1000),"")</f>
        <v>Equity</v>
      </c>
      <c r="D2451" s="8" t="str">
        <f>IFERROR(INDEX('nav master'!$C:$C, MATCH(B2451, 'nav master'!$B:$B, 0)), "")</f>
        <v>ULIF 160 290725 AlphaIndIF 105</v>
      </c>
      <c r="E2451" s="8">
        <v>8.8897999999999993</v>
      </c>
      <c r="F2451" s="9">
        <v>46230</v>
      </c>
    </row>
    <row r="2452" spans="1:6" ht="60" x14ac:dyDescent="0.25">
      <c r="A2452" s="8" t="s">
        <v>63</v>
      </c>
      <c r="B2452" s="8" t="s">
        <v>38</v>
      </c>
      <c r="C2452" s="8" t="str">
        <f>IFERROR(_xlfn.XLOOKUP(TRIM(B2452),Lookup!$B$2:$B$1000,Lookup!$C$2:$C$1000),"")</f>
        <v>Equity</v>
      </c>
      <c r="D2452" s="8" t="str">
        <f>IFERROR(INDEX('nav master'!$C:$C, MATCH(B2452, 'nav master'!$B:$B, 0)), "")</f>
        <v>ULIF 160 290725 AlphaIndIF 105</v>
      </c>
      <c r="E2452" s="8">
        <v>8.8173999999999992</v>
      </c>
      <c r="F2452" s="9">
        <v>46231</v>
      </c>
    </row>
    <row r="2453" spans="1:6" ht="60" x14ac:dyDescent="0.25">
      <c r="A2453" s="8" t="s">
        <v>63</v>
      </c>
      <c r="B2453" s="8" t="s">
        <v>38</v>
      </c>
      <c r="C2453" s="8" t="str">
        <f>IFERROR(_xlfn.XLOOKUP(TRIM(B2453),Lookup!$B$2:$B$1000,Lookup!$C$2:$C$1000),"")</f>
        <v>Equity</v>
      </c>
      <c r="D2453" s="8" t="str">
        <f>IFERROR(INDEX('nav master'!$C:$C, MATCH(B2453, 'nav master'!$B:$B, 0)), "")</f>
        <v>ULIF 160 290725 AlphaIndIF 105</v>
      </c>
      <c r="E2453" s="8">
        <v>8.9151000000000007</v>
      </c>
      <c r="F2453" s="9">
        <v>46232</v>
      </c>
    </row>
    <row r="2454" spans="1:6" ht="60" x14ac:dyDescent="0.25">
      <c r="A2454" s="8" t="s">
        <v>63</v>
      </c>
      <c r="B2454" s="8" t="s">
        <v>38</v>
      </c>
      <c r="C2454" s="8" t="str">
        <f>IFERROR(_xlfn.XLOOKUP(TRIM(B2454),Lookup!$B$2:$B$1000,Lookup!$C$2:$C$1000),"")</f>
        <v>Equity</v>
      </c>
      <c r="D2454" s="8" t="str">
        <f>IFERROR(INDEX('nav master'!$C:$C, MATCH(B2454, 'nav master'!$B:$B, 0)), "")</f>
        <v>ULIF 160 290725 AlphaIndIF 105</v>
      </c>
      <c r="E2454" s="8">
        <v>8.8866999999999994</v>
      </c>
      <c r="F2454" s="9">
        <v>46233</v>
      </c>
    </row>
    <row r="2455" spans="1:6" ht="60" x14ac:dyDescent="0.25">
      <c r="A2455" s="8" t="s">
        <v>63</v>
      </c>
      <c r="B2455" s="8" t="s">
        <v>38</v>
      </c>
      <c r="C2455" s="8" t="str">
        <f>IFERROR(_xlfn.XLOOKUP(TRIM(B2455),Lookup!$B$2:$B$1000,Lookup!$C$2:$C$1000),"")</f>
        <v>Equity</v>
      </c>
      <c r="D2455" s="8" t="str">
        <f>IFERROR(INDEX('nav master'!$C:$C, MATCH(B2455, 'nav master'!$B:$B, 0)), "")</f>
        <v>ULIF 160 290725 AlphaIndIF 105</v>
      </c>
      <c r="E2455" s="8">
        <v>8.9908000000000001</v>
      </c>
      <c r="F2455" s="9">
        <v>46234</v>
      </c>
    </row>
    <row r="2456" spans="1:6" ht="75" x14ac:dyDescent="0.25">
      <c r="A2456" s="8" t="s">
        <v>63</v>
      </c>
      <c r="B2456" s="8" t="s">
        <v>72</v>
      </c>
      <c r="C2456" s="8" t="str">
        <f>IFERROR(_xlfn.XLOOKUP(TRIM(B2456),Lookup!$B$2:$B$1000,Lookup!$C$2:$C$1000),"")</f>
        <v>Equity - Thematic (Growth/Domestic)</v>
      </c>
      <c r="D2456" s="8" t="str">
        <f>IFERROR(INDEX('nav master'!$C:$C, MATCH(B2456, 'nav master'!$B:$B, 0)), "")</f>
        <v>ULIF 073 17/01/24 RIF 110</v>
      </c>
      <c r="E2456" s="8">
        <v>11.807399999999999</v>
      </c>
      <c r="F2456" s="9">
        <v>45869</v>
      </c>
    </row>
    <row r="2457" spans="1:6" ht="75" x14ac:dyDescent="0.25">
      <c r="A2457" s="8" t="s">
        <v>63</v>
      </c>
      <c r="B2457" s="8" t="s">
        <v>72</v>
      </c>
      <c r="C2457" s="8" t="str">
        <f>IFERROR(_xlfn.XLOOKUP(TRIM(B2457),Lookup!$B$2:$B$1000,Lookup!$C$2:$C$1000),"")</f>
        <v>Equity - Thematic (Growth/Domestic)</v>
      </c>
      <c r="D2457" s="8" t="str">
        <f>IFERROR(INDEX('nav master'!$C:$C, MATCH(B2457, 'nav master'!$B:$B, 0)), "")</f>
        <v>ULIF 073 17/01/24 RIF 110</v>
      </c>
      <c r="E2457" s="8">
        <v>11.682399999999999</v>
      </c>
      <c r="F2457" s="9">
        <v>45870</v>
      </c>
    </row>
    <row r="2458" spans="1:6" ht="75" x14ac:dyDescent="0.25">
      <c r="A2458" s="8" t="s">
        <v>63</v>
      </c>
      <c r="B2458" s="8" t="s">
        <v>72</v>
      </c>
      <c r="C2458" s="8" t="str">
        <f>IFERROR(_xlfn.XLOOKUP(TRIM(B2458),Lookup!$B$2:$B$1000,Lookup!$C$2:$C$1000),"")</f>
        <v>Equity - Thematic (Growth/Domestic)</v>
      </c>
      <c r="D2458" s="8" t="str">
        <f>IFERROR(INDEX('nav master'!$C:$C, MATCH(B2458, 'nav master'!$B:$B, 0)), "")</f>
        <v>ULIF 073 17/01/24 RIF 110</v>
      </c>
      <c r="E2458" s="8">
        <v>11.7697</v>
      </c>
      <c r="F2458" s="9">
        <v>45873</v>
      </c>
    </row>
    <row r="2459" spans="1:6" ht="75" x14ac:dyDescent="0.25">
      <c r="A2459" s="8" t="s">
        <v>63</v>
      </c>
      <c r="B2459" s="8" t="s">
        <v>72</v>
      </c>
      <c r="C2459" s="8" t="str">
        <f>IFERROR(_xlfn.XLOOKUP(TRIM(B2459),Lookup!$B$2:$B$1000,Lookup!$C$2:$C$1000),"")</f>
        <v>Equity - Thematic (Growth/Domestic)</v>
      </c>
      <c r="D2459" s="8" t="str">
        <f>IFERROR(INDEX('nav master'!$C:$C, MATCH(B2459, 'nav master'!$B:$B, 0)), "")</f>
        <v>ULIF 073 17/01/24 RIF 110</v>
      </c>
      <c r="E2459" s="8">
        <v>11.7302</v>
      </c>
      <c r="F2459" s="9">
        <v>45874</v>
      </c>
    </row>
    <row r="2460" spans="1:6" ht="75" x14ac:dyDescent="0.25">
      <c r="A2460" s="8" t="s">
        <v>63</v>
      </c>
      <c r="B2460" s="8" t="s">
        <v>72</v>
      </c>
      <c r="C2460" s="8" t="str">
        <f>IFERROR(_xlfn.XLOOKUP(TRIM(B2460),Lookup!$B$2:$B$1000,Lookup!$C$2:$C$1000),"")</f>
        <v>Equity - Thematic (Growth/Domestic)</v>
      </c>
      <c r="D2460" s="8" t="str">
        <f>IFERROR(INDEX('nav master'!$C:$C, MATCH(B2460, 'nav master'!$B:$B, 0)), "")</f>
        <v>ULIF 073 17/01/24 RIF 110</v>
      </c>
      <c r="E2460" s="8">
        <v>11.6586</v>
      </c>
      <c r="F2460" s="9">
        <v>45875</v>
      </c>
    </row>
    <row r="2461" spans="1:6" ht="75" x14ac:dyDescent="0.25">
      <c r="A2461" s="8" t="s">
        <v>63</v>
      </c>
      <c r="B2461" s="8" t="s">
        <v>72</v>
      </c>
      <c r="C2461" s="8" t="str">
        <f>IFERROR(_xlfn.XLOOKUP(TRIM(B2461),Lookup!$B$2:$B$1000,Lookup!$C$2:$C$1000),"")</f>
        <v>Equity - Thematic (Growth/Domestic)</v>
      </c>
      <c r="D2461" s="8" t="str">
        <f>IFERROR(INDEX('nav master'!$C:$C, MATCH(B2461, 'nav master'!$B:$B, 0)), "")</f>
        <v>ULIF 073 17/01/24 RIF 110</v>
      </c>
      <c r="E2461" s="8">
        <v>11.7044</v>
      </c>
      <c r="F2461" s="9">
        <v>45876</v>
      </c>
    </row>
    <row r="2462" spans="1:6" ht="75" x14ac:dyDescent="0.25">
      <c r="A2462" s="8" t="s">
        <v>63</v>
      </c>
      <c r="B2462" s="8" t="s">
        <v>72</v>
      </c>
      <c r="C2462" s="8" t="str">
        <f>IFERROR(_xlfn.XLOOKUP(TRIM(B2462),Lookup!$B$2:$B$1000,Lookup!$C$2:$C$1000),"")</f>
        <v>Equity - Thematic (Growth/Domestic)</v>
      </c>
      <c r="D2462" s="8" t="str">
        <f>IFERROR(INDEX('nav master'!$C:$C, MATCH(B2462, 'nav master'!$B:$B, 0)), "")</f>
        <v>ULIF 073 17/01/24 RIF 110</v>
      </c>
      <c r="E2462" s="8">
        <v>11.595700000000001</v>
      </c>
      <c r="F2462" s="9">
        <v>45877</v>
      </c>
    </row>
    <row r="2463" spans="1:6" ht="75" x14ac:dyDescent="0.25">
      <c r="A2463" s="8" t="s">
        <v>63</v>
      </c>
      <c r="B2463" s="8" t="s">
        <v>72</v>
      </c>
      <c r="C2463" s="8" t="str">
        <f>IFERROR(_xlfn.XLOOKUP(TRIM(B2463),Lookup!$B$2:$B$1000,Lookup!$C$2:$C$1000),"")</f>
        <v>Equity - Thematic (Growth/Domestic)</v>
      </c>
      <c r="D2463" s="8" t="str">
        <f>IFERROR(INDEX('nav master'!$C:$C, MATCH(B2463, 'nav master'!$B:$B, 0)), "")</f>
        <v>ULIF 073 17/01/24 RIF 110</v>
      </c>
      <c r="E2463" s="8">
        <v>11.696300000000001</v>
      </c>
      <c r="F2463" s="9">
        <v>45880</v>
      </c>
    </row>
    <row r="2464" spans="1:6" ht="75" x14ac:dyDescent="0.25">
      <c r="A2464" s="8" t="s">
        <v>63</v>
      </c>
      <c r="B2464" s="8" t="s">
        <v>72</v>
      </c>
      <c r="C2464" s="8" t="str">
        <f>IFERROR(_xlfn.XLOOKUP(TRIM(B2464),Lookup!$B$2:$B$1000,Lookup!$C$2:$C$1000),"")</f>
        <v>Equity - Thematic (Growth/Domestic)</v>
      </c>
      <c r="D2464" s="8" t="str">
        <f>IFERROR(INDEX('nav master'!$C:$C, MATCH(B2464, 'nav master'!$B:$B, 0)), "")</f>
        <v>ULIF 073 17/01/24 RIF 110</v>
      </c>
      <c r="E2464" s="8">
        <v>11.685600000000001</v>
      </c>
      <c r="F2464" s="9">
        <v>45881</v>
      </c>
    </row>
    <row r="2465" spans="1:6" ht="75" x14ac:dyDescent="0.25">
      <c r="A2465" s="8" t="s">
        <v>63</v>
      </c>
      <c r="B2465" s="8" t="s">
        <v>72</v>
      </c>
      <c r="C2465" s="8" t="str">
        <f>IFERROR(_xlfn.XLOOKUP(TRIM(B2465),Lookup!$B$2:$B$1000,Lookup!$C$2:$C$1000),"")</f>
        <v>Equity - Thematic (Growth/Domestic)</v>
      </c>
      <c r="D2465" s="8" t="str">
        <f>IFERROR(INDEX('nav master'!$C:$C, MATCH(B2465, 'nav master'!$B:$B, 0)), "")</f>
        <v>ULIF 073 17/01/24 RIF 110</v>
      </c>
      <c r="E2465" s="8">
        <v>11.753299999999999</v>
      </c>
      <c r="F2465" s="9">
        <v>45882</v>
      </c>
    </row>
    <row r="2466" spans="1:6" ht="75" x14ac:dyDescent="0.25">
      <c r="A2466" s="8" t="s">
        <v>63</v>
      </c>
      <c r="B2466" s="8" t="s">
        <v>72</v>
      </c>
      <c r="C2466" s="8" t="str">
        <f>IFERROR(_xlfn.XLOOKUP(TRIM(B2466),Lookup!$B$2:$B$1000,Lookup!$C$2:$C$1000),"")</f>
        <v>Equity - Thematic (Growth/Domestic)</v>
      </c>
      <c r="D2466" s="8" t="str">
        <f>IFERROR(INDEX('nav master'!$C:$C, MATCH(B2466, 'nav master'!$B:$B, 0)), "")</f>
        <v>ULIF 073 17/01/24 RIF 110</v>
      </c>
      <c r="E2466" s="8">
        <v>11.780099999999999</v>
      </c>
      <c r="F2466" s="9">
        <v>45883</v>
      </c>
    </row>
    <row r="2467" spans="1:6" ht="75" x14ac:dyDescent="0.25">
      <c r="A2467" s="8" t="s">
        <v>63</v>
      </c>
      <c r="B2467" s="8" t="s">
        <v>72</v>
      </c>
      <c r="C2467" s="8" t="str">
        <f>IFERROR(_xlfn.XLOOKUP(TRIM(B2467),Lookup!$B$2:$B$1000,Lookup!$C$2:$C$1000),"")</f>
        <v>Equity - Thematic (Growth/Domestic)</v>
      </c>
      <c r="D2467" s="8" t="str">
        <f>IFERROR(INDEX('nav master'!$C:$C, MATCH(B2467, 'nav master'!$B:$B, 0)), "")</f>
        <v>ULIF 073 17/01/24 RIF 110</v>
      </c>
      <c r="E2467" s="8">
        <v>11.9169</v>
      </c>
      <c r="F2467" s="9">
        <v>45887</v>
      </c>
    </row>
    <row r="2468" spans="1:6" ht="75" x14ac:dyDescent="0.25">
      <c r="A2468" s="8" t="s">
        <v>63</v>
      </c>
      <c r="B2468" s="8" t="s">
        <v>72</v>
      </c>
      <c r="C2468" s="8" t="str">
        <f>IFERROR(_xlfn.XLOOKUP(TRIM(B2468),Lookup!$B$2:$B$1000,Lookup!$C$2:$C$1000),"")</f>
        <v>Equity - Thematic (Growth/Domestic)</v>
      </c>
      <c r="D2468" s="8" t="str">
        <f>IFERROR(INDEX('nav master'!$C:$C, MATCH(B2468, 'nav master'!$B:$B, 0)), "")</f>
        <v>ULIF 073 17/01/24 RIF 110</v>
      </c>
      <c r="E2468" s="8">
        <v>11.993399999999999</v>
      </c>
      <c r="F2468" s="9">
        <v>45888</v>
      </c>
    </row>
    <row r="2469" spans="1:6" ht="75" x14ac:dyDescent="0.25">
      <c r="A2469" s="8" t="s">
        <v>63</v>
      </c>
      <c r="B2469" s="8" t="s">
        <v>72</v>
      </c>
      <c r="C2469" s="8" t="str">
        <f>IFERROR(_xlfn.XLOOKUP(TRIM(B2469),Lookup!$B$2:$B$1000,Lookup!$C$2:$C$1000),"")</f>
        <v>Equity - Thematic (Growth/Domestic)</v>
      </c>
      <c r="D2469" s="8" t="str">
        <f>IFERROR(INDEX('nav master'!$C:$C, MATCH(B2469, 'nav master'!$B:$B, 0)), "")</f>
        <v>ULIF 073 17/01/24 RIF 110</v>
      </c>
      <c r="E2469" s="8">
        <v>12.0479</v>
      </c>
      <c r="F2469" s="9">
        <v>45889</v>
      </c>
    </row>
    <row r="2470" spans="1:6" ht="75" x14ac:dyDescent="0.25">
      <c r="A2470" s="8" t="s">
        <v>63</v>
      </c>
      <c r="B2470" s="8" t="s">
        <v>72</v>
      </c>
      <c r="C2470" s="8" t="str">
        <f>IFERROR(_xlfn.XLOOKUP(TRIM(B2470),Lookup!$B$2:$B$1000,Lookup!$C$2:$C$1000),"")</f>
        <v>Equity - Thematic (Growth/Domestic)</v>
      </c>
      <c r="D2470" s="8" t="str">
        <f>IFERROR(INDEX('nav master'!$C:$C, MATCH(B2470, 'nav master'!$B:$B, 0)), "")</f>
        <v>ULIF 073 17/01/24 RIF 110</v>
      </c>
      <c r="E2470" s="8">
        <v>12.023199999999999</v>
      </c>
      <c r="F2470" s="9">
        <v>45890</v>
      </c>
    </row>
    <row r="2471" spans="1:6" ht="75" x14ac:dyDescent="0.25">
      <c r="A2471" s="8" t="s">
        <v>63</v>
      </c>
      <c r="B2471" s="8" t="s">
        <v>72</v>
      </c>
      <c r="C2471" s="8" t="str">
        <f>IFERROR(_xlfn.XLOOKUP(TRIM(B2471),Lookup!$B$2:$B$1000,Lookup!$C$2:$C$1000),"")</f>
        <v>Equity - Thematic (Growth/Domestic)</v>
      </c>
      <c r="D2471" s="8" t="str">
        <f>IFERROR(INDEX('nav master'!$C:$C, MATCH(B2471, 'nav master'!$B:$B, 0)), "")</f>
        <v>ULIF 073 17/01/24 RIF 110</v>
      </c>
      <c r="E2471" s="8">
        <v>11.977499999999999</v>
      </c>
      <c r="F2471" s="9">
        <v>45891</v>
      </c>
    </row>
    <row r="2472" spans="1:6" ht="75" x14ac:dyDescent="0.25">
      <c r="A2472" s="8" t="s">
        <v>63</v>
      </c>
      <c r="B2472" s="8" t="s">
        <v>72</v>
      </c>
      <c r="C2472" s="8" t="str">
        <f>IFERROR(_xlfn.XLOOKUP(TRIM(B2472),Lookup!$B$2:$B$1000,Lookup!$C$2:$C$1000),"")</f>
        <v>Equity - Thematic (Growth/Domestic)</v>
      </c>
      <c r="D2472" s="8" t="str">
        <f>IFERROR(INDEX('nav master'!$C:$C, MATCH(B2472, 'nav master'!$B:$B, 0)), "")</f>
        <v>ULIF 073 17/01/24 RIF 110</v>
      </c>
      <c r="E2472" s="8">
        <v>12.007899999999999</v>
      </c>
      <c r="F2472" s="9">
        <v>45894</v>
      </c>
    </row>
    <row r="2473" spans="1:6" ht="75" x14ac:dyDescent="0.25">
      <c r="A2473" s="8" t="s">
        <v>63</v>
      </c>
      <c r="B2473" s="8" t="s">
        <v>72</v>
      </c>
      <c r="C2473" s="8" t="str">
        <f>IFERROR(_xlfn.XLOOKUP(TRIM(B2473),Lookup!$B$2:$B$1000,Lookup!$C$2:$C$1000),"")</f>
        <v>Equity - Thematic (Growth/Domestic)</v>
      </c>
      <c r="D2473" s="8" t="str">
        <f>IFERROR(INDEX('nav master'!$C:$C, MATCH(B2473, 'nav master'!$B:$B, 0)), "")</f>
        <v>ULIF 073 17/01/24 RIF 110</v>
      </c>
      <c r="E2473" s="8">
        <v>11.8521</v>
      </c>
      <c r="F2473" s="9">
        <v>45895</v>
      </c>
    </row>
    <row r="2474" spans="1:6" ht="75" x14ac:dyDescent="0.25">
      <c r="A2474" s="8" t="s">
        <v>63</v>
      </c>
      <c r="B2474" s="8" t="s">
        <v>72</v>
      </c>
      <c r="C2474" s="8" t="str">
        <f>IFERROR(_xlfn.XLOOKUP(TRIM(B2474),Lookup!$B$2:$B$1000,Lookup!$C$2:$C$1000),"")</f>
        <v>Equity - Thematic (Growth/Domestic)</v>
      </c>
      <c r="D2474" s="8" t="str">
        <f>IFERROR(INDEX('nav master'!$C:$C, MATCH(B2474, 'nav master'!$B:$B, 0)), "")</f>
        <v>ULIF 073 17/01/24 RIF 110</v>
      </c>
      <c r="E2474" s="8">
        <v>11.7295</v>
      </c>
      <c r="F2474" s="9">
        <v>45897</v>
      </c>
    </row>
    <row r="2475" spans="1:6" ht="75" x14ac:dyDescent="0.25">
      <c r="A2475" s="8" t="s">
        <v>63</v>
      </c>
      <c r="B2475" s="8" t="s">
        <v>72</v>
      </c>
      <c r="C2475" s="8" t="str">
        <f>IFERROR(_xlfn.XLOOKUP(TRIM(B2475),Lookup!$B$2:$B$1000,Lookup!$C$2:$C$1000),"")</f>
        <v>Equity - Thematic (Growth/Domestic)</v>
      </c>
      <c r="D2475" s="8" t="str">
        <f>IFERROR(INDEX('nav master'!$C:$C, MATCH(B2475, 'nav master'!$B:$B, 0)), "")</f>
        <v>ULIF 073 17/01/24 RIF 110</v>
      </c>
      <c r="E2475" s="8">
        <v>11.673299999999999</v>
      </c>
      <c r="F2475" s="9">
        <v>45898</v>
      </c>
    </row>
    <row r="2476" spans="1:6" ht="75" x14ac:dyDescent="0.25">
      <c r="A2476" s="8" t="s">
        <v>63</v>
      </c>
      <c r="B2476" s="8" t="s">
        <v>72</v>
      </c>
      <c r="C2476" s="8" t="str">
        <f>IFERROR(_xlfn.XLOOKUP(TRIM(B2476),Lookup!$B$2:$B$1000,Lookup!$C$2:$C$1000),"")</f>
        <v>Equity - Thematic (Growth/Domestic)</v>
      </c>
      <c r="D2476" s="8" t="str">
        <f>IFERROR(INDEX('nav master'!$C:$C, MATCH(B2476, 'nav master'!$B:$B, 0)), "")</f>
        <v>ULIF 073 17/01/24 RIF 110</v>
      </c>
      <c r="E2476" s="8">
        <v>11.8012</v>
      </c>
      <c r="F2476" s="9">
        <v>45901</v>
      </c>
    </row>
    <row r="2477" spans="1:6" ht="75" x14ac:dyDescent="0.25">
      <c r="A2477" s="8" t="s">
        <v>63</v>
      </c>
      <c r="B2477" s="8" t="s">
        <v>72</v>
      </c>
      <c r="C2477" s="8" t="str">
        <f>IFERROR(_xlfn.XLOOKUP(TRIM(B2477),Lookup!$B$2:$B$1000,Lookup!$C$2:$C$1000),"")</f>
        <v>Equity - Thematic (Growth/Domestic)</v>
      </c>
      <c r="D2477" s="8" t="str">
        <f>IFERROR(INDEX('nav master'!$C:$C, MATCH(B2477, 'nav master'!$B:$B, 0)), "")</f>
        <v>ULIF 073 17/01/24 RIF 110</v>
      </c>
      <c r="E2477" s="8">
        <v>11.8325</v>
      </c>
      <c r="F2477" s="9">
        <v>45902</v>
      </c>
    </row>
    <row r="2478" spans="1:6" ht="75" x14ac:dyDescent="0.25">
      <c r="A2478" s="8" t="s">
        <v>63</v>
      </c>
      <c r="B2478" s="8" t="s">
        <v>72</v>
      </c>
      <c r="C2478" s="8" t="str">
        <f>IFERROR(_xlfn.XLOOKUP(TRIM(B2478),Lookup!$B$2:$B$1000,Lookup!$C$2:$C$1000),"")</f>
        <v>Equity - Thematic (Growth/Domestic)</v>
      </c>
      <c r="D2478" s="8" t="str">
        <f>IFERROR(INDEX('nav master'!$C:$C, MATCH(B2478, 'nav master'!$B:$B, 0)), "")</f>
        <v>ULIF 073 17/01/24 RIF 110</v>
      </c>
      <c r="E2478" s="8">
        <v>11.9069</v>
      </c>
      <c r="F2478" s="9">
        <v>45903</v>
      </c>
    </row>
    <row r="2479" spans="1:6" ht="75" x14ac:dyDescent="0.25">
      <c r="A2479" s="8" t="s">
        <v>63</v>
      </c>
      <c r="B2479" s="8" t="s">
        <v>72</v>
      </c>
      <c r="C2479" s="8" t="str">
        <f>IFERROR(_xlfn.XLOOKUP(TRIM(B2479),Lookup!$B$2:$B$1000,Lookup!$C$2:$C$1000),"")</f>
        <v>Equity - Thematic (Growth/Domestic)</v>
      </c>
      <c r="D2479" s="8" t="str">
        <f>IFERROR(INDEX('nav master'!$C:$C, MATCH(B2479, 'nav master'!$B:$B, 0)), "")</f>
        <v>ULIF 073 17/01/24 RIF 110</v>
      </c>
      <c r="E2479" s="8">
        <v>11.8834</v>
      </c>
      <c r="F2479" s="9">
        <v>45904</v>
      </c>
    </row>
    <row r="2480" spans="1:6" ht="75" x14ac:dyDescent="0.25">
      <c r="A2480" s="8" t="s">
        <v>63</v>
      </c>
      <c r="B2480" s="8" t="s">
        <v>72</v>
      </c>
      <c r="C2480" s="8" t="str">
        <f>IFERROR(_xlfn.XLOOKUP(TRIM(B2480),Lookup!$B$2:$B$1000,Lookup!$C$2:$C$1000),"")</f>
        <v>Equity - Thematic (Growth/Domestic)</v>
      </c>
      <c r="D2480" s="8" t="str">
        <f>IFERROR(INDEX('nav master'!$C:$C, MATCH(B2480, 'nav master'!$B:$B, 0)), "")</f>
        <v>ULIF 073 17/01/24 RIF 110</v>
      </c>
      <c r="E2480" s="8">
        <v>11.898</v>
      </c>
      <c r="F2480" s="9">
        <v>45905</v>
      </c>
    </row>
    <row r="2481" spans="1:6" ht="75" x14ac:dyDescent="0.25">
      <c r="A2481" s="8" t="s">
        <v>63</v>
      </c>
      <c r="B2481" s="8" t="s">
        <v>72</v>
      </c>
      <c r="C2481" s="8" t="str">
        <f>IFERROR(_xlfn.XLOOKUP(TRIM(B2481),Lookup!$B$2:$B$1000,Lookup!$C$2:$C$1000),"")</f>
        <v>Equity - Thematic (Growth/Domestic)</v>
      </c>
      <c r="D2481" s="8" t="str">
        <f>IFERROR(INDEX('nav master'!$C:$C, MATCH(B2481, 'nav master'!$B:$B, 0)), "")</f>
        <v>ULIF 073 17/01/24 RIF 110</v>
      </c>
      <c r="E2481" s="8">
        <v>11.932600000000001</v>
      </c>
      <c r="F2481" s="9">
        <v>45908</v>
      </c>
    </row>
    <row r="2482" spans="1:6" ht="75" x14ac:dyDescent="0.25">
      <c r="A2482" s="8" t="s">
        <v>63</v>
      </c>
      <c r="B2482" s="8" t="s">
        <v>72</v>
      </c>
      <c r="C2482" s="8" t="str">
        <f>IFERROR(_xlfn.XLOOKUP(TRIM(B2482),Lookup!$B$2:$B$1000,Lookup!$C$2:$C$1000),"")</f>
        <v>Equity - Thematic (Growth/Domestic)</v>
      </c>
      <c r="D2482" s="8" t="str">
        <f>IFERROR(INDEX('nav master'!$C:$C, MATCH(B2482, 'nav master'!$B:$B, 0)), "")</f>
        <v>ULIF 073 17/01/24 RIF 110</v>
      </c>
      <c r="E2482" s="8">
        <v>11.9352</v>
      </c>
      <c r="F2482" s="9">
        <v>45909</v>
      </c>
    </row>
    <row r="2483" spans="1:6" ht="75" x14ac:dyDescent="0.25">
      <c r="A2483" s="8" t="s">
        <v>63</v>
      </c>
      <c r="B2483" s="8" t="s">
        <v>72</v>
      </c>
      <c r="C2483" s="8" t="str">
        <f>IFERROR(_xlfn.XLOOKUP(TRIM(B2483),Lookup!$B$2:$B$1000,Lookup!$C$2:$C$1000),"")</f>
        <v>Equity - Thematic (Growth/Domestic)</v>
      </c>
      <c r="D2483" s="8" t="str">
        <f>IFERROR(INDEX('nav master'!$C:$C, MATCH(B2483, 'nav master'!$B:$B, 0)), "")</f>
        <v>ULIF 073 17/01/24 RIF 110</v>
      </c>
      <c r="E2483" s="8">
        <v>11.9754</v>
      </c>
      <c r="F2483" s="9">
        <v>45910</v>
      </c>
    </row>
    <row r="2484" spans="1:6" ht="75" x14ac:dyDescent="0.25">
      <c r="A2484" s="8" t="s">
        <v>63</v>
      </c>
      <c r="B2484" s="8" t="s">
        <v>72</v>
      </c>
      <c r="C2484" s="8" t="str">
        <f>IFERROR(_xlfn.XLOOKUP(TRIM(B2484),Lookup!$B$2:$B$1000,Lookup!$C$2:$C$1000),"")</f>
        <v>Equity - Thematic (Growth/Domestic)</v>
      </c>
      <c r="D2484" s="8" t="str">
        <f>IFERROR(INDEX('nav master'!$C:$C, MATCH(B2484, 'nav master'!$B:$B, 0)), "")</f>
        <v>ULIF 073 17/01/24 RIF 110</v>
      </c>
      <c r="E2484" s="8">
        <v>11.9506</v>
      </c>
      <c r="F2484" s="9">
        <v>45911</v>
      </c>
    </row>
    <row r="2485" spans="1:6" ht="75" x14ac:dyDescent="0.25">
      <c r="A2485" s="8" t="s">
        <v>63</v>
      </c>
      <c r="B2485" s="8" t="s">
        <v>72</v>
      </c>
      <c r="C2485" s="8" t="str">
        <f>IFERROR(_xlfn.XLOOKUP(TRIM(B2485),Lookup!$B$2:$B$1000,Lookup!$C$2:$C$1000),"")</f>
        <v>Equity - Thematic (Growth/Domestic)</v>
      </c>
      <c r="D2485" s="8" t="str">
        <f>IFERROR(INDEX('nav master'!$C:$C, MATCH(B2485, 'nav master'!$B:$B, 0)), "")</f>
        <v>ULIF 073 17/01/24 RIF 110</v>
      </c>
      <c r="E2485" s="8">
        <v>11.9621</v>
      </c>
      <c r="F2485" s="9">
        <v>45912</v>
      </c>
    </row>
    <row r="2486" spans="1:6" ht="75" x14ac:dyDescent="0.25">
      <c r="A2486" s="8" t="s">
        <v>63</v>
      </c>
      <c r="B2486" s="8" t="s">
        <v>72</v>
      </c>
      <c r="C2486" s="8" t="str">
        <f>IFERROR(_xlfn.XLOOKUP(TRIM(B2486),Lookup!$B$2:$B$1000,Lookup!$C$2:$C$1000),"")</f>
        <v>Equity - Thematic (Growth/Domestic)</v>
      </c>
      <c r="D2486" s="8" t="str">
        <f>IFERROR(INDEX('nav master'!$C:$C, MATCH(B2486, 'nav master'!$B:$B, 0)), "")</f>
        <v>ULIF 073 17/01/24 RIF 110</v>
      </c>
      <c r="E2486" s="8">
        <v>11.974299999999999</v>
      </c>
      <c r="F2486" s="9">
        <v>45915</v>
      </c>
    </row>
    <row r="2487" spans="1:6" ht="75" x14ac:dyDescent="0.25">
      <c r="A2487" s="8" t="s">
        <v>63</v>
      </c>
      <c r="B2487" s="8" t="s">
        <v>72</v>
      </c>
      <c r="C2487" s="8" t="str">
        <f>IFERROR(_xlfn.XLOOKUP(TRIM(B2487),Lookup!$B$2:$B$1000,Lookup!$C$2:$C$1000),"")</f>
        <v>Equity - Thematic (Growth/Domestic)</v>
      </c>
      <c r="D2487" s="8" t="str">
        <f>IFERROR(INDEX('nav master'!$C:$C, MATCH(B2487, 'nav master'!$B:$B, 0)), "")</f>
        <v>ULIF 073 17/01/24 RIF 110</v>
      </c>
      <c r="E2487" s="8">
        <v>12.030099999999999</v>
      </c>
      <c r="F2487" s="9">
        <v>45916</v>
      </c>
    </row>
    <row r="2488" spans="1:6" ht="75" x14ac:dyDescent="0.25">
      <c r="A2488" s="8" t="s">
        <v>63</v>
      </c>
      <c r="B2488" s="8" t="s">
        <v>72</v>
      </c>
      <c r="C2488" s="8" t="str">
        <f>IFERROR(_xlfn.XLOOKUP(TRIM(B2488),Lookup!$B$2:$B$1000,Lookup!$C$2:$C$1000),"")</f>
        <v>Equity - Thematic (Growth/Domestic)</v>
      </c>
      <c r="D2488" s="8" t="str">
        <f>IFERROR(INDEX('nav master'!$C:$C, MATCH(B2488, 'nav master'!$B:$B, 0)), "")</f>
        <v>ULIF 073 17/01/24 RIF 110</v>
      </c>
      <c r="E2488" s="8">
        <v>12.0543</v>
      </c>
      <c r="F2488" s="9">
        <v>45917</v>
      </c>
    </row>
    <row r="2489" spans="1:6" ht="75" x14ac:dyDescent="0.25">
      <c r="A2489" s="8" t="s">
        <v>63</v>
      </c>
      <c r="B2489" s="8" t="s">
        <v>72</v>
      </c>
      <c r="C2489" s="8" t="str">
        <f>IFERROR(_xlfn.XLOOKUP(TRIM(B2489),Lookup!$B$2:$B$1000,Lookup!$C$2:$C$1000),"")</f>
        <v>Equity - Thematic (Growth/Domestic)</v>
      </c>
      <c r="D2489" s="8" t="str">
        <f>IFERROR(INDEX('nav master'!$C:$C, MATCH(B2489, 'nav master'!$B:$B, 0)), "")</f>
        <v>ULIF 073 17/01/24 RIF 110</v>
      </c>
      <c r="E2489" s="8">
        <v>12.087400000000001</v>
      </c>
      <c r="F2489" s="9">
        <v>45918</v>
      </c>
    </row>
    <row r="2490" spans="1:6" ht="75" x14ac:dyDescent="0.25">
      <c r="A2490" s="8" t="s">
        <v>63</v>
      </c>
      <c r="B2490" s="8" t="s">
        <v>72</v>
      </c>
      <c r="C2490" s="8" t="str">
        <f>IFERROR(_xlfn.XLOOKUP(TRIM(B2490),Lookup!$B$2:$B$1000,Lookup!$C$2:$C$1000),"")</f>
        <v>Equity - Thematic (Growth/Domestic)</v>
      </c>
      <c r="D2490" s="8" t="str">
        <f>IFERROR(INDEX('nav master'!$C:$C, MATCH(B2490, 'nav master'!$B:$B, 0)), "")</f>
        <v>ULIF 073 17/01/24 RIF 110</v>
      </c>
      <c r="E2490" s="8">
        <v>12.080500000000001</v>
      </c>
      <c r="F2490" s="9">
        <v>45919</v>
      </c>
    </row>
    <row r="2491" spans="1:6" ht="75" x14ac:dyDescent="0.25">
      <c r="A2491" s="8" t="s">
        <v>63</v>
      </c>
      <c r="B2491" s="8" t="s">
        <v>72</v>
      </c>
      <c r="C2491" s="8" t="str">
        <f>IFERROR(_xlfn.XLOOKUP(TRIM(B2491),Lookup!$B$2:$B$1000,Lookup!$C$2:$C$1000),"")</f>
        <v>Equity - Thematic (Growth/Domestic)</v>
      </c>
      <c r="D2491" s="8" t="str">
        <f>IFERROR(INDEX('nav master'!$C:$C, MATCH(B2491, 'nav master'!$B:$B, 0)), "")</f>
        <v>ULIF 073 17/01/24 RIF 110</v>
      </c>
      <c r="E2491" s="8">
        <v>12.023099999999999</v>
      </c>
      <c r="F2491" s="9">
        <v>45922</v>
      </c>
    </row>
    <row r="2492" spans="1:6" ht="75" x14ac:dyDescent="0.25">
      <c r="A2492" s="8" t="s">
        <v>63</v>
      </c>
      <c r="B2492" s="8" t="s">
        <v>72</v>
      </c>
      <c r="C2492" s="8" t="str">
        <f>IFERROR(_xlfn.XLOOKUP(TRIM(B2492),Lookup!$B$2:$B$1000,Lookup!$C$2:$C$1000),"")</f>
        <v>Equity - Thematic (Growth/Domestic)</v>
      </c>
      <c r="D2492" s="8" t="str">
        <f>IFERROR(INDEX('nav master'!$C:$C, MATCH(B2492, 'nav master'!$B:$B, 0)), "")</f>
        <v>ULIF 073 17/01/24 RIF 110</v>
      </c>
      <c r="E2492" s="8">
        <v>11.9619</v>
      </c>
      <c r="F2492" s="9">
        <v>45923</v>
      </c>
    </row>
    <row r="2493" spans="1:6" ht="75" x14ac:dyDescent="0.25">
      <c r="A2493" s="8" t="s">
        <v>63</v>
      </c>
      <c r="B2493" s="8" t="s">
        <v>72</v>
      </c>
      <c r="C2493" s="8" t="str">
        <f>IFERROR(_xlfn.XLOOKUP(TRIM(B2493),Lookup!$B$2:$B$1000,Lookup!$C$2:$C$1000),"")</f>
        <v>Equity - Thematic (Growth/Domestic)</v>
      </c>
      <c r="D2493" s="8" t="str">
        <f>IFERROR(INDEX('nav master'!$C:$C, MATCH(B2493, 'nav master'!$B:$B, 0)), "")</f>
        <v>ULIF 073 17/01/24 RIF 110</v>
      </c>
      <c r="E2493" s="8">
        <v>11.8955</v>
      </c>
      <c r="F2493" s="9">
        <v>45924</v>
      </c>
    </row>
    <row r="2494" spans="1:6" ht="75" x14ac:dyDescent="0.25">
      <c r="A2494" s="8" t="s">
        <v>63</v>
      </c>
      <c r="B2494" s="8" t="s">
        <v>72</v>
      </c>
      <c r="C2494" s="8" t="str">
        <f>IFERROR(_xlfn.XLOOKUP(TRIM(B2494),Lookup!$B$2:$B$1000,Lookup!$C$2:$C$1000),"")</f>
        <v>Equity - Thematic (Growth/Domestic)</v>
      </c>
      <c r="D2494" s="8" t="str">
        <f>IFERROR(INDEX('nav master'!$C:$C, MATCH(B2494, 'nav master'!$B:$B, 0)), "")</f>
        <v>ULIF 073 17/01/24 RIF 110</v>
      </c>
      <c r="E2494" s="8">
        <v>11.801299999999999</v>
      </c>
      <c r="F2494" s="9">
        <v>45925</v>
      </c>
    </row>
    <row r="2495" spans="1:6" ht="75" x14ac:dyDescent="0.25">
      <c r="A2495" s="8" t="s">
        <v>63</v>
      </c>
      <c r="B2495" s="8" t="s">
        <v>72</v>
      </c>
      <c r="C2495" s="8" t="str">
        <f>IFERROR(_xlfn.XLOOKUP(TRIM(B2495),Lookup!$B$2:$B$1000,Lookup!$C$2:$C$1000),"")</f>
        <v>Equity - Thematic (Growth/Domestic)</v>
      </c>
      <c r="D2495" s="8" t="str">
        <f>IFERROR(INDEX('nav master'!$C:$C, MATCH(B2495, 'nav master'!$B:$B, 0)), "")</f>
        <v>ULIF 073 17/01/24 RIF 110</v>
      </c>
      <c r="E2495" s="8">
        <v>11.6303</v>
      </c>
      <c r="F2495" s="9">
        <v>45926</v>
      </c>
    </row>
    <row r="2496" spans="1:6" ht="75" x14ac:dyDescent="0.25">
      <c r="A2496" s="8" t="s">
        <v>63</v>
      </c>
      <c r="B2496" s="8" t="s">
        <v>72</v>
      </c>
      <c r="C2496" s="8" t="str">
        <f>IFERROR(_xlfn.XLOOKUP(TRIM(B2496),Lookup!$B$2:$B$1000,Lookup!$C$2:$C$1000),"")</f>
        <v>Equity - Thematic (Growth/Domestic)</v>
      </c>
      <c r="D2496" s="8" t="str">
        <f>IFERROR(INDEX('nav master'!$C:$C, MATCH(B2496, 'nav master'!$B:$B, 0)), "")</f>
        <v>ULIF 073 17/01/24 RIF 110</v>
      </c>
      <c r="E2496" s="8">
        <v>11.645</v>
      </c>
      <c r="F2496" s="9">
        <v>45929</v>
      </c>
    </row>
    <row r="2497" spans="1:6" ht="75" x14ac:dyDescent="0.25">
      <c r="A2497" s="8" t="s">
        <v>63</v>
      </c>
      <c r="B2497" s="8" t="s">
        <v>72</v>
      </c>
      <c r="C2497" s="8" t="str">
        <f>IFERROR(_xlfn.XLOOKUP(TRIM(B2497),Lookup!$B$2:$B$1000,Lookup!$C$2:$C$1000),"")</f>
        <v>Equity - Thematic (Growth/Domestic)</v>
      </c>
      <c r="D2497" s="8" t="str">
        <f>IFERROR(INDEX('nav master'!$C:$C, MATCH(B2497, 'nav master'!$B:$B, 0)), "")</f>
        <v>ULIF 073 17/01/24 RIF 110</v>
      </c>
      <c r="E2497" s="8">
        <v>11.63</v>
      </c>
      <c r="F2497" s="9">
        <v>45930</v>
      </c>
    </row>
    <row r="2498" spans="1:6" ht="75" x14ac:dyDescent="0.25">
      <c r="A2498" s="8" t="s">
        <v>63</v>
      </c>
      <c r="B2498" s="8" t="s">
        <v>72</v>
      </c>
      <c r="C2498" s="8" t="str">
        <f>IFERROR(_xlfn.XLOOKUP(TRIM(B2498),Lookup!$B$2:$B$1000,Lookup!$C$2:$C$1000),"")</f>
        <v>Equity - Thematic (Growth/Domestic)</v>
      </c>
      <c r="D2498" s="8" t="str">
        <f>IFERROR(INDEX('nav master'!$C:$C, MATCH(B2498, 'nav master'!$B:$B, 0)), "")</f>
        <v>ULIF 073 17/01/24 RIF 110</v>
      </c>
      <c r="E2498" s="8">
        <v>11.793200000000001</v>
      </c>
      <c r="F2498" s="9">
        <v>45931</v>
      </c>
    </row>
    <row r="2499" spans="1:6" ht="75" x14ac:dyDescent="0.25">
      <c r="A2499" s="8" t="s">
        <v>63</v>
      </c>
      <c r="B2499" s="8" t="s">
        <v>72</v>
      </c>
      <c r="C2499" s="8" t="str">
        <f>IFERROR(_xlfn.XLOOKUP(TRIM(B2499),Lookup!$B$2:$B$1000,Lookup!$C$2:$C$1000),"")</f>
        <v>Equity - Thematic (Growth/Domestic)</v>
      </c>
      <c r="D2499" s="8" t="str">
        <f>IFERROR(INDEX('nav master'!$C:$C, MATCH(B2499, 'nav master'!$B:$B, 0)), "")</f>
        <v>ULIF 073 17/01/24 RIF 110</v>
      </c>
      <c r="E2499" s="8">
        <v>11.8047</v>
      </c>
      <c r="F2499" s="9">
        <v>45933</v>
      </c>
    </row>
    <row r="2500" spans="1:6" ht="75" x14ac:dyDescent="0.25">
      <c r="A2500" s="8" t="s">
        <v>63</v>
      </c>
      <c r="B2500" s="8" t="s">
        <v>72</v>
      </c>
      <c r="C2500" s="8" t="str">
        <f>IFERROR(_xlfn.XLOOKUP(TRIM(B2500),Lookup!$B$2:$B$1000,Lookup!$C$2:$C$1000),"")</f>
        <v>Equity - Thematic (Growth/Domestic)</v>
      </c>
      <c r="D2500" s="8" t="str">
        <f>IFERROR(INDEX('nav master'!$C:$C, MATCH(B2500, 'nav master'!$B:$B, 0)), "")</f>
        <v>ULIF 073 17/01/24 RIF 110</v>
      </c>
      <c r="E2500" s="8">
        <v>11.9277</v>
      </c>
      <c r="F2500" s="9">
        <v>45936</v>
      </c>
    </row>
    <row r="2501" spans="1:6" ht="75" x14ac:dyDescent="0.25">
      <c r="A2501" s="8" t="s">
        <v>63</v>
      </c>
      <c r="B2501" s="8" t="s">
        <v>72</v>
      </c>
      <c r="C2501" s="8" t="str">
        <f>IFERROR(_xlfn.XLOOKUP(TRIM(B2501),Lookup!$B$2:$B$1000,Lookup!$C$2:$C$1000),"")</f>
        <v>Equity - Thematic (Growth/Domestic)</v>
      </c>
      <c r="D2501" s="8" t="str">
        <f>IFERROR(INDEX('nav master'!$C:$C, MATCH(B2501, 'nav master'!$B:$B, 0)), "")</f>
        <v>ULIF 073 17/01/24 RIF 110</v>
      </c>
      <c r="E2501" s="8">
        <v>11.9938</v>
      </c>
      <c r="F2501" s="9">
        <v>45937</v>
      </c>
    </row>
    <row r="2502" spans="1:6" ht="75" x14ac:dyDescent="0.25">
      <c r="A2502" s="8" t="s">
        <v>63</v>
      </c>
      <c r="B2502" s="8" t="s">
        <v>72</v>
      </c>
      <c r="C2502" s="8" t="str">
        <f>IFERROR(_xlfn.XLOOKUP(TRIM(B2502),Lookup!$B$2:$B$1000,Lookup!$C$2:$C$1000),"")</f>
        <v>Equity - Thematic (Growth/Domestic)</v>
      </c>
      <c r="D2502" s="8" t="str">
        <f>IFERROR(INDEX('nav master'!$C:$C, MATCH(B2502, 'nav master'!$B:$B, 0)), "")</f>
        <v>ULIF 073 17/01/24 RIF 110</v>
      </c>
      <c r="E2502" s="8">
        <v>11.94</v>
      </c>
      <c r="F2502" s="9">
        <v>45938</v>
      </c>
    </row>
    <row r="2503" spans="1:6" ht="75" x14ac:dyDescent="0.25">
      <c r="A2503" s="8" t="s">
        <v>63</v>
      </c>
      <c r="B2503" s="8" t="s">
        <v>72</v>
      </c>
      <c r="C2503" s="8" t="str">
        <f>IFERROR(_xlfn.XLOOKUP(TRIM(B2503),Lookup!$B$2:$B$1000,Lookup!$C$2:$C$1000),"")</f>
        <v>Equity - Thematic (Growth/Domestic)</v>
      </c>
      <c r="D2503" s="8" t="str">
        <f>IFERROR(INDEX('nav master'!$C:$C, MATCH(B2503, 'nav master'!$B:$B, 0)), "")</f>
        <v>ULIF 073 17/01/24 RIF 110</v>
      </c>
      <c r="E2503" s="8">
        <v>12.0252</v>
      </c>
      <c r="F2503" s="9">
        <v>45939</v>
      </c>
    </row>
    <row r="2504" spans="1:6" ht="75" x14ac:dyDescent="0.25">
      <c r="A2504" s="8" t="s">
        <v>63</v>
      </c>
      <c r="B2504" s="8" t="s">
        <v>72</v>
      </c>
      <c r="C2504" s="8" t="str">
        <f>IFERROR(_xlfn.XLOOKUP(TRIM(B2504),Lookup!$B$2:$B$1000,Lookup!$C$2:$C$1000),"")</f>
        <v>Equity - Thematic (Growth/Domestic)</v>
      </c>
      <c r="D2504" s="8" t="str">
        <f>IFERROR(INDEX('nav master'!$C:$C, MATCH(B2504, 'nav master'!$B:$B, 0)), "")</f>
        <v>ULIF 073 17/01/24 RIF 110</v>
      </c>
      <c r="E2504" s="8">
        <v>12.0625</v>
      </c>
      <c r="F2504" s="9">
        <v>45940</v>
      </c>
    </row>
    <row r="2505" spans="1:6" ht="75" x14ac:dyDescent="0.25">
      <c r="A2505" s="8" t="s">
        <v>63</v>
      </c>
      <c r="B2505" s="8" t="s">
        <v>72</v>
      </c>
      <c r="C2505" s="8" t="str">
        <f>IFERROR(_xlfn.XLOOKUP(TRIM(B2505),Lookup!$B$2:$B$1000,Lookup!$C$2:$C$1000),"")</f>
        <v>Equity - Thematic (Growth/Domestic)</v>
      </c>
      <c r="D2505" s="8" t="str">
        <f>IFERROR(INDEX('nav master'!$C:$C, MATCH(B2505, 'nav master'!$B:$B, 0)), "")</f>
        <v>ULIF 073 17/01/24 RIF 110</v>
      </c>
      <c r="E2505" s="8">
        <v>12.055899999999999</v>
      </c>
      <c r="F2505" s="9">
        <v>45943</v>
      </c>
    </row>
    <row r="2506" spans="1:6" ht="75" x14ac:dyDescent="0.25">
      <c r="A2506" s="8" t="s">
        <v>63</v>
      </c>
      <c r="B2506" s="8" t="s">
        <v>72</v>
      </c>
      <c r="C2506" s="8" t="str">
        <f>IFERROR(_xlfn.XLOOKUP(TRIM(B2506),Lookup!$B$2:$B$1000,Lookup!$C$2:$C$1000),"")</f>
        <v>Equity - Thematic (Growth/Domestic)</v>
      </c>
      <c r="D2506" s="8" t="str">
        <f>IFERROR(INDEX('nav master'!$C:$C, MATCH(B2506, 'nav master'!$B:$B, 0)), "")</f>
        <v>ULIF 073 17/01/24 RIF 110</v>
      </c>
      <c r="E2506" s="8">
        <v>11.9908</v>
      </c>
      <c r="F2506" s="9">
        <v>45944</v>
      </c>
    </row>
    <row r="2507" spans="1:6" ht="75" x14ac:dyDescent="0.25">
      <c r="A2507" s="8" t="s">
        <v>63</v>
      </c>
      <c r="B2507" s="8" t="s">
        <v>72</v>
      </c>
      <c r="C2507" s="8" t="str">
        <f>IFERROR(_xlfn.XLOOKUP(TRIM(B2507),Lookup!$B$2:$B$1000,Lookup!$C$2:$C$1000),"")</f>
        <v>Equity - Thematic (Growth/Domestic)</v>
      </c>
      <c r="D2507" s="8" t="str">
        <f>IFERROR(INDEX('nav master'!$C:$C, MATCH(B2507, 'nav master'!$B:$B, 0)), "")</f>
        <v>ULIF 073 17/01/24 RIF 110</v>
      </c>
      <c r="E2507" s="8">
        <v>12.072699999999999</v>
      </c>
      <c r="F2507" s="9">
        <v>45945</v>
      </c>
    </row>
    <row r="2508" spans="1:6" ht="75" x14ac:dyDescent="0.25">
      <c r="A2508" s="8" t="s">
        <v>63</v>
      </c>
      <c r="B2508" s="8" t="s">
        <v>72</v>
      </c>
      <c r="C2508" s="8" t="str">
        <f>IFERROR(_xlfn.XLOOKUP(TRIM(B2508),Lookup!$B$2:$B$1000,Lookup!$C$2:$C$1000),"")</f>
        <v>Equity - Thematic (Growth/Domestic)</v>
      </c>
      <c r="D2508" s="8" t="str">
        <f>IFERROR(INDEX('nav master'!$C:$C, MATCH(B2508, 'nav master'!$B:$B, 0)), "")</f>
        <v>ULIF 073 17/01/24 RIF 110</v>
      </c>
      <c r="E2508" s="8">
        <v>12.1242</v>
      </c>
      <c r="F2508" s="9">
        <v>45946</v>
      </c>
    </row>
    <row r="2509" spans="1:6" ht="75" x14ac:dyDescent="0.25">
      <c r="A2509" s="8" t="s">
        <v>63</v>
      </c>
      <c r="B2509" s="8" t="s">
        <v>72</v>
      </c>
      <c r="C2509" s="8" t="str">
        <f>IFERROR(_xlfn.XLOOKUP(TRIM(B2509),Lookup!$B$2:$B$1000,Lookup!$C$2:$C$1000),"")</f>
        <v>Equity - Thematic (Growth/Domestic)</v>
      </c>
      <c r="D2509" s="8" t="str">
        <f>IFERROR(INDEX('nav master'!$C:$C, MATCH(B2509, 'nav master'!$B:$B, 0)), "")</f>
        <v>ULIF 073 17/01/24 RIF 110</v>
      </c>
      <c r="E2509" s="8">
        <v>12.1783</v>
      </c>
      <c r="F2509" s="9">
        <v>45947</v>
      </c>
    </row>
    <row r="2510" spans="1:6" ht="75" x14ac:dyDescent="0.25">
      <c r="A2510" s="8" t="s">
        <v>63</v>
      </c>
      <c r="B2510" s="8" t="s">
        <v>72</v>
      </c>
      <c r="C2510" s="8" t="str">
        <f>IFERROR(_xlfn.XLOOKUP(TRIM(B2510),Lookup!$B$2:$B$1000,Lookup!$C$2:$C$1000),"")</f>
        <v>Equity - Thematic (Growth/Domestic)</v>
      </c>
      <c r="D2510" s="8" t="str">
        <f>IFERROR(INDEX('nav master'!$C:$C, MATCH(B2510, 'nav master'!$B:$B, 0)), "")</f>
        <v>ULIF 073 17/01/24 RIF 110</v>
      </c>
      <c r="E2510" s="8">
        <v>12.2151</v>
      </c>
      <c r="F2510" s="9">
        <v>45950</v>
      </c>
    </row>
    <row r="2511" spans="1:6" ht="75" x14ac:dyDescent="0.25">
      <c r="A2511" s="8" t="s">
        <v>63</v>
      </c>
      <c r="B2511" s="8" t="s">
        <v>72</v>
      </c>
      <c r="C2511" s="8" t="str">
        <f>IFERROR(_xlfn.XLOOKUP(TRIM(B2511),Lookup!$B$2:$B$1000,Lookup!$C$2:$C$1000),"")</f>
        <v>Equity - Thematic (Growth/Domestic)</v>
      </c>
      <c r="D2511" s="8" t="str">
        <f>IFERROR(INDEX('nav master'!$C:$C, MATCH(B2511, 'nav master'!$B:$B, 0)), "")</f>
        <v>ULIF 073 17/01/24 RIF 110</v>
      </c>
      <c r="E2511" s="8">
        <v>12.236499999999999</v>
      </c>
      <c r="F2511" s="9">
        <v>45953</v>
      </c>
    </row>
    <row r="2512" spans="1:6" ht="75" x14ac:dyDescent="0.25">
      <c r="A2512" s="8" t="s">
        <v>63</v>
      </c>
      <c r="B2512" s="8" t="s">
        <v>72</v>
      </c>
      <c r="C2512" s="8" t="str">
        <f>IFERROR(_xlfn.XLOOKUP(TRIM(B2512),Lookup!$B$2:$B$1000,Lookup!$C$2:$C$1000),"")</f>
        <v>Equity - Thematic (Growth/Domestic)</v>
      </c>
      <c r="D2512" s="8" t="str">
        <f>IFERROR(INDEX('nav master'!$C:$C, MATCH(B2512, 'nav master'!$B:$B, 0)), "")</f>
        <v>ULIF 073 17/01/24 RIF 110</v>
      </c>
      <c r="E2512" s="8">
        <v>12.216100000000001</v>
      </c>
      <c r="F2512" s="9">
        <v>45954</v>
      </c>
    </row>
    <row r="2513" spans="1:6" ht="75" x14ac:dyDescent="0.25">
      <c r="A2513" s="8" t="s">
        <v>63</v>
      </c>
      <c r="B2513" s="8" t="s">
        <v>72</v>
      </c>
      <c r="C2513" s="8" t="str">
        <f>IFERROR(_xlfn.XLOOKUP(TRIM(B2513),Lookup!$B$2:$B$1000,Lookup!$C$2:$C$1000),"")</f>
        <v>Equity - Thematic (Growth/Domestic)</v>
      </c>
      <c r="D2513" s="8" t="str">
        <f>IFERROR(INDEX('nav master'!$C:$C, MATCH(B2513, 'nav master'!$B:$B, 0)), "")</f>
        <v>ULIF 073 17/01/24 RIF 110</v>
      </c>
      <c r="E2513" s="8">
        <v>12.2966</v>
      </c>
      <c r="F2513" s="9">
        <v>45957</v>
      </c>
    </row>
    <row r="2514" spans="1:6" ht="75" x14ac:dyDescent="0.25">
      <c r="A2514" s="8" t="s">
        <v>63</v>
      </c>
      <c r="B2514" s="8" t="s">
        <v>72</v>
      </c>
      <c r="C2514" s="8" t="str">
        <f>IFERROR(_xlfn.XLOOKUP(TRIM(B2514),Lookup!$B$2:$B$1000,Lookup!$C$2:$C$1000),"")</f>
        <v>Equity - Thematic (Growth/Domestic)</v>
      </c>
      <c r="D2514" s="8" t="str">
        <f>IFERROR(INDEX('nav master'!$C:$C, MATCH(B2514, 'nav master'!$B:$B, 0)), "")</f>
        <v>ULIF 073 17/01/24 RIF 110</v>
      </c>
      <c r="E2514" s="8">
        <v>12.287699999999999</v>
      </c>
      <c r="F2514" s="9">
        <v>45958</v>
      </c>
    </row>
    <row r="2515" spans="1:6" ht="75" x14ac:dyDescent="0.25">
      <c r="A2515" s="8" t="s">
        <v>63</v>
      </c>
      <c r="B2515" s="8" t="s">
        <v>72</v>
      </c>
      <c r="C2515" s="8" t="str">
        <f>IFERROR(_xlfn.XLOOKUP(TRIM(B2515),Lookup!$B$2:$B$1000,Lookup!$C$2:$C$1000),"")</f>
        <v>Equity - Thematic (Growth/Domestic)</v>
      </c>
      <c r="D2515" s="8" t="str">
        <f>IFERROR(INDEX('nav master'!$C:$C, MATCH(B2515, 'nav master'!$B:$B, 0)), "")</f>
        <v>ULIF 073 17/01/24 RIF 110</v>
      </c>
      <c r="E2515" s="8">
        <v>12.354900000000001</v>
      </c>
      <c r="F2515" s="9">
        <v>45959</v>
      </c>
    </row>
    <row r="2516" spans="1:6" ht="75" x14ac:dyDescent="0.25">
      <c r="A2516" s="8" t="s">
        <v>63</v>
      </c>
      <c r="B2516" s="8" t="s">
        <v>72</v>
      </c>
      <c r="C2516" s="8" t="str">
        <f>IFERROR(_xlfn.XLOOKUP(TRIM(B2516),Lookup!$B$2:$B$1000,Lookup!$C$2:$C$1000),"")</f>
        <v>Equity - Thematic (Growth/Domestic)</v>
      </c>
      <c r="D2516" s="8" t="str">
        <f>IFERROR(INDEX('nav master'!$C:$C, MATCH(B2516, 'nav master'!$B:$B, 0)), "")</f>
        <v>ULIF 073 17/01/24 RIF 110</v>
      </c>
      <c r="E2516" s="8">
        <v>12.3239</v>
      </c>
      <c r="F2516" s="9">
        <v>45960</v>
      </c>
    </row>
    <row r="2517" spans="1:6" ht="75" x14ac:dyDescent="0.25">
      <c r="A2517" s="8" t="s">
        <v>63</v>
      </c>
      <c r="B2517" s="8" t="s">
        <v>72</v>
      </c>
      <c r="C2517" s="8" t="str">
        <f>IFERROR(_xlfn.XLOOKUP(TRIM(B2517),Lookup!$B$2:$B$1000,Lookup!$C$2:$C$1000),"")</f>
        <v>Equity - Thematic (Growth/Domestic)</v>
      </c>
      <c r="D2517" s="8" t="str">
        <f>IFERROR(INDEX('nav master'!$C:$C, MATCH(B2517, 'nav master'!$B:$B, 0)), "")</f>
        <v>ULIF 073 17/01/24 RIF 110</v>
      </c>
      <c r="E2517" s="8">
        <v>12.2355</v>
      </c>
      <c r="F2517" s="9">
        <v>45961</v>
      </c>
    </row>
    <row r="2518" spans="1:6" ht="75" x14ac:dyDescent="0.25">
      <c r="A2518" s="8" t="s">
        <v>63</v>
      </c>
      <c r="B2518" s="8" t="s">
        <v>72</v>
      </c>
      <c r="C2518" s="8" t="str">
        <f>IFERROR(_xlfn.XLOOKUP(TRIM(B2518),Lookup!$B$2:$B$1000,Lookup!$C$2:$C$1000),"")</f>
        <v>Equity - Thematic (Growth/Domestic)</v>
      </c>
      <c r="D2518" s="8" t="str">
        <f>IFERROR(INDEX('nav master'!$C:$C, MATCH(B2518, 'nav master'!$B:$B, 0)), "")</f>
        <v>ULIF 073 17/01/24 RIF 110</v>
      </c>
      <c r="E2518" s="8">
        <v>12.2875</v>
      </c>
      <c r="F2518" s="9">
        <v>45964</v>
      </c>
    </row>
    <row r="2519" spans="1:6" ht="75" x14ac:dyDescent="0.25">
      <c r="A2519" s="8" t="s">
        <v>63</v>
      </c>
      <c r="B2519" s="8" t="s">
        <v>72</v>
      </c>
      <c r="C2519" s="8" t="str">
        <f>IFERROR(_xlfn.XLOOKUP(TRIM(B2519),Lookup!$B$2:$B$1000,Lookup!$C$2:$C$1000),"")</f>
        <v>Equity - Thematic (Growth/Domestic)</v>
      </c>
      <c r="D2519" s="8" t="str">
        <f>IFERROR(INDEX('nav master'!$C:$C, MATCH(B2519, 'nav master'!$B:$B, 0)), "")</f>
        <v>ULIF 073 17/01/24 RIF 110</v>
      </c>
      <c r="E2519" s="8">
        <v>12.2727</v>
      </c>
      <c r="F2519" s="9">
        <v>45965</v>
      </c>
    </row>
    <row r="2520" spans="1:6" ht="75" x14ac:dyDescent="0.25">
      <c r="A2520" s="8" t="s">
        <v>63</v>
      </c>
      <c r="B2520" s="8" t="s">
        <v>72</v>
      </c>
      <c r="C2520" s="8" t="str">
        <f>IFERROR(_xlfn.XLOOKUP(TRIM(B2520),Lookup!$B$2:$B$1000,Lookup!$C$2:$C$1000),"")</f>
        <v>Equity - Thematic (Growth/Domestic)</v>
      </c>
      <c r="D2520" s="8" t="str">
        <f>IFERROR(INDEX('nav master'!$C:$C, MATCH(B2520, 'nav master'!$B:$B, 0)), "")</f>
        <v>ULIF 073 17/01/24 RIF 110</v>
      </c>
      <c r="E2520" s="8">
        <v>12.164400000000001</v>
      </c>
      <c r="F2520" s="9">
        <v>45967</v>
      </c>
    </row>
    <row r="2521" spans="1:6" ht="75" x14ac:dyDescent="0.25">
      <c r="A2521" s="8" t="s">
        <v>63</v>
      </c>
      <c r="B2521" s="8" t="s">
        <v>72</v>
      </c>
      <c r="C2521" s="8" t="str">
        <f>IFERROR(_xlfn.XLOOKUP(TRIM(B2521),Lookup!$B$2:$B$1000,Lookup!$C$2:$C$1000),"")</f>
        <v>Equity - Thematic (Growth/Domestic)</v>
      </c>
      <c r="D2521" s="8" t="str">
        <f>IFERROR(INDEX('nav master'!$C:$C, MATCH(B2521, 'nav master'!$B:$B, 0)), "")</f>
        <v>ULIF 073 17/01/24 RIF 110</v>
      </c>
      <c r="E2521" s="8">
        <v>12.208</v>
      </c>
      <c r="F2521" s="9">
        <v>45968</v>
      </c>
    </row>
    <row r="2522" spans="1:6" ht="75" x14ac:dyDescent="0.25">
      <c r="A2522" s="8" t="s">
        <v>63</v>
      </c>
      <c r="B2522" s="8" t="s">
        <v>72</v>
      </c>
      <c r="C2522" s="8" t="str">
        <f>IFERROR(_xlfn.XLOOKUP(TRIM(B2522),Lookup!$B$2:$B$1000,Lookup!$C$2:$C$1000),"")</f>
        <v>Equity - Thematic (Growth/Domestic)</v>
      </c>
      <c r="D2522" s="8" t="str">
        <f>IFERROR(INDEX('nav master'!$C:$C, MATCH(B2522, 'nav master'!$B:$B, 0)), "")</f>
        <v>ULIF 073 17/01/24 RIF 110</v>
      </c>
      <c r="E2522" s="8">
        <v>12.2904</v>
      </c>
      <c r="F2522" s="9">
        <v>45971</v>
      </c>
    </row>
    <row r="2523" spans="1:6" ht="75" x14ac:dyDescent="0.25">
      <c r="A2523" s="8" t="s">
        <v>63</v>
      </c>
      <c r="B2523" s="8" t="s">
        <v>72</v>
      </c>
      <c r="C2523" s="8" t="str">
        <f>IFERROR(_xlfn.XLOOKUP(TRIM(B2523),Lookup!$B$2:$B$1000,Lookup!$C$2:$C$1000),"")</f>
        <v>Equity - Thematic (Growth/Domestic)</v>
      </c>
      <c r="D2523" s="8" t="str">
        <f>IFERROR(INDEX('nav master'!$C:$C, MATCH(B2523, 'nav master'!$B:$B, 0)), "")</f>
        <v>ULIF 073 17/01/24 RIF 110</v>
      </c>
      <c r="E2523" s="8">
        <v>12.366400000000001</v>
      </c>
      <c r="F2523" s="9">
        <v>45972</v>
      </c>
    </row>
    <row r="2524" spans="1:6" ht="75" x14ac:dyDescent="0.25">
      <c r="A2524" s="8" t="s">
        <v>63</v>
      </c>
      <c r="B2524" s="8" t="s">
        <v>72</v>
      </c>
      <c r="C2524" s="8" t="str">
        <f>IFERROR(_xlfn.XLOOKUP(TRIM(B2524),Lookup!$B$2:$B$1000,Lookup!$C$2:$C$1000),"")</f>
        <v>Equity - Thematic (Growth/Domestic)</v>
      </c>
      <c r="D2524" s="8" t="str">
        <f>IFERROR(INDEX('nav master'!$C:$C, MATCH(B2524, 'nav master'!$B:$B, 0)), "")</f>
        <v>ULIF 073 17/01/24 RIF 110</v>
      </c>
      <c r="E2524" s="8">
        <v>12.453200000000001</v>
      </c>
      <c r="F2524" s="9">
        <v>45973</v>
      </c>
    </row>
    <row r="2525" spans="1:6" ht="75" x14ac:dyDescent="0.25">
      <c r="A2525" s="8" t="s">
        <v>63</v>
      </c>
      <c r="B2525" s="8" t="s">
        <v>72</v>
      </c>
      <c r="C2525" s="8" t="str">
        <f>IFERROR(_xlfn.XLOOKUP(TRIM(B2525),Lookup!$B$2:$B$1000,Lookup!$C$2:$C$1000),"")</f>
        <v>Equity - Thematic (Growth/Domestic)</v>
      </c>
      <c r="D2525" s="8" t="str">
        <f>IFERROR(INDEX('nav master'!$C:$C, MATCH(B2525, 'nav master'!$B:$B, 0)), "")</f>
        <v>ULIF 073 17/01/24 RIF 110</v>
      </c>
      <c r="E2525" s="8">
        <v>12.4261</v>
      </c>
      <c r="F2525" s="9">
        <v>45974</v>
      </c>
    </row>
    <row r="2526" spans="1:6" ht="75" x14ac:dyDescent="0.25">
      <c r="A2526" s="8" t="s">
        <v>63</v>
      </c>
      <c r="B2526" s="8" t="s">
        <v>72</v>
      </c>
      <c r="C2526" s="8" t="str">
        <f>IFERROR(_xlfn.XLOOKUP(TRIM(B2526),Lookup!$B$2:$B$1000,Lookup!$C$2:$C$1000),"")</f>
        <v>Equity - Thematic (Growth/Domestic)</v>
      </c>
      <c r="D2526" s="8" t="str">
        <f>IFERROR(INDEX('nav master'!$C:$C, MATCH(B2526, 'nav master'!$B:$B, 0)), "")</f>
        <v>ULIF 073 17/01/24 RIF 110</v>
      </c>
      <c r="E2526" s="8">
        <v>12.4428</v>
      </c>
      <c r="F2526" s="9">
        <v>45975</v>
      </c>
    </row>
    <row r="2527" spans="1:6" ht="75" x14ac:dyDescent="0.25">
      <c r="A2527" s="8" t="s">
        <v>63</v>
      </c>
      <c r="B2527" s="8" t="s">
        <v>72</v>
      </c>
      <c r="C2527" s="8" t="str">
        <f>IFERROR(_xlfn.XLOOKUP(TRIM(B2527),Lookup!$B$2:$B$1000,Lookup!$C$2:$C$1000),"")</f>
        <v>Equity - Thematic (Growth/Domestic)</v>
      </c>
      <c r="D2527" s="8" t="str">
        <f>IFERROR(INDEX('nav master'!$C:$C, MATCH(B2527, 'nav master'!$B:$B, 0)), "")</f>
        <v>ULIF 073 17/01/24 RIF 110</v>
      </c>
      <c r="E2527" s="8">
        <v>12.541</v>
      </c>
      <c r="F2527" s="9">
        <v>45978</v>
      </c>
    </row>
    <row r="2528" spans="1:6" ht="75" x14ac:dyDescent="0.25">
      <c r="A2528" s="8" t="s">
        <v>63</v>
      </c>
      <c r="B2528" s="8" t="s">
        <v>72</v>
      </c>
      <c r="C2528" s="8" t="str">
        <f>IFERROR(_xlfn.XLOOKUP(TRIM(B2528),Lookup!$B$2:$B$1000,Lookup!$C$2:$C$1000),"")</f>
        <v>Equity - Thematic (Growth/Domestic)</v>
      </c>
      <c r="D2528" s="8" t="str">
        <f>IFERROR(INDEX('nav master'!$C:$C, MATCH(B2528, 'nav master'!$B:$B, 0)), "")</f>
        <v>ULIF 073 17/01/24 RIF 110</v>
      </c>
      <c r="E2528" s="8">
        <v>12.475199999999999</v>
      </c>
      <c r="F2528" s="9">
        <v>45979</v>
      </c>
    </row>
    <row r="2529" spans="1:6" ht="75" x14ac:dyDescent="0.25">
      <c r="A2529" s="8" t="s">
        <v>63</v>
      </c>
      <c r="B2529" s="8" t="s">
        <v>72</v>
      </c>
      <c r="C2529" s="8" t="str">
        <f>IFERROR(_xlfn.XLOOKUP(TRIM(B2529),Lookup!$B$2:$B$1000,Lookup!$C$2:$C$1000),"")</f>
        <v>Equity - Thematic (Growth/Domestic)</v>
      </c>
      <c r="D2529" s="8" t="str">
        <f>IFERROR(INDEX('nav master'!$C:$C, MATCH(B2529, 'nav master'!$B:$B, 0)), "")</f>
        <v>ULIF 073 17/01/24 RIF 110</v>
      </c>
      <c r="E2529" s="8">
        <v>12.497</v>
      </c>
      <c r="F2529" s="9">
        <v>45980</v>
      </c>
    </row>
    <row r="2530" spans="1:6" ht="75" x14ac:dyDescent="0.25">
      <c r="A2530" s="8" t="s">
        <v>63</v>
      </c>
      <c r="B2530" s="8" t="s">
        <v>72</v>
      </c>
      <c r="C2530" s="8" t="str">
        <f>IFERROR(_xlfn.XLOOKUP(TRIM(B2530),Lookup!$B$2:$B$1000,Lookup!$C$2:$C$1000),"")</f>
        <v>Equity - Thematic (Growth/Domestic)</v>
      </c>
      <c r="D2530" s="8" t="str">
        <f>IFERROR(INDEX('nav master'!$C:$C, MATCH(B2530, 'nav master'!$B:$B, 0)), "")</f>
        <v>ULIF 073 17/01/24 RIF 110</v>
      </c>
      <c r="E2530" s="8">
        <v>12.498200000000001</v>
      </c>
      <c r="F2530" s="9">
        <v>45981</v>
      </c>
    </row>
    <row r="2531" spans="1:6" ht="75" x14ac:dyDescent="0.25">
      <c r="A2531" s="8" t="s">
        <v>63</v>
      </c>
      <c r="B2531" s="8" t="s">
        <v>72</v>
      </c>
      <c r="C2531" s="8" t="str">
        <f>IFERROR(_xlfn.XLOOKUP(TRIM(B2531),Lookup!$B$2:$B$1000,Lookup!$C$2:$C$1000),"")</f>
        <v>Equity - Thematic (Growth/Domestic)</v>
      </c>
      <c r="D2531" s="8" t="str">
        <f>IFERROR(INDEX('nav master'!$C:$C, MATCH(B2531, 'nav master'!$B:$B, 0)), "")</f>
        <v>ULIF 073 17/01/24 RIF 110</v>
      </c>
      <c r="E2531" s="8">
        <v>12.372199999999999</v>
      </c>
      <c r="F2531" s="9">
        <v>45982</v>
      </c>
    </row>
    <row r="2532" spans="1:6" ht="75" x14ac:dyDescent="0.25">
      <c r="A2532" s="8" t="s">
        <v>63</v>
      </c>
      <c r="B2532" s="8" t="s">
        <v>72</v>
      </c>
      <c r="C2532" s="8" t="str">
        <f>IFERROR(_xlfn.XLOOKUP(TRIM(B2532),Lookup!$B$2:$B$1000,Lookup!$C$2:$C$1000),"")</f>
        <v>Equity - Thematic (Growth/Domestic)</v>
      </c>
      <c r="D2532" s="8" t="str">
        <f>IFERROR(INDEX('nav master'!$C:$C, MATCH(B2532, 'nav master'!$B:$B, 0)), "")</f>
        <v>ULIF 073 17/01/24 RIF 110</v>
      </c>
      <c r="E2532" s="8">
        <v>12.3127</v>
      </c>
      <c r="F2532" s="9">
        <v>45985</v>
      </c>
    </row>
    <row r="2533" spans="1:6" ht="75" x14ac:dyDescent="0.25">
      <c r="A2533" s="8" t="s">
        <v>63</v>
      </c>
      <c r="B2533" s="8" t="s">
        <v>72</v>
      </c>
      <c r="C2533" s="8" t="str">
        <f>IFERROR(_xlfn.XLOOKUP(TRIM(B2533),Lookup!$B$2:$B$1000,Lookup!$C$2:$C$1000),"")</f>
        <v>Equity - Thematic (Growth/Domestic)</v>
      </c>
      <c r="D2533" s="8" t="str">
        <f>IFERROR(INDEX('nav master'!$C:$C, MATCH(B2533, 'nav master'!$B:$B, 0)), "")</f>
        <v>ULIF 073 17/01/24 RIF 110</v>
      </c>
      <c r="E2533" s="8">
        <v>12.319800000000001</v>
      </c>
      <c r="F2533" s="9">
        <v>45986</v>
      </c>
    </row>
    <row r="2534" spans="1:6" ht="75" x14ac:dyDescent="0.25">
      <c r="A2534" s="8" t="s">
        <v>63</v>
      </c>
      <c r="B2534" s="8" t="s">
        <v>72</v>
      </c>
      <c r="C2534" s="8" t="str">
        <f>IFERROR(_xlfn.XLOOKUP(TRIM(B2534),Lookup!$B$2:$B$1000,Lookup!$C$2:$C$1000),"")</f>
        <v>Equity - Thematic (Growth/Domestic)</v>
      </c>
      <c r="D2534" s="8" t="str">
        <f>IFERROR(INDEX('nav master'!$C:$C, MATCH(B2534, 'nav master'!$B:$B, 0)), "")</f>
        <v>ULIF 073 17/01/24 RIF 110</v>
      </c>
      <c r="E2534" s="8">
        <v>12.4785</v>
      </c>
      <c r="F2534" s="9">
        <v>45987</v>
      </c>
    </row>
    <row r="2535" spans="1:6" ht="75" x14ac:dyDescent="0.25">
      <c r="A2535" s="8" t="s">
        <v>63</v>
      </c>
      <c r="B2535" s="8" t="s">
        <v>72</v>
      </c>
      <c r="C2535" s="8" t="str">
        <f>IFERROR(_xlfn.XLOOKUP(TRIM(B2535),Lookup!$B$2:$B$1000,Lookup!$C$2:$C$1000),"")</f>
        <v>Equity - Thematic (Growth/Domestic)</v>
      </c>
      <c r="D2535" s="8" t="str">
        <f>IFERROR(INDEX('nav master'!$C:$C, MATCH(B2535, 'nav master'!$B:$B, 0)), "")</f>
        <v>ULIF 073 17/01/24 RIF 110</v>
      </c>
      <c r="E2535" s="8">
        <v>12.4573</v>
      </c>
      <c r="F2535" s="9">
        <v>45988</v>
      </c>
    </row>
    <row r="2536" spans="1:6" ht="75" x14ac:dyDescent="0.25">
      <c r="A2536" s="8" t="s">
        <v>63</v>
      </c>
      <c r="B2536" s="8" t="s">
        <v>72</v>
      </c>
      <c r="C2536" s="8" t="str">
        <f>IFERROR(_xlfn.XLOOKUP(TRIM(B2536),Lookup!$B$2:$B$1000,Lookup!$C$2:$C$1000),"")</f>
        <v>Equity - Thematic (Growth/Domestic)</v>
      </c>
      <c r="D2536" s="8" t="str">
        <f>IFERROR(INDEX('nav master'!$C:$C, MATCH(B2536, 'nav master'!$B:$B, 0)), "")</f>
        <v>ULIF 073 17/01/24 RIF 110</v>
      </c>
      <c r="E2536" s="8">
        <v>12.4337</v>
      </c>
      <c r="F2536" s="9">
        <v>45989</v>
      </c>
    </row>
    <row r="2537" spans="1:6" ht="75" x14ac:dyDescent="0.25">
      <c r="A2537" s="8" t="s">
        <v>63</v>
      </c>
      <c r="B2537" s="8" t="s">
        <v>72</v>
      </c>
      <c r="C2537" s="8" t="str">
        <f>IFERROR(_xlfn.XLOOKUP(TRIM(B2537),Lookup!$B$2:$B$1000,Lookup!$C$2:$C$1000),"")</f>
        <v>Equity - Thematic (Growth/Domestic)</v>
      </c>
      <c r="D2537" s="8" t="str">
        <f>IFERROR(INDEX('nav master'!$C:$C, MATCH(B2537, 'nav master'!$B:$B, 0)), "")</f>
        <v>ULIF 073 17/01/24 RIF 110</v>
      </c>
      <c r="E2537" s="8">
        <v>12.4457</v>
      </c>
      <c r="F2537" s="9">
        <v>45992</v>
      </c>
    </row>
    <row r="2538" spans="1:6" ht="75" x14ac:dyDescent="0.25">
      <c r="A2538" s="8" t="s">
        <v>63</v>
      </c>
      <c r="B2538" s="8" t="s">
        <v>72</v>
      </c>
      <c r="C2538" s="8" t="str">
        <f>IFERROR(_xlfn.XLOOKUP(TRIM(B2538),Lookup!$B$2:$B$1000,Lookup!$C$2:$C$1000),"")</f>
        <v>Equity - Thematic (Growth/Domestic)</v>
      </c>
      <c r="D2538" s="8" t="str">
        <f>IFERROR(INDEX('nav master'!$C:$C, MATCH(B2538, 'nav master'!$B:$B, 0)), "")</f>
        <v>ULIF 073 17/01/24 RIF 110</v>
      </c>
      <c r="E2538" s="8">
        <v>12.391500000000001</v>
      </c>
      <c r="F2538" s="9">
        <v>45993</v>
      </c>
    </row>
    <row r="2539" spans="1:6" ht="75" x14ac:dyDescent="0.25">
      <c r="A2539" s="8" t="s">
        <v>63</v>
      </c>
      <c r="B2539" s="8" t="s">
        <v>72</v>
      </c>
      <c r="C2539" s="8" t="str">
        <f>IFERROR(_xlfn.XLOOKUP(TRIM(B2539),Lookup!$B$2:$B$1000,Lookup!$C$2:$C$1000),"")</f>
        <v>Equity - Thematic (Growth/Domestic)</v>
      </c>
      <c r="D2539" s="8" t="str">
        <f>IFERROR(INDEX('nav master'!$C:$C, MATCH(B2539, 'nav master'!$B:$B, 0)), "")</f>
        <v>ULIF 073 17/01/24 RIF 110</v>
      </c>
      <c r="E2539" s="8">
        <v>12.329599999999999</v>
      </c>
      <c r="F2539" s="9">
        <v>45994</v>
      </c>
    </row>
    <row r="2540" spans="1:6" ht="75" x14ac:dyDescent="0.25">
      <c r="A2540" s="8" t="s">
        <v>63</v>
      </c>
      <c r="B2540" s="8" t="s">
        <v>72</v>
      </c>
      <c r="C2540" s="8" t="str">
        <f>IFERROR(_xlfn.XLOOKUP(TRIM(B2540),Lookup!$B$2:$B$1000,Lookup!$C$2:$C$1000),"")</f>
        <v>Equity - Thematic (Growth/Domestic)</v>
      </c>
      <c r="D2540" s="8" t="str">
        <f>IFERROR(INDEX('nav master'!$C:$C, MATCH(B2540, 'nav master'!$B:$B, 0)), "")</f>
        <v>ULIF 073 17/01/24 RIF 110</v>
      </c>
      <c r="E2540" s="8">
        <v>12.330299999999999</v>
      </c>
      <c r="F2540" s="9">
        <v>45995</v>
      </c>
    </row>
    <row r="2541" spans="1:6" ht="75" x14ac:dyDescent="0.25">
      <c r="A2541" s="8" t="s">
        <v>63</v>
      </c>
      <c r="B2541" s="8" t="s">
        <v>72</v>
      </c>
      <c r="C2541" s="8" t="str">
        <f>IFERROR(_xlfn.XLOOKUP(TRIM(B2541),Lookup!$B$2:$B$1000,Lookup!$C$2:$C$1000),"")</f>
        <v>Equity - Thematic (Growth/Domestic)</v>
      </c>
      <c r="D2541" s="8" t="str">
        <f>IFERROR(INDEX('nav master'!$C:$C, MATCH(B2541, 'nav master'!$B:$B, 0)), "")</f>
        <v>ULIF 073 17/01/24 RIF 110</v>
      </c>
      <c r="E2541" s="8">
        <v>12.3531</v>
      </c>
      <c r="F2541" s="9">
        <v>45996</v>
      </c>
    </row>
    <row r="2542" spans="1:6" ht="75" x14ac:dyDescent="0.25">
      <c r="A2542" s="8" t="s">
        <v>63</v>
      </c>
      <c r="B2542" s="8" t="s">
        <v>72</v>
      </c>
      <c r="C2542" s="8" t="str">
        <f>IFERROR(_xlfn.XLOOKUP(TRIM(B2542),Lookup!$B$2:$B$1000,Lookup!$C$2:$C$1000),"")</f>
        <v>Equity - Thematic (Growth/Domestic)</v>
      </c>
      <c r="D2542" s="8" t="str">
        <f>IFERROR(INDEX('nav master'!$C:$C, MATCH(B2542, 'nav master'!$B:$B, 0)), "")</f>
        <v>ULIF 073 17/01/24 RIF 110</v>
      </c>
      <c r="E2542" s="8">
        <v>12.214</v>
      </c>
      <c r="F2542" s="9">
        <v>45999</v>
      </c>
    </row>
    <row r="2543" spans="1:6" ht="75" x14ac:dyDescent="0.25">
      <c r="A2543" s="8" t="s">
        <v>63</v>
      </c>
      <c r="B2543" s="8" t="s">
        <v>72</v>
      </c>
      <c r="C2543" s="8" t="str">
        <f>IFERROR(_xlfn.XLOOKUP(TRIM(B2543),Lookup!$B$2:$B$1000,Lookup!$C$2:$C$1000),"")</f>
        <v>Equity - Thematic (Growth/Domestic)</v>
      </c>
      <c r="D2543" s="8" t="str">
        <f>IFERROR(INDEX('nav master'!$C:$C, MATCH(B2543, 'nav master'!$B:$B, 0)), "")</f>
        <v>ULIF 073 17/01/24 RIF 110</v>
      </c>
      <c r="E2543" s="8">
        <v>12.2553</v>
      </c>
      <c r="F2543" s="9">
        <v>46000</v>
      </c>
    </row>
    <row r="2544" spans="1:6" ht="75" x14ac:dyDescent="0.25">
      <c r="A2544" s="8" t="s">
        <v>63</v>
      </c>
      <c r="B2544" s="8" t="s">
        <v>72</v>
      </c>
      <c r="C2544" s="8" t="str">
        <f>IFERROR(_xlfn.XLOOKUP(TRIM(B2544),Lookup!$B$2:$B$1000,Lookup!$C$2:$C$1000),"")</f>
        <v>Equity - Thematic (Growth/Domestic)</v>
      </c>
      <c r="D2544" s="8" t="str">
        <f>IFERROR(INDEX('nav master'!$C:$C, MATCH(B2544, 'nav master'!$B:$B, 0)), "")</f>
        <v>ULIF 073 17/01/24 RIF 110</v>
      </c>
      <c r="E2544" s="8">
        <v>12.1462</v>
      </c>
      <c r="F2544" s="9">
        <v>46001</v>
      </c>
    </row>
    <row r="2545" spans="1:6" ht="75" x14ac:dyDescent="0.25">
      <c r="A2545" s="8" t="s">
        <v>63</v>
      </c>
      <c r="B2545" s="8" t="s">
        <v>72</v>
      </c>
      <c r="C2545" s="8" t="str">
        <f>IFERROR(_xlfn.XLOOKUP(TRIM(B2545),Lookup!$B$2:$B$1000,Lookup!$C$2:$C$1000),"")</f>
        <v>Equity - Thematic (Growth/Domestic)</v>
      </c>
      <c r="D2545" s="8" t="str">
        <f>IFERROR(INDEX('nav master'!$C:$C, MATCH(B2545, 'nav master'!$B:$B, 0)), "")</f>
        <v>ULIF 073 17/01/24 RIF 110</v>
      </c>
      <c r="E2545" s="8">
        <v>12.218400000000001</v>
      </c>
      <c r="F2545" s="9">
        <v>46002</v>
      </c>
    </row>
    <row r="2546" spans="1:6" ht="75" x14ac:dyDescent="0.25">
      <c r="A2546" s="8" t="s">
        <v>63</v>
      </c>
      <c r="B2546" s="8" t="s">
        <v>72</v>
      </c>
      <c r="C2546" s="8" t="str">
        <f>IFERROR(_xlfn.XLOOKUP(TRIM(B2546),Lookup!$B$2:$B$1000,Lookup!$C$2:$C$1000),"")</f>
        <v>Equity - Thematic (Growth/Domestic)</v>
      </c>
      <c r="D2546" s="8" t="str">
        <f>IFERROR(INDEX('nav master'!$C:$C, MATCH(B2546, 'nav master'!$B:$B, 0)), "")</f>
        <v>ULIF 073 17/01/24 RIF 110</v>
      </c>
      <c r="E2546" s="8">
        <v>12.3355</v>
      </c>
      <c r="F2546" s="9">
        <v>46003</v>
      </c>
    </row>
    <row r="2547" spans="1:6" ht="75" x14ac:dyDescent="0.25">
      <c r="A2547" s="8" t="s">
        <v>63</v>
      </c>
      <c r="B2547" s="8" t="s">
        <v>72</v>
      </c>
      <c r="C2547" s="8" t="str">
        <f>IFERROR(_xlfn.XLOOKUP(TRIM(B2547),Lookup!$B$2:$B$1000,Lookup!$C$2:$C$1000),"")</f>
        <v>Equity - Thematic (Growth/Domestic)</v>
      </c>
      <c r="D2547" s="8" t="str">
        <f>IFERROR(INDEX('nav master'!$C:$C, MATCH(B2547, 'nav master'!$B:$B, 0)), "")</f>
        <v>ULIF 073 17/01/24 RIF 110</v>
      </c>
      <c r="E2547" s="8">
        <v>12.345499999999999</v>
      </c>
      <c r="F2547" s="9">
        <v>46006</v>
      </c>
    </row>
    <row r="2548" spans="1:6" ht="75" x14ac:dyDescent="0.25">
      <c r="A2548" s="8" t="s">
        <v>63</v>
      </c>
      <c r="B2548" s="8" t="s">
        <v>72</v>
      </c>
      <c r="C2548" s="8" t="str">
        <f>IFERROR(_xlfn.XLOOKUP(TRIM(B2548),Lookup!$B$2:$B$1000,Lookup!$C$2:$C$1000),"")</f>
        <v>Equity - Thematic (Growth/Domestic)</v>
      </c>
      <c r="D2548" s="8" t="str">
        <f>IFERROR(INDEX('nav master'!$C:$C, MATCH(B2548, 'nav master'!$B:$B, 0)), "")</f>
        <v>ULIF 073 17/01/24 RIF 110</v>
      </c>
      <c r="E2548" s="8">
        <v>12.2501</v>
      </c>
      <c r="F2548" s="9">
        <v>46007</v>
      </c>
    </row>
    <row r="2549" spans="1:6" ht="75" x14ac:dyDescent="0.25">
      <c r="A2549" s="8" t="s">
        <v>63</v>
      </c>
      <c r="B2549" s="8" t="s">
        <v>72</v>
      </c>
      <c r="C2549" s="8" t="str">
        <f>IFERROR(_xlfn.XLOOKUP(TRIM(B2549),Lookup!$B$2:$B$1000,Lookup!$C$2:$C$1000),"")</f>
        <v>Equity - Thematic (Growth/Domestic)</v>
      </c>
      <c r="D2549" s="8" t="str">
        <f>IFERROR(INDEX('nav master'!$C:$C, MATCH(B2549, 'nav master'!$B:$B, 0)), "")</f>
        <v>ULIF 073 17/01/24 RIF 110</v>
      </c>
      <c r="E2549" s="8">
        <v>12.205399999999999</v>
      </c>
      <c r="F2549" s="9">
        <v>46008</v>
      </c>
    </row>
    <row r="2550" spans="1:6" ht="75" x14ac:dyDescent="0.25">
      <c r="A2550" s="8" t="s">
        <v>63</v>
      </c>
      <c r="B2550" s="8" t="s">
        <v>72</v>
      </c>
      <c r="C2550" s="8" t="str">
        <f>IFERROR(_xlfn.XLOOKUP(TRIM(B2550),Lookup!$B$2:$B$1000,Lookup!$C$2:$C$1000),"")</f>
        <v>Equity - Thematic (Growth/Domestic)</v>
      </c>
      <c r="D2550" s="8" t="str">
        <f>IFERROR(INDEX('nav master'!$C:$C, MATCH(B2550, 'nav master'!$B:$B, 0)), "")</f>
        <v>ULIF 073 17/01/24 RIF 110</v>
      </c>
      <c r="E2550" s="8">
        <v>12.222799999999999</v>
      </c>
      <c r="F2550" s="9">
        <v>46009</v>
      </c>
    </row>
    <row r="2551" spans="1:6" ht="75" x14ac:dyDescent="0.25">
      <c r="A2551" s="8" t="s">
        <v>63</v>
      </c>
      <c r="B2551" s="8" t="s">
        <v>72</v>
      </c>
      <c r="C2551" s="8" t="str">
        <f>IFERROR(_xlfn.XLOOKUP(TRIM(B2551),Lookup!$B$2:$B$1000,Lookup!$C$2:$C$1000),"")</f>
        <v>Equity - Thematic (Growth/Domestic)</v>
      </c>
      <c r="D2551" s="8" t="str">
        <f>IFERROR(INDEX('nav master'!$C:$C, MATCH(B2551, 'nav master'!$B:$B, 0)), "")</f>
        <v>ULIF 073 17/01/24 RIF 110</v>
      </c>
      <c r="E2551" s="8">
        <v>12.3431</v>
      </c>
      <c r="F2551" s="9">
        <v>46010</v>
      </c>
    </row>
    <row r="2552" spans="1:6" ht="75" x14ac:dyDescent="0.25">
      <c r="A2552" s="8" t="s">
        <v>63</v>
      </c>
      <c r="B2552" s="8" t="s">
        <v>72</v>
      </c>
      <c r="C2552" s="8" t="str">
        <f>IFERROR(_xlfn.XLOOKUP(TRIM(B2552),Lookup!$B$2:$B$1000,Lookup!$C$2:$C$1000),"")</f>
        <v>Equity - Thematic (Growth/Domestic)</v>
      </c>
      <c r="D2552" s="8" t="str">
        <f>IFERROR(INDEX('nav master'!$C:$C, MATCH(B2552, 'nav master'!$B:$B, 0)), "")</f>
        <v>ULIF 073 17/01/24 RIF 110</v>
      </c>
      <c r="E2552" s="8">
        <v>12.4543</v>
      </c>
      <c r="F2552" s="9">
        <v>46013</v>
      </c>
    </row>
    <row r="2553" spans="1:6" ht="75" x14ac:dyDescent="0.25">
      <c r="A2553" s="8" t="s">
        <v>63</v>
      </c>
      <c r="B2553" s="8" t="s">
        <v>72</v>
      </c>
      <c r="C2553" s="8" t="str">
        <f>IFERROR(_xlfn.XLOOKUP(TRIM(B2553),Lookup!$B$2:$B$1000,Lookup!$C$2:$C$1000),"")</f>
        <v>Equity - Thematic (Growth/Domestic)</v>
      </c>
      <c r="D2553" s="8" t="str">
        <f>IFERROR(INDEX('nav master'!$C:$C, MATCH(B2553, 'nav master'!$B:$B, 0)), "")</f>
        <v>ULIF 073 17/01/24 RIF 110</v>
      </c>
      <c r="E2553" s="8">
        <v>12.447100000000001</v>
      </c>
      <c r="F2553" s="9">
        <v>46014</v>
      </c>
    </row>
    <row r="2554" spans="1:6" ht="75" x14ac:dyDescent="0.25">
      <c r="A2554" s="8" t="s">
        <v>63</v>
      </c>
      <c r="B2554" s="8" t="s">
        <v>72</v>
      </c>
      <c r="C2554" s="8" t="str">
        <f>IFERROR(_xlfn.XLOOKUP(TRIM(B2554),Lookup!$B$2:$B$1000,Lookup!$C$2:$C$1000),"")</f>
        <v>Equity - Thematic (Growth/Domestic)</v>
      </c>
      <c r="D2554" s="8" t="str">
        <f>IFERROR(INDEX('nav master'!$C:$C, MATCH(B2554, 'nav master'!$B:$B, 0)), "")</f>
        <v>ULIF 073 17/01/24 RIF 110</v>
      </c>
      <c r="E2554" s="8">
        <v>12.4116</v>
      </c>
      <c r="F2554" s="9">
        <v>46015</v>
      </c>
    </row>
    <row r="2555" spans="1:6" ht="75" x14ac:dyDescent="0.25">
      <c r="A2555" s="8" t="s">
        <v>63</v>
      </c>
      <c r="B2555" s="8" t="s">
        <v>72</v>
      </c>
      <c r="C2555" s="8" t="str">
        <f>IFERROR(_xlfn.XLOOKUP(TRIM(B2555),Lookup!$B$2:$B$1000,Lookup!$C$2:$C$1000),"")</f>
        <v>Equity - Thematic (Growth/Domestic)</v>
      </c>
      <c r="D2555" s="8" t="str">
        <f>IFERROR(INDEX('nav master'!$C:$C, MATCH(B2555, 'nav master'!$B:$B, 0)), "")</f>
        <v>ULIF 073 17/01/24 RIF 110</v>
      </c>
      <c r="E2555" s="8">
        <v>12.3552</v>
      </c>
      <c r="F2555" s="9">
        <v>46017</v>
      </c>
    </row>
    <row r="2556" spans="1:6" ht="75" x14ac:dyDescent="0.25">
      <c r="A2556" s="8" t="s">
        <v>63</v>
      </c>
      <c r="B2556" s="8" t="s">
        <v>72</v>
      </c>
      <c r="C2556" s="8" t="str">
        <f>IFERROR(_xlfn.XLOOKUP(TRIM(B2556),Lookup!$B$2:$B$1000,Lookup!$C$2:$C$1000),"")</f>
        <v>Equity - Thematic (Growth/Domestic)</v>
      </c>
      <c r="D2556" s="8" t="str">
        <f>IFERROR(INDEX('nav master'!$C:$C, MATCH(B2556, 'nav master'!$B:$B, 0)), "")</f>
        <v>ULIF 073 17/01/24 RIF 110</v>
      </c>
      <c r="E2556" s="8">
        <v>12.277200000000001</v>
      </c>
      <c r="F2556" s="9">
        <v>46020</v>
      </c>
    </row>
    <row r="2557" spans="1:6" ht="75" x14ac:dyDescent="0.25">
      <c r="A2557" s="8" t="s">
        <v>63</v>
      </c>
      <c r="B2557" s="8" t="s">
        <v>72</v>
      </c>
      <c r="C2557" s="8" t="str">
        <f>IFERROR(_xlfn.XLOOKUP(TRIM(B2557),Lookup!$B$2:$B$1000,Lookup!$C$2:$C$1000),"")</f>
        <v>Equity - Thematic (Growth/Domestic)</v>
      </c>
      <c r="D2557" s="8" t="str">
        <f>IFERROR(INDEX('nav master'!$C:$C, MATCH(B2557, 'nav master'!$B:$B, 0)), "")</f>
        <v>ULIF 073 17/01/24 RIF 110</v>
      </c>
      <c r="E2557" s="8">
        <v>12.259499999999999</v>
      </c>
      <c r="F2557" s="9">
        <v>46021</v>
      </c>
    </row>
    <row r="2558" spans="1:6" ht="75" x14ac:dyDescent="0.25">
      <c r="A2558" s="8" t="s">
        <v>63</v>
      </c>
      <c r="B2558" s="8" t="s">
        <v>72</v>
      </c>
      <c r="C2558" s="8" t="str">
        <f>IFERROR(_xlfn.XLOOKUP(TRIM(B2558),Lookup!$B$2:$B$1000,Lookup!$C$2:$C$1000),"")</f>
        <v>Equity - Thematic (Growth/Domestic)</v>
      </c>
      <c r="D2558" s="8" t="str">
        <f>IFERROR(INDEX('nav master'!$C:$C, MATCH(B2558, 'nav master'!$B:$B, 0)), "")</f>
        <v>ULIF 073 17/01/24 RIF 110</v>
      </c>
      <c r="E2558" s="8">
        <v>12.387</v>
      </c>
      <c r="F2558" s="9">
        <v>46022</v>
      </c>
    </row>
    <row r="2559" spans="1:6" ht="75" x14ac:dyDescent="0.25">
      <c r="A2559" s="8" t="s">
        <v>63</v>
      </c>
      <c r="B2559" s="8" t="s">
        <v>72</v>
      </c>
      <c r="C2559" s="8" t="str">
        <f>IFERROR(_xlfn.XLOOKUP(TRIM(B2559),Lookup!$B$2:$B$1000,Lookup!$C$2:$C$1000),"")</f>
        <v>Equity - Thematic (Growth/Domestic)</v>
      </c>
      <c r="D2559" s="8" t="str">
        <f>IFERROR(INDEX('nav master'!$C:$C, MATCH(B2559, 'nav master'!$B:$B, 0)), "")</f>
        <v>ULIF 073 17/01/24 RIF 110</v>
      </c>
      <c r="E2559" s="8">
        <v>12.449</v>
      </c>
      <c r="F2559" s="9">
        <v>46023</v>
      </c>
    </row>
    <row r="2560" spans="1:6" ht="75" x14ac:dyDescent="0.25">
      <c r="A2560" s="8" t="s">
        <v>63</v>
      </c>
      <c r="B2560" s="8" t="s">
        <v>72</v>
      </c>
      <c r="C2560" s="8" t="str">
        <f>IFERROR(_xlfn.XLOOKUP(TRIM(B2560),Lookup!$B$2:$B$1000,Lookup!$C$2:$C$1000),"")</f>
        <v>Equity - Thematic (Growth/Domestic)</v>
      </c>
      <c r="D2560" s="8" t="str">
        <f>IFERROR(INDEX('nav master'!$C:$C, MATCH(B2560, 'nav master'!$B:$B, 0)), "")</f>
        <v>ULIF 073 17/01/24 RIF 110</v>
      </c>
      <c r="E2560" s="8">
        <v>12.563599999999999</v>
      </c>
      <c r="F2560" s="9">
        <v>46024</v>
      </c>
    </row>
    <row r="2561" spans="1:6" ht="75" x14ac:dyDescent="0.25">
      <c r="A2561" s="8" t="s">
        <v>63</v>
      </c>
      <c r="B2561" s="8" t="s">
        <v>72</v>
      </c>
      <c r="C2561" s="8" t="str">
        <f>IFERROR(_xlfn.XLOOKUP(TRIM(B2561),Lookup!$B$2:$B$1000,Lookup!$C$2:$C$1000),"")</f>
        <v>Equity - Thematic (Growth/Domestic)</v>
      </c>
      <c r="D2561" s="8" t="str">
        <f>IFERROR(INDEX('nav master'!$C:$C, MATCH(B2561, 'nav master'!$B:$B, 0)), "")</f>
        <v>ULIF 073 17/01/24 RIF 110</v>
      </c>
      <c r="E2561" s="8">
        <v>12.541499999999999</v>
      </c>
      <c r="F2561" s="9">
        <v>46027</v>
      </c>
    </row>
    <row r="2562" spans="1:6" ht="75" x14ac:dyDescent="0.25">
      <c r="A2562" s="8" t="s">
        <v>63</v>
      </c>
      <c r="B2562" s="8" t="s">
        <v>72</v>
      </c>
      <c r="C2562" s="8" t="str">
        <f>IFERROR(_xlfn.XLOOKUP(TRIM(B2562),Lookup!$B$2:$B$1000,Lookup!$C$2:$C$1000),"")</f>
        <v>Equity - Thematic (Growth/Domestic)</v>
      </c>
      <c r="D2562" s="8" t="str">
        <f>IFERROR(INDEX('nav master'!$C:$C, MATCH(B2562, 'nav master'!$B:$B, 0)), "")</f>
        <v>ULIF 073 17/01/24 RIF 110</v>
      </c>
      <c r="E2562" s="8">
        <v>12.504799999999999</v>
      </c>
      <c r="F2562" s="9">
        <v>46028</v>
      </c>
    </row>
    <row r="2563" spans="1:6" ht="75" x14ac:dyDescent="0.25">
      <c r="A2563" s="8" t="s">
        <v>63</v>
      </c>
      <c r="B2563" s="8" t="s">
        <v>72</v>
      </c>
      <c r="C2563" s="8" t="str">
        <f>IFERROR(_xlfn.XLOOKUP(TRIM(B2563),Lookup!$B$2:$B$1000,Lookup!$C$2:$C$1000),"")</f>
        <v>Equity - Thematic (Growth/Domestic)</v>
      </c>
      <c r="D2563" s="8" t="str">
        <f>IFERROR(INDEX('nav master'!$C:$C, MATCH(B2563, 'nav master'!$B:$B, 0)), "")</f>
        <v>ULIF 073 17/01/24 RIF 110</v>
      </c>
      <c r="E2563" s="8">
        <v>12.5092</v>
      </c>
      <c r="F2563" s="9">
        <v>46029</v>
      </c>
    </row>
    <row r="2564" spans="1:6" ht="75" x14ac:dyDescent="0.25">
      <c r="A2564" s="8" t="s">
        <v>63</v>
      </c>
      <c r="B2564" s="8" t="s">
        <v>72</v>
      </c>
      <c r="C2564" s="8" t="str">
        <f>IFERROR(_xlfn.XLOOKUP(TRIM(B2564),Lookup!$B$2:$B$1000,Lookup!$C$2:$C$1000),"")</f>
        <v>Equity - Thematic (Growth/Domestic)</v>
      </c>
      <c r="D2564" s="8" t="str">
        <f>IFERROR(INDEX('nav master'!$C:$C, MATCH(B2564, 'nav master'!$B:$B, 0)), "")</f>
        <v>ULIF 073 17/01/24 RIF 110</v>
      </c>
      <c r="E2564" s="8">
        <v>12.347899999999999</v>
      </c>
      <c r="F2564" s="9">
        <v>46030</v>
      </c>
    </row>
    <row r="2565" spans="1:6" ht="75" x14ac:dyDescent="0.25">
      <c r="A2565" s="8" t="s">
        <v>63</v>
      </c>
      <c r="B2565" s="8" t="s">
        <v>72</v>
      </c>
      <c r="C2565" s="8" t="str">
        <f>IFERROR(_xlfn.XLOOKUP(TRIM(B2565),Lookup!$B$2:$B$1000,Lookup!$C$2:$C$1000),"")</f>
        <v>Equity - Thematic (Growth/Domestic)</v>
      </c>
      <c r="D2565" s="8" t="str">
        <f>IFERROR(INDEX('nav master'!$C:$C, MATCH(B2565, 'nav master'!$B:$B, 0)), "")</f>
        <v>ULIF 073 17/01/24 RIF 110</v>
      </c>
      <c r="E2565" s="8">
        <v>12.219200000000001</v>
      </c>
      <c r="F2565" s="9">
        <v>46031</v>
      </c>
    </row>
    <row r="2566" spans="1:6" ht="75" x14ac:dyDescent="0.25">
      <c r="A2566" s="8" t="s">
        <v>63</v>
      </c>
      <c r="B2566" s="8" t="s">
        <v>72</v>
      </c>
      <c r="C2566" s="8" t="str">
        <f>IFERROR(_xlfn.XLOOKUP(TRIM(B2566),Lookup!$B$2:$B$1000,Lookup!$C$2:$C$1000),"")</f>
        <v>Equity - Thematic (Growth/Domestic)</v>
      </c>
      <c r="D2566" s="8" t="str">
        <f>IFERROR(INDEX('nav master'!$C:$C, MATCH(B2566, 'nav master'!$B:$B, 0)), "")</f>
        <v>ULIF 073 17/01/24 RIF 110</v>
      </c>
      <c r="E2566" s="8">
        <v>12.2037</v>
      </c>
      <c r="F2566" s="9">
        <v>46034</v>
      </c>
    </row>
    <row r="2567" spans="1:6" ht="75" x14ac:dyDescent="0.25">
      <c r="A2567" s="8" t="s">
        <v>63</v>
      </c>
      <c r="B2567" s="8" t="s">
        <v>72</v>
      </c>
      <c r="C2567" s="8" t="str">
        <f>IFERROR(_xlfn.XLOOKUP(TRIM(B2567),Lookup!$B$2:$B$1000,Lookup!$C$2:$C$1000),"")</f>
        <v>Equity - Thematic (Growth/Domestic)</v>
      </c>
      <c r="D2567" s="8" t="str">
        <f>IFERROR(INDEX('nav master'!$C:$C, MATCH(B2567, 'nav master'!$B:$B, 0)), "")</f>
        <v>ULIF 073 17/01/24 RIF 110</v>
      </c>
      <c r="E2567" s="8">
        <v>12.231199999999999</v>
      </c>
      <c r="F2567" s="9">
        <v>46035</v>
      </c>
    </row>
    <row r="2568" spans="1:6" ht="75" x14ac:dyDescent="0.25">
      <c r="A2568" s="8" t="s">
        <v>63</v>
      </c>
      <c r="B2568" s="8" t="s">
        <v>72</v>
      </c>
      <c r="C2568" s="8" t="str">
        <f>IFERROR(_xlfn.XLOOKUP(TRIM(B2568),Lookup!$B$2:$B$1000,Lookup!$C$2:$C$1000),"")</f>
        <v>Equity - Thematic (Growth/Domestic)</v>
      </c>
      <c r="D2568" s="8" t="str">
        <f>IFERROR(INDEX('nav master'!$C:$C, MATCH(B2568, 'nav master'!$B:$B, 0)), "")</f>
        <v>ULIF 073 17/01/24 RIF 110</v>
      </c>
      <c r="E2568" s="8">
        <v>12.2319</v>
      </c>
      <c r="F2568" s="9">
        <v>46036</v>
      </c>
    </row>
    <row r="2569" spans="1:6" ht="75" x14ac:dyDescent="0.25">
      <c r="A2569" s="8" t="s">
        <v>63</v>
      </c>
      <c r="B2569" s="8" t="s">
        <v>72</v>
      </c>
      <c r="C2569" s="8" t="str">
        <f>IFERROR(_xlfn.XLOOKUP(TRIM(B2569),Lookup!$B$2:$B$1000,Lookup!$C$2:$C$1000),"")</f>
        <v>Equity - Thematic (Growth/Domestic)</v>
      </c>
      <c r="D2569" s="8" t="str">
        <f>IFERROR(INDEX('nav master'!$C:$C, MATCH(B2569, 'nav master'!$B:$B, 0)), "")</f>
        <v>ULIF 073 17/01/24 RIF 110</v>
      </c>
      <c r="E2569" s="8">
        <v>12.2125</v>
      </c>
      <c r="F2569" s="9">
        <v>46038</v>
      </c>
    </row>
    <row r="2570" spans="1:6" ht="75" x14ac:dyDescent="0.25">
      <c r="A2570" s="8" t="s">
        <v>63</v>
      </c>
      <c r="B2570" s="8" t="s">
        <v>72</v>
      </c>
      <c r="C2570" s="8" t="str">
        <f>IFERROR(_xlfn.XLOOKUP(TRIM(B2570),Lookup!$B$2:$B$1000,Lookup!$C$2:$C$1000),"")</f>
        <v>Equity - Thematic (Growth/Domestic)</v>
      </c>
      <c r="D2570" s="8" t="str">
        <f>IFERROR(INDEX('nav master'!$C:$C, MATCH(B2570, 'nav master'!$B:$B, 0)), "")</f>
        <v>ULIF 073 17/01/24 RIF 110</v>
      </c>
      <c r="E2570" s="8">
        <v>12.1524</v>
      </c>
      <c r="F2570" s="9">
        <v>46041</v>
      </c>
    </row>
    <row r="2571" spans="1:6" ht="75" x14ac:dyDescent="0.25">
      <c r="A2571" s="8" t="s">
        <v>63</v>
      </c>
      <c r="B2571" s="8" t="s">
        <v>72</v>
      </c>
      <c r="C2571" s="8" t="str">
        <f>IFERROR(_xlfn.XLOOKUP(TRIM(B2571),Lookup!$B$2:$B$1000,Lookup!$C$2:$C$1000),"")</f>
        <v>Equity - Thematic (Growth/Domestic)</v>
      </c>
      <c r="D2571" s="8" t="str">
        <f>IFERROR(INDEX('nav master'!$C:$C, MATCH(B2571, 'nav master'!$B:$B, 0)), "")</f>
        <v>ULIF 073 17/01/24 RIF 110</v>
      </c>
      <c r="E2571" s="8">
        <v>11.905900000000001</v>
      </c>
      <c r="F2571" s="9">
        <v>46042</v>
      </c>
    </row>
    <row r="2572" spans="1:6" ht="75" x14ac:dyDescent="0.25">
      <c r="A2572" s="8" t="s">
        <v>63</v>
      </c>
      <c r="B2572" s="8" t="s">
        <v>72</v>
      </c>
      <c r="C2572" s="8" t="str">
        <f>IFERROR(_xlfn.XLOOKUP(TRIM(B2572),Lookup!$B$2:$B$1000,Lookup!$C$2:$C$1000),"")</f>
        <v>Equity - Thematic (Growth/Domestic)</v>
      </c>
      <c r="D2572" s="8" t="str">
        <f>IFERROR(INDEX('nav master'!$C:$C, MATCH(B2572, 'nav master'!$B:$B, 0)), "")</f>
        <v>ULIF 073 17/01/24 RIF 110</v>
      </c>
      <c r="E2572" s="8">
        <v>11.8863</v>
      </c>
      <c r="F2572" s="9">
        <v>46043</v>
      </c>
    </row>
    <row r="2573" spans="1:6" ht="75" x14ac:dyDescent="0.25">
      <c r="A2573" s="8" t="s">
        <v>63</v>
      </c>
      <c r="B2573" s="8" t="s">
        <v>72</v>
      </c>
      <c r="C2573" s="8" t="str">
        <f>IFERROR(_xlfn.XLOOKUP(TRIM(B2573),Lookup!$B$2:$B$1000,Lookup!$C$2:$C$1000),"")</f>
        <v>Equity - Thematic (Growth/Domestic)</v>
      </c>
      <c r="D2573" s="8" t="str">
        <f>IFERROR(INDEX('nav master'!$C:$C, MATCH(B2573, 'nav master'!$B:$B, 0)), "")</f>
        <v>ULIF 073 17/01/24 RIF 110</v>
      </c>
      <c r="E2573" s="8">
        <v>11.972300000000001</v>
      </c>
      <c r="F2573" s="9">
        <v>46044</v>
      </c>
    </row>
    <row r="2574" spans="1:6" ht="75" x14ac:dyDescent="0.25">
      <c r="A2574" s="8" t="s">
        <v>63</v>
      </c>
      <c r="B2574" s="8" t="s">
        <v>72</v>
      </c>
      <c r="C2574" s="8" t="str">
        <f>IFERROR(_xlfn.XLOOKUP(TRIM(B2574),Lookup!$B$2:$B$1000,Lookup!$C$2:$C$1000),"")</f>
        <v>Equity - Thematic (Growth/Domestic)</v>
      </c>
      <c r="D2574" s="8" t="str">
        <f>IFERROR(INDEX('nav master'!$C:$C, MATCH(B2574, 'nav master'!$B:$B, 0)), "")</f>
        <v>ULIF 073 17/01/24 RIF 110</v>
      </c>
      <c r="E2574" s="8">
        <v>11.803000000000001</v>
      </c>
      <c r="F2574" s="9">
        <v>46045</v>
      </c>
    </row>
    <row r="2575" spans="1:6" ht="75" x14ac:dyDescent="0.25">
      <c r="A2575" s="8" t="s">
        <v>63</v>
      </c>
      <c r="B2575" s="8" t="s">
        <v>72</v>
      </c>
      <c r="C2575" s="8" t="str">
        <f>IFERROR(_xlfn.XLOOKUP(TRIM(B2575),Lookup!$B$2:$B$1000,Lookup!$C$2:$C$1000),"")</f>
        <v>Equity - Thematic (Growth/Domestic)</v>
      </c>
      <c r="D2575" s="8" t="str">
        <f>IFERROR(INDEX('nav master'!$C:$C, MATCH(B2575, 'nav master'!$B:$B, 0)), "")</f>
        <v>ULIF 073 17/01/24 RIF 110</v>
      </c>
      <c r="E2575" s="8">
        <v>11.838900000000001</v>
      </c>
      <c r="F2575" s="9">
        <v>46049</v>
      </c>
    </row>
    <row r="2576" spans="1:6" ht="75" x14ac:dyDescent="0.25">
      <c r="A2576" s="8" t="s">
        <v>63</v>
      </c>
      <c r="B2576" s="8" t="s">
        <v>72</v>
      </c>
      <c r="C2576" s="8" t="str">
        <f>IFERROR(_xlfn.XLOOKUP(TRIM(B2576),Lookup!$B$2:$B$1000,Lookup!$C$2:$C$1000),"")</f>
        <v>Equity - Thematic (Growth/Domestic)</v>
      </c>
      <c r="D2576" s="8" t="str">
        <f>IFERROR(INDEX('nav master'!$C:$C, MATCH(B2576, 'nav master'!$B:$B, 0)), "")</f>
        <v>ULIF 073 17/01/24 RIF 110</v>
      </c>
      <c r="E2576" s="8">
        <v>12.029</v>
      </c>
      <c r="F2576" s="9">
        <v>46050</v>
      </c>
    </row>
    <row r="2577" spans="1:6" ht="75" x14ac:dyDescent="0.25">
      <c r="A2577" s="8" t="s">
        <v>63</v>
      </c>
      <c r="B2577" s="8" t="s">
        <v>72</v>
      </c>
      <c r="C2577" s="8" t="str">
        <f>IFERROR(_xlfn.XLOOKUP(TRIM(B2577),Lookup!$B$2:$B$1000,Lookup!$C$2:$C$1000),"")</f>
        <v>Equity - Thematic (Growth/Domestic)</v>
      </c>
      <c r="D2577" s="8" t="str">
        <f>IFERROR(INDEX('nav master'!$C:$C, MATCH(B2577, 'nav master'!$B:$B, 0)), "")</f>
        <v>ULIF 073 17/01/24 RIF 110</v>
      </c>
      <c r="E2577" s="8">
        <v>12.0289</v>
      </c>
      <c r="F2577" s="9">
        <v>46051</v>
      </c>
    </row>
    <row r="2578" spans="1:6" ht="75" x14ac:dyDescent="0.25">
      <c r="A2578" s="8" t="s">
        <v>63</v>
      </c>
      <c r="B2578" s="8" t="s">
        <v>72</v>
      </c>
      <c r="C2578" s="8" t="str">
        <f>IFERROR(_xlfn.XLOOKUP(TRIM(B2578),Lookup!$B$2:$B$1000,Lookup!$C$2:$C$1000),"")</f>
        <v>Equity - Thematic (Growth/Domestic)</v>
      </c>
      <c r="D2578" s="8" t="str">
        <f>IFERROR(INDEX('nav master'!$C:$C, MATCH(B2578, 'nav master'!$B:$B, 0)), "")</f>
        <v>ULIF 073 17/01/24 RIF 110</v>
      </c>
      <c r="E2578" s="8">
        <v>12.0618</v>
      </c>
      <c r="F2578" s="9">
        <v>46052</v>
      </c>
    </row>
    <row r="2579" spans="1:6" ht="75" x14ac:dyDescent="0.25">
      <c r="A2579" s="8" t="s">
        <v>63</v>
      </c>
      <c r="B2579" s="8" t="s">
        <v>72</v>
      </c>
      <c r="C2579" s="8" t="str">
        <f>IFERROR(_xlfn.XLOOKUP(TRIM(B2579),Lookup!$B$2:$B$1000,Lookup!$C$2:$C$1000),"")</f>
        <v>Equity - Thematic (Growth/Domestic)</v>
      </c>
      <c r="D2579" s="8" t="str">
        <f>IFERROR(INDEX('nav master'!$C:$C, MATCH(B2579, 'nav master'!$B:$B, 0)), "")</f>
        <v>ULIF 073 17/01/24 RIF 110</v>
      </c>
      <c r="E2579" s="8">
        <v>11.8765</v>
      </c>
      <c r="F2579" s="9">
        <v>46054</v>
      </c>
    </row>
    <row r="2580" spans="1:6" ht="75" x14ac:dyDescent="0.25">
      <c r="A2580" s="8" t="s">
        <v>63</v>
      </c>
      <c r="B2580" s="8" t="s">
        <v>72</v>
      </c>
      <c r="C2580" s="8" t="str">
        <f>IFERROR(_xlfn.XLOOKUP(TRIM(B2580),Lookup!$B$2:$B$1000,Lookup!$C$2:$C$1000),"")</f>
        <v>Equity - Thematic (Growth/Domestic)</v>
      </c>
      <c r="D2580" s="8" t="str">
        <f>IFERROR(INDEX('nav master'!$C:$C, MATCH(B2580, 'nav master'!$B:$B, 0)), "")</f>
        <v>ULIF 073 17/01/24 RIF 110</v>
      </c>
      <c r="E2580" s="8">
        <v>11.940799999999999</v>
      </c>
      <c r="F2580" s="9">
        <v>46055</v>
      </c>
    </row>
    <row r="2581" spans="1:6" ht="75" x14ac:dyDescent="0.25">
      <c r="A2581" s="8" t="s">
        <v>63</v>
      </c>
      <c r="B2581" s="8" t="s">
        <v>72</v>
      </c>
      <c r="C2581" s="8" t="str">
        <f>IFERROR(_xlfn.XLOOKUP(TRIM(B2581),Lookup!$B$2:$B$1000,Lookup!$C$2:$C$1000),"")</f>
        <v>Equity - Thematic (Growth/Domestic)</v>
      </c>
      <c r="D2581" s="8" t="str">
        <f>IFERROR(INDEX('nav master'!$C:$C, MATCH(B2581, 'nav master'!$B:$B, 0)), "")</f>
        <v>ULIF 073 17/01/24 RIF 110</v>
      </c>
      <c r="E2581" s="8">
        <v>12.2728</v>
      </c>
      <c r="F2581" s="9">
        <v>46056</v>
      </c>
    </row>
    <row r="2582" spans="1:6" ht="75" x14ac:dyDescent="0.25">
      <c r="A2582" s="8" t="s">
        <v>63</v>
      </c>
      <c r="B2582" s="8" t="s">
        <v>72</v>
      </c>
      <c r="C2582" s="8" t="str">
        <f>IFERROR(_xlfn.XLOOKUP(TRIM(B2582),Lookup!$B$2:$B$1000,Lookup!$C$2:$C$1000),"")</f>
        <v>Equity - Thematic (Growth/Domestic)</v>
      </c>
      <c r="D2582" s="8" t="str">
        <f>IFERROR(INDEX('nav master'!$C:$C, MATCH(B2582, 'nav master'!$B:$B, 0)), "")</f>
        <v>ULIF 073 17/01/24 RIF 110</v>
      </c>
      <c r="E2582" s="8">
        <v>12.3184</v>
      </c>
      <c r="F2582" s="9">
        <v>46057</v>
      </c>
    </row>
    <row r="2583" spans="1:6" ht="75" x14ac:dyDescent="0.25">
      <c r="A2583" s="8" t="s">
        <v>63</v>
      </c>
      <c r="B2583" s="8" t="s">
        <v>72</v>
      </c>
      <c r="C2583" s="8" t="str">
        <f>IFERROR(_xlfn.XLOOKUP(TRIM(B2583),Lookup!$B$2:$B$1000,Lookup!$C$2:$C$1000),"")</f>
        <v>Equity - Thematic (Growth/Domestic)</v>
      </c>
      <c r="D2583" s="8" t="str">
        <f>IFERROR(INDEX('nav master'!$C:$C, MATCH(B2583, 'nav master'!$B:$B, 0)), "")</f>
        <v>ULIF 073 17/01/24 RIF 110</v>
      </c>
      <c r="E2583" s="8">
        <v>12.232100000000001</v>
      </c>
      <c r="F2583" s="9">
        <v>46058</v>
      </c>
    </row>
    <row r="2584" spans="1:6" ht="75" x14ac:dyDescent="0.25">
      <c r="A2584" s="8" t="s">
        <v>63</v>
      </c>
      <c r="B2584" s="8" t="s">
        <v>72</v>
      </c>
      <c r="C2584" s="8" t="str">
        <f>IFERROR(_xlfn.XLOOKUP(TRIM(B2584),Lookup!$B$2:$B$1000,Lookup!$C$2:$C$1000),"")</f>
        <v>Equity - Thematic (Growth/Domestic)</v>
      </c>
      <c r="D2584" s="8" t="str">
        <f>IFERROR(INDEX('nav master'!$C:$C, MATCH(B2584, 'nav master'!$B:$B, 0)), "")</f>
        <v>ULIF 073 17/01/24 RIF 110</v>
      </c>
      <c r="E2584" s="8">
        <v>12.191599999999999</v>
      </c>
      <c r="F2584" s="9">
        <v>46059</v>
      </c>
    </row>
    <row r="2585" spans="1:6" ht="75" x14ac:dyDescent="0.25">
      <c r="A2585" s="8" t="s">
        <v>63</v>
      </c>
      <c r="B2585" s="8" t="s">
        <v>72</v>
      </c>
      <c r="C2585" s="8" t="str">
        <f>IFERROR(_xlfn.XLOOKUP(TRIM(B2585),Lookup!$B$2:$B$1000,Lookup!$C$2:$C$1000),"")</f>
        <v>Equity - Thematic (Growth/Domestic)</v>
      </c>
      <c r="D2585" s="8" t="str">
        <f>IFERROR(INDEX('nav master'!$C:$C, MATCH(B2585, 'nav master'!$B:$B, 0)), "")</f>
        <v>ULIF 073 17/01/24 RIF 110</v>
      </c>
      <c r="E2585" s="8">
        <v>12.3896</v>
      </c>
      <c r="F2585" s="9">
        <v>46062</v>
      </c>
    </row>
    <row r="2586" spans="1:6" ht="75" x14ac:dyDescent="0.25">
      <c r="A2586" s="8" t="s">
        <v>63</v>
      </c>
      <c r="B2586" s="8" t="s">
        <v>72</v>
      </c>
      <c r="C2586" s="8" t="str">
        <f>IFERROR(_xlfn.XLOOKUP(TRIM(B2586),Lookup!$B$2:$B$1000,Lookup!$C$2:$C$1000),"")</f>
        <v>Equity - Thematic (Growth/Domestic)</v>
      </c>
      <c r="D2586" s="8" t="str">
        <f>IFERROR(INDEX('nav master'!$C:$C, MATCH(B2586, 'nav master'!$B:$B, 0)), "")</f>
        <v>ULIF 073 17/01/24 RIF 110</v>
      </c>
      <c r="E2586" s="8">
        <v>12.458500000000001</v>
      </c>
      <c r="F2586" s="9">
        <v>46063</v>
      </c>
    </row>
    <row r="2587" spans="1:6" ht="75" x14ac:dyDescent="0.25">
      <c r="A2587" s="8" t="s">
        <v>63</v>
      </c>
      <c r="B2587" s="8" t="s">
        <v>72</v>
      </c>
      <c r="C2587" s="8" t="str">
        <f>IFERROR(_xlfn.XLOOKUP(TRIM(B2587),Lookup!$B$2:$B$1000,Lookup!$C$2:$C$1000),"")</f>
        <v>Equity - Thematic (Growth/Domestic)</v>
      </c>
      <c r="D2587" s="8" t="str">
        <f>IFERROR(INDEX('nav master'!$C:$C, MATCH(B2587, 'nav master'!$B:$B, 0)), "")</f>
        <v>ULIF 073 17/01/24 RIF 110</v>
      </c>
      <c r="E2587" s="8">
        <v>12.4649</v>
      </c>
      <c r="F2587" s="9">
        <v>46064</v>
      </c>
    </row>
    <row r="2588" spans="1:6" ht="75" x14ac:dyDescent="0.25">
      <c r="A2588" s="8" t="s">
        <v>63</v>
      </c>
      <c r="B2588" s="8" t="s">
        <v>72</v>
      </c>
      <c r="C2588" s="8" t="str">
        <f>IFERROR(_xlfn.XLOOKUP(TRIM(B2588),Lookup!$B$2:$B$1000,Lookup!$C$2:$C$1000),"")</f>
        <v>Equity - Thematic (Growth/Domestic)</v>
      </c>
      <c r="D2588" s="8" t="str">
        <f>IFERROR(INDEX('nav master'!$C:$C, MATCH(B2588, 'nav master'!$B:$B, 0)), "")</f>
        <v>ULIF 073 17/01/24 RIF 110</v>
      </c>
      <c r="E2588" s="8">
        <v>12.415900000000001</v>
      </c>
      <c r="F2588" s="9">
        <v>46065</v>
      </c>
    </row>
    <row r="2589" spans="1:6" ht="75" x14ac:dyDescent="0.25">
      <c r="A2589" s="8" t="s">
        <v>63</v>
      </c>
      <c r="B2589" s="8" t="s">
        <v>72</v>
      </c>
      <c r="C2589" s="8" t="str">
        <f>IFERROR(_xlfn.XLOOKUP(TRIM(B2589),Lookup!$B$2:$B$1000,Lookup!$C$2:$C$1000),"")</f>
        <v>Equity - Thematic (Growth/Domestic)</v>
      </c>
      <c r="D2589" s="8" t="str">
        <f>IFERROR(INDEX('nav master'!$C:$C, MATCH(B2589, 'nav master'!$B:$B, 0)), "")</f>
        <v>ULIF 073 17/01/24 RIF 110</v>
      </c>
      <c r="E2589" s="8">
        <v>12.2499</v>
      </c>
      <c r="F2589" s="9">
        <v>46066</v>
      </c>
    </row>
    <row r="2590" spans="1:6" ht="75" x14ac:dyDescent="0.25">
      <c r="A2590" s="8" t="s">
        <v>63</v>
      </c>
      <c r="B2590" s="8" t="s">
        <v>72</v>
      </c>
      <c r="C2590" s="8" t="str">
        <f>IFERROR(_xlfn.XLOOKUP(TRIM(B2590),Lookup!$B$2:$B$1000,Lookup!$C$2:$C$1000),"")</f>
        <v>Equity - Thematic (Growth/Domestic)</v>
      </c>
      <c r="D2590" s="8" t="str">
        <f>IFERROR(INDEX('nav master'!$C:$C, MATCH(B2590, 'nav master'!$B:$B, 0)), "")</f>
        <v>ULIF 073 17/01/24 RIF 110</v>
      </c>
      <c r="E2590" s="8">
        <v>12.2559</v>
      </c>
      <c r="F2590" s="9">
        <v>46069</v>
      </c>
    </row>
    <row r="2591" spans="1:6" ht="75" x14ac:dyDescent="0.25">
      <c r="A2591" s="8" t="s">
        <v>63</v>
      </c>
      <c r="B2591" s="8" t="s">
        <v>72</v>
      </c>
      <c r="C2591" s="8" t="str">
        <f>IFERROR(_xlfn.XLOOKUP(TRIM(B2591),Lookup!$B$2:$B$1000,Lookup!$C$2:$C$1000),"")</f>
        <v>Equity - Thematic (Growth/Domestic)</v>
      </c>
      <c r="D2591" s="8" t="str">
        <f>IFERROR(INDEX('nav master'!$C:$C, MATCH(B2591, 'nav master'!$B:$B, 0)), "")</f>
        <v>ULIF 073 17/01/24 RIF 110</v>
      </c>
      <c r="E2591" s="8">
        <v>12.262700000000001</v>
      </c>
      <c r="F2591" s="9">
        <v>46070</v>
      </c>
    </row>
    <row r="2592" spans="1:6" ht="75" x14ac:dyDescent="0.25">
      <c r="A2592" s="8" t="s">
        <v>63</v>
      </c>
      <c r="B2592" s="8" t="s">
        <v>72</v>
      </c>
      <c r="C2592" s="8" t="str">
        <f>IFERROR(_xlfn.XLOOKUP(TRIM(B2592),Lookup!$B$2:$B$1000,Lookup!$C$2:$C$1000),"")</f>
        <v>Equity - Thematic (Growth/Domestic)</v>
      </c>
      <c r="D2592" s="8" t="str">
        <f>IFERROR(INDEX('nav master'!$C:$C, MATCH(B2592, 'nav master'!$B:$B, 0)), "")</f>
        <v>ULIF 073 17/01/24 RIF 110</v>
      </c>
      <c r="E2592" s="8">
        <v>12.3141</v>
      </c>
      <c r="F2592" s="9">
        <v>46071</v>
      </c>
    </row>
    <row r="2593" spans="1:6" ht="75" x14ac:dyDescent="0.25">
      <c r="A2593" s="8" t="s">
        <v>63</v>
      </c>
      <c r="B2593" s="8" t="s">
        <v>72</v>
      </c>
      <c r="C2593" s="8" t="str">
        <f>IFERROR(_xlfn.XLOOKUP(TRIM(B2593),Lookup!$B$2:$B$1000,Lookup!$C$2:$C$1000),"")</f>
        <v>Equity - Thematic (Growth/Domestic)</v>
      </c>
      <c r="D2593" s="8" t="str">
        <f>IFERROR(INDEX('nav master'!$C:$C, MATCH(B2593, 'nav master'!$B:$B, 0)), "")</f>
        <v>ULIF 073 17/01/24 RIF 110</v>
      </c>
      <c r="E2593" s="8">
        <v>12.135</v>
      </c>
      <c r="F2593" s="9">
        <v>46072</v>
      </c>
    </row>
    <row r="2594" spans="1:6" ht="75" x14ac:dyDescent="0.25">
      <c r="A2594" s="8" t="s">
        <v>63</v>
      </c>
      <c r="B2594" s="8" t="s">
        <v>72</v>
      </c>
      <c r="C2594" s="8" t="str">
        <f>IFERROR(_xlfn.XLOOKUP(TRIM(B2594),Lookup!$B$2:$B$1000,Lookup!$C$2:$C$1000),"")</f>
        <v>Equity - Thematic (Growth/Domestic)</v>
      </c>
      <c r="D2594" s="8" t="str">
        <f>IFERROR(INDEX('nav master'!$C:$C, MATCH(B2594, 'nav master'!$B:$B, 0)), "")</f>
        <v>ULIF 073 17/01/24 RIF 110</v>
      </c>
      <c r="E2594" s="8">
        <v>12.1532</v>
      </c>
      <c r="F2594" s="9">
        <v>46073</v>
      </c>
    </row>
    <row r="2595" spans="1:6" ht="75" x14ac:dyDescent="0.25">
      <c r="A2595" s="8" t="s">
        <v>63</v>
      </c>
      <c r="B2595" s="8" t="s">
        <v>72</v>
      </c>
      <c r="C2595" s="8" t="str">
        <f>IFERROR(_xlfn.XLOOKUP(TRIM(B2595),Lookup!$B$2:$B$1000,Lookup!$C$2:$C$1000),"")</f>
        <v>Equity - Thematic (Growth/Domestic)</v>
      </c>
      <c r="D2595" s="8" t="str">
        <f>IFERROR(INDEX('nav master'!$C:$C, MATCH(B2595, 'nav master'!$B:$B, 0)), "")</f>
        <v>ULIF 073 17/01/24 RIF 110</v>
      </c>
      <c r="E2595" s="8">
        <v>12.230600000000001</v>
      </c>
      <c r="F2595" s="9">
        <v>46076</v>
      </c>
    </row>
    <row r="2596" spans="1:6" ht="75" x14ac:dyDescent="0.25">
      <c r="A2596" s="8" t="s">
        <v>63</v>
      </c>
      <c r="B2596" s="8" t="s">
        <v>72</v>
      </c>
      <c r="C2596" s="8" t="str">
        <f>IFERROR(_xlfn.XLOOKUP(TRIM(B2596),Lookup!$B$2:$B$1000,Lookup!$C$2:$C$1000),"")</f>
        <v>Equity - Thematic (Growth/Domestic)</v>
      </c>
      <c r="D2596" s="8" t="str">
        <f>IFERROR(INDEX('nav master'!$C:$C, MATCH(B2596, 'nav master'!$B:$B, 0)), "")</f>
        <v>ULIF 073 17/01/24 RIF 110</v>
      </c>
      <c r="E2596" s="8">
        <v>12.133100000000001</v>
      </c>
      <c r="F2596" s="9">
        <v>46077</v>
      </c>
    </row>
    <row r="2597" spans="1:6" ht="75" x14ac:dyDescent="0.25">
      <c r="A2597" s="8" t="s">
        <v>63</v>
      </c>
      <c r="B2597" s="8" t="s">
        <v>72</v>
      </c>
      <c r="C2597" s="8" t="str">
        <f>IFERROR(_xlfn.XLOOKUP(TRIM(B2597),Lookup!$B$2:$B$1000,Lookup!$C$2:$C$1000),"")</f>
        <v>Equity - Thematic (Growth/Domestic)</v>
      </c>
      <c r="D2597" s="8" t="str">
        <f>IFERROR(INDEX('nav master'!$C:$C, MATCH(B2597, 'nav master'!$B:$B, 0)), "")</f>
        <v>ULIF 073 17/01/24 RIF 110</v>
      </c>
      <c r="E2597" s="8">
        <v>12.202299999999999</v>
      </c>
      <c r="F2597" s="9">
        <v>46078</v>
      </c>
    </row>
    <row r="2598" spans="1:6" ht="75" x14ac:dyDescent="0.25">
      <c r="A2598" s="8" t="s">
        <v>63</v>
      </c>
      <c r="B2598" s="8" t="s">
        <v>72</v>
      </c>
      <c r="C2598" s="8" t="str">
        <f>IFERROR(_xlfn.XLOOKUP(TRIM(B2598),Lookup!$B$2:$B$1000,Lookup!$C$2:$C$1000),"")</f>
        <v>Equity - Thematic (Growth/Domestic)</v>
      </c>
      <c r="D2598" s="8" t="str">
        <f>IFERROR(INDEX('nav master'!$C:$C, MATCH(B2598, 'nav master'!$B:$B, 0)), "")</f>
        <v>ULIF 073 17/01/24 RIF 110</v>
      </c>
      <c r="E2598" s="8">
        <v>12.2286</v>
      </c>
      <c r="F2598" s="9">
        <v>46079</v>
      </c>
    </row>
    <row r="2599" spans="1:6" ht="75" x14ac:dyDescent="0.25">
      <c r="A2599" s="8" t="s">
        <v>63</v>
      </c>
      <c r="B2599" s="8" t="s">
        <v>72</v>
      </c>
      <c r="C2599" s="8" t="str">
        <f>IFERROR(_xlfn.XLOOKUP(TRIM(B2599),Lookup!$B$2:$B$1000,Lookup!$C$2:$C$1000),"")</f>
        <v>Equity - Thematic (Growth/Domestic)</v>
      </c>
      <c r="D2599" s="8" t="str">
        <f>IFERROR(INDEX('nav master'!$C:$C, MATCH(B2599, 'nav master'!$B:$B, 0)), "")</f>
        <v>ULIF 073 17/01/24 RIF 110</v>
      </c>
      <c r="E2599" s="8">
        <v>12.071099999999999</v>
      </c>
      <c r="F2599" s="9">
        <v>46080</v>
      </c>
    </row>
    <row r="2600" spans="1:6" ht="75" x14ac:dyDescent="0.25">
      <c r="A2600" s="8" t="s">
        <v>63</v>
      </c>
      <c r="B2600" s="8" t="s">
        <v>72</v>
      </c>
      <c r="C2600" s="8" t="str">
        <f>IFERROR(_xlfn.XLOOKUP(TRIM(B2600),Lookup!$B$2:$B$1000,Lookup!$C$2:$C$1000),"")</f>
        <v>Equity - Thematic (Growth/Domestic)</v>
      </c>
      <c r="D2600" s="8" t="str">
        <f>IFERROR(INDEX('nav master'!$C:$C, MATCH(B2600, 'nav master'!$B:$B, 0)), "")</f>
        <v>ULIF 073 17/01/24 RIF 110</v>
      </c>
      <c r="E2600" s="8">
        <v>11.875</v>
      </c>
      <c r="F2600" s="9">
        <v>46083</v>
      </c>
    </row>
    <row r="2601" spans="1:6" ht="75" x14ac:dyDescent="0.25">
      <c r="A2601" s="8" t="s">
        <v>63</v>
      </c>
      <c r="B2601" s="8" t="s">
        <v>72</v>
      </c>
      <c r="C2601" s="8" t="str">
        <f>IFERROR(_xlfn.XLOOKUP(TRIM(B2601),Lookup!$B$2:$B$1000,Lookup!$C$2:$C$1000),"")</f>
        <v>Equity - Thematic (Growth/Domestic)</v>
      </c>
      <c r="D2601" s="8" t="str">
        <f>IFERROR(INDEX('nav master'!$C:$C, MATCH(B2601, 'nav master'!$B:$B, 0)), "")</f>
        <v>ULIF 073 17/01/24 RIF 110</v>
      </c>
      <c r="E2601" s="8">
        <v>11.6378</v>
      </c>
      <c r="F2601" s="9">
        <v>46085</v>
      </c>
    </row>
    <row r="2602" spans="1:6" ht="75" x14ac:dyDescent="0.25">
      <c r="A2602" s="8" t="s">
        <v>63</v>
      </c>
      <c r="B2602" s="8" t="s">
        <v>72</v>
      </c>
      <c r="C2602" s="8" t="str">
        <f>IFERROR(_xlfn.XLOOKUP(TRIM(B2602),Lookup!$B$2:$B$1000,Lookup!$C$2:$C$1000),"")</f>
        <v>Equity - Thematic (Growth/Domestic)</v>
      </c>
      <c r="D2602" s="8" t="str">
        <f>IFERROR(INDEX('nav master'!$C:$C, MATCH(B2602, 'nav master'!$B:$B, 0)), "")</f>
        <v>ULIF 073 17/01/24 RIF 110</v>
      </c>
      <c r="E2602" s="8">
        <v>11.8169</v>
      </c>
      <c r="F2602" s="9">
        <v>46086</v>
      </c>
    </row>
    <row r="2603" spans="1:6" ht="75" x14ac:dyDescent="0.25">
      <c r="A2603" s="8" t="s">
        <v>63</v>
      </c>
      <c r="B2603" s="8" t="s">
        <v>72</v>
      </c>
      <c r="C2603" s="8" t="str">
        <f>IFERROR(_xlfn.XLOOKUP(TRIM(B2603),Lookup!$B$2:$B$1000,Lookup!$C$2:$C$1000),"")</f>
        <v>Equity - Thematic (Growth/Domestic)</v>
      </c>
      <c r="D2603" s="8" t="str">
        <f>IFERROR(INDEX('nav master'!$C:$C, MATCH(B2603, 'nav master'!$B:$B, 0)), "")</f>
        <v>ULIF 073 17/01/24 RIF 110</v>
      </c>
      <c r="E2603" s="8">
        <v>11.7326</v>
      </c>
      <c r="F2603" s="9">
        <v>46087</v>
      </c>
    </row>
    <row r="2604" spans="1:6" ht="75" x14ac:dyDescent="0.25">
      <c r="A2604" s="8" t="s">
        <v>63</v>
      </c>
      <c r="B2604" s="8" t="s">
        <v>72</v>
      </c>
      <c r="C2604" s="8" t="str">
        <f>IFERROR(_xlfn.XLOOKUP(TRIM(B2604),Lookup!$B$2:$B$1000,Lookup!$C$2:$C$1000),"")</f>
        <v>Equity - Thematic (Growth/Domestic)</v>
      </c>
      <c r="D2604" s="8" t="str">
        <f>IFERROR(INDEX('nav master'!$C:$C, MATCH(B2604, 'nav master'!$B:$B, 0)), "")</f>
        <v>ULIF 073 17/01/24 RIF 110</v>
      </c>
      <c r="E2604" s="8">
        <v>11.5372</v>
      </c>
      <c r="F2604" s="9">
        <v>46090</v>
      </c>
    </row>
    <row r="2605" spans="1:6" ht="75" x14ac:dyDescent="0.25">
      <c r="A2605" s="8" t="s">
        <v>63</v>
      </c>
      <c r="B2605" s="8" t="s">
        <v>72</v>
      </c>
      <c r="C2605" s="8" t="str">
        <f>IFERROR(_xlfn.XLOOKUP(TRIM(B2605),Lookup!$B$2:$B$1000,Lookup!$C$2:$C$1000),"")</f>
        <v>Equity - Thematic (Growth/Domestic)</v>
      </c>
      <c r="D2605" s="8" t="str">
        <f>IFERROR(INDEX('nav master'!$C:$C, MATCH(B2605, 'nav master'!$B:$B, 0)), "")</f>
        <v>ULIF 073 17/01/24 RIF 110</v>
      </c>
      <c r="E2605" s="8">
        <v>11.713699999999999</v>
      </c>
      <c r="F2605" s="9">
        <v>46091</v>
      </c>
    </row>
    <row r="2606" spans="1:6" ht="75" x14ac:dyDescent="0.25">
      <c r="A2606" s="8" t="s">
        <v>63</v>
      </c>
      <c r="B2606" s="8" t="s">
        <v>72</v>
      </c>
      <c r="C2606" s="8" t="str">
        <f>IFERROR(_xlfn.XLOOKUP(TRIM(B2606),Lookup!$B$2:$B$1000,Lookup!$C$2:$C$1000),"")</f>
        <v>Equity - Thematic (Growth/Domestic)</v>
      </c>
      <c r="D2606" s="8" t="str">
        <f>IFERROR(INDEX('nav master'!$C:$C, MATCH(B2606, 'nav master'!$B:$B, 0)), "")</f>
        <v>ULIF 073 17/01/24 RIF 110</v>
      </c>
      <c r="E2606" s="8">
        <v>11.5869</v>
      </c>
      <c r="F2606" s="9">
        <v>46092</v>
      </c>
    </row>
    <row r="2607" spans="1:6" ht="75" x14ac:dyDescent="0.25">
      <c r="A2607" s="8" t="s">
        <v>63</v>
      </c>
      <c r="B2607" s="8" t="s">
        <v>72</v>
      </c>
      <c r="C2607" s="8" t="str">
        <f>IFERROR(_xlfn.XLOOKUP(TRIM(B2607),Lookup!$B$2:$B$1000,Lookup!$C$2:$C$1000),"")</f>
        <v>Equity - Thematic (Growth/Domestic)</v>
      </c>
      <c r="D2607" s="8" t="str">
        <f>IFERROR(INDEX('nav master'!$C:$C, MATCH(B2607, 'nav master'!$B:$B, 0)), "")</f>
        <v>ULIF 073 17/01/24 RIF 110</v>
      </c>
      <c r="E2607" s="8">
        <v>11.5106</v>
      </c>
      <c r="F2607" s="9">
        <v>46093</v>
      </c>
    </row>
    <row r="2608" spans="1:6" ht="75" x14ac:dyDescent="0.25">
      <c r="A2608" s="8" t="s">
        <v>63</v>
      </c>
      <c r="B2608" s="8" t="s">
        <v>72</v>
      </c>
      <c r="C2608" s="8" t="str">
        <f>IFERROR(_xlfn.XLOOKUP(TRIM(B2608),Lookup!$B$2:$B$1000,Lookup!$C$2:$C$1000),"")</f>
        <v>Equity - Thematic (Growth/Domestic)</v>
      </c>
      <c r="D2608" s="8" t="str">
        <f>IFERROR(INDEX('nav master'!$C:$C, MATCH(B2608, 'nav master'!$B:$B, 0)), "")</f>
        <v>ULIF 073 17/01/24 RIF 110</v>
      </c>
      <c r="E2608" s="8">
        <v>11.257300000000001</v>
      </c>
      <c r="F2608" s="9">
        <v>46094</v>
      </c>
    </row>
    <row r="2609" spans="1:6" ht="75" x14ac:dyDescent="0.25">
      <c r="A2609" s="8" t="s">
        <v>63</v>
      </c>
      <c r="B2609" s="8" t="s">
        <v>72</v>
      </c>
      <c r="C2609" s="8" t="str">
        <f>IFERROR(_xlfn.XLOOKUP(TRIM(B2609),Lookup!$B$2:$B$1000,Lookup!$C$2:$C$1000),"")</f>
        <v>Equity - Thematic (Growth/Domestic)</v>
      </c>
      <c r="D2609" s="8" t="str">
        <f>IFERROR(INDEX('nav master'!$C:$C, MATCH(B2609, 'nav master'!$B:$B, 0)), "")</f>
        <v>ULIF 073 17/01/24 RIF 110</v>
      </c>
      <c r="E2609" s="8">
        <v>11.3123</v>
      </c>
      <c r="F2609" s="9">
        <v>46097</v>
      </c>
    </row>
    <row r="2610" spans="1:6" ht="75" x14ac:dyDescent="0.25">
      <c r="A2610" s="8" t="s">
        <v>63</v>
      </c>
      <c r="B2610" s="8" t="s">
        <v>72</v>
      </c>
      <c r="C2610" s="8" t="str">
        <f>IFERROR(_xlfn.XLOOKUP(TRIM(B2610),Lookup!$B$2:$B$1000,Lookup!$C$2:$C$1000),"")</f>
        <v>Equity - Thematic (Growth/Domestic)</v>
      </c>
      <c r="D2610" s="8" t="str">
        <f>IFERROR(INDEX('nav master'!$C:$C, MATCH(B2610, 'nav master'!$B:$B, 0)), "")</f>
        <v>ULIF 073 17/01/24 RIF 110</v>
      </c>
      <c r="E2610" s="8">
        <v>11.456799999999999</v>
      </c>
      <c r="F2610" s="9">
        <v>46098</v>
      </c>
    </row>
    <row r="2611" spans="1:6" ht="75" x14ac:dyDescent="0.25">
      <c r="A2611" s="8" t="s">
        <v>63</v>
      </c>
      <c r="B2611" s="8" t="s">
        <v>72</v>
      </c>
      <c r="C2611" s="8" t="str">
        <f>IFERROR(_xlfn.XLOOKUP(TRIM(B2611),Lookup!$B$2:$B$1000,Lookup!$C$2:$C$1000),"")</f>
        <v>Equity - Thematic (Growth/Domestic)</v>
      </c>
      <c r="D2611" s="8" t="str">
        <f>IFERROR(INDEX('nav master'!$C:$C, MATCH(B2611, 'nav master'!$B:$B, 0)), "")</f>
        <v>ULIF 073 17/01/24 RIF 110</v>
      </c>
      <c r="E2611" s="8">
        <v>11.625999999999999</v>
      </c>
      <c r="F2611" s="9">
        <v>46099</v>
      </c>
    </row>
    <row r="2612" spans="1:6" ht="75" x14ac:dyDescent="0.25">
      <c r="A2612" s="8" t="s">
        <v>63</v>
      </c>
      <c r="B2612" s="8" t="s">
        <v>72</v>
      </c>
      <c r="C2612" s="8" t="str">
        <f>IFERROR(_xlfn.XLOOKUP(TRIM(B2612),Lookup!$B$2:$B$1000,Lookup!$C$2:$C$1000),"")</f>
        <v>Equity - Thematic (Growth/Domestic)</v>
      </c>
      <c r="D2612" s="8" t="str">
        <f>IFERROR(INDEX('nav master'!$C:$C, MATCH(B2612, 'nav master'!$B:$B, 0)), "")</f>
        <v>ULIF 073 17/01/24 RIF 110</v>
      </c>
      <c r="E2612" s="8">
        <v>11.262499999999999</v>
      </c>
      <c r="F2612" s="9">
        <v>46100</v>
      </c>
    </row>
    <row r="2613" spans="1:6" ht="75" x14ac:dyDescent="0.25">
      <c r="A2613" s="8" t="s">
        <v>63</v>
      </c>
      <c r="B2613" s="8" t="s">
        <v>72</v>
      </c>
      <c r="C2613" s="8" t="str">
        <f>IFERROR(_xlfn.XLOOKUP(TRIM(B2613),Lookup!$B$2:$B$1000,Lookup!$C$2:$C$1000),"")</f>
        <v>Equity - Thematic (Growth/Domestic)</v>
      </c>
      <c r="D2613" s="8" t="str">
        <f>IFERROR(INDEX('nav master'!$C:$C, MATCH(B2613, 'nav master'!$B:$B, 0)), "")</f>
        <v>ULIF 073 17/01/24 RIF 110</v>
      </c>
      <c r="E2613" s="8">
        <v>11.2981</v>
      </c>
      <c r="F2613" s="9">
        <v>46101</v>
      </c>
    </row>
    <row r="2614" spans="1:6" ht="75" x14ac:dyDescent="0.25">
      <c r="A2614" s="8" t="s">
        <v>63</v>
      </c>
      <c r="B2614" s="8" t="s">
        <v>72</v>
      </c>
      <c r="C2614" s="8" t="str">
        <f>IFERROR(_xlfn.XLOOKUP(TRIM(B2614),Lookup!$B$2:$B$1000,Lookup!$C$2:$C$1000),"")</f>
        <v>Equity - Thematic (Growth/Domestic)</v>
      </c>
      <c r="D2614" s="8" t="str">
        <f>IFERROR(INDEX('nav master'!$C:$C, MATCH(B2614, 'nav master'!$B:$B, 0)), "")</f>
        <v>ULIF 073 17/01/24 RIF 110</v>
      </c>
      <c r="E2614" s="8">
        <v>10.935700000000001</v>
      </c>
      <c r="F2614" s="9">
        <v>46104</v>
      </c>
    </row>
    <row r="2615" spans="1:6" ht="75" x14ac:dyDescent="0.25">
      <c r="A2615" s="8" t="s">
        <v>63</v>
      </c>
      <c r="B2615" s="8" t="s">
        <v>72</v>
      </c>
      <c r="C2615" s="8" t="str">
        <f>IFERROR(_xlfn.XLOOKUP(TRIM(B2615),Lookup!$B$2:$B$1000,Lookup!$C$2:$C$1000),"")</f>
        <v>Equity - Thematic (Growth/Domestic)</v>
      </c>
      <c r="D2615" s="8" t="str">
        <f>IFERROR(INDEX('nav master'!$C:$C, MATCH(B2615, 'nav master'!$B:$B, 0)), "")</f>
        <v>ULIF 073 17/01/24 RIF 110</v>
      </c>
      <c r="E2615" s="8">
        <v>11.172700000000001</v>
      </c>
      <c r="F2615" s="9">
        <v>46105</v>
      </c>
    </row>
    <row r="2616" spans="1:6" ht="75" x14ac:dyDescent="0.25">
      <c r="A2616" s="8" t="s">
        <v>63</v>
      </c>
      <c r="B2616" s="8" t="s">
        <v>72</v>
      </c>
      <c r="C2616" s="8" t="str">
        <f>IFERROR(_xlfn.XLOOKUP(TRIM(B2616),Lookup!$B$2:$B$1000,Lookup!$C$2:$C$1000),"")</f>
        <v>Equity - Thematic (Growth/Domestic)</v>
      </c>
      <c r="D2616" s="8" t="str">
        <f>IFERROR(INDEX('nav master'!$C:$C, MATCH(B2616, 'nav master'!$B:$B, 0)), "")</f>
        <v>ULIF 073 17/01/24 RIF 110</v>
      </c>
      <c r="E2616" s="8">
        <v>11.4017</v>
      </c>
      <c r="F2616" s="9">
        <v>46106</v>
      </c>
    </row>
    <row r="2617" spans="1:6" ht="75" x14ac:dyDescent="0.25">
      <c r="A2617" s="8" t="s">
        <v>63</v>
      </c>
      <c r="B2617" s="8" t="s">
        <v>72</v>
      </c>
      <c r="C2617" s="8" t="str">
        <f>IFERROR(_xlfn.XLOOKUP(TRIM(B2617),Lookup!$B$2:$B$1000,Lookup!$C$2:$C$1000),"")</f>
        <v>Equity - Thematic (Growth/Domestic)</v>
      </c>
      <c r="D2617" s="8" t="str">
        <f>IFERROR(INDEX('nav master'!$C:$C, MATCH(B2617, 'nav master'!$B:$B, 0)), "")</f>
        <v>ULIF 073 17/01/24 RIF 110</v>
      </c>
      <c r="E2617" s="8">
        <v>11.159800000000001</v>
      </c>
      <c r="F2617" s="9">
        <v>46108</v>
      </c>
    </row>
    <row r="2618" spans="1:6" ht="75" x14ac:dyDescent="0.25">
      <c r="A2618" s="8" t="s">
        <v>63</v>
      </c>
      <c r="B2618" s="8" t="s">
        <v>72</v>
      </c>
      <c r="C2618" s="8" t="str">
        <f>IFERROR(_xlfn.XLOOKUP(TRIM(B2618),Lookup!$B$2:$B$1000,Lookup!$C$2:$C$1000),"")</f>
        <v>Equity - Thematic (Growth/Domestic)</v>
      </c>
      <c r="D2618" s="8" t="str">
        <f>IFERROR(INDEX('nav master'!$C:$C, MATCH(B2618, 'nav master'!$B:$B, 0)), "")</f>
        <v>ULIF 073 17/01/24 RIF 110</v>
      </c>
      <c r="E2618" s="8">
        <v>10.9194</v>
      </c>
      <c r="F2618" s="9">
        <v>46111</v>
      </c>
    </row>
    <row r="2619" spans="1:6" ht="75" x14ac:dyDescent="0.25">
      <c r="A2619" s="8" t="s">
        <v>63</v>
      </c>
      <c r="B2619" s="8" t="s">
        <v>72</v>
      </c>
      <c r="C2619" s="8" t="str">
        <f>IFERROR(_xlfn.XLOOKUP(TRIM(B2619),Lookup!$B$2:$B$1000,Lookup!$C$2:$C$1000),"")</f>
        <v>Equity - Thematic (Growth/Domestic)</v>
      </c>
      <c r="D2619" s="8" t="str">
        <f>IFERROR(INDEX('nav master'!$C:$C, MATCH(B2619, 'nav master'!$B:$B, 0)), "")</f>
        <v>ULIF 073 17/01/24 RIF 110</v>
      </c>
      <c r="E2619" s="8">
        <v>10.9192</v>
      </c>
      <c r="F2619" s="9">
        <v>46112</v>
      </c>
    </row>
    <row r="2620" spans="1:6" ht="75" x14ac:dyDescent="0.25">
      <c r="A2620" s="8" t="s">
        <v>63</v>
      </c>
      <c r="B2620" s="8" t="s">
        <v>72</v>
      </c>
      <c r="C2620" s="8" t="str">
        <f>IFERROR(_xlfn.XLOOKUP(TRIM(B2620),Lookup!$B$2:$B$1000,Lookup!$C$2:$C$1000),"")</f>
        <v>Equity - Thematic (Growth/Domestic)</v>
      </c>
      <c r="D2620" s="8" t="str">
        <f>IFERROR(INDEX('nav master'!$C:$C, MATCH(B2620, 'nav master'!$B:$B, 0)), "")</f>
        <v>ULIF 073 17/01/24 RIF 110</v>
      </c>
      <c r="E2620" s="8">
        <v>11.097799999999999</v>
      </c>
      <c r="F2620" s="9">
        <v>46113</v>
      </c>
    </row>
    <row r="2621" spans="1:6" ht="75" x14ac:dyDescent="0.25">
      <c r="A2621" s="8" t="s">
        <v>63</v>
      </c>
      <c r="B2621" s="8" t="s">
        <v>72</v>
      </c>
      <c r="C2621" s="8" t="str">
        <f>IFERROR(_xlfn.XLOOKUP(TRIM(B2621),Lookup!$B$2:$B$1000,Lookup!$C$2:$C$1000),"")</f>
        <v>Equity - Thematic (Growth/Domestic)</v>
      </c>
      <c r="D2621" s="8" t="str">
        <f>IFERROR(INDEX('nav master'!$C:$C, MATCH(B2621, 'nav master'!$B:$B, 0)), "")</f>
        <v>ULIF 073 17/01/24 RIF 110</v>
      </c>
      <c r="E2621" s="8">
        <v>11.063499999999999</v>
      </c>
      <c r="F2621" s="9">
        <v>46114</v>
      </c>
    </row>
    <row r="2622" spans="1:6" ht="75" x14ac:dyDescent="0.25">
      <c r="A2622" s="8" t="s">
        <v>63</v>
      </c>
      <c r="B2622" s="8" t="s">
        <v>72</v>
      </c>
      <c r="C2622" s="8" t="str">
        <f>IFERROR(_xlfn.XLOOKUP(TRIM(B2622),Lookup!$B$2:$B$1000,Lookup!$C$2:$C$1000),"")</f>
        <v>Equity - Thematic (Growth/Domestic)</v>
      </c>
      <c r="D2622" s="8" t="str">
        <f>IFERROR(INDEX('nav master'!$C:$C, MATCH(B2622, 'nav master'!$B:$B, 0)), "")</f>
        <v>ULIF 073 17/01/24 RIF 110</v>
      </c>
      <c r="E2622" s="8">
        <v>11.184799999999999</v>
      </c>
      <c r="F2622" s="9">
        <v>46118</v>
      </c>
    </row>
    <row r="2623" spans="1:6" ht="75" x14ac:dyDescent="0.25">
      <c r="A2623" s="8" t="s">
        <v>63</v>
      </c>
      <c r="B2623" s="8" t="s">
        <v>72</v>
      </c>
      <c r="C2623" s="8" t="str">
        <f>IFERROR(_xlfn.XLOOKUP(TRIM(B2623),Lookup!$B$2:$B$1000,Lookup!$C$2:$C$1000),"")</f>
        <v>Equity - Thematic (Growth/Domestic)</v>
      </c>
      <c r="D2623" s="8" t="str">
        <f>IFERROR(INDEX('nav master'!$C:$C, MATCH(B2623, 'nav master'!$B:$B, 0)), "")</f>
        <v>ULIF 073 17/01/24 RIF 110</v>
      </c>
      <c r="E2623" s="8">
        <v>11.200900000000001</v>
      </c>
      <c r="F2623" s="9">
        <v>46119</v>
      </c>
    </row>
    <row r="2624" spans="1:6" ht="75" x14ac:dyDescent="0.25">
      <c r="A2624" s="8" t="s">
        <v>63</v>
      </c>
      <c r="B2624" s="8" t="s">
        <v>72</v>
      </c>
      <c r="C2624" s="8" t="str">
        <f>IFERROR(_xlfn.XLOOKUP(TRIM(B2624),Lookup!$B$2:$B$1000,Lookup!$C$2:$C$1000),"")</f>
        <v>Equity - Thematic (Growth/Domestic)</v>
      </c>
      <c r="D2624" s="8" t="str">
        <f>IFERROR(INDEX('nav master'!$C:$C, MATCH(B2624, 'nav master'!$B:$B, 0)), "")</f>
        <v>ULIF 073 17/01/24 RIF 110</v>
      </c>
      <c r="E2624" s="8">
        <v>11.591100000000001</v>
      </c>
      <c r="F2624" s="9">
        <v>46120</v>
      </c>
    </row>
    <row r="2625" spans="1:6" ht="75" x14ac:dyDescent="0.25">
      <c r="A2625" s="8" t="s">
        <v>63</v>
      </c>
      <c r="B2625" s="8" t="s">
        <v>72</v>
      </c>
      <c r="C2625" s="8" t="str">
        <f>IFERROR(_xlfn.XLOOKUP(TRIM(B2625),Lookup!$B$2:$B$1000,Lookup!$C$2:$C$1000),"")</f>
        <v>Equity - Thematic (Growth/Domestic)</v>
      </c>
      <c r="D2625" s="8" t="str">
        <f>IFERROR(INDEX('nav master'!$C:$C, MATCH(B2625, 'nav master'!$B:$B, 0)), "")</f>
        <v>ULIF 073 17/01/24 RIF 110</v>
      </c>
      <c r="E2625" s="8">
        <v>11.563800000000001</v>
      </c>
      <c r="F2625" s="9">
        <v>46121</v>
      </c>
    </row>
    <row r="2626" spans="1:6" ht="75" x14ac:dyDescent="0.25">
      <c r="A2626" s="8" t="s">
        <v>63</v>
      </c>
      <c r="B2626" s="8" t="s">
        <v>72</v>
      </c>
      <c r="C2626" s="8" t="str">
        <f>IFERROR(_xlfn.XLOOKUP(TRIM(B2626),Lookup!$B$2:$B$1000,Lookup!$C$2:$C$1000),"")</f>
        <v>Equity - Thematic (Growth/Domestic)</v>
      </c>
      <c r="D2626" s="8" t="str">
        <f>IFERROR(INDEX('nav master'!$C:$C, MATCH(B2626, 'nav master'!$B:$B, 0)), "")</f>
        <v>ULIF 073 17/01/24 RIF 110</v>
      </c>
      <c r="E2626" s="8">
        <v>11.7097</v>
      </c>
      <c r="F2626" s="9">
        <v>46122</v>
      </c>
    </row>
    <row r="2627" spans="1:6" ht="75" x14ac:dyDescent="0.25">
      <c r="A2627" s="8" t="s">
        <v>63</v>
      </c>
      <c r="B2627" s="8" t="s">
        <v>72</v>
      </c>
      <c r="C2627" s="8" t="str">
        <f>IFERROR(_xlfn.XLOOKUP(TRIM(B2627),Lookup!$B$2:$B$1000,Lookup!$C$2:$C$1000),"")</f>
        <v>Equity - Thematic (Growth/Domestic)</v>
      </c>
      <c r="D2627" s="8" t="str">
        <f>IFERROR(INDEX('nav master'!$C:$C, MATCH(B2627, 'nav master'!$B:$B, 0)), "")</f>
        <v>ULIF 073 17/01/24 RIF 110</v>
      </c>
      <c r="E2627" s="8">
        <v>11.6358</v>
      </c>
      <c r="F2627" s="9">
        <v>46125</v>
      </c>
    </row>
    <row r="2628" spans="1:6" ht="75" x14ac:dyDescent="0.25">
      <c r="A2628" s="8" t="s">
        <v>63</v>
      </c>
      <c r="B2628" s="8" t="s">
        <v>72</v>
      </c>
      <c r="C2628" s="8" t="str">
        <f>IFERROR(_xlfn.XLOOKUP(TRIM(B2628),Lookup!$B$2:$B$1000,Lookup!$C$2:$C$1000),"")</f>
        <v>Equity - Thematic (Growth/Domestic)</v>
      </c>
      <c r="D2628" s="8" t="str">
        <f>IFERROR(INDEX('nav master'!$C:$C, MATCH(B2628, 'nav master'!$B:$B, 0)), "")</f>
        <v>ULIF 073 17/01/24 RIF 110</v>
      </c>
      <c r="E2628" s="8">
        <v>11.8696</v>
      </c>
      <c r="F2628" s="9">
        <v>46127</v>
      </c>
    </row>
    <row r="2629" spans="1:6" ht="75" x14ac:dyDescent="0.25">
      <c r="A2629" s="8" t="s">
        <v>63</v>
      </c>
      <c r="B2629" s="8" t="s">
        <v>72</v>
      </c>
      <c r="C2629" s="8" t="str">
        <f>IFERROR(_xlfn.XLOOKUP(TRIM(B2629),Lookup!$B$2:$B$1000,Lookup!$C$2:$C$1000),"")</f>
        <v>Equity - Thematic (Growth/Domestic)</v>
      </c>
      <c r="D2629" s="8" t="str">
        <f>IFERROR(INDEX('nav master'!$C:$C, MATCH(B2629, 'nav master'!$B:$B, 0)), "")</f>
        <v>ULIF 073 17/01/24 RIF 110</v>
      </c>
      <c r="E2629" s="8">
        <v>11.927899999999999</v>
      </c>
      <c r="F2629" s="9">
        <v>46128</v>
      </c>
    </row>
    <row r="2630" spans="1:6" ht="75" x14ac:dyDescent="0.25">
      <c r="A2630" s="8" t="s">
        <v>63</v>
      </c>
      <c r="B2630" s="8" t="s">
        <v>72</v>
      </c>
      <c r="C2630" s="8" t="str">
        <f>IFERROR(_xlfn.XLOOKUP(TRIM(B2630),Lookup!$B$2:$B$1000,Lookup!$C$2:$C$1000),"")</f>
        <v>Equity - Thematic (Growth/Domestic)</v>
      </c>
      <c r="D2630" s="8" t="str">
        <f>IFERROR(INDEX('nav master'!$C:$C, MATCH(B2630, 'nav master'!$B:$B, 0)), "")</f>
        <v>ULIF 073 17/01/24 RIF 110</v>
      </c>
      <c r="E2630" s="8">
        <v>12.012499999999999</v>
      </c>
      <c r="F2630" s="9">
        <v>46129</v>
      </c>
    </row>
    <row r="2631" spans="1:6" ht="75" x14ac:dyDescent="0.25">
      <c r="A2631" s="8" t="s">
        <v>63</v>
      </c>
      <c r="B2631" s="8" t="s">
        <v>72</v>
      </c>
      <c r="C2631" s="8" t="str">
        <f>IFERROR(_xlfn.XLOOKUP(TRIM(B2631),Lookup!$B$2:$B$1000,Lookup!$C$2:$C$1000),"")</f>
        <v>Equity - Thematic (Growth/Domestic)</v>
      </c>
      <c r="D2631" s="8" t="str">
        <f>IFERROR(INDEX('nav master'!$C:$C, MATCH(B2631, 'nav master'!$B:$B, 0)), "")</f>
        <v>ULIF 073 17/01/24 RIF 110</v>
      </c>
      <c r="E2631" s="8">
        <v>12.019299999999999</v>
      </c>
      <c r="F2631" s="9">
        <v>46132</v>
      </c>
    </row>
    <row r="2632" spans="1:6" ht="75" x14ac:dyDescent="0.25">
      <c r="A2632" s="8" t="s">
        <v>63</v>
      </c>
      <c r="B2632" s="8" t="s">
        <v>72</v>
      </c>
      <c r="C2632" s="8" t="str">
        <f>IFERROR(_xlfn.XLOOKUP(TRIM(B2632),Lookup!$B$2:$B$1000,Lookup!$C$2:$C$1000),"")</f>
        <v>Equity - Thematic (Growth/Domestic)</v>
      </c>
      <c r="D2632" s="8" t="str">
        <f>IFERROR(INDEX('nav master'!$C:$C, MATCH(B2632, 'nav master'!$B:$B, 0)), "")</f>
        <v>ULIF 073 17/01/24 RIF 110</v>
      </c>
      <c r="E2632" s="8">
        <v>12.0677</v>
      </c>
      <c r="F2632" s="9">
        <v>46133</v>
      </c>
    </row>
    <row r="2633" spans="1:6" ht="75" x14ac:dyDescent="0.25">
      <c r="A2633" s="8" t="s">
        <v>63</v>
      </c>
      <c r="B2633" s="8" t="s">
        <v>72</v>
      </c>
      <c r="C2633" s="8" t="str">
        <f>IFERROR(_xlfn.XLOOKUP(TRIM(B2633),Lookup!$B$2:$B$1000,Lookup!$C$2:$C$1000),"")</f>
        <v>Equity - Thematic (Growth/Domestic)</v>
      </c>
      <c r="D2633" s="8" t="str">
        <f>IFERROR(INDEX('nav master'!$C:$C, MATCH(B2633, 'nav master'!$B:$B, 0)), "")</f>
        <v>ULIF 073 17/01/24 RIF 110</v>
      </c>
      <c r="E2633" s="8">
        <v>12.042199999999999</v>
      </c>
      <c r="F2633" s="9">
        <v>46134</v>
      </c>
    </row>
    <row r="2634" spans="1:6" ht="75" x14ac:dyDescent="0.25">
      <c r="A2634" s="8" t="s">
        <v>63</v>
      </c>
      <c r="B2634" s="8" t="s">
        <v>72</v>
      </c>
      <c r="C2634" s="8" t="str">
        <f>IFERROR(_xlfn.XLOOKUP(TRIM(B2634),Lookup!$B$2:$B$1000,Lookup!$C$2:$C$1000),"")</f>
        <v>Equity - Thematic (Growth/Domestic)</v>
      </c>
      <c r="D2634" s="8" t="str">
        <f>IFERROR(INDEX('nav master'!$C:$C, MATCH(B2634, 'nav master'!$B:$B, 0)), "")</f>
        <v>ULIF 073 17/01/24 RIF 110</v>
      </c>
      <c r="E2634" s="8">
        <v>11.922499999999999</v>
      </c>
      <c r="F2634" s="9">
        <v>46135</v>
      </c>
    </row>
    <row r="2635" spans="1:6" ht="75" x14ac:dyDescent="0.25">
      <c r="A2635" s="8" t="s">
        <v>63</v>
      </c>
      <c r="B2635" s="8" t="s">
        <v>72</v>
      </c>
      <c r="C2635" s="8" t="str">
        <f>IFERROR(_xlfn.XLOOKUP(TRIM(B2635),Lookup!$B$2:$B$1000,Lookup!$C$2:$C$1000),"")</f>
        <v>Equity - Thematic (Growth/Domestic)</v>
      </c>
      <c r="D2635" s="8" t="str">
        <f>IFERROR(INDEX('nav master'!$C:$C, MATCH(B2635, 'nav master'!$B:$B, 0)), "")</f>
        <v>ULIF 073 17/01/24 RIF 110</v>
      </c>
      <c r="E2635" s="8">
        <v>11.811500000000001</v>
      </c>
      <c r="F2635" s="9">
        <v>46136</v>
      </c>
    </row>
    <row r="2636" spans="1:6" ht="75" x14ac:dyDescent="0.25">
      <c r="A2636" s="8" t="s">
        <v>63</v>
      </c>
      <c r="B2636" s="8" t="s">
        <v>72</v>
      </c>
      <c r="C2636" s="8" t="str">
        <f>IFERROR(_xlfn.XLOOKUP(TRIM(B2636),Lookup!$B$2:$B$1000,Lookup!$C$2:$C$1000),"")</f>
        <v>Equity - Thematic (Growth/Domestic)</v>
      </c>
      <c r="D2636" s="8" t="str">
        <f>IFERROR(INDEX('nav master'!$C:$C, MATCH(B2636, 'nav master'!$B:$B, 0)), "")</f>
        <v>ULIF 073 17/01/24 RIF 110</v>
      </c>
      <c r="E2636" s="8">
        <v>11.9748</v>
      </c>
      <c r="F2636" s="9">
        <v>46139</v>
      </c>
    </row>
    <row r="2637" spans="1:6" ht="75" x14ac:dyDescent="0.25">
      <c r="A2637" s="8" t="s">
        <v>63</v>
      </c>
      <c r="B2637" s="8" t="s">
        <v>72</v>
      </c>
      <c r="C2637" s="8" t="str">
        <f>IFERROR(_xlfn.XLOOKUP(TRIM(B2637),Lookup!$B$2:$B$1000,Lookup!$C$2:$C$1000),"")</f>
        <v>Equity - Thematic (Growth/Domestic)</v>
      </c>
      <c r="D2637" s="8" t="str">
        <f>IFERROR(INDEX('nav master'!$C:$C, MATCH(B2637, 'nav master'!$B:$B, 0)), "")</f>
        <v>ULIF 073 17/01/24 RIF 110</v>
      </c>
      <c r="E2637" s="8">
        <v>11.9678</v>
      </c>
      <c r="F2637" s="9">
        <v>46140</v>
      </c>
    </row>
    <row r="2638" spans="1:6" ht="75" x14ac:dyDescent="0.25">
      <c r="A2638" s="8" t="s">
        <v>63</v>
      </c>
      <c r="B2638" s="8" t="s">
        <v>72</v>
      </c>
      <c r="C2638" s="8" t="str">
        <f>IFERROR(_xlfn.XLOOKUP(TRIM(B2638),Lookup!$B$2:$B$1000,Lookup!$C$2:$C$1000),"")</f>
        <v>Equity - Thematic (Growth/Domestic)</v>
      </c>
      <c r="D2638" s="8" t="str">
        <f>IFERROR(INDEX('nav master'!$C:$C, MATCH(B2638, 'nav master'!$B:$B, 0)), "")</f>
        <v>ULIF 073 17/01/24 RIF 110</v>
      </c>
      <c r="E2638" s="8">
        <v>12.005800000000001</v>
      </c>
      <c r="F2638" s="9">
        <v>46141</v>
      </c>
    </row>
    <row r="2639" spans="1:6" ht="75" x14ac:dyDescent="0.25">
      <c r="A2639" s="8" t="s">
        <v>63</v>
      </c>
      <c r="B2639" s="8" t="s">
        <v>72</v>
      </c>
      <c r="C2639" s="8" t="str">
        <f>IFERROR(_xlfn.XLOOKUP(TRIM(B2639),Lookup!$B$2:$B$1000,Lookup!$C$2:$C$1000),"")</f>
        <v>Equity - Thematic (Growth/Domestic)</v>
      </c>
      <c r="D2639" s="8" t="str">
        <f>IFERROR(INDEX('nav master'!$C:$C, MATCH(B2639, 'nav master'!$B:$B, 0)), "")</f>
        <v>ULIF 073 17/01/24 RIF 110</v>
      </c>
      <c r="E2639" s="8">
        <v>11.9207</v>
      </c>
      <c r="F2639" s="9">
        <v>46142</v>
      </c>
    </row>
    <row r="2640" spans="1:6" ht="75" x14ac:dyDescent="0.25">
      <c r="A2640" s="8" t="s">
        <v>63</v>
      </c>
      <c r="B2640" s="8" t="s">
        <v>72</v>
      </c>
      <c r="C2640" s="8" t="str">
        <f>IFERROR(_xlfn.XLOOKUP(TRIM(B2640),Lookup!$B$2:$B$1000,Lookup!$C$2:$C$1000),"")</f>
        <v>Equity - Thematic (Growth/Domestic)</v>
      </c>
      <c r="D2640" s="8" t="str">
        <f>IFERROR(INDEX('nav master'!$C:$C, MATCH(B2640, 'nav master'!$B:$B, 0)), "")</f>
        <v>ULIF 073 17/01/24 RIF 110</v>
      </c>
      <c r="E2640" s="8">
        <v>12.0426</v>
      </c>
      <c r="F2640" s="9">
        <v>46146</v>
      </c>
    </row>
    <row r="2641" spans="1:6" ht="75" x14ac:dyDescent="0.25">
      <c r="A2641" s="8" t="s">
        <v>63</v>
      </c>
      <c r="B2641" s="8" t="s">
        <v>72</v>
      </c>
      <c r="C2641" s="8" t="str">
        <f>IFERROR(_xlfn.XLOOKUP(TRIM(B2641),Lookup!$B$2:$B$1000,Lookup!$C$2:$C$1000),"")</f>
        <v>Equity - Thematic (Growth/Domestic)</v>
      </c>
      <c r="D2641" s="8" t="str">
        <f>IFERROR(INDEX('nav master'!$C:$C, MATCH(B2641, 'nav master'!$B:$B, 0)), "")</f>
        <v>ULIF 073 17/01/24 RIF 110</v>
      </c>
      <c r="E2641" s="8">
        <v>12.0328</v>
      </c>
      <c r="F2641" s="9">
        <v>46147</v>
      </c>
    </row>
    <row r="2642" spans="1:6" ht="75" x14ac:dyDescent="0.25">
      <c r="A2642" s="8" t="s">
        <v>63</v>
      </c>
      <c r="B2642" s="8" t="s">
        <v>72</v>
      </c>
      <c r="C2642" s="8" t="str">
        <f>IFERROR(_xlfn.XLOOKUP(TRIM(B2642),Lookup!$B$2:$B$1000,Lookup!$C$2:$C$1000),"")</f>
        <v>Equity - Thematic (Growth/Domestic)</v>
      </c>
      <c r="D2642" s="8" t="str">
        <f>IFERROR(INDEX('nav master'!$C:$C, MATCH(B2642, 'nav master'!$B:$B, 0)), "")</f>
        <v>ULIF 073 17/01/24 RIF 110</v>
      </c>
      <c r="E2642" s="8">
        <v>12.227399999999999</v>
      </c>
      <c r="F2642" s="9">
        <v>46148</v>
      </c>
    </row>
    <row r="2643" spans="1:6" ht="75" x14ac:dyDescent="0.25">
      <c r="A2643" s="8" t="s">
        <v>63</v>
      </c>
      <c r="B2643" s="8" t="s">
        <v>72</v>
      </c>
      <c r="C2643" s="8" t="str">
        <f>IFERROR(_xlfn.XLOOKUP(TRIM(B2643),Lookup!$B$2:$B$1000,Lookup!$C$2:$C$1000),"")</f>
        <v>Equity - Thematic (Growth/Domestic)</v>
      </c>
      <c r="D2643" s="8" t="str">
        <f>IFERROR(INDEX('nav master'!$C:$C, MATCH(B2643, 'nav master'!$B:$B, 0)), "")</f>
        <v>ULIF 073 17/01/24 RIF 110</v>
      </c>
      <c r="E2643" s="8">
        <v>12.3339</v>
      </c>
      <c r="F2643" s="9">
        <v>46149</v>
      </c>
    </row>
    <row r="2644" spans="1:6" ht="75" x14ac:dyDescent="0.25">
      <c r="A2644" s="8" t="s">
        <v>63</v>
      </c>
      <c r="B2644" s="8" t="s">
        <v>72</v>
      </c>
      <c r="C2644" s="8" t="str">
        <f>IFERROR(_xlfn.XLOOKUP(TRIM(B2644),Lookup!$B$2:$B$1000,Lookup!$C$2:$C$1000),"")</f>
        <v>Equity - Thematic (Growth/Domestic)</v>
      </c>
      <c r="D2644" s="8" t="str">
        <f>IFERROR(INDEX('nav master'!$C:$C, MATCH(B2644, 'nav master'!$B:$B, 0)), "")</f>
        <v>ULIF 073 17/01/24 RIF 110</v>
      </c>
      <c r="E2644" s="8">
        <v>12.299799999999999</v>
      </c>
      <c r="F2644" s="9">
        <v>46150</v>
      </c>
    </row>
    <row r="2645" spans="1:6" ht="75" x14ac:dyDescent="0.25">
      <c r="A2645" s="8" t="s">
        <v>63</v>
      </c>
      <c r="B2645" s="8" t="s">
        <v>72</v>
      </c>
      <c r="C2645" s="8" t="str">
        <f>IFERROR(_xlfn.XLOOKUP(TRIM(B2645),Lookup!$B$2:$B$1000,Lookup!$C$2:$C$1000),"")</f>
        <v>Equity - Thematic (Growth/Domestic)</v>
      </c>
      <c r="D2645" s="8" t="str">
        <f>IFERROR(INDEX('nav master'!$C:$C, MATCH(B2645, 'nav master'!$B:$B, 0)), "")</f>
        <v>ULIF 073 17/01/24 RIF 110</v>
      </c>
      <c r="E2645" s="8">
        <v>12.175599999999999</v>
      </c>
      <c r="F2645" s="9">
        <v>46153</v>
      </c>
    </row>
    <row r="2646" spans="1:6" ht="75" x14ac:dyDescent="0.25">
      <c r="A2646" s="8" t="s">
        <v>63</v>
      </c>
      <c r="B2646" s="8" t="s">
        <v>72</v>
      </c>
      <c r="C2646" s="8" t="str">
        <f>IFERROR(_xlfn.XLOOKUP(TRIM(B2646),Lookup!$B$2:$B$1000,Lookup!$C$2:$C$1000),"")</f>
        <v>Equity - Thematic (Growth/Domestic)</v>
      </c>
      <c r="D2646" s="8" t="str">
        <f>IFERROR(INDEX('nav master'!$C:$C, MATCH(B2646, 'nav master'!$B:$B, 0)), "")</f>
        <v>ULIF 073 17/01/24 RIF 110</v>
      </c>
      <c r="E2646" s="8">
        <v>11.890700000000001</v>
      </c>
      <c r="F2646" s="9">
        <v>46154</v>
      </c>
    </row>
    <row r="2647" spans="1:6" ht="75" x14ac:dyDescent="0.25">
      <c r="A2647" s="8" t="s">
        <v>63</v>
      </c>
      <c r="B2647" s="8" t="s">
        <v>72</v>
      </c>
      <c r="C2647" s="8" t="str">
        <f>IFERROR(_xlfn.XLOOKUP(TRIM(B2647),Lookup!$B$2:$B$1000,Lookup!$C$2:$C$1000),"")</f>
        <v>Equity - Thematic (Growth/Domestic)</v>
      </c>
      <c r="D2647" s="8" t="str">
        <f>IFERROR(INDEX('nav master'!$C:$C, MATCH(B2647, 'nav master'!$B:$B, 0)), "")</f>
        <v>ULIF 073 17/01/24 RIF 110</v>
      </c>
      <c r="E2647" s="8">
        <v>11.9079</v>
      </c>
      <c r="F2647" s="9">
        <v>46155</v>
      </c>
    </row>
    <row r="2648" spans="1:6" ht="75" x14ac:dyDescent="0.25">
      <c r="A2648" s="8" t="s">
        <v>63</v>
      </c>
      <c r="B2648" s="8" t="s">
        <v>72</v>
      </c>
      <c r="C2648" s="8" t="str">
        <f>IFERROR(_xlfn.XLOOKUP(TRIM(B2648),Lookup!$B$2:$B$1000,Lookup!$C$2:$C$1000),"")</f>
        <v>Equity - Thematic (Growth/Domestic)</v>
      </c>
      <c r="D2648" s="8" t="str">
        <f>IFERROR(INDEX('nav master'!$C:$C, MATCH(B2648, 'nav master'!$B:$B, 0)), "")</f>
        <v>ULIF 073 17/01/24 RIF 110</v>
      </c>
      <c r="E2648" s="8">
        <v>12.0786</v>
      </c>
      <c r="F2648" s="9">
        <v>46156</v>
      </c>
    </row>
    <row r="2649" spans="1:6" ht="75" x14ac:dyDescent="0.25">
      <c r="A2649" s="8" t="s">
        <v>63</v>
      </c>
      <c r="B2649" s="8" t="s">
        <v>72</v>
      </c>
      <c r="C2649" s="8" t="str">
        <f>IFERROR(_xlfn.XLOOKUP(TRIM(B2649),Lookup!$B$2:$B$1000,Lookup!$C$2:$C$1000),"")</f>
        <v>Equity - Thematic (Growth/Domestic)</v>
      </c>
      <c r="D2649" s="8" t="str">
        <f>IFERROR(INDEX('nav master'!$C:$C, MATCH(B2649, 'nav master'!$B:$B, 0)), "")</f>
        <v>ULIF 073 17/01/24 RIF 110</v>
      </c>
      <c r="E2649" s="8">
        <v>12.0649</v>
      </c>
      <c r="F2649" s="9">
        <v>46157</v>
      </c>
    </row>
    <row r="2650" spans="1:6" ht="75" x14ac:dyDescent="0.25">
      <c r="A2650" s="8" t="s">
        <v>63</v>
      </c>
      <c r="B2650" s="8" t="s">
        <v>72</v>
      </c>
      <c r="C2650" s="8" t="str">
        <f>IFERROR(_xlfn.XLOOKUP(TRIM(B2650),Lookup!$B$2:$B$1000,Lookup!$C$2:$C$1000),"")</f>
        <v>Equity - Thematic (Growth/Domestic)</v>
      </c>
      <c r="D2650" s="8" t="str">
        <f>IFERROR(INDEX('nav master'!$C:$C, MATCH(B2650, 'nav master'!$B:$B, 0)), "")</f>
        <v>ULIF 073 17/01/24 RIF 110</v>
      </c>
      <c r="E2650" s="8">
        <v>12.005699999999999</v>
      </c>
      <c r="F2650" s="9">
        <v>46160</v>
      </c>
    </row>
    <row r="2651" spans="1:6" ht="75" x14ac:dyDescent="0.25">
      <c r="A2651" s="8" t="s">
        <v>63</v>
      </c>
      <c r="B2651" s="8" t="s">
        <v>72</v>
      </c>
      <c r="C2651" s="8" t="str">
        <f>IFERROR(_xlfn.XLOOKUP(TRIM(B2651),Lookup!$B$2:$B$1000,Lookup!$C$2:$C$1000),"")</f>
        <v>Equity - Thematic (Growth/Domestic)</v>
      </c>
      <c r="D2651" s="8" t="str">
        <f>IFERROR(INDEX('nav master'!$C:$C, MATCH(B2651, 'nav master'!$B:$B, 0)), "")</f>
        <v>ULIF 073 17/01/24 RIF 110</v>
      </c>
      <c r="E2651" s="8">
        <v>12.0808</v>
      </c>
      <c r="F2651" s="9">
        <v>46161</v>
      </c>
    </row>
    <row r="2652" spans="1:6" ht="75" x14ac:dyDescent="0.25">
      <c r="A2652" s="8" t="s">
        <v>63</v>
      </c>
      <c r="B2652" s="8" t="s">
        <v>72</v>
      </c>
      <c r="C2652" s="8" t="str">
        <f>IFERROR(_xlfn.XLOOKUP(TRIM(B2652),Lookup!$B$2:$B$1000,Lookup!$C$2:$C$1000),"")</f>
        <v>Equity - Thematic (Growth/Domestic)</v>
      </c>
      <c r="D2652" s="8" t="str">
        <f>IFERROR(INDEX('nav master'!$C:$C, MATCH(B2652, 'nav master'!$B:$B, 0)), "")</f>
        <v>ULIF 073 17/01/24 RIF 110</v>
      </c>
      <c r="E2652" s="8">
        <v>12.128399999999999</v>
      </c>
      <c r="F2652" s="9">
        <v>46162</v>
      </c>
    </row>
    <row r="2653" spans="1:6" ht="75" x14ac:dyDescent="0.25">
      <c r="A2653" s="8" t="s">
        <v>63</v>
      </c>
      <c r="B2653" s="8" t="s">
        <v>72</v>
      </c>
      <c r="C2653" s="8" t="str">
        <f>IFERROR(_xlfn.XLOOKUP(TRIM(B2653),Lookup!$B$2:$B$1000,Lookup!$C$2:$C$1000),"")</f>
        <v>Equity - Thematic (Growth/Domestic)</v>
      </c>
      <c r="D2653" s="8" t="str">
        <f>IFERROR(INDEX('nav master'!$C:$C, MATCH(B2653, 'nav master'!$B:$B, 0)), "")</f>
        <v>ULIF 073 17/01/24 RIF 110</v>
      </c>
      <c r="E2653" s="8">
        <v>12.1325</v>
      </c>
      <c r="F2653" s="9">
        <v>46163</v>
      </c>
    </row>
    <row r="2654" spans="1:6" ht="75" x14ac:dyDescent="0.25">
      <c r="A2654" s="8" t="s">
        <v>63</v>
      </c>
      <c r="B2654" s="8" t="s">
        <v>72</v>
      </c>
      <c r="C2654" s="8" t="str">
        <f>IFERROR(_xlfn.XLOOKUP(TRIM(B2654),Lookup!$B$2:$B$1000,Lookup!$C$2:$C$1000),"")</f>
        <v>Equity - Thematic (Growth/Domestic)</v>
      </c>
      <c r="D2654" s="8" t="str">
        <f>IFERROR(INDEX('nav master'!$C:$C, MATCH(B2654, 'nav master'!$B:$B, 0)), "")</f>
        <v>ULIF 073 17/01/24 RIF 110</v>
      </c>
      <c r="E2654" s="8">
        <v>12.160600000000001</v>
      </c>
      <c r="F2654" s="9">
        <v>46164</v>
      </c>
    </row>
    <row r="2655" spans="1:6" ht="75" x14ac:dyDescent="0.25">
      <c r="A2655" s="8" t="s">
        <v>63</v>
      </c>
      <c r="B2655" s="8" t="s">
        <v>72</v>
      </c>
      <c r="C2655" s="8" t="str">
        <f>IFERROR(_xlfn.XLOOKUP(TRIM(B2655),Lookup!$B$2:$B$1000,Lookup!$C$2:$C$1000),"")</f>
        <v>Equity - Thematic (Growth/Domestic)</v>
      </c>
      <c r="D2655" s="8" t="str">
        <f>IFERROR(INDEX('nav master'!$C:$C, MATCH(B2655, 'nav master'!$B:$B, 0)), "")</f>
        <v>ULIF 073 17/01/24 RIF 110</v>
      </c>
      <c r="E2655" s="8">
        <v>12.276300000000001</v>
      </c>
      <c r="F2655" s="9">
        <v>46167</v>
      </c>
    </row>
    <row r="2656" spans="1:6" ht="75" x14ac:dyDescent="0.25">
      <c r="A2656" s="8" t="s">
        <v>63</v>
      </c>
      <c r="B2656" s="8" t="s">
        <v>72</v>
      </c>
      <c r="C2656" s="8" t="str">
        <f>IFERROR(_xlfn.XLOOKUP(TRIM(B2656),Lookup!$B$2:$B$1000,Lookup!$C$2:$C$1000),"")</f>
        <v>Equity - Thematic (Growth/Domestic)</v>
      </c>
      <c r="D2656" s="8" t="str">
        <f>IFERROR(INDEX('nav master'!$C:$C, MATCH(B2656, 'nav master'!$B:$B, 0)), "")</f>
        <v>ULIF 073 17/01/24 RIF 110</v>
      </c>
      <c r="E2656" s="8">
        <v>12.2864</v>
      </c>
      <c r="F2656" s="9">
        <v>46168</v>
      </c>
    </row>
    <row r="2657" spans="1:6" ht="75" x14ac:dyDescent="0.25">
      <c r="A2657" s="8" t="s">
        <v>63</v>
      </c>
      <c r="B2657" s="8" t="s">
        <v>72</v>
      </c>
      <c r="C2657" s="8" t="str">
        <f>IFERROR(_xlfn.XLOOKUP(TRIM(B2657),Lookup!$B$2:$B$1000,Lookup!$C$2:$C$1000),"")</f>
        <v>Equity - Thematic (Growth/Domestic)</v>
      </c>
      <c r="D2657" s="8" t="str">
        <f>IFERROR(INDEX('nav master'!$C:$C, MATCH(B2657, 'nav master'!$B:$B, 0)), "")</f>
        <v>ULIF 073 17/01/24 RIF 110</v>
      </c>
      <c r="E2657" s="8">
        <v>12.273300000000001</v>
      </c>
      <c r="F2657" s="9">
        <v>46169</v>
      </c>
    </row>
    <row r="2658" spans="1:6" ht="75" x14ac:dyDescent="0.25">
      <c r="A2658" s="8" t="s">
        <v>63</v>
      </c>
      <c r="B2658" s="8" t="s">
        <v>72</v>
      </c>
      <c r="C2658" s="8" t="str">
        <f>IFERROR(_xlfn.XLOOKUP(TRIM(B2658),Lookup!$B$2:$B$1000,Lookup!$C$2:$C$1000),"")</f>
        <v>Equity - Thematic (Growth/Domestic)</v>
      </c>
      <c r="D2658" s="8" t="str">
        <f>IFERROR(INDEX('nav master'!$C:$C, MATCH(B2658, 'nav master'!$B:$B, 0)), "")</f>
        <v>ULIF 073 17/01/24 RIF 110</v>
      </c>
      <c r="E2658" s="8">
        <v>12.1302</v>
      </c>
      <c r="F2658" s="9">
        <v>46171</v>
      </c>
    </row>
    <row r="2659" spans="1:6" ht="75" x14ac:dyDescent="0.25">
      <c r="A2659" s="8" t="s">
        <v>63</v>
      </c>
      <c r="B2659" s="8" t="s">
        <v>72</v>
      </c>
      <c r="C2659" s="8" t="str">
        <f>IFERROR(_xlfn.XLOOKUP(TRIM(B2659),Lookup!$B$2:$B$1000,Lookup!$C$2:$C$1000),"")</f>
        <v>Equity - Thematic (Growth/Domestic)</v>
      </c>
      <c r="D2659" s="8" t="str">
        <f>IFERROR(INDEX('nav master'!$C:$C, MATCH(B2659, 'nav master'!$B:$B, 0)), "")</f>
        <v>ULIF 073 17/01/24 RIF 110</v>
      </c>
      <c r="E2659" s="8">
        <v>12.0192</v>
      </c>
      <c r="F2659" s="9">
        <v>46174</v>
      </c>
    </row>
    <row r="2660" spans="1:6" ht="75" x14ac:dyDescent="0.25">
      <c r="A2660" s="8" t="s">
        <v>63</v>
      </c>
      <c r="B2660" s="8" t="s">
        <v>72</v>
      </c>
      <c r="C2660" s="8" t="str">
        <f>IFERROR(_xlfn.XLOOKUP(TRIM(B2660),Lookup!$B$2:$B$1000,Lookup!$C$2:$C$1000),"")</f>
        <v>Equity - Thematic (Growth/Domestic)</v>
      </c>
      <c r="D2660" s="8" t="str">
        <f>IFERROR(INDEX('nav master'!$C:$C, MATCH(B2660, 'nav master'!$B:$B, 0)), "")</f>
        <v>ULIF 073 17/01/24 RIF 110</v>
      </c>
      <c r="E2660" s="8">
        <v>12.0093</v>
      </c>
      <c r="F2660" s="9">
        <v>46175</v>
      </c>
    </row>
    <row r="2661" spans="1:6" ht="75" x14ac:dyDescent="0.25">
      <c r="A2661" s="8" t="s">
        <v>63</v>
      </c>
      <c r="B2661" s="8" t="s">
        <v>72</v>
      </c>
      <c r="C2661" s="8" t="str">
        <f>IFERROR(_xlfn.XLOOKUP(TRIM(B2661),Lookup!$B$2:$B$1000,Lookup!$C$2:$C$1000),"")</f>
        <v>Equity - Thematic (Growth/Domestic)</v>
      </c>
      <c r="D2661" s="8" t="str">
        <f>IFERROR(INDEX('nav master'!$C:$C, MATCH(B2661, 'nav master'!$B:$B, 0)), "")</f>
        <v>ULIF 073 17/01/24 RIF 110</v>
      </c>
      <c r="E2661" s="8">
        <v>11.992800000000001</v>
      </c>
      <c r="F2661" s="9">
        <v>46176</v>
      </c>
    </row>
    <row r="2662" spans="1:6" ht="75" x14ac:dyDescent="0.25">
      <c r="A2662" s="8" t="s">
        <v>63</v>
      </c>
      <c r="B2662" s="8" t="s">
        <v>72</v>
      </c>
      <c r="C2662" s="8" t="str">
        <f>IFERROR(_xlfn.XLOOKUP(TRIM(B2662),Lookup!$B$2:$B$1000,Lookup!$C$2:$C$1000),"")</f>
        <v>Equity - Thematic (Growth/Domestic)</v>
      </c>
      <c r="D2662" s="8" t="str">
        <f>IFERROR(INDEX('nav master'!$C:$C, MATCH(B2662, 'nav master'!$B:$B, 0)), "")</f>
        <v>ULIF 073 17/01/24 RIF 110</v>
      </c>
      <c r="E2662" s="8">
        <v>12.0335</v>
      </c>
      <c r="F2662" s="9">
        <v>46177</v>
      </c>
    </row>
    <row r="2663" spans="1:6" ht="75" x14ac:dyDescent="0.25">
      <c r="A2663" s="8" t="s">
        <v>63</v>
      </c>
      <c r="B2663" s="8" t="s">
        <v>72</v>
      </c>
      <c r="C2663" s="8" t="str">
        <f>IFERROR(_xlfn.XLOOKUP(TRIM(B2663),Lookup!$B$2:$B$1000,Lookup!$C$2:$C$1000),"")</f>
        <v>Equity - Thematic (Growth/Domestic)</v>
      </c>
      <c r="D2663" s="8" t="str">
        <f>IFERROR(INDEX('nav master'!$C:$C, MATCH(B2663, 'nav master'!$B:$B, 0)), "")</f>
        <v>ULIF 073 17/01/24 RIF 110</v>
      </c>
      <c r="E2663" s="8">
        <v>11.992000000000001</v>
      </c>
      <c r="F2663" s="9">
        <v>46178</v>
      </c>
    </row>
    <row r="2664" spans="1:6" ht="75" x14ac:dyDescent="0.25">
      <c r="A2664" s="8" t="s">
        <v>63</v>
      </c>
      <c r="B2664" s="8" t="s">
        <v>72</v>
      </c>
      <c r="C2664" s="8" t="str">
        <f>IFERROR(_xlfn.XLOOKUP(TRIM(B2664),Lookup!$B$2:$B$1000,Lookup!$C$2:$C$1000),"")</f>
        <v>Equity - Thematic (Growth/Domestic)</v>
      </c>
      <c r="D2664" s="8" t="str">
        <f>IFERROR(INDEX('nav master'!$C:$C, MATCH(B2664, 'nav master'!$B:$B, 0)), "")</f>
        <v>ULIF 073 17/01/24 RIF 110</v>
      </c>
      <c r="E2664" s="8">
        <v>11.828099999999999</v>
      </c>
      <c r="F2664" s="9">
        <v>46181</v>
      </c>
    </row>
    <row r="2665" spans="1:6" ht="75" x14ac:dyDescent="0.25">
      <c r="A2665" s="8" t="s">
        <v>63</v>
      </c>
      <c r="B2665" s="8" t="s">
        <v>72</v>
      </c>
      <c r="C2665" s="8" t="str">
        <f>IFERROR(_xlfn.XLOOKUP(TRIM(B2665),Lookup!$B$2:$B$1000,Lookup!$C$2:$C$1000),"")</f>
        <v>Equity - Thematic (Growth/Domestic)</v>
      </c>
      <c r="D2665" s="8" t="str">
        <f>IFERROR(INDEX('nav master'!$C:$C, MATCH(B2665, 'nav master'!$B:$B, 0)), "")</f>
        <v>ULIF 073 17/01/24 RIF 110</v>
      </c>
      <c r="E2665" s="8">
        <v>11.9534</v>
      </c>
      <c r="F2665" s="9">
        <v>46182</v>
      </c>
    </row>
    <row r="2666" spans="1:6" ht="75" x14ac:dyDescent="0.25">
      <c r="A2666" s="8" t="s">
        <v>63</v>
      </c>
      <c r="B2666" s="8" t="s">
        <v>72</v>
      </c>
      <c r="C2666" s="8" t="str">
        <f>IFERROR(_xlfn.XLOOKUP(TRIM(B2666),Lookup!$B$2:$B$1000,Lookup!$C$2:$C$1000),"")</f>
        <v>Equity - Thematic (Growth/Domestic)</v>
      </c>
      <c r="D2666" s="8" t="str">
        <f>IFERROR(INDEX('nav master'!$C:$C, MATCH(B2666, 'nav master'!$B:$B, 0)), "")</f>
        <v>ULIF 073 17/01/24 RIF 110</v>
      </c>
      <c r="E2666" s="8">
        <v>11.837400000000001</v>
      </c>
      <c r="F2666" s="9">
        <v>46183</v>
      </c>
    </row>
    <row r="2667" spans="1:6" ht="75" x14ac:dyDescent="0.25">
      <c r="A2667" s="8" t="s">
        <v>63</v>
      </c>
      <c r="B2667" s="8" t="s">
        <v>72</v>
      </c>
      <c r="C2667" s="8" t="str">
        <f>IFERROR(_xlfn.XLOOKUP(TRIM(B2667),Lookup!$B$2:$B$1000,Lookup!$C$2:$C$1000),"")</f>
        <v>Equity - Thematic (Growth/Domestic)</v>
      </c>
      <c r="D2667" s="8" t="str">
        <f>IFERROR(INDEX('nav master'!$C:$C, MATCH(B2667, 'nav master'!$B:$B, 0)), "")</f>
        <v>ULIF 073 17/01/24 RIF 110</v>
      </c>
      <c r="E2667" s="8">
        <v>11.790699999999999</v>
      </c>
      <c r="F2667" s="9">
        <v>46184</v>
      </c>
    </row>
    <row r="2668" spans="1:6" ht="75" x14ac:dyDescent="0.25">
      <c r="A2668" s="8" t="s">
        <v>63</v>
      </c>
      <c r="B2668" s="8" t="s">
        <v>72</v>
      </c>
      <c r="C2668" s="8" t="str">
        <f>IFERROR(_xlfn.XLOOKUP(TRIM(B2668),Lookup!$B$2:$B$1000,Lookup!$C$2:$C$1000),"")</f>
        <v>Equity - Thematic (Growth/Domestic)</v>
      </c>
      <c r="D2668" s="8" t="str">
        <f>IFERROR(INDEX('nav master'!$C:$C, MATCH(B2668, 'nav master'!$B:$B, 0)), "")</f>
        <v>ULIF 073 17/01/24 RIF 110</v>
      </c>
      <c r="E2668" s="8">
        <v>12.065</v>
      </c>
      <c r="F2668" s="9">
        <v>46185</v>
      </c>
    </row>
    <row r="2669" spans="1:6" ht="75" x14ac:dyDescent="0.25">
      <c r="A2669" s="8" t="s">
        <v>63</v>
      </c>
      <c r="B2669" s="8" t="s">
        <v>72</v>
      </c>
      <c r="C2669" s="8" t="str">
        <f>IFERROR(_xlfn.XLOOKUP(TRIM(B2669),Lookup!$B$2:$B$1000,Lookup!$C$2:$C$1000),"")</f>
        <v>Equity - Thematic (Growth/Domestic)</v>
      </c>
      <c r="D2669" s="8" t="str">
        <f>IFERROR(INDEX('nav master'!$C:$C, MATCH(B2669, 'nav master'!$B:$B, 0)), "")</f>
        <v>ULIF 073 17/01/24 RIF 110</v>
      </c>
      <c r="E2669" s="8">
        <v>12.2652</v>
      </c>
      <c r="F2669" s="9">
        <v>46188</v>
      </c>
    </row>
    <row r="2670" spans="1:6" ht="75" x14ac:dyDescent="0.25">
      <c r="A2670" s="8" t="s">
        <v>63</v>
      </c>
      <c r="B2670" s="8" t="s">
        <v>72</v>
      </c>
      <c r="C2670" s="8" t="str">
        <f>IFERROR(_xlfn.XLOOKUP(TRIM(B2670),Lookup!$B$2:$B$1000,Lookup!$C$2:$C$1000),"")</f>
        <v>Equity - Thematic (Growth/Domestic)</v>
      </c>
      <c r="D2670" s="8" t="str">
        <f>IFERROR(INDEX('nav master'!$C:$C, MATCH(B2670, 'nav master'!$B:$B, 0)), "")</f>
        <v>ULIF 073 17/01/24 RIF 110</v>
      </c>
      <c r="E2670" s="8">
        <v>12.2926</v>
      </c>
      <c r="F2670" s="9">
        <v>46189</v>
      </c>
    </row>
    <row r="2671" spans="1:6" ht="75" x14ac:dyDescent="0.25">
      <c r="A2671" s="8" t="s">
        <v>63</v>
      </c>
      <c r="B2671" s="8" t="s">
        <v>72</v>
      </c>
      <c r="C2671" s="8" t="str">
        <f>IFERROR(_xlfn.XLOOKUP(TRIM(B2671),Lookup!$B$2:$B$1000,Lookup!$C$2:$C$1000),"")</f>
        <v>Equity - Thematic (Growth/Domestic)</v>
      </c>
      <c r="D2671" s="8" t="str">
        <f>IFERROR(INDEX('nav master'!$C:$C, MATCH(B2671, 'nav master'!$B:$B, 0)), "")</f>
        <v>ULIF 073 17/01/24 RIF 110</v>
      </c>
      <c r="E2671" s="8">
        <v>12.363799999999999</v>
      </c>
      <c r="F2671" s="9">
        <v>46190</v>
      </c>
    </row>
    <row r="2672" spans="1:6" ht="75" x14ac:dyDescent="0.25">
      <c r="A2672" s="8" t="s">
        <v>63</v>
      </c>
      <c r="B2672" s="8" t="s">
        <v>72</v>
      </c>
      <c r="C2672" s="8" t="str">
        <f>IFERROR(_xlfn.XLOOKUP(TRIM(B2672),Lookup!$B$2:$B$1000,Lookup!$C$2:$C$1000),"")</f>
        <v>Equity - Thematic (Growth/Domestic)</v>
      </c>
      <c r="D2672" s="8" t="str">
        <f>IFERROR(INDEX('nav master'!$C:$C, MATCH(B2672, 'nav master'!$B:$B, 0)), "")</f>
        <v>ULIF 073 17/01/24 RIF 110</v>
      </c>
      <c r="E2672" s="8">
        <v>12.407299999999999</v>
      </c>
      <c r="F2672" s="9">
        <v>46191</v>
      </c>
    </row>
    <row r="2673" spans="1:6" ht="75" x14ac:dyDescent="0.25">
      <c r="A2673" s="8" t="s">
        <v>63</v>
      </c>
      <c r="B2673" s="8" t="s">
        <v>72</v>
      </c>
      <c r="C2673" s="8" t="str">
        <f>IFERROR(_xlfn.XLOOKUP(TRIM(B2673),Lookup!$B$2:$B$1000,Lookup!$C$2:$C$1000),"")</f>
        <v>Equity - Thematic (Growth/Domestic)</v>
      </c>
      <c r="D2673" s="8" t="str">
        <f>IFERROR(INDEX('nav master'!$C:$C, MATCH(B2673, 'nav master'!$B:$B, 0)), "")</f>
        <v>ULIF 073 17/01/24 RIF 110</v>
      </c>
      <c r="E2673" s="8">
        <v>12.4038</v>
      </c>
      <c r="F2673" s="9">
        <v>46192</v>
      </c>
    </row>
    <row r="2674" spans="1:6" ht="75" x14ac:dyDescent="0.25">
      <c r="A2674" s="8" t="s">
        <v>63</v>
      </c>
      <c r="B2674" s="8" t="s">
        <v>72</v>
      </c>
      <c r="C2674" s="8" t="str">
        <f>IFERROR(_xlfn.XLOOKUP(TRIM(B2674),Lookup!$B$2:$B$1000,Lookup!$C$2:$C$1000),"")</f>
        <v>Equity - Thematic (Growth/Domestic)</v>
      </c>
      <c r="D2674" s="8" t="str">
        <f>IFERROR(INDEX('nav master'!$C:$C, MATCH(B2674, 'nav master'!$B:$B, 0)), "")</f>
        <v>ULIF 073 17/01/24 RIF 110</v>
      </c>
      <c r="E2674" s="8">
        <v>12.515499999999999</v>
      </c>
      <c r="F2674" s="9">
        <v>46195</v>
      </c>
    </row>
    <row r="2675" spans="1:6" ht="75" x14ac:dyDescent="0.25">
      <c r="A2675" s="8" t="s">
        <v>63</v>
      </c>
      <c r="B2675" s="8" t="s">
        <v>72</v>
      </c>
      <c r="C2675" s="8" t="str">
        <f>IFERROR(_xlfn.XLOOKUP(TRIM(B2675),Lookup!$B$2:$B$1000,Lookup!$C$2:$C$1000),"")</f>
        <v>Equity - Thematic (Growth/Domestic)</v>
      </c>
      <c r="D2675" s="8" t="str">
        <f>IFERROR(INDEX('nav master'!$C:$C, MATCH(B2675, 'nav master'!$B:$B, 0)), "")</f>
        <v>ULIF 073 17/01/24 RIF 110</v>
      </c>
      <c r="E2675" s="8">
        <v>12.458500000000001</v>
      </c>
      <c r="F2675" s="9">
        <v>46196</v>
      </c>
    </row>
    <row r="2676" spans="1:6" ht="75" x14ac:dyDescent="0.25">
      <c r="A2676" s="8" t="s">
        <v>63</v>
      </c>
      <c r="B2676" s="8" t="s">
        <v>72</v>
      </c>
      <c r="C2676" s="8" t="str">
        <f>IFERROR(_xlfn.XLOOKUP(TRIM(B2676),Lookup!$B$2:$B$1000,Lookup!$C$2:$C$1000),"")</f>
        <v>Equity - Thematic (Growth/Domestic)</v>
      </c>
      <c r="D2676" s="8" t="str">
        <f>IFERROR(INDEX('nav master'!$C:$C, MATCH(B2676, 'nav master'!$B:$B, 0)), "")</f>
        <v>ULIF 073 17/01/24 RIF 110</v>
      </c>
      <c r="E2676" s="8">
        <v>12.485799999999999</v>
      </c>
      <c r="F2676" s="9">
        <v>46197</v>
      </c>
    </row>
    <row r="2677" spans="1:6" ht="75" x14ac:dyDescent="0.25">
      <c r="A2677" s="8" t="s">
        <v>63</v>
      </c>
      <c r="B2677" s="8" t="s">
        <v>72</v>
      </c>
      <c r="C2677" s="8" t="str">
        <f>IFERROR(_xlfn.XLOOKUP(TRIM(B2677),Lookup!$B$2:$B$1000,Lookup!$C$2:$C$1000),"")</f>
        <v>Equity - Thematic (Growth/Domestic)</v>
      </c>
      <c r="D2677" s="8" t="str">
        <f>IFERROR(INDEX('nav master'!$C:$C, MATCH(B2677, 'nav master'!$B:$B, 0)), "")</f>
        <v>ULIF 073 17/01/24 RIF 110</v>
      </c>
      <c r="E2677" s="8">
        <v>12.466100000000001</v>
      </c>
      <c r="F2677" s="9">
        <v>46198</v>
      </c>
    </row>
    <row r="2678" spans="1:6" ht="75" x14ac:dyDescent="0.25">
      <c r="A2678" s="8" t="s">
        <v>63</v>
      </c>
      <c r="B2678" s="8" t="s">
        <v>72</v>
      </c>
      <c r="C2678" s="8" t="str">
        <f>IFERROR(_xlfn.XLOOKUP(TRIM(B2678),Lookup!$B$2:$B$1000,Lookup!$C$2:$C$1000),"")</f>
        <v>Equity - Thematic (Growth/Domestic)</v>
      </c>
      <c r="D2678" s="8" t="str">
        <f>IFERROR(INDEX('nav master'!$C:$C, MATCH(B2678, 'nav master'!$B:$B, 0)), "")</f>
        <v>ULIF 073 17/01/24 RIF 110</v>
      </c>
      <c r="E2678" s="8">
        <v>12.4139</v>
      </c>
      <c r="F2678" s="9">
        <v>46202</v>
      </c>
    </row>
    <row r="2679" spans="1:6" ht="75" x14ac:dyDescent="0.25">
      <c r="A2679" s="8" t="s">
        <v>63</v>
      </c>
      <c r="B2679" s="8" t="s">
        <v>72</v>
      </c>
      <c r="C2679" s="8" t="str">
        <f>IFERROR(_xlfn.XLOOKUP(TRIM(B2679),Lookup!$B$2:$B$1000,Lookup!$C$2:$C$1000),"")</f>
        <v>Equity - Thematic (Growth/Domestic)</v>
      </c>
      <c r="D2679" s="8" t="str">
        <f>IFERROR(INDEX('nav master'!$C:$C, MATCH(B2679, 'nav master'!$B:$B, 0)), "")</f>
        <v>ULIF 073 17/01/24 RIF 110</v>
      </c>
      <c r="E2679" s="8">
        <v>12.448499999999999</v>
      </c>
      <c r="F2679" s="9">
        <v>46203</v>
      </c>
    </row>
    <row r="2680" spans="1:6" ht="75" x14ac:dyDescent="0.25">
      <c r="A2680" s="8" t="s">
        <v>63</v>
      </c>
      <c r="B2680" s="8" t="s">
        <v>72</v>
      </c>
      <c r="C2680" s="8" t="str">
        <f>IFERROR(_xlfn.XLOOKUP(TRIM(B2680),Lookup!$B$2:$B$1000,Lookup!$C$2:$C$1000),"")</f>
        <v>Equity - Thematic (Growth/Domestic)</v>
      </c>
      <c r="D2680" s="8" t="str">
        <f>IFERROR(INDEX('nav master'!$C:$C, MATCH(B2680, 'nav master'!$B:$B, 0)), "")</f>
        <v>ULIF 073 17/01/24 RIF 110</v>
      </c>
      <c r="E2680" s="8">
        <v>12.553000000000001</v>
      </c>
      <c r="F2680" s="9">
        <v>46204</v>
      </c>
    </row>
    <row r="2681" spans="1:6" ht="75" x14ac:dyDescent="0.25">
      <c r="A2681" s="8" t="s">
        <v>63</v>
      </c>
      <c r="B2681" s="8" t="s">
        <v>72</v>
      </c>
      <c r="C2681" s="8" t="str">
        <f>IFERROR(_xlfn.XLOOKUP(TRIM(B2681),Lookup!$B$2:$B$1000,Lookup!$C$2:$C$1000),"")</f>
        <v>Equity - Thematic (Growth/Domestic)</v>
      </c>
      <c r="D2681" s="8" t="str">
        <f>IFERROR(INDEX('nav master'!$C:$C, MATCH(B2681, 'nav master'!$B:$B, 0)), "")</f>
        <v>ULIF 073 17/01/24 RIF 110</v>
      </c>
      <c r="E2681" s="8">
        <v>12.5954</v>
      </c>
      <c r="F2681" s="9">
        <v>46205</v>
      </c>
    </row>
    <row r="2682" spans="1:6" ht="75" x14ac:dyDescent="0.25">
      <c r="A2682" s="8" t="s">
        <v>63</v>
      </c>
      <c r="B2682" s="8" t="s">
        <v>72</v>
      </c>
      <c r="C2682" s="8" t="str">
        <f>IFERROR(_xlfn.XLOOKUP(TRIM(B2682),Lookup!$B$2:$B$1000,Lookup!$C$2:$C$1000),"")</f>
        <v>Equity - Thematic (Growth/Domestic)</v>
      </c>
      <c r="D2682" s="8" t="str">
        <f>IFERROR(INDEX('nav master'!$C:$C, MATCH(B2682, 'nav master'!$B:$B, 0)), "")</f>
        <v>ULIF 073 17/01/24 RIF 110</v>
      </c>
      <c r="E2682" s="8">
        <v>12.527100000000001</v>
      </c>
      <c r="F2682" s="9">
        <v>46206</v>
      </c>
    </row>
    <row r="2683" spans="1:6" ht="75" x14ac:dyDescent="0.25">
      <c r="A2683" s="8" t="s">
        <v>63</v>
      </c>
      <c r="B2683" s="8" t="s">
        <v>72</v>
      </c>
      <c r="C2683" s="8" t="str">
        <f>IFERROR(_xlfn.XLOOKUP(TRIM(B2683),Lookup!$B$2:$B$1000,Lookup!$C$2:$C$1000),"")</f>
        <v>Equity - Thematic (Growth/Domestic)</v>
      </c>
      <c r="D2683" s="8" t="str">
        <f>IFERROR(INDEX('nav master'!$C:$C, MATCH(B2683, 'nav master'!$B:$B, 0)), "")</f>
        <v>ULIF 073 17/01/24 RIF 110</v>
      </c>
      <c r="E2683" s="8">
        <v>12.5997</v>
      </c>
      <c r="F2683" s="9">
        <v>46209</v>
      </c>
    </row>
    <row r="2684" spans="1:6" ht="75" x14ac:dyDescent="0.25">
      <c r="A2684" s="8" t="s">
        <v>63</v>
      </c>
      <c r="B2684" s="8" t="s">
        <v>72</v>
      </c>
      <c r="C2684" s="8" t="str">
        <f>IFERROR(_xlfn.XLOOKUP(TRIM(B2684),Lookup!$B$2:$B$1000,Lookup!$C$2:$C$1000),"")</f>
        <v>Equity - Thematic (Growth/Domestic)</v>
      </c>
      <c r="D2684" s="8" t="str">
        <f>IFERROR(INDEX('nav master'!$C:$C, MATCH(B2684, 'nav master'!$B:$B, 0)), "")</f>
        <v>ULIF 073 17/01/24 RIF 110</v>
      </c>
      <c r="E2684" s="8">
        <v>12.5817</v>
      </c>
      <c r="F2684" s="9">
        <v>46210</v>
      </c>
    </row>
    <row r="2685" spans="1:6" ht="75" x14ac:dyDescent="0.25">
      <c r="A2685" s="8" t="s">
        <v>63</v>
      </c>
      <c r="B2685" s="8" t="s">
        <v>72</v>
      </c>
      <c r="C2685" s="8" t="str">
        <f>IFERROR(_xlfn.XLOOKUP(TRIM(B2685),Lookup!$B$2:$B$1000,Lookup!$C$2:$C$1000),"")</f>
        <v>Equity - Thematic (Growth/Domestic)</v>
      </c>
      <c r="D2685" s="8" t="str">
        <f>IFERROR(INDEX('nav master'!$C:$C, MATCH(B2685, 'nav master'!$B:$B, 0)), "")</f>
        <v>ULIF 073 17/01/24 RIF 110</v>
      </c>
      <c r="E2685" s="8">
        <v>12.4091</v>
      </c>
      <c r="F2685" s="9">
        <v>46211</v>
      </c>
    </row>
    <row r="2686" spans="1:6" ht="75" x14ac:dyDescent="0.25">
      <c r="A2686" s="8" t="s">
        <v>63</v>
      </c>
      <c r="B2686" s="8" t="s">
        <v>72</v>
      </c>
      <c r="C2686" s="8" t="str">
        <f>IFERROR(_xlfn.XLOOKUP(TRIM(B2686),Lookup!$B$2:$B$1000,Lookup!$C$2:$C$1000),"")</f>
        <v>Equity - Thematic (Growth/Domestic)</v>
      </c>
      <c r="D2686" s="8" t="str">
        <f>IFERROR(INDEX('nav master'!$C:$C, MATCH(B2686, 'nav master'!$B:$B, 0)), "")</f>
        <v>ULIF 073 17/01/24 RIF 110</v>
      </c>
      <c r="E2686" s="8">
        <v>12.6127</v>
      </c>
      <c r="F2686" s="9">
        <v>46212</v>
      </c>
    </row>
    <row r="2687" spans="1:6" ht="75" x14ac:dyDescent="0.25">
      <c r="A2687" s="8" t="s">
        <v>63</v>
      </c>
      <c r="B2687" s="8" t="s">
        <v>72</v>
      </c>
      <c r="C2687" s="8" t="str">
        <f>IFERROR(_xlfn.XLOOKUP(TRIM(B2687),Lookup!$B$2:$B$1000,Lookup!$C$2:$C$1000),"")</f>
        <v>Equity - Thematic (Growth/Domestic)</v>
      </c>
      <c r="D2687" s="8" t="str">
        <f>IFERROR(INDEX('nav master'!$C:$C, MATCH(B2687, 'nav master'!$B:$B, 0)), "")</f>
        <v>ULIF 073 17/01/24 RIF 110</v>
      </c>
      <c r="E2687" s="8">
        <v>12.7463</v>
      </c>
      <c r="F2687" s="9">
        <v>46213</v>
      </c>
    </row>
    <row r="2688" spans="1:6" ht="75" x14ac:dyDescent="0.25">
      <c r="A2688" s="8" t="s">
        <v>63</v>
      </c>
      <c r="B2688" s="8" t="s">
        <v>72</v>
      </c>
      <c r="C2688" s="8" t="str">
        <f>IFERROR(_xlfn.XLOOKUP(TRIM(B2688),Lookup!$B$2:$B$1000,Lookup!$C$2:$C$1000),"")</f>
        <v>Equity - Thematic (Growth/Domestic)</v>
      </c>
      <c r="D2688" s="8" t="str">
        <f>IFERROR(INDEX('nav master'!$C:$C, MATCH(B2688, 'nav master'!$B:$B, 0)), "")</f>
        <v>ULIF 073 17/01/24 RIF 110</v>
      </c>
      <c r="E2688" s="8">
        <v>12.733700000000001</v>
      </c>
      <c r="F2688" s="9">
        <v>46216</v>
      </c>
    </row>
    <row r="2689" spans="1:6" ht="75" x14ac:dyDescent="0.25">
      <c r="A2689" s="8" t="s">
        <v>63</v>
      </c>
      <c r="B2689" s="8" t="s">
        <v>72</v>
      </c>
      <c r="C2689" s="8" t="str">
        <f>IFERROR(_xlfn.XLOOKUP(TRIM(B2689),Lookup!$B$2:$B$1000,Lookup!$C$2:$C$1000),"")</f>
        <v>Equity - Thematic (Growth/Domestic)</v>
      </c>
      <c r="D2689" s="8" t="str">
        <f>IFERROR(INDEX('nav master'!$C:$C, MATCH(B2689, 'nav master'!$B:$B, 0)), "")</f>
        <v>ULIF 073 17/01/24 RIF 110</v>
      </c>
      <c r="E2689" s="8">
        <v>12.636200000000001</v>
      </c>
      <c r="F2689" s="9">
        <v>46217</v>
      </c>
    </row>
    <row r="2690" spans="1:6" ht="75" x14ac:dyDescent="0.25">
      <c r="A2690" s="8" t="s">
        <v>63</v>
      </c>
      <c r="B2690" s="8" t="s">
        <v>72</v>
      </c>
      <c r="C2690" s="8" t="str">
        <f>IFERROR(_xlfn.XLOOKUP(TRIM(B2690),Lookup!$B$2:$B$1000,Lookup!$C$2:$C$1000),"")</f>
        <v>Equity - Thematic (Growth/Domestic)</v>
      </c>
      <c r="D2690" s="8" t="str">
        <f>IFERROR(INDEX('nav master'!$C:$C, MATCH(B2690, 'nav master'!$B:$B, 0)), "")</f>
        <v>ULIF 073 17/01/24 RIF 110</v>
      </c>
      <c r="E2690" s="8">
        <v>12.709</v>
      </c>
      <c r="F2690" s="9">
        <v>46218</v>
      </c>
    </row>
    <row r="2691" spans="1:6" ht="75" x14ac:dyDescent="0.25">
      <c r="A2691" s="8" t="s">
        <v>63</v>
      </c>
      <c r="B2691" s="8" t="s">
        <v>72</v>
      </c>
      <c r="C2691" s="8" t="str">
        <f>IFERROR(_xlfn.XLOOKUP(TRIM(B2691),Lookup!$B$2:$B$1000,Lookup!$C$2:$C$1000),"")</f>
        <v>Equity - Thematic (Growth/Domestic)</v>
      </c>
      <c r="D2691" s="8" t="str">
        <f>IFERROR(INDEX('nav master'!$C:$C, MATCH(B2691, 'nav master'!$B:$B, 0)), "")</f>
        <v>ULIF 073 17/01/24 RIF 110</v>
      </c>
      <c r="E2691" s="8">
        <v>12.6873</v>
      </c>
      <c r="F2691" s="9">
        <v>46219</v>
      </c>
    </row>
    <row r="2692" spans="1:6" ht="75" x14ac:dyDescent="0.25">
      <c r="A2692" s="8" t="s">
        <v>63</v>
      </c>
      <c r="B2692" s="8" t="s">
        <v>72</v>
      </c>
      <c r="C2692" s="8" t="str">
        <f>IFERROR(_xlfn.XLOOKUP(TRIM(B2692),Lookup!$B$2:$B$1000,Lookup!$C$2:$C$1000),"")</f>
        <v>Equity - Thematic (Growth/Domestic)</v>
      </c>
      <c r="D2692" s="8" t="str">
        <f>IFERROR(INDEX('nav master'!$C:$C, MATCH(B2692, 'nav master'!$B:$B, 0)), "")</f>
        <v>ULIF 073 17/01/24 RIF 110</v>
      </c>
      <c r="E2692" s="8">
        <v>12.6191</v>
      </c>
      <c r="F2692" s="9">
        <v>46220</v>
      </c>
    </row>
    <row r="2693" spans="1:6" ht="75" x14ac:dyDescent="0.25">
      <c r="A2693" s="8" t="s">
        <v>63</v>
      </c>
      <c r="B2693" s="8" t="s">
        <v>72</v>
      </c>
      <c r="C2693" s="8" t="str">
        <f>IFERROR(_xlfn.XLOOKUP(TRIM(B2693),Lookup!$B$2:$B$1000,Lookup!$C$2:$C$1000),"")</f>
        <v>Equity - Thematic (Growth/Domestic)</v>
      </c>
      <c r="D2693" s="8" t="str">
        <f>IFERROR(INDEX('nav master'!$C:$C, MATCH(B2693, 'nav master'!$B:$B, 0)), "")</f>
        <v>ULIF 073 17/01/24 RIF 110</v>
      </c>
      <c r="E2693" s="8">
        <v>12.6599</v>
      </c>
      <c r="F2693" s="9">
        <v>46223</v>
      </c>
    </row>
    <row r="2694" spans="1:6" ht="75" x14ac:dyDescent="0.25">
      <c r="A2694" s="8" t="s">
        <v>63</v>
      </c>
      <c r="B2694" s="8" t="s">
        <v>72</v>
      </c>
      <c r="C2694" s="8" t="str">
        <f>IFERROR(_xlfn.XLOOKUP(TRIM(B2694),Lookup!$B$2:$B$1000,Lookup!$C$2:$C$1000),"")</f>
        <v>Equity - Thematic (Growth/Domestic)</v>
      </c>
      <c r="D2694" s="8" t="str">
        <f>IFERROR(INDEX('nav master'!$C:$C, MATCH(B2694, 'nav master'!$B:$B, 0)), "")</f>
        <v>ULIF 073 17/01/24 RIF 110</v>
      </c>
      <c r="E2694" s="8">
        <v>12.7156</v>
      </c>
      <c r="F2694" s="9">
        <v>46224</v>
      </c>
    </row>
    <row r="2695" spans="1:6" ht="75" x14ac:dyDescent="0.25">
      <c r="A2695" s="8" t="s">
        <v>63</v>
      </c>
      <c r="B2695" s="8" t="s">
        <v>72</v>
      </c>
      <c r="C2695" s="8" t="str">
        <f>IFERROR(_xlfn.XLOOKUP(TRIM(B2695),Lookup!$B$2:$B$1000,Lookup!$C$2:$C$1000),"")</f>
        <v>Equity - Thematic (Growth/Domestic)</v>
      </c>
      <c r="D2695" s="8" t="str">
        <f>IFERROR(INDEX('nav master'!$C:$C, MATCH(B2695, 'nav master'!$B:$B, 0)), "")</f>
        <v>ULIF 073 17/01/24 RIF 110</v>
      </c>
      <c r="E2695" s="8">
        <v>12.5794</v>
      </c>
      <c r="F2695" s="9">
        <v>46225</v>
      </c>
    </row>
    <row r="2696" spans="1:6" ht="75" x14ac:dyDescent="0.25">
      <c r="A2696" s="8" t="s">
        <v>63</v>
      </c>
      <c r="B2696" s="8" t="s">
        <v>72</v>
      </c>
      <c r="C2696" s="8" t="str">
        <f>IFERROR(_xlfn.XLOOKUP(TRIM(B2696),Lookup!$B$2:$B$1000,Lookup!$C$2:$C$1000),"")</f>
        <v>Equity - Thematic (Growth/Domestic)</v>
      </c>
      <c r="D2696" s="8" t="str">
        <f>IFERROR(INDEX('nav master'!$C:$C, MATCH(B2696, 'nav master'!$B:$B, 0)), "")</f>
        <v>ULIF 073 17/01/24 RIF 110</v>
      </c>
      <c r="E2696" s="8">
        <v>12.4846</v>
      </c>
      <c r="F2696" s="9">
        <v>46226</v>
      </c>
    </row>
    <row r="2697" spans="1:6" ht="75" x14ac:dyDescent="0.25">
      <c r="A2697" s="8" t="s">
        <v>63</v>
      </c>
      <c r="B2697" s="8" t="s">
        <v>72</v>
      </c>
      <c r="C2697" s="8" t="str">
        <f>IFERROR(_xlfn.XLOOKUP(TRIM(B2697),Lookup!$B$2:$B$1000,Lookup!$C$2:$C$1000),"")</f>
        <v>Equity - Thematic (Growth/Domestic)</v>
      </c>
      <c r="D2697" s="8" t="str">
        <f>IFERROR(INDEX('nav master'!$C:$C, MATCH(B2697, 'nav master'!$B:$B, 0)), "")</f>
        <v>ULIF 073 17/01/24 RIF 110</v>
      </c>
      <c r="E2697" s="8">
        <v>12.393000000000001</v>
      </c>
      <c r="F2697" s="9">
        <v>46227</v>
      </c>
    </row>
    <row r="2698" spans="1:6" ht="75" x14ac:dyDescent="0.25">
      <c r="A2698" s="8" t="s">
        <v>63</v>
      </c>
      <c r="B2698" s="8" t="s">
        <v>72</v>
      </c>
      <c r="C2698" s="8" t="str">
        <f>IFERROR(_xlfn.XLOOKUP(TRIM(B2698),Lookup!$B$2:$B$1000,Lookup!$C$2:$C$1000),"")</f>
        <v>Equity - Thematic (Growth/Domestic)</v>
      </c>
      <c r="D2698" s="8" t="str">
        <f>IFERROR(INDEX('nav master'!$C:$C, MATCH(B2698, 'nav master'!$B:$B, 0)), "")</f>
        <v>ULIF 073 17/01/24 RIF 110</v>
      </c>
      <c r="E2698" s="8">
        <v>12.55</v>
      </c>
      <c r="F2698" s="9">
        <v>46230</v>
      </c>
    </row>
    <row r="2699" spans="1:6" ht="75" x14ac:dyDescent="0.25">
      <c r="A2699" s="8" t="s">
        <v>63</v>
      </c>
      <c r="B2699" s="8" t="s">
        <v>72</v>
      </c>
      <c r="C2699" s="8" t="str">
        <f>IFERROR(_xlfn.XLOOKUP(TRIM(B2699),Lookup!$B$2:$B$1000,Lookup!$C$2:$C$1000),"")</f>
        <v>Equity - Thematic (Growth/Domestic)</v>
      </c>
      <c r="D2699" s="8" t="str">
        <f>IFERROR(INDEX('nav master'!$C:$C, MATCH(B2699, 'nav master'!$B:$B, 0)), "")</f>
        <v>ULIF 073 17/01/24 RIF 110</v>
      </c>
      <c r="E2699" s="8">
        <v>12.568300000000001</v>
      </c>
      <c r="F2699" s="9">
        <v>46231</v>
      </c>
    </row>
    <row r="2700" spans="1:6" ht="75" x14ac:dyDescent="0.25">
      <c r="A2700" s="8" t="s">
        <v>63</v>
      </c>
      <c r="B2700" s="8" t="s">
        <v>72</v>
      </c>
      <c r="C2700" s="8" t="str">
        <f>IFERROR(_xlfn.XLOOKUP(TRIM(B2700),Lookup!$B$2:$B$1000,Lookup!$C$2:$C$1000),"")</f>
        <v>Equity - Thematic (Growth/Domestic)</v>
      </c>
      <c r="D2700" s="8" t="str">
        <f>IFERROR(INDEX('nav master'!$C:$C, MATCH(B2700, 'nav master'!$B:$B, 0)), "")</f>
        <v>ULIF 073 17/01/24 RIF 110</v>
      </c>
      <c r="E2700" s="8">
        <v>12.694599999999999</v>
      </c>
      <c r="F2700" s="9">
        <v>46232</v>
      </c>
    </row>
    <row r="2701" spans="1:6" ht="75" x14ac:dyDescent="0.25">
      <c r="A2701" s="8" t="s">
        <v>63</v>
      </c>
      <c r="B2701" s="8" t="s">
        <v>72</v>
      </c>
      <c r="C2701" s="8" t="str">
        <f>IFERROR(_xlfn.XLOOKUP(TRIM(B2701),Lookup!$B$2:$B$1000,Lookup!$C$2:$C$1000),"")</f>
        <v>Equity - Thematic (Growth/Domestic)</v>
      </c>
      <c r="D2701" s="8" t="str">
        <f>IFERROR(INDEX('nav master'!$C:$C, MATCH(B2701, 'nav master'!$B:$B, 0)), "")</f>
        <v>ULIF 073 17/01/24 RIF 110</v>
      </c>
      <c r="E2701" s="8">
        <v>12.7165</v>
      </c>
      <c r="F2701" s="9">
        <v>46233</v>
      </c>
    </row>
    <row r="2702" spans="1:6" ht="75" x14ac:dyDescent="0.25">
      <c r="A2702" s="8" t="s">
        <v>63</v>
      </c>
      <c r="B2702" s="8" t="s">
        <v>72</v>
      </c>
      <c r="C2702" s="8" t="str">
        <f>IFERROR(_xlfn.XLOOKUP(TRIM(B2702),Lookup!$B$2:$B$1000,Lookup!$C$2:$C$1000),"")</f>
        <v>Equity - Thematic (Growth/Domestic)</v>
      </c>
      <c r="D2702" s="8" t="str">
        <f>IFERROR(INDEX('nav master'!$C:$C, MATCH(B2702, 'nav master'!$B:$B, 0)), "")</f>
        <v>ULIF 073 17/01/24 RIF 110</v>
      </c>
      <c r="E2702" s="8">
        <v>12.841900000000001</v>
      </c>
      <c r="F2702" s="9">
        <v>46234</v>
      </c>
    </row>
    <row r="2703" spans="1:6" ht="60" x14ac:dyDescent="0.25">
      <c r="A2703" s="8" t="s">
        <v>63</v>
      </c>
      <c r="B2703" s="8" t="s">
        <v>5799</v>
      </c>
      <c r="C2703" s="8" t="str">
        <f>IFERROR(_xlfn.XLOOKUP(TRIM(B2703),Lookup!$B$2:$B$1000,Lookup!$C$2:$C$1000),"")</f>
        <v/>
      </c>
      <c r="D2703" s="8" t="str">
        <f>IFERROR(INDEX('nav master'!$C:$C, MATCH(B2703, 'nav master'!$B:$B, 0)), "")</f>
        <v/>
      </c>
      <c r="E2703" s="8">
        <v>10</v>
      </c>
      <c r="F2703" s="9">
        <v>45922</v>
      </c>
    </row>
    <row r="2704" spans="1:6" ht="60" x14ac:dyDescent="0.25">
      <c r="A2704" s="8" t="s">
        <v>63</v>
      </c>
      <c r="B2704" s="8" t="s">
        <v>5799</v>
      </c>
      <c r="C2704" s="8" t="str">
        <f>IFERROR(_xlfn.XLOOKUP(TRIM(B2704),Lookup!$B$2:$B$1000,Lookup!$C$2:$C$1000),"")</f>
        <v/>
      </c>
      <c r="D2704" s="8" t="str">
        <f>IFERROR(INDEX('nav master'!$C:$C, MATCH(B2704, 'nav master'!$B:$B, 0)), "")</f>
        <v/>
      </c>
      <c r="E2704" s="8">
        <v>9.9667999999999992</v>
      </c>
      <c r="F2704" s="9">
        <v>45923</v>
      </c>
    </row>
    <row r="2705" spans="1:6" ht="60" x14ac:dyDescent="0.25">
      <c r="A2705" s="8" t="s">
        <v>63</v>
      </c>
      <c r="B2705" s="8" t="s">
        <v>5799</v>
      </c>
      <c r="C2705" s="8" t="str">
        <f>IFERROR(_xlfn.XLOOKUP(TRIM(B2705),Lookup!$B$2:$B$1000,Lookup!$C$2:$C$1000),"")</f>
        <v/>
      </c>
      <c r="D2705" s="8" t="str">
        <f>IFERROR(INDEX('nav master'!$C:$C, MATCH(B2705, 'nav master'!$B:$B, 0)), "")</f>
        <v/>
      </c>
      <c r="E2705" s="8">
        <v>9.9057999999999993</v>
      </c>
      <c r="F2705" s="9">
        <v>45924</v>
      </c>
    </row>
    <row r="2706" spans="1:6" ht="60" x14ac:dyDescent="0.25">
      <c r="A2706" s="8" t="s">
        <v>63</v>
      </c>
      <c r="B2706" s="8" t="s">
        <v>5799</v>
      </c>
      <c r="C2706" s="8" t="str">
        <f>IFERROR(_xlfn.XLOOKUP(TRIM(B2706),Lookup!$B$2:$B$1000,Lookup!$C$2:$C$1000),"")</f>
        <v/>
      </c>
      <c r="D2706" s="8" t="str">
        <f>IFERROR(INDEX('nav master'!$C:$C, MATCH(B2706, 'nav master'!$B:$B, 0)), "")</f>
        <v/>
      </c>
      <c r="E2706" s="8">
        <v>9.8397000000000006</v>
      </c>
      <c r="F2706" s="9">
        <v>45925</v>
      </c>
    </row>
    <row r="2707" spans="1:6" ht="60" x14ac:dyDescent="0.25">
      <c r="A2707" s="8" t="s">
        <v>63</v>
      </c>
      <c r="B2707" s="8" t="s">
        <v>5799</v>
      </c>
      <c r="C2707" s="8" t="str">
        <f>IFERROR(_xlfn.XLOOKUP(TRIM(B2707),Lookup!$B$2:$B$1000,Lookup!$C$2:$C$1000),"")</f>
        <v/>
      </c>
      <c r="D2707" s="8" t="str">
        <f>IFERROR(INDEX('nav master'!$C:$C, MATCH(B2707, 'nav master'!$B:$B, 0)), "")</f>
        <v/>
      </c>
      <c r="E2707" s="8">
        <v>9.7253000000000007</v>
      </c>
      <c r="F2707" s="9">
        <v>45926</v>
      </c>
    </row>
    <row r="2708" spans="1:6" ht="60" x14ac:dyDescent="0.25">
      <c r="A2708" s="8" t="s">
        <v>63</v>
      </c>
      <c r="B2708" s="8" t="s">
        <v>5799</v>
      </c>
      <c r="C2708" s="8" t="str">
        <f>IFERROR(_xlfn.XLOOKUP(TRIM(B2708),Lookup!$B$2:$B$1000,Lookup!$C$2:$C$1000),"")</f>
        <v/>
      </c>
      <c r="D2708" s="8" t="str">
        <f>IFERROR(INDEX('nav master'!$C:$C, MATCH(B2708, 'nav master'!$B:$B, 0)), "")</f>
        <v/>
      </c>
      <c r="E2708" s="8">
        <v>9.7218</v>
      </c>
      <c r="F2708" s="9">
        <v>45929</v>
      </c>
    </row>
    <row r="2709" spans="1:6" ht="60" x14ac:dyDescent="0.25">
      <c r="A2709" s="8" t="s">
        <v>63</v>
      </c>
      <c r="B2709" s="8" t="s">
        <v>5799</v>
      </c>
      <c r="C2709" s="8" t="str">
        <f>IFERROR(_xlfn.XLOOKUP(TRIM(B2709),Lookup!$B$2:$B$1000,Lookup!$C$2:$C$1000),"")</f>
        <v/>
      </c>
      <c r="D2709" s="8" t="str">
        <f>IFERROR(INDEX('nav master'!$C:$C, MATCH(B2709, 'nav master'!$B:$B, 0)), "")</f>
        <v/>
      </c>
      <c r="E2709" s="8">
        <v>9.7049000000000003</v>
      </c>
      <c r="F2709" s="9">
        <v>45930</v>
      </c>
    </row>
    <row r="2710" spans="1:6" ht="60" x14ac:dyDescent="0.25">
      <c r="A2710" s="8" t="s">
        <v>63</v>
      </c>
      <c r="B2710" s="8" t="s">
        <v>5799</v>
      </c>
      <c r="C2710" s="8" t="str">
        <f>IFERROR(_xlfn.XLOOKUP(TRIM(B2710),Lookup!$B$2:$B$1000,Lookup!$C$2:$C$1000),"")</f>
        <v/>
      </c>
      <c r="D2710" s="8" t="str">
        <f>IFERROR(INDEX('nav master'!$C:$C, MATCH(B2710, 'nav master'!$B:$B, 0)), "")</f>
        <v/>
      </c>
      <c r="E2710" s="8">
        <v>9.7844999999999995</v>
      </c>
      <c r="F2710" s="9">
        <v>45931</v>
      </c>
    </row>
    <row r="2711" spans="1:6" ht="60" x14ac:dyDescent="0.25">
      <c r="A2711" s="8" t="s">
        <v>63</v>
      </c>
      <c r="B2711" s="8" t="s">
        <v>5799</v>
      </c>
      <c r="C2711" s="8" t="str">
        <f>IFERROR(_xlfn.XLOOKUP(TRIM(B2711),Lookup!$B$2:$B$1000,Lookup!$C$2:$C$1000),"")</f>
        <v/>
      </c>
      <c r="D2711" s="8" t="str">
        <f>IFERROR(INDEX('nav master'!$C:$C, MATCH(B2711, 'nav master'!$B:$B, 0)), "")</f>
        <v/>
      </c>
      <c r="E2711" s="8">
        <v>9.8201000000000001</v>
      </c>
      <c r="F2711" s="9">
        <v>45933</v>
      </c>
    </row>
    <row r="2712" spans="1:6" ht="60" x14ac:dyDescent="0.25">
      <c r="A2712" s="8" t="s">
        <v>63</v>
      </c>
      <c r="B2712" s="8" t="s">
        <v>5799</v>
      </c>
      <c r="C2712" s="8" t="str">
        <f>IFERROR(_xlfn.XLOOKUP(TRIM(B2712),Lookup!$B$2:$B$1000,Lookup!$C$2:$C$1000),"")</f>
        <v/>
      </c>
      <c r="D2712" s="8" t="str">
        <f>IFERROR(INDEX('nav master'!$C:$C, MATCH(B2712, 'nav master'!$B:$B, 0)), "")</f>
        <v/>
      </c>
      <c r="E2712" s="8">
        <v>9.8473000000000006</v>
      </c>
      <c r="F2712" s="9">
        <v>45936</v>
      </c>
    </row>
    <row r="2713" spans="1:6" ht="60" x14ac:dyDescent="0.25">
      <c r="A2713" s="8" t="s">
        <v>63</v>
      </c>
      <c r="B2713" s="8" t="s">
        <v>5799</v>
      </c>
      <c r="C2713" s="8" t="str">
        <f>IFERROR(_xlfn.XLOOKUP(TRIM(B2713),Lookup!$B$2:$B$1000,Lookup!$C$2:$C$1000),"")</f>
        <v/>
      </c>
      <c r="D2713" s="8" t="str">
        <f>IFERROR(INDEX('nav master'!$C:$C, MATCH(B2713, 'nav master'!$B:$B, 0)), "")</f>
        <v/>
      </c>
      <c r="E2713" s="8">
        <v>9.8561999999999994</v>
      </c>
      <c r="F2713" s="9">
        <v>45937</v>
      </c>
    </row>
    <row r="2714" spans="1:6" ht="60" x14ac:dyDescent="0.25">
      <c r="A2714" s="8" t="s">
        <v>63</v>
      </c>
      <c r="B2714" s="8" t="s">
        <v>5799</v>
      </c>
      <c r="C2714" s="8" t="str">
        <f>IFERROR(_xlfn.XLOOKUP(TRIM(B2714),Lookup!$B$2:$B$1000,Lookup!$C$2:$C$1000),"")</f>
        <v/>
      </c>
      <c r="D2714" s="8" t="str">
        <f>IFERROR(INDEX('nav master'!$C:$C, MATCH(B2714, 'nav master'!$B:$B, 0)), "")</f>
        <v/>
      </c>
      <c r="E2714" s="8">
        <v>9.8163</v>
      </c>
      <c r="F2714" s="9">
        <v>45938</v>
      </c>
    </row>
    <row r="2715" spans="1:6" ht="60" x14ac:dyDescent="0.25">
      <c r="A2715" s="8" t="s">
        <v>63</v>
      </c>
      <c r="B2715" s="8" t="s">
        <v>5799</v>
      </c>
      <c r="C2715" s="8" t="str">
        <f>IFERROR(_xlfn.XLOOKUP(TRIM(B2715),Lookup!$B$2:$B$1000,Lookup!$C$2:$C$1000),"")</f>
        <v/>
      </c>
      <c r="D2715" s="8" t="str">
        <f>IFERROR(INDEX('nav master'!$C:$C, MATCH(B2715, 'nav master'!$B:$B, 0)), "")</f>
        <v/>
      </c>
      <c r="E2715" s="8">
        <v>9.8718000000000004</v>
      </c>
      <c r="F2715" s="9">
        <v>45939</v>
      </c>
    </row>
    <row r="2716" spans="1:6" ht="60" x14ac:dyDescent="0.25">
      <c r="A2716" s="8" t="s">
        <v>63</v>
      </c>
      <c r="B2716" s="8" t="s">
        <v>5799</v>
      </c>
      <c r="C2716" s="8" t="str">
        <f>IFERROR(_xlfn.XLOOKUP(TRIM(B2716),Lookup!$B$2:$B$1000,Lookup!$C$2:$C$1000),"")</f>
        <v/>
      </c>
      <c r="D2716" s="8" t="str">
        <f>IFERROR(INDEX('nav master'!$C:$C, MATCH(B2716, 'nav master'!$B:$B, 0)), "")</f>
        <v/>
      </c>
      <c r="E2716" s="8">
        <v>9.9184999999999999</v>
      </c>
      <c r="F2716" s="9">
        <v>45940</v>
      </c>
    </row>
    <row r="2717" spans="1:6" ht="60" x14ac:dyDescent="0.25">
      <c r="A2717" s="8" t="s">
        <v>63</v>
      </c>
      <c r="B2717" s="8" t="s">
        <v>5799</v>
      </c>
      <c r="C2717" s="8" t="str">
        <f>IFERROR(_xlfn.XLOOKUP(TRIM(B2717),Lookup!$B$2:$B$1000,Lookup!$C$2:$C$1000),"")</f>
        <v/>
      </c>
      <c r="D2717" s="8" t="str">
        <f>IFERROR(INDEX('nav master'!$C:$C, MATCH(B2717, 'nav master'!$B:$B, 0)), "")</f>
        <v/>
      </c>
      <c r="E2717" s="8">
        <v>9.8752999999999993</v>
      </c>
      <c r="F2717" s="9">
        <v>45943</v>
      </c>
    </row>
    <row r="2718" spans="1:6" ht="60" x14ac:dyDescent="0.25">
      <c r="A2718" s="8" t="s">
        <v>63</v>
      </c>
      <c r="B2718" s="8" t="s">
        <v>5799</v>
      </c>
      <c r="C2718" s="8" t="str">
        <f>IFERROR(_xlfn.XLOOKUP(TRIM(B2718),Lookup!$B$2:$B$1000,Lookup!$C$2:$C$1000),"")</f>
        <v/>
      </c>
      <c r="D2718" s="8" t="str">
        <f>IFERROR(INDEX('nav master'!$C:$C, MATCH(B2718, 'nav master'!$B:$B, 0)), "")</f>
        <v/>
      </c>
      <c r="E2718" s="8">
        <v>9.8308</v>
      </c>
      <c r="F2718" s="9">
        <v>45944</v>
      </c>
    </row>
    <row r="2719" spans="1:6" ht="60" x14ac:dyDescent="0.25">
      <c r="A2719" s="8" t="s">
        <v>63</v>
      </c>
      <c r="B2719" s="8" t="s">
        <v>5799</v>
      </c>
      <c r="C2719" s="8" t="str">
        <f>IFERROR(_xlfn.XLOOKUP(TRIM(B2719),Lookup!$B$2:$B$1000,Lookup!$C$2:$C$1000),"")</f>
        <v/>
      </c>
      <c r="D2719" s="8" t="str">
        <f>IFERROR(INDEX('nav master'!$C:$C, MATCH(B2719, 'nav master'!$B:$B, 0)), "")</f>
        <v/>
      </c>
      <c r="E2719" s="8">
        <v>9.9094999999999995</v>
      </c>
      <c r="F2719" s="9">
        <v>45945</v>
      </c>
    </row>
    <row r="2720" spans="1:6" ht="60" x14ac:dyDescent="0.25">
      <c r="A2720" s="8" t="s">
        <v>63</v>
      </c>
      <c r="B2720" s="8" t="s">
        <v>5799</v>
      </c>
      <c r="C2720" s="8" t="str">
        <f>IFERROR(_xlfn.XLOOKUP(TRIM(B2720),Lookup!$B$2:$B$1000,Lookup!$C$2:$C$1000),"")</f>
        <v/>
      </c>
      <c r="D2720" s="8" t="str">
        <f>IFERROR(INDEX('nav master'!$C:$C, MATCH(B2720, 'nav master'!$B:$B, 0)), "")</f>
        <v/>
      </c>
      <c r="E2720" s="8">
        <v>9.9945000000000004</v>
      </c>
      <c r="F2720" s="9">
        <v>45946</v>
      </c>
    </row>
    <row r="2721" spans="1:6" ht="60" x14ac:dyDescent="0.25">
      <c r="A2721" s="8" t="s">
        <v>63</v>
      </c>
      <c r="B2721" s="8" t="s">
        <v>5799</v>
      </c>
      <c r="C2721" s="8" t="str">
        <f>IFERROR(_xlfn.XLOOKUP(TRIM(B2721),Lookup!$B$2:$B$1000,Lookup!$C$2:$C$1000),"")</f>
        <v/>
      </c>
      <c r="D2721" s="8" t="str">
        <f>IFERROR(INDEX('nav master'!$C:$C, MATCH(B2721, 'nav master'!$B:$B, 0)), "")</f>
        <v/>
      </c>
      <c r="E2721" s="8">
        <v>10.021800000000001</v>
      </c>
      <c r="F2721" s="9">
        <v>45947</v>
      </c>
    </row>
    <row r="2722" spans="1:6" ht="60" x14ac:dyDescent="0.25">
      <c r="A2722" s="8" t="s">
        <v>63</v>
      </c>
      <c r="B2722" s="8" t="s">
        <v>5799</v>
      </c>
      <c r="C2722" s="8" t="str">
        <f>IFERROR(_xlfn.XLOOKUP(TRIM(B2722),Lookup!$B$2:$B$1000,Lookup!$C$2:$C$1000),"")</f>
        <v/>
      </c>
      <c r="D2722" s="8" t="str">
        <f>IFERROR(INDEX('nav master'!$C:$C, MATCH(B2722, 'nav master'!$B:$B, 0)), "")</f>
        <v/>
      </c>
      <c r="E2722" s="8">
        <v>10.0665</v>
      </c>
      <c r="F2722" s="9">
        <v>45950</v>
      </c>
    </row>
    <row r="2723" spans="1:6" ht="60" x14ac:dyDescent="0.25">
      <c r="A2723" s="8" t="s">
        <v>63</v>
      </c>
      <c r="B2723" s="8" t="s">
        <v>5799</v>
      </c>
      <c r="C2723" s="8" t="str">
        <f>IFERROR(_xlfn.XLOOKUP(TRIM(B2723),Lookup!$B$2:$B$1000,Lookup!$C$2:$C$1000),"")</f>
        <v/>
      </c>
      <c r="D2723" s="8" t="str">
        <f>IFERROR(INDEX('nav master'!$C:$C, MATCH(B2723, 'nav master'!$B:$B, 0)), "")</f>
        <v/>
      </c>
      <c r="E2723" s="8">
        <v>10.0779</v>
      </c>
      <c r="F2723" s="9">
        <v>45953</v>
      </c>
    </row>
    <row r="2724" spans="1:6" ht="60" x14ac:dyDescent="0.25">
      <c r="A2724" s="8" t="s">
        <v>63</v>
      </c>
      <c r="B2724" s="8" t="s">
        <v>5799</v>
      </c>
      <c r="C2724" s="8" t="str">
        <f>IFERROR(_xlfn.XLOOKUP(TRIM(B2724),Lookup!$B$2:$B$1000,Lookup!$C$2:$C$1000),"")</f>
        <v/>
      </c>
      <c r="D2724" s="8" t="str">
        <f>IFERROR(INDEX('nav master'!$C:$C, MATCH(B2724, 'nav master'!$B:$B, 0)), "")</f>
        <v/>
      </c>
      <c r="E2724" s="8">
        <v>10.0489</v>
      </c>
      <c r="F2724" s="9">
        <v>45954</v>
      </c>
    </row>
    <row r="2725" spans="1:6" ht="60" x14ac:dyDescent="0.25">
      <c r="A2725" s="8" t="s">
        <v>63</v>
      </c>
      <c r="B2725" s="8" t="s">
        <v>5799</v>
      </c>
      <c r="C2725" s="8" t="str">
        <f>IFERROR(_xlfn.XLOOKUP(TRIM(B2725),Lookup!$B$2:$B$1000,Lookup!$C$2:$C$1000),"")</f>
        <v/>
      </c>
      <c r="D2725" s="8" t="str">
        <f>IFERROR(INDEX('nav master'!$C:$C, MATCH(B2725, 'nav master'!$B:$B, 0)), "")</f>
        <v/>
      </c>
      <c r="E2725" s="8">
        <v>10.127599999999999</v>
      </c>
      <c r="F2725" s="9">
        <v>45957</v>
      </c>
    </row>
    <row r="2726" spans="1:6" ht="60" x14ac:dyDescent="0.25">
      <c r="A2726" s="8" t="s">
        <v>63</v>
      </c>
      <c r="B2726" s="8" t="s">
        <v>5799</v>
      </c>
      <c r="C2726" s="8" t="str">
        <f>IFERROR(_xlfn.XLOOKUP(TRIM(B2726),Lookup!$B$2:$B$1000,Lookup!$C$2:$C$1000),"")</f>
        <v/>
      </c>
      <c r="D2726" s="8" t="str">
        <f>IFERROR(INDEX('nav master'!$C:$C, MATCH(B2726, 'nav master'!$B:$B, 0)), "")</f>
        <v/>
      </c>
      <c r="E2726" s="8">
        <v>10.1036</v>
      </c>
      <c r="F2726" s="9">
        <v>45958</v>
      </c>
    </row>
    <row r="2727" spans="1:6" ht="60" x14ac:dyDescent="0.25">
      <c r="A2727" s="8" t="s">
        <v>63</v>
      </c>
      <c r="B2727" s="8" t="s">
        <v>5799</v>
      </c>
      <c r="C2727" s="8" t="str">
        <f>IFERROR(_xlfn.XLOOKUP(TRIM(B2727),Lookup!$B$2:$B$1000,Lookup!$C$2:$C$1000),"")</f>
        <v/>
      </c>
      <c r="D2727" s="8" t="str">
        <f>IFERROR(INDEX('nav master'!$C:$C, MATCH(B2727, 'nav master'!$B:$B, 0)), "")</f>
        <v/>
      </c>
      <c r="E2727" s="8">
        <v>10.1912</v>
      </c>
      <c r="F2727" s="9">
        <v>45959</v>
      </c>
    </row>
    <row r="2728" spans="1:6" ht="60" x14ac:dyDescent="0.25">
      <c r="A2728" s="8" t="s">
        <v>63</v>
      </c>
      <c r="B2728" s="8" t="s">
        <v>5799</v>
      </c>
      <c r="C2728" s="8" t="str">
        <f>IFERROR(_xlfn.XLOOKUP(TRIM(B2728),Lookup!$B$2:$B$1000,Lookup!$C$2:$C$1000),"")</f>
        <v/>
      </c>
      <c r="D2728" s="8" t="str">
        <f>IFERROR(INDEX('nav master'!$C:$C, MATCH(B2728, 'nav master'!$B:$B, 0)), "")</f>
        <v/>
      </c>
      <c r="E2728" s="8">
        <v>10.139099999999999</v>
      </c>
      <c r="F2728" s="9">
        <v>45960</v>
      </c>
    </row>
    <row r="2729" spans="1:6" ht="60" x14ac:dyDescent="0.25">
      <c r="A2729" s="8" t="s">
        <v>63</v>
      </c>
      <c r="B2729" s="8" t="s">
        <v>5799</v>
      </c>
      <c r="C2729" s="8" t="str">
        <f>IFERROR(_xlfn.XLOOKUP(TRIM(B2729),Lookup!$B$2:$B$1000,Lookup!$C$2:$C$1000),"")</f>
        <v/>
      </c>
      <c r="D2729" s="8" t="str">
        <f>IFERROR(INDEX('nav master'!$C:$C, MATCH(B2729, 'nav master'!$B:$B, 0)), "")</f>
        <v/>
      </c>
      <c r="E2729" s="8">
        <v>10.086600000000001</v>
      </c>
      <c r="F2729" s="9">
        <v>45961</v>
      </c>
    </row>
    <row r="2730" spans="1:6" ht="60" x14ac:dyDescent="0.25">
      <c r="A2730" s="8" t="s">
        <v>63</v>
      </c>
      <c r="B2730" s="8" t="s">
        <v>5799</v>
      </c>
      <c r="C2730" s="8" t="str">
        <f>IFERROR(_xlfn.XLOOKUP(TRIM(B2730),Lookup!$B$2:$B$1000,Lookup!$C$2:$C$1000),"")</f>
        <v/>
      </c>
      <c r="D2730" s="8" t="str">
        <f>IFERROR(INDEX('nav master'!$C:$C, MATCH(B2730, 'nav master'!$B:$B, 0)), "")</f>
        <v/>
      </c>
      <c r="E2730" s="8">
        <v>10.113</v>
      </c>
      <c r="F2730" s="9">
        <v>45964</v>
      </c>
    </row>
    <row r="2731" spans="1:6" ht="60" x14ac:dyDescent="0.25">
      <c r="A2731" s="8" t="s">
        <v>63</v>
      </c>
      <c r="B2731" s="8" t="s">
        <v>5799</v>
      </c>
      <c r="C2731" s="8" t="str">
        <f>IFERROR(_xlfn.XLOOKUP(TRIM(B2731),Lookup!$B$2:$B$1000,Lookup!$C$2:$C$1000),"")</f>
        <v/>
      </c>
      <c r="D2731" s="8" t="str">
        <f>IFERROR(INDEX('nav master'!$C:$C, MATCH(B2731, 'nav master'!$B:$B, 0)), "")</f>
        <v/>
      </c>
      <c r="E2731" s="8">
        <v>10.059900000000001</v>
      </c>
      <c r="F2731" s="9">
        <v>45965</v>
      </c>
    </row>
    <row r="2732" spans="1:6" ht="60" x14ac:dyDescent="0.25">
      <c r="A2732" s="8" t="s">
        <v>63</v>
      </c>
      <c r="B2732" s="8" t="s">
        <v>5799</v>
      </c>
      <c r="C2732" s="8" t="str">
        <f>IFERROR(_xlfn.XLOOKUP(TRIM(B2732),Lookup!$B$2:$B$1000,Lookup!$C$2:$C$1000),"")</f>
        <v/>
      </c>
      <c r="D2732" s="8" t="str">
        <f>IFERROR(INDEX('nav master'!$C:$C, MATCH(B2732, 'nav master'!$B:$B, 0)), "")</f>
        <v/>
      </c>
      <c r="E2732" s="8">
        <v>9.9934999999999992</v>
      </c>
      <c r="F2732" s="9">
        <v>45967</v>
      </c>
    </row>
    <row r="2733" spans="1:6" ht="60" x14ac:dyDescent="0.25">
      <c r="A2733" s="8" t="s">
        <v>63</v>
      </c>
      <c r="B2733" s="8" t="s">
        <v>5799</v>
      </c>
      <c r="C2733" s="8" t="str">
        <f>IFERROR(_xlfn.XLOOKUP(TRIM(B2733),Lookup!$B$2:$B$1000,Lookup!$C$2:$C$1000),"")</f>
        <v/>
      </c>
      <c r="D2733" s="8" t="str">
        <f>IFERROR(INDEX('nav master'!$C:$C, MATCH(B2733, 'nav master'!$B:$B, 0)), "")</f>
        <v/>
      </c>
      <c r="E2733" s="8">
        <v>9.9702000000000002</v>
      </c>
      <c r="F2733" s="9">
        <v>45968</v>
      </c>
    </row>
    <row r="2734" spans="1:6" ht="60" x14ac:dyDescent="0.25">
      <c r="A2734" s="8" t="s">
        <v>63</v>
      </c>
      <c r="B2734" s="8" t="s">
        <v>5799</v>
      </c>
      <c r="C2734" s="8" t="str">
        <f>IFERROR(_xlfn.XLOOKUP(TRIM(B2734),Lookup!$B$2:$B$1000,Lookup!$C$2:$C$1000),"")</f>
        <v/>
      </c>
      <c r="D2734" s="8" t="str">
        <f>IFERROR(INDEX('nav master'!$C:$C, MATCH(B2734, 'nav master'!$B:$B, 0)), "")</f>
        <v/>
      </c>
      <c r="E2734" s="8">
        <v>9.9934999999999992</v>
      </c>
      <c r="F2734" s="9">
        <v>45971</v>
      </c>
    </row>
    <row r="2735" spans="1:6" ht="60" x14ac:dyDescent="0.25">
      <c r="A2735" s="8" t="s">
        <v>63</v>
      </c>
      <c r="B2735" s="8" t="s">
        <v>5799</v>
      </c>
      <c r="C2735" s="8" t="str">
        <f>IFERROR(_xlfn.XLOOKUP(TRIM(B2735),Lookup!$B$2:$B$1000,Lookup!$C$2:$C$1000),"")</f>
        <v/>
      </c>
      <c r="D2735" s="8" t="str">
        <f>IFERROR(INDEX('nav master'!$C:$C, MATCH(B2735, 'nav master'!$B:$B, 0)), "")</f>
        <v/>
      </c>
      <c r="E2735" s="8">
        <v>10.061999999999999</v>
      </c>
      <c r="F2735" s="9">
        <v>45972</v>
      </c>
    </row>
    <row r="2736" spans="1:6" ht="60" x14ac:dyDescent="0.25">
      <c r="A2736" s="8" t="s">
        <v>63</v>
      </c>
      <c r="B2736" s="8" t="s">
        <v>5799</v>
      </c>
      <c r="C2736" s="8" t="str">
        <f>IFERROR(_xlfn.XLOOKUP(TRIM(B2736),Lookup!$B$2:$B$1000,Lookup!$C$2:$C$1000),"")</f>
        <v/>
      </c>
      <c r="D2736" s="8" t="str">
        <f>IFERROR(INDEX('nav master'!$C:$C, MATCH(B2736, 'nav master'!$B:$B, 0)), "")</f>
        <v/>
      </c>
      <c r="E2736" s="8">
        <v>10.133900000000001</v>
      </c>
      <c r="F2736" s="9">
        <v>45973</v>
      </c>
    </row>
    <row r="2737" spans="1:6" ht="60" x14ac:dyDescent="0.25">
      <c r="A2737" s="8" t="s">
        <v>63</v>
      </c>
      <c r="B2737" s="8" t="s">
        <v>5799</v>
      </c>
      <c r="C2737" s="8" t="str">
        <f>IFERROR(_xlfn.XLOOKUP(TRIM(B2737),Lookup!$B$2:$B$1000,Lookup!$C$2:$C$1000),"")</f>
        <v/>
      </c>
      <c r="D2737" s="8" t="str">
        <f>IFERROR(INDEX('nav master'!$C:$C, MATCH(B2737, 'nav master'!$B:$B, 0)), "")</f>
        <v/>
      </c>
      <c r="E2737" s="8">
        <v>10.1218</v>
      </c>
      <c r="F2737" s="9">
        <v>45974</v>
      </c>
    </row>
    <row r="2738" spans="1:6" ht="60" x14ac:dyDescent="0.25">
      <c r="A2738" s="8" t="s">
        <v>63</v>
      </c>
      <c r="B2738" s="8" t="s">
        <v>5799</v>
      </c>
      <c r="C2738" s="8" t="str">
        <f>IFERROR(_xlfn.XLOOKUP(TRIM(B2738),Lookup!$B$2:$B$1000,Lookup!$C$2:$C$1000),"")</f>
        <v/>
      </c>
      <c r="D2738" s="8" t="str">
        <f>IFERROR(INDEX('nav master'!$C:$C, MATCH(B2738, 'nav master'!$B:$B, 0)), "")</f>
        <v/>
      </c>
      <c r="E2738" s="8">
        <v>10.122</v>
      </c>
      <c r="F2738" s="9">
        <v>45975</v>
      </c>
    </row>
    <row r="2739" spans="1:6" ht="60" x14ac:dyDescent="0.25">
      <c r="A2739" s="8" t="s">
        <v>63</v>
      </c>
      <c r="B2739" s="8" t="s">
        <v>5799</v>
      </c>
      <c r="C2739" s="8" t="str">
        <f>IFERROR(_xlfn.XLOOKUP(TRIM(B2739),Lookup!$B$2:$B$1000,Lookup!$C$2:$C$1000),"")</f>
        <v/>
      </c>
      <c r="D2739" s="8" t="str">
        <f>IFERROR(INDEX('nav master'!$C:$C, MATCH(B2739, 'nav master'!$B:$B, 0)), "")</f>
        <v/>
      </c>
      <c r="E2739" s="8">
        <v>10.158799999999999</v>
      </c>
      <c r="F2739" s="9">
        <v>45978</v>
      </c>
    </row>
    <row r="2740" spans="1:6" ht="60" x14ac:dyDescent="0.25">
      <c r="A2740" s="8" t="s">
        <v>63</v>
      </c>
      <c r="B2740" s="8" t="s">
        <v>5799</v>
      </c>
      <c r="C2740" s="8" t="str">
        <f>IFERROR(_xlfn.XLOOKUP(TRIM(B2740),Lookup!$B$2:$B$1000,Lookup!$C$2:$C$1000),"")</f>
        <v/>
      </c>
      <c r="D2740" s="8" t="str">
        <f>IFERROR(INDEX('nav master'!$C:$C, MATCH(B2740, 'nav master'!$B:$B, 0)), "")</f>
        <v/>
      </c>
      <c r="E2740" s="8">
        <v>10.1165</v>
      </c>
      <c r="F2740" s="9">
        <v>45979</v>
      </c>
    </row>
    <row r="2741" spans="1:6" ht="60" x14ac:dyDescent="0.25">
      <c r="A2741" s="8" t="s">
        <v>63</v>
      </c>
      <c r="B2741" s="8" t="s">
        <v>5799</v>
      </c>
      <c r="C2741" s="8" t="str">
        <f>IFERROR(_xlfn.XLOOKUP(TRIM(B2741),Lookup!$B$2:$B$1000,Lookup!$C$2:$C$1000),"")</f>
        <v/>
      </c>
      <c r="D2741" s="8" t="str">
        <f>IFERROR(INDEX('nav master'!$C:$C, MATCH(B2741, 'nav master'!$B:$B, 0)), "")</f>
        <v/>
      </c>
      <c r="E2741" s="8">
        <v>10.149100000000001</v>
      </c>
      <c r="F2741" s="9">
        <v>45980</v>
      </c>
    </row>
    <row r="2742" spans="1:6" ht="60" x14ac:dyDescent="0.25">
      <c r="A2742" s="8" t="s">
        <v>63</v>
      </c>
      <c r="B2742" s="8" t="s">
        <v>5799</v>
      </c>
      <c r="C2742" s="8" t="str">
        <f>IFERROR(_xlfn.XLOOKUP(TRIM(B2742),Lookup!$B$2:$B$1000,Lookup!$C$2:$C$1000),"")</f>
        <v/>
      </c>
      <c r="D2742" s="8" t="str">
        <f>IFERROR(INDEX('nav master'!$C:$C, MATCH(B2742, 'nav master'!$B:$B, 0)), "")</f>
        <v/>
      </c>
      <c r="E2742" s="8">
        <v>10.157299999999999</v>
      </c>
      <c r="F2742" s="9">
        <v>45981</v>
      </c>
    </row>
    <row r="2743" spans="1:6" ht="60" x14ac:dyDescent="0.25">
      <c r="A2743" s="8" t="s">
        <v>63</v>
      </c>
      <c r="B2743" s="8" t="s">
        <v>5799</v>
      </c>
      <c r="C2743" s="8" t="str">
        <f>IFERROR(_xlfn.XLOOKUP(TRIM(B2743),Lookup!$B$2:$B$1000,Lookup!$C$2:$C$1000),"")</f>
        <v/>
      </c>
      <c r="D2743" s="8" t="str">
        <f>IFERROR(INDEX('nav master'!$C:$C, MATCH(B2743, 'nav master'!$B:$B, 0)), "")</f>
        <v/>
      </c>
      <c r="E2743" s="8">
        <v>10.112299999999999</v>
      </c>
      <c r="F2743" s="9">
        <v>45982</v>
      </c>
    </row>
    <row r="2744" spans="1:6" ht="60" x14ac:dyDescent="0.25">
      <c r="A2744" s="8" t="s">
        <v>63</v>
      </c>
      <c r="B2744" s="8" t="s">
        <v>5799</v>
      </c>
      <c r="C2744" s="8" t="str">
        <f>IFERROR(_xlfn.XLOOKUP(TRIM(B2744),Lookup!$B$2:$B$1000,Lookup!$C$2:$C$1000),"")</f>
        <v/>
      </c>
      <c r="D2744" s="8" t="str">
        <f>IFERROR(INDEX('nav master'!$C:$C, MATCH(B2744, 'nav master'!$B:$B, 0)), "")</f>
        <v/>
      </c>
      <c r="E2744" s="8">
        <v>10.048299999999999</v>
      </c>
      <c r="F2744" s="9">
        <v>45985</v>
      </c>
    </row>
    <row r="2745" spans="1:6" ht="60" x14ac:dyDescent="0.25">
      <c r="A2745" s="8" t="s">
        <v>63</v>
      </c>
      <c r="B2745" s="8" t="s">
        <v>5799</v>
      </c>
      <c r="C2745" s="8" t="str">
        <f>IFERROR(_xlfn.XLOOKUP(TRIM(B2745),Lookup!$B$2:$B$1000,Lookup!$C$2:$C$1000),"")</f>
        <v/>
      </c>
      <c r="D2745" s="8" t="str">
        <f>IFERROR(INDEX('nav master'!$C:$C, MATCH(B2745, 'nav master'!$B:$B, 0)), "")</f>
        <v/>
      </c>
      <c r="E2745" s="8">
        <v>10.026999999999999</v>
      </c>
      <c r="F2745" s="9">
        <v>45986</v>
      </c>
    </row>
    <row r="2746" spans="1:6" ht="60" x14ac:dyDescent="0.25">
      <c r="A2746" s="8" t="s">
        <v>63</v>
      </c>
      <c r="B2746" s="8" t="s">
        <v>5799</v>
      </c>
      <c r="C2746" s="8" t="str">
        <f>IFERROR(_xlfn.XLOOKUP(TRIM(B2746),Lookup!$B$2:$B$1000,Lookup!$C$2:$C$1000),"")</f>
        <v/>
      </c>
      <c r="D2746" s="8" t="str">
        <f>IFERROR(INDEX('nav master'!$C:$C, MATCH(B2746, 'nav master'!$B:$B, 0)), "")</f>
        <v/>
      </c>
      <c r="E2746" s="8">
        <v>10.1417</v>
      </c>
      <c r="F2746" s="9">
        <v>45987</v>
      </c>
    </row>
    <row r="2747" spans="1:6" ht="60" x14ac:dyDescent="0.25">
      <c r="A2747" s="8" t="s">
        <v>63</v>
      </c>
      <c r="B2747" s="8" t="s">
        <v>5799</v>
      </c>
      <c r="C2747" s="8" t="str">
        <f>IFERROR(_xlfn.XLOOKUP(TRIM(B2747),Lookup!$B$2:$B$1000,Lookup!$C$2:$C$1000),"")</f>
        <v/>
      </c>
      <c r="D2747" s="8" t="str">
        <f>IFERROR(INDEX('nav master'!$C:$C, MATCH(B2747, 'nav master'!$B:$B, 0)), "")</f>
        <v/>
      </c>
      <c r="E2747" s="8">
        <v>10.1188</v>
      </c>
      <c r="F2747" s="9">
        <v>45988</v>
      </c>
    </row>
    <row r="2748" spans="1:6" ht="60" x14ac:dyDescent="0.25">
      <c r="A2748" s="8" t="s">
        <v>63</v>
      </c>
      <c r="B2748" s="8" t="s">
        <v>5799</v>
      </c>
      <c r="C2748" s="8" t="str">
        <f>IFERROR(_xlfn.XLOOKUP(TRIM(B2748),Lookup!$B$2:$B$1000,Lookup!$C$2:$C$1000),"")</f>
        <v/>
      </c>
      <c r="D2748" s="8" t="str">
        <f>IFERROR(INDEX('nav master'!$C:$C, MATCH(B2748, 'nav master'!$B:$B, 0)), "")</f>
        <v/>
      </c>
      <c r="E2748" s="8">
        <v>10.1227</v>
      </c>
      <c r="F2748" s="9">
        <v>45989</v>
      </c>
    </row>
    <row r="2749" spans="1:6" ht="60" x14ac:dyDescent="0.25">
      <c r="A2749" s="8" t="s">
        <v>63</v>
      </c>
      <c r="B2749" s="8" t="s">
        <v>5799</v>
      </c>
      <c r="C2749" s="8" t="str">
        <f>IFERROR(_xlfn.XLOOKUP(TRIM(B2749),Lookup!$B$2:$B$1000,Lookup!$C$2:$C$1000),"")</f>
        <v/>
      </c>
      <c r="D2749" s="8" t="str">
        <f>IFERROR(INDEX('nav master'!$C:$C, MATCH(B2749, 'nav master'!$B:$B, 0)), "")</f>
        <v/>
      </c>
      <c r="E2749" s="8">
        <v>10.101699999999999</v>
      </c>
      <c r="F2749" s="9">
        <v>45992</v>
      </c>
    </row>
    <row r="2750" spans="1:6" ht="60" x14ac:dyDescent="0.25">
      <c r="A2750" s="8" t="s">
        <v>63</v>
      </c>
      <c r="B2750" s="8" t="s">
        <v>5799</v>
      </c>
      <c r="C2750" s="8" t="str">
        <f>IFERROR(_xlfn.XLOOKUP(TRIM(B2750),Lookup!$B$2:$B$1000,Lookup!$C$2:$C$1000),"")</f>
        <v/>
      </c>
      <c r="D2750" s="8" t="str">
        <f>IFERROR(INDEX('nav master'!$C:$C, MATCH(B2750, 'nav master'!$B:$B, 0)), "")</f>
        <v/>
      </c>
      <c r="E2750" s="8">
        <v>10.067600000000001</v>
      </c>
      <c r="F2750" s="9">
        <v>45993</v>
      </c>
    </row>
    <row r="2751" spans="1:6" ht="60" x14ac:dyDescent="0.25">
      <c r="A2751" s="8" t="s">
        <v>63</v>
      </c>
      <c r="B2751" s="8" t="s">
        <v>5799</v>
      </c>
      <c r="C2751" s="8" t="str">
        <f>IFERROR(_xlfn.XLOOKUP(TRIM(B2751),Lookup!$B$2:$B$1000,Lookup!$C$2:$C$1000),"")</f>
        <v/>
      </c>
      <c r="D2751" s="8" t="str">
        <f>IFERROR(INDEX('nav master'!$C:$C, MATCH(B2751, 'nav master'!$B:$B, 0)), "")</f>
        <v/>
      </c>
      <c r="E2751" s="8">
        <v>10.034000000000001</v>
      </c>
      <c r="F2751" s="9">
        <v>45994</v>
      </c>
    </row>
    <row r="2752" spans="1:6" ht="60" x14ac:dyDescent="0.25">
      <c r="A2752" s="8" t="s">
        <v>63</v>
      </c>
      <c r="B2752" s="8" t="s">
        <v>5799</v>
      </c>
      <c r="C2752" s="8" t="str">
        <f>IFERROR(_xlfn.XLOOKUP(TRIM(B2752),Lookup!$B$2:$B$1000,Lookup!$C$2:$C$1000),"")</f>
        <v/>
      </c>
      <c r="D2752" s="8" t="str">
        <f>IFERROR(INDEX('nav master'!$C:$C, MATCH(B2752, 'nav master'!$B:$B, 0)), "")</f>
        <v/>
      </c>
      <c r="E2752" s="8">
        <v>10.047800000000001</v>
      </c>
      <c r="F2752" s="9">
        <v>45995</v>
      </c>
    </row>
    <row r="2753" spans="1:6" ht="60" x14ac:dyDescent="0.25">
      <c r="A2753" s="8" t="s">
        <v>63</v>
      </c>
      <c r="B2753" s="8" t="s">
        <v>5799</v>
      </c>
      <c r="C2753" s="8" t="str">
        <f>IFERROR(_xlfn.XLOOKUP(TRIM(B2753),Lookup!$B$2:$B$1000,Lookup!$C$2:$C$1000),"")</f>
        <v/>
      </c>
      <c r="D2753" s="8" t="str">
        <f>IFERROR(INDEX('nav master'!$C:$C, MATCH(B2753, 'nav master'!$B:$B, 0)), "")</f>
        <v/>
      </c>
      <c r="E2753" s="8">
        <v>10.0764</v>
      </c>
      <c r="F2753" s="9">
        <v>45996</v>
      </c>
    </row>
    <row r="2754" spans="1:6" ht="60" x14ac:dyDescent="0.25">
      <c r="A2754" s="8" t="s">
        <v>63</v>
      </c>
      <c r="B2754" s="8" t="s">
        <v>5799</v>
      </c>
      <c r="C2754" s="8" t="str">
        <f>IFERROR(_xlfn.XLOOKUP(TRIM(B2754),Lookup!$B$2:$B$1000,Lookup!$C$2:$C$1000),"")</f>
        <v/>
      </c>
      <c r="D2754" s="8" t="str">
        <f>IFERROR(INDEX('nav master'!$C:$C, MATCH(B2754, 'nav master'!$B:$B, 0)), "")</f>
        <v/>
      </c>
      <c r="E2754" s="8">
        <v>9.9460999999999995</v>
      </c>
      <c r="F2754" s="9">
        <v>45999</v>
      </c>
    </row>
    <row r="2755" spans="1:6" ht="60" x14ac:dyDescent="0.25">
      <c r="A2755" s="8" t="s">
        <v>63</v>
      </c>
      <c r="B2755" s="8" t="s">
        <v>5799</v>
      </c>
      <c r="C2755" s="8" t="str">
        <f>IFERROR(_xlfn.XLOOKUP(TRIM(B2755),Lookup!$B$2:$B$1000,Lookup!$C$2:$C$1000),"")</f>
        <v/>
      </c>
      <c r="D2755" s="8" t="str">
        <f>IFERROR(INDEX('nav master'!$C:$C, MATCH(B2755, 'nav master'!$B:$B, 0)), "")</f>
        <v/>
      </c>
      <c r="E2755" s="8">
        <v>9.9315999999999995</v>
      </c>
      <c r="F2755" s="9">
        <v>46000</v>
      </c>
    </row>
    <row r="2756" spans="1:6" ht="60" x14ac:dyDescent="0.25">
      <c r="A2756" s="8" t="s">
        <v>63</v>
      </c>
      <c r="B2756" s="8" t="s">
        <v>5799</v>
      </c>
      <c r="C2756" s="8" t="str">
        <f>IFERROR(_xlfn.XLOOKUP(TRIM(B2756),Lookup!$B$2:$B$1000,Lookup!$C$2:$C$1000),"")</f>
        <v/>
      </c>
      <c r="D2756" s="8" t="str">
        <f>IFERROR(INDEX('nav master'!$C:$C, MATCH(B2756, 'nav master'!$B:$B, 0)), "")</f>
        <v/>
      </c>
      <c r="E2756" s="8">
        <v>9.8987999999999996</v>
      </c>
      <c r="F2756" s="9">
        <v>46001</v>
      </c>
    </row>
    <row r="2757" spans="1:6" ht="60" x14ac:dyDescent="0.25">
      <c r="A2757" s="8" t="s">
        <v>63</v>
      </c>
      <c r="B2757" s="8" t="s">
        <v>5799</v>
      </c>
      <c r="C2757" s="8" t="str">
        <f>IFERROR(_xlfn.XLOOKUP(TRIM(B2757),Lookup!$B$2:$B$1000,Lookup!$C$2:$C$1000),"")</f>
        <v/>
      </c>
      <c r="D2757" s="8" t="str">
        <f>IFERROR(INDEX('nav master'!$C:$C, MATCH(B2757, 'nav master'!$B:$B, 0)), "")</f>
        <v/>
      </c>
      <c r="E2757" s="8">
        <v>9.9572000000000003</v>
      </c>
      <c r="F2757" s="9">
        <v>46002</v>
      </c>
    </row>
    <row r="2758" spans="1:6" ht="60" x14ac:dyDescent="0.25">
      <c r="A2758" s="8" t="s">
        <v>63</v>
      </c>
      <c r="B2758" s="8" t="s">
        <v>5799</v>
      </c>
      <c r="C2758" s="8" t="str">
        <f>IFERROR(_xlfn.XLOOKUP(TRIM(B2758),Lookup!$B$2:$B$1000,Lookup!$C$2:$C$1000),"")</f>
        <v/>
      </c>
      <c r="D2758" s="8" t="str">
        <f>IFERROR(INDEX('nav master'!$C:$C, MATCH(B2758, 'nav master'!$B:$B, 0)), "")</f>
        <v/>
      </c>
      <c r="E2758" s="8">
        <v>10.021800000000001</v>
      </c>
      <c r="F2758" s="9">
        <v>46003</v>
      </c>
    </row>
    <row r="2759" spans="1:6" ht="60" x14ac:dyDescent="0.25">
      <c r="A2759" s="8" t="s">
        <v>63</v>
      </c>
      <c r="B2759" s="8" t="s">
        <v>5799</v>
      </c>
      <c r="C2759" s="8" t="str">
        <f>IFERROR(_xlfn.XLOOKUP(TRIM(B2759),Lookup!$B$2:$B$1000,Lookup!$C$2:$C$1000),"")</f>
        <v/>
      </c>
      <c r="D2759" s="8" t="str">
        <f>IFERROR(INDEX('nav master'!$C:$C, MATCH(B2759, 'nav master'!$B:$B, 0)), "")</f>
        <v/>
      </c>
      <c r="E2759" s="8">
        <v>10.0314</v>
      </c>
      <c r="F2759" s="9">
        <v>46006</v>
      </c>
    </row>
    <row r="2760" spans="1:6" ht="60" x14ac:dyDescent="0.25">
      <c r="A2760" s="8" t="s">
        <v>63</v>
      </c>
      <c r="B2760" s="11" t="s">
        <v>52</v>
      </c>
      <c r="C2760" s="8" t="str">
        <f>IFERROR(_xlfn.XLOOKUP(TRIM(B2760),Lookup!$B$2:$B$1000,Lookup!$C$2:$C$1000),"")</f>
        <v>Equity</v>
      </c>
      <c r="D2760" s="8" t="str">
        <f>IFERROR(INDEX('nav master'!$C:$C, MATCH(B2760, 'nav master'!$B:$B, 0)), "")</f>
        <v>ULIF 162 251125 SecLeaders 105</v>
      </c>
      <c r="E2760" s="8">
        <v>9.9774999999999991</v>
      </c>
      <c r="F2760" s="9">
        <v>46007</v>
      </c>
    </row>
    <row r="2761" spans="1:6" ht="60" x14ac:dyDescent="0.25">
      <c r="A2761" s="8" t="s">
        <v>63</v>
      </c>
      <c r="B2761" s="11" t="s">
        <v>52</v>
      </c>
      <c r="C2761" s="8" t="str">
        <f>IFERROR(_xlfn.XLOOKUP(TRIM(B2761),Lookup!$B$2:$B$1000,Lookup!$C$2:$C$1000),"")</f>
        <v>Equity</v>
      </c>
      <c r="D2761" s="8" t="str">
        <f>IFERROR(INDEX('nav master'!$C:$C, MATCH(B2761, 'nav master'!$B:$B, 0)), "")</f>
        <v>ULIF 162 251125 SecLeaders 105</v>
      </c>
      <c r="E2761" s="8">
        <v>9.9643999999999995</v>
      </c>
      <c r="F2761" s="9">
        <v>46008</v>
      </c>
    </row>
    <row r="2762" spans="1:6" ht="60" x14ac:dyDescent="0.25">
      <c r="A2762" s="8" t="s">
        <v>63</v>
      </c>
      <c r="B2762" s="11" t="s">
        <v>52</v>
      </c>
      <c r="C2762" s="8" t="str">
        <f>IFERROR(_xlfn.XLOOKUP(TRIM(B2762),Lookup!$B$2:$B$1000,Lookup!$C$2:$C$1000),"")</f>
        <v>Equity</v>
      </c>
      <c r="D2762" s="8" t="str">
        <f>IFERROR(INDEX('nav master'!$C:$C, MATCH(B2762, 'nav master'!$B:$B, 0)), "")</f>
        <v>ULIF 162 251125 SecLeaders 105</v>
      </c>
      <c r="E2762" s="8">
        <v>9.9520999999999997</v>
      </c>
      <c r="F2762" s="9">
        <v>46009</v>
      </c>
    </row>
    <row r="2763" spans="1:6" ht="60" x14ac:dyDescent="0.25">
      <c r="A2763" s="8" t="s">
        <v>63</v>
      </c>
      <c r="B2763" s="11" t="s">
        <v>52</v>
      </c>
      <c r="C2763" s="8" t="str">
        <f>IFERROR(_xlfn.XLOOKUP(TRIM(B2763),Lookup!$B$2:$B$1000,Lookup!$C$2:$C$1000),"")</f>
        <v>Equity</v>
      </c>
      <c r="D2763" s="8" t="str">
        <f>IFERROR(INDEX('nav master'!$C:$C, MATCH(B2763, 'nav master'!$B:$B, 0)), "")</f>
        <v>ULIF 162 251125 SecLeaders 105</v>
      </c>
      <c r="E2763" s="8">
        <v>10.015000000000001</v>
      </c>
      <c r="F2763" s="9">
        <v>46010</v>
      </c>
    </row>
    <row r="2764" spans="1:6" ht="60" x14ac:dyDescent="0.25">
      <c r="A2764" s="8" t="s">
        <v>63</v>
      </c>
      <c r="B2764" s="11" t="s">
        <v>52</v>
      </c>
      <c r="C2764" s="8" t="str">
        <f>IFERROR(_xlfn.XLOOKUP(TRIM(B2764),Lookup!$B$2:$B$1000,Lookup!$C$2:$C$1000),"")</f>
        <v>Equity</v>
      </c>
      <c r="D2764" s="8" t="str">
        <f>IFERROR(INDEX('nav master'!$C:$C, MATCH(B2764, 'nav master'!$B:$B, 0)), "")</f>
        <v>ULIF 162 251125 SecLeaders 105</v>
      </c>
      <c r="E2764" s="8">
        <v>10.1092</v>
      </c>
      <c r="F2764" s="9">
        <v>46013</v>
      </c>
    </row>
    <row r="2765" spans="1:6" ht="60" x14ac:dyDescent="0.25">
      <c r="A2765" s="8" t="s">
        <v>63</v>
      </c>
      <c r="B2765" s="11" t="s">
        <v>52</v>
      </c>
      <c r="C2765" s="8" t="str">
        <f>IFERROR(_xlfn.XLOOKUP(TRIM(B2765),Lookup!$B$2:$B$1000,Lookup!$C$2:$C$1000),"")</f>
        <v>Equity</v>
      </c>
      <c r="D2765" s="8" t="str">
        <f>IFERROR(INDEX('nav master'!$C:$C, MATCH(B2765, 'nav master'!$B:$B, 0)), "")</f>
        <v>ULIF 162 251125 SecLeaders 105</v>
      </c>
      <c r="E2765" s="8">
        <v>10.102399999999999</v>
      </c>
      <c r="F2765" s="9">
        <v>46014</v>
      </c>
    </row>
    <row r="2766" spans="1:6" ht="60" x14ac:dyDescent="0.25">
      <c r="A2766" s="8" t="s">
        <v>63</v>
      </c>
      <c r="B2766" s="11" t="s">
        <v>52</v>
      </c>
      <c r="C2766" s="8" t="str">
        <f>IFERROR(_xlfn.XLOOKUP(TRIM(B2766),Lookup!$B$2:$B$1000,Lookup!$C$2:$C$1000),"")</f>
        <v>Equity</v>
      </c>
      <c r="D2766" s="8" t="str">
        <f>IFERROR(INDEX('nav master'!$C:$C, MATCH(B2766, 'nav master'!$B:$B, 0)), "")</f>
        <v>ULIF 162 251125 SecLeaders 105</v>
      </c>
      <c r="E2766" s="8">
        <v>10.091799999999999</v>
      </c>
      <c r="F2766" s="9">
        <v>46015</v>
      </c>
    </row>
    <row r="2767" spans="1:6" ht="60" x14ac:dyDescent="0.25">
      <c r="A2767" s="8" t="s">
        <v>63</v>
      </c>
      <c r="B2767" s="11" t="s">
        <v>52</v>
      </c>
      <c r="C2767" s="8" t="str">
        <f>IFERROR(_xlfn.XLOOKUP(TRIM(B2767),Lookup!$B$2:$B$1000,Lookup!$C$2:$C$1000),"")</f>
        <v>Equity</v>
      </c>
      <c r="D2767" s="8" t="str">
        <f>IFERROR(INDEX('nav master'!$C:$C, MATCH(B2767, 'nav master'!$B:$B, 0)), "")</f>
        <v>ULIF 162 251125 SecLeaders 105</v>
      </c>
      <c r="E2767" s="8">
        <v>10.0753</v>
      </c>
      <c r="F2767" s="9">
        <v>46017</v>
      </c>
    </row>
    <row r="2768" spans="1:6" ht="60" x14ac:dyDescent="0.25">
      <c r="A2768" s="8" t="s">
        <v>63</v>
      </c>
      <c r="B2768" s="11" t="s">
        <v>52</v>
      </c>
      <c r="C2768" s="8" t="str">
        <f>IFERROR(_xlfn.XLOOKUP(TRIM(B2768),Lookup!$B$2:$B$1000,Lookup!$C$2:$C$1000),"")</f>
        <v>Equity</v>
      </c>
      <c r="D2768" s="8" t="str">
        <f>IFERROR(INDEX('nav master'!$C:$C, MATCH(B2768, 'nav master'!$B:$B, 0)), "")</f>
        <v>ULIF 162 251125 SecLeaders 105</v>
      </c>
      <c r="E2768" s="8">
        <v>10.0281</v>
      </c>
      <c r="F2768" s="9">
        <v>46020</v>
      </c>
    </row>
    <row r="2769" spans="1:6" ht="60" x14ac:dyDescent="0.25">
      <c r="A2769" s="8" t="s">
        <v>63</v>
      </c>
      <c r="B2769" s="11" t="s">
        <v>52</v>
      </c>
      <c r="C2769" s="8" t="str">
        <f>IFERROR(_xlfn.XLOOKUP(TRIM(B2769),Lookup!$B$2:$B$1000,Lookup!$C$2:$C$1000),"")</f>
        <v>Equity</v>
      </c>
      <c r="D2769" s="8" t="str">
        <f>IFERROR(INDEX('nav master'!$C:$C, MATCH(B2769, 'nav master'!$B:$B, 0)), "")</f>
        <v>ULIF 162 251125 SecLeaders 105</v>
      </c>
      <c r="E2769" s="8">
        <v>10.002800000000001</v>
      </c>
      <c r="F2769" s="9">
        <v>46021</v>
      </c>
    </row>
    <row r="2770" spans="1:6" ht="60" x14ac:dyDescent="0.25">
      <c r="A2770" s="8" t="s">
        <v>63</v>
      </c>
      <c r="B2770" s="11" t="s">
        <v>52</v>
      </c>
      <c r="C2770" s="8" t="str">
        <f>IFERROR(_xlfn.XLOOKUP(TRIM(B2770),Lookup!$B$2:$B$1000,Lookup!$C$2:$C$1000),"")</f>
        <v>Equity</v>
      </c>
      <c r="D2770" s="8" t="str">
        <f>IFERROR(INDEX('nav master'!$C:$C, MATCH(B2770, 'nav master'!$B:$B, 0)), "")</f>
        <v>ULIF 162 251125 SecLeaders 105</v>
      </c>
      <c r="E2770" s="8">
        <v>10.077500000000001</v>
      </c>
      <c r="F2770" s="9">
        <v>46022</v>
      </c>
    </row>
    <row r="2771" spans="1:6" ht="60" x14ac:dyDescent="0.25">
      <c r="A2771" s="8" t="s">
        <v>63</v>
      </c>
      <c r="B2771" s="11" t="s">
        <v>52</v>
      </c>
      <c r="C2771" s="8" t="str">
        <f>IFERROR(_xlfn.XLOOKUP(TRIM(B2771),Lookup!$B$2:$B$1000,Lookup!$C$2:$C$1000),"")</f>
        <v>Equity</v>
      </c>
      <c r="D2771" s="8" t="str">
        <f>IFERROR(INDEX('nav master'!$C:$C, MATCH(B2771, 'nav master'!$B:$B, 0)), "")</f>
        <v>ULIF 162 251125 SecLeaders 105</v>
      </c>
      <c r="E2771" s="8">
        <v>10.0846</v>
      </c>
      <c r="F2771" s="9">
        <v>46023</v>
      </c>
    </row>
    <row r="2772" spans="1:6" ht="60" x14ac:dyDescent="0.25">
      <c r="A2772" s="8" t="s">
        <v>63</v>
      </c>
      <c r="B2772" s="11" t="s">
        <v>52</v>
      </c>
      <c r="C2772" s="8" t="str">
        <f>IFERROR(_xlfn.XLOOKUP(TRIM(B2772),Lookup!$B$2:$B$1000,Lookup!$C$2:$C$1000),"")</f>
        <v>Equity</v>
      </c>
      <c r="D2772" s="8" t="str">
        <f>IFERROR(INDEX('nav master'!$C:$C, MATCH(B2772, 'nav master'!$B:$B, 0)), "")</f>
        <v>ULIF 162 251125 SecLeaders 105</v>
      </c>
      <c r="E2772" s="8">
        <v>10.150399999999999</v>
      </c>
      <c r="F2772" s="9">
        <v>46024</v>
      </c>
    </row>
    <row r="2773" spans="1:6" ht="60" x14ac:dyDescent="0.25">
      <c r="A2773" s="8" t="s">
        <v>63</v>
      </c>
      <c r="B2773" s="11" t="s">
        <v>52</v>
      </c>
      <c r="C2773" s="8" t="str">
        <f>IFERROR(_xlfn.XLOOKUP(TRIM(B2773),Lookup!$B$2:$B$1000,Lookup!$C$2:$C$1000),"")</f>
        <v>Equity</v>
      </c>
      <c r="D2773" s="8" t="str">
        <f>IFERROR(INDEX('nav master'!$C:$C, MATCH(B2773, 'nav master'!$B:$B, 0)), "")</f>
        <v>ULIF 162 251125 SecLeaders 105</v>
      </c>
      <c r="E2773" s="8">
        <v>10.1465</v>
      </c>
      <c r="F2773" s="9">
        <v>46027</v>
      </c>
    </row>
    <row r="2774" spans="1:6" ht="60" x14ac:dyDescent="0.25">
      <c r="A2774" s="8" t="s">
        <v>63</v>
      </c>
      <c r="B2774" s="11" t="s">
        <v>52</v>
      </c>
      <c r="C2774" s="8" t="str">
        <f>IFERROR(_xlfn.XLOOKUP(TRIM(B2774),Lookup!$B$2:$B$1000,Lookup!$C$2:$C$1000),"")</f>
        <v>Equity</v>
      </c>
      <c r="D2774" s="8" t="str">
        <f>IFERROR(INDEX('nav master'!$C:$C, MATCH(B2774, 'nav master'!$B:$B, 0)), "")</f>
        <v>ULIF 162 251125 SecLeaders 105</v>
      </c>
      <c r="E2774" s="8">
        <v>10.128</v>
      </c>
      <c r="F2774" s="9">
        <v>46028</v>
      </c>
    </row>
    <row r="2775" spans="1:6" ht="60" x14ac:dyDescent="0.25">
      <c r="A2775" s="8" t="s">
        <v>63</v>
      </c>
      <c r="B2775" s="11" t="s">
        <v>52</v>
      </c>
      <c r="C2775" s="8" t="str">
        <f>IFERROR(_xlfn.XLOOKUP(TRIM(B2775),Lookup!$B$2:$B$1000,Lookup!$C$2:$C$1000),"")</f>
        <v>Equity</v>
      </c>
      <c r="D2775" s="8" t="str">
        <f>IFERROR(INDEX('nav master'!$C:$C, MATCH(B2775, 'nav master'!$B:$B, 0)), "")</f>
        <v>ULIF 162 251125 SecLeaders 105</v>
      </c>
      <c r="E2775" s="8">
        <v>10.121</v>
      </c>
      <c r="F2775" s="9">
        <v>46029</v>
      </c>
    </row>
    <row r="2776" spans="1:6" ht="60" x14ac:dyDescent="0.25">
      <c r="A2776" s="8" t="s">
        <v>63</v>
      </c>
      <c r="B2776" s="11" t="s">
        <v>52</v>
      </c>
      <c r="C2776" s="8" t="str">
        <f>IFERROR(_xlfn.XLOOKUP(TRIM(B2776),Lookup!$B$2:$B$1000,Lookup!$C$2:$C$1000),"")</f>
        <v>Equity</v>
      </c>
      <c r="D2776" s="8" t="str">
        <f>IFERROR(INDEX('nav master'!$C:$C, MATCH(B2776, 'nav master'!$B:$B, 0)), "")</f>
        <v>ULIF 162 251125 SecLeaders 105</v>
      </c>
      <c r="E2776" s="8">
        <v>9.9931999999999999</v>
      </c>
      <c r="F2776" s="9">
        <v>46030</v>
      </c>
    </row>
    <row r="2777" spans="1:6" ht="60" x14ac:dyDescent="0.25">
      <c r="A2777" s="8" t="s">
        <v>63</v>
      </c>
      <c r="B2777" s="11" t="s">
        <v>52</v>
      </c>
      <c r="C2777" s="8" t="str">
        <f>IFERROR(_xlfn.XLOOKUP(TRIM(B2777),Lookup!$B$2:$B$1000,Lookup!$C$2:$C$1000),"")</f>
        <v>Equity</v>
      </c>
      <c r="D2777" s="8" t="str">
        <f>IFERROR(INDEX('nav master'!$C:$C, MATCH(B2777, 'nav master'!$B:$B, 0)), "")</f>
        <v>ULIF 162 251125 SecLeaders 105</v>
      </c>
      <c r="E2777" s="8">
        <v>9.9097000000000008</v>
      </c>
      <c r="F2777" s="9">
        <v>46031</v>
      </c>
    </row>
    <row r="2778" spans="1:6" ht="60" x14ac:dyDescent="0.25">
      <c r="A2778" s="8" t="s">
        <v>63</v>
      </c>
      <c r="B2778" s="11" t="s">
        <v>52</v>
      </c>
      <c r="C2778" s="8" t="str">
        <f>IFERROR(_xlfn.XLOOKUP(TRIM(B2778),Lookup!$B$2:$B$1000,Lookup!$C$2:$C$1000),"")</f>
        <v>Equity</v>
      </c>
      <c r="D2778" s="8" t="str">
        <f>IFERROR(INDEX('nav master'!$C:$C, MATCH(B2778, 'nav master'!$B:$B, 0)), "")</f>
        <v>ULIF 162 251125 SecLeaders 105</v>
      </c>
      <c r="E2778" s="8">
        <v>9.9285999999999994</v>
      </c>
      <c r="F2778" s="9">
        <v>46034</v>
      </c>
    </row>
    <row r="2779" spans="1:6" ht="60" x14ac:dyDescent="0.25">
      <c r="A2779" s="8" t="s">
        <v>63</v>
      </c>
      <c r="B2779" s="11" t="s">
        <v>52</v>
      </c>
      <c r="C2779" s="8" t="str">
        <f>IFERROR(_xlfn.XLOOKUP(TRIM(B2779),Lookup!$B$2:$B$1000,Lookup!$C$2:$C$1000),"")</f>
        <v>Equity</v>
      </c>
      <c r="D2779" s="8" t="str">
        <f>IFERROR(INDEX('nav master'!$C:$C, MATCH(B2779, 'nav master'!$B:$B, 0)), "")</f>
        <v>ULIF 162 251125 SecLeaders 105</v>
      </c>
      <c r="E2779" s="8">
        <v>9.8987999999999996</v>
      </c>
      <c r="F2779" s="9">
        <v>46035</v>
      </c>
    </row>
    <row r="2780" spans="1:6" ht="60" x14ac:dyDescent="0.25">
      <c r="A2780" s="8" t="s">
        <v>63</v>
      </c>
      <c r="B2780" s="11" t="s">
        <v>52</v>
      </c>
      <c r="C2780" s="8" t="str">
        <f>IFERROR(_xlfn.XLOOKUP(TRIM(B2780),Lookup!$B$2:$B$1000,Lookup!$C$2:$C$1000),"")</f>
        <v>Equity</v>
      </c>
      <c r="D2780" s="8" t="str">
        <f>IFERROR(INDEX('nav master'!$C:$C, MATCH(B2780, 'nav master'!$B:$B, 0)), "")</f>
        <v>ULIF 162 251125 SecLeaders 105</v>
      </c>
      <c r="E2780" s="8">
        <v>9.8899000000000008</v>
      </c>
      <c r="F2780" s="9">
        <v>46036</v>
      </c>
    </row>
    <row r="2781" spans="1:6" ht="60" x14ac:dyDescent="0.25">
      <c r="A2781" s="8" t="s">
        <v>63</v>
      </c>
      <c r="B2781" s="11" t="s">
        <v>52</v>
      </c>
      <c r="C2781" s="8" t="str">
        <f>IFERROR(_xlfn.XLOOKUP(TRIM(B2781),Lookup!$B$2:$B$1000,Lookup!$C$2:$C$1000),"")</f>
        <v>Equity</v>
      </c>
      <c r="D2781" s="8" t="str">
        <f>IFERROR(INDEX('nav master'!$C:$C, MATCH(B2781, 'nav master'!$B:$B, 0)), "")</f>
        <v>ULIF 162 251125 SecLeaders 105</v>
      </c>
      <c r="E2781" s="8">
        <v>9.8855000000000004</v>
      </c>
      <c r="F2781" s="9">
        <v>46038</v>
      </c>
    </row>
    <row r="2782" spans="1:6" ht="60" x14ac:dyDescent="0.25">
      <c r="A2782" s="8" t="s">
        <v>63</v>
      </c>
      <c r="B2782" s="11" t="s">
        <v>52</v>
      </c>
      <c r="C2782" s="8" t="str">
        <f>IFERROR(_xlfn.XLOOKUP(TRIM(B2782),Lookup!$B$2:$B$1000,Lookup!$C$2:$C$1000),"")</f>
        <v>Equity</v>
      </c>
      <c r="D2782" s="8" t="str">
        <f>IFERROR(INDEX('nav master'!$C:$C, MATCH(B2782, 'nav master'!$B:$B, 0)), "")</f>
        <v>ULIF 162 251125 SecLeaders 105</v>
      </c>
      <c r="E2782" s="8">
        <v>9.8186999999999998</v>
      </c>
      <c r="F2782" s="9">
        <v>46041</v>
      </c>
    </row>
    <row r="2783" spans="1:6" ht="60" x14ac:dyDescent="0.25">
      <c r="A2783" s="8" t="s">
        <v>63</v>
      </c>
      <c r="B2783" s="11" t="s">
        <v>52</v>
      </c>
      <c r="C2783" s="8" t="str">
        <f>IFERROR(_xlfn.XLOOKUP(TRIM(B2783),Lookup!$B$2:$B$1000,Lookup!$C$2:$C$1000),"")</f>
        <v>Equity</v>
      </c>
      <c r="D2783" s="8" t="str">
        <f>IFERROR(INDEX('nav master'!$C:$C, MATCH(B2783, 'nav master'!$B:$B, 0)), "")</f>
        <v>ULIF 162 251125 SecLeaders 105</v>
      </c>
      <c r="E2783" s="8">
        <v>9.6300000000000008</v>
      </c>
      <c r="F2783" s="9">
        <v>46042</v>
      </c>
    </row>
    <row r="2784" spans="1:6" ht="60" x14ac:dyDescent="0.25">
      <c r="A2784" s="8" t="s">
        <v>63</v>
      </c>
      <c r="B2784" s="11" t="s">
        <v>52</v>
      </c>
      <c r="C2784" s="8" t="str">
        <f>IFERROR(_xlfn.XLOOKUP(TRIM(B2784),Lookup!$B$2:$B$1000,Lookup!$C$2:$C$1000),"")</f>
        <v>Equity</v>
      </c>
      <c r="D2784" s="8" t="str">
        <f>IFERROR(INDEX('nav master'!$C:$C, MATCH(B2784, 'nav master'!$B:$B, 0)), "")</f>
        <v>ULIF 162 251125 SecLeaders 105</v>
      </c>
      <c r="E2784" s="8">
        <v>9.6006</v>
      </c>
      <c r="F2784" s="9">
        <v>46043</v>
      </c>
    </row>
    <row r="2785" spans="1:6" ht="60" x14ac:dyDescent="0.25">
      <c r="A2785" s="8" t="s">
        <v>63</v>
      </c>
      <c r="B2785" s="11" t="s">
        <v>52</v>
      </c>
      <c r="C2785" s="8" t="str">
        <f>IFERROR(_xlfn.XLOOKUP(TRIM(B2785),Lookup!$B$2:$B$1000,Lookup!$C$2:$C$1000),"")</f>
        <v>Equity</v>
      </c>
      <c r="D2785" s="8" t="str">
        <f>IFERROR(INDEX('nav master'!$C:$C, MATCH(B2785, 'nav master'!$B:$B, 0)), "")</f>
        <v>ULIF 162 251125 SecLeaders 105</v>
      </c>
      <c r="E2785" s="8">
        <v>9.6670999999999996</v>
      </c>
      <c r="F2785" s="9">
        <v>46044</v>
      </c>
    </row>
    <row r="2786" spans="1:6" ht="60" x14ac:dyDescent="0.25">
      <c r="A2786" s="8" t="s">
        <v>63</v>
      </c>
      <c r="B2786" s="11" t="s">
        <v>52</v>
      </c>
      <c r="C2786" s="8" t="str">
        <f>IFERROR(_xlfn.XLOOKUP(TRIM(B2786),Lookup!$B$2:$B$1000,Lookup!$C$2:$C$1000),"")</f>
        <v>Equity</v>
      </c>
      <c r="D2786" s="8" t="str">
        <f>IFERROR(INDEX('nav master'!$C:$C, MATCH(B2786, 'nav master'!$B:$B, 0)), "")</f>
        <v>ULIF 162 251125 SecLeaders 105</v>
      </c>
      <c r="E2786" s="8">
        <v>9.5366999999999997</v>
      </c>
      <c r="F2786" s="9">
        <v>46045</v>
      </c>
    </row>
    <row r="2787" spans="1:6" ht="60" x14ac:dyDescent="0.25">
      <c r="A2787" s="8" t="s">
        <v>63</v>
      </c>
      <c r="B2787" s="11" t="s">
        <v>52</v>
      </c>
      <c r="C2787" s="8" t="str">
        <f>IFERROR(_xlfn.XLOOKUP(TRIM(B2787),Lookup!$B$2:$B$1000,Lookup!$C$2:$C$1000),"")</f>
        <v>Equity</v>
      </c>
      <c r="D2787" s="8" t="str">
        <f>IFERROR(INDEX('nav master'!$C:$C, MATCH(B2787, 'nav master'!$B:$B, 0)), "")</f>
        <v>ULIF 162 251125 SecLeaders 105</v>
      </c>
      <c r="E2787" s="8">
        <v>9.5806000000000004</v>
      </c>
      <c r="F2787" s="9">
        <v>46049</v>
      </c>
    </row>
    <row r="2788" spans="1:6" ht="60" x14ac:dyDescent="0.25">
      <c r="A2788" s="8" t="s">
        <v>63</v>
      </c>
      <c r="B2788" s="11" t="s">
        <v>52</v>
      </c>
      <c r="C2788" s="8" t="str">
        <f>IFERROR(_xlfn.XLOOKUP(TRIM(B2788),Lookup!$B$2:$B$1000,Lookup!$C$2:$C$1000),"")</f>
        <v>Equity</v>
      </c>
      <c r="D2788" s="8" t="str">
        <f>IFERROR(INDEX('nav master'!$C:$C, MATCH(B2788, 'nav master'!$B:$B, 0)), "")</f>
        <v>ULIF 162 251125 SecLeaders 105</v>
      </c>
      <c r="E2788" s="8">
        <v>9.6876999999999995</v>
      </c>
      <c r="F2788" s="9">
        <v>46050</v>
      </c>
    </row>
    <row r="2789" spans="1:6" ht="60" x14ac:dyDescent="0.25">
      <c r="A2789" s="8" t="s">
        <v>63</v>
      </c>
      <c r="B2789" s="11" t="s">
        <v>52</v>
      </c>
      <c r="C2789" s="8" t="str">
        <f>IFERROR(_xlfn.XLOOKUP(TRIM(B2789),Lookup!$B$2:$B$1000,Lookup!$C$2:$C$1000),"")</f>
        <v>Equity</v>
      </c>
      <c r="D2789" s="8" t="str">
        <f>IFERROR(INDEX('nav master'!$C:$C, MATCH(B2789, 'nav master'!$B:$B, 0)), "")</f>
        <v>ULIF 162 251125 SecLeaders 105</v>
      </c>
      <c r="E2789" s="8">
        <v>9.6966999999999999</v>
      </c>
      <c r="F2789" s="9">
        <v>46051</v>
      </c>
    </row>
    <row r="2790" spans="1:6" ht="60" x14ac:dyDescent="0.25">
      <c r="A2790" s="8" t="s">
        <v>63</v>
      </c>
      <c r="B2790" s="11" t="s">
        <v>52</v>
      </c>
      <c r="C2790" s="8" t="str">
        <f>IFERROR(_xlfn.XLOOKUP(TRIM(B2790),Lookup!$B$2:$B$1000,Lookup!$C$2:$C$1000),"")</f>
        <v>Equity</v>
      </c>
      <c r="D2790" s="8" t="str">
        <f>IFERROR(INDEX('nav master'!$C:$C, MATCH(B2790, 'nav master'!$B:$B, 0)), "")</f>
        <v>ULIF 162 251125 SecLeaders 105</v>
      </c>
      <c r="E2790" s="8">
        <v>9.6739999999999995</v>
      </c>
      <c r="F2790" s="9">
        <v>46052</v>
      </c>
    </row>
    <row r="2791" spans="1:6" ht="60" x14ac:dyDescent="0.25">
      <c r="A2791" s="8" t="s">
        <v>63</v>
      </c>
      <c r="B2791" s="11" t="s">
        <v>52</v>
      </c>
      <c r="C2791" s="8" t="str">
        <f>IFERROR(_xlfn.XLOOKUP(TRIM(B2791),Lookup!$B$2:$B$1000,Lookup!$C$2:$C$1000),"")</f>
        <v>Equity</v>
      </c>
      <c r="D2791" s="8" t="str">
        <f>IFERROR(INDEX('nav master'!$C:$C, MATCH(B2791, 'nav master'!$B:$B, 0)), "")</f>
        <v>ULIF 162 251125 SecLeaders 105</v>
      </c>
      <c r="E2791" s="8">
        <v>9.4745000000000008</v>
      </c>
      <c r="F2791" s="9">
        <v>46054</v>
      </c>
    </row>
    <row r="2792" spans="1:6" ht="60" x14ac:dyDescent="0.25">
      <c r="A2792" s="8" t="s">
        <v>63</v>
      </c>
      <c r="B2792" s="11" t="s">
        <v>52</v>
      </c>
      <c r="C2792" s="8" t="str">
        <f>IFERROR(_xlfn.XLOOKUP(TRIM(B2792),Lookup!$B$2:$B$1000,Lookup!$C$2:$C$1000),"")</f>
        <v>Equity</v>
      </c>
      <c r="D2792" s="8" t="str">
        <f>IFERROR(INDEX('nav master'!$C:$C, MATCH(B2792, 'nav master'!$B:$B, 0)), "")</f>
        <v>ULIF 162 251125 SecLeaders 105</v>
      </c>
      <c r="E2792" s="8">
        <v>9.5817999999999994</v>
      </c>
      <c r="F2792" s="9">
        <v>46055</v>
      </c>
    </row>
    <row r="2793" spans="1:6" ht="60" x14ac:dyDescent="0.25">
      <c r="A2793" s="8" t="s">
        <v>63</v>
      </c>
      <c r="B2793" s="11" t="s">
        <v>52</v>
      </c>
      <c r="C2793" s="8" t="str">
        <f>IFERROR(_xlfn.XLOOKUP(TRIM(B2793),Lookup!$B$2:$B$1000,Lookup!$C$2:$C$1000),"")</f>
        <v>Equity</v>
      </c>
      <c r="D2793" s="8" t="str">
        <f>IFERROR(INDEX('nav master'!$C:$C, MATCH(B2793, 'nav master'!$B:$B, 0)), "")</f>
        <v>ULIF 162 251125 SecLeaders 105</v>
      </c>
      <c r="E2793" s="8">
        <v>9.8399000000000001</v>
      </c>
      <c r="F2793" s="9">
        <v>46056</v>
      </c>
    </row>
    <row r="2794" spans="1:6" ht="60" x14ac:dyDescent="0.25">
      <c r="A2794" s="8" t="s">
        <v>63</v>
      </c>
      <c r="B2794" s="11" t="s">
        <v>52</v>
      </c>
      <c r="C2794" s="8" t="str">
        <f>IFERROR(_xlfn.XLOOKUP(TRIM(B2794),Lookup!$B$2:$B$1000,Lookup!$C$2:$C$1000),"")</f>
        <v>Equity</v>
      </c>
      <c r="D2794" s="8" t="str">
        <f>IFERROR(INDEX('nav master'!$C:$C, MATCH(B2794, 'nav master'!$B:$B, 0)), "")</f>
        <v>ULIF 162 251125 SecLeaders 105</v>
      </c>
      <c r="E2794" s="8">
        <v>9.8724000000000007</v>
      </c>
      <c r="F2794" s="9">
        <v>46057</v>
      </c>
    </row>
    <row r="2795" spans="1:6" ht="60" x14ac:dyDescent="0.25">
      <c r="A2795" s="8" t="s">
        <v>63</v>
      </c>
      <c r="B2795" s="11" t="s">
        <v>52</v>
      </c>
      <c r="C2795" s="8" t="str">
        <f>IFERROR(_xlfn.XLOOKUP(TRIM(B2795),Lookup!$B$2:$B$1000,Lookup!$C$2:$C$1000),"")</f>
        <v>Equity</v>
      </c>
      <c r="D2795" s="8" t="str">
        <f>IFERROR(INDEX('nav master'!$C:$C, MATCH(B2795, 'nav master'!$B:$B, 0)), "")</f>
        <v>ULIF 162 251125 SecLeaders 105</v>
      </c>
      <c r="E2795" s="8">
        <v>9.8317999999999994</v>
      </c>
      <c r="F2795" s="9">
        <v>46058</v>
      </c>
    </row>
    <row r="2796" spans="1:6" ht="60" x14ac:dyDescent="0.25">
      <c r="A2796" s="8" t="s">
        <v>63</v>
      </c>
      <c r="B2796" s="11" t="s">
        <v>52</v>
      </c>
      <c r="C2796" s="8" t="str">
        <f>IFERROR(_xlfn.XLOOKUP(TRIM(B2796),Lookup!$B$2:$B$1000,Lookup!$C$2:$C$1000),"")</f>
        <v>Equity</v>
      </c>
      <c r="D2796" s="8" t="str">
        <f>IFERROR(INDEX('nav master'!$C:$C, MATCH(B2796, 'nav master'!$B:$B, 0)), "")</f>
        <v>ULIF 162 251125 SecLeaders 105</v>
      </c>
      <c r="E2796" s="8">
        <v>9.8461999999999996</v>
      </c>
      <c r="F2796" s="9">
        <v>46059</v>
      </c>
    </row>
    <row r="2797" spans="1:6" ht="60" x14ac:dyDescent="0.25">
      <c r="A2797" s="8" t="s">
        <v>63</v>
      </c>
      <c r="B2797" s="11" t="s">
        <v>52</v>
      </c>
      <c r="C2797" s="8" t="str">
        <f>IFERROR(_xlfn.XLOOKUP(TRIM(B2797),Lookup!$B$2:$B$1000,Lookup!$C$2:$C$1000),"")</f>
        <v>Equity</v>
      </c>
      <c r="D2797" s="8" t="str">
        <f>IFERROR(INDEX('nav master'!$C:$C, MATCH(B2797, 'nav master'!$B:$B, 0)), "")</f>
        <v>ULIF 162 251125 SecLeaders 105</v>
      </c>
      <c r="E2797" s="8">
        <v>9.968</v>
      </c>
      <c r="F2797" s="9">
        <v>46062</v>
      </c>
    </row>
    <row r="2798" spans="1:6" ht="60" x14ac:dyDescent="0.25">
      <c r="A2798" s="8" t="s">
        <v>63</v>
      </c>
      <c r="B2798" s="11" t="s">
        <v>52</v>
      </c>
      <c r="C2798" s="8" t="str">
        <f>IFERROR(_xlfn.XLOOKUP(TRIM(B2798),Lookup!$B$2:$B$1000,Lookup!$C$2:$C$1000),"")</f>
        <v>Equity</v>
      </c>
      <c r="D2798" s="8" t="str">
        <f>IFERROR(INDEX('nav master'!$C:$C, MATCH(B2798, 'nav master'!$B:$B, 0)), "")</f>
        <v>ULIF 162 251125 SecLeaders 105</v>
      </c>
      <c r="E2798" s="8">
        <v>10.0124</v>
      </c>
      <c r="F2798" s="9">
        <v>46063</v>
      </c>
    </row>
    <row r="2799" spans="1:6" ht="60" x14ac:dyDescent="0.25">
      <c r="A2799" s="8" t="s">
        <v>63</v>
      </c>
      <c r="B2799" s="11" t="s">
        <v>52</v>
      </c>
      <c r="C2799" s="8" t="str">
        <f>IFERROR(_xlfn.XLOOKUP(TRIM(B2799),Lookup!$B$2:$B$1000,Lookup!$C$2:$C$1000),"")</f>
        <v>Equity</v>
      </c>
      <c r="D2799" s="8" t="str">
        <f>IFERROR(INDEX('nav master'!$C:$C, MATCH(B2799, 'nav master'!$B:$B, 0)), "")</f>
        <v>ULIF 162 251125 SecLeaders 105</v>
      </c>
      <c r="E2799" s="8">
        <v>10.0183</v>
      </c>
      <c r="F2799" s="9">
        <v>46064</v>
      </c>
    </row>
    <row r="2800" spans="1:6" ht="60" x14ac:dyDescent="0.25">
      <c r="A2800" s="8" t="s">
        <v>63</v>
      </c>
      <c r="B2800" s="11" t="s">
        <v>52</v>
      </c>
      <c r="C2800" s="8" t="str">
        <f>IFERROR(_xlfn.XLOOKUP(TRIM(B2800),Lookup!$B$2:$B$1000,Lookup!$C$2:$C$1000),"")</f>
        <v>Equity</v>
      </c>
      <c r="D2800" s="8" t="str">
        <f>IFERROR(INDEX('nav master'!$C:$C, MATCH(B2800, 'nav master'!$B:$B, 0)), "")</f>
        <v>ULIF 162 251125 SecLeaders 105</v>
      </c>
      <c r="E2800" s="8">
        <v>9.9395000000000007</v>
      </c>
      <c r="F2800" s="9">
        <v>46065</v>
      </c>
    </row>
    <row r="2801" spans="1:6" ht="60" x14ac:dyDescent="0.25">
      <c r="A2801" s="8" t="s">
        <v>63</v>
      </c>
      <c r="B2801" s="11" t="s">
        <v>52</v>
      </c>
      <c r="C2801" s="8" t="str">
        <f>IFERROR(_xlfn.XLOOKUP(TRIM(B2801),Lookup!$B$2:$B$1000,Lookup!$C$2:$C$1000),"")</f>
        <v>Equity</v>
      </c>
      <c r="D2801" s="8" t="str">
        <f>IFERROR(INDEX('nav master'!$C:$C, MATCH(B2801, 'nav master'!$B:$B, 0)), "")</f>
        <v>ULIF 162 251125 SecLeaders 105</v>
      </c>
      <c r="E2801" s="8">
        <v>9.7917000000000005</v>
      </c>
      <c r="F2801" s="9">
        <v>46066</v>
      </c>
    </row>
    <row r="2802" spans="1:6" ht="60" x14ac:dyDescent="0.25">
      <c r="A2802" s="8" t="s">
        <v>63</v>
      </c>
      <c r="B2802" s="11" t="s">
        <v>52</v>
      </c>
      <c r="C2802" s="8" t="str">
        <f>IFERROR(_xlfn.XLOOKUP(TRIM(B2802),Lookup!$B$2:$B$1000,Lookup!$C$2:$C$1000),"")</f>
        <v>Equity</v>
      </c>
      <c r="D2802" s="8" t="str">
        <f>IFERROR(INDEX('nav master'!$C:$C, MATCH(B2802, 'nav master'!$B:$B, 0)), "")</f>
        <v>ULIF 162 251125 SecLeaders 105</v>
      </c>
      <c r="E2802" s="8">
        <v>9.8482000000000003</v>
      </c>
      <c r="F2802" s="9">
        <v>46069</v>
      </c>
    </row>
    <row r="2803" spans="1:6" ht="60" x14ac:dyDescent="0.25">
      <c r="A2803" s="8" t="s">
        <v>63</v>
      </c>
      <c r="B2803" s="11" t="s">
        <v>52</v>
      </c>
      <c r="C2803" s="8" t="str">
        <f>IFERROR(_xlfn.XLOOKUP(TRIM(B2803),Lookup!$B$2:$B$1000,Lookup!$C$2:$C$1000),"")</f>
        <v>Equity</v>
      </c>
      <c r="D2803" s="8" t="str">
        <f>IFERROR(INDEX('nav master'!$C:$C, MATCH(B2803, 'nav master'!$B:$B, 0)), "")</f>
        <v>ULIF 162 251125 SecLeaders 105</v>
      </c>
      <c r="E2803" s="8">
        <v>9.8783999999999992</v>
      </c>
      <c r="F2803" s="9">
        <v>46070</v>
      </c>
    </row>
    <row r="2804" spans="1:6" ht="60" x14ac:dyDescent="0.25">
      <c r="A2804" s="8" t="s">
        <v>63</v>
      </c>
      <c r="B2804" s="11" t="s">
        <v>52</v>
      </c>
      <c r="C2804" s="8" t="str">
        <f>IFERROR(_xlfn.XLOOKUP(TRIM(B2804),Lookup!$B$2:$B$1000,Lookup!$C$2:$C$1000),"")</f>
        <v>Equity</v>
      </c>
      <c r="D2804" s="8" t="str">
        <f>IFERROR(INDEX('nav master'!$C:$C, MATCH(B2804, 'nav master'!$B:$B, 0)), "")</f>
        <v>ULIF 162 251125 SecLeaders 105</v>
      </c>
      <c r="E2804" s="8">
        <v>9.907</v>
      </c>
      <c r="F2804" s="9">
        <v>46071</v>
      </c>
    </row>
    <row r="2805" spans="1:6" ht="60" x14ac:dyDescent="0.25">
      <c r="A2805" s="8" t="s">
        <v>63</v>
      </c>
      <c r="B2805" s="11" t="s">
        <v>52</v>
      </c>
      <c r="C2805" s="8" t="str">
        <f>IFERROR(_xlfn.XLOOKUP(TRIM(B2805),Lookup!$B$2:$B$1000,Lookup!$C$2:$C$1000),"")</f>
        <v>Equity</v>
      </c>
      <c r="D2805" s="8" t="str">
        <f>IFERROR(INDEX('nav master'!$C:$C, MATCH(B2805, 'nav master'!$B:$B, 0)), "")</f>
        <v>ULIF 162 251125 SecLeaders 105</v>
      </c>
      <c r="E2805" s="8">
        <v>9.7599</v>
      </c>
      <c r="F2805" s="9">
        <v>46072</v>
      </c>
    </row>
    <row r="2806" spans="1:6" ht="60" x14ac:dyDescent="0.25">
      <c r="A2806" s="8" t="s">
        <v>63</v>
      </c>
      <c r="B2806" s="11" t="s">
        <v>52</v>
      </c>
      <c r="C2806" s="8" t="str">
        <f>IFERROR(_xlfn.XLOOKUP(TRIM(B2806),Lookup!$B$2:$B$1000,Lookup!$C$2:$C$1000),"")</f>
        <v>Equity</v>
      </c>
      <c r="D2806" s="8" t="str">
        <f>IFERROR(INDEX('nav master'!$C:$C, MATCH(B2806, 'nav master'!$B:$B, 0)), "")</f>
        <v>ULIF 162 251125 SecLeaders 105</v>
      </c>
      <c r="E2806" s="8">
        <v>9.7965999999999998</v>
      </c>
      <c r="F2806" s="9">
        <v>46073</v>
      </c>
    </row>
    <row r="2807" spans="1:6" ht="60" x14ac:dyDescent="0.25">
      <c r="A2807" s="8" t="s">
        <v>63</v>
      </c>
      <c r="B2807" s="11" t="s">
        <v>52</v>
      </c>
      <c r="C2807" s="8" t="str">
        <f>IFERROR(_xlfn.XLOOKUP(TRIM(B2807),Lookup!$B$2:$B$1000,Lookup!$C$2:$C$1000),"")</f>
        <v>Equity</v>
      </c>
      <c r="D2807" s="8" t="str">
        <f>IFERROR(INDEX('nav master'!$C:$C, MATCH(B2807, 'nav master'!$B:$B, 0)), "")</f>
        <v>ULIF 162 251125 SecLeaders 105</v>
      </c>
      <c r="E2807" s="8">
        <v>9.8285</v>
      </c>
      <c r="F2807" s="9">
        <v>46076</v>
      </c>
    </row>
    <row r="2808" spans="1:6" ht="60" x14ac:dyDescent="0.25">
      <c r="A2808" s="8" t="s">
        <v>63</v>
      </c>
      <c r="B2808" s="11" t="s">
        <v>52</v>
      </c>
      <c r="C2808" s="8" t="str">
        <f>IFERROR(_xlfn.XLOOKUP(TRIM(B2808),Lookup!$B$2:$B$1000,Lookup!$C$2:$C$1000),"")</f>
        <v>Equity</v>
      </c>
      <c r="D2808" s="8" t="str">
        <f>IFERROR(INDEX('nav master'!$C:$C, MATCH(B2808, 'nav master'!$B:$B, 0)), "")</f>
        <v>ULIF 162 251125 SecLeaders 105</v>
      </c>
      <c r="E2808" s="8">
        <v>9.7236999999999991</v>
      </c>
      <c r="F2808" s="9">
        <v>46077</v>
      </c>
    </row>
    <row r="2809" spans="1:6" ht="60" x14ac:dyDescent="0.25">
      <c r="A2809" s="8" t="s">
        <v>63</v>
      </c>
      <c r="B2809" s="11" t="s">
        <v>52</v>
      </c>
      <c r="C2809" s="8" t="str">
        <f>IFERROR(_xlfn.XLOOKUP(TRIM(B2809),Lookup!$B$2:$B$1000,Lookup!$C$2:$C$1000),"")</f>
        <v>Equity</v>
      </c>
      <c r="D2809" s="8" t="str">
        <f>IFERROR(INDEX('nav master'!$C:$C, MATCH(B2809, 'nav master'!$B:$B, 0)), "")</f>
        <v>ULIF 162 251125 SecLeaders 105</v>
      </c>
      <c r="E2809" s="8">
        <v>9.7514000000000003</v>
      </c>
      <c r="F2809" s="9">
        <v>46078</v>
      </c>
    </row>
    <row r="2810" spans="1:6" ht="60" x14ac:dyDescent="0.25">
      <c r="A2810" s="8" t="s">
        <v>63</v>
      </c>
      <c r="B2810" s="11" t="s">
        <v>52</v>
      </c>
      <c r="C2810" s="8" t="str">
        <f>IFERROR(_xlfn.XLOOKUP(TRIM(B2810),Lookup!$B$2:$B$1000,Lookup!$C$2:$C$1000),"")</f>
        <v>Equity</v>
      </c>
      <c r="D2810" s="8" t="str">
        <f>IFERROR(INDEX('nav master'!$C:$C, MATCH(B2810, 'nav master'!$B:$B, 0)), "")</f>
        <v>ULIF 162 251125 SecLeaders 105</v>
      </c>
      <c r="E2810" s="8">
        <v>9.7645</v>
      </c>
      <c r="F2810" s="9">
        <v>46079</v>
      </c>
    </row>
    <row r="2811" spans="1:6" ht="60" x14ac:dyDescent="0.25">
      <c r="A2811" s="8" t="s">
        <v>63</v>
      </c>
      <c r="B2811" s="11" t="s">
        <v>52</v>
      </c>
      <c r="C2811" s="8" t="str">
        <f>IFERROR(_xlfn.XLOOKUP(TRIM(B2811),Lookup!$B$2:$B$1000,Lookup!$C$2:$C$1000),"")</f>
        <v>Equity</v>
      </c>
      <c r="D2811" s="8" t="str">
        <f>IFERROR(INDEX('nav master'!$C:$C, MATCH(B2811, 'nav master'!$B:$B, 0)), "")</f>
        <v>ULIF 162 251125 SecLeaders 105</v>
      </c>
      <c r="E2811" s="8">
        <v>9.6580999999999992</v>
      </c>
      <c r="F2811" s="9">
        <v>46080</v>
      </c>
    </row>
    <row r="2812" spans="1:6" ht="60" x14ac:dyDescent="0.25">
      <c r="A2812" s="8" t="s">
        <v>63</v>
      </c>
      <c r="B2812" s="11" t="s">
        <v>52</v>
      </c>
      <c r="C2812" s="8" t="str">
        <f>IFERROR(_xlfn.XLOOKUP(TRIM(B2812),Lookup!$B$2:$B$1000,Lookup!$C$2:$C$1000),"")</f>
        <v>Equity</v>
      </c>
      <c r="D2812" s="8" t="str">
        <f>IFERROR(INDEX('nav master'!$C:$C, MATCH(B2812, 'nav master'!$B:$B, 0)), "")</f>
        <v>ULIF 162 251125 SecLeaders 105</v>
      </c>
      <c r="E2812" s="8">
        <v>9.5093999999999994</v>
      </c>
      <c r="F2812" s="9">
        <v>46083</v>
      </c>
    </row>
    <row r="2813" spans="1:6" ht="60" x14ac:dyDescent="0.25">
      <c r="A2813" s="8" t="s">
        <v>63</v>
      </c>
      <c r="B2813" s="11" t="s">
        <v>52</v>
      </c>
      <c r="C2813" s="8" t="str">
        <f>IFERROR(_xlfn.XLOOKUP(TRIM(B2813),Lookup!$B$2:$B$1000,Lookup!$C$2:$C$1000),"")</f>
        <v>Equity</v>
      </c>
      <c r="D2813" s="8" t="str">
        <f>IFERROR(INDEX('nav master'!$C:$C, MATCH(B2813, 'nav master'!$B:$B, 0)), "")</f>
        <v>ULIF 162 251125 SecLeaders 105</v>
      </c>
      <c r="E2813" s="8">
        <v>9.3491999999999997</v>
      </c>
      <c r="F2813" s="9">
        <v>46085</v>
      </c>
    </row>
    <row r="2814" spans="1:6" ht="60" x14ac:dyDescent="0.25">
      <c r="A2814" s="8" t="s">
        <v>63</v>
      </c>
      <c r="B2814" s="11" t="s">
        <v>52</v>
      </c>
      <c r="C2814" s="8" t="str">
        <f>IFERROR(_xlfn.XLOOKUP(TRIM(B2814),Lookup!$B$2:$B$1000,Lookup!$C$2:$C$1000),"")</f>
        <v>Equity</v>
      </c>
      <c r="D2814" s="8" t="str">
        <f>IFERROR(INDEX('nav master'!$C:$C, MATCH(B2814, 'nav master'!$B:$B, 0)), "")</f>
        <v>ULIF 162 251125 SecLeaders 105</v>
      </c>
      <c r="E2814" s="8">
        <v>9.4598999999999993</v>
      </c>
      <c r="F2814" s="9">
        <v>46086</v>
      </c>
    </row>
    <row r="2815" spans="1:6" ht="60" x14ac:dyDescent="0.25">
      <c r="A2815" s="8" t="s">
        <v>63</v>
      </c>
      <c r="B2815" s="11" t="s">
        <v>52</v>
      </c>
      <c r="C2815" s="8" t="str">
        <f>IFERROR(_xlfn.XLOOKUP(TRIM(B2815),Lookup!$B$2:$B$1000,Lookup!$C$2:$C$1000),"")</f>
        <v>Equity</v>
      </c>
      <c r="D2815" s="8" t="str">
        <f>IFERROR(INDEX('nav master'!$C:$C, MATCH(B2815, 'nav master'!$B:$B, 0)), "")</f>
        <v>ULIF 162 251125 SecLeaders 105</v>
      </c>
      <c r="E2815" s="8">
        <v>9.3892000000000007</v>
      </c>
      <c r="F2815" s="9">
        <v>46087</v>
      </c>
    </row>
    <row r="2816" spans="1:6" ht="60" x14ac:dyDescent="0.25">
      <c r="A2816" s="8" t="s">
        <v>63</v>
      </c>
      <c r="B2816" s="11" t="s">
        <v>52</v>
      </c>
      <c r="C2816" s="8" t="str">
        <f>IFERROR(_xlfn.XLOOKUP(TRIM(B2816),Lookup!$B$2:$B$1000,Lookup!$C$2:$C$1000),"")</f>
        <v>Equity</v>
      </c>
      <c r="D2816" s="8" t="str">
        <f>IFERROR(INDEX('nav master'!$C:$C, MATCH(B2816, 'nav master'!$B:$B, 0)), "")</f>
        <v>ULIF 162 251125 SecLeaders 105</v>
      </c>
      <c r="E2816" s="8">
        <v>9.2187000000000001</v>
      </c>
      <c r="F2816" s="9">
        <v>46090</v>
      </c>
    </row>
    <row r="2817" spans="1:6" ht="60" x14ac:dyDescent="0.25">
      <c r="A2817" s="8" t="s">
        <v>63</v>
      </c>
      <c r="B2817" s="11" t="s">
        <v>52</v>
      </c>
      <c r="C2817" s="8" t="str">
        <f>IFERROR(_xlfn.XLOOKUP(TRIM(B2817),Lookup!$B$2:$B$1000,Lookup!$C$2:$C$1000),"")</f>
        <v>Equity</v>
      </c>
      <c r="D2817" s="8" t="str">
        <f>IFERROR(INDEX('nav master'!$C:$C, MATCH(B2817, 'nav master'!$B:$B, 0)), "")</f>
        <v>ULIF 162 251125 SecLeaders 105</v>
      </c>
      <c r="E2817" s="8">
        <v>9.3000000000000007</v>
      </c>
      <c r="F2817" s="9">
        <v>46091</v>
      </c>
    </row>
    <row r="2818" spans="1:6" ht="60" x14ac:dyDescent="0.25">
      <c r="A2818" s="8" t="s">
        <v>63</v>
      </c>
      <c r="B2818" s="11" t="s">
        <v>52</v>
      </c>
      <c r="C2818" s="8" t="str">
        <f>IFERROR(_xlfn.XLOOKUP(TRIM(B2818),Lookup!$B$2:$B$1000,Lookup!$C$2:$C$1000),"")</f>
        <v>Equity</v>
      </c>
      <c r="D2818" s="8" t="str">
        <f>IFERROR(INDEX('nav master'!$C:$C, MATCH(B2818, 'nav master'!$B:$B, 0)), "")</f>
        <v>ULIF 162 251125 SecLeaders 105</v>
      </c>
      <c r="E2818" s="8">
        <v>9.1834000000000007</v>
      </c>
      <c r="F2818" s="9">
        <v>46092</v>
      </c>
    </row>
    <row r="2819" spans="1:6" ht="60" x14ac:dyDescent="0.25">
      <c r="A2819" s="8" t="s">
        <v>63</v>
      </c>
      <c r="B2819" s="11" t="s">
        <v>52</v>
      </c>
      <c r="C2819" s="8" t="str">
        <f>IFERROR(_xlfn.XLOOKUP(TRIM(B2819),Lookup!$B$2:$B$1000,Lookup!$C$2:$C$1000),"")</f>
        <v>Equity</v>
      </c>
      <c r="D2819" s="8" t="str">
        <f>IFERROR(INDEX('nav master'!$C:$C, MATCH(B2819, 'nav master'!$B:$B, 0)), "")</f>
        <v>ULIF 162 251125 SecLeaders 105</v>
      </c>
      <c r="E2819" s="8">
        <v>9.1288</v>
      </c>
      <c r="F2819" s="9">
        <v>46093</v>
      </c>
    </row>
    <row r="2820" spans="1:6" ht="60" x14ac:dyDescent="0.25">
      <c r="A2820" s="8" t="s">
        <v>63</v>
      </c>
      <c r="B2820" s="11" t="s">
        <v>52</v>
      </c>
      <c r="C2820" s="8" t="str">
        <f>IFERROR(_xlfn.XLOOKUP(TRIM(B2820),Lookup!$B$2:$B$1000,Lookup!$C$2:$C$1000),"")</f>
        <v>Equity</v>
      </c>
      <c r="D2820" s="8" t="str">
        <f>IFERROR(INDEX('nav master'!$C:$C, MATCH(B2820, 'nav master'!$B:$B, 0)), "")</f>
        <v>ULIF 162 251125 SecLeaders 105</v>
      </c>
      <c r="E2820" s="8">
        <v>8.9011999999999993</v>
      </c>
      <c r="F2820" s="9">
        <v>46094</v>
      </c>
    </row>
    <row r="2821" spans="1:6" ht="60" x14ac:dyDescent="0.25">
      <c r="A2821" s="8" t="s">
        <v>63</v>
      </c>
      <c r="B2821" s="11" t="s">
        <v>52</v>
      </c>
      <c r="C2821" s="8" t="str">
        <f>IFERROR(_xlfn.XLOOKUP(TRIM(B2821),Lookup!$B$2:$B$1000,Lookup!$C$2:$C$1000),"")</f>
        <v>Equity</v>
      </c>
      <c r="D2821" s="8" t="str">
        <f>IFERROR(INDEX('nav master'!$C:$C, MATCH(B2821, 'nav master'!$B:$B, 0)), "")</f>
        <v>ULIF 162 251125 SecLeaders 105</v>
      </c>
      <c r="E2821" s="8">
        <v>8.9448000000000008</v>
      </c>
      <c r="F2821" s="9">
        <v>46097</v>
      </c>
    </row>
    <row r="2822" spans="1:6" ht="60" x14ac:dyDescent="0.25">
      <c r="A2822" s="8" t="s">
        <v>63</v>
      </c>
      <c r="B2822" s="11" t="s">
        <v>52</v>
      </c>
      <c r="C2822" s="8" t="str">
        <f>IFERROR(_xlfn.XLOOKUP(TRIM(B2822),Lookup!$B$2:$B$1000,Lookup!$C$2:$C$1000),"")</f>
        <v>Equity</v>
      </c>
      <c r="D2822" s="8" t="str">
        <f>IFERROR(INDEX('nav master'!$C:$C, MATCH(B2822, 'nav master'!$B:$B, 0)), "")</f>
        <v>ULIF 162 251125 SecLeaders 105</v>
      </c>
      <c r="E2822" s="8">
        <v>9.0126000000000008</v>
      </c>
      <c r="F2822" s="9">
        <v>46098</v>
      </c>
    </row>
    <row r="2823" spans="1:6" ht="60" x14ac:dyDescent="0.25">
      <c r="A2823" s="8" t="s">
        <v>63</v>
      </c>
      <c r="B2823" s="11" t="s">
        <v>52</v>
      </c>
      <c r="C2823" s="8" t="str">
        <f>IFERROR(_xlfn.XLOOKUP(TRIM(B2823),Lookup!$B$2:$B$1000,Lookup!$C$2:$C$1000),"")</f>
        <v>Equity</v>
      </c>
      <c r="D2823" s="8" t="str">
        <f>IFERROR(INDEX('nav master'!$C:$C, MATCH(B2823, 'nav master'!$B:$B, 0)), "")</f>
        <v>ULIF 162 251125 SecLeaders 105</v>
      </c>
      <c r="E2823" s="8">
        <v>9.1252999999999993</v>
      </c>
      <c r="F2823" s="9">
        <v>46099</v>
      </c>
    </row>
    <row r="2824" spans="1:6" ht="60" x14ac:dyDescent="0.25">
      <c r="A2824" s="8" t="s">
        <v>63</v>
      </c>
      <c r="B2824" s="11" t="s">
        <v>52</v>
      </c>
      <c r="C2824" s="8" t="str">
        <f>IFERROR(_xlfn.XLOOKUP(TRIM(B2824),Lookup!$B$2:$B$1000,Lookup!$C$2:$C$1000),"")</f>
        <v>Equity</v>
      </c>
      <c r="D2824" s="8" t="str">
        <f>IFERROR(INDEX('nav master'!$C:$C, MATCH(B2824, 'nav master'!$B:$B, 0)), "")</f>
        <v>ULIF 162 251125 SecLeaders 105</v>
      </c>
      <c r="E2824" s="8">
        <v>8.8513000000000002</v>
      </c>
      <c r="F2824" s="9">
        <v>46100</v>
      </c>
    </row>
    <row r="2825" spans="1:6" ht="60" x14ac:dyDescent="0.25">
      <c r="A2825" s="8" t="s">
        <v>63</v>
      </c>
      <c r="B2825" s="11" t="s">
        <v>52</v>
      </c>
      <c r="C2825" s="8" t="str">
        <f>IFERROR(_xlfn.XLOOKUP(TRIM(B2825),Lookup!$B$2:$B$1000,Lookup!$C$2:$C$1000),"")</f>
        <v>Equity</v>
      </c>
      <c r="D2825" s="8" t="str">
        <f>IFERROR(INDEX('nav master'!$C:$C, MATCH(B2825, 'nav master'!$B:$B, 0)), "")</f>
        <v>ULIF 162 251125 SecLeaders 105</v>
      </c>
      <c r="E2825" s="8">
        <v>8.9024000000000001</v>
      </c>
      <c r="F2825" s="9">
        <v>46101</v>
      </c>
    </row>
    <row r="2826" spans="1:6" ht="60" x14ac:dyDescent="0.25">
      <c r="A2826" s="8" t="s">
        <v>63</v>
      </c>
      <c r="B2826" s="11" t="s">
        <v>52</v>
      </c>
      <c r="C2826" s="8" t="str">
        <f>IFERROR(_xlfn.XLOOKUP(TRIM(B2826),Lookup!$B$2:$B$1000,Lookup!$C$2:$C$1000),"")</f>
        <v>Equity</v>
      </c>
      <c r="D2826" s="8" t="str">
        <f>IFERROR(INDEX('nav master'!$C:$C, MATCH(B2826, 'nav master'!$B:$B, 0)), "")</f>
        <v>ULIF 162 251125 SecLeaders 105</v>
      </c>
      <c r="E2826" s="8">
        <v>8.6652000000000005</v>
      </c>
      <c r="F2826" s="9">
        <v>46104</v>
      </c>
    </row>
    <row r="2827" spans="1:6" ht="60" x14ac:dyDescent="0.25">
      <c r="A2827" s="8" t="s">
        <v>63</v>
      </c>
      <c r="B2827" s="11" t="s">
        <v>52</v>
      </c>
      <c r="C2827" s="8" t="str">
        <f>IFERROR(_xlfn.XLOOKUP(TRIM(B2827),Lookup!$B$2:$B$1000,Lookup!$C$2:$C$1000),"")</f>
        <v>Equity</v>
      </c>
      <c r="D2827" s="8" t="str">
        <f>IFERROR(INDEX('nav master'!$C:$C, MATCH(B2827, 'nav master'!$B:$B, 0)), "")</f>
        <v>ULIF 162 251125 SecLeaders 105</v>
      </c>
      <c r="E2827" s="8">
        <v>8.8099000000000007</v>
      </c>
      <c r="F2827" s="9">
        <v>46105</v>
      </c>
    </row>
    <row r="2828" spans="1:6" ht="60" x14ac:dyDescent="0.25">
      <c r="A2828" s="8" t="s">
        <v>63</v>
      </c>
      <c r="B2828" s="11" t="s">
        <v>52</v>
      </c>
      <c r="C2828" s="8" t="str">
        <f>IFERROR(_xlfn.XLOOKUP(TRIM(B2828),Lookup!$B$2:$B$1000,Lookup!$C$2:$C$1000),"")</f>
        <v>Equity</v>
      </c>
      <c r="D2828" s="8" t="str">
        <f>IFERROR(INDEX('nav master'!$C:$C, MATCH(B2828, 'nav master'!$B:$B, 0)), "")</f>
        <v>ULIF 162 251125 SecLeaders 105</v>
      </c>
      <c r="E2828" s="8">
        <v>8.9663000000000004</v>
      </c>
      <c r="F2828" s="9">
        <v>46106</v>
      </c>
    </row>
    <row r="2829" spans="1:6" ht="60" x14ac:dyDescent="0.25">
      <c r="A2829" s="8" t="s">
        <v>63</v>
      </c>
      <c r="B2829" s="11" t="s">
        <v>52</v>
      </c>
      <c r="C2829" s="8" t="str">
        <f>IFERROR(_xlfn.XLOOKUP(TRIM(B2829),Lookup!$B$2:$B$1000,Lookup!$C$2:$C$1000),"")</f>
        <v>Equity</v>
      </c>
      <c r="D2829" s="8" t="str">
        <f>IFERROR(INDEX('nav master'!$C:$C, MATCH(B2829, 'nav master'!$B:$B, 0)), "")</f>
        <v>ULIF 162 251125 SecLeaders 105</v>
      </c>
      <c r="E2829" s="8">
        <v>8.7868999999999993</v>
      </c>
      <c r="F2829" s="9">
        <v>46108</v>
      </c>
    </row>
    <row r="2830" spans="1:6" ht="60" x14ac:dyDescent="0.25">
      <c r="A2830" s="8" t="s">
        <v>63</v>
      </c>
      <c r="B2830" s="11" t="s">
        <v>52</v>
      </c>
      <c r="C2830" s="8" t="str">
        <f>IFERROR(_xlfn.XLOOKUP(TRIM(B2830),Lookup!$B$2:$B$1000,Lookup!$C$2:$C$1000),"")</f>
        <v>Equity</v>
      </c>
      <c r="D2830" s="8" t="str">
        <f>IFERROR(INDEX('nav master'!$C:$C, MATCH(B2830, 'nav master'!$B:$B, 0)), "")</f>
        <v>ULIF 162 251125 SecLeaders 105</v>
      </c>
      <c r="E2830" s="8">
        <v>8.6179000000000006</v>
      </c>
      <c r="F2830" s="9">
        <v>46111</v>
      </c>
    </row>
    <row r="2831" spans="1:6" ht="60" x14ac:dyDescent="0.25">
      <c r="A2831" s="8" t="s">
        <v>63</v>
      </c>
      <c r="B2831" s="11" t="s">
        <v>52</v>
      </c>
      <c r="C2831" s="8" t="str">
        <f>IFERROR(_xlfn.XLOOKUP(TRIM(B2831),Lookup!$B$2:$B$1000,Lookup!$C$2:$C$1000),"")</f>
        <v>Equity</v>
      </c>
      <c r="D2831" s="8" t="str">
        <f>IFERROR(INDEX('nav master'!$C:$C, MATCH(B2831, 'nav master'!$B:$B, 0)), "")</f>
        <v>ULIF 162 251125 SecLeaders 105</v>
      </c>
      <c r="E2831" s="8">
        <v>8.6175999999999995</v>
      </c>
      <c r="F2831" s="9">
        <v>46112</v>
      </c>
    </row>
    <row r="2832" spans="1:6" ht="60" x14ac:dyDescent="0.25">
      <c r="A2832" s="8" t="s">
        <v>63</v>
      </c>
      <c r="B2832" s="11" t="s">
        <v>52</v>
      </c>
      <c r="C2832" s="8" t="str">
        <f>IFERROR(_xlfn.XLOOKUP(TRIM(B2832),Lookup!$B$2:$B$1000,Lookup!$C$2:$C$1000),"")</f>
        <v>Equity</v>
      </c>
      <c r="D2832" s="8" t="str">
        <f>IFERROR(INDEX('nav master'!$C:$C, MATCH(B2832, 'nav master'!$B:$B, 0)), "")</f>
        <v>ULIF 162 251125 SecLeaders 105</v>
      </c>
      <c r="E2832" s="8">
        <v>8.8017000000000003</v>
      </c>
      <c r="F2832" s="9">
        <v>46113</v>
      </c>
    </row>
    <row r="2833" spans="1:6" ht="60" x14ac:dyDescent="0.25">
      <c r="A2833" s="8" t="s">
        <v>63</v>
      </c>
      <c r="B2833" s="11" t="s">
        <v>52</v>
      </c>
      <c r="C2833" s="8" t="str">
        <f>IFERROR(_xlfn.XLOOKUP(TRIM(B2833),Lookup!$B$2:$B$1000,Lookup!$C$2:$C$1000),"")</f>
        <v>Equity</v>
      </c>
      <c r="D2833" s="8" t="str">
        <f>IFERROR(INDEX('nav master'!$C:$C, MATCH(B2833, 'nav master'!$B:$B, 0)), "")</f>
        <v>ULIF 162 251125 SecLeaders 105</v>
      </c>
      <c r="E2833" s="8">
        <v>8.8054000000000006</v>
      </c>
      <c r="F2833" s="9">
        <v>46114</v>
      </c>
    </row>
    <row r="2834" spans="1:6" ht="60" x14ac:dyDescent="0.25">
      <c r="A2834" s="8" t="s">
        <v>63</v>
      </c>
      <c r="B2834" s="11" t="s">
        <v>52</v>
      </c>
      <c r="C2834" s="8" t="str">
        <f>IFERROR(_xlfn.XLOOKUP(TRIM(B2834),Lookup!$B$2:$B$1000,Lookup!$C$2:$C$1000),"")</f>
        <v>Equity</v>
      </c>
      <c r="D2834" s="8" t="str">
        <f>IFERROR(INDEX('nav master'!$C:$C, MATCH(B2834, 'nav master'!$B:$B, 0)), "")</f>
        <v>ULIF 162 251125 SecLeaders 105</v>
      </c>
      <c r="E2834" s="8">
        <v>8.9022000000000006</v>
      </c>
      <c r="F2834" s="9">
        <v>46118</v>
      </c>
    </row>
    <row r="2835" spans="1:6" ht="60" x14ac:dyDescent="0.25">
      <c r="A2835" s="8" t="s">
        <v>63</v>
      </c>
      <c r="B2835" s="11" t="s">
        <v>52</v>
      </c>
      <c r="C2835" s="8" t="str">
        <f>IFERROR(_xlfn.XLOOKUP(TRIM(B2835),Lookup!$B$2:$B$1000,Lookup!$C$2:$C$1000),"")</f>
        <v>Equity</v>
      </c>
      <c r="D2835" s="8" t="str">
        <f>IFERROR(INDEX('nav master'!$C:$C, MATCH(B2835, 'nav master'!$B:$B, 0)), "")</f>
        <v>ULIF 162 251125 SecLeaders 105</v>
      </c>
      <c r="E2835" s="8">
        <v>8.9566999999999997</v>
      </c>
      <c r="F2835" s="9">
        <v>46119</v>
      </c>
    </row>
    <row r="2836" spans="1:6" ht="60" x14ac:dyDescent="0.25">
      <c r="A2836" s="8" t="s">
        <v>63</v>
      </c>
      <c r="B2836" s="11" t="s">
        <v>52</v>
      </c>
      <c r="C2836" s="8" t="str">
        <f>IFERROR(_xlfn.XLOOKUP(TRIM(B2836),Lookup!$B$2:$B$1000,Lookup!$C$2:$C$1000),"")</f>
        <v>Equity</v>
      </c>
      <c r="D2836" s="8" t="str">
        <f>IFERROR(INDEX('nav master'!$C:$C, MATCH(B2836, 'nav master'!$B:$B, 0)), "")</f>
        <v>ULIF 162 251125 SecLeaders 105</v>
      </c>
      <c r="E2836" s="8">
        <v>9.2653999999999996</v>
      </c>
      <c r="F2836" s="9">
        <v>46120</v>
      </c>
    </row>
    <row r="2837" spans="1:6" ht="60" x14ac:dyDescent="0.25">
      <c r="A2837" s="8" t="s">
        <v>63</v>
      </c>
      <c r="B2837" s="11" t="s">
        <v>52</v>
      </c>
      <c r="C2837" s="8" t="str">
        <f>IFERROR(_xlfn.XLOOKUP(TRIM(B2837),Lookup!$B$2:$B$1000,Lookup!$C$2:$C$1000),"")</f>
        <v>Equity</v>
      </c>
      <c r="D2837" s="8" t="str">
        <f>IFERROR(INDEX('nav master'!$C:$C, MATCH(B2837, 'nav master'!$B:$B, 0)), "")</f>
        <v>ULIF 162 251125 SecLeaders 105</v>
      </c>
      <c r="E2837" s="8">
        <v>9.2106999999999992</v>
      </c>
      <c r="F2837" s="9">
        <v>46121</v>
      </c>
    </row>
    <row r="2838" spans="1:6" ht="60" x14ac:dyDescent="0.25">
      <c r="A2838" s="8" t="s">
        <v>63</v>
      </c>
      <c r="B2838" s="11" t="s">
        <v>52</v>
      </c>
      <c r="C2838" s="8" t="str">
        <f>IFERROR(_xlfn.XLOOKUP(TRIM(B2838),Lookup!$B$2:$B$1000,Lookup!$C$2:$C$1000),"")</f>
        <v>Equity</v>
      </c>
      <c r="D2838" s="8" t="str">
        <f>IFERROR(INDEX('nav master'!$C:$C, MATCH(B2838, 'nav master'!$B:$B, 0)), "")</f>
        <v>ULIF 162 251125 SecLeaders 105</v>
      </c>
      <c r="E2838" s="8">
        <v>9.3156999999999996</v>
      </c>
      <c r="F2838" s="9">
        <v>46122</v>
      </c>
    </row>
    <row r="2839" spans="1:6" ht="60" x14ac:dyDescent="0.25">
      <c r="A2839" s="8" t="s">
        <v>63</v>
      </c>
      <c r="B2839" s="11" t="s">
        <v>52</v>
      </c>
      <c r="C2839" s="8" t="str">
        <f>IFERROR(_xlfn.XLOOKUP(TRIM(B2839),Lookup!$B$2:$B$1000,Lookup!$C$2:$C$1000),"")</f>
        <v>Equity</v>
      </c>
      <c r="D2839" s="8" t="str">
        <f>IFERROR(INDEX('nav master'!$C:$C, MATCH(B2839, 'nav master'!$B:$B, 0)), "")</f>
        <v>ULIF 162 251125 SecLeaders 105</v>
      </c>
      <c r="E2839" s="8">
        <v>9.2553999999999998</v>
      </c>
      <c r="F2839" s="9">
        <v>46125</v>
      </c>
    </row>
    <row r="2840" spans="1:6" ht="60" x14ac:dyDescent="0.25">
      <c r="A2840" s="8" t="s">
        <v>63</v>
      </c>
      <c r="B2840" s="11" t="s">
        <v>52</v>
      </c>
      <c r="C2840" s="8" t="str">
        <f>IFERROR(_xlfn.XLOOKUP(TRIM(B2840),Lookup!$B$2:$B$1000,Lookup!$C$2:$C$1000),"")</f>
        <v>Equity</v>
      </c>
      <c r="D2840" s="8" t="str">
        <f>IFERROR(INDEX('nav master'!$C:$C, MATCH(B2840, 'nav master'!$B:$B, 0)), "")</f>
        <v>ULIF 162 251125 SecLeaders 105</v>
      </c>
      <c r="E2840" s="8">
        <v>9.4199000000000002</v>
      </c>
      <c r="F2840" s="9">
        <v>46127</v>
      </c>
    </row>
    <row r="2841" spans="1:6" ht="60" x14ac:dyDescent="0.25">
      <c r="A2841" s="8" t="s">
        <v>63</v>
      </c>
      <c r="B2841" s="11" t="s">
        <v>52</v>
      </c>
      <c r="C2841" s="8" t="str">
        <f>IFERROR(_xlfn.XLOOKUP(TRIM(B2841),Lookup!$B$2:$B$1000,Lookup!$C$2:$C$1000),"")</f>
        <v>Equity</v>
      </c>
      <c r="D2841" s="8" t="str">
        <f>IFERROR(INDEX('nav master'!$C:$C, MATCH(B2841, 'nav master'!$B:$B, 0)), "")</f>
        <v>ULIF 162 251125 SecLeaders 105</v>
      </c>
      <c r="E2841" s="8">
        <v>9.4427000000000003</v>
      </c>
      <c r="F2841" s="9">
        <v>46128</v>
      </c>
    </row>
    <row r="2842" spans="1:6" ht="60" x14ac:dyDescent="0.25">
      <c r="A2842" s="8" t="s">
        <v>63</v>
      </c>
      <c r="B2842" s="11" t="s">
        <v>52</v>
      </c>
      <c r="C2842" s="8" t="str">
        <f>IFERROR(_xlfn.XLOOKUP(TRIM(B2842),Lookup!$B$2:$B$1000,Lookup!$C$2:$C$1000),"")</f>
        <v>Equity</v>
      </c>
      <c r="D2842" s="8" t="str">
        <f>IFERROR(INDEX('nav master'!$C:$C, MATCH(B2842, 'nav master'!$B:$B, 0)), "")</f>
        <v>ULIF 162 251125 SecLeaders 105</v>
      </c>
      <c r="E2842" s="8">
        <v>9.5151000000000003</v>
      </c>
      <c r="F2842" s="9">
        <v>46129</v>
      </c>
    </row>
    <row r="2843" spans="1:6" ht="60" x14ac:dyDescent="0.25">
      <c r="A2843" s="8" t="s">
        <v>63</v>
      </c>
      <c r="B2843" s="11" t="s">
        <v>52</v>
      </c>
      <c r="C2843" s="8" t="str">
        <f>IFERROR(_xlfn.XLOOKUP(TRIM(B2843),Lookup!$B$2:$B$1000,Lookup!$C$2:$C$1000),"")</f>
        <v>Equity</v>
      </c>
      <c r="D2843" s="8" t="str">
        <f>IFERROR(INDEX('nav master'!$C:$C, MATCH(B2843, 'nav master'!$B:$B, 0)), "")</f>
        <v>ULIF 162 251125 SecLeaders 105</v>
      </c>
      <c r="E2843" s="8">
        <v>9.5196000000000005</v>
      </c>
      <c r="F2843" s="9">
        <v>46132</v>
      </c>
    </row>
    <row r="2844" spans="1:6" ht="60" x14ac:dyDescent="0.25">
      <c r="A2844" s="8" t="s">
        <v>63</v>
      </c>
      <c r="B2844" s="11" t="s">
        <v>52</v>
      </c>
      <c r="C2844" s="8" t="str">
        <f>IFERROR(_xlfn.XLOOKUP(TRIM(B2844),Lookup!$B$2:$B$1000,Lookup!$C$2:$C$1000),"")</f>
        <v>Equity</v>
      </c>
      <c r="D2844" s="8" t="str">
        <f>IFERROR(INDEX('nav master'!$C:$C, MATCH(B2844, 'nav master'!$B:$B, 0)), "")</f>
        <v>ULIF 162 251125 SecLeaders 105</v>
      </c>
      <c r="E2844" s="8">
        <v>9.5928000000000004</v>
      </c>
      <c r="F2844" s="9">
        <v>46133</v>
      </c>
    </row>
    <row r="2845" spans="1:6" ht="60" x14ac:dyDescent="0.25">
      <c r="A2845" s="8" t="s">
        <v>63</v>
      </c>
      <c r="B2845" s="11" t="s">
        <v>52</v>
      </c>
      <c r="C2845" s="8" t="str">
        <f>IFERROR(_xlfn.XLOOKUP(TRIM(B2845),Lookup!$B$2:$B$1000,Lookup!$C$2:$C$1000),"")</f>
        <v>Equity</v>
      </c>
      <c r="D2845" s="8" t="str">
        <f>IFERROR(INDEX('nav master'!$C:$C, MATCH(B2845, 'nav master'!$B:$B, 0)), "")</f>
        <v>ULIF 162 251125 SecLeaders 105</v>
      </c>
      <c r="E2845" s="8">
        <v>9.5767000000000007</v>
      </c>
      <c r="F2845" s="9">
        <v>46134</v>
      </c>
    </row>
    <row r="2846" spans="1:6" ht="60" x14ac:dyDescent="0.25">
      <c r="A2846" s="8" t="s">
        <v>63</v>
      </c>
      <c r="B2846" s="11" t="s">
        <v>52</v>
      </c>
      <c r="C2846" s="8" t="str">
        <f>IFERROR(_xlfn.XLOOKUP(TRIM(B2846),Lookup!$B$2:$B$1000,Lookup!$C$2:$C$1000),"")</f>
        <v>Equity</v>
      </c>
      <c r="D2846" s="8" t="str">
        <f>IFERROR(INDEX('nav master'!$C:$C, MATCH(B2846, 'nav master'!$B:$B, 0)), "")</f>
        <v>ULIF 162 251125 SecLeaders 105</v>
      </c>
      <c r="E2846" s="8">
        <v>9.5235000000000003</v>
      </c>
      <c r="F2846" s="9">
        <v>46135</v>
      </c>
    </row>
    <row r="2847" spans="1:6" ht="60" x14ac:dyDescent="0.25">
      <c r="A2847" s="8" t="s">
        <v>63</v>
      </c>
      <c r="B2847" s="11" t="s">
        <v>52</v>
      </c>
      <c r="C2847" s="8" t="str">
        <f>IFERROR(_xlfn.XLOOKUP(TRIM(B2847),Lookup!$B$2:$B$1000,Lookup!$C$2:$C$1000),"")</f>
        <v>Equity</v>
      </c>
      <c r="D2847" s="8" t="str">
        <f>IFERROR(INDEX('nav master'!$C:$C, MATCH(B2847, 'nav master'!$B:$B, 0)), "")</f>
        <v>ULIF 162 251125 SecLeaders 105</v>
      </c>
      <c r="E2847" s="8">
        <v>9.3988999999999994</v>
      </c>
      <c r="F2847" s="9">
        <v>46136</v>
      </c>
    </row>
    <row r="2848" spans="1:6" ht="60" x14ac:dyDescent="0.25">
      <c r="A2848" s="8" t="s">
        <v>63</v>
      </c>
      <c r="B2848" s="11" t="s">
        <v>52</v>
      </c>
      <c r="C2848" s="8" t="str">
        <f>IFERROR(_xlfn.XLOOKUP(TRIM(B2848),Lookup!$B$2:$B$1000,Lookup!$C$2:$C$1000),"")</f>
        <v>Equity</v>
      </c>
      <c r="D2848" s="8" t="str">
        <f>IFERROR(INDEX('nav master'!$C:$C, MATCH(B2848, 'nav master'!$B:$B, 0)), "")</f>
        <v>ULIF 162 251125 SecLeaders 105</v>
      </c>
      <c r="E2848" s="8">
        <v>9.5100999999999996</v>
      </c>
      <c r="F2848" s="9">
        <v>46139</v>
      </c>
    </row>
    <row r="2849" spans="1:6" ht="60" x14ac:dyDescent="0.25">
      <c r="A2849" s="8" t="s">
        <v>63</v>
      </c>
      <c r="B2849" s="11" t="s">
        <v>52</v>
      </c>
      <c r="C2849" s="8" t="str">
        <f>IFERROR(_xlfn.XLOOKUP(TRIM(B2849),Lookup!$B$2:$B$1000,Lookup!$C$2:$C$1000),"")</f>
        <v>Equity</v>
      </c>
      <c r="D2849" s="8" t="str">
        <f>IFERROR(INDEX('nav master'!$C:$C, MATCH(B2849, 'nav master'!$B:$B, 0)), "")</f>
        <v>ULIF 162 251125 SecLeaders 105</v>
      </c>
      <c r="E2849" s="8">
        <v>9.4913000000000007</v>
      </c>
      <c r="F2849" s="9">
        <v>46140</v>
      </c>
    </row>
    <row r="2850" spans="1:6" ht="60" x14ac:dyDescent="0.25">
      <c r="A2850" s="8" t="s">
        <v>63</v>
      </c>
      <c r="B2850" s="11" t="s">
        <v>52</v>
      </c>
      <c r="C2850" s="8" t="str">
        <f>IFERROR(_xlfn.XLOOKUP(TRIM(B2850),Lookup!$B$2:$B$1000,Lookup!$C$2:$C$1000),"")</f>
        <v>Equity</v>
      </c>
      <c r="D2850" s="8" t="str">
        <f>IFERROR(INDEX('nav master'!$C:$C, MATCH(B2850, 'nav master'!$B:$B, 0)), "")</f>
        <v>ULIF 162 251125 SecLeaders 105</v>
      </c>
      <c r="E2850" s="8">
        <v>9.5488999999999997</v>
      </c>
      <c r="F2850" s="9">
        <v>46141</v>
      </c>
    </row>
    <row r="2851" spans="1:6" ht="60" x14ac:dyDescent="0.25">
      <c r="A2851" s="8" t="s">
        <v>63</v>
      </c>
      <c r="B2851" s="11" t="s">
        <v>52</v>
      </c>
      <c r="C2851" s="8" t="str">
        <f>IFERROR(_xlfn.XLOOKUP(TRIM(B2851),Lookup!$B$2:$B$1000,Lookup!$C$2:$C$1000),"")</f>
        <v>Equity</v>
      </c>
      <c r="D2851" s="8" t="str">
        <f>IFERROR(INDEX('nav master'!$C:$C, MATCH(B2851, 'nav master'!$B:$B, 0)), "")</f>
        <v>ULIF 162 251125 SecLeaders 105</v>
      </c>
      <c r="E2851" s="8">
        <v>9.4847999999999999</v>
      </c>
      <c r="F2851" s="9">
        <v>46142</v>
      </c>
    </row>
    <row r="2852" spans="1:6" ht="60" x14ac:dyDescent="0.25">
      <c r="A2852" s="8" t="s">
        <v>63</v>
      </c>
      <c r="B2852" s="11" t="s">
        <v>52</v>
      </c>
      <c r="C2852" s="8" t="str">
        <f>IFERROR(_xlfn.XLOOKUP(TRIM(B2852),Lookup!$B$2:$B$1000,Lookup!$C$2:$C$1000),"")</f>
        <v>Equity</v>
      </c>
      <c r="D2852" s="8" t="str">
        <f>IFERROR(INDEX('nav master'!$C:$C, MATCH(B2852, 'nav master'!$B:$B, 0)), "")</f>
        <v>ULIF 162 251125 SecLeaders 105</v>
      </c>
      <c r="E2852" s="8">
        <v>9.5288000000000004</v>
      </c>
      <c r="F2852" s="9">
        <v>46146</v>
      </c>
    </row>
    <row r="2853" spans="1:6" ht="60" x14ac:dyDescent="0.25">
      <c r="A2853" s="8" t="s">
        <v>63</v>
      </c>
      <c r="B2853" s="11" t="s">
        <v>52</v>
      </c>
      <c r="C2853" s="8" t="str">
        <f>IFERROR(_xlfn.XLOOKUP(TRIM(B2853),Lookup!$B$2:$B$1000,Lookup!$C$2:$C$1000),"")</f>
        <v>Equity</v>
      </c>
      <c r="D2853" s="8" t="str">
        <f>IFERROR(INDEX('nav master'!$C:$C, MATCH(B2853, 'nav master'!$B:$B, 0)), "")</f>
        <v>ULIF 162 251125 SecLeaders 105</v>
      </c>
      <c r="E2853" s="8">
        <v>9.5070999999999994</v>
      </c>
      <c r="F2853" s="9">
        <v>46147</v>
      </c>
    </row>
    <row r="2854" spans="1:6" ht="60" x14ac:dyDescent="0.25">
      <c r="A2854" s="8" t="s">
        <v>63</v>
      </c>
      <c r="B2854" s="11" t="s">
        <v>52</v>
      </c>
      <c r="C2854" s="8" t="str">
        <f>IFERROR(_xlfn.XLOOKUP(TRIM(B2854),Lookup!$B$2:$B$1000,Lookup!$C$2:$C$1000),"")</f>
        <v>Equity</v>
      </c>
      <c r="D2854" s="8" t="str">
        <f>IFERROR(INDEX('nav master'!$C:$C, MATCH(B2854, 'nav master'!$B:$B, 0)), "")</f>
        <v>ULIF 162 251125 SecLeaders 105</v>
      </c>
      <c r="E2854" s="8">
        <v>9.6358999999999995</v>
      </c>
      <c r="F2854" s="9">
        <v>46148</v>
      </c>
    </row>
    <row r="2855" spans="1:6" ht="60" x14ac:dyDescent="0.25">
      <c r="A2855" s="8" t="s">
        <v>63</v>
      </c>
      <c r="B2855" s="11" t="s">
        <v>52</v>
      </c>
      <c r="C2855" s="8" t="str">
        <f>IFERROR(_xlfn.XLOOKUP(TRIM(B2855),Lookup!$B$2:$B$1000,Lookup!$C$2:$C$1000),"")</f>
        <v>Equity</v>
      </c>
      <c r="D2855" s="8" t="str">
        <f>IFERROR(INDEX('nav master'!$C:$C, MATCH(B2855, 'nav master'!$B:$B, 0)), "")</f>
        <v>ULIF 162 251125 SecLeaders 105</v>
      </c>
      <c r="E2855" s="8">
        <v>9.6677999999999997</v>
      </c>
      <c r="F2855" s="9">
        <v>46149</v>
      </c>
    </row>
    <row r="2856" spans="1:6" ht="60" x14ac:dyDescent="0.25">
      <c r="A2856" s="8" t="s">
        <v>63</v>
      </c>
      <c r="B2856" s="11" t="s">
        <v>52</v>
      </c>
      <c r="C2856" s="8" t="str">
        <f>IFERROR(_xlfn.XLOOKUP(TRIM(B2856),Lookup!$B$2:$B$1000,Lookup!$C$2:$C$1000),"")</f>
        <v>Equity</v>
      </c>
      <c r="D2856" s="8" t="str">
        <f>IFERROR(INDEX('nav master'!$C:$C, MATCH(B2856, 'nav master'!$B:$B, 0)), "")</f>
        <v>ULIF 162 251125 SecLeaders 105</v>
      </c>
      <c r="E2856" s="8">
        <v>9.6142000000000003</v>
      </c>
      <c r="F2856" s="9">
        <v>46150</v>
      </c>
    </row>
    <row r="2857" spans="1:6" ht="60" x14ac:dyDescent="0.25">
      <c r="A2857" s="8" t="s">
        <v>63</v>
      </c>
      <c r="B2857" s="11" t="s">
        <v>52</v>
      </c>
      <c r="C2857" s="8" t="str">
        <f>IFERROR(_xlfn.XLOOKUP(TRIM(B2857),Lookup!$B$2:$B$1000,Lookup!$C$2:$C$1000),"")</f>
        <v>Equity</v>
      </c>
      <c r="D2857" s="8" t="str">
        <f>IFERROR(INDEX('nav master'!$C:$C, MATCH(B2857, 'nav master'!$B:$B, 0)), "")</f>
        <v>ULIF 162 251125 SecLeaders 105</v>
      </c>
      <c r="E2857" s="8">
        <v>9.4411000000000005</v>
      </c>
      <c r="F2857" s="9">
        <v>46153</v>
      </c>
    </row>
    <row r="2858" spans="1:6" ht="60" x14ac:dyDescent="0.25">
      <c r="A2858" s="8" t="s">
        <v>63</v>
      </c>
      <c r="B2858" s="11" t="s">
        <v>52</v>
      </c>
      <c r="C2858" s="8" t="str">
        <f>IFERROR(_xlfn.XLOOKUP(TRIM(B2858),Lookup!$B$2:$B$1000,Lookup!$C$2:$C$1000),"")</f>
        <v>Equity</v>
      </c>
      <c r="D2858" s="8" t="str">
        <f>IFERROR(INDEX('nav master'!$C:$C, MATCH(B2858, 'nav master'!$B:$B, 0)), "")</f>
        <v>ULIF 162 251125 SecLeaders 105</v>
      </c>
      <c r="E2858" s="8">
        <v>9.2424999999999997</v>
      </c>
      <c r="F2858" s="9">
        <v>46154</v>
      </c>
    </row>
    <row r="2859" spans="1:6" ht="60" x14ac:dyDescent="0.25">
      <c r="A2859" s="8" t="s">
        <v>63</v>
      </c>
      <c r="B2859" s="11" t="s">
        <v>52</v>
      </c>
      <c r="C2859" s="8" t="str">
        <f>IFERROR(_xlfn.XLOOKUP(TRIM(B2859),Lookup!$B$2:$B$1000,Lookup!$C$2:$C$1000),"")</f>
        <v>Equity</v>
      </c>
      <c r="D2859" s="8" t="str">
        <f>IFERROR(INDEX('nav master'!$C:$C, MATCH(B2859, 'nav master'!$B:$B, 0)), "")</f>
        <v>ULIF 162 251125 SecLeaders 105</v>
      </c>
      <c r="E2859" s="8">
        <v>9.2838999999999992</v>
      </c>
      <c r="F2859" s="9">
        <v>46155</v>
      </c>
    </row>
    <row r="2860" spans="1:6" ht="60" x14ac:dyDescent="0.25">
      <c r="A2860" s="8" t="s">
        <v>63</v>
      </c>
      <c r="B2860" s="11" t="s">
        <v>52</v>
      </c>
      <c r="C2860" s="8" t="str">
        <f>IFERROR(_xlfn.XLOOKUP(TRIM(B2860),Lookup!$B$2:$B$1000,Lookup!$C$2:$C$1000),"")</f>
        <v>Equity</v>
      </c>
      <c r="D2860" s="8" t="str">
        <f>IFERROR(INDEX('nav master'!$C:$C, MATCH(B2860, 'nav master'!$B:$B, 0)), "")</f>
        <v>ULIF 162 251125 SecLeaders 105</v>
      </c>
      <c r="E2860" s="8">
        <v>9.3928999999999991</v>
      </c>
      <c r="F2860" s="9">
        <v>46156</v>
      </c>
    </row>
    <row r="2861" spans="1:6" ht="60" x14ac:dyDescent="0.25">
      <c r="A2861" s="8" t="s">
        <v>63</v>
      </c>
      <c r="B2861" s="11" t="s">
        <v>52</v>
      </c>
      <c r="C2861" s="8" t="str">
        <f>IFERROR(_xlfn.XLOOKUP(TRIM(B2861),Lookup!$B$2:$B$1000,Lookup!$C$2:$C$1000),"")</f>
        <v>Equity</v>
      </c>
      <c r="D2861" s="8" t="str">
        <f>IFERROR(INDEX('nav master'!$C:$C, MATCH(B2861, 'nav master'!$B:$B, 0)), "")</f>
        <v>ULIF 162 251125 SecLeaders 105</v>
      </c>
      <c r="E2861" s="8">
        <v>9.3627000000000002</v>
      </c>
      <c r="F2861" s="9">
        <v>46157</v>
      </c>
    </row>
    <row r="2862" spans="1:6" ht="60" x14ac:dyDescent="0.25">
      <c r="A2862" s="8" t="s">
        <v>63</v>
      </c>
      <c r="B2862" s="11" t="s">
        <v>52</v>
      </c>
      <c r="C2862" s="8" t="str">
        <f>IFERROR(_xlfn.XLOOKUP(TRIM(B2862),Lookup!$B$2:$B$1000,Lookup!$C$2:$C$1000),"")</f>
        <v>Equity</v>
      </c>
      <c r="D2862" s="8" t="str">
        <f>IFERROR(INDEX('nav master'!$C:$C, MATCH(B2862, 'nav master'!$B:$B, 0)), "")</f>
        <v>ULIF 162 251125 SecLeaders 105</v>
      </c>
      <c r="E2862" s="8">
        <v>9.3328000000000007</v>
      </c>
      <c r="F2862" s="9">
        <v>46160</v>
      </c>
    </row>
    <row r="2863" spans="1:6" ht="60" x14ac:dyDescent="0.25">
      <c r="A2863" s="8" t="s">
        <v>63</v>
      </c>
      <c r="B2863" s="11" t="s">
        <v>52</v>
      </c>
      <c r="C2863" s="8" t="str">
        <f>IFERROR(_xlfn.XLOOKUP(TRIM(B2863),Lookup!$B$2:$B$1000,Lookup!$C$2:$C$1000),"")</f>
        <v>Equity</v>
      </c>
      <c r="D2863" s="8" t="str">
        <f>IFERROR(INDEX('nav master'!$C:$C, MATCH(B2863, 'nav master'!$B:$B, 0)), "")</f>
        <v>ULIF 162 251125 SecLeaders 105</v>
      </c>
      <c r="E2863" s="8">
        <v>9.3549000000000007</v>
      </c>
      <c r="F2863" s="9">
        <v>46161</v>
      </c>
    </row>
    <row r="2864" spans="1:6" ht="60" x14ac:dyDescent="0.25">
      <c r="A2864" s="8" t="s">
        <v>63</v>
      </c>
      <c r="B2864" s="11" t="s">
        <v>52</v>
      </c>
      <c r="C2864" s="8" t="str">
        <f>IFERROR(_xlfn.XLOOKUP(TRIM(B2864),Lookup!$B$2:$B$1000,Lookup!$C$2:$C$1000),"")</f>
        <v>Equity</v>
      </c>
      <c r="D2864" s="8" t="str">
        <f>IFERROR(INDEX('nav master'!$C:$C, MATCH(B2864, 'nav master'!$B:$B, 0)), "")</f>
        <v>ULIF 162 251125 SecLeaders 105</v>
      </c>
      <c r="E2864" s="8">
        <v>9.3468</v>
      </c>
      <c r="F2864" s="9">
        <v>46162</v>
      </c>
    </row>
    <row r="2865" spans="1:6" ht="60" x14ac:dyDescent="0.25">
      <c r="A2865" s="8" t="s">
        <v>63</v>
      </c>
      <c r="B2865" s="11" t="s">
        <v>52</v>
      </c>
      <c r="C2865" s="8" t="str">
        <f>IFERROR(_xlfn.XLOOKUP(TRIM(B2865),Lookup!$B$2:$B$1000,Lookup!$C$2:$C$1000),"")</f>
        <v>Equity</v>
      </c>
      <c r="D2865" s="8" t="str">
        <f>IFERROR(INDEX('nav master'!$C:$C, MATCH(B2865, 'nav master'!$B:$B, 0)), "")</f>
        <v>ULIF 162 251125 SecLeaders 105</v>
      </c>
      <c r="E2865" s="8">
        <v>9.3666999999999998</v>
      </c>
      <c r="F2865" s="9">
        <v>46163</v>
      </c>
    </row>
    <row r="2866" spans="1:6" ht="60" x14ac:dyDescent="0.25">
      <c r="A2866" s="8" t="s">
        <v>63</v>
      </c>
      <c r="B2866" s="11" t="s">
        <v>52</v>
      </c>
      <c r="C2866" s="8" t="str">
        <f>IFERROR(_xlfn.XLOOKUP(TRIM(B2866),Lookup!$B$2:$B$1000,Lookup!$C$2:$C$1000),"")</f>
        <v>Equity</v>
      </c>
      <c r="D2866" s="8" t="str">
        <f>IFERROR(INDEX('nav master'!$C:$C, MATCH(B2866, 'nav master'!$B:$B, 0)), "")</f>
        <v>ULIF 162 251125 SecLeaders 105</v>
      </c>
      <c r="E2866" s="8">
        <v>9.3651999999999997</v>
      </c>
      <c r="F2866" s="9">
        <v>46164</v>
      </c>
    </row>
    <row r="2867" spans="1:6" ht="60" x14ac:dyDescent="0.25">
      <c r="A2867" s="8" t="s">
        <v>63</v>
      </c>
      <c r="B2867" s="11" t="s">
        <v>52</v>
      </c>
      <c r="C2867" s="8" t="str">
        <f>IFERROR(_xlfn.XLOOKUP(TRIM(B2867),Lookup!$B$2:$B$1000,Lookup!$C$2:$C$1000),"")</f>
        <v>Equity</v>
      </c>
      <c r="D2867" s="8" t="str">
        <f>IFERROR(INDEX('nav master'!$C:$C, MATCH(B2867, 'nav master'!$B:$B, 0)), "")</f>
        <v>ULIF 162 251125 SecLeaders 105</v>
      </c>
      <c r="E2867" s="8">
        <v>9.4650999999999996</v>
      </c>
      <c r="F2867" s="9">
        <v>46167</v>
      </c>
    </row>
    <row r="2868" spans="1:6" ht="60" x14ac:dyDescent="0.25">
      <c r="A2868" s="8" t="s">
        <v>63</v>
      </c>
      <c r="B2868" s="11" t="s">
        <v>52</v>
      </c>
      <c r="C2868" s="8" t="str">
        <f>IFERROR(_xlfn.XLOOKUP(TRIM(B2868),Lookup!$B$2:$B$1000,Lookup!$C$2:$C$1000),"")</f>
        <v>Equity</v>
      </c>
      <c r="D2868" s="8" t="str">
        <f>IFERROR(INDEX('nav master'!$C:$C, MATCH(B2868, 'nav master'!$B:$B, 0)), "")</f>
        <v>ULIF 162 251125 SecLeaders 105</v>
      </c>
      <c r="E2868" s="8">
        <v>9.4291999999999998</v>
      </c>
      <c r="F2868" s="9">
        <v>46168</v>
      </c>
    </row>
    <row r="2869" spans="1:6" ht="60" x14ac:dyDescent="0.25">
      <c r="A2869" s="8" t="s">
        <v>63</v>
      </c>
      <c r="B2869" s="11" t="s">
        <v>52</v>
      </c>
      <c r="C2869" s="8" t="str">
        <f>IFERROR(_xlfn.XLOOKUP(TRIM(B2869),Lookup!$B$2:$B$1000,Lookup!$C$2:$C$1000),"")</f>
        <v>Equity</v>
      </c>
      <c r="D2869" s="8" t="str">
        <f>IFERROR(INDEX('nav master'!$C:$C, MATCH(B2869, 'nav master'!$B:$B, 0)), "")</f>
        <v>ULIF 162 251125 SecLeaders 105</v>
      </c>
      <c r="E2869" s="8">
        <v>9.4483999999999995</v>
      </c>
      <c r="F2869" s="9">
        <v>46169</v>
      </c>
    </row>
    <row r="2870" spans="1:6" ht="60" x14ac:dyDescent="0.25">
      <c r="A2870" s="8" t="s">
        <v>63</v>
      </c>
      <c r="B2870" s="11" t="s">
        <v>52</v>
      </c>
      <c r="C2870" s="8" t="str">
        <f>IFERROR(_xlfn.XLOOKUP(TRIM(B2870),Lookup!$B$2:$B$1000,Lookup!$C$2:$C$1000),"")</f>
        <v>Equity</v>
      </c>
      <c r="D2870" s="8" t="str">
        <f>IFERROR(INDEX('nav master'!$C:$C, MATCH(B2870, 'nav master'!$B:$B, 0)), "")</f>
        <v>ULIF 162 251125 SecLeaders 105</v>
      </c>
      <c r="E2870" s="8">
        <v>9.3224</v>
      </c>
      <c r="F2870" s="9">
        <v>46171</v>
      </c>
    </row>
    <row r="2871" spans="1:6" ht="60" x14ac:dyDescent="0.25">
      <c r="A2871" s="8" t="s">
        <v>63</v>
      </c>
      <c r="B2871" s="11" t="s">
        <v>52</v>
      </c>
      <c r="C2871" s="8" t="str">
        <f>IFERROR(_xlfn.XLOOKUP(TRIM(B2871),Lookup!$B$2:$B$1000,Lookup!$C$2:$C$1000),"")</f>
        <v>Equity</v>
      </c>
      <c r="D2871" s="8" t="str">
        <f>IFERROR(INDEX('nav master'!$C:$C, MATCH(B2871, 'nav master'!$B:$B, 0)), "")</f>
        <v>ULIF 162 251125 SecLeaders 105</v>
      </c>
      <c r="E2871" s="8">
        <v>9.2586999999999993</v>
      </c>
      <c r="F2871" s="9">
        <v>46174</v>
      </c>
    </row>
    <row r="2872" spans="1:6" ht="60" x14ac:dyDescent="0.25">
      <c r="A2872" s="8" t="s">
        <v>63</v>
      </c>
      <c r="B2872" s="11" t="s">
        <v>52</v>
      </c>
      <c r="C2872" s="8" t="str">
        <f>IFERROR(_xlfn.XLOOKUP(TRIM(B2872),Lookup!$B$2:$B$1000,Lookup!$C$2:$C$1000),"")</f>
        <v>Equity</v>
      </c>
      <c r="D2872" s="8" t="str">
        <f>IFERROR(INDEX('nav master'!$C:$C, MATCH(B2872, 'nav master'!$B:$B, 0)), "")</f>
        <v>ULIF 162 251125 SecLeaders 105</v>
      </c>
      <c r="E2872" s="8">
        <v>9.3034999999999997</v>
      </c>
      <c r="F2872" s="9">
        <v>46175</v>
      </c>
    </row>
    <row r="2873" spans="1:6" ht="60" x14ac:dyDescent="0.25">
      <c r="A2873" s="8" t="s">
        <v>63</v>
      </c>
      <c r="B2873" s="11" t="s">
        <v>52</v>
      </c>
      <c r="C2873" s="8" t="str">
        <f>IFERROR(_xlfn.XLOOKUP(TRIM(B2873),Lookup!$B$2:$B$1000,Lookup!$C$2:$C$1000),"")</f>
        <v>Equity</v>
      </c>
      <c r="D2873" s="8" t="str">
        <f>IFERROR(INDEX('nav master'!$C:$C, MATCH(B2873, 'nav master'!$B:$B, 0)), "")</f>
        <v>ULIF 162 251125 SecLeaders 105</v>
      </c>
      <c r="E2873" s="8">
        <v>9.2667999999999999</v>
      </c>
      <c r="F2873" s="9">
        <v>46176</v>
      </c>
    </row>
    <row r="2874" spans="1:6" ht="60" x14ac:dyDescent="0.25">
      <c r="A2874" s="8" t="s">
        <v>63</v>
      </c>
      <c r="B2874" s="11" t="s">
        <v>52</v>
      </c>
      <c r="C2874" s="8" t="str">
        <f>IFERROR(_xlfn.XLOOKUP(TRIM(B2874),Lookup!$B$2:$B$1000,Lookup!$C$2:$C$1000),"")</f>
        <v>Equity</v>
      </c>
      <c r="D2874" s="8" t="str">
        <f>IFERROR(INDEX('nav master'!$C:$C, MATCH(B2874, 'nav master'!$B:$B, 0)), "")</f>
        <v>ULIF 162 251125 SecLeaders 105</v>
      </c>
      <c r="E2874" s="8">
        <v>9.2842000000000002</v>
      </c>
      <c r="F2874" s="9">
        <v>46177</v>
      </c>
    </row>
    <row r="2875" spans="1:6" ht="60" x14ac:dyDescent="0.25">
      <c r="A2875" s="8" t="s">
        <v>63</v>
      </c>
      <c r="B2875" s="11" t="s">
        <v>52</v>
      </c>
      <c r="C2875" s="8" t="str">
        <f>IFERROR(_xlfn.XLOOKUP(TRIM(B2875),Lookup!$B$2:$B$1000,Lookup!$C$2:$C$1000),"")</f>
        <v>Equity</v>
      </c>
      <c r="D2875" s="8" t="str">
        <f>IFERROR(INDEX('nav master'!$C:$C, MATCH(B2875, 'nav master'!$B:$B, 0)), "")</f>
        <v>ULIF 162 251125 SecLeaders 105</v>
      </c>
      <c r="E2875" s="8">
        <v>9.2805999999999997</v>
      </c>
      <c r="F2875" s="9">
        <v>46178</v>
      </c>
    </row>
    <row r="2876" spans="1:6" ht="60" x14ac:dyDescent="0.25">
      <c r="A2876" s="8" t="s">
        <v>63</v>
      </c>
      <c r="B2876" s="11" t="s">
        <v>52</v>
      </c>
      <c r="C2876" s="8" t="str">
        <f>IFERROR(_xlfn.XLOOKUP(TRIM(B2876),Lookup!$B$2:$B$1000,Lookup!$C$2:$C$1000),"")</f>
        <v>Equity</v>
      </c>
      <c r="D2876" s="8" t="str">
        <f>IFERROR(INDEX('nav master'!$C:$C, MATCH(B2876, 'nav master'!$B:$B, 0)), "")</f>
        <v>ULIF 162 251125 SecLeaders 105</v>
      </c>
      <c r="E2876" s="8">
        <v>9.1648999999999994</v>
      </c>
      <c r="F2876" s="9">
        <v>46181</v>
      </c>
    </row>
    <row r="2877" spans="1:6" ht="60" x14ac:dyDescent="0.25">
      <c r="A2877" s="8" t="s">
        <v>63</v>
      </c>
      <c r="B2877" s="11" t="s">
        <v>52</v>
      </c>
      <c r="C2877" s="8" t="str">
        <f>IFERROR(_xlfn.XLOOKUP(TRIM(B2877),Lookup!$B$2:$B$1000,Lookup!$C$2:$C$1000),"")</f>
        <v>Equity</v>
      </c>
      <c r="D2877" s="8" t="str">
        <f>IFERROR(INDEX('nav master'!$C:$C, MATCH(B2877, 'nav master'!$B:$B, 0)), "")</f>
        <v>ULIF 162 251125 SecLeaders 105</v>
      </c>
      <c r="E2877" s="8">
        <v>9.2141000000000002</v>
      </c>
      <c r="F2877" s="9">
        <v>46182</v>
      </c>
    </row>
    <row r="2878" spans="1:6" ht="60" x14ac:dyDescent="0.25">
      <c r="A2878" s="8" t="s">
        <v>63</v>
      </c>
      <c r="B2878" s="11" t="s">
        <v>52</v>
      </c>
      <c r="C2878" s="8" t="str">
        <f>IFERROR(_xlfn.XLOOKUP(TRIM(B2878),Lookup!$B$2:$B$1000,Lookup!$C$2:$C$1000),"")</f>
        <v>Equity</v>
      </c>
      <c r="D2878" s="8" t="str">
        <f>IFERROR(INDEX('nav master'!$C:$C, MATCH(B2878, 'nav master'!$B:$B, 0)), "")</f>
        <v>ULIF 162 251125 SecLeaders 105</v>
      </c>
      <c r="E2878" s="8">
        <v>9.1584000000000003</v>
      </c>
      <c r="F2878" s="9">
        <v>46183</v>
      </c>
    </row>
    <row r="2879" spans="1:6" ht="60" x14ac:dyDescent="0.25">
      <c r="A2879" s="8" t="s">
        <v>63</v>
      </c>
      <c r="B2879" s="11" t="s">
        <v>52</v>
      </c>
      <c r="C2879" s="8" t="str">
        <f>IFERROR(_xlfn.XLOOKUP(TRIM(B2879),Lookup!$B$2:$B$1000,Lookup!$C$2:$C$1000),"")</f>
        <v>Equity</v>
      </c>
      <c r="D2879" s="8" t="str">
        <f>IFERROR(INDEX('nav master'!$C:$C, MATCH(B2879, 'nav master'!$B:$B, 0)), "")</f>
        <v>ULIF 162 251125 SecLeaders 105</v>
      </c>
      <c r="E2879" s="8">
        <v>9.1171000000000006</v>
      </c>
      <c r="F2879" s="9">
        <v>46184</v>
      </c>
    </row>
    <row r="2880" spans="1:6" ht="60" x14ac:dyDescent="0.25">
      <c r="A2880" s="8" t="s">
        <v>63</v>
      </c>
      <c r="B2880" s="11" t="s">
        <v>52</v>
      </c>
      <c r="C2880" s="8" t="str">
        <f>IFERROR(_xlfn.XLOOKUP(TRIM(B2880),Lookup!$B$2:$B$1000,Lookup!$C$2:$C$1000),"")</f>
        <v>Equity</v>
      </c>
      <c r="D2880" s="8" t="str">
        <f>IFERROR(INDEX('nav master'!$C:$C, MATCH(B2880, 'nav master'!$B:$B, 0)), "")</f>
        <v>ULIF 162 251125 SecLeaders 105</v>
      </c>
      <c r="E2880" s="8">
        <v>9.2873000000000001</v>
      </c>
      <c r="F2880" s="9">
        <v>46185</v>
      </c>
    </row>
    <row r="2881" spans="1:6" ht="60" x14ac:dyDescent="0.25">
      <c r="A2881" s="8" t="s">
        <v>63</v>
      </c>
      <c r="B2881" s="11" t="s">
        <v>52</v>
      </c>
      <c r="C2881" s="8" t="str">
        <f>IFERROR(_xlfn.XLOOKUP(TRIM(B2881),Lookup!$B$2:$B$1000,Lookup!$C$2:$C$1000),"")</f>
        <v>Equity</v>
      </c>
      <c r="D2881" s="8" t="str">
        <f>IFERROR(INDEX('nav master'!$C:$C, MATCH(B2881, 'nav master'!$B:$B, 0)), "")</f>
        <v>ULIF 162 251125 SecLeaders 105</v>
      </c>
      <c r="E2881" s="8">
        <v>9.3826000000000001</v>
      </c>
      <c r="F2881" s="9">
        <v>46188</v>
      </c>
    </row>
    <row r="2882" spans="1:6" ht="60" x14ac:dyDescent="0.25">
      <c r="A2882" s="8" t="s">
        <v>63</v>
      </c>
      <c r="B2882" s="11" t="s">
        <v>52</v>
      </c>
      <c r="C2882" s="8" t="str">
        <f>IFERROR(_xlfn.XLOOKUP(TRIM(B2882),Lookup!$B$2:$B$1000,Lookup!$C$2:$C$1000),"")</f>
        <v>Equity</v>
      </c>
      <c r="D2882" s="8" t="str">
        <f>IFERROR(INDEX('nav master'!$C:$C, MATCH(B2882, 'nav master'!$B:$B, 0)), "")</f>
        <v>ULIF 162 251125 SecLeaders 105</v>
      </c>
      <c r="E2882" s="8">
        <v>9.4376999999999995</v>
      </c>
      <c r="F2882" s="9">
        <v>46189</v>
      </c>
    </row>
    <row r="2883" spans="1:6" ht="60" x14ac:dyDescent="0.25">
      <c r="A2883" s="8" t="s">
        <v>63</v>
      </c>
      <c r="B2883" s="11" t="s">
        <v>52</v>
      </c>
      <c r="C2883" s="8" t="str">
        <f>IFERROR(_xlfn.XLOOKUP(TRIM(B2883),Lookup!$B$2:$B$1000,Lookup!$C$2:$C$1000),"")</f>
        <v>Equity</v>
      </c>
      <c r="D2883" s="8" t="str">
        <f>IFERROR(INDEX('nav master'!$C:$C, MATCH(B2883, 'nav master'!$B:$B, 0)), "")</f>
        <v>ULIF 162 251125 SecLeaders 105</v>
      </c>
      <c r="E2883" s="8">
        <v>9.4925999999999995</v>
      </c>
      <c r="F2883" s="9">
        <v>46190</v>
      </c>
    </row>
    <row r="2884" spans="1:6" ht="60" x14ac:dyDescent="0.25">
      <c r="A2884" s="8" t="s">
        <v>63</v>
      </c>
      <c r="B2884" s="11" t="s">
        <v>52</v>
      </c>
      <c r="C2884" s="8" t="str">
        <f>IFERROR(_xlfn.XLOOKUP(TRIM(B2884),Lookup!$B$2:$B$1000,Lookup!$C$2:$C$1000),"")</f>
        <v>Equity</v>
      </c>
      <c r="D2884" s="8" t="str">
        <f>IFERROR(INDEX('nav master'!$C:$C, MATCH(B2884, 'nav master'!$B:$B, 0)), "")</f>
        <v>ULIF 162 251125 SecLeaders 105</v>
      </c>
      <c r="E2884" s="8">
        <v>9.5545000000000009</v>
      </c>
      <c r="F2884" s="9">
        <v>46191</v>
      </c>
    </row>
    <row r="2885" spans="1:6" ht="60" x14ac:dyDescent="0.25">
      <c r="A2885" s="8" t="s">
        <v>63</v>
      </c>
      <c r="B2885" s="11" t="s">
        <v>52</v>
      </c>
      <c r="C2885" s="8" t="str">
        <f>IFERROR(_xlfn.XLOOKUP(TRIM(B2885),Lookup!$B$2:$B$1000,Lookup!$C$2:$C$1000),"")</f>
        <v>Equity</v>
      </c>
      <c r="D2885" s="8" t="str">
        <f>IFERROR(INDEX('nav master'!$C:$C, MATCH(B2885, 'nav master'!$B:$B, 0)), "")</f>
        <v>ULIF 162 251125 SecLeaders 105</v>
      </c>
      <c r="E2885" s="8">
        <v>9.5105000000000004</v>
      </c>
      <c r="F2885" s="9">
        <v>46192</v>
      </c>
    </row>
    <row r="2886" spans="1:6" ht="60" x14ac:dyDescent="0.25">
      <c r="A2886" s="8" t="s">
        <v>63</v>
      </c>
      <c r="B2886" s="11" t="s">
        <v>52</v>
      </c>
      <c r="C2886" s="8" t="str">
        <f>IFERROR(_xlfn.XLOOKUP(TRIM(B2886),Lookup!$B$2:$B$1000,Lookup!$C$2:$C$1000),"")</f>
        <v>Equity</v>
      </c>
      <c r="D2886" s="8" t="str">
        <f>IFERROR(INDEX('nav master'!$C:$C, MATCH(B2886, 'nav master'!$B:$B, 0)), "")</f>
        <v>ULIF 162 251125 SecLeaders 105</v>
      </c>
      <c r="E2886" s="8">
        <v>9.5530000000000008</v>
      </c>
      <c r="F2886" s="9">
        <v>46195</v>
      </c>
    </row>
    <row r="2887" spans="1:6" ht="60" x14ac:dyDescent="0.25">
      <c r="A2887" s="8" t="s">
        <v>63</v>
      </c>
      <c r="B2887" s="11" t="s">
        <v>52</v>
      </c>
      <c r="C2887" s="8" t="str">
        <f>IFERROR(_xlfn.XLOOKUP(TRIM(B2887),Lookup!$B$2:$B$1000,Lookup!$C$2:$C$1000),"")</f>
        <v>Equity</v>
      </c>
      <c r="D2887" s="8" t="str">
        <f>IFERROR(INDEX('nav master'!$C:$C, MATCH(B2887, 'nav master'!$B:$B, 0)), "")</f>
        <v>ULIF 162 251125 SecLeaders 105</v>
      </c>
      <c r="E2887" s="8">
        <v>9.4459</v>
      </c>
      <c r="F2887" s="9">
        <v>46196</v>
      </c>
    </row>
    <row r="2888" spans="1:6" ht="60" x14ac:dyDescent="0.25">
      <c r="A2888" s="8" t="s">
        <v>63</v>
      </c>
      <c r="B2888" s="11" t="s">
        <v>52</v>
      </c>
      <c r="C2888" s="8" t="str">
        <f>IFERROR(_xlfn.XLOOKUP(TRIM(B2888),Lookup!$B$2:$B$1000,Lookup!$C$2:$C$1000),"")</f>
        <v>Equity</v>
      </c>
      <c r="D2888" s="8" t="str">
        <f>IFERROR(INDEX('nav master'!$C:$C, MATCH(B2888, 'nav master'!$B:$B, 0)), "")</f>
        <v>ULIF 162 251125 SecLeaders 105</v>
      </c>
      <c r="E2888" s="8">
        <v>9.5090000000000003</v>
      </c>
      <c r="F2888" s="9">
        <v>46197</v>
      </c>
    </row>
    <row r="2889" spans="1:6" ht="60" x14ac:dyDescent="0.25">
      <c r="A2889" s="8" t="s">
        <v>63</v>
      </c>
      <c r="B2889" s="11" t="s">
        <v>52</v>
      </c>
      <c r="C2889" s="8" t="str">
        <f>IFERROR(_xlfn.XLOOKUP(TRIM(B2889),Lookup!$B$2:$B$1000,Lookup!$C$2:$C$1000),"")</f>
        <v>Equity</v>
      </c>
      <c r="D2889" s="8" t="str">
        <f>IFERROR(INDEX('nav master'!$C:$C, MATCH(B2889, 'nav master'!$B:$B, 0)), "")</f>
        <v>ULIF 162 251125 SecLeaders 105</v>
      </c>
      <c r="E2889" s="8">
        <v>9.5055999999999994</v>
      </c>
      <c r="F2889" s="9">
        <v>46198</v>
      </c>
    </row>
    <row r="2890" spans="1:6" ht="60" x14ac:dyDescent="0.25">
      <c r="A2890" s="8" t="s">
        <v>63</v>
      </c>
      <c r="B2890" s="11" t="s">
        <v>52</v>
      </c>
      <c r="C2890" s="8" t="str">
        <f>IFERROR(_xlfn.XLOOKUP(TRIM(B2890),Lookup!$B$2:$B$1000,Lookup!$C$2:$C$1000),"")</f>
        <v>Equity</v>
      </c>
      <c r="D2890" s="8" t="str">
        <f>IFERROR(INDEX('nav master'!$C:$C, MATCH(B2890, 'nav master'!$B:$B, 0)), "")</f>
        <v>ULIF 162 251125 SecLeaders 105</v>
      </c>
      <c r="E2890" s="8">
        <v>9.4429999999999996</v>
      </c>
      <c r="F2890" s="9">
        <v>46202</v>
      </c>
    </row>
    <row r="2891" spans="1:6" ht="60" x14ac:dyDescent="0.25">
      <c r="A2891" s="8" t="s">
        <v>63</v>
      </c>
      <c r="B2891" s="11" t="s">
        <v>52</v>
      </c>
      <c r="C2891" s="8" t="str">
        <f>IFERROR(_xlfn.XLOOKUP(TRIM(B2891),Lookup!$B$2:$B$1000,Lookup!$C$2:$C$1000),"")</f>
        <v>Equity</v>
      </c>
      <c r="D2891" s="8" t="str">
        <f>IFERROR(INDEX('nav master'!$C:$C, MATCH(B2891, 'nav master'!$B:$B, 0)), "")</f>
        <v>ULIF 162 251125 SecLeaders 105</v>
      </c>
      <c r="E2891" s="8">
        <v>9.4435000000000002</v>
      </c>
      <c r="F2891" s="9">
        <v>46203</v>
      </c>
    </row>
    <row r="2892" spans="1:6" ht="60" x14ac:dyDescent="0.25">
      <c r="A2892" s="8" t="s">
        <v>63</v>
      </c>
      <c r="B2892" s="11" t="s">
        <v>52</v>
      </c>
      <c r="C2892" s="8" t="str">
        <f>IFERROR(_xlfn.XLOOKUP(TRIM(B2892),Lookup!$B$2:$B$1000,Lookup!$C$2:$C$1000),"")</f>
        <v>Equity</v>
      </c>
      <c r="D2892" s="8" t="str">
        <f>IFERROR(INDEX('nav master'!$C:$C, MATCH(B2892, 'nav master'!$B:$B, 0)), "")</f>
        <v>ULIF 162 251125 SecLeaders 105</v>
      </c>
      <c r="E2892" s="8">
        <v>9.5218000000000007</v>
      </c>
      <c r="F2892" s="9">
        <v>46204</v>
      </c>
    </row>
    <row r="2893" spans="1:6" ht="60" x14ac:dyDescent="0.25">
      <c r="A2893" s="8" t="s">
        <v>63</v>
      </c>
      <c r="B2893" s="11" t="s">
        <v>52</v>
      </c>
      <c r="C2893" s="8" t="str">
        <f>IFERROR(_xlfn.XLOOKUP(TRIM(B2893),Lookup!$B$2:$B$1000,Lookup!$C$2:$C$1000),"")</f>
        <v>Equity</v>
      </c>
      <c r="D2893" s="8" t="str">
        <f>IFERROR(INDEX('nav master'!$C:$C, MATCH(B2893, 'nav master'!$B:$B, 0)), "")</f>
        <v>ULIF 162 251125 SecLeaders 105</v>
      </c>
      <c r="E2893" s="8">
        <v>9.5908999999999995</v>
      </c>
      <c r="F2893" s="9">
        <v>46205</v>
      </c>
    </row>
    <row r="2894" spans="1:6" ht="60" x14ac:dyDescent="0.25">
      <c r="A2894" s="8" t="s">
        <v>63</v>
      </c>
      <c r="B2894" s="11" t="s">
        <v>52</v>
      </c>
      <c r="C2894" s="8" t="str">
        <f>IFERROR(_xlfn.XLOOKUP(TRIM(B2894),Lookup!$B$2:$B$1000,Lookup!$C$2:$C$1000),"")</f>
        <v>Equity</v>
      </c>
      <c r="D2894" s="8" t="str">
        <f>IFERROR(INDEX('nav master'!$C:$C, MATCH(B2894, 'nav master'!$B:$B, 0)), "")</f>
        <v>ULIF 162 251125 SecLeaders 105</v>
      </c>
      <c r="E2894" s="8">
        <v>9.6280000000000001</v>
      </c>
      <c r="F2894" s="9">
        <v>46206</v>
      </c>
    </row>
    <row r="2895" spans="1:6" ht="60" x14ac:dyDescent="0.25">
      <c r="A2895" s="8" t="s">
        <v>63</v>
      </c>
      <c r="B2895" s="11" t="s">
        <v>52</v>
      </c>
      <c r="C2895" s="8" t="str">
        <f>IFERROR(_xlfn.XLOOKUP(TRIM(B2895),Lookup!$B$2:$B$1000,Lookup!$C$2:$C$1000),"")</f>
        <v>Equity</v>
      </c>
      <c r="D2895" s="8" t="str">
        <f>IFERROR(INDEX('nav master'!$C:$C, MATCH(B2895, 'nav master'!$B:$B, 0)), "")</f>
        <v>ULIF 162 251125 SecLeaders 105</v>
      </c>
      <c r="E2895" s="8">
        <v>9.6715</v>
      </c>
      <c r="F2895" s="9">
        <v>46209</v>
      </c>
    </row>
    <row r="2896" spans="1:6" ht="60" x14ac:dyDescent="0.25">
      <c r="A2896" s="8" t="s">
        <v>63</v>
      </c>
      <c r="B2896" s="11" t="s">
        <v>52</v>
      </c>
      <c r="C2896" s="8" t="str">
        <f>IFERROR(_xlfn.XLOOKUP(TRIM(B2896),Lookup!$B$2:$B$1000,Lookup!$C$2:$C$1000),"")</f>
        <v>Equity</v>
      </c>
      <c r="D2896" s="8" t="str">
        <f>IFERROR(INDEX('nav master'!$C:$C, MATCH(B2896, 'nav master'!$B:$B, 0)), "")</f>
        <v>ULIF 162 251125 SecLeaders 105</v>
      </c>
      <c r="E2896" s="8">
        <v>9.6359999999999992</v>
      </c>
      <c r="F2896" s="9">
        <v>46210</v>
      </c>
    </row>
    <row r="2897" spans="1:6" ht="60" x14ac:dyDescent="0.25">
      <c r="A2897" s="8" t="s">
        <v>63</v>
      </c>
      <c r="B2897" s="11" t="s">
        <v>52</v>
      </c>
      <c r="C2897" s="8" t="str">
        <f>IFERROR(_xlfn.XLOOKUP(TRIM(B2897),Lookup!$B$2:$B$1000,Lookup!$C$2:$C$1000),"")</f>
        <v>Equity</v>
      </c>
      <c r="D2897" s="8" t="str">
        <f>IFERROR(INDEX('nav master'!$C:$C, MATCH(B2897, 'nav master'!$B:$B, 0)), "")</f>
        <v>ULIF 162 251125 SecLeaders 105</v>
      </c>
      <c r="E2897" s="8">
        <v>9.4541000000000004</v>
      </c>
      <c r="F2897" s="9">
        <v>46211</v>
      </c>
    </row>
    <row r="2898" spans="1:6" ht="60" x14ac:dyDescent="0.25">
      <c r="A2898" s="8" t="s">
        <v>63</v>
      </c>
      <c r="B2898" s="11" t="s">
        <v>52</v>
      </c>
      <c r="C2898" s="8" t="str">
        <f>IFERROR(_xlfn.XLOOKUP(TRIM(B2898),Lookup!$B$2:$B$1000,Lookup!$C$2:$C$1000),"")</f>
        <v>Equity</v>
      </c>
      <c r="D2898" s="8" t="str">
        <f>IFERROR(INDEX('nav master'!$C:$C, MATCH(B2898, 'nav master'!$B:$B, 0)), "")</f>
        <v>ULIF 162 251125 SecLeaders 105</v>
      </c>
      <c r="E2898" s="8">
        <v>9.5027000000000008</v>
      </c>
      <c r="F2898" s="9">
        <v>46212</v>
      </c>
    </row>
    <row r="2899" spans="1:6" ht="60" x14ac:dyDescent="0.25">
      <c r="A2899" s="8" t="s">
        <v>63</v>
      </c>
      <c r="B2899" s="11" t="s">
        <v>52</v>
      </c>
      <c r="C2899" s="8" t="str">
        <f>IFERROR(_xlfn.XLOOKUP(TRIM(B2899),Lookup!$B$2:$B$1000,Lookup!$C$2:$C$1000),"")</f>
        <v>Equity</v>
      </c>
      <c r="D2899" s="8" t="str">
        <f>IFERROR(INDEX('nav master'!$C:$C, MATCH(B2899, 'nav master'!$B:$B, 0)), "")</f>
        <v>ULIF 162 251125 SecLeaders 105</v>
      </c>
      <c r="E2899" s="8">
        <v>9.6142000000000003</v>
      </c>
      <c r="F2899" s="9">
        <v>46213</v>
      </c>
    </row>
    <row r="2900" spans="1:6" ht="60" x14ac:dyDescent="0.25">
      <c r="A2900" s="8" t="s">
        <v>63</v>
      </c>
      <c r="B2900" s="11" t="s">
        <v>52</v>
      </c>
      <c r="C2900" s="8" t="str">
        <f>IFERROR(_xlfn.XLOOKUP(TRIM(B2900),Lookup!$B$2:$B$1000,Lookup!$C$2:$C$1000),"")</f>
        <v>Equity</v>
      </c>
      <c r="D2900" s="8" t="str">
        <f>IFERROR(INDEX('nav master'!$C:$C, MATCH(B2900, 'nav master'!$B:$B, 0)), "")</f>
        <v>ULIF 162 251125 SecLeaders 105</v>
      </c>
      <c r="E2900" s="8">
        <v>9.6115999999999993</v>
      </c>
      <c r="F2900" s="9">
        <v>46216</v>
      </c>
    </row>
    <row r="2901" spans="1:6" ht="60" x14ac:dyDescent="0.25">
      <c r="A2901" s="8" t="s">
        <v>63</v>
      </c>
      <c r="B2901" s="11" t="s">
        <v>52</v>
      </c>
      <c r="C2901" s="8" t="str">
        <f>IFERROR(_xlfn.XLOOKUP(TRIM(B2901),Lookup!$B$2:$B$1000,Lookup!$C$2:$C$1000),"")</f>
        <v>Equity</v>
      </c>
      <c r="D2901" s="8" t="str">
        <f>IFERROR(INDEX('nav master'!$C:$C, MATCH(B2901, 'nav master'!$B:$B, 0)), "")</f>
        <v>ULIF 162 251125 SecLeaders 105</v>
      </c>
      <c r="E2901" s="8">
        <v>9.5678999999999998</v>
      </c>
      <c r="F2901" s="9">
        <v>46217</v>
      </c>
    </row>
    <row r="2902" spans="1:6" ht="60" x14ac:dyDescent="0.25">
      <c r="A2902" s="8" t="s">
        <v>63</v>
      </c>
      <c r="B2902" s="11" t="s">
        <v>52</v>
      </c>
      <c r="C2902" s="8" t="str">
        <f>IFERROR(_xlfn.XLOOKUP(TRIM(B2902),Lookup!$B$2:$B$1000,Lookup!$C$2:$C$1000),"")</f>
        <v>Equity</v>
      </c>
      <c r="D2902" s="8" t="str">
        <f>IFERROR(INDEX('nav master'!$C:$C, MATCH(B2902, 'nav master'!$B:$B, 0)), "")</f>
        <v>ULIF 162 251125 SecLeaders 105</v>
      </c>
      <c r="E2902" s="8">
        <v>9.5730000000000004</v>
      </c>
      <c r="F2902" s="9">
        <v>46218</v>
      </c>
    </row>
    <row r="2903" spans="1:6" ht="60" x14ac:dyDescent="0.25">
      <c r="A2903" s="8" t="s">
        <v>63</v>
      </c>
      <c r="B2903" s="11" t="s">
        <v>52</v>
      </c>
      <c r="C2903" s="8" t="str">
        <f>IFERROR(_xlfn.XLOOKUP(TRIM(B2903),Lookup!$B$2:$B$1000,Lookup!$C$2:$C$1000),"")</f>
        <v>Equity</v>
      </c>
      <c r="D2903" s="8" t="str">
        <f>IFERROR(INDEX('nav master'!$C:$C, MATCH(B2903, 'nav master'!$B:$B, 0)), "")</f>
        <v>ULIF 162 251125 SecLeaders 105</v>
      </c>
      <c r="E2903" s="8">
        <v>9.5718999999999994</v>
      </c>
      <c r="F2903" s="9">
        <v>46219</v>
      </c>
    </row>
    <row r="2904" spans="1:6" ht="60" x14ac:dyDescent="0.25">
      <c r="A2904" s="8" t="s">
        <v>63</v>
      </c>
      <c r="B2904" s="11" t="s">
        <v>52</v>
      </c>
      <c r="C2904" s="8" t="str">
        <f>IFERROR(_xlfn.XLOOKUP(TRIM(B2904),Lookup!$B$2:$B$1000,Lookup!$C$2:$C$1000),"")</f>
        <v>Equity</v>
      </c>
      <c r="D2904" s="8" t="str">
        <f>IFERROR(INDEX('nav master'!$C:$C, MATCH(B2904, 'nav master'!$B:$B, 0)), "")</f>
        <v>ULIF 162 251125 SecLeaders 105</v>
      </c>
      <c r="E2904" s="8">
        <v>9.6331000000000007</v>
      </c>
      <c r="F2904" s="9">
        <v>46220</v>
      </c>
    </row>
    <row r="2905" spans="1:6" ht="60" x14ac:dyDescent="0.25">
      <c r="A2905" s="8" t="s">
        <v>63</v>
      </c>
      <c r="B2905" s="11" t="s">
        <v>52</v>
      </c>
      <c r="C2905" s="8" t="str">
        <f>IFERROR(_xlfn.XLOOKUP(TRIM(B2905),Lookup!$B$2:$B$1000,Lookup!$C$2:$C$1000),"")</f>
        <v>Equity</v>
      </c>
      <c r="D2905" s="8" t="str">
        <f>IFERROR(INDEX('nav master'!$C:$C, MATCH(B2905, 'nav master'!$B:$B, 0)), "")</f>
        <v>ULIF 162 251125 SecLeaders 105</v>
      </c>
      <c r="E2905" s="8">
        <v>9.6504999999999992</v>
      </c>
      <c r="F2905" s="9">
        <v>46223</v>
      </c>
    </row>
    <row r="2906" spans="1:6" ht="60" x14ac:dyDescent="0.25">
      <c r="A2906" s="8" t="s">
        <v>63</v>
      </c>
      <c r="B2906" s="11" t="s">
        <v>52</v>
      </c>
      <c r="C2906" s="8" t="str">
        <f>IFERROR(_xlfn.XLOOKUP(TRIM(B2906),Lookup!$B$2:$B$1000,Lookup!$C$2:$C$1000),"")</f>
        <v>Equity</v>
      </c>
      <c r="D2906" s="8" t="str">
        <f>IFERROR(INDEX('nav master'!$C:$C, MATCH(B2906, 'nav master'!$B:$B, 0)), "")</f>
        <v>ULIF 162 251125 SecLeaders 105</v>
      </c>
      <c r="E2906" s="8">
        <v>9.6448999999999998</v>
      </c>
      <c r="F2906" s="9">
        <v>46224</v>
      </c>
    </row>
    <row r="2907" spans="1:6" ht="60" x14ac:dyDescent="0.25">
      <c r="A2907" s="8" t="s">
        <v>63</v>
      </c>
      <c r="B2907" s="11" t="s">
        <v>52</v>
      </c>
      <c r="C2907" s="8" t="str">
        <f>IFERROR(_xlfn.XLOOKUP(TRIM(B2907),Lookup!$B$2:$B$1000,Lookup!$C$2:$C$1000),"")</f>
        <v>Equity</v>
      </c>
      <c r="D2907" s="8" t="str">
        <f>IFERROR(INDEX('nav master'!$C:$C, MATCH(B2907, 'nav master'!$B:$B, 0)), "")</f>
        <v>ULIF 162 251125 SecLeaders 105</v>
      </c>
      <c r="E2907" s="8">
        <v>9.5638000000000005</v>
      </c>
      <c r="F2907" s="9">
        <v>46225</v>
      </c>
    </row>
    <row r="2908" spans="1:6" ht="60" x14ac:dyDescent="0.25">
      <c r="A2908" s="8" t="s">
        <v>63</v>
      </c>
      <c r="B2908" s="11" t="s">
        <v>52</v>
      </c>
      <c r="C2908" s="8" t="str">
        <f>IFERROR(_xlfn.XLOOKUP(TRIM(B2908),Lookup!$B$2:$B$1000,Lookup!$C$2:$C$1000),"")</f>
        <v>Equity</v>
      </c>
      <c r="D2908" s="8" t="str">
        <f>IFERROR(INDEX('nav master'!$C:$C, MATCH(B2908, 'nav master'!$B:$B, 0)), "")</f>
        <v>ULIF 162 251125 SecLeaders 105</v>
      </c>
      <c r="E2908" s="8">
        <v>9.4954999999999998</v>
      </c>
      <c r="F2908" s="9">
        <v>46226</v>
      </c>
    </row>
    <row r="2909" spans="1:6" ht="60" x14ac:dyDescent="0.25">
      <c r="A2909" s="8" t="s">
        <v>63</v>
      </c>
      <c r="B2909" s="11" t="s">
        <v>52</v>
      </c>
      <c r="C2909" s="8" t="str">
        <f>IFERROR(_xlfn.XLOOKUP(TRIM(B2909),Lookup!$B$2:$B$1000,Lookup!$C$2:$C$1000),"")</f>
        <v>Equity</v>
      </c>
      <c r="D2909" s="8" t="str">
        <f>IFERROR(INDEX('nav master'!$C:$C, MATCH(B2909, 'nav master'!$B:$B, 0)), "")</f>
        <v>ULIF 162 251125 SecLeaders 105</v>
      </c>
      <c r="E2909" s="8">
        <v>9.4832999999999998</v>
      </c>
      <c r="F2909" s="9">
        <v>46227</v>
      </c>
    </row>
    <row r="2910" spans="1:6" ht="60" x14ac:dyDescent="0.25">
      <c r="A2910" s="8" t="s">
        <v>63</v>
      </c>
      <c r="B2910" s="11" t="s">
        <v>52</v>
      </c>
      <c r="C2910" s="8" t="str">
        <f>IFERROR(_xlfn.XLOOKUP(TRIM(B2910),Lookup!$B$2:$B$1000,Lookup!$C$2:$C$1000),"")</f>
        <v>Equity</v>
      </c>
      <c r="D2910" s="8" t="str">
        <f>IFERROR(INDEX('nav master'!$C:$C, MATCH(B2910, 'nav master'!$B:$B, 0)), "")</f>
        <v>ULIF 162 251125 SecLeaders 105</v>
      </c>
      <c r="E2910" s="8">
        <v>9.5896000000000008</v>
      </c>
      <c r="F2910" s="9">
        <v>46230</v>
      </c>
    </row>
    <row r="2911" spans="1:6" ht="60" x14ac:dyDescent="0.25">
      <c r="A2911" s="8" t="s">
        <v>63</v>
      </c>
      <c r="B2911" s="11" t="s">
        <v>52</v>
      </c>
      <c r="C2911" s="8" t="str">
        <f>IFERROR(_xlfn.XLOOKUP(TRIM(B2911),Lookup!$B$2:$B$1000,Lookup!$C$2:$C$1000),"")</f>
        <v>Equity</v>
      </c>
      <c r="D2911" s="8" t="str">
        <f>IFERROR(INDEX('nav master'!$C:$C, MATCH(B2911, 'nav master'!$B:$B, 0)), "")</f>
        <v>ULIF 162 251125 SecLeaders 105</v>
      </c>
      <c r="E2911" s="8">
        <v>9.5954999999999995</v>
      </c>
      <c r="F2911" s="9">
        <v>46231</v>
      </c>
    </row>
    <row r="2912" spans="1:6" ht="60" x14ac:dyDescent="0.25">
      <c r="A2912" s="8" t="s">
        <v>63</v>
      </c>
      <c r="B2912" s="11" t="s">
        <v>52</v>
      </c>
      <c r="C2912" s="8" t="str">
        <f>IFERROR(_xlfn.XLOOKUP(TRIM(B2912),Lookup!$B$2:$B$1000,Lookup!$C$2:$C$1000),"")</f>
        <v>Equity</v>
      </c>
      <c r="D2912" s="8" t="str">
        <f>IFERROR(INDEX('nav master'!$C:$C, MATCH(B2912, 'nav master'!$B:$B, 0)), "")</f>
        <v>ULIF 162 251125 SecLeaders 105</v>
      </c>
      <c r="E2912" s="8">
        <v>9.6982999999999997</v>
      </c>
      <c r="F2912" s="9">
        <v>46232</v>
      </c>
    </row>
    <row r="2913" spans="1:6" ht="60" x14ac:dyDescent="0.25">
      <c r="A2913" s="8" t="s">
        <v>63</v>
      </c>
      <c r="B2913" s="11" t="s">
        <v>52</v>
      </c>
      <c r="C2913" s="8" t="str">
        <f>IFERROR(_xlfn.XLOOKUP(TRIM(B2913),Lookup!$B$2:$B$1000,Lookup!$C$2:$C$1000),"")</f>
        <v>Equity</v>
      </c>
      <c r="D2913" s="8" t="str">
        <f>IFERROR(INDEX('nav master'!$C:$C, MATCH(B2913, 'nav master'!$B:$B, 0)), "")</f>
        <v>ULIF 162 251125 SecLeaders 105</v>
      </c>
      <c r="E2913" s="8">
        <v>9.7172000000000001</v>
      </c>
      <c r="F2913" s="9">
        <v>46233</v>
      </c>
    </row>
    <row r="2914" spans="1:6" ht="60" x14ac:dyDescent="0.25">
      <c r="A2914" s="8" t="s">
        <v>63</v>
      </c>
      <c r="B2914" s="11" t="s">
        <v>52</v>
      </c>
      <c r="C2914" s="8" t="str">
        <f>IFERROR(_xlfn.XLOOKUP(TRIM(B2914),Lookup!$B$2:$B$1000,Lookup!$C$2:$C$1000),"")</f>
        <v>Equity</v>
      </c>
      <c r="D2914" s="8" t="str">
        <f>IFERROR(INDEX('nav master'!$C:$C, MATCH(B2914, 'nav master'!$B:$B, 0)), "")</f>
        <v>ULIF 162 251125 SecLeaders 105</v>
      </c>
      <c r="E2914" s="8">
        <v>9.7210999999999999</v>
      </c>
      <c r="F2914" s="9">
        <v>46234</v>
      </c>
    </row>
    <row r="2915" spans="1:6" ht="60" x14ac:dyDescent="0.25">
      <c r="A2915" s="8" t="s">
        <v>63</v>
      </c>
      <c r="B2915" s="8" t="s">
        <v>73</v>
      </c>
      <c r="C2915" s="8" t="str">
        <f>IFERROR(_xlfn.XLOOKUP(TRIM(B2915),Lookup!$B$2:$B$1000,Lookup!$C$2:$C$1000),"")</f>
        <v>Equity - Small Cap</v>
      </c>
      <c r="D2915" s="8" t="str">
        <f>IFERROR(INDEX('nav master'!$C:$C, MATCH(B2915, 'nav master'!$B:$B, 0)), "")</f>
        <v>ULIF 071 22/05/23 SCF 110</v>
      </c>
      <c r="E2915" s="8">
        <v>18.6493</v>
      </c>
      <c r="F2915" s="9">
        <v>45869</v>
      </c>
    </row>
    <row r="2916" spans="1:6" ht="60" x14ac:dyDescent="0.25">
      <c r="A2916" s="8" t="s">
        <v>63</v>
      </c>
      <c r="B2916" s="8" t="s">
        <v>73</v>
      </c>
      <c r="C2916" s="8" t="str">
        <f>IFERROR(_xlfn.XLOOKUP(TRIM(B2916),Lookup!$B$2:$B$1000,Lookup!$C$2:$C$1000),"")</f>
        <v>Equity - Small Cap</v>
      </c>
      <c r="D2916" s="8" t="str">
        <f>IFERROR(INDEX('nav master'!$C:$C, MATCH(B2916, 'nav master'!$B:$B, 0)), "")</f>
        <v>ULIF 071 22/05/23 SCF 110</v>
      </c>
      <c r="E2916" s="8">
        <v>18.425899999999999</v>
      </c>
      <c r="F2916" s="9">
        <v>45870</v>
      </c>
    </row>
    <row r="2917" spans="1:6" ht="60" x14ac:dyDescent="0.25">
      <c r="A2917" s="8" t="s">
        <v>63</v>
      </c>
      <c r="B2917" s="8" t="s">
        <v>73</v>
      </c>
      <c r="C2917" s="8" t="str">
        <f>IFERROR(_xlfn.XLOOKUP(TRIM(B2917),Lookup!$B$2:$B$1000,Lookup!$C$2:$C$1000),"")</f>
        <v>Equity - Small Cap</v>
      </c>
      <c r="D2917" s="8" t="str">
        <f>IFERROR(INDEX('nav master'!$C:$C, MATCH(B2917, 'nav master'!$B:$B, 0)), "")</f>
        <v>ULIF 071 22/05/23 SCF 110</v>
      </c>
      <c r="E2917" s="8">
        <v>18.591799999999999</v>
      </c>
      <c r="F2917" s="9">
        <v>45873</v>
      </c>
    </row>
    <row r="2918" spans="1:6" ht="60" x14ac:dyDescent="0.25">
      <c r="A2918" s="8" t="s">
        <v>63</v>
      </c>
      <c r="B2918" s="8" t="s">
        <v>73</v>
      </c>
      <c r="C2918" s="8" t="str">
        <f>IFERROR(_xlfn.XLOOKUP(TRIM(B2918),Lookup!$B$2:$B$1000,Lookup!$C$2:$C$1000),"")</f>
        <v>Equity - Small Cap</v>
      </c>
      <c r="D2918" s="8" t="str">
        <f>IFERROR(INDEX('nav master'!$C:$C, MATCH(B2918, 'nav master'!$B:$B, 0)), "")</f>
        <v>ULIF 071 22/05/23 SCF 110</v>
      </c>
      <c r="E2918" s="8">
        <v>18.521599999999999</v>
      </c>
      <c r="F2918" s="9">
        <v>45874</v>
      </c>
    </row>
    <row r="2919" spans="1:6" ht="60" x14ac:dyDescent="0.25">
      <c r="A2919" s="8" t="s">
        <v>63</v>
      </c>
      <c r="B2919" s="8" t="s">
        <v>73</v>
      </c>
      <c r="C2919" s="8" t="str">
        <f>IFERROR(_xlfn.XLOOKUP(TRIM(B2919),Lookup!$B$2:$B$1000,Lookup!$C$2:$C$1000),"")</f>
        <v>Equity - Small Cap</v>
      </c>
      <c r="D2919" s="8" t="str">
        <f>IFERROR(INDEX('nav master'!$C:$C, MATCH(B2919, 'nav master'!$B:$B, 0)), "")</f>
        <v>ULIF 071 22/05/23 SCF 110</v>
      </c>
      <c r="E2919" s="8">
        <v>18.380800000000001</v>
      </c>
      <c r="F2919" s="9">
        <v>45875</v>
      </c>
    </row>
    <row r="2920" spans="1:6" ht="60" x14ac:dyDescent="0.25">
      <c r="A2920" s="8" t="s">
        <v>63</v>
      </c>
      <c r="B2920" s="8" t="s">
        <v>73</v>
      </c>
      <c r="C2920" s="8" t="str">
        <f>IFERROR(_xlfn.XLOOKUP(TRIM(B2920),Lookup!$B$2:$B$1000,Lookup!$C$2:$C$1000),"")</f>
        <v>Equity - Small Cap</v>
      </c>
      <c r="D2920" s="8" t="str">
        <f>IFERROR(INDEX('nav master'!$C:$C, MATCH(B2920, 'nav master'!$B:$B, 0)), "")</f>
        <v>ULIF 071 22/05/23 SCF 110</v>
      </c>
      <c r="E2920" s="8">
        <v>18.446999999999999</v>
      </c>
      <c r="F2920" s="9">
        <v>45876</v>
      </c>
    </row>
    <row r="2921" spans="1:6" ht="60" x14ac:dyDescent="0.25">
      <c r="A2921" s="8" t="s">
        <v>63</v>
      </c>
      <c r="B2921" s="8" t="s">
        <v>73</v>
      </c>
      <c r="C2921" s="8" t="str">
        <f>IFERROR(_xlfn.XLOOKUP(TRIM(B2921),Lookup!$B$2:$B$1000,Lookup!$C$2:$C$1000),"")</f>
        <v>Equity - Small Cap</v>
      </c>
      <c r="D2921" s="8" t="str">
        <f>IFERROR(INDEX('nav master'!$C:$C, MATCH(B2921, 'nav master'!$B:$B, 0)), "")</f>
        <v>ULIF 071 22/05/23 SCF 110</v>
      </c>
      <c r="E2921" s="8">
        <v>18.3231</v>
      </c>
      <c r="F2921" s="9">
        <v>45877</v>
      </c>
    </row>
    <row r="2922" spans="1:6" ht="60" x14ac:dyDescent="0.25">
      <c r="A2922" s="8" t="s">
        <v>63</v>
      </c>
      <c r="B2922" s="8" t="s">
        <v>73</v>
      </c>
      <c r="C2922" s="8" t="str">
        <f>IFERROR(_xlfn.XLOOKUP(TRIM(B2922),Lookup!$B$2:$B$1000,Lookup!$C$2:$C$1000),"")</f>
        <v>Equity - Small Cap</v>
      </c>
      <c r="D2922" s="8" t="str">
        <f>IFERROR(INDEX('nav master'!$C:$C, MATCH(B2922, 'nav master'!$B:$B, 0)), "")</f>
        <v>ULIF 071 22/05/23 SCF 110</v>
      </c>
      <c r="E2922" s="8">
        <v>18.424600000000002</v>
      </c>
      <c r="F2922" s="9">
        <v>45880</v>
      </c>
    </row>
    <row r="2923" spans="1:6" ht="60" x14ac:dyDescent="0.25">
      <c r="A2923" s="8" t="s">
        <v>63</v>
      </c>
      <c r="B2923" s="8" t="s">
        <v>73</v>
      </c>
      <c r="C2923" s="8" t="str">
        <f>IFERROR(_xlfn.XLOOKUP(TRIM(B2923),Lookup!$B$2:$B$1000,Lookup!$C$2:$C$1000),"")</f>
        <v>Equity - Small Cap</v>
      </c>
      <c r="D2923" s="8" t="str">
        <f>IFERROR(INDEX('nav master'!$C:$C, MATCH(B2923, 'nav master'!$B:$B, 0)), "")</f>
        <v>ULIF 071 22/05/23 SCF 110</v>
      </c>
      <c r="E2923" s="8">
        <v>18.4499</v>
      </c>
      <c r="F2923" s="9">
        <v>45881</v>
      </c>
    </row>
    <row r="2924" spans="1:6" ht="60" x14ac:dyDescent="0.25">
      <c r="A2924" s="8" t="s">
        <v>63</v>
      </c>
      <c r="B2924" s="8" t="s">
        <v>73</v>
      </c>
      <c r="C2924" s="8" t="str">
        <f>IFERROR(_xlfn.XLOOKUP(TRIM(B2924),Lookup!$B$2:$B$1000,Lookup!$C$2:$C$1000),"")</f>
        <v>Equity - Small Cap</v>
      </c>
      <c r="D2924" s="8" t="str">
        <f>IFERROR(INDEX('nav master'!$C:$C, MATCH(B2924, 'nav master'!$B:$B, 0)), "")</f>
        <v>ULIF 071 22/05/23 SCF 110</v>
      </c>
      <c r="E2924" s="8">
        <v>18.509499999999999</v>
      </c>
      <c r="F2924" s="9">
        <v>45882</v>
      </c>
    </row>
    <row r="2925" spans="1:6" ht="60" x14ac:dyDescent="0.25">
      <c r="A2925" s="8" t="s">
        <v>63</v>
      </c>
      <c r="B2925" s="8" t="s">
        <v>73</v>
      </c>
      <c r="C2925" s="8" t="str">
        <f>IFERROR(_xlfn.XLOOKUP(TRIM(B2925),Lookup!$B$2:$B$1000,Lookup!$C$2:$C$1000),"")</f>
        <v>Equity - Small Cap</v>
      </c>
      <c r="D2925" s="8" t="str">
        <f>IFERROR(INDEX('nav master'!$C:$C, MATCH(B2925, 'nav master'!$B:$B, 0)), "")</f>
        <v>ULIF 071 22/05/23 SCF 110</v>
      </c>
      <c r="E2925" s="8">
        <v>18.533999999999999</v>
      </c>
      <c r="F2925" s="9">
        <v>45883</v>
      </c>
    </row>
    <row r="2926" spans="1:6" ht="60" x14ac:dyDescent="0.25">
      <c r="A2926" s="8" t="s">
        <v>63</v>
      </c>
      <c r="B2926" s="8" t="s">
        <v>73</v>
      </c>
      <c r="C2926" s="8" t="str">
        <f>IFERROR(_xlfn.XLOOKUP(TRIM(B2926),Lookup!$B$2:$B$1000,Lookup!$C$2:$C$1000),"")</f>
        <v>Equity - Small Cap</v>
      </c>
      <c r="D2926" s="8" t="str">
        <f>IFERROR(INDEX('nav master'!$C:$C, MATCH(B2926, 'nav master'!$B:$B, 0)), "")</f>
        <v>ULIF 071 22/05/23 SCF 110</v>
      </c>
      <c r="E2926" s="8">
        <v>18.770600000000002</v>
      </c>
      <c r="F2926" s="9">
        <v>45887</v>
      </c>
    </row>
    <row r="2927" spans="1:6" ht="60" x14ac:dyDescent="0.25">
      <c r="A2927" s="8" t="s">
        <v>63</v>
      </c>
      <c r="B2927" s="8" t="s">
        <v>73</v>
      </c>
      <c r="C2927" s="8" t="str">
        <f>IFERROR(_xlfn.XLOOKUP(TRIM(B2927),Lookup!$B$2:$B$1000,Lookup!$C$2:$C$1000),"")</f>
        <v>Equity - Small Cap</v>
      </c>
      <c r="D2927" s="8" t="str">
        <f>IFERROR(INDEX('nav master'!$C:$C, MATCH(B2927, 'nav master'!$B:$B, 0)), "")</f>
        <v>ULIF 071 22/05/23 SCF 110</v>
      </c>
      <c r="E2927" s="8">
        <v>18.844000000000001</v>
      </c>
      <c r="F2927" s="9">
        <v>45888</v>
      </c>
    </row>
    <row r="2928" spans="1:6" ht="60" x14ac:dyDescent="0.25">
      <c r="A2928" s="8" t="s">
        <v>63</v>
      </c>
      <c r="B2928" s="8" t="s">
        <v>73</v>
      </c>
      <c r="C2928" s="8" t="str">
        <f>IFERROR(_xlfn.XLOOKUP(TRIM(B2928),Lookup!$B$2:$B$1000,Lookup!$C$2:$C$1000),"")</f>
        <v>Equity - Small Cap</v>
      </c>
      <c r="D2928" s="8" t="str">
        <f>IFERROR(INDEX('nav master'!$C:$C, MATCH(B2928, 'nav master'!$B:$B, 0)), "")</f>
        <v>ULIF 071 22/05/23 SCF 110</v>
      </c>
      <c r="E2928" s="8">
        <v>18.9648</v>
      </c>
      <c r="F2928" s="9">
        <v>45889</v>
      </c>
    </row>
    <row r="2929" spans="1:6" ht="60" x14ac:dyDescent="0.25">
      <c r="A2929" s="8" t="s">
        <v>63</v>
      </c>
      <c r="B2929" s="8" t="s">
        <v>73</v>
      </c>
      <c r="C2929" s="8" t="str">
        <f>IFERROR(_xlfn.XLOOKUP(TRIM(B2929),Lookup!$B$2:$B$1000,Lookup!$C$2:$C$1000),"")</f>
        <v>Equity - Small Cap</v>
      </c>
      <c r="D2929" s="8" t="str">
        <f>IFERROR(INDEX('nav master'!$C:$C, MATCH(B2929, 'nav master'!$B:$B, 0)), "")</f>
        <v>ULIF 071 22/05/23 SCF 110</v>
      </c>
      <c r="E2929" s="8">
        <v>18.980699999999999</v>
      </c>
      <c r="F2929" s="9">
        <v>45890</v>
      </c>
    </row>
    <row r="2930" spans="1:6" ht="60" x14ac:dyDescent="0.25">
      <c r="A2930" s="8" t="s">
        <v>63</v>
      </c>
      <c r="B2930" s="8" t="s">
        <v>73</v>
      </c>
      <c r="C2930" s="8" t="str">
        <f>IFERROR(_xlfn.XLOOKUP(TRIM(B2930),Lookup!$B$2:$B$1000,Lookup!$C$2:$C$1000),"")</f>
        <v>Equity - Small Cap</v>
      </c>
      <c r="D2930" s="8" t="str">
        <f>IFERROR(INDEX('nav master'!$C:$C, MATCH(B2930, 'nav master'!$B:$B, 0)), "")</f>
        <v>ULIF 071 22/05/23 SCF 110</v>
      </c>
      <c r="E2930" s="8">
        <v>18.970500000000001</v>
      </c>
      <c r="F2930" s="9">
        <v>45891</v>
      </c>
    </row>
    <row r="2931" spans="1:6" ht="60" x14ac:dyDescent="0.25">
      <c r="A2931" s="8" t="s">
        <v>63</v>
      </c>
      <c r="B2931" s="8" t="s">
        <v>73</v>
      </c>
      <c r="C2931" s="8" t="str">
        <f>IFERROR(_xlfn.XLOOKUP(TRIM(B2931),Lookup!$B$2:$B$1000,Lookup!$C$2:$C$1000),"")</f>
        <v>Equity - Small Cap</v>
      </c>
      <c r="D2931" s="8" t="str">
        <f>IFERROR(INDEX('nav master'!$C:$C, MATCH(B2931, 'nav master'!$B:$B, 0)), "")</f>
        <v>ULIF 071 22/05/23 SCF 110</v>
      </c>
      <c r="E2931" s="8">
        <v>19.042999999999999</v>
      </c>
      <c r="F2931" s="9">
        <v>45894</v>
      </c>
    </row>
    <row r="2932" spans="1:6" ht="60" x14ac:dyDescent="0.25">
      <c r="A2932" s="8" t="s">
        <v>63</v>
      </c>
      <c r="B2932" s="8" t="s">
        <v>73</v>
      </c>
      <c r="C2932" s="8" t="str">
        <f>IFERROR(_xlfn.XLOOKUP(TRIM(B2932),Lookup!$B$2:$B$1000,Lookup!$C$2:$C$1000),"")</f>
        <v>Equity - Small Cap</v>
      </c>
      <c r="D2932" s="8" t="str">
        <f>IFERROR(INDEX('nav master'!$C:$C, MATCH(B2932, 'nav master'!$B:$B, 0)), "")</f>
        <v>ULIF 071 22/05/23 SCF 110</v>
      </c>
      <c r="E2932" s="8">
        <v>18.737500000000001</v>
      </c>
      <c r="F2932" s="9">
        <v>45895</v>
      </c>
    </row>
    <row r="2933" spans="1:6" ht="60" x14ac:dyDescent="0.25">
      <c r="A2933" s="8" t="s">
        <v>63</v>
      </c>
      <c r="B2933" s="8" t="s">
        <v>73</v>
      </c>
      <c r="C2933" s="8" t="str">
        <f>IFERROR(_xlfn.XLOOKUP(TRIM(B2933),Lookup!$B$2:$B$1000,Lookup!$C$2:$C$1000),"")</f>
        <v>Equity - Small Cap</v>
      </c>
      <c r="D2933" s="8" t="str">
        <f>IFERROR(INDEX('nav master'!$C:$C, MATCH(B2933, 'nav master'!$B:$B, 0)), "")</f>
        <v>ULIF 071 22/05/23 SCF 110</v>
      </c>
      <c r="E2933" s="8">
        <v>18.548300000000001</v>
      </c>
      <c r="F2933" s="9">
        <v>45897</v>
      </c>
    </row>
    <row r="2934" spans="1:6" ht="60" x14ac:dyDescent="0.25">
      <c r="A2934" s="8" t="s">
        <v>63</v>
      </c>
      <c r="B2934" s="8" t="s">
        <v>73</v>
      </c>
      <c r="C2934" s="8" t="str">
        <f>IFERROR(_xlfn.XLOOKUP(TRIM(B2934),Lookup!$B$2:$B$1000,Lookup!$C$2:$C$1000),"")</f>
        <v>Equity - Small Cap</v>
      </c>
      <c r="D2934" s="8" t="str">
        <f>IFERROR(INDEX('nav master'!$C:$C, MATCH(B2934, 'nav master'!$B:$B, 0)), "")</f>
        <v>ULIF 071 22/05/23 SCF 110</v>
      </c>
      <c r="E2934" s="8">
        <v>18.5322</v>
      </c>
      <c r="F2934" s="9">
        <v>45898</v>
      </c>
    </row>
    <row r="2935" spans="1:6" ht="60" x14ac:dyDescent="0.25">
      <c r="A2935" s="8" t="s">
        <v>63</v>
      </c>
      <c r="B2935" s="8" t="s">
        <v>73</v>
      </c>
      <c r="C2935" s="8" t="str">
        <f>IFERROR(_xlfn.XLOOKUP(TRIM(B2935),Lookup!$B$2:$B$1000,Lookup!$C$2:$C$1000),"")</f>
        <v>Equity - Small Cap</v>
      </c>
      <c r="D2935" s="8" t="str">
        <f>IFERROR(INDEX('nav master'!$C:$C, MATCH(B2935, 'nav master'!$B:$B, 0)), "")</f>
        <v>ULIF 071 22/05/23 SCF 110</v>
      </c>
      <c r="E2935" s="8">
        <v>18.765999999999998</v>
      </c>
      <c r="F2935" s="9">
        <v>45901</v>
      </c>
    </row>
    <row r="2936" spans="1:6" ht="60" x14ac:dyDescent="0.25">
      <c r="A2936" s="8" t="s">
        <v>63</v>
      </c>
      <c r="B2936" s="8" t="s">
        <v>73</v>
      </c>
      <c r="C2936" s="8" t="str">
        <f>IFERROR(_xlfn.XLOOKUP(TRIM(B2936),Lookup!$B$2:$B$1000,Lookup!$C$2:$C$1000),"")</f>
        <v>Equity - Small Cap</v>
      </c>
      <c r="D2936" s="8" t="str">
        <f>IFERROR(INDEX('nav master'!$C:$C, MATCH(B2936, 'nav master'!$B:$B, 0)), "")</f>
        <v>ULIF 071 22/05/23 SCF 110</v>
      </c>
      <c r="E2936" s="8">
        <v>18.860900000000001</v>
      </c>
      <c r="F2936" s="9">
        <v>45902</v>
      </c>
    </row>
    <row r="2937" spans="1:6" ht="60" x14ac:dyDescent="0.25">
      <c r="A2937" s="8" t="s">
        <v>63</v>
      </c>
      <c r="B2937" s="8" t="s">
        <v>73</v>
      </c>
      <c r="C2937" s="8" t="str">
        <f>IFERROR(_xlfn.XLOOKUP(TRIM(B2937),Lookup!$B$2:$B$1000,Lookup!$C$2:$C$1000),"")</f>
        <v>Equity - Small Cap</v>
      </c>
      <c r="D2937" s="8" t="str">
        <f>IFERROR(INDEX('nav master'!$C:$C, MATCH(B2937, 'nav master'!$B:$B, 0)), "")</f>
        <v>ULIF 071 22/05/23 SCF 110</v>
      </c>
      <c r="E2937" s="8">
        <v>19.046099999999999</v>
      </c>
      <c r="F2937" s="9">
        <v>45903</v>
      </c>
    </row>
    <row r="2938" spans="1:6" ht="60" x14ac:dyDescent="0.25">
      <c r="A2938" s="8" t="s">
        <v>63</v>
      </c>
      <c r="B2938" s="8" t="s">
        <v>73</v>
      </c>
      <c r="C2938" s="8" t="str">
        <f>IFERROR(_xlfn.XLOOKUP(TRIM(B2938),Lookup!$B$2:$B$1000,Lookup!$C$2:$C$1000),"")</f>
        <v>Equity - Small Cap</v>
      </c>
      <c r="D2938" s="8" t="str">
        <f>IFERROR(INDEX('nav master'!$C:$C, MATCH(B2938, 'nav master'!$B:$B, 0)), "")</f>
        <v>ULIF 071 22/05/23 SCF 110</v>
      </c>
      <c r="E2938" s="8">
        <v>19.033300000000001</v>
      </c>
      <c r="F2938" s="9">
        <v>45904</v>
      </c>
    </row>
    <row r="2939" spans="1:6" ht="60" x14ac:dyDescent="0.25">
      <c r="A2939" s="8" t="s">
        <v>63</v>
      </c>
      <c r="B2939" s="8" t="s">
        <v>73</v>
      </c>
      <c r="C2939" s="8" t="str">
        <f>IFERROR(_xlfn.XLOOKUP(TRIM(B2939),Lookup!$B$2:$B$1000,Lookup!$C$2:$C$1000),"")</f>
        <v>Equity - Small Cap</v>
      </c>
      <c r="D2939" s="8" t="str">
        <f>IFERROR(INDEX('nav master'!$C:$C, MATCH(B2939, 'nav master'!$B:$B, 0)), "")</f>
        <v>ULIF 071 22/05/23 SCF 110</v>
      </c>
      <c r="E2939" s="8">
        <v>18.9831</v>
      </c>
      <c r="F2939" s="9">
        <v>45905</v>
      </c>
    </row>
    <row r="2940" spans="1:6" ht="60" x14ac:dyDescent="0.25">
      <c r="A2940" s="8" t="s">
        <v>63</v>
      </c>
      <c r="B2940" s="8" t="s">
        <v>73</v>
      </c>
      <c r="C2940" s="8" t="str">
        <f>IFERROR(_xlfn.XLOOKUP(TRIM(B2940),Lookup!$B$2:$B$1000,Lookup!$C$2:$C$1000),"")</f>
        <v>Equity - Small Cap</v>
      </c>
      <c r="D2940" s="8" t="str">
        <f>IFERROR(INDEX('nav master'!$C:$C, MATCH(B2940, 'nav master'!$B:$B, 0)), "")</f>
        <v>ULIF 071 22/05/23 SCF 110</v>
      </c>
      <c r="E2940" s="8">
        <v>19.064499999999999</v>
      </c>
      <c r="F2940" s="9">
        <v>45908</v>
      </c>
    </row>
    <row r="2941" spans="1:6" ht="60" x14ac:dyDescent="0.25">
      <c r="A2941" s="8" t="s">
        <v>63</v>
      </c>
      <c r="B2941" s="8" t="s">
        <v>73</v>
      </c>
      <c r="C2941" s="8" t="str">
        <f>IFERROR(_xlfn.XLOOKUP(TRIM(B2941),Lookup!$B$2:$B$1000,Lookup!$C$2:$C$1000),"")</f>
        <v>Equity - Small Cap</v>
      </c>
      <c r="D2941" s="8" t="str">
        <f>IFERROR(INDEX('nav master'!$C:$C, MATCH(B2941, 'nav master'!$B:$B, 0)), "")</f>
        <v>ULIF 071 22/05/23 SCF 110</v>
      </c>
      <c r="E2941" s="8">
        <v>19.0807</v>
      </c>
      <c r="F2941" s="9">
        <v>45909</v>
      </c>
    </row>
    <row r="2942" spans="1:6" ht="60" x14ac:dyDescent="0.25">
      <c r="A2942" s="8" t="s">
        <v>63</v>
      </c>
      <c r="B2942" s="8" t="s">
        <v>73</v>
      </c>
      <c r="C2942" s="8" t="str">
        <f>IFERROR(_xlfn.XLOOKUP(TRIM(B2942),Lookup!$B$2:$B$1000,Lookup!$C$2:$C$1000),"")</f>
        <v>Equity - Small Cap</v>
      </c>
      <c r="D2942" s="8" t="str">
        <f>IFERROR(INDEX('nav master'!$C:$C, MATCH(B2942, 'nav master'!$B:$B, 0)), "")</f>
        <v>ULIF 071 22/05/23 SCF 110</v>
      </c>
      <c r="E2942" s="8">
        <v>19.225899999999999</v>
      </c>
      <c r="F2942" s="9">
        <v>45910</v>
      </c>
    </row>
    <row r="2943" spans="1:6" ht="60" x14ac:dyDescent="0.25">
      <c r="A2943" s="8" t="s">
        <v>63</v>
      </c>
      <c r="B2943" s="8" t="s">
        <v>73</v>
      </c>
      <c r="C2943" s="8" t="str">
        <f>IFERROR(_xlfn.XLOOKUP(TRIM(B2943),Lookup!$B$2:$B$1000,Lookup!$C$2:$C$1000),"")</f>
        <v>Equity - Small Cap</v>
      </c>
      <c r="D2943" s="8" t="str">
        <f>IFERROR(INDEX('nav master'!$C:$C, MATCH(B2943, 'nav master'!$B:$B, 0)), "")</f>
        <v>ULIF 071 22/05/23 SCF 110</v>
      </c>
      <c r="E2943" s="8">
        <v>19.202100000000002</v>
      </c>
      <c r="F2943" s="9">
        <v>45911</v>
      </c>
    </row>
    <row r="2944" spans="1:6" ht="60" x14ac:dyDescent="0.25">
      <c r="A2944" s="8" t="s">
        <v>63</v>
      </c>
      <c r="B2944" s="8" t="s">
        <v>73</v>
      </c>
      <c r="C2944" s="8" t="str">
        <f>IFERROR(_xlfn.XLOOKUP(TRIM(B2944),Lookup!$B$2:$B$1000,Lookup!$C$2:$C$1000),"")</f>
        <v>Equity - Small Cap</v>
      </c>
      <c r="D2944" s="8" t="str">
        <f>IFERROR(INDEX('nav master'!$C:$C, MATCH(B2944, 'nav master'!$B:$B, 0)), "")</f>
        <v>ULIF 071 22/05/23 SCF 110</v>
      </c>
      <c r="E2944" s="8">
        <v>19.21</v>
      </c>
      <c r="F2944" s="9">
        <v>45912</v>
      </c>
    </row>
    <row r="2945" spans="1:6" ht="60" x14ac:dyDescent="0.25">
      <c r="A2945" s="8" t="s">
        <v>63</v>
      </c>
      <c r="B2945" s="8" t="s">
        <v>73</v>
      </c>
      <c r="C2945" s="8" t="str">
        <f>IFERROR(_xlfn.XLOOKUP(TRIM(B2945),Lookup!$B$2:$B$1000,Lookup!$C$2:$C$1000),"")</f>
        <v>Equity - Small Cap</v>
      </c>
      <c r="D2945" s="8" t="str">
        <f>IFERROR(INDEX('nav master'!$C:$C, MATCH(B2945, 'nav master'!$B:$B, 0)), "")</f>
        <v>ULIF 071 22/05/23 SCF 110</v>
      </c>
      <c r="E2945" s="8">
        <v>19.244900000000001</v>
      </c>
      <c r="F2945" s="9">
        <v>45915</v>
      </c>
    </row>
    <row r="2946" spans="1:6" ht="60" x14ac:dyDescent="0.25">
      <c r="A2946" s="8" t="s">
        <v>63</v>
      </c>
      <c r="B2946" s="8" t="s">
        <v>73</v>
      </c>
      <c r="C2946" s="8" t="str">
        <f>IFERROR(_xlfn.XLOOKUP(TRIM(B2946),Lookup!$B$2:$B$1000,Lookup!$C$2:$C$1000),"")</f>
        <v>Equity - Small Cap</v>
      </c>
      <c r="D2946" s="8" t="str">
        <f>IFERROR(INDEX('nav master'!$C:$C, MATCH(B2946, 'nav master'!$B:$B, 0)), "")</f>
        <v>ULIF 071 22/05/23 SCF 110</v>
      </c>
      <c r="E2946" s="8">
        <v>19.317799999999998</v>
      </c>
      <c r="F2946" s="9">
        <v>45916</v>
      </c>
    </row>
    <row r="2947" spans="1:6" ht="60" x14ac:dyDescent="0.25">
      <c r="A2947" s="8" t="s">
        <v>63</v>
      </c>
      <c r="B2947" s="8" t="s">
        <v>73</v>
      </c>
      <c r="C2947" s="8" t="str">
        <f>IFERROR(_xlfn.XLOOKUP(TRIM(B2947),Lookup!$B$2:$B$1000,Lookup!$C$2:$C$1000),"")</f>
        <v>Equity - Small Cap</v>
      </c>
      <c r="D2947" s="8" t="str">
        <f>IFERROR(INDEX('nav master'!$C:$C, MATCH(B2947, 'nav master'!$B:$B, 0)), "")</f>
        <v>ULIF 071 22/05/23 SCF 110</v>
      </c>
      <c r="E2947" s="8">
        <v>19.352399999999999</v>
      </c>
      <c r="F2947" s="9">
        <v>45917</v>
      </c>
    </row>
    <row r="2948" spans="1:6" ht="60" x14ac:dyDescent="0.25">
      <c r="A2948" s="8" t="s">
        <v>63</v>
      </c>
      <c r="B2948" s="8" t="s">
        <v>73</v>
      </c>
      <c r="C2948" s="8" t="str">
        <f>IFERROR(_xlfn.XLOOKUP(TRIM(B2948),Lookup!$B$2:$B$1000,Lookup!$C$2:$C$1000),"")</f>
        <v>Equity - Small Cap</v>
      </c>
      <c r="D2948" s="8" t="str">
        <f>IFERROR(INDEX('nav master'!$C:$C, MATCH(B2948, 'nav master'!$B:$B, 0)), "")</f>
        <v>ULIF 071 22/05/23 SCF 110</v>
      </c>
      <c r="E2948" s="8">
        <v>19.372</v>
      </c>
      <c r="F2948" s="9">
        <v>45918</v>
      </c>
    </row>
    <row r="2949" spans="1:6" ht="60" x14ac:dyDescent="0.25">
      <c r="A2949" s="8" t="s">
        <v>63</v>
      </c>
      <c r="B2949" s="8" t="s">
        <v>73</v>
      </c>
      <c r="C2949" s="8" t="str">
        <f>IFERROR(_xlfn.XLOOKUP(TRIM(B2949),Lookup!$B$2:$B$1000,Lookup!$C$2:$C$1000),"")</f>
        <v>Equity - Small Cap</v>
      </c>
      <c r="D2949" s="8" t="str">
        <f>IFERROR(INDEX('nav master'!$C:$C, MATCH(B2949, 'nav master'!$B:$B, 0)), "")</f>
        <v>ULIF 071 22/05/23 SCF 110</v>
      </c>
      <c r="E2949" s="8">
        <v>19.365100000000002</v>
      </c>
      <c r="F2949" s="9">
        <v>45919</v>
      </c>
    </row>
    <row r="2950" spans="1:6" ht="60" x14ac:dyDescent="0.25">
      <c r="A2950" s="8" t="s">
        <v>63</v>
      </c>
      <c r="B2950" s="8" t="s">
        <v>73</v>
      </c>
      <c r="C2950" s="8" t="str">
        <f>IFERROR(_xlfn.XLOOKUP(TRIM(B2950),Lookup!$B$2:$B$1000,Lookup!$C$2:$C$1000),"")</f>
        <v>Equity - Small Cap</v>
      </c>
      <c r="D2950" s="8" t="str">
        <f>IFERROR(INDEX('nav master'!$C:$C, MATCH(B2950, 'nav master'!$B:$B, 0)), "")</f>
        <v>ULIF 071 22/05/23 SCF 110</v>
      </c>
      <c r="E2950" s="8">
        <v>19.212700000000002</v>
      </c>
      <c r="F2950" s="9">
        <v>45922</v>
      </c>
    </row>
    <row r="2951" spans="1:6" ht="60" x14ac:dyDescent="0.25">
      <c r="A2951" s="8" t="s">
        <v>63</v>
      </c>
      <c r="B2951" s="8" t="s">
        <v>73</v>
      </c>
      <c r="C2951" s="8" t="str">
        <f>IFERROR(_xlfn.XLOOKUP(TRIM(B2951),Lookup!$B$2:$B$1000,Lookup!$C$2:$C$1000),"")</f>
        <v>Equity - Small Cap</v>
      </c>
      <c r="D2951" s="8" t="str">
        <f>IFERROR(INDEX('nav master'!$C:$C, MATCH(B2951, 'nav master'!$B:$B, 0)), "")</f>
        <v>ULIF 071 22/05/23 SCF 110</v>
      </c>
      <c r="E2951" s="8">
        <v>19.127300000000002</v>
      </c>
      <c r="F2951" s="9">
        <v>45923</v>
      </c>
    </row>
    <row r="2952" spans="1:6" ht="60" x14ac:dyDescent="0.25">
      <c r="A2952" s="8" t="s">
        <v>63</v>
      </c>
      <c r="B2952" s="8" t="s">
        <v>73</v>
      </c>
      <c r="C2952" s="8" t="str">
        <f>IFERROR(_xlfn.XLOOKUP(TRIM(B2952),Lookup!$B$2:$B$1000,Lookup!$C$2:$C$1000),"")</f>
        <v>Equity - Small Cap</v>
      </c>
      <c r="D2952" s="8" t="str">
        <f>IFERROR(INDEX('nav master'!$C:$C, MATCH(B2952, 'nav master'!$B:$B, 0)), "")</f>
        <v>ULIF 071 22/05/23 SCF 110</v>
      </c>
      <c r="E2952" s="8">
        <v>19.0837</v>
      </c>
      <c r="F2952" s="9">
        <v>45924</v>
      </c>
    </row>
    <row r="2953" spans="1:6" ht="60" x14ac:dyDescent="0.25">
      <c r="A2953" s="8" t="s">
        <v>63</v>
      </c>
      <c r="B2953" s="8" t="s">
        <v>73</v>
      </c>
      <c r="C2953" s="8" t="str">
        <f>IFERROR(_xlfn.XLOOKUP(TRIM(B2953),Lookup!$B$2:$B$1000,Lookup!$C$2:$C$1000),"")</f>
        <v>Equity - Small Cap</v>
      </c>
      <c r="D2953" s="8" t="str">
        <f>IFERROR(INDEX('nav master'!$C:$C, MATCH(B2953, 'nav master'!$B:$B, 0)), "")</f>
        <v>ULIF 071 22/05/23 SCF 110</v>
      </c>
      <c r="E2953" s="8">
        <v>18.959900000000001</v>
      </c>
      <c r="F2953" s="9">
        <v>45925</v>
      </c>
    </row>
    <row r="2954" spans="1:6" ht="60" x14ac:dyDescent="0.25">
      <c r="A2954" s="8" t="s">
        <v>63</v>
      </c>
      <c r="B2954" s="8" t="s">
        <v>73</v>
      </c>
      <c r="C2954" s="8" t="str">
        <f>IFERROR(_xlfn.XLOOKUP(TRIM(B2954),Lookup!$B$2:$B$1000,Lookup!$C$2:$C$1000),"")</f>
        <v>Equity - Small Cap</v>
      </c>
      <c r="D2954" s="8" t="str">
        <f>IFERROR(INDEX('nav master'!$C:$C, MATCH(B2954, 'nav master'!$B:$B, 0)), "")</f>
        <v>ULIF 071 22/05/23 SCF 110</v>
      </c>
      <c r="E2954" s="8">
        <v>18.5822</v>
      </c>
      <c r="F2954" s="9">
        <v>45926</v>
      </c>
    </row>
    <row r="2955" spans="1:6" ht="60" x14ac:dyDescent="0.25">
      <c r="A2955" s="8" t="s">
        <v>63</v>
      </c>
      <c r="B2955" s="8" t="s">
        <v>73</v>
      </c>
      <c r="C2955" s="8" t="str">
        <f>IFERROR(_xlfn.XLOOKUP(TRIM(B2955),Lookup!$B$2:$B$1000,Lookup!$C$2:$C$1000),"")</f>
        <v>Equity - Small Cap</v>
      </c>
      <c r="D2955" s="8" t="str">
        <f>IFERROR(INDEX('nav master'!$C:$C, MATCH(B2955, 'nav master'!$B:$B, 0)), "")</f>
        <v>ULIF 071 22/05/23 SCF 110</v>
      </c>
      <c r="E2955" s="8">
        <v>18.5472</v>
      </c>
      <c r="F2955" s="9">
        <v>45929</v>
      </c>
    </row>
    <row r="2956" spans="1:6" ht="60" x14ac:dyDescent="0.25">
      <c r="A2956" s="8" t="s">
        <v>63</v>
      </c>
      <c r="B2956" s="8" t="s">
        <v>73</v>
      </c>
      <c r="C2956" s="8" t="str">
        <f>IFERROR(_xlfn.XLOOKUP(TRIM(B2956),Lookup!$B$2:$B$1000,Lookup!$C$2:$C$1000),"")</f>
        <v>Equity - Small Cap</v>
      </c>
      <c r="D2956" s="8" t="str">
        <f>IFERROR(INDEX('nav master'!$C:$C, MATCH(B2956, 'nav master'!$B:$B, 0)), "")</f>
        <v>ULIF 071 22/05/23 SCF 110</v>
      </c>
      <c r="E2956" s="8">
        <v>18.577100000000002</v>
      </c>
      <c r="F2956" s="9">
        <v>45930</v>
      </c>
    </row>
    <row r="2957" spans="1:6" ht="60" x14ac:dyDescent="0.25">
      <c r="A2957" s="8" t="s">
        <v>63</v>
      </c>
      <c r="B2957" s="8" t="s">
        <v>73</v>
      </c>
      <c r="C2957" s="8" t="str">
        <f>IFERROR(_xlfn.XLOOKUP(TRIM(B2957),Lookup!$B$2:$B$1000,Lookup!$C$2:$C$1000),"")</f>
        <v>Equity - Small Cap</v>
      </c>
      <c r="D2957" s="8" t="str">
        <f>IFERROR(INDEX('nav master'!$C:$C, MATCH(B2957, 'nav master'!$B:$B, 0)), "")</f>
        <v>ULIF 071 22/05/23 SCF 110</v>
      </c>
      <c r="E2957" s="8">
        <v>18.817599999999999</v>
      </c>
      <c r="F2957" s="9">
        <v>45931</v>
      </c>
    </row>
    <row r="2958" spans="1:6" ht="60" x14ac:dyDescent="0.25">
      <c r="A2958" s="8" t="s">
        <v>63</v>
      </c>
      <c r="B2958" s="8" t="s">
        <v>73</v>
      </c>
      <c r="C2958" s="8" t="str">
        <f>IFERROR(_xlfn.XLOOKUP(TRIM(B2958),Lookup!$B$2:$B$1000,Lookup!$C$2:$C$1000),"")</f>
        <v>Equity - Small Cap</v>
      </c>
      <c r="D2958" s="8" t="str">
        <f>IFERROR(INDEX('nav master'!$C:$C, MATCH(B2958, 'nav master'!$B:$B, 0)), "")</f>
        <v>ULIF 071 22/05/23 SCF 110</v>
      </c>
      <c r="E2958" s="8">
        <v>18.9587</v>
      </c>
      <c r="F2958" s="9">
        <v>45933</v>
      </c>
    </row>
    <row r="2959" spans="1:6" ht="60" x14ac:dyDescent="0.25">
      <c r="A2959" s="8" t="s">
        <v>63</v>
      </c>
      <c r="B2959" s="8" t="s">
        <v>73</v>
      </c>
      <c r="C2959" s="8" t="str">
        <f>IFERROR(_xlfn.XLOOKUP(TRIM(B2959),Lookup!$B$2:$B$1000,Lookup!$C$2:$C$1000),"")</f>
        <v>Equity - Small Cap</v>
      </c>
      <c r="D2959" s="8" t="str">
        <f>IFERROR(INDEX('nav master'!$C:$C, MATCH(B2959, 'nav master'!$B:$B, 0)), "")</f>
        <v>ULIF 071 22/05/23 SCF 110</v>
      </c>
      <c r="E2959" s="8">
        <v>19.046399999999998</v>
      </c>
      <c r="F2959" s="9">
        <v>45936</v>
      </c>
    </row>
    <row r="2960" spans="1:6" ht="60" x14ac:dyDescent="0.25">
      <c r="A2960" s="8" t="s">
        <v>63</v>
      </c>
      <c r="B2960" s="8" t="s">
        <v>73</v>
      </c>
      <c r="C2960" s="8" t="str">
        <f>IFERROR(_xlfn.XLOOKUP(TRIM(B2960),Lookup!$B$2:$B$1000,Lookup!$C$2:$C$1000),"")</f>
        <v>Equity - Small Cap</v>
      </c>
      <c r="D2960" s="8" t="str">
        <f>IFERROR(INDEX('nav master'!$C:$C, MATCH(B2960, 'nav master'!$B:$B, 0)), "")</f>
        <v>ULIF 071 22/05/23 SCF 110</v>
      </c>
      <c r="E2960" s="8">
        <v>19.0748</v>
      </c>
      <c r="F2960" s="9">
        <v>45937</v>
      </c>
    </row>
    <row r="2961" spans="1:6" ht="60" x14ac:dyDescent="0.25">
      <c r="A2961" s="8" t="s">
        <v>63</v>
      </c>
      <c r="B2961" s="8" t="s">
        <v>73</v>
      </c>
      <c r="C2961" s="8" t="str">
        <f>IFERROR(_xlfn.XLOOKUP(TRIM(B2961),Lookup!$B$2:$B$1000,Lookup!$C$2:$C$1000),"")</f>
        <v>Equity - Small Cap</v>
      </c>
      <c r="D2961" s="8" t="str">
        <f>IFERROR(INDEX('nav master'!$C:$C, MATCH(B2961, 'nav master'!$B:$B, 0)), "")</f>
        <v>ULIF 071 22/05/23 SCF 110</v>
      </c>
      <c r="E2961" s="8">
        <v>19.018000000000001</v>
      </c>
      <c r="F2961" s="9">
        <v>45938</v>
      </c>
    </row>
    <row r="2962" spans="1:6" ht="60" x14ac:dyDescent="0.25">
      <c r="A2962" s="8" t="s">
        <v>63</v>
      </c>
      <c r="B2962" s="8" t="s">
        <v>73</v>
      </c>
      <c r="C2962" s="8" t="str">
        <f>IFERROR(_xlfn.XLOOKUP(TRIM(B2962),Lookup!$B$2:$B$1000,Lookup!$C$2:$C$1000),"")</f>
        <v>Equity - Small Cap</v>
      </c>
      <c r="D2962" s="8" t="str">
        <f>IFERROR(INDEX('nav master'!$C:$C, MATCH(B2962, 'nav master'!$B:$B, 0)), "")</f>
        <v>ULIF 071 22/05/23 SCF 110</v>
      </c>
      <c r="E2962" s="8">
        <v>19.0444</v>
      </c>
      <c r="F2962" s="9">
        <v>45939</v>
      </c>
    </row>
    <row r="2963" spans="1:6" ht="60" x14ac:dyDescent="0.25">
      <c r="A2963" s="8" t="s">
        <v>63</v>
      </c>
      <c r="B2963" s="8" t="s">
        <v>73</v>
      </c>
      <c r="C2963" s="8" t="str">
        <f>IFERROR(_xlfn.XLOOKUP(TRIM(B2963),Lookup!$B$2:$B$1000,Lookup!$C$2:$C$1000),"")</f>
        <v>Equity - Small Cap</v>
      </c>
      <c r="D2963" s="8" t="str">
        <f>IFERROR(INDEX('nav master'!$C:$C, MATCH(B2963, 'nav master'!$B:$B, 0)), "")</f>
        <v>ULIF 071 22/05/23 SCF 110</v>
      </c>
      <c r="E2963" s="8">
        <v>19.134</v>
      </c>
      <c r="F2963" s="9">
        <v>45940</v>
      </c>
    </row>
    <row r="2964" spans="1:6" ht="60" x14ac:dyDescent="0.25">
      <c r="A2964" s="8" t="s">
        <v>63</v>
      </c>
      <c r="B2964" s="8" t="s">
        <v>73</v>
      </c>
      <c r="C2964" s="8" t="str">
        <f>IFERROR(_xlfn.XLOOKUP(TRIM(B2964),Lookup!$B$2:$B$1000,Lookup!$C$2:$C$1000),"")</f>
        <v>Equity - Small Cap</v>
      </c>
      <c r="D2964" s="8" t="str">
        <f>IFERROR(INDEX('nav master'!$C:$C, MATCH(B2964, 'nav master'!$B:$B, 0)), "")</f>
        <v>ULIF 071 22/05/23 SCF 110</v>
      </c>
      <c r="E2964" s="8">
        <v>19.116399999999999</v>
      </c>
      <c r="F2964" s="9">
        <v>45943</v>
      </c>
    </row>
    <row r="2965" spans="1:6" ht="60" x14ac:dyDescent="0.25">
      <c r="A2965" s="8" t="s">
        <v>63</v>
      </c>
      <c r="B2965" s="8" t="s">
        <v>73</v>
      </c>
      <c r="C2965" s="8" t="str">
        <f>IFERROR(_xlfn.XLOOKUP(TRIM(B2965),Lookup!$B$2:$B$1000,Lookup!$C$2:$C$1000),"")</f>
        <v>Equity - Small Cap</v>
      </c>
      <c r="D2965" s="8" t="str">
        <f>IFERROR(INDEX('nav master'!$C:$C, MATCH(B2965, 'nav master'!$B:$B, 0)), "")</f>
        <v>ULIF 071 22/05/23 SCF 110</v>
      </c>
      <c r="E2965" s="8">
        <v>19.000599999999999</v>
      </c>
      <c r="F2965" s="9">
        <v>45944</v>
      </c>
    </row>
    <row r="2966" spans="1:6" ht="60" x14ac:dyDescent="0.25">
      <c r="A2966" s="8" t="s">
        <v>63</v>
      </c>
      <c r="B2966" s="8" t="s">
        <v>73</v>
      </c>
      <c r="C2966" s="8" t="str">
        <f>IFERROR(_xlfn.XLOOKUP(TRIM(B2966),Lookup!$B$2:$B$1000,Lookup!$C$2:$C$1000),"")</f>
        <v>Equity - Small Cap</v>
      </c>
      <c r="D2966" s="8" t="str">
        <f>IFERROR(INDEX('nav master'!$C:$C, MATCH(B2966, 'nav master'!$B:$B, 0)), "")</f>
        <v>ULIF 071 22/05/23 SCF 110</v>
      </c>
      <c r="E2966" s="8">
        <v>19.131799999999998</v>
      </c>
      <c r="F2966" s="9">
        <v>45945</v>
      </c>
    </row>
    <row r="2967" spans="1:6" ht="60" x14ac:dyDescent="0.25">
      <c r="A2967" s="8" t="s">
        <v>63</v>
      </c>
      <c r="B2967" s="8" t="s">
        <v>73</v>
      </c>
      <c r="C2967" s="8" t="str">
        <f>IFERROR(_xlfn.XLOOKUP(TRIM(B2967),Lookup!$B$2:$B$1000,Lookup!$C$2:$C$1000),"")</f>
        <v>Equity - Small Cap</v>
      </c>
      <c r="D2967" s="8" t="str">
        <f>IFERROR(INDEX('nav master'!$C:$C, MATCH(B2967, 'nav master'!$B:$B, 0)), "")</f>
        <v>ULIF 071 22/05/23 SCF 110</v>
      </c>
      <c r="E2967" s="8">
        <v>19.204799999999999</v>
      </c>
      <c r="F2967" s="9">
        <v>45946</v>
      </c>
    </row>
    <row r="2968" spans="1:6" ht="60" x14ac:dyDescent="0.25">
      <c r="A2968" s="8" t="s">
        <v>63</v>
      </c>
      <c r="B2968" s="8" t="s">
        <v>73</v>
      </c>
      <c r="C2968" s="8" t="str">
        <f>IFERROR(_xlfn.XLOOKUP(TRIM(B2968),Lookup!$B$2:$B$1000,Lookup!$C$2:$C$1000),"")</f>
        <v>Equity - Small Cap</v>
      </c>
      <c r="D2968" s="8" t="str">
        <f>IFERROR(INDEX('nav master'!$C:$C, MATCH(B2968, 'nav master'!$B:$B, 0)), "")</f>
        <v>ULIF 071 22/05/23 SCF 110</v>
      </c>
      <c r="E2968" s="8">
        <v>19.252800000000001</v>
      </c>
      <c r="F2968" s="9">
        <v>45947</v>
      </c>
    </row>
    <row r="2969" spans="1:6" ht="60" x14ac:dyDescent="0.25">
      <c r="A2969" s="8" t="s">
        <v>63</v>
      </c>
      <c r="B2969" s="8" t="s">
        <v>73</v>
      </c>
      <c r="C2969" s="8" t="str">
        <f>IFERROR(_xlfn.XLOOKUP(TRIM(B2969),Lookup!$B$2:$B$1000,Lookup!$C$2:$C$1000),"")</f>
        <v>Equity - Small Cap</v>
      </c>
      <c r="D2969" s="8" t="str">
        <f>IFERROR(INDEX('nav master'!$C:$C, MATCH(B2969, 'nav master'!$B:$B, 0)), "")</f>
        <v>ULIF 071 22/05/23 SCF 110</v>
      </c>
      <c r="E2969" s="8">
        <v>19.445499999999999</v>
      </c>
      <c r="F2969" s="9">
        <v>45950</v>
      </c>
    </row>
    <row r="2970" spans="1:6" ht="60" x14ac:dyDescent="0.25">
      <c r="A2970" s="8" t="s">
        <v>63</v>
      </c>
      <c r="B2970" s="8" t="s">
        <v>73</v>
      </c>
      <c r="C2970" s="8" t="str">
        <f>IFERROR(_xlfn.XLOOKUP(TRIM(B2970),Lookup!$B$2:$B$1000,Lookup!$C$2:$C$1000),"")</f>
        <v>Equity - Small Cap</v>
      </c>
      <c r="D2970" s="8" t="str">
        <f>IFERROR(INDEX('nav master'!$C:$C, MATCH(B2970, 'nav master'!$B:$B, 0)), "")</f>
        <v>ULIF 071 22/05/23 SCF 110</v>
      </c>
      <c r="E2970" s="8">
        <v>19.542300000000001</v>
      </c>
      <c r="F2970" s="9">
        <v>45953</v>
      </c>
    </row>
    <row r="2971" spans="1:6" ht="60" x14ac:dyDescent="0.25">
      <c r="A2971" s="8" t="s">
        <v>63</v>
      </c>
      <c r="B2971" s="8" t="s">
        <v>73</v>
      </c>
      <c r="C2971" s="8" t="str">
        <f>IFERROR(_xlfn.XLOOKUP(TRIM(B2971),Lookup!$B$2:$B$1000,Lookup!$C$2:$C$1000),"")</f>
        <v>Equity - Small Cap</v>
      </c>
      <c r="D2971" s="8" t="str">
        <f>IFERROR(INDEX('nav master'!$C:$C, MATCH(B2971, 'nav master'!$B:$B, 0)), "")</f>
        <v>ULIF 071 22/05/23 SCF 110</v>
      </c>
      <c r="E2971" s="8">
        <v>19.4513</v>
      </c>
      <c r="F2971" s="9">
        <v>45954</v>
      </c>
    </row>
    <row r="2972" spans="1:6" ht="60" x14ac:dyDescent="0.25">
      <c r="A2972" s="8" t="s">
        <v>63</v>
      </c>
      <c r="B2972" s="8" t="s">
        <v>73</v>
      </c>
      <c r="C2972" s="8" t="str">
        <f>IFERROR(_xlfn.XLOOKUP(TRIM(B2972),Lookup!$B$2:$B$1000,Lookup!$C$2:$C$1000),"")</f>
        <v>Equity - Small Cap</v>
      </c>
      <c r="D2972" s="8" t="str">
        <f>IFERROR(INDEX('nav master'!$C:$C, MATCH(B2972, 'nav master'!$B:$B, 0)), "")</f>
        <v>ULIF 071 22/05/23 SCF 110</v>
      </c>
      <c r="E2972" s="8">
        <v>19.576899999999998</v>
      </c>
      <c r="F2972" s="9">
        <v>45957</v>
      </c>
    </row>
    <row r="2973" spans="1:6" ht="60" x14ac:dyDescent="0.25">
      <c r="A2973" s="8" t="s">
        <v>63</v>
      </c>
      <c r="B2973" s="8" t="s">
        <v>73</v>
      </c>
      <c r="C2973" s="8" t="str">
        <f>IFERROR(_xlfn.XLOOKUP(TRIM(B2973),Lookup!$B$2:$B$1000,Lookup!$C$2:$C$1000),"")</f>
        <v>Equity - Small Cap</v>
      </c>
      <c r="D2973" s="8" t="str">
        <f>IFERROR(INDEX('nav master'!$C:$C, MATCH(B2973, 'nav master'!$B:$B, 0)), "")</f>
        <v>ULIF 071 22/05/23 SCF 110</v>
      </c>
      <c r="E2973" s="8">
        <v>19.566700000000001</v>
      </c>
      <c r="F2973" s="9">
        <v>45958</v>
      </c>
    </row>
    <row r="2974" spans="1:6" ht="60" x14ac:dyDescent="0.25">
      <c r="A2974" s="8" t="s">
        <v>63</v>
      </c>
      <c r="B2974" s="8" t="s">
        <v>73</v>
      </c>
      <c r="C2974" s="8" t="str">
        <f>IFERROR(_xlfn.XLOOKUP(TRIM(B2974),Lookup!$B$2:$B$1000,Lookup!$C$2:$C$1000),"")</f>
        <v>Equity - Small Cap</v>
      </c>
      <c r="D2974" s="8" t="str">
        <f>IFERROR(INDEX('nav master'!$C:$C, MATCH(B2974, 'nav master'!$B:$B, 0)), "")</f>
        <v>ULIF 071 22/05/23 SCF 110</v>
      </c>
      <c r="E2974" s="8">
        <v>19.5379</v>
      </c>
      <c r="F2974" s="9">
        <v>45959</v>
      </c>
    </row>
    <row r="2975" spans="1:6" ht="60" x14ac:dyDescent="0.25">
      <c r="A2975" s="8" t="s">
        <v>63</v>
      </c>
      <c r="B2975" s="8" t="s">
        <v>73</v>
      </c>
      <c r="C2975" s="8" t="str">
        <f>IFERROR(_xlfn.XLOOKUP(TRIM(B2975),Lookup!$B$2:$B$1000,Lookup!$C$2:$C$1000),"")</f>
        <v>Equity - Small Cap</v>
      </c>
      <c r="D2975" s="8" t="str">
        <f>IFERROR(INDEX('nav master'!$C:$C, MATCH(B2975, 'nav master'!$B:$B, 0)), "")</f>
        <v>ULIF 071 22/05/23 SCF 110</v>
      </c>
      <c r="E2975" s="8">
        <v>19.5579</v>
      </c>
      <c r="F2975" s="9">
        <v>45960</v>
      </c>
    </row>
    <row r="2976" spans="1:6" ht="60" x14ac:dyDescent="0.25">
      <c r="A2976" s="8" t="s">
        <v>63</v>
      </c>
      <c r="B2976" s="8" t="s">
        <v>73</v>
      </c>
      <c r="C2976" s="8" t="str">
        <f>IFERROR(_xlfn.XLOOKUP(TRIM(B2976),Lookup!$B$2:$B$1000,Lookup!$C$2:$C$1000),"")</f>
        <v>Equity - Small Cap</v>
      </c>
      <c r="D2976" s="8" t="str">
        <f>IFERROR(INDEX('nav master'!$C:$C, MATCH(B2976, 'nav master'!$B:$B, 0)), "")</f>
        <v>ULIF 071 22/05/23 SCF 110</v>
      </c>
      <c r="E2976" s="8">
        <v>19.485600000000002</v>
      </c>
      <c r="F2976" s="9">
        <v>45961</v>
      </c>
    </row>
    <row r="2977" spans="1:6" ht="60" x14ac:dyDescent="0.25">
      <c r="A2977" s="8" t="s">
        <v>63</v>
      </c>
      <c r="B2977" s="8" t="s">
        <v>73</v>
      </c>
      <c r="C2977" s="8" t="str">
        <f>IFERROR(_xlfn.XLOOKUP(TRIM(B2977),Lookup!$B$2:$B$1000,Lookup!$C$2:$C$1000),"")</f>
        <v>Equity - Small Cap</v>
      </c>
      <c r="D2977" s="8" t="str">
        <f>IFERROR(INDEX('nav master'!$C:$C, MATCH(B2977, 'nav master'!$B:$B, 0)), "")</f>
        <v>ULIF 071 22/05/23 SCF 110</v>
      </c>
      <c r="E2977" s="8">
        <v>19.627099999999999</v>
      </c>
      <c r="F2977" s="9">
        <v>45964</v>
      </c>
    </row>
    <row r="2978" spans="1:6" ht="60" x14ac:dyDescent="0.25">
      <c r="A2978" s="8" t="s">
        <v>63</v>
      </c>
      <c r="B2978" s="8" t="s">
        <v>73</v>
      </c>
      <c r="C2978" s="8" t="str">
        <f>IFERROR(_xlfn.XLOOKUP(TRIM(B2978),Lookup!$B$2:$B$1000,Lookup!$C$2:$C$1000),"")</f>
        <v>Equity - Small Cap</v>
      </c>
      <c r="D2978" s="8" t="str">
        <f>IFERROR(INDEX('nav master'!$C:$C, MATCH(B2978, 'nav master'!$B:$B, 0)), "")</f>
        <v>ULIF 071 22/05/23 SCF 110</v>
      </c>
      <c r="E2978" s="8">
        <v>19.572500000000002</v>
      </c>
      <c r="F2978" s="9">
        <v>45965</v>
      </c>
    </row>
    <row r="2979" spans="1:6" ht="60" x14ac:dyDescent="0.25">
      <c r="A2979" s="8" t="s">
        <v>63</v>
      </c>
      <c r="B2979" s="8" t="s">
        <v>73</v>
      </c>
      <c r="C2979" s="8" t="str">
        <f>IFERROR(_xlfn.XLOOKUP(TRIM(B2979),Lookup!$B$2:$B$1000,Lookup!$C$2:$C$1000),"")</f>
        <v>Equity - Small Cap</v>
      </c>
      <c r="D2979" s="8" t="str">
        <f>IFERROR(INDEX('nav master'!$C:$C, MATCH(B2979, 'nav master'!$B:$B, 0)), "")</f>
        <v>ULIF 071 22/05/23 SCF 110</v>
      </c>
      <c r="E2979" s="8">
        <v>19.3428</v>
      </c>
      <c r="F2979" s="9">
        <v>45967</v>
      </c>
    </row>
    <row r="2980" spans="1:6" ht="60" x14ac:dyDescent="0.25">
      <c r="A2980" s="8" t="s">
        <v>63</v>
      </c>
      <c r="B2980" s="8" t="s">
        <v>73</v>
      </c>
      <c r="C2980" s="8" t="str">
        <f>IFERROR(_xlfn.XLOOKUP(TRIM(B2980),Lookup!$B$2:$B$1000,Lookup!$C$2:$C$1000),"")</f>
        <v>Equity - Small Cap</v>
      </c>
      <c r="D2980" s="8" t="str">
        <f>IFERROR(INDEX('nav master'!$C:$C, MATCH(B2980, 'nav master'!$B:$B, 0)), "")</f>
        <v>ULIF 071 22/05/23 SCF 110</v>
      </c>
      <c r="E2980" s="8">
        <v>19.438600000000001</v>
      </c>
      <c r="F2980" s="9">
        <v>45968</v>
      </c>
    </row>
    <row r="2981" spans="1:6" ht="60" x14ac:dyDescent="0.25">
      <c r="A2981" s="8" t="s">
        <v>63</v>
      </c>
      <c r="B2981" s="8" t="s">
        <v>73</v>
      </c>
      <c r="C2981" s="8" t="str">
        <f>IFERROR(_xlfn.XLOOKUP(TRIM(B2981),Lookup!$B$2:$B$1000,Lookup!$C$2:$C$1000),"")</f>
        <v>Equity - Small Cap</v>
      </c>
      <c r="D2981" s="8" t="str">
        <f>IFERROR(INDEX('nav master'!$C:$C, MATCH(B2981, 'nav master'!$B:$B, 0)), "")</f>
        <v>ULIF 071 22/05/23 SCF 110</v>
      </c>
      <c r="E2981" s="8">
        <v>19.5124</v>
      </c>
      <c r="F2981" s="9">
        <v>45971</v>
      </c>
    </row>
    <row r="2982" spans="1:6" ht="60" x14ac:dyDescent="0.25">
      <c r="A2982" s="8" t="s">
        <v>63</v>
      </c>
      <c r="B2982" s="8" t="s">
        <v>73</v>
      </c>
      <c r="C2982" s="8" t="str">
        <f>IFERROR(_xlfn.XLOOKUP(TRIM(B2982),Lookup!$B$2:$B$1000,Lookup!$C$2:$C$1000),"")</f>
        <v>Equity - Small Cap</v>
      </c>
      <c r="D2982" s="8" t="str">
        <f>IFERROR(INDEX('nav master'!$C:$C, MATCH(B2982, 'nav master'!$B:$B, 0)), "")</f>
        <v>ULIF 071 22/05/23 SCF 110</v>
      </c>
      <c r="E2982" s="8">
        <v>19.532399999999999</v>
      </c>
      <c r="F2982" s="9">
        <v>45972</v>
      </c>
    </row>
    <row r="2983" spans="1:6" ht="60" x14ac:dyDescent="0.25">
      <c r="A2983" s="8" t="s">
        <v>63</v>
      </c>
      <c r="B2983" s="8" t="s">
        <v>73</v>
      </c>
      <c r="C2983" s="8" t="str">
        <f>IFERROR(_xlfn.XLOOKUP(TRIM(B2983),Lookup!$B$2:$B$1000,Lookup!$C$2:$C$1000),"")</f>
        <v>Equity - Small Cap</v>
      </c>
      <c r="D2983" s="8" t="str">
        <f>IFERROR(INDEX('nav master'!$C:$C, MATCH(B2983, 'nav master'!$B:$B, 0)), "")</f>
        <v>ULIF 071 22/05/23 SCF 110</v>
      </c>
      <c r="E2983" s="8">
        <v>19.656500000000001</v>
      </c>
      <c r="F2983" s="9">
        <v>45973</v>
      </c>
    </row>
    <row r="2984" spans="1:6" ht="60" x14ac:dyDescent="0.25">
      <c r="A2984" s="8" t="s">
        <v>63</v>
      </c>
      <c r="B2984" s="8" t="s">
        <v>73</v>
      </c>
      <c r="C2984" s="8" t="str">
        <f>IFERROR(_xlfn.XLOOKUP(TRIM(B2984),Lookup!$B$2:$B$1000,Lookup!$C$2:$C$1000),"")</f>
        <v>Equity - Small Cap</v>
      </c>
      <c r="D2984" s="8" t="str">
        <f>IFERROR(INDEX('nav master'!$C:$C, MATCH(B2984, 'nav master'!$B:$B, 0)), "")</f>
        <v>ULIF 071 22/05/23 SCF 110</v>
      </c>
      <c r="E2984" s="8">
        <v>19.605599999999999</v>
      </c>
      <c r="F2984" s="9">
        <v>45974</v>
      </c>
    </row>
    <row r="2985" spans="1:6" ht="60" x14ac:dyDescent="0.25">
      <c r="A2985" s="8" t="s">
        <v>63</v>
      </c>
      <c r="B2985" s="8" t="s">
        <v>73</v>
      </c>
      <c r="C2985" s="8" t="str">
        <f>IFERROR(_xlfn.XLOOKUP(TRIM(B2985),Lookup!$B$2:$B$1000,Lookup!$C$2:$C$1000),"")</f>
        <v>Equity - Small Cap</v>
      </c>
      <c r="D2985" s="8" t="str">
        <f>IFERROR(INDEX('nav master'!$C:$C, MATCH(B2985, 'nav master'!$B:$B, 0)), "")</f>
        <v>ULIF 071 22/05/23 SCF 110</v>
      </c>
      <c r="E2985" s="8">
        <v>19.664899999999999</v>
      </c>
      <c r="F2985" s="9">
        <v>45975</v>
      </c>
    </row>
    <row r="2986" spans="1:6" ht="60" x14ac:dyDescent="0.25">
      <c r="A2986" s="8" t="s">
        <v>63</v>
      </c>
      <c r="B2986" s="8" t="s">
        <v>73</v>
      </c>
      <c r="C2986" s="8" t="str">
        <f>IFERROR(_xlfn.XLOOKUP(TRIM(B2986),Lookup!$B$2:$B$1000,Lookup!$C$2:$C$1000),"")</f>
        <v>Equity - Small Cap</v>
      </c>
      <c r="D2986" s="8" t="str">
        <f>IFERROR(INDEX('nav master'!$C:$C, MATCH(B2986, 'nav master'!$B:$B, 0)), "")</f>
        <v>ULIF 071 22/05/23 SCF 110</v>
      </c>
      <c r="E2986" s="8">
        <v>19.852900000000002</v>
      </c>
      <c r="F2986" s="9">
        <v>45978</v>
      </c>
    </row>
    <row r="2987" spans="1:6" ht="60" x14ac:dyDescent="0.25">
      <c r="A2987" s="8" t="s">
        <v>63</v>
      </c>
      <c r="B2987" s="8" t="s">
        <v>73</v>
      </c>
      <c r="C2987" s="8" t="str">
        <f>IFERROR(_xlfn.XLOOKUP(TRIM(B2987),Lookup!$B$2:$B$1000,Lookup!$C$2:$C$1000),"")</f>
        <v>Equity - Small Cap</v>
      </c>
      <c r="D2987" s="8" t="str">
        <f>IFERROR(INDEX('nav master'!$C:$C, MATCH(B2987, 'nav master'!$B:$B, 0)), "")</f>
        <v>ULIF 071 22/05/23 SCF 110</v>
      </c>
      <c r="E2987" s="8">
        <v>19.713999999999999</v>
      </c>
      <c r="F2987" s="9">
        <v>45979</v>
      </c>
    </row>
    <row r="2988" spans="1:6" ht="60" x14ac:dyDescent="0.25">
      <c r="A2988" s="8" t="s">
        <v>63</v>
      </c>
      <c r="B2988" s="8" t="s">
        <v>73</v>
      </c>
      <c r="C2988" s="8" t="str">
        <f>IFERROR(_xlfn.XLOOKUP(TRIM(B2988),Lookup!$B$2:$B$1000,Lookup!$C$2:$C$1000),"")</f>
        <v>Equity - Small Cap</v>
      </c>
      <c r="D2988" s="8" t="str">
        <f>IFERROR(INDEX('nav master'!$C:$C, MATCH(B2988, 'nav master'!$B:$B, 0)), "")</f>
        <v>ULIF 071 22/05/23 SCF 110</v>
      </c>
      <c r="E2988" s="8">
        <v>19.6676</v>
      </c>
      <c r="F2988" s="9">
        <v>45980</v>
      </c>
    </row>
    <row r="2989" spans="1:6" ht="60" x14ac:dyDescent="0.25">
      <c r="A2989" s="8" t="s">
        <v>63</v>
      </c>
      <c r="B2989" s="8" t="s">
        <v>73</v>
      </c>
      <c r="C2989" s="8" t="str">
        <f>IFERROR(_xlfn.XLOOKUP(TRIM(B2989),Lookup!$B$2:$B$1000,Lookup!$C$2:$C$1000),"")</f>
        <v>Equity - Small Cap</v>
      </c>
      <c r="D2989" s="8" t="str">
        <f>IFERROR(INDEX('nav master'!$C:$C, MATCH(B2989, 'nav master'!$B:$B, 0)), "")</f>
        <v>ULIF 071 22/05/23 SCF 110</v>
      </c>
      <c r="E2989" s="8">
        <v>19.662400000000002</v>
      </c>
      <c r="F2989" s="9">
        <v>45981</v>
      </c>
    </row>
    <row r="2990" spans="1:6" ht="60" x14ac:dyDescent="0.25">
      <c r="A2990" s="8" t="s">
        <v>63</v>
      </c>
      <c r="B2990" s="8" t="s">
        <v>73</v>
      </c>
      <c r="C2990" s="8" t="str">
        <f>IFERROR(_xlfn.XLOOKUP(TRIM(B2990),Lookup!$B$2:$B$1000,Lookup!$C$2:$C$1000),"")</f>
        <v>Equity - Small Cap</v>
      </c>
      <c r="D2990" s="8" t="str">
        <f>IFERROR(INDEX('nav master'!$C:$C, MATCH(B2990, 'nav master'!$B:$B, 0)), "")</f>
        <v>ULIF 071 22/05/23 SCF 110</v>
      </c>
      <c r="E2990" s="8">
        <v>19.477</v>
      </c>
      <c r="F2990" s="9">
        <v>45982</v>
      </c>
    </row>
    <row r="2991" spans="1:6" ht="60" x14ac:dyDescent="0.25">
      <c r="A2991" s="8" t="s">
        <v>63</v>
      </c>
      <c r="B2991" s="8" t="s">
        <v>73</v>
      </c>
      <c r="C2991" s="8" t="str">
        <f>IFERROR(_xlfn.XLOOKUP(TRIM(B2991),Lookup!$B$2:$B$1000,Lookup!$C$2:$C$1000),"")</f>
        <v>Equity - Small Cap</v>
      </c>
      <c r="D2991" s="8" t="str">
        <f>IFERROR(INDEX('nav master'!$C:$C, MATCH(B2991, 'nav master'!$B:$B, 0)), "")</f>
        <v>ULIF 071 22/05/23 SCF 110</v>
      </c>
      <c r="E2991" s="8">
        <v>19.3947</v>
      </c>
      <c r="F2991" s="9">
        <v>45985</v>
      </c>
    </row>
    <row r="2992" spans="1:6" ht="60" x14ac:dyDescent="0.25">
      <c r="A2992" s="8" t="s">
        <v>63</v>
      </c>
      <c r="B2992" s="8" t="s">
        <v>73</v>
      </c>
      <c r="C2992" s="8" t="str">
        <f>IFERROR(_xlfn.XLOOKUP(TRIM(B2992),Lookup!$B$2:$B$1000,Lookup!$C$2:$C$1000),"")</f>
        <v>Equity - Small Cap</v>
      </c>
      <c r="D2992" s="8" t="str">
        <f>IFERROR(INDEX('nav master'!$C:$C, MATCH(B2992, 'nav master'!$B:$B, 0)), "")</f>
        <v>ULIF 071 22/05/23 SCF 110</v>
      </c>
      <c r="E2992" s="8">
        <v>19.446200000000001</v>
      </c>
      <c r="F2992" s="9">
        <v>45986</v>
      </c>
    </row>
    <row r="2993" spans="1:6" ht="60" x14ac:dyDescent="0.25">
      <c r="A2993" s="8" t="s">
        <v>63</v>
      </c>
      <c r="B2993" s="8" t="s">
        <v>73</v>
      </c>
      <c r="C2993" s="8" t="str">
        <f>IFERROR(_xlfn.XLOOKUP(TRIM(B2993),Lookup!$B$2:$B$1000,Lookup!$C$2:$C$1000),"")</f>
        <v>Equity - Small Cap</v>
      </c>
      <c r="D2993" s="8" t="str">
        <f>IFERROR(INDEX('nav master'!$C:$C, MATCH(B2993, 'nav master'!$B:$B, 0)), "")</f>
        <v>ULIF 071 22/05/23 SCF 110</v>
      </c>
      <c r="E2993" s="8">
        <v>19.649100000000001</v>
      </c>
      <c r="F2993" s="9">
        <v>45987</v>
      </c>
    </row>
    <row r="2994" spans="1:6" ht="60" x14ac:dyDescent="0.25">
      <c r="A2994" s="8" t="s">
        <v>63</v>
      </c>
      <c r="B2994" s="8" t="s">
        <v>73</v>
      </c>
      <c r="C2994" s="8" t="str">
        <f>IFERROR(_xlfn.XLOOKUP(TRIM(B2994),Lookup!$B$2:$B$1000,Lookup!$C$2:$C$1000),"")</f>
        <v>Equity - Small Cap</v>
      </c>
      <c r="D2994" s="8" t="str">
        <f>IFERROR(INDEX('nav master'!$C:$C, MATCH(B2994, 'nav master'!$B:$B, 0)), "")</f>
        <v>ULIF 071 22/05/23 SCF 110</v>
      </c>
      <c r="E2994" s="8">
        <v>19.6145</v>
      </c>
      <c r="F2994" s="9">
        <v>45988</v>
      </c>
    </row>
    <row r="2995" spans="1:6" ht="60" x14ac:dyDescent="0.25">
      <c r="A2995" s="8" t="s">
        <v>63</v>
      </c>
      <c r="B2995" s="8" t="s">
        <v>73</v>
      </c>
      <c r="C2995" s="8" t="str">
        <f>IFERROR(_xlfn.XLOOKUP(TRIM(B2995),Lookup!$B$2:$B$1000,Lookup!$C$2:$C$1000),"")</f>
        <v>Equity - Small Cap</v>
      </c>
      <c r="D2995" s="8" t="str">
        <f>IFERROR(INDEX('nav master'!$C:$C, MATCH(B2995, 'nav master'!$B:$B, 0)), "")</f>
        <v>ULIF 071 22/05/23 SCF 110</v>
      </c>
      <c r="E2995" s="8">
        <v>19.569400000000002</v>
      </c>
      <c r="F2995" s="9">
        <v>45989</v>
      </c>
    </row>
    <row r="2996" spans="1:6" ht="60" x14ac:dyDescent="0.25">
      <c r="A2996" s="8" t="s">
        <v>63</v>
      </c>
      <c r="B2996" s="8" t="s">
        <v>73</v>
      </c>
      <c r="C2996" s="8" t="str">
        <f>IFERROR(_xlfn.XLOOKUP(TRIM(B2996),Lookup!$B$2:$B$1000,Lookup!$C$2:$C$1000),"")</f>
        <v>Equity - Small Cap</v>
      </c>
      <c r="D2996" s="8" t="str">
        <f>IFERROR(INDEX('nav master'!$C:$C, MATCH(B2996, 'nav master'!$B:$B, 0)), "")</f>
        <v>ULIF 071 22/05/23 SCF 110</v>
      </c>
      <c r="E2996" s="8">
        <v>19.616700000000002</v>
      </c>
      <c r="F2996" s="9">
        <v>45992</v>
      </c>
    </row>
    <row r="2997" spans="1:6" ht="60" x14ac:dyDescent="0.25">
      <c r="A2997" s="8" t="s">
        <v>63</v>
      </c>
      <c r="B2997" s="8" t="s">
        <v>73</v>
      </c>
      <c r="C2997" s="8" t="str">
        <f>IFERROR(_xlfn.XLOOKUP(TRIM(B2997),Lookup!$B$2:$B$1000,Lookup!$C$2:$C$1000),"")</f>
        <v>Equity - Small Cap</v>
      </c>
      <c r="D2997" s="8" t="str">
        <f>IFERROR(INDEX('nav master'!$C:$C, MATCH(B2997, 'nav master'!$B:$B, 0)), "")</f>
        <v>ULIF 071 22/05/23 SCF 110</v>
      </c>
      <c r="E2997" s="8">
        <v>19.5062</v>
      </c>
      <c r="F2997" s="9">
        <v>45993</v>
      </c>
    </row>
    <row r="2998" spans="1:6" ht="60" x14ac:dyDescent="0.25">
      <c r="A2998" s="8" t="s">
        <v>63</v>
      </c>
      <c r="B2998" s="8" t="s">
        <v>73</v>
      </c>
      <c r="C2998" s="8" t="str">
        <f>IFERROR(_xlfn.XLOOKUP(TRIM(B2998),Lookup!$B$2:$B$1000,Lookup!$C$2:$C$1000),"")</f>
        <v>Equity - Small Cap</v>
      </c>
      <c r="D2998" s="8" t="str">
        <f>IFERROR(INDEX('nav master'!$C:$C, MATCH(B2998, 'nav master'!$B:$B, 0)), "")</f>
        <v>ULIF 071 22/05/23 SCF 110</v>
      </c>
      <c r="E2998" s="8">
        <v>19.404599999999999</v>
      </c>
      <c r="F2998" s="9">
        <v>45994</v>
      </c>
    </row>
    <row r="2999" spans="1:6" ht="60" x14ac:dyDescent="0.25">
      <c r="A2999" s="8" t="s">
        <v>63</v>
      </c>
      <c r="B2999" s="8" t="s">
        <v>73</v>
      </c>
      <c r="C2999" s="8" t="str">
        <f>IFERROR(_xlfn.XLOOKUP(TRIM(B2999),Lookup!$B$2:$B$1000,Lookup!$C$2:$C$1000),"")</f>
        <v>Equity - Small Cap</v>
      </c>
      <c r="D2999" s="8" t="str">
        <f>IFERROR(INDEX('nav master'!$C:$C, MATCH(B2999, 'nav master'!$B:$B, 0)), "")</f>
        <v>ULIF 071 22/05/23 SCF 110</v>
      </c>
      <c r="E2999" s="8">
        <v>19.367799999999999</v>
      </c>
      <c r="F2999" s="9">
        <v>45995</v>
      </c>
    </row>
    <row r="3000" spans="1:6" ht="60" x14ac:dyDescent="0.25">
      <c r="A3000" s="8" t="s">
        <v>63</v>
      </c>
      <c r="B3000" s="8" t="s">
        <v>73</v>
      </c>
      <c r="C3000" s="8" t="str">
        <f>IFERROR(_xlfn.XLOOKUP(TRIM(B3000),Lookup!$B$2:$B$1000,Lookup!$C$2:$C$1000),"")</f>
        <v>Equity - Small Cap</v>
      </c>
      <c r="D3000" s="8" t="str">
        <f>IFERROR(INDEX('nav master'!$C:$C, MATCH(B3000, 'nav master'!$B:$B, 0)), "")</f>
        <v>ULIF 071 22/05/23 SCF 110</v>
      </c>
      <c r="E3000" s="8">
        <v>19.369399999999999</v>
      </c>
      <c r="F3000" s="9">
        <v>45996</v>
      </c>
    </row>
    <row r="3001" spans="1:6" ht="60" x14ac:dyDescent="0.25">
      <c r="A3001" s="8" t="s">
        <v>63</v>
      </c>
      <c r="B3001" s="8" t="s">
        <v>73</v>
      </c>
      <c r="C3001" s="8" t="str">
        <f>IFERROR(_xlfn.XLOOKUP(TRIM(B3001),Lookup!$B$2:$B$1000,Lookup!$C$2:$C$1000),"")</f>
        <v>Equity - Small Cap</v>
      </c>
      <c r="D3001" s="8" t="str">
        <f>IFERROR(INDEX('nav master'!$C:$C, MATCH(B3001, 'nav master'!$B:$B, 0)), "")</f>
        <v>ULIF 071 22/05/23 SCF 110</v>
      </c>
      <c r="E3001" s="8">
        <v>19.0685</v>
      </c>
      <c r="F3001" s="9">
        <v>45999</v>
      </c>
    </row>
    <row r="3002" spans="1:6" ht="60" x14ac:dyDescent="0.25">
      <c r="A3002" s="8" t="s">
        <v>63</v>
      </c>
      <c r="B3002" s="8" t="s">
        <v>73</v>
      </c>
      <c r="C3002" s="8" t="str">
        <f>IFERROR(_xlfn.XLOOKUP(TRIM(B3002),Lookup!$B$2:$B$1000,Lookup!$C$2:$C$1000),"")</f>
        <v>Equity - Small Cap</v>
      </c>
      <c r="D3002" s="8" t="str">
        <f>IFERROR(INDEX('nav master'!$C:$C, MATCH(B3002, 'nav master'!$B:$B, 0)), "")</f>
        <v>ULIF 071 22/05/23 SCF 110</v>
      </c>
      <c r="E3002" s="8">
        <v>19.2043</v>
      </c>
      <c r="F3002" s="9">
        <v>46000</v>
      </c>
    </row>
    <row r="3003" spans="1:6" ht="60" x14ac:dyDescent="0.25">
      <c r="A3003" s="8" t="s">
        <v>63</v>
      </c>
      <c r="B3003" s="8" t="s">
        <v>73</v>
      </c>
      <c r="C3003" s="8" t="str">
        <f>IFERROR(_xlfn.XLOOKUP(TRIM(B3003),Lookup!$B$2:$B$1000,Lookup!$C$2:$C$1000),"")</f>
        <v>Equity - Small Cap</v>
      </c>
      <c r="D3003" s="8" t="str">
        <f>IFERROR(INDEX('nav master'!$C:$C, MATCH(B3003, 'nav master'!$B:$B, 0)), "")</f>
        <v>ULIF 071 22/05/23 SCF 110</v>
      </c>
      <c r="E3003" s="8">
        <v>19.029900000000001</v>
      </c>
      <c r="F3003" s="9">
        <v>46001</v>
      </c>
    </row>
    <row r="3004" spans="1:6" ht="60" x14ac:dyDescent="0.25">
      <c r="A3004" s="8" t="s">
        <v>63</v>
      </c>
      <c r="B3004" s="8" t="s">
        <v>73</v>
      </c>
      <c r="C3004" s="8" t="str">
        <f>IFERROR(_xlfn.XLOOKUP(TRIM(B3004),Lookup!$B$2:$B$1000,Lookup!$C$2:$C$1000),"")</f>
        <v>Equity - Small Cap</v>
      </c>
      <c r="D3004" s="8" t="str">
        <f>IFERROR(INDEX('nav master'!$C:$C, MATCH(B3004, 'nav master'!$B:$B, 0)), "")</f>
        <v>ULIF 071 22/05/23 SCF 110</v>
      </c>
      <c r="E3004" s="8">
        <v>19.088000000000001</v>
      </c>
      <c r="F3004" s="9">
        <v>46002</v>
      </c>
    </row>
    <row r="3005" spans="1:6" ht="60" x14ac:dyDescent="0.25">
      <c r="A3005" s="8" t="s">
        <v>63</v>
      </c>
      <c r="B3005" s="8" t="s">
        <v>73</v>
      </c>
      <c r="C3005" s="8" t="str">
        <f>IFERROR(_xlfn.XLOOKUP(TRIM(B3005),Lookup!$B$2:$B$1000,Lookup!$C$2:$C$1000),"")</f>
        <v>Equity - Small Cap</v>
      </c>
      <c r="D3005" s="8" t="str">
        <f>IFERROR(INDEX('nav master'!$C:$C, MATCH(B3005, 'nav master'!$B:$B, 0)), "")</f>
        <v>ULIF 071 22/05/23 SCF 110</v>
      </c>
      <c r="E3005" s="8">
        <v>19.299099999999999</v>
      </c>
      <c r="F3005" s="9">
        <v>46003</v>
      </c>
    </row>
    <row r="3006" spans="1:6" ht="60" x14ac:dyDescent="0.25">
      <c r="A3006" s="8" t="s">
        <v>63</v>
      </c>
      <c r="B3006" s="8" t="s">
        <v>73</v>
      </c>
      <c r="C3006" s="8" t="str">
        <f>IFERROR(_xlfn.XLOOKUP(TRIM(B3006),Lookup!$B$2:$B$1000,Lookup!$C$2:$C$1000),"")</f>
        <v>Equity - Small Cap</v>
      </c>
      <c r="D3006" s="8" t="str">
        <f>IFERROR(INDEX('nav master'!$C:$C, MATCH(B3006, 'nav master'!$B:$B, 0)), "")</f>
        <v>ULIF 071 22/05/23 SCF 110</v>
      </c>
      <c r="E3006" s="8">
        <v>19.317499999999999</v>
      </c>
      <c r="F3006" s="9">
        <v>46006</v>
      </c>
    </row>
    <row r="3007" spans="1:6" ht="60" x14ac:dyDescent="0.25">
      <c r="A3007" s="8" t="s">
        <v>63</v>
      </c>
      <c r="B3007" s="8" t="s">
        <v>73</v>
      </c>
      <c r="C3007" s="8" t="str">
        <f>IFERROR(_xlfn.XLOOKUP(TRIM(B3007),Lookup!$B$2:$B$1000,Lookup!$C$2:$C$1000),"")</f>
        <v>Equity - Small Cap</v>
      </c>
      <c r="D3007" s="8" t="str">
        <f>IFERROR(INDEX('nav master'!$C:$C, MATCH(B3007, 'nav master'!$B:$B, 0)), "")</f>
        <v>ULIF 071 22/05/23 SCF 110</v>
      </c>
      <c r="E3007" s="8">
        <v>19.180599999999998</v>
      </c>
      <c r="F3007" s="9">
        <v>46007</v>
      </c>
    </row>
    <row r="3008" spans="1:6" ht="60" x14ac:dyDescent="0.25">
      <c r="A3008" s="8" t="s">
        <v>63</v>
      </c>
      <c r="B3008" s="8" t="s">
        <v>73</v>
      </c>
      <c r="C3008" s="8" t="str">
        <f>IFERROR(_xlfn.XLOOKUP(TRIM(B3008),Lookup!$B$2:$B$1000,Lookup!$C$2:$C$1000),"")</f>
        <v>Equity - Small Cap</v>
      </c>
      <c r="D3008" s="8" t="str">
        <f>IFERROR(INDEX('nav master'!$C:$C, MATCH(B3008, 'nav master'!$B:$B, 0)), "")</f>
        <v>ULIF 071 22/05/23 SCF 110</v>
      </c>
      <c r="E3008" s="8">
        <v>19.0702</v>
      </c>
      <c r="F3008" s="9">
        <v>46008</v>
      </c>
    </row>
    <row r="3009" spans="1:6" ht="60" x14ac:dyDescent="0.25">
      <c r="A3009" s="8" t="s">
        <v>63</v>
      </c>
      <c r="B3009" s="8" t="s">
        <v>73</v>
      </c>
      <c r="C3009" s="8" t="str">
        <f>IFERROR(_xlfn.XLOOKUP(TRIM(B3009),Lookup!$B$2:$B$1000,Lookup!$C$2:$C$1000),"")</f>
        <v>Equity - Small Cap</v>
      </c>
      <c r="D3009" s="8" t="str">
        <f>IFERROR(INDEX('nav master'!$C:$C, MATCH(B3009, 'nav master'!$B:$B, 0)), "")</f>
        <v>ULIF 071 22/05/23 SCF 110</v>
      </c>
      <c r="E3009" s="8">
        <v>19.071100000000001</v>
      </c>
      <c r="F3009" s="9">
        <v>46009</v>
      </c>
    </row>
    <row r="3010" spans="1:6" ht="60" x14ac:dyDescent="0.25">
      <c r="A3010" s="8" t="s">
        <v>63</v>
      </c>
      <c r="B3010" s="8" t="s">
        <v>73</v>
      </c>
      <c r="C3010" s="8" t="str">
        <f>IFERROR(_xlfn.XLOOKUP(TRIM(B3010),Lookup!$B$2:$B$1000,Lookup!$C$2:$C$1000),"")</f>
        <v>Equity - Small Cap</v>
      </c>
      <c r="D3010" s="8" t="str">
        <f>IFERROR(INDEX('nav master'!$C:$C, MATCH(B3010, 'nav master'!$B:$B, 0)), "")</f>
        <v>ULIF 071 22/05/23 SCF 110</v>
      </c>
      <c r="E3010" s="8">
        <v>19.3553</v>
      </c>
      <c r="F3010" s="9">
        <v>46010</v>
      </c>
    </row>
    <row r="3011" spans="1:6" ht="60" x14ac:dyDescent="0.25">
      <c r="A3011" s="8" t="s">
        <v>63</v>
      </c>
      <c r="B3011" s="8" t="s">
        <v>73</v>
      </c>
      <c r="C3011" s="8" t="str">
        <f>IFERROR(_xlfn.XLOOKUP(TRIM(B3011),Lookup!$B$2:$B$1000,Lookup!$C$2:$C$1000),"")</f>
        <v>Equity - Small Cap</v>
      </c>
      <c r="D3011" s="8" t="str">
        <f>IFERROR(INDEX('nav master'!$C:$C, MATCH(B3011, 'nav master'!$B:$B, 0)), "")</f>
        <v>ULIF 071 22/05/23 SCF 110</v>
      </c>
      <c r="E3011" s="8">
        <v>19.559799999999999</v>
      </c>
      <c r="F3011" s="9">
        <v>46013</v>
      </c>
    </row>
    <row r="3012" spans="1:6" ht="60" x14ac:dyDescent="0.25">
      <c r="A3012" s="8" t="s">
        <v>63</v>
      </c>
      <c r="B3012" s="8" t="s">
        <v>73</v>
      </c>
      <c r="C3012" s="8" t="str">
        <f>IFERROR(_xlfn.XLOOKUP(TRIM(B3012),Lookup!$B$2:$B$1000,Lookup!$C$2:$C$1000),"")</f>
        <v>Equity - Small Cap</v>
      </c>
      <c r="D3012" s="8" t="str">
        <f>IFERROR(INDEX('nav master'!$C:$C, MATCH(B3012, 'nav master'!$B:$B, 0)), "")</f>
        <v>ULIF 071 22/05/23 SCF 110</v>
      </c>
      <c r="E3012" s="8">
        <v>19.564399999999999</v>
      </c>
      <c r="F3012" s="9">
        <v>46014</v>
      </c>
    </row>
    <row r="3013" spans="1:6" ht="60" x14ac:dyDescent="0.25">
      <c r="A3013" s="8" t="s">
        <v>63</v>
      </c>
      <c r="B3013" s="8" t="s">
        <v>73</v>
      </c>
      <c r="C3013" s="8" t="str">
        <f>IFERROR(_xlfn.XLOOKUP(TRIM(B3013),Lookup!$B$2:$B$1000,Lookup!$C$2:$C$1000),"")</f>
        <v>Equity - Small Cap</v>
      </c>
      <c r="D3013" s="8" t="str">
        <f>IFERROR(INDEX('nav master'!$C:$C, MATCH(B3013, 'nav master'!$B:$B, 0)), "")</f>
        <v>ULIF 071 22/05/23 SCF 110</v>
      </c>
      <c r="E3013" s="8">
        <v>19.537299999999998</v>
      </c>
      <c r="F3013" s="9">
        <v>46015</v>
      </c>
    </row>
    <row r="3014" spans="1:6" ht="60" x14ac:dyDescent="0.25">
      <c r="A3014" s="8" t="s">
        <v>63</v>
      </c>
      <c r="B3014" s="8" t="s">
        <v>73</v>
      </c>
      <c r="C3014" s="8" t="str">
        <f>IFERROR(_xlfn.XLOOKUP(TRIM(B3014),Lookup!$B$2:$B$1000,Lookup!$C$2:$C$1000),"")</f>
        <v>Equity - Small Cap</v>
      </c>
      <c r="D3014" s="8" t="str">
        <f>IFERROR(INDEX('nav master'!$C:$C, MATCH(B3014, 'nav master'!$B:$B, 0)), "")</f>
        <v>ULIF 071 22/05/23 SCF 110</v>
      </c>
      <c r="E3014" s="8">
        <v>19.4741</v>
      </c>
      <c r="F3014" s="9">
        <v>46017</v>
      </c>
    </row>
    <row r="3015" spans="1:6" ht="60" x14ac:dyDescent="0.25">
      <c r="A3015" s="8" t="s">
        <v>63</v>
      </c>
      <c r="B3015" s="8" t="s">
        <v>73</v>
      </c>
      <c r="C3015" s="8" t="str">
        <f>IFERROR(_xlfn.XLOOKUP(TRIM(B3015),Lookup!$B$2:$B$1000,Lookup!$C$2:$C$1000),"")</f>
        <v>Equity - Small Cap</v>
      </c>
      <c r="D3015" s="8" t="str">
        <f>IFERROR(INDEX('nav master'!$C:$C, MATCH(B3015, 'nav master'!$B:$B, 0)), "")</f>
        <v>ULIF 071 22/05/23 SCF 110</v>
      </c>
      <c r="E3015" s="8">
        <v>19.3355</v>
      </c>
      <c r="F3015" s="9">
        <v>46020</v>
      </c>
    </row>
    <row r="3016" spans="1:6" ht="60" x14ac:dyDescent="0.25">
      <c r="A3016" s="8" t="s">
        <v>63</v>
      </c>
      <c r="B3016" s="8" t="s">
        <v>73</v>
      </c>
      <c r="C3016" s="8" t="str">
        <f>IFERROR(_xlfn.XLOOKUP(TRIM(B3016),Lookup!$B$2:$B$1000,Lookup!$C$2:$C$1000),"")</f>
        <v>Equity - Small Cap</v>
      </c>
      <c r="D3016" s="8" t="str">
        <f>IFERROR(INDEX('nav master'!$C:$C, MATCH(B3016, 'nav master'!$B:$B, 0)), "")</f>
        <v>ULIF 071 22/05/23 SCF 110</v>
      </c>
      <c r="E3016" s="8">
        <v>19.2926</v>
      </c>
      <c r="F3016" s="9">
        <v>46021</v>
      </c>
    </row>
    <row r="3017" spans="1:6" ht="60" x14ac:dyDescent="0.25">
      <c r="A3017" s="8" t="s">
        <v>63</v>
      </c>
      <c r="B3017" s="8" t="s">
        <v>73</v>
      </c>
      <c r="C3017" s="8" t="str">
        <f>IFERROR(_xlfn.XLOOKUP(TRIM(B3017),Lookup!$B$2:$B$1000,Lookup!$C$2:$C$1000),"")</f>
        <v>Equity - Small Cap</v>
      </c>
      <c r="D3017" s="8" t="str">
        <f>IFERROR(INDEX('nav master'!$C:$C, MATCH(B3017, 'nav master'!$B:$B, 0)), "")</f>
        <v>ULIF 071 22/05/23 SCF 110</v>
      </c>
      <c r="E3017" s="8">
        <v>19.479900000000001</v>
      </c>
      <c r="F3017" s="9">
        <v>46022</v>
      </c>
    </row>
    <row r="3018" spans="1:6" ht="60" x14ac:dyDescent="0.25">
      <c r="A3018" s="8" t="s">
        <v>63</v>
      </c>
      <c r="B3018" s="8" t="s">
        <v>73</v>
      </c>
      <c r="C3018" s="8" t="str">
        <f>IFERROR(_xlfn.XLOOKUP(TRIM(B3018),Lookup!$B$2:$B$1000,Lookup!$C$2:$C$1000),"")</f>
        <v>Equity - Small Cap</v>
      </c>
      <c r="D3018" s="8" t="str">
        <f>IFERROR(INDEX('nav master'!$C:$C, MATCH(B3018, 'nav master'!$B:$B, 0)), "")</f>
        <v>ULIF 071 22/05/23 SCF 110</v>
      </c>
      <c r="E3018" s="8">
        <v>19.5031</v>
      </c>
      <c r="F3018" s="9">
        <v>46023</v>
      </c>
    </row>
    <row r="3019" spans="1:6" ht="60" x14ac:dyDescent="0.25">
      <c r="A3019" s="8" t="s">
        <v>63</v>
      </c>
      <c r="B3019" s="8" t="s">
        <v>73</v>
      </c>
      <c r="C3019" s="8" t="str">
        <f>IFERROR(_xlfn.XLOOKUP(TRIM(B3019),Lookup!$B$2:$B$1000,Lookup!$C$2:$C$1000),"")</f>
        <v>Equity - Small Cap</v>
      </c>
      <c r="D3019" s="8" t="str">
        <f>IFERROR(INDEX('nav master'!$C:$C, MATCH(B3019, 'nav master'!$B:$B, 0)), "")</f>
        <v>ULIF 071 22/05/23 SCF 110</v>
      </c>
      <c r="E3019" s="8">
        <v>19.6356</v>
      </c>
      <c r="F3019" s="9">
        <v>46024</v>
      </c>
    </row>
    <row r="3020" spans="1:6" ht="60" x14ac:dyDescent="0.25">
      <c r="A3020" s="8" t="s">
        <v>63</v>
      </c>
      <c r="B3020" s="8" t="s">
        <v>73</v>
      </c>
      <c r="C3020" s="8" t="str">
        <f>IFERROR(_xlfn.XLOOKUP(TRIM(B3020),Lookup!$B$2:$B$1000,Lookup!$C$2:$C$1000),"")</f>
        <v>Equity - Small Cap</v>
      </c>
      <c r="D3020" s="8" t="str">
        <f>IFERROR(INDEX('nav master'!$C:$C, MATCH(B3020, 'nav master'!$B:$B, 0)), "")</f>
        <v>ULIF 071 22/05/23 SCF 110</v>
      </c>
      <c r="E3020" s="8">
        <v>19.684899999999999</v>
      </c>
      <c r="F3020" s="9">
        <v>46027</v>
      </c>
    </row>
    <row r="3021" spans="1:6" ht="60" x14ac:dyDescent="0.25">
      <c r="A3021" s="8" t="s">
        <v>63</v>
      </c>
      <c r="B3021" s="8" t="s">
        <v>73</v>
      </c>
      <c r="C3021" s="8" t="str">
        <f>IFERROR(_xlfn.XLOOKUP(TRIM(B3021),Lookup!$B$2:$B$1000,Lookup!$C$2:$C$1000),"")</f>
        <v>Equity - Small Cap</v>
      </c>
      <c r="D3021" s="8" t="str">
        <f>IFERROR(INDEX('nav master'!$C:$C, MATCH(B3021, 'nav master'!$B:$B, 0)), "")</f>
        <v>ULIF 071 22/05/23 SCF 110</v>
      </c>
      <c r="E3021" s="8">
        <v>19.627800000000001</v>
      </c>
      <c r="F3021" s="9">
        <v>46028</v>
      </c>
    </row>
    <row r="3022" spans="1:6" ht="60" x14ac:dyDescent="0.25">
      <c r="A3022" s="8" t="s">
        <v>63</v>
      </c>
      <c r="B3022" s="8" t="s">
        <v>73</v>
      </c>
      <c r="C3022" s="8" t="str">
        <f>IFERROR(_xlfn.XLOOKUP(TRIM(B3022),Lookup!$B$2:$B$1000,Lookup!$C$2:$C$1000),"")</f>
        <v>Equity - Small Cap</v>
      </c>
      <c r="D3022" s="8" t="str">
        <f>IFERROR(INDEX('nav master'!$C:$C, MATCH(B3022, 'nav master'!$B:$B, 0)), "")</f>
        <v>ULIF 071 22/05/23 SCF 110</v>
      </c>
      <c r="E3022" s="8">
        <v>19.675899999999999</v>
      </c>
      <c r="F3022" s="9">
        <v>46029</v>
      </c>
    </row>
    <row r="3023" spans="1:6" ht="60" x14ac:dyDescent="0.25">
      <c r="A3023" s="8" t="s">
        <v>63</v>
      </c>
      <c r="B3023" s="8" t="s">
        <v>73</v>
      </c>
      <c r="C3023" s="8" t="str">
        <f>IFERROR(_xlfn.XLOOKUP(TRIM(B3023),Lookup!$B$2:$B$1000,Lookup!$C$2:$C$1000),"")</f>
        <v>Equity - Small Cap</v>
      </c>
      <c r="D3023" s="8" t="str">
        <f>IFERROR(INDEX('nav master'!$C:$C, MATCH(B3023, 'nav master'!$B:$B, 0)), "")</f>
        <v>ULIF 071 22/05/23 SCF 110</v>
      </c>
      <c r="E3023" s="8">
        <v>19.407399999999999</v>
      </c>
      <c r="F3023" s="9">
        <v>46030</v>
      </c>
    </row>
    <row r="3024" spans="1:6" ht="60" x14ac:dyDescent="0.25">
      <c r="A3024" s="8" t="s">
        <v>63</v>
      </c>
      <c r="B3024" s="8" t="s">
        <v>73</v>
      </c>
      <c r="C3024" s="8" t="str">
        <f>IFERROR(_xlfn.XLOOKUP(TRIM(B3024),Lookup!$B$2:$B$1000,Lookup!$C$2:$C$1000),"")</f>
        <v>Equity - Small Cap</v>
      </c>
      <c r="D3024" s="8" t="str">
        <f>IFERROR(INDEX('nav master'!$C:$C, MATCH(B3024, 'nav master'!$B:$B, 0)), "")</f>
        <v>ULIF 071 22/05/23 SCF 110</v>
      </c>
      <c r="E3024" s="8">
        <v>19.125299999999999</v>
      </c>
      <c r="F3024" s="9">
        <v>46031</v>
      </c>
    </row>
    <row r="3025" spans="1:6" ht="60" x14ac:dyDescent="0.25">
      <c r="A3025" s="8" t="s">
        <v>63</v>
      </c>
      <c r="B3025" s="8" t="s">
        <v>73</v>
      </c>
      <c r="C3025" s="8" t="str">
        <f>IFERROR(_xlfn.XLOOKUP(TRIM(B3025),Lookup!$B$2:$B$1000,Lookup!$C$2:$C$1000),"")</f>
        <v>Equity - Small Cap</v>
      </c>
      <c r="D3025" s="8" t="str">
        <f>IFERROR(INDEX('nav master'!$C:$C, MATCH(B3025, 'nav master'!$B:$B, 0)), "")</f>
        <v>ULIF 071 22/05/23 SCF 110</v>
      </c>
      <c r="E3025" s="8">
        <v>19.1143</v>
      </c>
      <c r="F3025" s="9">
        <v>46034</v>
      </c>
    </row>
    <row r="3026" spans="1:6" ht="60" x14ac:dyDescent="0.25">
      <c r="A3026" s="8" t="s">
        <v>63</v>
      </c>
      <c r="B3026" s="8" t="s">
        <v>73</v>
      </c>
      <c r="C3026" s="8" t="str">
        <f>IFERROR(_xlfn.XLOOKUP(TRIM(B3026),Lookup!$B$2:$B$1000,Lookup!$C$2:$C$1000),"")</f>
        <v>Equity - Small Cap</v>
      </c>
      <c r="D3026" s="8" t="str">
        <f>IFERROR(INDEX('nav master'!$C:$C, MATCH(B3026, 'nav master'!$B:$B, 0)), "")</f>
        <v>ULIF 071 22/05/23 SCF 110</v>
      </c>
      <c r="E3026" s="8">
        <v>19.222000000000001</v>
      </c>
      <c r="F3026" s="9">
        <v>46035</v>
      </c>
    </row>
    <row r="3027" spans="1:6" ht="60" x14ac:dyDescent="0.25">
      <c r="A3027" s="8" t="s">
        <v>63</v>
      </c>
      <c r="B3027" s="8" t="s">
        <v>73</v>
      </c>
      <c r="C3027" s="8" t="str">
        <f>IFERROR(_xlfn.XLOOKUP(TRIM(B3027),Lookup!$B$2:$B$1000,Lookup!$C$2:$C$1000),"")</f>
        <v>Equity - Small Cap</v>
      </c>
      <c r="D3027" s="8" t="str">
        <f>IFERROR(INDEX('nav master'!$C:$C, MATCH(B3027, 'nav master'!$B:$B, 0)), "")</f>
        <v>ULIF 071 22/05/23 SCF 110</v>
      </c>
      <c r="E3027" s="8">
        <v>19.2821</v>
      </c>
      <c r="F3027" s="9">
        <v>46036</v>
      </c>
    </row>
    <row r="3028" spans="1:6" ht="60" x14ac:dyDescent="0.25">
      <c r="A3028" s="8" t="s">
        <v>63</v>
      </c>
      <c r="B3028" s="8" t="s">
        <v>73</v>
      </c>
      <c r="C3028" s="8" t="str">
        <f>IFERROR(_xlfn.XLOOKUP(TRIM(B3028),Lookup!$B$2:$B$1000,Lookup!$C$2:$C$1000),"")</f>
        <v>Equity - Small Cap</v>
      </c>
      <c r="D3028" s="8" t="str">
        <f>IFERROR(INDEX('nav master'!$C:$C, MATCH(B3028, 'nav master'!$B:$B, 0)), "")</f>
        <v>ULIF 071 22/05/23 SCF 110</v>
      </c>
      <c r="E3028" s="8">
        <v>19.2651</v>
      </c>
      <c r="F3028" s="9">
        <v>46038</v>
      </c>
    </row>
    <row r="3029" spans="1:6" ht="60" x14ac:dyDescent="0.25">
      <c r="A3029" s="8" t="s">
        <v>63</v>
      </c>
      <c r="B3029" s="8" t="s">
        <v>73</v>
      </c>
      <c r="C3029" s="8" t="str">
        <f>IFERROR(_xlfn.XLOOKUP(TRIM(B3029),Lookup!$B$2:$B$1000,Lookup!$C$2:$C$1000),"")</f>
        <v>Equity - Small Cap</v>
      </c>
      <c r="D3029" s="8" t="str">
        <f>IFERROR(INDEX('nav master'!$C:$C, MATCH(B3029, 'nav master'!$B:$B, 0)), "")</f>
        <v>ULIF 071 22/05/23 SCF 110</v>
      </c>
      <c r="E3029" s="8">
        <v>19.068300000000001</v>
      </c>
      <c r="F3029" s="9">
        <v>46041</v>
      </c>
    </row>
    <row r="3030" spans="1:6" ht="60" x14ac:dyDescent="0.25">
      <c r="A3030" s="8" t="s">
        <v>63</v>
      </c>
      <c r="B3030" s="8" t="s">
        <v>73</v>
      </c>
      <c r="C3030" s="8" t="str">
        <f>IFERROR(_xlfn.XLOOKUP(TRIM(B3030),Lookup!$B$2:$B$1000,Lookup!$C$2:$C$1000),"")</f>
        <v>Equity - Small Cap</v>
      </c>
      <c r="D3030" s="8" t="str">
        <f>IFERROR(INDEX('nav master'!$C:$C, MATCH(B3030, 'nav master'!$B:$B, 0)), "")</f>
        <v>ULIF 071 22/05/23 SCF 110</v>
      </c>
      <c r="E3030" s="8">
        <v>18.627400000000002</v>
      </c>
      <c r="F3030" s="9">
        <v>46042</v>
      </c>
    </row>
    <row r="3031" spans="1:6" ht="60" x14ac:dyDescent="0.25">
      <c r="A3031" s="8" t="s">
        <v>63</v>
      </c>
      <c r="B3031" s="8" t="s">
        <v>73</v>
      </c>
      <c r="C3031" s="8" t="str">
        <f>IFERROR(_xlfn.XLOOKUP(TRIM(B3031),Lookup!$B$2:$B$1000,Lookup!$C$2:$C$1000),"")</f>
        <v>Equity - Small Cap</v>
      </c>
      <c r="D3031" s="8" t="str">
        <f>IFERROR(INDEX('nav master'!$C:$C, MATCH(B3031, 'nav master'!$B:$B, 0)), "")</f>
        <v>ULIF 071 22/05/23 SCF 110</v>
      </c>
      <c r="E3031" s="8">
        <v>18.470199999999998</v>
      </c>
      <c r="F3031" s="9">
        <v>46043</v>
      </c>
    </row>
    <row r="3032" spans="1:6" ht="60" x14ac:dyDescent="0.25">
      <c r="A3032" s="8" t="s">
        <v>63</v>
      </c>
      <c r="B3032" s="8" t="s">
        <v>73</v>
      </c>
      <c r="C3032" s="8" t="str">
        <f>IFERROR(_xlfn.XLOOKUP(TRIM(B3032),Lookup!$B$2:$B$1000,Lookup!$C$2:$C$1000),"")</f>
        <v>Equity - Small Cap</v>
      </c>
      <c r="D3032" s="8" t="str">
        <f>IFERROR(INDEX('nav master'!$C:$C, MATCH(B3032, 'nav master'!$B:$B, 0)), "")</f>
        <v>ULIF 071 22/05/23 SCF 110</v>
      </c>
      <c r="E3032" s="8">
        <v>18.698799999999999</v>
      </c>
      <c r="F3032" s="9">
        <v>46044</v>
      </c>
    </row>
    <row r="3033" spans="1:6" ht="60" x14ac:dyDescent="0.25">
      <c r="A3033" s="8" t="s">
        <v>63</v>
      </c>
      <c r="B3033" s="8" t="s">
        <v>73</v>
      </c>
      <c r="C3033" s="8" t="str">
        <f>IFERROR(_xlfn.XLOOKUP(TRIM(B3033),Lookup!$B$2:$B$1000,Lookup!$C$2:$C$1000),"")</f>
        <v>Equity - Small Cap</v>
      </c>
      <c r="D3033" s="8" t="str">
        <f>IFERROR(INDEX('nav master'!$C:$C, MATCH(B3033, 'nav master'!$B:$B, 0)), "")</f>
        <v>ULIF 071 22/05/23 SCF 110</v>
      </c>
      <c r="E3033" s="8">
        <v>18.471</v>
      </c>
      <c r="F3033" s="9">
        <v>46045</v>
      </c>
    </row>
    <row r="3034" spans="1:6" ht="60" x14ac:dyDescent="0.25">
      <c r="A3034" s="8" t="s">
        <v>63</v>
      </c>
      <c r="B3034" s="8" t="s">
        <v>73</v>
      </c>
      <c r="C3034" s="8" t="str">
        <f>IFERROR(_xlfn.XLOOKUP(TRIM(B3034),Lookup!$B$2:$B$1000,Lookup!$C$2:$C$1000),"")</f>
        <v>Equity - Small Cap</v>
      </c>
      <c r="D3034" s="8" t="str">
        <f>IFERROR(INDEX('nav master'!$C:$C, MATCH(B3034, 'nav master'!$B:$B, 0)), "")</f>
        <v>ULIF 071 22/05/23 SCF 110</v>
      </c>
      <c r="E3034" s="8">
        <v>18.5366</v>
      </c>
      <c r="F3034" s="9">
        <v>46049</v>
      </c>
    </row>
    <row r="3035" spans="1:6" ht="60" x14ac:dyDescent="0.25">
      <c r="A3035" s="8" t="s">
        <v>63</v>
      </c>
      <c r="B3035" s="8" t="s">
        <v>73</v>
      </c>
      <c r="C3035" s="8" t="str">
        <f>IFERROR(_xlfn.XLOOKUP(TRIM(B3035),Lookup!$B$2:$B$1000,Lookup!$C$2:$C$1000),"")</f>
        <v>Equity - Small Cap</v>
      </c>
      <c r="D3035" s="8" t="str">
        <f>IFERROR(INDEX('nav master'!$C:$C, MATCH(B3035, 'nav master'!$B:$B, 0)), "")</f>
        <v>ULIF 071 22/05/23 SCF 110</v>
      </c>
      <c r="E3035" s="8">
        <v>18.837199999999999</v>
      </c>
      <c r="F3035" s="9">
        <v>46050</v>
      </c>
    </row>
    <row r="3036" spans="1:6" ht="60" x14ac:dyDescent="0.25">
      <c r="A3036" s="8" t="s">
        <v>63</v>
      </c>
      <c r="B3036" s="8" t="s">
        <v>73</v>
      </c>
      <c r="C3036" s="8" t="str">
        <f>IFERROR(_xlfn.XLOOKUP(TRIM(B3036),Lookup!$B$2:$B$1000,Lookup!$C$2:$C$1000),"")</f>
        <v>Equity - Small Cap</v>
      </c>
      <c r="D3036" s="8" t="str">
        <f>IFERROR(INDEX('nav master'!$C:$C, MATCH(B3036, 'nav master'!$B:$B, 0)), "")</f>
        <v>ULIF 071 22/05/23 SCF 110</v>
      </c>
      <c r="E3036" s="8">
        <v>18.890499999999999</v>
      </c>
      <c r="F3036" s="9">
        <v>46051</v>
      </c>
    </row>
    <row r="3037" spans="1:6" ht="60" x14ac:dyDescent="0.25">
      <c r="A3037" s="8" t="s">
        <v>63</v>
      </c>
      <c r="B3037" s="8" t="s">
        <v>73</v>
      </c>
      <c r="C3037" s="8" t="str">
        <f>IFERROR(_xlfn.XLOOKUP(TRIM(B3037),Lookup!$B$2:$B$1000,Lookup!$C$2:$C$1000),"")</f>
        <v>Equity - Small Cap</v>
      </c>
      <c r="D3037" s="8" t="str">
        <f>IFERROR(INDEX('nav master'!$C:$C, MATCH(B3037, 'nav master'!$B:$B, 0)), "")</f>
        <v>ULIF 071 22/05/23 SCF 110</v>
      </c>
      <c r="E3037" s="8">
        <v>18.9817</v>
      </c>
      <c r="F3037" s="9">
        <v>46052</v>
      </c>
    </row>
    <row r="3038" spans="1:6" ht="60" x14ac:dyDescent="0.25">
      <c r="A3038" s="8" t="s">
        <v>63</v>
      </c>
      <c r="B3038" s="8" t="s">
        <v>73</v>
      </c>
      <c r="C3038" s="8" t="str">
        <f>IFERROR(_xlfn.XLOOKUP(TRIM(B3038),Lookup!$B$2:$B$1000,Lookup!$C$2:$C$1000),"")</f>
        <v>Equity - Small Cap</v>
      </c>
      <c r="D3038" s="8" t="str">
        <f>IFERROR(INDEX('nav master'!$C:$C, MATCH(B3038, 'nav master'!$B:$B, 0)), "")</f>
        <v>ULIF 071 22/05/23 SCF 110</v>
      </c>
      <c r="E3038" s="8">
        <v>18.5715</v>
      </c>
      <c r="F3038" s="9">
        <v>46054</v>
      </c>
    </row>
    <row r="3039" spans="1:6" ht="60" x14ac:dyDescent="0.25">
      <c r="A3039" s="8" t="s">
        <v>63</v>
      </c>
      <c r="B3039" s="8" t="s">
        <v>73</v>
      </c>
      <c r="C3039" s="8" t="str">
        <f>IFERROR(_xlfn.XLOOKUP(TRIM(B3039),Lookup!$B$2:$B$1000,Lookup!$C$2:$C$1000),"")</f>
        <v>Equity - Small Cap</v>
      </c>
      <c r="D3039" s="8" t="str">
        <f>IFERROR(INDEX('nav master'!$C:$C, MATCH(B3039, 'nav master'!$B:$B, 0)), "")</f>
        <v>ULIF 071 22/05/23 SCF 110</v>
      </c>
      <c r="E3039" s="8">
        <v>18.681000000000001</v>
      </c>
      <c r="F3039" s="9">
        <v>46055</v>
      </c>
    </row>
    <row r="3040" spans="1:6" ht="60" x14ac:dyDescent="0.25">
      <c r="A3040" s="8" t="s">
        <v>63</v>
      </c>
      <c r="B3040" s="8" t="s">
        <v>73</v>
      </c>
      <c r="C3040" s="8" t="str">
        <f>IFERROR(_xlfn.XLOOKUP(TRIM(B3040),Lookup!$B$2:$B$1000,Lookup!$C$2:$C$1000),"")</f>
        <v>Equity - Small Cap</v>
      </c>
      <c r="D3040" s="8" t="str">
        <f>IFERROR(INDEX('nav master'!$C:$C, MATCH(B3040, 'nav master'!$B:$B, 0)), "")</f>
        <v>ULIF 071 22/05/23 SCF 110</v>
      </c>
      <c r="E3040" s="8">
        <v>19.328900000000001</v>
      </c>
      <c r="F3040" s="9">
        <v>46056</v>
      </c>
    </row>
    <row r="3041" spans="1:6" ht="60" x14ac:dyDescent="0.25">
      <c r="A3041" s="8" t="s">
        <v>63</v>
      </c>
      <c r="B3041" s="8" t="s">
        <v>73</v>
      </c>
      <c r="C3041" s="8" t="str">
        <f>IFERROR(_xlfn.XLOOKUP(TRIM(B3041),Lookup!$B$2:$B$1000,Lookup!$C$2:$C$1000),"")</f>
        <v>Equity - Small Cap</v>
      </c>
      <c r="D3041" s="8" t="str">
        <f>IFERROR(INDEX('nav master'!$C:$C, MATCH(B3041, 'nav master'!$B:$B, 0)), "")</f>
        <v>ULIF 071 22/05/23 SCF 110</v>
      </c>
      <c r="E3041" s="8">
        <v>19.4956</v>
      </c>
      <c r="F3041" s="9">
        <v>46057</v>
      </c>
    </row>
    <row r="3042" spans="1:6" ht="60" x14ac:dyDescent="0.25">
      <c r="A3042" s="8" t="s">
        <v>63</v>
      </c>
      <c r="B3042" s="8" t="s">
        <v>73</v>
      </c>
      <c r="C3042" s="8" t="str">
        <f>IFERROR(_xlfn.XLOOKUP(TRIM(B3042),Lookup!$B$2:$B$1000,Lookup!$C$2:$C$1000),"")</f>
        <v>Equity - Small Cap</v>
      </c>
      <c r="D3042" s="8" t="str">
        <f>IFERROR(INDEX('nav master'!$C:$C, MATCH(B3042, 'nav master'!$B:$B, 0)), "")</f>
        <v>ULIF 071 22/05/23 SCF 110</v>
      </c>
      <c r="E3042" s="8">
        <v>19.385400000000001</v>
      </c>
      <c r="F3042" s="9">
        <v>46058</v>
      </c>
    </row>
    <row r="3043" spans="1:6" ht="60" x14ac:dyDescent="0.25">
      <c r="A3043" s="8" t="s">
        <v>63</v>
      </c>
      <c r="B3043" s="8" t="s">
        <v>73</v>
      </c>
      <c r="C3043" s="8" t="str">
        <f>IFERROR(_xlfn.XLOOKUP(TRIM(B3043),Lookup!$B$2:$B$1000,Lookup!$C$2:$C$1000),"")</f>
        <v>Equity - Small Cap</v>
      </c>
      <c r="D3043" s="8" t="str">
        <f>IFERROR(INDEX('nav master'!$C:$C, MATCH(B3043, 'nav master'!$B:$B, 0)), "")</f>
        <v>ULIF 071 22/05/23 SCF 110</v>
      </c>
      <c r="E3043" s="8">
        <v>19.372199999999999</v>
      </c>
      <c r="F3043" s="9">
        <v>46059</v>
      </c>
    </row>
    <row r="3044" spans="1:6" ht="60" x14ac:dyDescent="0.25">
      <c r="A3044" s="8" t="s">
        <v>63</v>
      </c>
      <c r="B3044" s="8" t="s">
        <v>73</v>
      </c>
      <c r="C3044" s="8" t="str">
        <f>IFERROR(_xlfn.XLOOKUP(TRIM(B3044),Lookup!$B$2:$B$1000,Lookup!$C$2:$C$1000),"")</f>
        <v>Equity - Small Cap</v>
      </c>
      <c r="D3044" s="8" t="str">
        <f>IFERROR(INDEX('nav master'!$C:$C, MATCH(B3044, 'nav master'!$B:$B, 0)), "")</f>
        <v>ULIF 071 22/05/23 SCF 110</v>
      </c>
      <c r="E3044" s="8">
        <v>19.780899999999999</v>
      </c>
      <c r="F3044" s="9">
        <v>46062</v>
      </c>
    </row>
    <row r="3045" spans="1:6" ht="60" x14ac:dyDescent="0.25">
      <c r="A3045" s="8" t="s">
        <v>63</v>
      </c>
      <c r="B3045" s="8" t="s">
        <v>73</v>
      </c>
      <c r="C3045" s="8" t="str">
        <f>IFERROR(_xlfn.XLOOKUP(TRIM(B3045),Lookup!$B$2:$B$1000,Lookup!$C$2:$C$1000),"")</f>
        <v>Equity - Small Cap</v>
      </c>
      <c r="D3045" s="8" t="str">
        <f>IFERROR(INDEX('nav master'!$C:$C, MATCH(B3045, 'nav master'!$B:$B, 0)), "")</f>
        <v>ULIF 071 22/05/23 SCF 110</v>
      </c>
      <c r="E3045" s="8">
        <v>19.9053</v>
      </c>
      <c r="F3045" s="9">
        <v>46063</v>
      </c>
    </row>
    <row r="3046" spans="1:6" ht="60" x14ac:dyDescent="0.25">
      <c r="A3046" s="8" t="s">
        <v>63</v>
      </c>
      <c r="B3046" s="8" t="s">
        <v>73</v>
      </c>
      <c r="C3046" s="8" t="str">
        <f>IFERROR(_xlfn.XLOOKUP(TRIM(B3046),Lookup!$B$2:$B$1000,Lookup!$C$2:$C$1000),"")</f>
        <v>Equity - Small Cap</v>
      </c>
      <c r="D3046" s="8" t="str">
        <f>IFERROR(INDEX('nav master'!$C:$C, MATCH(B3046, 'nav master'!$B:$B, 0)), "")</f>
        <v>ULIF 071 22/05/23 SCF 110</v>
      </c>
      <c r="E3046" s="8">
        <v>19.857900000000001</v>
      </c>
      <c r="F3046" s="9">
        <v>46064</v>
      </c>
    </row>
    <row r="3047" spans="1:6" ht="60" x14ac:dyDescent="0.25">
      <c r="A3047" s="8" t="s">
        <v>63</v>
      </c>
      <c r="B3047" s="8" t="s">
        <v>73</v>
      </c>
      <c r="C3047" s="8" t="str">
        <f>IFERROR(_xlfn.XLOOKUP(TRIM(B3047),Lookup!$B$2:$B$1000,Lookup!$C$2:$C$1000),"")</f>
        <v>Equity - Small Cap</v>
      </c>
      <c r="D3047" s="8" t="str">
        <f>IFERROR(INDEX('nav master'!$C:$C, MATCH(B3047, 'nav master'!$B:$B, 0)), "")</f>
        <v>ULIF 071 22/05/23 SCF 110</v>
      </c>
      <c r="E3047" s="8">
        <v>19.747499999999999</v>
      </c>
      <c r="F3047" s="9">
        <v>46065</v>
      </c>
    </row>
    <row r="3048" spans="1:6" ht="60" x14ac:dyDescent="0.25">
      <c r="A3048" s="8" t="s">
        <v>63</v>
      </c>
      <c r="B3048" s="8" t="s">
        <v>73</v>
      </c>
      <c r="C3048" s="8" t="str">
        <f>IFERROR(_xlfn.XLOOKUP(TRIM(B3048),Lookup!$B$2:$B$1000,Lookup!$C$2:$C$1000),"")</f>
        <v>Equity - Small Cap</v>
      </c>
      <c r="D3048" s="8" t="str">
        <f>IFERROR(INDEX('nav master'!$C:$C, MATCH(B3048, 'nav master'!$B:$B, 0)), "")</f>
        <v>ULIF 071 22/05/23 SCF 110</v>
      </c>
      <c r="E3048" s="8">
        <v>19.390999999999998</v>
      </c>
      <c r="F3048" s="9">
        <v>46066</v>
      </c>
    </row>
    <row r="3049" spans="1:6" ht="60" x14ac:dyDescent="0.25">
      <c r="A3049" s="8" t="s">
        <v>63</v>
      </c>
      <c r="B3049" s="8" t="s">
        <v>73</v>
      </c>
      <c r="C3049" s="8" t="str">
        <f>IFERROR(_xlfn.XLOOKUP(TRIM(B3049),Lookup!$B$2:$B$1000,Lookup!$C$2:$C$1000),"")</f>
        <v>Equity - Small Cap</v>
      </c>
      <c r="D3049" s="8" t="str">
        <f>IFERROR(INDEX('nav master'!$C:$C, MATCH(B3049, 'nav master'!$B:$B, 0)), "")</f>
        <v>ULIF 071 22/05/23 SCF 110</v>
      </c>
      <c r="E3049" s="8">
        <v>19.2803</v>
      </c>
      <c r="F3049" s="9">
        <v>46069</v>
      </c>
    </row>
    <row r="3050" spans="1:6" ht="60" x14ac:dyDescent="0.25">
      <c r="A3050" s="8" t="s">
        <v>63</v>
      </c>
      <c r="B3050" s="8" t="s">
        <v>73</v>
      </c>
      <c r="C3050" s="8" t="str">
        <f>IFERROR(_xlfn.XLOOKUP(TRIM(B3050),Lookup!$B$2:$B$1000,Lookup!$C$2:$C$1000),"")</f>
        <v>Equity - Small Cap</v>
      </c>
      <c r="D3050" s="8" t="str">
        <f>IFERROR(INDEX('nav master'!$C:$C, MATCH(B3050, 'nav master'!$B:$B, 0)), "")</f>
        <v>ULIF 071 22/05/23 SCF 110</v>
      </c>
      <c r="E3050" s="8">
        <v>19.376899999999999</v>
      </c>
      <c r="F3050" s="9">
        <v>46070</v>
      </c>
    </row>
    <row r="3051" spans="1:6" ht="60" x14ac:dyDescent="0.25">
      <c r="A3051" s="8" t="s">
        <v>63</v>
      </c>
      <c r="B3051" s="8" t="s">
        <v>73</v>
      </c>
      <c r="C3051" s="8" t="str">
        <f>IFERROR(_xlfn.XLOOKUP(TRIM(B3051),Lookup!$B$2:$B$1000,Lookup!$C$2:$C$1000),"")</f>
        <v>Equity - Small Cap</v>
      </c>
      <c r="D3051" s="8" t="str">
        <f>IFERROR(INDEX('nav master'!$C:$C, MATCH(B3051, 'nav master'!$B:$B, 0)), "")</f>
        <v>ULIF 071 22/05/23 SCF 110</v>
      </c>
      <c r="E3051" s="8">
        <v>19.423999999999999</v>
      </c>
      <c r="F3051" s="9">
        <v>46071</v>
      </c>
    </row>
    <row r="3052" spans="1:6" ht="60" x14ac:dyDescent="0.25">
      <c r="A3052" s="8" t="s">
        <v>63</v>
      </c>
      <c r="B3052" s="8" t="s">
        <v>73</v>
      </c>
      <c r="C3052" s="8" t="str">
        <f>IFERROR(_xlfn.XLOOKUP(TRIM(B3052),Lookup!$B$2:$B$1000,Lookup!$C$2:$C$1000),"")</f>
        <v>Equity - Small Cap</v>
      </c>
      <c r="D3052" s="8" t="str">
        <f>IFERROR(INDEX('nav master'!$C:$C, MATCH(B3052, 'nav master'!$B:$B, 0)), "")</f>
        <v>ULIF 071 22/05/23 SCF 110</v>
      </c>
      <c r="E3052" s="8">
        <v>19.187200000000001</v>
      </c>
      <c r="F3052" s="9">
        <v>46072</v>
      </c>
    </row>
    <row r="3053" spans="1:6" ht="60" x14ac:dyDescent="0.25">
      <c r="A3053" s="8" t="s">
        <v>63</v>
      </c>
      <c r="B3053" s="8" t="s">
        <v>73</v>
      </c>
      <c r="C3053" s="8" t="str">
        <f>IFERROR(_xlfn.XLOOKUP(TRIM(B3053),Lookup!$B$2:$B$1000,Lookup!$C$2:$C$1000),"")</f>
        <v>Equity - Small Cap</v>
      </c>
      <c r="D3053" s="8" t="str">
        <f>IFERROR(INDEX('nav master'!$C:$C, MATCH(B3053, 'nav master'!$B:$B, 0)), "")</f>
        <v>ULIF 071 22/05/23 SCF 110</v>
      </c>
      <c r="E3053" s="8">
        <v>19.151499999999999</v>
      </c>
      <c r="F3053" s="9">
        <v>46073</v>
      </c>
    </row>
    <row r="3054" spans="1:6" ht="60" x14ac:dyDescent="0.25">
      <c r="A3054" s="8" t="s">
        <v>63</v>
      </c>
      <c r="B3054" s="8" t="s">
        <v>73</v>
      </c>
      <c r="C3054" s="8" t="str">
        <f>IFERROR(_xlfn.XLOOKUP(TRIM(B3054),Lookup!$B$2:$B$1000,Lookup!$C$2:$C$1000),"")</f>
        <v>Equity - Small Cap</v>
      </c>
      <c r="D3054" s="8" t="str">
        <f>IFERROR(INDEX('nav master'!$C:$C, MATCH(B3054, 'nav master'!$B:$B, 0)), "")</f>
        <v>ULIF 071 22/05/23 SCF 110</v>
      </c>
      <c r="E3054" s="8">
        <v>19.222899999999999</v>
      </c>
      <c r="F3054" s="9">
        <v>46076</v>
      </c>
    </row>
    <row r="3055" spans="1:6" ht="60" x14ac:dyDescent="0.25">
      <c r="A3055" s="8" t="s">
        <v>63</v>
      </c>
      <c r="B3055" s="8" t="s">
        <v>73</v>
      </c>
      <c r="C3055" s="8" t="str">
        <f>IFERROR(_xlfn.XLOOKUP(TRIM(B3055),Lookup!$B$2:$B$1000,Lookup!$C$2:$C$1000),"")</f>
        <v>Equity - Small Cap</v>
      </c>
      <c r="D3055" s="8" t="str">
        <f>IFERROR(INDEX('nav master'!$C:$C, MATCH(B3055, 'nav master'!$B:$B, 0)), "")</f>
        <v>ULIF 071 22/05/23 SCF 110</v>
      </c>
      <c r="E3055" s="8">
        <v>19.109400000000001</v>
      </c>
      <c r="F3055" s="9">
        <v>46077</v>
      </c>
    </row>
    <row r="3056" spans="1:6" ht="60" x14ac:dyDescent="0.25">
      <c r="A3056" s="8" t="s">
        <v>63</v>
      </c>
      <c r="B3056" s="8" t="s">
        <v>73</v>
      </c>
      <c r="C3056" s="8" t="str">
        <f>IFERROR(_xlfn.XLOOKUP(TRIM(B3056),Lookup!$B$2:$B$1000,Lookup!$C$2:$C$1000),"")</f>
        <v>Equity - Small Cap</v>
      </c>
      <c r="D3056" s="8" t="str">
        <f>IFERROR(INDEX('nav master'!$C:$C, MATCH(B3056, 'nav master'!$B:$B, 0)), "")</f>
        <v>ULIF 071 22/05/23 SCF 110</v>
      </c>
      <c r="E3056" s="8">
        <v>19.247699999999998</v>
      </c>
      <c r="F3056" s="9">
        <v>46078</v>
      </c>
    </row>
    <row r="3057" spans="1:6" ht="60" x14ac:dyDescent="0.25">
      <c r="A3057" s="8" t="s">
        <v>63</v>
      </c>
      <c r="B3057" s="8" t="s">
        <v>73</v>
      </c>
      <c r="C3057" s="8" t="str">
        <f>IFERROR(_xlfn.XLOOKUP(TRIM(B3057),Lookup!$B$2:$B$1000,Lookup!$C$2:$C$1000),"")</f>
        <v>Equity - Small Cap</v>
      </c>
      <c r="D3057" s="8" t="str">
        <f>IFERROR(INDEX('nav master'!$C:$C, MATCH(B3057, 'nav master'!$B:$B, 0)), "")</f>
        <v>ULIF 071 22/05/23 SCF 110</v>
      </c>
      <c r="E3057" s="8">
        <v>19.284700000000001</v>
      </c>
      <c r="F3057" s="9">
        <v>46079</v>
      </c>
    </row>
    <row r="3058" spans="1:6" ht="60" x14ac:dyDescent="0.25">
      <c r="A3058" s="8" t="s">
        <v>63</v>
      </c>
      <c r="B3058" s="8" t="s">
        <v>73</v>
      </c>
      <c r="C3058" s="8" t="str">
        <f>IFERROR(_xlfn.XLOOKUP(TRIM(B3058),Lookup!$B$2:$B$1000,Lookup!$C$2:$C$1000),"")</f>
        <v>Equity - Small Cap</v>
      </c>
      <c r="D3058" s="8" t="str">
        <f>IFERROR(INDEX('nav master'!$C:$C, MATCH(B3058, 'nav master'!$B:$B, 0)), "")</f>
        <v>ULIF 071 22/05/23 SCF 110</v>
      </c>
      <c r="E3058" s="8">
        <v>19.066800000000001</v>
      </c>
      <c r="F3058" s="9">
        <v>46080</v>
      </c>
    </row>
    <row r="3059" spans="1:6" ht="60" x14ac:dyDescent="0.25">
      <c r="A3059" s="8" t="s">
        <v>63</v>
      </c>
      <c r="B3059" s="8" t="s">
        <v>73</v>
      </c>
      <c r="C3059" s="8" t="str">
        <f>IFERROR(_xlfn.XLOOKUP(TRIM(B3059),Lookup!$B$2:$B$1000,Lookup!$C$2:$C$1000),"")</f>
        <v>Equity - Small Cap</v>
      </c>
      <c r="D3059" s="8" t="str">
        <f>IFERROR(INDEX('nav master'!$C:$C, MATCH(B3059, 'nav master'!$B:$B, 0)), "")</f>
        <v>ULIF 071 22/05/23 SCF 110</v>
      </c>
      <c r="E3059" s="8">
        <v>18.743400000000001</v>
      </c>
      <c r="F3059" s="9">
        <v>46083</v>
      </c>
    </row>
    <row r="3060" spans="1:6" ht="60" x14ac:dyDescent="0.25">
      <c r="A3060" s="8" t="s">
        <v>63</v>
      </c>
      <c r="B3060" s="8" t="s">
        <v>73</v>
      </c>
      <c r="C3060" s="8" t="str">
        <f>IFERROR(_xlfn.XLOOKUP(TRIM(B3060),Lookup!$B$2:$B$1000,Lookup!$C$2:$C$1000),"")</f>
        <v>Equity - Small Cap</v>
      </c>
      <c r="D3060" s="8" t="str">
        <f>IFERROR(INDEX('nav master'!$C:$C, MATCH(B3060, 'nav master'!$B:$B, 0)), "")</f>
        <v>ULIF 071 22/05/23 SCF 110</v>
      </c>
      <c r="E3060" s="8">
        <v>18.366299999999999</v>
      </c>
      <c r="F3060" s="9">
        <v>46085</v>
      </c>
    </row>
    <row r="3061" spans="1:6" ht="60" x14ac:dyDescent="0.25">
      <c r="A3061" s="8" t="s">
        <v>63</v>
      </c>
      <c r="B3061" s="8" t="s">
        <v>73</v>
      </c>
      <c r="C3061" s="8" t="str">
        <f>IFERROR(_xlfn.XLOOKUP(TRIM(B3061),Lookup!$B$2:$B$1000,Lookup!$C$2:$C$1000),"")</f>
        <v>Equity - Small Cap</v>
      </c>
      <c r="D3061" s="8" t="str">
        <f>IFERROR(INDEX('nav master'!$C:$C, MATCH(B3061, 'nav master'!$B:$B, 0)), "")</f>
        <v>ULIF 071 22/05/23 SCF 110</v>
      </c>
      <c r="E3061" s="8">
        <v>18.587900000000001</v>
      </c>
      <c r="F3061" s="9">
        <v>46086</v>
      </c>
    </row>
    <row r="3062" spans="1:6" ht="60" x14ac:dyDescent="0.25">
      <c r="A3062" s="8" t="s">
        <v>63</v>
      </c>
      <c r="B3062" s="8" t="s">
        <v>73</v>
      </c>
      <c r="C3062" s="8" t="str">
        <f>IFERROR(_xlfn.XLOOKUP(TRIM(B3062),Lookup!$B$2:$B$1000,Lookup!$C$2:$C$1000),"")</f>
        <v>Equity - Small Cap</v>
      </c>
      <c r="D3062" s="8" t="str">
        <f>IFERROR(INDEX('nav master'!$C:$C, MATCH(B3062, 'nav master'!$B:$B, 0)), "")</f>
        <v>ULIF 071 22/05/23 SCF 110</v>
      </c>
      <c r="E3062" s="8">
        <v>18.511199999999999</v>
      </c>
      <c r="F3062" s="9">
        <v>46087</v>
      </c>
    </row>
    <row r="3063" spans="1:6" ht="60" x14ac:dyDescent="0.25">
      <c r="A3063" s="8" t="s">
        <v>63</v>
      </c>
      <c r="B3063" s="8" t="s">
        <v>73</v>
      </c>
      <c r="C3063" s="8" t="str">
        <f>IFERROR(_xlfn.XLOOKUP(TRIM(B3063),Lookup!$B$2:$B$1000,Lookup!$C$2:$C$1000),"")</f>
        <v>Equity - Small Cap</v>
      </c>
      <c r="D3063" s="8" t="str">
        <f>IFERROR(INDEX('nav master'!$C:$C, MATCH(B3063, 'nav master'!$B:$B, 0)), "")</f>
        <v>ULIF 071 22/05/23 SCF 110</v>
      </c>
      <c r="E3063" s="8">
        <v>18.154699999999998</v>
      </c>
      <c r="F3063" s="9">
        <v>46090</v>
      </c>
    </row>
    <row r="3064" spans="1:6" ht="60" x14ac:dyDescent="0.25">
      <c r="A3064" s="8" t="s">
        <v>63</v>
      </c>
      <c r="B3064" s="8" t="s">
        <v>73</v>
      </c>
      <c r="C3064" s="8" t="str">
        <f>IFERROR(_xlfn.XLOOKUP(TRIM(B3064),Lookup!$B$2:$B$1000,Lookup!$C$2:$C$1000),"")</f>
        <v>Equity - Small Cap</v>
      </c>
      <c r="D3064" s="8" t="str">
        <f>IFERROR(INDEX('nav master'!$C:$C, MATCH(B3064, 'nav master'!$B:$B, 0)), "")</f>
        <v>ULIF 071 22/05/23 SCF 110</v>
      </c>
      <c r="E3064" s="8">
        <v>18.5017</v>
      </c>
      <c r="F3064" s="9">
        <v>46091</v>
      </c>
    </row>
    <row r="3065" spans="1:6" ht="60" x14ac:dyDescent="0.25">
      <c r="A3065" s="8" t="s">
        <v>63</v>
      </c>
      <c r="B3065" s="8" t="s">
        <v>73</v>
      </c>
      <c r="C3065" s="8" t="str">
        <f>IFERROR(_xlfn.XLOOKUP(TRIM(B3065),Lookup!$B$2:$B$1000,Lookup!$C$2:$C$1000),"")</f>
        <v>Equity - Small Cap</v>
      </c>
      <c r="D3065" s="8" t="str">
        <f>IFERROR(INDEX('nav master'!$C:$C, MATCH(B3065, 'nav master'!$B:$B, 0)), "")</f>
        <v>ULIF 071 22/05/23 SCF 110</v>
      </c>
      <c r="E3065" s="8">
        <v>18.452000000000002</v>
      </c>
      <c r="F3065" s="9">
        <v>46092</v>
      </c>
    </row>
    <row r="3066" spans="1:6" ht="60" x14ac:dyDescent="0.25">
      <c r="A3066" s="8" t="s">
        <v>63</v>
      </c>
      <c r="B3066" s="8" t="s">
        <v>73</v>
      </c>
      <c r="C3066" s="8" t="str">
        <f>IFERROR(_xlfn.XLOOKUP(TRIM(B3066),Lookup!$B$2:$B$1000,Lookup!$C$2:$C$1000),"")</f>
        <v>Equity - Small Cap</v>
      </c>
      <c r="D3066" s="8" t="str">
        <f>IFERROR(INDEX('nav master'!$C:$C, MATCH(B3066, 'nav master'!$B:$B, 0)), "")</f>
        <v>ULIF 071 22/05/23 SCF 110</v>
      </c>
      <c r="E3066" s="8">
        <v>18.3813</v>
      </c>
      <c r="F3066" s="9">
        <v>46093</v>
      </c>
    </row>
    <row r="3067" spans="1:6" ht="60" x14ac:dyDescent="0.25">
      <c r="A3067" s="8" t="s">
        <v>63</v>
      </c>
      <c r="B3067" s="8" t="s">
        <v>73</v>
      </c>
      <c r="C3067" s="8" t="str">
        <f>IFERROR(_xlfn.XLOOKUP(TRIM(B3067),Lookup!$B$2:$B$1000,Lookup!$C$2:$C$1000),"")</f>
        <v>Equity - Small Cap</v>
      </c>
      <c r="D3067" s="8" t="str">
        <f>IFERROR(INDEX('nav master'!$C:$C, MATCH(B3067, 'nav master'!$B:$B, 0)), "")</f>
        <v>ULIF 071 22/05/23 SCF 110</v>
      </c>
      <c r="E3067" s="8">
        <v>17.976500000000001</v>
      </c>
      <c r="F3067" s="9">
        <v>46094</v>
      </c>
    </row>
    <row r="3068" spans="1:6" ht="60" x14ac:dyDescent="0.25">
      <c r="A3068" s="8" t="s">
        <v>63</v>
      </c>
      <c r="B3068" s="8" t="s">
        <v>73</v>
      </c>
      <c r="C3068" s="8" t="str">
        <f>IFERROR(_xlfn.XLOOKUP(TRIM(B3068),Lookup!$B$2:$B$1000,Lookup!$C$2:$C$1000),"")</f>
        <v>Equity - Small Cap</v>
      </c>
      <c r="D3068" s="8" t="str">
        <f>IFERROR(INDEX('nav master'!$C:$C, MATCH(B3068, 'nav master'!$B:$B, 0)), "")</f>
        <v>ULIF 071 22/05/23 SCF 110</v>
      </c>
      <c r="E3068" s="8">
        <v>17.9803</v>
      </c>
      <c r="F3068" s="9">
        <v>46097</v>
      </c>
    </row>
    <row r="3069" spans="1:6" ht="60" x14ac:dyDescent="0.25">
      <c r="A3069" s="8" t="s">
        <v>63</v>
      </c>
      <c r="B3069" s="8" t="s">
        <v>73</v>
      </c>
      <c r="C3069" s="8" t="str">
        <f>IFERROR(_xlfn.XLOOKUP(TRIM(B3069),Lookup!$B$2:$B$1000,Lookup!$C$2:$C$1000),"")</f>
        <v>Equity - Small Cap</v>
      </c>
      <c r="D3069" s="8" t="str">
        <f>IFERROR(INDEX('nav master'!$C:$C, MATCH(B3069, 'nav master'!$B:$B, 0)), "")</f>
        <v>ULIF 071 22/05/23 SCF 110</v>
      </c>
      <c r="E3069" s="8">
        <v>18.093399999999999</v>
      </c>
      <c r="F3069" s="9">
        <v>46098</v>
      </c>
    </row>
    <row r="3070" spans="1:6" ht="60" x14ac:dyDescent="0.25">
      <c r="A3070" s="8" t="s">
        <v>63</v>
      </c>
      <c r="B3070" s="8" t="s">
        <v>73</v>
      </c>
      <c r="C3070" s="8" t="str">
        <f>IFERROR(_xlfn.XLOOKUP(TRIM(B3070),Lookup!$B$2:$B$1000,Lookup!$C$2:$C$1000),"")</f>
        <v>Equity - Small Cap</v>
      </c>
      <c r="D3070" s="8" t="str">
        <f>IFERROR(INDEX('nav master'!$C:$C, MATCH(B3070, 'nav master'!$B:$B, 0)), "")</f>
        <v>ULIF 071 22/05/23 SCF 110</v>
      </c>
      <c r="E3070" s="8">
        <v>18.377800000000001</v>
      </c>
      <c r="F3070" s="9">
        <v>46099</v>
      </c>
    </row>
    <row r="3071" spans="1:6" ht="60" x14ac:dyDescent="0.25">
      <c r="A3071" s="8" t="s">
        <v>63</v>
      </c>
      <c r="B3071" s="8" t="s">
        <v>73</v>
      </c>
      <c r="C3071" s="8" t="str">
        <f>IFERROR(_xlfn.XLOOKUP(TRIM(B3071),Lookup!$B$2:$B$1000,Lookup!$C$2:$C$1000),"")</f>
        <v>Equity - Small Cap</v>
      </c>
      <c r="D3071" s="8" t="str">
        <f>IFERROR(INDEX('nav master'!$C:$C, MATCH(B3071, 'nav master'!$B:$B, 0)), "")</f>
        <v>ULIF 071 22/05/23 SCF 110</v>
      </c>
      <c r="E3071" s="8">
        <v>17.8797</v>
      </c>
      <c r="F3071" s="9">
        <v>46100</v>
      </c>
    </row>
    <row r="3072" spans="1:6" ht="60" x14ac:dyDescent="0.25">
      <c r="A3072" s="8" t="s">
        <v>63</v>
      </c>
      <c r="B3072" s="8" t="s">
        <v>73</v>
      </c>
      <c r="C3072" s="8" t="str">
        <f>IFERROR(_xlfn.XLOOKUP(TRIM(B3072),Lookup!$B$2:$B$1000,Lookup!$C$2:$C$1000),"")</f>
        <v>Equity - Small Cap</v>
      </c>
      <c r="D3072" s="8" t="str">
        <f>IFERROR(INDEX('nav master'!$C:$C, MATCH(B3072, 'nav master'!$B:$B, 0)), "")</f>
        <v>ULIF 071 22/05/23 SCF 110</v>
      </c>
      <c r="E3072" s="8">
        <v>17.941299999999998</v>
      </c>
      <c r="F3072" s="9">
        <v>46101</v>
      </c>
    </row>
    <row r="3073" spans="1:6" ht="60" x14ac:dyDescent="0.25">
      <c r="A3073" s="8" t="s">
        <v>63</v>
      </c>
      <c r="B3073" s="8" t="s">
        <v>73</v>
      </c>
      <c r="C3073" s="8" t="str">
        <f>IFERROR(_xlfn.XLOOKUP(TRIM(B3073),Lookup!$B$2:$B$1000,Lookup!$C$2:$C$1000),"")</f>
        <v>Equity - Small Cap</v>
      </c>
      <c r="D3073" s="8" t="str">
        <f>IFERROR(INDEX('nav master'!$C:$C, MATCH(B3073, 'nav master'!$B:$B, 0)), "")</f>
        <v>ULIF 071 22/05/23 SCF 110</v>
      </c>
      <c r="E3073" s="8">
        <v>17.354399999999998</v>
      </c>
      <c r="F3073" s="9">
        <v>46104</v>
      </c>
    </row>
    <row r="3074" spans="1:6" ht="60" x14ac:dyDescent="0.25">
      <c r="A3074" s="8" t="s">
        <v>63</v>
      </c>
      <c r="B3074" s="8" t="s">
        <v>73</v>
      </c>
      <c r="C3074" s="8" t="str">
        <f>IFERROR(_xlfn.XLOOKUP(TRIM(B3074),Lookup!$B$2:$B$1000,Lookup!$C$2:$C$1000),"")</f>
        <v>Equity - Small Cap</v>
      </c>
      <c r="D3074" s="8" t="str">
        <f>IFERROR(INDEX('nav master'!$C:$C, MATCH(B3074, 'nav master'!$B:$B, 0)), "")</f>
        <v>ULIF 071 22/05/23 SCF 110</v>
      </c>
      <c r="E3074" s="8">
        <v>17.754100000000001</v>
      </c>
      <c r="F3074" s="9">
        <v>46105</v>
      </c>
    </row>
    <row r="3075" spans="1:6" ht="60" x14ac:dyDescent="0.25">
      <c r="A3075" s="8" t="s">
        <v>63</v>
      </c>
      <c r="B3075" s="8" t="s">
        <v>73</v>
      </c>
      <c r="C3075" s="8" t="str">
        <f>IFERROR(_xlfn.XLOOKUP(TRIM(B3075),Lookup!$B$2:$B$1000,Lookup!$C$2:$C$1000),"")</f>
        <v>Equity - Small Cap</v>
      </c>
      <c r="D3075" s="8" t="str">
        <f>IFERROR(INDEX('nav master'!$C:$C, MATCH(B3075, 'nav master'!$B:$B, 0)), "")</f>
        <v>ULIF 071 22/05/23 SCF 110</v>
      </c>
      <c r="E3075" s="8">
        <v>18.156199999999998</v>
      </c>
      <c r="F3075" s="9">
        <v>46106</v>
      </c>
    </row>
    <row r="3076" spans="1:6" ht="60" x14ac:dyDescent="0.25">
      <c r="A3076" s="8" t="s">
        <v>63</v>
      </c>
      <c r="B3076" s="8" t="s">
        <v>73</v>
      </c>
      <c r="C3076" s="8" t="str">
        <f>IFERROR(_xlfn.XLOOKUP(TRIM(B3076),Lookup!$B$2:$B$1000,Lookup!$C$2:$C$1000),"")</f>
        <v>Equity - Small Cap</v>
      </c>
      <c r="D3076" s="8" t="str">
        <f>IFERROR(INDEX('nav master'!$C:$C, MATCH(B3076, 'nav master'!$B:$B, 0)), "")</f>
        <v>ULIF 071 22/05/23 SCF 110</v>
      </c>
      <c r="E3076" s="8">
        <v>17.912800000000001</v>
      </c>
      <c r="F3076" s="9">
        <v>46108</v>
      </c>
    </row>
    <row r="3077" spans="1:6" ht="60" x14ac:dyDescent="0.25">
      <c r="A3077" s="8" t="s">
        <v>63</v>
      </c>
      <c r="B3077" s="8" t="s">
        <v>73</v>
      </c>
      <c r="C3077" s="8" t="str">
        <f>IFERROR(_xlfn.XLOOKUP(TRIM(B3077),Lookup!$B$2:$B$1000,Lookup!$C$2:$C$1000),"")</f>
        <v>Equity - Small Cap</v>
      </c>
      <c r="D3077" s="8" t="str">
        <f>IFERROR(INDEX('nav master'!$C:$C, MATCH(B3077, 'nav master'!$B:$B, 0)), "")</f>
        <v>ULIF 071 22/05/23 SCF 110</v>
      </c>
      <c r="E3077" s="8">
        <v>17.509899999999998</v>
      </c>
      <c r="F3077" s="9">
        <v>46111</v>
      </c>
    </row>
    <row r="3078" spans="1:6" ht="60" x14ac:dyDescent="0.25">
      <c r="A3078" s="8" t="s">
        <v>63</v>
      </c>
      <c r="B3078" s="8" t="s">
        <v>73</v>
      </c>
      <c r="C3078" s="8" t="str">
        <f>IFERROR(_xlfn.XLOOKUP(TRIM(B3078),Lookup!$B$2:$B$1000,Lookup!$C$2:$C$1000),"")</f>
        <v>Equity - Small Cap</v>
      </c>
      <c r="D3078" s="8" t="str">
        <f>IFERROR(INDEX('nav master'!$C:$C, MATCH(B3078, 'nav master'!$B:$B, 0)), "")</f>
        <v>ULIF 071 22/05/23 SCF 110</v>
      </c>
      <c r="E3078" s="8">
        <v>17.509799999999998</v>
      </c>
      <c r="F3078" s="9">
        <v>46112</v>
      </c>
    </row>
    <row r="3079" spans="1:6" ht="60" x14ac:dyDescent="0.25">
      <c r="A3079" s="8" t="s">
        <v>63</v>
      </c>
      <c r="B3079" s="8" t="s">
        <v>73</v>
      </c>
      <c r="C3079" s="8" t="str">
        <f>IFERROR(_xlfn.XLOOKUP(TRIM(B3079),Lookup!$B$2:$B$1000,Lookup!$C$2:$C$1000),"")</f>
        <v>Equity - Small Cap</v>
      </c>
      <c r="D3079" s="8" t="str">
        <f>IFERROR(INDEX('nav master'!$C:$C, MATCH(B3079, 'nav master'!$B:$B, 0)), "")</f>
        <v>ULIF 071 22/05/23 SCF 110</v>
      </c>
      <c r="E3079" s="8">
        <v>17.953700000000001</v>
      </c>
      <c r="F3079" s="9">
        <v>46113</v>
      </c>
    </row>
    <row r="3080" spans="1:6" ht="60" x14ac:dyDescent="0.25">
      <c r="A3080" s="8" t="s">
        <v>63</v>
      </c>
      <c r="B3080" s="8" t="s">
        <v>73</v>
      </c>
      <c r="C3080" s="8" t="str">
        <f>IFERROR(_xlfn.XLOOKUP(TRIM(B3080),Lookup!$B$2:$B$1000,Lookup!$C$2:$C$1000),"")</f>
        <v>Equity - Small Cap</v>
      </c>
      <c r="D3080" s="8" t="str">
        <f>IFERROR(INDEX('nav master'!$C:$C, MATCH(B3080, 'nav master'!$B:$B, 0)), "")</f>
        <v>ULIF 071 22/05/23 SCF 110</v>
      </c>
      <c r="E3080" s="8">
        <v>17.877300000000002</v>
      </c>
      <c r="F3080" s="9">
        <v>46114</v>
      </c>
    </row>
    <row r="3081" spans="1:6" ht="60" x14ac:dyDescent="0.25">
      <c r="A3081" s="8" t="s">
        <v>63</v>
      </c>
      <c r="B3081" s="8" t="s">
        <v>73</v>
      </c>
      <c r="C3081" s="8" t="str">
        <f>IFERROR(_xlfn.XLOOKUP(TRIM(B3081),Lookup!$B$2:$B$1000,Lookup!$C$2:$C$1000),"")</f>
        <v>Equity - Small Cap</v>
      </c>
      <c r="D3081" s="8" t="str">
        <f>IFERROR(INDEX('nav master'!$C:$C, MATCH(B3081, 'nav master'!$B:$B, 0)), "")</f>
        <v>ULIF 071 22/05/23 SCF 110</v>
      </c>
      <c r="E3081" s="8">
        <v>18.0962</v>
      </c>
      <c r="F3081" s="9">
        <v>46118</v>
      </c>
    </row>
    <row r="3082" spans="1:6" ht="60" x14ac:dyDescent="0.25">
      <c r="A3082" s="8" t="s">
        <v>63</v>
      </c>
      <c r="B3082" s="8" t="s">
        <v>73</v>
      </c>
      <c r="C3082" s="8" t="str">
        <f>IFERROR(_xlfn.XLOOKUP(TRIM(B3082),Lookup!$B$2:$B$1000,Lookup!$C$2:$C$1000),"")</f>
        <v>Equity - Small Cap</v>
      </c>
      <c r="D3082" s="8" t="str">
        <f>IFERROR(INDEX('nav master'!$C:$C, MATCH(B3082, 'nav master'!$B:$B, 0)), "")</f>
        <v>ULIF 071 22/05/23 SCF 110</v>
      </c>
      <c r="E3082" s="8">
        <v>18.078199999999999</v>
      </c>
      <c r="F3082" s="9">
        <v>46119</v>
      </c>
    </row>
    <row r="3083" spans="1:6" ht="60" x14ac:dyDescent="0.25">
      <c r="A3083" s="8" t="s">
        <v>63</v>
      </c>
      <c r="B3083" s="8" t="s">
        <v>73</v>
      </c>
      <c r="C3083" s="8" t="str">
        <f>IFERROR(_xlfn.XLOOKUP(TRIM(B3083),Lookup!$B$2:$B$1000,Lookup!$C$2:$C$1000),"")</f>
        <v>Equity - Small Cap</v>
      </c>
      <c r="D3083" s="8" t="str">
        <f>IFERROR(INDEX('nav master'!$C:$C, MATCH(B3083, 'nav master'!$B:$B, 0)), "")</f>
        <v>ULIF 071 22/05/23 SCF 110</v>
      </c>
      <c r="E3083" s="8">
        <v>18.822900000000001</v>
      </c>
      <c r="F3083" s="9">
        <v>46120</v>
      </c>
    </row>
    <row r="3084" spans="1:6" ht="60" x14ac:dyDescent="0.25">
      <c r="A3084" s="8" t="s">
        <v>63</v>
      </c>
      <c r="B3084" s="8" t="s">
        <v>73</v>
      </c>
      <c r="C3084" s="8" t="str">
        <f>IFERROR(_xlfn.XLOOKUP(TRIM(B3084),Lookup!$B$2:$B$1000,Lookup!$C$2:$C$1000),"")</f>
        <v>Equity - Small Cap</v>
      </c>
      <c r="D3084" s="8" t="str">
        <f>IFERROR(INDEX('nav master'!$C:$C, MATCH(B3084, 'nav master'!$B:$B, 0)), "")</f>
        <v>ULIF 071 22/05/23 SCF 110</v>
      </c>
      <c r="E3084" s="8">
        <v>18.737500000000001</v>
      </c>
      <c r="F3084" s="9">
        <v>46121</v>
      </c>
    </row>
    <row r="3085" spans="1:6" ht="60" x14ac:dyDescent="0.25">
      <c r="A3085" s="8" t="s">
        <v>63</v>
      </c>
      <c r="B3085" s="8" t="s">
        <v>73</v>
      </c>
      <c r="C3085" s="8" t="str">
        <f>IFERROR(_xlfn.XLOOKUP(TRIM(B3085),Lookup!$B$2:$B$1000,Lookup!$C$2:$C$1000),"")</f>
        <v>Equity - Small Cap</v>
      </c>
      <c r="D3085" s="8" t="str">
        <f>IFERROR(INDEX('nav master'!$C:$C, MATCH(B3085, 'nav master'!$B:$B, 0)), "")</f>
        <v>ULIF 071 22/05/23 SCF 110</v>
      </c>
      <c r="E3085" s="8">
        <v>19.0242</v>
      </c>
      <c r="F3085" s="9">
        <v>46122</v>
      </c>
    </row>
    <row r="3086" spans="1:6" ht="60" x14ac:dyDescent="0.25">
      <c r="A3086" s="8" t="s">
        <v>63</v>
      </c>
      <c r="B3086" s="8" t="s">
        <v>73</v>
      </c>
      <c r="C3086" s="8" t="str">
        <f>IFERROR(_xlfn.XLOOKUP(TRIM(B3086),Lookup!$B$2:$B$1000,Lookup!$C$2:$C$1000),"")</f>
        <v>Equity - Small Cap</v>
      </c>
      <c r="D3086" s="8" t="str">
        <f>IFERROR(INDEX('nav master'!$C:$C, MATCH(B3086, 'nav master'!$B:$B, 0)), "")</f>
        <v>ULIF 071 22/05/23 SCF 110</v>
      </c>
      <c r="E3086" s="8">
        <v>18.851600000000001</v>
      </c>
      <c r="F3086" s="9">
        <v>46125</v>
      </c>
    </row>
    <row r="3087" spans="1:6" ht="60" x14ac:dyDescent="0.25">
      <c r="A3087" s="8" t="s">
        <v>63</v>
      </c>
      <c r="B3087" s="8" t="s">
        <v>73</v>
      </c>
      <c r="C3087" s="8" t="str">
        <f>IFERROR(_xlfn.XLOOKUP(TRIM(B3087),Lookup!$B$2:$B$1000,Lookup!$C$2:$C$1000),"")</f>
        <v>Equity - Small Cap</v>
      </c>
      <c r="D3087" s="8" t="str">
        <f>IFERROR(INDEX('nav master'!$C:$C, MATCH(B3087, 'nav master'!$B:$B, 0)), "")</f>
        <v>ULIF 071 22/05/23 SCF 110</v>
      </c>
      <c r="E3087" s="8">
        <v>19.322099999999999</v>
      </c>
      <c r="F3087" s="9">
        <v>46127</v>
      </c>
    </row>
    <row r="3088" spans="1:6" ht="60" x14ac:dyDescent="0.25">
      <c r="A3088" s="8" t="s">
        <v>63</v>
      </c>
      <c r="B3088" s="8" t="s">
        <v>73</v>
      </c>
      <c r="C3088" s="8" t="str">
        <f>IFERROR(_xlfn.XLOOKUP(TRIM(B3088),Lookup!$B$2:$B$1000,Lookup!$C$2:$C$1000),"")</f>
        <v>Equity - Small Cap</v>
      </c>
      <c r="D3088" s="8" t="str">
        <f>IFERROR(INDEX('nav master'!$C:$C, MATCH(B3088, 'nav master'!$B:$B, 0)), "")</f>
        <v>ULIF 071 22/05/23 SCF 110</v>
      </c>
      <c r="E3088" s="8">
        <v>19.532</v>
      </c>
      <c r="F3088" s="9">
        <v>46128</v>
      </c>
    </row>
    <row r="3089" spans="1:6" ht="60" x14ac:dyDescent="0.25">
      <c r="A3089" s="8" t="s">
        <v>63</v>
      </c>
      <c r="B3089" s="8" t="s">
        <v>73</v>
      </c>
      <c r="C3089" s="8" t="str">
        <f>IFERROR(_xlfn.XLOOKUP(TRIM(B3089),Lookup!$B$2:$B$1000,Lookup!$C$2:$C$1000),"")</f>
        <v>Equity - Small Cap</v>
      </c>
      <c r="D3089" s="8" t="str">
        <f>IFERROR(INDEX('nav master'!$C:$C, MATCH(B3089, 'nav master'!$B:$B, 0)), "")</f>
        <v>ULIF 071 22/05/23 SCF 110</v>
      </c>
      <c r="E3089" s="8">
        <v>19.769500000000001</v>
      </c>
      <c r="F3089" s="9">
        <v>46129</v>
      </c>
    </row>
    <row r="3090" spans="1:6" ht="60" x14ac:dyDescent="0.25">
      <c r="A3090" s="8" t="s">
        <v>63</v>
      </c>
      <c r="B3090" s="8" t="s">
        <v>73</v>
      </c>
      <c r="C3090" s="8" t="str">
        <f>IFERROR(_xlfn.XLOOKUP(TRIM(B3090),Lookup!$B$2:$B$1000,Lookup!$C$2:$C$1000),"")</f>
        <v>Equity - Small Cap</v>
      </c>
      <c r="D3090" s="8" t="str">
        <f>IFERROR(INDEX('nav master'!$C:$C, MATCH(B3090, 'nav master'!$B:$B, 0)), "")</f>
        <v>ULIF 071 22/05/23 SCF 110</v>
      </c>
      <c r="E3090" s="8">
        <v>19.747599999999998</v>
      </c>
      <c r="F3090" s="9">
        <v>46132</v>
      </c>
    </row>
    <row r="3091" spans="1:6" ht="60" x14ac:dyDescent="0.25">
      <c r="A3091" s="8" t="s">
        <v>63</v>
      </c>
      <c r="B3091" s="8" t="s">
        <v>73</v>
      </c>
      <c r="C3091" s="8" t="str">
        <f>IFERROR(_xlfn.XLOOKUP(TRIM(B3091),Lookup!$B$2:$B$1000,Lookup!$C$2:$C$1000),"")</f>
        <v>Equity - Small Cap</v>
      </c>
      <c r="D3091" s="8" t="str">
        <f>IFERROR(INDEX('nav master'!$C:$C, MATCH(B3091, 'nav master'!$B:$B, 0)), "")</f>
        <v>ULIF 071 22/05/23 SCF 110</v>
      </c>
      <c r="E3091" s="8">
        <v>19.935199999999998</v>
      </c>
      <c r="F3091" s="9">
        <v>46133</v>
      </c>
    </row>
    <row r="3092" spans="1:6" ht="60" x14ac:dyDescent="0.25">
      <c r="A3092" s="8" t="s">
        <v>63</v>
      </c>
      <c r="B3092" s="8" t="s">
        <v>73</v>
      </c>
      <c r="C3092" s="8" t="str">
        <f>IFERROR(_xlfn.XLOOKUP(TRIM(B3092),Lookup!$B$2:$B$1000,Lookup!$C$2:$C$1000),"")</f>
        <v>Equity - Small Cap</v>
      </c>
      <c r="D3092" s="8" t="str">
        <f>IFERROR(INDEX('nav master'!$C:$C, MATCH(B3092, 'nav master'!$B:$B, 0)), "")</f>
        <v>ULIF 071 22/05/23 SCF 110</v>
      </c>
      <c r="E3092" s="8">
        <v>20.043199999999999</v>
      </c>
      <c r="F3092" s="9">
        <v>46134</v>
      </c>
    </row>
    <row r="3093" spans="1:6" ht="60" x14ac:dyDescent="0.25">
      <c r="A3093" s="8" t="s">
        <v>63</v>
      </c>
      <c r="B3093" s="8" t="s">
        <v>73</v>
      </c>
      <c r="C3093" s="8" t="str">
        <f>IFERROR(_xlfn.XLOOKUP(TRIM(B3093),Lookup!$B$2:$B$1000,Lookup!$C$2:$C$1000),"")</f>
        <v>Equity - Small Cap</v>
      </c>
      <c r="D3093" s="8" t="str">
        <f>IFERROR(INDEX('nav master'!$C:$C, MATCH(B3093, 'nav master'!$B:$B, 0)), "")</f>
        <v>ULIF 071 22/05/23 SCF 110</v>
      </c>
      <c r="E3093" s="8">
        <v>19.9009</v>
      </c>
      <c r="F3093" s="9">
        <v>46135</v>
      </c>
    </row>
    <row r="3094" spans="1:6" ht="60" x14ac:dyDescent="0.25">
      <c r="A3094" s="8" t="s">
        <v>63</v>
      </c>
      <c r="B3094" s="8" t="s">
        <v>73</v>
      </c>
      <c r="C3094" s="8" t="str">
        <f>IFERROR(_xlfn.XLOOKUP(TRIM(B3094),Lookup!$B$2:$B$1000,Lookup!$C$2:$C$1000),"")</f>
        <v>Equity - Small Cap</v>
      </c>
      <c r="D3094" s="8" t="str">
        <f>IFERROR(INDEX('nav master'!$C:$C, MATCH(B3094, 'nav master'!$B:$B, 0)), "")</f>
        <v>ULIF 071 22/05/23 SCF 110</v>
      </c>
      <c r="E3094" s="8">
        <v>19.6846</v>
      </c>
      <c r="F3094" s="9">
        <v>46136</v>
      </c>
    </row>
    <row r="3095" spans="1:6" ht="60" x14ac:dyDescent="0.25">
      <c r="A3095" s="8" t="s">
        <v>63</v>
      </c>
      <c r="B3095" s="8" t="s">
        <v>73</v>
      </c>
      <c r="C3095" s="8" t="str">
        <f>IFERROR(_xlfn.XLOOKUP(TRIM(B3095),Lookup!$B$2:$B$1000,Lookup!$C$2:$C$1000),"")</f>
        <v>Equity - Small Cap</v>
      </c>
      <c r="D3095" s="8" t="str">
        <f>IFERROR(INDEX('nav master'!$C:$C, MATCH(B3095, 'nav master'!$B:$B, 0)), "")</f>
        <v>ULIF 071 22/05/23 SCF 110</v>
      </c>
      <c r="E3095" s="8">
        <v>19.9969</v>
      </c>
      <c r="F3095" s="9">
        <v>46139</v>
      </c>
    </row>
    <row r="3096" spans="1:6" ht="60" x14ac:dyDescent="0.25">
      <c r="A3096" s="8" t="s">
        <v>63</v>
      </c>
      <c r="B3096" s="8" t="s">
        <v>73</v>
      </c>
      <c r="C3096" s="8" t="str">
        <f>IFERROR(_xlfn.XLOOKUP(TRIM(B3096),Lookup!$B$2:$B$1000,Lookup!$C$2:$C$1000),"")</f>
        <v>Equity - Small Cap</v>
      </c>
      <c r="D3096" s="8" t="str">
        <f>IFERROR(INDEX('nav master'!$C:$C, MATCH(B3096, 'nav master'!$B:$B, 0)), "")</f>
        <v>ULIF 071 22/05/23 SCF 110</v>
      </c>
      <c r="E3096" s="8">
        <v>19.928899999999999</v>
      </c>
      <c r="F3096" s="9">
        <v>46140</v>
      </c>
    </row>
    <row r="3097" spans="1:6" ht="60" x14ac:dyDescent="0.25">
      <c r="A3097" s="8" t="s">
        <v>63</v>
      </c>
      <c r="B3097" s="8" t="s">
        <v>73</v>
      </c>
      <c r="C3097" s="8" t="str">
        <f>IFERROR(_xlfn.XLOOKUP(TRIM(B3097),Lookup!$B$2:$B$1000,Lookup!$C$2:$C$1000),"")</f>
        <v>Equity - Small Cap</v>
      </c>
      <c r="D3097" s="8" t="str">
        <f>IFERROR(INDEX('nav master'!$C:$C, MATCH(B3097, 'nav master'!$B:$B, 0)), "")</f>
        <v>ULIF 071 22/05/23 SCF 110</v>
      </c>
      <c r="E3097" s="8">
        <v>20.038499999999999</v>
      </c>
      <c r="F3097" s="9">
        <v>46141</v>
      </c>
    </row>
    <row r="3098" spans="1:6" ht="60" x14ac:dyDescent="0.25">
      <c r="A3098" s="8" t="s">
        <v>63</v>
      </c>
      <c r="B3098" s="8" t="s">
        <v>73</v>
      </c>
      <c r="C3098" s="8" t="str">
        <f>IFERROR(_xlfn.XLOOKUP(TRIM(B3098),Lookup!$B$2:$B$1000,Lookup!$C$2:$C$1000),"")</f>
        <v>Equity - Small Cap</v>
      </c>
      <c r="D3098" s="8" t="str">
        <f>IFERROR(INDEX('nav master'!$C:$C, MATCH(B3098, 'nav master'!$B:$B, 0)), "")</f>
        <v>ULIF 071 22/05/23 SCF 110</v>
      </c>
      <c r="E3098" s="8">
        <v>19.825399999999998</v>
      </c>
      <c r="F3098" s="9">
        <v>46142</v>
      </c>
    </row>
    <row r="3099" spans="1:6" ht="60" x14ac:dyDescent="0.25">
      <c r="A3099" s="8" t="s">
        <v>63</v>
      </c>
      <c r="B3099" s="8" t="s">
        <v>73</v>
      </c>
      <c r="C3099" s="8" t="str">
        <f>IFERROR(_xlfn.XLOOKUP(TRIM(B3099),Lookup!$B$2:$B$1000,Lookup!$C$2:$C$1000),"")</f>
        <v>Equity - Small Cap</v>
      </c>
      <c r="D3099" s="8" t="str">
        <f>IFERROR(INDEX('nav master'!$C:$C, MATCH(B3099, 'nav master'!$B:$B, 0)), "")</f>
        <v>ULIF 071 22/05/23 SCF 110</v>
      </c>
      <c r="E3099" s="8">
        <v>20.126000000000001</v>
      </c>
      <c r="F3099" s="9">
        <v>46146</v>
      </c>
    </row>
    <row r="3100" spans="1:6" ht="60" x14ac:dyDescent="0.25">
      <c r="A3100" s="8" t="s">
        <v>63</v>
      </c>
      <c r="B3100" s="8" t="s">
        <v>73</v>
      </c>
      <c r="C3100" s="8" t="str">
        <f>IFERROR(_xlfn.XLOOKUP(TRIM(B3100),Lookup!$B$2:$B$1000,Lookup!$C$2:$C$1000),"")</f>
        <v>Equity - Small Cap</v>
      </c>
      <c r="D3100" s="8" t="str">
        <f>IFERROR(INDEX('nav master'!$C:$C, MATCH(B3100, 'nav master'!$B:$B, 0)), "")</f>
        <v>ULIF 071 22/05/23 SCF 110</v>
      </c>
      <c r="E3100" s="8">
        <v>20.108499999999999</v>
      </c>
      <c r="F3100" s="9">
        <v>46147</v>
      </c>
    </row>
    <row r="3101" spans="1:6" ht="60" x14ac:dyDescent="0.25">
      <c r="A3101" s="8" t="s">
        <v>63</v>
      </c>
      <c r="B3101" s="8" t="s">
        <v>73</v>
      </c>
      <c r="C3101" s="8" t="str">
        <f>IFERROR(_xlfn.XLOOKUP(TRIM(B3101),Lookup!$B$2:$B$1000,Lookup!$C$2:$C$1000),"")</f>
        <v>Equity - Small Cap</v>
      </c>
      <c r="D3101" s="8" t="str">
        <f>IFERROR(INDEX('nav master'!$C:$C, MATCH(B3101, 'nav master'!$B:$B, 0)), "")</f>
        <v>ULIF 071 22/05/23 SCF 110</v>
      </c>
      <c r="E3101" s="8">
        <v>20.417100000000001</v>
      </c>
      <c r="F3101" s="9">
        <v>46148</v>
      </c>
    </row>
    <row r="3102" spans="1:6" ht="60" x14ac:dyDescent="0.25">
      <c r="A3102" s="8" t="s">
        <v>63</v>
      </c>
      <c r="B3102" s="8" t="s">
        <v>73</v>
      </c>
      <c r="C3102" s="8" t="str">
        <f>IFERROR(_xlfn.XLOOKUP(TRIM(B3102),Lookup!$B$2:$B$1000,Lookup!$C$2:$C$1000),"")</f>
        <v>Equity - Small Cap</v>
      </c>
      <c r="D3102" s="8" t="str">
        <f>IFERROR(INDEX('nav master'!$C:$C, MATCH(B3102, 'nav master'!$B:$B, 0)), "")</f>
        <v>ULIF 071 22/05/23 SCF 110</v>
      </c>
      <c r="E3102" s="8">
        <v>20.5886</v>
      </c>
      <c r="F3102" s="9">
        <v>46149</v>
      </c>
    </row>
    <row r="3103" spans="1:6" ht="60" x14ac:dyDescent="0.25">
      <c r="A3103" s="8" t="s">
        <v>63</v>
      </c>
      <c r="B3103" s="8" t="s">
        <v>73</v>
      </c>
      <c r="C3103" s="8" t="str">
        <f>IFERROR(_xlfn.XLOOKUP(TRIM(B3103),Lookup!$B$2:$B$1000,Lookup!$C$2:$C$1000),"")</f>
        <v>Equity - Small Cap</v>
      </c>
      <c r="D3103" s="8" t="str">
        <f>IFERROR(INDEX('nav master'!$C:$C, MATCH(B3103, 'nav master'!$B:$B, 0)), "")</f>
        <v>ULIF 071 22/05/23 SCF 110</v>
      </c>
      <c r="E3103" s="8">
        <v>20.630600000000001</v>
      </c>
      <c r="F3103" s="9">
        <v>46150</v>
      </c>
    </row>
    <row r="3104" spans="1:6" ht="60" x14ac:dyDescent="0.25">
      <c r="A3104" s="8" t="s">
        <v>63</v>
      </c>
      <c r="B3104" s="8" t="s">
        <v>73</v>
      </c>
      <c r="C3104" s="8" t="str">
        <f>IFERROR(_xlfn.XLOOKUP(TRIM(B3104),Lookup!$B$2:$B$1000,Lookup!$C$2:$C$1000),"")</f>
        <v>Equity - Small Cap</v>
      </c>
      <c r="D3104" s="8" t="str">
        <f>IFERROR(INDEX('nav master'!$C:$C, MATCH(B3104, 'nav master'!$B:$B, 0)), "")</f>
        <v>ULIF 071 22/05/23 SCF 110</v>
      </c>
      <c r="E3104" s="8">
        <v>20.355399999999999</v>
      </c>
      <c r="F3104" s="9">
        <v>46153</v>
      </c>
    </row>
    <row r="3105" spans="1:6" ht="60" x14ac:dyDescent="0.25">
      <c r="A3105" s="8" t="s">
        <v>63</v>
      </c>
      <c r="B3105" s="8" t="s">
        <v>73</v>
      </c>
      <c r="C3105" s="8" t="str">
        <f>IFERROR(_xlfn.XLOOKUP(TRIM(B3105),Lookup!$B$2:$B$1000,Lookup!$C$2:$C$1000),"")</f>
        <v>Equity - Small Cap</v>
      </c>
      <c r="D3105" s="8" t="str">
        <f>IFERROR(INDEX('nav master'!$C:$C, MATCH(B3105, 'nav master'!$B:$B, 0)), "")</f>
        <v>ULIF 071 22/05/23 SCF 110</v>
      </c>
      <c r="E3105" s="8">
        <v>19.7334</v>
      </c>
      <c r="F3105" s="9">
        <v>46154</v>
      </c>
    </row>
    <row r="3106" spans="1:6" ht="60" x14ac:dyDescent="0.25">
      <c r="A3106" s="8" t="s">
        <v>63</v>
      </c>
      <c r="B3106" s="8" t="s">
        <v>73</v>
      </c>
      <c r="C3106" s="8" t="str">
        <f>IFERROR(_xlfn.XLOOKUP(TRIM(B3106),Lookup!$B$2:$B$1000,Lookup!$C$2:$C$1000),"")</f>
        <v>Equity - Small Cap</v>
      </c>
      <c r="D3106" s="8" t="str">
        <f>IFERROR(INDEX('nav master'!$C:$C, MATCH(B3106, 'nav master'!$B:$B, 0)), "")</f>
        <v>ULIF 071 22/05/23 SCF 110</v>
      </c>
      <c r="E3106" s="8">
        <v>19.6953</v>
      </c>
      <c r="F3106" s="9">
        <v>46155</v>
      </c>
    </row>
    <row r="3107" spans="1:6" ht="60" x14ac:dyDescent="0.25">
      <c r="A3107" s="8" t="s">
        <v>63</v>
      </c>
      <c r="B3107" s="8" t="s">
        <v>73</v>
      </c>
      <c r="C3107" s="8" t="str">
        <f>IFERROR(_xlfn.XLOOKUP(TRIM(B3107),Lookup!$B$2:$B$1000,Lookup!$C$2:$C$1000),"")</f>
        <v>Equity - Small Cap</v>
      </c>
      <c r="D3107" s="8" t="str">
        <f>IFERROR(INDEX('nav master'!$C:$C, MATCH(B3107, 'nav master'!$B:$B, 0)), "")</f>
        <v>ULIF 071 22/05/23 SCF 110</v>
      </c>
      <c r="E3107" s="8">
        <v>19.903600000000001</v>
      </c>
      <c r="F3107" s="9">
        <v>46156</v>
      </c>
    </row>
    <row r="3108" spans="1:6" ht="60" x14ac:dyDescent="0.25">
      <c r="A3108" s="8" t="s">
        <v>63</v>
      </c>
      <c r="B3108" s="8" t="s">
        <v>73</v>
      </c>
      <c r="C3108" s="8" t="str">
        <f>IFERROR(_xlfn.XLOOKUP(TRIM(B3108),Lookup!$B$2:$B$1000,Lookup!$C$2:$C$1000),"")</f>
        <v>Equity - Small Cap</v>
      </c>
      <c r="D3108" s="8" t="str">
        <f>IFERROR(INDEX('nav master'!$C:$C, MATCH(B3108, 'nav master'!$B:$B, 0)), "")</f>
        <v>ULIF 071 22/05/23 SCF 110</v>
      </c>
      <c r="E3108" s="8">
        <v>19.8721</v>
      </c>
      <c r="F3108" s="9">
        <v>46157</v>
      </c>
    </row>
    <row r="3109" spans="1:6" ht="60" x14ac:dyDescent="0.25">
      <c r="A3109" s="8" t="s">
        <v>63</v>
      </c>
      <c r="B3109" s="8" t="s">
        <v>73</v>
      </c>
      <c r="C3109" s="8" t="str">
        <f>IFERROR(_xlfn.XLOOKUP(TRIM(B3109),Lookup!$B$2:$B$1000,Lookup!$C$2:$C$1000),"")</f>
        <v>Equity - Small Cap</v>
      </c>
      <c r="D3109" s="8" t="str">
        <f>IFERROR(INDEX('nav master'!$C:$C, MATCH(B3109, 'nav master'!$B:$B, 0)), "")</f>
        <v>ULIF 071 22/05/23 SCF 110</v>
      </c>
      <c r="E3109" s="8">
        <v>19.5886</v>
      </c>
      <c r="F3109" s="9">
        <v>46160</v>
      </c>
    </row>
    <row r="3110" spans="1:6" ht="60" x14ac:dyDescent="0.25">
      <c r="A3110" s="8" t="s">
        <v>63</v>
      </c>
      <c r="B3110" s="8" t="s">
        <v>73</v>
      </c>
      <c r="C3110" s="8" t="str">
        <f>IFERROR(_xlfn.XLOOKUP(TRIM(B3110),Lookup!$B$2:$B$1000,Lookup!$C$2:$C$1000),"")</f>
        <v>Equity - Small Cap</v>
      </c>
      <c r="D3110" s="8" t="str">
        <f>IFERROR(INDEX('nav master'!$C:$C, MATCH(B3110, 'nav master'!$B:$B, 0)), "")</f>
        <v>ULIF 071 22/05/23 SCF 110</v>
      </c>
      <c r="E3110" s="8">
        <v>19.837599999999998</v>
      </c>
      <c r="F3110" s="9">
        <v>46161</v>
      </c>
    </row>
    <row r="3111" spans="1:6" ht="60" x14ac:dyDescent="0.25">
      <c r="A3111" s="8" t="s">
        <v>63</v>
      </c>
      <c r="B3111" s="8" t="s">
        <v>73</v>
      </c>
      <c r="C3111" s="8" t="str">
        <f>IFERROR(_xlfn.XLOOKUP(TRIM(B3111),Lookup!$B$2:$B$1000,Lookup!$C$2:$C$1000),"")</f>
        <v>Equity - Small Cap</v>
      </c>
      <c r="D3111" s="8" t="str">
        <f>IFERROR(INDEX('nav master'!$C:$C, MATCH(B3111, 'nav master'!$B:$B, 0)), "")</f>
        <v>ULIF 071 22/05/23 SCF 110</v>
      </c>
      <c r="E3111" s="8">
        <v>19.862300000000001</v>
      </c>
      <c r="F3111" s="9">
        <v>46162</v>
      </c>
    </row>
    <row r="3112" spans="1:6" ht="60" x14ac:dyDescent="0.25">
      <c r="A3112" s="8" t="s">
        <v>63</v>
      </c>
      <c r="B3112" s="8" t="s">
        <v>73</v>
      </c>
      <c r="C3112" s="8" t="str">
        <f>IFERROR(_xlfn.XLOOKUP(TRIM(B3112),Lookup!$B$2:$B$1000,Lookup!$C$2:$C$1000),"")</f>
        <v>Equity - Small Cap</v>
      </c>
      <c r="D3112" s="8" t="str">
        <f>IFERROR(INDEX('nav master'!$C:$C, MATCH(B3112, 'nav master'!$B:$B, 0)), "")</f>
        <v>ULIF 071 22/05/23 SCF 110</v>
      </c>
      <c r="E3112" s="8">
        <v>19.9651</v>
      </c>
      <c r="F3112" s="9">
        <v>46163</v>
      </c>
    </row>
    <row r="3113" spans="1:6" ht="60" x14ac:dyDescent="0.25">
      <c r="A3113" s="8" t="s">
        <v>63</v>
      </c>
      <c r="B3113" s="8" t="s">
        <v>73</v>
      </c>
      <c r="C3113" s="8" t="str">
        <f>IFERROR(_xlfn.XLOOKUP(TRIM(B3113),Lookup!$B$2:$B$1000,Lookup!$C$2:$C$1000),"")</f>
        <v>Equity - Small Cap</v>
      </c>
      <c r="D3113" s="8" t="str">
        <f>IFERROR(INDEX('nav master'!$C:$C, MATCH(B3113, 'nav master'!$B:$B, 0)), "")</f>
        <v>ULIF 071 22/05/23 SCF 110</v>
      </c>
      <c r="E3113" s="8">
        <v>20.007300000000001</v>
      </c>
      <c r="F3113" s="9">
        <v>46164</v>
      </c>
    </row>
    <row r="3114" spans="1:6" ht="60" x14ac:dyDescent="0.25">
      <c r="A3114" s="8" t="s">
        <v>63</v>
      </c>
      <c r="B3114" s="8" t="s">
        <v>73</v>
      </c>
      <c r="C3114" s="8" t="str">
        <f>IFERROR(_xlfn.XLOOKUP(TRIM(B3114),Lookup!$B$2:$B$1000,Lookup!$C$2:$C$1000),"")</f>
        <v>Equity - Small Cap</v>
      </c>
      <c r="D3114" s="8" t="str">
        <f>IFERROR(INDEX('nav master'!$C:$C, MATCH(B3114, 'nav master'!$B:$B, 0)), "")</f>
        <v>ULIF 071 22/05/23 SCF 110</v>
      </c>
      <c r="E3114" s="8">
        <v>20.271599999999999</v>
      </c>
      <c r="F3114" s="9">
        <v>46167</v>
      </c>
    </row>
    <row r="3115" spans="1:6" ht="60" x14ac:dyDescent="0.25">
      <c r="A3115" s="8" t="s">
        <v>63</v>
      </c>
      <c r="B3115" s="8" t="s">
        <v>73</v>
      </c>
      <c r="C3115" s="8" t="str">
        <f>IFERROR(_xlfn.XLOOKUP(TRIM(B3115),Lookup!$B$2:$B$1000,Lookup!$C$2:$C$1000),"")</f>
        <v>Equity - Small Cap</v>
      </c>
      <c r="D3115" s="8" t="str">
        <f>IFERROR(INDEX('nav master'!$C:$C, MATCH(B3115, 'nav master'!$B:$B, 0)), "")</f>
        <v>ULIF 071 22/05/23 SCF 110</v>
      </c>
      <c r="E3115" s="8">
        <v>20.338200000000001</v>
      </c>
      <c r="F3115" s="9">
        <v>46168</v>
      </c>
    </row>
    <row r="3116" spans="1:6" ht="60" x14ac:dyDescent="0.25">
      <c r="A3116" s="8" t="s">
        <v>63</v>
      </c>
      <c r="B3116" s="8" t="s">
        <v>73</v>
      </c>
      <c r="C3116" s="8" t="str">
        <f>IFERROR(_xlfn.XLOOKUP(TRIM(B3116),Lookup!$B$2:$B$1000,Lookup!$C$2:$C$1000),"")</f>
        <v>Equity - Small Cap</v>
      </c>
      <c r="D3116" s="8" t="str">
        <f>IFERROR(INDEX('nav master'!$C:$C, MATCH(B3116, 'nav master'!$B:$B, 0)), "")</f>
        <v>ULIF 071 22/05/23 SCF 110</v>
      </c>
      <c r="E3116" s="8">
        <v>20.2971</v>
      </c>
      <c r="F3116" s="9">
        <v>46169</v>
      </c>
    </row>
    <row r="3117" spans="1:6" ht="60" x14ac:dyDescent="0.25">
      <c r="A3117" s="8" t="s">
        <v>63</v>
      </c>
      <c r="B3117" s="8" t="s">
        <v>73</v>
      </c>
      <c r="C3117" s="8" t="str">
        <f>IFERROR(_xlfn.XLOOKUP(TRIM(B3117),Lookup!$B$2:$B$1000,Lookup!$C$2:$C$1000),"")</f>
        <v>Equity - Small Cap</v>
      </c>
      <c r="D3117" s="8" t="str">
        <f>IFERROR(INDEX('nav master'!$C:$C, MATCH(B3117, 'nav master'!$B:$B, 0)), "")</f>
        <v>ULIF 071 22/05/23 SCF 110</v>
      </c>
      <c r="E3117" s="8">
        <v>20.131599999999999</v>
      </c>
      <c r="F3117" s="9">
        <v>46171</v>
      </c>
    </row>
    <row r="3118" spans="1:6" ht="60" x14ac:dyDescent="0.25">
      <c r="A3118" s="8" t="s">
        <v>63</v>
      </c>
      <c r="B3118" s="8" t="s">
        <v>73</v>
      </c>
      <c r="C3118" s="8" t="str">
        <f>IFERROR(_xlfn.XLOOKUP(TRIM(B3118),Lookup!$B$2:$B$1000,Lookup!$C$2:$C$1000),"")</f>
        <v>Equity - Small Cap</v>
      </c>
      <c r="D3118" s="8" t="str">
        <f>IFERROR(INDEX('nav master'!$C:$C, MATCH(B3118, 'nav master'!$B:$B, 0)), "")</f>
        <v>ULIF 071 22/05/23 SCF 110</v>
      </c>
      <c r="E3118" s="8">
        <v>19.907</v>
      </c>
      <c r="F3118" s="9">
        <v>46174</v>
      </c>
    </row>
    <row r="3119" spans="1:6" ht="60" x14ac:dyDescent="0.25">
      <c r="A3119" s="8" t="s">
        <v>63</v>
      </c>
      <c r="B3119" s="8" t="s">
        <v>73</v>
      </c>
      <c r="C3119" s="8" t="str">
        <f>IFERROR(_xlfn.XLOOKUP(TRIM(B3119),Lookup!$B$2:$B$1000,Lookup!$C$2:$C$1000),"")</f>
        <v>Equity - Small Cap</v>
      </c>
      <c r="D3119" s="8" t="str">
        <f>IFERROR(INDEX('nav master'!$C:$C, MATCH(B3119, 'nav master'!$B:$B, 0)), "")</f>
        <v>ULIF 071 22/05/23 SCF 110</v>
      </c>
      <c r="E3119" s="8">
        <v>19.997599999999998</v>
      </c>
      <c r="F3119" s="9">
        <v>46175</v>
      </c>
    </row>
    <row r="3120" spans="1:6" ht="60" x14ac:dyDescent="0.25">
      <c r="A3120" s="8" t="s">
        <v>63</v>
      </c>
      <c r="B3120" s="8" t="s">
        <v>73</v>
      </c>
      <c r="C3120" s="8" t="str">
        <f>IFERROR(_xlfn.XLOOKUP(TRIM(B3120),Lookup!$B$2:$B$1000,Lookup!$C$2:$C$1000),"")</f>
        <v>Equity - Small Cap</v>
      </c>
      <c r="D3120" s="8" t="str">
        <f>IFERROR(INDEX('nav master'!$C:$C, MATCH(B3120, 'nav master'!$B:$B, 0)), "")</f>
        <v>ULIF 071 22/05/23 SCF 110</v>
      </c>
      <c r="E3120" s="8">
        <v>19.936199999999999</v>
      </c>
      <c r="F3120" s="9">
        <v>46176</v>
      </c>
    </row>
    <row r="3121" spans="1:6" ht="60" x14ac:dyDescent="0.25">
      <c r="A3121" s="8" t="s">
        <v>63</v>
      </c>
      <c r="B3121" s="8" t="s">
        <v>73</v>
      </c>
      <c r="C3121" s="8" t="str">
        <f>IFERROR(_xlfn.XLOOKUP(TRIM(B3121),Lookup!$B$2:$B$1000,Lookup!$C$2:$C$1000),"")</f>
        <v>Equity - Small Cap</v>
      </c>
      <c r="D3121" s="8" t="str">
        <f>IFERROR(INDEX('nav master'!$C:$C, MATCH(B3121, 'nav master'!$B:$B, 0)), "")</f>
        <v>ULIF 071 22/05/23 SCF 110</v>
      </c>
      <c r="E3121" s="8">
        <v>20.0548</v>
      </c>
      <c r="F3121" s="9">
        <v>46177</v>
      </c>
    </row>
    <row r="3122" spans="1:6" ht="60" x14ac:dyDescent="0.25">
      <c r="A3122" s="8" t="s">
        <v>63</v>
      </c>
      <c r="B3122" s="8" t="s">
        <v>73</v>
      </c>
      <c r="C3122" s="8" t="str">
        <f>IFERROR(_xlfn.XLOOKUP(TRIM(B3122),Lookup!$B$2:$B$1000,Lookup!$C$2:$C$1000),"")</f>
        <v>Equity - Small Cap</v>
      </c>
      <c r="D3122" s="8" t="str">
        <f>IFERROR(INDEX('nav master'!$C:$C, MATCH(B3122, 'nav master'!$B:$B, 0)), "")</f>
        <v>ULIF 071 22/05/23 SCF 110</v>
      </c>
      <c r="E3122" s="8">
        <v>20.0092</v>
      </c>
      <c r="F3122" s="9">
        <v>46178</v>
      </c>
    </row>
    <row r="3123" spans="1:6" ht="60" x14ac:dyDescent="0.25">
      <c r="A3123" s="8" t="s">
        <v>63</v>
      </c>
      <c r="B3123" s="8" t="s">
        <v>73</v>
      </c>
      <c r="C3123" s="8" t="str">
        <f>IFERROR(_xlfn.XLOOKUP(TRIM(B3123),Lookup!$B$2:$B$1000,Lookup!$C$2:$C$1000),"")</f>
        <v>Equity - Small Cap</v>
      </c>
      <c r="D3123" s="8" t="str">
        <f>IFERROR(INDEX('nav master'!$C:$C, MATCH(B3123, 'nav master'!$B:$B, 0)), "")</f>
        <v>ULIF 071 22/05/23 SCF 110</v>
      </c>
      <c r="E3123" s="8">
        <v>19.681899999999999</v>
      </c>
      <c r="F3123" s="9">
        <v>46181</v>
      </c>
    </row>
    <row r="3124" spans="1:6" ht="60" x14ac:dyDescent="0.25">
      <c r="A3124" s="8" t="s">
        <v>63</v>
      </c>
      <c r="B3124" s="8" t="s">
        <v>73</v>
      </c>
      <c r="C3124" s="8" t="str">
        <f>IFERROR(_xlfn.XLOOKUP(TRIM(B3124),Lookup!$B$2:$B$1000,Lookup!$C$2:$C$1000),"")</f>
        <v>Equity - Small Cap</v>
      </c>
      <c r="D3124" s="8" t="str">
        <f>IFERROR(INDEX('nav master'!$C:$C, MATCH(B3124, 'nav master'!$B:$B, 0)), "")</f>
        <v>ULIF 071 22/05/23 SCF 110</v>
      </c>
      <c r="E3124" s="8">
        <v>19.919699999999999</v>
      </c>
      <c r="F3124" s="9">
        <v>46182</v>
      </c>
    </row>
    <row r="3125" spans="1:6" ht="60" x14ac:dyDescent="0.25">
      <c r="A3125" s="8" t="s">
        <v>63</v>
      </c>
      <c r="B3125" s="8" t="s">
        <v>73</v>
      </c>
      <c r="C3125" s="8" t="str">
        <f>IFERROR(_xlfn.XLOOKUP(TRIM(B3125),Lookup!$B$2:$B$1000,Lookup!$C$2:$C$1000),"")</f>
        <v>Equity - Small Cap</v>
      </c>
      <c r="D3125" s="8" t="str">
        <f>IFERROR(INDEX('nav master'!$C:$C, MATCH(B3125, 'nav master'!$B:$B, 0)), "")</f>
        <v>ULIF 071 22/05/23 SCF 110</v>
      </c>
      <c r="E3125" s="8">
        <v>19.697600000000001</v>
      </c>
      <c r="F3125" s="9">
        <v>46183</v>
      </c>
    </row>
    <row r="3126" spans="1:6" ht="60" x14ac:dyDescent="0.25">
      <c r="A3126" s="8" t="s">
        <v>63</v>
      </c>
      <c r="B3126" s="8" t="s">
        <v>73</v>
      </c>
      <c r="C3126" s="8" t="str">
        <f>IFERROR(_xlfn.XLOOKUP(TRIM(B3126),Lookup!$B$2:$B$1000,Lookup!$C$2:$C$1000),"")</f>
        <v>Equity - Small Cap</v>
      </c>
      <c r="D3126" s="8" t="str">
        <f>IFERROR(INDEX('nav master'!$C:$C, MATCH(B3126, 'nav master'!$B:$B, 0)), "")</f>
        <v>ULIF 071 22/05/23 SCF 110</v>
      </c>
      <c r="E3126" s="8">
        <v>19.613099999999999</v>
      </c>
      <c r="F3126" s="9">
        <v>46184</v>
      </c>
    </row>
    <row r="3127" spans="1:6" ht="60" x14ac:dyDescent="0.25">
      <c r="A3127" s="8" t="s">
        <v>63</v>
      </c>
      <c r="B3127" s="8" t="s">
        <v>73</v>
      </c>
      <c r="C3127" s="8" t="str">
        <f>IFERROR(_xlfn.XLOOKUP(TRIM(B3127),Lookup!$B$2:$B$1000,Lookup!$C$2:$C$1000),"")</f>
        <v>Equity - Small Cap</v>
      </c>
      <c r="D3127" s="8" t="str">
        <f>IFERROR(INDEX('nav master'!$C:$C, MATCH(B3127, 'nav master'!$B:$B, 0)), "")</f>
        <v>ULIF 071 22/05/23 SCF 110</v>
      </c>
      <c r="E3127" s="8">
        <v>20.189900000000002</v>
      </c>
      <c r="F3127" s="9">
        <v>46185</v>
      </c>
    </row>
    <row r="3128" spans="1:6" ht="60" x14ac:dyDescent="0.25">
      <c r="A3128" s="8" t="s">
        <v>63</v>
      </c>
      <c r="B3128" s="8" t="s">
        <v>73</v>
      </c>
      <c r="C3128" s="8" t="str">
        <f>IFERROR(_xlfn.XLOOKUP(TRIM(B3128),Lookup!$B$2:$B$1000,Lookup!$C$2:$C$1000),"")</f>
        <v>Equity - Small Cap</v>
      </c>
      <c r="D3128" s="8" t="str">
        <f>IFERROR(INDEX('nav master'!$C:$C, MATCH(B3128, 'nav master'!$B:$B, 0)), "")</f>
        <v>ULIF 071 22/05/23 SCF 110</v>
      </c>
      <c r="E3128" s="8">
        <v>20.5916</v>
      </c>
      <c r="F3128" s="9">
        <v>46188</v>
      </c>
    </row>
    <row r="3129" spans="1:6" ht="60" x14ac:dyDescent="0.25">
      <c r="A3129" s="8" t="s">
        <v>63</v>
      </c>
      <c r="B3129" s="8" t="s">
        <v>73</v>
      </c>
      <c r="C3129" s="8" t="str">
        <f>IFERROR(_xlfn.XLOOKUP(TRIM(B3129),Lookup!$B$2:$B$1000,Lookup!$C$2:$C$1000),"")</f>
        <v>Equity - Small Cap</v>
      </c>
      <c r="D3129" s="8" t="str">
        <f>IFERROR(INDEX('nav master'!$C:$C, MATCH(B3129, 'nav master'!$B:$B, 0)), "")</f>
        <v>ULIF 071 22/05/23 SCF 110</v>
      </c>
      <c r="E3129" s="8">
        <v>20.645199999999999</v>
      </c>
      <c r="F3129" s="9">
        <v>46189</v>
      </c>
    </row>
    <row r="3130" spans="1:6" ht="60" x14ac:dyDescent="0.25">
      <c r="A3130" s="8" t="s">
        <v>63</v>
      </c>
      <c r="B3130" s="8" t="s">
        <v>73</v>
      </c>
      <c r="C3130" s="8" t="str">
        <f>IFERROR(_xlfn.XLOOKUP(TRIM(B3130),Lookup!$B$2:$B$1000,Lookup!$C$2:$C$1000),"")</f>
        <v>Equity - Small Cap</v>
      </c>
      <c r="D3130" s="8" t="str">
        <f>IFERROR(INDEX('nav master'!$C:$C, MATCH(B3130, 'nav master'!$B:$B, 0)), "")</f>
        <v>ULIF 071 22/05/23 SCF 110</v>
      </c>
      <c r="E3130" s="8">
        <v>20.717400000000001</v>
      </c>
      <c r="F3130" s="9">
        <v>46190</v>
      </c>
    </row>
    <row r="3131" spans="1:6" ht="60" x14ac:dyDescent="0.25">
      <c r="A3131" s="8" t="s">
        <v>63</v>
      </c>
      <c r="B3131" s="8" t="s">
        <v>73</v>
      </c>
      <c r="C3131" s="8" t="str">
        <f>IFERROR(_xlfn.XLOOKUP(TRIM(B3131),Lookup!$B$2:$B$1000,Lookup!$C$2:$C$1000),"")</f>
        <v>Equity - Small Cap</v>
      </c>
      <c r="D3131" s="8" t="str">
        <f>IFERROR(INDEX('nav master'!$C:$C, MATCH(B3131, 'nav master'!$B:$B, 0)), "")</f>
        <v>ULIF 071 22/05/23 SCF 110</v>
      </c>
      <c r="E3131" s="8">
        <v>20.783799999999999</v>
      </c>
      <c r="F3131" s="9">
        <v>46191</v>
      </c>
    </row>
    <row r="3132" spans="1:6" ht="60" x14ac:dyDescent="0.25">
      <c r="A3132" s="8" t="s">
        <v>63</v>
      </c>
      <c r="B3132" s="8" t="s">
        <v>73</v>
      </c>
      <c r="C3132" s="8" t="str">
        <f>IFERROR(_xlfn.XLOOKUP(TRIM(B3132),Lookup!$B$2:$B$1000,Lookup!$C$2:$C$1000),"")</f>
        <v>Equity - Small Cap</v>
      </c>
      <c r="D3132" s="8" t="str">
        <f>IFERROR(INDEX('nav master'!$C:$C, MATCH(B3132, 'nav master'!$B:$B, 0)), "")</f>
        <v>ULIF 071 22/05/23 SCF 110</v>
      </c>
      <c r="E3132" s="8">
        <v>20.880400000000002</v>
      </c>
      <c r="F3132" s="9">
        <v>46192</v>
      </c>
    </row>
    <row r="3133" spans="1:6" ht="60" x14ac:dyDescent="0.25">
      <c r="A3133" s="8" t="s">
        <v>63</v>
      </c>
      <c r="B3133" s="8" t="s">
        <v>73</v>
      </c>
      <c r="C3133" s="8" t="str">
        <f>IFERROR(_xlfn.XLOOKUP(TRIM(B3133),Lookup!$B$2:$B$1000,Lookup!$C$2:$C$1000),"")</f>
        <v>Equity - Small Cap</v>
      </c>
      <c r="D3133" s="8" t="str">
        <f>IFERROR(INDEX('nav master'!$C:$C, MATCH(B3133, 'nav master'!$B:$B, 0)), "")</f>
        <v>ULIF 071 22/05/23 SCF 110</v>
      </c>
      <c r="E3133" s="8">
        <v>20.950500000000002</v>
      </c>
      <c r="F3133" s="9">
        <v>46195</v>
      </c>
    </row>
    <row r="3134" spans="1:6" ht="60" x14ac:dyDescent="0.25">
      <c r="A3134" s="8" t="s">
        <v>63</v>
      </c>
      <c r="B3134" s="8" t="s">
        <v>73</v>
      </c>
      <c r="C3134" s="8" t="str">
        <f>IFERROR(_xlfn.XLOOKUP(TRIM(B3134),Lookup!$B$2:$B$1000,Lookup!$C$2:$C$1000),"")</f>
        <v>Equity - Small Cap</v>
      </c>
      <c r="D3134" s="8" t="str">
        <f>IFERROR(INDEX('nav master'!$C:$C, MATCH(B3134, 'nav master'!$B:$B, 0)), "")</f>
        <v>ULIF 071 22/05/23 SCF 110</v>
      </c>
      <c r="E3134" s="8">
        <v>20.810700000000001</v>
      </c>
      <c r="F3134" s="9">
        <v>46196</v>
      </c>
    </row>
    <row r="3135" spans="1:6" ht="60" x14ac:dyDescent="0.25">
      <c r="A3135" s="8" t="s">
        <v>63</v>
      </c>
      <c r="B3135" s="8" t="s">
        <v>73</v>
      </c>
      <c r="C3135" s="8" t="str">
        <f>IFERROR(_xlfn.XLOOKUP(TRIM(B3135),Lookup!$B$2:$B$1000,Lookup!$C$2:$C$1000),"")</f>
        <v>Equity - Small Cap</v>
      </c>
      <c r="D3135" s="8" t="str">
        <f>IFERROR(INDEX('nav master'!$C:$C, MATCH(B3135, 'nav master'!$B:$B, 0)), "")</f>
        <v>ULIF 071 22/05/23 SCF 110</v>
      </c>
      <c r="E3135" s="8">
        <v>20.922499999999999</v>
      </c>
      <c r="F3135" s="9">
        <v>46197</v>
      </c>
    </row>
    <row r="3136" spans="1:6" ht="60" x14ac:dyDescent="0.25">
      <c r="A3136" s="8" t="s">
        <v>63</v>
      </c>
      <c r="B3136" s="8" t="s">
        <v>73</v>
      </c>
      <c r="C3136" s="8" t="str">
        <f>IFERROR(_xlfn.XLOOKUP(TRIM(B3136),Lookup!$B$2:$B$1000,Lookup!$C$2:$C$1000),"")</f>
        <v>Equity - Small Cap</v>
      </c>
      <c r="D3136" s="8" t="str">
        <f>IFERROR(INDEX('nav master'!$C:$C, MATCH(B3136, 'nav master'!$B:$B, 0)), "")</f>
        <v>ULIF 071 22/05/23 SCF 110</v>
      </c>
      <c r="E3136" s="8">
        <v>20.842700000000001</v>
      </c>
      <c r="F3136" s="9">
        <v>46198</v>
      </c>
    </row>
    <row r="3137" spans="1:6" ht="60" x14ac:dyDescent="0.25">
      <c r="A3137" s="8" t="s">
        <v>63</v>
      </c>
      <c r="B3137" s="8" t="s">
        <v>73</v>
      </c>
      <c r="C3137" s="8" t="str">
        <f>IFERROR(_xlfn.XLOOKUP(TRIM(B3137),Lookup!$B$2:$B$1000,Lookup!$C$2:$C$1000),"")</f>
        <v>Equity - Small Cap</v>
      </c>
      <c r="D3137" s="8" t="str">
        <f>IFERROR(INDEX('nav master'!$C:$C, MATCH(B3137, 'nav master'!$B:$B, 0)), "")</f>
        <v>ULIF 071 22/05/23 SCF 110</v>
      </c>
      <c r="E3137" s="8">
        <v>20.748200000000001</v>
      </c>
      <c r="F3137" s="9">
        <v>46202</v>
      </c>
    </row>
    <row r="3138" spans="1:6" ht="60" x14ac:dyDescent="0.25">
      <c r="A3138" s="8" t="s">
        <v>63</v>
      </c>
      <c r="B3138" s="8" t="s">
        <v>73</v>
      </c>
      <c r="C3138" s="8" t="str">
        <f>IFERROR(_xlfn.XLOOKUP(TRIM(B3138),Lookup!$B$2:$B$1000,Lookup!$C$2:$C$1000),"")</f>
        <v>Equity - Small Cap</v>
      </c>
      <c r="D3138" s="8" t="str">
        <f>IFERROR(INDEX('nav master'!$C:$C, MATCH(B3138, 'nav master'!$B:$B, 0)), "")</f>
        <v>ULIF 071 22/05/23 SCF 110</v>
      </c>
      <c r="E3138" s="8">
        <v>20.917400000000001</v>
      </c>
      <c r="F3138" s="9">
        <v>46203</v>
      </c>
    </row>
    <row r="3139" spans="1:6" ht="60" x14ac:dyDescent="0.25">
      <c r="A3139" s="8" t="s">
        <v>63</v>
      </c>
      <c r="B3139" s="8" t="s">
        <v>73</v>
      </c>
      <c r="C3139" s="8" t="str">
        <f>IFERROR(_xlfn.XLOOKUP(TRIM(B3139),Lookup!$B$2:$B$1000,Lookup!$C$2:$C$1000),"")</f>
        <v>Equity - Small Cap</v>
      </c>
      <c r="D3139" s="8" t="str">
        <f>IFERROR(INDEX('nav master'!$C:$C, MATCH(B3139, 'nav master'!$B:$B, 0)), "")</f>
        <v>ULIF 071 22/05/23 SCF 110</v>
      </c>
      <c r="E3139" s="8">
        <v>21.089500000000001</v>
      </c>
      <c r="F3139" s="9">
        <v>46204</v>
      </c>
    </row>
    <row r="3140" spans="1:6" ht="60" x14ac:dyDescent="0.25">
      <c r="A3140" s="8" t="s">
        <v>63</v>
      </c>
      <c r="B3140" s="8" t="s">
        <v>73</v>
      </c>
      <c r="C3140" s="8" t="str">
        <f>IFERROR(_xlfn.XLOOKUP(TRIM(B3140),Lookup!$B$2:$B$1000,Lookup!$C$2:$C$1000),"")</f>
        <v>Equity - Small Cap</v>
      </c>
      <c r="D3140" s="8" t="str">
        <f>IFERROR(INDEX('nav master'!$C:$C, MATCH(B3140, 'nav master'!$B:$B, 0)), "")</f>
        <v>ULIF 071 22/05/23 SCF 110</v>
      </c>
      <c r="E3140" s="8">
        <v>21.257300000000001</v>
      </c>
      <c r="F3140" s="9">
        <v>46205</v>
      </c>
    </row>
    <row r="3141" spans="1:6" ht="60" x14ac:dyDescent="0.25">
      <c r="A3141" s="8" t="s">
        <v>63</v>
      </c>
      <c r="B3141" s="8" t="s">
        <v>73</v>
      </c>
      <c r="C3141" s="8" t="str">
        <f>IFERROR(_xlfn.XLOOKUP(TRIM(B3141),Lookup!$B$2:$B$1000,Lookup!$C$2:$C$1000),"")</f>
        <v>Equity - Small Cap</v>
      </c>
      <c r="D3141" s="8" t="str">
        <f>IFERROR(INDEX('nav master'!$C:$C, MATCH(B3141, 'nav master'!$B:$B, 0)), "")</f>
        <v>ULIF 071 22/05/23 SCF 110</v>
      </c>
      <c r="E3141" s="8">
        <v>21.185500000000001</v>
      </c>
      <c r="F3141" s="9">
        <v>46206</v>
      </c>
    </row>
    <row r="3142" spans="1:6" ht="60" x14ac:dyDescent="0.25">
      <c r="A3142" s="8" t="s">
        <v>63</v>
      </c>
      <c r="B3142" s="8" t="s">
        <v>73</v>
      </c>
      <c r="C3142" s="8" t="str">
        <f>IFERROR(_xlfn.XLOOKUP(TRIM(B3142),Lookup!$B$2:$B$1000,Lookup!$C$2:$C$1000),"")</f>
        <v>Equity - Small Cap</v>
      </c>
      <c r="D3142" s="8" t="str">
        <f>IFERROR(INDEX('nav master'!$C:$C, MATCH(B3142, 'nav master'!$B:$B, 0)), "")</f>
        <v>ULIF 071 22/05/23 SCF 110</v>
      </c>
      <c r="E3142" s="8">
        <v>21.3323</v>
      </c>
      <c r="F3142" s="9">
        <v>46209</v>
      </c>
    </row>
    <row r="3143" spans="1:6" ht="60" x14ac:dyDescent="0.25">
      <c r="A3143" s="8" t="s">
        <v>63</v>
      </c>
      <c r="B3143" s="8" t="s">
        <v>73</v>
      </c>
      <c r="C3143" s="8" t="str">
        <f>IFERROR(_xlfn.XLOOKUP(TRIM(B3143),Lookup!$B$2:$B$1000,Lookup!$C$2:$C$1000),"")</f>
        <v>Equity - Small Cap</v>
      </c>
      <c r="D3143" s="8" t="str">
        <f>IFERROR(INDEX('nav master'!$C:$C, MATCH(B3143, 'nav master'!$B:$B, 0)), "")</f>
        <v>ULIF 071 22/05/23 SCF 110</v>
      </c>
      <c r="E3143" s="8">
        <v>21.282499999999999</v>
      </c>
      <c r="F3143" s="9">
        <v>46210</v>
      </c>
    </row>
    <row r="3144" spans="1:6" ht="60" x14ac:dyDescent="0.25">
      <c r="A3144" s="8" t="s">
        <v>63</v>
      </c>
      <c r="B3144" s="8" t="s">
        <v>73</v>
      </c>
      <c r="C3144" s="8" t="str">
        <f>IFERROR(_xlfn.XLOOKUP(TRIM(B3144),Lookup!$B$2:$B$1000,Lookup!$C$2:$C$1000),"")</f>
        <v>Equity - Small Cap</v>
      </c>
      <c r="D3144" s="8" t="str">
        <f>IFERROR(INDEX('nav master'!$C:$C, MATCH(B3144, 'nav master'!$B:$B, 0)), "")</f>
        <v>ULIF 071 22/05/23 SCF 110</v>
      </c>
      <c r="E3144" s="8">
        <v>20.910900000000002</v>
      </c>
      <c r="F3144" s="9">
        <v>46211</v>
      </c>
    </row>
    <row r="3145" spans="1:6" ht="60" x14ac:dyDescent="0.25">
      <c r="A3145" s="8" t="s">
        <v>63</v>
      </c>
      <c r="B3145" s="8" t="s">
        <v>73</v>
      </c>
      <c r="C3145" s="8" t="str">
        <f>IFERROR(_xlfn.XLOOKUP(TRIM(B3145),Lookup!$B$2:$B$1000,Lookup!$C$2:$C$1000),"")</f>
        <v>Equity - Small Cap</v>
      </c>
      <c r="D3145" s="8" t="str">
        <f>IFERROR(INDEX('nav master'!$C:$C, MATCH(B3145, 'nav master'!$B:$B, 0)), "")</f>
        <v>ULIF 071 22/05/23 SCF 110</v>
      </c>
      <c r="E3145" s="8">
        <v>21.302700000000002</v>
      </c>
      <c r="F3145" s="9">
        <v>46212</v>
      </c>
    </row>
    <row r="3146" spans="1:6" ht="60" x14ac:dyDescent="0.25">
      <c r="A3146" s="8" t="s">
        <v>63</v>
      </c>
      <c r="B3146" s="8" t="s">
        <v>73</v>
      </c>
      <c r="C3146" s="8" t="str">
        <f>IFERROR(_xlfn.XLOOKUP(TRIM(B3146),Lookup!$B$2:$B$1000,Lookup!$C$2:$C$1000),"")</f>
        <v>Equity - Small Cap</v>
      </c>
      <c r="D3146" s="8" t="str">
        <f>IFERROR(INDEX('nav master'!$C:$C, MATCH(B3146, 'nav master'!$B:$B, 0)), "")</f>
        <v>ULIF 071 22/05/23 SCF 110</v>
      </c>
      <c r="E3146" s="8">
        <v>21.522600000000001</v>
      </c>
      <c r="F3146" s="9">
        <v>46213</v>
      </c>
    </row>
    <row r="3147" spans="1:6" ht="60" x14ac:dyDescent="0.25">
      <c r="A3147" s="8" t="s">
        <v>63</v>
      </c>
      <c r="B3147" s="8" t="s">
        <v>73</v>
      </c>
      <c r="C3147" s="8" t="str">
        <f>IFERROR(_xlfn.XLOOKUP(TRIM(B3147),Lookup!$B$2:$B$1000,Lookup!$C$2:$C$1000),"")</f>
        <v>Equity - Small Cap</v>
      </c>
      <c r="D3147" s="8" t="str">
        <f>IFERROR(INDEX('nav master'!$C:$C, MATCH(B3147, 'nav master'!$B:$B, 0)), "")</f>
        <v>ULIF 071 22/05/23 SCF 110</v>
      </c>
      <c r="E3147" s="8">
        <v>21.5914</v>
      </c>
      <c r="F3147" s="9">
        <v>46216</v>
      </c>
    </row>
    <row r="3148" spans="1:6" ht="60" x14ac:dyDescent="0.25">
      <c r="A3148" s="8" t="s">
        <v>63</v>
      </c>
      <c r="B3148" s="8" t="s">
        <v>73</v>
      </c>
      <c r="C3148" s="8" t="str">
        <f>IFERROR(_xlfn.XLOOKUP(TRIM(B3148),Lookup!$B$2:$B$1000,Lookup!$C$2:$C$1000),"")</f>
        <v>Equity - Small Cap</v>
      </c>
      <c r="D3148" s="8" t="str">
        <f>IFERROR(INDEX('nav master'!$C:$C, MATCH(B3148, 'nav master'!$B:$B, 0)), "")</f>
        <v>ULIF 071 22/05/23 SCF 110</v>
      </c>
      <c r="E3148" s="8">
        <v>21.342300000000002</v>
      </c>
      <c r="F3148" s="9">
        <v>46217</v>
      </c>
    </row>
    <row r="3149" spans="1:6" ht="60" x14ac:dyDescent="0.25">
      <c r="A3149" s="8" t="s">
        <v>63</v>
      </c>
      <c r="B3149" s="8" t="s">
        <v>73</v>
      </c>
      <c r="C3149" s="8" t="str">
        <f>IFERROR(_xlfn.XLOOKUP(TRIM(B3149),Lookup!$B$2:$B$1000,Lookup!$C$2:$C$1000),"")</f>
        <v>Equity - Small Cap</v>
      </c>
      <c r="D3149" s="8" t="str">
        <f>IFERROR(INDEX('nav master'!$C:$C, MATCH(B3149, 'nav master'!$B:$B, 0)), "")</f>
        <v>ULIF 071 22/05/23 SCF 110</v>
      </c>
      <c r="E3149" s="8">
        <v>21.393699999999999</v>
      </c>
      <c r="F3149" s="9">
        <v>46218</v>
      </c>
    </row>
    <row r="3150" spans="1:6" ht="60" x14ac:dyDescent="0.25">
      <c r="A3150" s="8" t="s">
        <v>63</v>
      </c>
      <c r="B3150" s="8" t="s">
        <v>73</v>
      </c>
      <c r="C3150" s="8" t="str">
        <f>IFERROR(_xlfn.XLOOKUP(TRIM(B3150),Lookup!$B$2:$B$1000,Lookup!$C$2:$C$1000),"")</f>
        <v>Equity - Small Cap</v>
      </c>
      <c r="D3150" s="8" t="str">
        <f>IFERROR(INDEX('nav master'!$C:$C, MATCH(B3150, 'nav master'!$B:$B, 0)), "")</f>
        <v>ULIF 071 22/05/23 SCF 110</v>
      </c>
      <c r="E3150" s="8">
        <v>21.462599999999998</v>
      </c>
      <c r="F3150" s="9">
        <v>46219</v>
      </c>
    </row>
    <row r="3151" spans="1:6" ht="60" x14ac:dyDescent="0.25">
      <c r="A3151" s="8" t="s">
        <v>63</v>
      </c>
      <c r="B3151" s="8" t="s">
        <v>73</v>
      </c>
      <c r="C3151" s="8" t="str">
        <f>IFERROR(_xlfn.XLOOKUP(TRIM(B3151),Lookup!$B$2:$B$1000,Lookup!$C$2:$C$1000),"")</f>
        <v>Equity - Small Cap</v>
      </c>
      <c r="D3151" s="8" t="str">
        <f>IFERROR(INDEX('nav master'!$C:$C, MATCH(B3151, 'nav master'!$B:$B, 0)), "")</f>
        <v>ULIF 071 22/05/23 SCF 110</v>
      </c>
      <c r="E3151" s="8">
        <v>21.363600000000002</v>
      </c>
      <c r="F3151" s="9">
        <v>46220</v>
      </c>
    </row>
    <row r="3152" spans="1:6" ht="60" x14ac:dyDescent="0.25">
      <c r="A3152" s="8" t="s">
        <v>63</v>
      </c>
      <c r="B3152" s="8" t="s">
        <v>73</v>
      </c>
      <c r="C3152" s="8" t="str">
        <f>IFERROR(_xlfn.XLOOKUP(TRIM(B3152),Lookup!$B$2:$B$1000,Lookup!$C$2:$C$1000),"")</f>
        <v>Equity - Small Cap</v>
      </c>
      <c r="D3152" s="8" t="str">
        <f>IFERROR(INDEX('nav master'!$C:$C, MATCH(B3152, 'nav master'!$B:$B, 0)), "")</f>
        <v>ULIF 071 22/05/23 SCF 110</v>
      </c>
      <c r="E3152" s="8">
        <v>21.446999999999999</v>
      </c>
      <c r="F3152" s="9">
        <v>46223</v>
      </c>
    </row>
    <row r="3153" spans="1:6" ht="60" x14ac:dyDescent="0.25">
      <c r="A3153" s="8" t="s">
        <v>63</v>
      </c>
      <c r="B3153" s="8" t="s">
        <v>73</v>
      </c>
      <c r="C3153" s="8" t="str">
        <f>IFERROR(_xlfn.XLOOKUP(TRIM(B3153),Lookup!$B$2:$B$1000,Lookup!$C$2:$C$1000),"")</f>
        <v>Equity - Small Cap</v>
      </c>
      <c r="D3153" s="8" t="str">
        <f>IFERROR(INDEX('nav master'!$C:$C, MATCH(B3153, 'nav master'!$B:$B, 0)), "")</f>
        <v>ULIF 071 22/05/23 SCF 110</v>
      </c>
      <c r="E3153" s="8">
        <v>21.6403</v>
      </c>
      <c r="F3153" s="9">
        <v>46224</v>
      </c>
    </row>
    <row r="3154" spans="1:6" ht="60" x14ac:dyDescent="0.25">
      <c r="A3154" s="8" t="s">
        <v>63</v>
      </c>
      <c r="B3154" s="8" t="s">
        <v>73</v>
      </c>
      <c r="C3154" s="8" t="str">
        <f>IFERROR(_xlfn.XLOOKUP(TRIM(B3154),Lookup!$B$2:$B$1000,Lookup!$C$2:$C$1000),"")</f>
        <v>Equity - Small Cap</v>
      </c>
      <c r="D3154" s="8" t="str">
        <f>IFERROR(INDEX('nav master'!$C:$C, MATCH(B3154, 'nav master'!$B:$B, 0)), "")</f>
        <v>ULIF 071 22/05/23 SCF 110</v>
      </c>
      <c r="E3154" s="8">
        <v>21.3748</v>
      </c>
      <c r="F3154" s="9">
        <v>46225</v>
      </c>
    </row>
    <row r="3155" spans="1:6" ht="60" x14ac:dyDescent="0.25">
      <c r="A3155" s="8" t="s">
        <v>63</v>
      </c>
      <c r="B3155" s="8" t="s">
        <v>73</v>
      </c>
      <c r="C3155" s="8" t="str">
        <f>IFERROR(_xlfn.XLOOKUP(TRIM(B3155),Lookup!$B$2:$B$1000,Lookup!$C$2:$C$1000),"")</f>
        <v>Equity - Small Cap</v>
      </c>
      <c r="D3155" s="8" t="str">
        <f>IFERROR(INDEX('nav master'!$C:$C, MATCH(B3155, 'nav master'!$B:$B, 0)), "")</f>
        <v>ULIF 071 22/05/23 SCF 110</v>
      </c>
      <c r="E3155" s="8">
        <v>21.1587</v>
      </c>
      <c r="F3155" s="9">
        <v>46226</v>
      </c>
    </row>
    <row r="3156" spans="1:6" ht="60" x14ac:dyDescent="0.25">
      <c r="A3156" s="8" t="s">
        <v>63</v>
      </c>
      <c r="B3156" s="8" t="s">
        <v>73</v>
      </c>
      <c r="C3156" s="8" t="str">
        <f>IFERROR(_xlfn.XLOOKUP(TRIM(B3156),Lookup!$B$2:$B$1000,Lookup!$C$2:$C$1000),"")</f>
        <v>Equity - Small Cap</v>
      </c>
      <c r="D3156" s="8" t="str">
        <f>IFERROR(INDEX('nav master'!$C:$C, MATCH(B3156, 'nav master'!$B:$B, 0)), "")</f>
        <v>ULIF 071 22/05/23 SCF 110</v>
      </c>
      <c r="E3156" s="8">
        <v>21.075199999999999</v>
      </c>
      <c r="F3156" s="9">
        <v>46227</v>
      </c>
    </row>
    <row r="3157" spans="1:6" ht="60" x14ac:dyDescent="0.25">
      <c r="A3157" s="8" t="s">
        <v>63</v>
      </c>
      <c r="B3157" s="8" t="s">
        <v>73</v>
      </c>
      <c r="C3157" s="8" t="str">
        <f>IFERROR(_xlfn.XLOOKUP(TRIM(B3157),Lookup!$B$2:$B$1000,Lookup!$C$2:$C$1000),"")</f>
        <v>Equity - Small Cap</v>
      </c>
      <c r="D3157" s="8" t="str">
        <f>IFERROR(INDEX('nav master'!$C:$C, MATCH(B3157, 'nav master'!$B:$B, 0)), "")</f>
        <v>ULIF 071 22/05/23 SCF 110</v>
      </c>
      <c r="E3157" s="8">
        <v>21.345199999999998</v>
      </c>
      <c r="F3157" s="9">
        <v>46230</v>
      </c>
    </row>
    <row r="3158" spans="1:6" ht="60" x14ac:dyDescent="0.25">
      <c r="A3158" s="8" t="s">
        <v>63</v>
      </c>
      <c r="B3158" s="8" t="s">
        <v>73</v>
      </c>
      <c r="C3158" s="8" t="str">
        <f>IFERROR(_xlfn.XLOOKUP(TRIM(B3158),Lookup!$B$2:$B$1000,Lookup!$C$2:$C$1000),"")</f>
        <v>Equity - Small Cap</v>
      </c>
      <c r="D3158" s="8" t="str">
        <f>IFERROR(INDEX('nav master'!$C:$C, MATCH(B3158, 'nav master'!$B:$B, 0)), "")</f>
        <v>ULIF 071 22/05/23 SCF 110</v>
      </c>
      <c r="E3158" s="8">
        <v>21.339099999999998</v>
      </c>
      <c r="F3158" s="9">
        <v>46231</v>
      </c>
    </row>
    <row r="3159" spans="1:6" ht="60" x14ac:dyDescent="0.25">
      <c r="A3159" s="8" t="s">
        <v>63</v>
      </c>
      <c r="B3159" s="8" t="s">
        <v>73</v>
      </c>
      <c r="C3159" s="8" t="str">
        <f>IFERROR(_xlfn.XLOOKUP(TRIM(B3159),Lookup!$B$2:$B$1000,Lookup!$C$2:$C$1000),"")</f>
        <v>Equity - Small Cap</v>
      </c>
      <c r="D3159" s="8" t="str">
        <f>IFERROR(INDEX('nav master'!$C:$C, MATCH(B3159, 'nav master'!$B:$B, 0)), "")</f>
        <v>ULIF 071 22/05/23 SCF 110</v>
      </c>
      <c r="E3159" s="8">
        <v>21.558900000000001</v>
      </c>
      <c r="F3159" s="9">
        <v>46232</v>
      </c>
    </row>
    <row r="3160" spans="1:6" ht="60" x14ac:dyDescent="0.25">
      <c r="A3160" s="8" t="s">
        <v>63</v>
      </c>
      <c r="B3160" s="8" t="s">
        <v>73</v>
      </c>
      <c r="C3160" s="8" t="str">
        <f>IFERROR(_xlfn.XLOOKUP(TRIM(B3160),Lookup!$B$2:$B$1000,Lookup!$C$2:$C$1000),"")</f>
        <v>Equity - Small Cap</v>
      </c>
      <c r="D3160" s="8" t="str">
        <f>IFERROR(INDEX('nav master'!$C:$C, MATCH(B3160, 'nav master'!$B:$B, 0)), "")</f>
        <v>ULIF 071 22/05/23 SCF 110</v>
      </c>
      <c r="E3160" s="8">
        <v>21.4604</v>
      </c>
      <c r="F3160" s="9">
        <v>46233</v>
      </c>
    </row>
    <row r="3161" spans="1:6" ht="60" x14ac:dyDescent="0.25">
      <c r="A3161" s="8" t="s">
        <v>63</v>
      </c>
      <c r="B3161" s="8" t="s">
        <v>73</v>
      </c>
      <c r="C3161" s="8" t="str">
        <f>IFERROR(_xlfn.XLOOKUP(TRIM(B3161),Lookup!$B$2:$B$1000,Lookup!$C$2:$C$1000),"")</f>
        <v>Equity - Small Cap</v>
      </c>
      <c r="D3161" s="8" t="str">
        <f>IFERROR(INDEX('nav master'!$C:$C, MATCH(B3161, 'nav master'!$B:$B, 0)), "")</f>
        <v>ULIF 071 22/05/23 SCF 110</v>
      </c>
      <c r="E3161" s="8">
        <v>21.611599999999999</v>
      </c>
      <c r="F3161" s="9">
        <v>46234</v>
      </c>
    </row>
    <row r="3162" spans="1:6" ht="60" x14ac:dyDescent="0.25">
      <c r="A3162" s="8" t="s">
        <v>63</v>
      </c>
      <c r="B3162" s="8" t="s">
        <v>74</v>
      </c>
      <c r="C3162" s="8" t="str">
        <f>IFERROR(_xlfn.XLOOKUP(TRIM(B3162),Lookup!$B$2:$B$1000,Lookup!$C$2:$C$1000),"")</f>
        <v>Equity - Ethical/Exclusionary</v>
      </c>
      <c r="D3162" s="8" t="str">
        <f>IFERROR(INDEX('nav master'!$C:$C, MATCH(B3162, 'nav master'!$B:$B, 0)), "")</f>
        <v>ULIF 035 16/10/09 TSS 110</v>
      </c>
      <c r="E3162" s="8">
        <v>79.825900000000004</v>
      </c>
      <c r="F3162" s="9">
        <v>45869</v>
      </c>
    </row>
    <row r="3163" spans="1:6" ht="60" x14ac:dyDescent="0.25">
      <c r="A3163" s="8" t="s">
        <v>63</v>
      </c>
      <c r="B3163" s="8" t="s">
        <v>74</v>
      </c>
      <c r="C3163" s="8" t="str">
        <f>IFERROR(_xlfn.XLOOKUP(TRIM(B3163),Lookup!$B$2:$B$1000,Lookup!$C$2:$C$1000),"")</f>
        <v>Equity - Ethical/Exclusionary</v>
      </c>
      <c r="D3163" s="8" t="str">
        <f>IFERROR(INDEX('nav master'!$C:$C, MATCH(B3163, 'nav master'!$B:$B, 0)), "")</f>
        <v>ULIF 035 16/10/09 TSS 110</v>
      </c>
      <c r="E3163" s="8">
        <v>79.028599999999997</v>
      </c>
      <c r="F3163" s="9">
        <v>45870</v>
      </c>
    </row>
    <row r="3164" spans="1:6" ht="60" x14ac:dyDescent="0.25">
      <c r="A3164" s="8" t="s">
        <v>63</v>
      </c>
      <c r="B3164" s="8" t="s">
        <v>74</v>
      </c>
      <c r="C3164" s="8" t="str">
        <f>IFERROR(_xlfn.XLOOKUP(TRIM(B3164),Lookup!$B$2:$B$1000,Lookup!$C$2:$C$1000),"")</f>
        <v>Equity - Ethical/Exclusionary</v>
      </c>
      <c r="D3164" s="8" t="str">
        <f>IFERROR(INDEX('nav master'!$C:$C, MATCH(B3164, 'nav master'!$B:$B, 0)), "")</f>
        <v>ULIF 035 16/10/09 TSS 110</v>
      </c>
      <c r="E3164" s="8">
        <v>79.652299999999997</v>
      </c>
      <c r="F3164" s="9">
        <v>45873</v>
      </c>
    </row>
    <row r="3165" spans="1:6" ht="60" x14ac:dyDescent="0.25">
      <c r="A3165" s="8" t="s">
        <v>63</v>
      </c>
      <c r="B3165" s="8" t="s">
        <v>74</v>
      </c>
      <c r="C3165" s="8" t="str">
        <f>IFERROR(_xlfn.XLOOKUP(TRIM(B3165),Lookup!$B$2:$B$1000,Lookup!$C$2:$C$1000),"")</f>
        <v>Equity - Ethical/Exclusionary</v>
      </c>
      <c r="D3165" s="8" t="str">
        <f>IFERROR(INDEX('nav master'!$C:$C, MATCH(B3165, 'nav master'!$B:$B, 0)), "")</f>
        <v>ULIF 035 16/10/09 TSS 110</v>
      </c>
      <c r="E3165" s="8">
        <v>79.5077</v>
      </c>
      <c r="F3165" s="9">
        <v>45874</v>
      </c>
    </row>
    <row r="3166" spans="1:6" ht="60" x14ac:dyDescent="0.25">
      <c r="A3166" s="8" t="s">
        <v>63</v>
      </c>
      <c r="B3166" s="8" t="s">
        <v>74</v>
      </c>
      <c r="C3166" s="8" t="str">
        <f>IFERROR(_xlfn.XLOOKUP(TRIM(B3166),Lookup!$B$2:$B$1000,Lookup!$C$2:$C$1000),"")</f>
        <v>Equity - Ethical/Exclusionary</v>
      </c>
      <c r="D3166" s="8" t="str">
        <f>IFERROR(INDEX('nav master'!$C:$C, MATCH(B3166, 'nav master'!$B:$B, 0)), "")</f>
        <v>ULIF 035 16/10/09 TSS 110</v>
      </c>
      <c r="E3166" s="8">
        <v>78.695400000000006</v>
      </c>
      <c r="F3166" s="9">
        <v>45875</v>
      </c>
    </row>
    <row r="3167" spans="1:6" ht="60" x14ac:dyDescent="0.25">
      <c r="A3167" s="8" t="s">
        <v>63</v>
      </c>
      <c r="B3167" s="8" t="s">
        <v>74</v>
      </c>
      <c r="C3167" s="8" t="str">
        <f>IFERROR(_xlfn.XLOOKUP(TRIM(B3167),Lookup!$B$2:$B$1000,Lookup!$C$2:$C$1000),"")</f>
        <v>Equity - Ethical/Exclusionary</v>
      </c>
      <c r="D3167" s="8" t="str">
        <f>IFERROR(INDEX('nav master'!$C:$C, MATCH(B3167, 'nav master'!$B:$B, 0)), "")</f>
        <v>ULIF 035 16/10/09 TSS 110</v>
      </c>
      <c r="E3167" s="8">
        <v>78.950699999999998</v>
      </c>
      <c r="F3167" s="9">
        <v>45876</v>
      </c>
    </row>
    <row r="3168" spans="1:6" ht="60" x14ac:dyDescent="0.25">
      <c r="A3168" s="8" t="s">
        <v>63</v>
      </c>
      <c r="B3168" s="8" t="s">
        <v>74</v>
      </c>
      <c r="C3168" s="8" t="str">
        <f>IFERROR(_xlfn.XLOOKUP(TRIM(B3168),Lookup!$B$2:$B$1000,Lookup!$C$2:$C$1000),"")</f>
        <v>Equity - Ethical/Exclusionary</v>
      </c>
      <c r="D3168" s="8" t="str">
        <f>IFERROR(INDEX('nav master'!$C:$C, MATCH(B3168, 'nav master'!$B:$B, 0)), "")</f>
        <v>ULIF 035 16/10/09 TSS 110</v>
      </c>
      <c r="E3168" s="8">
        <v>78.100700000000003</v>
      </c>
      <c r="F3168" s="9">
        <v>45877</v>
      </c>
    </row>
    <row r="3169" spans="1:6" ht="60" x14ac:dyDescent="0.25">
      <c r="A3169" s="8" t="s">
        <v>63</v>
      </c>
      <c r="B3169" s="8" t="s">
        <v>74</v>
      </c>
      <c r="C3169" s="8" t="str">
        <f>IFERROR(_xlfn.XLOOKUP(TRIM(B3169),Lookup!$B$2:$B$1000,Lookup!$C$2:$C$1000),"")</f>
        <v>Equity - Ethical/Exclusionary</v>
      </c>
      <c r="D3169" s="8" t="str">
        <f>IFERROR(INDEX('nav master'!$C:$C, MATCH(B3169, 'nav master'!$B:$B, 0)), "")</f>
        <v>ULIF 035 16/10/09 TSS 110</v>
      </c>
      <c r="E3169" s="8">
        <v>78.569400000000002</v>
      </c>
      <c r="F3169" s="9">
        <v>45880</v>
      </c>
    </row>
    <row r="3170" spans="1:6" ht="60" x14ac:dyDescent="0.25">
      <c r="A3170" s="8" t="s">
        <v>63</v>
      </c>
      <c r="B3170" s="8" t="s">
        <v>74</v>
      </c>
      <c r="C3170" s="8" t="str">
        <f>IFERROR(_xlfn.XLOOKUP(TRIM(B3170),Lookup!$B$2:$B$1000,Lookup!$C$2:$C$1000),"")</f>
        <v>Equity - Ethical/Exclusionary</v>
      </c>
      <c r="D3170" s="8" t="str">
        <f>IFERROR(INDEX('nav master'!$C:$C, MATCH(B3170, 'nav master'!$B:$B, 0)), "")</f>
        <v>ULIF 035 16/10/09 TSS 110</v>
      </c>
      <c r="E3170" s="8">
        <v>78.474299999999999</v>
      </c>
      <c r="F3170" s="9">
        <v>45881</v>
      </c>
    </row>
    <row r="3171" spans="1:6" ht="60" x14ac:dyDescent="0.25">
      <c r="A3171" s="8" t="s">
        <v>63</v>
      </c>
      <c r="B3171" s="8" t="s">
        <v>74</v>
      </c>
      <c r="C3171" s="8" t="str">
        <f>IFERROR(_xlfn.XLOOKUP(TRIM(B3171),Lookup!$B$2:$B$1000,Lookup!$C$2:$C$1000),"")</f>
        <v>Equity - Ethical/Exclusionary</v>
      </c>
      <c r="D3171" s="8" t="str">
        <f>IFERROR(INDEX('nav master'!$C:$C, MATCH(B3171, 'nav master'!$B:$B, 0)), "")</f>
        <v>ULIF 035 16/10/09 TSS 110</v>
      </c>
      <c r="E3171" s="8">
        <v>78.970200000000006</v>
      </c>
      <c r="F3171" s="9">
        <v>45882</v>
      </c>
    </row>
    <row r="3172" spans="1:6" ht="60" x14ac:dyDescent="0.25">
      <c r="A3172" s="8" t="s">
        <v>63</v>
      </c>
      <c r="B3172" s="8" t="s">
        <v>74</v>
      </c>
      <c r="C3172" s="8" t="str">
        <f>IFERROR(_xlfn.XLOOKUP(TRIM(B3172),Lookup!$B$2:$B$1000,Lookup!$C$2:$C$1000),"")</f>
        <v>Equity - Ethical/Exclusionary</v>
      </c>
      <c r="D3172" s="8" t="str">
        <f>IFERROR(INDEX('nav master'!$C:$C, MATCH(B3172, 'nav master'!$B:$B, 0)), "")</f>
        <v>ULIF 035 16/10/09 TSS 110</v>
      </c>
      <c r="E3172" s="8">
        <v>78.981300000000005</v>
      </c>
      <c r="F3172" s="9">
        <v>45883</v>
      </c>
    </row>
    <row r="3173" spans="1:6" ht="60" x14ac:dyDescent="0.25">
      <c r="A3173" s="8" t="s">
        <v>63</v>
      </c>
      <c r="B3173" s="8" t="s">
        <v>74</v>
      </c>
      <c r="C3173" s="8" t="str">
        <f>IFERROR(_xlfn.XLOOKUP(TRIM(B3173),Lookup!$B$2:$B$1000,Lookup!$C$2:$C$1000),"")</f>
        <v>Equity - Ethical/Exclusionary</v>
      </c>
      <c r="D3173" s="8" t="str">
        <f>IFERROR(INDEX('nav master'!$C:$C, MATCH(B3173, 'nav master'!$B:$B, 0)), "")</f>
        <v>ULIF 035 16/10/09 TSS 110</v>
      </c>
      <c r="E3173" s="8">
        <v>80.081000000000003</v>
      </c>
      <c r="F3173" s="9">
        <v>45887</v>
      </c>
    </row>
    <row r="3174" spans="1:6" ht="60" x14ac:dyDescent="0.25">
      <c r="A3174" s="8" t="s">
        <v>63</v>
      </c>
      <c r="B3174" s="8" t="s">
        <v>74</v>
      </c>
      <c r="C3174" s="8" t="str">
        <f>IFERROR(_xlfn.XLOOKUP(TRIM(B3174),Lookup!$B$2:$B$1000,Lookup!$C$2:$C$1000),"")</f>
        <v>Equity - Ethical/Exclusionary</v>
      </c>
      <c r="D3174" s="8" t="str">
        <f>IFERROR(INDEX('nav master'!$C:$C, MATCH(B3174, 'nav master'!$B:$B, 0)), "")</f>
        <v>ULIF 035 16/10/09 TSS 110</v>
      </c>
      <c r="E3174" s="8">
        <v>80.708799999999997</v>
      </c>
      <c r="F3174" s="9">
        <v>45888</v>
      </c>
    </row>
    <row r="3175" spans="1:6" ht="60" x14ac:dyDescent="0.25">
      <c r="A3175" s="8" t="s">
        <v>63</v>
      </c>
      <c r="B3175" s="8" t="s">
        <v>74</v>
      </c>
      <c r="C3175" s="8" t="str">
        <f>IFERROR(_xlfn.XLOOKUP(TRIM(B3175),Lookup!$B$2:$B$1000,Lookup!$C$2:$C$1000),"")</f>
        <v>Equity - Ethical/Exclusionary</v>
      </c>
      <c r="D3175" s="8" t="str">
        <f>IFERROR(INDEX('nav master'!$C:$C, MATCH(B3175, 'nav master'!$B:$B, 0)), "")</f>
        <v>ULIF 035 16/10/09 TSS 110</v>
      </c>
      <c r="E3175" s="8">
        <v>81.126000000000005</v>
      </c>
      <c r="F3175" s="9">
        <v>45889</v>
      </c>
    </row>
    <row r="3176" spans="1:6" ht="60" x14ac:dyDescent="0.25">
      <c r="A3176" s="8" t="s">
        <v>63</v>
      </c>
      <c r="B3176" s="8" t="s">
        <v>74</v>
      </c>
      <c r="C3176" s="8" t="str">
        <f>IFERROR(_xlfn.XLOOKUP(TRIM(B3176),Lookup!$B$2:$B$1000,Lookup!$C$2:$C$1000),"")</f>
        <v>Equity - Ethical/Exclusionary</v>
      </c>
      <c r="D3176" s="8" t="str">
        <f>IFERROR(INDEX('nav master'!$C:$C, MATCH(B3176, 'nav master'!$B:$B, 0)), "")</f>
        <v>ULIF 035 16/10/09 TSS 110</v>
      </c>
      <c r="E3176" s="8">
        <v>81.171000000000006</v>
      </c>
      <c r="F3176" s="9">
        <v>45890</v>
      </c>
    </row>
    <row r="3177" spans="1:6" ht="60" x14ac:dyDescent="0.25">
      <c r="A3177" s="8" t="s">
        <v>63</v>
      </c>
      <c r="B3177" s="8" t="s">
        <v>74</v>
      </c>
      <c r="C3177" s="8" t="str">
        <f>IFERROR(_xlfn.XLOOKUP(TRIM(B3177),Lookup!$B$2:$B$1000,Lookup!$C$2:$C$1000),"")</f>
        <v>Equity - Ethical/Exclusionary</v>
      </c>
      <c r="D3177" s="8" t="str">
        <f>IFERROR(INDEX('nav master'!$C:$C, MATCH(B3177, 'nav master'!$B:$B, 0)), "")</f>
        <v>ULIF 035 16/10/09 TSS 110</v>
      </c>
      <c r="E3177" s="8">
        <v>80.952600000000004</v>
      </c>
      <c r="F3177" s="9">
        <v>45891</v>
      </c>
    </row>
    <row r="3178" spans="1:6" ht="60" x14ac:dyDescent="0.25">
      <c r="A3178" s="8" t="s">
        <v>63</v>
      </c>
      <c r="B3178" s="8" t="s">
        <v>74</v>
      </c>
      <c r="C3178" s="8" t="str">
        <f>IFERROR(_xlfn.XLOOKUP(TRIM(B3178),Lookup!$B$2:$B$1000,Lookup!$C$2:$C$1000),"")</f>
        <v>Equity - Ethical/Exclusionary</v>
      </c>
      <c r="D3178" s="8" t="str">
        <f>IFERROR(INDEX('nav master'!$C:$C, MATCH(B3178, 'nav master'!$B:$B, 0)), "")</f>
        <v>ULIF 035 16/10/09 TSS 110</v>
      </c>
      <c r="E3178" s="8">
        <v>81.4602</v>
      </c>
      <c r="F3178" s="9">
        <v>45894</v>
      </c>
    </row>
    <row r="3179" spans="1:6" ht="60" x14ac:dyDescent="0.25">
      <c r="A3179" s="8" t="s">
        <v>63</v>
      </c>
      <c r="B3179" s="8" t="s">
        <v>74</v>
      </c>
      <c r="C3179" s="8" t="str">
        <f>IFERROR(_xlfn.XLOOKUP(TRIM(B3179),Lookup!$B$2:$B$1000,Lookup!$C$2:$C$1000),"")</f>
        <v>Equity - Ethical/Exclusionary</v>
      </c>
      <c r="D3179" s="8" t="str">
        <f>IFERROR(INDEX('nav master'!$C:$C, MATCH(B3179, 'nav master'!$B:$B, 0)), "")</f>
        <v>ULIF 035 16/10/09 TSS 110</v>
      </c>
      <c r="E3179" s="8">
        <v>80.606700000000004</v>
      </c>
      <c r="F3179" s="9">
        <v>45895</v>
      </c>
    </row>
    <row r="3180" spans="1:6" ht="60" x14ac:dyDescent="0.25">
      <c r="A3180" s="8" t="s">
        <v>63</v>
      </c>
      <c r="B3180" s="8" t="s">
        <v>74</v>
      </c>
      <c r="C3180" s="8" t="str">
        <f>IFERROR(_xlfn.XLOOKUP(TRIM(B3180),Lookup!$B$2:$B$1000,Lookup!$C$2:$C$1000),"")</f>
        <v>Equity - Ethical/Exclusionary</v>
      </c>
      <c r="D3180" s="8" t="str">
        <f>IFERROR(INDEX('nav master'!$C:$C, MATCH(B3180, 'nav master'!$B:$B, 0)), "")</f>
        <v>ULIF 035 16/10/09 TSS 110</v>
      </c>
      <c r="E3180" s="8">
        <v>79.897999999999996</v>
      </c>
      <c r="F3180" s="9">
        <v>45897</v>
      </c>
    </row>
    <row r="3181" spans="1:6" ht="60" x14ac:dyDescent="0.25">
      <c r="A3181" s="8" t="s">
        <v>63</v>
      </c>
      <c r="B3181" s="8" t="s">
        <v>74</v>
      </c>
      <c r="C3181" s="8" t="str">
        <f>IFERROR(_xlfn.XLOOKUP(TRIM(B3181),Lookup!$B$2:$B$1000,Lookup!$C$2:$C$1000),"")</f>
        <v>Equity - Ethical/Exclusionary</v>
      </c>
      <c r="D3181" s="8" t="str">
        <f>IFERROR(INDEX('nav master'!$C:$C, MATCH(B3181, 'nav master'!$B:$B, 0)), "")</f>
        <v>ULIF 035 16/10/09 TSS 110</v>
      </c>
      <c r="E3181" s="8">
        <v>79.722899999999996</v>
      </c>
      <c r="F3181" s="9">
        <v>45898</v>
      </c>
    </row>
    <row r="3182" spans="1:6" ht="60" x14ac:dyDescent="0.25">
      <c r="A3182" s="8" t="s">
        <v>63</v>
      </c>
      <c r="B3182" s="8" t="s">
        <v>74</v>
      </c>
      <c r="C3182" s="8" t="str">
        <f>IFERROR(_xlfn.XLOOKUP(TRIM(B3182),Lookup!$B$2:$B$1000,Lookup!$C$2:$C$1000),"")</f>
        <v>Equity - Ethical/Exclusionary</v>
      </c>
      <c r="D3182" s="8" t="str">
        <f>IFERROR(INDEX('nav master'!$C:$C, MATCH(B3182, 'nav master'!$B:$B, 0)), "")</f>
        <v>ULIF 035 16/10/09 TSS 110</v>
      </c>
      <c r="E3182" s="8">
        <v>80.975899999999996</v>
      </c>
      <c r="F3182" s="9">
        <v>45901</v>
      </c>
    </row>
    <row r="3183" spans="1:6" ht="60" x14ac:dyDescent="0.25">
      <c r="A3183" s="8" t="s">
        <v>63</v>
      </c>
      <c r="B3183" s="8" t="s">
        <v>74</v>
      </c>
      <c r="C3183" s="8" t="str">
        <f>IFERROR(_xlfn.XLOOKUP(TRIM(B3183),Lookup!$B$2:$B$1000,Lookup!$C$2:$C$1000),"")</f>
        <v>Equity - Ethical/Exclusionary</v>
      </c>
      <c r="D3183" s="8" t="str">
        <f>IFERROR(INDEX('nav master'!$C:$C, MATCH(B3183, 'nav master'!$B:$B, 0)), "")</f>
        <v>ULIF 035 16/10/09 TSS 110</v>
      </c>
      <c r="E3183" s="8">
        <v>81.188400000000001</v>
      </c>
      <c r="F3183" s="9">
        <v>45902</v>
      </c>
    </row>
    <row r="3184" spans="1:6" ht="60" x14ac:dyDescent="0.25">
      <c r="A3184" s="8" t="s">
        <v>63</v>
      </c>
      <c r="B3184" s="8" t="s">
        <v>74</v>
      </c>
      <c r="C3184" s="8" t="str">
        <f>IFERROR(_xlfn.XLOOKUP(TRIM(B3184),Lookup!$B$2:$B$1000,Lookup!$C$2:$C$1000),"")</f>
        <v>Equity - Ethical/Exclusionary</v>
      </c>
      <c r="D3184" s="8" t="str">
        <f>IFERROR(INDEX('nav master'!$C:$C, MATCH(B3184, 'nav master'!$B:$B, 0)), "")</f>
        <v>ULIF 035 16/10/09 TSS 110</v>
      </c>
      <c r="E3184" s="8">
        <v>81.772800000000004</v>
      </c>
      <c r="F3184" s="9">
        <v>45903</v>
      </c>
    </row>
    <row r="3185" spans="1:6" ht="60" x14ac:dyDescent="0.25">
      <c r="A3185" s="8" t="s">
        <v>63</v>
      </c>
      <c r="B3185" s="8" t="s">
        <v>74</v>
      </c>
      <c r="C3185" s="8" t="str">
        <f>IFERROR(_xlfn.XLOOKUP(TRIM(B3185),Lookup!$B$2:$B$1000,Lookup!$C$2:$C$1000),"")</f>
        <v>Equity - Ethical/Exclusionary</v>
      </c>
      <c r="D3185" s="8" t="str">
        <f>IFERROR(INDEX('nav master'!$C:$C, MATCH(B3185, 'nav master'!$B:$B, 0)), "")</f>
        <v>ULIF 035 16/10/09 TSS 110</v>
      </c>
      <c r="E3185" s="8">
        <v>81.482200000000006</v>
      </c>
      <c r="F3185" s="9">
        <v>45904</v>
      </c>
    </row>
    <row r="3186" spans="1:6" ht="60" x14ac:dyDescent="0.25">
      <c r="A3186" s="8" t="s">
        <v>63</v>
      </c>
      <c r="B3186" s="8" t="s">
        <v>74</v>
      </c>
      <c r="C3186" s="8" t="str">
        <f>IFERROR(_xlfn.XLOOKUP(TRIM(B3186),Lookup!$B$2:$B$1000,Lookup!$C$2:$C$1000),"")</f>
        <v>Equity - Ethical/Exclusionary</v>
      </c>
      <c r="D3186" s="8" t="str">
        <f>IFERROR(INDEX('nav master'!$C:$C, MATCH(B3186, 'nav master'!$B:$B, 0)), "")</f>
        <v>ULIF 035 16/10/09 TSS 110</v>
      </c>
      <c r="E3186" s="8">
        <v>81.118700000000004</v>
      </c>
      <c r="F3186" s="9">
        <v>45905</v>
      </c>
    </row>
    <row r="3187" spans="1:6" ht="60" x14ac:dyDescent="0.25">
      <c r="A3187" s="8" t="s">
        <v>63</v>
      </c>
      <c r="B3187" s="8" t="s">
        <v>74</v>
      </c>
      <c r="C3187" s="8" t="str">
        <f>IFERROR(_xlfn.XLOOKUP(TRIM(B3187),Lookup!$B$2:$B$1000,Lookup!$C$2:$C$1000),"")</f>
        <v>Equity - Ethical/Exclusionary</v>
      </c>
      <c r="D3187" s="8" t="str">
        <f>IFERROR(INDEX('nav master'!$C:$C, MATCH(B3187, 'nav master'!$B:$B, 0)), "")</f>
        <v>ULIF 035 16/10/09 TSS 110</v>
      </c>
      <c r="E3187" s="8">
        <v>81.3416</v>
      </c>
      <c r="F3187" s="9">
        <v>45908</v>
      </c>
    </row>
    <row r="3188" spans="1:6" ht="60" x14ac:dyDescent="0.25">
      <c r="A3188" s="8" t="s">
        <v>63</v>
      </c>
      <c r="B3188" s="8" t="s">
        <v>74</v>
      </c>
      <c r="C3188" s="8" t="str">
        <f>IFERROR(_xlfn.XLOOKUP(TRIM(B3188),Lookup!$B$2:$B$1000,Lookup!$C$2:$C$1000),"")</f>
        <v>Equity - Ethical/Exclusionary</v>
      </c>
      <c r="D3188" s="8" t="str">
        <f>IFERROR(INDEX('nav master'!$C:$C, MATCH(B3188, 'nav master'!$B:$B, 0)), "")</f>
        <v>ULIF 035 16/10/09 TSS 110</v>
      </c>
      <c r="E3188" s="8">
        <v>81.632900000000006</v>
      </c>
      <c r="F3188" s="9">
        <v>45909</v>
      </c>
    </row>
    <row r="3189" spans="1:6" ht="60" x14ac:dyDescent="0.25">
      <c r="A3189" s="8" t="s">
        <v>63</v>
      </c>
      <c r="B3189" s="8" t="s">
        <v>74</v>
      </c>
      <c r="C3189" s="8" t="str">
        <f>IFERROR(_xlfn.XLOOKUP(TRIM(B3189),Lookup!$B$2:$B$1000,Lookup!$C$2:$C$1000),"")</f>
        <v>Equity - Ethical/Exclusionary</v>
      </c>
      <c r="D3189" s="8" t="str">
        <f>IFERROR(INDEX('nav master'!$C:$C, MATCH(B3189, 'nav master'!$B:$B, 0)), "")</f>
        <v>ULIF 035 16/10/09 TSS 110</v>
      </c>
      <c r="E3189" s="8">
        <v>82.165400000000005</v>
      </c>
      <c r="F3189" s="9">
        <v>45910</v>
      </c>
    </row>
    <row r="3190" spans="1:6" ht="60" x14ac:dyDescent="0.25">
      <c r="A3190" s="8" t="s">
        <v>63</v>
      </c>
      <c r="B3190" s="8" t="s">
        <v>74</v>
      </c>
      <c r="C3190" s="8" t="str">
        <f>IFERROR(_xlfn.XLOOKUP(TRIM(B3190),Lookup!$B$2:$B$1000,Lookup!$C$2:$C$1000),"")</f>
        <v>Equity - Ethical/Exclusionary</v>
      </c>
      <c r="D3190" s="8" t="str">
        <f>IFERROR(INDEX('nav master'!$C:$C, MATCH(B3190, 'nav master'!$B:$B, 0)), "")</f>
        <v>ULIF 035 16/10/09 TSS 110</v>
      </c>
      <c r="E3190" s="8">
        <v>82.090900000000005</v>
      </c>
      <c r="F3190" s="9">
        <v>45911</v>
      </c>
    </row>
    <row r="3191" spans="1:6" ht="60" x14ac:dyDescent="0.25">
      <c r="A3191" s="8" t="s">
        <v>63</v>
      </c>
      <c r="B3191" s="8" t="s">
        <v>74</v>
      </c>
      <c r="C3191" s="8" t="str">
        <f>IFERROR(_xlfn.XLOOKUP(TRIM(B3191),Lookup!$B$2:$B$1000,Lookup!$C$2:$C$1000),"")</f>
        <v>Equity - Ethical/Exclusionary</v>
      </c>
      <c r="D3191" s="8" t="str">
        <f>IFERROR(INDEX('nav master'!$C:$C, MATCH(B3191, 'nav master'!$B:$B, 0)), "")</f>
        <v>ULIF 035 16/10/09 TSS 110</v>
      </c>
      <c r="E3191" s="8">
        <v>81.951499999999996</v>
      </c>
      <c r="F3191" s="9">
        <v>45912</v>
      </c>
    </row>
    <row r="3192" spans="1:6" ht="60" x14ac:dyDescent="0.25">
      <c r="A3192" s="8" t="s">
        <v>63</v>
      </c>
      <c r="B3192" s="8" t="s">
        <v>74</v>
      </c>
      <c r="C3192" s="8" t="str">
        <f>IFERROR(_xlfn.XLOOKUP(TRIM(B3192),Lookup!$B$2:$B$1000,Lookup!$C$2:$C$1000),"")</f>
        <v>Equity - Ethical/Exclusionary</v>
      </c>
      <c r="D3192" s="8" t="str">
        <f>IFERROR(INDEX('nav master'!$C:$C, MATCH(B3192, 'nav master'!$B:$B, 0)), "")</f>
        <v>ULIF 035 16/10/09 TSS 110</v>
      </c>
      <c r="E3192" s="8">
        <v>82.146299999999997</v>
      </c>
      <c r="F3192" s="9">
        <v>45915</v>
      </c>
    </row>
    <row r="3193" spans="1:6" ht="60" x14ac:dyDescent="0.25">
      <c r="A3193" s="8" t="s">
        <v>63</v>
      </c>
      <c r="B3193" s="8" t="s">
        <v>74</v>
      </c>
      <c r="C3193" s="8" t="str">
        <f>IFERROR(_xlfn.XLOOKUP(TRIM(B3193),Lookup!$B$2:$B$1000,Lookup!$C$2:$C$1000),"")</f>
        <v>Equity - Ethical/Exclusionary</v>
      </c>
      <c r="D3193" s="8" t="str">
        <f>IFERROR(INDEX('nav master'!$C:$C, MATCH(B3193, 'nav master'!$B:$B, 0)), "")</f>
        <v>ULIF 035 16/10/09 TSS 110</v>
      </c>
      <c r="E3193" s="8">
        <v>82.611099999999993</v>
      </c>
      <c r="F3193" s="9">
        <v>45916</v>
      </c>
    </row>
    <row r="3194" spans="1:6" ht="60" x14ac:dyDescent="0.25">
      <c r="A3194" s="8" t="s">
        <v>63</v>
      </c>
      <c r="B3194" s="8" t="s">
        <v>74</v>
      </c>
      <c r="C3194" s="8" t="str">
        <f>IFERROR(_xlfn.XLOOKUP(TRIM(B3194),Lookup!$B$2:$B$1000,Lookup!$C$2:$C$1000),"")</f>
        <v>Equity - Ethical/Exclusionary</v>
      </c>
      <c r="D3194" s="8" t="str">
        <f>IFERROR(INDEX('nav master'!$C:$C, MATCH(B3194, 'nav master'!$B:$B, 0)), "")</f>
        <v>ULIF 035 16/10/09 TSS 110</v>
      </c>
      <c r="E3194" s="8">
        <v>82.703999999999994</v>
      </c>
      <c r="F3194" s="9">
        <v>45917</v>
      </c>
    </row>
    <row r="3195" spans="1:6" ht="60" x14ac:dyDescent="0.25">
      <c r="A3195" s="8" t="s">
        <v>63</v>
      </c>
      <c r="B3195" s="8" t="s">
        <v>74</v>
      </c>
      <c r="C3195" s="8" t="str">
        <f>IFERROR(_xlfn.XLOOKUP(TRIM(B3195),Lookup!$B$2:$B$1000,Lookup!$C$2:$C$1000),"")</f>
        <v>Equity - Ethical/Exclusionary</v>
      </c>
      <c r="D3195" s="8" t="str">
        <f>IFERROR(INDEX('nav master'!$C:$C, MATCH(B3195, 'nav master'!$B:$B, 0)), "")</f>
        <v>ULIF 035 16/10/09 TSS 110</v>
      </c>
      <c r="E3195" s="8">
        <v>82.820599999999999</v>
      </c>
      <c r="F3195" s="9">
        <v>45918</v>
      </c>
    </row>
    <row r="3196" spans="1:6" ht="60" x14ac:dyDescent="0.25">
      <c r="A3196" s="8" t="s">
        <v>63</v>
      </c>
      <c r="B3196" s="8" t="s">
        <v>74</v>
      </c>
      <c r="C3196" s="8" t="str">
        <f>IFERROR(_xlfn.XLOOKUP(TRIM(B3196),Lookup!$B$2:$B$1000,Lookup!$C$2:$C$1000),"")</f>
        <v>Equity - Ethical/Exclusionary</v>
      </c>
      <c r="D3196" s="8" t="str">
        <f>IFERROR(INDEX('nav master'!$C:$C, MATCH(B3196, 'nav master'!$B:$B, 0)), "")</f>
        <v>ULIF 035 16/10/09 TSS 110</v>
      </c>
      <c r="E3196" s="8">
        <v>82.598299999999995</v>
      </c>
      <c r="F3196" s="9">
        <v>45919</v>
      </c>
    </row>
    <row r="3197" spans="1:6" ht="60" x14ac:dyDescent="0.25">
      <c r="A3197" s="8" t="s">
        <v>63</v>
      </c>
      <c r="B3197" s="8" t="s">
        <v>74</v>
      </c>
      <c r="C3197" s="8" t="str">
        <f>IFERROR(_xlfn.XLOOKUP(TRIM(B3197),Lookup!$B$2:$B$1000,Lookup!$C$2:$C$1000),"")</f>
        <v>Equity - Ethical/Exclusionary</v>
      </c>
      <c r="D3197" s="8" t="str">
        <f>IFERROR(INDEX('nav master'!$C:$C, MATCH(B3197, 'nav master'!$B:$B, 0)), "")</f>
        <v>ULIF 035 16/10/09 TSS 110</v>
      </c>
      <c r="E3197" s="8">
        <v>82.032200000000003</v>
      </c>
      <c r="F3197" s="9">
        <v>45922</v>
      </c>
    </row>
    <row r="3198" spans="1:6" ht="60" x14ac:dyDescent="0.25">
      <c r="A3198" s="8" t="s">
        <v>63</v>
      </c>
      <c r="B3198" s="8" t="s">
        <v>74</v>
      </c>
      <c r="C3198" s="8" t="str">
        <f>IFERROR(_xlfn.XLOOKUP(TRIM(B3198),Lookup!$B$2:$B$1000,Lookup!$C$2:$C$1000),"")</f>
        <v>Equity - Ethical/Exclusionary</v>
      </c>
      <c r="D3198" s="8" t="str">
        <f>IFERROR(INDEX('nav master'!$C:$C, MATCH(B3198, 'nav master'!$B:$B, 0)), "")</f>
        <v>ULIF 035 16/10/09 TSS 110</v>
      </c>
      <c r="E3198" s="8">
        <v>81.638499999999993</v>
      </c>
      <c r="F3198" s="9">
        <v>45923</v>
      </c>
    </row>
    <row r="3199" spans="1:6" ht="60" x14ac:dyDescent="0.25">
      <c r="A3199" s="8" t="s">
        <v>63</v>
      </c>
      <c r="B3199" s="8" t="s">
        <v>74</v>
      </c>
      <c r="C3199" s="8" t="str">
        <f>IFERROR(_xlfn.XLOOKUP(TRIM(B3199),Lookup!$B$2:$B$1000,Lookup!$C$2:$C$1000),"")</f>
        <v>Equity - Ethical/Exclusionary</v>
      </c>
      <c r="D3199" s="8" t="str">
        <f>IFERROR(INDEX('nav master'!$C:$C, MATCH(B3199, 'nav master'!$B:$B, 0)), "")</f>
        <v>ULIF 035 16/10/09 TSS 110</v>
      </c>
      <c r="E3199" s="8">
        <v>81.238500000000002</v>
      </c>
      <c r="F3199" s="9">
        <v>45924</v>
      </c>
    </row>
    <row r="3200" spans="1:6" ht="60" x14ac:dyDescent="0.25">
      <c r="A3200" s="8" t="s">
        <v>63</v>
      </c>
      <c r="B3200" s="8" t="s">
        <v>74</v>
      </c>
      <c r="C3200" s="8" t="str">
        <f>IFERROR(_xlfn.XLOOKUP(TRIM(B3200),Lookup!$B$2:$B$1000,Lookup!$C$2:$C$1000),"")</f>
        <v>Equity - Ethical/Exclusionary</v>
      </c>
      <c r="D3200" s="8" t="str">
        <f>IFERROR(INDEX('nav master'!$C:$C, MATCH(B3200, 'nav master'!$B:$B, 0)), "")</f>
        <v>ULIF 035 16/10/09 TSS 110</v>
      </c>
      <c r="E3200" s="8">
        <v>80.731999999999999</v>
      </c>
      <c r="F3200" s="9">
        <v>45925</v>
      </c>
    </row>
    <row r="3201" spans="1:6" ht="60" x14ac:dyDescent="0.25">
      <c r="A3201" s="8" t="s">
        <v>63</v>
      </c>
      <c r="B3201" s="8" t="s">
        <v>74</v>
      </c>
      <c r="C3201" s="8" t="str">
        <f>IFERROR(_xlfn.XLOOKUP(TRIM(B3201),Lookup!$B$2:$B$1000,Lookup!$C$2:$C$1000),"")</f>
        <v>Equity - Ethical/Exclusionary</v>
      </c>
      <c r="D3201" s="8" t="str">
        <f>IFERROR(INDEX('nav master'!$C:$C, MATCH(B3201, 'nav master'!$B:$B, 0)), "")</f>
        <v>ULIF 035 16/10/09 TSS 110</v>
      </c>
      <c r="E3201" s="8">
        <v>79.378299999999996</v>
      </c>
      <c r="F3201" s="9">
        <v>45926</v>
      </c>
    </row>
    <row r="3202" spans="1:6" ht="60" x14ac:dyDescent="0.25">
      <c r="A3202" s="8" t="s">
        <v>63</v>
      </c>
      <c r="B3202" s="8" t="s">
        <v>74</v>
      </c>
      <c r="C3202" s="8" t="str">
        <f>IFERROR(_xlfn.XLOOKUP(TRIM(B3202),Lookup!$B$2:$B$1000,Lookup!$C$2:$C$1000),"")</f>
        <v>Equity - Ethical/Exclusionary</v>
      </c>
      <c r="D3202" s="8" t="str">
        <f>IFERROR(INDEX('nav master'!$C:$C, MATCH(B3202, 'nav master'!$B:$B, 0)), "")</f>
        <v>ULIF 035 16/10/09 TSS 110</v>
      </c>
      <c r="E3202" s="8">
        <v>79.180800000000005</v>
      </c>
      <c r="F3202" s="9">
        <v>45929</v>
      </c>
    </row>
    <row r="3203" spans="1:6" ht="60" x14ac:dyDescent="0.25">
      <c r="A3203" s="8" t="s">
        <v>63</v>
      </c>
      <c r="B3203" s="8" t="s">
        <v>74</v>
      </c>
      <c r="C3203" s="8" t="str">
        <f>IFERROR(_xlfn.XLOOKUP(TRIM(B3203),Lookup!$B$2:$B$1000,Lookup!$C$2:$C$1000),"")</f>
        <v>Equity - Ethical/Exclusionary</v>
      </c>
      <c r="D3203" s="8" t="str">
        <f>IFERROR(INDEX('nav master'!$C:$C, MATCH(B3203, 'nav master'!$B:$B, 0)), "")</f>
        <v>ULIF 035 16/10/09 TSS 110</v>
      </c>
      <c r="E3203" s="8">
        <v>79.231999999999999</v>
      </c>
      <c r="F3203" s="9">
        <v>45930</v>
      </c>
    </row>
    <row r="3204" spans="1:6" ht="60" x14ac:dyDescent="0.25">
      <c r="A3204" s="8" t="s">
        <v>63</v>
      </c>
      <c r="B3204" s="8" t="s">
        <v>74</v>
      </c>
      <c r="C3204" s="8" t="str">
        <f>IFERROR(_xlfn.XLOOKUP(TRIM(B3204),Lookup!$B$2:$B$1000,Lookup!$C$2:$C$1000),"")</f>
        <v>Equity - Ethical/Exclusionary</v>
      </c>
      <c r="D3204" s="8" t="str">
        <f>IFERROR(INDEX('nav master'!$C:$C, MATCH(B3204, 'nav master'!$B:$B, 0)), "")</f>
        <v>ULIF 035 16/10/09 TSS 110</v>
      </c>
      <c r="E3204" s="8">
        <v>79.655600000000007</v>
      </c>
      <c r="F3204" s="9">
        <v>45931</v>
      </c>
    </row>
    <row r="3205" spans="1:6" ht="60" x14ac:dyDescent="0.25">
      <c r="A3205" s="8" t="s">
        <v>63</v>
      </c>
      <c r="B3205" s="8" t="s">
        <v>74</v>
      </c>
      <c r="C3205" s="8" t="str">
        <f>IFERROR(_xlfn.XLOOKUP(TRIM(B3205),Lookup!$B$2:$B$1000,Lookup!$C$2:$C$1000),"")</f>
        <v>Equity - Ethical/Exclusionary</v>
      </c>
      <c r="D3205" s="8" t="str">
        <f>IFERROR(INDEX('nav master'!$C:$C, MATCH(B3205, 'nav master'!$B:$B, 0)), "")</f>
        <v>ULIF 035 16/10/09 TSS 110</v>
      </c>
      <c r="E3205" s="8">
        <v>80.100700000000003</v>
      </c>
      <c r="F3205" s="9">
        <v>45933</v>
      </c>
    </row>
    <row r="3206" spans="1:6" ht="60" x14ac:dyDescent="0.25">
      <c r="A3206" s="8" t="s">
        <v>63</v>
      </c>
      <c r="B3206" s="8" t="s">
        <v>74</v>
      </c>
      <c r="C3206" s="8" t="str">
        <f>IFERROR(_xlfn.XLOOKUP(TRIM(B3206),Lookup!$B$2:$B$1000,Lookup!$C$2:$C$1000),"")</f>
        <v>Equity - Ethical/Exclusionary</v>
      </c>
      <c r="D3206" s="8" t="str">
        <f>IFERROR(INDEX('nav master'!$C:$C, MATCH(B3206, 'nav master'!$B:$B, 0)), "")</f>
        <v>ULIF 035 16/10/09 TSS 110</v>
      </c>
      <c r="E3206" s="8">
        <v>80.309200000000004</v>
      </c>
      <c r="F3206" s="9">
        <v>45936</v>
      </c>
    </row>
    <row r="3207" spans="1:6" ht="60" x14ac:dyDescent="0.25">
      <c r="A3207" s="8" t="s">
        <v>63</v>
      </c>
      <c r="B3207" s="8" t="s">
        <v>74</v>
      </c>
      <c r="C3207" s="8" t="str">
        <f>IFERROR(_xlfn.XLOOKUP(TRIM(B3207),Lookup!$B$2:$B$1000,Lookup!$C$2:$C$1000),"")</f>
        <v>Equity - Ethical/Exclusionary</v>
      </c>
      <c r="D3207" s="8" t="str">
        <f>IFERROR(INDEX('nav master'!$C:$C, MATCH(B3207, 'nav master'!$B:$B, 0)), "")</f>
        <v>ULIF 035 16/10/09 TSS 110</v>
      </c>
      <c r="E3207" s="8">
        <v>80.34</v>
      </c>
      <c r="F3207" s="9">
        <v>45937</v>
      </c>
    </row>
    <row r="3208" spans="1:6" ht="60" x14ac:dyDescent="0.25">
      <c r="A3208" s="8" t="s">
        <v>63</v>
      </c>
      <c r="B3208" s="8" t="s">
        <v>74</v>
      </c>
      <c r="C3208" s="8" t="str">
        <f>IFERROR(_xlfn.XLOOKUP(TRIM(B3208),Lookup!$B$2:$B$1000,Lookup!$C$2:$C$1000),"")</f>
        <v>Equity - Ethical/Exclusionary</v>
      </c>
      <c r="D3208" s="8" t="str">
        <f>IFERROR(INDEX('nav master'!$C:$C, MATCH(B3208, 'nav master'!$B:$B, 0)), "")</f>
        <v>ULIF 035 16/10/09 TSS 110</v>
      </c>
      <c r="E3208" s="8">
        <v>79.847300000000004</v>
      </c>
      <c r="F3208" s="9">
        <v>45938</v>
      </c>
    </row>
    <row r="3209" spans="1:6" ht="60" x14ac:dyDescent="0.25">
      <c r="A3209" s="8" t="s">
        <v>63</v>
      </c>
      <c r="B3209" s="8" t="s">
        <v>74</v>
      </c>
      <c r="C3209" s="8" t="str">
        <f>IFERROR(_xlfn.XLOOKUP(TRIM(B3209),Lookup!$B$2:$B$1000,Lookup!$C$2:$C$1000),"")</f>
        <v>Equity - Ethical/Exclusionary</v>
      </c>
      <c r="D3209" s="8" t="str">
        <f>IFERROR(INDEX('nav master'!$C:$C, MATCH(B3209, 'nav master'!$B:$B, 0)), "")</f>
        <v>ULIF 035 16/10/09 TSS 110</v>
      </c>
      <c r="E3209" s="8">
        <v>80.158299999999997</v>
      </c>
      <c r="F3209" s="9">
        <v>45939</v>
      </c>
    </row>
    <row r="3210" spans="1:6" ht="60" x14ac:dyDescent="0.25">
      <c r="A3210" s="8" t="s">
        <v>63</v>
      </c>
      <c r="B3210" s="8" t="s">
        <v>74</v>
      </c>
      <c r="C3210" s="8" t="str">
        <f>IFERROR(_xlfn.XLOOKUP(TRIM(B3210),Lookup!$B$2:$B$1000,Lookup!$C$2:$C$1000),"")</f>
        <v>Equity - Ethical/Exclusionary</v>
      </c>
      <c r="D3210" s="8" t="str">
        <f>IFERROR(INDEX('nav master'!$C:$C, MATCH(B3210, 'nav master'!$B:$B, 0)), "")</f>
        <v>ULIF 035 16/10/09 TSS 110</v>
      </c>
      <c r="E3210" s="8">
        <v>80.513800000000003</v>
      </c>
      <c r="F3210" s="9">
        <v>45940</v>
      </c>
    </row>
    <row r="3211" spans="1:6" ht="60" x14ac:dyDescent="0.25">
      <c r="A3211" s="8" t="s">
        <v>63</v>
      </c>
      <c r="B3211" s="8" t="s">
        <v>74</v>
      </c>
      <c r="C3211" s="8" t="str">
        <f>IFERROR(_xlfn.XLOOKUP(TRIM(B3211),Lookup!$B$2:$B$1000,Lookup!$C$2:$C$1000),"")</f>
        <v>Equity - Ethical/Exclusionary</v>
      </c>
      <c r="D3211" s="8" t="str">
        <f>IFERROR(INDEX('nav master'!$C:$C, MATCH(B3211, 'nav master'!$B:$B, 0)), "")</f>
        <v>ULIF 035 16/10/09 TSS 110</v>
      </c>
      <c r="E3211" s="8">
        <v>79.996700000000004</v>
      </c>
      <c r="F3211" s="9">
        <v>45943</v>
      </c>
    </row>
    <row r="3212" spans="1:6" ht="60" x14ac:dyDescent="0.25">
      <c r="A3212" s="8" t="s">
        <v>63</v>
      </c>
      <c r="B3212" s="8" t="s">
        <v>74</v>
      </c>
      <c r="C3212" s="8" t="str">
        <f>IFERROR(_xlfn.XLOOKUP(TRIM(B3212),Lookup!$B$2:$B$1000,Lookup!$C$2:$C$1000),"")</f>
        <v>Equity - Ethical/Exclusionary</v>
      </c>
      <c r="D3212" s="8" t="str">
        <f>IFERROR(INDEX('nav master'!$C:$C, MATCH(B3212, 'nav master'!$B:$B, 0)), "")</f>
        <v>ULIF 035 16/10/09 TSS 110</v>
      </c>
      <c r="E3212" s="8">
        <v>79.412300000000002</v>
      </c>
      <c r="F3212" s="9">
        <v>45944</v>
      </c>
    </row>
    <row r="3213" spans="1:6" ht="60" x14ac:dyDescent="0.25">
      <c r="A3213" s="8" t="s">
        <v>63</v>
      </c>
      <c r="B3213" s="8" t="s">
        <v>74</v>
      </c>
      <c r="C3213" s="8" t="str">
        <f>IFERROR(_xlfn.XLOOKUP(TRIM(B3213),Lookup!$B$2:$B$1000,Lookup!$C$2:$C$1000),"")</f>
        <v>Equity - Ethical/Exclusionary</v>
      </c>
      <c r="D3213" s="8" t="str">
        <f>IFERROR(INDEX('nav master'!$C:$C, MATCH(B3213, 'nav master'!$B:$B, 0)), "")</f>
        <v>ULIF 035 16/10/09 TSS 110</v>
      </c>
      <c r="E3213" s="8">
        <v>79.887799999999999</v>
      </c>
      <c r="F3213" s="9">
        <v>45945</v>
      </c>
    </row>
    <row r="3214" spans="1:6" ht="60" x14ac:dyDescent="0.25">
      <c r="A3214" s="8" t="s">
        <v>63</v>
      </c>
      <c r="B3214" s="8" t="s">
        <v>74</v>
      </c>
      <c r="C3214" s="8" t="str">
        <f>IFERROR(_xlfn.XLOOKUP(TRIM(B3214),Lookup!$B$2:$B$1000,Lookup!$C$2:$C$1000),"")</f>
        <v>Equity - Ethical/Exclusionary</v>
      </c>
      <c r="D3214" s="8" t="str">
        <f>IFERROR(INDEX('nav master'!$C:$C, MATCH(B3214, 'nav master'!$B:$B, 0)), "")</f>
        <v>ULIF 035 16/10/09 TSS 110</v>
      </c>
      <c r="E3214" s="8">
        <v>80.580299999999994</v>
      </c>
      <c r="F3214" s="9">
        <v>45946</v>
      </c>
    </row>
    <row r="3215" spans="1:6" ht="60" x14ac:dyDescent="0.25">
      <c r="A3215" s="8" t="s">
        <v>63</v>
      </c>
      <c r="B3215" s="8" t="s">
        <v>74</v>
      </c>
      <c r="C3215" s="8" t="str">
        <f>IFERROR(_xlfn.XLOOKUP(TRIM(B3215),Lookup!$B$2:$B$1000,Lookup!$C$2:$C$1000),"")</f>
        <v>Equity - Ethical/Exclusionary</v>
      </c>
      <c r="D3215" s="8" t="str">
        <f>IFERROR(INDEX('nav master'!$C:$C, MATCH(B3215, 'nav master'!$B:$B, 0)), "")</f>
        <v>ULIF 035 16/10/09 TSS 110</v>
      </c>
      <c r="E3215" s="8">
        <v>80.362399999999994</v>
      </c>
      <c r="F3215" s="9">
        <v>45947</v>
      </c>
    </row>
    <row r="3216" spans="1:6" ht="60" x14ac:dyDescent="0.25">
      <c r="A3216" s="8" t="s">
        <v>63</v>
      </c>
      <c r="B3216" s="8" t="s">
        <v>74</v>
      </c>
      <c r="C3216" s="8" t="str">
        <f>IFERROR(_xlfn.XLOOKUP(TRIM(B3216),Lookup!$B$2:$B$1000,Lookup!$C$2:$C$1000),"")</f>
        <v>Equity - Ethical/Exclusionary</v>
      </c>
      <c r="D3216" s="8" t="str">
        <f>IFERROR(INDEX('nav master'!$C:$C, MATCH(B3216, 'nav master'!$B:$B, 0)), "")</f>
        <v>ULIF 035 16/10/09 TSS 110</v>
      </c>
      <c r="E3216" s="8">
        <v>80.686800000000005</v>
      </c>
      <c r="F3216" s="9">
        <v>45950</v>
      </c>
    </row>
    <row r="3217" spans="1:6" ht="60" x14ac:dyDescent="0.25">
      <c r="A3217" s="8" t="s">
        <v>63</v>
      </c>
      <c r="B3217" s="8" t="s">
        <v>74</v>
      </c>
      <c r="C3217" s="8" t="str">
        <f>IFERROR(_xlfn.XLOOKUP(TRIM(B3217),Lookup!$B$2:$B$1000,Lookup!$C$2:$C$1000),"")</f>
        <v>Equity - Ethical/Exclusionary</v>
      </c>
      <c r="D3217" s="8" t="str">
        <f>IFERROR(INDEX('nav master'!$C:$C, MATCH(B3217, 'nav master'!$B:$B, 0)), "")</f>
        <v>ULIF 035 16/10/09 TSS 110</v>
      </c>
      <c r="E3217" s="8">
        <v>81.029799999999994</v>
      </c>
      <c r="F3217" s="9">
        <v>45953</v>
      </c>
    </row>
    <row r="3218" spans="1:6" ht="60" x14ac:dyDescent="0.25">
      <c r="A3218" s="8" t="s">
        <v>63</v>
      </c>
      <c r="B3218" s="8" t="s">
        <v>74</v>
      </c>
      <c r="C3218" s="8" t="str">
        <f>IFERROR(_xlfn.XLOOKUP(TRIM(B3218),Lookup!$B$2:$B$1000,Lookup!$C$2:$C$1000),"")</f>
        <v>Equity - Ethical/Exclusionary</v>
      </c>
      <c r="D3218" s="8" t="str">
        <f>IFERROR(INDEX('nav master'!$C:$C, MATCH(B3218, 'nav master'!$B:$B, 0)), "")</f>
        <v>ULIF 035 16/10/09 TSS 110</v>
      </c>
      <c r="E3218" s="8">
        <v>80.6267</v>
      </c>
      <c r="F3218" s="9">
        <v>45954</v>
      </c>
    </row>
    <row r="3219" spans="1:6" ht="60" x14ac:dyDescent="0.25">
      <c r="A3219" s="8" t="s">
        <v>63</v>
      </c>
      <c r="B3219" s="8" t="s">
        <v>74</v>
      </c>
      <c r="C3219" s="8" t="str">
        <f>IFERROR(_xlfn.XLOOKUP(TRIM(B3219),Lookup!$B$2:$B$1000,Lookup!$C$2:$C$1000),"")</f>
        <v>Equity - Ethical/Exclusionary</v>
      </c>
      <c r="D3219" s="8" t="str">
        <f>IFERROR(INDEX('nav master'!$C:$C, MATCH(B3219, 'nav master'!$B:$B, 0)), "")</f>
        <v>ULIF 035 16/10/09 TSS 110</v>
      </c>
      <c r="E3219" s="8">
        <v>81.158500000000004</v>
      </c>
      <c r="F3219" s="9">
        <v>45957</v>
      </c>
    </row>
    <row r="3220" spans="1:6" ht="60" x14ac:dyDescent="0.25">
      <c r="A3220" s="8" t="s">
        <v>63</v>
      </c>
      <c r="B3220" s="8" t="s">
        <v>74</v>
      </c>
      <c r="C3220" s="8" t="str">
        <f>IFERROR(_xlfn.XLOOKUP(TRIM(B3220),Lookup!$B$2:$B$1000,Lookup!$C$2:$C$1000),"")</f>
        <v>Equity - Ethical/Exclusionary</v>
      </c>
      <c r="D3220" s="8" t="str">
        <f>IFERROR(INDEX('nav master'!$C:$C, MATCH(B3220, 'nav master'!$B:$B, 0)), "")</f>
        <v>ULIF 035 16/10/09 TSS 110</v>
      </c>
      <c r="E3220" s="8">
        <v>80.9983</v>
      </c>
      <c r="F3220" s="9">
        <v>45958</v>
      </c>
    </row>
    <row r="3221" spans="1:6" ht="60" x14ac:dyDescent="0.25">
      <c r="A3221" s="8" t="s">
        <v>63</v>
      </c>
      <c r="B3221" s="8" t="s">
        <v>74</v>
      </c>
      <c r="C3221" s="8" t="str">
        <f>IFERROR(_xlfn.XLOOKUP(TRIM(B3221),Lookup!$B$2:$B$1000,Lookup!$C$2:$C$1000),"")</f>
        <v>Equity - Ethical/Exclusionary</v>
      </c>
      <c r="D3221" s="8" t="str">
        <f>IFERROR(INDEX('nav master'!$C:$C, MATCH(B3221, 'nav master'!$B:$B, 0)), "")</f>
        <v>ULIF 035 16/10/09 TSS 110</v>
      </c>
      <c r="E3221" s="8">
        <v>81.500200000000007</v>
      </c>
      <c r="F3221" s="9">
        <v>45959</v>
      </c>
    </row>
    <row r="3222" spans="1:6" ht="60" x14ac:dyDescent="0.25">
      <c r="A3222" s="8" t="s">
        <v>63</v>
      </c>
      <c r="B3222" s="8" t="s">
        <v>74</v>
      </c>
      <c r="C3222" s="8" t="str">
        <f>IFERROR(_xlfn.XLOOKUP(TRIM(B3222),Lookup!$B$2:$B$1000,Lookup!$C$2:$C$1000),"")</f>
        <v>Equity - Ethical/Exclusionary</v>
      </c>
      <c r="D3222" s="8" t="str">
        <f>IFERROR(INDEX('nav master'!$C:$C, MATCH(B3222, 'nav master'!$B:$B, 0)), "")</f>
        <v>ULIF 035 16/10/09 TSS 110</v>
      </c>
      <c r="E3222" s="8">
        <v>81.317499999999995</v>
      </c>
      <c r="F3222" s="9">
        <v>45960</v>
      </c>
    </row>
    <row r="3223" spans="1:6" ht="60" x14ac:dyDescent="0.25">
      <c r="A3223" s="8" t="s">
        <v>63</v>
      </c>
      <c r="B3223" s="8" t="s">
        <v>74</v>
      </c>
      <c r="C3223" s="8" t="str">
        <f>IFERROR(_xlfn.XLOOKUP(TRIM(B3223),Lookup!$B$2:$B$1000,Lookup!$C$2:$C$1000),"")</f>
        <v>Equity - Ethical/Exclusionary</v>
      </c>
      <c r="D3223" s="8" t="str">
        <f>IFERROR(INDEX('nav master'!$C:$C, MATCH(B3223, 'nav master'!$B:$B, 0)), "")</f>
        <v>ULIF 035 16/10/09 TSS 110</v>
      </c>
      <c r="E3223" s="8">
        <v>80.646100000000004</v>
      </c>
      <c r="F3223" s="9">
        <v>45961</v>
      </c>
    </row>
    <row r="3224" spans="1:6" ht="60" x14ac:dyDescent="0.25">
      <c r="A3224" s="8" t="s">
        <v>63</v>
      </c>
      <c r="B3224" s="8" t="s">
        <v>74</v>
      </c>
      <c r="C3224" s="8" t="str">
        <f>IFERROR(_xlfn.XLOOKUP(TRIM(B3224),Lookup!$B$2:$B$1000,Lookup!$C$2:$C$1000),"")</f>
        <v>Equity - Ethical/Exclusionary</v>
      </c>
      <c r="D3224" s="8" t="str">
        <f>IFERROR(INDEX('nav master'!$C:$C, MATCH(B3224, 'nav master'!$B:$B, 0)), "")</f>
        <v>ULIF 035 16/10/09 TSS 110</v>
      </c>
      <c r="E3224" s="8">
        <v>81.238799999999998</v>
      </c>
      <c r="F3224" s="9">
        <v>45964</v>
      </c>
    </row>
    <row r="3225" spans="1:6" ht="60" x14ac:dyDescent="0.25">
      <c r="A3225" s="8" t="s">
        <v>63</v>
      </c>
      <c r="B3225" s="8" t="s">
        <v>74</v>
      </c>
      <c r="C3225" s="8" t="str">
        <f>IFERROR(_xlfn.XLOOKUP(TRIM(B3225),Lookup!$B$2:$B$1000,Lookup!$C$2:$C$1000),"")</f>
        <v>Equity - Ethical/Exclusionary</v>
      </c>
      <c r="D3225" s="8" t="str">
        <f>IFERROR(INDEX('nav master'!$C:$C, MATCH(B3225, 'nav master'!$B:$B, 0)), "")</f>
        <v>ULIF 035 16/10/09 TSS 110</v>
      </c>
      <c r="E3225" s="8">
        <v>80.988699999999994</v>
      </c>
      <c r="F3225" s="9">
        <v>45965</v>
      </c>
    </row>
    <row r="3226" spans="1:6" ht="60" x14ac:dyDescent="0.25">
      <c r="A3226" s="8" t="s">
        <v>63</v>
      </c>
      <c r="B3226" s="8" t="s">
        <v>74</v>
      </c>
      <c r="C3226" s="8" t="str">
        <f>IFERROR(_xlfn.XLOOKUP(TRIM(B3226),Lookup!$B$2:$B$1000,Lookup!$C$2:$C$1000),"")</f>
        <v>Equity - Ethical/Exclusionary</v>
      </c>
      <c r="D3226" s="8" t="str">
        <f>IFERROR(INDEX('nav master'!$C:$C, MATCH(B3226, 'nav master'!$B:$B, 0)), "")</f>
        <v>ULIF 035 16/10/09 TSS 110</v>
      </c>
      <c r="E3226" s="8">
        <v>80.176699999999997</v>
      </c>
      <c r="F3226" s="9">
        <v>45967</v>
      </c>
    </row>
    <row r="3227" spans="1:6" ht="60" x14ac:dyDescent="0.25">
      <c r="A3227" s="8" t="s">
        <v>63</v>
      </c>
      <c r="B3227" s="8" t="s">
        <v>74</v>
      </c>
      <c r="C3227" s="8" t="str">
        <f>IFERROR(_xlfn.XLOOKUP(TRIM(B3227),Lookup!$B$2:$B$1000,Lookup!$C$2:$C$1000),"")</f>
        <v>Equity - Ethical/Exclusionary</v>
      </c>
      <c r="D3227" s="8" t="str">
        <f>IFERROR(INDEX('nav master'!$C:$C, MATCH(B3227, 'nav master'!$B:$B, 0)), "")</f>
        <v>ULIF 035 16/10/09 TSS 110</v>
      </c>
      <c r="E3227" s="8">
        <v>79.910700000000006</v>
      </c>
      <c r="F3227" s="9">
        <v>45968</v>
      </c>
    </row>
    <row r="3228" spans="1:6" ht="60" x14ac:dyDescent="0.25">
      <c r="A3228" s="8" t="s">
        <v>63</v>
      </c>
      <c r="B3228" s="8" t="s">
        <v>74</v>
      </c>
      <c r="C3228" s="8" t="str">
        <f>IFERROR(_xlfn.XLOOKUP(TRIM(B3228),Lookup!$B$2:$B$1000,Lookup!$C$2:$C$1000),"")</f>
        <v>Equity - Ethical/Exclusionary</v>
      </c>
      <c r="D3228" s="8" t="str">
        <f>IFERROR(INDEX('nav master'!$C:$C, MATCH(B3228, 'nav master'!$B:$B, 0)), "")</f>
        <v>ULIF 035 16/10/09 TSS 110</v>
      </c>
      <c r="E3228" s="8">
        <v>80.285799999999995</v>
      </c>
      <c r="F3228" s="9">
        <v>45971</v>
      </c>
    </row>
    <row r="3229" spans="1:6" ht="60" x14ac:dyDescent="0.25">
      <c r="A3229" s="8" t="s">
        <v>63</v>
      </c>
      <c r="B3229" s="8" t="s">
        <v>74</v>
      </c>
      <c r="C3229" s="8" t="str">
        <f>IFERROR(_xlfn.XLOOKUP(TRIM(B3229),Lookup!$B$2:$B$1000,Lookup!$C$2:$C$1000),"")</f>
        <v>Equity - Ethical/Exclusionary</v>
      </c>
      <c r="D3229" s="8" t="str">
        <f>IFERROR(INDEX('nav master'!$C:$C, MATCH(B3229, 'nav master'!$B:$B, 0)), "")</f>
        <v>ULIF 035 16/10/09 TSS 110</v>
      </c>
      <c r="E3229" s="8">
        <v>80.607699999999994</v>
      </c>
      <c r="F3229" s="9">
        <v>45972</v>
      </c>
    </row>
    <row r="3230" spans="1:6" ht="60" x14ac:dyDescent="0.25">
      <c r="A3230" s="8" t="s">
        <v>63</v>
      </c>
      <c r="B3230" s="8" t="s">
        <v>74</v>
      </c>
      <c r="C3230" s="8" t="str">
        <f>IFERROR(_xlfn.XLOOKUP(TRIM(B3230),Lookup!$B$2:$B$1000,Lookup!$C$2:$C$1000),"")</f>
        <v>Equity - Ethical/Exclusionary</v>
      </c>
      <c r="D3230" s="8" t="str">
        <f>IFERROR(INDEX('nav master'!$C:$C, MATCH(B3230, 'nav master'!$B:$B, 0)), "")</f>
        <v>ULIF 035 16/10/09 TSS 110</v>
      </c>
      <c r="E3230" s="8">
        <v>81.631200000000007</v>
      </c>
      <c r="F3230" s="9">
        <v>45973</v>
      </c>
    </row>
    <row r="3231" spans="1:6" ht="60" x14ac:dyDescent="0.25">
      <c r="A3231" s="8" t="s">
        <v>63</v>
      </c>
      <c r="B3231" s="8" t="s">
        <v>74</v>
      </c>
      <c r="C3231" s="8" t="str">
        <f>IFERROR(_xlfn.XLOOKUP(TRIM(B3231),Lookup!$B$2:$B$1000,Lookup!$C$2:$C$1000),"")</f>
        <v>Equity - Ethical/Exclusionary</v>
      </c>
      <c r="D3231" s="8" t="str">
        <f>IFERROR(INDEX('nav master'!$C:$C, MATCH(B3231, 'nav master'!$B:$B, 0)), "")</f>
        <v>ULIF 035 16/10/09 TSS 110</v>
      </c>
      <c r="E3231" s="8">
        <v>81.243600000000001</v>
      </c>
      <c r="F3231" s="9">
        <v>45974</v>
      </c>
    </row>
    <row r="3232" spans="1:6" ht="60" x14ac:dyDescent="0.25">
      <c r="A3232" s="8" t="s">
        <v>63</v>
      </c>
      <c r="B3232" s="8" t="s">
        <v>74</v>
      </c>
      <c r="C3232" s="8" t="str">
        <f>IFERROR(_xlfn.XLOOKUP(TRIM(B3232),Lookup!$B$2:$B$1000,Lookup!$C$2:$C$1000),"")</f>
        <v>Equity - Ethical/Exclusionary</v>
      </c>
      <c r="D3232" s="8" t="str">
        <f>IFERROR(INDEX('nav master'!$C:$C, MATCH(B3232, 'nav master'!$B:$B, 0)), "")</f>
        <v>ULIF 035 16/10/09 TSS 110</v>
      </c>
      <c r="E3232" s="8">
        <v>81.111999999999995</v>
      </c>
      <c r="F3232" s="9">
        <v>45975</v>
      </c>
    </row>
    <row r="3233" spans="1:6" ht="60" x14ac:dyDescent="0.25">
      <c r="A3233" s="8" t="s">
        <v>63</v>
      </c>
      <c r="B3233" s="8" t="s">
        <v>74</v>
      </c>
      <c r="C3233" s="8" t="str">
        <f>IFERROR(_xlfn.XLOOKUP(TRIM(B3233),Lookup!$B$2:$B$1000,Lookup!$C$2:$C$1000),"")</f>
        <v>Equity - Ethical/Exclusionary</v>
      </c>
      <c r="D3233" s="8" t="str">
        <f>IFERROR(INDEX('nav master'!$C:$C, MATCH(B3233, 'nav master'!$B:$B, 0)), "")</f>
        <v>ULIF 035 16/10/09 TSS 110</v>
      </c>
      <c r="E3233" s="8">
        <v>81.625299999999996</v>
      </c>
      <c r="F3233" s="9">
        <v>45978</v>
      </c>
    </row>
    <row r="3234" spans="1:6" ht="60" x14ac:dyDescent="0.25">
      <c r="A3234" s="8" t="s">
        <v>63</v>
      </c>
      <c r="B3234" s="8" t="s">
        <v>74</v>
      </c>
      <c r="C3234" s="8" t="str">
        <f>IFERROR(_xlfn.XLOOKUP(TRIM(B3234),Lookup!$B$2:$B$1000,Lookup!$C$2:$C$1000),"")</f>
        <v>Equity - Ethical/Exclusionary</v>
      </c>
      <c r="D3234" s="8" t="str">
        <f>IFERROR(INDEX('nav master'!$C:$C, MATCH(B3234, 'nav master'!$B:$B, 0)), "")</f>
        <v>ULIF 035 16/10/09 TSS 110</v>
      </c>
      <c r="E3234" s="8">
        <v>80.942700000000002</v>
      </c>
      <c r="F3234" s="9">
        <v>45979</v>
      </c>
    </row>
    <row r="3235" spans="1:6" ht="60" x14ac:dyDescent="0.25">
      <c r="A3235" s="8" t="s">
        <v>63</v>
      </c>
      <c r="B3235" s="8" t="s">
        <v>74</v>
      </c>
      <c r="C3235" s="8" t="str">
        <f>IFERROR(_xlfn.XLOOKUP(TRIM(B3235),Lookup!$B$2:$B$1000,Lookup!$C$2:$C$1000),"")</f>
        <v>Equity - Ethical/Exclusionary</v>
      </c>
      <c r="D3235" s="8" t="str">
        <f>IFERROR(INDEX('nav master'!$C:$C, MATCH(B3235, 'nav master'!$B:$B, 0)), "")</f>
        <v>ULIF 035 16/10/09 TSS 110</v>
      </c>
      <c r="E3235" s="8">
        <v>81.076700000000002</v>
      </c>
      <c r="F3235" s="9">
        <v>45980</v>
      </c>
    </row>
    <row r="3236" spans="1:6" ht="60" x14ac:dyDescent="0.25">
      <c r="A3236" s="8" t="s">
        <v>63</v>
      </c>
      <c r="B3236" s="8" t="s">
        <v>74</v>
      </c>
      <c r="C3236" s="8" t="str">
        <f>IFERROR(_xlfn.XLOOKUP(TRIM(B3236),Lookup!$B$2:$B$1000,Lookup!$C$2:$C$1000),"")</f>
        <v>Equity - Ethical/Exclusionary</v>
      </c>
      <c r="D3236" s="8" t="str">
        <f>IFERROR(INDEX('nav master'!$C:$C, MATCH(B3236, 'nav master'!$B:$B, 0)), "")</f>
        <v>ULIF 035 16/10/09 TSS 110</v>
      </c>
      <c r="E3236" s="8">
        <v>81.216800000000006</v>
      </c>
      <c r="F3236" s="9">
        <v>45981</v>
      </c>
    </row>
    <row r="3237" spans="1:6" ht="60" x14ac:dyDescent="0.25">
      <c r="A3237" s="8" t="s">
        <v>63</v>
      </c>
      <c r="B3237" s="8" t="s">
        <v>74</v>
      </c>
      <c r="C3237" s="8" t="str">
        <f>IFERROR(_xlfn.XLOOKUP(TRIM(B3237),Lookup!$B$2:$B$1000,Lookup!$C$2:$C$1000),"")</f>
        <v>Equity - Ethical/Exclusionary</v>
      </c>
      <c r="D3237" s="8" t="str">
        <f>IFERROR(INDEX('nav master'!$C:$C, MATCH(B3237, 'nav master'!$B:$B, 0)), "")</f>
        <v>ULIF 035 16/10/09 TSS 110</v>
      </c>
      <c r="E3237" s="8">
        <v>80.429199999999994</v>
      </c>
      <c r="F3237" s="9">
        <v>45982</v>
      </c>
    </row>
    <row r="3238" spans="1:6" ht="60" x14ac:dyDescent="0.25">
      <c r="A3238" s="8" t="s">
        <v>63</v>
      </c>
      <c r="B3238" s="8" t="s">
        <v>74</v>
      </c>
      <c r="C3238" s="8" t="str">
        <f>IFERROR(_xlfn.XLOOKUP(TRIM(B3238),Lookup!$B$2:$B$1000,Lookup!$C$2:$C$1000),"")</f>
        <v>Equity - Ethical/Exclusionary</v>
      </c>
      <c r="D3238" s="8" t="str">
        <f>IFERROR(INDEX('nav master'!$C:$C, MATCH(B3238, 'nav master'!$B:$B, 0)), "")</f>
        <v>ULIF 035 16/10/09 TSS 110</v>
      </c>
      <c r="E3238" s="8">
        <v>80.290999999999997</v>
      </c>
      <c r="F3238" s="9">
        <v>45985</v>
      </c>
    </row>
    <row r="3239" spans="1:6" ht="60" x14ac:dyDescent="0.25">
      <c r="A3239" s="8" t="s">
        <v>63</v>
      </c>
      <c r="B3239" s="8" t="s">
        <v>74</v>
      </c>
      <c r="C3239" s="8" t="str">
        <f>IFERROR(_xlfn.XLOOKUP(TRIM(B3239),Lookup!$B$2:$B$1000,Lookup!$C$2:$C$1000),"")</f>
        <v>Equity - Ethical/Exclusionary</v>
      </c>
      <c r="D3239" s="8" t="str">
        <f>IFERROR(INDEX('nav master'!$C:$C, MATCH(B3239, 'nav master'!$B:$B, 0)), "")</f>
        <v>ULIF 035 16/10/09 TSS 110</v>
      </c>
      <c r="E3239" s="8">
        <v>80.005099999999999</v>
      </c>
      <c r="F3239" s="9">
        <v>45986</v>
      </c>
    </row>
    <row r="3240" spans="1:6" ht="60" x14ac:dyDescent="0.25">
      <c r="A3240" s="8" t="s">
        <v>63</v>
      </c>
      <c r="B3240" s="8" t="s">
        <v>74</v>
      </c>
      <c r="C3240" s="8" t="str">
        <f>IFERROR(_xlfn.XLOOKUP(TRIM(B3240),Lookup!$B$2:$B$1000,Lookup!$C$2:$C$1000),"")</f>
        <v>Equity - Ethical/Exclusionary</v>
      </c>
      <c r="D3240" s="8" t="str">
        <f>IFERROR(INDEX('nav master'!$C:$C, MATCH(B3240, 'nav master'!$B:$B, 0)), "")</f>
        <v>ULIF 035 16/10/09 TSS 110</v>
      </c>
      <c r="E3240" s="8">
        <v>80.8352</v>
      </c>
      <c r="F3240" s="9">
        <v>45987</v>
      </c>
    </row>
    <row r="3241" spans="1:6" ht="60" x14ac:dyDescent="0.25">
      <c r="A3241" s="8" t="s">
        <v>63</v>
      </c>
      <c r="B3241" s="8" t="s">
        <v>74</v>
      </c>
      <c r="C3241" s="8" t="str">
        <f>IFERROR(_xlfn.XLOOKUP(TRIM(B3241),Lookup!$B$2:$B$1000,Lookup!$C$2:$C$1000),"")</f>
        <v>Equity - Ethical/Exclusionary</v>
      </c>
      <c r="D3241" s="8" t="str">
        <f>IFERROR(INDEX('nav master'!$C:$C, MATCH(B3241, 'nav master'!$B:$B, 0)), "")</f>
        <v>ULIF 035 16/10/09 TSS 110</v>
      </c>
      <c r="E3241" s="8">
        <v>80.730500000000006</v>
      </c>
      <c r="F3241" s="9">
        <v>45988</v>
      </c>
    </row>
    <row r="3242" spans="1:6" ht="60" x14ac:dyDescent="0.25">
      <c r="A3242" s="8" t="s">
        <v>63</v>
      </c>
      <c r="B3242" s="8" t="s">
        <v>74</v>
      </c>
      <c r="C3242" s="8" t="str">
        <f>IFERROR(_xlfn.XLOOKUP(TRIM(B3242),Lookup!$B$2:$B$1000,Lookup!$C$2:$C$1000),"")</f>
        <v>Equity - Ethical/Exclusionary</v>
      </c>
      <c r="D3242" s="8" t="str">
        <f>IFERROR(INDEX('nav master'!$C:$C, MATCH(B3242, 'nav master'!$B:$B, 0)), "")</f>
        <v>ULIF 035 16/10/09 TSS 110</v>
      </c>
      <c r="E3242" s="8">
        <v>80.471599999999995</v>
      </c>
      <c r="F3242" s="9">
        <v>45989</v>
      </c>
    </row>
    <row r="3243" spans="1:6" ht="60" x14ac:dyDescent="0.25">
      <c r="A3243" s="8" t="s">
        <v>63</v>
      </c>
      <c r="B3243" s="8" t="s">
        <v>74</v>
      </c>
      <c r="C3243" s="8" t="str">
        <f>IFERROR(_xlfn.XLOOKUP(TRIM(B3243),Lookup!$B$2:$B$1000,Lookup!$C$2:$C$1000),"")</f>
        <v>Equity - Ethical/Exclusionary</v>
      </c>
      <c r="D3243" s="8" t="str">
        <f>IFERROR(INDEX('nav master'!$C:$C, MATCH(B3243, 'nav master'!$B:$B, 0)), "")</f>
        <v>ULIF 035 16/10/09 TSS 110</v>
      </c>
      <c r="E3243" s="8">
        <v>80.639899999999997</v>
      </c>
      <c r="F3243" s="9">
        <v>45992</v>
      </c>
    </row>
    <row r="3244" spans="1:6" ht="60" x14ac:dyDescent="0.25">
      <c r="A3244" s="8" t="s">
        <v>63</v>
      </c>
      <c r="B3244" s="8" t="s">
        <v>74</v>
      </c>
      <c r="C3244" s="8" t="str">
        <f>IFERROR(_xlfn.XLOOKUP(TRIM(B3244),Lookup!$B$2:$B$1000,Lookup!$C$2:$C$1000),"")</f>
        <v>Equity - Ethical/Exclusionary</v>
      </c>
      <c r="D3244" s="8" t="str">
        <f>IFERROR(INDEX('nav master'!$C:$C, MATCH(B3244, 'nav master'!$B:$B, 0)), "")</f>
        <v>ULIF 035 16/10/09 TSS 110</v>
      </c>
      <c r="E3244" s="8">
        <v>80.562399999999997</v>
      </c>
      <c r="F3244" s="9">
        <v>45993</v>
      </c>
    </row>
    <row r="3245" spans="1:6" ht="60" x14ac:dyDescent="0.25">
      <c r="A3245" s="8" t="s">
        <v>63</v>
      </c>
      <c r="B3245" s="8" t="s">
        <v>74</v>
      </c>
      <c r="C3245" s="8" t="str">
        <f>IFERROR(_xlfn.XLOOKUP(TRIM(B3245),Lookup!$B$2:$B$1000,Lookup!$C$2:$C$1000),"")</f>
        <v>Equity - Ethical/Exclusionary</v>
      </c>
      <c r="D3245" s="8" t="str">
        <f>IFERROR(INDEX('nav master'!$C:$C, MATCH(B3245, 'nav master'!$B:$B, 0)), "")</f>
        <v>ULIF 035 16/10/09 TSS 110</v>
      </c>
      <c r="E3245" s="8">
        <v>80.282799999999995</v>
      </c>
      <c r="F3245" s="9">
        <v>45994</v>
      </c>
    </row>
    <row r="3246" spans="1:6" ht="60" x14ac:dyDescent="0.25">
      <c r="A3246" s="8" t="s">
        <v>63</v>
      </c>
      <c r="B3246" s="8" t="s">
        <v>74</v>
      </c>
      <c r="C3246" s="8" t="str">
        <f>IFERROR(_xlfn.XLOOKUP(TRIM(B3246),Lookup!$B$2:$B$1000,Lookup!$C$2:$C$1000),"")</f>
        <v>Equity - Ethical/Exclusionary</v>
      </c>
      <c r="D3246" s="8" t="str">
        <f>IFERROR(INDEX('nav master'!$C:$C, MATCH(B3246, 'nav master'!$B:$B, 0)), "")</f>
        <v>ULIF 035 16/10/09 TSS 110</v>
      </c>
      <c r="E3246" s="8">
        <v>80.247900000000001</v>
      </c>
      <c r="F3246" s="9">
        <v>45995</v>
      </c>
    </row>
    <row r="3247" spans="1:6" ht="60" x14ac:dyDescent="0.25">
      <c r="A3247" s="8" t="s">
        <v>63</v>
      </c>
      <c r="B3247" s="8" t="s">
        <v>74</v>
      </c>
      <c r="C3247" s="8" t="str">
        <f>IFERROR(_xlfn.XLOOKUP(TRIM(B3247),Lookup!$B$2:$B$1000,Lookup!$C$2:$C$1000),"")</f>
        <v>Equity - Ethical/Exclusionary</v>
      </c>
      <c r="D3247" s="8" t="str">
        <f>IFERROR(INDEX('nav master'!$C:$C, MATCH(B3247, 'nav master'!$B:$B, 0)), "")</f>
        <v>ULIF 035 16/10/09 TSS 110</v>
      </c>
      <c r="E3247" s="8">
        <v>80.0779</v>
      </c>
      <c r="F3247" s="9">
        <v>45996</v>
      </c>
    </row>
    <row r="3248" spans="1:6" ht="60" x14ac:dyDescent="0.25">
      <c r="A3248" s="8" t="s">
        <v>63</v>
      </c>
      <c r="B3248" s="8" t="s">
        <v>74</v>
      </c>
      <c r="C3248" s="8" t="str">
        <f>IFERROR(_xlfn.XLOOKUP(TRIM(B3248),Lookup!$B$2:$B$1000,Lookup!$C$2:$C$1000),"")</f>
        <v>Equity - Ethical/Exclusionary</v>
      </c>
      <c r="D3248" s="8" t="str">
        <f>IFERROR(INDEX('nav master'!$C:$C, MATCH(B3248, 'nav master'!$B:$B, 0)), "")</f>
        <v>ULIF 035 16/10/09 TSS 110</v>
      </c>
      <c r="E3248" s="8">
        <v>79.104799999999997</v>
      </c>
      <c r="F3248" s="9">
        <v>45999</v>
      </c>
    </row>
    <row r="3249" spans="1:6" ht="60" x14ac:dyDescent="0.25">
      <c r="A3249" s="8" t="s">
        <v>63</v>
      </c>
      <c r="B3249" s="8" t="s">
        <v>74</v>
      </c>
      <c r="C3249" s="8" t="str">
        <f>IFERROR(_xlfn.XLOOKUP(TRIM(B3249),Lookup!$B$2:$B$1000,Lookup!$C$2:$C$1000),"")</f>
        <v>Equity - Ethical/Exclusionary</v>
      </c>
      <c r="D3249" s="8" t="str">
        <f>IFERROR(INDEX('nav master'!$C:$C, MATCH(B3249, 'nav master'!$B:$B, 0)), "")</f>
        <v>ULIF 035 16/10/09 TSS 110</v>
      </c>
      <c r="E3249" s="8">
        <v>79.5381</v>
      </c>
      <c r="F3249" s="9">
        <v>46000</v>
      </c>
    </row>
    <row r="3250" spans="1:6" ht="60" x14ac:dyDescent="0.25">
      <c r="A3250" s="8" t="s">
        <v>63</v>
      </c>
      <c r="B3250" s="8" t="s">
        <v>74</v>
      </c>
      <c r="C3250" s="8" t="str">
        <f>IFERROR(_xlfn.XLOOKUP(TRIM(B3250),Lookup!$B$2:$B$1000,Lookup!$C$2:$C$1000),"")</f>
        <v>Equity - Ethical/Exclusionary</v>
      </c>
      <c r="D3250" s="8" t="str">
        <f>IFERROR(INDEX('nav master'!$C:$C, MATCH(B3250, 'nav master'!$B:$B, 0)), "")</f>
        <v>ULIF 035 16/10/09 TSS 110</v>
      </c>
      <c r="E3250" s="8">
        <v>78.858500000000006</v>
      </c>
      <c r="F3250" s="9">
        <v>46001</v>
      </c>
    </row>
    <row r="3251" spans="1:6" ht="60" x14ac:dyDescent="0.25">
      <c r="A3251" s="8" t="s">
        <v>63</v>
      </c>
      <c r="B3251" s="8" t="s">
        <v>74</v>
      </c>
      <c r="C3251" s="8" t="str">
        <f>IFERROR(_xlfn.XLOOKUP(TRIM(B3251),Lookup!$B$2:$B$1000,Lookup!$C$2:$C$1000),"")</f>
        <v>Equity - Ethical/Exclusionary</v>
      </c>
      <c r="D3251" s="8" t="str">
        <f>IFERROR(INDEX('nav master'!$C:$C, MATCH(B3251, 'nav master'!$B:$B, 0)), "")</f>
        <v>ULIF 035 16/10/09 TSS 110</v>
      </c>
      <c r="E3251" s="8">
        <v>79.172899999999998</v>
      </c>
      <c r="F3251" s="9">
        <v>46002</v>
      </c>
    </row>
    <row r="3252" spans="1:6" ht="60" x14ac:dyDescent="0.25">
      <c r="A3252" s="8" t="s">
        <v>63</v>
      </c>
      <c r="B3252" s="8" t="s">
        <v>74</v>
      </c>
      <c r="C3252" s="8" t="str">
        <f>IFERROR(_xlfn.XLOOKUP(TRIM(B3252),Lookup!$B$2:$B$1000,Lookup!$C$2:$C$1000),"")</f>
        <v>Equity - Ethical/Exclusionary</v>
      </c>
      <c r="D3252" s="8" t="str">
        <f>IFERROR(INDEX('nav master'!$C:$C, MATCH(B3252, 'nav master'!$B:$B, 0)), "")</f>
        <v>ULIF 035 16/10/09 TSS 110</v>
      </c>
      <c r="E3252" s="8">
        <v>79.809799999999996</v>
      </c>
      <c r="F3252" s="9">
        <v>46003</v>
      </c>
    </row>
    <row r="3253" spans="1:6" ht="60" x14ac:dyDescent="0.25">
      <c r="A3253" s="8" t="s">
        <v>63</v>
      </c>
      <c r="B3253" s="8" t="s">
        <v>74</v>
      </c>
      <c r="C3253" s="8" t="str">
        <f>IFERROR(_xlfn.XLOOKUP(TRIM(B3253),Lookup!$B$2:$B$1000,Lookup!$C$2:$C$1000),"")</f>
        <v>Equity - Ethical/Exclusionary</v>
      </c>
      <c r="D3253" s="8" t="str">
        <f>IFERROR(INDEX('nav master'!$C:$C, MATCH(B3253, 'nav master'!$B:$B, 0)), "")</f>
        <v>ULIF 035 16/10/09 TSS 110</v>
      </c>
      <c r="E3253" s="8">
        <v>80.197299999999998</v>
      </c>
      <c r="F3253" s="9">
        <v>46006</v>
      </c>
    </row>
    <row r="3254" spans="1:6" ht="60" x14ac:dyDescent="0.25">
      <c r="A3254" s="8" t="s">
        <v>63</v>
      </c>
      <c r="B3254" s="8" t="s">
        <v>74</v>
      </c>
      <c r="C3254" s="8" t="str">
        <f>IFERROR(_xlfn.XLOOKUP(TRIM(B3254),Lookup!$B$2:$B$1000,Lookup!$C$2:$C$1000),"")</f>
        <v>Equity - Ethical/Exclusionary</v>
      </c>
      <c r="D3254" s="8" t="str">
        <f>IFERROR(INDEX('nav master'!$C:$C, MATCH(B3254, 'nav master'!$B:$B, 0)), "")</f>
        <v>ULIF 035 16/10/09 TSS 110</v>
      </c>
      <c r="E3254" s="8">
        <v>79.735699999999994</v>
      </c>
      <c r="F3254" s="9">
        <v>46007</v>
      </c>
    </row>
    <row r="3255" spans="1:6" ht="60" x14ac:dyDescent="0.25">
      <c r="A3255" s="8" t="s">
        <v>63</v>
      </c>
      <c r="B3255" s="8" t="s">
        <v>74</v>
      </c>
      <c r="C3255" s="8" t="str">
        <f>IFERROR(_xlfn.XLOOKUP(TRIM(B3255),Lookup!$B$2:$B$1000,Lookup!$C$2:$C$1000),"")</f>
        <v>Equity - Ethical/Exclusionary</v>
      </c>
      <c r="D3255" s="8" t="str">
        <f>IFERROR(INDEX('nav master'!$C:$C, MATCH(B3255, 'nav master'!$B:$B, 0)), "")</f>
        <v>ULIF 035 16/10/09 TSS 110</v>
      </c>
      <c r="E3255" s="8">
        <v>79.412099999999995</v>
      </c>
      <c r="F3255" s="9">
        <v>46008</v>
      </c>
    </row>
    <row r="3256" spans="1:6" ht="60" x14ac:dyDescent="0.25">
      <c r="A3256" s="8" t="s">
        <v>63</v>
      </c>
      <c r="B3256" s="8" t="s">
        <v>74</v>
      </c>
      <c r="C3256" s="8" t="str">
        <f>IFERROR(_xlfn.XLOOKUP(TRIM(B3256),Lookup!$B$2:$B$1000,Lookup!$C$2:$C$1000),"")</f>
        <v>Equity - Ethical/Exclusionary</v>
      </c>
      <c r="D3256" s="8" t="str">
        <f>IFERROR(INDEX('nav master'!$C:$C, MATCH(B3256, 'nav master'!$B:$B, 0)), "")</f>
        <v>ULIF 035 16/10/09 TSS 110</v>
      </c>
      <c r="E3256" s="8">
        <v>79.303899999999999</v>
      </c>
      <c r="F3256" s="9">
        <v>46009</v>
      </c>
    </row>
    <row r="3257" spans="1:6" ht="60" x14ac:dyDescent="0.25">
      <c r="A3257" s="8" t="s">
        <v>63</v>
      </c>
      <c r="B3257" s="8" t="s">
        <v>74</v>
      </c>
      <c r="C3257" s="8" t="str">
        <f>IFERROR(_xlfn.XLOOKUP(TRIM(B3257),Lookup!$B$2:$B$1000,Lookup!$C$2:$C$1000),"")</f>
        <v>Equity - Ethical/Exclusionary</v>
      </c>
      <c r="D3257" s="8" t="str">
        <f>IFERROR(INDEX('nav master'!$C:$C, MATCH(B3257, 'nav master'!$B:$B, 0)), "")</f>
        <v>ULIF 035 16/10/09 TSS 110</v>
      </c>
      <c r="E3257" s="8">
        <v>80.110500000000002</v>
      </c>
      <c r="F3257" s="9">
        <v>46010</v>
      </c>
    </row>
    <row r="3258" spans="1:6" ht="60" x14ac:dyDescent="0.25">
      <c r="A3258" s="8" t="s">
        <v>63</v>
      </c>
      <c r="B3258" s="8" t="s">
        <v>74</v>
      </c>
      <c r="C3258" s="8" t="str">
        <f>IFERROR(_xlfn.XLOOKUP(TRIM(B3258),Lookup!$B$2:$B$1000,Lookup!$C$2:$C$1000),"")</f>
        <v>Equity - Ethical/Exclusionary</v>
      </c>
      <c r="D3258" s="8" t="str">
        <f>IFERROR(INDEX('nav master'!$C:$C, MATCH(B3258, 'nav master'!$B:$B, 0)), "")</f>
        <v>ULIF 035 16/10/09 TSS 110</v>
      </c>
      <c r="E3258" s="8">
        <v>80.380799999999994</v>
      </c>
      <c r="F3258" s="9">
        <v>46013</v>
      </c>
    </row>
    <row r="3259" spans="1:6" ht="60" x14ac:dyDescent="0.25">
      <c r="A3259" s="8" t="s">
        <v>63</v>
      </c>
      <c r="B3259" s="8" t="s">
        <v>74</v>
      </c>
      <c r="C3259" s="8" t="str">
        <f>IFERROR(_xlfn.XLOOKUP(TRIM(B3259),Lookup!$B$2:$B$1000,Lookup!$C$2:$C$1000),"")</f>
        <v>Equity - Ethical/Exclusionary</v>
      </c>
      <c r="D3259" s="8" t="str">
        <f>IFERROR(INDEX('nav master'!$C:$C, MATCH(B3259, 'nav master'!$B:$B, 0)), "")</f>
        <v>ULIF 035 16/10/09 TSS 110</v>
      </c>
      <c r="E3259" s="8">
        <v>80.478999999999999</v>
      </c>
      <c r="F3259" s="9">
        <v>46014</v>
      </c>
    </row>
    <row r="3260" spans="1:6" ht="60" x14ac:dyDescent="0.25">
      <c r="A3260" s="8" t="s">
        <v>63</v>
      </c>
      <c r="B3260" s="8" t="s">
        <v>74</v>
      </c>
      <c r="C3260" s="8" t="str">
        <f>IFERROR(_xlfn.XLOOKUP(TRIM(B3260),Lookup!$B$2:$B$1000,Lookup!$C$2:$C$1000),"")</f>
        <v>Equity - Ethical/Exclusionary</v>
      </c>
      <c r="D3260" s="8" t="str">
        <f>IFERROR(INDEX('nav master'!$C:$C, MATCH(B3260, 'nav master'!$B:$B, 0)), "")</f>
        <v>ULIF 035 16/10/09 TSS 110</v>
      </c>
      <c r="E3260" s="8">
        <v>80.292699999999996</v>
      </c>
      <c r="F3260" s="9">
        <v>46015</v>
      </c>
    </row>
    <row r="3261" spans="1:6" ht="60" x14ac:dyDescent="0.25">
      <c r="A3261" s="8" t="s">
        <v>63</v>
      </c>
      <c r="B3261" s="8" t="s">
        <v>74</v>
      </c>
      <c r="C3261" s="8" t="str">
        <f>IFERROR(_xlfn.XLOOKUP(TRIM(B3261),Lookup!$B$2:$B$1000,Lookup!$C$2:$C$1000),"")</f>
        <v>Equity - Ethical/Exclusionary</v>
      </c>
      <c r="D3261" s="8" t="str">
        <f>IFERROR(INDEX('nav master'!$C:$C, MATCH(B3261, 'nav master'!$B:$B, 0)), "")</f>
        <v>ULIF 035 16/10/09 TSS 110</v>
      </c>
      <c r="E3261" s="8">
        <v>79.793000000000006</v>
      </c>
      <c r="F3261" s="9">
        <v>46017</v>
      </c>
    </row>
    <row r="3262" spans="1:6" ht="60" x14ac:dyDescent="0.25">
      <c r="A3262" s="8" t="s">
        <v>63</v>
      </c>
      <c r="B3262" s="8" t="s">
        <v>74</v>
      </c>
      <c r="C3262" s="8" t="str">
        <f>IFERROR(_xlfn.XLOOKUP(TRIM(B3262),Lookup!$B$2:$B$1000,Lookup!$C$2:$C$1000),"")</f>
        <v>Equity - Ethical/Exclusionary</v>
      </c>
      <c r="D3262" s="8" t="str">
        <f>IFERROR(INDEX('nav master'!$C:$C, MATCH(B3262, 'nav master'!$B:$B, 0)), "")</f>
        <v>ULIF 035 16/10/09 TSS 110</v>
      </c>
      <c r="E3262" s="8">
        <v>79.421899999999994</v>
      </c>
      <c r="F3262" s="9">
        <v>46020</v>
      </c>
    </row>
    <row r="3263" spans="1:6" ht="60" x14ac:dyDescent="0.25">
      <c r="A3263" s="8" t="s">
        <v>63</v>
      </c>
      <c r="B3263" s="8" t="s">
        <v>74</v>
      </c>
      <c r="C3263" s="8" t="str">
        <f>IFERROR(_xlfn.XLOOKUP(TRIM(B3263),Lookup!$B$2:$B$1000,Lookup!$C$2:$C$1000),"")</f>
        <v>Equity - Ethical/Exclusionary</v>
      </c>
      <c r="D3263" s="8" t="str">
        <f>IFERROR(INDEX('nav master'!$C:$C, MATCH(B3263, 'nav master'!$B:$B, 0)), "")</f>
        <v>ULIF 035 16/10/09 TSS 110</v>
      </c>
      <c r="E3263" s="8">
        <v>79.091200000000001</v>
      </c>
      <c r="F3263" s="9">
        <v>46021</v>
      </c>
    </row>
    <row r="3264" spans="1:6" ht="60" x14ac:dyDescent="0.25">
      <c r="A3264" s="8" t="s">
        <v>63</v>
      </c>
      <c r="B3264" s="8" t="s">
        <v>74</v>
      </c>
      <c r="C3264" s="8" t="str">
        <f>IFERROR(_xlfn.XLOOKUP(TRIM(B3264),Lookup!$B$2:$B$1000,Lookup!$C$2:$C$1000),"")</f>
        <v>Equity - Ethical/Exclusionary</v>
      </c>
      <c r="D3264" s="8" t="str">
        <f>IFERROR(INDEX('nav master'!$C:$C, MATCH(B3264, 'nav master'!$B:$B, 0)), "")</f>
        <v>ULIF 035 16/10/09 TSS 110</v>
      </c>
      <c r="E3264" s="8">
        <v>79.965199999999996</v>
      </c>
      <c r="F3264" s="9">
        <v>46022</v>
      </c>
    </row>
    <row r="3265" spans="1:6" ht="60" x14ac:dyDescent="0.25">
      <c r="A3265" s="8" t="s">
        <v>63</v>
      </c>
      <c r="B3265" s="8" t="s">
        <v>74</v>
      </c>
      <c r="C3265" s="8" t="str">
        <f>IFERROR(_xlfn.XLOOKUP(TRIM(B3265),Lookup!$B$2:$B$1000,Lookup!$C$2:$C$1000),"")</f>
        <v>Equity - Ethical/Exclusionary</v>
      </c>
      <c r="D3265" s="8" t="str">
        <f>IFERROR(INDEX('nav master'!$C:$C, MATCH(B3265, 'nav master'!$B:$B, 0)), "")</f>
        <v>ULIF 035 16/10/09 TSS 110</v>
      </c>
      <c r="E3265" s="8">
        <v>80.218199999999996</v>
      </c>
      <c r="F3265" s="9">
        <v>46023</v>
      </c>
    </row>
    <row r="3266" spans="1:6" ht="60" x14ac:dyDescent="0.25">
      <c r="A3266" s="8" t="s">
        <v>63</v>
      </c>
      <c r="B3266" s="8" t="s">
        <v>74</v>
      </c>
      <c r="C3266" s="8" t="str">
        <f>IFERROR(_xlfn.XLOOKUP(TRIM(B3266),Lookup!$B$2:$B$1000,Lookup!$C$2:$C$1000),"")</f>
        <v>Equity - Ethical/Exclusionary</v>
      </c>
      <c r="D3266" s="8" t="str">
        <f>IFERROR(INDEX('nav master'!$C:$C, MATCH(B3266, 'nav master'!$B:$B, 0)), "")</f>
        <v>ULIF 035 16/10/09 TSS 110</v>
      </c>
      <c r="E3266" s="8">
        <v>80.747600000000006</v>
      </c>
      <c r="F3266" s="9">
        <v>46024</v>
      </c>
    </row>
    <row r="3267" spans="1:6" ht="60" x14ac:dyDescent="0.25">
      <c r="A3267" s="8" t="s">
        <v>63</v>
      </c>
      <c r="B3267" s="8" t="s">
        <v>74</v>
      </c>
      <c r="C3267" s="8" t="str">
        <f>IFERROR(_xlfn.XLOOKUP(TRIM(B3267),Lookup!$B$2:$B$1000,Lookup!$C$2:$C$1000),"")</f>
        <v>Equity - Ethical/Exclusionary</v>
      </c>
      <c r="D3267" s="8" t="str">
        <f>IFERROR(INDEX('nav master'!$C:$C, MATCH(B3267, 'nav master'!$B:$B, 0)), "")</f>
        <v>ULIF 035 16/10/09 TSS 110</v>
      </c>
      <c r="E3267" s="8">
        <v>80.861500000000007</v>
      </c>
      <c r="F3267" s="9">
        <v>46027</v>
      </c>
    </row>
    <row r="3268" spans="1:6" ht="60" x14ac:dyDescent="0.25">
      <c r="A3268" s="8" t="s">
        <v>63</v>
      </c>
      <c r="B3268" s="8" t="s">
        <v>74</v>
      </c>
      <c r="C3268" s="8" t="str">
        <f>IFERROR(_xlfn.XLOOKUP(TRIM(B3268),Lookup!$B$2:$B$1000,Lookup!$C$2:$C$1000),"")</f>
        <v>Equity - Ethical/Exclusionary</v>
      </c>
      <c r="D3268" s="8" t="str">
        <f>IFERROR(INDEX('nav master'!$C:$C, MATCH(B3268, 'nav master'!$B:$B, 0)), "")</f>
        <v>ULIF 035 16/10/09 TSS 110</v>
      </c>
      <c r="E3268" s="8">
        <v>80.753799999999998</v>
      </c>
      <c r="F3268" s="9">
        <v>46028</v>
      </c>
    </row>
    <row r="3269" spans="1:6" ht="60" x14ac:dyDescent="0.25">
      <c r="A3269" s="8" t="s">
        <v>63</v>
      </c>
      <c r="B3269" s="8" t="s">
        <v>74</v>
      </c>
      <c r="C3269" s="8" t="str">
        <f>IFERROR(_xlfn.XLOOKUP(TRIM(B3269),Lookup!$B$2:$B$1000,Lookup!$C$2:$C$1000),"")</f>
        <v>Equity - Ethical/Exclusionary</v>
      </c>
      <c r="D3269" s="8" t="str">
        <f>IFERROR(INDEX('nav master'!$C:$C, MATCH(B3269, 'nav master'!$B:$B, 0)), "")</f>
        <v>ULIF 035 16/10/09 TSS 110</v>
      </c>
      <c r="E3269" s="8">
        <v>80.744200000000006</v>
      </c>
      <c r="F3269" s="9">
        <v>46029</v>
      </c>
    </row>
    <row r="3270" spans="1:6" ht="60" x14ac:dyDescent="0.25">
      <c r="A3270" s="8" t="s">
        <v>63</v>
      </c>
      <c r="B3270" s="8" t="s">
        <v>74</v>
      </c>
      <c r="C3270" s="8" t="str">
        <f>IFERROR(_xlfn.XLOOKUP(TRIM(B3270),Lookup!$B$2:$B$1000,Lookup!$C$2:$C$1000),"")</f>
        <v>Equity - Ethical/Exclusionary</v>
      </c>
      <c r="D3270" s="8" t="str">
        <f>IFERROR(INDEX('nav master'!$C:$C, MATCH(B3270, 'nav master'!$B:$B, 0)), "")</f>
        <v>ULIF 035 16/10/09 TSS 110</v>
      </c>
      <c r="E3270" s="8">
        <v>79.263800000000003</v>
      </c>
      <c r="F3270" s="9">
        <v>46030</v>
      </c>
    </row>
    <row r="3271" spans="1:6" ht="60" x14ac:dyDescent="0.25">
      <c r="A3271" s="8" t="s">
        <v>63</v>
      </c>
      <c r="B3271" s="8" t="s">
        <v>74</v>
      </c>
      <c r="C3271" s="8" t="str">
        <f>IFERROR(_xlfn.XLOOKUP(TRIM(B3271),Lookup!$B$2:$B$1000,Lookup!$C$2:$C$1000),"")</f>
        <v>Equity - Ethical/Exclusionary</v>
      </c>
      <c r="D3271" s="8" t="str">
        <f>IFERROR(INDEX('nav master'!$C:$C, MATCH(B3271, 'nav master'!$B:$B, 0)), "")</f>
        <v>ULIF 035 16/10/09 TSS 110</v>
      </c>
      <c r="E3271" s="8">
        <v>78.394999999999996</v>
      </c>
      <c r="F3271" s="9">
        <v>46031</v>
      </c>
    </row>
    <row r="3272" spans="1:6" ht="60" x14ac:dyDescent="0.25">
      <c r="A3272" s="8" t="s">
        <v>63</v>
      </c>
      <c r="B3272" s="8" t="s">
        <v>74</v>
      </c>
      <c r="C3272" s="8" t="str">
        <f>IFERROR(_xlfn.XLOOKUP(TRIM(B3272),Lookup!$B$2:$B$1000,Lookup!$C$2:$C$1000),"")</f>
        <v>Equity - Ethical/Exclusionary</v>
      </c>
      <c r="D3272" s="8" t="str">
        <f>IFERROR(INDEX('nav master'!$C:$C, MATCH(B3272, 'nav master'!$B:$B, 0)), "")</f>
        <v>ULIF 035 16/10/09 TSS 110</v>
      </c>
      <c r="E3272" s="8">
        <v>78.221299999999999</v>
      </c>
      <c r="F3272" s="9">
        <v>46034</v>
      </c>
    </row>
    <row r="3273" spans="1:6" ht="60" x14ac:dyDescent="0.25">
      <c r="A3273" s="8" t="s">
        <v>63</v>
      </c>
      <c r="B3273" s="8" t="s">
        <v>74</v>
      </c>
      <c r="C3273" s="8" t="str">
        <f>IFERROR(_xlfn.XLOOKUP(TRIM(B3273),Lookup!$B$2:$B$1000,Lookup!$C$2:$C$1000),"")</f>
        <v>Equity - Ethical/Exclusionary</v>
      </c>
      <c r="D3273" s="8" t="str">
        <f>IFERROR(INDEX('nav master'!$C:$C, MATCH(B3273, 'nav master'!$B:$B, 0)), "")</f>
        <v>ULIF 035 16/10/09 TSS 110</v>
      </c>
      <c r="E3273" s="8">
        <v>78.423299999999998</v>
      </c>
      <c r="F3273" s="9">
        <v>46035</v>
      </c>
    </row>
    <row r="3274" spans="1:6" ht="60" x14ac:dyDescent="0.25">
      <c r="A3274" s="8" t="s">
        <v>63</v>
      </c>
      <c r="B3274" s="8" t="s">
        <v>74</v>
      </c>
      <c r="C3274" s="8" t="str">
        <f>IFERROR(_xlfn.XLOOKUP(TRIM(B3274),Lookup!$B$2:$B$1000,Lookup!$C$2:$C$1000),"")</f>
        <v>Equity - Ethical/Exclusionary</v>
      </c>
      <c r="D3274" s="8" t="str">
        <f>IFERROR(INDEX('nav master'!$C:$C, MATCH(B3274, 'nav master'!$B:$B, 0)), "")</f>
        <v>ULIF 035 16/10/09 TSS 110</v>
      </c>
      <c r="E3274" s="8">
        <v>78.494399999999999</v>
      </c>
      <c r="F3274" s="9">
        <v>46036</v>
      </c>
    </row>
    <row r="3275" spans="1:6" ht="60" x14ac:dyDescent="0.25">
      <c r="A3275" s="8" t="s">
        <v>63</v>
      </c>
      <c r="B3275" s="8" t="s">
        <v>74</v>
      </c>
      <c r="C3275" s="8" t="str">
        <f>IFERROR(_xlfn.XLOOKUP(TRIM(B3275),Lookup!$B$2:$B$1000,Lookup!$C$2:$C$1000),"")</f>
        <v>Equity - Ethical/Exclusionary</v>
      </c>
      <c r="D3275" s="8" t="str">
        <f>IFERROR(INDEX('nav master'!$C:$C, MATCH(B3275, 'nav master'!$B:$B, 0)), "")</f>
        <v>ULIF 035 16/10/09 TSS 110</v>
      </c>
      <c r="E3275" s="8">
        <v>78.404799999999994</v>
      </c>
      <c r="F3275" s="9">
        <v>46038</v>
      </c>
    </row>
    <row r="3276" spans="1:6" ht="60" x14ac:dyDescent="0.25">
      <c r="A3276" s="8" t="s">
        <v>63</v>
      </c>
      <c r="B3276" s="8" t="s">
        <v>74</v>
      </c>
      <c r="C3276" s="8" t="str">
        <f>IFERROR(_xlfn.XLOOKUP(TRIM(B3276),Lookup!$B$2:$B$1000,Lookup!$C$2:$C$1000),"")</f>
        <v>Equity - Ethical/Exclusionary</v>
      </c>
      <c r="D3276" s="8" t="str">
        <f>IFERROR(INDEX('nav master'!$C:$C, MATCH(B3276, 'nav master'!$B:$B, 0)), "")</f>
        <v>ULIF 035 16/10/09 TSS 110</v>
      </c>
      <c r="E3276" s="8">
        <v>78.0625</v>
      </c>
      <c r="F3276" s="9">
        <v>46041</v>
      </c>
    </row>
    <row r="3277" spans="1:6" ht="60" x14ac:dyDescent="0.25">
      <c r="A3277" s="8" t="s">
        <v>63</v>
      </c>
      <c r="B3277" s="8" t="s">
        <v>74</v>
      </c>
      <c r="C3277" s="8" t="str">
        <f>IFERROR(_xlfn.XLOOKUP(TRIM(B3277),Lookup!$B$2:$B$1000,Lookup!$C$2:$C$1000),"")</f>
        <v>Equity - Ethical/Exclusionary</v>
      </c>
      <c r="D3277" s="8" t="str">
        <f>IFERROR(INDEX('nav master'!$C:$C, MATCH(B3277, 'nav master'!$B:$B, 0)), "")</f>
        <v>ULIF 035 16/10/09 TSS 110</v>
      </c>
      <c r="E3277" s="8">
        <v>76.347899999999996</v>
      </c>
      <c r="F3277" s="9">
        <v>46042</v>
      </c>
    </row>
    <row r="3278" spans="1:6" ht="60" x14ac:dyDescent="0.25">
      <c r="A3278" s="8" t="s">
        <v>63</v>
      </c>
      <c r="B3278" s="8" t="s">
        <v>74</v>
      </c>
      <c r="C3278" s="8" t="str">
        <f>IFERROR(_xlfn.XLOOKUP(TRIM(B3278),Lookup!$B$2:$B$1000,Lookup!$C$2:$C$1000),"")</f>
        <v>Equity - Ethical/Exclusionary</v>
      </c>
      <c r="D3278" s="8" t="str">
        <f>IFERROR(INDEX('nav master'!$C:$C, MATCH(B3278, 'nav master'!$B:$B, 0)), "")</f>
        <v>ULIF 035 16/10/09 TSS 110</v>
      </c>
      <c r="E3278" s="8">
        <v>75.909899999999993</v>
      </c>
      <c r="F3278" s="9">
        <v>46043</v>
      </c>
    </row>
    <row r="3279" spans="1:6" ht="60" x14ac:dyDescent="0.25">
      <c r="A3279" s="8" t="s">
        <v>63</v>
      </c>
      <c r="B3279" s="8" t="s">
        <v>74</v>
      </c>
      <c r="C3279" s="8" t="str">
        <f>IFERROR(_xlfn.XLOOKUP(TRIM(B3279),Lookup!$B$2:$B$1000,Lookup!$C$2:$C$1000),"")</f>
        <v>Equity - Ethical/Exclusionary</v>
      </c>
      <c r="D3279" s="8" t="str">
        <f>IFERROR(INDEX('nav master'!$C:$C, MATCH(B3279, 'nav master'!$B:$B, 0)), "")</f>
        <v>ULIF 035 16/10/09 TSS 110</v>
      </c>
      <c r="E3279" s="8">
        <v>76.742800000000003</v>
      </c>
      <c r="F3279" s="9">
        <v>46044</v>
      </c>
    </row>
    <row r="3280" spans="1:6" ht="60" x14ac:dyDescent="0.25">
      <c r="A3280" s="8" t="s">
        <v>63</v>
      </c>
      <c r="B3280" s="8" t="s">
        <v>74</v>
      </c>
      <c r="C3280" s="8" t="str">
        <f>IFERROR(_xlfn.XLOOKUP(TRIM(B3280),Lookup!$B$2:$B$1000,Lookup!$C$2:$C$1000),"")</f>
        <v>Equity - Ethical/Exclusionary</v>
      </c>
      <c r="D3280" s="8" t="str">
        <f>IFERROR(INDEX('nav master'!$C:$C, MATCH(B3280, 'nav master'!$B:$B, 0)), "")</f>
        <v>ULIF 035 16/10/09 TSS 110</v>
      </c>
      <c r="E3280" s="8">
        <v>75.945099999999996</v>
      </c>
      <c r="F3280" s="9">
        <v>46045</v>
      </c>
    </row>
    <row r="3281" spans="1:6" ht="60" x14ac:dyDescent="0.25">
      <c r="A3281" s="8" t="s">
        <v>63</v>
      </c>
      <c r="B3281" s="8" t="s">
        <v>74</v>
      </c>
      <c r="C3281" s="8" t="str">
        <f>IFERROR(_xlfn.XLOOKUP(TRIM(B3281),Lookup!$B$2:$B$1000,Lookup!$C$2:$C$1000),"")</f>
        <v>Equity - Ethical/Exclusionary</v>
      </c>
      <c r="D3281" s="8" t="str">
        <f>IFERROR(INDEX('nav master'!$C:$C, MATCH(B3281, 'nav master'!$B:$B, 0)), "")</f>
        <v>ULIF 035 16/10/09 TSS 110</v>
      </c>
      <c r="E3281" s="8">
        <v>76.414699999999996</v>
      </c>
      <c r="F3281" s="9">
        <v>46049</v>
      </c>
    </row>
    <row r="3282" spans="1:6" ht="60" x14ac:dyDescent="0.25">
      <c r="A3282" s="8" t="s">
        <v>63</v>
      </c>
      <c r="B3282" s="8" t="s">
        <v>74</v>
      </c>
      <c r="C3282" s="8" t="str">
        <f>IFERROR(_xlfn.XLOOKUP(TRIM(B3282),Lookup!$B$2:$B$1000,Lookup!$C$2:$C$1000),"")</f>
        <v>Equity - Ethical/Exclusionary</v>
      </c>
      <c r="D3282" s="8" t="str">
        <f>IFERROR(INDEX('nav master'!$C:$C, MATCH(B3282, 'nav master'!$B:$B, 0)), "")</f>
        <v>ULIF 035 16/10/09 TSS 110</v>
      </c>
      <c r="E3282" s="8">
        <v>77.621300000000005</v>
      </c>
      <c r="F3282" s="9">
        <v>46050</v>
      </c>
    </row>
    <row r="3283" spans="1:6" ht="60" x14ac:dyDescent="0.25">
      <c r="A3283" s="8" t="s">
        <v>63</v>
      </c>
      <c r="B3283" s="8" t="s">
        <v>74</v>
      </c>
      <c r="C3283" s="8" t="str">
        <f>IFERROR(_xlfn.XLOOKUP(TRIM(B3283),Lookup!$B$2:$B$1000,Lookup!$C$2:$C$1000),"")</f>
        <v>Equity - Ethical/Exclusionary</v>
      </c>
      <c r="D3283" s="8" t="str">
        <f>IFERROR(INDEX('nav master'!$C:$C, MATCH(B3283, 'nav master'!$B:$B, 0)), "")</f>
        <v>ULIF 035 16/10/09 TSS 110</v>
      </c>
      <c r="E3283" s="8">
        <v>77.582899999999995</v>
      </c>
      <c r="F3283" s="9">
        <v>46051</v>
      </c>
    </row>
    <row r="3284" spans="1:6" ht="60" x14ac:dyDescent="0.25">
      <c r="A3284" s="8" t="s">
        <v>63</v>
      </c>
      <c r="B3284" s="8" t="s">
        <v>74</v>
      </c>
      <c r="C3284" s="8" t="str">
        <f>IFERROR(_xlfn.XLOOKUP(TRIM(B3284),Lookup!$B$2:$B$1000,Lookup!$C$2:$C$1000),"")</f>
        <v>Equity - Ethical/Exclusionary</v>
      </c>
      <c r="D3284" s="8" t="str">
        <f>IFERROR(INDEX('nav master'!$C:$C, MATCH(B3284, 'nav master'!$B:$B, 0)), "")</f>
        <v>ULIF 035 16/10/09 TSS 110</v>
      </c>
      <c r="E3284" s="8">
        <v>77.874799999999993</v>
      </c>
      <c r="F3284" s="9">
        <v>46052</v>
      </c>
    </row>
    <row r="3285" spans="1:6" ht="60" x14ac:dyDescent="0.25">
      <c r="A3285" s="8" t="s">
        <v>63</v>
      </c>
      <c r="B3285" s="8" t="s">
        <v>74</v>
      </c>
      <c r="C3285" s="8" t="str">
        <f>IFERROR(_xlfn.XLOOKUP(TRIM(B3285),Lookup!$B$2:$B$1000,Lookup!$C$2:$C$1000),"")</f>
        <v>Equity - Ethical/Exclusionary</v>
      </c>
      <c r="D3285" s="8" t="str">
        <f>IFERROR(INDEX('nav master'!$C:$C, MATCH(B3285, 'nav master'!$B:$B, 0)), "")</f>
        <v>ULIF 035 16/10/09 TSS 110</v>
      </c>
      <c r="E3285" s="8">
        <v>77.168000000000006</v>
      </c>
      <c r="F3285" s="9">
        <v>46054</v>
      </c>
    </row>
    <row r="3286" spans="1:6" ht="60" x14ac:dyDescent="0.25">
      <c r="A3286" s="8" t="s">
        <v>63</v>
      </c>
      <c r="B3286" s="8" t="s">
        <v>74</v>
      </c>
      <c r="C3286" s="8" t="str">
        <f>IFERROR(_xlfn.XLOOKUP(TRIM(B3286),Lookup!$B$2:$B$1000,Lookup!$C$2:$C$1000),"")</f>
        <v>Equity - Ethical/Exclusionary</v>
      </c>
      <c r="D3286" s="8" t="str">
        <f>IFERROR(INDEX('nav master'!$C:$C, MATCH(B3286, 'nav master'!$B:$B, 0)), "")</f>
        <v>ULIF 035 16/10/09 TSS 110</v>
      </c>
      <c r="E3286" s="8">
        <v>77.607799999999997</v>
      </c>
      <c r="F3286" s="9">
        <v>46055</v>
      </c>
    </row>
    <row r="3287" spans="1:6" ht="60" x14ac:dyDescent="0.25">
      <c r="A3287" s="8" t="s">
        <v>63</v>
      </c>
      <c r="B3287" s="8" t="s">
        <v>74</v>
      </c>
      <c r="C3287" s="8" t="str">
        <f>IFERROR(_xlfn.XLOOKUP(TRIM(B3287),Lookup!$B$2:$B$1000,Lookup!$C$2:$C$1000),"")</f>
        <v>Equity - Ethical/Exclusionary</v>
      </c>
      <c r="D3287" s="8" t="str">
        <f>IFERROR(INDEX('nav master'!$C:$C, MATCH(B3287, 'nav master'!$B:$B, 0)), "")</f>
        <v>ULIF 035 16/10/09 TSS 110</v>
      </c>
      <c r="E3287" s="8">
        <v>79.820899999999995</v>
      </c>
      <c r="F3287" s="9">
        <v>46056</v>
      </c>
    </row>
    <row r="3288" spans="1:6" ht="60" x14ac:dyDescent="0.25">
      <c r="A3288" s="8" t="s">
        <v>63</v>
      </c>
      <c r="B3288" s="8" t="s">
        <v>74</v>
      </c>
      <c r="C3288" s="8" t="str">
        <f>IFERROR(_xlfn.XLOOKUP(TRIM(B3288),Lookup!$B$2:$B$1000,Lookup!$C$2:$C$1000),"")</f>
        <v>Equity - Ethical/Exclusionary</v>
      </c>
      <c r="D3288" s="8" t="str">
        <f>IFERROR(INDEX('nav master'!$C:$C, MATCH(B3288, 'nav master'!$B:$B, 0)), "")</f>
        <v>ULIF 035 16/10/09 TSS 110</v>
      </c>
      <c r="E3288" s="8">
        <v>79.956999999999994</v>
      </c>
      <c r="F3288" s="9">
        <v>46057</v>
      </c>
    </row>
    <row r="3289" spans="1:6" ht="60" x14ac:dyDescent="0.25">
      <c r="A3289" s="8" t="s">
        <v>63</v>
      </c>
      <c r="B3289" s="8" t="s">
        <v>74</v>
      </c>
      <c r="C3289" s="8" t="str">
        <f>IFERROR(_xlfn.XLOOKUP(TRIM(B3289),Lookup!$B$2:$B$1000,Lookup!$C$2:$C$1000),"")</f>
        <v>Equity - Ethical/Exclusionary</v>
      </c>
      <c r="D3289" s="8" t="str">
        <f>IFERROR(INDEX('nav master'!$C:$C, MATCH(B3289, 'nav master'!$B:$B, 0)), "")</f>
        <v>ULIF 035 16/10/09 TSS 110</v>
      </c>
      <c r="E3289" s="8">
        <v>79.599999999999994</v>
      </c>
      <c r="F3289" s="9">
        <v>46058</v>
      </c>
    </row>
    <row r="3290" spans="1:6" ht="60" x14ac:dyDescent="0.25">
      <c r="A3290" s="8" t="s">
        <v>63</v>
      </c>
      <c r="B3290" s="8" t="s">
        <v>74</v>
      </c>
      <c r="C3290" s="8" t="str">
        <f>IFERROR(_xlfn.XLOOKUP(TRIM(B3290),Lookup!$B$2:$B$1000,Lookup!$C$2:$C$1000),"")</f>
        <v>Equity - Ethical/Exclusionary</v>
      </c>
      <c r="D3290" s="8" t="str">
        <f>IFERROR(INDEX('nav master'!$C:$C, MATCH(B3290, 'nav master'!$B:$B, 0)), "")</f>
        <v>ULIF 035 16/10/09 TSS 110</v>
      </c>
      <c r="E3290" s="8">
        <v>79.615099999999998</v>
      </c>
      <c r="F3290" s="9">
        <v>46059</v>
      </c>
    </row>
    <row r="3291" spans="1:6" ht="60" x14ac:dyDescent="0.25">
      <c r="A3291" s="8" t="s">
        <v>63</v>
      </c>
      <c r="B3291" s="8" t="s">
        <v>74</v>
      </c>
      <c r="C3291" s="8" t="str">
        <f>IFERROR(_xlfn.XLOOKUP(TRIM(B3291),Lookup!$B$2:$B$1000,Lookup!$C$2:$C$1000),"")</f>
        <v>Equity - Ethical/Exclusionary</v>
      </c>
      <c r="D3291" s="8" t="str">
        <f>IFERROR(INDEX('nav master'!$C:$C, MATCH(B3291, 'nav master'!$B:$B, 0)), "")</f>
        <v>ULIF 035 16/10/09 TSS 110</v>
      </c>
      <c r="E3291" s="8">
        <v>80.886600000000001</v>
      </c>
      <c r="F3291" s="9">
        <v>46062</v>
      </c>
    </row>
    <row r="3292" spans="1:6" ht="60" x14ac:dyDescent="0.25">
      <c r="A3292" s="8" t="s">
        <v>63</v>
      </c>
      <c r="B3292" s="8" t="s">
        <v>74</v>
      </c>
      <c r="C3292" s="8" t="str">
        <f>IFERROR(_xlfn.XLOOKUP(TRIM(B3292),Lookup!$B$2:$B$1000,Lookup!$C$2:$C$1000),"")</f>
        <v>Equity - Ethical/Exclusionary</v>
      </c>
      <c r="D3292" s="8" t="str">
        <f>IFERROR(INDEX('nav master'!$C:$C, MATCH(B3292, 'nav master'!$B:$B, 0)), "")</f>
        <v>ULIF 035 16/10/09 TSS 110</v>
      </c>
      <c r="E3292" s="8">
        <v>81.404399999999995</v>
      </c>
      <c r="F3292" s="9">
        <v>46063</v>
      </c>
    </row>
    <row r="3293" spans="1:6" ht="60" x14ac:dyDescent="0.25">
      <c r="A3293" s="8" t="s">
        <v>63</v>
      </c>
      <c r="B3293" s="8" t="s">
        <v>74</v>
      </c>
      <c r="C3293" s="8" t="str">
        <f>IFERROR(_xlfn.XLOOKUP(TRIM(B3293),Lookup!$B$2:$B$1000,Lookup!$C$2:$C$1000),"")</f>
        <v>Equity - Ethical/Exclusionary</v>
      </c>
      <c r="D3293" s="8" t="str">
        <f>IFERROR(INDEX('nav master'!$C:$C, MATCH(B3293, 'nav master'!$B:$B, 0)), "")</f>
        <v>ULIF 035 16/10/09 TSS 110</v>
      </c>
      <c r="E3293" s="8">
        <v>81.661699999999996</v>
      </c>
      <c r="F3293" s="9">
        <v>46064</v>
      </c>
    </row>
    <row r="3294" spans="1:6" ht="60" x14ac:dyDescent="0.25">
      <c r="A3294" s="8" t="s">
        <v>63</v>
      </c>
      <c r="B3294" s="8" t="s">
        <v>74</v>
      </c>
      <c r="C3294" s="8" t="str">
        <f>IFERROR(_xlfn.XLOOKUP(TRIM(B3294),Lookup!$B$2:$B$1000,Lookup!$C$2:$C$1000),"")</f>
        <v>Equity - Ethical/Exclusionary</v>
      </c>
      <c r="D3294" s="8" t="str">
        <f>IFERROR(INDEX('nav master'!$C:$C, MATCH(B3294, 'nav master'!$B:$B, 0)), "")</f>
        <v>ULIF 035 16/10/09 TSS 110</v>
      </c>
      <c r="E3294" s="8">
        <v>80.878799999999998</v>
      </c>
      <c r="F3294" s="9">
        <v>46065</v>
      </c>
    </row>
    <row r="3295" spans="1:6" ht="60" x14ac:dyDescent="0.25">
      <c r="A3295" s="8" t="s">
        <v>63</v>
      </c>
      <c r="B3295" s="8" t="s">
        <v>74</v>
      </c>
      <c r="C3295" s="8" t="str">
        <f>IFERROR(_xlfn.XLOOKUP(TRIM(B3295),Lookup!$B$2:$B$1000,Lookup!$C$2:$C$1000),"")</f>
        <v>Equity - Ethical/Exclusionary</v>
      </c>
      <c r="D3295" s="8" t="str">
        <f>IFERROR(INDEX('nav master'!$C:$C, MATCH(B3295, 'nav master'!$B:$B, 0)), "")</f>
        <v>ULIF 035 16/10/09 TSS 110</v>
      </c>
      <c r="E3295" s="8">
        <v>79.983699999999999</v>
      </c>
      <c r="F3295" s="9">
        <v>46066</v>
      </c>
    </row>
    <row r="3296" spans="1:6" ht="60" x14ac:dyDescent="0.25">
      <c r="A3296" s="8" t="s">
        <v>63</v>
      </c>
      <c r="B3296" s="8" t="s">
        <v>74</v>
      </c>
      <c r="C3296" s="8" t="str">
        <f>IFERROR(_xlfn.XLOOKUP(TRIM(B3296),Lookup!$B$2:$B$1000,Lookup!$C$2:$C$1000),"")</f>
        <v>Equity - Ethical/Exclusionary</v>
      </c>
      <c r="D3296" s="8" t="str">
        <f>IFERROR(INDEX('nav master'!$C:$C, MATCH(B3296, 'nav master'!$B:$B, 0)), "")</f>
        <v>ULIF 035 16/10/09 TSS 110</v>
      </c>
      <c r="E3296" s="8">
        <v>80.073800000000006</v>
      </c>
      <c r="F3296" s="9">
        <v>46069</v>
      </c>
    </row>
    <row r="3297" spans="1:6" ht="60" x14ac:dyDescent="0.25">
      <c r="A3297" s="8" t="s">
        <v>63</v>
      </c>
      <c r="B3297" s="8" t="s">
        <v>74</v>
      </c>
      <c r="C3297" s="8" t="str">
        <f>IFERROR(_xlfn.XLOOKUP(TRIM(B3297),Lookup!$B$2:$B$1000,Lookup!$C$2:$C$1000),"")</f>
        <v>Equity - Ethical/Exclusionary</v>
      </c>
      <c r="D3297" s="8" t="str">
        <f>IFERROR(INDEX('nav master'!$C:$C, MATCH(B3297, 'nav master'!$B:$B, 0)), "")</f>
        <v>ULIF 035 16/10/09 TSS 110</v>
      </c>
      <c r="E3297" s="8">
        <v>80.240700000000004</v>
      </c>
      <c r="F3297" s="9">
        <v>46070</v>
      </c>
    </row>
    <row r="3298" spans="1:6" ht="60" x14ac:dyDescent="0.25">
      <c r="A3298" s="8" t="s">
        <v>63</v>
      </c>
      <c r="B3298" s="8" t="s">
        <v>74</v>
      </c>
      <c r="C3298" s="8" t="str">
        <f>IFERROR(_xlfn.XLOOKUP(TRIM(B3298),Lookup!$B$2:$B$1000,Lookup!$C$2:$C$1000),"")</f>
        <v>Equity - Ethical/Exclusionary</v>
      </c>
      <c r="D3298" s="8" t="str">
        <f>IFERROR(INDEX('nav master'!$C:$C, MATCH(B3298, 'nav master'!$B:$B, 0)), "")</f>
        <v>ULIF 035 16/10/09 TSS 110</v>
      </c>
      <c r="E3298" s="8">
        <v>80.346800000000002</v>
      </c>
      <c r="F3298" s="9">
        <v>46071</v>
      </c>
    </row>
    <row r="3299" spans="1:6" ht="60" x14ac:dyDescent="0.25">
      <c r="A3299" s="8" t="s">
        <v>63</v>
      </c>
      <c r="B3299" s="8" t="s">
        <v>74</v>
      </c>
      <c r="C3299" s="8" t="str">
        <f>IFERROR(_xlfn.XLOOKUP(TRIM(B3299),Lookup!$B$2:$B$1000,Lookup!$C$2:$C$1000),"")</f>
        <v>Equity - Ethical/Exclusionary</v>
      </c>
      <c r="D3299" s="8" t="str">
        <f>IFERROR(INDEX('nav master'!$C:$C, MATCH(B3299, 'nav master'!$B:$B, 0)), "")</f>
        <v>ULIF 035 16/10/09 TSS 110</v>
      </c>
      <c r="E3299" s="8">
        <v>79.103700000000003</v>
      </c>
      <c r="F3299" s="9">
        <v>46072</v>
      </c>
    </row>
    <row r="3300" spans="1:6" ht="60" x14ac:dyDescent="0.25">
      <c r="A3300" s="8" t="s">
        <v>63</v>
      </c>
      <c r="B3300" s="8" t="s">
        <v>74</v>
      </c>
      <c r="C3300" s="8" t="str">
        <f>IFERROR(_xlfn.XLOOKUP(TRIM(B3300),Lookup!$B$2:$B$1000,Lookup!$C$2:$C$1000),"")</f>
        <v>Equity - Ethical/Exclusionary</v>
      </c>
      <c r="D3300" s="8" t="str">
        <f>IFERROR(INDEX('nav master'!$C:$C, MATCH(B3300, 'nav master'!$B:$B, 0)), "")</f>
        <v>ULIF 035 16/10/09 TSS 110</v>
      </c>
      <c r="E3300" s="8">
        <v>79.117999999999995</v>
      </c>
      <c r="F3300" s="9">
        <v>46073</v>
      </c>
    </row>
    <row r="3301" spans="1:6" ht="60" x14ac:dyDescent="0.25">
      <c r="A3301" s="8" t="s">
        <v>63</v>
      </c>
      <c r="B3301" s="8" t="s">
        <v>74</v>
      </c>
      <c r="C3301" s="8" t="str">
        <f>IFERROR(_xlfn.XLOOKUP(TRIM(B3301),Lookup!$B$2:$B$1000,Lookup!$C$2:$C$1000),"")</f>
        <v>Equity - Ethical/Exclusionary</v>
      </c>
      <c r="D3301" s="8" t="str">
        <f>IFERROR(INDEX('nav master'!$C:$C, MATCH(B3301, 'nav master'!$B:$B, 0)), "")</f>
        <v>ULIF 035 16/10/09 TSS 110</v>
      </c>
      <c r="E3301" s="8">
        <v>79.367000000000004</v>
      </c>
      <c r="F3301" s="9">
        <v>46076</v>
      </c>
    </row>
    <row r="3302" spans="1:6" ht="60" x14ac:dyDescent="0.25">
      <c r="A3302" s="8" t="s">
        <v>63</v>
      </c>
      <c r="B3302" s="8" t="s">
        <v>74</v>
      </c>
      <c r="C3302" s="8" t="str">
        <f>IFERROR(_xlfn.XLOOKUP(TRIM(B3302),Lookup!$B$2:$B$1000,Lookup!$C$2:$C$1000),"")</f>
        <v>Equity - Ethical/Exclusionary</v>
      </c>
      <c r="D3302" s="8" t="str">
        <f>IFERROR(INDEX('nav master'!$C:$C, MATCH(B3302, 'nav master'!$B:$B, 0)), "")</f>
        <v>ULIF 035 16/10/09 TSS 110</v>
      </c>
      <c r="E3302" s="8">
        <v>78.764700000000005</v>
      </c>
      <c r="F3302" s="9">
        <v>46077</v>
      </c>
    </row>
    <row r="3303" spans="1:6" ht="60" x14ac:dyDescent="0.25">
      <c r="A3303" s="8" t="s">
        <v>63</v>
      </c>
      <c r="B3303" s="8" t="s">
        <v>74</v>
      </c>
      <c r="C3303" s="8" t="str">
        <f>IFERROR(_xlfn.XLOOKUP(TRIM(B3303),Lookup!$B$2:$B$1000,Lookup!$C$2:$C$1000),"")</f>
        <v>Equity - Ethical/Exclusionary</v>
      </c>
      <c r="D3303" s="8" t="str">
        <f>IFERROR(INDEX('nav master'!$C:$C, MATCH(B3303, 'nav master'!$B:$B, 0)), "")</f>
        <v>ULIF 035 16/10/09 TSS 110</v>
      </c>
      <c r="E3303" s="8">
        <v>79.506500000000003</v>
      </c>
      <c r="F3303" s="9">
        <v>46078</v>
      </c>
    </row>
    <row r="3304" spans="1:6" ht="60" x14ac:dyDescent="0.25">
      <c r="A3304" s="8" t="s">
        <v>63</v>
      </c>
      <c r="B3304" s="8" t="s">
        <v>74</v>
      </c>
      <c r="C3304" s="8" t="str">
        <f>IFERROR(_xlfn.XLOOKUP(TRIM(B3304),Lookup!$B$2:$B$1000,Lookup!$C$2:$C$1000),"")</f>
        <v>Equity - Ethical/Exclusionary</v>
      </c>
      <c r="D3304" s="8" t="str">
        <f>IFERROR(INDEX('nav master'!$C:$C, MATCH(B3304, 'nav master'!$B:$B, 0)), "")</f>
        <v>ULIF 035 16/10/09 TSS 110</v>
      </c>
      <c r="E3304" s="8">
        <v>79.593400000000003</v>
      </c>
      <c r="F3304" s="9">
        <v>46079</v>
      </c>
    </row>
    <row r="3305" spans="1:6" ht="60" x14ac:dyDescent="0.25">
      <c r="A3305" s="8" t="s">
        <v>63</v>
      </c>
      <c r="B3305" s="8" t="s">
        <v>74</v>
      </c>
      <c r="C3305" s="8" t="str">
        <f>IFERROR(_xlfn.XLOOKUP(TRIM(B3305),Lookup!$B$2:$B$1000,Lookup!$C$2:$C$1000),"")</f>
        <v>Equity - Ethical/Exclusionary</v>
      </c>
      <c r="D3305" s="8" t="str">
        <f>IFERROR(INDEX('nav master'!$C:$C, MATCH(B3305, 'nav master'!$B:$B, 0)), "")</f>
        <v>ULIF 035 16/10/09 TSS 110</v>
      </c>
      <c r="E3305" s="8">
        <v>79.113500000000002</v>
      </c>
      <c r="F3305" s="9">
        <v>46080</v>
      </c>
    </row>
    <row r="3306" spans="1:6" ht="60" x14ac:dyDescent="0.25">
      <c r="A3306" s="8" t="s">
        <v>63</v>
      </c>
      <c r="B3306" s="8" t="s">
        <v>74</v>
      </c>
      <c r="C3306" s="8" t="str">
        <f>IFERROR(_xlfn.XLOOKUP(TRIM(B3306),Lookup!$B$2:$B$1000,Lookup!$C$2:$C$1000),"")</f>
        <v>Equity - Ethical/Exclusionary</v>
      </c>
      <c r="D3306" s="8" t="str">
        <f>IFERROR(INDEX('nav master'!$C:$C, MATCH(B3306, 'nav master'!$B:$B, 0)), "")</f>
        <v>ULIF 035 16/10/09 TSS 110</v>
      </c>
      <c r="E3306" s="8">
        <v>77.663899999999998</v>
      </c>
      <c r="F3306" s="9">
        <v>46083</v>
      </c>
    </row>
    <row r="3307" spans="1:6" ht="60" x14ac:dyDescent="0.25">
      <c r="A3307" s="8" t="s">
        <v>63</v>
      </c>
      <c r="B3307" s="8" t="s">
        <v>74</v>
      </c>
      <c r="C3307" s="8" t="str">
        <f>IFERROR(_xlfn.XLOOKUP(TRIM(B3307),Lookup!$B$2:$B$1000,Lookup!$C$2:$C$1000),"")</f>
        <v>Equity - Ethical/Exclusionary</v>
      </c>
      <c r="D3307" s="8" t="str">
        <f>IFERROR(INDEX('nav master'!$C:$C, MATCH(B3307, 'nav master'!$B:$B, 0)), "")</f>
        <v>ULIF 035 16/10/09 TSS 110</v>
      </c>
      <c r="E3307" s="8">
        <v>75.896500000000003</v>
      </c>
      <c r="F3307" s="9">
        <v>46085</v>
      </c>
    </row>
    <row r="3308" spans="1:6" ht="60" x14ac:dyDescent="0.25">
      <c r="A3308" s="8" t="s">
        <v>63</v>
      </c>
      <c r="B3308" s="8" t="s">
        <v>74</v>
      </c>
      <c r="C3308" s="8" t="str">
        <f>IFERROR(_xlfn.XLOOKUP(TRIM(B3308),Lookup!$B$2:$B$1000,Lookup!$C$2:$C$1000),"")</f>
        <v>Equity - Ethical/Exclusionary</v>
      </c>
      <c r="D3308" s="8" t="str">
        <f>IFERROR(INDEX('nav master'!$C:$C, MATCH(B3308, 'nav master'!$B:$B, 0)), "")</f>
        <v>ULIF 035 16/10/09 TSS 110</v>
      </c>
      <c r="E3308" s="8">
        <v>76.809600000000003</v>
      </c>
      <c r="F3308" s="9">
        <v>46086</v>
      </c>
    </row>
    <row r="3309" spans="1:6" ht="60" x14ac:dyDescent="0.25">
      <c r="A3309" s="8" t="s">
        <v>63</v>
      </c>
      <c r="B3309" s="8" t="s">
        <v>74</v>
      </c>
      <c r="C3309" s="8" t="str">
        <f>IFERROR(_xlfn.XLOOKUP(TRIM(B3309),Lookup!$B$2:$B$1000,Lookup!$C$2:$C$1000),"")</f>
        <v>Equity - Ethical/Exclusionary</v>
      </c>
      <c r="D3309" s="8" t="str">
        <f>IFERROR(INDEX('nav master'!$C:$C, MATCH(B3309, 'nav master'!$B:$B, 0)), "")</f>
        <v>ULIF 035 16/10/09 TSS 110</v>
      </c>
      <c r="E3309" s="8">
        <v>76.528400000000005</v>
      </c>
      <c r="F3309" s="9">
        <v>46087</v>
      </c>
    </row>
    <row r="3310" spans="1:6" ht="60" x14ac:dyDescent="0.25">
      <c r="A3310" s="8" t="s">
        <v>63</v>
      </c>
      <c r="B3310" s="8" t="s">
        <v>74</v>
      </c>
      <c r="C3310" s="8" t="str">
        <f>IFERROR(_xlfn.XLOOKUP(TRIM(B3310),Lookup!$B$2:$B$1000,Lookup!$C$2:$C$1000),"")</f>
        <v>Equity - Ethical/Exclusionary</v>
      </c>
      <c r="D3310" s="8" t="str">
        <f>IFERROR(INDEX('nav master'!$C:$C, MATCH(B3310, 'nav master'!$B:$B, 0)), "")</f>
        <v>ULIF 035 16/10/09 TSS 110</v>
      </c>
      <c r="E3310" s="8">
        <v>74.576899999999995</v>
      </c>
      <c r="F3310" s="9">
        <v>46090</v>
      </c>
    </row>
    <row r="3311" spans="1:6" ht="60" x14ac:dyDescent="0.25">
      <c r="A3311" s="8" t="s">
        <v>63</v>
      </c>
      <c r="B3311" s="8" t="s">
        <v>74</v>
      </c>
      <c r="C3311" s="8" t="str">
        <f>IFERROR(_xlfn.XLOOKUP(TRIM(B3311),Lookup!$B$2:$B$1000,Lookup!$C$2:$C$1000),"")</f>
        <v>Equity - Ethical/Exclusionary</v>
      </c>
      <c r="D3311" s="8" t="str">
        <f>IFERROR(INDEX('nav master'!$C:$C, MATCH(B3311, 'nav master'!$B:$B, 0)), "")</f>
        <v>ULIF 035 16/10/09 TSS 110</v>
      </c>
      <c r="E3311" s="8">
        <v>75.880799999999994</v>
      </c>
      <c r="F3311" s="9">
        <v>46091</v>
      </c>
    </row>
    <row r="3312" spans="1:6" ht="60" x14ac:dyDescent="0.25">
      <c r="A3312" s="8" t="s">
        <v>63</v>
      </c>
      <c r="B3312" s="8" t="s">
        <v>74</v>
      </c>
      <c r="C3312" s="8" t="str">
        <f>IFERROR(_xlfn.XLOOKUP(TRIM(B3312),Lookup!$B$2:$B$1000,Lookup!$C$2:$C$1000),"")</f>
        <v>Equity - Ethical/Exclusionary</v>
      </c>
      <c r="D3312" s="8" t="str">
        <f>IFERROR(INDEX('nav master'!$C:$C, MATCH(B3312, 'nav master'!$B:$B, 0)), "")</f>
        <v>ULIF 035 16/10/09 TSS 110</v>
      </c>
      <c r="E3312" s="8">
        <v>75.302700000000002</v>
      </c>
      <c r="F3312" s="9">
        <v>46092</v>
      </c>
    </row>
    <row r="3313" spans="1:6" ht="60" x14ac:dyDescent="0.25">
      <c r="A3313" s="8" t="s">
        <v>63</v>
      </c>
      <c r="B3313" s="8" t="s">
        <v>74</v>
      </c>
      <c r="C3313" s="8" t="str">
        <f>IFERROR(_xlfn.XLOOKUP(TRIM(B3313),Lookup!$B$2:$B$1000,Lookup!$C$2:$C$1000),"")</f>
        <v>Equity - Ethical/Exclusionary</v>
      </c>
      <c r="D3313" s="8" t="str">
        <f>IFERROR(INDEX('nav master'!$C:$C, MATCH(B3313, 'nav master'!$B:$B, 0)), "")</f>
        <v>ULIF 035 16/10/09 TSS 110</v>
      </c>
      <c r="E3313" s="8">
        <v>75.202299999999994</v>
      </c>
      <c r="F3313" s="9">
        <v>46093</v>
      </c>
    </row>
    <row r="3314" spans="1:6" ht="60" x14ac:dyDescent="0.25">
      <c r="A3314" s="8" t="s">
        <v>63</v>
      </c>
      <c r="B3314" s="8" t="s">
        <v>74</v>
      </c>
      <c r="C3314" s="8" t="str">
        <f>IFERROR(_xlfn.XLOOKUP(TRIM(B3314),Lookup!$B$2:$B$1000,Lookup!$C$2:$C$1000),"")</f>
        <v>Equity - Ethical/Exclusionary</v>
      </c>
      <c r="D3314" s="8" t="str">
        <f>IFERROR(INDEX('nav master'!$C:$C, MATCH(B3314, 'nav master'!$B:$B, 0)), "")</f>
        <v>ULIF 035 16/10/09 TSS 110</v>
      </c>
      <c r="E3314" s="8">
        <v>73.021199999999993</v>
      </c>
      <c r="F3314" s="9">
        <v>46094</v>
      </c>
    </row>
    <row r="3315" spans="1:6" ht="60" x14ac:dyDescent="0.25">
      <c r="A3315" s="8" t="s">
        <v>63</v>
      </c>
      <c r="B3315" s="8" t="s">
        <v>74</v>
      </c>
      <c r="C3315" s="8" t="str">
        <f>IFERROR(_xlfn.XLOOKUP(TRIM(B3315),Lookup!$B$2:$B$1000,Lookup!$C$2:$C$1000),"")</f>
        <v>Equity - Ethical/Exclusionary</v>
      </c>
      <c r="D3315" s="8" t="str">
        <f>IFERROR(INDEX('nav master'!$C:$C, MATCH(B3315, 'nav master'!$B:$B, 0)), "")</f>
        <v>ULIF 035 16/10/09 TSS 110</v>
      </c>
      <c r="E3315" s="8">
        <v>72.883899999999997</v>
      </c>
      <c r="F3315" s="9">
        <v>46097</v>
      </c>
    </row>
    <row r="3316" spans="1:6" ht="60" x14ac:dyDescent="0.25">
      <c r="A3316" s="8" t="s">
        <v>63</v>
      </c>
      <c r="B3316" s="8" t="s">
        <v>74</v>
      </c>
      <c r="C3316" s="8" t="str">
        <f>IFERROR(_xlfn.XLOOKUP(TRIM(B3316),Lookup!$B$2:$B$1000,Lookup!$C$2:$C$1000),"")</f>
        <v>Equity - Ethical/Exclusionary</v>
      </c>
      <c r="D3316" s="8" t="str">
        <f>IFERROR(INDEX('nav master'!$C:$C, MATCH(B3316, 'nav master'!$B:$B, 0)), "")</f>
        <v>ULIF 035 16/10/09 TSS 110</v>
      </c>
      <c r="E3316" s="8">
        <v>73.519000000000005</v>
      </c>
      <c r="F3316" s="9">
        <v>46098</v>
      </c>
    </row>
    <row r="3317" spans="1:6" ht="60" x14ac:dyDescent="0.25">
      <c r="A3317" s="8" t="s">
        <v>63</v>
      </c>
      <c r="B3317" s="8" t="s">
        <v>74</v>
      </c>
      <c r="C3317" s="8" t="str">
        <f>IFERROR(_xlfn.XLOOKUP(TRIM(B3317),Lookup!$B$2:$B$1000,Lookup!$C$2:$C$1000),"")</f>
        <v>Equity - Ethical/Exclusionary</v>
      </c>
      <c r="D3317" s="8" t="str">
        <f>IFERROR(INDEX('nav master'!$C:$C, MATCH(B3317, 'nav master'!$B:$B, 0)), "")</f>
        <v>ULIF 035 16/10/09 TSS 110</v>
      </c>
      <c r="E3317" s="8">
        <v>74.548299999999998</v>
      </c>
      <c r="F3317" s="9">
        <v>46099</v>
      </c>
    </row>
    <row r="3318" spans="1:6" ht="60" x14ac:dyDescent="0.25">
      <c r="A3318" s="8" t="s">
        <v>63</v>
      </c>
      <c r="B3318" s="8" t="s">
        <v>74</v>
      </c>
      <c r="C3318" s="8" t="str">
        <f>IFERROR(_xlfn.XLOOKUP(TRIM(B3318),Lookup!$B$2:$B$1000,Lookup!$C$2:$C$1000),"")</f>
        <v>Equity - Ethical/Exclusionary</v>
      </c>
      <c r="D3318" s="8" t="str">
        <f>IFERROR(INDEX('nav master'!$C:$C, MATCH(B3318, 'nav master'!$B:$B, 0)), "")</f>
        <v>ULIF 035 16/10/09 TSS 110</v>
      </c>
      <c r="E3318" s="8">
        <v>72.108999999999995</v>
      </c>
      <c r="F3318" s="9">
        <v>46100</v>
      </c>
    </row>
    <row r="3319" spans="1:6" ht="60" x14ac:dyDescent="0.25">
      <c r="A3319" s="8" t="s">
        <v>63</v>
      </c>
      <c r="B3319" s="8" t="s">
        <v>74</v>
      </c>
      <c r="C3319" s="8" t="str">
        <f>IFERROR(_xlfn.XLOOKUP(TRIM(B3319),Lookup!$B$2:$B$1000,Lookup!$C$2:$C$1000),"")</f>
        <v>Equity - Ethical/Exclusionary</v>
      </c>
      <c r="D3319" s="8" t="str">
        <f>IFERROR(INDEX('nav master'!$C:$C, MATCH(B3319, 'nav master'!$B:$B, 0)), "")</f>
        <v>ULIF 035 16/10/09 TSS 110</v>
      </c>
      <c r="E3319" s="8">
        <v>72.710300000000004</v>
      </c>
      <c r="F3319" s="9">
        <v>46101</v>
      </c>
    </row>
    <row r="3320" spans="1:6" ht="60" x14ac:dyDescent="0.25">
      <c r="A3320" s="8" t="s">
        <v>63</v>
      </c>
      <c r="B3320" s="8" t="s">
        <v>74</v>
      </c>
      <c r="C3320" s="8" t="str">
        <f>IFERROR(_xlfn.XLOOKUP(TRIM(B3320),Lookup!$B$2:$B$1000,Lookup!$C$2:$C$1000),"")</f>
        <v>Equity - Ethical/Exclusionary</v>
      </c>
      <c r="D3320" s="8" t="str">
        <f>IFERROR(INDEX('nav master'!$C:$C, MATCH(B3320, 'nav master'!$B:$B, 0)), "")</f>
        <v>ULIF 035 16/10/09 TSS 110</v>
      </c>
      <c r="E3320" s="8">
        <v>70.219200000000001</v>
      </c>
      <c r="F3320" s="9">
        <v>46104</v>
      </c>
    </row>
    <row r="3321" spans="1:6" ht="60" x14ac:dyDescent="0.25">
      <c r="A3321" s="8" t="s">
        <v>63</v>
      </c>
      <c r="B3321" s="8" t="s">
        <v>74</v>
      </c>
      <c r="C3321" s="8" t="str">
        <f>IFERROR(_xlfn.XLOOKUP(TRIM(B3321),Lookup!$B$2:$B$1000,Lookup!$C$2:$C$1000),"")</f>
        <v>Equity - Ethical/Exclusionary</v>
      </c>
      <c r="D3321" s="8" t="str">
        <f>IFERROR(INDEX('nav master'!$C:$C, MATCH(B3321, 'nav master'!$B:$B, 0)), "")</f>
        <v>ULIF 035 16/10/09 TSS 110</v>
      </c>
      <c r="E3321" s="8">
        <v>71.935500000000005</v>
      </c>
      <c r="F3321" s="9">
        <v>46105</v>
      </c>
    </row>
    <row r="3322" spans="1:6" ht="60" x14ac:dyDescent="0.25">
      <c r="A3322" s="8" t="s">
        <v>63</v>
      </c>
      <c r="B3322" s="8" t="s">
        <v>74</v>
      </c>
      <c r="C3322" s="8" t="str">
        <f>IFERROR(_xlfn.XLOOKUP(TRIM(B3322),Lookup!$B$2:$B$1000,Lookup!$C$2:$C$1000),"")</f>
        <v>Equity - Ethical/Exclusionary</v>
      </c>
      <c r="D3322" s="8" t="str">
        <f>IFERROR(INDEX('nav master'!$C:$C, MATCH(B3322, 'nav master'!$B:$B, 0)), "")</f>
        <v>ULIF 035 16/10/09 TSS 110</v>
      </c>
      <c r="E3322" s="8">
        <v>73.494900000000001</v>
      </c>
      <c r="F3322" s="9">
        <v>46106</v>
      </c>
    </row>
    <row r="3323" spans="1:6" ht="60" x14ac:dyDescent="0.25">
      <c r="A3323" s="8" t="s">
        <v>63</v>
      </c>
      <c r="B3323" s="8" t="s">
        <v>74</v>
      </c>
      <c r="C3323" s="8" t="str">
        <f>IFERROR(_xlfn.XLOOKUP(TRIM(B3323),Lookup!$B$2:$B$1000,Lookup!$C$2:$C$1000),"")</f>
        <v>Equity - Ethical/Exclusionary</v>
      </c>
      <c r="D3323" s="8" t="str">
        <f>IFERROR(INDEX('nav master'!$C:$C, MATCH(B3323, 'nav master'!$B:$B, 0)), "")</f>
        <v>ULIF 035 16/10/09 TSS 110</v>
      </c>
      <c r="E3323" s="8">
        <v>72.147999999999996</v>
      </c>
      <c r="F3323" s="9">
        <v>46108</v>
      </c>
    </row>
    <row r="3324" spans="1:6" ht="60" x14ac:dyDescent="0.25">
      <c r="A3324" s="8" t="s">
        <v>63</v>
      </c>
      <c r="B3324" s="8" t="s">
        <v>74</v>
      </c>
      <c r="C3324" s="8" t="str">
        <f>IFERROR(_xlfn.XLOOKUP(TRIM(B3324),Lookup!$B$2:$B$1000,Lookup!$C$2:$C$1000),"")</f>
        <v>Equity - Ethical/Exclusionary</v>
      </c>
      <c r="D3324" s="8" t="str">
        <f>IFERROR(INDEX('nav master'!$C:$C, MATCH(B3324, 'nav master'!$B:$B, 0)), "")</f>
        <v>ULIF 035 16/10/09 TSS 110</v>
      </c>
      <c r="E3324" s="8">
        <v>70.662199999999999</v>
      </c>
      <c r="F3324" s="9">
        <v>46111</v>
      </c>
    </row>
    <row r="3325" spans="1:6" ht="60" x14ac:dyDescent="0.25">
      <c r="A3325" s="8" t="s">
        <v>63</v>
      </c>
      <c r="B3325" s="8" t="s">
        <v>74</v>
      </c>
      <c r="C3325" s="8" t="str">
        <f>IFERROR(_xlfn.XLOOKUP(TRIM(B3325),Lookup!$B$2:$B$1000,Lookup!$C$2:$C$1000),"")</f>
        <v>Equity - Ethical/Exclusionary</v>
      </c>
      <c r="D3325" s="8" t="str">
        <f>IFERROR(INDEX('nav master'!$C:$C, MATCH(B3325, 'nav master'!$B:$B, 0)), "")</f>
        <v>ULIF 035 16/10/09 TSS 110</v>
      </c>
      <c r="E3325" s="8">
        <v>70.659899999999993</v>
      </c>
      <c r="F3325" s="9">
        <v>46112</v>
      </c>
    </row>
    <row r="3326" spans="1:6" ht="60" x14ac:dyDescent="0.25">
      <c r="A3326" s="8" t="s">
        <v>63</v>
      </c>
      <c r="B3326" s="8" t="s">
        <v>74</v>
      </c>
      <c r="C3326" s="8" t="str">
        <f>IFERROR(_xlfn.XLOOKUP(TRIM(B3326),Lookup!$B$2:$B$1000,Lookup!$C$2:$C$1000),"")</f>
        <v>Equity - Ethical/Exclusionary</v>
      </c>
      <c r="D3326" s="8" t="str">
        <f>IFERROR(INDEX('nav master'!$C:$C, MATCH(B3326, 'nav master'!$B:$B, 0)), "")</f>
        <v>ULIF 035 16/10/09 TSS 110</v>
      </c>
      <c r="E3326" s="8">
        <v>71.782399999999996</v>
      </c>
      <c r="F3326" s="9">
        <v>46113</v>
      </c>
    </row>
    <row r="3327" spans="1:6" ht="60" x14ac:dyDescent="0.25">
      <c r="A3327" s="8" t="s">
        <v>63</v>
      </c>
      <c r="B3327" s="8" t="s">
        <v>74</v>
      </c>
      <c r="C3327" s="8" t="str">
        <f>IFERROR(_xlfn.XLOOKUP(TRIM(B3327),Lookup!$B$2:$B$1000,Lookup!$C$2:$C$1000),"")</f>
        <v>Equity - Ethical/Exclusionary</v>
      </c>
      <c r="D3327" s="8" t="str">
        <f>IFERROR(INDEX('nav master'!$C:$C, MATCH(B3327, 'nav master'!$B:$B, 0)), "")</f>
        <v>ULIF 035 16/10/09 TSS 110</v>
      </c>
      <c r="E3327" s="8">
        <v>71.689599999999999</v>
      </c>
      <c r="F3327" s="9">
        <v>46114</v>
      </c>
    </row>
    <row r="3328" spans="1:6" ht="60" x14ac:dyDescent="0.25">
      <c r="A3328" s="8" t="s">
        <v>63</v>
      </c>
      <c r="B3328" s="8" t="s">
        <v>74</v>
      </c>
      <c r="C3328" s="8" t="str">
        <f>IFERROR(_xlfn.XLOOKUP(TRIM(B3328),Lookup!$B$2:$B$1000,Lookup!$C$2:$C$1000),"")</f>
        <v>Equity - Ethical/Exclusionary</v>
      </c>
      <c r="D3328" s="8" t="str">
        <f>IFERROR(INDEX('nav master'!$C:$C, MATCH(B3328, 'nav master'!$B:$B, 0)), "")</f>
        <v>ULIF 035 16/10/09 TSS 110</v>
      </c>
      <c r="E3328" s="8">
        <v>72.098600000000005</v>
      </c>
      <c r="F3328" s="9">
        <v>46118</v>
      </c>
    </row>
    <row r="3329" spans="1:6" ht="60" x14ac:dyDescent="0.25">
      <c r="A3329" s="8" t="s">
        <v>63</v>
      </c>
      <c r="B3329" s="8" t="s">
        <v>74</v>
      </c>
      <c r="C3329" s="8" t="str">
        <f>IFERROR(_xlfn.XLOOKUP(TRIM(B3329),Lookup!$B$2:$B$1000,Lookup!$C$2:$C$1000),"")</f>
        <v>Equity - Ethical/Exclusionary</v>
      </c>
      <c r="D3329" s="8" t="str">
        <f>IFERROR(INDEX('nav master'!$C:$C, MATCH(B3329, 'nav master'!$B:$B, 0)), "")</f>
        <v>ULIF 035 16/10/09 TSS 110</v>
      </c>
      <c r="E3329" s="8">
        <v>72.524299999999997</v>
      </c>
      <c r="F3329" s="9">
        <v>46119</v>
      </c>
    </row>
    <row r="3330" spans="1:6" ht="60" x14ac:dyDescent="0.25">
      <c r="A3330" s="8" t="s">
        <v>63</v>
      </c>
      <c r="B3330" s="8" t="s">
        <v>74</v>
      </c>
      <c r="C3330" s="8" t="str">
        <f>IFERROR(_xlfn.XLOOKUP(TRIM(B3330),Lookup!$B$2:$B$1000,Lookup!$C$2:$C$1000),"")</f>
        <v>Equity - Ethical/Exclusionary</v>
      </c>
      <c r="D3330" s="8" t="str">
        <f>IFERROR(INDEX('nav master'!$C:$C, MATCH(B3330, 'nav master'!$B:$B, 0)), "")</f>
        <v>ULIF 035 16/10/09 TSS 110</v>
      </c>
      <c r="E3330" s="8">
        <v>75.175200000000004</v>
      </c>
      <c r="F3330" s="9">
        <v>46120</v>
      </c>
    </row>
    <row r="3331" spans="1:6" ht="60" x14ac:dyDescent="0.25">
      <c r="A3331" s="8" t="s">
        <v>63</v>
      </c>
      <c r="B3331" s="8" t="s">
        <v>74</v>
      </c>
      <c r="C3331" s="8" t="str">
        <f>IFERROR(_xlfn.XLOOKUP(TRIM(B3331),Lookup!$B$2:$B$1000,Lookup!$C$2:$C$1000),"")</f>
        <v>Equity - Ethical/Exclusionary</v>
      </c>
      <c r="D3331" s="8" t="str">
        <f>IFERROR(INDEX('nav master'!$C:$C, MATCH(B3331, 'nav master'!$B:$B, 0)), "")</f>
        <v>ULIF 035 16/10/09 TSS 110</v>
      </c>
      <c r="E3331" s="8">
        <v>75.038899999999998</v>
      </c>
      <c r="F3331" s="9">
        <v>46121</v>
      </c>
    </row>
    <row r="3332" spans="1:6" ht="60" x14ac:dyDescent="0.25">
      <c r="A3332" s="8" t="s">
        <v>63</v>
      </c>
      <c r="B3332" s="8" t="s">
        <v>74</v>
      </c>
      <c r="C3332" s="8" t="str">
        <f>IFERROR(_xlfn.XLOOKUP(TRIM(B3332),Lookup!$B$2:$B$1000,Lookup!$C$2:$C$1000),"")</f>
        <v>Equity - Ethical/Exclusionary</v>
      </c>
      <c r="D3332" s="8" t="str">
        <f>IFERROR(INDEX('nav master'!$C:$C, MATCH(B3332, 'nav master'!$B:$B, 0)), "")</f>
        <v>ULIF 035 16/10/09 TSS 110</v>
      </c>
      <c r="E3332" s="8">
        <v>75.911000000000001</v>
      </c>
      <c r="F3332" s="9">
        <v>46122</v>
      </c>
    </row>
    <row r="3333" spans="1:6" ht="60" x14ac:dyDescent="0.25">
      <c r="A3333" s="8" t="s">
        <v>63</v>
      </c>
      <c r="B3333" s="8" t="s">
        <v>74</v>
      </c>
      <c r="C3333" s="8" t="str">
        <f>IFERROR(_xlfn.XLOOKUP(TRIM(B3333),Lookup!$B$2:$B$1000,Lookup!$C$2:$C$1000),"")</f>
        <v>Equity - Ethical/Exclusionary</v>
      </c>
      <c r="D3333" s="8" t="str">
        <f>IFERROR(INDEX('nav master'!$C:$C, MATCH(B3333, 'nav master'!$B:$B, 0)), "")</f>
        <v>ULIF 035 16/10/09 TSS 110</v>
      </c>
      <c r="E3333" s="8">
        <v>75.336100000000002</v>
      </c>
      <c r="F3333" s="9">
        <v>46125</v>
      </c>
    </row>
    <row r="3334" spans="1:6" ht="60" x14ac:dyDescent="0.25">
      <c r="A3334" s="8" t="s">
        <v>63</v>
      </c>
      <c r="B3334" s="8" t="s">
        <v>74</v>
      </c>
      <c r="C3334" s="8" t="str">
        <f>IFERROR(_xlfn.XLOOKUP(TRIM(B3334),Lookup!$B$2:$B$1000,Lookup!$C$2:$C$1000),"")</f>
        <v>Equity - Ethical/Exclusionary</v>
      </c>
      <c r="D3334" s="8" t="str">
        <f>IFERROR(INDEX('nav master'!$C:$C, MATCH(B3334, 'nav master'!$B:$B, 0)), "")</f>
        <v>ULIF 035 16/10/09 TSS 110</v>
      </c>
      <c r="E3334" s="8">
        <v>77.093599999999995</v>
      </c>
      <c r="F3334" s="9">
        <v>46127</v>
      </c>
    </row>
    <row r="3335" spans="1:6" ht="60" x14ac:dyDescent="0.25">
      <c r="A3335" s="8" t="s">
        <v>63</v>
      </c>
      <c r="B3335" s="8" t="s">
        <v>74</v>
      </c>
      <c r="C3335" s="8" t="str">
        <f>IFERROR(_xlfn.XLOOKUP(TRIM(B3335),Lookup!$B$2:$B$1000,Lookup!$C$2:$C$1000),"")</f>
        <v>Equity - Ethical/Exclusionary</v>
      </c>
      <c r="D3335" s="8" t="str">
        <f>IFERROR(INDEX('nav master'!$C:$C, MATCH(B3335, 'nav master'!$B:$B, 0)), "")</f>
        <v>ULIF 035 16/10/09 TSS 110</v>
      </c>
      <c r="E3335" s="8">
        <v>77.727099999999993</v>
      </c>
      <c r="F3335" s="9">
        <v>46128</v>
      </c>
    </row>
    <row r="3336" spans="1:6" ht="60" x14ac:dyDescent="0.25">
      <c r="A3336" s="8" t="s">
        <v>63</v>
      </c>
      <c r="B3336" s="8" t="s">
        <v>74</v>
      </c>
      <c r="C3336" s="8" t="str">
        <f>IFERROR(_xlfn.XLOOKUP(TRIM(B3336),Lookup!$B$2:$B$1000,Lookup!$C$2:$C$1000),"")</f>
        <v>Equity - Ethical/Exclusionary</v>
      </c>
      <c r="D3336" s="8" t="str">
        <f>IFERROR(INDEX('nav master'!$C:$C, MATCH(B3336, 'nav master'!$B:$B, 0)), "")</f>
        <v>ULIF 035 16/10/09 TSS 110</v>
      </c>
      <c r="E3336" s="8">
        <v>78.610799999999998</v>
      </c>
      <c r="F3336" s="9">
        <v>46129</v>
      </c>
    </row>
    <row r="3337" spans="1:6" ht="60" x14ac:dyDescent="0.25">
      <c r="A3337" s="8" t="s">
        <v>63</v>
      </c>
      <c r="B3337" s="8" t="s">
        <v>74</v>
      </c>
      <c r="C3337" s="8" t="str">
        <f>IFERROR(_xlfn.XLOOKUP(TRIM(B3337),Lookup!$B$2:$B$1000,Lookup!$C$2:$C$1000),"")</f>
        <v>Equity - Ethical/Exclusionary</v>
      </c>
      <c r="D3337" s="8" t="str">
        <f>IFERROR(INDEX('nav master'!$C:$C, MATCH(B3337, 'nav master'!$B:$B, 0)), "")</f>
        <v>ULIF 035 16/10/09 TSS 110</v>
      </c>
      <c r="E3337" s="8">
        <v>78.461100000000002</v>
      </c>
      <c r="F3337" s="9">
        <v>46132</v>
      </c>
    </row>
    <row r="3338" spans="1:6" ht="60" x14ac:dyDescent="0.25">
      <c r="A3338" s="8" t="s">
        <v>63</v>
      </c>
      <c r="B3338" s="8" t="s">
        <v>74</v>
      </c>
      <c r="C3338" s="8" t="str">
        <f>IFERROR(_xlfn.XLOOKUP(TRIM(B3338),Lookup!$B$2:$B$1000,Lookup!$C$2:$C$1000),"")</f>
        <v>Equity - Ethical/Exclusionary</v>
      </c>
      <c r="D3338" s="8" t="str">
        <f>IFERROR(INDEX('nav master'!$C:$C, MATCH(B3338, 'nav master'!$B:$B, 0)), "")</f>
        <v>ULIF 035 16/10/09 TSS 110</v>
      </c>
      <c r="E3338" s="8">
        <v>78.88</v>
      </c>
      <c r="F3338" s="9">
        <v>46133</v>
      </c>
    </row>
    <row r="3339" spans="1:6" ht="60" x14ac:dyDescent="0.25">
      <c r="A3339" s="8" t="s">
        <v>63</v>
      </c>
      <c r="B3339" s="8" t="s">
        <v>74</v>
      </c>
      <c r="C3339" s="8" t="str">
        <f>IFERROR(_xlfn.XLOOKUP(TRIM(B3339),Lookup!$B$2:$B$1000,Lookup!$C$2:$C$1000),"")</f>
        <v>Equity - Ethical/Exclusionary</v>
      </c>
      <c r="D3339" s="8" t="str">
        <f>IFERROR(INDEX('nav master'!$C:$C, MATCH(B3339, 'nav master'!$B:$B, 0)), "")</f>
        <v>ULIF 035 16/10/09 TSS 110</v>
      </c>
      <c r="E3339" s="8">
        <v>78.933300000000003</v>
      </c>
      <c r="F3339" s="9">
        <v>46134</v>
      </c>
    </row>
    <row r="3340" spans="1:6" ht="60" x14ac:dyDescent="0.25">
      <c r="A3340" s="8" t="s">
        <v>63</v>
      </c>
      <c r="B3340" s="8" t="s">
        <v>74</v>
      </c>
      <c r="C3340" s="8" t="str">
        <f>IFERROR(_xlfn.XLOOKUP(TRIM(B3340),Lookup!$B$2:$B$1000,Lookup!$C$2:$C$1000),"")</f>
        <v>Equity - Ethical/Exclusionary</v>
      </c>
      <c r="D3340" s="8" t="str">
        <f>IFERROR(INDEX('nav master'!$C:$C, MATCH(B3340, 'nav master'!$B:$B, 0)), "")</f>
        <v>ULIF 035 16/10/09 TSS 110</v>
      </c>
      <c r="E3340" s="8">
        <v>78.198700000000002</v>
      </c>
      <c r="F3340" s="9">
        <v>46135</v>
      </c>
    </row>
    <row r="3341" spans="1:6" ht="60" x14ac:dyDescent="0.25">
      <c r="A3341" s="8" t="s">
        <v>63</v>
      </c>
      <c r="B3341" s="8" t="s">
        <v>74</v>
      </c>
      <c r="C3341" s="8" t="str">
        <f>IFERROR(_xlfn.XLOOKUP(TRIM(B3341),Lookup!$B$2:$B$1000,Lookup!$C$2:$C$1000),"")</f>
        <v>Equity - Ethical/Exclusionary</v>
      </c>
      <c r="D3341" s="8" t="str">
        <f>IFERROR(INDEX('nav master'!$C:$C, MATCH(B3341, 'nav master'!$B:$B, 0)), "")</f>
        <v>ULIF 035 16/10/09 TSS 110</v>
      </c>
      <c r="E3341" s="8">
        <v>76.9482</v>
      </c>
      <c r="F3341" s="9">
        <v>46136</v>
      </c>
    </row>
    <row r="3342" spans="1:6" ht="60" x14ac:dyDescent="0.25">
      <c r="A3342" s="8" t="s">
        <v>63</v>
      </c>
      <c r="B3342" s="8" t="s">
        <v>74</v>
      </c>
      <c r="C3342" s="8" t="str">
        <f>IFERROR(_xlfn.XLOOKUP(TRIM(B3342),Lookup!$B$2:$B$1000,Lookup!$C$2:$C$1000),"")</f>
        <v>Equity - Ethical/Exclusionary</v>
      </c>
      <c r="D3342" s="8" t="str">
        <f>IFERROR(INDEX('nav master'!$C:$C, MATCH(B3342, 'nav master'!$B:$B, 0)), "")</f>
        <v>ULIF 035 16/10/09 TSS 110</v>
      </c>
      <c r="E3342" s="8">
        <v>78.301199999999994</v>
      </c>
      <c r="F3342" s="9">
        <v>46139</v>
      </c>
    </row>
    <row r="3343" spans="1:6" ht="60" x14ac:dyDescent="0.25">
      <c r="A3343" s="8" t="s">
        <v>63</v>
      </c>
      <c r="B3343" s="8" t="s">
        <v>74</v>
      </c>
      <c r="C3343" s="8" t="str">
        <f>IFERROR(_xlfn.XLOOKUP(TRIM(B3343),Lookup!$B$2:$B$1000,Lookup!$C$2:$C$1000),"")</f>
        <v>Equity - Ethical/Exclusionary</v>
      </c>
      <c r="D3343" s="8" t="str">
        <f>IFERROR(INDEX('nav master'!$C:$C, MATCH(B3343, 'nav master'!$B:$B, 0)), "")</f>
        <v>ULIF 035 16/10/09 TSS 110</v>
      </c>
      <c r="E3343" s="8">
        <v>78.049400000000006</v>
      </c>
      <c r="F3343" s="9">
        <v>46140</v>
      </c>
    </row>
    <row r="3344" spans="1:6" ht="60" x14ac:dyDescent="0.25">
      <c r="A3344" s="8" t="s">
        <v>63</v>
      </c>
      <c r="B3344" s="8" t="s">
        <v>74</v>
      </c>
      <c r="C3344" s="8" t="str">
        <f>IFERROR(_xlfn.XLOOKUP(TRIM(B3344),Lookup!$B$2:$B$1000,Lookup!$C$2:$C$1000),"")</f>
        <v>Equity - Ethical/Exclusionary</v>
      </c>
      <c r="D3344" s="8" t="str">
        <f>IFERROR(INDEX('nav master'!$C:$C, MATCH(B3344, 'nav master'!$B:$B, 0)), "")</f>
        <v>ULIF 035 16/10/09 TSS 110</v>
      </c>
      <c r="E3344" s="8">
        <v>78.082099999999997</v>
      </c>
      <c r="F3344" s="9">
        <v>46141</v>
      </c>
    </row>
    <row r="3345" spans="1:6" ht="60" x14ac:dyDescent="0.25">
      <c r="A3345" s="8" t="s">
        <v>63</v>
      </c>
      <c r="B3345" s="8" t="s">
        <v>74</v>
      </c>
      <c r="C3345" s="8" t="str">
        <f>IFERROR(_xlfn.XLOOKUP(TRIM(B3345),Lookup!$B$2:$B$1000,Lookup!$C$2:$C$1000),"")</f>
        <v>Equity - Ethical/Exclusionary</v>
      </c>
      <c r="D3345" s="8" t="str">
        <f>IFERROR(INDEX('nav master'!$C:$C, MATCH(B3345, 'nav master'!$B:$B, 0)), "")</f>
        <v>ULIF 035 16/10/09 TSS 110</v>
      </c>
      <c r="E3345" s="8">
        <v>77.2346</v>
      </c>
      <c r="F3345" s="9">
        <v>46142</v>
      </c>
    </row>
    <row r="3346" spans="1:6" ht="60" x14ac:dyDescent="0.25">
      <c r="A3346" s="8" t="s">
        <v>63</v>
      </c>
      <c r="B3346" s="8" t="s">
        <v>74</v>
      </c>
      <c r="C3346" s="8" t="str">
        <f>IFERROR(_xlfn.XLOOKUP(TRIM(B3346),Lookup!$B$2:$B$1000,Lookup!$C$2:$C$1000),"")</f>
        <v>Equity - Ethical/Exclusionary</v>
      </c>
      <c r="D3346" s="8" t="str">
        <f>IFERROR(INDEX('nav master'!$C:$C, MATCH(B3346, 'nav master'!$B:$B, 0)), "")</f>
        <v>ULIF 035 16/10/09 TSS 110</v>
      </c>
      <c r="E3346" s="8">
        <v>78.065299999999993</v>
      </c>
      <c r="F3346" s="9">
        <v>46146</v>
      </c>
    </row>
    <row r="3347" spans="1:6" ht="60" x14ac:dyDescent="0.25">
      <c r="A3347" s="8" t="s">
        <v>63</v>
      </c>
      <c r="B3347" s="8" t="s">
        <v>74</v>
      </c>
      <c r="C3347" s="8" t="str">
        <f>IFERROR(_xlfn.XLOOKUP(TRIM(B3347),Lookup!$B$2:$B$1000,Lookup!$C$2:$C$1000),"")</f>
        <v>Equity - Ethical/Exclusionary</v>
      </c>
      <c r="D3347" s="8" t="str">
        <f>IFERROR(INDEX('nav master'!$C:$C, MATCH(B3347, 'nav master'!$B:$B, 0)), "")</f>
        <v>ULIF 035 16/10/09 TSS 110</v>
      </c>
      <c r="E3347" s="8">
        <v>78.014300000000006</v>
      </c>
      <c r="F3347" s="9">
        <v>46147</v>
      </c>
    </row>
    <row r="3348" spans="1:6" ht="60" x14ac:dyDescent="0.25">
      <c r="A3348" s="8" t="s">
        <v>63</v>
      </c>
      <c r="B3348" s="8" t="s">
        <v>74</v>
      </c>
      <c r="C3348" s="8" t="str">
        <f>IFERROR(_xlfn.XLOOKUP(TRIM(B3348),Lookup!$B$2:$B$1000,Lookup!$C$2:$C$1000),"")</f>
        <v>Equity - Ethical/Exclusionary</v>
      </c>
      <c r="D3348" s="8" t="str">
        <f>IFERROR(INDEX('nav master'!$C:$C, MATCH(B3348, 'nav master'!$B:$B, 0)), "")</f>
        <v>ULIF 035 16/10/09 TSS 110</v>
      </c>
      <c r="E3348" s="8">
        <v>79.075199999999995</v>
      </c>
      <c r="F3348" s="9">
        <v>46148</v>
      </c>
    </row>
    <row r="3349" spans="1:6" ht="60" x14ac:dyDescent="0.25">
      <c r="A3349" s="8" t="s">
        <v>63</v>
      </c>
      <c r="B3349" s="8" t="s">
        <v>74</v>
      </c>
      <c r="C3349" s="8" t="str">
        <f>IFERROR(_xlfn.XLOOKUP(TRIM(B3349),Lookup!$B$2:$B$1000,Lookup!$C$2:$C$1000),"")</f>
        <v>Equity - Ethical/Exclusionary</v>
      </c>
      <c r="D3349" s="8" t="str">
        <f>IFERROR(INDEX('nav master'!$C:$C, MATCH(B3349, 'nav master'!$B:$B, 0)), "")</f>
        <v>ULIF 035 16/10/09 TSS 110</v>
      </c>
      <c r="E3349" s="8">
        <v>79.273300000000006</v>
      </c>
      <c r="F3349" s="9">
        <v>46149</v>
      </c>
    </row>
    <row r="3350" spans="1:6" ht="60" x14ac:dyDescent="0.25">
      <c r="A3350" s="8" t="s">
        <v>63</v>
      </c>
      <c r="B3350" s="8" t="s">
        <v>74</v>
      </c>
      <c r="C3350" s="8" t="str">
        <f>IFERROR(_xlfn.XLOOKUP(TRIM(B3350),Lookup!$B$2:$B$1000,Lookup!$C$2:$C$1000),"")</f>
        <v>Equity - Ethical/Exclusionary</v>
      </c>
      <c r="D3350" s="8" t="str">
        <f>IFERROR(INDEX('nav master'!$C:$C, MATCH(B3350, 'nav master'!$B:$B, 0)), "")</f>
        <v>ULIF 035 16/10/09 TSS 110</v>
      </c>
      <c r="E3350" s="8">
        <v>79.355900000000005</v>
      </c>
      <c r="F3350" s="9">
        <v>46150</v>
      </c>
    </row>
    <row r="3351" spans="1:6" ht="60" x14ac:dyDescent="0.25">
      <c r="A3351" s="8" t="s">
        <v>63</v>
      </c>
      <c r="B3351" s="8" t="s">
        <v>74</v>
      </c>
      <c r="C3351" s="8" t="str">
        <f>IFERROR(_xlfn.XLOOKUP(TRIM(B3351),Lookup!$B$2:$B$1000,Lookup!$C$2:$C$1000),"")</f>
        <v>Equity - Ethical/Exclusionary</v>
      </c>
      <c r="D3351" s="8" t="str">
        <f>IFERROR(INDEX('nav master'!$C:$C, MATCH(B3351, 'nav master'!$B:$B, 0)), "")</f>
        <v>ULIF 035 16/10/09 TSS 110</v>
      </c>
      <c r="E3351" s="8">
        <v>78.650000000000006</v>
      </c>
      <c r="F3351" s="9">
        <v>46153</v>
      </c>
    </row>
    <row r="3352" spans="1:6" ht="60" x14ac:dyDescent="0.25">
      <c r="A3352" s="8" t="s">
        <v>63</v>
      </c>
      <c r="B3352" s="8" t="s">
        <v>74</v>
      </c>
      <c r="C3352" s="8" t="str">
        <f>IFERROR(_xlfn.XLOOKUP(TRIM(B3352),Lookup!$B$2:$B$1000,Lookup!$C$2:$C$1000),"")</f>
        <v>Equity - Ethical/Exclusionary</v>
      </c>
      <c r="D3352" s="8" t="str">
        <f>IFERROR(INDEX('nav master'!$C:$C, MATCH(B3352, 'nav master'!$B:$B, 0)), "")</f>
        <v>ULIF 035 16/10/09 TSS 110</v>
      </c>
      <c r="E3352" s="8">
        <v>76.669600000000003</v>
      </c>
      <c r="F3352" s="9">
        <v>46154</v>
      </c>
    </row>
    <row r="3353" spans="1:6" ht="60" x14ac:dyDescent="0.25">
      <c r="A3353" s="8" t="s">
        <v>63</v>
      </c>
      <c r="B3353" s="8" t="s">
        <v>74</v>
      </c>
      <c r="C3353" s="8" t="str">
        <f>IFERROR(_xlfn.XLOOKUP(TRIM(B3353),Lookup!$B$2:$B$1000,Lookup!$C$2:$C$1000),"")</f>
        <v>Equity - Ethical/Exclusionary</v>
      </c>
      <c r="D3353" s="8" t="str">
        <f>IFERROR(INDEX('nav master'!$C:$C, MATCH(B3353, 'nav master'!$B:$B, 0)), "")</f>
        <v>ULIF 035 16/10/09 TSS 110</v>
      </c>
      <c r="E3353" s="8">
        <v>76.8</v>
      </c>
      <c r="F3353" s="9">
        <v>46155</v>
      </c>
    </row>
    <row r="3354" spans="1:6" ht="60" x14ac:dyDescent="0.25">
      <c r="A3354" s="8" t="s">
        <v>63</v>
      </c>
      <c r="B3354" s="8" t="s">
        <v>74</v>
      </c>
      <c r="C3354" s="8" t="str">
        <f>IFERROR(_xlfn.XLOOKUP(TRIM(B3354),Lookup!$B$2:$B$1000,Lookup!$C$2:$C$1000),"")</f>
        <v>Equity - Ethical/Exclusionary</v>
      </c>
      <c r="D3354" s="8" t="str">
        <f>IFERROR(INDEX('nav master'!$C:$C, MATCH(B3354, 'nav master'!$B:$B, 0)), "")</f>
        <v>ULIF 035 16/10/09 TSS 110</v>
      </c>
      <c r="E3354" s="8">
        <v>77.156099999999995</v>
      </c>
      <c r="F3354" s="9">
        <v>46156</v>
      </c>
    </row>
    <row r="3355" spans="1:6" ht="60" x14ac:dyDescent="0.25">
      <c r="A3355" s="8" t="s">
        <v>63</v>
      </c>
      <c r="B3355" s="8" t="s">
        <v>74</v>
      </c>
      <c r="C3355" s="8" t="str">
        <f>IFERROR(_xlfn.XLOOKUP(TRIM(B3355),Lookup!$B$2:$B$1000,Lookup!$C$2:$C$1000),"")</f>
        <v>Equity - Ethical/Exclusionary</v>
      </c>
      <c r="D3355" s="8" t="str">
        <f>IFERROR(INDEX('nav master'!$C:$C, MATCH(B3355, 'nav master'!$B:$B, 0)), "")</f>
        <v>ULIF 035 16/10/09 TSS 110</v>
      </c>
      <c r="E3355" s="8">
        <v>76.921099999999996</v>
      </c>
      <c r="F3355" s="9">
        <v>46157</v>
      </c>
    </row>
    <row r="3356" spans="1:6" ht="60" x14ac:dyDescent="0.25">
      <c r="A3356" s="8" t="s">
        <v>63</v>
      </c>
      <c r="B3356" s="8" t="s">
        <v>74</v>
      </c>
      <c r="C3356" s="8" t="str">
        <f>IFERROR(_xlfn.XLOOKUP(TRIM(B3356),Lookup!$B$2:$B$1000,Lookup!$C$2:$C$1000),"")</f>
        <v>Equity - Ethical/Exclusionary</v>
      </c>
      <c r="D3356" s="8" t="str">
        <f>IFERROR(INDEX('nav master'!$C:$C, MATCH(B3356, 'nav master'!$B:$B, 0)), "")</f>
        <v>ULIF 035 16/10/09 TSS 110</v>
      </c>
      <c r="E3356" s="8">
        <v>75.899600000000007</v>
      </c>
      <c r="F3356" s="9">
        <v>46160</v>
      </c>
    </row>
    <row r="3357" spans="1:6" ht="60" x14ac:dyDescent="0.25">
      <c r="A3357" s="8" t="s">
        <v>63</v>
      </c>
      <c r="B3357" s="8" t="s">
        <v>74</v>
      </c>
      <c r="C3357" s="8" t="str">
        <f>IFERROR(_xlfn.XLOOKUP(TRIM(B3357),Lookup!$B$2:$B$1000,Lookup!$C$2:$C$1000),"")</f>
        <v>Equity - Ethical/Exclusionary</v>
      </c>
      <c r="D3357" s="8" t="str">
        <f>IFERROR(INDEX('nav master'!$C:$C, MATCH(B3357, 'nav master'!$B:$B, 0)), "")</f>
        <v>ULIF 035 16/10/09 TSS 110</v>
      </c>
      <c r="E3357" s="8">
        <v>76.739500000000007</v>
      </c>
      <c r="F3357" s="9">
        <v>46161</v>
      </c>
    </row>
    <row r="3358" spans="1:6" ht="60" x14ac:dyDescent="0.25">
      <c r="A3358" s="8" t="s">
        <v>63</v>
      </c>
      <c r="B3358" s="8" t="s">
        <v>74</v>
      </c>
      <c r="C3358" s="8" t="str">
        <f>IFERROR(_xlfn.XLOOKUP(TRIM(B3358),Lookup!$B$2:$B$1000,Lookup!$C$2:$C$1000),"")</f>
        <v>Equity - Ethical/Exclusionary</v>
      </c>
      <c r="D3358" s="8" t="str">
        <f>IFERROR(INDEX('nav master'!$C:$C, MATCH(B3358, 'nav master'!$B:$B, 0)), "")</f>
        <v>ULIF 035 16/10/09 TSS 110</v>
      </c>
      <c r="E3358" s="8">
        <v>76.955799999999996</v>
      </c>
      <c r="F3358" s="9">
        <v>46162</v>
      </c>
    </row>
    <row r="3359" spans="1:6" ht="60" x14ac:dyDescent="0.25">
      <c r="A3359" s="8" t="s">
        <v>63</v>
      </c>
      <c r="B3359" s="8" t="s">
        <v>74</v>
      </c>
      <c r="C3359" s="8" t="str">
        <f>IFERROR(_xlfn.XLOOKUP(TRIM(B3359),Lookup!$B$2:$B$1000,Lookup!$C$2:$C$1000),"")</f>
        <v>Equity - Ethical/Exclusionary</v>
      </c>
      <c r="D3359" s="8" t="str">
        <f>IFERROR(INDEX('nav master'!$C:$C, MATCH(B3359, 'nav master'!$B:$B, 0)), "")</f>
        <v>ULIF 035 16/10/09 TSS 110</v>
      </c>
      <c r="E3359" s="8">
        <v>77.314999999999998</v>
      </c>
      <c r="F3359" s="9">
        <v>46163</v>
      </c>
    </row>
    <row r="3360" spans="1:6" ht="60" x14ac:dyDescent="0.25">
      <c r="A3360" s="8" t="s">
        <v>63</v>
      </c>
      <c r="B3360" s="8" t="s">
        <v>74</v>
      </c>
      <c r="C3360" s="8" t="str">
        <f>IFERROR(_xlfn.XLOOKUP(TRIM(B3360),Lookup!$B$2:$B$1000,Lookup!$C$2:$C$1000),"")</f>
        <v>Equity - Ethical/Exclusionary</v>
      </c>
      <c r="D3360" s="8" t="str">
        <f>IFERROR(INDEX('nav master'!$C:$C, MATCH(B3360, 'nav master'!$B:$B, 0)), "")</f>
        <v>ULIF 035 16/10/09 TSS 110</v>
      </c>
      <c r="E3360" s="8">
        <v>77.455699999999993</v>
      </c>
      <c r="F3360" s="9">
        <v>46164</v>
      </c>
    </row>
    <row r="3361" spans="1:6" ht="60" x14ac:dyDescent="0.25">
      <c r="A3361" s="8" t="s">
        <v>63</v>
      </c>
      <c r="B3361" s="8" t="s">
        <v>74</v>
      </c>
      <c r="C3361" s="8" t="str">
        <f>IFERROR(_xlfn.XLOOKUP(TRIM(B3361),Lookup!$B$2:$B$1000,Lookup!$C$2:$C$1000),"")</f>
        <v>Equity - Ethical/Exclusionary</v>
      </c>
      <c r="D3361" s="8" t="str">
        <f>IFERROR(INDEX('nav master'!$C:$C, MATCH(B3361, 'nav master'!$B:$B, 0)), "")</f>
        <v>ULIF 035 16/10/09 TSS 110</v>
      </c>
      <c r="E3361" s="8">
        <v>78.144499999999994</v>
      </c>
      <c r="F3361" s="9">
        <v>46167</v>
      </c>
    </row>
    <row r="3362" spans="1:6" ht="60" x14ac:dyDescent="0.25">
      <c r="A3362" s="8" t="s">
        <v>63</v>
      </c>
      <c r="B3362" s="8" t="s">
        <v>74</v>
      </c>
      <c r="C3362" s="8" t="str">
        <f>IFERROR(_xlfn.XLOOKUP(TRIM(B3362),Lookup!$B$2:$B$1000,Lookup!$C$2:$C$1000),"")</f>
        <v>Equity - Ethical/Exclusionary</v>
      </c>
      <c r="D3362" s="8" t="str">
        <f>IFERROR(INDEX('nav master'!$C:$C, MATCH(B3362, 'nav master'!$B:$B, 0)), "")</f>
        <v>ULIF 035 16/10/09 TSS 110</v>
      </c>
      <c r="E3362" s="8">
        <v>78.160300000000007</v>
      </c>
      <c r="F3362" s="9">
        <v>46168</v>
      </c>
    </row>
    <row r="3363" spans="1:6" ht="60" x14ac:dyDescent="0.25">
      <c r="A3363" s="8" t="s">
        <v>63</v>
      </c>
      <c r="B3363" s="8" t="s">
        <v>74</v>
      </c>
      <c r="C3363" s="8" t="str">
        <f>IFERROR(_xlfn.XLOOKUP(TRIM(B3363),Lookup!$B$2:$B$1000,Lookup!$C$2:$C$1000),"")</f>
        <v>Equity - Ethical/Exclusionary</v>
      </c>
      <c r="D3363" s="8" t="str">
        <f>IFERROR(INDEX('nav master'!$C:$C, MATCH(B3363, 'nav master'!$B:$B, 0)), "")</f>
        <v>ULIF 035 16/10/09 TSS 110</v>
      </c>
      <c r="E3363" s="8">
        <v>78.729100000000003</v>
      </c>
      <c r="F3363" s="9">
        <v>46169</v>
      </c>
    </row>
    <row r="3364" spans="1:6" ht="60" x14ac:dyDescent="0.25">
      <c r="A3364" s="8" t="s">
        <v>63</v>
      </c>
      <c r="B3364" s="8" t="s">
        <v>74</v>
      </c>
      <c r="C3364" s="8" t="str">
        <f>IFERROR(_xlfn.XLOOKUP(TRIM(B3364),Lookup!$B$2:$B$1000,Lookup!$C$2:$C$1000),"")</f>
        <v>Equity - Ethical/Exclusionary</v>
      </c>
      <c r="D3364" s="8" t="str">
        <f>IFERROR(INDEX('nav master'!$C:$C, MATCH(B3364, 'nav master'!$B:$B, 0)), "")</f>
        <v>ULIF 035 16/10/09 TSS 110</v>
      </c>
      <c r="E3364" s="8">
        <v>78.031800000000004</v>
      </c>
      <c r="F3364" s="9">
        <v>46171</v>
      </c>
    </row>
    <row r="3365" spans="1:6" ht="60" x14ac:dyDescent="0.25">
      <c r="A3365" s="8" t="s">
        <v>63</v>
      </c>
      <c r="B3365" s="8" t="s">
        <v>74</v>
      </c>
      <c r="C3365" s="8" t="str">
        <f>IFERROR(_xlfn.XLOOKUP(TRIM(B3365),Lookup!$B$2:$B$1000,Lookup!$C$2:$C$1000),"")</f>
        <v>Equity - Ethical/Exclusionary</v>
      </c>
      <c r="D3365" s="8" t="str">
        <f>IFERROR(INDEX('nav master'!$C:$C, MATCH(B3365, 'nav master'!$B:$B, 0)), "")</f>
        <v>ULIF 035 16/10/09 TSS 110</v>
      </c>
      <c r="E3365" s="8">
        <v>77.503799999999998</v>
      </c>
      <c r="F3365" s="9">
        <v>46174</v>
      </c>
    </row>
    <row r="3366" spans="1:6" ht="60" x14ac:dyDescent="0.25">
      <c r="A3366" s="8" t="s">
        <v>63</v>
      </c>
      <c r="B3366" s="8" t="s">
        <v>74</v>
      </c>
      <c r="C3366" s="8" t="str">
        <f>IFERROR(_xlfn.XLOOKUP(TRIM(B3366),Lookup!$B$2:$B$1000,Lookup!$C$2:$C$1000),"")</f>
        <v>Equity - Ethical/Exclusionary</v>
      </c>
      <c r="D3366" s="8" t="str">
        <f>IFERROR(INDEX('nav master'!$C:$C, MATCH(B3366, 'nav master'!$B:$B, 0)), "")</f>
        <v>ULIF 035 16/10/09 TSS 110</v>
      </c>
      <c r="E3366" s="8">
        <v>78.418199999999999</v>
      </c>
      <c r="F3366" s="9">
        <v>46175</v>
      </c>
    </row>
    <row r="3367" spans="1:6" ht="60" x14ac:dyDescent="0.25">
      <c r="A3367" s="8" t="s">
        <v>63</v>
      </c>
      <c r="B3367" s="8" t="s">
        <v>74</v>
      </c>
      <c r="C3367" s="8" t="str">
        <f>IFERROR(_xlfn.XLOOKUP(TRIM(B3367),Lookup!$B$2:$B$1000,Lookup!$C$2:$C$1000),"")</f>
        <v>Equity - Ethical/Exclusionary</v>
      </c>
      <c r="D3367" s="8" t="str">
        <f>IFERROR(INDEX('nav master'!$C:$C, MATCH(B3367, 'nav master'!$B:$B, 0)), "")</f>
        <v>ULIF 035 16/10/09 TSS 110</v>
      </c>
      <c r="E3367" s="8">
        <v>77.941000000000003</v>
      </c>
      <c r="F3367" s="9">
        <v>46176</v>
      </c>
    </row>
    <row r="3368" spans="1:6" ht="60" x14ac:dyDescent="0.25">
      <c r="A3368" s="8" t="s">
        <v>63</v>
      </c>
      <c r="B3368" s="8" t="s">
        <v>74</v>
      </c>
      <c r="C3368" s="8" t="str">
        <f>IFERROR(_xlfn.XLOOKUP(TRIM(B3368),Lookup!$B$2:$B$1000,Lookup!$C$2:$C$1000),"")</f>
        <v>Equity - Ethical/Exclusionary</v>
      </c>
      <c r="D3368" s="8" t="str">
        <f>IFERROR(INDEX('nav master'!$C:$C, MATCH(B3368, 'nav master'!$B:$B, 0)), "")</f>
        <v>ULIF 035 16/10/09 TSS 110</v>
      </c>
      <c r="E3368" s="8">
        <v>78.6858</v>
      </c>
      <c r="F3368" s="9">
        <v>46177</v>
      </c>
    </row>
    <row r="3369" spans="1:6" ht="60" x14ac:dyDescent="0.25">
      <c r="A3369" s="8" t="s">
        <v>63</v>
      </c>
      <c r="B3369" s="8" t="s">
        <v>74</v>
      </c>
      <c r="C3369" s="8" t="str">
        <f>IFERROR(_xlfn.XLOOKUP(TRIM(B3369),Lookup!$B$2:$B$1000,Lookup!$C$2:$C$1000),"")</f>
        <v>Equity - Ethical/Exclusionary</v>
      </c>
      <c r="D3369" s="8" t="str">
        <f>IFERROR(INDEX('nav master'!$C:$C, MATCH(B3369, 'nav master'!$B:$B, 0)), "")</f>
        <v>ULIF 035 16/10/09 TSS 110</v>
      </c>
      <c r="E3369" s="8">
        <v>78.6113</v>
      </c>
      <c r="F3369" s="9">
        <v>46178</v>
      </c>
    </row>
    <row r="3370" spans="1:6" ht="60" x14ac:dyDescent="0.25">
      <c r="A3370" s="8" t="s">
        <v>63</v>
      </c>
      <c r="B3370" s="8" t="s">
        <v>74</v>
      </c>
      <c r="C3370" s="8" t="str">
        <f>IFERROR(_xlfn.XLOOKUP(TRIM(B3370),Lookup!$B$2:$B$1000,Lookup!$C$2:$C$1000),"")</f>
        <v>Equity - Ethical/Exclusionary</v>
      </c>
      <c r="D3370" s="8" t="str">
        <f>IFERROR(INDEX('nav master'!$C:$C, MATCH(B3370, 'nav master'!$B:$B, 0)), "")</f>
        <v>ULIF 035 16/10/09 TSS 110</v>
      </c>
      <c r="E3370" s="8">
        <v>77.5214</v>
      </c>
      <c r="F3370" s="9">
        <v>46181</v>
      </c>
    </row>
    <row r="3371" spans="1:6" ht="60" x14ac:dyDescent="0.25">
      <c r="A3371" s="8" t="s">
        <v>63</v>
      </c>
      <c r="B3371" s="8" t="s">
        <v>74</v>
      </c>
      <c r="C3371" s="8" t="str">
        <f>IFERROR(_xlfn.XLOOKUP(TRIM(B3371),Lookup!$B$2:$B$1000,Lookup!$C$2:$C$1000),"")</f>
        <v>Equity - Ethical/Exclusionary</v>
      </c>
      <c r="D3371" s="8" t="str">
        <f>IFERROR(INDEX('nav master'!$C:$C, MATCH(B3371, 'nav master'!$B:$B, 0)), "")</f>
        <v>ULIF 035 16/10/09 TSS 110</v>
      </c>
      <c r="E3371" s="8">
        <v>78.271900000000002</v>
      </c>
      <c r="F3371" s="9">
        <v>46182</v>
      </c>
    </row>
    <row r="3372" spans="1:6" ht="60" x14ac:dyDescent="0.25">
      <c r="A3372" s="8" t="s">
        <v>63</v>
      </c>
      <c r="B3372" s="8" t="s">
        <v>74</v>
      </c>
      <c r="C3372" s="8" t="str">
        <f>IFERROR(_xlfn.XLOOKUP(TRIM(B3372),Lookup!$B$2:$B$1000,Lookup!$C$2:$C$1000),"")</f>
        <v>Equity - Ethical/Exclusionary</v>
      </c>
      <c r="D3372" s="8" t="str">
        <f>IFERROR(INDEX('nav master'!$C:$C, MATCH(B3372, 'nav master'!$B:$B, 0)), "")</f>
        <v>ULIF 035 16/10/09 TSS 110</v>
      </c>
      <c r="E3372" s="8">
        <v>77.764399999999995</v>
      </c>
      <c r="F3372" s="9">
        <v>46183</v>
      </c>
    </row>
    <row r="3373" spans="1:6" ht="60" x14ac:dyDescent="0.25">
      <c r="A3373" s="8" t="s">
        <v>63</v>
      </c>
      <c r="B3373" s="8" t="s">
        <v>74</v>
      </c>
      <c r="C3373" s="8" t="str">
        <f>IFERROR(_xlfn.XLOOKUP(TRIM(B3373),Lookup!$B$2:$B$1000,Lookup!$C$2:$C$1000),"")</f>
        <v>Equity - Ethical/Exclusionary</v>
      </c>
      <c r="D3373" s="8" t="str">
        <f>IFERROR(INDEX('nav master'!$C:$C, MATCH(B3373, 'nav master'!$B:$B, 0)), "")</f>
        <v>ULIF 035 16/10/09 TSS 110</v>
      </c>
      <c r="E3373" s="8">
        <v>77.325900000000004</v>
      </c>
      <c r="F3373" s="9">
        <v>46184</v>
      </c>
    </row>
    <row r="3374" spans="1:6" ht="60" x14ac:dyDescent="0.25">
      <c r="A3374" s="8" t="s">
        <v>63</v>
      </c>
      <c r="B3374" s="8" t="s">
        <v>74</v>
      </c>
      <c r="C3374" s="8" t="str">
        <f>IFERROR(_xlfn.XLOOKUP(TRIM(B3374),Lookup!$B$2:$B$1000,Lookup!$C$2:$C$1000),"")</f>
        <v>Equity - Ethical/Exclusionary</v>
      </c>
      <c r="D3374" s="8" t="str">
        <f>IFERROR(INDEX('nav master'!$C:$C, MATCH(B3374, 'nav master'!$B:$B, 0)), "")</f>
        <v>ULIF 035 16/10/09 TSS 110</v>
      </c>
      <c r="E3374" s="8">
        <v>78.853300000000004</v>
      </c>
      <c r="F3374" s="9">
        <v>46185</v>
      </c>
    </row>
    <row r="3375" spans="1:6" ht="60" x14ac:dyDescent="0.25">
      <c r="A3375" s="8" t="s">
        <v>63</v>
      </c>
      <c r="B3375" s="8" t="s">
        <v>74</v>
      </c>
      <c r="C3375" s="8" t="str">
        <f>IFERROR(_xlfn.XLOOKUP(TRIM(B3375),Lookup!$B$2:$B$1000,Lookup!$C$2:$C$1000),"")</f>
        <v>Equity - Ethical/Exclusionary</v>
      </c>
      <c r="D3375" s="8" t="str">
        <f>IFERROR(INDEX('nav master'!$C:$C, MATCH(B3375, 'nav master'!$B:$B, 0)), "")</f>
        <v>ULIF 035 16/10/09 TSS 110</v>
      </c>
      <c r="E3375" s="8">
        <v>80.019800000000004</v>
      </c>
      <c r="F3375" s="9">
        <v>46188</v>
      </c>
    </row>
    <row r="3376" spans="1:6" ht="60" x14ac:dyDescent="0.25">
      <c r="A3376" s="8" t="s">
        <v>63</v>
      </c>
      <c r="B3376" s="8" t="s">
        <v>74</v>
      </c>
      <c r="C3376" s="8" t="str">
        <f>IFERROR(_xlfn.XLOOKUP(TRIM(B3376),Lookup!$B$2:$B$1000,Lookup!$C$2:$C$1000),"")</f>
        <v>Equity - Ethical/Exclusionary</v>
      </c>
      <c r="D3376" s="8" t="str">
        <f>IFERROR(INDEX('nav master'!$C:$C, MATCH(B3376, 'nav master'!$B:$B, 0)), "")</f>
        <v>ULIF 035 16/10/09 TSS 110</v>
      </c>
      <c r="E3376" s="8">
        <v>80.334900000000005</v>
      </c>
      <c r="F3376" s="9">
        <v>46189</v>
      </c>
    </row>
    <row r="3377" spans="1:6" ht="60" x14ac:dyDescent="0.25">
      <c r="A3377" s="8" t="s">
        <v>63</v>
      </c>
      <c r="B3377" s="8" t="s">
        <v>74</v>
      </c>
      <c r="C3377" s="8" t="str">
        <f>IFERROR(_xlfn.XLOOKUP(TRIM(B3377),Lookup!$B$2:$B$1000,Lookup!$C$2:$C$1000),"")</f>
        <v>Equity - Ethical/Exclusionary</v>
      </c>
      <c r="D3377" s="8" t="str">
        <f>IFERROR(INDEX('nav master'!$C:$C, MATCH(B3377, 'nav master'!$B:$B, 0)), "")</f>
        <v>ULIF 035 16/10/09 TSS 110</v>
      </c>
      <c r="E3377" s="8">
        <v>80.932400000000001</v>
      </c>
      <c r="F3377" s="9">
        <v>46190</v>
      </c>
    </row>
    <row r="3378" spans="1:6" ht="60" x14ac:dyDescent="0.25">
      <c r="A3378" s="8" t="s">
        <v>63</v>
      </c>
      <c r="B3378" s="8" t="s">
        <v>74</v>
      </c>
      <c r="C3378" s="8" t="str">
        <f>IFERROR(_xlfn.XLOOKUP(TRIM(B3378),Lookup!$B$2:$B$1000,Lookup!$C$2:$C$1000),"")</f>
        <v>Equity - Ethical/Exclusionary</v>
      </c>
      <c r="D3378" s="8" t="str">
        <f>IFERROR(INDEX('nav master'!$C:$C, MATCH(B3378, 'nav master'!$B:$B, 0)), "")</f>
        <v>ULIF 035 16/10/09 TSS 110</v>
      </c>
      <c r="E3378" s="8">
        <v>81.295299999999997</v>
      </c>
      <c r="F3378" s="9">
        <v>46191</v>
      </c>
    </row>
    <row r="3379" spans="1:6" ht="60" x14ac:dyDescent="0.25">
      <c r="A3379" s="8" t="s">
        <v>63</v>
      </c>
      <c r="B3379" s="8" t="s">
        <v>74</v>
      </c>
      <c r="C3379" s="8" t="str">
        <f>IFERROR(_xlfn.XLOOKUP(TRIM(B3379),Lookup!$B$2:$B$1000,Lookup!$C$2:$C$1000),"")</f>
        <v>Equity - Ethical/Exclusionary</v>
      </c>
      <c r="D3379" s="8" t="str">
        <f>IFERROR(INDEX('nav master'!$C:$C, MATCH(B3379, 'nav master'!$B:$B, 0)), "")</f>
        <v>ULIF 035 16/10/09 TSS 110</v>
      </c>
      <c r="E3379" s="8">
        <v>81.016499999999994</v>
      </c>
      <c r="F3379" s="9">
        <v>46192</v>
      </c>
    </row>
    <row r="3380" spans="1:6" ht="60" x14ac:dyDescent="0.25">
      <c r="A3380" s="8" t="s">
        <v>63</v>
      </c>
      <c r="B3380" s="8" t="s">
        <v>74</v>
      </c>
      <c r="C3380" s="8" t="str">
        <f>IFERROR(_xlfn.XLOOKUP(TRIM(B3380),Lookup!$B$2:$B$1000,Lookup!$C$2:$C$1000),"")</f>
        <v>Equity - Ethical/Exclusionary</v>
      </c>
      <c r="D3380" s="8" t="str">
        <f>IFERROR(INDEX('nav master'!$C:$C, MATCH(B3380, 'nav master'!$B:$B, 0)), "")</f>
        <v>ULIF 035 16/10/09 TSS 110</v>
      </c>
      <c r="E3380" s="8">
        <v>81.220699999999994</v>
      </c>
      <c r="F3380" s="9">
        <v>46195</v>
      </c>
    </row>
    <row r="3381" spans="1:6" ht="60" x14ac:dyDescent="0.25">
      <c r="A3381" s="8" t="s">
        <v>63</v>
      </c>
      <c r="B3381" s="8" t="s">
        <v>74</v>
      </c>
      <c r="C3381" s="8" t="str">
        <f>IFERROR(_xlfn.XLOOKUP(TRIM(B3381),Lookup!$B$2:$B$1000,Lookup!$C$2:$C$1000),"")</f>
        <v>Equity - Ethical/Exclusionary</v>
      </c>
      <c r="D3381" s="8" t="str">
        <f>IFERROR(INDEX('nav master'!$C:$C, MATCH(B3381, 'nav master'!$B:$B, 0)), "")</f>
        <v>ULIF 035 16/10/09 TSS 110</v>
      </c>
      <c r="E3381" s="8">
        <v>80.599900000000005</v>
      </c>
      <c r="F3381" s="9">
        <v>46196</v>
      </c>
    </row>
    <row r="3382" spans="1:6" ht="60" x14ac:dyDescent="0.25">
      <c r="A3382" s="8" t="s">
        <v>63</v>
      </c>
      <c r="B3382" s="8" t="s">
        <v>74</v>
      </c>
      <c r="C3382" s="8" t="str">
        <f>IFERROR(_xlfn.XLOOKUP(TRIM(B3382),Lookup!$B$2:$B$1000,Lookup!$C$2:$C$1000),"")</f>
        <v>Equity - Ethical/Exclusionary</v>
      </c>
      <c r="D3382" s="8" t="str">
        <f>IFERROR(INDEX('nav master'!$C:$C, MATCH(B3382, 'nav master'!$B:$B, 0)), "")</f>
        <v>ULIF 035 16/10/09 TSS 110</v>
      </c>
      <c r="E3382" s="8">
        <v>80.635900000000007</v>
      </c>
      <c r="F3382" s="9">
        <v>46197</v>
      </c>
    </row>
    <row r="3383" spans="1:6" ht="60" x14ac:dyDescent="0.25">
      <c r="A3383" s="8" t="s">
        <v>63</v>
      </c>
      <c r="B3383" s="8" t="s">
        <v>74</v>
      </c>
      <c r="C3383" s="8" t="str">
        <f>IFERROR(_xlfn.XLOOKUP(TRIM(B3383),Lookup!$B$2:$B$1000,Lookup!$C$2:$C$1000),"")</f>
        <v>Equity - Ethical/Exclusionary</v>
      </c>
      <c r="D3383" s="8" t="str">
        <f>IFERROR(INDEX('nav master'!$C:$C, MATCH(B3383, 'nav master'!$B:$B, 0)), "")</f>
        <v>ULIF 035 16/10/09 TSS 110</v>
      </c>
      <c r="E3383" s="8">
        <v>80.541499999999999</v>
      </c>
      <c r="F3383" s="9">
        <v>46198</v>
      </c>
    </row>
    <row r="3384" spans="1:6" ht="60" x14ac:dyDescent="0.25">
      <c r="A3384" s="8" t="s">
        <v>63</v>
      </c>
      <c r="B3384" s="8" t="s">
        <v>74</v>
      </c>
      <c r="C3384" s="8" t="str">
        <f>IFERROR(_xlfn.XLOOKUP(TRIM(B3384),Lookup!$B$2:$B$1000,Lookup!$C$2:$C$1000),"")</f>
        <v>Equity - Ethical/Exclusionary</v>
      </c>
      <c r="D3384" s="8" t="str">
        <f>IFERROR(INDEX('nav master'!$C:$C, MATCH(B3384, 'nav master'!$B:$B, 0)), "")</f>
        <v>ULIF 035 16/10/09 TSS 110</v>
      </c>
      <c r="E3384" s="8">
        <v>79.748800000000003</v>
      </c>
      <c r="F3384" s="9">
        <v>46202</v>
      </c>
    </row>
    <row r="3385" spans="1:6" ht="60" x14ac:dyDescent="0.25">
      <c r="A3385" s="8" t="s">
        <v>63</v>
      </c>
      <c r="B3385" s="8" t="s">
        <v>74</v>
      </c>
      <c r="C3385" s="8" t="str">
        <f>IFERROR(_xlfn.XLOOKUP(TRIM(B3385),Lookup!$B$2:$B$1000,Lookup!$C$2:$C$1000),"")</f>
        <v>Equity - Ethical/Exclusionary</v>
      </c>
      <c r="D3385" s="8" t="str">
        <f>IFERROR(INDEX('nav master'!$C:$C, MATCH(B3385, 'nav master'!$B:$B, 0)), "")</f>
        <v>ULIF 035 16/10/09 TSS 110</v>
      </c>
      <c r="E3385" s="8">
        <v>79.8553</v>
      </c>
      <c r="F3385" s="9">
        <v>46203</v>
      </c>
    </row>
    <row r="3386" spans="1:6" ht="60" x14ac:dyDescent="0.25">
      <c r="A3386" s="8" t="s">
        <v>63</v>
      </c>
      <c r="B3386" s="8" t="s">
        <v>74</v>
      </c>
      <c r="C3386" s="8" t="str">
        <f>IFERROR(_xlfn.XLOOKUP(TRIM(B3386),Lookup!$B$2:$B$1000,Lookup!$C$2:$C$1000),"")</f>
        <v>Equity - Ethical/Exclusionary</v>
      </c>
      <c r="D3386" s="8" t="str">
        <f>IFERROR(INDEX('nav master'!$C:$C, MATCH(B3386, 'nav master'!$B:$B, 0)), "")</f>
        <v>ULIF 035 16/10/09 TSS 110</v>
      </c>
      <c r="E3386" s="8">
        <v>80.053799999999995</v>
      </c>
      <c r="F3386" s="9">
        <v>46204</v>
      </c>
    </row>
    <row r="3387" spans="1:6" ht="60" x14ac:dyDescent="0.25">
      <c r="A3387" s="8" t="s">
        <v>63</v>
      </c>
      <c r="B3387" s="8" t="s">
        <v>74</v>
      </c>
      <c r="C3387" s="8" t="str">
        <f>IFERROR(_xlfn.XLOOKUP(TRIM(B3387),Lookup!$B$2:$B$1000,Lookup!$C$2:$C$1000),"")</f>
        <v>Equity - Ethical/Exclusionary</v>
      </c>
      <c r="D3387" s="8" t="str">
        <f>IFERROR(INDEX('nav master'!$C:$C, MATCH(B3387, 'nav master'!$B:$B, 0)), "")</f>
        <v>ULIF 035 16/10/09 TSS 110</v>
      </c>
      <c r="E3387" s="8">
        <v>80.693799999999996</v>
      </c>
      <c r="F3387" s="9">
        <v>46205</v>
      </c>
    </row>
    <row r="3388" spans="1:6" ht="60" x14ac:dyDescent="0.25">
      <c r="A3388" s="8" t="s">
        <v>63</v>
      </c>
      <c r="B3388" s="8" t="s">
        <v>74</v>
      </c>
      <c r="C3388" s="8" t="str">
        <f>IFERROR(_xlfn.XLOOKUP(TRIM(B3388),Lookup!$B$2:$B$1000,Lookup!$C$2:$C$1000),"")</f>
        <v>Equity - Ethical/Exclusionary</v>
      </c>
      <c r="D3388" s="8" t="str">
        <f>IFERROR(INDEX('nav master'!$C:$C, MATCH(B3388, 'nav master'!$B:$B, 0)), "")</f>
        <v>ULIF 035 16/10/09 TSS 110</v>
      </c>
      <c r="E3388" s="8">
        <v>80.315299999999993</v>
      </c>
      <c r="F3388" s="9">
        <v>46206</v>
      </c>
    </row>
    <row r="3389" spans="1:6" ht="60" x14ac:dyDescent="0.25">
      <c r="A3389" s="8" t="s">
        <v>63</v>
      </c>
      <c r="B3389" s="8" t="s">
        <v>74</v>
      </c>
      <c r="C3389" s="8" t="str">
        <f>IFERROR(_xlfn.XLOOKUP(TRIM(B3389),Lookup!$B$2:$B$1000,Lookup!$C$2:$C$1000),"")</f>
        <v>Equity - Ethical/Exclusionary</v>
      </c>
      <c r="D3389" s="8" t="str">
        <f>IFERROR(INDEX('nav master'!$C:$C, MATCH(B3389, 'nav master'!$B:$B, 0)), "")</f>
        <v>ULIF 035 16/10/09 TSS 110</v>
      </c>
      <c r="E3389" s="8">
        <v>80.940600000000003</v>
      </c>
      <c r="F3389" s="9">
        <v>46209</v>
      </c>
    </row>
    <row r="3390" spans="1:6" ht="60" x14ac:dyDescent="0.25">
      <c r="A3390" s="8" t="s">
        <v>63</v>
      </c>
      <c r="B3390" s="8" t="s">
        <v>74</v>
      </c>
      <c r="C3390" s="8" t="str">
        <f>IFERROR(_xlfn.XLOOKUP(TRIM(B3390),Lookup!$B$2:$B$1000,Lookup!$C$2:$C$1000),"")</f>
        <v>Equity - Ethical/Exclusionary</v>
      </c>
      <c r="D3390" s="8" t="str">
        <f>IFERROR(INDEX('nav master'!$C:$C, MATCH(B3390, 'nav master'!$B:$B, 0)), "")</f>
        <v>ULIF 035 16/10/09 TSS 110</v>
      </c>
      <c r="E3390" s="8">
        <v>80.535700000000006</v>
      </c>
      <c r="F3390" s="9">
        <v>46210</v>
      </c>
    </row>
    <row r="3391" spans="1:6" ht="60" x14ac:dyDescent="0.25">
      <c r="A3391" s="8" t="s">
        <v>63</v>
      </c>
      <c r="B3391" s="8" t="s">
        <v>74</v>
      </c>
      <c r="C3391" s="8" t="str">
        <f>IFERROR(_xlfn.XLOOKUP(TRIM(B3391),Lookup!$B$2:$B$1000,Lookup!$C$2:$C$1000),"")</f>
        <v>Equity - Ethical/Exclusionary</v>
      </c>
      <c r="D3391" s="8" t="str">
        <f>IFERROR(INDEX('nav master'!$C:$C, MATCH(B3391, 'nav master'!$B:$B, 0)), "")</f>
        <v>ULIF 035 16/10/09 TSS 110</v>
      </c>
      <c r="E3391" s="8">
        <v>79.382800000000003</v>
      </c>
      <c r="F3391" s="9">
        <v>46211</v>
      </c>
    </row>
    <row r="3392" spans="1:6" ht="60" x14ac:dyDescent="0.25">
      <c r="A3392" s="8" t="s">
        <v>63</v>
      </c>
      <c r="B3392" s="8" t="s">
        <v>74</v>
      </c>
      <c r="C3392" s="8" t="str">
        <f>IFERROR(_xlfn.XLOOKUP(TRIM(B3392),Lookup!$B$2:$B$1000,Lookup!$C$2:$C$1000),"")</f>
        <v>Equity - Ethical/Exclusionary</v>
      </c>
      <c r="D3392" s="8" t="str">
        <f>IFERROR(INDEX('nav master'!$C:$C, MATCH(B3392, 'nav master'!$B:$B, 0)), "")</f>
        <v>ULIF 035 16/10/09 TSS 110</v>
      </c>
      <c r="E3392" s="8">
        <v>80.688999999999993</v>
      </c>
      <c r="F3392" s="9">
        <v>46212</v>
      </c>
    </row>
    <row r="3393" spans="1:6" ht="60" x14ac:dyDescent="0.25">
      <c r="A3393" s="8" t="s">
        <v>63</v>
      </c>
      <c r="B3393" s="8" t="s">
        <v>74</v>
      </c>
      <c r="C3393" s="8" t="str">
        <f>IFERROR(_xlfn.XLOOKUP(TRIM(B3393),Lookup!$B$2:$B$1000,Lookup!$C$2:$C$1000),"")</f>
        <v>Equity - Ethical/Exclusionary</v>
      </c>
      <c r="D3393" s="8" t="str">
        <f>IFERROR(INDEX('nav master'!$C:$C, MATCH(B3393, 'nav master'!$B:$B, 0)), "")</f>
        <v>ULIF 035 16/10/09 TSS 110</v>
      </c>
      <c r="E3393" s="8">
        <v>81.410300000000007</v>
      </c>
      <c r="F3393" s="9">
        <v>46213</v>
      </c>
    </row>
    <row r="3394" spans="1:6" ht="60" x14ac:dyDescent="0.25">
      <c r="A3394" s="8" t="s">
        <v>63</v>
      </c>
      <c r="B3394" s="8" t="s">
        <v>74</v>
      </c>
      <c r="C3394" s="8" t="str">
        <f>IFERROR(_xlfn.XLOOKUP(TRIM(B3394),Lookup!$B$2:$B$1000,Lookup!$C$2:$C$1000),"")</f>
        <v>Equity - Ethical/Exclusionary</v>
      </c>
      <c r="D3394" s="8" t="str">
        <f>IFERROR(INDEX('nav master'!$C:$C, MATCH(B3394, 'nav master'!$B:$B, 0)), "")</f>
        <v>ULIF 035 16/10/09 TSS 110</v>
      </c>
      <c r="E3394" s="8">
        <v>81.609800000000007</v>
      </c>
      <c r="F3394" s="9">
        <v>46216</v>
      </c>
    </row>
    <row r="3395" spans="1:6" ht="60" x14ac:dyDescent="0.25">
      <c r="A3395" s="8" t="s">
        <v>63</v>
      </c>
      <c r="B3395" s="8" t="s">
        <v>74</v>
      </c>
      <c r="C3395" s="8" t="str">
        <f>IFERROR(_xlfn.XLOOKUP(TRIM(B3395),Lookup!$B$2:$B$1000,Lookup!$C$2:$C$1000),"")</f>
        <v>Equity - Ethical/Exclusionary</v>
      </c>
      <c r="D3395" s="8" t="str">
        <f>IFERROR(INDEX('nav master'!$C:$C, MATCH(B3395, 'nav master'!$B:$B, 0)), "")</f>
        <v>ULIF 035 16/10/09 TSS 110</v>
      </c>
      <c r="E3395" s="8">
        <v>81.021500000000003</v>
      </c>
      <c r="F3395" s="9">
        <v>46217</v>
      </c>
    </row>
    <row r="3396" spans="1:6" ht="60" x14ac:dyDescent="0.25">
      <c r="A3396" s="8" t="s">
        <v>63</v>
      </c>
      <c r="B3396" s="8" t="s">
        <v>74</v>
      </c>
      <c r="C3396" s="8" t="str">
        <f>IFERROR(_xlfn.XLOOKUP(TRIM(B3396),Lookup!$B$2:$B$1000,Lookup!$C$2:$C$1000),"")</f>
        <v>Equity - Ethical/Exclusionary</v>
      </c>
      <c r="D3396" s="8" t="str">
        <f>IFERROR(INDEX('nav master'!$C:$C, MATCH(B3396, 'nav master'!$B:$B, 0)), "")</f>
        <v>ULIF 035 16/10/09 TSS 110</v>
      </c>
      <c r="E3396" s="8">
        <v>81.6601</v>
      </c>
      <c r="F3396" s="9">
        <v>46218</v>
      </c>
    </row>
    <row r="3397" spans="1:6" ht="60" x14ac:dyDescent="0.25">
      <c r="A3397" s="8" t="s">
        <v>63</v>
      </c>
      <c r="B3397" s="8" t="s">
        <v>74</v>
      </c>
      <c r="C3397" s="8" t="str">
        <f>IFERROR(_xlfn.XLOOKUP(TRIM(B3397),Lookup!$B$2:$B$1000,Lookup!$C$2:$C$1000),"")</f>
        <v>Equity - Ethical/Exclusionary</v>
      </c>
      <c r="D3397" s="8" t="str">
        <f>IFERROR(INDEX('nav master'!$C:$C, MATCH(B3397, 'nav master'!$B:$B, 0)), "")</f>
        <v>ULIF 035 16/10/09 TSS 110</v>
      </c>
      <c r="E3397" s="8">
        <v>81.876000000000005</v>
      </c>
      <c r="F3397" s="9">
        <v>46219</v>
      </c>
    </row>
    <row r="3398" spans="1:6" ht="60" x14ac:dyDescent="0.25">
      <c r="A3398" s="8" t="s">
        <v>63</v>
      </c>
      <c r="B3398" s="8" t="s">
        <v>74</v>
      </c>
      <c r="C3398" s="8" t="str">
        <f>IFERROR(_xlfn.XLOOKUP(TRIM(B3398),Lookup!$B$2:$B$1000,Lookup!$C$2:$C$1000),"")</f>
        <v>Equity - Ethical/Exclusionary</v>
      </c>
      <c r="D3398" s="8" t="str">
        <f>IFERROR(INDEX('nav master'!$C:$C, MATCH(B3398, 'nav master'!$B:$B, 0)), "")</f>
        <v>ULIF 035 16/10/09 TSS 110</v>
      </c>
      <c r="E3398" s="8">
        <v>81.250200000000007</v>
      </c>
      <c r="F3398" s="9">
        <v>46220</v>
      </c>
    </row>
    <row r="3399" spans="1:6" ht="60" x14ac:dyDescent="0.25">
      <c r="A3399" s="8" t="s">
        <v>63</v>
      </c>
      <c r="B3399" s="8" t="s">
        <v>74</v>
      </c>
      <c r="C3399" s="8" t="str">
        <f>IFERROR(_xlfn.XLOOKUP(TRIM(B3399),Lookup!$B$2:$B$1000,Lookup!$C$2:$C$1000),"")</f>
        <v>Equity - Ethical/Exclusionary</v>
      </c>
      <c r="D3399" s="8" t="str">
        <f>IFERROR(INDEX('nav master'!$C:$C, MATCH(B3399, 'nav master'!$B:$B, 0)), "")</f>
        <v>ULIF 035 16/10/09 TSS 110</v>
      </c>
      <c r="E3399" s="8">
        <v>81.525700000000001</v>
      </c>
      <c r="F3399" s="9">
        <v>46223</v>
      </c>
    </row>
    <row r="3400" spans="1:6" ht="60" x14ac:dyDescent="0.25">
      <c r="A3400" s="8" t="s">
        <v>63</v>
      </c>
      <c r="B3400" s="8" t="s">
        <v>74</v>
      </c>
      <c r="C3400" s="8" t="str">
        <f>IFERROR(_xlfn.XLOOKUP(TRIM(B3400),Lookup!$B$2:$B$1000,Lookup!$C$2:$C$1000),"")</f>
        <v>Equity - Ethical/Exclusionary</v>
      </c>
      <c r="D3400" s="8" t="str">
        <f>IFERROR(INDEX('nav master'!$C:$C, MATCH(B3400, 'nav master'!$B:$B, 0)), "")</f>
        <v>ULIF 035 16/10/09 TSS 110</v>
      </c>
      <c r="E3400" s="8">
        <v>81.911000000000001</v>
      </c>
      <c r="F3400" s="9">
        <v>46224</v>
      </c>
    </row>
    <row r="3401" spans="1:6" ht="60" x14ac:dyDescent="0.25">
      <c r="A3401" s="8" t="s">
        <v>63</v>
      </c>
      <c r="B3401" s="8" t="s">
        <v>74</v>
      </c>
      <c r="C3401" s="8" t="str">
        <f>IFERROR(_xlfn.XLOOKUP(TRIM(B3401),Lookup!$B$2:$B$1000,Lookup!$C$2:$C$1000),"")</f>
        <v>Equity - Ethical/Exclusionary</v>
      </c>
      <c r="D3401" s="8" t="str">
        <f>IFERROR(INDEX('nav master'!$C:$C, MATCH(B3401, 'nav master'!$B:$B, 0)), "")</f>
        <v>ULIF 035 16/10/09 TSS 110</v>
      </c>
      <c r="E3401" s="8">
        <v>80.980800000000002</v>
      </c>
      <c r="F3401" s="9">
        <v>46225</v>
      </c>
    </row>
    <row r="3402" spans="1:6" ht="60" x14ac:dyDescent="0.25">
      <c r="A3402" s="8" t="s">
        <v>63</v>
      </c>
      <c r="B3402" s="8" t="s">
        <v>74</v>
      </c>
      <c r="C3402" s="8" t="str">
        <f>IFERROR(_xlfn.XLOOKUP(TRIM(B3402),Lookup!$B$2:$B$1000,Lookup!$C$2:$C$1000),"")</f>
        <v>Equity - Ethical/Exclusionary</v>
      </c>
      <c r="D3402" s="8" t="str">
        <f>IFERROR(INDEX('nav master'!$C:$C, MATCH(B3402, 'nav master'!$B:$B, 0)), "")</f>
        <v>ULIF 035 16/10/09 TSS 110</v>
      </c>
      <c r="E3402" s="8">
        <v>80.375100000000003</v>
      </c>
      <c r="F3402" s="9">
        <v>46226</v>
      </c>
    </row>
    <row r="3403" spans="1:6" ht="60" x14ac:dyDescent="0.25">
      <c r="A3403" s="8" t="s">
        <v>63</v>
      </c>
      <c r="B3403" s="8" t="s">
        <v>74</v>
      </c>
      <c r="C3403" s="8" t="str">
        <f>IFERROR(_xlfn.XLOOKUP(TRIM(B3403),Lookup!$B$2:$B$1000,Lookup!$C$2:$C$1000),"")</f>
        <v>Equity - Ethical/Exclusionary</v>
      </c>
      <c r="D3403" s="8" t="str">
        <f>IFERROR(INDEX('nav master'!$C:$C, MATCH(B3403, 'nav master'!$B:$B, 0)), "")</f>
        <v>ULIF 035 16/10/09 TSS 110</v>
      </c>
      <c r="E3403" s="8">
        <v>79.741299999999995</v>
      </c>
      <c r="F3403" s="9">
        <v>46227</v>
      </c>
    </row>
    <row r="3404" spans="1:6" ht="60" x14ac:dyDescent="0.25">
      <c r="A3404" s="8" t="s">
        <v>63</v>
      </c>
      <c r="B3404" s="8" t="s">
        <v>74</v>
      </c>
      <c r="C3404" s="8" t="str">
        <f>IFERROR(_xlfn.XLOOKUP(TRIM(B3404),Lookup!$B$2:$B$1000,Lookup!$C$2:$C$1000),"")</f>
        <v>Equity - Ethical/Exclusionary</v>
      </c>
      <c r="D3404" s="8" t="str">
        <f>IFERROR(INDEX('nav master'!$C:$C, MATCH(B3404, 'nav master'!$B:$B, 0)), "")</f>
        <v>ULIF 035 16/10/09 TSS 110</v>
      </c>
      <c r="E3404" s="8">
        <v>80.785700000000006</v>
      </c>
      <c r="F3404" s="9">
        <v>46230</v>
      </c>
    </row>
    <row r="3405" spans="1:6" ht="60" x14ac:dyDescent="0.25">
      <c r="A3405" s="8" t="s">
        <v>63</v>
      </c>
      <c r="B3405" s="8" t="s">
        <v>74</v>
      </c>
      <c r="C3405" s="8" t="str">
        <f>IFERROR(_xlfn.XLOOKUP(TRIM(B3405),Lookup!$B$2:$B$1000,Lookup!$C$2:$C$1000),"")</f>
        <v>Equity - Ethical/Exclusionary</v>
      </c>
      <c r="D3405" s="8" t="str">
        <f>IFERROR(INDEX('nav master'!$C:$C, MATCH(B3405, 'nav master'!$B:$B, 0)), "")</f>
        <v>ULIF 035 16/10/09 TSS 110</v>
      </c>
      <c r="E3405" s="8">
        <v>80.814899999999994</v>
      </c>
      <c r="F3405" s="9">
        <v>46231</v>
      </c>
    </row>
    <row r="3406" spans="1:6" ht="60" x14ac:dyDescent="0.25">
      <c r="A3406" s="8" t="s">
        <v>63</v>
      </c>
      <c r="B3406" s="8" t="s">
        <v>74</v>
      </c>
      <c r="C3406" s="8" t="str">
        <f>IFERROR(_xlfn.XLOOKUP(TRIM(B3406),Lookup!$B$2:$B$1000,Lookup!$C$2:$C$1000),"")</f>
        <v>Equity - Ethical/Exclusionary</v>
      </c>
      <c r="D3406" s="8" t="str">
        <f>IFERROR(INDEX('nav master'!$C:$C, MATCH(B3406, 'nav master'!$B:$B, 0)), "")</f>
        <v>ULIF 035 16/10/09 TSS 110</v>
      </c>
      <c r="E3406" s="8">
        <v>81.641599999999997</v>
      </c>
      <c r="F3406" s="9">
        <v>46232</v>
      </c>
    </row>
    <row r="3407" spans="1:6" ht="60" x14ac:dyDescent="0.25">
      <c r="A3407" s="8" t="s">
        <v>63</v>
      </c>
      <c r="B3407" s="8" t="s">
        <v>74</v>
      </c>
      <c r="C3407" s="8" t="str">
        <f>IFERROR(_xlfn.XLOOKUP(TRIM(B3407),Lookup!$B$2:$B$1000,Lookup!$C$2:$C$1000),"")</f>
        <v>Equity - Ethical/Exclusionary</v>
      </c>
      <c r="D3407" s="8" t="str">
        <f>IFERROR(INDEX('nav master'!$C:$C, MATCH(B3407, 'nav master'!$B:$B, 0)), "")</f>
        <v>ULIF 035 16/10/09 TSS 110</v>
      </c>
      <c r="E3407" s="8">
        <v>81.966300000000004</v>
      </c>
      <c r="F3407" s="9">
        <v>46233</v>
      </c>
    </row>
    <row r="3408" spans="1:6" ht="60" x14ac:dyDescent="0.25">
      <c r="A3408" s="8" t="s">
        <v>63</v>
      </c>
      <c r="B3408" s="8" t="s">
        <v>74</v>
      </c>
      <c r="C3408" s="8" t="str">
        <f>IFERROR(_xlfn.XLOOKUP(TRIM(B3408),Lookup!$B$2:$B$1000,Lookup!$C$2:$C$1000),"")</f>
        <v>Equity - Ethical/Exclusionary</v>
      </c>
      <c r="D3408" s="8" t="str">
        <f>IFERROR(INDEX('nav master'!$C:$C, MATCH(B3408, 'nav master'!$B:$B, 0)), "")</f>
        <v>ULIF 035 16/10/09 TSS 110</v>
      </c>
      <c r="E3408" s="8">
        <v>82.253</v>
      </c>
      <c r="F3408" s="9">
        <v>46234</v>
      </c>
    </row>
    <row r="3409" spans="1:6" ht="60" x14ac:dyDescent="0.25">
      <c r="A3409" s="8" t="s">
        <v>63</v>
      </c>
      <c r="B3409" s="8" t="s">
        <v>58</v>
      </c>
      <c r="C3409" s="8" t="str">
        <f>IFERROR(_xlfn.XLOOKUP(TRIM(B3409),Lookup!$B$2:$B$1000,Lookup!$C$2:$C$1000),"")</f>
        <v>Equity</v>
      </c>
      <c r="D3409" s="8" t="str">
        <f>IFERROR(INDEX('nav master'!$C:$C, MATCH(B3409, 'nav master'!$B:$B, 0)), "")</f>
        <v>ULIF 145 03/06/21 SustainEqu 105</v>
      </c>
      <c r="E3409" s="8">
        <v>15.8065</v>
      </c>
      <c r="F3409" s="9">
        <v>45869</v>
      </c>
    </row>
    <row r="3410" spans="1:6" ht="60" x14ac:dyDescent="0.25">
      <c r="A3410" s="8" t="s">
        <v>63</v>
      </c>
      <c r="B3410" s="8" t="s">
        <v>58</v>
      </c>
      <c r="C3410" s="8" t="str">
        <f>IFERROR(_xlfn.XLOOKUP(TRIM(B3410),Lookup!$B$2:$B$1000,Lookup!$C$2:$C$1000),"")</f>
        <v>Equity</v>
      </c>
      <c r="D3410" s="8" t="str">
        <f>IFERROR(INDEX('nav master'!$C:$C, MATCH(B3410, 'nav master'!$B:$B, 0)), "")</f>
        <v>ULIF 145 03/06/21 SustainEqu 105</v>
      </c>
      <c r="E3410" s="8">
        <v>15.668699999999999</v>
      </c>
      <c r="F3410" s="9">
        <v>45870</v>
      </c>
    </row>
    <row r="3411" spans="1:6" ht="60" x14ac:dyDescent="0.25">
      <c r="A3411" s="8" t="s">
        <v>63</v>
      </c>
      <c r="B3411" s="8" t="s">
        <v>58</v>
      </c>
      <c r="C3411" s="8" t="str">
        <f>IFERROR(_xlfn.XLOOKUP(TRIM(B3411),Lookup!$B$2:$B$1000,Lookup!$C$2:$C$1000),"")</f>
        <v>Equity</v>
      </c>
      <c r="D3411" s="8" t="str">
        <f>IFERROR(INDEX('nav master'!$C:$C, MATCH(B3411, 'nav master'!$B:$B, 0)), "")</f>
        <v>ULIF 145 03/06/21 SustainEqu 105</v>
      </c>
      <c r="E3411" s="8">
        <v>15.797599999999999</v>
      </c>
      <c r="F3411" s="9">
        <v>45873</v>
      </c>
    </row>
    <row r="3412" spans="1:6" ht="60" x14ac:dyDescent="0.25">
      <c r="A3412" s="8" t="s">
        <v>63</v>
      </c>
      <c r="B3412" s="8" t="s">
        <v>58</v>
      </c>
      <c r="C3412" s="8" t="str">
        <f>IFERROR(_xlfn.XLOOKUP(TRIM(B3412),Lookup!$B$2:$B$1000,Lookup!$C$2:$C$1000),"")</f>
        <v>Equity</v>
      </c>
      <c r="D3412" s="8" t="str">
        <f>IFERROR(INDEX('nav master'!$C:$C, MATCH(B3412, 'nav master'!$B:$B, 0)), "")</f>
        <v>ULIF 145 03/06/21 SustainEqu 105</v>
      </c>
      <c r="E3412" s="8">
        <v>15.7509</v>
      </c>
      <c r="F3412" s="9">
        <v>45874</v>
      </c>
    </row>
    <row r="3413" spans="1:6" ht="60" x14ac:dyDescent="0.25">
      <c r="A3413" s="8" t="s">
        <v>63</v>
      </c>
      <c r="B3413" s="8" t="s">
        <v>58</v>
      </c>
      <c r="C3413" s="8" t="str">
        <f>IFERROR(_xlfn.XLOOKUP(TRIM(B3413),Lookup!$B$2:$B$1000,Lookup!$C$2:$C$1000),"")</f>
        <v>Equity</v>
      </c>
      <c r="D3413" s="8" t="str">
        <f>IFERROR(INDEX('nav master'!$C:$C, MATCH(B3413, 'nav master'!$B:$B, 0)), "")</f>
        <v>ULIF 145 03/06/21 SustainEqu 105</v>
      </c>
      <c r="E3413" s="8">
        <v>15.681699999999999</v>
      </c>
      <c r="F3413" s="9">
        <v>45875</v>
      </c>
    </row>
    <row r="3414" spans="1:6" ht="60" x14ac:dyDescent="0.25">
      <c r="A3414" s="8" t="s">
        <v>63</v>
      </c>
      <c r="B3414" s="8" t="s">
        <v>58</v>
      </c>
      <c r="C3414" s="8" t="str">
        <f>IFERROR(_xlfn.XLOOKUP(TRIM(B3414),Lookup!$B$2:$B$1000,Lookup!$C$2:$C$1000),"")</f>
        <v>Equity</v>
      </c>
      <c r="D3414" s="8" t="str">
        <f>IFERROR(INDEX('nav master'!$C:$C, MATCH(B3414, 'nav master'!$B:$B, 0)), "")</f>
        <v>ULIF 145 03/06/21 SustainEqu 105</v>
      </c>
      <c r="E3414" s="8">
        <v>15.7515</v>
      </c>
      <c r="F3414" s="9">
        <v>45876</v>
      </c>
    </row>
    <row r="3415" spans="1:6" ht="60" x14ac:dyDescent="0.25">
      <c r="A3415" s="8" t="s">
        <v>63</v>
      </c>
      <c r="B3415" s="8" t="s">
        <v>58</v>
      </c>
      <c r="C3415" s="8" t="str">
        <f>IFERROR(_xlfn.XLOOKUP(TRIM(B3415),Lookup!$B$2:$B$1000,Lookup!$C$2:$C$1000),"")</f>
        <v>Equity</v>
      </c>
      <c r="D3415" s="8" t="str">
        <f>IFERROR(INDEX('nav master'!$C:$C, MATCH(B3415, 'nav master'!$B:$B, 0)), "")</f>
        <v>ULIF 145 03/06/21 SustainEqu 105</v>
      </c>
      <c r="E3415" s="8">
        <v>15.5985</v>
      </c>
      <c r="F3415" s="9">
        <v>45877</v>
      </c>
    </row>
    <row r="3416" spans="1:6" ht="60" x14ac:dyDescent="0.25">
      <c r="A3416" s="8" t="s">
        <v>63</v>
      </c>
      <c r="B3416" s="8" t="s">
        <v>58</v>
      </c>
      <c r="C3416" s="8" t="str">
        <f>IFERROR(_xlfn.XLOOKUP(TRIM(B3416),Lookup!$B$2:$B$1000,Lookup!$C$2:$C$1000),"")</f>
        <v>Equity</v>
      </c>
      <c r="D3416" s="8" t="str">
        <f>IFERROR(INDEX('nav master'!$C:$C, MATCH(B3416, 'nav master'!$B:$B, 0)), "")</f>
        <v>ULIF 145 03/06/21 SustainEqu 105</v>
      </c>
      <c r="E3416" s="8">
        <v>15.7395</v>
      </c>
      <c r="F3416" s="9">
        <v>45880</v>
      </c>
    </row>
    <row r="3417" spans="1:6" ht="60" x14ac:dyDescent="0.25">
      <c r="A3417" s="8" t="s">
        <v>63</v>
      </c>
      <c r="B3417" s="8" t="s">
        <v>58</v>
      </c>
      <c r="C3417" s="8" t="str">
        <f>IFERROR(_xlfn.XLOOKUP(TRIM(B3417),Lookup!$B$2:$B$1000,Lookup!$C$2:$C$1000),"")</f>
        <v>Equity</v>
      </c>
      <c r="D3417" s="8" t="str">
        <f>IFERROR(INDEX('nav master'!$C:$C, MATCH(B3417, 'nav master'!$B:$B, 0)), "")</f>
        <v>ULIF 145 03/06/21 SustainEqu 105</v>
      </c>
      <c r="E3417" s="8">
        <v>15.7498</v>
      </c>
      <c r="F3417" s="9">
        <v>45881</v>
      </c>
    </row>
    <row r="3418" spans="1:6" ht="60" x14ac:dyDescent="0.25">
      <c r="A3418" s="8" t="s">
        <v>63</v>
      </c>
      <c r="B3418" s="8" t="s">
        <v>58</v>
      </c>
      <c r="C3418" s="8" t="str">
        <f>IFERROR(_xlfn.XLOOKUP(TRIM(B3418),Lookup!$B$2:$B$1000,Lookup!$C$2:$C$1000),"")</f>
        <v>Equity</v>
      </c>
      <c r="D3418" s="8" t="str">
        <f>IFERROR(INDEX('nav master'!$C:$C, MATCH(B3418, 'nav master'!$B:$B, 0)), "")</f>
        <v>ULIF 145 03/06/21 SustainEqu 105</v>
      </c>
      <c r="E3418" s="8">
        <v>15.885899999999999</v>
      </c>
      <c r="F3418" s="9">
        <v>45882</v>
      </c>
    </row>
    <row r="3419" spans="1:6" ht="60" x14ac:dyDescent="0.25">
      <c r="A3419" s="8" t="s">
        <v>63</v>
      </c>
      <c r="B3419" s="8" t="s">
        <v>58</v>
      </c>
      <c r="C3419" s="8" t="str">
        <f>IFERROR(_xlfn.XLOOKUP(TRIM(B3419),Lookup!$B$2:$B$1000,Lookup!$C$2:$C$1000),"")</f>
        <v>Equity</v>
      </c>
      <c r="D3419" s="8" t="str">
        <f>IFERROR(INDEX('nav master'!$C:$C, MATCH(B3419, 'nav master'!$B:$B, 0)), "")</f>
        <v>ULIF 145 03/06/21 SustainEqu 105</v>
      </c>
      <c r="E3419" s="8">
        <v>15.889799999999999</v>
      </c>
      <c r="F3419" s="9">
        <v>45883</v>
      </c>
    </row>
    <row r="3420" spans="1:6" ht="60" x14ac:dyDescent="0.25">
      <c r="A3420" s="8" t="s">
        <v>63</v>
      </c>
      <c r="B3420" s="8" t="s">
        <v>58</v>
      </c>
      <c r="C3420" s="8" t="str">
        <f>IFERROR(_xlfn.XLOOKUP(TRIM(B3420),Lookup!$B$2:$B$1000,Lookup!$C$2:$C$1000),"")</f>
        <v>Equity</v>
      </c>
      <c r="D3420" s="8" t="str">
        <f>IFERROR(INDEX('nav master'!$C:$C, MATCH(B3420, 'nav master'!$B:$B, 0)), "")</f>
        <v>ULIF 145 03/06/21 SustainEqu 105</v>
      </c>
      <c r="E3420" s="8">
        <v>16.014399999999998</v>
      </c>
      <c r="F3420" s="9">
        <v>45887</v>
      </c>
    </row>
    <row r="3421" spans="1:6" ht="60" x14ac:dyDescent="0.25">
      <c r="A3421" s="8" t="s">
        <v>63</v>
      </c>
      <c r="B3421" s="8" t="s">
        <v>58</v>
      </c>
      <c r="C3421" s="8" t="str">
        <f>IFERROR(_xlfn.XLOOKUP(TRIM(B3421),Lookup!$B$2:$B$1000,Lookup!$C$2:$C$1000),"")</f>
        <v>Equity</v>
      </c>
      <c r="D3421" s="8" t="str">
        <f>IFERROR(INDEX('nav master'!$C:$C, MATCH(B3421, 'nav master'!$B:$B, 0)), "")</f>
        <v>ULIF 145 03/06/21 SustainEqu 105</v>
      </c>
      <c r="E3421" s="8">
        <v>16.0838</v>
      </c>
      <c r="F3421" s="9">
        <v>45888</v>
      </c>
    </row>
    <row r="3422" spans="1:6" ht="60" x14ac:dyDescent="0.25">
      <c r="A3422" s="8" t="s">
        <v>63</v>
      </c>
      <c r="B3422" s="8" t="s">
        <v>58</v>
      </c>
      <c r="C3422" s="8" t="str">
        <f>IFERROR(_xlfn.XLOOKUP(TRIM(B3422),Lookup!$B$2:$B$1000,Lookup!$C$2:$C$1000),"")</f>
        <v>Equity</v>
      </c>
      <c r="D3422" s="8" t="str">
        <f>IFERROR(INDEX('nav master'!$C:$C, MATCH(B3422, 'nav master'!$B:$B, 0)), "")</f>
        <v>ULIF 145 03/06/21 SustainEqu 105</v>
      </c>
      <c r="E3422" s="8">
        <v>16.207899999999999</v>
      </c>
      <c r="F3422" s="9">
        <v>45889</v>
      </c>
    </row>
    <row r="3423" spans="1:6" ht="60" x14ac:dyDescent="0.25">
      <c r="A3423" s="8" t="s">
        <v>63</v>
      </c>
      <c r="B3423" s="8" t="s">
        <v>58</v>
      </c>
      <c r="C3423" s="8" t="str">
        <f>IFERROR(_xlfn.XLOOKUP(TRIM(B3423),Lookup!$B$2:$B$1000,Lookup!$C$2:$C$1000),"")</f>
        <v>Equity</v>
      </c>
      <c r="D3423" s="8" t="str">
        <f>IFERROR(INDEX('nav master'!$C:$C, MATCH(B3423, 'nav master'!$B:$B, 0)), "")</f>
        <v>ULIF 145 03/06/21 SustainEqu 105</v>
      </c>
      <c r="E3423" s="8">
        <v>16.1724</v>
      </c>
      <c r="F3423" s="9">
        <v>45890</v>
      </c>
    </row>
    <row r="3424" spans="1:6" ht="60" x14ac:dyDescent="0.25">
      <c r="A3424" s="8" t="s">
        <v>63</v>
      </c>
      <c r="B3424" s="8" t="s">
        <v>58</v>
      </c>
      <c r="C3424" s="8" t="str">
        <f>IFERROR(_xlfn.XLOOKUP(TRIM(B3424),Lookup!$B$2:$B$1000,Lookup!$C$2:$C$1000),"")</f>
        <v>Equity</v>
      </c>
      <c r="D3424" s="8" t="str">
        <f>IFERROR(INDEX('nav master'!$C:$C, MATCH(B3424, 'nav master'!$B:$B, 0)), "")</f>
        <v>ULIF 145 03/06/21 SustainEqu 105</v>
      </c>
      <c r="E3424" s="8">
        <v>16.0915</v>
      </c>
      <c r="F3424" s="9">
        <v>45891</v>
      </c>
    </row>
    <row r="3425" spans="1:6" ht="60" x14ac:dyDescent="0.25">
      <c r="A3425" s="8" t="s">
        <v>63</v>
      </c>
      <c r="B3425" s="8" t="s">
        <v>58</v>
      </c>
      <c r="C3425" s="8" t="str">
        <f>IFERROR(_xlfn.XLOOKUP(TRIM(B3425),Lookup!$B$2:$B$1000,Lookup!$C$2:$C$1000),"")</f>
        <v>Equity</v>
      </c>
      <c r="D3425" s="8" t="str">
        <f>IFERROR(INDEX('nav master'!$C:$C, MATCH(B3425, 'nav master'!$B:$B, 0)), "")</f>
        <v>ULIF 145 03/06/21 SustainEqu 105</v>
      </c>
      <c r="E3425" s="8">
        <v>16.121300000000002</v>
      </c>
      <c r="F3425" s="9">
        <v>45894</v>
      </c>
    </row>
    <row r="3426" spans="1:6" ht="60" x14ac:dyDescent="0.25">
      <c r="A3426" s="8" t="s">
        <v>63</v>
      </c>
      <c r="B3426" s="8" t="s">
        <v>58</v>
      </c>
      <c r="C3426" s="8" t="str">
        <f>IFERROR(_xlfn.XLOOKUP(TRIM(B3426),Lookup!$B$2:$B$1000,Lookup!$C$2:$C$1000),"")</f>
        <v>Equity</v>
      </c>
      <c r="D3426" s="8" t="str">
        <f>IFERROR(INDEX('nav master'!$C:$C, MATCH(B3426, 'nav master'!$B:$B, 0)), "")</f>
        <v>ULIF 145 03/06/21 SustainEqu 105</v>
      </c>
      <c r="E3426" s="8">
        <v>15.919600000000001</v>
      </c>
      <c r="F3426" s="9">
        <v>45895</v>
      </c>
    </row>
    <row r="3427" spans="1:6" ht="60" x14ac:dyDescent="0.25">
      <c r="A3427" s="8" t="s">
        <v>63</v>
      </c>
      <c r="B3427" s="8" t="s">
        <v>58</v>
      </c>
      <c r="C3427" s="8" t="str">
        <f>IFERROR(_xlfn.XLOOKUP(TRIM(B3427),Lookup!$B$2:$B$1000,Lookup!$C$2:$C$1000),"")</f>
        <v>Equity</v>
      </c>
      <c r="D3427" s="8" t="str">
        <f>IFERROR(INDEX('nav master'!$C:$C, MATCH(B3427, 'nav master'!$B:$B, 0)), "")</f>
        <v>ULIF 145 03/06/21 SustainEqu 105</v>
      </c>
      <c r="E3427" s="8">
        <v>15.7453</v>
      </c>
      <c r="F3427" s="9">
        <v>45897</v>
      </c>
    </row>
    <row r="3428" spans="1:6" ht="60" x14ac:dyDescent="0.25">
      <c r="A3428" s="8" t="s">
        <v>63</v>
      </c>
      <c r="B3428" s="8" t="s">
        <v>58</v>
      </c>
      <c r="C3428" s="8" t="str">
        <f>IFERROR(_xlfn.XLOOKUP(TRIM(B3428),Lookup!$B$2:$B$1000,Lookup!$C$2:$C$1000),"")</f>
        <v>Equity</v>
      </c>
      <c r="D3428" s="8" t="str">
        <f>IFERROR(INDEX('nav master'!$C:$C, MATCH(B3428, 'nav master'!$B:$B, 0)), "")</f>
        <v>ULIF 145 03/06/21 SustainEqu 105</v>
      </c>
      <c r="E3428" s="8">
        <v>15.6768</v>
      </c>
      <c r="F3428" s="9">
        <v>45898</v>
      </c>
    </row>
    <row r="3429" spans="1:6" ht="60" x14ac:dyDescent="0.25">
      <c r="A3429" s="8" t="s">
        <v>63</v>
      </c>
      <c r="B3429" s="8" t="s">
        <v>58</v>
      </c>
      <c r="C3429" s="8" t="str">
        <f>IFERROR(_xlfn.XLOOKUP(TRIM(B3429),Lookup!$B$2:$B$1000,Lookup!$C$2:$C$1000),"")</f>
        <v>Equity</v>
      </c>
      <c r="D3429" s="8" t="str">
        <f>IFERROR(INDEX('nav master'!$C:$C, MATCH(B3429, 'nav master'!$B:$B, 0)), "")</f>
        <v>ULIF 145 03/06/21 SustainEqu 105</v>
      </c>
      <c r="E3429" s="8">
        <v>15.902799999999999</v>
      </c>
      <c r="F3429" s="9">
        <v>45901</v>
      </c>
    </row>
    <row r="3430" spans="1:6" ht="60" x14ac:dyDescent="0.25">
      <c r="A3430" s="8" t="s">
        <v>63</v>
      </c>
      <c r="B3430" s="8" t="s">
        <v>58</v>
      </c>
      <c r="C3430" s="8" t="str">
        <f>IFERROR(_xlfn.XLOOKUP(TRIM(B3430),Lookup!$B$2:$B$1000,Lookup!$C$2:$C$1000),"")</f>
        <v>Equity</v>
      </c>
      <c r="D3430" s="8" t="str">
        <f>IFERROR(INDEX('nav master'!$C:$C, MATCH(B3430, 'nav master'!$B:$B, 0)), "")</f>
        <v>ULIF 145 03/06/21 SustainEqu 105</v>
      </c>
      <c r="E3430" s="8">
        <v>15.9132</v>
      </c>
      <c r="F3430" s="9">
        <v>45902</v>
      </c>
    </row>
    <row r="3431" spans="1:6" ht="60" x14ac:dyDescent="0.25">
      <c r="A3431" s="8" t="s">
        <v>63</v>
      </c>
      <c r="B3431" s="8" t="s">
        <v>58</v>
      </c>
      <c r="C3431" s="8" t="str">
        <f>IFERROR(_xlfn.XLOOKUP(TRIM(B3431),Lookup!$B$2:$B$1000,Lookup!$C$2:$C$1000),"")</f>
        <v>Equity</v>
      </c>
      <c r="D3431" s="8" t="str">
        <f>IFERROR(INDEX('nav master'!$C:$C, MATCH(B3431, 'nav master'!$B:$B, 0)), "")</f>
        <v>ULIF 145 03/06/21 SustainEqu 105</v>
      </c>
      <c r="E3431" s="8">
        <v>16.033999999999999</v>
      </c>
      <c r="F3431" s="9">
        <v>45903</v>
      </c>
    </row>
    <row r="3432" spans="1:6" ht="60" x14ac:dyDescent="0.25">
      <c r="A3432" s="8" t="s">
        <v>63</v>
      </c>
      <c r="B3432" s="8" t="s">
        <v>58</v>
      </c>
      <c r="C3432" s="8" t="str">
        <f>IFERROR(_xlfn.XLOOKUP(TRIM(B3432),Lookup!$B$2:$B$1000,Lookup!$C$2:$C$1000),"")</f>
        <v>Equity</v>
      </c>
      <c r="D3432" s="8" t="str">
        <f>IFERROR(INDEX('nav master'!$C:$C, MATCH(B3432, 'nav master'!$B:$B, 0)), "")</f>
        <v>ULIF 145 03/06/21 SustainEqu 105</v>
      </c>
      <c r="E3432" s="8">
        <v>15.9962</v>
      </c>
      <c r="F3432" s="9">
        <v>45904</v>
      </c>
    </row>
    <row r="3433" spans="1:6" ht="60" x14ac:dyDescent="0.25">
      <c r="A3433" s="8" t="s">
        <v>63</v>
      </c>
      <c r="B3433" s="8" t="s">
        <v>58</v>
      </c>
      <c r="C3433" s="8" t="str">
        <f>IFERROR(_xlfn.XLOOKUP(TRIM(B3433),Lookup!$B$2:$B$1000,Lookup!$C$2:$C$1000),"")</f>
        <v>Equity</v>
      </c>
      <c r="D3433" s="8" t="str">
        <f>IFERROR(INDEX('nav master'!$C:$C, MATCH(B3433, 'nav master'!$B:$B, 0)), "")</f>
        <v>ULIF 145 03/06/21 SustainEqu 105</v>
      </c>
      <c r="E3433" s="8">
        <v>15.9964</v>
      </c>
      <c r="F3433" s="9">
        <v>45905</v>
      </c>
    </row>
    <row r="3434" spans="1:6" ht="60" x14ac:dyDescent="0.25">
      <c r="A3434" s="8" t="s">
        <v>63</v>
      </c>
      <c r="B3434" s="8" t="s">
        <v>58</v>
      </c>
      <c r="C3434" s="8" t="str">
        <f>IFERROR(_xlfn.XLOOKUP(TRIM(B3434),Lookup!$B$2:$B$1000,Lookup!$C$2:$C$1000),"")</f>
        <v>Equity</v>
      </c>
      <c r="D3434" s="8" t="str">
        <f>IFERROR(INDEX('nav master'!$C:$C, MATCH(B3434, 'nav master'!$B:$B, 0)), "")</f>
        <v>ULIF 145 03/06/21 SustainEqu 105</v>
      </c>
      <c r="E3434" s="8">
        <v>16.036100000000001</v>
      </c>
      <c r="F3434" s="9">
        <v>45908</v>
      </c>
    </row>
    <row r="3435" spans="1:6" ht="60" x14ac:dyDescent="0.25">
      <c r="A3435" s="8" t="s">
        <v>63</v>
      </c>
      <c r="B3435" s="8" t="s">
        <v>58</v>
      </c>
      <c r="C3435" s="8" t="str">
        <f>IFERROR(_xlfn.XLOOKUP(TRIM(B3435),Lookup!$B$2:$B$1000,Lookup!$C$2:$C$1000),"")</f>
        <v>Equity</v>
      </c>
      <c r="D3435" s="8" t="str">
        <f>IFERROR(INDEX('nav master'!$C:$C, MATCH(B3435, 'nav master'!$B:$B, 0)), "")</f>
        <v>ULIF 145 03/06/21 SustainEqu 105</v>
      </c>
      <c r="E3435" s="8">
        <v>16.055299999999999</v>
      </c>
      <c r="F3435" s="9">
        <v>45909</v>
      </c>
    </row>
    <row r="3436" spans="1:6" ht="60" x14ac:dyDescent="0.25">
      <c r="A3436" s="8" t="s">
        <v>63</v>
      </c>
      <c r="B3436" s="8" t="s">
        <v>58</v>
      </c>
      <c r="C3436" s="8" t="str">
        <f>IFERROR(_xlfn.XLOOKUP(TRIM(B3436),Lookup!$B$2:$B$1000,Lookup!$C$2:$C$1000),"")</f>
        <v>Equity</v>
      </c>
      <c r="D3436" s="8" t="str">
        <f>IFERROR(INDEX('nav master'!$C:$C, MATCH(B3436, 'nav master'!$B:$B, 0)), "")</f>
        <v>ULIF 145 03/06/21 SustainEqu 105</v>
      </c>
      <c r="E3436" s="8">
        <v>16.064800000000002</v>
      </c>
      <c r="F3436" s="9">
        <v>45910</v>
      </c>
    </row>
    <row r="3437" spans="1:6" ht="60" x14ac:dyDescent="0.25">
      <c r="A3437" s="8" t="s">
        <v>63</v>
      </c>
      <c r="B3437" s="8" t="s">
        <v>58</v>
      </c>
      <c r="C3437" s="8" t="str">
        <f>IFERROR(_xlfn.XLOOKUP(TRIM(B3437),Lookup!$B$2:$B$1000,Lookup!$C$2:$C$1000),"")</f>
        <v>Equity</v>
      </c>
      <c r="D3437" s="8" t="str">
        <f>IFERROR(INDEX('nav master'!$C:$C, MATCH(B3437, 'nav master'!$B:$B, 0)), "")</f>
        <v>ULIF 145 03/06/21 SustainEqu 105</v>
      </c>
      <c r="E3437" s="8">
        <v>16.049099999999999</v>
      </c>
      <c r="F3437" s="9">
        <v>45911</v>
      </c>
    </row>
    <row r="3438" spans="1:6" ht="60" x14ac:dyDescent="0.25">
      <c r="A3438" s="8" t="s">
        <v>63</v>
      </c>
      <c r="B3438" s="8" t="s">
        <v>58</v>
      </c>
      <c r="C3438" s="8" t="str">
        <f>IFERROR(_xlfn.XLOOKUP(TRIM(B3438),Lookup!$B$2:$B$1000,Lookup!$C$2:$C$1000),"")</f>
        <v>Equity</v>
      </c>
      <c r="D3438" s="8" t="str">
        <f>IFERROR(INDEX('nav master'!$C:$C, MATCH(B3438, 'nav master'!$B:$B, 0)), "")</f>
        <v>ULIF 145 03/06/21 SustainEqu 105</v>
      </c>
      <c r="E3438" s="8">
        <v>16.081</v>
      </c>
      <c r="F3438" s="9">
        <v>45912</v>
      </c>
    </row>
    <row r="3439" spans="1:6" ht="60" x14ac:dyDescent="0.25">
      <c r="A3439" s="8" t="s">
        <v>63</v>
      </c>
      <c r="B3439" s="8" t="s">
        <v>58</v>
      </c>
      <c r="C3439" s="8" t="str">
        <f>IFERROR(_xlfn.XLOOKUP(TRIM(B3439),Lookup!$B$2:$B$1000,Lookup!$C$2:$C$1000),"")</f>
        <v>Equity</v>
      </c>
      <c r="D3439" s="8" t="str">
        <f>IFERROR(INDEX('nav master'!$C:$C, MATCH(B3439, 'nav master'!$B:$B, 0)), "")</f>
        <v>ULIF 145 03/06/21 SustainEqu 105</v>
      </c>
      <c r="E3439" s="8">
        <v>16.1114</v>
      </c>
      <c r="F3439" s="9">
        <v>45915</v>
      </c>
    </row>
    <row r="3440" spans="1:6" ht="60" x14ac:dyDescent="0.25">
      <c r="A3440" s="8" t="s">
        <v>63</v>
      </c>
      <c r="B3440" s="8" t="s">
        <v>58</v>
      </c>
      <c r="C3440" s="8" t="str">
        <f>IFERROR(_xlfn.XLOOKUP(TRIM(B3440),Lookup!$B$2:$B$1000,Lookup!$C$2:$C$1000),"")</f>
        <v>Equity</v>
      </c>
      <c r="D3440" s="8" t="str">
        <f>IFERROR(INDEX('nav master'!$C:$C, MATCH(B3440, 'nav master'!$B:$B, 0)), "")</f>
        <v>ULIF 145 03/06/21 SustainEqu 105</v>
      </c>
      <c r="E3440" s="8">
        <v>16.2026</v>
      </c>
      <c r="F3440" s="9">
        <v>45916</v>
      </c>
    </row>
    <row r="3441" spans="1:6" ht="60" x14ac:dyDescent="0.25">
      <c r="A3441" s="8" t="s">
        <v>63</v>
      </c>
      <c r="B3441" s="8" t="s">
        <v>58</v>
      </c>
      <c r="C3441" s="8" t="str">
        <f>IFERROR(_xlfn.XLOOKUP(TRIM(B3441),Lookup!$B$2:$B$1000,Lookup!$C$2:$C$1000),"")</f>
        <v>Equity</v>
      </c>
      <c r="D3441" s="8" t="str">
        <f>IFERROR(INDEX('nav master'!$C:$C, MATCH(B3441, 'nav master'!$B:$B, 0)), "")</f>
        <v>ULIF 145 03/06/21 SustainEqu 105</v>
      </c>
      <c r="E3441" s="8">
        <v>16.238399999999999</v>
      </c>
      <c r="F3441" s="9">
        <v>45917</v>
      </c>
    </row>
    <row r="3442" spans="1:6" ht="60" x14ac:dyDescent="0.25">
      <c r="A3442" s="8" t="s">
        <v>63</v>
      </c>
      <c r="B3442" s="8" t="s">
        <v>58</v>
      </c>
      <c r="C3442" s="8" t="str">
        <f>IFERROR(_xlfn.XLOOKUP(TRIM(B3442),Lookup!$B$2:$B$1000,Lookup!$C$2:$C$1000),"")</f>
        <v>Equity</v>
      </c>
      <c r="D3442" s="8" t="str">
        <f>IFERROR(INDEX('nav master'!$C:$C, MATCH(B3442, 'nav master'!$B:$B, 0)), "")</f>
        <v>ULIF 145 03/06/21 SustainEqu 105</v>
      </c>
      <c r="E3442" s="8">
        <v>16.294499999999999</v>
      </c>
      <c r="F3442" s="9">
        <v>45918</v>
      </c>
    </row>
    <row r="3443" spans="1:6" ht="60" x14ac:dyDescent="0.25">
      <c r="A3443" s="8" t="s">
        <v>63</v>
      </c>
      <c r="B3443" s="8" t="s">
        <v>58</v>
      </c>
      <c r="C3443" s="8" t="str">
        <f>IFERROR(_xlfn.XLOOKUP(TRIM(B3443),Lookup!$B$2:$B$1000,Lookup!$C$2:$C$1000),"")</f>
        <v>Equity</v>
      </c>
      <c r="D3443" s="8" t="str">
        <f>IFERROR(INDEX('nav master'!$C:$C, MATCH(B3443, 'nav master'!$B:$B, 0)), "")</f>
        <v>ULIF 145 03/06/21 SustainEqu 105</v>
      </c>
      <c r="E3443" s="8">
        <v>16.252700000000001</v>
      </c>
      <c r="F3443" s="9">
        <v>45919</v>
      </c>
    </row>
    <row r="3444" spans="1:6" ht="60" x14ac:dyDescent="0.25">
      <c r="A3444" s="8" t="s">
        <v>63</v>
      </c>
      <c r="B3444" s="8" t="s">
        <v>58</v>
      </c>
      <c r="C3444" s="8" t="str">
        <f>IFERROR(_xlfn.XLOOKUP(TRIM(B3444),Lookup!$B$2:$B$1000,Lookup!$C$2:$C$1000),"")</f>
        <v>Equity</v>
      </c>
      <c r="D3444" s="8" t="str">
        <f>IFERROR(INDEX('nav master'!$C:$C, MATCH(B3444, 'nav master'!$B:$B, 0)), "")</f>
        <v>ULIF 145 03/06/21 SustainEqu 105</v>
      </c>
      <c r="E3444" s="8">
        <v>16.1999</v>
      </c>
      <c r="F3444" s="9">
        <v>45922</v>
      </c>
    </row>
    <row r="3445" spans="1:6" ht="60" x14ac:dyDescent="0.25">
      <c r="A3445" s="8" t="s">
        <v>63</v>
      </c>
      <c r="B3445" s="8" t="s">
        <v>58</v>
      </c>
      <c r="C3445" s="8" t="str">
        <f>IFERROR(_xlfn.XLOOKUP(TRIM(B3445),Lookup!$B$2:$B$1000,Lookup!$C$2:$C$1000),"")</f>
        <v>Equity</v>
      </c>
      <c r="D3445" s="8" t="str">
        <f>IFERROR(INDEX('nav master'!$C:$C, MATCH(B3445, 'nav master'!$B:$B, 0)), "")</f>
        <v>ULIF 145 03/06/21 SustainEqu 105</v>
      </c>
      <c r="E3445" s="8">
        <v>16.089700000000001</v>
      </c>
      <c r="F3445" s="9">
        <v>45923</v>
      </c>
    </row>
    <row r="3446" spans="1:6" ht="60" x14ac:dyDescent="0.25">
      <c r="A3446" s="8" t="s">
        <v>63</v>
      </c>
      <c r="B3446" s="8" t="s">
        <v>58</v>
      </c>
      <c r="C3446" s="8" t="str">
        <f>IFERROR(_xlfn.XLOOKUP(TRIM(B3446),Lookup!$B$2:$B$1000,Lookup!$C$2:$C$1000),"")</f>
        <v>Equity</v>
      </c>
      <c r="D3446" s="8" t="str">
        <f>IFERROR(INDEX('nav master'!$C:$C, MATCH(B3446, 'nav master'!$B:$B, 0)), "")</f>
        <v>ULIF 145 03/06/21 SustainEqu 105</v>
      </c>
      <c r="E3446" s="8">
        <v>15.9689</v>
      </c>
      <c r="F3446" s="9">
        <v>45924</v>
      </c>
    </row>
    <row r="3447" spans="1:6" ht="60" x14ac:dyDescent="0.25">
      <c r="A3447" s="8" t="s">
        <v>63</v>
      </c>
      <c r="B3447" s="8" t="s">
        <v>58</v>
      </c>
      <c r="C3447" s="8" t="str">
        <f>IFERROR(_xlfn.XLOOKUP(TRIM(B3447),Lookup!$B$2:$B$1000,Lookup!$C$2:$C$1000),"")</f>
        <v>Equity</v>
      </c>
      <c r="D3447" s="8" t="str">
        <f>IFERROR(INDEX('nav master'!$C:$C, MATCH(B3447, 'nav master'!$B:$B, 0)), "")</f>
        <v>ULIF 145 03/06/21 SustainEqu 105</v>
      </c>
      <c r="E3447" s="8">
        <v>15.832599999999999</v>
      </c>
      <c r="F3447" s="9">
        <v>45925</v>
      </c>
    </row>
    <row r="3448" spans="1:6" ht="60" x14ac:dyDescent="0.25">
      <c r="A3448" s="8" t="s">
        <v>63</v>
      </c>
      <c r="B3448" s="8" t="s">
        <v>58</v>
      </c>
      <c r="C3448" s="8" t="str">
        <f>IFERROR(_xlfn.XLOOKUP(TRIM(B3448),Lookup!$B$2:$B$1000,Lookup!$C$2:$C$1000),"")</f>
        <v>Equity</v>
      </c>
      <c r="D3448" s="8" t="str">
        <f>IFERROR(INDEX('nav master'!$C:$C, MATCH(B3448, 'nav master'!$B:$B, 0)), "")</f>
        <v>ULIF 145 03/06/21 SustainEqu 105</v>
      </c>
      <c r="E3448" s="8">
        <v>15.6112</v>
      </c>
      <c r="F3448" s="9">
        <v>45926</v>
      </c>
    </row>
    <row r="3449" spans="1:6" ht="60" x14ac:dyDescent="0.25">
      <c r="A3449" s="8" t="s">
        <v>63</v>
      </c>
      <c r="B3449" s="8" t="s">
        <v>58</v>
      </c>
      <c r="C3449" s="8" t="str">
        <f>IFERROR(_xlfn.XLOOKUP(TRIM(B3449),Lookup!$B$2:$B$1000,Lookup!$C$2:$C$1000),"")</f>
        <v>Equity</v>
      </c>
      <c r="D3449" s="8" t="str">
        <f>IFERROR(INDEX('nav master'!$C:$C, MATCH(B3449, 'nav master'!$B:$B, 0)), "")</f>
        <v>ULIF 145 03/06/21 SustainEqu 105</v>
      </c>
      <c r="E3449" s="8">
        <v>15.6393</v>
      </c>
      <c r="F3449" s="9">
        <v>45929</v>
      </c>
    </row>
    <row r="3450" spans="1:6" ht="60" x14ac:dyDescent="0.25">
      <c r="A3450" s="8" t="s">
        <v>63</v>
      </c>
      <c r="B3450" s="8" t="s">
        <v>58</v>
      </c>
      <c r="C3450" s="8" t="str">
        <f>IFERROR(_xlfn.XLOOKUP(TRIM(B3450),Lookup!$B$2:$B$1000,Lookup!$C$2:$C$1000),"")</f>
        <v>Equity</v>
      </c>
      <c r="D3450" s="8" t="str">
        <f>IFERROR(INDEX('nav master'!$C:$C, MATCH(B3450, 'nav master'!$B:$B, 0)), "")</f>
        <v>ULIF 145 03/06/21 SustainEqu 105</v>
      </c>
      <c r="E3450" s="8">
        <v>15.6143</v>
      </c>
      <c r="F3450" s="9">
        <v>45930</v>
      </c>
    </row>
    <row r="3451" spans="1:6" ht="60" x14ac:dyDescent="0.25">
      <c r="A3451" s="8" t="s">
        <v>63</v>
      </c>
      <c r="B3451" s="8" t="s">
        <v>58</v>
      </c>
      <c r="C3451" s="8" t="str">
        <f>IFERROR(_xlfn.XLOOKUP(TRIM(B3451),Lookup!$B$2:$B$1000,Lookup!$C$2:$C$1000),"")</f>
        <v>Equity</v>
      </c>
      <c r="D3451" s="8" t="str">
        <f>IFERROR(INDEX('nav master'!$C:$C, MATCH(B3451, 'nav master'!$B:$B, 0)), "")</f>
        <v>ULIF 145 03/06/21 SustainEqu 105</v>
      </c>
      <c r="E3451" s="8">
        <v>15.7044</v>
      </c>
      <c r="F3451" s="9">
        <v>45931</v>
      </c>
    </row>
    <row r="3452" spans="1:6" ht="60" x14ac:dyDescent="0.25">
      <c r="A3452" s="8" t="s">
        <v>63</v>
      </c>
      <c r="B3452" s="8" t="s">
        <v>58</v>
      </c>
      <c r="C3452" s="8" t="str">
        <f>IFERROR(_xlfn.XLOOKUP(TRIM(B3452),Lookup!$B$2:$B$1000,Lookup!$C$2:$C$1000),"")</f>
        <v>Equity</v>
      </c>
      <c r="D3452" s="8" t="str">
        <f>IFERROR(INDEX('nav master'!$C:$C, MATCH(B3452, 'nav master'!$B:$B, 0)), "")</f>
        <v>ULIF 145 03/06/21 SustainEqu 105</v>
      </c>
      <c r="E3452" s="8">
        <v>15.793200000000001</v>
      </c>
      <c r="F3452" s="9">
        <v>45933</v>
      </c>
    </row>
    <row r="3453" spans="1:6" ht="60" x14ac:dyDescent="0.25">
      <c r="A3453" s="8" t="s">
        <v>63</v>
      </c>
      <c r="B3453" s="8" t="s">
        <v>58</v>
      </c>
      <c r="C3453" s="8" t="str">
        <f>IFERROR(_xlfn.XLOOKUP(TRIM(B3453),Lookup!$B$2:$B$1000,Lookup!$C$2:$C$1000),"")</f>
        <v>Equity</v>
      </c>
      <c r="D3453" s="8" t="str">
        <f>IFERROR(INDEX('nav master'!$C:$C, MATCH(B3453, 'nav master'!$B:$B, 0)), "")</f>
        <v>ULIF 145 03/06/21 SustainEqu 105</v>
      </c>
      <c r="E3453" s="8">
        <v>15.904500000000001</v>
      </c>
      <c r="F3453" s="9">
        <v>45936</v>
      </c>
    </row>
    <row r="3454" spans="1:6" ht="60" x14ac:dyDescent="0.25">
      <c r="A3454" s="8" t="s">
        <v>63</v>
      </c>
      <c r="B3454" s="8" t="s">
        <v>58</v>
      </c>
      <c r="C3454" s="8" t="str">
        <f>IFERROR(_xlfn.XLOOKUP(TRIM(B3454),Lookup!$B$2:$B$1000,Lookup!$C$2:$C$1000),"")</f>
        <v>Equity</v>
      </c>
      <c r="D3454" s="8" t="str">
        <f>IFERROR(INDEX('nav master'!$C:$C, MATCH(B3454, 'nav master'!$B:$B, 0)), "")</f>
        <v>ULIF 145 03/06/21 SustainEqu 105</v>
      </c>
      <c r="E3454" s="8">
        <v>15.9533</v>
      </c>
      <c r="F3454" s="9">
        <v>45937</v>
      </c>
    </row>
    <row r="3455" spans="1:6" ht="60" x14ac:dyDescent="0.25">
      <c r="A3455" s="8" t="s">
        <v>63</v>
      </c>
      <c r="B3455" s="8" t="s">
        <v>58</v>
      </c>
      <c r="C3455" s="8" t="str">
        <f>IFERROR(_xlfn.XLOOKUP(TRIM(B3455),Lookup!$B$2:$B$1000,Lookup!$C$2:$C$1000),"")</f>
        <v>Equity</v>
      </c>
      <c r="D3455" s="8" t="str">
        <f>IFERROR(INDEX('nav master'!$C:$C, MATCH(B3455, 'nav master'!$B:$B, 0)), "")</f>
        <v>ULIF 145 03/06/21 SustainEqu 105</v>
      </c>
      <c r="E3455" s="8">
        <v>15.926500000000001</v>
      </c>
      <c r="F3455" s="9">
        <v>45938</v>
      </c>
    </row>
    <row r="3456" spans="1:6" ht="60" x14ac:dyDescent="0.25">
      <c r="A3456" s="8" t="s">
        <v>63</v>
      </c>
      <c r="B3456" s="8" t="s">
        <v>58</v>
      </c>
      <c r="C3456" s="8" t="str">
        <f>IFERROR(_xlfn.XLOOKUP(TRIM(B3456),Lookup!$B$2:$B$1000,Lookup!$C$2:$C$1000),"")</f>
        <v>Equity</v>
      </c>
      <c r="D3456" s="8" t="str">
        <f>IFERROR(INDEX('nav master'!$C:$C, MATCH(B3456, 'nav master'!$B:$B, 0)), "")</f>
        <v>ULIF 145 03/06/21 SustainEqu 105</v>
      </c>
      <c r="E3456" s="8">
        <v>16.032399999999999</v>
      </c>
      <c r="F3456" s="9">
        <v>45939</v>
      </c>
    </row>
    <row r="3457" spans="1:6" ht="60" x14ac:dyDescent="0.25">
      <c r="A3457" s="8" t="s">
        <v>63</v>
      </c>
      <c r="B3457" s="8" t="s">
        <v>58</v>
      </c>
      <c r="C3457" s="8" t="str">
        <f>IFERROR(_xlfn.XLOOKUP(TRIM(B3457),Lookup!$B$2:$B$1000,Lookup!$C$2:$C$1000),"")</f>
        <v>Equity</v>
      </c>
      <c r="D3457" s="8" t="str">
        <f>IFERROR(INDEX('nav master'!$C:$C, MATCH(B3457, 'nav master'!$B:$B, 0)), "")</f>
        <v>ULIF 145 03/06/21 SustainEqu 105</v>
      </c>
      <c r="E3457" s="8">
        <v>16.1083</v>
      </c>
      <c r="F3457" s="9">
        <v>45940</v>
      </c>
    </row>
    <row r="3458" spans="1:6" ht="60" x14ac:dyDescent="0.25">
      <c r="A3458" s="8" t="s">
        <v>63</v>
      </c>
      <c r="B3458" s="8" t="s">
        <v>58</v>
      </c>
      <c r="C3458" s="8" t="str">
        <f>IFERROR(_xlfn.XLOOKUP(TRIM(B3458),Lookup!$B$2:$B$1000,Lookup!$C$2:$C$1000),"")</f>
        <v>Equity</v>
      </c>
      <c r="D3458" s="8" t="str">
        <f>IFERROR(INDEX('nav master'!$C:$C, MATCH(B3458, 'nav master'!$B:$B, 0)), "")</f>
        <v>ULIF 145 03/06/21 SustainEqu 105</v>
      </c>
      <c r="E3458" s="8">
        <v>16.111999999999998</v>
      </c>
      <c r="F3458" s="9">
        <v>45943</v>
      </c>
    </row>
    <row r="3459" spans="1:6" ht="60" x14ac:dyDescent="0.25">
      <c r="A3459" s="8" t="s">
        <v>63</v>
      </c>
      <c r="B3459" s="8" t="s">
        <v>58</v>
      </c>
      <c r="C3459" s="8" t="str">
        <f>IFERROR(_xlfn.XLOOKUP(TRIM(B3459),Lookup!$B$2:$B$1000,Lookup!$C$2:$C$1000),"")</f>
        <v>Equity</v>
      </c>
      <c r="D3459" s="8" t="str">
        <f>IFERROR(INDEX('nav master'!$C:$C, MATCH(B3459, 'nav master'!$B:$B, 0)), "")</f>
        <v>ULIF 145 03/06/21 SustainEqu 105</v>
      </c>
      <c r="E3459" s="8">
        <v>16.081199999999999</v>
      </c>
      <c r="F3459" s="9">
        <v>45944</v>
      </c>
    </row>
    <row r="3460" spans="1:6" ht="60" x14ac:dyDescent="0.25">
      <c r="A3460" s="8" t="s">
        <v>63</v>
      </c>
      <c r="B3460" s="8" t="s">
        <v>58</v>
      </c>
      <c r="C3460" s="8" t="str">
        <f>IFERROR(_xlfn.XLOOKUP(TRIM(B3460),Lookup!$B$2:$B$1000,Lookup!$C$2:$C$1000),"")</f>
        <v>Equity</v>
      </c>
      <c r="D3460" s="8" t="str">
        <f>IFERROR(INDEX('nav master'!$C:$C, MATCH(B3460, 'nav master'!$B:$B, 0)), "")</f>
        <v>ULIF 145 03/06/21 SustainEqu 105</v>
      </c>
      <c r="E3460" s="8">
        <v>16.204799999999999</v>
      </c>
      <c r="F3460" s="9">
        <v>45945</v>
      </c>
    </row>
    <row r="3461" spans="1:6" ht="60" x14ac:dyDescent="0.25">
      <c r="A3461" s="8" t="s">
        <v>63</v>
      </c>
      <c r="B3461" s="8" t="s">
        <v>58</v>
      </c>
      <c r="C3461" s="8" t="str">
        <f>IFERROR(_xlfn.XLOOKUP(TRIM(B3461),Lookup!$B$2:$B$1000,Lookup!$C$2:$C$1000),"")</f>
        <v>Equity</v>
      </c>
      <c r="D3461" s="8" t="str">
        <f>IFERROR(INDEX('nav master'!$C:$C, MATCH(B3461, 'nav master'!$B:$B, 0)), "")</f>
        <v>ULIF 145 03/06/21 SustainEqu 105</v>
      </c>
      <c r="E3461" s="8">
        <v>16.296700000000001</v>
      </c>
      <c r="F3461" s="9">
        <v>45946</v>
      </c>
    </row>
    <row r="3462" spans="1:6" ht="60" x14ac:dyDescent="0.25">
      <c r="A3462" s="8" t="s">
        <v>63</v>
      </c>
      <c r="B3462" s="8" t="s">
        <v>58</v>
      </c>
      <c r="C3462" s="8" t="str">
        <f>IFERROR(_xlfn.XLOOKUP(TRIM(B3462),Lookup!$B$2:$B$1000,Lookup!$C$2:$C$1000),"")</f>
        <v>Equity</v>
      </c>
      <c r="D3462" s="8" t="str">
        <f>IFERROR(INDEX('nav master'!$C:$C, MATCH(B3462, 'nav master'!$B:$B, 0)), "")</f>
        <v>ULIF 145 03/06/21 SustainEqu 105</v>
      </c>
      <c r="E3462" s="8">
        <v>16.328399999999998</v>
      </c>
      <c r="F3462" s="9">
        <v>45947</v>
      </c>
    </row>
    <row r="3463" spans="1:6" ht="60" x14ac:dyDescent="0.25">
      <c r="A3463" s="8" t="s">
        <v>63</v>
      </c>
      <c r="B3463" s="8" t="s">
        <v>58</v>
      </c>
      <c r="C3463" s="8" t="str">
        <f>IFERROR(_xlfn.XLOOKUP(TRIM(B3463),Lookup!$B$2:$B$1000,Lookup!$C$2:$C$1000),"")</f>
        <v>Equity</v>
      </c>
      <c r="D3463" s="8" t="str">
        <f>IFERROR(INDEX('nav master'!$C:$C, MATCH(B3463, 'nav master'!$B:$B, 0)), "")</f>
        <v>ULIF 145 03/06/21 SustainEqu 105</v>
      </c>
      <c r="E3463" s="8">
        <v>16.335100000000001</v>
      </c>
      <c r="F3463" s="9">
        <v>45950</v>
      </c>
    </row>
    <row r="3464" spans="1:6" ht="60" x14ac:dyDescent="0.25">
      <c r="A3464" s="8" t="s">
        <v>63</v>
      </c>
      <c r="B3464" s="8" t="s">
        <v>58</v>
      </c>
      <c r="C3464" s="8" t="str">
        <f>IFERROR(_xlfn.XLOOKUP(TRIM(B3464),Lookup!$B$2:$B$1000,Lookup!$C$2:$C$1000),"")</f>
        <v>Equity</v>
      </c>
      <c r="D3464" s="8" t="str">
        <f>IFERROR(INDEX('nav master'!$C:$C, MATCH(B3464, 'nav master'!$B:$B, 0)), "")</f>
        <v>ULIF 145 03/06/21 SustainEqu 105</v>
      </c>
      <c r="E3464" s="8">
        <v>16.316600000000001</v>
      </c>
      <c r="F3464" s="9">
        <v>45953</v>
      </c>
    </row>
    <row r="3465" spans="1:6" ht="60" x14ac:dyDescent="0.25">
      <c r="A3465" s="8" t="s">
        <v>63</v>
      </c>
      <c r="B3465" s="8" t="s">
        <v>58</v>
      </c>
      <c r="C3465" s="8" t="str">
        <f>IFERROR(_xlfn.XLOOKUP(TRIM(B3465),Lookup!$B$2:$B$1000,Lookup!$C$2:$C$1000),"")</f>
        <v>Equity</v>
      </c>
      <c r="D3465" s="8" t="str">
        <f>IFERROR(INDEX('nav master'!$C:$C, MATCH(B3465, 'nav master'!$B:$B, 0)), "")</f>
        <v>ULIF 145 03/06/21 SustainEqu 105</v>
      </c>
      <c r="E3465" s="8">
        <v>16.250299999999999</v>
      </c>
      <c r="F3465" s="9">
        <v>45954</v>
      </c>
    </row>
    <row r="3466" spans="1:6" ht="60" x14ac:dyDescent="0.25">
      <c r="A3466" s="8" t="s">
        <v>63</v>
      </c>
      <c r="B3466" s="8" t="s">
        <v>58</v>
      </c>
      <c r="C3466" s="8" t="str">
        <f>IFERROR(_xlfn.XLOOKUP(TRIM(B3466),Lookup!$B$2:$B$1000,Lookup!$C$2:$C$1000),"")</f>
        <v>Equity</v>
      </c>
      <c r="D3466" s="8" t="str">
        <f>IFERROR(INDEX('nav master'!$C:$C, MATCH(B3466, 'nav master'!$B:$B, 0)), "")</f>
        <v>ULIF 145 03/06/21 SustainEqu 105</v>
      </c>
      <c r="E3466" s="8">
        <v>16.36</v>
      </c>
      <c r="F3466" s="9">
        <v>45957</v>
      </c>
    </row>
    <row r="3467" spans="1:6" ht="60" x14ac:dyDescent="0.25">
      <c r="A3467" s="8" t="s">
        <v>63</v>
      </c>
      <c r="B3467" s="8" t="s">
        <v>58</v>
      </c>
      <c r="C3467" s="8" t="str">
        <f>IFERROR(_xlfn.XLOOKUP(TRIM(B3467),Lookup!$B$2:$B$1000,Lookup!$C$2:$C$1000),"")</f>
        <v>Equity</v>
      </c>
      <c r="D3467" s="8" t="str">
        <f>IFERROR(INDEX('nav master'!$C:$C, MATCH(B3467, 'nav master'!$B:$B, 0)), "")</f>
        <v>ULIF 145 03/06/21 SustainEqu 105</v>
      </c>
      <c r="E3467" s="8">
        <v>16.266200000000001</v>
      </c>
      <c r="F3467" s="9">
        <v>45958</v>
      </c>
    </row>
    <row r="3468" spans="1:6" ht="60" x14ac:dyDescent="0.25">
      <c r="A3468" s="8" t="s">
        <v>63</v>
      </c>
      <c r="B3468" s="8" t="s">
        <v>58</v>
      </c>
      <c r="C3468" s="8" t="str">
        <f>IFERROR(_xlfn.XLOOKUP(TRIM(B3468),Lookup!$B$2:$B$1000,Lookup!$C$2:$C$1000),"")</f>
        <v>Equity</v>
      </c>
      <c r="D3468" s="8" t="str">
        <f>IFERROR(INDEX('nav master'!$C:$C, MATCH(B3468, 'nav master'!$B:$B, 0)), "")</f>
        <v>ULIF 145 03/06/21 SustainEqu 105</v>
      </c>
      <c r="E3468" s="8">
        <v>16.384399999999999</v>
      </c>
      <c r="F3468" s="9">
        <v>45959</v>
      </c>
    </row>
    <row r="3469" spans="1:6" ht="60" x14ac:dyDescent="0.25">
      <c r="A3469" s="8" t="s">
        <v>63</v>
      </c>
      <c r="B3469" s="8" t="s">
        <v>58</v>
      </c>
      <c r="C3469" s="8" t="str">
        <f>IFERROR(_xlfn.XLOOKUP(TRIM(B3469),Lookup!$B$2:$B$1000,Lookup!$C$2:$C$1000),"")</f>
        <v>Equity</v>
      </c>
      <c r="D3469" s="8" t="str">
        <f>IFERROR(INDEX('nav master'!$C:$C, MATCH(B3469, 'nav master'!$B:$B, 0)), "")</f>
        <v>ULIF 145 03/06/21 SustainEqu 105</v>
      </c>
      <c r="E3469" s="8">
        <v>16.287600000000001</v>
      </c>
      <c r="F3469" s="9">
        <v>45960</v>
      </c>
    </row>
    <row r="3470" spans="1:6" ht="60" x14ac:dyDescent="0.25">
      <c r="A3470" s="8" t="s">
        <v>63</v>
      </c>
      <c r="B3470" s="8" t="s">
        <v>58</v>
      </c>
      <c r="C3470" s="8" t="str">
        <f>IFERROR(_xlfn.XLOOKUP(TRIM(B3470),Lookup!$B$2:$B$1000,Lookup!$C$2:$C$1000),"")</f>
        <v>Equity</v>
      </c>
      <c r="D3470" s="8" t="str">
        <f>IFERROR(INDEX('nav master'!$C:$C, MATCH(B3470, 'nav master'!$B:$B, 0)), "")</f>
        <v>ULIF 145 03/06/21 SustainEqu 105</v>
      </c>
      <c r="E3470" s="8">
        <v>16.152200000000001</v>
      </c>
      <c r="F3470" s="9">
        <v>45961</v>
      </c>
    </row>
    <row r="3471" spans="1:6" ht="60" x14ac:dyDescent="0.25">
      <c r="A3471" s="8" t="s">
        <v>63</v>
      </c>
      <c r="B3471" s="8" t="s">
        <v>58</v>
      </c>
      <c r="C3471" s="8" t="str">
        <f>IFERROR(_xlfn.XLOOKUP(TRIM(B3471),Lookup!$B$2:$B$1000,Lookup!$C$2:$C$1000),"")</f>
        <v>Equity</v>
      </c>
      <c r="D3471" s="8" t="str">
        <f>IFERROR(INDEX('nav master'!$C:$C, MATCH(B3471, 'nav master'!$B:$B, 0)), "")</f>
        <v>ULIF 145 03/06/21 SustainEqu 105</v>
      </c>
      <c r="E3471" s="8">
        <v>16.269600000000001</v>
      </c>
      <c r="F3471" s="9">
        <v>45964</v>
      </c>
    </row>
    <row r="3472" spans="1:6" ht="60" x14ac:dyDescent="0.25">
      <c r="A3472" s="8" t="s">
        <v>63</v>
      </c>
      <c r="B3472" s="8" t="s">
        <v>58</v>
      </c>
      <c r="C3472" s="8" t="str">
        <f>IFERROR(_xlfn.XLOOKUP(TRIM(B3472),Lookup!$B$2:$B$1000,Lookup!$C$2:$C$1000),"")</f>
        <v>Equity</v>
      </c>
      <c r="D3472" s="8" t="str">
        <f>IFERROR(INDEX('nav master'!$C:$C, MATCH(B3472, 'nav master'!$B:$B, 0)), "")</f>
        <v>ULIF 145 03/06/21 SustainEqu 105</v>
      </c>
      <c r="E3472" s="8">
        <v>16.2317</v>
      </c>
      <c r="F3472" s="9">
        <v>45965</v>
      </c>
    </row>
    <row r="3473" spans="1:6" ht="60" x14ac:dyDescent="0.25">
      <c r="A3473" s="8" t="s">
        <v>63</v>
      </c>
      <c r="B3473" s="8" t="s">
        <v>58</v>
      </c>
      <c r="C3473" s="8" t="str">
        <f>IFERROR(_xlfn.XLOOKUP(TRIM(B3473),Lookup!$B$2:$B$1000,Lookup!$C$2:$C$1000),"")</f>
        <v>Equity</v>
      </c>
      <c r="D3473" s="8" t="str">
        <f>IFERROR(INDEX('nav master'!$C:$C, MATCH(B3473, 'nav master'!$B:$B, 0)), "")</f>
        <v>ULIF 145 03/06/21 SustainEqu 105</v>
      </c>
      <c r="E3473" s="8">
        <v>16.0838</v>
      </c>
      <c r="F3473" s="9">
        <v>45967</v>
      </c>
    </row>
    <row r="3474" spans="1:6" ht="60" x14ac:dyDescent="0.25">
      <c r="A3474" s="8" t="s">
        <v>63</v>
      </c>
      <c r="B3474" s="8" t="s">
        <v>58</v>
      </c>
      <c r="C3474" s="8" t="str">
        <f>IFERROR(_xlfn.XLOOKUP(TRIM(B3474),Lookup!$B$2:$B$1000,Lookup!$C$2:$C$1000),"")</f>
        <v>Equity</v>
      </c>
      <c r="D3474" s="8" t="str">
        <f>IFERROR(INDEX('nav master'!$C:$C, MATCH(B3474, 'nav master'!$B:$B, 0)), "")</f>
        <v>ULIF 145 03/06/21 SustainEqu 105</v>
      </c>
      <c r="E3474" s="8">
        <v>16.064299999999999</v>
      </c>
      <c r="F3474" s="9">
        <v>45968</v>
      </c>
    </row>
    <row r="3475" spans="1:6" ht="60" x14ac:dyDescent="0.25">
      <c r="A3475" s="8" t="s">
        <v>63</v>
      </c>
      <c r="B3475" s="8" t="s">
        <v>58</v>
      </c>
      <c r="C3475" s="8" t="str">
        <f>IFERROR(_xlfn.XLOOKUP(TRIM(B3475),Lookup!$B$2:$B$1000,Lookup!$C$2:$C$1000),"")</f>
        <v>Equity</v>
      </c>
      <c r="D3475" s="8" t="str">
        <f>IFERROR(INDEX('nav master'!$C:$C, MATCH(B3475, 'nav master'!$B:$B, 0)), "")</f>
        <v>ULIF 145 03/06/21 SustainEqu 105</v>
      </c>
      <c r="E3475" s="8">
        <v>16.105899999999998</v>
      </c>
      <c r="F3475" s="9">
        <v>45971</v>
      </c>
    </row>
    <row r="3476" spans="1:6" ht="60" x14ac:dyDescent="0.25">
      <c r="A3476" s="8" t="s">
        <v>63</v>
      </c>
      <c r="B3476" s="8" t="s">
        <v>58</v>
      </c>
      <c r="C3476" s="8" t="str">
        <f>IFERROR(_xlfn.XLOOKUP(TRIM(B3476),Lookup!$B$2:$B$1000,Lookup!$C$2:$C$1000),"")</f>
        <v>Equity</v>
      </c>
      <c r="D3476" s="8" t="str">
        <f>IFERROR(INDEX('nav master'!$C:$C, MATCH(B3476, 'nav master'!$B:$B, 0)), "")</f>
        <v>ULIF 145 03/06/21 SustainEqu 105</v>
      </c>
      <c r="E3476" s="8">
        <v>16.186299999999999</v>
      </c>
      <c r="F3476" s="9">
        <v>45972</v>
      </c>
    </row>
    <row r="3477" spans="1:6" ht="60" x14ac:dyDescent="0.25">
      <c r="A3477" s="8" t="s">
        <v>63</v>
      </c>
      <c r="B3477" s="8" t="s">
        <v>58</v>
      </c>
      <c r="C3477" s="8" t="str">
        <f>IFERROR(_xlfn.XLOOKUP(TRIM(B3477),Lookup!$B$2:$B$1000,Lookup!$C$2:$C$1000),"")</f>
        <v>Equity</v>
      </c>
      <c r="D3477" s="8" t="str">
        <f>IFERROR(INDEX('nav master'!$C:$C, MATCH(B3477, 'nav master'!$B:$B, 0)), "")</f>
        <v>ULIF 145 03/06/21 SustainEqu 105</v>
      </c>
      <c r="E3477" s="8">
        <v>16.264700000000001</v>
      </c>
      <c r="F3477" s="9">
        <v>45973</v>
      </c>
    </row>
    <row r="3478" spans="1:6" ht="60" x14ac:dyDescent="0.25">
      <c r="A3478" s="8" t="s">
        <v>63</v>
      </c>
      <c r="B3478" s="8" t="s">
        <v>58</v>
      </c>
      <c r="C3478" s="8" t="str">
        <f>IFERROR(_xlfn.XLOOKUP(TRIM(B3478),Lookup!$B$2:$B$1000,Lookup!$C$2:$C$1000),"")</f>
        <v>Equity</v>
      </c>
      <c r="D3478" s="8" t="str">
        <f>IFERROR(INDEX('nav master'!$C:$C, MATCH(B3478, 'nav master'!$B:$B, 0)), "")</f>
        <v>ULIF 145 03/06/21 SustainEqu 105</v>
      </c>
      <c r="E3478" s="8">
        <v>16.258700000000001</v>
      </c>
      <c r="F3478" s="9">
        <v>45974</v>
      </c>
    </row>
    <row r="3479" spans="1:6" ht="60" x14ac:dyDescent="0.25">
      <c r="A3479" s="8" t="s">
        <v>63</v>
      </c>
      <c r="B3479" s="8" t="s">
        <v>58</v>
      </c>
      <c r="C3479" s="8" t="str">
        <f>IFERROR(_xlfn.XLOOKUP(TRIM(B3479),Lookup!$B$2:$B$1000,Lookup!$C$2:$C$1000),"")</f>
        <v>Equity</v>
      </c>
      <c r="D3479" s="8" t="str">
        <f>IFERROR(INDEX('nav master'!$C:$C, MATCH(B3479, 'nav master'!$B:$B, 0)), "")</f>
        <v>ULIF 145 03/06/21 SustainEqu 105</v>
      </c>
      <c r="E3479" s="8">
        <v>16.2545</v>
      </c>
      <c r="F3479" s="9">
        <v>45975</v>
      </c>
    </row>
    <row r="3480" spans="1:6" ht="60" x14ac:dyDescent="0.25">
      <c r="A3480" s="8" t="s">
        <v>63</v>
      </c>
      <c r="B3480" s="8" t="s">
        <v>58</v>
      </c>
      <c r="C3480" s="8" t="str">
        <f>IFERROR(_xlfn.XLOOKUP(TRIM(B3480),Lookup!$B$2:$B$1000,Lookup!$C$2:$C$1000),"")</f>
        <v>Equity</v>
      </c>
      <c r="D3480" s="8" t="str">
        <f>IFERROR(INDEX('nav master'!$C:$C, MATCH(B3480, 'nav master'!$B:$B, 0)), "")</f>
        <v>ULIF 145 03/06/21 SustainEqu 105</v>
      </c>
      <c r="E3480" s="8">
        <v>16.355899999999998</v>
      </c>
      <c r="F3480" s="9">
        <v>45978</v>
      </c>
    </row>
    <row r="3481" spans="1:6" ht="60" x14ac:dyDescent="0.25">
      <c r="A3481" s="8" t="s">
        <v>63</v>
      </c>
      <c r="B3481" s="8" t="s">
        <v>58</v>
      </c>
      <c r="C3481" s="8" t="str">
        <f>IFERROR(_xlfn.XLOOKUP(TRIM(B3481),Lookup!$B$2:$B$1000,Lookup!$C$2:$C$1000),"")</f>
        <v>Equity</v>
      </c>
      <c r="D3481" s="8" t="str">
        <f>IFERROR(INDEX('nav master'!$C:$C, MATCH(B3481, 'nav master'!$B:$B, 0)), "")</f>
        <v>ULIF 145 03/06/21 SustainEqu 105</v>
      </c>
      <c r="E3481" s="8">
        <v>16.270600000000002</v>
      </c>
      <c r="F3481" s="9">
        <v>45979</v>
      </c>
    </row>
    <row r="3482" spans="1:6" ht="60" x14ac:dyDescent="0.25">
      <c r="A3482" s="8" t="s">
        <v>63</v>
      </c>
      <c r="B3482" s="8" t="s">
        <v>58</v>
      </c>
      <c r="C3482" s="8" t="str">
        <f>IFERROR(_xlfn.XLOOKUP(TRIM(B3482),Lookup!$B$2:$B$1000,Lookup!$C$2:$C$1000),"")</f>
        <v>Equity</v>
      </c>
      <c r="D3482" s="8" t="str">
        <f>IFERROR(INDEX('nav master'!$C:$C, MATCH(B3482, 'nav master'!$B:$B, 0)), "")</f>
        <v>ULIF 145 03/06/21 SustainEqu 105</v>
      </c>
      <c r="E3482" s="8">
        <v>16.328900000000001</v>
      </c>
      <c r="F3482" s="9">
        <v>45980</v>
      </c>
    </row>
    <row r="3483" spans="1:6" ht="60" x14ac:dyDescent="0.25">
      <c r="A3483" s="8" t="s">
        <v>63</v>
      </c>
      <c r="B3483" s="8" t="s">
        <v>58</v>
      </c>
      <c r="C3483" s="8" t="str">
        <f>IFERROR(_xlfn.XLOOKUP(TRIM(B3483),Lookup!$B$2:$B$1000,Lookup!$C$2:$C$1000),"")</f>
        <v>Equity</v>
      </c>
      <c r="D3483" s="8" t="str">
        <f>IFERROR(INDEX('nav master'!$C:$C, MATCH(B3483, 'nav master'!$B:$B, 0)), "")</f>
        <v>ULIF 145 03/06/21 SustainEqu 105</v>
      </c>
      <c r="E3483" s="8">
        <v>16.388200000000001</v>
      </c>
      <c r="F3483" s="9">
        <v>45981</v>
      </c>
    </row>
    <row r="3484" spans="1:6" ht="60" x14ac:dyDescent="0.25">
      <c r="A3484" s="8" t="s">
        <v>63</v>
      </c>
      <c r="B3484" s="8" t="s">
        <v>58</v>
      </c>
      <c r="C3484" s="8" t="str">
        <f>IFERROR(_xlfn.XLOOKUP(TRIM(B3484),Lookup!$B$2:$B$1000,Lookup!$C$2:$C$1000),"")</f>
        <v>Equity</v>
      </c>
      <c r="D3484" s="8" t="str">
        <f>IFERROR(INDEX('nav master'!$C:$C, MATCH(B3484, 'nav master'!$B:$B, 0)), "")</f>
        <v>ULIF 145 03/06/21 SustainEqu 105</v>
      </c>
      <c r="E3484" s="8">
        <v>16.2879</v>
      </c>
      <c r="F3484" s="9">
        <v>45982</v>
      </c>
    </row>
    <row r="3485" spans="1:6" ht="60" x14ac:dyDescent="0.25">
      <c r="A3485" s="8" t="s">
        <v>63</v>
      </c>
      <c r="B3485" s="8" t="s">
        <v>58</v>
      </c>
      <c r="C3485" s="8" t="str">
        <f>IFERROR(_xlfn.XLOOKUP(TRIM(B3485),Lookup!$B$2:$B$1000,Lookup!$C$2:$C$1000),"")</f>
        <v>Equity</v>
      </c>
      <c r="D3485" s="8" t="str">
        <f>IFERROR(INDEX('nav master'!$C:$C, MATCH(B3485, 'nav master'!$B:$B, 0)), "")</f>
        <v>ULIF 145 03/06/21 SustainEqu 105</v>
      </c>
      <c r="E3485" s="8">
        <v>16.233899999999998</v>
      </c>
      <c r="F3485" s="9">
        <v>45985</v>
      </c>
    </row>
    <row r="3486" spans="1:6" ht="60" x14ac:dyDescent="0.25">
      <c r="A3486" s="8" t="s">
        <v>63</v>
      </c>
      <c r="B3486" s="8" t="s">
        <v>58</v>
      </c>
      <c r="C3486" s="8" t="str">
        <f>IFERROR(_xlfn.XLOOKUP(TRIM(B3486),Lookup!$B$2:$B$1000,Lookup!$C$2:$C$1000),"")</f>
        <v>Equity</v>
      </c>
      <c r="D3486" s="8" t="str">
        <f>IFERROR(INDEX('nav master'!$C:$C, MATCH(B3486, 'nav master'!$B:$B, 0)), "")</f>
        <v>ULIF 145 03/06/21 SustainEqu 105</v>
      </c>
      <c r="E3486" s="8">
        <v>16.222999999999999</v>
      </c>
      <c r="F3486" s="9">
        <v>45986</v>
      </c>
    </row>
    <row r="3487" spans="1:6" ht="60" x14ac:dyDescent="0.25">
      <c r="A3487" s="8" t="s">
        <v>63</v>
      </c>
      <c r="B3487" s="8" t="s">
        <v>58</v>
      </c>
      <c r="C3487" s="8" t="str">
        <f>IFERROR(_xlfn.XLOOKUP(TRIM(B3487),Lookup!$B$2:$B$1000,Lookup!$C$2:$C$1000),"")</f>
        <v>Equity</v>
      </c>
      <c r="D3487" s="8" t="str">
        <f>IFERROR(INDEX('nav master'!$C:$C, MATCH(B3487, 'nav master'!$B:$B, 0)), "")</f>
        <v>ULIF 145 03/06/21 SustainEqu 105</v>
      </c>
      <c r="E3487" s="8">
        <v>16.422699999999999</v>
      </c>
      <c r="F3487" s="9">
        <v>45987</v>
      </c>
    </row>
    <row r="3488" spans="1:6" ht="60" x14ac:dyDescent="0.25">
      <c r="A3488" s="8" t="s">
        <v>63</v>
      </c>
      <c r="B3488" s="8" t="s">
        <v>58</v>
      </c>
      <c r="C3488" s="8" t="str">
        <f>IFERROR(_xlfn.XLOOKUP(TRIM(B3488),Lookup!$B$2:$B$1000,Lookup!$C$2:$C$1000),"")</f>
        <v>Equity</v>
      </c>
      <c r="D3488" s="8" t="str">
        <f>IFERROR(INDEX('nav master'!$C:$C, MATCH(B3488, 'nav master'!$B:$B, 0)), "")</f>
        <v>ULIF 145 03/06/21 SustainEqu 105</v>
      </c>
      <c r="E3488" s="8">
        <v>16.421099999999999</v>
      </c>
      <c r="F3488" s="9">
        <v>45988</v>
      </c>
    </row>
    <row r="3489" spans="1:6" ht="60" x14ac:dyDescent="0.25">
      <c r="A3489" s="8" t="s">
        <v>63</v>
      </c>
      <c r="B3489" s="8" t="s">
        <v>58</v>
      </c>
      <c r="C3489" s="8" t="str">
        <f>IFERROR(_xlfn.XLOOKUP(TRIM(B3489),Lookup!$B$2:$B$1000,Lookup!$C$2:$C$1000),"")</f>
        <v>Equity</v>
      </c>
      <c r="D3489" s="8" t="str">
        <f>IFERROR(INDEX('nav master'!$C:$C, MATCH(B3489, 'nav master'!$B:$B, 0)), "")</f>
        <v>ULIF 145 03/06/21 SustainEqu 105</v>
      </c>
      <c r="E3489" s="8">
        <v>16.374400000000001</v>
      </c>
      <c r="F3489" s="9">
        <v>45989</v>
      </c>
    </row>
    <row r="3490" spans="1:6" ht="60" x14ac:dyDescent="0.25">
      <c r="A3490" s="8" t="s">
        <v>63</v>
      </c>
      <c r="B3490" s="8" t="s">
        <v>58</v>
      </c>
      <c r="C3490" s="8" t="str">
        <f>IFERROR(_xlfn.XLOOKUP(TRIM(B3490),Lookup!$B$2:$B$1000,Lookup!$C$2:$C$1000),"")</f>
        <v>Equity</v>
      </c>
      <c r="D3490" s="8" t="str">
        <f>IFERROR(INDEX('nav master'!$C:$C, MATCH(B3490, 'nav master'!$B:$B, 0)), "")</f>
        <v>ULIF 145 03/06/21 SustainEqu 105</v>
      </c>
      <c r="E3490" s="8">
        <v>16.383900000000001</v>
      </c>
      <c r="F3490" s="9">
        <v>45992</v>
      </c>
    </row>
    <row r="3491" spans="1:6" ht="60" x14ac:dyDescent="0.25">
      <c r="A3491" s="8" t="s">
        <v>63</v>
      </c>
      <c r="B3491" s="8" t="s">
        <v>58</v>
      </c>
      <c r="C3491" s="8" t="str">
        <f>IFERROR(_xlfn.XLOOKUP(TRIM(B3491),Lookup!$B$2:$B$1000,Lookup!$C$2:$C$1000),"")</f>
        <v>Equity</v>
      </c>
      <c r="D3491" s="8" t="str">
        <f>IFERROR(INDEX('nav master'!$C:$C, MATCH(B3491, 'nav master'!$B:$B, 0)), "")</f>
        <v>ULIF 145 03/06/21 SustainEqu 105</v>
      </c>
      <c r="E3491" s="8">
        <v>16.303999999999998</v>
      </c>
      <c r="F3491" s="9">
        <v>45993</v>
      </c>
    </row>
    <row r="3492" spans="1:6" ht="60" x14ac:dyDescent="0.25">
      <c r="A3492" s="8" t="s">
        <v>63</v>
      </c>
      <c r="B3492" s="8" t="s">
        <v>58</v>
      </c>
      <c r="C3492" s="8" t="str">
        <f>IFERROR(_xlfn.XLOOKUP(TRIM(B3492),Lookup!$B$2:$B$1000,Lookup!$C$2:$C$1000),"")</f>
        <v>Equity</v>
      </c>
      <c r="D3492" s="8" t="str">
        <f>IFERROR(INDEX('nav master'!$C:$C, MATCH(B3492, 'nav master'!$B:$B, 0)), "")</f>
        <v>ULIF 145 03/06/21 SustainEqu 105</v>
      </c>
      <c r="E3492" s="8">
        <v>16.231100000000001</v>
      </c>
      <c r="F3492" s="9">
        <v>45994</v>
      </c>
    </row>
    <row r="3493" spans="1:6" ht="60" x14ac:dyDescent="0.25">
      <c r="A3493" s="8" t="s">
        <v>63</v>
      </c>
      <c r="B3493" s="8" t="s">
        <v>58</v>
      </c>
      <c r="C3493" s="8" t="str">
        <f>IFERROR(_xlfn.XLOOKUP(TRIM(B3493),Lookup!$B$2:$B$1000,Lookup!$C$2:$C$1000),"")</f>
        <v>Equity</v>
      </c>
      <c r="D3493" s="8" t="str">
        <f>IFERROR(INDEX('nav master'!$C:$C, MATCH(B3493, 'nav master'!$B:$B, 0)), "")</f>
        <v>ULIF 145 03/06/21 SustainEqu 105</v>
      </c>
      <c r="E3493" s="8">
        <v>16.254999999999999</v>
      </c>
      <c r="F3493" s="9">
        <v>45995</v>
      </c>
    </row>
    <row r="3494" spans="1:6" ht="60" x14ac:dyDescent="0.25">
      <c r="A3494" s="8" t="s">
        <v>63</v>
      </c>
      <c r="B3494" s="8" t="s">
        <v>58</v>
      </c>
      <c r="C3494" s="8" t="str">
        <f>IFERROR(_xlfn.XLOOKUP(TRIM(B3494),Lookup!$B$2:$B$1000,Lookup!$C$2:$C$1000),"")</f>
        <v>Equity</v>
      </c>
      <c r="D3494" s="8" t="str">
        <f>IFERROR(INDEX('nav master'!$C:$C, MATCH(B3494, 'nav master'!$B:$B, 0)), "")</f>
        <v>ULIF 145 03/06/21 SustainEqu 105</v>
      </c>
      <c r="E3494" s="8">
        <v>16.288900000000002</v>
      </c>
      <c r="F3494" s="9">
        <v>45996</v>
      </c>
    </row>
    <row r="3495" spans="1:6" ht="60" x14ac:dyDescent="0.25">
      <c r="A3495" s="8" t="s">
        <v>63</v>
      </c>
      <c r="B3495" s="8" t="s">
        <v>58</v>
      </c>
      <c r="C3495" s="8" t="str">
        <f>IFERROR(_xlfn.XLOOKUP(TRIM(B3495),Lookup!$B$2:$B$1000,Lookup!$C$2:$C$1000),"")</f>
        <v>Equity</v>
      </c>
      <c r="D3495" s="8" t="str">
        <f>IFERROR(INDEX('nav master'!$C:$C, MATCH(B3495, 'nav master'!$B:$B, 0)), "")</f>
        <v>ULIF 145 03/06/21 SustainEqu 105</v>
      </c>
      <c r="E3495" s="8">
        <v>16.0837</v>
      </c>
      <c r="F3495" s="9">
        <v>45999</v>
      </c>
    </row>
    <row r="3496" spans="1:6" ht="60" x14ac:dyDescent="0.25">
      <c r="A3496" s="8" t="s">
        <v>63</v>
      </c>
      <c r="B3496" s="8" t="s">
        <v>58</v>
      </c>
      <c r="C3496" s="8" t="str">
        <f>IFERROR(_xlfn.XLOOKUP(TRIM(B3496),Lookup!$B$2:$B$1000,Lookup!$C$2:$C$1000),"")</f>
        <v>Equity</v>
      </c>
      <c r="D3496" s="8" t="str">
        <f>IFERROR(INDEX('nav master'!$C:$C, MATCH(B3496, 'nav master'!$B:$B, 0)), "")</f>
        <v>ULIF 145 03/06/21 SustainEqu 105</v>
      </c>
      <c r="E3496" s="8">
        <v>16.085000000000001</v>
      </c>
      <c r="F3496" s="9">
        <v>46000</v>
      </c>
    </row>
    <row r="3497" spans="1:6" ht="60" x14ac:dyDescent="0.25">
      <c r="A3497" s="8" t="s">
        <v>63</v>
      </c>
      <c r="B3497" s="8" t="s">
        <v>58</v>
      </c>
      <c r="C3497" s="8" t="str">
        <f>IFERROR(_xlfn.XLOOKUP(TRIM(B3497),Lookup!$B$2:$B$1000,Lookup!$C$2:$C$1000),"")</f>
        <v>Equity</v>
      </c>
      <c r="D3497" s="8" t="str">
        <f>IFERROR(INDEX('nav master'!$C:$C, MATCH(B3497, 'nav master'!$B:$B, 0)), "")</f>
        <v>ULIF 145 03/06/21 SustainEqu 105</v>
      </c>
      <c r="E3497" s="8">
        <v>15.972099999999999</v>
      </c>
      <c r="F3497" s="9">
        <v>46001</v>
      </c>
    </row>
    <row r="3498" spans="1:6" ht="60" x14ac:dyDescent="0.25">
      <c r="A3498" s="8" t="s">
        <v>63</v>
      </c>
      <c r="B3498" s="8" t="s">
        <v>58</v>
      </c>
      <c r="C3498" s="8" t="str">
        <f>IFERROR(_xlfn.XLOOKUP(TRIM(B3498),Lookup!$B$2:$B$1000,Lookup!$C$2:$C$1000),"")</f>
        <v>Equity</v>
      </c>
      <c r="D3498" s="8" t="str">
        <f>IFERROR(INDEX('nav master'!$C:$C, MATCH(B3498, 'nav master'!$B:$B, 0)), "")</f>
        <v>ULIF 145 03/06/21 SustainEqu 105</v>
      </c>
      <c r="E3498" s="8">
        <v>16.062200000000001</v>
      </c>
      <c r="F3498" s="9">
        <v>46002</v>
      </c>
    </row>
    <row r="3499" spans="1:6" ht="60" x14ac:dyDescent="0.25">
      <c r="A3499" s="8" t="s">
        <v>63</v>
      </c>
      <c r="B3499" s="8" t="s">
        <v>58</v>
      </c>
      <c r="C3499" s="8" t="str">
        <f>IFERROR(_xlfn.XLOOKUP(TRIM(B3499),Lookup!$B$2:$B$1000,Lookup!$C$2:$C$1000),"")</f>
        <v>Equity</v>
      </c>
      <c r="D3499" s="8" t="str">
        <f>IFERROR(INDEX('nav master'!$C:$C, MATCH(B3499, 'nav master'!$B:$B, 0)), "")</f>
        <v>ULIF 145 03/06/21 SustainEqu 105</v>
      </c>
      <c r="E3499" s="8">
        <v>16.1631</v>
      </c>
      <c r="F3499" s="9">
        <v>46003</v>
      </c>
    </row>
    <row r="3500" spans="1:6" ht="60" x14ac:dyDescent="0.25">
      <c r="A3500" s="8" t="s">
        <v>63</v>
      </c>
      <c r="B3500" s="8" t="s">
        <v>58</v>
      </c>
      <c r="C3500" s="8" t="str">
        <f>IFERROR(_xlfn.XLOOKUP(TRIM(B3500),Lookup!$B$2:$B$1000,Lookup!$C$2:$C$1000),"")</f>
        <v>Equity</v>
      </c>
      <c r="D3500" s="8" t="str">
        <f>IFERROR(INDEX('nav master'!$C:$C, MATCH(B3500, 'nav master'!$B:$B, 0)), "")</f>
        <v>ULIF 145 03/06/21 SustainEqu 105</v>
      </c>
      <c r="E3500" s="8">
        <v>16.143699999999999</v>
      </c>
      <c r="F3500" s="9">
        <v>46006</v>
      </c>
    </row>
    <row r="3501" spans="1:6" ht="60" x14ac:dyDescent="0.25">
      <c r="A3501" s="8" t="s">
        <v>63</v>
      </c>
      <c r="B3501" s="8" t="s">
        <v>58</v>
      </c>
      <c r="C3501" s="8" t="str">
        <f>IFERROR(_xlfn.XLOOKUP(TRIM(B3501),Lookup!$B$2:$B$1000,Lookup!$C$2:$C$1000),"")</f>
        <v>Equity</v>
      </c>
      <c r="D3501" s="8" t="str">
        <f>IFERROR(INDEX('nav master'!$C:$C, MATCH(B3501, 'nav master'!$B:$B, 0)), "")</f>
        <v>ULIF 145 03/06/21 SustainEqu 105</v>
      </c>
      <c r="E3501" s="8">
        <v>16.055800000000001</v>
      </c>
      <c r="F3501" s="9">
        <v>46007</v>
      </c>
    </row>
    <row r="3502" spans="1:6" ht="60" x14ac:dyDescent="0.25">
      <c r="A3502" s="8" t="s">
        <v>63</v>
      </c>
      <c r="B3502" s="8" t="s">
        <v>58</v>
      </c>
      <c r="C3502" s="8" t="str">
        <f>IFERROR(_xlfn.XLOOKUP(TRIM(B3502),Lookup!$B$2:$B$1000,Lookup!$C$2:$C$1000),"")</f>
        <v>Equity</v>
      </c>
      <c r="D3502" s="8" t="str">
        <f>IFERROR(INDEX('nav master'!$C:$C, MATCH(B3502, 'nav master'!$B:$B, 0)), "")</f>
        <v>ULIF 145 03/06/21 SustainEqu 105</v>
      </c>
      <c r="E3502" s="8">
        <v>15.9701</v>
      </c>
      <c r="F3502" s="9">
        <v>46008</v>
      </c>
    </row>
    <row r="3503" spans="1:6" ht="60" x14ac:dyDescent="0.25">
      <c r="A3503" s="8" t="s">
        <v>63</v>
      </c>
      <c r="B3503" s="8" t="s">
        <v>58</v>
      </c>
      <c r="C3503" s="8" t="str">
        <f>IFERROR(_xlfn.XLOOKUP(TRIM(B3503),Lookup!$B$2:$B$1000,Lookup!$C$2:$C$1000),"")</f>
        <v>Equity</v>
      </c>
      <c r="D3503" s="8" t="str">
        <f>IFERROR(INDEX('nav master'!$C:$C, MATCH(B3503, 'nav master'!$B:$B, 0)), "")</f>
        <v>ULIF 145 03/06/21 SustainEqu 105</v>
      </c>
      <c r="E3503" s="8">
        <v>15.984400000000001</v>
      </c>
      <c r="F3503" s="9">
        <v>46009</v>
      </c>
    </row>
    <row r="3504" spans="1:6" ht="60" x14ac:dyDescent="0.25">
      <c r="A3504" s="8" t="s">
        <v>63</v>
      </c>
      <c r="B3504" s="8" t="s">
        <v>58</v>
      </c>
      <c r="C3504" s="8" t="str">
        <f>IFERROR(_xlfn.XLOOKUP(TRIM(B3504),Lookup!$B$2:$B$1000,Lookup!$C$2:$C$1000),"")</f>
        <v>Equity</v>
      </c>
      <c r="D3504" s="8" t="str">
        <f>IFERROR(INDEX('nav master'!$C:$C, MATCH(B3504, 'nav master'!$B:$B, 0)), "")</f>
        <v>ULIF 145 03/06/21 SustainEqu 105</v>
      </c>
      <c r="E3504" s="8">
        <v>16.108599999999999</v>
      </c>
      <c r="F3504" s="9">
        <v>46010</v>
      </c>
    </row>
    <row r="3505" spans="1:6" ht="60" x14ac:dyDescent="0.25">
      <c r="A3505" s="8" t="s">
        <v>63</v>
      </c>
      <c r="B3505" s="8" t="s">
        <v>58</v>
      </c>
      <c r="C3505" s="8" t="str">
        <f>IFERROR(_xlfn.XLOOKUP(TRIM(B3505),Lookup!$B$2:$B$1000,Lookup!$C$2:$C$1000),"")</f>
        <v>Equity</v>
      </c>
      <c r="D3505" s="8" t="str">
        <f>IFERROR(INDEX('nav master'!$C:$C, MATCH(B3505, 'nav master'!$B:$B, 0)), "")</f>
        <v>ULIF 145 03/06/21 SustainEqu 105</v>
      </c>
      <c r="E3505" s="8">
        <v>16.2363</v>
      </c>
      <c r="F3505" s="9">
        <v>46013</v>
      </c>
    </row>
    <row r="3506" spans="1:6" ht="60" x14ac:dyDescent="0.25">
      <c r="A3506" s="8" t="s">
        <v>63</v>
      </c>
      <c r="B3506" s="8" t="s">
        <v>58</v>
      </c>
      <c r="C3506" s="8" t="str">
        <f>IFERROR(_xlfn.XLOOKUP(TRIM(B3506),Lookup!$B$2:$B$1000,Lookup!$C$2:$C$1000),"")</f>
        <v>Equity</v>
      </c>
      <c r="D3506" s="8" t="str">
        <f>IFERROR(INDEX('nav master'!$C:$C, MATCH(B3506, 'nav master'!$B:$B, 0)), "")</f>
        <v>ULIF 145 03/06/21 SustainEqu 105</v>
      </c>
      <c r="E3506" s="8">
        <v>16.2331</v>
      </c>
      <c r="F3506" s="9">
        <v>46014</v>
      </c>
    </row>
    <row r="3507" spans="1:6" ht="60" x14ac:dyDescent="0.25">
      <c r="A3507" s="8" t="s">
        <v>63</v>
      </c>
      <c r="B3507" s="8" t="s">
        <v>58</v>
      </c>
      <c r="C3507" s="8" t="str">
        <f>IFERROR(_xlfn.XLOOKUP(TRIM(B3507),Lookup!$B$2:$B$1000,Lookup!$C$2:$C$1000),"")</f>
        <v>Equity</v>
      </c>
      <c r="D3507" s="8" t="str">
        <f>IFERROR(INDEX('nav master'!$C:$C, MATCH(B3507, 'nav master'!$B:$B, 0)), "")</f>
        <v>ULIF 145 03/06/21 SustainEqu 105</v>
      </c>
      <c r="E3507" s="8">
        <v>16.204999999999998</v>
      </c>
      <c r="F3507" s="9">
        <v>46015</v>
      </c>
    </row>
    <row r="3508" spans="1:6" ht="60" x14ac:dyDescent="0.25">
      <c r="A3508" s="8" t="s">
        <v>63</v>
      </c>
      <c r="B3508" s="8" t="s">
        <v>58</v>
      </c>
      <c r="C3508" s="8" t="str">
        <f>IFERROR(_xlfn.XLOOKUP(TRIM(B3508),Lookup!$B$2:$B$1000,Lookup!$C$2:$C$1000),"")</f>
        <v>Equity</v>
      </c>
      <c r="D3508" s="8" t="str">
        <f>IFERROR(INDEX('nav master'!$C:$C, MATCH(B3508, 'nav master'!$B:$B, 0)), "")</f>
        <v>ULIF 145 03/06/21 SustainEqu 105</v>
      </c>
      <c r="E3508" s="8">
        <v>16.150600000000001</v>
      </c>
      <c r="F3508" s="9">
        <v>46017</v>
      </c>
    </row>
    <row r="3509" spans="1:6" ht="60" x14ac:dyDescent="0.25">
      <c r="A3509" s="8" t="s">
        <v>63</v>
      </c>
      <c r="B3509" s="8" t="s">
        <v>58</v>
      </c>
      <c r="C3509" s="8" t="str">
        <f>IFERROR(_xlfn.XLOOKUP(TRIM(B3509),Lookup!$B$2:$B$1000,Lookup!$C$2:$C$1000),"")</f>
        <v>Equity</v>
      </c>
      <c r="D3509" s="8" t="str">
        <f>IFERROR(INDEX('nav master'!$C:$C, MATCH(B3509, 'nav master'!$B:$B, 0)), "")</f>
        <v>ULIF 145 03/06/21 SustainEqu 105</v>
      </c>
      <c r="E3509" s="8">
        <v>16.0687</v>
      </c>
      <c r="F3509" s="9">
        <v>46020</v>
      </c>
    </row>
    <row r="3510" spans="1:6" ht="60" x14ac:dyDescent="0.25">
      <c r="A3510" s="8" t="s">
        <v>63</v>
      </c>
      <c r="B3510" s="8" t="s">
        <v>58</v>
      </c>
      <c r="C3510" s="8" t="str">
        <f>IFERROR(_xlfn.XLOOKUP(TRIM(B3510),Lookup!$B$2:$B$1000,Lookup!$C$2:$C$1000),"")</f>
        <v>Equity</v>
      </c>
      <c r="D3510" s="8" t="str">
        <f>IFERROR(INDEX('nav master'!$C:$C, MATCH(B3510, 'nav master'!$B:$B, 0)), "")</f>
        <v>ULIF 145 03/06/21 SustainEqu 105</v>
      </c>
      <c r="E3510" s="8">
        <v>16.036100000000001</v>
      </c>
      <c r="F3510" s="9">
        <v>46021</v>
      </c>
    </row>
    <row r="3511" spans="1:6" ht="60" x14ac:dyDescent="0.25">
      <c r="A3511" s="8" t="s">
        <v>63</v>
      </c>
      <c r="B3511" s="8" t="s">
        <v>58</v>
      </c>
      <c r="C3511" s="8" t="str">
        <f>IFERROR(_xlfn.XLOOKUP(TRIM(B3511),Lookup!$B$2:$B$1000,Lookup!$C$2:$C$1000),"")</f>
        <v>Equity</v>
      </c>
      <c r="D3511" s="8" t="str">
        <f>IFERROR(INDEX('nav master'!$C:$C, MATCH(B3511, 'nav master'!$B:$B, 0)), "")</f>
        <v>ULIF 145 03/06/21 SustainEqu 105</v>
      </c>
      <c r="E3511" s="8">
        <v>16.175999999999998</v>
      </c>
      <c r="F3511" s="9">
        <v>46022</v>
      </c>
    </row>
    <row r="3512" spans="1:6" ht="60" x14ac:dyDescent="0.25">
      <c r="A3512" s="8" t="s">
        <v>63</v>
      </c>
      <c r="B3512" s="8" t="s">
        <v>58</v>
      </c>
      <c r="C3512" s="8" t="str">
        <f>IFERROR(_xlfn.XLOOKUP(TRIM(B3512),Lookup!$B$2:$B$1000,Lookup!$C$2:$C$1000),"")</f>
        <v>Equity</v>
      </c>
      <c r="D3512" s="8" t="str">
        <f>IFERROR(INDEX('nav master'!$C:$C, MATCH(B3512, 'nav master'!$B:$B, 0)), "")</f>
        <v>ULIF 145 03/06/21 SustainEqu 105</v>
      </c>
      <c r="E3512" s="8">
        <v>16.2044</v>
      </c>
      <c r="F3512" s="9">
        <v>46023</v>
      </c>
    </row>
    <row r="3513" spans="1:6" ht="60" x14ac:dyDescent="0.25">
      <c r="A3513" s="8" t="s">
        <v>63</v>
      </c>
      <c r="B3513" s="8" t="s">
        <v>58</v>
      </c>
      <c r="C3513" s="8" t="str">
        <f>IFERROR(_xlfn.XLOOKUP(TRIM(B3513),Lookup!$B$2:$B$1000,Lookup!$C$2:$C$1000),"")</f>
        <v>Equity</v>
      </c>
      <c r="D3513" s="8" t="str">
        <f>IFERROR(INDEX('nav master'!$C:$C, MATCH(B3513, 'nav master'!$B:$B, 0)), "")</f>
        <v>ULIF 145 03/06/21 SustainEqu 105</v>
      </c>
      <c r="E3513" s="8">
        <v>16.340599999999998</v>
      </c>
      <c r="F3513" s="9">
        <v>46024</v>
      </c>
    </row>
    <row r="3514" spans="1:6" ht="60" x14ac:dyDescent="0.25">
      <c r="A3514" s="8" t="s">
        <v>63</v>
      </c>
      <c r="B3514" s="8" t="s">
        <v>58</v>
      </c>
      <c r="C3514" s="8" t="str">
        <f>IFERROR(_xlfn.XLOOKUP(TRIM(B3514),Lookup!$B$2:$B$1000,Lookup!$C$2:$C$1000),"")</f>
        <v>Equity</v>
      </c>
      <c r="D3514" s="8" t="str">
        <f>IFERROR(INDEX('nav master'!$C:$C, MATCH(B3514, 'nav master'!$B:$B, 0)), "")</f>
        <v>ULIF 145 03/06/21 SustainEqu 105</v>
      </c>
      <c r="E3514" s="8">
        <v>16.285299999999999</v>
      </c>
      <c r="F3514" s="9">
        <v>46027</v>
      </c>
    </row>
    <row r="3515" spans="1:6" ht="60" x14ac:dyDescent="0.25">
      <c r="A3515" s="8" t="s">
        <v>63</v>
      </c>
      <c r="B3515" s="8" t="s">
        <v>58</v>
      </c>
      <c r="C3515" s="8" t="str">
        <f>IFERROR(_xlfn.XLOOKUP(TRIM(B3515),Lookup!$B$2:$B$1000,Lookup!$C$2:$C$1000),"")</f>
        <v>Equity</v>
      </c>
      <c r="D3515" s="8" t="str">
        <f>IFERROR(INDEX('nav master'!$C:$C, MATCH(B3515, 'nav master'!$B:$B, 0)), "")</f>
        <v>ULIF 145 03/06/21 SustainEqu 105</v>
      </c>
      <c r="E3515" s="8">
        <v>16.272400000000001</v>
      </c>
      <c r="F3515" s="9">
        <v>46028</v>
      </c>
    </row>
    <row r="3516" spans="1:6" ht="60" x14ac:dyDescent="0.25">
      <c r="A3516" s="8" t="s">
        <v>63</v>
      </c>
      <c r="B3516" s="8" t="s">
        <v>58</v>
      </c>
      <c r="C3516" s="8" t="str">
        <f>IFERROR(_xlfn.XLOOKUP(TRIM(B3516),Lookup!$B$2:$B$1000,Lookup!$C$2:$C$1000),"")</f>
        <v>Equity</v>
      </c>
      <c r="D3516" s="8" t="str">
        <f>IFERROR(INDEX('nav master'!$C:$C, MATCH(B3516, 'nav master'!$B:$B, 0)), "")</f>
        <v>ULIF 145 03/06/21 SustainEqu 105</v>
      </c>
      <c r="E3516" s="8">
        <v>16.3047</v>
      </c>
      <c r="F3516" s="9">
        <v>46029</v>
      </c>
    </row>
    <row r="3517" spans="1:6" ht="60" x14ac:dyDescent="0.25">
      <c r="A3517" s="8" t="s">
        <v>63</v>
      </c>
      <c r="B3517" s="8" t="s">
        <v>58</v>
      </c>
      <c r="C3517" s="8" t="str">
        <f>IFERROR(_xlfn.XLOOKUP(TRIM(B3517),Lookup!$B$2:$B$1000,Lookup!$C$2:$C$1000),"")</f>
        <v>Equity</v>
      </c>
      <c r="D3517" s="8" t="str">
        <f>IFERROR(INDEX('nav master'!$C:$C, MATCH(B3517, 'nav master'!$B:$B, 0)), "")</f>
        <v>ULIF 145 03/06/21 SustainEqu 105</v>
      </c>
      <c r="E3517" s="8">
        <v>16.083100000000002</v>
      </c>
      <c r="F3517" s="9">
        <v>46030</v>
      </c>
    </row>
    <row r="3518" spans="1:6" ht="60" x14ac:dyDescent="0.25">
      <c r="A3518" s="8" t="s">
        <v>63</v>
      </c>
      <c r="B3518" s="8" t="s">
        <v>58</v>
      </c>
      <c r="C3518" s="8" t="str">
        <f>IFERROR(_xlfn.XLOOKUP(TRIM(B3518),Lookup!$B$2:$B$1000,Lookup!$C$2:$C$1000),"")</f>
        <v>Equity</v>
      </c>
      <c r="D3518" s="8" t="str">
        <f>IFERROR(INDEX('nav master'!$C:$C, MATCH(B3518, 'nav master'!$B:$B, 0)), "")</f>
        <v>ULIF 145 03/06/21 SustainEqu 105</v>
      </c>
      <c r="E3518" s="8">
        <v>15.915800000000001</v>
      </c>
      <c r="F3518" s="9">
        <v>46031</v>
      </c>
    </row>
    <row r="3519" spans="1:6" ht="60" x14ac:dyDescent="0.25">
      <c r="A3519" s="8" t="s">
        <v>63</v>
      </c>
      <c r="B3519" s="8" t="s">
        <v>58</v>
      </c>
      <c r="C3519" s="8" t="str">
        <f>IFERROR(_xlfn.XLOOKUP(TRIM(B3519),Lookup!$B$2:$B$1000,Lookup!$C$2:$C$1000),"")</f>
        <v>Equity</v>
      </c>
      <c r="D3519" s="8" t="str">
        <f>IFERROR(INDEX('nav master'!$C:$C, MATCH(B3519, 'nav master'!$B:$B, 0)), "")</f>
        <v>ULIF 145 03/06/21 SustainEqu 105</v>
      </c>
      <c r="E3519" s="8">
        <v>15.940300000000001</v>
      </c>
      <c r="F3519" s="9">
        <v>46034</v>
      </c>
    </row>
    <row r="3520" spans="1:6" ht="60" x14ac:dyDescent="0.25">
      <c r="A3520" s="8" t="s">
        <v>63</v>
      </c>
      <c r="B3520" s="8" t="s">
        <v>58</v>
      </c>
      <c r="C3520" s="8" t="str">
        <f>IFERROR(_xlfn.XLOOKUP(TRIM(B3520),Lookup!$B$2:$B$1000,Lookup!$C$2:$C$1000),"")</f>
        <v>Equity</v>
      </c>
      <c r="D3520" s="8" t="str">
        <f>IFERROR(INDEX('nav master'!$C:$C, MATCH(B3520, 'nav master'!$B:$B, 0)), "")</f>
        <v>ULIF 145 03/06/21 SustainEqu 105</v>
      </c>
      <c r="E3520" s="8">
        <v>15.950799999999999</v>
      </c>
      <c r="F3520" s="9">
        <v>46035</v>
      </c>
    </row>
    <row r="3521" spans="1:6" ht="60" x14ac:dyDescent="0.25">
      <c r="A3521" s="8" t="s">
        <v>63</v>
      </c>
      <c r="B3521" s="8" t="s">
        <v>58</v>
      </c>
      <c r="C3521" s="8" t="str">
        <f>IFERROR(_xlfn.XLOOKUP(TRIM(B3521),Lookup!$B$2:$B$1000,Lookup!$C$2:$C$1000),"")</f>
        <v>Equity</v>
      </c>
      <c r="D3521" s="8" t="str">
        <f>IFERROR(INDEX('nav master'!$C:$C, MATCH(B3521, 'nav master'!$B:$B, 0)), "")</f>
        <v>ULIF 145 03/06/21 SustainEqu 105</v>
      </c>
      <c r="E3521" s="8">
        <v>15.9351</v>
      </c>
      <c r="F3521" s="9">
        <v>46036</v>
      </c>
    </row>
    <row r="3522" spans="1:6" ht="60" x14ac:dyDescent="0.25">
      <c r="A3522" s="8" t="s">
        <v>63</v>
      </c>
      <c r="B3522" s="8" t="s">
        <v>58</v>
      </c>
      <c r="C3522" s="8" t="str">
        <f>IFERROR(_xlfn.XLOOKUP(TRIM(B3522),Lookup!$B$2:$B$1000,Lookup!$C$2:$C$1000),"")</f>
        <v>Equity</v>
      </c>
      <c r="D3522" s="8" t="str">
        <f>IFERROR(INDEX('nav master'!$C:$C, MATCH(B3522, 'nav master'!$B:$B, 0)), "")</f>
        <v>ULIF 145 03/06/21 SustainEqu 105</v>
      </c>
      <c r="E3522" s="8">
        <v>15.9023</v>
      </c>
      <c r="F3522" s="9">
        <v>46038</v>
      </c>
    </row>
    <row r="3523" spans="1:6" ht="60" x14ac:dyDescent="0.25">
      <c r="A3523" s="8" t="s">
        <v>63</v>
      </c>
      <c r="B3523" s="8" t="s">
        <v>58</v>
      </c>
      <c r="C3523" s="8" t="str">
        <f>IFERROR(_xlfn.XLOOKUP(TRIM(B3523),Lookup!$B$2:$B$1000,Lookup!$C$2:$C$1000),"")</f>
        <v>Equity</v>
      </c>
      <c r="D3523" s="8" t="str">
        <f>IFERROR(INDEX('nav master'!$C:$C, MATCH(B3523, 'nav master'!$B:$B, 0)), "")</f>
        <v>ULIF 145 03/06/21 SustainEqu 105</v>
      </c>
      <c r="E3523" s="8">
        <v>15.8569</v>
      </c>
      <c r="F3523" s="9">
        <v>46041</v>
      </c>
    </row>
    <row r="3524" spans="1:6" ht="60" x14ac:dyDescent="0.25">
      <c r="A3524" s="8" t="s">
        <v>63</v>
      </c>
      <c r="B3524" s="8" t="s">
        <v>58</v>
      </c>
      <c r="C3524" s="8" t="str">
        <f>IFERROR(_xlfn.XLOOKUP(TRIM(B3524),Lookup!$B$2:$B$1000,Lookup!$C$2:$C$1000),"")</f>
        <v>Equity</v>
      </c>
      <c r="D3524" s="8" t="str">
        <f>IFERROR(INDEX('nav master'!$C:$C, MATCH(B3524, 'nav master'!$B:$B, 0)), "")</f>
        <v>ULIF 145 03/06/21 SustainEqu 105</v>
      </c>
      <c r="E3524" s="8">
        <v>15.5763</v>
      </c>
      <c r="F3524" s="9">
        <v>46042</v>
      </c>
    </row>
    <row r="3525" spans="1:6" ht="60" x14ac:dyDescent="0.25">
      <c r="A3525" s="8" t="s">
        <v>63</v>
      </c>
      <c r="B3525" s="8" t="s">
        <v>58</v>
      </c>
      <c r="C3525" s="8" t="str">
        <f>IFERROR(_xlfn.XLOOKUP(TRIM(B3525),Lookup!$B$2:$B$1000,Lookup!$C$2:$C$1000),"")</f>
        <v>Equity</v>
      </c>
      <c r="D3525" s="8" t="str">
        <f>IFERROR(INDEX('nav master'!$C:$C, MATCH(B3525, 'nav master'!$B:$B, 0)), "")</f>
        <v>ULIF 145 03/06/21 SustainEqu 105</v>
      </c>
      <c r="E3525" s="8">
        <v>15.5106</v>
      </c>
      <c r="F3525" s="9">
        <v>46043</v>
      </c>
    </row>
    <row r="3526" spans="1:6" ht="60" x14ac:dyDescent="0.25">
      <c r="A3526" s="8" t="s">
        <v>63</v>
      </c>
      <c r="B3526" s="8" t="s">
        <v>58</v>
      </c>
      <c r="C3526" s="8" t="str">
        <f>IFERROR(_xlfn.XLOOKUP(TRIM(B3526),Lookup!$B$2:$B$1000,Lookup!$C$2:$C$1000),"")</f>
        <v>Equity</v>
      </c>
      <c r="D3526" s="8" t="str">
        <f>IFERROR(INDEX('nav master'!$C:$C, MATCH(B3526, 'nav master'!$B:$B, 0)), "")</f>
        <v>ULIF 145 03/06/21 SustainEqu 105</v>
      </c>
      <c r="E3526" s="8">
        <v>15.577299999999999</v>
      </c>
      <c r="F3526" s="9">
        <v>46044</v>
      </c>
    </row>
    <row r="3527" spans="1:6" ht="60" x14ac:dyDescent="0.25">
      <c r="A3527" s="8" t="s">
        <v>63</v>
      </c>
      <c r="B3527" s="8" t="s">
        <v>58</v>
      </c>
      <c r="C3527" s="8" t="str">
        <f>IFERROR(_xlfn.XLOOKUP(TRIM(B3527),Lookup!$B$2:$B$1000,Lookup!$C$2:$C$1000),"")</f>
        <v>Equity</v>
      </c>
      <c r="D3527" s="8" t="str">
        <f>IFERROR(INDEX('nav master'!$C:$C, MATCH(B3527, 'nav master'!$B:$B, 0)), "")</f>
        <v>ULIF 145 03/06/21 SustainEqu 105</v>
      </c>
      <c r="E3527" s="8">
        <v>15.3874</v>
      </c>
      <c r="F3527" s="9">
        <v>46045</v>
      </c>
    </row>
    <row r="3528" spans="1:6" ht="60" x14ac:dyDescent="0.25">
      <c r="A3528" s="8" t="s">
        <v>63</v>
      </c>
      <c r="B3528" s="8" t="s">
        <v>58</v>
      </c>
      <c r="C3528" s="8" t="str">
        <f>IFERROR(_xlfn.XLOOKUP(TRIM(B3528),Lookup!$B$2:$B$1000,Lookup!$C$2:$C$1000),"")</f>
        <v>Equity</v>
      </c>
      <c r="D3528" s="8" t="str">
        <f>IFERROR(INDEX('nav master'!$C:$C, MATCH(B3528, 'nav master'!$B:$B, 0)), "")</f>
        <v>ULIF 145 03/06/21 SustainEqu 105</v>
      </c>
      <c r="E3528" s="8">
        <v>15.4808</v>
      </c>
      <c r="F3528" s="9">
        <v>46049</v>
      </c>
    </row>
    <row r="3529" spans="1:6" ht="60" x14ac:dyDescent="0.25">
      <c r="A3529" s="8" t="s">
        <v>63</v>
      </c>
      <c r="B3529" s="8" t="s">
        <v>58</v>
      </c>
      <c r="C3529" s="8" t="str">
        <f>IFERROR(_xlfn.XLOOKUP(TRIM(B3529),Lookup!$B$2:$B$1000,Lookup!$C$2:$C$1000),"")</f>
        <v>Equity</v>
      </c>
      <c r="D3529" s="8" t="str">
        <f>IFERROR(INDEX('nav master'!$C:$C, MATCH(B3529, 'nav master'!$B:$B, 0)), "")</f>
        <v>ULIF 145 03/06/21 SustainEqu 105</v>
      </c>
      <c r="E3529" s="8">
        <v>15.698</v>
      </c>
      <c r="F3529" s="9">
        <v>46050</v>
      </c>
    </row>
    <row r="3530" spans="1:6" ht="60" x14ac:dyDescent="0.25">
      <c r="A3530" s="8" t="s">
        <v>63</v>
      </c>
      <c r="B3530" s="8" t="s">
        <v>58</v>
      </c>
      <c r="C3530" s="8" t="str">
        <f>IFERROR(_xlfn.XLOOKUP(TRIM(B3530),Lookup!$B$2:$B$1000,Lookup!$C$2:$C$1000),"")</f>
        <v>Equity</v>
      </c>
      <c r="D3530" s="8" t="str">
        <f>IFERROR(INDEX('nav master'!$C:$C, MATCH(B3530, 'nav master'!$B:$B, 0)), "")</f>
        <v>ULIF 145 03/06/21 SustainEqu 105</v>
      </c>
      <c r="E3530" s="8">
        <v>15.738</v>
      </c>
      <c r="F3530" s="9">
        <v>46051</v>
      </c>
    </row>
    <row r="3531" spans="1:6" ht="60" x14ac:dyDescent="0.25">
      <c r="A3531" s="8" t="s">
        <v>63</v>
      </c>
      <c r="B3531" s="8" t="s">
        <v>58</v>
      </c>
      <c r="C3531" s="8" t="str">
        <f>IFERROR(_xlfn.XLOOKUP(TRIM(B3531),Lookup!$B$2:$B$1000,Lookup!$C$2:$C$1000),"")</f>
        <v>Equity</v>
      </c>
      <c r="D3531" s="8" t="str">
        <f>IFERROR(INDEX('nav master'!$C:$C, MATCH(B3531, 'nav master'!$B:$B, 0)), "")</f>
        <v>ULIF 145 03/06/21 SustainEqu 105</v>
      </c>
      <c r="E3531" s="8">
        <v>15.683400000000001</v>
      </c>
      <c r="F3531" s="9">
        <v>46052</v>
      </c>
    </row>
    <row r="3532" spans="1:6" ht="60" x14ac:dyDescent="0.25">
      <c r="A3532" s="8" t="s">
        <v>63</v>
      </c>
      <c r="B3532" s="8" t="s">
        <v>58</v>
      </c>
      <c r="C3532" s="8" t="str">
        <f>IFERROR(_xlfn.XLOOKUP(TRIM(B3532),Lookup!$B$2:$B$1000,Lookup!$C$2:$C$1000),"")</f>
        <v>Equity</v>
      </c>
      <c r="D3532" s="8" t="str">
        <f>IFERROR(INDEX('nav master'!$C:$C, MATCH(B3532, 'nav master'!$B:$B, 0)), "")</f>
        <v>ULIF 145 03/06/21 SustainEqu 105</v>
      </c>
      <c r="E3532" s="8">
        <v>15.424799999999999</v>
      </c>
      <c r="F3532" s="9">
        <v>46054</v>
      </c>
    </row>
    <row r="3533" spans="1:6" ht="60" x14ac:dyDescent="0.25">
      <c r="A3533" s="8" t="s">
        <v>63</v>
      </c>
      <c r="B3533" s="8" t="s">
        <v>58</v>
      </c>
      <c r="C3533" s="8" t="str">
        <f>IFERROR(_xlfn.XLOOKUP(TRIM(B3533),Lookup!$B$2:$B$1000,Lookup!$C$2:$C$1000),"")</f>
        <v>Equity</v>
      </c>
      <c r="D3533" s="8" t="str">
        <f>IFERROR(INDEX('nav master'!$C:$C, MATCH(B3533, 'nav master'!$B:$B, 0)), "")</f>
        <v>ULIF 145 03/06/21 SustainEqu 105</v>
      </c>
      <c r="E3533" s="8">
        <v>15.5344</v>
      </c>
      <c r="F3533" s="9">
        <v>46055</v>
      </c>
    </row>
    <row r="3534" spans="1:6" ht="60" x14ac:dyDescent="0.25">
      <c r="A3534" s="8" t="s">
        <v>63</v>
      </c>
      <c r="B3534" s="8" t="s">
        <v>58</v>
      </c>
      <c r="C3534" s="8" t="str">
        <f>IFERROR(_xlfn.XLOOKUP(TRIM(B3534),Lookup!$B$2:$B$1000,Lookup!$C$2:$C$1000),"")</f>
        <v>Equity</v>
      </c>
      <c r="D3534" s="8" t="str">
        <f>IFERROR(INDEX('nav master'!$C:$C, MATCH(B3534, 'nav master'!$B:$B, 0)), "")</f>
        <v>ULIF 145 03/06/21 SustainEqu 105</v>
      </c>
      <c r="E3534" s="8">
        <v>15.901999999999999</v>
      </c>
      <c r="F3534" s="9">
        <v>46056</v>
      </c>
    </row>
    <row r="3535" spans="1:6" ht="60" x14ac:dyDescent="0.25">
      <c r="A3535" s="8" t="s">
        <v>63</v>
      </c>
      <c r="B3535" s="8" t="s">
        <v>58</v>
      </c>
      <c r="C3535" s="8" t="str">
        <f>IFERROR(_xlfn.XLOOKUP(TRIM(B3535),Lookup!$B$2:$B$1000,Lookup!$C$2:$C$1000),"")</f>
        <v>Equity</v>
      </c>
      <c r="D3535" s="8" t="str">
        <f>IFERROR(INDEX('nav master'!$C:$C, MATCH(B3535, 'nav master'!$B:$B, 0)), "")</f>
        <v>ULIF 145 03/06/21 SustainEqu 105</v>
      </c>
      <c r="E3535" s="8">
        <v>15.959</v>
      </c>
      <c r="F3535" s="9">
        <v>46057</v>
      </c>
    </row>
    <row r="3536" spans="1:6" ht="60" x14ac:dyDescent="0.25">
      <c r="A3536" s="8" t="s">
        <v>63</v>
      </c>
      <c r="B3536" s="8" t="s">
        <v>58</v>
      </c>
      <c r="C3536" s="8" t="str">
        <f>IFERROR(_xlfn.XLOOKUP(TRIM(B3536),Lookup!$B$2:$B$1000,Lookup!$C$2:$C$1000),"")</f>
        <v>Equity</v>
      </c>
      <c r="D3536" s="8" t="str">
        <f>IFERROR(INDEX('nav master'!$C:$C, MATCH(B3536, 'nav master'!$B:$B, 0)), "")</f>
        <v>ULIF 145 03/06/21 SustainEqu 105</v>
      </c>
      <c r="E3536" s="8">
        <v>15.886799999999999</v>
      </c>
      <c r="F3536" s="9">
        <v>46058</v>
      </c>
    </row>
    <row r="3537" spans="1:6" ht="60" x14ac:dyDescent="0.25">
      <c r="A3537" s="8" t="s">
        <v>63</v>
      </c>
      <c r="B3537" s="8" t="s">
        <v>58</v>
      </c>
      <c r="C3537" s="8" t="str">
        <f>IFERROR(_xlfn.XLOOKUP(TRIM(B3537),Lookup!$B$2:$B$1000,Lookup!$C$2:$C$1000),"")</f>
        <v>Equity</v>
      </c>
      <c r="D3537" s="8" t="str">
        <f>IFERROR(INDEX('nav master'!$C:$C, MATCH(B3537, 'nav master'!$B:$B, 0)), "")</f>
        <v>ULIF 145 03/06/21 SustainEqu 105</v>
      </c>
      <c r="E3537" s="8">
        <v>15.8727</v>
      </c>
      <c r="F3537" s="9">
        <v>46059</v>
      </c>
    </row>
    <row r="3538" spans="1:6" ht="60" x14ac:dyDescent="0.25">
      <c r="A3538" s="8" t="s">
        <v>63</v>
      </c>
      <c r="B3538" s="8" t="s">
        <v>58</v>
      </c>
      <c r="C3538" s="8" t="str">
        <f>IFERROR(_xlfn.XLOOKUP(TRIM(B3538),Lookup!$B$2:$B$1000,Lookup!$C$2:$C$1000),"")</f>
        <v>Equity</v>
      </c>
      <c r="D3538" s="8" t="str">
        <f>IFERROR(INDEX('nav master'!$C:$C, MATCH(B3538, 'nav master'!$B:$B, 0)), "")</f>
        <v>ULIF 145 03/06/21 SustainEqu 105</v>
      </c>
      <c r="E3538" s="8">
        <v>16.003599999999999</v>
      </c>
      <c r="F3538" s="9">
        <v>46062</v>
      </c>
    </row>
    <row r="3539" spans="1:6" ht="60" x14ac:dyDescent="0.25">
      <c r="A3539" s="8" t="s">
        <v>63</v>
      </c>
      <c r="B3539" s="8" t="s">
        <v>58</v>
      </c>
      <c r="C3539" s="8" t="str">
        <f>IFERROR(_xlfn.XLOOKUP(TRIM(B3539),Lookup!$B$2:$B$1000,Lookup!$C$2:$C$1000),"")</f>
        <v>Equity</v>
      </c>
      <c r="D3539" s="8" t="str">
        <f>IFERROR(INDEX('nav master'!$C:$C, MATCH(B3539, 'nav master'!$B:$B, 0)), "")</f>
        <v>ULIF 145 03/06/21 SustainEqu 105</v>
      </c>
      <c r="E3539" s="8">
        <v>16.1431</v>
      </c>
      <c r="F3539" s="9">
        <v>46063</v>
      </c>
    </row>
    <row r="3540" spans="1:6" ht="60" x14ac:dyDescent="0.25">
      <c r="A3540" s="8" t="s">
        <v>63</v>
      </c>
      <c r="B3540" s="8" t="s">
        <v>58</v>
      </c>
      <c r="C3540" s="8" t="str">
        <f>IFERROR(_xlfn.XLOOKUP(TRIM(B3540),Lookup!$B$2:$B$1000,Lookup!$C$2:$C$1000),"")</f>
        <v>Equity</v>
      </c>
      <c r="D3540" s="8" t="str">
        <f>IFERROR(INDEX('nav master'!$C:$C, MATCH(B3540, 'nav master'!$B:$B, 0)), "")</f>
        <v>ULIF 145 03/06/21 SustainEqu 105</v>
      </c>
      <c r="E3540" s="8">
        <v>16.135400000000001</v>
      </c>
      <c r="F3540" s="9">
        <v>46064</v>
      </c>
    </row>
    <row r="3541" spans="1:6" ht="60" x14ac:dyDescent="0.25">
      <c r="A3541" s="8" t="s">
        <v>63</v>
      </c>
      <c r="B3541" s="8" t="s">
        <v>58</v>
      </c>
      <c r="C3541" s="8" t="str">
        <f>IFERROR(_xlfn.XLOOKUP(TRIM(B3541),Lookup!$B$2:$B$1000,Lookup!$C$2:$C$1000),"")</f>
        <v>Equity</v>
      </c>
      <c r="D3541" s="8" t="str">
        <f>IFERROR(INDEX('nav master'!$C:$C, MATCH(B3541, 'nav master'!$B:$B, 0)), "")</f>
        <v>ULIF 145 03/06/21 SustainEqu 105</v>
      </c>
      <c r="E3541" s="8">
        <v>15.9811</v>
      </c>
      <c r="F3541" s="9">
        <v>46065</v>
      </c>
    </row>
    <row r="3542" spans="1:6" ht="60" x14ac:dyDescent="0.25">
      <c r="A3542" s="8" t="s">
        <v>63</v>
      </c>
      <c r="B3542" s="8" t="s">
        <v>58</v>
      </c>
      <c r="C3542" s="8" t="str">
        <f>IFERROR(_xlfn.XLOOKUP(TRIM(B3542),Lookup!$B$2:$B$1000,Lookup!$C$2:$C$1000),"")</f>
        <v>Equity</v>
      </c>
      <c r="D3542" s="8" t="str">
        <f>IFERROR(INDEX('nav master'!$C:$C, MATCH(B3542, 'nav master'!$B:$B, 0)), "")</f>
        <v>ULIF 145 03/06/21 SustainEqu 105</v>
      </c>
      <c r="E3542" s="8">
        <v>15.744899999999999</v>
      </c>
      <c r="F3542" s="9">
        <v>46066</v>
      </c>
    </row>
    <row r="3543" spans="1:6" ht="60" x14ac:dyDescent="0.25">
      <c r="A3543" s="8" t="s">
        <v>63</v>
      </c>
      <c r="B3543" s="8" t="s">
        <v>58</v>
      </c>
      <c r="C3543" s="8" t="str">
        <f>IFERROR(_xlfn.XLOOKUP(TRIM(B3543),Lookup!$B$2:$B$1000,Lookup!$C$2:$C$1000),"")</f>
        <v>Equity</v>
      </c>
      <c r="D3543" s="8" t="str">
        <f>IFERROR(INDEX('nav master'!$C:$C, MATCH(B3543, 'nav master'!$B:$B, 0)), "")</f>
        <v>ULIF 145 03/06/21 SustainEqu 105</v>
      </c>
      <c r="E3543" s="8">
        <v>15.826700000000001</v>
      </c>
      <c r="F3543" s="9">
        <v>46069</v>
      </c>
    </row>
    <row r="3544" spans="1:6" ht="60" x14ac:dyDescent="0.25">
      <c r="A3544" s="8" t="s">
        <v>63</v>
      </c>
      <c r="B3544" s="8" t="s">
        <v>58</v>
      </c>
      <c r="C3544" s="8" t="str">
        <f>IFERROR(_xlfn.XLOOKUP(TRIM(B3544),Lookup!$B$2:$B$1000,Lookup!$C$2:$C$1000),"")</f>
        <v>Equity</v>
      </c>
      <c r="D3544" s="8" t="str">
        <f>IFERROR(INDEX('nav master'!$C:$C, MATCH(B3544, 'nav master'!$B:$B, 0)), "")</f>
        <v>ULIF 145 03/06/21 SustainEqu 105</v>
      </c>
      <c r="E3544" s="8">
        <v>15.833</v>
      </c>
      <c r="F3544" s="9">
        <v>46070</v>
      </c>
    </row>
    <row r="3545" spans="1:6" ht="60" x14ac:dyDescent="0.25">
      <c r="A3545" s="8" t="s">
        <v>63</v>
      </c>
      <c r="B3545" s="8" t="s">
        <v>58</v>
      </c>
      <c r="C3545" s="8" t="str">
        <f>IFERROR(_xlfn.XLOOKUP(TRIM(B3545),Lookup!$B$2:$B$1000,Lookup!$C$2:$C$1000),"")</f>
        <v>Equity</v>
      </c>
      <c r="D3545" s="8" t="str">
        <f>IFERROR(INDEX('nav master'!$C:$C, MATCH(B3545, 'nav master'!$B:$B, 0)), "")</f>
        <v>ULIF 145 03/06/21 SustainEqu 105</v>
      </c>
      <c r="E3545" s="8">
        <v>15.8797</v>
      </c>
      <c r="F3545" s="9">
        <v>46071</v>
      </c>
    </row>
    <row r="3546" spans="1:6" ht="60" x14ac:dyDescent="0.25">
      <c r="A3546" s="8" t="s">
        <v>63</v>
      </c>
      <c r="B3546" s="8" t="s">
        <v>58</v>
      </c>
      <c r="C3546" s="8" t="str">
        <f>IFERROR(_xlfn.XLOOKUP(TRIM(B3546),Lookup!$B$2:$B$1000,Lookup!$C$2:$C$1000),"")</f>
        <v>Equity</v>
      </c>
      <c r="D3546" s="8" t="str">
        <f>IFERROR(INDEX('nav master'!$C:$C, MATCH(B3546, 'nav master'!$B:$B, 0)), "")</f>
        <v>ULIF 145 03/06/21 SustainEqu 105</v>
      </c>
      <c r="E3546" s="8">
        <v>15.6455</v>
      </c>
      <c r="F3546" s="9">
        <v>46072</v>
      </c>
    </row>
    <row r="3547" spans="1:6" ht="60" x14ac:dyDescent="0.25">
      <c r="A3547" s="8" t="s">
        <v>63</v>
      </c>
      <c r="B3547" s="8" t="s">
        <v>58</v>
      </c>
      <c r="C3547" s="8" t="str">
        <f>IFERROR(_xlfn.XLOOKUP(TRIM(B3547),Lookup!$B$2:$B$1000,Lookup!$C$2:$C$1000),"")</f>
        <v>Equity</v>
      </c>
      <c r="D3547" s="8" t="str">
        <f>IFERROR(INDEX('nav master'!$C:$C, MATCH(B3547, 'nav master'!$B:$B, 0)), "")</f>
        <v>ULIF 145 03/06/21 SustainEqu 105</v>
      </c>
      <c r="E3547" s="8">
        <v>15.679399999999999</v>
      </c>
      <c r="F3547" s="9">
        <v>46073</v>
      </c>
    </row>
    <row r="3548" spans="1:6" ht="60" x14ac:dyDescent="0.25">
      <c r="A3548" s="8" t="s">
        <v>63</v>
      </c>
      <c r="B3548" s="8" t="s">
        <v>58</v>
      </c>
      <c r="C3548" s="8" t="str">
        <f>IFERROR(_xlfn.XLOOKUP(TRIM(B3548),Lookup!$B$2:$B$1000,Lookup!$C$2:$C$1000),"")</f>
        <v>Equity</v>
      </c>
      <c r="D3548" s="8" t="str">
        <f>IFERROR(INDEX('nav master'!$C:$C, MATCH(B3548, 'nav master'!$B:$B, 0)), "")</f>
        <v>ULIF 145 03/06/21 SustainEqu 105</v>
      </c>
      <c r="E3548" s="8">
        <v>15.739699999999999</v>
      </c>
      <c r="F3548" s="9">
        <v>46076</v>
      </c>
    </row>
    <row r="3549" spans="1:6" ht="60" x14ac:dyDescent="0.25">
      <c r="A3549" s="8" t="s">
        <v>63</v>
      </c>
      <c r="B3549" s="8" t="s">
        <v>58</v>
      </c>
      <c r="C3549" s="8" t="str">
        <f>IFERROR(_xlfn.XLOOKUP(TRIM(B3549),Lookup!$B$2:$B$1000,Lookup!$C$2:$C$1000),"")</f>
        <v>Equity</v>
      </c>
      <c r="D3549" s="8" t="str">
        <f>IFERROR(INDEX('nav master'!$C:$C, MATCH(B3549, 'nav master'!$B:$B, 0)), "")</f>
        <v>ULIF 145 03/06/21 SustainEqu 105</v>
      </c>
      <c r="E3549" s="8">
        <v>15.5749</v>
      </c>
      <c r="F3549" s="9">
        <v>46077</v>
      </c>
    </row>
    <row r="3550" spans="1:6" ht="60" x14ac:dyDescent="0.25">
      <c r="A3550" s="8" t="s">
        <v>63</v>
      </c>
      <c r="B3550" s="8" t="s">
        <v>58</v>
      </c>
      <c r="C3550" s="8" t="str">
        <f>IFERROR(_xlfn.XLOOKUP(TRIM(B3550),Lookup!$B$2:$B$1000,Lookup!$C$2:$C$1000),"")</f>
        <v>Equity</v>
      </c>
      <c r="D3550" s="8" t="str">
        <f>IFERROR(INDEX('nav master'!$C:$C, MATCH(B3550, 'nav master'!$B:$B, 0)), "")</f>
        <v>ULIF 145 03/06/21 SustainEqu 105</v>
      </c>
      <c r="E3550" s="8">
        <v>15.63</v>
      </c>
      <c r="F3550" s="9">
        <v>46078</v>
      </c>
    </row>
    <row r="3551" spans="1:6" ht="60" x14ac:dyDescent="0.25">
      <c r="A3551" s="8" t="s">
        <v>63</v>
      </c>
      <c r="B3551" s="8" t="s">
        <v>58</v>
      </c>
      <c r="C3551" s="8" t="str">
        <f>IFERROR(_xlfn.XLOOKUP(TRIM(B3551),Lookup!$B$2:$B$1000,Lookup!$C$2:$C$1000),"")</f>
        <v>Equity</v>
      </c>
      <c r="D3551" s="8" t="str">
        <f>IFERROR(INDEX('nav master'!$C:$C, MATCH(B3551, 'nav master'!$B:$B, 0)), "")</f>
        <v>ULIF 145 03/06/21 SustainEqu 105</v>
      </c>
      <c r="E3551" s="8">
        <v>15.627800000000001</v>
      </c>
      <c r="F3551" s="9">
        <v>46079</v>
      </c>
    </row>
    <row r="3552" spans="1:6" ht="60" x14ac:dyDescent="0.25">
      <c r="A3552" s="8" t="s">
        <v>63</v>
      </c>
      <c r="B3552" s="8" t="s">
        <v>58</v>
      </c>
      <c r="C3552" s="8" t="str">
        <f>IFERROR(_xlfn.XLOOKUP(TRIM(B3552),Lookup!$B$2:$B$1000,Lookup!$C$2:$C$1000),"")</f>
        <v>Equity</v>
      </c>
      <c r="D3552" s="8" t="str">
        <f>IFERROR(INDEX('nav master'!$C:$C, MATCH(B3552, 'nav master'!$B:$B, 0)), "")</f>
        <v>ULIF 145 03/06/21 SustainEqu 105</v>
      </c>
      <c r="E3552" s="8">
        <v>15.4556</v>
      </c>
      <c r="F3552" s="9">
        <v>46080</v>
      </c>
    </row>
    <row r="3553" spans="1:6" ht="60" x14ac:dyDescent="0.25">
      <c r="A3553" s="8" t="s">
        <v>63</v>
      </c>
      <c r="B3553" s="8" t="s">
        <v>58</v>
      </c>
      <c r="C3553" s="8" t="str">
        <f>IFERROR(_xlfn.XLOOKUP(TRIM(B3553),Lookup!$B$2:$B$1000,Lookup!$C$2:$C$1000),"")</f>
        <v>Equity</v>
      </c>
      <c r="D3553" s="8" t="str">
        <f>IFERROR(INDEX('nav master'!$C:$C, MATCH(B3553, 'nav master'!$B:$B, 0)), "")</f>
        <v>ULIF 145 03/06/21 SustainEqu 105</v>
      </c>
      <c r="E3553" s="8">
        <v>15.236800000000001</v>
      </c>
      <c r="F3553" s="9">
        <v>46083</v>
      </c>
    </row>
    <row r="3554" spans="1:6" ht="60" x14ac:dyDescent="0.25">
      <c r="A3554" s="8" t="s">
        <v>63</v>
      </c>
      <c r="B3554" s="8" t="s">
        <v>58</v>
      </c>
      <c r="C3554" s="8" t="str">
        <f>IFERROR(_xlfn.XLOOKUP(TRIM(B3554),Lookup!$B$2:$B$1000,Lookup!$C$2:$C$1000),"")</f>
        <v>Equity</v>
      </c>
      <c r="D3554" s="8" t="str">
        <f>IFERROR(INDEX('nav master'!$C:$C, MATCH(B3554, 'nav master'!$B:$B, 0)), "")</f>
        <v>ULIF 145 03/06/21 SustainEqu 105</v>
      </c>
      <c r="E3554" s="8">
        <v>15.0219</v>
      </c>
      <c r="F3554" s="9">
        <v>46085</v>
      </c>
    </row>
    <row r="3555" spans="1:6" ht="60" x14ac:dyDescent="0.25">
      <c r="A3555" s="8" t="s">
        <v>63</v>
      </c>
      <c r="B3555" s="8" t="s">
        <v>58</v>
      </c>
      <c r="C3555" s="8" t="str">
        <f>IFERROR(_xlfn.XLOOKUP(TRIM(B3555),Lookup!$B$2:$B$1000,Lookup!$C$2:$C$1000),"")</f>
        <v>Equity</v>
      </c>
      <c r="D3555" s="8" t="str">
        <f>IFERROR(INDEX('nav master'!$C:$C, MATCH(B3555, 'nav master'!$B:$B, 0)), "")</f>
        <v>ULIF 145 03/06/21 SustainEqu 105</v>
      </c>
      <c r="E3555" s="8">
        <v>15.1929</v>
      </c>
      <c r="F3555" s="9">
        <v>46086</v>
      </c>
    </row>
    <row r="3556" spans="1:6" ht="60" x14ac:dyDescent="0.25">
      <c r="A3556" s="8" t="s">
        <v>63</v>
      </c>
      <c r="B3556" s="8" t="s">
        <v>58</v>
      </c>
      <c r="C3556" s="8" t="str">
        <f>IFERROR(_xlfn.XLOOKUP(TRIM(B3556),Lookup!$B$2:$B$1000,Lookup!$C$2:$C$1000),"")</f>
        <v>Equity</v>
      </c>
      <c r="D3556" s="8" t="str">
        <f>IFERROR(INDEX('nav master'!$C:$C, MATCH(B3556, 'nav master'!$B:$B, 0)), "")</f>
        <v>ULIF 145 03/06/21 SustainEqu 105</v>
      </c>
      <c r="E3556" s="8">
        <v>15.0588</v>
      </c>
      <c r="F3556" s="9">
        <v>46087</v>
      </c>
    </row>
    <row r="3557" spans="1:6" ht="60" x14ac:dyDescent="0.25">
      <c r="A3557" s="8" t="s">
        <v>63</v>
      </c>
      <c r="B3557" s="8" t="s">
        <v>58</v>
      </c>
      <c r="C3557" s="8" t="str">
        <f>IFERROR(_xlfn.XLOOKUP(TRIM(B3557),Lookup!$B$2:$B$1000,Lookup!$C$2:$C$1000),"")</f>
        <v>Equity</v>
      </c>
      <c r="D3557" s="8" t="str">
        <f>IFERROR(INDEX('nav master'!$C:$C, MATCH(B3557, 'nav master'!$B:$B, 0)), "")</f>
        <v>ULIF 145 03/06/21 SustainEqu 105</v>
      </c>
      <c r="E3557" s="8">
        <v>14.8592</v>
      </c>
      <c r="F3557" s="9">
        <v>46090</v>
      </c>
    </row>
    <row r="3558" spans="1:6" ht="60" x14ac:dyDescent="0.25">
      <c r="A3558" s="8" t="s">
        <v>63</v>
      </c>
      <c r="B3558" s="8" t="s">
        <v>58</v>
      </c>
      <c r="C3558" s="8" t="str">
        <f>IFERROR(_xlfn.XLOOKUP(TRIM(B3558),Lookup!$B$2:$B$1000,Lookup!$C$2:$C$1000),"")</f>
        <v>Equity</v>
      </c>
      <c r="D3558" s="8" t="str">
        <f>IFERROR(INDEX('nav master'!$C:$C, MATCH(B3558, 'nav master'!$B:$B, 0)), "")</f>
        <v>ULIF 145 03/06/21 SustainEqu 105</v>
      </c>
      <c r="E3558" s="8">
        <v>15.013199999999999</v>
      </c>
      <c r="F3558" s="9">
        <v>46091</v>
      </c>
    </row>
    <row r="3559" spans="1:6" ht="60" x14ac:dyDescent="0.25">
      <c r="A3559" s="8" t="s">
        <v>63</v>
      </c>
      <c r="B3559" s="8" t="s">
        <v>58</v>
      </c>
      <c r="C3559" s="8" t="str">
        <f>IFERROR(_xlfn.XLOOKUP(TRIM(B3559),Lookup!$B$2:$B$1000,Lookup!$C$2:$C$1000),"")</f>
        <v>Equity</v>
      </c>
      <c r="D3559" s="8" t="str">
        <f>IFERROR(INDEX('nav master'!$C:$C, MATCH(B3559, 'nav master'!$B:$B, 0)), "")</f>
        <v>ULIF 145 03/06/21 SustainEqu 105</v>
      </c>
      <c r="E3559" s="8">
        <v>14.838800000000001</v>
      </c>
      <c r="F3559" s="9">
        <v>46092</v>
      </c>
    </row>
    <row r="3560" spans="1:6" ht="60" x14ac:dyDescent="0.25">
      <c r="A3560" s="8" t="s">
        <v>63</v>
      </c>
      <c r="B3560" s="8" t="s">
        <v>58</v>
      </c>
      <c r="C3560" s="8" t="str">
        <f>IFERROR(_xlfn.XLOOKUP(TRIM(B3560),Lookup!$B$2:$B$1000,Lookup!$C$2:$C$1000),"")</f>
        <v>Equity</v>
      </c>
      <c r="D3560" s="8" t="str">
        <f>IFERROR(INDEX('nav master'!$C:$C, MATCH(B3560, 'nav master'!$B:$B, 0)), "")</f>
        <v>ULIF 145 03/06/21 SustainEqu 105</v>
      </c>
      <c r="E3560" s="8">
        <v>14.738300000000001</v>
      </c>
      <c r="F3560" s="9">
        <v>46093</v>
      </c>
    </row>
    <row r="3561" spans="1:6" ht="60" x14ac:dyDescent="0.25">
      <c r="A3561" s="8" t="s">
        <v>63</v>
      </c>
      <c r="B3561" s="8" t="s">
        <v>58</v>
      </c>
      <c r="C3561" s="8" t="str">
        <f>IFERROR(_xlfn.XLOOKUP(TRIM(B3561),Lookup!$B$2:$B$1000,Lookup!$C$2:$C$1000),"")</f>
        <v>Equity</v>
      </c>
      <c r="D3561" s="8" t="str">
        <f>IFERROR(INDEX('nav master'!$C:$C, MATCH(B3561, 'nav master'!$B:$B, 0)), "")</f>
        <v>ULIF 145 03/06/21 SustainEqu 105</v>
      </c>
      <c r="E3561" s="8">
        <v>14.4628</v>
      </c>
      <c r="F3561" s="9">
        <v>46094</v>
      </c>
    </row>
    <row r="3562" spans="1:6" ht="60" x14ac:dyDescent="0.25">
      <c r="A3562" s="8" t="s">
        <v>63</v>
      </c>
      <c r="B3562" s="8" t="s">
        <v>58</v>
      </c>
      <c r="C3562" s="8" t="str">
        <f>IFERROR(_xlfn.XLOOKUP(TRIM(B3562),Lookup!$B$2:$B$1000,Lookup!$C$2:$C$1000),"")</f>
        <v>Equity</v>
      </c>
      <c r="D3562" s="8" t="str">
        <f>IFERROR(INDEX('nav master'!$C:$C, MATCH(B3562, 'nav master'!$B:$B, 0)), "")</f>
        <v>ULIF 145 03/06/21 SustainEqu 105</v>
      </c>
      <c r="E3562" s="8">
        <v>14.5274</v>
      </c>
      <c r="F3562" s="9">
        <v>46097</v>
      </c>
    </row>
    <row r="3563" spans="1:6" ht="60" x14ac:dyDescent="0.25">
      <c r="A3563" s="8" t="s">
        <v>63</v>
      </c>
      <c r="B3563" s="8" t="s">
        <v>58</v>
      </c>
      <c r="C3563" s="8" t="str">
        <f>IFERROR(_xlfn.XLOOKUP(TRIM(B3563),Lookup!$B$2:$B$1000,Lookup!$C$2:$C$1000),"")</f>
        <v>Equity</v>
      </c>
      <c r="D3563" s="8" t="str">
        <f>IFERROR(INDEX('nav master'!$C:$C, MATCH(B3563, 'nav master'!$B:$B, 0)), "")</f>
        <v>ULIF 145 03/06/21 SustainEqu 105</v>
      </c>
      <c r="E3563" s="8">
        <v>14.669</v>
      </c>
      <c r="F3563" s="9">
        <v>46098</v>
      </c>
    </row>
    <row r="3564" spans="1:6" ht="60" x14ac:dyDescent="0.25">
      <c r="A3564" s="8" t="s">
        <v>63</v>
      </c>
      <c r="B3564" s="8" t="s">
        <v>58</v>
      </c>
      <c r="C3564" s="8" t="str">
        <f>IFERROR(_xlfn.XLOOKUP(TRIM(B3564),Lookup!$B$2:$B$1000,Lookup!$C$2:$C$1000),"")</f>
        <v>Equity</v>
      </c>
      <c r="D3564" s="8" t="str">
        <f>IFERROR(INDEX('nav master'!$C:$C, MATCH(B3564, 'nav master'!$B:$B, 0)), "")</f>
        <v>ULIF 145 03/06/21 SustainEqu 105</v>
      </c>
      <c r="E3564" s="8">
        <v>14.8348</v>
      </c>
      <c r="F3564" s="9">
        <v>46099</v>
      </c>
    </row>
    <row r="3565" spans="1:6" ht="60" x14ac:dyDescent="0.25">
      <c r="A3565" s="8" t="s">
        <v>63</v>
      </c>
      <c r="B3565" s="8" t="s">
        <v>58</v>
      </c>
      <c r="C3565" s="8" t="str">
        <f>IFERROR(_xlfn.XLOOKUP(TRIM(B3565),Lookup!$B$2:$B$1000,Lookup!$C$2:$C$1000),"")</f>
        <v>Equity</v>
      </c>
      <c r="D3565" s="8" t="str">
        <f>IFERROR(INDEX('nav master'!$C:$C, MATCH(B3565, 'nav master'!$B:$B, 0)), "")</f>
        <v>ULIF 145 03/06/21 SustainEqu 105</v>
      </c>
      <c r="E3565" s="8">
        <v>14.3729</v>
      </c>
      <c r="F3565" s="9">
        <v>46100</v>
      </c>
    </row>
    <row r="3566" spans="1:6" ht="60" x14ac:dyDescent="0.25">
      <c r="A3566" s="8" t="s">
        <v>63</v>
      </c>
      <c r="B3566" s="8" t="s">
        <v>58</v>
      </c>
      <c r="C3566" s="8" t="str">
        <f>IFERROR(_xlfn.XLOOKUP(TRIM(B3566),Lookup!$B$2:$B$1000,Lookup!$C$2:$C$1000),"")</f>
        <v>Equity</v>
      </c>
      <c r="D3566" s="8" t="str">
        <f>IFERROR(INDEX('nav master'!$C:$C, MATCH(B3566, 'nav master'!$B:$B, 0)), "")</f>
        <v>ULIF 145 03/06/21 SustainEqu 105</v>
      </c>
      <c r="E3566" s="8">
        <v>14.4512</v>
      </c>
      <c r="F3566" s="9">
        <v>46101</v>
      </c>
    </row>
    <row r="3567" spans="1:6" ht="60" x14ac:dyDescent="0.25">
      <c r="A3567" s="8" t="s">
        <v>63</v>
      </c>
      <c r="B3567" s="8" t="s">
        <v>58</v>
      </c>
      <c r="C3567" s="8" t="str">
        <f>IFERROR(_xlfn.XLOOKUP(TRIM(B3567),Lookup!$B$2:$B$1000,Lookup!$C$2:$C$1000),"")</f>
        <v>Equity</v>
      </c>
      <c r="D3567" s="8" t="str">
        <f>IFERROR(INDEX('nav master'!$C:$C, MATCH(B3567, 'nav master'!$B:$B, 0)), "")</f>
        <v>ULIF 145 03/06/21 SustainEqu 105</v>
      </c>
      <c r="E3567" s="8">
        <v>14.071999999999999</v>
      </c>
      <c r="F3567" s="9">
        <v>46104</v>
      </c>
    </row>
    <row r="3568" spans="1:6" ht="60" x14ac:dyDescent="0.25">
      <c r="A3568" s="8" t="s">
        <v>63</v>
      </c>
      <c r="B3568" s="8" t="s">
        <v>58</v>
      </c>
      <c r="C3568" s="8" t="str">
        <f>IFERROR(_xlfn.XLOOKUP(TRIM(B3568),Lookup!$B$2:$B$1000,Lookup!$C$2:$C$1000),"")</f>
        <v>Equity</v>
      </c>
      <c r="D3568" s="8" t="str">
        <f>IFERROR(INDEX('nav master'!$C:$C, MATCH(B3568, 'nav master'!$B:$B, 0)), "")</f>
        <v>ULIF 145 03/06/21 SustainEqu 105</v>
      </c>
      <c r="E3568" s="8">
        <v>14.3513</v>
      </c>
      <c r="F3568" s="9">
        <v>46105</v>
      </c>
    </row>
    <row r="3569" spans="1:6" ht="60" x14ac:dyDescent="0.25">
      <c r="A3569" s="8" t="s">
        <v>63</v>
      </c>
      <c r="B3569" s="8" t="s">
        <v>58</v>
      </c>
      <c r="C3569" s="8" t="str">
        <f>IFERROR(_xlfn.XLOOKUP(TRIM(B3569),Lookup!$B$2:$B$1000,Lookup!$C$2:$C$1000),"")</f>
        <v>Equity</v>
      </c>
      <c r="D3569" s="8" t="str">
        <f>IFERROR(INDEX('nav master'!$C:$C, MATCH(B3569, 'nav master'!$B:$B, 0)), "")</f>
        <v>ULIF 145 03/06/21 SustainEqu 105</v>
      </c>
      <c r="E3569" s="8">
        <v>14.590299999999999</v>
      </c>
      <c r="F3569" s="9">
        <v>46106</v>
      </c>
    </row>
    <row r="3570" spans="1:6" ht="60" x14ac:dyDescent="0.25">
      <c r="A3570" s="8" t="s">
        <v>63</v>
      </c>
      <c r="B3570" s="8" t="s">
        <v>58</v>
      </c>
      <c r="C3570" s="8" t="str">
        <f>IFERROR(_xlfn.XLOOKUP(TRIM(B3570),Lookup!$B$2:$B$1000,Lookup!$C$2:$C$1000),"")</f>
        <v>Equity</v>
      </c>
      <c r="D3570" s="8" t="str">
        <f>IFERROR(INDEX('nav master'!$C:$C, MATCH(B3570, 'nav master'!$B:$B, 0)), "")</f>
        <v>ULIF 145 03/06/21 SustainEqu 105</v>
      </c>
      <c r="E3570" s="8">
        <v>14.347099999999999</v>
      </c>
      <c r="F3570" s="9">
        <v>46108</v>
      </c>
    </row>
    <row r="3571" spans="1:6" ht="60" x14ac:dyDescent="0.25">
      <c r="A3571" s="8" t="s">
        <v>63</v>
      </c>
      <c r="B3571" s="8" t="s">
        <v>58</v>
      </c>
      <c r="C3571" s="8" t="str">
        <f>IFERROR(_xlfn.XLOOKUP(TRIM(B3571),Lookup!$B$2:$B$1000,Lookup!$C$2:$C$1000),"")</f>
        <v>Equity</v>
      </c>
      <c r="D3571" s="8" t="str">
        <f>IFERROR(INDEX('nav master'!$C:$C, MATCH(B3571, 'nav master'!$B:$B, 0)), "")</f>
        <v>ULIF 145 03/06/21 SustainEqu 105</v>
      </c>
      <c r="E3571" s="8">
        <v>14.0688</v>
      </c>
      <c r="F3571" s="9">
        <v>46111</v>
      </c>
    </row>
    <row r="3572" spans="1:6" ht="60" x14ac:dyDescent="0.25">
      <c r="A3572" s="8" t="s">
        <v>63</v>
      </c>
      <c r="B3572" s="8" t="s">
        <v>58</v>
      </c>
      <c r="C3572" s="8" t="str">
        <f>IFERROR(_xlfn.XLOOKUP(TRIM(B3572),Lookup!$B$2:$B$1000,Lookup!$C$2:$C$1000),"")</f>
        <v>Equity</v>
      </c>
      <c r="D3572" s="8" t="str">
        <f>IFERROR(INDEX('nav master'!$C:$C, MATCH(B3572, 'nav master'!$B:$B, 0)), "")</f>
        <v>ULIF 145 03/06/21 SustainEqu 105</v>
      </c>
      <c r="E3572" s="8">
        <v>14.0685</v>
      </c>
      <c r="F3572" s="9">
        <v>46112</v>
      </c>
    </row>
    <row r="3573" spans="1:6" ht="60" x14ac:dyDescent="0.25">
      <c r="A3573" s="8" t="s">
        <v>63</v>
      </c>
      <c r="B3573" s="8" t="s">
        <v>58</v>
      </c>
      <c r="C3573" s="8" t="str">
        <f>IFERROR(_xlfn.XLOOKUP(TRIM(B3573),Lookup!$B$2:$B$1000,Lookup!$C$2:$C$1000),"")</f>
        <v>Equity</v>
      </c>
      <c r="D3573" s="8" t="str">
        <f>IFERROR(INDEX('nav master'!$C:$C, MATCH(B3573, 'nav master'!$B:$B, 0)), "")</f>
        <v>ULIF 145 03/06/21 SustainEqu 105</v>
      </c>
      <c r="E3573" s="8">
        <v>14.2723</v>
      </c>
      <c r="F3573" s="9">
        <v>46113</v>
      </c>
    </row>
    <row r="3574" spans="1:6" ht="60" x14ac:dyDescent="0.25">
      <c r="A3574" s="8" t="s">
        <v>63</v>
      </c>
      <c r="B3574" s="8" t="s">
        <v>58</v>
      </c>
      <c r="C3574" s="8" t="str">
        <f>IFERROR(_xlfn.XLOOKUP(TRIM(B3574),Lookup!$B$2:$B$1000,Lookup!$C$2:$C$1000),"")</f>
        <v>Equity</v>
      </c>
      <c r="D3574" s="8" t="str">
        <f>IFERROR(INDEX('nav master'!$C:$C, MATCH(B3574, 'nav master'!$B:$B, 0)), "")</f>
        <v>ULIF 145 03/06/21 SustainEqu 105</v>
      </c>
      <c r="E3574" s="8">
        <v>14.2698</v>
      </c>
      <c r="F3574" s="9">
        <v>46114</v>
      </c>
    </row>
    <row r="3575" spans="1:6" ht="60" x14ac:dyDescent="0.25">
      <c r="A3575" s="8" t="s">
        <v>63</v>
      </c>
      <c r="B3575" s="8" t="s">
        <v>58</v>
      </c>
      <c r="C3575" s="8" t="str">
        <f>IFERROR(_xlfn.XLOOKUP(TRIM(B3575),Lookup!$B$2:$B$1000,Lookup!$C$2:$C$1000),"")</f>
        <v>Equity</v>
      </c>
      <c r="D3575" s="8" t="str">
        <f>IFERROR(INDEX('nav master'!$C:$C, MATCH(B3575, 'nav master'!$B:$B, 0)), "")</f>
        <v>ULIF 145 03/06/21 SustainEqu 105</v>
      </c>
      <c r="E3575" s="8">
        <v>14.4129</v>
      </c>
      <c r="F3575" s="9">
        <v>46118</v>
      </c>
    </row>
    <row r="3576" spans="1:6" ht="60" x14ac:dyDescent="0.25">
      <c r="A3576" s="8" t="s">
        <v>63</v>
      </c>
      <c r="B3576" s="8" t="s">
        <v>58</v>
      </c>
      <c r="C3576" s="8" t="str">
        <f>IFERROR(_xlfn.XLOOKUP(TRIM(B3576),Lookup!$B$2:$B$1000,Lookup!$C$2:$C$1000),"")</f>
        <v>Equity</v>
      </c>
      <c r="D3576" s="8" t="str">
        <f>IFERROR(INDEX('nav master'!$C:$C, MATCH(B3576, 'nav master'!$B:$B, 0)), "")</f>
        <v>ULIF 145 03/06/21 SustainEqu 105</v>
      </c>
      <c r="E3576" s="8">
        <v>14.480700000000001</v>
      </c>
      <c r="F3576" s="9">
        <v>46119</v>
      </c>
    </row>
    <row r="3577" spans="1:6" ht="60" x14ac:dyDescent="0.25">
      <c r="A3577" s="8" t="s">
        <v>63</v>
      </c>
      <c r="B3577" s="8" t="s">
        <v>58</v>
      </c>
      <c r="C3577" s="8" t="str">
        <f>IFERROR(_xlfn.XLOOKUP(TRIM(B3577),Lookup!$B$2:$B$1000,Lookup!$C$2:$C$1000),"")</f>
        <v>Equity</v>
      </c>
      <c r="D3577" s="8" t="str">
        <f>IFERROR(INDEX('nav master'!$C:$C, MATCH(B3577, 'nav master'!$B:$B, 0)), "")</f>
        <v>ULIF 145 03/06/21 SustainEqu 105</v>
      </c>
      <c r="E3577" s="8">
        <v>14.962999999999999</v>
      </c>
      <c r="F3577" s="9">
        <v>46120</v>
      </c>
    </row>
    <row r="3578" spans="1:6" ht="60" x14ac:dyDescent="0.25">
      <c r="A3578" s="8" t="s">
        <v>63</v>
      </c>
      <c r="B3578" s="8" t="s">
        <v>58</v>
      </c>
      <c r="C3578" s="8" t="str">
        <f>IFERROR(_xlfn.XLOOKUP(TRIM(B3578),Lookup!$B$2:$B$1000,Lookup!$C$2:$C$1000),"")</f>
        <v>Equity</v>
      </c>
      <c r="D3578" s="8" t="str">
        <f>IFERROR(INDEX('nav master'!$C:$C, MATCH(B3578, 'nav master'!$B:$B, 0)), "")</f>
        <v>ULIF 145 03/06/21 SustainEqu 105</v>
      </c>
      <c r="E3578" s="8">
        <v>14.905200000000001</v>
      </c>
      <c r="F3578" s="9">
        <v>46121</v>
      </c>
    </row>
    <row r="3579" spans="1:6" ht="60" x14ac:dyDescent="0.25">
      <c r="A3579" s="8" t="s">
        <v>63</v>
      </c>
      <c r="B3579" s="8" t="s">
        <v>58</v>
      </c>
      <c r="C3579" s="8" t="str">
        <f>IFERROR(_xlfn.XLOOKUP(TRIM(B3579),Lookup!$B$2:$B$1000,Lookup!$C$2:$C$1000),"")</f>
        <v>Equity</v>
      </c>
      <c r="D3579" s="8" t="str">
        <f>IFERROR(INDEX('nav master'!$C:$C, MATCH(B3579, 'nav master'!$B:$B, 0)), "")</f>
        <v>ULIF 145 03/06/21 SustainEqu 105</v>
      </c>
      <c r="E3579" s="8">
        <v>15.0875</v>
      </c>
      <c r="F3579" s="9">
        <v>46122</v>
      </c>
    </row>
    <row r="3580" spans="1:6" ht="60" x14ac:dyDescent="0.25">
      <c r="A3580" s="8" t="s">
        <v>63</v>
      </c>
      <c r="B3580" s="8" t="s">
        <v>58</v>
      </c>
      <c r="C3580" s="8" t="str">
        <f>IFERROR(_xlfn.XLOOKUP(TRIM(B3580),Lookup!$B$2:$B$1000,Lookup!$C$2:$C$1000),"")</f>
        <v>Equity</v>
      </c>
      <c r="D3580" s="8" t="str">
        <f>IFERROR(INDEX('nav master'!$C:$C, MATCH(B3580, 'nav master'!$B:$B, 0)), "")</f>
        <v>ULIF 145 03/06/21 SustainEqu 105</v>
      </c>
      <c r="E3580" s="8">
        <v>15.0129</v>
      </c>
      <c r="F3580" s="9">
        <v>46125</v>
      </c>
    </row>
    <row r="3581" spans="1:6" ht="60" x14ac:dyDescent="0.25">
      <c r="A3581" s="8" t="s">
        <v>63</v>
      </c>
      <c r="B3581" s="8" t="s">
        <v>58</v>
      </c>
      <c r="C3581" s="8" t="str">
        <f>IFERROR(_xlfn.XLOOKUP(TRIM(B3581),Lookup!$B$2:$B$1000,Lookup!$C$2:$C$1000),"")</f>
        <v>Equity</v>
      </c>
      <c r="D3581" s="8" t="str">
        <f>IFERROR(INDEX('nav master'!$C:$C, MATCH(B3581, 'nav master'!$B:$B, 0)), "")</f>
        <v>ULIF 145 03/06/21 SustainEqu 105</v>
      </c>
      <c r="E3581" s="8">
        <v>15.2865</v>
      </c>
      <c r="F3581" s="9">
        <v>46127</v>
      </c>
    </row>
    <row r="3582" spans="1:6" ht="60" x14ac:dyDescent="0.25">
      <c r="A3582" s="8" t="s">
        <v>63</v>
      </c>
      <c r="B3582" s="8" t="s">
        <v>58</v>
      </c>
      <c r="C3582" s="8" t="str">
        <f>IFERROR(_xlfn.XLOOKUP(TRIM(B3582),Lookup!$B$2:$B$1000,Lookup!$C$2:$C$1000),"")</f>
        <v>Equity</v>
      </c>
      <c r="D3582" s="8" t="str">
        <f>IFERROR(INDEX('nav master'!$C:$C, MATCH(B3582, 'nav master'!$B:$B, 0)), "")</f>
        <v>ULIF 145 03/06/21 SustainEqu 105</v>
      </c>
      <c r="E3582" s="8">
        <v>15.321400000000001</v>
      </c>
      <c r="F3582" s="9">
        <v>46128</v>
      </c>
    </row>
    <row r="3583" spans="1:6" ht="60" x14ac:dyDescent="0.25">
      <c r="A3583" s="8" t="s">
        <v>63</v>
      </c>
      <c r="B3583" s="8" t="s">
        <v>58</v>
      </c>
      <c r="C3583" s="8" t="str">
        <f>IFERROR(_xlfn.XLOOKUP(TRIM(B3583),Lookup!$B$2:$B$1000,Lookup!$C$2:$C$1000),"")</f>
        <v>Equity</v>
      </c>
      <c r="D3583" s="8" t="str">
        <f>IFERROR(INDEX('nav master'!$C:$C, MATCH(B3583, 'nav master'!$B:$B, 0)), "")</f>
        <v>ULIF 145 03/06/21 SustainEqu 105</v>
      </c>
      <c r="E3583" s="8">
        <v>15.435499999999999</v>
      </c>
      <c r="F3583" s="9">
        <v>46129</v>
      </c>
    </row>
    <row r="3584" spans="1:6" ht="60" x14ac:dyDescent="0.25">
      <c r="A3584" s="8" t="s">
        <v>63</v>
      </c>
      <c r="B3584" s="8" t="s">
        <v>58</v>
      </c>
      <c r="C3584" s="8" t="str">
        <f>IFERROR(_xlfn.XLOOKUP(TRIM(B3584),Lookup!$B$2:$B$1000,Lookup!$C$2:$C$1000),"")</f>
        <v>Equity</v>
      </c>
      <c r="D3584" s="8" t="str">
        <f>IFERROR(INDEX('nav master'!$C:$C, MATCH(B3584, 'nav master'!$B:$B, 0)), "")</f>
        <v>ULIF 145 03/06/21 SustainEqu 105</v>
      </c>
      <c r="E3584" s="8">
        <v>15.4453</v>
      </c>
      <c r="F3584" s="9">
        <v>46132</v>
      </c>
    </row>
    <row r="3585" spans="1:6" ht="60" x14ac:dyDescent="0.25">
      <c r="A3585" s="8" t="s">
        <v>63</v>
      </c>
      <c r="B3585" s="8" t="s">
        <v>58</v>
      </c>
      <c r="C3585" s="8" t="str">
        <f>IFERROR(_xlfn.XLOOKUP(TRIM(B3585),Lookup!$B$2:$B$1000,Lookup!$C$2:$C$1000),"")</f>
        <v>Equity</v>
      </c>
      <c r="D3585" s="8" t="str">
        <f>IFERROR(INDEX('nav master'!$C:$C, MATCH(B3585, 'nav master'!$B:$B, 0)), "")</f>
        <v>ULIF 145 03/06/21 SustainEqu 105</v>
      </c>
      <c r="E3585" s="8">
        <v>15.565099999999999</v>
      </c>
      <c r="F3585" s="9">
        <v>46133</v>
      </c>
    </row>
    <row r="3586" spans="1:6" ht="60" x14ac:dyDescent="0.25">
      <c r="A3586" s="8" t="s">
        <v>63</v>
      </c>
      <c r="B3586" s="8" t="s">
        <v>58</v>
      </c>
      <c r="C3586" s="8" t="str">
        <f>IFERROR(_xlfn.XLOOKUP(TRIM(B3586),Lookup!$B$2:$B$1000,Lookup!$C$2:$C$1000),"")</f>
        <v>Equity</v>
      </c>
      <c r="D3586" s="8" t="str">
        <f>IFERROR(INDEX('nav master'!$C:$C, MATCH(B3586, 'nav master'!$B:$B, 0)), "")</f>
        <v>ULIF 145 03/06/21 SustainEqu 105</v>
      </c>
      <c r="E3586" s="8">
        <v>15.5023</v>
      </c>
      <c r="F3586" s="9">
        <v>46134</v>
      </c>
    </row>
    <row r="3587" spans="1:6" ht="60" x14ac:dyDescent="0.25">
      <c r="A3587" s="8" t="s">
        <v>63</v>
      </c>
      <c r="B3587" s="8" t="s">
        <v>58</v>
      </c>
      <c r="C3587" s="8" t="str">
        <f>IFERROR(_xlfn.XLOOKUP(TRIM(B3587),Lookup!$B$2:$B$1000,Lookup!$C$2:$C$1000),"")</f>
        <v>Equity</v>
      </c>
      <c r="D3587" s="8" t="str">
        <f>IFERROR(INDEX('nav master'!$C:$C, MATCH(B3587, 'nav master'!$B:$B, 0)), "")</f>
        <v>ULIF 145 03/06/21 SustainEqu 105</v>
      </c>
      <c r="E3587" s="8">
        <v>15.3691</v>
      </c>
      <c r="F3587" s="9">
        <v>46135</v>
      </c>
    </row>
    <row r="3588" spans="1:6" ht="60" x14ac:dyDescent="0.25">
      <c r="A3588" s="8" t="s">
        <v>63</v>
      </c>
      <c r="B3588" s="8" t="s">
        <v>58</v>
      </c>
      <c r="C3588" s="8" t="str">
        <f>IFERROR(_xlfn.XLOOKUP(TRIM(B3588),Lookup!$B$2:$B$1000,Lookup!$C$2:$C$1000),"")</f>
        <v>Equity</v>
      </c>
      <c r="D3588" s="8" t="str">
        <f>IFERROR(INDEX('nav master'!$C:$C, MATCH(B3588, 'nav master'!$B:$B, 0)), "")</f>
        <v>ULIF 145 03/06/21 SustainEqu 105</v>
      </c>
      <c r="E3588" s="8">
        <v>15.2105</v>
      </c>
      <c r="F3588" s="9">
        <v>46136</v>
      </c>
    </row>
    <row r="3589" spans="1:6" ht="60" x14ac:dyDescent="0.25">
      <c r="A3589" s="8" t="s">
        <v>63</v>
      </c>
      <c r="B3589" s="8" t="s">
        <v>58</v>
      </c>
      <c r="C3589" s="8" t="str">
        <f>IFERROR(_xlfn.XLOOKUP(TRIM(B3589),Lookup!$B$2:$B$1000,Lookup!$C$2:$C$1000),"")</f>
        <v>Equity</v>
      </c>
      <c r="D3589" s="8" t="str">
        <f>IFERROR(INDEX('nav master'!$C:$C, MATCH(B3589, 'nav master'!$B:$B, 0)), "")</f>
        <v>ULIF 145 03/06/21 SustainEqu 105</v>
      </c>
      <c r="E3589" s="8">
        <v>15.4009</v>
      </c>
      <c r="F3589" s="9">
        <v>46139</v>
      </c>
    </row>
    <row r="3590" spans="1:6" ht="60" x14ac:dyDescent="0.25">
      <c r="A3590" s="8" t="s">
        <v>63</v>
      </c>
      <c r="B3590" s="8" t="s">
        <v>58</v>
      </c>
      <c r="C3590" s="8" t="str">
        <f>IFERROR(_xlfn.XLOOKUP(TRIM(B3590),Lookup!$B$2:$B$1000,Lookup!$C$2:$C$1000),"")</f>
        <v>Equity</v>
      </c>
      <c r="D3590" s="8" t="str">
        <f>IFERROR(INDEX('nav master'!$C:$C, MATCH(B3590, 'nav master'!$B:$B, 0)), "")</f>
        <v>ULIF 145 03/06/21 SustainEqu 105</v>
      </c>
      <c r="E3590" s="8">
        <v>15.342599999999999</v>
      </c>
      <c r="F3590" s="9">
        <v>46140</v>
      </c>
    </row>
    <row r="3591" spans="1:6" ht="60" x14ac:dyDescent="0.25">
      <c r="A3591" s="8" t="s">
        <v>63</v>
      </c>
      <c r="B3591" s="8" t="s">
        <v>58</v>
      </c>
      <c r="C3591" s="8" t="str">
        <f>IFERROR(_xlfn.XLOOKUP(TRIM(B3591),Lookup!$B$2:$B$1000,Lookup!$C$2:$C$1000),"")</f>
        <v>Equity</v>
      </c>
      <c r="D3591" s="8" t="str">
        <f>IFERROR(INDEX('nav master'!$C:$C, MATCH(B3591, 'nav master'!$B:$B, 0)), "")</f>
        <v>ULIF 145 03/06/21 SustainEqu 105</v>
      </c>
      <c r="E3591" s="8">
        <v>15.4183</v>
      </c>
      <c r="F3591" s="9">
        <v>46141</v>
      </c>
    </row>
    <row r="3592" spans="1:6" ht="60" x14ac:dyDescent="0.25">
      <c r="A3592" s="8" t="s">
        <v>63</v>
      </c>
      <c r="B3592" s="8" t="s">
        <v>58</v>
      </c>
      <c r="C3592" s="8" t="str">
        <f>IFERROR(_xlfn.XLOOKUP(TRIM(B3592),Lookup!$B$2:$B$1000,Lookup!$C$2:$C$1000),"")</f>
        <v>Equity</v>
      </c>
      <c r="D3592" s="8" t="str">
        <f>IFERROR(INDEX('nav master'!$C:$C, MATCH(B3592, 'nav master'!$B:$B, 0)), "")</f>
        <v>ULIF 145 03/06/21 SustainEqu 105</v>
      </c>
      <c r="E3592" s="8">
        <v>15.2949</v>
      </c>
      <c r="F3592" s="9">
        <v>46142</v>
      </c>
    </row>
    <row r="3593" spans="1:6" ht="60" x14ac:dyDescent="0.25">
      <c r="A3593" s="8" t="s">
        <v>63</v>
      </c>
      <c r="B3593" s="8" t="s">
        <v>58</v>
      </c>
      <c r="C3593" s="8" t="str">
        <f>IFERROR(_xlfn.XLOOKUP(TRIM(B3593),Lookup!$B$2:$B$1000,Lookup!$C$2:$C$1000),"")</f>
        <v>Equity</v>
      </c>
      <c r="D3593" s="8" t="str">
        <f>IFERROR(INDEX('nav master'!$C:$C, MATCH(B3593, 'nav master'!$B:$B, 0)), "")</f>
        <v>ULIF 145 03/06/21 SustainEqu 105</v>
      </c>
      <c r="E3593" s="8">
        <v>15.3971</v>
      </c>
      <c r="F3593" s="9">
        <v>46146</v>
      </c>
    </row>
    <row r="3594" spans="1:6" ht="60" x14ac:dyDescent="0.25">
      <c r="A3594" s="8" t="s">
        <v>63</v>
      </c>
      <c r="B3594" s="8" t="s">
        <v>58</v>
      </c>
      <c r="C3594" s="8" t="str">
        <f>IFERROR(_xlfn.XLOOKUP(TRIM(B3594),Lookup!$B$2:$B$1000,Lookup!$C$2:$C$1000),"")</f>
        <v>Equity</v>
      </c>
      <c r="D3594" s="8" t="str">
        <f>IFERROR(INDEX('nav master'!$C:$C, MATCH(B3594, 'nav master'!$B:$B, 0)), "")</f>
        <v>ULIF 145 03/06/21 SustainEqu 105</v>
      </c>
      <c r="E3594" s="8">
        <v>15.3973</v>
      </c>
      <c r="F3594" s="9">
        <v>46147</v>
      </c>
    </row>
    <row r="3595" spans="1:6" ht="60" x14ac:dyDescent="0.25">
      <c r="A3595" s="8" t="s">
        <v>63</v>
      </c>
      <c r="B3595" s="8" t="s">
        <v>58</v>
      </c>
      <c r="C3595" s="8" t="str">
        <f>IFERROR(_xlfn.XLOOKUP(TRIM(B3595),Lookup!$B$2:$B$1000,Lookup!$C$2:$C$1000),"")</f>
        <v>Equity</v>
      </c>
      <c r="D3595" s="8" t="str">
        <f>IFERROR(INDEX('nav master'!$C:$C, MATCH(B3595, 'nav master'!$B:$B, 0)), "")</f>
        <v>ULIF 145 03/06/21 SustainEqu 105</v>
      </c>
      <c r="E3595" s="8">
        <v>15.5778</v>
      </c>
      <c r="F3595" s="9">
        <v>46148</v>
      </c>
    </row>
    <row r="3596" spans="1:6" ht="60" x14ac:dyDescent="0.25">
      <c r="A3596" s="8" t="s">
        <v>63</v>
      </c>
      <c r="B3596" s="8" t="s">
        <v>58</v>
      </c>
      <c r="C3596" s="8" t="str">
        <f>IFERROR(_xlfn.XLOOKUP(TRIM(B3596),Lookup!$B$2:$B$1000,Lookup!$C$2:$C$1000),"")</f>
        <v>Equity</v>
      </c>
      <c r="D3596" s="8" t="str">
        <f>IFERROR(INDEX('nav master'!$C:$C, MATCH(B3596, 'nav master'!$B:$B, 0)), "")</f>
        <v>ULIF 145 03/06/21 SustainEqu 105</v>
      </c>
      <c r="E3596" s="8">
        <v>15.638199999999999</v>
      </c>
      <c r="F3596" s="9">
        <v>46149</v>
      </c>
    </row>
    <row r="3597" spans="1:6" ht="60" x14ac:dyDescent="0.25">
      <c r="A3597" s="8" t="s">
        <v>63</v>
      </c>
      <c r="B3597" s="8" t="s">
        <v>58</v>
      </c>
      <c r="C3597" s="8" t="str">
        <f>IFERROR(_xlfn.XLOOKUP(TRIM(B3597),Lookup!$B$2:$B$1000,Lookup!$C$2:$C$1000),"")</f>
        <v>Equity</v>
      </c>
      <c r="D3597" s="8" t="str">
        <f>IFERROR(INDEX('nav master'!$C:$C, MATCH(B3597, 'nav master'!$B:$B, 0)), "")</f>
        <v>ULIF 145 03/06/21 SustainEqu 105</v>
      </c>
      <c r="E3597" s="8">
        <v>15.6174</v>
      </c>
      <c r="F3597" s="9">
        <v>46150</v>
      </c>
    </row>
    <row r="3598" spans="1:6" ht="60" x14ac:dyDescent="0.25">
      <c r="A3598" s="8" t="s">
        <v>63</v>
      </c>
      <c r="B3598" s="8" t="s">
        <v>58</v>
      </c>
      <c r="C3598" s="8" t="str">
        <f>IFERROR(_xlfn.XLOOKUP(TRIM(B3598),Lookup!$B$2:$B$1000,Lookup!$C$2:$C$1000),"")</f>
        <v>Equity</v>
      </c>
      <c r="D3598" s="8" t="str">
        <f>IFERROR(INDEX('nav master'!$C:$C, MATCH(B3598, 'nav master'!$B:$B, 0)), "")</f>
        <v>ULIF 145 03/06/21 SustainEqu 105</v>
      </c>
      <c r="E3598" s="8">
        <v>15.4056</v>
      </c>
      <c r="F3598" s="9">
        <v>46153</v>
      </c>
    </row>
    <row r="3599" spans="1:6" ht="60" x14ac:dyDescent="0.25">
      <c r="A3599" s="8" t="s">
        <v>63</v>
      </c>
      <c r="B3599" s="8" t="s">
        <v>58</v>
      </c>
      <c r="C3599" s="8" t="str">
        <f>IFERROR(_xlfn.XLOOKUP(TRIM(B3599),Lookup!$B$2:$B$1000,Lookup!$C$2:$C$1000),"")</f>
        <v>Equity</v>
      </c>
      <c r="D3599" s="8" t="str">
        <f>IFERROR(INDEX('nav master'!$C:$C, MATCH(B3599, 'nav master'!$B:$B, 0)), "")</f>
        <v>ULIF 145 03/06/21 SustainEqu 105</v>
      </c>
      <c r="E3599" s="8">
        <v>15.0601</v>
      </c>
      <c r="F3599" s="9">
        <v>46154</v>
      </c>
    </row>
    <row r="3600" spans="1:6" ht="60" x14ac:dyDescent="0.25">
      <c r="A3600" s="8" t="s">
        <v>63</v>
      </c>
      <c r="B3600" s="8" t="s">
        <v>58</v>
      </c>
      <c r="C3600" s="8" t="str">
        <f>IFERROR(_xlfn.XLOOKUP(TRIM(B3600),Lookup!$B$2:$B$1000,Lookup!$C$2:$C$1000),"")</f>
        <v>Equity</v>
      </c>
      <c r="D3600" s="8" t="str">
        <f>IFERROR(INDEX('nav master'!$C:$C, MATCH(B3600, 'nav master'!$B:$B, 0)), "")</f>
        <v>ULIF 145 03/06/21 SustainEqu 105</v>
      </c>
      <c r="E3600" s="8">
        <v>15.0923</v>
      </c>
      <c r="F3600" s="9">
        <v>46155</v>
      </c>
    </row>
    <row r="3601" spans="1:6" ht="60" x14ac:dyDescent="0.25">
      <c r="A3601" s="8" t="s">
        <v>63</v>
      </c>
      <c r="B3601" s="8" t="s">
        <v>58</v>
      </c>
      <c r="C3601" s="8" t="str">
        <f>IFERROR(_xlfn.XLOOKUP(TRIM(B3601),Lookup!$B$2:$B$1000,Lookup!$C$2:$C$1000),"")</f>
        <v>Equity</v>
      </c>
      <c r="D3601" s="8" t="str">
        <f>IFERROR(INDEX('nav master'!$C:$C, MATCH(B3601, 'nav master'!$B:$B, 0)), "")</f>
        <v>ULIF 145 03/06/21 SustainEqu 105</v>
      </c>
      <c r="E3601" s="8">
        <v>15.259499999999999</v>
      </c>
      <c r="F3601" s="9">
        <v>46156</v>
      </c>
    </row>
    <row r="3602" spans="1:6" ht="60" x14ac:dyDescent="0.25">
      <c r="A3602" s="8" t="s">
        <v>63</v>
      </c>
      <c r="B3602" s="8" t="s">
        <v>58</v>
      </c>
      <c r="C3602" s="8" t="str">
        <f>IFERROR(_xlfn.XLOOKUP(TRIM(B3602),Lookup!$B$2:$B$1000,Lookup!$C$2:$C$1000),"")</f>
        <v>Equity</v>
      </c>
      <c r="D3602" s="8" t="str">
        <f>IFERROR(INDEX('nav master'!$C:$C, MATCH(B3602, 'nav master'!$B:$B, 0)), "")</f>
        <v>ULIF 145 03/06/21 SustainEqu 105</v>
      </c>
      <c r="E3602" s="8">
        <v>15.190799999999999</v>
      </c>
      <c r="F3602" s="9">
        <v>46157</v>
      </c>
    </row>
    <row r="3603" spans="1:6" ht="60" x14ac:dyDescent="0.25">
      <c r="A3603" s="8" t="s">
        <v>63</v>
      </c>
      <c r="B3603" s="8" t="s">
        <v>58</v>
      </c>
      <c r="C3603" s="8" t="str">
        <f>IFERROR(_xlfn.XLOOKUP(TRIM(B3603),Lookup!$B$2:$B$1000,Lookup!$C$2:$C$1000),"")</f>
        <v>Equity</v>
      </c>
      <c r="D3603" s="8" t="str">
        <f>IFERROR(INDEX('nav master'!$C:$C, MATCH(B3603, 'nav master'!$B:$B, 0)), "")</f>
        <v>ULIF 145 03/06/21 SustainEqu 105</v>
      </c>
      <c r="E3603" s="8">
        <v>15.1425</v>
      </c>
      <c r="F3603" s="9">
        <v>46160</v>
      </c>
    </row>
    <row r="3604" spans="1:6" ht="60" x14ac:dyDescent="0.25">
      <c r="A3604" s="8" t="s">
        <v>63</v>
      </c>
      <c r="B3604" s="8" t="s">
        <v>58</v>
      </c>
      <c r="C3604" s="8" t="str">
        <f>IFERROR(_xlfn.XLOOKUP(TRIM(B3604),Lookup!$B$2:$B$1000,Lookup!$C$2:$C$1000),"")</f>
        <v>Equity</v>
      </c>
      <c r="D3604" s="8" t="str">
        <f>IFERROR(INDEX('nav master'!$C:$C, MATCH(B3604, 'nav master'!$B:$B, 0)), "")</f>
        <v>ULIF 145 03/06/21 SustainEqu 105</v>
      </c>
      <c r="E3604" s="8">
        <v>15.2377</v>
      </c>
      <c r="F3604" s="9">
        <v>46161</v>
      </c>
    </row>
    <row r="3605" spans="1:6" ht="60" x14ac:dyDescent="0.25">
      <c r="A3605" s="8" t="s">
        <v>63</v>
      </c>
      <c r="B3605" s="8" t="s">
        <v>58</v>
      </c>
      <c r="C3605" s="8" t="str">
        <f>IFERROR(_xlfn.XLOOKUP(TRIM(B3605),Lookup!$B$2:$B$1000,Lookup!$C$2:$C$1000),"")</f>
        <v>Equity</v>
      </c>
      <c r="D3605" s="8" t="str">
        <f>IFERROR(INDEX('nav master'!$C:$C, MATCH(B3605, 'nav master'!$B:$B, 0)), "")</f>
        <v>ULIF 145 03/06/21 SustainEqu 105</v>
      </c>
      <c r="E3605" s="8">
        <v>15.2667</v>
      </c>
      <c r="F3605" s="9">
        <v>46162</v>
      </c>
    </row>
    <row r="3606" spans="1:6" ht="60" x14ac:dyDescent="0.25">
      <c r="A3606" s="8" t="s">
        <v>63</v>
      </c>
      <c r="B3606" s="8" t="s">
        <v>58</v>
      </c>
      <c r="C3606" s="8" t="str">
        <f>IFERROR(_xlfn.XLOOKUP(TRIM(B3606),Lookup!$B$2:$B$1000,Lookup!$C$2:$C$1000),"")</f>
        <v>Equity</v>
      </c>
      <c r="D3606" s="8" t="str">
        <f>IFERROR(INDEX('nav master'!$C:$C, MATCH(B3606, 'nav master'!$B:$B, 0)), "")</f>
        <v>ULIF 145 03/06/21 SustainEqu 105</v>
      </c>
      <c r="E3606" s="8">
        <v>15.269</v>
      </c>
      <c r="F3606" s="9">
        <v>46163</v>
      </c>
    </row>
    <row r="3607" spans="1:6" ht="60" x14ac:dyDescent="0.25">
      <c r="A3607" s="8" t="s">
        <v>63</v>
      </c>
      <c r="B3607" s="8" t="s">
        <v>58</v>
      </c>
      <c r="C3607" s="8" t="str">
        <f>IFERROR(_xlfn.XLOOKUP(TRIM(B3607),Lookup!$B$2:$B$1000,Lookup!$C$2:$C$1000),"")</f>
        <v>Equity</v>
      </c>
      <c r="D3607" s="8" t="str">
        <f>IFERROR(INDEX('nav master'!$C:$C, MATCH(B3607, 'nav master'!$B:$B, 0)), "")</f>
        <v>ULIF 145 03/06/21 SustainEqu 105</v>
      </c>
      <c r="E3607" s="8">
        <v>15.310700000000001</v>
      </c>
      <c r="F3607" s="9">
        <v>46164</v>
      </c>
    </row>
    <row r="3608" spans="1:6" ht="60" x14ac:dyDescent="0.25">
      <c r="A3608" s="8" t="s">
        <v>63</v>
      </c>
      <c r="B3608" s="8" t="s">
        <v>58</v>
      </c>
      <c r="C3608" s="8" t="str">
        <f>IFERROR(_xlfn.XLOOKUP(TRIM(B3608),Lookup!$B$2:$B$1000,Lookup!$C$2:$C$1000),"")</f>
        <v>Equity</v>
      </c>
      <c r="D3608" s="8" t="str">
        <f>IFERROR(INDEX('nav master'!$C:$C, MATCH(B3608, 'nav master'!$B:$B, 0)), "")</f>
        <v>ULIF 145 03/06/21 SustainEqu 105</v>
      </c>
      <c r="E3608" s="8">
        <v>15.4726</v>
      </c>
      <c r="F3608" s="9">
        <v>46167</v>
      </c>
    </row>
    <row r="3609" spans="1:6" ht="60" x14ac:dyDescent="0.25">
      <c r="A3609" s="8" t="s">
        <v>63</v>
      </c>
      <c r="B3609" s="8" t="s">
        <v>58</v>
      </c>
      <c r="C3609" s="8" t="str">
        <f>IFERROR(_xlfn.XLOOKUP(TRIM(B3609),Lookup!$B$2:$B$1000,Lookup!$C$2:$C$1000),"")</f>
        <v>Equity</v>
      </c>
      <c r="D3609" s="8" t="str">
        <f>IFERROR(INDEX('nav master'!$C:$C, MATCH(B3609, 'nav master'!$B:$B, 0)), "")</f>
        <v>ULIF 145 03/06/21 SustainEqu 105</v>
      </c>
      <c r="E3609" s="8">
        <v>15.471399999999999</v>
      </c>
      <c r="F3609" s="9">
        <v>46168</v>
      </c>
    </row>
    <row r="3610" spans="1:6" ht="60" x14ac:dyDescent="0.25">
      <c r="A3610" s="8" t="s">
        <v>63</v>
      </c>
      <c r="B3610" s="8" t="s">
        <v>58</v>
      </c>
      <c r="C3610" s="8" t="str">
        <f>IFERROR(_xlfn.XLOOKUP(TRIM(B3610),Lookup!$B$2:$B$1000,Lookup!$C$2:$C$1000),"")</f>
        <v>Equity</v>
      </c>
      <c r="D3610" s="8" t="str">
        <f>IFERROR(INDEX('nav master'!$C:$C, MATCH(B3610, 'nav master'!$B:$B, 0)), "")</f>
        <v>ULIF 145 03/06/21 SustainEqu 105</v>
      </c>
      <c r="E3610" s="8">
        <v>15.571300000000001</v>
      </c>
      <c r="F3610" s="9">
        <v>46169</v>
      </c>
    </row>
    <row r="3611" spans="1:6" ht="60" x14ac:dyDescent="0.25">
      <c r="A3611" s="8" t="s">
        <v>63</v>
      </c>
      <c r="B3611" s="8" t="s">
        <v>58</v>
      </c>
      <c r="C3611" s="8" t="str">
        <f>IFERROR(_xlfn.XLOOKUP(TRIM(B3611),Lookup!$B$2:$B$1000,Lookup!$C$2:$C$1000),"")</f>
        <v>Equity</v>
      </c>
      <c r="D3611" s="8" t="str">
        <f>IFERROR(INDEX('nav master'!$C:$C, MATCH(B3611, 'nav master'!$B:$B, 0)), "")</f>
        <v>ULIF 145 03/06/21 SustainEqu 105</v>
      </c>
      <c r="E3611" s="8">
        <v>15.3316</v>
      </c>
      <c r="F3611" s="9">
        <v>46171</v>
      </c>
    </row>
    <row r="3612" spans="1:6" ht="60" x14ac:dyDescent="0.25">
      <c r="A3612" s="8" t="s">
        <v>63</v>
      </c>
      <c r="B3612" s="8" t="s">
        <v>58</v>
      </c>
      <c r="C3612" s="8" t="str">
        <f>IFERROR(_xlfn.XLOOKUP(TRIM(B3612),Lookup!$B$2:$B$1000,Lookup!$C$2:$C$1000),"")</f>
        <v>Equity</v>
      </c>
      <c r="D3612" s="8" t="str">
        <f>IFERROR(INDEX('nav master'!$C:$C, MATCH(B3612, 'nav master'!$B:$B, 0)), "")</f>
        <v>ULIF 145 03/06/21 SustainEqu 105</v>
      </c>
      <c r="E3612" s="8">
        <v>15.139099999999999</v>
      </c>
      <c r="F3612" s="9">
        <v>46174</v>
      </c>
    </row>
    <row r="3613" spans="1:6" ht="60" x14ac:dyDescent="0.25">
      <c r="A3613" s="8" t="s">
        <v>63</v>
      </c>
      <c r="B3613" s="8" t="s">
        <v>58</v>
      </c>
      <c r="C3613" s="8" t="str">
        <f>IFERROR(_xlfn.XLOOKUP(TRIM(B3613),Lookup!$B$2:$B$1000,Lookup!$C$2:$C$1000),"")</f>
        <v>Equity</v>
      </c>
      <c r="D3613" s="8" t="str">
        <f>IFERROR(INDEX('nav master'!$C:$C, MATCH(B3613, 'nav master'!$B:$B, 0)), "")</f>
        <v>ULIF 145 03/06/21 SustainEqu 105</v>
      </c>
      <c r="E3613" s="8">
        <v>15.185499999999999</v>
      </c>
      <c r="F3613" s="9">
        <v>46175</v>
      </c>
    </row>
    <row r="3614" spans="1:6" ht="60" x14ac:dyDescent="0.25">
      <c r="A3614" s="8" t="s">
        <v>63</v>
      </c>
      <c r="B3614" s="8" t="s">
        <v>58</v>
      </c>
      <c r="C3614" s="8" t="str">
        <f>IFERROR(_xlfn.XLOOKUP(TRIM(B3614),Lookup!$B$2:$B$1000,Lookup!$C$2:$C$1000),"")</f>
        <v>Equity</v>
      </c>
      <c r="D3614" s="8" t="str">
        <f>IFERROR(INDEX('nav master'!$C:$C, MATCH(B3614, 'nav master'!$B:$B, 0)), "")</f>
        <v>ULIF 145 03/06/21 SustainEqu 105</v>
      </c>
      <c r="E3614" s="8">
        <v>15.146699999999999</v>
      </c>
      <c r="F3614" s="9">
        <v>46176</v>
      </c>
    </row>
    <row r="3615" spans="1:6" ht="60" x14ac:dyDescent="0.25">
      <c r="A3615" s="8" t="s">
        <v>63</v>
      </c>
      <c r="B3615" s="8" t="s">
        <v>58</v>
      </c>
      <c r="C3615" s="8" t="str">
        <f>IFERROR(_xlfn.XLOOKUP(TRIM(B3615),Lookup!$B$2:$B$1000,Lookup!$C$2:$C$1000),"")</f>
        <v>Equity</v>
      </c>
      <c r="D3615" s="8" t="str">
        <f>IFERROR(INDEX('nav master'!$C:$C, MATCH(B3615, 'nav master'!$B:$B, 0)), "")</f>
        <v>ULIF 145 03/06/21 SustainEqu 105</v>
      </c>
      <c r="E3615" s="8">
        <v>15.198700000000001</v>
      </c>
      <c r="F3615" s="9">
        <v>46177</v>
      </c>
    </row>
    <row r="3616" spans="1:6" ht="60" x14ac:dyDescent="0.25">
      <c r="A3616" s="8" t="s">
        <v>63</v>
      </c>
      <c r="B3616" s="8" t="s">
        <v>58</v>
      </c>
      <c r="C3616" s="8" t="str">
        <f>IFERROR(_xlfn.XLOOKUP(TRIM(B3616),Lookup!$B$2:$B$1000,Lookup!$C$2:$C$1000),"")</f>
        <v>Equity</v>
      </c>
      <c r="D3616" s="8" t="str">
        <f>IFERROR(INDEX('nav master'!$C:$C, MATCH(B3616, 'nav master'!$B:$B, 0)), "")</f>
        <v>ULIF 145 03/06/21 SustainEqu 105</v>
      </c>
      <c r="E3616" s="8">
        <v>15.2029</v>
      </c>
      <c r="F3616" s="9">
        <v>46178</v>
      </c>
    </row>
    <row r="3617" spans="1:6" ht="60" x14ac:dyDescent="0.25">
      <c r="A3617" s="8" t="s">
        <v>63</v>
      </c>
      <c r="B3617" s="8" t="s">
        <v>58</v>
      </c>
      <c r="C3617" s="8" t="str">
        <f>IFERROR(_xlfn.XLOOKUP(TRIM(B3617),Lookup!$B$2:$B$1000,Lookup!$C$2:$C$1000),"")</f>
        <v>Equity</v>
      </c>
      <c r="D3617" s="8" t="str">
        <f>IFERROR(INDEX('nav master'!$C:$C, MATCH(B3617, 'nav master'!$B:$B, 0)), "")</f>
        <v>ULIF 145 03/06/21 SustainEqu 105</v>
      </c>
      <c r="E3617" s="8">
        <v>15.0213</v>
      </c>
      <c r="F3617" s="9">
        <v>46181</v>
      </c>
    </row>
    <row r="3618" spans="1:6" ht="60" x14ac:dyDescent="0.25">
      <c r="A3618" s="8" t="s">
        <v>63</v>
      </c>
      <c r="B3618" s="8" t="s">
        <v>58</v>
      </c>
      <c r="C3618" s="8" t="str">
        <f>IFERROR(_xlfn.XLOOKUP(TRIM(B3618),Lookup!$B$2:$B$1000,Lookup!$C$2:$C$1000),"")</f>
        <v>Equity</v>
      </c>
      <c r="D3618" s="8" t="str">
        <f>IFERROR(INDEX('nav master'!$C:$C, MATCH(B3618, 'nav master'!$B:$B, 0)), "")</f>
        <v>ULIF 145 03/06/21 SustainEqu 105</v>
      </c>
      <c r="E3618" s="8">
        <v>15.1068</v>
      </c>
      <c r="F3618" s="9">
        <v>46182</v>
      </c>
    </row>
    <row r="3619" spans="1:6" ht="60" x14ac:dyDescent="0.25">
      <c r="A3619" s="8" t="s">
        <v>63</v>
      </c>
      <c r="B3619" s="8" t="s">
        <v>58</v>
      </c>
      <c r="C3619" s="8" t="str">
        <f>IFERROR(_xlfn.XLOOKUP(TRIM(B3619),Lookup!$B$2:$B$1000,Lookup!$C$2:$C$1000),"")</f>
        <v>Equity</v>
      </c>
      <c r="D3619" s="8" t="str">
        <f>IFERROR(INDEX('nav master'!$C:$C, MATCH(B3619, 'nav master'!$B:$B, 0)), "")</f>
        <v>ULIF 145 03/06/21 SustainEqu 105</v>
      </c>
      <c r="E3619" s="8">
        <v>15.056100000000001</v>
      </c>
      <c r="F3619" s="9">
        <v>46183</v>
      </c>
    </row>
    <row r="3620" spans="1:6" ht="60" x14ac:dyDescent="0.25">
      <c r="A3620" s="8" t="s">
        <v>63</v>
      </c>
      <c r="B3620" s="8" t="s">
        <v>58</v>
      </c>
      <c r="C3620" s="8" t="str">
        <f>IFERROR(_xlfn.XLOOKUP(TRIM(B3620),Lookup!$B$2:$B$1000,Lookup!$C$2:$C$1000),"")</f>
        <v>Equity</v>
      </c>
      <c r="D3620" s="8" t="str">
        <f>IFERROR(INDEX('nav master'!$C:$C, MATCH(B3620, 'nav master'!$B:$B, 0)), "")</f>
        <v>ULIF 145 03/06/21 SustainEqu 105</v>
      </c>
      <c r="E3620" s="8">
        <v>15.003</v>
      </c>
      <c r="F3620" s="9">
        <v>46184</v>
      </c>
    </row>
    <row r="3621" spans="1:6" ht="60" x14ac:dyDescent="0.25">
      <c r="A3621" s="8" t="s">
        <v>63</v>
      </c>
      <c r="B3621" s="8" t="s">
        <v>58</v>
      </c>
      <c r="C3621" s="8" t="str">
        <f>IFERROR(_xlfn.XLOOKUP(TRIM(B3621),Lookup!$B$2:$B$1000,Lookup!$C$2:$C$1000),"")</f>
        <v>Equity</v>
      </c>
      <c r="D3621" s="8" t="str">
        <f>IFERROR(INDEX('nav master'!$C:$C, MATCH(B3621, 'nav master'!$B:$B, 0)), "")</f>
        <v>ULIF 145 03/06/21 SustainEqu 105</v>
      </c>
      <c r="E3621" s="8">
        <v>15.2682</v>
      </c>
      <c r="F3621" s="9">
        <v>46185</v>
      </c>
    </row>
    <row r="3622" spans="1:6" ht="60" x14ac:dyDescent="0.25">
      <c r="A3622" s="8" t="s">
        <v>63</v>
      </c>
      <c r="B3622" s="8" t="s">
        <v>58</v>
      </c>
      <c r="C3622" s="8" t="str">
        <f>IFERROR(_xlfn.XLOOKUP(TRIM(B3622),Lookup!$B$2:$B$1000,Lookup!$C$2:$C$1000),"")</f>
        <v>Equity</v>
      </c>
      <c r="D3622" s="8" t="str">
        <f>IFERROR(INDEX('nav master'!$C:$C, MATCH(B3622, 'nav master'!$B:$B, 0)), "")</f>
        <v>ULIF 145 03/06/21 SustainEqu 105</v>
      </c>
      <c r="E3622" s="8">
        <v>15.4839</v>
      </c>
      <c r="F3622" s="9">
        <v>46188</v>
      </c>
    </row>
    <row r="3623" spans="1:6" ht="60" x14ac:dyDescent="0.25">
      <c r="A3623" s="8" t="s">
        <v>63</v>
      </c>
      <c r="B3623" s="8" t="s">
        <v>58</v>
      </c>
      <c r="C3623" s="8" t="str">
        <f>IFERROR(_xlfn.XLOOKUP(TRIM(B3623),Lookup!$B$2:$B$1000,Lookup!$C$2:$C$1000),"")</f>
        <v>Equity</v>
      </c>
      <c r="D3623" s="8" t="str">
        <f>IFERROR(INDEX('nav master'!$C:$C, MATCH(B3623, 'nav master'!$B:$B, 0)), "")</f>
        <v>ULIF 145 03/06/21 SustainEqu 105</v>
      </c>
      <c r="E3623" s="8">
        <v>15.5571</v>
      </c>
      <c r="F3623" s="9">
        <v>46189</v>
      </c>
    </row>
    <row r="3624" spans="1:6" ht="60" x14ac:dyDescent="0.25">
      <c r="A3624" s="8" t="s">
        <v>63</v>
      </c>
      <c r="B3624" s="8" t="s">
        <v>58</v>
      </c>
      <c r="C3624" s="8" t="str">
        <f>IFERROR(_xlfn.XLOOKUP(TRIM(B3624),Lookup!$B$2:$B$1000,Lookup!$C$2:$C$1000),"")</f>
        <v>Equity</v>
      </c>
      <c r="D3624" s="8" t="str">
        <f>IFERROR(INDEX('nav master'!$C:$C, MATCH(B3624, 'nav master'!$B:$B, 0)), "")</f>
        <v>ULIF 145 03/06/21 SustainEqu 105</v>
      </c>
      <c r="E3624" s="8">
        <v>15.6364</v>
      </c>
      <c r="F3624" s="9">
        <v>46190</v>
      </c>
    </row>
    <row r="3625" spans="1:6" ht="60" x14ac:dyDescent="0.25">
      <c r="A3625" s="8" t="s">
        <v>63</v>
      </c>
      <c r="B3625" s="8" t="s">
        <v>58</v>
      </c>
      <c r="C3625" s="8" t="str">
        <f>IFERROR(_xlfn.XLOOKUP(TRIM(B3625),Lookup!$B$2:$B$1000,Lookup!$C$2:$C$1000),"")</f>
        <v>Equity</v>
      </c>
      <c r="D3625" s="8" t="str">
        <f>IFERROR(INDEX('nav master'!$C:$C, MATCH(B3625, 'nav master'!$B:$B, 0)), "")</f>
        <v>ULIF 145 03/06/21 SustainEqu 105</v>
      </c>
      <c r="E3625" s="8">
        <v>15.7019</v>
      </c>
      <c r="F3625" s="9">
        <v>46191</v>
      </c>
    </row>
    <row r="3626" spans="1:6" ht="60" x14ac:dyDescent="0.25">
      <c r="A3626" s="8" t="s">
        <v>63</v>
      </c>
      <c r="B3626" s="8" t="s">
        <v>58</v>
      </c>
      <c r="C3626" s="8" t="str">
        <f>IFERROR(_xlfn.XLOOKUP(TRIM(B3626),Lookup!$B$2:$B$1000,Lookup!$C$2:$C$1000),"")</f>
        <v>Equity</v>
      </c>
      <c r="D3626" s="8" t="str">
        <f>IFERROR(INDEX('nav master'!$C:$C, MATCH(B3626, 'nav master'!$B:$B, 0)), "")</f>
        <v>ULIF 145 03/06/21 SustainEqu 105</v>
      </c>
      <c r="E3626" s="8">
        <v>15.685499999999999</v>
      </c>
      <c r="F3626" s="9">
        <v>46192</v>
      </c>
    </row>
    <row r="3627" spans="1:6" ht="60" x14ac:dyDescent="0.25">
      <c r="A3627" s="8" t="s">
        <v>63</v>
      </c>
      <c r="B3627" s="8" t="s">
        <v>58</v>
      </c>
      <c r="C3627" s="8" t="str">
        <f>IFERROR(_xlfn.XLOOKUP(TRIM(B3627),Lookup!$B$2:$B$1000,Lookup!$C$2:$C$1000),"")</f>
        <v>Equity</v>
      </c>
      <c r="D3627" s="8" t="str">
        <f>IFERROR(INDEX('nav master'!$C:$C, MATCH(B3627, 'nav master'!$B:$B, 0)), "")</f>
        <v>ULIF 145 03/06/21 SustainEqu 105</v>
      </c>
      <c r="E3627" s="8">
        <v>15.753299999999999</v>
      </c>
      <c r="F3627" s="9">
        <v>46195</v>
      </c>
    </row>
    <row r="3628" spans="1:6" ht="60" x14ac:dyDescent="0.25">
      <c r="A3628" s="8" t="s">
        <v>63</v>
      </c>
      <c r="B3628" s="8" t="s">
        <v>58</v>
      </c>
      <c r="C3628" s="8" t="str">
        <f>IFERROR(_xlfn.XLOOKUP(TRIM(B3628),Lookup!$B$2:$B$1000,Lookup!$C$2:$C$1000),"")</f>
        <v>Equity</v>
      </c>
      <c r="D3628" s="8" t="str">
        <f>IFERROR(INDEX('nav master'!$C:$C, MATCH(B3628, 'nav master'!$B:$B, 0)), "")</f>
        <v>ULIF 145 03/06/21 SustainEqu 105</v>
      </c>
      <c r="E3628" s="8">
        <v>15.618600000000001</v>
      </c>
      <c r="F3628" s="9">
        <v>46196</v>
      </c>
    </row>
    <row r="3629" spans="1:6" ht="60" x14ac:dyDescent="0.25">
      <c r="A3629" s="8" t="s">
        <v>63</v>
      </c>
      <c r="B3629" s="8" t="s">
        <v>58</v>
      </c>
      <c r="C3629" s="8" t="str">
        <f>IFERROR(_xlfn.XLOOKUP(TRIM(B3629),Lookup!$B$2:$B$1000,Lookup!$C$2:$C$1000),"")</f>
        <v>Equity</v>
      </c>
      <c r="D3629" s="8" t="str">
        <f>IFERROR(INDEX('nav master'!$C:$C, MATCH(B3629, 'nav master'!$B:$B, 0)), "")</f>
        <v>ULIF 145 03/06/21 SustainEqu 105</v>
      </c>
      <c r="E3629" s="8">
        <v>15.672000000000001</v>
      </c>
      <c r="F3629" s="9">
        <v>46197</v>
      </c>
    </row>
    <row r="3630" spans="1:6" ht="60" x14ac:dyDescent="0.25">
      <c r="A3630" s="8" t="s">
        <v>63</v>
      </c>
      <c r="B3630" s="8" t="s">
        <v>58</v>
      </c>
      <c r="C3630" s="8" t="str">
        <f>IFERROR(_xlfn.XLOOKUP(TRIM(B3630),Lookup!$B$2:$B$1000,Lookup!$C$2:$C$1000),"")</f>
        <v>Equity</v>
      </c>
      <c r="D3630" s="8" t="str">
        <f>IFERROR(INDEX('nav master'!$C:$C, MATCH(B3630, 'nav master'!$B:$B, 0)), "")</f>
        <v>ULIF 145 03/06/21 SustainEqu 105</v>
      </c>
      <c r="E3630" s="8">
        <v>15.6838</v>
      </c>
      <c r="F3630" s="9">
        <v>46198</v>
      </c>
    </row>
    <row r="3631" spans="1:6" ht="60" x14ac:dyDescent="0.25">
      <c r="A3631" s="8" t="s">
        <v>63</v>
      </c>
      <c r="B3631" s="8" t="s">
        <v>58</v>
      </c>
      <c r="C3631" s="8" t="str">
        <f>IFERROR(_xlfn.XLOOKUP(TRIM(B3631),Lookup!$B$2:$B$1000,Lookup!$C$2:$C$1000),"")</f>
        <v>Equity</v>
      </c>
      <c r="D3631" s="8" t="str">
        <f>IFERROR(INDEX('nav master'!$C:$C, MATCH(B3631, 'nav master'!$B:$B, 0)), "")</f>
        <v>ULIF 145 03/06/21 SustainEqu 105</v>
      </c>
      <c r="E3631" s="8">
        <v>15.673500000000001</v>
      </c>
      <c r="F3631" s="9">
        <v>46202</v>
      </c>
    </row>
    <row r="3632" spans="1:6" ht="60" x14ac:dyDescent="0.25">
      <c r="A3632" s="8" t="s">
        <v>63</v>
      </c>
      <c r="B3632" s="8" t="s">
        <v>58</v>
      </c>
      <c r="C3632" s="8" t="str">
        <f>IFERROR(_xlfn.XLOOKUP(TRIM(B3632),Lookup!$B$2:$B$1000,Lookup!$C$2:$C$1000),"")</f>
        <v>Equity</v>
      </c>
      <c r="D3632" s="8" t="str">
        <f>IFERROR(INDEX('nav master'!$C:$C, MATCH(B3632, 'nav master'!$B:$B, 0)), "")</f>
        <v>ULIF 145 03/06/21 SustainEqu 105</v>
      </c>
      <c r="E3632" s="8">
        <v>15.6807</v>
      </c>
      <c r="F3632" s="9">
        <v>46203</v>
      </c>
    </row>
    <row r="3633" spans="1:6" ht="60" x14ac:dyDescent="0.25">
      <c r="A3633" s="8" t="s">
        <v>63</v>
      </c>
      <c r="B3633" s="8" t="s">
        <v>58</v>
      </c>
      <c r="C3633" s="8" t="str">
        <f>IFERROR(_xlfn.XLOOKUP(TRIM(B3633),Lookup!$B$2:$B$1000,Lookup!$C$2:$C$1000),"")</f>
        <v>Equity</v>
      </c>
      <c r="D3633" s="8" t="str">
        <f>IFERROR(INDEX('nav master'!$C:$C, MATCH(B3633, 'nav master'!$B:$B, 0)), "")</f>
        <v>ULIF 145 03/06/21 SustainEqu 105</v>
      </c>
      <c r="E3633" s="8">
        <v>15.7928</v>
      </c>
      <c r="F3633" s="9">
        <v>46204</v>
      </c>
    </row>
    <row r="3634" spans="1:6" ht="60" x14ac:dyDescent="0.25">
      <c r="A3634" s="8" t="s">
        <v>63</v>
      </c>
      <c r="B3634" s="8" t="s">
        <v>58</v>
      </c>
      <c r="C3634" s="8" t="str">
        <f>IFERROR(_xlfn.XLOOKUP(TRIM(B3634),Lookup!$B$2:$B$1000,Lookup!$C$2:$C$1000),"")</f>
        <v>Equity</v>
      </c>
      <c r="D3634" s="8" t="str">
        <f>IFERROR(INDEX('nav master'!$C:$C, MATCH(B3634, 'nav master'!$B:$B, 0)), "")</f>
        <v>ULIF 145 03/06/21 SustainEqu 105</v>
      </c>
      <c r="E3634" s="8">
        <v>15.887700000000001</v>
      </c>
      <c r="F3634" s="9">
        <v>46205</v>
      </c>
    </row>
    <row r="3635" spans="1:6" ht="60" x14ac:dyDescent="0.25">
      <c r="A3635" s="8" t="s">
        <v>63</v>
      </c>
      <c r="B3635" s="8" t="s">
        <v>58</v>
      </c>
      <c r="C3635" s="8" t="str">
        <f>IFERROR(_xlfn.XLOOKUP(TRIM(B3635),Lookup!$B$2:$B$1000,Lookup!$C$2:$C$1000),"")</f>
        <v>Equity</v>
      </c>
      <c r="D3635" s="8" t="str">
        <f>IFERROR(INDEX('nav master'!$C:$C, MATCH(B3635, 'nav master'!$B:$B, 0)), "")</f>
        <v>ULIF 145 03/06/21 SustainEqu 105</v>
      </c>
      <c r="E3635" s="8">
        <v>15.904999999999999</v>
      </c>
      <c r="F3635" s="9">
        <v>46206</v>
      </c>
    </row>
    <row r="3636" spans="1:6" ht="60" x14ac:dyDescent="0.25">
      <c r="A3636" s="8" t="s">
        <v>63</v>
      </c>
      <c r="B3636" s="8" t="s">
        <v>58</v>
      </c>
      <c r="C3636" s="8" t="str">
        <f>IFERROR(_xlfn.XLOOKUP(TRIM(B3636),Lookup!$B$2:$B$1000,Lookup!$C$2:$C$1000),"")</f>
        <v>Equity</v>
      </c>
      <c r="D3636" s="8" t="str">
        <f>IFERROR(INDEX('nav master'!$C:$C, MATCH(B3636, 'nav master'!$B:$B, 0)), "")</f>
        <v>ULIF 145 03/06/21 SustainEqu 105</v>
      </c>
      <c r="E3636" s="8">
        <v>15.9842</v>
      </c>
      <c r="F3636" s="9">
        <v>46209</v>
      </c>
    </row>
    <row r="3637" spans="1:6" ht="60" x14ac:dyDescent="0.25">
      <c r="A3637" s="8" t="s">
        <v>63</v>
      </c>
      <c r="B3637" s="8" t="s">
        <v>58</v>
      </c>
      <c r="C3637" s="8" t="str">
        <f>IFERROR(_xlfn.XLOOKUP(TRIM(B3637),Lookup!$B$2:$B$1000,Lookup!$C$2:$C$1000),"")</f>
        <v>Equity</v>
      </c>
      <c r="D3637" s="8" t="str">
        <f>IFERROR(INDEX('nav master'!$C:$C, MATCH(B3637, 'nav master'!$B:$B, 0)), "")</f>
        <v>ULIF 145 03/06/21 SustainEqu 105</v>
      </c>
      <c r="E3637" s="8">
        <v>15.946199999999999</v>
      </c>
      <c r="F3637" s="9">
        <v>46210</v>
      </c>
    </row>
    <row r="3638" spans="1:6" ht="60" x14ac:dyDescent="0.25">
      <c r="A3638" s="8" t="s">
        <v>63</v>
      </c>
      <c r="B3638" s="8" t="s">
        <v>58</v>
      </c>
      <c r="C3638" s="8" t="str">
        <f>IFERROR(_xlfn.XLOOKUP(TRIM(B3638),Lookup!$B$2:$B$1000,Lookup!$C$2:$C$1000),"")</f>
        <v>Equity</v>
      </c>
      <c r="D3638" s="8" t="str">
        <f>IFERROR(INDEX('nav master'!$C:$C, MATCH(B3638, 'nav master'!$B:$B, 0)), "")</f>
        <v>ULIF 145 03/06/21 SustainEqu 105</v>
      </c>
      <c r="E3638" s="8">
        <v>15.6913</v>
      </c>
      <c r="F3638" s="9">
        <v>46211</v>
      </c>
    </row>
    <row r="3639" spans="1:6" ht="60" x14ac:dyDescent="0.25">
      <c r="A3639" s="8" t="s">
        <v>63</v>
      </c>
      <c r="B3639" s="8" t="s">
        <v>58</v>
      </c>
      <c r="C3639" s="8" t="str">
        <f>IFERROR(_xlfn.XLOOKUP(TRIM(B3639),Lookup!$B$2:$B$1000,Lookup!$C$2:$C$1000),"")</f>
        <v>Equity</v>
      </c>
      <c r="D3639" s="8" t="str">
        <f>IFERROR(INDEX('nav master'!$C:$C, MATCH(B3639, 'nav master'!$B:$B, 0)), "")</f>
        <v>ULIF 145 03/06/21 SustainEqu 105</v>
      </c>
      <c r="E3639" s="8">
        <v>15.816599999999999</v>
      </c>
      <c r="F3639" s="9">
        <v>46212</v>
      </c>
    </row>
    <row r="3640" spans="1:6" ht="60" x14ac:dyDescent="0.25">
      <c r="A3640" s="8" t="s">
        <v>63</v>
      </c>
      <c r="B3640" s="8" t="s">
        <v>58</v>
      </c>
      <c r="C3640" s="8" t="str">
        <f>IFERROR(_xlfn.XLOOKUP(TRIM(B3640),Lookup!$B$2:$B$1000,Lookup!$C$2:$C$1000),"")</f>
        <v>Equity</v>
      </c>
      <c r="D3640" s="8" t="str">
        <f>IFERROR(INDEX('nav master'!$C:$C, MATCH(B3640, 'nav master'!$B:$B, 0)), "")</f>
        <v>ULIF 145 03/06/21 SustainEqu 105</v>
      </c>
      <c r="E3640" s="8">
        <v>15.9322</v>
      </c>
      <c r="F3640" s="9">
        <v>46213</v>
      </c>
    </row>
    <row r="3641" spans="1:6" ht="60" x14ac:dyDescent="0.25">
      <c r="A3641" s="8" t="s">
        <v>63</v>
      </c>
      <c r="B3641" s="8" t="s">
        <v>58</v>
      </c>
      <c r="C3641" s="8" t="str">
        <f>IFERROR(_xlfn.XLOOKUP(TRIM(B3641),Lookup!$B$2:$B$1000,Lookup!$C$2:$C$1000),"")</f>
        <v>Equity</v>
      </c>
      <c r="D3641" s="8" t="str">
        <f>IFERROR(INDEX('nav master'!$C:$C, MATCH(B3641, 'nav master'!$B:$B, 0)), "")</f>
        <v>ULIF 145 03/06/21 SustainEqu 105</v>
      </c>
      <c r="E3641" s="8">
        <v>15.934200000000001</v>
      </c>
      <c r="F3641" s="9">
        <v>46216</v>
      </c>
    </row>
    <row r="3642" spans="1:6" ht="60" x14ac:dyDescent="0.25">
      <c r="A3642" s="8" t="s">
        <v>63</v>
      </c>
      <c r="B3642" s="8" t="s">
        <v>58</v>
      </c>
      <c r="C3642" s="8" t="str">
        <f>IFERROR(_xlfn.XLOOKUP(TRIM(B3642),Lookup!$B$2:$B$1000,Lookup!$C$2:$C$1000),"")</f>
        <v>Equity</v>
      </c>
      <c r="D3642" s="8" t="str">
        <f>IFERROR(INDEX('nav master'!$C:$C, MATCH(B3642, 'nav master'!$B:$B, 0)), "")</f>
        <v>ULIF 145 03/06/21 SustainEqu 105</v>
      </c>
      <c r="E3642" s="8">
        <v>15.842599999999999</v>
      </c>
      <c r="F3642" s="9">
        <v>46217</v>
      </c>
    </row>
    <row r="3643" spans="1:6" ht="60" x14ac:dyDescent="0.25">
      <c r="A3643" s="8" t="s">
        <v>63</v>
      </c>
      <c r="B3643" s="8" t="s">
        <v>58</v>
      </c>
      <c r="C3643" s="8" t="str">
        <f>IFERROR(_xlfn.XLOOKUP(TRIM(B3643),Lookup!$B$2:$B$1000,Lookup!$C$2:$C$1000),"")</f>
        <v>Equity</v>
      </c>
      <c r="D3643" s="8" t="str">
        <f>IFERROR(INDEX('nav master'!$C:$C, MATCH(B3643, 'nav master'!$B:$B, 0)), "")</f>
        <v>ULIF 145 03/06/21 SustainEqu 105</v>
      </c>
      <c r="E3643" s="8">
        <v>15.921900000000001</v>
      </c>
      <c r="F3643" s="9">
        <v>46218</v>
      </c>
    </row>
    <row r="3644" spans="1:6" ht="60" x14ac:dyDescent="0.25">
      <c r="A3644" s="8" t="s">
        <v>63</v>
      </c>
      <c r="B3644" s="8" t="s">
        <v>58</v>
      </c>
      <c r="C3644" s="8" t="str">
        <f>IFERROR(_xlfn.XLOOKUP(TRIM(B3644),Lookup!$B$2:$B$1000,Lookup!$C$2:$C$1000),"")</f>
        <v>Equity</v>
      </c>
      <c r="D3644" s="8" t="str">
        <f>IFERROR(INDEX('nav master'!$C:$C, MATCH(B3644, 'nav master'!$B:$B, 0)), "")</f>
        <v>ULIF 145 03/06/21 SustainEqu 105</v>
      </c>
      <c r="E3644" s="8">
        <v>15.8947</v>
      </c>
      <c r="F3644" s="9">
        <v>46219</v>
      </c>
    </row>
    <row r="3645" spans="1:6" ht="60" x14ac:dyDescent="0.25">
      <c r="A3645" s="8" t="s">
        <v>63</v>
      </c>
      <c r="B3645" s="8" t="s">
        <v>58</v>
      </c>
      <c r="C3645" s="8" t="str">
        <f>IFERROR(_xlfn.XLOOKUP(TRIM(B3645),Lookup!$B$2:$B$1000,Lookup!$C$2:$C$1000),"")</f>
        <v>Equity</v>
      </c>
      <c r="D3645" s="8" t="str">
        <f>IFERROR(INDEX('nav master'!$C:$C, MATCH(B3645, 'nav master'!$B:$B, 0)), "")</f>
        <v>ULIF 145 03/06/21 SustainEqu 105</v>
      </c>
      <c r="E3645" s="8">
        <v>15.942600000000001</v>
      </c>
      <c r="F3645" s="9">
        <v>46220</v>
      </c>
    </row>
    <row r="3646" spans="1:6" ht="60" x14ac:dyDescent="0.25">
      <c r="A3646" s="8" t="s">
        <v>63</v>
      </c>
      <c r="B3646" s="8" t="s">
        <v>58</v>
      </c>
      <c r="C3646" s="8" t="str">
        <f>IFERROR(_xlfn.XLOOKUP(TRIM(B3646),Lookup!$B$2:$B$1000,Lookup!$C$2:$C$1000),"")</f>
        <v>Equity</v>
      </c>
      <c r="D3646" s="8" t="str">
        <f>IFERROR(INDEX('nav master'!$C:$C, MATCH(B3646, 'nav master'!$B:$B, 0)), "")</f>
        <v>ULIF 145 03/06/21 SustainEqu 105</v>
      </c>
      <c r="E3646" s="8">
        <v>15.9824</v>
      </c>
      <c r="F3646" s="9">
        <v>46223</v>
      </c>
    </row>
    <row r="3647" spans="1:6" ht="60" x14ac:dyDescent="0.25">
      <c r="A3647" s="8" t="s">
        <v>63</v>
      </c>
      <c r="B3647" s="8" t="s">
        <v>58</v>
      </c>
      <c r="C3647" s="8" t="str">
        <f>IFERROR(_xlfn.XLOOKUP(TRIM(B3647),Lookup!$B$2:$B$1000,Lookup!$C$2:$C$1000),"")</f>
        <v>Equity</v>
      </c>
      <c r="D3647" s="8" t="str">
        <f>IFERROR(INDEX('nav master'!$C:$C, MATCH(B3647, 'nav master'!$B:$B, 0)), "")</f>
        <v>ULIF 145 03/06/21 SustainEqu 105</v>
      </c>
      <c r="E3647" s="8">
        <v>15.9901</v>
      </c>
      <c r="F3647" s="9">
        <v>46224</v>
      </c>
    </row>
    <row r="3648" spans="1:6" ht="60" x14ac:dyDescent="0.25">
      <c r="A3648" s="8" t="s">
        <v>63</v>
      </c>
      <c r="B3648" s="8" t="s">
        <v>58</v>
      </c>
      <c r="C3648" s="8" t="str">
        <f>IFERROR(_xlfn.XLOOKUP(TRIM(B3648),Lookup!$B$2:$B$1000,Lookup!$C$2:$C$1000),"")</f>
        <v>Equity</v>
      </c>
      <c r="D3648" s="8" t="str">
        <f>IFERROR(INDEX('nav master'!$C:$C, MATCH(B3648, 'nav master'!$B:$B, 0)), "")</f>
        <v>ULIF 145 03/06/21 SustainEqu 105</v>
      </c>
      <c r="E3648" s="8">
        <v>15.8789</v>
      </c>
      <c r="F3648" s="9">
        <v>46225</v>
      </c>
    </row>
    <row r="3649" spans="1:6" ht="60" x14ac:dyDescent="0.25">
      <c r="A3649" s="8" t="s">
        <v>63</v>
      </c>
      <c r="B3649" s="8" t="s">
        <v>58</v>
      </c>
      <c r="C3649" s="8" t="str">
        <f>IFERROR(_xlfn.XLOOKUP(TRIM(B3649),Lookup!$B$2:$B$1000,Lookup!$C$2:$C$1000),"")</f>
        <v>Equity</v>
      </c>
      <c r="D3649" s="8" t="str">
        <f>IFERROR(INDEX('nav master'!$C:$C, MATCH(B3649, 'nav master'!$B:$B, 0)), "")</f>
        <v>ULIF 145 03/06/21 SustainEqu 105</v>
      </c>
      <c r="E3649" s="8">
        <v>15.7751</v>
      </c>
      <c r="F3649" s="9">
        <v>46226</v>
      </c>
    </row>
    <row r="3650" spans="1:6" ht="60" x14ac:dyDescent="0.25">
      <c r="A3650" s="8" t="s">
        <v>63</v>
      </c>
      <c r="B3650" s="8" t="s">
        <v>58</v>
      </c>
      <c r="C3650" s="8" t="str">
        <f>IFERROR(_xlfn.XLOOKUP(TRIM(B3650),Lookup!$B$2:$B$1000,Lookup!$C$2:$C$1000),"")</f>
        <v>Equity</v>
      </c>
      <c r="D3650" s="8" t="str">
        <f>IFERROR(INDEX('nav master'!$C:$C, MATCH(B3650, 'nav master'!$B:$B, 0)), "")</f>
        <v>ULIF 145 03/06/21 SustainEqu 105</v>
      </c>
      <c r="E3650" s="8">
        <v>15.700799999999999</v>
      </c>
      <c r="F3650" s="9">
        <v>46227</v>
      </c>
    </row>
    <row r="3651" spans="1:6" ht="60" x14ac:dyDescent="0.25">
      <c r="A3651" s="8" t="s">
        <v>63</v>
      </c>
      <c r="B3651" s="8" t="s">
        <v>58</v>
      </c>
      <c r="C3651" s="8" t="str">
        <f>IFERROR(_xlfn.XLOOKUP(TRIM(B3651),Lookup!$B$2:$B$1000,Lookup!$C$2:$C$1000),"")</f>
        <v>Equity</v>
      </c>
      <c r="D3651" s="8" t="str">
        <f>IFERROR(INDEX('nav master'!$C:$C, MATCH(B3651, 'nav master'!$B:$B, 0)), "")</f>
        <v>ULIF 145 03/06/21 SustainEqu 105</v>
      </c>
      <c r="E3651" s="8">
        <v>15.889200000000001</v>
      </c>
      <c r="F3651" s="9">
        <v>46230</v>
      </c>
    </row>
    <row r="3652" spans="1:6" ht="60" x14ac:dyDescent="0.25">
      <c r="A3652" s="8" t="s">
        <v>63</v>
      </c>
      <c r="B3652" s="8" t="s">
        <v>58</v>
      </c>
      <c r="C3652" s="8" t="str">
        <f>IFERROR(_xlfn.XLOOKUP(TRIM(B3652),Lookup!$B$2:$B$1000,Lookup!$C$2:$C$1000),"")</f>
        <v>Equity</v>
      </c>
      <c r="D3652" s="8" t="str">
        <f>IFERROR(INDEX('nav master'!$C:$C, MATCH(B3652, 'nav master'!$B:$B, 0)), "")</f>
        <v>ULIF 145 03/06/21 SustainEqu 105</v>
      </c>
      <c r="E3652" s="8">
        <v>15.9011</v>
      </c>
      <c r="F3652" s="9">
        <v>46231</v>
      </c>
    </row>
    <row r="3653" spans="1:6" ht="60" x14ac:dyDescent="0.25">
      <c r="A3653" s="8" t="s">
        <v>63</v>
      </c>
      <c r="B3653" s="8" t="s">
        <v>58</v>
      </c>
      <c r="C3653" s="8" t="str">
        <f>IFERROR(_xlfn.XLOOKUP(TRIM(B3653),Lookup!$B$2:$B$1000,Lookup!$C$2:$C$1000),"")</f>
        <v>Equity</v>
      </c>
      <c r="D3653" s="8" t="str">
        <f>IFERROR(INDEX('nav master'!$C:$C, MATCH(B3653, 'nav master'!$B:$B, 0)), "")</f>
        <v>ULIF 145 03/06/21 SustainEqu 105</v>
      </c>
      <c r="E3653" s="8">
        <v>16.092199999999998</v>
      </c>
      <c r="F3653" s="9">
        <v>46232</v>
      </c>
    </row>
    <row r="3654" spans="1:6" ht="60" x14ac:dyDescent="0.25">
      <c r="A3654" s="8" t="s">
        <v>63</v>
      </c>
      <c r="B3654" s="8" t="s">
        <v>58</v>
      </c>
      <c r="C3654" s="8" t="str">
        <f>IFERROR(_xlfn.XLOOKUP(TRIM(B3654),Lookup!$B$2:$B$1000,Lookup!$C$2:$C$1000),"")</f>
        <v>Equity</v>
      </c>
      <c r="D3654" s="8" t="str">
        <f>IFERROR(INDEX('nav master'!$C:$C, MATCH(B3654, 'nav master'!$B:$B, 0)), "")</f>
        <v>ULIF 145 03/06/21 SustainEqu 105</v>
      </c>
      <c r="E3654" s="8">
        <v>16.1235</v>
      </c>
      <c r="F3654" s="9">
        <v>46233</v>
      </c>
    </row>
    <row r="3655" spans="1:6" ht="60" x14ac:dyDescent="0.25">
      <c r="A3655" s="8" t="s">
        <v>63</v>
      </c>
      <c r="B3655" s="8" t="s">
        <v>58</v>
      </c>
      <c r="C3655" s="8" t="str">
        <f>IFERROR(_xlfn.XLOOKUP(TRIM(B3655),Lookup!$B$2:$B$1000,Lookup!$C$2:$C$1000),"")</f>
        <v>Equity</v>
      </c>
      <c r="D3655" s="8" t="str">
        <f>IFERROR(INDEX('nav master'!$C:$C, MATCH(B3655, 'nav master'!$B:$B, 0)), "")</f>
        <v>ULIF 145 03/06/21 SustainEqu 105</v>
      </c>
      <c r="E3655" s="8">
        <v>16.179200000000002</v>
      </c>
      <c r="F3655" s="9">
        <v>46234</v>
      </c>
    </row>
    <row r="3656" spans="1:6" ht="75" x14ac:dyDescent="0.25">
      <c r="A3656" s="8" t="s">
        <v>63</v>
      </c>
      <c r="B3656" s="11" t="s">
        <v>75</v>
      </c>
      <c r="C3656" s="8" t="str">
        <f>IFERROR(_xlfn.XLOOKUP(TRIM(B3656),Lookup!$B$2:$B$1000,Lookup!$C$2:$C$1000),"")</f>
        <v>Equity - Thematic (Consumption)</v>
      </c>
      <c r="D3656" s="8" t="str">
        <f>IFERROR(INDEX('nav master'!$C:$C, MATCH(B3656, 'nav master'!$B:$B, 0)), "")</f>
        <v>ULIF 088 31/03/25 TBC 110</v>
      </c>
      <c r="E3656" s="8">
        <v>11.371</v>
      </c>
      <c r="F3656" s="9">
        <v>45869</v>
      </c>
    </row>
    <row r="3657" spans="1:6" ht="75" x14ac:dyDescent="0.25">
      <c r="A3657" s="8" t="s">
        <v>63</v>
      </c>
      <c r="B3657" s="11" t="s">
        <v>75</v>
      </c>
      <c r="C3657" s="8" t="str">
        <f>IFERROR(_xlfn.XLOOKUP(TRIM(B3657),Lookup!$B$2:$B$1000,Lookup!$C$2:$C$1000),"")</f>
        <v>Equity - Thematic (Consumption)</v>
      </c>
      <c r="D3657" s="8" t="str">
        <f>IFERROR(INDEX('nav master'!$C:$C, MATCH(B3657, 'nav master'!$B:$B, 0)), "")</f>
        <v>ULIF 088 31/03/25 TBC 110</v>
      </c>
      <c r="E3657" s="8">
        <v>11.255599999999999</v>
      </c>
      <c r="F3657" s="9">
        <v>45870</v>
      </c>
    </row>
    <row r="3658" spans="1:6" ht="75" x14ac:dyDescent="0.25">
      <c r="A3658" s="8" t="s">
        <v>63</v>
      </c>
      <c r="B3658" s="11" t="s">
        <v>75</v>
      </c>
      <c r="C3658" s="8" t="str">
        <f>IFERROR(_xlfn.XLOOKUP(TRIM(B3658),Lookup!$B$2:$B$1000,Lookup!$C$2:$C$1000),"")</f>
        <v>Equity - Thematic (Consumption)</v>
      </c>
      <c r="D3658" s="8" t="str">
        <f>IFERROR(INDEX('nav master'!$C:$C, MATCH(B3658, 'nav master'!$B:$B, 0)), "")</f>
        <v>ULIF 088 31/03/25 TBC 110</v>
      </c>
      <c r="E3658" s="8">
        <v>11.333600000000001</v>
      </c>
      <c r="F3658" s="9">
        <v>45873</v>
      </c>
    </row>
    <row r="3659" spans="1:6" ht="75" x14ac:dyDescent="0.25">
      <c r="A3659" s="8" t="s">
        <v>63</v>
      </c>
      <c r="B3659" s="11" t="s">
        <v>75</v>
      </c>
      <c r="C3659" s="8" t="str">
        <f>IFERROR(_xlfn.XLOOKUP(TRIM(B3659),Lookup!$B$2:$B$1000,Lookup!$C$2:$C$1000),"")</f>
        <v>Equity - Thematic (Consumption)</v>
      </c>
      <c r="D3659" s="8" t="str">
        <f>IFERROR(INDEX('nav master'!$C:$C, MATCH(B3659, 'nav master'!$B:$B, 0)), "")</f>
        <v>ULIF 088 31/03/25 TBC 110</v>
      </c>
      <c r="E3659" s="8">
        <v>11.303699999999999</v>
      </c>
      <c r="F3659" s="9">
        <v>45874</v>
      </c>
    </row>
    <row r="3660" spans="1:6" ht="75" x14ac:dyDescent="0.25">
      <c r="A3660" s="8" t="s">
        <v>63</v>
      </c>
      <c r="B3660" s="11" t="s">
        <v>75</v>
      </c>
      <c r="C3660" s="8" t="str">
        <f>IFERROR(_xlfn.XLOOKUP(TRIM(B3660),Lookup!$B$2:$B$1000,Lookup!$C$2:$C$1000),"")</f>
        <v>Equity - Thematic (Consumption)</v>
      </c>
      <c r="D3660" s="8" t="str">
        <f>IFERROR(INDEX('nav master'!$C:$C, MATCH(B3660, 'nav master'!$B:$B, 0)), "")</f>
        <v>ULIF 088 31/03/25 TBC 110</v>
      </c>
      <c r="E3660" s="8">
        <v>11.2446</v>
      </c>
      <c r="F3660" s="9">
        <v>45875</v>
      </c>
    </row>
    <row r="3661" spans="1:6" ht="75" x14ac:dyDescent="0.25">
      <c r="A3661" s="8" t="s">
        <v>63</v>
      </c>
      <c r="B3661" s="11" t="s">
        <v>75</v>
      </c>
      <c r="C3661" s="8" t="str">
        <f>IFERROR(_xlfn.XLOOKUP(TRIM(B3661),Lookup!$B$2:$B$1000,Lookup!$C$2:$C$1000),"")</f>
        <v>Equity - Thematic (Consumption)</v>
      </c>
      <c r="D3661" s="8" t="str">
        <f>IFERROR(INDEX('nav master'!$C:$C, MATCH(B3661, 'nav master'!$B:$B, 0)), "")</f>
        <v>ULIF 088 31/03/25 TBC 110</v>
      </c>
      <c r="E3661" s="8">
        <v>11.295299999999999</v>
      </c>
      <c r="F3661" s="9">
        <v>45876</v>
      </c>
    </row>
    <row r="3662" spans="1:6" ht="75" x14ac:dyDescent="0.25">
      <c r="A3662" s="8" t="s">
        <v>63</v>
      </c>
      <c r="B3662" s="11" t="s">
        <v>75</v>
      </c>
      <c r="C3662" s="8" t="str">
        <f>IFERROR(_xlfn.XLOOKUP(TRIM(B3662),Lookup!$B$2:$B$1000,Lookup!$C$2:$C$1000),"")</f>
        <v>Equity - Thematic (Consumption)</v>
      </c>
      <c r="D3662" s="8" t="str">
        <f>IFERROR(INDEX('nav master'!$C:$C, MATCH(B3662, 'nav master'!$B:$B, 0)), "")</f>
        <v>ULIF 088 31/03/25 TBC 110</v>
      </c>
      <c r="E3662" s="8">
        <v>11.192600000000001</v>
      </c>
      <c r="F3662" s="9">
        <v>45877</v>
      </c>
    </row>
    <row r="3663" spans="1:6" ht="75" x14ac:dyDescent="0.25">
      <c r="A3663" s="8" t="s">
        <v>63</v>
      </c>
      <c r="B3663" s="11" t="s">
        <v>75</v>
      </c>
      <c r="C3663" s="8" t="str">
        <f>IFERROR(_xlfn.XLOOKUP(TRIM(B3663),Lookup!$B$2:$B$1000,Lookup!$C$2:$C$1000),"")</f>
        <v>Equity - Thematic (Consumption)</v>
      </c>
      <c r="D3663" s="8" t="str">
        <f>IFERROR(INDEX('nav master'!$C:$C, MATCH(B3663, 'nav master'!$B:$B, 0)), "")</f>
        <v>ULIF 088 31/03/25 TBC 110</v>
      </c>
      <c r="E3663" s="8">
        <v>11.299099999999999</v>
      </c>
      <c r="F3663" s="9">
        <v>45880</v>
      </c>
    </row>
    <row r="3664" spans="1:6" ht="75" x14ac:dyDescent="0.25">
      <c r="A3664" s="8" t="s">
        <v>63</v>
      </c>
      <c r="B3664" s="11" t="s">
        <v>75</v>
      </c>
      <c r="C3664" s="8" t="str">
        <f>IFERROR(_xlfn.XLOOKUP(TRIM(B3664),Lookup!$B$2:$B$1000,Lookup!$C$2:$C$1000),"")</f>
        <v>Equity - Thematic (Consumption)</v>
      </c>
      <c r="D3664" s="8" t="str">
        <f>IFERROR(INDEX('nav master'!$C:$C, MATCH(B3664, 'nav master'!$B:$B, 0)), "")</f>
        <v>ULIF 088 31/03/25 TBC 110</v>
      </c>
      <c r="E3664" s="8">
        <v>11.2973</v>
      </c>
      <c r="F3664" s="9">
        <v>45881</v>
      </c>
    </row>
    <row r="3665" spans="1:6" ht="75" x14ac:dyDescent="0.25">
      <c r="A3665" s="8" t="s">
        <v>63</v>
      </c>
      <c r="B3665" s="11" t="s">
        <v>75</v>
      </c>
      <c r="C3665" s="8" t="str">
        <f>IFERROR(_xlfn.XLOOKUP(TRIM(B3665),Lookup!$B$2:$B$1000,Lookup!$C$2:$C$1000),"")</f>
        <v>Equity - Thematic (Consumption)</v>
      </c>
      <c r="D3665" s="8" t="str">
        <f>IFERROR(INDEX('nav master'!$C:$C, MATCH(B3665, 'nav master'!$B:$B, 0)), "")</f>
        <v>ULIF 088 31/03/25 TBC 110</v>
      </c>
      <c r="E3665" s="8">
        <v>11.3598</v>
      </c>
      <c r="F3665" s="9">
        <v>45882</v>
      </c>
    </row>
    <row r="3666" spans="1:6" ht="75" x14ac:dyDescent="0.25">
      <c r="A3666" s="8" t="s">
        <v>63</v>
      </c>
      <c r="B3666" s="11" t="s">
        <v>75</v>
      </c>
      <c r="C3666" s="8" t="str">
        <f>IFERROR(_xlfn.XLOOKUP(TRIM(B3666),Lookup!$B$2:$B$1000,Lookup!$C$2:$C$1000),"")</f>
        <v>Equity - Thematic (Consumption)</v>
      </c>
      <c r="D3666" s="8" t="str">
        <f>IFERROR(INDEX('nav master'!$C:$C, MATCH(B3666, 'nav master'!$B:$B, 0)), "")</f>
        <v>ULIF 088 31/03/25 TBC 110</v>
      </c>
      <c r="E3666" s="8">
        <v>11.374499999999999</v>
      </c>
      <c r="F3666" s="9">
        <v>45883</v>
      </c>
    </row>
    <row r="3667" spans="1:6" ht="75" x14ac:dyDescent="0.25">
      <c r="A3667" s="8" t="s">
        <v>63</v>
      </c>
      <c r="B3667" s="11" t="s">
        <v>75</v>
      </c>
      <c r="C3667" s="8" t="str">
        <f>IFERROR(_xlfn.XLOOKUP(TRIM(B3667),Lookup!$B$2:$B$1000,Lookup!$C$2:$C$1000),"")</f>
        <v>Equity - Thematic (Consumption)</v>
      </c>
      <c r="D3667" s="8" t="str">
        <f>IFERROR(INDEX('nav master'!$C:$C, MATCH(B3667, 'nav master'!$B:$B, 0)), "")</f>
        <v>ULIF 088 31/03/25 TBC 110</v>
      </c>
      <c r="E3667" s="8">
        <v>11.5175</v>
      </c>
      <c r="F3667" s="9">
        <v>45887</v>
      </c>
    </row>
    <row r="3668" spans="1:6" ht="75" x14ac:dyDescent="0.25">
      <c r="A3668" s="8" t="s">
        <v>63</v>
      </c>
      <c r="B3668" s="11" t="s">
        <v>75</v>
      </c>
      <c r="C3668" s="8" t="str">
        <f>IFERROR(_xlfn.XLOOKUP(TRIM(B3668),Lookup!$B$2:$B$1000,Lookup!$C$2:$C$1000),"")</f>
        <v>Equity - Thematic (Consumption)</v>
      </c>
      <c r="D3668" s="8" t="str">
        <f>IFERROR(INDEX('nav master'!$C:$C, MATCH(B3668, 'nav master'!$B:$B, 0)), "")</f>
        <v>ULIF 088 31/03/25 TBC 110</v>
      </c>
      <c r="E3668" s="8">
        <v>11.5814</v>
      </c>
      <c r="F3668" s="9">
        <v>45888</v>
      </c>
    </row>
    <row r="3669" spans="1:6" ht="75" x14ac:dyDescent="0.25">
      <c r="A3669" s="8" t="s">
        <v>63</v>
      </c>
      <c r="B3669" s="11" t="s">
        <v>75</v>
      </c>
      <c r="C3669" s="8" t="str">
        <f>IFERROR(_xlfn.XLOOKUP(TRIM(B3669),Lookup!$B$2:$B$1000,Lookup!$C$2:$C$1000),"")</f>
        <v>Equity - Thematic (Consumption)</v>
      </c>
      <c r="D3669" s="8" t="str">
        <f>IFERROR(INDEX('nav master'!$C:$C, MATCH(B3669, 'nav master'!$B:$B, 0)), "")</f>
        <v>ULIF 088 31/03/25 TBC 110</v>
      </c>
      <c r="E3669" s="8">
        <v>11.674200000000001</v>
      </c>
      <c r="F3669" s="9">
        <v>45889</v>
      </c>
    </row>
    <row r="3670" spans="1:6" ht="75" x14ac:dyDescent="0.25">
      <c r="A3670" s="8" t="s">
        <v>63</v>
      </c>
      <c r="B3670" s="11" t="s">
        <v>75</v>
      </c>
      <c r="C3670" s="8" t="str">
        <f>IFERROR(_xlfn.XLOOKUP(TRIM(B3670),Lookup!$B$2:$B$1000,Lookup!$C$2:$C$1000),"")</f>
        <v>Equity - Thematic (Consumption)</v>
      </c>
      <c r="D3670" s="8" t="str">
        <f>IFERROR(INDEX('nav master'!$C:$C, MATCH(B3670, 'nav master'!$B:$B, 0)), "")</f>
        <v>ULIF 088 31/03/25 TBC 110</v>
      </c>
      <c r="E3670" s="8">
        <v>11.643800000000001</v>
      </c>
      <c r="F3670" s="9">
        <v>45890</v>
      </c>
    </row>
    <row r="3671" spans="1:6" ht="75" x14ac:dyDescent="0.25">
      <c r="A3671" s="8" t="s">
        <v>63</v>
      </c>
      <c r="B3671" s="11" t="s">
        <v>75</v>
      </c>
      <c r="C3671" s="8" t="str">
        <f>IFERROR(_xlfn.XLOOKUP(TRIM(B3671),Lookup!$B$2:$B$1000,Lookup!$C$2:$C$1000),"")</f>
        <v>Equity - Thematic (Consumption)</v>
      </c>
      <c r="D3671" s="8" t="str">
        <f>IFERROR(INDEX('nav master'!$C:$C, MATCH(B3671, 'nav master'!$B:$B, 0)), "")</f>
        <v>ULIF 088 31/03/25 TBC 110</v>
      </c>
      <c r="E3671" s="8">
        <v>11.600099999999999</v>
      </c>
      <c r="F3671" s="9">
        <v>45891</v>
      </c>
    </row>
    <row r="3672" spans="1:6" ht="75" x14ac:dyDescent="0.25">
      <c r="A3672" s="8" t="s">
        <v>63</v>
      </c>
      <c r="B3672" s="11" t="s">
        <v>75</v>
      </c>
      <c r="C3672" s="8" t="str">
        <f>IFERROR(_xlfn.XLOOKUP(TRIM(B3672),Lookup!$B$2:$B$1000,Lookup!$C$2:$C$1000),"")</f>
        <v>Equity - Thematic (Consumption)</v>
      </c>
      <c r="D3672" s="8" t="str">
        <f>IFERROR(INDEX('nav master'!$C:$C, MATCH(B3672, 'nav master'!$B:$B, 0)), "")</f>
        <v>ULIF 088 31/03/25 TBC 110</v>
      </c>
      <c r="E3672" s="8">
        <v>11.603999999999999</v>
      </c>
      <c r="F3672" s="9">
        <v>45894</v>
      </c>
    </row>
    <row r="3673" spans="1:6" ht="75" x14ac:dyDescent="0.25">
      <c r="A3673" s="8" t="s">
        <v>63</v>
      </c>
      <c r="B3673" s="11" t="s">
        <v>75</v>
      </c>
      <c r="C3673" s="8" t="str">
        <f>IFERROR(_xlfn.XLOOKUP(TRIM(B3673),Lookup!$B$2:$B$1000,Lookup!$C$2:$C$1000),"")</f>
        <v>Equity - Thematic (Consumption)</v>
      </c>
      <c r="D3673" s="8" t="str">
        <f>IFERROR(INDEX('nav master'!$C:$C, MATCH(B3673, 'nav master'!$B:$B, 0)), "")</f>
        <v>ULIF 088 31/03/25 TBC 110</v>
      </c>
      <c r="E3673" s="8">
        <v>11.4764</v>
      </c>
      <c r="F3673" s="9">
        <v>45895</v>
      </c>
    </row>
    <row r="3674" spans="1:6" ht="75" x14ac:dyDescent="0.25">
      <c r="A3674" s="8" t="s">
        <v>63</v>
      </c>
      <c r="B3674" s="11" t="s">
        <v>75</v>
      </c>
      <c r="C3674" s="8" t="str">
        <f>IFERROR(_xlfn.XLOOKUP(TRIM(B3674),Lookup!$B$2:$B$1000,Lookup!$C$2:$C$1000),"")</f>
        <v>Equity - Thematic (Consumption)</v>
      </c>
      <c r="D3674" s="8" t="str">
        <f>IFERROR(INDEX('nav master'!$C:$C, MATCH(B3674, 'nav master'!$B:$B, 0)), "")</f>
        <v>ULIF 088 31/03/25 TBC 110</v>
      </c>
      <c r="E3674" s="8">
        <v>11.352600000000001</v>
      </c>
      <c r="F3674" s="9">
        <v>45897</v>
      </c>
    </row>
    <row r="3675" spans="1:6" ht="75" x14ac:dyDescent="0.25">
      <c r="A3675" s="8" t="s">
        <v>63</v>
      </c>
      <c r="B3675" s="11" t="s">
        <v>75</v>
      </c>
      <c r="C3675" s="8" t="str">
        <f>IFERROR(_xlfn.XLOOKUP(TRIM(B3675),Lookup!$B$2:$B$1000,Lookup!$C$2:$C$1000),"")</f>
        <v>Equity - Thematic (Consumption)</v>
      </c>
      <c r="D3675" s="8" t="str">
        <f>IFERROR(INDEX('nav master'!$C:$C, MATCH(B3675, 'nav master'!$B:$B, 0)), "")</f>
        <v>ULIF 088 31/03/25 TBC 110</v>
      </c>
      <c r="E3675" s="8">
        <v>11.315799999999999</v>
      </c>
      <c r="F3675" s="9">
        <v>45898</v>
      </c>
    </row>
    <row r="3676" spans="1:6" ht="75" x14ac:dyDescent="0.25">
      <c r="A3676" s="8" t="s">
        <v>63</v>
      </c>
      <c r="B3676" s="11" t="s">
        <v>75</v>
      </c>
      <c r="C3676" s="8" t="str">
        <f>IFERROR(_xlfn.XLOOKUP(TRIM(B3676),Lookup!$B$2:$B$1000,Lookup!$C$2:$C$1000),"")</f>
        <v>Equity - Thematic (Consumption)</v>
      </c>
      <c r="D3676" s="8" t="str">
        <f>IFERROR(INDEX('nav master'!$C:$C, MATCH(B3676, 'nav master'!$B:$B, 0)), "")</f>
        <v>ULIF 088 31/03/25 TBC 110</v>
      </c>
      <c r="E3676" s="8">
        <v>11.4222</v>
      </c>
      <c r="F3676" s="9">
        <v>45901</v>
      </c>
    </row>
    <row r="3677" spans="1:6" ht="75" x14ac:dyDescent="0.25">
      <c r="A3677" s="8" t="s">
        <v>63</v>
      </c>
      <c r="B3677" s="11" t="s">
        <v>75</v>
      </c>
      <c r="C3677" s="8" t="str">
        <f>IFERROR(_xlfn.XLOOKUP(TRIM(B3677),Lookup!$B$2:$B$1000,Lookup!$C$2:$C$1000),"")</f>
        <v>Equity - Thematic (Consumption)</v>
      </c>
      <c r="D3677" s="8" t="str">
        <f>IFERROR(INDEX('nav master'!$C:$C, MATCH(B3677, 'nav master'!$B:$B, 0)), "")</f>
        <v>ULIF 088 31/03/25 TBC 110</v>
      </c>
      <c r="E3677" s="8">
        <v>11.4391</v>
      </c>
      <c r="F3677" s="9">
        <v>45902</v>
      </c>
    </row>
    <row r="3678" spans="1:6" ht="75" x14ac:dyDescent="0.25">
      <c r="A3678" s="8" t="s">
        <v>63</v>
      </c>
      <c r="B3678" s="11" t="s">
        <v>75</v>
      </c>
      <c r="C3678" s="8" t="str">
        <f>IFERROR(_xlfn.XLOOKUP(TRIM(B3678),Lookup!$B$2:$B$1000,Lookup!$C$2:$C$1000),"")</f>
        <v>Equity - Thematic (Consumption)</v>
      </c>
      <c r="D3678" s="8" t="str">
        <f>IFERROR(INDEX('nav master'!$C:$C, MATCH(B3678, 'nav master'!$B:$B, 0)), "")</f>
        <v>ULIF 088 31/03/25 TBC 110</v>
      </c>
      <c r="E3678" s="8">
        <v>11.527200000000001</v>
      </c>
      <c r="F3678" s="9">
        <v>45903</v>
      </c>
    </row>
    <row r="3679" spans="1:6" ht="75" x14ac:dyDescent="0.25">
      <c r="A3679" s="8" t="s">
        <v>63</v>
      </c>
      <c r="B3679" s="11" t="s">
        <v>75</v>
      </c>
      <c r="C3679" s="8" t="str">
        <f>IFERROR(_xlfn.XLOOKUP(TRIM(B3679),Lookup!$B$2:$B$1000,Lookup!$C$2:$C$1000),"")</f>
        <v>Equity - Thematic (Consumption)</v>
      </c>
      <c r="D3679" s="8" t="str">
        <f>IFERROR(INDEX('nav master'!$C:$C, MATCH(B3679, 'nav master'!$B:$B, 0)), "")</f>
        <v>ULIF 088 31/03/25 TBC 110</v>
      </c>
      <c r="E3679" s="8">
        <v>11.5084</v>
      </c>
      <c r="F3679" s="9">
        <v>45904</v>
      </c>
    </row>
    <row r="3680" spans="1:6" ht="75" x14ac:dyDescent="0.25">
      <c r="A3680" s="8" t="s">
        <v>63</v>
      </c>
      <c r="B3680" s="11" t="s">
        <v>75</v>
      </c>
      <c r="C3680" s="8" t="str">
        <f>IFERROR(_xlfn.XLOOKUP(TRIM(B3680),Lookup!$B$2:$B$1000,Lookup!$C$2:$C$1000),"")</f>
        <v>Equity - Thematic (Consumption)</v>
      </c>
      <c r="D3680" s="8" t="str">
        <f>IFERROR(INDEX('nav master'!$C:$C, MATCH(B3680, 'nav master'!$B:$B, 0)), "")</f>
        <v>ULIF 088 31/03/25 TBC 110</v>
      </c>
      <c r="E3680" s="8">
        <v>11.5108</v>
      </c>
      <c r="F3680" s="9">
        <v>45905</v>
      </c>
    </row>
    <row r="3681" spans="1:6" ht="75" x14ac:dyDescent="0.25">
      <c r="A3681" s="8" t="s">
        <v>63</v>
      </c>
      <c r="B3681" s="11" t="s">
        <v>75</v>
      </c>
      <c r="C3681" s="8" t="str">
        <f>IFERROR(_xlfn.XLOOKUP(TRIM(B3681),Lookup!$B$2:$B$1000,Lookup!$C$2:$C$1000),"")</f>
        <v>Equity - Thematic (Consumption)</v>
      </c>
      <c r="D3681" s="8" t="str">
        <f>IFERROR(INDEX('nav master'!$C:$C, MATCH(B3681, 'nav master'!$B:$B, 0)), "")</f>
        <v>ULIF 088 31/03/25 TBC 110</v>
      </c>
      <c r="E3681" s="8">
        <v>11.532400000000001</v>
      </c>
      <c r="F3681" s="9">
        <v>45908</v>
      </c>
    </row>
    <row r="3682" spans="1:6" ht="75" x14ac:dyDescent="0.25">
      <c r="A3682" s="8" t="s">
        <v>63</v>
      </c>
      <c r="B3682" s="11" t="s">
        <v>75</v>
      </c>
      <c r="C3682" s="8" t="str">
        <f>IFERROR(_xlfn.XLOOKUP(TRIM(B3682),Lookup!$B$2:$B$1000,Lookup!$C$2:$C$1000),"")</f>
        <v>Equity - Thematic (Consumption)</v>
      </c>
      <c r="D3682" s="8" t="str">
        <f>IFERROR(INDEX('nav master'!$C:$C, MATCH(B3682, 'nav master'!$B:$B, 0)), "")</f>
        <v>ULIF 088 31/03/25 TBC 110</v>
      </c>
      <c r="E3682" s="8">
        <v>11.5329</v>
      </c>
      <c r="F3682" s="9">
        <v>45909</v>
      </c>
    </row>
    <row r="3683" spans="1:6" ht="75" x14ac:dyDescent="0.25">
      <c r="A3683" s="8" t="s">
        <v>63</v>
      </c>
      <c r="B3683" s="11" t="s">
        <v>75</v>
      </c>
      <c r="C3683" s="8" t="str">
        <f>IFERROR(_xlfn.XLOOKUP(TRIM(B3683),Lookup!$B$2:$B$1000,Lookup!$C$2:$C$1000),"")</f>
        <v>Equity - Thematic (Consumption)</v>
      </c>
      <c r="D3683" s="8" t="str">
        <f>IFERROR(INDEX('nav master'!$C:$C, MATCH(B3683, 'nav master'!$B:$B, 0)), "")</f>
        <v>ULIF 088 31/03/25 TBC 110</v>
      </c>
      <c r="E3683" s="8">
        <v>11.530200000000001</v>
      </c>
      <c r="F3683" s="9">
        <v>45910</v>
      </c>
    </row>
    <row r="3684" spans="1:6" ht="75" x14ac:dyDescent="0.25">
      <c r="A3684" s="8" t="s">
        <v>63</v>
      </c>
      <c r="B3684" s="11" t="s">
        <v>75</v>
      </c>
      <c r="C3684" s="8" t="str">
        <f>IFERROR(_xlfn.XLOOKUP(TRIM(B3684),Lookup!$B$2:$B$1000,Lookup!$C$2:$C$1000),"")</f>
        <v>Equity - Thematic (Consumption)</v>
      </c>
      <c r="D3684" s="8" t="str">
        <f>IFERROR(INDEX('nav master'!$C:$C, MATCH(B3684, 'nav master'!$B:$B, 0)), "")</f>
        <v>ULIF 088 31/03/25 TBC 110</v>
      </c>
      <c r="E3684" s="8">
        <v>11.5297</v>
      </c>
      <c r="F3684" s="9">
        <v>45911</v>
      </c>
    </row>
    <row r="3685" spans="1:6" ht="75" x14ac:dyDescent="0.25">
      <c r="A3685" s="8" t="s">
        <v>63</v>
      </c>
      <c r="B3685" s="11" t="s">
        <v>75</v>
      </c>
      <c r="C3685" s="8" t="str">
        <f>IFERROR(_xlfn.XLOOKUP(TRIM(B3685),Lookup!$B$2:$B$1000,Lookup!$C$2:$C$1000),"")</f>
        <v>Equity - Thematic (Consumption)</v>
      </c>
      <c r="D3685" s="8" t="str">
        <f>IFERROR(INDEX('nav master'!$C:$C, MATCH(B3685, 'nav master'!$B:$B, 0)), "")</f>
        <v>ULIF 088 31/03/25 TBC 110</v>
      </c>
      <c r="E3685" s="8">
        <v>11.5465</v>
      </c>
      <c r="F3685" s="9">
        <v>45912</v>
      </c>
    </row>
    <row r="3686" spans="1:6" ht="75" x14ac:dyDescent="0.25">
      <c r="A3686" s="8" t="s">
        <v>63</v>
      </c>
      <c r="B3686" s="11" t="s">
        <v>75</v>
      </c>
      <c r="C3686" s="8" t="str">
        <f>IFERROR(_xlfn.XLOOKUP(TRIM(B3686),Lookup!$B$2:$B$1000,Lookup!$C$2:$C$1000),"")</f>
        <v>Equity - Thematic (Consumption)</v>
      </c>
      <c r="D3686" s="8" t="str">
        <f>IFERROR(INDEX('nav master'!$C:$C, MATCH(B3686, 'nav master'!$B:$B, 0)), "")</f>
        <v>ULIF 088 31/03/25 TBC 110</v>
      </c>
      <c r="E3686" s="8">
        <v>11.5481</v>
      </c>
      <c r="F3686" s="9">
        <v>45915</v>
      </c>
    </row>
    <row r="3687" spans="1:6" ht="75" x14ac:dyDescent="0.25">
      <c r="A3687" s="8" t="s">
        <v>63</v>
      </c>
      <c r="B3687" s="11" t="s">
        <v>75</v>
      </c>
      <c r="C3687" s="8" t="str">
        <f>IFERROR(_xlfn.XLOOKUP(TRIM(B3687),Lookup!$B$2:$B$1000,Lookup!$C$2:$C$1000),"")</f>
        <v>Equity - Thematic (Consumption)</v>
      </c>
      <c r="D3687" s="8" t="str">
        <f>IFERROR(INDEX('nav master'!$C:$C, MATCH(B3687, 'nav master'!$B:$B, 0)), "")</f>
        <v>ULIF 088 31/03/25 TBC 110</v>
      </c>
      <c r="E3687" s="8">
        <v>11.6012</v>
      </c>
      <c r="F3687" s="9">
        <v>45916</v>
      </c>
    </row>
    <row r="3688" spans="1:6" ht="75" x14ac:dyDescent="0.25">
      <c r="A3688" s="8" t="s">
        <v>63</v>
      </c>
      <c r="B3688" s="11" t="s">
        <v>75</v>
      </c>
      <c r="C3688" s="8" t="str">
        <f>IFERROR(_xlfn.XLOOKUP(TRIM(B3688),Lookup!$B$2:$B$1000,Lookup!$C$2:$C$1000),"")</f>
        <v>Equity - Thematic (Consumption)</v>
      </c>
      <c r="D3688" s="8" t="str">
        <f>IFERROR(INDEX('nav master'!$C:$C, MATCH(B3688, 'nav master'!$B:$B, 0)), "")</f>
        <v>ULIF 088 31/03/25 TBC 110</v>
      </c>
      <c r="E3688" s="8">
        <v>11.6516</v>
      </c>
      <c r="F3688" s="9">
        <v>45917</v>
      </c>
    </row>
    <row r="3689" spans="1:6" ht="75" x14ac:dyDescent="0.25">
      <c r="A3689" s="8" t="s">
        <v>63</v>
      </c>
      <c r="B3689" s="11" t="s">
        <v>75</v>
      </c>
      <c r="C3689" s="8" t="str">
        <f>IFERROR(_xlfn.XLOOKUP(TRIM(B3689),Lookup!$B$2:$B$1000,Lookup!$C$2:$C$1000),"")</f>
        <v>Equity - Thematic (Consumption)</v>
      </c>
      <c r="D3689" s="8" t="str">
        <f>IFERROR(INDEX('nav master'!$C:$C, MATCH(B3689, 'nav master'!$B:$B, 0)), "")</f>
        <v>ULIF 088 31/03/25 TBC 110</v>
      </c>
      <c r="E3689" s="8">
        <v>11.6692</v>
      </c>
      <c r="F3689" s="9">
        <v>45918</v>
      </c>
    </row>
    <row r="3690" spans="1:6" ht="75" x14ac:dyDescent="0.25">
      <c r="A3690" s="8" t="s">
        <v>63</v>
      </c>
      <c r="B3690" s="11" t="s">
        <v>75</v>
      </c>
      <c r="C3690" s="8" t="str">
        <f>IFERROR(_xlfn.XLOOKUP(TRIM(B3690),Lookup!$B$2:$B$1000,Lookup!$C$2:$C$1000),"")</f>
        <v>Equity - Thematic (Consumption)</v>
      </c>
      <c r="D3690" s="8" t="str">
        <f>IFERROR(INDEX('nav master'!$C:$C, MATCH(B3690, 'nav master'!$B:$B, 0)), "")</f>
        <v>ULIF 088 31/03/25 TBC 110</v>
      </c>
      <c r="E3690" s="8">
        <v>11.667400000000001</v>
      </c>
      <c r="F3690" s="9">
        <v>45919</v>
      </c>
    </row>
    <row r="3691" spans="1:6" ht="75" x14ac:dyDescent="0.25">
      <c r="A3691" s="8" t="s">
        <v>63</v>
      </c>
      <c r="B3691" s="11" t="s">
        <v>75</v>
      </c>
      <c r="C3691" s="8" t="str">
        <f>IFERROR(_xlfn.XLOOKUP(TRIM(B3691),Lookup!$B$2:$B$1000,Lookup!$C$2:$C$1000),"")</f>
        <v>Equity - Thematic (Consumption)</v>
      </c>
      <c r="D3691" s="8" t="str">
        <f>IFERROR(INDEX('nav master'!$C:$C, MATCH(B3691, 'nav master'!$B:$B, 0)), "")</f>
        <v>ULIF 088 31/03/25 TBC 110</v>
      </c>
      <c r="E3691" s="8">
        <v>11.653</v>
      </c>
      <c r="F3691" s="9">
        <v>45922</v>
      </c>
    </row>
    <row r="3692" spans="1:6" ht="75" x14ac:dyDescent="0.25">
      <c r="A3692" s="8" t="s">
        <v>63</v>
      </c>
      <c r="B3692" s="11" t="s">
        <v>75</v>
      </c>
      <c r="C3692" s="8" t="str">
        <f>IFERROR(_xlfn.XLOOKUP(TRIM(B3692),Lookup!$B$2:$B$1000,Lookup!$C$2:$C$1000),"")</f>
        <v>Equity - Thematic (Consumption)</v>
      </c>
      <c r="D3692" s="8" t="str">
        <f>IFERROR(INDEX('nav master'!$C:$C, MATCH(B3692, 'nav master'!$B:$B, 0)), "")</f>
        <v>ULIF 088 31/03/25 TBC 110</v>
      </c>
      <c r="E3692" s="8">
        <v>11.563599999999999</v>
      </c>
      <c r="F3692" s="9">
        <v>45923</v>
      </c>
    </row>
    <row r="3693" spans="1:6" ht="75" x14ac:dyDescent="0.25">
      <c r="A3693" s="8" t="s">
        <v>63</v>
      </c>
      <c r="B3693" s="11" t="s">
        <v>75</v>
      </c>
      <c r="C3693" s="8" t="str">
        <f>IFERROR(_xlfn.XLOOKUP(TRIM(B3693),Lookup!$B$2:$B$1000,Lookup!$C$2:$C$1000),"")</f>
        <v>Equity - Thematic (Consumption)</v>
      </c>
      <c r="D3693" s="8" t="str">
        <f>IFERROR(INDEX('nav master'!$C:$C, MATCH(B3693, 'nav master'!$B:$B, 0)), "")</f>
        <v>ULIF 088 31/03/25 TBC 110</v>
      </c>
      <c r="E3693" s="8">
        <v>11.4841</v>
      </c>
      <c r="F3693" s="9">
        <v>45924</v>
      </c>
    </row>
    <row r="3694" spans="1:6" ht="75" x14ac:dyDescent="0.25">
      <c r="A3694" s="8" t="s">
        <v>63</v>
      </c>
      <c r="B3694" s="11" t="s">
        <v>75</v>
      </c>
      <c r="C3694" s="8" t="str">
        <f>IFERROR(_xlfn.XLOOKUP(TRIM(B3694),Lookup!$B$2:$B$1000,Lookup!$C$2:$C$1000),"")</f>
        <v>Equity - Thematic (Consumption)</v>
      </c>
      <c r="D3694" s="8" t="str">
        <f>IFERROR(INDEX('nav master'!$C:$C, MATCH(B3694, 'nav master'!$B:$B, 0)), "")</f>
        <v>ULIF 088 31/03/25 TBC 110</v>
      </c>
      <c r="E3694" s="8">
        <v>11.398999999999999</v>
      </c>
      <c r="F3694" s="9">
        <v>45925</v>
      </c>
    </row>
    <row r="3695" spans="1:6" ht="75" x14ac:dyDescent="0.25">
      <c r="A3695" s="8" t="s">
        <v>63</v>
      </c>
      <c r="B3695" s="11" t="s">
        <v>75</v>
      </c>
      <c r="C3695" s="8" t="str">
        <f>IFERROR(_xlfn.XLOOKUP(TRIM(B3695),Lookup!$B$2:$B$1000,Lookup!$C$2:$C$1000),"")</f>
        <v>Equity - Thematic (Consumption)</v>
      </c>
      <c r="D3695" s="8" t="str">
        <f>IFERROR(INDEX('nav master'!$C:$C, MATCH(B3695, 'nav master'!$B:$B, 0)), "")</f>
        <v>ULIF 088 31/03/25 TBC 110</v>
      </c>
      <c r="E3695" s="8">
        <v>11.225199999999999</v>
      </c>
      <c r="F3695" s="9">
        <v>45926</v>
      </c>
    </row>
    <row r="3696" spans="1:6" ht="75" x14ac:dyDescent="0.25">
      <c r="A3696" s="8" t="s">
        <v>63</v>
      </c>
      <c r="B3696" s="11" t="s">
        <v>75</v>
      </c>
      <c r="C3696" s="8" t="str">
        <f>IFERROR(_xlfn.XLOOKUP(TRIM(B3696),Lookup!$B$2:$B$1000,Lookup!$C$2:$C$1000),"")</f>
        <v>Equity - Thematic (Consumption)</v>
      </c>
      <c r="D3696" s="8" t="str">
        <f>IFERROR(INDEX('nav master'!$C:$C, MATCH(B3696, 'nav master'!$B:$B, 0)), "")</f>
        <v>ULIF 088 31/03/25 TBC 110</v>
      </c>
      <c r="E3696" s="8">
        <v>11.24</v>
      </c>
      <c r="F3696" s="9">
        <v>45929</v>
      </c>
    </row>
    <row r="3697" spans="1:6" ht="75" x14ac:dyDescent="0.25">
      <c r="A3697" s="8" t="s">
        <v>63</v>
      </c>
      <c r="B3697" s="11" t="s">
        <v>75</v>
      </c>
      <c r="C3697" s="8" t="str">
        <f>IFERROR(_xlfn.XLOOKUP(TRIM(B3697),Lookup!$B$2:$B$1000,Lookup!$C$2:$C$1000),"")</f>
        <v>Equity - Thematic (Consumption)</v>
      </c>
      <c r="D3697" s="8" t="str">
        <f>IFERROR(INDEX('nav master'!$C:$C, MATCH(B3697, 'nav master'!$B:$B, 0)), "")</f>
        <v>ULIF 088 31/03/25 TBC 110</v>
      </c>
      <c r="E3697" s="8">
        <v>11.223800000000001</v>
      </c>
      <c r="F3697" s="9">
        <v>45930</v>
      </c>
    </row>
    <row r="3698" spans="1:6" ht="75" x14ac:dyDescent="0.25">
      <c r="A3698" s="8" t="s">
        <v>63</v>
      </c>
      <c r="B3698" s="11" t="s">
        <v>75</v>
      </c>
      <c r="C3698" s="8" t="str">
        <f>IFERROR(_xlfn.XLOOKUP(TRIM(B3698),Lookup!$B$2:$B$1000,Lookup!$C$2:$C$1000),"")</f>
        <v>Equity - Thematic (Consumption)</v>
      </c>
      <c r="D3698" s="8" t="str">
        <f>IFERROR(INDEX('nav master'!$C:$C, MATCH(B3698, 'nav master'!$B:$B, 0)), "")</f>
        <v>ULIF 088 31/03/25 TBC 110</v>
      </c>
      <c r="E3698" s="8">
        <v>11.303900000000001</v>
      </c>
      <c r="F3698" s="9">
        <v>45931</v>
      </c>
    </row>
    <row r="3699" spans="1:6" ht="75" x14ac:dyDescent="0.25">
      <c r="A3699" s="8" t="s">
        <v>63</v>
      </c>
      <c r="B3699" s="11" t="s">
        <v>75</v>
      </c>
      <c r="C3699" s="8" t="str">
        <f>IFERROR(_xlfn.XLOOKUP(TRIM(B3699),Lookup!$B$2:$B$1000,Lookup!$C$2:$C$1000),"")</f>
        <v>Equity - Thematic (Consumption)</v>
      </c>
      <c r="D3699" s="8" t="str">
        <f>IFERROR(INDEX('nav master'!$C:$C, MATCH(B3699, 'nav master'!$B:$B, 0)), "")</f>
        <v>ULIF 088 31/03/25 TBC 110</v>
      </c>
      <c r="E3699" s="8">
        <v>11.3596</v>
      </c>
      <c r="F3699" s="9">
        <v>45933</v>
      </c>
    </row>
    <row r="3700" spans="1:6" ht="75" x14ac:dyDescent="0.25">
      <c r="A3700" s="8" t="s">
        <v>63</v>
      </c>
      <c r="B3700" s="11" t="s">
        <v>75</v>
      </c>
      <c r="C3700" s="8" t="str">
        <f>IFERROR(_xlfn.XLOOKUP(TRIM(B3700),Lookup!$B$2:$B$1000,Lookup!$C$2:$C$1000),"")</f>
        <v>Equity - Thematic (Consumption)</v>
      </c>
      <c r="D3700" s="8" t="str">
        <f>IFERROR(INDEX('nav master'!$C:$C, MATCH(B3700, 'nav master'!$B:$B, 0)), "")</f>
        <v>ULIF 088 31/03/25 TBC 110</v>
      </c>
      <c r="E3700" s="8">
        <v>11.4659</v>
      </c>
      <c r="F3700" s="9">
        <v>45936</v>
      </c>
    </row>
    <row r="3701" spans="1:6" ht="75" x14ac:dyDescent="0.25">
      <c r="A3701" s="8" t="s">
        <v>63</v>
      </c>
      <c r="B3701" s="11" t="s">
        <v>75</v>
      </c>
      <c r="C3701" s="8" t="str">
        <f>IFERROR(_xlfn.XLOOKUP(TRIM(B3701),Lookup!$B$2:$B$1000,Lookup!$C$2:$C$1000),"")</f>
        <v>Equity - Thematic (Consumption)</v>
      </c>
      <c r="D3701" s="8" t="str">
        <f>IFERROR(INDEX('nav master'!$C:$C, MATCH(B3701, 'nav master'!$B:$B, 0)), "")</f>
        <v>ULIF 088 31/03/25 TBC 110</v>
      </c>
      <c r="E3701" s="8">
        <v>11.4841</v>
      </c>
      <c r="F3701" s="9">
        <v>45937</v>
      </c>
    </row>
    <row r="3702" spans="1:6" ht="75" x14ac:dyDescent="0.25">
      <c r="A3702" s="8" t="s">
        <v>63</v>
      </c>
      <c r="B3702" s="11" t="s">
        <v>75</v>
      </c>
      <c r="C3702" s="8" t="str">
        <f>IFERROR(_xlfn.XLOOKUP(TRIM(B3702),Lookup!$B$2:$B$1000,Lookup!$C$2:$C$1000),"")</f>
        <v>Equity - Thematic (Consumption)</v>
      </c>
      <c r="D3702" s="8" t="str">
        <f>IFERROR(INDEX('nav master'!$C:$C, MATCH(B3702, 'nav master'!$B:$B, 0)), "")</f>
        <v>ULIF 088 31/03/25 TBC 110</v>
      </c>
      <c r="E3702" s="8">
        <v>11.457800000000001</v>
      </c>
      <c r="F3702" s="9">
        <v>45938</v>
      </c>
    </row>
    <row r="3703" spans="1:6" ht="75" x14ac:dyDescent="0.25">
      <c r="A3703" s="8" t="s">
        <v>63</v>
      </c>
      <c r="B3703" s="11" t="s">
        <v>75</v>
      </c>
      <c r="C3703" s="8" t="str">
        <f>IFERROR(_xlfn.XLOOKUP(TRIM(B3703),Lookup!$B$2:$B$1000,Lookup!$C$2:$C$1000),"")</f>
        <v>Equity - Thematic (Consumption)</v>
      </c>
      <c r="D3703" s="8" t="str">
        <f>IFERROR(INDEX('nav master'!$C:$C, MATCH(B3703, 'nav master'!$B:$B, 0)), "")</f>
        <v>ULIF 088 31/03/25 TBC 110</v>
      </c>
      <c r="E3703" s="8">
        <v>11.5207</v>
      </c>
      <c r="F3703" s="9">
        <v>45939</v>
      </c>
    </row>
    <row r="3704" spans="1:6" ht="75" x14ac:dyDescent="0.25">
      <c r="A3704" s="8" t="s">
        <v>63</v>
      </c>
      <c r="B3704" s="11" t="s">
        <v>75</v>
      </c>
      <c r="C3704" s="8" t="str">
        <f>IFERROR(_xlfn.XLOOKUP(TRIM(B3704),Lookup!$B$2:$B$1000,Lookup!$C$2:$C$1000),"")</f>
        <v>Equity - Thematic (Consumption)</v>
      </c>
      <c r="D3704" s="8" t="str">
        <f>IFERROR(INDEX('nav master'!$C:$C, MATCH(B3704, 'nav master'!$B:$B, 0)), "")</f>
        <v>ULIF 088 31/03/25 TBC 110</v>
      </c>
      <c r="E3704" s="8">
        <v>11.5525</v>
      </c>
      <c r="F3704" s="9">
        <v>45940</v>
      </c>
    </row>
    <row r="3705" spans="1:6" ht="75" x14ac:dyDescent="0.25">
      <c r="A3705" s="8" t="s">
        <v>63</v>
      </c>
      <c r="B3705" s="11" t="s">
        <v>75</v>
      </c>
      <c r="C3705" s="8" t="str">
        <f>IFERROR(_xlfn.XLOOKUP(TRIM(B3705),Lookup!$B$2:$B$1000,Lookup!$C$2:$C$1000),"")</f>
        <v>Equity - Thematic (Consumption)</v>
      </c>
      <c r="D3705" s="8" t="str">
        <f>IFERROR(INDEX('nav master'!$C:$C, MATCH(B3705, 'nav master'!$B:$B, 0)), "")</f>
        <v>ULIF 088 31/03/25 TBC 110</v>
      </c>
      <c r="E3705" s="8">
        <v>11.562799999999999</v>
      </c>
      <c r="F3705" s="9">
        <v>45943</v>
      </c>
    </row>
    <row r="3706" spans="1:6" ht="75" x14ac:dyDescent="0.25">
      <c r="A3706" s="8" t="s">
        <v>63</v>
      </c>
      <c r="B3706" s="11" t="s">
        <v>75</v>
      </c>
      <c r="C3706" s="8" t="str">
        <f>IFERROR(_xlfn.XLOOKUP(TRIM(B3706),Lookup!$B$2:$B$1000,Lookup!$C$2:$C$1000),"")</f>
        <v>Equity - Thematic (Consumption)</v>
      </c>
      <c r="D3706" s="8" t="str">
        <f>IFERROR(INDEX('nav master'!$C:$C, MATCH(B3706, 'nav master'!$B:$B, 0)), "")</f>
        <v>ULIF 088 31/03/25 TBC 110</v>
      </c>
      <c r="E3706" s="8">
        <v>11.5359</v>
      </c>
      <c r="F3706" s="9">
        <v>45944</v>
      </c>
    </row>
    <row r="3707" spans="1:6" ht="75" x14ac:dyDescent="0.25">
      <c r="A3707" s="8" t="s">
        <v>63</v>
      </c>
      <c r="B3707" s="11" t="s">
        <v>75</v>
      </c>
      <c r="C3707" s="8" t="str">
        <f>IFERROR(_xlfn.XLOOKUP(TRIM(B3707),Lookup!$B$2:$B$1000,Lookup!$C$2:$C$1000),"")</f>
        <v>Equity - Thematic (Consumption)</v>
      </c>
      <c r="D3707" s="8" t="str">
        <f>IFERROR(INDEX('nav master'!$C:$C, MATCH(B3707, 'nav master'!$B:$B, 0)), "")</f>
        <v>ULIF 088 31/03/25 TBC 110</v>
      </c>
      <c r="E3707" s="8">
        <v>11.6096</v>
      </c>
      <c r="F3707" s="9">
        <v>45945</v>
      </c>
    </row>
    <row r="3708" spans="1:6" ht="75" x14ac:dyDescent="0.25">
      <c r="A3708" s="8" t="s">
        <v>63</v>
      </c>
      <c r="B3708" s="11" t="s">
        <v>75</v>
      </c>
      <c r="C3708" s="8" t="str">
        <f>IFERROR(_xlfn.XLOOKUP(TRIM(B3708),Lookup!$B$2:$B$1000,Lookup!$C$2:$C$1000),"")</f>
        <v>Equity - Thematic (Consumption)</v>
      </c>
      <c r="D3708" s="8" t="str">
        <f>IFERROR(INDEX('nav master'!$C:$C, MATCH(B3708, 'nav master'!$B:$B, 0)), "")</f>
        <v>ULIF 088 31/03/25 TBC 110</v>
      </c>
      <c r="E3708" s="8">
        <v>11.6805</v>
      </c>
      <c r="F3708" s="9">
        <v>45946</v>
      </c>
    </row>
    <row r="3709" spans="1:6" ht="75" x14ac:dyDescent="0.25">
      <c r="A3709" s="8" t="s">
        <v>63</v>
      </c>
      <c r="B3709" s="11" t="s">
        <v>75</v>
      </c>
      <c r="C3709" s="8" t="str">
        <f>IFERROR(_xlfn.XLOOKUP(TRIM(B3709),Lookup!$B$2:$B$1000,Lookup!$C$2:$C$1000),"")</f>
        <v>Equity - Thematic (Consumption)</v>
      </c>
      <c r="D3709" s="8" t="str">
        <f>IFERROR(INDEX('nav master'!$C:$C, MATCH(B3709, 'nav master'!$B:$B, 0)), "")</f>
        <v>ULIF 088 31/03/25 TBC 110</v>
      </c>
      <c r="E3709" s="8">
        <v>11.719099999999999</v>
      </c>
      <c r="F3709" s="9">
        <v>45947</v>
      </c>
    </row>
    <row r="3710" spans="1:6" ht="75" x14ac:dyDescent="0.25">
      <c r="A3710" s="8" t="s">
        <v>63</v>
      </c>
      <c r="B3710" s="11" t="s">
        <v>75</v>
      </c>
      <c r="C3710" s="8" t="str">
        <f>IFERROR(_xlfn.XLOOKUP(TRIM(B3710),Lookup!$B$2:$B$1000,Lookup!$C$2:$C$1000),"")</f>
        <v>Equity - Thematic (Consumption)</v>
      </c>
      <c r="D3710" s="8" t="str">
        <f>IFERROR(INDEX('nav master'!$C:$C, MATCH(B3710, 'nav master'!$B:$B, 0)), "")</f>
        <v>ULIF 088 31/03/25 TBC 110</v>
      </c>
      <c r="E3710" s="8">
        <v>11.730700000000001</v>
      </c>
      <c r="F3710" s="9">
        <v>45950</v>
      </c>
    </row>
    <row r="3711" spans="1:6" ht="75" x14ac:dyDescent="0.25">
      <c r="A3711" s="8" t="s">
        <v>63</v>
      </c>
      <c r="B3711" s="11" t="s">
        <v>75</v>
      </c>
      <c r="C3711" s="8" t="str">
        <f>IFERROR(_xlfn.XLOOKUP(TRIM(B3711),Lookup!$B$2:$B$1000,Lookup!$C$2:$C$1000),"")</f>
        <v>Equity - Thematic (Consumption)</v>
      </c>
      <c r="D3711" s="8" t="str">
        <f>IFERROR(INDEX('nav master'!$C:$C, MATCH(B3711, 'nav master'!$B:$B, 0)), "")</f>
        <v>ULIF 088 31/03/25 TBC 110</v>
      </c>
      <c r="E3711" s="8">
        <v>11.7311</v>
      </c>
      <c r="F3711" s="9">
        <v>45953</v>
      </c>
    </row>
    <row r="3712" spans="1:6" ht="75" x14ac:dyDescent="0.25">
      <c r="A3712" s="8" t="s">
        <v>63</v>
      </c>
      <c r="B3712" s="11" t="s">
        <v>75</v>
      </c>
      <c r="C3712" s="8" t="str">
        <f>IFERROR(_xlfn.XLOOKUP(TRIM(B3712),Lookup!$B$2:$B$1000,Lookup!$C$2:$C$1000),"")</f>
        <v>Equity - Thematic (Consumption)</v>
      </c>
      <c r="D3712" s="8" t="str">
        <f>IFERROR(INDEX('nav master'!$C:$C, MATCH(B3712, 'nav master'!$B:$B, 0)), "")</f>
        <v>ULIF 088 31/03/25 TBC 110</v>
      </c>
      <c r="E3712" s="8">
        <v>11.662699999999999</v>
      </c>
      <c r="F3712" s="9">
        <v>45954</v>
      </c>
    </row>
    <row r="3713" spans="1:6" ht="75" x14ac:dyDescent="0.25">
      <c r="A3713" s="8" t="s">
        <v>63</v>
      </c>
      <c r="B3713" s="11" t="s">
        <v>75</v>
      </c>
      <c r="C3713" s="8" t="str">
        <f>IFERROR(_xlfn.XLOOKUP(TRIM(B3713),Lookup!$B$2:$B$1000,Lookup!$C$2:$C$1000),"")</f>
        <v>Equity - Thematic (Consumption)</v>
      </c>
      <c r="D3713" s="8" t="str">
        <f>IFERROR(INDEX('nav master'!$C:$C, MATCH(B3713, 'nav master'!$B:$B, 0)), "")</f>
        <v>ULIF 088 31/03/25 TBC 110</v>
      </c>
      <c r="E3713" s="8">
        <v>11.7547</v>
      </c>
      <c r="F3713" s="9">
        <v>45957</v>
      </c>
    </row>
    <row r="3714" spans="1:6" ht="75" x14ac:dyDescent="0.25">
      <c r="A3714" s="8" t="s">
        <v>63</v>
      </c>
      <c r="B3714" s="11" t="s">
        <v>75</v>
      </c>
      <c r="C3714" s="8" t="str">
        <f>IFERROR(_xlfn.XLOOKUP(TRIM(B3714),Lookup!$B$2:$B$1000,Lookup!$C$2:$C$1000),"")</f>
        <v>Equity - Thematic (Consumption)</v>
      </c>
      <c r="D3714" s="8" t="str">
        <f>IFERROR(INDEX('nav master'!$C:$C, MATCH(B3714, 'nav master'!$B:$B, 0)), "")</f>
        <v>ULIF 088 31/03/25 TBC 110</v>
      </c>
      <c r="E3714" s="8">
        <v>11.730700000000001</v>
      </c>
      <c r="F3714" s="9">
        <v>45958</v>
      </c>
    </row>
    <row r="3715" spans="1:6" ht="75" x14ac:dyDescent="0.25">
      <c r="A3715" s="8" t="s">
        <v>63</v>
      </c>
      <c r="B3715" s="11" t="s">
        <v>75</v>
      </c>
      <c r="C3715" s="8" t="str">
        <f>IFERROR(_xlfn.XLOOKUP(TRIM(B3715),Lookup!$B$2:$B$1000,Lookup!$C$2:$C$1000),"")</f>
        <v>Equity - Thematic (Consumption)</v>
      </c>
      <c r="D3715" s="8" t="str">
        <f>IFERROR(INDEX('nav master'!$C:$C, MATCH(B3715, 'nav master'!$B:$B, 0)), "")</f>
        <v>ULIF 088 31/03/25 TBC 110</v>
      </c>
      <c r="E3715" s="8">
        <v>11.770300000000001</v>
      </c>
      <c r="F3715" s="9">
        <v>45959</v>
      </c>
    </row>
    <row r="3716" spans="1:6" ht="75" x14ac:dyDescent="0.25">
      <c r="A3716" s="8" t="s">
        <v>63</v>
      </c>
      <c r="B3716" s="11" t="s">
        <v>75</v>
      </c>
      <c r="C3716" s="8" t="str">
        <f>IFERROR(_xlfn.XLOOKUP(TRIM(B3716),Lookup!$B$2:$B$1000,Lookup!$C$2:$C$1000),"")</f>
        <v>Equity - Thematic (Consumption)</v>
      </c>
      <c r="D3716" s="8" t="str">
        <f>IFERROR(INDEX('nav master'!$C:$C, MATCH(B3716, 'nav master'!$B:$B, 0)), "")</f>
        <v>ULIF 088 31/03/25 TBC 110</v>
      </c>
      <c r="E3716" s="8">
        <v>11.7277</v>
      </c>
      <c r="F3716" s="9">
        <v>45960</v>
      </c>
    </row>
    <row r="3717" spans="1:6" ht="75" x14ac:dyDescent="0.25">
      <c r="A3717" s="8" t="s">
        <v>63</v>
      </c>
      <c r="B3717" s="11" t="s">
        <v>75</v>
      </c>
      <c r="C3717" s="8" t="str">
        <f>IFERROR(_xlfn.XLOOKUP(TRIM(B3717),Lookup!$B$2:$B$1000,Lookup!$C$2:$C$1000),"")</f>
        <v>Equity - Thematic (Consumption)</v>
      </c>
      <c r="D3717" s="8" t="str">
        <f>IFERROR(INDEX('nav master'!$C:$C, MATCH(B3717, 'nav master'!$B:$B, 0)), "")</f>
        <v>ULIF 088 31/03/25 TBC 110</v>
      </c>
      <c r="E3717" s="8">
        <v>11.649800000000001</v>
      </c>
      <c r="F3717" s="9">
        <v>45961</v>
      </c>
    </row>
    <row r="3718" spans="1:6" ht="75" x14ac:dyDescent="0.25">
      <c r="A3718" s="8" t="s">
        <v>63</v>
      </c>
      <c r="B3718" s="11" t="s">
        <v>75</v>
      </c>
      <c r="C3718" s="8" t="str">
        <f>IFERROR(_xlfn.XLOOKUP(TRIM(B3718),Lookup!$B$2:$B$1000,Lookup!$C$2:$C$1000),"")</f>
        <v>Equity - Thematic (Consumption)</v>
      </c>
      <c r="D3718" s="8" t="str">
        <f>IFERROR(INDEX('nav master'!$C:$C, MATCH(B3718, 'nav master'!$B:$B, 0)), "")</f>
        <v>ULIF 088 31/03/25 TBC 110</v>
      </c>
      <c r="E3718" s="8">
        <v>11.722300000000001</v>
      </c>
      <c r="F3718" s="9">
        <v>45964</v>
      </c>
    </row>
    <row r="3719" spans="1:6" ht="75" x14ac:dyDescent="0.25">
      <c r="A3719" s="8" t="s">
        <v>63</v>
      </c>
      <c r="B3719" s="11" t="s">
        <v>75</v>
      </c>
      <c r="C3719" s="8" t="str">
        <f>IFERROR(_xlfn.XLOOKUP(TRIM(B3719),Lookup!$B$2:$B$1000,Lookup!$C$2:$C$1000),"")</f>
        <v>Equity - Thematic (Consumption)</v>
      </c>
      <c r="D3719" s="8" t="str">
        <f>IFERROR(INDEX('nav master'!$C:$C, MATCH(B3719, 'nav master'!$B:$B, 0)), "")</f>
        <v>ULIF 088 31/03/25 TBC 110</v>
      </c>
      <c r="E3719" s="8">
        <v>11.710599999999999</v>
      </c>
      <c r="F3719" s="9">
        <v>45965</v>
      </c>
    </row>
    <row r="3720" spans="1:6" ht="75" x14ac:dyDescent="0.25">
      <c r="A3720" s="8" t="s">
        <v>63</v>
      </c>
      <c r="B3720" s="11" t="s">
        <v>75</v>
      </c>
      <c r="C3720" s="8" t="str">
        <f>IFERROR(_xlfn.XLOOKUP(TRIM(B3720),Lookup!$B$2:$B$1000,Lookup!$C$2:$C$1000),"")</f>
        <v>Equity - Thematic (Consumption)</v>
      </c>
      <c r="D3720" s="8" t="str">
        <f>IFERROR(INDEX('nav master'!$C:$C, MATCH(B3720, 'nav master'!$B:$B, 0)), "")</f>
        <v>ULIF 088 31/03/25 TBC 110</v>
      </c>
      <c r="E3720" s="8">
        <v>11.5915</v>
      </c>
      <c r="F3720" s="9">
        <v>45967</v>
      </c>
    </row>
    <row r="3721" spans="1:6" ht="75" x14ac:dyDescent="0.25">
      <c r="A3721" s="8" t="s">
        <v>63</v>
      </c>
      <c r="B3721" s="11" t="s">
        <v>75</v>
      </c>
      <c r="C3721" s="8" t="str">
        <f>IFERROR(_xlfn.XLOOKUP(TRIM(B3721),Lookup!$B$2:$B$1000,Lookup!$C$2:$C$1000),"")</f>
        <v>Equity - Thematic (Consumption)</v>
      </c>
      <c r="D3721" s="8" t="str">
        <f>IFERROR(INDEX('nav master'!$C:$C, MATCH(B3721, 'nav master'!$B:$B, 0)), "")</f>
        <v>ULIF 088 31/03/25 TBC 110</v>
      </c>
      <c r="E3721" s="8">
        <v>11.6243</v>
      </c>
      <c r="F3721" s="9">
        <v>45968</v>
      </c>
    </row>
    <row r="3722" spans="1:6" ht="75" x14ac:dyDescent="0.25">
      <c r="A3722" s="8" t="s">
        <v>63</v>
      </c>
      <c r="B3722" s="11" t="s">
        <v>75</v>
      </c>
      <c r="C3722" s="8" t="str">
        <f>IFERROR(_xlfn.XLOOKUP(TRIM(B3722),Lookup!$B$2:$B$1000,Lookup!$C$2:$C$1000),"")</f>
        <v>Equity - Thematic (Consumption)</v>
      </c>
      <c r="D3722" s="8" t="str">
        <f>IFERROR(INDEX('nav master'!$C:$C, MATCH(B3722, 'nav master'!$B:$B, 0)), "")</f>
        <v>ULIF 088 31/03/25 TBC 110</v>
      </c>
      <c r="E3722" s="8">
        <v>11.642200000000001</v>
      </c>
      <c r="F3722" s="9">
        <v>45971</v>
      </c>
    </row>
    <row r="3723" spans="1:6" ht="75" x14ac:dyDescent="0.25">
      <c r="A3723" s="8" t="s">
        <v>63</v>
      </c>
      <c r="B3723" s="11" t="s">
        <v>75</v>
      </c>
      <c r="C3723" s="8" t="str">
        <f>IFERROR(_xlfn.XLOOKUP(TRIM(B3723),Lookup!$B$2:$B$1000,Lookup!$C$2:$C$1000),"")</f>
        <v>Equity - Thematic (Consumption)</v>
      </c>
      <c r="D3723" s="8" t="str">
        <f>IFERROR(INDEX('nav master'!$C:$C, MATCH(B3723, 'nav master'!$B:$B, 0)), "")</f>
        <v>ULIF 088 31/03/25 TBC 110</v>
      </c>
      <c r="E3723" s="8">
        <v>11.706</v>
      </c>
      <c r="F3723" s="9">
        <v>45972</v>
      </c>
    </row>
    <row r="3724" spans="1:6" ht="75" x14ac:dyDescent="0.25">
      <c r="A3724" s="8" t="s">
        <v>63</v>
      </c>
      <c r="B3724" s="11" t="s">
        <v>75</v>
      </c>
      <c r="C3724" s="8" t="str">
        <f>IFERROR(_xlfn.XLOOKUP(TRIM(B3724),Lookup!$B$2:$B$1000,Lookup!$C$2:$C$1000),"")</f>
        <v>Equity - Thematic (Consumption)</v>
      </c>
      <c r="D3724" s="8" t="str">
        <f>IFERROR(INDEX('nav master'!$C:$C, MATCH(B3724, 'nav master'!$B:$B, 0)), "")</f>
        <v>ULIF 088 31/03/25 TBC 110</v>
      </c>
      <c r="E3724" s="8">
        <v>11.736700000000001</v>
      </c>
      <c r="F3724" s="9">
        <v>45973</v>
      </c>
    </row>
    <row r="3725" spans="1:6" ht="75" x14ac:dyDescent="0.25">
      <c r="A3725" s="8" t="s">
        <v>63</v>
      </c>
      <c r="B3725" s="11" t="s">
        <v>75</v>
      </c>
      <c r="C3725" s="8" t="str">
        <f>IFERROR(_xlfn.XLOOKUP(TRIM(B3725),Lookup!$B$2:$B$1000,Lookup!$C$2:$C$1000),"")</f>
        <v>Equity - Thematic (Consumption)</v>
      </c>
      <c r="D3725" s="8" t="str">
        <f>IFERROR(INDEX('nav master'!$C:$C, MATCH(B3725, 'nav master'!$B:$B, 0)), "")</f>
        <v>ULIF 088 31/03/25 TBC 110</v>
      </c>
      <c r="E3725" s="8">
        <v>11.7188</v>
      </c>
      <c r="F3725" s="9">
        <v>45974</v>
      </c>
    </row>
    <row r="3726" spans="1:6" ht="75" x14ac:dyDescent="0.25">
      <c r="A3726" s="8" t="s">
        <v>63</v>
      </c>
      <c r="B3726" s="11" t="s">
        <v>75</v>
      </c>
      <c r="C3726" s="8" t="str">
        <f>IFERROR(_xlfn.XLOOKUP(TRIM(B3726),Lookup!$B$2:$B$1000,Lookup!$C$2:$C$1000),"")</f>
        <v>Equity - Thematic (Consumption)</v>
      </c>
      <c r="D3726" s="8" t="str">
        <f>IFERROR(INDEX('nav master'!$C:$C, MATCH(B3726, 'nav master'!$B:$B, 0)), "")</f>
        <v>ULIF 088 31/03/25 TBC 110</v>
      </c>
      <c r="E3726" s="8">
        <v>11.7597</v>
      </c>
      <c r="F3726" s="9">
        <v>45975</v>
      </c>
    </row>
    <row r="3727" spans="1:6" ht="75" x14ac:dyDescent="0.25">
      <c r="A3727" s="8" t="s">
        <v>63</v>
      </c>
      <c r="B3727" s="11" t="s">
        <v>75</v>
      </c>
      <c r="C3727" s="8" t="str">
        <f>IFERROR(_xlfn.XLOOKUP(TRIM(B3727),Lookup!$B$2:$B$1000,Lookup!$C$2:$C$1000),"")</f>
        <v>Equity - Thematic (Consumption)</v>
      </c>
      <c r="D3727" s="8" t="str">
        <f>IFERROR(INDEX('nav master'!$C:$C, MATCH(B3727, 'nav master'!$B:$B, 0)), "")</f>
        <v>ULIF 088 31/03/25 TBC 110</v>
      </c>
      <c r="E3727" s="8">
        <v>11.8414</v>
      </c>
      <c r="F3727" s="9">
        <v>45978</v>
      </c>
    </row>
    <row r="3728" spans="1:6" ht="75" x14ac:dyDescent="0.25">
      <c r="A3728" s="8" t="s">
        <v>63</v>
      </c>
      <c r="B3728" s="11" t="s">
        <v>75</v>
      </c>
      <c r="C3728" s="8" t="str">
        <f>IFERROR(_xlfn.XLOOKUP(TRIM(B3728),Lookup!$B$2:$B$1000,Lookup!$C$2:$C$1000),"")</f>
        <v>Equity - Thematic (Consumption)</v>
      </c>
      <c r="D3728" s="8" t="str">
        <f>IFERROR(INDEX('nav master'!$C:$C, MATCH(B3728, 'nav master'!$B:$B, 0)), "")</f>
        <v>ULIF 088 31/03/25 TBC 110</v>
      </c>
      <c r="E3728" s="8">
        <v>11.7806</v>
      </c>
      <c r="F3728" s="9">
        <v>45979</v>
      </c>
    </row>
    <row r="3729" spans="1:6" ht="75" x14ac:dyDescent="0.25">
      <c r="A3729" s="8" t="s">
        <v>63</v>
      </c>
      <c r="B3729" s="11" t="s">
        <v>75</v>
      </c>
      <c r="C3729" s="8" t="str">
        <f>IFERROR(_xlfn.XLOOKUP(TRIM(B3729),Lookup!$B$2:$B$1000,Lookup!$C$2:$C$1000),"")</f>
        <v>Equity - Thematic (Consumption)</v>
      </c>
      <c r="D3729" s="8" t="str">
        <f>IFERROR(INDEX('nav master'!$C:$C, MATCH(B3729, 'nav master'!$B:$B, 0)), "")</f>
        <v>ULIF 088 31/03/25 TBC 110</v>
      </c>
      <c r="E3729" s="8">
        <v>11.799099999999999</v>
      </c>
      <c r="F3729" s="9">
        <v>45980</v>
      </c>
    </row>
    <row r="3730" spans="1:6" ht="75" x14ac:dyDescent="0.25">
      <c r="A3730" s="8" t="s">
        <v>63</v>
      </c>
      <c r="B3730" s="11" t="s">
        <v>75</v>
      </c>
      <c r="C3730" s="8" t="str">
        <f>IFERROR(_xlfn.XLOOKUP(TRIM(B3730),Lookup!$B$2:$B$1000,Lookup!$C$2:$C$1000),"")</f>
        <v>Equity - Thematic (Consumption)</v>
      </c>
      <c r="D3730" s="8" t="str">
        <f>IFERROR(INDEX('nav master'!$C:$C, MATCH(B3730, 'nav master'!$B:$B, 0)), "")</f>
        <v>ULIF 088 31/03/25 TBC 110</v>
      </c>
      <c r="E3730" s="8">
        <v>11.8095</v>
      </c>
      <c r="F3730" s="9">
        <v>45981</v>
      </c>
    </row>
    <row r="3731" spans="1:6" ht="75" x14ac:dyDescent="0.25">
      <c r="A3731" s="8" t="s">
        <v>63</v>
      </c>
      <c r="B3731" s="11" t="s">
        <v>75</v>
      </c>
      <c r="C3731" s="8" t="str">
        <f>IFERROR(_xlfn.XLOOKUP(TRIM(B3731),Lookup!$B$2:$B$1000,Lookup!$C$2:$C$1000),"")</f>
        <v>Equity - Thematic (Consumption)</v>
      </c>
      <c r="D3731" s="8" t="str">
        <f>IFERROR(INDEX('nav master'!$C:$C, MATCH(B3731, 'nav master'!$B:$B, 0)), "")</f>
        <v>ULIF 088 31/03/25 TBC 110</v>
      </c>
      <c r="E3731" s="8">
        <v>11.731199999999999</v>
      </c>
      <c r="F3731" s="9">
        <v>45982</v>
      </c>
    </row>
    <row r="3732" spans="1:6" ht="75" x14ac:dyDescent="0.25">
      <c r="A3732" s="8" t="s">
        <v>63</v>
      </c>
      <c r="B3732" s="11" t="s">
        <v>75</v>
      </c>
      <c r="C3732" s="8" t="str">
        <f>IFERROR(_xlfn.XLOOKUP(TRIM(B3732),Lookup!$B$2:$B$1000,Lookup!$C$2:$C$1000),"")</f>
        <v>Equity - Thematic (Consumption)</v>
      </c>
      <c r="D3732" s="8" t="str">
        <f>IFERROR(INDEX('nav master'!$C:$C, MATCH(B3732, 'nav master'!$B:$B, 0)), "")</f>
        <v>ULIF 088 31/03/25 TBC 110</v>
      </c>
      <c r="E3732" s="8">
        <v>11.6935</v>
      </c>
      <c r="F3732" s="9">
        <v>45985</v>
      </c>
    </row>
    <row r="3733" spans="1:6" ht="75" x14ac:dyDescent="0.25">
      <c r="A3733" s="8" t="s">
        <v>63</v>
      </c>
      <c r="B3733" s="11" t="s">
        <v>75</v>
      </c>
      <c r="C3733" s="8" t="str">
        <f>IFERROR(_xlfn.XLOOKUP(TRIM(B3733),Lookup!$B$2:$B$1000,Lookup!$C$2:$C$1000),"")</f>
        <v>Equity - Thematic (Consumption)</v>
      </c>
      <c r="D3733" s="8" t="str">
        <f>IFERROR(INDEX('nav master'!$C:$C, MATCH(B3733, 'nav master'!$B:$B, 0)), "")</f>
        <v>ULIF 088 31/03/25 TBC 110</v>
      </c>
      <c r="E3733" s="8">
        <v>11.6845</v>
      </c>
      <c r="F3733" s="9">
        <v>45986</v>
      </c>
    </row>
    <row r="3734" spans="1:6" ht="75" x14ac:dyDescent="0.25">
      <c r="A3734" s="8" t="s">
        <v>63</v>
      </c>
      <c r="B3734" s="11" t="s">
        <v>75</v>
      </c>
      <c r="C3734" s="8" t="str">
        <f>IFERROR(_xlfn.XLOOKUP(TRIM(B3734),Lookup!$B$2:$B$1000,Lookup!$C$2:$C$1000),"")</f>
        <v>Equity - Thematic (Consumption)</v>
      </c>
      <c r="D3734" s="8" t="str">
        <f>IFERROR(INDEX('nav master'!$C:$C, MATCH(B3734, 'nav master'!$B:$B, 0)), "")</f>
        <v>ULIF 088 31/03/25 TBC 110</v>
      </c>
      <c r="E3734" s="8">
        <v>11.8169</v>
      </c>
      <c r="F3734" s="9">
        <v>45987</v>
      </c>
    </row>
    <row r="3735" spans="1:6" ht="75" x14ac:dyDescent="0.25">
      <c r="A3735" s="8" t="s">
        <v>63</v>
      </c>
      <c r="B3735" s="11" t="s">
        <v>75</v>
      </c>
      <c r="C3735" s="8" t="str">
        <f>IFERROR(_xlfn.XLOOKUP(TRIM(B3735),Lookup!$B$2:$B$1000,Lookup!$C$2:$C$1000),"")</f>
        <v>Equity - Thematic (Consumption)</v>
      </c>
      <c r="D3735" s="8" t="str">
        <f>IFERROR(INDEX('nav master'!$C:$C, MATCH(B3735, 'nav master'!$B:$B, 0)), "")</f>
        <v>ULIF 088 31/03/25 TBC 110</v>
      </c>
      <c r="E3735" s="8">
        <v>11.792299999999999</v>
      </c>
      <c r="F3735" s="9">
        <v>45988</v>
      </c>
    </row>
    <row r="3736" spans="1:6" ht="75" x14ac:dyDescent="0.25">
      <c r="A3736" s="8" t="s">
        <v>63</v>
      </c>
      <c r="B3736" s="11" t="s">
        <v>75</v>
      </c>
      <c r="C3736" s="8" t="str">
        <f>IFERROR(_xlfn.XLOOKUP(TRIM(B3736),Lookup!$B$2:$B$1000,Lookup!$C$2:$C$1000),"")</f>
        <v>Equity - Thematic (Consumption)</v>
      </c>
      <c r="D3736" s="8" t="str">
        <f>IFERROR(INDEX('nav master'!$C:$C, MATCH(B3736, 'nav master'!$B:$B, 0)), "")</f>
        <v>ULIF 088 31/03/25 TBC 110</v>
      </c>
      <c r="E3736" s="8">
        <v>11.763199999999999</v>
      </c>
      <c r="F3736" s="9">
        <v>45989</v>
      </c>
    </row>
    <row r="3737" spans="1:6" ht="75" x14ac:dyDescent="0.25">
      <c r="A3737" s="8" t="s">
        <v>63</v>
      </c>
      <c r="B3737" s="11" t="s">
        <v>75</v>
      </c>
      <c r="C3737" s="8" t="str">
        <f>IFERROR(_xlfn.XLOOKUP(TRIM(B3737),Lookup!$B$2:$B$1000,Lookup!$C$2:$C$1000),"")</f>
        <v>Equity - Thematic (Consumption)</v>
      </c>
      <c r="D3737" s="8" t="str">
        <f>IFERROR(INDEX('nav master'!$C:$C, MATCH(B3737, 'nav master'!$B:$B, 0)), "")</f>
        <v>ULIF 088 31/03/25 TBC 110</v>
      </c>
      <c r="E3737" s="8">
        <v>11.7972</v>
      </c>
      <c r="F3737" s="9">
        <v>45992</v>
      </c>
    </row>
    <row r="3738" spans="1:6" ht="75" x14ac:dyDescent="0.25">
      <c r="A3738" s="8" t="s">
        <v>63</v>
      </c>
      <c r="B3738" s="11" t="s">
        <v>75</v>
      </c>
      <c r="C3738" s="8" t="str">
        <f>IFERROR(_xlfn.XLOOKUP(TRIM(B3738),Lookup!$B$2:$B$1000,Lookup!$C$2:$C$1000),"")</f>
        <v>Equity - Thematic (Consumption)</v>
      </c>
      <c r="D3738" s="8" t="str">
        <f>IFERROR(INDEX('nav master'!$C:$C, MATCH(B3738, 'nav master'!$B:$B, 0)), "")</f>
        <v>ULIF 088 31/03/25 TBC 110</v>
      </c>
      <c r="E3738" s="8">
        <v>11.7392</v>
      </c>
      <c r="F3738" s="9">
        <v>45993</v>
      </c>
    </row>
    <row r="3739" spans="1:6" ht="75" x14ac:dyDescent="0.25">
      <c r="A3739" s="8" t="s">
        <v>63</v>
      </c>
      <c r="B3739" s="11" t="s">
        <v>75</v>
      </c>
      <c r="C3739" s="8" t="str">
        <f>IFERROR(_xlfn.XLOOKUP(TRIM(B3739),Lookup!$B$2:$B$1000,Lookup!$C$2:$C$1000),"")</f>
        <v>Equity - Thematic (Consumption)</v>
      </c>
      <c r="D3739" s="8" t="str">
        <f>IFERROR(INDEX('nav master'!$C:$C, MATCH(B3739, 'nav master'!$B:$B, 0)), "")</f>
        <v>ULIF 088 31/03/25 TBC 110</v>
      </c>
      <c r="E3739" s="8">
        <v>11.652699999999999</v>
      </c>
      <c r="F3739" s="9">
        <v>45994</v>
      </c>
    </row>
    <row r="3740" spans="1:6" ht="75" x14ac:dyDescent="0.25">
      <c r="A3740" s="8" t="s">
        <v>63</v>
      </c>
      <c r="B3740" s="11" t="s">
        <v>75</v>
      </c>
      <c r="C3740" s="8" t="str">
        <f>IFERROR(_xlfn.XLOOKUP(TRIM(B3740),Lookup!$B$2:$B$1000,Lookup!$C$2:$C$1000),"")</f>
        <v>Equity - Thematic (Consumption)</v>
      </c>
      <c r="D3740" s="8" t="str">
        <f>IFERROR(INDEX('nav master'!$C:$C, MATCH(B3740, 'nav master'!$B:$B, 0)), "")</f>
        <v>ULIF 088 31/03/25 TBC 110</v>
      </c>
      <c r="E3740" s="8">
        <v>11.662100000000001</v>
      </c>
      <c r="F3740" s="9">
        <v>45995</v>
      </c>
    </row>
    <row r="3741" spans="1:6" ht="75" x14ac:dyDescent="0.25">
      <c r="A3741" s="8" t="s">
        <v>63</v>
      </c>
      <c r="B3741" s="11" t="s">
        <v>75</v>
      </c>
      <c r="C3741" s="8" t="str">
        <f>IFERROR(_xlfn.XLOOKUP(TRIM(B3741),Lookup!$B$2:$B$1000,Lookup!$C$2:$C$1000),"")</f>
        <v>Equity - Thematic (Consumption)</v>
      </c>
      <c r="D3741" s="8" t="str">
        <f>IFERROR(INDEX('nav master'!$C:$C, MATCH(B3741, 'nav master'!$B:$B, 0)), "")</f>
        <v>ULIF 088 31/03/25 TBC 110</v>
      </c>
      <c r="E3741" s="8">
        <v>11.6892</v>
      </c>
      <c r="F3741" s="9">
        <v>45996</v>
      </c>
    </row>
    <row r="3742" spans="1:6" ht="75" x14ac:dyDescent="0.25">
      <c r="A3742" s="8" t="s">
        <v>63</v>
      </c>
      <c r="B3742" s="11" t="s">
        <v>75</v>
      </c>
      <c r="C3742" s="8" t="str">
        <f>IFERROR(_xlfn.XLOOKUP(TRIM(B3742),Lookup!$B$2:$B$1000,Lookup!$C$2:$C$1000),"")</f>
        <v>Equity - Thematic (Consumption)</v>
      </c>
      <c r="D3742" s="8" t="str">
        <f>IFERROR(INDEX('nav master'!$C:$C, MATCH(B3742, 'nav master'!$B:$B, 0)), "")</f>
        <v>ULIF 088 31/03/25 TBC 110</v>
      </c>
      <c r="E3742" s="8">
        <v>11.5084</v>
      </c>
      <c r="F3742" s="9">
        <v>45999</v>
      </c>
    </row>
    <row r="3743" spans="1:6" ht="75" x14ac:dyDescent="0.25">
      <c r="A3743" s="8" t="s">
        <v>63</v>
      </c>
      <c r="B3743" s="11" t="s">
        <v>75</v>
      </c>
      <c r="C3743" s="8" t="str">
        <f>IFERROR(_xlfn.XLOOKUP(TRIM(B3743),Lookup!$B$2:$B$1000,Lookup!$C$2:$C$1000),"")</f>
        <v>Equity - Thematic (Consumption)</v>
      </c>
      <c r="D3743" s="8" t="str">
        <f>IFERROR(INDEX('nav master'!$C:$C, MATCH(B3743, 'nav master'!$B:$B, 0)), "")</f>
        <v>ULIF 088 31/03/25 TBC 110</v>
      </c>
      <c r="E3743" s="8">
        <v>11.572699999999999</v>
      </c>
      <c r="F3743" s="9">
        <v>46000</v>
      </c>
    </row>
    <row r="3744" spans="1:6" ht="75" x14ac:dyDescent="0.25">
      <c r="A3744" s="8" t="s">
        <v>63</v>
      </c>
      <c r="B3744" s="11" t="s">
        <v>75</v>
      </c>
      <c r="C3744" s="8" t="str">
        <f>IFERROR(_xlfn.XLOOKUP(TRIM(B3744),Lookup!$B$2:$B$1000,Lookup!$C$2:$C$1000),"")</f>
        <v>Equity - Thematic (Consumption)</v>
      </c>
      <c r="D3744" s="8" t="str">
        <f>IFERROR(INDEX('nav master'!$C:$C, MATCH(B3744, 'nav master'!$B:$B, 0)), "")</f>
        <v>ULIF 088 31/03/25 TBC 110</v>
      </c>
      <c r="E3744" s="8">
        <v>11.460699999999999</v>
      </c>
      <c r="F3744" s="9">
        <v>46001</v>
      </c>
    </row>
    <row r="3745" spans="1:6" ht="75" x14ac:dyDescent="0.25">
      <c r="A3745" s="8" t="s">
        <v>63</v>
      </c>
      <c r="B3745" s="11" t="s">
        <v>75</v>
      </c>
      <c r="C3745" s="8" t="str">
        <f>IFERROR(_xlfn.XLOOKUP(TRIM(B3745),Lookup!$B$2:$B$1000,Lookup!$C$2:$C$1000),"")</f>
        <v>Equity - Thematic (Consumption)</v>
      </c>
      <c r="D3745" s="8" t="str">
        <f>IFERROR(INDEX('nav master'!$C:$C, MATCH(B3745, 'nav master'!$B:$B, 0)), "")</f>
        <v>ULIF 088 31/03/25 TBC 110</v>
      </c>
      <c r="E3745" s="8">
        <v>11.5227</v>
      </c>
      <c r="F3745" s="9">
        <v>46002</v>
      </c>
    </row>
    <row r="3746" spans="1:6" ht="75" x14ac:dyDescent="0.25">
      <c r="A3746" s="8" t="s">
        <v>63</v>
      </c>
      <c r="B3746" s="11" t="s">
        <v>75</v>
      </c>
      <c r="C3746" s="8" t="str">
        <f>IFERROR(_xlfn.XLOOKUP(TRIM(B3746),Lookup!$B$2:$B$1000,Lookup!$C$2:$C$1000),"")</f>
        <v>Equity - Thematic (Consumption)</v>
      </c>
      <c r="D3746" s="8" t="str">
        <f>IFERROR(INDEX('nav master'!$C:$C, MATCH(B3746, 'nav master'!$B:$B, 0)), "")</f>
        <v>ULIF 088 31/03/25 TBC 110</v>
      </c>
      <c r="E3746" s="8">
        <v>11.629300000000001</v>
      </c>
      <c r="F3746" s="9">
        <v>46003</v>
      </c>
    </row>
    <row r="3747" spans="1:6" ht="75" x14ac:dyDescent="0.25">
      <c r="A3747" s="8" t="s">
        <v>63</v>
      </c>
      <c r="B3747" s="11" t="s">
        <v>75</v>
      </c>
      <c r="C3747" s="8" t="str">
        <f>IFERROR(_xlfn.XLOOKUP(TRIM(B3747),Lookup!$B$2:$B$1000,Lookup!$C$2:$C$1000),"")</f>
        <v>Equity - Thematic (Consumption)</v>
      </c>
      <c r="D3747" s="8" t="str">
        <f>IFERROR(INDEX('nav master'!$C:$C, MATCH(B3747, 'nav master'!$B:$B, 0)), "")</f>
        <v>ULIF 088 31/03/25 TBC 110</v>
      </c>
      <c r="E3747" s="8">
        <v>11.627000000000001</v>
      </c>
      <c r="F3747" s="9">
        <v>46006</v>
      </c>
    </row>
    <row r="3748" spans="1:6" ht="75" x14ac:dyDescent="0.25">
      <c r="A3748" s="8" t="s">
        <v>63</v>
      </c>
      <c r="B3748" s="11" t="s">
        <v>75</v>
      </c>
      <c r="C3748" s="8" t="str">
        <f>IFERROR(_xlfn.XLOOKUP(TRIM(B3748),Lookup!$B$2:$B$1000,Lookup!$C$2:$C$1000),"")</f>
        <v>Equity - Thematic (Consumption)</v>
      </c>
      <c r="D3748" s="8" t="str">
        <f>IFERROR(INDEX('nav master'!$C:$C, MATCH(B3748, 'nav master'!$B:$B, 0)), "")</f>
        <v>ULIF 088 31/03/25 TBC 110</v>
      </c>
      <c r="E3748" s="8">
        <v>11.5518</v>
      </c>
      <c r="F3748" s="9">
        <v>46007</v>
      </c>
    </row>
    <row r="3749" spans="1:6" ht="75" x14ac:dyDescent="0.25">
      <c r="A3749" s="8" t="s">
        <v>63</v>
      </c>
      <c r="B3749" s="11" t="s">
        <v>75</v>
      </c>
      <c r="C3749" s="8" t="str">
        <f>IFERROR(_xlfn.XLOOKUP(TRIM(B3749),Lookup!$B$2:$B$1000,Lookup!$C$2:$C$1000),"")</f>
        <v>Equity - Thematic (Consumption)</v>
      </c>
      <c r="D3749" s="8" t="str">
        <f>IFERROR(INDEX('nav master'!$C:$C, MATCH(B3749, 'nav master'!$B:$B, 0)), "")</f>
        <v>ULIF 088 31/03/25 TBC 110</v>
      </c>
      <c r="E3749" s="8">
        <v>11.4963</v>
      </c>
      <c r="F3749" s="9">
        <v>46008</v>
      </c>
    </row>
    <row r="3750" spans="1:6" ht="75" x14ac:dyDescent="0.25">
      <c r="A3750" s="8" t="s">
        <v>63</v>
      </c>
      <c r="B3750" s="11" t="s">
        <v>75</v>
      </c>
      <c r="C3750" s="8" t="str">
        <f>IFERROR(_xlfn.XLOOKUP(TRIM(B3750),Lookup!$B$2:$B$1000,Lookup!$C$2:$C$1000),"")</f>
        <v>Equity - Thematic (Consumption)</v>
      </c>
      <c r="D3750" s="8" t="str">
        <f>IFERROR(INDEX('nav master'!$C:$C, MATCH(B3750, 'nav master'!$B:$B, 0)), "")</f>
        <v>ULIF 088 31/03/25 TBC 110</v>
      </c>
      <c r="E3750" s="8">
        <v>11.5253</v>
      </c>
      <c r="F3750" s="9">
        <v>46009</v>
      </c>
    </row>
    <row r="3751" spans="1:6" ht="75" x14ac:dyDescent="0.25">
      <c r="A3751" s="8" t="s">
        <v>63</v>
      </c>
      <c r="B3751" s="11" t="s">
        <v>75</v>
      </c>
      <c r="C3751" s="8" t="str">
        <f>IFERROR(_xlfn.XLOOKUP(TRIM(B3751),Lookup!$B$2:$B$1000,Lookup!$C$2:$C$1000),"")</f>
        <v>Equity - Thematic (Consumption)</v>
      </c>
      <c r="D3751" s="8" t="str">
        <f>IFERROR(INDEX('nav master'!$C:$C, MATCH(B3751, 'nav master'!$B:$B, 0)), "")</f>
        <v>ULIF 088 31/03/25 TBC 110</v>
      </c>
      <c r="E3751" s="8">
        <v>11.6236</v>
      </c>
      <c r="F3751" s="9">
        <v>46010</v>
      </c>
    </row>
    <row r="3752" spans="1:6" ht="75" x14ac:dyDescent="0.25">
      <c r="A3752" s="8" t="s">
        <v>63</v>
      </c>
      <c r="B3752" s="11" t="s">
        <v>75</v>
      </c>
      <c r="C3752" s="8" t="str">
        <f>IFERROR(_xlfn.XLOOKUP(TRIM(B3752),Lookup!$B$2:$B$1000,Lookup!$C$2:$C$1000),"")</f>
        <v>Equity - Thematic (Consumption)</v>
      </c>
      <c r="D3752" s="8" t="str">
        <f>IFERROR(INDEX('nav master'!$C:$C, MATCH(B3752, 'nav master'!$B:$B, 0)), "")</f>
        <v>ULIF 088 31/03/25 TBC 110</v>
      </c>
      <c r="E3752" s="8">
        <v>11.694000000000001</v>
      </c>
      <c r="F3752" s="9">
        <v>46013</v>
      </c>
    </row>
    <row r="3753" spans="1:6" ht="75" x14ac:dyDescent="0.25">
      <c r="A3753" s="8" t="s">
        <v>63</v>
      </c>
      <c r="B3753" s="11" t="s">
        <v>75</v>
      </c>
      <c r="C3753" s="8" t="str">
        <f>IFERROR(_xlfn.XLOOKUP(TRIM(B3753),Lookup!$B$2:$B$1000,Lookup!$C$2:$C$1000),"")</f>
        <v>Equity - Thematic (Consumption)</v>
      </c>
      <c r="D3753" s="8" t="str">
        <f>IFERROR(INDEX('nav master'!$C:$C, MATCH(B3753, 'nav master'!$B:$B, 0)), "")</f>
        <v>ULIF 088 31/03/25 TBC 110</v>
      </c>
      <c r="E3753" s="8">
        <v>11.6991</v>
      </c>
      <c r="F3753" s="9">
        <v>46014</v>
      </c>
    </row>
    <row r="3754" spans="1:6" ht="75" x14ac:dyDescent="0.25">
      <c r="A3754" s="8" t="s">
        <v>63</v>
      </c>
      <c r="B3754" s="11" t="s">
        <v>75</v>
      </c>
      <c r="C3754" s="8" t="str">
        <f>IFERROR(_xlfn.XLOOKUP(TRIM(B3754),Lookup!$B$2:$B$1000,Lookup!$C$2:$C$1000),"")</f>
        <v>Equity - Thematic (Consumption)</v>
      </c>
      <c r="D3754" s="8" t="str">
        <f>IFERROR(INDEX('nav master'!$C:$C, MATCH(B3754, 'nav master'!$B:$B, 0)), "")</f>
        <v>ULIF 088 31/03/25 TBC 110</v>
      </c>
      <c r="E3754" s="8">
        <v>11.672700000000001</v>
      </c>
      <c r="F3754" s="9">
        <v>46015</v>
      </c>
    </row>
    <row r="3755" spans="1:6" ht="75" x14ac:dyDescent="0.25">
      <c r="A3755" s="8" t="s">
        <v>63</v>
      </c>
      <c r="B3755" s="11" t="s">
        <v>75</v>
      </c>
      <c r="C3755" s="8" t="str">
        <f>IFERROR(_xlfn.XLOOKUP(TRIM(B3755),Lookup!$B$2:$B$1000,Lookup!$C$2:$C$1000),"")</f>
        <v>Equity - Thematic (Consumption)</v>
      </c>
      <c r="D3755" s="8" t="str">
        <f>IFERROR(INDEX('nav master'!$C:$C, MATCH(B3755, 'nav master'!$B:$B, 0)), "")</f>
        <v>ULIF 088 31/03/25 TBC 110</v>
      </c>
      <c r="E3755" s="8">
        <v>11.632999999999999</v>
      </c>
      <c r="F3755" s="9">
        <v>46017</v>
      </c>
    </row>
    <row r="3756" spans="1:6" ht="75" x14ac:dyDescent="0.25">
      <c r="A3756" s="8" t="s">
        <v>63</v>
      </c>
      <c r="B3756" s="11" t="s">
        <v>75</v>
      </c>
      <c r="C3756" s="8" t="str">
        <f>IFERROR(_xlfn.XLOOKUP(TRIM(B3756),Lookup!$B$2:$B$1000,Lookup!$C$2:$C$1000),"")</f>
        <v>Equity - Thematic (Consumption)</v>
      </c>
      <c r="D3756" s="8" t="str">
        <f>IFERROR(INDEX('nav master'!$C:$C, MATCH(B3756, 'nav master'!$B:$B, 0)), "")</f>
        <v>ULIF 088 31/03/25 TBC 110</v>
      </c>
      <c r="E3756" s="8">
        <v>11.5846</v>
      </c>
      <c r="F3756" s="9">
        <v>46020</v>
      </c>
    </row>
    <row r="3757" spans="1:6" ht="75" x14ac:dyDescent="0.25">
      <c r="A3757" s="8" t="s">
        <v>63</v>
      </c>
      <c r="B3757" s="11" t="s">
        <v>75</v>
      </c>
      <c r="C3757" s="8" t="str">
        <f>IFERROR(_xlfn.XLOOKUP(TRIM(B3757),Lookup!$B$2:$B$1000,Lookup!$C$2:$C$1000),"")</f>
        <v>Equity - Thematic (Consumption)</v>
      </c>
      <c r="D3757" s="8" t="str">
        <f>IFERROR(INDEX('nav master'!$C:$C, MATCH(B3757, 'nav master'!$B:$B, 0)), "")</f>
        <v>ULIF 088 31/03/25 TBC 110</v>
      </c>
      <c r="E3757" s="8">
        <v>11.5593</v>
      </c>
      <c r="F3757" s="9">
        <v>46021</v>
      </c>
    </row>
    <row r="3758" spans="1:6" ht="75" x14ac:dyDescent="0.25">
      <c r="A3758" s="8" t="s">
        <v>63</v>
      </c>
      <c r="B3758" s="11" t="s">
        <v>75</v>
      </c>
      <c r="C3758" s="8" t="str">
        <f>IFERROR(_xlfn.XLOOKUP(TRIM(B3758),Lookup!$B$2:$B$1000,Lookup!$C$2:$C$1000),"")</f>
        <v>Equity - Thematic (Consumption)</v>
      </c>
      <c r="D3758" s="8" t="str">
        <f>IFERROR(INDEX('nav master'!$C:$C, MATCH(B3758, 'nav master'!$B:$B, 0)), "")</f>
        <v>ULIF 088 31/03/25 TBC 110</v>
      </c>
      <c r="E3758" s="8">
        <v>11.675000000000001</v>
      </c>
      <c r="F3758" s="9">
        <v>46022</v>
      </c>
    </row>
    <row r="3759" spans="1:6" ht="75" x14ac:dyDescent="0.25">
      <c r="A3759" s="8" t="s">
        <v>63</v>
      </c>
      <c r="B3759" s="11" t="s">
        <v>75</v>
      </c>
      <c r="C3759" s="8" t="str">
        <f>IFERROR(_xlfn.XLOOKUP(TRIM(B3759),Lookup!$B$2:$B$1000,Lookup!$C$2:$C$1000),"")</f>
        <v>Equity - Thematic (Consumption)</v>
      </c>
      <c r="D3759" s="8" t="str">
        <f>IFERROR(INDEX('nav master'!$C:$C, MATCH(B3759, 'nav master'!$B:$B, 0)), "")</f>
        <v>ULIF 088 31/03/25 TBC 110</v>
      </c>
      <c r="E3759" s="8">
        <v>11.692299999999999</v>
      </c>
      <c r="F3759" s="9">
        <v>46023</v>
      </c>
    </row>
    <row r="3760" spans="1:6" ht="75" x14ac:dyDescent="0.25">
      <c r="A3760" s="8" t="s">
        <v>63</v>
      </c>
      <c r="B3760" s="11" t="s">
        <v>75</v>
      </c>
      <c r="C3760" s="8" t="str">
        <f>IFERROR(_xlfn.XLOOKUP(TRIM(B3760),Lookup!$B$2:$B$1000,Lookup!$C$2:$C$1000),"")</f>
        <v>Equity - Thematic (Consumption)</v>
      </c>
      <c r="D3760" s="8" t="str">
        <f>IFERROR(INDEX('nav master'!$C:$C, MATCH(B3760, 'nav master'!$B:$B, 0)), "")</f>
        <v>ULIF 088 31/03/25 TBC 110</v>
      </c>
      <c r="E3760" s="8">
        <v>11.7614</v>
      </c>
      <c r="F3760" s="9">
        <v>46024</v>
      </c>
    </row>
    <row r="3761" spans="1:6" ht="75" x14ac:dyDescent="0.25">
      <c r="A3761" s="8" t="s">
        <v>63</v>
      </c>
      <c r="B3761" s="11" t="s">
        <v>75</v>
      </c>
      <c r="C3761" s="8" t="str">
        <f>IFERROR(_xlfn.XLOOKUP(TRIM(B3761),Lookup!$B$2:$B$1000,Lookup!$C$2:$C$1000),"")</f>
        <v>Equity - Thematic (Consumption)</v>
      </c>
      <c r="D3761" s="8" t="str">
        <f>IFERROR(INDEX('nav master'!$C:$C, MATCH(B3761, 'nav master'!$B:$B, 0)), "")</f>
        <v>ULIF 088 31/03/25 TBC 110</v>
      </c>
      <c r="E3761" s="8">
        <v>11.803599999999999</v>
      </c>
      <c r="F3761" s="9">
        <v>46027</v>
      </c>
    </row>
    <row r="3762" spans="1:6" ht="75" x14ac:dyDescent="0.25">
      <c r="A3762" s="8" t="s">
        <v>63</v>
      </c>
      <c r="B3762" s="11" t="s">
        <v>75</v>
      </c>
      <c r="C3762" s="8" t="str">
        <f>IFERROR(_xlfn.XLOOKUP(TRIM(B3762),Lookup!$B$2:$B$1000,Lookup!$C$2:$C$1000),"")</f>
        <v>Equity - Thematic (Consumption)</v>
      </c>
      <c r="D3762" s="8" t="str">
        <f>IFERROR(INDEX('nav master'!$C:$C, MATCH(B3762, 'nav master'!$B:$B, 0)), "")</f>
        <v>ULIF 088 31/03/25 TBC 110</v>
      </c>
      <c r="E3762" s="8">
        <v>11.7936</v>
      </c>
      <c r="F3762" s="9">
        <v>46028</v>
      </c>
    </row>
    <row r="3763" spans="1:6" ht="75" x14ac:dyDescent="0.25">
      <c r="A3763" s="8" t="s">
        <v>63</v>
      </c>
      <c r="B3763" s="11" t="s">
        <v>75</v>
      </c>
      <c r="C3763" s="8" t="str">
        <f>IFERROR(_xlfn.XLOOKUP(TRIM(B3763),Lookup!$B$2:$B$1000,Lookup!$C$2:$C$1000),"")</f>
        <v>Equity - Thematic (Consumption)</v>
      </c>
      <c r="D3763" s="8" t="str">
        <f>IFERROR(INDEX('nav master'!$C:$C, MATCH(B3763, 'nav master'!$B:$B, 0)), "")</f>
        <v>ULIF 088 31/03/25 TBC 110</v>
      </c>
      <c r="E3763" s="8">
        <v>11.807499999999999</v>
      </c>
      <c r="F3763" s="9">
        <v>46029</v>
      </c>
    </row>
    <row r="3764" spans="1:6" ht="75" x14ac:dyDescent="0.25">
      <c r="A3764" s="8" t="s">
        <v>63</v>
      </c>
      <c r="B3764" s="11" t="s">
        <v>75</v>
      </c>
      <c r="C3764" s="8" t="str">
        <f>IFERROR(_xlfn.XLOOKUP(TRIM(B3764),Lookup!$B$2:$B$1000,Lookup!$C$2:$C$1000),"")</f>
        <v>Equity - Thematic (Consumption)</v>
      </c>
      <c r="D3764" s="8" t="str">
        <f>IFERROR(INDEX('nav master'!$C:$C, MATCH(B3764, 'nav master'!$B:$B, 0)), "")</f>
        <v>ULIF 088 31/03/25 TBC 110</v>
      </c>
      <c r="E3764" s="8">
        <v>11.647</v>
      </c>
      <c r="F3764" s="9">
        <v>46030</v>
      </c>
    </row>
    <row r="3765" spans="1:6" ht="75" x14ac:dyDescent="0.25">
      <c r="A3765" s="8" t="s">
        <v>63</v>
      </c>
      <c r="B3765" s="11" t="s">
        <v>75</v>
      </c>
      <c r="C3765" s="8" t="str">
        <f>IFERROR(_xlfn.XLOOKUP(TRIM(B3765),Lookup!$B$2:$B$1000,Lookup!$C$2:$C$1000),"")</f>
        <v>Equity - Thematic (Consumption)</v>
      </c>
      <c r="D3765" s="8" t="str">
        <f>IFERROR(INDEX('nav master'!$C:$C, MATCH(B3765, 'nav master'!$B:$B, 0)), "")</f>
        <v>ULIF 088 31/03/25 TBC 110</v>
      </c>
      <c r="E3765" s="8">
        <v>11.5303</v>
      </c>
      <c r="F3765" s="9">
        <v>46031</v>
      </c>
    </row>
    <row r="3766" spans="1:6" ht="75" x14ac:dyDescent="0.25">
      <c r="A3766" s="8" t="s">
        <v>63</v>
      </c>
      <c r="B3766" s="11" t="s">
        <v>75</v>
      </c>
      <c r="C3766" s="8" t="str">
        <f>IFERROR(_xlfn.XLOOKUP(TRIM(B3766),Lookup!$B$2:$B$1000,Lookup!$C$2:$C$1000),"")</f>
        <v>Equity - Thematic (Consumption)</v>
      </c>
      <c r="D3766" s="8" t="str">
        <f>IFERROR(INDEX('nav master'!$C:$C, MATCH(B3766, 'nav master'!$B:$B, 0)), "")</f>
        <v>ULIF 088 31/03/25 TBC 110</v>
      </c>
      <c r="E3766" s="8">
        <v>11.507999999999999</v>
      </c>
      <c r="F3766" s="9">
        <v>46034</v>
      </c>
    </row>
    <row r="3767" spans="1:6" ht="75" x14ac:dyDescent="0.25">
      <c r="A3767" s="8" t="s">
        <v>63</v>
      </c>
      <c r="B3767" s="11" t="s">
        <v>75</v>
      </c>
      <c r="C3767" s="8" t="str">
        <f>IFERROR(_xlfn.XLOOKUP(TRIM(B3767),Lookup!$B$2:$B$1000,Lookup!$C$2:$C$1000),"")</f>
        <v>Equity - Thematic (Consumption)</v>
      </c>
      <c r="D3767" s="8" t="str">
        <f>IFERROR(INDEX('nav master'!$C:$C, MATCH(B3767, 'nav master'!$B:$B, 0)), "")</f>
        <v>ULIF 088 31/03/25 TBC 110</v>
      </c>
      <c r="E3767" s="8">
        <v>11.545</v>
      </c>
      <c r="F3767" s="9">
        <v>46035</v>
      </c>
    </row>
    <row r="3768" spans="1:6" ht="75" x14ac:dyDescent="0.25">
      <c r="A3768" s="8" t="s">
        <v>63</v>
      </c>
      <c r="B3768" s="11" t="s">
        <v>75</v>
      </c>
      <c r="C3768" s="8" t="str">
        <f>IFERROR(_xlfn.XLOOKUP(TRIM(B3768),Lookup!$B$2:$B$1000,Lookup!$C$2:$C$1000),"")</f>
        <v>Equity - Thematic (Consumption)</v>
      </c>
      <c r="D3768" s="8" t="str">
        <f>IFERROR(INDEX('nav master'!$C:$C, MATCH(B3768, 'nav master'!$B:$B, 0)), "")</f>
        <v>ULIF 088 31/03/25 TBC 110</v>
      </c>
      <c r="E3768" s="8">
        <v>11.5395</v>
      </c>
      <c r="F3768" s="9">
        <v>46036</v>
      </c>
    </row>
    <row r="3769" spans="1:6" ht="75" x14ac:dyDescent="0.25">
      <c r="A3769" s="8" t="s">
        <v>63</v>
      </c>
      <c r="B3769" s="11" t="s">
        <v>75</v>
      </c>
      <c r="C3769" s="8" t="str">
        <f>IFERROR(_xlfn.XLOOKUP(TRIM(B3769),Lookup!$B$2:$B$1000,Lookup!$C$2:$C$1000),"")</f>
        <v>Equity - Thematic (Consumption)</v>
      </c>
      <c r="D3769" s="8" t="str">
        <f>IFERROR(INDEX('nav master'!$C:$C, MATCH(B3769, 'nav master'!$B:$B, 0)), "")</f>
        <v>ULIF 088 31/03/25 TBC 110</v>
      </c>
      <c r="E3769" s="8">
        <v>11.498799999999999</v>
      </c>
      <c r="F3769" s="9">
        <v>46038</v>
      </c>
    </row>
    <row r="3770" spans="1:6" ht="75" x14ac:dyDescent="0.25">
      <c r="A3770" s="8" t="s">
        <v>63</v>
      </c>
      <c r="B3770" s="11" t="s">
        <v>75</v>
      </c>
      <c r="C3770" s="8" t="str">
        <f>IFERROR(_xlfn.XLOOKUP(TRIM(B3770),Lookup!$B$2:$B$1000,Lookup!$C$2:$C$1000),"")</f>
        <v>Equity - Thematic (Consumption)</v>
      </c>
      <c r="D3770" s="8" t="str">
        <f>IFERROR(INDEX('nav master'!$C:$C, MATCH(B3770, 'nav master'!$B:$B, 0)), "")</f>
        <v>ULIF 088 31/03/25 TBC 110</v>
      </c>
      <c r="E3770" s="8">
        <v>11.4306</v>
      </c>
      <c r="F3770" s="9">
        <v>46041</v>
      </c>
    </row>
    <row r="3771" spans="1:6" ht="75" x14ac:dyDescent="0.25">
      <c r="A3771" s="8" t="s">
        <v>63</v>
      </c>
      <c r="B3771" s="11" t="s">
        <v>75</v>
      </c>
      <c r="C3771" s="8" t="str">
        <f>IFERROR(_xlfn.XLOOKUP(TRIM(B3771),Lookup!$B$2:$B$1000,Lookup!$C$2:$C$1000),"")</f>
        <v>Equity - Thematic (Consumption)</v>
      </c>
      <c r="D3771" s="8" t="str">
        <f>IFERROR(INDEX('nav master'!$C:$C, MATCH(B3771, 'nav master'!$B:$B, 0)), "")</f>
        <v>ULIF 088 31/03/25 TBC 110</v>
      </c>
      <c r="E3771" s="8">
        <v>11.1876</v>
      </c>
      <c r="F3771" s="9">
        <v>46042</v>
      </c>
    </row>
    <row r="3772" spans="1:6" ht="75" x14ac:dyDescent="0.25">
      <c r="A3772" s="8" t="s">
        <v>63</v>
      </c>
      <c r="B3772" s="11" t="s">
        <v>75</v>
      </c>
      <c r="C3772" s="8" t="str">
        <f>IFERROR(_xlfn.XLOOKUP(TRIM(B3772),Lookup!$B$2:$B$1000,Lookup!$C$2:$C$1000),"")</f>
        <v>Equity - Thematic (Consumption)</v>
      </c>
      <c r="D3772" s="8" t="str">
        <f>IFERROR(INDEX('nav master'!$C:$C, MATCH(B3772, 'nav master'!$B:$B, 0)), "")</f>
        <v>ULIF 088 31/03/25 TBC 110</v>
      </c>
      <c r="E3772" s="8">
        <v>11.1564</v>
      </c>
      <c r="F3772" s="9">
        <v>46043</v>
      </c>
    </row>
    <row r="3773" spans="1:6" ht="75" x14ac:dyDescent="0.25">
      <c r="A3773" s="8" t="s">
        <v>63</v>
      </c>
      <c r="B3773" s="11" t="s">
        <v>75</v>
      </c>
      <c r="C3773" s="8" t="str">
        <f>IFERROR(_xlfn.XLOOKUP(TRIM(B3773),Lookup!$B$2:$B$1000,Lookup!$C$2:$C$1000),"")</f>
        <v>Equity - Thematic (Consumption)</v>
      </c>
      <c r="D3773" s="8" t="str">
        <f>IFERROR(INDEX('nav master'!$C:$C, MATCH(B3773, 'nav master'!$B:$B, 0)), "")</f>
        <v>ULIF 088 31/03/25 TBC 110</v>
      </c>
      <c r="E3773" s="8">
        <v>11.223100000000001</v>
      </c>
      <c r="F3773" s="9">
        <v>46044</v>
      </c>
    </row>
    <row r="3774" spans="1:6" ht="75" x14ac:dyDescent="0.25">
      <c r="A3774" s="8" t="s">
        <v>63</v>
      </c>
      <c r="B3774" s="11" t="s">
        <v>75</v>
      </c>
      <c r="C3774" s="8" t="str">
        <f>IFERROR(_xlfn.XLOOKUP(TRIM(B3774),Lookup!$B$2:$B$1000,Lookup!$C$2:$C$1000),"")</f>
        <v>Equity - Thematic (Consumption)</v>
      </c>
      <c r="D3774" s="8" t="str">
        <f>IFERROR(INDEX('nav master'!$C:$C, MATCH(B3774, 'nav master'!$B:$B, 0)), "")</f>
        <v>ULIF 088 31/03/25 TBC 110</v>
      </c>
      <c r="E3774" s="8">
        <v>11.0281</v>
      </c>
      <c r="F3774" s="9">
        <v>46045</v>
      </c>
    </row>
    <row r="3775" spans="1:6" ht="75" x14ac:dyDescent="0.25">
      <c r="A3775" s="8" t="s">
        <v>63</v>
      </c>
      <c r="B3775" s="11" t="s">
        <v>75</v>
      </c>
      <c r="C3775" s="8" t="str">
        <f>IFERROR(_xlfn.XLOOKUP(TRIM(B3775),Lookup!$B$2:$B$1000,Lookup!$C$2:$C$1000),"")</f>
        <v>Equity - Thematic (Consumption)</v>
      </c>
      <c r="D3775" s="8" t="str">
        <f>IFERROR(INDEX('nav master'!$C:$C, MATCH(B3775, 'nav master'!$B:$B, 0)), "")</f>
        <v>ULIF 088 31/03/25 TBC 110</v>
      </c>
      <c r="E3775" s="8">
        <v>11.067500000000001</v>
      </c>
      <c r="F3775" s="9">
        <v>46049</v>
      </c>
    </row>
    <row r="3776" spans="1:6" ht="75" x14ac:dyDescent="0.25">
      <c r="A3776" s="8" t="s">
        <v>63</v>
      </c>
      <c r="B3776" s="11" t="s">
        <v>75</v>
      </c>
      <c r="C3776" s="8" t="str">
        <f>IFERROR(_xlfn.XLOOKUP(TRIM(B3776),Lookup!$B$2:$B$1000,Lookup!$C$2:$C$1000),"")</f>
        <v>Equity - Thematic (Consumption)</v>
      </c>
      <c r="D3776" s="8" t="str">
        <f>IFERROR(INDEX('nav master'!$C:$C, MATCH(B3776, 'nav master'!$B:$B, 0)), "")</f>
        <v>ULIF 088 31/03/25 TBC 110</v>
      </c>
      <c r="E3776" s="8">
        <v>11.226800000000001</v>
      </c>
      <c r="F3776" s="9">
        <v>46050</v>
      </c>
    </row>
    <row r="3777" spans="1:6" ht="75" x14ac:dyDescent="0.25">
      <c r="A3777" s="8" t="s">
        <v>63</v>
      </c>
      <c r="B3777" s="11" t="s">
        <v>75</v>
      </c>
      <c r="C3777" s="8" t="str">
        <f>IFERROR(_xlfn.XLOOKUP(TRIM(B3777),Lookup!$B$2:$B$1000,Lookup!$C$2:$C$1000),"")</f>
        <v>Equity - Thematic (Consumption)</v>
      </c>
      <c r="D3777" s="8" t="str">
        <f>IFERROR(INDEX('nav master'!$C:$C, MATCH(B3777, 'nav master'!$B:$B, 0)), "")</f>
        <v>ULIF 088 31/03/25 TBC 110</v>
      </c>
      <c r="E3777" s="8">
        <v>11.196300000000001</v>
      </c>
      <c r="F3777" s="9">
        <v>46051</v>
      </c>
    </row>
    <row r="3778" spans="1:6" ht="75" x14ac:dyDescent="0.25">
      <c r="A3778" s="8" t="s">
        <v>63</v>
      </c>
      <c r="B3778" s="11" t="s">
        <v>75</v>
      </c>
      <c r="C3778" s="8" t="str">
        <f>IFERROR(_xlfn.XLOOKUP(TRIM(B3778),Lookup!$B$2:$B$1000,Lookup!$C$2:$C$1000),"")</f>
        <v>Equity - Thematic (Consumption)</v>
      </c>
      <c r="D3778" s="8" t="str">
        <f>IFERROR(INDEX('nav master'!$C:$C, MATCH(B3778, 'nav master'!$B:$B, 0)), "")</f>
        <v>ULIF 088 31/03/25 TBC 110</v>
      </c>
      <c r="E3778" s="8">
        <v>11.248900000000001</v>
      </c>
      <c r="F3778" s="9">
        <v>46052</v>
      </c>
    </row>
    <row r="3779" spans="1:6" ht="75" x14ac:dyDescent="0.25">
      <c r="A3779" s="8" t="s">
        <v>63</v>
      </c>
      <c r="B3779" s="11" t="s">
        <v>75</v>
      </c>
      <c r="C3779" s="8" t="str">
        <f>IFERROR(_xlfn.XLOOKUP(TRIM(B3779),Lookup!$B$2:$B$1000,Lookup!$C$2:$C$1000),"")</f>
        <v>Equity - Thematic (Consumption)</v>
      </c>
      <c r="D3779" s="8" t="str">
        <f>IFERROR(INDEX('nav master'!$C:$C, MATCH(B3779, 'nav master'!$B:$B, 0)), "")</f>
        <v>ULIF 088 31/03/25 TBC 110</v>
      </c>
      <c r="E3779" s="8">
        <v>11.0776</v>
      </c>
      <c r="F3779" s="9">
        <v>46054</v>
      </c>
    </row>
    <row r="3780" spans="1:6" ht="75" x14ac:dyDescent="0.25">
      <c r="A3780" s="8" t="s">
        <v>63</v>
      </c>
      <c r="B3780" s="11" t="s">
        <v>75</v>
      </c>
      <c r="C3780" s="8" t="str">
        <f>IFERROR(_xlfn.XLOOKUP(TRIM(B3780),Lookup!$B$2:$B$1000,Lookup!$C$2:$C$1000),"")</f>
        <v>Equity - Thematic (Consumption)</v>
      </c>
      <c r="D3780" s="8" t="str">
        <f>IFERROR(INDEX('nav master'!$C:$C, MATCH(B3780, 'nav master'!$B:$B, 0)), "")</f>
        <v>ULIF 088 31/03/25 TBC 110</v>
      </c>
      <c r="E3780" s="8">
        <v>11.1447</v>
      </c>
      <c r="F3780" s="9">
        <v>46055</v>
      </c>
    </row>
    <row r="3781" spans="1:6" ht="75" x14ac:dyDescent="0.25">
      <c r="A3781" s="8" t="s">
        <v>63</v>
      </c>
      <c r="B3781" s="11" t="s">
        <v>75</v>
      </c>
      <c r="C3781" s="8" t="str">
        <f>IFERROR(_xlfn.XLOOKUP(TRIM(B3781),Lookup!$B$2:$B$1000,Lookup!$C$2:$C$1000),"")</f>
        <v>Equity - Thematic (Consumption)</v>
      </c>
      <c r="D3781" s="8" t="str">
        <f>IFERROR(INDEX('nav master'!$C:$C, MATCH(B3781, 'nav master'!$B:$B, 0)), "")</f>
        <v>ULIF 088 31/03/25 TBC 110</v>
      </c>
      <c r="E3781" s="8">
        <v>11.4064</v>
      </c>
      <c r="F3781" s="9">
        <v>46056</v>
      </c>
    </row>
    <row r="3782" spans="1:6" ht="75" x14ac:dyDescent="0.25">
      <c r="A3782" s="8" t="s">
        <v>63</v>
      </c>
      <c r="B3782" s="11" t="s">
        <v>75</v>
      </c>
      <c r="C3782" s="8" t="str">
        <f>IFERROR(_xlfn.XLOOKUP(TRIM(B3782),Lookup!$B$2:$B$1000,Lookup!$C$2:$C$1000),"")</f>
        <v>Equity - Thematic (Consumption)</v>
      </c>
      <c r="D3782" s="8" t="str">
        <f>IFERROR(INDEX('nav master'!$C:$C, MATCH(B3782, 'nav master'!$B:$B, 0)), "")</f>
        <v>ULIF 088 31/03/25 TBC 110</v>
      </c>
      <c r="E3782" s="8">
        <v>11.485799999999999</v>
      </c>
      <c r="F3782" s="9">
        <v>46057</v>
      </c>
    </row>
    <row r="3783" spans="1:6" ht="75" x14ac:dyDescent="0.25">
      <c r="A3783" s="8" t="s">
        <v>63</v>
      </c>
      <c r="B3783" s="11" t="s">
        <v>75</v>
      </c>
      <c r="C3783" s="8" t="str">
        <f>IFERROR(_xlfn.XLOOKUP(TRIM(B3783),Lookup!$B$2:$B$1000,Lookup!$C$2:$C$1000),"")</f>
        <v>Equity - Thematic (Consumption)</v>
      </c>
      <c r="D3783" s="8" t="str">
        <f>IFERROR(INDEX('nav master'!$C:$C, MATCH(B3783, 'nav master'!$B:$B, 0)), "")</f>
        <v>ULIF 088 31/03/25 TBC 110</v>
      </c>
      <c r="E3783" s="8">
        <v>11.4069</v>
      </c>
      <c r="F3783" s="9">
        <v>46058</v>
      </c>
    </row>
    <row r="3784" spans="1:6" ht="75" x14ac:dyDescent="0.25">
      <c r="A3784" s="8" t="s">
        <v>63</v>
      </c>
      <c r="B3784" s="11" t="s">
        <v>75</v>
      </c>
      <c r="C3784" s="8" t="str">
        <f>IFERROR(_xlfn.XLOOKUP(TRIM(B3784),Lookup!$B$2:$B$1000,Lookup!$C$2:$C$1000),"")</f>
        <v>Equity - Thematic (Consumption)</v>
      </c>
      <c r="D3784" s="8" t="str">
        <f>IFERROR(INDEX('nav master'!$C:$C, MATCH(B3784, 'nav master'!$B:$B, 0)), "")</f>
        <v>ULIF 088 31/03/25 TBC 110</v>
      </c>
      <c r="E3784" s="8">
        <v>11.404299999999999</v>
      </c>
      <c r="F3784" s="9">
        <v>46059</v>
      </c>
    </row>
    <row r="3785" spans="1:6" ht="75" x14ac:dyDescent="0.25">
      <c r="A3785" s="8" t="s">
        <v>63</v>
      </c>
      <c r="B3785" s="11" t="s">
        <v>75</v>
      </c>
      <c r="C3785" s="8" t="str">
        <f>IFERROR(_xlfn.XLOOKUP(TRIM(B3785),Lookup!$B$2:$B$1000,Lookup!$C$2:$C$1000),"")</f>
        <v>Equity - Thematic (Consumption)</v>
      </c>
      <c r="D3785" s="8" t="str">
        <f>IFERROR(INDEX('nav master'!$C:$C, MATCH(B3785, 'nav master'!$B:$B, 0)), "")</f>
        <v>ULIF 088 31/03/25 TBC 110</v>
      </c>
      <c r="E3785" s="8">
        <v>11.5871</v>
      </c>
      <c r="F3785" s="9">
        <v>46062</v>
      </c>
    </row>
    <row r="3786" spans="1:6" ht="75" x14ac:dyDescent="0.25">
      <c r="A3786" s="8" t="s">
        <v>63</v>
      </c>
      <c r="B3786" s="11" t="s">
        <v>75</v>
      </c>
      <c r="C3786" s="8" t="str">
        <f>IFERROR(_xlfn.XLOOKUP(TRIM(B3786),Lookup!$B$2:$B$1000,Lookup!$C$2:$C$1000),"")</f>
        <v>Equity - Thematic (Consumption)</v>
      </c>
      <c r="D3786" s="8" t="str">
        <f>IFERROR(INDEX('nav master'!$C:$C, MATCH(B3786, 'nav master'!$B:$B, 0)), "")</f>
        <v>ULIF 088 31/03/25 TBC 110</v>
      </c>
      <c r="E3786" s="8">
        <v>11.683400000000001</v>
      </c>
      <c r="F3786" s="9">
        <v>46063</v>
      </c>
    </row>
    <row r="3787" spans="1:6" ht="75" x14ac:dyDescent="0.25">
      <c r="A3787" s="8" t="s">
        <v>63</v>
      </c>
      <c r="B3787" s="11" t="s">
        <v>75</v>
      </c>
      <c r="C3787" s="8" t="str">
        <f>IFERROR(_xlfn.XLOOKUP(TRIM(B3787),Lookup!$B$2:$B$1000,Lookup!$C$2:$C$1000),"")</f>
        <v>Equity - Thematic (Consumption)</v>
      </c>
      <c r="D3787" s="8" t="str">
        <f>IFERROR(INDEX('nav master'!$C:$C, MATCH(B3787, 'nav master'!$B:$B, 0)), "")</f>
        <v>ULIF 088 31/03/25 TBC 110</v>
      </c>
      <c r="E3787" s="8">
        <v>11.705</v>
      </c>
      <c r="F3787" s="9">
        <v>46064</v>
      </c>
    </row>
    <row r="3788" spans="1:6" ht="75" x14ac:dyDescent="0.25">
      <c r="A3788" s="8" t="s">
        <v>63</v>
      </c>
      <c r="B3788" s="11" t="s">
        <v>75</v>
      </c>
      <c r="C3788" s="8" t="str">
        <f>IFERROR(_xlfn.XLOOKUP(TRIM(B3788),Lookup!$B$2:$B$1000,Lookup!$C$2:$C$1000),"")</f>
        <v>Equity - Thematic (Consumption)</v>
      </c>
      <c r="D3788" s="8" t="str">
        <f>IFERROR(INDEX('nav master'!$C:$C, MATCH(B3788, 'nav master'!$B:$B, 0)), "")</f>
        <v>ULIF 088 31/03/25 TBC 110</v>
      </c>
      <c r="E3788" s="8">
        <v>11.6813</v>
      </c>
      <c r="F3788" s="9">
        <v>46065</v>
      </c>
    </row>
    <row r="3789" spans="1:6" ht="75" x14ac:dyDescent="0.25">
      <c r="A3789" s="8" t="s">
        <v>63</v>
      </c>
      <c r="B3789" s="11" t="s">
        <v>75</v>
      </c>
      <c r="C3789" s="8" t="str">
        <f>IFERROR(_xlfn.XLOOKUP(TRIM(B3789),Lookup!$B$2:$B$1000,Lookup!$C$2:$C$1000),"")</f>
        <v>Equity - Thematic (Consumption)</v>
      </c>
      <c r="D3789" s="8" t="str">
        <f>IFERROR(INDEX('nav master'!$C:$C, MATCH(B3789, 'nav master'!$B:$B, 0)), "")</f>
        <v>ULIF 088 31/03/25 TBC 110</v>
      </c>
      <c r="E3789" s="8">
        <v>11.496499999999999</v>
      </c>
      <c r="F3789" s="9">
        <v>46066</v>
      </c>
    </row>
    <row r="3790" spans="1:6" ht="75" x14ac:dyDescent="0.25">
      <c r="A3790" s="8" t="s">
        <v>63</v>
      </c>
      <c r="B3790" s="11" t="s">
        <v>75</v>
      </c>
      <c r="C3790" s="8" t="str">
        <f>IFERROR(_xlfn.XLOOKUP(TRIM(B3790),Lookup!$B$2:$B$1000,Lookup!$C$2:$C$1000),"")</f>
        <v>Equity - Thematic (Consumption)</v>
      </c>
      <c r="D3790" s="8" t="str">
        <f>IFERROR(INDEX('nav master'!$C:$C, MATCH(B3790, 'nav master'!$B:$B, 0)), "")</f>
        <v>ULIF 088 31/03/25 TBC 110</v>
      </c>
      <c r="E3790" s="8">
        <v>11.526199999999999</v>
      </c>
      <c r="F3790" s="9">
        <v>46069</v>
      </c>
    </row>
    <row r="3791" spans="1:6" ht="75" x14ac:dyDescent="0.25">
      <c r="A3791" s="8" t="s">
        <v>63</v>
      </c>
      <c r="B3791" s="11" t="s">
        <v>75</v>
      </c>
      <c r="C3791" s="8" t="str">
        <f>IFERROR(_xlfn.XLOOKUP(TRIM(B3791),Lookup!$B$2:$B$1000,Lookup!$C$2:$C$1000),"")</f>
        <v>Equity - Thematic (Consumption)</v>
      </c>
      <c r="D3791" s="8" t="str">
        <f>IFERROR(INDEX('nav master'!$C:$C, MATCH(B3791, 'nav master'!$B:$B, 0)), "")</f>
        <v>ULIF 088 31/03/25 TBC 110</v>
      </c>
      <c r="E3791" s="8">
        <v>11.5337</v>
      </c>
      <c r="F3791" s="9">
        <v>46070</v>
      </c>
    </row>
    <row r="3792" spans="1:6" ht="75" x14ac:dyDescent="0.25">
      <c r="A3792" s="8" t="s">
        <v>63</v>
      </c>
      <c r="B3792" s="11" t="s">
        <v>75</v>
      </c>
      <c r="C3792" s="8" t="str">
        <f>IFERROR(_xlfn.XLOOKUP(TRIM(B3792),Lookup!$B$2:$B$1000,Lookup!$C$2:$C$1000),"")</f>
        <v>Equity - Thematic (Consumption)</v>
      </c>
      <c r="D3792" s="8" t="str">
        <f>IFERROR(INDEX('nav master'!$C:$C, MATCH(B3792, 'nav master'!$B:$B, 0)), "")</f>
        <v>ULIF 088 31/03/25 TBC 110</v>
      </c>
      <c r="E3792" s="8">
        <v>11.599600000000001</v>
      </c>
      <c r="F3792" s="9">
        <v>46071</v>
      </c>
    </row>
    <row r="3793" spans="1:6" ht="75" x14ac:dyDescent="0.25">
      <c r="A3793" s="8" t="s">
        <v>63</v>
      </c>
      <c r="B3793" s="11" t="s">
        <v>75</v>
      </c>
      <c r="C3793" s="8" t="str">
        <f>IFERROR(_xlfn.XLOOKUP(TRIM(B3793),Lookup!$B$2:$B$1000,Lookup!$C$2:$C$1000),"")</f>
        <v>Equity - Thematic (Consumption)</v>
      </c>
      <c r="D3793" s="8" t="str">
        <f>IFERROR(INDEX('nav master'!$C:$C, MATCH(B3793, 'nav master'!$B:$B, 0)), "")</f>
        <v>ULIF 088 31/03/25 TBC 110</v>
      </c>
      <c r="E3793" s="8">
        <v>11.423999999999999</v>
      </c>
      <c r="F3793" s="9">
        <v>46072</v>
      </c>
    </row>
    <row r="3794" spans="1:6" ht="75" x14ac:dyDescent="0.25">
      <c r="A3794" s="8" t="s">
        <v>63</v>
      </c>
      <c r="B3794" s="11" t="s">
        <v>75</v>
      </c>
      <c r="C3794" s="8" t="str">
        <f>IFERROR(_xlfn.XLOOKUP(TRIM(B3794),Lookup!$B$2:$B$1000,Lookup!$C$2:$C$1000),"")</f>
        <v>Equity - Thematic (Consumption)</v>
      </c>
      <c r="D3794" s="8" t="str">
        <f>IFERROR(INDEX('nav master'!$C:$C, MATCH(B3794, 'nav master'!$B:$B, 0)), "")</f>
        <v>ULIF 088 31/03/25 TBC 110</v>
      </c>
      <c r="E3794" s="8">
        <v>11.446099999999999</v>
      </c>
      <c r="F3794" s="9">
        <v>46073</v>
      </c>
    </row>
    <row r="3795" spans="1:6" ht="75" x14ac:dyDescent="0.25">
      <c r="A3795" s="8" t="s">
        <v>63</v>
      </c>
      <c r="B3795" s="11" t="s">
        <v>75</v>
      </c>
      <c r="C3795" s="8" t="str">
        <f>IFERROR(_xlfn.XLOOKUP(TRIM(B3795),Lookup!$B$2:$B$1000,Lookup!$C$2:$C$1000),"")</f>
        <v>Equity - Thematic (Consumption)</v>
      </c>
      <c r="D3795" s="8" t="str">
        <f>IFERROR(INDEX('nav master'!$C:$C, MATCH(B3795, 'nav master'!$B:$B, 0)), "")</f>
        <v>ULIF 088 31/03/25 TBC 110</v>
      </c>
      <c r="E3795" s="8">
        <v>11.527699999999999</v>
      </c>
      <c r="F3795" s="9">
        <v>46076</v>
      </c>
    </row>
    <row r="3796" spans="1:6" ht="75" x14ac:dyDescent="0.25">
      <c r="A3796" s="8" t="s">
        <v>63</v>
      </c>
      <c r="B3796" s="11" t="s">
        <v>75</v>
      </c>
      <c r="C3796" s="8" t="str">
        <f>IFERROR(_xlfn.XLOOKUP(TRIM(B3796),Lookup!$B$2:$B$1000,Lookup!$C$2:$C$1000),"")</f>
        <v>Equity - Thematic (Consumption)</v>
      </c>
      <c r="D3796" s="8" t="str">
        <f>IFERROR(INDEX('nav master'!$C:$C, MATCH(B3796, 'nav master'!$B:$B, 0)), "")</f>
        <v>ULIF 088 31/03/25 TBC 110</v>
      </c>
      <c r="E3796" s="8">
        <v>11.4572</v>
      </c>
      <c r="F3796" s="9">
        <v>46077</v>
      </c>
    </row>
    <row r="3797" spans="1:6" ht="75" x14ac:dyDescent="0.25">
      <c r="A3797" s="8" t="s">
        <v>63</v>
      </c>
      <c r="B3797" s="11" t="s">
        <v>75</v>
      </c>
      <c r="C3797" s="8" t="str">
        <f>IFERROR(_xlfn.XLOOKUP(TRIM(B3797),Lookup!$B$2:$B$1000,Lookup!$C$2:$C$1000),"")</f>
        <v>Equity - Thematic (Consumption)</v>
      </c>
      <c r="D3797" s="8" t="str">
        <f>IFERROR(INDEX('nav master'!$C:$C, MATCH(B3797, 'nav master'!$B:$B, 0)), "")</f>
        <v>ULIF 088 31/03/25 TBC 110</v>
      </c>
      <c r="E3797" s="8">
        <v>11.4963</v>
      </c>
      <c r="F3797" s="9">
        <v>46078</v>
      </c>
    </row>
    <row r="3798" spans="1:6" ht="75" x14ac:dyDescent="0.25">
      <c r="A3798" s="8" t="s">
        <v>63</v>
      </c>
      <c r="B3798" s="11" t="s">
        <v>75</v>
      </c>
      <c r="C3798" s="8" t="str">
        <f>IFERROR(_xlfn.XLOOKUP(TRIM(B3798),Lookup!$B$2:$B$1000,Lookup!$C$2:$C$1000),"")</f>
        <v>Equity - Thematic (Consumption)</v>
      </c>
      <c r="D3798" s="8" t="str">
        <f>IFERROR(INDEX('nav master'!$C:$C, MATCH(B3798, 'nav master'!$B:$B, 0)), "")</f>
        <v>ULIF 088 31/03/25 TBC 110</v>
      </c>
      <c r="E3798" s="8">
        <v>11.515000000000001</v>
      </c>
      <c r="F3798" s="9">
        <v>46079</v>
      </c>
    </row>
    <row r="3799" spans="1:6" ht="75" x14ac:dyDescent="0.25">
      <c r="A3799" s="8" t="s">
        <v>63</v>
      </c>
      <c r="B3799" s="11" t="s">
        <v>75</v>
      </c>
      <c r="C3799" s="8" t="str">
        <f>IFERROR(_xlfn.XLOOKUP(TRIM(B3799),Lookup!$B$2:$B$1000,Lookup!$C$2:$C$1000),"")</f>
        <v>Equity - Thematic (Consumption)</v>
      </c>
      <c r="D3799" s="8" t="str">
        <f>IFERROR(INDEX('nav master'!$C:$C, MATCH(B3799, 'nav master'!$B:$B, 0)), "")</f>
        <v>ULIF 088 31/03/25 TBC 110</v>
      </c>
      <c r="E3799" s="8">
        <v>11.3474</v>
      </c>
      <c r="F3799" s="9">
        <v>46080</v>
      </c>
    </row>
    <row r="3800" spans="1:6" ht="75" x14ac:dyDescent="0.25">
      <c r="A3800" s="8" t="s">
        <v>63</v>
      </c>
      <c r="B3800" s="11" t="s">
        <v>75</v>
      </c>
      <c r="C3800" s="8" t="str">
        <f>IFERROR(_xlfn.XLOOKUP(TRIM(B3800),Lookup!$B$2:$B$1000,Lookup!$C$2:$C$1000),"")</f>
        <v>Equity - Thematic (Consumption)</v>
      </c>
      <c r="D3800" s="8" t="str">
        <f>IFERROR(INDEX('nav master'!$C:$C, MATCH(B3800, 'nav master'!$B:$B, 0)), "")</f>
        <v>ULIF 088 31/03/25 TBC 110</v>
      </c>
      <c r="E3800" s="8">
        <v>11.149699999999999</v>
      </c>
      <c r="F3800" s="9">
        <v>46083</v>
      </c>
    </row>
    <row r="3801" spans="1:6" ht="75" x14ac:dyDescent="0.25">
      <c r="A3801" s="8" t="s">
        <v>63</v>
      </c>
      <c r="B3801" s="11" t="s">
        <v>75</v>
      </c>
      <c r="C3801" s="8" t="str">
        <f>IFERROR(_xlfn.XLOOKUP(TRIM(B3801),Lookup!$B$2:$B$1000,Lookup!$C$2:$C$1000),"")</f>
        <v>Equity - Thematic (Consumption)</v>
      </c>
      <c r="D3801" s="8" t="str">
        <f>IFERROR(INDEX('nav master'!$C:$C, MATCH(B3801, 'nav master'!$B:$B, 0)), "")</f>
        <v>ULIF 088 31/03/25 TBC 110</v>
      </c>
      <c r="E3801" s="8">
        <v>10.923299999999999</v>
      </c>
      <c r="F3801" s="9">
        <v>46085</v>
      </c>
    </row>
    <row r="3802" spans="1:6" ht="75" x14ac:dyDescent="0.25">
      <c r="A3802" s="8" t="s">
        <v>63</v>
      </c>
      <c r="B3802" s="11" t="s">
        <v>75</v>
      </c>
      <c r="C3802" s="8" t="str">
        <f>IFERROR(_xlfn.XLOOKUP(TRIM(B3802),Lookup!$B$2:$B$1000,Lookup!$C$2:$C$1000),"")</f>
        <v>Equity - Thematic (Consumption)</v>
      </c>
      <c r="D3802" s="8" t="str">
        <f>IFERROR(INDEX('nav master'!$C:$C, MATCH(B3802, 'nav master'!$B:$B, 0)), "")</f>
        <v>ULIF 088 31/03/25 TBC 110</v>
      </c>
      <c r="E3802" s="8">
        <v>11.0709</v>
      </c>
      <c r="F3802" s="9">
        <v>46086</v>
      </c>
    </row>
    <row r="3803" spans="1:6" ht="75" x14ac:dyDescent="0.25">
      <c r="A3803" s="8" t="s">
        <v>63</v>
      </c>
      <c r="B3803" s="11" t="s">
        <v>75</v>
      </c>
      <c r="C3803" s="8" t="str">
        <f>IFERROR(_xlfn.XLOOKUP(TRIM(B3803),Lookup!$B$2:$B$1000,Lookup!$C$2:$C$1000),"")</f>
        <v>Equity - Thematic (Consumption)</v>
      </c>
      <c r="D3803" s="8" t="str">
        <f>IFERROR(INDEX('nav master'!$C:$C, MATCH(B3803, 'nav master'!$B:$B, 0)), "")</f>
        <v>ULIF 088 31/03/25 TBC 110</v>
      </c>
      <c r="E3803" s="8">
        <v>10.982900000000001</v>
      </c>
      <c r="F3803" s="9">
        <v>46087</v>
      </c>
    </row>
    <row r="3804" spans="1:6" ht="75" x14ac:dyDescent="0.25">
      <c r="A3804" s="8" t="s">
        <v>63</v>
      </c>
      <c r="B3804" s="11" t="s">
        <v>75</v>
      </c>
      <c r="C3804" s="8" t="str">
        <f>IFERROR(_xlfn.XLOOKUP(TRIM(B3804),Lookup!$B$2:$B$1000,Lookup!$C$2:$C$1000),"")</f>
        <v>Equity - Thematic (Consumption)</v>
      </c>
      <c r="D3804" s="8" t="str">
        <f>IFERROR(INDEX('nav master'!$C:$C, MATCH(B3804, 'nav master'!$B:$B, 0)), "")</f>
        <v>ULIF 088 31/03/25 TBC 110</v>
      </c>
      <c r="E3804" s="8">
        <v>10.7934</v>
      </c>
      <c r="F3804" s="9">
        <v>46090</v>
      </c>
    </row>
    <row r="3805" spans="1:6" ht="75" x14ac:dyDescent="0.25">
      <c r="A3805" s="8" t="s">
        <v>63</v>
      </c>
      <c r="B3805" s="11" t="s">
        <v>75</v>
      </c>
      <c r="C3805" s="8" t="str">
        <f>IFERROR(_xlfn.XLOOKUP(TRIM(B3805),Lookup!$B$2:$B$1000,Lookup!$C$2:$C$1000),"")</f>
        <v>Equity - Thematic (Consumption)</v>
      </c>
      <c r="D3805" s="8" t="str">
        <f>IFERROR(INDEX('nav master'!$C:$C, MATCH(B3805, 'nav master'!$B:$B, 0)), "")</f>
        <v>ULIF 088 31/03/25 TBC 110</v>
      </c>
      <c r="E3805" s="8">
        <v>10.948499999999999</v>
      </c>
      <c r="F3805" s="9">
        <v>46091</v>
      </c>
    </row>
    <row r="3806" spans="1:6" ht="75" x14ac:dyDescent="0.25">
      <c r="A3806" s="8" t="s">
        <v>63</v>
      </c>
      <c r="B3806" s="11" t="s">
        <v>75</v>
      </c>
      <c r="C3806" s="8" t="str">
        <f>IFERROR(_xlfn.XLOOKUP(TRIM(B3806),Lookup!$B$2:$B$1000,Lookup!$C$2:$C$1000),"")</f>
        <v>Equity - Thematic (Consumption)</v>
      </c>
      <c r="D3806" s="8" t="str">
        <f>IFERROR(INDEX('nav master'!$C:$C, MATCH(B3806, 'nav master'!$B:$B, 0)), "")</f>
        <v>ULIF 088 31/03/25 TBC 110</v>
      </c>
      <c r="E3806" s="8">
        <v>10.8102</v>
      </c>
      <c r="F3806" s="9">
        <v>46092</v>
      </c>
    </row>
    <row r="3807" spans="1:6" ht="75" x14ac:dyDescent="0.25">
      <c r="A3807" s="8" t="s">
        <v>63</v>
      </c>
      <c r="B3807" s="11" t="s">
        <v>75</v>
      </c>
      <c r="C3807" s="8" t="str">
        <f>IFERROR(_xlfn.XLOOKUP(TRIM(B3807),Lookup!$B$2:$B$1000,Lookup!$C$2:$C$1000),"")</f>
        <v>Equity - Thematic (Consumption)</v>
      </c>
      <c r="D3807" s="8" t="str">
        <f>IFERROR(INDEX('nav master'!$C:$C, MATCH(B3807, 'nav master'!$B:$B, 0)), "")</f>
        <v>ULIF 088 31/03/25 TBC 110</v>
      </c>
      <c r="E3807" s="8">
        <v>10.710699999999999</v>
      </c>
      <c r="F3807" s="9">
        <v>46093</v>
      </c>
    </row>
    <row r="3808" spans="1:6" ht="75" x14ac:dyDescent="0.25">
      <c r="A3808" s="8" t="s">
        <v>63</v>
      </c>
      <c r="B3808" s="11" t="s">
        <v>75</v>
      </c>
      <c r="C3808" s="8" t="str">
        <f>IFERROR(_xlfn.XLOOKUP(TRIM(B3808),Lookup!$B$2:$B$1000,Lookup!$C$2:$C$1000),"")</f>
        <v>Equity - Thematic (Consumption)</v>
      </c>
      <c r="D3808" s="8" t="str">
        <f>IFERROR(INDEX('nav master'!$C:$C, MATCH(B3808, 'nav master'!$B:$B, 0)), "")</f>
        <v>ULIF 088 31/03/25 TBC 110</v>
      </c>
      <c r="E3808" s="8">
        <v>10.502000000000001</v>
      </c>
      <c r="F3808" s="9">
        <v>46094</v>
      </c>
    </row>
    <row r="3809" spans="1:6" ht="75" x14ac:dyDescent="0.25">
      <c r="A3809" s="8" t="s">
        <v>63</v>
      </c>
      <c r="B3809" s="11" t="s">
        <v>75</v>
      </c>
      <c r="C3809" s="8" t="str">
        <f>IFERROR(_xlfn.XLOOKUP(TRIM(B3809),Lookup!$B$2:$B$1000,Lookup!$C$2:$C$1000),"")</f>
        <v>Equity - Thematic (Consumption)</v>
      </c>
      <c r="D3809" s="8" t="str">
        <f>IFERROR(INDEX('nav master'!$C:$C, MATCH(B3809, 'nav master'!$B:$B, 0)), "")</f>
        <v>ULIF 088 31/03/25 TBC 110</v>
      </c>
      <c r="E3809" s="8">
        <v>10.5533</v>
      </c>
      <c r="F3809" s="9">
        <v>46097</v>
      </c>
    </row>
    <row r="3810" spans="1:6" ht="75" x14ac:dyDescent="0.25">
      <c r="A3810" s="8" t="s">
        <v>63</v>
      </c>
      <c r="B3810" s="11" t="s">
        <v>75</v>
      </c>
      <c r="C3810" s="8" t="str">
        <f>IFERROR(_xlfn.XLOOKUP(TRIM(B3810),Lookup!$B$2:$B$1000,Lookup!$C$2:$C$1000),"")</f>
        <v>Equity - Thematic (Consumption)</v>
      </c>
      <c r="D3810" s="8" t="str">
        <f>IFERROR(INDEX('nav master'!$C:$C, MATCH(B3810, 'nav master'!$B:$B, 0)), "")</f>
        <v>ULIF 088 31/03/25 TBC 110</v>
      </c>
      <c r="E3810" s="8">
        <v>10.6814</v>
      </c>
      <c r="F3810" s="9">
        <v>46098</v>
      </c>
    </row>
    <row r="3811" spans="1:6" ht="75" x14ac:dyDescent="0.25">
      <c r="A3811" s="8" t="s">
        <v>63</v>
      </c>
      <c r="B3811" s="11" t="s">
        <v>75</v>
      </c>
      <c r="C3811" s="8" t="str">
        <f>IFERROR(_xlfn.XLOOKUP(TRIM(B3811),Lookup!$B$2:$B$1000,Lookup!$C$2:$C$1000),"")</f>
        <v>Equity - Thematic (Consumption)</v>
      </c>
      <c r="D3811" s="8" t="str">
        <f>IFERROR(INDEX('nav master'!$C:$C, MATCH(B3811, 'nav master'!$B:$B, 0)), "")</f>
        <v>ULIF 088 31/03/25 TBC 110</v>
      </c>
      <c r="E3811" s="8">
        <v>10.8346</v>
      </c>
      <c r="F3811" s="9">
        <v>46099</v>
      </c>
    </row>
    <row r="3812" spans="1:6" ht="75" x14ac:dyDescent="0.25">
      <c r="A3812" s="8" t="s">
        <v>63</v>
      </c>
      <c r="B3812" s="11" t="s">
        <v>75</v>
      </c>
      <c r="C3812" s="8" t="str">
        <f>IFERROR(_xlfn.XLOOKUP(TRIM(B3812),Lookup!$B$2:$B$1000,Lookup!$C$2:$C$1000),"")</f>
        <v>Equity - Thematic (Consumption)</v>
      </c>
      <c r="D3812" s="8" t="str">
        <f>IFERROR(INDEX('nav master'!$C:$C, MATCH(B3812, 'nav master'!$B:$B, 0)), "")</f>
        <v>ULIF 088 31/03/25 TBC 110</v>
      </c>
      <c r="E3812" s="8">
        <v>10.492599999999999</v>
      </c>
      <c r="F3812" s="9">
        <v>46100</v>
      </c>
    </row>
    <row r="3813" spans="1:6" ht="75" x14ac:dyDescent="0.25">
      <c r="A3813" s="8" t="s">
        <v>63</v>
      </c>
      <c r="B3813" s="11" t="s">
        <v>75</v>
      </c>
      <c r="C3813" s="8" t="str">
        <f>IFERROR(_xlfn.XLOOKUP(TRIM(B3813),Lookup!$B$2:$B$1000,Lookup!$C$2:$C$1000),"")</f>
        <v>Equity - Thematic (Consumption)</v>
      </c>
      <c r="D3813" s="8" t="str">
        <f>IFERROR(INDEX('nav master'!$C:$C, MATCH(B3813, 'nav master'!$B:$B, 0)), "")</f>
        <v>ULIF 088 31/03/25 TBC 110</v>
      </c>
      <c r="E3813" s="8">
        <v>10.5284</v>
      </c>
      <c r="F3813" s="9">
        <v>46101</v>
      </c>
    </row>
    <row r="3814" spans="1:6" ht="75" x14ac:dyDescent="0.25">
      <c r="A3814" s="8" t="s">
        <v>63</v>
      </c>
      <c r="B3814" s="11" t="s">
        <v>75</v>
      </c>
      <c r="C3814" s="8" t="str">
        <f>IFERROR(_xlfn.XLOOKUP(TRIM(B3814),Lookup!$B$2:$B$1000,Lookup!$C$2:$C$1000),"")</f>
        <v>Equity - Thematic (Consumption)</v>
      </c>
      <c r="D3814" s="8" t="str">
        <f>IFERROR(INDEX('nav master'!$C:$C, MATCH(B3814, 'nav master'!$B:$B, 0)), "")</f>
        <v>ULIF 088 31/03/25 TBC 110</v>
      </c>
      <c r="E3814" s="8">
        <v>10.180999999999999</v>
      </c>
      <c r="F3814" s="9">
        <v>46104</v>
      </c>
    </row>
    <row r="3815" spans="1:6" ht="75" x14ac:dyDescent="0.25">
      <c r="A3815" s="8" t="s">
        <v>63</v>
      </c>
      <c r="B3815" s="11" t="s">
        <v>75</v>
      </c>
      <c r="C3815" s="8" t="str">
        <f>IFERROR(_xlfn.XLOOKUP(TRIM(B3815),Lookup!$B$2:$B$1000,Lookup!$C$2:$C$1000),"")</f>
        <v>Equity - Thematic (Consumption)</v>
      </c>
      <c r="D3815" s="8" t="str">
        <f>IFERROR(INDEX('nav master'!$C:$C, MATCH(B3815, 'nav master'!$B:$B, 0)), "")</f>
        <v>ULIF 088 31/03/25 TBC 110</v>
      </c>
      <c r="E3815" s="8">
        <v>10.401300000000001</v>
      </c>
      <c r="F3815" s="9">
        <v>46105</v>
      </c>
    </row>
    <row r="3816" spans="1:6" ht="75" x14ac:dyDescent="0.25">
      <c r="A3816" s="8" t="s">
        <v>63</v>
      </c>
      <c r="B3816" s="11" t="s">
        <v>75</v>
      </c>
      <c r="C3816" s="8" t="str">
        <f>IFERROR(_xlfn.XLOOKUP(TRIM(B3816),Lookup!$B$2:$B$1000,Lookup!$C$2:$C$1000),"")</f>
        <v>Equity - Thematic (Consumption)</v>
      </c>
      <c r="D3816" s="8" t="str">
        <f>IFERROR(INDEX('nav master'!$C:$C, MATCH(B3816, 'nav master'!$B:$B, 0)), "")</f>
        <v>ULIF 088 31/03/25 TBC 110</v>
      </c>
      <c r="E3816" s="8">
        <v>10.634399999999999</v>
      </c>
      <c r="F3816" s="9">
        <v>46106</v>
      </c>
    </row>
    <row r="3817" spans="1:6" ht="75" x14ac:dyDescent="0.25">
      <c r="A3817" s="8" t="s">
        <v>63</v>
      </c>
      <c r="B3817" s="11" t="s">
        <v>75</v>
      </c>
      <c r="C3817" s="8" t="str">
        <f>IFERROR(_xlfn.XLOOKUP(TRIM(B3817),Lookup!$B$2:$B$1000,Lookup!$C$2:$C$1000),"")</f>
        <v>Equity - Thematic (Consumption)</v>
      </c>
      <c r="D3817" s="8" t="str">
        <f>IFERROR(INDEX('nav master'!$C:$C, MATCH(B3817, 'nav master'!$B:$B, 0)), "")</f>
        <v>ULIF 088 31/03/25 TBC 110</v>
      </c>
      <c r="E3817" s="8">
        <v>10.4185</v>
      </c>
      <c r="F3817" s="9">
        <v>46108</v>
      </c>
    </row>
    <row r="3818" spans="1:6" ht="75" x14ac:dyDescent="0.25">
      <c r="A3818" s="8" t="s">
        <v>63</v>
      </c>
      <c r="B3818" s="11" t="s">
        <v>75</v>
      </c>
      <c r="C3818" s="8" t="str">
        <f>IFERROR(_xlfn.XLOOKUP(TRIM(B3818),Lookup!$B$2:$B$1000,Lookup!$C$2:$C$1000),"")</f>
        <v>Equity - Thematic (Consumption)</v>
      </c>
      <c r="D3818" s="8" t="str">
        <f>IFERROR(INDEX('nav master'!$C:$C, MATCH(B3818, 'nav master'!$B:$B, 0)), "")</f>
        <v>ULIF 088 31/03/25 TBC 110</v>
      </c>
      <c r="E3818" s="8">
        <v>10.222200000000001</v>
      </c>
      <c r="F3818" s="9">
        <v>46111</v>
      </c>
    </row>
    <row r="3819" spans="1:6" ht="75" x14ac:dyDescent="0.25">
      <c r="A3819" s="8" t="s">
        <v>63</v>
      </c>
      <c r="B3819" s="11" t="s">
        <v>75</v>
      </c>
      <c r="C3819" s="8" t="str">
        <f>IFERROR(_xlfn.XLOOKUP(TRIM(B3819),Lookup!$B$2:$B$1000,Lookup!$C$2:$C$1000),"")</f>
        <v>Equity - Thematic (Consumption)</v>
      </c>
      <c r="D3819" s="8" t="str">
        <f>IFERROR(INDEX('nav master'!$C:$C, MATCH(B3819, 'nav master'!$B:$B, 0)), "")</f>
        <v>ULIF 088 31/03/25 TBC 110</v>
      </c>
      <c r="E3819" s="8">
        <v>10.2218</v>
      </c>
      <c r="F3819" s="9">
        <v>46112</v>
      </c>
    </row>
    <row r="3820" spans="1:6" ht="75" x14ac:dyDescent="0.25">
      <c r="A3820" s="8" t="s">
        <v>63</v>
      </c>
      <c r="B3820" s="11" t="s">
        <v>75</v>
      </c>
      <c r="C3820" s="8" t="str">
        <f>IFERROR(_xlfn.XLOOKUP(TRIM(B3820),Lookup!$B$2:$B$1000,Lookup!$C$2:$C$1000),"")</f>
        <v>Equity - Thematic (Consumption)</v>
      </c>
      <c r="D3820" s="8" t="str">
        <f>IFERROR(INDEX('nav master'!$C:$C, MATCH(B3820, 'nav master'!$B:$B, 0)), "")</f>
        <v>ULIF 088 31/03/25 TBC 110</v>
      </c>
      <c r="E3820" s="8">
        <v>10.394500000000001</v>
      </c>
      <c r="F3820" s="9">
        <v>46113</v>
      </c>
    </row>
    <row r="3821" spans="1:6" ht="75" x14ac:dyDescent="0.25">
      <c r="A3821" s="8" t="s">
        <v>63</v>
      </c>
      <c r="B3821" s="11" t="s">
        <v>75</v>
      </c>
      <c r="C3821" s="8" t="str">
        <f>IFERROR(_xlfn.XLOOKUP(TRIM(B3821),Lookup!$B$2:$B$1000,Lookup!$C$2:$C$1000),"")</f>
        <v>Equity - Thematic (Consumption)</v>
      </c>
      <c r="D3821" s="8" t="str">
        <f>IFERROR(INDEX('nav master'!$C:$C, MATCH(B3821, 'nav master'!$B:$B, 0)), "")</f>
        <v>ULIF 088 31/03/25 TBC 110</v>
      </c>
      <c r="E3821" s="8">
        <v>10.3643</v>
      </c>
      <c r="F3821" s="9">
        <v>46114</v>
      </c>
    </row>
    <row r="3822" spans="1:6" ht="75" x14ac:dyDescent="0.25">
      <c r="A3822" s="8" t="s">
        <v>63</v>
      </c>
      <c r="B3822" s="11" t="s">
        <v>75</v>
      </c>
      <c r="C3822" s="8" t="str">
        <f>IFERROR(_xlfn.XLOOKUP(TRIM(B3822),Lookup!$B$2:$B$1000,Lookup!$C$2:$C$1000),"")</f>
        <v>Equity - Thematic (Consumption)</v>
      </c>
      <c r="D3822" s="8" t="str">
        <f>IFERROR(INDEX('nav master'!$C:$C, MATCH(B3822, 'nav master'!$B:$B, 0)), "")</f>
        <v>ULIF 088 31/03/25 TBC 110</v>
      </c>
      <c r="E3822" s="8">
        <v>10.485799999999999</v>
      </c>
      <c r="F3822" s="9">
        <v>46118</v>
      </c>
    </row>
    <row r="3823" spans="1:6" ht="75" x14ac:dyDescent="0.25">
      <c r="A3823" s="8" t="s">
        <v>63</v>
      </c>
      <c r="B3823" s="11" t="s">
        <v>75</v>
      </c>
      <c r="C3823" s="8" t="str">
        <f>IFERROR(_xlfn.XLOOKUP(TRIM(B3823),Lookup!$B$2:$B$1000,Lookup!$C$2:$C$1000),"")</f>
        <v>Equity - Thematic (Consumption)</v>
      </c>
      <c r="D3823" s="8" t="str">
        <f>IFERROR(INDEX('nav master'!$C:$C, MATCH(B3823, 'nav master'!$B:$B, 0)), "")</f>
        <v>ULIF 088 31/03/25 TBC 110</v>
      </c>
      <c r="E3823" s="8">
        <v>10.5007</v>
      </c>
      <c r="F3823" s="9">
        <v>46119</v>
      </c>
    </row>
    <row r="3824" spans="1:6" ht="75" x14ac:dyDescent="0.25">
      <c r="A3824" s="8" t="s">
        <v>63</v>
      </c>
      <c r="B3824" s="11" t="s">
        <v>75</v>
      </c>
      <c r="C3824" s="8" t="str">
        <f>IFERROR(_xlfn.XLOOKUP(TRIM(B3824),Lookup!$B$2:$B$1000,Lookup!$C$2:$C$1000),"")</f>
        <v>Equity - Thematic (Consumption)</v>
      </c>
      <c r="D3824" s="8" t="str">
        <f>IFERROR(INDEX('nav master'!$C:$C, MATCH(B3824, 'nav master'!$B:$B, 0)), "")</f>
        <v>ULIF 088 31/03/25 TBC 110</v>
      </c>
      <c r="E3824" s="8">
        <v>10.8422</v>
      </c>
      <c r="F3824" s="9">
        <v>46120</v>
      </c>
    </row>
    <row r="3825" spans="1:6" ht="75" x14ac:dyDescent="0.25">
      <c r="A3825" s="8" t="s">
        <v>63</v>
      </c>
      <c r="B3825" s="11" t="s">
        <v>75</v>
      </c>
      <c r="C3825" s="8" t="str">
        <f>IFERROR(_xlfn.XLOOKUP(TRIM(B3825),Lookup!$B$2:$B$1000,Lookup!$C$2:$C$1000),"")</f>
        <v>Equity - Thematic (Consumption)</v>
      </c>
      <c r="D3825" s="8" t="str">
        <f>IFERROR(INDEX('nav master'!$C:$C, MATCH(B3825, 'nav master'!$B:$B, 0)), "")</f>
        <v>ULIF 088 31/03/25 TBC 110</v>
      </c>
      <c r="E3825" s="8">
        <v>10.8032</v>
      </c>
      <c r="F3825" s="9">
        <v>46121</v>
      </c>
    </row>
    <row r="3826" spans="1:6" ht="75" x14ac:dyDescent="0.25">
      <c r="A3826" s="8" t="s">
        <v>63</v>
      </c>
      <c r="B3826" s="11" t="s">
        <v>75</v>
      </c>
      <c r="C3826" s="8" t="str">
        <f>IFERROR(_xlfn.XLOOKUP(TRIM(B3826),Lookup!$B$2:$B$1000,Lookup!$C$2:$C$1000),"")</f>
        <v>Equity - Thematic (Consumption)</v>
      </c>
      <c r="D3826" s="8" t="str">
        <f>IFERROR(INDEX('nav master'!$C:$C, MATCH(B3826, 'nav master'!$B:$B, 0)), "")</f>
        <v>ULIF 088 31/03/25 TBC 110</v>
      </c>
      <c r="E3826" s="8">
        <v>10.943300000000001</v>
      </c>
      <c r="F3826" s="9">
        <v>46122</v>
      </c>
    </row>
    <row r="3827" spans="1:6" ht="75" x14ac:dyDescent="0.25">
      <c r="A3827" s="8" t="s">
        <v>63</v>
      </c>
      <c r="B3827" s="11" t="s">
        <v>75</v>
      </c>
      <c r="C3827" s="8" t="str">
        <f>IFERROR(_xlfn.XLOOKUP(TRIM(B3827),Lookup!$B$2:$B$1000,Lookup!$C$2:$C$1000),"")</f>
        <v>Equity - Thematic (Consumption)</v>
      </c>
      <c r="D3827" s="8" t="str">
        <f>IFERROR(INDEX('nav master'!$C:$C, MATCH(B3827, 'nav master'!$B:$B, 0)), "")</f>
        <v>ULIF 088 31/03/25 TBC 110</v>
      </c>
      <c r="E3827" s="8">
        <v>10.883800000000001</v>
      </c>
      <c r="F3827" s="9">
        <v>46125</v>
      </c>
    </row>
    <row r="3828" spans="1:6" ht="75" x14ac:dyDescent="0.25">
      <c r="A3828" s="8" t="s">
        <v>63</v>
      </c>
      <c r="B3828" s="11" t="s">
        <v>75</v>
      </c>
      <c r="C3828" s="8" t="str">
        <f>IFERROR(_xlfn.XLOOKUP(TRIM(B3828),Lookup!$B$2:$B$1000,Lookup!$C$2:$C$1000),"")</f>
        <v>Equity - Thematic (Consumption)</v>
      </c>
      <c r="D3828" s="8" t="str">
        <f>IFERROR(INDEX('nav master'!$C:$C, MATCH(B3828, 'nav master'!$B:$B, 0)), "")</f>
        <v>ULIF 088 31/03/25 TBC 110</v>
      </c>
      <c r="E3828" s="8">
        <v>11.0543</v>
      </c>
      <c r="F3828" s="9">
        <v>46127</v>
      </c>
    </row>
    <row r="3829" spans="1:6" ht="75" x14ac:dyDescent="0.25">
      <c r="A3829" s="8" t="s">
        <v>63</v>
      </c>
      <c r="B3829" s="11" t="s">
        <v>75</v>
      </c>
      <c r="C3829" s="8" t="str">
        <f>IFERROR(_xlfn.XLOOKUP(TRIM(B3829),Lookup!$B$2:$B$1000,Lookup!$C$2:$C$1000),"")</f>
        <v>Equity - Thematic (Consumption)</v>
      </c>
      <c r="D3829" s="8" t="str">
        <f>IFERROR(INDEX('nav master'!$C:$C, MATCH(B3829, 'nav master'!$B:$B, 0)), "")</f>
        <v>ULIF 088 31/03/25 TBC 110</v>
      </c>
      <c r="E3829" s="8">
        <v>11.099500000000001</v>
      </c>
      <c r="F3829" s="9">
        <v>46128</v>
      </c>
    </row>
    <row r="3830" spans="1:6" ht="75" x14ac:dyDescent="0.25">
      <c r="A3830" s="8" t="s">
        <v>63</v>
      </c>
      <c r="B3830" s="11" t="s">
        <v>75</v>
      </c>
      <c r="C3830" s="8" t="str">
        <f>IFERROR(_xlfn.XLOOKUP(TRIM(B3830),Lookup!$B$2:$B$1000,Lookup!$C$2:$C$1000),"")</f>
        <v>Equity - Thematic (Consumption)</v>
      </c>
      <c r="D3830" s="8" t="str">
        <f>IFERROR(INDEX('nav master'!$C:$C, MATCH(B3830, 'nav master'!$B:$B, 0)), "")</f>
        <v>ULIF 088 31/03/25 TBC 110</v>
      </c>
      <c r="E3830" s="8">
        <v>11.187900000000001</v>
      </c>
      <c r="F3830" s="9">
        <v>46129</v>
      </c>
    </row>
    <row r="3831" spans="1:6" ht="75" x14ac:dyDescent="0.25">
      <c r="A3831" s="8" t="s">
        <v>63</v>
      </c>
      <c r="B3831" s="11" t="s">
        <v>75</v>
      </c>
      <c r="C3831" s="8" t="str">
        <f>IFERROR(_xlfn.XLOOKUP(TRIM(B3831),Lookup!$B$2:$B$1000,Lookup!$C$2:$C$1000),"")</f>
        <v>Equity - Thematic (Consumption)</v>
      </c>
      <c r="D3831" s="8" t="str">
        <f>IFERROR(INDEX('nav master'!$C:$C, MATCH(B3831, 'nav master'!$B:$B, 0)), "")</f>
        <v>ULIF 088 31/03/25 TBC 110</v>
      </c>
      <c r="E3831" s="8">
        <v>11.213699999999999</v>
      </c>
      <c r="F3831" s="9">
        <v>46132</v>
      </c>
    </row>
    <row r="3832" spans="1:6" ht="75" x14ac:dyDescent="0.25">
      <c r="A3832" s="8" t="s">
        <v>63</v>
      </c>
      <c r="B3832" s="11" t="s">
        <v>75</v>
      </c>
      <c r="C3832" s="8" t="str">
        <f>IFERROR(_xlfn.XLOOKUP(TRIM(B3832),Lookup!$B$2:$B$1000,Lookup!$C$2:$C$1000),"")</f>
        <v>Equity - Thematic (Consumption)</v>
      </c>
      <c r="D3832" s="8" t="str">
        <f>IFERROR(INDEX('nav master'!$C:$C, MATCH(B3832, 'nav master'!$B:$B, 0)), "")</f>
        <v>ULIF 088 31/03/25 TBC 110</v>
      </c>
      <c r="E3832" s="8">
        <v>11.2601</v>
      </c>
      <c r="F3832" s="9">
        <v>46133</v>
      </c>
    </row>
    <row r="3833" spans="1:6" ht="75" x14ac:dyDescent="0.25">
      <c r="A3833" s="8" t="s">
        <v>63</v>
      </c>
      <c r="B3833" s="11" t="s">
        <v>75</v>
      </c>
      <c r="C3833" s="8" t="str">
        <f>IFERROR(_xlfn.XLOOKUP(TRIM(B3833),Lookup!$B$2:$B$1000,Lookup!$C$2:$C$1000),"")</f>
        <v>Equity - Thematic (Consumption)</v>
      </c>
      <c r="D3833" s="8" t="str">
        <f>IFERROR(INDEX('nav master'!$C:$C, MATCH(B3833, 'nav master'!$B:$B, 0)), "")</f>
        <v>ULIF 088 31/03/25 TBC 110</v>
      </c>
      <c r="E3833" s="8">
        <v>11.2652</v>
      </c>
      <c r="F3833" s="9">
        <v>46134</v>
      </c>
    </row>
    <row r="3834" spans="1:6" ht="75" x14ac:dyDescent="0.25">
      <c r="A3834" s="8" t="s">
        <v>63</v>
      </c>
      <c r="B3834" s="11" t="s">
        <v>75</v>
      </c>
      <c r="C3834" s="8" t="str">
        <f>IFERROR(_xlfn.XLOOKUP(TRIM(B3834),Lookup!$B$2:$B$1000,Lookup!$C$2:$C$1000),"")</f>
        <v>Equity - Thematic (Consumption)</v>
      </c>
      <c r="D3834" s="8" t="str">
        <f>IFERROR(INDEX('nav master'!$C:$C, MATCH(B3834, 'nav master'!$B:$B, 0)), "")</f>
        <v>ULIF 088 31/03/25 TBC 110</v>
      </c>
      <c r="E3834" s="8">
        <v>11.207000000000001</v>
      </c>
      <c r="F3834" s="9">
        <v>46135</v>
      </c>
    </row>
    <row r="3835" spans="1:6" ht="75" x14ac:dyDescent="0.25">
      <c r="A3835" s="8" t="s">
        <v>63</v>
      </c>
      <c r="B3835" s="11" t="s">
        <v>75</v>
      </c>
      <c r="C3835" s="8" t="str">
        <f>IFERROR(_xlfn.XLOOKUP(TRIM(B3835),Lookup!$B$2:$B$1000,Lookup!$C$2:$C$1000),"")</f>
        <v>Equity - Thematic (Consumption)</v>
      </c>
      <c r="D3835" s="8" t="str">
        <f>IFERROR(INDEX('nav master'!$C:$C, MATCH(B3835, 'nav master'!$B:$B, 0)), "")</f>
        <v>ULIF 088 31/03/25 TBC 110</v>
      </c>
      <c r="E3835" s="8">
        <v>11.129899999999999</v>
      </c>
      <c r="F3835" s="9">
        <v>46136</v>
      </c>
    </row>
    <row r="3836" spans="1:6" ht="75" x14ac:dyDescent="0.25">
      <c r="A3836" s="8" t="s">
        <v>63</v>
      </c>
      <c r="B3836" s="11" t="s">
        <v>75</v>
      </c>
      <c r="C3836" s="8" t="str">
        <f>IFERROR(_xlfn.XLOOKUP(TRIM(B3836),Lookup!$B$2:$B$1000,Lookup!$C$2:$C$1000),"")</f>
        <v>Equity - Thematic (Consumption)</v>
      </c>
      <c r="D3836" s="8" t="str">
        <f>IFERROR(INDEX('nav master'!$C:$C, MATCH(B3836, 'nav master'!$B:$B, 0)), "")</f>
        <v>ULIF 088 31/03/25 TBC 110</v>
      </c>
      <c r="E3836" s="8">
        <v>11.2461</v>
      </c>
      <c r="F3836" s="9">
        <v>46139</v>
      </c>
    </row>
    <row r="3837" spans="1:6" ht="75" x14ac:dyDescent="0.25">
      <c r="A3837" s="8" t="s">
        <v>63</v>
      </c>
      <c r="B3837" s="11" t="s">
        <v>75</v>
      </c>
      <c r="C3837" s="8" t="str">
        <f>IFERROR(_xlfn.XLOOKUP(TRIM(B3837),Lookup!$B$2:$B$1000,Lookup!$C$2:$C$1000),"")</f>
        <v>Equity - Thematic (Consumption)</v>
      </c>
      <c r="D3837" s="8" t="str">
        <f>IFERROR(INDEX('nav master'!$C:$C, MATCH(B3837, 'nav master'!$B:$B, 0)), "")</f>
        <v>ULIF 088 31/03/25 TBC 110</v>
      </c>
      <c r="E3837" s="8">
        <v>11.2218</v>
      </c>
      <c r="F3837" s="9">
        <v>46140</v>
      </c>
    </row>
    <row r="3838" spans="1:6" ht="75" x14ac:dyDescent="0.25">
      <c r="A3838" s="8" t="s">
        <v>63</v>
      </c>
      <c r="B3838" s="11" t="s">
        <v>75</v>
      </c>
      <c r="C3838" s="8" t="str">
        <f>IFERROR(_xlfn.XLOOKUP(TRIM(B3838),Lookup!$B$2:$B$1000,Lookup!$C$2:$C$1000),"")</f>
        <v>Equity - Thematic (Consumption)</v>
      </c>
      <c r="D3838" s="8" t="str">
        <f>IFERROR(INDEX('nav master'!$C:$C, MATCH(B3838, 'nav master'!$B:$B, 0)), "")</f>
        <v>ULIF 088 31/03/25 TBC 110</v>
      </c>
      <c r="E3838" s="8">
        <v>11.2682</v>
      </c>
      <c r="F3838" s="9">
        <v>46141</v>
      </c>
    </row>
    <row r="3839" spans="1:6" ht="75" x14ac:dyDescent="0.25">
      <c r="A3839" s="8" t="s">
        <v>63</v>
      </c>
      <c r="B3839" s="11" t="s">
        <v>75</v>
      </c>
      <c r="C3839" s="8" t="str">
        <f>IFERROR(_xlfn.XLOOKUP(TRIM(B3839),Lookup!$B$2:$B$1000,Lookup!$C$2:$C$1000),"")</f>
        <v>Equity - Thematic (Consumption)</v>
      </c>
      <c r="D3839" s="8" t="str">
        <f>IFERROR(INDEX('nav master'!$C:$C, MATCH(B3839, 'nav master'!$B:$B, 0)), "")</f>
        <v>ULIF 088 31/03/25 TBC 110</v>
      </c>
      <c r="E3839" s="8">
        <v>11.1784</v>
      </c>
      <c r="F3839" s="9">
        <v>46142</v>
      </c>
    </row>
    <row r="3840" spans="1:6" ht="75" x14ac:dyDescent="0.25">
      <c r="A3840" s="8" t="s">
        <v>63</v>
      </c>
      <c r="B3840" s="11" t="s">
        <v>75</v>
      </c>
      <c r="C3840" s="8" t="str">
        <f>IFERROR(_xlfn.XLOOKUP(TRIM(B3840),Lookup!$B$2:$B$1000,Lookup!$C$2:$C$1000),"")</f>
        <v>Equity - Thematic (Consumption)</v>
      </c>
      <c r="D3840" s="8" t="str">
        <f>IFERROR(INDEX('nav master'!$C:$C, MATCH(B3840, 'nav master'!$B:$B, 0)), "")</f>
        <v>ULIF 088 31/03/25 TBC 110</v>
      </c>
      <c r="E3840" s="8">
        <v>11.264699999999999</v>
      </c>
      <c r="F3840" s="9">
        <v>46146</v>
      </c>
    </row>
    <row r="3841" spans="1:6" ht="75" x14ac:dyDescent="0.25">
      <c r="A3841" s="8" t="s">
        <v>63</v>
      </c>
      <c r="B3841" s="11" t="s">
        <v>75</v>
      </c>
      <c r="C3841" s="8" t="str">
        <f>IFERROR(_xlfn.XLOOKUP(TRIM(B3841),Lookup!$B$2:$B$1000,Lookup!$C$2:$C$1000),"")</f>
        <v>Equity - Thematic (Consumption)</v>
      </c>
      <c r="D3841" s="8" t="str">
        <f>IFERROR(INDEX('nav master'!$C:$C, MATCH(B3841, 'nav master'!$B:$B, 0)), "")</f>
        <v>ULIF 088 31/03/25 TBC 110</v>
      </c>
      <c r="E3841" s="8">
        <v>11.2507</v>
      </c>
      <c r="F3841" s="9">
        <v>46147</v>
      </c>
    </row>
    <row r="3842" spans="1:6" ht="75" x14ac:dyDescent="0.25">
      <c r="A3842" s="8" t="s">
        <v>63</v>
      </c>
      <c r="B3842" s="11" t="s">
        <v>75</v>
      </c>
      <c r="C3842" s="8" t="str">
        <f>IFERROR(_xlfn.XLOOKUP(TRIM(B3842),Lookup!$B$2:$B$1000,Lookup!$C$2:$C$1000),"")</f>
        <v>Equity - Thematic (Consumption)</v>
      </c>
      <c r="D3842" s="8" t="str">
        <f>IFERROR(INDEX('nav master'!$C:$C, MATCH(B3842, 'nav master'!$B:$B, 0)), "")</f>
        <v>ULIF 088 31/03/25 TBC 110</v>
      </c>
      <c r="E3842" s="8">
        <v>11.406000000000001</v>
      </c>
      <c r="F3842" s="9">
        <v>46148</v>
      </c>
    </row>
    <row r="3843" spans="1:6" ht="75" x14ac:dyDescent="0.25">
      <c r="A3843" s="8" t="s">
        <v>63</v>
      </c>
      <c r="B3843" s="11" t="s">
        <v>75</v>
      </c>
      <c r="C3843" s="8" t="str">
        <f>IFERROR(_xlfn.XLOOKUP(TRIM(B3843),Lookup!$B$2:$B$1000,Lookup!$C$2:$C$1000),"")</f>
        <v>Equity - Thematic (Consumption)</v>
      </c>
      <c r="D3843" s="8" t="str">
        <f>IFERROR(INDEX('nav master'!$C:$C, MATCH(B3843, 'nav master'!$B:$B, 0)), "")</f>
        <v>ULIF 088 31/03/25 TBC 110</v>
      </c>
      <c r="E3843" s="8">
        <v>11.4876</v>
      </c>
      <c r="F3843" s="9">
        <v>46149</v>
      </c>
    </row>
    <row r="3844" spans="1:6" ht="75" x14ac:dyDescent="0.25">
      <c r="A3844" s="8" t="s">
        <v>63</v>
      </c>
      <c r="B3844" s="11" t="s">
        <v>75</v>
      </c>
      <c r="C3844" s="8" t="str">
        <f>IFERROR(_xlfn.XLOOKUP(TRIM(B3844),Lookup!$B$2:$B$1000,Lookup!$C$2:$C$1000),"")</f>
        <v>Equity - Thematic (Consumption)</v>
      </c>
      <c r="D3844" s="8" t="str">
        <f>IFERROR(INDEX('nav master'!$C:$C, MATCH(B3844, 'nav master'!$B:$B, 0)), "")</f>
        <v>ULIF 088 31/03/25 TBC 110</v>
      </c>
      <c r="E3844" s="8">
        <v>11.439500000000001</v>
      </c>
      <c r="F3844" s="9">
        <v>46150</v>
      </c>
    </row>
    <row r="3845" spans="1:6" ht="75" x14ac:dyDescent="0.25">
      <c r="A3845" s="8" t="s">
        <v>63</v>
      </c>
      <c r="B3845" s="11" t="s">
        <v>75</v>
      </c>
      <c r="C3845" s="8" t="str">
        <f>IFERROR(_xlfn.XLOOKUP(TRIM(B3845),Lookup!$B$2:$B$1000,Lookup!$C$2:$C$1000),"")</f>
        <v>Equity - Thematic (Consumption)</v>
      </c>
      <c r="D3845" s="8" t="str">
        <f>IFERROR(INDEX('nav master'!$C:$C, MATCH(B3845, 'nav master'!$B:$B, 0)), "")</f>
        <v>ULIF 088 31/03/25 TBC 110</v>
      </c>
      <c r="E3845" s="8">
        <v>11.302300000000001</v>
      </c>
      <c r="F3845" s="9">
        <v>46153</v>
      </c>
    </row>
    <row r="3846" spans="1:6" ht="75" x14ac:dyDescent="0.25">
      <c r="A3846" s="8" t="s">
        <v>63</v>
      </c>
      <c r="B3846" s="11" t="s">
        <v>75</v>
      </c>
      <c r="C3846" s="8" t="str">
        <f>IFERROR(_xlfn.XLOOKUP(TRIM(B3846),Lookup!$B$2:$B$1000,Lookup!$C$2:$C$1000),"")</f>
        <v>Equity - Thematic (Consumption)</v>
      </c>
      <c r="D3846" s="8" t="str">
        <f>IFERROR(INDEX('nav master'!$C:$C, MATCH(B3846, 'nav master'!$B:$B, 0)), "")</f>
        <v>ULIF 088 31/03/25 TBC 110</v>
      </c>
      <c r="E3846" s="8">
        <v>11.054399999999999</v>
      </c>
      <c r="F3846" s="9">
        <v>46154</v>
      </c>
    </row>
    <row r="3847" spans="1:6" ht="75" x14ac:dyDescent="0.25">
      <c r="A3847" s="8" t="s">
        <v>63</v>
      </c>
      <c r="B3847" s="11" t="s">
        <v>75</v>
      </c>
      <c r="C3847" s="8" t="str">
        <f>IFERROR(_xlfn.XLOOKUP(TRIM(B3847),Lookup!$B$2:$B$1000,Lookup!$C$2:$C$1000),"")</f>
        <v>Equity - Thematic (Consumption)</v>
      </c>
      <c r="D3847" s="8" t="str">
        <f>IFERROR(INDEX('nav master'!$C:$C, MATCH(B3847, 'nav master'!$B:$B, 0)), "")</f>
        <v>ULIF 088 31/03/25 TBC 110</v>
      </c>
      <c r="E3847" s="8">
        <v>11.0877</v>
      </c>
      <c r="F3847" s="9">
        <v>46155</v>
      </c>
    </row>
    <row r="3848" spans="1:6" ht="75" x14ac:dyDescent="0.25">
      <c r="A3848" s="8" t="s">
        <v>63</v>
      </c>
      <c r="B3848" s="11" t="s">
        <v>75</v>
      </c>
      <c r="C3848" s="8" t="str">
        <f>IFERROR(_xlfn.XLOOKUP(TRIM(B3848),Lookup!$B$2:$B$1000,Lookup!$C$2:$C$1000),"")</f>
        <v>Equity - Thematic (Consumption)</v>
      </c>
      <c r="D3848" s="8" t="str">
        <f>IFERROR(INDEX('nav master'!$C:$C, MATCH(B3848, 'nav master'!$B:$B, 0)), "")</f>
        <v>ULIF 088 31/03/25 TBC 110</v>
      </c>
      <c r="E3848" s="8">
        <v>11.223599999999999</v>
      </c>
      <c r="F3848" s="9">
        <v>46156</v>
      </c>
    </row>
    <row r="3849" spans="1:6" ht="75" x14ac:dyDescent="0.25">
      <c r="A3849" s="8" t="s">
        <v>63</v>
      </c>
      <c r="B3849" s="11" t="s">
        <v>75</v>
      </c>
      <c r="C3849" s="8" t="str">
        <f>IFERROR(_xlfn.XLOOKUP(TRIM(B3849),Lookup!$B$2:$B$1000,Lookup!$C$2:$C$1000),"")</f>
        <v>Equity - Thematic (Consumption)</v>
      </c>
      <c r="D3849" s="8" t="str">
        <f>IFERROR(INDEX('nav master'!$C:$C, MATCH(B3849, 'nav master'!$B:$B, 0)), "")</f>
        <v>ULIF 088 31/03/25 TBC 110</v>
      </c>
      <c r="E3849" s="8">
        <v>11.218999999999999</v>
      </c>
      <c r="F3849" s="9">
        <v>46157</v>
      </c>
    </row>
    <row r="3850" spans="1:6" ht="75" x14ac:dyDescent="0.25">
      <c r="A3850" s="8" t="s">
        <v>63</v>
      </c>
      <c r="B3850" s="11" t="s">
        <v>75</v>
      </c>
      <c r="C3850" s="8" t="str">
        <f>IFERROR(_xlfn.XLOOKUP(TRIM(B3850),Lookup!$B$2:$B$1000,Lookup!$C$2:$C$1000),"")</f>
        <v>Equity - Thematic (Consumption)</v>
      </c>
      <c r="D3850" s="8" t="str">
        <f>IFERROR(INDEX('nav master'!$C:$C, MATCH(B3850, 'nav master'!$B:$B, 0)), "")</f>
        <v>ULIF 088 31/03/25 TBC 110</v>
      </c>
      <c r="E3850" s="8">
        <v>11.133699999999999</v>
      </c>
      <c r="F3850" s="9">
        <v>46160</v>
      </c>
    </row>
    <row r="3851" spans="1:6" ht="75" x14ac:dyDescent="0.25">
      <c r="A3851" s="8" t="s">
        <v>63</v>
      </c>
      <c r="B3851" s="11" t="s">
        <v>75</v>
      </c>
      <c r="C3851" s="8" t="str">
        <f>IFERROR(_xlfn.XLOOKUP(TRIM(B3851),Lookup!$B$2:$B$1000,Lookup!$C$2:$C$1000),"")</f>
        <v>Equity - Thematic (Consumption)</v>
      </c>
      <c r="D3851" s="8" t="str">
        <f>IFERROR(INDEX('nav master'!$C:$C, MATCH(B3851, 'nav master'!$B:$B, 0)), "")</f>
        <v>ULIF 088 31/03/25 TBC 110</v>
      </c>
      <c r="E3851" s="8">
        <v>11.175700000000001</v>
      </c>
      <c r="F3851" s="9">
        <v>46161</v>
      </c>
    </row>
    <row r="3852" spans="1:6" ht="75" x14ac:dyDescent="0.25">
      <c r="A3852" s="8" t="s">
        <v>63</v>
      </c>
      <c r="B3852" s="11" t="s">
        <v>75</v>
      </c>
      <c r="C3852" s="8" t="str">
        <f>IFERROR(_xlfn.XLOOKUP(TRIM(B3852),Lookup!$B$2:$B$1000,Lookup!$C$2:$C$1000),"")</f>
        <v>Equity - Thematic (Consumption)</v>
      </c>
      <c r="D3852" s="8" t="str">
        <f>IFERROR(INDEX('nav master'!$C:$C, MATCH(B3852, 'nav master'!$B:$B, 0)), "")</f>
        <v>ULIF 088 31/03/25 TBC 110</v>
      </c>
      <c r="E3852" s="8">
        <v>11.206799999999999</v>
      </c>
      <c r="F3852" s="9">
        <v>46162</v>
      </c>
    </row>
    <row r="3853" spans="1:6" ht="75" x14ac:dyDescent="0.25">
      <c r="A3853" s="8" t="s">
        <v>63</v>
      </c>
      <c r="B3853" s="11" t="s">
        <v>75</v>
      </c>
      <c r="C3853" s="8" t="str">
        <f>IFERROR(_xlfn.XLOOKUP(TRIM(B3853),Lookup!$B$2:$B$1000,Lookup!$C$2:$C$1000),"")</f>
        <v>Equity - Thematic (Consumption)</v>
      </c>
      <c r="D3853" s="8" t="str">
        <f>IFERROR(INDEX('nav master'!$C:$C, MATCH(B3853, 'nav master'!$B:$B, 0)), "")</f>
        <v>ULIF 088 31/03/25 TBC 110</v>
      </c>
      <c r="E3853" s="8">
        <v>11.2193</v>
      </c>
      <c r="F3853" s="9">
        <v>46163</v>
      </c>
    </row>
    <row r="3854" spans="1:6" ht="75" x14ac:dyDescent="0.25">
      <c r="A3854" s="8" t="s">
        <v>63</v>
      </c>
      <c r="B3854" s="11" t="s">
        <v>75</v>
      </c>
      <c r="C3854" s="8" t="str">
        <f>IFERROR(_xlfn.XLOOKUP(TRIM(B3854),Lookup!$B$2:$B$1000,Lookup!$C$2:$C$1000),"")</f>
        <v>Equity - Thematic (Consumption)</v>
      </c>
      <c r="D3854" s="8" t="str">
        <f>IFERROR(INDEX('nav master'!$C:$C, MATCH(B3854, 'nav master'!$B:$B, 0)), "")</f>
        <v>ULIF 088 31/03/25 TBC 110</v>
      </c>
      <c r="E3854" s="8">
        <v>11.210699999999999</v>
      </c>
      <c r="F3854" s="9">
        <v>46164</v>
      </c>
    </row>
    <row r="3855" spans="1:6" ht="75" x14ac:dyDescent="0.25">
      <c r="A3855" s="8" t="s">
        <v>63</v>
      </c>
      <c r="B3855" s="11" t="s">
        <v>75</v>
      </c>
      <c r="C3855" s="8" t="str">
        <f>IFERROR(_xlfn.XLOOKUP(TRIM(B3855),Lookup!$B$2:$B$1000,Lookup!$C$2:$C$1000),"")</f>
        <v>Equity - Thematic (Consumption)</v>
      </c>
      <c r="D3855" s="8" t="str">
        <f>IFERROR(INDEX('nav master'!$C:$C, MATCH(B3855, 'nav master'!$B:$B, 0)), "")</f>
        <v>ULIF 088 31/03/25 TBC 110</v>
      </c>
      <c r="E3855" s="8">
        <v>11.318</v>
      </c>
      <c r="F3855" s="9">
        <v>46167</v>
      </c>
    </row>
    <row r="3856" spans="1:6" ht="75" x14ac:dyDescent="0.25">
      <c r="A3856" s="8" t="s">
        <v>63</v>
      </c>
      <c r="B3856" s="11" t="s">
        <v>75</v>
      </c>
      <c r="C3856" s="8" t="str">
        <f>IFERROR(_xlfn.XLOOKUP(TRIM(B3856),Lookup!$B$2:$B$1000,Lookup!$C$2:$C$1000),"")</f>
        <v>Equity - Thematic (Consumption)</v>
      </c>
      <c r="D3856" s="8" t="str">
        <f>IFERROR(INDEX('nav master'!$C:$C, MATCH(B3856, 'nav master'!$B:$B, 0)), "")</f>
        <v>ULIF 088 31/03/25 TBC 110</v>
      </c>
      <c r="E3856" s="8">
        <v>11.343500000000001</v>
      </c>
      <c r="F3856" s="9">
        <v>46168</v>
      </c>
    </row>
    <row r="3857" spans="1:6" ht="75" x14ac:dyDescent="0.25">
      <c r="A3857" s="8" t="s">
        <v>63</v>
      </c>
      <c r="B3857" s="11" t="s">
        <v>75</v>
      </c>
      <c r="C3857" s="8" t="str">
        <f>IFERROR(_xlfn.XLOOKUP(TRIM(B3857),Lookup!$B$2:$B$1000,Lookup!$C$2:$C$1000),"")</f>
        <v>Equity - Thematic (Consumption)</v>
      </c>
      <c r="D3857" s="8" t="str">
        <f>IFERROR(INDEX('nav master'!$C:$C, MATCH(B3857, 'nav master'!$B:$B, 0)), "")</f>
        <v>ULIF 088 31/03/25 TBC 110</v>
      </c>
      <c r="E3857" s="8">
        <v>11.3489</v>
      </c>
      <c r="F3857" s="9">
        <v>46169</v>
      </c>
    </row>
    <row r="3858" spans="1:6" ht="75" x14ac:dyDescent="0.25">
      <c r="A3858" s="8" t="s">
        <v>63</v>
      </c>
      <c r="B3858" s="11" t="s">
        <v>75</v>
      </c>
      <c r="C3858" s="8" t="str">
        <f>IFERROR(_xlfn.XLOOKUP(TRIM(B3858),Lookup!$B$2:$B$1000,Lookup!$C$2:$C$1000),"")</f>
        <v>Equity - Thematic (Consumption)</v>
      </c>
      <c r="D3858" s="8" t="str">
        <f>IFERROR(INDEX('nav master'!$C:$C, MATCH(B3858, 'nav master'!$B:$B, 0)), "")</f>
        <v>ULIF 088 31/03/25 TBC 110</v>
      </c>
      <c r="E3858" s="8">
        <v>11.2263</v>
      </c>
      <c r="F3858" s="9">
        <v>46171</v>
      </c>
    </row>
    <row r="3859" spans="1:6" ht="75" x14ac:dyDescent="0.25">
      <c r="A3859" s="8" t="s">
        <v>63</v>
      </c>
      <c r="B3859" s="11" t="s">
        <v>75</v>
      </c>
      <c r="C3859" s="8" t="str">
        <f>IFERROR(_xlfn.XLOOKUP(TRIM(B3859),Lookup!$B$2:$B$1000,Lookup!$C$2:$C$1000),"")</f>
        <v>Equity - Thematic (Consumption)</v>
      </c>
      <c r="D3859" s="8" t="str">
        <f>IFERROR(INDEX('nav master'!$C:$C, MATCH(B3859, 'nav master'!$B:$B, 0)), "")</f>
        <v>ULIF 088 31/03/25 TBC 110</v>
      </c>
      <c r="E3859" s="8">
        <v>11.110799999999999</v>
      </c>
      <c r="F3859" s="9">
        <v>46174</v>
      </c>
    </row>
    <row r="3860" spans="1:6" ht="75" x14ac:dyDescent="0.25">
      <c r="A3860" s="8" t="s">
        <v>63</v>
      </c>
      <c r="B3860" s="11" t="s">
        <v>75</v>
      </c>
      <c r="C3860" s="8" t="str">
        <f>IFERROR(_xlfn.XLOOKUP(TRIM(B3860),Lookup!$B$2:$B$1000,Lookup!$C$2:$C$1000),"")</f>
        <v>Equity - Thematic (Consumption)</v>
      </c>
      <c r="D3860" s="8" t="str">
        <f>IFERROR(INDEX('nav master'!$C:$C, MATCH(B3860, 'nav master'!$B:$B, 0)), "")</f>
        <v>ULIF 088 31/03/25 TBC 110</v>
      </c>
      <c r="E3860" s="8">
        <v>11.0997</v>
      </c>
      <c r="F3860" s="9">
        <v>46175</v>
      </c>
    </row>
    <row r="3861" spans="1:6" ht="75" x14ac:dyDescent="0.25">
      <c r="A3861" s="8" t="s">
        <v>63</v>
      </c>
      <c r="B3861" s="11" t="s">
        <v>75</v>
      </c>
      <c r="C3861" s="8" t="str">
        <f>IFERROR(_xlfn.XLOOKUP(TRIM(B3861),Lookup!$B$2:$B$1000,Lookup!$C$2:$C$1000),"")</f>
        <v>Equity - Thematic (Consumption)</v>
      </c>
      <c r="D3861" s="8" t="str">
        <f>IFERROR(INDEX('nav master'!$C:$C, MATCH(B3861, 'nav master'!$B:$B, 0)), "")</f>
        <v>ULIF 088 31/03/25 TBC 110</v>
      </c>
      <c r="E3861" s="8">
        <v>11.072699999999999</v>
      </c>
      <c r="F3861" s="9">
        <v>46176</v>
      </c>
    </row>
    <row r="3862" spans="1:6" ht="75" x14ac:dyDescent="0.25">
      <c r="A3862" s="8" t="s">
        <v>63</v>
      </c>
      <c r="B3862" s="11" t="s">
        <v>75</v>
      </c>
      <c r="C3862" s="8" t="str">
        <f>IFERROR(_xlfn.XLOOKUP(TRIM(B3862),Lookup!$B$2:$B$1000,Lookup!$C$2:$C$1000),"")</f>
        <v>Equity - Thematic (Consumption)</v>
      </c>
      <c r="D3862" s="8" t="str">
        <f>IFERROR(INDEX('nav master'!$C:$C, MATCH(B3862, 'nav master'!$B:$B, 0)), "")</f>
        <v>ULIF 088 31/03/25 TBC 110</v>
      </c>
      <c r="E3862" s="8">
        <v>11.139799999999999</v>
      </c>
      <c r="F3862" s="9">
        <v>46177</v>
      </c>
    </row>
    <row r="3863" spans="1:6" ht="75" x14ac:dyDescent="0.25">
      <c r="A3863" s="8" t="s">
        <v>63</v>
      </c>
      <c r="B3863" s="11" t="s">
        <v>75</v>
      </c>
      <c r="C3863" s="8" t="str">
        <f>IFERROR(_xlfn.XLOOKUP(TRIM(B3863),Lookup!$B$2:$B$1000,Lookup!$C$2:$C$1000),"")</f>
        <v>Equity - Thematic (Consumption)</v>
      </c>
      <c r="D3863" s="8" t="str">
        <f>IFERROR(INDEX('nav master'!$C:$C, MATCH(B3863, 'nav master'!$B:$B, 0)), "")</f>
        <v>ULIF 088 31/03/25 TBC 110</v>
      </c>
      <c r="E3863" s="8">
        <v>11.108700000000001</v>
      </c>
      <c r="F3863" s="9">
        <v>46178</v>
      </c>
    </row>
    <row r="3864" spans="1:6" ht="75" x14ac:dyDescent="0.25">
      <c r="A3864" s="8" t="s">
        <v>63</v>
      </c>
      <c r="B3864" s="11" t="s">
        <v>75</v>
      </c>
      <c r="C3864" s="8" t="str">
        <f>IFERROR(_xlfn.XLOOKUP(TRIM(B3864),Lookup!$B$2:$B$1000,Lookup!$C$2:$C$1000),"")</f>
        <v>Equity - Thematic (Consumption)</v>
      </c>
      <c r="D3864" s="8" t="str">
        <f>IFERROR(INDEX('nav master'!$C:$C, MATCH(B3864, 'nav master'!$B:$B, 0)), "")</f>
        <v>ULIF 088 31/03/25 TBC 110</v>
      </c>
      <c r="E3864" s="8">
        <v>10.964600000000001</v>
      </c>
      <c r="F3864" s="9">
        <v>46181</v>
      </c>
    </row>
    <row r="3865" spans="1:6" ht="75" x14ac:dyDescent="0.25">
      <c r="A3865" s="8" t="s">
        <v>63</v>
      </c>
      <c r="B3865" s="11" t="s">
        <v>75</v>
      </c>
      <c r="C3865" s="8" t="str">
        <f>IFERROR(_xlfn.XLOOKUP(TRIM(B3865),Lookup!$B$2:$B$1000,Lookup!$C$2:$C$1000),"")</f>
        <v>Equity - Thematic (Consumption)</v>
      </c>
      <c r="D3865" s="8" t="str">
        <f>IFERROR(INDEX('nav master'!$C:$C, MATCH(B3865, 'nav master'!$B:$B, 0)), "")</f>
        <v>ULIF 088 31/03/25 TBC 110</v>
      </c>
      <c r="E3865" s="8">
        <v>11.082700000000001</v>
      </c>
      <c r="F3865" s="9">
        <v>46182</v>
      </c>
    </row>
    <row r="3866" spans="1:6" ht="75" x14ac:dyDescent="0.25">
      <c r="A3866" s="8" t="s">
        <v>63</v>
      </c>
      <c r="B3866" s="11" t="s">
        <v>75</v>
      </c>
      <c r="C3866" s="8" t="str">
        <f>IFERROR(_xlfn.XLOOKUP(TRIM(B3866),Lookup!$B$2:$B$1000,Lookup!$C$2:$C$1000),"")</f>
        <v>Equity - Thematic (Consumption)</v>
      </c>
      <c r="D3866" s="8" t="str">
        <f>IFERROR(INDEX('nav master'!$C:$C, MATCH(B3866, 'nav master'!$B:$B, 0)), "")</f>
        <v>ULIF 088 31/03/25 TBC 110</v>
      </c>
      <c r="E3866" s="8">
        <v>10.996499999999999</v>
      </c>
      <c r="F3866" s="9">
        <v>46183</v>
      </c>
    </row>
    <row r="3867" spans="1:6" ht="75" x14ac:dyDescent="0.25">
      <c r="A3867" s="8" t="s">
        <v>63</v>
      </c>
      <c r="B3867" s="11" t="s">
        <v>75</v>
      </c>
      <c r="C3867" s="8" t="str">
        <f>IFERROR(_xlfn.XLOOKUP(TRIM(B3867),Lookup!$B$2:$B$1000,Lookup!$C$2:$C$1000),"")</f>
        <v>Equity - Thematic (Consumption)</v>
      </c>
      <c r="D3867" s="8" t="str">
        <f>IFERROR(INDEX('nav master'!$C:$C, MATCH(B3867, 'nav master'!$B:$B, 0)), "")</f>
        <v>ULIF 088 31/03/25 TBC 110</v>
      </c>
      <c r="E3867" s="8">
        <v>10.942500000000001</v>
      </c>
      <c r="F3867" s="9">
        <v>46184</v>
      </c>
    </row>
    <row r="3868" spans="1:6" ht="75" x14ac:dyDescent="0.25">
      <c r="A3868" s="8" t="s">
        <v>63</v>
      </c>
      <c r="B3868" s="11" t="s">
        <v>75</v>
      </c>
      <c r="C3868" s="8" t="str">
        <f>IFERROR(_xlfn.XLOOKUP(TRIM(B3868),Lookup!$B$2:$B$1000,Lookup!$C$2:$C$1000),"")</f>
        <v>Equity - Thematic (Consumption)</v>
      </c>
      <c r="D3868" s="8" t="str">
        <f>IFERROR(INDEX('nav master'!$C:$C, MATCH(B3868, 'nav master'!$B:$B, 0)), "")</f>
        <v>ULIF 088 31/03/25 TBC 110</v>
      </c>
      <c r="E3868" s="8">
        <v>11.1952</v>
      </c>
      <c r="F3868" s="9">
        <v>46185</v>
      </c>
    </row>
    <row r="3869" spans="1:6" ht="75" x14ac:dyDescent="0.25">
      <c r="A3869" s="8" t="s">
        <v>63</v>
      </c>
      <c r="B3869" s="11" t="s">
        <v>75</v>
      </c>
      <c r="C3869" s="8" t="str">
        <f>IFERROR(_xlfn.XLOOKUP(TRIM(B3869),Lookup!$B$2:$B$1000,Lookup!$C$2:$C$1000),"")</f>
        <v>Equity - Thematic (Consumption)</v>
      </c>
      <c r="D3869" s="8" t="str">
        <f>IFERROR(INDEX('nav master'!$C:$C, MATCH(B3869, 'nav master'!$B:$B, 0)), "")</f>
        <v>ULIF 088 31/03/25 TBC 110</v>
      </c>
      <c r="E3869" s="8">
        <v>11.3927</v>
      </c>
      <c r="F3869" s="9">
        <v>46188</v>
      </c>
    </row>
    <row r="3870" spans="1:6" ht="75" x14ac:dyDescent="0.25">
      <c r="A3870" s="8" t="s">
        <v>63</v>
      </c>
      <c r="B3870" s="11" t="s">
        <v>75</v>
      </c>
      <c r="C3870" s="8" t="str">
        <f>IFERROR(_xlfn.XLOOKUP(TRIM(B3870),Lookup!$B$2:$B$1000,Lookup!$C$2:$C$1000),"")</f>
        <v>Equity - Thematic (Consumption)</v>
      </c>
      <c r="D3870" s="8" t="str">
        <f>IFERROR(INDEX('nav master'!$C:$C, MATCH(B3870, 'nav master'!$B:$B, 0)), "")</f>
        <v>ULIF 088 31/03/25 TBC 110</v>
      </c>
      <c r="E3870" s="8">
        <v>11.4216</v>
      </c>
      <c r="F3870" s="9">
        <v>46189</v>
      </c>
    </row>
    <row r="3871" spans="1:6" ht="75" x14ac:dyDescent="0.25">
      <c r="A3871" s="8" t="s">
        <v>63</v>
      </c>
      <c r="B3871" s="11" t="s">
        <v>75</v>
      </c>
      <c r="C3871" s="8" t="str">
        <f>IFERROR(_xlfn.XLOOKUP(TRIM(B3871),Lookup!$B$2:$B$1000,Lookup!$C$2:$C$1000),"")</f>
        <v>Equity - Thematic (Consumption)</v>
      </c>
      <c r="D3871" s="8" t="str">
        <f>IFERROR(INDEX('nav master'!$C:$C, MATCH(B3871, 'nav master'!$B:$B, 0)), "")</f>
        <v>ULIF 088 31/03/25 TBC 110</v>
      </c>
      <c r="E3871" s="8">
        <v>11.510400000000001</v>
      </c>
      <c r="F3871" s="9">
        <v>46190</v>
      </c>
    </row>
    <row r="3872" spans="1:6" ht="75" x14ac:dyDescent="0.25">
      <c r="A3872" s="8" t="s">
        <v>63</v>
      </c>
      <c r="B3872" s="11" t="s">
        <v>75</v>
      </c>
      <c r="C3872" s="8" t="str">
        <f>IFERROR(_xlfn.XLOOKUP(TRIM(B3872),Lookup!$B$2:$B$1000,Lookup!$C$2:$C$1000),"")</f>
        <v>Equity - Thematic (Consumption)</v>
      </c>
      <c r="D3872" s="8" t="str">
        <f>IFERROR(INDEX('nav master'!$C:$C, MATCH(B3872, 'nav master'!$B:$B, 0)), "")</f>
        <v>ULIF 088 31/03/25 TBC 110</v>
      </c>
      <c r="E3872" s="8">
        <v>11.5627</v>
      </c>
      <c r="F3872" s="9">
        <v>46191</v>
      </c>
    </row>
    <row r="3873" spans="1:6" ht="75" x14ac:dyDescent="0.25">
      <c r="A3873" s="8" t="s">
        <v>63</v>
      </c>
      <c r="B3873" s="11" t="s">
        <v>75</v>
      </c>
      <c r="C3873" s="8" t="str">
        <f>IFERROR(_xlfn.XLOOKUP(TRIM(B3873),Lookup!$B$2:$B$1000,Lookup!$C$2:$C$1000),"")</f>
        <v>Equity - Thematic (Consumption)</v>
      </c>
      <c r="D3873" s="8" t="str">
        <f>IFERROR(INDEX('nav master'!$C:$C, MATCH(B3873, 'nav master'!$B:$B, 0)), "")</f>
        <v>ULIF 088 31/03/25 TBC 110</v>
      </c>
      <c r="E3873" s="8">
        <v>11.603999999999999</v>
      </c>
      <c r="F3873" s="9">
        <v>46192</v>
      </c>
    </row>
    <row r="3874" spans="1:6" ht="75" x14ac:dyDescent="0.25">
      <c r="A3874" s="8" t="s">
        <v>63</v>
      </c>
      <c r="B3874" s="11" t="s">
        <v>75</v>
      </c>
      <c r="C3874" s="8" t="str">
        <f>IFERROR(_xlfn.XLOOKUP(TRIM(B3874),Lookup!$B$2:$B$1000,Lookup!$C$2:$C$1000),"")</f>
        <v>Equity - Thematic (Consumption)</v>
      </c>
      <c r="D3874" s="8" t="str">
        <f>IFERROR(INDEX('nav master'!$C:$C, MATCH(B3874, 'nav master'!$B:$B, 0)), "")</f>
        <v>ULIF 088 31/03/25 TBC 110</v>
      </c>
      <c r="E3874" s="8">
        <v>11.676399999999999</v>
      </c>
      <c r="F3874" s="9">
        <v>46195</v>
      </c>
    </row>
    <row r="3875" spans="1:6" ht="75" x14ac:dyDescent="0.25">
      <c r="A3875" s="8" t="s">
        <v>63</v>
      </c>
      <c r="B3875" s="11" t="s">
        <v>75</v>
      </c>
      <c r="C3875" s="8" t="str">
        <f>IFERROR(_xlfn.XLOOKUP(TRIM(B3875),Lookup!$B$2:$B$1000,Lookup!$C$2:$C$1000),"")</f>
        <v>Equity - Thematic (Consumption)</v>
      </c>
      <c r="D3875" s="8" t="str">
        <f>IFERROR(INDEX('nav master'!$C:$C, MATCH(B3875, 'nav master'!$B:$B, 0)), "")</f>
        <v>ULIF 088 31/03/25 TBC 110</v>
      </c>
      <c r="E3875" s="8">
        <v>11.607699999999999</v>
      </c>
      <c r="F3875" s="9">
        <v>46196</v>
      </c>
    </row>
    <row r="3876" spans="1:6" ht="75" x14ac:dyDescent="0.25">
      <c r="A3876" s="8" t="s">
        <v>63</v>
      </c>
      <c r="B3876" s="11" t="s">
        <v>75</v>
      </c>
      <c r="C3876" s="8" t="str">
        <f>IFERROR(_xlfn.XLOOKUP(TRIM(B3876),Lookup!$B$2:$B$1000,Lookup!$C$2:$C$1000),"")</f>
        <v>Equity - Thematic (Consumption)</v>
      </c>
      <c r="D3876" s="8" t="str">
        <f>IFERROR(INDEX('nav master'!$C:$C, MATCH(B3876, 'nav master'!$B:$B, 0)), "")</f>
        <v>ULIF 088 31/03/25 TBC 110</v>
      </c>
      <c r="E3876" s="8">
        <v>11.597799999999999</v>
      </c>
      <c r="F3876" s="9">
        <v>46197</v>
      </c>
    </row>
    <row r="3877" spans="1:6" ht="75" x14ac:dyDescent="0.25">
      <c r="A3877" s="8" t="s">
        <v>63</v>
      </c>
      <c r="B3877" s="11" t="s">
        <v>75</v>
      </c>
      <c r="C3877" s="8" t="str">
        <f>IFERROR(_xlfn.XLOOKUP(TRIM(B3877),Lookup!$B$2:$B$1000,Lookup!$C$2:$C$1000),"")</f>
        <v>Equity - Thematic (Consumption)</v>
      </c>
      <c r="D3877" s="8" t="str">
        <f>IFERROR(INDEX('nav master'!$C:$C, MATCH(B3877, 'nav master'!$B:$B, 0)), "")</f>
        <v>ULIF 088 31/03/25 TBC 110</v>
      </c>
      <c r="E3877" s="8">
        <v>11.591699999999999</v>
      </c>
      <c r="F3877" s="9">
        <v>46198</v>
      </c>
    </row>
    <row r="3878" spans="1:6" ht="75" x14ac:dyDescent="0.25">
      <c r="A3878" s="8" t="s">
        <v>63</v>
      </c>
      <c r="B3878" s="11" t="s">
        <v>75</v>
      </c>
      <c r="C3878" s="8" t="str">
        <f>IFERROR(_xlfn.XLOOKUP(TRIM(B3878),Lookup!$B$2:$B$1000,Lookup!$C$2:$C$1000),"")</f>
        <v>Equity - Thematic (Consumption)</v>
      </c>
      <c r="D3878" s="8" t="str">
        <f>IFERROR(INDEX('nav master'!$C:$C, MATCH(B3878, 'nav master'!$B:$B, 0)), "")</f>
        <v>ULIF 088 31/03/25 TBC 110</v>
      </c>
      <c r="E3878" s="8">
        <v>11.5389</v>
      </c>
      <c r="F3878" s="9">
        <v>46202</v>
      </c>
    </row>
    <row r="3879" spans="1:6" ht="75" x14ac:dyDescent="0.25">
      <c r="A3879" s="8" t="s">
        <v>63</v>
      </c>
      <c r="B3879" s="11" t="s">
        <v>75</v>
      </c>
      <c r="C3879" s="8" t="str">
        <f>IFERROR(_xlfn.XLOOKUP(TRIM(B3879),Lookup!$B$2:$B$1000,Lookup!$C$2:$C$1000),"")</f>
        <v>Equity - Thematic (Consumption)</v>
      </c>
      <c r="D3879" s="8" t="str">
        <f>IFERROR(INDEX('nav master'!$C:$C, MATCH(B3879, 'nav master'!$B:$B, 0)), "")</f>
        <v>ULIF 088 31/03/25 TBC 110</v>
      </c>
      <c r="E3879" s="8">
        <v>11.5868</v>
      </c>
      <c r="F3879" s="9">
        <v>46203</v>
      </c>
    </row>
    <row r="3880" spans="1:6" ht="75" x14ac:dyDescent="0.25">
      <c r="A3880" s="8" t="s">
        <v>63</v>
      </c>
      <c r="B3880" s="11" t="s">
        <v>75</v>
      </c>
      <c r="C3880" s="8" t="str">
        <f>IFERROR(_xlfn.XLOOKUP(TRIM(B3880),Lookup!$B$2:$B$1000,Lookup!$C$2:$C$1000),"")</f>
        <v>Equity - Thematic (Consumption)</v>
      </c>
      <c r="D3880" s="8" t="str">
        <f>IFERROR(INDEX('nav master'!$C:$C, MATCH(B3880, 'nav master'!$B:$B, 0)), "")</f>
        <v>ULIF 088 31/03/25 TBC 110</v>
      </c>
      <c r="E3880" s="8">
        <v>11.7102</v>
      </c>
      <c r="F3880" s="9">
        <v>46204</v>
      </c>
    </row>
    <row r="3881" spans="1:6" ht="75" x14ac:dyDescent="0.25">
      <c r="A3881" s="8" t="s">
        <v>63</v>
      </c>
      <c r="B3881" s="11" t="s">
        <v>75</v>
      </c>
      <c r="C3881" s="8" t="str">
        <f>IFERROR(_xlfn.XLOOKUP(TRIM(B3881),Lookup!$B$2:$B$1000,Lookup!$C$2:$C$1000),"")</f>
        <v>Equity - Thematic (Consumption)</v>
      </c>
      <c r="D3881" s="8" t="str">
        <f>IFERROR(INDEX('nav master'!$C:$C, MATCH(B3881, 'nav master'!$B:$B, 0)), "")</f>
        <v>ULIF 088 31/03/25 TBC 110</v>
      </c>
      <c r="E3881" s="8">
        <v>11.775399999999999</v>
      </c>
      <c r="F3881" s="9">
        <v>46205</v>
      </c>
    </row>
    <row r="3882" spans="1:6" ht="75" x14ac:dyDescent="0.25">
      <c r="A3882" s="8" t="s">
        <v>63</v>
      </c>
      <c r="B3882" s="11" t="s">
        <v>75</v>
      </c>
      <c r="C3882" s="8" t="str">
        <f>IFERROR(_xlfn.XLOOKUP(TRIM(B3882),Lookup!$B$2:$B$1000,Lookup!$C$2:$C$1000),"")</f>
        <v>Equity - Thematic (Consumption)</v>
      </c>
      <c r="D3882" s="8" t="str">
        <f>IFERROR(INDEX('nav master'!$C:$C, MATCH(B3882, 'nav master'!$B:$B, 0)), "")</f>
        <v>ULIF 088 31/03/25 TBC 110</v>
      </c>
      <c r="E3882" s="8">
        <v>11.706799999999999</v>
      </c>
      <c r="F3882" s="9">
        <v>46206</v>
      </c>
    </row>
    <row r="3883" spans="1:6" ht="75" x14ac:dyDescent="0.25">
      <c r="A3883" s="8" t="s">
        <v>63</v>
      </c>
      <c r="B3883" s="11" t="s">
        <v>75</v>
      </c>
      <c r="C3883" s="8" t="str">
        <f>IFERROR(_xlfn.XLOOKUP(TRIM(B3883),Lookup!$B$2:$B$1000,Lookup!$C$2:$C$1000),"")</f>
        <v>Equity - Thematic (Consumption)</v>
      </c>
      <c r="D3883" s="8" t="str">
        <f>IFERROR(INDEX('nav master'!$C:$C, MATCH(B3883, 'nav master'!$B:$B, 0)), "")</f>
        <v>ULIF 088 31/03/25 TBC 110</v>
      </c>
      <c r="E3883" s="8">
        <v>11.776999999999999</v>
      </c>
      <c r="F3883" s="9">
        <v>46209</v>
      </c>
    </row>
    <row r="3884" spans="1:6" ht="75" x14ac:dyDescent="0.25">
      <c r="A3884" s="8" t="s">
        <v>63</v>
      </c>
      <c r="B3884" s="11" t="s">
        <v>75</v>
      </c>
      <c r="C3884" s="8" t="str">
        <f>IFERROR(_xlfn.XLOOKUP(TRIM(B3884),Lookup!$B$2:$B$1000,Lookup!$C$2:$C$1000),"")</f>
        <v>Equity - Thematic (Consumption)</v>
      </c>
      <c r="D3884" s="8" t="str">
        <f>IFERROR(INDEX('nav master'!$C:$C, MATCH(B3884, 'nav master'!$B:$B, 0)), "")</f>
        <v>ULIF 088 31/03/25 TBC 110</v>
      </c>
      <c r="E3884" s="8">
        <v>11.800599999999999</v>
      </c>
      <c r="F3884" s="9">
        <v>46210</v>
      </c>
    </row>
    <row r="3885" spans="1:6" ht="75" x14ac:dyDescent="0.25">
      <c r="A3885" s="8" t="s">
        <v>63</v>
      </c>
      <c r="B3885" s="11" t="s">
        <v>75</v>
      </c>
      <c r="C3885" s="8" t="str">
        <f>IFERROR(_xlfn.XLOOKUP(TRIM(B3885),Lookup!$B$2:$B$1000,Lookup!$C$2:$C$1000),"")</f>
        <v>Equity - Thematic (Consumption)</v>
      </c>
      <c r="D3885" s="8" t="str">
        <f>IFERROR(INDEX('nav master'!$C:$C, MATCH(B3885, 'nav master'!$B:$B, 0)), "")</f>
        <v>ULIF 088 31/03/25 TBC 110</v>
      </c>
      <c r="E3885" s="8">
        <v>11.613799999999999</v>
      </c>
      <c r="F3885" s="9">
        <v>46211</v>
      </c>
    </row>
    <row r="3886" spans="1:6" ht="75" x14ac:dyDescent="0.25">
      <c r="A3886" s="8" t="s">
        <v>63</v>
      </c>
      <c r="B3886" s="11" t="s">
        <v>75</v>
      </c>
      <c r="C3886" s="8" t="str">
        <f>IFERROR(_xlfn.XLOOKUP(TRIM(B3886),Lookup!$B$2:$B$1000,Lookup!$C$2:$C$1000),"")</f>
        <v>Equity - Thematic (Consumption)</v>
      </c>
      <c r="D3886" s="8" t="str">
        <f>IFERROR(INDEX('nav master'!$C:$C, MATCH(B3886, 'nav master'!$B:$B, 0)), "")</f>
        <v>ULIF 088 31/03/25 TBC 110</v>
      </c>
      <c r="E3886" s="8">
        <v>11.7936</v>
      </c>
      <c r="F3886" s="9">
        <v>46212</v>
      </c>
    </row>
    <row r="3887" spans="1:6" ht="75" x14ac:dyDescent="0.25">
      <c r="A3887" s="8" t="s">
        <v>63</v>
      </c>
      <c r="B3887" s="11" t="s">
        <v>75</v>
      </c>
      <c r="C3887" s="8" t="str">
        <f>IFERROR(_xlfn.XLOOKUP(TRIM(B3887),Lookup!$B$2:$B$1000,Lookup!$C$2:$C$1000),"")</f>
        <v>Equity - Thematic (Consumption)</v>
      </c>
      <c r="D3887" s="8" t="str">
        <f>IFERROR(INDEX('nav master'!$C:$C, MATCH(B3887, 'nav master'!$B:$B, 0)), "")</f>
        <v>ULIF 088 31/03/25 TBC 110</v>
      </c>
      <c r="E3887" s="8">
        <v>11.8802</v>
      </c>
      <c r="F3887" s="9">
        <v>46213</v>
      </c>
    </row>
    <row r="3888" spans="1:6" ht="75" x14ac:dyDescent="0.25">
      <c r="A3888" s="8" t="s">
        <v>63</v>
      </c>
      <c r="B3888" s="11" t="s">
        <v>75</v>
      </c>
      <c r="C3888" s="8" t="str">
        <f>IFERROR(_xlfn.XLOOKUP(TRIM(B3888),Lookup!$B$2:$B$1000,Lookup!$C$2:$C$1000),"")</f>
        <v>Equity - Thematic (Consumption)</v>
      </c>
      <c r="D3888" s="8" t="str">
        <f>IFERROR(INDEX('nav master'!$C:$C, MATCH(B3888, 'nav master'!$B:$B, 0)), "")</f>
        <v>ULIF 088 31/03/25 TBC 110</v>
      </c>
      <c r="E3888" s="8">
        <v>11.869300000000001</v>
      </c>
      <c r="F3888" s="9">
        <v>46216</v>
      </c>
    </row>
    <row r="3889" spans="1:6" ht="75" x14ac:dyDescent="0.25">
      <c r="A3889" s="8" t="s">
        <v>63</v>
      </c>
      <c r="B3889" s="11" t="s">
        <v>75</v>
      </c>
      <c r="C3889" s="8" t="str">
        <f>IFERROR(_xlfn.XLOOKUP(TRIM(B3889),Lookup!$B$2:$B$1000,Lookup!$C$2:$C$1000),"")</f>
        <v>Equity - Thematic (Consumption)</v>
      </c>
      <c r="D3889" s="8" t="str">
        <f>IFERROR(INDEX('nav master'!$C:$C, MATCH(B3889, 'nav master'!$B:$B, 0)), "")</f>
        <v>ULIF 088 31/03/25 TBC 110</v>
      </c>
      <c r="E3889" s="8">
        <v>11.7761</v>
      </c>
      <c r="F3889" s="9">
        <v>46217</v>
      </c>
    </row>
    <row r="3890" spans="1:6" ht="75" x14ac:dyDescent="0.25">
      <c r="A3890" s="8" t="s">
        <v>63</v>
      </c>
      <c r="B3890" s="11" t="s">
        <v>75</v>
      </c>
      <c r="C3890" s="8" t="str">
        <f>IFERROR(_xlfn.XLOOKUP(TRIM(B3890),Lookup!$B$2:$B$1000,Lookup!$C$2:$C$1000),"")</f>
        <v>Equity - Thematic (Consumption)</v>
      </c>
      <c r="D3890" s="8" t="str">
        <f>IFERROR(INDEX('nav master'!$C:$C, MATCH(B3890, 'nav master'!$B:$B, 0)), "")</f>
        <v>ULIF 088 31/03/25 TBC 110</v>
      </c>
      <c r="E3890" s="8">
        <v>11.830299999999999</v>
      </c>
      <c r="F3890" s="9">
        <v>46218</v>
      </c>
    </row>
    <row r="3891" spans="1:6" ht="75" x14ac:dyDescent="0.25">
      <c r="A3891" s="8" t="s">
        <v>63</v>
      </c>
      <c r="B3891" s="11" t="s">
        <v>75</v>
      </c>
      <c r="C3891" s="8" t="str">
        <f>IFERROR(_xlfn.XLOOKUP(TRIM(B3891),Lookup!$B$2:$B$1000,Lookup!$C$2:$C$1000),"")</f>
        <v>Equity - Thematic (Consumption)</v>
      </c>
      <c r="D3891" s="8" t="str">
        <f>IFERROR(INDEX('nav master'!$C:$C, MATCH(B3891, 'nav master'!$B:$B, 0)), "")</f>
        <v>ULIF 088 31/03/25 TBC 110</v>
      </c>
      <c r="E3891" s="8">
        <v>11.7989</v>
      </c>
      <c r="F3891" s="9">
        <v>46219</v>
      </c>
    </row>
    <row r="3892" spans="1:6" ht="75" x14ac:dyDescent="0.25">
      <c r="A3892" s="8" t="s">
        <v>63</v>
      </c>
      <c r="B3892" s="11" t="s">
        <v>75</v>
      </c>
      <c r="C3892" s="8" t="str">
        <f>IFERROR(_xlfn.XLOOKUP(TRIM(B3892),Lookup!$B$2:$B$1000,Lookup!$C$2:$C$1000),"")</f>
        <v>Equity - Thematic (Consumption)</v>
      </c>
      <c r="D3892" s="8" t="str">
        <f>IFERROR(INDEX('nav master'!$C:$C, MATCH(B3892, 'nav master'!$B:$B, 0)), "")</f>
        <v>ULIF 088 31/03/25 TBC 110</v>
      </c>
      <c r="E3892" s="8">
        <v>11.760400000000001</v>
      </c>
      <c r="F3892" s="9">
        <v>46220</v>
      </c>
    </row>
    <row r="3893" spans="1:6" ht="75" x14ac:dyDescent="0.25">
      <c r="A3893" s="8" t="s">
        <v>63</v>
      </c>
      <c r="B3893" s="11" t="s">
        <v>75</v>
      </c>
      <c r="C3893" s="8" t="str">
        <f>IFERROR(_xlfn.XLOOKUP(TRIM(B3893),Lookup!$B$2:$B$1000,Lookup!$C$2:$C$1000),"")</f>
        <v>Equity - Thematic (Consumption)</v>
      </c>
      <c r="D3893" s="8" t="str">
        <f>IFERROR(INDEX('nav master'!$C:$C, MATCH(B3893, 'nav master'!$B:$B, 0)), "")</f>
        <v>ULIF 088 31/03/25 TBC 110</v>
      </c>
      <c r="E3893" s="8">
        <v>11.791499999999999</v>
      </c>
      <c r="F3893" s="9">
        <v>46223</v>
      </c>
    </row>
    <row r="3894" spans="1:6" ht="75" x14ac:dyDescent="0.25">
      <c r="A3894" s="8" t="s">
        <v>63</v>
      </c>
      <c r="B3894" s="11" t="s">
        <v>75</v>
      </c>
      <c r="C3894" s="8" t="str">
        <f>IFERROR(_xlfn.XLOOKUP(TRIM(B3894),Lookup!$B$2:$B$1000,Lookup!$C$2:$C$1000),"")</f>
        <v>Equity - Thematic (Consumption)</v>
      </c>
      <c r="D3894" s="8" t="str">
        <f>IFERROR(INDEX('nav master'!$C:$C, MATCH(B3894, 'nav master'!$B:$B, 0)), "")</f>
        <v>ULIF 088 31/03/25 TBC 110</v>
      </c>
      <c r="E3894" s="8">
        <v>11.8462</v>
      </c>
      <c r="F3894" s="9">
        <v>46224</v>
      </c>
    </row>
    <row r="3895" spans="1:6" ht="75" x14ac:dyDescent="0.25">
      <c r="A3895" s="8" t="s">
        <v>63</v>
      </c>
      <c r="B3895" s="11" t="s">
        <v>75</v>
      </c>
      <c r="C3895" s="8" t="str">
        <f>IFERROR(_xlfn.XLOOKUP(TRIM(B3895),Lookup!$B$2:$B$1000,Lookup!$C$2:$C$1000),"")</f>
        <v>Equity - Thematic (Consumption)</v>
      </c>
      <c r="D3895" s="8" t="str">
        <f>IFERROR(INDEX('nav master'!$C:$C, MATCH(B3895, 'nav master'!$B:$B, 0)), "")</f>
        <v>ULIF 088 31/03/25 TBC 110</v>
      </c>
      <c r="E3895" s="8">
        <v>11.754300000000001</v>
      </c>
      <c r="F3895" s="9">
        <v>46225</v>
      </c>
    </row>
    <row r="3896" spans="1:6" ht="75" x14ac:dyDescent="0.25">
      <c r="A3896" s="8" t="s">
        <v>63</v>
      </c>
      <c r="B3896" s="11" t="s">
        <v>75</v>
      </c>
      <c r="C3896" s="8" t="str">
        <f>IFERROR(_xlfn.XLOOKUP(TRIM(B3896),Lookup!$B$2:$B$1000,Lookup!$C$2:$C$1000),"")</f>
        <v>Equity - Thematic (Consumption)</v>
      </c>
      <c r="D3896" s="8" t="str">
        <f>IFERROR(INDEX('nav master'!$C:$C, MATCH(B3896, 'nav master'!$B:$B, 0)), "")</f>
        <v>ULIF 088 31/03/25 TBC 110</v>
      </c>
      <c r="E3896" s="8">
        <v>11.6648</v>
      </c>
      <c r="F3896" s="9">
        <v>46226</v>
      </c>
    </row>
    <row r="3897" spans="1:6" ht="75" x14ac:dyDescent="0.25">
      <c r="A3897" s="8" t="s">
        <v>63</v>
      </c>
      <c r="B3897" s="11" t="s">
        <v>75</v>
      </c>
      <c r="C3897" s="8" t="str">
        <f>IFERROR(_xlfn.XLOOKUP(TRIM(B3897),Lookup!$B$2:$B$1000,Lookup!$C$2:$C$1000),"")</f>
        <v>Equity - Thematic (Consumption)</v>
      </c>
      <c r="D3897" s="8" t="str">
        <f>IFERROR(INDEX('nav master'!$C:$C, MATCH(B3897, 'nav master'!$B:$B, 0)), "")</f>
        <v>ULIF 088 31/03/25 TBC 110</v>
      </c>
      <c r="E3897" s="8">
        <v>11.582700000000001</v>
      </c>
      <c r="F3897" s="9">
        <v>46227</v>
      </c>
    </row>
    <row r="3898" spans="1:6" ht="75" x14ac:dyDescent="0.25">
      <c r="A3898" s="8" t="s">
        <v>63</v>
      </c>
      <c r="B3898" s="11" t="s">
        <v>75</v>
      </c>
      <c r="C3898" s="8" t="str">
        <f>IFERROR(_xlfn.XLOOKUP(TRIM(B3898),Lookup!$B$2:$B$1000,Lookup!$C$2:$C$1000),"")</f>
        <v>Equity - Thematic (Consumption)</v>
      </c>
      <c r="D3898" s="8" t="str">
        <f>IFERROR(INDEX('nav master'!$C:$C, MATCH(B3898, 'nav master'!$B:$B, 0)), "")</f>
        <v>ULIF 088 31/03/25 TBC 110</v>
      </c>
      <c r="E3898" s="8">
        <v>11.7416</v>
      </c>
      <c r="F3898" s="9">
        <v>46230</v>
      </c>
    </row>
    <row r="3899" spans="1:6" ht="75" x14ac:dyDescent="0.25">
      <c r="A3899" s="8" t="s">
        <v>63</v>
      </c>
      <c r="B3899" s="11" t="s">
        <v>75</v>
      </c>
      <c r="C3899" s="8" t="str">
        <f>IFERROR(_xlfn.XLOOKUP(TRIM(B3899),Lookup!$B$2:$B$1000,Lookup!$C$2:$C$1000),"")</f>
        <v>Equity - Thematic (Consumption)</v>
      </c>
      <c r="D3899" s="8" t="str">
        <f>IFERROR(INDEX('nav master'!$C:$C, MATCH(B3899, 'nav master'!$B:$B, 0)), "")</f>
        <v>ULIF 088 31/03/25 TBC 110</v>
      </c>
      <c r="E3899" s="8">
        <v>11.8011</v>
      </c>
      <c r="F3899" s="9">
        <v>46231</v>
      </c>
    </row>
    <row r="3900" spans="1:6" ht="75" x14ac:dyDescent="0.25">
      <c r="A3900" s="8" t="s">
        <v>63</v>
      </c>
      <c r="B3900" s="11" t="s">
        <v>75</v>
      </c>
      <c r="C3900" s="8" t="str">
        <f>IFERROR(_xlfn.XLOOKUP(TRIM(B3900),Lookup!$B$2:$B$1000,Lookup!$C$2:$C$1000),"")</f>
        <v>Equity - Thematic (Consumption)</v>
      </c>
      <c r="D3900" s="8" t="str">
        <f>IFERROR(INDEX('nav master'!$C:$C, MATCH(B3900, 'nav master'!$B:$B, 0)), "")</f>
        <v>ULIF 088 31/03/25 TBC 110</v>
      </c>
      <c r="E3900" s="8">
        <v>11.904500000000001</v>
      </c>
      <c r="F3900" s="9">
        <v>46232</v>
      </c>
    </row>
    <row r="3901" spans="1:6" ht="75" x14ac:dyDescent="0.25">
      <c r="A3901" s="8" t="s">
        <v>63</v>
      </c>
      <c r="B3901" s="11" t="s">
        <v>75</v>
      </c>
      <c r="C3901" s="8" t="str">
        <f>IFERROR(_xlfn.XLOOKUP(TRIM(B3901),Lookup!$B$2:$B$1000,Lookup!$C$2:$C$1000),"")</f>
        <v>Equity - Thematic (Consumption)</v>
      </c>
      <c r="D3901" s="8" t="str">
        <f>IFERROR(INDEX('nav master'!$C:$C, MATCH(B3901, 'nav master'!$B:$B, 0)), "")</f>
        <v>ULIF 088 31/03/25 TBC 110</v>
      </c>
      <c r="E3901" s="8">
        <v>11.8765</v>
      </c>
      <c r="F3901" s="9">
        <v>46233</v>
      </c>
    </row>
    <row r="3902" spans="1:6" ht="75" x14ac:dyDescent="0.25">
      <c r="A3902" s="8" t="s">
        <v>63</v>
      </c>
      <c r="B3902" s="11" t="s">
        <v>75</v>
      </c>
      <c r="C3902" s="8" t="str">
        <f>IFERROR(_xlfn.XLOOKUP(TRIM(B3902),Lookup!$B$2:$B$1000,Lookup!$C$2:$C$1000),"")</f>
        <v>Equity - Thematic (Consumption)</v>
      </c>
      <c r="D3902" s="8" t="str">
        <f>IFERROR(INDEX('nav master'!$C:$C, MATCH(B3902, 'nav master'!$B:$B, 0)), "")</f>
        <v>ULIF 088 31/03/25 TBC 110</v>
      </c>
      <c r="E3902" s="8">
        <v>11.924099999999999</v>
      </c>
      <c r="F3902" s="9">
        <v>46234</v>
      </c>
    </row>
    <row r="3903" spans="1:6" ht="90" x14ac:dyDescent="0.25">
      <c r="A3903" s="8" t="s">
        <v>63</v>
      </c>
      <c r="B3903" s="8" t="s">
        <v>76</v>
      </c>
      <c r="C3903" s="8" t="str">
        <f>IFERROR(_xlfn.XLOOKUP(TRIM(B3903),Lookup!$B$2:$B$1000,Lookup!$C$2:$C$1000),"")</f>
        <v>Equity - Large &amp; Mid Cap (BSE 200 oriented)</v>
      </c>
      <c r="D3903" s="8" t="str">
        <f>IFERROR(INDEX('nav master'!$C:$C, MATCH(B3903, 'nav master'!$B:$B, 0)), "")</f>
        <v>ULIF 027 12/01/09 ITT 110</v>
      </c>
      <c r="E3903" s="8">
        <v>180.85429999999999</v>
      </c>
      <c r="F3903" s="9">
        <v>45869</v>
      </c>
    </row>
    <row r="3904" spans="1:6" ht="90" x14ac:dyDescent="0.25">
      <c r="A3904" s="8" t="s">
        <v>63</v>
      </c>
      <c r="B3904" s="8" t="s">
        <v>76</v>
      </c>
      <c r="C3904" s="8" t="str">
        <f>IFERROR(_xlfn.XLOOKUP(TRIM(B3904),Lookup!$B$2:$B$1000,Lookup!$C$2:$C$1000),"")</f>
        <v>Equity - Large &amp; Mid Cap (BSE 200 oriented)</v>
      </c>
      <c r="D3904" s="8" t="str">
        <f>IFERROR(INDEX('nav master'!$C:$C, MATCH(B3904, 'nav master'!$B:$B, 0)), "")</f>
        <v>ULIF 027 12/01/09 ITT 110</v>
      </c>
      <c r="E3904" s="8">
        <v>179.01310000000001</v>
      </c>
      <c r="F3904" s="9">
        <v>45870</v>
      </c>
    </row>
    <row r="3905" spans="1:6" ht="90" x14ac:dyDescent="0.25">
      <c r="A3905" s="8" t="s">
        <v>63</v>
      </c>
      <c r="B3905" s="8" t="s">
        <v>76</v>
      </c>
      <c r="C3905" s="8" t="str">
        <f>IFERROR(_xlfn.XLOOKUP(TRIM(B3905),Lookup!$B$2:$B$1000,Lookup!$C$2:$C$1000),"")</f>
        <v>Equity - Large &amp; Mid Cap (BSE 200 oriented)</v>
      </c>
      <c r="D3905" s="8" t="str">
        <f>IFERROR(INDEX('nav master'!$C:$C, MATCH(B3905, 'nav master'!$B:$B, 0)), "")</f>
        <v>ULIF 027 12/01/09 ITT 110</v>
      </c>
      <c r="E3905" s="8">
        <v>180.55199999999999</v>
      </c>
      <c r="F3905" s="9">
        <v>45873</v>
      </c>
    </row>
    <row r="3906" spans="1:6" ht="90" x14ac:dyDescent="0.25">
      <c r="A3906" s="8" t="s">
        <v>63</v>
      </c>
      <c r="B3906" s="8" t="s">
        <v>76</v>
      </c>
      <c r="C3906" s="8" t="str">
        <f>IFERROR(_xlfn.XLOOKUP(TRIM(B3906),Lookup!$B$2:$B$1000,Lookup!$C$2:$C$1000),"")</f>
        <v>Equity - Large &amp; Mid Cap (BSE 200 oriented)</v>
      </c>
      <c r="D3906" s="8" t="str">
        <f>IFERROR(INDEX('nav master'!$C:$C, MATCH(B3906, 'nav master'!$B:$B, 0)), "")</f>
        <v>ULIF 027 12/01/09 ITT 110</v>
      </c>
      <c r="E3906" s="8">
        <v>179.55850000000001</v>
      </c>
      <c r="F3906" s="9">
        <v>45874</v>
      </c>
    </row>
    <row r="3907" spans="1:6" ht="90" x14ac:dyDescent="0.25">
      <c r="A3907" s="8" t="s">
        <v>63</v>
      </c>
      <c r="B3907" s="8" t="s">
        <v>76</v>
      </c>
      <c r="C3907" s="8" t="str">
        <f>IFERROR(_xlfn.XLOOKUP(TRIM(B3907),Lookup!$B$2:$B$1000,Lookup!$C$2:$C$1000),"")</f>
        <v>Equity - Large &amp; Mid Cap (BSE 200 oriented)</v>
      </c>
      <c r="D3907" s="8" t="str">
        <f>IFERROR(INDEX('nav master'!$C:$C, MATCH(B3907, 'nav master'!$B:$B, 0)), "")</f>
        <v>ULIF 027 12/01/09 ITT 110</v>
      </c>
      <c r="E3907" s="8">
        <v>178.1387</v>
      </c>
      <c r="F3907" s="9">
        <v>45875</v>
      </c>
    </row>
    <row r="3908" spans="1:6" ht="90" x14ac:dyDescent="0.25">
      <c r="A3908" s="8" t="s">
        <v>63</v>
      </c>
      <c r="B3908" s="8" t="s">
        <v>76</v>
      </c>
      <c r="C3908" s="8" t="str">
        <f>IFERROR(_xlfn.XLOOKUP(TRIM(B3908),Lookup!$B$2:$B$1000,Lookup!$C$2:$C$1000),"")</f>
        <v>Equity - Large &amp; Mid Cap (BSE 200 oriented)</v>
      </c>
      <c r="D3908" s="8" t="str">
        <f>IFERROR(INDEX('nav master'!$C:$C, MATCH(B3908, 'nav master'!$B:$B, 0)), "")</f>
        <v>ULIF 027 12/01/09 ITT 110</v>
      </c>
      <c r="E3908" s="8">
        <v>179.01769999999999</v>
      </c>
      <c r="F3908" s="9">
        <v>45876</v>
      </c>
    </row>
    <row r="3909" spans="1:6" ht="90" x14ac:dyDescent="0.25">
      <c r="A3909" s="8" t="s">
        <v>63</v>
      </c>
      <c r="B3909" s="8" t="s">
        <v>76</v>
      </c>
      <c r="C3909" s="8" t="str">
        <f>IFERROR(_xlfn.XLOOKUP(TRIM(B3909),Lookup!$B$2:$B$1000,Lookup!$C$2:$C$1000),"")</f>
        <v>Equity - Large &amp; Mid Cap (BSE 200 oriented)</v>
      </c>
      <c r="D3909" s="8" t="str">
        <f>IFERROR(INDEX('nav master'!$C:$C, MATCH(B3909, 'nav master'!$B:$B, 0)), "")</f>
        <v>ULIF 027 12/01/09 ITT 110</v>
      </c>
      <c r="E3909" s="8">
        <v>176.98079999999999</v>
      </c>
      <c r="F3909" s="9">
        <v>45877</v>
      </c>
    </row>
    <row r="3910" spans="1:6" ht="90" x14ac:dyDescent="0.25">
      <c r="A3910" s="8" t="s">
        <v>63</v>
      </c>
      <c r="B3910" s="8" t="s">
        <v>76</v>
      </c>
      <c r="C3910" s="8" t="str">
        <f>IFERROR(_xlfn.XLOOKUP(TRIM(B3910),Lookup!$B$2:$B$1000,Lookup!$C$2:$C$1000),"")</f>
        <v>Equity - Large &amp; Mid Cap (BSE 200 oriented)</v>
      </c>
      <c r="D3910" s="8" t="str">
        <f>IFERROR(INDEX('nav master'!$C:$C, MATCH(B3910, 'nav master'!$B:$B, 0)), "")</f>
        <v>ULIF 027 12/01/09 ITT 110</v>
      </c>
      <c r="E3910" s="8">
        <v>178.4907</v>
      </c>
      <c r="F3910" s="9">
        <v>45880</v>
      </c>
    </row>
    <row r="3911" spans="1:6" ht="90" x14ac:dyDescent="0.25">
      <c r="A3911" s="8" t="s">
        <v>63</v>
      </c>
      <c r="B3911" s="8" t="s">
        <v>76</v>
      </c>
      <c r="C3911" s="8" t="str">
        <f>IFERROR(_xlfn.XLOOKUP(TRIM(B3911),Lookup!$B$2:$B$1000,Lookup!$C$2:$C$1000),"")</f>
        <v>Equity - Large &amp; Mid Cap (BSE 200 oriented)</v>
      </c>
      <c r="D3911" s="8" t="str">
        <f>IFERROR(INDEX('nav master'!$C:$C, MATCH(B3911, 'nav master'!$B:$B, 0)), "")</f>
        <v>ULIF 027 12/01/09 ITT 110</v>
      </c>
      <c r="E3911" s="8">
        <v>178.57560000000001</v>
      </c>
      <c r="F3911" s="9">
        <v>45881</v>
      </c>
    </row>
    <row r="3912" spans="1:6" ht="90" x14ac:dyDescent="0.25">
      <c r="A3912" s="8" t="s">
        <v>63</v>
      </c>
      <c r="B3912" s="8" t="s">
        <v>76</v>
      </c>
      <c r="C3912" s="8" t="str">
        <f>IFERROR(_xlfn.XLOOKUP(TRIM(B3912),Lookup!$B$2:$B$1000,Lookup!$C$2:$C$1000),"")</f>
        <v>Equity - Large &amp; Mid Cap (BSE 200 oriented)</v>
      </c>
      <c r="D3912" s="8" t="str">
        <f>IFERROR(INDEX('nav master'!$C:$C, MATCH(B3912, 'nav master'!$B:$B, 0)), "")</f>
        <v>ULIF 027 12/01/09 ITT 110</v>
      </c>
      <c r="E3912" s="8">
        <v>179.80070000000001</v>
      </c>
      <c r="F3912" s="9">
        <v>45882</v>
      </c>
    </row>
    <row r="3913" spans="1:6" ht="90" x14ac:dyDescent="0.25">
      <c r="A3913" s="8" t="s">
        <v>63</v>
      </c>
      <c r="B3913" s="8" t="s">
        <v>76</v>
      </c>
      <c r="C3913" s="8" t="str">
        <f>IFERROR(_xlfn.XLOOKUP(TRIM(B3913),Lookup!$B$2:$B$1000,Lookup!$C$2:$C$1000),"")</f>
        <v>Equity - Large &amp; Mid Cap (BSE 200 oriented)</v>
      </c>
      <c r="D3913" s="8" t="str">
        <f>IFERROR(INDEX('nav master'!$C:$C, MATCH(B3913, 'nav master'!$B:$B, 0)), "")</f>
        <v>ULIF 027 12/01/09 ITT 110</v>
      </c>
      <c r="E3913" s="8">
        <v>179.99590000000001</v>
      </c>
      <c r="F3913" s="9">
        <v>45883</v>
      </c>
    </row>
    <row r="3914" spans="1:6" ht="90" x14ac:dyDescent="0.25">
      <c r="A3914" s="8" t="s">
        <v>63</v>
      </c>
      <c r="B3914" s="8" t="s">
        <v>76</v>
      </c>
      <c r="C3914" s="8" t="str">
        <f>IFERROR(_xlfn.XLOOKUP(TRIM(B3914),Lookup!$B$2:$B$1000,Lookup!$C$2:$C$1000),"")</f>
        <v>Equity - Large &amp; Mid Cap (BSE 200 oriented)</v>
      </c>
      <c r="D3914" s="8" t="str">
        <f>IFERROR(INDEX('nav master'!$C:$C, MATCH(B3914, 'nav master'!$B:$B, 0)), "")</f>
        <v>ULIF 027 12/01/09 ITT 110</v>
      </c>
      <c r="E3914" s="8">
        <v>181.61060000000001</v>
      </c>
      <c r="F3914" s="9">
        <v>45887</v>
      </c>
    </row>
    <row r="3915" spans="1:6" ht="90" x14ac:dyDescent="0.25">
      <c r="A3915" s="8" t="s">
        <v>63</v>
      </c>
      <c r="B3915" s="8" t="s">
        <v>76</v>
      </c>
      <c r="C3915" s="8" t="str">
        <f>IFERROR(_xlfn.XLOOKUP(TRIM(B3915),Lookup!$B$2:$B$1000,Lookup!$C$2:$C$1000),"")</f>
        <v>Equity - Large &amp; Mid Cap (BSE 200 oriented)</v>
      </c>
      <c r="D3915" s="8" t="str">
        <f>IFERROR(INDEX('nav master'!$C:$C, MATCH(B3915, 'nav master'!$B:$B, 0)), "")</f>
        <v>ULIF 027 12/01/09 ITT 110</v>
      </c>
      <c r="E3915" s="8">
        <v>182.76349999999999</v>
      </c>
      <c r="F3915" s="9">
        <v>45888</v>
      </c>
    </row>
    <row r="3916" spans="1:6" ht="90" x14ac:dyDescent="0.25">
      <c r="A3916" s="8" t="s">
        <v>63</v>
      </c>
      <c r="B3916" s="8" t="s">
        <v>76</v>
      </c>
      <c r="C3916" s="8" t="str">
        <f>IFERROR(_xlfn.XLOOKUP(TRIM(B3916),Lookup!$B$2:$B$1000,Lookup!$C$2:$C$1000),"")</f>
        <v>Equity - Large &amp; Mid Cap (BSE 200 oriented)</v>
      </c>
      <c r="D3916" s="8" t="str">
        <f>IFERROR(INDEX('nav master'!$C:$C, MATCH(B3916, 'nav master'!$B:$B, 0)), "")</f>
        <v>ULIF 027 12/01/09 ITT 110</v>
      </c>
      <c r="E3916" s="8">
        <v>183.6686</v>
      </c>
      <c r="F3916" s="9">
        <v>45889</v>
      </c>
    </row>
    <row r="3917" spans="1:6" ht="90" x14ac:dyDescent="0.25">
      <c r="A3917" s="8" t="s">
        <v>63</v>
      </c>
      <c r="B3917" s="8" t="s">
        <v>76</v>
      </c>
      <c r="C3917" s="8" t="str">
        <f>IFERROR(_xlfn.XLOOKUP(TRIM(B3917),Lookup!$B$2:$B$1000,Lookup!$C$2:$C$1000),"")</f>
        <v>Equity - Large &amp; Mid Cap (BSE 200 oriented)</v>
      </c>
      <c r="D3917" s="8" t="str">
        <f>IFERROR(INDEX('nav master'!$C:$C, MATCH(B3917, 'nav master'!$B:$B, 0)), "")</f>
        <v>ULIF 027 12/01/09 ITT 110</v>
      </c>
      <c r="E3917" s="8">
        <v>183.458</v>
      </c>
      <c r="F3917" s="9">
        <v>45890</v>
      </c>
    </row>
    <row r="3918" spans="1:6" ht="90" x14ac:dyDescent="0.25">
      <c r="A3918" s="8" t="s">
        <v>63</v>
      </c>
      <c r="B3918" s="8" t="s">
        <v>76</v>
      </c>
      <c r="C3918" s="8" t="str">
        <f>IFERROR(_xlfn.XLOOKUP(TRIM(B3918),Lookup!$B$2:$B$1000,Lookup!$C$2:$C$1000),"")</f>
        <v>Equity - Large &amp; Mid Cap (BSE 200 oriented)</v>
      </c>
      <c r="D3918" s="8" t="str">
        <f>IFERROR(INDEX('nav master'!$C:$C, MATCH(B3918, 'nav master'!$B:$B, 0)), "")</f>
        <v>ULIF 027 12/01/09 ITT 110</v>
      </c>
      <c r="E3918" s="8">
        <v>182.9057</v>
      </c>
      <c r="F3918" s="9">
        <v>45891</v>
      </c>
    </row>
    <row r="3919" spans="1:6" ht="90" x14ac:dyDescent="0.25">
      <c r="A3919" s="8" t="s">
        <v>63</v>
      </c>
      <c r="B3919" s="8" t="s">
        <v>76</v>
      </c>
      <c r="C3919" s="8" t="str">
        <f>IFERROR(_xlfn.XLOOKUP(TRIM(B3919),Lookup!$B$2:$B$1000,Lookup!$C$2:$C$1000),"")</f>
        <v>Equity - Large &amp; Mid Cap (BSE 200 oriented)</v>
      </c>
      <c r="D3919" s="8" t="str">
        <f>IFERROR(INDEX('nav master'!$C:$C, MATCH(B3919, 'nav master'!$B:$B, 0)), "")</f>
        <v>ULIF 027 12/01/09 ITT 110</v>
      </c>
      <c r="E3919" s="8">
        <v>183.5968</v>
      </c>
      <c r="F3919" s="9">
        <v>45894</v>
      </c>
    </row>
    <row r="3920" spans="1:6" ht="90" x14ac:dyDescent="0.25">
      <c r="A3920" s="8" t="s">
        <v>63</v>
      </c>
      <c r="B3920" s="8" t="s">
        <v>76</v>
      </c>
      <c r="C3920" s="8" t="str">
        <f>IFERROR(_xlfn.XLOOKUP(TRIM(B3920),Lookup!$B$2:$B$1000,Lookup!$C$2:$C$1000),"")</f>
        <v>Equity - Large &amp; Mid Cap (BSE 200 oriented)</v>
      </c>
      <c r="D3920" s="8" t="str">
        <f>IFERROR(INDEX('nav master'!$C:$C, MATCH(B3920, 'nav master'!$B:$B, 0)), "")</f>
        <v>ULIF 027 12/01/09 ITT 110</v>
      </c>
      <c r="E3920" s="8">
        <v>181.1491</v>
      </c>
      <c r="F3920" s="9">
        <v>45895</v>
      </c>
    </row>
    <row r="3921" spans="1:6" ht="90" x14ac:dyDescent="0.25">
      <c r="A3921" s="8" t="s">
        <v>63</v>
      </c>
      <c r="B3921" s="8" t="s">
        <v>76</v>
      </c>
      <c r="C3921" s="8" t="str">
        <f>IFERROR(_xlfn.XLOOKUP(TRIM(B3921),Lookup!$B$2:$B$1000,Lookup!$C$2:$C$1000),"")</f>
        <v>Equity - Large &amp; Mid Cap (BSE 200 oriented)</v>
      </c>
      <c r="D3921" s="8" t="str">
        <f>IFERROR(INDEX('nav master'!$C:$C, MATCH(B3921, 'nav master'!$B:$B, 0)), "")</f>
        <v>ULIF 027 12/01/09 ITT 110</v>
      </c>
      <c r="E3921" s="8">
        <v>178.83539999999999</v>
      </c>
      <c r="F3921" s="9">
        <v>45897</v>
      </c>
    </row>
    <row r="3922" spans="1:6" ht="90" x14ac:dyDescent="0.25">
      <c r="A3922" s="8" t="s">
        <v>63</v>
      </c>
      <c r="B3922" s="8" t="s">
        <v>76</v>
      </c>
      <c r="C3922" s="8" t="str">
        <f>IFERROR(_xlfn.XLOOKUP(TRIM(B3922),Lookup!$B$2:$B$1000,Lookup!$C$2:$C$1000),"")</f>
        <v>Equity - Large &amp; Mid Cap (BSE 200 oriented)</v>
      </c>
      <c r="D3922" s="8" t="str">
        <f>IFERROR(INDEX('nav master'!$C:$C, MATCH(B3922, 'nav master'!$B:$B, 0)), "")</f>
        <v>ULIF 027 12/01/09 ITT 110</v>
      </c>
      <c r="E3922" s="8">
        <v>177.4984</v>
      </c>
      <c r="F3922" s="9">
        <v>45898</v>
      </c>
    </row>
    <row r="3923" spans="1:6" ht="90" x14ac:dyDescent="0.25">
      <c r="A3923" s="8" t="s">
        <v>63</v>
      </c>
      <c r="B3923" s="8" t="s">
        <v>76</v>
      </c>
      <c r="C3923" s="8" t="str">
        <f>IFERROR(_xlfn.XLOOKUP(TRIM(B3923),Lookup!$B$2:$B$1000,Lookup!$C$2:$C$1000),"")</f>
        <v>Equity - Large &amp; Mid Cap (BSE 200 oriented)</v>
      </c>
      <c r="D3923" s="8" t="str">
        <f>IFERROR(INDEX('nav master'!$C:$C, MATCH(B3923, 'nav master'!$B:$B, 0)), "")</f>
        <v>ULIF 027 12/01/09 ITT 110</v>
      </c>
      <c r="E3923" s="8">
        <v>179.93450000000001</v>
      </c>
      <c r="F3923" s="9">
        <v>45901</v>
      </c>
    </row>
    <row r="3924" spans="1:6" ht="90" x14ac:dyDescent="0.25">
      <c r="A3924" s="8" t="s">
        <v>63</v>
      </c>
      <c r="B3924" s="8" t="s">
        <v>76</v>
      </c>
      <c r="C3924" s="8" t="str">
        <f>IFERROR(_xlfn.XLOOKUP(TRIM(B3924),Lookup!$B$2:$B$1000,Lookup!$C$2:$C$1000),"")</f>
        <v>Equity - Large &amp; Mid Cap (BSE 200 oriented)</v>
      </c>
      <c r="D3924" s="8" t="str">
        <f>IFERROR(INDEX('nav master'!$C:$C, MATCH(B3924, 'nav master'!$B:$B, 0)), "")</f>
        <v>ULIF 027 12/01/09 ITT 110</v>
      </c>
      <c r="E3924" s="8">
        <v>180.32429999999999</v>
      </c>
      <c r="F3924" s="9">
        <v>45902</v>
      </c>
    </row>
    <row r="3925" spans="1:6" ht="90" x14ac:dyDescent="0.25">
      <c r="A3925" s="8" t="s">
        <v>63</v>
      </c>
      <c r="B3925" s="8" t="s">
        <v>76</v>
      </c>
      <c r="C3925" s="8" t="str">
        <f>IFERROR(_xlfn.XLOOKUP(TRIM(B3925),Lookup!$B$2:$B$1000,Lookup!$C$2:$C$1000),"")</f>
        <v>Equity - Large &amp; Mid Cap (BSE 200 oriented)</v>
      </c>
      <c r="D3925" s="8" t="str">
        <f>IFERROR(INDEX('nav master'!$C:$C, MATCH(B3925, 'nav master'!$B:$B, 0)), "")</f>
        <v>ULIF 027 12/01/09 ITT 110</v>
      </c>
      <c r="E3925" s="8">
        <v>181.78540000000001</v>
      </c>
      <c r="F3925" s="9">
        <v>45903</v>
      </c>
    </row>
    <row r="3926" spans="1:6" ht="90" x14ac:dyDescent="0.25">
      <c r="A3926" s="8" t="s">
        <v>63</v>
      </c>
      <c r="B3926" s="8" t="s">
        <v>76</v>
      </c>
      <c r="C3926" s="8" t="str">
        <f>IFERROR(_xlfn.XLOOKUP(TRIM(B3926),Lookup!$B$2:$B$1000,Lookup!$C$2:$C$1000),"")</f>
        <v>Equity - Large &amp; Mid Cap (BSE 200 oriented)</v>
      </c>
      <c r="D3926" s="8" t="str">
        <f>IFERROR(INDEX('nav master'!$C:$C, MATCH(B3926, 'nav master'!$B:$B, 0)), "")</f>
        <v>ULIF 027 12/01/09 ITT 110</v>
      </c>
      <c r="E3926" s="8">
        <v>180.7919</v>
      </c>
      <c r="F3926" s="9">
        <v>45904</v>
      </c>
    </row>
    <row r="3927" spans="1:6" ht="90" x14ac:dyDescent="0.25">
      <c r="A3927" s="8" t="s">
        <v>63</v>
      </c>
      <c r="B3927" s="8" t="s">
        <v>76</v>
      </c>
      <c r="C3927" s="8" t="str">
        <f>IFERROR(_xlfn.XLOOKUP(TRIM(B3927),Lookup!$B$2:$B$1000,Lookup!$C$2:$C$1000),"")</f>
        <v>Equity - Large &amp; Mid Cap (BSE 200 oriented)</v>
      </c>
      <c r="D3927" s="8" t="str">
        <f>IFERROR(INDEX('nav master'!$C:$C, MATCH(B3927, 'nav master'!$B:$B, 0)), "")</f>
        <v>ULIF 027 12/01/09 ITT 110</v>
      </c>
      <c r="E3927" s="8">
        <v>180.9897</v>
      </c>
      <c r="F3927" s="9">
        <v>45905</v>
      </c>
    </row>
    <row r="3928" spans="1:6" ht="90" x14ac:dyDescent="0.25">
      <c r="A3928" s="8" t="s">
        <v>63</v>
      </c>
      <c r="B3928" s="8" t="s">
        <v>76</v>
      </c>
      <c r="C3928" s="8" t="str">
        <f>IFERROR(_xlfn.XLOOKUP(TRIM(B3928),Lookup!$B$2:$B$1000,Lookup!$C$2:$C$1000),"")</f>
        <v>Equity - Large &amp; Mid Cap (BSE 200 oriented)</v>
      </c>
      <c r="D3928" s="8" t="str">
        <f>IFERROR(INDEX('nav master'!$C:$C, MATCH(B3928, 'nav master'!$B:$B, 0)), "")</f>
        <v>ULIF 027 12/01/09 ITT 110</v>
      </c>
      <c r="E3928" s="8">
        <v>181.29679999999999</v>
      </c>
      <c r="F3928" s="9">
        <v>45908</v>
      </c>
    </row>
    <row r="3929" spans="1:6" ht="90" x14ac:dyDescent="0.25">
      <c r="A3929" s="8" t="s">
        <v>63</v>
      </c>
      <c r="B3929" s="8" t="s">
        <v>76</v>
      </c>
      <c r="C3929" s="8" t="str">
        <f>IFERROR(_xlfn.XLOOKUP(TRIM(B3929),Lookup!$B$2:$B$1000,Lookup!$C$2:$C$1000),"")</f>
        <v>Equity - Large &amp; Mid Cap (BSE 200 oriented)</v>
      </c>
      <c r="D3929" s="8" t="str">
        <f>IFERROR(INDEX('nav master'!$C:$C, MATCH(B3929, 'nav master'!$B:$B, 0)), "")</f>
        <v>ULIF 027 12/01/09 ITT 110</v>
      </c>
      <c r="E3929" s="8">
        <v>181.84450000000001</v>
      </c>
      <c r="F3929" s="9">
        <v>45909</v>
      </c>
    </row>
    <row r="3930" spans="1:6" ht="90" x14ac:dyDescent="0.25">
      <c r="A3930" s="8" t="s">
        <v>63</v>
      </c>
      <c r="B3930" s="8" t="s">
        <v>76</v>
      </c>
      <c r="C3930" s="8" t="str">
        <f>IFERROR(_xlfn.XLOOKUP(TRIM(B3930),Lookup!$B$2:$B$1000,Lookup!$C$2:$C$1000),"")</f>
        <v>Equity - Large &amp; Mid Cap (BSE 200 oriented)</v>
      </c>
      <c r="D3930" s="8" t="str">
        <f>IFERROR(INDEX('nav master'!$C:$C, MATCH(B3930, 'nav master'!$B:$B, 0)), "")</f>
        <v>ULIF 027 12/01/09 ITT 110</v>
      </c>
      <c r="E3930" s="8">
        <v>182.48650000000001</v>
      </c>
      <c r="F3930" s="9">
        <v>45910</v>
      </c>
    </row>
    <row r="3931" spans="1:6" ht="90" x14ac:dyDescent="0.25">
      <c r="A3931" s="8" t="s">
        <v>63</v>
      </c>
      <c r="B3931" s="8" t="s">
        <v>76</v>
      </c>
      <c r="C3931" s="8" t="str">
        <f>IFERROR(_xlfn.XLOOKUP(TRIM(B3931),Lookup!$B$2:$B$1000,Lookup!$C$2:$C$1000),"")</f>
        <v>Equity - Large &amp; Mid Cap (BSE 200 oriented)</v>
      </c>
      <c r="D3931" s="8" t="str">
        <f>IFERROR(INDEX('nav master'!$C:$C, MATCH(B3931, 'nav master'!$B:$B, 0)), "")</f>
        <v>ULIF 027 12/01/09 ITT 110</v>
      </c>
      <c r="E3931" s="8">
        <v>181.99160000000001</v>
      </c>
      <c r="F3931" s="9">
        <v>45911</v>
      </c>
    </row>
    <row r="3932" spans="1:6" ht="90" x14ac:dyDescent="0.25">
      <c r="A3932" s="8" t="s">
        <v>63</v>
      </c>
      <c r="B3932" s="8" t="s">
        <v>76</v>
      </c>
      <c r="C3932" s="8" t="str">
        <f>IFERROR(_xlfn.XLOOKUP(TRIM(B3932),Lookup!$B$2:$B$1000,Lookup!$C$2:$C$1000),"")</f>
        <v>Equity - Large &amp; Mid Cap (BSE 200 oriented)</v>
      </c>
      <c r="D3932" s="8" t="str">
        <f>IFERROR(INDEX('nav master'!$C:$C, MATCH(B3932, 'nav master'!$B:$B, 0)), "")</f>
        <v>ULIF 027 12/01/09 ITT 110</v>
      </c>
      <c r="E3932" s="8">
        <v>182.06909999999999</v>
      </c>
      <c r="F3932" s="9">
        <v>45912</v>
      </c>
    </row>
    <row r="3933" spans="1:6" ht="90" x14ac:dyDescent="0.25">
      <c r="A3933" s="8" t="s">
        <v>63</v>
      </c>
      <c r="B3933" s="8" t="s">
        <v>76</v>
      </c>
      <c r="C3933" s="8" t="str">
        <f>IFERROR(_xlfn.XLOOKUP(TRIM(B3933),Lookup!$B$2:$B$1000,Lookup!$C$2:$C$1000),"")</f>
        <v>Equity - Large &amp; Mid Cap (BSE 200 oriented)</v>
      </c>
      <c r="D3933" s="8" t="str">
        <f>IFERROR(INDEX('nav master'!$C:$C, MATCH(B3933, 'nav master'!$B:$B, 0)), "")</f>
        <v>ULIF 027 12/01/09 ITT 110</v>
      </c>
      <c r="E3933" s="8">
        <v>182.54300000000001</v>
      </c>
      <c r="F3933" s="9">
        <v>45915</v>
      </c>
    </row>
    <row r="3934" spans="1:6" ht="90" x14ac:dyDescent="0.25">
      <c r="A3934" s="8" t="s">
        <v>63</v>
      </c>
      <c r="B3934" s="8" t="s">
        <v>76</v>
      </c>
      <c r="C3934" s="8" t="str">
        <f>IFERROR(_xlfn.XLOOKUP(TRIM(B3934),Lookup!$B$2:$B$1000,Lookup!$C$2:$C$1000),"")</f>
        <v>Equity - Large &amp; Mid Cap (BSE 200 oriented)</v>
      </c>
      <c r="D3934" s="8" t="str">
        <f>IFERROR(INDEX('nav master'!$C:$C, MATCH(B3934, 'nav master'!$B:$B, 0)), "")</f>
        <v>ULIF 027 12/01/09 ITT 110</v>
      </c>
      <c r="E3934" s="8">
        <v>183.2499</v>
      </c>
      <c r="F3934" s="9">
        <v>45916</v>
      </c>
    </row>
    <row r="3935" spans="1:6" ht="90" x14ac:dyDescent="0.25">
      <c r="A3935" s="8" t="s">
        <v>63</v>
      </c>
      <c r="B3935" s="8" t="s">
        <v>76</v>
      </c>
      <c r="C3935" s="8" t="str">
        <f>IFERROR(_xlfn.XLOOKUP(TRIM(B3935),Lookup!$B$2:$B$1000,Lookup!$C$2:$C$1000),"")</f>
        <v>Equity - Large &amp; Mid Cap (BSE 200 oriented)</v>
      </c>
      <c r="D3935" s="8" t="str">
        <f>IFERROR(INDEX('nav master'!$C:$C, MATCH(B3935, 'nav master'!$B:$B, 0)), "")</f>
        <v>ULIF 027 12/01/09 ITT 110</v>
      </c>
      <c r="E3935" s="8">
        <v>183.9239</v>
      </c>
      <c r="F3935" s="9">
        <v>45917</v>
      </c>
    </row>
    <row r="3936" spans="1:6" ht="90" x14ac:dyDescent="0.25">
      <c r="A3936" s="8" t="s">
        <v>63</v>
      </c>
      <c r="B3936" s="8" t="s">
        <v>76</v>
      </c>
      <c r="C3936" s="8" t="str">
        <f>IFERROR(_xlfn.XLOOKUP(TRIM(B3936),Lookup!$B$2:$B$1000,Lookup!$C$2:$C$1000),"")</f>
        <v>Equity - Large &amp; Mid Cap (BSE 200 oriented)</v>
      </c>
      <c r="D3936" s="8" t="str">
        <f>IFERROR(INDEX('nav master'!$C:$C, MATCH(B3936, 'nav master'!$B:$B, 0)), "")</f>
        <v>ULIF 027 12/01/09 ITT 110</v>
      </c>
      <c r="E3936" s="8">
        <v>184.35509999999999</v>
      </c>
      <c r="F3936" s="9">
        <v>45918</v>
      </c>
    </row>
    <row r="3937" spans="1:6" ht="90" x14ac:dyDescent="0.25">
      <c r="A3937" s="8" t="s">
        <v>63</v>
      </c>
      <c r="B3937" s="8" t="s">
        <v>76</v>
      </c>
      <c r="C3937" s="8" t="str">
        <f>IFERROR(_xlfn.XLOOKUP(TRIM(B3937),Lookup!$B$2:$B$1000,Lookup!$C$2:$C$1000),"")</f>
        <v>Equity - Large &amp; Mid Cap (BSE 200 oriented)</v>
      </c>
      <c r="D3937" s="8" t="str">
        <f>IFERROR(INDEX('nav master'!$C:$C, MATCH(B3937, 'nav master'!$B:$B, 0)), "")</f>
        <v>ULIF 027 12/01/09 ITT 110</v>
      </c>
      <c r="E3937" s="8">
        <v>183.96950000000001</v>
      </c>
      <c r="F3937" s="9">
        <v>45919</v>
      </c>
    </row>
    <row r="3938" spans="1:6" ht="90" x14ac:dyDescent="0.25">
      <c r="A3938" s="8" t="s">
        <v>63</v>
      </c>
      <c r="B3938" s="8" t="s">
        <v>76</v>
      </c>
      <c r="C3938" s="8" t="str">
        <f>IFERROR(_xlfn.XLOOKUP(TRIM(B3938),Lookup!$B$2:$B$1000,Lookup!$C$2:$C$1000),"")</f>
        <v>Equity - Large &amp; Mid Cap (BSE 200 oriented)</v>
      </c>
      <c r="D3938" s="8" t="str">
        <f>IFERROR(INDEX('nav master'!$C:$C, MATCH(B3938, 'nav master'!$B:$B, 0)), "")</f>
        <v>ULIF 027 12/01/09 ITT 110</v>
      </c>
      <c r="E3938" s="8">
        <v>182.5513</v>
      </c>
      <c r="F3938" s="9">
        <v>45922</v>
      </c>
    </row>
    <row r="3939" spans="1:6" ht="90" x14ac:dyDescent="0.25">
      <c r="A3939" s="8" t="s">
        <v>63</v>
      </c>
      <c r="B3939" s="8" t="s">
        <v>76</v>
      </c>
      <c r="C3939" s="8" t="str">
        <f>IFERROR(_xlfn.XLOOKUP(TRIM(B3939),Lookup!$B$2:$B$1000,Lookup!$C$2:$C$1000),"")</f>
        <v>Equity - Large &amp; Mid Cap (BSE 200 oriented)</v>
      </c>
      <c r="D3939" s="8" t="str">
        <f>IFERROR(INDEX('nav master'!$C:$C, MATCH(B3939, 'nav master'!$B:$B, 0)), "")</f>
        <v>ULIF 027 12/01/09 ITT 110</v>
      </c>
      <c r="E3939" s="8">
        <v>181.46039999999999</v>
      </c>
      <c r="F3939" s="9">
        <v>45923</v>
      </c>
    </row>
    <row r="3940" spans="1:6" ht="90" x14ac:dyDescent="0.25">
      <c r="A3940" s="8" t="s">
        <v>63</v>
      </c>
      <c r="B3940" s="8" t="s">
        <v>76</v>
      </c>
      <c r="C3940" s="8" t="str">
        <f>IFERROR(_xlfn.XLOOKUP(TRIM(B3940),Lookup!$B$2:$B$1000,Lookup!$C$2:$C$1000),"")</f>
        <v>Equity - Large &amp; Mid Cap (BSE 200 oriented)</v>
      </c>
      <c r="D3940" s="8" t="str">
        <f>IFERROR(INDEX('nav master'!$C:$C, MATCH(B3940, 'nav master'!$B:$B, 0)), "")</f>
        <v>ULIF 027 12/01/09 ITT 110</v>
      </c>
      <c r="E3940" s="8">
        <v>180.17859999999999</v>
      </c>
      <c r="F3940" s="9">
        <v>45924</v>
      </c>
    </row>
    <row r="3941" spans="1:6" ht="90" x14ac:dyDescent="0.25">
      <c r="A3941" s="8" t="s">
        <v>63</v>
      </c>
      <c r="B3941" s="8" t="s">
        <v>76</v>
      </c>
      <c r="C3941" s="8" t="str">
        <f>IFERROR(_xlfn.XLOOKUP(TRIM(B3941),Lookup!$B$2:$B$1000,Lookup!$C$2:$C$1000),"")</f>
        <v>Equity - Large &amp; Mid Cap (BSE 200 oriented)</v>
      </c>
      <c r="D3941" s="8" t="str">
        <f>IFERROR(INDEX('nav master'!$C:$C, MATCH(B3941, 'nav master'!$B:$B, 0)), "")</f>
        <v>ULIF 027 12/01/09 ITT 110</v>
      </c>
      <c r="E3941" s="8">
        <v>179.22450000000001</v>
      </c>
      <c r="F3941" s="9">
        <v>45925</v>
      </c>
    </row>
    <row r="3942" spans="1:6" ht="90" x14ac:dyDescent="0.25">
      <c r="A3942" s="8" t="s">
        <v>63</v>
      </c>
      <c r="B3942" s="8" t="s">
        <v>76</v>
      </c>
      <c r="C3942" s="8" t="str">
        <f>IFERROR(_xlfn.XLOOKUP(TRIM(B3942),Lookup!$B$2:$B$1000,Lookup!$C$2:$C$1000),"")</f>
        <v>Equity - Large &amp; Mid Cap (BSE 200 oriented)</v>
      </c>
      <c r="D3942" s="8" t="str">
        <f>IFERROR(INDEX('nav master'!$C:$C, MATCH(B3942, 'nav master'!$B:$B, 0)), "")</f>
        <v>ULIF 027 12/01/09 ITT 110</v>
      </c>
      <c r="E3942" s="8">
        <v>176.39619999999999</v>
      </c>
      <c r="F3942" s="9">
        <v>45926</v>
      </c>
    </row>
    <row r="3943" spans="1:6" ht="90" x14ac:dyDescent="0.25">
      <c r="A3943" s="8" t="s">
        <v>63</v>
      </c>
      <c r="B3943" s="8" t="s">
        <v>76</v>
      </c>
      <c r="C3943" s="8" t="str">
        <f>IFERROR(_xlfn.XLOOKUP(TRIM(B3943),Lookup!$B$2:$B$1000,Lookup!$C$2:$C$1000),"")</f>
        <v>Equity - Large &amp; Mid Cap (BSE 200 oriented)</v>
      </c>
      <c r="D3943" s="8" t="str">
        <f>IFERROR(INDEX('nav master'!$C:$C, MATCH(B3943, 'nav master'!$B:$B, 0)), "")</f>
        <v>ULIF 027 12/01/09 ITT 110</v>
      </c>
      <c r="E3943" s="8">
        <v>176.15209999999999</v>
      </c>
      <c r="F3943" s="9">
        <v>45929</v>
      </c>
    </row>
    <row r="3944" spans="1:6" ht="90" x14ac:dyDescent="0.25">
      <c r="A3944" s="8" t="s">
        <v>63</v>
      </c>
      <c r="B3944" s="8" t="s">
        <v>76</v>
      </c>
      <c r="C3944" s="8" t="str">
        <f>IFERROR(_xlfn.XLOOKUP(TRIM(B3944),Lookup!$B$2:$B$1000,Lookup!$C$2:$C$1000),"")</f>
        <v>Equity - Large &amp; Mid Cap (BSE 200 oriented)</v>
      </c>
      <c r="D3944" s="8" t="str">
        <f>IFERROR(INDEX('nav master'!$C:$C, MATCH(B3944, 'nav master'!$B:$B, 0)), "")</f>
        <v>ULIF 027 12/01/09 ITT 110</v>
      </c>
      <c r="E3944" s="8">
        <v>176.05600000000001</v>
      </c>
      <c r="F3944" s="9">
        <v>45930</v>
      </c>
    </row>
    <row r="3945" spans="1:6" ht="90" x14ac:dyDescent="0.25">
      <c r="A3945" s="8" t="s">
        <v>63</v>
      </c>
      <c r="B3945" s="8" t="s">
        <v>76</v>
      </c>
      <c r="C3945" s="8" t="str">
        <f>IFERROR(_xlfn.XLOOKUP(TRIM(B3945),Lookup!$B$2:$B$1000,Lookup!$C$2:$C$1000),"")</f>
        <v>Equity - Large &amp; Mid Cap (BSE 200 oriented)</v>
      </c>
      <c r="D3945" s="8" t="str">
        <f>IFERROR(INDEX('nav master'!$C:$C, MATCH(B3945, 'nav master'!$B:$B, 0)), "")</f>
        <v>ULIF 027 12/01/09 ITT 110</v>
      </c>
      <c r="E3945" s="8">
        <v>177.25360000000001</v>
      </c>
      <c r="F3945" s="9">
        <v>45931</v>
      </c>
    </row>
    <row r="3946" spans="1:6" ht="90" x14ac:dyDescent="0.25">
      <c r="A3946" s="8" t="s">
        <v>63</v>
      </c>
      <c r="B3946" s="8" t="s">
        <v>76</v>
      </c>
      <c r="C3946" s="8" t="str">
        <f>IFERROR(_xlfn.XLOOKUP(TRIM(B3946),Lookup!$B$2:$B$1000,Lookup!$C$2:$C$1000),"")</f>
        <v>Equity - Large &amp; Mid Cap (BSE 200 oriented)</v>
      </c>
      <c r="D3946" s="8" t="str">
        <f>IFERROR(INDEX('nav master'!$C:$C, MATCH(B3946, 'nav master'!$B:$B, 0)), "")</f>
        <v>ULIF 027 12/01/09 ITT 110</v>
      </c>
      <c r="E3946" s="8">
        <v>178.45519999999999</v>
      </c>
      <c r="F3946" s="9">
        <v>45933</v>
      </c>
    </row>
    <row r="3947" spans="1:6" ht="90" x14ac:dyDescent="0.25">
      <c r="A3947" s="8" t="s">
        <v>63</v>
      </c>
      <c r="B3947" s="8" t="s">
        <v>76</v>
      </c>
      <c r="C3947" s="8" t="str">
        <f>IFERROR(_xlfn.XLOOKUP(TRIM(B3947),Lookup!$B$2:$B$1000,Lookup!$C$2:$C$1000),"")</f>
        <v>Equity - Large &amp; Mid Cap (BSE 200 oriented)</v>
      </c>
      <c r="D3947" s="8" t="str">
        <f>IFERROR(INDEX('nav master'!$C:$C, MATCH(B3947, 'nav master'!$B:$B, 0)), "")</f>
        <v>ULIF 027 12/01/09 ITT 110</v>
      </c>
      <c r="E3947" s="8">
        <v>179.9862</v>
      </c>
      <c r="F3947" s="9">
        <v>45936</v>
      </c>
    </row>
    <row r="3948" spans="1:6" ht="90" x14ac:dyDescent="0.25">
      <c r="A3948" s="8" t="s">
        <v>63</v>
      </c>
      <c r="B3948" s="8" t="s">
        <v>76</v>
      </c>
      <c r="C3948" s="8" t="str">
        <f>IFERROR(_xlfn.XLOOKUP(TRIM(B3948),Lookup!$B$2:$B$1000,Lookup!$C$2:$C$1000),"")</f>
        <v>Equity - Large &amp; Mid Cap (BSE 200 oriented)</v>
      </c>
      <c r="D3948" s="8" t="str">
        <f>IFERROR(INDEX('nav master'!$C:$C, MATCH(B3948, 'nav master'!$B:$B, 0)), "")</f>
        <v>ULIF 027 12/01/09 ITT 110</v>
      </c>
      <c r="E3948" s="8">
        <v>180.49950000000001</v>
      </c>
      <c r="F3948" s="9">
        <v>45937</v>
      </c>
    </row>
    <row r="3949" spans="1:6" ht="90" x14ac:dyDescent="0.25">
      <c r="A3949" s="8" t="s">
        <v>63</v>
      </c>
      <c r="B3949" s="8" t="s">
        <v>76</v>
      </c>
      <c r="C3949" s="8" t="str">
        <f>IFERROR(_xlfn.XLOOKUP(TRIM(B3949),Lookup!$B$2:$B$1000,Lookup!$C$2:$C$1000),"")</f>
        <v>Equity - Large &amp; Mid Cap (BSE 200 oriented)</v>
      </c>
      <c r="D3949" s="8" t="str">
        <f>IFERROR(INDEX('nav master'!$C:$C, MATCH(B3949, 'nav master'!$B:$B, 0)), "")</f>
        <v>ULIF 027 12/01/09 ITT 110</v>
      </c>
      <c r="E3949" s="8">
        <v>180.19659999999999</v>
      </c>
      <c r="F3949" s="9">
        <v>45938</v>
      </c>
    </row>
    <row r="3950" spans="1:6" ht="90" x14ac:dyDescent="0.25">
      <c r="A3950" s="8" t="s">
        <v>63</v>
      </c>
      <c r="B3950" s="8" t="s">
        <v>76</v>
      </c>
      <c r="C3950" s="8" t="str">
        <f>IFERROR(_xlfn.XLOOKUP(TRIM(B3950),Lookup!$B$2:$B$1000,Lookup!$C$2:$C$1000),"")</f>
        <v>Equity - Large &amp; Mid Cap (BSE 200 oriented)</v>
      </c>
      <c r="D3950" s="8" t="str">
        <f>IFERROR(INDEX('nav master'!$C:$C, MATCH(B3950, 'nav master'!$B:$B, 0)), "")</f>
        <v>ULIF 027 12/01/09 ITT 110</v>
      </c>
      <c r="E3950" s="8">
        <v>181.51060000000001</v>
      </c>
      <c r="F3950" s="9">
        <v>45939</v>
      </c>
    </row>
    <row r="3951" spans="1:6" ht="90" x14ac:dyDescent="0.25">
      <c r="A3951" s="8" t="s">
        <v>63</v>
      </c>
      <c r="B3951" s="8" t="s">
        <v>76</v>
      </c>
      <c r="C3951" s="8" t="str">
        <f>IFERROR(_xlfn.XLOOKUP(TRIM(B3951),Lookup!$B$2:$B$1000,Lookup!$C$2:$C$1000),"")</f>
        <v>Equity - Large &amp; Mid Cap (BSE 200 oriented)</v>
      </c>
      <c r="D3951" s="8" t="str">
        <f>IFERROR(INDEX('nav master'!$C:$C, MATCH(B3951, 'nav master'!$B:$B, 0)), "")</f>
        <v>ULIF 027 12/01/09 ITT 110</v>
      </c>
      <c r="E3951" s="8">
        <v>182.2002</v>
      </c>
      <c r="F3951" s="9">
        <v>45940</v>
      </c>
    </row>
    <row r="3952" spans="1:6" ht="90" x14ac:dyDescent="0.25">
      <c r="A3952" s="8" t="s">
        <v>63</v>
      </c>
      <c r="B3952" s="8" t="s">
        <v>76</v>
      </c>
      <c r="C3952" s="8" t="str">
        <f>IFERROR(_xlfn.XLOOKUP(TRIM(B3952),Lookup!$B$2:$B$1000,Lookup!$C$2:$C$1000),"")</f>
        <v>Equity - Large &amp; Mid Cap (BSE 200 oriented)</v>
      </c>
      <c r="D3952" s="8" t="str">
        <f>IFERROR(INDEX('nav master'!$C:$C, MATCH(B3952, 'nav master'!$B:$B, 0)), "")</f>
        <v>ULIF 027 12/01/09 ITT 110</v>
      </c>
      <c r="E3952" s="8">
        <v>182.27879999999999</v>
      </c>
      <c r="F3952" s="9">
        <v>45943</v>
      </c>
    </row>
    <row r="3953" spans="1:6" ht="90" x14ac:dyDescent="0.25">
      <c r="A3953" s="8" t="s">
        <v>63</v>
      </c>
      <c r="B3953" s="8" t="s">
        <v>76</v>
      </c>
      <c r="C3953" s="8" t="str">
        <f>IFERROR(_xlfn.XLOOKUP(TRIM(B3953),Lookup!$B$2:$B$1000,Lookup!$C$2:$C$1000),"")</f>
        <v>Equity - Large &amp; Mid Cap (BSE 200 oriented)</v>
      </c>
      <c r="D3953" s="8" t="str">
        <f>IFERROR(INDEX('nav master'!$C:$C, MATCH(B3953, 'nav master'!$B:$B, 0)), "")</f>
        <v>ULIF 027 12/01/09 ITT 110</v>
      </c>
      <c r="E3953" s="8">
        <v>181.8553</v>
      </c>
      <c r="F3953" s="9">
        <v>45944</v>
      </c>
    </row>
    <row r="3954" spans="1:6" ht="90" x14ac:dyDescent="0.25">
      <c r="A3954" s="8" t="s">
        <v>63</v>
      </c>
      <c r="B3954" s="8" t="s">
        <v>76</v>
      </c>
      <c r="C3954" s="8" t="str">
        <f>IFERROR(_xlfn.XLOOKUP(TRIM(B3954),Lookup!$B$2:$B$1000,Lookup!$C$2:$C$1000),"")</f>
        <v>Equity - Large &amp; Mid Cap (BSE 200 oriented)</v>
      </c>
      <c r="D3954" s="8" t="str">
        <f>IFERROR(INDEX('nav master'!$C:$C, MATCH(B3954, 'nav master'!$B:$B, 0)), "")</f>
        <v>ULIF 027 12/01/09 ITT 110</v>
      </c>
      <c r="E3954" s="8">
        <v>183.10769999999999</v>
      </c>
      <c r="F3954" s="9">
        <v>45945</v>
      </c>
    </row>
    <row r="3955" spans="1:6" ht="90" x14ac:dyDescent="0.25">
      <c r="A3955" s="8" t="s">
        <v>63</v>
      </c>
      <c r="B3955" s="8" t="s">
        <v>76</v>
      </c>
      <c r="C3955" s="8" t="str">
        <f>IFERROR(_xlfn.XLOOKUP(TRIM(B3955),Lookup!$B$2:$B$1000,Lookup!$C$2:$C$1000),"")</f>
        <v>Equity - Large &amp; Mid Cap (BSE 200 oriented)</v>
      </c>
      <c r="D3955" s="8" t="str">
        <f>IFERROR(INDEX('nav master'!$C:$C, MATCH(B3955, 'nav master'!$B:$B, 0)), "")</f>
        <v>ULIF 027 12/01/09 ITT 110</v>
      </c>
      <c r="E3955" s="8">
        <v>184.30950000000001</v>
      </c>
      <c r="F3955" s="9">
        <v>45946</v>
      </c>
    </row>
    <row r="3956" spans="1:6" ht="90" x14ac:dyDescent="0.25">
      <c r="A3956" s="8" t="s">
        <v>63</v>
      </c>
      <c r="B3956" s="8" t="s">
        <v>76</v>
      </c>
      <c r="C3956" s="8" t="str">
        <f>IFERROR(_xlfn.XLOOKUP(TRIM(B3956),Lookup!$B$2:$B$1000,Lookup!$C$2:$C$1000),"")</f>
        <v>Equity - Large &amp; Mid Cap (BSE 200 oriented)</v>
      </c>
      <c r="D3956" s="8" t="str">
        <f>IFERROR(INDEX('nav master'!$C:$C, MATCH(B3956, 'nav master'!$B:$B, 0)), "")</f>
        <v>ULIF 027 12/01/09 ITT 110</v>
      </c>
      <c r="E3956" s="8">
        <v>184.3766</v>
      </c>
      <c r="F3956" s="9">
        <v>45947</v>
      </c>
    </row>
    <row r="3957" spans="1:6" ht="90" x14ac:dyDescent="0.25">
      <c r="A3957" s="8" t="s">
        <v>63</v>
      </c>
      <c r="B3957" s="8" t="s">
        <v>76</v>
      </c>
      <c r="C3957" s="8" t="str">
        <f>IFERROR(_xlfn.XLOOKUP(TRIM(B3957),Lookup!$B$2:$B$1000,Lookup!$C$2:$C$1000),"")</f>
        <v>Equity - Large &amp; Mid Cap (BSE 200 oriented)</v>
      </c>
      <c r="D3957" s="8" t="str">
        <f>IFERROR(INDEX('nav master'!$C:$C, MATCH(B3957, 'nav master'!$B:$B, 0)), "")</f>
        <v>ULIF 027 12/01/09 ITT 110</v>
      </c>
      <c r="E3957" s="8">
        <v>185.00739999999999</v>
      </c>
      <c r="F3957" s="9">
        <v>45950</v>
      </c>
    </row>
    <row r="3958" spans="1:6" ht="90" x14ac:dyDescent="0.25">
      <c r="A3958" s="8" t="s">
        <v>63</v>
      </c>
      <c r="B3958" s="8" t="s">
        <v>76</v>
      </c>
      <c r="C3958" s="8" t="str">
        <f>IFERROR(_xlfn.XLOOKUP(TRIM(B3958),Lookup!$B$2:$B$1000,Lookup!$C$2:$C$1000),"")</f>
        <v>Equity - Large &amp; Mid Cap (BSE 200 oriented)</v>
      </c>
      <c r="D3958" s="8" t="str">
        <f>IFERROR(INDEX('nav master'!$C:$C, MATCH(B3958, 'nav master'!$B:$B, 0)), "")</f>
        <v>ULIF 027 12/01/09 ITT 110</v>
      </c>
      <c r="E3958" s="8">
        <v>184.87309999999999</v>
      </c>
      <c r="F3958" s="9">
        <v>45953</v>
      </c>
    </row>
    <row r="3959" spans="1:6" ht="90" x14ac:dyDescent="0.25">
      <c r="A3959" s="8" t="s">
        <v>63</v>
      </c>
      <c r="B3959" s="8" t="s">
        <v>76</v>
      </c>
      <c r="C3959" s="8" t="str">
        <f>IFERROR(_xlfn.XLOOKUP(TRIM(B3959),Lookup!$B$2:$B$1000,Lookup!$C$2:$C$1000),"")</f>
        <v>Equity - Large &amp; Mid Cap (BSE 200 oriented)</v>
      </c>
      <c r="D3959" s="8" t="str">
        <f>IFERROR(INDEX('nav master'!$C:$C, MATCH(B3959, 'nav master'!$B:$B, 0)), "")</f>
        <v>ULIF 027 12/01/09 ITT 110</v>
      </c>
      <c r="E3959" s="8">
        <v>184.06270000000001</v>
      </c>
      <c r="F3959" s="9">
        <v>45954</v>
      </c>
    </row>
    <row r="3960" spans="1:6" ht="90" x14ac:dyDescent="0.25">
      <c r="A3960" s="8" t="s">
        <v>63</v>
      </c>
      <c r="B3960" s="8" t="s">
        <v>76</v>
      </c>
      <c r="C3960" s="8" t="str">
        <f>IFERROR(_xlfn.XLOOKUP(TRIM(B3960),Lookup!$B$2:$B$1000,Lookup!$C$2:$C$1000),"")</f>
        <v>Equity - Large &amp; Mid Cap (BSE 200 oriented)</v>
      </c>
      <c r="D3960" s="8" t="str">
        <f>IFERROR(INDEX('nav master'!$C:$C, MATCH(B3960, 'nav master'!$B:$B, 0)), "")</f>
        <v>ULIF 027 12/01/09 ITT 110</v>
      </c>
      <c r="E3960" s="8">
        <v>185.6754</v>
      </c>
      <c r="F3960" s="9">
        <v>45957</v>
      </c>
    </row>
    <row r="3961" spans="1:6" ht="90" x14ac:dyDescent="0.25">
      <c r="A3961" s="8" t="s">
        <v>63</v>
      </c>
      <c r="B3961" s="8" t="s">
        <v>76</v>
      </c>
      <c r="C3961" s="8" t="str">
        <f>IFERROR(_xlfn.XLOOKUP(TRIM(B3961),Lookup!$B$2:$B$1000,Lookup!$C$2:$C$1000),"")</f>
        <v>Equity - Large &amp; Mid Cap (BSE 200 oriented)</v>
      </c>
      <c r="D3961" s="8" t="str">
        <f>IFERROR(INDEX('nav master'!$C:$C, MATCH(B3961, 'nav master'!$B:$B, 0)), "")</f>
        <v>ULIF 027 12/01/09 ITT 110</v>
      </c>
      <c r="E3961" s="8">
        <v>185.197</v>
      </c>
      <c r="F3961" s="9">
        <v>45958</v>
      </c>
    </row>
    <row r="3962" spans="1:6" ht="90" x14ac:dyDescent="0.25">
      <c r="A3962" s="8" t="s">
        <v>63</v>
      </c>
      <c r="B3962" s="8" t="s">
        <v>76</v>
      </c>
      <c r="C3962" s="8" t="str">
        <f>IFERROR(_xlfn.XLOOKUP(TRIM(B3962),Lookup!$B$2:$B$1000,Lookup!$C$2:$C$1000),"")</f>
        <v>Equity - Large &amp; Mid Cap (BSE 200 oriented)</v>
      </c>
      <c r="D3962" s="8" t="str">
        <f>IFERROR(INDEX('nav master'!$C:$C, MATCH(B3962, 'nav master'!$B:$B, 0)), "")</f>
        <v>ULIF 027 12/01/09 ITT 110</v>
      </c>
      <c r="E3962" s="8">
        <v>186.6156</v>
      </c>
      <c r="F3962" s="9">
        <v>45959</v>
      </c>
    </row>
    <row r="3963" spans="1:6" ht="90" x14ac:dyDescent="0.25">
      <c r="A3963" s="8" t="s">
        <v>63</v>
      </c>
      <c r="B3963" s="8" t="s">
        <v>76</v>
      </c>
      <c r="C3963" s="8" t="str">
        <f>IFERROR(_xlfn.XLOOKUP(TRIM(B3963),Lookup!$B$2:$B$1000,Lookup!$C$2:$C$1000),"")</f>
        <v>Equity - Large &amp; Mid Cap (BSE 200 oriented)</v>
      </c>
      <c r="D3963" s="8" t="str">
        <f>IFERROR(INDEX('nav master'!$C:$C, MATCH(B3963, 'nav master'!$B:$B, 0)), "")</f>
        <v>ULIF 027 12/01/09 ITT 110</v>
      </c>
      <c r="E3963" s="8">
        <v>185.6627</v>
      </c>
      <c r="F3963" s="9">
        <v>45960</v>
      </c>
    </row>
    <row r="3964" spans="1:6" ht="90" x14ac:dyDescent="0.25">
      <c r="A3964" s="8" t="s">
        <v>63</v>
      </c>
      <c r="B3964" s="8" t="s">
        <v>76</v>
      </c>
      <c r="C3964" s="8" t="str">
        <f>IFERROR(_xlfn.XLOOKUP(TRIM(B3964),Lookup!$B$2:$B$1000,Lookup!$C$2:$C$1000),"")</f>
        <v>Equity - Large &amp; Mid Cap (BSE 200 oriented)</v>
      </c>
      <c r="D3964" s="8" t="str">
        <f>IFERROR(INDEX('nav master'!$C:$C, MATCH(B3964, 'nav master'!$B:$B, 0)), "")</f>
        <v>ULIF 027 12/01/09 ITT 110</v>
      </c>
      <c r="E3964" s="8">
        <v>184.0942</v>
      </c>
      <c r="F3964" s="9">
        <v>45961</v>
      </c>
    </row>
    <row r="3965" spans="1:6" ht="90" x14ac:dyDescent="0.25">
      <c r="A3965" s="8" t="s">
        <v>63</v>
      </c>
      <c r="B3965" s="8" t="s">
        <v>76</v>
      </c>
      <c r="C3965" s="8" t="str">
        <f>IFERROR(_xlfn.XLOOKUP(TRIM(B3965),Lookup!$B$2:$B$1000,Lookup!$C$2:$C$1000),"")</f>
        <v>Equity - Large &amp; Mid Cap (BSE 200 oriented)</v>
      </c>
      <c r="D3965" s="8" t="str">
        <f>IFERROR(INDEX('nav master'!$C:$C, MATCH(B3965, 'nav master'!$B:$B, 0)), "")</f>
        <v>ULIF 027 12/01/09 ITT 110</v>
      </c>
      <c r="E3965" s="8">
        <v>185.26</v>
      </c>
      <c r="F3965" s="9">
        <v>45964</v>
      </c>
    </row>
    <row r="3966" spans="1:6" ht="90" x14ac:dyDescent="0.25">
      <c r="A3966" s="8" t="s">
        <v>63</v>
      </c>
      <c r="B3966" s="8" t="s">
        <v>76</v>
      </c>
      <c r="C3966" s="8" t="str">
        <f>IFERROR(_xlfn.XLOOKUP(TRIM(B3966),Lookup!$B$2:$B$1000,Lookup!$C$2:$C$1000),"")</f>
        <v>Equity - Large &amp; Mid Cap (BSE 200 oriented)</v>
      </c>
      <c r="D3966" s="8" t="str">
        <f>IFERROR(INDEX('nav master'!$C:$C, MATCH(B3966, 'nav master'!$B:$B, 0)), "")</f>
        <v>ULIF 027 12/01/09 ITT 110</v>
      </c>
      <c r="E3966" s="8">
        <v>184.5213</v>
      </c>
      <c r="F3966" s="9">
        <v>45965</v>
      </c>
    </row>
    <row r="3967" spans="1:6" ht="90" x14ac:dyDescent="0.25">
      <c r="A3967" s="8" t="s">
        <v>63</v>
      </c>
      <c r="B3967" s="8" t="s">
        <v>76</v>
      </c>
      <c r="C3967" s="8" t="str">
        <f>IFERROR(_xlfn.XLOOKUP(TRIM(B3967),Lookup!$B$2:$B$1000,Lookup!$C$2:$C$1000),"")</f>
        <v>Equity - Large &amp; Mid Cap (BSE 200 oriented)</v>
      </c>
      <c r="D3967" s="8" t="str">
        <f>IFERROR(INDEX('nav master'!$C:$C, MATCH(B3967, 'nav master'!$B:$B, 0)), "")</f>
        <v>ULIF 027 12/01/09 ITT 110</v>
      </c>
      <c r="E3967" s="8">
        <v>182.9323</v>
      </c>
      <c r="F3967" s="9">
        <v>45967</v>
      </c>
    </row>
    <row r="3968" spans="1:6" ht="90" x14ac:dyDescent="0.25">
      <c r="A3968" s="8" t="s">
        <v>63</v>
      </c>
      <c r="B3968" s="8" t="s">
        <v>76</v>
      </c>
      <c r="C3968" s="8" t="str">
        <f>IFERROR(_xlfn.XLOOKUP(TRIM(B3968),Lookup!$B$2:$B$1000,Lookup!$C$2:$C$1000),"")</f>
        <v>Equity - Large &amp; Mid Cap (BSE 200 oriented)</v>
      </c>
      <c r="D3968" s="8" t="str">
        <f>IFERROR(INDEX('nav master'!$C:$C, MATCH(B3968, 'nav master'!$B:$B, 0)), "")</f>
        <v>ULIF 027 12/01/09 ITT 110</v>
      </c>
      <c r="E3968" s="8">
        <v>182.67099999999999</v>
      </c>
      <c r="F3968" s="9">
        <v>45968</v>
      </c>
    </row>
    <row r="3969" spans="1:6" ht="90" x14ac:dyDescent="0.25">
      <c r="A3969" s="8" t="s">
        <v>63</v>
      </c>
      <c r="B3969" s="8" t="s">
        <v>76</v>
      </c>
      <c r="C3969" s="8" t="str">
        <f>IFERROR(_xlfn.XLOOKUP(TRIM(B3969),Lookup!$B$2:$B$1000,Lookup!$C$2:$C$1000),"")</f>
        <v>Equity - Large &amp; Mid Cap (BSE 200 oriented)</v>
      </c>
      <c r="D3969" s="8" t="str">
        <f>IFERROR(INDEX('nav master'!$C:$C, MATCH(B3969, 'nav master'!$B:$B, 0)), "")</f>
        <v>ULIF 027 12/01/09 ITT 110</v>
      </c>
      <c r="E3969" s="8">
        <v>183.0222</v>
      </c>
      <c r="F3969" s="9">
        <v>45971</v>
      </c>
    </row>
    <row r="3970" spans="1:6" ht="90" x14ac:dyDescent="0.25">
      <c r="A3970" s="8" t="s">
        <v>63</v>
      </c>
      <c r="B3970" s="8" t="s">
        <v>76</v>
      </c>
      <c r="C3970" s="8" t="str">
        <f>IFERROR(_xlfn.XLOOKUP(TRIM(B3970),Lookup!$B$2:$B$1000,Lookup!$C$2:$C$1000),"")</f>
        <v>Equity - Large &amp; Mid Cap (BSE 200 oriented)</v>
      </c>
      <c r="D3970" s="8" t="str">
        <f>IFERROR(INDEX('nav master'!$C:$C, MATCH(B3970, 'nav master'!$B:$B, 0)), "")</f>
        <v>ULIF 027 12/01/09 ITT 110</v>
      </c>
      <c r="E3970" s="8">
        <v>184.1377</v>
      </c>
      <c r="F3970" s="9">
        <v>45972</v>
      </c>
    </row>
    <row r="3971" spans="1:6" ht="90" x14ac:dyDescent="0.25">
      <c r="A3971" s="8" t="s">
        <v>63</v>
      </c>
      <c r="B3971" s="8" t="s">
        <v>76</v>
      </c>
      <c r="C3971" s="8" t="str">
        <f>IFERROR(_xlfn.XLOOKUP(TRIM(B3971),Lookup!$B$2:$B$1000,Lookup!$C$2:$C$1000),"")</f>
        <v>Equity - Large &amp; Mid Cap (BSE 200 oriented)</v>
      </c>
      <c r="D3971" s="8" t="str">
        <f>IFERROR(INDEX('nav master'!$C:$C, MATCH(B3971, 'nav master'!$B:$B, 0)), "")</f>
        <v>ULIF 027 12/01/09 ITT 110</v>
      </c>
      <c r="E3971" s="8">
        <v>185.1978</v>
      </c>
      <c r="F3971" s="9">
        <v>45973</v>
      </c>
    </row>
    <row r="3972" spans="1:6" ht="90" x14ac:dyDescent="0.25">
      <c r="A3972" s="8" t="s">
        <v>63</v>
      </c>
      <c r="B3972" s="8" t="s">
        <v>76</v>
      </c>
      <c r="C3972" s="8" t="str">
        <f>IFERROR(_xlfn.XLOOKUP(TRIM(B3972),Lookup!$B$2:$B$1000,Lookup!$C$2:$C$1000),"")</f>
        <v>Equity - Large &amp; Mid Cap (BSE 200 oriented)</v>
      </c>
      <c r="D3972" s="8" t="str">
        <f>IFERROR(INDEX('nav master'!$C:$C, MATCH(B3972, 'nav master'!$B:$B, 0)), "")</f>
        <v>ULIF 027 12/01/09 ITT 110</v>
      </c>
      <c r="E3972" s="8">
        <v>185.09880000000001</v>
      </c>
      <c r="F3972" s="9">
        <v>45974</v>
      </c>
    </row>
    <row r="3973" spans="1:6" ht="90" x14ac:dyDescent="0.25">
      <c r="A3973" s="8" t="s">
        <v>63</v>
      </c>
      <c r="B3973" s="8" t="s">
        <v>76</v>
      </c>
      <c r="C3973" s="8" t="str">
        <f>IFERROR(_xlfn.XLOOKUP(TRIM(B3973),Lookup!$B$2:$B$1000,Lookup!$C$2:$C$1000),"")</f>
        <v>Equity - Large &amp; Mid Cap (BSE 200 oriented)</v>
      </c>
      <c r="D3973" s="8" t="str">
        <f>IFERROR(INDEX('nav master'!$C:$C, MATCH(B3973, 'nav master'!$B:$B, 0)), "")</f>
        <v>ULIF 027 12/01/09 ITT 110</v>
      </c>
      <c r="E3973" s="8">
        <v>185.3117</v>
      </c>
      <c r="F3973" s="9">
        <v>45975</v>
      </c>
    </row>
    <row r="3974" spans="1:6" ht="90" x14ac:dyDescent="0.25">
      <c r="A3974" s="8" t="s">
        <v>63</v>
      </c>
      <c r="B3974" s="8" t="s">
        <v>76</v>
      </c>
      <c r="C3974" s="8" t="str">
        <f>IFERROR(_xlfn.XLOOKUP(TRIM(B3974),Lookup!$B$2:$B$1000,Lookup!$C$2:$C$1000),"")</f>
        <v>Equity - Large &amp; Mid Cap (BSE 200 oriented)</v>
      </c>
      <c r="D3974" s="8" t="str">
        <f>IFERROR(INDEX('nav master'!$C:$C, MATCH(B3974, 'nav master'!$B:$B, 0)), "")</f>
        <v>ULIF 027 12/01/09 ITT 110</v>
      </c>
      <c r="E3974" s="8">
        <v>186.34030000000001</v>
      </c>
      <c r="F3974" s="9">
        <v>45978</v>
      </c>
    </row>
    <row r="3975" spans="1:6" ht="90" x14ac:dyDescent="0.25">
      <c r="A3975" s="8" t="s">
        <v>63</v>
      </c>
      <c r="B3975" s="8" t="s">
        <v>76</v>
      </c>
      <c r="C3975" s="8" t="str">
        <f>IFERROR(_xlfn.XLOOKUP(TRIM(B3975),Lookup!$B$2:$B$1000,Lookup!$C$2:$C$1000),"")</f>
        <v>Equity - Large &amp; Mid Cap (BSE 200 oriented)</v>
      </c>
      <c r="D3975" s="8" t="str">
        <f>IFERROR(INDEX('nav master'!$C:$C, MATCH(B3975, 'nav master'!$B:$B, 0)), "")</f>
        <v>ULIF 027 12/01/09 ITT 110</v>
      </c>
      <c r="E3975" s="8">
        <v>185.1677</v>
      </c>
      <c r="F3975" s="9">
        <v>45979</v>
      </c>
    </row>
    <row r="3976" spans="1:6" ht="90" x14ac:dyDescent="0.25">
      <c r="A3976" s="8" t="s">
        <v>63</v>
      </c>
      <c r="B3976" s="8" t="s">
        <v>76</v>
      </c>
      <c r="C3976" s="8" t="str">
        <f>IFERROR(_xlfn.XLOOKUP(TRIM(B3976),Lookup!$B$2:$B$1000,Lookup!$C$2:$C$1000),"")</f>
        <v>Equity - Large &amp; Mid Cap (BSE 200 oriented)</v>
      </c>
      <c r="D3976" s="8" t="str">
        <f>IFERROR(INDEX('nav master'!$C:$C, MATCH(B3976, 'nav master'!$B:$B, 0)), "")</f>
        <v>ULIF 027 12/01/09 ITT 110</v>
      </c>
      <c r="E3976" s="8">
        <v>185.62110000000001</v>
      </c>
      <c r="F3976" s="9">
        <v>45980</v>
      </c>
    </row>
    <row r="3977" spans="1:6" ht="90" x14ac:dyDescent="0.25">
      <c r="A3977" s="8" t="s">
        <v>63</v>
      </c>
      <c r="B3977" s="8" t="s">
        <v>76</v>
      </c>
      <c r="C3977" s="8" t="str">
        <f>IFERROR(_xlfn.XLOOKUP(TRIM(B3977),Lookup!$B$2:$B$1000,Lookup!$C$2:$C$1000),"")</f>
        <v>Equity - Large &amp; Mid Cap (BSE 200 oriented)</v>
      </c>
      <c r="D3977" s="8" t="str">
        <f>IFERROR(INDEX('nav master'!$C:$C, MATCH(B3977, 'nav master'!$B:$B, 0)), "")</f>
        <v>ULIF 027 12/01/09 ITT 110</v>
      </c>
      <c r="E3977" s="8">
        <v>186.3503</v>
      </c>
      <c r="F3977" s="9">
        <v>45981</v>
      </c>
    </row>
    <row r="3978" spans="1:6" ht="90" x14ac:dyDescent="0.25">
      <c r="A3978" s="8" t="s">
        <v>63</v>
      </c>
      <c r="B3978" s="8" t="s">
        <v>76</v>
      </c>
      <c r="C3978" s="8" t="str">
        <f>IFERROR(_xlfn.XLOOKUP(TRIM(B3978),Lookup!$B$2:$B$1000,Lookup!$C$2:$C$1000),"")</f>
        <v>Equity - Large &amp; Mid Cap (BSE 200 oriented)</v>
      </c>
      <c r="D3978" s="8" t="str">
        <f>IFERROR(INDEX('nav master'!$C:$C, MATCH(B3978, 'nav master'!$B:$B, 0)), "")</f>
        <v>ULIF 027 12/01/09 ITT 110</v>
      </c>
      <c r="E3978" s="8">
        <v>184.63380000000001</v>
      </c>
      <c r="F3978" s="9">
        <v>45982</v>
      </c>
    </row>
    <row r="3979" spans="1:6" ht="90" x14ac:dyDescent="0.25">
      <c r="A3979" s="8" t="s">
        <v>63</v>
      </c>
      <c r="B3979" s="8" t="s">
        <v>76</v>
      </c>
      <c r="C3979" s="8" t="str">
        <f>IFERROR(_xlfn.XLOOKUP(TRIM(B3979),Lookup!$B$2:$B$1000,Lookup!$C$2:$C$1000),"")</f>
        <v>Equity - Large &amp; Mid Cap (BSE 200 oriented)</v>
      </c>
      <c r="D3979" s="8" t="str">
        <f>IFERROR(INDEX('nav master'!$C:$C, MATCH(B3979, 'nav master'!$B:$B, 0)), "")</f>
        <v>ULIF 027 12/01/09 ITT 110</v>
      </c>
      <c r="E3979" s="8">
        <v>184.26840000000001</v>
      </c>
      <c r="F3979" s="9">
        <v>45985</v>
      </c>
    </row>
    <row r="3980" spans="1:6" ht="90" x14ac:dyDescent="0.25">
      <c r="A3980" s="8" t="s">
        <v>63</v>
      </c>
      <c r="B3980" s="8" t="s">
        <v>76</v>
      </c>
      <c r="C3980" s="8" t="str">
        <f>IFERROR(_xlfn.XLOOKUP(TRIM(B3980),Lookup!$B$2:$B$1000,Lookup!$C$2:$C$1000),"")</f>
        <v>Equity - Large &amp; Mid Cap (BSE 200 oriented)</v>
      </c>
      <c r="D3980" s="8" t="str">
        <f>IFERROR(INDEX('nav master'!$C:$C, MATCH(B3980, 'nav master'!$B:$B, 0)), "")</f>
        <v>ULIF 027 12/01/09 ITT 110</v>
      </c>
      <c r="E3980" s="8">
        <v>183.9333</v>
      </c>
      <c r="F3980" s="9">
        <v>45986</v>
      </c>
    </row>
    <row r="3981" spans="1:6" ht="90" x14ac:dyDescent="0.25">
      <c r="A3981" s="8" t="s">
        <v>63</v>
      </c>
      <c r="B3981" s="8" t="s">
        <v>76</v>
      </c>
      <c r="C3981" s="8" t="str">
        <f>IFERROR(_xlfn.XLOOKUP(TRIM(B3981),Lookup!$B$2:$B$1000,Lookup!$C$2:$C$1000),"")</f>
        <v>Equity - Large &amp; Mid Cap (BSE 200 oriented)</v>
      </c>
      <c r="D3981" s="8" t="str">
        <f>IFERROR(INDEX('nav master'!$C:$C, MATCH(B3981, 'nav master'!$B:$B, 0)), "")</f>
        <v>ULIF 027 12/01/09 ITT 110</v>
      </c>
      <c r="E3981" s="8">
        <v>186.60900000000001</v>
      </c>
      <c r="F3981" s="9">
        <v>45987</v>
      </c>
    </row>
    <row r="3982" spans="1:6" ht="90" x14ac:dyDescent="0.25">
      <c r="A3982" s="8" t="s">
        <v>63</v>
      </c>
      <c r="B3982" s="8" t="s">
        <v>76</v>
      </c>
      <c r="C3982" s="8" t="str">
        <f>IFERROR(_xlfn.XLOOKUP(TRIM(B3982),Lookup!$B$2:$B$1000,Lookup!$C$2:$C$1000),"")</f>
        <v>Equity - Large &amp; Mid Cap (BSE 200 oriented)</v>
      </c>
      <c r="D3982" s="8" t="str">
        <f>IFERROR(INDEX('nav master'!$C:$C, MATCH(B3982, 'nav master'!$B:$B, 0)), "")</f>
        <v>ULIF 027 12/01/09 ITT 110</v>
      </c>
      <c r="E3982" s="8">
        <v>186.82740000000001</v>
      </c>
      <c r="F3982" s="9">
        <v>45988</v>
      </c>
    </row>
    <row r="3983" spans="1:6" ht="90" x14ac:dyDescent="0.25">
      <c r="A3983" s="8" t="s">
        <v>63</v>
      </c>
      <c r="B3983" s="8" t="s">
        <v>76</v>
      </c>
      <c r="C3983" s="8" t="str">
        <f>IFERROR(_xlfn.XLOOKUP(TRIM(B3983),Lookup!$B$2:$B$1000,Lookup!$C$2:$C$1000),"")</f>
        <v>Equity - Large &amp; Mid Cap (BSE 200 oriented)</v>
      </c>
      <c r="D3983" s="8" t="str">
        <f>IFERROR(INDEX('nav master'!$C:$C, MATCH(B3983, 'nav master'!$B:$B, 0)), "")</f>
        <v>ULIF 027 12/01/09 ITT 110</v>
      </c>
      <c r="E3983" s="8">
        <v>186.3527</v>
      </c>
      <c r="F3983" s="9">
        <v>45989</v>
      </c>
    </row>
    <row r="3984" spans="1:6" ht="90" x14ac:dyDescent="0.25">
      <c r="A3984" s="8" t="s">
        <v>63</v>
      </c>
      <c r="B3984" s="8" t="s">
        <v>76</v>
      </c>
      <c r="C3984" s="8" t="str">
        <f>IFERROR(_xlfn.XLOOKUP(TRIM(B3984),Lookup!$B$2:$B$1000,Lookup!$C$2:$C$1000),"")</f>
        <v>Equity - Large &amp; Mid Cap (BSE 200 oriented)</v>
      </c>
      <c r="D3984" s="8" t="str">
        <f>IFERROR(INDEX('nav master'!$C:$C, MATCH(B3984, 'nav master'!$B:$B, 0)), "")</f>
        <v>ULIF 027 12/01/09 ITT 110</v>
      </c>
      <c r="E3984" s="8">
        <v>186.57560000000001</v>
      </c>
      <c r="F3984" s="9">
        <v>45992</v>
      </c>
    </row>
    <row r="3985" spans="1:6" ht="90" x14ac:dyDescent="0.25">
      <c r="A3985" s="8" t="s">
        <v>63</v>
      </c>
      <c r="B3985" s="8" t="s">
        <v>76</v>
      </c>
      <c r="C3985" s="8" t="str">
        <f>IFERROR(_xlfn.XLOOKUP(TRIM(B3985),Lookup!$B$2:$B$1000,Lookup!$C$2:$C$1000),"")</f>
        <v>Equity - Large &amp; Mid Cap (BSE 200 oriented)</v>
      </c>
      <c r="D3985" s="8" t="str">
        <f>IFERROR(INDEX('nav master'!$C:$C, MATCH(B3985, 'nav master'!$B:$B, 0)), "")</f>
        <v>ULIF 027 12/01/09 ITT 110</v>
      </c>
      <c r="E3985" s="8">
        <v>185.67</v>
      </c>
      <c r="F3985" s="9">
        <v>45993</v>
      </c>
    </row>
    <row r="3986" spans="1:6" ht="90" x14ac:dyDescent="0.25">
      <c r="A3986" s="8" t="s">
        <v>63</v>
      </c>
      <c r="B3986" s="8" t="s">
        <v>76</v>
      </c>
      <c r="C3986" s="8" t="str">
        <f>IFERROR(_xlfn.XLOOKUP(TRIM(B3986),Lookup!$B$2:$B$1000,Lookup!$C$2:$C$1000),"")</f>
        <v>Equity - Large &amp; Mid Cap (BSE 200 oriented)</v>
      </c>
      <c r="D3986" s="8" t="str">
        <f>IFERROR(INDEX('nav master'!$C:$C, MATCH(B3986, 'nav master'!$B:$B, 0)), "")</f>
        <v>ULIF 027 12/01/09 ITT 110</v>
      </c>
      <c r="E3986" s="8">
        <v>184.80500000000001</v>
      </c>
      <c r="F3986" s="9">
        <v>45994</v>
      </c>
    </row>
    <row r="3987" spans="1:6" ht="90" x14ac:dyDescent="0.25">
      <c r="A3987" s="8" t="s">
        <v>63</v>
      </c>
      <c r="B3987" s="8" t="s">
        <v>76</v>
      </c>
      <c r="C3987" s="8" t="str">
        <f>IFERROR(_xlfn.XLOOKUP(TRIM(B3987),Lookup!$B$2:$B$1000,Lookup!$C$2:$C$1000),"")</f>
        <v>Equity - Large &amp; Mid Cap (BSE 200 oriented)</v>
      </c>
      <c r="D3987" s="8" t="str">
        <f>IFERROR(INDEX('nav master'!$C:$C, MATCH(B3987, 'nav master'!$B:$B, 0)), "")</f>
        <v>ULIF 027 12/01/09 ITT 110</v>
      </c>
      <c r="E3987" s="8">
        <v>184.6302</v>
      </c>
      <c r="F3987" s="9">
        <v>45995</v>
      </c>
    </row>
    <row r="3988" spans="1:6" ht="90" x14ac:dyDescent="0.25">
      <c r="A3988" s="8" t="s">
        <v>63</v>
      </c>
      <c r="B3988" s="8" t="s">
        <v>76</v>
      </c>
      <c r="C3988" s="8" t="str">
        <f>IFERROR(_xlfn.XLOOKUP(TRIM(B3988),Lookup!$B$2:$B$1000,Lookup!$C$2:$C$1000),"")</f>
        <v>Equity - Large &amp; Mid Cap (BSE 200 oriented)</v>
      </c>
      <c r="D3988" s="8" t="str">
        <f>IFERROR(INDEX('nav master'!$C:$C, MATCH(B3988, 'nav master'!$B:$B, 0)), "")</f>
        <v>ULIF 027 12/01/09 ITT 110</v>
      </c>
      <c r="E3988" s="8">
        <v>184.8886</v>
      </c>
      <c r="F3988" s="9">
        <v>45996</v>
      </c>
    </row>
    <row r="3989" spans="1:6" ht="90" x14ac:dyDescent="0.25">
      <c r="A3989" s="8" t="s">
        <v>63</v>
      </c>
      <c r="B3989" s="8" t="s">
        <v>76</v>
      </c>
      <c r="C3989" s="8" t="str">
        <f>IFERROR(_xlfn.XLOOKUP(TRIM(B3989),Lookup!$B$2:$B$1000,Lookup!$C$2:$C$1000),"")</f>
        <v>Equity - Large &amp; Mid Cap (BSE 200 oriented)</v>
      </c>
      <c r="D3989" s="8" t="str">
        <f>IFERROR(INDEX('nav master'!$C:$C, MATCH(B3989, 'nav master'!$B:$B, 0)), "")</f>
        <v>ULIF 027 12/01/09 ITT 110</v>
      </c>
      <c r="E3989" s="8">
        <v>182.6585</v>
      </c>
      <c r="F3989" s="9">
        <v>45999</v>
      </c>
    </row>
    <row r="3990" spans="1:6" ht="90" x14ac:dyDescent="0.25">
      <c r="A3990" s="8" t="s">
        <v>63</v>
      </c>
      <c r="B3990" s="8" t="s">
        <v>76</v>
      </c>
      <c r="C3990" s="8" t="str">
        <f>IFERROR(_xlfn.XLOOKUP(TRIM(B3990),Lookup!$B$2:$B$1000,Lookup!$C$2:$C$1000),"")</f>
        <v>Equity - Large &amp; Mid Cap (BSE 200 oriented)</v>
      </c>
      <c r="D3990" s="8" t="str">
        <f>IFERROR(INDEX('nav master'!$C:$C, MATCH(B3990, 'nav master'!$B:$B, 0)), "")</f>
        <v>ULIF 027 12/01/09 ITT 110</v>
      </c>
      <c r="E3990" s="8">
        <v>183.3751</v>
      </c>
      <c r="F3990" s="9">
        <v>46000</v>
      </c>
    </row>
    <row r="3991" spans="1:6" ht="90" x14ac:dyDescent="0.25">
      <c r="A3991" s="8" t="s">
        <v>63</v>
      </c>
      <c r="B3991" s="8" t="s">
        <v>76</v>
      </c>
      <c r="C3991" s="8" t="str">
        <f>IFERROR(_xlfn.XLOOKUP(TRIM(B3991),Lookup!$B$2:$B$1000,Lookup!$C$2:$C$1000),"")</f>
        <v>Equity - Large &amp; Mid Cap (BSE 200 oriented)</v>
      </c>
      <c r="D3991" s="8" t="str">
        <f>IFERROR(INDEX('nav master'!$C:$C, MATCH(B3991, 'nav master'!$B:$B, 0)), "")</f>
        <v>ULIF 027 12/01/09 ITT 110</v>
      </c>
      <c r="E3991" s="8">
        <v>181.2962</v>
      </c>
      <c r="F3991" s="9">
        <v>46001</v>
      </c>
    </row>
    <row r="3992" spans="1:6" ht="90" x14ac:dyDescent="0.25">
      <c r="A3992" s="8" t="s">
        <v>63</v>
      </c>
      <c r="B3992" s="8" t="s">
        <v>76</v>
      </c>
      <c r="C3992" s="8" t="str">
        <f>IFERROR(_xlfn.XLOOKUP(TRIM(B3992),Lookup!$B$2:$B$1000,Lookup!$C$2:$C$1000),"")</f>
        <v>Equity - Large &amp; Mid Cap (BSE 200 oriented)</v>
      </c>
      <c r="D3992" s="8" t="str">
        <f>IFERROR(INDEX('nav master'!$C:$C, MATCH(B3992, 'nav master'!$B:$B, 0)), "")</f>
        <v>ULIF 027 12/01/09 ITT 110</v>
      </c>
      <c r="E3992" s="8">
        <v>182.46299999999999</v>
      </c>
      <c r="F3992" s="9">
        <v>46002</v>
      </c>
    </row>
    <row r="3993" spans="1:6" ht="90" x14ac:dyDescent="0.25">
      <c r="A3993" s="8" t="s">
        <v>63</v>
      </c>
      <c r="B3993" s="8" t="s">
        <v>76</v>
      </c>
      <c r="C3993" s="8" t="str">
        <f>IFERROR(_xlfn.XLOOKUP(TRIM(B3993),Lookup!$B$2:$B$1000,Lookup!$C$2:$C$1000),"")</f>
        <v>Equity - Large &amp; Mid Cap (BSE 200 oriented)</v>
      </c>
      <c r="D3993" s="8" t="str">
        <f>IFERROR(INDEX('nav master'!$C:$C, MATCH(B3993, 'nav master'!$B:$B, 0)), "")</f>
        <v>ULIF 027 12/01/09 ITT 110</v>
      </c>
      <c r="E3993" s="8">
        <v>184.1645</v>
      </c>
      <c r="F3993" s="9">
        <v>46003</v>
      </c>
    </row>
    <row r="3994" spans="1:6" ht="90" x14ac:dyDescent="0.25">
      <c r="A3994" s="8" t="s">
        <v>63</v>
      </c>
      <c r="B3994" s="8" t="s">
        <v>76</v>
      </c>
      <c r="C3994" s="8" t="str">
        <f>IFERROR(_xlfn.XLOOKUP(TRIM(B3994),Lookup!$B$2:$B$1000,Lookup!$C$2:$C$1000),"")</f>
        <v>Equity - Large &amp; Mid Cap (BSE 200 oriented)</v>
      </c>
      <c r="D3994" s="8" t="str">
        <f>IFERROR(INDEX('nav master'!$C:$C, MATCH(B3994, 'nav master'!$B:$B, 0)), "")</f>
        <v>ULIF 027 12/01/09 ITT 110</v>
      </c>
      <c r="E3994" s="8">
        <v>184.24189999999999</v>
      </c>
      <c r="F3994" s="9">
        <v>46006</v>
      </c>
    </row>
    <row r="3995" spans="1:6" ht="90" x14ac:dyDescent="0.25">
      <c r="A3995" s="8" t="s">
        <v>63</v>
      </c>
      <c r="B3995" s="8" t="s">
        <v>76</v>
      </c>
      <c r="C3995" s="8" t="str">
        <f>IFERROR(_xlfn.XLOOKUP(TRIM(B3995),Lookup!$B$2:$B$1000,Lookup!$C$2:$C$1000),"")</f>
        <v>Equity - Large &amp; Mid Cap (BSE 200 oriented)</v>
      </c>
      <c r="D3995" s="8" t="str">
        <f>IFERROR(INDEX('nav master'!$C:$C, MATCH(B3995, 'nav master'!$B:$B, 0)), "")</f>
        <v>ULIF 027 12/01/09 ITT 110</v>
      </c>
      <c r="E3995" s="8">
        <v>183.10480000000001</v>
      </c>
      <c r="F3995" s="9">
        <v>46007</v>
      </c>
    </row>
    <row r="3996" spans="1:6" ht="90" x14ac:dyDescent="0.25">
      <c r="A3996" s="8" t="s">
        <v>63</v>
      </c>
      <c r="B3996" s="8" t="s">
        <v>76</v>
      </c>
      <c r="C3996" s="8" t="str">
        <f>IFERROR(_xlfn.XLOOKUP(TRIM(B3996),Lookup!$B$2:$B$1000,Lookup!$C$2:$C$1000),"")</f>
        <v>Equity - Large &amp; Mid Cap (BSE 200 oriented)</v>
      </c>
      <c r="D3996" s="8" t="str">
        <f>IFERROR(INDEX('nav master'!$C:$C, MATCH(B3996, 'nav master'!$B:$B, 0)), "")</f>
        <v>ULIF 027 12/01/09 ITT 110</v>
      </c>
      <c r="E3996" s="8">
        <v>182.2998</v>
      </c>
      <c r="F3996" s="9">
        <v>46008</v>
      </c>
    </row>
    <row r="3997" spans="1:6" ht="90" x14ac:dyDescent="0.25">
      <c r="A3997" s="8" t="s">
        <v>63</v>
      </c>
      <c r="B3997" s="8" t="s">
        <v>76</v>
      </c>
      <c r="C3997" s="8" t="str">
        <f>IFERROR(_xlfn.XLOOKUP(TRIM(B3997),Lookup!$B$2:$B$1000,Lookup!$C$2:$C$1000),"")</f>
        <v>Equity - Large &amp; Mid Cap (BSE 200 oriented)</v>
      </c>
      <c r="D3997" s="8" t="str">
        <f>IFERROR(INDEX('nav master'!$C:$C, MATCH(B3997, 'nav master'!$B:$B, 0)), "")</f>
        <v>ULIF 027 12/01/09 ITT 110</v>
      </c>
      <c r="E3997" s="8">
        <v>182.75659999999999</v>
      </c>
      <c r="F3997" s="9">
        <v>46009</v>
      </c>
    </row>
    <row r="3998" spans="1:6" ht="90" x14ac:dyDescent="0.25">
      <c r="A3998" s="8" t="s">
        <v>63</v>
      </c>
      <c r="B3998" s="8" t="s">
        <v>76</v>
      </c>
      <c r="C3998" s="8" t="str">
        <f>IFERROR(_xlfn.XLOOKUP(TRIM(B3998),Lookup!$B$2:$B$1000,Lookup!$C$2:$C$1000),"")</f>
        <v>Equity - Large &amp; Mid Cap (BSE 200 oriented)</v>
      </c>
      <c r="D3998" s="8" t="str">
        <f>IFERROR(INDEX('nav master'!$C:$C, MATCH(B3998, 'nav master'!$B:$B, 0)), "")</f>
        <v>ULIF 027 12/01/09 ITT 110</v>
      </c>
      <c r="E3998" s="8">
        <v>184.73560000000001</v>
      </c>
      <c r="F3998" s="9">
        <v>46010</v>
      </c>
    </row>
    <row r="3999" spans="1:6" ht="90" x14ac:dyDescent="0.25">
      <c r="A3999" s="8" t="s">
        <v>63</v>
      </c>
      <c r="B3999" s="8" t="s">
        <v>76</v>
      </c>
      <c r="C3999" s="8" t="str">
        <f>IFERROR(_xlfn.XLOOKUP(TRIM(B3999),Lookup!$B$2:$B$1000,Lookup!$C$2:$C$1000),"")</f>
        <v>Equity - Large &amp; Mid Cap (BSE 200 oriented)</v>
      </c>
      <c r="D3999" s="8" t="str">
        <f>IFERROR(INDEX('nav master'!$C:$C, MATCH(B3999, 'nav master'!$B:$B, 0)), "")</f>
        <v>ULIF 027 12/01/09 ITT 110</v>
      </c>
      <c r="E3999" s="8">
        <v>186.6771</v>
      </c>
      <c r="F3999" s="9">
        <v>46013</v>
      </c>
    </row>
    <row r="4000" spans="1:6" ht="90" x14ac:dyDescent="0.25">
      <c r="A4000" s="8" t="s">
        <v>63</v>
      </c>
      <c r="B4000" s="8" t="s">
        <v>76</v>
      </c>
      <c r="C4000" s="8" t="str">
        <f>IFERROR(_xlfn.XLOOKUP(TRIM(B4000),Lookup!$B$2:$B$1000,Lookup!$C$2:$C$1000),"")</f>
        <v>Equity - Large &amp; Mid Cap (BSE 200 oriented)</v>
      </c>
      <c r="D4000" s="8" t="str">
        <f>IFERROR(INDEX('nav master'!$C:$C, MATCH(B4000, 'nav master'!$B:$B, 0)), "")</f>
        <v>ULIF 027 12/01/09 ITT 110</v>
      </c>
      <c r="E4000" s="8">
        <v>186.8381</v>
      </c>
      <c r="F4000" s="9">
        <v>46014</v>
      </c>
    </row>
    <row r="4001" spans="1:6" ht="90" x14ac:dyDescent="0.25">
      <c r="A4001" s="8" t="s">
        <v>63</v>
      </c>
      <c r="B4001" s="8" t="s">
        <v>76</v>
      </c>
      <c r="C4001" s="8" t="str">
        <f>IFERROR(_xlfn.XLOOKUP(TRIM(B4001),Lookup!$B$2:$B$1000,Lookup!$C$2:$C$1000),"")</f>
        <v>Equity - Large &amp; Mid Cap (BSE 200 oriented)</v>
      </c>
      <c r="D4001" s="8" t="str">
        <f>IFERROR(INDEX('nav master'!$C:$C, MATCH(B4001, 'nav master'!$B:$B, 0)), "")</f>
        <v>ULIF 027 12/01/09 ITT 110</v>
      </c>
      <c r="E4001" s="8">
        <v>186.33349999999999</v>
      </c>
      <c r="F4001" s="9">
        <v>46015</v>
      </c>
    </row>
    <row r="4002" spans="1:6" ht="90" x14ac:dyDescent="0.25">
      <c r="A4002" s="8" t="s">
        <v>63</v>
      </c>
      <c r="B4002" s="8" t="s">
        <v>76</v>
      </c>
      <c r="C4002" s="8" t="str">
        <f>IFERROR(_xlfn.XLOOKUP(TRIM(B4002),Lookup!$B$2:$B$1000,Lookup!$C$2:$C$1000),"")</f>
        <v>Equity - Large &amp; Mid Cap (BSE 200 oriented)</v>
      </c>
      <c r="D4002" s="8" t="str">
        <f>IFERROR(INDEX('nav master'!$C:$C, MATCH(B4002, 'nav master'!$B:$B, 0)), "")</f>
        <v>ULIF 027 12/01/09 ITT 110</v>
      </c>
      <c r="E4002" s="8">
        <v>185.42349999999999</v>
      </c>
      <c r="F4002" s="9">
        <v>46017</v>
      </c>
    </row>
    <row r="4003" spans="1:6" ht="90" x14ac:dyDescent="0.25">
      <c r="A4003" s="8" t="s">
        <v>63</v>
      </c>
      <c r="B4003" s="8" t="s">
        <v>76</v>
      </c>
      <c r="C4003" s="8" t="str">
        <f>IFERROR(_xlfn.XLOOKUP(TRIM(B4003),Lookup!$B$2:$B$1000,Lookup!$C$2:$C$1000),"")</f>
        <v>Equity - Large &amp; Mid Cap (BSE 200 oriented)</v>
      </c>
      <c r="D4003" s="8" t="str">
        <f>IFERROR(INDEX('nav master'!$C:$C, MATCH(B4003, 'nav master'!$B:$B, 0)), "")</f>
        <v>ULIF 027 12/01/09 ITT 110</v>
      </c>
      <c r="E4003" s="8">
        <v>184.5958</v>
      </c>
      <c r="F4003" s="9">
        <v>46020</v>
      </c>
    </row>
    <row r="4004" spans="1:6" ht="90" x14ac:dyDescent="0.25">
      <c r="A4004" s="8" t="s">
        <v>63</v>
      </c>
      <c r="B4004" s="8" t="s">
        <v>76</v>
      </c>
      <c r="C4004" s="8" t="str">
        <f>IFERROR(_xlfn.XLOOKUP(TRIM(B4004),Lookup!$B$2:$B$1000,Lookup!$C$2:$C$1000),"")</f>
        <v>Equity - Large &amp; Mid Cap (BSE 200 oriented)</v>
      </c>
      <c r="D4004" s="8" t="str">
        <f>IFERROR(INDEX('nav master'!$C:$C, MATCH(B4004, 'nav master'!$B:$B, 0)), "")</f>
        <v>ULIF 027 12/01/09 ITT 110</v>
      </c>
      <c r="E4004" s="8">
        <v>184.10929999999999</v>
      </c>
      <c r="F4004" s="9">
        <v>46021</v>
      </c>
    </row>
    <row r="4005" spans="1:6" ht="90" x14ac:dyDescent="0.25">
      <c r="A4005" s="8" t="s">
        <v>63</v>
      </c>
      <c r="B4005" s="8" t="s">
        <v>76</v>
      </c>
      <c r="C4005" s="8" t="str">
        <f>IFERROR(_xlfn.XLOOKUP(TRIM(B4005),Lookup!$B$2:$B$1000,Lookup!$C$2:$C$1000),"")</f>
        <v>Equity - Large &amp; Mid Cap (BSE 200 oriented)</v>
      </c>
      <c r="D4005" s="8" t="str">
        <f>IFERROR(INDEX('nav master'!$C:$C, MATCH(B4005, 'nav master'!$B:$B, 0)), "")</f>
        <v>ULIF 027 12/01/09 ITT 110</v>
      </c>
      <c r="E4005" s="8">
        <v>185.88059999999999</v>
      </c>
      <c r="F4005" s="9">
        <v>46022</v>
      </c>
    </row>
    <row r="4006" spans="1:6" ht="90" x14ac:dyDescent="0.25">
      <c r="A4006" s="8" t="s">
        <v>63</v>
      </c>
      <c r="B4006" s="8" t="s">
        <v>76</v>
      </c>
      <c r="C4006" s="8" t="str">
        <f>IFERROR(_xlfn.XLOOKUP(TRIM(B4006),Lookup!$B$2:$B$1000,Lookup!$C$2:$C$1000),"")</f>
        <v>Equity - Large &amp; Mid Cap (BSE 200 oriented)</v>
      </c>
      <c r="D4006" s="8" t="str">
        <f>IFERROR(INDEX('nav master'!$C:$C, MATCH(B4006, 'nav master'!$B:$B, 0)), "")</f>
        <v>ULIF 027 12/01/09 ITT 110</v>
      </c>
      <c r="E4006" s="8">
        <v>186.35419999999999</v>
      </c>
      <c r="F4006" s="9">
        <v>46023</v>
      </c>
    </row>
    <row r="4007" spans="1:6" ht="90" x14ac:dyDescent="0.25">
      <c r="A4007" s="8" t="s">
        <v>63</v>
      </c>
      <c r="B4007" s="8" t="s">
        <v>76</v>
      </c>
      <c r="C4007" s="8" t="str">
        <f>IFERROR(_xlfn.XLOOKUP(TRIM(B4007),Lookup!$B$2:$B$1000,Lookup!$C$2:$C$1000),"")</f>
        <v>Equity - Large &amp; Mid Cap (BSE 200 oriented)</v>
      </c>
      <c r="D4007" s="8" t="str">
        <f>IFERROR(INDEX('nav master'!$C:$C, MATCH(B4007, 'nav master'!$B:$B, 0)), "")</f>
        <v>ULIF 027 12/01/09 ITT 110</v>
      </c>
      <c r="E4007" s="8">
        <v>187.66069999999999</v>
      </c>
      <c r="F4007" s="9">
        <v>46024</v>
      </c>
    </row>
    <row r="4008" spans="1:6" ht="90" x14ac:dyDescent="0.25">
      <c r="A4008" s="8" t="s">
        <v>63</v>
      </c>
      <c r="B4008" s="8" t="s">
        <v>76</v>
      </c>
      <c r="C4008" s="8" t="str">
        <f>IFERROR(_xlfn.XLOOKUP(TRIM(B4008),Lookup!$B$2:$B$1000,Lookup!$C$2:$C$1000),"")</f>
        <v>Equity - Large &amp; Mid Cap (BSE 200 oriented)</v>
      </c>
      <c r="D4008" s="8" t="str">
        <f>IFERROR(INDEX('nav master'!$C:$C, MATCH(B4008, 'nav master'!$B:$B, 0)), "")</f>
        <v>ULIF 027 12/01/09 ITT 110</v>
      </c>
      <c r="E4008" s="8">
        <v>187.22370000000001</v>
      </c>
      <c r="F4008" s="9">
        <v>46027</v>
      </c>
    </row>
    <row r="4009" spans="1:6" ht="90" x14ac:dyDescent="0.25">
      <c r="A4009" s="8" t="s">
        <v>63</v>
      </c>
      <c r="B4009" s="8" t="s">
        <v>76</v>
      </c>
      <c r="C4009" s="8" t="str">
        <f>IFERROR(_xlfn.XLOOKUP(TRIM(B4009),Lookup!$B$2:$B$1000,Lookup!$C$2:$C$1000),"")</f>
        <v>Equity - Large &amp; Mid Cap (BSE 200 oriented)</v>
      </c>
      <c r="D4009" s="8" t="str">
        <f>IFERROR(INDEX('nav master'!$C:$C, MATCH(B4009, 'nav master'!$B:$B, 0)), "")</f>
        <v>ULIF 027 12/01/09 ITT 110</v>
      </c>
      <c r="E4009" s="8">
        <v>186.48650000000001</v>
      </c>
      <c r="F4009" s="9">
        <v>46028</v>
      </c>
    </row>
    <row r="4010" spans="1:6" ht="90" x14ac:dyDescent="0.25">
      <c r="A4010" s="8" t="s">
        <v>63</v>
      </c>
      <c r="B4010" s="8" t="s">
        <v>76</v>
      </c>
      <c r="C4010" s="8" t="str">
        <f>IFERROR(_xlfn.XLOOKUP(TRIM(B4010),Lookup!$B$2:$B$1000,Lookup!$C$2:$C$1000),"")</f>
        <v>Equity - Large &amp; Mid Cap (BSE 200 oriented)</v>
      </c>
      <c r="D4010" s="8" t="str">
        <f>IFERROR(INDEX('nav master'!$C:$C, MATCH(B4010, 'nav master'!$B:$B, 0)), "")</f>
        <v>ULIF 027 12/01/09 ITT 110</v>
      </c>
      <c r="E4010" s="8">
        <v>187.14320000000001</v>
      </c>
      <c r="F4010" s="9">
        <v>46029</v>
      </c>
    </row>
    <row r="4011" spans="1:6" ht="90" x14ac:dyDescent="0.25">
      <c r="A4011" s="8" t="s">
        <v>63</v>
      </c>
      <c r="B4011" s="8" t="s">
        <v>76</v>
      </c>
      <c r="C4011" s="8" t="str">
        <f>IFERROR(_xlfn.XLOOKUP(TRIM(B4011),Lookup!$B$2:$B$1000,Lookup!$C$2:$C$1000),"")</f>
        <v>Equity - Large &amp; Mid Cap (BSE 200 oriented)</v>
      </c>
      <c r="D4011" s="8" t="str">
        <f>IFERROR(INDEX('nav master'!$C:$C, MATCH(B4011, 'nav master'!$B:$B, 0)), "")</f>
        <v>ULIF 027 12/01/09 ITT 110</v>
      </c>
      <c r="E4011" s="8">
        <v>184.1574</v>
      </c>
      <c r="F4011" s="9">
        <v>46030</v>
      </c>
    </row>
    <row r="4012" spans="1:6" ht="90" x14ac:dyDescent="0.25">
      <c r="A4012" s="8" t="s">
        <v>63</v>
      </c>
      <c r="B4012" s="8" t="s">
        <v>76</v>
      </c>
      <c r="C4012" s="8" t="str">
        <f>IFERROR(_xlfn.XLOOKUP(TRIM(B4012),Lookup!$B$2:$B$1000,Lookup!$C$2:$C$1000),"")</f>
        <v>Equity - Large &amp; Mid Cap (BSE 200 oriented)</v>
      </c>
      <c r="D4012" s="8" t="str">
        <f>IFERROR(INDEX('nav master'!$C:$C, MATCH(B4012, 'nav master'!$B:$B, 0)), "")</f>
        <v>ULIF 027 12/01/09 ITT 110</v>
      </c>
      <c r="E4012" s="8">
        <v>182.11519999999999</v>
      </c>
      <c r="F4012" s="9">
        <v>46031</v>
      </c>
    </row>
    <row r="4013" spans="1:6" ht="90" x14ac:dyDescent="0.25">
      <c r="A4013" s="8" t="s">
        <v>63</v>
      </c>
      <c r="B4013" s="8" t="s">
        <v>76</v>
      </c>
      <c r="C4013" s="8" t="str">
        <f>IFERROR(_xlfn.XLOOKUP(TRIM(B4013),Lookup!$B$2:$B$1000,Lookup!$C$2:$C$1000),"")</f>
        <v>Equity - Large &amp; Mid Cap (BSE 200 oriented)</v>
      </c>
      <c r="D4013" s="8" t="str">
        <f>IFERROR(INDEX('nav master'!$C:$C, MATCH(B4013, 'nav master'!$B:$B, 0)), "")</f>
        <v>ULIF 027 12/01/09 ITT 110</v>
      </c>
      <c r="E4013" s="8">
        <v>182.01009999999999</v>
      </c>
      <c r="F4013" s="9">
        <v>46034</v>
      </c>
    </row>
    <row r="4014" spans="1:6" ht="90" x14ac:dyDescent="0.25">
      <c r="A4014" s="8" t="s">
        <v>63</v>
      </c>
      <c r="B4014" s="8" t="s">
        <v>76</v>
      </c>
      <c r="C4014" s="8" t="str">
        <f>IFERROR(_xlfn.XLOOKUP(TRIM(B4014),Lookup!$B$2:$B$1000,Lookup!$C$2:$C$1000),"")</f>
        <v>Equity - Large &amp; Mid Cap (BSE 200 oriented)</v>
      </c>
      <c r="D4014" s="8" t="str">
        <f>IFERROR(INDEX('nav master'!$C:$C, MATCH(B4014, 'nav master'!$B:$B, 0)), "")</f>
        <v>ULIF 027 12/01/09 ITT 110</v>
      </c>
      <c r="E4014" s="8">
        <v>182.29900000000001</v>
      </c>
      <c r="F4014" s="9">
        <v>46035</v>
      </c>
    </row>
    <row r="4015" spans="1:6" ht="90" x14ac:dyDescent="0.25">
      <c r="A4015" s="8" t="s">
        <v>63</v>
      </c>
      <c r="B4015" s="8" t="s">
        <v>76</v>
      </c>
      <c r="C4015" s="8" t="str">
        <f>IFERROR(_xlfn.XLOOKUP(TRIM(B4015),Lookup!$B$2:$B$1000,Lookup!$C$2:$C$1000),"")</f>
        <v>Equity - Large &amp; Mid Cap (BSE 200 oriented)</v>
      </c>
      <c r="D4015" s="8" t="str">
        <f>IFERROR(INDEX('nav master'!$C:$C, MATCH(B4015, 'nav master'!$B:$B, 0)), "")</f>
        <v>ULIF 027 12/01/09 ITT 110</v>
      </c>
      <c r="E4015" s="8">
        <v>182.8475</v>
      </c>
      <c r="F4015" s="9">
        <v>46036</v>
      </c>
    </row>
    <row r="4016" spans="1:6" ht="90" x14ac:dyDescent="0.25">
      <c r="A4016" s="8" t="s">
        <v>63</v>
      </c>
      <c r="B4016" s="8" t="s">
        <v>76</v>
      </c>
      <c r="C4016" s="8" t="str">
        <f>IFERROR(_xlfn.XLOOKUP(TRIM(B4016),Lookup!$B$2:$B$1000,Lookup!$C$2:$C$1000),"")</f>
        <v>Equity - Large &amp; Mid Cap (BSE 200 oriented)</v>
      </c>
      <c r="D4016" s="8" t="str">
        <f>IFERROR(INDEX('nav master'!$C:$C, MATCH(B4016, 'nav master'!$B:$B, 0)), "")</f>
        <v>ULIF 027 12/01/09 ITT 110</v>
      </c>
      <c r="E4016" s="8">
        <v>182.93629999999999</v>
      </c>
      <c r="F4016" s="9">
        <v>46038</v>
      </c>
    </row>
    <row r="4017" spans="1:6" ht="90" x14ac:dyDescent="0.25">
      <c r="A4017" s="8" t="s">
        <v>63</v>
      </c>
      <c r="B4017" s="8" t="s">
        <v>76</v>
      </c>
      <c r="C4017" s="8" t="str">
        <f>IFERROR(_xlfn.XLOOKUP(TRIM(B4017),Lookup!$B$2:$B$1000,Lookup!$C$2:$C$1000),"")</f>
        <v>Equity - Large &amp; Mid Cap (BSE 200 oriented)</v>
      </c>
      <c r="D4017" s="8" t="str">
        <f>IFERROR(INDEX('nav master'!$C:$C, MATCH(B4017, 'nav master'!$B:$B, 0)), "")</f>
        <v>ULIF 027 12/01/09 ITT 110</v>
      </c>
      <c r="E4017" s="8">
        <v>181.4658</v>
      </c>
      <c r="F4017" s="9">
        <v>46041</v>
      </c>
    </row>
    <row r="4018" spans="1:6" ht="90" x14ac:dyDescent="0.25">
      <c r="A4018" s="8" t="s">
        <v>63</v>
      </c>
      <c r="B4018" s="8" t="s">
        <v>76</v>
      </c>
      <c r="C4018" s="8" t="str">
        <f>IFERROR(_xlfn.XLOOKUP(TRIM(B4018),Lookup!$B$2:$B$1000,Lookup!$C$2:$C$1000),"")</f>
        <v>Equity - Large &amp; Mid Cap (BSE 200 oriented)</v>
      </c>
      <c r="D4018" s="8" t="str">
        <f>IFERROR(INDEX('nav master'!$C:$C, MATCH(B4018, 'nav master'!$B:$B, 0)), "")</f>
        <v>ULIF 027 12/01/09 ITT 110</v>
      </c>
      <c r="E4018" s="8">
        <v>177.87469999999999</v>
      </c>
      <c r="F4018" s="9">
        <v>46042</v>
      </c>
    </row>
    <row r="4019" spans="1:6" ht="90" x14ac:dyDescent="0.25">
      <c r="A4019" s="8" t="s">
        <v>63</v>
      </c>
      <c r="B4019" s="8" t="s">
        <v>76</v>
      </c>
      <c r="C4019" s="8" t="str">
        <f>IFERROR(_xlfn.XLOOKUP(TRIM(B4019),Lookup!$B$2:$B$1000,Lookup!$C$2:$C$1000),"")</f>
        <v>Equity - Large &amp; Mid Cap (BSE 200 oriented)</v>
      </c>
      <c r="D4019" s="8" t="str">
        <f>IFERROR(INDEX('nav master'!$C:$C, MATCH(B4019, 'nav master'!$B:$B, 0)), "")</f>
        <v>ULIF 027 12/01/09 ITT 110</v>
      </c>
      <c r="E4019" s="8">
        <v>177.00810000000001</v>
      </c>
      <c r="F4019" s="9">
        <v>46043</v>
      </c>
    </row>
    <row r="4020" spans="1:6" ht="90" x14ac:dyDescent="0.25">
      <c r="A4020" s="8" t="s">
        <v>63</v>
      </c>
      <c r="B4020" s="8" t="s">
        <v>76</v>
      </c>
      <c r="C4020" s="8" t="str">
        <f>IFERROR(_xlfn.XLOOKUP(TRIM(B4020),Lookup!$B$2:$B$1000,Lookup!$C$2:$C$1000),"")</f>
        <v>Equity - Large &amp; Mid Cap (BSE 200 oriented)</v>
      </c>
      <c r="D4020" s="8" t="str">
        <f>IFERROR(INDEX('nav master'!$C:$C, MATCH(B4020, 'nav master'!$B:$B, 0)), "")</f>
        <v>ULIF 027 12/01/09 ITT 110</v>
      </c>
      <c r="E4020" s="8">
        <v>177.97</v>
      </c>
      <c r="F4020" s="9">
        <v>46044</v>
      </c>
    </row>
    <row r="4021" spans="1:6" ht="90" x14ac:dyDescent="0.25">
      <c r="A4021" s="8" t="s">
        <v>63</v>
      </c>
      <c r="B4021" s="8" t="s">
        <v>76</v>
      </c>
      <c r="C4021" s="8" t="str">
        <f>IFERROR(_xlfn.XLOOKUP(TRIM(B4021),Lookup!$B$2:$B$1000,Lookup!$C$2:$C$1000),"")</f>
        <v>Equity - Large &amp; Mid Cap (BSE 200 oriented)</v>
      </c>
      <c r="D4021" s="8" t="str">
        <f>IFERROR(INDEX('nav master'!$C:$C, MATCH(B4021, 'nav master'!$B:$B, 0)), "")</f>
        <v>ULIF 027 12/01/09 ITT 110</v>
      </c>
      <c r="E4021" s="8">
        <v>175.2646</v>
      </c>
      <c r="F4021" s="9">
        <v>46045</v>
      </c>
    </row>
    <row r="4022" spans="1:6" ht="90" x14ac:dyDescent="0.25">
      <c r="A4022" s="8" t="s">
        <v>63</v>
      </c>
      <c r="B4022" s="8" t="s">
        <v>76</v>
      </c>
      <c r="C4022" s="8" t="str">
        <f>IFERROR(_xlfn.XLOOKUP(TRIM(B4022),Lookup!$B$2:$B$1000,Lookup!$C$2:$C$1000),"")</f>
        <v>Equity - Large &amp; Mid Cap (BSE 200 oriented)</v>
      </c>
      <c r="D4022" s="8" t="str">
        <f>IFERROR(INDEX('nav master'!$C:$C, MATCH(B4022, 'nav master'!$B:$B, 0)), "")</f>
        <v>ULIF 027 12/01/09 ITT 110</v>
      </c>
      <c r="E4022" s="8">
        <v>176.54750000000001</v>
      </c>
      <c r="F4022" s="9">
        <v>46049</v>
      </c>
    </row>
    <row r="4023" spans="1:6" ht="90" x14ac:dyDescent="0.25">
      <c r="A4023" s="8" t="s">
        <v>63</v>
      </c>
      <c r="B4023" s="8" t="s">
        <v>76</v>
      </c>
      <c r="C4023" s="8" t="str">
        <f>IFERROR(_xlfn.XLOOKUP(TRIM(B4023),Lookup!$B$2:$B$1000,Lookup!$C$2:$C$1000),"")</f>
        <v>Equity - Large &amp; Mid Cap (BSE 200 oriented)</v>
      </c>
      <c r="D4023" s="8" t="str">
        <f>IFERROR(INDEX('nav master'!$C:$C, MATCH(B4023, 'nav master'!$B:$B, 0)), "")</f>
        <v>ULIF 027 12/01/09 ITT 110</v>
      </c>
      <c r="E4023" s="8">
        <v>179.42840000000001</v>
      </c>
      <c r="F4023" s="9">
        <v>46050</v>
      </c>
    </row>
    <row r="4024" spans="1:6" ht="90" x14ac:dyDescent="0.25">
      <c r="A4024" s="8" t="s">
        <v>63</v>
      </c>
      <c r="B4024" s="8" t="s">
        <v>76</v>
      </c>
      <c r="C4024" s="8" t="str">
        <f>IFERROR(_xlfn.XLOOKUP(TRIM(B4024),Lookup!$B$2:$B$1000,Lookup!$C$2:$C$1000),"")</f>
        <v>Equity - Large &amp; Mid Cap (BSE 200 oriented)</v>
      </c>
      <c r="D4024" s="8" t="str">
        <f>IFERROR(INDEX('nav master'!$C:$C, MATCH(B4024, 'nav master'!$B:$B, 0)), "")</f>
        <v>ULIF 027 12/01/09 ITT 110</v>
      </c>
      <c r="E4024" s="8">
        <v>179.9659</v>
      </c>
      <c r="F4024" s="9">
        <v>46051</v>
      </c>
    </row>
    <row r="4025" spans="1:6" ht="90" x14ac:dyDescent="0.25">
      <c r="A4025" s="8" t="s">
        <v>63</v>
      </c>
      <c r="B4025" s="8" t="s">
        <v>76</v>
      </c>
      <c r="C4025" s="8" t="str">
        <f>IFERROR(_xlfn.XLOOKUP(TRIM(B4025),Lookup!$B$2:$B$1000,Lookup!$C$2:$C$1000),"")</f>
        <v>Equity - Large &amp; Mid Cap (BSE 200 oriented)</v>
      </c>
      <c r="D4025" s="8" t="str">
        <f>IFERROR(INDEX('nav master'!$C:$C, MATCH(B4025, 'nav master'!$B:$B, 0)), "")</f>
        <v>ULIF 027 12/01/09 ITT 110</v>
      </c>
      <c r="E4025" s="8">
        <v>179.5111</v>
      </c>
      <c r="F4025" s="9">
        <v>46052</v>
      </c>
    </row>
    <row r="4026" spans="1:6" ht="90" x14ac:dyDescent="0.25">
      <c r="A4026" s="8" t="s">
        <v>63</v>
      </c>
      <c r="B4026" s="8" t="s">
        <v>76</v>
      </c>
      <c r="C4026" s="8" t="str">
        <f>IFERROR(_xlfn.XLOOKUP(TRIM(B4026),Lookup!$B$2:$B$1000,Lookup!$C$2:$C$1000),"")</f>
        <v>Equity - Large &amp; Mid Cap (BSE 200 oriented)</v>
      </c>
      <c r="D4026" s="8" t="str">
        <f>IFERROR(INDEX('nav master'!$C:$C, MATCH(B4026, 'nav master'!$B:$B, 0)), "")</f>
        <v>ULIF 027 12/01/09 ITT 110</v>
      </c>
      <c r="E4026" s="8">
        <v>176.20070000000001</v>
      </c>
      <c r="F4026" s="9">
        <v>46054</v>
      </c>
    </row>
    <row r="4027" spans="1:6" ht="90" x14ac:dyDescent="0.25">
      <c r="A4027" s="8" t="s">
        <v>63</v>
      </c>
      <c r="B4027" s="8" t="s">
        <v>76</v>
      </c>
      <c r="C4027" s="8" t="str">
        <f>IFERROR(_xlfn.XLOOKUP(TRIM(B4027),Lookup!$B$2:$B$1000,Lookup!$C$2:$C$1000),"")</f>
        <v>Equity - Large &amp; Mid Cap (BSE 200 oriented)</v>
      </c>
      <c r="D4027" s="8" t="str">
        <f>IFERROR(INDEX('nav master'!$C:$C, MATCH(B4027, 'nav master'!$B:$B, 0)), "")</f>
        <v>ULIF 027 12/01/09 ITT 110</v>
      </c>
      <c r="E4027" s="8">
        <v>177.66659999999999</v>
      </c>
      <c r="F4027" s="9">
        <v>46055</v>
      </c>
    </row>
    <row r="4028" spans="1:6" ht="90" x14ac:dyDescent="0.25">
      <c r="A4028" s="8" t="s">
        <v>63</v>
      </c>
      <c r="B4028" s="8" t="s">
        <v>76</v>
      </c>
      <c r="C4028" s="8" t="str">
        <f>IFERROR(_xlfn.XLOOKUP(TRIM(B4028),Lookup!$B$2:$B$1000,Lookup!$C$2:$C$1000),"")</f>
        <v>Equity - Large &amp; Mid Cap (BSE 200 oriented)</v>
      </c>
      <c r="D4028" s="8" t="str">
        <f>IFERROR(INDEX('nav master'!$C:$C, MATCH(B4028, 'nav master'!$B:$B, 0)), "")</f>
        <v>ULIF 027 12/01/09 ITT 110</v>
      </c>
      <c r="E4028" s="8">
        <v>183.06389999999999</v>
      </c>
      <c r="F4028" s="9">
        <v>46056</v>
      </c>
    </row>
    <row r="4029" spans="1:6" ht="90" x14ac:dyDescent="0.25">
      <c r="A4029" s="8" t="s">
        <v>63</v>
      </c>
      <c r="B4029" s="8" t="s">
        <v>76</v>
      </c>
      <c r="C4029" s="8" t="str">
        <f>IFERROR(_xlfn.XLOOKUP(TRIM(B4029),Lookup!$B$2:$B$1000,Lookup!$C$2:$C$1000),"")</f>
        <v>Equity - Large &amp; Mid Cap (BSE 200 oriented)</v>
      </c>
      <c r="D4029" s="8" t="str">
        <f>IFERROR(INDEX('nav master'!$C:$C, MATCH(B4029, 'nav master'!$B:$B, 0)), "")</f>
        <v>ULIF 027 12/01/09 ITT 110</v>
      </c>
      <c r="E4029" s="8">
        <v>183.56120000000001</v>
      </c>
      <c r="F4029" s="9">
        <v>46057</v>
      </c>
    </row>
    <row r="4030" spans="1:6" ht="90" x14ac:dyDescent="0.25">
      <c r="A4030" s="8" t="s">
        <v>63</v>
      </c>
      <c r="B4030" s="8" t="s">
        <v>76</v>
      </c>
      <c r="C4030" s="8" t="str">
        <f>IFERROR(_xlfn.XLOOKUP(TRIM(B4030),Lookup!$B$2:$B$1000,Lookup!$C$2:$C$1000),"")</f>
        <v>Equity - Large &amp; Mid Cap (BSE 200 oriented)</v>
      </c>
      <c r="D4030" s="8" t="str">
        <f>IFERROR(INDEX('nav master'!$C:$C, MATCH(B4030, 'nav master'!$B:$B, 0)), "")</f>
        <v>ULIF 027 12/01/09 ITT 110</v>
      </c>
      <c r="E4030" s="8">
        <v>182.41</v>
      </c>
      <c r="F4030" s="9">
        <v>46058</v>
      </c>
    </row>
    <row r="4031" spans="1:6" ht="90" x14ac:dyDescent="0.25">
      <c r="A4031" s="8" t="s">
        <v>63</v>
      </c>
      <c r="B4031" s="8" t="s">
        <v>76</v>
      </c>
      <c r="C4031" s="8" t="str">
        <f>IFERROR(_xlfn.XLOOKUP(TRIM(B4031),Lookup!$B$2:$B$1000,Lookup!$C$2:$C$1000),"")</f>
        <v>Equity - Large &amp; Mid Cap (BSE 200 oriented)</v>
      </c>
      <c r="D4031" s="8" t="str">
        <f>IFERROR(INDEX('nav master'!$C:$C, MATCH(B4031, 'nav master'!$B:$B, 0)), "")</f>
        <v>ULIF 027 12/01/09 ITT 110</v>
      </c>
      <c r="E4031" s="8">
        <v>182.14680000000001</v>
      </c>
      <c r="F4031" s="9">
        <v>46059</v>
      </c>
    </row>
    <row r="4032" spans="1:6" ht="90" x14ac:dyDescent="0.25">
      <c r="A4032" s="8" t="s">
        <v>63</v>
      </c>
      <c r="B4032" s="8" t="s">
        <v>76</v>
      </c>
      <c r="C4032" s="8" t="str">
        <f>IFERROR(_xlfn.XLOOKUP(TRIM(B4032),Lookup!$B$2:$B$1000,Lookup!$C$2:$C$1000),"")</f>
        <v>Equity - Large &amp; Mid Cap (BSE 200 oriented)</v>
      </c>
      <c r="D4032" s="8" t="str">
        <f>IFERROR(INDEX('nav master'!$C:$C, MATCH(B4032, 'nav master'!$B:$B, 0)), "")</f>
        <v>ULIF 027 12/01/09 ITT 110</v>
      </c>
      <c r="E4032" s="8">
        <v>184.38310000000001</v>
      </c>
      <c r="F4032" s="9">
        <v>46062</v>
      </c>
    </row>
    <row r="4033" spans="1:6" ht="90" x14ac:dyDescent="0.25">
      <c r="A4033" s="8" t="s">
        <v>63</v>
      </c>
      <c r="B4033" s="8" t="s">
        <v>76</v>
      </c>
      <c r="C4033" s="8" t="str">
        <f>IFERROR(_xlfn.XLOOKUP(TRIM(B4033),Lookup!$B$2:$B$1000,Lookup!$C$2:$C$1000),"")</f>
        <v>Equity - Large &amp; Mid Cap (BSE 200 oriented)</v>
      </c>
      <c r="D4033" s="8" t="str">
        <f>IFERROR(INDEX('nav master'!$C:$C, MATCH(B4033, 'nav master'!$B:$B, 0)), "")</f>
        <v>ULIF 027 12/01/09 ITT 110</v>
      </c>
      <c r="E4033" s="8">
        <v>185.49700000000001</v>
      </c>
      <c r="F4033" s="9">
        <v>46063</v>
      </c>
    </row>
    <row r="4034" spans="1:6" ht="90" x14ac:dyDescent="0.25">
      <c r="A4034" s="8" t="s">
        <v>63</v>
      </c>
      <c r="B4034" s="8" t="s">
        <v>76</v>
      </c>
      <c r="C4034" s="8" t="str">
        <f>IFERROR(_xlfn.XLOOKUP(TRIM(B4034),Lookup!$B$2:$B$1000,Lookup!$C$2:$C$1000),"")</f>
        <v>Equity - Large &amp; Mid Cap (BSE 200 oriented)</v>
      </c>
      <c r="D4034" s="8" t="str">
        <f>IFERROR(INDEX('nav master'!$C:$C, MATCH(B4034, 'nav master'!$B:$B, 0)), "")</f>
        <v>ULIF 027 12/01/09 ITT 110</v>
      </c>
      <c r="E4034" s="8">
        <v>185.19929999999999</v>
      </c>
      <c r="F4034" s="9">
        <v>46064</v>
      </c>
    </row>
    <row r="4035" spans="1:6" ht="90" x14ac:dyDescent="0.25">
      <c r="A4035" s="8" t="s">
        <v>63</v>
      </c>
      <c r="B4035" s="8" t="s">
        <v>76</v>
      </c>
      <c r="C4035" s="8" t="str">
        <f>IFERROR(_xlfn.XLOOKUP(TRIM(B4035),Lookup!$B$2:$B$1000,Lookup!$C$2:$C$1000),"")</f>
        <v>Equity - Large &amp; Mid Cap (BSE 200 oriented)</v>
      </c>
      <c r="D4035" s="8" t="str">
        <f>IFERROR(INDEX('nav master'!$C:$C, MATCH(B4035, 'nav master'!$B:$B, 0)), "")</f>
        <v>ULIF 027 12/01/09 ITT 110</v>
      </c>
      <c r="E4035" s="8">
        <v>184.09010000000001</v>
      </c>
      <c r="F4035" s="9">
        <v>46065</v>
      </c>
    </row>
    <row r="4036" spans="1:6" ht="90" x14ac:dyDescent="0.25">
      <c r="A4036" s="8" t="s">
        <v>63</v>
      </c>
      <c r="B4036" s="8" t="s">
        <v>76</v>
      </c>
      <c r="C4036" s="8" t="str">
        <f>IFERROR(_xlfn.XLOOKUP(TRIM(B4036),Lookup!$B$2:$B$1000,Lookup!$C$2:$C$1000),"")</f>
        <v>Equity - Large &amp; Mid Cap (BSE 200 oriented)</v>
      </c>
      <c r="D4036" s="8" t="str">
        <f>IFERROR(INDEX('nav master'!$C:$C, MATCH(B4036, 'nav master'!$B:$B, 0)), "")</f>
        <v>ULIF 027 12/01/09 ITT 110</v>
      </c>
      <c r="E4036" s="8">
        <v>181.124</v>
      </c>
      <c r="F4036" s="9">
        <v>46066</v>
      </c>
    </row>
    <row r="4037" spans="1:6" ht="90" x14ac:dyDescent="0.25">
      <c r="A4037" s="8" t="s">
        <v>63</v>
      </c>
      <c r="B4037" s="8" t="s">
        <v>76</v>
      </c>
      <c r="C4037" s="8" t="str">
        <f>IFERROR(_xlfn.XLOOKUP(TRIM(B4037),Lookup!$B$2:$B$1000,Lookup!$C$2:$C$1000),"")</f>
        <v>Equity - Large &amp; Mid Cap (BSE 200 oriented)</v>
      </c>
      <c r="D4037" s="8" t="str">
        <f>IFERROR(INDEX('nav master'!$C:$C, MATCH(B4037, 'nav master'!$B:$B, 0)), "")</f>
        <v>ULIF 027 12/01/09 ITT 110</v>
      </c>
      <c r="E4037" s="8">
        <v>181.0531</v>
      </c>
      <c r="F4037" s="9">
        <v>46069</v>
      </c>
    </row>
    <row r="4038" spans="1:6" ht="90" x14ac:dyDescent="0.25">
      <c r="A4038" s="8" t="s">
        <v>63</v>
      </c>
      <c r="B4038" s="8" t="s">
        <v>76</v>
      </c>
      <c r="C4038" s="8" t="str">
        <f>IFERROR(_xlfn.XLOOKUP(TRIM(B4038),Lookup!$B$2:$B$1000,Lookup!$C$2:$C$1000),"")</f>
        <v>Equity - Large &amp; Mid Cap (BSE 200 oriented)</v>
      </c>
      <c r="D4038" s="8" t="str">
        <f>IFERROR(INDEX('nav master'!$C:$C, MATCH(B4038, 'nav master'!$B:$B, 0)), "")</f>
        <v>ULIF 027 12/01/09 ITT 110</v>
      </c>
      <c r="E4038" s="8">
        <v>181.32339999999999</v>
      </c>
      <c r="F4038" s="9">
        <v>46070</v>
      </c>
    </row>
    <row r="4039" spans="1:6" ht="90" x14ac:dyDescent="0.25">
      <c r="A4039" s="8" t="s">
        <v>63</v>
      </c>
      <c r="B4039" s="8" t="s">
        <v>76</v>
      </c>
      <c r="C4039" s="8" t="str">
        <f>IFERROR(_xlfn.XLOOKUP(TRIM(B4039),Lookup!$B$2:$B$1000,Lookup!$C$2:$C$1000),"")</f>
        <v>Equity - Large &amp; Mid Cap (BSE 200 oriented)</v>
      </c>
      <c r="D4039" s="8" t="str">
        <f>IFERROR(INDEX('nav master'!$C:$C, MATCH(B4039, 'nav master'!$B:$B, 0)), "")</f>
        <v>ULIF 027 12/01/09 ITT 110</v>
      </c>
      <c r="E4039" s="8">
        <v>182.27950000000001</v>
      </c>
      <c r="F4039" s="9">
        <v>46071</v>
      </c>
    </row>
    <row r="4040" spans="1:6" ht="90" x14ac:dyDescent="0.25">
      <c r="A4040" s="8" t="s">
        <v>63</v>
      </c>
      <c r="B4040" s="8" t="s">
        <v>76</v>
      </c>
      <c r="C4040" s="8" t="str">
        <f>IFERROR(_xlfn.XLOOKUP(TRIM(B4040),Lookup!$B$2:$B$1000,Lookup!$C$2:$C$1000),"")</f>
        <v>Equity - Large &amp; Mid Cap (BSE 200 oriented)</v>
      </c>
      <c r="D4040" s="8" t="str">
        <f>IFERROR(INDEX('nav master'!$C:$C, MATCH(B4040, 'nav master'!$B:$B, 0)), "")</f>
        <v>ULIF 027 12/01/09 ITT 110</v>
      </c>
      <c r="E4040" s="8">
        <v>179.5513</v>
      </c>
      <c r="F4040" s="9">
        <v>46072</v>
      </c>
    </row>
    <row r="4041" spans="1:6" ht="90" x14ac:dyDescent="0.25">
      <c r="A4041" s="8" t="s">
        <v>63</v>
      </c>
      <c r="B4041" s="8" t="s">
        <v>76</v>
      </c>
      <c r="C4041" s="8" t="str">
        <f>IFERROR(_xlfn.XLOOKUP(TRIM(B4041),Lookup!$B$2:$B$1000,Lookup!$C$2:$C$1000),"")</f>
        <v>Equity - Large &amp; Mid Cap (BSE 200 oriented)</v>
      </c>
      <c r="D4041" s="8" t="str">
        <f>IFERROR(INDEX('nav master'!$C:$C, MATCH(B4041, 'nav master'!$B:$B, 0)), "")</f>
        <v>ULIF 027 12/01/09 ITT 110</v>
      </c>
      <c r="E4041" s="8">
        <v>179.85130000000001</v>
      </c>
      <c r="F4041" s="9">
        <v>46073</v>
      </c>
    </row>
    <row r="4042" spans="1:6" ht="90" x14ac:dyDescent="0.25">
      <c r="A4042" s="8" t="s">
        <v>63</v>
      </c>
      <c r="B4042" s="8" t="s">
        <v>76</v>
      </c>
      <c r="C4042" s="8" t="str">
        <f>IFERROR(_xlfn.XLOOKUP(TRIM(B4042),Lookup!$B$2:$B$1000,Lookup!$C$2:$C$1000),"")</f>
        <v>Equity - Large &amp; Mid Cap (BSE 200 oriented)</v>
      </c>
      <c r="D4042" s="8" t="str">
        <f>IFERROR(INDEX('nav master'!$C:$C, MATCH(B4042, 'nav master'!$B:$B, 0)), "")</f>
        <v>ULIF 027 12/01/09 ITT 110</v>
      </c>
      <c r="E4042" s="8">
        <v>180.64609999999999</v>
      </c>
      <c r="F4042" s="9">
        <v>46076</v>
      </c>
    </row>
    <row r="4043" spans="1:6" ht="90" x14ac:dyDescent="0.25">
      <c r="A4043" s="8" t="s">
        <v>63</v>
      </c>
      <c r="B4043" s="8" t="s">
        <v>76</v>
      </c>
      <c r="C4043" s="8" t="str">
        <f>IFERROR(_xlfn.XLOOKUP(TRIM(B4043),Lookup!$B$2:$B$1000,Lookup!$C$2:$C$1000),"")</f>
        <v>Equity - Large &amp; Mid Cap (BSE 200 oriented)</v>
      </c>
      <c r="D4043" s="8" t="str">
        <f>IFERROR(INDEX('nav master'!$C:$C, MATCH(B4043, 'nav master'!$B:$B, 0)), "")</f>
        <v>ULIF 027 12/01/09 ITT 110</v>
      </c>
      <c r="E4043" s="8">
        <v>179.03049999999999</v>
      </c>
      <c r="F4043" s="9">
        <v>46077</v>
      </c>
    </row>
    <row r="4044" spans="1:6" ht="90" x14ac:dyDescent="0.25">
      <c r="A4044" s="8" t="s">
        <v>63</v>
      </c>
      <c r="B4044" s="8" t="s">
        <v>76</v>
      </c>
      <c r="C4044" s="8" t="str">
        <f>IFERROR(_xlfn.XLOOKUP(TRIM(B4044),Lookup!$B$2:$B$1000,Lookup!$C$2:$C$1000),"")</f>
        <v>Equity - Large &amp; Mid Cap (BSE 200 oriented)</v>
      </c>
      <c r="D4044" s="8" t="str">
        <f>IFERROR(INDEX('nav master'!$C:$C, MATCH(B4044, 'nav master'!$B:$B, 0)), "")</f>
        <v>ULIF 027 12/01/09 ITT 110</v>
      </c>
      <c r="E4044" s="8">
        <v>179.9966</v>
      </c>
      <c r="F4044" s="9">
        <v>46078</v>
      </c>
    </row>
    <row r="4045" spans="1:6" ht="90" x14ac:dyDescent="0.25">
      <c r="A4045" s="8" t="s">
        <v>63</v>
      </c>
      <c r="B4045" s="8" t="s">
        <v>76</v>
      </c>
      <c r="C4045" s="8" t="str">
        <f>IFERROR(_xlfn.XLOOKUP(TRIM(B4045),Lookup!$B$2:$B$1000,Lookup!$C$2:$C$1000),"")</f>
        <v>Equity - Large &amp; Mid Cap (BSE 200 oriented)</v>
      </c>
      <c r="D4045" s="8" t="str">
        <f>IFERROR(INDEX('nav master'!$C:$C, MATCH(B4045, 'nav master'!$B:$B, 0)), "")</f>
        <v>ULIF 027 12/01/09 ITT 110</v>
      </c>
      <c r="E4045" s="8">
        <v>180.43360000000001</v>
      </c>
      <c r="F4045" s="9">
        <v>46079</v>
      </c>
    </row>
    <row r="4046" spans="1:6" ht="90" x14ac:dyDescent="0.25">
      <c r="A4046" s="8" t="s">
        <v>63</v>
      </c>
      <c r="B4046" s="8" t="s">
        <v>76</v>
      </c>
      <c r="C4046" s="8" t="str">
        <f>IFERROR(_xlfn.XLOOKUP(TRIM(B4046),Lookup!$B$2:$B$1000,Lookup!$C$2:$C$1000),"")</f>
        <v>Equity - Large &amp; Mid Cap (BSE 200 oriented)</v>
      </c>
      <c r="D4046" s="8" t="str">
        <f>IFERROR(INDEX('nav master'!$C:$C, MATCH(B4046, 'nav master'!$B:$B, 0)), "")</f>
        <v>ULIF 027 12/01/09 ITT 110</v>
      </c>
      <c r="E4046" s="8">
        <v>178.3459</v>
      </c>
      <c r="F4046" s="9">
        <v>46080</v>
      </c>
    </row>
    <row r="4047" spans="1:6" ht="90" x14ac:dyDescent="0.25">
      <c r="A4047" s="8" t="s">
        <v>63</v>
      </c>
      <c r="B4047" s="8" t="s">
        <v>76</v>
      </c>
      <c r="C4047" s="8" t="str">
        <f>IFERROR(_xlfn.XLOOKUP(TRIM(B4047),Lookup!$B$2:$B$1000,Lookup!$C$2:$C$1000),"")</f>
        <v>Equity - Large &amp; Mid Cap (BSE 200 oriented)</v>
      </c>
      <c r="D4047" s="8" t="str">
        <f>IFERROR(INDEX('nav master'!$C:$C, MATCH(B4047, 'nav master'!$B:$B, 0)), "")</f>
        <v>ULIF 027 12/01/09 ITT 110</v>
      </c>
      <c r="E4047" s="8">
        <v>175.5882</v>
      </c>
      <c r="F4047" s="9">
        <v>46083</v>
      </c>
    </row>
    <row r="4048" spans="1:6" ht="90" x14ac:dyDescent="0.25">
      <c r="A4048" s="8" t="s">
        <v>63</v>
      </c>
      <c r="B4048" s="8" t="s">
        <v>76</v>
      </c>
      <c r="C4048" s="8" t="str">
        <f>IFERROR(_xlfn.XLOOKUP(TRIM(B4048),Lookup!$B$2:$B$1000,Lookup!$C$2:$C$1000),"")</f>
        <v>Equity - Large &amp; Mid Cap (BSE 200 oriented)</v>
      </c>
      <c r="D4048" s="8" t="str">
        <f>IFERROR(INDEX('nav master'!$C:$C, MATCH(B4048, 'nav master'!$B:$B, 0)), "")</f>
        <v>ULIF 027 12/01/09 ITT 110</v>
      </c>
      <c r="E4048" s="8">
        <v>172.37090000000001</v>
      </c>
      <c r="F4048" s="9">
        <v>46085</v>
      </c>
    </row>
    <row r="4049" spans="1:6" ht="90" x14ac:dyDescent="0.25">
      <c r="A4049" s="8" t="s">
        <v>63</v>
      </c>
      <c r="B4049" s="8" t="s">
        <v>76</v>
      </c>
      <c r="C4049" s="8" t="str">
        <f>IFERROR(_xlfn.XLOOKUP(TRIM(B4049),Lookup!$B$2:$B$1000,Lookup!$C$2:$C$1000),"")</f>
        <v>Equity - Large &amp; Mid Cap (BSE 200 oriented)</v>
      </c>
      <c r="D4049" s="8" t="str">
        <f>IFERROR(INDEX('nav master'!$C:$C, MATCH(B4049, 'nav master'!$B:$B, 0)), "")</f>
        <v>ULIF 027 12/01/09 ITT 110</v>
      </c>
      <c r="E4049" s="8">
        <v>174.55009999999999</v>
      </c>
      <c r="F4049" s="9">
        <v>46086</v>
      </c>
    </row>
    <row r="4050" spans="1:6" ht="90" x14ac:dyDescent="0.25">
      <c r="A4050" s="8" t="s">
        <v>63</v>
      </c>
      <c r="B4050" s="8" t="s">
        <v>76</v>
      </c>
      <c r="C4050" s="8" t="str">
        <f>IFERROR(_xlfn.XLOOKUP(TRIM(B4050),Lookup!$B$2:$B$1000,Lookup!$C$2:$C$1000),"")</f>
        <v>Equity - Large &amp; Mid Cap (BSE 200 oriented)</v>
      </c>
      <c r="D4050" s="8" t="str">
        <f>IFERROR(INDEX('nav master'!$C:$C, MATCH(B4050, 'nav master'!$B:$B, 0)), "")</f>
        <v>ULIF 027 12/01/09 ITT 110</v>
      </c>
      <c r="E4050" s="8">
        <v>173.12870000000001</v>
      </c>
      <c r="F4050" s="9">
        <v>46087</v>
      </c>
    </row>
    <row r="4051" spans="1:6" ht="90" x14ac:dyDescent="0.25">
      <c r="A4051" s="8" t="s">
        <v>63</v>
      </c>
      <c r="B4051" s="8" t="s">
        <v>76</v>
      </c>
      <c r="C4051" s="8" t="str">
        <f>IFERROR(_xlfn.XLOOKUP(TRIM(B4051),Lookup!$B$2:$B$1000,Lookup!$C$2:$C$1000),"")</f>
        <v>Equity - Large &amp; Mid Cap (BSE 200 oriented)</v>
      </c>
      <c r="D4051" s="8" t="str">
        <f>IFERROR(INDEX('nav master'!$C:$C, MATCH(B4051, 'nav master'!$B:$B, 0)), "")</f>
        <v>ULIF 027 12/01/09 ITT 110</v>
      </c>
      <c r="E4051" s="8">
        <v>170.32669999999999</v>
      </c>
      <c r="F4051" s="9">
        <v>46090</v>
      </c>
    </row>
    <row r="4052" spans="1:6" ht="90" x14ac:dyDescent="0.25">
      <c r="A4052" s="8" t="s">
        <v>63</v>
      </c>
      <c r="B4052" s="8" t="s">
        <v>76</v>
      </c>
      <c r="C4052" s="8" t="str">
        <f>IFERROR(_xlfn.XLOOKUP(TRIM(B4052),Lookup!$B$2:$B$1000,Lookup!$C$2:$C$1000),"")</f>
        <v>Equity - Large &amp; Mid Cap (BSE 200 oriented)</v>
      </c>
      <c r="D4052" s="8" t="str">
        <f>IFERROR(INDEX('nav master'!$C:$C, MATCH(B4052, 'nav master'!$B:$B, 0)), "")</f>
        <v>ULIF 027 12/01/09 ITT 110</v>
      </c>
      <c r="E4052" s="8">
        <v>172.6148</v>
      </c>
      <c r="F4052" s="9">
        <v>46091</v>
      </c>
    </row>
    <row r="4053" spans="1:6" ht="90" x14ac:dyDescent="0.25">
      <c r="A4053" s="8" t="s">
        <v>63</v>
      </c>
      <c r="B4053" s="8" t="s">
        <v>76</v>
      </c>
      <c r="C4053" s="8" t="str">
        <f>IFERROR(_xlfn.XLOOKUP(TRIM(B4053),Lookup!$B$2:$B$1000,Lookup!$C$2:$C$1000),"")</f>
        <v>Equity - Large &amp; Mid Cap (BSE 200 oriented)</v>
      </c>
      <c r="D4053" s="8" t="str">
        <f>IFERROR(INDEX('nav master'!$C:$C, MATCH(B4053, 'nav master'!$B:$B, 0)), "")</f>
        <v>ULIF 027 12/01/09 ITT 110</v>
      </c>
      <c r="E4053" s="8">
        <v>170.92169999999999</v>
      </c>
      <c r="F4053" s="9">
        <v>46092</v>
      </c>
    </row>
    <row r="4054" spans="1:6" ht="90" x14ac:dyDescent="0.25">
      <c r="A4054" s="8" t="s">
        <v>63</v>
      </c>
      <c r="B4054" s="8" t="s">
        <v>76</v>
      </c>
      <c r="C4054" s="8" t="str">
        <f>IFERROR(_xlfn.XLOOKUP(TRIM(B4054),Lookup!$B$2:$B$1000,Lookup!$C$2:$C$1000),"")</f>
        <v>Equity - Large &amp; Mid Cap (BSE 200 oriented)</v>
      </c>
      <c r="D4054" s="8" t="str">
        <f>IFERROR(INDEX('nav master'!$C:$C, MATCH(B4054, 'nav master'!$B:$B, 0)), "")</f>
        <v>ULIF 027 12/01/09 ITT 110</v>
      </c>
      <c r="E4054" s="8">
        <v>170.46729999999999</v>
      </c>
      <c r="F4054" s="9">
        <v>46093</v>
      </c>
    </row>
    <row r="4055" spans="1:6" ht="90" x14ac:dyDescent="0.25">
      <c r="A4055" s="8" t="s">
        <v>63</v>
      </c>
      <c r="B4055" s="8" t="s">
        <v>76</v>
      </c>
      <c r="C4055" s="8" t="str">
        <f>IFERROR(_xlfn.XLOOKUP(TRIM(B4055),Lookup!$B$2:$B$1000,Lookup!$C$2:$C$1000),"")</f>
        <v>Equity - Large &amp; Mid Cap (BSE 200 oriented)</v>
      </c>
      <c r="D4055" s="8" t="str">
        <f>IFERROR(INDEX('nav master'!$C:$C, MATCH(B4055, 'nav master'!$B:$B, 0)), "")</f>
        <v>ULIF 027 12/01/09 ITT 110</v>
      </c>
      <c r="E4055" s="8">
        <v>166.58590000000001</v>
      </c>
      <c r="F4055" s="9">
        <v>46094</v>
      </c>
    </row>
    <row r="4056" spans="1:6" ht="90" x14ac:dyDescent="0.25">
      <c r="A4056" s="8" t="s">
        <v>63</v>
      </c>
      <c r="B4056" s="8" t="s">
        <v>76</v>
      </c>
      <c r="C4056" s="8" t="str">
        <f>IFERROR(_xlfn.XLOOKUP(TRIM(B4056),Lookup!$B$2:$B$1000,Lookup!$C$2:$C$1000),"")</f>
        <v>Equity - Large &amp; Mid Cap (BSE 200 oriented)</v>
      </c>
      <c r="D4056" s="8" t="str">
        <f>IFERROR(INDEX('nav master'!$C:$C, MATCH(B4056, 'nav master'!$B:$B, 0)), "")</f>
        <v>ULIF 027 12/01/09 ITT 110</v>
      </c>
      <c r="E4056" s="8">
        <v>167.12180000000001</v>
      </c>
      <c r="F4056" s="9">
        <v>46097</v>
      </c>
    </row>
    <row r="4057" spans="1:6" ht="90" x14ac:dyDescent="0.25">
      <c r="A4057" s="8" t="s">
        <v>63</v>
      </c>
      <c r="B4057" s="8" t="s">
        <v>76</v>
      </c>
      <c r="C4057" s="8" t="str">
        <f>IFERROR(_xlfn.XLOOKUP(TRIM(B4057),Lookup!$B$2:$B$1000,Lookup!$C$2:$C$1000),"")</f>
        <v>Equity - Large &amp; Mid Cap (BSE 200 oriented)</v>
      </c>
      <c r="D4057" s="8" t="str">
        <f>IFERROR(INDEX('nav master'!$C:$C, MATCH(B4057, 'nav master'!$B:$B, 0)), "")</f>
        <v>ULIF 027 12/01/09 ITT 110</v>
      </c>
      <c r="E4057" s="8">
        <v>169.0889</v>
      </c>
      <c r="F4057" s="9">
        <v>46098</v>
      </c>
    </row>
    <row r="4058" spans="1:6" ht="90" x14ac:dyDescent="0.25">
      <c r="A4058" s="8" t="s">
        <v>63</v>
      </c>
      <c r="B4058" s="8" t="s">
        <v>76</v>
      </c>
      <c r="C4058" s="8" t="str">
        <f>IFERROR(_xlfn.XLOOKUP(TRIM(B4058),Lookup!$B$2:$B$1000,Lookup!$C$2:$C$1000),"")</f>
        <v>Equity - Large &amp; Mid Cap (BSE 200 oriented)</v>
      </c>
      <c r="D4058" s="8" t="str">
        <f>IFERROR(INDEX('nav master'!$C:$C, MATCH(B4058, 'nav master'!$B:$B, 0)), "")</f>
        <v>ULIF 027 12/01/09 ITT 110</v>
      </c>
      <c r="E4058" s="8">
        <v>171.37289999999999</v>
      </c>
      <c r="F4058" s="9">
        <v>46099</v>
      </c>
    </row>
    <row r="4059" spans="1:6" ht="90" x14ac:dyDescent="0.25">
      <c r="A4059" s="8" t="s">
        <v>63</v>
      </c>
      <c r="B4059" s="8" t="s">
        <v>76</v>
      </c>
      <c r="C4059" s="8" t="str">
        <f>IFERROR(_xlfn.XLOOKUP(TRIM(B4059),Lookup!$B$2:$B$1000,Lookup!$C$2:$C$1000),"")</f>
        <v>Equity - Large &amp; Mid Cap (BSE 200 oriented)</v>
      </c>
      <c r="D4059" s="8" t="str">
        <f>IFERROR(INDEX('nav master'!$C:$C, MATCH(B4059, 'nav master'!$B:$B, 0)), "")</f>
        <v>ULIF 027 12/01/09 ITT 110</v>
      </c>
      <c r="E4059" s="8">
        <v>166.00530000000001</v>
      </c>
      <c r="F4059" s="9">
        <v>46100</v>
      </c>
    </row>
    <row r="4060" spans="1:6" ht="90" x14ac:dyDescent="0.25">
      <c r="A4060" s="8" t="s">
        <v>63</v>
      </c>
      <c r="B4060" s="8" t="s">
        <v>76</v>
      </c>
      <c r="C4060" s="8" t="str">
        <f>IFERROR(_xlfn.XLOOKUP(TRIM(B4060),Lookup!$B$2:$B$1000,Lookup!$C$2:$C$1000),"")</f>
        <v>Equity - Large &amp; Mid Cap (BSE 200 oriented)</v>
      </c>
      <c r="D4060" s="8" t="str">
        <f>IFERROR(INDEX('nav master'!$C:$C, MATCH(B4060, 'nav master'!$B:$B, 0)), "")</f>
        <v>ULIF 027 12/01/09 ITT 110</v>
      </c>
      <c r="E4060" s="8">
        <v>166.75</v>
      </c>
      <c r="F4060" s="9">
        <v>46101</v>
      </c>
    </row>
    <row r="4061" spans="1:6" ht="90" x14ac:dyDescent="0.25">
      <c r="A4061" s="8" t="s">
        <v>63</v>
      </c>
      <c r="B4061" s="8" t="s">
        <v>76</v>
      </c>
      <c r="C4061" s="8" t="str">
        <f>IFERROR(_xlfn.XLOOKUP(TRIM(B4061),Lookup!$B$2:$B$1000,Lookup!$C$2:$C$1000),"")</f>
        <v>Equity - Large &amp; Mid Cap (BSE 200 oriented)</v>
      </c>
      <c r="D4061" s="8" t="str">
        <f>IFERROR(INDEX('nav master'!$C:$C, MATCH(B4061, 'nav master'!$B:$B, 0)), "")</f>
        <v>ULIF 027 12/01/09 ITT 110</v>
      </c>
      <c r="E4061" s="8">
        <v>161.24180000000001</v>
      </c>
      <c r="F4061" s="9">
        <v>46104</v>
      </c>
    </row>
    <row r="4062" spans="1:6" ht="90" x14ac:dyDescent="0.25">
      <c r="A4062" s="8" t="s">
        <v>63</v>
      </c>
      <c r="B4062" s="8" t="s">
        <v>76</v>
      </c>
      <c r="C4062" s="8" t="str">
        <f>IFERROR(_xlfn.XLOOKUP(TRIM(B4062),Lookup!$B$2:$B$1000,Lookup!$C$2:$C$1000),"")</f>
        <v>Equity - Large &amp; Mid Cap (BSE 200 oriented)</v>
      </c>
      <c r="D4062" s="8" t="str">
        <f>IFERROR(INDEX('nav master'!$C:$C, MATCH(B4062, 'nav master'!$B:$B, 0)), "")</f>
        <v>ULIF 027 12/01/09 ITT 110</v>
      </c>
      <c r="E4062" s="8">
        <v>164.99940000000001</v>
      </c>
      <c r="F4062" s="9">
        <v>46105</v>
      </c>
    </row>
    <row r="4063" spans="1:6" ht="90" x14ac:dyDescent="0.25">
      <c r="A4063" s="8" t="s">
        <v>63</v>
      </c>
      <c r="B4063" s="8" t="s">
        <v>76</v>
      </c>
      <c r="C4063" s="8" t="str">
        <f>IFERROR(_xlfn.XLOOKUP(TRIM(B4063),Lookup!$B$2:$B$1000,Lookup!$C$2:$C$1000),"")</f>
        <v>Equity - Large &amp; Mid Cap (BSE 200 oriented)</v>
      </c>
      <c r="D4063" s="8" t="str">
        <f>IFERROR(INDEX('nav master'!$C:$C, MATCH(B4063, 'nav master'!$B:$B, 0)), "")</f>
        <v>ULIF 027 12/01/09 ITT 110</v>
      </c>
      <c r="E4063" s="8">
        <v>168.2886</v>
      </c>
      <c r="F4063" s="9">
        <v>46106</v>
      </c>
    </row>
    <row r="4064" spans="1:6" ht="90" x14ac:dyDescent="0.25">
      <c r="A4064" s="8" t="s">
        <v>63</v>
      </c>
      <c r="B4064" s="8" t="s">
        <v>76</v>
      </c>
      <c r="C4064" s="8" t="str">
        <f>IFERROR(_xlfn.XLOOKUP(TRIM(B4064),Lookup!$B$2:$B$1000,Lookup!$C$2:$C$1000),"")</f>
        <v>Equity - Large &amp; Mid Cap (BSE 200 oriented)</v>
      </c>
      <c r="D4064" s="8" t="str">
        <f>IFERROR(INDEX('nav master'!$C:$C, MATCH(B4064, 'nav master'!$B:$B, 0)), "")</f>
        <v>ULIF 027 12/01/09 ITT 110</v>
      </c>
      <c r="E4064" s="8">
        <v>165.01519999999999</v>
      </c>
      <c r="F4064" s="9">
        <v>46108</v>
      </c>
    </row>
    <row r="4065" spans="1:6" ht="90" x14ac:dyDescent="0.25">
      <c r="A4065" s="8" t="s">
        <v>63</v>
      </c>
      <c r="B4065" s="8" t="s">
        <v>76</v>
      </c>
      <c r="C4065" s="8" t="str">
        <f>IFERROR(_xlfn.XLOOKUP(TRIM(B4065),Lookup!$B$2:$B$1000,Lookup!$C$2:$C$1000),"")</f>
        <v>Equity - Large &amp; Mid Cap (BSE 200 oriented)</v>
      </c>
      <c r="D4065" s="8" t="str">
        <f>IFERROR(INDEX('nav master'!$C:$C, MATCH(B4065, 'nav master'!$B:$B, 0)), "")</f>
        <v>ULIF 027 12/01/09 ITT 110</v>
      </c>
      <c r="E4065" s="8">
        <v>161.42160000000001</v>
      </c>
      <c r="F4065" s="9">
        <v>46111</v>
      </c>
    </row>
    <row r="4066" spans="1:6" ht="90" x14ac:dyDescent="0.25">
      <c r="A4066" s="8" t="s">
        <v>63</v>
      </c>
      <c r="B4066" s="8" t="s">
        <v>76</v>
      </c>
      <c r="C4066" s="8" t="str">
        <f>IFERROR(_xlfn.XLOOKUP(TRIM(B4066),Lookup!$B$2:$B$1000,Lookup!$C$2:$C$1000),"")</f>
        <v>Equity - Large &amp; Mid Cap (BSE 200 oriented)</v>
      </c>
      <c r="D4066" s="8" t="str">
        <f>IFERROR(INDEX('nav master'!$C:$C, MATCH(B4066, 'nav master'!$B:$B, 0)), "")</f>
        <v>ULIF 027 12/01/09 ITT 110</v>
      </c>
      <c r="E4066" s="8">
        <v>161.41759999999999</v>
      </c>
      <c r="F4066" s="9">
        <v>46112</v>
      </c>
    </row>
    <row r="4067" spans="1:6" ht="90" x14ac:dyDescent="0.25">
      <c r="A4067" s="8" t="s">
        <v>63</v>
      </c>
      <c r="B4067" s="8" t="s">
        <v>76</v>
      </c>
      <c r="C4067" s="8" t="str">
        <f>IFERROR(_xlfn.XLOOKUP(TRIM(B4067),Lookup!$B$2:$B$1000,Lookup!$C$2:$C$1000),"")</f>
        <v>Equity - Large &amp; Mid Cap (BSE 200 oriented)</v>
      </c>
      <c r="D4067" s="8" t="str">
        <f>IFERROR(INDEX('nav master'!$C:$C, MATCH(B4067, 'nav master'!$B:$B, 0)), "")</f>
        <v>ULIF 027 12/01/09 ITT 110</v>
      </c>
      <c r="E4067" s="8">
        <v>164.5197</v>
      </c>
      <c r="F4067" s="9">
        <v>46113</v>
      </c>
    </row>
    <row r="4068" spans="1:6" ht="90" x14ac:dyDescent="0.25">
      <c r="A4068" s="8" t="s">
        <v>63</v>
      </c>
      <c r="B4068" s="8" t="s">
        <v>76</v>
      </c>
      <c r="C4068" s="8" t="str">
        <f>IFERROR(_xlfn.XLOOKUP(TRIM(B4068),Lookup!$B$2:$B$1000,Lookup!$C$2:$C$1000),"")</f>
        <v>Equity - Large &amp; Mid Cap (BSE 200 oriented)</v>
      </c>
      <c r="D4068" s="8" t="str">
        <f>IFERROR(INDEX('nav master'!$C:$C, MATCH(B4068, 'nav master'!$B:$B, 0)), "")</f>
        <v>ULIF 027 12/01/09 ITT 110</v>
      </c>
      <c r="E4068" s="8">
        <v>164.14009999999999</v>
      </c>
      <c r="F4068" s="9">
        <v>46114</v>
      </c>
    </row>
    <row r="4069" spans="1:6" ht="90" x14ac:dyDescent="0.25">
      <c r="A4069" s="8" t="s">
        <v>63</v>
      </c>
      <c r="B4069" s="8" t="s">
        <v>76</v>
      </c>
      <c r="C4069" s="8" t="str">
        <f>IFERROR(_xlfn.XLOOKUP(TRIM(B4069),Lookup!$B$2:$B$1000,Lookup!$C$2:$C$1000),"")</f>
        <v>Equity - Large &amp; Mid Cap (BSE 200 oriented)</v>
      </c>
      <c r="D4069" s="8" t="str">
        <f>IFERROR(INDEX('nav master'!$C:$C, MATCH(B4069, 'nav master'!$B:$B, 0)), "")</f>
        <v>ULIF 027 12/01/09 ITT 110</v>
      </c>
      <c r="E4069" s="8">
        <v>165.9562</v>
      </c>
      <c r="F4069" s="9">
        <v>46118</v>
      </c>
    </row>
    <row r="4070" spans="1:6" ht="90" x14ac:dyDescent="0.25">
      <c r="A4070" s="8" t="s">
        <v>63</v>
      </c>
      <c r="B4070" s="8" t="s">
        <v>76</v>
      </c>
      <c r="C4070" s="8" t="str">
        <f>IFERROR(_xlfn.XLOOKUP(TRIM(B4070),Lookup!$B$2:$B$1000,Lookup!$C$2:$C$1000),"")</f>
        <v>Equity - Large &amp; Mid Cap (BSE 200 oriented)</v>
      </c>
      <c r="D4070" s="8" t="str">
        <f>IFERROR(INDEX('nav master'!$C:$C, MATCH(B4070, 'nav master'!$B:$B, 0)), "")</f>
        <v>ULIF 027 12/01/09 ITT 110</v>
      </c>
      <c r="E4070" s="8">
        <v>166.37049999999999</v>
      </c>
      <c r="F4070" s="9">
        <v>46119</v>
      </c>
    </row>
    <row r="4071" spans="1:6" ht="90" x14ac:dyDescent="0.25">
      <c r="A4071" s="8" t="s">
        <v>63</v>
      </c>
      <c r="B4071" s="8" t="s">
        <v>76</v>
      </c>
      <c r="C4071" s="8" t="str">
        <f>IFERROR(_xlfn.XLOOKUP(TRIM(B4071),Lookup!$B$2:$B$1000,Lookup!$C$2:$C$1000),"")</f>
        <v>Equity - Large &amp; Mid Cap (BSE 200 oriented)</v>
      </c>
      <c r="D4071" s="8" t="str">
        <f>IFERROR(INDEX('nav master'!$C:$C, MATCH(B4071, 'nav master'!$B:$B, 0)), "")</f>
        <v>ULIF 027 12/01/09 ITT 110</v>
      </c>
      <c r="E4071" s="8">
        <v>172.72819999999999</v>
      </c>
      <c r="F4071" s="9">
        <v>46120</v>
      </c>
    </row>
    <row r="4072" spans="1:6" ht="90" x14ac:dyDescent="0.25">
      <c r="A4072" s="8" t="s">
        <v>63</v>
      </c>
      <c r="B4072" s="8" t="s">
        <v>76</v>
      </c>
      <c r="C4072" s="8" t="str">
        <f>IFERROR(_xlfn.XLOOKUP(TRIM(B4072),Lookup!$B$2:$B$1000,Lookup!$C$2:$C$1000),"")</f>
        <v>Equity - Large &amp; Mid Cap (BSE 200 oriented)</v>
      </c>
      <c r="D4072" s="8" t="str">
        <f>IFERROR(INDEX('nav master'!$C:$C, MATCH(B4072, 'nav master'!$B:$B, 0)), "")</f>
        <v>ULIF 027 12/01/09 ITT 110</v>
      </c>
      <c r="E4072" s="8">
        <v>172.13820000000001</v>
      </c>
      <c r="F4072" s="9">
        <v>46121</v>
      </c>
    </row>
    <row r="4073" spans="1:6" ht="90" x14ac:dyDescent="0.25">
      <c r="A4073" s="8" t="s">
        <v>63</v>
      </c>
      <c r="B4073" s="8" t="s">
        <v>76</v>
      </c>
      <c r="C4073" s="8" t="str">
        <f>IFERROR(_xlfn.XLOOKUP(TRIM(B4073),Lookup!$B$2:$B$1000,Lookup!$C$2:$C$1000),"")</f>
        <v>Equity - Large &amp; Mid Cap (BSE 200 oriented)</v>
      </c>
      <c r="D4073" s="8" t="str">
        <f>IFERROR(INDEX('nav master'!$C:$C, MATCH(B4073, 'nav master'!$B:$B, 0)), "")</f>
        <v>ULIF 027 12/01/09 ITT 110</v>
      </c>
      <c r="E4073" s="8">
        <v>174.54060000000001</v>
      </c>
      <c r="F4073" s="9">
        <v>46122</v>
      </c>
    </row>
    <row r="4074" spans="1:6" ht="90" x14ac:dyDescent="0.25">
      <c r="A4074" s="8" t="s">
        <v>63</v>
      </c>
      <c r="B4074" s="8" t="s">
        <v>76</v>
      </c>
      <c r="C4074" s="8" t="str">
        <f>IFERROR(_xlfn.XLOOKUP(TRIM(B4074),Lookup!$B$2:$B$1000,Lookup!$C$2:$C$1000),"")</f>
        <v>Equity - Large &amp; Mid Cap (BSE 200 oriented)</v>
      </c>
      <c r="D4074" s="8" t="str">
        <f>IFERROR(INDEX('nav master'!$C:$C, MATCH(B4074, 'nav master'!$B:$B, 0)), "")</f>
        <v>ULIF 027 12/01/09 ITT 110</v>
      </c>
      <c r="E4074" s="8">
        <v>173.70429999999999</v>
      </c>
      <c r="F4074" s="9">
        <v>46125</v>
      </c>
    </row>
    <row r="4075" spans="1:6" ht="90" x14ac:dyDescent="0.25">
      <c r="A4075" s="8" t="s">
        <v>63</v>
      </c>
      <c r="B4075" s="8" t="s">
        <v>76</v>
      </c>
      <c r="C4075" s="8" t="str">
        <f>IFERROR(_xlfn.XLOOKUP(TRIM(B4075),Lookup!$B$2:$B$1000,Lookup!$C$2:$C$1000),"")</f>
        <v>Equity - Large &amp; Mid Cap (BSE 200 oriented)</v>
      </c>
      <c r="D4075" s="8" t="str">
        <f>IFERROR(INDEX('nav master'!$C:$C, MATCH(B4075, 'nav master'!$B:$B, 0)), "")</f>
        <v>ULIF 027 12/01/09 ITT 110</v>
      </c>
      <c r="E4075" s="8">
        <v>176.94499999999999</v>
      </c>
      <c r="F4075" s="9">
        <v>46127</v>
      </c>
    </row>
    <row r="4076" spans="1:6" ht="90" x14ac:dyDescent="0.25">
      <c r="A4076" s="8" t="s">
        <v>63</v>
      </c>
      <c r="B4076" s="8" t="s">
        <v>76</v>
      </c>
      <c r="C4076" s="8" t="str">
        <f>IFERROR(_xlfn.XLOOKUP(TRIM(B4076),Lookup!$B$2:$B$1000,Lookup!$C$2:$C$1000),"")</f>
        <v>Equity - Large &amp; Mid Cap (BSE 200 oriented)</v>
      </c>
      <c r="D4076" s="8" t="str">
        <f>IFERROR(INDEX('nav master'!$C:$C, MATCH(B4076, 'nav master'!$B:$B, 0)), "")</f>
        <v>ULIF 027 12/01/09 ITT 110</v>
      </c>
      <c r="E4076" s="8">
        <v>178.04949999999999</v>
      </c>
      <c r="F4076" s="9">
        <v>46128</v>
      </c>
    </row>
    <row r="4077" spans="1:6" ht="90" x14ac:dyDescent="0.25">
      <c r="A4077" s="8" t="s">
        <v>63</v>
      </c>
      <c r="B4077" s="8" t="s">
        <v>76</v>
      </c>
      <c r="C4077" s="8" t="str">
        <f>IFERROR(_xlfn.XLOOKUP(TRIM(B4077),Lookup!$B$2:$B$1000,Lookup!$C$2:$C$1000),"")</f>
        <v>Equity - Large &amp; Mid Cap (BSE 200 oriented)</v>
      </c>
      <c r="D4077" s="8" t="str">
        <f>IFERROR(INDEX('nav master'!$C:$C, MATCH(B4077, 'nav master'!$B:$B, 0)), "")</f>
        <v>ULIF 027 12/01/09 ITT 110</v>
      </c>
      <c r="E4077" s="8">
        <v>179.2979</v>
      </c>
      <c r="F4077" s="9">
        <v>46129</v>
      </c>
    </row>
    <row r="4078" spans="1:6" ht="90" x14ac:dyDescent="0.25">
      <c r="A4078" s="8" t="s">
        <v>63</v>
      </c>
      <c r="B4078" s="8" t="s">
        <v>76</v>
      </c>
      <c r="C4078" s="8" t="str">
        <f>IFERROR(_xlfn.XLOOKUP(TRIM(B4078),Lookup!$B$2:$B$1000,Lookup!$C$2:$C$1000),"")</f>
        <v>Equity - Large &amp; Mid Cap (BSE 200 oriented)</v>
      </c>
      <c r="D4078" s="8" t="str">
        <f>IFERROR(INDEX('nav master'!$C:$C, MATCH(B4078, 'nav master'!$B:$B, 0)), "")</f>
        <v>ULIF 027 12/01/09 ITT 110</v>
      </c>
      <c r="E4078" s="8">
        <v>179.2243</v>
      </c>
      <c r="F4078" s="9">
        <v>46132</v>
      </c>
    </row>
    <row r="4079" spans="1:6" ht="90" x14ac:dyDescent="0.25">
      <c r="A4079" s="8" t="s">
        <v>63</v>
      </c>
      <c r="B4079" s="8" t="s">
        <v>76</v>
      </c>
      <c r="C4079" s="8" t="str">
        <f>IFERROR(_xlfn.XLOOKUP(TRIM(B4079),Lookup!$B$2:$B$1000,Lookup!$C$2:$C$1000),"")</f>
        <v>Equity - Large &amp; Mid Cap (BSE 200 oriented)</v>
      </c>
      <c r="D4079" s="8" t="str">
        <f>IFERROR(INDEX('nav master'!$C:$C, MATCH(B4079, 'nav master'!$B:$B, 0)), "")</f>
        <v>ULIF 027 12/01/09 ITT 110</v>
      </c>
      <c r="E4079" s="8">
        <v>180.30690000000001</v>
      </c>
      <c r="F4079" s="9">
        <v>46133</v>
      </c>
    </row>
    <row r="4080" spans="1:6" ht="90" x14ac:dyDescent="0.25">
      <c r="A4080" s="8" t="s">
        <v>63</v>
      </c>
      <c r="B4080" s="8" t="s">
        <v>76</v>
      </c>
      <c r="C4080" s="8" t="str">
        <f>IFERROR(_xlfn.XLOOKUP(TRIM(B4080),Lookup!$B$2:$B$1000,Lookup!$C$2:$C$1000),"")</f>
        <v>Equity - Large &amp; Mid Cap (BSE 200 oriented)</v>
      </c>
      <c r="D4080" s="8" t="str">
        <f>IFERROR(INDEX('nav master'!$C:$C, MATCH(B4080, 'nav master'!$B:$B, 0)), "")</f>
        <v>ULIF 027 12/01/09 ITT 110</v>
      </c>
      <c r="E4080" s="8">
        <v>180.1224</v>
      </c>
      <c r="F4080" s="9">
        <v>46134</v>
      </c>
    </row>
    <row r="4081" spans="1:6" ht="90" x14ac:dyDescent="0.25">
      <c r="A4081" s="8" t="s">
        <v>63</v>
      </c>
      <c r="B4081" s="8" t="s">
        <v>76</v>
      </c>
      <c r="C4081" s="8" t="str">
        <f>IFERROR(_xlfn.XLOOKUP(TRIM(B4081),Lookup!$B$2:$B$1000,Lookup!$C$2:$C$1000),"")</f>
        <v>Equity - Large &amp; Mid Cap (BSE 200 oriented)</v>
      </c>
      <c r="D4081" s="8" t="str">
        <f>IFERROR(INDEX('nav master'!$C:$C, MATCH(B4081, 'nav master'!$B:$B, 0)), "")</f>
        <v>ULIF 027 12/01/09 ITT 110</v>
      </c>
      <c r="E4081" s="8">
        <v>178.73419999999999</v>
      </c>
      <c r="F4081" s="9">
        <v>46135</v>
      </c>
    </row>
    <row r="4082" spans="1:6" ht="90" x14ac:dyDescent="0.25">
      <c r="A4082" s="8" t="s">
        <v>63</v>
      </c>
      <c r="B4082" s="8" t="s">
        <v>76</v>
      </c>
      <c r="C4082" s="8" t="str">
        <f>IFERROR(_xlfn.XLOOKUP(TRIM(B4082),Lookup!$B$2:$B$1000,Lookup!$C$2:$C$1000),"")</f>
        <v>Equity - Large &amp; Mid Cap (BSE 200 oriented)</v>
      </c>
      <c r="D4082" s="8" t="str">
        <f>IFERROR(INDEX('nav master'!$C:$C, MATCH(B4082, 'nav master'!$B:$B, 0)), "")</f>
        <v>ULIF 027 12/01/09 ITT 110</v>
      </c>
      <c r="E4082" s="8">
        <v>176.87049999999999</v>
      </c>
      <c r="F4082" s="9">
        <v>46136</v>
      </c>
    </row>
    <row r="4083" spans="1:6" ht="90" x14ac:dyDescent="0.25">
      <c r="A4083" s="8" t="s">
        <v>63</v>
      </c>
      <c r="B4083" s="8" t="s">
        <v>76</v>
      </c>
      <c r="C4083" s="8" t="str">
        <f>IFERROR(_xlfn.XLOOKUP(TRIM(B4083),Lookup!$B$2:$B$1000,Lookup!$C$2:$C$1000),"")</f>
        <v>Equity - Large &amp; Mid Cap (BSE 200 oriented)</v>
      </c>
      <c r="D4083" s="8" t="str">
        <f>IFERROR(INDEX('nav master'!$C:$C, MATCH(B4083, 'nav master'!$B:$B, 0)), "")</f>
        <v>ULIF 027 12/01/09 ITT 110</v>
      </c>
      <c r="E4083" s="8">
        <v>179.25319999999999</v>
      </c>
      <c r="F4083" s="9">
        <v>46139</v>
      </c>
    </row>
    <row r="4084" spans="1:6" ht="90" x14ac:dyDescent="0.25">
      <c r="A4084" s="8" t="s">
        <v>63</v>
      </c>
      <c r="B4084" s="8" t="s">
        <v>76</v>
      </c>
      <c r="C4084" s="8" t="str">
        <f>IFERROR(_xlfn.XLOOKUP(TRIM(B4084),Lookup!$B$2:$B$1000,Lookup!$C$2:$C$1000),"")</f>
        <v>Equity - Large &amp; Mid Cap (BSE 200 oriented)</v>
      </c>
      <c r="D4084" s="8" t="str">
        <f>IFERROR(INDEX('nav master'!$C:$C, MATCH(B4084, 'nav master'!$B:$B, 0)), "")</f>
        <v>ULIF 027 12/01/09 ITT 110</v>
      </c>
      <c r="E4084" s="8">
        <v>178.4392</v>
      </c>
      <c r="F4084" s="9">
        <v>46140</v>
      </c>
    </row>
    <row r="4085" spans="1:6" ht="90" x14ac:dyDescent="0.25">
      <c r="A4085" s="8" t="s">
        <v>63</v>
      </c>
      <c r="B4085" s="8" t="s">
        <v>76</v>
      </c>
      <c r="C4085" s="8" t="str">
        <f>IFERROR(_xlfn.XLOOKUP(TRIM(B4085),Lookup!$B$2:$B$1000,Lookup!$C$2:$C$1000),"")</f>
        <v>Equity - Large &amp; Mid Cap (BSE 200 oriented)</v>
      </c>
      <c r="D4085" s="8" t="str">
        <f>IFERROR(INDEX('nav master'!$C:$C, MATCH(B4085, 'nav master'!$B:$B, 0)), "")</f>
        <v>ULIF 027 12/01/09 ITT 110</v>
      </c>
      <c r="E4085" s="8">
        <v>179.1207</v>
      </c>
      <c r="F4085" s="9">
        <v>46141</v>
      </c>
    </row>
    <row r="4086" spans="1:6" ht="90" x14ac:dyDescent="0.25">
      <c r="A4086" s="8" t="s">
        <v>63</v>
      </c>
      <c r="B4086" s="8" t="s">
        <v>76</v>
      </c>
      <c r="C4086" s="8" t="str">
        <f>IFERROR(_xlfn.XLOOKUP(TRIM(B4086),Lookup!$B$2:$B$1000,Lookup!$C$2:$C$1000),"")</f>
        <v>Equity - Large &amp; Mid Cap (BSE 200 oriented)</v>
      </c>
      <c r="D4086" s="8" t="str">
        <f>IFERROR(INDEX('nav master'!$C:$C, MATCH(B4086, 'nav master'!$B:$B, 0)), "")</f>
        <v>ULIF 027 12/01/09 ITT 110</v>
      </c>
      <c r="E4086" s="8">
        <v>177.81790000000001</v>
      </c>
      <c r="F4086" s="9">
        <v>46142</v>
      </c>
    </row>
    <row r="4087" spans="1:6" ht="90" x14ac:dyDescent="0.25">
      <c r="A4087" s="8" t="s">
        <v>63</v>
      </c>
      <c r="B4087" s="8" t="s">
        <v>76</v>
      </c>
      <c r="C4087" s="8" t="str">
        <f>IFERROR(_xlfn.XLOOKUP(TRIM(B4087),Lookup!$B$2:$B$1000,Lookup!$C$2:$C$1000),"")</f>
        <v>Equity - Large &amp; Mid Cap (BSE 200 oriented)</v>
      </c>
      <c r="D4087" s="8" t="str">
        <f>IFERROR(INDEX('nav master'!$C:$C, MATCH(B4087, 'nav master'!$B:$B, 0)), "")</f>
        <v>ULIF 027 12/01/09 ITT 110</v>
      </c>
      <c r="E4087" s="8">
        <v>179.71119999999999</v>
      </c>
      <c r="F4087" s="9">
        <v>46146</v>
      </c>
    </row>
    <row r="4088" spans="1:6" ht="90" x14ac:dyDescent="0.25">
      <c r="A4088" s="8" t="s">
        <v>63</v>
      </c>
      <c r="B4088" s="8" t="s">
        <v>76</v>
      </c>
      <c r="C4088" s="8" t="str">
        <f>IFERROR(_xlfn.XLOOKUP(TRIM(B4088),Lookup!$B$2:$B$1000,Lookup!$C$2:$C$1000),"")</f>
        <v>Equity - Large &amp; Mid Cap (BSE 200 oriented)</v>
      </c>
      <c r="D4088" s="8" t="str">
        <f>IFERROR(INDEX('nav master'!$C:$C, MATCH(B4088, 'nav master'!$B:$B, 0)), "")</f>
        <v>ULIF 027 12/01/09 ITT 110</v>
      </c>
      <c r="E4088" s="8">
        <v>179.2595</v>
      </c>
      <c r="F4088" s="9">
        <v>46147</v>
      </c>
    </row>
    <row r="4089" spans="1:6" ht="90" x14ac:dyDescent="0.25">
      <c r="A4089" s="8" t="s">
        <v>63</v>
      </c>
      <c r="B4089" s="8" t="s">
        <v>76</v>
      </c>
      <c r="C4089" s="8" t="str">
        <f>IFERROR(_xlfn.XLOOKUP(TRIM(B4089),Lookup!$B$2:$B$1000,Lookup!$C$2:$C$1000),"")</f>
        <v>Equity - Large &amp; Mid Cap (BSE 200 oriented)</v>
      </c>
      <c r="D4089" s="8" t="str">
        <f>IFERROR(INDEX('nav master'!$C:$C, MATCH(B4089, 'nav master'!$B:$B, 0)), "")</f>
        <v>ULIF 027 12/01/09 ITT 110</v>
      </c>
      <c r="E4089" s="8">
        <v>181.5967</v>
      </c>
      <c r="F4089" s="9">
        <v>46148</v>
      </c>
    </row>
    <row r="4090" spans="1:6" ht="90" x14ac:dyDescent="0.25">
      <c r="A4090" s="8" t="s">
        <v>63</v>
      </c>
      <c r="B4090" s="8" t="s">
        <v>76</v>
      </c>
      <c r="C4090" s="8" t="str">
        <f>IFERROR(_xlfn.XLOOKUP(TRIM(B4090),Lookup!$B$2:$B$1000,Lookup!$C$2:$C$1000),"")</f>
        <v>Equity - Large &amp; Mid Cap (BSE 200 oriented)</v>
      </c>
      <c r="D4090" s="8" t="str">
        <f>IFERROR(INDEX('nav master'!$C:$C, MATCH(B4090, 'nav master'!$B:$B, 0)), "")</f>
        <v>ULIF 027 12/01/09 ITT 110</v>
      </c>
      <c r="E4090" s="8">
        <v>182.65860000000001</v>
      </c>
      <c r="F4090" s="9">
        <v>46149</v>
      </c>
    </row>
    <row r="4091" spans="1:6" ht="90" x14ac:dyDescent="0.25">
      <c r="A4091" s="8" t="s">
        <v>63</v>
      </c>
      <c r="B4091" s="8" t="s">
        <v>76</v>
      </c>
      <c r="C4091" s="8" t="str">
        <f>IFERROR(_xlfn.XLOOKUP(TRIM(B4091),Lookup!$B$2:$B$1000,Lookup!$C$2:$C$1000),"")</f>
        <v>Equity - Large &amp; Mid Cap (BSE 200 oriented)</v>
      </c>
      <c r="D4091" s="8" t="str">
        <f>IFERROR(INDEX('nav master'!$C:$C, MATCH(B4091, 'nav master'!$B:$B, 0)), "")</f>
        <v>ULIF 027 12/01/09 ITT 110</v>
      </c>
      <c r="E4091" s="8">
        <v>182.0205</v>
      </c>
      <c r="F4091" s="9">
        <v>46150</v>
      </c>
    </row>
    <row r="4092" spans="1:6" ht="90" x14ac:dyDescent="0.25">
      <c r="A4092" s="8" t="s">
        <v>63</v>
      </c>
      <c r="B4092" s="8" t="s">
        <v>76</v>
      </c>
      <c r="C4092" s="8" t="str">
        <f>IFERROR(_xlfn.XLOOKUP(TRIM(B4092),Lookup!$B$2:$B$1000,Lookup!$C$2:$C$1000),"")</f>
        <v>Equity - Large &amp; Mid Cap (BSE 200 oriented)</v>
      </c>
      <c r="D4092" s="8" t="str">
        <f>IFERROR(INDEX('nav master'!$C:$C, MATCH(B4092, 'nav master'!$B:$B, 0)), "")</f>
        <v>ULIF 027 12/01/09 ITT 110</v>
      </c>
      <c r="E4092" s="8">
        <v>179.78039999999999</v>
      </c>
      <c r="F4092" s="9">
        <v>46153</v>
      </c>
    </row>
    <row r="4093" spans="1:6" ht="90" x14ac:dyDescent="0.25">
      <c r="A4093" s="8" t="s">
        <v>63</v>
      </c>
      <c r="B4093" s="8" t="s">
        <v>76</v>
      </c>
      <c r="C4093" s="8" t="str">
        <f>IFERROR(_xlfn.XLOOKUP(TRIM(B4093),Lookup!$B$2:$B$1000,Lookup!$C$2:$C$1000),"")</f>
        <v>Equity - Large &amp; Mid Cap (BSE 200 oriented)</v>
      </c>
      <c r="D4093" s="8" t="str">
        <f>IFERROR(INDEX('nav master'!$C:$C, MATCH(B4093, 'nav master'!$B:$B, 0)), "")</f>
        <v>ULIF 027 12/01/09 ITT 110</v>
      </c>
      <c r="E4093" s="8">
        <v>175.81899999999999</v>
      </c>
      <c r="F4093" s="9">
        <v>46154</v>
      </c>
    </row>
    <row r="4094" spans="1:6" ht="90" x14ac:dyDescent="0.25">
      <c r="A4094" s="8" t="s">
        <v>63</v>
      </c>
      <c r="B4094" s="8" t="s">
        <v>76</v>
      </c>
      <c r="C4094" s="8" t="str">
        <f>IFERROR(_xlfn.XLOOKUP(TRIM(B4094),Lookup!$B$2:$B$1000,Lookup!$C$2:$C$1000),"")</f>
        <v>Equity - Large &amp; Mid Cap (BSE 200 oriented)</v>
      </c>
      <c r="D4094" s="8" t="str">
        <f>IFERROR(INDEX('nav master'!$C:$C, MATCH(B4094, 'nav master'!$B:$B, 0)), "")</f>
        <v>ULIF 027 12/01/09 ITT 110</v>
      </c>
      <c r="E4094" s="8">
        <v>176.2851</v>
      </c>
      <c r="F4094" s="9">
        <v>46155</v>
      </c>
    </row>
    <row r="4095" spans="1:6" ht="90" x14ac:dyDescent="0.25">
      <c r="A4095" s="8" t="s">
        <v>63</v>
      </c>
      <c r="B4095" s="8" t="s">
        <v>76</v>
      </c>
      <c r="C4095" s="8" t="str">
        <f>IFERROR(_xlfn.XLOOKUP(TRIM(B4095),Lookup!$B$2:$B$1000,Lookup!$C$2:$C$1000),"")</f>
        <v>Equity - Large &amp; Mid Cap (BSE 200 oriented)</v>
      </c>
      <c r="D4095" s="8" t="str">
        <f>IFERROR(INDEX('nav master'!$C:$C, MATCH(B4095, 'nav master'!$B:$B, 0)), "")</f>
        <v>ULIF 027 12/01/09 ITT 110</v>
      </c>
      <c r="E4095" s="8">
        <v>178.07390000000001</v>
      </c>
      <c r="F4095" s="9">
        <v>46156</v>
      </c>
    </row>
    <row r="4096" spans="1:6" ht="90" x14ac:dyDescent="0.25">
      <c r="A4096" s="8" t="s">
        <v>63</v>
      </c>
      <c r="B4096" s="8" t="s">
        <v>76</v>
      </c>
      <c r="C4096" s="8" t="str">
        <f>IFERROR(_xlfn.XLOOKUP(TRIM(B4096),Lookup!$B$2:$B$1000,Lookup!$C$2:$C$1000),"")</f>
        <v>Equity - Large &amp; Mid Cap (BSE 200 oriented)</v>
      </c>
      <c r="D4096" s="8" t="str">
        <f>IFERROR(INDEX('nav master'!$C:$C, MATCH(B4096, 'nav master'!$B:$B, 0)), "")</f>
        <v>ULIF 027 12/01/09 ITT 110</v>
      </c>
      <c r="E4096" s="8">
        <v>177.42660000000001</v>
      </c>
      <c r="F4096" s="9">
        <v>46157</v>
      </c>
    </row>
    <row r="4097" spans="1:6" ht="90" x14ac:dyDescent="0.25">
      <c r="A4097" s="8" t="s">
        <v>63</v>
      </c>
      <c r="B4097" s="8" t="s">
        <v>76</v>
      </c>
      <c r="C4097" s="8" t="str">
        <f>IFERROR(_xlfn.XLOOKUP(TRIM(B4097),Lookup!$B$2:$B$1000,Lookup!$C$2:$C$1000),"")</f>
        <v>Equity - Large &amp; Mid Cap (BSE 200 oriented)</v>
      </c>
      <c r="D4097" s="8" t="str">
        <f>IFERROR(INDEX('nav master'!$C:$C, MATCH(B4097, 'nav master'!$B:$B, 0)), "")</f>
        <v>ULIF 027 12/01/09 ITT 110</v>
      </c>
      <c r="E4097" s="8">
        <v>176.74430000000001</v>
      </c>
      <c r="F4097" s="9">
        <v>46160</v>
      </c>
    </row>
    <row r="4098" spans="1:6" ht="90" x14ac:dyDescent="0.25">
      <c r="A4098" s="8" t="s">
        <v>63</v>
      </c>
      <c r="B4098" s="8" t="s">
        <v>76</v>
      </c>
      <c r="C4098" s="8" t="str">
        <f>IFERROR(_xlfn.XLOOKUP(TRIM(B4098),Lookup!$B$2:$B$1000,Lookup!$C$2:$C$1000),"")</f>
        <v>Equity - Large &amp; Mid Cap (BSE 200 oriented)</v>
      </c>
      <c r="D4098" s="8" t="str">
        <f>IFERROR(INDEX('nav master'!$C:$C, MATCH(B4098, 'nav master'!$B:$B, 0)), "")</f>
        <v>ULIF 027 12/01/09 ITT 110</v>
      </c>
      <c r="E4098" s="8">
        <v>177.51939999999999</v>
      </c>
      <c r="F4098" s="9">
        <v>46161</v>
      </c>
    </row>
    <row r="4099" spans="1:6" ht="90" x14ac:dyDescent="0.25">
      <c r="A4099" s="8" t="s">
        <v>63</v>
      </c>
      <c r="B4099" s="8" t="s">
        <v>76</v>
      </c>
      <c r="C4099" s="8" t="str">
        <f>IFERROR(_xlfn.XLOOKUP(TRIM(B4099),Lookup!$B$2:$B$1000,Lookup!$C$2:$C$1000),"")</f>
        <v>Equity - Large &amp; Mid Cap (BSE 200 oriented)</v>
      </c>
      <c r="D4099" s="8" t="str">
        <f>IFERROR(INDEX('nav master'!$C:$C, MATCH(B4099, 'nav master'!$B:$B, 0)), "")</f>
        <v>ULIF 027 12/01/09 ITT 110</v>
      </c>
      <c r="E4099" s="8">
        <v>178.41210000000001</v>
      </c>
      <c r="F4099" s="9">
        <v>46162</v>
      </c>
    </row>
    <row r="4100" spans="1:6" ht="90" x14ac:dyDescent="0.25">
      <c r="A4100" s="8" t="s">
        <v>63</v>
      </c>
      <c r="B4100" s="8" t="s">
        <v>76</v>
      </c>
      <c r="C4100" s="8" t="str">
        <f>IFERROR(_xlfn.XLOOKUP(TRIM(B4100),Lookup!$B$2:$B$1000,Lookup!$C$2:$C$1000),"")</f>
        <v>Equity - Large &amp; Mid Cap (BSE 200 oriented)</v>
      </c>
      <c r="D4100" s="8" t="str">
        <f>IFERROR(INDEX('nav master'!$C:$C, MATCH(B4100, 'nav master'!$B:$B, 0)), "")</f>
        <v>ULIF 027 12/01/09 ITT 110</v>
      </c>
      <c r="E4100" s="8">
        <v>178.81270000000001</v>
      </c>
      <c r="F4100" s="9">
        <v>46163</v>
      </c>
    </row>
    <row r="4101" spans="1:6" ht="90" x14ac:dyDescent="0.25">
      <c r="A4101" s="8" t="s">
        <v>63</v>
      </c>
      <c r="B4101" s="8" t="s">
        <v>76</v>
      </c>
      <c r="C4101" s="8" t="str">
        <f>IFERROR(_xlfn.XLOOKUP(TRIM(B4101),Lookup!$B$2:$B$1000,Lookup!$C$2:$C$1000),"")</f>
        <v>Equity - Large &amp; Mid Cap (BSE 200 oriented)</v>
      </c>
      <c r="D4101" s="8" t="str">
        <f>IFERROR(INDEX('nav master'!$C:$C, MATCH(B4101, 'nav master'!$B:$B, 0)), "")</f>
        <v>ULIF 027 12/01/09 ITT 110</v>
      </c>
      <c r="E4101" s="8">
        <v>179.1497</v>
      </c>
      <c r="F4101" s="9">
        <v>46164</v>
      </c>
    </row>
    <row r="4102" spans="1:6" ht="90" x14ac:dyDescent="0.25">
      <c r="A4102" s="8" t="s">
        <v>63</v>
      </c>
      <c r="B4102" s="8" t="s">
        <v>76</v>
      </c>
      <c r="C4102" s="8" t="str">
        <f>IFERROR(_xlfn.XLOOKUP(TRIM(B4102),Lookup!$B$2:$B$1000,Lookup!$C$2:$C$1000),"")</f>
        <v>Equity - Large &amp; Mid Cap (BSE 200 oriented)</v>
      </c>
      <c r="D4102" s="8" t="str">
        <f>IFERROR(INDEX('nav master'!$C:$C, MATCH(B4102, 'nav master'!$B:$B, 0)), "")</f>
        <v>ULIF 027 12/01/09 ITT 110</v>
      </c>
      <c r="E4102" s="8">
        <v>181.20760000000001</v>
      </c>
      <c r="F4102" s="9">
        <v>46167</v>
      </c>
    </row>
    <row r="4103" spans="1:6" ht="90" x14ac:dyDescent="0.25">
      <c r="A4103" s="8" t="s">
        <v>63</v>
      </c>
      <c r="B4103" s="8" t="s">
        <v>76</v>
      </c>
      <c r="C4103" s="8" t="str">
        <f>IFERROR(_xlfn.XLOOKUP(TRIM(B4103),Lookup!$B$2:$B$1000,Lookup!$C$2:$C$1000),"")</f>
        <v>Equity - Large &amp; Mid Cap (BSE 200 oriented)</v>
      </c>
      <c r="D4103" s="8" t="str">
        <f>IFERROR(INDEX('nav master'!$C:$C, MATCH(B4103, 'nav master'!$B:$B, 0)), "")</f>
        <v>ULIF 027 12/01/09 ITT 110</v>
      </c>
      <c r="E4103" s="8">
        <v>180.93860000000001</v>
      </c>
      <c r="F4103" s="9">
        <v>46168</v>
      </c>
    </row>
    <row r="4104" spans="1:6" ht="90" x14ac:dyDescent="0.25">
      <c r="A4104" s="8" t="s">
        <v>63</v>
      </c>
      <c r="B4104" s="8" t="s">
        <v>76</v>
      </c>
      <c r="C4104" s="8" t="str">
        <f>IFERROR(_xlfn.XLOOKUP(TRIM(B4104),Lookup!$B$2:$B$1000,Lookup!$C$2:$C$1000),"")</f>
        <v>Equity - Large &amp; Mid Cap (BSE 200 oriented)</v>
      </c>
      <c r="D4104" s="8" t="str">
        <f>IFERROR(INDEX('nav master'!$C:$C, MATCH(B4104, 'nav master'!$B:$B, 0)), "")</f>
        <v>ULIF 027 12/01/09 ITT 110</v>
      </c>
      <c r="E4104" s="8">
        <v>181.18610000000001</v>
      </c>
      <c r="F4104" s="9">
        <v>46169</v>
      </c>
    </row>
    <row r="4105" spans="1:6" ht="90" x14ac:dyDescent="0.25">
      <c r="A4105" s="8" t="s">
        <v>63</v>
      </c>
      <c r="B4105" s="8" t="s">
        <v>76</v>
      </c>
      <c r="C4105" s="8" t="str">
        <f>IFERROR(_xlfn.XLOOKUP(TRIM(B4105),Lookup!$B$2:$B$1000,Lookup!$C$2:$C$1000),"")</f>
        <v>Equity - Large &amp; Mid Cap (BSE 200 oriented)</v>
      </c>
      <c r="D4105" s="8" t="str">
        <f>IFERROR(INDEX('nav master'!$C:$C, MATCH(B4105, 'nav master'!$B:$B, 0)), "")</f>
        <v>ULIF 027 12/01/09 ITT 110</v>
      </c>
      <c r="E4105" s="8">
        <v>179.4837</v>
      </c>
      <c r="F4105" s="9">
        <v>46171</v>
      </c>
    </row>
    <row r="4106" spans="1:6" ht="90" x14ac:dyDescent="0.25">
      <c r="A4106" s="8" t="s">
        <v>63</v>
      </c>
      <c r="B4106" s="8" t="s">
        <v>76</v>
      </c>
      <c r="C4106" s="8" t="str">
        <f>IFERROR(_xlfn.XLOOKUP(TRIM(B4106),Lookup!$B$2:$B$1000,Lookup!$C$2:$C$1000),"")</f>
        <v>Equity - Large &amp; Mid Cap (BSE 200 oriented)</v>
      </c>
      <c r="D4106" s="8" t="str">
        <f>IFERROR(INDEX('nav master'!$C:$C, MATCH(B4106, 'nav master'!$B:$B, 0)), "")</f>
        <v>ULIF 027 12/01/09 ITT 110</v>
      </c>
      <c r="E4106" s="8">
        <v>177.58840000000001</v>
      </c>
      <c r="F4106" s="9">
        <v>46174</v>
      </c>
    </row>
    <row r="4107" spans="1:6" ht="90" x14ac:dyDescent="0.25">
      <c r="A4107" s="8" t="s">
        <v>63</v>
      </c>
      <c r="B4107" s="8" t="s">
        <v>76</v>
      </c>
      <c r="C4107" s="8" t="str">
        <f>IFERROR(_xlfn.XLOOKUP(TRIM(B4107),Lookup!$B$2:$B$1000,Lookup!$C$2:$C$1000),"")</f>
        <v>Equity - Large &amp; Mid Cap (BSE 200 oriented)</v>
      </c>
      <c r="D4107" s="8" t="str">
        <f>IFERROR(INDEX('nav master'!$C:$C, MATCH(B4107, 'nav master'!$B:$B, 0)), "")</f>
        <v>ULIF 027 12/01/09 ITT 110</v>
      </c>
      <c r="E4107" s="8">
        <v>178.30539999999999</v>
      </c>
      <c r="F4107" s="9">
        <v>46175</v>
      </c>
    </row>
    <row r="4108" spans="1:6" ht="90" x14ac:dyDescent="0.25">
      <c r="A4108" s="8" t="s">
        <v>63</v>
      </c>
      <c r="B4108" s="8" t="s">
        <v>76</v>
      </c>
      <c r="C4108" s="8" t="str">
        <f>IFERROR(_xlfn.XLOOKUP(TRIM(B4108),Lookup!$B$2:$B$1000,Lookup!$C$2:$C$1000),"")</f>
        <v>Equity - Large &amp; Mid Cap (BSE 200 oriented)</v>
      </c>
      <c r="D4108" s="8" t="str">
        <f>IFERROR(INDEX('nav master'!$C:$C, MATCH(B4108, 'nav master'!$B:$B, 0)), "")</f>
        <v>ULIF 027 12/01/09 ITT 110</v>
      </c>
      <c r="E4108" s="8">
        <v>178.21600000000001</v>
      </c>
      <c r="F4108" s="9">
        <v>46176</v>
      </c>
    </row>
    <row r="4109" spans="1:6" ht="90" x14ac:dyDescent="0.25">
      <c r="A4109" s="8" t="s">
        <v>63</v>
      </c>
      <c r="B4109" s="8" t="s">
        <v>76</v>
      </c>
      <c r="C4109" s="8" t="str">
        <f>IFERROR(_xlfn.XLOOKUP(TRIM(B4109),Lookup!$B$2:$B$1000,Lookup!$C$2:$C$1000),"")</f>
        <v>Equity - Large &amp; Mid Cap (BSE 200 oriented)</v>
      </c>
      <c r="D4109" s="8" t="str">
        <f>IFERROR(INDEX('nav master'!$C:$C, MATCH(B4109, 'nav master'!$B:$B, 0)), "")</f>
        <v>ULIF 027 12/01/09 ITT 110</v>
      </c>
      <c r="E4109" s="8">
        <v>179.19479999999999</v>
      </c>
      <c r="F4109" s="9">
        <v>46177</v>
      </c>
    </row>
    <row r="4110" spans="1:6" ht="90" x14ac:dyDescent="0.25">
      <c r="A4110" s="8" t="s">
        <v>63</v>
      </c>
      <c r="B4110" s="8" t="s">
        <v>76</v>
      </c>
      <c r="C4110" s="8" t="str">
        <f>IFERROR(_xlfn.XLOOKUP(TRIM(B4110),Lookup!$B$2:$B$1000,Lookup!$C$2:$C$1000),"")</f>
        <v>Equity - Large &amp; Mid Cap (BSE 200 oriented)</v>
      </c>
      <c r="D4110" s="8" t="str">
        <f>IFERROR(INDEX('nav master'!$C:$C, MATCH(B4110, 'nav master'!$B:$B, 0)), "")</f>
        <v>ULIF 027 12/01/09 ITT 110</v>
      </c>
      <c r="E4110" s="8">
        <v>178.91460000000001</v>
      </c>
      <c r="F4110" s="9">
        <v>46178</v>
      </c>
    </row>
    <row r="4111" spans="1:6" ht="90" x14ac:dyDescent="0.25">
      <c r="A4111" s="8" t="s">
        <v>63</v>
      </c>
      <c r="B4111" s="8" t="s">
        <v>76</v>
      </c>
      <c r="C4111" s="8" t="str">
        <f>IFERROR(_xlfn.XLOOKUP(TRIM(B4111),Lookup!$B$2:$B$1000,Lookup!$C$2:$C$1000),"")</f>
        <v>Equity - Large &amp; Mid Cap (BSE 200 oriented)</v>
      </c>
      <c r="D4111" s="8" t="str">
        <f>IFERROR(INDEX('nav master'!$C:$C, MATCH(B4111, 'nav master'!$B:$B, 0)), "")</f>
        <v>ULIF 027 12/01/09 ITT 110</v>
      </c>
      <c r="E4111" s="8">
        <v>176.5908</v>
      </c>
      <c r="F4111" s="9">
        <v>46181</v>
      </c>
    </row>
    <row r="4112" spans="1:6" ht="90" x14ac:dyDescent="0.25">
      <c r="A4112" s="8" t="s">
        <v>63</v>
      </c>
      <c r="B4112" s="8" t="s">
        <v>76</v>
      </c>
      <c r="C4112" s="8" t="str">
        <f>IFERROR(_xlfn.XLOOKUP(TRIM(B4112),Lookup!$B$2:$B$1000,Lookup!$C$2:$C$1000),"")</f>
        <v>Equity - Large &amp; Mid Cap (BSE 200 oriented)</v>
      </c>
      <c r="D4112" s="8" t="str">
        <f>IFERROR(INDEX('nav master'!$C:$C, MATCH(B4112, 'nav master'!$B:$B, 0)), "")</f>
        <v>ULIF 027 12/01/09 ITT 110</v>
      </c>
      <c r="E4112" s="8">
        <v>178.49459999999999</v>
      </c>
      <c r="F4112" s="9">
        <v>46182</v>
      </c>
    </row>
    <row r="4113" spans="1:6" ht="90" x14ac:dyDescent="0.25">
      <c r="A4113" s="8" t="s">
        <v>63</v>
      </c>
      <c r="B4113" s="8" t="s">
        <v>76</v>
      </c>
      <c r="C4113" s="8" t="str">
        <f>IFERROR(_xlfn.XLOOKUP(TRIM(B4113),Lookup!$B$2:$B$1000,Lookup!$C$2:$C$1000),"")</f>
        <v>Equity - Large &amp; Mid Cap (BSE 200 oriented)</v>
      </c>
      <c r="D4113" s="8" t="str">
        <f>IFERROR(INDEX('nav master'!$C:$C, MATCH(B4113, 'nav master'!$B:$B, 0)), "")</f>
        <v>ULIF 027 12/01/09 ITT 110</v>
      </c>
      <c r="E4113" s="8">
        <v>177.15</v>
      </c>
      <c r="F4113" s="9">
        <v>46183</v>
      </c>
    </row>
    <row r="4114" spans="1:6" ht="90" x14ac:dyDescent="0.25">
      <c r="A4114" s="8" t="s">
        <v>63</v>
      </c>
      <c r="B4114" s="8" t="s">
        <v>76</v>
      </c>
      <c r="C4114" s="8" t="str">
        <f>IFERROR(_xlfn.XLOOKUP(TRIM(B4114),Lookup!$B$2:$B$1000,Lookup!$C$2:$C$1000),"")</f>
        <v>Equity - Large &amp; Mid Cap (BSE 200 oriented)</v>
      </c>
      <c r="D4114" s="8" t="str">
        <f>IFERROR(INDEX('nav master'!$C:$C, MATCH(B4114, 'nav master'!$B:$B, 0)), "")</f>
        <v>ULIF 027 12/01/09 ITT 110</v>
      </c>
      <c r="E4114" s="8">
        <v>176.6249</v>
      </c>
      <c r="F4114" s="9">
        <v>46184</v>
      </c>
    </row>
    <row r="4115" spans="1:6" ht="90" x14ac:dyDescent="0.25">
      <c r="A4115" s="8" t="s">
        <v>63</v>
      </c>
      <c r="B4115" s="8" t="s">
        <v>76</v>
      </c>
      <c r="C4115" s="8" t="str">
        <f>IFERROR(_xlfn.XLOOKUP(TRIM(B4115),Lookup!$B$2:$B$1000,Lookup!$C$2:$C$1000),"")</f>
        <v>Equity - Large &amp; Mid Cap (BSE 200 oriented)</v>
      </c>
      <c r="D4115" s="8" t="str">
        <f>IFERROR(INDEX('nav master'!$C:$C, MATCH(B4115, 'nav master'!$B:$B, 0)), "")</f>
        <v>ULIF 027 12/01/09 ITT 110</v>
      </c>
      <c r="E4115" s="8">
        <v>180.82130000000001</v>
      </c>
      <c r="F4115" s="9">
        <v>46185</v>
      </c>
    </row>
    <row r="4116" spans="1:6" ht="90" x14ac:dyDescent="0.25">
      <c r="A4116" s="8" t="s">
        <v>63</v>
      </c>
      <c r="B4116" s="8" t="s">
        <v>76</v>
      </c>
      <c r="C4116" s="8" t="str">
        <f>IFERROR(_xlfn.XLOOKUP(TRIM(B4116),Lookup!$B$2:$B$1000,Lookup!$C$2:$C$1000),"")</f>
        <v>Equity - Large &amp; Mid Cap (BSE 200 oriented)</v>
      </c>
      <c r="D4116" s="8" t="str">
        <f>IFERROR(INDEX('nav master'!$C:$C, MATCH(B4116, 'nav master'!$B:$B, 0)), "")</f>
        <v>ULIF 027 12/01/09 ITT 110</v>
      </c>
      <c r="E4116" s="8">
        <v>183.23439999999999</v>
      </c>
      <c r="F4116" s="9">
        <v>46188</v>
      </c>
    </row>
    <row r="4117" spans="1:6" ht="90" x14ac:dyDescent="0.25">
      <c r="A4117" s="8" t="s">
        <v>63</v>
      </c>
      <c r="B4117" s="8" t="s">
        <v>76</v>
      </c>
      <c r="C4117" s="8" t="str">
        <f>IFERROR(_xlfn.XLOOKUP(TRIM(B4117),Lookup!$B$2:$B$1000,Lookup!$C$2:$C$1000),"")</f>
        <v>Equity - Large &amp; Mid Cap (BSE 200 oriented)</v>
      </c>
      <c r="D4117" s="8" t="str">
        <f>IFERROR(INDEX('nav master'!$C:$C, MATCH(B4117, 'nav master'!$B:$B, 0)), "")</f>
        <v>ULIF 027 12/01/09 ITT 110</v>
      </c>
      <c r="E4117" s="8">
        <v>183.83459999999999</v>
      </c>
      <c r="F4117" s="9">
        <v>46189</v>
      </c>
    </row>
    <row r="4118" spans="1:6" ht="90" x14ac:dyDescent="0.25">
      <c r="A4118" s="8" t="s">
        <v>63</v>
      </c>
      <c r="B4118" s="8" t="s">
        <v>76</v>
      </c>
      <c r="C4118" s="8" t="str">
        <f>IFERROR(_xlfn.XLOOKUP(TRIM(B4118),Lookup!$B$2:$B$1000,Lookup!$C$2:$C$1000),"")</f>
        <v>Equity - Large &amp; Mid Cap (BSE 200 oriented)</v>
      </c>
      <c r="D4118" s="8" t="str">
        <f>IFERROR(INDEX('nav master'!$C:$C, MATCH(B4118, 'nav master'!$B:$B, 0)), "")</f>
        <v>ULIF 027 12/01/09 ITT 110</v>
      </c>
      <c r="E4118" s="8">
        <v>184.536</v>
      </c>
      <c r="F4118" s="9">
        <v>46190</v>
      </c>
    </row>
    <row r="4119" spans="1:6" ht="90" x14ac:dyDescent="0.25">
      <c r="A4119" s="8" t="s">
        <v>63</v>
      </c>
      <c r="B4119" s="8" t="s">
        <v>76</v>
      </c>
      <c r="C4119" s="8" t="str">
        <f>IFERROR(_xlfn.XLOOKUP(TRIM(B4119),Lookup!$B$2:$B$1000,Lookup!$C$2:$C$1000),"")</f>
        <v>Equity - Large &amp; Mid Cap (BSE 200 oriented)</v>
      </c>
      <c r="D4119" s="8" t="str">
        <f>IFERROR(INDEX('nav master'!$C:$C, MATCH(B4119, 'nav master'!$B:$B, 0)), "")</f>
        <v>ULIF 027 12/01/09 ITT 110</v>
      </c>
      <c r="E4119" s="8">
        <v>185.1703</v>
      </c>
      <c r="F4119" s="9">
        <v>46191</v>
      </c>
    </row>
    <row r="4120" spans="1:6" ht="90" x14ac:dyDescent="0.25">
      <c r="A4120" s="8" t="s">
        <v>63</v>
      </c>
      <c r="B4120" s="8" t="s">
        <v>76</v>
      </c>
      <c r="C4120" s="8" t="str">
        <f>IFERROR(_xlfn.XLOOKUP(TRIM(B4120),Lookup!$B$2:$B$1000,Lookup!$C$2:$C$1000),"")</f>
        <v>Equity - Large &amp; Mid Cap (BSE 200 oriented)</v>
      </c>
      <c r="D4120" s="8" t="str">
        <f>IFERROR(INDEX('nav master'!$C:$C, MATCH(B4120, 'nav master'!$B:$B, 0)), "")</f>
        <v>ULIF 027 12/01/09 ITT 110</v>
      </c>
      <c r="E4120" s="8">
        <v>184.80090000000001</v>
      </c>
      <c r="F4120" s="9">
        <v>46192</v>
      </c>
    </row>
    <row r="4121" spans="1:6" ht="90" x14ac:dyDescent="0.25">
      <c r="A4121" s="8" t="s">
        <v>63</v>
      </c>
      <c r="B4121" s="8" t="s">
        <v>76</v>
      </c>
      <c r="C4121" s="8" t="str">
        <f>IFERROR(_xlfn.XLOOKUP(TRIM(B4121),Lookup!$B$2:$B$1000,Lookup!$C$2:$C$1000),"")</f>
        <v>Equity - Large &amp; Mid Cap (BSE 200 oriented)</v>
      </c>
      <c r="D4121" s="8" t="str">
        <f>IFERROR(INDEX('nav master'!$C:$C, MATCH(B4121, 'nav master'!$B:$B, 0)), "")</f>
        <v>ULIF 027 12/01/09 ITT 110</v>
      </c>
      <c r="E4121" s="8">
        <v>185.3999</v>
      </c>
      <c r="F4121" s="9">
        <v>46195</v>
      </c>
    </row>
    <row r="4122" spans="1:6" ht="90" x14ac:dyDescent="0.25">
      <c r="A4122" s="8" t="s">
        <v>63</v>
      </c>
      <c r="B4122" s="8" t="s">
        <v>76</v>
      </c>
      <c r="C4122" s="8" t="str">
        <f>IFERROR(_xlfn.XLOOKUP(TRIM(B4122),Lookup!$B$2:$B$1000,Lookup!$C$2:$C$1000),"")</f>
        <v>Equity - Large &amp; Mid Cap (BSE 200 oriented)</v>
      </c>
      <c r="D4122" s="8" t="str">
        <f>IFERROR(INDEX('nav master'!$C:$C, MATCH(B4122, 'nav master'!$B:$B, 0)), "")</f>
        <v>ULIF 027 12/01/09 ITT 110</v>
      </c>
      <c r="E4122" s="8">
        <v>183.79470000000001</v>
      </c>
      <c r="F4122" s="9">
        <v>46196</v>
      </c>
    </row>
    <row r="4123" spans="1:6" ht="90" x14ac:dyDescent="0.25">
      <c r="A4123" s="8" t="s">
        <v>63</v>
      </c>
      <c r="B4123" s="8" t="s">
        <v>76</v>
      </c>
      <c r="C4123" s="8" t="str">
        <f>IFERROR(_xlfn.XLOOKUP(TRIM(B4123),Lookup!$B$2:$B$1000,Lookup!$C$2:$C$1000),"")</f>
        <v>Equity - Large &amp; Mid Cap (BSE 200 oriented)</v>
      </c>
      <c r="D4123" s="8" t="str">
        <f>IFERROR(INDEX('nav master'!$C:$C, MATCH(B4123, 'nav master'!$B:$B, 0)), "")</f>
        <v>ULIF 027 12/01/09 ITT 110</v>
      </c>
      <c r="E4123" s="8">
        <v>184.7611</v>
      </c>
      <c r="F4123" s="9">
        <v>46197</v>
      </c>
    </row>
    <row r="4124" spans="1:6" ht="90" x14ac:dyDescent="0.25">
      <c r="A4124" s="8" t="s">
        <v>63</v>
      </c>
      <c r="B4124" s="8" t="s">
        <v>76</v>
      </c>
      <c r="C4124" s="8" t="str">
        <f>IFERROR(_xlfn.XLOOKUP(TRIM(B4124),Lookup!$B$2:$B$1000,Lookup!$C$2:$C$1000),"")</f>
        <v>Equity - Large &amp; Mid Cap (BSE 200 oriented)</v>
      </c>
      <c r="D4124" s="8" t="str">
        <f>IFERROR(INDEX('nav master'!$C:$C, MATCH(B4124, 'nav master'!$B:$B, 0)), "")</f>
        <v>ULIF 027 12/01/09 ITT 110</v>
      </c>
      <c r="E4124" s="8">
        <v>184.9425</v>
      </c>
      <c r="F4124" s="9">
        <v>46198</v>
      </c>
    </row>
    <row r="4125" spans="1:6" ht="90" x14ac:dyDescent="0.25">
      <c r="A4125" s="8" t="s">
        <v>63</v>
      </c>
      <c r="B4125" s="8" t="s">
        <v>76</v>
      </c>
      <c r="C4125" s="8" t="str">
        <f>IFERROR(_xlfn.XLOOKUP(TRIM(B4125),Lookup!$B$2:$B$1000,Lookup!$C$2:$C$1000),"")</f>
        <v>Equity - Large &amp; Mid Cap (BSE 200 oriented)</v>
      </c>
      <c r="D4125" s="8" t="str">
        <f>IFERROR(INDEX('nav master'!$C:$C, MATCH(B4125, 'nav master'!$B:$B, 0)), "")</f>
        <v>ULIF 027 12/01/09 ITT 110</v>
      </c>
      <c r="E4125" s="8">
        <v>184.48169999999999</v>
      </c>
      <c r="F4125" s="9">
        <v>46202</v>
      </c>
    </row>
    <row r="4126" spans="1:6" ht="90" x14ac:dyDescent="0.25">
      <c r="A4126" s="8" t="s">
        <v>63</v>
      </c>
      <c r="B4126" s="8" t="s">
        <v>76</v>
      </c>
      <c r="C4126" s="8" t="str">
        <f>IFERROR(_xlfn.XLOOKUP(TRIM(B4126),Lookup!$B$2:$B$1000,Lookup!$C$2:$C$1000),"")</f>
        <v>Equity - Large &amp; Mid Cap (BSE 200 oriented)</v>
      </c>
      <c r="D4126" s="8" t="str">
        <f>IFERROR(INDEX('nav master'!$C:$C, MATCH(B4126, 'nav master'!$B:$B, 0)), "")</f>
        <v>ULIF 027 12/01/09 ITT 110</v>
      </c>
      <c r="E4126" s="8">
        <v>185.10419999999999</v>
      </c>
      <c r="F4126" s="9">
        <v>46203</v>
      </c>
    </row>
    <row r="4127" spans="1:6" ht="90" x14ac:dyDescent="0.25">
      <c r="A4127" s="8" t="s">
        <v>63</v>
      </c>
      <c r="B4127" s="8" t="s">
        <v>76</v>
      </c>
      <c r="C4127" s="8" t="str">
        <f>IFERROR(_xlfn.XLOOKUP(TRIM(B4127),Lookup!$B$2:$B$1000,Lookup!$C$2:$C$1000),"")</f>
        <v>Equity - Large &amp; Mid Cap (BSE 200 oriented)</v>
      </c>
      <c r="D4127" s="8" t="str">
        <f>IFERROR(INDEX('nav master'!$C:$C, MATCH(B4127, 'nav master'!$B:$B, 0)), "")</f>
        <v>ULIF 027 12/01/09 ITT 110</v>
      </c>
      <c r="E4127" s="8">
        <v>186.55250000000001</v>
      </c>
      <c r="F4127" s="9">
        <v>46204</v>
      </c>
    </row>
    <row r="4128" spans="1:6" ht="90" x14ac:dyDescent="0.25">
      <c r="A4128" s="8" t="s">
        <v>63</v>
      </c>
      <c r="B4128" s="8" t="s">
        <v>76</v>
      </c>
      <c r="C4128" s="8" t="str">
        <f>IFERROR(_xlfn.XLOOKUP(TRIM(B4128),Lookup!$B$2:$B$1000,Lookup!$C$2:$C$1000),"")</f>
        <v>Equity - Large &amp; Mid Cap (BSE 200 oriented)</v>
      </c>
      <c r="D4128" s="8" t="str">
        <f>IFERROR(INDEX('nav master'!$C:$C, MATCH(B4128, 'nav master'!$B:$B, 0)), "")</f>
        <v>ULIF 027 12/01/09 ITT 110</v>
      </c>
      <c r="E4128" s="8">
        <v>187.61150000000001</v>
      </c>
      <c r="F4128" s="9">
        <v>46205</v>
      </c>
    </row>
    <row r="4129" spans="1:6" ht="90" x14ac:dyDescent="0.25">
      <c r="A4129" s="8" t="s">
        <v>63</v>
      </c>
      <c r="B4129" s="8" t="s">
        <v>76</v>
      </c>
      <c r="C4129" s="8" t="str">
        <f>IFERROR(_xlfn.XLOOKUP(TRIM(B4129),Lookup!$B$2:$B$1000,Lookup!$C$2:$C$1000),"")</f>
        <v>Equity - Large &amp; Mid Cap (BSE 200 oriented)</v>
      </c>
      <c r="D4129" s="8" t="str">
        <f>IFERROR(INDEX('nav master'!$C:$C, MATCH(B4129, 'nav master'!$B:$B, 0)), "")</f>
        <v>ULIF 027 12/01/09 ITT 110</v>
      </c>
      <c r="E4129" s="8">
        <v>187.6969</v>
      </c>
      <c r="F4129" s="9">
        <v>46206</v>
      </c>
    </row>
    <row r="4130" spans="1:6" ht="90" x14ac:dyDescent="0.25">
      <c r="A4130" s="8" t="s">
        <v>63</v>
      </c>
      <c r="B4130" s="8" t="s">
        <v>76</v>
      </c>
      <c r="C4130" s="8" t="str">
        <f>IFERROR(_xlfn.XLOOKUP(TRIM(B4130),Lookup!$B$2:$B$1000,Lookup!$C$2:$C$1000),"")</f>
        <v>Equity - Large &amp; Mid Cap (BSE 200 oriented)</v>
      </c>
      <c r="D4130" s="8" t="str">
        <f>IFERROR(INDEX('nav master'!$C:$C, MATCH(B4130, 'nav master'!$B:$B, 0)), "")</f>
        <v>ULIF 027 12/01/09 ITT 110</v>
      </c>
      <c r="E4130" s="8">
        <v>188.42699999999999</v>
      </c>
      <c r="F4130" s="9">
        <v>46209</v>
      </c>
    </row>
    <row r="4131" spans="1:6" ht="90" x14ac:dyDescent="0.25">
      <c r="A4131" s="8" t="s">
        <v>63</v>
      </c>
      <c r="B4131" s="8" t="s">
        <v>76</v>
      </c>
      <c r="C4131" s="8" t="str">
        <f>IFERROR(_xlfn.XLOOKUP(TRIM(B4131),Lookup!$B$2:$B$1000,Lookup!$C$2:$C$1000),"")</f>
        <v>Equity - Large &amp; Mid Cap (BSE 200 oriented)</v>
      </c>
      <c r="D4131" s="8" t="str">
        <f>IFERROR(INDEX('nav master'!$C:$C, MATCH(B4131, 'nav master'!$B:$B, 0)), "")</f>
        <v>ULIF 027 12/01/09 ITT 110</v>
      </c>
      <c r="E4131" s="8">
        <v>187.6653</v>
      </c>
      <c r="F4131" s="9">
        <v>46210</v>
      </c>
    </row>
    <row r="4132" spans="1:6" ht="90" x14ac:dyDescent="0.25">
      <c r="A4132" s="8" t="s">
        <v>63</v>
      </c>
      <c r="B4132" s="8" t="s">
        <v>76</v>
      </c>
      <c r="C4132" s="8" t="str">
        <f>IFERROR(_xlfn.XLOOKUP(TRIM(B4132),Lookup!$B$2:$B$1000,Lookup!$C$2:$C$1000),"")</f>
        <v>Equity - Large &amp; Mid Cap (BSE 200 oriented)</v>
      </c>
      <c r="D4132" s="8" t="str">
        <f>IFERROR(INDEX('nav master'!$C:$C, MATCH(B4132, 'nav master'!$B:$B, 0)), "")</f>
        <v>ULIF 027 12/01/09 ITT 110</v>
      </c>
      <c r="E4132" s="8">
        <v>184.65450000000001</v>
      </c>
      <c r="F4132" s="9">
        <v>46211</v>
      </c>
    </row>
    <row r="4133" spans="1:6" ht="90" x14ac:dyDescent="0.25">
      <c r="A4133" s="8" t="s">
        <v>63</v>
      </c>
      <c r="B4133" s="8" t="s">
        <v>76</v>
      </c>
      <c r="C4133" s="8" t="str">
        <f>IFERROR(_xlfn.XLOOKUP(TRIM(B4133),Lookup!$B$2:$B$1000,Lookup!$C$2:$C$1000),"")</f>
        <v>Equity - Large &amp; Mid Cap (BSE 200 oriented)</v>
      </c>
      <c r="D4133" s="8" t="str">
        <f>IFERROR(INDEX('nav master'!$C:$C, MATCH(B4133, 'nav master'!$B:$B, 0)), "")</f>
        <v>ULIF 027 12/01/09 ITT 110</v>
      </c>
      <c r="E4133" s="8">
        <v>186.84389999999999</v>
      </c>
      <c r="F4133" s="9">
        <v>46212</v>
      </c>
    </row>
    <row r="4134" spans="1:6" ht="90" x14ac:dyDescent="0.25">
      <c r="A4134" s="8" t="s">
        <v>63</v>
      </c>
      <c r="B4134" s="8" t="s">
        <v>76</v>
      </c>
      <c r="C4134" s="8" t="str">
        <f>IFERROR(_xlfn.XLOOKUP(TRIM(B4134),Lookup!$B$2:$B$1000,Lookup!$C$2:$C$1000),"")</f>
        <v>Equity - Large &amp; Mid Cap (BSE 200 oriented)</v>
      </c>
      <c r="D4134" s="8" t="str">
        <f>IFERROR(INDEX('nav master'!$C:$C, MATCH(B4134, 'nav master'!$B:$B, 0)), "")</f>
        <v>ULIF 027 12/01/09 ITT 110</v>
      </c>
      <c r="E4134" s="8">
        <v>188.69479999999999</v>
      </c>
      <c r="F4134" s="9">
        <v>46213</v>
      </c>
    </row>
    <row r="4135" spans="1:6" ht="90" x14ac:dyDescent="0.25">
      <c r="A4135" s="8" t="s">
        <v>63</v>
      </c>
      <c r="B4135" s="8" t="s">
        <v>76</v>
      </c>
      <c r="C4135" s="8" t="str">
        <f>IFERROR(_xlfn.XLOOKUP(TRIM(B4135),Lookup!$B$2:$B$1000,Lookup!$C$2:$C$1000),"")</f>
        <v>Equity - Large &amp; Mid Cap (BSE 200 oriented)</v>
      </c>
      <c r="D4135" s="8" t="str">
        <f>IFERROR(INDEX('nav master'!$C:$C, MATCH(B4135, 'nav master'!$B:$B, 0)), "")</f>
        <v>ULIF 027 12/01/09 ITT 110</v>
      </c>
      <c r="E4135" s="8">
        <v>188.96360000000001</v>
      </c>
      <c r="F4135" s="9">
        <v>46216</v>
      </c>
    </row>
    <row r="4136" spans="1:6" ht="90" x14ac:dyDescent="0.25">
      <c r="A4136" s="8" t="s">
        <v>63</v>
      </c>
      <c r="B4136" s="8" t="s">
        <v>76</v>
      </c>
      <c r="C4136" s="8" t="str">
        <f>IFERROR(_xlfn.XLOOKUP(TRIM(B4136),Lookup!$B$2:$B$1000,Lookup!$C$2:$C$1000),"")</f>
        <v>Equity - Large &amp; Mid Cap (BSE 200 oriented)</v>
      </c>
      <c r="D4136" s="8" t="str">
        <f>IFERROR(INDEX('nav master'!$C:$C, MATCH(B4136, 'nav master'!$B:$B, 0)), "")</f>
        <v>ULIF 027 12/01/09 ITT 110</v>
      </c>
      <c r="E4136" s="8">
        <v>188.16980000000001</v>
      </c>
      <c r="F4136" s="9">
        <v>46217</v>
      </c>
    </row>
    <row r="4137" spans="1:6" ht="90" x14ac:dyDescent="0.25">
      <c r="A4137" s="8" t="s">
        <v>63</v>
      </c>
      <c r="B4137" s="8" t="s">
        <v>76</v>
      </c>
      <c r="C4137" s="8" t="str">
        <f>IFERROR(_xlfn.XLOOKUP(TRIM(B4137),Lookup!$B$2:$B$1000,Lookup!$C$2:$C$1000),"")</f>
        <v>Equity - Large &amp; Mid Cap (BSE 200 oriented)</v>
      </c>
      <c r="D4137" s="8" t="str">
        <f>IFERROR(INDEX('nav master'!$C:$C, MATCH(B4137, 'nav master'!$B:$B, 0)), "")</f>
        <v>ULIF 027 12/01/09 ITT 110</v>
      </c>
      <c r="E4137" s="8">
        <v>188.94409999999999</v>
      </c>
      <c r="F4137" s="9">
        <v>46218</v>
      </c>
    </row>
    <row r="4138" spans="1:6" ht="90" x14ac:dyDescent="0.25">
      <c r="A4138" s="8" t="s">
        <v>63</v>
      </c>
      <c r="B4138" s="8" t="s">
        <v>76</v>
      </c>
      <c r="C4138" s="8" t="str">
        <f>IFERROR(_xlfn.XLOOKUP(TRIM(B4138),Lookup!$B$2:$B$1000,Lookup!$C$2:$C$1000),"")</f>
        <v>Equity - Large &amp; Mid Cap (BSE 200 oriented)</v>
      </c>
      <c r="D4138" s="8" t="str">
        <f>IFERROR(INDEX('nav master'!$C:$C, MATCH(B4138, 'nav master'!$B:$B, 0)), "")</f>
        <v>ULIF 027 12/01/09 ITT 110</v>
      </c>
      <c r="E4138" s="8">
        <v>189.07509999999999</v>
      </c>
      <c r="F4138" s="9">
        <v>46219</v>
      </c>
    </row>
    <row r="4139" spans="1:6" ht="90" x14ac:dyDescent="0.25">
      <c r="A4139" s="8" t="s">
        <v>63</v>
      </c>
      <c r="B4139" s="8" t="s">
        <v>76</v>
      </c>
      <c r="C4139" s="8" t="str">
        <f>IFERROR(_xlfn.XLOOKUP(TRIM(B4139),Lookup!$B$2:$B$1000,Lookup!$C$2:$C$1000),"")</f>
        <v>Equity - Large &amp; Mid Cap (BSE 200 oriented)</v>
      </c>
      <c r="D4139" s="8" t="str">
        <f>IFERROR(INDEX('nav master'!$C:$C, MATCH(B4139, 'nav master'!$B:$B, 0)), "")</f>
        <v>ULIF 027 12/01/09 ITT 110</v>
      </c>
      <c r="E4139" s="8">
        <v>189.2765</v>
      </c>
      <c r="F4139" s="9">
        <v>46220</v>
      </c>
    </row>
    <row r="4140" spans="1:6" ht="90" x14ac:dyDescent="0.25">
      <c r="A4140" s="8" t="s">
        <v>63</v>
      </c>
      <c r="B4140" s="8" t="s">
        <v>76</v>
      </c>
      <c r="C4140" s="8" t="str">
        <f>IFERROR(_xlfn.XLOOKUP(TRIM(B4140),Lookup!$B$2:$B$1000,Lookup!$C$2:$C$1000),"")</f>
        <v>Equity - Large &amp; Mid Cap (BSE 200 oriented)</v>
      </c>
      <c r="D4140" s="8" t="str">
        <f>IFERROR(INDEX('nav master'!$C:$C, MATCH(B4140, 'nav master'!$B:$B, 0)), "")</f>
        <v>ULIF 027 12/01/09 ITT 110</v>
      </c>
      <c r="E4140" s="8">
        <v>189.60079999999999</v>
      </c>
      <c r="F4140" s="9">
        <v>46223</v>
      </c>
    </row>
    <row r="4141" spans="1:6" ht="90" x14ac:dyDescent="0.25">
      <c r="A4141" s="8" t="s">
        <v>63</v>
      </c>
      <c r="B4141" s="8" t="s">
        <v>76</v>
      </c>
      <c r="C4141" s="8" t="str">
        <f>IFERROR(_xlfn.XLOOKUP(TRIM(B4141),Lookup!$B$2:$B$1000,Lookup!$C$2:$C$1000),"")</f>
        <v>Equity - Large &amp; Mid Cap (BSE 200 oriented)</v>
      </c>
      <c r="D4141" s="8" t="str">
        <f>IFERROR(INDEX('nav master'!$C:$C, MATCH(B4141, 'nav master'!$B:$B, 0)), "")</f>
        <v>ULIF 027 12/01/09 ITT 110</v>
      </c>
      <c r="E4141" s="8">
        <v>190.0395</v>
      </c>
      <c r="F4141" s="9">
        <v>46224</v>
      </c>
    </row>
    <row r="4142" spans="1:6" ht="90" x14ac:dyDescent="0.25">
      <c r="A4142" s="8" t="s">
        <v>63</v>
      </c>
      <c r="B4142" s="8" t="s">
        <v>76</v>
      </c>
      <c r="C4142" s="8" t="str">
        <f>IFERROR(_xlfn.XLOOKUP(TRIM(B4142),Lookup!$B$2:$B$1000,Lookup!$C$2:$C$1000),"")</f>
        <v>Equity - Large &amp; Mid Cap (BSE 200 oriented)</v>
      </c>
      <c r="D4142" s="8" t="str">
        <f>IFERROR(INDEX('nav master'!$C:$C, MATCH(B4142, 'nav master'!$B:$B, 0)), "")</f>
        <v>ULIF 027 12/01/09 ITT 110</v>
      </c>
      <c r="E4142" s="8">
        <v>188.1695</v>
      </c>
      <c r="F4142" s="9">
        <v>46225</v>
      </c>
    </row>
    <row r="4143" spans="1:6" ht="90" x14ac:dyDescent="0.25">
      <c r="A4143" s="8" t="s">
        <v>63</v>
      </c>
      <c r="B4143" s="8" t="s">
        <v>76</v>
      </c>
      <c r="C4143" s="8" t="str">
        <f>IFERROR(_xlfn.XLOOKUP(TRIM(B4143),Lookup!$B$2:$B$1000,Lookup!$C$2:$C$1000),"")</f>
        <v>Equity - Large &amp; Mid Cap (BSE 200 oriented)</v>
      </c>
      <c r="D4143" s="8" t="str">
        <f>IFERROR(INDEX('nav master'!$C:$C, MATCH(B4143, 'nav master'!$B:$B, 0)), "")</f>
        <v>ULIF 027 12/01/09 ITT 110</v>
      </c>
      <c r="E4143" s="8">
        <v>186.74549999999999</v>
      </c>
      <c r="F4143" s="9">
        <v>46226</v>
      </c>
    </row>
    <row r="4144" spans="1:6" ht="90" x14ac:dyDescent="0.25">
      <c r="A4144" s="8" t="s">
        <v>63</v>
      </c>
      <c r="B4144" s="8" t="s">
        <v>76</v>
      </c>
      <c r="C4144" s="8" t="str">
        <f>IFERROR(_xlfn.XLOOKUP(TRIM(B4144),Lookup!$B$2:$B$1000,Lookup!$C$2:$C$1000),"")</f>
        <v>Equity - Large &amp; Mid Cap (BSE 200 oriented)</v>
      </c>
      <c r="D4144" s="8" t="str">
        <f>IFERROR(INDEX('nav master'!$C:$C, MATCH(B4144, 'nav master'!$B:$B, 0)), "")</f>
        <v>ULIF 027 12/01/09 ITT 110</v>
      </c>
      <c r="E4144" s="8">
        <v>185.8888</v>
      </c>
      <c r="F4144" s="9">
        <v>46227</v>
      </c>
    </row>
    <row r="4145" spans="1:6" ht="90" x14ac:dyDescent="0.25">
      <c r="A4145" s="8" t="s">
        <v>63</v>
      </c>
      <c r="B4145" s="8" t="s">
        <v>76</v>
      </c>
      <c r="C4145" s="8" t="str">
        <f>IFERROR(_xlfn.XLOOKUP(TRIM(B4145),Lookup!$B$2:$B$1000,Lookup!$C$2:$C$1000),"")</f>
        <v>Equity - Large &amp; Mid Cap (BSE 200 oriented)</v>
      </c>
      <c r="D4145" s="8" t="str">
        <f>IFERROR(INDEX('nav master'!$C:$C, MATCH(B4145, 'nav master'!$B:$B, 0)), "")</f>
        <v>ULIF 027 12/01/09 ITT 110</v>
      </c>
      <c r="E4145" s="8">
        <v>188.0489</v>
      </c>
      <c r="F4145" s="9">
        <v>46230</v>
      </c>
    </row>
    <row r="4146" spans="1:6" ht="90" x14ac:dyDescent="0.25">
      <c r="A4146" s="8" t="s">
        <v>63</v>
      </c>
      <c r="B4146" s="8" t="s">
        <v>76</v>
      </c>
      <c r="C4146" s="8" t="str">
        <f>IFERROR(_xlfn.XLOOKUP(TRIM(B4146),Lookup!$B$2:$B$1000,Lookup!$C$2:$C$1000),"")</f>
        <v>Equity - Large &amp; Mid Cap (BSE 200 oriented)</v>
      </c>
      <c r="D4146" s="8" t="str">
        <f>IFERROR(INDEX('nav master'!$C:$C, MATCH(B4146, 'nav master'!$B:$B, 0)), "")</f>
        <v>ULIF 027 12/01/09 ITT 110</v>
      </c>
      <c r="E4146" s="8">
        <v>188.08</v>
      </c>
      <c r="F4146" s="9">
        <v>46231</v>
      </c>
    </row>
    <row r="4147" spans="1:6" ht="90" x14ac:dyDescent="0.25">
      <c r="A4147" s="8" t="s">
        <v>63</v>
      </c>
      <c r="B4147" s="8" t="s">
        <v>76</v>
      </c>
      <c r="C4147" s="8" t="str">
        <f>IFERROR(_xlfn.XLOOKUP(TRIM(B4147),Lookup!$B$2:$B$1000,Lookup!$C$2:$C$1000),"")</f>
        <v>Equity - Large &amp; Mid Cap (BSE 200 oriented)</v>
      </c>
      <c r="D4147" s="8" t="str">
        <f>IFERROR(INDEX('nav master'!$C:$C, MATCH(B4147, 'nav master'!$B:$B, 0)), "")</f>
        <v>ULIF 027 12/01/09 ITT 110</v>
      </c>
      <c r="E4147" s="8">
        <v>189.9991</v>
      </c>
      <c r="F4147" s="9">
        <v>46232</v>
      </c>
    </row>
    <row r="4148" spans="1:6" ht="90" x14ac:dyDescent="0.25">
      <c r="A4148" s="8" t="s">
        <v>63</v>
      </c>
      <c r="B4148" s="8" t="s">
        <v>76</v>
      </c>
      <c r="C4148" s="8" t="str">
        <f>IFERROR(_xlfn.XLOOKUP(TRIM(B4148),Lookup!$B$2:$B$1000,Lookup!$C$2:$C$1000),"")</f>
        <v>Equity - Large &amp; Mid Cap (BSE 200 oriented)</v>
      </c>
      <c r="D4148" s="8" t="str">
        <f>IFERROR(INDEX('nav master'!$C:$C, MATCH(B4148, 'nav master'!$B:$B, 0)), "")</f>
        <v>ULIF 027 12/01/09 ITT 110</v>
      </c>
      <c r="E4148" s="8">
        <v>189.84530000000001</v>
      </c>
      <c r="F4148" s="9">
        <v>46233</v>
      </c>
    </row>
    <row r="4149" spans="1:6" ht="90" x14ac:dyDescent="0.25">
      <c r="A4149" s="8" t="s">
        <v>63</v>
      </c>
      <c r="B4149" s="8" t="s">
        <v>76</v>
      </c>
      <c r="C4149" s="8" t="str">
        <f>IFERROR(_xlfn.XLOOKUP(TRIM(B4149),Lookup!$B$2:$B$1000,Lookup!$C$2:$C$1000),"")</f>
        <v>Equity - Large &amp; Mid Cap (BSE 200 oriented)</v>
      </c>
      <c r="D4149" s="8" t="str">
        <f>IFERROR(INDEX('nav master'!$C:$C, MATCH(B4149, 'nav master'!$B:$B, 0)), "")</f>
        <v>ULIF 027 12/01/09 ITT 110</v>
      </c>
      <c r="E4149" s="8">
        <v>190.4838</v>
      </c>
      <c r="F4149" s="9">
        <v>46234</v>
      </c>
    </row>
    <row r="4150" spans="1:6" ht="90" x14ac:dyDescent="0.25">
      <c r="A4150" s="8" t="s">
        <v>63</v>
      </c>
      <c r="B4150" s="11" t="s">
        <v>77</v>
      </c>
      <c r="C4150" s="8" t="str">
        <f>IFERROR(_xlfn.XLOOKUP(TRIM(B4150),Lookup!$B$2:$B$1000,Lookup!$C$2:$C$1000),"")</f>
        <v>Equity - Large Cap (Nifty 50 oriented)</v>
      </c>
      <c r="D4150" s="8" t="str">
        <f>IFERROR(INDEX('nav master'!$C:$C, MATCH(B4150, 'nav master'!$B:$B, 0)), "")</f>
        <v>ULIF026 12/01/09 ITF 110</v>
      </c>
      <c r="E4150" s="8">
        <v>95.816000000000003</v>
      </c>
      <c r="F4150" s="9">
        <v>45869</v>
      </c>
    </row>
    <row r="4151" spans="1:6" ht="90" x14ac:dyDescent="0.25">
      <c r="A4151" s="8" t="s">
        <v>63</v>
      </c>
      <c r="B4151" s="11" t="s">
        <v>77</v>
      </c>
      <c r="C4151" s="8" t="str">
        <f>IFERROR(_xlfn.XLOOKUP(TRIM(B4151),Lookup!$B$2:$B$1000,Lookup!$C$2:$C$1000),"")</f>
        <v>Equity - Large Cap (Nifty 50 oriented)</v>
      </c>
      <c r="D4151" s="8" t="str">
        <f>IFERROR(INDEX('nav master'!$C:$C, MATCH(B4151, 'nav master'!$B:$B, 0)), "")</f>
        <v>ULIF026 12/01/09 ITF 110</v>
      </c>
      <c r="E4151" s="8">
        <v>94.825800000000001</v>
      </c>
      <c r="F4151" s="9">
        <v>45870</v>
      </c>
    </row>
    <row r="4152" spans="1:6" ht="90" x14ac:dyDescent="0.25">
      <c r="A4152" s="8" t="s">
        <v>63</v>
      </c>
      <c r="B4152" s="11" t="s">
        <v>77</v>
      </c>
      <c r="C4152" s="8" t="str">
        <f>IFERROR(_xlfn.XLOOKUP(TRIM(B4152),Lookup!$B$2:$B$1000,Lookup!$C$2:$C$1000),"")</f>
        <v>Equity - Large Cap (Nifty 50 oriented)</v>
      </c>
      <c r="D4152" s="8" t="str">
        <f>IFERROR(INDEX('nav master'!$C:$C, MATCH(B4152, 'nav master'!$B:$B, 0)), "")</f>
        <v>ULIF026 12/01/09 ITF 110</v>
      </c>
      <c r="E4152" s="8">
        <v>95.421800000000005</v>
      </c>
      <c r="F4152" s="9">
        <v>45873</v>
      </c>
    </row>
    <row r="4153" spans="1:6" ht="90" x14ac:dyDescent="0.25">
      <c r="A4153" s="8" t="s">
        <v>63</v>
      </c>
      <c r="B4153" s="11" t="s">
        <v>77</v>
      </c>
      <c r="C4153" s="8" t="str">
        <f>IFERROR(_xlfn.XLOOKUP(TRIM(B4153),Lookup!$B$2:$B$1000,Lookup!$C$2:$C$1000),"")</f>
        <v>Equity - Large Cap (Nifty 50 oriented)</v>
      </c>
      <c r="D4153" s="8" t="str">
        <f>IFERROR(INDEX('nav master'!$C:$C, MATCH(B4153, 'nav master'!$B:$B, 0)), "")</f>
        <v>ULIF026 12/01/09 ITF 110</v>
      </c>
      <c r="E4153" s="8">
        <v>95.026700000000005</v>
      </c>
      <c r="F4153" s="9">
        <v>45874</v>
      </c>
    </row>
    <row r="4154" spans="1:6" ht="90" x14ac:dyDescent="0.25">
      <c r="A4154" s="8" t="s">
        <v>63</v>
      </c>
      <c r="B4154" s="11" t="s">
        <v>77</v>
      </c>
      <c r="C4154" s="8" t="str">
        <f>IFERROR(_xlfn.XLOOKUP(TRIM(B4154),Lookup!$B$2:$B$1000,Lookup!$C$2:$C$1000),"")</f>
        <v>Equity - Large Cap (Nifty 50 oriented)</v>
      </c>
      <c r="D4154" s="8" t="str">
        <f>IFERROR(INDEX('nav master'!$C:$C, MATCH(B4154, 'nav master'!$B:$B, 0)), "")</f>
        <v>ULIF026 12/01/09 ITF 110</v>
      </c>
      <c r="E4154" s="8">
        <v>94.718800000000002</v>
      </c>
      <c r="F4154" s="9">
        <v>45875</v>
      </c>
    </row>
    <row r="4155" spans="1:6" ht="90" x14ac:dyDescent="0.25">
      <c r="A4155" s="8" t="s">
        <v>63</v>
      </c>
      <c r="B4155" s="11" t="s">
        <v>77</v>
      </c>
      <c r="C4155" s="8" t="str">
        <f>IFERROR(_xlfn.XLOOKUP(TRIM(B4155),Lookup!$B$2:$B$1000,Lookup!$C$2:$C$1000),"")</f>
        <v>Equity - Large Cap (Nifty 50 oriented)</v>
      </c>
      <c r="D4155" s="8" t="str">
        <f>IFERROR(INDEX('nav master'!$C:$C, MATCH(B4155, 'nav master'!$B:$B, 0)), "")</f>
        <v>ULIF026 12/01/09 ITF 110</v>
      </c>
      <c r="E4155" s="8">
        <v>94.882000000000005</v>
      </c>
      <c r="F4155" s="9">
        <v>45876</v>
      </c>
    </row>
    <row r="4156" spans="1:6" ht="90" x14ac:dyDescent="0.25">
      <c r="A4156" s="8" t="s">
        <v>63</v>
      </c>
      <c r="B4156" s="11" t="s">
        <v>77</v>
      </c>
      <c r="C4156" s="8" t="str">
        <f>IFERROR(_xlfn.XLOOKUP(TRIM(B4156),Lookup!$B$2:$B$1000,Lookup!$C$2:$C$1000),"")</f>
        <v>Equity - Large Cap (Nifty 50 oriented)</v>
      </c>
      <c r="D4156" s="8" t="str">
        <f>IFERROR(INDEX('nav master'!$C:$C, MATCH(B4156, 'nav master'!$B:$B, 0)), "")</f>
        <v>ULIF026 12/01/09 ITF 110</v>
      </c>
      <c r="E4156" s="8">
        <v>93.884600000000006</v>
      </c>
      <c r="F4156" s="9">
        <v>45877</v>
      </c>
    </row>
    <row r="4157" spans="1:6" ht="90" x14ac:dyDescent="0.25">
      <c r="A4157" s="8" t="s">
        <v>63</v>
      </c>
      <c r="B4157" s="11" t="s">
        <v>77</v>
      </c>
      <c r="C4157" s="8" t="str">
        <f>IFERROR(_xlfn.XLOOKUP(TRIM(B4157),Lookup!$B$2:$B$1000,Lookup!$C$2:$C$1000),"")</f>
        <v>Equity - Large Cap (Nifty 50 oriented)</v>
      </c>
      <c r="D4157" s="8" t="str">
        <f>IFERROR(INDEX('nav master'!$C:$C, MATCH(B4157, 'nav master'!$B:$B, 0)), "")</f>
        <v>ULIF026 12/01/09 ITF 110</v>
      </c>
      <c r="E4157" s="8">
        <v>94.862200000000001</v>
      </c>
      <c r="F4157" s="9">
        <v>45880</v>
      </c>
    </row>
    <row r="4158" spans="1:6" ht="90" x14ac:dyDescent="0.25">
      <c r="A4158" s="8" t="s">
        <v>63</v>
      </c>
      <c r="B4158" s="11" t="s">
        <v>77</v>
      </c>
      <c r="C4158" s="8" t="str">
        <f>IFERROR(_xlfn.XLOOKUP(TRIM(B4158),Lookup!$B$2:$B$1000,Lookup!$C$2:$C$1000),"")</f>
        <v>Equity - Large Cap (Nifty 50 oriented)</v>
      </c>
      <c r="D4158" s="8" t="str">
        <f>IFERROR(INDEX('nav master'!$C:$C, MATCH(B4158, 'nav master'!$B:$B, 0)), "")</f>
        <v>ULIF026 12/01/09 ITF 110</v>
      </c>
      <c r="E4158" s="8">
        <v>94.880600000000001</v>
      </c>
      <c r="F4158" s="9">
        <v>45881</v>
      </c>
    </row>
    <row r="4159" spans="1:6" ht="90" x14ac:dyDescent="0.25">
      <c r="A4159" s="8" t="s">
        <v>63</v>
      </c>
      <c r="B4159" s="11" t="s">
        <v>77</v>
      </c>
      <c r="C4159" s="8" t="str">
        <f>IFERROR(_xlfn.XLOOKUP(TRIM(B4159),Lookup!$B$2:$B$1000,Lookup!$C$2:$C$1000),"")</f>
        <v>Equity - Large Cap (Nifty 50 oriented)</v>
      </c>
      <c r="D4159" s="8" t="str">
        <f>IFERROR(INDEX('nav master'!$C:$C, MATCH(B4159, 'nav master'!$B:$B, 0)), "")</f>
        <v>ULIF026 12/01/09 ITF 110</v>
      </c>
      <c r="E4159" s="8">
        <v>95.510800000000003</v>
      </c>
      <c r="F4159" s="9">
        <v>45882</v>
      </c>
    </row>
    <row r="4160" spans="1:6" ht="90" x14ac:dyDescent="0.25">
      <c r="A4160" s="8" t="s">
        <v>63</v>
      </c>
      <c r="B4160" s="11" t="s">
        <v>77</v>
      </c>
      <c r="C4160" s="8" t="str">
        <f>IFERROR(_xlfn.XLOOKUP(TRIM(B4160),Lookup!$B$2:$B$1000,Lookup!$C$2:$C$1000),"")</f>
        <v>Equity - Large Cap (Nifty 50 oriented)</v>
      </c>
      <c r="D4160" s="8" t="str">
        <f>IFERROR(INDEX('nav master'!$C:$C, MATCH(B4160, 'nav master'!$B:$B, 0)), "")</f>
        <v>ULIF026 12/01/09 ITF 110</v>
      </c>
      <c r="E4160" s="8">
        <v>95.582700000000003</v>
      </c>
      <c r="F4160" s="9">
        <v>45883</v>
      </c>
    </row>
    <row r="4161" spans="1:6" ht="90" x14ac:dyDescent="0.25">
      <c r="A4161" s="8" t="s">
        <v>63</v>
      </c>
      <c r="B4161" s="11" t="s">
        <v>77</v>
      </c>
      <c r="C4161" s="8" t="str">
        <f>IFERROR(_xlfn.XLOOKUP(TRIM(B4161),Lookup!$B$2:$B$1000,Lookup!$C$2:$C$1000),"")</f>
        <v>Equity - Large Cap (Nifty 50 oriented)</v>
      </c>
      <c r="D4161" s="8" t="str">
        <f>IFERROR(INDEX('nav master'!$C:$C, MATCH(B4161, 'nav master'!$B:$B, 0)), "")</f>
        <v>ULIF026 12/01/09 ITF 110</v>
      </c>
      <c r="E4161" s="8">
        <v>96.317899999999995</v>
      </c>
      <c r="F4161" s="9">
        <v>45887</v>
      </c>
    </row>
    <row r="4162" spans="1:6" ht="90" x14ac:dyDescent="0.25">
      <c r="A4162" s="8" t="s">
        <v>63</v>
      </c>
      <c r="B4162" s="11" t="s">
        <v>77</v>
      </c>
      <c r="C4162" s="8" t="str">
        <f>IFERROR(_xlfn.XLOOKUP(TRIM(B4162),Lookup!$B$2:$B$1000,Lookup!$C$2:$C$1000),"")</f>
        <v>Equity - Large Cap (Nifty 50 oriented)</v>
      </c>
      <c r="D4162" s="8" t="str">
        <f>IFERROR(INDEX('nav master'!$C:$C, MATCH(B4162, 'nav master'!$B:$B, 0)), "")</f>
        <v>ULIF026 12/01/09 ITF 110</v>
      </c>
      <c r="E4162" s="8">
        <v>96.794499999999999</v>
      </c>
      <c r="F4162" s="9">
        <v>45888</v>
      </c>
    </row>
    <row r="4163" spans="1:6" ht="90" x14ac:dyDescent="0.25">
      <c r="A4163" s="8" t="s">
        <v>63</v>
      </c>
      <c r="B4163" s="11" t="s">
        <v>77</v>
      </c>
      <c r="C4163" s="8" t="str">
        <f>IFERROR(_xlfn.XLOOKUP(TRIM(B4163),Lookup!$B$2:$B$1000,Lookup!$C$2:$C$1000),"")</f>
        <v>Equity - Large Cap (Nifty 50 oriented)</v>
      </c>
      <c r="D4163" s="8" t="str">
        <f>IFERROR(INDEX('nav master'!$C:$C, MATCH(B4163, 'nav master'!$B:$B, 0)), "")</f>
        <v>ULIF026 12/01/09 ITF 110</v>
      </c>
      <c r="E4163" s="8">
        <v>97.0535</v>
      </c>
      <c r="F4163" s="9">
        <v>45889</v>
      </c>
    </row>
    <row r="4164" spans="1:6" ht="90" x14ac:dyDescent="0.25">
      <c r="A4164" s="8" t="s">
        <v>63</v>
      </c>
      <c r="B4164" s="11" t="s">
        <v>77</v>
      </c>
      <c r="C4164" s="8" t="str">
        <f>IFERROR(_xlfn.XLOOKUP(TRIM(B4164),Lookup!$B$2:$B$1000,Lookup!$C$2:$C$1000),"")</f>
        <v>Equity - Large Cap (Nifty 50 oriented)</v>
      </c>
      <c r="D4164" s="8" t="str">
        <f>IFERROR(INDEX('nav master'!$C:$C, MATCH(B4164, 'nav master'!$B:$B, 0)), "")</f>
        <v>ULIF026 12/01/09 ITF 110</v>
      </c>
      <c r="E4164" s="8">
        <v>97.024699999999996</v>
      </c>
      <c r="F4164" s="9">
        <v>45890</v>
      </c>
    </row>
    <row r="4165" spans="1:6" ht="90" x14ac:dyDescent="0.25">
      <c r="A4165" s="8" t="s">
        <v>63</v>
      </c>
      <c r="B4165" s="11" t="s">
        <v>77</v>
      </c>
      <c r="C4165" s="8" t="str">
        <f>IFERROR(_xlfn.XLOOKUP(TRIM(B4165),Lookup!$B$2:$B$1000,Lookup!$C$2:$C$1000),"")</f>
        <v>Equity - Large Cap (Nifty 50 oriented)</v>
      </c>
      <c r="D4165" s="8" t="str">
        <f>IFERROR(INDEX('nav master'!$C:$C, MATCH(B4165, 'nav master'!$B:$B, 0)), "")</f>
        <v>ULIF026 12/01/09 ITF 110</v>
      </c>
      <c r="E4165" s="8">
        <v>96.461399999999998</v>
      </c>
      <c r="F4165" s="9">
        <v>45891</v>
      </c>
    </row>
    <row r="4166" spans="1:6" ht="90" x14ac:dyDescent="0.25">
      <c r="A4166" s="8" t="s">
        <v>63</v>
      </c>
      <c r="B4166" s="11" t="s">
        <v>77</v>
      </c>
      <c r="C4166" s="8" t="str">
        <f>IFERROR(_xlfn.XLOOKUP(TRIM(B4166),Lookup!$B$2:$B$1000,Lookup!$C$2:$C$1000),"")</f>
        <v>Equity - Large Cap (Nifty 50 oriented)</v>
      </c>
      <c r="D4166" s="8" t="str">
        <f>IFERROR(INDEX('nav master'!$C:$C, MATCH(B4166, 'nav master'!$B:$B, 0)), "")</f>
        <v>ULIF026 12/01/09 ITF 110</v>
      </c>
      <c r="E4166" s="8">
        <v>96.631500000000003</v>
      </c>
      <c r="F4166" s="9">
        <v>45894</v>
      </c>
    </row>
    <row r="4167" spans="1:6" ht="90" x14ac:dyDescent="0.25">
      <c r="A4167" s="8" t="s">
        <v>63</v>
      </c>
      <c r="B4167" s="11" t="s">
        <v>77</v>
      </c>
      <c r="C4167" s="8" t="str">
        <f>IFERROR(_xlfn.XLOOKUP(TRIM(B4167),Lookup!$B$2:$B$1000,Lookup!$C$2:$C$1000),"")</f>
        <v>Equity - Large Cap (Nifty 50 oriented)</v>
      </c>
      <c r="D4167" s="8" t="str">
        <f>IFERROR(INDEX('nav master'!$C:$C, MATCH(B4167, 'nav master'!$B:$B, 0)), "")</f>
        <v>ULIF026 12/01/09 ITF 110</v>
      </c>
      <c r="E4167" s="8">
        <v>95.274699999999996</v>
      </c>
      <c r="F4167" s="9">
        <v>45895</v>
      </c>
    </row>
    <row r="4168" spans="1:6" ht="90" x14ac:dyDescent="0.25">
      <c r="A4168" s="8" t="s">
        <v>63</v>
      </c>
      <c r="B4168" s="11" t="s">
        <v>77</v>
      </c>
      <c r="C4168" s="8" t="str">
        <f>IFERROR(_xlfn.XLOOKUP(TRIM(B4168),Lookup!$B$2:$B$1000,Lookup!$C$2:$C$1000),"")</f>
        <v>Equity - Large Cap (Nifty 50 oriented)</v>
      </c>
      <c r="D4168" s="8" t="str">
        <f>IFERROR(INDEX('nav master'!$C:$C, MATCH(B4168, 'nav master'!$B:$B, 0)), "")</f>
        <v>ULIF026 12/01/09 ITF 110</v>
      </c>
      <c r="E4168" s="8">
        <v>94.219300000000004</v>
      </c>
      <c r="F4168" s="9">
        <v>45897</v>
      </c>
    </row>
    <row r="4169" spans="1:6" ht="90" x14ac:dyDescent="0.25">
      <c r="A4169" s="8" t="s">
        <v>63</v>
      </c>
      <c r="B4169" s="11" t="s">
        <v>77</v>
      </c>
      <c r="C4169" s="8" t="str">
        <f>IFERROR(_xlfn.XLOOKUP(TRIM(B4169),Lookup!$B$2:$B$1000,Lookup!$C$2:$C$1000),"")</f>
        <v>Equity - Large Cap (Nifty 50 oriented)</v>
      </c>
      <c r="D4169" s="8" t="str">
        <f>IFERROR(INDEX('nav master'!$C:$C, MATCH(B4169, 'nav master'!$B:$B, 0)), "")</f>
        <v>ULIF026 12/01/09 ITF 110</v>
      </c>
      <c r="E4169" s="8">
        <v>93.618399999999994</v>
      </c>
      <c r="F4169" s="9">
        <v>45898</v>
      </c>
    </row>
    <row r="4170" spans="1:6" ht="90" x14ac:dyDescent="0.25">
      <c r="A4170" s="8" t="s">
        <v>63</v>
      </c>
      <c r="B4170" s="11" t="s">
        <v>77</v>
      </c>
      <c r="C4170" s="8" t="str">
        <f>IFERROR(_xlfn.XLOOKUP(TRIM(B4170),Lookup!$B$2:$B$1000,Lookup!$C$2:$C$1000),"")</f>
        <v>Equity - Large Cap (Nifty 50 oriented)</v>
      </c>
      <c r="D4170" s="8" t="str">
        <f>IFERROR(INDEX('nav master'!$C:$C, MATCH(B4170, 'nav master'!$B:$B, 0)), "")</f>
        <v>ULIF026 12/01/09 ITF 110</v>
      </c>
      <c r="E4170" s="8">
        <v>94.569900000000004</v>
      </c>
      <c r="F4170" s="9">
        <v>45901</v>
      </c>
    </row>
    <row r="4171" spans="1:6" ht="90" x14ac:dyDescent="0.25">
      <c r="A4171" s="8" t="s">
        <v>63</v>
      </c>
      <c r="B4171" s="11" t="s">
        <v>77</v>
      </c>
      <c r="C4171" s="8" t="str">
        <f>IFERROR(_xlfn.XLOOKUP(TRIM(B4171),Lookup!$B$2:$B$1000,Lookup!$C$2:$C$1000),"")</f>
        <v>Equity - Large Cap (Nifty 50 oriented)</v>
      </c>
      <c r="D4171" s="8" t="str">
        <f>IFERROR(INDEX('nav master'!$C:$C, MATCH(B4171, 'nav master'!$B:$B, 0)), "")</f>
        <v>ULIF026 12/01/09 ITF 110</v>
      </c>
      <c r="E4171" s="8">
        <v>94.367999999999995</v>
      </c>
      <c r="F4171" s="9">
        <v>45902</v>
      </c>
    </row>
    <row r="4172" spans="1:6" ht="90" x14ac:dyDescent="0.25">
      <c r="A4172" s="8" t="s">
        <v>63</v>
      </c>
      <c r="B4172" s="11" t="s">
        <v>77</v>
      </c>
      <c r="C4172" s="8" t="str">
        <f>IFERROR(_xlfn.XLOOKUP(TRIM(B4172),Lookup!$B$2:$B$1000,Lookup!$C$2:$C$1000),"")</f>
        <v>Equity - Large Cap (Nifty 50 oriented)</v>
      </c>
      <c r="D4172" s="8" t="str">
        <f>IFERROR(INDEX('nav master'!$C:$C, MATCH(B4172, 'nav master'!$B:$B, 0)), "")</f>
        <v>ULIF026 12/01/09 ITF 110</v>
      </c>
      <c r="E4172" s="8">
        <v>94.928100000000001</v>
      </c>
      <c r="F4172" s="9">
        <v>45903</v>
      </c>
    </row>
    <row r="4173" spans="1:6" ht="90" x14ac:dyDescent="0.25">
      <c r="A4173" s="8" t="s">
        <v>63</v>
      </c>
      <c r="B4173" s="11" t="s">
        <v>77</v>
      </c>
      <c r="C4173" s="8" t="str">
        <f>IFERROR(_xlfn.XLOOKUP(TRIM(B4173),Lookup!$B$2:$B$1000,Lookup!$C$2:$C$1000),"")</f>
        <v>Equity - Large Cap (Nifty 50 oriented)</v>
      </c>
      <c r="D4173" s="8" t="str">
        <f>IFERROR(INDEX('nav master'!$C:$C, MATCH(B4173, 'nav master'!$B:$B, 0)), "")</f>
        <v>ULIF026 12/01/09 ITF 110</v>
      </c>
      <c r="E4173" s="8">
        <v>94.792699999999996</v>
      </c>
      <c r="F4173" s="9">
        <v>45904</v>
      </c>
    </row>
    <row r="4174" spans="1:6" ht="90" x14ac:dyDescent="0.25">
      <c r="A4174" s="8" t="s">
        <v>63</v>
      </c>
      <c r="B4174" s="11" t="s">
        <v>77</v>
      </c>
      <c r="C4174" s="8" t="str">
        <f>IFERROR(_xlfn.XLOOKUP(TRIM(B4174),Lookup!$B$2:$B$1000,Lookup!$C$2:$C$1000),"")</f>
        <v>Equity - Large Cap (Nifty 50 oriented)</v>
      </c>
      <c r="D4174" s="8" t="str">
        <f>IFERROR(INDEX('nav master'!$C:$C, MATCH(B4174, 'nav master'!$B:$B, 0)), "")</f>
        <v>ULIF026 12/01/09 ITF 110</v>
      </c>
      <c r="E4174" s="8">
        <v>94.741799999999998</v>
      </c>
      <c r="F4174" s="9">
        <v>45905</v>
      </c>
    </row>
    <row r="4175" spans="1:6" ht="90" x14ac:dyDescent="0.25">
      <c r="A4175" s="8" t="s">
        <v>63</v>
      </c>
      <c r="B4175" s="11" t="s">
        <v>77</v>
      </c>
      <c r="C4175" s="8" t="str">
        <f>IFERROR(_xlfn.XLOOKUP(TRIM(B4175),Lookup!$B$2:$B$1000,Lookup!$C$2:$C$1000),"")</f>
        <v>Equity - Large Cap (Nifty 50 oriented)</v>
      </c>
      <c r="D4175" s="8" t="str">
        <f>IFERROR(INDEX('nav master'!$C:$C, MATCH(B4175, 'nav master'!$B:$B, 0)), "")</f>
        <v>ULIF026 12/01/09 ITF 110</v>
      </c>
      <c r="E4175" s="8">
        <v>94.811999999999998</v>
      </c>
      <c r="F4175" s="9">
        <v>45908</v>
      </c>
    </row>
    <row r="4176" spans="1:6" ht="90" x14ac:dyDescent="0.25">
      <c r="A4176" s="8" t="s">
        <v>63</v>
      </c>
      <c r="B4176" s="11" t="s">
        <v>77</v>
      </c>
      <c r="C4176" s="8" t="str">
        <f>IFERROR(_xlfn.XLOOKUP(TRIM(B4176),Lookup!$B$2:$B$1000,Lookup!$C$2:$C$1000),"")</f>
        <v>Equity - Large Cap (Nifty 50 oriented)</v>
      </c>
      <c r="D4176" s="8" t="str">
        <f>IFERROR(INDEX('nav master'!$C:$C, MATCH(B4176, 'nav master'!$B:$B, 0)), "")</f>
        <v>ULIF026 12/01/09 ITF 110</v>
      </c>
      <c r="E4176" s="8">
        <v>94.882800000000003</v>
      </c>
      <c r="F4176" s="9">
        <v>45909</v>
      </c>
    </row>
    <row r="4177" spans="1:6" ht="90" x14ac:dyDescent="0.25">
      <c r="A4177" s="8" t="s">
        <v>63</v>
      </c>
      <c r="B4177" s="11" t="s">
        <v>77</v>
      </c>
      <c r="C4177" s="8" t="str">
        <f>IFERROR(_xlfn.XLOOKUP(TRIM(B4177),Lookup!$B$2:$B$1000,Lookup!$C$2:$C$1000),"")</f>
        <v>Equity - Large Cap (Nifty 50 oriented)</v>
      </c>
      <c r="D4177" s="8" t="str">
        <f>IFERROR(INDEX('nav master'!$C:$C, MATCH(B4177, 'nav master'!$B:$B, 0)), "")</f>
        <v>ULIF026 12/01/09 ITF 110</v>
      </c>
      <c r="E4177" s="8">
        <v>95.217799999999997</v>
      </c>
      <c r="F4177" s="9">
        <v>45910</v>
      </c>
    </row>
    <row r="4178" spans="1:6" ht="90" x14ac:dyDescent="0.25">
      <c r="A4178" s="8" t="s">
        <v>63</v>
      </c>
      <c r="B4178" s="11" t="s">
        <v>77</v>
      </c>
      <c r="C4178" s="8" t="str">
        <f>IFERROR(_xlfn.XLOOKUP(TRIM(B4178),Lookup!$B$2:$B$1000,Lookup!$C$2:$C$1000),"")</f>
        <v>Equity - Large Cap (Nifty 50 oriented)</v>
      </c>
      <c r="D4178" s="8" t="str">
        <f>IFERROR(INDEX('nav master'!$C:$C, MATCH(B4178, 'nav master'!$B:$B, 0)), "")</f>
        <v>ULIF026 12/01/09 ITF 110</v>
      </c>
      <c r="E4178" s="8">
        <v>95.244600000000005</v>
      </c>
      <c r="F4178" s="9">
        <v>45911</v>
      </c>
    </row>
    <row r="4179" spans="1:6" ht="90" x14ac:dyDescent="0.25">
      <c r="A4179" s="8" t="s">
        <v>63</v>
      </c>
      <c r="B4179" s="11" t="s">
        <v>77</v>
      </c>
      <c r="C4179" s="8" t="str">
        <f>IFERROR(_xlfn.XLOOKUP(TRIM(B4179),Lookup!$B$2:$B$1000,Lookup!$C$2:$C$1000),"")</f>
        <v>Equity - Large Cap (Nifty 50 oriented)</v>
      </c>
      <c r="D4179" s="8" t="str">
        <f>IFERROR(INDEX('nav master'!$C:$C, MATCH(B4179, 'nav master'!$B:$B, 0)), "")</f>
        <v>ULIF026 12/01/09 ITF 110</v>
      </c>
      <c r="E4179" s="8">
        <v>95.527799999999999</v>
      </c>
      <c r="F4179" s="9">
        <v>45912</v>
      </c>
    </row>
    <row r="4180" spans="1:6" ht="90" x14ac:dyDescent="0.25">
      <c r="A4180" s="8" t="s">
        <v>63</v>
      </c>
      <c r="B4180" s="11" t="s">
        <v>77</v>
      </c>
      <c r="C4180" s="8" t="str">
        <f>IFERROR(_xlfn.XLOOKUP(TRIM(B4180),Lookup!$B$2:$B$1000,Lookup!$C$2:$C$1000),"")</f>
        <v>Equity - Large Cap (Nifty 50 oriented)</v>
      </c>
      <c r="D4180" s="8" t="str">
        <f>IFERROR(INDEX('nav master'!$C:$C, MATCH(B4180, 'nav master'!$B:$B, 0)), "")</f>
        <v>ULIF026 12/01/09 ITF 110</v>
      </c>
      <c r="E4180" s="8">
        <v>95.433800000000005</v>
      </c>
      <c r="F4180" s="9">
        <v>45915</v>
      </c>
    </row>
    <row r="4181" spans="1:6" ht="90" x14ac:dyDescent="0.25">
      <c r="A4181" s="8" t="s">
        <v>63</v>
      </c>
      <c r="B4181" s="11" t="s">
        <v>77</v>
      </c>
      <c r="C4181" s="8" t="str">
        <f>IFERROR(_xlfn.XLOOKUP(TRIM(B4181),Lookup!$B$2:$B$1000,Lookup!$C$2:$C$1000),"")</f>
        <v>Equity - Large Cap (Nifty 50 oriented)</v>
      </c>
      <c r="D4181" s="8" t="str">
        <f>IFERROR(INDEX('nav master'!$C:$C, MATCH(B4181, 'nav master'!$B:$B, 0)), "")</f>
        <v>ULIF026 12/01/09 ITF 110</v>
      </c>
      <c r="E4181" s="8">
        <v>95.936400000000006</v>
      </c>
      <c r="F4181" s="9">
        <v>45916</v>
      </c>
    </row>
    <row r="4182" spans="1:6" ht="90" x14ac:dyDescent="0.25">
      <c r="A4182" s="8" t="s">
        <v>63</v>
      </c>
      <c r="B4182" s="11" t="s">
        <v>77</v>
      </c>
      <c r="C4182" s="8" t="str">
        <f>IFERROR(_xlfn.XLOOKUP(TRIM(B4182),Lookup!$B$2:$B$1000,Lookup!$C$2:$C$1000),"")</f>
        <v>Equity - Large Cap (Nifty 50 oriented)</v>
      </c>
      <c r="D4182" s="8" t="str">
        <f>IFERROR(INDEX('nav master'!$C:$C, MATCH(B4182, 'nav master'!$B:$B, 0)), "")</f>
        <v>ULIF026 12/01/09 ITF 110</v>
      </c>
      <c r="E4182" s="8">
        <v>96.313299999999998</v>
      </c>
      <c r="F4182" s="9">
        <v>45917</v>
      </c>
    </row>
    <row r="4183" spans="1:6" ht="90" x14ac:dyDescent="0.25">
      <c r="A4183" s="8" t="s">
        <v>63</v>
      </c>
      <c r="B4183" s="11" t="s">
        <v>77</v>
      </c>
      <c r="C4183" s="8" t="str">
        <f>IFERROR(_xlfn.XLOOKUP(TRIM(B4183),Lookup!$B$2:$B$1000,Lookup!$C$2:$C$1000),"")</f>
        <v>Equity - Large Cap (Nifty 50 oriented)</v>
      </c>
      <c r="D4183" s="8" t="str">
        <f>IFERROR(INDEX('nav master'!$C:$C, MATCH(B4183, 'nav master'!$B:$B, 0)), "")</f>
        <v>ULIF026 12/01/09 ITF 110</v>
      </c>
      <c r="E4183" s="8">
        <v>96.713499999999996</v>
      </c>
      <c r="F4183" s="9">
        <v>45918</v>
      </c>
    </row>
    <row r="4184" spans="1:6" ht="90" x14ac:dyDescent="0.25">
      <c r="A4184" s="8" t="s">
        <v>63</v>
      </c>
      <c r="B4184" s="11" t="s">
        <v>77</v>
      </c>
      <c r="C4184" s="8" t="str">
        <f>IFERROR(_xlfn.XLOOKUP(TRIM(B4184),Lookup!$B$2:$B$1000,Lookup!$C$2:$C$1000),"")</f>
        <v>Equity - Large Cap (Nifty 50 oriented)</v>
      </c>
      <c r="D4184" s="8" t="str">
        <f>IFERROR(INDEX('nav master'!$C:$C, MATCH(B4184, 'nav master'!$B:$B, 0)), "")</f>
        <v>ULIF026 12/01/09 ITF 110</v>
      </c>
      <c r="E4184" s="8">
        <v>96.317999999999998</v>
      </c>
      <c r="F4184" s="9">
        <v>45919</v>
      </c>
    </row>
    <row r="4185" spans="1:6" ht="90" x14ac:dyDescent="0.25">
      <c r="A4185" s="8" t="s">
        <v>63</v>
      </c>
      <c r="B4185" s="11" t="s">
        <v>77</v>
      </c>
      <c r="C4185" s="8" t="str">
        <f>IFERROR(_xlfn.XLOOKUP(TRIM(B4185),Lookup!$B$2:$B$1000,Lookup!$C$2:$C$1000),"")</f>
        <v>Equity - Large Cap (Nifty 50 oriented)</v>
      </c>
      <c r="D4185" s="8" t="str">
        <f>IFERROR(INDEX('nav master'!$C:$C, MATCH(B4185, 'nav master'!$B:$B, 0)), "")</f>
        <v>ULIF026 12/01/09 ITF 110</v>
      </c>
      <c r="E4185" s="8">
        <v>95.933000000000007</v>
      </c>
      <c r="F4185" s="9">
        <v>45922</v>
      </c>
    </row>
    <row r="4186" spans="1:6" ht="90" x14ac:dyDescent="0.25">
      <c r="A4186" s="8" t="s">
        <v>63</v>
      </c>
      <c r="B4186" s="11" t="s">
        <v>77</v>
      </c>
      <c r="C4186" s="8" t="str">
        <f>IFERROR(_xlfn.XLOOKUP(TRIM(B4186),Lookup!$B$2:$B$1000,Lookup!$C$2:$C$1000),"")</f>
        <v>Equity - Large Cap (Nifty 50 oriented)</v>
      </c>
      <c r="D4186" s="8" t="str">
        <f>IFERROR(INDEX('nav master'!$C:$C, MATCH(B4186, 'nav master'!$B:$B, 0)), "")</f>
        <v>ULIF026 12/01/09 ITF 110</v>
      </c>
      <c r="E4186" s="8">
        <v>95.697000000000003</v>
      </c>
      <c r="F4186" s="9">
        <v>45923</v>
      </c>
    </row>
    <row r="4187" spans="1:6" ht="90" x14ac:dyDescent="0.25">
      <c r="A4187" s="8" t="s">
        <v>63</v>
      </c>
      <c r="B4187" s="11" t="s">
        <v>77</v>
      </c>
      <c r="C4187" s="8" t="str">
        <f>IFERROR(_xlfn.XLOOKUP(TRIM(B4187),Lookup!$B$2:$B$1000,Lookup!$C$2:$C$1000),"")</f>
        <v>Equity - Large Cap (Nifty 50 oriented)</v>
      </c>
      <c r="D4187" s="8" t="str">
        <f>IFERROR(INDEX('nav master'!$C:$C, MATCH(B4187, 'nav master'!$B:$B, 0)), "")</f>
        <v>ULIF026 12/01/09 ITF 110</v>
      </c>
      <c r="E4187" s="8">
        <v>95.1203</v>
      </c>
      <c r="F4187" s="9">
        <v>45924</v>
      </c>
    </row>
    <row r="4188" spans="1:6" ht="90" x14ac:dyDescent="0.25">
      <c r="A4188" s="8" t="s">
        <v>63</v>
      </c>
      <c r="B4188" s="11" t="s">
        <v>77</v>
      </c>
      <c r="C4188" s="8" t="str">
        <f>IFERROR(_xlfn.XLOOKUP(TRIM(B4188),Lookup!$B$2:$B$1000,Lookup!$C$2:$C$1000),"")</f>
        <v>Equity - Large Cap (Nifty 50 oriented)</v>
      </c>
      <c r="D4188" s="8" t="str">
        <f>IFERROR(INDEX('nav master'!$C:$C, MATCH(B4188, 'nav master'!$B:$B, 0)), "")</f>
        <v>ULIF026 12/01/09 ITF 110</v>
      </c>
      <c r="E4188" s="8">
        <v>94.616500000000002</v>
      </c>
      <c r="F4188" s="9">
        <v>45925</v>
      </c>
    </row>
    <row r="4189" spans="1:6" ht="90" x14ac:dyDescent="0.25">
      <c r="A4189" s="8" t="s">
        <v>63</v>
      </c>
      <c r="B4189" s="11" t="s">
        <v>77</v>
      </c>
      <c r="C4189" s="8" t="str">
        <f>IFERROR(_xlfn.XLOOKUP(TRIM(B4189),Lookup!$B$2:$B$1000,Lookup!$C$2:$C$1000),"")</f>
        <v>Equity - Large Cap (Nifty 50 oriented)</v>
      </c>
      <c r="D4189" s="8" t="str">
        <f>IFERROR(INDEX('nav master'!$C:$C, MATCH(B4189, 'nav master'!$B:$B, 0)), "")</f>
        <v>ULIF026 12/01/09 ITF 110</v>
      </c>
      <c r="E4189" s="8">
        <v>93.593500000000006</v>
      </c>
      <c r="F4189" s="9">
        <v>45926</v>
      </c>
    </row>
    <row r="4190" spans="1:6" ht="90" x14ac:dyDescent="0.25">
      <c r="A4190" s="8" t="s">
        <v>63</v>
      </c>
      <c r="B4190" s="11" t="s">
        <v>77</v>
      </c>
      <c r="C4190" s="8" t="str">
        <f>IFERROR(_xlfn.XLOOKUP(TRIM(B4190),Lookup!$B$2:$B$1000,Lookup!$C$2:$C$1000),"")</f>
        <v>Equity - Large Cap (Nifty 50 oriented)</v>
      </c>
      <c r="D4190" s="8" t="str">
        <f>IFERROR(INDEX('nav master'!$C:$C, MATCH(B4190, 'nav master'!$B:$B, 0)), "")</f>
        <v>ULIF026 12/01/09 ITF 110</v>
      </c>
      <c r="E4190" s="8">
        <v>93.607500000000002</v>
      </c>
      <c r="F4190" s="9">
        <v>45929</v>
      </c>
    </row>
    <row r="4191" spans="1:6" ht="90" x14ac:dyDescent="0.25">
      <c r="A4191" s="8" t="s">
        <v>63</v>
      </c>
      <c r="B4191" s="11" t="s">
        <v>77</v>
      </c>
      <c r="C4191" s="8" t="str">
        <f>IFERROR(_xlfn.XLOOKUP(TRIM(B4191),Lookup!$B$2:$B$1000,Lookup!$C$2:$C$1000),"")</f>
        <v>Equity - Large Cap (Nifty 50 oriented)</v>
      </c>
      <c r="D4191" s="8" t="str">
        <f>IFERROR(INDEX('nav master'!$C:$C, MATCH(B4191, 'nav master'!$B:$B, 0)), "")</f>
        <v>ULIF026 12/01/09 ITF 110</v>
      </c>
      <c r="E4191" s="8">
        <v>93.4191</v>
      </c>
      <c r="F4191" s="9">
        <v>45930</v>
      </c>
    </row>
    <row r="4192" spans="1:6" ht="90" x14ac:dyDescent="0.25">
      <c r="A4192" s="8" t="s">
        <v>63</v>
      </c>
      <c r="B4192" s="11" t="s">
        <v>77</v>
      </c>
      <c r="C4192" s="8" t="str">
        <f>IFERROR(_xlfn.XLOOKUP(TRIM(B4192),Lookup!$B$2:$B$1000,Lookup!$C$2:$C$1000),"")</f>
        <v>Equity - Large Cap (Nifty 50 oriented)</v>
      </c>
      <c r="D4192" s="8" t="str">
        <f>IFERROR(INDEX('nav master'!$C:$C, MATCH(B4192, 'nav master'!$B:$B, 0)), "")</f>
        <v>ULIF026 12/01/09 ITF 110</v>
      </c>
      <c r="E4192" s="8">
        <v>94.273399999999995</v>
      </c>
      <c r="F4192" s="9">
        <v>45931</v>
      </c>
    </row>
    <row r="4193" spans="1:6" ht="90" x14ac:dyDescent="0.25">
      <c r="A4193" s="8" t="s">
        <v>63</v>
      </c>
      <c r="B4193" s="11" t="s">
        <v>77</v>
      </c>
      <c r="C4193" s="8" t="str">
        <f>IFERROR(_xlfn.XLOOKUP(TRIM(B4193),Lookup!$B$2:$B$1000,Lookup!$C$2:$C$1000),"")</f>
        <v>Equity - Large Cap (Nifty 50 oriented)</v>
      </c>
      <c r="D4193" s="8" t="str">
        <f>IFERROR(INDEX('nav master'!$C:$C, MATCH(B4193, 'nav master'!$B:$B, 0)), "")</f>
        <v>ULIF026 12/01/09 ITF 110</v>
      </c>
      <c r="E4193" s="8">
        <v>94.620699999999999</v>
      </c>
      <c r="F4193" s="9">
        <v>45933</v>
      </c>
    </row>
    <row r="4194" spans="1:6" ht="90" x14ac:dyDescent="0.25">
      <c r="A4194" s="8" t="s">
        <v>63</v>
      </c>
      <c r="B4194" s="11" t="s">
        <v>77</v>
      </c>
      <c r="C4194" s="8" t="str">
        <f>IFERROR(_xlfn.XLOOKUP(TRIM(B4194),Lookup!$B$2:$B$1000,Lookup!$C$2:$C$1000),"")</f>
        <v>Equity - Large Cap (Nifty 50 oriented)</v>
      </c>
      <c r="D4194" s="8" t="str">
        <f>IFERROR(INDEX('nav master'!$C:$C, MATCH(B4194, 'nav master'!$B:$B, 0)), "")</f>
        <v>ULIF026 12/01/09 ITF 110</v>
      </c>
      <c r="E4194" s="8">
        <v>95.361800000000002</v>
      </c>
      <c r="F4194" s="9">
        <v>45936</v>
      </c>
    </row>
    <row r="4195" spans="1:6" ht="90" x14ac:dyDescent="0.25">
      <c r="A4195" s="8" t="s">
        <v>63</v>
      </c>
      <c r="B4195" s="11" t="s">
        <v>77</v>
      </c>
      <c r="C4195" s="8" t="str">
        <f>IFERROR(_xlfn.XLOOKUP(TRIM(B4195),Lookup!$B$2:$B$1000,Lookup!$C$2:$C$1000),"")</f>
        <v>Equity - Large Cap (Nifty 50 oriented)</v>
      </c>
      <c r="D4195" s="8" t="str">
        <f>IFERROR(INDEX('nav master'!$C:$C, MATCH(B4195, 'nav master'!$B:$B, 0)), "")</f>
        <v>ULIF026 12/01/09 ITF 110</v>
      </c>
      <c r="E4195" s="8">
        <v>95.597999999999999</v>
      </c>
      <c r="F4195" s="9">
        <v>45937</v>
      </c>
    </row>
    <row r="4196" spans="1:6" ht="90" x14ac:dyDescent="0.25">
      <c r="A4196" s="8" t="s">
        <v>63</v>
      </c>
      <c r="B4196" s="11" t="s">
        <v>77</v>
      </c>
      <c r="C4196" s="8" t="str">
        <f>IFERROR(_xlfn.XLOOKUP(TRIM(B4196),Lookup!$B$2:$B$1000,Lookup!$C$2:$C$1000),"")</f>
        <v>Equity - Large Cap (Nifty 50 oriented)</v>
      </c>
      <c r="D4196" s="8" t="str">
        <f>IFERROR(INDEX('nav master'!$C:$C, MATCH(B4196, 'nav master'!$B:$B, 0)), "")</f>
        <v>ULIF026 12/01/09 ITF 110</v>
      </c>
      <c r="E4196" s="8">
        <v>95.294200000000004</v>
      </c>
      <c r="F4196" s="9">
        <v>45938</v>
      </c>
    </row>
    <row r="4197" spans="1:6" ht="90" x14ac:dyDescent="0.25">
      <c r="A4197" s="8" t="s">
        <v>63</v>
      </c>
      <c r="B4197" s="11" t="s">
        <v>77</v>
      </c>
      <c r="C4197" s="8" t="str">
        <f>IFERROR(_xlfn.XLOOKUP(TRIM(B4197),Lookup!$B$2:$B$1000,Lookup!$C$2:$C$1000),"")</f>
        <v>Equity - Large Cap (Nifty 50 oriented)</v>
      </c>
      <c r="D4197" s="8" t="str">
        <f>IFERROR(INDEX('nav master'!$C:$C, MATCH(B4197, 'nav master'!$B:$B, 0)), "")</f>
        <v>ULIF026 12/01/09 ITF 110</v>
      </c>
      <c r="E4197" s="8">
        <v>95.950900000000004</v>
      </c>
      <c r="F4197" s="9">
        <v>45939</v>
      </c>
    </row>
    <row r="4198" spans="1:6" ht="90" x14ac:dyDescent="0.25">
      <c r="A4198" s="8" t="s">
        <v>63</v>
      </c>
      <c r="B4198" s="11" t="s">
        <v>77</v>
      </c>
      <c r="C4198" s="8" t="str">
        <f>IFERROR(_xlfn.XLOOKUP(TRIM(B4198),Lookup!$B$2:$B$1000,Lookup!$C$2:$C$1000),"")</f>
        <v>Equity - Large Cap (Nifty 50 oriented)</v>
      </c>
      <c r="D4198" s="8" t="str">
        <f>IFERROR(INDEX('nav master'!$C:$C, MATCH(B4198, 'nav master'!$B:$B, 0)), "")</f>
        <v>ULIF026 12/01/09 ITF 110</v>
      </c>
      <c r="E4198" s="8">
        <v>96.302499999999995</v>
      </c>
      <c r="F4198" s="9">
        <v>45940</v>
      </c>
    </row>
    <row r="4199" spans="1:6" ht="90" x14ac:dyDescent="0.25">
      <c r="A4199" s="8" t="s">
        <v>63</v>
      </c>
      <c r="B4199" s="11" t="s">
        <v>77</v>
      </c>
      <c r="C4199" s="8" t="str">
        <f>IFERROR(_xlfn.XLOOKUP(TRIM(B4199),Lookup!$B$2:$B$1000,Lookup!$C$2:$C$1000),"")</f>
        <v>Equity - Large Cap (Nifty 50 oriented)</v>
      </c>
      <c r="D4199" s="8" t="str">
        <f>IFERROR(INDEX('nav master'!$C:$C, MATCH(B4199, 'nav master'!$B:$B, 0)), "")</f>
        <v>ULIF026 12/01/09 ITF 110</v>
      </c>
      <c r="E4199" s="8">
        <v>96.320800000000006</v>
      </c>
      <c r="F4199" s="9">
        <v>45943</v>
      </c>
    </row>
    <row r="4200" spans="1:6" ht="90" x14ac:dyDescent="0.25">
      <c r="A4200" s="8" t="s">
        <v>63</v>
      </c>
      <c r="B4200" s="11" t="s">
        <v>77</v>
      </c>
      <c r="C4200" s="8" t="str">
        <f>IFERROR(_xlfn.XLOOKUP(TRIM(B4200),Lookup!$B$2:$B$1000,Lookup!$C$2:$C$1000),"")</f>
        <v>Equity - Large Cap (Nifty 50 oriented)</v>
      </c>
      <c r="D4200" s="8" t="str">
        <f>IFERROR(INDEX('nav master'!$C:$C, MATCH(B4200, 'nav master'!$B:$B, 0)), "")</f>
        <v>ULIF026 12/01/09 ITF 110</v>
      </c>
      <c r="E4200" s="8">
        <v>96.247399999999999</v>
      </c>
      <c r="F4200" s="9">
        <v>45944</v>
      </c>
    </row>
    <row r="4201" spans="1:6" ht="90" x14ac:dyDescent="0.25">
      <c r="A4201" s="8" t="s">
        <v>63</v>
      </c>
      <c r="B4201" s="11" t="s">
        <v>77</v>
      </c>
      <c r="C4201" s="8" t="str">
        <f>IFERROR(_xlfn.XLOOKUP(TRIM(B4201),Lookup!$B$2:$B$1000,Lookup!$C$2:$C$1000),"")</f>
        <v>Equity - Large Cap (Nifty 50 oriented)</v>
      </c>
      <c r="D4201" s="8" t="str">
        <f>IFERROR(INDEX('nav master'!$C:$C, MATCH(B4201, 'nav master'!$B:$B, 0)), "")</f>
        <v>ULIF026 12/01/09 ITF 110</v>
      </c>
      <c r="E4201" s="8">
        <v>96.822100000000006</v>
      </c>
      <c r="F4201" s="9">
        <v>45945</v>
      </c>
    </row>
    <row r="4202" spans="1:6" ht="90" x14ac:dyDescent="0.25">
      <c r="A4202" s="8" t="s">
        <v>63</v>
      </c>
      <c r="B4202" s="11" t="s">
        <v>77</v>
      </c>
      <c r="C4202" s="8" t="str">
        <f>IFERROR(_xlfn.XLOOKUP(TRIM(B4202),Lookup!$B$2:$B$1000,Lookup!$C$2:$C$1000),"")</f>
        <v>Equity - Large Cap (Nifty 50 oriented)</v>
      </c>
      <c r="D4202" s="8" t="str">
        <f>IFERROR(INDEX('nav master'!$C:$C, MATCH(B4202, 'nav master'!$B:$B, 0)), "")</f>
        <v>ULIF026 12/01/09 ITF 110</v>
      </c>
      <c r="E4202" s="8">
        <v>97.634799999999998</v>
      </c>
      <c r="F4202" s="9">
        <v>45946</v>
      </c>
    </row>
    <row r="4203" spans="1:6" ht="90" x14ac:dyDescent="0.25">
      <c r="A4203" s="8" t="s">
        <v>63</v>
      </c>
      <c r="B4203" s="11" t="s">
        <v>77</v>
      </c>
      <c r="C4203" s="8" t="str">
        <f>IFERROR(_xlfn.XLOOKUP(TRIM(B4203),Lookup!$B$2:$B$1000,Lookup!$C$2:$C$1000),"")</f>
        <v>Equity - Large Cap (Nifty 50 oriented)</v>
      </c>
      <c r="D4203" s="8" t="str">
        <f>IFERROR(INDEX('nav master'!$C:$C, MATCH(B4203, 'nav master'!$B:$B, 0)), "")</f>
        <v>ULIF026 12/01/09 ITF 110</v>
      </c>
      <c r="E4203" s="8">
        <v>98.129400000000004</v>
      </c>
      <c r="F4203" s="9">
        <v>45947</v>
      </c>
    </row>
    <row r="4204" spans="1:6" ht="90" x14ac:dyDescent="0.25">
      <c r="A4204" s="8" t="s">
        <v>63</v>
      </c>
      <c r="B4204" s="11" t="s">
        <v>77</v>
      </c>
      <c r="C4204" s="8" t="str">
        <f>IFERROR(_xlfn.XLOOKUP(TRIM(B4204),Lookup!$B$2:$B$1000,Lookup!$C$2:$C$1000),"")</f>
        <v>Equity - Large Cap (Nifty 50 oriented)</v>
      </c>
      <c r="D4204" s="8" t="str">
        <f>IFERROR(INDEX('nav master'!$C:$C, MATCH(B4204, 'nav master'!$B:$B, 0)), "")</f>
        <v>ULIF026 12/01/09 ITF 110</v>
      </c>
      <c r="E4204" s="8">
        <v>98.612099999999998</v>
      </c>
      <c r="F4204" s="9">
        <v>45950</v>
      </c>
    </row>
    <row r="4205" spans="1:6" ht="90" x14ac:dyDescent="0.25">
      <c r="A4205" s="8" t="s">
        <v>63</v>
      </c>
      <c r="B4205" s="11" t="s">
        <v>77</v>
      </c>
      <c r="C4205" s="8" t="str">
        <f>IFERROR(_xlfn.XLOOKUP(TRIM(B4205),Lookup!$B$2:$B$1000,Lookup!$C$2:$C$1000),"")</f>
        <v>Equity - Large Cap (Nifty 50 oriented)</v>
      </c>
      <c r="D4205" s="8" t="str">
        <f>IFERROR(INDEX('nav master'!$C:$C, MATCH(B4205, 'nav master'!$B:$B, 0)), "")</f>
        <v>ULIF026 12/01/09 ITF 110</v>
      </c>
      <c r="E4205" s="8">
        <v>98.514899999999997</v>
      </c>
      <c r="F4205" s="9">
        <v>45953</v>
      </c>
    </row>
    <row r="4206" spans="1:6" ht="90" x14ac:dyDescent="0.25">
      <c r="A4206" s="8" t="s">
        <v>63</v>
      </c>
      <c r="B4206" s="11" t="s">
        <v>77</v>
      </c>
      <c r="C4206" s="8" t="str">
        <f>IFERROR(_xlfn.XLOOKUP(TRIM(B4206),Lookup!$B$2:$B$1000,Lookup!$C$2:$C$1000),"")</f>
        <v>Equity - Large Cap (Nifty 50 oriented)</v>
      </c>
      <c r="D4206" s="8" t="str">
        <f>IFERROR(INDEX('nav master'!$C:$C, MATCH(B4206, 'nav master'!$B:$B, 0)), "")</f>
        <v>ULIF026 12/01/09 ITF 110</v>
      </c>
      <c r="E4206" s="8">
        <v>98.028800000000004</v>
      </c>
      <c r="F4206" s="9">
        <v>45954</v>
      </c>
    </row>
    <row r="4207" spans="1:6" ht="90" x14ac:dyDescent="0.25">
      <c r="A4207" s="8" t="s">
        <v>63</v>
      </c>
      <c r="B4207" s="11" t="s">
        <v>77</v>
      </c>
      <c r="C4207" s="8" t="str">
        <f>IFERROR(_xlfn.XLOOKUP(TRIM(B4207),Lookup!$B$2:$B$1000,Lookup!$C$2:$C$1000),"")</f>
        <v>Equity - Large Cap (Nifty 50 oriented)</v>
      </c>
      <c r="D4207" s="8" t="str">
        <f>IFERROR(INDEX('nav master'!$C:$C, MATCH(B4207, 'nav master'!$B:$B, 0)), "")</f>
        <v>ULIF026 12/01/09 ITF 110</v>
      </c>
      <c r="E4207" s="8">
        <v>98.8232</v>
      </c>
      <c r="F4207" s="9">
        <v>45957</v>
      </c>
    </row>
    <row r="4208" spans="1:6" ht="90" x14ac:dyDescent="0.25">
      <c r="A4208" s="8" t="s">
        <v>63</v>
      </c>
      <c r="B4208" s="11" t="s">
        <v>77</v>
      </c>
      <c r="C4208" s="8" t="str">
        <f>IFERROR(_xlfn.XLOOKUP(TRIM(B4208),Lookup!$B$2:$B$1000,Lookup!$C$2:$C$1000),"")</f>
        <v>Equity - Large Cap (Nifty 50 oriented)</v>
      </c>
      <c r="D4208" s="8" t="str">
        <f>IFERROR(INDEX('nav master'!$C:$C, MATCH(B4208, 'nav master'!$B:$B, 0)), "")</f>
        <v>ULIF026 12/01/09 ITF 110</v>
      </c>
      <c r="E4208" s="8">
        <v>98.607299999999995</v>
      </c>
      <c r="F4208" s="9">
        <v>45958</v>
      </c>
    </row>
    <row r="4209" spans="1:6" ht="90" x14ac:dyDescent="0.25">
      <c r="A4209" s="8" t="s">
        <v>63</v>
      </c>
      <c r="B4209" s="11" t="s">
        <v>77</v>
      </c>
      <c r="C4209" s="8" t="str">
        <f>IFERROR(_xlfn.XLOOKUP(TRIM(B4209),Lookup!$B$2:$B$1000,Lookup!$C$2:$C$1000),"")</f>
        <v>Equity - Large Cap (Nifty 50 oriented)</v>
      </c>
      <c r="D4209" s="8" t="str">
        <f>IFERROR(INDEX('nav master'!$C:$C, MATCH(B4209, 'nav master'!$B:$B, 0)), "")</f>
        <v>ULIF026 12/01/09 ITF 110</v>
      </c>
      <c r="E4209" s="8">
        <v>99.260999999999996</v>
      </c>
      <c r="F4209" s="9">
        <v>45959</v>
      </c>
    </row>
    <row r="4210" spans="1:6" ht="90" x14ac:dyDescent="0.25">
      <c r="A4210" s="8" t="s">
        <v>63</v>
      </c>
      <c r="B4210" s="11" t="s">
        <v>77</v>
      </c>
      <c r="C4210" s="8" t="str">
        <f>IFERROR(_xlfn.XLOOKUP(TRIM(B4210),Lookup!$B$2:$B$1000,Lookup!$C$2:$C$1000),"")</f>
        <v>Equity - Large Cap (Nifty 50 oriented)</v>
      </c>
      <c r="D4210" s="8" t="str">
        <f>IFERROR(INDEX('nav master'!$C:$C, MATCH(B4210, 'nav master'!$B:$B, 0)), "")</f>
        <v>ULIF026 12/01/09 ITF 110</v>
      </c>
      <c r="E4210" s="8">
        <v>98.686999999999998</v>
      </c>
      <c r="F4210" s="9">
        <v>45960</v>
      </c>
    </row>
    <row r="4211" spans="1:6" ht="90" x14ac:dyDescent="0.25">
      <c r="A4211" s="8" t="s">
        <v>63</v>
      </c>
      <c r="B4211" s="11" t="s">
        <v>77</v>
      </c>
      <c r="C4211" s="8" t="str">
        <f>IFERROR(_xlfn.XLOOKUP(TRIM(B4211),Lookup!$B$2:$B$1000,Lookup!$C$2:$C$1000),"")</f>
        <v>Equity - Large Cap (Nifty 50 oriented)</v>
      </c>
      <c r="D4211" s="8" t="str">
        <f>IFERROR(INDEX('nav master'!$C:$C, MATCH(B4211, 'nav master'!$B:$B, 0)), "")</f>
        <v>ULIF026 12/01/09 ITF 110</v>
      </c>
      <c r="E4211" s="8">
        <v>97.9983</v>
      </c>
      <c r="F4211" s="9">
        <v>45961</v>
      </c>
    </row>
    <row r="4212" spans="1:6" ht="90" x14ac:dyDescent="0.25">
      <c r="A4212" s="8" t="s">
        <v>63</v>
      </c>
      <c r="B4212" s="11" t="s">
        <v>77</v>
      </c>
      <c r="C4212" s="8" t="str">
        <f>IFERROR(_xlfn.XLOOKUP(TRIM(B4212),Lookup!$B$2:$B$1000,Lookup!$C$2:$C$1000),"")</f>
        <v>Equity - Large Cap (Nifty 50 oriented)</v>
      </c>
      <c r="D4212" s="8" t="str">
        <f>IFERROR(INDEX('nav master'!$C:$C, MATCH(B4212, 'nav master'!$B:$B, 0)), "")</f>
        <v>ULIF026 12/01/09 ITF 110</v>
      </c>
      <c r="E4212" s="8">
        <v>98.535799999999995</v>
      </c>
      <c r="F4212" s="9">
        <v>45964</v>
      </c>
    </row>
    <row r="4213" spans="1:6" ht="90" x14ac:dyDescent="0.25">
      <c r="A4213" s="8" t="s">
        <v>63</v>
      </c>
      <c r="B4213" s="11" t="s">
        <v>77</v>
      </c>
      <c r="C4213" s="8" t="str">
        <f>IFERROR(_xlfn.XLOOKUP(TRIM(B4213),Lookup!$B$2:$B$1000,Lookup!$C$2:$C$1000),"")</f>
        <v>Equity - Large Cap (Nifty 50 oriented)</v>
      </c>
      <c r="D4213" s="8" t="str">
        <f>IFERROR(INDEX('nav master'!$C:$C, MATCH(B4213, 'nav master'!$B:$B, 0)), "")</f>
        <v>ULIF026 12/01/09 ITF 110</v>
      </c>
      <c r="E4213" s="8">
        <v>98.159700000000001</v>
      </c>
      <c r="F4213" s="9">
        <v>45965</v>
      </c>
    </row>
    <row r="4214" spans="1:6" ht="90" x14ac:dyDescent="0.25">
      <c r="A4214" s="8" t="s">
        <v>63</v>
      </c>
      <c r="B4214" s="11" t="s">
        <v>77</v>
      </c>
      <c r="C4214" s="8" t="str">
        <f>IFERROR(_xlfn.XLOOKUP(TRIM(B4214),Lookup!$B$2:$B$1000,Lookup!$C$2:$C$1000),"")</f>
        <v>Equity - Large Cap (Nifty 50 oriented)</v>
      </c>
      <c r="D4214" s="8" t="str">
        <f>IFERROR(INDEX('nav master'!$C:$C, MATCH(B4214, 'nav master'!$B:$B, 0)), "")</f>
        <v>ULIF026 12/01/09 ITF 110</v>
      </c>
      <c r="E4214" s="8">
        <v>97.986500000000007</v>
      </c>
      <c r="F4214" s="9">
        <v>45967</v>
      </c>
    </row>
    <row r="4215" spans="1:6" ht="90" x14ac:dyDescent="0.25">
      <c r="A4215" s="8" t="s">
        <v>63</v>
      </c>
      <c r="B4215" s="11" t="s">
        <v>77</v>
      </c>
      <c r="C4215" s="8" t="str">
        <f>IFERROR(_xlfn.XLOOKUP(TRIM(B4215),Lookup!$B$2:$B$1000,Lookup!$C$2:$C$1000),"")</f>
        <v>Equity - Large Cap (Nifty 50 oriented)</v>
      </c>
      <c r="D4215" s="8" t="str">
        <f>IFERROR(INDEX('nav master'!$C:$C, MATCH(B4215, 'nav master'!$B:$B, 0)), "")</f>
        <v>ULIF026 12/01/09 ITF 110</v>
      </c>
      <c r="E4215" s="8">
        <v>97.814999999999998</v>
      </c>
      <c r="F4215" s="9">
        <v>45968</v>
      </c>
    </row>
    <row r="4216" spans="1:6" ht="90" x14ac:dyDescent="0.25">
      <c r="A4216" s="8" t="s">
        <v>63</v>
      </c>
      <c r="B4216" s="11" t="s">
        <v>77</v>
      </c>
      <c r="C4216" s="8" t="str">
        <f>IFERROR(_xlfn.XLOOKUP(TRIM(B4216),Lookup!$B$2:$B$1000,Lookup!$C$2:$C$1000),"")</f>
        <v>Equity - Large Cap (Nifty 50 oriented)</v>
      </c>
      <c r="D4216" s="8" t="str">
        <f>IFERROR(INDEX('nav master'!$C:$C, MATCH(B4216, 'nav master'!$B:$B, 0)), "")</f>
        <v>ULIF026 12/01/09 ITF 110</v>
      </c>
      <c r="E4216" s="8">
        <v>98.112399999999994</v>
      </c>
      <c r="F4216" s="9">
        <v>45971</v>
      </c>
    </row>
    <row r="4217" spans="1:6" ht="90" x14ac:dyDescent="0.25">
      <c r="A4217" s="8" t="s">
        <v>63</v>
      </c>
      <c r="B4217" s="11" t="s">
        <v>77</v>
      </c>
      <c r="C4217" s="8" t="str">
        <f>IFERROR(_xlfn.XLOOKUP(TRIM(B4217),Lookup!$B$2:$B$1000,Lookup!$C$2:$C$1000),"")</f>
        <v>Equity - Large Cap (Nifty 50 oriented)</v>
      </c>
      <c r="D4217" s="8" t="str">
        <f>IFERROR(INDEX('nav master'!$C:$C, MATCH(B4217, 'nav master'!$B:$B, 0)), "")</f>
        <v>ULIF026 12/01/09 ITF 110</v>
      </c>
      <c r="E4217" s="8">
        <v>98.784999999999997</v>
      </c>
      <c r="F4217" s="9">
        <v>45972</v>
      </c>
    </row>
    <row r="4218" spans="1:6" ht="90" x14ac:dyDescent="0.25">
      <c r="A4218" s="8" t="s">
        <v>63</v>
      </c>
      <c r="B4218" s="11" t="s">
        <v>77</v>
      </c>
      <c r="C4218" s="8" t="str">
        <f>IFERROR(_xlfn.XLOOKUP(TRIM(B4218),Lookup!$B$2:$B$1000,Lookup!$C$2:$C$1000),"")</f>
        <v>Equity - Large Cap (Nifty 50 oriented)</v>
      </c>
      <c r="D4218" s="8" t="str">
        <f>IFERROR(INDEX('nav master'!$C:$C, MATCH(B4218, 'nav master'!$B:$B, 0)), "")</f>
        <v>ULIF026 12/01/09 ITF 110</v>
      </c>
      <c r="E4218" s="8">
        <v>99.159899999999993</v>
      </c>
      <c r="F4218" s="9">
        <v>45973</v>
      </c>
    </row>
    <row r="4219" spans="1:6" ht="90" x14ac:dyDescent="0.25">
      <c r="A4219" s="8" t="s">
        <v>63</v>
      </c>
      <c r="B4219" s="11" t="s">
        <v>77</v>
      </c>
      <c r="C4219" s="8" t="str">
        <f>IFERROR(_xlfn.XLOOKUP(TRIM(B4219),Lookup!$B$2:$B$1000,Lookup!$C$2:$C$1000),"")</f>
        <v>Equity - Large Cap (Nifty 50 oriented)</v>
      </c>
      <c r="D4219" s="8" t="str">
        <f>IFERROR(INDEX('nav master'!$C:$C, MATCH(B4219, 'nav master'!$B:$B, 0)), "")</f>
        <v>ULIF026 12/01/09 ITF 110</v>
      </c>
      <c r="E4219" s="8">
        <v>99.278300000000002</v>
      </c>
      <c r="F4219" s="9">
        <v>45974</v>
      </c>
    </row>
    <row r="4220" spans="1:6" ht="90" x14ac:dyDescent="0.25">
      <c r="A4220" s="8" t="s">
        <v>63</v>
      </c>
      <c r="B4220" s="11" t="s">
        <v>77</v>
      </c>
      <c r="C4220" s="8" t="str">
        <f>IFERROR(_xlfn.XLOOKUP(TRIM(B4220),Lookup!$B$2:$B$1000,Lookup!$C$2:$C$1000),"")</f>
        <v>Equity - Large Cap (Nifty 50 oriented)</v>
      </c>
      <c r="D4220" s="8" t="str">
        <f>IFERROR(INDEX('nav master'!$C:$C, MATCH(B4220, 'nav master'!$B:$B, 0)), "")</f>
        <v>ULIF026 12/01/09 ITF 110</v>
      </c>
      <c r="E4220" s="8">
        <v>99.268000000000001</v>
      </c>
      <c r="F4220" s="9">
        <v>45975</v>
      </c>
    </row>
    <row r="4221" spans="1:6" ht="90" x14ac:dyDescent="0.25">
      <c r="A4221" s="8" t="s">
        <v>63</v>
      </c>
      <c r="B4221" s="11" t="s">
        <v>77</v>
      </c>
      <c r="C4221" s="8" t="str">
        <f>IFERROR(_xlfn.XLOOKUP(TRIM(B4221),Lookup!$B$2:$B$1000,Lookup!$C$2:$C$1000),"")</f>
        <v>Equity - Large Cap (Nifty 50 oriented)</v>
      </c>
      <c r="D4221" s="8" t="str">
        <f>IFERROR(INDEX('nav master'!$C:$C, MATCH(B4221, 'nav master'!$B:$B, 0)), "")</f>
        <v>ULIF026 12/01/09 ITF 110</v>
      </c>
      <c r="E4221" s="8">
        <v>99.751800000000003</v>
      </c>
      <c r="F4221" s="9">
        <v>45978</v>
      </c>
    </row>
    <row r="4222" spans="1:6" ht="90" x14ac:dyDescent="0.25">
      <c r="A4222" s="8" t="s">
        <v>63</v>
      </c>
      <c r="B4222" s="11" t="s">
        <v>77</v>
      </c>
      <c r="C4222" s="8" t="str">
        <f>IFERROR(_xlfn.XLOOKUP(TRIM(B4222),Lookup!$B$2:$B$1000,Lookup!$C$2:$C$1000),"")</f>
        <v>Equity - Large Cap (Nifty 50 oriented)</v>
      </c>
      <c r="D4222" s="8" t="str">
        <f>IFERROR(INDEX('nav master'!$C:$C, MATCH(B4222, 'nav master'!$B:$B, 0)), "")</f>
        <v>ULIF026 12/01/09 ITF 110</v>
      </c>
      <c r="E4222" s="8">
        <v>99.301900000000003</v>
      </c>
      <c r="F4222" s="9">
        <v>45979</v>
      </c>
    </row>
    <row r="4223" spans="1:6" ht="90" x14ac:dyDescent="0.25">
      <c r="A4223" s="8" t="s">
        <v>63</v>
      </c>
      <c r="B4223" s="11" t="s">
        <v>77</v>
      </c>
      <c r="C4223" s="8" t="str">
        <f>IFERROR(_xlfn.XLOOKUP(TRIM(B4223),Lookup!$B$2:$B$1000,Lookup!$C$2:$C$1000),"")</f>
        <v>Equity - Large Cap (Nifty 50 oriented)</v>
      </c>
      <c r="D4223" s="8" t="str">
        <f>IFERROR(INDEX('nav master'!$C:$C, MATCH(B4223, 'nav master'!$B:$B, 0)), "")</f>
        <v>ULIF026 12/01/09 ITF 110</v>
      </c>
      <c r="E4223" s="8">
        <v>99.636399999999995</v>
      </c>
      <c r="F4223" s="9">
        <v>45980</v>
      </c>
    </row>
    <row r="4224" spans="1:6" ht="90" x14ac:dyDescent="0.25">
      <c r="A4224" s="8" t="s">
        <v>63</v>
      </c>
      <c r="B4224" s="11" t="s">
        <v>77</v>
      </c>
      <c r="C4224" s="8" t="str">
        <f>IFERROR(_xlfn.XLOOKUP(TRIM(B4224),Lookup!$B$2:$B$1000,Lookup!$C$2:$C$1000),"")</f>
        <v>Equity - Large Cap (Nifty 50 oriented)</v>
      </c>
      <c r="D4224" s="8" t="str">
        <f>IFERROR(INDEX('nav master'!$C:$C, MATCH(B4224, 'nav master'!$B:$B, 0)), "")</f>
        <v>ULIF026 12/01/09 ITF 110</v>
      </c>
      <c r="E4224" s="8">
        <v>100.0527</v>
      </c>
      <c r="F4224" s="9">
        <v>45981</v>
      </c>
    </row>
    <row r="4225" spans="1:6" ht="90" x14ac:dyDescent="0.25">
      <c r="A4225" s="8" t="s">
        <v>63</v>
      </c>
      <c r="B4225" s="11" t="s">
        <v>77</v>
      </c>
      <c r="C4225" s="8" t="str">
        <f>IFERROR(_xlfn.XLOOKUP(TRIM(B4225),Lookup!$B$2:$B$1000,Lookup!$C$2:$C$1000),"")</f>
        <v>Equity - Large Cap (Nifty 50 oriented)</v>
      </c>
      <c r="D4225" s="8" t="str">
        <f>IFERROR(INDEX('nav master'!$C:$C, MATCH(B4225, 'nav master'!$B:$B, 0)), "")</f>
        <v>ULIF026 12/01/09 ITF 110</v>
      </c>
      <c r="E4225" s="8">
        <v>99.558700000000002</v>
      </c>
      <c r="F4225" s="9">
        <v>45982</v>
      </c>
    </row>
    <row r="4226" spans="1:6" ht="90" x14ac:dyDescent="0.25">
      <c r="A4226" s="8" t="s">
        <v>63</v>
      </c>
      <c r="B4226" s="11" t="s">
        <v>77</v>
      </c>
      <c r="C4226" s="8" t="str">
        <f>IFERROR(_xlfn.XLOOKUP(TRIM(B4226),Lookup!$B$2:$B$1000,Lookup!$C$2:$C$1000),"")</f>
        <v>Equity - Large Cap (Nifty 50 oriented)</v>
      </c>
      <c r="D4226" s="8" t="str">
        <f>IFERROR(INDEX('nav master'!$C:$C, MATCH(B4226, 'nav master'!$B:$B, 0)), "")</f>
        <v>ULIF026 12/01/09 ITF 110</v>
      </c>
      <c r="E4226" s="8">
        <v>99.361000000000004</v>
      </c>
      <c r="F4226" s="9">
        <v>45985</v>
      </c>
    </row>
    <row r="4227" spans="1:6" ht="90" x14ac:dyDescent="0.25">
      <c r="A4227" s="8" t="s">
        <v>63</v>
      </c>
      <c r="B4227" s="11" t="s">
        <v>77</v>
      </c>
      <c r="C4227" s="8" t="str">
        <f>IFERROR(_xlfn.XLOOKUP(TRIM(B4227),Lookup!$B$2:$B$1000,Lookup!$C$2:$C$1000),"")</f>
        <v>Equity - Large Cap (Nifty 50 oriented)</v>
      </c>
      <c r="D4227" s="8" t="str">
        <f>IFERROR(INDEX('nav master'!$C:$C, MATCH(B4227, 'nav master'!$B:$B, 0)), "")</f>
        <v>ULIF026 12/01/09 ITF 110</v>
      </c>
      <c r="E4227" s="8">
        <v>99.165300000000002</v>
      </c>
      <c r="F4227" s="9">
        <v>45986</v>
      </c>
    </row>
    <row r="4228" spans="1:6" ht="90" x14ac:dyDescent="0.25">
      <c r="A4228" s="8" t="s">
        <v>63</v>
      </c>
      <c r="B4228" s="11" t="s">
        <v>77</v>
      </c>
      <c r="C4228" s="8" t="str">
        <f>IFERROR(_xlfn.XLOOKUP(TRIM(B4228),Lookup!$B$2:$B$1000,Lookup!$C$2:$C$1000),"")</f>
        <v>Equity - Large Cap (Nifty 50 oriented)</v>
      </c>
      <c r="D4228" s="8" t="str">
        <f>IFERROR(INDEX('nav master'!$C:$C, MATCH(B4228, 'nav master'!$B:$B, 0)), "")</f>
        <v>ULIF026 12/01/09 ITF 110</v>
      </c>
      <c r="E4228" s="8">
        <v>100.5733</v>
      </c>
      <c r="F4228" s="9">
        <v>45987</v>
      </c>
    </row>
    <row r="4229" spans="1:6" ht="90" x14ac:dyDescent="0.25">
      <c r="A4229" s="8" t="s">
        <v>63</v>
      </c>
      <c r="B4229" s="11" t="s">
        <v>77</v>
      </c>
      <c r="C4229" s="8" t="str">
        <f>IFERROR(_xlfn.XLOOKUP(TRIM(B4229),Lookup!$B$2:$B$1000,Lookup!$C$2:$C$1000),"")</f>
        <v>Equity - Large Cap (Nifty 50 oriented)</v>
      </c>
      <c r="D4229" s="8" t="str">
        <f>IFERROR(INDEX('nav master'!$C:$C, MATCH(B4229, 'nav master'!$B:$B, 0)), "")</f>
        <v>ULIF026 12/01/09 ITF 110</v>
      </c>
      <c r="E4229" s="8">
        <v>100.6079</v>
      </c>
      <c r="F4229" s="9">
        <v>45988</v>
      </c>
    </row>
    <row r="4230" spans="1:6" ht="90" x14ac:dyDescent="0.25">
      <c r="A4230" s="8" t="s">
        <v>63</v>
      </c>
      <c r="B4230" s="11" t="s">
        <v>77</v>
      </c>
      <c r="C4230" s="8" t="str">
        <f>IFERROR(_xlfn.XLOOKUP(TRIM(B4230),Lookup!$B$2:$B$1000,Lookup!$C$2:$C$1000),"")</f>
        <v>Equity - Large Cap (Nifty 50 oriented)</v>
      </c>
      <c r="D4230" s="8" t="str">
        <f>IFERROR(INDEX('nav master'!$C:$C, MATCH(B4230, 'nav master'!$B:$B, 0)), "")</f>
        <v>ULIF026 12/01/09 ITF 110</v>
      </c>
      <c r="E4230" s="8">
        <v>100.4988</v>
      </c>
      <c r="F4230" s="9">
        <v>45989</v>
      </c>
    </row>
    <row r="4231" spans="1:6" ht="90" x14ac:dyDescent="0.25">
      <c r="A4231" s="8" t="s">
        <v>63</v>
      </c>
      <c r="B4231" s="11" t="s">
        <v>77</v>
      </c>
      <c r="C4231" s="8" t="str">
        <f>IFERROR(_xlfn.XLOOKUP(TRIM(B4231),Lookup!$B$2:$B$1000,Lookup!$C$2:$C$1000),"")</f>
        <v>Equity - Large Cap (Nifty 50 oriented)</v>
      </c>
      <c r="D4231" s="8" t="str">
        <f>IFERROR(INDEX('nav master'!$C:$C, MATCH(B4231, 'nav master'!$B:$B, 0)), "")</f>
        <v>ULIF026 12/01/09 ITF 110</v>
      </c>
      <c r="E4231" s="8">
        <v>100.4328</v>
      </c>
      <c r="F4231" s="9">
        <v>45992</v>
      </c>
    </row>
    <row r="4232" spans="1:6" ht="90" x14ac:dyDescent="0.25">
      <c r="A4232" s="8" t="s">
        <v>63</v>
      </c>
      <c r="B4232" s="11" t="s">
        <v>77</v>
      </c>
      <c r="C4232" s="8" t="str">
        <f>IFERROR(_xlfn.XLOOKUP(TRIM(B4232),Lookup!$B$2:$B$1000,Lookup!$C$2:$C$1000),"")</f>
        <v>Equity - Large Cap (Nifty 50 oriented)</v>
      </c>
      <c r="D4232" s="8" t="str">
        <f>IFERROR(INDEX('nav master'!$C:$C, MATCH(B4232, 'nav master'!$B:$B, 0)), "")</f>
        <v>ULIF026 12/01/09 ITF 110</v>
      </c>
      <c r="E4232" s="8">
        <v>99.917299999999997</v>
      </c>
      <c r="F4232" s="9">
        <v>45993</v>
      </c>
    </row>
    <row r="4233" spans="1:6" ht="90" x14ac:dyDescent="0.25">
      <c r="A4233" s="8" t="s">
        <v>63</v>
      </c>
      <c r="B4233" s="11" t="s">
        <v>77</v>
      </c>
      <c r="C4233" s="8" t="str">
        <f>IFERROR(_xlfn.XLOOKUP(TRIM(B4233),Lookup!$B$2:$B$1000,Lookup!$C$2:$C$1000),"")</f>
        <v>Equity - Large Cap (Nifty 50 oriented)</v>
      </c>
      <c r="D4233" s="8" t="str">
        <f>IFERROR(INDEX('nav master'!$C:$C, MATCH(B4233, 'nav master'!$B:$B, 0)), "")</f>
        <v>ULIF026 12/01/09 ITF 110</v>
      </c>
      <c r="E4233" s="8">
        <v>99.595500000000001</v>
      </c>
      <c r="F4233" s="9">
        <v>45994</v>
      </c>
    </row>
    <row r="4234" spans="1:6" ht="90" x14ac:dyDescent="0.25">
      <c r="A4234" s="8" t="s">
        <v>63</v>
      </c>
      <c r="B4234" s="11" t="s">
        <v>77</v>
      </c>
      <c r="C4234" s="8" t="str">
        <f>IFERROR(_xlfn.XLOOKUP(TRIM(B4234),Lookup!$B$2:$B$1000,Lookup!$C$2:$C$1000),"")</f>
        <v>Equity - Large Cap (Nifty 50 oriented)</v>
      </c>
      <c r="D4234" s="8" t="str">
        <f>IFERROR(INDEX('nav master'!$C:$C, MATCH(B4234, 'nav master'!$B:$B, 0)), "")</f>
        <v>ULIF026 12/01/09 ITF 110</v>
      </c>
      <c r="E4234" s="8">
        <v>99.619699999999995</v>
      </c>
      <c r="F4234" s="9">
        <v>45995</v>
      </c>
    </row>
    <row r="4235" spans="1:6" ht="90" x14ac:dyDescent="0.25">
      <c r="A4235" s="8" t="s">
        <v>63</v>
      </c>
      <c r="B4235" s="11" t="s">
        <v>77</v>
      </c>
      <c r="C4235" s="8" t="str">
        <f>IFERROR(_xlfn.XLOOKUP(TRIM(B4235),Lookup!$B$2:$B$1000,Lookup!$C$2:$C$1000),"")</f>
        <v>Equity - Large Cap (Nifty 50 oriented)</v>
      </c>
      <c r="D4235" s="8" t="str">
        <f>IFERROR(INDEX('nav master'!$C:$C, MATCH(B4235, 'nav master'!$B:$B, 0)), "")</f>
        <v>ULIF026 12/01/09 ITF 110</v>
      </c>
      <c r="E4235" s="8">
        <v>100.1641</v>
      </c>
      <c r="F4235" s="9">
        <v>45996</v>
      </c>
    </row>
    <row r="4236" spans="1:6" ht="90" x14ac:dyDescent="0.25">
      <c r="A4236" s="8" t="s">
        <v>63</v>
      </c>
      <c r="B4236" s="11" t="s">
        <v>77</v>
      </c>
      <c r="C4236" s="8" t="str">
        <f>IFERROR(_xlfn.XLOOKUP(TRIM(B4236),Lookup!$B$2:$B$1000,Lookup!$C$2:$C$1000),"")</f>
        <v>Equity - Large Cap (Nifty 50 oriented)</v>
      </c>
      <c r="D4236" s="8" t="str">
        <f>IFERROR(INDEX('nav master'!$C:$C, MATCH(B4236, 'nav master'!$B:$B, 0)), "")</f>
        <v>ULIF026 12/01/09 ITF 110</v>
      </c>
      <c r="E4236" s="8">
        <v>99.213999999999999</v>
      </c>
      <c r="F4236" s="9">
        <v>45999</v>
      </c>
    </row>
    <row r="4237" spans="1:6" ht="90" x14ac:dyDescent="0.25">
      <c r="A4237" s="8" t="s">
        <v>63</v>
      </c>
      <c r="B4237" s="11" t="s">
        <v>77</v>
      </c>
      <c r="C4237" s="8" t="str">
        <f>IFERROR(_xlfn.XLOOKUP(TRIM(B4237),Lookup!$B$2:$B$1000,Lookup!$C$2:$C$1000),"")</f>
        <v>Equity - Large Cap (Nifty 50 oriented)</v>
      </c>
      <c r="D4237" s="8" t="str">
        <f>IFERROR(INDEX('nav master'!$C:$C, MATCH(B4237, 'nav master'!$B:$B, 0)), "")</f>
        <v>ULIF026 12/01/09 ITF 110</v>
      </c>
      <c r="E4237" s="8">
        <v>99.067499999999995</v>
      </c>
      <c r="F4237" s="9">
        <v>46000</v>
      </c>
    </row>
    <row r="4238" spans="1:6" ht="90" x14ac:dyDescent="0.25">
      <c r="A4238" s="8" t="s">
        <v>63</v>
      </c>
      <c r="B4238" s="11" t="s">
        <v>77</v>
      </c>
      <c r="C4238" s="8" t="str">
        <f>IFERROR(_xlfn.XLOOKUP(TRIM(B4238),Lookup!$B$2:$B$1000,Lookup!$C$2:$C$1000),"")</f>
        <v>Equity - Large Cap (Nifty 50 oriented)</v>
      </c>
      <c r="D4238" s="8" t="str">
        <f>IFERROR(INDEX('nav master'!$C:$C, MATCH(B4238, 'nav master'!$B:$B, 0)), "")</f>
        <v>ULIF026 12/01/09 ITF 110</v>
      </c>
      <c r="E4238" s="8">
        <v>98.462599999999995</v>
      </c>
      <c r="F4238" s="9">
        <v>46001</v>
      </c>
    </row>
    <row r="4239" spans="1:6" ht="90" x14ac:dyDescent="0.25">
      <c r="A4239" s="8" t="s">
        <v>63</v>
      </c>
      <c r="B4239" s="11" t="s">
        <v>77</v>
      </c>
      <c r="C4239" s="8" t="str">
        <f>IFERROR(_xlfn.XLOOKUP(TRIM(B4239),Lookup!$B$2:$B$1000,Lookup!$C$2:$C$1000),"")</f>
        <v>Equity - Large Cap (Nifty 50 oriented)</v>
      </c>
      <c r="D4239" s="8" t="str">
        <f>IFERROR(INDEX('nav master'!$C:$C, MATCH(B4239, 'nav master'!$B:$B, 0)), "")</f>
        <v>ULIF026 12/01/09 ITF 110</v>
      </c>
      <c r="E4239" s="8">
        <v>98.9863</v>
      </c>
      <c r="F4239" s="9">
        <v>46002</v>
      </c>
    </row>
    <row r="4240" spans="1:6" ht="90" x14ac:dyDescent="0.25">
      <c r="A4240" s="8" t="s">
        <v>63</v>
      </c>
      <c r="B4240" s="11" t="s">
        <v>77</v>
      </c>
      <c r="C4240" s="8" t="str">
        <f>IFERROR(_xlfn.XLOOKUP(TRIM(B4240),Lookup!$B$2:$B$1000,Lookup!$C$2:$C$1000),"")</f>
        <v>Equity - Large Cap (Nifty 50 oriented)</v>
      </c>
      <c r="D4240" s="8" t="str">
        <f>IFERROR(INDEX('nav master'!$C:$C, MATCH(B4240, 'nav master'!$B:$B, 0)), "")</f>
        <v>ULIF026 12/01/09 ITF 110</v>
      </c>
      <c r="E4240" s="8">
        <v>99.750500000000002</v>
      </c>
      <c r="F4240" s="9">
        <v>46003</v>
      </c>
    </row>
    <row r="4241" spans="1:6" ht="90" x14ac:dyDescent="0.25">
      <c r="A4241" s="8" t="s">
        <v>63</v>
      </c>
      <c r="B4241" s="11" t="s">
        <v>77</v>
      </c>
      <c r="C4241" s="8" t="str">
        <f>IFERROR(_xlfn.XLOOKUP(TRIM(B4241),Lookup!$B$2:$B$1000,Lookup!$C$2:$C$1000),"")</f>
        <v>Equity - Large Cap (Nifty 50 oriented)</v>
      </c>
      <c r="D4241" s="8" t="str">
        <f>IFERROR(INDEX('nav master'!$C:$C, MATCH(B4241, 'nav master'!$B:$B, 0)), "")</f>
        <v>ULIF026 12/01/09 ITF 110</v>
      </c>
      <c r="E4241" s="8">
        <v>99.674199999999999</v>
      </c>
      <c r="F4241" s="9">
        <v>46006</v>
      </c>
    </row>
    <row r="4242" spans="1:6" ht="90" x14ac:dyDescent="0.25">
      <c r="A4242" s="8" t="s">
        <v>63</v>
      </c>
      <c r="B4242" s="11" t="s">
        <v>77</v>
      </c>
      <c r="C4242" s="8" t="str">
        <f>IFERROR(_xlfn.XLOOKUP(TRIM(B4242),Lookup!$B$2:$B$1000,Lookup!$C$2:$C$1000),"")</f>
        <v>Equity - Large Cap (Nifty 50 oriented)</v>
      </c>
      <c r="D4242" s="8" t="str">
        <f>IFERROR(INDEX('nav master'!$C:$C, MATCH(B4242, 'nav master'!$B:$B, 0)), "")</f>
        <v>ULIF026 12/01/09 ITF 110</v>
      </c>
      <c r="E4242" s="8">
        <v>99.150800000000004</v>
      </c>
      <c r="F4242" s="9">
        <v>46007</v>
      </c>
    </row>
    <row r="4243" spans="1:6" ht="90" x14ac:dyDescent="0.25">
      <c r="A4243" s="8" t="s">
        <v>63</v>
      </c>
      <c r="B4243" s="11" t="s">
        <v>77</v>
      </c>
      <c r="C4243" s="8" t="str">
        <f>IFERROR(_xlfn.XLOOKUP(TRIM(B4243),Lookup!$B$2:$B$1000,Lookup!$C$2:$C$1000),"")</f>
        <v>Equity - Large Cap (Nifty 50 oriented)</v>
      </c>
      <c r="D4243" s="8" t="str">
        <f>IFERROR(INDEX('nav master'!$C:$C, MATCH(B4243, 'nav master'!$B:$B, 0)), "")</f>
        <v>ULIF026 12/01/09 ITF 110</v>
      </c>
      <c r="E4243" s="8">
        <v>98.756100000000004</v>
      </c>
      <c r="F4243" s="9">
        <v>46008</v>
      </c>
    </row>
    <row r="4244" spans="1:6" ht="90" x14ac:dyDescent="0.25">
      <c r="A4244" s="8" t="s">
        <v>63</v>
      </c>
      <c r="B4244" s="11" t="s">
        <v>77</v>
      </c>
      <c r="C4244" s="8" t="str">
        <f>IFERROR(_xlfn.XLOOKUP(TRIM(B4244),Lookup!$B$2:$B$1000,Lookup!$C$2:$C$1000),"")</f>
        <v>Equity - Large Cap (Nifty 50 oriented)</v>
      </c>
      <c r="D4244" s="8" t="str">
        <f>IFERROR(INDEX('nav master'!$C:$C, MATCH(B4244, 'nav master'!$B:$B, 0)), "")</f>
        <v>ULIF026 12/01/09 ITF 110</v>
      </c>
      <c r="E4244" s="8">
        <v>98.866299999999995</v>
      </c>
      <c r="F4244" s="9">
        <v>46009</v>
      </c>
    </row>
    <row r="4245" spans="1:6" ht="90" x14ac:dyDescent="0.25">
      <c r="A4245" s="8" t="s">
        <v>63</v>
      </c>
      <c r="B4245" s="11" t="s">
        <v>77</v>
      </c>
      <c r="C4245" s="8" t="str">
        <f>IFERROR(_xlfn.XLOOKUP(TRIM(B4245),Lookup!$B$2:$B$1000,Lookup!$C$2:$C$1000),"")</f>
        <v>Equity - Large Cap (Nifty 50 oriented)</v>
      </c>
      <c r="D4245" s="8" t="str">
        <f>IFERROR(INDEX('nav master'!$C:$C, MATCH(B4245, 'nav master'!$B:$B, 0)), "")</f>
        <v>ULIF026 12/01/09 ITF 110</v>
      </c>
      <c r="E4245" s="8">
        <v>99.601799999999997</v>
      </c>
      <c r="F4245" s="9">
        <v>46010</v>
      </c>
    </row>
    <row r="4246" spans="1:6" ht="90" x14ac:dyDescent="0.25">
      <c r="A4246" s="8" t="s">
        <v>63</v>
      </c>
      <c r="B4246" s="11" t="s">
        <v>77</v>
      </c>
      <c r="C4246" s="8" t="str">
        <f>IFERROR(_xlfn.XLOOKUP(TRIM(B4246),Lookup!$B$2:$B$1000,Lookup!$C$2:$C$1000),"")</f>
        <v>Equity - Large Cap (Nifty 50 oriented)</v>
      </c>
      <c r="D4246" s="8" t="str">
        <f>IFERROR(INDEX('nav master'!$C:$C, MATCH(B4246, 'nav master'!$B:$B, 0)), "")</f>
        <v>ULIF026 12/01/09 ITF 110</v>
      </c>
      <c r="E4246" s="8">
        <v>100.5428</v>
      </c>
      <c r="F4246" s="9">
        <v>46013</v>
      </c>
    </row>
    <row r="4247" spans="1:6" ht="90" x14ac:dyDescent="0.25">
      <c r="A4247" s="8" t="s">
        <v>63</v>
      </c>
      <c r="B4247" s="11" t="s">
        <v>77</v>
      </c>
      <c r="C4247" s="8" t="str">
        <f>IFERROR(_xlfn.XLOOKUP(TRIM(B4247),Lookup!$B$2:$B$1000,Lookup!$C$2:$C$1000),"")</f>
        <v>Equity - Large Cap (Nifty 50 oriented)</v>
      </c>
      <c r="D4247" s="8" t="str">
        <f>IFERROR(INDEX('nav master'!$C:$C, MATCH(B4247, 'nav master'!$B:$B, 0)), "")</f>
        <v>ULIF026 12/01/09 ITF 110</v>
      </c>
      <c r="E4247" s="8">
        <v>100.5865</v>
      </c>
      <c r="F4247" s="9">
        <v>46014</v>
      </c>
    </row>
    <row r="4248" spans="1:6" ht="90" x14ac:dyDescent="0.25">
      <c r="A4248" s="8" t="s">
        <v>63</v>
      </c>
      <c r="B4248" s="11" t="s">
        <v>77</v>
      </c>
      <c r="C4248" s="8" t="str">
        <f>IFERROR(_xlfn.XLOOKUP(TRIM(B4248),Lookup!$B$2:$B$1000,Lookup!$C$2:$C$1000),"")</f>
        <v>Equity - Large Cap (Nifty 50 oriented)</v>
      </c>
      <c r="D4248" s="8" t="str">
        <f>IFERROR(INDEX('nav master'!$C:$C, MATCH(B4248, 'nav master'!$B:$B, 0)), "")</f>
        <v>ULIF026 12/01/09 ITF 110</v>
      </c>
      <c r="E4248" s="8">
        <v>100.46120000000001</v>
      </c>
      <c r="F4248" s="9">
        <v>46015</v>
      </c>
    </row>
    <row r="4249" spans="1:6" ht="90" x14ac:dyDescent="0.25">
      <c r="A4249" s="8" t="s">
        <v>63</v>
      </c>
      <c r="B4249" s="11" t="s">
        <v>77</v>
      </c>
      <c r="C4249" s="8" t="str">
        <f>IFERROR(_xlfn.XLOOKUP(TRIM(B4249),Lookup!$B$2:$B$1000,Lookup!$C$2:$C$1000),"")</f>
        <v>Equity - Large Cap (Nifty 50 oriented)</v>
      </c>
      <c r="D4249" s="8" t="str">
        <f>IFERROR(INDEX('nav master'!$C:$C, MATCH(B4249, 'nav master'!$B:$B, 0)), "")</f>
        <v>ULIF026 12/01/09 ITF 110</v>
      </c>
      <c r="E4249" s="8">
        <v>100.23220000000001</v>
      </c>
      <c r="F4249" s="9">
        <v>46017</v>
      </c>
    </row>
    <row r="4250" spans="1:6" ht="90" x14ac:dyDescent="0.25">
      <c r="A4250" s="8" t="s">
        <v>63</v>
      </c>
      <c r="B4250" s="11" t="s">
        <v>77</v>
      </c>
      <c r="C4250" s="8" t="str">
        <f>IFERROR(_xlfn.XLOOKUP(TRIM(B4250),Lookup!$B$2:$B$1000,Lookup!$C$2:$C$1000),"")</f>
        <v>Equity - Large Cap (Nifty 50 oriented)</v>
      </c>
      <c r="D4250" s="8" t="str">
        <f>IFERROR(INDEX('nav master'!$C:$C, MATCH(B4250, 'nav master'!$B:$B, 0)), "")</f>
        <v>ULIF026 12/01/09 ITF 110</v>
      </c>
      <c r="E4250" s="8">
        <v>99.867199999999997</v>
      </c>
      <c r="F4250" s="9">
        <v>46020</v>
      </c>
    </row>
    <row r="4251" spans="1:6" ht="90" x14ac:dyDescent="0.25">
      <c r="A4251" s="8" t="s">
        <v>63</v>
      </c>
      <c r="B4251" s="11" t="s">
        <v>77</v>
      </c>
      <c r="C4251" s="8" t="str">
        <f>IFERROR(_xlfn.XLOOKUP(TRIM(B4251),Lookup!$B$2:$B$1000,Lookup!$C$2:$C$1000),"")</f>
        <v>Equity - Large Cap (Nifty 50 oriented)</v>
      </c>
      <c r="D4251" s="8" t="str">
        <f>IFERROR(INDEX('nav master'!$C:$C, MATCH(B4251, 'nav master'!$B:$B, 0)), "")</f>
        <v>ULIF026 12/01/09 ITF 110</v>
      </c>
      <c r="E4251" s="8">
        <v>99.870599999999996</v>
      </c>
      <c r="F4251" s="9">
        <v>46021</v>
      </c>
    </row>
    <row r="4252" spans="1:6" ht="90" x14ac:dyDescent="0.25">
      <c r="A4252" s="8" t="s">
        <v>63</v>
      </c>
      <c r="B4252" s="11" t="s">
        <v>77</v>
      </c>
      <c r="C4252" s="8" t="str">
        <f>IFERROR(_xlfn.XLOOKUP(TRIM(B4252),Lookup!$B$2:$B$1000,Lookup!$C$2:$C$1000),"")</f>
        <v>Equity - Large Cap (Nifty 50 oriented)</v>
      </c>
      <c r="D4252" s="8" t="str">
        <f>IFERROR(INDEX('nav master'!$C:$C, MATCH(B4252, 'nav master'!$B:$B, 0)), "")</f>
        <v>ULIF026 12/01/09 ITF 110</v>
      </c>
      <c r="E4252" s="8">
        <v>100.8189</v>
      </c>
      <c r="F4252" s="9">
        <v>46022</v>
      </c>
    </row>
    <row r="4253" spans="1:6" ht="90" x14ac:dyDescent="0.25">
      <c r="A4253" s="8" t="s">
        <v>63</v>
      </c>
      <c r="B4253" s="11" t="s">
        <v>77</v>
      </c>
      <c r="C4253" s="8" t="str">
        <f>IFERROR(_xlfn.XLOOKUP(TRIM(B4253),Lookup!$B$2:$B$1000,Lookup!$C$2:$C$1000),"")</f>
        <v>Equity - Large Cap (Nifty 50 oriented)</v>
      </c>
      <c r="D4253" s="8" t="str">
        <f>IFERROR(INDEX('nav master'!$C:$C, MATCH(B4253, 'nav master'!$B:$B, 0)), "")</f>
        <v>ULIF026 12/01/09 ITF 110</v>
      </c>
      <c r="E4253" s="8">
        <v>101.18300000000001</v>
      </c>
      <c r="F4253" s="9">
        <v>46023</v>
      </c>
    </row>
    <row r="4254" spans="1:6" ht="90" x14ac:dyDescent="0.25">
      <c r="A4254" s="8" t="s">
        <v>63</v>
      </c>
      <c r="B4254" s="11" t="s">
        <v>77</v>
      </c>
      <c r="C4254" s="8" t="str">
        <f>IFERROR(_xlfn.XLOOKUP(TRIM(B4254),Lookup!$B$2:$B$1000,Lookup!$C$2:$C$1000),"")</f>
        <v>Equity - Large Cap (Nifty 50 oriented)</v>
      </c>
      <c r="D4254" s="8" t="str">
        <f>IFERROR(INDEX('nav master'!$C:$C, MATCH(B4254, 'nav master'!$B:$B, 0)), "")</f>
        <v>ULIF026 12/01/09 ITF 110</v>
      </c>
      <c r="E4254" s="8">
        <v>101.9834</v>
      </c>
      <c r="F4254" s="9">
        <v>46024</v>
      </c>
    </row>
    <row r="4255" spans="1:6" ht="90" x14ac:dyDescent="0.25">
      <c r="A4255" s="8" t="s">
        <v>63</v>
      </c>
      <c r="B4255" s="11" t="s">
        <v>77</v>
      </c>
      <c r="C4255" s="8" t="str">
        <f>IFERROR(_xlfn.XLOOKUP(TRIM(B4255),Lookup!$B$2:$B$1000,Lookup!$C$2:$C$1000),"")</f>
        <v>Equity - Large Cap (Nifty 50 oriented)</v>
      </c>
      <c r="D4255" s="8" t="str">
        <f>IFERROR(INDEX('nav master'!$C:$C, MATCH(B4255, 'nav master'!$B:$B, 0)), "")</f>
        <v>ULIF026 12/01/09 ITF 110</v>
      </c>
      <c r="E4255" s="8">
        <v>101.5941</v>
      </c>
      <c r="F4255" s="9">
        <v>46027</v>
      </c>
    </row>
    <row r="4256" spans="1:6" ht="90" x14ac:dyDescent="0.25">
      <c r="A4256" s="8" t="s">
        <v>63</v>
      </c>
      <c r="B4256" s="11" t="s">
        <v>77</v>
      </c>
      <c r="C4256" s="8" t="str">
        <f>IFERROR(_xlfn.XLOOKUP(TRIM(B4256),Lookup!$B$2:$B$1000,Lookup!$C$2:$C$1000),"")</f>
        <v>Equity - Large Cap (Nifty 50 oriented)</v>
      </c>
      <c r="D4256" s="8" t="str">
        <f>IFERROR(INDEX('nav master'!$C:$C, MATCH(B4256, 'nav master'!$B:$B, 0)), "")</f>
        <v>ULIF026 12/01/09 ITF 110</v>
      </c>
      <c r="E4256" s="8">
        <v>101.3943</v>
      </c>
      <c r="F4256" s="9">
        <v>46028</v>
      </c>
    </row>
    <row r="4257" spans="1:6" ht="90" x14ac:dyDescent="0.25">
      <c r="A4257" s="8" t="s">
        <v>63</v>
      </c>
      <c r="B4257" s="11" t="s">
        <v>77</v>
      </c>
      <c r="C4257" s="8" t="str">
        <f>IFERROR(_xlfn.XLOOKUP(TRIM(B4257),Lookup!$B$2:$B$1000,Lookup!$C$2:$C$1000),"")</f>
        <v>Equity - Large Cap (Nifty 50 oriented)</v>
      </c>
      <c r="D4257" s="8" t="str">
        <f>IFERROR(INDEX('nav master'!$C:$C, MATCH(B4257, 'nav master'!$B:$B, 0)), "")</f>
        <v>ULIF026 12/01/09 ITF 110</v>
      </c>
      <c r="E4257" s="8">
        <v>101.5449</v>
      </c>
      <c r="F4257" s="9">
        <v>46029</v>
      </c>
    </row>
    <row r="4258" spans="1:6" ht="90" x14ac:dyDescent="0.25">
      <c r="A4258" s="8" t="s">
        <v>63</v>
      </c>
      <c r="B4258" s="11" t="s">
        <v>77</v>
      </c>
      <c r="C4258" s="8" t="str">
        <f>IFERROR(_xlfn.XLOOKUP(TRIM(B4258),Lookup!$B$2:$B$1000,Lookup!$C$2:$C$1000),"")</f>
        <v>Equity - Large Cap (Nifty 50 oriented)</v>
      </c>
      <c r="D4258" s="8" t="str">
        <f>IFERROR(INDEX('nav master'!$C:$C, MATCH(B4258, 'nav master'!$B:$B, 0)), "")</f>
        <v>ULIF026 12/01/09 ITF 110</v>
      </c>
      <c r="E4258" s="8">
        <v>100.36750000000001</v>
      </c>
      <c r="F4258" s="9">
        <v>46030</v>
      </c>
    </row>
    <row r="4259" spans="1:6" ht="90" x14ac:dyDescent="0.25">
      <c r="A4259" s="8" t="s">
        <v>63</v>
      </c>
      <c r="B4259" s="11" t="s">
        <v>77</v>
      </c>
      <c r="C4259" s="8" t="str">
        <f>IFERROR(_xlfn.XLOOKUP(TRIM(B4259),Lookup!$B$2:$B$1000,Lookup!$C$2:$C$1000),"")</f>
        <v>Equity - Large Cap (Nifty 50 oriented)</v>
      </c>
      <c r="D4259" s="8" t="str">
        <f>IFERROR(INDEX('nav master'!$C:$C, MATCH(B4259, 'nav master'!$B:$B, 0)), "")</f>
        <v>ULIF026 12/01/09 ITF 110</v>
      </c>
      <c r="E4259" s="8">
        <v>99.456800000000001</v>
      </c>
      <c r="F4259" s="9">
        <v>46031</v>
      </c>
    </row>
    <row r="4260" spans="1:6" ht="90" x14ac:dyDescent="0.25">
      <c r="A4260" s="8" t="s">
        <v>63</v>
      </c>
      <c r="B4260" s="11" t="s">
        <v>77</v>
      </c>
      <c r="C4260" s="8" t="str">
        <f>IFERROR(_xlfn.XLOOKUP(TRIM(B4260),Lookup!$B$2:$B$1000,Lookup!$C$2:$C$1000),"")</f>
        <v>Equity - Large Cap (Nifty 50 oriented)</v>
      </c>
      <c r="D4260" s="8" t="str">
        <f>IFERROR(INDEX('nav master'!$C:$C, MATCH(B4260, 'nav master'!$B:$B, 0)), "")</f>
        <v>ULIF026 12/01/09 ITF 110</v>
      </c>
      <c r="E4260" s="8">
        <v>99.626499999999993</v>
      </c>
      <c r="F4260" s="9">
        <v>46034</v>
      </c>
    </row>
    <row r="4261" spans="1:6" ht="90" x14ac:dyDescent="0.25">
      <c r="A4261" s="8" t="s">
        <v>63</v>
      </c>
      <c r="B4261" s="11" t="s">
        <v>77</v>
      </c>
      <c r="C4261" s="8" t="str">
        <f>IFERROR(_xlfn.XLOOKUP(TRIM(B4261),Lookup!$B$2:$B$1000,Lookup!$C$2:$C$1000),"")</f>
        <v>Equity - Large Cap (Nifty 50 oriented)</v>
      </c>
      <c r="D4261" s="8" t="str">
        <f>IFERROR(INDEX('nav master'!$C:$C, MATCH(B4261, 'nav master'!$B:$B, 0)), "")</f>
        <v>ULIF026 12/01/09 ITF 110</v>
      </c>
      <c r="E4261" s="8">
        <v>99.478999999999999</v>
      </c>
      <c r="F4261" s="9">
        <v>46035</v>
      </c>
    </row>
    <row r="4262" spans="1:6" ht="90" x14ac:dyDescent="0.25">
      <c r="A4262" s="8" t="s">
        <v>63</v>
      </c>
      <c r="B4262" s="11" t="s">
        <v>77</v>
      </c>
      <c r="C4262" s="8" t="str">
        <f>IFERROR(_xlfn.XLOOKUP(TRIM(B4262),Lookup!$B$2:$B$1000,Lookup!$C$2:$C$1000),"")</f>
        <v>Equity - Large Cap (Nifty 50 oriented)</v>
      </c>
      <c r="D4262" s="8" t="str">
        <f>IFERROR(INDEX('nav master'!$C:$C, MATCH(B4262, 'nav master'!$B:$B, 0)), "")</f>
        <v>ULIF026 12/01/09 ITF 110</v>
      </c>
      <c r="E4262" s="8">
        <v>99.670199999999994</v>
      </c>
      <c r="F4262" s="9">
        <v>46036</v>
      </c>
    </row>
    <row r="4263" spans="1:6" ht="90" x14ac:dyDescent="0.25">
      <c r="A4263" s="8" t="s">
        <v>63</v>
      </c>
      <c r="B4263" s="11" t="s">
        <v>77</v>
      </c>
      <c r="C4263" s="8" t="str">
        <f>IFERROR(_xlfn.XLOOKUP(TRIM(B4263),Lookup!$B$2:$B$1000,Lookup!$C$2:$C$1000),"")</f>
        <v>Equity - Large Cap (Nifty 50 oriented)</v>
      </c>
      <c r="D4263" s="8" t="str">
        <f>IFERROR(INDEX('nav master'!$C:$C, MATCH(B4263, 'nav master'!$B:$B, 0)), "")</f>
        <v>ULIF026 12/01/09 ITF 110</v>
      </c>
      <c r="E4263" s="8">
        <v>100.0809</v>
      </c>
      <c r="F4263" s="9">
        <v>46038</v>
      </c>
    </row>
    <row r="4264" spans="1:6" ht="90" x14ac:dyDescent="0.25">
      <c r="A4264" s="8" t="s">
        <v>63</v>
      </c>
      <c r="B4264" s="11" t="s">
        <v>77</v>
      </c>
      <c r="C4264" s="8" t="str">
        <f>IFERROR(_xlfn.XLOOKUP(TRIM(B4264),Lookup!$B$2:$B$1000,Lookup!$C$2:$C$1000),"")</f>
        <v>Equity - Large Cap (Nifty 50 oriented)</v>
      </c>
      <c r="D4264" s="8" t="str">
        <f>IFERROR(INDEX('nav master'!$C:$C, MATCH(B4264, 'nav master'!$B:$B, 0)), "")</f>
        <v>ULIF026 12/01/09 ITF 110</v>
      </c>
      <c r="E4264" s="8">
        <v>99.643799999999999</v>
      </c>
      <c r="F4264" s="9">
        <v>46041</v>
      </c>
    </row>
    <row r="4265" spans="1:6" ht="90" x14ac:dyDescent="0.25">
      <c r="A4265" s="8" t="s">
        <v>63</v>
      </c>
      <c r="B4265" s="11" t="s">
        <v>77</v>
      </c>
      <c r="C4265" s="8" t="str">
        <f>IFERROR(_xlfn.XLOOKUP(TRIM(B4265),Lookup!$B$2:$B$1000,Lookup!$C$2:$C$1000),"")</f>
        <v>Equity - Large Cap (Nifty 50 oriented)</v>
      </c>
      <c r="D4265" s="8" t="str">
        <f>IFERROR(INDEX('nav master'!$C:$C, MATCH(B4265, 'nav master'!$B:$B, 0)), "")</f>
        <v>ULIF026 12/01/09 ITF 110</v>
      </c>
      <c r="E4265" s="8">
        <v>98.242400000000004</v>
      </c>
      <c r="F4265" s="9">
        <v>46042</v>
      </c>
    </row>
    <row r="4266" spans="1:6" ht="90" x14ac:dyDescent="0.25">
      <c r="A4266" s="8" t="s">
        <v>63</v>
      </c>
      <c r="B4266" s="11" t="s">
        <v>77</v>
      </c>
      <c r="C4266" s="8" t="str">
        <f>IFERROR(_xlfn.XLOOKUP(TRIM(B4266),Lookup!$B$2:$B$1000,Lookup!$C$2:$C$1000),"")</f>
        <v>Equity - Large Cap (Nifty 50 oriented)</v>
      </c>
      <c r="D4266" s="8" t="str">
        <f>IFERROR(INDEX('nav master'!$C:$C, MATCH(B4266, 'nav master'!$B:$B, 0)), "")</f>
        <v>ULIF026 12/01/09 ITF 110</v>
      </c>
      <c r="E4266" s="8">
        <v>97.576499999999996</v>
      </c>
      <c r="F4266" s="9">
        <v>46043</v>
      </c>
    </row>
    <row r="4267" spans="1:6" ht="90" x14ac:dyDescent="0.25">
      <c r="A4267" s="8" t="s">
        <v>63</v>
      </c>
      <c r="B4267" s="11" t="s">
        <v>77</v>
      </c>
      <c r="C4267" s="8" t="str">
        <f>IFERROR(_xlfn.XLOOKUP(TRIM(B4267),Lookup!$B$2:$B$1000,Lookup!$C$2:$C$1000),"")</f>
        <v>Equity - Large Cap (Nifty 50 oriented)</v>
      </c>
      <c r="D4267" s="8" t="str">
        <f>IFERROR(INDEX('nav master'!$C:$C, MATCH(B4267, 'nav master'!$B:$B, 0)), "")</f>
        <v>ULIF026 12/01/09 ITF 110</v>
      </c>
      <c r="E4267" s="8">
        <v>98.005799999999994</v>
      </c>
      <c r="F4267" s="9">
        <v>46044</v>
      </c>
    </row>
    <row r="4268" spans="1:6" ht="90" x14ac:dyDescent="0.25">
      <c r="A4268" s="8" t="s">
        <v>63</v>
      </c>
      <c r="B4268" s="11" t="s">
        <v>77</v>
      </c>
      <c r="C4268" s="8" t="str">
        <f>IFERROR(_xlfn.XLOOKUP(TRIM(B4268),Lookup!$B$2:$B$1000,Lookup!$C$2:$C$1000),"")</f>
        <v>Equity - Large Cap (Nifty 50 oriented)</v>
      </c>
      <c r="D4268" s="8" t="str">
        <f>IFERROR(INDEX('nav master'!$C:$C, MATCH(B4268, 'nav master'!$B:$B, 0)), "")</f>
        <v>ULIF026 12/01/09 ITF 110</v>
      </c>
      <c r="E4268" s="8">
        <v>96.773399999999995</v>
      </c>
      <c r="F4268" s="9">
        <v>46045</v>
      </c>
    </row>
    <row r="4269" spans="1:6" ht="90" x14ac:dyDescent="0.25">
      <c r="A4269" s="8" t="s">
        <v>63</v>
      </c>
      <c r="B4269" s="11" t="s">
        <v>77</v>
      </c>
      <c r="C4269" s="8" t="str">
        <f>IFERROR(_xlfn.XLOOKUP(TRIM(B4269),Lookup!$B$2:$B$1000,Lookup!$C$2:$C$1000),"")</f>
        <v>Equity - Large Cap (Nifty 50 oriented)</v>
      </c>
      <c r="D4269" s="8" t="str">
        <f>IFERROR(INDEX('nav master'!$C:$C, MATCH(B4269, 'nav master'!$B:$B, 0)), "")</f>
        <v>ULIF026 12/01/09 ITF 110</v>
      </c>
      <c r="E4269" s="8">
        <v>97.424800000000005</v>
      </c>
      <c r="F4269" s="9">
        <v>46049</v>
      </c>
    </row>
    <row r="4270" spans="1:6" ht="90" x14ac:dyDescent="0.25">
      <c r="A4270" s="8" t="s">
        <v>63</v>
      </c>
      <c r="B4270" s="11" t="s">
        <v>77</v>
      </c>
      <c r="C4270" s="8" t="str">
        <f>IFERROR(_xlfn.XLOOKUP(TRIM(B4270),Lookup!$B$2:$B$1000,Lookup!$C$2:$C$1000),"")</f>
        <v>Equity - Large Cap (Nifty 50 oriented)</v>
      </c>
      <c r="D4270" s="8" t="str">
        <f>IFERROR(INDEX('nav master'!$C:$C, MATCH(B4270, 'nav master'!$B:$B, 0)), "")</f>
        <v>ULIF026 12/01/09 ITF 110</v>
      </c>
      <c r="E4270" s="8">
        <v>98.418800000000005</v>
      </c>
      <c r="F4270" s="9">
        <v>46050</v>
      </c>
    </row>
    <row r="4271" spans="1:6" ht="90" x14ac:dyDescent="0.25">
      <c r="A4271" s="8" t="s">
        <v>63</v>
      </c>
      <c r="B4271" s="11" t="s">
        <v>77</v>
      </c>
      <c r="C4271" s="8" t="str">
        <f>IFERROR(_xlfn.XLOOKUP(TRIM(B4271),Lookup!$B$2:$B$1000,Lookup!$C$2:$C$1000),"")</f>
        <v>Equity - Large Cap (Nifty 50 oriented)</v>
      </c>
      <c r="D4271" s="8" t="str">
        <f>IFERROR(INDEX('nav master'!$C:$C, MATCH(B4271, 'nav master'!$B:$B, 0)), "")</f>
        <v>ULIF026 12/01/09 ITF 110</v>
      </c>
      <c r="E4271" s="8">
        <v>98.757599999999996</v>
      </c>
      <c r="F4271" s="9">
        <v>46051</v>
      </c>
    </row>
    <row r="4272" spans="1:6" ht="90" x14ac:dyDescent="0.25">
      <c r="A4272" s="8" t="s">
        <v>63</v>
      </c>
      <c r="B4272" s="11" t="s">
        <v>77</v>
      </c>
      <c r="C4272" s="8" t="str">
        <f>IFERROR(_xlfn.XLOOKUP(TRIM(B4272),Lookup!$B$2:$B$1000,Lookup!$C$2:$C$1000),"")</f>
        <v>Equity - Large Cap (Nifty 50 oriented)</v>
      </c>
      <c r="D4272" s="8" t="str">
        <f>IFERROR(INDEX('nav master'!$C:$C, MATCH(B4272, 'nav master'!$B:$B, 0)), "")</f>
        <v>ULIF026 12/01/09 ITF 110</v>
      </c>
      <c r="E4272" s="8">
        <v>98.294200000000004</v>
      </c>
      <c r="F4272" s="9">
        <v>46052</v>
      </c>
    </row>
    <row r="4273" spans="1:6" ht="90" x14ac:dyDescent="0.25">
      <c r="A4273" s="8" t="s">
        <v>63</v>
      </c>
      <c r="B4273" s="11" t="s">
        <v>77</v>
      </c>
      <c r="C4273" s="8" t="str">
        <f>IFERROR(_xlfn.XLOOKUP(TRIM(B4273),Lookup!$B$2:$B$1000,Lookup!$C$2:$C$1000),"")</f>
        <v>Equity - Large Cap (Nifty 50 oriented)</v>
      </c>
      <c r="D4273" s="8" t="str">
        <f>IFERROR(INDEX('nav master'!$C:$C, MATCH(B4273, 'nav master'!$B:$B, 0)), "")</f>
        <v>ULIF026 12/01/09 ITF 110</v>
      </c>
      <c r="E4273" s="8">
        <v>96.310500000000005</v>
      </c>
      <c r="F4273" s="9">
        <v>46054</v>
      </c>
    </row>
    <row r="4274" spans="1:6" ht="90" x14ac:dyDescent="0.25">
      <c r="A4274" s="8" t="s">
        <v>63</v>
      </c>
      <c r="B4274" s="11" t="s">
        <v>77</v>
      </c>
      <c r="C4274" s="8" t="str">
        <f>IFERROR(_xlfn.XLOOKUP(TRIM(B4274),Lookup!$B$2:$B$1000,Lookup!$C$2:$C$1000),"")</f>
        <v>Equity - Large Cap (Nifty 50 oriented)</v>
      </c>
      <c r="D4274" s="8" t="str">
        <f>IFERROR(INDEX('nav master'!$C:$C, MATCH(B4274, 'nav master'!$B:$B, 0)), "")</f>
        <v>ULIF026 12/01/09 ITF 110</v>
      </c>
      <c r="E4274" s="8">
        <v>97.133799999999994</v>
      </c>
      <c r="F4274" s="9">
        <v>46055</v>
      </c>
    </row>
    <row r="4275" spans="1:6" ht="90" x14ac:dyDescent="0.25">
      <c r="A4275" s="8" t="s">
        <v>63</v>
      </c>
      <c r="B4275" s="11" t="s">
        <v>77</v>
      </c>
      <c r="C4275" s="8" t="str">
        <f>IFERROR(_xlfn.XLOOKUP(TRIM(B4275),Lookup!$B$2:$B$1000,Lookup!$C$2:$C$1000),"")</f>
        <v>Equity - Large Cap (Nifty 50 oriented)</v>
      </c>
      <c r="D4275" s="8" t="str">
        <f>IFERROR(INDEX('nav master'!$C:$C, MATCH(B4275, 'nav master'!$B:$B, 0)), "")</f>
        <v>ULIF026 12/01/09 ITF 110</v>
      </c>
      <c r="E4275" s="8">
        <v>99.465100000000007</v>
      </c>
      <c r="F4275" s="9">
        <v>46056</v>
      </c>
    </row>
    <row r="4276" spans="1:6" ht="90" x14ac:dyDescent="0.25">
      <c r="A4276" s="8" t="s">
        <v>63</v>
      </c>
      <c r="B4276" s="11" t="s">
        <v>77</v>
      </c>
      <c r="C4276" s="8" t="str">
        <f>IFERROR(_xlfn.XLOOKUP(TRIM(B4276),Lookup!$B$2:$B$1000,Lookup!$C$2:$C$1000),"")</f>
        <v>Equity - Large Cap (Nifty 50 oriented)</v>
      </c>
      <c r="D4276" s="8" t="str">
        <f>IFERROR(INDEX('nav master'!$C:$C, MATCH(B4276, 'nav master'!$B:$B, 0)), "")</f>
        <v>ULIF026 12/01/09 ITF 110</v>
      </c>
      <c r="E4276" s="8">
        <v>99.964699999999993</v>
      </c>
      <c r="F4276" s="9">
        <v>46057</v>
      </c>
    </row>
    <row r="4277" spans="1:6" ht="90" x14ac:dyDescent="0.25">
      <c r="A4277" s="8" t="s">
        <v>63</v>
      </c>
      <c r="B4277" s="11" t="s">
        <v>77</v>
      </c>
      <c r="C4277" s="8" t="str">
        <f>IFERROR(_xlfn.XLOOKUP(TRIM(B4277),Lookup!$B$2:$B$1000,Lookup!$C$2:$C$1000),"")</f>
        <v>Equity - Large Cap (Nifty 50 oriented)</v>
      </c>
      <c r="D4277" s="8" t="str">
        <f>IFERROR(INDEX('nav master'!$C:$C, MATCH(B4277, 'nav master'!$B:$B, 0)), "")</f>
        <v>ULIF026 12/01/09 ITF 110</v>
      </c>
      <c r="E4277" s="8">
        <v>99.445099999999996</v>
      </c>
      <c r="F4277" s="9">
        <v>46058</v>
      </c>
    </row>
    <row r="4278" spans="1:6" ht="90" x14ac:dyDescent="0.25">
      <c r="A4278" s="8" t="s">
        <v>63</v>
      </c>
      <c r="B4278" s="11" t="s">
        <v>77</v>
      </c>
      <c r="C4278" s="8" t="str">
        <f>IFERROR(_xlfn.XLOOKUP(TRIM(B4278),Lookup!$B$2:$B$1000,Lookup!$C$2:$C$1000),"")</f>
        <v>Equity - Large Cap (Nifty 50 oriented)</v>
      </c>
      <c r="D4278" s="8" t="str">
        <f>IFERROR(INDEX('nav master'!$C:$C, MATCH(B4278, 'nav master'!$B:$B, 0)), "")</f>
        <v>ULIF026 12/01/09 ITF 110</v>
      </c>
      <c r="E4278" s="8">
        <v>99.4816</v>
      </c>
      <c r="F4278" s="9">
        <v>46059</v>
      </c>
    </row>
    <row r="4279" spans="1:6" ht="90" x14ac:dyDescent="0.25">
      <c r="A4279" s="8" t="s">
        <v>63</v>
      </c>
      <c r="B4279" s="11" t="s">
        <v>77</v>
      </c>
      <c r="C4279" s="8" t="str">
        <f>IFERROR(_xlfn.XLOOKUP(TRIM(B4279),Lookup!$B$2:$B$1000,Lookup!$C$2:$C$1000),"")</f>
        <v>Equity - Large Cap (Nifty 50 oriented)</v>
      </c>
      <c r="D4279" s="8" t="str">
        <f>IFERROR(INDEX('nav master'!$C:$C, MATCH(B4279, 'nav master'!$B:$B, 0)), "")</f>
        <v>ULIF026 12/01/09 ITF 110</v>
      </c>
      <c r="E4279" s="8">
        <v>100.1486</v>
      </c>
      <c r="F4279" s="9">
        <v>46062</v>
      </c>
    </row>
    <row r="4280" spans="1:6" ht="90" x14ac:dyDescent="0.25">
      <c r="A4280" s="8" t="s">
        <v>63</v>
      </c>
      <c r="B4280" s="11" t="s">
        <v>77</v>
      </c>
      <c r="C4280" s="8" t="str">
        <f>IFERROR(_xlfn.XLOOKUP(TRIM(B4280),Lookup!$B$2:$B$1000,Lookup!$C$2:$C$1000),"")</f>
        <v>Equity - Large Cap (Nifty 50 oriented)</v>
      </c>
      <c r="D4280" s="8" t="str">
        <f>IFERROR(INDEX('nav master'!$C:$C, MATCH(B4280, 'nav master'!$B:$B, 0)), "")</f>
        <v>ULIF026 12/01/09 ITF 110</v>
      </c>
      <c r="E4280" s="8">
        <v>100.4012</v>
      </c>
      <c r="F4280" s="9">
        <v>46063</v>
      </c>
    </row>
    <row r="4281" spans="1:6" ht="90" x14ac:dyDescent="0.25">
      <c r="A4281" s="8" t="s">
        <v>63</v>
      </c>
      <c r="B4281" s="11" t="s">
        <v>77</v>
      </c>
      <c r="C4281" s="8" t="str">
        <f>IFERROR(_xlfn.XLOOKUP(TRIM(B4281),Lookup!$B$2:$B$1000,Lookup!$C$2:$C$1000),"")</f>
        <v>Equity - Large Cap (Nifty 50 oriented)</v>
      </c>
      <c r="D4281" s="8" t="str">
        <f>IFERROR(INDEX('nav master'!$C:$C, MATCH(B4281, 'nav master'!$B:$B, 0)), "")</f>
        <v>ULIF026 12/01/09 ITF 110</v>
      </c>
      <c r="E4281" s="8">
        <v>100.50660000000001</v>
      </c>
      <c r="F4281" s="9">
        <v>46064</v>
      </c>
    </row>
    <row r="4282" spans="1:6" ht="90" x14ac:dyDescent="0.25">
      <c r="A4282" s="8" t="s">
        <v>63</v>
      </c>
      <c r="B4282" s="11" t="s">
        <v>77</v>
      </c>
      <c r="C4282" s="8" t="str">
        <f>IFERROR(_xlfn.XLOOKUP(TRIM(B4282),Lookup!$B$2:$B$1000,Lookup!$C$2:$C$1000),"")</f>
        <v>Equity - Large Cap (Nifty 50 oriented)</v>
      </c>
      <c r="D4282" s="8" t="str">
        <f>IFERROR(INDEX('nav master'!$C:$C, MATCH(B4282, 'nav master'!$B:$B, 0)), "")</f>
        <v>ULIF026 12/01/09 ITF 110</v>
      </c>
      <c r="E4282" s="8">
        <v>100.2052</v>
      </c>
      <c r="F4282" s="9">
        <v>46065</v>
      </c>
    </row>
    <row r="4283" spans="1:6" ht="90" x14ac:dyDescent="0.25">
      <c r="A4283" s="8" t="s">
        <v>63</v>
      </c>
      <c r="B4283" s="11" t="s">
        <v>77</v>
      </c>
      <c r="C4283" s="8" t="str">
        <f>IFERROR(_xlfn.XLOOKUP(TRIM(B4283),Lookup!$B$2:$B$1000,Lookup!$C$2:$C$1000),"")</f>
        <v>Equity - Large Cap (Nifty 50 oriented)</v>
      </c>
      <c r="D4283" s="8" t="str">
        <f>IFERROR(INDEX('nav master'!$C:$C, MATCH(B4283, 'nav master'!$B:$B, 0)), "")</f>
        <v>ULIF026 12/01/09 ITF 110</v>
      </c>
      <c r="E4283" s="8">
        <v>98.994900000000001</v>
      </c>
      <c r="F4283" s="9">
        <v>46066</v>
      </c>
    </row>
    <row r="4284" spans="1:6" ht="90" x14ac:dyDescent="0.25">
      <c r="A4284" s="8" t="s">
        <v>63</v>
      </c>
      <c r="B4284" s="11" t="s">
        <v>77</v>
      </c>
      <c r="C4284" s="8" t="str">
        <f>IFERROR(_xlfn.XLOOKUP(TRIM(B4284),Lookup!$B$2:$B$1000,Lookup!$C$2:$C$1000),"")</f>
        <v>Equity - Large Cap (Nifty 50 oriented)</v>
      </c>
      <c r="D4284" s="8" t="str">
        <f>IFERROR(INDEX('nav master'!$C:$C, MATCH(B4284, 'nav master'!$B:$B, 0)), "")</f>
        <v>ULIF026 12/01/09 ITF 110</v>
      </c>
      <c r="E4284" s="8">
        <v>99.721800000000002</v>
      </c>
      <c r="F4284" s="9">
        <v>46069</v>
      </c>
    </row>
    <row r="4285" spans="1:6" ht="90" x14ac:dyDescent="0.25">
      <c r="A4285" s="8" t="s">
        <v>63</v>
      </c>
      <c r="B4285" s="11" t="s">
        <v>77</v>
      </c>
      <c r="C4285" s="8" t="str">
        <f>IFERROR(_xlfn.XLOOKUP(TRIM(B4285),Lookup!$B$2:$B$1000,Lookup!$C$2:$C$1000),"")</f>
        <v>Equity - Large Cap (Nifty 50 oriented)</v>
      </c>
      <c r="D4285" s="8" t="str">
        <f>IFERROR(INDEX('nav master'!$C:$C, MATCH(B4285, 'nav master'!$B:$B, 0)), "")</f>
        <v>ULIF026 12/01/09 ITF 110</v>
      </c>
      <c r="E4285" s="8">
        <v>99.820700000000002</v>
      </c>
      <c r="F4285" s="9">
        <v>46070</v>
      </c>
    </row>
    <row r="4286" spans="1:6" ht="90" x14ac:dyDescent="0.25">
      <c r="A4286" s="8" t="s">
        <v>63</v>
      </c>
      <c r="B4286" s="11" t="s">
        <v>77</v>
      </c>
      <c r="C4286" s="8" t="str">
        <f>IFERROR(_xlfn.XLOOKUP(TRIM(B4286),Lookup!$B$2:$B$1000,Lookup!$C$2:$C$1000),"")</f>
        <v>Equity - Large Cap (Nifty 50 oriented)</v>
      </c>
      <c r="D4286" s="8" t="str">
        <f>IFERROR(INDEX('nav master'!$C:$C, MATCH(B4286, 'nav master'!$B:$B, 0)), "")</f>
        <v>ULIF026 12/01/09 ITF 110</v>
      </c>
      <c r="E4286" s="8">
        <v>100.4157</v>
      </c>
      <c r="F4286" s="9">
        <v>46071</v>
      </c>
    </row>
    <row r="4287" spans="1:6" ht="90" x14ac:dyDescent="0.25">
      <c r="A4287" s="8" t="s">
        <v>63</v>
      </c>
      <c r="B4287" s="11" t="s">
        <v>77</v>
      </c>
      <c r="C4287" s="8" t="str">
        <f>IFERROR(_xlfn.XLOOKUP(TRIM(B4287),Lookup!$B$2:$B$1000,Lookup!$C$2:$C$1000),"")</f>
        <v>Equity - Large Cap (Nifty 50 oriented)</v>
      </c>
      <c r="D4287" s="8" t="str">
        <f>IFERROR(INDEX('nav master'!$C:$C, MATCH(B4287, 'nav master'!$B:$B, 0)), "")</f>
        <v>ULIF026 12/01/09 ITF 110</v>
      </c>
      <c r="E4287" s="8">
        <v>98.957899999999995</v>
      </c>
      <c r="F4287" s="9">
        <v>46072</v>
      </c>
    </row>
    <row r="4288" spans="1:6" ht="90" x14ac:dyDescent="0.25">
      <c r="A4288" s="8" t="s">
        <v>63</v>
      </c>
      <c r="B4288" s="11" t="s">
        <v>77</v>
      </c>
      <c r="C4288" s="8" t="str">
        <f>IFERROR(_xlfn.XLOOKUP(TRIM(B4288),Lookup!$B$2:$B$1000,Lookup!$C$2:$C$1000),"")</f>
        <v>Equity - Large Cap (Nifty 50 oriented)</v>
      </c>
      <c r="D4288" s="8" t="str">
        <f>IFERROR(INDEX('nav master'!$C:$C, MATCH(B4288, 'nav master'!$B:$B, 0)), "")</f>
        <v>ULIF026 12/01/09 ITF 110</v>
      </c>
      <c r="E4288" s="8">
        <v>99.292900000000003</v>
      </c>
      <c r="F4288" s="9">
        <v>46073</v>
      </c>
    </row>
    <row r="4289" spans="1:6" ht="90" x14ac:dyDescent="0.25">
      <c r="A4289" s="8" t="s">
        <v>63</v>
      </c>
      <c r="B4289" s="11" t="s">
        <v>77</v>
      </c>
      <c r="C4289" s="8" t="str">
        <f>IFERROR(_xlfn.XLOOKUP(TRIM(B4289),Lookup!$B$2:$B$1000,Lookup!$C$2:$C$1000),"")</f>
        <v>Equity - Large Cap (Nifty 50 oriented)</v>
      </c>
      <c r="D4289" s="8" t="str">
        <f>IFERROR(INDEX('nav master'!$C:$C, MATCH(B4289, 'nav master'!$B:$B, 0)), "")</f>
        <v>ULIF026 12/01/09 ITF 110</v>
      </c>
      <c r="E4289" s="8">
        <v>99.863100000000003</v>
      </c>
      <c r="F4289" s="9">
        <v>46076</v>
      </c>
    </row>
    <row r="4290" spans="1:6" ht="90" x14ac:dyDescent="0.25">
      <c r="A4290" s="8" t="s">
        <v>63</v>
      </c>
      <c r="B4290" s="11" t="s">
        <v>77</v>
      </c>
      <c r="C4290" s="8" t="str">
        <f>IFERROR(_xlfn.XLOOKUP(TRIM(B4290),Lookup!$B$2:$B$1000,Lookup!$C$2:$C$1000),"")</f>
        <v>Equity - Large Cap (Nifty 50 oriented)</v>
      </c>
      <c r="D4290" s="8" t="str">
        <f>IFERROR(INDEX('nav master'!$C:$C, MATCH(B4290, 'nav master'!$B:$B, 0)), "")</f>
        <v>ULIF026 12/01/09 ITF 110</v>
      </c>
      <c r="E4290" s="8">
        <v>99.0672</v>
      </c>
      <c r="F4290" s="9">
        <v>46077</v>
      </c>
    </row>
    <row r="4291" spans="1:6" ht="90" x14ac:dyDescent="0.25">
      <c r="A4291" s="8" t="s">
        <v>63</v>
      </c>
      <c r="B4291" s="11" t="s">
        <v>77</v>
      </c>
      <c r="C4291" s="8" t="str">
        <f>IFERROR(_xlfn.XLOOKUP(TRIM(B4291),Lookup!$B$2:$B$1000,Lookup!$C$2:$C$1000),"")</f>
        <v>Equity - Large Cap (Nifty 50 oriented)</v>
      </c>
      <c r="D4291" s="8" t="str">
        <f>IFERROR(INDEX('nav master'!$C:$C, MATCH(B4291, 'nav master'!$B:$B, 0)), "")</f>
        <v>ULIF026 12/01/09 ITF 110</v>
      </c>
      <c r="E4291" s="8">
        <v>99.390299999999996</v>
      </c>
      <c r="F4291" s="9">
        <v>46078</v>
      </c>
    </row>
    <row r="4292" spans="1:6" ht="90" x14ac:dyDescent="0.25">
      <c r="A4292" s="8" t="s">
        <v>63</v>
      </c>
      <c r="B4292" s="11" t="s">
        <v>77</v>
      </c>
      <c r="C4292" s="8" t="str">
        <f>IFERROR(_xlfn.XLOOKUP(TRIM(B4292),Lookup!$B$2:$B$1000,Lookup!$C$2:$C$1000),"")</f>
        <v>Equity - Large Cap (Nifty 50 oriented)</v>
      </c>
      <c r="D4292" s="8" t="str">
        <f>IFERROR(INDEX('nav master'!$C:$C, MATCH(B4292, 'nav master'!$B:$B, 0)), "")</f>
        <v>ULIF026 12/01/09 ITF 110</v>
      </c>
      <c r="E4292" s="8">
        <v>99.454700000000003</v>
      </c>
      <c r="F4292" s="9">
        <v>46079</v>
      </c>
    </row>
    <row r="4293" spans="1:6" ht="90" x14ac:dyDescent="0.25">
      <c r="A4293" s="8" t="s">
        <v>63</v>
      </c>
      <c r="B4293" s="11" t="s">
        <v>77</v>
      </c>
      <c r="C4293" s="8" t="str">
        <f>IFERROR(_xlfn.XLOOKUP(TRIM(B4293),Lookup!$B$2:$B$1000,Lookup!$C$2:$C$1000),"")</f>
        <v>Equity - Large Cap (Nifty 50 oriented)</v>
      </c>
      <c r="D4293" s="8" t="str">
        <f>IFERROR(INDEX('nav master'!$C:$C, MATCH(B4293, 'nav master'!$B:$B, 0)), "")</f>
        <v>ULIF026 12/01/09 ITF 110</v>
      </c>
      <c r="E4293" s="8">
        <v>98.495199999999997</v>
      </c>
      <c r="F4293" s="9">
        <v>46080</v>
      </c>
    </row>
    <row r="4294" spans="1:6" ht="90" x14ac:dyDescent="0.25">
      <c r="A4294" s="8" t="s">
        <v>63</v>
      </c>
      <c r="B4294" s="11" t="s">
        <v>77</v>
      </c>
      <c r="C4294" s="8" t="str">
        <f>IFERROR(_xlfn.XLOOKUP(TRIM(B4294),Lookup!$B$2:$B$1000,Lookup!$C$2:$C$1000),"")</f>
        <v>Equity - Large Cap (Nifty 50 oriented)</v>
      </c>
      <c r="D4294" s="8" t="str">
        <f>IFERROR(INDEX('nav master'!$C:$C, MATCH(B4294, 'nav master'!$B:$B, 0)), "")</f>
        <v>ULIF026 12/01/09 ITF 110</v>
      </c>
      <c r="E4294" s="8">
        <v>97.260300000000001</v>
      </c>
      <c r="F4294" s="9">
        <v>46083</v>
      </c>
    </row>
    <row r="4295" spans="1:6" ht="90" x14ac:dyDescent="0.25">
      <c r="A4295" s="8" t="s">
        <v>63</v>
      </c>
      <c r="B4295" s="11" t="s">
        <v>77</v>
      </c>
      <c r="C4295" s="8" t="str">
        <f>IFERROR(_xlfn.XLOOKUP(TRIM(B4295),Lookup!$B$2:$B$1000,Lookup!$C$2:$C$1000),"")</f>
        <v>Equity - Large Cap (Nifty 50 oriented)</v>
      </c>
      <c r="D4295" s="8" t="str">
        <f>IFERROR(INDEX('nav master'!$C:$C, MATCH(B4295, 'nav master'!$B:$B, 0)), "")</f>
        <v>ULIF026 12/01/09 ITF 110</v>
      </c>
      <c r="E4295" s="8">
        <v>95.618499999999997</v>
      </c>
      <c r="F4295" s="9">
        <v>46085</v>
      </c>
    </row>
    <row r="4296" spans="1:6" ht="90" x14ac:dyDescent="0.25">
      <c r="A4296" s="8" t="s">
        <v>63</v>
      </c>
      <c r="B4296" s="11" t="s">
        <v>77</v>
      </c>
      <c r="C4296" s="8" t="str">
        <f>IFERROR(_xlfn.XLOOKUP(TRIM(B4296),Lookup!$B$2:$B$1000,Lookup!$C$2:$C$1000),"")</f>
        <v>Equity - Large Cap (Nifty 50 oriented)</v>
      </c>
      <c r="D4296" s="8" t="str">
        <f>IFERROR(INDEX('nav master'!$C:$C, MATCH(B4296, 'nav master'!$B:$B, 0)), "")</f>
        <v>ULIF026 12/01/09 ITF 110</v>
      </c>
      <c r="E4296" s="8">
        <v>96.7988</v>
      </c>
      <c r="F4296" s="9">
        <v>46086</v>
      </c>
    </row>
    <row r="4297" spans="1:6" ht="90" x14ac:dyDescent="0.25">
      <c r="A4297" s="8" t="s">
        <v>63</v>
      </c>
      <c r="B4297" s="11" t="s">
        <v>77</v>
      </c>
      <c r="C4297" s="8" t="str">
        <f>IFERROR(_xlfn.XLOOKUP(TRIM(B4297),Lookup!$B$2:$B$1000,Lookup!$C$2:$C$1000),"")</f>
        <v>Equity - Large Cap (Nifty 50 oriented)</v>
      </c>
      <c r="D4297" s="8" t="str">
        <f>IFERROR(INDEX('nav master'!$C:$C, MATCH(B4297, 'nav master'!$B:$B, 0)), "")</f>
        <v>ULIF026 12/01/09 ITF 110</v>
      </c>
      <c r="E4297" s="8">
        <v>95.677199999999999</v>
      </c>
      <c r="F4297" s="9">
        <v>46087</v>
      </c>
    </row>
    <row r="4298" spans="1:6" ht="90" x14ac:dyDescent="0.25">
      <c r="A4298" s="8" t="s">
        <v>63</v>
      </c>
      <c r="B4298" s="11" t="s">
        <v>77</v>
      </c>
      <c r="C4298" s="8" t="str">
        <f>IFERROR(_xlfn.XLOOKUP(TRIM(B4298),Lookup!$B$2:$B$1000,Lookup!$C$2:$C$1000),"")</f>
        <v>Equity - Large Cap (Nifty 50 oriented)</v>
      </c>
      <c r="D4298" s="8" t="str">
        <f>IFERROR(INDEX('nav master'!$C:$C, MATCH(B4298, 'nav master'!$B:$B, 0)), "")</f>
        <v>ULIF026 12/01/09 ITF 110</v>
      </c>
      <c r="E4298" s="8">
        <v>94.085899999999995</v>
      </c>
      <c r="F4298" s="9">
        <v>46090</v>
      </c>
    </row>
    <row r="4299" spans="1:6" ht="90" x14ac:dyDescent="0.25">
      <c r="A4299" s="8" t="s">
        <v>63</v>
      </c>
      <c r="B4299" s="11" t="s">
        <v>77</v>
      </c>
      <c r="C4299" s="8" t="str">
        <f>IFERROR(_xlfn.XLOOKUP(TRIM(B4299),Lookup!$B$2:$B$1000,Lookup!$C$2:$C$1000),"")</f>
        <v>Equity - Large Cap (Nifty 50 oriented)</v>
      </c>
      <c r="D4299" s="8" t="str">
        <f>IFERROR(INDEX('nav master'!$C:$C, MATCH(B4299, 'nav master'!$B:$B, 0)), "")</f>
        <v>ULIF026 12/01/09 ITF 110</v>
      </c>
      <c r="E4299" s="8">
        <v>95.189700000000002</v>
      </c>
      <c r="F4299" s="9">
        <v>46091</v>
      </c>
    </row>
    <row r="4300" spans="1:6" ht="90" x14ac:dyDescent="0.25">
      <c r="A4300" s="8" t="s">
        <v>63</v>
      </c>
      <c r="B4300" s="11" t="s">
        <v>77</v>
      </c>
      <c r="C4300" s="8" t="str">
        <f>IFERROR(_xlfn.XLOOKUP(TRIM(B4300),Lookup!$B$2:$B$1000,Lookup!$C$2:$C$1000),"")</f>
        <v>Equity - Large Cap (Nifty 50 oriented)</v>
      </c>
      <c r="D4300" s="8" t="str">
        <f>IFERROR(INDEX('nav master'!$C:$C, MATCH(B4300, 'nav master'!$B:$B, 0)), "")</f>
        <v>ULIF026 12/01/09 ITF 110</v>
      </c>
      <c r="E4300" s="8">
        <v>93.817300000000003</v>
      </c>
      <c r="F4300" s="9">
        <v>46092</v>
      </c>
    </row>
    <row r="4301" spans="1:6" ht="90" x14ac:dyDescent="0.25">
      <c r="A4301" s="8" t="s">
        <v>63</v>
      </c>
      <c r="B4301" s="11" t="s">
        <v>77</v>
      </c>
      <c r="C4301" s="8" t="str">
        <f>IFERROR(_xlfn.XLOOKUP(TRIM(B4301),Lookup!$B$2:$B$1000,Lookup!$C$2:$C$1000),"")</f>
        <v>Equity - Large Cap (Nifty 50 oriented)</v>
      </c>
      <c r="D4301" s="8" t="str">
        <f>IFERROR(INDEX('nav master'!$C:$C, MATCH(B4301, 'nav master'!$B:$B, 0)), "")</f>
        <v>ULIF026 12/01/09 ITF 110</v>
      </c>
      <c r="E4301" s="8">
        <v>93.022400000000005</v>
      </c>
      <c r="F4301" s="9">
        <v>46093</v>
      </c>
    </row>
    <row r="4302" spans="1:6" ht="90" x14ac:dyDescent="0.25">
      <c r="A4302" s="8" t="s">
        <v>63</v>
      </c>
      <c r="B4302" s="11" t="s">
        <v>77</v>
      </c>
      <c r="C4302" s="8" t="str">
        <f>IFERROR(_xlfn.XLOOKUP(TRIM(B4302),Lookup!$B$2:$B$1000,Lookup!$C$2:$C$1000),"")</f>
        <v>Equity - Large Cap (Nifty 50 oriented)</v>
      </c>
      <c r="D4302" s="8" t="str">
        <f>IFERROR(INDEX('nav master'!$C:$C, MATCH(B4302, 'nav master'!$B:$B, 0)), "")</f>
        <v>ULIF026 12/01/09 ITF 110</v>
      </c>
      <c r="E4302" s="8">
        <v>91.1648</v>
      </c>
      <c r="F4302" s="9">
        <v>46094</v>
      </c>
    </row>
    <row r="4303" spans="1:6" ht="90" x14ac:dyDescent="0.25">
      <c r="A4303" s="8" t="s">
        <v>63</v>
      </c>
      <c r="B4303" s="11" t="s">
        <v>77</v>
      </c>
      <c r="C4303" s="8" t="str">
        <f>IFERROR(_xlfn.XLOOKUP(TRIM(B4303),Lookup!$B$2:$B$1000,Lookup!$C$2:$C$1000),"")</f>
        <v>Equity - Large Cap (Nifty 50 oriented)</v>
      </c>
      <c r="D4303" s="8" t="str">
        <f>IFERROR(INDEX('nav master'!$C:$C, MATCH(B4303, 'nav master'!$B:$B, 0)), "")</f>
        <v>ULIF026 12/01/09 ITF 110</v>
      </c>
      <c r="E4303" s="8">
        <v>91.835700000000003</v>
      </c>
      <c r="F4303" s="9">
        <v>46097</v>
      </c>
    </row>
    <row r="4304" spans="1:6" ht="90" x14ac:dyDescent="0.25">
      <c r="A4304" s="8" t="s">
        <v>63</v>
      </c>
      <c r="B4304" s="11" t="s">
        <v>77</v>
      </c>
      <c r="C4304" s="8" t="str">
        <f>IFERROR(_xlfn.XLOOKUP(TRIM(B4304),Lookup!$B$2:$B$1000,Lookup!$C$2:$C$1000),"")</f>
        <v>Equity - Large Cap (Nifty 50 oriented)</v>
      </c>
      <c r="D4304" s="8" t="str">
        <f>IFERROR(INDEX('nav master'!$C:$C, MATCH(B4304, 'nav master'!$B:$B, 0)), "")</f>
        <v>ULIF026 12/01/09 ITF 110</v>
      </c>
      <c r="E4304" s="8">
        <v>92.766800000000003</v>
      </c>
      <c r="F4304" s="9">
        <v>46098</v>
      </c>
    </row>
    <row r="4305" spans="1:6" ht="90" x14ac:dyDescent="0.25">
      <c r="A4305" s="8" t="s">
        <v>63</v>
      </c>
      <c r="B4305" s="11" t="s">
        <v>77</v>
      </c>
      <c r="C4305" s="8" t="str">
        <f>IFERROR(_xlfn.XLOOKUP(TRIM(B4305),Lookup!$B$2:$B$1000,Lookup!$C$2:$C$1000),"")</f>
        <v>Equity - Large Cap (Nifty 50 oriented)</v>
      </c>
      <c r="D4305" s="8" t="str">
        <f>IFERROR(INDEX('nav master'!$C:$C, MATCH(B4305, 'nav master'!$B:$B, 0)), "")</f>
        <v>ULIF026 12/01/09 ITF 110</v>
      </c>
      <c r="E4305" s="8">
        <v>93.650999999999996</v>
      </c>
      <c r="F4305" s="9">
        <v>46099</v>
      </c>
    </row>
    <row r="4306" spans="1:6" ht="90" x14ac:dyDescent="0.25">
      <c r="A4306" s="8" t="s">
        <v>63</v>
      </c>
      <c r="B4306" s="11" t="s">
        <v>77</v>
      </c>
      <c r="C4306" s="8" t="str">
        <f>IFERROR(_xlfn.XLOOKUP(TRIM(B4306),Lookup!$B$2:$B$1000,Lookup!$C$2:$C$1000),"")</f>
        <v>Equity - Large Cap (Nifty 50 oriented)</v>
      </c>
      <c r="D4306" s="8" t="str">
        <f>IFERROR(INDEX('nav master'!$C:$C, MATCH(B4306, 'nav master'!$B:$B, 0)), "")</f>
        <v>ULIF026 12/01/09 ITF 110</v>
      </c>
      <c r="E4306" s="8">
        <v>90.685000000000002</v>
      </c>
      <c r="F4306" s="9">
        <v>46100</v>
      </c>
    </row>
    <row r="4307" spans="1:6" ht="90" x14ac:dyDescent="0.25">
      <c r="A4307" s="8" t="s">
        <v>63</v>
      </c>
      <c r="B4307" s="11" t="s">
        <v>77</v>
      </c>
      <c r="C4307" s="8" t="str">
        <f>IFERROR(_xlfn.XLOOKUP(TRIM(B4307),Lookup!$B$2:$B$1000,Lookup!$C$2:$C$1000),"")</f>
        <v>Equity - Large Cap (Nifty 50 oriented)</v>
      </c>
      <c r="D4307" s="8" t="str">
        <f>IFERROR(INDEX('nav master'!$C:$C, MATCH(B4307, 'nav master'!$B:$B, 0)), "")</f>
        <v>ULIF026 12/01/09 ITF 110</v>
      </c>
      <c r="E4307" s="8">
        <v>91.059899999999999</v>
      </c>
      <c r="F4307" s="9">
        <v>46101</v>
      </c>
    </row>
    <row r="4308" spans="1:6" ht="90" x14ac:dyDescent="0.25">
      <c r="A4308" s="8" t="s">
        <v>63</v>
      </c>
      <c r="B4308" s="11" t="s">
        <v>77</v>
      </c>
      <c r="C4308" s="8" t="str">
        <f>IFERROR(_xlfn.XLOOKUP(TRIM(B4308),Lookup!$B$2:$B$1000,Lookup!$C$2:$C$1000),"")</f>
        <v>Equity - Large Cap (Nifty 50 oriented)</v>
      </c>
      <c r="D4308" s="8" t="str">
        <f>IFERROR(INDEX('nav master'!$C:$C, MATCH(B4308, 'nav master'!$B:$B, 0)), "")</f>
        <v>ULIF026 12/01/09 ITF 110</v>
      </c>
      <c r="E4308" s="8">
        <v>88.493399999999994</v>
      </c>
      <c r="F4308" s="9">
        <v>46104</v>
      </c>
    </row>
    <row r="4309" spans="1:6" ht="90" x14ac:dyDescent="0.25">
      <c r="A4309" s="8" t="s">
        <v>63</v>
      </c>
      <c r="B4309" s="11" t="s">
        <v>77</v>
      </c>
      <c r="C4309" s="8" t="str">
        <f>IFERROR(_xlfn.XLOOKUP(TRIM(B4309),Lookup!$B$2:$B$1000,Lookup!$C$2:$C$1000),"")</f>
        <v>Equity - Large Cap (Nifty 50 oriented)</v>
      </c>
      <c r="D4309" s="8" t="str">
        <f>IFERROR(INDEX('nav master'!$C:$C, MATCH(B4309, 'nav master'!$B:$B, 0)), "")</f>
        <v>ULIF026 12/01/09 ITF 110</v>
      </c>
      <c r="E4309" s="8">
        <v>90.3459</v>
      </c>
      <c r="F4309" s="9">
        <v>46105</v>
      </c>
    </row>
    <row r="4310" spans="1:6" ht="90" x14ac:dyDescent="0.25">
      <c r="A4310" s="8" t="s">
        <v>63</v>
      </c>
      <c r="B4310" s="11" t="s">
        <v>77</v>
      </c>
      <c r="C4310" s="8" t="str">
        <f>IFERROR(_xlfn.XLOOKUP(TRIM(B4310),Lookup!$B$2:$B$1000,Lookup!$C$2:$C$1000),"")</f>
        <v>Equity - Large Cap (Nifty 50 oriented)</v>
      </c>
      <c r="D4310" s="8" t="str">
        <f>IFERROR(INDEX('nav master'!$C:$C, MATCH(B4310, 'nav master'!$B:$B, 0)), "")</f>
        <v>ULIF026 12/01/09 ITF 110</v>
      </c>
      <c r="E4310" s="8">
        <v>91.856800000000007</v>
      </c>
      <c r="F4310" s="9">
        <v>46106</v>
      </c>
    </row>
    <row r="4311" spans="1:6" ht="90" x14ac:dyDescent="0.25">
      <c r="A4311" s="8" t="s">
        <v>63</v>
      </c>
      <c r="B4311" s="11" t="s">
        <v>77</v>
      </c>
      <c r="C4311" s="8" t="str">
        <f>IFERROR(_xlfn.XLOOKUP(TRIM(B4311),Lookup!$B$2:$B$1000,Lookup!$C$2:$C$1000),"")</f>
        <v>Equity - Large Cap (Nifty 50 oriented)</v>
      </c>
      <c r="D4311" s="8" t="str">
        <f>IFERROR(INDEX('nav master'!$C:$C, MATCH(B4311, 'nav master'!$B:$B, 0)), "")</f>
        <v>ULIF026 12/01/09 ITF 110</v>
      </c>
      <c r="E4311" s="8">
        <v>89.879900000000006</v>
      </c>
      <c r="F4311" s="9">
        <v>46108</v>
      </c>
    </row>
    <row r="4312" spans="1:6" ht="90" x14ac:dyDescent="0.25">
      <c r="A4312" s="8" t="s">
        <v>63</v>
      </c>
      <c r="B4312" s="11" t="s">
        <v>77</v>
      </c>
      <c r="C4312" s="8" t="str">
        <f>IFERROR(_xlfn.XLOOKUP(TRIM(B4312),Lookup!$B$2:$B$1000,Lookup!$C$2:$C$1000),"")</f>
        <v>Equity - Large Cap (Nifty 50 oriented)</v>
      </c>
      <c r="D4312" s="8" t="str">
        <f>IFERROR(INDEX('nav master'!$C:$C, MATCH(B4312, 'nav master'!$B:$B, 0)), "")</f>
        <v>ULIF026 12/01/09 ITF 110</v>
      </c>
      <c r="E4312" s="8">
        <v>87.810500000000005</v>
      </c>
      <c r="F4312" s="9">
        <v>46111</v>
      </c>
    </row>
    <row r="4313" spans="1:6" ht="90" x14ac:dyDescent="0.25">
      <c r="A4313" s="8" t="s">
        <v>63</v>
      </c>
      <c r="B4313" s="11" t="s">
        <v>77</v>
      </c>
      <c r="C4313" s="8" t="str">
        <f>IFERROR(_xlfn.XLOOKUP(TRIM(B4313),Lookup!$B$2:$B$1000,Lookup!$C$2:$C$1000),"")</f>
        <v>Equity - Large Cap (Nifty 50 oriented)</v>
      </c>
      <c r="D4313" s="8" t="str">
        <f>IFERROR(INDEX('nav master'!$C:$C, MATCH(B4313, 'nav master'!$B:$B, 0)), "")</f>
        <v>ULIF026 12/01/09 ITF 110</v>
      </c>
      <c r="E4313" s="8">
        <v>87.808199999999999</v>
      </c>
      <c r="F4313" s="9">
        <v>46112</v>
      </c>
    </row>
    <row r="4314" spans="1:6" ht="90" x14ac:dyDescent="0.25">
      <c r="A4314" s="8" t="s">
        <v>63</v>
      </c>
      <c r="B4314" s="11" t="s">
        <v>77</v>
      </c>
      <c r="C4314" s="8" t="str">
        <f>IFERROR(_xlfn.XLOOKUP(TRIM(B4314),Lookup!$B$2:$B$1000,Lookup!$C$2:$C$1000),"")</f>
        <v>Equity - Large Cap (Nifty 50 oriented)</v>
      </c>
      <c r="D4314" s="8" t="str">
        <f>IFERROR(INDEX('nav master'!$C:$C, MATCH(B4314, 'nav master'!$B:$B, 0)), "")</f>
        <v>ULIF026 12/01/09 ITF 110</v>
      </c>
      <c r="E4314" s="8">
        <v>89.213999999999999</v>
      </c>
      <c r="F4314" s="9">
        <v>46113</v>
      </c>
    </row>
    <row r="4315" spans="1:6" ht="90" x14ac:dyDescent="0.25">
      <c r="A4315" s="8" t="s">
        <v>63</v>
      </c>
      <c r="B4315" s="11" t="s">
        <v>77</v>
      </c>
      <c r="C4315" s="8" t="str">
        <f>IFERROR(_xlfn.XLOOKUP(TRIM(B4315),Lookup!$B$2:$B$1000,Lookup!$C$2:$C$1000),"")</f>
        <v>Equity - Large Cap (Nifty 50 oriented)</v>
      </c>
      <c r="D4315" s="8" t="str">
        <f>IFERROR(INDEX('nav master'!$C:$C, MATCH(B4315, 'nav master'!$B:$B, 0)), "")</f>
        <v>ULIF026 12/01/09 ITF 110</v>
      </c>
      <c r="E4315" s="8">
        <v>89.017300000000006</v>
      </c>
      <c r="F4315" s="9">
        <v>46114</v>
      </c>
    </row>
    <row r="4316" spans="1:6" ht="90" x14ac:dyDescent="0.25">
      <c r="A4316" s="8" t="s">
        <v>63</v>
      </c>
      <c r="B4316" s="11" t="s">
        <v>77</v>
      </c>
      <c r="C4316" s="8" t="str">
        <f>IFERROR(_xlfn.XLOOKUP(TRIM(B4316),Lookup!$B$2:$B$1000,Lookup!$C$2:$C$1000),"")</f>
        <v>Equity - Large Cap (Nifty 50 oriented)</v>
      </c>
      <c r="D4316" s="8" t="str">
        <f>IFERROR(INDEX('nav master'!$C:$C, MATCH(B4316, 'nav master'!$B:$B, 0)), "")</f>
        <v>ULIF026 12/01/09 ITF 110</v>
      </c>
      <c r="E4316" s="8">
        <v>89.974800000000002</v>
      </c>
      <c r="F4316" s="9">
        <v>46118</v>
      </c>
    </row>
    <row r="4317" spans="1:6" ht="90" x14ac:dyDescent="0.25">
      <c r="A4317" s="8" t="s">
        <v>63</v>
      </c>
      <c r="B4317" s="11" t="s">
        <v>77</v>
      </c>
      <c r="C4317" s="8" t="str">
        <f>IFERROR(_xlfn.XLOOKUP(TRIM(B4317),Lookup!$B$2:$B$1000,Lookup!$C$2:$C$1000),"")</f>
        <v>Equity - Large Cap (Nifty 50 oriented)</v>
      </c>
      <c r="D4317" s="8" t="str">
        <f>IFERROR(INDEX('nav master'!$C:$C, MATCH(B4317, 'nav master'!$B:$B, 0)), "")</f>
        <v>ULIF026 12/01/09 ITF 110</v>
      </c>
      <c r="E4317" s="8">
        <v>90.392600000000002</v>
      </c>
      <c r="F4317" s="9">
        <v>46119</v>
      </c>
    </row>
    <row r="4318" spans="1:6" ht="90" x14ac:dyDescent="0.25">
      <c r="A4318" s="8" t="s">
        <v>63</v>
      </c>
      <c r="B4318" s="11" t="s">
        <v>77</v>
      </c>
      <c r="C4318" s="8" t="str">
        <f>IFERROR(_xlfn.XLOOKUP(TRIM(B4318),Lookup!$B$2:$B$1000,Lookup!$C$2:$C$1000),"")</f>
        <v>Equity - Large Cap (Nifty 50 oriented)</v>
      </c>
      <c r="D4318" s="8" t="str">
        <f>IFERROR(INDEX('nav master'!$C:$C, MATCH(B4318, 'nav master'!$B:$B, 0)), "")</f>
        <v>ULIF026 12/01/09 ITF 110</v>
      </c>
      <c r="E4318" s="8">
        <v>93.932000000000002</v>
      </c>
      <c r="F4318" s="9">
        <v>46120</v>
      </c>
    </row>
    <row r="4319" spans="1:6" ht="90" x14ac:dyDescent="0.25">
      <c r="A4319" s="8" t="s">
        <v>63</v>
      </c>
      <c r="B4319" s="11" t="s">
        <v>77</v>
      </c>
      <c r="C4319" s="8" t="str">
        <f>IFERROR(_xlfn.XLOOKUP(TRIM(B4319),Lookup!$B$2:$B$1000,Lookup!$C$2:$C$1000),"")</f>
        <v>Equity - Large Cap (Nifty 50 oriented)</v>
      </c>
      <c r="D4319" s="8" t="str">
        <f>IFERROR(INDEX('nav master'!$C:$C, MATCH(B4319, 'nav master'!$B:$B, 0)), "")</f>
        <v>ULIF026 12/01/09 ITF 110</v>
      </c>
      <c r="E4319" s="8">
        <v>93.168999999999997</v>
      </c>
      <c r="F4319" s="9">
        <v>46121</v>
      </c>
    </row>
    <row r="4320" spans="1:6" ht="90" x14ac:dyDescent="0.25">
      <c r="A4320" s="8" t="s">
        <v>63</v>
      </c>
      <c r="B4320" s="11" t="s">
        <v>77</v>
      </c>
      <c r="C4320" s="8" t="str">
        <f>IFERROR(_xlfn.XLOOKUP(TRIM(B4320),Lookup!$B$2:$B$1000,Lookup!$C$2:$C$1000),"")</f>
        <v>Equity - Large Cap (Nifty 50 oriented)</v>
      </c>
      <c r="D4320" s="8" t="str">
        <f>IFERROR(INDEX('nav master'!$C:$C, MATCH(B4320, 'nav master'!$B:$B, 0)), "")</f>
        <v>ULIF026 12/01/09 ITF 110</v>
      </c>
      <c r="E4320" s="8">
        <v>94.516000000000005</v>
      </c>
      <c r="F4320" s="9">
        <v>46122</v>
      </c>
    </row>
    <row r="4321" spans="1:6" ht="90" x14ac:dyDescent="0.25">
      <c r="A4321" s="8" t="s">
        <v>63</v>
      </c>
      <c r="B4321" s="11" t="s">
        <v>77</v>
      </c>
      <c r="C4321" s="8" t="str">
        <f>IFERROR(_xlfn.XLOOKUP(TRIM(B4321),Lookup!$B$2:$B$1000,Lookup!$C$2:$C$1000),"")</f>
        <v>Equity - Large Cap (Nifty 50 oriented)</v>
      </c>
      <c r="D4321" s="8" t="str">
        <f>IFERROR(INDEX('nav master'!$C:$C, MATCH(B4321, 'nav master'!$B:$B, 0)), "")</f>
        <v>ULIF026 12/01/09 ITF 110</v>
      </c>
      <c r="E4321" s="8">
        <v>94.010400000000004</v>
      </c>
      <c r="F4321" s="9">
        <v>46125</v>
      </c>
    </row>
    <row r="4322" spans="1:6" ht="90" x14ac:dyDescent="0.25">
      <c r="A4322" s="8" t="s">
        <v>63</v>
      </c>
      <c r="B4322" s="11" t="s">
        <v>77</v>
      </c>
      <c r="C4322" s="8" t="str">
        <f>IFERROR(_xlfn.XLOOKUP(TRIM(B4322),Lookup!$B$2:$B$1000,Lookup!$C$2:$C$1000),"")</f>
        <v>Equity - Large Cap (Nifty 50 oriented)</v>
      </c>
      <c r="D4322" s="8" t="str">
        <f>IFERROR(INDEX('nav master'!$C:$C, MATCH(B4322, 'nav master'!$B:$B, 0)), "")</f>
        <v>ULIF026 12/01/09 ITF 110</v>
      </c>
      <c r="E4322" s="8">
        <v>95.472499999999997</v>
      </c>
      <c r="F4322" s="9">
        <v>46127</v>
      </c>
    </row>
    <row r="4323" spans="1:6" ht="90" x14ac:dyDescent="0.25">
      <c r="A4323" s="8" t="s">
        <v>63</v>
      </c>
      <c r="B4323" s="11" t="s">
        <v>77</v>
      </c>
      <c r="C4323" s="8" t="str">
        <f>IFERROR(_xlfn.XLOOKUP(TRIM(B4323),Lookup!$B$2:$B$1000,Lookup!$C$2:$C$1000),"")</f>
        <v>Equity - Large Cap (Nifty 50 oriented)</v>
      </c>
      <c r="D4323" s="8" t="str">
        <f>IFERROR(INDEX('nav master'!$C:$C, MATCH(B4323, 'nav master'!$B:$B, 0)), "")</f>
        <v>ULIF026 12/01/09 ITF 110</v>
      </c>
      <c r="E4323" s="8">
        <v>95.518299999999996</v>
      </c>
      <c r="F4323" s="9">
        <v>46128</v>
      </c>
    </row>
    <row r="4324" spans="1:6" ht="90" x14ac:dyDescent="0.25">
      <c r="A4324" s="8" t="s">
        <v>63</v>
      </c>
      <c r="B4324" s="11" t="s">
        <v>77</v>
      </c>
      <c r="C4324" s="8" t="str">
        <f>IFERROR(_xlfn.XLOOKUP(TRIM(B4324),Lookup!$B$2:$B$1000,Lookup!$C$2:$C$1000),"")</f>
        <v>Equity - Large Cap (Nifty 50 oriented)</v>
      </c>
      <c r="D4324" s="8" t="str">
        <f>IFERROR(INDEX('nav master'!$C:$C, MATCH(B4324, 'nav master'!$B:$B, 0)), "")</f>
        <v>ULIF026 12/01/09 ITF 110</v>
      </c>
      <c r="E4324" s="8">
        <v>96.077399999999997</v>
      </c>
      <c r="F4324" s="9">
        <v>46129</v>
      </c>
    </row>
    <row r="4325" spans="1:6" ht="90" x14ac:dyDescent="0.25">
      <c r="A4325" s="8" t="s">
        <v>63</v>
      </c>
      <c r="B4325" s="11" t="s">
        <v>77</v>
      </c>
      <c r="C4325" s="8" t="str">
        <f>IFERROR(_xlfn.XLOOKUP(TRIM(B4325),Lookup!$B$2:$B$1000,Lookup!$C$2:$C$1000),"")</f>
        <v>Equity - Large Cap (Nifty 50 oriented)</v>
      </c>
      <c r="D4325" s="8" t="str">
        <f>IFERROR(INDEX('nav master'!$C:$C, MATCH(B4325, 'nav master'!$B:$B, 0)), "")</f>
        <v>ULIF026 12/01/09 ITF 110</v>
      </c>
      <c r="E4325" s="8">
        <v>96.111400000000003</v>
      </c>
      <c r="F4325" s="9">
        <v>46132</v>
      </c>
    </row>
    <row r="4326" spans="1:6" ht="90" x14ac:dyDescent="0.25">
      <c r="A4326" s="8" t="s">
        <v>63</v>
      </c>
      <c r="B4326" s="11" t="s">
        <v>77</v>
      </c>
      <c r="C4326" s="8" t="str">
        <f>IFERROR(_xlfn.XLOOKUP(TRIM(B4326),Lookup!$B$2:$B$1000,Lookup!$C$2:$C$1000),"")</f>
        <v>Equity - Large Cap (Nifty 50 oriented)</v>
      </c>
      <c r="D4326" s="8" t="str">
        <f>IFERROR(INDEX('nav master'!$C:$C, MATCH(B4326, 'nav master'!$B:$B, 0)), "")</f>
        <v>ULIF026 12/01/09 ITF 110</v>
      </c>
      <c r="E4326" s="8">
        <v>96.962500000000006</v>
      </c>
      <c r="F4326" s="9">
        <v>46133</v>
      </c>
    </row>
    <row r="4327" spans="1:6" ht="90" x14ac:dyDescent="0.25">
      <c r="A4327" s="8" t="s">
        <v>63</v>
      </c>
      <c r="B4327" s="11" t="s">
        <v>77</v>
      </c>
      <c r="C4327" s="8" t="str">
        <f>IFERROR(_xlfn.XLOOKUP(TRIM(B4327),Lookup!$B$2:$B$1000,Lookup!$C$2:$C$1000),"")</f>
        <v>Equity - Large Cap (Nifty 50 oriented)</v>
      </c>
      <c r="D4327" s="8" t="str">
        <f>IFERROR(INDEX('nav master'!$C:$C, MATCH(B4327, 'nav master'!$B:$B, 0)), "")</f>
        <v>ULIF026 12/01/09 ITF 110</v>
      </c>
      <c r="E4327" s="8">
        <v>96.389700000000005</v>
      </c>
      <c r="F4327" s="9">
        <v>46134</v>
      </c>
    </row>
    <row r="4328" spans="1:6" ht="90" x14ac:dyDescent="0.25">
      <c r="A4328" s="8" t="s">
        <v>63</v>
      </c>
      <c r="B4328" s="11" t="s">
        <v>77</v>
      </c>
      <c r="C4328" s="8" t="str">
        <f>IFERROR(_xlfn.XLOOKUP(TRIM(B4328),Lookup!$B$2:$B$1000,Lookup!$C$2:$C$1000),"")</f>
        <v>Equity - Large Cap (Nifty 50 oriented)</v>
      </c>
      <c r="D4328" s="8" t="str">
        <f>IFERROR(INDEX('nav master'!$C:$C, MATCH(B4328, 'nav master'!$B:$B, 0)), "")</f>
        <v>ULIF026 12/01/09 ITF 110</v>
      </c>
      <c r="E4328" s="8">
        <v>95.413399999999996</v>
      </c>
      <c r="F4328" s="9">
        <v>46135</v>
      </c>
    </row>
    <row r="4329" spans="1:6" ht="90" x14ac:dyDescent="0.25">
      <c r="A4329" s="8" t="s">
        <v>63</v>
      </c>
      <c r="B4329" s="11" t="s">
        <v>77</v>
      </c>
      <c r="C4329" s="8" t="str">
        <f>IFERROR(_xlfn.XLOOKUP(TRIM(B4329),Lookup!$B$2:$B$1000,Lookup!$C$2:$C$1000),"")</f>
        <v>Equity - Large Cap (Nifty 50 oriented)</v>
      </c>
      <c r="D4329" s="8" t="str">
        <f>IFERROR(INDEX('nav master'!$C:$C, MATCH(B4329, 'nav master'!$B:$B, 0)), "")</f>
        <v>ULIF026 12/01/09 ITF 110</v>
      </c>
      <c r="E4329" s="8">
        <v>94.550200000000004</v>
      </c>
      <c r="F4329" s="9">
        <v>46136</v>
      </c>
    </row>
    <row r="4330" spans="1:6" ht="90" x14ac:dyDescent="0.25">
      <c r="A4330" s="8" t="s">
        <v>63</v>
      </c>
      <c r="B4330" s="11" t="s">
        <v>77</v>
      </c>
      <c r="C4330" s="8" t="str">
        <f>IFERROR(_xlfn.XLOOKUP(TRIM(B4330),Lookup!$B$2:$B$1000,Lookup!$C$2:$C$1000),"")</f>
        <v>Equity - Large Cap (Nifty 50 oriented)</v>
      </c>
      <c r="D4330" s="8" t="str">
        <f>IFERROR(INDEX('nav master'!$C:$C, MATCH(B4330, 'nav master'!$B:$B, 0)), "")</f>
        <v>ULIF026 12/01/09 ITF 110</v>
      </c>
      <c r="E4330" s="8">
        <v>95.251800000000003</v>
      </c>
      <c r="F4330" s="9">
        <v>46139</v>
      </c>
    </row>
    <row r="4331" spans="1:6" ht="90" x14ac:dyDescent="0.25">
      <c r="A4331" s="8" t="s">
        <v>63</v>
      </c>
      <c r="B4331" s="11" t="s">
        <v>77</v>
      </c>
      <c r="C4331" s="8" t="str">
        <f>IFERROR(_xlfn.XLOOKUP(TRIM(B4331),Lookup!$B$2:$B$1000,Lookup!$C$2:$C$1000),"")</f>
        <v>Equity - Large Cap (Nifty 50 oriented)</v>
      </c>
      <c r="D4331" s="8" t="str">
        <f>IFERROR(INDEX('nav master'!$C:$C, MATCH(B4331, 'nav master'!$B:$B, 0)), "")</f>
        <v>ULIF026 12/01/09 ITF 110</v>
      </c>
      <c r="E4331" s="8">
        <v>94.667100000000005</v>
      </c>
      <c r="F4331" s="9">
        <v>46140</v>
      </c>
    </row>
    <row r="4332" spans="1:6" ht="90" x14ac:dyDescent="0.25">
      <c r="A4332" s="8" t="s">
        <v>63</v>
      </c>
      <c r="B4332" s="11" t="s">
        <v>77</v>
      </c>
      <c r="C4332" s="8" t="str">
        <f>IFERROR(_xlfn.XLOOKUP(TRIM(B4332),Lookup!$B$2:$B$1000,Lookup!$C$2:$C$1000),"")</f>
        <v>Equity - Large Cap (Nifty 50 oriented)</v>
      </c>
      <c r="D4332" s="8" t="str">
        <f>IFERROR(INDEX('nav master'!$C:$C, MATCH(B4332, 'nav master'!$B:$B, 0)), "")</f>
        <v>ULIF026 12/01/09 ITF 110</v>
      </c>
      <c r="E4332" s="8">
        <v>95.0839</v>
      </c>
      <c r="F4332" s="9">
        <v>46141</v>
      </c>
    </row>
    <row r="4333" spans="1:6" ht="90" x14ac:dyDescent="0.25">
      <c r="A4333" s="8" t="s">
        <v>63</v>
      </c>
      <c r="B4333" s="11" t="s">
        <v>77</v>
      </c>
      <c r="C4333" s="8" t="str">
        <f>IFERROR(_xlfn.XLOOKUP(TRIM(B4333),Lookup!$B$2:$B$1000,Lookup!$C$2:$C$1000),"")</f>
        <v>Equity - Large Cap (Nifty 50 oriented)</v>
      </c>
      <c r="D4333" s="8" t="str">
        <f>IFERROR(INDEX('nav master'!$C:$C, MATCH(B4333, 'nav master'!$B:$B, 0)), "")</f>
        <v>ULIF026 12/01/09 ITF 110</v>
      </c>
      <c r="E4333" s="8">
        <v>94.429299999999998</v>
      </c>
      <c r="F4333" s="9">
        <v>46142</v>
      </c>
    </row>
    <row r="4334" spans="1:6" ht="90" x14ac:dyDescent="0.25">
      <c r="A4334" s="8" t="s">
        <v>63</v>
      </c>
      <c r="B4334" s="11" t="s">
        <v>77</v>
      </c>
      <c r="C4334" s="8" t="str">
        <f>IFERROR(_xlfn.XLOOKUP(TRIM(B4334),Lookup!$B$2:$B$1000,Lookup!$C$2:$C$1000),"")</f>
        <v>Equity - Large Cap (Nifty 50 oriented)</v>
      </c>
      <c r="D4334" s="8" t="str">
        <f>IFERROR(INDEX('nav master'!$C:$C, MATCH(B4334, 'nav master'!$B:$B, 0)), "")</f>
        <v>ULIF026 12/01/09 ITF 110</v>
      </c>
      <c r="E4334" s="8">
        <v>94.870500000000007</v>
      </c>
      <c r="F4334" s="9">
        <v>46146</v>
      </c>
    </row>
    <row r="4335" spans="1:6" ht="90" x14ac:dyDescent="0.25">
      <c r="A4335" s="8" t="s">
        <v>63</v>
      </c>
      <c r="B4335" s="11" t="s">
        <v>77</v>
      </c>
      <c r="C4335" s="8" t="str">
        <f>IFERROR(_xlfn.XLOOKUP(TRIM(B4335),Lookup!$B$2:$B$1000,Lookup!$C$2:$C$1000),"")</f>
        <v>Equity - Large Cap (Nifty 50 oriented)</v>
      </c>
      <c r="D4335" s="8" t="str">
        <f>IFERROR(INDEX('nav master'!$C:$C, MATCH(B4335, 'nav master'!$B:$B, 0)), "")</f>
        <v>ULIF026 12/01/09 ITF 110</v>
      </c>
      <c r="E4335" s="8">
        <v>94.527100000000004</v>
      </c>
      <c r="F4335" s="9">
        <v>46147</v>
      </c>
    </row>
    <row r="4336" spans="1:6" ht="90" x14ac:dyDescent="0.25">
      <c r="A4336" s="8" t="s">
        <v>63</v>
      </c>
      <c r="B4336" s="11" t="s">
        <v>77</v>
      </c>
      <c r="C4336" s="8" t="str">
        <f>IFERROR(_xlfn.XLOOKUP(TRIM(B4336),Lookup!$B$2:$B$1000,Lookup!$C$2:$C$1000),"")</f>
        <v>Equity - Large Cap (Nifty 50 oriented)</v>
      </c>
      <c r="D4336" s="8" t="str">
        <f>IFERROR(INDEX('nav master'!$C:$C, MATCH(B4336, 'nav master'!$B:$B, 0)), "")</f>
        <v>ULIF026 12/01/09 ITF 110</v>
      </c>
      <c r="E4336" s="8">
        <v>95.892799999999994</v>
      </c>
      <c r="F4336" s="9">
        <v>46148</v>
      </c>
    </row>
    <row r="4337" spans="1:6" ht="90" x14ac:dyDescent="0.25">
      <c r="A4337" s="8" t="s">
        <v>63</v>
      </c>
      <c r="B4337" s="11" t="s">
        <v>77</v>
      </c>
      <c r="C4337" s="8" t="str">
        <f>IFERROR(_xlfn.XLOOKUP(TRIM(B4337),Lookup!$B$2:$B$1000,Lookup!$C$2:$C$1000),"")</f>
        <v>Equity - Large Cap (Nifty 50 oriented)</v>
      </c>
      <c r="D4337" s="8" t="str">
        <f>IFERROR(INDEX('nav master'!$C:$C, MATCH(B4337, 'nav master'!$B:$B, 0)), "")</f>
        <v>ULIF026 12/01/09 ITF 110</v>
      </c>
      <c r="E4337" s="8">
        <v>96.195700000000002</v>
      </c>
      <c r="F4337" s="9">
        <v>46149</v>
      </c>
    </row>
    <row r="4338" spans="1:6" ht="90" x14ac:dyDescent="0.25">
      <c r="A4338" s="8" t="s">
        <v>63</v>
      </c>
      <c r="B4338" s="11" t="s">
        <v>77</v>
      </c>
      <c r="C4338" s="8" t="str">
        <f>IFERROR(_xlfn.XLOOKUP(TRIM(B4338),Lookup!$B$2:$B$1000,Lookup!$C$2:$C$1000),"")</f>
        <v>Equity - Large Cap (Nifty 50 oriented)</v>
      </c>
      <c r="D4338" s="8" t="str">
        <f>IFERROR(INDEX('nav master'!$C:$C, MATCH(B4338, 'nav master'!$B:$B, 0)), "")</f>
        <v>ULIF026 12/01/09 ITF 110</v>
      </c>
      <c r="E4338" s="8">
        <v>95.596500000000006</v>
      </c>
      <c r="F4338" s="9">
        <v>46150</v>
      </c>
    </row>
    <row r="4339" spans="1:6" ht="90" x14ac:dyDescent="0.25">
      <c r="A4339" s="8" t="s">
        <v>63</v>
      </c>
      <c r="B4339" s="11" t="s">
        <v>77</v>
      </c>
      <c r="C4339" s="8" t="str">
        <f>IFERROR(_xlfn.XLOOKUP(TRIM(B4339),Lookup!$B$2:$B$1000,Lookup!$C$2:$C$1000),"")</f>
        <v>Equity - Large Cap (Nifty 50 oriented)</v>
      </c>
      <c r="D4339" s="8" t="str">
        <f>IFERROR(INDEX('nav master'!$C:$C, MATCH(B4339, 'nav master'!$B:$B, 0)), "")</f>
        <v>ULIF026 12/01/09 ITF 110</v>
      </c>
      <c r="E4339" s="8">
        <v>94.199299999999994</v>
      </c>
      <c r="F4339" s="9">
        <v>46153</v>
      </c>
    </row>
    <row r="4340" spans="1:6" ht="90" x14ac:dyDescent="0.25">
      <c r="A4340" s="8" t="s">
        <v>63</v>
      </c>
      <c r="B4340" s="11" t="s">
        <v>77</v>
      </c>
      <c r="C4340" s="8" t="str">
        <f>IFERROR(_xlfn.XLOOKUP(TRIM(B4340),Lookup!$B$2:$B$1000,Lookup!$C$2:$C$1000),"")</f>
        <v>Equity - Large Cap (Nifty 50 oriented)</v>
      </c>
      <c r="D4340" s="8" t="str">
        <f>IFERROR(INDEX('nav master'!$C:$C, MATCH(B4340, 'nav master'!$B:$B, 0)), "")</f>
        <v>ULIF026 12/01/09 ITF 110</v>
      </c>
      <c r="E4340" s="8">
        <v>92.526300000000006</v>
      </c>
      <c r="F4340" s="9">
        <v>46154</v>
      </c>
    </row>
    <row r="4341" spans="1:6" ht="90" x14ac:dyDescent="0.25">
      <c r="A4341" s="8" t="s">
        <v>63</v>
      </c>
      <c r="B4341" s="11" t="s">
        <v>77</v>
      </c>
      <c r="C4341" s="8" t="str">
        <f>IFERROR(_xlfn.XLOOKUP(TRIM(B4341),Lookup!$B$2:$B$1000,Lookup!$C$2:$C$1000),"")</f>
        <v>Equity - Large Cap (Nifty 50 oriented)</v>
      </c>
      <c r="D4341" s="8" t="str">
        <f>IFERROR(INDEX('nav master'!$C:$C, MATCH(B4341, 'nav master'!$B:$B, 0)), "")</f>
        <v>ULIF026 12/01/09 ITF 110</v>
      </c>
      <c r="E4341" s="8">
        <v>92.587900000000005</v>
      </c>
      <c r="F4341" s="9">
        <v>46155</v>
      </c>
    </row>
    <row r="4342" spans="1:6" ht="90" x14ac:dyDescent="0.25">
      <c r="A4342" s="8" t="s">
        <v>63</v>
      </c>
      <c r="B4342" s="11" t="s">
        <v>77</v>
      </c>
      <c r="C4342" s="8" t="str">
        <f>IFERROR(_xlfn.XLOOKUP(TRIM(B4342),Lookup!$B$2:$B$1000,Lookup!$C$2:$C$1000),"")</f>
        <v>Equity - Large Cap (Nifty 50 oriented)</v>
      </c>
      <c r="D4342" s="8" t="str">
        <f>IFERROR(INDEX('nav master'!$C:$C, MATCH(B4342, 'nav master'!$B:$B, 0)), "")</f>
        <v>ULIF026 12/01/09 ITF 110</v>
      </c>
      <c r="E4342" s="8">
        <v>93.705100000000002</v>
      </c>
      <c r="F4342" s="9">
        <v>46156</v>
      </c>
    </row>
    <row r="4343" spans="1:6" ht="90" x14ac:dyDescent="0.25">
      <c r="A4343" s="8" t="s">
        <v>63</v>
      </c>
      <c r="B4343" s="11" t="s">
        <v>77</v>
      </c>
      <c r="C4343" s="8" t="str">
        <f>IFERROR(_xlfn.XLOOKUP(TRIM(B4343),Lookup!$B$2:$B$1000,Lookup!$C$2:$C$1000),"")</f>
        <v>Equity - Large Cap (Nifty 50 oriented)</v>
      </c>
      <c r="D4343" s="8" t="str">
        <f>IFERROR(INDEX('nav master'!$C:$C, MATCH(B4343, 'nav master'!$B:$B, 0)), "")</f>
        <v>ULIF026 12/01/09 ITF 110</v>
      </c>
      <c r="E4343" s="8">
        <v>93.251300000000001</v>
      </c>
      <c r="F4343" s="9">
        <v>46157</v>
      </c>
    </row>
    <row r="4344" spans="1:6" ht="90" x14ac:dyDescent="0.25">
      <c r="A4344" s="8" t="s">
        <v>63</v>
      </c>
      <c r="B4344" s="11" t="s">
        <v>77</v>
      </c>
      <c r="C4344" s="8" t="str">
        <f>IFERROR(_xlfn.XLOOKUP(TRIM(B4344),Lookup!$B$2:$B$1000,Lookup!$C$2:$C$1000),"")</f>
        <v>Equity - Large Cap (Nifty 50 oriented)</v>
      </c>
      <c r="D4344" s="8" t="str">
        <f>IFERROR(INDEX('nav master'!$C:$C, MATCH(B4344, 'nav master'!$B:$B, 0)), "")</f>
        <v>ULIF026 12/01/09 ITF 110</v>
      </c>
      <c r="E4344" s="8">
        <v>93.204499999999996</v>
      </c>
      <c r="F4344" s="9">
        <v>46160</v>
      </c>
    </row>
    <row r="4345" spans="1:6" ht="90" x14ac:dyDescent="0.25">
      <c r="A4345" s="8" t="s">
        <v>63</v>
      </c>
      <c r="B4345" s="11" t="s">
        <v>77</v>
      </c>
      <c r="C4345" s="8" t="str">
        <f>IFERROR(_xlfn.XLOOKUP(TRIM(B4345),Lookup!$B$2:$B$1000,Lookup!$C$2:$C$1000),"")</f>
        <v>Equity - Large Cap (Nifty 50 oriented)</v>
      </c>
      <c r="D4345" s="8" t="str">
        <f>IFERROR(INDEX('nav master'!$C:$C, MATCH(B4345, 'nav master'!$B:$B, 0)), "")</f>
        <v>ULIF026 12/01/09 ITF 110</v>
      </c>
      <c r="E4345" s="8">
        <v>93.182199999999995</v>
      </c>
      <c r="F4345" s="9">
        <v>46161</v>
      </c>
    </row>
    <row r="4346" spans="1:6" ht="90" x14ac:dyDescent="0.25">
      <c r="A4346" s="8" t="s">
        <v>63</v>
      </c>
      <c r="B4346" s="11" t="s">
        <v>77</v>
      </c>
      <c r="C4346" s="8" t="str">
        <f>IFERROR(_xlfn.XLOOKUP(TRIM(B4346),Lookup!$B$2:$B$1000,Lookup!$C$2:$C$1000),"")</f>
        <v>Equity - Large Cap (Nifty 50 oriented)</v>
      </c>
      <c r="D4346" s="8" t="str">
        <f>IFERROR(INDEX('nav master'!$C:$C, MATCH(B4346, 'nav master'!$B:$B, 0)), "")</f>
        <v>ULIF026 12/01/09 ITF 110</v>
      </c>
      <c r="E4346" s="8">
        <v>93.446799999999996</v>
      </c>
      <c r="F4346" s="9">
        <v>46162</v>
      </c>
    </row>
    <row r="4347" spans="1:6" ht="90" x14ac:dyDescent="0.25">
      <c r="A4347" s="8" t="s">
        <v>63</v>
      </c>
      <c r="B4347" s="11" t="s">
        <v>77</v>
      </c>
      <c r="C4347" s="8" t="str">
        <f>IFERROR(_xlfn.XLOOKUP(TRIM(B4347),Lookup!$B$2:$B$1000,Lookup!$C$2:$C$1000),"")</f>
        <v>Equity - Large Cap (Nifty 50 oriented)</v>
      </c>
      <c r="D4347" s="8" t="str">
        <f>IFERROR(INDEX('nav master'!$C:$C, MATCH(B4347, 'nav master'!$B:$B, 0)), "")</f>
        <v>ULIF026 12/01/09 ITF 110</v>
      </c>
      <c r="E4347" s="8">
        <v>93.44</v>
      </c>
      <c r="F4347" s="9">
        <v>46163</v>
      </c>
    </row>
    <row r="4348" spans="1:6" ht="90" x14ac:dyDescent="0.25">
      <c r="A4348" s="8" t="s">
        <v>63</v>
      </c>
      <c r="B4348" s="11" t="s">
        <v>77</v>
      </c>
      <c r="C4348" s="8" t="str">
        <f>IFERROR(_xlfn.XLOOKUP(TRIM(B4348),Lookup!$B$2:$B$1000,Lookup!$C$2:$C$1000),"")</f>
        <v>Equity - Large Cap (Nifty 50 oriented)</v>
      </c>
      <c r="D4348" s="8" t="str">
        <f>IFERROR(INDEX('nav master'!$C:$C, MATCH(B4348, 'nav master'!$B:$B, 0)), "")</f>
        <v>ULIF026 12/01/09 ITF 110</v>
      </c>
      <c r="E4348" s="8">
        <v>93.819500000000005</v>
      </c>
      <c r="F4348" s="9">
        <v>46164</v>
      </c>
    </row>
    <row r="4349" spans="1:6" ht="90" x14ac:dyDescent="0.25">
      <c r="A4349" s="8" t="s">
        <v>63</v>
      </c>
      <c r="B4349" s="11" t="s">
        <v>77</v>
      </c>
      <c r="C4349" s="8" t="str">
        <f>IFERROR(_xlfn.XLOOKUP(TRIM(B4349),Lookup!$B$2:$B$1000,Lookup!$C$2:$C$1000),"")</f>
        <v>Equity - Large Cap (Nifty 50 oriented)</v>
      </c>
      <c r="D4349" s="8" t="str">
        <f>IFERROR(INDEX('nav master'!$C:$C, MATCH(B4349, 'nav master'!$B:$B, 0)), "")</f>
        <v>ULIF026 12/01/09 ITF 110</v>
      </c>
      <c r="E4349" s="8">
        <v>94.955699999999993</v>
      </c>
      <c r="F4349" s="9">
        <v>46167</v>
      </c>
    </row>
    <row r="4350" spans="1:6" ht="90" x14ac:dyDescent="0.25">
      <c r="A4350" s="8" t="s">
        <v>63</v>
      </c>
      <c r="B4350" s="11" t="s">
        <v>77</v>
      </c>
      <c r="C4350" s="8" t="str">
        <f>IFERROR(_xlfn.XLOOKUP(TRIM(B4350),Lookup!$B$2:$B$1000,Lookup!$C$2:$C$1000),"")</f>
        <v>Equity - Large Cap (Nifty 50 oriented)</v>
      </c>
      <c r="D4350" s="8" t="str">
        <f>IFERROR(INDEX('nav master'!$C:$C, MATCH(B4350, 'nav master'!$B:$B, 0)), "")</f>
        <v>ULIF026 12/01/09 ITF 110</v>
      </c>
      <c r="E4350" s="8">
        <v>94.644099999999995</v>
      </c>
      <c r="F4350" s="9">
        <v>46168</v>
      </c>
    </row>
    <row r="4351" spans="1:6" ht="90" x14ac:dyDescent="0.25">
      <c r="A4351" s="8" t="s">
        <v>63</v>
      </c>
      <c r="B4351" s="11" t="s">
        <v>77</v>
      </c>
      <c r="C4351" s="8" t="str">
        <f>IFERROR(_xlfn.XLOOKUP(TRIM(B4351),Lookup!$B$2:$B$1000,Lookup!$C$2:$C$1000),"")</f>
        <v>Equity - Large Cap (Nifty 50 oriented)</v>
      </c>
      <c r="D4351" s="8" t="str">
        <f>IFERROR(INDEX('nav master'!$C:$C, MATCH(B4351, 'nav master'!$B:$B, 0)), "")</f>
        <v>ULIF026 12/01/09 ITF 110</v>
      </c>
      <c r="E4351" s="8">
        <v>94.726100000000002</v>
      </c>
      <c r="F4351" s="9">
        <v>46169</v>
      </c>
    </row>
    <row r="4352" spans="1:6" ht="90" x14ac:dyDescent="0.25">
      <c r="A4352" s="8" t="s">
        <v>63</v>
      </c>
      <c r="B4352" s="11" t="s">
        <v>77</v>
      </c>
      <c r="C4352" s="8" t="str">
        <f>IFERROR(_xlfn.XLOOKUP(TRIM(B4352),Lookup!$B$2:$B$1000,Lookup!$C$2:$C$1000),"")</f>
        <v>Equity - Large Cap (Nifty 50 oriented)</v>
      </c>
      <c r="D4352" s="8" t="str">
        <f>IFERROR(INDEX('nav master'!$C:$C, MATCH(B4352, 'nav master'!$B:$B, 0)), "")</f>
        <v>ULIF026 12/01/09 ITF 110</v>
      </c>
      <c r="E4352" s="8">
        <v>93.521299999999997</v>
      </c>
      <c r="F4352" s="9">
        <v>46171</v>
      </c>
    </row>
    <row r="4353" spans="1:6" ht="90" x14ac:dyDescent="0.25">
      <c r="A4353" s="8" t="s">
        <v>63</v>
      </c>
      <c r="B4353" s="11" t="s">
        <v>77</v>
      </c>
      <c r="C4353" s="8" t="str">
        <f>IFERROR(_xlfn.XLOOKUP(TRIM(B4353),Lookup!$B$2:$B$1000,Lookup!$C$2:$C$1000),"")</f>
        <v>Equity - Large Cap (Nifty 50 oriented)</v>
      </c>
      <c r="D4353" s="8" t="str">
        <f>IFERROR(INDEX('nav master'!$C:$C, MATCH(B4353, 'nav master'!$B:$B, 0)), "")</f>
        <v>ULIF026 12/01/09 ITF 110</v>
      </c>
      <c r="E4353" s="8">
        <v>92.570099999999996</v>
      </c>
      <c r="F4353" s="9">
        <v>46174</v>
      </c>
    </row>
    <row r="4354" spans="1:6" ht="90" x14ac:dyDescent="0.25">
      <c r="A4354" s="8" t="s">
        <v>63</v>
      </c>
      <c r="B4354" s="11" t="s">
        <v>77</v>
      </c>
      <c r="C4354" s="8" t="str">
        <f>IFERROR(_xlfn.XLOOKUP(TRIM(B4354),Lookup!$B$2:$B$1000,Lookup!$C$2:$C$1000),"")</f>
        <v>Equity - Large Cap (Nifty 50 oriented)</v>
      </c>
      <c r="D4354" s="8" t="str">
        <f>IFERROR(INDEX('nav master'!$C:$C, MATCH(B4354, 'nav master'!$B:$B, 0)), "")</f>
        <v>ULIF026 12/01/09 ITF 110</v>
      </c>
      <c r="E4354" s="8">
        <v>92.633200000000002</v>
      </c>
      <c r="F4354" s="9">
        <v>46175</v>
      </c>
    </row>
    <row r="4355" spans="1:6" ht="90" x14ac:dyDescent="0.25">
      <c r="A4355" s="8" t="s">
        <v>63</v>
      </c>
      <c r="B4355" s="11" t="s">
        <v>77</v>
      </c>
      <c r="C4355" s="8" t="str">
        <f>IFERROR(_xlfn.XLOOKUP(TRIM(B4355),Lookup!$B$2:$B$1000,Lookup!$C$2:$C$1000),"")</f>
        <v>Equity - Large Cap (Nifty 50 oriented)</v>
      </c>
      <c r="D4355" s="8" t="str">
        <f>IFERROR(INDEX('nav master'!$C:$C, MATCH(B4355, 'nav master'!$B:$B, 0)), "")</f>
        <v>ULIF026 12/01/09 ITF 110</v>
      </c>
      <c r="E4355" s="8">
        <v>92.660200000000003</v>
      </c>
      <c r="F4355" s="9">
        <v>46176</v>
      </c>
    </row>
    <row r="4356" spans="1:6" ht="90" x14ac:dyDescent="0.25">
      <c r="A4356" s="8" t="s">
        <v>63</v>
      </c>
      <c r="B4356" s="11" t="s">
        <v>77</v>
      </c>
      <c r="C4356" s="8" t="str">
        <f>IFERROR(_xlfn.XLOOKUP(TRIM(B4356),Lookup!$B$2:$B$1000,Lookup!$C$2:$C$1000),"")</f>
        <v>Equity - Large Cap (Nifty 50 oriented)</v>
      </c>
      <c r="D4356" s="8" t="str">
        <f>IFERROR(INDEX('nav master'!$C:$C, MATCH(B4356, 'nav master'!$B:$B, 0)), "")</f>
        <v>ULIF026 12/01/09 ITF 110</v>
      </c>
      <c r="E4356" s="8">
        <v>92.764200000000002</v>
      </c>
      <c r="F4356" s="9">
        <v>46177</v>
      </c>
    </row>
    <row r="4357" spans="1:6" ht="90" x14ac:dyDescent="0.25">
      <c r="A4357" s="8" t="s">
        <v>63</v>
      </c>
      <c r="B4357" s="11" t="s">
        <v>77</v>
      </c>
      <c r="C4357" s="8" t="str">
        <f>IFERROR(_xlfn.XLOOKUP(TRIM(B4357),Lookup!$B$2:$B$1000,Lookup!$C$2:$C$1000),"")</f>
        <v>Equity - Large Cap (Nifty 50 oriented)</v>
      </c>
      <c r="D4357" s="8" t="str">
        <f>IFERROR(INDEX('nav master'!$C:$C, MATCH(B4357, 'nav master'!$B:$B, 0)), "")</f>
        <v>ULIF026 12/01/09 ITF 110</v>
      </c>
      <c r="E4357" s="8">
        <v>92.607399999999998</v>
      </c>
      <c r="F4357" s="9">
        <v>46178</v>
      </c>
    </row>
    <row r="4358" spans="1:6" ht="90" x14ac:dyDescent="0.25">
      <c r="A4358" s="8" t="s">
        <v>63</v>
      </c>
      <c r="B4358" s="11" t="s">
        <v>77</v>
      </c>
      <c r="C4358" s="8" t="str">
        <f>IFERROR(_xlfn.XLOOKUP(TRIM(B4358),Lookup!$B$2:$B$1000,Lookup!$C$2:$C$1000),"")</f>
        <v>Equity - Large Cap (Nifty 50 oriented)</v>
      </c>
      <c r="D4358" s="8" t="str">
        <f>IFERROR(INDEX('nav master'!$C:$C, MATCH(B4358, 'nav master'!$B:$B, 0)), "")</f>
        <v>ULIF026 12/01/09 ITF 110</v>
      </c>
      <c r="E4358" s="8">
        <v>91.698999999999998</v>
      </c>
      <c r="F4358" s="9">
        <v>46181</v>
      </c>
    </row>
    <row r="4359" spans="1:6" ht="90" x14ac:dyDescent="0.25">
      <c r="A4359" s="8" t="s">
        <v>63</v>
      </c>
      <c r="B4359" s="11" t="s">
        <v>77</v>
      </c>
      <c r="C4359" s="8" t="str">
        <f>IFERROR(_xlfn.XLOOKUP(TRIM(B4359),Lookup!$B$2:$B$1000,Lookup!$C$2:$C$1000),"")</f>
        <v>Equity - Large Cap (Nifty 50 oriented)</v>
      </c>
      <c r="D4359" s="8" t="str">
        <f>IFERROR(INDEX('nav master'!$C:$C, MATCH(B4359, 'nav master'!$B:$B, 0)), "")</f>
        <v>ULIF026 12/01/09 ITF 110</v>
      </c>
      <c r="E4359" s="8">
        <v>92.455799999999996</v>
      </c>
      <c r="F4359" s="9">
        <v>46182</v>
      </c>
    </row>
    <row r="4360" spans="1:6" ht="90" x14ac:dyDescent="0.25">
      <c r="A4360" s="8" t="s">
        <v>63</v>
      </c>
      <c r="B4360" s="11" t="s">
        <v>77</v>
      </c>
      <c r="C4360" s="8" t="str">
        <f>IFERROR(_xlfn.XLOOKUP(TRIM(B4360),Lookup!$B$2:$B$1000,Lookup!$C$2:$C$1000),"")</f>
        <v>Equity - Large Cap (Nifty 50 oriented)</v>
      </c>
      <c r="D4360" s="8" t="str">
        <f>IFERROR(INDEX('nav master'!$C:$C, MATCH(B4360, 'nav master'!$B:$B, 0)), "")</f>
        <v>ULIF026 12/01/09 ITF 110</v>
      </c>
      <c r="E4360" s="8">
        <v>92.176900000000003</v>
      </c>
      <c r="F4360" s="9">
        <v>46183</v>
      </c>
    </row>
    <row r="4361" spans="1:6" ht="90" x14ac:dyDescent="0.25">
      <c r="A4361" s="8" t="s">
        <v>63</v>
      </c>
      <c r="B4361" s="11" t="s">
        <v>77</v>
      </c>
      <c r="C4361" s="8" t="str">
        <f>IFERROR(_xlfn.XLOOKUP(TRIM(B4361),Lookup!$B$2:$B$1000,Lookup!$C$2:$C$1000),"")</f>
        <v>Equity - Large Cap (Nifty 50 oriented)</v>
      </c>
      <c r="D4361" s="8" t="str">
        <f>IFERROR(INDEX('nav master'!$C:$C, MATCH(B4361, 'nav master'!$B:$B, 0)), "")</f>
        <v>ULIF026 12/01/09 ITF 110</v>
      </c>
      <c r="E4361" s="8">
        <v>92.051500000000004</v>
      </c>
      <c r="F4361" s="9">
        <v>46184</v>
      </c>
    </row>
    <row r="4362" spans="1:6" ht="90" x14ac:dyDescent="0.25">
      <c r="A4362" s="8" t="s">
        <v>63</v>
      </c>
      <c r="B4362" s="11" t="s">
        <v>77</v>
      </c>
      <c r="C4362" s="8" t="str">
        <f>IFERROR(_xlfn.XLOOKUP(TRIM(B4362),Lookup!$B$2:$B$1000,Lookup!$C$2:$C$1000),"")</f>
        <v>Equity - Large Cap (Nifty 50 oriented)</v>
      </c>
      <c r="D4362" s="8" t="str">
        <f>IFERROR(INDEX('nav master'!$C:$C, MATCH(B4362, 'nav master'!$B:$B, 0)), "")</f>
        <v>ULIF026 12/01/09 ITF 110</v>
      </c>
      <c r="E4362" s="8">
        <v>94.024699999999996</v>
      </c>
      <c r="F4362" s="9">
        <v>46185</v>
      </c>
    </row>
    <row r="4363" spans="1:6" ht="90" x14ac:dyDescent="0.25">
      <c r="A4363" s="8" t="s">
        <v>63</v>
      </c>
      <c r="B4363" s="11" t="s">
        <v>77</v>
      </c>
      <c r="C4363" s="8" t="str">
        <f>IFERROR(_xlfn.XLOOKUP(TRIM(B4363),Lookup!$B$2:$B$1000,Lookup!$C$2:$C$1000),"")</f>
        <v>Equity - Large Cap (Nifty 50 oriented)</v>
      </c>
      <c r="D4363" s="8" t="str">
        <f>IFERROR(INDEX('nav master'!$C:$C, MATCH(B4363, 'nav master'!$B:$B, 0)), "")</f>
        <v>ULIF026 12/01/09 ITF 110</v>
      </c>
      <c r="E4363" s="8">
        <v>95.134500000000003</v>
      </c>
      <c r="F4363" s="9">
        <v>46188</v>
      </c>
    </row>
    <row r="4364" spans="1:6" ht="90" x14ac:dyDescent="0.25">
      <c r="A4364" s="8" t="s">
        <v>63</v>
      </c>
      <c r="B4364" s="11" t="s">
        <v>77</v>
      </c>
      <c r="C4364" s="8" t="str">
        <f>IFERROR(_xlfn.XLOOKUP(TRIM(B4364),Lookup!$B$2:$B$1000,Lookup!$C$2:$C$1000),"")</f>
        <v>Equity - Large Cap (Nifty 50 oriented)</v>
      </c>
      <c r="D4364" s="8" t="str">
        <f>IFERROR(INDEX('nav master'!$C:$C, MATCH(B4364, 'nav master'!$B:$B, 0)), "")</f>
        <v>ULIF026 12/01/09 ITF 110</v>
      </c>
      <c r="E4364" s="8">
        <v>95.489099999999993</v>
      </c>
      <c r="F4364" s="9">
        <v>46189</v>
      </c>
    </row>
    <row r="4365" spans="1:6" ht="90" x14ac:dyDescent="0.25">
      <c r="A4365" s="8" t="s">
        <v>63</v>
      </c>
      <c r="B4365" s="11" t="s">
        <v>77</v>
      </c>
      <c r="C4365" s="8" t="str">
        <f>IFERROR(_xlfn.XLOOKUP(TRIM(B4365),Lookup!$B$2:$B$1000,Lookup!$C$2:$C$1000),"")</f>
        <v>Equity - Large Cap (Nifty 50 oriented)</v>
      </c>
      <c r="D4365" s="8" t="str">
        <f>IFERROR(INDEX('nav master'!$C:$C, MATCH(B4365, 'nav master'!$B:$B, 0)), "")</f>
        <v>ULIF026 12/01/09 ITF 110</v>
      </c>
      <c r="E4365" s="8">
        <v>95.966099999999997</v>
      </c>
      <c r="F4365" s="9">
        <v>46190</v>
      </c>
    </row>
    <row r="4366" spans="1:6" ht="90" x14ac:dyDescent="0.25">
      <c r="A4366" s="8" t="s">
        <v>63</v>
      </c>
      <c r="B4366" s="11" t="s">
        <v>77</v>
      </c>
      <c r="C4366" s="8" t="str">
        <f>IFERROR(_xlfn.XLOOKUP(TRIM(B4366),Lookup!$B$2:$B$1000,Lookup!$C$2:$C$1000),"")</f>
        <v>Equity - Large Cap (Nifty 50 oriented)</v>
      </c>
      <c r="D4366" s="8" t="str">
        <f>IFERROR(INDEX('nav master'!$C:$C, MATCH(B4366, 'nav master'!$B:$B, 0)), "")</f>
        <v>ULIF026 12/01/09 ITF 110</v>
      </c>
      <c r="E4366" s="8">
        <v>96.422799999999995</v>
      </c>
      <c r="F4366" s="9">
        <v>46191</v>
      </c>
    </row>
    <row r="4367" spans="1:6" ht="90" x14ac:dyDescent="0.25">
      <c r="A4367" s="8" t="s">
        <v>63</v>
      </c>
      <c r="B4367" s="11" t="s">
        <v>77</v>
      </c>
      <c r="C4367" s="8" t="str">
        <f>IFERROR(_xlfn.XLOOKUP(TRIM(B4367),Lookup!$B$2:$B$1000,Lookup!$C$2:$C$1000),"")</f>
        <v>Equity - Large Cap (Nifty 50 oriented)</v>
      </c>
      <c r="D4367" s="8" t="str">
        <f>IFERROR(INDEX('nav master'!$C:$C, MATCH(B4367, 'nav master'!$B:$B, 0)), "")</f>
        <v>ULIF026 12/01/09 ITF 110</v>
      </c>
      <c r="E4367" s="8">
        <v>96.219300000000004</v>
      </c>
      <c r="F4367" s="9">
        <v>46192</v>
      </c>
    </row>
    <row r="4368" spans="1:6" ht="90" x14ac:dyDescent="0.25">
      <c r="A4368" s="8" t="s">
        <v>63</v>
      </c>
      <c r="B4368" s="11" t="s">
        <v>77</v>
      </c>
      <c r="C4368" s="8" t="str">
        <f>IFERROR(_xlfn.XLOOKUP(TRIM(B4368),Lookup!$B$2:$B$1000,Lookup!$C$2:$C$1000),"")</f>
        <v>Equity - Large Cap (Nifty 50 oriented)</v>
      </c>
      <c r="D4368" s="8" t="str">
        <f>IFERROR(INDEX('nav master'!$C:$C, MATCH(B4368, 'nav master'!$B:$B, 0)), "")</f>
        <v>ULIF026 12/01/09 ITF 110</v>
      </c>
      <c r="E4368" s="8">
        <v>96.500299999999996</v>
      </c>
      <c r="F4368" s="9">
        <v>46195</v>
      </c>
    </row>
    <row r="4369" spans="1:6" ht="90" x14ac:dyDescent="0.25">
      <c r="A4369" s="8" t="s">
        <v>63</v>
      </c>
      <c r="B4369" s="11" t="s">
        <v>77</v>
      </c>
      <c r="C4369" s="8" t="str">
        <f>IFERROR(_xlfn.XLOOKUP(TRIM(B4369),Lookup!$B$2:$B$1000,Lookup!$C$2:$C$1000),"")</f>
        <v>Equity - Large Cap (Nifty 50 oriented)</v>
      </c>
      <c r="D4369" s="8" t="str">
        <f>IFERROR(INDEX('nav master'!$C:$C, MATCH(B4369, 'nav master'!$B:$B, 0)), "")</f>
        <v>ULIF026 12/01/09 ITF 110</v>
      </c>
      <c r="E4369" s="8">
        <v>95.526200000000003</v>
      </c>
      <c r="F4369" s="9">
        <v>46196</v>
      </c>
    </row>
    <row r="4370" spans="1:6" ht="90" x14ac:dyDescent="0.25">
      <c r="A4370" s="8" t="s">
        <v>63</v>
      </c>
      <c r="B4370" s="11" t="s">
        <v>77</v>
      </c>
      <c r="C4370" s="8" t="str">
        <f>IFERROR(_xlfn.XLOOKUP(TRIM(B4370),Lookup!$B$2:$B$1000,Lookup!$C$2:$C$1000),"")</f>
        <v>Equity - Large Cap (Nifty 50 oriented)</v>
      </c>
      <c r="D4370" s="8" t="str">
        <f>IFERROR(INDEX('nav master'!$C:$C, MATCH(B4370, 'nav master'!$B:$B, 0)), "")</f>
        <v>ULIF026 12/01/09 ITF 110</v>
      </c>
      <c r="E4370" s="8">
        <v>96.351100000000002</v>
      </c>
      <c r="F4370" s="9">
        <v>46197</v>
      </c>
    </row>
    <row r="4371" spans="1:6" ht="90" x14ac:dyDescent="0.25">
      <c r="A4371" s="8" t="s">
        <v>63</v>
      </c>
      <c r="B4371" s="11" t="s">
        <v>77</v>
      </c>
      <c r="C4371" s="8" t="str">
        <f>IFERROR(_xlfn.XLOOKUP(TRIM(B4371),Lookup!$B$2:$B$1000,Lookup!$C$2:$C$1000),"")</f>
        <v>Equity - Large Cap (Nifty 50 oriented)</v>
      </c>
      <c r="D4371" s="8" t="str">
        <f>IFERROR(INDEX('nav master'!$C:$C, MATCH(B4371, 'nav master'!$B:$B, 0)), "")</f>
        <v>ULIF026 12/01/09 ITF 110</v>
      </c>
      <c r="E4371" s="8">
        <v>96.709800000000001</v>
      </c>
      <c r="F4371" s="9">
        <v>46198</v>
      </c>
    </row>
    <row r="4372" spans="1:6" ht="90" x14ac:dyDescent="0.25">
      <c r="A4372" s="8" t="s">
        <v>63</v>
      </c>
      <c r="B4372" s="11" t="s">
        <v>77</v>
      </c>
      <c r="C4372" s="8" t="str">
        <f>IFERROR(_xlfn.XLOOKUP(TRIM(B4372),Lookup!$B$2:$B$1000,Lookup!$C$2:$C$1000),"")</f>
        <v>Equity - Large Cap (Nifty 50 oriented)</v>
      </c>
      <c r="D4372" s="8" t="str">
        <f>IFERROR(INDEX('nav master'!$C:$C, MATCH(B4372, 'nav master'!$B:$B, 0)), "")</f>
        <v>ULIF026 12/01/09 ITF 110</v>
      </c>
      <c r="E4372" s="8">
        <v>96.272000000000006</v>
      </c>
      <c r="F4372" s="9">
        <v>46202</v>
      </c>
    </row>
    <row r="4373" spans="1:6" ht="90" x14ac:dyDescent="0.25">
      <c r="A4373" s="8" t="s">
        <v>63</v>
      </c>
      <c r="B4373" s="11" t="s">
        <v>77</v>
      </c>
      <c r="C4373" s="8" t="str">
        <f>IFERROR(_xlfn.XLOOKUP(TRIM(B4373),Lookup!$B$2:$B$1000,Lookup!$C$2:$C$1000),"")</f>
        <v>Equity - Large Cap (Nifty 50 oriented)</v>
      </c>
      <c r="D4373" s="8" t="str">
        <f>IFERROR(INDEX('nav master'!$C:$C, MATCH(B4373, 'nav master'!$B:$B, 0)), "")</f>
        <v>ULIF026 12/01/09 ITF 110</v>
      </c>
      <c r="E4373" s="8">
        <v>96.104299999999995</v>
      </c>
      <c r="F4373" s="9">
        <v>46203</v>
      </c>
    </row>
    <row r="4374" spans="1:6" ht="90" x14ac:dyDescent="0.25">
      <c r="A4374" s="8" t="s">
        <v>63</v>
      </c>
      <c r="B4374" s="11" t="s">
        <v>77</v>
      </c>
      <c r="C4374" s="8" t="str">
        <f>IFERROR(_xlfn.XLOOKUP(TRIM(B4374),Lookup!$B$2:$B$1000,Lookup!$C$2:$C$1000),"")</f>
        <v>Equity - Large Cap (Nifty 50 oriented)</v>
      </c>
      <c r="D4374" s="8" t="str">
        <f>IFERROR(INDEX('nav master'!$C:$C, MATCH(B4374, 'nav master'!$B:$B, 0)), "")</f>
        <v>ULIF026 12/01/09 ITF 110</v>
      </c>
      <c r="E4374" s="8">
        <v>96.686199999999999</v>
      </c>
      <c r="F4374" s="9">
        <v>46204</v>
      </c>
    </row>
    <row r="4375" spans="1:6" ht="90" x14ac:dyDescent="0.25">
      <c r="A4375" s="8" t="s">
        <v>63</v>
      </c>
      <c r="B4375" s="11" t="s">
        <v>77</v>
      </c>
      <c r="C4375" s="8" t="str">
        <f>IFERROR(_xlfn.XLOOKUP(TRIM(B4375),Lookup!$B$2:$B$1000,Lookup!$C$2:$C$1000),"")</f>
        <v>Equity - Large Cap (Nifty 50 oriented)</v>
      </c>
      <c r="D4375" s="8" t="str">
        <f>IFERROR(INDEX('nav master'!$C:$C, MATCH(B4375, 'nav master'!$B:$B, 0)), "")</f>
        <v>ULIF026 12/01/09 ITF 110</v>
      </c>
      <c r="E4375" s="8">
        <v>97.200800000000001</v>
      </c>
      <c r="F4375" s="9">
        <v>46205</v>
      </c>
    </row>
    <row r="4376" spans="1:6" ht="90" x14ac:dyDescent="0.25">
      <c r="A4376" s="8" t="s">
        <v>63</v>
      </c>
      <c r="B4376" s="11" t="s">
        <v>77</v>
      </c>
      <c r="C4376" s="8" t="str">
        <f>IFERROR(_xlfn.XLOOKUP(TRIM(B4376),Lookup!$B$2:$B$1000,Lookup!$C$2:$C$1000),"")</f>
        <v>Equity - Large Cap (Nifty 50 oriented)</v>
      </c>
      <c r="D4376" s="8" t="str">
        <f>IFERROR(INDEX('nav master'!$C:$C, MATCH(B4376, 'nav master'!$B:$B, 0)), "")</f>
        <v>ULIF026 12/01/09 ITF 110</v>
      </c>
      <c r="E4376" s="8">
        <v>97.457999999999998</v>
      </c>
      <c r="F4376" s="9">
        <v>46206</v>
      </c>
    </row>
    <row r="4377" spans="1:6" ht="90" x14ac:dyDescent="0.25">
      <c r="A4377" s="8" t="s">
        <v>63</v>
      </c>
      <c r="B4377" s="11" t="s">
        <v>77</v>
      </c>
      <c r="C4377" s="8" t="str">
        <f>IFERROR(_xlfn.XLOOKUP(TRIM(B4377),Lookup!$B$2:$B$1000,Lookup!$C$2:$C$1000),"")</f>
        <v>Equity - Large Cap (Nifty 50 oriented)</v>
      </c>
      <c r="D4377" s="8" t="str">
        <f>IFERROR(INDEX('nav master'!$C:$C, MATCH(B4377, 'nav master'!$B:$B, 0)), "")</f>
        <v>ULIF026 12/01/09 ITF 110</v>
      </c>
      <c r="E4377" s="8">
        <v>97.851600000000005</v>
      </c>
      <c r="F4377" s="9">
        <v>46209</v>
      </c>
    </row>
    <row r="4378" spans="1:6" ht="90" x14ac:dyDescent="0.25">
      <c r="A4378" s="8" t="s">
        <v>63</v>
      </c>
      <c r="B4378" s="11" t="s">
        <v>77</v>
      </c>
      <c r="C4378" s="8" t="str">
        <f>IFERROR(_xlfn.XLOOKUP(TRIM(B4378),Lookup!$B$2:$B$1000,Lookup!$C$2:$C$1000),"")</f>
        <v>Equity - Large Cap (Nifty 50 oriented)</v>
      </c>
      <c r="D4378" s="8" t="str">
        <f>IFERROR(INDEX('nav master'!$C:$C, MATCH(B4378, 'nav master'!$B:$B, 0)), "")</f>
        <v>ULIF026 12/01/09 ITF 110</v>
      </c>
      <c r="E4378" s="8">
        <v>97.531000000000006</v>
      </c>
      <c r="F4378" s="9">
        <v>46210</v>
      </c>
    </row>
    <row r="4379" spans="1:6" ht="90" x14ac:dyDescent="0.25">
      <c r="A4379" s="8" t="s">
        <v>63</v>
      </c>
      <c r="B4379" s="11" t="s">
        <v>77</v>
      </c>
      <c r="C4379" s="8" t="str">
        <f>IFERROR(_xlfn.XLOOKUP(TRIM(B4379),Lookup!$B$2:$B$1000,Lookup!$C$2:$C$1000),"")</f>
        <v>Equity - Large Cap (Nifty 50 oriented)</v>
      </c>
      <c r="D4379" s="8" t="str">
        <f>IFERROR(INDEX('nav master'!$C:$C, MATCH(B4379, 'nav master'!$B:$B, 0)), "")</f>
        <v>ULIF026 12/01/09 ITF 110</v>
      </c>
      <c r="E4379" s="8">
        <v>95.590699999999998</v>
      </c>
      <c r="F4379" s="9">
        <v>46211</v>
      </c>
    </row>
    <row r="4380" spans="1:6" ht="90" x14ac:dyDescent="0.25">
      <c r="A4380" s="8" t="s">
        <v>63</v>
      </c>
      <c r="B4380" s="11" t="s">
        <v>77</v>
      </c>
      <c r="C4380" s="8" t="str">
        <f>IFERROR(_xlfn.XLOOKUP(TRIM(B4380),Lookup!$B$2:$B$1000,Lookup!$C$2:$C$1000),"")</f>
        <v>Equity - Large Cap (Nifty 50 oriented)</v>
      </c>
      <c r="D4380" s="8" t="str">
        <f>IFERROR(INDEX('nav master'!$C:$C, MATCH(B4380, 'nav master'!$B:$B, 0)), "")</f>
        <v>ULIF026 12/01/09 ITF 110</v>
      </c>
      <c r="E4380" s="8">
        <v>96.2303</v>
      </c>
      <c r="F4380" s="9">
        <v>46212</v>
      </c>
    </row>
    <row r="4381" spans="1:6" ht="90" x14ac:dyDescent="0.25">
      <c r="A4381" s="8" t="s">
        <v>63</v>
      </c>
      <c r="B4381" s="11" t="s">
        <v>77</v>
      </c>
      <c r="C4381" s="8" t="str">
        <f>IFERROR(_xlfn.XLOOKUP(TRIM(B4381),Lookup!$B$2:$B$1000,Lookup!$C$2:$C$1000),"")</f>
        <v>Equity - Large Cap (Nifty 50 oriented)</v>
      </c>
      <c r="D4381" s="8" t="str">
        <f>IFERROR(INDEX('nav master'!$C:$C, MATCH(B4381, 'nav master'!$B:$B, 0)), "")</f>
        <v>ULIF026 12/01/09 ITF 110</v>
      </c>
      <c r="E4381" s="8">
        <v>97.286799999999999</v>
      </c>
      <c r="F4381" s="9">
        <v>46213</v>
      </c>
    </row>
    <row r="4382" spans="1:6" ht="90" x14ac:dyDescent="0.25">
      <c r="A4382" s="8" t="s">
        <v>63</v>
      </c>
      <c r="B4382" s="11" t="s">
        <v>77</v>
      </c>
      <c r="C4382" s="8" t="str">
        <f>IFERROR(_xlfn.XLOOKUP(TRIM(B4382),Lookup!$B$2:$B$1000,Lookup!$C$2:$C$1000),"")</f>
        <v>Equity - Large Cap (Nifty 50 oriented)</v>
      </c>
      <c r="D4382" s="8" t="str">
        <f>IFERROR(INDEX('nav master'!$C:$C, MATCH(B4382, 'nav master'!$B:$B, 0)), "")</f>
        <v>ULIF026 12/01/09 ITF 110</v>
      </c>
      <c r="E4382" s="8">
        <v>97.501400000000004</v>
      </c>
      <c r="F4382" s="9">
        <v>46216</v>
      </c>
    </row>
    <row r="4383" spans="1:6" ht="90" x14ac:dyDescent="0.25">
      <c r="A4383" s="8" t="s">
        <v>63</v>
      </c>
      <c r="B4383" s="11" t="s">
        <v>77</v>
      </c>
      <c r="C4383" s="8" t="str">
        <f>IFERROR(_xlfn.XLOOKUP(TRIM(B4383),Lookup!$B$2:$B$1000,Lookup!$C$2:$C$1000),"")</f>
        <v>Equity - Large Cap (Nifty 50 oriented)</v>
      </c>
      <c r="D4383" s="8" t="str">
        <f>IFERROR(INDEX('nav master'!$C:$C, MATCH(B4383, 'nav master'!$B:$B, 0)), "")</f>
        <v>ULIF026 12/01/09 ITF 110</v>
      </c>
      <c r="E4383" s="8">
        <v>96.890799999999999</v>
      </c>
      <c r="F4383" s="9">
        <v>46217</v>
      </c>
    </row>
    <row r="4384" spans="1:6" ht="90" x14ac:dyDescent="0.25">
      <c r="A4384" s="8" t="s">
        <v>63</v>
      </c>
      <c r="B4384" s="11" t="s">
        <v>77</v>
      </c>
      <c r="C4384" s="8" t="str">
        <f>IFERROR(_xlfn.XLOOKUP(TRIM(B4384),Lookup!$B$2:$B$1000,Lookup!$C$2:$C$1000),"")</f>
        <v>Equity - Large Cap (Nifty 50 oriented)</v>
      </c>
      <c r="D4384" s="8" t="str">
        <f>IFERROR(INDEX('nav master'!$C:$C, MATCH(B4384, 'nav master'!$B:$B, 0)), "")</f>
        <v>ULIF026 12/01/09 ITF 110</v>
      </c>
      <c r="E4384" s="8">
        <v>97.1751</v>
      </c>
      <c r="F4384" s="9">
        <v>46218</v>
      </c>
    </row>
    <row r="4385" spans="1:6" ht="90" x14ac:dyDescent="0.25">
      <c r="A4385" s="8" t="s">
        <v>63</v>
      </c>
      <c r="B4385" s="11" t="s">
        <v>77</v>
      </c>
      <c r="C4385" s="8" t="str">
        <f>IFERROR(_xlfn.XLOOKUP(TRIM(B4385),Lookup!$B$2:$B$1000,Lookup!$C$2:$C$1000),"")</f>
        <v>Equity - Large Cap (Nifty 50 oriented)</v>
      </c>
      <c r="D4385" s="8" t="str">
        <f>IFERROR(INDEX('nav master'!$C:$C, MATCH(B4385, 'nav master'!$B:$B, 0)), "")</f>
        <v>ULIF026 12/01/09 ITF 110</v>
      </c>
      <c r="E4385" s="8">
        <v>97.065399999999997</v>
      </c>
      <c r="F4385" s="9">
        <v>46219</v>
      </c>
    </row>
    <row r="4386" spans="1:6" ht="90" x14ac:dyDescent="0.25">
      <c r="A4386" s="8" t="s">
        <v>63</v>
      </c>
      <c r="B4386" s="11" t="s">
        <v>77</v>
      </c>
      <c r="C4386" s="8" t="str">
        <f>IFERROR(_xlfn.XLOOKUP(TRIM(B4386),Lookup!$B$2:$B$1000,Lookup!$C$2:$C$1000),"")</f>
        <v>Equity - Large Cap (Nifty 50 oriented)</v>
      </c>
      <c r="D4386" s="8" t="str">
        <f>IFERROR(INDEX('nav master'!$C:$C, MATCH(B4386, 'nav master'!$B:$B, 0)), "")</f>
        <v>ULIF026 12/01/09 ITF 110</v>
      </c>
      <c r="E4386" s="8">
        <v>97.803299999999993</v>
      </c>
      <c r="F4386" s="9">
        <v>46220</v>
      </c>
    </row>
    <row r="4387" spans="1:6" ht="90" x14ac:dyDescent="0.25">
      <c r="A4387" s="8" t="s">
        <v>63</v>
      </c>
      <c r="B4387" s="11" t="s">
        <v>77</v>
      </c>
      <c r="C4387" s="8" t="str">
        <f>IFERROR(_xlfn.XLOOKUP(TRIM(B4387),Lookup!$B$2:$B$1000,Lookup!$C$2:$C$1000),"")</f>
        <v>Equity - Large Cap (Nifty 50 oriented)</v>
      </c>
      <c r="D4387" s="8" t="str">
        <f>IFERROR(INDEX('nav master'!$C:$C, MATCH(B4387, 'nav master'!$B:$B, 0)), "")</f>
        <v>ULIF026 12/01/09 ITF 110</v>
      </c>
      <c r="E4387" s="8">
        <v>97.825400000000002</v>
      </c>
      <c r="F4387" s="9">
        <v>46223</v>
      </c>
    </row>
    <row r="4388" spans="1:6" ht="90" x14ac:dyDescent="0.25">
      <c r="A4388" s="8" t="s">
        <v>63</v>
      </c>
      <c r="B4388" s="11" t="s">
        <v>77</v>
      </c>
      <c r="C4388" s="8" t="str">
        <f>IFERROR(_xlfn.XLOOKUP(TRIM(B4388),Lookup!$B$2:$B$1000,Lookup!$C$2:$C$1000),"")</f>
        <v>Equity - Large Cap (Nifty 50 oriented)</v>
      </c>
      <c r="D4388" s="8" t="str">
        <f>IFERROR(INDEX('nav master'!$C:$C, MATCH(B4388, 'nav master'!$B:$B, 0)), "")</f>
        <v>ULIF026 12/01/09 ITF 110</v>
      </c>
      <c r="E4388" s="8">
        <v>97.718400000000003</v>
      </c>
      <c r="F4388" s="9">
        <v>46224</v>
      </c>
    </row>
    <row r="4389" spans="1:6" ht="90" x14ac:dyDescent="0.25">
      <c r="A4389" s="8" t="s">
        <v>63</v>
      </c>
      <c r="B4389" s="11" t="s">
        <v>77</v>
      </c>
      <c r="C4389" s="8" t="str">
        <f>IFERROR(_xlfn.XLOOKUP(TRIM(B4389),Lookup!$B$2:$B$1000,Lookup!$C$2:$C$1000),"")</f>
        <v>Equity - Large Cap (Nifty 50 oriented)</v>
      </c>
      <c r="D4389" s="8" t="str">
        <f>IFERROR(INDEX('nav master'!$C:$C, MATCH(B4389, 'nav master'!$B:$B, 0)), "")</f>
        <v>ULIF026 12/01/09 ITF 110</v>
      </c>
      <c r="E4389" s="8">
        <v>96.8005</v>
      </c>
      <c r="F4389" s="9">
        <v>46225</v>
      </c>
    </row>
    <row r="4390" spans="1:6" ht="90" x14ac:dyDescent="0.25">
      <c r="A4390" s="8" t="s">
        <v>63</v>
      </c>
      <c r="B4390" s="11" t="s">
        <v>77</v>
      </c>
      <c r="C4390" s="8" t="str">
        <f>IFERROR(_xlfn.XLOOKUP(TRIM(B4390),Lookup!$B$2:$B$1000,Lookup!$C$2:$C$1000),"")</f>
        <v>Equity - Large Cap (Nifty 50 oriented)</v>
      </c>
      <c r="D4390" s="8" t="str">
        <f>IFERROR(INDEX('nav master'!$C:$C, MATCH(B4390, 'nav master'!$B:$B, 0)), "")</f>
        <v>ULIF026 12/01/09 ITF 110</v>
      </c>
      <c r="E4390" s="8">
        <v>96.262200000000007</v>
      </c>
      <c r="F4390" s="9">
        <v>46226</v>
      </c>
    </row>
    <row r="4391" spans="1:6" ht="90" x14ac:dyDescent="0.25">
      <c r="A4391" s="8" t="s">
        <v>63</v>
      </c>
      <c r="B4391" s="11" t="s">
        <v>77</v>
      </c>
      <c r="C4391" s="8" t="str">
        <f>IFERROR(_xlfn.XLOOKUP(TRIM(B4391),Lookup!$B$2:$B$1000,Lookup!$C$2:$C$1000),"")</f>
        <v>Equity - Large Cap (Nifty 50 oriented)</v>
      </c>
      <c r="D4391" s="8" t="str">
        <f>IFERROR(INDEX('nav master'!$C:$C, MATCH(B4391, 'nav master'!$B:$B, 0)), "")</f>
        <v>ULIF026 12/01/09 ITF 110</v>
      </c>
      <c r="E4391" s="8">
        <v>96.002300000000005</v>
      </c>
      <c r="F4391" s="9">
        <v>46227</v>
      </c>
    </row>
    <row r="4392" spans="1:6" ht="90" x14ac:dyDescent="0.25">
      <c r="A4392" s="8" t="s">
        <v>63</v>
      </c>
      <c r="B4392" s="11" t="s">
        <v>77</v>
      </c>
      <c r="C4392" s="8" t="str">
        <f>IFERROR(_xlfn.XLOOKUP(TRIM(B4392),Lookup!$B$2:$B$1000,Lookup!$C$2:$C$1000),"")</f>
        <v>Equity - Large Cap (Nifty 50 oriented)</v>
      </c>
      <c r="D4392" s="8" t="str">
        <f>IFERROR(INDEX('nav master'!$C:$C, MATCH(B4392, 'nav master'!$B:$B, 0)), "")</f>
        <v>ULIF026 12/01/09 ITF 110</v>
      </c>
      <c r="E4392" s="8">
        <v>97.028499999999994</v>
      </c>
      <c r="F4392" s="9">
        <v>46230</v>
      </c>
    </row>
    <row r="4393" spans="1:6" ht="90" x14ac:dyDescent="0.25">
      <c r="A4393" s="8" t="s">
        <v>63</v>
      </c>
      <c r="B4393" s="11" t="s">
        <v>77</v>
      </c>
      <c r="C4393" s="8" t="str">
        <f>IFERROR(_xlfn.XLOOKUP(TRIM(B4393),Lookup!$B$2:$B$1000,Lookup!$C$2:$C$1000),"")</f>
        <v>Equity - Large Cap (Nifty 50 oriented)</v>
      </c>
      <c r="D4393" s="8" t="str">
        <f>IFERROR(INDEX('nav master'!$C:$C, MATCH(B4393, 'nav master'!$B:$B, 0)), "")</f>
        <v>ULIF026 12/01/09 ITF 110</v>
      </c>
      <c r="E4393" s="8">
        <v>96.959100000000007</v>
      </c>
      <c r="F4393" s="9">
        <v>46231</v>
      </c>
    </row>
    <row r="4394" spans="1:6" ht="90" x14ac:dyDescent="0.25">
      <c r="A4394" s="8" t="s">
        <v>63</v>
      </c>
      <c r="B4394" s="11" t="s">
        <v>77</v>
      </c>
      <c r="C4394" s="8" t="str">
        <f>IFERROR(_xlfn.XLOOKUP(TRIM(B4394),Lookup!$B$2:$B$1000,Lookup!$C$2:$C$1000),"")</f>
        <v>Equity - Large Cap (Nifty 50 oriented)</v>
      </c>
      <c r="D4394" s="8" t="str">
        <f>IFERROR(INDEX('nav master'!$C:$C, MATCH(B4394, 'nav master'!$B:$B, 0)), "")</f>
        <v>ULIF026 12/01/09 ITF 110</v>
      </c>
      <c r="E4394" s="8">
        <v>97.955399999999997</v>
      </c>
      <c r="F4394" s="9">
        <v>46232</v>
      </c>
    </row>
    <row r="4395" spans="1:6" ht="90" x14ac:dyDescent="0.25">
      <c r="A4395" s="8" t="s">
        <v>63</v>
      </c>
      <c r="B4395" s="11" t="s">
        <v>77</v>
      </c>
      <c r="C4395" s="8" t="str">
        <f>IFERROR(_xlfn.XLOOKUP(TRIM(B4395),Lookup!$B$2:$B$1000,Lookup!$C$2:$C$1000),"")</f>
        <v>Equity - Large Cap (Nifty 50 oriented)</v>
      </c>
      <c r="D4395" s="8" t="str">
        <f>IFERROR(INDEX('nav master'!$C:$C, MATCH(B4395, 'nav master'!$B:$B, 0)), "")</f>
        <v>ULIF026 12/01/09 ITF 110</v>
      </c>
      <c r="E4395" s="8">
        <v>98.193299999999994</v>
      </c>
      <c r="F4395" s="9">
        <v>46233</v>
      </c>
    </row>
    <row r="4396" spans="1:6" ht="90" x14ac:dyDescent="0.25">
      <c r="A4396" s="8" t="s">
        <v>63</v>
      </c>
      <c r="B4396" s="11" t="s">
        <v>77</v>
      </c>
      <c r="C4396" s="8" t="str">
        <f>IFERROR(_xlfn.XLOOKUP(TRIM(B4396),Lookup!$B$2:$B$1000,Lookup!$C$2:$C$1000),"")</f>
        <v>Equity - Large Cap (Nifty 50 oriented)</v>
      </c>
      <c r="D4396" s="8" t="str">
        <f>IFERROR(INDEX('nav master'!$C:$C, MATCH(B4396, 'nav master'!$B:$B, 0)), "")</f>
        <v>ULIF026 12/01/09 ITF 110</v>
      </c>
      <c r="E4396" s="8">
        <v>98.585999999999999</v>
      </c>
      <c r="F4396" s="9">
        <v>46234</v>
      </c>
    </row>
    <row r="4397" spans="1:6" ht="90" x14ac:dyDescent="0.25">
      <c r="A4397" s="8" t="s">
        <v>63</v>
      </c>
      <c r="B4397" s="11" t="s">
        <v>78</v>
      </c>
      <c r="C4397" s="8" t="str">
        <f>IFERROR(_xlfn.XLOOKUP(TRIM(B4397),Lookup!$B$2:$B$1000,Lookup!$C$2:$C$1000),"")</f>
        <v>Balanced - Equity Oriented</v>
      </c>
      <c r="D4397" s="8" t="str">
        <f>IFERROR(INDEX('nav master'!$C:$C, MATCH(B4397, 'nav master'!$B:$B, 0)), "")</f>
        <v>ULIF 010 04/01/07 WLA 110</v>
      </c>
      <c r="E4397" s="8">
        <v>98.557500000000005</v>
      </c>
      <c r="F4397" s="9">
        <v>45869</v>
      </c>
    </row>
    <row r="4398" spans="1:6" ht="90" x14ac:dyDescent="0.25">
      <c r="A4398" s="8" t="s">
        <v>63</v>
      </c>
      <c r="B4398" s="11" t="s">
        <v>78</v>
      </c>
      <c r="C4398" s="8" t="str">
        <f>IFERROR(_xlfn.XLOOKUP(TRIM(B4398),Lookup!$B$2:$B$1000,Lookup!$C$2:$C$1000),"")</f>
        <v>Balanced - Equity Oriented</v>
      </c>
      <c r="D4398" s="8" t="str">
        <f>IFERROR(INDEX('nav master'!$C:$C, MATCH(B4398, 'nav master'!$B:$B, 0)), "")</f>
        <v>ULIF 010 04/01/07 WLA 110</v>
      </c>
      <c r="E4398" s="8">
        <v>97.655600000000007</v>
      </c>
      <c r="F4398" s="9">
        <v>45870</v>
      </c>
    </row>
    <row r="4399" spans="1:6" ht="90" x14ac:dyDescent="0.25">
      <c r="A4399" s="8" t="s">
        <v>63</v>
      </c>
      <c r="B4399" s="11" t="s">
        <v>78</v>
      </c>
      <c r="C4399" s="8" t="str">
        <f>IFERROR(_xlfn.XLOOKUP(TRIM(B4399),Lookup!$B$2:$B$1000,Lookup!$C$2:$C$1000),"")</f>
        <v>Balanced - Equity Oriented</v>
      </c>
      <c r="D4399" s="8" t="str">
        <f>IFERROR(INDEX('nav master'!$C:$C, MATCH(B4399, 'nav master'!$B:$B, 0)), "")</f>
        <v>ULIF 010 04/01/07 WLA 110</v>
      </c>
      <c r="E4399" s="8">
        <v>98.186599999999999</v>
      </c>
      <c r="F4399" s="9">
        <v>45873</v>
      </c>
    </row>
    <row r="4400" spans="1:6" ht="90" x14ac:dyDescent="0.25">
      <c r="A4400" s="8" t="s">
        <v>63</v>
      </c>
      <c r="B4400" s="11" t="s">
        <v>78</v>
      </c>
      <c r="C4400" s="8" t="str">
        <f>IFERROR(_xlfn.XLOOKUP(TRIM(B4400),Lookup!$B$2:$B$1000,Lookup!$C$2:$C$1000),"")</f>
        <v>Balanced - Equity Oriented</v>
      </c>
      <c r="D4400" s="8" t="str">
        <f>IFERROR(INDEX('nav master'!$C:$C, MATCH(B4400, 'nav master'!$B:$B, 0)), "")</f>
        <v>ULIF 010 04/01/07 WLA 110</v>
      </c>
      <c r="E4400" s="8">
        <v>98.0304</v>
      </c>
      <c r="F4400" s="9">
        <v>45874</v>
      </c>
    </row>
    <row r="4401" spans="1:6" ht="90" x14ac:dyDescent="0.25">
      <c r="A4401" s="8" t="s">
        <v>63</v>
      </c>
      <c r="B4401" s="11" t="s">
        <v>78</v>
      </c>
      <c r="C4401" s="8" t="str">
        <f>IFERROR(_xlfn.XLOOKUP(TRIM(B4401),Lookup!$B$2:$B$1000,Lookup!$C$2:$C$1000),"")</f>
        <v>Balanced - Equity Oriented</v>
      </c>
      <c r="D4401" s="8" t="str">
        <f>IFERROR(INDEX('nav master'!$C:$C, MATCH(B4401, 'nav master'!$B:$B, 0)), "")</f>
        <v>ULIF 010 04/01/07 WLA 110</v>
      </c>
      <c r="E4401" s="8">
        <v>97.1708</v>
      </c>
      <c r="F4401" s="9">
        <v>45875</v>
      </c>
    </row>
    <row r="4402" spans="1:6" ht="90" x14ac:dyDescent="0.25">
      <c r="A4402" s="8" t="s">
        <v>63</v>
      </c>
      <c r="B4402" s="11" t="s">
        <v>78</v>
      </c>
      <c r="C4402" s="8" t="str">
        <f>IFERROR(_xlfn.XLOOKUP(TRIM(B4402),Lookup!$B$2:$B$1000,Lookup!$C$2:$C$1000),"")</f>
        <v>Balanced - Equity Oriented</v>
      </c>
      <c r="D4402" s="8" t="str">
        <f>IFERROR(INDEX('nav master'!$C:$C, MATCH(B4402, 'nav master'!$B:$B, 0)), "")</f>
        <v>ULIF 010 04/01/07 WLA 110</v>
      </c>
      <c r="E4402" s="8">
        <v>97.301500000000004</v>
      </c>
      <c r="F4402" s="9">
        <v>45876</v>
      </c>
    </row>
    <row r="4403" spans="1:6" ht="90" x14ac:dyDescent="0.25">
      <c r="A4403" s="8" t="s">
        <v>63</v>
      </c>
      <c r="B4403" s="11" t="s">
        <v>78</v>
      </c>
      <c r="C4403" s="8" t="str">
        <f>IFERROR(_xlfn.XLOOKUP(TRIM(B4403),Lookup!$B$2:$B$1000,Lookup!$C$2:$C$1000),"")</f>
        <v>Balanced - Equity Oriented</v>
      </c>
      <c r="D4403" s="8" t="str">
        <f>IFERROR(INDEX('nav master'!$C:$C, MATCH(B4403, 'nav master'!$B:$B, 0)), "")</f>
        <v>ULIF 010 04/01/07 WLA 110</v>
      </c>
      <c r="E4403" s="8">
        <v>96.553399999999996</v>
      </c>
      <c r="F4403" s="9">
        <v>45877</v>
      </c>
    </row>
    <row r="4404" spans="1:6" ht="90" x14ac:dyDescent="0.25">
      <c r="A4404" s="8" t="s">
        <v>63</v>
      </c>
      <c r="B4404" s="11" t="s">
        <v>78</v>
      </c>
      <c r="C4404" s="8" t="str">
        <f>IFERROR(_xlfn.XLOOKUP(TRIM(B4404),Lookup!$B$2:$B$1000,Lookup!$C$2:$C$1000),"")</f>
        <v>Balanced - Equity Oriented</v>
      </c>
      <c r="D4404" s="8" t="str">
        <f>IFERROR(INDEX('nav master'!$C:$C, MATCH(B4404, 'nav master'!$B:$B, 0)), "")</f>
        <v>ULIF 010 04/01/07 WLA 110</v>
      </c>
      <c r="E4404" s="8">
        <v>97.140600000000006</v>
      </c>
      <c r="F4404" s="9">
        <v>45880</v>
      </c>
    </row>
    <row r="4405" spans="1:6" ht="90" x14ac:dyDescent="0.25">
      <c r="A4405" s="8" t="s">
        <v>63</v>
      </c>
      <c r="B4405" s="11" t="s">
        <v>78</v>
      </c>
      <c r="C4405" s="8" t="str">
        <f>IFERROR(_xlfn.XLOOKUP(TRIM(B4405),Lookup!$B$2:$B$1000,Lookup!$C$2:$C$1000),"")</f>
        <v>Balanced - Equity Oriented</v>
      </c>
      <c r="D4405" s="8" t="str">
        <f>IFERROR(INDEX('nav master'!$C:$C, MATCH(B4405, 'nav master'!$B:$B, 0)), "")</f>
        <v>ULIF 010 04/01/07 WLA 110</v>
      </c>
      <c r="E4405" s="8">
        <v>97.018500000000003</v>
      </c>
      <c r="F4405" s="9">
        <v>45881</v>
      </c>
    </row>
    <row r="4406" spans="1:6" ht="90" x14ac:dyDescent="0.25">
      <c r="A4406" s="8" t="s">
        <v>63</v>
      </c>
      <c r="B4406" s="11" t="s">
        <v>78</v>
      </c>
      <c r="C4406" s="8" t="str">
        <f>IFERROR(_xlfn.XLOOKUP(TRIM(B4406),Lookup!$B$2:$B$1000,Lookup!$C$2:$C$1000),"")</f>
        <v>Balanced - Equity Oriented</v>
      </c>
      <c r="D4406" s="8" t="str">
        <f>IFERROR(INDEX('nav master'!$C:$C, MATCH(B4406, 'nav master'!$B:$B, 0)), "")</f>
        <v>ULIF 010 04/01/07 WLA 110</v>
      </c>
      <c r="E4406" s="8">
        <v>97.502799999999993</v>
      </c>
      <c r="F4406" s="9">
        <v>45882</v>
      </c>
    </row>
    <row r="4407" spans="1:6" ht="90" x14ac:dyDescent="0.25">
      <c r="A4407" s="8" t="s">
        <v>63</v>
      </c>
      <c r="B4407" s="11" t="s">
        <v>78</v>
      </c>
      <c r="C4407" s="8" t="str">
        <f>IFERROR(_xlfn.XLOOKUP(TRIM(B4407),Lookup!$B$2:$B$1000,Lookup!$C$2:$C$1000),"")</f>
        <v>Balanced - Equity Oriented</v>
      </c>
      <c r="D4407" s="8" t="str">
        <f>IFERROR(INDEX('nav master'!$C:$C, MATCH(B4407, 'nav master'!$B:$B, 0)), "")</f>
        <v>ULIF 010 04/01/07 WLA 110</v>
      </c>
      <c r="E4407" s="8">
        <v>97.736800000000002</v>
      </c>
      <c r="F4407" s="9">
        <v>45883</v>
      </c>
    </row>
    <row r="4408" spans="1:6" ht="90" x14ac:dyDescent="0.25">
      <c r="A4408" s="8" t="s">
        <v>63</v>
      </c>
      <c r="B4408" s="11" t="s">
        <v>78</v>
      </c>
      <c r="C4408" s="8" t="str">
        <f>IFERROR(_xlfn.XLOOKUP(TRIM(B4408),Lookup!$B$2:$B$1000,Lookup!$C$2:$C$1000),"")</f>
        <v>Balanced - Equity Oriented</v>
      </c>
      <c r="D4408" s="8" t="str">
        <f>IFERROR(INDEX('nav master'!$C:$C, MATCH(B4408, 'nav master'!$B:$B, 0)), "")</f>
        <v>ULIF 010 04/01/07 WLA 110</v>
      </c>
      <c r="E4408" s="8">
        <v>98.471299999999999</v>
      </c>
      <c r="F4408" s="9">
        <v>45887</v>
      </c>
    </row>
    <row r="4409" spans="1:6" ht="90" x14ac:dyDescent="0.25">
      <c r="A4409" s="8" t="s">
        <v>63</v>
      </c>
      <c r="B4409" s="11" t="s">
        <v>78</v>
      </c>
      <c r="C4409" s="8" t="str">
        <f>IFERROR(_xlfn.XLOOKUP(TRIM(B4409),Lookup!$B$2:$B$1000,Lookup!$C$2:$C$1000),"")</f>
        <v>Balanced - Equity Oriented</v>
      </c>
      <c r="D4409" s="8" t="str">
        <f>IFERROR(INDEX('nav master'!$C:$C, MATCH(B4409, 'nav master'!$B:$B, 0)), "")</f>
        <v>ULIF 010 04/01/07 WLA 110</v>
      </c>
      <c r="E4409" s="8">
        <v>98.682599999999994</v>
      </c>
      <c r="F4409" s="9">
        <v>45888</v>
      </c>
    </row>
    <row r="4410" spans="1:6" ht="90" x14ac:dyDescent="0.25">
      <c r="A4410" s="8" t="s">
        <v>63</v>
      </c>
      <c r="B4410" s="11" t="s">
        <v>78</v>
      </c>
      <c r="C4410" s="8" t="str">
        <f>IFERROR(_xlfn.XLOOKUP(TRIM(B4410),Lookup!$B$2:$B$1000,Lookup!$C$2:$C$1000),"")</f>
        <v>Balanced - Equity Oriented</v>
      </c>
      <c r="D4410" s="8" t="str">
        <f>IFERROR(INDEX('nav master'!$C:$C, MATCH(B4410, 'nav master'!$B:$B, 0)), "")</f>
        <v>ULIF 010 04/01/07 WLA 110</v>
      </c>
      <c r="E4410" s="8">
        <v>99.1267</v>
      </c>
      <c r="F4410" s="9">
        <v>45889</v>
      </c>
    </row>
    <row r="4411" spans="1:6" ht="90" x14ac:dyDescent="0.25">
      <c r="A4411" s="8" t="s">
        <v>63</v>
      </c>
      <c r="B4411" s="11" t="s">
        <v>78</v>
      </c>
      <c r="C4411" s="8" t="str">
        <f>IFERROR(_xlfn.XLOOKUP(TRIM(B4411),Lookup!$B$2:$B$1000,Lookup!$C$2:$C$1000),"")</f>
        <v>Balanced - Equity Oriented</v>
      </c>
      <c r="D4411" s="8" t="str">
        <f>IFERROR(INDEX('nav master'!$C:$C, MATCH(B4411, 'nav master'!$B:$B, 0)), "")</f>
        <v>ULIF 010 04/01/07 WLA 110</v>
      </c>
      <c r="E4411" s="8">
        <v>98.8583</v>
      </c>
      <c r="F4411" s="9">
        <v>45890</v>
      </c>
    </row>
    <row r="4412" spans="1:6" ht="90" x14ac:dyDescent="0.25">
      <c r="A4412" s="8" t="s">
        <v>63</v>
      </c>
      <c r="B4412" s="11" t="s">
        <v>78</v>
      </c>
      <c r="C4412" s="8" t="str">
        <f>IFERROR(_xlfn.XLOOKUP(TRIM(B4412),Lookup!$B$2:$B$1000,Lookup!$C$2:$C$1000),"")</f>
        <v>Balanced - Equity Oriented</v>
      </c>
      <c r="D4412" s="8" t="str">
        <f>IFERROR(INDEX('nav master'!$C:$C, MATCH(B4412, 'nav master'!$B:$B, 0)), "")</f>
        <v>ULIF 010 04/01/07 WLA 110</v>
      </c>
      <c r="E4412" s="8">
        <v>98.795000000000002</v>
      </c>
      <c r="F4412" s="9">
        <v>45891</v>
      </c>
    </row>
    <row r="4413" spans="1:6" ht="90" x14ac:dyDescent="0.25">
      <c r="A4413" s="8" t="s">
        <v>63</v>
      </c>
      <c r="B4413" s="11" t="s">
        <v>78</v>
      </c>
      <c r="C4413" s="8" t="str">
        <f>IFERROR(_xlfn.XLOOKUP(TRIM(B4413),Lookup!$B$2:$B$1000,Lookup!$C$2:$C$1000),"")</f>
        <v>Balanced - Equity Oriented</v>
      </c>
      <c r="D4413" s="8" t="str">
        <f>IFERROR(INDEX('nav master'!$C:$C, MATCH(B4413, 'nav master'!$B:$B, 0)), "")</f>
        <v>ULIF 010 04/01/07 WLA 110</v>
      </c>
      <c r="E4413" s="8">
        <v>99.057500000000005</v>
      </c>
      <c r="F4413" s="9">
        <v>45894</v>
      </c>
    </row>
    <row r="4414" spans="1:6" ht="90" x14ac:dyDescent="0.25">
      <c r="A4414" s="8" t="s">
        <v>63</v>
      </c>
      <c r="B4414" s="11" t="s">
        <v>78</v>
      </c>
      <c r="C4414" s="8" t="str">
        <f>IFERROR(_xlfn.XLOOKUP(TRIM(B4414),Lookup!$B$2:$B$1000,Lookup!$C$2:$C$1000),"")</f>
        <v>Balanced - Equity Oriented</v>
      </c>
      <c r="D4414" s="8" t="str">
        <f>IFERROR(INDEX('nav master'!$C:$C, MATCH(B4414, 'nav master'!$B:$B, 0)), "")</f>
        <v>ULIF 010 04/01/07 WLA 110</v>
      </c>
      <c r="E4414" s="8">
        <v>97.925700000000006</v>
      </c>
      <c r="F4414" s="9">
        <v>45895</v>
      </c>
    </row>
    <row r="4415" spans="1:6" ht="90" x14ac:dyDescent="0.25">
      <c r="A4415" s="8" t="s">
        <v>63</v>
      </c>
      <c r="B4415" s="11" t="s">
        <v>78</v>
      </c>
      <c r="C4415" s="8" t="str">
        <f>IFERROR(_xlfn.XLOOKUP(TRIM(B4415),Lookup!$B$2:$B$1000,Lookup!$C$2:$C$1000),"")</f>
        <v>Balanced - Equity Oriented</v>
      </c>
      <c r="D4415" s="8" t="str">
        <f>IFERROR(INDEX('nav master'!$C:$C, MATCH(B4415, 'nav master'!$B:$B, 0)), "")</f>
        <v>ULIF 010 04/01/07 WLA 110</v>
      </c>
      <c r="E4415" s="8">
        <v>97.018600000000006</v>
      </c>
      <c r="F4415" s="9">
        <v>45897</v>
      </c>
    </row>
    <row r="4416" spans="1:6" ht="90" x14ac:dyDescent="0.25">
      <c r="A4416" s="8" t="s">
        <v>63</v>
      </c>
      <c r="B4416" s="11" t="s">
        <v>78</v>
      </c>
      <c r="C4416" s="8" t="str">
        <f>IFERROR(_xlfn.XLOOKUP(TRIM(B4416),Lookup!$B$2:$B$1000,Lookup!$C$2:$C$1000),"")</f>
        <v>Balanced - Equity Oriented</v>
      </c>
      <c r="D4416" s="8" t="str">
        <f>IFERROR(INDEX('nav master'!$C:$C, MATCH(B4416, 'nav master'!$B:$B, 0)), "")</f>
        <v>ULIF 010 04/01/07 WLA 110</v>
      </c>
      <c r="E4416" s="8">
        <v>96.464399999999998</v>
      </c>
      <c r="F4416" s="9">
        <v>45898</v>
      </c>
    </row>
    <row r="4417" spans="1:6" ht="90" x14ac:dyDescent="0.25">
      <c r="A4417" s="8" t="s">
        <v>63</v>
      </c>
      <c r="B4417" s="11" t="s">
        <v>78</v>
      </c>
      <c r="C4417" s="8" t="str">
        <f>IFERROR(_xlfn.XLOOKUP(TRIM(B4417),Lookup!$B$2:$B$1000,Lookup!$C$2:$C$1000),"")</f>
        <v>Balanced - Equity Oriented</v>
      </c>
      <c r="D4417" s="8" t="str">
        <f>IFERROR(INDEX('nav master'!$C:$C, MATCH(B4417, 'nav master'!$B:$B, 0)), "")</f>
        <v>ULIF 010 04/01/07 WLA 110</v>
      </c>
      <c r="E4417" s="8">
        <v>97.325400000000002</v>
      </c>
      <c r="F4417" s="9">
        <v>45901</v>
      </c>
    </row>
    <row r="4418" spans="1:6" ht="90" x14ac:dyDescent="0.25">
      <c r="A4418" s="8" t="s">
        <v>63</v>
      </c>
      <c r="B4418" s="11" t="s">
        <v>78</v>
      </c>
      <c r="C4418" s="8" t="str">
        <f>IFERROR(_xlfn.XLOOKUP(TRIM(B4418),Lookup!$B$2:$B$1000,Lookup!$C$2:$C$1000),"")</f>
        <v>Balanced - Equity Oriented</v>
      </c>
      <c r="D4418" s="8" t="str">
        <f>IFERROR(INDEX('nav master'!$C:$C, MATCH(B4418, 'nav master'!$B:$B, 0)), "")</f>
        <v>ULIF 010 04/01/07 WLA 110</v>
      </c>
      <c r="E4418" s="8">
        <v>97.579400000000007</v>
      </c>
      <c r="F4418" s="9">
        <v>45902</v>
      </c>
    </row>
    <row r="4419" spans="1:6" ht="90" x14ac:dyDescent="0.25">
      <c r="A4419" s="8" t="s">
        <v>63</v>
      </c>
      <c r="B4419" s="11" t="s">
        <v>78</v>
      </c>
      <c r="C4419" s="8" t="str">
        <f>IFERROR(_xlfn.XLOOKUP(TRIM(B4419),Lookup!$B$2:$B$1000,Lookup!$C$2:$C$1000),"")</f>
        <v>Balanced - Equity Oriented</v>
      </c>
      <c r="D4419" s="8" t="str">
        <f>IFERROR(INDEX('nav master'!$C:$C, MATCH(B4419, 'nav master'!$B:$B, 0)), "")</f>
        <v>ULIF 010 04/01/07 WLA 110</v>
      </c>
      <c r="E4419" s="8">
        <v>98.045500000000004</v>
      </c>
      <c r="F4419" s="9">
        <v>45903</v>
      </c>
    </row>
    <row r="4420" spans="1:6" ht="90" x14ac:dyDescent="0.25">
      <c r="A4420" s="8" t="s">
        <v>63</v>
      </c>
      <c r="B4420" s="11" t="s">
        <v>78</v>
      </c>
      <c r="C4420" s="8" t="str">
        <f>IFERROR(_xlfn.XLOOKUP(TRIM(B4420),Lookup!$B$2:$B$1000,Lookup!$C$2:$C$1000),"")</f>
        <v>Balanced - Equity Oriented</v>
      </c>
      <c r="D4420" s="8" t="str">
        <f>IFERROR(INDEX('nav master'!$C:$C, MATCH(B4420, 'nav master'!$B:$B, 0)), "")</f>
        <v>ULIF 010 04/01/07 WLA 110</v>
      </c>
      <c r="E4420" s="8">
        <v>97.923299999999998</v>
      </c>
      <c r="F4420" s="9">
        <v>45904</v>
      </c>
    </row>
    <row r="4421" spans="1:6" ht="90" x14ac:dyDescent="0.25">
      <c r="A4421" s="8" t="s">
        <v>63</v>
      </c>
      <c r="B4421" s="11" t="s">
        <v>78</v>
      </c>
      <c r="C4421" s="8" t="str">
        <f>IFERROR(_xlfn.XLOOKUP(TRIM(B4421),Lookup!$B$2:$B$1000,Lookup!$C$2:$C$1000),"")</f>
        <v>Balanced - Equity Oriented</v>
      </c>
      <c r="D4421" s="8" t="str">
        <f>IFERROR(INDEX('nav master'!$C:$C, MATCH(B4421, 'nav master'!$B:$B, 0)), "")</f>
        <v>ULIF 010 04/01/07 WLA 110</v>
      </c>
      <c r="E4421" s="8">
        <v>98.051100000000005</v>
      </c>
      <c r="F4421" s="9">
        <v>45905</v>
      </c>
    </row>
    <row r="4422" spans="1:6" ht="90" x14ac:dyDescent="0.25">
      <c r="A4422" s="8" t="s">
        <v>63</v>
      </c>
      <c r="B4422" s="11" t="s">
        <v>78</v>
      </c>
      <c r="C4422" s="8" t="str">
        <f>IFERROR(_xlfn.XLOOKUP(TRIM(B4422),Lookup!$B$2:$B$1000,Lookup!$C$2:$C$1000),"")</f>
        <v>Balanced - Equity Oriented</v>
      </c>
      <c r="D4422" s="8" t="str">
        <f>IFERROR(INDEX('nav master'!$C:$C, MATCH(B4422, 'nav master'!$B:$B, 0)), "")</f>
        <v>ULIF 010 04/01/07 WLA 110</v>
      </c>
      <c r="E4422" s="8">
        <v>97.997799999999998</v>
      </c>
      <c r="F4422" s="9">
        <v>45908</v>
      </c>
    </row>
    <row r="4423" spans="1:6" ht="90" x14ac:dyDescent="0.25">
      <c r="A4423" s="8" t="s">
        <v>63</v>
      </c>
      <c r="B4423" s="11" t="s">
        <v>78</v>
      </c>
      <c r="C4423" s="8" t="str">
        <f>IFERROR(_xlfn.XLOOKUP(TRIM(B4423),Lookup!$B$2:$B$1000,Lookup!$C$2:$C$1000),"")</f>
        <v>Balanced - Equity Oriented</v>
      </c>
      <c r="D4423" s="8" t="str">
        <f>IFERROR(INDEX('nav master'!$C:$C, MATCH(B4423, 'nav master'!$B:$B, 0)), "")</f>
        <v>ULIF 010 04/01/07 WLA 110</v>
      </c>
      <c r="E4423" s="8">
        <v>98.186300000000003</v>
      </c>
      <c r="F4423" s="9">
        <v>45909</v>
      </c>
    </row>
    <row r="4424" spans="1:6" ht="90" x14ac:dyDescent="0.25">
      <c r="A4424" s="8" t="s">
        <v>63</v>
      </c>
      <c r="B4424" s="11" t="s">
        <v>78</v>
      </c>
      <c r="C4424" s="8" t="str">
        <f>IFERROR(_xlfn.XLOOKUP(TRIM(B4424),Lookup!$B$2:$B$1000,Lookup!$C$2:$C$1000),"")</f>
        <v>Balanced - Equity Oriented</v>
      </c>
      <c r="D4424" s="8" t="str">
        <f>IFERROR(INDEX('nav master'!$C:$C, MATCH(B4424, 'nav master'!$B:$B, 0)), "")</f>
        <v>ULIF 010 04/01/07 WLA 110</v>
      </c>
      <c r="E4424" s="8">
        <v>98.386700000000005</v>
      </c>
      <c r="F4424" s="9">
        <v>45910</v>
      </c>
    </row>
    <row r="4425" spans="1:6" ht="90" x14ac:dyDescent="0.25">
      <c r="A4425" s="8" t="s">
        <v>63</v>
      </c>
      <c r="B4425" s="11" t="s">
        <v>78</v>
      </c>
      <c r="C4425" s="8" t="str">
        <f>IFERROR(_xlfn.XLOOKUP(TRIM(B4425),Lookup!$B$2:$B$1000,Lookup!$C$2:$C$1000),"")</f>
        <v>Balanced - Equity Oriented</v>
      </c>
      <c r="D4425" s="8" t="str">
        <f>IFERROR(INDEX('nav master'!$C:$C, MATCH(B4425, 'nav master'!$B:$B, 0)), "")</f>
        <v>ULIF 010 04/01/07 WLA 110</v>
      </c>
      <c r="E4425" s="8">
        <v>98.176500000000004</v>
      </c>
      <c r="F4425" s="9">
        <v>45911</v>
      </c>
    </row>
    <row r="4426" spans="1:6" ht="90" x14ac:dyDescent="0.25">
      <c r="A4426" s="8" t="s">
        <v>63</v>
      </c>
      <c r="B4426" s="11" t="s">
        <v>78</v>
      </c>
      <c r="C4426" s="8" t="str">
        <f>IFERROR(_xlfn.XLOOKUP(TRIM(B4426),Lookup!$B$2:$B$1000,Lookup!$C$2:$C$1000),"")</f>
        <v>Balanced - Equity Oriented</v>
      </c>
      <c r="D4426" s="8" t="str">
        <f>IFERROR(INDEX('nav master'!$C:$C, MATCH(B4426, 'nav master'!$B:$B, 0)), "")</f>
        <v>ULIF 010 04/01/07 WLA 110</v>
      </c>
      <c r="E4426" s="8">
        <v>98.493399999999994</v>
      </c>
      <c r="F4426" s="9">
        <v>45912</v>
      </c>
    </row>
    <row r="4427" spans="1:6" ht="90" x14ac:dyDescent="0.25">
      <c r="A4427" s="8" t="s">
        <v>63</v>
      </c>
      <c r="B4427" s="11" t="s">
        <v>78</v>
      </c>
      <c r="C4427" s="8" t="str">
        <f>IFERROR(_xlfn.XLOOKUP(TRIM(B4427),Lookup!$B$2:$B$1000,Lookup!$C$2:$C$1000),"")</f>
        <v>Balanced - Equity Oriented</v>
      </c>
      <c r="D4427" s="8" t="str">
        <f>IFERROR(INDEX('nav master'!$C:$C, MATCH(B4427, 'nav master'!$B:$B, 0)), "")</f>
        <v>ULIF 010 04/01/07 WLA 110</v>
      </c>
      <c r="E4427" s="8">
        <v>98.704599999999999</v>
      </c>
      <c r="F4427" s="9">
        <v>45915</v>
      </c>
    </row>
    <row r="4428" spans="1:6" ht="90" x14ac:dyDescent="0.25">
      <c r="A4428" s="8" t="s">
        <v>63</v>
      </c>
      <c r="B4428" s="11" t="s">
        <v>78</v>
      </c>
      <c r="C4428" s="8" t="str">
        <f>IFERROR(_xlfn.XLOOKUP(TRIM(B4428),Lookup!$B$2:$B$1000,Lookup!$C$2:$C$1000),"")</f>
        <v>Balanced - Equity Oriented</v>
      </c>
      <c r="D4428" s="8" t="str">
        <f>IFERROR(INDEX('nav master'!$C:$C, MATCH(B4428, 'nav master'!$B:$B, 0)), "")</f>
        <v>ULIF 010 04/01/07 WLA 110</v>
      </c>
      <c r="E4428" s="8">
        <v>98.904899999999998</v>
      </c>
      <c r="F4428" s="9">
        <v>45916</v>
      </c>
    </row>
    <row r="4429" spans="1:6" ht="90" x14ac:dyDescent="0.25">
      <c r="A4429" s="8" t="s">
        <v>63</v>
      </c>
      <c r="B4429" s="11" t="s">
        <v>78</v>
      </c>
      <c r="C4429" s="8" t="str">
        <f>IFERROR(_xlfn.XLOOKUP(TRIM(B4429),Lookup!$B$2:$B$1000,Lookup!$C$2:$C$1000),"")</f>
        <v>Balanced - Equity Oriented</v>
      </c>
      <c r="D4429" s="8" t="str">
        <f>IFERROR(INDEX('nav master'!$C:$C, MATCH(B4429, 'nav master'!$B:$B, 0)), "")</f>
        <v>ULIF 010 04/01/07 WLA 110</v>
      </c>
      <c r="E4429" s="8">
        <v>99.179900000000004</v>
      </c>
      <c r="F4429" s="9">
        <v>45917</v>
      </c>
    </row>
    <row r="4430" spans="1:6" ht="90" x14ac:dyDescent="0.25">
      <c r="A4430" s="8" t="s">
        <v>63</v>
      </c>
      <c r="B4430" s="11" t="s">
        <v>78</v>
      </c>
      <c r="C4430" s="8" t="str">
        <f>IFERROR(_xlfn.XLOOKUP(TRIM(B4430),Lookup!$B$2:$B$1000,Lookup!$C$2:$C$1000),"")</f>
        <v>Balanced - Equity Oriented</v>
      </c>
      <c r="D4430" s="8" t="str">
        <f>IFERROR(INDEX('nav master'!$C:$C, MATCH(B4430, 'nav master'!$B:$B, 0)), "")</f>
        <v>ULIF 010 04/01/07 WLA 110</v>
      </c>
      <c r="E4430" s="8">
        <v>99.347399999999993</v>
      </c>
      <c r="F4430" s="9">
        <v>45918</v>
      </c>
    </row>
    <row r="4431" spans="1:6" ht="90" x14ac:dyDescent="0.25">
      <c r="A4431" s="8" t="s">
        <v>63</v>
      </c>
      <c r="B4431" s="11" t="s">
        <v>78</v>
      </c>
      <c r="C4431" s="8" t="str">
        <f>IFERROR(_xlfn.XLOOKUP(TRIM(B4431),Lookup!$B$2:$B$1000,Lookup!$C$2:$C$1000),"")</f>
        <v>Balanced - Equity Oriented</v>
      </c>
      <c r="D4431" s="8" t="str">
        <f>IFERROR(INDEX('nav master'!$C:$C, MATCH(B4431, 'nav master'!$B:$B, 0)), "")</f>
        <v>ULIF 010 04/01/07 WLA 110</v>
      </c>
      <c r="E4431" s="8">
        <v>99.395200000000003</v>
      </c>
      <c r="F4431" s="9">
        <v>45919</v>
      </c>
    </row>
    <row r="4432" spans="1:6" ht="90" x14ac:dyDescent="0.25">
      <c r="A4432" s="8" t="s">
        <v>63</v>
      </c>
      <c r="B4432" s="11" t="s">
        <v>78</v>
      </c>
      <c r="C4432" s="8" t="str">
        <f>IFERROR(_xlfn.XLOOKUP(TRIM(B4432),Lookup!$B$2:$B$1000,Lookup!$C$2:$C$1000),"")</f>
        <v>Balanced - Equity Oriented</v>
      </c>
      <c r="D4432" s="8" t="str">
        <f>IFERROR(INDEX('nav master'!$C:$C, MATCH(B4432, 'nav master'!$B:$B, 0)), "")</f>
        <v>ULIF 010 04/01/07 WLA 110</v>
      </c>
      <c r="E4432" s="8">
        <v>98.917900000000003</v>
      </c>
      <c r="F4432" s="9">
        <v>45922</v>
      </c>
    </row>
    <row r="4433" spans="1:6" ht="90" x14ac:dyDescent="0.25">
      <c r="A4433" s="8" t="s">
        <v>63</v>
      </c>
      <c r="B4433" s="11" t="s">
        <v>78</v>
      </c>
      <c r="C4433" s="8" t="str">
        <f>IFERROR(_xlfn.XLOOKUP(TRIM(B4433),Lookup!$B$2:$B$1000,Lookup!$C$2:$C$1000),"")</f>
        <v>Balanced - Equity Oriented</v>
      </c>
      <c r="D4433" s="8" t="str">
        <f>IFERROR(INDEX('nav master'!$C:$C, MATCH(B4433, 'nav master'!$B:$B, 0)), "")</f>
        <v>ULIF 010 04/01/07 WLA 110</v>
      </c>
      <c r="E4433" s="8">
        <v>98.638400000000004</v>
      </c>
      <c r="F4433" s="9">
        <v>45923</v>
      </c>
    </row>
    <row r="4434" spans="1:6" ht="90" x14ac:dyDescent="0.25">
      <c r="A4434" s="8" t="s">
        <v>63</v>
      </c>
      <c r="B4434" s="11" t="s">
        <v>78</v>
      </c>
      <c r="C4434" s="8" t="str">
        <f>IFERROR(_xlfn.XLOOKUP(TRIM(B4434),Lookup!$B$2:$B$1000,Lookup!$C$2:$C$1000),"")</f>
        <v>Balanced - Equity Oriented</v>
      </c>
      <c r="D4434" s="8" t="str">
        <f>IFERROR(INDEX('nav master'!$C:$C, MATCH(B4434, 'nav master'!$B:$B, 0)), "")</f>
        <v>ULIF 010 04/01/07 WLA 110</v>
      </c>
      <c r="E4434" s="8">
        <v>98.298900000000003</v>
      </c>
      <c r="F4434" s="9">
        <v>45924</v>
      </c>
    </row>
    <row r="4435" spans="1:6" ht="90" x14ac:dyDescent="0.25">
      <c r="A4435" s="8" t="s">
        <v>63</v>
      </c>
      <c r="B4435" s="11" t="s">
        <v>78</v>
      </c>
      <c r="C4435" s="8" t="str">
        <f>IFERROR(_xlfn.XLOOKUP(TRIM(B4435),Lookup!$B$2:$B$1000,Lookup!$C$2:$C$1000),"")</f>
        <v>Balanced - Equity Oriented</v>
      </c>
      <c r="D4435" s="8" t="str">
        <f>IFERROR(INDEX('nav master'!$C:$C, MATCH(B4435, 'nav master'!$B:$B, 0)), "")</f>
        <v>ULIF 010 04/01/07 WLA 110</v>
      </c>
      <c r="E4435" s="8">
        <v>97.966399999999993</v>
      </c>
      <c r="F4435" s="9">
        <v>45925</v>
      </c>
    </row>
    <row r="4436" spans="1:6" ht="90" x14ac:dyDescent="0.25">
      <c r="A4436" s="8" t="s">
        <v>63</v>
      </c>
      <c r="B4436" s="11" t="s">
        <v>78</v>
      </c>
      <c r="C4436" s="8" t="str">
        <f>IFERROR(_xlfn.XLOOKUP(TRIM(B4436),Lookup!$B$2:$B$1000,Lookup!$C$2:$C$1000),"")</f>
        <v>Balanced - Equity Oriented</v>
      </c>
      <c r="D4436" s="8" t="str">
        <f>IFERROR(INDEX('nav master'!$C:$C, MATCH(B4436, 'nav master'!$B:$B, 0)), "")</f>
        <v>ULIF 010 04/01/07 WLA 110</v>
      </c>
      <c r="E4436" s="8">
        <v>96.899799999999999</v>
      </c>
      <c r="F4436" s="9">
        <v>45926</v>
      </c>
    </row>
    <row r="4437" spans="1:6" ht="90" x14ac:dyDescent="0.25">
      <c r="A4437" s="8" t="s">
        <v>63</v>
      </c>
      <c r="B4437" s="11" t="s">
        <v>78</v>
      </c>
      <c r="C4437" s="8" t="str">
        <f>IFERROR(_xlfn.XLOOKUP(TRIM(B4437),Lookup!$B$2:$B$1000,Lookup!$C$2:$C$1000),"")</f>
        <v>Balanced - Equity Oriented</v>
      </c>
      <c r="D4437" s="8" t="str">
        <f>IFERROR(INDEX('nav master'!$C:$C, MATCH(B4437, 'nav master'!$B:$B, 0)), "")</f>
        <v>ULIF 010 04/01/07 WLA 110</v>
      </c>
      <c r="E4437" s="8">
        <v>97.062200000000004</v>
      </c>
      <c r="F4437" s="9">
        <v>45929</v>
      </c>
    </row>
    <row r="4438" spans="1:6" ht="90" x14ac:dyDescent="0.25">
      <c r="A4438" s="8" t="s">
        <v>63</v>
      </c>
      <c r="B4438" s="11" t="s">
        <v>78</v>
      </c>
      <c r="C4438" s="8" t="str">
        <f>IFERROR(_xlfn.XLOOKUP(TRIM(B4438),Lookup!$B$2:$B$1000,Lookup!$C$2:$C$1000),"")</f>
        <v>Balanced - Equity Oriented</v>
      </c>
      <c r="D4438" s="8" t="str">
        <f>IFERROR(INDEX('nav master'!$C:$C, MATCH(B4438, 'nav master'!$B:$B, 0)), "")</f>
        <v>ULIF 010 04/01/07 WLA 110</v>
      </c>
      <c r="E4438" s="8">
        <v>96.772499999999994</v>
      </c>
      <c r="F4438" s="9">
        <v>45930</v>
      </c>
    </row>
    <row r="4439" spans="1:6" ht="90" x14ac:dyDescent="0.25">
      <c r="A4439" s="8" t="s">
        <v>63</v>
      </c>
      <c r="B4439" s="11" t="s">
        <v>78</v>
      </c>
      <c r="C4439" s="8" t="str">
        <f>IFERROR(_xlfn.XLOOKUP(TRIM(B4439),Lookup!$B$2:$B$1000,Lookup!$C$2:$C$1000),"")</f>
        <v>Balanced - Equity Oriented</v>
      </c>
      <c r="D4439" s="8" t="str">
        <f>IFERROR(INDEX('nav master'!$C:$C, MATCH(B4439, 'nav master'!$B:$B, 0)), "")</f>
        <v>ULIF 010 04/01/07 WLA 110</v>
      </c>
      <c r="E4439" s="8">
        <v>97.381500000000003</v>
      </c>
      <c r="F4439" s="9">
        <v>45931</v>
      </c>
    </row>
    <row r="4440" spans="1:6" ht="90" x14ac:dyDescent="0.25">
      <c r="A4440" s="8" t="s">
        <v>63</v>
      </c>
      <c r="B4440" s="11" t="s">
        <v>78</v>
      </c>
      <c r="C4440" s="8" t="str">
        <f>IFERROR(_xlfn.XLOOKUP(TRIM(B4440),Lookup!$B$2:$B$1000,Lookup!$C$2:$C$1000),"")</f>
        <v>Balanced - Equity Oriented</v>
      </c>
      <c r="D4440" s="8" t="str">
        <f>IFERROR(INDEX('nav master'!$C:$C, MATCH(B4440, 'nav master'!$B:$B, 0)), "")</f>
        <v>ULIF 010 04/01/07 WLA 110</v>
      </c>
      <c r="E4440" s="8">
        <v>97.863600000000005</v>
      </c>
      <c r="F4440" s="9">
        <v>45933</v>
      </c>
    </row>
    <row r="4441" spans="1:6" ht="90" x14ac:dyDescent="0.25">
      <c r="A4441" s="8" t="s">
        <v>63</v>
      </c>
      <c r="B4441" s="11" t="s">
        <v>78</v>
      </c>
      <c r="C4441" s="8" t="str">
        <f>IFERROR(_xlfn.XLOOKUP(TRIM(B4441),Lookup!$B$2:$B$1000,Lookup!$C$2:$C$1000),"")</f>
        <v>Balanced - Equity Oriented</v>
      </c>
      <c r="D4441" s="8" t="str">
        <f>IFERROR(INDEX('nav master'!$C:$C, MATCH(B4441, 'nav master'!$B:$B, 0)), "")</f>
        <v>ULIF 010 04/01/07 WLA 110</v>
      </c>
      <c r="E4441" s="8">
        <v>98.582800000000006</v>
      </c>
      <c r="F4441" s="9">
        <v>45936</v>
      </c>
    </row>
    <row r="4442" spans="1:6" ht="90" x14ac:dyDescent="0.25">
      <c r="A4442" s="8" t="s">
        <v>63</v>
      </c>
      <c r="B4442" s="11" t="s">
        <v>78</v>
      </c>
      <c r="C4442" s="8" t="str">
        <f>IFERROR(_xlfn.XLOOKUP(TRIM(B4442),Lookup!$B$2:$B$1000,Lookup!$C$2:$C$1000),"")</f>
        <v>Balanced - Equity Oriented</v>
      </c>
      <c r="D4442" s="8" t="str">
        <f>IFERROR(INDEX('nav master'!$C:$C, MATCH(B4442, 'nav master'!$B:$B, 0)), "")</f>
        <v>ULIF 010 04/01/07 WLA 110</v>
      </c>
      <c r="E4442" s="8">
        <v>98.879199999999997</v>
      </c>
      <c r="F4442" s="9">
        <v>45937</v>
      </c>
    </row>
    <row r="4443" spans="1:6" ht="90" x14ac:dyDescent="0.25">
      <c r="A4443" s="8" t="s">
        <v>63</v>
      </c>
      <c r="B4443" s="11" t="s">
        <v>78</v>
      </c>
      <c r="C4443" s="8" t="str">
        <f>IFERROR(_xlfn.XLOOKUP(TRIM(B4443),Lookup!$B$2:$B$1000,Lookup!$C$2:$C$1000),"")</f>
        <v>Balanced - Equity Oriented</v>
      </c>
      <c r="D4443" s="8" t="str">
        <f>IFERROR(INDEX('nav master'!$C:$C, MATCH(B4443, 'nav master'!$B:$B, 0)), "")</f>
        <v>ULIF 010 04/01/07 WLA 110</v>
      </c>
      <c r="E4443" s="8">
        <v>98.682400000000001</v>
      </c>
      <c r="F4443" s="9">
        <v>45938</v>
      </c>
    </row>
    <row r="4444" spans="1:6" ht="90" x14ac:dyDescent="0.25">
      <c r="A4444" s="8" t="s">
        <v>63</v>
      </c>
      <c r="B4444" s="11" t="s">
        <v>78</v>
      </c>
      <c r="C4444" s="8" t="str">
        <f>IFERROR(_xlfn.XLOOKUP(TRIM(B4444),Lookup!$B$2:$B$1000,Lookup!$C$2:$C$1000),"")</f>
        <v>Balanced - Equity Oriented</v>
      </c>
      <c r="D4444" s="8" t="str">
        <f>IFERROR(INDEX('nav master'!$C:$C, MATCH(B4444, 'nav master'!$B:$B, 0)), "")</f>
        <v>ULIF 010 04/01/07 WLA 110</v>
      </c>
      <c r="E4444" s="8">
        <v>99.07</v>
      </c>
      <c r="F4444" s="9">
        <v>45939</v>
      </c>
    </row>
    <row r="4445" spans="1:6" ht="90" x14ac:dyDescent="0.25">
      <c r="A4445" s="8" t="s">
        <v>63</v>
      </c>
      <c r="B4445" s="11" t="s">
        <v>78</v>
      </c>
      <c r="C4445" s="8" t="str">
        <f>IFERROR(_xlfn.XLOOKUP(TRIM(B4445),Lookup!$B$2:$B$1000,Lookup!$C$2:$C$1000),"")</f>
        <v>Balanced - Equity Oriented</v>
      </c>
      <c r="D4445" s="8" t="str">
        <f>IFERROR(INDEX('nav master'!$C:$C, MATCH(B4445, 'nav master'!$B:$B, 0)), "")</f>
        <v>ULIF 010 04/01/07 WLA 110</v>
      </c>
      <c r="E4445" s="8">
        <v>99.239199999999997</v>
      </c>
      <c r="F4445" s="9">
        <v>45940</v>
      </c>
    </row>
    <row r="4446" spans="1:6" ht="90" x14ac:dyDescent="0.25">
      <c r="A4446" s="8" t="s">
        <v>63</v>
      </c>
      <c r="B4446" s="11" t="s">
        <v>78</v>
      </c>
      <c r="C4446" s="8" t="str">
        <f>IFERROR(_xlfn.XLOOKUP(TRIM(B4446),Lookup!$B$2:$B$1000,Lookup!$C$2:$C$1000),"")</f>
        <v>Balanced - Equity Oriented</v>
      </c>
      <c r="D4446" s="8" t="str">
        <f>IFERROR(INDEX('nav master'!$C:$C, MATCH(B4446, 'nav master'!$B:$B, 0)), "")</f>
        <v>ULIF 010 04/01/07 WLA 110</v>
      </c>
      <c r="E4446" s="8">
        <v>99.449399999999997</v>
      </c>
      <c r="F4446" s="9">
        <v>45943</v>
      </c>
    </row>
    <row r="4447" spans="1:6" ht="90" x14ac:dyDescent="0.25">
      <c r="A4447" s="8" t="s">
        <v>63</v>
      </c>
      <c r="B4447" s="11" t="s">
        <v>78</v>
      </c>
      <c r="C4447" s="8" t="str">
        <f>IFERROR(_xlfn.XLOOKUP(TRIM(B4447),Lookup!$B$2:$B$1000,Lookup!$C$2:$C$1000),"")</f>
        <v>Balanced - Equity Oriented</v>
      </c>
      <c r="D4447" s="8" t="str">
        <f>IFERROR(INDEX('nav master'!$C:$C, MATCH(B4447, 'nav master'!$B:$B, 0)), "")</f>
        <v>ULIF 010 04/01/07 WLA 110</v>
      </c>
      <c r="E4447" s="8">
        <v>99.290599999999998</v>
      </c>
      <c r="F4447" s="9">
        <v>45944</v>
      </c>
    </row>
    <row r="4448" spans="1:6" ht="90" x14ac:dyDescent="0.25">
      <c r="A4448" s="8" t="s">
        <v>63</v>
      </c>
      <c r="B4448" s="11" t="s">
        <v>78</v>
      </c>
      <c r="C4448" s="8" t="str">
        <f>IFERROR(_xlfn.XLOOKUP(TRIM(B4448),Lookup!$B$2:$B$1000,Lookup!$C$2:$C$1000),"")</f>
        <v>Balanced - Equity Oriented</v>
      </c>
      <c r="D4448" s="8" t="str">
        <f>IFERROR(INDEX('nav master'!$C:$C, MATCH(B4448, 'nav master'!$B:$B, 0)), "")</f>
        <v>ULIF 010 04/01/07 WLA 110</v>
      </c>
      <c r="E4448" s="8">
        <v>99.840400000000002</v>
      </c>
      <c r="F4448" s="9">
        <v>45945</v>
      </c>
    </row>
    <row r="4449" spans="1:6" ht="90" x14ac:dyDescent="0.25">
      <c r="A4449" s="8" t="s">
        <v>63</v>
      </c>
      <c r="B4449" s="11" t="s">
        <v>78</v>
      </c>
      <c r="C4449" s="8" t="str">
        <f>IFERROR(_xlfn.XLOOKUP(TRIM(B4449),Lookup!$B$2:$B$1000,Lookup!$C$2:$C$1000),"")</f>
        <v>Balanced - Equity Oriented</v>
      </c>
      <c r="D4449" s="8" t="str">
        <f>IFERROR(INDEX('nav master'!$C:$C, MATCH(B4449, 'nav master'!$B:$B, 0)), "")</f>
        <v>ULIF 010 04/01/07 WLA 110</v>
      </c>
      <c r="E4449" s="8">
        <v>100.252</v>
      </c>
      <c r="F4449" s="9">
        <v>45946</v>
      </c>
    </row>
    <row r="4450" spans="1:6" ht="90" x14ac:dyDescent="0.25">
      <c r="A4450" s="8" t="s">
        <v>63</v>
      </c>
      <c r="B4450" s="11" t="s">
        <v>78</v>
      </c>
      <c r="C4450" s="8" t="str">
        <f>IFERROR(_xlfn.XLOOKUP(TRIM(B4450),Lookup!$B$2:$B$1000,Lookup!$C$2:$C$1000),"")</f>
        <v>Balanced - Equity Oriented</v>
      </c>
      <c r="D4450" s="8" t="str">
        <f>IFERROR(INDEX('nav master'!$C:$C, MATCH(B4450, 'nav master'!$B:$B, 0)), "")</f>
        <v>ULIF 010 04/01/07 WLA 110</v>
      </c>
      <c r="E4450" s="8">
        <v>100.34910000000001</v>
      </c>
      <c r="F4450" s="9">
        <v>45947</v>
      </c>
    </row>
    <row r="4451" spans="1:6" ht="90" x14ac:dyDescent="0.25">
      <c r="A4451" s="8" t="s">
        <v>63</v>
      </c>
      <c r="B4451" s="11" t="s">
        <v>78</v>
      </c>
      <c r="C4451" s="8" t="str">
        <f>IFERROR(_xlfn.XLOOKUP(TRIM(B4451),Lookup!$B$2:$B$1000,Lookup!$C$2:$C$1000),"")</f>
        <v>Balanced - Equity Oriented</v>
      </c>
      <c r="D4451" s="8" t="str">
        <f>IFERROR(INDEX('nav master'!$C:$C, MATCH(B4451, 'nav master'!$B:$B, 0)), "")</f>
        <v>ULIF 010 04/01/07 WLA 110</v>
      </c>
      <c r="E4451" s="8">
        <v>100.92140000000001</v>
      </c>
      <c r="F4451" s="9">
        <v>45950</v>
      </c>
    </row>
    <row r="4452" spans="1:6" ht="90" x14ac:dyDescent="0.25">
      <c r="A4452" s="8" t="s">
        <v>63</v>
      </c>
      <c r="B4452" s="11" t="s">
        <v>78</v>
      </c>
      <c r="C4452" s="8" t="str">
        <f>IFERROR(_xlfn.XLOOKUP(TRIM(B4452),Lookup!$B$2:$B$1000,Lookup!$C$2:$C$1000),"")</f>
        <v>Balanced - Equity Oriented</v>
      </c>
      <c r="D4452" s="8" t="str">
        <f>IFERROR(INDEX('nav master'!$C:$C, MATCH(B4452, 'nav master'!$B:$B, 0)), "")</f>
        <v>ULIF 010 04/01/07 WLA 110</v>
      </c>
      <c r="E4452" s="8">
        <v>101.1957</v>
      </c>
      <c r="F4452" s="9">
        <v>45953</v>
      </c>
    </row>
    <row r="4453" spans="1:6" ht="90" x14ac:dyDescent="0.25">
      <c r="A4453" s="8" t="s">
        <v>63</v>
      </c>
      <c r="B4453" s="11" t="s">
        <v>78</v>
      </c>
      <c r="C4453" s="8" t="str">
        <f>IFERROR(_xlfn.XLOOKUP(TRIM(B4453),Lookup!$B$2:$B$1000,Lookup!$C$2:$C$1000),"")</f>
        <v>Balanced - Equity Oriented</v>
      </c>
      <c r="D4453" s="8" t="str">
        <f>IFERROR(INDEX('nav master'!$C:$C, MATCH(B4453, 'nav master'!$B:$B, 0)), "")</f>
        <v>ULIF 010 04/01/07 WLA 110</v>
      </c>
      <c r="E4453" s="8">
        <v>100.7345</v>
      </c>
      <c r="F4453" s="9">
        <v>45954</v>
      </c>
    </row>
    <row r="4454" spans="1:6" ht="90" x14ac:dyDescent="0.25">
      <c r="A4454" s="8" t="s">
        <v>63</v>
      </c>
      <c r="B4454" s="11" t="s">
        <v>78</v>
      </c>
      <c r="C4454" s="8" t="str">
        <f>IFERROR(_xlfn.XLOOKUP(TRIM(B4454),Lookup!$B$2:$B$1000,Lookup!$C$2:$C$1000),"")</f>
        <v>Balanced - Equity Oriented</v>
      </c>
      <c r="D4454" s="8" t="str">
        <f>IFERROR(INDEX('nav master'!$C:$C, MATCH(B4454, 'nav master'!$B:$B, 0)), "")</f>
        <v>ULIF 010 04/01/07 WLA 110</v>
      </c>
      <c r="E4454" s="8">
        <v>101.41200000000001</v>
      </c>
      <c r="F4454" s="9">
        <v>45957</v>
      </c>
    </row>
    <row r="4455" spans="1:6" ht="90" x14ac:dyDescent="0.25">
      <c r="A4455" s="8" t="s">
        <v>63</v>
      </c>
      <c r="B4455" s="11" t="s">
        <v>78</v>
      </c>
      <c r="C4455" s="8" t="str">
        <f>IFERROR(_xlfn.XLOOKUP(TRIM(B4455),Lookup!$B$2:$B$1000,Lookup!$C$2:$C$1000),"")</f>
        <v>Balanced - Equity Oriented</v>
      </c>
      <c r="D4455" s="8" t="str">
        <f>IFERROR(INDEX('nav master'!$C:$C, MATCH(B4455, 'nav master'!$B:$B, 0)), "")</f>
        <v>ULIF 010 04/01/07 WLA 110</v>
      </c>
      <c r="E4455" s="8">
        <v>101.2114</v>
      </c>
      <c r="F4455" s="9">
        <v>45958</v>
      </c>
    </row>
    <row r="4456" spans="1:6" ht="90" x14ac:dyDescent="0.25">
      <c r="A4456" s="8" t="s">
        <v>63</v>
      </c>
      <c r="B4456" s="11" t="s">
        <v>78</v>
      </c>
      <c r="C4456" s="8" t="str">
        <f>IFERROR(_xlfn.XLOOKUP(TRIM(B4456),Lookup!$B$2:$B$1000,Lookup!$C$2:$C$1000),"")</f>
        <v>Balanced - Equity Oriented</v>
      </c>
      <c r="D4456" s="8" t="str">
        <f>IFERROR(INDEX('nav master'!$C:$C, MATCH(B4456, 'nav master'!$B:$B, 0)), "")</f>
        <v>ULIF 010 04/01/07 WLA 110</v>
      </c>
      <c r="E4456" s="8">
        <v>101.6046</v>
      </c>
      <c r="F4456" s="9">
        <v>45959</v>
      </c>
    </row>
    <row r="4457" spans="1:6" ht="90" x14ac:dyDescent="0.25">
      <c r="A4457" s="8" t="s">
        <v>63</v>
      </c>
      <c r="B4457" s="11" t="s">
        <v>78</v>
      </c>
      <c r="C4457" s="8" t="str">
        <f>IFERROR(_xlfn.XLOOKUP(TRIM(B4457),Lookup!$B$2:$B$1000,Lookup!$C$2:$C$1000),"")</f>
        <v>Balanced - Equity Oriented</v>
      </c>
      <c r="D4457" s="8" t="str">
        <f>IFERROR(INDEX('nav master'!$C:$C, MATCH(B4457, 'nav master'!$B:$B, 0)), "")</f>
        <v>ULIF 010 04/01/07 WLA 110</v>
      </c>
      <c r="E4457" s="8">
        <v>101.1643</v>
      </c>
      <c r="F4457" s="9">
        <v>45960</v>
      </c>
    </row>
    <row r="4458" spans="1:6" ht="90" x14ac:dyDescent="0.25">
      <c r="A4458" s="8" t="s">
        <v>63</v>
      </c>
      <c r="B4458" s="11" t="s">
        <v>78</v>
      </c>
      <c r="C4458" s="8" t="str">
        <f>IFERROR(_xlfn.XLOOKUP(TRIM(B4458),Lookup!$B$2:$B$1000,Lookup!$C$2:$C$1000),"")</f>
        <v>Balanced - Equity Oriented</v>
      </c>
      <c r="D4458" s="8" t="str">
        <f>IFERROR(INDEX('nav master'!$C:$C, MATCH(B4458, 'nav master'!$B:$B, 0)), "")</f>
        <v>ULIF 010 04/01/07 WLA 110</v>
      </c>
      <c r="E4458" s="8">
        <v>100.9008</v>
      </c>
      <c r="F4458" s="9">
        <v>45961</v>
      </c>
    </row>
    <row r="4459" spans="1:6" ht="90" x14ac:dyDescent="0.25">
      <c r="A4459" s="8" t="s">
        <v>63</v>
      </c>
      <c r="B4459" s="11" t="s">
        <v>78</v>
      </c>
      <c r="C4459" s="8" t="str">
        <f>IFERROR(_xlfn.XLOOKUP(TRIM(B4459),Lookup!$B$2:$B$1000,Lookup!$C$2:$C$1000),"")</f>
        <v>Balanced - Equity Oriented</v>
      </c>
      <c r="D4459" s="8" t="str">
        <f>IFERROR(INDEX('nav master'!$C:$C, MATCH(B4459, 'nav master'!$B:$B, 0)), "")</f>
        <v>ULIF 010 04/01/07 WLA 110</v>
      </c>
      <c r="E4459" s="8">
        <v>101.4729</v>
      </c>
      <c r="F4459" s="9">
        <v>45964</v>
      </c>
    </row>
    <row r="4460" spans="1:6" ht="90" x14ac:dyDescent="0.25">
      <c r="A4460" s="8" t="s">
        <v>63</v>
      </c>
      <c r="B4460" s="11" t="s">
        <v>78</v>
      </c>
      <c r="C4460" s="8" t="str">
        <f>IFERROR(_xlfn.XLOOKUP(TRIM(B4460),Lookup!$B$2:$B$1000,Lookup!$C$2:$C$1000),"")</f>
        <v>Balanced - Equity Oriented</v>
      </c>
      <c r="D4460" s="8" t="str">
        <f>IFERROR(INDEX('nav master'!$C:$C, MATCH(B4460, 'nav master'!$B:$B, 0)), "")</f>
        <v>ULIF 010 04/01/07 WLA 110</v>
      </c>
      <c r="E4460" s="8">
        <v>101.2255</v>
      </c>
      <c r="F4460" s="9">
        <v>45965</v>
      </c>
    </row>
    <row r="4461" spans="1:6" ht="90" x14ac:dyDescent="0.25">
      <c r="A4461" s="8" t="s">
        <v>63</v>
      </c>
      <c r="B4461" s="11" t="s">
        <v>78</v>
      </c>
      <c r="C4461" s="8" t="str">
        <f>IFERROR(_xlfn.XLOOKUP(TRIM(B4461),Lookup!$B$2:$B$1000,Lookup!$C$2:$C$1000),"")</f>
        <v>Balanced - Equity Oriented</v>
      </c>
      <c r="D4461" s="8" t="str">
        <f>IFERROR(INDEX('nav master'!$C:$C, MATCH(B4461, 'nav master'!$B:$B, 0)), "")</f>
        <v>ULIF 010 04/01/07 WLA 110</v>
      </c>
      <c r="E4461" s="8">
        <v>100.7854</v>
      </c>
      <c r="F4461" s="9">
        <v>45967</v>
      </c>
    </row>
    <row r="4462" spans="1:6" ht="90" x14ac:dyDescent="0.25">
      <c r="A4462" s="8" t="s">
        <v>63</v>
      </c>
      <c r="B4462" s="11" t="s">
        <v>78</v>
      </c>
      <c r="C4462" s="8" t="str">
        <f>IFERROR(_xlfn.XLOOKUP(TRIM(B4462),Lookup!$B$2:$B$1000,Lookup!$C$2:$C$1000),"")</f>
        <v>Balanced - Equity Oriented</v>
      </c>
      <c r="D4462" s="8" t="str">
        <f>IFERROR(INDEX('nav master'!$C:$C, MATCH(B4462, 'nav master'!$B:$B, 0)), "")</f>
        <v>ULIF 010 04/01/07 WLA 110</v>
      </c>
      <c r="E4462" s="8">
        <v>101.01009999999999</v>
      </c>
      <c r="F4462" s="9">
        <v>45968</v>
      </c>
    </row>
    <row r="4463" spans="1:6" ht="90" x14ac:dyDescent="0.25">
      <c r="A4463" s="8" t="s">
        <v>63</v>
      </c>
      <c r="B4463" s="11" t="s">
        <v>78</v>
      </c>
      <c r="C4463" s="8" t="str">
        <f>IFERROR(_xlfn.XLOOKUP(TRIM(B4463),Lookup!$B$2:$B$1000,Lookup!$C$2:$C$1000),"")</f>
        <v>Balanced - Equity Oriented</v>
      </c>
      <c r="D4463" s="8" t="str">
        <f>IFERROR(INDEX('nav master'!$C:$C, MATCH(B4463, 'nav master'!$B:$B, 0)), "")</f>
        <v>ULIF 010 04/01/07 WLA 110</v>
      </c>
      <c r="E4463" s="8">
        <v>101.3622</v>
      </c>
      <c r="F4463" s="9">
        <v>45971</v>
      </c>
    </row>
    <row r="4464" spans="1:6" ht="90" x14ac:dyDescent="0.25">
      <c r="A4464" s="8" t="s">
        <v>63</v>
      </c>
      <c r="B4464" s="11" t="s">
        <v>78</v>
      </c>
      <c r="C4464" s="8" t="str">
        <f>IFERROR(_xlfn.XLOOKUP(TRIM(B4464),Lookup!$B$2:$B$1000,Lookup!$C$2:$C$1000),"")</f>
        <v>Balanced - Equity Oriented</v>
      </c>
      <c r="D4464" s="8" t="str">
        <f>IFERROR(INDEX('nav master'!$C:$C, MATCH(B4464, 'nav master'!$B:$B, 0)), "")</f>
        <v>ULIF 010 04/01/07 WLA 110</v>
      </c>
      <c r="E4464" s="8">
        <v>101.8182</v>
      </c>
      <c r="F4464" s="9">
        <v>45972</v>
      </c>
    </row>
    <row r="4465" spans="1:6" ht="90" x14ac:dyDescent="0.25">
      <c r="A4465" s="8" t="s">
        <v>63</v>
      </c>
      <c r="B4465" s="11" t="s">
        <v>78</v>
      </c>
      <c r="C4465" s="8" t="str">
        <f>IFERROR(_xlfn.XLOOKUP(TRIM(B4465),Lookup!$B$2:$B$1000,Lookup!$C$2:$C$1000),"")</f>
        <v>Balanced - Equity Oriented</v>
      </c>
      <c r="D4465" s="8" t="str">
        <f>IFERROR(INDEX('nav master'!$C:$C, MATCH(B4465, 'nav master'!$B:$B, 0)), "")</f>
        <v>ULIF 010 04/01/07 WLA 110</v>
      </c>
      <c r="E4465" s="8">
        <v>102.4216</v>
      </c>
      <c r="F4465" s="9">
        <v>45973</v>
      </c>
    </row>
    <row r="4466" spans="1:6" ht="90" x14ac:dyDescent="0.25">
      <c r="A4466" s="8" t="s">
        <v>63</v>
      </c>
      <c r="B4466" s="11" t="s">
        <v>78</v>
      </c>
      <c r="C4466" s="8" t="str">
        <f>IFERROR(_xlfn.XLOOKUP(TRIM(B4466),Lookup!$B$2:$B$1000,Lookup!$C$2:$C$1000),"")</f>
        <v>Balanced - Equity Oriented</v>
      </c>
      <c r="D4466" s="8" t="str">
        <f>IFERROR(INDEX('nav master'!$C:$C, MATCH(B4466, 'nav master'!$B:$B, 0)), "")</f>
        <v>ULIF 010 04/01/07 WLA 110</v>
      </c>
      <c r="E4466" s="8">
        <v>102.11539999999999</v>
      </c>
      <c r="F4466" s="9">
        <v>45974</v>
      </c>
    </row>
    <row r="4467" spans="1:6" ht="90" x14ac:dyDescent="0.25">
      <c r="A4467" s="8" t="s">
        <v>63</v>
      </c>
      <c r="B4467" s="11" t="s">
        <v>78</v>
      </c>
      <c r="C4467" s="8" t="str">
        <f>IFERROR(_xlfn.XLOOKUP(TRIM(B4467),Lookup!$B$2:$B$1000,Lookup!$C$2:$C$1000),"")</f>
        <v>Balanced - Equity Oriented</v>
      </c>
      <c r="D4467" s="8" t="str">
        <f>IFERROR(INDEX('nav master'!$C:$C, MATCH(B4467, 'nav master'!$B:$B, 0)), "")</f>
        <v>ULIF 010 04/01/07 WLA 110</v>
      </c>
      <c r="E4467" s="8">
        <v>102.26049999999999</v>
      </c>
      <c r="F4467" s="9">
        <v>45975</v>
      </c>
    </row>
    <row r="4468" spans="1:6" ht="90" x14ac:dyDescent="0.25">
      <c r="A4468" s="8" t="s">
        <v>63</v>
      </c>
      <c r="B4468" s="11" t="s">
        <v>78</v>
      </c>
      <c r="C4468" s="8" t="str">
        <f>IFERROR(_xlfn.XLOOKUP(TRIM(B4468),Lookup!$B$2:$B$1000,Lookup!$C$2:$C$1000),"")</f>
        <v>Balanced - Equity Oriented</v>
      </c>
      <c r="D4468" s="8" t="str">
        <f>IFERROR(INDEX('nav master'!$C:$C, MATCH(B4468, 'nav master'!$B:$B, 0)), "")</f>
        <v>ULIF 010 04/01/07 WLA 110</v>
      </c>
      <c r="E4468" s="8">
        <v>102.6127</v>
      </c>
      <c r="F4468" s="9">
        <v>45978</v>
      </c>
    </row>
    <row r="4469" spans="1:6" ht="90" x14ac:dyDescent="0.25">
      <c r="A4469" s="8" t="s">
        <v>63</v>
      </c>
      <c r="B4469" s="11" t="s">
        <v>78</v>
      </c>
      <c r="C4469" s="8" t="str">
        <f>IFERROR(_xlfn.XLOOKUP(TRIM(B4469),Lookup!$B$2:$B$1000,Lookup!$C$2:$C$1000),"")</f>
        <v>Balanced - Equity Oriented</v>
      </c>
      <c r="D4469" s="8" t="str">
        <f>IFERROR(INDEX('nav master'!$C:$C, MATCH(B4469, 'nav master'!$B:$B, 0)), "")</f>
        <v>ULIF 010 04/01/07 WLA 110</v>
      </c>
      <c r="E4469" s="8">
        <v>102.3583</v>
      </c>
      <c r="F4469" s="9">
        <v>45979</v>
      </c>
    </row>
    <row r="4470" spans="1:6" ht="90" x14ac:dyDescent="0.25">
      <c r="A4470" s="8" t="s">
        <v>63</v>
      </c>
      <c r="B4470" s="11" t="s">
        <v>78</v>
      </c>
      <c r="C4470" s="8" t="str">
        <f>IFERROR(_xlfn.XLOOKUP(TRIM(B4470),Lookup!$B$2:$B$1000,Lookup!$C$2:$C$1000),"")</f>
        <v>Balanced - Equity Oriented</v>
      </c>
      <c r="D4470" s="8" t="str">
        <f>IFERROR(INDEX('nav master'!$C:$C, MATCH(B4470, 'nav master'!$B:$B, 0)), "")</f>
        <v>ULIF 010 04/01/07 WLA 110</v>
      </c>
      <c r="E4470" s="8">
        <v>102.62739999999999</v>
      </c>
      <c r="F4470" s="9">
        <v>45980</v>
      </c>
    </row>
    <row r="4471" spans="1:6" ht="90" x14ac:dyDescent="0.25">
      <c r="A4471" s="8" t="s">
        <v>63</v>
      </c>
      <c r="B4471" s="11" t="s">
        <v>78</v>
      </c>
      <c r="C4471" s="8" t="str">
        <f>IFERROR(_xlfn.XLOOKUP(TRIM(B4471),Lookup!$B$2:$B$1000,Lookup!$C$2:$C$1000),"")</f>
        <v>Balanced - Equity Oriented</v>
      </c>
      <c r="D4471" s="8" t="str">
        <f>IFERROR(INDEX('nav master'!$C:$C, MATCH(B4471, 'nav master'!$B:$B, 0)), "")</f>
        <v>ULIF 010 04/01/07 WLA 110</v>
      </c>
      <c r="E4471" s="8">
        <v>102.9323</v>
      </c>
      <c r="F4471" s="9">
        <v>45981</v>
      </c>
    </row>
    <row r="4472" spans="1:6" ht="90" x14ac:dyDescent="0.25">
      <c r="A4472" s="8" t="s">
        <v>63</v>
      </c>
      <c r="B4472" s="11" t="s">
        <v>78</v>
      </c>
      <c r="C4472" s="8" t="str">
        <f>IFERROR(_xlfn.XLOOKUP(TRIM(B4472),Lookup!$B$2:$B$1000,Lookup!$C$2:$C$1000),"")</f>
        <v>Balanced - Equity Oriented</v>
      </c>
      <c r="D4472" s="8" t="str">
        <f>IFERROR(INDEX('nav master'!$C:$C, MATCH(B4472, 'nav master'!$B:$B, 0)), "")</f>
        <v>ULIF 010 04/01/07 WLA 110</v>
      </c>
      <c r="E4472" s="8">
        <v>102.33839999999999</v>
      </c>
      <c r="F4472" s="9">
        <v>45982</v>
      </c>
    </row>
    <row r="4473" spans="1:6" ht="90" x14ac:dyDescent="0.25">
      <c r="A4473" s="8" t="s">
        <v>63</v>
      </c>
      <c r="B4473" s="11" t="s">
        <v>78</v>
      </c>
      <c r="C4473" s="8" t="str">
        <f>IFERROR(_xlfn.XLOOKUP(TRIM(B4473),Lookup!$B$2:$B$1000,Lookup!$C$2:$C$1000),"")</f>
        <v>Balanced - Equity Oriented</v>
      </c>
      <c r="D4473" s="8" t="str">
        <f>IFERROR(INDEX('nav master'!$C:$C, MATCH(B4473, 'nav master'!$B:$B, 0)), "")</f>
        <v>ULIF 010 04/01/07 WLA 110</v>
      </c>
      <c r="E4473" s="8">
        <v>102.3062</v>
      </c>
      <c r="F4473" s="9">
        <v>45985</v>
      </c>
    </row>
    <row r="4474" spans="1:6" ht="90" x14ac:dyDescent="0.25">
      <c r="A4474" s="8" t="s">
        <v>63</v>
      </c>
      <c r="B4474" s="11" t="s">
        <v>78</v>
      </c>
      <c r="C4474" s="8" t="str">
        <f>IFERROR(_xlfn.XLOOKUP(TRIM(B4474),Lookup!$B$2:$B$1000,Lookup!$C$2:$C$1000),"")</f>
        <v>Balanced - Equity Oriented</v>
      </c>
      <c r="D4474" s="8" t="str">
        <f>IFERROR(INDEX('nav master'!$C:$C, MATCH(B4474, 'nav master'!$B:$B, 0)), "")</f>
        <v>ULIF 010 04/01/07 WLA 110</v>
      </c>
      <c r="E4474" s="8">
        <v>102.3586</v>
      </c>
      <c r="F4474" s="9">
        <v>45986</v>
      </c>
    </row>
    <row r="4475" spans="1:6" ht="90" x14ac:dyDescent="0.25">
      <c r="A4475" s="8" t="s">
        <v>63</v>
      </c>
      <c r="B4475" s="11" t="s">
        <v>78</v>
      </c>
      <c r="C4475" s="8" t="str">
        <f>IFERROR(_xlfn.XLOOKUP(TRIM(B4475),Lookup!$B$2:$B$1000,Lookup!$C$2:$C$1000),"")</f>
        <v>Balanced - Equity Oriented</v>
      </c>
      <c r="D4475" s="8" t="str">
        <f>IFERROR(INDEX('nav master'!$C:$C, MATCH(B4475, 'nav master'!$B:$B, 0)), "")</f>
        <v>ULIF 010 04/01/07 WLA 110</v>
      </c>
      <c r="E4475" s="8">
        <v>103.3779</v>
      </c>
      <c r="F4475" s="9">
        <v>45987</v>
      </c>
    </row>
    <row r="4476" spans="1:6" ht="90" x14ac:dyDescent="0.25">
      <c r="A4476" s="8" t="s">
        <v>63</v>
      </c>
      <c r="B4476" s="11" t="s">
        <v>78</v>
      </c>
      <c r="C4476" s="8" t="str">
        <f>IFERROR(_xlfn.XLOOKUP(TRIM(B4476),Lookup!$B$2:$B$1000,Lookup!$C$2:$C$1000),"")</f>
        <v>Balanced - Equity Oriented</v>
      </c>
      <c r="D4476" s="8" t="str">
        <f>IFERROR(INDEX('nav master'!$C:$C, MATCH(B4476, 'nav master'!$B:$B, 0)), "")</f>
        <v>ULIF 010 04/01/07 WLA 110</v>
      </c>
      <c r="E4476" s="8">
        <v>103.2568</v>
      </c>
      <c r="F4476" s="9">
        <v>45988</v>
      </c>
    </row>
    <row r="4477" spans="1:6" ht="90" x14ac:dyDescent="0.25">
      <c r="A4477" s="8" t="s">
        <v>63</v>
      </c>
      <c r="B4477" s="11" t="s">
        <v>78</v>
      </c>
      <c r="C4477" s="8" t="str">
        <f>IFERROR(_xlfn.XLOOKUP(TRIM(B4477),Lookup!$B$2:$B$1000,Lookup!$C$2:$C$1000),"")</f>
        <v>Balanced - Equity Oriented</v>
      </c>
      <c r="D4477" s="8" t="str">
        <f>IFERROR(INDEX('nav master'!$C:$C, MATCH(B4477, 'nav master'!$B:$B, 0)), "")</f>
        <v>ULIF 010 04/01/07 WLA 110</v>
      </c>
      <c r="E4477" s="8">
        <v>102.98560000000001</v>
      </c>
      <c r="F4477" s="9">
        <v>45989</v>
      </c>
    </row>
    <row r="4478" spans="1:6" ht="90" x14ac:dyDescent="0.25">
      <c r="A4478" s="8" t="s">
        <v>63</v>
      </c>
      <c r="B4478" s="11" t="s">
        <v>78</v>
      </c>
      <c r="C4478" s="8" t="str">
        <f>IFERROR(_xlfn.XLOOKUP(TRIM(B4478),Lookup!$B$2:$B$1000,Lookup!$C$2:$C$1000),"")</f>
        <v>Balanced - Equity Oriented</v>
      </c>
      <c r="D4478" s="8" t="str">
        <f>IFERROR(INDEX('nav master'!$C:$C, MATCH(B4478, 'nav master'!$B:$B, 0)), "")</f>
        <v>ULIF 010 04/01/07 WLA 110</v>
      </c>
      <c r="E4478" s="8">
        <v>103.0455</v>
      </c>
      <c r="F4478" s="9">
        <v>45992</v>
      </c>
    </row>
    <row r="4479" spans="1:6" ht="90" x14ac:dyDescent="0.25">
      <c r="A4479" s="8" t="s">
        <v>63</v>
      </c>
      <c r="B4479" s="11" t="s">
        <v>78</v>
      </c>
      <c r="C4479" s="8" t="str">
        <f>IFERROR(_xlfn.XLOOKUP(TRIM(B4479),Lookup!$B$2:$B$1000,Lookup!$C$2:$C$1000),"")</f>
        <v>Balanced - Equity Oriented</v>
      </c>
      <c r="D4479" s="8" t="str">
        <f>IFERROR(INDEX('nav master'!$C:$C, MATCH(B4479, 'nav master'!$B:$B, 0)), "")</f>
        <v>ULIF 010 04/01/07 WLA 110</v>
      </c>
      <c r="E4479" s="8">
        <v>102.7683</v>
      </c>
      <c r="F4479" s="9">
        <v>45993</v>
      </c>
    </row>
    <row r="4480" spans="1:6" ht="90" x14ac:dyDescent="0.25">
      <c r="A4480" s="8" t="s">
        <v>63</v>
      </c>
      <c r="B4480" s="11" t="s">
        <v>78</v>
      </c>
      <c r="C4480" s="8" t="str">
        <f>IFERROR(_xlfn.XLOOKUP(TRIM(B4480),Lookup!$B$2:$B$1000,Lookup!$C$2:$C$1000),"")</f>
        <v>Balanced - Equity Oriented</v>
      </c>
      <c r="D4480" s="8" t="str">
        <f>IFERROR(INDEX('nav master'!$C:$C, MATCH(B4480, 'nav master'!$B:$B, 0)), "")</f>
        <v>ULIF 010 04/01/07 WLA 110</v>
      </c>
      <c r="E4480" s="8">
        <v>102.55629999999999</v>
      </c>
      <c r="F4480" s="9">
        <v>45994</v>
      </c>
    </row>
    <row r="4481" spans="1:6" ht="90" x14ac:dyDescent="0.25">
      <c r="A4481" s="8" t="s">
        <v>63</v>
      </c>
      <c r="B4481" s="11" t="s">
        <v>78</v>
      </c>
      <c r="C4481" s="8" t="str">
        <f>IFERROR(_xlfn.XLOOKUP(TRIM(B4481),Lookup!$B$2:$B$1000,Lookup!$C$2:$C$1000),"")</f>
        <v>Balanced - Equity Oriented</v>
      </c>
      <c r="D4481" s="8" t="str">
        <f>IFERROR(INDEX('nav master'!$C:$C, MATCH(B4481, 'nav master'!$B:$B, 0)), "")</f>
        <v>ULIF 010 04/01/07 WLA 110</v>
      </c>
      <c r="E4481" s="8">
        <v>102.5793</v>
      </c>
      <c r="F4481" s="9">
        <v>45995</v>
      </c>
    </row>
    <row r="4482" spans="1:6" ht="90" x14ac:dyDescent="0.25">
      <c r="A4482" s="8" t="s">
        <v>63</v>
      </c>
      <c r="B4482" s="11" t="s">
        <v>78</v>
      </c>
      <c r="C4482" s="8" t="str">
        <f>IFERROR(_xlfn.XLOOKUP(TRIM(B4482),Lookup!$B$2:$B$1000,Lookup!$C$2:$C$1000),"")</f>
        <v>Balanced - Equity Oriented</v>
      </c>
      <c r="D4482" s="8" t="str">
        <f>IFERROR(INDEX('nav master'!$C:$C, MATCH(B4482, 'nav master'!$B:$B, 0)), "")</f>
        <v>ULIF 010 04/01/07 WLA 110</v>
      </c>
      <c r="E4482" s="8">
        <v>103.02</v>
      </c>
      <c r="F4482" s="9">
        <v>45996</v>
      </c>
    </row>
    <row r="4483" spans="1:6" ht="90" x14ac:dyDescent="0.25">
      <c r="A4483" s="8" t="s">
        <v>63</v>
      </c>
      <c r="B4483" s="11" t="s">
        <v>78</v>
      </c>
      <c r="C4483" s="8" t="str">
        <f>IFERROR(_xlfn.XLOOKUP(TRIM(B4483),Lookup!$B$2:$B$1000,Lookup!$C$2:$C$1000),"")</f>
        <v>Balanced - Equity Oriented</v>
      </c>
      <c r="D4483" s="8" t="str">
        <f>IFERROR(INDEX('nav master'!$C:$C, MATCH(B4483, 'nav master'!$B:$B, 0)), "")</f>
        <v>ULIF 010 04/01/07 WLA 110</v>
      </c>
      <c r="E4483" s="8">
        <v>102.0094</v>
      </c>
      <c r="F4483" s="9">
        <v>45999</v>
      </c>
    </row>
    <row r="4484" spans="1:6" ht="90" x14ac:dyDescent="0.25">
      <c r="A4484" s="8" t="s">
        <v>63</v>
      </c>
      <c r="B4484" s="11" t="s">
        <v>78</v>
      </c>
      <c r="C4484" s="8" t="str">
        <f>IFERROR(_xlfn.XLOOKUP(TRIM(B4484),Lookup!$B$2:$B$1000,Lookup!$C$2:$C$1000),"")</f>
        <v>Balanced - Equity Oriented</v>
      </c>
      <c r="D4484" s="8" t="str">
        <f>IFERROR(INDEX('nav master'!$C:$C, MATCH(B4484, 'nav master'!$B:$B, 0)), "")</f>
        <v>ULIF 010 04/01/07 WLA 110</v>
      </c>
      <c r="E4484" s="8">
        <v>102.02200000000001</v>
      </c>
      <c r="F4484" s="9">
        <v>46000</v>
      </c>
    </row>
    <row r="4485" spans="1:6" ht="90" x14ac:dyDescent="0.25">
      <c r="A4485" s="8" t="s">
        <v>63</v>
      </c>
      <c r="B4485" s="11" t="s">
        <v>78</v>
      </c>
      <c r="C4485" s="8" t="str">
        <f>IFERROR(_xlfn.XLOOKUP(TRIM(B4485),Lookup!$B$2:$B$1000,Lookup!$C$2:$C$1000),"")</f>
        <v>Balanced - Equity Oriented</v>
      </c>
      <c r="D4485" s="8" t="str">
        <f>IFERROR(INDEX('nav master'!$C:$C, MATCH(B4485, 'nav master'!$B:$B, 0)), "")</f>
        <v>ULIF 010 04/01/07 WLA 110</v>
      </c>
      <c r="E4485" s="8">
        <v>101.2942</v>
      </c>
      <c r="F4485" s="9">
        <v>46001</v>
      </c>
    </row>
    <row r="4486" spans="1:6" ht="90" x14ac:dyDescent="0.25">
      <c r="A4486" s="8" t="s">
        <v>63</v>
      </c>
      <c r="B4486" s="11" t="s">
        <v>78</v>
      </c>
      <c r="C4486" s="8" t="str">
        <f>IFERROR(_xlfn.XLOOKUP(TRIM(B4486),Lookup!$B$2:$B$1000,Lookup!$C$2:$C$1000),"")</f>
        <v>Balanced - Equity Oriented</v>
      </c>
      <c r="D4486" s="8" t="str">
        <f>IFERROR(INDEX('nav master'!$C:$C, MATCH(B4486, 'nav master'!$B:$B, 0)), "")</f>
        <v>ULIF 010 04/01/07 WLA 110</v>
      </c>
      <c r="E4486" s="8">
        <v>101.6259</v>
      </c>
      <c r="F4486" s="9">
        <v>46002</v>
      </c>
    </row>
    <row r="4487" spans="1:6" ht="90" x14ac:dyDescent="0.25">
      <c r="A4487" s="8" t="s">
        <v>63</v>
      </c>
      <c r="B4487" s="11" t="s">
        <v>78</v>
      </c>
      <c r="C4487" s="8" t="str">
        <f>IFERROR(_xlfn.XLOOKUP(TRIM(B4487),Lookup!$B$2:$B$1000,Lookup!$C$2:$C$1000),"")</f>
        <v>Balanced - Equity Oriented</v>
      </c>
      <c r="D4487" s="8" t="str">
        <f>IFERROR(INDEX('nav master'!$C:$C, MATCH(B4487, 'nav master'!$B:$B, 0)), "")</f>
        <v>ULIF 010 04/01/07 WLA 110</v>
      </c>
      <c r="E4487" s="8">
        <v>102.3603</v>
      </c>
      <c r="F4487" s="9">
        <v>46003</v>
      </c>
    </row>
    <row r="4488" spans="1:6" ht="90" x14ac:dyDescent="0.25">
      <c r="A4488" s="8" t="s">
        <v>63</v>
      </c>
      <c r="B4488" s="11" t="s">
        <v>78</v>
      </c>
      <c r="C4488" s="8" t="str">
        <f>IFERROR(_xlfn.XLOOKUP(TRIM(B4488),Lookup!$B$2:$B$1000,Lookup!$C$2:$C$1000),"")</f>
        <v>Balanced - Equity Oriented</v>
      </c>
      <c r="D4488" s="8" t="str">
        <f>IFERROR(INDEX('nav master'!$C:$C, MATCH(B4488, 'nav master'!$B:$B, 0)), "")</f>
        <v>ULIF 010 04/01/07 WLA 110</v>
      </c>
      <c r="E4488" s="8">
        <v>102.20189999999999</v>
      </c>
      <c r="F4488" s="9">
        <v>46006</v>
      </c>
    </row>
    <row r="4489" spans="1:6" ht="90" x14ac:dyDescent="0.25">
      <c r="A4489" s="8" t="s">
        <v>63</v>
      </c>
      <c r="B4489" s="11" t="s">
        <v>78</v>
      </c>
      <c r="C4489" s="8" t="str">
        <f>IFERROR(_xlfn.XLOOKUP(TRIM(B4489),Lookup!$B$2:$B$1000,Lookup!$C$2:$C$1000),"")</f>
        <v>Balanced - Equity Oriented</v>
      </c>
      <c r="D4489" s="8" t="str">
        <f>IFERROR(INDEX('nav master'!$C:$C, MATCH(B4489, 'nav master'!$B:$B, 0)), "")</f>
        <v>ULIF 010 04/01/07 WLA 110</v>
      </c>
      <c r="E4489" s="8">
        <v>101.72629999999999</v>
      </c>
      <c r="F4489" s="9">
        <v>46007</v>
      </c>
    </row>
    <row r="4490" spans="1:6" ht="90" x14ac:dyDescent="0.25">
      <c r="A4490" s="8" t="s">
        <v>63</v>
      </c>
      <c r="B4490" s="11" t="s">
        <v>78</v>
      </c>
      <c r="C4490" s="8" t="str">
        <f>IFERROR(_xlfn.XLOOKUP(TRIM(B4490),Lookup!$B$2:$B$1000,Lookup!$C$2:$C$1000),"")</f>
        <v>Balanced - Equity Oriented</v>
      </c>
      <c r="D4490" s="8" t="str">
        <f>IFERROR(INDEX('nav master'!$C:$C, MATCH(B4490, 'nav master'!$B:$B, 0)), "")</f>
        <v>ULIF 010 04/01/07 WLA 110</v>
      </c>
      <c r="E4490" s="8">
        <v>101.43259999999999</v>
      </c>
      <c r="F4490" s="9">
        <v>46008</v>
      </c>
    </row>
    <row r="4491" spans="1:6" ht="90" x14ac:dyDescent="0.25">
      <c r="A4491" s="8" t="s">
        <v>63</v>
      </c>
      <c r="B4491" s="11" t="s">
        <v>78</v>
      </c>
      <c r="C4491" s="8" t="str">
        <f>IFERROR(_xlfn.XLOOKUP(TRIM(B4491),Lookup!$B$2:$B$1000,Lookup!$C$2:$C$1000),"")</f>
        <v>Balanced - Equity Oriented</v>
      </c>
      <c r="D4491" s="8" t="str">
        <f>IFERROR(INDEX('nav master'!$C:$C, MATCH(B4491, 'nav master'!$B:$B, 0)), "")</f>
        <v>ULIF 010 04/01/07 WLA 110</v>
      </c>
      <c r="E4491" s="8">
        <v>101.8322</v>
      </c>
      <c r="F4491" s="9">
        <v>46009</v>
      </c>
    </row>
    <row r="4492" spans="1:6" ht="90" x14ac:dyDescent="0.25">
      <c r="A4492" s="8" t="s">
        <v>63</v>
      </c>
      <c r="B4492" s="11" t="s">
        <v>78</v>
      </c>
      <c r="C4492" s="8" t="str">
        <f>IFERROR(_xlfn.XLOOKUP(TRIM(B4492),Lookup!$B$2:$B$1000,Lookup!$C$2:$C$1000),"")</f>
        <v>Balanced - Equity Oriented</v>
      </c>
      <c r="D4492" s="8" t="str">
        <f>IFERROR(INDEX('nav master'!$C:$C, MATCH(B4492, 'nav master'!$B:$B, 0)), "")</f>
        <v>ULIF 010 04/01/07 WLA 110</v>
      </c>
      <c r="E4492" s="8">
        <v>102.5548</v>
      </c>
      <c r="F4492" s="9">
        <v>46010</v>
      </c>
    </row>
    <row r="4493" spans="1:6" ht="90" x14ac:dyDescent="0.25">
      <c r="A4493" s="8" t="s">
        <v>63</v>
      </c>
      <c r="B4493" s="11" t="s">
        <v>78</v>
      </c>
      <c r="C4493" s="8" t="str">
        <f>IFERROR(_xlfn.XLOOKUP(TRIM(B4493),Lookup!$B$2:$B$1000,Lookup!$C$2:$C$1000),"")</f>
        <v>Balanced - Equity Oriented</v>
      </c>
      <c r="D4493" s="8" t="str">
        <f>IFERROR(INDEX('nav master'!$C:$C, MATCH(B4493, 'nav master'!$B:$B, 0)), "")</f>
        <v>ULIF 010 04/01/07 WLA 110</v>
      </c>
      <c r="E4493" s="8">
        <v>103.4768</v>
      </c>
      <c r="F4493" s="9">
        <v>46013</v>
      </c>
    </row>
    <row r="4494" spans="1:6" ht="90" x14ac:dyDescent="0.25">
      <c r="A4494" s="8" t="s">
        <v>63</v>
      </c>
      <c r="B4494" s="11" t="s">
        <v>78</v>
      </c>
      <c r="C4494" s="8" t="str">
        <f>IFERROR(_xlfn.XLOOKUP(TRIM(B4494),Lookup!$B$2:$B$1000,Lookup!$C$2:$C$1000),"")</f>
        <v>Balanced - Equity Oriented</v>
      </c>
      <c r="D4494" s="8" t="str">
        <f>IFERROR(INDEX('nav master'!$C:$C, MATCH(B4494, 'nav master'!$B:$B, 0)), "")</f>
        <v>ULIF 010 04/01/07 WLA 110</v>
      </c>
      <c r="E4494" s="8">
        <v>103.3913</v>
      </c>
      <c r="F4494" s="9">
        <v>46014</v>
      </c>
    </row>
    <row r="4495" spans="1:6" ht="90" x14ac:dyDescent="0.25">
      <c r="A4495" s="8" t="s">
        <v>63</v>
      </c>
      <c r="B4495" s="11" t="s">
        <v>78</v>
      </c>
      <c r="C4495" s="8" t="str">
        <f>IFERROR(_xlfn.XLOOKUP(TRIM(B4495),Lookup!$B$2:$B$1000,Lookup!$C$2:$C$1000),"")</f>
        <v>Balanced - Equity Oriented</v>
      </c>
      <c r="D4495" s="8" t="str">
        <f>IFERROR(INDEX('nav master'!$C:$C, MATCH(B4495, 'nav master'!$B:$B, 0)), "")</f>
        <v>ULIF 010 04/01/07 WLA 110</v>
      </c>
      <c r="E4495" s="8">
        <v>103.4224</v>
      </c>
      <c r="F4495" s="9">
        <v>46015</v>
      </c>
    </row>
    <row r="4496" spans="1:6" ht="90" x14ac:dyDescent="0.25">
      <c r="A4496" s="8" t="s">
        <v>63</v>
      </c>
      <c r="B4496" s="11" t="s">
        <v>78</v>
      </c>
      <c r="C4496" s="8" t="str">
        <f>IFERROR(_xlfn.XLOOKUP(TRIM(B4496),Lookup!$B$2:$B$1000,Lookup!$C$2:$C$1000),"")</f>
        <v>Balanced - Equity Oriented</v>
      </c>
      <c r="D4496" s="8" t="str">
        <f>IFERROR(INDEX('nav master'!$C:$C, MATCH(B4496, 'nav master'!$B:$B, 0)), "")</f>
        <v>ULIF 010 04/01/07 WLA 110</v>
      </c>
      <c r="E4496" s="8">
        <v>103.0907</v>
      </c>
      <c r="F4496" s="9">
        <v>46017</v>
      </c>
    </row>
    <row r="4497" spans="1:6" ht="90" x14ac:dyDescent="0.25">
      <c r="A4497" s="8" t="s">
        <v>63</v>
      </c>
      <c r="B4497" s="11" t="s">
        <v>78</v>
      </c>
      <c r="C4497" s="8" t="str">
        <f>IFERROR(_xlfn.XLOOKUP(TRIM(B4497),Lookup!$B$2:$B$1000,Lookup!$C$2:$C$1000),"")</f>
        <v>Balanced - Equity Oriented</v>
      </c>
      <c r="D4497" s="8" t="str">
        <f>IFERROR(INDEX('nav master'!$C:$C, MATCH(B4497, 'nav master'!$B:$B, 0)), "")</f>
        <v>ULIF 010 04/01/07 WLA 110</v>
      </c>
      <c r="E4497" s="8">
        <v>102.71769999999999</v>
      </c>
      <c r="F4497" s="9">
        <v>46020</v>
      </c>
    </row>
    <row r="4498" spans="1:6" ht="90" x14ac:dyDescent="0.25">
      <c r="A4498" s="8" t="s">
        <v>63</v>
      </c>
      <c r="B4498" s="11" t="s">
        <v>78</v>
      </c>
      <c r="C4498" s="8" t="str">
        <f>IFERROR(_xlfn.XLOOKUP(TRIM(B4498),Lookup!$B$2:$B$1000,Lookup!$C$2:$C$1000),"")</f>
        <v>Balanced - Equity Oriented</v>
      </c>
      <c r="D4498" s="8" t="str">
        <f>IFERROR(INDEX('nav master'!$C:$C, MATCH(B4498, 'nav master'!$B:$B, 0)), "")</f>
        <v>ULIF 010 04/01/07 WLA 110</v>
      </c>
      <c r="E4498" s="8">
        <v>102.6183</v>
      </c>
      <c r="F4498" s="9">
        <v>46021</v>
      </c>
    </row>
    <row r="4499" spans="1:6" ht="90" x14ac:dyDescent="0.25">
      <c r="A4499" s="8" t="s">
        <v>63</v>
      </c>
      <c r="B4499" s="11" t="s">
        <v>78</v>
      </c>
      <c r="C4499" s="8" t="str">
        <f>IFERROR(_xlfn.XLOOKUP(TRIM(B4499),Lookup!$B$2:$B$1000,Lookup!$C$2:$C$1000),"")</f>
        <v>Balanced - Equity Oriented</v>
      </c>
      <c r="D4499" s="8" t="str">
        <f>IFERROR(INDEX('nav master'!$C:$C, MATCH(B4499, 'nav master'!$B:$B, 0)), "")</f>
        <v>ULIF 010 04/01/07 WLA 110</v>
      </c>
      <c r="E4499" s="8">
        <v>103.1956</v>
      </c>
      <c r="F4499" s="9">
        <v>46022</v>
      </c>
    </row>
    <row r="4500" spans="1:6" ht="90" x14ac:dyDescent="0.25">
      <c r="A4500" s="8" t="s">
        <v>63</v>
      </c>
      <c r="B4500" s="11" t="s">
        <v>78</v>
      </c>
      <c r="C4500" s="8" t="str">
        <f>IFERROR(_xlfn.XLOOKUP(TRIM(B4500),Lookup!$B$2:$B$1000,Lookup!$C$2:$C$1000),"")</f>
        <v>Balanced - Equity Oriented</v>
      </c>
      <c r="D4500" s="8" t="str">
        <f>IFERROR(INDEX('nav master'!$C:$C, MATCH(B4500, 'nav master'!$B:$B, 0)), "")</f>
        <v>ULIF 010 04/01/07 WLA 110</v>
      </c>
      <c r="E4500" s="8">
        <v>103.4177</v>
      </c>
      <c r="F4500" s="9">
        <v>46023</v>
      </c>
    </row>
    <row r="4501" spans="1:6" ht="90" x14ac:dyDescent="0.25">
      <c r="A4501" s="8" t="s">
        <v>63</v>
      </c>
      <c r="B4501" s="11" t="s">
        <v>78</v>
      </c>
      <c r="C4501" s="8" t="str">
        <f>IFERROR(_xlfn.XLOOKUP(TRIM(B4501),Lookup!$B$2:$B$1000,Lookup!$C$2:$C$1000),"")</f>
        <v>Balanced - Equity Oriented</v>
      </c>
      <c r="D4501" s="8" t="str">
        <f>IFERROR(INDEX('nav master'!$C:$C, MATCH(B4501, 'nav master'!$B:$B, 0)), "")</f>
        <v>ULIF 010 04/01/07 WLA 110</v>
      </c>
      <c r="E4501" s="8">
        <v>103.90300000000001</v>
      </c>
      <c r="F4501" s="9">
        <v>46024</v>
      </c>
    </row>
    <row r="4502" spans="1:6" ht="90" x14ac:dyDescent="0.25">
      <c r="A4502" s="8" t="s">
        <v>63</v>
      </c>
      <c r="B4502" s="11" t="s">
        <v>78</v>
      </c>
      <c r="C4502" s="8" t="str">
        <f>IFERROR(_xlfn.XLOOKUP(TRIM(B4502),Lookup!$B$2:$B$1000,Lookup!$C$2:$C$1000),"")</f>
        <v>Balanced - Equity Oriented</v>
      </c>
      <c r="D4502" s="8" t="str">
        <f>IFERROR(INDEX('nav master'!$C:$C, MATCH(B4502, 'nav master'!$B:$B, 0)), "")</f>
        <v>ULIF 010 04/01/07 WLA 110</v>
      </c>
      <c r="E4502" s="8">
        <v>103.62730000000001</v>
      </c>
      <c r="F4502" s="9">
        <v>46027</v>
      </c>
    </row>
    <row r="4503" spans="1:6" ht="90" x14ac:dyDescent="0.25">
      <c r="A4503" s="8" t="s">
        <v>63</v>
      </c>
      <c r="B4503" s="11" t="s">
        <v>78</v>
      </c>
      <c r="C4503" s="8" t="str">
        <f>IFERROR(_xlfn.XLOOKUP(TRIM(B4503),Lookup!$B$2:$B$1000,Lookup!$C$2:$C$1000),"")</f>
        <v>Balanced - Equity Oriented</v>
      </c>
      <c r="D4503" s="8" t="str">
        <f>IFERROR(INDEX('nav master'!$C:$C, MATCH(B4503, 'nav master'!$B:$B, 0)), "")</f>
        <v>ULIF 010 04/01/07 WLA 110</v>
      </c>
      <c r="E4503" s="8">
        <v>103.5988</v>
      </c>
      <c r="F4503" s="9">
        <v>46028</v>
      </c>
    </row>
    <row r="4504" spans="1:6" ht="90" x14ac:dyDescent="0.25">
      <c r="A4504" s="8" t="s">
        <v>63</v>
      </c>
      <c r="B4504" s="11" t="s">
        <v>78</v>
      </c>
      <c r="C4504" s="8" t="str">
        <f>IFERROR(_xlfn.XLOOKUP(TRIM(B4504),Lookup!$B$2:$B$1000,Lookup!$C$2:$C$1000),"")</f>
        <v>Balanced - Equity Oriented</v>
      </c>
      <c r="D4504" s="8" t="str">
        <f>IFERROR(INDEX('nav master'!$C:$C, MATCH(B4504, 'nav master'!$B:$B, 0)), "")</f>
        <v>ULIF 010 04/01/07 WLA 110</v>
      </c>
      <c r="E4504" s="8">
        <v>103.8374</v>
      </c>
      <c r="F4504" s="9">
        <v>46029</v>
      </c>
    </row>
    <row r="4505" spans="1:6" ht="90" x14ac:dyDescent="0.25">
      <c r="A4505" s="8" t="s">
        <v>63</v>
      </c>
      <c r="B4505" s="11" t="s">
        <v>78</v>
      </c>
      <c r="C4505" s="8" t="str">
        <f>IFERROR(_xlfn.XLOOKUP(TRIM(B4505),Lookup!$B$2:$B$1000,Lookup!$C$2:$C$1000),"")</f>
        <v>Balanced - Equity Oriented</v>
      </c>
      <c r="D4505" s="8" t="str">
        <f>IFERROR(INDEX('nav master'!$C:$C, MATCH(B4505, 'nav master'!$B:$B, 0)), "")</f>
        <v>ULIF 010 04/01/07 WLA 110</v>
      </c>
      <c r="E4505" s="8">
        <v>102.38209999999999</v>
      </c>
      <c r="F4505" s="9">
        <v>46030</v>
      </c>
    </row>
    <row r="4506" spans="1:6" ht="90" x14ac:dyDescent="0.25">
      <c r="A4506" s="8" t="s">
        <v>63</v>
      </c>
      <c r="B4506" s="11" t="s">
        <v>78</v>
      </c>
      <c r="C4506" s="8" t="str">
        <f>IFERROR(_xlfn.XLOOKUP(TRIM(B4506),Lookup!$B$2:$B$1000,Lookup!$C$2:$C$1000),"")</f>
        <v>Balanced - Equity Oriented</v>
      </c>
      <c r="D4506" s="8" t="str">
        <f>IFERROR(INDEX('nav master'!$C:$C, MATCH(B4506, 'nav master'!$B:$B, 0)), "")</f>
        <v>ULIF 010 04/01/07 WLA 110</v>
      </c>
      <c r="E4506" s="8">
        <v>101.5457</v>
      </c>
      <c r="F4506" s="9">
        <v>46031</v>
      </c>
    </row>
    <row r="4507" spans="1:6" ht="90" x14ac:dyDescent="0.25">
      <c r="A4507" s="8" t="s">
        <v>63</v>
      </c>
      <c r="B4507" s="11" t="s">
        <v>78</v>
      </c>
      <c r="C4507" s="8" t="str">
        <f>IFERROR(_xlfn.XLOOKUP(TRIM(B4507),Lookup!$B$2:$B$1000,Lookup!$C$2:$C$1000),"")</f>
        <v>Balanced - Equity Oriented</v>
      </c>
      <c r="D4507" s="8" t="str">
        <f>IFERROR(INDEX('nav master'!$C:$C, MATCH(B4507, 'nav master'!$B:$B, 0)), "")</f>
        <v>ULIF 010 04/01/07 WLA 110</v>
      </c>
      <c r="E4507" s="8">
        <v>101.5579</v>
      </c>
      <c r="F4507" s="9">
        <v>46034</v>
      </c>
    </row>
    <row r="4508" spans="1:6" ht="90" x14ac:dyDescent="0.25">
      <c r="A4508" s="8" t="s">
        <v>63</v>
      </c>
      <c r="B4508" s="11" t="s">
        <v>78</v>
      </c>
      <c r="C4508" s="8" t="str">
        <f>IFERROR(_xlfn.XLOOKUP(TRIM(B4508),Lookup!$B$2:$B$1000,Lookup!$C$2:$C$1000),"")</f>
        <v>Balanced - Equity Oriented</v>
      </c>
      <c r="D4508" s="8" t="str">
        <f>IFERROR(INDEX('nav master'!$C:$C, MATCH(B4508, 'nav master'!$B:$B, 0)), "")</f>
        <v>ULIF 010 04/01/07 WLA 110</v>
      </c>
      <c r="E4508" s="8">
        <v>101.8421</v>
      </c>
      <c r="F4508" s="9">
        <v>46035</v>
      </c>
    </row>
    <row r="4509" spans="1:6" ht="90" x14ac:dyDescent="0.25">
      <c r="A4509" s="8" t="s">
        <v>63</v>
      </c>
      <c r="B4509" s="11" t="s">
        <v>78</v>
      </c>
      <c r="C4509" s="8" t="str">
        <f>IFERROR(_xlfn.XLOOKUP(TRIM(B4509),Lookup!$B$2:$B$1000,Lookup!$C$2:$C$1000),"")</f>
        <v>Balanced - Equity Oriented</v>
      </c>
      <c r="D4509" s="8" t="str">
        <f>IFERROR(INDEX('nav master'!$C:$C, MATCH(B4509, 'nav master'!$B:$B, 0)), "")</f>
        <v>ULIF 010 04/01/07 WLA 110</v>
      </c>
      <c r="E4509" s="8">
        <v>102.0802</v>
      </c>
      <c r="F4509" s="9">
        <v>46036</v>
      </c>
    </row>
    <row r="4510" spans="1:6" ht="90" x14ac:dyDescent="0.25">
      <c r="A4510" s="8" t="s">
        <v>63</v>
      </c>
      <c r="B4510" s="11" t="s">
        <v>78</v>
      </c>
      <c r="C4510" s="8" t="str">
        <f>IFERROR(_xlfn.XLOOKUP(TRIM(B4510),Lookup!$B$2:$B$1000,Lookup!$C$2:$C$1000),"")</f>
        <v>Balanced - Equity Oriented</v>
      </c>
      <c r="D4510" s="8" t="str">
        <f>IFERROR(INDEX('nav master'!$C:$C, MATCH(B4510, 'nav master'!$B:$B, 0)), "")</f>
        <v>ULIF 010 04/01/07 WLA 110</v>
      </c>
      <c r="E4510" s="8">
        <v>102.3078</v>
      </c>
      <c r="F4510" s="9">
        <v>46038</v>
      </c>
    </row>
    <row r="4511" spans="1:6" ht="90" x14ac:dyDescent="0.25">
      <c r="A4511" s="8" t="s">
        <v>63</v>
      </c>
      <c r="B4511" s="11" t="s">
        <v>78</v>
      </c>
      <c r="C4511" s="8" t="str">
        <f>IFERROR(_xlfn.XLOOKUP(TRIM(B4511),Lookup!$B$2:$B$1000,Lookup!$C$2:$C$1000),"")</f>
        <v>Balanced - Equity Oriented</v>
      </c>
      <c r="D4511" s="8" t="str">
        <f>IFERROR(INDEX('nav master'!$C:$C, MATCH(B4511, 'nav master'!$B:$B, 0)), "")</f>
        <v>ULIF 010 04/01/07 WLA 110</v>
      </c>
      <c r="E4511" s="8">
        <v>101.79989999999999</v>
      </c>
      <c r="F4511" s="9">
        <v>46041</v>
      </c>
    </row>
    <row r="4512" spans="1:6" ht="90" x14ac:dyDescent="0.25">
      <c r="A4512" s="8" t="s">
        <v>63</v>
      </c>
      <c r="B4512" s="11" t="s">
        <v>78</v>
      </c>
      <c r="C4512" s="8" t="str">
        <f>IFERROR(_xlfn.XLOOKUP(TRIM(B4512),Lookup!$B$2:$B$1000,Lookup!$C$2:$C$1000),"")</f>
        <v>Balanced - Equity Oriented</v>
      </c>
      <c r="D4512" s="8" t="str">
        <f>IFERROR(INDEX('nav master'!$C:$C, MATCH(B4512, 'nav master'!$B:$B, 0)), "")</f>
        <v>ULIF 010 04/01/07 WLA 110</v>
      </c>
      <c r="E4512" s="8">
        <v>100.3959</v>
      </c>
      <c r="F4512" s="9">
        <v>46042</v>
      </c>
    </row>
    <row r="4513" spans="1:6" ht="90" x14ac:dyDescent="0.25">
      <c r="A4513" s="8" t="s">
        <v>63</v>
      </c>
      <c r="B4513" s="11" t="s">
        <v>78</v>
      </c>
      <c r="C4513" s="8" t="str">
        <f>IFERROR(_xlfn.XLOOKUP(TRIM(B4513),Lookup!$B$2:$B$1000,Lookup!$C$2:$C$1000),"")</f>
        <v>Balanced - Equity Oriented</v>
      </c>
      <c r="D4513" s="8" t="str">
        <f>IFERROR(INDEX('nav master'!$C:$C, MATCH(B4513, 'nav master'!$B:$B, 0)), "")</f>
        <v>ULIF 010 04/01/07 WLA 110</v>
      </c>
      <c r="E4513" s="8">
        <v>100.19580000000001</v>
      </c>
      <c r="F4513" s="9">
        <v>46043</v>
      </c>
    </row>
    <row r="4514" spans="1:6" ht="90" x14ac:dyDescent="0.25">
      <c r="A4514" s="8" t="s">
        <v>63</v>
      </c>
      <c r="B4514" s="11" t="s">
        <v>78</v>
      </c>
      <c r="C4514" s="8" t="str">
        <f>IFERROR(_xlfn.XLOOKUP(TRIM(B4514),Lookup!$B$2:$B$1000,Lookup!$C$2:$C$1000),"")</f>
        <v>Balanced - Equity Oriented</v>
      </c>
      <c r="D4514" s="8" t="str">
        <f>IFERROR(INDEX('nav master'!$C:$C, MATCH(B4514, 'nav master'!$B:$B, 0)), "")</f>
        <v>ULIF 010 04/01/07 WLA 110</v>
      </c>
      <c r="E4514" s="8">
        <v>100.9111</v>
      </c>
      <c r="F4514" s="9">
        <v>46044</v>
      </c>
    </row>
    <row r="4515" spans="1:6" ht="90" x14ac:dyDescent="0.25">
      <c r="A4515" s="8" t="s">
        <v>63</v>
      </c>
      <c r="B4515" s="11" t="s">
        <v>78</v>
      </c>
      <c r="C4515" s="8" t="str">
        <f>IFERROR(_xlfn.XLOOKUP(TRIM(B4515),Lookup!$B$2:$B$1000,Lookup!$C$2:$C$1000),"")</f>
        <v>Balanced - Equity Oriented</v>
      </c>
      <c r="D4515" s="8" t="str">
        <f>IFERROR(INDEX('nav master'!$C:$C, MATCH(B4515, 'nav master'!$B:$B, 0)), "")</f>
        <v>ULIF 010 04/01/07 WLA 110</v>
      </c>
      <c r="E4515" s="8">
        <v>99.911100000000005</v>
      </c>
      <c r="F4515" s="9">
        <v>46045</v>
      </c>
    </row>
    <row r="4516" spans="1:6" ht="90" x14ac:dyDescent="0.25">
      <c r="A4516" s="8" t="s">
        <v>63</v>
      </c>
      <c r="B4516" s="11" t="s">
        <v>78</v>
      </c>
      <c r="C4516" s="8" t="str">
        <f>IFERROR(_xlfn.XLOOKUP(TRIM(B4516),Lookup!$B$2:$B$1000,Lookup!$C$2:$C$1000),"")</f>
        <v>Balanced - Equity Oriented</v>
      </c>
      <c r="D4516" s="8" t="str">
        <f>IFERROR(INDEX('nav master'!$C:$C, MATCH(B4516, 'nav master'!$B:$B, 0)), "")</f>
        <v>ULIF 010 04/01/07 WLA 110</v>
      </c>
      <c r="E4516" s="8">
        <v>100.22929999999999</v>
      </c>
      <c r="F4516" s="9">
        <v>46049</v>
      </c>
    </row>
    <row r="4517" spans="1:6" ht="90" x14ac:dyDescent="0.25">
      <c r="A4517" s="8" t="s">
        <v>63</v>
      </c>
      <c r="B4517" s="11" t="s">
        <v>78</v>
      </c>
      <c r="C4517" s="8" t="str">
        <f>IFERROR(_xlfn.XLOOKUP(TRIM(B4517),Lookup!$B$2:$B$1000,Lookup!$C$2:$C$1000),"")</f>
        <v>Balanced - Equity Oriented</v>
      </c>
      <c r="D4517" s="8" t="str">
        <f>IFERROR(INDEX('nav master'!$C:$C, MATCH(B4517, 'nav master'!$B:$B, 0)), "")</f>
        <v>ULIF 010 04/01/07 WLA 110</v>
      </c>
      <c r="E4517" s="8">
        <v>101.02079999999999</v>
      </c>
      <c r="F4517" s="9">
        <v>46050</v>
      </c>
    </row>
    <row r="4518" spans="1:6" ht="90" x14ac:dyDescent="0.25">
      <c r="A4518" s="8" t="s">
        <v>63</v>
      </c>
      <c r="B4518" s="11" t="s">
        <v>78</v>
      </c>
      <c r="C4518" s="8" t="str">
        <f>IFERROR(_xlfn.XLOOKUP(TRIM(B4518),Lookup!$B$2:$B$1000,Lookup!$C$2:$C$1000),"")</f>
        <v>Balanced - Equity Oriented</v>
      </c>
      <c r="D4518" s="8" t="str">
        <f>IFERROR(INDEX('nav master'!$C:$C, MATCH(B4518, 'nav master'!$B:$B, 0)), "")</f>
        <v>ULIF 010 04/01/07 WLA 110</v>
      </c>
      <c r="E4518" s="8">
        <v>100.9683</v>
      </c>
      <c r="F4518" s="9">
        <v>46051</v>
      </c>
    </row>
    <row r="4519" spans="1:6" ht="90" x14ac:dyDescent="0.25">
      <c r="A4519" s="8" t="s">
        <v>63</v>
      </c>
      <c r="B4519" s="11" t="s">
        <v>78</v>
      </c>
      <c r="C4519" s="8" t="str">
        <f>IFERROR(_xlfn.XLOOKUP(TRIM(B4519),Lookup!$B$2:$B$1000,Lookup!$C$2:$C$1000),"")</f>
        <v>Balanced - Equity Oriented</v>
      </c>
      <c r="D4519" s="8" t="str">
        <f>IFERROR(INDEX('nav master'!$C:$C, MATCH(B4519, 'nav master'!$B:$B, 0)), "")</f>
        <v>ULIF 010 04/01/07 WLA 110</v>
      </c>
      <c r="E4519" s="8">
        <v>100.6854</v>
      </c>
      <c r="F4519" s="9">
        <v>46052</v>
      </c>
    </row>
    <row r="4520" spans="1:6" ht="90" x14ac:dyDescent="0.25">
      <c r="A4520" s="8" t="s">
        <v>63</v>
      </c>
      <c r="B4520" s="11" t="s">
        <v>78</v>
      </c>
      <c r="C4520" s="8" t="str">
        <f>IFERROR(_xlfn.XLOOKUP(TRIM(B4520),Lookup!$B$2:$B$1000,Lookup!$C$2:$C$1000),"")</f>
        <v>Balanced - Equity Oriented</v>
      </c>
      <c r="D4520" s="8" t="str">
        <f>IFERROR(INDEX('nav master'!$C:$C, MATCH(B4520, 'nav master'!$B:$B, 0)), "")</f>
        <v>ULIF 010 04/01/07 WLA 110</v>
      </c>
      <c r="E4520" s="8">
        <v>99.016400000000004</v>
      </c>
      <c r="F4520" s="9">
        <v>46054</v>
      </c>
    </row>
    <row r="4521" spans="1:6" ht="90" x14ac:dyDescent="0.25">
      <c r="A4521" s="8" t="s">
        <v>63</v>
      </c>
      <c r="B4521" s="11" t="s">
        <v>78</v>
      </c>
      <c r="C4521" s="8" t="str">
        <f>IFERROR(_xlfn.XLOOKUP(TRIM(B4521),Lookup!$B$2:$B$1000,Lookup!$C$2:$C$1000),"")</f>
        <v>Balanced - Equity Oriented</v>
      </c>
      <c r="D4521" s="8" t="str">
        <f>IFERROR(INDEX('nav master'!$C:$C, MATCH(B4521, 'nav master'!$B:$B, 0)), "")</f>
        <v>ULIF 010 04/01/07 WLA 110</v>
      </c>
      <c r="E4521" s="8">
        <v>99.702600000000004</v>
      </c>
      <c r="F4521" s="9">
        <v>46055</v>
      </c>
    </row>
    <row r="4522" spans="1:6" ht="90" x14ac:dyDescent="0.25">
      <c r="A4522" s="8" t="s">
        <v>63</v>
      </c>
      <c r="B4522" s="11" t="s">
        <v>78</v>
      </c>
      <c r="C4522" s="8" t="str">
        <f>IFERROR(_xlfn.XLOOKUP(TRIM(B4522),Lookup!$B$2:$B$1000,Lookup!$C$2:$C$1000),"")</f>
        <v>Balanced - Equity Oriented</v>
      </c>
      <c r="D4522" s="8" t="str">
        <f>IFERROR(INDEX('nav master'!$C:$C, MATCH(B4522, 'nav master'!$B:$B, 0)), "")</f>
        <v>ULIF 010 04/01/07 WLA 110</v>
      </c>
      <c r="E4522" s="8">
        <v>102.01260000000001</v>
      </c>
      <c r="F4522" s="9">
        <v>46056</v>
      </c>
    </row>
    <row r="4523" spans="1:6" ht="90" x14ac:dyDescent="0.25">
      <c r="A4523" s="8" t="s">
        <v>63</v>
      </c>
      <c r="B4523" s="11" t="s">
        <v>78</v>
      </c>
      <c r="C4523" s="8" t="str">
        <f>IFERROR(_xlfn.XLOOKUP(TRIM(B4523),Lookup!$B$2:$B$1000,Lookup!$C$2:$C$1000),"")</f>
        <v>Balanced - Equity Oriented</v>
      </c>
      <c r="D4523" s="8" t="str">
        <f>IFERROR(INDEX('nav master'!$C:$C, MATCH(B4523, 'nav master'!$B:$B, 0)), "")</f>
        <v>ULIF 010 04/01/07 WLA 110</v>
      </c>
      <c r="E4523" s="8">
        <v>102.3105</v>
      </c>
      <c r="F4523" s="9">
        <v>46057</v>
      </c>
    </row>
    <row r="4524" spans="1:6" ht="90" x14ac:dyDescent="0.25">
      <c r="A4524" s="8" t="s">
        <v>63</v>
      </c>
      <c r="B4524" s="11" t="s">
        <v>78</v>
      </c>
      <c r="C4524" s="8" t="str">
        <f>IFERROR(_xlfn.XLOOKUP(TRIM(B4524),Lookup!$B$2:$B$1000,Lookup!$C$2:$C$1000),"")</f>
        <v>Balanced - Equity Oriented</v>
      </c>
      <c r="D4524" s="8" t="str">
        <f>IFERROR(INDEX('nav master'!$C:$C, MATCH(B4524, 'nav master'!$B:$B, 0)), "")</f>
        <v>ULIF 010 04/01/07 WLA 110</v>
      </c>
      <c r="E4524" s="8">
        <v>101.78700000000001</v>
      </c>
      <c r="F4524" s="9">
        <v>46058</v>
      </c>
    </row>
    <row r="4525" spans="1:6" ht="90" x14ac:dyDescent="0.25">
      <c r="A4525" s="8" t="s">
        <v>63</v>
      </c>
      <c r="B4525" s="11" t="s">
        <v>78</v>
      </c>
      <c r="C4525" s="8" t="str">
        <f>IFERROR(_xlfn.XLOOKUP(TRIM(B4525),Lookup!$B$2:$B$1000,Lookup!$C$2:$C$1000),"")</f>
        <v>Balanced - Equity Oriented</v>
      </c>
      <c r="D4525" s="8" t="str">
        <f>IFERROR(INDEX('nav master'!$C:$C, MATCH(B4525, 'nav master'!$B:$B, 0)), "")</f>
        <v>ULIF 010 04/01/07 WLA 110</v>
      </c>
      <c r="E4525" s="8">
        <v>101.5804</v>
      </c>
      <c r="F4525" s="9">
        <v>46059</v>
      </c>
    </row>
    <row r="4526" spans="1:6" ht="90" x14ac:dyDescent="0.25">
      <c r="A4526" s="8" t="s">
        <v>63</v>
      </c>
      <c r="B4526" s="11" t="s">
        <v>78</v>
      </c>
      <c r="C4526" s="8" t="str">
        <f>IFERROR(_xlfn.XLOOKUP(TRIM(B4526),Lookup!$B$2:$B$1000,Lookup!$C$2:$C$1000),"")</f>
        <v>Balanced - Equity Oriented</v>
      </c>
      <c r="D4526" s="8" t="str">
        <f>IFERROR(INDEX('nav master'!$C:$C, MATCH(B4526, 'nav master'!$B:$B, 0)), "")</f>
        <v>ULIF 010 04/01/07 WLA 110</v>
      </c>
      <c r="E4526" s="8">
        <v>102.6099</v>
      </c>
      <c r="F4526" s="9">
        <v>46062</v>
      </c>
    </row>
    <row r="4527" spans="1:6" ht="90" x14ac:dyDescent="0.25">
      <c r="A4527" s="8" t="s">
        <v>63</v>
      </c>
      <c r="B4527" s="11" t="s">
        <v>78</v>
      </c>
      <c r="C4527" s="8" t="str">
        <f>IFERROR(_xlfn.XLOOKUP(TRIM(B4527),Lookup!$B$2:$B$1000,Lookup!$C$2:$C$1000),"")</f>
        <v>Balanced - Equity Oriented</v>
      </c>
      <c r="D4527" s="8" t="str">
        <f>IFERROR(INDEX('nav master'!$C:$C, MATCH(B4527, 'nav master'!$B:$B, 0)), "")</f>
        <v>ULIF 010 04/01/07 WLA 110</v>
      </c>
      <c r="E4527" s="8">
        <v>103.1305</v>
      </c>
      <c r="F4527" s="9">
        <v>46063</v>
      </c>
    </row>
    <row r="4528" spans="1:6" ht="90" x14ac:dyDescent="0.25">
      <c r="A4528" s="8" t="s">
        <v>63</v>
      </c>
      <c r="B4528" s="11" t="s">
        <v>78</v>
      </c>
      <c r="C4528" s="8" t="str">
        <f>IFERROR(_xlfn.XLOOKUP(TRIM(B4528),Lookup!$B$2:$B$1000,Lookup!$C$2:$C$1000),"")</f>
        <v>Balanced - Equity Oriented</v>
      </c>
      <c r="D4528" s="8" t="str">
        <f>IFERROR(INDEX('nav master'!$C:$C, MATCH(B4528, 'nav master'!$B:$B, 0)), "")</f>
        <v>ULIF 010 04/01/07 WLA 110</v>
      </c>
      <c r="E4528" s="8">
        <v>102.9996</v>
      </c>
      <c r="F4528" s="9">
        <v>46064</v>
      </c>
    </row>
    <row r="4529" spans="1:6" ht="90" x14ac:dyDescent="0.25">
      <c r="A4529" s="8" t="s">
        <v>63</v>
      </c>
      <c r="B4529" s="11" t="s">
        <v>78</v>
      </c>
      <c r="C4529" s="8" t="str">
        <f>IFERROR(_xlfn.XLOOKUP(TRIM(B4529),Lookup!$B$2:$B$1000,Lookup!$C$2:$C$1000),"")</f>
        <v>Balanced - Equity Oriented</v>
      </c>
      <c r="D4529" s="8" t="str">
        <f>IFERROR(INDEX('nav master'!$C:$C, MATCH(B4529, 'nav master'!$B:$B, 0)), "")</f>
        <v>ULIF 010 04/01/07 WLA 110</v>
      </c>
      <c r="E4529" s="8">
        <v>102.5976</v>
      </c>
      <c r="F4529" s="9">
        <v>46065</v>
      </c>
    </row>
    <row r="4530" spans="1:6" ht="90" x14ac:dyDescent="0.25">
      <c r="A4530" s="8" t="s">
        <v>63</v>
      </c>
      <c r="B4530" s="11" t="s">
        <v>78</v>
      </c>
      <c r="C4530" s="8" t="str">
        <f>IFERROR(_xlfn.XLOOKUP(TRIM(B4530),Lookup!$B$2:$B$1000,Lookup!$C$2:$C$1000),"")</f>
        <v>Balanced - Equity Oriented</v>
      </c>
      <c r="D4530" s="8" t="str">
        <f>IFERROR(INDEX('nav master'!$C:$C, MATCH(B4530, 'nav master'!$B:$B, 0)), "")</f>
        <v>ULIF 010 04/01/07 WLA 110</v>
      </c>
      <c r="E4530" s="8">
        <v>101.1651</v>
      </c>
      <c r="F4530" s="9">
        <v>46066</v>
      </c>
    </row>
    <row r="4531" spans="1:6" ht="90" x14ac:dyDescent="0.25">
      <c r="A4531" s="8" t="s">
        <v>63</v>
      </c>
      <c r="B4531" s="11" t="s">
        <v>78</v>
      </c>
      <c r="C4531" s="8" t="str">
        <f>IFERROR(_xlfn.XLOOKUP(TRIM(B4531),Lookup!$B$2:$B$1000,Lookup!$C$2:$C$1000),"")</f>
        <v>Balanced - Equity Oriented</v>
      </c>
      <c r="D4531" s="8" t="str">
        <f>IFERROR(INDEX('nav master'!$C:$C, MATCH(B4531, 'nav master'!$B:$B, 0)), "")</f>
        <v>ULIF 010 04/01/07 WLA 110</v>
      </c>
      <c r="E4531" s="8">
        <v>100.9689</v>
      </c>
      <c r="F4531" s="9">
        <v>46069</v>
      </c>
    </row>
    <row r="4532" spans="1:6" ht="90" x14ac:dyDescent="0.25">
      <c r="A4532" s="8" t="s">
        <v>63</v>
      </c>
      <c r="B4532" s="11" t="s">
        <v>78</v>
      </c>
      <c r="C4532" s="8" t="str">
        <f>IFERROR(_xlfn.XLOOKUP(TRIM(B4532),Lookup!$B$2:$B$1000,Lookup!$C$2:$C$1000),"")</f>
        <v>Balanced - Equity Oriented</v>
      </c>
      <c r="D4532" s="8" t="str">
        <f>IFERROR(INDEX('nav master'!$C:$C, MATCH(B4532, 'nav master'!$B:$B, 0)), "")</f>
        <v>ULIF 010 04/01/07 WLA 110</v>
      </c>
      <c r="E4532" s="8">
        <v>101.03270000000001</v>
      </c>
      <c r="F4532" s="9">
        <v>46070</v>
      </c>
    </row>
    <row r="4533" spans="1:6" ht="90" x14ac:dyDescent="0.25">
      <c r="A4533" s="8" t="s">
        <v>63</v>
      </c>
      <c r="B4533" s="11" t="s">
        <v>78</v>
      </c>
      <c r="C4533" s="8" t="str">
        <f>IFERROR(_xlfn.XLOOKUP(TRIM(B4533),Lookup!$B$2:$B$1000,Lookup!$C$2:$C$1000),"")</f>
        <v>Balanced - Equity Oriented</v>
      </c>
      <c r="D4533" s="8" t="str">
        <f>IFERROR(INDEX('nav master'!$C:$C, MATCH(B4533, 'nav master'!$B:$B, 0)), "")</f>
        <v>ULIF 010 04/01/07 WLA 110</v>
      </c>
      <c r="E4533" s="8">
        <v>101.3681</v>
      </c>
      <c r="F4533" s="9">
        <v>46071</v>
      </c>
    </row>
    <row r="4534" spans="1:6" ht="90" x14ac:dyDescent="0.25">
      <c r="A4534" s="8" t="s">
        <v>63</v>
      </c>
      <c r="B4534" s="11" t="s">
        <v>78</v>
      </c>
      <c r="C4534" s="8" t="str">
        <f>IFERROR(_xlfn.XLOOKUP(TRIM(B4534),Lookup!$B$2:$B$1000,Lookup!$C$2:$C$1000),"")</f>
        <v>Balanced - Equity Oriented</v>
      </c>
      <c r="D4534" s="8" t="str">
        <f>IFERROR(INDEX('nav master'!$C:$C, MATCH(B4534, 'nav master'!$B:$B, 0)), "")</f>
        <v>ULIF 010 04/01/07 WLA 110</v>
      </c>
      <c r="E4534" s="8">
        <v>100.49890000000001</v>
      </c>
      <c r="F4534" s="9">
        <v>46072</v>
      </c>
    </row>
    <row r="4535" spans="1:6" ht="90" x14ac:dyDescent="0.25">
      <c r="A4535" s="8" t="s">
        <v>63</v>
      </c>
      <c r="B4535" s="11" t="s">
        <v>78</v>
      </c>
      <c r="C4535" s="8" t="str">
        <f>IFERROR(_xlfn.XLOOKUP(TRIM(B4535),Lookup!$B$2:$B$1000,Lookup!$C$2:$C$1000),"")</f>
        <v>Balanced - Equity Oriented</v>
      </c>
      <c r="D4535" s="8" t="str">
        <f>IFERROR(INDEX('nav master'!$C:$C, MATCH(B4535, 'nav master'!$B:$B, 0)), "")</f>
        <v>ULIF 010 04/01/07 WLA 110</v>
      </c>
      <c r="E4535" s="8">
        <v>100.577</v>
      </c>
      <c r="F4535" s="9">
        <v>46073</v>
      </c>
    </row>
    <row r="4536" spans="1:6" ht="90" x14ac:dyDescent="0.25">
      <c r="A4536" s="8" t="s">
        <v>63</v>
      </c>
      <c r="B4536" s="11" t="s">
        <v>78</v>
      </c>
      <c r="C4536" s="8" t="str">
        <f>IFERROR(_xlfn.XLOOKUP(TRIM(B4536),Lookup!$B$2:$B$1000,Lookup!$C$2:$C$1000),"")</f>
        <v>Balanced - Equity Oriented</v>
      </c>
      <c r="D4536" s="8" t="str">
        <f>IFERROR(INDEX('nav master'!$C:$C, MATCH(B4536, 'nav master'!$B:$B, 0)), "")</f>
        <v>ULIF 010 04/01/07 WLA 110</v>
      </c>
      <c r="E4536" s="8">
        <v>100.9935</v>
      </c>
      <c r="F4536" s="9">
        <v>46076</v>
      </c>
    </row>
    <row r="4537" spans="1:6" ht="90" x14ac:dyDescent="0.25">
      <c r="A4537" s="8" t="s">
        <v>63</v>
      </c>
      <c r="B4537" s="11" t="s">
        <v>78</v>
      </c>
      <c r="C4537" s="8" t="str">
        <f>IFERROR(_xlfn.XLOOKUP(TRIM(B4537),Lookup!$B$2:$B$1000,Lookup!$C$2:$C$1000),"")</f>
        <v>Balanced - Equity Oriented</v>
      </c>
      <c r="D4537" s="8" t="str">
        <f>IFERROR(INDEX('nav master'!$C:$C, MATCH(B4537, 'nav master'!$B:$B, 0)), "")</f>
        <v>ULIF 010 04/01/07 WLA 110</v>
      </c>
      <c r="E4537" s="8">
        <v>100.4717</v>
      </c>
      <c r="F4537" s="9">
        <v>46077</v>
      </c>
    </row>
    <row r="4538" spans="1:6" ht="90" x14ac:dyDescent="0.25">
      <c r="A4538" s="8" t="s">
        <v>63</v>
      </c>
      <c r="B4538" s="11" t="s">
        <v>78</v>
      </c>
      <c r="C4538" s="8" t="str">
        <f>IFERROR(_xlfn.XLOOKUP(TRIM(B4538),Lookup!$B$2:$B$1000,Lookup!$C$2:$C$1000),"")</f>
        <v>Balanced - Equity Oriented</v>
      </c>
      <c r="D4538" s="8" t="str">
        <f>IFERROR(INDEX('nav master'!$C:$C, MATCH(B4538, 'nav master'!$B:$B, 0)), "")</f>
        <v>ULIF 010 04/01/07 WLA 110</v>
      </c>
      <c r="E4538" s="8">
        <v>101.0638</v>
      </c>
      <c r="F4538" s="9">
        <v>46078</v>
      </c>
    </row>
    <row r="4539" spans="1:6" ht="90" x14ac:dyDescent="0.25">
      <c r="A4539" s="8" t="s">
        <v>63</v>
      </c>
      <c r="B4539" s="11" t="s">
        <v>78</v>
      </c>
      <c r="C4539" s="8" t="str">
        <f>IFERROR(_xlfn.XLOOKUP(TRIM(B4539),Lookup!$B$2:$B$1000,Lookup!$C$2:$C$1000),"")</f>
        <v>Balanced - Equity Oriented</v>
      </c>
      <c r="D4539" s="8" t="str">
        <f>IFERROR(INDEX('nav master'!$C:$C, MATCH(B4539, 'nav master'!$B:$B, 0)), "")</f>
        <v>ULIF 010 04/01/07 WLA 110</v>
      </c>
      <c r="E4539" s="8">
        <v>101.13249999999999</v>
      </c>
      <c r="F4539" s="9">
        <v>46079</v>
      </c>
    </row>
    <row r="4540" spans="1:6" ht="90" x14ac:dyDescent="0.25">
      <c r="A4540" s="8" t="s">
        <v>63</v>
      </c>
      <c r="B4540" s="11" t="s">
        <v>78</v>
      </c>
      <c r="C4540" s="8" t="str">
        <f>IFERROR(_xlfn.XLOOKUP(TRIM(B4540),Lookup!$B$2:$B$1000,Lookup!$C$2:$C$1000),"")</f>
        <v>Balanced - Equity Oriented</v>
      </c>
      <c r="D4540" s="8" t="str">
        <f>IFERROR(INDEX('nav master'!$C:$C, MATCH(B4540, 'nav master'!$B:$B, 0)), "")</f>
        <v>ULIF 010 04/01/07 WLA 110</v>
      </c>
      <c r="E4540" s="8">
        <v>100.19970000000001</v>
      </c>
      <c r="F4540" s="9">
        <v>46080</v>
      </c>
    </row>
    <row r="4541" spans="1:6" ht="90" x14ac:dyDescent="0.25">
      <c r="A4541" s="8" t="s">
        <v>63</v>
      </c>
      <c r="B4541" s="11" t="s">
        <v>78</v>
      </c>
      <c r="C4541" s="8" t="str">
        <f>IFERROR(_xlfn.XLOOKUP(TRIM(B4541),Lookup!$B$2:$B$1000,Lookup!$C$2:$C$1000),"")</f>
        <v>Balanced - Equity Oriented</v>
      </c>
      <c r="D4541" s="8" t="str">
        <f>IFERROR(INDEX('nav master'!$C:$C, MATCH(B4541, 'nav master'!$B:$B, 0)), "")</f>
        <v>ULIF 010 04/01/07 WLA 110</v>
      </c>
      <c r="E4541" s="8">
        <v>99.250699999999995</v>
      </c>
      <c r="F4541" s="9">
        <v>46083</v>
      </c>
    </row>
    <row r="4542" spans="1:6" ht="90" x14ac:dyDescent="0.25">
      <c r="A4542" s="8" t="s">
        <v>63</v>
      </c>
      <c r="B4542" s="11" t="s">
        <v>78</v>
      </c>
      <c r="C4542" s="8" t="str">
        <f>IFERROR(_xlfn.XLOOKUP(TRIM(B4542),Lookup!$B$2:$B$1000,Lookup!$C$2:$C$1000),"")</f>
        <v>Balanced - Equity Oriented</v>
      </c>
      <c r="D4542" s="8" t="str">
        <f>IFERROR(INDEX('nav master'!$C:$C, MATCH(B4542, 'nav master'!$B:$B, 0)), "")</f>
        <v>ULIF 010 04/01/07 WLA 110</v>
      </c>
      <c r="E4542" s="8">
        <v>98.067700000000002</v>
      </c>
      <c r="F4542" s="9">
        <v>46085</v>
      </c>
    </row>
    <row r="4543" spans="1:6" ht="90" x14ac:dyDescent="0.25">
      <c r="A4543" s="8" t="s">
        <v>63</v>
      </c>
      <c r="B4543" s="11" t="s">
        <v>78</v>
      </c>
      <c r="C4543" s="8" t="str">
        <f>IFERROR(_xlfn.XLOOKUP(TRIM(B4543),Lookup!$B$2:$B$1000,Lookup!$C$2:$C$1000),"")</f>
        <v>Balanced - Equity Oriented</v>
      </c>
      <c r="D4543" s="8" t="str">
        <f>IFERROR(INDEX('nav master'!$C:$C, MATCH(B4543, 'nav master'!$B:$B, 0)), "")</f>
        <v>ULIF 010 04/01/07 WLA 110</v>
      </c>
      <c r="E4543" s="8">
        <v>99.026600000000002</v>
      </c>
      <c r="F4543" s="9">
        <v>46086</v>
      </c>
    </row>
    <row r="4544" spans="1:6" ht="90" x14ac:dyDescent="0.25">
      <c r="A4544" s="8" t="s">
        <v>63</v>
      </c>
      <c r="B4544" s="11" t="s">
        <v>78</v>
      </c>
      <c r="C4544" s="8" t="str">
        <f>IFERROR(_xlfn.XLOOKUP(TRIM(B4544),Lookup!$B$2:$B$1000,Lookup!$C$2:$C$1000),"")</f>
        <v>Balanced - Equity Oriented</v>
      </c>
      <c r="D4544" s="8" t="str">
        <f>IFERROR(INDEX('nav master'!$C:$C, MATCH(B4544, 'nav master'!$B:$B, 0)), "")</f>
        <v>ULIF 010 04/01/07 WLA 110</v>
      </c>
      <c r="E4544" s="8">
        <v>98.7654</v>
      </c>
      <c r="F4544" s="9">
        <v>46087</v>
      </c>
    </row>
    <row r="4545" spans="1:6" ht="90" x14ac:dyDescent="0.25">
      <c r="A4545" s="8" t="s">
        <v>63</v>
      </c>
      <c r="B4545" s="11" t="s">
        <v>78</v>
      </c>
      <c r="C4545" s="8" t="str">
        <f>IFERROR(_xlfn.XLOOKUP(TRIM(B4545),Lookup!$B$2:$B$1000,Lookup!$C$2:$C$1000),"")</f>
        <v>Balanced - Equity Oriented</v>
      </c>
      <c r="D4545" s="8" t="str">
        <f>IFERROR(INDEX('nav master'!$C:$C, MATCH(B4545, 'nav master'!$B:$B, 0)), "")</f>
        <v>ULIF 010 04/01/07 WLA 110</v>
      </c>
      <c r="E4545" s="8">
        <v>97.795500000000004</v>
      </c>
      <c r="F4545" s="9">
        <v>46090</v>
      </c>
    </row>
    <row r="4546" spans="1:6" ht="90" x14ac:dyDescent="0.25">
      <c r="A4546" s="8" t="s">
        <v>63</v>
      </c>
      <c r="B4546" s="11" t="s">
        <v>78</v>
      </c>
      <c r="C4546" s="8" t="str">
        <f>IFERROR(_xlfn.XLOOKUP(TRIM(B4546),Lookup!$B$2:$B$1000,Lookup!$C$2:$C$1000),"")</f>
        <v>Balanced - Equity Oriented</v>
      </c>
      <c r="D4546" s="8" t="str">
        <f>IFERROR(INDEX('nav master'!$C:$C, MATCH(B4546, 'nav master'!$B:$B, 0)), "")</f>
        <v>ULIF 010 04/01/07 WLA 110</v>
      </c>
      <c r="E4546" s="8">
        <v>98.5548</v>
      </c>
      <c r="F4546" s="9">
        <v>46091</v>
      </c>
    </row>
    <row r="4547" spans="1:6" ht="90" x14ac:dyDescent="0.25">
      <c r="A4547" s="8" t="s">
        <v>63</v>
      </c>
      <c r="B4547" s="11" t="s">
        <v>78</v>
      </c>
      <c r="C4547" s="8" t="str">
        <f>IFERROR(_xlfn.XLOOKUP(TRIM(B4547),Lookup!$B$2:$B$1000,Lookup!$C$2:$C$1000),"")</f>
        <v>Balanced - Equity Oriented</v>
      </c>
      <c r="D4547" s="8" t="str">
        <f>IFERROR(INDEX('nav master'!$C:$C, MATCH(B4547, 'nav master'!$B:$B, 0)), "")</f>
        <v>ULIF 010 04/01/07 WLA 110</v>
      </c>
      <c r="E4547" s="8">
        <v>97.835999999999999</v>
      </c>
      <c r="F4547" s="9">
        <v>46092</v>
      </c>
    </row>
    <row r="4548" spans="1:6" ht="90" x14ac:dyDescent="0.25">
      <c r="A4548" s="8" t="s">
        <v>63</v>
      </c>
      <c r="B4548" s="11" t="s">
        <v>78</v>
      </c>
      <c r="C4548" s="8" t="str">
        <f>IFERROR(_xlfn.XLOOKUP(TRIM(B4548),Lookup!$B$2:$B$1000,Lookup!$C$2:$C$1000),"")</f>
        <v>Balanced - Equity Oriented</v>
      </c>
      <c r="D4548" s="8" t="str">
        <f>IFERROR(INDEX('nav master'!$C:$C, MATCH(B4548, 'nav master'!$B:$B, 0)), "")</f>
        <v>ULIF 010 04/01/07 WLA 110</v>
      </c>
      <c r="E4548" s="8">
        <v>97.8352</v>
      </c>
      <c r="F4548" s="9">
        <v>46093</v>
      </c>
    </row>
    <row r="4549" spans="1:6" ht="90" x14ac:dyDescent="0.25">
      <c r="A4549" s="8" t="s">
        <v>63</v>
      </c>
      <c r="B4549" s="11" t="s">
        <v>78</v>
      </c>
      <c r="C4549" s="8" t="str">
        <f>IFERROR(_xlfn.XLOOKUP(TRIM(B4549),Lookup!$B$2:$B$1000,Lookup!$C$2:$C$1000),"")</f>
        <v>Balanced - Equity Oriented</v>
      </c>
      <c r="D4549" s="8" t="str">
        <f>IFERROR(INDEX('nav master'!$C:$C, MATCH(B4549, 'nav master'!$B:$B, 0)), "")</f>
        <v>ULIF 010 04/01/07 WLA 110</v>
      </c>
      <c r="E4549" s="8">
        <v>96.144000000000005</v>
      </c>
      <c r="F4549" s="9">
        <v>46094</v>
      </c>
    </row>
    <row r="4550" spans="1:6" ht="90" x14ac:dyDescent="0.25">
      <c r="A4550" s="8" t="s">
        <v>63</v>
      </c>
      <c r="B4550" s="11" t="s">
        <v>78</v>
      </c>
      <c r="C4550" s="8" t="str">
        <f>IFERROR(_xlfn.XLOOKUP(TRIM(B4550),Lookup!$B$2:$B$1000,Lookup!$C$2:$C$1000),"")</f>
        <v>Balanced - Equity Oriented</v>
      </c>
      <c r="D4550" s="8" t="str">
        <f>IFERROR(INDEX('nav master'!$C:$C, MATCH(B4550, 'nav master'!$B:$B, 0)), "")</f>
        <v>ULIF 010 04/01/07 WLA 110</v>
      </c>
      <c r="E4550" s="8">
        <v>96.420500000000004</v>
      </c>
      <c r="F4550" s="9">
        <v>46097</v>
      </c>
    </row>
    <row r="4551" spans="1:6" ht="90" x14ac:dyDescent="0.25">
      <c r="A4551" s="8" t="s">
        <v>63</v>
      </c>
      <c r="B4551" s="11" t="s">
        <v>78</v>
      </c>
      <c r="C4551" s="8" t="str">
        <f>IFERROR(_xlfn.XLOOKUP(TRIM(B4551),Lookup!$B$2:$B$1000,Lookup!$C$2:$C$1000),"")</f>
        <v>Balanced - Equity Oriented</v>
      </c>
      <c r="D4551" s="8" t="str">
        <f>IFERROR(INDEX('nav master'!$C:$C, MATCH(B4551, 'nav master'!$B:$B, 0)), "")</f>
        <v>ULIF 010 04/01/07 WLA 110</v>
      </c>
      <c r="E4551" s="8">
        <v>97.12</v>
      </c>
      <c r="F4551" s="9">
        <v>46098</v>
      </c>
    </row>
    <row r="4552" spans="1:6" ht="90" x14ac:dyDescent="0.25">
      <c r="A4552" s="8" t="s">
        <v>63</v>
      </c>
      <c r="B4552" s="11" t="s">
        <v>78</v>
      </c>
      <c r="C4552" s="8" t="str">
        <f>IFERROR(_xlfn.XLOOKUP(TRIM(B4552),Lookup!$B$2:$B$1000,Lookup!$C$2:$C$1000),"")</f>
        <v>Balanced - Equity Oriented</v>
      </c>
      <c r="D4552" s="8" t="str">
        <f>IFERROR(INDEX('nav master'!$C:$C, MATCH(B4552, 'nav master'!$B:$B, 0)), "")</f>
        <v>ULIF 010 04/01/07 WLA 110</v>
      </c>
      <c r="E4552" s="8">
        <v>97.824200000000005</v>
      </c>
      <c r="F4552" s="9">
        <v>46099</v>
      </c>
    </row>
    <row r="4553" spans="1:6" ht="90" x14ac:dyDescent="0.25">
      <c r="A4553" s="8" t="s">
        <v>63</v>
      </c>
      <c r="B4553" s="11" t="s">
        <v>78</v>
      </c>
      <c r="C4553" s="8" t="str">
        <f>IFERROR(_xlfn.XLOOKUP(TRIM(B4553),Lookup!$B$2:$B$1000,Lookup!$C$2:$C$1000),"")</f>
        <v>Balanced - Equity Oriented</v>
      </c>
      <c r="D4553" s="8" t="str">
        <f>IFERROR(INDEX('nav master'!$C:$C, MATCH(B4553, 'nav master'!$B:$B, 0)), "")</f>
        <v>ULIF 010 04/01/07 WLA 110</v>
      </c>
      <c r="E4553" s="8">
        <v>95.765100000000004</v>
      </c>
      <c r="F4553" s="9">
        <v>46100</v>
      </c>
    </row>
    <row r="4554" spans="1:6" ht="90" x14ac:dyDescent="0.25">
      <c r="A4554" s="8" t="s">
        <v>63</v>
      </c>
      <c r="B4554" s="11" t="s">
        <v>78</v>
      </c>
      <c r="C4554" s="8" t="str">
        <f>IFERROR(_xlfn.XLOOKUP(TRIM(B4554),Lookup!$B$2:$B$1000,Lookup!$C$2:$C$1000),"")</f>
        <v>Balanced - Equity Oriented</v>
      </c>
      <c r="D4554" s="8" t="str">
        <f>IFERROR(INDEX('nav master'!$C:$C, MATCH(B4554, 'nav master'!$B:$B, 0)), "")</f>
        <v>ULIF 010 04/01/07 WLA 110</v>
      </c>
      <c r="E4554" s="8">
        <v>95.9512</v>
      </c>
      <c r="F4554" s="9">
        <v>46101</v>
      </c>
    </row>
    <row r="4555" spans="1:6" ht="90" x14ac:dyDescent="0.25">
      <c r="A4555" s="8" t="s">
        <v>63</v>
      </c>
      <c r="B4555" s="11" t="s">
        <v>78</v>
      </c>
      <c r="C4555" s="8" t="str">
        <f>IFERROR(_xlfn.XLOOKUP(TRIM(B4555),Lookup!$B$2:$B$1000,Lookup!$C$2:$C$1000),"")</f>
        <v>Balanced - Equity Oriented</v>
      </c>
      <c r="D4555" s="8" t="str">
        <f>IFERROR(INDEX('nav master'!$C:$C, MATCH(B4555, 'nav master'!$B:$B, 0)), "")</f>
        <v>ULIF 010 04/01/07 WLA 110</v>
      </c>
      <c r="E4555" s="8">
        <v>93.904899999999998</v>
      </c>
      <c r="F4555" s="9">
        <v>46104</v>
      </c>
    </row>
    <row r="4556" spans="1:6" ht="90" x14ac:dyDescent="0.25">
      <c r="A4556" s="8" t="s">
        <v>63</v>
      </c>
      <c r="B4556" s="11" t="s">
        <v>78</v>
      </c>
      <c r="C4556" s="8" t="str">
        <f>IFERROR(_xlfn.XLOOKUP(TRIM(B4556),Lookup!$B$2:$B$1000,Lookup!$C$2:$C$1000),"")</f>
        <v>Balanced - Equity Oriented</v>
      </c>
      <c r="D4556" s="8" t="str">
        <f>IFERROR(INDEX('nav master'!$C:$C, MATCH(B4556, 'nav master'!$B:$B, 0)), "")</f>
        <v>ULIF 010 04/01/07 WLA 110</v>
      </c>
      <c r="E4556" s="8">
        <v>95.290400000000005</v>
      </c>
      <c r="F4556" s="9">
        <v>46105</v>
      </c>
    </row>
    <row r="4557" spans="1:6" ht="90" x14ac:dyDescent="0.25">
      <c r="A4557" s="8" t="s">
        <v>63</v>
      </c>
      <c r="B4557" s="11" t="s">
        <v>78</v>
      </c>
      <c r="C4557" s="8" t="str">
        <f>IFERROR(_xlfn.XLOOKUP(TRIM(B4557),Lookup!$B$2:$B$1000,Lookup!$C$2:$C$1000),"")</f>
        <v>Balanced - Equity Oriented</v>
      </c>
      <c r="D4557" s="8" t="str">
        <f>IFERROR(INDEX('nav master'!$C:$C, MATCH(B4557, 'nav master'!$B:$B, 0)), "")</f>
        <v>ULIF 010 04/01/07 WLA 110</v>
      </c>
      <c r="E4557" s="8">
        <v>96.568600000000004</v>
      </c>
      <c r="F4557" s="9">
        <v>46106</v>
      </c>
    </row>
    <row r="4558" spans="1:6" ht="90" x14ac:dyDescent="0.25">
      <c r="A4558" s="8" t="s">
        <v>63</v>
      </c>
      <c r="B4558" s="11" t="s">
        <v>78</v>
      </c>
      <c r="C4558" s="8" t="str">
        <f>IFERROR(_xlfn.XLOOKUP(TRIM(B4558),Lookup!$B$2:$B$1000,Lookup!$C$2:$C$1000),"")</f>
        <v>Balanced - Equity Oriented</v>
      </c>
      <c r="D4558" s="8" t="str">
        <f>IFERROR(INDEX('nav master'!$C:$C, MATCH(B4558, 'nav master'!$B:$B, 0)), "")</f>
        <v>ULIF 010 04/01/07 WLA 110</v>
      </c>
      <c r="E4558" s="8">
        <v>95.194100000000006</v>
      </c>
      <c r="F4558" s="9">
        <v>46108</v>
      </c>
    </row>
    <row r="4559" spans="1:6" ht="90" x14ac:dyDescent="0.25">
      <c r="A4559" s="8" t="s">
        <v>63</v>
      </c>
      <c r="B4559" s="11" t="s">
        <v>78</v>
      </c>
      <c r="C4559" s="8" t="str">
        <f>IFERROR(_xlfn.XLOOKUP(TRIM(B4559),Lookup!$B$2:$B$1000,Lookup!$C$2:$C$1000),"")</f>
        <v>Balanced - Equity Oriented</v>
      </c>
      <c r="D4559" s="8" t="str">
        <f>IFERROR(INDEX('nav master'!$C:$C, MATCH(B4559, 'nav master'!$B:$B, 0)), "")</f>
        <v>ULIF 010 04/01/07 WLA 110</v>
      </c>
      <c r="E4559" s="8">
        <v>94.034300000000002</v>
      </c>
      <c r="F4559" s="9">
        <v>46111</v>
      </c>
    </row>
    <row r="4560" spans="1:6" ht="90" x14ac:dyDescent="0.25">
      <c r="A4560" s="8" t="s">
        <v>63</v>
      </c>
      <c r="B4560" s="11" t="s">
        <v>78</v>
      </c>
      <c r="C4560" s="8" t="str">
        <f>IFERROR(_xlfn.XLOOKUP(TRIM(B4560),Lookup!$B$2:$B$1000,Lookup!$C$2:$C$1000),"")</f>
        <v>Balanced - Equity Oriented</v>
      </c>
      <c r="D4560" s="8" t="str">
        <f>IFERROR(INDEX('nav master'!$C:$C, MATCH(B4560, 'nav master'!$B:$B, 0)), "")</f>
        <v>ULIF 010 04/01/07 WLA 110</v>
      </c>
      <c r="E4560" s="8">
        <v>94.036100000000005</v>
      </c>
      <c r="F4560" s="9">
        <v>46112</v>
      </c>
    </row>
    <row r="4561" spans="1:6" ht="90" x14ac:dyDescent="0.25">
      <c r="A4561" s="8" t="s">
        <v>63</v>
      </c>
      <c r="B4561" s="11" t="s">
        <v>78</v>
      </c>
      <c r="C4561" s="8" t="str">
        <f>IFERROR(_xlfn.XLOOKUP(TRIM(B4561),Lookup!$B$2:$B$1000,Lookup!$C$2:$C$1000),"")</f>
        <v>Balanced - Equity Oriented</v>
      </c>
      <c r="D4561" s="8" t="str">
        <f>IFERROR(INDEX('nav master'!$C:$C, MATCH(B4561, 'nav master'!$B:$B, 0)), "")</f>
        <v>ULIF 010 04/01/07 WLA 110</v>
      </c>
      <c r="E4561" s="8">
        <v>95.194800000000001</v>
      </c>
      <c r="F4561" s="9">
        <v>46113</v>
      </c>
    </row>
    <row r="4562" spans="1:6" ht="90" x14ac:dyDescent="0.25">
      <c r="A4562" s="8" t="s">
        <v>63</v>
      </c>
      <c r="B4562" s="11" t="s">
        <v>78</v>
      </c>
      <c r="C4562" s="8" t="str">
        <f>IFERROR(_xlfn.XLOOKUP(TRIM(B4562),Lookup!$B$2:$B$1000,Lookup!$C$2:$C$1000),"")</f>
        <v>Balanced - Equity Oriented</v>
      </c>
      <c r="D4562" s="8" t="str">
        <f>IFERROR(INDEX('nav master'!$C:$C, MATCH(B4562, 'nav master'!$B:$B, 0)), "")</f>
        <v>ULIF 010 04/01/07 WLA 110</v>
      </c>
      <c r="E4562" s="8">
        <v>95.015000000000001</v>
      </c>
      <c r="F4562" s="9">
        <v>46114</v>
      </c>
    </row>
    <row r="4563" spans="1:6" ht="90" x14ac:dyDescent="0.25">
      <c r="A4563" s="8" t="s">
        <v>63</v>
      </c>
      <c r="B4563" s="11" t="s">
        <v>78</v>
      </c>
      <c r="C4563" s="8" t="str">
        <f>IFERROR(_xlfn.XLOOKUP(TRIM(B4563),Lookup!$B$2:$B$1000,Lookup!$C$2:$C$1000),"")</f>
        <v>Balanced - Equity Oriented</v>
      </c>
      <c r="D4563" s="8" t="str">
        <f>IFERROR(INDEX('nav master'!$C:$C, MATCH(B4563, 'nav master'!$B:$B, 0)), "")</f>
        <v>ULIF 010 04/01/07 WLA 110</v>
      </c>
      <c r="E4563" s="8">
        <v>95.879300000000001</v>
      </c>
      <c r="F4563" s="9">
        <v>46118</v>
      </c>
    </row>
    <row r="4564" spans="1:6" ht="90" x14ac:dyDescent="0.25">
      <c r="A4564" s="8" t="s">
        <v>63</v>
      </c>
      <c r="B4564" s="11" t="s">
        <v>78</v>
      </c>
      <c r="C4564" s="8" t="str">
        <f>IFERROR(_xlfn.XLOOKUP(TRIM(B4564),Lookup!$B$2:$B$1000,Lookup!$C$2:$C$1000),"")</f>
        <v>Balanced - Equity Oriented</v>
      </c>
      <c r="D4564" s="8" t="str">
        <f>IFERROR(INDEX('nav master'!$C:$C, MATCH(B4564, 'nav master'!$B:$B, 0)), "")</f>
        <v>ULIF 010 04/01/07 WLA 110</v>
      </c>
      <c r="E4564" s="8">
        <v>96.0565</v>
      </c>
      <c r="F4564" s="9">
        <v>46119</v>
      </c>
    </row>
    <row r="4565" spans="1:6" ht="90" x14ac:dyDescent="0.25">
      <c r="A4565" s="8" t="s">
        <v>63</v>
      </c>
      <c r="B4565" s="11" t="s">
        <v>78</v>
      </c>
      <c r="C4565" s="8" t="str">
        <f>IFERROR(_xlfn.XLOOKUP(TRIM(B4565),Lookup!$B$2:$B$1000,Lookup!$C$2:$C$1000),"")</f>
        <v>Balanced - Equity Oriented</v>
      </c>
      <c r="D4565" s="8" t="str">
        <f>IFERROR(INDEX('nav master'!$C:$C, MATCH(B4565, 'nav master'!$B:$B, 0)), "")</f>
        <v>ULIF 010 04/01/07 WLA 110</v>
      </c>
      <c r="E4565" s="8">
        <v>98.537700000000001</v>
      </c>
      <c r="F4565" s="9">
        <v>46120</v>
      </c>
    </row>
    <row r="4566" spans="1:6" ht="90" x14ac:dyDescent="0.25">
      <c r="A4566" s="8" t="s">
        <v>63</v>
      </c>
      <c r="B4566" s="11" t="s">
        <v>78</v>
      </c>
      <c r="C4566" s="8" t="str">
        <f>IFERROR(_xlfn.XLOOKUP(TRIM(B4566),Lookup!$B$2:$B$1000,Lookup!$C$2:$C$1000),"")</f>
        <v>Balanced - Equity Oriented</v>
      </c>
      <c r="D4566" s="8" t="str">
        <f>IFERROR(INDEX('nav master'!$C:$C, MATCH(B4566, 'nav master'!$B:$B, 0)), "")</f>
        <v>ULIF 010 04/01/07 WLA 110</v>
      </c>
      <c r="E4566" s="8">
        <v>98.3489</v>
      </c>
      <c r="F4566" s="9">
        <v>46121</v>
      </c>
    </row>
    <row r="4567" spans="1:6" ht="90" x14ac:dyDescent="0.25">
      <c r="A4567" s="8" t="s">
        <v>63</v>
      </c>
      <c r="B4567" s="11" t="s">
        <v>78</v>
      </c>
      <c r="C4567" s="8" t="str">
        <f>IFERROR(_xlfn.XLOOKUP(TRIM(B4567),Lookup!$B$2:$B$1000,Lookup!$C$2:$C$1000),"")</f>
        <v>Balanced - Equity Oriented</v>
      </c>
      <c r="D4567" s="8" t="str">
        <f>IFERROR(INDEX('nav master'!$C:$C, MATCH(B4567, 'nav master'!$B:$B, 0)), "")</f>
        <v>ULIF 010 04/01/07 WLA 110</v>
      </c>
      <c r="E4567" s="8">
        <v>99.269900000000007</v>
      </c>
      <c r="F4567" s="9">
        <v>46122</v>
      </c>
    </row>
    <row r="4568" spans="1:6" ht="90" x14ac:dyDescent="0.25">
      <c r="A4568" s="8" t="s">
        <v>63</v>
      </c>
      <c r="B4568" s="11" t="s">
        <v>78</v>
      </c>
      <c r="C4568" s="8" t="str">
        <f>IFERROR(_xlfn.XLOOKUP(TRIM(B4568),Lookup!$B$2:$B$1000,Lookup!$C$2:$C$1000),"")</f>
        <v>Balanced - Equity Oriented</v>
      </c>
      <c r="D4568" s="8" t="str">
        <f>IFERROR(INDEX('nav master'!$C:$C, MATCH(B4568, 'nav master'!$B:$B, 0)), "")</f>
        <v>ULIF 010 04/01/07 WLA 110</v>
      </c>
      <c r="E4568" s="8">
        <v>98.804199999999994</v>
      </c>
      <c r="F4568" s="9">
        <v>46125</v>
      </c>
    </row>
    <row r="4569" spans="1:6" ht="90" x14ac:dyDescent="0.25">
      <c r="A4569" s="8" t="s">
        <v>63</v>
      </c>
      <c r="B4569" s="11" t="s">
        <v>78</v>
      </c>
      <c r="C4569" s="8" t="str">
        <f>IFERROR(_xlfn.XLOOKUP(TRIM(B4569),Lookup!$B$2:$B$1000,Lookup!$C$2:$C$1000),"")</f>
        <v>Balanced - Equity Oriented</v>
      </c>
      <c r="D4569" s="8" t="str">
        <f>IFERROR(INDEX('nav master'!$C:$C, MATCH(B4569, 'nav master'!$B:$B, 0)), "")</f>
        <v>ULIF 010 04/01/07 WLA 110</v>
      </c>
      <c r="E4569" s="8">
        <v>100.49930000000001</v>
      </c>
      <c r="F4569" s="9">
        <v>46127</v>
      </c>
    </row>
    <row r="4570" spans="1:6" ht="90" x14ac:dyDescent="0.25">
      <c r="A4570" s="8" t="s">
        <v>63</v>
      </c>
      <c r="B4570" s="11" t="s">
        <v>78</v>
      </c>
      <c r="C4570" s="8" t="str">
        <f>IFERROR(_xlfn.XLOOKUP(TRIM(B4570),Lookup!$B$2:$B$1000,Lookup!$C$2:$C$1000),"")</f>
        <v>Balanced - Equity Oriented</v>
      </c>
      <c r="D4570" s="8" t="str">
        <f>IFERROR(INDEX('nav master'!$C:$C, MATCH(B4570, 'nav master'!$B:$B, 0)), "")</f>
        <v>ULIF 010 04/01/07 WLA 110</v>
      </c>
      <c r="E4570" s="8">
        <v>100.7983</v>
      </c>
      <c r="F4570" s="9">
        <v>46128</v>
      </c>
    </row>
    <row r="4571" spans="1:6" ht="90" x14ac:dyDescent="0.25">
      <c r="A4571" s="8" t="s">
        <v>63</v>
      </c>
      <c r="B4571" s="11" t="s">
        <v>78</v>
      </c>
      <c r="C4571" s="8" t="str">
        <f>IFERROR(_xlfn.XLOOKUP(TRIM(B4571),Lookup!$B$2:$B$1000,Lookup!$C$2:$C$1000),"")</f>
        <v>Balanced - Equity Oriented</v>
      </c>
      <c r="D4571" s="8" t="str">
        <f>IFERROR(INDEX('nav master'!$C:$C, MATCH(B4571, 'nav master'!$B:$B, 0)), "")</f>
        <v>ULIF 010 04/01/07 WLA 110</v>
      </c>
      <c r="E4571" s="8">
        <v>101.46420000000001</v>
      </c>
      <c r="F4571" s="9">
        <v>46129</v>
      </c>
    </row>
    <row r="4572" spans="1:6" ht="90" x14ac:dyDescent="0.25">
      <c r="A4572" s="8" t="s">
        <v>63</v>
      </c>
      <c r="B4572" s="11" t="s">
        <v>78</v>
      </c>
      <c r="C4572" s="8" t="str">
        <f>IFERROR(_xlfn.XLOOKUP(TRIM(B4572),Lookup!$B$2:$B$1000,Lookup!$C$2:$C$1000),"")</f>
        <v>Balanced - Equity Oriented</v>
      </c>
      <c r="D4572" s="8" t="str">
        <f>IFERROR(INDEX('nav master'!$C:$C, MATCH(B4572, 'nav master'!$B:$B, 0)), "")</f>
        <v>ULIF 010 04/01/07 WLA 110</v>
      </c>
      <c r="E4572" s="8">
        <v>101.3943</v>
      </c>
      <c r="F4572" s="9">
        <v>46132</v>
      </c>
    </row>
    <row r="4573" spans="1:6" ht="90" x14ac:dyDescent="0.25">
      <c r="A4573" s="8" t="s">
        <v>63</v>
      </c>
      <c r="B4573" s="11" t="s">
        <v>78</v>
      </c>
      <c r="C4573" s="8" t="str">
        <f>IFERROR(_xlfn.XLOOKUP(TRIM(B4573),Lookup!$B$2:$B$1000,Lookup!$C$2:$C$1000),"")</f>
        <v>Balanced - Equity Oriented</v>
      </c>
      <c r="D4573" s="8" t="str">
        <f>IFERROR(INDEX('nav master'!$C:$C, MATCH(B4573, 'nav master'!$B:$B, 0)), "")</f>
        <v>ULIF 010 04/01/07 WLA 110</v>
      </c>
      <c r="E4573" s="8">
        <v>101.4892</v>
      </c>
      <c r="F4573" s="9">
        <v>46133</v>
      </c>
    </row>
    <row r="4574" spans="1:6" ht="90" x14ac:dyDescent="0.25">
      <c r="A4574" s="8" t="s">
        <v>63</v>
      </c>
      <c r="B4574" s="11" t="s">
        <v>78</v>
      </c>
      <c r="C4574" s="8" t="str">
        <f>IFERROR(_xlfn.XLOOKUP(TRIM(B4574),Lookup!$B$2:$B$1000,Lookup!$C$2:$C$1000),"")</f>
        <v>Balanced - Equity Oriented</v>
      </c>
      <c r="D4574" s="8" t="str">
        <f>IFERROR(INDEX('nav master'!$C:$C, MATCH(B4574, 'nav master'!$B:$B, 0)), "")</f>
        <v>ULIF 010 04/01/07 WLA 110</v>
      </c>
      <c r="E4574" s="8">
        <v>101.03570000000001</v>
      </c>
      <c r="F4574" s="9">
        <v>46134</v>
      </c>
    </row>
    <row r="4575" spans="1:6" ht="90" x14ac:dyDescent="0.25">
      <c r="A4575" s="8" t="s">
        <v>63</v>
      </c>
      <c r="B4575" s="11" t="s">
        <v>78</v>
      </c>
      <c r="C4575" s="8" t="str">
        <f>IFERROR(_xlfn.XLOOKUP(TRIM(B4575),Lookup!$B$2:$B$1000,Lookup!$C$2:$C$1000),"")</f>
        <v>Balanced - Equity Oriented</v>
      </c>
      <c r="D4575" s="8" t="str">
        <f>IFERROR(INDEX('nav master'!$C:$C, MATCH(B4575, 'nav master'!$B:$B, 0)), "")</f>
        <v>ULIF 010 04/01/07 WLA 110</v>
      </c>
      <c r="E4575" s="8">
        <v>100.22709999999999</v>
      </c>
      <c r="F4575" s="9">
        <v>46135</v>
      </c>
    </row>
    <row r="4576" spans="1:6" ht="90" x14ac:dyDescent="0.25">
      <c r="A4576" s="8" t="s">
        <v>63</v>
      </c>
      <c r="B4576" s="11" t="s">
        <v>78</v>
      </c>
      <c r="C4576" s="8" t="str">
        <f>IFERROR(_xlfn.XLOOKUP(TRIM(B4576),Lookup!$B$2:$B$1000,Lookup!$C$2:$C$1000),"")</f>
        <v>Balanced - Equity Oriented</v>
      </c>
      <c r="D4576" s="8" t="str">
        <f>IFERROR(INDEX('nav master'!$C:$C, MATCH(B4576, 'nav master'!$B:$B, 0)), "")</f>
        <v>ULIF 010 04/01/07 WLA 110</v>
      </c>
      <c r="E4576" s="8">
        <v>99.400899999999993</v>
      </c>
      <c r="F4576" s="9">
        <v>46136</v>
      </c>
    </row>
    <row r="4577" spans="1:6" ht="90" x14ac:dyDescent="0.25">
      <c r="A4577" s="8" t="s">
        <v>63</v>
      </c>
      <c r="B4577" s="11" t="s">
        <v>78</v>
      </c>
      <c r="C4577" s="8" t="str">
        <f>IFERROR(_xlfn.XLOOKUP(TRIM(B4577),Lookup!$B$2:$B$1000,Lookup!$C$2:$C$1000),"")</f>
        <v>Balanced - Equity Oriented</v>
      </c>
      <c r="D4577" s="8" t="str">
        <f>IFERROR(INDEX('nav master'!$C:$C, MATCH(B4577, 'nav master'!$B:$B, 0)), "")</f>
        <v>ULIF 010 04/01/07 WLA 110</v>
      </c>
      <c r="E4577" s="8">
        <v>100.3537</v>
      </c>
      <c r="F4577" s="9">
        <v>46139</v>
      </c>
    </row>
    <row r="4578" spans="1:6" ht="90" x14ac:dyDescent="0.25">
      <c r="A4578" s="8" t="s">
        <v>63</v>
      </c>
      <c r="B4578" s="11" t="s">
        <v>78</v>
      </c>
      <c r="C4578" s="8" t="str">
        <f>IFERROR(_xlfn.XLOOKUP(TRIM(B4578),Lookup!$B$2:$B$1000,Lookup!$C$2:$C$1000),"")</f>
        <v>Balanced - Equity Oriented</v>
      </c>
      <c r="D4578" s="8" t="str">
        <f>IFERROR(INDEX('nav master'!$C:$C, MATCH(B4578, 'nav master'!$B:$B, 0)), "")</f>
        <v>ULIF 010 04/01/07 WLA 110</v>
      </c>
      <c r="E4578" s="8">
        <v>100.3476</v>
      </c>
      <c r="F4578" s="9">
        <v>46140</v>
      </c>
    </row>
    <row r="4579" spans="1:6" ht="90" x14ac:dyDescent="0.25">
      <c r="A4579" s="8" t="s">
        <v>63</v>
      </c>
      <c r="B4579" s="11" t="s">
        <v>78</v>
      </c>
      <c r="C4579" s="8" t="str">
        <f>IFERROR(_xlfn.XLOOKUP(TRIM(B4579),Lookup!$B$2:$B$1000,Lookup!$C$2:$C$1000),"")</f>
        <v>Balanced - Equity Oriented</v>
      </c>
      <c r="D4579" s="8" t="str">
        <f>IFERROR(INDEX('nav master'!$C:$C, MATCH(B4579, 'nav master'!$B:$B, 0)), "")</f>
        <v>ULIF 010 04/01/07 WLA 110</v>
      </c>
      <c r="E4579" s="8">
        <v>100.7199</v>
      </c>
      <c r="F4579" s="9">
        <v>46141</v>
      </c>
    </row>
    <row r="4580" spans="1:6" ht="90" x14ac:dyDescent="0.25">
      <c r="A4580" s="8" t="s">
        <v>63</v>
      </c>
      <c r="B4580" s="11" t="s">
        <v>78</v>
      </c>
      <c r="C4580" s="8" t="str">
        <f>IFERROR(_xlfn.XLOOKUP(TRIM(B4580),Lookup!$B$2:$B$1000,Lookup!$C$2:$C$1000),"")</f>
        <v>Balanced - Equity Oriented</v>
      </c>
      <c r="D4580" s="8" t="str">
        <f>IFERROR(INDEX('nav master'!$C:$C, MATCH(B4580, 'nav master'!$B:$B, 0)), "")</f>
        <v>ULIF 010 04/01/07 WLA 110</v>
      </c>
      <c r="E4580" s="8">
        <v>100.2118</v>
      </c>
      <c r="F4580" s="9">
        <v>46142</v>
      </c>
    </row>
    <row r="4581" spans="1:6" ht="90" x14ac:dyDescent="0.25">
      <c r="A4581" s="8" t="s">
        <v>63</v>
      </c>
      <c r="B4581" s="11" t="s">
        <v>78</v>
      </c>
      <c r="C4581" s="8" t="str">
        <f>IFERROR(_xlfn.XLOOKUP(TRIM(B4581),Lookup!$B$2:$B$1000,Lookup!$C$2:$C$1000),"")</f>
        <v>Balanced - Equity Oriented</v>
      </c>
      <c r="D4581" s="8" t="str">
        <f>IFERROR(INDEX('nav master'!$C:$C, MATCH(B4581, 'nav master'!$B:$B, 0)), "")</f>
        <v>ULIF 010 04/01/07 WLA 110</v>
      </c>
      <c r="E4581" s="8">
        <v>100.6129</v>
      </c>
      <c r="F4581" s="9">
        <v>46146</v>
      </c>
    </row>
    <row r="4582" spans="1:6" ht="90" x14ac:dyDescent="0.25">
      <c r="A4582" s="8" t="s">
        <v>63</v>
      </c>
      <c r="B4582" s="11" t="s">
        <v>78</v>
      </c>
      <c r="C4582" s="8" t="str">
        <f>IFERROR(_xlfn.XLOOKUP(TRIM(B4582),Lookup!$B$2:$B$1000,Lookup!$C$2:$C$1000),"")</f>
        <v>Balanced - Equity Oriented</v>
      </c>
      <c r="D4582" s="8" t="str">
        <f>IFERROR(INDEX('nav master'!$C:$C, MATCH(B4582, 'nav master'!$B:$B, 0)), "")</f>
        <v>ULIF 010 04/01/07 WLA 110</v>
      </c>
      <c r="E4582" s="8">
        <v>100.3648</v>
      </c>
      <c r="F4582" s="9">
        <v>46147</v>
      </c>
    </row>
    <row r="4583" spans="1:6" ht="90" x14ac:dyDescent="0.25">
      <c r="A4583" s="8" t="s">
        <v>63</v>
      </c>
      <c r="B4583" s="11" t="s">
        <v>78</v>
      </c>
      <c r="C4583" s="8" t="str">
        <f>IFERROR(_xlfn.XLOOKUP(TRIM(B4583),Lookup!$B$2:$B$1000,Lookup!$C$2:$C$1000),"")</f>
        <v>Balanced - Equity Oriented</v>
      </c>
      <c r="D4583" s="8" t="str">
        <f>IFERROR(INDEX('nav master'!$C:$C, MATCH(B4583, 'nav master'!$B:$B, 0)), "")</f>
        <v>ULIF 010 04/01/07 WLA 110</v>
      </c>
      <c r="E4583" s="8">
        <v>101.6829</v>
      </c>
      <c r="F4583" s="9">
        <v>46148</v>
      </c>
    </row>
    <row r="4584" spans="1:6" ht="90" x14ac:dyDescent="0.25">
      <c r="A4584" s="8" t="s">
        <v>63</v>
      </c>
      <c r="B4584" s="11" t="s">
        <v>78</v>
      </c>
      <c r="C4584" s="8" t="str">
        <f>IFERROR(_xlfn.XLOOKUP(TRIM(B4584),Lookup!$B$2:$B$1000,Lookup!$C$2:$C$1000),"")</f>
        <v>Balanced - Equity Oriented</v>
      </c>
      <c r="D4584" s="8" t="str">
        <f>IFERROR(INDEX('nav master'!$C:$C, MATCH(B4584, 'nav master'!$B:$B, 0)), "")</f>
        <v>ULIF 010 04/01/07 WLA 110</v>
      </c>
      <c r="E4584" s="8">
        <v>102.3207</v>
      </c>
      <c r="F4584" s="9">
        <v>46149</v>
      </c>
    </row>
    <row r="4585" spans="1:6" ht="90" x14ac:dyDescent="0.25">
      <c r="A4585" s="8" t="s">
        <v>63</v>
      </c>
      <c r="B4585" s="11" t="s">
        <v>78</v>
      </c>
      <c r="C4585" s="8" t="str">
        <f>IFERROR(_xlfn.XLOOKUP(TRIM(B4585),Lookup!$B$2:$B$1000,Lookup!$C$2:$C$1000),"")</f>
        <v>Balanced - Equity Oriented</v>
      </c>
      <c r="D4585" s="8" t="str">
        <f>IFERROR(INDEX('nav master'!$C:$C, MATCH(B4585, 'nav master'!$B:$B, 0)), "")</f>
        <v>ULIF 010 04/01/07 WLA 110</v>
      </c>
      <c r="E4585" s="8">
        <v>102.1675</v>
      </c>
      <c r="F4585" s="9">
        <v>46150</v>
      </c>
    </row>
    <row r="4586" spans="1:6" ht="90" x14ac:dyDescent="0.25">
      <c r="A4586" s="8" t="s">
        <v>63</v>
      </c>
      <c r="B4586" s="11" t="s">
        <v>78</v>
      </c>
      <c r="C4586" s="8" t="str">
        <f>IFERROR(_xlfn.XLOOKUP(TRIM(B4586),Lookup!$B$2:$B$1000,Lookup!$C$2:$C$1000),"")</f>
        <v>Balanced - Equity Oriented</v>
      </c>
      <c r="D4586" s="8" t="str">
        <f>IFERROR(INDEX('nav master'!$C:$C, MATCH(B4586, 'nav master'!$B:$B, 0)), "")</f>
        <v>ULIF 010 04/01/07 WLA 110</v>
      </c>
      <c r="E4586" s="8">
        <v>101.34350000000001</v>
      </c>
      <c r="F4586" s="9">
        <v>46153</v>
      </c>
    </row>
    <row r="4587" spans="1:6" ht="90" x14ac:dyDescent="0.25">
      <c r="A4587" s="8" t="s">
        <v>63</v>
      </c>
      <c r="B4587" s="11" t="s">
        <v>78</v>
      </c>
      <c r="C4587" s="8" t="str">
        <f>IFERROR(_xlfn.XLOOKUP(TRIM(B4587),Lookup!$B$2:$B$1000,Lookup!$C$2:$C$1000),"")</f>
        <v>Balanced - Equity Oriented</v>
      </c>
      <c r="D4587" s="8" t="str">
        <f>IFERROR(INDEX('nav master'!$C:$C, MATCH(B4587, 'nav master'!$B:$B, 0)), "")</f>
        <v>ULIF 010 04/01/07 WLA 110</v>
      </c>
      <c r="E4587" s="8">
        <v>99.790700000000001</v>
      </c>
      <c r="F4587" s="9">
        <v>46154</v>
      </c>
    </row>
    <row r="4588" spans="1:6" ht="90" x14ac:dyDescent="0.25">
      <c r="A4588" s="8" t="s">
        <v>63</v>
      </c>
      <c r="B4588" s="11" t="s">
        <v>78</v>
      </c>
      <c r="C4588" s="8" t="str">
        <f>IFERROR(_xlfn.XLOOKUP(TRIM(B4588),Lookup!$B$2:$B$1000,Lookup!$C$2:$C$1000),"")</f>
        <v>Balanced - Equity Oriented</v>
      </c>
      <c r="D4588" s="8" t="str">
        <f>IFERROR(INDEX('nav master'!$C:$C, MATCH(B4588, 'nav master'!$B:$B, 0)), "")</f>
        <v>ULIF 010 04/01/07 WLA 110</v>
      </c>
      <c r="E4588" s="8">
        <v>99.915800000000004</v>
      </c>
      <c r="F4588" s="9">
        <v>46155</v>
      </c>
    </row>
    <row r="4589" spans="1:6" ht="90" x14ac:dyDescent="0.25">
      <c r="A4589" s="8" t="s">
        <v>63</v>
      </c>
      <c r="B4589" s="11" t="s">
        <v>78</v>
      </c>
      <c r="C4589" s="8" t="str">
        <f>IFERROR(_xlfn.XLOOKUP(TRIM(B4589),Lookup!$B$2:$B$1000,Lookup!$C$2:$C$1000),"")</f>
        <v>Balanced - Equity Oriented</v>
      </c>
      <c r="D4589" s="8" t="str">
        <f>IFERROR(INDEX('nav master'!$C:$C, MATCH(B4589, 'nav master'!$B:$B, 0)), "")</f>
        <v>ULIF 010 04/01/07 WLA 110</v>
      </c>
      <c r="E4589" s="8">
        <v>100.7488</v>
      </c>
      <c r="F4589" s="9">
        <v>46156</v>
      </c>
    </row>
    <row r="4590" spans="1:6" ht="90" x14ac:dyDescent="0.25">
      <c r="A4590" s="8" t="s">
        <v>63</v>
      </c>
      <c r="B4590" s="11" t="s">
        <v>78</v>
      </c>
      <c r="C4590" s="8" t="str">
        <f>IFERROR(_xlfn.XLOOKUP(TRIM(B4590),Lookup!$B$2:$B$1000,Lookup!$C$2:$C$1000),"")</f>
        <v>Balanced - Equity Oriented</v>
      </c>
      <c r="D4590" s="8" t="str">
        <f>IFERROR(INDEX('nav master'!$C:$C, MATCH(B4590, 'nav master'!$B:$B, 0)), "")</f>
        <v>ULIF 010 04/01/07 WLA 110</v>
      </c>
      <c r="E4590" s="8">
        <v>100.7748</v>
      </c>
      <c r="F4590" s="9">
        <v>46157</v>
      </c>
    </row>
    <row r="4591" spans="1:6" ht="90" x14ac:dyDescent="0.25">
      <c r="A4591" s="8" t="s">
        <v>63</v>
      </c>
      <c r="B4591" s="11" t="s">
        <v>78</v>
      </c>
      <c r="C4591" s="8" t="str">
        <f>IFERROR(_xlfn.XLOOKUP(TRIM(B4591),Lookup!$B$2:$B$1000,Lookup!$C$2:$C$1000),"")</f>
        <v>Balanced - Equity Oriented</v>
      </c>
      <c r="D4591" s="8" t="str">
        <f>IFERROR(INDEX('nav master'!$C:$C, MATCH(B4591, 'nav master'!$B:$B, 0)), "")</f>
        <v>ULIF 010 04/01/07 WLA 110</v>
      </c>
      <c r="E4591" s="8">
        <v>100.2022</v>
      </c>
      <c r="F4591" s="9">
        <v>46160</v>
      </c>
    </row>
    <row r="4592" spans="1:6" ht="90" x14ac:dyDescent="0.25">
      <c r="A4592" s="8" t="s">
        <v>63</v>
      </c>
      <c r="B4592" s="11" t="s">
        <v>78</v>
      </c>
      <c r="C4592" s="8" t="str">
        <f>IFERROR(_xlfn.XLOOKUP(TRIM(B4592),Lookup!$B$2:$B$1000,Lookup!$C$2:$C$1000),"")</f>
        <v>Balanced - Equity Oriented</v>
      </c>
      <c r="D4592" s="8" t="str">
        <f>IFERROR(INDEX('nav master'!$C:$C, MATCH(B4592, 'nav master'!$B:$B, 0)), "")</f>
        <v>ULIF 010 04/01/07 WLA 110</v>
      </c>
      <c r="E4592" s="8">
        <v>100.905</v>
      </c>
      <c r="F4592" s="9">
        <v>46161</v>
      </c>
    </row>
    <row r="4593" spans="1:6" ht="90" x14ac:dyDescent="0.25">
      <c r="A4593" s="8" t="s">
        <v>63</v>
      </c>
      <c r="B4593" s="11" t="s">
        <v>78</v>
      </c>
      <c r="C4593" s="8" t="str">
        <f>IFERROR(_xlfn.XLOOKUP(TRIM(B4593),Lookup!$B$2:$B$1000,Lookup!$C$2:$C$1000),"")</f>
        <v>Balanced - Equity Oriented</v>
      </c>
      <c r="D4593" s="8" t="str">
        <f>IFERROR(INDEX('nav master'!$C:$C, MATCH(B4593, 'nav master'!$B:$B, 0)), "")</f>
        <v>ULIF 010 04/01/07 WLA 110</v>
      </c>
      <c r="E4593" s="8">
        <v>101.0878</v>
      </c>
      <c r="F4593" s="9">
        <v>46162</v>
      </c>
    </row>
    <row r="4594" spans="1:6" ht="90" x14ac:dyDescent="0.25">
      <c r="A4594" s="8" t="s">
        <v>63</v>
      </c>
      <c r="B4594" s="11" t="s">
        <v>78</v>
      </c>
      <c r="C4594" s="8" t="str">
        <f>IFERROR(_xlfn.XLOOKUP(TRIM(B4594),Lookup!$B$2:$B$1000,Lookup!$C$2:$C$1000),"")</f>
        <v>Balanced - Equity Oriented</v>
      </c>
      <c r="D4594" s="8" t="str">
        <f>IFERROR(INDEX('nav master'!$C:$C, MATCH(B4594, 'nav master'!$B:$B, 0)), "")</f>
        <v>ULIF 010 04/01/07 WLA 110</v>
      </c>
      <c r="E4594" s="8">
        <v>100.9037</v>
      </c>
      <c r="F4594" s="9">
        <v>46163</v>
      </c>
    </row>
    <row r="4595" spans="1:6" ht="90" x14ac:dyDescent="0.25">
      <c r="A4595" s="8" t="s">
        <v>63</v>
      </c>
      <c r="B4595" s="11" t="s">
        <v>78</v>
      </c>
      <c r="C4595" s="8" t="str">
        <f>IFERROR(_xlfn.XLOOKUP(TRIM(B4595),Lookup!$B$2:$B$1000,Lookup!$C$2:$C$1000),"")</f>
        <v>Balanced - Equity Oriented</v>
      </c>
      <c r="D4595" s="8" t="str">
        <f>IFERROR(INDEX('nav master'!$C:$C, MATCH(B4595, 'nav master'!$B:$B, 0)), "")</f>
        <v>ULIF 010 04/01/07 WLA 110</v>
      </c>
      <c r="E4595" s="8">
        <v>100.91759999999999</v>
      </c>
      <c r="F4595" s="9">
        <v>46164</v>
      </c>
    </row>
    <row r="4596" spans="1:6" ht="90" x14ac:dyDescent="0.25">
      <c r="A4596" s="8" t="s">
        <v>63</v>
      </c>
      <c r="B4596" s="11" t="s">
        <v>78</v>
      </c>
      <c r="C4596" s="8" t="str">
        <f>IFERROR(_xlfn.XLOOKUP(TRIM(B4596),Lookup!$B$2:$B$1000,Lookup!$C$2:$C$1000),"")</f>
        <v>Balanced - Equity Oriented</v>
      </c>
      <c r="D4596" s="8" t="str">
        <f>IFERROR(INDEX('nav master'!$C:$C, MATCH(B4596, 'nav master'!$B:$B, 0)), "")</f>
        <v>ULIF 010 04/01/07 WLA 110</v>
      </c>
      <c r="E4596" s="8">
        <v>101.5528</v>
      </c>
      <c r="F4596" s="9">
        <v>46167</v>
      </c>
    </row>
    <row r="4597" spans="1:6" ht="90" x14ac:dyDescent="0.25">
      <c r="A4597" s="8" t="s">
        <v>63</v>
      </c>
      <c r="B4597" s="11" t="s">
        <v>78</v>
      </c>
      <c r="C4597" s="8" t="str">
        <f>IFERROR(_xlfn.XLOOKUP(TRIM(B4597),Lookup!$B$2:$B$1000,Lookup!$C$2:$C$1000),"")</f>
        <v>Balanced - Equity Oriented</v>
      </c>
      <c r="D4597" s="8" t="str">
        <f>IFERROR(INDEX('nav master'!$C:$C, MATCH(B4597, 'nav master'!$B:$B, 0)), "")</f>
        <v>ULIF 010 04/01/07 WLA 110</v>
      </c>
      <c r="E4597" s="8">
        <v>101.7743</v>
      </c>
      <c r="F4597" s="9">
        <v>46168</v>
      </c>
    </row>
    <row r="4598" spans="1:6" ht="90" x14ac:dyDescent="0.25">
      <c r="A4598" s="8" t="s">
        <v>63</v>
      </c>
      <c r="B4598" s="11" t="s">
        <v>78</v>
      </c>
      <c r="C4598" s="8" t="str">
        <f>IFERROR(_xlfn.XLOOKUP(TRIM(B4598),Lookup!$B$2:$B$1000,Lookup!$C$2:$C$1000),"")</f>
        <v>Balanced - Equity Oriented</v>
      </c>
      <c r="D4598" s="8" t="str">
        <f>IFERROR(INDEX('nav master'!$C:$C, MATCH(B4598, 'nav master'!$B:$B, 0)), "")</f>
        <v>ULIF 010 04/01/07 WLA 110</v>
      </c>
      <c r="E4598" s="8">
        <v>101.40300000000001</v>
      </c>
      <c r="F4598" s="9">
        <v>46169</v>
      </c>
    </row>
    <row r="4599" spans="1:6" ht="90" x14ac:dyDescent="0.25">
      <c r="A4599" s="8" t="s">
        <v>63</v>
      </c>
      <c r="B4599" s="11" t="s">
        <v>78</v>
      </c>
      <c r="C4599" s="8" t="str">
        <f>IFERROR(_xlfn.XLOOKUP(TRIM(B4599),Lookup!$B$2:$B$1000,Lookup!$C$2:$C$1000),"")</f>
        <v>Balanced - Equity Oriented</v>
      </c>
      <c r="D4599" s="8" t="str">
        <f>IFERROR(INDEX('nav master'!$C:$C, MATCH(B4599, 'nav master'!$B:$B, 0)), "")</f>
        <v>ULIF 010 04/01/07 WLA 110</v>
      </c>
      <c r="E4599" s="8">
        <v>100.7833</v>
      </c>
      <c r="F4599" s="9">
        <v>46171</v>
      </c>
    </row>
    <row r="4600" spans="1:6" ht="90" x14ac:dyDescent="0.25">
      <c r="A4600" s="8" t="s">
        <v>63</v>
      </c>
      <c r="B4600" s="11" t="s">
        <v>78</v>
      </c>
      <c r="C4600" s="8" t="str">
        <f>IFERROR(_xlfn.XLOOKUP(TRIM(B4600),Lookup!$B$2:$B$1000,Lookup!$C$2:$C$1000),"")</f>
        <v>Balanced - Equity Oriented</v>
      </c>
      <c r="D4600" s="8" t="str">
        <f>IFERROR(INDEX('nav master'!$C:$C, MATCH(B4600, 'nav master'!$B:$B, 0)), "")</f>
        <v>ULIF 010 04/01/07 WLA 110</v>
      </c>
      <c r="E4600" s="8">
        <v>100.4363</v>
      </c>
      <c r="F4600" s="9">
        <v>46174</v>
      </c>
    </row>
    <row r="4601" spans="1:6" ht="90" x14ac:dyDescent="0.25">
      <c r="A4601" s="8" t="s">
        <v>63</v>
      </c>
      <c r="B4601" s="11" t="s">
        <v>78</v>
      </c>
      <c r="C4601" s="8" t="str">
        <f>IFERROR(_xlfn.XLOOKUP(TRIM(B4601),Lookup!$B$2:$B$1000,Lookup!$C$2:$C$1000),"")</f>
        <v>Balanced - Equity Oriented</v>
      </c>
      <c r="D4601" s="8" t="str">
        <f>IFERROR(INDEX('nav master'!$C:$C, MATCH(B4601, 'nav master'!$B:$B, 0)), "")</f>
        <v>ULIF 010 04/01/07 WLA 110</v>
      </c>
      <c r="E4601" s="8">
        <v>100.34739999999999</v>
      </c>
      <c r="F4601" s="9">
        <v>46175</v>
      </c>
    </row>
    <row r="4602" spans="1:6" ht="90" x14ac:dyDescent="0.25">
      <c r="A4602" s="8" t="s">
        <v>63</v>
      </c>
      <c r="B4602" s="11" t="s">
        <v>78</v>
      </c>
      <c r="C4602" s="8" t="str">
        <f>IFERROR(_xlfn.XLOOKUP(TRIM(B4602),Lookup!$B$2:$B$1000,Lookup!$C$2:$C$1000),"")</f>
        <v>Balanced - Equity Oriented</v>
      </c>
      <c r="D4602" s="8" t="str">
        <f>IFERROR(INDEX('nav master'!$C:$C, MATCH(B4602, 'nav master'!$B:$B, 0)), "")</f>
        <v>ULIF 010 04/01/07 WLA 110</v>
      </c>
      <c r="E4602" s="8">
        <v>100.4242</v>
      </c>
      <c r="F4602" s="9">
        <v>46176</v>
      </c>
    </row>
    <row r="4603" spans="1:6" ht="90" x14ac:dyDescent="0.25">
      <c r="A4603" s="8" t="s">
        <v>63</v>
      </c>
      <c r="B4603" s="11" t="s">
        <v>78</v>
      </c>
      <c r="C4603" s="8" t="str">
        <f>IFERROR(_xlfn.XLOOKUP(TRIM(B4603),Lookup!$B$2:$B$1000,Lookup!$C$2:$C$1000),"")</f>
        <v>Balanced - Equity Oriented</v>
      </c>
      <c r="D4603" s="8" t="str">
        <f>IFERROR(INDEX('nav master'!$C:$C, MATCH(B4603, 'nav master'!$B:$B, 0)), "")</f>
        <v>ULIF 010 04/01/07 WLA 110</v>
      </c>
      <c r="E4603" s="8">
        <v>100.8359</v>
      </c>
      <c r="F4603" s="9">
        <v>46177</v>
      </c>
    </row>
    <row r="4604" spans="1:6" ht="90" x14ac:dyDescent="0.25">
      <c r="A4604" s="8" t="s">
        <v>63</v>
      </c>
      <c r="B4604" s="11" t="s">
        <v>78</v>
      </c>
      <c r="C4604" s="8" t="str">
        <f>IFERROR(_xlfn.XLOOKUP(TRIM(B4604),Lookup!$B$2:$B$1000,Lookup!$C$2:$C$1000),"")</f>
        <v>Balanced - Equity Oriented</v>
      </c>
      <c r="D4604" s="8" t="str">
        <f>IFERROR(INDEX('nav master'!$C:$C, MATCH(B4604, 'nav master'!$B:$B, 0)), "")</f>
        <v>ULIF 010 04/01/07 WLA 110</v>
      </c>
      <c r="E4604" s="8">
        <v>100.4858</v>
      </c>
      <c r="F4604" s="9">
        <v>46178</v>
      </c>
    </row>
    <row r="4605" spans="1:6" ht="90" x14ac:dyDescent="0.25">
      <c r="A4605" s="8" t="s">
        <v>63</v>
      </c>
      <c r="B4605" s="11" t="s">
        <v>78</v>
      </c>
      <c r="C4605" s="8" t="str">
        <f>IFERROR(_xlfn.XLOOKUP(TRIM(B4605),Lookup!$B$2:$B$1000,Lookup!$C$2:$C$1000),"")</f>
        <v>Balanced - Equity Oriented</v>
      </c>
      <c r="D4605" s="8" t="str">
        <f>IFERROR(INDEX('nav master'!$C:$C, MATCH(B4605, 'nav master'!$B:$B, 0)), "")</f>
        <v>ULIF 010 04/01/07 WLA 110</v>
      </c>
      <c r="E4605" s="8">
        <v>99.718900000000005</v>
      </c>
      <c r="F4605" s="9">
        <v>46181</v>
      </c>
    </row>
    <row r="4606" spans="1:6" ht="90" x14ac:dyDescent="0.25">
      <c r="A4606" s="8" t="s">
        <v>63</v>
      </c>
      <c r="B4606" s="11" t="s">
        <v>78</v>
      </c>
      <c r="C4606" s="8" t="str">
        <f>IFERROR(_xlfn.XLOOKUP(TRIM(B4606),Lookup!$B$2:$B$1000,Lookup!$C$2:$C$1000),"")</f>
        <v>Balanced - Equity Oriented</v>
      </c>
      <c r="D4606" s="8" t="str">
        <f>IFERROR(INDEX('nav master'!$C:$C, MATCH(B4606, 'nav master'!$B:$B, 0)), "")</f>
        <v>ULIF 010 04/01/07 WLA 110</v>
      </c>
      <c r="E4606" s="8">
        <v>100.1812</v>
      </c>
      <c r="F4606" s="9">
        <v>46182</v>
      </c>
    </row>
    <row r="4607" spans="1:6" ht="90" x14ac:dyDescent="0.25">
      <c r="A4607" s="8" t="s">
        <v>63</v>
      </c>
      <c r="B4607" s="11" t="s">
        <v>78</v>
      </c>
      <c r="C4607" s="8" t="str">
        <f>IFERROR(_xlfn.XLOOKUP(TRIM(B4607),Lookup!$B$2:$B$1000,Lookup!$C$2:$C$1000),"")</f>
        <v>Balanced - Equity Oriented</v>
      </c>
      <c r="D4607" s="8" t="str">
        <f>IFERROR(INDEX('nav master'!$C:$C, MATCH(B4607, 'nav master'!$B:$B, 0)), "")</f>
        <v>ULIF 010 04/01/07 WLA 110</v>
      </c>
      <c r="E4607" s="8">
        <v>99.609800000000007</v>
      </c>
      <c r="F4607" s="9">
        <v>46183</v>
      </c>
    </row>
    <row r="4608" spans="1:6" ht="90" x14ac:dyDescent="0.25">
      <c r="A4608" s="8" t="s">
        <v>63</v>
      </c>
      <c r="B4608" s="11" t="s">
        <v>78</v>
      </c>
      <c r="C4608" s="8" t="str">
        <f>IFERROR(_xlfn.XLOOKUP(TRIM(B4608),Lookup!$B$2:$B$1000,Lookup!$C$2:$C$1000),"")</f>
        <v>Balanced - Equity Oriented</v>
      </c>
      <c r="D4608" s="8" t="str">
        <f>IFERROR(INDEX('nav master'!$C:$C, MATCH(B4608, 'nav master'!$B:$B, 0)), "")</f>
        <v>ULIF 010 04/01/07 WLA 110</v>
      </c>
      <c r="E4608" s="8">
        <v>99.323899999999995</v>
      </c>
      <c r="F4608" s="9">
        <v>46184</v>
      </c>
    </row>
    <row r="4609" spans="1:6" ht="90" x14ac:dyDescent="0.25">
      <c r="A4609" s="8" t="s">
        <v>63</v>
      </c>
      <c r="B4609" s="11" t="s">
        <v>78</v>
      </c>
      <c r="C4609" s="8" t="str">
        <f>IFERROR(_xlfn.XLOOKUP(TRIM(B4609),Lookup!$B$2:$B$1000,Lookup!$C$2:$C$1000),"")</f>
        <v>Balanced - Equity Oriented</v>
      </c>
      <c r="D4609" s="8" t="str">
        <f>IFERROR(INDEX('nav master'!$C:$C, MATCH(B4609, 'nav master'!$B:$B, 0)), "")</f>
        <v>ULIF 010 04/01/07 WLA 110</v>
      </c>
      <c r="E4609" s="8">
        <v>100.8302</v>
      </c>
      <c r="F4609" s="9">
        <v>46185</v>
      </c>
    </row>
    <row r="4610" spans="1:6" ht="90" x14ac:dyDescent="0.25">
      <c r="A4610" s="8" t="s">
        <v>63</v>
      </c>
      <c r="B4610" s="11" t="s">
        <v>78</v>
      </c>
      <c r="C4610" s="8" t="str">
        <f>IFERROR(_xlfn.XLOOKUP(TRIM(B4610),Lookup!$B$2:$B$1000,Lookup!$C$2:$C$1000),"")</f>
        <v>Balanced - Equity Oriented</v>
      </c>
      <c r="D4610" s="8" t="str">
        <f>IFERROR(INDEX('nav master'!$C:$C, MATCH(B4610, 'nav master'!$B:$B, 0)), "")</f>
        <v>ULIF 010 04/01/07 WLA 110</v>
      </c>
      <c r="E4610" s="8">
        <v>101.75660000000001</v>
      </c>
      <c r="F4610" s="9">
        <v>46188</v>
      </c>
    </row>
    <row r="4611" spans="1:6" ht="90" x14ac:dyDescent="0.25">
      <c r="A4611" s="8" t="s">
        <v>63</v>
      </c>
      <c r="B4611" s="11" t="s">
        <v>78</v>
      </c>
      <c r="C4611" s="8" t="str">
        <f>IFERROR(_xlfn.XLOOKUP(TRIM(B4611),Lookup!$B$2:$B$1000,Lookup!$C$2:$C$1000),"")</f>
        <v>Balanced - Equity Oriented</v>
      </c>
      <c r="D4611" s="8" t="str">
        <f>IFERROR(INDEX('nav master'!$C:$C, MATCH(B4611, 'nav master'!$B:$B, 0)), "")</f>
        <v>ULIF 010 04/01/07 WLA 110</v>
      </c>
      <c r="E4611" s="8">
        <v>101.9425</v>
      </c>
      <c r="F4611" s="9">
        <v>46189</v>
      </c>
    </row>
    <row r="4612" spans="1:6" ht="90" x14ac:dyDescent="0.25">
      <c r="A4612" s="8" t="s">
        <v>63</v>
      </c>
      <c r="B4612" s="11" t="s">
        <v>78</v>
      </c>
      <c r="C4612" s="8" t="str">
        <f>IFERROR(_xlfn.XLOOKUP(TRIM(B4612),Lookup!$B$2:$B$1000,Lookup!$C$2:$C$1000),"")</f>
        <v>Balanced - Equity Oriented</v>
      </c>
      <c r="D4612" s="8" t="str">
        <f>IFERROR(INDEX('nav master'!$C:$C, MATCH(B4612, 'nav master'!$B:$B, 0)), "")</f>
        <v>ULIF 010 04/01/07 WLA 110</v>
      </c>
      <c r="E4612" s="8">
        <v>102.071</v>
      </c>
      <c r="F4612" s="9">
        <v>46190</v>
      </c>
    </row>
    <row r="4613" spans="1:6" ht="90" x14ac:dyDescent="0.25">
      <c r="A4613" s="8" t="s">
        <v>63</v>
      </c>
      <c r="B4613" s="11" t="s">
        <v>78</v>
      </c>
      <c r="C4613" s="8" t="str">
        <f>IFERROR(_xlfn.XLOOKUP(TRIM(B4613),Lookup!$B$2:$B$1000,Lookup!$C$2:$C$1000),"")</f>
        <v>Balanced - Equity Oriented</v>
      </c>
      <c r="D4613" s="8" t="str">
        <f>IFERROR(INDEX('nav master'!$C:$C, MATCH(B4613, 'nav master'!$B:$B, 0)), "")</f>
        <v>ULIF 010 04/01/07 WLA 110</v>
      </c>
      <c r="E4613" s="8">
        <v>102.5485</v>
      </c>
      <c r="F4613" s="9">
        <v>46191</v>
      </c>
    </row>
    <row r="4614" spans="1:6" ht="90" x14ac:dyDescent="0.25">
      <c r="A4614" s="8" t="s">
        <v>63</v>
      </c>
      <c r="B4614" s="11" t="s">
        <v>78</v>
      </c>
      <c r="C4614" s="8" t="str">
        <f>IFERROR(_xlfn.XLOOKUP(TRIM(B4614),Lookup!$B$2:$B$1000,Lookup!$C$2:$C$1000),"")</f>
        <v>Balanced - Equity Oriented</v>
      </c>
      <c r="D4614" s="8" t="str">
        <f>IFERROR(INDEX('nav master'!$C:$C, MATCH(B4614, 'nav master'!$B:$B, 0)), "")</f>
        <v>ULIF 010 04/01/07 WLA 110</v>
      </c>
      <c r="E4614" s="8">
        <v>102.5226</v>
      </c>
      <c r="F4614" s="9">
        <v>46192</v>
      </c>
    </row>
    <row r="4615" spans="1:6" ht="90" x14ac:dyDescent="0.25">
      <c r="A4615" s="8" t="s">
        <v>63</v>
      </c>
      <c r="B4615" s="11" t="s">
        <v>78</v>
      </c>
      <c r="C4615" s="8" t="str">
        <f>IFERROR(_xlfn.XLOOKUP(TRIM(B4615),Lookup!$B$2:$B$1000,Lookup!$C$2:$C$1000),"")</f>
        <v>Balanced - Equity Oriented</v>
      </c>
      <c r="D4615" s="8" t="str">
        <f>IFERROR(INDEX('nav master'!$C:$C, MATCH(B4615, 'nav master'!$B:$B, 0)), "")</f>
        <v>ULIF 010 04/01/07 WLA 110</v>
      </c>
      <c r="E4615" s="8">
        <v>103.08159999999999</v>
      </c>
      <c r="F4615" s="9">
        <v>46195</v>
      </c>
    </row>
    <row r="4616" spans="1:6" ht="90" x14ac:dyDescent="0.25">
      <c r="A4616" s="8" t="s">
        <v>63</v>
      </c>
      <c r="B4616" s="11" t="s">
        <v>78</v>
      </c>
      <c r="C4616" s="8" t="str">
        <f>IFERROR(_xlfn.XLOOKUP(TRIM(B4616),Lookup!$B$2:$B$1000,Lookup!$C$2:$C$1000),"")</f>
        <v>Balanced - Equity Oriented</v>
      </c>
      <c r="D4616" s="8" t="str">
        <f>IFERROR(INDEX('nav master'!$C:$C, MATCH(B4616, 'nav master'!$B:$B, 0)), "")</f>
        <v>ULIF 010 04/01/07 WLA 110</v>
      </c>
      <c r="E4616" s="8">
        <v>102.4391</v>
      </c>
      <c r="F4616" s="9">
        <v>46196</v>
      </c>
    </row>
    <row r="4617" spans="1:6" ht="90" x14ac:dyDescent="0.25">
      <c r="A4617" s="8" t="s">
        <v>63</v>
      </c>
      <c r="B4617" s="11" t="s">
        <v>78</v>
      </c>
      <c r="C4617" s="8" t="str">
        <f>IFERROR(_xlfn.XLOOKUP(TRIM(B4617),Lookup!$B$2:$B$1000,Lookup!$C$2:$C$1000),"")</f>
        <v>Balanced - Equity Oriented</v>
      </c>
      <c r="D4617" s="8" t="str">
        <f>IFERROR(INDEX('nav master'!$C:$C, MATCH(B4617, 'nav master'!$B:$B, 0)), "")</f>
        <v>ULIF 010 04/01/07 WLA 110</v>
      </c>
      <c r="E4617" s="8">
        <v>102.9735</v>
      </c>
      <c r="F4617" s="9">
        <v>46197</v>
      </c>
    </row>
    <row r="4618" spans="1:6" ht="90" x14ac:dyDescent="0.25">
      <c r="A4618" s="8" t="s">
        <v>63</v>
      </c>
      <c r="B4618" s="11" t="s">
        <v>78</v>
      </c>
      <c r="C4618" s="8" t="str">
        <f>IFERROR(_xlfn.XLOOKUP(TRIM(B4618),Lookup!$B$2:$B$1000,Lookup!$C$2:$C$1000),"")</f>
        <v>Balanced - Equity Oriented</v>
      </c>
      <c r="D4618" s="8" t="str">
        <f>IFERROR(INDEX('nav master'!$C:$C, MATCH(B4618, 'nav master'!$B:$B, 0)), "")</f>
        <v>ULIF 010 04/01/07 WLA 110</v>
      </c>
      <c r="E4618" s="8">
        <v>102.7801</v>
      </c>
      <c r="F4618" s="9">
        <v>46198</v>
      </c>
    </row>
    <row r="4619" spans="1:6" ht="90" x14ac:dyDescent="0.25">
      <c r="A4619" s="8" t="s">
        <v>63</v>
      </c>
      <c r="B4619" s="11" t="s">
        <v>78</v>
      </c>
      <c r="C4619" s="8" t="str">
        <f>IFERROR(_xlfn.XLOOKUP(TRIM(B4619),Lookup!$B$2:$B$1000,Lookup!$C$2:$C$1000),"")</f>
        <v>Balanced - Equity Oriented</v>
      </c>
      <c r="D4619" s="8" t="str">
        <f>IFERROR(INDEX('nav master'!$C:$C, MATCH(B4619, 'nav master'!$B:$B, 0)), "")</f>
        <v>ULIF 010 04/01/07 WLA 110</v>
      </c>
      <c r="E4619" s="8">
        <v>102.5493</v>
      </c>
      <c r="F4619" s="9">
        <v>46202</v>
      </c>
    </row>
    <row r="4620" spans="1:6" ht="90" x14ac:dyDescent="0.25">
      <c r="A4620" s="8" t="s">
        <v>63</v>
      </c>
      <c r="B4620" s="11" t="s">
        <v>78</v>
      </c>
      <c r="C4620" s="8" t="str">
        <f>IFERROR(_xlfn.XLOOKUP(TRIM(B4620),Lookup!$B$2:$B$1000,Lookup!$C$2:$C$1000),"")</f>
        <v>Balanced - Equity Oriented</v>
      </c>
      <c r="D4620" s="8" t="str">
        <f>IFERROR(INDEX('nav master'!$C:$C, MATCH(B4620, 'nav master'!$B:$B, 0)), "")</f>
        <v>ULIF 010 04/01/07 WLA 110</v>
      </c>
      <c r="E4620" s="8">
        <v>102.881</v>
      </c>
      <c r="F4620" s="9">
        <v>46203</v>
      </c>
    </row>
    <row r="4621" spans="1:6" ht="90" x14ac:dyDescent="0.25">
      <c r="A4621" s="8" t="s">
        <v>63</v>
      </c>
      <c r="B4621" s="11" t="s">
        <v>78</v>
      </c>
      <c r="C4621" s="8" t="str">
        <f>IFERROR(_xlfn.XLOOKUP(TRIM(B4621),Lookup!$B$2:$B$1000,Lookup!$C$2:$C$1000),"")</f>
        <v>Balanced - Equity Oriented</v>
      </c>
      <c r="D4621" s="8" t="str">
        <f>IFERROR(INDEX('nav master'!$C:$C, MATCH(B4621, 'nav master'!$B:$B, 0)), "")</f>
        <v>ULIF 010 04/01/07 WLA 110</v>
      </c>
      <c r="E4621" s="8">
        <v>103.145</v>
      </c>
      <c r="F4621" s="9">
        <v>46204</v>
      </c>
    </row>
    <row r="4622" spans="1:6" ht="90" x14ac:dyDescent="0.25">
      <c r="A4622" s="8" t="s">
        <v>63</v>
      </c>
      <c r="B4622" s="11" t="s">
        <v>78</v>
      </c>
      <c r="C4622" s="8" t="str">
        <f>IFERROR(_xlfn.XLOOKUP(TRIM(B4622),Lookup!$B$2:$B$1000,Lookup!$C$2:$C$1000),"")</f>
        <v>Balanced - Equity Oriented</v>
      </c>
      <c r="D4622" s="8" t="str">
        <f>IFERROR(INDEX('nav master'!$C:$C, MATCH(B4622, 'nav master'!$B:$B, 0)), "")</f>
        <v>ULIF 010 04/01/07 WLA 110</v>
      </c>
      <c r="E4622" s="8">
        <v>103.63079999999999</v>
      </c>
      <c r="F4622" s="9">
        <v>46205</v>
      </c>
    </row>
    <row r="4623" spans="1:6" ht="90" x14ac:dyDescent="0.25">
      <c r="A4623" s="8" t="s">
        <v>63</v>
      </c>
      <c r="B4623" s="11" t="s">
        <v>78</v>
      </c>
      <c r="C4623" s="8" t="str">
        <f>IFERROR(_xlfn.XLOOKUP(TRIM(B4623),Lookup!$B$2:$B$1000,Lookup!$C$2:$C$1000),"")</f>
        <v>Balanced - Equity Oriented</v>
      </c>
      <c r="D4623" s="8" t="str">
        <f>IFERROR(INDEX('nav master'!$C:$C, MATCH(B4623, 'nav master'!$B:$B, 0)), "")</f>
        <v>ULIF 010 04/01/07 WLA 110</v>
      </c>
      <c r="E4623" s="8">
        <v>103.3672</v>
      </c>
      <c r="F4623" s="9">
        <v>46206</v>
      </c>
    </row>
    <row r="4624" spans="1:6" ht="90" x14ac:dyDescent="0.25">
      <c r="A4624" s="8" t="s">
        <v>63</v>
      </c>
      <c r="B4624" s="11" t="s">
        <v>78</v>
      </c>
      <c r="C4624" s="8" t="str">
        <f>IFERROR(_xlfn.XLOOKUP(TRIM(B4624),Lookup!$B$2:$B$1000,Lookup!$C$2:$C$1000),"")</f>
        <v>Balanced - Equity Oriented</v>
      </c>
      <c r="D4624" s="8" t="str">
        <f>IFERROR(INDEX('nav master'!$C:$C, MATCH(B4624, 'nav master'!$B:$B, 0)), "")</f>
        <v>ULIF 010 04/01/07 WLA 110</v>
      </c>
      <c r="E4624" s="8">
        <v>104.0702</v>
      </c>
      <c r="F4624" s="9">
        <v>46209</v>
      </c>
    </row>
    <row r="4625" spans="1:6" ht="90" x14ac:dyDescent="0.25">
      <c r="A4625" s="8" t="s">
        <v>63</v>
      </c>
      <c r="B4625" s="11" t="s">
        <v>78</v>
      </c>
      <c r="C4625" s="8" t="str">
        <f>IFERROR(_xlfn.XLOOKUP(TRIM(B4625),Lookup!$B$2:$B$1000,Lookup!$C$2:$C$1000),"")</f>
        <v>Balanced - Equity Oriented</v>
      </c>
      <c r="D4625" s="8" t="str">
        <f>IFERROR(INDEX('nav master'!$C:$C, MATCH(B4625, 'nav master'!$B:$B, 0)), "")</f>
        <v>ULIF 010 04/01/07 WLA 110</v>
      </c>
      <c r="E4625" s="8">
        <v>103.8381</v>
      </c>
      <c r="F4625" s="9">
        <v>46210</v>
      </c>
    </row>
    <row r="4626" spans="1:6" ht="90" x14ac:dyDescent="0.25">
      <c r="A4626" s="8" t="s">
        <v>63</v>
      </c>
      <c r="B4626" s="11" t="s">
        <v>78</v>
      </c>
      <c r="C4626" s="8" t="str">
        <f>IFERROR(_xlfn.XLOOKUP(TRIM(B4626),Lookup!$B$2:$B$1000,Lookup!$C$2:$C$1000),"")</f>
        <v>Balanced - Equity Oriented</v>
      </c>
      <c r="D4626" s="8" t="str">
        <f>IFERROR(INDEX('nav master'!$C:$C, MATCH(B4626, 'nav master'!$B:$B, 0)), "")</f>
        <v>ULIF 010 04/01/07 WLA 110</v>
      </c>
      <c r="E4626" s="8">
        <v>102.80119999999999</v>
      </c>
      <c r="F4626" s="9">
        <v>46211</v>
      </c>
    </row>
    <row r="4627" spans="1:6" ht="90" x14ac:dyDescent="0.25">
      <c r="A4627" s="8" t="s">
        <v>63</v>
      </c>
      <c r="B4627" s="11" t="s">
        <v>78</v>
      </c>
      <c r="C4627" s="8" t="str">
        <f>IFERROR(_xlfn.XLOOKUP(TRIM(B4627),Lookup!$B$2:$B$1000,Lookup!$C$2:$C$1000),"")</f>
        <v>Balanced - Equity Oriented</v>
      </c>
      <c r="D4627" s="8" t="str">
        <f>IFERROR(INDEX('nav master'!$C:$C, MATCH(B4627, 'nav master'!$B:$B, 0)), "")</f>
        <v>ULIF 010 04/01/07 WLA 110</v>
      </c>
      <c r="E4627" s="8">
        <v>103.65389999999999</v>
      </c>
      <c r="F4627" s="9">
        <v>46212</v>
      </c>
    </row>
    <row r="4628" spans="1:6" ht="90" x14ac:dyDescent="0.25">
      <c r="A4628" s="8" t="s">
        <v>63</v>
      </c>
      <c r="B4628" s="11" t="s">
        <v>78</v>
      </c>
      <c r="C4628" s="8" t="str">
        <f>IFERROR(_xlfn.XLOOKUP(TRIM(B4628),Lookup!$B$2:$B$1000,Lookup!$C$2:$C$1000),"")</f>
        <v>Balanced - Equity Oriented</v>
      </c>
      <c r="D4628" s="8" t="str">
        <f>IFERROR(INDEX('nav master'!$C:$C, MATCH(B4628, 'nav master'!$B:$B, 0)), "")</f>
        <v>ULIF 010 04/01/07 WLA 110</v>
      </c>
      <c r="E4628" s="8">
        <v>104.4919</v>
      </c>
      <c r="F4628" s="9">
        <v>46213</v>
      </c>
    </row>
    <row r="4629" spans="1:6" ht="90" x14ac:dyDescent="0.25">
      <c r="A4629" s="8" t="s">
        <v>63</v>
      </c>
      <c r="B4629" s="11" t="s">
        <v>78</v>
      </c>
      <c r="C4629" s="8" t="str">
        <f>IFERROR(_xlfn.XLOOKUP(TRIM(B4629),Lookup!$B$2:$B$1000,Lookup!$C$2:$C$1000),"")</f>
        <v>Balanced - Equity Oriented</v>
      </c>
      <c r="D4629" s="8" t="str">
        <f>IFERROR(INDEX('nav master'!$C:$C, MATCH(B4629, 'nav master'!$B:$B, 0)), "")</f>
        <v>ULIF 010 04/01/07 WLA 110</v>
      </c>
      <c r="E4629" s="8">
        <v>104.6395</v>
      </c>
      <c r="F4629" s="9">
        <v>46216</v>
      </c>
    </row>
    <row r="4630" spans="1:6" ht="90" x14ac:dyDescent="0.25">
      <c r="A4630" s="8" t="s">
        <v>63</v>
      </c>
      <c r="B4630" s="11" t="s">
        <v>78</v>
      </c>
      <c r="C4630" s="8" t="str">
        <f>IFERROR(_xlfn.XLOOKUP(TRIM(B4630),Lookup!$B$2:$B$1000,Lookup!$C$2:$C$1000),"")</f>
        <v>Balanced - Equity Oriented</v>
      </c>
      <c r="D4630" s="8" t="str">
        <f>IFERROR(INDEX('nav master'!$C:$C, MATCH(B4630, 'nav master'!$B:$B, 0)), "")</f>
        <v>ULIF 010 04/01/07 WLA 110</v>
      </c>
      <c r="E4630" s="8">
        <v>103.99630000000001</v>
      </c>
      <c r="F4630" s="9">
        <v>46217</v>
      </c>
    </row>
    <row r="4631" spans="1:6" ht="90" x14ac:dyDescent="0.25">
      <c r="A4631" s="8" t="s">
        <v>63</v>
      </c>
      <c r="B4631" s="11" t="s">
        <v>78</v>
      </c>
      <c r="C4631" s="8" t="str">
        <f>IFERROR(_xlfn.XLOOKUP(TRIM(B4631),Lookup!$B$2:$B$1000,Lookup!$C$2:$C$1000),"")</f>
        <v>Balanced - Equity Oriented</v>
      </c>
      <c r="D4631" s="8" t="str">
        <f>IFERROR(INDEX('nav master'!$C:$C, MATCH(B4631, 'nav master'!$B:$B, 0)), "")</f>
        <v>ULIF 010 04/01/07 WLA 110</v>
      </c>
      <c r="E4631" s="8">
        <v>104.16679999999999</v>
      </c>
      <c r="F4631" s="9">
        <v>46218</v>
      </c>
    </row>
    <row r="4632" spans="1:6" ht="90" x14ac:dyDescent="0.25">
      <c r="A4632" s="8" t="s">
        <v>63</v>
      </c>
      <c r="B4632" s="11" t="s">
        <v>78</v>
      </c>
      <c r="C4632" s="8" t="str">
        <f>IFERROR(_xlfn.XLOOKUP(TRIM(B4632),Lookup!$B$2:$B$1000,Lookup!$C$2:$C$1000),"")</f>
        <v>Balanced - Equity Oriented</v>
      </c>
      <c r="D4632" s="8" t="str">
        <f>IFERROR(INDEX('nav master'!$C:$C, MATCH(B4632, 'nav master'!$B:$B, 0)), "")</f>
        <v>ULIF 010 04/01/07 WLA 110</v>
      </c>
      <c r="E4632" s="8">
        <v>104.1365</v>
      </c>
      <c r="F4632" s="9">
        <v>46219</v>
      </c>
    </row>
    <row r="4633" spans="1:6" ht="90" x14ac:dyDescent="0.25">
      <c r="A4633" s="8" t="s">
        <v>63</v>
      </c>
      <c r="B4633" s="11" t="s">
        <v>78</v>
      </c>
      <c r="C4633" s="8" t="str">
        <f>IFERROR(_xlfn.XLOOKUP(TRIM(B4633),Lookup!$B$2:$B$1000,Lookup!$C$2:$C$1000),"")</f>
        <v>Balanced - Equity Oriented</v>
      </c>
      <c r="D4633" s="8" t="str">
        <f>IFERROR(INDEX('nav master'!$C:$C, MATCH(B4633, 'nav master'!$B:$B, 0)), "")</f>
        <v>ULIF 010 04/01/07 WLA 110</v>
      </c>
      <c r="E4633" s="8">
        <v>103.9097</v>
      </c>
      <c r="F4633" s="9">
        <v>46220</v>
      </c>
    </row>
    <row r="4634" spans="1:6" ht="90" x14ac:dyDescent="0.25">
      <c r="A4634" s="8" t="s">
        <v>63</v>
      </c>
      <c r="B4634" s="11" t="s">
        <v>78</v>
      </c>
      <c r="C4634" s="8" t="str">
        <f>IFERROR(_xlfn.XLOOKUP(TRIM(B4634),Lookup!$B$2:$B$1000,Lookup!$C$2:$C$1000),"")</f>
        <v>Balanced - Equity Oriented</v>
      </c>
      <c r="D4634" s="8" t="str">
        <f>IFERROR(INDEX('nav master'!$C:$C, MATCH(B4634, 'nav master'!$B:$B, 0)), "")</f>
        <v>ULIF 010 04/01/07 WLA 110</v>
      </c>
      <c r="E4634" s="8">
        <v>104.03019999999999</v>
      </c>
      <c r="F4634" s="9">
        <v>46223</v>
      </c>
    </row>
    <row r="4635" spans="1:6" ht="90" x14ac:dyDescent="0.25">
      <c r="A4635" s="8" t="s">
        <v>63</v>
      </c>
      <c r="B4635" s="11" t="s">
        <v>78</v>
      </c>
      <c r="C4635" s="8" t="str">
        <f>IFERROR(_xlfn.XLOOKUP(TRIM(B4635),Lookup!$B$2:$B$1000,Lookup!$C$2:$C$1000),"")</f>
        <v>Balanced - Equity Oriented</v>
      </c>
      <c r="D4635" s="8" t="str">
        <f>IFERROR(INDEX('nav master'!$C:$C, MATCH(B4635, 'nav master'!$B:$B, 0)), "")</f>
        <v>ULIF 010 04/01/07 WLA 110</v>
      </c>
      <c r="E4635" s="8">
        <v>103.9883</v>
      </c>
      <c r="F4635" s="9">
        <v>46224</v>
      </c>
    </row>
    <row r="4636" spans="1:6" ht="90" x14ac:dyDescent="0.25">
      <c r="A4636" s="8" t="s">
        <v>63</v>
      </c>
      <c r="B4636" s="11" t="s">
        <v>78</v>
      </c>
      <c r="C4636" s="8" t="str">
        <f>IFERROR(_xlfn.XLOOKUP(TRIM(B4636),Lookup!$B$2:$B$1000,Lookup!$C$2:$C$1000),"")</f>
        <v>Balanced - Equity Oriented</v>
      </c>
      <c r="D4636" s="8" t="str">
        <f>IFERROR(INDEX('nav master'!$C:$C, MATCH(B4636, 'nav master'!$B:$B, 0)), "")</f>
        <v>ULIF 010 04/01/07 WLA 110</v>
      </c>
      <c r="E4636" s="8">
        <v>103.2115</v>
      </c>
      <c r="F4636" s="9">
        <v>46225</v>
      </c>
    </row>
    <row r="4637" spans="1:6" ht="90" x14ac:dyDescent="0.25">
      <c r="A4637" s="8" t="s">
        <v>63</v>
      </c>
      <c r="B4637" s="11" t="s">
        <v>78</v>
      </c>
      <c r="C4637" s="8" t="str">
        <f>IFERROR(_xlfn.XLOOKUP(TRIM(B4637),Lookup!$B$2:$B$1000,Lookup!$C$2:$C$1000),"")</f>
        <v>Balanced - Equity Oriented</v>
      </c>
      <c r="D4637" s="8" t="str">
        <f>IFERROR(INDEX('nav master'!$C:$C, MATCH(B4637, 'nav master'!$B:$B, 0)), "")</f>
        <v>ULIF 010 04/01/07 WLA 110</v>
      </c>
      <c r="E4637" s="8">
        <v>102.50709999999999</v>
      </c>
      <c r="F4637" s="9">
        <v>46226</v>
      </c>
    </row>
    <row r="4638" spans="1:6" ht="90" x14ac:dyDescent="0.25">
      <c r="A4638" s="8" t="s">
        <v>63</v>
      </c>
      <c r="B4638" s="11" t="s">
        <v>78</v>
      </c>
      <c r="C4638" s="8" t="str">
        <f>IFERROR(_xlfn.XLOOKUP(TRIM(B4638),Lookup!$B$2:$B$1000,Lookup!$C$2:$C$1000),"")</f>
        <v>Balanced - Equity Oriented</v>
      </c>
      <c r="D4638" s="8" t="str">
        <f>IFERROR(INDEX('nav master'!$C:$C, MATCH(B4638, 'nav master'!$B:$B, 0)), "")</f>
        <v>ULIF 010 04/01/07 WLA 110</v>
      </c>
      <c r="E4638" s="8">
        <v>102.42059999999999</v>
      </c>
      <c r="F4638" s="9">
        <v>46227</v>
      </c>
    </row>
    <row r="4639" spans="1:6" ht="90" x14ac:dyDescent="0.25">
      <c r="A4639" s="8" t="s">
        <v>63</v>
      </c>
      <c r="B4639" s="11" t="s">
        <v>78</v>
      </c>
      <c r="C4639" s="8" t="str">
        <f>IFERROR(_xlfn.XLOOKUP(TRIM(B4639),Lookup!$B$2:$B$1000,Lookup!$C$2:$C$1000),"")</f>
        <v>Balanced - Equity Oriented</v>
      </c>
      <c r="D4639" s="8" t="str">
        <f>IFERROR(INDEX('nav master'!$C:$C, MATCH(B4639, 'nav master'!$B:$B, 0)), "")</f>
        <v>ULIF 010 04/01/07 WLA 110</v>
      </c>
      <c r="E4639" s="8">
        <v>103.0805</v>
      </c>
      <c r="F4639" s="9">
        <v>46230</v>
      </c>
    </row>
    <row r="4640" spans="1:6" ht="90" x14ac:dyDescent="0.25">
      <c r="A4640" s="8" t="s">
        <v>63</v>
      </c>
      <c r="B4640" s="11" t="s">
        <v>78</v>
      </c>
      <c r="C4640" s="8" t="str">
        <f>IFERROR(_xlfn.XLOOKUP(TRIM(B4640),Lookup!$B$2:$B$1000,Lookup!$C$2:$C$1000),"")</f>
        <v>Balanced - Equity Oriented</v>
      </c>
      <c r="D4640" s="8" t="str">
        <f>IFERROR(INDEX('nav master'!$C:$C, MATCH(B4640, 'nav master'!$B:$B, 0)), "")</f>
        <v>ULIF 010 04/01/07 WLA 110</v>
      </c>
      <c r="E4640" s="8">
        <v>103.2531</v>
      </c>
      <c r="F4640" s="9">
        <v>46231</v>
      </c>
    </row>
    <row r="4641" spans="1:6" ht="90" x14ac:dyDescent="0.25">
      <c r="A4641" s="8" t="s">
        <v>63</v>
      </c>
      <c r="B4641" s="11" t="s">
        <v>78</v>
      </c>
      <c r="C4641" s="8" t="str">
        <f>IFERROR(_xlfn.XLOOKUP(TRIM(B4641),Lookup!$B$2:$B$1000,Lookup!$C$2:$C$1000),"")</f>
        <v>Balanced - Equity Oriented</v>
      </c>
      <c r="D4641" s="8" t="str">
        <f>IFERROR(INDEX('nav master'!$C:$C, MATCH(B4641, 'nav master'!$B:$B, 0)), "")</f>
        <v>ULIF 010 04/01/07 WLA 110</v>
      </c>
      <c r="E4641" s="8">
        <v>104.00020000000001</v>
      </c>
      <c r="F4641" s="9">
        <v>46232</v>
      </c>
    </row>
    <row r="4642" spans="1:6" ht="90" x14ac:dyDescent="0.25">
      <c r="A4642" s="8" t="s">
        <v>63</v>
      </c>
      <c r="B4642" s="11" t="s">
        <v>78</v>
      </c>
      <c r="C4642" s="8" t="str">
        <f>IFERROR(_xlfn.XLOOKUP(TRIM(B4642),Lookup!$B$2:$B$1000,Lookup!$C$2:$C$1000),"")</f>
        <v>Balanced - Equity Oriented</v>
      </c>
      <c r="D4642" s="8" t="str">
        <f>IFERROR(INDEX('nav master'!$C:$C, MATCH(B4642, 'nav master'!$B:$B, 0)), "")</f>
        <v>ULIF 010 04/01/07 WLA 110</v>
      </c>
      <c r="E4642" s="8">
        <v>103.8986</v>
      </c>
      <c r="F4642" s="9">
        <v>46233</v>
      </c>
    </row>
    <row r="4643" spans="1:6" ht="90" x14ac:dyDescent="0.25">
      <c r="A4643" s="8" t="s">
        <v>63</v>
      </c>
      <c r="B4643" s="11" t="s">
        <v>78</v>
      </c>
      <c r="C4643" s="8" t="str">
        <f>IFERROR(_xlfn.XLOOKUP(TRIM(B4643),Lookup!$B$2:$B$1000,Lookup!$C$2:$C$1000),"")</f>
        <v>Balanced - Equity Oriented</v>
      </c>
      <c r="D4643" s="8" t="str">
        <f>IFERROR(INDEX('nav master'!$C:$C, MATCH(B4643, 'nav master'!$B:$B, 0)), "")</f>
        <v>ULIF 010 04/01/07 WLA 110</v>
      </c>
      <c r="E4643" s="8">
        <v>104.2427</v>
      </c>
      <c r="F4643" s="9">
        <v>46234</v>
      </c>
    </row>
    <row r="4644" spans="1:6" ht="60" x14ac:dyDescent="0.25">
      <c r="A4644" s="8" t="s">
        <v>63</v>
      </c>
      <c r="B4644" s="8" t="s">
        <v>79</v>
      </c>
      <c r="C4644" s="8" t="str">
        <f>IFERROR(_xlfn.XLOOKUP(TRIM(B4644),Lookup!$B$2:$B$1000,Lookup!$C$2:$C$1000),"")</f>
        <v>Debt</v>
      </c>
      <c r="D4644" s="8" t="str">
        <f>IFERROR(INDEX('nav master'!$C:$C, MATCH(B4644, 'nav master'!$B:$B, 0)), "")</f>
        <v>ULIF 012 04/01/07 WLI 110</v>
      </c>
      <c r="E4644" s="8">
        <v>40.722700000000003</v>
      </c>
      <c r="F4644" s="9">
        <v>45869</v>
      </c>
    </row>
    <row r="4645" spans="1:6" ht="60" x14ac:dyDescent="0.25">
      <c r="A4645" s="8" t="s">
        <v>63</v>
      </c>
      <c r="B4645" s="8" t="s">
        <v>79</v>
      </c>
      <c r="C4645" s="8" t="str">
        <f>IFERROR(_xlfn.XLOOKUP(TRIM(B4645),Lookup!$B$2:$B$1000,Lookup!$C$2:$C$1000),"")</f>
        <v>Debt</v>
      </c>
      <c r="D4645" s="8" t="str">
        <f>IFERROR(INDEX('nav master'!$C:$C, MATCH(B4645, 'nav master'!$B:$B, 0)), "")</f>
        <v>ULIF 012 04/01/07 WLI 110</v>
      </c>
      <c r="E4645" s="8">
        <v>40.759799999999998</v>
      </c>
      <c r="F4645" s="9">
        <v>45870</v>
      </c>
    </row>
    <row r="4646" spans="1:6" ht="60" x14ac:dyDescent="0.25">
      <c r="A4646" s="8" t="s">
        <v>63</v>
      </c>
      <c r="B4646" s="8" t="s">
        <v>79</v>
      </c>
      <c r="C4646" s="8" t="str">
        <f>IFERROR(_xlfn.XLOOKUP(TRIM(B4646),Lookup!$B$2:$B$1000,Lookup!$C$2:$C$1000),"")</f>
        <v>Debt</v>
      </c>
      <c r="D4646" s="8" t="str">
        <f>IFERROR(INDEX('nav master'!$C:$C, MATCH(B4646, 'nav master'!$B:$B, 0)), "")</f>
        <v>ULIF 012 04/01/07 WLI 110</v>
      </c>
      <c r="E4646" s="8">
        <v>40.846299999999999</v>
      </c>
      <c r="F4646" s="9">
        <v>45873</v>
      </c>
    </row>
    <row r="4647" spans="1:6" ht="60" x14ac:dyDescent="0.25">
      <c r="A4647" s="8" t="s">
        <v>63</v>
      </c>
      <c r="B4647" s="8" t="s">
        <v>79</v>
      </c>
      <c r="C4647" s="8" t="str">
        <f>IFERROR(_xlfn.XLOOKUP(TRIM(B4647),Lookup!$B$2:$B$1000,Lookup!$C$2:$C$1000),"")</f>
        <v>Debt</v>
      </c>
      <c r="D4647" s="8" t="str">
        <f>IFERROR(INDEX('nav master'!$C:$C, MATCH(B4647, 'nav master'!$B:$B, 0)), "")</f>
        <v>ULIF 012 04/01/07 WLI 110</v>
      </c>
      <c r="E4647" s="8">
        <v>40.813099999999999</v>
      </c>
      <c r="F4647" s="9">
        <v>45874</v>
      </c>
    </row>
    <row r="4648" spans="1:6" ht="60" x14ac:dyDescent="0.25">
      <c r="A4648" s="8" t="s">
        <v>63</v>
      </c>
      <c r="B4648" s="8" t="s">
        <v>79</v>
      </c>
      <c r="C4648" s="8" t="str">
        <f>IFERROR(_xlfn.XLOOKUP(TRIM(B4648),Lookup!$B$2:$B$1000,Lookup!$C$2:$C$1000),"")</f>
        <v>Debt</v>
      </c>
      <c r="D4648" s="8" t="str">
        <f>IFERROR(INDEX('nav master'!$C:$C, MATCH(B4648, 'nav master'!$B:$B, 0)), "")</f>
        <v>ULIF 012 04/01/07 WLI 110</v>
      </c>
      <c r="E4648" s="8">
        <v>40.633499999999998</v>
      </c>
      <c r="F4648" s="9">
        <v>45875</v>
      </c>
    </row>
    <row r="4649" spans="1:6" ht="60" x14ac:dyDescent="0.25">
      <c r="A4649" s="8" t="s">
        <v>63</v>
      </c>
      <c r="B4649" s="8" t="s">
        <v>79</v>
      </c>
      <c r="C4649" s="8" t="str">
        <f>IFERROR(_xlfn.XLOOKUP(TRIM(B4649),Lookup!$B$2:$B$1000,Lookup!$C$2:$C$1000),"")</f>
        <v>Debt</v>
      </c>
      <c r="D4649" s="8" t="str">
        <f>IFERROR(INDEX('nav master'!$C:$C, MATCH(B4649, 'nav master'!$B:$B, 0)), "")</f>
        <v>ULIF 012 04/01/07 WLI 110</v>
      </c>
      <c r="E4649" s="8">
        <v>40.662500000000001</v>
      </c>
      <c r="F4649" s="9">
        <v>45876</v>
      </c>
    </row>
    <row r="4650" spans="1:6" ht="60" x14ac:dyDescent="0.25">
      <c r="A4650" s="8" t="s">
        <v>63</v>
      </c>
      <c r="B4650" s="8" t="s">
        <v>79</v>
      </c>
      <c r="C4650" s="8" t="str">
        <f>IFERROR(_xlfn.XLOOKUP(TRIM(B4650),Lookup!$B$2:$B$1000,Lookup!$C$2:$C$1000),"")</f>
        <v>Debt</v>
      </c>
      <c r="D4650" s="8" t="str">
        <f>IFERROR(INDEX('nav master'!$C:$C, MATCH(B4650, 'nav master'!$B:$B, 0)), "")</f>
        <v>ULIF 012 04/01/07 WLI 110</v>
      </c>
      <c r="E4650" s="8">
        <v>40.645000000000003</v>
      </c>
      <c r="F4650" s="9">
        <v>45877</v>
      </c>
    </row>
    <row r="4651" spans="1:6" ht="60" x14ac:dyDescent="0.25">
      <c r="A4651" s="8" t="s">
        <v>63</v>
      </c>
      <c r="B4651" s="8" t="s">
        <v>79</v>
      </c>
      <c r="C4651" s="8" t="str">
        <f>IFERROR(_xlfn.XLOOKUP(TRIM(B4651),Lookup!$B$2:$B$1000,Lookup!$C$2:$C$1000),"")</f>
        <v>Debt</v>
      </c>
      <c r="D4651" s="8" t="str">
        <f>IFERROR(INDEX('nav master'!$C:$C, MATCH(B4651, 'nav master'!$B:$B, 0)), "")</f>
        <v>ULIF 012 04/01/07 WLI 110</v>
      </c>
      <c r="E4651" s="8">
        <v>40.543300000000002</v>
      </c>
      <c r="F4651" s="9">
        <v>45880</v>
      </c>
    </row>
    <row r="4652" spans="1:6" ht="60" x14ac:dyDescent="0.25">
      <c r="A4652" s="8" t="s">
        <v>63</v>
      </c>
      <c r="B4652" s="8" t="s">
        <v>79</v>
      </c>
      <c r="C4652" s="8" t="str">
        <f>IFERROR(_xlfn.XLOOKUP(TRIM(B4652),Lookup!$B$2:$B$1000,Lookup!$C$2:$C$1000),"")</f>
        <v>Debt</v>
      </c>
      <c r="D4652" s="8" t="str">
        <f>IFERROR(INDEX('nav master'!$C:$C, MATCH(B4652, 'nav master'!$B:$B, 0)), "")</f>
        <v>ULIF 012 04/01/07 WLI 110</v>
      </c>
      <c r="E4652" s="8">
        <v>40.439399999999999</v>
      </c>
      <c r="F4652" s="9">
        <v>45881</v>
      </c>
    </row>
    <row r="4653" spans="1:6" ht="60" x14ac:dyDescent="0.25">
      <c r="A4653" s="8" t="s">
        <v>63</v>
      </c>
      <c r="B4653" s="8" t="s">
        <v>79</v>
      </c>
      <c r="C4653" s="8" t="str">
        <f>IFERROR(_xlfn.XLOOKUP(TRIM(B4653),Lookup!$B$2:$B$1000,Lookup!$C$2:$C$1000),"")</f>
        <v>Debt</v>
      </c>
      <c r="D4653" s="8" t="str">
        <f>IFERROR(INDEX('nav master'!$C:$C, MATCH(B4653, 'nav master'!$B:$B, 0)), "")</f>
        <v>ULIF 012 04/01/07 WLI 110</v>
      </c>
      <c r="E4653" s="8">
        <v>40.433199999999999</v>
      </c>
      <c r="F4653" s="9">
        <v>45882</v>
      </c>
    </row>
    <row r="4654" spans="1:6" ht="60" x14ac:dyDescent="0.25">
      <c r="A4654" s="8" t="s">
        <v>63</v>
      </c>
      <c r="B4654" s="8" t="s">
        <v>79</v>
      </c>
      <c r="C4654" s="8" t="str">
        <f>IFERROR(_xlfn.XLOOKUP(TRIM(B4654),Lookup!$B$2:$B$1000,Lookup!$C$2:$C$1000),"")</f>
        <v>Debt</v>
      </c>
      <c r="D4654" s="8" t="str">
        <f>IFERROR(INDEX('nav master'!$C:$C, MATCH(B4654, 'nav master'!$B:$B, 0)), "")</f>
        <v>ULIF 012 04/01/07 WLI 110</v>
      </c>
      <c r="E4654" s="8">
        <v>40.580399999999997</v>
      </c>
      <c r="F4654" s="9">
        <v>45883</v>
      </c>
    </row>
    <row r="4655" spans="1:6" ht="60" x14ac:dyDescent="0.25">
      <c r="A4655" s="8" t="s">
        <v>63</v>
      </c>
      <c r="B4655" s="8" t="s">
        <v>79</v>
      </c>
      <c r="C4655" s="8" t="str">
        <f>IFERROR(_xlfn.XLOOKUP(TRIM(B4655),Lookup!$B$2:$B$1000,Lookup!$C$2:$C$1000),"")</f>
        <v>Debt</v>
      </c>
      <c r="D4655" s="8" t="str">
        <f>IFERROR(INDEX('nav master'!$C:$C, MATCH(B4655, 'nav master'!$B:$B, 0)), "")</f>
        <v>ULIF 012 04/01/07 WLI 110</v>
      </c>
      <c r="E4655" s="8">
        <v>40.445700000000002</v>
      </c>
      <c r="F4655" s="9">
        <v>45887</v>
      </c>
    </row>
    <row r="4656" spans="1:6" ht="60" x14ac:dyDescent="0.25">
      <c r="A4656" s="8" t="s">
        <v>63</v>
      </c>
      <c r="B4656" s="8" t="s">
        <v>79</v>
      </c>
      <c r="C4656" s="8" t="str">
        <f>IFERROR(_xlfn.XLOOKUP(TRIM(B4656),Lookup!$B$2:$B$1000,Lookup!$C$2:$C$1000),"")</f>
        <v>Debt</v>
      </c>
      <c r="D4656" s="8" t="str">
        <f>IFERROR(INDEX('nav master'!$C:$C, MATCH(B4656, 'nav master'!$B:$B, 0)), "")</f>
        <v>ULIF 012 04/01/07 WLI 110</v>
      </c>
      <c r="E4656" s="8">
        <v>40.392899999999997</v>
      </c>
      <c r="F4656" s="9">
        <v>45888</v>
      </c>
    </row>
    <row r="4657" spans="1:6" ht="60" x14ac:dyDescent="0.25">
      <c r="A4657" s="8" t="s">
        <v>63</v>
      </c>
      <c r="B4657" s="8" t="s">
        <v>79</v>
      </c>
      <c r="C4657" s="8" t="str">
        <f>IFERROR(_xlfn.XLOOKUP(TRIM(B4657),Lookup!$B$2:$B$1000,Lookup!$C$2:$C$1000),"")</f>
        <v>Debt</v>
      </c>
      <c r="D4657" s="8" t="str">
        <f>IFERROR(INDEX('nav master'!$C:$C, MATCH(B4657, 'nav master'!$B:$B, 0)), "")</f>
        <v>ULIF 012 04/01/07 WLI 110</v>
      </c>
      <c r="E4657" s="8">
        <v>40.451300000000003</v>
      </c>
      <c r="F4657" s="9">
        <v>45889</v>
      </c>
    </row>
    <row r="4658" spans="1:6" ht="60" x14ac:dyDescent="0.25">
      <c r="A4658" s="8" t="s">
        <v>63</v>
      </c>
      <c r="B4658" s="8" t="s">
        <v>79</v>
      </c>
      <c r="C4658" s="8" t="str">
        <f>IFERROR(_xlfn.XLOOKUP(TRIM(B4658),Lookup!$B$2:$B$1000,Lookup!$C$2:$C$1000),"")</f>
        <v>Debt</v>
      </c>
      <c r="D4658" s="8" t="str">
        <f>IFERROR(INDEX('nav master'!$C:$C, MATCH(B4658, 'nav master'!$B:$B, 0)), "")</f>
        <v>ULIF 012 04/01/07 WLI 110</v>
      </c>
      <c r="E4658" s="8">
        <v>40.416600000000003</v>
      </c>
      <c r="F4658" s="9">
        <v>45890</v>
      </c>
    </row>
    <row r="4659" spans="1:6" ht="60" x14ac:dyDescent="0.25">
      <c r="A4659" s="8" t="s">
        <v>63</v>
      </c>
      <c r="B4659" s="8" t="s">
        <v>79</v>
      </c>
      <c r="C4659" s="8" t="str">
        <f>IFERROR(_xlfn.XLOOKUP(TRIM(B4659),Lookup!$B$2:$B$1000,Lookup!$C$2:$C$1000),"")</f>
        <v>Debt</v>
      </c>
      <c r="D4659" s="8" t="str">
        <f>IFERROR(INDEX('nav master'!$C:$C, MATCH(B4659, 'nav master'!$B:$B, 0)), "")</f>
        <v>ULIF 012 04/01/07 WLI 110</v>
      </c>
      <c r="E4659" s="8">
        <v>40.413699999999999</v>
      </c>
      <c r="F4659" s="9">
        <v>45891</v>
      </c>
    </row>
    <row r="4660" spans="1:6" ht="60" x14ac:dyDescent="0.25">
      <c r="A4660" s="8" t="s">
        <v>63</v>
      </c>
      <c r="B4660" s="8" t="s">
        <v>79</v>
      </c>
      <c r="C4660" s="8" t="str">
        <f>IFERROR(_xlfn.XLOOKUP(TRIM(B4660),Lookup!$B$2:$B$1000,Lookup!$C$2:$C$1000),"")</f>
        <v>Debt</v>
      </c>
      <c r="D4660" s="8" t="str">
        <f>IFERROR(INDEX('nav master'!$C:$C, MATCH(B4660, 'nav master'!$B:$B, 0)), "")</f>
        <v>ULIF 012 04/01/07 WLI 110</v>
      </c>
      <c r="E4660" s="8">
        <v>40.339599999999997</v>
      </c>
      <c r="F4660" s="9">
        <v>45894</v>
      </c>
    </row>
    <row r="4661" spans="1:6" ht="60" x14ac:dyDescent="0.25">
      <c r="A4661" s="8" t="s">
        <v>63</v>
      </c>
      <c r="B4661" s="8" t="s">
        <v>79</v>
      </c>
      <c r="C4661" s="8" t="str">
        <f>IFERROR(_xlfn.XLOOKUP(TRIM(B4661),Lookup!$B$2:$B$1000,Lookup!$C$2:$C$1000),"")</f>
        <v>Debt</v>
      </c>
      <c r="D4661" s="8" t="str">
        <f>IFERROR(INDEX('nav master'!$C:$C, MATCH(B4661, 'nav master'!$B:$B, 0)), "")</f>
        <v>ULIF 012 04/01/07 WLI 110</v>
      </c>
      <c r="E4661" s="8">
        <v>40.258400000000002</v>
      </c>
      <c r="F4661" s="9">
        <v>45895</v>
      </c>
    </row>
    <row r="4662" spans="1:6" ht="60" x14ac:dyDescent="0.25">
      <c r="A4662" s="8" t="s">
        <v>63</v>
      </c>
      <c r="B4662" s="8" t="s">
        <v>79</v>
      </c>
      <c r="C4662" s="8" t="str">
        <f>IFERROR(_xlfn.XLOOKUP(TRIM(B4662),Lookup!$B$2:$B$1000,Lookup!$C$2:$C$1000),"")</f>
        <v>Debt</v>
      </c>
      <c r="D4662" s="8" t="str">
        <f>IFERROR(INDEX('nav master'!$C:$C, MATCH(B4662, 'nav master'!$B:$B, 0)), "")</f>
        <v>ULIF 012 04/01/07 WLI 110</v>
      </c>
      <c r="E4662" s="8">
        <v>40.425199999999997</v>
      </c>
      <c r="F4662" s="9">
        <v>45897</v>
      </c>
    </row>
    <row r="4663" spans="1:6" ht="60" x14ac:dyDescent="0.25">
      <c r="A4663" s="8" t="s">
        <v>63</v>
      </c>
      <c r="B4663" s="8" t="s">
        <v>79</v>
      </c>
      <c r="C4663" s="8" t="str">
        <f>IFERROR(_xlfn.XLOOKUP(TRIM(B4663),Lookup!$B$2:$B$1000,Lookup!$C$2:$C$1000),"")</f>
        <v>Debt</v>
      </c>
      <c r="D4663" s="8" t="str">
        <f>IFERROR(INDEX('nav master'!$C:$C, MATCH(B4663, 'nav master'!$B:$B, 0)), "")</f>
        <v>ULIF 012 04/01/07 WLI 110</v>
      </c>
      <c r="E4663" s="8">
        <v>40.308599999999998</v>
      </c>
      <c r="F4663" s="9">
        <v>45898</v>
      </c>
    </row>
    <row r="4664" spans="1:6" ht="60" x14ac:dyDescent="0.25">
      <c r="A4664" s="8" t="s">
        <v>63</v>
      </c>
      <c r="B4664" s="8" t="s">
        <v>79</v>
      </c>
      <c r="C4664" s="8" t="str">
        <f>IFERROR(_xlfn.XLOOKUP(TRIM(B4664),Lookup!$B$2:$B$1000,Lookup!$C$2:$C$1000),"")</f>
        <v>Debt</v>
      </c>
      <c r="D4664" s="8" t="str">
        <f>IFERROR(INDEX('nav master'!$C:$C, MATCH(B4664, 'nav master'!$B:$B, 0)), "")</f>
        <v>ULIF 012 04/01/07 WLI 110</v>
      </c>
      <c r="E4664" s="8">
        <v>40.323799999999999</v>
      </c>
      <c r="F4664" s="9">
        <v>45901</v>
      </c>
    </row>
    <row r="4665" spans="1:6" ht="60" x14ac:dyDescent="0.25">
      <c r="A4665" s="8" t="s">
        <v>63</v>
      </c>
      <c r="B4665" s="8" t="s">
        <v>79</v>
      </c>
      <c r="C4665" s="8" t="str">
        <f>IFERROR(_xlfn.XLOOKUP(TRIM(B4665),Lookup!$B$2:$B$1000,Lookup!$C$2:$C$1000),"")</f>
        <v>Debt</v>
      </c>
      <c r="D4665" s="8" t="str">
        <f>IFERROR(INDEX('nav master'!$C:$C, MATCH(B4665, 'nav master'!$B:$B, 0)), "")</f>
        <v>ULIF 012 04/01/07 WLI 110</v>
      </c>
      <c r="E4665" s="8">
        <v>40.316200000000002</v>
      </c>
      <c r="F4665" s="9">
        <v>45902</v>
      </c>
    </row>
    <row r="4666" spans="1:6" ht="60" x14ac:dyDescent="0.25">
      <c r="A4666" s="8" t="s">
        <v>63</v>
      </c>
      <c r="B4666" s="8" t="s">
        <v>79</v>
      </c>
      <c r="C4666" s="8" t="str">
        <f>IFERROR(_xlfn.XLOOKUP(TRIM(B4666),Lookup!$B$2:$B$1000,Lookup!$C$2:$C$1000),"")</f>
        <v>Debt</v>
      </c>
      <c r="D4666" s="8" t="str">
        <f>IFERROR(INDEX('nav master'!$C:$C, MATCH(B4666, 'nav master'!$B:$B, 0)), "")</f>
        <v>ULIF 012 04/01/07 WLI 110</v>
      </c>
      <c r="E4666" s="8">
        <v>40.409599999999998</v>
      </c>
      <c r="F4666" s="9">
        <v>45903</v>
      </c>
    </row>
    <row r="4667" spans="1:6" ht="60" x14ac:dyDescent="0.25">
      <c r="A4667" s="8" t="s">
        <v>63</v>
      </c>
      <c r="B4667" s="8" t="s">
        <v>79</v>
      </c>
      <c r="C4667" s="8" t="str">
        <f>IFERROR(_xlfn.XLOOKUP(TRIM(B4667),Lookup!$B$2:$B$1000,Lookup!$C$2:$C$1000),"")</f>
        <v>Debt</v>
      </c>
      <c r="D4667" s="8" t="str">
        <f>IFERROR(INDEX('nav master'!$C:$C, MATCH(B4667, 'nav master'!$B:$B, 0)), "")</f>
        <v>ULIF 012 04/01/07 WLI 110</v>
      </c>
      <c r="E4667" s="8">
        <v>40.536000000000001</v>
      </c>
      <c r="F4667" s="9">
        <v>45904</v>
      </c>
    </row>
    <row r="4668" spans="1:6" ht="60" x14ac:dyDescent="0.25">
      <c r="A4668" s="8" t="s">
        <v>63</v>
      </c>
      <c r="B4668" s="8" t="s">
        <v>79</v>
      </c>
      <c r="C4668" s="8" t="str">
        <f>IFERROR(_xlfn.XLOOKUP(TRIM(B4668),Lookup!$B$2:$B$1000,Lookup!$C$2:$C$1000),"")</f>
        <v>Debt</v>
      </c>
      <c r="D4668" s="8" t="str">
        <f>IFERROR(INDEX('nav master'!$C:$C, MATCH(B4668, 'nav master'!$B:$B, 0)), "")</f>
        <v>ULIF 012 04/01/07 WLI 110</v>
      </c>
      <c r="E4668" s="8">
        <v>40.674100000000003</v>
      </c>
      <c r="F4668" s="9">
        <v>45905</v>
      </c>
    </row>
    <row r="4669" spans="1:6" ht="60" x14ac:dyDescent="0.25">
      <c r="A4669" s="8" t="s">
        <v>63</v>
      </c>
      <c r="B4669" s="8" t="s">
        <v>79</v>
      </c>
      <c r="C4669" s="8" t="str">
        <f>IFERROR(_xlfn.XLOOKUP(TRIM(B4669),Lookup!$B$2:$B$1000,Lookup!$C$2:$C$1000),"")</f>
        <v>Debt</v>
      </c>
      <c r="D4669" s="8" t="str">
        <f>IFERROR(INDEX('nav master'!$C:$C, MATCH(B4669, 'nav master'!$B:$B, 0)), "")</f>
        <v>ULIF 012 04/01/07 WLI 110</v>
      </c>
      <c r="E4669" s="8">
        <v>40.686700000000002</v>
      </c>
      <c r="F4669" s="9">
        <v>45908</v>
      </c>
    </row>
    <row r="4670" spans="1:6" ht="60" x14ac:dyDescent="0.25">
      <c r="A4670" s="8" t="s">
        <v>63</v>
      </c>
      <c r="B4670" s="8" t="s">
        <v>79</v>
      </c>
      <c r="C4670" s="8" t="str">
        <f>IFERROR(_xlfn.XLOOKUP(TRIM(B4670),Lookup!$B$2:$B$1000,Lookup!$C$2:$C$1000),"")</f>
        <v>Debt</v>
      </c>
      <c r="D4670" s="8" t="str">
        <f>IFERROR(INDEX('nav master'!$C:$C, MATCH(B4670, 'nav master'!$B:$B, 0)), "")</f>
        <v>ULIF 012 04/01/07 WLI 110</v>
      </c>
      <c r="E4670" s="8">
        <v>40.651899999999998</v>
      </c>
      <c r="F4670" s="9">
        <v>45909</v>
      </c>
    </row>
    <row r="4671" spans="1:6" ht="60" x14ac:dyDescent="0.25">
      <c r="A4671" s="8" t="s">
        <v>63</v>
      </c>
      <c r="B4671" s="8" t="s">
        <v>79</v>
      </c>
      <c r="C4671" s="8" t="str">
        <f>IFERROR(_xlfn.XLOOKUP(TRIM(B4671),Lookup!$B$2:$B$1000,Lookup!$C$2:$C$1000),"")</f>
        <v>Debt</v>
      </c>
      <c r="D4671" s="8" t="str">
        <f>IFERROR(INDEX('nav master'!$C:$C, MATCH(B4671, 'nav master'!$B:$B, 0)), "")</f>
        <v>ULIF 012 04/01/07 WLI 110</v>
      </c>
      <c r="E4671" s="8">
        <v>40.627899999999997</v>
      </c>
      <c r="F4671" s="9">
        <v>45910</v>
      </c>
    </row>
    <row r="4672" spans="1:6" ht="60" x14ac:dyDescent="0.25">
      <c r="A4672" s="8" t="s">
        <v>63</v>
      </c>
      <c r="B4672" s="8" t="s">
        <v>79</v>
      </c>
      <c r="C4672" s="8" t="str">
        <f>IFERROR(_xlfn.XLOOKUP(TRIM(B4672),Lookup!$B$2:$B$1000,Lookup!$C$2:$C$1000),"")</f>
        <v>Debt</v>
      </c>
      <c r="D4672" s="8" t="str">
        <f>IFERROR(INDEX('nav master'!$C:$C, MATCH(B4672, 'nav master'!$B:$B, 0)), "")</f>
        <v>ULIF 012 04/01/07 WLI 110</v>
      </c>
      <c r="E4672" s="8">
        <v>40.624200000000002</v>
      </c>
      <c r="F4672" s="9">
        <v>45911</v>
      </c>
    </row>
    <row r="4673" spans="1:6" ht="60" x14ac:dyDescent="0.25">
      <c r="A4673" s="8" t="s">
        <v>63</v>
      </c>
      <c r="B4673" s="8" t="s">
        <v>79</v>
      </c>
      <c r="C4673" s="8" t="str">
        <f>IFERROR(_xlfn.XLOOKUP(TRIM(B4673),Lookup!$B$2:$B$1000,Lookup!$C$2:$C$1000),"")</f>
        <v>Debt</v>
      </c>
      <c r="D4673" s="8" t="str">
        <f>IFERROR(INDEX('nav master'!$C:$C, MATCH(B4673, 'nav master'!$B:$B, 0)), "")</f>
        <v>ULIF 012 04/01/07 WLI 110</v>
      </c>
      <c r="E4673" s="8">
        <v>40.644100000000002</v>
      </c>
      <c r="F4673" s="9">
        <v>45912</v>
      </c>
    </row>
    <row r="4674" spans="1:6" ht="60" x14ac:dyDescent="0.25">
      <c r="A4674" s="8" t="s">
        <v>63</v>
      </c>
      <c r="B4674" s="8" t="s">
        <v>79</v>
      </c>
      <c r="C4674" s="8" t="str">
        <f>IFERROR(_xlfn.XLOOKUP(TRIM(B4674),Lookup!$B$2:$B$1000,Lookup!$C$2:$C$1000),"")</f>
        <v>Debt</v>
      </c>
      <c r="D4674" s="8" t="str">
        <f>IFERROR(INDEX('nav master'!$C:$C, MATCH(B4674, 'nav master'!$B:$B, 0)), "")</f>
        <v>ULIF 012 04/01/07 WLI 110</v>
      </c>
      <c r="E4674" s="8">
        <v>40.655099999999997</v>
      </c>
      <c r="F4674" s="9">
        <v>45915</v>
      </c>
    </row>
    <row r="4675" spans="1:6" ht="60" x14ac:dyDescent="0.25">
      <c r="A4675" s="8" t="s">
        <v>63</v>
      </c>
      <c r="B4675" s="8" t="s">
        <v>79</v>
      </c>
      <c r="C4675" s="8" t="str">
        <f>IFERROR(_xlfn.XLOOKUP(TRIM(B4675),Lookup!$B$2:$B$1000,Lookup!$C$2:$C$1000),"")</f>
        <v>Debt</v>
      </c>
      <c r="D4675" s="8" t="str">
        <f>IFERROR(INDEX('nav master'!$C:$C, MATCH(B4675, 'nav master'!$B:$B, 0)), "")</f>
        <v>ULIF 012 04/01/07 WLI 110</v>
      </c>
      <c r="E4675" s="8">
        <v>40.664299999999997</v>
      </c>
      <c r="F4675" s="9">
        <v>45916</v>
      </c>
    </row>
    <row r="4676" spans="1:6" ht="60" x14ac:dyDescent="0.25">
      <c r="A4676" s="8" t="s">
        <v>63</v>
      </c>
      <c r="B4676" s="8" t="s">
        <v>79</v>
      </c>
      <c r="C4676" s="8" t="str">
        <f>IFERROR(_xlfn.XLOOKUP(TRIM(B4676),Lookup!$B$2:$B$1000,Lookup!$C$2:$C$1000),"")</f>
        <v>Debt</v>
      </c>
      <c r="D4676" s="8" t="str">
        <f>IFERROR(INDEX('nav master'!$C:$C, MATCH(B4676, 'nav master'!$B:$B, 0)), "")</f>
        <v>ULIF 012 04/01/07 WLI 110</v>
      </c>
      <c r="E4676" s="8">
        <v>40.734699999999997</v>
      </c>
      <c r="F4676" s="9">
        <v>45917</v>
      </c>
    </row>
    <row r="4677" spans="1:6" ht="60" x14ac:dyDescent="0.25">
      <c r="A4677" s="8" t="s">
        <v>63</v>
      </c>
      <c r="B4677" s="8" t="s">
        <v>79</v>
      </c>
      <c r="C4677" s="8" t="str">
        <f>IFERROR(_xlfn.XLOOKUP(TRIM(B4677),Lookup!$B$2:$B$1000,Lookup!$C$2:$C$1000),"")</f>
        <v>Debt</v>
      </c>
      <c r="D4677" s="8" t="str">
        <f>IFERROR(INDEX('nav master'!$C:$C, MATCH(B4677, 'nav master'!$B:$B, 0)), "")</f>
        <v>ULIF 012 04/01/07 WLI 110</v>
      </c>
      <c r="E4677" s="8">
        <v>40.691400000000002</v>
      </c>
      <c r="F4677" s="9">
        <v>45918</v>
      </c>
    </row>
    <row r="4678" spans="1:6" ht="60" x14ac:dyDescent="0.25">
      <c r="A4678" s="8" t="s">
        <v>63</v>
      </c>
      <c r="B4678" s="8" t="s">
        <v>79</v>
      </c>
      <c r="C4678" s="8" t="str">
        <f>IFERROR(_xlfn.XLOOKUP(TRIM(B4678),Lookup!$B$2:$B$1000,Lookup!$C$2:$C$1000),"")</f>
        <v>Debt</v>
      </c>
      <c r="D4678" s="8" t="str">
        <f>IFERROR(INDEX('nav master'!$C:$C, MATCH(B4678, 'nav master'!$B:$B, 0)), "")</f>
        <v>ULIF 012 04/01/07 WLI 110</v>
      </c>
      <c r="E4678" s="8">
        <v>40.749200000000002</v>
      </c>
      <c r="F4678" s="9">
        <v>45919</v>
      </c>
    </row>
    <row r="4679" spans="1:6" ht="60" x14ac:dyDescent="0.25">
      <c r="A4679" s="8" t="s">
        <v>63</v>
      </c>
      <c r="B4679" s="8" t="s">
        <v>79</v>
      </c>
      <c r="C4679" s="8" t="str">
        <f>IFERROR(_xlfn.XLOOKUP(TRIM(B4679),Lookup!$B$2:$B$1000,Lookup!$C$2:$C$1000),"")</f>
        <v>Debt</v>
      </c>
      <c r="D4679" s="8" t="str">
        <f>IFERROR(INDEX('nav master'!$C:$C, MATCH(B4679, 'nav master'!$B:$B, 0)), "")</f>
        <v>ULIF 012 04/01/07 WLI 110</v>
      </c>
      <c r="E4679" s="8">
        <v>40.755099999999999</v>
      </c>
      <c r="F4679" s="9">
        <v>45922</v>
      </c>
    </row>
    <row r="4680" spans="1:6" ht="60" x14ac:dyDescent="0.25">
      <c r="A4680" s="8" t="s">
        <v>63</v>
      </c>
      <c r="B4680" s="8" t="s">
        <v>79</v>
      </c>
      <c r="C4680" s="8" t="str">
        <f>IFERROR(_xlfn.XLOOKUP(TRIM(B4680),Lookup!$B$2:$B$1000,Lookup!$C$2:$C$1000),"")</f>
        <v>Debt</v>
      </c>
      <c r="D4680" s="8" t="str">
        <f>IFERROR(INDEX('nav master'!$C:$C, MATCH(B4680, 'nav master'!$B:$B, 0)), "")</f>
        <v>ULIF 012 04/01/07 WLI 110</v>
      </c>
      <c r="E4680" s="8">
        <v>40.785600000000002</v>
      </c>
      <c r="F4680" s="9">
        <v>45923</v>
      </c>
    </row>
    <row r="4681" spans="1:6" ht="60" x14ac:dyDescent="0.25">
      <c r="A4681" s="8" t="s">
        <v>63</v>
      </c>
      <c r="B4681" s="8" t="s">
        <v>79</v>
      </c>
      <c r="C4681" s="8" t="str">
        <f>IFERROR(_xlfn.XLOOKUP(TRIM(B4681),Lookup!$B$2:$B$1000,Lookup!$C$2:$C$1000),"")</f>
        <v>Debt</v>
      </c>
      <c r="D4681" s="8" t="str">
        <f>IFERROR(INDEX('nav master'!$C:$C, MATCH(B4681, 'nav master'!$B:$B, 0)), "")</f>
        <v>ULIF 012 04/01/07 WLI 110</v>
      </c>
      <c r="E4681" s="8">
        <v>40.774900000000002</v>
      </c>
      <c r="F4681" s="9">
        <v>45924</v>
      </c>
    </row>
    <row r="4682" spans="1:6" ht="60" x14ac:dyDescent="0.25">
      <c r="A4682" s="8" t="s">
        <v>63</v>
      </c>
      <c r="B4682" s="8" t="s">
        <v>79</v>
      </c>
      <c r="C4682" s="8" t="str">
        <f>IFERROR(_xlfn.XLOOKUP(TRIM(B4682),Lookup!$B$2:$B$1000,Lookup!$C$2:$C$1000),"")</f>
        <v>Debt</v>
      </c>
      <c r="D4682" s="8" t="str">
        <f>IFERROR(INDEX('nav master'!$C:$C, MATCH(B4682, 'nav master'!$B:$B, 0)), "")</f>
        <v>ULIF 012 04/01/07 WLI 110</v>
      </c>
      <c r="E4682" s="8">
        <v>40.780200000000001</v>
      </c>
      <c r="F4682" s="9">
        <v>45925</v>
      </c>
    </row>
    <row r="4683" spans="1:6" ht="60" x14ac:dyDescent="0.25">
      <c r="A4683" s="8" t="s">
        <v>63</v>
      </c>
      <c r="B4683" s="8" t="s">
        <v>79</v>
      </c>
      <c r="C4683" s="8" t="str">
        <f>IFERROR(_xlfn.XLOOKUP(TRIM(B4683),Lookup!$B$2:$B$1000,Lookup!$C$2:$C$1000),"")</f>
        <v>Debt</v>
      </c>
      <c r="D4683" s="8" t="str">
        <f>IFERROR(INDEX('nav master'!$C:$C, MATCH(B4683, 'nav master'!$B:$B, 0)), "")</f>
        <v>ULIF 012 04/01/07 WLI 110</v>
      </c>
      <c r="E4683" s="8">
        <v>40.7941</v>
      </c>
      <c r="F4683" s="9">
        <v>45926</v>
      </c>
    </row>
    <row r="4684" spans="1:6" ht="60" x14ac:dyDescent="0.25">
      <c r="A4684" s="8" t="s">
        <v>63</v>
      </c>
      <c r="B4684" s="8" t="s">
        <v>79</v>
      </c>
      <c r="C4684" s="8" t="str">
        <f>IFERROR(_xlfn.XLOOKUP(TRIM(B4684),Lookup!$B$2:$B$1000,Lookup!$C$2:$C$1000),"")</f>
        <v>Debt</v>
      </c>
      <c r="D4684" s="8" t="str">
        <f>IFERROR(INDEX('nav master'!$C:$C, MATCH(B4684, 'nav master'!$B:$B, 0)), "")</f>
        <v>ULIF 012 04/01/07 WLI 110</v>
      </c>
      <c r="E4684" s="8">
        <v>40.813000000000002</v>
      </c>
      <c r="F4684" s="9">
        <v>45929</v>
      </c>
    </row>
    <row r="4685" spans="1:6" ht="60" x14ac:dyDescent="0.25">
      <c r="A4685" s="8" t="s">
        <v>63</v>
      </c>
      <c r="B4685" s="8" t="s">
        <v>79</v>
      </c>
      <c r="C4685" s="8" t="str">
        <f>IFERROR(_xlfn.XLOOKUP(TRIM(B4685),Lookup!$B$2:$B$1000,Lookup!$C$2:$C$1000),"")</f>
        <v>Debt</v>
      </c>
      <c r="D4685" s="8" t="str">
        <f>IFERROR(INDEX('nav master'!$C:$C, MATCH(B4685, 'nav master'!$B:$B, 0)), "")</f>
        <v>ULIF 012 04/01/07 WLI 110</v>
      </c>
      <c r="E4685" s="8">
        <v>40.793500000000002</v>
      </c>
      <c r="F4685" s="9">
        <v>45930</v>
      </c>
    </row>
    <row r="4686" spans="1:6" ht="60" x14ac:dyDescent="0.25">
      <c r="A4686" s="8" t="s">
        <v>63</v>
      </c>
      <c r="B4686" s="8" t="s">
        <v>79</v>
      </c>
      <c r="C4686" s="8" t="str">
        <f>IFERROR(_xlfn.XLOOKUP(TRIM(B4686),Lookup!$B$2:$B$1000,Lookup!$C$2:$C$1000),"")</f>
        <v>Debt</v>
      </c>
      <c r="D4686" s="8" t="str">
        <f>IFERROR(INDEX('nav master'!$C:$C, MATCH(B4686, 'nav master'!$B:$B, 0)), "")</f>
        <v>ULIF 012 04/01/07 WLI 110</v>
      </c>
      <c r="E4686" s="8">
        <v>40.9039</v>
      </c>
      <c r="F4686" s="9">
        <v>45931</v>
      </c>
    </row>
    <row r="4687" spans="1:6" ht="60" x14ac:dyDescent="0.25">
      <c r="A4687" s="8" t="s">
        <v>63</v>
      </c>
      <c r="B4687" s="8" t="s">
        <v>79</v>
      </c>
      <c r="C4687" s="8" t="str">
        <f>IFERROR(_xlfn.XLOOKUP(TRIM(B4687),Lookup!$B$2:$B$1000,Lookup!$C$2:$C$1000),"")</f>
        <v>Debt</v>
      </c>
      <c r="D4687" s="8" t="str">
        <f>IFERROR(INDEX('nav master'!$C:$C, MATCH(B4687, 'nav master'!$B:$B, 0)), "")</f>
        <v>ULIF 012 04/01/07 WLI 110</v>
      </c>
      <c r="E4687" s="8">
        <v>40.985799999999998</v>
      </c>
      <c r="F4687" s="9">
        <v>45933</v>
      </c>
    </row>
    <row r="4688" spans="1:6" ht="60" x14ac:dyDescent="0.25">
      <c r="A4688" s="8" t="s">
        <v>63</v>
      </c>
      <c r="B4688" s="8" t="s">
        <v>79</v>
      </c>
      <c r="C4688" s="8" t="str">
        <f>IFERROR(_xlfn.XLOOKUP(TRIM(B4688),Lookup!$B$2:$B$1000,Lookup!$C$2:$C$1000),"")</f>
        <v>Debt</v>
      </c>
      <c r="D4688" s="8" t="str">
        <f>IFERROR(INDEX('nav master'!$C:$C, MATCH(B4688, 'nav master'!$B:$B, 0)), "")</f>
        <v>ULIF 012 04/01/07 WLI 110</v>
      </c>
      <c r="E4688" s="8">
        <v>41.042400000000001</v>
      </c>
      <c r="F4688" s="9">
        <v>45936</v>
      </c>
    </row>
    <row r="4689" spans="1:6" ht="60" x14ac:dyDescent="0.25">
      <c r="A4689" s="8" t="s">
        <v>63</v>
      </c>
      <c r="B4689" s="8" t="s">
        <v>79</v>
      </c>
      <c r="C4689" s="8" t="str">
        <f>IFERROR(_xlfn.XLOOKUP(TRIM(B4689),Lookup!$B$2:$B$1000,Lookup!$C$2:$C$1000),"")</f>
        <v>Debt</v>
      </c>
      <c r="D4689" s="8" t="str">
        <f>IFERROR(INDEX('nav master'!$C:$C, MATCH(B4689, 'nav master'!$B:$B, 0)), "")</f>
        <v>ULIF 012 04/01/07 WLI 110</v>
      </c>
      <c r="E4689" s="8">
        <v>41.059800000000003</v>
      </c>
      <c r="F4689" s="9">
        <v>45937</v>
      </c>
    </row>
    <row r="4690" spans="1:6" ht="60" x14ac:dyDescent="0.25">
      <c r="A4690" s="8" t="s">
        <v>63</v>
      </c>
      <c r="B4690" s="8" t="s">
        <v>79</v>
      </c>
      <c r="C4690" s="8" t="str">
        <f>IFERROR(_xlfn.XLOOKUP(TRIM(B4690),Lookup!$B$2:$B$1000,Lookup!$C$2:$C$1000),"")</f>
        <v>Debt</v>
      </c>
      <c r="D4690" s="8" t="str">
        <f>IFERROR(INDEX('nav master'!$C:$C, MATCH(B4690, 'nav master'!$B:$B, 0)), "")</f>
        <v>ULIF 012 04/01/07 WLI 110</v>
      </c>
      <c r="E4690" s="8">
        <v>41.077599999999997</v>
      </c>
      <c r="F4690" s="9">
        <v>45938</v>
      </c>
    </row>
    <row r="4691" spans="1:6" ht="60" x14ac:dyDescent="0.25">
      <c r="A4691" s="8" t="s">
        <v>63</v>
      </c>
      <c r="B4691" s="8" t="s">
        <v>79</v>
      </c>
      <c r="C4691" s="8" t="str">
        <f>IFERROR(_xlfn.XLOOKUP(TRIM(B4691),Lookup!$B$2:$B$1000,Lookup!$C$2:$C$1000),"")</f>
        <v>Debt</v>
      </c>
      <c r="D4691" s="8" t="str">
        <f>IFERROR(INDEX('nav master'!$C:$C, MATCH(B4691, 'nav master'!$B:$B, 0)), "")</f>
        <v>ULIF 012 04/01/07 WLI 110</v>
      </c>
      <c r="E4691" s="8">
        <v>41.063800000000001</v>
      </c>
      <c r="F4691" s="9">
        <v>45939</v>
      </c>
    </row>
    <row r="4692" spans="1:6" ht="60" x14ac:dyDescent="0.25">
      <c r="A4692" s="8" t="s">
        <v>63</v>
      </c>
      <c r="B4692" s="8" t="s">
        <v>79</v>
      </c>
      <c r="C4692" s="8" t="str">
        <f>IFERROR(_xlfn.XLOOKUP(TRIM(B4692),Lookup!$B$2:$B$1000,Lookup!$C$2:$C$1000),"")</f>
        <v>Debt</v>
      </c>
      <c r="D4692" s="8" t="str">
        <f>IFERROR(INDEX('nav master'!$C:$C, MATCH(B4692, 'nav master'!$B:$B, 0)), "")</f>
        <v>ULIF 012 04/01/07 WLI 110</v>
      </c>
      <c r="E4692" s="8">
        <v>41.109400000000001</v>
      </c>
      <c r="F4692" s="9">
        <v>45940</v>
      </c>
    </row>
    <row r="4693" spans="1:6" ht="60" x14ac:dyDescent="0.25">
      <c r="A4693" s="8" t="s">
        <v>63</v>
      </c>
      <c r="B4693" s="8" t="s">
        <v>79</v>
      </c>
      <c r="C4693" s="8" t="str">
        <f>IFERROR(_xlfn.XLOOKUP(TRIM(B4693),Lookup!$B$2:$B$1000,Lookup!$C$2:$C$1000),"")</f>
        <v>Debt</v>
      </c>
      <c r="D4693" s="8" t="str">
        <f>IFERROR(INDEX('nav master'!$C:$C, MATCH(B4693, 'nav master'!$B:$B, 0)), "")</f>
        <v>ULIF 012 04/01/07 WLI 110</v>
      </c>
      <c r="E4693" s="8">
        <v>41.175800000000002</v>
      </c>
      <c r="F4693" s="9">
        <v>45943</v>
      </c>
    </row>
    <row r="4694" spans="1:6" ht="60" x14ac:dyDescent="0.25">
      <c r="A4694" s="8" t="s">
        <v>63</v>
      </c>
      <c r="B4694" s="8" t="s">
        <v>79</v>
      </c>
      <c r="C4694" s="8" t="str">
        <f>IFERROR(_xlfn.XLOOKUP(TRIM(B4694),Lookup!$B$2:$B$1000,Lookup!$C$2:$C$1000),"")</f>
        <v>Debt</v>
      </c>
      <c r="D4694" s="8" t="str">
        <f>IFERROR(INDEX('nav master'!$C:$C, MATCH(B4694, 'nav master'!$B:$B, 0)), "")</f>
        <v>ULIF 012 04/01/07 WLI 110</v>
      </c>
      <c r="E4694" s="8">
        <v>41.157899999999998</v>
      </c>
      <c r="F4694" s="9">
        <v>45944</v>
      </c>
    </row>
    <row r="4695" spans="1:6" ht="60" x14ac:dyDescent="0.25">
      <c r="A4695" s="8" t="s">
        <v>63</v>
      </c>
      <c r="B4695" s="8" t="s">
        <v>79</v>
      </c>
      <c r="C4695" s="8" t="str">
        <f>IFERROR(_xlfn.XLOOKUP(TRIM(B4695),Lookup!$B$2:$B$1000,Lookup!$C$2:$C$1000),"")</f>
        <v>Debt</v>
      </c>
      <c r="D4695" s="8" t="str">
        <f>IFERROR(INDEX('nav master'!$C:$C, MATCH(B4695, 'nav master'!$B:$B, 0)), "")</f>
        <v>ULIF 012 04/01/07 WLI 110</v>
      </c>
      <c r="E4695" s="8">
        <v>41.210299999999997</v>
      </c>
      <c r="F4695" s="9">
        <v>45945</v>
      </c>
    </row>
    <row r="4696" spans="1:6" ht="60" x14ac:dyDescent="0.25">
      <c r="A4696" s="8" t="s">
        <v>63</v>
      </c>
      <c r="B4696" s="8" t="s">
        <v>79</v>
      </c>
      <c r="C4696" s="8" t="str">
        <f>IFERROR(_xlfn.XLOOKUP(TRIM(B4696),Lookup!$B$2:$B$1000,Lookup!$C$2:$C$1000),"")</f>
        <v>Debt</v>
      </c>
      <c r="D4696" s="8" t="str">
        <f>IFERROR(INDEX('nav master'!$C:$C, MATCH(B4696, 'nav master'!$B:$B, 0)), "")</f>
        <v>ULIF 012 04/01/07 WLI 110</v>
      </c>
      <c r="E4696" s="8">
        <v>41.1858</v>
      </c>
      <c r="F4696" s="9">
        <v>45946</v>
      </c>
    </row>
    <row r="4697" spans="1:6" ht="60" x14ac:dyDescent="0.25">
      <c r="A4697" s="8" t="s">
        <v>63</v>
      </c>
      <c r="B4697" s="8" t="s">
        <v>79</v>
      </c>
      <c r="C4697" s="8" t="str">
        <f>IFERROR(_xlfn.XLOOKUP(TRIM(B4697),Lookup!$B$2:$B$1000,Lookup!$C$2:$C$1000),"")</f>
        <v>Debt</v>
      </c>
      <c r="D4697" s="8" t="str">
        <f>IFERROR(INDEX('nav master'!$C:$C, MATCH(B4697, 'nav master'!$B:$B, 0)), "")</f>
        <v>ULIF 012 04/01/07 WLI 110</v>
      </c>
      <c r="E4697" s="8">
        <v>41.127099999999999</v>
      </c>
      <c r="F4697" s="9">
        <v>45947</v>
      </c>
    </row>
    <row r="4698" spans="1:6" ht="60" x14ac:dyDescent="0.25">
      <c r="A4698" s="8" t="s">
        <v>63</v>
      </c>
      <c r="B4698" s="8" t="s">
        <v>79</v>
      </c>
      <c r="C4698" s="8" t="str">
        <f>IFERROR(_xlfn.XLOOKUP(TRIM(B4698),Lookup!$B$2:$B$1000,Lookup!$C$2:$C$1000),"")</f>
        <v>Debt</v>
      </c>
      <c r="D4698" s="8" t="str">
        <f>IFERROR(INDEX('nav master'!$C:$C, MATCH(B4698, 'nav master'!$B:$B, 0)), "")</f>
        <v>ULIF 012 04/01/07 WLI 110</v>
      </c>
      <c r="E4698" s="8">
        <v>41.159399999999998</v>
      </c>
      <c r="F4698" s="9">
        <v>45950</v>
      </c>
    </row>
    <row r="4699" spans="1:6" ht="60" x14ac:dyDescent="0.25">
      <c r="A4699" s="8" t="s">
        <v>63</v>
      </c>
      <c r="B4699" s="8" t="s">
        <v>79</v>
      </c>
      <c r="C4699" s="8" t="str">
        <f>IFERROR(_xlfn.XLOOKUP(TRIM(B4699),Lookup!$B$2:$B$1000,Lookup!$C$2:$C$1000),"")</f>
        <v>Debt</v>
      </c>
      <c r="D4699" s="8" t="str">
        <f>IFERROR(INDEX('nav master'!$C:$C, MATCH(B4699, 'nav master'!$B:$B, 0)), "")</f>
        <v>ULIF 012 04/01/07 WLI 110</v>
      </c>
      <c r="E4699" s="8">
        <v>41.125799999999998</v>
      </c>
      <c r="F4699" s="9">
        <v>45953</v>
      </c>
    </row>
    <row r="4700" spans="1:6" ht="60" x14ac:dyDescent="0.25">
      <c r="A4700" s="8" t="s">
        <v>63</v>
      </c>
      <c r="B4700" s="8" t="s">
        <v>79</v>
      </c>
      <c r="C4700" s="8" t="str">
        <f>IFERROR(_xlfn.XLOOKUP(TRIM(B4700),Lookup!$B$2:$B$1000,Lookup!$C$2:$C$1000),"")</f>
        <v>Debt</v>
      </c>
      <c r="D4700" s="8" t="str">
        <f>IFERROR(INDEX('nav master'!$C:$C, MATCH(B4700, 'nav master'!$B:$B, 0)), "")</f>
        <v>ULIF 012 04/01/07 WLI 110</v>
      </c>
      <c r="E4700" s="8">
        <v>41.063899999999997</v>
      </c>
      <c r="F4700" s="9">
        <v>45954</v>
      </c>
    </row>
    <row r="4701" spans="1:6" ht="60" x14ac:dyDescent="0.25">
      <c r="A4701" s="8" t="s">
        <v>63</v>
      </c>
      <c r="B4701" s="8" t="s">
        <v>79</v>
      </c>
      <c r="C4701" s="8" t="str">
        <f>IFERROR(_xlfn.XLOOKUP(TRIM(B4701),Lookup!$B$2:$B$1000,Lookup!$C$2:$C$1000),"")</f>
        <v>Debt</v>
      </c>
      <c r="D4701" s="8" t="str">
        <f>IFERROR(INDEX('nav master'!$C:$C, MATCH(B4701, 'nav master'!$B:$B, 0)), "")</f>
        <v>ULIF 012 04/01/07 WLI 110</v>
      </c>
      <c r="E4701" s="8">
        <v>41.057099999999998</v>
      </c>
      <c r="F4701" s="9">
        <v>45957</v>
      </c>
    </row>
    <row r="4702" spans="1:6" ht="60" x14ac:dyDescent="0.25">
      <c r="A4702" s="8" t="s">
        <v>63</v>
      </c>
      <c r="B4702" s="8" t="s">
        <v>79</v>
      </c>
      <c r="C4702" s="8" t="str">
        <f>IFERROR(_xlfn.XLOOKUP(TRIM(B4702),Lookup!$B$2:$B$1000,Lookup!$C$2:$C$1000),"")</f>
        <v>Debt</v>
      </c>
      <c r="D4702" s="8" t="str">
        <f>IFERROR(INDEX('nav master'!$C:$C, MATCH(B4702, 'nav master'!$B:$B, 0)), "")</f>
        <v>ULIF 012 04/01/07 WLI 110</v>
      </c>
      <c r="E4702" s="8">
        <v>41.06</v>
      </c>
      <c r="F4702" s="9">
        <v>45958</v>
      </c>
    </row>
    <row r="4703" spans="1:6" ht="60" x14ac:dyDescent="0.25">
      <c r="A4703" s="8" t="s">
        <v>63</v>
      </c>
      <c r="B4703" s="8" t="s">
        <v>79</v>
      </c>
      <c r="C4703" s="8" t="str">
        <f>IFERROR(_xlfn.XLOOKUP(TRIM(B4703),Lookup!$B$2:$B$1000,Lookup!$C$2:$C$1000),"")</f>
        <v>Debt</v>
      </c>
      <c r="D4703" s="8" t="str">
        <f>IFERROR(INDEX('nav master'!$C:$C, MATCH(B4703, 'nav master'!$B:$B, 0)), "")</f>
        <v>ULIF 012 04/01/07 WLI 110</v>
      </c>
      <c r="E4703" s="8">
        <v>41.071800000000003</v>
      </c>
      <c r="F4703" s="9">
        <v>45959</v>
      </c>
    </row>
    <row r="4704" spans="1:6" ht="60" x14ac:dyDescent="0.25">
      <c r="A4704" s="8" t="s">
        <v>63</v>
      </c>
      <c r="B4704" s="8" t="s">
        <v>79</v>
      </c>
      <c r="C4704" s="8" t="str">
        <f>IFERROR(_xlfn.XLOOKUP(TRIM(B4704),Lookup!$B$2:$B$1000,Lookup!$C$2:$C$1000),"")</f>
        <v>Debt</v>
      </c>
      <c r="D4704" s="8" t="str">
        <f>IFERROR(INDEX('nav master'!$C:$C, MATCH(B4704, 'nav master'!$B:$B, 0)), "")</f>
        <v>ULIF 012 04/01/07 WLI 110</v>
      </c>
      <c r="E4704" s="8">
        <v>40.968699999999998</v>
      </c>
      <c r="F4704" s="9">
        <v>45960</v>
      </c>
    </row>
    <row r="4705" spans="1:6" ht="60" x14ac:dyDescent="0.25">
      <c r="A4705" s="8" t="s">
        <v>63</v>
      </c>
      <c r="B4705" s="8" t="s">
        <v>79</v>
      </c>
      <c r="C4705" s="8" t="str">
        <f>IFERROR(_xlfn.XLOOKUP(TRIM(B4705),Lookup!$B$2:$B$1000,Lookup!$C$2:$C$1000),"")</f>
        <v>Debt</v>
      </c>
      <c r="D4705" s="8" t="str">
        <f>IFERROR(INDEX('nav master'!$C:$C, MATCH(B4705, 'nav master'!$B:$B, 0)), "")</f>
        <v>ULIF 012 04/01/07 WLI 110</v>
      </c>
      <c r="E4705" s="8">
        <v>40.982700000000001</v>
      </c>
      <c r="F4705" s="9">
        <v>45961</v>
      </c>
    </row>
    <row r="4706" spans="1:6" ht="60" x14ac:dyDescent="0.25">
      <c r="A4706" s="8" t="s">
        <v>63</v>
      </c>
      <c r="B4706" s="8" t="s">
        <v>79</v>
      </c>
      <c r="C4706" s="8" t="str">
        <f>IFERROR(_xlfn.XLOOKUP(TRIM(B4706),Lookup!$B$2:$B$1000,Lookup!$C$2:$C$1000),"")</f>
        <v>Debt</v>
      </c>
      <c r="D4706" s="8" t="str">
        <f>IFERROR(INDEX('nav master'!$C:$C, MATCH(B4706, 'nav master'!$B:$B, 0)), "")</f>
        <v>ULIF 012 04/01/07 WLI 110</v>
      </c>
      <c r="E4706" s="8">
        <v>40.973199999999999</v>
      </c>
      <c r="F4706" s="9">
        <v>45964</v>
      </c>
    </row>
    <row r="4707" spans="1:6" ht="60" x14ac:dyDescent="0.25">
      <c r="A4707" s="8" t="s">
        <v>63</v>
      </c>
      <c r="B4707" s="8" t="s">
        <v>79</v>
      </c>
      <c r="C4707" s="8" t="str">
        <f>IFERROR(_xlfn.XLOOKUP(TRIM(B4707),Lookup!$B$2:$B$1000,Lookup!$C$2:$C$1000),"")</f>
        <v>Debt</v>
      </c>
      <c r="D4707" s="8" t="str">
        <f>IFERROR(INDEX('nav master'!$C:$C, MATCH(B4707, 'nav master'!$B:$B, 0)), "")</f>
        <v>ULIF 012 04/01/07 WLI 110</v>
      </c>
      <c r="E4707" s="8">
        <v>40.996499999999997</v>
      </c>
      <c r="F4707" s="9">
        <v>45965</v>
      </c>
    </row>
    <row r="4708" spans="1:6" ht="60" x14ac:dyDescent="0.25">
      <c r="A4708" s="8" t="s">
        <v>63</v>
      </c>
      <c r="B4708" s="8" t="s">
        <v>79</v>
      </c>
      <c r="C4708" s="8" t="str">
        <f>IFERROR(_xlfn.XLOOKUP(TRIM(B4708),Lookup!$B$2:$B$1000,Lookup!$C$2:$C$1000),"")</f>
        <v>Debt</v>
      </c>
      <c r="D4708" s="8" t="str">
        <f>IFERROR(INDEX('nav master'!$C:$C, MATCH(B4708, 'nav master'!$B:$B, 0)), "")</f>
        <v>ULIF 012 04/01/07 WLI 110</v>
      </c>
      <c r="E4708" s="8">
        <v>41.020699999999998</v>
      </c>
      <c r="F4708" s="9">
        <v>45967</v>
      </c>
    </row>
    <row r="4709" spans="1:6" ht="60" x14ac:dyDescent="0.25">
      <c r="A4709" s="8" t="s">
        <v>63</v>
      </c>
      <c r="B4709" s="8" t="s">
        <v>79</v>
      </c>
      <c r="C4709" s="8" t="str">
        <f>IFERROR(_xlfn.XLOOKUP(TRIM(B4709),Lookup!$B$2:$B$1000,Lookup!$C$2:$C$1000),"")</f>
        <v>Debt</v>
      </c>
      <c r="D4709" s="8" t="str">
        <f>IFERROR(INDEX('nav master'!$C:$C, MATCH(B4709, 'nav master'!$B:$B, 0)), "")</f>
        <v>ULIF 012 04/01/07 WLI 110</v>
      </c>
      <c r="E4709" s="8">
        <v>41.009599999999999</v>
      </c>
      <c r="F4709" s="9">
        <v>45968</v>
      </c>
    </row>
    <row r="4710" spans="1:6" ht="60" x14ac:dyDescent="0.25">
      <c r="A4710" s="8" t="s">
        <v>63</v>
      </c>
      <c r="B4710" s="8" t="s">
        <v>79</v>
      </c>
      <c r="C4710" s="8" t="str">
        <f>IFERROR(_xlfn.XLOOKUP(TRIM(B4710),Lookup!$B$2:$B$1000,Lookup!$C$2:$C$1000),"")</f>
        <v>Debt</v>
      </c>
      <c r="D4710" s="8" t="str">
        <f>IFERROR(INDEX('nav master'!$C:$C, MATCH(B4710, 'nav master'!$B:$B, 0)), "")</f>
        <v>ULIF 012 04/01/07 WLI 110</v>
      </c>
      <c r="E4710" s="8">
        <v>41.025500000000001</v>
      </c>
      <c r="F4710" s="9">
        <v>45971</v>
      </c>
    </row>
    <row r="4711" spans="1:6" ht="60" x14ac:dyDescent="0.25">
      <c r="A4711" s="8" t="s">
        <v>63</v>
      </c>
      <c r="B4711" s="8" t="s">
        <v>79</v>
      </c>
      <c r="C4711" s="8" t="str">
        <f>IFERROR(_xlfn.XLOOKUP(TRIM(B4711),Lookup!$B$2:$B$1000,Lookup!$C$2:$C$1000),"")</f>
        <v>Debt</v>
      </c>
      <c r="D4711" s="8" t="str">
        <f>IFERROR(INDEX('nav master'!$C:$C, MATCH(B4711, 'nav master'!$B:$B, 0)), "")</f>
        <v>ULIF 012 04/01/07 WLI 110</v>
      </c>
      <c r="E4711" s="8">
        <v>41.0261</v>
      </c>
      <c r="F4711" s="9">
        <v>45972</v>
      </c>
    </row>
    <row r="4712" spans="1:6" ht="60" x14ac:dyDescent="0.25">
      <c r="A4712" s="8" t="s">
        <v>63</v>
      </c>
      <c r="B4712" s="8" t="s">
        <v>79</v>
      </c>
      <c r="C4712" s="8" t="str">
        <f>IFERROR(_xlfn.XLOOKUP(TRIM(B4712),Lookup!$B$2:$B$1000,Lookup!$C$2:$C$1000),"")</f>
        <v>Debt</v>
      </c>
      <c r="D4712" s="8" t="str">
        <f>IFERROR(INDEX('nav master'!$C:$C, MATCH(B4712, 'nav master'!$B:$B, 0)), "")</f>
        <v>ULIF 012 04/01/07 WLI 110</v>
      </c>
      <c r="E4712" s="8">
        <v>41.038600000000002</v>
      </c>
      <c r="F4712" s="9">
        <v>45973</v>
      </c>
    </row>
    <row r="4713" spans="1:6" ht="60" x14ac:dyDescent="0.25">
      <c r="A4713" s="8" t="s">
        <v>63</v>
      </c>
      <c r="B4713" s="8" t="s">
        <v>79</v>
      </c>
      <c r="C4713" s="8" t="str">
        <f>IFERROR(_xlfn.XLOOKUP(TRIM(B4713),Lookup!$B$2:$B$1000,Lookup!$C$2:$C$1000),"")</f>
        <v>Debt</v>
      </c>
      <c r="D4713" s="8" t="str">
        <f>IFERROR(INDEX('nav master'!$C:$C, MATCH(B4713, 'nav master'!$B:$B, 0)), "")</f>
        <v>ULIF 012 04/01/07 WLI 110</v>
      </c>
      <c r="E4713" s="8">
        <v>40.999699999999997</v>
      </c>
      <c r="F4713" s="9">
        <v>45974</v>
      </c>
    </row>
    <row r="4714" spans="1:6" ht="60" x14ac:dyDescent="0.25">
      <c r="A4714" s="8" t="s">
        <v>63</v>
      </c>
      <c r="B4714" s="8" t="s">
        <v>79</v>
      </c>
      <c r="C4714" s="8" t="str">
        <f>IFERROR(_xlfn.XLOOKUP(TRIM(B4714),Lookup!$B$2:$B$1000,Lookup!$C$2:$C$1000),"")</f>
        <v>Debt</v>
      </c>
      <c r="D4714" s="8" t="str">
        <f>IFERROR(INDEX('nav master'!$C:$C, MATCH(B4714, 'nav master'!$B:$B, 0)), "")</f>
        <v>ULIF 012 04/01/07 WLI 110</v>
      </c>
      <c r="E4714" s="8">
        <v>40.990499999999997</v>
      </c>
      <c r="F4714" s="9">
        <v>45975</v>
      </c>
    </row>
    <row r="4715" spans="1:6" ht="60" x14ac:dyDescent="0.25">
      <c r="A4715" s="8" t="s">
        <v>63</v>
      </c>
      <c r="B4715" s="8" t="s">
        <v>79</v>
      </c>
      <c r="C4715" s="8" t="str">
        <f>IFERROR(_xlfn.XLOOKUP(TRIM(B4715),Lookup!$B$2:$B$1000,Lookup!$C$2:$C$1000),"")</f>
        <v>Debt</v>
      </c>
      <c r="D4715" s="8" t="str">
        <f>IFERROR(INDEX('nav master'!$C:$C, MATCH(B4715, 'nav master'!$B:$B, 0)), "")</f>
        <v>ULIF 012 04/01/07 WLI 110</v>
      </c>
      <c r="E4715" s="8">
        <v>40.9604</v>
      </c>
      <c r="F4715" s="9">
        <v>45978</v>
      </c>
    </row>
    <row r="4716" spans="1:6" ht="60" x14ac:dyDescent="0.25">
      <c r="A4716" s="8" t="s">
        <v>63</v>
      </c>
      <c r="B4716" s="8" t="s">
        <v>79</v>
      </c>
      <c r="C4716" s="8" t="str">
        <f>IFERROR(_xlfn.XLOOKUP(TRIM(B4716),Lookup!$B$2:$B$1000,Lookup!$C$2:$C$1000),"")</f>
        <v>Debt</v>
      </c>
      <c r="D4716" s="8" t="str">
        <f>IFERROR(INDEX('nav master'!$C:$C, MATCH(B4716, 'nav master'!$B:$B, 0)), "")</f>
        <v>ULIF 012 04/01/07 WLI 110</v>
      </c>
      <c r="E4716" s="8">
        <v>40.99</v>
      </c>
      <c r="F4716" s="9">
        <v>45979</v>
      </c>
    </row>
    <row r="4717" spans="1:6" ht="60" x14ac:dyDescent="0.25">
      <c r="A4717" s="8" t="s">
        <v>63</v>
      </c>
      <c r="B4717" s="8" t="s">
        <v>79</v>
      </c>
      <c r="C4717" s="8" t="str">
        <f>IFERROR(_xlfn.XLOOKUP(TRIM(B4717),Lookup!$B$2:$B$1000,Lookup!$C$2:$C$1000),"")</f>
        <v>Debt</v>
      </c>
      <c r="D4717" s="8" t="str">
        <f>IFERROR(INDEX('nav master'!$C:$C, MATCH(B4717, 'nav master'!$B:$B, 0)), "")</f>
        <v>ULIF 012 04/01/07 WLI 110</v>
      </c>
      <c r="E4717" s="8">
        <v>41.001800000000003</v>
      </c>
      <c r="F4717" s="9">
        <v>45980</v>
      </c>
    </row>
    <row r="4718" spans="1:6" ht="60" x14ac:dyDescent="0.25">
      <c r="A4718" s="8" t="s">
        <v>63</v>
      </c>
      <c r="B4718" s="8" t="s">
        <v>79</v>
      </c>
      <c r="C4718" s="8" t="str">
        <f>IFERROR(_xlfn.XLOOKUP(TRIM(B4718),Lookup!$B$2:$B$1000,Lookup!$C$2:$C$1000),"")</f>
        <v>Debt</v>
      </c>
      <c r="D4718" s="8" t="str">
        <f>IFERROR(INDEX('nav master'!$C:$C, MATCH(B4718, 'nav master'!$B:$B, 0)), "")</f>
        <v>ULIF 012 04/01/07 WLI 110</v>
      </c>
      <c r="E4718" s="8">
        <v>41.017000000000003</v>
      </c>
      <c r="F4718" s="9">
        <v>45981</v>
      </c>
    </row>
    <row r="4719" spans="1:6" ht="60" x14ac:dyDescent="0.25">
      <c r="A4719" s="8" t="s">
        <v>63</v>
      </c>
      <c r="B4719" s="8" t="s">
        <v>79</v>
      </c>
      <c r="C4719" s="8" t="str">
        <f>IFERROR(_xlfn.XLOOKUP(TRIM(B4719),Lookup!$B$2:$B$1000,Lookup!$C$2:$C$1000),"")</f>
        <v>Debt</v>
      </c>
      <c r="D4719" s="8" t="str">
        <f>IFERROR(INDEX('nav master'!$C:$C, MATCH(B4719, 'nav master'!$B:$B, 0)), "")</f>
        <v>ULIF 012 04/01/07 WLI 110</v>
      </c>
      <c r="E4719" s="8">
        <v>40.981099999999998</v>
      </c>
      <c r="F4719" s="9">
        <v>45982</v>
      </c>
    </row>
    <row r="4720" spans="1:6" ht="60" x14ac:dyDescent="0.25">
      <c r="A4720" s="8" t="s">
        <v>63</v>
      </c>
      <c r="B4720" s="8" t="s">
        <v>79</v>
      </c>
      <c r="C4720" s="8" t="str">
        <f>IFERROR(_xlfn.XLOOKUP(TRIM(B4720),Lookup!$B$2:$B$1000,Lookup!$C$2:$C$1000),"")</f>
        <v>Debt</v>
      </c>
      <c r="D4720" s="8" t="str">
        <f>IFERROR(INDEX('nav master'!$C:$C, MATCH(B4720, 'nav master'!$B:$B, 0)), "")</f>
        <v>ULIF 012 04/01/07 WLI 110</v>
      </c>
      <c r="E4720" s="8">
        <v>41.047199999999997</v>
      </c>
      <c r="F4720" s="9">
        <v>45985</v>
      </c>
    </row>
    <row r="4721" spans="1:6" ht="60" x14ac:dyDescent="0.25">
      <c r="A4721" s="8" t="s">
        <v>63</v>
      </c>
      <c r="B4721" s="8" t="s">
        <v>79</v>
      </c>
      <c r="C4721" s="8" t="str">
        <f>IFERROR(_xlfn.XLOOKUP(TRIM(B4721),Lookup!$B$2:$B$1000,Lookup!$C$2:$C$1000),"")</f>
        <v>Debt</v>
      </c>
      <c r="D4721" s="8" t="str">
        <f>IFERROR(INDEX('nav master'!$C:$C, MATCH(B4721, 'nav master'!$B:$B, 0)), "")</f>
        <v>ULIF 012 04/01/07 WLI 110</v>
      </c>
      <c r="E4721" s="8">
        <v>41.111199999999997</v>
      </c>
      <c r="F4721" s="9">
        <v>45986</v>
      </c>
    </row>
    <row r="4722" spans="1:6" ht="60" x14ac:dyDescent="0.25">
      <c r="A4722" s="8" t="s">
        <v>63</v>
      </c>
      <c r="B4722" s="8" t="s">
        <v>79</v>
      </c>
      <c r="C4722" s="8" t="str">
        <f>IFERROR(_xlfn.XLOOKUP(TRIM(B4722),Lookup!$B$2:$B$1000,Lookup!$C$2:$C$1000),"")</f>
        <v>Debt</v>
      </c>
      <c r="D4722" s="8" t="str">
        <f>IFERROR(INDEX('nav master'!$C:$C, MATCH(B4722, 'nav master'!$B:$B, 0)), "")</f>
        <v>ULIF 012 04/01/07 WLI 110</v>
      </c>
      <c r="E4722" s="8">
        <v>41.140599999999999</v>
      </c>
      <c r="F4722" s="9">
        <v>45987</v>
      </c>
    </row>
    <row r="4723" spans="1:6" ht="60" x14ac:dyDescent="0.25">
      <c r="A4723" s="8" t="s">
        <v>63</v>
      </c>
      <c r="B4723" s="8" t="s">
        <v>79</v>
      </c>
      <c r="C4723" s="8" t="str">
        <f>IFERROR(_xlfn.XLOOKUP(TRIM(B4723),Lookup!$B$2:$B$1000,Lookup!$C$2:$C$1000),"")</f>
        <v>Debt</v>
      </c>
      <c r="D4723" s="8" t="str">
        <f>IFERROR(INDEX('nav master'!$C:$C, MATCH(B4723, 'nav master'!$B:$B, 0)), "")</f>
        <v>ULIF 012 04/01/07 WLI 110</v>
      </c>
      <c r="E4723" s="8">
        <v>41.130400000000002</v>
      </c>
      <c r="F4723" s="9">
        <v>45988</v>
      </c>
    </row>
    <row r="4724" spans="1:6" ht="60" x14ac:dyDescent="0.25">
      <c r="A4724" s="8" t="s">
        <v>63</v>
      </c>
      <c r="B4724" s="8" t="s">
        <v>79</v>
      </c>
      <c r="C4724" s="8" t="str">
        <f>IFERROR(_xlfn.XLOOKUP(TRIM(B4724),Lookup!$B$2:$B$1000,Lookup!$C$2:$C$1000),"")</f>
        <v>Debt</v>
      </c>
      <c r="D4724" s="8" t="str">
        <f>IFERROR(INDEX('nav master'!$C:$C, MATCH(B4724, 'nav master'!$B:$B, 0)), "")</f>
        <v>ULIF 012 04/01/07 WLI 110</v>
      </c>
      <c r="E4724" s="8">
        <v>41.058</v>
      </c>
      <c r="F4724" s="9">
        <v>45989</v>
      </c>
    </row>
    <row r="4725" spans="1:6" ht="60" x14ac:dyDescent="0.25">
      <c r="A4725" s="8" t="s">
        <v>63</v>
      </c>
      <c r="B4725" s="8" t="s">
        <v>79</v>
      </c>
      <c r="C4725" s="8" t="str">
        <f>IFERROR(_xlfn.XLOOKUP(TRIM(B4725),Lookup!$B$2:$B$1000,Lookup!$C$2:$C$1000),"")</f>
        <v>Debt</v>
      </c>
      <c r="D4725" s="8" t="str">
        <f>IFERROR(INDEX('nav master'!$C:$C, MATCH(B4725, 'nav master'!$B:$B, 0)), "")</f>
        <v>ULIF 012 04/01/07 WLI 110</v>
      </c>
      <c r="E4725" s="8">
        <v>40.995399999999997</v>
      </c>
      <c r="F4725" s="9">
        <v>45992</v>
      </c>
    </row>
    <row r="4726" spans="1:6" ht="60" x14ac:dyDescent="0.25">
      <c r="A4726" s="8" t="s">
        <v>63</v>
      </c>
      <c r="B4726" s="8" t="s">
        <v>79</v>
      </c>
      <c r="C4726" s="8" t="str">
        <f>IFERROR(_xlfn.XLOOKUP(TRIM(B4726),Lookup!$B$2:$B$1000,Lookup!$C$2:$C$1000),"")</f>
        <v>Debt</v>
      </c>
      <c r="D4726" s="8" t="str">
        <f>IFERROR(INDEX('nav master'!$C:$C, MATCH(B4726, 'nav master'!$B:$B, 0)), "")</f>
        <v>ULIF 012 04/01/07 WLI 110</v>
      </c>
      <c r="E4726" s="8">
        <v>41.066600000000001</v>
      </c>
      <c r="F4726" s="9">
        <v>45993</v>
      </c>
    </row>
    <row r="4727" spans="1:6" ht="60" x14ac:dyDescent="0.25">
      <c r="A4727" s="8" t="s">
        <v>63</v>
      </c>
      <c r="B4727" s="8" t="s">
        <v>79</v>
      </c>
      <c r="C4727" s="8" t="str">
        <f>IFERROR(_xlfn.XLOOKUP(TRIM(B4727),Lookup!$B$2:$B$1000,Lookup!$C$2:$C$1000),"")</f>
        <v>Debt</v>
      </c>
      <c r="D4727" s="8" t="str">
        <f>IFERROR(INDEX('nav master'!$C:$C, MATCH(B4727, 'nav master'!$B:$B, 0)), "")</f>
        <v>ULIF 012 04/01/07 WLI 110</v>
      </c>
      <c r="E4727" s="8">
        <v>41.057299999999998</v>
      </c>
      <c r="F4727" s="9">
        <v>45994</v>
      </c>
    </row>
    <row r="4728" spans="1:6" ht="60" x14ac:dyDescent="0.25">
      <c r="A4728" s="8" t="s">
        <v>63</v>
      </c>
      <c r="B4728" s="8" t="s">
        <v>79</v>
      </c>
      <c r="C4728" s="8" t="str">
        <f>IFERROR(_xlfn.XLOOKUP(TRIM(B4728),Lookup!$B$2:$B$1000,Lookup!$C$2:$C$1000),"")</f>
        <v>Debt</v>
      </c>
      <c r="D4728" s="8" t="str">
        <f>IFERROR(INDEX('nav master'!$C:$C, MATCH(B4728, 'nav master'!$B:$B, 0)), "")</f>
        <v>ULIF 012 04/01/07 WLI 110</v>
      </c>
      <c r="E4728" s="8">
        <v>41.057400000000001</v>
      </c>
      <c r="F4728" s="9">
        <v>45995</v>
      </c>
    </row>
    <row r="4729" spans="1:6" ht="60" x14ac:dyDescent="0.25">
      <c r="A4729" s="8" t="s">
        <v>63</v>
      </c>
      <c r="B4729" s="8" t="s">
        <v>79</v>
      </c>
      <c r="C4729" s="8" t="str">
        <f>IFERROR(_xlfn.XLOOKUP(TRIM(B4729),Lookup!$B$2:$B$1000,Lookup!$C$2:$C$1000),"")</f>
        <v>Debt</v>
      </c>
      <c r="D4729" s="8" t="str">
        <f>IFERROR(INDEX('nav master'!$C:$C, MATCH(B4729, 'nav master'!$B:$B, 0)), "")</f>
        <v>ULIF 012 04/01/07 WLI 110</v>
      </c>
      <c r="E4729" s="8">
        <v>41.145299999999999</v>
      </c>
      <c r="F4729" s="9">
        <v>45996</v>
      </c>
    </row>
    <row r="4730" spans="1:6" ht="60" x14ac:dyDescent="0.25">
      <c r="A4730" s="8" t="s">
        <v>63</v>
      </c>
      <c r="B4730" s="8" t="s">
        <v>79</v>
      </c>
      <c r="C4730" s="8" t="str">
        <f>IFERROR(_xlfn.XLOOKUP(TRIM(B4730),Lookup!$B$2:$B$1000,Lookup!$C$2:$C$1000),"")</f>
        <v>Debt</v>
      </c>
      <c r="D4730" s="8" t="str">
        <f>IFERROR(INDEX('nav master'!$C:$C, MATCH(B4730, 'nav master'!$B:$B, 0)), "")</f>
        <v>ULIF 012 04/01/07 WLI 110</v>
      </c>
      <c r="E4730" s="8">
        <v>41.098199999999999</v>
      </c>
      <c r="F4730" s="9">
        <v>45999</v>
      </c>
    </row>
    <row r="4731" spans="1:6" ht="60" x14ac:dyDescent="0.25">
      <c r="A4731" s="8" t="s">
        <v>63</v>
      </c>
      <c r="B4731" s="8" t="s">
        <v>79</v>
      </c>
      <c r="C4731" s="8" t="str">
        <f>IFERROR(_xlfn.XLOOKUP(TRIM(B4731),Lookup!$B$2:$B$1000,Lookup!$C$2:$C$1000),"")</f>
        <v>Debt</v>
      </c>
      <c r="D4731" s="8" t="str">
        <f>IFERROR(INDEX('nav master'!$C:$C, MATCH(B4731, 'nav master'!$B:$B, 0)), "")</f>
        <v>ULIF 012 04/01/07 WLI 110</v>
      </c>
      <c r="E4731" s="8">
        <v>40.952500000000001</v>
      </c>
      <c r="F4731" s="9">
        <v>46000</v>
      </c>
    </row>
    <row r="4732" spans="1:6" ht="60" x14ac:dyDescent="0.25">
      <c r="A4732" s="8" t="s">
        <v>63</v>
      </c>
      <c r="B4732" s="8" t="s">
        <v>79</v>
      </c>
      <c r="C4732" s="8" t="str">
        <f>IFERROR(_xlfn.XLOOKUP(TRIM(B4732),Lookup!$B$2:$B$1000,Lookup!$C$2:$C$1000),"")</f>
        <v>Debt</v>
      </c>
      <c r="D4732" s="8" t="str">
        <f>IFERROR(INDEX('nav master'!$C:$C, MATCH(B4732, 'nav master'!$B:$B, 0)), "")</f>
        <v>ULIF 012 04/01/07 WLI 110</v>
      </c>
      <c r="E4732" s="8">
        <v>40.880699999999997</v>
      </c>
      <c r="F4732" s="9">
        <v>46001</v>
      </c>
    </row>
    <row r="4733" spans="1:6" ht="60" x14ac:dyDescent="0.25">
      <c r="A4733" s="8" t="s">
        <v>63</v>
      </c>
      <c r="B4733" s="8" t="s">
        <v>79</v>
      </c>
      <c r="C4733" s="8" t="str">
        <f>IFERROR(_xlfn.XLOOKUP(TRIM(B4733),Lookup!$B$2:$B$1000,Lookup!$C$2:$C$1000),"")</f>
        <v>Debt</v>
      </c>
      <c r="D4733" s="8" t="str">
        <f>IFERROR(INDEX('nav master'!$C:$C, MATCH(B4733, 'nav master'!$B:$B, 0)), "")</f>
        <v>ULIF 012 04/01/07 WLI 110</v>
      </c>
      <c r="E4733" s="8">
        <v>40.94</v>
      </c>
      <c r="F4733" s="9">
        <v>46002</v>
      </c>
    </row>
    <row r="4734" spans="1:6" ht="60" x14ac:dyDescent="0.25">
      <c r="A4734" s="8" t="s">
        <v>63</v>
      </c>
      <c r="B4734" s="8" t="s">
        <v>79</v>
      </c>
      <c r="C4734" s="8" t="str">
        <f>IFERROR(_xlfn.XLOOKUP(TRIM(B4734),Lookup!$B$2:$B$1000,Lookup!$C$2:$C$1000),"")</f>
        <v>Debt</v>
      </c>
      <c r="D4734" s="8" t="str">
        <f>IFERROR(INDEX('nav master'!$C:$C, MATCH(B4734, 'nav master'!$B:$B, 0)), "")</f>
        <v>ULIF 012 04/01/07 WLI 110</v>
      </c>
      <c r="E4734" s="8">
        <v>40.965600000000002</v>
      </c>
      <c r="F4734" s="9">
        <v>46003</v>
      </c>
    </row>
    <row r="4735" spans="1:6" ht="60" x14ac:dyDescent="0.25">
      <c r="A4735" s="8" t="s">
        <v>63</v>
      </c>
      <c r="B4735" s="8" t="s">
        <v>79</v>
      </c>
      <c r="C4735" s="8" t="str">
        <f>IFERROR(_xlfn.XLOOKUP(TRIM(B4735),Lookup!$B$2:$B$1000,Lookup!$C$2:$C$1000),"")</f>
        <v>Debt</v>
      </c>
      <c r="D4735" s="8" t="str">
        <f>IFERROR(INDEX('nav master'!$C:$C, MATCH(B4735, 'nav master'!$B:$B, 0)), "")</f>
        <v>ULIF 012 04/01/07 WLI 110</v>
      </c>
      <c r="E4735" s="8">
        <v>41</v>
      </c>
      <c r="F4735" s="9">
        <v>46006</v>
      </c>
    </row>
    <row r="4736" spans="1:6" ht="60" x14ac:dyDescent="0.25">
      <c r="A4736" s="8" t="s">
        <v>63</v>
      </c>
      <c r="B4736" s="8" t="s">
        <v>79</v>
      </c>
      <c r="C4736" s="8" t="str">
        <f>IFERROR(_xlfn.XLOOKUP(TRIM(B4736),Lookup!$B$2:$B$1000,Lookup!$C$2:$C$1000),"")</f>
        <v>Debt</v>
      </c>
      <c r="D4736" s="8" t="str">
        <f>IFERROR(INDEX('nav master'!$C:$C, MATCH(B4736, 'nav master'!$B:$B, 0)), "")</f>
        <v>ULIF 012 04/01/07 WLI 110</v>
      </c>
      <c r="E4736" s="8">
        <v>41.031700000000001</v>
      </c>
      <c r="F4736" s="9">
        <v>46007</v>
      </c>
    </row>
    <row r="4737" spans="1:6" ht="60" x14ac:dyDescent="0.25">
      <c r="A4737" s="8" t="s">
        <v>63</v>
      </c>
      <c r="B4737" s="8" t="s">
        <v>79</v>
      </c>
      <c r="C4737" s="8" t="str">
        <f>IFERROR(_xlfn.XLOOKUP(TRIM(B4737),Lookup!$B$2:$B$1000,Lookup!$C$2:$C$1000),"")</f>
        <v>Debt</v>
      </c>
      <c r="D4737" s="8" t="str">
        <f>IFERROR(INDEX('nav master'!$C:$C, MATCH(B4737, 'nav master'!$B:$B, 0)), "")</f>
        <v>ULIF 012 04/01/07 WLI 110</v>
      </c>
      <c r="E4737" s="8">
        <v>41.019300000000001</v>
      </c>
      <c r="F4737" s="9">
        <v>46008</v>
      </c>
    </row>
    <row r="4738" spans="1:6" ht="60" x14ac:dyDescent="0.25">
      <c r="A4738" s="8" t="s">
        <v>63</v>
      </c>
      <c r="B4738" s="8" t="s">
        <v>79</v>
      </c>
      <c r="C4738" s="8" t="str">
        <f>IFERROR(_xlfn.XLOOKUP(TRIM(B4738),Lookup!$B$2:$B$1000,Lookup!$C$2:$C$1000),"")</f>
        <v>Debt</v>
      </c>
      <c r="D4738" s="8" t="str">
        <f>IFERROR(INDEX('nav master'!$C:$C, MATCH(B4738, 'nav master'!$B:$B, 0)), "")</f>
        <v>ULIF 012 04/01/07 WLI 110</v>
      </c>
      <c r="E4738" s="8">
        <v>41.050699999999999</v>
      </c>
      <c r="F4738" s="9">
        <v>46009</v>
      </c>
    </row>
    <row r="4739" spans="1:6" ht="60" x14ac:dyDescent="0.25">
      <c r="A4739" s="8" t="s">
        <v>63</v>
      </c>
      <c r="B4739" s="8" t="s">
        <v>79</v>
      </c>
      <c r="C4739" s="8" t="str">
        <f>IFERROR(_xlfn.XLOOKUP(TRIM(B4739),Lookup!$B$2:$B$1000,Lookup!$C$2:$C$1000),"")</f>
        <v>Debt</v>
      </c>
      <c r="D4739" s="8" t="str">
        <f>IFERROR(INDEX('nav master'!$C:$C, MATCH(B4739, 'nav master'!$B:$B, 0)), "")</f>
        <v>ULIF 012 04/01/07 WLI 110</v>
      </c>
      <c r="E4739" s="8">
        <v>41.0501</v>
      </c>
      <c r="F4739" s="9">
        <v>46010</v>
      </c>
    </row>
    <row r="4740" spans="1:6" ht="60" x14ac:dyDescent="0.25">
      <c r="A4740" s="8" t="s">
        <v>63</v>
      </c>
      <c r="B4740" s="8" t="s">
        <v>79</v>
      </c>
      <c r="C4740" s="8" t="str">
        <f>IFERROR(_xlfn.XLOOKUP(TRIM(B4740),Lookup!$B$2:$B$1000,Lookup!$C$2:$C$1000),"")</f>
        <v>Debt</v>
      </c>
      <c r="D4740" s="8" t="str">
        <f>IFERROR(INDEX('nav master'!$C:$C, MATCH(B4740, 'nav master'!$B:$B, 0)), "")</f>
        <v>ULIF 012 04/01/07 WLI 110</v>
      </c>
      <c r="E4740" s="8">
        <v>40.922400000000003</v>
      </c>
      <c r="F4740" s="9">
        <v>46013</v>
      </c>
    </row>
    <row r="4741" spans="1:6" ht="60" x14ac:dyDescent="0.25">
      <c r="A4741" s="8" t="s">
        <v>63</v>
      </c>
      <c r="B4741" s="8" t="s">
        <v>79</v>
      </c>
      <c r="C4741" s="8" t="str">
        <f>IFERROR(_xlfn.XLOOKUP(TRIM(B4741),Lookup!$B$2:$B$1000,Lookup!$C$2:$C$1000),"")</f>
        <v>Debt</v>
      </c>
      <c r="D4741" s="8" t="str">
        <f>IFERROR(INDEX('nav master'!$C:$C, MATCH(B4741, 'nav master'!$B:$B, 0)), "")</f>
        <v>ULIF 012 04/01/07 WLI 110</v>
      </c>
      <c r="E4741" s="8">
        <v>40.973500000000001</v>
      </c>
      <c r="F4741" s="9">
        <v>46014</v>
      </c>
    </row>
    <row r="4742" spans="1:6" ht="60" x14ac:dyDescent="0.25">
      <c r="A4742" s="8" t="s">
        <v>63</v>
      </c>
      <c r="B4742" s="8" t="s">
        <v>79</v>
      </c>
      <c r="C4742" s="8" t="str">
        <f>IFERROR(_xlfn.XLOOKUP(TRIM(B4742),Lookup!$B$2:$B$1000,Lookup!$C$2:$C$1000),"")</f>
        <v>Debt</v>
      </c>
      <c r="D4742" s="8" t="str">
        <f>IFERROR(INDEX('nav master'!$C:$C, MATCH(B4742, 'nav master'!$B:$B, 0)), "")</f>
        <v>ULIF 012 04/01/07 WLI 110</v>
      </c>
      <c r="E4742" s="8">
        <v>41.145600000000002</v>
      </c>
      <c r="F4742" s="9">
        <v>46015</v>
      </c>
    </row>
    <row r="4743" spans="1:6" ht="60" x14ac:dyDescent="0.25">
      <c r="A4743" s="8" t="s">
        <v>63</v>
      </c>
      <c r="B4743" s="8" t="s">
        <v>79</v>
      </c>
      <c r="C4743" s="8" t="str">
        <f>IFERROR(_xlfn.XLOOKUP(TRIM(B4743),Lookup!$B$2:$B$1000,Lookup!$C$2:$C$1000),"")</f>
        <v>Debt</v>
      </c>
      <c r="D4743" s="8" t="str">
        <f>IFERROR(INDEX('nav master'!$C:$C, MATCH(B4743, 'nav master'!$B:$B, 0)), "")</f>
        <v>ULIF 012 04/01/07 WLI 110</v>
      </c>
      <c r="E4743" s="8">
        <v>41.136099999999999</v>
      </c>
      <c r="F4743" s="9">
        <v>46017</v>
      </c>
    </row>
    <row r="4744" spans="1:6" ht="60" x14ac:dyDescent="0.25">
      <c r="A4744" s="8" t="s">
        <v>63</v>
      </c>
      <c r="B4744" s="8" t="s">
        <v>79</v>
      </c>
      <c r="C4744" s="8" t="str">
        <f>IFERROR(_xlfn.XLOOKUP(TRIM(B4744),Lookup!$B$2:$B$1000,Lookup!$C$2:$C$1000),"")</f>
        <v>Debt</v>
      </c>
      <c r="D4744" s="8" t="str">
        <f>IFERROR(INDEX('nav master'!$C:$C, MATCH(B4744, 'nav master'!$B:$B, 0)), "")</f>
        <v>ULIF 012 04/01/07 WLI 110</v>
      </c>
      <c r="E4744" s="8">
        <v>41.158999999999999</v>
      </c>
      <c r="F4744" s="9">
        <v>46020</v>
      </c>
    </row>
    <row r="4745" spans="1:6" ht="60" x14ac:dyDescent="0.25">
      <c r="A4745" s="8" t="s">
        <v>63</v>
      </c>
      <c r="B4745" s="8" t="s">
        <v>79</v>
      </c>
      <c r="C4745" s="8" t="str">
        <f>IFERROR(_xlfn.XLOOKUP(TRIM(B4745),Lookup!$B$2:$B$1000,Lookup!$C$2:$C$1000),"")</f>
        <v>Debt</v>
      </c>
      <c r="D4745" s="8" t="str">
        <f>IFERROR(INDEX('nav master'!$C:$C, MATCH(B4745, 'nav master'!$B:$B, 0)), "")</f>
        <v>ULIF 012 04/01/07 WLI 110</v>
      </c>
      <c r="E4745" s="8">
        <v>41.161299999999997</v>
      </c>
      <c r="F4745" s="9">
        <v>46021</v>
      </c>
    </row>
    <row r="4746" spans="1:6" ht="60" x14ac:dyDescent="0.25">
      <c r="A4746" s="8" t="s">
        <v>63</v>
      </c>
      <c r="B4746" s="8" t="s">
        <v>79</v>
      </c>
      <c r="C4746" s="8" t="str">
        <f>IFERROR(_xlfn.XLOOKUP(TRIM(B4746),Lookup!$B$2:$B$1000,Lookup!$C$2:$C$1000),"")</f>
        <v>Debt</v>
      </c>
      <c r="D4746" s="8" t="str">
        <f>IFERROR(INDEX('nav master'!$C:$C, MATCH(B4746, 'nav master'!$B:$B, 0)), "")</f>
        <v>ULIF 012 04/01/07 WLI 110</v>
      </c>
      <c r="E4746" s="8">
        <v>41.188699999999997</v>
      </c>
      <c r="F4746" s="9">
        <v>46022</v>
      </c>
    </row>
    <row r="4747" spans="1:6" ht="60" x14ac:dyDescent="0.25">
      <c r="A4747" s="8" t="s">
        <v>63</v>
      </c>
      <c r="B4747" s="8" t="s">
        <v>79</v>
      </c>
      <c r="C4747" s="8" t="str">
        <f>IFERROR(_xlfn.XLOOKUP(TRIM(B4747),Lookup!$B$2:$B$1000,Lookup!$C$2:$C$1000),"")</f>
        <v>Debt</v>
      </c>
      <c r="D4747" s="8" t="str">
        <f>IFERROR(INDEX('nav master'!$C:$C, MATCH(B4747, 'nav master'!$B:$B, 0)), "")</f>
        <v>ULIF 012 04/01/07 WLI 110</v>
      </c>
      <c r="E4747" s="8">
        <v>41.174599999999998</v>
      </c>
      <c r="F4747" s="9">
        <v>46023</v>
      </c>
    </row>
    <row r="4748" spans="1:6" ht="60" x14ac:dyDescent="0.25">
      <c r="A4748" s="8" t="s">
        <v>63</v>
      </c>
      <c r="B4748" s="8" t="s">
        <v>79</v>
      </c>
      <c r="C4748" s="8" t="str">
        <f>IFERROR(_xlfn.XLOOKUP(TRIM(B4748),Lookup!$B$2:$B$1000,Lookup!$C$2:$C$1000),"")</f>
        <v>Debt</v>
      </c>
      <c r="D4748" s="8" t="str">
        <f>IFERROR(INDEX('nav master'!$C:$C, MATCH(B4748, 'nav master'!$B:$B, 0)), "")</f>
        <v>ULIF 012 04/01/07 WLI 110</v>
      </c>
      <c r="E4748" s="8">
        <v>41.162599999999998</v>
      </c>
      <c r="F4748" s="9">
        <v>46024</v>
      </c>
    </row>
    <row r="4749" spans="1:6" ht="60" x14ac:dyDescent="0.25">
      <c r="A4749" s="8" t="s">
        <v>63</v>
      </c>
      <c r="B4749" s="8" t="s">
        <v>79</v>
      </c>
      <c r="C4749" s="8" t="str">
        <f>IFERROR(_xlfn.XLOOKUP(TRIM(B4749),Lookup!$B$2:$B$1000,Lookup!$C$2:$C$1000),"")</f>
        <v>Debt</v>
      </c>
      <c r="D4749" s="8" t="str">
        <f>IFERROR(INDEX('nav master'!$C:$C, MATCH(B4749, 'nav master'!$B:$B, 0)), "")</f>
        <v>ULIF 012 04/01/07 WLI 110</v>
      </c>
      <c r="E4749" s="8">
        <v>41.073599999999999</v>
      </c>
      <c r="F4749" s="9">
        <v>46027</v>
      </c>
    </row>
    <row r="4750" spans="1:6" ht="60" x14ac:dyDescent="0.25">
      <c r="A4750" s="8" t="s">
        <v>63</v>
      </c>
      <c r="B4750" s="8" t="s">
        <v>79</v>
      </c>
      <c r="C4750" s="8" t="str">
        <f>IFERROR(_xlfn.XLOOKUP(TRIM(B4750),Lookup!$B$2:$B$1000,Lookup!$C$2:$C$1000),"")</f>
        <v>Debt</v>
      </c>
      <c r="D4750" s="8" t="str">
        <f>IFERROR(INDEX('nav master'!$C:$C, MATCH(B4750, 'nav master'!$B:$B, 0)), "")</f>
        <v>ULIF 012 04/01/07 WLI 110</v>
      </c>
      <c r="E4750" s="8">
        <v>41.086599999999997</v>
      </c>
      <c r="F4750" s="9">
        <v>46028</v>
      </c>
    </row>
    <row r="4751" spans="1:6" ht="60" x14ac:dyDescent="0.25">
      <c r="A4751" s="8" t="s">
        <v>63</v>
      </c>
      <c r="B4751" s="8" t="s">
        <v>79</v>
      </c>
      <c r="C4751" s="8" t="str">
        <f>IFERROR(_xlfn.XLOOKUP(TRIM(B4751),Lookup!$B$2:$B$1000,Lookup!$C$2:$C$1000),"")</f>
        <v>Debt</v>
      </c>
      <c r="D4751" s="8" t="str">
        <f>IFERROR(INDEX('nav master'!$C:$C, MATCH(B4751, 'nav master'!$B:$B, 0)), "")</f>
        <v>ULIF 012 04/01/07 WLI 110</v>
      </c>
      <c r="E4751" s="8">
        <v>41.0974</v>
      </c>
      <c r="F4751" s="9">
        <v>46029</v>
      </c>
    </row>
    <row r="4752" spans="1:6" ht="60" x14ac:dyDescent="0.25">
      <c r="A4752" s="8" t="s">
        <v>63</v>
      </c>
      <c r="B4752" s="8" t="s">
        <v>79</v>
      </c>
      <c r="C4752" s="8" t="str">
        <f>IFERROR(_xlfn.XLOOKUP(TRIM(B4752),Lookup!$B$2:$B$1000,Lookup!$C$2:$C$1000),"")</f>
        <v>Debt</v>
      </c>
      <c r="D4752" s="8" t="str">
        <f>IFERROR(INDEX('nav master'!$C:$C, MATCH(B4752, 'nav master'!$B:$B, 0)), "")</f>
        <v>ULIF 012 04/01/07 WLI 110</v>
      </c>
      <c r="E4752" s="8">
        <v>41.069400000000002</v>
      </c>
      <c r="F4752" s="9">
        <v>46030</v>
      </c>
    </row>
    <row r="4753" spans="1:6" ht="60" x14ac:dyDescent="0.25">
      <c r="A4753" s="8" t="s">
        <v>63</v>
      </c>
      <c r="B4753" s="8" t="s">
        <v>79</v>
      </c>
      <c r="C4753" s="8" t="str">
        <f>IFERROR(_xlfn.XLOOKUP(TRIM(B4753),Lookup!$B$2:$B$1000,Lookup!$C$2:$C$1000),"")</f>
        <v>Debt</v>
      </c>
      <c r="D4753" s="8" t="str">
        <f>IFERROR(INDEX('nav master'!$C:$C, MATCH(B4753, 'nav master'!$B:$B, 0)), "")</f>
        <v>ULIF 012 04/01/07 WLI 110</v>
      </c>
      <c r="E4753" s="8">
        <v>41.074399999999997</v>
      </c>
      <c r="F4753" s="9">
        <v>46031</v>
      </c>
    </row>
    <row r="4754" spans="1:6" ht="60" x14ac:dyDescent="0.25">
      <c r="A4754" s="8" t="s">
        <v>63</v>
      </c>
      <c r="B4754" s="8" t="s">
        <v>79</v>
      </c>
      <c r="C4754" s="8" t="str">
        <f>IFERROR(_xlfn.XLOOKUP(TRIM(B4754),Lookup!$B$2:$B$1000,Lookup!$C$2:$C$1000),"")</f>
        <v>Debt</v>
      </c>
      <c r="D4754" s="8" t="str">
        <f>IFERROR(INDEX('nav master'!$C:$C, MATCH(B4754, 'nav master'!$B:$B, 0)), "")</f>
        <v>ULIF 012 04/01/07 WLI 110</v>
      </c>
      <c r="E4754" s="8">
        <v>41.134799999999998</v>
      </c>
      <c r="F4754" s="9">
        <v>46034</v>
      </c>
    </row>
    <row r="4755" spans="1:6" ht="60" x14ac:dyDescent="0.25">
      <c r="A4755" s="8" t="s">
        <v>63</v>
      </c>
      <c r="B4755" s="8" t="s">
        <v>79</v>
      </c>
      <c r="C4755" s="8" t="str">
        <f>IFERROR(_xlfn.XLOOKUP(TRIM(B4755),Lookup!$B$2:$B$1000,Lookup!$C$2:$C$1000),"")</f>
        <v>Debt</v>
      </c>
      <c r="D4755" s="8" t="str">
        <f>IFERROR(INDEX('nav master'!$C:$C, MATCH(B4755, 'nav master'!$B:$B, 0)), "")</f>
        <v>ULIF 012 04/01/07 WLI 110</v>
      </c>
      <c r="E4755" s="8">
        <v>41.090699999999998</v>
      </c>
      <c r="F4755" s="9">
        <v>46035</v>
      </c>
    </row>
    <row r="4756" spans="1:6" ht="60" x14ac:dyDescent="0.25">
      <c r="A4756" s="8" t="s">
        <v>63</v>
      </c>
      <c r="B4756" s="8" t="s">
        <v>79</v>
      </c>
      <c r="C4756" s="8" t="str">
        <f>IFERROR(_xlfn.XLOOKUP(TRIM(B4756),Lookup!$B$2:$B$1000,Lookup!$C$2:$C$1000),"")</f>
        <v>Debt</v>
      </c>
      <c r="D4756" s="8" t="str">
        <f>IFERROR(INDEX('nav master'!$C:$C, MATCH(B4756, 'nav master'!$B:$B, 0)), "")</f>
        <v>ULIF 012 04/01/07 WLI 110</v>
      </c>
      <c r="E4756" s="8">
        <v>41.055300000000003</v>
      </c>
      <c r="F4756" s="9">
        <v>46036</v>
      </c>
    </row>
    <row r="4757" spans="1:6" ht="60" x14ac:dyDescent="0.25">
      <c r="A4757" s="8" t="s">
        <v>63</v>
      </c>
      <c r="B4757" s="8" t="s">
        <v>79</v>
      </c>
      <c r="C4757" s="8" t="str">
        <f>IFERROR(_xlfn.XLOOKUP(TRIM(B4757),Lookup!$B$2:$B$1000,Lookup!$C$2:$C$1000),"")</f>
        <v>Debt</v>
      </c>
      <c r="D4757" s="8" t="str">
        <f>IFERROR(INDEX('nav master'!$C:$C, MATCH(B4757, 'nav master'!$B:$B, 0)), "")</f>
        <v>ULIF 012 04/01/07 WLI 110</v>
      </c>
      <c r="E4757" s="8">
        <v>40.991</v>
      </c>
      <c r="F4757" s="9">
        <v>46038</v>
      </c>
    </row>
    <row r="4758" spans="1:6" ht="60" x14ac:dyDescent="0.25">
      <c r="A4758" s="8" t="s">
        <v>63</v>
      </c>
      <c r="B4758" s="8" t="s">
        <v>79</v>
      </c>
      <c r="C4758" s="8" t="str">
        <f>IFERROR(_xlfn.XLOOKUP(TRIM(B4758),Lookup!$B$2:$B$1000,Lookup!$C$2:$C$1000),"")</f>
        <v>Debt</v>
      </c>
      <c r="D4758" s="8" t="str">
        <f>IFERROR(INDEX('nav master'!$C:$C, MATCH(B4758, 'nav master'!$B:$B, 0)), "")</f>
        <v>ULIF 012 04/01/07 WLI 110</v>
      </c>
      <c r="E4758" s="8">
        <v>40.972799999999999</v>
      </c>
      <c r="F4758" s="9">
        <v>46041</v>
      </c>
    </row>
    <row r="4759" spans="1:6" ht="60" x14ac:dyDescent="0.25">
      <c r="A4759" s="8" t="s">
        <v>63</v>
      </c>
      <c r="B4759" s="8" t="s">
        <v>79</v>
      </c>
      <c r="C4759" s="8" t="str">
        <f>IFERROR(_xlfn.XLOOKUP(TRIM(B4759),Lookup!$B$2:$B$1000,Lookup!$C$2:$C$1000),"")</f>
        <v>Debt</v>
      </c>
      <c r="D4759" s="8" t="str">
        <f>IFERROR(INDEX('nav master'!$C:$C, MATCH(B4759, 'nav master'!$B:$B, 0)), "")</f>
        <v>ULIF 012 04/01/07 WLI 110</v>
      </c>
      <c r="E4759" s="8">
        <v>40.969299999999997</v>
      </c>
      <c r="F4759" s="9">
        <v>46042</v>
      </c>
    </row>
    <row r="4760" spans="1:6" ht="60" x14ac:dyDescent="0.25">
      <c r="A4760" s="8" t="s">
        <v>63</v>
      </c>
      <c r="B4760" s="8" t="s">
        <v>79</v>
      </c>
      <c r="C4760" s="8" t="str">
        <f>IFERROR(_xlfn.XLOOKUP(TRIM(B4760),Lookup!$B$2:$B$1000,Lookup!$C$2:$C$1000),"")</f>
        <v>Debt</v>
      </c>
      <c r="D4760" s="8" t="str">
        <f>IFERROR(INDEX('nav master'!$C:$C, MATCH(B4760, 'nav master'!$B:$B, 0)), "")</f>
        <v>ULIF 012 04/01/07 WLI 110</v>
      </c>
      <c r="E4760" s="8">
        <v>40.995899999999999</v>
      </c>
      <c r="F4760" s="9">
        <v>46043</v>
      </c>
    </row>
    <row r="4761" spans="1:6" ht="60" x14ac:dyDescent="0.25">
      <c r="A4761" s="8" t="s">
        <v>63</v>
      </c>
      <c r="B4761" s="8" t="s">
        <v>79</v>
      </c>
      <c r="C4761" s="8" t="str">
        <f>IFERROR(_xlfn.XLOOKUP(TRIM(B4761),Lookup!$B$2:$B$1000,Lookup!$C$2:$C$1000),"")</f>
        <v>Debt</v>
      </c>
      <c r="D4761" s="8" t="str">
        <f>IFERROR(INDEX('nav master'!$C:$C, MATCH(B4761, 'nav master'!$B:$B, 0)), "")</f>
        <v>ULIF 012 04/01/07 WLI 110</v>
      </c>
      <c r="E4761" s="8">
        <v>41.049799999999998</v>
      </c>
      <c r="F4761" s="9">
        <v>46044</v>
      </c>
    </row>
    <row r="4762" spans="1:6" ht="60" x14ac:dyDescent="0.25">
      <c r="A4762" s="8" t="s">
        <v>63</v>
      </c>
      <c r="B4762" s="8" t="s">
        <v>79</v>
      </c>
      <c r="C4762" s="8" t="str">
        <f>IFERROR(_xlfn.XLOOKUP(TRIM(B4762),Lookup!$B$2:$B$1000,Lookup!$C$2:$C$1000),"")</f>
        <v>Debt</v>
      </c>
      <c r="D4762" s="8" t="str">
        <f>IFERROR(INDEX('nav master'!$C:$C, MATCH(B4762, 'nav master'!$B:$B, 0)), "")</f>
        <v>ULIF 012 04/01/07 WLI 110</v>
      </c>
      <c r="E4762" s="8">
        <v>41.039099999999998</v>
      </c>
      <c r="F4762" s="9">
        <v>46045</v>
      </c>
    </row>
    <row r="4763" spans="1:6" ht="60" x14ac:dyDescent="0.25">
      <c r="A4763" s="8" t="s">
        <v>63</v>
      </c>
      <c r="B4763" s="8" t="s">
        <v>79</v>
      </c>
      <c r="C4763" s="8" t="str">
        <f>IFERROR(_xlfn.XLOOKUP(TRIM(B4763),Lookup!$B$2:$B$1000,Lookup!$C$2:$C$1000),"")</f>
        <v>Debt</v>
      </c>
      <c r="D4763" s="8" t="str">
        <f>IFERROR(INDEX('nav master'!$C:$C, MATCH(B4763, 'nav master'!$B:$B, 0)), "")</f>
        <v>ULIF 012 04/01/07 WLI 110</v>
      </c>
      <c r="E4763" s="8">
        <v>40.986899999999999</v>
      </c>
      <c r="F4763" s="9">
        <v>46049</v>
      </c>
    </row>
    <row r="4764" spans="1:6" ht="60" x14ac:dyDescent="0.25">
      <c r="A4764" s="8" t="s">
        <v>63</v>
      </c>
      <c r="B4764" s="8" t="s">
        <v>79</v>
      </c>
      <c r="C4764" s="8" t="str">
        <f>IFERROR(_xlfn.XLOOKUP(TRIM(B4764),Lookup!$B$2:$B$1000,Lookup!$C$2:$C$1000),"")</f>
        <v>Debt</v>
      </c>
      <c r="D4764" s="8" t="str">
        <f>IFERROR(INDEX('nav master'!$C:$C, MATCH(B4764, 'nav master'!$B:$B, 0)), "")</f>
        <v>ULIF 012 04/01/07 WLI 110</v>
      </c>
      <c r="E4764" s="8">
        <v>41.022500000000001</v>
      </c>
      <c r="F4764" s="9">
        <v>46050</v>
      </c>
    </row>
    <row r="4765" spans="1:6" ht="60" x14ac:dyDescent="0.25">
      <c r="A4765" s="8" t="s">
        <v>63</v>
      </c>
      <c r="B4765" s="8" t="s">
        <v>79</v>
      </c>
      <c r="C4765" s="8" t="str">
        <f>IFERROR(_xlfn.XLOOKUP(TRIM(B4765),Lookup!$B$2:$B$1000,Lookup!$C$2:$C$1000),"")</f>
        <v>Debt</v>
      </c>
      <c r="D4765" s="8" t="str">
        <f>IFERROR(INDEX('nav master'!$C:$C, MATCH(B4765, 'nav master'!$B:$B, 0)), "")</f>
        <v>ULIF 012 04/01/07 WLI 110</v>
      </c>
      <c r="E4765" s="8">
        <v>41.041699999999999</v>
      </c>
      <c r="F4765" s="9">
        <v>46051</v>
      </c>
    </row>
    <row r="4766" spans="1:6" ht="60" x14ac:dyDescent="0.25">
      <c r="A4766" s="8" t="s">
        <v>63</v>
      </c>
      <c r="B4766" s="8" t="s">
        <v>79</v>
      </c>
      <c r="C4766" s="8" t="str">
        <f>IFERROR(_xlfn.XLOOKUP(TRIM(B4766),Lookup!$B$2:$B$1000,Lookup!$C$2:$C$1000),"")</f>
        <v>Debt</v>
      </c>
      <c r="D4766" s="8" t="str">
        <f>IFERROR(INDEX('nav master'!$C:$C, MATCH(B4766, 'nav master'!$B:$B, 0)), "")</f>
        <v>ULIF 012 04/01/07 WLI 110</v>
      </c>
      <c r="E4766" s="8">
        <v>41.098199999999999</v>
      </c>
      <c r="F4766" s="9">
        <v>46052</v>
      </c>
    </row>
    <row r="4767" spans="1:6" ht="60" x14ac:dyDescent="0.25">
      <c r="A4767" s="8" t="s">
        <v>63</v>
      </c>
      <c r="B4767" s="8" t="s">
        <v>79</v>
      </c>
      <c r="C4767" s="8" t="str">
        <f>IFERROR(_xlfn.XLOOKUP(TRIM(B4767),Lookup!$B$2:$B$1000,Lookup!$C$2:$C$1000),"")</f>
        <v>Debt</v>
      </c>
      <c r="D4767" s="8" t="str">
        <f>IFERROR(INDEX('nav master'!$C:$C, MATCH(B4767, 'nav master'!$B:$B, 0)), "")</f>
        <v>ULIF 012 04/01/07 WLI 110</v>
      </c>
      <c r="E4767" s="8">
        <v>41.111199999999997</v>
      </c>
      <c r="F4767" s="9">
        <v>46054</v>
      </c>
    </row>
    <row r="4768" spans="1:6" ht="60" x14ac:dyDescent="0.25">
      <c r="A4768" s="8" t="s">
        <v>63</v>
      </c>
      <c r="B4768" s="8" t="s">
        <v>79</v>
      </c>
      <c r="C4768" s="8" t="str">
        <f>IFERROR(_xlfn.XLOOKUP(TRIM(B4768),Lookup!$B$2:$B$1000,Lookup!$C$2:$C$1000),"")</f>
        <v>Debt</v>
      </c>
      <c r="D4768" s="8" t="str">
        <f>IFERROR(INDEX('nav master'!$C:$C, MATCH(B4768, 'nav master'!$B:$B, 0)), "")</f>
        <v>ULIF 012 04/01/07 WLI 110</v>
      </c>
      <c r="E4768" s="8">
        <v>40.987499999999997</v>
      </c>
      <c r="F4768" s="9">
        <v>46055</v>
      </c>
    </row>
    <row r="4769" spans="1:6" ht="60" x14ac:dyDescent="0.25">
      <c r="A4769" s="8" t="s">
        <v>63</v>
      </c>
      <c r="B4769" s="8" t="s">
        <v>79</v>
      </c>
      <c r="C4769" s="8" t="str">
        <f>IFERROR(_xlfn.XLOOKUP(TRIM(B4769),Lookup!$B$2:$B$1000,Lookup!$C$2:$C$1000),"")</f>
        <v>Debt</v>
      </c>
      <c r="D4769" s="8" t="str">
        <f>IFERROR(INDEX('nav master'!$C:$C, MATCH(B4769, 'nav master'!$B:$B, 0)), "")</f>
        <v>ULIF 012 04/01/07 WLI 110</v>
      </c>
      <c r="E4769" s="8">
        <v>41.070300000000003</v>
      </c>
      <c r="F4769" s="9">
        <v>46056</v>
      </c>
    </row>
    <row r="4770" spans="1:6" ht="60" x14ac:dyDescent="0.25">
      <c r="A4770" s="8" t="s">
        <v>63</v>
      </c>
      <c r="B4770" s="8" t="s">
        <v>79</v>
      </c>
      <c r="C4770" s="8" t="str">
        <f>IFERROR(_xlfn.XLOOKUP(TRIM(B4770),Lookup!$B$2:$B$1000,Lookup!$C$2:$C$1000),"")</f>
        <v>Debt</v>
      </c>
      <c r="D4770" s="8" t="str">
        <f>IFERROR(INDEX('nav master'!$C:$C, MATCH(B4770, 'nav master'!$B:$B, 0)), "")</f>
        <v>ULIF 012 04/01/07 WLI 110</v>
      </c>
      <c r="E4770" s="8">
        <v>41.136499999999998</v>
      </c>
      <c r="F4770" s="9">
        <v>46057</v>
      </c>
    </row>
    <row r="4771" spans="1:6" ht="60" x14ac:dyDescent="0.25">
      <c r="A4771" s="8" t="s">
        <v>63</v>
      </c>
      <c r="B4771" s="8" t="s">
        <v>79</v>
      </c>
      <c r="C4771" s="8" t="str">
        <f>IFERROR(_xlfn.XLOOKUP(TRIM(B4771),Lookup!$B$2:$B$1000,Lookup!$C$2:$C$1000),"")</f>
        <v>Debt</v>
      </c>
      <c r="D4771" s="8" t="str">
        <f>IFERROR(INDEX('nav master'!$C:$C, MATCH(B4771, 'nav master'!$B:$B, 0)), "")</f>
        <v>ULIF 012 04/01/07 WLI 110</v>
      </c>
      <c r="E4771" s="8">
        <v>41.2331</v>
      </c>
      <c r="F4771" s="9">
        <v>46058</v>
      </c>
    </row>
    <row r="4772" spans="1:6" ht="60" x14ac:dyDescent="0.25">
      <c r="A4772" s="8" t="s">
        <v>63</v>
      </c>
      <c r="B4772" s="8" t="s">
        <v>79</v>
      </c>
      <c r="C4772" s="8" t="str">
        <f>IFERROR(_xlfn.XLOOKUP(TRIM(B4772),Lookup!$B$2:$B$1000,Lookup!$C$2:$C$1000),"")</f>
        <v>Debt</v>
      </c>
      <c r="D4772" s="8" t="str">
        <f>IFERROR(INDEX('nav master'!$C:$C, MATCH(B4772, 'nav master'!$B:$B, 0)), "")</f>
        <v>ULIF 012 04/01/07 WLI 110</v>
      </c>
      <c r="E4772" s="8">
        <v>41.090600000000002</v>
      </c>
      <c r="F4772" s="9">
        <v>46059</v>
      </c>
    </row>
    <row r="4773" spans="1:6" ht="60" x14ac:dyDescent="0.25">
      <c r="A4773" s="8" t="s">
        <v>63</v>
      </c>
      <c r="B4773" s="8" t="s">
        <v>79</v>
      </c>
      <c r="C4773" s="8" t="str">
        <f>IFERROR(_xlfn.XLOOKUP(TRIM(B4773),Lookup!$B$2:$B$1000,Lookup!$C$2:$C$1000),"")</f>
        <v>Debt</v>
      </c>
      <c r="D4773" s="8" t="str">
        <f>IFERROR(INDEX('nav master'!$C:$C, MATCH(B4773, 'nav master'!$B:$B, 0)), "")</f>
        <v>ULIF 012 04/01/07 WLI 110</v>
      </c>
      <c r="E4773" s="8">
        <v>41.087899999999998</v>
      </c>
      <c r="F4773" s="9">
        <v>46062</v>
      </c>
    </row>
    <row r="4774" spans="1:6" ht="60" x14ac:dyDescent="0.25">
      <c r="A4774" s="8" t="s">
        <v>63</v>
      </c>
      <c r="B4774" s="8" t="s">
        <v>79</v>
      </c>
      <c r="C4774" s="8" t="str">
        <f>IFERROR(_xlfn.XLOOKUP(TRIM(B4774),Lookup!$B$2:$B$1000,Lookup!$C$2:$C$1000),"")</f>
        <v>Debt</v>
      </c>
      <c r="D4774" s="8" t="str">
        <f>IFERROR(INDEX('nav master'!$C:$C, MATCH(B4774, 'nav master'!$B:$B, 0)), "")</f>
        <v>ULIF 012 04/01/07 WLI 110</v>
      </c>
      <c r="E4774" s="8">
        <v>41.120899999999999</v>
      </c>
      <c r="F4774" s="9">
        <v>46063</v>
      </c>
    </row>
    <row r="4775" spans="1:6" ht="60" x14ac:dyDescent="0.25">
      <c r="A4775" s="8" t="s">
        <v>63</v>
      </c>
      <c r="B4775" s="8" t="s">
        <v>79</v>
      </c>
      <c r="C4775" s="8" t="str">
        <f>IFERROR(_xlfn.XLOOKUP(TRIM(B4775),Lookup!$B$2:$B$1000,Lookup!$C$2:$C$1000),"")</f>
        <v>Debt</v>
      </c>
      <c r="D4775" s="8" t="str">
        <f>IFERROR(INDEX('nav master'!$C:$C, MATCH(B4775, 'nav master'!$B:$B, 0)), "")</f>
        <v>ULIF 012 04/01/07 WLI 110</v>
      </c>
      <c r="E4775" s="8">
        <v>41.186</v>
      </c>
      <c r="F4775" s="9">
        <v>46064</v>
      </c>
    </row>
    <row r="4776" spans="1:6" ht="60" x14ac:dyDescent="0.25">
      <c r="A4776" s="8" t="s">
        <v>63</v>
      </c>
      <c r="B4776" s="8" t="s">
        <v>79</v>
      </c>
      <c r="C4776" s="8" t="str">
        <f>IFERROR(_xlfn.XLOOKUP(TRIM(B4776),Lookup!$B$2:$B$1000,Lookup!$C$2:$C$1000),"")</f>
        <v>Debt</v>
      </c>
      <c r="D4776" s="8" t="str">
        <f>IFERROR(INDEX('nav master'!$C:$C, MATCH(B4776, 'nav master'!$B:$B, 0)), "")</f>
        <v>ULIF 012 04/01/07 WLI 110</v>
      </c>
      <c r="E4776" s="8">
        <v>41.225299999999997</v>
      </c>
      <c r="F4776" s="9">
        <v>46065</v>
      </c>
    </row>
    <row r="4777" spans="1:6" ht="60" x14ac:dyDescent="0.25">
      <c r="A4777" s="8" t="s">
        <v>63</v>
      </c>
      <c r="B4777" s="8" t="s">
        <v>79</v>
      </c>
      <c r="C4777" s="8" t="str">
        <f>IFERROR(_xlfn.XLOOKUP(TRIM(B4777),Lookup!$B$2:$B$1000,Lookup!$C$2:$C$1000),"")</f>
        <v>Debt</v>
      </c>
      <c r="D4777" s="8" t="str">
        <f>IFERROR(INDEX('nav master'!$C:$C, MATCH(B4777, 'nav master'!$B:$B, 0)), "")</f>
        <v>ULIF 012 04/01/07 WLI 110</v>
      </c>
      <c r="E4777" s="8">
        <v>41.27</v>
      </c>
      <c r="F4777" s="9">
        <v>46066</v>
      </c>
    </row>
    <row r="4778" spans="1:6" ht="60" x14ac:dyDescent="0.25">
      <c r="A4778" s="8" t="s">
        <v>63</v>
      </c>
      <c r="B4778" s="8" t="s">
        <v>79</v>
      </c>
      <c r="C4778" s="8" t="str">
        <f>IFERROR(_xlfn.XLOOKUP(TRIM(B4778),Lookup!$B$2:$B$1000,Lookup!$C$2:$C$1000),"")</f>
        <v>Debt</v>
      </c>
      <c r="D4778" s="8" t="str">
        <f>IFERROR(INDEX('nav master'!$C:$C, MATCH(B4778, 'nav master'!$B:$B, 0)), "")</f>
        <v>ULIF 012 04/01/07 WLI 110</v>
      </c>
      <c r="E4778" s="8">
        <v>41.3307</v>
      </c>
      <c r="F4778" s="9">
        <v>46069</v>
      </c>
    </row>
    <row r="4779" spans="1:6" ht="60" x14ac:dyDescent="0.25">
      <c r="A4779" s="8" t="s">
        <v>63</v>
      </c>
      <c r="B4779" s="8" t="s">
        <v>79</v>
      </c>
      <c r="C4779" s="8" t="str">
        <f>IFERROR(_xlfn.XLOOKUP(TRIM(B4779),Lookup!$B$2:$B$1000,Lookup!$C$2:$C$1000),"")</f>
        <v>Debt</v>
      </c>
      <c r="D4779" s="8" t="str">
        <f>IFERROR(INDEX('nav master'!$C:$C, MATCH(B4779, 'nav master'!$B:$B, 0)), "")</f>
        <v>ULIF 012 04/01/07 WLI 110</v>
      </c>
      <c r="E4779" s="8">
        <v>41.363</v>
      </c>
      <c r="F4779" s="9">
        <v>46070</v>
      </c>
    </row>
    <row r="4780" spans="1:6" ht="60" x14ac:dyDescent="0.25">
      <c r="A4780" s="8" t="s">
        <v>63</v>
      </c>
      <c r="B4780" s="8" t="s">
        <v>79</v>
      </c>
      <c r="C4780" s="8" t="str">
        <f>IFERROR(_xlfn.XLOOKUP(TRIM(B4780),Lookup!$B$2:$B$1000,Lookup!$C$2:$C$1000),"")</f>
        <v>Debt</v>
      </c>
      <c r="D4780" s="8" t="str">
        <f>IFERROR(INDEX('nav master'!$C:$C, MATCH(B4780, 'nav master'!$B:$B, 0)), "")</f>
        <v>ULIF 012 04/01/07 WLI 110</v>
      </c>
      <c r="E4780" s="8">
        <v>41.346299999999999</v>
      </c>
      <c r="F4780" s="9">
        <v>46071</v>
      </c>
    </row>
    <row r="4781" spans="1:6" ht="60" x14ac:dyDescent="0.25">
      <c r="A4781" s="8" t="s">
        <v>63</v>
      </c>
      <c r="B4781" s="8" t="s">
        <v>79</v>
      </c>
      <c r="C4781" s="8" t="str">
        <f>IFERROR(_xlfn.XLOOKUP(TRIM(B4781),Lookup!$B$2:$B$1000,Lookup!$C$2:$C$1000),"")</f>
        <v>Debt</v>
      </c>
      <c r="D4781" s="8" t="str">
        <f>IFERROR(INDEX('nav master'!$C:$C, MATCH(B4781, 'nav master'!$B:$B, 0)), "")</f>
        <v>ULIF 012 04/01/07 WLI 110</v>
      </c>
      <c r="E4781" s="8">
        <v>41.352800000000002</v>
      </c>
      <c r="F4781" s="9">
        <v>46072</v>
      </c>
    </row>
    <row r="4782" spans="1:6" ht="60" x14ac:dyDescent="0.25">
      <c r="A4782" s="8" t="s">
        <v>63</v>
      </c>
      <c r="B4782" s="8" t="s">
        <v>79</v>
      </c>
      <c r="C4782" s="8" t="str">
        <f>IFERROR(_xlfn.XLOOKUP(TRIM(B4782),Lookup!$B$2:$B$1000,Lookup!$C$2:$C$1000),"")</f>
        <v>Debt</v>
      </c>
      <c r="D4782" s="8" t="str">
        <f>IFERROR(INDEX('nav master'!$C:$C, MATCH(B4782, 'nav master'!$B:$B, 0)), "")</f>
        <v>ULIF 012 04/01/07 WLI 110</v>
      </c>
      <c r="E4782" s="8">
        <v>41.293799999999997</v>
      </c>
      <c r="F4782" s="9">
        <v>46073</v>
      </c>
    </row>
    <row r="4783" spans="1:6" ht="60" x14ac:dyDescent="0.25">
      <c r="A4783" s="8" t="s">
        <v>63</v>
      </c>
      <c r="B4783" s="8" t="s">
        <v>79</v>
      </c>
      <c r="C4783" s="8" t="str">
        <f>IFERROR(_xlfn.XLOOKUP(TRIM(B4783),Lookup!$B$2:$B$1000,Lookup!$C$2:$C$1000),"")</f>
        <v>Debt</v>
      </c>
      <c r="D4783" s="8" t="str">
        <f>IFERROR(INDEX('nav master'!$C:$C, MATCH(B4783, 'nav master'!$B:$B, 0)), "")</f>
        <v>ULIF 012 04/01/07 WLI 110</v>
      </c>
      <c r="E4783" s="8">
        <v>41.330599999999997</v>
      </c>
      <c r="F4783" s="9">
        <v>46076</v>
      </c>
    </row>
    <row r="4784" spans="1:6" ht="60" x14ac:dyDescent="0.25">
      <c r="A4784" s="8" t="s">
        <v>63</v>
      </c>
      <c r="B4784" s="8" t="s">
        <v>79</v>
      </c>
      <c r="C4784" s="8" t="str">
        <f>IFERROR(_xlfn.XLOOKUP(TRIM(B4784),Lookup!$B$2:$B$1000,Lookup!$C$2:$C$1000),"")</f>
        <v>Debt</v>
      </c>
      <c r="D4784" s="8" t="str">
        <f>IFERROR(INDEX('nav master'!$C:$C, MATCH(B4784, 'nav master'!$B:$B, 0)), "")</f>
        <v>ULIF 012 04/01/07 WLI 110</v>
      </c>
      <c r="E4784" s="8">
        <v>41.363</v>
      </c>
      <c r="F4784" s="9">
        <v>46077</v>
      </c>
    </row>
    <row r="4785" spans="1:6" ht="60" x14ac:dyDescent="0.25">
      <c r="A4785" s="8" t="s">
        <v>63</v>
      </c>
      <c r="B4785" s="8" t="s">
        <v>79</v>
      </c>
      <c r="C4785" s="8" t="str">
        <f>IFERROR(_xlfn.XLOOKUP(TRIM(B4785),Lookup!$B$2:$B$1000,Lookup!$C$2:$C$1000),"")</f>
        <v>Debt</v>
      </c>
      <c r="D4785" s="8" t="str">
        <f>IFERROR(INDEX('nav master'!$C:$C, MATCH(B4785, 'nav master'!$B:$B, 0)), "")</f>
        <v>ULIF 012 04/01/07 WLI 110</v>
      </c>
      <c r="E4785" s="8">
        <v>41.395099999999999</v>
      </c>
      <c r="F4785" s="9">
        <v>46078</v>
      </c>
    </row>
    <row r="4786" spans="1:6" ht="60" x14ac:dyDescent="0.25">
      <c r="A4786" s="8" t="s">
        <v>63</v>
      </c>
      <c r="B4786" s="8" t="s">
        <v>79</v>
      </c>
      <c r="C4786" s="8" t="str">
        <f>IFERROR(_xlfn.XLOOKUP(TRIM(B4786),Lookup!$B$2:$B$1000,Lookup!$C$2:$C$1000),"")</f>
        <v>Debt</v>
      </c>
      <c r="D4786" s="8" t="str">
        <f>IFERROR(INDEX('nav master'!$C:$C, MATCH(B4786, 'nav master'!$B:$B, 0)), "")</f>
        <v>ULIF 012 04/01/07 WLI 110</v>
      </c>
      <c r="E4786" s="8">
        <v>41.401600000000002</v>
      </c>
      <c r="F4786" s="9">
        <v>46079</v>
      </c>
    </row>
    <row r="4787" spans="1:6" ht="60" x14ac:dyDescent="0.25">
      <c r="A4787" s="8" t="s">
        <v>63</v>
      </c>
      <c r="B4787" s="8" t="s">
        <v>79</v>
      </c>
      <c r="C4787" s="8" t="str">
        <f>IFERROR(_xlfn.XLOOKUP(TRIM(B4787),Lookup!$B$2:$B$1000,Lookup!$C$2:$C$1000),"")</f>
        <v>Debt</v>
      </c>
      <c r="D4787" s="8" t="str">
        <f>IFERROR(INDEX('nav master'!$C:$C, MATCH(B4787, 'nav master'!$B:$B, 0)), "")</f>
        <v>ULIF 012 04/01/07 WLI 110</v>
      </c>
      <c r="E4787" s="8">
        <v>41.447600000000001</v>
      </c>
      <c r="F4787" s="9">
        <v>46080</v>
      </c>
    </row>
    <row r="4788" spans="1:6" ht="60" x14ac:dyDescent="0.25">
      <c r="A4788" s="8" t="s">
        <v>63</v>
      </c>
      <c r="B4788" s="8" t="s">
        <v>79</v>
      </c>
      <c r="C4788" s="8" t="str">
        <f>IFERROR(_xlfn.XLOOKUP(TRIM(B4788),Lookup!$B$2:$B$1000,Lookup!$C$2:$C$1000),"")</f>
        <v>Debt</v>
      </c>
      <c r="D4788" s="8" t="str">
        <f>IFERROR(INDEX('nav master'!$C:$C, MATCH(B4788, 'nav master'!$B:$B, 0)), "")</f>
        <v>ULIF 012 04/01/07 WLI 110</v>
      </c>
      <c r="E4788" s="8">
        <v>41.448300000000003</v>
      </c>
      <c r="F4788" s="9">
        <v>46083</v>
      </c>
    </row>
    <row r="4789" spans="1:6" ht="60" x14ac:dyDescent="0.25">
      <c r="A4789" s="8" t="s">
        <v>63</v>
      </c>
      <c r="B4789" s="8" t="s">
        <v>79</v>
      </c>
      <c r="C4789" s="8" t="str">
        <f>IFERROR(_xlfn.XLOOKUP(TRIM(B4789),Lookup!$B$2:$B$1000,Lookup!$C$2:$C$1000),"")</f>
        <v>Debt</v>
      </c>
      <c r="D4789" s="8" t="str">
        <f>IFERROR(INDEX('nav master'!$C:$C, MATCH(B4789, 'nav master'!$B:$B, 0)), "")</f>
        <v>ULIF 012 04/01/07 WLI 110</v>
      </c>
      <c r="E4789" s="8">
        <v>41.381700000000002</v>
      </c>
      <c r="F4789" s="9">
        <v>46085</v>
      </c>
    </row>
    <row r="4790" spans="1:6" ht="60" x14ac:dyDescent="0.25">
      <c r="A4790" s="8" t="s">
        <v>63</v>
      </c>
      <c r="B4790" s="8" t="s">
        <v>79</v>
      </c>
      <c r="C4790" s="8" t="str">
        <f>IFERROR(_xlfn.XLOOKUP(TRIM(B4790),Lookup!$B$2:$B$1000,Lookup!$C$2:$C$1000),"")</f>
        <v>Debt</v>
      </c>
      <c r="D4790" s="8" t="str">
        <f>IFERROR(INDEX('nav master'!$C:$C, MATCH(B4790, 'nav master'!$B:$B, 0)), "")</f>
        <v>ULIF 012 04/01/07 WLI 110</v>
      </c>
      <c r="E4790" s="8">
        <v>41.4375</v>
      </c>
      <c r="F4790" s="9">
        <v>46086</v>
      </c>
    </row>
    <row r="4791" spans="1:6" ht="60" x14ac:dyDescent="0.25">
      <c r="A4791" s="8" t="s">
        <v>63</v>
      </c>
      <c r="B4791" s="8" t="s">
        <v>79</v>
      </c>
      <c r="C4791" s="8" t="str">
        <f>IFERROR(_xlfn.XLOOKUP(TRIM(B4791),Lookup!$B$2:$B$1000,Lookup!$C$2:$C$1000),"")</f>
        <v>Debt</v>
      </c>
      <c r="D4791" s="8" t="str">
        <f>IFERROR(INDEX('nav master'!$C:$C, MATCH(B4791, 'nav master'!$B:$B, 0)), "")</f>
        <v>ULIF 012 04/01/07 WLI 110</v>
      </c>
      <c r="E4791" s="8">
        <v>41.395400000000002</v>
      </c>
      <c r="F4791" s="9">
        <v>46087</v>
      </c>
    </row>
    <row r="4792" spans="1:6" ht="60" x14ac:dyDescent="0.25">
      <c r="A4792" s="8" t="s">
        <v>63</v>
      </c>
      <c r="B4792" s="8" t="s">
        <v>79</v>
      </c>
      <c r="C4792" s="8" t="str">
        <f>IFERROR(_xlfn.XLOOKUP(TRIM(B4792),Lookup!$B$2:$B$1000,Lookup!$C$2:$C$1000),"")</f>
        <v>Debt</v>
      </c>
      <c r="D4792" s="8" t="str">
        <f>IFERROR(INDEX('nav master'!$C:$C, MATCH(B4792, 'nav master'!$B:$B, 0)), "")</f>
        <v>ULIF 012 04/01/07 WLI 110</v>
      </c>
      <c r="E4792" s="8">
        <v>41.319000000000003</v>
      </c>
      <c r="F4792" s="9">
        <v>46090</v>
      </c>
    </row>
    <row r="4793" spans="1:6" ht="60" x14ac:dyDescent="0.25">
      <c r="A4793" s="8" t="s">
        <v>63</v>
      </c>
      <c r="B4793" s="8" t="s">
        <v>79</v>
      </c>
      <c r="C4793" s="8" t="str">
        <f>IFERROR(_xlfn.XLOOKUP(TRIM(B4793),Lookup!$B$2:$B$1000,Lookup!$C$2:$C$1000),"")</f>
        <v>Debt</v>
      </c>
      <c r="D4793" s="8" t="str">
        <f>IFERROR(INDEX('nav master'!$C:$C, MATCH(B4793, 'nav master'!$B:$B, 0)), "")</f>
        <v>ULIF 012 04/01/07 WLI 110</v>
      </c>
      <c r="E4793" s="8">
        <v>41.442100000000003</v>
      </c>
      <c r="F4793" s="9">
        <v>46091</v>
      </c>
    </row>
    <row r="4794" spans="1:6" ht="60" x14ac:dyDescent="0.25">
      <c r="A4794" s="8" t="s">
        <v>63</v>
      </c>
      <c r="B4794" s="8" t="s">
        <v>79</v>
      </c>
      <c r="C4794" s="8" t="str">
        <f>IFERROR(_xlfn.XLOOKUP(TRIM(B4794),Lookup!$B$2:$B$1000,Lookup!$C$2:$C$1000),"")</f>
        <v>Debt</v>
      </c>
      <c r="D4794" s="8" t="str">
        <f>IFERROR(INDEX('nav master'!$C:$C, MATCH(B4794, 'nav master'!$B:$B, 0)), "")</f>
        <v>ULIF 012 04/01/07 WLI 110</v>
      </c>
      <c r="E4794" s="8">
        <v>41.447000000000003</v>
      </c>
      <c r="F4794" s="9">
        <v>46092</v>
      </c>
    </row>
    <row r="4795" spans="1:6" ht="60" x14ac:dyDescent="0.25">
      <c r="A4795" s="8" t="s">
        <v>63</v>
      </c>
      <c r="B4795" s="8" t="s">
        <v>79</v>
      </c>
      <c r="C4795" s="8" t="str">
        <f>IFERROR(_xlfn.XLOOKUP(TRIM(B4795),Lookup!$B$2:$B$1000,Lookup!$C$2:$C$1000),"")</f>
        <v>Debt</v>
      </c>
      <c r="D4795" s="8" t="str">
        <f>IFERROR(INDEX('nav master'!$C:$C, MATCH(B4795, 'nav master'!$B:$B, 0)), "")</f>
        <v>ULIF 012 04/01/07 WLI 110</v>
      </c>
      <c r="E4795" s="8">
        <v>41.388599999999997</v>
      </c>
      <c r="F4795" s="9">
        <v>46093</v>
      </c>
    </row>
    <row r="4796" spans="1:6" ht="60" x14ac:dyDescent="0.25">
      <c r="A4796" s="8" t="s">
        <v>63</v>
      </c>
      <c r="B4796" s="8" t="s">
        <v>79</v>
      </c>
      <c r="C4796" s="8" t="str">
        <f>IFERROR(_xlfn.XLOOKUP(TRIM(B4796),Lookup!$B$2:$B$1000,Lookup!$C$2:$C$1000),"")</f>
        <v>Debt</v>
      </c>
      <c r="D4796" s="8" t="str">
        <f>IFERROR(INDEX('nav master'!$C:$C, MATCH(B4796, 'nav master'!$B:$B, 0)), "")</f>
        <v>ULIF 012 04/01/07 WLI 110</v>
      </c>
      <c r="E4796" s="8">
        <v>41.364100000000001</v>
      </c>
      <c r="F4796" s="9">
        <v>46094</v>
      </c>
    </row>
    <row r="4797" spans="1:6" ht="60" x14ac:dyDescent="0.25">
      <c r="A4797" s="8" t="s">
        <v>63</v>
      </c>
      <c r="B4797" s="8" t="s">
        <v>79</v>
      </c>
      <c r="C4797" s="8" t="str">
        <f>IFERROR(_xlfn.XLOOKUP(TRIM(B4797),Lookup!$B$2:$B$1000,Lookup!$C$2:$C$1000),"")</f>
        <v>Debt</v>
      </c>
      <c r="D4797" s="8" t="str">
        <f>IFERROR(INDEX('nav master'!$C:$C, MATCH(B4797, 'nav master'!$B:$B, 0)), "")</f>
        <v>ULIF 012 04/01/07 WLI 110</v>
      </c>
      <c r="E4797" s="8">
        <v>41.314599999999999</v>
      </c>
      <c r="F4797" s="9">
        <v>46097</v>
      </c>
    </row>
    <row r="4798" spans="1:6" ht="60" x14ac:dyDescent="0.25">
      <c r="A4798" s="8" t="s">
        <v>63</v>
      </c>
      <c r="B4798" s="8" t="s">
        <v>79</v>
      </c>
      <c r="C4798" s="8" t="str">
        <f>IFERROR(_xlfn.XLOOKUP(TRIM(B4798),Lookup!$B$2:$B$1000,Lookup!$C$2:$C$1000),"")</f>
        <v>Debt</v>
      </c>
      <c r="D4798" s="8" t="str">
        <f>IFERROR(INDEX('nav master'!$C:$C, MATCH(B4798, 'nav master'!$B:$B, 0)), "")</f>
        <v>ULIF 012 04/01/07 WLI 110</v>
      </c>
      <c r="E4798" s="8">
        <v>41.311100000000003</v>
      </c>
      <c r="F4798" s="9">
        <v>46098</v>
      </c>
    </row>
    <row r="4799" spans="1:6" ht="60" x14ac:dyDescent="0.25">
      <c r="A4799" s="8" t="s">
        <v>63</v>
      </c>
      <c r="B4799" s="8" t="s">
        <v>79</v>
      </c>
      <c r="C4799" s="8" t="str">
        <f>IFERROR(_xlfn.XLOOKUP(TRIM(B4799),Lookup!$B$2:$B$1000,Lookup!$C$2:$C$1000),"")</f>
        <v>Debt</v>
      </c>
      <c r="D4799" s="8" t="str">
        <f>IFERROR(INDEX('nav master'!$C:$C, MATCH(B4799, 'nav master'!$B:$B, 0)), "")</f>
        <v>ULIF 012 04/01/07 WLI 110</v>
      </c>
      <c r="E4799" s="8">
        <v>41.318199999999997</v>
      </c>
      <c r="F4799" s="9">
        <v>46099</v>
      </c>
    </row>
    <row r="4800" spans="1:6" ht="60" x14ac:dyDescent="0.25">
      <c r="A4800" s="8" t="s">
        <v>63</v>
      </c>
      <c r="B4800" s="8" t="s">
        <v>79</v>
      </c>
      <c r="C4800" s="8" t="str">
        <f>IFERROR(_xlfn.XLOOKUP(TRIM(B4800),Lookup!$B$2:$B$1000,Lookup!$C$2:$C$1000),"")</f>
        <v>Debt</v>
      </c>
      <c r="D4800" s="8" t="str">
        <f>IFERROR(INDEX('nav master'!$C:$C, MATCH(B4800, 'nav master'!$B:$B, 0)), "")</f>
        <v>ULIF 012 04/01/07 WLI 110</v>
      </c>
      <c r="E4800" s="8">
        <v>41.325099999999999</v>
      </c>
      <c r="F4800" s="9">
        <v>46100</v>
      </c>
    </row>
    <row r="4801" spans="1:6" ht="60" x14ac:dyDescent="0.25">
      <c r="A4801" s="8" t="s">
        <v>63</v>
      </c>
      <c r="B4801" s="8" t="s">
        <v>79</v>
      </c>
      <c r="C4801" s="8" t="str">
        <f>IFERROR(_xlfn.XLOOKUP(TRIM(B4801),Lookup!$B$2:$B$1000,Lookup!$C$2:$C$1000),"")</f>
        <v>Debt</v>
      </c>
      <c r="D4801" s="8" t="str">
        <f>IFERROR(INDEX('nav master'!$C:$C, MATCH(B4801, 'nav master'!$B:$B, 0)), "")</f>
        <v>ULIF 012 04/01/07 WLI 110</v>
      </c>
      <c r="E4801" s="8">
        <v>41.284999999999997</v>
      </c>
      <c r="F4801" s="9">
        <v>46101</v>
      </c>
    </row>
    <row r="4802" spans="1:6" ht="60" x14ac:dyDescent="0.25">
      <c r="A4802" s="8" t="s">
        <v>63</v>
      </c>
      <c r="B4802" s="8" t="s">
        <v>79</v>
      </c>
      <c r="C4802" s="8" t="str">
        <f>IFERROR(_xlfn.XLOOKUP(TRIM(B4802),Lookup!$B$2:$B$1000,Lookup!$C$2:$C$1000),"")</f>
        <v>Debt</v>
      </c>
      <c r="D4802" s="8" t="str">
        <f>IFERROR(INDEX('nav master'!$C:$C, MATCH(B4802, 'nav master'!$B:$B, 0)), "")</f>
        <v>ULIF 012 04/01/07 WLI 110</v>
      </c>
      <c r="E4802" s="8">
        <v>41.110599999999998</v>
      </c>
      <c r="F4802" s="9">
        <v>46104</v>
      </c>
    </row>
    <row r="4803" spans="1:6" ht="60" x14ac:dyDescent="0.25">
      <c r="A4803" s="8" t="s">
        <v>63</v>
      </c>
      <c r="B4803" s="8" t="s">
        <v>79</v>
      </c>
      <c r="C4803" s="8" t="str">
        <f>IFERROR(_xlfn.XLOOKUP(TRIM(B4803),Lookup!$B$2:$B$1000,Lookup!$C$2:$C$1000),"")</f>
        <v>Debt</v>
      </c>
      <c r="D4803" s="8" t="str">
        <f>IFERROR(INDEX('nav master'!$C:$C, MATCH(B4803, 'nav master'!$B:$B, 0)), "")</f>
        <v>ULIF 012 04/01/07 WLI 110</v>
      </c>
      <c r="E4803" s="8">
        <v>41.058799999999998</v>
      </c>
      <c r="F4803" s="9">
        <v>46105</v>
      </c>
    </row>
    <row r="4804" spans="1:6" ht="60" x14ac:dyDescent="0.25">
      <c r="A4804" s="8" t="s">
        <v>63</v>
      </c>
      <c r="B4804" s="8" t="s">
        <v>79</v>
      </c>
      <c r="C4804" s="8" t="str">
        <f>IFERROR(_xlfn.XLOOKUP(TRIM(B4804),Lookup!$B$2:$B$1000,Lookup!$C$2:$C$1000),"")</f>
        <v>Debt</v>
      </c>
      <c r="D4804" s="8" t="str">
        <f>IFERROR(INDEX('nav master'!$C:$C, MATCH(B4804, 'nav master'!$B:$B, 0)), "")</f>
        <v>ULIF 012 04/01/07 WLI 110</v>
      </c>
      <c r="E4804" s="8">
        <v>41.040100000000002</v>
      </c>
      <c r="F4804" s="9">
        <v>46106</v>
      </c>
    </row>
    <row r="4805" spans="1:6" ht="60" x14ac:dyDescent="0.25">
      <c r="A4805" s="8" t="s">
        <v>63</v>
      </c>
      <c r="B4805" s="8" t="s">
        <v>79</v>
      </c>
      <c r="C4805" s="8" t="str">
        <f>IFERROR(_xlfn.XLOOKUP(TRIM(B4805),Lookup!$B$2:$B$1000,Lookup!$C$2:$C$1000),"")</f>
        <v>Debt</v>
      </c>
      <c r="D4805" s="8" t="str">
        <f>IFERROR(INDEX('nav master'!$C:$C, MATCH(B4805, 'nav master'!$B:$B, 0)), "")</f>
        <v>ULIF 012 04/01/07 WLI 110</v>
      </c>
      <c r="E4805" s="8">
        <v>40.914200000000001</v>
      </c>
      <c r="F4805" s="9">
        <v>46108</v>
      </c>
    </row>
    <row r="4806" spans="1:6" ht="60" x14ac:dyDescent="0.25">
      <c r="A4806" s="8" t="s">
        <v>63</v>
      </c>
      <c r="B4806" s="8" t="s">
        <v>79</v>
      </c>
      <c r="C4806" s="8" t="str">
        <f>IFERROR(_xlfn.XLOOKUP(TRIM(B4806),Lookup!$B$2:$B$1000,Lookup!$C$2:$C$1000),"")</f>
        <v>Debt</v>
      </c>
      <c r="D4806" s="8" t="str">
        <f>IFERROR(INDEX('nav master'!$C:$C, MATCH(B4806, 'nav master'!$B:$B, 0)), "")</f>
        <v>ULIF 012 04/01/07 WLI 110</v>
      </c>
      <c r="E4806" s="8">
        <v>40.846699999999998</v>
      </c>
      <c r="F4806" s="9">
        <v>46111</v>
      </c>
    </row>
    <row r="4807" spans="1:6" ht="60" x14ac:dyDescent="0.25">
      <c r="A4807" s="8" t="s">
        <v>63</v>
      </c>
      <c r="B4807" s="8" t="s">
        <v>79</v>
      </c>
      <c r="C4807" s="8" t="str">
        <f>IFERROR(_xlfn.XLOOKUP(TRIM(B4807),Lookup!$B$2:$B$1000,Lookup!$C$2:$C$1000),"")</f>
        <v>Debt</v>
      </c>
      <c r="D4807" s="8" t="str">
        <f>IFERROR(INDEX('nav master'!$C:$C, MATCH(B4807, 'nav master'!$B:$B, 0)), "")</f>
        <v>ULIF 012 04/01/07 WLI 110</v>
      </c>
      <c r="E4807" s="8">
        <v>40.853700000000003</v>
      </c>
      <c r="F4807" s="9">
        <v>46112</v>
      </c>
    </row>
    <row r="4808" spans="1:6" ht="60" x14ac:dyDescent="0.25">
      <c r="A4808" s="8" t="s">
        <v>63</v>
      </c>
      <c r="B4808" s="8" t="s">
        <v>79</v>
      </c>
      <c r="C4808" s="8" t="str">
        <f>IFERROR(_xlfn.XLOOKUP(TRIM(B4808),Lookup!$B$2:$B$1000,Lookup!$C$2:$C$1000),"")</f>
        <v>Debt</v>
      </c>
      <c r="D4808" s="8" t="str">
        <f>IFERROR(INDEX('nav master'!$C:$C, MATCH(B4808, 'nav master'!$B:$B, 0)), "")</f>
        <v>ULIF 012 04/01/07 WLI 110</v>
      </c>
      <c r="E4808" s="8">
        <v>40.860700000000001</v>
      </c>
      <c r="F4808" s="9">
        <v>46113</v>
      </c>
    </row>
    <row r="4809" spans="1:6" ht="60" x14ac:dyDescent="0.25">
      <c r="A4809" s="8" t="s">
        <v>63</v>
      </c>
      <c r="B4809" s="8" t="s">
        <v>79</v>
      </c>
      <c r="C4809" s="8" t="str">
        <f>IFERROR(_xlfn.XLOOKUP(TRIM(B4809),Lookup!$B$2:$B$1000,Lookup!$C$2:$C$1000),"")</f>
        <v>Debt</v>
      </c>
      <c r="D4809" s="8" t="str">
        <f>IFERROR(INDEX('nav master'!$C:$C, MATCH(B4809, 'nav master'!$B:$B, 0)), "")</f>
        <v>ULIF 012 04/01/07 WLI 110</v>
      </c>
      <c r="E4809" s="8">
        <v>40.751199999999997</v>
      </c>
      <c r="F4809" s="9">
        <v>46114</v>
      </c>
    </row>
    <row r="4810" spans="1:6" ht="60" x14ac:dyDescent="0.25">
      <c r="A4810" s="8" t="s">
        <v>63</v>
      </c>
      <c r="B4810" s="8" t="s">
        <v>79</v>
      </c>
      <c r="C4810" s="8" t="str">
        <f>IFERROR(_xlfn.XLOOKUP(TRIM(B4810),Lookup!$B$2:$B$1000,Lookup!$C$2:$C$1000),"")</f>
        <v>Debt</v>
      </c>
      <c r="D4810" s="8" t="str">
        <f>IFERROR(INDEX('nav master'!$C:$C, MATCH(B4810, 'nav master'!$B:$B, 0)), "")</f>
        <v>ULIF 012 04/01/07 WLI 110</v>
      </c>
      <c r="E4810" s="8">
        <v>40.898000000000003</v>
      </c>
      <c r="F4810" s="9">
        <v>46118</v>
      </c>
    </row>
    <row r="4811" spans="1:6" ht="60" x14ac:dyDescent="0.25">
      <c r="A4811" s="8" t="s">
        <v>63</v>
      </c>
      <c r="B4811" s="8" t="s">
        <v>79</v>
      </c>
      <c r="C4811" s="8" t="str">
        <f>IFERROR(_xlfn.XLOOKUP(TRIM(B4811),Lookup!$B$2:$B$1000,Lookup!$C$2:$C$1000),"")</f>
        <v>Debt</v>
      </c>
      <c r="D4811" s="8" t="str">
        <f>IFERROR(INDEX('nav master'!$C:$C, MATCH(B4811, 'nav master'!$B:$B, 0)), "")</f>
        <v>ULIF 012 04/01/07 WLI 110</v>
      </c>
      <c r="E4811" s="8">
        <v>40.900599999999997</v>
      </c>
      <c r="F4811" s="9">
        <v>46119</v>
      </c>
    </row>
    <row r="4812" spans="1:6" ht="60" x14ac:dyDescent="0.25">
      <c r="A4812" s="8" t="s">
        <v>63</v>
      </c>
      <c r="B4812" s="8" t="s">
        <v>79</v>
      </c>
      <c r="C4812" s="8" t="str">
        <f>IFERROR(_xlfn.XLOOKUP(TRIM(B4812),Lookup!$B$2:$B$1000,Lookup!$C$2:$C$1000),"")</f>
        <v>Debt</v>
      </c>
      <c r="D4812" s="8" t="str">
        <f>IFERROR(INDEX('nav master'!$C:$C, MATCH(B4812, 'nav master'!$B:$B, 0)), "")</f>
        <v>ULIF 012 04/01/07 WLI 110</v>
      </c>
      <c r="E4812" s="8">
        <v>41.211799999999997</v>
      </c>
      <c r="F4812" s="9">
        <v>46120</v>
      </c>
    </row>
    <row r="4813" spans="1:6" ht="60" x14ac:dyDescent="0.25">
      <c r="A4813" s="8" t="s">
        <v>63</v>
      </c>
      <c r="B4813" s="8" t="s">
        <v>79</v>
      </c>
      <c r="C4813" s="8" t="str">
        <f>IFERROR(_xlfn.XLOOKUP(TRIM(B4813),Lookup!$B$2:$B$1000,Lookup!$C$2:$C$1000),"")</f>
        <v>Debt</v>
      </c>
      <c r="D4813" s="8" t="str">
        <f>IFERROR(INDEX('nav master'!$C:$C, MATCH(B4813, 'nav master'!$B:$B, 0)), "")</f>
        <v>ULIF 012 04/01/07 WLI 110</v>
      </c>
      <c r="E4813" s="8">
        <v>41.175400000000003</v>
      </c>
      <c r="F4813" s="9">
        <v>46121</v>
      </c>
    </row>
    <row r="4814" spans="1:6" ht="60" x14ac:dyDescent="0.25">
      <c r="A4814" s="8" t="s">
        <v>63</v>
      </c>
      <c r="B4814" s="8" t="s">
        <v>79</v>
      </c>
      <c r="C4814" s="8" t="str">
        <f>IFERROR(_xlfn.XLOOKUP(TRIM(B4814),Lookup!$B$2:$B$1000,Lookup!$C$2:$C$1000),"")</f>
        <v>Debt</v>
      </c>
      <c r="D4814" s="8" t="str">
        <f>IFERROR(INDEX('nav master'!$C:$C, MATCH(B4814, 'nav master'!$B:$B, 0)), "")</f>
        <v>ULIF 012 04/01/07 WLI 110</v>
      </c>
      <c r="E4814" s="8">
        <v>41.286799999999999</v>
      </c>
      <c r="F4814" s="9">
        <v>46122</v>
      </c>
    </row>
    <row r="4815" spans="1:6" ht="60" x14ac:dyDescent="0.25">
      <c r="A4815" s="8" t="s">
        <v>63</v>
      </c>
      <c r="B4815" s="8" t="s">
        <v>79</v>
      </c>
      <c r="C4815" s="8" t="str">
        <f>IFERROR(_xlfn.XLOOKUP(TRIM(B4815),Lookup!$B$2:$B$1000,Lookup!$C$2:$C$1000),"")</f>
        <v>Debt</v>
      </c>
      <c r="D4815" s="8" t="str">
        <f>IFERROR(INDEX('nav master'!$C:$C, MATCH(B4815, 'nav master'!$B:$B, 0)), "")</f>
        <v>ULIF 012 04/01/07 WLI 110</v>
      </c>
      <c r="E4815" s="8">
        <v>41.249899999999997</v>
      </c>
      <c r="F4815" s="9">
        <v>46125</v>
      </c>
    </row>
    <row r="4816" spans="1:6" ht="60" x14ac:dyDescent="0.25">
      <c r="A4816" s="8" t="s">
        <v>63</v>
      </c>
      <c r="B4816" s="8" t="s">
        <v>79</v>
      </c>
      <c r="C4816" s="8" t="str">
        <f>IFERROR(_xlfn.XLOOKUP(TRIM(B4816),Lookup!$B$2:$B$1000,Lookup!$C$2:$C$1000),"")</f>
        <v>Debt</v>
      </c>
      <c r="D4816" s="8" t="str">
        <f>IFERROR(INDEX('nav master'!$C:$C, MATCH(B4816, 'nav master'!$B:$B, 0)), "")</f>
        <v>ULIF 012 04/01/07 WLI 110</v>
      </c>
      <c r="E4816" s="8">
        <v>41.417400000000001</v>
      </c>
      <c r="F4816" s="9">
        <v>46127</v>
      </c>
    </row>
    <row r="4817" spans="1:6" ht="60" x14ac:dyDescent="0.25">
      <c r="A4817" s="8" t="s">
        <v>63</v>
      </c>
      <c r="B4817" s="8" t="s">
        <v>79</v>
      </c>
      <c r="C4817" s="8" t="str">
        <f>IFERROR(_xlfn.XLOOKUP(TRIM(B4817),Lookup!$B$2:$B$1000,Lookup!$C$2:$C$1000),"")</f>
        <v>Debt</v>
      </c>
      <c r="D4817" s="8" t="str">
        <f>IFERROR(INDEX('nav master'!$C:$C, MATCH(B4817, 'nav master'!$B:$B, 0)), "")</f>
        <v>ULIF 012 04/01/07 WLI 110</v>
      </c>
      <c r="E4817" s="8">
        <v>41.4133</v>
      </c>
      <c r="F4817" s="9">
        <v>46128</v>
      </c>
    </row>
    <row r="4818" spans="1:6" ht="60" x14ac:dyDescent="0.25">
      <c r="A4818" s="8" t="s">
        <v>63</v>
      </c>
      <c r="B4818" s="8" t="s">
        <v>79</v>
      </c>
      <c r="C4818" s="8" t="str">
        <f>IFERROR(_xlfn.XLOOKUP(TRIM(B4818),Lookup!$B$2:$B$1000,Lookup!$C$2:$C$1000),"")</f>
        <v>Debt</v>
      </c>
      <c r="D4818" s="8" t="str">
        <f>IFERROR(INDEX('nav master'!$C:$C, MATCH(B4818, 'nav master'!$B:$B, 0)), "")</f>
        <v>ULIF 012 04/01/07 WLI 110</v>
      </c>
      <c r="E4818" s="8">
        <v>41.408999999999999</v>
      </c>
      <c r="F4818" s="9">
        <v>46129</v>
      </c>
    </row>
    <row r="4819" spans="1:6" ht="60" x14ac:dyDescent="0.25">
      <c r="A4819" s="8" t="s">
        <v>63</v>
      </c>
      <c r="B4819" s="8" t="s">
        <v>79</v>
      </c>
      <c r="C4819" s="8" t="str">
        <f>IFERROR(_xlfn.XLOOKUP(TRIM(B4819),Lookup!$B$2:$B$1000,Lookup!$C$2:$C$1000),"")</f>
        <v>Debt</v>
      </c>
      <c r="D4819" s="8" t="str">
        <f>IFERROR(INDEX('nav master'!$C:$C, MATCH(B4819, 'nav master'!$B:$B, 0)), "")</f>
        <v>ULIF 012 04/01/07 WLI 110</v>
      </c>
      <c r="E4819" s="8">
        <v>41.443899999999999</v>
      </c>
      <c r="F4819" s="9">
        <v>46132</v>
      </c>
    </row>
    <row r="4820" spans="1:6" ht="60" x14ac:dyDescent="0.25">
      <c r="A4820" s="8" t="s">
        <v>63</v>
      </c>
      <c r="B4820" s="8" t="s">
        <v>79</v>
      </c>
      <c r="C4820" s="8" t="str">
        <f>IFERROR(_xlfn.XLOOKUP(TRIM(B4820),Lookup!$B$2:$B$1000,Lookup!$C$2:$C$1000),"")</f>
        <v>Debt</v>
      </c>
      <c r="D4820" s="8" t="str">
        <f>IFERROR(INDEX('nav master'!$C:$C, MATCH(B4820, 'nav master'!$B:$B, 0)), "")</f>
        <v>ULIF 012 04/01/07 WLI 110</v>
      </c>
      <c r="E4820" s="8">
        <v>41.457299999999996</v>
      </c>
      <c r="F4820" s="9">
        <v>46133</v>
      </c>
    </row>
    <row r="4821" spans="1:6" ht="60" x14ac:dyDescent="0.25">
      <c r="A4821" s="8" t="s">
        <v>63</v>
      </c>
      <c r="B4821" s="8" t="s">
        <v>79</v>
      </c>
      <c r="C4821" s="8" t="str">
        <f>IFERROR(_xlfn.XLOOKUP(TRIM(B4821),Lookup!$B$2:$B$1000,Lookup!$C$2:$C$1000),"")</f>
        <v>Debt</v>
      </c>
      <c r="D4821" s="8" t="str">
        <f>IFERROR(INDEX('nav master'!$C:$C, MATCH(B4821, 'nav master'!$B:$B, 0)), "")</f>
        <v>ULIF 012 04/01/07 WLI 110</v>
      </c>
      <c r="E4821" s="8">
        <v>41.445099999999996</v>
      </c>
      <c r="F4821" s="9">
        <v>46134</v>
      </c>
    </row>
    <row r="4822" spans="1:6" ht="60" x14ac:dyDescent="0.25">
      <c r="A4822" s="8" t="s">
        <v>63</v>
      </c>
      <c r="B4822" s="8" t="s">
        <v>79</v>
      </c>
      <c r="C4822" s="8" t="str">
        <f>IFERROR(_xlfn.XLOOKUP(TRIM(B4822),Lookup!$B$2:$B$1000,Lookup!$C$2:$C$1000),"")</f>
        <v>Debt</v>
      </c>
      <c r="D4822" s="8" t="str">
        <f>IFERROR(INDEX('nav master'!$C:$C, MATCH(B4822, 'nav master'!$B:$B, 0)), "")</f>
        <v>ULIF 012 04/01/07 WLI 110</v>
      </c>
      <c r="E4822" s="8">
        <v>41.375399999999999</v>
      </c>
      <c r="F4822" s="9">
        <v>46135</v>
      </c>
    </row>
    <row r="4823" spans="1:6" ht="60" x14ac:dyDescent="0.25">
      <c r="A4823" s="8" t="s">
        <v>63</v>
      </c>
      <c r="B4823" s="8" t="s">
        <v>79</v>
      </c>
      <c r="C4823" s="8" t="str">
        <f>IFERROR(_xlfn.XLOOKUP(TRIM(B4823),Lookup!$B$2:$B$1000,Lookup!$C$2:$C$1000),"")</f>
        <v>Debt</v>
      </c>
      <c r="D4823" s="8" t="str">
        <f>IFERROR(INDEX('nav master'!$C:$C, MATCH(B4823, 'nav master'!$B:$B, 0)), "")</f>
        <v>ULIF 012 04/01/07 WLI 110</v>
      </c>
      <c r="E4823" s="8">
        <v>41.328699999999998</v>
      </c>
      <c r="F4823" s="9">
        <v>46136</v>
      </c>
    </row>
    <row r="4824" spans="1:6" ht="60" x14ac:dyDescent="0.25">
      <c r="A4824" s="8" t="s">
        <v>63</v>
      </c>
      <c r="B4824" s="8" t="s">
        <v>79</v>
      </c>
      <c r="C4824" s="8" t="str">
        <f>IFERROR(_xlfn.XLOOKUP(TRIM(B4824),Lookup!$B$2:$B$1000,Lookup!$C$2:$C$1000),"")</f>
        <v>Debt</v>
      </c>
      <c r="D4824" s="8" t="str">
        <f>IFERROR(INDEX('nav master'!$C:$C, MATCH(B4824, 'nav master'!$B:$B, 0)), "")</f>
        <v>ULIF 012 04/01/07 WLI 110</v>
      </c>
      <c r="E4824" s="8">
        <v>41.36</v>
      </c>
      <c r="F4824" s="9">
        <v>46139</v>
      </c>
    </row>
    <row r="4825" spans="1:6" ht="60" x14ac:dyDescent="0.25">
      <c r="A4825" s="8" t="s">
        <v>63</v>
      </c>
      <c r="B4825" s="8" t="s">
        <v>79</v>
      </c>
      <c r="C4825" s="8" t="str">
        <f>IFERROR(_xlfn.XLOOKUP(TRIM(B4825),Lookup!$B$2:$B$1000,Lookup!$C$2:$C$1000),"")</f>
        <v>Debt</v>
      </c>
      <c r="D4825" s="8" t="str">
        <f>IFERROR(INDEX('nav master'!$C:$C, MATCH(B4825, 'nav master'!$B:$B, 0)), "")</f>
        <v>ULIF 012 04/01/07 WLI 110</v>
      </c>
      <c r="E4825" s="8">
        <v>41.308999999999997</v>
      </c>
      <c r="F4825" s="9">
        <v>46140</v>
      </c>
    </row>
    <row r="4826" spans="1:6" ht="60" x14ac:dyDescent="0.25">
      <c r="A4826" s="8" t="s">
        <v>63</v>
      </c>
      <c r="B4826" s="8" t="s">
        <v>79</v>
      </c>
      <c r="C4826" s="8" t="str">
        <f>IFERROR(_xlfn.XLOOKUP(TRIM(B4826),Lookup!$B$2:$B$1000,Lookup!$C$2:$C$1000),"")</f>
        <v>Debt</v>
      </c>
      <c r="D4826" s="8" t="str">
        <f>IFERROR(INDEX('nav master'!$C:$C, MATCH(B4826, 'nav master'!$B:$B, 0)), "")</f>
        <v>ULIF 012 04/01/07 WLI 110</v>
      </c>
      <c r="E4826" s="8">
        <v>41.293599999999998</v>
      </c>
      <c r="F4826" s="9">
        <v>46141</v>
      </c>
    </row>
    <row r="4827" spans="1:6" ht="60" x14ac:dyDescent="0.25">
      <c r="A4827" s="8" t="s">
        <v>63</v>
      </c>
      <c r="B4827" s="8" t="s">
        <v>79</v>
      </c>
      <c r="C4827" s="8" t="str">
        <f>IFERROR(_xlfn.XLOOKUP(TRIM(B4827),Lookup!$B$2:$B$1000,Lookup!$C$2:$C$1000),"")</f>
        <v>Debt</v>
      </c>
      <c r="D4827" s="8" t="str">
        <f>IFERROR(INDEX('nav master'!$C:$C, MATCH(B4827, 'nav master'!$B:$B, 0)), "")</f>
        <v>ULIF 012 04/01/07 WLI 110</v>
      </c>
      <c r="E4827" s="8">
        <v>41.225000000000001</v>
      </c>
      <c r="F4827" s="9">
        <v>46142</v>
      </c>
    </row>
    <row r="4828" spans="1:6" ht="60" x14ac:dyDescent="0.25">
      <c r="A4828" s="8" t="s">
        <v>63</v>
      </c>
      <c r="B4828" s="8" t="s">
        <v>79</v>
      </c>
      <c r="C4828" s="8" t="str">
        <f>IFERROR(_xlfn.XLOOKUP(TRIM(B4828),Lookup!$B$2:$B$1000,Lookup!$C$2:$C$1000),"")</f>
        <v>Debt</v>
      </c>
      <c r="D4828" s="8" t="str">
        <f>IFERROR(INDEX('nav master'!$C:$C, MATCH(B4828, 'nav master'!$B:$B, 0)), "")</f>
        <v>ULIF 012 04/01/07 WLI 110</v>
      </c>
      <c r="E4828" s="8">
        <v>41.278199999999998</v>
      </c>
      <c r="F4828" s="9">
        <v>46146</v>
      </c>
    </row>
    <row r="4829" spans="1:6" ht="60" x14ac:dyDescent="0.25">
      <c r="A4829" s="8" t="s">
        <v>63</v>
      </c>
      <c r="B4829" s="8" t="s">
        <v>79</v>
      </c>
      <c r="C4829" s="8" t="str">
        <f>IFERROR(_xlfn.XLOOKUP(TRIM(B4829),Lookup!$B$2:$B$1000,Lookup!$C$2:$C$1000),"")</f>
        <v>Debt</v>
      </c>
      <c r="D4829" s="8" t="str">
        <f>IFERROR(INDEX('nav master'!$C:$C, MATCH(B4829, 'nav master'!$B:$B, 0)), "")</f>
        <v>ULIF 012 04/01/07 WLI 110</v>
      </c>
      <c r="E4829" s="8">
        <v>41.239100000000001</v>
      </c>
      <c r="F4829" s="9">
        <v>46147</v>
      </c>
    </row>
    <row r="4830" spans="1:6" ht="60" x14ac:dyDescent="0.25">
      <c r="A4830" s="8" t="s">
        <v>63</v>
      </c>
      <c r="B4830" s="8" t="s">
        <v>79</v>
      </c>
      <c r="C4830" s="8" t="str">
        <f>IFERROR(_xlfn.XLOOKUP(TRIM(B4830),Lookup!$B$2:$B$1000,Lookup!$C$2:$C$1000),"")</f>
        <v>Debt</v>
      </c>
      <c r="D4830" s="8" t="str">
        <f>IFERROR(INDEX('nav master'!$C:$C, MATCH(B4830, 'nav master'!$B:$B, 0)), "")</f>
        <v>ULIF 012 04/01/07 WLI 110</v>
      </c>
      <c r="E4830" s="8">
        <v>41.447400000000002</v>
      </c>
      <c r="F4830" s="9">
        <v>46148</v>
      </c>
    </row>
    <row r="4831" spans="1:6" ht="60" x14ac:dyDescent="0.25">
      <c r="A4831" s="8" t="s">
        <v>63</v>
      </c>
      <c r="B4831" s="8" t="s">
        <v>79</v>
      </c>
      <c r="C4831" s="8" t="str">
        <f>IFERROR(_xlfn.XLOOKUP(TRIM(B4831),Lookup!$B$2:$B$1000,Lookup!$C$2:$C$1000),"")</f>
        <v>Debt</v>
      </c>
      <c r="D4831" s="8" t="str">
        <f>IFERROR(INDEX('nav master'!$C:$C, MATCH(B4831, 'nav master'!$B:$B, 0)), "")</f>
        <v>ULIF 012 04/01/07 WLI 110</v>
      </c>
      <c r="E4831" s="8">
        <v>41.471400000000003</v>
      </c>
      <c r="F4831" s="9">
        <v>46149</v>
      </c>
    </row>
    <row r="4832" spans="1:6" ht="60" x14ac:dyDescent="0.25">
      <c r="A4832" s="8" t="s">
        <v>63</v>
      </c>
      <c r="B4832" s="8" t="s">
        <v>79</v>
      </c>
      <c r="C4832" s="8" t="str">
        <f>IFERROR(_xlfn.XLOOKUP(TRIM(B4832),Lookup!$B$2:$B$1000,Lookup!$C$2:$C$1000),"")</f>
        <v>Debt</v>
      </c>
      <c r="D4832" s="8" t="str">
        <f>IFERROR(INDEX('nav master'!$C:$C, MATCH(B4832, 'nav master'!$B:$B, 0)), "")</f>
        <v>ULIF 012 04/01/07 WLI 110</v>
      </c>
      <c r="E4832" s="8">
        <v>41.414700000000003</v>
      </c>
      <c r="F4832" s="9">
        <v>46150</v>
      </c>
    </row>
    <row r="4833" spans="1:6" ht="60" x14ac:dyDescent="0.25">
      <c r="A4833" s="8" t="s">
        <v>63</v>
      </c>
      <c r="B4833" s="8" t="s">
        <v>79</v>
      </c>
      <c r="C4833" s="8" t="str">
        <f>IFERROR(_xlfn.XLOOKUP(TRIM(B4833),Lookup!$B$2:$B$1000,Lookup!$C$2:$C$1000),"")</f>
        <v>Debt</v>
      </c>
      <c r="D4833" s="8" t="str">
        <f>IFERROR(INDEX('nav master'!$C:$C, MATCH(B4833, 'nav master'!$B:$B, 0)), "")</f>
        <v>ULIF 012 04/01/07 WLI 110</v>
      </c>
      <c r="E4833" s="8">
        <v>41.3155</v>
      </c>
      <c r="F4833" s="9">
        <v>46153</v>
      </c>
    </row>
    <row r="4834" spans="1:6" ht="60" x14ac:dyDescent="0.25">
      <c r="A4834" s="8" t="s">
        <v>63</v>
      </c>
      <c r="B4834" s="8" t="s">
        <v>79</v>
      </c>
      <c r="C4834" s="8" t="str">
        <f>IFERROR(_xlfn.XLOOKUP(TRIM(B4834),Lookup!$B$2:$B$1000,Lookup!$C$2:$C$1000),"")</f>
        <v>Debt</v>
      </c>
      <c r="D4834" s="8" t="str">
        <f>IFERROR(INDEX('nav master'!$C:$C, MATCH(B4834, 'nav master'!$B:$B, 0)), "")</f>
        <v>ULIF 012 04/01/07 WLI 110</v>
      </c>
      <c r="E4834" s="8">
        <v>41.264899999999997</v>
      </c>
      <c r="F4834" s="9">
        <v>46154</v>
      </c>
    </row>
    <row r="4835" spans="1:6" ht="60" x14ac:dyDescent="0.25">
      <c r="A4835" s="8" t="s">
        <v>63</v>
      </c>
      <c r="B4835" s="8" t="s">
        <v>79</v>
      </c>
      <c r="C4835" s="8" t="str">
        <f>IFERROR(_xlfn.XLOOKUP(TRIM(B4835),Lookup!$B$2:$B$1000,Lookup!$C$2:$C$1000),"")</f>
        <v>Debt</v>
      </c>
      <c r="D4835" s="8" t="str">
        <f>IFERROR(INDEX('nav master'!$C:$C, MATCH(B4835, 'nav master'!$B:$B, 0)), "")</f>
        <v>ULIF 012 04/01/07 WLI 110</v>
      </c>
      <c r="E4835" s="8">
        <v>41.264499999999998</v>
      </c>
      <c r="F4835" s="9">
        <v>46155</v>
      </c>
    </row>
    <row r="4836" spans="1:6" ht="60" x14ac:dyDescent="0.25">
      <c r="A4836" s="8" t="s">
        <v>63</v>
      </c>
      <c r="B4836" s="8" t="s">
        <v>79</v>
      </c>
      <c r="C4836" s="8" t="str">
        <f>IFERROR(_xlfn.XLOOKUP(TRIM(B4836),Lookup!$B$2:$B$1000,Lookup!$C$2:$C$1000),"")</f>
        <v>Debt</v>
      </c>
      <c r="D4836" s="8" t="str">
        <f>IFERROR(INDEX('nav master'!$C:$C, MATCH(B4836, 'nav master'!$B:$B, 0)), "")</f>
        <v>ULIF 012 04/01/07 WLI 110</v>
      </c>
      <c r="E4836" s="8">
        <v>41.293199999999999</v>
      </c>
      <c r="F4836" s="9">
        <v>46156</v>
      </c>
    </row>
    <row r="4837" spans="1:6" ht="60" x14ac:dyDescent="0.25">
      <c r="A4837" s="8" t="s">
        <v>63</v>
      </c>
      <c r="B4837" s="8" t="s">
        <v>79</v>
      </c>
      <c r="C4837" s="8" t="str">
        <f>IFERROR(_xlfn.XLOOKUP(TRIM(B4837),Lookup!$B$2:$B$1000,Lookup!$C$2:$C$1000),"")</f>
        <v>Debt</v>
      </c>
      <c r="D4837" s="8" t="str">
        <f>IFERROR(INDEX('nav master'!$C:$C, MATCH(B4837, 'nav master'!$B:$B, 0)), "")</f>
        <v>ULIF 012 04/01/07 WLI 110</v>
      </c>
      <c r="E4837" s="8">
        <v>41.211300000000001</v>
      </c>
      <c r="F4837" s="9">
        <v>46157</v>
      </c>
    </row>
    <row r="4838" spans="1:6" ht="60" x14ac:dyDescent="0.25">
      <c r="A4838" s="8" t="s">
        <v>63</v>
      </c>
      <c r="B4838" s="8" t="s">
        <v>79</v>
      </c>
      <c r="C4838" s="8" t="str">
        <f>IFERROR(_xlfn.XLOOKUP(TRIM(B4838),Lookup!$B$2:$B$1000,Lookup!$C$2:$C$1000),"")</f>
        <v>Debt</v>
      </c>
      <c r="D4838" s="8" t="str">
        <f>IFERROR(INDEX('nav master'!$C:$C, MATCH(B4838, 'nav master'!$B:$B, 0)), "")</f>
        <v>ULIF 012 04/01/07 WLI 110</v>
      </c>
      <c r="E4838" s="8">
        <v>41.040900000000001</v>
      </c>
      <c r="F4838" s="9">
        <v>46160</v>
      </c>
    </row>
    <row r="4839" spans="1:6" ht="60" x14ac:dyDescent="0.25">
      <c r="A4839" s="8" t="s">
        <v>63</v>
      </c>
      <c r="B4839" s="8" t="s">
        <v>79</v>
      </c>
      <c r="C4839" s="8" t="str">
        <f>IFERROR(_xlfn.XLOOKUP(TRIM(B4839),Lookup!$B$2:$B$1000,Lookup!$C$2:$C$1000),"")</f>
        <v>Debt</v>
      </c>
      <c r="D4839" s="8" t="str">
        <f>IFERROR(INDEX('nav master'!$C:$C, MATCH(B4839, 'nav master'!$B:$B, 0)), "")</f>
        <v>ULIF 012 04/01/07 WLI 110</v>
      </c>
      <c r="E4839" s="8">
        <v>41.091799999999999</v>
      </c>
      <c r="F4839" s="9">
        <v>46161</v>
      </c>
    </row>
    <row r="4840" spans="1:6" ht="60" x14ac:dyDescent="0.25">
      <c r="A4840" s="8" t="s">
        <v>63</v>
      </c>
      <c r="B4840" s="8" t="s">
        <v>79</v>
      </c>
      <c r="C4840" s="8" t="str">
        <f>IFERROR(_xlfn.XLOOKUP(TRIM(B4840),Lookup!$B$2:$B$1000,Lookup!$C$2:$C$1000),"")</f>
        <v>Debt</v>
      </c>
      <c r="D4840" s="8" t="str">
        <f>IFERROR(INDEX('nav master'!$C:$C, MATCH(B4840, 'nav master'!$B:$B, 0)), "")</f>
        <v>ULIF 012 04/01/07 WLI 110</v>
      </c>
      <c r="E4840" s="8">
        <v>41.140799999999999</v>
      </c>
      <c r="F4840" s="9">
        <v>46162</v>
      </c>
    </row>
    <row r="4841" spans="1:6" ht="60" x14ac:dyDescent="0.25">
      <c r="A4841" s="8" t="s">
        <v>63</v>
      </c>
      <c r="B4841" s="8" t="s">
        <v>79</v>
      </c>
      <c r="C4841" s="8" t="str">
        <f>IFERROR(_xlfn.XLOOKUP(TRIM(B4841),Lookup!$B$2:$B$1000,Lookup!$C$2:$C$1000),"")</f>
        <v>Debt</v>
      </c>
      <c r="D4841" s="8" t="str">
        <f>IFERROR(INDEX('nav master'!$C:$C, MATCH(B4841, 'nav master'!$B:$B, 0)), "")</f>
        <v>ULIF 012 04/01/07 WLI 110</v>
      </c>
      <c r="E4841" s="8">
        <v>41.098399999999998</v>
      </c>
      <c r="F4841" s="9">
        <v>46163</v>
      </c>
    </row>
    <row r="4842" spans="1:6" ht="60" x14ac:dyDescent="0.25">
      <c r="A4842" s="8" t="s">
        <v>63</v>
      </c>
      <c r="B4842" s="8" t="s">
        <v>79</v>
      </c>
      <c r="C4842" s="8" t="str">
        <f>IFERROR(_xlfn.XLOOKUP(TRIM(B4842),Lookup!$B$2:$B$1000,Lookup!$C$2:$C$1000),"")</f>
        <v>Debt</v>
      </c>
      <c r="D4842" s="8" t="str">
        <f>IFERROR(INDEX('nav master'!$C:$C, MATCH(B4842, 'nav master'!$B:$B, 0)), "")</f>
        <v>ULIF 012 04/01/07 WLI 110</v>
      </c>
      <c r="E4842" s="8">
        <v>41.133699999999997</v>
      </c>
      <c r="F4842" s="9">
        <v>46164</v>
      </c>
    </row>
    <row r="4843" spans="1:6" ht="60" x14ac:dyDescent="0.25">
      <c r="A4843" s="8" t="s">
        <v>63</v>
      </c>
      <c r="B4843" s="8" t="s">
        <v>79</v>
      </c>
      <c r="C4843" s="8" t="str">
        <f>IFERROR(_xlfn.XLOOKUP(TRIM(B4843),Lookup!$B$2:$B$1000,Lookup!$C$2:$C$1000),"")</f>
        <v>Debt</v>
      </c>
      <c r="D4843" s="8" t="str">
        <f>IFERROR(INDEX('nav master'!$C:$C, MATCH(B4843, 'nav master'!$B:$B, 0)), "")</f>
        <v>ULIF 012 04/01/07 WLI 110</v>
      </c>
      <c r="E4843" s="8">
        <v>41.267699999999998</v>
      </c>
      <c r="F4843" s="9">
        <v>46167</v>
      </c>
    </row>
    <row r="4844" spans="1:6" ht="60" x14ac:dyDescent="0.25">
      <c r="A4844" s="8" t="s">
        <v>63</v>
      </c>
      <c r="B4844" s="8" t="s">
        <v>79</v>
      </c>
      <c r="C4844" s="8" t="str">
        <f>IFERROR(_xlfn.XLOOKUP(TRIM(B4844),Lookup!$B$2:$B$1000,Lookup!$C$2:$C$1000),"")</f>
        <v>Debt</v>
      </c>
      <c r="D4844" s="8" t="str">
        <f>IFERROR(INDEX('nav master'!$C:$C, MATCH(B4844, 'nav master'!$B:$B, 0)), "")</f>
        <v>ULIF 012 04/01/07 WLI 110</v>
      </c>
      <c r="E4844" s="8">
        <v>41.280799999999999</v>
      </c>
      <c r="F4844" s="9">
        <v>46168</v>
      </c>
    </row>
    <row r="4845" spans="1:6" ht="60" x14ac:dyDescent="0.25">
      <c r="A4845" s="8" t="s">
        <v>63</v>
      </c>
      <c r="B4845" s="8" t="s">
        <v>79</v>
      </c>
      <c r="C4845" s="8" t="str">
        <f>IFERROR(_xlfn.XLOOKUP(TRIM(B4845),Lookup!$B$2:$B$1000,Lookup!$C$2:$C$1000),"")</f>
        <v>Debt</v>
      </c>
      <c r="D4845" s="8" t="str">
        <f>IFERROR(INDEX('nav master'!$C:$C, MATCH(B4845, 'nav master'!$B:$B, 0)), "")</f>
        <v>ULIF 012 04/01/07 WLI 110</v>
      </c>
      <c r="E4845" s="8">
        <v>41.310099999999998</v>
      </c>
      <c r="F4845" s="9">
        <v>46169</v>
      </c>
    </row>
    <row r="4846" spans="1:6" ht="60" x14ac:dyDescent="0.25">
      <c r="A4846" s="8" t="s">
        <v>63</v>
      </c>
      <c r="B4846" s="8" t="s">
        <v>79</v>
      </c>
      <c r="C4846" s="8" t="str">
        <f>IFERROR(_xlfn.XLOOKUP(TRIM(B4846),Lookup!$B$2:$B$1000,Lookup!$C$2:$C$1000),"")</f>
        <v>Debt</v>
      </c>
      <c r="D4846" s="8" t="str">
        <f>IFERROR(INDEX('nav master'!$C:$C, MATCH(B4846, 'nav master'!$B:$B, 0)), "")</f>
        <v>ULIF 012 04/01/07 WLI 110</v>
      </c>
      <c r="E4846" s="8">
        <v>41.342399999999998</v>
      </c>
      <c r="F4846" s="9">
        <v>46171</v>
      </c>
    </row>
    <row r="4847" spans="1:6" ht="60" x14ac:dyDescent="0.25">
      <c r="A4847" s="8" t="s">
        <v>63</v>
      </c>
      <c r="B4847" s="8" t="s">
        <v>79</v>
      </c>
      <c r="C4847" s="8" t="str">
        <f>IFERROR(_xlfn.XLOOKUP(TRIM(B4847),Lookup!$B$2:$B$1000,Lookup!$C$2:$C$1000),"")</f>
        <v>Debt</v>
      </c>
      <c r="D4847" s="8" t="str">
        <f>IFERROR(INDEX('nav master'!$C:$C, MATCH(B4847, 'nav master'!$B:$B, 0)), "")</f>
        <v>ULIF 012 04/01/07 WLI 110</v>
      </c>
      <c r="E4847" s="8">
        <v>41.323</v>
      </c>
      <c r="F4847" s="9">
        <v>46174</v>
      </c>
    </row>
    <row r="4848" spans="1:6" ht="60" x14ac:dyDescent="0.25">
      <c r="A4848" s="8" t="s">
        <v>63</v>
      </c>
      <c r="B4848" s="8" t="s">
        <v>79</v>
      </c>
      <c r="C4848" s="8" t="str">
        <f>IFERROR(_xlfn.XLOOKUP(TRIM(B4848),Lookup!$B$2:$B$1000,Lookup!$C$2:$C$1000),"")</f>
        <v>Debt</v>
      </c>
      <c r="D4848" s="8" t="str">
        <f>IFERROR(INDEX('nav master'!$C:$C, MATCH(B4848, 'nav master'!$B:$B, 0)), "")</f>
        <v>ULIF 012 04/01/07 WLI 110</v>
      </c>
      <c r="E4848" s="8">
        <v>41.355200000000004</v>
      </c>
      <c r="F4848" s="9">
        <v>46175</v>
      </c>
    </row>
    <row r="4849" spans="1:6" ht="60" x14ac:dyDescent="0.25">
      <c r="A4849" s="8" t="s">
        <v>63</v>
      </c>
      <c r="B4849" s="8" t="s">
        <v>79</v>
      </c>
      <c r="C4849" s="8" t="str">
        <f>IFERROR(_xlfn.XLOOKUP(TRIM(B4849),Lookup!$B$2:$B$1000,Lookup!$C$2:$C$1000),"")</f>
        <v>Debt</v>
      </c>
      <c r="D4849" s="8" t="str">
        <f>IFERROR(INDEX('nav master'!$C:$C, MATCH(B4849, 'nav master'!$B:$B, 0)), "")</f>
        <v>ULIF 012 04/01/07 WLI 110</v>
      </c>
      <c r="E4849" s="8">
        <v>41.327599999999997</v>
      </c>
      <c r="F4849" s="9">
        <v>46176</v>
      </c>
    </row>
    <row r="4850" spans="1:6" ht="60" x14ac:dyDescent="0.25">
      <c r="A4850" s="8" t="s">
        <v>63</v>
      </c>
      <c r="B4850" s="8" t="s">
        <v>79</v>
      </c>
      <c r="C4850" s="8" t="str">
        <f>IFERROR(_xlfn.XLOOKUP(TRIM(B4850),Lookup!$B$2:$B$1000,Lookup!$C$2:$C$1000),"")</f>
        <v>Debt</v>
      </c>
      <c r="D4850" s="8" t="str">
        <f>IFERROR(INDEX('nav master'!$C:$C, MATCH(B4850, 'nav master'!$B:$B, 0)), "")</f>
        <v>ULIF 012 04/01/07 WLI 110</v>
      </c>
      <c r="E4850" s="8">
        <v>41.368099999999998</v>
      </c>
      <c r="F4850" s="9">
        <v>46177</v>
      </c>
    </row>
    <row r="4851" spans="1:6" ht="60" x14ac:dyDescent="0.25">
      <c r="A4851" s="8" t="s">
        <v>63</v>
      </c>
      <c r="B4851" s="8" t="s">
        <v>79</v>
      </c>
      <c r="C4851" s="8" t="str">
        <f>IFERROR(_xlfn.XLOOKUP(TRIM(B4851),Lookup!$B$2:$B$1000,Lookup!$C$2:$C$1000),"")</f>
        <v>Debt</v>
      </c>
      <c r="D4851" s="8" t="str">
        <f>IFERROR(INDEX('nav master'!$C:$C, MATCH(B4851, 'nav master'!$B:$B, 0)), "")</f>
        <v>ULIF 012 04/01/07 WLI 110</v>
      </c>
      <c r="E4851" s="8">
        <v>41.565800000000003</v>
      </c>
      <c r="F4851" s="9">
        <v>46178</v>
      </c>
    </row>
    <row r="4852" spans="1:6" ht="60" x14ac:dyDescent="0.25">
      <c r="A4852" s="8" t="s">
        <v>63</v>
      </c>
      <c r="B4852" s="8" t="s">
        <v>79</v>
      </c>
      <c r="C4852" s="8" t="str">
        <f>IFERROR(_xlfn.XLOOKUP(TRIM(B4852),Lookup!$B$2:$B$1000,Lookup!$C$2:$C$1000),"")</f>
        <v>Debt</v>
      </c>
      <c r="D4852" s="8" t="str">
        <f>IFERROR(INDEX('nav master'!$C:$C, MATCH(B4852, 'nav master'!$B:$B, 0)), "")</f>
        <v>ULIF 012 04/01/07 WLI 110</v>
      </c>
      <c r="E4852" s="8">
        <v>41.653300000000002</v>
      </c>
      <c r="F4852" s="9">
        <v>46181</v>
      </c>
    </row>
    <row r="4853" spans="1:6" ht="60" x14ac:dyDescent="0.25">
      <c r="A4853" s="8" t="s">
        <v>63</v>
      </c>
      <c r="B4853" s="8" t="s">
        <v>79</v>
      </c>
      <c r="C4853" s="8" t="str">
        <f>IFERROR(_xlfn.XLOOKUP(TRIM(B4853),Lookup!$B$2:$B$1000,Lookup!$C$2:$C$1000),"")</f>
        <v>Debt</v>
      </c>
      <c r="D4853" s="8" t="str">
        <f>IFERROR(INDEX('nav master'!$C:$C, MATCH(B4853, 'nav master'!$B:$B, 0)), "")</f>
        <v>ULIF 012 04/01/07 WLI 110</v>
      </c>
      <c r="E4853" s="8">
        <v>41.7806</v>
      </c>
      <c r="F4853" s="9">
        <v>46182</v>
      </c>
    </row>
    <row r="4854" spans="1:6" ht="60" x14ac:dyDescent="0.25">
      <c r="A4854" s="8" t="s">
        <v>63</v>
      </c>
      <c r="B4854" s="8" t="s">
        <v>79</v>
      </c>
      <c r="C4854" s="8" t="str">
        <f>IFERROR(_xlfn.XLOOKUP(TRIM(B4854),Lookup!$B$2:$B$1000,Lookup!$C$2:$C$1000),"")</f>
        <v>Debt</v>
      </c>
      <c r="D4854" s="8" t="str">
        <f>IFERROR(INDEX('nav master'!$C:$C, MATCH(B4854, 'nav master'!$B:$B, 0)), "")</f>
        <v>ULIF 012 04/01/07 WLI 110</v>
      </c>
      <c r="E4854" s="8">
        <v>41.738900000000001</v>
      </c>
      <c r="F4854" s="9">
        <v>46183</v>
      </c>
    </row>
    <row r="4855" spans="1:6" ht="60" x14ac:dyDescent="0.25">
      <c r="A4855" s="8" t="s">
        <v>63</v>
      </c>
      <c r="B4855" s="8" t="s">
        <v>79</v>
      </c>
      <c r="C4855" s="8" t="str">
        <f>IFERROR(_xlfn.XLOOKUP(TRIM(B4855),Lookup!$B$2:$B$1000,Lookup!$C$2:$C$1000),"")</f>
        <v>Debt</v>
      </c>
      <c r="D4855" s="8" t="str">
        <f>IFERROR(INDEX('nav master'!$C:$C, MATCH(B4855, 'nav master'!$B:$B, 0)), "")</f>
        <v>ULIF 012 04/01/07 WLI 110</v>
      </c>
      <c r="E4855" s="8">
        <v>41.711599999999997</v>
      </c>
      <c r="F4855" s="9">
        <v>46184</v>
      </c>
    </row>
    <row r="4856" spans="1:6" ht="60" x14ac:dyDescent="0.25">
      <c r="A4856" s="8" t="s">
        <v>63</v>
      </c>
      <c r="B4856" s="8" t="s">
        <v>79</v>
      </c>
      <c r="C4856" s="8" t="str">
        <f>IFERROR(_xlfn.XLOOKUP(TRIM(B4856),Lookup!$B$2:$B$1000,Lookup!$C$2:$C$1000),"")</f>
        <v>Debt</v>
      </c>
      <c r="D4856" s="8" t="str">
        <f>IFERROR(INDEX('nav master'!$C:$C, MATCH(B4856, 'nav master'!$B:$B, 0)), "")</f>
        <v>ULIF 012 04/01/07 WLI 110</v>
      </c>
      <c r="E4856" s="8">
        <v>41.805300000000003</v>
      </c>
      <c r="F4856" s="9">
        <v>46185</v>
      </c>
    </row>
    <row r="4857" spans="1:6" ht="60" x14ac:dyDescent="0.25">
      <c r="A4857" s="8" t="s">
        <v>63</v>
      </c>
      <c r="B4857" s="8" t="s">
        <v>79</v>
      </c>
      <c r="C4857" s="8" t="str">
        <f>IFERROR(_xlfn.XLOOKUP(TRIM(B4857),Lookup!$B$2:$B$1000,Lookup!$C$2:$C$1000),"")</f>
        <v>Debt</v>
      </c>
      <c r="D4857" s="8" t="str">
        <f>IFERROR(INDEX('nav master'!$C:$C, MATCH(B4857, 'nav master'!$B:$B, 0)), "")</f>
        <v>ULIF 012 04/01/07 WLI 110</v>
      </c>
      <c r="E4857" s="8">
        <v>41.877699999999997</v>
      </c>
      <c r="F4857" s="9">
        <v>46188</v>
      </c>
    </row>
    <row r="4858" spans="1:6" ht="60" x14ac:dyDescent="0.25">
      <c r="A4858" s="8" t="s">
        <v>63</v>
      </c>
      <c r="B4858" s="8" t="s">
        <v>79</v>
      </c>
      <c r="C4858" s="8" t="str">
        <f>IFERROR(_xlfn.XLOOKUP(TRIM(B4858),Lookup!$B$2:$B$1000,Lookup!$C$2:$C$1000),"")</f>
        <v>Debt</v>
      </c>
      <c r="D4858" s="8" t="str">
        <f>IFERROR(INDEX('nav master'!$C:$C, MATCH(B4858, 'nav master'!$B:$B, 0)), "")</f>
        <v>ULIF 012 04/01/07 WLI 110</v>
      </c>
      <c r="E4858" s="8">
        <v>41.8996</v>
      </c>
      <c r="F4858" s="9">
        <v>46189</v>
      </c>
    </row>
    <row r="4859" spans="1:6" ht="60" x14ac:dyDescent="0.25">
      <c r="A4859" s="8" t="s">
        <v>63</v>
      </c>
      <c r="B4859" s="8" t="s">
        <v>79</v>
      </c>
      <c r="C4859" s="8" t="str">
        <f>IFERROR(_xlfn.XLOOKUP(TRIM(B4859),Lookup!$B$2:$B$1000,Lookup!$C$2:$C$1000),"")</f>
        <v>Debt</v>
      </c>
      <c r="D4859" s="8" t="str">
        <f>IFERROR(INDEX('nav master'!$C:$C, MATCH(B4859, 'nav master'!$B:$B, 0)), "")</f>
        <v>ULIF 012 04/01/07 WLI 110</v>
      </c>
      <c r="E4859" s="8">
        <v>41.8964</v>
      </c>
      <c r="F4859" s="9">
        <v>46190</v>
      </c>
    </row>
    <row r="4860" spans="1:6" ht="60" x14ac:dyDescent="0.25">
      <c r="A4860" s="8" t="s">
        <v>63</v>
      </c>
      <c r="B4860" s="8" t="s">
        <v>79</v>
      </c>
      <c r="C4860" s="8" t="str">
        <f>IFERROR(_xlfn.XLOOKUP(TRIM(B4860),Lookup!$B$2:$B$1000,Lookup!$C$2:$C$1000),"")</f>
        <v>Debt</v>
      </c>
      <c r="D4860" s="8" t="str">
        <f>IFERROR(INDEX('nav master'!$C:$C, MATCH(B4860, 'nav master'!$B:$B, 0)), "")</f>
        <v>ULIF 012 04/01/07 WLI 110</v>
      </c>
      <c r="E4860" s="8">
        <v>41.973500000000001</v>
      </c>
      <c r="F4860" s="9">
        <v>46191</v>
      </c>
    </row>
    <row r="4861" spans="1:6" ht="60" x14ac:dyDescent="0.25">
      <c r="A4861" s="8" t="s">
        <v>63</v>
      </c>
      <c r="B4861" s="8" t="s">
        <v>79</v>
      </c>
      <c r="C4861" s="8" t="str">
        <f>IFERROR(_xlfn.XLOOKUP(TRIM(B4861),Lookup!$B$2:$B$1000,Lookup!$C$2:$C$1000),"")</f>
        <v>Debt</v>
      </c>
      <c r="D4861" s="8" t="str">
        <f>IFERROR(INDEX('nav master'!$C:$C, MATCH(B4861, 'nav master'!$B:$B, 0)), "")</f>
        <v>ULIF 012 04/01/07 WLI 110</v>
      </c>
      <c r="E4861" s="8">
        <v>41.947499999999998</v>
      </c>
      <c r="F4861" s="9">
        <v>46192</v>
      </c>
    </row>
    <row r="4862" spans="1:6" ht="60" x14ac:dyDescent="0.25">
      <c r="A4862" s="8" t="s">
        <v>63</v>
      </c>
      <c r="B4862" s="8" t="s">
        <v>79</v>
      </c>
      <c r="C4862" s="8" t="str">
        <f>IFERROR(_xlfn.XLOOKUP(TRIM(B4862),Lookup!$B$2:$B$1000,Lookup!$C$2:$C$1000),"")</f>
        <v>Debt</v>
      </c>
      <c r="D4862" s="8" t="str">
        <f>IFERROR(INDEX('nav master'!$C:$C, MATCH(B4862, 'nav master'!$B:$B, 0)), "")</f>
        <v>ULIF 012 04/01/07 WLI 110</v>
      </c>
      <c r="E4862" s="8">
        <v>42.006999999999998</v>
      </c>
      <c r="F4862" s="9">
        <v>46195</v>
      </c>
    </row>
    <row r="4863" spans="1:6" ht="60" x14ac:dyDescent="0.25">
      <c r="A4863" s="8" t="s">
        <v>63</v>
      </c>
      <c r="B4863" s="8" t="s">
        <v>79</v>
      </c>
      <c r="C4863" s="8" t="str">
        <f>IFERROR(_xlfn.XLOOKUP(TRIM(B4863),Lookup!$B$2:$B$1000,Lookup!$C$2:$C$1000),"")</f>
        <v>Debt</v>
      </c>
      <c r="D4863" s="8" t="str">
        <f>IFERROR(INDEX('nav master'!$C:$C, MATCH(B4863, 'nav master'!$B:$B, 0)), "")</f>
        <v>ULIF 012 04/01/07 WLI 110</v>
      </c>
      <c r="E4863" s="8">
        <v>42.057600000000001</v>
      </c>
      <c r="F4863" s="9">
        <v>46196</v>
      </c>
    </row>
    <row r="4864" spans="1:6" ht="60" x14ac:dyDescent="0.25">
      <c r="A4864" s="8" t="s">
        <v>63</v>
      </c>
      <c r="B4864" s="8" t="s">
        <v>79</v>
      </c>
      <c r="C4864" s="8" t="str">
        <f>IFERROR(_xlfn.XLOOKUP(TRIM(B4864),Lookup!$B$2:$B$1000,Lookup!$C$2:$C$1000),"")</f>
        <v>Debt</v>
      </c>
      <c r="D4864" s="8" t="str">
        <f>IFERROR(INDEX('nav master'!$C:$C, MATCH(B4864, 'nav master'!$B:$B, 0)), "")</f>
        <v>ULIF 012 04/01/07 WLI 110</v>
      </c>
      <c r="E4864" s="8">
        <v>42.165700000000001</v>
      </c>
      <c r="F4864" s="9">
        <v>46197</v>
      </c>
    </row>
    <row r="4865" spans="1:6" ht="60" x14ac:dyDescent="0.25">
      <c r="A4865" s="8" t="s">
        <v>63</v>
      </c>
      <c r="B4865" s="8" t="s">
        <v>79</v>
      </c>
      <c r="C4865" s="8" t="str">
        <f>IFERROR(_xlfn.XLOOKUP(TRIM(B4865),Lookup!$B$2:$B$1000,Lookup!$C$2:$C$1000),"")</f>
        <v>Debt</v>
      </c>
      <c r="D4865" s="8" t="str">
        <f>IFERROR(INDEX('nav master'!$C:$C, MATCH(B4865, 'nav master'!$B:$B, 0)), "")</f>
        <v>ULIF 012 04/01/07 WLI 110</v>
      </c>
      <c r="E4865" s="8">
        <v>42.308599999999998</v>
      </c>
      <c r="F4865" s="9">
        <v>46198</v>
      </c>
    </row>
    <row r="4866" spans="1:6" ht="60" x14ac:dyDescent="0.25">
      <c r="A4866" s="8" t="s">
        <v>63</v>
      </c>
      <c r="B4866" s="8" t="s">
        <v>79</v>
      </c>
      <c r="C4866" s="8" t="str">
        <f>IFERROR(_xlfn.XLOOKUP(TRIM(B4866),Lookup!$B$2:$B$1000,Lookup!$C$2:$C$1000),"")</f>
        <v>Debt</v>
      </c>
      <c r="D4866" s="8" t="str">
        <f>IFERROR(INDEX('nav master'!$C:$C, MATCH(B4866, 'nav master'!$B:$B, 0)), "")</f>
        <v>ULIF 012 04/01/07 WLI 110</v>
      </c>
      <c r="E4866" s="8">
        <v>42.403199999999998</v>
      </c>
      <c r="F4866" s="9">
        <v>46202</v>
      </c>
    </row>
    <row r="4867" spans="1:6" ht="60" x14ac:dyDescent="0.25">
      <c r="A4867" s="8" t="s">
        <v>63</v>
      </c>
      <c r="B4867" s="8" t="s">
        <v>79</v>
      </c>
      <c r="C4867" s="8" t="str">
        <f>IFERROR(_xlfn.XLOOKUP(TRIM(B4867),Lookup!$B$2:$B$1000,Lookup!$C$2:$C$1000),"")</f>
        <v>Debt</v>
      </c>
      <c r="D4867" s="8" t="str">
        <f>IFERROR(INDEX('nav master'!$C:$C, MATCH(B4867, 'nav master'!$B:$B, 0)), "")</f>
        <v>ULIF 012 04/01/07 WLI 110</v>
      </c>
      <c r="E4867" s="8">
        <v>42.461599999999997</v>
      </c>
      <c r="F4867" s="9">
        <v>46203</v>
      </c>
    </row>
    <row r="4868" spans="1:6" ht="60" x14ac:dyDescent="0.25">
      <c r="A4868" s="8" t="s">
        <v>63</v>
      </c>
      <c r="B4868" s="8" t="s">
        <v>79</v>
      </c>
      <c r="C4868" s="8" t="str">
        <f>IFERROR(_xlfn.XLOOKUP(TRIM(B4868),Lookup!$B$2:$B$1000,Lookup!$C$2:$C$1000),"")</f>
        <v>Debt</v>
      </c>
      <c r="D4868" s="8" t="str">
        <f>IFERROR(INDEX('nav master'!$C:$C, MATCH(B4868, 'nav master'!$B:$B, 0)), "")</f>
        <v>ULIF 012 04/01/07 WLI 110</v>
      </c>
      <c r="E4868" s="8">
        <v>42.454599999999999</v>
      </c>
      <c r="F4868" s="9">
        <v>46204</v>
      </c>
    </row>
    <row r="4869" spans="1:6" ht="60" x14ac:dyDescent="0.25">
      <c r="A4869" s="8" t="s">
        <v>63</v>
      </c>
      <c r="B4869" s="8" t="s">
        <v>79</v>
      </c>
      <c r="C4869" s="8" t="str">
        <f>IFERROR(_xlfn.XLOOKUP(TRIM(B4869),Lookup!$B$2:$B$1000,Lookup!$C$2:$C$1000),"")</f>
        <v>Debt</v>
      </c>
      <c r="D4869" s="8" t="str">
        <f>IFERROR(INDEX('nav master'!$C:$C, MATCH(B4869, 'nav master'!$B:$B, 0)), "")</f>
        <v>ULIF 012 04/01/07 WLI 110</v>
      </c>
      <c r="E4869" s="8">
        <v>42.532400000000003</v>
      </c>
      <c r="F4869" s="9">
        <v>46205</v>
      </c>
    </row>
    <row r="4870" spans="1:6" ht="60" x14ac:dyDescent="0.25">
      <c r="A4870" s="8" t="s">
        <v>63</v>
      </c>
      <c r="B4870" s="8" t="s">
        <v>79</v>
      </c>
      <c r="C4870" s="8" t="str">
        <f>IFERROR(_xlfn.XLOOKUP(TRIM(B4870),Lookup!$B$2:$B$1000,Lookup!$C$2:$C$1000),"")</f>
        <v>Debt</v>
      </c>
      <c r="D4870" s="8" t="str">
        <f>IFERROR(INDEX('nav master'!$C:$C, MATCH(B4870, 'nav master'!$B:$B, 0)), "")</f>
        <v>ULIF 012 04/01/07 WLI 110</v>
      </c>
      <c r="E4870" s="8">
        <v>42.511800000000001</v>
      </c>
      <c r="F4870" s="9">
        <v>46206</v>
      </c>
    </row>
    <row r="4871" spans="1:6" ht="60" x14ac:dyDescent="0.25">
      <c r="A4871" s="8" t="s">
        <v>63</v>
      </c>
      <c r="B4871" s="8" t="s">
        <v>79</v>
      </c>
      <c r="C4871" s="8" t="str">
        <f>IFERROR(_xlfn.XLOOKUP(TRIM(B4871),Lookup!$B$2:$B$1000,Lookup!$C$2:$C$1000),"")</f>
        <v>Debt</v>
      </c>
      <c r="D4871" s="8" t="str">
        <f>IFERROR(INDEX('nav master'!$C:$C, MATCH(B4871, 'nav master'!$B:$B, 0)), "")</f>
        <v>ULIF 012 04/01/07 WLI 110</v>
      </c>
      <c r="E4871" s="8">
        <v>42.554299999999998</v>
      </c>
      <c r="F4871" s="9">
        <v>46209</v>
      </c>
    </row>
    <row r="4872" spans="1:6" ht="60" x14ac:dyDescent="0.25">
      <c r="A4872" s="8" t="s">
        <v>63</v>
      </c>
      <c r="B4872" s="8" t="s">
        <v>79</v>
      </c>
      <c r="C4872" s="8" t="str">
        <f>IFERROR(_xlfn.XLOOKUP(TRIM(B4872),Lookup!$B$2:$B$1000,Lookup!$C$2:$C$1000),"")</f>
        <v>Debt</v>
      </c>
      <c r="D4872" s="8" t="str">
        <f>IFERROR(INDEX('nav master'!$C:$C, MATCH(B4872, 'nav master'!$B:$B, 0)), "")</f>
        <v>ULIF 012 04/01/07 WLI 110</v>
      </c>
      <c r="E4872" s="8">
        <v>42.528300000000002</v>
      </c>
      <c r="F4872" s="9">
        <v>46210</v>
      </c>
    </row>
    <row r="4873" spans="1:6" ht="60" x14ac:dyDescent="0.25">
      <c r="A4873" s="8" t="s">
        <v>63</v>
      </c>
      <c r="B4873" s="8" t="s">
        <v>79</v>
      </c>
      <c r="C4873" s="8" t="str">
        <f>IFERROR(_xlfn.XLOOKUP(TRIM(B4873),Lookup!$B$2:$B$1000,Lookup!$C$2:$C$1000),"")</f>
        <v>Debt</v>
      </c>
      <c r="D4873" s="8" t="str">
        <f>IFERROR(INDEX('nav master'!$C:$C, MATCH(B4873, 'nav master'!$B:$B, 0)), "")</f>
        <v>ULIF 012 04/01/07 WLI 110</v>
      </c>
      <c r="E4873" s="8">
        <v>42.3857</v>
      </c>
      <c r="F4873" s="9">
        <v>46211</v>
      </c>
    </row>
    <row r="4874" spans="1:6" ht="60" x14ac:dyDescent="0.25">
      <c r="A4874" s="8" t="s">
        <v>63</v>
      </c>
      <c r="B4874" s="8" t="s">
        <v>79</v>
      </c>
      <c r="C4874" s="8" t="str">
        <f>IFERROR(_xlfn.XLOOKUP(TRIM(B4874),Lookup!$B$2:$B$1000,Lookup!$C$2:$C$1000),"")</f>
        <v>Debt</v>
      </c>
      <c r="D4874" s="8" t="str">
        <f>IFERROR(INDEX('nav master'!$C:$C, MATCH(B4874, 'nav master'!$B:$B, 0)), "")</f>
        <v>ULIF 012 04/01/07 WLI 110</v>
      </c>
      <c r="E4874" s="8">
        <v>42.414499999999997</v>
      </c>
      <c r="F4874" s="9">
        <v>46212</v>
      </c>
    </row>
    <row r="4875" spans="1:6" ht="60" x14ac:dyDescent="0.25">
      <c r="A4875" s="8" t="s">
        <v>63</v>
      </c>
      <c r="B4875" s="8" t="s">
        <v>79</v>
      </c>
      <c r="C4875" s="8" t="str">
        <f>IFERROR(_xlfn.XLOOKUP(TRIM(B4875),Lookup!$B$2:$B$1000,Lookup!$C$2:$C$1000),"")</f>
        <v>Debt</v>
      </c>
      <c r="D4875" s="8" t="str">
        <f>IFERROR(INDEX('nav master'!$C:$C, MATCH(B4875, 'nav master'!$B:$B, 0)), "")</f>
        <v>ULIF 012 04/01/07 WLI 110</v>
      </c>
      <c r="E4875" s="8">
        <v>42.487299999999998</v>
      </c>
      <c r="F4875" s="9">
        <v>46213</v>
      </c>
    </row>
    <row r="4876" spans="1:6" ht="60" x14ac:dyDescent="0.25">
      <c r="A4876" s="8" t="s">
        <v>63</v>
      </c>
      <c r="B4876" s="8" t="s">
        <v>79</v>
      </c>
      <c r="C4876" s="8" t="str">
        <f>IFERROR(_xlfn.XLOOKUP(TRIM(B4876),Lookup!$B$2:$B$1000,Lookup!$C$2:$C$1000),"")</f>
        <v>Debt</v>
      </c>
      <c r="D4876" s="8" t="str">
        <f>IFERROR(INDEX('nav master'!$C:$C, MATCH(B4876, 'nav master'!$B:$B, 0)), "")</f>
        <v>ULIF 012 04/01/07 WLI 110</v>
      </c>
      <c r="E4876" s="8">
        <v>42.479599999999998</v>
      </c>
      <c r="F4876" s="9">
        <v>46216</v>
      </c>
    </row>
    <row r="4877" spans="1:6" ht="60" x14ac:dyDescent="0.25">
      <c r="A4877" s="8" t="s">
        <v>63</v>
      </c>
      <c r="B4877" s="8" t="s">
        <v>79</v>
      </c>
      <c r="C4877" s="8" t="str">
        <f>IFERROR(_xlfn.XLOOKUP(TRIM(B4877),Lookup!$B$2:$B$1000,Lookup!$C$2:$C$1000),"")</f>
        <v>Debt</v>
      </c>
      <c r="D4877" s="8" t="str">
        <f>IFERROR(INDEX('nav master'!$C:$C, MATCH(B4877, 'nav master'!$B:$B, 0)), "")</f>
        <v>ULIF 012 04/01/07 WLI 110</v>
      </c>
      <c r="E4877" s="8">
        <v>42.329300000000003</v>
      </c>
      <c r="F4877" s="9">
        <v>46217</v>
      </c>
    </row>
    <row r="4878" spans="1:6" ht="60" x14ac:dyDescent="0.25">
      <c r="A4878" s="8" t="s">
        <v>63</v>
      </c>
      <c r="B4878" s="8" t="s">
        <v>79</v>
      </c>
      <c r="C4878" s="8" t="str">
        <f>IFERROR(_xlfn.XLOOKUP(TRIM(B4878),Lookup!$B$2:$B$1000,Lookup!$C$2:$C$1000),"")</f>
        <v>Debt</v>
      </c>
      <c r="D4878" s="8" t="str">
        <f>IFERROR(INDEX('nav master'!$C:$C, MATCH(B4878, 'nav master'!$B:$B, 0)), "")</f>
        <v>ULIF 012 04/01/07 WLI 110</v>
      </c>
      <c r="E4878" s="8">
        <v>42.3718</v>
      </c>
      <c r="F4878" s="9">
        <v>46218</v>
      </c>
    </row>
    <row r="4879" spans="1:6" ht="60" x14ac:dyDescent="0.25">
      <c r="A4879" s="8" t="s">
        <v>63</v>
      </c>
      <c r="B4879" s="8" t="s">
        <v>79</v>
      </c>
      <c r="C4879" s="8" t="str">
        <f>IFERROR(_xlfn.XLOOKUP(TRIM(B4879),Lookup!$B$2:$B$1000,Lookup!$C$2:$C$1000),"")</f>
        <v>Debt</v>
      </c>
      <c r="D4879" s="8" t="str">
        <f>IFERROR(INDEX('nav master'!$C:$C, MATCH(B4879, 'nav master'!$B:$B, 0)), "")</f>
        <v>ULIF 012 04/01/07 WLI 110</v>
      </c>
      <c r="E4879" s="8">
        <v>42.409300000000002</v>
      </c>
      <c r="F4879" s="9">
        <v>46219</v>
      </c>
    </row>
    <row r="4880" spans="1:6" ht="60" x14ac:dyDescent="0.25">
      <c r="A4880" s="8" t="s">
        <v>63</v>
      </c>
      <c r="B4880" s="8" t="s">
        <v>79</v>
      </c>
      <c r="C4880" s="8" t="str">
        <f>IFERROR(_xlfn.XLOOKUP(TRIM(B4880),Lookup!$B$2:$B$1000,Lookup!$C$2:$C$1000),"")</f>
        <v>Debt</v>
      </c>
      <c r="D4880" s="8" t="str">
        <f>IFERROR(INDEX('nav master'!$C:$C, MATCH(B4880, 'nav master'!$B:$B, 0)), "")</f>
        <v>ULIF 012 04/01/07 WLI 110</v>
      </c>
      <c r="E4880" s="8">
        <v>42.3797</v>
      </c>
      <c r="F4880" s="9">
        <v>46220</v>
      </c>
    </row>
    <row r="4881" spans="1:6" ht="60" x14ac:dyDescent="0.25">
      <c r="A4881" s="8" t="s">
        <v>63</v>
      </c>
      <c r="B4881" s="8" t="s">
        <v>79</v>
      </c>
      <c r="C4881" s="8" t="str">
        <f>IFERROR(_xlfn.XLOOKUP(TRIM(B4881),Lookup!$B$2:$B$1000,Lookup!$C$2:$C$1000),"")</f>
        <v>Debt</v>
      </c>
      <c r="D4881" s="8" t="str">
        <f>IFERROR(INDEX('nav master'!$C:$C, MATCH(B4881, 'nav master'!$B:$B, 0)), "")</f>
        <v>ULIF 012 04/01/07 WLI 110</v>
      </c>
      <c r="E4881" s="8">
        <v>42.360700000000001</v>
      </c>
      <c r="F4881" s="9">
        <v>46223</v>
      </c>
    </row>
    <row r="4882" spans="1:6" ht="60" x14ac:dyDescent="0.25">
      <c r="A4882" s="8" t="s">
        <v>63</v>
      </c>
      <c r="B4882" s="8" t="s">
        <v>79</v>
      </c>
      <c r="C4882" s="8" t="str">
        <f>IFERROR(_xlfn.XLOOKUP(TRIM(B4882),Lookup!$B$2:$B$1000,Lookup!$C$2:$C$1000),"")</f>
        <v>Debt</v>
      </c>
      <c r="D4882" s="8" t="str">
        <f>IFERROR(INDEX('nav master'!$C:$C, MATCH(B4882, 'nav master'!$B:$B, 0)), "")</f>
        <v>ULIF 012 04/01/07 WLI 110</v>
      </c>
      <c r="E4882" s="8">
        <v>42.374299999999998</v>
      </c>
      <c r="F4882" s="9">
        <v>46224</v>
      </c>
    </row>
    <row r="4883" spans="1:6" ht="60" x14ac:dyDescent="0.25">
      <c r="A4883" s="8" t="s">
        <v>63</v>
      </c>
      <c r="B4883" s="8" t="s">
        <v>79</v>
      </c>
      <c r="C4883" s="8" t="str">
        <f>IFERROR(_xlfn.XLOOKUP(TRIM(B4883),Lookup!$B$2:$B$1000,Lookup!$C$2:$C$1000),"")</f>
        <v>Debt</v>
      </c>
      <c r="D4883" s="8" t="str">
        <f>IFERROR(INDEX('nav master'!$C:$C, MATCH(B4883, 'nav master'!$B:$B, 0)), "")</f>
        <v>ULIF 012 04/01/07 WLI 110</v>
      </c>
      <c r="E4883" s="8">
        <v>42.332000000000001</v>
      </c>
      <c r="F4883" s="9">
        <v>46225</v>
      </c>
    </row>
    <row r="4884" spans="1:6" ht="60" x14ac:dyDescent="0.25">
      <c r="A4884" s="8" t="s">
        <v>63</v>
      </c>
      <c r="B4884" s="8" t="s">
        <v>79</v>
      </c>
      <c r="C4884" s="8" t="str">
        <f>IFERROR(_xlfn.XLOOKUP(TRIM(B4884),Lookup!$B$2:$B$1000,Lookup!$C$2:$C$1000),"")</f>
        <v>Debt</v>
      </c>
      <c r="D4884" s="8" t="str">
        <f>IFERROR(INDEX('nav master'!$C:$C, MATCH(B4884, 'nav master'!$B:$B, 0)), "")</f>
        <v>ULIF 012 04/01/07 WLI 110</v>
      </c>
      <c r="E4884" s="8">
        <v>42.287599999999998</v>
      </c>
      <c r="F4884" s="9">
        <v>46226</v>
      </c>
    </row>
    <row r="4885" spans="1:6" ht="60" x14ac:dyDescent="0.25">
      <c r="A4885" s="8" t="s">
        <v>63</v>
      </c>
      <c r="B4885" s="8" t="s">
        <v>79</v>
      </c>
      <c r="C4885" s="8" t="str">
        <f>IFERROR(_xlfn.XLOOKUP(TRIM(B4885),Lookup!$B$2:$B$1000,Lookup!$C$2:$C$1000),"")</f>
        <v>Debt</v>
      </c>
      <c r="D4885" s="8" t="str">
        <f>IFERROR(INDEX('nav master'!$C:$C, MATCH(B4885, 'nav master'!$B:$B, 0)), "")</f>
        <v>ULIF 012 04/01/07 WLI 110</v>
      </c>
      <c r="E4885" s="8">
        <v>42.311999999999998</v>
      </c>
      <c r="F4885" s="9">
        <v>46227</v>
      </c>
    </row>
    <row r="4886" spans="1:6" ht="60" x14ac:dyDescent="0.25">
      <c r="A4886" s="8" t="s">
        <v>63</v>
      </c>
      <c r="B4886" s="8" t="s">
        <v>79</v>
      </c>
      <c r="C4886" s="8" t="str">
        <f>IFERROR(_xlfn.XLOOKUP(TRIM(B4886),Lookup!$B$2:$B$1000,Lookup!$C$2:$C$1000),"")</f>
        <v>Debt</v>
      </c>
      <c r="D4886" s="8" t="str">
        <f>IFERROR(INDEX('nav master'!$C:$C, MATCH(B4886, 'nav master'!$B:$B, 0)), "")</f>
        <v>ULIF 012 04/01/07 WLI 110</v>
      </c>
      <c r="E4886" s="8">
        <v>42.442300000000003</v>
      </c>
      <c r="F4886" s="9">
        <v>46230</v>
      </c>
    </row>
    <row r="4887" spans="1:6" ht="60" x14ac:dyDescent="0.25">
      <c r="A4887" s="8" t="s">
        <v>63</v>
      </c>
      <c r="B4887" s="8" t="s">
        <v>79</v>
      </c>
      <c r="C4887" s="8" t="str">
        <f>IFERROR(_xlfn.XLOOKUP(TRIM(B4887),Lookup!$B$2:$B$1000,Lookup!$C$2:$C$1000),"")</f>
        <v>Debt</v>
      </c>
      <c r="D4887" s="8" t="str">
        <f>IFERROR(INDEX('nav master'!$C:$C, MATCH(B4887, 'nav master'!$B:$B, 0)), "")</f>
        <v>ULIF 012 04/01/07 WLI 110</v>
      </c>
      <c r="E4887" s="8">
        <v>42.430399999999999</v>
      </c>
      <c r="F4887" s="9">
        <v>46231</v>
      </c>
    </row>
    <row r="4888" spans="1:6" ht="60" x14ac:dyDescent="0.25">
      <c r="A4888" s="8" t="s">
        <v>63</v>
      </c>
      <c r="B4888" s="8" t="s">
        <v>79</v>
      </c>
      <c r="C4888" s="8" t="str">
        <f>IFERROR(_xlfn.XLOOKUP(TRIM(B4888),Lookup!$B$2:$B$1000,Lookup!$C$2:$C$1000),"")</f>
        <v>Debt</v>
      </c>
      <c r="D4888" s="8" t="str">
        <f>IFERROR(INDEX('nav master'!$C:$C, MATCH(B4888, 'nav master'!$B:$B, 0)), "")</f>
        <v>ULIF 012 04/01/07 WLI 110</v>
      </c>
      <c r="E4888" s="8">
        <v>42.3857</v>
      </c>
      <c r="F4888" s="9">
        <v>46232</v>
      </c>
    </row>
    <row r="4889" spans="1:6" ht="60" x14ac:dyDescent="0.25">
      <c r="A4889" s="8" t="s">
        <v>63</v>
      </c>
      <c r="B4889" s="8" t="s">
        <v>79</v>
      </c>
      <c r="C4889" s="8" t="str">
        <f>IFERROR(_xlfn.XLOOKUP(TRIM(B4889),Lookup!$B$2:$B$1000,Lookup!$C$2:$C$1000),"")</f>
        <v>Debt</v>
      </c>
      <c r="D4889" s="8" t="str">
        <f>IFERROR(INDEX('nav master'!$C:$C, MATCH(B4889, 'nav master'!$B:$B, 0)), "")</f>
        <v>ULIF 012 04/01/07 WLI 110</v>
      </c>
      <c r="E4889" s="8">
        <v>42.350499999999997</v>
      </c>
      <c r="F4889" s="9">
        <v>46233</v>
      </c>
    </row>
    <row r="4890" spans="1:6" ht="60" x14ac:dyDescent="0.25">
      <c r="A4890" s="8" t="s">
        <v>63</v>
      </c>
      <c r="B4890" s="8" t="s">
        <v>79</v>
      </c>
      <c r="C4890" s="8" t="str">
        <f>IFERROR(_xlfn.XLOOKUP(TRIM(B4890),Lookup!$B$2:$B$1000,Lookup!$C$2:$C$1000),"")</f>
        <v>Debt</v>
      </c>
      <c r="D4890" s="8" t="str">
        <f>IFERROR(INDEX('nav master'!$C:$C, MATCH(B4890, 'nav master'!$B:$B, 0)), "")</f>
        <v>ULIF 012 04/01/07 WLI 110</v>
      </c>
      <c r="E4890" s="8">
        <v>42.367199999999997</v>
      </c>
      <c r="F4890" s="9">
        <v>46234</v>
      </c>
    </row>
    <row r="4891" spans="1:6" ht="105" x14ac:dyDescent="0.25">
      <c r="A4891" s="8" t="s">
        <v>63</v>
      </c>
      <c r="B4891" s="11" t="s">
        <v>80</v>
      </c>
      <c r="C4891" s="8" t="str">
        <f>IFERROR(_xlfn.XLOOKUP(TRIM(B4891),Lookup!$B$2:$B$1000,Lookup!$C$2:$C$1000),"")</f>
        <v>Debt - Short Term</v>
      </c>
      <c r="D4891" s="8" t="str">
        <f>IFERROR(INDEX('nav master'!$C:$C, MATCH(B4891, 'nav master'!$B:$B, 0)), "")</f>
        <v>ULIF 013 04/01/07 WLF 110</v>
      </c>
      <c r="E4891" s="8">
        <v>35.452599999999997</v>
      </c>
      <c r="F4891" s="9">
        <v>45869</v>
      </c>
    </row>
    <row r="4892" spans="1:6" ht="105" x14ac:dyDescent="0.25">
      <c r="A4892" s="8" t="s">
        <v>63</v>
      </c>
      <c r="B4892" s="11" t="s">
        <v>80</v>
      </c>
      <c r="C4892" s="8" t="str">
        <f>IFERROR(_xlfn.XLOOKUP(TRIM(B4892),Lookup!$B$2:$B$1000,Lookup!$C$2:$C$1000),"")</f>
        <v>Debt - Short Term</v>
      </c>
      <c r="D4892" s="8" t="str">
        <f>IFERROR(INDEX('nav master'!$C:$C, MATCH(B4892, 'nav master'!$B:$B, 0)), "")</f>
        <v>ULIF 013 04/01/07 WLF 110</v>
      </c>
      <c r="E4892" s="8">
        <v>35.457799999999999</v>
      </c>
      <c r="F4892" s="9">
        <v>45870</v>
      </c>
    </row>
    <row r="4893" spans="1:6" ht="105" x14ac:dyDescent="0.25">
      <c r="A4893" s="8" t="s">
        <v>63</v>
      </c>
      <c r="B4893" s="11" t="s">
        <v>80</v>
      </c>
      <c r="C4893" s="8" t="str">
        <f>IFERROR(_xlfn.XLOOKUP(TRIM(B4893),Lookup!$B$2:$B$1000,Lookup!$C$2:$C$1000),"")</f>
        <v>Debt - Short Term</v>
      </c>
      <c r="D4893" s="8" t="str">
        <f>IFERROR(INDEX('nav master'!$C:$C, MATCH(B4893, 'nav master'!$B:$B, 0)), "")</f>
        <v>ULIF 013 04/01/07 WLF 110</v>
      </c>
      <c r="E4893" s="8">
        <v>35.4863</v>
      </c>
      <c r="F4893" s="9">
        <v>45873</v>
      </c>
    </row>
    <row r="4894" spans="1:6" ht="105" x14ac:dyDescent="0.25">
      <c r="A4894" s="8" t="s">
        <v>63</v>
      </c>
      <c r="B4894" s="11" t="s">
        <v>80</v>
      </c>
      <c r="C4894" s="8" t="str">
        <f>IFERROR(_xlfn.XLOOKUP(TRIM(B4894),Lookup!$B$2:$B$1000,Lookup!$C$2:$C$1000),"")</f>
        <v>Debt - Short Term</v>
      </c>
      <c r="D4894" s="8" t="str">
        <f>IFERROR(INDEX('nav master'!$C:$C, MATCH(B4894, 'nav master'!$B:$B, 0)), "")</f>
        <v>ULIF 013 04/01/07 WLF 110</v>
      </c>
      <c r="E4894" s="8">
        <v>35.496200000000002</v>
      </c>
      <c r="F4894" s="9">
        <v>45874</v>
      </c>
    </row>
    <row r="4895" spans="1:6" ht="105" x14ac:dyDescent="0.25">
      <c r="A4895" s="8" t="s">
        <v>63</v>
      </c>
      <c r="B4895" s="11" t="s">
        <v>80</v>
      </c>
      <c r="C4895" s="8" t="str">
        <f>IFERROR(_xlfn.XLOOKUP(TRIM(B4895),Lookup!$B$2:$B$1000,Lookup!$C$2:$C$1000),"")</f>
        <v>Debt - Short Term</v>
      </c>
      <c r="D4895" s="8" t="str">
        <f>IFERROR(INDEX('nav master'!$C:$C, MATCH(B4895, 'nav master'!$B:$B, 0)), "")</f>
        <v>ULIF 013 04/01/07 WLF 110</v>
      </c>
      <c r="E4895" s="8">
        <v>35.458799999999997</v>
      </c>
      <c r="F4895" s="9">
        <v>45875</v>
      </c>
    </row>
    <row r="4896" spans="1:6" ht="105" x14ac:dyDescent="0.25">
      <c r="A4896" s="8" t="s">
        <v>63</v>
      </c>
      <c r="B4896" s="11" t="s">
        <v>80</v>
      </c>
      <c r="C4896" s="8" t="str">
        <f>IFERROR(_xlfn.XLOOKUP(TRIM(B4896),Lookup!$B$2:$B$1000,Lookup!$C$2:$C$1000),"")</f>
        <v>Debt - Short Term</v>
      </c>
      <c r="D4896" s="8" t="str">
        <f>IFERROR(INDEX('nav master'!$C:$C, MATCH(B4896, 'nav master'!$B:$B, 0)), "")</f>
        <v>ULIF 013 04/01/07 WLF 110</v>
      </c>
      <c r="E4896" s="8">
        <v>35.469900000000003</v>
      </c>
      <c r="F4896" s="9">
        <v>45876</v>
      </c>
    </row>
    <row r="4897" spans="1:6" ht="105" x14ac:dyDescent="0.25">
      <c r="A4897" s="8" t="s">
        <v>63</v>
      </c>
      <c r="B4897" s="11" t="s">
        <v>80</v>
      </c>
      <c r="C4897" s="8" t="str">
        <f>IFERROR(_xlfn.XLOOKUP(TRIM(B4897),Lookup!$B$2:$B$1000,Lookup!$C$2:$C$1000),"")</f>
        <v>Debt - Short Term</v>
      </c>
      <c r="D4897" s="8" t="str">
        <f>IFERROR(INDEX('nav master'!$C:$C, MATCH(B4897, 'nav master'!$B:$B, 0)), "")</f>
        <v>ULIF 013 04/01/07 WLF 110</v>
      </c>
      <c r="E4897" s="8">
        <v>35.480899999999998</v>
      </c>
      <c r="F4897" s="9">
        <v>45877</v>
      </c>
    </row>
    <row r="4898" spans="1:6" ht="105" x14ac:dyDescent="0.25">
      <c r="A4898" s="8" t="s">
        <v>63</v>
      </c>
      <c r="B4898" s="11" t="s">
        <v>80</v>
      </c>
      <c r="C4898" s="8" t="str">
        <f>IFERROR(_xlfn.XLOOKUP(TRIM(B4898),Lookup!$B$2:$B$1000,Lookup!$C$2:$C$1000),"")</f>
        <v>Debt - Short Term</v>
      </c>
      <c r="D4898" s="8" t="str">
        <f>IFERROR(INDEX('nav master'!$C:$C, MATCH(B4898, 'nav master'!$B:$B, 0)), "")</f>
        <v>ULIF 013 04/01/07 WLF 110</v>
      </c>
      <c r="E4898" s="8">
        <v>35.479500000000002</v>
      </c>
      <c r="F4898" s="9">
        <v>45880</v>
      </c>
    </row>
    <row r="4899" spans="1:6" ht="105" x14ac:dyDescent="0.25">
      <c r="A4899" s="8" t="s">
        <v>63</v>
      </c>
      <c r="B4899" s="11" t="s">
        <v>80</v>
      </c>
      <c r="C4899" s="8" t="str">
        <f>IFERROR(_xlfn.XLOOKUP(TRIM(B4899),Lookup!$B$2:$B$1000,Lookup!$C$2:$C$1000),"")</f>
        <v>Debt - Short Term</v>
      </c>
      <c r="D4899" s="8" t="str">
        <f>IFERROR(INDEX('nav master'!$C:$C, MATCH(B4899, 'nav master'!$B:$B, 0)), "")</f>
        <v>ULIF 013 04/01/07 WLF 110</v>
      </c>
      <c r="E4899" s="8">
        <v>35.451599999999999</v>
      </c>
      <c r="F4899" s="9">
        <v>45881</v>
      </c>
    </row>
    <row r="4900" spans="1:6" ht="105" x14ac:dyDescent="0.25">
      <c r="A4900" s="8" t="s">
        <v>63</v>
      </c>
      <c r="B4900" s="11" t="s">
        <v>80</v>
      </c>
      <c r="C4900" s="8" t="str">
        <f>IFERROR(_xlfn.XLOOKUP(TRIM(B4900),Lookup!$B$2:$B$1000,Lookup!$C$2:$C$1000),"")</f>
        <v>Debt - Short Term</v>
      </c>
      <c r="D4900" s="8" t="str">
        <f>IFERROR(INDEX('nav master'!$C:$C, MATCH(B4900, 'nav master'!$B:$B, 0)), "")</f>
        <v>ULIF 013 04/01/07 WLF 110</v>
      </c>
      <c r="E4900" s="8">
        <v>35.453499999999998</v>
      </c>
      <c r="F4900" s="9">
        <v>45882</v>
      </c>
    </row>
    <row r="4901" spans="1:6" ht="105" x14ac:dyDescent="0.25">
      <c r="A4901" s="8" t="s">
        <v>63</v>
      </c>
      <c r="B4901" s="11" t="s">
        <v>80</v>
      </c>
      <c r="C4901" s="8" t="str">
        <f>IFERROR(_xlfn.XLOOKUP(TRIM(B4901),Lookup!$B$2:$B$1000,Lookup!$C$2:$C$1000),"")</f>
        <v>Debt - Short Term</v>
      </c>
      <c r="D4901" s="8" t="str">
        <f>IFERROR(INDEX('nav master'!$C:$C, MATCH(B4901, 'nav master'!$B:$B, 0)), "")</f>
        <v>ULIF 013 04/01/07 WLF 110</v>
      </c>
      <c r="E4901" s="8">
        <v>35.487900000000003</v>
      </c>
      <c r="F4901" s="9">
        <v>45883</v>
      </c>
    </row>
    <row r="4902" spans="1:6" ht="105" x14ac:dyDescent="0.25">
      <c r="A4902" s="8" t="s">
        <v>63</v>
      </c>
      <c r="B4902" s="11" t="s">
        <v>80</v>
      </c>
      <c r="C4902" s="8" t="str">
        <f>IFERROR(_xlfn.XLOOKUP(TRIM(B4902),Lookup!$B$2:$B$1000,Lookup!$C$2:$C$1000),"")</f>
        <v>Debt - Short Term</v>
      </c>
      <c r="D4902" s="8" t="str">
        <f>IFERROR(INDEX('nav master'!$C:$C, MATCH(B4902, 'nav master'!$B:$B, 0)), "")</f>
        <v>ULIF 013 04/01/07 WLF 110</v>
      </c>
      <c r="E4902" s="8">
        <v>35.487099999999998</v>
      </c>
      <c r="F4902" s="9">
        <v>45887</v>
      </c>
    </row>
    <row r="4903" spans="1:6" ht="105" x14ac:dyDescent="0.25">
      <c r="A4903" s="8" t="s">
        <v>63</v>
      </c>
      <c r="B4903" s="11" t="s">
        <v>80</v>
      </c>
      <c r="C4903" s="8" t="str">
        <f>IFERROR(_xlfn.XLOOKUP(TRIM(B4903),Lookup!$B$2:$B$1000,Lookup!$C$2:$C$1000),"")</f>
        <v>Debt - Short Term</v>
      </c>
      <c r="D4903" s="8" t="str">
        <f>IFERROR(INDEX('nav master'!$C:$C, MATCH(B4903, 'nav master'!$B:$B, 0)), "")</f>
        <v>ULIF 013 04/01/07 WLF 110</v>
      </c>
      <c r="E4903" s="8">
        <v>35.470999999999997</v>
      </c>
      <c r="F4903" s="9">
        <v>45888</v>
      </c>
    </row>
    <row r="4904" spans="1:6" ht="105" x14ac:dyDescent="0.25">
      <c r="A4904" s="8" t="s">
        <v>63</v>
      </c>
      <c r="B4904" s="11" t="s">
        <v>80</v>
      </c>
      <c r="C4904" s="8" t="str">
        <f>IFERROR(_xlfn.XLOOKUP(TRIM(B4904),Lookup!$B$2:$B$1000,Lookup!$C$2:$C$1000),"")</f>
        <v>Debt - Short Term</v>
      </c>
      <c r="D4904" s="8" t="str">
        <f>IFERROR(INDEX('nav master'!$C:$C, MATCH(B4904, 'nav master'!$B:$B, 0)), "")</f>
        <v>ULIF 013 04/01/07 WLF 110</v>
      </c>
      <c r="E4904" s="8">
        <v>35.495899999999999</v>
      </c>
      <c r="F4904" s="9">
        <v>45889</v>
      </c>
    </row>
    <row r="4905" spans="1:6" ht="105" x14ac:dyDescent="0.25">
      <c r="A4905" s="8" t="s">
        <v>63</v>
      </c>
      <c r="B4905" s="11" t="s">
        <v>80</v>
      </c>
      <c r="C4905" s="8" t="str">
        <f>IFERROR(_xlfn.XLOOKUP(TRIM(B4905),Lookup!$B$2:$B$1000,Lookup!$C$2:$C$1000),"")</f>
        <v>Debt - Short Term</v>
      </c>
      <c r="D4905" s="8" t="str">
        <f>IFERROR(INDEX('nav master'!$C:$C, MATCH(B4905, 'nav master'!$B:$B, 0)), "")</f>
        <v>ULIF 013 04/01/07 WLF 110</v>
      </c>
      <c r="E4905" s="8">
        <v>35.499699999999997</v>
      </c>
      <c r="F4905" s="9">
        <v>45890</v>
      </c>
    </row>
    <row r="4906" spans="1:6" ht="105" x14ac:dyDescent="0.25">
      <c r="A4906" s="8" t="s">
        <v>63</v>
      </c>
      <c r="B4906" s="11" t="s">
        <v>80</v>
      </c>
      <c r="C4906" s="8" t="str">
        <f>IFERROR(_xlfn.XLOOKUP(TRIM(B4906),Lookup!$B$2:$B$1000,Lookup!$C$2:$C$1000),"")</f>
        <v>Debt - Short Term</v>
      </c>
      <c r="D4906" s="8" t="str">
        <f>IFERROR(INDEX('nav master'!$C:$C, MATCH(B4906, 'nav master'!$B:$B, 0)), "")</f>
        <v>ULIF 013 04/01/07 WLF 110</v>
      </c>
      <c r="E4906" s="8">
        <v>35.493899999999996</v>
      </c>
      <c r="F4906" s="9">
        <v>45891</v>
      </c>
    </row>
    <row r="4907" spans="1:6" ht="105" x14ac:dyDescent="0.25">
      <c r="A4907" s="8" t="s">
        <v>63</v>
      </c>
      <c r="B4907" s="11" t="s">
        <v>80</v>
      </c>
      <c r="C4907" s="8" t="str">
        <f>IFERROR(_xlfn.XLOOKUP(TRIM(B4907),Lookup!$B$2:$B$1000,Lookup!$C$2:$C$1000),"")</f>
        <v>Debt - Short Term</v>
      </c>
      <c r="D4907" s="8" t="str">
        <f>IFERROR(INDEX('nav master'!$C:$C, MATCH(B4907, 'nav master'!$B:$B, 0)), "")</f>
        <v>ULIF 013 04/01/07 WLF 110</v>
      </c>
      <c r="E4907" s="8">
        <v>35.505899999999997</v>
      </c>
      <c r="F4907" s="9">
        <v>45894</v>
      </c>
    </row>
    <row r="4908" spans="1:6" ht="105" x14ac:dyDescent="0.25">
      <c r="A4908" s="8" t="s">
        <v>63</v>
      </c>
      <c r="B4908" s="11" t="s">
        <v>80</v>
      </c>
      <c r="C4908" s="8" t="str">
        <f>IFERROR(_xlfn.XLOOKUP(TRIM(B4908),Lookup!$B$2:$B$1000,Lookup!$C$2:$C$1000),"")</f>
        <v>Debt - Short Term</v>
      </c>
      <c r="D4908" s="8" t="str">
        <f>IFERROR(INDEX('nav master'!$C:$C, MATCH(B4908, 'nav master'!$B:$B, 0)), "")</f>
        <v>ULIF 013 04/01/07 WLF 110</v>
      </c>
      <c r="E4908" s="8">
        <v>35.4955</v>
      </c>
      <c r="F4908" s="9">
        <v>45895</v>
      </c>
    </row>
    <row r="4909" spans="1:6" ht="105" x14ac:dyDescent="0.25">
      <c r="A4909" s="8" t="s">
        <v>63</v>
      </c>
      <c r="B4909" s="11" t="s">
        <v>80</v>
      </c>
      <c r="C4909" s="8" t="str">
        <f>IFERROR(_xlfn.XLOOKUP(TRIM(B4909),Lookup!$B$2:$B$1000,Lookup!$C$2:$C$1000),"")</f>
        <v>Debt - Short Term</v>
      </c>
      <c r="D4909" s="8" t="str">
        <f>IFERROR(INDEX('nav master'!$C:$C, MATCH(B4909, 'nav master'!$B:$B, 0)), "")</f>
        <v>ULIF 013 04/01/07 WLF 110</v>
      </c>
      <c r="E4909" s="8">
        <v>35.522100000000002</v>
      </c>
      <c r="F4909" s="9">
        <v>45897</v>
      </c>
    </row>
    <row r="4910" spans="1:6" ht="105" x14ac:dyDescent="0.25">
      <c r="A4910" s="8" t="s">
        <v>63</v>
      </c>
      <c r="B4910" s="11" t="s">
        <v>80</v>
      </c>
      <c r="C4910" s="8" t="str">
        <f>IFERROR(_xlfn.XLOOKUP(TRIM(B4910),Lookup!$B$2:$B$1000,Lookup!$C$2:$C$1000),"")</f>
        <v>Debt - Short Term</v>
      </c>
      <c r="D4910" s="8" t="str">
        <f>IFERROR(INDEX('nav master'!$C:$C, MATCH(B4910, 'nav master'!$B:$B, 0)), "")</f>
        <v>ULIF 013 04/01/07 WLF 110</v>
      </c>
      <c r="E4910" s="8">
        <v>35.514000000000003</v>
      </c>
      <c r="F4910" s="9">
        <v>45898</v>
      </c>
    </row>
    <row r="4911" spans="1:6" ht="105" x14ac:dyDescent="0.25">
      <c r="A4911" s="8" t="s">
        <v>63</v>
      </c>
      <c r="B4911" s="11" t="s">
        <v>80</v>
      </c>
      <c r="C4911" s="8" t="str">
        <f>IFERROR(_xlfn.XLOOKUP(TRIM(B4911),Lookup!$B$2:$B$1000,Lookup!$C$2:$C$1000),"")</f>
        <v>Debt - Short Term</v>
      </c>
      <c r="D4911" s="8" t="str">
        <f>IFERROR(INDEX('nav master'!$C:$C, MATCH(B4911, 'nav master'!$B:$B, 0)), "")</f>
        <v>ULIF 013 04/01/07 WLF 110</v>
      </c>
      <c r="E4911" s="8">
        <v>35.521900000000002</v>
      </c>
      <c r="F4911" s="9">
        <v>45901</v>
      </c>
    </row>
    <row r="4912" spans="1:6" ht="105" x14ac:dyDescent="0.25">
      <c r="A4912" s="8" t="s">
        <v>63</v>
      </c>
      <c r="B4912" s="11" t="s">
        <v>80</v>
      </c>
      <c r="C4912" s="8" t="str">
        <f>IFERROR(_xlfn.XLOOKUP(TRIM(B4912),Lookup!$B$2:$B$1000,Lookup!$C$2:$C$1000),"")</f>
        <v>Debt - Short Term</v>
      </c>
      <c r="D4912" s="8" t="str">
        <f>IFERROR(INDEX('nav master'!$C:$C, MATCH(B4912, 'nav master'!$B:$B, 0)), "")</f>
        <v>ULIF 013 04/01/07 WLF 110</v>
      </c>
      <c r="E4912" s="8">
        <v>35.521500000000003</v>
      </c>
      <c r="F4912" s="9">
        <v>45902</v>
      </c>
    </row>
    <row r="4913" spans="1:6" ht="105" x14ac:dyDescent="0.25">
      <c r="A4913" s="8" t="s">
        <v>63</v>
      </c>
      <c r="B4913" s="11" t="s">
        <v>80</v>
      </c>
      <c r="C4913" s="8" t="str">
        <f>IFERROR(_xlfn.XLOOKUP(TRIM(B4913),Lookup!$B$2:$B$1000,Lookup!$C$2:$C$1000),"")</f>
        <v>Debt - Short Term</v>
      </c>
      <c r="D4913" s="8" t="str">
        <f>IFERROR(INDEX('nav master'!$C:$C, MATCH(B4913, 'nav master'!$B:$B, 0)), "")</f>
        <v>ULIF 013 04/01/07 WLF 110</v>
      </c>
      <c r="E4913" s="8">
        <v>35.528399999999998</v>
      </c>
      <c r="F4913" s="9">
        <v>45903</v>
      </c>
    </row>
    <row r="4914" spans="1:6" ht="105" x14ac:dyDescent="0.25">
      <c r="A4914" s="8" t="s">
        <v>63</v>
      </c>
      <c r="B4914" s="11" t="s">
        <v>80</v>
      </c>
      <c r="C4914" s="8" t="str">
        <f>IFERROR(_xlfn.XLOOKUP(TRIM(B4914),Lookup!$B$2:$B$1000,Lookup!$C$2:$C$1000),"")</f>
        <v>Debt - Short Term</v>
      </c>
      <c r="D4914" s="8" t="str">
        <f>IFERROR(INDEX('nav master'!$C:$C, MATCH(B4914, 'nav master'!$B:$B, 0)), "")</f>
        <v>ULIF 013 04/01/07 WLF 110</v>
      </c>
      <c r="E4914" s="8">
        <v>35.548000000000002</v>
      </c>
      <c r="F4914" s="9">
        <v>45904</v>
      </c>
    </row>
    <row r="4915" spans="1:6" ht="105" x14ac:dyDescent="0.25">
      <c r="A4915" s="8" t="s">
        <v>63</v>
      </c>
      <c r="B4915" s="11" t="s">
        <v>80</v>
      </c>
      <c r="C4915" s="8" t="str">
        <f>IFERROR(_xlfn.XLOOKUP(TRIM(B4915),Lookup!$B$2:$B$1000,Lookup!$C$2:$C$1000),"")</f>
        <v>Debt - Short Term</v>
      </c>
      <c r="D4915" s="8" t="str">
        <f>IFERROR(INDEX('nav master'!$C:$C, MATCH(B4915, 'nav master'!$B:$B, 0)), "")</f>
        <v>ULIF 013 04/01/07 WLF 110</v>
      </c>
      <c r="E4915" s="8">
        <v>35.565800000000003</v>
      </c>
      <c r="F4915" s="9">
        <v>45905</v>
      </c>
    </row>
    <row r="4916" spans="1:6" ht="105" x14ac:dyDescent="0.25">
      <c r="A4916" s="8" t="s">
        <v>63</v>
      </c>
      <c r="B4916" s="11" t="s">
        <v>80</v>
      </c>
      <c r="C4916" s="8" t="str">
        <f>IFERROR(_xlfn.XLOOKUP(TRIM(B4916),Lookup!$B$2:$B$1000,Lookup!$C$2:$C$1000),"")</f>
        <v>Debt - Short Term</v>
      </c>
      <c r="D4916" s="8" t="str">
        <f>IFERROR(INDEX('nav master'!$C:$C, MATCH(B4916, 'nav master'!$B:$B, 0)), "")</f>
        <v>ULIF 013 04/01/07 WLF 110</v>
      </c>
      <c r="E4916" s="8">
        <v>35.581200000000003</v>
      </c>
      <c r="F4916" s="9">
        <v>45908</v>
      </c>
    </row>
    <row r="4917" spans="1:6" ht="105" x14ac:dyDescent="0.25">
      <c r="A4917" s="8" t="s">
        <v>63</v>
      </c>
      <c r="B4917" s="11" t="s">
        <v>80</v>
      </c>
      <c r="C4917" s="8" t="str">
        <f>IFERROR(_xlfn.XLOOKUP(TRIM(B4917),Lookup!$B$2:$B$1000,Lookup!$C$2:$C$1000),"")</f>
        <v>Debt - Short Term</v>
      </c>
      <c r="D4917" s="8" t="str">
        <f>IFERROR(INDEX('nav master'!$C:$C, MATCH(B4917, 'nav master'!$B:$B, 0)), "")</f>
        <v>ULIF 013 04/01/07 WLF 110</v>
      </c>
      <c r="E4917" s="8">
        <v>35.597000000000001</v>
      </c>
      <c r="F4917" s="9">
        <v>45909</v>
      </c>
    </row>
    <row r="4918" spans="1:6" ht="105" x14ac:dyDescent="0.25">
      <c r="A4918" s="8" t="s">
        <v>63</v>
      </c>
      <c r="B4918" s="11" t="s">
        <v>80</v>
      </c>
      <c r="C4918" s="8" t="str">
        <f>IFERROR(_xlfn.XLOOKUP(TRIM(B4918),Lookup!$B$2:$B$1000,Lookup!$C$2:$C$1000),"")</f>
        <v>Debt - Short Term</v>
      </c>
      <c r="D4918" s="8" t="str">
        <f>IFERROR(INDEX('nav master'!$C:$C, MATCH(B4918, 'nav master'!$B:$B, 0)), "")</f>
        <v>ULIF 013 04/01/07 WLF 110</v>
      </c>
      <c r="E4918" s="8">
        <v>35.595300000000002</v>
      </c>
      <c r="F4918" s="9">
        <v>45910</v>
      </c>
    </row>
    <row r="4919" spans="1:6" ht="105" x14ac:dyDescent="0.25">
      <c r="A4919" s="8" t="s">
        <v>63</v>
      </c>
      <c r="B4919" s="11" t="s">
        <v>80</v>
      </c>
      <c r="C4919" s="8" t="str">
        <f>IFERROR(_xlfn.XLOOKUP(TRIM(B4919),Lookup!$B$2:$B$1000,Lookup!$C$2:$C$1000),"")</f>
        <v>Debt - Short Term</v>
      </c>
      <c r="D4919" s="8" t="str">
        <f>IFERROR(INDEX('nav master'!$C:$C, MATCH(B4919, 'nav master'!$B:$B, 0)), "")</f>
        <v>ULIF 013 04/01/07 WLF 110</v>
      </c>
      <c r="E4919" s="8">
        <v>35.6023</v>
      </c>
      <c r="F4919" s="9">
        <v>45911</v>
      </c>
    </row>
    <row r="4920" spans="1:6" ht="105" x14ac:dyDescent="0.25">
      <c r="A4920" s="8" t="s">
        <v>63</v>
      </c>
      <c r="B4920" s="11" t="s">
        <v>80</v>
      </c>
      <c r="C4920" s="8" t="str">
        <f>IFERROR(_xlfn.XLOOKUP(TRIM(B4920),Lookup!$B$2:$B$1000,Lookup!$C$2:$C$1000),"")</f>
        <v>Debt - Short Term</v>
      </c>
      <c r="D4920" s="8" t="str">
        <f>IFERROR(INDEX('nav master'!$C:$C, MATCH(B4920, 'nav master'!$B:$B, 0)), "")</f>
        <v>ULIF 013 04/01/07 WLF 110</v>
      </c>
      <c r="E4920" s="8">
        <v>35.608699999999999</v>
      </c>
      <c r="F4920" s="9">
        <v>45912</v>
      </c>
    </row>
    <row r="4921" spans="1:6" ht="105" x14ac:dyDescent="0.25">
      <c r="A4921" s="8" t="s">
        <v>63</v>
      </c>
      <c r="B4921" s="11" t="s">
        <v>80</v>
      </c>
      <c r="C4921" s="8" t="str">
        <f>IFERROR(_xlfn.XLOOKUP(TRIM(B4921),Lookup!$B$2:$B$1000,Lookup!$C$2:$C$1000),"")</f>
        <v>Debt - Short Term</v>
      </c>
      <c r="D4921" s="8" t="str">
        <f>IFERROR(INDEX('nav master'!$C:$C, MATCH(B4921, 'nav master'!$B:$B, 0)), "")</f>
        <v>ULIF 013 04/01/07 WLF 110</v>
      </c>
      <c r="E4921" s="8">
        <v>35.623100000000001</v>
      </c>
      <c r="F4921" s="9">
        <v>45915</v>
      </c>
    </row>
    <row r="4922" spans="1:6" ht="105" x14ac:dyDescent="0.25">
      <c r="A4922" s="8" t="s">
        <v>63</v>
      </c>
      <c r="B4922" s="11" t="s">
        <v>80</v>
      </c>
      <c r="C4922" s="8" t="str">
        <f>IFERROR(_xlfn.XLOOKUP(TRIM(B4922),Lookup!$B$2:$B$1000,Lookup!$C$2:$C$1000),"")</f>
        <v>Debt - Short Term</v>
      </c>
      <c r="D4922" s="8" t="str">
        <f>IFERROR(INDEX('nav master'!$C:$C, MATCH(B4922, 'nav master'!$B:$B, 0)), "")</f>
        <v>ULIF 013 04/01/07 WLF 110</v>
      </c>
      <c r="E4922" s="8">
        <v>35.628399999999999</v>
      </c>
      <c r="F4922" s="9">
        <v>45916</v>
      </c>
    </row>
    <row r="4923" spans="1:6" ht="105" x14ac:dyDescent="0.25">
      <c r="A4923" s="8" t="s">
        <v>63</v>
      </c>
      <c r="B4923" s="11" t="s">
        <v>80</v>
      </c>
      <c r="C4923" s="8" t="str">
        <f>IFERROR(_xlfn.XLOOKUP(TRIM(B4923),Lookup!$B$2:$B$1000,Lookup!$C$2:$C$1000),"")</f>
        <v>Debt - Short Term</v>
      </c>
      <c r="D4923" s="8" t="str">
        <f>IFERROR(INDEX('nav master'!$C:$C, MATCH(B4923, 'nav master'!$B:$B, 0)), "")</f>
        <v>ULIF 013 04/01/07 WLF 110</v>
      </c>
      <c r="E4923" s="8">
        <v>35.641199999999998</v>
      </c>
      <c r="F4923" s="9">
        <v>45917</v>
      </c>
    </row>
    <row r="4924" spans="1:6" ht="105" x14ac:dyDescent="0.25">
      <c r="A4924" s="8" t="s">
        <v>63</v>
      </c>
      <c r="B4924" s="11" t="s">
        <v>80</v>
      </c>
      <c r="C4924" s="8" t="str">
        <f>IFERROR(_xlfn.XLOOKUP(TRIM(B4924),Lookup!$B$2:$B$1000,Lookup!$C$2:$C$1000),"")</f>
        <v>Debt - Short Term</v>
      </c>
      <c r="D4924" s="8" t="str">
        <f>IFERROR(INDEX('nav master'!$C:$C, MATCH(B4924, 'nav master'!$B:$B, 0)), "")</f>
        <v>ULIF 013 04/01/07 WLF 110</v>
      </c>
      <c r="E4924" s="8">
        <v>35.648699999999998</v>
      </c>
      <c r="F4924" s="9">
        <v>45918</v>
      </c>
    </row>
    <row r="4925" spans="1:6" ht="105" x14ac:dyDescent="0.25">
      <c r="A4925" s="8" t="s">
        <v>63</v>
      </c>
      <c r="B4925" s="11" t="s">
        <v>80</v>
      </c>
      <c r="C4925" s="8" t="str">
        <f>IFERROR(_xlfn.XLOOKUP(TRIM(B4925),Lookup!$B$2:$B$1000,Lookup!$C$2:$C$1000),"")</f>
        <v>Debt - Short Term</v>
      </c>
      <c r="D4925" s="8" t="str">
        <f>IFERROR(INDEX('nav master'!$C:$C, MATCH(B4925, 'nav master'!$B:$B, 0)), "")</f>
        <v>ULIF 013 04/01/07 WLF 110</v>
      </c>
      <c r="E4925" s="8">
        <v>35.658999999999999</v>
      </c>
      <c r="F4925" s="9">
        <v>45919</v>
      </c>
    </row>
    <row r="4926" spans="1:6" ht="105" x14ac:dyDescent="0.25">
      <c r="A4926" s="8" t="s">
        <v>63</v>
      </c>
      <c r="B4926" s="11" t="s">
        <v>80</v>
      </c>
      <c r="C4926" s="8" t="str">
        <f>IFERROR(_xlfn.XLOOKUP(TRIM(B4926),Lookup!$B$2:$B$1000,Lookup!$C$2:$C$1000),"")</f>
        <v>Debt - Short Term</v>
      </c>
      <c r="D4926" s="8" t="str">
        <f>IFERROR(INDEX('nav master'!$C:$C, MATCH(B4926, 'nav master'!$B:$B, 0)), "")</f>
        <v>ULIF 013 04/01/07 WLF 110</v>
      </c>
      <c r="E4926" s="8">
        <v>35.676200000000001</v>
      </c>
      <c r="F4926" s="9">
        <v>45922</v>
      </c>
    </row>
    <row r="4927" spans="1:6" ht="105" x14ac:dyDescent="0.25">
      <c r="A4927" s="8" t="s">
        <v>63</v>
      </c>
      <c r="B4927" s="11" t="s">
        <v>80</v>
      </c>
      <c r="C4927" s="8" t="str">
        <f>IFERROR(_xlfn.XLOOKUP(TRIM(B4927),Lookup!$B$2:$B$1000,Lookup!$C$2:$C$1000),"")</f>
        <v>Debt - Short Term</v>
      </c>
      <c r="D4927" s="8" t="str">
        <f>IFERROR(INDEX('nav master'!$C:$C, MATCH(B4927, 'nav master'!$B:$B, 0)), "")</f>
        <v>ULIF 013 04/01/07 WLF 110</v>
      </c>
      <c r="E4927" s="8">
        <v>35.686</v>
      </c>
      <c r="F4927" s="9">
        <v>45923</v>
      </c>
    </row>
    <row r="4928" spans="1:6" ht="105" x14ac:dyDescent="0.25">
      <c r="A4928" s="8" t="s">
        <v>63</v>
      </c>
      <c r="B4928" s="11" t="s">
        <v>80</v>
      </c>
      <c r="C4928" s="8" t="str">
        <f>IFERROR(_xlfn.XLOOKUP(TRIM(B4928),Lookup!$B$2:$B$1000,Lookup!$C$2:$C$1000),"")</f>
        <v>Debt - Short Term</v>
      </c>
      <c r="D4928" s="8" t="str">
        <f>IFERROR(INDEX('nav master'!$C:$C, MATCH(B4928, 'nav master'!$B:$B, 0)), "")</f>
        <v>ULIF 013 04/01/07 WLF 110</v>
      </c>
      <c r="E4928" s="8">
        <v>35.693899999999999</v>
      </c>
      <c r="F4928" s="9">
        <v>45924</v>
      </c>
    </row>
    <row r="4929" spans="1:6" ht="105" x14ac:dyDescent="0.25">
      <c r="A4929" s="8" t="s">
        <v>63</v>
      </c>
      <c r="B4929" s="11" t="s">
        <v>80</v>
      </c>
      <c r="C4929" s="8" t="str">
        <f>IFERROR(_xlfn.XLOOKUP(TRIM(B4929),Lookup!$B$2:$B$1000,Lookup!$C$2:$C$1000),"")</f>
        <v>Debt - Short Term</v>
      </c>
      <c r="D4929" s="8" t="str">
        <f>IFERROR(INDEX('nav master'!$C:$C, MATCH(B4929, 'nav master'!$B:$B, 0)), "")</f>
        <v>ULIF 013 04/01/07 WLF 110</v>
      </c>
      <c r="E4929" s="8">
        <v>35.698799999999999</v>
      </c>
      <c r="F4929" s="9">
        <v>45925</v>
      </c>
    </row>
    <row r="4930" spans="1:6" ht="105" x14ac:dyDescent="0.25">
      <c r="A4930" s="8" t="s">
        <v>63</v>
      </c>
      <c r="B4930" s="11" t="s">
        <v>80</v>
      </c>
      <c r="C4930" s="8" t="str">
        <f>IFERROR(_xlfn.XLOOKUP(TRIM(B4930),Lookup!$B$2:$B$1000,Lookup!$C$2:$C$1000),"")</f>
        <v>Debt - Short Term</v>
      </c>
      <c r="D4930" s="8" t="str">
        <f>IFERROR(INDEX('nav master'!$C:$C, MATCH(B4930, 'nav master'!$B:$B, 0)), "")</f>
        <v>ULIF 013 04/01/07 WLF 110</v>
      </c>
      <c r="E4930" s="8">
        <v>35.706499999999998</v>
      </c>
      <c r="F4930" s="9">
        <v>45926</v>
      </c>
    </row>
    <row r="4931" spans="1:6" ht="105" x14ac:dyDescent="0.25">
      <c r="A4931" s="8" t="s">
        <v>63</v>
      </c>
      <c r="B4931" s="11" t="s">
        <v>80</v>
      </c>
      <c r="C4931" s="8" t="str">
        <f>IFERROR(_xlfn.XLOOKUP(TRIM(B4931),Lookup!$B$2:$B$1000,Lookup!$C$2:$C$1000),"")</f>
        <v>Debt - Short Term</v>
      </c>
      <c r="D4931" s="8" t="str">
        <f>IFERROR(INDEX('nav master'!$C:$C, MATCH(B4931, 'nav master'!$B:$B, 0)), "")</f>
        <v>ULIF 013 04/01/07 WLF 110</v>
      </c>
      <c r="E4931" s="8">
        <v>35.718600000000002</v>
      </c>
      <c r="F4931" s="9">
        <v>45929</v>
      </c>
    </row>
    <row r="4932" spans="1:6" ht="105" x14ac:dyDescent="0.25">
      <c r="A4932" s="8" t="s">
        <v>63</v>
      </c>
      <c r="B4932" s="11" t="s">
        <v>80</v>
      </c>
      <c r="C4932" s="8" t="str">
        <f>IFERROR(_xlfn.XLOOKUP(TRIM(B4932),Lookup!$B$2:$B$1000,Lookup!$C$2:$C$1000),"")</f>
        <v>Debt - Short Term</v>
      </c>
      <c r="D4932" s="8" t="str">
        <f>IFERROR(INDEX('nav master'!$C:$C, MATCH(B4932, 'nav master'!$B:$B, 0)), "")</f>
        <v>ULIF 013 04/01/07 WLF 110</v>
      </c>
      <c r="E4932" s="8">
        <v>35.727899999999998</v>
      </c>
      <c r="F4932" s="9">
        <v>45930</v>
      </c>
    </row>
    <row r="4933" spans="1:6" ht="105" x14ac:dyDescent="0.25">
      <c r="A4933" s="8" t="s">
        <v>63</v>
      </c>
      <c r="B4933" s="11" t="s">
        <v>80</v>
      </c>
      <c r="C4933" s="8" t="str">
        <f>IFERROR(_xlfn.XLOOKUP(TRIM(B4933),Lookup!$B$2:$B$1000,Lookup!$C$2:$C$1000),"")</f>
        <v>Debt - Short Term</v>
      </c>
      <c r="D4933" s="8" t="str">
        <f>IFERROR(INDEX('nav master'!$C:$C, MATCH(B4933, 'nav master'!$B:$B, 0)), "")</f>
        <v>ULIF 013 04/01/07 WLF 110</v>
      </c>
      <c r="E4933" s="8">
        <v>35.742899999999999</v>
      </c>
      <c r="F4933" s="9">
        <v>45931</v>
      </c>
    </row>
    <row r="4934" spans="1:6" ht="105" x14ac:dyDescent="0.25">
      <c r="A4934" s="8" t="s">
        <v>63</v>
      </c>
      <c r="B4934" s="11" t="s">
        <v>80</v>
      </c>
      <c r="C4934" s="8" t="str">
        <f>IFERROR(_xlfn.XLOOKUP(TRIM(B4934),Lookup!$B$2:$B$1000,Lookup!$C$2:$C$1000),"")</f>
        <v>Debt - Short Term</v>
      </c>
      <c r="D4934" s="8" t="str">
        <f>IFERROR(INDEX('nav master'!$C:$C, MATCH(B4934, 'nav master'!$B:$B, 0)), "")</f>
        <v>ULIF 013 04/01/07 WLF 110</v>
      </c>
      <c r="E4934" s="8">
        <v>35.770099999999999</v>
      </c>
      <c r="F4934" s="9">
        <v>45933</v>
      </c>
    </row>
    <row r="4935" spans="1:6" ht="105" x14ac:dyDescent="0.25">
      <c r="A4935" s="8" t="s">
        <v>63</v>
      </c>
      <c r="B4935" s="11" t="s">
        <v>80</v>
      </c>
      <c r="C4935" s="8" t="str">
        <f>IFERROR(_xlfn.XLOOKUP(TRIM(B4935),Lookup!$B$2:$B$1000,Lookup!$C$2:$C$1000),"")</f>
        <v>Debt - Short Term</v>
      </c>
      <c r="D4935" s="8" t="str">
        <f>IFERROR(INDEX('nav master'!$C:$C, MATCH(B4935, 'nav master'!$B:$B, 0)), "")</f>
        <v>ULIF 013 04/01/07 WLF 110</v>
      </c>
      <c r="E4935" s="8">
        <v>35.801200000000001</v>
      </c>
      <c r="F4935" s="9">
        <v>45936</v>
      </c>
    </row>
    <row r="4936" spans="1:6" ht="105" x14ac:dyDescent="0.25">
      <c r="A4936" s="8" t="s">
        <v>63</v>
      </c>
      <c r="B4936" s="11" t="s">
        <v>80</v>
      </c>
      <c r="C4936" s="8" t="str">
        <f>IFERROR(_xlfn.XLOOKUP(TRIM(B4936),Lookup!$B$2:$B$1000,Lookup!$C$2:$C$1000),"")</f>
        <v>Debt - Short Term</v>
      </c>
      <c r="D4936" s="8" t="str">
        <f>IFERROR(INDEX('nav master'!$C:$C, MATCH(B4936, 'nav master'!$B:$B, 0)), "")</f>
        <v>ULIF 013 04/01/07 WLF 110</v>
      </c>
      <c r="E4936" s="8">
        <v>35.8217</v>
      </c>
      <c r="F4936" s="9">
        <v>45937</v>
      </c>
    </row>
    <row r="4937" spans="1:6" ht="105" x14ac:dyDescent="0.25">
      <c r="A4937" s="8" t="s">
        <v>63</v>
      </c>
      <c r="B4937" s="11" t="s">
        <v>80</v>
      </c>
      <c r="C4937" s="8" t="str">
        <f>IFERROR(_xlfn.XLOOKUP(TRIM(B4937),Lookup!$B$2:$B$1000,Lookup!$C$2:$C$1000),"")</f>
        <v>Debt - Short Term</v>
      </c>
      <c r="D4937" s="8" t="str">
        <f>IFERROR(INDEX('nav master'!$C:$C, MATCH(B4937, 'nav master'!$B:$B, 0)), "")</f>
        <v>ULIF 013 04/01/07 WLF 110</v>
      </c>
      <c r="E4937" s="8">
        <v>35.830599999999997</v>
      </c>
      <c r="F4937" s="9">
        <v>45938</v>
      </c>
    </row>
    <row r="4938" spans="1:6" ht="105" x14ac:dyDescent="0.25">
      <c r="A4938" s="8" t="s">
        <v>63</v>
      </c>
      <c r="B4938" s="11" t="s">
        <v>80</v>
      </c>
      <c r="C4938" s="8" t="str">
        <f>IFERROR(_xlfn.XLOOKUP(TRIM(B4938),Lookup!$B$2:$B$1000,Lookup!$C$2:$C$1000),"")</f>
        <v>Debt - Short Term</v>
      </c>
      <c r="D4938" s="8" t="str">
        <f>IFERROR(INDEX('nav master'!$C:$C, MATCH(B4938, 'nav master'!$B:$B, 0)), "")</f>
        <v>ULIF 013 04/01/07 WLF 110</v>
      </c>
      <c r="E4938" s="8">
        <v>35.829700000000003</v>
      </c>
      <c r="F4938" s="9">
        <v>45939</v>
      </c>
    </row>
    <row r="4939" spans="1:6" ht="105" x14ac:dyDescent="0.25">
      <c r="A4939" s="8" t="s">
        <v>63</v>
      </c>
      <c r="B4939" s="11" t="s">
        <v>80</v>
      </c>
      <c r="C4939" s="8" t="str">
        <f>IFERROR(_xlfn.XLOOKUP(TRIM(B4939),Lookup!$B$2:$B$1000,Lookup!$C$2:$C$1000),"")</f>
        <v>Debt - Short Term</v>
      </c>
      <c r="D4939" s="8" t="str">
        <f>IFERROR(INDEX('nav master'!$C:$C, MATCH(B4939, 'nav master'!$B:$B, 0)), "")</f>
        <v>ULIF 013 04/01/07 WLF 110</v>
      </c>
      <c r="E4939" s="8">
        <v>35.845300000000002</v>
      </c>
      <c r="F4939" s="9">
        <v>45940</v>
      </c>
    </row>
    <row r="4940" spans="1:6" ht="105" x14ac:dyDescent="0.25">
      <c r="A4940" s="8" t="s">
        <v>63</v>
      </c>
      <c r="B4940" s="11" t="s">
        <v>80</v>
      </c>
      <c r="C4940" s="8" t="str">
        <f>IFERROR(_xlfn.XLOOKUP(TRIM(B4940),Lookup!$B$2:$B$1000,Lookup!$C$2:$C$1000),"")</f>
        <v>Debt - Short Term</v>
      </c>
      <c r="D4940" s="8" t="str">
        <f>IFERROR(INDEX('nav master'!$C:$C, MATCH(B4940, 'nav master'!$B:$B, 0)), "")</f>
        <v>ULIF 013 04/01/07 WLF 110</v>
      </c>
      <c r="E4940" s="8">
        <v>35.8596</v>
      </c>
      <c r="F4940" s="9">
        <v>45943</v>
      </c>
    </row>
    <row r="4941" spans="1:6" ht="105" x14ac:dyDescent="0.25">
      <c r="A4941" s="8" t="s">
        <v>63</v>
      </c>
      <c r="B4941" s="11" t="s">
        <v>80</v>
      </c>
      <c r="C4941" s="8" t="str">
        <f>IFERROR(_xlfn.XLOOKUP(TRIM(B4941),Lookup!$B$2:$B$1000,Lookup!$C$2:$C$1000),"")</f>
        <v>Debt - Short Term</v>
      </c>
      <c r="D4941" s="8" t="str">
        <f>IFERROR(INDEX('nav master'!$C:$C, MATCH(B4941, 'nav master'!$B:$B, 0)), "")</f>
        <v>ULIF 013 04/01/07 WLF 110</v>
      </c>
      <c r="E4941" s="8">
        <v>35.873600000000003</v>
      </c>
      <c r="F4941" s="9">
        <v>45944</v>
      </c>
    </row>
    <row r="4942" spans="1:6" ht="105" x14ac:dyDescent="0.25">
      <c r="A4942" s="8" t="s">
        <v>63</v>
      </c>
      <c r="B4942" s="11" t="s">
        <v>80</v>
      </c>
      <c r="C4942" s="8" t="str">
        <f>IFERROR(_xlfn.XLOOKUP(TRIM(B4942),Lookup!$B$2:$B$1000,Lookup!$C$2:$C$1000),"")</f>
        <v>Debt - Short Term</v>
      </c>
      <c r="D4942" s="8" t="str">
        <f>IFERROR(INDEX('nav master'!$C:$C, MATCH(B4942, 'nav master'!$B:$B, 0)), "")</f>
        <v>ULIF 013 04/01/07 WLF 110</v>
      </c>
      <c r="E4942" s="8">
        <v>35.875999999999998</v>
      </c>
      <c r="F4942" s="9">
        <v>45945</v>
      </c>
    </row>
    <row r="4943" spans="1:6" ht="105" x14ac:dyDescent="0.25">
      <c r="A4943" s="8" t="s">
        <v>63</v>
      </c>
      <c r="B4943" s="11" t="s">
        <v>80</v>
      </c>
      <c r="C4943" s="8" t="str">
        <f>IFERROR(_xlfn.XLOOKUP(TRIM(B4943),Lookup!$B$2:$B$1000,Lookup!$C$2:$C$1000),"")</f>
        <v>Debt - Short Term</v>
      </c>
      <c r="D4943" s="8" t="str">
        <f>IFERROR(INDEX('nav master'!$C:$C, MATCH(B4943, 'nav master'!$B:$B, 0)), "")</f>
        <v>ULIF 013 04/01/07 WLF 110</v>
      </c>
      <c r="E4943" s="8">
        <v>35.876300000000001</v>
      </c>
      <c r="F4943" s="9">
        <v>45946</v>
      </c>
    </row>
    <row r="4944" spans="1:6" ht="105" x14ac:dyDescent="0.25">
      <c r="A4944" s="8" t="s">
        <v>63</v>
      </c>
      <c r="B4944" s="11" t="s">
        <v>80</v>
      </c>
      <c r="C4944" s="8" t="str">
        <f>IFERROR(_xlfn.XLOOKUP(TRIM(B4944),Lookup!$B$2:$B$1000,Lookup!$C$2:$C$1000),"")</f>
        <v>Debt - Short Term</v>
      </c>
      <c r="D4944" s="8" t="str">
        <f>IFERROR(INDEX('nav master'!$C:$C, MATCH(B4944, 'nav master'!$B:$B, 0)), "")</f>
        <v>ULIF 013 04/01/07 WLF 110</v>
      </c>
      <c r="E4944" s="8">
        <v>35.894799999999996</v>
      </c>
      <c r="F4944" s="9">
        <v>45947</v>
      </c>
    </row>
    <row r="4945" spans="1:6" ht="105" x14ac:dyDescent="0.25">
      <c r="A4945" s="8" t="s">
        <v>63</v>
      </c>
      <c r="B4945" s="11" t="s">
        <v>80</v>
      </c>
      <c r="C4945" s="8" t="str">
        <f>IFERROR(_xlfn.XLOOKUP(TRIM(B4945),Lookup!$B$2:$B$1000,Lookup!$C$2:$C$1000),"")</f>
        <v>Debt - Short Term</v>
      </c>
      <c r="D4945" s="8" t="str">
        <f>IFERROR(INDEX('nav master'!$C:$C, MATCH(B4945, 'nav master'!$B:$B, 0)), "")</f>
        <v>ULIF 013 04/01/07 WLF 110</v>
      </c>
      <c r="E4945" s="8">
        <v>35.9099</v>
      </c>
      <c r="F4945" s="9">
        <v>45950</v>
      </c>
    </row>
    <row r="4946" spans="1:6" ht="105" x14ac:dyDescent="0.25">
      <c r="A4946" s="8" t="s">
        <v>63</v>
      </c>
      <c r="B4946" s="11" t="s">
        <v>80</v>
      </c>
      <c r="C4946" s="8" t="str">
        <f>IFERROR(_xlfn.XLOOKUP(TRIM(B4946),Lookup!$B$2:$B$1000,Lookup!$C$2:$C$1000),"")</f>
        <v>Debt - Short Term</v>
      </c>
      <c r="D4946" s="8" t="str">
        <f>IFERROR(INDEX('nav master'!$C:$C, MATCH(B4946, 'nav master'!$B:$B, 0)), "")</f>
        <v>ULIF 013 04/01/07 WLF 110</v>
      </c>
      <c r="E4946" s="8">
        <v>35.916400000000003</v>
      </c>
      <c r="F4946" s="9">
        <v>45953</v>
      </c>
    </row>
    <row r="4947" spans="1:6" ht="105" x14ac:dyDescent="0.25">
      <c r="A4947" s="8" t="s">
        <v>63</v>
      </c>
      <c r="B4947" s="11" t="s">
        <v>80</v>
      </c>
      <c r="C4947" s="8" t="str">
        <f>IFERROR(_xlfn.XLOOKUP(TRIM(B4947),Lookup!$B$2:$B$1000,Lookup!$C$2:$C$1000),"")</f>
        <v>Debt - Short Term</v>
      </c>
      <c r="D4947" s="8" t="str">
        <f>IFERROR(INDEX('nav master'!$C:$C, MATCH(B4947, 'nav master'!$B:$B, 0)), "")</f>
        <v>ULIF 013 04/01/07 WLF 110</v>
      </c>
      <c r="E4947" s="8">
        <v>35.924500000000002</v>
      </c>
      <c r="F4947" s="9">
        <v>45954</v>
      </c>
    </row>
    <row r="4948" spans="1:6" ht="105" x14ac:dyDescent="0.25">
      <c r="A4948" s="8" t="s">
        <v>63</v>
      </c>
      <c r="B4948" s="11" t="s">
        <v>80</v>
      </c>
      <c r="C4948" s="8" t="str">
        <f>IFERROR(_xlfn.XLOOKUP(TRIM(B4948),Lookup!$B$2:$B$1000,Lookup!$C$2:$C$1000),"")</f>
        <v>Debt - Short Term</v>
      </c>
      <c r="D4948" s="8" t="str">
        <f>IFERROR(INDEX('nav master'!$C:$C, MATCH(B4948, 'nav master'!$B:$B, 0)), "")</f>
        <v>ULIF 013 04/01/07 WLF 110</v>
      </c>
      <c r="E4948" s="8">
        <v>35.933399999999999</v>
      </c>
      <c r="F4948" s="9">
        <v>45957</v>
      </c>
    </row>
    <row r="4949" spans="1:6" ht="105" x14ac:dyDescent="0.25">
      <c r="A4949" s="8" t="s">
        <v>63</v>
      </c>
      <c r="B4949" s="11" t="s">
        <v>80</v>
      </c>
      <c r="C4949" s="8" t="str">
        <f>IFERROR(_xlfn.XLOOKUP(TRIM(B4949),Lookup!$B$2:$B$1000,Lookup!$C$2:$C$1000),"")</f>
        <v>Debt - Short Term</v>
      </c>
      <c r="D4949" s="8" t="str">
        <f>IFERROR(INDEX('nav master'!$C:$C, MATCH(B4949, 'nav master'!$B:$B, 0)), "")</f>
        <v>ULIF 013 04/01/07 WLF 110</v>
      </c>
      <c r="E4949" s="8">
        <v>35.939100000000003</v>
      </c>
      <c r="F4949" s="9">
        <v>45958</v>
      </c>
    </row>
    <row r="4950" spans="1:6" ht="105" x14ac:dyDescent="0.25">
      <c r="A4950" s="8" t="s">
        <v>63</v>
      </c>
      <c r="B4950" s="11" t="s">
        <v>80</v>
      </c>
      <c r="C4950" s="8" t="str">
        <f>IFERROR(_xlfn.XLOOKUP(TRIM(B4950),Lookup!$B$2:$B$1000,Lookup!$C$2:$C$1000),"")</f>
        <v>Debt - Short Term</v>
      </c>
      <c r="D4950" s="8" t="str">
        <f>IFERROR(INDEX('nav master'!$C:$C, MATCH(B4950, 'nav master'!$B:$B, 0)), "")</f>
        <v>ULIF 013 04/01/07 WLF 110</v>
      </c>
      <c r="E4950" s="8">
        <v>35.939599999999999</v>
      </c>
      <c r="F4950" s="9">
        <v>45959</v>
      </c>
    </row>
    <row r="4951" spans="1:6" ht="105" x14ac:dyDescent="0.25">
      <c r="A4951" s="8" t="s">
        <v>63</v>
      </c>
      <c r="B4951" s="11" t="s">
        <v>80</v>
      </c>
      <c r="C4951" s="8" t="str">
        <f>IFERROR(_xlfn.XLOOKUP(TRIM(B4951),Lookup!$B$2:$B$1000,Lookup!$C$2:$C$1000),"")</f>
        <v>Debt - Short Term</v>
      </c>
      <c r="D4951" s="8" t="str">
        <f>IFERROR(INDEX('nav master'!$C:$C, MATCH(B4951, 'nav master'!$B:$B, 0)), "")</f>
        <v>ULIF 013 04/01/07 WLF 110</v>
      </c>
      <c r="E4951" s="8">
        <v>35.939399999999999</v>
      </c>
      <c r="F4951" s="9">
        <v>45960</v>
      </c>
    </row>
    <row r="4952" spans="1:6" ht="105" x14ac:dyDescent="0.25">
      <c r="A4952" s="8" t="s">
        <v>63</v>
      </c>
      <c r="B4952" s="11" t="s">
        <v>80</v>
      </c>
      <c r="C4952" s="8" t="str">
        <f>IFERROR(_xlfn.XLOOKUP(TRIM(B4952),Lookup!$B$2:$B$1000,Lookup!$C$2:$C$1000),"")</f>
        <v>Debt - Short Term</v>
      </c>
      <c r="D4952" s="8" t="str">
        <f>IFERROR(INDEX('nav master'!$C:$C, MATCH(B4952, 'nav master'!$B:$B, 0)), "")</f>
        <v>ULIF 013 04/01/07 WLF 110</v>
      </c>
      <c r="E4952" s="8">
        <v>35.940600000000003</v>
      </c>
      <c r="F4952" s="9">
        <v>45961</v>
      </c>
    </row>
    <row r="4953" spans="1:6" ht="105" x14ac:dyDescent="0.25">
      <c r="A4953" s="8" t="s">
        <v>63</v>
      </c>
      <c r="B4953" s="11" t="s">
        <v>80</v>
      </c>
      <c r="C4953" s="8" t="str">
        <f>IFERROR(_xlfn.XLOOKUP(TRIM(B4953),Lookup!$B$2:$B$1000,Lookup!$C$2:$C$1000),"")</f>
        <v>Debt - Short Term</v>
      </c>
      <c r="D4953" s="8" t="str">
        <f>IFERROR(INDEX('nav master'!$C:$C, MATCH(B4953, 'nav master'!$B:$B, 0)), "")</f>
        <v>ULIF 013 04/01/07 WLF 110</v>
      </c>
      <c r="E4953" s="8">
        <v>35.954099999999997</v>
      </c>
      <c r="F4953" s="9">
        <v>45964</v>
      </c>
    </row>
    <row r="4954" spans="1:6" ht="105" x14ac:dyDescent="0.25">
      <c r="A4954" s="8" t="s">
        <v>63</v>
      </c>
      <c r="B4954" s="11" t="s">
        <v>80</v>
      </c>
      <c r="C4954" s="8" t="str">
        <f>IFERROR(_xlfn.XLOOKUP(TRIM(B4954),Lookup!$B$2:$B$1000,Lookup!$C$2:$C$1000),"")</f>
        <v>Debt - Short Term</v>
      </c>
      <c r="D4954" s="8" t="str">
        <f>IFERROR(INDEX('nav master'!$C:$C, MATCH(B4954, 'nav master'!$B:$B, 0)), "")</f>
        <v>ULIF 013 04/01/07 WLF 110</v>
      </c>
      <c r="E4954" s="8">
        <v>35.959400000000002</v>
      </c>
      <c r="F4954" s="9">
        <v>45965</v>
      </c>
    </row>
    <row r="4955" spans="1:6" ht="105" x14ac:dyDescent="0.25">
      <c r="A4955" s="8" t="s">
        <v>63</v>
      </c>
      <c r="B4955" s="11" t="s">
        <v>80</v>
      </c>
      <c r="C4955" s="8" t="str">
        <f>IFERROR(_xlfn.XLOOKUP(TRIM(B4955),Lookup!$B$2:$B$1000,Lookup!$C$2:$C$1000),"")</f>
        <v>Debt - Short Term</v>
      </c>
      <c r="D4955" s="8" t="str">
        <f>IFERROR(INDEX('nav master'!$C:$C, MATCH(B4955, 'nav master'!$B:$B, 0)), "")</f>
        <v>ULIF 013 04/01/07 WLF 110</v>
      </c>
      <c r="E4955" s="8">
        <v>35.969700000000003</v>
      </c>
      <c r="F4955" s="9">
        <v>45967</v>
      </c>
    </row>
    <row r="4956" spans="1:6" ht="105" x14ac:dyDescent="0.25">
      <c r="A4956" s="8" t="s">
        <v>63</v>
      </c>
      <c r="B4956" s="11" t="s">
        <v>80</v>
      </c>
      <c r="C4956" s="8" t="str">
        <f>IFERROR(_xlfn.XLOOKUP(TRIM(B4956),Lookup!$B$2:$B$1000,Lookup!$C$2:$C$1000),"")</f>
        <v>Debt - Short Term</v>
      </c>
      <c r="D4956" s="8" t="str">
        <f>IFERROR(INDEX('nav master'!$C:$C, MATCH(B4956, 'nav master'!$B:$B, 0)), "")</f>
        <v>ULIF 013 04/01/07 WLF 110</v>
      </c>
      <c r="E4956" s="8">
        <v>35.981000000000002</v>
      </c>
      <c r="F4956" s="9">
        <v>45968</v>
      </c>
    </row>
    <row r="4957" spans="1:6" ht="105" x14ac:dyDescent="0.25">
      <c r="A4957" s="8" t="s">
        <v>63</v>
      </c>
      <c r="B4957" s="11" t="s">
        <v>80</v>
      </c>
      <c r="C4957" s="8" t="str">
        <f>IFERROR(_xlfn.XLOOKUP(TRIM(B4957),Lookup!$B$2:$B$1000,Lookup!$C$2:$C$1000),"")</f>
        <v>Debt - Short Term</v>
      </c>
      <c r="D4957" s="8" t="str">
        <f>IFERROR(INDEX('nav master'!$C:$C, MATCH(B4957, 'nav master'!$B:$B, 0)), "")</f>
        <v>ULIF 013 04/01/07 WLF 110</v>
      </c>
      <c r="E4957" s="8">
        <v>35.996200000000002</v>
      </c>
      <c r="F4957" s="9">
        <v>45971</v>
      </c>
    </row>
    <row r="4958" spans="1:6" ht="105" x14ac:dyDescent="0.25">
      <c r="A4958" s="8" t="s">
        <v>63</v>
      </c>
      <c r="B4958" s="11" t="s">
        <v>80</v>
      </c>
      <c r="C4958" s="8" t="str">
        <f>IFERROR(_xlfn.XLOOKUP(TRIM(B4958),Lookup!$B$2:$B$1000,Lookup!$C$2:$C$1000),"")</f>
        <v>Debt - Short Term</v>
      </c>
      <c r="D4958" s="8" t="str">
        <f>IFERROR(INDEX('nav master'!$C:$C, MATCH(B4958, 'nav master'!$B:$B, 0)), "")</f>
        <v>ULIF 013 04/01/07 WLF 110</v>
      </c>
      <c r="E4958" s="8">
        <v>36.003100000000003</v>
      </c>
      <c r="F4958" s="9">
        <v>45972</v>
      </c>
    </row>
    <row r="4959" spans="1:6" ht="105" x14ac:dyDescent="0.25">
      <c r="A4959" s="8" t="s">
        <v>63</v>
      </c>
      <c r="B4959" s="11" t="s">
        <v>80</v>
      </c>
      <c r="C4959" s="8" t="str">
        <f>IFERROR(_xlfn.XLOOKUP(TRIM(B4959),Lookup!$B$2:$B$1000,Lookup!$C$2:$C$1000),"")</f>
        <v>Debt - Short Term</v>
      </c>
      <c r="D4959" s="8" t="str">
        <f>IFERROR(INDEX('nav master'!$C:$C, MATCH(B4959, 'nav master'!$B:$B, 0)), "")</f>
        <v>ULIF 013 04/01/07 WLF 110</v>
      </c>
      <c r="E4959" s="8">
        <v>36.006999999999998</v>
      </c>
      <c r="F4959" s="9">
        <v>45973</v>
      </c>
    </row>
    <row r="4960" spans="1:6" ht="105" x14ac:dyDescent="0.25">
      <c r="A4960" s="8" t="s">
        <v>63</v>
      </c>
      <c r="B4960" s="11" t="s">
        <v>80</v>
      </c>
      <c r="C4960" s="8" t="str">
        <f>IFERROR(_xlfn.XLOOKUP(TRIM(B4960),Lookup!$B$2:$B$1000,Lookup!$C$2:$C$1000),"")</f>
        <v>Debt - Short Term</v>
      </c>
      <c r="D4960" s="8" t="str">
        <f>IFERROR(INDEX('nav master'!$C:$C, MATCH(B4960, 'nav master'!$B:$B, 0)), "")</f>
        <v>ULIF 013 04/01/07 WLF 110</v>
      </c>
      <c r="E4960" s="8">
        <v>36.010800000000003</v>
      </c>
      <c r="F4960" s="9">
        <v>45974</v>
      </c>
    </row>
    <row r="4961" spans="1:6" ht="105" x14ac:dyDescent="0.25">
      <c r="A4961" s="8" t="s">
        <v>63</v>
      </c>
      <c r="B4961" s="11" t="s">
        <v>80</v>
      </c>
      <c r="C4961" s="8" t="str">
        <f>IFERROR(_xlfn.XLOOKUP(TRIM(B4961),Lookup!$B$2:$B$1000,Lookup!$C$2:$C$1000),"")</f>
        <v>Debt - Short Term</v>
      </c>
      <c r="D4961" s="8" t="str">
        <f>IFERROR(INDEX('nav master'!$C:$C, MATCH(B4961, 'nav master'!$B:$B, 0)), "")</f>
        <v>ULIF 013 04/01/07 WLF 110</v>
      </c>
      <c r="E4961" s="8">
        <v>36.048699999999997</v>
      </c>
      <c r="F4961" s="9">
        <v>45975</v>
      </c>
    </row>
    <row r="4962" spans="1:6" ht="105" x14ac:dyDescent="0.25">
      <c r="A4962" s="8" t="s">
        <v>63</v>
      </c>
      <c r="B4962" s="11" t="s">
        <v>80</v>
      </c>
      <c r="C4962" s="8" t="str">
        <f>IFERROR(_xlfn.XLOOKUP(TRIM(B4962),Lookup!$B$2:$B$1000,Lookup!$C$2:$C$1000),"")</f>
        <v>Debt - Short Term</v>
      </c>
      <c r="D4962" s="8" t="str">
        <f>IFERROR(INDEX('nav master'!$C:$C, MATCH(B4962, 'nav master'!$B:$B, 0)), "")</f>
        <v>ULIF 013 04/01/07 WLF 110</v>
      </c>
      <c r="E4962" s="8">
        <v>36.066699999999997</v>
      </c>
      <c r="F4962" s="9">
        <v>45978</v>
      </c>
    </row>
    <row r="4963" spans="1:6" ht="105" x14ac:dyDescent="0.25">
      <c r="A4963" s="8" t="s">
        <v>63</v>
      </c>
      <c r="B4963" s="11" t="s">
        <v>80</v>
      </c>
      <c r="C4963" s="8" t="str">
        <f>IFERROR(_xlfn.XLOOKUP(TRIM(B4963),Lookup!$B$2:$B$1000,Lookup!$C$2:$C$1000),"")</f>
        <v>Debt - Short Term</v>
      </c>
      <c r="D4963" s="8" t="str">
        <f>IFERROR(INDEX('nav master'!$C:$C, MATCH(B4963, 'nav master'!$B:$B, 0)), "")</f>
        <v>ULIF 013 04/01/07 WLF 110</v>
      </c>
      <c r="E4963" s="8">
        <v>36.062800000000003</v>
      </c>
      <c r="F4963" s="9">
        <v>45979</v>
      </c>
    </row>
    <row r="4964" spans="1:6" ht="105" x14ac:dyDescent="0.25">
      <c r="A4964" s="8" t="s">
        <v>63</v>
      </c>
      <c r="B4964" s="11" t="s">
        <v>80</v>
      </c>
      <c r="C4964" s="8" t="str">
        <f>IFERROR(_xlfn.XLOOKUP(TRIM(B4964),Lookup!$B$2:$B$1000,Lookup!$C$2:$C$1000),"")</f>
        <v>Debt - Short Term</v>
      </c>
      <c r="D4964" s="8" t="str">
        <f>IFERROR(INDEX('nav master'!$C:$C, MATCH(B4964, 'nav master'!$B:$B, 0)), "")</f>
        <v>ULIF 013 04/01/07 WLF 110</v>
      </c>
      <c r="E4964" s="8">
        <v>36.076599999999999</v>
      </c>
      <c r="F4964" s="9">
        <v>45980</v>
      </c>
    </row>
    <row r="4965" spans="1:6" ht="105" x14ac:dyDescent="0.25">
      <c r="A4965" s="8" t="s">
        <v>63</v>
      </c>
      <c r="B4965" s="11" t="s">
        <v>80</v>
      </c>
      <c r="C4965" s="8" t="str">
        <f>IFERROR(_xlfn.XLOOKUP(TRIM(B4965),Lookup!$B$2:$B$1000,Lookup!$C$2:$C$1000),"")</f>
        <v>Debt - Short Term</v>
      </c>
      <c r="D4965" s="8" t="str">
        <f>IFERROR(INDEX('nav master'!$C:$C, MATCH(B4965, 'nav master'!$B:$B, 0)), "")</f>
        <v>ULIF 013 04/01/07 WLF 110</v>
      </c>
      <c r="E4965" s="8">
        <v>36.089100000000002</v>
      </c>
      <c r="F4965" s="9">
        <v>45981</v>
      </c>
    </row>
    <row r="4966" spans="1:6" ht="105" x14ac:dyDescent="0.25">
      <c r="A4966" s="8" t="s">
        <v>63</v>
      </c>
      <c r="B4966" s="11" t="s">
        <v>80</v>
      </c>
      <c r="C4966" s="8" t="str">
        <f>IFERROR(_xlfn.XLOOKUP(TRIM(B4966),Lookup!$B$2:$B$1000,Lookup!$C$2:$C$1000),"")</f>
        <v>Debt - Short Term</v>
      </c>
      <c r="D4966" s="8" t="str">
        <f>IFERROR(INDEX('nav master'!$C:$C, MATCH(B4966, 'nav master'!$B:$B, 0)), "")</f>
        <v>ULIF 013 04/01/07 WLF 110</v>
      </c>
      <c r="E4966" s="8">
        <v>36.084800000000001</v>
      </c>
      <c r="F4966" s="9">
        <v>45982</v>
      </c>
    </row>
    <row r="4967" spans="1:6" ht="105" x14ac:dyDescent="0.25">
      <c r="A4967" s="8" t="s">
        <v>63</v>
      </c>
      <c r="B4967" s="11" t="s">
        <v>80</v>
      </c>
      <c r="C4967" s="8" t="str">
        <f>IFERROR(_xlfn.XLOOKUP(TRIM(B4967),Lookup!$B$2:$B$1000,Lookup!$C$2:$C$1000),"")</f>
        <v>Debt - Short Term</v>
      </c>
      <c r="D4967" s="8" t="str">
        <f>IFERROR(INDEX('nav master'!$C:$C, MATCH(B4967, 'nav master'!$B:$B, 0)), "")</f>
        <v>ULIF 013 04/01/07 WLF 110</v>
      </c>
      <c r="E4967" s="8">
        <v>36.104599999999998</v>
      </c>
      <c r="F4967" s="9">
        <v>45985</v>
      </c>
    </row>
    <row r="4968" spans="1:6" ht="105" x14ac:dyDescent="0.25">
      <c r="A4968" s="8" t="s">
        <v>63</v>
      </c>
      <c r="B4968" s="11" t="s">
        <v>80</v>
      </c>
      <c r="C4968" s="8" t="str">
        <f>IFERROR(_xlfn.XLOOKUP(TRIM(B4968),Lookup!$B$2:$B$1000,Lookup!$C$2:$C$1000),"")</f>
        <v>Debt - Short Term</v>
      </c>
      <c r="D4968" s="8" t="str">
        <f>IFERROR(INDEX('nav master'!$C:$C, MATCH(B4968, 'nav master'!$B:$B, 0)), "")</f>
        <v>ULIF 013 04/01/07 WLF 110</v>
      </c>
      <c r="E4968" s="8">
        <v>36.121400000000001</v>
      </c>
      <c r="F4968" s="9">
        <v>45986</v>
      </c>
    </row>
    <row r="4969" spans="1:6" ht="105" x14ac:dyDescent="0.25">
      <c r="A4969" s="8" t="s">
        <v>63</v>
      </c>
      <c r="B4969" s="11" t="s">
        <v>80</v>
      </c>
      <c r="C4969" s="8" t="str">
        <f>IFERROR(_xlfn.XLOOKUP(TRIM(B4969),Lookup!$B$2:$B$1000,Lookup!$C$2:$C$1000),"")</f>
        <v>Debt - Short Term</v>
      </c>
      <c r="D4969" s="8" t="str">
        <f>IFERROR(INDEX('nav master'!$C:$C, MATCH(B4969, 'nav master'!$B:$B, 0)), "")</f>
        <v>ULIF 013 04/01/07 WLF 110</v>
      </c>
      <c r="E4969" s="8">
        <v>36.135300000000001</v>
      </c>
      <c r="F4969" s="9">
        <v>45987</v>
      </c>
    </row>
    <row r="4970" spans="1:6" ht="105" x14ac:dyDescent="0.25">
      <c r="A4970" s="8" t="s">
        <v>63</v>
      </c>
      <c r="B4970" s="11" t="s">
        <v>80</v>
      </c>
      <c r="C4970" s="8" t="str">
        <f>IFERROR(_xlfn.XLOOKUP(TRIM(B4970),Lookup!$B$2:$B$1000,Lookup!$C$2:$C$1000),"")</f>
        <v>Debt - Short Term</v>
      </c>
      <c r="D4970" s="8" t="str">
        <f>IFERROR(INDEX('nav master'!$C:$C, MATCH(B4970, 'nav master'!$B:$B, 0)), "")</f>
        <v>ULIF 013 04/01/07 WLF 110</v>
      </c>
      <c r="E4970" s="8">
        <v>36.1402</v>
      </c>
      <c r="F4970" s="9">
        <v>45988</v>
      </c>
    </row>
    <row r="4971" spans="1:6" ht="105" x14ac:dyDescent="0.25">
      <c r="A4971" s="8" t="s">
        <v>63</v>
      </c>
      <c r="B4971" s="11" t="s">
        <v>80</v>
      </c>
      <c r="C4971" s="8" t="str">
        <f>IFERROR(_xlfn.XLOOKUP(TRIM(B4971),Lookup!$B$2:$B$1000,Lookup!$C$2:$C$1000),"")</f>
        <v>Debt - Short Term</v>
      </c>
      <c r="D4971" s="8" t="str">
        <f>IFERROR(INDEX('nav master'!$C:$C, MATCH(B4971, 'nav master'!$B:$B, 0)), "")</f>
        <v>ULIF 013 04/01/07 WLF 110</v>
      </c>
      <c r="E4971" s="8">
        <v>36.143900000000002</v>
      </c>
      <c r="F4971" s="9">
        <v>45989</v>
      </c>
    </row>
    <row r="4972" spans="1:6" ht="105" x14ac:dyDescent="0.25">
      <c r="A4972" s="8" t="s">
        <v>63</v>
      </c>
      <c r="B4972" s="11" t="s">
        <v>80</v>
      </c>
      <c r="C4972" s="8" t="str">
        <f>IFERROR(_xlfn.XLOOKUP(TRIM(B4972),Lookup!$B$2:$B$1000,Lookup!$C$2:$C$1000),"")</f>
        <v>Debt - Short Term</v>
      </c>
      <c r="D4972" s="8" t="str">
        <f>IFERROR(INDEX('nav master'!$C:$C, MATCH(B4972, 'nav master'!$B:$B, 0)), "")</f>
        <v>ULIF 013 04/01/07 WLF 110</v>
      </c>
      <c r="E4972" s="8">
        <v>36.134700000000002</v>
      </c>
      <c r="F4972" s="9">
        <v>45992</v>
      </c>
    </row>
    <row r="4973" spans="1:6" ht="105" x14ac:dyDescent="0.25">
      <c r="A4973" s="8" t="s">
        <v>63</v>
      </c>
      <c r="B4973" s="11" t="s">
        <v>80</v>
      </c>
      <c r="C4973" s="8" t="str">
        <f>IFERROR(_xlfn.XLOOKUP(TRIM(B4973),Lookup!$B$2:$B$1000,Lookup!$C$2:$C$1000),"")</f>
        <v>Debt - Short Term</v>
      </c>
      <c r="D4973" s="8" t="str">
        <f>IFERROR(INDEX('nav master'!$C:$C, MATCH(B4973, 'nav master'!$B:$B, 0)), "")</f>
        <v>ULIF 013 04/01/07 WLF 110</v>
      </c>
      <c r="E4973" s="8">
        <v>36.141399999999997</v>
      </c>
      <c r="F4973" s="9">
        <v>45993</v>
      </c>
    </row>
    <row r="4974" spans="1:6" ht="105" x14ac:dyDescent="0.25">
      <c r="A4974" s="8" t="s">
        <v>63</v>
      </c>
      <c r="B4974" s="11" t="s">
        <v>80</v>
      </c>
      <c r="C4974" s="8" t="str">
        <f>IFERROR(_xlfn.XLOOKUP(TRIM(B4974),Lookup!$B$2:$B$1000,Lookup!$C$2:$C$1000),"")</f>
        <v>Debt - Short Term</v>
      </c>
      <c r="D4974" s="8" t="str">
        <f>IFERROR(INDEX('nav master'!$C:$C, MATCH(B4974, 'nav master'!$B:$B, 0)), "")</f>
        <v>ULIF 013 04/01/07 WLF 110</v>
      </c>
      <c r="E4974" s="8">
        <v>36.143300000000004</v>
      </c>
      <c r="F4974" s="9">
        <v>45994</v>
      </c>
    </row>
    <row r="4975" spans="1:6" ht="105" x14ac:dyDescent="0.25">
      <c r="A4975" s="8" t="s">
        <v>63</v>
      </c>
      <c r="B4975" s="11" t="s">
        <v>80</v>
      </c>
      <c r="C4975" s="8" t="str">
        <f>IFERROR(_xlfn.XLOOKUP(TRIM(B4975),Lookup!$B$2:$B$1000,Lookup!$C$2:$C$1000),"")</f>
        <v>Debt - Short Term</v>
      </c>
      <c r="D4975" s="8" t="str">
        <f>IFERROR(INDEX('nav master'!$C:$C, MATCH(B4975, 'nav master'!$B:$B, 0)), "")</f>
        <v>ULIF 013 04/01/07 WLF 110</v>
      </c>
      <c r="E4975" s="8">
        <v>36.145299999999999</v>
      </c>
      <c r="F4975" s="9">
        <v>45995</v>
      </c>
    </row>
    <row r="4976" spans="1:6" ht="105" x14ac:dyDescent="0.25">
      <c r="A4976" s="8" t="s">
        <v>63</v>
      </c>
      <c r="B4976" s="11" t="s">
        <v>80</v>
      </c>
      <c r="C4976" s="8" t="str">
        <f>IFERROR(_xlfn.XLOOKUP(TRIM(B4976),Lookup!$B$2:$B$1000,Lookup!$C$2:$C$1000),"")</f>
        <v>Debt - Short Term</v>
      </c>
      <c r="D4976" s="8" t="str">
        <f>IFERROR(INDEX('nav master'!$C:$C, MATCH(B4976, 'nav master'!$B:$B, 0)), "")</f>
        <v>ULIF 013 04/01/07 WLF 110</v>
      </c>
      <c r="E4976" s="8">
        <v>36.168999999999997</v>
      </c>
      <c r="F4976" s="9">
        <v>45996</v>
      </c>
    </row>
    <row r="4977" spans="1:6" ht="105" x14ac:dyDescent="0.25">
      <c r="A4977" s="8" t="s">
        <v>63</v>
      </c>
      <c r="B4977" s="11" t="s">
        <v>80</v>
      </c>
      <c r="C4977" s="8" t="str">
        <f>IFERROR(_xlfn.XLOOKUP(TRIM(B4977),Lookup!$B$2:$B$1000,Lookup!$C$2:$C$1000),"")</f>
        <v>Debt - Short Term</v>
      </c>
      <c r="D4977" s="8" t="str">
        <f>IFERROR(INDEX('nav master'!$C:$C, MATCH(B4977, 'nav master'!$B:$B, 0)), "")</f>
        <v>ULIF 013 04/01/07 WLF 110</v>
      </c>
      <c r="E4977" s="8">
        <v>36.183599999999998</v>
      </c>
      <c r="F4977" s="9">
        <v>45999</v>
      </c>
    </row>
    <row r="4978" spans="1:6" ht="105" x14ac:dyDescent="0.25">
      <c r="A4978" s="8" t="s">
        <v>63</v>
      </c>
      <c r="B4978" s="11" t="s">
        <v>80</v>
      </c>
      <c r="C4978" s="8" t="str">
        <f>IFERROR(_xlfn.XLOOKUP(TRIM(B4978),Lookup!$B$2:$B$1000,Lookup!$C$2:$C$1000),"")</f>
        <v>Debt - Short Term</v>
      </c>
      <c r="D4978" s="8" t="str">
        <f>IFERROR(INDEX('nav master'!$C:$C, MATCH(B4978, 'nav master'!$B:$B, 0)), "")</f>
        <v>ULIF 013 04/01/07 WLF 110</v>
      </c>
      <c r="E4978" s="8">
        <v>36.156700000000001</v>
      </c>
      <c r="F4978" s="9">
        <v>46000</v>
      </c>
    </row>
    <row r="4979" spans="1:6" ht="105" x14ac:dyDescent="0.25">
      <c r="A4979" s="8" t="s">
        <v>63</v>
      </c>
      <c r="B4979" s="11" t="s">
        <v>80</v>
      </c>
      <c r="C4979" s="8" t="str">
        <f>IFERROR(_xlfn.XLOOKUP(TRIM(B4979),Lookup!$B$2:$B$1000,Lookup!$C$2:$C$1000),"")</f>
        <v>Debt - Short Term</v>
      </c>
      <c r="D4979" s="8" t="str">
        <f>IFERROR(INDEX('nav master'!$C:$C, MATCH(B4979, 'nav master'!$B:$B, 0)), "")</f>
        <v>ULIF 013 04/01/07 WLF 110</v>
      </c>
      <c r="E4979" s="8">
        <v>36.152200000000001</v>
      </c>
      <c r="F4979" s="9">
        <v>46001</v>
      </c>
    </row>
    <row r="4980" spans="1:6" ht="105" x14ac:dyDescent="0.25">
      <c r="A4980" s="8" t="s">
        <v>63</v>
      </c>
      <c r="B4980" s="11" t="s">
        <v>80</v>
      </c>
      <c r="C4980" s="8" t="str">
        <f>IFERROR(_xlfn.XLOOKUP(TRIM(B4980),Lookup!$B$2:$B$1000,Lookup!$C$2:$C$1000),"")</f>
        <v>Debt - Short Term</v>
      </c>
      <c r="D4980" s="8" t="str">
        <f>IFERROR(INDEX('nav master'!$C:$C, MATCH(B4980, 'nav master'!$B:$B, 0)), "")</f>
        <v>ULIF 013 04/01/07 WLF 110</v>
      </c>
      <c r="E4980" s="8">
        <v>36.1492</v>
      </c>
      <c r="F4980" s="9">
        <v>46002</v>
      </c>
    </row>
    <row r="4981" spans="1:6" ht="105" x14ac:dyDescent="0.25">
      <c r="A4981" s="8" t="s">
        <v>63</v>
      </c>
      <c r="B4981" s="11" t="s">
        <v>80</v>
      </c>
      <c r="C4981" s="8" t="str">
        <f>IFERROR(_xlfn.XLOOKUP(TRIM(B4981),Lookup!$B$2:$B$1000,Lookup!$C$2:$C$1000),"")</f>
        <v>Debt - Short Term</v>
      </c>
      <c r="D4981" s="8" t="str">
        <f>IFERROR(INDEX('nav master'!$C:$C, MATCH(B4981, 'nav master'!$B:$B, 0)), "")</f>
        <v>ULIF 013 04/01/07 WLF 110</v>
      </c>
      <c r="E4981" s="8">
        <v>36.159599999999998</v>
      </c>
      <c r="F4981" s="9">
        <v>46003</v>
      </c>
    </row>
    <row r="4982" spans="1:6" ht="105" x14ac:dyDescent="0.25">
      <c r="A4982" s="8" t="s">
        <v>63</v>
      </c>
      <c r="B4982" s="11" t="s">
        <v>80</v>
      </c>
      <c r="C4982" s="8" t="str">
        <f>IFERROR(_xlfn.XLOOKUP(TRIM(B4982),Lookup!$B$2:$B$1000,Lookup!$C$2:$C$1000),"")</f>
        <v>Debt - Short Term</v>
      </c>
      <c r="D4982" s="8" t="str">
        <f>IFERROR(INDEX('nav master'!$C:$C, MATCH(B4982, 'nav master'!$B:$B, 0)), "")</f>
        <v>ULIF 013 04/01/07 WLF 110</v>
      </c>
      <c r="E4982" s="8">
        <v>36.162700000000001</v>
      </c>
      <c r="F4982" s="9">
        <v>46006</v>
      </c>
    </row>
    <row r="4983" spans="1:6" ht="105" x14ac:dyDescent="0.25">
      <c r="A4983" s="8" t="s">
        <v>63</v>
      </c>
      <c r="B4983" s="11" t="s">
        <v>80</v>
      </c>
      <c r="C4983" s="8" t="str">
        <f>IFERROR(_xlfn.XLOOKUP(TRIM(B4983),Lookup!$B$2:$B$1000,Lookup!$C$2:$C$1000),"")</f>
        <v>Debt - Short Term</v>
      </c>
      <c r="D4983" s="8" t="str">
        <f>IFERROR(INDEX('nav master'!$C:$C, MATCH(B4983, 'nav master'!$B:$B, 0)), "")</f>
        <v>ULIF 013 04/01/07 WLF 110</v>
      </c>
      <c r="E4983" s="8">
        <v>36.167900000000003</v>
      </c>
      <c r="F4983" s="9">
        <v>46007</v>
      </c>
    </row>
    <row r="4984" spans="1:6" ht="105" x14ac:dyDescent="0.25">
      <c r="A4984" s="8" t="s">
        <v>63</v>
      </c>
      <c r="B4984" s="11" t="s">
        <v>80</v>
      </c>
      <c r="C4984" s="8" t="str">
        <f>IFERROR(_xlfn.XLOOKUP(TRIM(B4984),Lookup!$B$2:$B$1000,Lookup!$C$2:$C$1000),"")</f>
        <v>Debt - Short Term</v>
      </c>
      <c r="D4984" s="8" t="str">
        <f>IFERROR(INDEX('nav master'!$C:$C, MATCH(B4984, 'nav master'!$B:$B, 0)), "")</f>
        <v>ULIF 013 04/01/07 WLF 110</v>
      </c>
      <c r="E4984" s="8">
        <v>36.173900000000003</v>
      </c>
      <c r="F4984" s="9">
        <v>46008</v>
      </c>
    </row>
    <row r="4985" spans="1:6" ht="105" x14ac:dyDescent="0.25">
      <c r="A4985" s="8" t="s">
        <v>63</v>
      </c>
      <c r="B4985" s="11" t="s">
        <v>80</v>
      </c>
      <c r="C4985" s="8" t="str">
        <f>IFERROR(_xlfn.XLOOKUP(TRIM(B4985),Lookup!$B$2:$B$1000,Lookup!$C$2:$C$1000),"")</f>
        <v>Debt - Short Term</v>
      </c>
      <c r="D4985" s="8" t="str">
        <f>IFERROR(INDEX('nav master'!$C:$C, MATCH(B4985, 'nav master'!$B:$B, 0)), "")</f>
        <v>ULIF 013 04/01/07 WLF 110</v>
      </c>
      <c r="E4985" s="8">
        <v>36.170900000000003</v>
      </c>
      <c r="F4985" s="9">
        <v>46009</v>
      </c>
    </row>
    <row r="4986" spans="1:6" ht="105" x14ac:dyDescent="0.25">
      <c r="A4986" s="8" t="s">
        <v>63</v>
      </c>
      <c r="B4986" s="11" t="s">
        <v>80</v>
      </c>
      <c r="C4986" s="8" t="str">
        <f>IFERROR(_xlfn.XLOOKUP(TRIM(B4986),Lookup!$B$2:$B$1000,Lookup!$C$2:$C$1000),"")</f>
        <v>Debt - Short Term</v>
      </c>
      <c r="D4986" s="8" t="str">
        <f>IFERROR(INDEX('nav master'!$C:$C, MATCH(B4986, 'nav master'!$B:$B, 0)), "")</f>
        <v>ULIF 013 04/01/07 WLF 110</v>
      </c>
      <c r="E4986" s="8">
        <v>36.174500000000002</v>
      </c>
      <c r="F4986" s="9">
        <v>46010</v>
      </c>
    </row>
    <row r="4987" spans="1:6" ht="105" x14ac:dyDescent="0.25">
      <c r="A4987" s="8" t="s">
        <v>63</v>
      </c>
      <c r="B4987" s="11" t="s">
        <v>80</v>
      </c>
      <c r="C4987" s="8" t="str">
        <f>IFERROR(_xlfn.XLOOKUP(TRIM(B4987),Lookup!$B$2:$B$1000,Lookup!$C$2:$C$1000),"")</f>
        <v>Debt - Short Term</v>
      </c>
      <c r="D4987" s="8" t="str">
        <f>IFERROR(INDEX('nav master'!$C:$C, MATCH(B4987, 'nav master'!$B:$B, 0)), "")</f>
        <v>ULIF 013 04/01/07 WLF 110</v>
      </c>
      <c r="E4987" s="8">
        <v>36.178899999999999</v>
      </c>
      <c r="F4987" s="9">
        <v>46013</v>
      </c>
    </row>
    <row r="4988" spans="1:6" ht="105" x14ac:dyDescent="0.25">
      <c r="A4988" s="8" t="s">
        <v>63</v>
      </c>
      <c r="B4988" s="11" t="s">
        <v>80</v>
      </c>
      <c r="C4988" s="8" t="str">
        <f>IFERROR(_xlfn.XLOOKUP(TRIM(B4988),Lookup!$B$2:$B$1000,Lookup!$C$2:$C$1000),"")</f>
        <v>Debt - Short Term</v>
      </c>
      <c r="D4988" s="8" t="str">
        <f>IFERROR(INDEX('nav master'!$C:$C, MATCH(B4988, 'nav master'!$B:$B, 0)), "")</f>
        <v>ULIF 013 04/01/07 WLF 110</v>
      </c>
      <c r="E4988" s="8">
        <v>36.1828</v>
      </c>
      <c r="F4988" s="9">
        <v>46014</v>
      </c>
    </row>
    <row r="4989" spans="1:6" ht="105" x14ac:dyDescent="0.25">
      <c r="A4989" s="8" t="s">
        <v>63</v>
      </c>
      <c r="B4989" s="11" t="s">
        <v>80</v>
      </c>
      <c r="C4989" s="8" t="str">
        <f>IFERROR(_xlfn.XLOOKUP(TRIM(B4989),Lookup!$B$2:$B$1000,Lookup!$C$2:$C$1000),"")</f>
        <v>Debt - Short Term</v>
      </c>
      <c r="D4989" s="8" t="str">
        <f>IFERROR(INDEX('nav master'!$C:$C, MATCH(B4989, 'nav master'!$B:$B, 0)), "")</f>
        <v>ULIF 013 04/01/07 WLF 110</v>
      </c>
      <c r="E4989" s="8">
        <v>36.226900000000001</v>
      </c>
      <c r="F4989" s="9">
        <v>46015</v>
      </c>
    </row>
    <row r="4990" spans="1:6" ht="105" x14ac:dyDescent="0.25">
      <c r="A4990" s="8" t="s">
        <v>63</v>
      </c>
      <c r="B4990" s="11" t="s">
        <v>80</v>
      </c>
      <c r="C4990" s="8" t="str">
        <f>IFERROR(_xlfn.XLOOKUP(TRIM(B4990),Lookup!$B$2:$B$1000,Lookup!$C$2:$C$1000),"")</f>
        <v>Debt - Short Term</v>
      </c>
      <c r="D4990" s="8" t="str">
        <f>IFERROR(INDEX('nav master'!$C:$C, MATCH(B4990, 'nav master'!$B:$B, 0)), "")</f>
        <v>ULIF 013 04/01/07 WLF 110</v>
      </c>
      <c r="E4990" s="8">
        <v>36.228900000000003</v>
      </c>
      <c r="F4990" s="9">
        <v>46017</v>
      </c>
    </row>
    <row r="4991" spans="1:6" ht="105" x14ac:dyDescent="0.25">
      <c r="A4991" s="8" t="s">
        <v>63</v>
      </c>
      <c r="B4991" s="11" t="s">
        <v>80</v>
      </c>
      <c r="C4991" s="8" t="str">
        <f>IFERROR(_xlfn.XLOOKUP(TRIM(B4991),Lookup!$B$2:$B$1000,Lookup!$C$2:$C$1000),"")</f>
        <v>Debt - Short Term</v>
      </c>
      <c r="D4991" s="8" t="str">
        <f>IFERROR(INDEX('nav master'!$C:$C, MATCH(B4991, 'nav master'!$B:$B, 0)), "")</f>
        <v>ULIF 013 04/01/07 WLF 110</v>
      </c>
      <c r="E4991" s="8">
        <v>36.249600000000001</v>
      </c>
      <c r="F4991" s="9">
        <v>46020</v>
      </c>
    </row>
    <row r="4992" spans="1:6" ht="105" x14ac:dyDescent="0.25">
      <c r="A4992" s="8" t="s">
        <v>63</v>
      </c>
      <c r="B4992" s="11" t="s">
        <v>80</v>
      </c>
      <c r="C4992" s="8" t="str">
        <f>IFERROR(_xlfn.XLOOKUP(TRIM(B4992),Lookup!$B$2:$B$1000,Lookup!$C$2:$C$1000),"")</f>
        <v>Debt - Short Term</v>
      </c>
      <c r="D4992" s="8" t="str">
        <f>IFERROR(INDEX('nav master'!$C:$C, MATCH(B4992, 'nav master'!$B:$B, 0)), "")</f>
        <v>ULIF 013 04/01/07 WLF 110</v>
      </c>
      <c r="E4992" s="8">
        <v>36.2423</v>
      </c>
      <c r="F4992" s="9">
        <v>46021</v>
      </c>
    </row>
    <row r="4993" spans="1:6" ht="105" x14ac:dyDescent="0.25">
      <c r="A4993" s="8" t="s">
        <v>63</v>
      </c>
      <c r="B4993" s="11" t="s">
        <v>80</v>
      </c>
      <c r="C4993" s="8" t="str">
        <f>IFERROR(_xlfn.XLOOKUP(TRIM(B4993),Lookup!$B$2:$B$1000,Lookup!$C$2:$C$1000),"")</f>
        <v>Debt - Short Term</v>
      </c>
      <c r="D4993" s="8" t="str">
        <f>IFERROR(INDEX('nav master'!$C:$C, MATCH(B4993, 'nav master'!$B:$B, 0)), "")</f>
        <v>ULIF 013 04/01/07 WLF 110</v>
      </c>
      <c r="E4993" s="8">
        <v>36.256999999999998</v>
      </c>
      <c r="F4993" s="9">
        <v>46022</v>
      </c>
    </row>
    <row r="4994" spans="1:6" ht="105" x14ac:dyDescent="0.25">
      <c r="A4994" s="8" t="s">
        <v>63</v>
      </c>
      <c r="B4994" s="11" t="s">
        <v>80</v>
      </c>
      <c r="C4994" s="8" t="str">
        <f>IFERROR(_xlfn.XLOOKUP(TRIM(B4994),Lookup!$B$2:$B$1000,Lookup!$C$2:$C$1000),"")</f>
        <v>Debt - Short Term</v>
      </c>
      <c r="D4994" s="8" t="str">
        <f>IFERROR(INDEX('nav master'!$C:$C, MATCH(B4994, 'nav master'!$B:$B, 0)), "")</f>
        <v>ULIF 013 04/01/07 WLF 110</v>
      </c>
      <c r="E4994" s="8">
        <v>36.251800000000003</v>
      </c>
      <c r="F4994" s="9">
        <v>46023</v>
      </c>
    </row>
    <row r="4995" spans="1:6" ht="105" x14ac:dyDescent="0.25">
      <c r="A4995" s="8" t="s">
        <v>63</v>
      </c>
      <c r="B4995" s="11" t="s">
        <v>80</v>
      </c>
      <c r="C4995" s="8" t="str">
        <f>IFERROR(_xlfn.XLOOKUP(TRIM(B4995),Lookup!$B$2:$B$1000,Lookup!$C$2:$C$1000),"")</f>
        <v>Debt - Short Term</v>
      </c>
      <c r="D4995" s="8" t="str">
        <f>IFERROR(INDEX('nav master'!$C:$C, MATCH(B4995, 'nav master'!$B:$B, 0)), "")</f>
        <v>ULIF 013 04/01/07 WLF 110</v>
      </c>
      <c r="E4995" s="8">
        <v>36.256300000000003</v>
      </c>
      <c r="F4995" s="9">
        <v>46024</v>
      </c>
    </row>
    <row r="4996" spans="1:6" ht="105" x14ac:dyDescent="0.25">
      <c r="A4996" s="8" t="s">
        <v>63</v>
      </c>
      <c r="B4996" s="11" t="s">
        <v>80</v>
      </c>
      <c r="C4996" s="8" t="str">
        <f>IFERROR(_xlfn.XLOOKUP(TRIM(B4996),Lookup!$B$2:$B$1000,Lookup!$C$2:$C$1000),"")</f>
        <v>Debt - Short Term</v>
      </c>
      <c r="D4996" s="8" t="str">
        <f>IFERROR(INDEX('nav master'!$C:$C, MATCH(B4996, 'nav master'!$B:$B, 0)), "")</f>
        <v>ULIF 013 04/01/07 WLF 110</v>
      </c>
      <c r="E4996" s="8">
        <v>36.250700000000002</v>
      </c>
      <c r="F4996" s="9">
        <v>46027</v>
      </c>
    </row>
    <row r="4997" spans="1:6" ht="105" x14ac:dyDescent="0.25">
      <c r="A4997" s="8" t="s">
        <v>63</v>
      </c>
      <c r="B4997" s="11" t="s">
        <v>80</v>
      </c>
      <c r="C4997" s="8" t="str">
        <f>IFERROR(_xlfn.XLOOKUP(TRIM(B4997),Lookup!$B$2:$B$1000,Lookup!$C$2:$C$1000),"")</f>
        <v>Debt - Short Term</v>
      </c>
      <c r="D4997" s="8" t="str">
        <f>IFERROR(INDEX('nav master'!$C:$C, MATCH(B4997, 'nav master'!$B:$B, 0)), "")</f>
        <v>ULIF 013 04/01/07 WLF 110</v>
      </c>
      <c r="E4997" s="8">
        <v>36.258000000000003</v>
      </c>
      <c r="F4997" s="9">
        <v>46028</v>
      </c>
    </row>
    <row r="4998" spans="1:6" ht="105" x14ac:dyDescent="0.25">
      <c r="A4998" s="8" t="s">
        <v>63</v>
      </c>
      <c r="B4998" s="11" t="s">
        <v>80</v>
      </c>
      <c r="C4998" s="8" t="str">
        <f>IFERROR(_xlfn.XLOOKUP(TRIM(B4998),Lookup!$B$2:$B$1000,Lookup!$C$2:$C$1000),"")</f>
        <v>Debt - Short Term</v>
      </c>
      <c r="D4998" s="8" t="str">
        <f>IFERROR(INDEX('nav master'!$C:$C, MATCH(B4998, 'nav master'!$B:$B, 0)), "")</f>
        <v>ULIF 013 04/01/07 WLF 110</v>
      </c>
      <c r="E4998" s="8">
        <v>36.253</v>
      </c>
      <c r="F4998" s="9">
        <v>46029</v>
      </c>
    </row>
    <row r="4999" spans="1:6" ht="105" x14ac:dyDescent="0.25">
      <c r="A4999" s="8" t="s">
        <v>63</v>
      </c>
      <c r="B4999" s="11" t="s">
        <v>80</v>
      </c>
      <c r="C4999" s="8" t="str">
        <f>IFERROR(_xlfn.XLOOKUP(TRIM(B4999),Lookup!$B$2:$B$1000,Lookup!$C$2:$C$1000),"")</f>
        <v>Debt - Short Term</v>
      </c>
      <c r="D4999" s="8" t="str">
        <f>IFERROR(INDEX('nav master'!$C:$C, MATCH(B4999, 'nav master'!$B:$B, 0)), "")</f>
        <v>ULIF 013 04/01/07 WLF 110</v>
      </c>
      <c r="E4999" s="8">
        <v>36.258099999999999</v>
      </c>
      <c r="F4999" s="9">
        <v>46030</v>
      </c>
    </row>
    <row r="5000" spans="1:6" ht="105" x14ac:dyDescent="0.25">
      <c r="A5000" s="8" t="s">
        <v>63</v>
      </c>
      <c r="B5000" s="11" t="s">
        <v>80</v>
      </c>
      <c r="C5000" s="8" t="str">
        <f>IFERROR(_xlfn.XLOOKUP(TRIM(B5000),Lookup!$B$2:$B$1000,Lookup!$C$2:$C$1000),"")</f>
        <v>Debt - Short Term</v>
      </c>
      <c r="D5000" s="8" t="str">
        <f>IFERROR(INDEX('nav master'!$C:$C, MATCH(B5000, 'nav master'!$B:$B, 0)), "")</f>
        <v>ULIF 013 04/01/07 WLF 110</v>
      </c>
      <c r="E5000" s="8">
        <v>36.271599999999999</v>
      </c>
      <c r="F5000" s="9">
        <v>46031</v>
      </c>
    </row>
    <row r="5001" spans="1:6" ht="105" x14ac:dyDescent="0.25">
      <c r="A5001" s="8" t="s">
        <v>63</v>
      </c>
      <c r="B5001" s="11" t="s">
        <v>80</v>
      </c>
      <c r="C5001" s="8" t="str">
        <f>IFERROR(_xlfn.XLOOKUP(TRIM(B5001),Lookup!$B$2:$B$1000,Lookup!$C$2:$C$1000),"")</f>
        <v>Debt - Short Term</v>
      </c>
      <c r="D5001" s="8" t="str">
        <f>IFERROR(INDEX('nav master'!$C:$C, MATCH(B5001, 'nav master'!$B:$B, 0)), "")</f>
        <v>ULIF 013 04/01/07 WLF 110</v>
      </c>
      <c r="E5001" s="8">
        <v>36.288600000000002</v>
      </c>
      <c r="F5001" s="9">
        <v>46034</v>
      </c>
    </row>
    <row r="5002" spans="1:6" ht="105" x14ac:dyDescent="0.25">
      <c r="A5002" s="8" t="s">
        <v>63</v>
      </c>
      <c r="B5002" s="11" t="s">
        <v>80</v>
      </c>
      <c r="C5002" s="8" t="str">
        <f>IFERROR(_xlfn.XLOOKUP(TRIM(B5002),Lookup!$B$2:$B$1000,Lookup!$C$2:$C$1000),"")</f>
        <v>Debt - Short Term</v>
      </c>
      <c r="D5002" s="8" t="str">
        <f>IFERROR(INDEX('nav master'!$C:$C, MATCH(B5002, 'nav master'!$B:$B, 0)), "")</f>
        <v>ULIF 013 04/01/07 WLF 110</v>
      </c>
      <c r="E5002" s="8">
        <v>36.2727</v>
      </c>
      <c r="F5002" s="9">
        <v>46035</v>
      </c>
    </row>
    <row r="5003" spans="1:6" ht="105" x14ac:dyDescent="0.25">
      <c r="A5003" s="8" t="s">
        <v>63</v>
      </c>
      <c r="B5003" s="11" t="s">
        <v>80</v>
      </c>
      <c r="C5003" s="8" t="str">
        <f>IFERROR(_xlfn.XLOOKUP(TRIM(B5003),Lookup!$B$2:$B$1000,Lookup!$C$2:$C$1000),"")</f>
        <v>Debt - Short Term</v>
      </c>
      <c r="D5003" s="8" t="str">
        <f>IFERROR(INDEX('nav master'!$C:$C, MATCH(B5003, 'nav master'!$B:$B, 0)), "")</f>
        <v>ULIF 013 04/01/07 WLF 110</v>
      </c>
      <c r="E5003" s="8">
        <v>36.253</v>
      </c>
      <c r="F5003" s="9">
        <v>46036</v>
      </c>
    </row>
    <row r="5004" spans="1:6" ht="105" x14ac:dyDescent="0.25">
      <c r="A5004" s="8" t="s">
        <v>63</v>
      </c>
      <c r="B5004" s="11" t="s">
        <v>80</v>
      </c>
      <c r="C5004" s="8" t="str">
        <f>IFERROR(_xlfn.XLOOKUP(TRIM(B5004),Lookup!$B$2:$B$1000,Lookup!$C$2:$C$1000),"")</f>
        <v>Debt - Short Term</v>
      </c>
      <c r="D5004" s="8" t="str">
        <f>IFERROR(INDEX('nav master'!$C:$C, MATCH(B5004, 'nav master'!$B:$B, 0)), "")</f>
        <v>ULIF 013 04/01/07 WLF 110</v>
      </c>
      <c r="E5004" s="8">
        <v>36.249699999999997</v>
      </c>
      <c r="F5004" s="9">
        <v>46038</v>
      </c>
    </row>
    <row r="5005" spans="1:6" ht="105" x14ac:dyDescent="0.25">
      <c r="A5005" s="8" t="s">
        <v>63</v>
      </c>
      <c r="B5005" s="11" t="s">
        <v>80</v>
      </c>
      <c r="C5005" s="8" t="str">
        <f>IFERROR(_xlfn.XLOOKUP(TRIM(B5005),Lookup!$B$2:$B$1000,Lookup!$C$2:$C$1000),"")</f>
        <v>Debt - Short Term</v>
      </c>
      <c r="D5005" s="8" t="str">
        <f>IFERROR(INDEX('nav master'!$C:$C, MATCH(B5005, 'nav master'!$B:$B, 0)), "")</f>
        <v>ULIF 013 04/01/07 WLF 110</v>
      </c>
      <c r="E5005" s="8">
        <v>36.245100000000001</v>
      </c>
      <c r="F5005" s="9">
        <v>46041</v>
      </c>
    </row>
    <row r="5006" spans="1:6" ht="105" x14ac:dyDescent="0.25">
      <c r="A5006" s="8" t="s">
        <v>63</v>
      </c>
      <c r="B5006" s="11" t="s">
        <v>80</v>
      </c>
      <c r="C5006" s="8" t="str">
        <f>IFERROR(_xlfn.XLOOKUP(TRIM(B5006),Lookup!$B$2:$B$1000,Lookup!$C$2:$C$1000),"")</f>
        <v>Debt - Short Term</v>
      </c>
      <c r="D5006" s="8" t="str">
        <f>IFERROR(INDEX('nav master'!$C:$C, MATCH(B5006, 'nav master'!$B:$B, 0)), "")</f>
        <v>ULIF 013 04/01/07 WLF 110</v>
      </c>
      <c r="E5006" s="8">
        <v>36.238300000000002</v>
      </c>
      <c r="F5006" s="9">
        <v>46042</v>
      </c>
    </row>
    <row r="5007" spans="1:6" ht="105" x14ac:dyDescent="0.25">
      <c r="A5007" s="8" t="s">
        <v>63</v>
      </c>
      <c r="B5007" s="11" t="s">
        <v>80</v>
      </c>
      <c r="C5007" s="8" t="str">
        <f>IFERROR(_xlfn.XLOOKUP(TRIM(B5007),Lookup!$B$2:$B$1000,Lookup!$C$2:$C$1000),"")</f>
        <v>Debt - Short Term</v>
      </c>
      <c r="D5007" s="8" t="str">
        <f>IFERROR(INDEX('nav master'!$C:$C, MATCH(B5007, 'nav master'!$B:$B, 0)), "")</f>
        <v>ULIF 013 04/01/07 WLF 110</v>
      </c>
      <c r="E5007" s="8">
        <v>36.229799999999997</v>
      </c>
      <c r="F5007" s="9">
        <v>46043</v>
      </c>
    </row>
    <row r="5008" spans="1:6" ht="105" x14ac:dyDescent="0.25">
      <c r="A5008" s="8" t="s">
        <v>63</v>
      </c>
      <c r="B5008" s="11" t="s">
        <v>80</v>
      </c>
      <c r="C5008" s="8" t="str">
        <f>IFERROR(_xlfn.XLOOKUP(TRIM(B5008),Lookup!$B$2:$B$1000,Lookup!$C$2:$C$1000),"")</f>
        <v>Debt - Short Term</v>
      </c>
      <c r="D5008" s="8" t="str">
        <f>IFERROR(INDEX('nav master'!$C:$C, MATCH(B5008, 'nav master'!$B:$B, 0)), "")</f>
        <v>ULIF 013 04/01/07 WLF 110</v>
      </c>
      <c r="E5008" s="8">
        <v>36.246899999999997</v>
      </c>
      <c r="F5008" s="9">
        <v>46044</v>
      </c>
    </row>
    <row r="5009" spans="1:6" ht="105" x14ac:dyDescent="0.25">
      <c r="A5009" s="8" t="s">
        <v>63</v>
      </c>
      <c r="B5009" s="11" t="s">
        <v>80</v>
      </c>
      <c r="C5009" s="8" t="str">
        <f>IFERROR(_xlfn.XLOOKUP(TRIM(B5009),Lookup!$B$2:$B$1000,Lookup!$C$2:$C$1000),"")</f>
        <v>Debt - Short Term</v>
      </c>
      <c r="D5009" s="8" t="str">
        <f>IFERROR(INDEX('nav master'!$C:$C, MATCH(B5009, 'nav master'!$B:$B, 0)), "")</f>
        <v>ULIF 013 04/01/07 WLF 110</v>
      </c>
      <c r="E5009" s="8">
        <v>36.244599999999998</v>
      </c>
      <c r="F5009" s="9">
        <v>46045</v>
      </c>
    </row>
    <row r="5010" spans="1:6" ht="105" x14ac:dyDescent="0.25">
      <c r="A5010" s="8" t="s">
        <v>63</v>
      </c>
      <c r="B5010" s="11" t="s">
        <v>80</v>
      </c>
      <c r="C5010" s="8" t="str">
        <f>IFERROR(_xlfn.XLOOKUP(TRIM(B5010),Lookup!$B$2:$B$1000,Lookup!$C$2:$C$1000),"")</f>
        <v>Debt - Short Term</v>
      </c>
      <c r="D5010" s="8" t="str">
        <f>IFERROR(INDEX('nav master'!$C:$C, MATCH(B5010, 'nav master'!$B:$B, 0)), "")</f>
        <v>ULIF 013 04/01/07 WLF 110</v>
      </c>
      <c r="E5010" s="8">
        <v>36.264299999999999</v>
      </c>
      <c r="F5010" s="9">
        <v>46049</v>
      </c>
    </row>
    <row r="5011" spans="1:6" ht="105" x14ac:dyDescent="0.25">
      <c r="A5011" s="8" t="s">
        <v>63</v>
      </c>
      <c r="B5011" s="11" t="s">
        <v>80</v>
      </c>
      <c r="C5011" s="8" t="str">
        <f>IFERROR(_xlfn.XLOOKUP(TRIM(B5011),Lookup!$B$2:$B$1000,Lookup!$C$2:$C$1000),"")</f>
        <v>Debt - Short Term</v>
      </c>
      <c r="D5011" s="8" t="str">
        <f>IFERROR(INDEX('nav master'!$C:$C, MATCH(B5011, 'nav master'!$B:$B, 0)), "")</f>
        <v>ULIF 013 04/01/07 WLF 110</v>
      </c>
      <c r="E5011" s="8">
        <v>36.257100000000001</v>
      </c>
      <c r="F5011" s="9">
        <v>46050</v>
      </c>
    </row>
    <row r="5012" spans="1:6" ht="105" x14ac:dyDescent="0.25">
      <c r="A5012" s="8" t="s">
        <v>63</v>
      </c>
      <c r="B5012" s="11" t="s">
        <v>80</v>
      </c>
      <c r="C5012" s="8" t="str">
        <f>IFERROR(_xlfn.XLOOKUP(TRIM(B5012),Lookup!$B$2:$B$1000,Lookup!$C$2:$C$1000),"")</f>
        <v>Debt - Short Term</v>
      </c>
      <c r="D5012" s="8" t="str">
        <f>IFERROR(INDEX('nav master'!$C:$C, MATCH(B5012, 'nav master'!$B:$B, 0)), "")</f>
        <v>ULIF 013 04/01/07 WLF 110</v>
      </c>
      <c r="E5012" s="8">
        <v>36.2607</v>
      </c>
      <c r="F5012" s="9">
        <v>46051</v>
      </c>
    </row>
    <row r="5013" spans="1:6" ht="105" x14ac:dyDescent="0.25">
      <c r="A5013" s="8" t="s">
        <v>63</v>
      </c>
      <c r="B5013" s="11" t="s">
        <v>80</v>
      </c>
      <c r="C5013" s="8" t="str">
        <f>IFERROR(_xlfn.XLOOKUP(TRIM(B5013),Lookup!$B$2:$B$1000,Lookup!$C$2:$C$1000),"")</f>
        <v>Debt - Short Term</v>
      </c>
      <c r="D5013" s="8" t="str">
        <f>IFERROR(INDEX('nav master'!$C:$C, MATCH(B5013, 'nav master'!$B:$B, 0)), "")</f>
        <v>ULIF 013 04/01/07 WLF 110</v>
      </c>
      <c r="E5013" s="8">
        <v>36.290500000000002</v>
      </c>
      <c r="F5013" s="9">
        <v>46052</v>
      </c>
    </row>
    <row r="5014" spans="1:6" ht="105" x14ac:dyDescent="0.25">
      <c r="A5014" s="8" t="s">
        <v>63</v>
      </c>
      <c r="B5014" s="11" t="s">
        <v>80</v>
      </c>
      <c r="C5014" s="8" t="str">
        <f>IFERROR(_xlfn.XLOOKUP(TRIM(B5014),Lookup!$B$2:$B$1000,Lookup!$C$2:$C$1000),"")</f>
        <v>Debt - Short Term</v>
      </c>
      <c r="D5014" s="8" t="str">
        <f>IFERROR(INDEX('nav master'!$C:$C, MATCH(B5014, 'nav master'!$B:$B, 0)), "")</f>
        <v>ULIF 013 04/01/07 WLF 110</v>
      </c>
      <c r="E5014" s="8">
        <v>36.301699999999997</v>
      </c>
      <c r="F5014" s="9">
        <v>46054</v>
      </c>
    </row>
    <row r="5015" spans="1:6" ht="105" x14ac:dyDescent="0.25">
      <c r="A5015" s="8" t="s">
        <v>63</v>
      </c>
      <c r="B5015" s="11" t="s">
        <v>80</v>
      </c>
      <c r="C5015" s="8" t="str">
        <f>IFERROR(_xlfn.XLOOKUP(TRIM(B5015),Lookup!$B$2:$B$1000,Lookup!$C$2:$C$1000),"")</f>
        <v>Debt - Short Term</v>
      </c>
      <c r="D5015" s="8" t="str">
        <f>IFERROR(INDEX('nav master'!$C:$C, MATCH(B5015, 'nav master'!$B:$B, 0)), "")</f>
        <v>ULIF 013 04/01/07 WLF 110</v>
      </c>
      <c r="E5015" s="8">
        <v>36.289200000000001</v>
      </c>
      <c r="F5015" s="9">
        <v>46055</v>
      </c>
    </row>
    <row r="5016" spans="1:6" ht="105" x14ac:dyDescent="0.25">
      <c r="A5016" s="8" t="s">
        <v>63</v>
      </c>
      <c r="B5016" s="11" t="s">
        <v>80</v>
      </c>
      <c r="C5016" s="8" t="str">
        <f>IFERROR(_xlfn.XLOOKUP(TRIM(B5016),Lookup!$B$2:$B$1000,Lookup!$C$2:$C$1000),"")</f>
        <v>Debt - Short Term</v>
      </c>
      <c r="D5016" s="8" t="str">
        <f>IFERROR(INDEX('nav master'!$C:$C, MATCH(B5016, 'nav master'!$B:$B, 0)), "")</f>
        <v>ULIF 013 04/01/07 WLF 110</v>
      </c>
      <c r="E5016" s="8">
        <v>36.322099999999999</v>
      </c>
      <c r="F5016" s="9">
        <v>46056</v>
      </c>
    </row>
    <row r="5017" spans="1:6" ht="105" x14ac:dyDescent="0.25">
      <c r="A5017" s="8" t="s">
        <v>63</v>
      </c>
      <c r="B5017" s="11" t="s">
        <v>80</v>
      </c>
      <c r="C5017" s="8" t="str">
        <f>IFERROR(_xlfn.XLOOKUP(TRIM(B5017),Lookup!$B$2:$B$1000,Lookup!$C$2:$C$1000),"")</f>
        <v>Debt - Short Term</v>
      </c>
      <c r="D5017" s="8" t="str">
        <f>IFERROR(INDEX('nav master'!$C:$C, MATCH(B5017, 'nav master'!$B:$B, 0)), "")</f>
        <v>ULIF 013 04/01/07 WLF 110</v>
      </c>
      <c r="E5017" s="8">
        <v>36.364899999999999</v>
      </c>
      <c r="F5017" s="9">
        <v>46057</v>
      </c>
    </row>
    <row r="5018" spans="1:6" ht="105" x14ac:dyDescent="0.25">
      <c r="A5018" s="8" t="s">
        <v>63</v>
      </c>
      <c r="B5018" s="11" t="s">
        <v>80</v>
      </c>
      <c r="C5018" s="8" t="str">
        <f>IFERROR(_xlfn.XLOOKUP(TRIM(B5018),Lookup!$B$2:$B$1000,Lookup!$C$2:$C$1000),"")</f>
        <v>Debt - Short Term</v>
      </c>
      <c r="D5018" s="8" t="str">
        <f>IFERROR(INDEX('nav master'!$C:$C, MATCH(B5018, 'nav master'!$B:$B, 0)), "")</f>
        <v>ULIF 013 04/01/07 WLF 110</v>
      </c>
      <c r="E5018" s="8">
        <v>36.392000000000003</v>
      </c>
      <c r="F5018" s="9">
        <v>46058</v>
      </c>
    </row>
    <row r="5019" spans="1:6" ht="105" x14ac:dyDescent="0.25">
      <c r="A5019" s="8" t="s">
        <v>63</v>
      </c>
      <c r="B5019" s="11" t="s">
        <v>80</v>
      </c>
      <c r="C5019" s="8" t="str">
        <f>IFERROR(_xlfn.XLOOKUP(TRIM(B5019),Lookup!$B$2:$B$1000,Lookup!$C$2:$C$1000),"")</f>
        <v>Debt - Short Term</v>
      </c>
      <c r="D5019" s="8" t="str">
        <f>IFERROR(INDEX('nav master'!$C:$C, MATCH(B5019, 'nav master'!$B:$B, 0)), "")</f>
        <v>ULIF 013 04/01/07 WLF 110</v>
      </c>
      <c r="E5019" s="8">
        <v>36.367600000000003</v>
      </c>
      <c r="F5019" s="9">
        <v>46059</v>
      </c>
    </row>
    <row r="5020" spans="1:6" ht="105" x14ac:dyDescent="0.25">
      <c r="A5020" s="8" t="s">
        <v>63</v>
      </c>
      <c r="B5020" s="11" t="s">
        <v>80</v>
      </c>
      <c r="C5020" s="8" t="str">
        <f>IFERROR(_xlfn.XLOOKUP(TRIM(B5020),Lookup!$B$2:$B$1000,Lookup!$C$2:$C$1000),"")</f>
        <v>Debt - Short Term</v>
      </c>
      <c r="D5020" s="8" t="str">
        <f>IFERROR(INDEX('nav master'!$C:$C, MATCH(B5020, 'nav master'!$B:$B, 0)), "")</f>
        <v>ULIF 013 04/01/07 WLF 110</v>
      </c>
      <c r="E5020" s="8">
        <v>36.3872</v>
      </c>
      <c r="F5020" s="9">
        <v>46062</v>
      </c>
    </row>
    <row r="5021" spans="1:6" ht="105" x14ac:dyDescent="0.25">
      <c r="A5021" s="8" t="s">
        <v>63</v>
      </c>
      <c r="B5021" s="11" t="s">
        <v>80</v>
      </c>
      <c r="C5021" s="8" t="str">
        <f>IFERROR(_xlfn.XLOOKUP(TRIM(B5021),Lookup!$B$2:$B$1000,Lookup!$C$2:$C$1000),"")</f>
        <v>Debt - Short Term</v>
      </c>
      <c r="D5021" s="8" t="str">
        <f>IFERROR(INDEX('nav master'!$C:$C, MATCH(B5021, 'nav master'!$B:$B, 0)), "")</f>
        <v>ULIF 013 04/01/07 WLF 110</v>
      </c>
      <c r="E5021" s="8">
        <v>36.4024</v>
      </c>
      <c r="F5021" s="9">
        <v>46063</v>
      </c>
    </row>
    <row r="5022" spans="1:6" ht="105" x14ac:dyDescent="0.25">
      <c r="A5022" s="8" t="s">
        <v>63</v>
      </c>
      <c r="B5022" s="11" t="s">
        <v>80</v>
      </c>
      <c r="C5022" s="8" t="str">
        <f>IFERROR(_xlfn.XLOOKUP(TRIM(B5022),Lookup!$B$2:$B$1000,Lookup!$C$2:$C$1000),"")</f>
        <v>Debt - Short Term</v>
      </c>
      <c r="D5022" s="8" t="str">
        <f>IFERROR(INDEX('nav master'!$C:$C, MATCH(B5022, 'nav master'!$B:$B, 0)), "")</f>
        <v>ULIF 013 04/01/07 WLF 110</v>
      </c>
      <c r="E5022" s="8">
        <v>36.417099999999998</v>
      </c>
      <c r="F5022" s="9">
        <v>46064</v>
      </c>
    </row>
    <row r="5023" spans="1:6" ht="105" x14ac:dyDescent="0.25">
      <c r="A5023" s="8" t="s">
        <v>63</v>
      </c>
      <c r="B5023" s="11" t="s">
        <v>80</v>
      </c>
      <c r="C5023" s="8" t="str">
        <f>IFERROR(_xlfn.XLOOKUP(TRIM(B5023),Lookup!$B$2:$B$1000,Lookup!$C$2:$C$1000),"")</f>
        <v>Debt - Short Term</v>
      </c>
      <c r="D5023" s="8" t="str">
        <f>IFERROR(INDEX('nav master'!$C:$C, MATCH(B5023, 'nav master'!$B:$B, 0)), "")</f>
        <v>ULIF 013 04/01/07 WLF 110</v>
      </c>
      <c r="E5023" s="8">
        <v>36.442500000000003</v>
      </c>
      <c r="F5023" s="9">
        <v>46065</v>
      </c>
    </row>
    <row r="5024" spans="1:6" ht="105" x14ac:dyDescent="0.25">
      <c r="A5024" s="8" t="s">
        <v>63</v>
      </c>
      <c r="B5024" s="11" t="s">
        <v>80</v>
      </c>
      <c r="C5024" s="8" t="str">
        <f>IFERROR(_xlfn.XLOOKUP(TRIM(B5024),Lookup!$B$2:$B$1000,Lookup!$C$2:$C$1000),"")</f>
        <v>Debt - Short Term</v>
      </c>
      <c r="D5024" s="8" t="str">
        <f>IFERROR(INDEX('nav master'!$C:$C, MATCH(B5024, 'nav master'!$B:$B, 0)), "")</f>
        <v>ULIF 013 04/01/07 WLF 110</v>
      </c>
      <c r="E5024" s="8">
        <v>36.470300000000002</v>
      </c>
      <c r="F5024" s="9">
        <v>46066</v>
      </c>
    </row>
    <row r="5025" spans="1:6" ht="105" x14ac:dyDescent="0.25">
      <c r="A5025" s="8" t="s">
        <v>63</v>
      </c>
      <c r="B5025" s="11" t="s">
        <v>80</v>
      </c>
      <c r="C5025" s="8" t="str">
        <f>IFERROR(_xlfn.XLOOKUP(TRIM(B5025),Lookup!$B$2:$B$1000,Lookup!$C$2:$C$1000),"")</f>
        <v>Debt - Short Term</v>
      </c>
      <c r="D5025" s="8" t="str">
        <f>IFERROR(INDEX('nav master'!$C:$C, MATCH(B5025, 'nav master'!$B:$B, 0)), "")</f>
        <v>ULIF 013 04/01/07 WLF 110</v>
      </c>
      <c r="E5025" s="8">
        <v>36.487200000000001</v>
      </c>
      <c r="F5025" s="9">
        <v>46069</v>
      </c>
    </row>
    <row r="5026" spans="1:6" ht="105" x14ac:dyDescent="0.25">
      <c r="A5026" s="8" t="s">
        <v>63</v>
      </c>
      <c r="B5026" s="11" t="s">
        <v>80</v>
      </c>
      <c r="C5026" s="8" t="str">
        <f>IFERROR(_xlfn.XLOOKUP(TRIM(B5026),Lookup!$B$2:$B$1000,Lookup!$C$2:$C$1000),"")</f>
        <v>Debt - Short Term</v>
      </c>
      <c r="D5026" s="8" t="str">
        <f>IFERROR(INDEX('nav master'!$C:$C, MATCH(B5026, 'nav master'!$B:$B, 0)), "")</f>
        <v>ULIF 013 04/01/07 WLF 110</v>
      </c>
      <c r="E5026" s="8">
        <v>36.495899999999999</v>
      </c>
      <c r="F5026" s="9">
        <v>46070</v>
      </c>
    </row>
    <row r="5027" spans="1:6" ht="105" x14ac:dyDescent="0.25">
      <c r="A5027" s="8" t="s">
        <v>63</v>
      </c>
      <c r="B5027" s="11" t="s">
        <v>80</v>
      </c>
      <c r="C5027" s="8" t="str">
        <f>IFERROR(_xlfn.XLOOKUP(TRIM(B5027),Lookup!$B$2:$B$1000,Lookup!$C$2:$C$1000),"")</f>
        <v>Debt - Short Term</v>
      </c>
      <c r="D5027" s="8" t="str">
        <f>IFERROR(INDEX('nav master'!$C:$C, MATCH(B5027, 'nav master'!$B:$B, 0)), "")</f>
        <v>ULIF 013 04/01/07 WLF 110</v>
      </c>
      <c r="E5027" s="8">
        <v>36.497599999999998</v>
      </c>
      <c r="F5027" s="9">
        <v>46071</v>
      </c>
    </row>
    <row r="5028" spans="1:6" ht="105" x14ac:dyDescent="0.25">
      <c r="A5028" s="8" t="s">
        <v>63</v>
      </c>
      <c r="B5028" s="11" t="s">
        <v>80</v>
      </c>
      <c r="C5028" s="8" t="str">
        <f>IFERROR(_xlfn.XLOOKUP(TRIM(B5028),Lookup!$B$2:$B$1000,Lookup!$C$2:$C$1000),"")</f>
        <v>Debt - Short Term</v>
      </c>
      <c r="D5028" s="8" t="str">
        <f>IFERROR(INDEX('nav master'!$C:$C, MATCH(B5028, 'nav master'!$B:$B, 0)), "")</f>
        <v>ULIF 013 04/01/07 WLF 110</v>
      </c>
      <c r="E5028" s="8">
        <v>36.503</v>
      </c>
      <c r="F5028" s="9">
        <v>46072</v>
      </c>
    </row>
    <row r="5029" spans="1:6" ht="105" x14ac:dyDescent="0.25">
      <c r="A5029" s="8" t="s">
        <v>63</v>
      </c>
      <c r="B5029" s="11" t="s">
        <v>80</v>
      </c>
      <c r="C5029" s="8" t="str">
        <f>IFERROR(_xlfn.XLOOKUP(TRIM(B5029),Lookup!$B$2:$B$1000,Lookup!$C$2:$C$1000),"")</f>
        <v>Debt - Short Term</v>
      </c>
      <c r="D5029" s="8" t="str">
        <f>IFERROR(INDEX('nav master'!$C:$C, MATCH(B5029, 'nav master'!$B:$B, 0)), "")</f>
        <v>ULIF 013 04/01/07 WLF 110</v>
      </c>
      <c r="E5029" s="8">
        <v>36.4938</v>
      </c>
      <c r="F5029" s="9">
        <v>46073</v>
      </c>
    </row>
    <row r="5030" spans="1:6" ht="105" x14ac:dyDescent="0.25">
      <c r="A5030" s="8" t="s">
        <v>63</v>
      </c>
      <c r="B5030" s="11" t="s">
        <v>80</v>
      </c>
      <c r="C5030" s="8" t="str">
        <f>IFERROR(_xlfn.XLOOKUP(TRIM(B5030),Lookup!$B$2:$B$1000,Lookup!$C$2:$C$1000),"")</f>
        <v>Debt - Short Term</v>
      </c>
      <c r="D5030" s="8" t="str">
        <f>IFERROR(INDEX('nav master'!$C:$C, MATCH(B5030, 'nav master'!$B:$B, 0)), "")</f>
        <v>ULIF 013 04/01/07 WLF 110</v>
      </c>
      <c r="E5030" s="8">
        <v>36.501100000000001</v>
      </c>
      <c r="F5030" s="9">
        <v>46076</v>
      </c>
    </row>
    <row r="5031" spans="1:6" ht="105" x14ac:dyDescent="0.25">
      <c r="A5031" s="8" t="s">
        <v>63</v>
      </c>
      <c r="B5031" s="11" t="s">
        <v>80</v>
      </c>
      <c r="C5031" s="8" t="str">
        <f>IFERROR(_xlfn.XLOOKUP(TRIM(B5031),Lookup!$B$2:$B$1000,Lookup!$C$2:$C$1000),"")</f>
        <v>Debt - Short Term</v>
      </c>
      <c r="D5031" s="8" t="str">
        <f>IFERROR(INDEX('nav master'!$C:$C, MATCH(B5031, 'nav master'!$B:$B, 0)), "")</f>
        <v>ULIF 013 04/01/07 WLF 110</v>
      </c>
      <c r="E5031" s="8">
        <v>36.5122</v>
      </c>
      <c r="F5031" s="9">
        <v>46077</v>
      </c>
    </row>
    <row r="5032" spans="1:6" ht="105" x14ac:dyDescent="0.25">
      <c r="A5032" s="8" t="s">
        <v>63</v>
      </c>
      <c r="B5032" s="11" t="s">
        <v>80</v>
      </c>
      <c r="C5032" s="8" t="str">
        <f>IFERROR(_xlfn.XLOOKUP(TRIM(B5032),Lookup!$B$2:$B$1000,Lookup!$C$2:$C$1000),"")</f>
        <v>Debt - Short Term</v>
      </c>
      <c r="D5032" s="8" t="str">
        <f>IFERROR(INDEX('nav master'!$C:$C, MATCH(B5032, 'nav master'!$B:$B, 0)), "")</f>
        <v>ULIF 013 04/01/07 WLF 110</v>
      </c>
      <c r="E5032" s="8">
        <v>36.519100000000002</v>
      </c>
      <c r="F5032" s="9">
        <v>46078</v>
      </c>
    </row>
    <row r="5033" spans="1:6" ht="105" x14ac:dyDescent="0.25">
      <c r="A5033" s="8" t="s">
        <v>63</v>
      </c>
      <c r="B5033" s="11" t="s">
        <v>80</v>
      </c>
      <c r="C5033" s="8" t="str">
        <f>IFERROR(_xlfn.XLOOKUP(TRIM(B5033),Lookup!$B$2:$B$1000,Lookup!$C$2:$C$1000),"")</f>
        <v>Debt - Short Term</v>
      </c>
      <c r="D5033" s="8" t="str">
        <f>IFERROR(INDEX('nav master'!$C:$C, MATCH(B5033, 'nav master'!$B:$B, 0)), "")</f>
        <v>ULIF 013 04/01/07 WLF 110</v>
      </c>
      <c r="E5033" s="8">
        <v>36.531500000000001</v>
      </c>
      <c r="F5033" s="9">
        <v>46079</v>
      </c>
    </row>
    <row r="5034" spans="1:6" ht="105" x14ac:dyDescent="0.25">
      <c r="A5034" s="8" t="s">
        <v>63</v>
      </c>
      <c r="B5034" s="11" t="s">
        <v>80</v>
      </c>
      <c r="C5034" s="8" t="str">
        <f>IFERROR(_xlfn.XLOOKUP(TRIM(B5034),Lookup!$B$2:$B$1000,Lookup!$C$2:$C$1000),"")</f>
        <v>Debt - Short Term</v>
      </c>
      <c r="D5034" s="8" t="str">
        <f>IFERROR(INDEX('nav master'!$C:$C, MATCH(B5034, 'nav master'!$B:$B, 0)), "")</f>
        <v>ULIF 013 04/01/07 WLF 110</v>
      </c>
      <c r="E5034" s="8">
        <v>36.5396</v>
      </c>
      <c r="F5034" s="9">
        <v>46080</v>
      </c>
    </row>
    <row r="5035" spans="1:6" ht="105" x14ac:dyDescent="0.25">
      <c r="A5035" s="8" t="s">
        <v>63</v>
      </c>
      <c r="B5035" s="11" t="s">
        <v>80</v>
      </c>
      <c r="C5035" s="8" t="str">
        <f>IFERROR(_xlfn.XLOOKUP(TRIM(B5035),Lookup!$B$2:$B$1000,Lookup!$C$2:$C$1000),"")</f>
        <v>Debt - Short Term</v>
      </c>
      <c r="D5035" s="8" t="str">
        <f>IFERROR(INDEX('nav master'!$C:$C, MATCH(B5035, 'nav master'!$B:$B, 0)), "")</f>
        <v>ULIF 013 04/01/07 WLF 110</v>
      </c>
      <c r="E5035" s="8">
        <v>36.56</v>
      </c>
      <c r="F5035" s="9">
        <v>46083</v>
      </c>
    </row>
    <row r="5036" spans="1:6" ht="105" x14ac:dyDescent="0.25">
      <c r="A5036" s="8" t="s">
        <v>63</v>
      </c>
      <c r="B5036" s="11" t="s">
        <v>80</v>
      </c>
      <c r="C5036" s="8" t="str">
        <f>IFERROR(_xlfn.XLOOKUP(TRIM(B5036),Lookup!$B$2:$B$1000,Lookup!$C$2:$C$1000),"")</f>
        <v>Debt - Short Term</v>
      </c>
      <c r="D5036" s="8" t="str">
        <f>IFERROR(INDEX('nav master'!$C:$C, MATCH(B5036, 'nav master'!$B:$B, 0)), "")</f>
        <v>ULIF 013 04/01/07 WLF 110</v>
      </c>
      <c r="E5036" s="8">
        <v>36.537799999999997</v>
      </c>
      <c r="F5036" s="9">
        <v>46085</v>
      </c>
    </row>
    <row r="5037" spans="1:6" ht="105" x14ac:dyDescent="0.25">
      <c r="A5037" s="8" t="s">
        <v>63</v>
      </c>
      <c r="B5037" s="11" t="s">
        <v>80</v>
      </c>
      <c r="C5037" s="8" t="str">
        <f>IFERROR(_xlfn.XLOOKUP(TRIM(B5037),Lookup!$B$2:$B$1000,Lookup!$C$2:$C$1000),"")</f>
        <v>Debt - Short Term</v>
      </c>
      <c r="D5037" s="8" t="str">
        <f>IFERROR(INDEX('nav master'!$C:$C, MATCH(B5037, 'nav master'!$B:$B, 0)), "")</f>
        <v>ULIF 013 04/01/07 WLF 110</v>
      </c>
      <c r="E5037" s="8">
        <v>36.551900000000003</v>
      </c>
      <c r="F5037" s="9">
        <v>46086</v>
      </c>
    </row>
    <row r="5038" spans="1:6" ht="105" x14ac:dyDescent="0.25">
      <c r="A5038" s="8" t="s">
        <v>63</v>
      </c>
      <c r="B5038" s="11" t="s">
        <v>80</v>
      </c>
      <c r="C5038" s="8" t="str">
        <f>IFERROR(_xlfn.XLOOKUP(TRIM(B5038),Lookup!$B$2:$B$1000,Lookup!$C$2:$C$1000),"")</f>
        <v>Debt - Short Term</v>
      </c>
      <c r="D5038" s="8" t="str">
        <f>IFERROR(INDEX('nav master'!$C:$C, MATCH(B5038, 'nav master'!$B:$B, 0)), "")</f>
        <v>ULIF 013 04/01/07 WLF 110</v>
      </c>
      <c r="E5038" s="8">
        <v>36.548900000000003</v>
      </c>
      <c r="F5038" s="9">
        <v>46087</v>
      </c>
    </row>
    <row r="5039" spans="1:6" ht="105" x14ac:dyDescent="0.25">
      <c r="A5039" s="8" t="s">
        <v>63</v>
      </c>
      <c r="B5039" s="11" t="s">
        <v>80</v>
      </c>
      <c r="C5039" s="8" t="str">
        <f>IFERROR(_xlfn.XLOOKUP(TRIM(B5039),Lookup!$B$2:$B$1000,Lookup!$C$2:$C$1000),"")</f>
        <v>Debt - Short Term</v>
      </c>
      <c r="D5039" s="8" t="str">
        <f>IFERROR(INDEX('nav master'!$C:$C, MATCH(B5039, 'nav master'!$B:$B, 0)), "")</f>
        <v>ULIF 013 04/01/07 WLF 110</v>
      </c>
      <c r="E5039" s="8">
        <v>36.537500000000001</v>
      </c>
      <c r="F5039" s="9">
        <v>46090</v>
      </c>
    </row>
    <row r="5040" spans="1:6" ht="105" x14ac:dyDescent="0.25">
      <c r="A5040" s="8" t="s">
        <v>63</v>
      </c>
      <c r="B5040" s="11" t="s">
        <v>80</v>
      </c>
      <c r="C5040" s="8" t="str">
        <f>IFERROR(_xlfn.XLOOKUP(TRIM(B5040),Lookup!$B$2:$B$1000,Lookup!$C$2:$C$1000),"")</f>
        <v>Debt - Short Term</v>
      </c>
      <c r="D5040" s="8" t="str">
        <f>IFERROR(INDEX('nav master'!$C:$C, MATCH(B5040, 'nav master'!$B:$B, 0)), "")</f>
        <v>ULIF 013 04/01/07 WLF 110</v>
      </c>
      <c r="E5040" s="8">
        <v>36.545000000000002</v>
      </c>
      <c r="F5040" s="9">
        <v>46091</v>
      </c>
    </row>
    <row r="5041" spans="1:6" ht="105" x14ac:dyDescent="0.25">
      <c r="A5041" s="8" t="s">
        <v>63</v>
      </c>
      <c r="B5041" s="11" t="s">
        <v>80</v>
      </c>
      <c r="C5041" s="8" t="str">
        <f>IFERROR(_xlfn.XLOOKUP(TRIM(B5041),Lookup!$B$2:$B$1000,Lookup!$C$2:$C$1000),"")</f>
        <v>Debt - Short Term</v>
      </c>
      <c r="D5041" s="8" t="str">
        <f>IFERROR(INDEX('nav master'!$C:$C, MATCH(B5041, 'nav master'!$B:$B, 0)), "")</f>
        <v>ULIF 013 04/01/07 WLF 110</v>
      </c>
      <c r="E5041" s="8">
        <v>36.540100000000002</v>
      </c>
      <c r="F5041" s="9">
        <v>46092</v>
      </c>
    </row>
    <row r="5042" spans="1:6" ht="105" x14ac:dyDescent="0.25">
      <c r="A5042" s="8" t="s">
        <v>63</v>
      </c>
      <c r="B5042" s="11" t="s">
        <v>80</v>
      </c>
      <c r="C5042" s="8" t="str">
        <f>IFERROR(_xlfn.XLOOKUP(TRIM(B5042),Lookup!$B$2:$B$1000,Lookup!$C$2:$C$1000),"")</f>
        <v>Debt - Short Term</v>
      </c>
      <c r="D5042" s="8" t="str">
        <f>IFERROR(INDEX('nav master'!$C:$C, MATCH(B5042, 'nav master'!$B:$B, 0)), "")</f>
        <v>ULIF 013 04/01/07 WLF 110</v>
      </c>
      <c r="E5042" s="8">
        <v>36.5197</v>
      </c>
      <c r="F5042" s="9">
        <v>46093</v>
      </c>
    </row>
    <row r="5043" spans="1:6" ht="105" x14ac:dyDescent="0.25">
      <c r="A5043" s="8" t="s">
        <v>63</v>
      </c>
      <c r="B5043" s="11" t="s">
        <v>80</v>
      </c>
      <c r="C5043" s="8" t="str">
        <f>IFERROR(_xlfn.XLOOKUP(TRIM(B5043),Lookup!$B$2:$B$1000,Lookup!$C$2:$C$1000),"")</f>
        <v>Debt - Short Term</v>
      </c>
      <c r="D5043" s="8" t="str">
        <f>IFERROR(INDEX('nav master'!$C:$C, MATCH(B5043, 'nav master'!$B:$B, 0)), "")</f>
        <v>ULIF 013 04/01/07 WLF 110</v>
      </c>
      <c r="E5043" s="8">
        <v>36.505299999999998</v>
      </c>
      <c r="F5043" s="9">
        <v>46094</v>
      </c>
    </row>
    <row r="5044" spans="1:6" ht="105" x14ac:dyDescent="0.25">
      <c r="A5044" s="8" t="s">
        <v>63</v>
      </c>
      <c r="B5044" s="11" t="s">
        <v>80</v>
      </c>
      <c r="C5044" s="8" t="str">
        <f>IFERROR(_xlfn.XLOOKUP(TRIM(B5044),Lookup!$B$2:$B$1000,Lookup!$C$2:$C$1000),"")</f>
        <v>Debt - Short Term</v>
      </c>
      <c r="D5044" s="8" t="str">
        <f>IFERROR(INDEX('nav master'!$C:$C, MATCH(B5044, 'nav master'!$B:$B, 0)), "")</f>
        <v>ULIF 013 04/01/07 WLF 110</v>
      </c>
      <c r="E5044" s="8">
        <v>36.507399999999997</v>
      </c>
      <c r="F5044" s="9">
        <v>46097</v>
      </c>
    </row>
    <row r="5045" spans="1:6" ht="105" x14ac:dyDescent="0.25">
      <c r="A5045" s="8" t="s">
        <v>63</v>
      </c>
      <c r="B5045" s="11" t="s">
        <v>80</v>
      </c>
      <c r="C5045" s="8" t="str">
        <f>IFERROR(_xlfn.XLOOKUP(TRIM(B5045),Lookup!$B$2:$B$1000,Lookup!$C$2:$C$1000),"")</f>
        <v>Debt - Short Term</v>
      </c>
      <c r="D5045" s="8" t="str">
        <f>IFERROR(INDEX('nav master'!$C:$C, MATCH(B5045, 'nav master'!$B:$B, 0)), "")</f>
        <v>ULIF 013 04/01/07 WLF 110</v>
      </c>
      <c r="E5045" s="8">
        <v>36.512999999999998</v>
      </c>
      <c r="F5045" s="9">
        <v>46098</v>
      </c>
    </row>
    <row r="5046" spans="1:6" ht="105" x14ac:dyDescent="0.25">
      <c r="A5046" s="8" t="s">
        <v>63</v>
      </c>
      <c r="B5046" s="11" t="s">
        <v>80</v>
      </c>
      <c r="C5046" s="8" t="str">
        <f>IFERROR(_xlfn.XLOOKUP(TRIM(B5046),Lookup!$B$2:$B$1000,Lookup!$C$2:$C$1000),"")</f>
        <v>Debt - Short Term</v>
      </c>
      <c r="D5046" s="8" t="str">
        <f>IFERROR(INDEX('nav master'!$C:$C, MATCH(B5046, 'nav master'!$B:$B, 0)), "")</f>
        <v>ULIF 013 04/01/07 WLF 110</v>
      </c>
      <c r="E5046" s="8">
        <v>36.535699999999999</v>
      </c>
      <c r="F5046" s="9">
        <v>46099</v>
      </c>
    </row>
    <row r="5047" spans="1:6" ht="105" x14ac:dyDescent="0.25">
      <c r="A5047" s="8" t="s">
        <v>63</v>
      </c>
      <c r="B5047" s="11" t="s">
        <v>80</v>
      </c>
      <c r="C5047" s="8" t="str">
        <f>IFERROR(_xlfn.XLOOKUP(TRIM(B5047),Lookup!$B$2:$B$1000,Lookup!$C$2:$C$1000),"")</f>
        <v>Debt - Short Term</v>
      </c>
      <c r="D5047" s="8" t="str">
        <f>IFERROR(INDEX('nav master'!$C:$C, MATCH(B5047, 'nav master'!$B:$B, 0)), "")</f>
        <v>ULIF 013 04/01/07 WLF 110</v>
      </c>
      <c r="E5047" s="8">
        <v>36.5413</v>
      </c>
      <c r="F5047" s="9">
        <v>46100</v>
      </c>
    </row>
    <row r="5048" spans="1:6" ht="105" x14ac:dyDescent="0.25">
      <c r="A5048" s="8" t="s">
        <v>63</v>
      </c>
      <c r="B5048" s="11" t="s">
        <v>80</v>
      </c>
      <c r="C5048" s="8" t="str">
        <f>IFERROR(_xlfn.XLOOKUP(TRIM(B5048),Lookup!$B$2:$B$1000,Lookup!$C$2:$C$1000),"")</f>
        <v>Debt - Short Term</v>
      </c>
      <c r="D5048" s="8" t="str">
        <f>IFERROR(INDEX('nav master'!$C:$C, MATCH(B5048, 'nav master'!$B:$B, 0)), "")</f>
        <v>ULIF 013 04/01/07 WLF 110</v>
      </c>
      <c r="E5048" s="8">
        <v>36.532499999999999</v>
      </c>
      <c r="F5048" s="9">
        <v>46101</v>
      </c>
    </row>
    <row r="5049" spans="1:6" ht="105" x14ac:dyDescent="0.25">
      <c r="A5049" s="8" t="s">
        <v>63</v>
      </c>
      <c r="B5049" s="11" t="s">
        <v>80</v>
      </c>
      <c r="C5049" s="8" t="str">
        <f>IFERROR(_xlfn.XLOOKUP(TRIM(B5049),Lookup!$B$2:$B$1000,Lookup!$C$2:$C$1000),"")</f>
        <v>Debt - Short Term</v>
      </c>
      <c r="D5049" s="8" t="str">
        <f>IFERROR(INDEX('nav master'!$C:$C, MATCH(B5049, 'nav master'!$B:$B, 0)), "")</f>
        <v>ULIF 013 04/01/07 WLF 110</v>
      </c>
      <c r="E5049" s="8">
        <v>36.502800000000001</v>
      </c>
      <c r="F5049" s="9">
        <v>46104</v>
      </c>
    </row>
    <row r="5050" spans="1:6" ht="105" x14ac:dyDescent="0.25">
      <c r="A5050" s="8" t="s">
        <v>63</v>
      </c>
      <c r="B5050" s="11" t="s">
        <v>80</v>
      </c>
      <c r="C5050" s="8" t="str">
        <f>IFERROR(_xlfn.XLOOKUP(TRIM(B5050),Lookup!$B$2:$B$1000,Lookup!$C$2:$C$1000),"")</f>
        <v>Debt - Short Term</v>
      </c>
      <c r="D5050" s="8" t="str">
        <f>IFERROR(INDEX('nav master'!$C:$C, MATCH(B5050, 'nav master'!$B:$B, 0)), "")</f>
        <v>ULIF 013 04/01/07 WLF 110</v>
      </c>
      <c r="E5050" s="8">
        <v>36.498800000000003</v>
      </c>
      <c r="F5050" s="9">
        <v>46105</v>
      </c>
    </row>
    <row r="5051" spans="1:6" ht="105" x14ac:dyDescent="0.25">
      <c r="A5051" s="8" t="s">
        <v>63</v>
      </c>
      <c r="B5051" s="11" t="s">
        <v>80</v>
      </c>
      <c r="C5051" s="8" t="str">
        <f>IFERROR(_xlfn.XLOOKUP(TRIM(B5051),Lookup!$B$2:$B$1000,Lookup!$C$2:$C$1000),"")</f>
        <v>Debt - Short Term</v>
      </c>
      <c r="D5051" s="8" t="str">
        <f>IFERROR(INDEX('nav master'!$C:$C, MATCH(B5051, 'nav master'!$B:$B, 0)), "")</f>
        <v>ULIF 013 04/01/07 WLF 110</v>
      </c>
      <c r="E5051" s="8">
        <v>36.493200000000002</v>
      </c>
      <c r="F5051" s="9">
        <v>46106</v>
      </c>
    </row>
    <row r="5052" spans="1:6" ht="105" x14ac:dyDescent="0.25">
      <c r="A5052" s="8" t="s">
        <v>63</v>
      </c>
      <c r="B5052" s="11" t="s">
        <v>80</v>
      </c>
      <c r="C5052" s="8" t="str">
        <f>IFERROR(_xlfn.XLOOKUP(TRIM(B5052),Lookup!$B$2:$B$1000,Lookup!$C$2:$C$1000),"")</f>
        <v>Debt - Short Term</v>
      </c>
      <c r="D5052" s="8" t="str">
        <f>IFERROR(INDEX('nav master'!$C:$C, MATCH(B5052, 'nav master'!$B:$B, 0)), "")</f>
        <v>ULIF 013 04/01/07 WLF 110</v>
      </c>
      <c r="E5052" s="8">
        <v>36.479799999999997</v>
      </c>
      <c r="F5052" s="9">
        <v>46108</v>
      </c>
    </row>
    <row r="5053" spans="1:6" ht="105" x14ac:dyDescent="0.25">
      <c r="A5053" s="8" t="s">
        <v>63</v>
      </c>
      <c r="B5053" s="11" t="s">
        <v>80</v>
      </c>
      <c r="C5053" s="8" t="str">
        <f>IFERROR(_xlfn.XLOOKUP(TRIM(B5053),Lookup!$B$2:$B$1000,Lookup!$C$2:$C$1000),"")</f>
        <v>Debt - Short Term</v>
      </c>
      <c r="D5053" s="8" t="str">
        <f>IFERROR(INDEX('nav master'!$C:$C, MATCH(B5053, 'nav master'!$B:$B, 0)), "")</f>
        <v>ULIF 013 04/01/07 WLF 110</v>
      </c>
      <c r="E5053" s="8">
        <v>36.485300000000002</v>
      </c>
      <c r="F5053" s="9">
        <v>46111</v>
      </c>
    </row>
    <row r="5054" spans="1:6" ht="105" x14ac:dyDescent="0.25">
      <c r="A5054" s="8" t="s">
        <v>63</v>
      </c>
      <c r="B5054" s="11" t="s">
        <v>80</v>
      </c>
      <c r="C5054" s="8" t="str">
        <f>IFERROR(_xlfn.XLOOKUP(TRIM(B5054),Lookup!$B$2:$B$1000,Lookup!$C$2:$C$1000),"")</f>
        <v>Debt - Short Term</v>
      </c>
      <c r="D5054" s="8" t="str">
        <f>IFERROR(INDEX('nav master'!$C:$C, MATCH(B5054, 'nav master'!$B:$B, 0)), "")</f>
        <v>ULIF 013 04/01/07 WLF 110</v>
      </c>
      <c r="E5054" s="8">
        <v>36.491199999999999</v>
      </c>
      <c r="F5054" s="9">
        <v>46112</v>
      </c>
    </row>
    <row r="5055" spans="1:6" ht="105" x14ac:dyDescent="0.25">
      <c r="A5055" s="8" t="s">
        <v>63</v>
      </c>
      <c r="B5055" s="11" t="s">
        <v>80</v>
      </c>
      <c r="C5055" s="8" t="str">
        <f>IFERROR(_xlfn.XLOOKUP(TRIM(B5055),Lookup!$B$2:$B$1000,Lookup!$C$2:$C$1000),"")</f>
        <v>Debt - Short Term</v>
      </c>
      <c r="D5055" s="8" t="str">
        <f>IFERROR(INDEX('nav master'!$C:$C, MATCH(B5055, 'nav master'!$B:$B, 0)), "")</f>
        <v>ULIF 013 04/01/07 WLF 110</v>
      </c>
      <c r="E5055" s="8">
        <v>36.497100000000003</v>
      </c>
      <c r="F5055" s="9">
        <v>46113</v>
      </c>
    </row>
    <row r="5056" spans="1:6" ht="105" x14ac:dyDescent="0.25">
      <c r="A5056" s="8" t="s">
        <v>63</v>
      </c>
      <c r="B5056" s="11" t="s">
        <v>80</v>
      </c>
      <c r="C5056" s="8" t="str">
        <f>IFERROR(_xlfn.XLOOKUP(TRIM(B5056),Lookup!$B$2:$B$1000,Lookup!$C$2:$C$1000),"")</f>
        <v>Debt - Short Term</v>
      </c>
      <c r="D5056" s="8" t="str">
        <f>IFERROR(INDEX('nav master'!$C:$C, MATCH(B5056, 'nav master'!$B:$B, 0)), "")</f>
        <v>ULIF 013 04/01/07 WLF 110</v>
      </c>
      <c r="E5056" s="8">
        <v>36.468000000000004</v>
      </c>
      <c r="F5056" s="9">
        <v>46114</v>
      </c>
    </row>
    <row r="5057" spans="1:6" ht="105" x14ac:dyDescent="0.25">
      <c r="A5057" s="8" t="s">
        <v>63</v>
      </c>
      <c r="B5057" s="11" t="s">
        <v>80</v>
      </c>
      <c r="C5057" s="8" t="str">
        <f>IFERROR(_xlfn.XLOOKUP(TRIM(B5057),Lookup!$B$2:$B$1000,Lookup!$C$2:$C$1000),"")</f>
        <v>Debt - Short Term</v>
      </c>
      <c r="D5057" s="8" t="str">
        <f>IFERROR(INDEX('nav master'!$C:$C, MATCH(B5057, 'nav master'!$B:$B, 0)), "")</f>
        <v>ULIF 013 04/01/07 WLF 110</v>
      </c>
      <c r="E5057" s="8">
        <v>36.497999999999998</v>
      </c>
      <c r="F5057" s="9">
        <v>46118</v>
      </c>
    </row>
    <row r="5058" spans="1:6" ht="105" x14ac:dyDescent="0.25">
      <c r="A5058" s="8" t="s">
        <v>63</v>
      </c>
      <c r="B5058" s="11" t="s">
        <v>80</v>
      </c>
      <c r="C5058" s="8" t="str">
        <f>IFERROR(_xlfn.XLOOKUP(TRIM(B5058),Lookup!$B$2:$B$1000,Lookup!$C$2:$C$1000),"")</f>
        <v>Debt - Short Term</v>
      </c>
      <c r="D5058" s="8" t="str">
        <f>IFERROR(INDEX('nav master'!$C:$C, MATCH(B5058, 'nav master'!$B:$B, 0)), "")</f>
        <v>ULIF 013 04/01/07 WLF 110</v>
      </c>
      <c r="E5058" s="8">
        <v>36.511400000000002</v>
      </c>
      <c r="F5058" s="9">
        <v>46119</v>
      </c>
    </row>
    <row r="5059" spans="1:6" ht="105" x14ac:dyDescent="0.25">
      <c r="A5059" s="8" t="s">
        <v>63</v>
      </c>
      <c r="B5059" s="11" t="s">
        <v>80</v>
      </c>
      <c r="C5059" s="8" t="str">
        <f>IFERROR(_xlfn.XLOOKUP(TRIM(B5059),Lookup!$B$2:$B$1000,Lookup!$C$2:$C$1000),"")</f>
        <v>Debt - Short Term</v>
      </c>
      <c r="D5059" s="8" t="str">
        <f>IFERROR(INDEX('nav master'!$C:$C, MATCH(B5059, 'nav master'!$B:$B, 0)), "")</f>
        <v>ULIF 013 04/01/07 WLF 110</v>
      </c>
      <c r="E5059" s="8">
        <v>36.605899999999998</v>
      </c>
      <c r="F5059" s="9">
        <v>46120</v>
      </c>
    </row>
    <row r="5060" spans="1:6" ht="105" x14ac:dyDescent="0.25">
      <c r="A5060" s="8" t="s">
        <v>63</v>
      </c>
      <c r="B5060" s="11" t="s">
        <v>80</v>
      </c>
      <c r="C5060" s="8" t="str">
        <f>IFERROR(_xlfn.XLOOKUP(TRIM(B5060),Lookup!$B$2:$B$1000,Lookup!$C$2:$C$1000),"")</f>
        <v>Debt - Short Term</v>
      </c>
      <c r="D5060" s="8" t="str">
        <f>IFERROR(INDEX('nav master'!$C:$C, MATCH(B5060, 'nav master'!$B:$B, 0)), "")</f>
        <v>ULIF 013 04/01/07 WLF 110</v>
      </c>
      <c r="E5060" s="8">
        <v>36.626899999999999</v>
      </c>
      <c r="F5060" s="9">
        <v>46121</v>
      </c>
    </row>
    <row r="5061" spans="1:6" ht="105" x14ac:dyDescent="0.25">
      <c r="A5061" s="8" t="s">
        <v>63</v>
      </c>
      <c r="B5061" s="11" t="s">
        <v>80</v>
      </c>
      <c r="C5061" s="8" t="str">
        <f>IFERROR(_xlfn.XLOOKUP(TRIM(B5061),Lookup!$B$2:$B$1000,Lookup!$C$2:$C$1000),"")</f>
        <v>Debt - Short Term</v>
      </c>
      <c r="D5061" s="8" t="str">
        <f>IFERROR(INDEX('nav master'!$C:$C, MATCH(B5061, 'nav master'!$B:$B, 0)), "")</f>
        <v>ULIF 013 04/01/07 WLF 110</v>
      </c>
      <c r="E5061" s="8">
        <v>36.639499999999998</v>
      </c>
      <c r="F5061" s="9">
        <v>46122</v>
      </c>
    </row>
    <row r="5062" spans="1:6" ht="105" x14ac:dyDescent="0.25">
      <c r="A5062" s="8" t="s">
        <v>63</v>
      </c>
      <c r="B5062" s="11" t="s">
        <v>80</v>
      </c>
      <c r="C5062" s="8" t="str">
        <f>IFERROR(_xlfn.XLOOKUP(TRIM(B5062),Lookup!$B$2:$B$1000,Lookup!$C$2:$C$1000),"")</f>
        <v>Debt - Short Term</v>
      </c>
      <c r="D5062" s="8" t="str">
        <f>IFERROR(INDEX('nav master'!$C:$C, MATCH(B5062, 'nav master'!$B:$B, 0)), "")</f>
        <v>ULIF 013 04/01/07 WLF 110</v>
      </c>
      <c r="E5062" s="8">
        <v>36.651600000000002</v>
      </c>
      <c r="F5062" s="9">
        <v>46125</v>
      </c>
    </row>
    <row r="5063" spans="1:6" ht="105" x14ac:dyDescent="0.25">
      <c r="A5063" s="8" t="s">
        <v>63</v>
      </c>
      <c r="B5063" s="11" t="s">
        <v>80</v>
      </c>
      <c r="C5063" s="8" t="str">
        <f>IFERROR(_xlfn.XLOOKUP(TRIM(B5063),Lookup!$B$2:$B$1000,Lookup!$C$2:$C$1000),"")</f>
        <v>Debt - Short Term</v>
      </c>
      <c r="D5063" s="8" t="str">
        <f>IFERROR(INDEX('nav master'!$C:$C, MATCH(B5063, 'nav master'!$B:$B, 0)), "")</f>
        <v>ULIF 013 04/01/07 WLF 110</v>
      </c>
      <c r="E5063" s="8">
        <v>36.700400000000002</v>
      </c>
      <c r="F5063" s="9">
        <v>46127</v>
      </c>
    </row>
    <row r="5064" spans="1:6" ht="105" x14ac:dyDescent="0.25">
      <c r="A5064" s="8" t="s">
        <v>63</v>
      </c>
      <c r="B5064" s="11" t="s">
        <v>80</v>
      </c>
      <c r="C5064" s="8" t="str">
        <f>IFERROR(_xlfn.XLOOKUP(TRIM(B5064),Lookup!$B$2:$B$1000,Lookup!$C$2:$C$1000),"")</f>
        <v>Debt - Short Term</v>
      </c>
      <c r="D5064" s="8" t="str">
        <f>IFERROR(INDEX('nav master'!$C:$C, MATCH(B5064, 'nav master'!$B:$B, 0)), "")</f>
        <v>ULIF 013 04/01/07 WLF 110</v>
      </c>
      <c r="E5064" s="8">
        <v>36.706099999999999</v>
      </c>
      <c r="F5064" s="9">
        <v>46128</v>
      </c>
    </row>
    <row r="5065" spans="1:6" ht="105" x14ac:dyDescent="0.25">
      <c r="A5065" s="8" t="s">
        <v>63</v>
      </c>
      <c r="B5065" s="11" t="s">
        <v>80</v>
      </c>
      <c r="C5065" s="8" t="str">
        <f>IFERROR(_xlfn.XLOOKUP(TRIM(B5065),Lookup!$B$2:$B$1000,Lookup!$C$2:$C$1000),"")</f>
        <v>Debt - Short Term</v>
      </c>
      <c r="D5065" s="8" t="str">
        <f>IFERROR(INDEX('nav master'!$C:$C, MATCH(B5065, 'nav master'!$B:$B, 0)), "")</f>
        <v>ULIF 013 04/01/07 WLF 110</v>
      </c>
      <c r="E5065" s="8">
        <v>36.716000000000001</v>
      </c>
      <c r="F5065" s="9">
        <v>46129</v>
      </c>
    </row>
    <row r="5066" spans="1:6" ht="105" x14ac:dyDescent="0.25">
      <c r="A5066" s="8" t="s">
        <v>63</v>
      </c>
      <c r="B5066" s="11" t="s">
        <v>80</v>
      </c>
      <c r="C5066" s="8" t="str">
        <f>IFERROR(_xlfn.XLOOKUP(TRIM(B5066),Lookup!$B$2:$B$1000,Lookup!$C$2:$C$1000),"")</f>
        <v>Debt - Short Term</v>
      </c>
      <c r="D5066" s="8" t="str">
        <f>IFERROR(INDEX('nav master'!$C:$C, MATCH(B5066, 'nav master'!$B:$B, 0)), "")</f>
        <v>ULIF 013 04/01/07 WLF 110</v>
      </c>
      <c r="E5066" s="8">
        <v>36.737099999999998</v>
      </c>
      <c r="F5066" s="9">
        <v>46132</v>
      </c>
    </row>
    <row r="5067" spans="1:6" ht="105" x14ac:dyDescent="0.25">
      <c r="A5067" s="8" t="s">
        <v>63</v>
      </c>
      <c r="B5067" s="11" t="s">
        <v>80</v>
      </c>
      <c r="C5067" s="8" t="str">
        <f>IFERROR(_xlfn.XLOOKUP(TRIM(B5067),Lookup!$B$2:$B$1000,Lookup!$C$2:$C$1000),"")</f>
        <v>Debt - Short Term</v>
      </c>
      <c r="D5067" s="8" t="str">
        <f>IFERROR(INDEX('nav master'!$C:$C, MATCH(B5067, 'nav master'!$B:$B, 0)), "")</f>
        <v>ULIF 013 04/01/07 WLF 110</v>
      </c>
      <c r="E5067" s="8">
        <v>36.744399999999999</v>
      </c>
      <c r="F5067" s="9">
        <v>46133</v>
      </c>
    </row>
    <row r="5068" spans="1:6" ht="105" x14ac:dyDescent="0.25">
      <c r="A5068" s="8" t="s">
        <v>63</v>
      </c>
      <c r="B5068" s="11" t="s">
        <v>80</v>
      </c>
      <c r="C5068" s="8" t="str">
        <f>IFERROR(_xlfn.XLOOKUP(TRIM(B5068),Lookup!$B$2:$B$1000,Lookup!$C$2:$C$1000),"")</f>
        <v>Debt - Short Term</v>
      </c>
      <c r="D5068" s="8" t="str">
        <f>IFERROR(INDEX('nav master'!$C:$C, MATCH(B5068, 'nav master'!$B:$B, 0)), "")</f>
        <v>ULIF 013 04/01/07 WLF 110</v>
      </c>
      <c r="E5068" s="8">
        <v>36.744100000000003</v>
      </c>
      <c r="F5068" s="9">
        <v>46134</v>
      </c>
    </row>
    <row r="5069" spans="1:6" ht="105" x14ac:dyDescent="0.25">
      <c r="A5069" s="8" t="s">
        <v>63</v>
      </c>
      <c r="B5069" s="11" t="s">
        <v>80</v>
      </c>
      <c r="C5069" s="8" t="str">
        <f>IFERROR(_xlfn.XLOOKUP(TRIM(B5069),Lookup!$B$2:$B$1000,Lookup!$C$2:$C$1000),"")</f>
        <v>Debt - Short Term</v>
      </c>
      <c r="D5069" s="8" t="str">
        <f>IFERROR(INDEX('nav master'!$C:$C, MATCH(B5069, 'nav master'!$B:$B, 0)), "")</f>
        <v>ULIF 013 04/01/07 WLF 110</v>
      </c>
      <c r="E5069" s="8">
        <v>36.726900000000001</v>
      </c>
      <c r="F5069" s="9">
        <v>46135</v>
      </c>
    </row>
    <row r="5070" spans="1:6" ht="105" x14ac:dyDescent="0.25">
      <c r="A5070" s="8" t="s">
        <v>63</v>
      </c>
      <c r="B5070" s="11" t="s">
        <v>80</v>
      </c>
      <c r="C5070" s="8" t="str">
        <f>IFERROR(_xlfn.XLOOKUP(TRIM(B5070),Lookup!$B$2:$B$1000,Lookup!$C$2:$C$1000),"")</f>
        <v>Debt - Short Term</v>
      </c>
      <c r="D5070" s="8" t="str">
        <f>IFERROR(INDEX('nav master'!$C:$C, MATCH(B5070, 'nav master'!$B:$B, 0)), "")</f>
        <v>ULIF 013 04/01/07 WLF 110</v>
      </c>
      <c r="E5070" s="8">
        <v>36.7179</v>
      </c>
      <c r="F5070" s="9">
        <v>46136</v>
      </c>
    </row>
    <row r="5071" spans="1:6" ht="105" x14ac:dyDescent="0.25">
      <c r="A5071" s="8" t="s">
        <v>63</v>
      </c>
      <c r="B5071" s="11" t="s">
        <v>80</v>
      </c>
      <c r="C5071" s="8" t="str">
        <f>IFERROR(_xlfn.XLOOKUP(TRIM(B5071),Lookup!$B$2:$B$1000,Lookup!$C$2:$C$1000),"")</f>
        <v>Debt - Short Term</v>
      </c>
      <c r="D5071" s="8" t="str">
        <f>IFERROR(INDEX('nav master'!$C:$C, MATCH(B5071, 'nav master'!$B:$B, 0)), "")</f>
        <v>ULIF 013 04/01/07 WLF 110</v>
      </c>
      <c r="E5071" s="8">
        <v>36.727699999999999</v>
      </c>
      <c r="F5071" s="9">
        <v>46139</v>
      </c>
    </row>
    <row r="5072" spans="1:6" ht="105" x14ac:dyDescent="0.25">
      <c r="A5072" s="8" t="s">
        <v>63</v>
      </c>
      <c r="B5072" s="11" t="s">
        <v>80</v>
      </c>
      <c r="C5072" s="8" t="str">
        <f>IFERROR(_xlfn.XLOOKUP(TRIM(B5072),Lookup!$B$2:$B$1000,Lookup!$C$2:$C$1000),"")</f>
        <v>Debt - Short Term</v>
      </c>
      <c r="D5072" s="8" t="str">
        <f>IFERROR(INDEX('nav master'!$C:$C, MATCH(B5072, 'nav master'!$B:$B, 0)), "")</f>
        <v>ULIF 013 04/01/07 WLF 110</v>
      </c>
      <c r="E5072" s="8">
        <v>36.7271</v>
      </c>
      <c r="F5072" s="9">
        <v>46140</v>
      </c>
    </row>
    <row r="5073" spans="1:6" ht="105" x14ac:dyDescent="0.25">
      <c r="A5073" s="8" t="s">
        <v>63</v>
      </c>
      <c r="B5073" s="11" t="s">
        <v>80</v>
      </c>
      <c r="C5073" s="8" t="str">
        <f>IFERROR(_xlfn.XLOOKUP(TRIM(B5073),Lookup!$B$2:$B$1000,Lookup!$C$2:$C$1000),"")</f>
        <v>Debt - Short Term</v>
      </c>
      <c r="D5073" s="8" t="str">
        <f>IFERROR(INDEX('nav master'!$C:$C, MATCH(B5073, 'nav master'!$B:$B, 0)), "")</f>
        <v>ULIF 013 04/01/07 WLF 110</v>
      </c>
      <c r="E5073" s="8">
        <v>36.7027</v>
      </c>
      <c r="F5073" s="9">
        <v>46141</v>
      </c>
    </row>
    <row r="5074" spans="1:6" ht="105" x14ac:dyDescent="0.25">
      <c r="A5074" s="8" t="s">
        <v>63</v>
      </c>
      <c r="B5074" s="11" t="s">
        <v>80</v>
      </c>
      <c r="C5074" s="8" t="str">
        <f>IFERROR(_xlfn.XLOOKUP(TRIM(B5074),Lookup!$B$2:$B$1000,Lookup!$C$2:$C$1000),"")</f>
        <v>Debt - Short Term</v>
      </c>
      <c r="D5074" s="8" t="str">
        <f>IFERROR(INDEX('nav master'!$C:$C, MATCH(B5074, 'nav master'!$B:$B, 0)), "")</f>
        <v>ULIF 013 04/01/07 WLF 110</v>
      </c>
      <c r="E5074" s="8">
        <v>36.680399999999999</v>
      </c>
      <c r="F5074" s="9">
        <v>46142</v>
      </c>
    </row>
    <row r="5075" spans="1:6" ht="105" x14ac:dyDescent="0.25">
      <c r="A5075" s="8" t="s">
        <v>63</v>
      </c>
      <c r="B5075" s="11" t="s">
        <v>80</v>
      </c>
      <c r="C5075" s="8" t="str">
        <f>IFERROR(_xlfn.XLOOKUP(TRIM(B5075),Lookup!$B$2:$B$1000,Lookup!$C$2:$C$1000),"")</f>
        <v>Debt - Short Term</v>
      </c>
      <c r="D5075" s="8" t="str">
        <f>IFERROR(INDEX('nav master'!$C:$C, MATCH(B5075, 'nav master'!$B:$B, 0)), "")</f>
        <v>ULIF 013 04/01/07 WLF 110</v>
      </c>
      <c r="E5075" s="8">
        <v>36.7059</v>
      </c>
      <c r="F5075" s="9">
        <v>46146</v>
      </c>
    </row>
    <row r="5076" spans="1:6" ht="105" x14ac:dyDescent="0.25">
      <c r="A5076" s="8" t="s">
        <v>63</v>
      </c>
      <c r="B5076" s="11" t="s">
        <v>80</v>
      </c>
      <c r="C5076" s="8" t="str">
        <f>IFERROR(_xlfn.XLOOKUP(TRIM(B5076),Lookup!$B$2:$B$1000,Lookup!$C$2:$C$1000),"")</f>
        <v>Debt - Short Term</v>
      </c>
      <c r="D5076" s="8" t="str">
        <f>IFERROR(INDEX('nav master'!$C:$C, MATCH(B5076, 'nav master'!$B:$B, 0)), "")</f>
        <v>ULIF 013 04/01/07 WLF 110</v>
      </c>
      <c r="E5076" s="8">
        <v>36.702100000000002</v>
      </c>
      <c r="F5076" s="9">
        <v>46147</v>
      </c>
    </row>
    <row r="5077" spans="1:6" ht="105" x14ac:dyDescent="0.25">
      <c r="A5077" s="8" t="s">
        <v>63</v>
      </c>
      <c r="B5077" s="11" t="s">
        <v>80</v>
      </c>
      <c r="C5077" s="8" t="str">
        <f>IFERROR(_xlfn.XLOOKUP(TRIM(B5077),Lookup!$B$2:$B$1000,Lookup!$C$2:$C$1000),"")</f>
        <v>Debt - Short Term</v>
      </c>
      <c r="D5077" s="8" t="str">
        <f>IFERROR(INDEX('nav master'!$C:$C, MATCH(B5077, 'nav master'!$B:$B, 0)), "")</f>
        <v>ULIF 013 04/01/07 WLF 110</v>
      </c>
      <c r="E5077" s="8">
        <v>36.758600000000001</v>
      </c>
      <c r="F5077" s="9">
        <v>46148</v>
      </c>
    </row>
    <row r="5078" spans="1:6" ht="105" x14ac:dyDescent="0.25">
      <c r="A5078" s="8" t="s">
        <v>63</v>
      </c>
      <c r="B5078" s="11" t="s">
        <v>80</v>
      </c>
      <c r="C5078" s="8" t="str">
        <f>IFERROR(_xlfn.XLOOKUP(TRIM(B5078),Lookup!$B$2:$B$1000,Lookup!$C$2:$C$1000),"")</f>
        <v>Debt - Short Term</v>
      </c>
      <c r="D5078" s="8" t="str">
        <f>IFERROR(INDEX('nav master'!$C:$C, MATCH(B5078, 'nav master'!$B:$B, 0)), "")</f>
        <v>ULIF 013 04/01/07 WLF 110</v>
      </c>
      <c r="E5078" s="8">
        <v>36.7834</v>
      </c>
      <c r="F5078" s="9">
        <v>46149</v>
      </c>
    </row>
    <row r="5079" spans="1:6" ht="105" x14ac:dyDescent="0.25">
      <c r="A5079" s="8" t="s">
        <v>63</v>
      </c>
      <c r="B5079" s="11" t="s">
        <v>80</v>
      </c>
      <c r="C5079" s="8" t="str">
        <f>IFERROR(_xlfn.XLOOKUP(TRIM(B5079),Lookup!$B$2:$B$1000,Lookup!$C$2:$C$1000),"")</f>
        <v>Debt - Short Term</v>
      </c>
      <c r="D5079" s="8" t="str">
        <f>IFERROR(INDEX('nav master'!$C:$C, MATCH(B5079, 'nav master'!$B:$B, 0)), "")</f>
        <v>ULIF 013 04/01/07 WLF 110</v>
      </c>
      <c r="E5079" s="8">
        <v>36.781199999999998</v>
      </c>
      <c r="F5079" s="9">
        <v>46150</v>
      </c>
    </row>
    <row r="5080" spans="1:6" ht="105" x14ac:dyDescent="0.25">
      <c r="A5080" s="8" t="s">
        <v>63</v>
      </c>
      <c r="B5080" s="11" t="s">
        <v>80</v>
      </c>
      <c r="C5080" s="8" t="str">
        <f>IFERROR(_xlfn.XLOOKUP(TRIM(B5080),Lookup!$B$2:$B$1000,Lookup!$C$2:$C$1000),"")</f>
        <v>Debt - Short Term</v>
      </c>
      <c r="D5080" s="8" t="str">
        <f>IFERROR(INDEX('nav master'!$C:$C, MATCH(B5080, 'nav master'!$B:$B, 0)), "")</f>
        <v>ULIF 013 04/01/07 WLF 110</v>
      </c>
      <c r="E5080" s="8">
        <v>36.7759</v>
      </c>
      <c r="F5080" s="9">
        <v>46153</v>
      </c>
    </row>
    <row r="5081" spans="1:6" ht="105" x14ac:dyDescent="0.25">
      <c r="A5081" s="8" t="s">
        <v>63</v>
      </c>
      <c r="B5081" s="11" t="s">
        <v>80</v>
      </c>
      <c r="C5081" s="8" t="str">
        <f>IFERROR(_xlfn.XLOOKUP(TRIM(B5081),Lookup!$B$2:$B$1000,Lookup!$C$2:$C$1000),"")</f>
        <v>Debt - Short Term</v>
      </c>
      <c r="D5081" s="8" t="str">
        <f>IFERROR(INDEX('nav master'!$C:$C, MATCH(B5081, 'nav master'!$B:$B, 0)), "")</f>
        <v>ULIF 013 04/01/07 WLF 110</v>
      </c>
      <c r="E5081" s="8">
        <v>36.765799999999999</v>
      </c>
      <c r="F5081" s="9">
        <v>46154</v>
      </c>
    </row>
    <row r="5082" spans="1:6" ht="105" x14ac:dyDescent="0.25">
      <c r="A5082" s="8" t="s">
        <v>63</v>
      </c>
      <c r="B5082" s="11" t="s">
        <v>80</v>
      </c>
      <c r="C5082" s="8" t="str">
        <f>IFERROR(_xlfn.XLOOKUP(TRIM(B5082),Lookup!$B$2:$B$1000,Lookup!$C$2:$C$1000),"")</f>
        <v>Debt - Short Term</v>
      </c>
      <c r="D5082" s="8" t="str">
        <f>IFERROR(INDEX('nav master'!$C:$C, MATCH(B5082, 'nav master'!$B:$B, 0)), "")</f>
        <v>ULIF 013 04/01/07 WLF 110</v>
      </c>
      <c r="E5082" s="8">
        <v>36.760199999999998</v>
      </c>
      <c r="F5082" s="9">
        <v>46155</v>
      </c>
    </row>
    <row r="5083" spans="1:6" ht="105" x14ac:dyDescent="0.25">
      <c r="A5083" s="8" t="s">
        <v>63</v>
      </c>
      <c r="B5083" s="11" t="s">
        <v>80</v>
      </c>
      <c r="C5083" s="8" t="str">
        <f>IFERROR(_xlfn.XLOOKUP(TRIM(B5083),Lookup!$B$2:$B$1000,Lookup!$C$2:$C$1000),"")</f>
        <v>Debt - Short Term</v>
      </c>
      <c r="D5083" s="8" t="str">
        <f>IFERROR(INDEX('nav master'!$C:$C, MATCH(B5083, 'nav master'!$B:$B, 0)), "")</f>
        <v>ULIF 013 04/01/07 WLF 110</v>
      </c>
      <c r="E5083" s="8">
        <v>36.751399999999997</v>
      </c>
      <c r="F5083" s="9">
        <v>46156</v>
      </c>
    </row>
    <row r="5084" spans="1:6" ht="105" x14ac:dyDescent="0.25">
      <c r="A5084" s="8" t="s">
        <v>63</v>
      </c>
      <c r="B5084" s="11" t="s">
        <v>80</v>
      </c>
      <c r="C5084" s="8" t="str">
        <f>IFERROR(_xlfn.XLOOKUP(TRIM(B5084),Lookup!$B$2:$B$1000,Lookup!$C$2:$C$1000),"")</f>
        <v>Debt - Short Term</v>
      </c>
      <c r="D5084" s="8" t="str">
        <f>IFERROR(INDEX('nav master'!$C:$C, MATCH(B5084, 'nav master'!$B:$B, 0)), "")</f>
        <v>ULIF 013 04/01/07 WLF 110</v>
      </c>
      <c r="E5084" s="8">
        <v>36.733600000000003</v>
      </c>
      <c r="F5084" s="9">
        <v>46157</v>
      </c>
    </row>
    <row r="5085" spans="1:6" ht="105" x14ac:dyDescent="0.25">
      <c r="A5085" s="8" t="s">
        <v>63</v>
      </c>
      <c r="B5085" s="11" t="s">
        <v>80</v>
      </c>
      <c r="C5085" s="8" t="str">
        <f>IFERROR(_xlfn.XLOOKUP(TRIM(B5085),Lookup!$B$2:$B$1000,Lookup!$C$2:$C$1000),"")</f>
        <v>Debt - Short Term</v>
      </c>
      <c r="D5085" s="8" t="str">
        <f>IFERROR(INDEX('nav master'!$C:$C, MATCH(B5085, 'nav master'!$B:$B, 0)), "")</f>
        <v>ULIF 013 04/01/07 WLF 110</v>
      </c>
      <c r="E5085" s="8">
        <v>36.702399999999997</v>
      </c>
      <c r="F5085" s="9">
        <v>46160</v>
      </c>
    </row>
    <row r="5086" spans="1:6" ht="105" x14ac:dyDescent="0.25">
      <c r="A5086" s="8" t="s">
        <v>63</v>
      </c>
      <c r="B5086" s="11" t="s">
        <v>80</v>
      </c>
      <c r="C5086" s="8" t="str">
        <f>IFERROR(_xlfn.XLOOKUP(TRIM(B5086),Lookup!$B$2:$B$1000,Lookup!$C$2:$C$1000),"")</f>
        <v>Debt - Short Term</v>
      </c>
      <c r="D5086" s="8" t="str">
        <f>IFERROR(INDEX('nav master'!$C:$C, MATCH(B5086, 'nav master'!$B:$B, 0)), "")</f>
        <v>ULIF 013 04/01/07 WLF 110</v>
      </c>
      <c r="E5086" s="8">
        <v>36.709099999999999</v>
      </c>
      <c r="F5086" s="9">
        <v>46161</v>
      </c>
    </row>
    <row r="5087" spans="1:6" ht="105" x14ac:dyDescent="0.25">
      <c r="A5087" s="8" t="s">
        <v>63</v>
      </c>
      <c r="B5087" s="11" t="s">
        <v>80</v>
      </c>
      <c r="C5087" s="8" t="str">
        <f>IFERROR(_xlfn.XLOOKUP(TRIM(B5087),Lookup!$B$2:$B$1000,Lookup!$C$2:$C$1000),"")</f>
        <v>Debt - Short Term</v>
      </c>
      <c r="D5087" s="8" t="str">
        <f>IFERROR(INDEX('nav master'!$C:$C, MATCH(B5087, 'nav master'!$B:$B, 0)), "")</f>
        <v>ULIF 013 04/01/07 WLF 110</v>
      </c>
      <c r="E5087" s="8">
        <v>36.714799999999997</v>
      </c>
      <c r="F5087" s="9">
        <v>46162</v>
      </c>
    </row>
    <row r="5088" spans="1:6" ht="105" x14ac:dyDescent="0.25">
      <c r="A5088" s="8" t="s">
        <v>63</v>
      </c>
      <c r="B5088" s="11" t="s">
        <v>80</v>
      </c>
      <c r="C5088" s="8" t="str">
        <f>IFERROR(_xlfn.XLOOKUP(TRIM(B5088),Lookup!$B$2:$B$1000,Lookup!$C$2:$C$1000),"")</f>
        <v>Debt - Short Term</v>
      </c>
      <c r="D5088" s="8" t="str">
        <f>IFERROR(INDEX('nav master'!$C:$C, MATCH(B5088, 'nav master'!$B:$B, 0)), "")</f>
        <v>ULIF 013 04/01/07 WLF 110</v>
      </c>
      <c r="E5088" s="8">
        <v>36.652999999999999</v>
      </c>
      <c r="F5088" s="9">
        <v>46163</v>
      </c>
    </row>
    <row r="5089" spans="1:6" ht="105" x14ac:dyDescent="0.25">
      <c r="A5089" s="8" t="s">
        <v>63</v>
      </c>
      <c r="B5089" s="11" t="s">
        <v>80</v>
      </c>
      <c r="C5089" s="8" t="str">
        <f>IFERROR(_xlfn.XLOOKUP(TRIM(B5089),Lookup!$B$2:$B$1000,Lookup!$C$2:$C$1000),"")</f>
        <v>Debt - Short Term</v>
      </c>
      <c r="D5089" s="8" t="str">
        <f>IFERROR(INDEX('nav master'!$C:$C, MATCH(B5089, 'nav master'!$B:$B, 0)), "")</f>
        <v>ULIF 013 04/01/07 WLF 110</v>
      </c>
      <c r="E5089" s="8">
        <v>36.676200000000001</v>
      </c>
      <c r="F5089" s="9">
        <v>46164</v>
      </c>
    </row>
    <row r="5090" spans="1:6" ht="105" x14ac:dyDescent="0.25">
      <c r="A5090" s="8" t="s">
        <v>63</v>
      </c>
      <c r="B5090" s="11" t="s">
        <v>80</v>
      </c>
      <c r="C5090" s="8" t="str">
        <f>IFERROR(_xlfn.XLOOKUP(TRIM(B5090),Lookup!$B$2:$B$1000,Lookup!$C$2:$C$1000),"")</f>
        <v>Debt - Short Term</v>
      </c>
      <c r="D5090" s="8" t="str">
        <f>IFERROR(INDEX('nav master'!$C:$C, MATCH(B5090, 'nav master'!$B:$B, 0)), "")</f>
        <v>ULIF 013 04/01/07 WLF 110</v>
      </c>
      <c r="E5090" s="8">
        <v>36.723100000000002</v>
      </c>
      <c r="F5090" s="9">
        <v>46167</v>
      </c>
    </row>
    <row r="5091" spans="1:6" ht="105" x14ac:dyDescent="0.25">
      <c r="A5091" s="8" t="s">
        <v>63</v>
      </c>
      <c r="B5091" s="11" t="s">
        <v>80</v>
      </c>
      <c r="C5091" s="8" t="str">
        <f>IFERROR(_xlfn.XLOOKUP(TRIM(B5091),Lookup!$B$2:$B$1000,Lookup!$C$2:$C$1000),"")</f>
        <v>Debt - Short Term</v>
      </c>
      <c r="D5091" s="8" t="str">
        <f>IFERROR(INDEX('nav master'!$C:$C, MATCH(B5091, 'nav master'!$B:$B, 0)), "")</f>
        <v>ULIF 013 04/01/07 WLF 110</v>
      </c>
      <c r="E5091" s="8">
        <v>36.733400000000003</v>
      </c>
      <c r="F5091" s="9">
        <v>46168</v>
      </c>
    </row>
    <row r="5092" spans="1:6" ht="105" x14ac:dyDescent="0.25">
      <c r="A5092" s="8" t="s">
        <v>63</v>
      </c>
      <c r="B5092" s="11" t="s">
        <v>80</v>
      </c>
      <c r="C5092" s="8" t="str">
        <f>IFERROR(_xlfn.XLOOKUP(TRIM(B5092),Lookup!$B$2:$B$1000,Lookup!$C$2:$C$1000),"")</f>
        <v>Debt - Short Term</v>
      </c>
      <c r="D5092" s="8" t="str">
        <f>IFERROR(INDEX('nav master'!$C:$C, MATCH(B5092, 'nav master'!$B:$B, 0)), "")</f>
        <v>ULIF 013 04/01/07 WLF 110</v>
      </c>
      <c r="E5092" s="8">
        <v>36.752299999999998</v>
      </c>
      <c r="F5092" s="9">
        <v>46169</v>
      </c>
    </row>
    <row r="5093" spans="1:6" ht="105" x14ac:dyDescent="0.25">
      <c r="A5093" s="8" t="s">
        <v>63</v>
      </c>
      <c r="B5093" s="11" t="s">
        <v>80</v>
      </c>
      <c r="C5093" s="8" t="str">
        <f>IFERROR(_xlfn.XLOOKUP(TRIM(B5093),Lookup!$B$2:$B$1000,Lookup!$C$2:$C$1000),"")</f>
        <v>Debt - Short Term</v>
      </c>
      <c r="D5093" s="8" t="str">
        <f>IFERROR(INDEX('nav master'!$C:$C, MATCH(B5093, 'nav master'!$B:$B, 0)), "")</f>
        <v>ULIF 013 04/01/07 WLF 110</v>
      </c>
      <c r="E5093" s="8">
        <v>36.769500000000001</v>
      </c>
      <c r="F5093" s="9">
        <v>46171</v>
      </c>
    </row>
    <row r="5094" spans="1:6" ht="105" x14ac:dyDescent="0.25">
      <c r="A5094" s="8" t="s">
        <v>63</v>
      </c>
      <c r="B5094" s="11" t="s">
        <v>80</v>
      </c>
      <c r="C5094" s="8" t="str">
        <f>IFERROR(_xlfn.XLOOKUP(TRIM(B5094),Lookup!$B$2:$B$1000,Lookup!$C$2:$C$1000),"")</f>
        <v>Debt - Short Term</v>
      </c>
      <c r="D5094" s="8" t="str">
        <f>IFERROR(INDEX('nav master'!$C:$C, MATCH(B5094, 'nav master'!$B:$B, 0)), "")</f>
        <v>ULIF 013 04/01/07 WLF 110</v>
      </c>
      <c r="E5094" s="8">
        <v>36.785600000000002</v>
      </c>
      <c r="F5094" s="9">
        <v>46174</v>
      </c>
    </row>
    <row r="5095" spans="1:6" ht="105" x14ac:dyDescent="0.25">
      <c r="A5095" s="8" t="s">
        <v>63</v>
      </c>
      <c r="B5095" s="11" t="s">
        <v>80</v>
      </c>
      <c r="C5095" s="8" t="str">
        <f>IFERROR(_xlfn.XLOOKUP(TRIM(B5095),Lookup!$B$2:$B$1000,Lookup!$C$2:$C$1000),"")</f>
        <v>Debt - Short Term</v>
      </c>
      <c r="D5095" s="8" t="str">
        <f>IFERROR(INDEX('nav master'!$C:$C, MATCH(B5095, 'nav master'!$B:$B, 0)), "")</f>
        <v>ULIF 013 04/01/07 WLF 110</v>
      </c>
      <c r="E5095" s="8">
        <v>36.796100000000003</v>
      </c>
      <c r="F5095" s="9">
        <v>46175</v>
      </c>
    </row>
    <row r="5096" spans="1:6" ht="105" x14ac:dyDescent="0.25">
      <c r="A5096" s="8" t="s">
        <v>63</v>
      </c>
      <c r="B5096" s="11" t="s">
        <v>80</v>
      </c>
      <c r="C5096" s="8" t="str">
        <f>IFERROR(_xlfn.XLOOKUP(TRIM(B5096),Lookup!$B$2:$B$1000,Lookup!$C$2:$C$1000),"")</f>
        <v>Debt - Short Term</v>
      </c>
      <c r="D5096" s="8" t="str">
        <f>IFERROR(INDEX('nav master'!$C:$C, MATCH(B5096, 'nav master'!$B:$B, 0)), "")</f>
        <v>ULIF 013 04/01/07 WLF 110</v>
      </c>
      <c r="E5096" s="8">
        <v>36.788800000000002</v>
      </c>
      <c r="F5096" s="9">
        <v>46176</v>
      </c>
    </row>
    <row r="5097" spans="1:6" ht="105" x14ac:dyDescent="0.25">
      <c r="A5097" s="8" t="s">
        <v>63</v>
      </c>
      <c r="B5097" s="11" t="s">
        <v>80</v>
      </c>
      <c r="C5097" s="8" t="str">
        <f>IFERROR(_xlfn.XLOOKUP(TRIM(B5097),Lookup!$B$2:$B$1000,Lookup!$C$2:$C$1000),"")</f>
        <v>Debt - Short Term</v>
      </c>
      <c r="D5097" s="8" t="str">
        <f>IFERROR(INDEX('nav master'!$C:$C, MATCH(B5097, 'nav master'!$B:$B, 0)), "")</f>
        <v>ULIF 013 04/01/07 WLF 110</v>
      </c>
      <c r="E5097" s="8">
        <v>36.817399999999999</v>
      </c>
      <c r="F5097" s="9">
        <v>46177</v>
      </c>
    </row>
    <row r="5098" spans="1:6" ht="105" x14ac:dyDescent="0.25">
      <c r="A5098" s="8" t="s">
        <v>63</v>
      </c>
      <c r="B5098" s="11" t="s">
        <v>80</v>
      </c>
      <c r="C5098" s="8" t="str">
        <f>IFERROR(_xlfn.XLOOKUP(TRIM(B5098),Lookup!$B$2:$B$1000,Lookup!$C$2:$C$1000),"")</f>
        <v>Debt - Short Term</v>
      </c>
      <c r="D5098" s="8" t="str">
        <f>IFERROR(INDEX('nav master'!$C:$C, MATCH(B5098, 'nav master'!$B:$B, 0)), "")</f>
        <v>ULIF 013 04/01/07 WLF 110</v>
      </c>
      <c r="E5098" s="8">
        <v>36.907899999999998</v>
      </c>
      <c r="F5098" s="9">
        <v>46178</v>
      </c>
    </row>
    <row r="5099" spans="1:6" ht="105" x14ac:dyDescent="0.25">
      <c r="A5099" s="8" t="s">
        <v>63</v>
      </c>
      <c r="B5099" s="11" t="s">
        <v>80</v>
      </c>
      <c r="C5099" s="8" t="str">
        <f>IFERROR(_xlfn.XLOOKUP(TRIM(B5099),Lookup!$B$2:$B$1000,Lookup!$C$2:$C$1000),"")</f>
        <v>Debt - Short Term</v>
      </c>
      <c r="D5099" s="8" t="str">
        <f>IFERROR(INDEX('nav master'!$C:$C, MATCH(B5099, 'nav master'!$B:$B, 0)), "")</f>
        <v>ULIF 013 04/01/07 WLF 110</v>
      </c>
      <c r="E5099" s="8">
        <v>36.957999999999998</v>
      </c>
      <c r="F5099" s="9">
        <v>46181</v>
      </c>
    </row>
    <row r="5100" spans="1:6" ht="105" x14ac:dyDescent="0.25">
      <c r="A5100" s="8" t="s">
        <v>63</v>
      </c>
      <c r="B5100" s="11" t="s">
        <v>80</v>
      </c>
      <c r="C5100" s="8" t="str">
        <f>IFERROR(_xlfn.XLOOKUP(TRIM(B5100),Lookup!$B$2:$B$1000,Lookup!$C$2:$C$1000),"")</f>
        <v>Debt - Short Term</v>
      </c>
      <c r="D5100" s="8" t="str">
        <f>IFERROR(INDEX('nav master'!$C:$C, MATCH(B5100, 'nav master'!$B:$B, 0)), "")</f>
        <v>ULIF 013 04/01/07 WLF 110</v>
      </c>
      <c r="E5100" s="8">
        <v>37.008000000000003</v>
      </c>
      <c r="F5100" s="9">
        <v>46182</v>
      </c>
    </row>
    <row r="5101" spans="1:6" ht="105" x14ac:dyDescent="0.25">
      <c r="A5101" s="8" t="s">
        <v>63</v>
      </c>
      <c r="B5101" s="11" t="s">
        <v>80</v>
      </c>
      <c r="C5101" s="8" t="str">
        <f>IFERROR(_xlfn.XLOOKUP(TRIM(B5101),Lookup!$B$2:$B$1000,Lookup!$C$2:$C$1000),"")</f>
        <v>Debt - Short Term</v>
      </c>
      <c r="D5101" s="8" t="str">
        <f>IFERROR(INDEX('nav master'!$C:$C, MATCH(B5101, 'nav master'!$B:$B, 0)), "")</f>
        <v>ULIF 013 04/01/07 WLF 110</v>
      </c>
      <c r="E5101" s="8">
        <v>37.009799999999998</v>
      </c>
      <c r="F5101" s="9">
        <v>46183</v>
      </c>
    </row>
    <row r="5102" spans="1:6" ht="105" x14ac:dyDescent="0.25">
      <c r="A5102" s="8" t="s">
        <v>63</v>
      </c>
      <c r="B5102" s="11" t="s">
        <v>80</v>
      </c>
      <c r="C5102" s="8" t="str">
        <f>IFERROR(_xlfn.XLOOKUP(TRIM(B5102),Lookup!$B$2:$B$1000,Lookup!$C$2:$C$1000),"")</f>
        <v>Debt - Short Term</v>
      </c>
      <c r="D5102" s="8" t="str">
        <f>IFERROR(INDEX('nav master'!$C:$C, MATCH(B5102, 'nav master'!$B:$B, 0)), "")</f>
        <v>ULIF 013 04/01/07 WLF 110</v>
      </c>
      <c r="E5102" s="8">
        <v>36.995100000000001</v>
      </c>
      <c r="F5102" s="9">
        <v>46184</v>
      </c>
    </row>
    <row r="5103" spans="1:6" ht="105" x14ac:dyDescent="0.25">
      <c r="A5103" s="8" t="s">
        <v>63</v>
      </c>
      <c r="B5103" s="11" t="s">
        <v>80</v>
      </c>
      <c r="C5103" s="8" t="str">
        <f>IFERROR(_xlfn.XLOOKUP(TRIM(B5103),Lookup!$B$2:$B$1000,Lookup!$C$2:$C$1000),"")</f>
        <v>Debt - Short Term</v>
      </c>
      <c r="D5103" s="8" t="str">
        <f>IFERROR(INDEX('nav master'!$C:$C, MATCH(B5103, 'nav master'!$B:$B, 0)), "")</f>
        <v>ULIF 013 04/01/07 WLF 110</v>
      </c>
      <c r="E5103" s="8">
        <v>37.023800000000001</v>
      </c>
      <c r="F5103" s="9">
        <v>46185</v>
      </c>
    </row>
    <row r="5104" spans="1:6" ht="105" x14ac:dyDescent="0.25">
      <c r="A5104" s="8" t="s">
        <v>63</v>
      </c>
      <c r="B5104" s="11" t="s">
        <v>80</v>
      </c>
      <c r="C5104" s="8" t="str">
        <f>IFERROR(_xlfn.XLOOKUP(TRIM(B5104),Lookup!$B$2:$B$1000,Lookup!$C$2:$C$1000),"")</f>
        <v>Debt - Short Term</v>
      </c>
      <c r="D5104" s="8" t="str">
        <f>IFERROR(INDEX('nav master'!$C:$C, MATCH(B5104, 'nav master'!$B:$B, 0)), "")</f>
        <v>ULIF 013 04/01/07 WLF 110</v>
      </c>
      <c r="E5104" s="8">
        <v>37.0625</v>
      </c>
      <c r="F5104" s="9">
        <v>46188</v>
      </c>
    </row>
    <row r="5105" spans="1:6" ht="105" x14ac:dyDescent="0.25">
      <c r="A5105" s="8" t="s">
        <v>63</v>
      </c>
      <c r="B5105" s="11" t="s">
        <v>80</v>
      </c>
      <c r="C5105" s="8" t="str">
        <f>IFERROR(_xlfn.XLOOKUP(TRIM(B5105),Lookup!$B$2:$B$1000,Lookup!$C$2:$C$1000),"")</f>
        <v>Debt - Short Term</v>
      </c>
      <c r="D5105" s="8" t="str">
        <f>IFERROR(INDEX('nav master'!$C:$C, MATCH(B5105, 'nav master'!$B:$B, 0)), "")</f>
        <v>ULIF 013 04/01/07 WLF 110</v>
      </c>
      <c r="E5105" s="8">
        <v>37.072000000000003</v>
      </c>
      <c r="F5105" s="9">
        <v>46189</v>
      </c>
    </row>
    <row r="5106" spans="1:6" ht="105" x14ac:dyDescent="0.25">
      <c r="A5106" s="8" t="s">
        <v>63</v>
      </c>
      <c r="B5106" s="11" t="s">
        <v>80</v>
      </c>
      <c r="C5106" s="8" t="str">
        <f>IFERROR(_xlfn.XLOOKUP(TRIM(B5106),Lookup!$B$2:$B$1000,Lookup!$C$2:$C$1000),"")</f>
        <v>Debt - Short Term</v>
      </c>
      <c r="D5106" s="8" t="str">
        <f>IFERROR(INDEX('nav master'!$C:$C, MATCH(B5106, 'nav master'!$B:$B, 0)), "")</f>
        <v>ULIF 013 04/01/07 WLF 110</v>
      </c>
      <c r="E5106" s="8">
        <v>37.064999999999998</v>
      </c>
      <c r="F5106" s="9">
        <v>46190</v>
      </c>
    </row>
    <row r="5107" spans="1:6" ht="105" x14ac:dyDescent="0.25">
      <c r="A5107" s="8" t="s">
        <v>63</v>
      </c>
      <c r="B5107" s="11" t="s">
        <v>80</v>
      </c>
      <c r="C5107" s="8" t="str">
        <f>IFERROR(_xlfn.XLOOKUP(TRIM(B5107),Lookup!$B$2:$B$1000,Lookup!$C$2:$C$1000),"")</f>
        <v>Debt - Short Term</v>
      </c>
      <c r="D5107" s="8" t="str">
        <f>IFERROR(INDEX('nav master'!$C:$C, MATCH(B5107, 'nav master'!$B:$B, 0)), "")</f>
        <v>ULIF 013 04/01/07 WLF 110</v>
      </c>
      <c r="E5107" s="8">
        <v>37.0807</v>
      </c>
      <c r="F5107" s="9">
        <v>46191</v>
      </c>
    </row>
    <row r="5108" spans="1:6" ht="105" x14ac:dyDescent="0.25">
      <c r="A5108" s="8" t="s">
        <v>63</v>
      </c>
      <c r="B5108" s="11" t="s">
        <v>80</v>
      </c>
      <c r="C5108" s="8" t="str">
        <f>IFERROR(_xlfn.XLOOKUP(TRIM(B5108),Lookup!$B$2:$B$1000,Lookup!$C$2:$C$1000),"")</f>
        <v>Debt - Short Term</v>
      </c>
      <c r="D5108" s="8" t="str">
        <f>IFERROR(INDEX('nav master'!$C:$C, MATCH(B5108, 'nav master'!$B:$B, 0)), "")</f>
        <v>ULIF 013 04/01/07 WLF 110</v>
      </c>
      <c r="E5108" s="8">
        <v>37.078200000000002</v>
      </c>
      <c r="F5108" s="9">
        <v>46192</v>
      </c>
    </row>
    <row r="5109" spans="1:6" ht="105" x14ac:dyDescent="0.25">
      <c r="A5109" s="8" t="s">
        <v>63</v>
      </c>
      <c r="B5109" s="11" t="s">
        <v>80</v>
      </c>
      <c r="C5109" s="8" t="str">
        <f>IFERROR(_xlfn.XLOOKUP(TRIM(B5109),Lookup!$B$2:$B$1000,Lookup!$C$2:$C$1000),"")</f>
        <v>Debt - Short Term</v>
      </c>
      <c r="D5109" s="8" t="str">
        <f>IFERROR(INDEX('nav master'!$C:$C, MATCH(B5109, 'nav master'!$B:$B, 0)), "")</f>
        <v>ULIF 013 04/01/07 WLF 110</v>
      </c>
      <c r="E5109" s="8">
        <v>37.097200000000001</v>
      </c>
      <c r="F5109" s="9">
        <v>46195</v>
      </c>
    </row>
    <row r="5110" spans="1:6" ht="105" x14ac:dyDescent="0.25">
      <c r="A5110" s="8" t="s">
        <v>63</v>
      </c>
      <c r="B5110" s="11" t="s">
        <v>80</v>
      </c>
      <c r="C5110" s="8" t="str">
        <f>IFERROR(_xlfn.XLOOKUP(TRIM(B5110),Lookup!$B$2:$B$1000,Lookup!$C$2:$C$1000),"")</f>
        <v>Debt - Short Term</v>
      </c>
      <c r="D5110" s="8" t="str">
        <f>IFERROR(INDEX('nav master'!$C:$C, MATCH(B5110, 'nav master'!$B:$B, 0)), "")</f>
        <v>ULIF 013 04/01/07 WLF 110</v>
      </c>
      <c r="E5110" s="8">
        <v>37.111899999999999</v>
      </c>
      <c r="F5110" s="9">
        <v>46196</v>
      </c>
    </row>
    <row r="5111" spans="1:6" ht="105" x14ac:dyDescent="0.25">
      <c r="A5111" s="8" t="s">
        <v>63</v>
      </c>
      <c r="B5111" s="11" t="s">
        <v>80</v>
      </c>
      <c r="C5111" s="8" t="str">
        <f>IFERROR(_xlfn.XLOOKUP(TRIM(B5111),Lookup!$B$2:$B$1000,Lookup!$C$2:$C$1000),"")</f>
        <v>Debt - Short Term</v>
      </c>
      <c r="D5111" s="8" t="str">
        <f>IFERROR(INDEX('nav master'!$C:$C, MATCH(B5111, 'nav master'!$B:$B, 0)), "")</f>
        <v>ULIF 013 04/01/07 WLF 110</v>
      </c>
      <c r="E5111" s="8">
        <v>37.129899999999999</v>
      </c>
      <c r="F5111" s="9">
        <v>46197</v>
      </c>
    </row>
    <row r="5112" spans="1:6" ht="105" x14ac:dyDescent="0.25">
      <c r="A5112" s="8" t="s">
        <v>63</v>
      </c>
      <c r="B5112" s="11" t="s">
        <v>80</v>
      </c>
      <c r="C5112" s="8" t="str">
        <f>IFERROR(_xlfn.XLOOKUP(TRIM(B5112),Lookup!$B$2:$B$1000,Lookup!$C$2:$C$1000),"")</f>
        <v>Debt - Short Term</v>
      </c>
      <c r="D5112" s="8" t="str">
        <f>IFERROR(INDEX('nav master'!$C:$C, MATCH(B5112, 'nav master'!$B:$B, 0)), "")</f>
        <v>ULIF 013 04/01/07 WLF 110</v>
      </c>
      <c r="E5112" s="8">
        <v>37.172499999999999</v>
      </c>
      <c r="F5112" s="9">
        <v>46198</v>
      </c>
    </row>
    <row r="5113" spans="1:6" ht="105" x14ac:dyDescent="0.25">
      <c r="A5113" s="8" t="s">
        <v>63</v>
      </c>
      <c r="B5113" s="11" t="s">
        <v>80</v>
      </c>
      <c r="C5113" s="8" t="str">
        <f>IFERROR(_xlfn.XLOOKUP(TRIM(B5113),Lookup!$B$2:$B$1000,Lookup!$C$2:$C$1000),"")</f>
        <v>Debt - Short Term</v>
      </c>
      <c r="D5113" s="8" t="str">
        <f>IFERROR(INDEX('nav master'!$C:$C, MATCH(B5113, 'nav master'!$B:$B, 0)), "")</f>
        <v>ULIF 013 04/01/07 WLF 110</v>
      </c>
      <c r="E5113" s="8">
        <v>37.203000000000003</v>
      </c>
      <c r="F5113" s="9">
        <v>46202</v>
      </c>
    </row>
    <row r="5114" spans="1:6" ht="105" x14ac:dyDescent="0.25">
      <c r="A5114" s="8" t="s">
        <v>63</v>
      </c>
      <c r="B5114" s="11" t="s">
        <v>80</v>
      </c>
      <c r="C5114" s="8" t="str">
        <f>IFERROR(_xlfn.XLOOKUP(TRIM(B5114),Lookup!$B$2:$B$1000,Lookup!$C$2:$C$1000),"")</f>
        <v>Debt - Short Term</v>
      </c>
      <c r="D5114" s="8" t="str">
        <f>IFERROR(INDEX('nav master'!$C:$C, MATCH(B5114, 'nav master'!$B:$B, 0)), "")</f>
        <v>ULIF 013 04/01/07 WLF 110</v>
      </c>
      <c r="E5114" s="8">
        <v>37.220399999999998</v>
      </c>
      <c r="F5114" s="9">
        <v>46203</v>
      </c>
    </row>
    <row r="5115" spans="1:6" ht="105" x14ac:dyDescent="0.25">
      <c r="A5115" s="8" t="s">
        <v>63</v>
      </c>
      <c r="B5115" s="11" t="s">
        <v>80</v>
      </c>
      <c r="C5115" s="8" t="str">
        <f>IFERROR(_xlfn.XLOOKUP(TRIM(B5115),Lookup!$B$2:$B$1000,Lookup!$C$2:$C$1000),"")</f>
        <v>Debt - Short Term</v>
      </c>
      <c r="D5115" s="8" t="str">
        <f>IFERROR(INDEX('nav master'!$C:$C, MATCH(B5115, 'nav master'!$B:$B, 0)), "")</f>
        <v>ULIF 013 04/01/07 WLF 110</v>
      </c>
      <c r="E5115" s="8">
        <v>37.229300000000002</v>
      </c>
      <c r="F5115" s="9">
        <v>46204</v>
      </c>
    </row>
    <row r="5116" spans="1:6" ht="105" x14ac:dyDescent="0.25">
      <c r="A5116" s="8" t="s">
        <v>63</v>
      </c>
      <c r="B5116" s="11" t="s">
        <v>80</v>
      </c>
      <c r="C5116" s="8" t="str">
        <f>IFERROR(_xlfn.XLOOKUP(TRIM(B5116),Lookup!$B$2:$B$1000,Lookup!$C$2:$C$1000),"")</f>
        <v>Debt - Short Term</v>
      </c>
      <c r="D5116" s="8" t="str">
        <f>IFERROR(INDEX('nav master'!$C:$C, MATCH(B5116, 'nav master'!$B:$B, 0)), "")</f>
        <v>ULIF 013 04/01/07 WLF 110</v>
      </c>
      <c r="E5116" s="8">
        <v>37.248899999999999</v>
      </c>
      <c r="F5116" s="9">
        <v>46205</v>
      </c>
    </row>
    <row r="5117" spans="1:6" ht="105" x14ac:dyDescent="0.25">
      <c r="A5117" s="8" t="s">
        <v>63</v>
      </c>
      <c r="B5117" s="11" t="s">
        <v>80</v>
      </c>
      <c r="C5117" s="8" t="str">
        <f>IFERROR(_xlfn.XLOOKUP(TRIM(B5117),Lookup!$B$2:$B$1000,Lookup!$C$2:$C$1000),"")</f>
        <v>Debt - Short Term</v>
      </c>
      <c r="D5117" s="8" t="str">
        <f>IFERROR(INDEX('nav master'!$C:$C, MATCH(B5117, 'nav master'!$B:$B, 0)), "")</f>
        <v>ULIF 013 04/01/07 WLF 110</v>
      </c>
      <c r="E5117" s="8">
        <v>37.2575</v>
      </c>
      <c r="F5117" s="9">
        <v>46206</v>
      </c>
    </row>
    <row r="5118" spans="1:6" ht="105" x14ac:dyDescent="0.25">
      <c r="A5118" s="8" t="s">
        <v>63</v>
      </c>
      <c r="B5118" s="11" t="s">
        <v>80</v>
      </c>
      <c r="C5118" s="8" t="str">
        <f>IFERROR(_xlfn.XLOOKUP(TRIM(B5118),Lookup!$B$2:$B$1000,Lookup!$C$2:$C$1000),"")</f>
        <v>Debt - Short Term</v>
      </c>
      <c r="D5118" s="8" t="str">
        <f>IFERROR(INDEX('nav master'!$C:$C, MATCH(B5118, 'nav master'!$B:$B, 0)), "")</f>
        <v>ULIF 013 04/01/07 WLF 110</v>
      </c>
      <c r="E5118" s="8">
        <v>37.269100000000002</v>
      </c>
      <c r="F5118" s="9">
        <v>46209</v>
      </c>
    </row>
    <row r="5119" spans="1:6" ht="105" x14ac:dyDescent="0.25">
      <c r="A5119" s="8" t="s">
        <v>63</v>
      </c>
      <c r="B5119" s="11" t="s">
        <v>80</v>
      </c>
      <c r="C5119" s="8" t="str">
        <f>IFERROR(_xlfn.XLOOKUP(TRIM(B5119),Lookup!$B$2:$B$1000,Lookup!$C$2:$C$1000),"")</f>
        <v>Debt - Short Term</v>
      </c>
      <c r="D5119" s="8" t="str">
        <f>IFERROR(INDEX('nav master'!$C:$C, MATCH(B5119, 'nav master'!$B:$B, 0)), "")</f>
        <v>ULIF 013 04/01/07 WLF 110</v>
      </c>
      <c r="E5119" s="8">
        <v>37.2667</v>
      </c>
      <c r="F5119" s="9">
        <v>46210</v>
      </c>
    </row>
    <row r="5120" spans="1:6" ht="105" x14ac:dyDescent="0.25">
      <c r="A5120" s="8" t="s">
        <v>63</v>
      </c>
      <c r="B5120" s="11" t="s">
        <v>80</v>
      </c>
      <c r="C5120" s="8" t="str">
        <f>IFERROR(_xlfn.XLOOKUP(TRIM(B5120),Lookup!$B$2:$B$1000,Lookup!$C$2:$C$1000),"")</f>
        <v>Debt - Short Term</v>
      </c>
      <c r="D5120" s="8" t="str">
        <f>IFERROR(INDEX('nav master'!$C:$C, MATCH(B5120, 'nav master'!$B:$B, 0)), "")</f>
        <v>ULIF 013 04/01/07 WLF 110</v>
      </c>
      <c r="E5120" s="8">
        <v>37.210900000000002</v>
      </c>
      <c r="F5120" s="9">
        <v>46211</v>
      </c>
    </row>
    <row r="5121" spans="1:6" ht="105" x14ac:dyDescent="0.25">
      <c r="A5121" s="8" t="s">
        <v>63</v>
      </c>
      <c r="B5121" s="11" t="s">
        <v>80</v>
      </c>
      <c r="C5121" s="8" t="str">
        <f>IFERROR(_xlfn.XLOOKUP(TRIM(B5121),Lookup!$B$2:$B$1000,Lookup!$C$2:$C$1000),"")</f>
        <v>Debt - Short Term</v>
      </c>
      <c r="D5121" s="8" t="str">
        <f>IFERROR(INDEX('nav master'!$C:$C, MATCH(B5121, 'nav master'!$B:$B, 0)), "")</f>
        <v>ULIF 013 04/01/07 WLF 110</v>
      </c>
      <c r="E5121" s="8">
        <v>37.227800000000002</v>
      </c>
      <c r="F5121" s="9">
        <v>46212</v>
      </c>
    </row>
    <row r="5122" spans="1:6" ht="105" x14ac:dyDescent="0.25">
      <c r="A5122" s="8" t="s">
        <v>63</v>
      </c>
      <c r="B5122" s="11" t="s">
        <v>80</v>
      </c>
      <c r="C5122" s="8" t="str">
        <f>IFERROR(_xlfn.XLOOKUP(TRIM(B5122),Lookup!$B$2:$B$1000,Lookup!$C$2:$C$1000),"")</f>
        <v>Debt - Short Term</v>
      </c>
      <c r="D5122" s="8" t="str">
        <f>IFERROR(INDEX('nav master'!$C:$C, MATCH(B5122, 'nav master'!$B:$B, 0)), "")</f>
        <v>ULIF 013 04/01/07 WLF 110</v>
      </c>
      <c r="E5122" s="8">
        <v>37.259</v>
      </c>
      <c r="F5122" s="9">
        <v>46213</v>
      </c>
    </row>
    <row r="5123" spans="1:6" ht="105" x14ac:dyDescent="0.25">
      <c r="A5123" s="8" t="s">
        <v>63</v>
      </c>
      <c r="B5123" s="11" t="s">
        <v>80</v>
      </c>
      <c r="C5123" s="8" t="str">
        <f>IFERROR(_xlfn.XLOOKUP(TRIM(B5123),Lookup!$B$2:$B$1000,Lookup!$C$2:$C$1000),"")</f>
        <v>Debt - Short Term</v>
      </c>
      <c r="D5123" s="8" t="str">
        <f>IFERROR(INDEX('nav master'!$C:$C, MATCH(B5123, 'nav master'!$B:$B, 0)), "")</f>
        <v>ULIF 013 04/01/07 WLF 110</v>
      </c>
      <c r="E5123" s="8">
        <v>37.257800000000003</v>
      </c>
      <c r="F5123" s="9">
        <v>46216</v>
      </c>
    </row>
    <row r="5124" spans="1:6" ht="105" x14ac:dyDescent="0.25">
      <c r="A5124" s="8" t="s">
        <v>63</v>
      </c>
      <c r="B5124" s="11" t="s">
        <v>80</v>
      </c>
      <c r="C5124" s="8" t="str">
        <f>IFERROR(_xlfn.XLOOKUP(TRIM(B5124),Lookup!$B$2:$B$1000,Lookup!$C$2:$C$1000),"")</f>
        <v>Debt - Short Term</v>
      </c>
      <c r="D5124" s="8" t="str">
        <f>IFERROR(INDEX('nav master'!$C:$C, MATCH(B5124, 'nav master'!$B:$B, 0)), "")</f>
        <v>ULIF 013 04/01/07 WLF 110</v>
      </c>
      <c r="E5124" s="8">
        <v>37.225499999999997</v>
      </c>
      <c r="F5124" s="9">
        <v>46217</v>
      </c>
    </row>
    <row r="5125" spans="1:6" ht="105" x14ac:dyDescent="0.25">
      <c r="A5125" s="8" t="s">
        <v>63</v>
      </c>
      <c r="B5125" s="11" t="s">
        <v>80</v>
      </c>
      <c r="C5125" s="8" t="str">
        <f>IFERROR(_xlfn.XLOOKUP(TRIM(B5125),Lookup!$B$2:$B$1000,Lookup!$C$2:$C$1000),"")</f>
        <v>Debt - Short Term</v>
      </c>
      <c r="D5125" s="8" t="str">
        <f>IFERROR(INDEX('nav master'!$C:$C, MATCH(B5125, 'nav master'!$B:$B, 0)), "")</f>
        <v>ULIF 013 04/01/07 WLF 110</v>
      </c>
      <c r="E5125" s="8">
        <v>37.238100000000003</v>
      </c>
      <c r="F5125" s="9">
        <v>46218</v>
      </c>
    </row>
    <row r="5126" spans="1:6" ht="105" x14ac:dyDescent="0.25">
      <c r="A5126" s="8" t="s">
        <v>63</v>
      </c>
      <c r="B5126" s="11" t="s">
        <v>80</v>
      </c>
      <c r="C5126" s="8" t="str">
        <f>IFERROR(_xlfn.XLOOKUP(TRIM(B5126),Lookup!$B$2:$B$1000,Lookup!$C$2:$C$1000),"")</f>
        <v>Debt - Short Term</v>
      </c>
      <c r="D5126" s="8" t="str">
        <f>IFERROR(INDEX('nav master'!$C:$C, MATCH(B5126, 'nav master'!$B:$B, 0)), "")</f>
        <v>ULIF 013 04/01/07 WLF 110</v>
      </c>
      <c r="E5126" s="8">
        <v>37.259399999999999</v>
      </c>
      <c r="F5126" s="9">
        <v>46219</v>
      </c>
    </row>
    <row r="5127" spans="1:6" ht="105" x14ac:dyDescent="0.25">
      <c r="A5127" s="8" t="s">
        <v>63</v>
      </c>
      <c r="B5127" s="11" t="s">
        <v>80</v>
      </c>
      <c r="C5127" s="8" t="str">
        <f>IFERROR(_xlfn.XLOOKUP(TRIM(B5127),Lookup!$B$2:$B$1000,Lookup!$C$2:$C$1000),"")</f>
        <v>Debt - Short Term</v>
      </c>
      <c r="D5127" s="8" t="str">
        <f>IFERROR(INDEX('nav master'!$C:$C, MATCH(B5127, 'nav master'!$B:$B, 0)), "")</f>
        <v>ULIF 013 04/01/07 WLF 110</v>
      </c>
      <c r="E5127" s="8">
        <v>37.271999999999998</v>
      </c>
      <c r="F5127" s="9">
        <v>46220</v>
      </c>
    </row>
    <row r="5128" spans="1:6" ht="105" x14ac:dyDescent="0.25">
      <c r="A5128" s="8" t="s">
        <v>63</v>
      </c>
      <c r="B5128" s="11" t="s">
        <v>80</v>
      </c>
      <c r="C5128" s="8" t="str">
        <f>IFERROR(_xlfn.XLOOKUP(TRIM(B5128),Lookup!$B$2:$B$1000,Lookup!$C$2:$C$1000),"")</f>
        <v>Debt - Short Term</v>
      </c>
      <c r="D5128" s="8" t="str">
        <f>IFERROR(INDEX('nav master'!$C:$C, MATCH(B5128, 'nav master'!$B:$B, 0)), "")</f>
        <v>ULIF 013 04/01/07 WLF 110</v>
      </c>
      <c r="E5128" s="8">
        <v>37.274500000000003</v>
      </c>
      <c r="F5128" s="9">
        <v>46223</v>
      </c>
    </row>
    <row r="5129" spans="1:6" ht="105" x14ac:dyDescent="0.25">
      <c r="A5129" s="8" t="s">
        <v>63</v>
      </c>
      <c r="B5129" s="11" t="s">
        <v>80</v>
      </c>
      <c r="C5129" s="8" t="str">
        <f>IFERROR(_xlfn.XLOOKUP(TRIM(B5129),Lookup!$B$2:$B$1000,Lookup!$C$2:$C$1000),"")</f>
        <v>Debt - Short Term</v>
      </c>
      <c r="D5129" s="8" t="str">
        <f>IFERROR(INDEX('nav master'!$C:$C, MATCH(B5129, 'nav master'!$B:$B, 0)), "")</f>
        <v>ULIF 013 04/01/07 WLF 110</v>
      </c>
      <c r="E5129" s="8">
        <v>37.289499999999997</v>
      </c>
      <c r="F5129" s="9">
        <v>46224</v>
      </c>
    </row>
    <row r="5130" spans="1:6" ht="105" x14ac:dyDescent="0.25">
      <c r="A5130" s="8" t="s">
        <v>63</v>
      </c>
      <c r="B5130" s="11" t="s">
        <v>80</v>
      </c>
      <c r="C5130" s="8" t="str">
        <f>IFERROR(_xlfn.XLOOKUP(TRIM(B5130),Lookup!$B$2:$B$1000,Lookup!$C$2:$C$1000),"")</f>
        <v>Debt - Short Term</v>
      </c>
      <c r="D5130" s="8" t="str">
        <f>IFERROR(INDEX('nav master'!$C:$C, MATCH(B5130, 'nav master'!$B:$B, 0)), "")</f>
        <v>ULIF 013 04/01/07 WLF 110</v>
      </c>
      <c r="E5130" s="8">
        <v>37.270699999999998</v>
      </c>
      <c r="F5130" s="9">
        <v>46225</v>
      </c>
    </row>
    <row r="5131" spans="1:6" ht="105" x14ac:dyDescent="0.25">
      <c r="A5131" s="8" t="s">
        <v>63</v>
      </c>
      <c r="B5131" s="11" t="s">
        <v>80</v>
      </c>
      <c r="C5131" s="8" t="str">
        <f>IFERROR(_xlfn.XLOOKUP(TRIM(B5131),Lookup!$B$2:$B$1000,Lookup!$C$2:$C$1000),"")</f>
        <v>Debt - Short Term</v>
      </c>
      <c r="D5131" s="8" t="str">
        <f>IFERROR(INDEX('nav master'!$C:$C, MATCH(B5131, 'nav master'!$B:$B, 0)), "")</f>
        <v>ULIF 013 04/01/07 WLF 110</v>
      </c>
      <c r="E5131" s="8">
        <v>37.279800000000002</v>
      </c>
      <c r="F5131" s="9">
        <v>46226</v>
      </c>
    </row>
    <row r="5132" spans="1:6" ht="105" x14ac:dyDescent="0.25">
      <c r="A5132" s="8" t="s">
        <v>63</v>
      </c>
      <c r="B5132" s="11" t="s">
        <v>80</v>
      </c>
      <c r="C5132" s="8" t="str">
        <f>IFERROR(_xlfn.XLOOKUP(TRIM(B5132),Lookup!$B$2:$B$1000,Lookup!$C$2:$C$1000),"")</f>
        <v>Debt - Short Term</v>
      </c>
      <c r="D5132" s="8" t="str">
        <f>IFERROR(INDEX('nav master'!$C:$C, MATCH(B5132, 'nav master'!$B:$B, 0)), "")</f>
        <v>ULIF 013 04/01/07 WLF 110</v>
      </c>
      <c r="E5132" s="8">
        <v>37.2834</v>
      </c>
      <c r="F5132" s="9">
        <v>46227</v>
      </c>
    </row>
    <row r="5133" spans="1:6" ht="105" x14ac:dyDescent="0.25">
      <c r="A5133" s="8" t="s">
        <v>63</v>
      </c>
      <c r="B5133" s="11" t="s">
        <v>80</v>
      </c>
      <c r="C5133" s="8" t="str">
        <f>IFERROR(_xlfn.XLOOKUP(TRIM(B5133),Lookup!$B$2:$B$1000,Lookup!$C$2:$C$1000),"")</f>
        <v>Debt - Short Term</v>
      </c>
      <c r="D5133" s="8" t="str">
        <f>IFERROR(INDEX('nav master'!$C:$C, MATCH(B5133, 'nav master'!$B:$B, 0)), "")</f>
        <v>ULIF 013 04/01/07 WLF 110</v>
      </c>
      <c r="E5133" s="8">
        <v>37.333799999999997</v>
      </c>
      <c r="F5133" s="9">
        <v>46230</v>
      </c>
    </row>
    <row r="5134" spans="1:6" ht="105" x14ac:dyDescent="0.25">
      <c r="A5134" s="8" t="s">
        <v>63</v>
      </c>
      <c r="B5134" s="11" t="s">
        <v>80</v>
      </c>
      <c r="C5134" s="8" t="str">
        <f>IFERROR(_xlfn.XLOOKUP(TRIM(B5134),Lookup!$B$2:$B$1000,Lookup!$C$2:$C$1000),"")</f>
        <v>Debt - Short Term</v>
      </c>
      <c r="D5134" s="8" t="str">
        <f>IFERROR(INDEX('nav master'!$C:$C, MATCH(B5134, 'nav master'!$B:$B, 0)), "")</f>
        <v>ULIF 013 04/01/07 WLF 110</v>
      </c>
      <c r="E5134" s="8">
        <v>37.341900000000003</v>
      </c>
      <c r="F5134" s="9">
        <v>46231</v>
      </c>
    </row>
    <row r="5135" spans="1:6" ht="105" x14ac:dyDescent="0.25">
      <c r="A5135" s="8" t="s">
        <v>63</v>
      </c>
      <c r="B5135" s="11" t="s">
        <v>80</v>
      </c>
      <c r="C5135" s="8" t="str">
        <f>IFERROR(_xlfn.XLOOKUP(TRIM(B5135),Lookup!$B$2:$B$1000,Lookup!$C$2:$C$1000),"")</f>
        <v>Debt - Short Term</v>
      </c>
      <c r="D5135" s="8" t="str">
        <f>IFERROR(INDEX('nav master'!$C:$C, MATCH(B5135, 'nav master'!$B:$B, 0)), "")</f>
        <v>ULIF 013 04/01/07 WLF 110</v>
      </c>
      <c r="E5135" s="8">
        <v>37.340000000000003</v>
      </c>
      <c r="F5135" s="9">
        <v>46232</v>
      </c>
    </row>
    <row r="5136" spans="1:6" ht="105" x14ac:dyDescent="0.25">
      <c r="A5136" s="8" t="s">
        <v>63</v>
      </c>
      <c r="B5136" s="11" t="s">
        <v>80</v>
      </c>
      <c r="C5136" s="8" t="str">
        <f>IFERROR(_xlfn.XLOOKUP(TRIM(B5136),Lookup!$B$2:$B$1000,Lookup!$C$2:$C$1000),"")</f>
        <v>Debt - Short Term</v>
      </c>
      <c r="D5136" s="8" t="str">
        <f>IFERROR(INDEX('nav master'!$C:$C, MATCH(B5136, 'nav master'!$B:$B, 0)), "")</f>
        <v>ULIF 013 04/01/07 WLF 110</v>
      </c>
      <c r="E5136" s="8">
        <v>37.333300000000001</v>
      </c>
      <c r="F5136" s="9">
        <v>46233</v>
      </c>
    </row>
    <row r="5137" spans="1:6" ht="105" x14ac:dyDescent="0.25">
      <c r="A5137" s="8" t="s">
        <v>63</v>
      </c>
      <c r="B5137" s="11" t="s">
        <v>80</v>
      </c>
      <c r="C5137" s="8" t="str">
        <f>IFERROR(_xlfn.XLOOKUP(TRIM(B5137),Lookup!$B$2:$B$1000,Lookup!$C$2:$C$1000),"")</f>
        <v>Debt - Short Term</v>
      </c>
      <c r="D5137" s="8" t="str">
        <f>IFERROR(INDEX('nav master'!$C:$C, MATCH(B5137, 'nav master'!$B:$B, 0)), "")</f>
        <v>ULIF 013 04/01/07 WLF 110</v>
      </c>
      <c r="E5137" s="8">
        <v>37.342700000000001</v>
      </c>
      <c r="F5137" s="9">
        <v>46234</v>
      </c>
    </row>
    <row r="5138" spans="1:6" ht="75" x14ac:dyDescent="0.25">
      <c r="A5138" s="8" t="s">
        <v>63</v>
      </c>
      <c r="B5138" s="8" t="s">
        <v>81</v>
      </c>
      <c r="C5138" s="8" t="str">
        <f>IFERROR(_xlfn.XLOOKUP(TRIM(B5138),Lookup!$B$2:$B$1000,Lookup!$C$2:$C$1000),"")</f>
        <v>Balanced - Debt Oriented</v>
      </c>
      <c r="D5138" s="8" t="str">
        <f>IFERROR(INDEX('nav master'!$C:$C, MATCH(B5138, 'nav master'!$B:$B, 0)), "")</f>
        <v>ULIF 011 04/01/07 WLS 110</v>
      </c>
      <c r="E5138" s="8">
        <v>65.096800000000002</v>
      </c>
      <c r="F5138" s="9">
        <v>45869</v>
      </c>
    </row>
    <row r="5139" spans="1:6" ht="75" x14ac:dyDescent="0.25">
      <c r="A5139" s="8" t="s">
        <v>63</v>
      </c>
      <c r="B5139" s="8" t="s">
        <v>81</v>
      </c>
      <c r="C5139" s="8" t="str">
        <f>IFERROR(_xlfn.XLOOKUP(TRIM(B5139),Lookup!$B$2:$B$1000,Lookup!$C$2:$C$1000),"")</f>
        <v>Balanced - Debt Oriented</v>
      </c>
      <c r="D5139" s="8" t="str">
        <f>IFERROR(INDEX('nav master'!$C:$C, MATCH(B5139, 'nav master'!$B:$B, 0)), "")</f>
        <v>ULIF 011 04/01/07 WLS 110</v>
      </c>
      <c r="E5139" s="8">
        <v>64.702699999999993</v>
      </c>
      <c r="F5139" s="9">
        <v>45870</v>
      </c>
    </row>
    <row r="5140" spans="1:6" ht="75" x14ac:dyDescent="0.25">
      <c r="A5140" s="8" t="s">
        <v>63</v>
      </c>
      <c r="B5140" s="8" t="s">
        <v>81</v>
      </c>
      <c r="C5140" s="8" t="str">
        <f>IFERROR(_xlfn.XLOOKUP(TRIM(B5140),Lookup!$B$2:$B$1000,Lookup!$C$2:$C$1000),"")</f>
        <v>Balanced - Debt Oriented</v>
      </c>
      <c r="D5140" s="8" t="str">
        <f>IFERROR(INDEX('nav master'!$C:$C, MATCH(B5140, 'nav master'!$B:$B, 0)), "")</f>
        <v>ULIF 011 04/01/07 WLS 110</v>
      </c>
      <c r="E5140" s="8">
        <v>65.003</v>
      </c>
      <c r="F5140" s="9">
        <v>45873</v>
      </c>
    </row>
    <row r="5141" spans="1:6" ht="75" x14ac:dyDescent="0.25">
      <c r="A5141" s="8" t="s">
        <v>63</v>
      </c>
      <c r="B5141" s="8" t="s">
        <v>81</v>
      </c>
      <c r="C5141" s="8" t="str">
        <f>IFERROR(_xlfn.XLOOKUP(TRIM(B5141),Lookup!$B$2:$B$1000,Lookup!$C$2:$C$1000),"")</f>
        <v>Balanced - Debt Oriented</v>
      </c>
      <c r="D5141" s="8" t="str">
        <f>IFERROR(INDEX('nav master'!$C:$C, MATCH(B5141, 'nav master'!$B:$B, 0)), "")</f>
        <v>ULIF 011 04/01/07 WLS 110</v>
      </c>
      <c r="E5141" s="8">
        <v>64.899799999999999</v>
      </c>
      <c r="F5141" s="9">
        <v>45874</v>
      </c>
    </row>
    <row r="5142" spans="1:6" ht="75" x14ac:dyDescent="0.25">
      <c r="A5142" s="8" t="s">
        <v>63</v>
      </c>
      <c r="B5142" s="8" t="s">
        <v>81</v>
      </c>
      <c r="C5142" s="8" t="str">
        <f>IFERROR(_xlfn.XLOOKUP(TRIM(B5142),Lookup!$B$2:$B$1000,Lookup!$C$2:$C$1000),"")</f>
        <v>Balanced - Debt Oriented</v>
      </c>
      <c r="D5142" s="8" t="str">
        <f>IFERROR(INDEX('nav master'!$C:$C, MATCH(B5142, 'nav master'!$B:$B, 0)), "")</f>
        <v>ULIF 011 04/01/07 WLS 110</v>
      </c>
      <c r="E5142" s="8">
        <v>64.459599999999995</v>
      </c>
      <c r="F5142" s="9">
        <v>45875</v>
      </c>
    </row>
    <row r="5143" spans="1:6" ht="75" x14ac:dyDescent="0.25">
      <c r="A5143" s="8" t="s">
        <v>63</v>
      </c>
      <c r="B5143" s="8" t="s">
        <v>81</v>
      </c>
      <c r="C5143" s="8" t="str">
        <f>IFERROR(_xlfn.XLOOKUP(TRIM(B5143),Lookup!$B$2:$B$1000,Lookup!$C$2:$C$1000),"")</f>
        <v>Balanced - Debt Oriented</v>
      </c>
      <c r="D5143" s="8" t="str">
        <f>IFERROR(INDEX('nav master'!$C:$C, MATCH(B5143, 'nav master'!$B:$B, 0)), "")</f>
        <v>ULIF 011 04/01/07 WLS 110</v>
      </c>
      <c r="E5143" s="8">
        <v>64.510199999999998</v>
      </c>
      <c r="F5143" s="9">
        <v>45876</v>
      </c>
    </row>
    <row r="5144" spans="1:6" ht="75" x14ac:dyDescent="0.25">
      <c r="A5144" s="8" t="s">
        <v>63</v>
      </c>
      <c r="B5144" s="8" t="s">
        <v>81</v>
      </c>
      <c r="C5144" s="8" t="str">
        <f>IFERROR(_xlfn.XLOOKUP(TRIM(B5144),Lookup!$B$2:$B$1000,Lookup!$C$2:$C$1000),"")</f>
        <v>Balanced - Debt Oriented</v>
      </c>
      <c r="D5144" s="8" t="str">
        <f>IFERROR(INDEX('nav master'!$C:$C, MATCH(B5144, 'nav master'!$B:$B, 0)), "")</f>
        <v>ULIF 011 04/01/07 WLS 110</v>
      </c>
      <c r="E5144" s="8">
        <v>64.196200000000005</v>
      </c>
      <c r="F5144" s="9">
        <v>45877</v>
      </c>
    </row>
    <row r="5145" spans="1:6" ht="75" x14ac:dyDescent="0.25">
      <c r="A5145" s="8" t="s">
        <v>63</v>
      </c>
      <c r="B5145" s="8" t="s">
        <v>81</v>
      </c>
      <c r="C5145" s="8" t="str">
        <f>IFERROR(_xlfn.XLOOKUP(TRIM(B5145),Lookup!$B$2:$B$1000,Lookup!$C$2:$C$1000),"")</f>
        <v>Balanced - Debt Oriented</v>
      </c>
      <c r="D5145" s="8" t="str">
        <f>IFERROR(INDEX('nav master'!$C:$C, MATCH(B5145, 'nav master'!$B:$B, 0)), "")</f>
        <v>ULIF 011 04/01/07 WLS 110</v>
      </c>
      <c r="E5145" s="8">
        <v>64.351799999999997</v>
      </c>
      <c r="F5145" s="9">
        <v>45880</v>
      </c>
    </row>
    <row r="5146" spans="1:6" ht="75" x14ac:dyDescent="0.25">
      <c r="A5146" s="8" t="s">
        <v>63</v>
      </c>
      <c r="B5146" s="8" t="s">
        <v>81</v>
      </c>
      <c r="C5146" s="8" t="str">
        <f>IFERROR(_xlfn.XLOOKUP(TRIM(B5146),Lookup!$B$2:$B$1000,Lookup!$C$2:$C$1000),"")</f>
        <v>Balanced - Debt Oriented</v>
      </c>
      <c r="D5146" s="8" t="str">
        <f>IFERROR(INDEX('nav master'!$C:$C, MATCH(B5146, 'nav master'!$B:$B, 0)), "")</f>
        <v>ULIF 011 04/01/07 WLS 110</v>
      </c>
      <c r="E5146" s="8">
        <v>64.240499999999997</v>
      </c>
      <c r="F5146" s="9">
        <v>45881</v>
      </c>
    </row>
    <row r="5147" spans="1:6" ht="75" x14ac:dyDescent="0.25">
      <c r="A5147" s="8" t="s">
        <v>63</v>
      </c>
      <c r="B5147" s="8" t="s">
        <v>81</v>
      </c>
      <c r="C5147" s="8" t="str">
        <f>IFERROR(_xlfn.XLOOKUP(TRIM(B5147),Lookup!$B$2:$B$1000,Lookup!$C$2:$C$1000),"")</f>
        <v>Balanced - Debt Oriented</v>
      </c>
      <c r="D5147" s="8" t="str">
        <f>IFERROR(INDEX('nav master'!$C:$C, MATCH(B5147, 'nav master'!$B:$B, 0)), "")</f>
        <v>ULIF 011 04/01/07 WLS 110</v>
      </c>
      <c r="E5147" s="8">
        <v>64.407700000000006</v>
      </c>
      <c r="F5147" s="9">
        <v>45882</v>
      </c>
    </row>
    <row r="5148" spans="1:6" ht="75" x14ac:dyDescent="0.25">
      <c r="A5148" s="8" t="s">
        <v>63</v>
      </c>
      <c r="B5148" s="8" t="s">
        <v>81</v>
      </c>
      <c r="C5148" s="8" t="str">
        <f>IFERROR(_xlfn.XLOOKUP(TRIM(B5148),Lookup!$B$2:$B$1000,Lookup!$C$2:$C$1000),"")</f>
        <v>Balanced - Debt Oriented</v>
      </c>
      <c r="D5148" s="8" t="str">
        <f>IFERROR(INDEX('nav master'!$C:$C, MATCH(B5148, 'nav master'!$B:$B, 0)), "")</f>
        <v>ULIF 011 04/01/07 WLS 110</v>
      </c>
      <c r="E5148" s="8">
        <v>64.611699999999999</v>
      </c>
      <c r="F5148" s="9">
        <v>45883</v>
      </c>
    </row>
    <row r="5149" spans="1:6" ht="75" x14ac:dyDescent="0.25">
      <c r="A5149" s="8" t="s">
        <v>63</v>
      </c>
      <c r="B5149" s="8" t="s">
        <v>81</v>
      </c>
      <c r="C5149" s="8" t="str">
        <f>IFERROR(_xlfn.XLOOKUP(TRIM(B5149),Lookup!$B$2:$B$1000,Lookup!$C$2:$C$1000),"")</f>
        <v>Balanced - Debt Oriented</v>
      </c>
      <c r="D5149" s="8" t="str">
        <f>IFERROR(INDEX('nav master'!$C:$C, MATCH(B5149, 'nav master'!$B:$B, 0)), "")</f>
        <v>ULIF 011 04/01/07 WLS 110</v>
      </c>
      <c r="E5149" s="8">
        <v>64.812700000000007</v>
      </c>
      <c r="F5149" s="9">
        <v>45887</v>
      </c>
    </row>
    <row r="5150" spans="1:6" ht="75" x14ac:dyDescent="0.25">
      <c r="A5150" s="8" t="s">
        <v>63</v>
      </c>
      <c r="B5150" s="8" t="s">
        <v>81</v>
      </c>
      <c r="C5150" s="8" t="str">
        <f>IFERROR(_xlfn.XLOOKUP(TRIM(B5150),Lookup!$B$2:$B$1000,Lookup!$C$2:$C$1000),"")</f>
        <v>Balanced - Debt Oriented</v>
      </c>
      <c r="D5150" s="8" t="str">
        <f>IFERROR(INDEX('nav master'!$C:$C, MATCH(B5150, 'nav master'!$B:$B, 0)), "")</f>
        <v>ULIF 011 04/01/07 WLS 110</v>
      </c>
      <c r="E5150" s="8">
        <v>64.864699999999999</v>
      </c>
      <c r="F5150" s="9">
        <v>45888</v>
      </c>
    </row>
    <row r="5151" spans="1:6" ht="75" x14ac:dyDescent="0.25">
      <c r="A5151" s="8" t="s">
        <v>63</v>
      </c>
      <c r="B5151" s="8" t="s">
        <v>81</v>
      </c>
      <c r="C5151" s="8" t="str">
        <f>IFERROR(_xlfn.XLOOKUP(TRIM(B5151),Lookup!$B$2:$B$1000,Lookup!$C$2:$C$1000),"")</f>
        <v>Balanced - Debt Oriented</v>
      </c>
      <c r="D5151" s="8" t="str">
        <f>IFERROR(INDEX('nav master'!$C:$C, MATCH(B5151, 'nav master'!$B:$B, 0)), "")</f>
        <v>ULIF 011 04/01/07 WLS 110</v>
      </c>
      <c r="E5151" s="8">
        <v>65.076800000000006</v>
      </c>
      <c r="F5151" s="9">
        <v>45889</v>
      </c>
    </row>
    <row r="5152" spans="1:6" ht="75" x14ac:dyDescent="0.25">
      <c r="A5152" s="8" t="s">
        <v>63</v>
      </c>
      <c r="B5152" s="8" t="s">
        <v>81</v>
      </c>
      <c r="C5152" s="8" t="str">
        <f>IFERROR(_xlfn.XLOOKUP(TRIM(B5152),Lookup!$B$2:$B$1000,Lookup!$C$2:$C$1000),"")</f>
        <v>Balanced - Debt Oriented</v>
      </c>
      <c r="D5152" s="8" t="str">
        <f>IFERROR(INDEX('nav master'!$C:$C, MATCH(B5152, 'nav master'!$B:$B, 0)), "")</f>
        <v>ULIF 011 04/01/07 WLS 110</v>
      </c>
      <c r="E5152" s="8">
        <v>64.953299999999999</v>
      </c>
      <c r="F5152" s="9">
        <v>45890</v>
      </c>
    </row>
    <row r="5153" spans="1:6" ht="75" x14ac:dyDescent="0.25">
      <c r="A5153" s="8" t="s">
        <v>63</v>
      </c>
      <c r="B5153" s="8" t="s">
        <v>81</v>
      </c>
      <c r="C5153" s="8" t="str">
        <f>IFERROR(_xlfn.XLOOKUP(TRIM(B5153),Lookup!$B$2:$B$1000,Lookup!$C$2:$C$1000),"")</f>
        <v>Balanced - Debt Oriented</v>
      </c>
      <c r="D5153" s="8" t="str">
        <f>IFERROR(INDEX('nav master'!$C:$C, MATCH(B5153, 'nav master'!$B:$B, 0)), "")</f>
        <v>ULIF 011 04/01/07 WLS 110</v>
      </c>
      <c r="E5153" s="8">
        <v>64.900300000000001</v>
      </c>
      <c r="F5153" s="9">
        <v>45891</v>
      </c>
    </row>
    <row r="5154" spans="1:6" ht="75" x14ac:dyDescent="0.25">
      <c r="A5154" s="8" t="s">
        <v>63</v>
      </c>
      <c r="B5154" s="8" t="s">
        <v>81</v>
      </c>
      <c r="C5154" s="8" t="str">
        <f>IFERROR(_xlfn.XLOOKUP(TRIM(B5154),Lookup!$B$2:$B$1000,Lookup!$C$2:$C$1000),"")</f>
        <v>Balanced - Debt Oriented</v>
      </c>
      <c r="D5154" s="8" t="str">
        <f>IFERROR(INDEX('nav master'!$C:$C, MATCH(B5154, 'nav master'!$B:$B, 0)), "")</f>
        <v>ULIF 011 04/01/07 WLS 110</v>
      </c>
      <c r="E5154" s="8">
        <v>64.928799999999995</v>
      </c>
      <c r="F5154" s="9">
        <v>45894</v>
      </c>
    </row>
    <row r="5155" spans="1:6" ht="75" x14ac:dyDescent="0.25">
      <c r="A5155" s="8" t="s">
        <v>63</v>
      </c>
      <c r="B5155" s="8" t="s">
        <v>81</v>
      </c>
      <c r="C5155" s="8" t="str">
        <f>IFERROR(_xlfn.XLOOKUP(TRIM(B5155),Lookup!$B$2:$B$1000,Lookup!$C$2:$C$1000),"")</f>
        <v>Balanced - Debt Oriented</v>
      </c>
      <c r="D5155" s="8" t="str">
        <f>IFERROR(INDEX('nav master'!$C:$C, MATCH(B5155, 'nav master'!$B:$B, 0)), "")</f>
        <v>ULIF 011 04/01/07 WLS 110</v>
      </c>
      <c r="E5155" s="8">
        <v>64.428799999999995</v>
      </c>
      <c r="F5155" s="9">
        <v>45895</v>
      </c>
    </row>
    <row r="5156" spans="1:6" ht="75" x14ac:dyDescent="0.25">
      <c r="A5156" s="8" t="s">
        <v>63</v>
      </c>
      <c r="B5156" s="8" t="s">
        <v>81</v>
      </c>
      <c r="C5156" s="8" t="str">
        <f>IFERROR(_xlfn.XLOOKUP(TRIM(B5156),Lookup!$B$2:$B$1000,Lookup!$C$2:$C$1000),"")</f>
        <v>Balanced - Debt Oriented</v>
      </c>
      <c r="D5156" s="8" t="str">
        <f>IFERROR(INDEX('nav master'!$C:$C, MATCH(B5156, 'nav master'!$B:$B, 0)), "")</f>
        <v>ULIF 011 04/01/07 WLS 110</v>
      </c>
      <c r="E5156" s="8">
        <v>64.182599999999994</v>
      </c>
      <c r="F5156" s="9">
        <v>45897</v>
      </c>
    </row>
    <row r="5157" spans="1:6" ht="75" x14ac:dyDescent="0.25">
      <c r="A5157" s="8" t="s">
        <v>63</v>
      </c>
      <c r="B5157" s="8" t="s">
        <v>81</v>
      </c>
      <c r="C5157" s="8" t="str">
        <f>IFERROR(_xlfn.XLOOKUP(TRIM(B5157),Lookup!$B$2:$B$1000,Lookup!$C$2:$C$1000),"")</f>
        <v>Balanced - Debt Oriented</v>
      </c>
      <c r="D5157" s="8" t="str">
        <f>IFERROR(INDEX('nav master'!$C:$C, MATCH(B5157, 'nav master'!$B:$B, 0)), "")</f>
        <v>ULIF 011 04/01/07 WLS 110</v>
      </c>
      <c r="E5157" s="8">
        <v>63.8748</v>
      </c>
      <c r="F5157" s="9">
        <v>45898</v>
      </c>
    </row>
    <row r="5158" spans="1:6" ht="75" x14ac:dyDescent="0.25">
      <c r="A5158" s="8" t="s">
        <v>63</v>
      </c>
      <c r="B5158" s="8" t="s">
        <v>81</v>
      </c>
      <c r="C5158" s="8" t="str">
        <f>IFERROR(_xlfn.XLOOKUP(TRIM(B5158),Lookup!$B$2:$B$1000,Lookup!$C$2:$C$1000),"")</f>
        <v>Balanced - Debt Oriented</v>
      </c>
      <c r="D5158" s="8" t="str">
        <f>IFERROR(INDEX('nav master'!$C:$C, MATCH(B5158, 'nav master'!$B:$B, 0)), "")</f>
        <v>ULIF 011 04/01/07 WLS 110</v>
      </c>
      <c r="E5158" s="8">
        <v>64.208600000000004</v>
      </c>
      <c r="F5158" s="9">
        <v>45901</v>
      </c>
    </row>
    <row r="5159" spans="1:6" ht="75" x14ac:dyDescent="0.25">
      <c r="A5159" s="8" t="s">
        <v>63</v>
      </c>
      <c r="B5159" s="8" t="s">
        <v>81</v>
      </c>
      <c r="C5159" s="8" t="str">
        <f>IFERROR(_xlfn.XLOOKUP(TRIM(B5159),Lookup!$B$2:$B$1000,Lookup!$C$2:$C$1000),"")</f>
        <v>Balanced - Debt Oriented</v>
      </c>
      <c r="D5159" s="8" t="str">
        <f>IFERROR(INDEX('nav master'!$C:$C, MATCH(B5159, 'nav master'!$B:$B, 0)), "")</f>
        <v>ULIF 011 04/01/07 WLS 110</v>
      </c>
      <c r="E5159" s="8">
        <v>64.338700000000003</v>
      </c>
      <c r="F5159" s="9">
        <v>45902</v>
      </c>
    </row>
    <row r="5160" spans="1:6" ht="75" x14ac:dyDescent="0.25">
      <c r="A5160" s="8" t="s">
        <v>63</v>
      </c>
      <c r="B5160" s="8" t="s">
        <v>81</v>
      </c>
      <c r="C5160" s="8" t="str">
        <f>IFERROR(_xlfn.XLOOKUP(TRIM(B5160),Lookup!$B$2:$B$1000,Lookup!$C$2:$C$1000),"")</f>
        <v>Balanced - Debt Oriented</v>
      </c>
      <c r="D5160" s="8" t="str">
        <f>IFERROR(INDEX('nav master'!$C:$C, MATCH(B5160, 'nav master'!$B:$B, 0)), "")</f>
        <v>ULIF 011 04/01/07 WLS 110</v>
      </c>
      <c r="E5160" s="8">
        <v>64.612899999999996</v>
      </c>
      <c r="F5160" s="9">
        <v>45903</v>
      </c>
    </row>
    <row r="5161" spans="1:6" ht="75" x14ac:dyDescent="0.25">
      <c r="A5161" s="8" t="s">
        <v>63</v>
      </c>
      <c r="B5161" s="8" t="s">
        <v>81</v>
      </c>
      <c r="C5161" s="8" t="str">
        <f>IFERROR(_xlfn.XLOOKUP(TRIM(B5161),Lookup!$B$2:$B$1000,Lookup!$C$2:$C$1000),"")</f>
        <v>Balanced - Debt Oriented</v>
      </c>
      <c r="D5161" s="8" t="str">
        <f>IFERROR(INDEX('nav master'!$C:$C, MATCH(B5161, 'nav master'!$B:$B, 0)), "")</f>
        <v>ULIF 011 04/01/07 WLS 110</v>
      </c>
      <c r="E5161" s="8">
        <v>64.673000000000002</v>
      </c>
      <c r="F5161" s="9">
        <v>45904</v>
      </c>
    </row>
    <row r="5162" spans="1:6" ht="75" x14ac:dyDescent="0.25">
      <c r="A5162" s="8" t="s">
        <v>63</v>
      </c>
      <c r="B5162" s="8" t="s">
        <v>81</v>
      </c>
      <c r="C5162" s="8" t="str">
        <f>IFERROR(_xlfn.XLOOKUP(TRIM(B5162),Lookup!$B$2:$B$1000,Lookup!$C$2:$C$1000),"")</f>
        <v>Balanced - Debt Oriented</v>
      </c>
      <c r="D5162" s="8" t="str">
        <f>IFERROR(INDEX('nav master'!$C:$C, MATCH(B5162, 'nav master'!$B:$B, 0)), "")</f>
        <v>ULIF 011 04/01/07 WLS 110</v>
      </c>
      <c r="E5162" s="8">
        <v>64.787999999999997</v>
      </c>
      <c r="F5162" s="9">
        <v>45905</v>
      </c>
    </row>
    <row r="5163" spans="1:6" ht="75" x14ac:dyDescent="0.25">
      <c r="A5163" s="8" t="s">
        <v>63</v>
      </c>
      <c r="B5163" s="8" t="s">
        <v>81</v>
      </c>
      <c r="C5163" s="8" t="str">
        <f>IFERROR(_xlfn.XLOOKUP(TRIM(B5163),Lookup!$B$2:$B$1000,Lookup!$C$2:$C$1000),"")</f>
        <v>Balanced - Debt Oriented</v>
      </c>
      <c r="D5163" s="8" t="str">
        <f>IFERROR(INDEX('nav master'!$C:$C, MATCH(B5163, 'nav master'!$B:$B, 0)), "")</f>
        <v>ULIF 011 04/01/07 WLS 110</v>
      </c>
      <c r="E5163" s="8">
        <v>64.770300000000006</v>
      </c>
      <c r="F5163" s="9">
        <v>45908</v>
      </c>
    </row>
    <row r="5164" spans="1:6" ht="75" x14ac:dyDescent="0.25">
      <c r="A5164" s="8" t="s">
        <v>63</v>
      </c>
      <c r="B5164" s="8" t="s">
        <v>81</v>
      </c>
      <c r="C5164" s="8" t="str">
        <f>IFERROR(_xlfn.XLOOKUP(TRIM(B5164),Lookup!$B$2:$B$1000,Lookup!$C$2:$C$1000),"")</f>
        <v>Balanced - Debt Oriented</v>
      </c>
      <c r="D5164" s="8" t="str">
        <f>IFERROR(INDEX('nav master'!$C:$C, MATCH(B5164, 'nav master'!$B:$B, 0)), "")</f>
        <v>ULIF 011 04/01/07 WLS 110</v>
      </c>
      <c r="E5164" s="8">
        <v>64.808400000000006</v>
      </c>
      <c r="F5164" s="9">
        <v>45909</v>
      </c>
    </row>
    <row r="5165" spans="1:6" ht="75" x14ac:dyDescent="0.25">
      <c r="A5165" s="8" t="s">
        <v>63</v>
      </c>
      <c r="B5165" s="8" t="s">
        <v>81</v>
      </c>
      <c r="C5165" s="8" t="str">
        <f>IFERROR(_xlfn.XLOOKUP(TRIM(B5165),Lookup!$B$2:$B$1000,Lookup!$C$2:$C$1000),"")</f>
        <v>Balanced - Debt Oriented</v>
      </c>
      <c r="D5165" s="8" t="str">
        <f>IFERROR(INDEX('nav master'!$C:$C, MATCH(B5165, 'nav master'!$B:$B, 0)), "")</f>
        <v>ULIF 011 04/01/07 WLS 110</v>
      </c>
      <c r="E5165" s="8">
        <v>64.868899999999996</v>
      </c>
      <c r="F5165" s="9">
        <v>45910</v>
      </c>
    </row>
    <row r="5166" spans="1:6" ht="75" x14ac:dyDescent="0.25">
      <c r="A5166" s="8" t="s">
        <v>63</v>
      </c>
      <c r="B5166" s="8" t="s">
        <v>81</v>
      </c>
      <c r="C5166" s="8" t="str">
        <f>IFERROR(_xlfn.XLOOKUP(TRIM(B5166),Lookup!$B$2:$B$1000,Lookup!$C$2:$C$1000),"")</f>
        <v>Balanced - Debt Oriented</v>
      </c>
      <c r="D5166" s="8" t="str">
        <f>IFERROR(INDEX('nav master'!$C:$C, MATCH(B5166, 'nav master'!$B:$B, 0)), "")</f>
        <v>ULIF 011 04/01/07 WLS 110</v>
      </c>
      <c r="E5166" s="8">
        <v>64.760999999999996</v>
      </c>
      <c r="F5166" s="9">
        <v>45911</v>
      </c>
    </row>
    <row r="5167" spans="1:6" ht="75" x14ac:dyDescent="0.25">
      <c r="A5167" s="8" t="s">
        <v>63</v>
      </c>
      <c r="B5167" s="8" t="s">
        <v>81</v>
      </c>
      <c r="C5167" s="8" t="str">
        <f>IFERROR(_xlfn.XLOOKUP(TRIM(B5167),Lookup!$B$2:$B$1000,Lookup!$C$2:$C$1000),"")</f>
        <v>Balanced - Debt Oriented</v>
      </c>
      <c r="D5167" s="8" t="str">
        <f>IFERROR(INDEX('nav master'!$C:$C, MATCH(B5167, 'nav master'!$B:$B, 0)), "")</f>
        <v>ULIF 011 04/01/07 WLS 110</v>
      </c>
      <c r="E5167" s="8">
        <v>64.896900000000002</v>
      </c>
      <c r="F5167" s="9">
        <v>45912</v>
      </c>
    </row>
    <row r="5168" spans="1:6" ht="75" x14ac:dyDescent="0.25">
      <c r="A5168" s="8" t="s">
        <v>63</v>
      </c>
      <c r="B5168" s="8" t="s">
        <v>81</v>
      </c>
      <c r="C5168" s="8" t="str">
        <f>IFERROR(_xlfn.XLOOKUP(TRIM(B5168),Lookup!$B$2:$B$1000,Lookup!$C$2:$C$1000),"")</f>
        <v>Balanced - Debt Oriented</v>
      </c>
      <c r="D5168" s="8" t="str">
        <f>IFERROR(INDEX('nav master'!$C:$C, MATCH(B5168, 'nav master'!$B:$B, 0)), "")</f>
        <v>ULIF 011 04/01/07 WLS 110</v>
      </c>
      <c r="E5168" s="8">
        <v>64.992099999999994</v>
      </c>
      <c r="F5168" s="9">
        <v>45915</v>
      </c>
    </row>
    <row r="5169" spans="1:6" ht="75" x14ac:dyDescent="0.25">
      <c r="A5169" s="8" t="s">
        <v>63</v>
      </c>
      <c r="B5169" s="8" t="s">
        <v>81</v>
      </c>
      <c r="C5169" s="8" t="str">
        <f>IFERROR(_xlfn.XLOOKUP(TRIM(B5169),Lookup!$B$2:$B$1000,Lookup!$C$2:$C$1000),"")</f>
        <v>Balanced - Debt Oriented</v>
      </c>
      <c r="D5169" s="8" t="str">
        <f>IFERROR(INDEX('nav master'!$C:$C, MATCH(B5169, 'nav master'!$B:$B, 0)), "")</f>
        <v>ULIF 011 04/01/07 WLS 110</v>
      </c>
      <c r="E5169" s="8">
        <v>65.061000000000007</v>
      </c>
      <c r="F5169" s="9">
        <v>45916</v>
      </c>
    </row>
    <row r="5170" spans="1:6" ht="75" x14ac:dyDescent="0.25">
      <c r="A5170" s="8" t="s">
        <v>63</v>
      </c>
      <c r="B5170" s="8" t="s">
        <v>81</v>
      </c>
      <c r="C5170" s="8" t="str">
        <f>IFERROR(_xlfn.XLOOKUP(TRIM(B5170),Lookup!$B$2:$B$1000,Lookup!$C$2:$C$1000),"")</f>
        <v>Balanced - Debt Oriented</v>
      </c>
      <c r="D5170" s="8" t="str">
        <f>IFERROR(INDEX('nav master'!$C:$C, MATCH(B5170, 'nav master'!$B:$B, 0)), "")</f>
        <v>ULIF 011 04/01/07 WLS 110</v>
      </c>
      <c r="E5170" s="8">
        <v>65.224500000000006</v>
      </c>
      <c r="F5170" s="9">
        <v>45917</v>
      </c>
    </row>
    <row r="5171" spans="1:6" ht="75" x14ac:dyDescent="0.25">
      <c r="A5171" s="8" t="s">
        <v>63</v>
      </c>
      <c r="B5171" s="8" t="s">
        <v>81</v>
      </c>
      <c r="C5171" s="8" t="str">
        <f>IFERROR(_xlfn.XLOOKUP(TRIM(B5171),Lookup!$B$2:$B$1000,Lookup!$C$2:$C$1000),"")</f>
        <v>Balanced - Debt Oriented</v>
      </c>
      <c r="D5171" s="8" t="str">
        <f>IFERROR(INDEX('nav master'!$C:$C, MATCH(B5171, 'nav master'!$B:$B, 0)), "")</f>
        <v>ULIF 011 04/01/07 WLS 110</v>
      </c>
      <c r="E5171" s="8">
        <v>65.240799999999993</v>
      </c>
      <c r="F5171" s="9">
        <v>45918</v>
      </c>
    </row>
    <row r="5172" spans="1:6" ht="75" x14ac:dyDescent="0.25">
      <c r="A5172" s="8" t="s">
        <v>63</v>
      </c>
      <c r="B5172" s="8" t="s">
        <v>81</v>
      </c>
      <c r="C5172" s="8" t="str">
        <f>IFERROR(_xlfn.XLOOKUP(TRIM(B5172),Lookup!$B$2:$B$1000,Lookup!$C$2:$C$1000),"")</f>
        <v>Balanced - Debt Oriented</v>
      </c>
      <c r="D5172" s="8" t="str">
        <f>IFERROR(INDEX('nav master'!$C:$C, MATCH(B5172, 'nav master'!$B:$B, 0)), "")</f>
        <v>ULIF 011 04/01/07 WLS 110</v>
      </c>
      <c r="E5172" s="8">
        <v>65.309700000000007</v>
      </c>
      <c r="F5172" s="9">
        <v>45919</v>
      </c>
    </row>
    <row r="5173" spans="1:6" ht="75" x14ac:dyDescent="0.25">
      <c r="A5173" s="8" t="s">
        <v>63</v>
      </c>
      <c r="B5173" s="8" t="s">
        <v>81</v>
      </c>
      <c r="C5173" s="8" t="str">
        <f>IFERROR(_xlfn.XLOOKUP(TRIM(B5173),Lookup!$B$2:$B$1000,Lookup!$C$2:$C$1000),"")</f>
        <v>Balanced - Debt Oriented</v>
      </c>
      <c r="D5173" s="8" t="str">
        <f>IFERROR(INDEX('nav master'!$C:$C, MATCH(B5173, 'nav master'!$B:$B, 0)), "")</f>
        <v>ULIF 011 04/01/07 WLS 110</v>
      </c>
      <c r="E5173" s="8">
        <v>65.135199999999998</v>
      </c>
      <c r="F5173" s="9">
        <v>45922</v>
      </c>
    </row>
    <row r="5174" spans="1:6" ht="75" x14ac:dyDescent="0.25">
      <c r="A5174" s="8" t="s">
        <v>63</v>
      </c>
      <c r="B5174" s="8" t="s">
        <v>81</v>
      </c>
      <c r="C5174" s="8" t="str">
        <f>IFERROR(_xlfn.XLOOKUP(TRIM(B5174),Lookup!$B$2:$B$1000,Lookup!$C$2:$C$1000),"")</f>
        <v>Balanced - Debt Oriented</v>
      </c>
      <c r="D5174" s="8" t="str">
        <f>IFERROR(INDEX('nav master'!$C:$C, MATCH(B5174, 'nav master'!$B:$B, 0)), "")</f>
        <v>ULIF 011 04/01/07 WLS 110</v>
      </c>
      <c r="E5174" s="8">
        <v>65.043599999999998</v>
      </c>
      <c r="F5174" s="9">
        <v>45923</v>
      </c>
    </row>
    <row r="5175" spans="1:6" ht="75" x14ac:dyDescent="0.25">
      <c r="A5175" s="8" t="s">
        <v>63</v>
      </c>
      <c r="B5175" s="8" t="s">
        <v>81</v>
      </c>
      <c r="C5175" s="8" t="str">
        <f>IFERROR(_xlfn.XLOOKUP(TRIM(B5175),Lookup!$B$2:$B$1000,Lookup!$C$2:$C$1000),"")</f>
        <v>Balanced - Debt Oriented</v>
      </c>
      <c r="D5175" s="8" t="str">
        <f>IFERROR(INDEX('nav master'!$C:$C, MATCH(B5175, 'nav master'!$B:$B, 0)), "")</f>
        <v>ULIF 011 04/01/07 WLS 110</v>
      </c>
      <c r="E5175" s="8">
        <v>64.890299999999996</v>
      </c>
      <c r="F5175" s="9">
        <v>45924</v>
      </c>
    </row>
    <row r="5176" spans="1:6" ht="75" x14ac:dyDescent="0.25">
      <c r="A5176" s="8" t="s">
        <v>63</v>
      </c>
      <c r="B5176" s="8" t="s">
        <v>81</v>
      </c>
      <c r="C5176" s="8" t="str">
        <f>IFERROR(_xlfn.XLOOKUP(TRIM(B5176),Lookup!$B$2:$B$1000,Lookup!$C$2:$C$1000),"")</f>
        <v>Balanced - Debt Oriented</v>
      </c>
      <c r="D5176" s="8" t="str">
        <f>IFERROR(INDEX('nav master'!$C:$C, MATCH(B5176, 'nav master'!$B:$B, 0)), "")</f>
        <v>ULIF 011 04/01/07 WLS 110</v>
      </c>
      <c r="E5176" s="8">
        <v>64.734099999999998</v>
      </c>
      <c r="F5176" s="9">
        <v>45925</v>
      </c>
    </row>
    <row r="5177" spans="1:6" ht="75" x14ac:dyDescent="0.25">
      <c r="A5177" s="8" t="s">
        <v>63</v>
      </c>
      <c r="B5177" s="8" t="s">
        <v>81</v>
      </c>
      <c r="C5177" s="8" t="str">
        <f>IFERROR(_xlfn.XLOOKUP(TRIM(B5177),Lookup!$B$2:$B$1000,Lookup!$C$2:$C$1000),"")</f>
        <v>Balanced - Debt Oriented</v>
      </c>
      <c r="D5177" s="8" t="str">
        <f>IFERROR(INDEX('nav master'!$C:$C, MATCH(B5177, 'nav master'!$B:$B, 0)), "")</f>
        <v>ULIF 011 04/01/07 WLS 110</v>
      </c>
      <c r="E5177" s="8">
        <v>64.301500000000004</v>
      </c>
      <c r="F5177" s="9">
        <v>45926</v>
      </c>
    </row>
    <row r="5178" spans="1:6" ht="75" x14ac:dyDescent="0.25">
      <c r="A5178" s="8" t="s">
        <v>63</v>
      </c>
      <c r="B5178" s="8" t="s">
        <v>81</v>
      </c>
      <c r="C5178" s="8" t="str">
        <f>IFERROR(_xlfn.XLOOKUP(TRIM(B5178),Lookup!$B$2:$B$1000,Lookup!$C$2:$C$1000),"")</f>
        <v>Balanced - Debt Oriented</v>
      </c>
      <c r="D5178" s="8" t="str">
        <f>IFERROR(INDEX('nav master'!$C:$C, MATCH(B5178, 'nav master'!$B:$B, 0)), "")</f>
        <v>ULIF 011 04/01/07 WLS 110</v>
      </c>
      <c r="E5178" s="8">
        <v>64.330299999999994</v>
      </c>
      <c r="F5178" s="9">
        <v>45929</v>
      </c>
    </row>
    <row r="5179" spans="1:6" ht="75" x14ac:dyDescent="0.25">
      <c r="A5179" s="8" t="s">
        <v>63</v>
      </c>
      <c r="B5179" s="8" t="s">
        <v>81</v>
      </c>
      <c r="C5179" s="8" t="str">
        <f>IFERROR(_xlfn.XLOOKUP(TRIM(B5179),Lookup!$B$2:$B$1000,Lookup!$C$2:$C$1000),"")</f>
        <v>Balanced - Debt Oriented</v>
      </c>
      <c r="D5179" s="8" t="str">
        <f>IFERROR(INDEX('nav master'!$C:$C, MATCH(B5179, 'nav master'!$B:$B, 0)), "")</f>
        <v>ULIF 011 04/01/07 WLS 110</v>
      </c>
      <c r="E5179" s="8">
        <v>64.177099999999996</v>
      </c>
      <c r="F5179" s="9">
        <v>45930</v>
      </c>
    </row>
    <row r="5180" spans="1:6" ht="75" x14ac:dyDescent="0.25">
      <c r="A5180" s="8" t="s">
        <v>63</v>
      </c>
      <c r="B5180" s="8" t="s">
        <v>81</v>
      </c>
      <c r="C5180" s="8" t="str">
        <f>IFERROR(_xlfn.XLOOKUP(TRIM(B5180),Lookup!$B$2:$B$1000,Lookup!$C$2:$C$1000),"")</f>
        <v>Balanced - Debt Oriented</v>
      </c>
      <c r="D5180" s="8" t="str">
        <f>IFERROR(INDEX('nav master'!$C:$C, MATCH(B5180, 'nav master'!$B:$B, 0)), "")</f>
        <v>ULIF 011 04/01/07 WLS 110</v>
      </c>
      <c r="E5180" s="8">
        <v>64.553799999999995</v>
      </c>
      <c r="F5180" s="9">
        <v>45931</v>
      </c>
    </row>
    <row r="5181" spans="1:6" ht="75" x14ac:dyDescent="0.25">
      <c r="A5181" s="8" t="s">
        <v>63</v>
      </c>
      <c r="B5181" s="8" t="s">
        <v>81</v>
      </c>
      <c r="C5181" s="8" t="str">
        <f>IFERROR(_xlfn.XLOOKUP(TRIM(B5181),Lookup!$B$2:$B$1000,Lookup!$C$2:$C$1000),"")</f>
        <v>Balanced - Debt Oriented</v>
      </c>
      <c r="D5181" s="8" t="str">
        <f>IFERROR(INDEX('nav master'!$C:$C, MATCH(B5181, 'nav master'!$B:$B, 0)), "")</f>
        <v>ULIF 011 04/01/07 WLS 110</v>
      </c>
      <c r="E5181" s="8">
        <v>64.766000000000005</v>
      </c>
      <c r="F5181" s="9">
        <v>45933</v>
      </c>
    </row>
    <row r="5182" spans="1:6" ht="75" x14ac:dyDescent="0.25">
      <c r="A5182" s="8" t="s">
        <v>63</v>
      </c>
      <c r="B5182" s="8" t="s">
        <v>81</v>
      </c>
      <c r="C5182" s="8" t="str">
        <f>IFERROR(_xlfn.XLOOKUP(TRIM(B5182),Lookup!$B$2:$B$1000,Lookup!$C$2:$C$1000),"")</f>
        <v>Balanced - Debt Oriented</v>
      </c>
      <c r="D5182" s="8" t="str">
        <f>IFERROR(INDEX('nav master'!$C:$C, MATCH(B5182, 'nav master'!$B:$B, 0)), "")</f>
        <v>ULIF 011 04/01/07 WLS 110</v>
      </c>
      <c r="E5182" s="8">
        <v>65.069000000000003</v>
      </c>
      <c r="F5182" s="9">
        <v>45936</v>
      </c>
    </row>
    <row r="5183" spans="1:6" ht="75" x14ac:dyDescent="0.25">
      <c r="A5183" s="8" t="s">
        <v>63</v>
      </c>
      <c r="B5183" s="8" t="s">
        <v>81</v>
      </c>
      <c r="C5183" s="8" t="str">
        <f>IFERROR(_xlfn.XLOOKUP(TRIM(B5183),Lookup!$B$2:$B$1000,Lookup!$C$2:$C$1000),"")</f>
        <v>Balanced - Debt Oriented</v>
      </c>
      <c r="D5183" s="8" t="str">
        <f>IFERROR(INDEX('nav master'!$C:$C, MATCH(B5183, 'nav master'!$B:$B, 0)), "")</f>
        <v>ULIF 011 04/01/07 WLS 110</v>
      </c>
      <c r="E5183" s="8">
        <v>65.210800000000006</v>
      </c>
      <c r="F5183" s="9">
        <v>45937</v>
      </c>
    </row>
    <row r="5184" spans="1:6" ht="75" x14ac:dyDescent="0.25">
      <c r="A5184" s="8" t="s">
        <v>63</v>
      </c>
      <c r="B5184" s="8" t="s">
        <v>81</v>
      </c>
      <c r="C5184" s="8" t="str">
        <f>IFERROR(_xlfn.XLOOKUP(TRIM(B5184),Lookup!$B$2:$B$1000,Lookup!$C$2:$C$1000),"")</f>
        <v>Balanced - Debt Oriented</v>
      </c>
      <c r="D5184" s="8" t="str">
        <f>IFERROR(INDEX('nav master'!$C:$C, MATCH(B5184, 'nav master'!$B:$B, 0)), "")</f>
        <v>ULIF 011 04/01/07 WLS 110</v>
      </c>
      <c r="E5184" s="8">
        <v>65.148399999999995</v>
      </c>
      <c r="F5184" s="9">
        <v>45938</v>
      </c>
    </row>
    <row r="5185" spans="1:6" ht="75" x14ac:dyDescent="0.25">
      <c r="A5185" s="8" t="s">
        <v>63</v>
      </c>
      <c r="B5185" s="8" t="s">
        <v>81</v>
      </c>
      <c r="C5185" s="8" t="str">
        <f>IFERROR(_xlfn.XLOOKUP(TRIM(B5185),Lookup!$B$2:$B$1000,Lookup!$C$2:$C$1000),"")</f>
        <v>Balanced - Debt Oriented</v>
      </c>
      <c r="D5185" s="8" t="str">
        <f>IFERROR(INDEX('nav master'!$C:$C, MATCH(B5185, 'nav master'!$B:$B, 0)), "")</f>
        <v>ULIF 011 04/01/07 WLS 110</v>
      </c>
      <c r="E5185" s="8">
        <v>65.277900000000002</v>
      </c>
      <c r="F5185" s="9">
        <v>45939</v>
      </c>
    </row>
    <row r="5186" spans="1:6" ht="75" x14ac:dyDescent="0.25">
      <c r="A5186" s="8" t="s">
        <v>63</v>
      </c>
      <c r="B5186" s="8" t="s">
        <v>81</v>
      </c>
      <c r="C5186" s="8" t="str">
        <f>IFERROR(_xlfn.XLOOKUP(TRIM(B5186),Lookup!$B$2:$B$1000,Lookup!$C$2:$C$1000),"")</f>
        <v>Balanced - Debt Oriented</v>
      </c>
      <c r="D5186" s="8" t="str">
        <f>IFERROR(INDEX('nav master'!$C:$C, MATCH(B5186, 'nav master'!$B:$B, 0)), "")</f>
        <v>ULIF 011 04/01/07 WLS 110</v>
      </c>
      <c r="E5186" s="8">
        <v>65.353200000000001</v>
      </c>
      <c r="F5186" s="9">
        <v>45940</v>
      </c>
    </row>
    <row r="5187" spans="1:6" ht="75" x14ac:dyDescent="0.25">
      <c r="A5187" s="8" t="s">
        <v>63</v>
      </c>
      <c r="B5187" s="8" t="s">
        <v>81</v>
      </c>
      <c r="C5187" s="8" t="str">
        <f>IFERROR(_xlfn.XLOOKUP(TRIM(B5187),Lookup!$B$2:$B$1000,Lookup!$C$2:$C$1000),"")</f>
        <v>Balanced - Debt Oriented</v>
      </c>
      <c r="D5187" s="8" t="str">
        <f>IFERROR(INDEX('nav master'!$C:$C, MATCH(B5187, 'nav master'!$B:$B, 0)), "")</f>
        <v>ULIF 011 04/01/07 WLS 110</v>
      </c>
      <c r="E5187" s="8">
        <v>65.495699999999999</v>
      </c>
      <c r="F5187" s="9">
        <v>45943</v>
      </c>
    </row>
    <row r="5188" spans="1:6" ht="75" x14ac:dyDescent="0.25">
      <c r="A5188" s="8" t="s">
        <v>63</v>
      </c>
      <c r="B5188" s="8" t="s">
        <v>81</v>
      </c>
      <c r="C5188" s="8" t="str">
        <f>IFERROR(_xlfn.XLOOKUP(TRIM(B5188),Lookup!$B$2:$B$1000,Lookup!$C$2:$C$1000),"")</f>
        <v>Balanced - Debt Oriented</v>
      </c>
      <c r="D5188" s="8" t="str">
        <f>IFERROR(INDEX('nav master'!$C:$C, MATCH(B5188, 'nav master'!$B:$B, 0)), "")</f>
        <v>ULIF 011 04/01/07 WLS 110</v>
      </c>
      <c r="E5188" s="8">
        <v>65.418999999999997</v>
      </c>
      <c r="F5188" s="9">
        <v>45944</v>
      </c>
    </row>
    <row r="5189" spans="1:6" ht="75" x14ac:dyDescent="0.25">
      <c r="A5189" s="8" t="s">
        <v>63</v>
      </c>
      <c r="B5189" s="8" t="s">
        <v>81</v>
      </c>
      <c r="C5189" s="8" t="str">
        <f>IFERROR(_xlfn.XLOOKUP(TRIM(B5189),Lookup!$B$2:$B$1000,Lookup!$C$2:$C$1000),"")</f>
        <v>Balanced - Debt Oriented</v>
      </c>
      <c r="D5189" s="8" t="str">
        <f>IFERROR(INDEX('nav master'!$C:$C, MATCH(B5189, 'nav master'!$B:$B, 0)), "")</f>
        <v>ULIF 011 04/01/07 WLS 110</v>
      </c>
      <c r="E5189" s="8">
        <v>65.652000000000001</v>
      </c>
      <c r="F5189" s="9">
        <v>45945</v>
      </c>
    </row>
    <row r="5190" spans="1:6" ht="75" x14ac:dyDescent="0.25">
      <c r="A5190" s="8" t="s">
        <v>63</v>
      </c>
      <c r="B5190" s="8" t="s">
        <v>81</v>
      </c>
      <c r="C5190" s="8" t="str">
        <f>IFERROR(_xlfn.XLOOKUP(TRIM(B5190),Lookup!$B$2:$B$1000,Lookup!$C$2:$C$1000),"")</f>
        <v>Balanced - Debt Oriented</v>
      </c>
      <c r="D5190" s="8" t="str">
        <f>IFERROR(INDEX('nav master'!$C:$C, MATCH(B5190, 'nav master'!$B:$B, 0)), "")</f>
        <v>ULIF 011 04/01/07 WLS 110</v>
      </c>
      <c r="E5190" s="8">
        <v>65.767300000000006</v>
      </c>
      <c r="F5190" s="9">
        <v>45946</v>
      </c>
    </row>
    <row r="5191" spans="1:6" ht="75" x14ac:dyDescent="0.25">
      <c r="A5191" s="8" t="s">
        <v>63</v>
      </c>
      <c r="B5191" s="8" t="s">
        <v>81</v>
      </c>
      <c r="C5191" s="8" t="str">
        <f>IFERROR(_xlfn.XLOOKUP(TRIM(B5191),Lookup!$B$2:$B$1000,Lookup!$C$2:$C$1000),"")</f>
        <v>Balanced - Debt Oriented</v>
      </c>
      <c r="D5191" s="8" t="str">
        <f>IFERROR(INDEX('nav master'!$C:$C, MATCH(B5191, 'nav master'!$B:$B, 0)), "")</f>
        <v>ULIF 011 04/01/07 WLS 110</v>
      </c>
      <c r="E5191" s="8">
        <v>65.787499999999994</v>
      </c>
      <c r="F5191" s="9">
        <v>45947</v>
      </c>
    </row>
    <row r="5192" spans="1:6" ht="75" x14ac:dyDescent="0.25">
      <c r="A5192" s="8" t="s">
        <v>63</v>
      </c>
      <c r="B5192" s="8" t="s">
        <v>81</v>
      </c>
      <c r="C5192" s="8" t="str">
        <f>IFERROR(_xlfn.XLOOKUP(TRIM(B5192),Lookup!$B$2:$B$1000,Lookup!$C$2:$C$1000),"")</f>
        <v>Balanced - Debt Oriented</v>
      </c>
      <c r="D5192" s="8" t="str">
        <f>IFERROR(INDEX('nav master'!$C:$C, MATCH(B5192, 'nav master'!$B:$B, 0)), "")</f>
        <v>ULIF 011 04/01/07 WLS 110</v>
      </c>
      <c r="E5192" s="8">
        <v>66.001499999999993</v>
      </c>
      <c r="F5192" s="9">
        <v>45950</v>
      </c>
    </row>
    <row r="5193" spans="1:6" ht="75" x14ac:dyDescent="0.25">
      <c r="A5193" s="8" t="s">
        <v>63</v>
      </c>
      <c r="B5193" s="8" t="s">
        <v>81</v>
      </c>
      <c r="C5193" s="8" t="str">
        <f>IFERROR(_xlfn.XLOOKUP(TRIM(B5193),Lookup!$B$2:$B$1000,Lookup!$C$2:$C$1000),"")</f>
        <v>Balanced - Debt Oriented</v>
      </c>
      <c r="D5193" s="8" t="str">
        <f>IFERROR(INDEX('nav master'!$C:$C, MATCH(B5193, 'nav master'!$B:$B, 0)), "")</f>
        <v>ULIF 011 04/01/07 WLS 110</v>
      </c>
      <c r="E5193" s="8">
        <v>66.061599999999999</v>
      </c>
      <c r="F5193" s="9">
        <v>45953</v>
      </c>
    </row>
    <row r="5194" spans="1:6" ht="75" x14ac:dyDescent="0.25">
      <c r="A5194" s="8" t="s">
        <v>63</v>
      </c>
      <c r="B5194" s="8" t="s">
        <v>81</v>
      </c>
      <c r="C5194" s="8" t="str">
        <f>IFERROR(_xlfn.XLOOKUP(TRIM(B5194),Lookup!$B$2:$B$1000,Lookup!$C$2:$C$1000),"")</f>
        <v>Balanced - Debt Oriented</v>
      </c>
      <c r="D5194" s="8" t="str">
        <f>IFERROR(INDEX('nav master'!$C:$C, MATCH(B5194, 'nav master'!$B:$B, 0)), "")</f>
        <v>ULIF 011 04/01/07 WLS 110</v>
      </c>
      <c r="E5194" s="8">
        <v>65.900800000000004</v>
      </c>
      <c r="F5194" s="9">
        <v>45954</v>
      </c>
    </row>
    <row r="5195" spans="1:6" ht="75" x14ac:dyDescent="0.25">
      <c r="A5195" s="8" t="s">
        <v>63</v>
      </c>
      <c r="B5195" s="8" t="s">
        <v>81</v>
      </c>
      <c r="C5195" s="8" t="str">
        <f>IFERROR(_xlfn.XLOOKUP(TRIM(B5195),Lookup!$B$2:$B$1000,Lookup!$C$2:$C$1000),"")</f>
        <v>Balanced - Debt Oriented</v>
      </c>
      <c r="D5195" s="8" t="str">
        <f>IFERROR(INDEX('nav master'!$C:$C, MATCH(B5195, 'nav master'!$B:$B, 0)), "")</f>
        <v>ULIF 011 04/01/07 WLS 110</v>
      </c>
      <c r="E5195" s="8">
        <v>66.188199999999995</v>
      </c>
      <c r="F5195" s="9">
        <v>45957</v>
      </c>
    </row>
    <row r="5196" spans="1:6" ht="75" x14ac:dyDescent="0.25">
      <c r="A5196" s="8" t="s">
        <v>63</v>
      </c>
      <c r="B5196" s="8" t="s">
        <v>81</v>
      </c>
      <c r="C5196" s="8" t="str">
        <f>IFERROR(_xlfn.XLOOKUP(TRIM(B5196),Lookup!$B$2:$B$1000,Lookup!$C$2:$C$1000),"")</f>
        <v>Balanced - Debt Oriented</v>
      </c>
      <c r="D5196" s="8" t="str">
        <f>IFERROR(INDEX('nav master'!$C:$C, MATCH(B5196, 'nav master'!$B:$B, 0)), "")</f>
        <v>ULIF 011 04/01/07 WLS 110</v>
      </c>
      <c r="E5196" s="8">
        <v>66.087199999999996</v>
      </c>
      <c r="F5196" s="9">
        <v>45958</v>
      </c>
    </row>
    <row r="5197" spans="1:6" ht="75" x14ac:dyDescent="0.25">
      <c r="A5197" s="8" t="s">
        <v>63</v>
      </c>
      <c r="B5197" s="8" t="s">
        <v>81</v>
      </c>
      <c r="C5197" s="8" t="str">
        <f>IFERROR(_xlfn.XLOOKUP(TRIM(B5197),Lookup!$B$2:$B$1000,Lookup!$C$2:$C$1000),"")</f>
        <v>Balanced - Debt Oriented</v>
      </c>
      <c r="D5197" s="8" t="str">
        <f>IFERROR(INDEX('nav master'!$C:$C, MATCH(B5197, 'nav master'!$B:$B, 0)), "")</f>
        <v>ULIF 011 04/01/07 WLS 110</v>
      </c>
      <c r="E5197" s="8">
        <v>66.284700000000001</v>
      </c>
      <c r="F5197" s="9">
        <v>45959</v>
      </c>
    </row>
    <row r="5198" spans="1:6" ht="75" x14ac:dyDescent="0.25">
      <c r="A5198" s="8" t="s">
        <v>63</v>
      </c>
      <c r="B5198" s="8" t="s">
        <v>81</v>
      </c>
      <c r="C5198" s="8" t="str">
        <f>IFERROR(_xlfn.XLOOKUP(TRIM(B5198),Lookup!$B$2:$B$1000,Lookup!$C$2:$C$1000),"")</f>
        <v>Balanced - Debt Oriented</v>
      </c>
      <c r="D5198" s="8" t="str">
        <f>IFERROR(INDEX('nav master'!$C:$C, MATCH(B5198, 'nav master'!$B:$B, 0)), "")</f>
        <v>ULIF 011 04/01/07 WLS 110</v>
      </c>
      <c r="E5198" s="8">
        <v>66.06</v>
      </c>
      <c r="F5198" s="9">
        <v>45960</v>
      </c>
    </row>
    <row r="5199" spans="1:6" ht="75" x14ac:dyDescent="0.25">
      <c r="A5199" s="8" t="s">
        <v>63</v>
      </c>
      <c r="B5199" s="8" t="s">
        <v>81</v>
      </c>
      <c r="C5199" s="8" t="str">
        <f>IFERROR(_xlfn.XLOOKUP(TRIM(B5199),Lookup!$B$2:$B$1000,Lookup!$C$2:$C$1000),"")</f>
        <v>Balanced - Debt Oriented</v>
      </c>
      <c r="D5199" s="8" t="str">
        <f>IFERROR(INDEX('nav master'!$C:$C, MATCH(B5199, 'nav master'!$B:$B, 0)), "")</f>
        <v>ULIF 011 04/01/07 WLS 110</v>
      </c>
      <c r="E5199" s="8">
        <v>65.963300000000004</v>
      </c>
      <c r="F5199" s="9">
        <v>45961</v>
      </c>
    </row>
    <row r="5200" spans="1:6" ht="75" x14ac:dyDescent="0.25">
      <c r="A5200" s="8" t="s">
        <v>63</v>
      </c>
      <c r="B5200" s="8" t="s">
        <v>81</v>
      </c>
      <c r="C5200" s="8" t="str">
        <f>IFERROR(_xlfn.XLOOKUP(TRIM(B5200),Lookup!$B$2:$B$1000,Lookup!$C$2:$C$1000),"")</f>
        <v>Balanced - Debt Oriented</v>
      </c>
      <c r="D5200" s="8" t="str">
        <f>IFERROR(INDEX('nav master'!$C:$C, MATCH(B5200, 'nav master'!$B:$B, 0)), "")</f>
        <v>ULIF 011 04/01/07 WLS 110</v>
      </c>
      <c r="E5200" s="8">
        <v>66.190299999999993</v>
      </c>
      <c r="F5200" s="9">
        <v>45964</v>
      </c>
    </row>
    <row r="5201" spans="1:6" ht="75" x14ac:dyDescent="0.25">
      <c r="A5201" s="8" t="s">
        <v>63</v>
      </c>
      <c r="B5201" s="8" t="s">
        <v>81</v>
      </c>
      <c r="C5201" s="8" t="str">
        <f>IFERROR(_xlfn.XLOOKUP(TRIM(B5201),Lookup!$B$2:$B$1000,Lookup!$C$2:$C$1000),"")</f>
        <v>Balanced - Debt Oriented</v>
      </c>
      <c r="D5201" s="8" t="str">
        <f>IFERROR(INDEX('nav master'!$C:$C, MATCH(B5201, 'nav master'!$B:$B, 0)), "")</f>
        <v>ULIF 011 04/01/07 WLS 110</v>
      </c>
      <c r="E5201" s="8">
        <v>66.144300000000001</v>
      </c>
      <c r="F5201" s="9">
        <v>45965</v>
      </c>
    </row>
    <row r="5202" spans="1:6" ht="75" x14ac:dyDescent="0.25">
      <c r="A5202" s="8" t="s">
        <v>63</v>
      </c>
      <c r="B5202" s="8" t="s">
        <v>81</v>
      </c>
      <c r="C5202" s="8" t="str">
        <f>IFERROR(_xlfn.XLOOKUP(TRIM(B5202),Lookup!$B$2:$B$1000,Lookup!$C$2:$C$1000),"")</f>
        <v>Balanced - Debt Oriented</v>
      </c>
      <c r="D5202" s="8" t="str">
        <f>IFERROR(INDEX('nav master'!$C:$C, MATCH(B5202, 'nav master'!$B:$B, 0)), "")</f>
        <v>ULIF 011 04/01/07 WLS 110</v>
      </c>
      <c r="E5202" s="8">
        <v>65.972200000000001</v>
      </c>
      <c r="F5202" s="9">
        <v>45967</v>
      </c>
    </row>
    <row r="5203" spans="1:6" ht="75" x14ac:dyDescent="0.25">
      <c r="A5203" s="8" t="s">
        <v>63</v>
      </c>
      <c r="B5203" s="8" t="s">
        <v>81</v>
      </c>
      <c r="C5203" s="8" t="str">
        <f>IFERROR(_xlfn.XLOOKUP(TRIM(B5203),Lookup!$B$2:$B$1000,Lookup!$C$2:$C$1000),"")</f>
        <v>Balanced - Debt Oriented</v>
      </c>
      <c r="D5203" s="8" t="str">
        <f>IFERROR(INDEX('nav master'!$C:$C, MATCH(B5203, 'nav master'!$B:$B, 0)), "")</f>
        <v>ULIF 011 04/01/07 WLS 110</v>
      </c>
      <c r="E5203" s="8">
        <v>66.075699999999998</v>
      </c>
      <c r="F5203" s="9">
        <v>45968</v>
      </c>
    </row>
    <row r="5204" spans="1:6" ht="75" x14ac:dyDescent="0.25">
      <c r="A5204" s="8" t="s">
        <v>63</v>
      </c>
      <c r="B5204" s="8" t="s">
        <v>81</v>
      </c>
      <c r="C5204" s="8" t="str">
        <f>IFERROR(_xlfn.XLOOKUP(TRIM(B5204),Lookup!$B$2:$B$1000,Lookup!$C$2:$C$1000),"")</f>
        <v>Balanced - Debt Oriented</v>
      </c>
      <c r="D5204" s="8" t="str">
        <f>IFERROR(INDEX('nav master'!$C:$C, MATCH(B5204, 'nav master'!$B:$B, 0)), "")</f>
        <v>ULIF 011 04/01/07 WLS 110</v>
      </c>
      <c r="E5204" s="8">
        <v>66.262500000000003</v>
      </c>
      <c r="F5204" s="9">
        <v>45971</v>
      </c>
    </row>
    <row r="5205" spans="1:6" ht="75" x14ac:dyDescent="0.25">
      <c r="A5205" s="8" t="s">
        <v>63</v>
      </c>
      <c r="B5205" s="8" t="s">
        <v>81</v>
      </c>
      <c r="C5205" s="8" t="str">
        <f>IFERROR(_xlfn.XLOOKUP(TRIM(B5205),Lookup!$B$2:$B$1000,Lookup!$C$2:$C$1000),"")</f>
        <v>Balanced - Debt Oriented</v>
      </c>
      <c r="D5205" s="8" t="str">
        <f>IFERROR(INDEX('nav master'!$C:$C, MATCH(B5205, 'nav master'!$B:$B, 0)), "")</f>
        <v>ULIF 011 04/01/07 WLS 110</v>
      </c>
      <c r="E5205" s="8">
        <v>66.492199999999997</v>
      </c>
      <c r="F5205" s="9">
        <v>45972</v>
      </c>
    </row>
    <row r="5206" spans="1:6" ht="75" x14ac:dyDescent="0.25">
      <c r="A5206" s="8" t="s">
        <v>63</v>
      </c>
      <c r="B5206" s="8" t="s">
        <v>81</v>
      </c>
      <c r="C5206" s="8" t="str">
        <f>IFERROR(_xlfn.XLOOKUP(TRIM(B5206),Lookup!$B$2:$B$1000,Lookup!$C$2:$C$1000),"")</f>
        <v>Balanced - Debt Oriented</v>
      </c>
      <c r="D5206" s="8" t="str">
        <f>IFERROR(INDEX('nav master'!$C:$C, MATCH(B5206, 'nav master'!$B:$B, 0)), "")</f>
        <v>ULIF 011 04/01/07 WLS 110</v>
      </c>
      <c r="E5206" s="8">
        <v>66.763000000000005</v>
      </c>
      <c r="F5206" s="9">
        <v>45973</v>
      </c>
    </row>
    <row r="5207" spans="1:6" ht="75" x14ac:dyDescent="0.25">
      <c r="A5207" s="8" t="s">
        <v>63</v>
      </c>
      <c r="B5207" s="8" t="s">
        <v>81</v>
      </c>
      <c r="C5207" s="8" t="str">
        <f>IFERROR(_xlfn.XLOOKUP(TRIM(B5207),Lookup!$B$2:$B$1000,Lookup!$C$2:$C$1000),"")</f>
        <v>Balanced - Debt Oriented</v>
      </c>
      <c r="D5207" s="8" t="str">
        <f>IFERROR(INDEX('nav master'!$C:$C, MATCH(B5207, 'nav master'!$B:$B, 0)), "")</f>
        <v>ULIF 011 04/01/07 WLS 110</v>
      </c>
      <c r="E5207" s="8">
        <v>66.649100000000004</v>
      </c>
      <c r="F5207" s="9">
        <v>45974</v>
      </c>
    </row>
    <row r="5208" spans="1:6" ht="75" x14ac:dyDescent="0.25">
      <c r="A5208" s="8" t="s">
        <v>63</v>
      </c>
      <c r="B5208" s="8" t="s">
        <v>81</v>
      </c>
      <c r="C5208" s="8" t="str">
        <f>IFERROR(_xlfn.XLOOKUP(TRIM(B5208),Lookup!$B$2:$B$1000,Lookup!$C$2:$C$1000),"")</f>
        <v>Balanced - Debt Oriented</v>
      </c>
      <c r="D5208" s="8" t="str">
        <f>IFERROR(INDEX('nav master'!$C:$C, MATCH(B5208, 'nav master'!$B:$B, 0)), "")</f>
        <v>ULIF 011 04/01/07 WLS 110</v>
      </c>
      <c r="E5208" s="8">
        <v>66.659099999999995</v>
      </c>
      <c r="F5208" s="9">
        <v>45975</v>
      </c>
    </row>
    <row r="5209" spans="1:6" ht="75" x14ac:dyDescent="0.25">
      <c r="A5209" s="8" t="s">
        <v>63</v>
      </c>
      <c r="B5209" s="8" t="s">
        <v>81</v>
      </c>
      <c r="C5209" s="8" t="str">
        <f>IFERROR(_xlfn.XLOOKUP(TRIM(B5209),Lookup!$B$2:$B$1000,Lookup!$C$2:$C$1000),"")</f>
        <v>Balanced - Debt Oriented</v>
      </c>
      <c r="D5209" s="8" t="str">
        <f>IFERROR(INDEX('nav master'!$C:$C, MATCH(B5209, 'nav master'!$B:$B, 0)), "")</f>
        <v>ULIF 011 04/01/07 WLS 110</v>
      </c>
      <c r="E5209" s="8">
        <v>66.821700000000007</v>
      </c>
      <c r="F5209" s="9">
        <v>45978</v>
      </c>
    </row>
    <row r="5210" spans="1:6" ht="75" x14ac:dyDescent="0.25">
      <c r="A5210" s="8" t="s">
        <v>63</v>
      </c>
      <c r="B5210" s="8" t="s">
        <v>81</v>
      </c>
      <c r="C5210" s="8" t="str">
        <f>IFERROR(_xlfn.XLOOKUP(TRIM(B5210),Lookup!$B$2:$B$1000,Lookup!$C$2:$C$1000),"")</f>
        <v>Balanced - Debt Oriented</v>
      </c>
      <c r="D5210" s="8" t="str">
        <f>IFERROR(INDEX('nav master'!$C:$C, MATCH(B5210, 'nav master'!$B:$B, 0)), "")</f>
        <v>ULIF 011 04/01/07 WLS 110</v>
      </c>
      <c r="E5210" s="8">
        <v>66.728800000000007</v>
      </c>
      <c r="F5210" s="9">
        <v>45979</v>
      </c>
    </row>
    <row r="5211" spans="1:6" ht="75" x14ac:dyDescent="0.25">
      <c r="A5211" s="8" t="s">
        <v>63</v>
      </c>
      <c r="B5211" s="8" t="s">
        <v>81</v>
      </c>
      <c r="C5211" s="8" t="str">
        <f>IFERROR(_xlfn.XLOOKUP(TRIM(B5211),Lookup!$B$2:$B$1000,Lookup!$C$2:$C$1000),"")</f>
        <v>Balanced - Debt Oriented</v>
      </c>
      <c r="D5211" s="8" t="str">
        <f>IFERROR(INDEX('nav master'!$C:$C, MATCH(B5211, 'nav master'!$B:$B, 0)), "")</f>
        <v>ULIF 011 04/01/07 WLS 110</v>
      </c>
      <c r="E5211" s="8">
        <v>66.830299999999994</v>
      </c>
      <c r="F5211" s="9">
        <v>45980</v>
      </c>
    </row>
    <row r="5212" spans="1:6" ht="75" x14ac:dyDescent="0.25">
      <c r="A5212" s="8" t="s">
        <v>63</v>
      </c>
      <c r="B5212" s="8" t="s">
        <v>81</v>
      </c>
      <c r="C5212" s="8" t="str">
        <f>IFERROR(_xlfn.XLOOKUP(TRIM(B5212),Lookup!$B$2:$B$1000,Lookup!$C$2:$C$1000),"")</f>
        <v>Balanced - Debt Oriented</v>
      </c>
      <c r="D5212" s="8" t="str">
        <f>IFERROR(INDEX('nav master'!$C:$C, MATCH(B5212, 'nav master'!$B:$B, 0)), "")</f>
        <v>ULIF 011 04/01/07 WLS 110</v>
      </c>
      <c r="E5212" s="8">
        <v>66.956000000000003</v>
      </c>
      <c r="F5212" s="9">
        <v>45981</v>
      </c>
    </row>
    <row r="5213" spans="1:6" ht="75" x14ac:dyDescent="0.25">
      <c r="A5213" s="8" t="s">
        <v>63</v>
      </c>
      <c r="B5213" s="8" t="s">
        <v>81</v>
      </c>
      <c r="C5213" s="8" t="str">
        <f>IFERROR(_xlfn.XLOOKUP(TRIM(B5213),Lookup!$B$2:$B$1000,Lookup!$C$2:$C$1000),"")</f>
        <v>Balanced - Debt Oriented</v>
      </c>
      <c r="D5213" s="8" t="str">
        <f>IFERROR(INDEX('nav master'!$C:$C, MATCH(B5213, 'nav master'!$B:$B, 0)), "")</f>
        <v>ULIF 011 04/01/07 WLS 110</v>
      </c>
      <c r="E5213" s="8">
        <v>66.683099999999996</v>
      </c>
      <c r="F5213" s="9">
        <v>45982</v>
      </c>
    </row>
    <row r="5214" spans="1:6" ht="75" x14ac:dyDescent="0.25">
      <c r="A5214" s="8" t="s">
        <v>63</v>
      </c>
      <c r="B5214" s="8" t="s">
        <v>81</v>
      </c>
      <c r="C5214" s="8" t="str">
        <f>IFERROR(_xlfn.XLOOKUP(TRIM(B5214),Lookup!$B$2:$B$1000,Lookup!$C$2:$C$1000),"")</f>
        <v>Balanced - Debt Oriented</v>
      </c>
      <c r="D5214" s="8" t="str">
        <f>IFERROR(INDEX('nav master'!$C:$C, MATCH(B5214, 'nav master'!$B:$B, 0)), "")</f>
        <v>ULIF 011 04/01/07 WLS 110</v>
      </c>
      <c r="E5214" s="8">
        <v>66.736400000000003</v>
      </c>
      <c r="F5214" s="9">
        <v>45985</v>
      </c>
    </row>
    <row r="5215" spans="1:6" ht="75" x14ac:dyDescent="0.25">
      <c r="A5215" s="8" t="s">
        <v>63</v>
      </c>
      <c r="B5215" s="8" t="s">
        <v>81</v>
      </c>
      <c r="C5215" s="8" t="str">
        <f>IFERROR(_xlfn.XLOOKUP(TRIM(B5215),Lookup!$B$2:$B$1000,Lookup!$C$2:$C$1000),"")</f>
        <v>Balanced - Debt Oriented</v>
      </c>
      <c r="D5215" s="8" t="str">
        <f>IFERROR(INDEX('nav master'!$C:$C, MATCH(B5215, 'nav master'!$B:$B, 0)), "")</f>
        <v>ULIF 011 04/01/07 WLS 110</v>
      </c>
      <c r="E5215" s="8">
        <v>66.832700000000003</v>
      </c>
      <c r="F5215" s="9">
        <v>45986</v>
      </c>
    </row>
    <row r="5216" spans="1:6" ht="75" x14ac:dyDescent="0.25">
      <c r="A5216" s="8" t="s">
        <v>63</v>
      </c>
      <c r="B5216" s="8" t="s">
        <v>81</v>
      </c>
      <c r="C5216" s="8" t="str">
        <f>IFERROR(_xlfn.XLOOKUP(TRIM(B5216),Lookup!$B$2:$B$1000,Lookup!$C$2:$C$1000),"")</f>
        <v>Balanced - Debt Oriented</v>
      </c>
      <c r="D5216" s="8" t="str">
        <f>IFERROR(INDEX('nav master'!$C:$C, MATCH(B5216, 'nav master'!$B:$B, 0)), "")</f>
        <v>ULIF 011 04/01/07 WLS 110</v>
      </c>
      <c r="E5216" s="8">
        <v>67.279399999999995</v>
      </c>
      <c r="F5216" s="9">
        <v>45987</v>
      </c>
    </row>
    <row r="5217" spans="1:6" ht="75" x14ac:dyDescent="0.25">
      <c r="A5217" s="8" t="s">
        <v>63</v>
      </c>
      <c r="B5217" s="8" t="s">
        <v>81</v>
      </c>
      <c r="C5217" s="8" t="str">
        <f>IFERROR(_xlfn.XLOOKUP(TRIM(B5217),Lookup!$B$2:$B$1000,Lookup!$C$2:$C$1000),"")</f>
        <v>Balanced - Debt Oriented</v>
      </c>
      <c r="D5217" s="8" t="str">
        <f>IFERROR(INDEX('nav master'!$C:$C, MATCH(B5217, 'nav master'!$B:$B, 0)), "")</f>
        <v>ULIF 011 04/01/07 WLS 110</v>
      </c>
      <c r="E5217" s="8">
        <v>67.211100000000002</v>
      </c>
      <c r="F5217" s="9">
        <v>45988</v>
      </c>
    </row>
    <row r="5218" spans="1:6" ht="75" x14ac:dyDescent="0.25">
      <c r="A5218" s="8" t="s">
        <v>63</v>
      </c>
      <c r="B5218" s="8" t="s">
        <v>81</v>
      </c>
      <c r="C5218" s="8" t="str">
        <f>IFERROR(_xlfn.XLOOKUP(TRIM(B5218),Lookup!$B$2:$B$1000,Lookup!$C$2:$C$1000),"")</f>
        <v>Balanced - Debt Oriented</v>
      </c>
      <c r="D5218" s="8" t="str">
        <f>IFERROR(INDEX('nav master'!$C:$C, MATCH(B5218, 'nav master'!$B:$B, 0)), "")</f>
        <v>ULIF 011 04/01/07 WLS 110</v>
      </c>
      <c r="E5218" s="8">
        <v>67.033600000000007</v>
      </c>
      <c r="F5218" s="9">
        <v>45989</v>
      </c>
    </row>
    <row r="5219" spans="1:6" ht="75" x14ac:dyDescent="0.25">
      <c r="A5219" s="8" t="s">
        <v>63</v>
      </c>
      <c r="B5219" s="8" t="s">
        <v>81</v>
      </c>
      <c r="C5219" s="8" t="str">
        <f>IFERROR(_xlfn.XLOOKUP(TRIM(B5219),Lookup!$B$2:$B$1000,Lookup!$C$2:$C$1000),"")</f>
        <v>Balanced - Debt Oriented</v>
      </c>
      <c r="D5219" s="8" t="str">
        <f>IFERROR(INDEX('nav master'!$C:$C, MATCH(B5219, 'nav master'!$B:$B, 0)), "")</f>
        <v>ULIF 011 04/01/07 WLS 110</v>
      </c>
      <c r="E5219" s="8">
        <v>67.035499999999999</v>
      </c>
      <c r="F5219" s="9">
        <v>45992</v>
      </c>
    </row>
    <row r="5220" spans="1:6" ht="75" x14ac:dyDescent="0.25">
      <c r="A5220" s="8" t="s">
        <v>63</v>
      </c>
      <c r="B5220" s="8" t="s">
        <v>81</v>
      </c>
      <c r="C5220" s="8" t="str">
        <f>IFERROR(_xlfn.XLOOKUP(TRIM(B5220),Lookup!$B$2:$B$1000,Lookup!$C$2:$C$1000),"")</f>
        <v>Balanced - Debt Oriented</v>
      </c>
      <c r="D5220" s="8" t="str">
        <f>IFERROR(INDEX('nav master'!$C:$C, MATCH(B5220, 'nav master'!$B:$B, 0)), "")</f>
        <v>ULIF 011 04/01/07 WLS 110</v>
      </c>
      <c r="E5220" s="8">
        <v>66.943600000000004</v>
      </c>
      <c r="F5220" s="9">
        <v>45993</v>
      </c>
    </row>
    <row r="5221" spans="1:6" ht="75" x14ac:dyDescent="0.25">
      <c r="A5221" s="8" t="s">
        <v>63</v>
      </c>
      <c r="B5221" s="8" t="s">
        <v>81</v>
      </c>
      <c r="C5221" s="8" t="str">
        <f>IFERROR(_xlfn.XLOOKUP(TRIM(B5221),Lookup!$B$2:$B$1000,Lookup!$C$2:$C$1000),"")</f>
        <v>Balanced - Debt Oriented</v>
      </c>
      <c r="D5221" s="8" t="str">
        <f>IFERROR(INDEX('nav master'!$C:$C, MATCH(B5221, 'nav master'!$B:$B, 0)), "")</f>
        <v>ULIF 011 04/01/07 WLS 110</v>
      </c>
      <c r="E5221" s="8">
        <v>66.842699999999994</v>
      </c>
      <c r="F5221" s="9">
        <v>45994</v>
      </c>
    </row>
    <row r="5222" spans="1:6" ht="75" x14ac:dyDescent="0.25">
      <c r="A5222" s="8" t="s">
        <v>63</v>
      </c>
      <c r="B5222" s="8" t="s">
        <v>81</v>
      </c>
      <c r="C5222" s="8" t="str">
        <f>IFERROR(_xlfn.XLOOKUP(TRIM(B5222),Lookup!$B$2:$B$1000,Lookup!$C$2:$C$1000),"")</f>
        <v>Balanced - Debt Oriented</v>
      </c>
      <c r="D5222" s="8" t="str">
        <f>IFERROR(INDEX('nav master'!$C:$C, MATCH(B5222, 'nav master'!$B:$B, 0)), "")</f>
        <v>ULIF 011 04/01/07 WLS 110</v>
      </c>
      <c r="E5222" s="8">
        <v>66.8489</v>
      </c>
      <c r="F5222" s="9">
        <v>45995</v>
      </c>
    </row>
    <row r="5223" spans="1:6" ht="75" x14ac:dyDescent="0.25">
      <c r="A5223" s="8" t="s">
        <v>63</v>
      </c>
      <c r="B5223" s="8" t="s">
        <v>81</v>
      </c>
      <c r="C5223" s="8" t="str">
        <f>IFERROR(_xlfn.XLOOKUP(TRIM(B5223),Lookup!$B$2:$B$1000,Lookup!$C$2:$C$1000),"")</f>
        <v>Balanced - Debt Oriented</v>
      </c>
      <c r="D5223" s="8" t="str">
        <f>IFERROR(INDEX('nav master'!$C:$C, MATCH(B5223, 'nav master'!$B:$B, 0)), "")</f>
        <v>ULIF 011 04/01/07 WLS 110</v>
      </c>
      <c r="E5223" s="8">
        <v>67.099000000000004</v>
      </c>
      <c r="F5223" s="9">
        <v>45996</v>
      </c>
    </row>
    <row r="5224" spans="1:6" ht="75" x14ac:dyDescent="0.25">
      <c r="A5224" s="8" t="s">
        <v>63</v>
      </c>
      <c r="B5224" s="8" t="s">
        <v>81</v>
      </c>
      <c r="C5224" s="8" t="str">
        <f>IFERROR(_xlfn.XLOOKUP(TRIM(B5224),Lookup!$B$2:$B$1000,Lookup!$C$2:$C$1000),"")</f>
        <v>Balanced - Debt Oriented</v>
      </c>
      <c r="D5224" s="8" t="str">
        <f>IFERROR(INDEX('nav master'!$C:$C, MATCH(B5224, 'nav master'!$B:$B, 0)), "")</f>
        <v>ULIF 011 04/01/07 WLS 110</v>
      </c>
      <c r="E5224" s="8">
        <v>66.666399999999996</v>
      </c>
      <c r="F5224" s="9">
        <v>45999</v>
      </c>
    </row>
    <row r="5225" spans="1:6" ht="75" x14ac:dyDescent="0.25">
      <c r="A5225" s="8" t="s">
        <v>63</v>
      </c>
      <c r="B5225" s="8" t="s">
        <v>81</v>
      </c>
      <c r="C5225" s="8" t="str">
        <f>IFERROR(_xlfn.XLOOKUP(TRIM(B5225),Lookup!$B$2:$B$1000,Lookup!$C$2:$C$1000),"")</f>
        <v>Balanced - Debt Oriented</v>
      </c>
      <c r="D5225" s="8" t="str">
        <f>IFERROR(INDEX('nav master'!$C:$C, MATCH(B5225, 'nav master'!$B:$B, 0)), "")</f>
        <v>ULIF 011 04/01/07 WLS 110</v>
      </c>
      <c r="E5225" s="8">
        <v>66.5518</v>
      </c>
      <c r="F5225" s="9">
        <v>46000</v>
      </c>
    </row>
    <row r="5226" spans="1:6" ht="75" x14ac:dyDescent="0.25">
      <c r="A5226" s="8" t="s">
        <v>63</v>
      </c>
      <c r="B5226" s="8" t="s">
        <v>81</v>
      </c>
      <c r="C5226" s="8" t="str">
        <f>IFERROR(_xlfn.XLOOKUP(TRIM(B5226),Lookup!$B$2:$B$1000,Lookup!$C$2:$C$1000),"")</f>
        <v>Balanced - Debt Oriented</v>
      </c>
      <c r="D5226" s="8" t="str">
        <f>IFERROR(INDEX('nav master'!$C:$C, MATCH(B5226, 'nav master'!$B:$B, 0)), "")</f>
        <v>ULIF 011 04/01/07 WLS 110</v>
      </c>
      <c r="E5226" s="8">
        <v>66.218000000000004</v>
      </c>
      <c r="F5226" s="9">
        <v>46001</v>
      </c>
    </row>
    <row r="5227" spans="1:6" ht="75" x14ac:dyDescent="0.25">
      <c r="A5227" s="8" t="s">
        <v>63</v>
      </c>
      <c r="B5227" s="8" t="s">
        <v>81</v>
      </c>
      <c r="C5227" s="8" t="str">
        <f>IFERROR(_xlfn.XLOOKUP(TRIM(B5227),Lookup!$B$2:$B$1000,Lookup!$C$2:$C$1000),"")</f>
        <v>Balanced - Debt Oriented</v>
      </c>
      <c r="D5227" s="8" t="str">
        <f>IFERROR(INDEX('nav master'!$C:$C, MATCH(B5227, 'nav master'!$B:$B, 0)), "")</f>
        <v>ULIF 011 04/01/07 WLS 110</v>
      </c>
      <c r="E5227" s="8">
        <v>66.420400000000001</v>
      </c>
      <c r="F5227" s="9">
        <v>46002</v>
      </c>
    </row>
    <row r="5228" spans="1:6" ht="75" x14ac:dyDescent="0.25">
      <c r="A5228" s="8" t="s">
        <v>63</v>
      </c>
      <c r="B5228" s="8" t="s">
        <v>81</v>
      </c>
      <c r="C5228" s="8" t="str">
        <f>IFERROR(_xlfn.XLOOKUP(TRIM(B5228),Lookup!$B$2:$B$1000,Lookup!$C$2:$C$1000),"")</f>
        <v>Balanced - Debt Oriented</v>
      </c>
      <c r="D5228" s="8" t="str">
        <f>IFERROR(INDEX('nav master'!$C:$C, MATCH(B5228, 'nav master'!$B:$B, 0)), "")</f>
        <v>ULIF 011 04/01/07 WLS 110</v>
      </c>
      <c r="E5228" s="8">
        <v>66.769599999999997</v>
      </c>
      <c r="F5228" s="9">
        <v>46003</v>
      </c>
    </row>
    <row r="5229" spans="1:6" ht="75" x14ac:dyDescent="0.25">
      <c r="A5229" s="8" t="s">
        <v>63</v>
      </c>
      <c r="B5229" s="8" t="s">
        <v>81</v>
      </c>
      <c r="C5229" s="8" t="str">
        <f>IFERROR(_xlfn.XLOOKUP(TRIM(B5229),Lookup!$B$2:$B$1000,Lookup!$C$2:$C$1000),"")</f>
        <v>Balanced - Debt Oriented</v>
      </c>
      <c r="D5229" s="8" t="str">
        <f>IFERROR(INDEX('nav master'!$C:$C, MATCH(B5229, 'nav master'!$B:$B, 0)), "")</f>
        <v>ULIF 011 04/01/07 WLS 110</v>
      </c>
      <c r="E5229" s="8">
        <v>66.724599999999995</v>
      </c>
      <c r="F5229" s="9">
        <v>46006</v>
      </c>
    </row>
    <row r="5230" spans="1:6" ht="75" x14ac:dyDescent="0.25">
      <c r="A5230" s="8" t="s">
        <v>63</v>
      </c>
      <c r="B5230" s="8" t="s">
        <v>81</v>
      </c>
      <c r="C5230" s="8" t="str">
        <f>IFERROR(_xlfn.XLOOKUP(TRIM(B5230),Lookup!$B$2:$B$1000,Lookup!$C$2:$C$1000),"")</f>
        <v>Balanced - Debt Oriented</v>
      </c>
      <c r="D5230" s="8" t="str">
        <f>IFERROR(INDEX('nav master'!$C:$C, MATCH(B5230, 'nav master'!$B:$B, 0)), "")</f>
        <v>ULIF 011 04/01/07 WLS 110</v>
      </c>
      <c r="E5230" s="8">
        <v>66.458500000000001</v>
      </c>
      <c r="F5230" s="9">
        <v>46007</v>
      </c>
    </row>
    <row r="5231" spans="1:6" ht="75" x14ac:dyDescent="0.25">
      <c r="A5231" s="8" t="s">
        <v>63</v>
      </c>
      <c r="B5231" s="8" t="s">
        <v>81</v>
      </c>
      <c r="C5231" s="8" t="str">
        <f>IFERROR(_xlfn.XLOOKUP(TRIM(B5231),Lookup!$B$2:$B$1000,Lookup!$C$2:$C$1000),"")</f>
        <v>Balanced - Debt Oriented</v>
      </c>
      <c r="D5231" s="8" t="str">
        <f>IFERROR(INDEX('nav master'!$C:$C, MATCH(B5231, 'nav master'!$B:$B, 0)), "")</f>
        <v>ULIF 011 04/01/07 WLS 110</v>
      </c>
      <c r="E5231" s="8">
        <v>66.3446</v>
      </c>
      <c r="F5231" s="9">
        <v>46008</v>
      </c>
    </row>
    <row r="5232" spans="1:6" ht="75" x14ac:dyDescent="0.25">
      <c r="A5232" s="8" t="s">
        <v>63</v>
      </c>
      <c r="B5232" s="8" t="s">
        <v>81</v>
      </c>
      <c r="C5232" s="8" t="str">
        <f>IFERROR(_xlfn.XLOOKUP(TRIM(B5232),Lookup!$B$2:$B$1000,Lookup!$C$2:$C$1000),"")</f>
        <v>Balanced - Debt Oriented</v>
      </c>
      <c r="D5232" s="8" t="str">
        <f>IFERROR(INDEX('nav master'!$C:$C, MATCH(B5232, 'nav master'!$B:$B, 0)), "")</f>
        <v>ULIF 011 04/01/07 WLS 110</v>
      </c>
      <c r="E5232" s="8">
        <v>66.520799999999994</v>
      </c>
      <c r="F5232" s="9">
        <v>46009</v>
      </c>
    </row>
    <row r="5233" spans="1:6" ht="75" x14ac:dyDescent="0.25">
      <c r="A5233" s="8" t="s">
        <v>63</v>
      </c>
      <c r="B5233" s="8" t="s">
        <v>81</v>
      </c>
      <c r="C5233" s="8" t="str">
        <f>IFERROR(_xlfn.XLOOKUP(TRIM(B5233),Lookup!$B$2:$B$1000,Lookup!$C$2:$C$1000),"")</f>
        <v>Balanced - Debt Oriented</v>
      </c>
      <c r="D5233" s="8" t="str">
        <f>IFERROR(INDEX('nav master'!$C:$C, MATCH(B5233, 'nav master'!$B:$B, 0)), "")</f>
        <v>ULIF 011 04/01/07 WLS 110</v>
      </c>
      <c r="E5233" s="8">
        <v>66.8155</v>
      </c>
      <c r="F5233" s="9">
        <v>46010</v>
      </c>
    </row>
    <row r="5234" spans="1:6" ht="75" x14ac:dyDescent="0.25">
      <c r="A5234" s="8" t="s">
        <v>63</v>
      </c>
      <c r="B5234" s="8" t="s">
        <v>81</v>
      </c>
      <c r="C5234" s="8" t="str">
        <f>IFERROR(_xlfn.XLOOKUP(TRIM(B5234),Lookup!$B$2:$B$1000,Lookup!$C$2:$C$1000),"")</f>
        <v>Balanced - Debt Oriented</v>
      </c>
      <c r="D5234" s="8" t="str">
        <f>IFERROR(INDEX('nav master'!$C:$C, MATCH(B5234, 'nav master'!$B:$B, 0)), "")</f>
        <v>ULIF 011 04/01/07 WLS 110</v>
      </c>
      <c r="E5234" s="8">
        <v>67.105800000000002</v>
      </c>
      <c r="F5234" s="9">
        <v>46013</v>
      </c>
    </row>
    <row r="5235" spans="1:6" ht="75" x14ac:dyDescent="0.25">
      <c r="A5235" s="8" t="s">
        <v>63</v>
      </c>
      <c r="B5235" s="8" t="s">
        <v>81</v>
      </c>
      <c r="C5235" s="8" t="str">
        <f>IFERROR(_xlfn.XLOOKUP(TRIM(B5235),Lookup!$B$2:$B$1000,Lookup!$C$2:$C$1000),"")</f>
        <v>Balanced - Debt Oriented</v>
      </c>
      <c r="D5235" s="8" t="str">
        <f>IFERROR(INDEX('nav master'!$C:$C, MATCH(B5235, 'nav master'!$B:$B, 0)), "")</f>
        <v>ULIF 011 04/01/07 WLS 110</v>
      </c>
      <c r="E5235" s="8">
        <v>67.042900000000003</v>
      </c>
      <c r="F5235" s="9">
        <v>46014</v>
      </c>
    </row>
    <row r="5236" spans="1:6" ht="75" x14ac:dyDescent="0.25">
      <c r="A5236" s="8" t="s">
        <v>63</v>
      </c>
      <c r="B5236" s="8" t="s">
        <v>81</v>
      </c>
      <c r="C5236" s="8" t="str">
        <f>IFERROR(_xlfn.XLOOKUP(TRIM(B5236),Lookup!$B$2:$B$1000,Lookup!$C$2:$C$1000),"")</f>
        <v>Balanced - Debt Oriented</v>
      </c>
      <c r="D5236" s="8" t="str">
        <f>IFERROR(INDEX('nav master'!$C:$C, MATCH(B5236, 'nav master'!$B:$B, 0)), "")</f>
        <v>ULIF 011 04/01/07 WLS 110</v>
      </c>
      <c r="E5236" s="8">
        <v>67.165899999999993</v>
      </c>
      <c r="F5236" s="9">
        <v>46015</v>
      </c>
    </row>
    <row r="5237" spans="1:6" ht="75" x14ac:dyDescent="0.25">
      <c r="A5237" s="8" t="s">
        <v>63</v>
      </c>
      <c r="B5237" s="8" t="s">
        <v>81</v>
      </c>
      <c r="C5237" s="8" t="str">
        <f>IFERROR(_xlfn.XLOOKUP(TRIM(B5237),Lookup!$B$2:$B$1000,Lookup!$C$2:$C$1000),"")</f>
        <v>Balanced - Debt Oriented</v>
      </c>
      <c r="D5237" s="8" t="str">
        <f>IFERROR(INDEX('nav master'!$C:$C, MATCH(B5237, 'nav master'!$B:$B, 0)), "")</f>
        <v>ULIF 011 04/01/07 WLS 110</v>
      </c>
      <c r="E5237" s="8">
        <v>67.0274</v>
      </c>
      <c r="F5237" s="9">
        <v>46017</v>
      </c>
    </row>
    <row r="5238" spans="1:6" ht="75" x14ac:dyDescent="0.25">
      <c r="A5238" s="8" t="s">
        <v>63</v>
      </c>
      <c r="B5238" s="8" t="s">
        <v>81</v>
      </c>
      <c r="C5238" s="8" t="str">
        <f>IFERROR(_xlfn.XLOOKUP(TRIM(B5238),Lookup!$B$2:$B$1000,Lookup!$C$2:$C$1000),"")</f>
        <v>Balanced - Debt Oriented</v>
      </c>
      <c r="D5238" s="8" t="str">
        <f>IFERROR(INDEX('nav master'!$C:$C, MATCH(B5238, 'nav master'!$B:$B, 0)), "")</f>
        <v>ULIF 011 04/01/07 WLS 110</v>
      </c>
      <c r="E5238" s="8">
        <v>66.855400000000003</v>
      </c>
      <c r="F5238" s="9">
        <v>46020</v>
      </c>
    </row>
    <row r="5239" spans="1:6" ht="75" x14ac:dyDescent="0.25">
      <c r="A5239" s="8" t="s">
        <v>63</v>
      </c>
      <c r="B5239" s="8" t="s">
        <v>81</v>
      </c>
      <c r="C5239" s="8" t="str">
        <f>IFERROR(_xlfn.XLOOKUP(TRIM(B5239),Lookup!$B$2:$B$1000,Lookup!$C$2:$C$1000),"")</f>
        <v>Balanced - Debt Oriented</v>
      </c>
      <c r="D5239" s="8" t="str">
        <f>IFERROR(INDEX('nav master'!$C:$C, MATCH(B5239, 'nav master'!$B:$B, 0)), "")</f>
        <v>ULIF 011 04/01/07 WLS 110</v>
      </c>
      <c r="E5239" s="8">
        <v>66.787099999999995</v>
      </c>
      <c r="F5239" s="9">
        <v>46021</v>
      </c>
    </row>
    <row r="5240" spans="1:6" ht="75" x14ac:dyDescent="0.25">
      <c r="A5240" s="8" t="s">
        <v>63</v>
      </c>
      <c r="B5240" s="8" t="s">
        <v>81</v>
      </c>
      <c r="C5240" s="8" t="str">
        <f>IFERROR(_xlfn.XLOOKUP(TRIM(B5240),Lookup!$B$2:$B$1000,Lookup!$C$2:$C$1000),"")</f>
        <v>Balanced - Debt Oriented</v>
      </c>
      <c r="D5240" s="8" t="str">
        <f>IFERROR(INDEX('nav master'!$C:$C, MATCH(B5240, 'nav master'!$B:$B, 0)), "")</f>
        <v>ULIF 011 04/01/07 WLS 110</v>
      </c>
      <c r="E5240" s="8">
        <v>67.057599999999994</v>
      </c>
      <c r="F5240" s="9">
        <v>46022</v>
      </c>
    </row>
    <row r="5241" spans="1:6" ht="75" x14ac:dyDescent="0.25">
      <c r="A5241" s="8" t="s">
        <v>63</v>
      </c>
      <c r="B5241" s="8" t="s">
        <v>81</v>
      </c>
      <c r="C5241" s="8" t="str">
        <f>IFERROR(_xlfn.XLOOKUP(TRIM(B5241),Lookup!$B$2:$B$1000,Lookup!$C$2:$C$1000),"")</f>
        <v>Balanced - Debt Oriented</v>
      </c>
      <c r="D5241" s="8" t="str">
        <f>IFERROR(INDEX('nav master'!$C:$C, MATCH(B5241, 'nav master'!$B:$B, 0)), "")</f>
        <v>ULIF 011 04/01/07 WLS 110</v>
      </c>
      <c r="E5241" s="8">
        <v>67.202699999999993</v>
      </c>
      <c r="F5241" s="9">
        <v>46023</v>
      </c>
    </row>
    <row r="5242" spans="1:6" ht="75" x14ac:dyDescent="0.25">
      <c r="A5242" s="8" t="s">
        <v>63</v>
      </c>
      <c r="B5242" s="8" t="s">
        <v>81</v>
      </c>
      <c r="C5242" s="8" t="str">
        <f>IFERROR(_xlfn.XLOOKUP(TRIM(B5242),Lookup!$B$2:$B$1000,Lookup!$C$2:$C$1000),"")</f>
        <v>Balanced - Debt Oriented</v>
      </c>
      <c r="D5242" s="8" t="str">
        <f>IFERROR(INDEX('nav master'!$C:$C, MATCH(B5242, 'nav master'!$B:$B, 0)), "")</f>
        <v>ULIF 011 04/01/07 WLS 110</v>
      </c>
      <c r="E5242" s="8">
        <v>67.391499999999994</v>
      </c>
      <c r="F5242" s="9">
        <v>46024</v>
      </c>
    </row>
    <row r="5243" spans="1:6" ht="75" x14ac:dyDescent="0.25">
      <c r="A5243" s="8" t="s">
        <v>63</v>
      </c>
      <c r="B5243" s="8" t="s">
        <v>81</v>
      </c>
      <c r="C5243" s="8" t="str">
        <f>IFERROR(_xlfn.XLOOKUP(TRIM(B5243),Lookup!$B$2:$B$1000,Lookup!$C$2:$C$1000),"")</f>
        <v>Balanced - Debt Oriented</v>
      </c>
      <c r="D5243" s="8" t="str">
        <f>IFERROR(INDEX('nav master'!$C:$C, MATCH(B5243, 'nav master'!$B:$B, 0)), "")</f>
        <v>ULIF 011 04/01/07 WLS 110</v>
      </c>
      <c r="E5243" s="8">
        <v>67.262799999999999</v>
      </c>
      <c r="F5243" s="9">
        <v>46027</v>
      </c>
    </row>
    <row r="5244" spans="1:6" ht="75" x14ac:dyDescent="0.25">
      <c r="A5244" s="8" t="s">
        <v>63</v>
      </c>
      <c r="B5244" s="8" t="s">
        <v>81</v>
      </c>
      <c r="C5244" s="8" t="str">
        <f>IFERROR(_xlfn.XLOOKUP(TRIM(B5244),Lookup!$B$2:$B$1000,Lookup!$C$2:$C$1000),"")</f>
        <v>Balanced - Debt Oriented</v>
      </c>
      <c r="D5244" s="8" t="str">
        <f>IFERROR(INDEX('nav master'!$C:$C, MATCH(B5244, 'nav master'!$B:$B, 0)), "")</f>
        <v>ULIF 011 04/01/07 WLS 110</v>
      </c>
      <c r="E5244" s="8">
        <v>67.249600000000001</v>
      </c>
      <c r="F5244" s="9">
        <v>46028</v>
      </c>
    </row>
    <row r="5245" spans="1:6" ht="75" x14ac:dyDescent="0.25">
      <c r="A5245" s="8" t="s">
        <v>63</v>
      </c>
      <c r="B5245" s="8" t="s">
        <v>81</v>
      </c>
      <c r="C5245" s="8" t="str">
        <f>IFERROR(_xlfn.XLOOKUP(TRIM(B5245),Lookup!$B$2:$B$1000,Lookup!$C$2:$C$1000),"")</f>
        <v>Balanced - Debt Oriented</v>
      </c>
      <c r="D5245" s="8" t="str">
        <f>IFERROR(INDEX('nav master'!$C:$C, MATCH(B5245, 'nav master'!$B:$B, 0)), "")</f>
        <v>ULIF 011 04/01/07 WLS 110</v>
      </c>
      <c r="E5245" s="8">
        <v>67.363399999999999</v>
      </c>
      <c r="F5245" s="9">
        <v>46029</v>
      </c>
    </row>
    <row r="5246" spans="1:6" ht="75" x14ac:dyDescent="0.25">
      <c r="A5246" s="8" t="s">
        <v>63</v>
      </c>
      <c r="B5246" s="8" t="s">
        <v>81</v>
      </c>
      <c r="C5246" s="8" t="str">
        <f>IFERROR(_xlfn.XLOOKUP(TRIM(B5246),Lookup!$B$2:$B$1000,Lookup!$C$2:$C$1000),"")</f>
        <v>Balanced - Debt Oriented</v>
      </c>
      <c r="D5246" s="8" t="str">
        <f>IFERROR(INDEX('nav master'!$C:$C, MATCH(B5246, 'nav master'!$B:$B, 0)), "")</f>
        <v>ULIF 011 04/01/07 WLS 110</v>
      </c>
      <c r="E5246" s="8">
        <v>66.737899999999996</v>
      </c>
      <c r="F5246" s="9">
        <v>46030</v>
      </c>
    </row>
    <row r="5247" spans="1:6" ht="75" x14ac:dyDescent="0.25">
      <c r="A5247" s="8" t="s">
        <v>63</v>
      </c>
      <c r="B5247" s="8" t="s">
        <v>81</v>
      </c>
      <c r="C5247" s="8" t="str">
        <f>IFERROR(_xlfn.XLOOKUP(TRIM(B5247),Lookup!$B$2:$B$1000,Lookup!$C$2:$C$1000),"")</f>
        <v>Balanced - Debt Oriented</v>
      </c>
      <c r="D5247" s="8" t="str">
        <f>IFERROR(INDEX('nav master'!$C:$C, MATCH(B5247, 'nav master'!$B:$B, 0)), "")</f>
        <v>ULIF 011 04/01/07 WLS 110</v>
      </c>
      <c r="E5247" s="8">
        <v>66.436599999999999</v>
      </c>
      <c r="F5247" s="9">
        <v>46031</v>
      </c>
    </row>
    <row r="5248" spans="1:6" ht="75" x14ac:dyDescent="0.25">
      <c r="A5248" s="8" t="s">
        <v>63</v>
      </c>
      <c r="B5248" s="8" t="s">
        <v>81</v>
      </c>
      <c r="C5248" s="8" t="str">
        <f>IFERROR(_xlfn.XLOOKUP(TRIM(B5248),Lookup!$B$2:$B$1000,Lookup!$C$2:$C$1000),"")</f>
        <v>Balanced - Debt Oriented</v>
      </c>
      <c r="D5248" s="8" t="str">
        <f>IFERROR(INDEX('nav master'!$C:$C, MATCH(B5248, 'nav master'!$B:$B, 0)), "")</f>
        <v>ULIF 011 04/01/07 WLS 110</v>
      </c>
      <c r="E5248" s="8">
        <v>66.436199999999999</v>
      </c>
      <c r="F5248" s="9">
        <v>46034</v>
      </c>
    </row>
    <row r="5249" spans="1:6" ht="75" x14ac:dyDescent="0.25">
      <c r="A5249" s="8" t="s">
        <v>63</v>
      </c>
      <c r="B5249" s="8" t="s">
        <v>81</v>
      </c>
      <c r="C5249" s="8" t="str">
        <f>IFERROR(_xlfn.XLOOKUP(TRIM(B5249),Lookup!$B$2:$B$1000,Lookup!$C$2:$C$1000),"")</f>
        <v>Balanced - Debt Oriented</v>
      </c>
      <c r="D5249" s="8" t="str">
        <f>IFERROR(INDEX('nav master'!$C:$C, MATCH(B5249, 'nav master'!$B:$B, 0)), "")</f>
        <v>ULIF 011 04/01/07 WLS 110</v>
      </c>
      <c r="E5249" s="8">
        <v>66.498800000000003</v>
      </c>
      <c r="F5249" s="9">
        <v>46035</v>
      </c>
    </row>
    <row r="5250" spans="1:6" ht="75" x14ac:dyDescent="0.25">
      <c r="A5250" s="8" t="s">
        <v>63</v>
      </c>
      <c r="B5250" s="8" t="s">
        <v>81</v>
      </c>
      <c r="C5250" s="8" t="str">
        <f>IFERROR(_xlfn.XLOOKUP(TRIM(B5250),Lookup!$B$2:$B$1000,Lookup!$C$2:$C$1000),"")</f>
        <v>Balanced - Debt Oriented</v>
      </c>
      <c r="D5250" s="8" t="str">
        <f>IFERROR(INDEX('nav master'!$C:$C, MATCH(B5250, 'nav master'!$B:$B, 0)), "")</f>
        <v>ULIF 011 04/01/07 WLS 110</v>
      </c>
      <c r="E5250" s="8">
        <v>66.566500000000005</v>
      </c>
      <c r="F5250" s="9">
        <v>46036</v>
      </c>
    </row>
    <row r="5251" spans="1:6" ht="75" x14ac:dyDescent="0.25">
      <c r="A5251" s="8" t="s">
        <v>63</v>
      </c>
      <c r="B5251" s="8" t="s">
        <v>81</v>
      </c>
      <c r="C5251" s="8" t="str">
        <f>IFERROR(_xlfn.XLOOKUP(TRIM(B5251),Lookup!$B$2:$B$1000,Lookup!$C$2:$C$1000),"")</f>
        <v>Balanced - Debt Oriented</v>
      </c>
      <c r="D5251" s="8" t="str">
        <f>IFERROR(INDEX('nav master'!$C:$C, MATCH(B5251, 'nav master'!$B:$B, 0)), "")</f>
        <v>ULIF 011 04/01/07 WLS 110</v>
      </c>
      <c r="E5251" s="8">
        <v>66.597200000000001</v>
      </c>
      <c r="F5251" s="9">
        <v>46038</v>
      </c>
    </row>
    <row r="5252" spans="1:6" ht="75" x14ac:dyDescent="0.25">
      <c r="A5252" s="8" t="s">
        <v>63</v>
      </c>
      <c r="B5252" s="8" t="s">
        <v>81</v>
      </c>
      <c r="C5252" s="8" t="str">
        <f>IFERROR(_xlfn.XLOOKUP(TRIM(B5252),Lookup!$B$2:$B$1000,Lookup!$C$2:$C$1000),"")</f>
        <v>Balanced - Debt Oriented</v>
      </c>
      <c r="D5252" s="8" t="str">
        <f>IFERROR(INDEX('nav master'!$C:$C, MATCH(B5252, 'nav master'!$B:$B, 0)), "")</f>
        <v>ULIF 011 04/01/07 WLS 110</v>
      </c>
      <c r="E5252" s="8">
        <v>66.352699999999999</v>
      </c>
      <c r="F5252" s="9">
        <v>46041</v>
      </c>
    </row>
    <row r="5253" spans="1:6" ht="75" x14ac:dyDescent="0.25">
      <c r="A5253" s="8" t="s">
        <v>63</v>
      </c>
      <c r="B5253" s="8" t="s">
        <v>81</v>
      </c>
      <c r="C5253" s="8" t="str">
        <f>IFERROR(_xlfn.XLOOKUP(TRIM(B5253),Lookup!$B$2:$B$1000,Lookup!$C$2:$C$1000),"")</f>
        <v>Balanced - Debt Oriented</v>
      </c>
      <c r="D5253" s="8" t="str">
        <f>IFERROR(INDEX('nav master'!$C:$C, MATCH(B5253, 'nav master'!$B:$B, 0)), "")</f>
        <v>ULIF 011 04/01/07 WLS 110</v>
      </c>
      <c r="E5253" s="8">
        <v>65.793099999999995</v>
      </c>
      <c r="F5253" s="9">
        <v>46042</v>
      </c>
    </row>
    <row r="5254" spans="1:6" ht="75" x14ac:dyDescent="0.25">
      <c r="A5254" s="8" t="s">
        <v>63</v>
      </c>
      <c r="B5254" s="8" t="s">
        <v>81</v>
      </c>
      <c r="C5254" s="8" t="str">
        <f>IFERROR(_xlfn.XLOOKUP(TRIM(B5254),Lookup!$B$2:$B$1000,Lookup!$C$2:$C$1000),"")</f>
        <v>Balanced - Debt Oriented</v>
      </c>
      <c r="D5254" s="8" t="str">
        <f>IFERROR(INDEX('nav master'!$C:$C, MATCH(B5254, 'nav master'!$B:$B, 0)), "")</f>
        <v>ULIF 011 04/01/07 WLS 110</v>
      </c>
      <c r="E5254" s="8">
        <v>65.763099999999994</v>
      </c>
      <c r="F5254" s="9">
        <v>46043</v>
      </c>
    </row>
    <row r="5255" spans="1:6" ht="75" x14ac:dyDescent="0.25">
      <c r="A5255" s="8" t="s">
        <v>63</v>
      </c>
      <c r="B5255" s="8" t="s">
        <v>81</v>
      </c>
      <c r="C5255" s="8" t="str">
        <f>IFERROR(_xlfn.XLOOKUP(TRIM(B5255),Lookup!$B$2:$B$1000,Lookup!$C$2:$C$1000),"")</f>
        <v>Balanced - Debt Oriented</v>
      </c>
      <c r="D5255" s="8" t="str">
        <f>IFERROR(INDEX('nav master'!$C:$C, MATCH(B5255, 'nav master'!$B:$B, 0)), "")</f>
        <v>ULIF 011 04/01/07 WLS 110</v>
      </c>
      <c r="E5255" s="8">
        <v>66.063199999999995</v>
      </c>
      <c r="F5255" s="9">
        <v>46044</v>
      </c>
    </row>
    <row r="5256" spans="1:6" ht="75" x14ac:dyDescent="0.25">
      <c r="A5256" s="8" t="s">
        <v>63</v>
      </c>
      <c r="B5256" s="8" t="s">
        <v>81</v>
      </c>
      <c r="C5256" s="8" t="str">
        <f>IFERROR(_xlfn.XLOOKUP(TRIM(B5256),Lookup!$B$2:$B$1000,Lookup!$C$2:$C$1000),"")</f>
        <v>Balanced - Debt Oriented</v>
      </c>
      <c r="D5256" s="8" t="str">
        <f>IFERROR(INDEX('nav master'!$C:$C, MATCH(B5256, 'nav master'!$B:$B, 0)), "")</f>
        <v>ULIF 011 04/01/07 WLS 110</v>
      </c>
      <c r="E5256" s="8">
        <v>65.630499999999998</v>
      </c>
      <c r="F5256" s="9">
        <v>46045</v>
      </c>
    </row>
    <row r="5257" spans="1:6" ht="75" x14ac:dyDescent="0.25">
      <c r="A5257" s="8" t="s">
        <v>63</v>
      </c>
      <c r="B5257" s="8" t="s">
        <v>81</v>
      </c>
      <c r="C5257" s="8" t="str">
        <f>IFERROR(_xlfn.XLOOKUP(TRIM(B5257),Lookup!$B$2:$B$1000,Lookup!$C$2:$C$1000),"")</f>
        <v>Balanced - Debt Oriented</v>
      </c>
      <c r="D5257" s="8" t="str">
        <f>IFERROR(INDEX('nav master'!$C:$C, MATCH(B5257, 'nav master'!$B:$B, 0)), "")</f>
        <v>ULIF 011 04/01/07 WLS 110</v>
      </c>
      <c r="E5257" s="8">
        <v>65.7727</v>
      </c>
      <c r="F5257" s="9">
        <v>46049</v>
      </c>
    </row>
    <row r="5258" spans="1:6" ht="75" x14ac:dyDescent="0.25">
      <c r="A5258" s="8" t="s">
        <v>63</v>
      </c>
      <c r="B5258" s="8" t="s">
        <v>81</v>
      </c>
      <c r="C5258" s="8" t="str">
        <f>IFERROR(_xlfn.XLOOKUP(TRIM(B5258),Lookup!$B$2:$B$1000,Lookup!$C$2:$C$1000),"")</f>
        <v>Balanced - Debt Oriented</v>
      </c>
      <c r="D5258" s="8" t="str">
        <f>IFERROR(INDEX('nav master'!$C:$C, MATCH(B5258, 'nav master'!$B:$B, 0)), "")</f>
        <v>ULIF 011 04/01/07 WLS 110</v>
      </c>
      <c r="E5258" s="8">
        <v>66.121200000000002</v>
      </c>
      <c r="F5258" s="9">
        <v>46050</v>
      </c>
    </row>
    <row r="5259" spans="1:6" ht="75" x14ac:dyDescent="0.25">
      <c r="A5259" s="8" t="s">
        <v>63</v>
      </c>
      <c r="B5259" s="8" t="s">
        <v>81</v>
      </c>
      <c r="C5259" s="8" t="str">
        <f>IFERROR(_xlfn.XLOOKUP(TRIM(B5259),Lookup!$B$2:$B$1000,Lookup!$C$2:$C$1000),"")</f>
        <v>Balanced - Debt Oriented</v>
      </c>
      <c r="D5259" s="8" t="str">
        <f>IFERROR(INDEX('nav master'!$C:$C, MATCH(B5259, 'nav master'!$B:$B, 0)), "")</f>
        <v>ULIF 011 04/01/07 WLS 110</v>
      </c>
      <c r="E5259" s="8">
        <v>66.102000000000004</v>
      </c>
      <c r="F5259" s="9">
        <v>46051</v>
      </c>
    </row>
    <row r="5260" spans="1:6" ht="75" x14ac:dyDescent="0.25">
      <c r="A5260" s="8" t="s">
        <v>63</v>
      </c>
      <c r="B5260" s="8" t="s">
        <v>81</v>
      </c>
      <c r="C5260" s="8" t="str">
        <f>IFERROR(_xlfn.XLOOKUP(TRIM(B5260),Lookup!$B$2:$B$1000,Lookup!$C$2:$C$1000),"")</f>
        <v>Balanced - Debt Oriented</v>
      </c>
      <c r="D5260" s="8" t="str">
        <f>IFERROR(INDEX('nav master'!$C:$C, MATCH(B5260, 'nav master'!$B:$B, 0)), "")</f>
        <v>ULIF 011 04/01/07 WLS 110</v>
      </c>
      <c r="E5260" s="8">
        <v>66.064899999999994</v>
      </c>
      <c r="F5260" s="9">
        <v>46052</v>
      </c>
    </row>
    <row r="5261" spans="1:6" ht="75" x14ac:dyDescent="0.25">
      <c r="A5261" s="8" t="s">
        <v>63</v>
      </c>
      <c r="B5261" s="8" t="s">
        <v>81</v>
      </c>
      <c r="C5261" s="8" t="str">
        <f>IFERROR(_xlfn.XLOOKUP(TRIM(B5261),Lookup!$B$2:$B$1000,Lookup!$C$2:$C$1000),"")</f>
        <v>Balanced - Debt Oriented</v>
      </c>
      <c r="D5261" s="8" t="str">
        <f>IFERROR(INDEX('nav master'!$C:$C, MATCH(B5261, 'nav master'!$B:$B, 0)), "")</f>
        <v>ULIF 011 04/01/07 WLS 110</v>
      </c>
      <c r="E5261" s="8">
        <v>65.414000000000001</v>
      </c>
      <c r="F5261" s="9">
        <v>46054</v>
      </c>
    </row>
    <row r="5262" spans="1:6" ht="75" x14ac:dyDescent="0.25">
      <c r="A5262" s="8" t="s">
        <v>63</v>
      </c>
      <c r="B5262" s="8" t="s">
        <v>81</v>
      </c>
      <c r="C5262" s="8" t="str">
        <f>IFERROR(_xlfn.XLOOKUP(TRIM(B5262),Lookup!$B$2:$B$1000,Lookup!$C$2:$C$1000),"")</f>
        <v>Balanced - Debt Oriented</v>
      </c>
      <c r="D5262" s="8" t="str">
        <f>IFERROR(INDEX('nav master'!$C:$C, MATCH(B5262, 'nav master'!$B:$B, 0)), "")</f>
        <v>ULIF 011 04/01/07 WLS 110</v>
      </c>
      <c r="E5262" s="8">
        <v>65.592500000000001</v>
      </c>
      <c r="F5262" s="9">
        <v>46055</v>
      </c>
    </row>
    <row r="5263" spans="1:6" ht="75" x14ac:dyDescent="0.25">
      <c r="A5263" s="8" t="s">
        <v>63</v>
      </c>
      <c r="B5263" s="8" t="s">
        <v>81</v>
      </c>
      <c r="C5263" s="8" t="str">
        <f>IFERROR(_xlfn.XLOOKUP(TRIM(B5263),Lookup!$B$2:$B$1000,Lookup!$C$2:$C$1000),"")</f>
        <v>Balanced - Debt Oriented</v>
      </c>
      <c r="D5263" s="8" t="str">
        <f>IFERROR(INDEX('nav master'!$C:$C, MATCH(B5263, 'nav master'!$B:$B, 0)), "")</f>
        <v>ULIF 011 04/01/07 WLS 110</v>
      </c>
      <c r="E5263" s="8">
        <v>66.586100000000002</v>
      </c>
      <c r="F5263" s="9">
        <v>46056</v>
      </c>
    </row>
    <row r="5264" spans="1:6" ht="75" x14ac:dyDescent="0.25">
      <c r="A5264" s="8" t="s">
        <v>63</v>
      </c>
      <c r="B5264" s="8" t="s">
        <v>81</v>
      </c>
      <c r="C5264" s="8" t="str">
        <f>IFERROR(_xlfn.XLOOKUP(TRIM(B5264),Lookup!$B$2:$B$1000,Lookup!$C$2:$C$1000),"")</f>
        <v>Balanced - Debt Oriented</v>
      </c>
      <c r="D5264" s="8" t="str">
        <f>IFERROR(INDEX('nav master'!$C:$C, MATCH(B5264, 'nav master'!$B:$B, 0)), "")</f>
        <v>ULIF 011 04/01/07 WLS 110</v>
      </c>
      <c r="E5264" s="8">
        <v>66.702299999999994</v>
      </c>
      <c r="F5264" s="9">
        <v>46057</v>
      </c>
    </row>
    <row r="5265" spans="1:6" ht="75" x14ac:dyDescent="0.25">
      <c r="A5265" s="8" t="s">
        <v>63</v>
      </c>
      <c r="B5265" s="8" t="s">
        <v>81</v>
      </c>
      <c r="C5265" s="8" t="str">
        <f>IFERROR(_xlfn.XLOOKUP(TRIM(B5265),Lookup!$B$2:$B$1000,Lookup!$C$2:$C$1000),"")</f>
        <v>Balanced - Debt Oriented</v>
      </c>
      <c r="D5265" s="8" t="str">
        <f>IFERROR(INDEX('nav master'!$C:$C, MATCH(B5265, 'nav master'!$B:$B, 0)), "")</f>
        <v>ULIF 011 04/01/07 WLS 110</v>
      </c>
      <c r="E5265" s="8">
        <v>66.546400000000006</v>
      </c>
      <c r="F5265" s="9">
        <v>46058</v>
      </c>
    </row>
    <row r="5266" spans="1:6" ht="75" x14ac:dyDescent="0.25">
      <c r="A5266" s="8" t="s">
        <v>63</v>
      </c>
      <c r="B5266" s="8" t="s">
        <v>81</v>
      </c>
      <c r="C5266" s="8" t="str">
        <f>IFERROR(_xlfn.XLOOKUP(TRIM(B5266),Lookup!$B$2:$B$1000,Lookup!$C$2:$C$1000),"")</f>
        <v>Balanced - Debt Oriented</v>
      </c>
      <c r="D5266" s="8" t="str">
        <f>IFERROR(INDEX('nav master'!$C:$C, MATCH(B5266, 'nav master'!$B:$B, 0)), "")</f>
        <v>ULIF 011 04/01/07 WLS 110</v>
      </c>
      <c r="E5266" s="8">
        <v>66.349800000000002</v>
      </c>
      <c r="F5266" s="9">
        <v>46059</v>
      </c>
    </row>
    <row r="5267" spans="1:6" ht="75" x14ac:dyDescent="0.25">
      <c r="A5267" s="8" t="s">
        <v>63</v>
      </c>
      <c r="B5267" s="8" t="s">
        <v>81</v>
      </c>
      <c r="C5267" s="8" t="str">
        <f>IFERROR(_xlfn.XLOOKUP(TRIM(B5267),Lookup!$B$2:$B$1000,Lookup!$C$2:$C$1000),"")</f>
        <v>Balanced - Debt Oriented</v>
      </c>
      <c r="D5267" s="8" t="str">
        <f>IFERROR(INDEX('nav master'!$C:$C, MATCH(B5267, 'nav master'!$B:$B, 0)), "")</f>
        <v>ULIF 011 04/01/07 WLS 110</v>
      </c>
      <c r="E5267" s="8">
        <v>66.738299999999995</v>
      </c>
      <c r="F5267" s="9">
        <v>46062</v>
      </c>
    </row>
    <row r="5268" spans="1:6" ht="75" x14ac:dyDescent="0.25">
      <c r="A5268" s="8" t="s">
        <v>63</v>
      </c>
      <c r="B5268" s="8" t="s">
        <v>81</v>
      </c>
      <c r="C5268" s="8" t="str">
        <f>IFERROR(_xlfn.XLOOKUP(TRIM(B5268),Lookup!$B$2:$B$1000,Lookup!$C$2:$C$1000),"")</f>
        <v>Balanced - Debt Oriented</v>
      </c>
      <c r="D5268" s="8" t="str">
        <f>IFERROR(INDEX('nav master'!$C:$C, MATCH(B5268, 'nav master'!$B:$B, 0)), "")</f>
        <v>ULIF 011 04/01/07 WLS 110</v>
      </c>
      <c r="E5268" s="8">
        <v>66.990899999999996</v>
      </c>
      <c r="F5268" s="9">
        <v>46063</v>
      </c>
    </row>
    <row r="5269" spans="1:6" ht="75" x14ac:dyDescent="0.25">
      <c r="A5269" s="8" t="s">
        <v>63</v>
      </c>
      <c r="B5269" s="8" t="s">
        <v>81</v>
      </c>
      <c r="C5269" s="8" t="str">
        <f>IFERROR(_xlfn.XLOOKUP(TRIM(B5269),Lookup!$B$2:$B$1000,Lookup!$C$2:$C$1000),"")</f>
        <v>Balanced - Debt Oriented</v>
      </c>
      <c r="D5269" s="8" t="str">
        <f>IFERROR(INDEX('nav master'!$C:$C, MATCH(B5269, 'nav master'!$B:$B, 0)), "")</f>
        <v>ULIF 011 04/01/07 WLS 110</v>
      </c>
      <c r="E5269" s="8">
        <v>66.955600000000004</v>
      </c>
      <c r="F5269" s="9">
        <v>46064</v>
      </c>
    </row>
    <row r="5270" spans="1:6" ht="75" x14ac:dyDescent="0.25">
      <c r="A5270" s="8" t="s">
        <v>63</v>
      </c>
      <c r="B5270" s="8" t="s">
        <v>81</v>
      </c>
      <c r="C5270" s="8" t="str">
        <f>IFERROR(_xlfn.XLOOKUP(TRIM(B5270),Lookup!$B$2:$B$1000,Lookup!$C$2:$C$1000),"")</f>
        <v>Balanced - Debt Oriented</v>
      </c>
      <c r="D5270" s="8" t="str">
        <f>IFERROR(INDEX('nav master'!$C:$C, MATCH(B5270, 'nav master'!$B:$B, 0)), "")</f>
        <v>ULIF 011 04/01/07 WLS 110</v>
      </c>
      <c r="E5270" s="8">
        <v>66.786100000000005</v>
      </c>
      <c r="F5270" s="9">
        <v>46065</v>
      </c>
    </row>
    <row r="5271" spans="1:6" ht="75" x14ac:dyDescent="0.25">
      <c r="A5271" s="8" t="s">
        <v>63</v>
      </c>
      <c r="B5271" s="8" t="s">
        <v>81</v>
      </c>
      <c r="C5271" s="8" t="str">
        <f>IFERROR(_xlfn.XLOOKUP(TRIM(B5271),Lookup!$B$2:$B$1000,Lookup!$C$2:$C$1000),"")</f>
        <v>Balanced - Debt Oriented</v>
      </c>
      <c r="D5271" s="8" t="str">
        <f>IFERROR(INDEX('nav master'!$C:$C, MATCH(B5271, 'nav master'!$B:$B, 0)), "")</f>
        <v>ULIF 011 04/01/07 WLS 110</v>
      </c>
      <c r="E5271" s="8">
        <v>66.247500000000002</v>
      </c>
      <c r="F5271" s="9">
        <v>46066</v>
      </c>
    </row>
    <row r="5272" spans="1:6" ht="75" x14ac:dyDescent="0.25">
      <c r="A5272" s="8" t="s">
        <v>63</v>
      </c>
      <c r="B5272" s="8" t="s">
        <v>81</v>
      </c>
      <c r="C5272" s="8" t="str">
        <f>IFERROR(_xlfn.XLOOKUP(TRIM(B5272),Lookup!$B$2:$B$1000,Lookup!$C$2:$C$1000),"")</f>
        <v>Balanced - Debt Oriented</v>
      </c>
      <c r="D5272" s="8" t="str">
        <f>IFERROR(INDEX('nav master'!$C:$C, MATCH(B5272, 'nav master'!$B:$B, 0)), "")</f>
        <v>ULIF 011 04/01/07 WLS 110</v>
      </c>
      <c r="E5272" s="8">
        <v>66.239900000000006</v>
      </c>
      <c r="F5272" s="9">
        <v>46069</v>
      </c>
    </row>
    <row r="5273" spans="1:6" ht="75" x14ac:dyDescent="0.25">
      <c r="A5273" s="8" t="s">
        <v>63</v>
      </c>
      <c r="B5273" s="8" t="s">
        <v>81</v>
      </c>
      <c r="C5273" s="8" t="str">
        <f>IFERROR(_xlfn.XLOOKUP(TRIM(B5273),Lookup!$B$2:$B$1000,Lookup!$C$2:$C$1000),"")</f>
        <v>Balanced - Debt Oriented</v>
      </c>
      <c r="D5273" s="8" t="str">
        <f>IFERROR(INDEX('nav master'!$C:$C, MATCH(B5273, 'nav master'!$B:$B, 0)), "")</f>
        <v>ULIF 011 04/01/07 WLS 110</v>
      </c>
      <c r="E5273" s="8">
        <v>66.286500000000004</v>
      </c>
      <c r="F5273" s="9">
        <v>46070</v>
      </c>
    </row>
    <row r="5274" spans="1:6" ht="75" x14ac:dyDescent="0.25">
      <c r="A5274" s="8" t="s">
        <v>63</v>
      </c>
      <c r="B5274" s="8" t="s">
        <v>81</v>
      </c>
      <c r="C5274" s="8" t="str">
        <f>IFERROR(_xlfn.XLOOKUP(TRIM(B5274),Lookup!$B$2:$B$1000,Lookup!$C$2:$C$1000),"")</f>
        <v>Balanced - Debt Oriented</v>
      </c>
      <c r="D5274" s="8" t="str">
        <f>IFERROR(INDEX('nav master'!$C:$C, MATCH(B5274, 'nav master'!$B:$B, 0)), "")</f>
        <v>ULIF 011 04/01/07 WLS 110</v>
      </c>
      <c r="E5274" s="8">
        <v>66.3904</v>
      </c>
      <c r="F5274" s="9">
        <v>46071</v>
      </c>
    </row>
    <row r="5275" spans="1:6" ht="75" x14ac:dyDescent="0.25">
      <c r="A5275" s="8" t="s">
        <v>63</v>
      </c>
      <c r="B5275" s="8" t="s">
        <v>81</v>
      </c>
      <c r="C5275" s="8" t="str">
        <f>IFERROR(_xlfn.XLOOKUP(TRIM(B5275),Lookup!$B$2:$B$1000,Lookup!$C$2:$C$1000),"")</f>
        <v>Balanced - Debt Oriented</v>
      </c>
      <c r="D5275" s="8" t="str">
        <f>IFERROR(INDEX('nav master'!$C:$C, MATCH(B5275, 'nav master'!$B:$B, 0)), "")</f>
        <v>ULIF 011 04/01/07 WLS 110</v>
      </c>
      <c r="E5275" s="8">
        <v>66.039900000000003</v>
      </c>
      <c r="F5275" s="9">
        <v>46072</v>
      </c>
    </row>
    <row r="5276" spans="1:6" ht="75" x14ac:dyDescent="0.25">
      <c r="A5276" s="8" t="s">
        <v>63</v>
      </c>
      <c r="B5276" s="8" t="s">
        <v>81</v>
      </c>
      <c r="C5276" s="8" t="str">
        <f>IFERROR(_xlfn.XLOOKUP(TRIM(B5276),Lookup!$B$2:$B$1000,Lookup!$C$2:$C$1000),"")</f>
        <v>Balanced - Debt Oriented</v>
      </c>
      <c r="D5276" s="8" t="str">
        <f>IFERROR(INDEX('nav master'!$C:$C, MATCH(B5276, 'nav master'!$B:$B, 0)), "")</f>
        <v>ULIF 011 04/01/07 WLS 110</v>
      </c>
      <c r="E5276" s="8">
        <v>66.026399999999995</v>
      </c>
      <c r="F5276" s="9">
        <v>46073</v>
      </c>
    </row>
    <row r="5277" spans="1:6" ht="75" x14ac:dyDescent="0.25">
      <c r="A5277" s="8" t="s">
        <v>63</v>
      </c>
      <c r="B5277" s="8" t="s">
        <v>81</v>
      </c>
      <c r="C5277" s="8" t="str">
        <f>IFERROR(_xlfn.XLOOKUP(TRIM(B5277),Lookup!$B$2:$B$1000,Lookup!$C$2:$C$1000),"")</f>
        <v>Balanced - Debt Oriented</v>
      </c>
      <c r="D5277" s="8" t="str">
        <f>IFERROR(INDEX('nav master'!$C:$C, MATCH(B5277, 'nav master'!$B:$B, 0)), "")</f>
        <v>ULIF 011 04/01/07 WLS 110</v>
      </c>
      <c r="E5277" s="8">
        <v>66.219899999999996</v>
      </c>
      <c r="F5277" s="9">
        <v>46076</v>
      </c>
    </row>
    <row r="5278" spans="1:6" ht="75" x14ac:dyDescent="0.25">
      <c r="A5278" s="8" t="s">
        <v>63</v>
      </c>
      <c r="B5278" s="8" t="s">
        <v>81</v>
      </c>
      <c r="C5278" s="8" t="str">
        <f>IFERROR(_xlfn.XLOOKUP(TRIM(B5278),Lookup!$B$2:$B$1000,Lookup!$C$2:$C$1000),"")</f>
        <v>Balanced - Debt Oriented</v>
      </c>
      <c r="D5278" s="8" t="str">
        <f>IFERROR(INDEX('nav master'!$C:$C, MATCH(B5278, 'nav master'!$B:$B, 0)), "")</f>
        <v>ULIF 011 04/01/07 WLS 110</v>
      </c>
      <c r="E5278" s="8">
        <v>65.992099999999994</v>
      </c>
      <c r="F5278" s="9">
        <v>46077</v>
      </c>
    </row>
    <row r="5279" spans="1:6" ht="75" x14ac:dyDescent="0.25">
      <c r="A5279" s="8" t="s">
        <v>63</v>
      </c>
      <c r="B5279" s="8" t="s">
        <v>81</v>
      </c>
      <c r="C5279" s="8" t="str">
        <f>IFERROR(_xlfn.XLOOKUP(TRIM(B5279),Lookup!$B$2:$B$1000,Lookup!$C$2:$C$1000),"")</f>
        <v>Balanced - Debt Oriented</v>
      </c>
      <c r="D5279" s="8" t="str">
        <f>IFERROR(INDEX('nav master'!$C:$C, MATCH(B5279, 'nav master'!$B:$B, 0)), "")</f>
        <v>ULIF 011 04/01/07 WLS 110</v>
      </c>
      <c r="E5279" s="8">
        <v>66.244900000000001</v>
      </c>
      <c r="F5279" s="9">
        <v>46078</v>
      </c>
    </row>
    <row r="5280" spans="1:6" ht="75" x14ac:dyDescent="0.25">
      <c r="A5280" s="8" t="s">
        <v>63</v>
      </c>
      <c r="B5280" s="8" t="s">
        <v>81</v>
      </c>
      <c r="C5280" s="8" t="str">
        <f>IFERROR(_xlfn.XLOOKUP(TRIM(B5280),Lookup!$B$2:$B$1000,Lookup!$C$2:$C$1000),"")</f>
        <v>Balanced - Debt Oriented</v>
      </c>
      <c r="D5280" s="8" t="str">
        <f>IFERROR(INDEX('nav master'!$C:$C, MATCH(B5280, 'nav master'!$B:$B, 0)), "")</f>
        <v>ULIF 011 04/01/07 WLS 110</v>
      </c>
      <c r="E5280" s="8">
        <v>66.243399999999994</v>
      </c>
      <c r="F5280" s="9">
        <v>46079</v>
      </c>
    </row>
    <row r="5281" spans="1:6" ht="75" x14ac:dyDescent="0.25">
      <c r="A5281" s="8" t="s">
        <v>63</v>
      </c>
      <c r="B5281" s="8" t="s">
        <v>81</v>
      </c>
      <c r="C5281" s="8" t="str">
        <f>IFERROR(_xlfn.XLOOKUP(TRIM(B5281),Lookup!$B$2:$B$1000,Lookup!$C$2:$C$1000),"")</f>
        <v>Balanced - Debt Oriented</v>
      </c>
      <c r="D5281" s="8" t="str">
        <f>IFERROR(INDEX('nav master'!$C:$C, MATCH(B5281, 'nav master'!$B:$B, 0)), "")</f>
        <v>ULIF 011 04/01/07 WLS 110</v>
      </c>
      <c r="E5281" s="8">
        <v>65.887699999999995</v>
      </c>
      <c r="F5281" s="9">
        <v>46080</v>
      </c>
    </row>
    <row r="5282" spans="1:6" ht="75" x14ac:dyDescent="0.25">
      <c r="A5282" s="8" t="s">
        <v>63</v>
      </c>
      <c r="B5282" s="8" t="s">
        <v>81</v>
      </c>
      <c r="C5282" s="8" t="str">
        <f>IFERROR(_xlfn.XLOOKUP(TRIM(B5282),Lookup!$B$2:$B$1000,Lookup!$C$2:$C$1000),"")</f>
        <v>Balanced - Debt Oriented</v>
      </c>
      <c r="D5282" s="8" t="str">
        <f>IFERROR(INDEX('nav master'!$C:$C, MATCH(B5282, 'nav master'!$B:$B, 0)), "")</f>
        <v>ULIF 011 04/01/07 WLS 110</v>
      </c>
      <c r="E5282" s="8">
        <v>65.454800000000006</v>
      </c>
      <c r="F5282" s="9">
        <v>46083</v>
      </c>
    </row>
    <row r="5283" spans="1:6" ht="75" x14ac:dyDescent="0.25">
      <c r="A5283" s="8" t="s">
        <v>63</v>
      </c>
      <c r="B5283" s="8" t="s">
        <v>81</v>
      </c>
      <c r="C5283" s="8" t="str">
        <f>IFERROR(_xlfn.XLOOKUP(TRIM(B5283),Lookup!$B$2:$B$1000,Lookup!$C$2:$C$1000),"")</f>
        <v>Balanced - Debt Oriented</v>
      </c>
      <c r="D5283" s="8" t="str">
        <f>IFERROR(INDEX('nav master'!$C:$C, MATCH(B5283, 'nav master'!$B:$B, 0)), "")</f>
        <v>ULIF 011 04/01/07 WLS 110</v>
      </c>
      <c r="E5283" s="8">
        <v>64.942700000000002</v>
      </c>
      <c r="F5283" s="9">
        <v>46085</v>
      </c>
    </row>
    <row r="5284" spans="1:6" ht="75" x14ac:dyDescent="0.25">
      <c r="A5284" s="8" t="s">
        <v>63</v>
      </c>
      <c r="B5284" s="8" t="s">
        <v>81</v>
      </c>
      <c r="C5284" s="8" t="str">
        <f>IFERROR(_xlfn.XLOOKUP(TRIM(B5284),Lookup!$B$2:$B$1000,Lookup!$C$2:$C$1000),"")</f>
        <v>Balanced - Debt Oriented</v>
      </c>
      <c r="D5284" s="8" t="str">
        <f>IFERROR(INDEX('nav master'!$C:$C, MATCH(B5284, 'nav master'!$B:$B, 0)), "")</f>
        <v>ULIF 011 04/01/07 WLS 110</v>
      </c>
      <c r="E5284" s="8">
        <v>65.364699999999999</v>
      </c>
      <c r="F5284" s="9">
        <v>46086</v>
      </c>
    </row>
    <row r="5285" spans="1:6" ht="75" x14ac:dyDescent="0.25">
      <c r="A5285" s="8" t="s">
        <v>63</v>
      </c>
      <c r="B5285" s="8" t="s">
        <v>81</v>
      </c>
      <c r="C5285" s="8" t="str">
        <f>IFERROR(_xlfn.XLOOKUP(TRIM(B5285),Lookup!$B$2:$B$1000,Lookup!$C$2:$C$1000),"")</f>
        <v>Balanced - Debt Oriented</v>
      </c>
      <c r="D5285" s="8" t="str">
        <f>IFERROR(INDEX('nav master'!$C:$C, MATCH(B5285, 'nav master'!$B:$B, 0)), "")</f>
        <v>ULIF 011 04/01/07 WLS 110</v>
      </c>
      <c r="E5285" s="8">
        <v>65.1965</v>
      </c>
      <c r="F5285" s="9">
        <v>46087</v>
      </c>
    </row>
    <row r="5286" spans="1:6" ht="75" x14ac:dyDescent="0.25">
      <c r="A5286" s="8" t="s">
        <v>63</v>
      </c>
      <c r="B5286" s="8" t="s">
        <v>81</v>
      </c>
      <c r="C5286" s="8" t="str">
        <f>IFERROR(_xlfn.XLOOKUP(TRIM(B5286),Lookup!$B$2:$B$1000,Lookup!$C$2:$C$1000),"")</f>
        <v>Balanced - Debt Oriented</v>
      </c>
      <c r="D5286" s="8" t="str">
        <f>IFERROR(INDEX('nav master'!$C:$C, MATCH(B5286, 'nav master'!$B:$B, 0)), "")</f>
        <v>ULIF 011 04/01/07 WLS 110</v>
      </c>
      <c r="E5286" s="8">
        <v>64.779300000000006</v>
      </c>
      <c r="F5286" s="9">
        <v>46090</v>
      </c>
    </row>
    <row r="5287" spans="1:6" ht="75" x14ac:dyDescent="0.25">
      <c r="A5287" s="8" t="s">
        <v>63</v>
      </c>
      <c r="B5287" s="8" t="s">
        <v>81</v>
      </c>
      <c r="C5287" s="8" t="str">
        <f>IFERROR(_xlfn.XLOOKUP(TRIM(B5287),Lookup!$B$2:$B$1000,Lookup!$C$2:$C$1000),"")</f>
        <v>Balanced - Debt Oriented</v>
      </c>
      <c r="D5287" s="8" t="str">
        <f>IFERROR(INDEX('nav master'!$C:$C, MATCH(B5287, 'nav master'!$B:$B, 0)), "")</f>
        <v>ULIF 011 04/01/07 WLS 110</v>
      </c>
      <c r="E5287" s="8">
        <v>65.157300000000006</v>
      </c>
      <c r="F5287" s="9">
        <v>46091</v>
      </c>
    </row>
    <row r="5288" spans="1:6" ht="75" x14ac:dyDescent="0.25">
      <c r="A5288" s="8" t="s">
        <v>63</v>
      </c>
      <c r="B5288" s="8" t="s">
        <v>81</v>
      </c>
      <c r="C5288" s="8" t="str">
        <f>IFERROR(_xlfn.XLOOKUP(TRIM(B5288),Lookup!$B$2:$B$1000,Lookup!$C$2:$C$1000),"")</f>
        <v>Balanced - Debt Oriented</v>
      </c>
      <c r="D5288" s="8" t="str">
        <f>IFERROR(INDEX('nav master'!$C:$C, MATCH(B5288, 'nav master'!$B:$B, 0)), "")</f>
        <v>ULIF 011 04/01/07 WLS 110</v>
      </c>
      <c r="E5288" s="8">
        <v>64.908000000000001</v>
      </c>
      <c r="F5288" s="9">
        <v>46092</v>
      </c>
    </row>
    <row r="5289" spans="1:6" ht="75" x14ac:dyDescent="0.25">
      <c r="A5289" s="8" t="s">
        <v>63</v>
      </c>
      <c r="B5289" s="8" t="s">
        <v>81</v>
      </c>
      <c r="C5289" s="8" t="str">
        <f>IFERROR(_xlfn.XLOOKUP(TRIM(B5289),Lookup!$B$2:$B$1000,Lookup!$C$2:$C$1000),"")</f>
        <v>Balanced - Debt Oriented</v>
      </c>
      <c r="D5289" s="8" t="str">
        <f>IFERROR(INDEX('nav master'!$C:$C, MATCH(B5289, 'nav master'!$B:$B, 0)), "")</f>
        <v>ULIF 011 04/01/07 WLS 110</v>
      </c>
      <c r="E5289" s="8">
        <v>64.845699999999994</v>
      </c>
      <c r="F5289" s="9">
        <v>46093</v>
      </c>
    </row>
    <row r="5290" spans="1:6" ht="75" x14ac:dyDescent="0.25">
      <c r="A5290" s="8" t="s">
        <v>63</v>
      </c>
      <c r="B5290" s="8" t="s">
        <v>81</v>
      </c>
      <c r="C5290" s="8" t="str">
        <f>IFERROR(_xlfn.XLOOKUP(TRIM(B5290),Lookup!$B$2:$B$1000,Lookup!$C$2:$C$1000),"")</f>
        <v>Balanced - Debt Oriented</v>
      </c>
      <c r="D5290" s="8" t="str">
        <f>IFERROR(INDEX('nav master'!$C:$C, MATCH(B5290, 'nav master'!$B:$B, 0)), "")</f>
        <v>ULIF 011 04/01/07 WLS 110</v>
      </c>
      <c r="E5290" s="8">
        <v>64.153099999999995</v>
      </c>
      <c r="F5290" s="9">
        <v>46094</v>
      </c>
    </row>
    <row r="5291" spans="1:6" ht="75" x14ac:dyDescent="0.25">
      <c r="A5291" s="8" t="s">
        <v>63</v>
      </c>
      <c r="B5291" s="8" t="s">
        <v>81</v>
      </c>
      <c r="C5291" s="8" t="str">
        <f>IFERROR(_xlfn.XLOOKUP(TRIM(B5291),Lookup!$B$2:$B$1000,Lookup!$C$2:$C$1000),"")</f>
        <v>Balanced - Debt Oriented</v>
      </c>
      <c r="D5291" s="8" t="str">
        <f>IFERROR(INDEX('nav master'!$C:$C, MATCH(B5291, 'nav master'!$B:$B, 0)), "")</f>
        <v>ULIF 011 04/01/07 WLS 110</v>
      </c>
      <c r="E5291" s="8">
        <v>64.239199999999997</v>
      </c>
      <c r="F5291" s="9">
        <v>46097</v>
      </c>
    </row>
    <row r="5292" spans="1:6" ht="75" x14ac:dyDescent="0.25">
      <c r="A5292" s="8" t="s">
        <v>63</v>
      </c>
      <c r="B5292" s="8" t="s">
        <v>81</v>
      </c>
      <c r="C5292" s="8" t="str">
        <f>IFERROR(_xlfn.XLOOKUP(TRIM(B5292),Lookup!$B$2:$B$1000,Lookup!$C$2:$C$1000),"")</f>
        <v>Balanced - Debt Oriented</v>
      </c>
      <c r="D5292" s="8" t="str">
        <f>IFERROR(INDEX('nav master'!$C:$C, MATCH(B5292, 'nav master'!$B:$B, 0)), "")</f>
        <v>ULIF 011 04/01/07 WLS 110</v>
      </c>
      <c r="E5292" s="8">
        <v>64.497699999999995</v>
      </c>
      <c r="F5292" s="9">
        <v>46098</v>
      </c>
    </row>
    <row r="5293" spans="1:6" ht="75" x14ac:dyDescent="0.25">
      <c r="A5293" s="8" t="s">
        <v>63</v>
      </c>
      <c r="B5293" s="8" t="s">
        <v>81</v>
      </c>
      <c r="C5293" s="8" t="str">
        <f>IFERROR(_xlfn.XLOOKUP(TRIM(B5293),Lookup!$B$2:$B$1000,Lookup!$C$2:$C$1000),"")</f>
        <v>Balanced - Debt Oriented</v>
      </c>
      <c r="D5293" s="8" t="str">
        <f>IFERROR(INDEX('nav master'!$C:$C, MATCH(B5293, 'nav master'!$B:$B, 0)), "")</f>
        <v>ULIF 011 04/01/07 WLS 110</v>
      </c>
      <c r="E5293" s="8">
        <v>64.822400000000002</v>
      </c>
      <c r="F5293" s="9">
        <v>46099</v>
      </c>
    </row>
    <row r="5294" spans="1:6" ht="75" x14ac:dyDescent="0.25">
      <c r="A5294" s="8" t="s">
        <v>63</v>
      </c>
      <c r="B5294" s="8" t="s">
        <v>81</v>
      </c>
      <c r="C5294" s="8" t="str">
        <f>IFERROR(_xlfn.XLOOKUP(TRIM(B5294),Lookup!$B$2:$B$1000,Lookup!$C$2:$C$1000),"")</f>
        <v>Balanced - Debt Oriented</v>
      </c>
      <c r="D5294" s="8" t="str">
        <f>IFERROR(INDEX('nav master'!$C:$C, MATCH(B5294, 'nav master'!$B:$B, 0)), "")</f>
        <v>ULIF 011 04/01/07 WLS 110</v>
      </c>
      <c r="E5294" s="8">
        <v>64.016300000000001</v>
      </c>
      <c r="F5294" s="9">
        <v>46100</v>
      </c>
    </row>
    <row r="5295" spans="1:6" ht="75" x14ac:dyDescent="0.25">
      <c r="A5295" s="8" t="s">
        <v>63</v>
      </c>
      <c r="B5295" s="8" t="s">
        <v>81</v>
      </c>
      <c r="C5295" s="8" t="str">
        <f>IFERROR(_xlfn.XLOOKUP(TRIM(B5295),Lookup!$B$2:$B$1000,Lookup!$C$2:$C$1000),"")</f>
        <v>Balanced - Debt Oriented</v>
      </c>
      <c r="D5295" s="8" t="str">
        <f>IFERROR(INDEX('nav master'!$C:$C, MATCH(B5295, 'nav master'!$B:$B, 0)), "")</f>
        <v>ULIF 011 04/01/07 WLS 110</v>
      </c>
      <c r="E5295" s="8">
        <v>64.106800000000007</v>
      </c>
      <c r="F5295" s="9">
        <v>46101</v>
      </c>
    </row>
    <row r="5296" spans="1:6" ht="75" x14ac:dyDescent="0.25">
      <c r="A5296" s="8" t="s">
        <v>63</v>
      </c>
      <c r="B5296" s="8" t="s">
        <v>81</v>
      </c>
      <c r="C5296" s="8" t="str">
        <f>IFERROR(_xlfn.XLOOKUP(TRIM(B5296),Lookup!$B$2:$B$1000,Lookup!$C$2:$C$1000),"")</f>
        <v>Balanced - Debt Oriented</v>
      </c>
      <c r="D5296" s="8" t="str">
        <f>IFERROR(INDEX('nav master'!$C:$C, MATCH(B5296, 'nav master'!$B:$B, 0)), "")</f>
        <v>ULIF 011 04/01/07 WLS 110</v>
      </c>
      <c r="E5296" s="8">
        <v>63.177300000000002</v>
      </c>
      <c r="F5296" s="9">
        <v>46104</v>
      </c>
    </row>
    <row r="5297" spans="1:6" ht="75" x14ac:dyDescent="0.25">
      <c r="A5297" s="8" t="s">
        <v>63</v>
      </c>
      <c r="B5297" s="8" t="s">
        <v>81</v>
      </c>
      <c r="C5297" s="8" t="str">
        <f>IFERROR(_xlfn.XLOOKUP(TRIM(B5297),Lookup!$B$2:$B$1000,Lookup!$C$2:$C$1000),"")</f>
        <v>Balanced - Debt Oriented</v>
      </c>
      <c r="D5297" s="8" t="str">
        <f>IFERROR(INDEX('nav master'!$C:$C, MATCH(B5297, 'nav master'!$B:$B, 0)), "")</f>
        <v>ULIF 011 04/01/07 WLS 110</v>
      </c>
      <c r="E5297" s="8">
        <v>63.710500000000003</v>
      </c>
      <c r="F5297" s="9">
        <v>46105</v>
      </c>
    </row>
    <row r="5298" spans="1:6" ht="75" x14ac:dyDescent="0.25">
      <c r="A5298" s="8" t="s">
        <v>63</v>
      </c>
      <c r="B5298" s="8" t="s">
        <v>81</v>
      </c>
      <c r="C5298" s="8" t="str">
        <f>IFERROR(_xlfn.XLOOKUP(TRIM(B5298),Lookup!$B$2:$B$1000,Lookup!$C$2:$C$1000),"")</f>
        <v>Balanced - Debt Oriented</v>
      </c>
      <c r="D5298" s="8" t="str">
        <f>IFERROR(INDEX('nav master'!$C:$C, MATCH(B5298, 'nav master'!$B:$B, 0)), "")</f>
        <v>ULIF 011 04/01/07 WLS 110</v>
      </c>
      <c r="E5298" s="8">
        <v>64.196600000000004</v>
      </c>
      <c r="F5298" s="9">
        <v>46106</v>
      </c>
    </row>
    <row r="5299" spans="1:6" ht="75" x14ac:dyDescent="0.25">
      <c r="A5299" s="8" t="s">
        <v>63</v>
      </c>
      <c r="B5299" s="8" t="s">
        <v>81</v>
      </c>
      <c r="C5299" s="8" t="str">
        <f>IFERROR(_xlfn.XLOOKUP(TRIM(B5299),Lookup!$B$2:$B$1000,Lookup!$C$2:$C$1000),"")</f>
        <v>Balanced - Debt Oriented</v>
      </c>
      <c r="D5299" s="8" t="str">
        <f>IFERROR(INDEX('nav master'!$C:$C, MATCH(B5299, 'nav master'!$B:$B, 0)), "")</f>
        <v>ULIF 011 04/01/07 WLS 110</v>
      </c>
      <c r="E5299" s="8">
        <v>63.5379</v>
      </c>
      <c r="F5299" s="9">
        <v>46108</v>
      </c>
    </row>
    <row r="5300" spans="1:6" ht="75" x14ac:dyDescent="0.25">
      <c r="A5300" s="8" t="s">
        <v>63</v>
      </c>
      <c r="B5300" s="8" t="s">
        <v>81</v>
      </c>
      <c r="C5300" s="8" t="str">
        <f>IFERROR(_xlfn.XLOOKUP(TRIM(B5300),Lookup!$B$2:$B$1000,Lookup!$C$2:$C$1000),"")</f>
        <v>Balanced - Debt Oriented</v>
      </c>
      <c r="D5300" s="8" t="str">
        <f>IFERROR(INDEX('nav master'!$C:$C, MATCH(B5300, 'nav master'!$B:$B, 0)), "")</f>
        <v>ULIF 011 04/01/07 WLS 110</v>
      </c>
      <c r="E5300" s="8">
        <v>62.935600000000001</v>
      </c>
      <c r="F5300" s="9">
        <v>46111</v>
      </c>
    </row>
    <row r="5301" spans="1:6" ht="75" x14ac:dyDescent="0.25">
      <c r="A5301" s="8" t="s">
        <v>63</v>
      </c>
      <c r="B5301" s="8" t="s">
        <v>81</v>
      </c>
      <c r="C5301" s="8" t="str">
        <f>IFERROR(_xlfn.XLOOKUP(TRIM(B5301),Lookup!$B$2:$B$1000,Lookup!$C$2:$C$1000),"")</f>
        <v>Balanced - Debt Oriented</v>
      </c>
      <c r="D5301" s="8" t="str">
        <f>IFERROR(INDEX('nav master'!$C:$C, MATCH(B5301, 'nav master'!$B:$B, 0)), "")</f>
        <v>ULIF 011 04/01/07 WLS 110</v>
      </c>
      <c r="E5301" s="8">
        <v>62.939900000000002</v>
      </c>
      <c r="F5301" s="9">
        <v>46112</v>
      </c>
    </row>
    <row r="5302" spans="1:6" ht="75" x14ac:dyDescent="0.25">
      <c r="A5302" s="8" t="s">
        <v>63</v>
      </c>
      <c r="B5302" s="8" t="s">
        <v>81</v>
      </c>
      <c r="C5302" s="8" t="str">
        <f>IFERROR(_xlfn.XLOOKUP(TRIM(B5302),Lookup!$B$2:$B$1000,Lookup!$C$2:$C$1000),"")</f>
        <v>Balanced - Debt Oriented</v>
      </c>
      <c r="D5302" s="8" t="str">
        <f>IFERROR(INDEX('nav master'!$C:$C, MATCH(B5302, 'nav master'!$B:$B, 0)), "")</f>
        <v>ULIF 011 04/01/07 WLS 110</v>
      </c>
      <c r="E5302" s="8">
        <v>63.412100000000002</v>
      </c>
      <c r="F5302" s="9">
        <v>46113</v>
      </c>
    </row>
    <row r="5303" spans="1:6" ht="75" x14ac:dyDescent="0.25">
      <c r="A5303" s="8" t="s">
        <v>63</v>
      </c>
      <c r="B5303" s="8" t="s">
        <v>81</v>
      </c>
      <c r="C5303" s="8" t="str">
        <f>IFERROR(_xlfn.XLOOKUP(TRIM(B5303),Lookup!$B$2:$B$1000,Lookup!$C$2:$C$1000),"")</f>
        <v>Balanced - Debt Oriented</v>
      </c>
      <c r="D5303" s="8" t="str">
        <f>IFERROR(INDEX('nav master'!$C:$C, MATCH(B5303, 'nav master'!$B:$B, 0)), "")</f>
        <v>ULIF 011 04/01/07 WLS 110</v>
      </c>
      <c r="E5303" s="8">
        <v>63.303400000000003</v>
      </c>
      <c r="F5303" s="9">
        <v>46114</v>
      </c>
    </row>
    <row r="5304" spans="1:6" ht="75" x14ac:dyDescent="0.25">
      <c r="A5304" s="8" t="s">
        <v>63</v>
      </c>
      <c r="B5304" s="8" t="s">
        <v>81</v>
      </c>
      <c r="C5304" s="8" t="str">
        <f>IFERROR(_xlfn.XLOOKUP(TRIM(B5304),Lookup!$B$2:$B$1000,Lookup!$C$2:$C$1000),"")</f>
        <v>Balanced - Debt Oriented</v>
      </c>
      <c r="D5304" s="8" t="str">
        <f>IFERROR(INDEX('nav master'!$C:$C, MATCH(B5304, 'nav master'!$B:$B, 0)), "")</f>
        <v>ULIF 011 04/01/07 WLS 110</v>
      </c>
      <c r="E5304" s="8">
        <v>63.718299999999999</v>
      </c>
      <c r="F5304" s="9">
        <v>46118</v>
      </c>
    </row>
    <row r="5305" spans="1:6" ht="75" x14ac:dyDescent="0.25">
      <c r="A5305" s="8" t="s">
        <v>63</v>
      </c>
      <c r="B5305" s="8" t="s">
        <v>81</v>
      </c>
      <c r="C5305" s="8" t="str">
        <f>IFERROR(_xlfn.XLOOKUP(TRIM(B5305),Lookup!$B$2:$B$1000,Lookup!$C$2:$C$1000),"")</f>
        <v>Balanced - Debt Oriented</v>
      </c>
      <c r="D5305" s="8" t="str">
        <f>IFERROR(INDEX('nav master'!$C:$C, MATCH(B5305, 'nav master'!$B:$B, 0)), "")</f>
        <v>ULIF 011 04/01/07 WLS 110</v>
      </c>
      <c r="E5305" s="8">
        <v>63.847000000000001</v>
      </c>
      <c r="F5305" s="9">
        <v>46119</v>
      </c>
    </row>
    <row r="5306" spans="1:6" ht="75" x14ac:dyDescent="0.25">
      <c r="A5306" s="8" t="s">
        <v>63</v>
      </c>
      <c r="B5306" s="8" t="s">
        <v>81</v>
      </c>
      <c r="C5306" s="8" t="str">
        <f>IFERROR(_xlfn.XLOOKUP(TRIM(B5306),Lookup!$B$2:$B$1000,Lookup!$C$2:$C$1000),"")</f>
        <v>Balanced - Debt Oriented</v>
      </c>
      <c r="D5306" s="8" t="str">
        <f>IFERROR(INDEX('nav master'!$C:$C, MATCH(B5306, 'nav master'!$B:$B, 0)), "")</f>
        <v>ULIF 011 04/01/07 WLS 110</v>
      </c>
      <c r="E5306" s="8">
        <v>65.056600000000003</v>
      </c>
      <c r="F5306" s="9">
        <v>46120</v>
      </c>
    </row>
    <row r="5307" spans="1:6" ht="75" x14ac:dyDescent="0.25">
      <c r="A5307" s="8" t="s">
        <v>63</v>
      </c>
      <c r="B5307" s="8" t="s">
        <v>81</v>
      </c>
      <c r="C5307" s="8" t="str">
        <f>IFERROR(_xlfn.XLOOKUP(TRIM(B5307),Lookup!$B$2:$B$1000,Lookup!$C$2:$C$1000),"")</f>
        <v>Balanced - Debt Oriented</v>
      </c>
      <c r="D5307" s="8" t="str">
        <f>IFERROR(INDEX('nav master'!$C:$C, MATCH(B5307, 'nav master'!$B:$B, 0)), "")</f>
        <v>ULIF 011 04/01/07 WLS 110</v>
      </c>
      <c r="E5307" s="8">
        <v>64.940600000000003</v>
      </c>
      <c r="F5307" s="9">
        <v>46121</v>
      </c>
    </row>
    <row r="5308" spans="1:6" ht="75" x14ac:dyDescent="0.25">
      <c r="A5308" s="8" t="s">
        <v>63</v>
      </c>
      <c r="B5308" s="8" t="s">
        <v>81</v>
      </c>
      <c r="C5308" s="8" t="str">
        <f>IFERROR(_xlfn.XLOOKUP(TRIM(B5308),Lookup!$B$2:$B$1000,Lookup!$C$2:$C$1000),"")</f>
        <v>Balanced - Debt Oriented</v>
      </c>
      <c r="D5308" s="8" t="str">
        <f>IFERROR(INDEX('nav master'!$C:$C, MATCH(B5308, 'nav master'!$B:$B, 0)), "")</f>
        <v>ULIF 011 04/01/07 WLS 110</v>
      </c>
      <c r="E5308" s="8">
        <v>65.313000000000002</v>
      </c>
      <c r="F5308" s="9">
        <v>46122</v>
      </c>
    </row>
    <row r="5309" spans="1:6" ht="75" x14ac:dyDescent="0.25">
      <c r="A5309" s="8" t="s">
        <v>63</v>
      </c>
      <c r="B5309" s="8" t="s">
        <v>81</v>
      </c>
      <c r="C5309" s="8" t="str">
        <f>IFERROR(_xlfn.XLOOKUP(TRIM(B5309),Lookup!$B$2:$B$1000,Lookup!$C$2:$C$1000),"")</f>
        <v>Balanced - Debt Oriented</v>
      </c>
      <c r="D5309" s="8" t="str">
        <f>IFERROR(INDEX('nav master'!$C:$C, MATCH(B5309, 'nav master'!$B:$B, 0)), "")</f>
        <v>ULIF 011 04/01/07 WLS 110</v>
      </c>
      <c r="E5309" s="8">
        <v>65.095500000000001</v>
      </c>
      <c r="F5309" s="9">
        <v>46125</v>
      </c>
    </row>
    <row r="5310" spans="1:6" ht="75" x14ac:dyDescent="0.25">
      <c r="A5310" s="8" t="s">
        <v>63</v>
      </c>
      <c r="B5310" s="8" t="s">
        <v>81</v>
      </c>
      <c r="C5310" s="8" t="str">
        <f>IFERROR(_xlfn.XLOOKUP(TRIM(B5310),Lookup!$B$2:$B$1000,Lookup!$C$2:$C$1000),"")</f>
        <v>Balanced - Debt Oriented</v>
      </c>
      <c r="D5310" s="8" t="str">
        <f>IFERROR(INDEX('nav master'!$C:$C, MATCH(B5310, 'nav master'!$B:$B, 0)), "")</f>
        <v>ULIF 011 04/01/07 WLS 110</v>
      </c>
      <c r="E5310" s="8">
        <v>65.918300000000002</v>
      </c>
      <c r="F5310" s="9">
        <v>46127</v>
      </c>
    </row>
    <row r="5311" spans="1:6" ht="75" x14ac:dyDescent="0.25">
      <c r="A5311" s="8" t="s">
        <v>63</v>
      </c>
      <c r="B5311" s="8" t="s">
        <v>81</v>
      </c>
      <c r="C5311" s="8" t="str">
        <f>IFERROR(_xlfn.XLOOKUP(TRIM(B5311),Lookup!$B$2:$B$1000,Lookup!$C$2:$C$1000),"")</f>
        <v>Balanced - Debt Oriented</v>
      </c>
      <c r="D5311" s="8" t="str">
        <f>IFERROR(INDEX('nav master'!$C:$C, MATCH(B5311, 'nav master'!$B:$B, 0)), "")</f>
        <v>ULIF 011 04/01/07 WLS 110</v>
      </c>
      <c r="E5311" s="8">
        <v>66.011099999999999</v>
      </c>
      <c r="F5311" s="9">
        <v>46128</v>
      </c>
    </row>
    <row r="5312" spans="1:6" ht="75" x14ac:dyDescent="0.25">
      <c r="A5312" s="8" t="s">
        <v>63</v>
      </c>
      <c r="B5312" s="8" t="s">
        <v>81</v>
      </c>
      <c r="C5312" s="8" t="str">
        <f>IFERROR(_xlfn.XLOOKUP(TRIM(B5312),Lookup!$B$2:$B$1000,Lookup!$C$2:$C$1000),"")</f>
        <v>Balanced - Debt Oriented</v>
      </c>
      <c r="D5312" s="8" t="str">
        <f>IFERROR(INDEX('nav master'!$C:$C, MATCH(B5312, 'nav master'!$B:$B, 0)), "")</f>
        <v>ULIF 011 04/01/07 WLS 110</v>
      </c>
      <c r="E5312" s="8">
        <v>66.282499999999999</v>
      </c>
      <c r="F5312" s="9">
        <v>46129</v>
      </c>
    </row>
    <row r="5313" spans="1:6" ht="75" x14ac:dyDescent="0.25">
      <c r="A5313" s="8" t="s">
        <v>63</v>
      </c>
      <c r="B5313" s="8" t="s">
        <v>81</v>
      </c>
      <c r="C5313" s="8" t="str">
        <f>IFERROR(_xlfn.XLOOKUP(TRIM(B5313),Lookup!$B$2:$B$1000,Lookup!$C$2:$C$1000),"")</f>
        <v>Balanced - Debt Oriented</v>
      </c>
      <c r="D5313" s="8" t="str">
        <f>IFERROR(INDEX('nav master'!$C:$C, MATCH(B5313, 'nav master'!$B:$B, 0)), "")</f>
        <v>ULIF 011 04/01/07 WLS 110</v>
      </c>
      <c r="E5313" s="8">
        <v>66.288399999999996</v>
      </c>
      <c r="F5313" s="9">
        <v>46132</v>
      </c>
    </row>
    <row r="5314" spans="1:6" ht="75" x14ac:dyDescent="0.25">
      <c r="A5314" s="8" t="s">
        <v>63</v>
      </c>
      <c r="B5314" s="8" t="s">
        <v>81</v>
      </c>
      <c r="C5314" s="8" t="str">
        <f>IFERROR(_xlfn.XLOOKUP(TRIM(B5314),Lookup!$B$2:$B$1000,Lookup!$C$2:$C$1000),"")</f>
        <v>Balanced - Debt Oriented</v>
      </c>
      <c r="D5314" s="8" t="str">
        <f>IFERROR(INDEX('nav master'!$C:$C, MATCH(B5314, 'nav master'!$B:$B, 0)), "")</f>
        <v>ULIF 011 04/01/07 WLS 110</v>
      </c>
      <c r="E5314" s="8">
        <v>66.337900000000005</v>
      </c>
      <c r="F5314" s="9">
        <v>46133</v>
      </c>
    </row>
    <row r="5315" spans="1:6" ht="75" x14ac:dyDescent="0.25">
      <c r="A5315" s="8" t="s">
        <v>63</v>
      </c>
      <c r="B5315" s="8" t="s">
        <v>81</v>
      </c>
      <c r="C5315" s="8" t="str">
        <f>IFERROR(_xlfn.XLOOKUP(TRIM(B5315),Lookup!$B$2:$B$1000,Lookup!$C$2:$C$1000),"")</f>
        <v>Balanced - Debt Oriented</v>
      </c>
      <c r="D5315" s="8" t="str">
        <f>IFERROR(INDEX('nav master'!$C:$C, MATCH(B5315, 'nav master'!$B:$B, 0)), "")</f>
        <v>ULIF 011 04/01/07 WLS 110</v>
      </c>
      <c r="E5315" s="8">
        <v>66.093199999999996</v>
      </c>
      <c r="F5315" s="9">
        <v>46134</v>
      </c>
    </row>
    <row r="5316" spans="1:6" ht="75" x14ac:dyDescent="0.25">
      <c r="A5316" s="8" t="s">
        <v>63</v>
      </c>
      <c r="B5316" s="8" t="s">
        <v>81</v>
      </c>
      <c r="C5316" s="8" t="str">
        <f>IFERROR(_xlfn.XLOOKUP(TRIM(B5316),Lookup!$B$2:$B$1000,Lookup!$C$2:$C$1000),"")</f>
        <v>Balanced - Debt Oriented</v>
      </c>
      <c r="D5316" s="8" t="str">
        <f>IFERROR(INDEX('nav master'!$C:$C, MATCH(B5316, 'nav master'!$B:$B, 0)), "")</f>
        <v>ULIF 011 04/01/07 WLS 110</v>
      </c>
      <c r="E5316" s="8">
        <v>65.7042</v>
      </c>
      <c r="F5316" s="9">
        <v>46135</v>
      </c>
    </row>
    <row r="5317" spans="1:6" ht="75" x14ac:dyDescent="0.25">
      <c r="A5317" s="8" t="s">
        <v>63</v>
      </c>
      <c r="B5317" s="8" t="s">
        <v>81</v>
      </c>
      <c r="C5317" s="8" t="str">
        <f>IFERROR(_xlfn.XLOOKUP(TRIM(B5317),Lookup!$B$2:$B$1000,Lookup!$C$2:$C$1000),"")</f>
        <v>Balanced - Debt Oriented</v>
      </c>
      <c r="D5317" s="8" t="str">
        <f>IFERROR(INDEX('nav master'!$C:$C, MATCH(B5317, 'nav master'!$B:$B, 0)), "")</f>
        <v>ULIF 011 04/01/07 WLS 110</v>
      </c>
      <c r="E5317" s="8">
        <v>65.276499999999999</v>
      </c>
      <c r="F5317" s="9">
        <v>46136</v>
      </c>
    </row>
    <row r="5318" spans="1:6" ht="75" x14ac:dyDescent="0.25">
      <c r="A5318" s="8" t="s">
        <v>63</v>
      </c>
      <c r="B5318" s="8" t="s">
        <v>81</v>
      </c>
      <c r="C5318" s="8" t="str">
        <f>IFERROR(_xlfn.XLOOKUP(TRIM(B5318),Lookup!$B$2:$B$1000,Lookup!$C$2:$C$1000),"")</f>
        <v>Balanced - Debt Oriented</v>
      </c>
      <c r="D5318" s="8" t="str">
        <f>IFERROR(INDEX('nav master'!$C:$C, MATCH(B5318, 'nav master'!$B:$B, 0)), "")</f>
        <v>ULIF 011 04/01/07 WLS 110</v>
      </c>
      <c r="E5318" s="8">
        <v>65.752200000000002</v>
      </c>
      <c r="F5318" s="9">
        <v>46139</v>
      </c>
    </row>
    <row r="5319" spans="1:6" ht="75" x14ac:dyDescent="0.25">
      <c r="A5319" s="8" t="s">
        <v>63</v>
      </c>
      <c r="B5319" s="8" t="s">
        <v>81</v>
      </c>
      <c r="C5319" s="8" t="str">
        <f>IFERROR(_xlfn.XLOOKUP(TRIM(B5319),Lookup!$B$2:$B$1000,Lookup!$C$2:$C$1000),"")</f>
        <v>Balanced - Debt Oriented</v>
      </c>
      <c r="D5319" s="8" t="str">
        <f>IFERROR(INDEX('nav master'!$C:$C, MATCH(B5319, 'nav master'!$B:$B, 0)), "")</f>
        <v>ULIF 011 04/01/07 WLS 110</v>
      </c>
      <c r="E5319" s="8">
        <v>65.721800000000002</v>
      </c>
      <c r="F5319" s="9">
        <v>46140</v>
      </c>
    </row>
    <row r="5320" spans="1:6" ht="75" x14ac:dyDescent="0.25">
      <c r="A5320" s="8" t="s">
        <v>63</v>
      </c>
      <c r="B5320" s="8" t="s">
        <v>81</v>
      </c>
      <c r="C5320" s="8" t="str">
        <f>IFERROR(_xlfn.XLOOKUP(TRIM(B5320),Lookup!$B$2:$B$1000,Lookup!$C$2:$C$1000),"")</f>
        <v>Balanced - Debt Oriented</v>
      </c>
      <c r="D5320" s="8" t="str">
        <f>IFERROR(INDEX('nav master'!$C:$C, MATCH(B5320, 'nav master'!$B:$B, 0)), "")</f>
        <v>ULIF 011 04/01/07 WLS 110</v>
      </c>
      <c r="E5320" s="8">
        <v>65.840800000000002</v>
      </c>
      <c r="F5320" s="9">
        <v>46141</v>
      </c>
    </row>
    <row r="5321" spans="1:6" ht="75" x14ac:dyDescent="0.25">
      <c r="A5321" s="8" t="s">
        <v>63</v>
      </c>
      <c r="B5321" s="8" t="s">
        <v>81</v>
      </c>
      <c r="C5321" s="8" t="str">
        <f>IFERROR(_xlfn.XLOOKUP(TRIM(B5321),Lookup!$B$2:$B$1000,Lookup!$C$2:$C$1000),"")</f>
        <v>Balanced - Debt Oriented</v>
      </c>
      <c r="D5321" s="8" t="str">
        <f>IFERROR(INDEX('nav master'!$C:$C, MATCH(B5321, 'nav master'!$B:$B, 0)), "")</f>
        <v>ULIF 011 04/01/07 WLS 110</v>
      </c>
      <c r="E5321" s="8">
        <v>65.628100000000003</v>
      </c>
      <c r="F5321" s="9">
        <v>46142</v>
      </c>
    </row>
    <row r="5322" spans="1:6" ht="75" x14ac:dyDescent="0.25">
      <c r="A5322" s="8" t="s">
        <v>63</v>
      </c>
      <c r="B5322" s="8" t="s">
        <v>81</v>
      </c>
      <c r="C5322" s="8" t="str">
        <f>IFERROR(_xlfn.XLOOKUP(TRIM(B5322),Lookup!$B$2:$B$1000,Lookup!$C$2:$C$1000),"")</f>
        <v>Balanced - Debt Oriented</v>
      </c>
      <c r="D5322" s="8" t="str">
        <f>IFERROR(INDEX('nav master'!$C:$C, MATCH(B5322, 'nav master'!$B:$B, 0)), "")</f>
        <v>ULIF 011 04/01/07 WLS 110</v>
      </c>
      <c r="E5322" s="8">
        <v>65.849900000000005</v>
      </c>
      <c r="F5322" s="9">
        <v>46146</v>
      </c>
    </row>
    <row r="5323" spans="1:6" ht="75" x14ac:dyDescent="0.25">
      <c r="A5323" s="8" t="s">
        <v>63</v>
      </c>
      <c r="B5323" s="8" t="s">
        <v>81</v>
      </c>
      <c r="C5323" s="8" t="str">
        <f>IFERROR(_xlfn.XLOOKUP(TRIM(B5323),Lookup!$B$2:$B$1000,Lookup!$C$2:$C$1000),"")</f>
        <v>Balanced - Debt Oriented</v>
      </c>
      <c r="D5323" s="8" t="str">
        <f>IFERROR(INDEX('nav master'!$C:$C, MATCH(B5323, 'nav master'!$B:$B, 0)), "")</f>
        <v>ULIF 011 04/01/07 WLS 110</v>
      </c>
      <c r="E5323" s="8">
        <v>65.7791</v>
      </c>
      <c r="F5323" s="9">
        <v>46147</v>
      </c>
    </row>
    <row r="5324" spans="1:6" ht="75" x14ac:dyDescent="0.25">
      <c r="A5324" s="8" t="s">
        <v>63</v>
      </c>
      <c r="B5324" s="8" t="s">
        <v>81</v>
      </c>
      <c r="C5324" s="8" t="str">
        <f>IFERROR(_xlfn.XLOOKUP(TRIM(B5324),Lookup!$B$2:$B$1000,Lookup!$C$2:$C$1000),"")</f>
        <v>Balanced - Debt Oriented</v>
      </c>
      <c r="D5324" s="8" t="str">
        <f>IFERROR(INDEX('nav master'!$C:$C, MATCH(B5324, 'nav master'!$B:$B, 0)), "")</f>
        <v>ULIF 011 04/01/07 WLS 110</v>
      </c>
      <c r="E5324" s="8">
        <v>66.414400000000001</v>
      </c>
      <c r="F5324" s="9">
        <v>46148</v>
      </c>
    </row>
    <row r="5325" spans="1:6" ht="75" x14ac:dyDescent="0.25">
      <c r="A5325" s="8" t="s">
        <v>63</v>
      </c>
      <c r="B5325" s="8" t="s">
        <v>81</v>
      </c>
      <c r="C5325" s="8" t="str">
        <f>IFERROR(_xlfn.XLOOKUP(TRIM(B5325),Lookup!$B$2:$B$1000,Lookup!$C$2:$C$1000),"")</f>
        <v>Balanced - Debt Oriented</v>
      </c>
      <c r="D5325" s="8" t="str">
        <f>IFERROR(INDEX('nav master'!$C:$C, MATCH(B5325, 'nav master'!$B:$B, 0)), "")</f>
        <v>ULIF 011 04/01/07 WLS 110</v>
      </c>
      <c r="E5325" s="8">
        <v>66.631500000000003</v>
      </c>
      <c r="F5325" s="9">
        <v>46149</v>
      </c>
    </row>
    <row r="5326" spans="1:6" ht="75" x14ac:dyDescent="0.25">
      <c r="A5326" s="8" t="s">
        <v>63</v>
      </c>
      <c r="B5326" s="8" t="s">
        <v>81</v>
      </c>
      <c r="C5326" s="8" t="str">
        <f>IFERROR(_xlfn.XLOOKUP(TRIM(B5326),Lookup!$B$2:$B$1000,Lookup!$C$2:$C$1000),"")</f>
        <v>Balanced - Debt Oriented</v>
      </c>
      <c r="D5326" s="8" t="str">
        <f>IFERROR(INDEX('nav master'!$C:$C, MATCH(B5326, 'nav master'!$B:$B, 0)), "")</f>
        <v>ULIF 011 04/01/07 WLS 110</v>
      </c>
      <c r="E5326" s="8">
        <v>66.5321</v>
      </c>
      <c r="F5326" s="9">
        <v>46150</v>
      </c>
    </row>
    <row r="5327" spans="1:6" ht="75" x14ac:dyDescent="0.25">
      <c r="A5327" s="8" t="s">
        <v>63</v>
      </c>
      <c r="B5327" s="8" t="s">
        <v>81</v>
      </c>
      <c r="C5327" s="8" t="str">
        <f>IFERROR(_xlfn.XLOOKUP(TRIM(B5327),Lookup!$B$2:$B$1000,Lookup!$C$2:$C$1000),"")</f>
        <v>Balanced - Debt Oriented</v>
      </c>
      <c r="D5327" s="8" t="str">
        <f>IFERROR(INDEX('nav master'!$C:$C, MATCH(B5327, 'nav master'!$B:$B, 0)), "")</f>
        <v>ULIF 011 04/01/07 WLS 110</v>
      </c>
      <c r="E5327" s="8">
        <v>66.1143</v>
      </c>
      <c r="F5327" s="9">
        <v>46153</v>
      </c>
    </row>
    <row r="5328" spans="1:6" ht="75" x14ac:dyDescent="0.25">
      <c r="A5328" s="8" t="s">
        <v>63</v>
      </c>
      <c r="B5328" s="8" t="s">
        <v>81</v>
      </c>
      <c r="C5328" s="8" t="str">
        <f>IFERROR(_xlfn.XLOOKUP(TRIM(B5328),Lookup!$B$2:$B$1000,Lookup!$C$2:$C$1000),"")</f>
        <v>Balanced - Debt Oriented</v>
      </c>
      <c r="D5328" s="8" t="str">
        <f>IFERROR(INDEX('nav master'!$C:$C, MATCH(B5328, 'nav master'!$B:$B, 0)), "")</f>
        <v>ULIF 011 04/01/07 WLS 110</v>
      </c>
      <c r="E5328" s="8">
        <v>65.443100000000001</v>
      </c>
      <c r="F5328" s="9">
        <v>46154</v>
      </c>
    </row>
    <row r="5329" spans="1:6" ht="75" x14ac:dyDescent="0.25">
      <c r="A5329" s="8" t="s">
        <v>63</v>
      </c>
      <c r="B5329" s="8" t="s">
        <v>81</v>
      </c>
      <c r="C5329" s="8" t="str">
        <f>IFERROR(_xlfn.XLOOKUP(TRIM(B5329),Lookup!$B$2:$B$1000,Lookup!$C$2:$C$1000),"")</f>
        <v>Balanced - Debt Oriented</v>
      </c>
      <c r="D5329" s="8" t="str">
        <f>IFERROR(INDEX('nav master'!$C:$C, MATCH(B5329, 'nav master'!$B:$B, 0)), "")</f>
        <v>ULIF 011 04/01/07 WLS 110</v>
      </c>
      <c r="E5329" s="8">
        <v>65.468800000000002</v>
      </c>
      <c r="F5329" s="9">
        <v>46155</v>
      </c>
    </row>
    <row r="5330" spans="1:6" ht="75" x14ac:dyDescent="0.25">
      <c r="A5330" s="8" t="s">
        <v>63</v>
      </c>
      <c r="B5330" s="8" t="s">
        <v>81</v>
      </c>
      <c r="C5330" s="8" t="str">
        <f>IFERROR(_xlfn.XLOOKUP(TRIM(B5330),Lookup!$B$2:$B$1000,Lookup!$C$2:$C$1000),"")</f>
        <v>Balanced - Debt Oriented</v>
      </c>
      <c r="D5330" s="8" t="str">
        <f>IFERROR(INDEX('nav master'!$C:$C, MATCH(B5330, 'nav master'!$B:$B, 0)), "")</f>
        <v>ULIF 011 04/01/07 WLS 110</v>
      </c>
      <c r="E5330" s="8">
        <v>65.819400000000002</v>
      </c>
      <c r="F5330" s="9">
        <v>46156</v>
      </c>
    </row>
    <row r="5331" spans="1:6" ht="75" x14ac:dyDescent="0.25">
      <c r="A5331" s="8" t="s">
        <v>63</v>
      </c>
      <c r="B5331" s="8" t="s">
        <v>81</v>
      </c>
      <c r="C5331" s="8" t="str">
        <f>IFERROR(_xlfn.XLOOKUP(TRIM(B5331),Lookup!$B$2:$B$1000,Lookup!$C$2:$C$1000),"")</f>
        <v>Balanced - Debt Oriented</v>
      </c>
      <c r="D5331" s="8" t="str">
        <f>IFERROR(INDEX('nav master'!$C:$C, MATCH(B5331, 'nav master'!$B:$B, 0)), "")</f>
        <v>ULIF 011 04/01/07 WLS 110</v>
      </c>
      <c r="E5331" s="8">
        <v>65.781300000000002</v>
      </c>
      <c r="F5331" s="9">
        <v>46157</v>
      </c>
    </row>
    <row r="5332" spans="1:6" ht="75" x14ac:dyDescent="0.25">
      <c r="A5332" s="8" t="s">
        <v>63</v>
      </c>
      <c r="B5332" s="8" t="s">
        <v>81</v>
      </c>
      <c r="C5332" s="8" t="str">
        <f>IFERROR(_xlfn.XLOOKUP(TRIM(B5332),Lookup!$B$2:$B$1000,Lookup!$C$2:$C$1000),"")</f>
        <v>Balanced - Debt Oriented</v>
      </c>
      <c r="D5332" s="8" t="str">
        <f>IFERROR(INDEX('nav master'!$C:$C, MATCH(B5332, 'nav master'!$B:$B, 0)), "")</f>
        <v>ULIF 011 04/01/07 WLS 110</v>
      </c>
      <c r="E5332" s="8">
        <v>65.483999999999995</v>
      </c>
      <c r="F5332" s="9">
        <v>46160</v>
      </c>
    </row>
    <row r="5333" spans="1:6" ht="75" x14ac:dyDescent="0.25">
      <c r="A5333" s="8" t="s">
        <v>63</v>
      </c>
      <c r="B5333" s="8" t="s">
        <v>81</v>
      </c>
      <c r="C5333" s="8" t="str">
        <f>IFERROR(_xlfn.XLOOKUP(TRIM(B5333),Lookup!$B$2:$B$1000,Lookup!$C$2:$C$1000),"")</f>
        <v>Balanced - Debt Oriented</v>
      </c>
      <c r="D5333" s="8" t="str">
        <f>IFERROR(INDEX('nav master'!$C:$C, MATCH(B5333, 'nav master'!$B:$B, 0)), "")</f>
        <v>ULIF 011 04/01/07 WLS 110</v>
      </c>
      <c r="E5333" s="8">
        <v>65.840400000000002</v>
      </c>
      <c r="F5333" s="9">
        <v>46161</v>
      </c>
    </row>
    <row r="5334" spans="1:6" ht="75" x14ac:dyDescent="0.25">
      <c r="A5334" s="8" t="s">
        <v>63</v>
      </c>
      <c r="B5334" s="8" t="s">
        <v>81</v>
      </c>
      <c r="C5334" s="8" t="str">
        <f>IFERROR(_xlfn.XLOOKUP(TRIM(B5334),Lookup!$B$2:$B$1000,Lookup!$C$2:$C$1000),"")</f>
        <v>Balanced - Debt Oriented</v>
      </c>
      <c r="D5334" s="8" t="str">
        <f>IFERROR(INDEX('nav master'!$C:$C, MATCH(B5334, 'nav master'!$B:$B, 0)), "")</f>
        <v>ULIF 011 04/01/07 WLS 110</v>
      </c>
      <c r="E5334" s="8">
        <v>65.9495</v>
      </c>
      <c r="F5334" s="9">
        <v>46162</v>
      </c>
    </row>
    <row r="5335" spans="1:6" ht="75" x14ac:dyDescent="0.25">
      <c r="A5335" s="8" t="s">
        <v>63</v>
      </c>
      <c r="B5335" s="8" t="s">
        <v>81</v>
      </c>
      <c r="C5335" s="8" t="str">
        <f>IFERROR(_xlfn.XLOOKUP(TRIM(B5335),Lookup!$B$2:$B$1000,Lookup!$C$2:$C$1000),"")</f>
        <v>Balanced - Debt Oriented</v>
      </c>
      <c r="D5335" s="8" t="str">
        <f>IFERROR(INDEX('nav master'!$C:$C, MATCH(B5335, 'nav master'!$B:$B, 0)), "")</f>
        <v>ULIF 011 04/01/07 WLS 110</v>
      </c>
      <c r="E5335" s="8">
        <v>65.798100000000005</v>
      </c>
      <c r="F5335" s="9">
        <v>46163</v>
      </c>
    </row>
    <row r="5336" spans="1:6" ht="75" x14ac:dyDescent="0.25">
      <c r="A5336" s="8" t="s">
        <v>63</v>
      </c>
      <c r="B5336" s="8" t="s">
        <v>81</v>
      </c>
      <c r="C5336" s="8" t="str">
        <f>IFERROR(_xlfn.XLOOKUP(TRIM(B5336),Lookup!$B$2:$B$1000,Lookup!$C$2:$C$1000),"")</f>
        <v>Balanced - Debt Oriented</v>
      </c>
      <c r="D5336" s="8" t="str">
        <f>IFERROR(INDEX('nav master'!$C:$C, MATCH(B5336, 'nav master'!$B:$B, 0)), "")</f>
        <v>ULIF 011 04/01/07 WLS 110</v>
      </c>
      <c r="E5336" s="8">
        <v>65.834100000000007</v>
      </c>
      <c r="F5336" s="9">
        <v>46164</v>
      </c>
    </row>
    <row r="5337" spans="1:6" ht="75" x14ac:dyDescent="0.25">
      <c r="A5337" s="8" t="s">
        <v>63</v>
      </c>
      <c r="B5337" s="8" t="s">
        <v>81</v>
      </c>
      <c r="C5337" s="8" t="str">
        <f>IFERROR(_xlfn.XLOOKUP(TRIM(B5337),Lookup!$B$2:$B$1000,Lookup!$C$2:$C$1000),"")</f>
        <v>Balanced - Debt Oriented</v>
      </c>
      <c r="D5337" s="8" t="str">
        <f>IFERROR(INDEX('nav master'!$C:$C, MATCH(B5337, 'nav master'!$B:$B, 0)), "")</f>
        <v>ULIF 011 04/01/07 WLS 110</v>
      </c>
      <c r="E5337" s="8">
        <v>66.184799999999996</v>
      </c>
      <c r="F5337" s="9">
        <v>46167</v>
      </c>
    </row>
    <row r="5338" spans="1:6" ht="75" x14ac:dyDescent="0.25">
      <c r="A5338" s="8" t="s">
        <v>63</v>
      </c>
      <c r="B5338" s="8" t="s">
        <v>81</v>
      </c>
      <c r="C5338" s="8" t="str">
        <f>IFERROR(_xlfn.XLOOKUP(TRIM(B5338),Lookup!$B$2:$B$1000,Lookup!$C$2:$C$1000),"")</f>
        <v>Balanced - Debt Oriented</v>
      </c>
      <c r="D5338" s="8" t="str">
        <f>IFERROR(INDEX('nav master'!$C:$C, MATCH(B5338, 'nav master'!$B:$B, 0)), "")</f>
        <v>ULIF 011 04/01/07 WLS 110</v>
      </c>
      <c r="E5338" s="8">
        <v>66.305099999999996</v>
      </c>
      <c r="F5338" s="9">
        <v>46168</v>
      </c>
    </row>
    <row r="5339" spans="1:6" ht="75" x14ac:dyDescent="0.25">
      <c r="A5339" s="8" t="s">
        <v>63</v>
      </c>
      <c r="B5339" s="8" t="s">
        <v>81</v>
      </c>
      <c r="C5339" s="8" t="str">
        <f>IFERROR(_xlfn.XLOOKUP(TRIM(B5339),Lookup!$B$2:$B$1000,Lookup!$C$2:$C$1000),"")</f>
        <v>Balanced - Debt Oriented</v>
      </c>
      <c r="D5339" s="8" t="str">
        <f>IFERROR(INDEX('nav master'!$C:$C, MATCH(B5339, 'nav master'!$B:$B, 0)), "")</f>
        <v>ULIF 011 04/01/07 WLS 110</v>
      </c>
      <c r="E5339" s="8">
        <v>66.173500000000004</v>
      </c>
      <c r="F5339" s="9">
        <v>46169</v>
      </c>
    </row>
    <row r="5340" spans="1:6" ht="75" x14ac:dyDescent="0.25">
      <c r="A5340" s="8" t="s">
        <v>63</v>
      </c>
      <c r="B5340" s="8" t="s">
        <v>81</v>
      </c>
      <c r="C5340" s="8" t="str">
        <f>IFERROR(_xlfn.XLOOKUP(TRIM(B5340),Lookup!$B$2:$B$1000,Lookup!$C$2:$C$1000),"")</f>
        <v>Balanced - Debt Oriented</v>
      </c>
      <c r="D5340" s="8" t="str">
        <f>IFERROR(INDEX('nav master'!$C:$C, MATCH(B5340, 'nav master'!$B:$B, 0)), "")</f>
        <v>ULIF 011 04/01/07 WLS 110</v>
      </c>
      <c r="E5340" s="8">
        <v>65.927999999999997</v>
      </c>
      <c r="F5340" s="9">
        <v>46171</v>
      </c>
    </row>
    <row r="5341" spans="1:6" ht="75" x14ac:dyDescent="0.25">
      <c r="A5341" s="8" t="s">
        <v>63</v>
      </c>
      <c r="B5341" s="8" t="s">
        <v>81</v>
      </c>
      <c r="C5341" s="8" t="str">
        <f>IFERROR(_xlfn.XLOOKUP(TRIM(B5341),Lookup!$B$2:$B$1000,Lookup!$C$2:$C$1000),"")</f>
        <v>Balanced - Debt Oriented</v>
      </c>
      <c r="D5341" s="8" t="str">
        <f>IFERROR(INDEX('nav master'!$C:$C, MATCH(B5341, 'nav master'!$B:$B, 0)), "")</f>
        <v>ULIF 011 04/01/07 WLS 110</v>
      </c>
      <c r="E5341" s="8">
        <v>65.802099999999996</v>
      </c>
      <c r="F5341" s="9">
        <v>46174</v>
      </c>
    </row>
    <row r="5342" spans="1:6" ht="75" x14ac:dyDescent="0.25">
      <c r="A5342" s="8" t="s">
        <v>63</v>
      </c>
      <c r="B5342" s="8" t="s">
        <v>81</v>
      </c>
      <c r="C5342" s="8" t="str">
        <f>IFERROR(_xlfn.XLOOKUP(TRIM(B5342),Lookup!$B$2:$B$1000,Lookup!$C$2:$C$1000),"")</f>
        <v>Balanced - Debt Oriented</v>
      </c>
      <c r="D5342" s="8" t="str">
        <f>IFERROR(INDEX('nav master'!$C:$C, MATCH(B5342, 'nav master'!$B:$B, 0)), "")</f>
        <v>ULIF 011 04/01/07 WLS 110</v>
      </c>
      <c r="E5342" s="8">
        <v>65.795299999999997</v>
      </c>
      <c r="F5342" s="9">
        <v>46175</v>
      </c>
    </row>
    <row r="5343" spans="1:6" ht="75" x14ac:dyDescent="0.25">
      <c r="A5343" s="8" t="s">
        <v>63</v>
      </c>
      <c r="B5343" s="8" t="s">
        <v>81</v>
      </c>
      <c r="C5343" s="8" t="str">
        <f>IFERROR(_xlfn.XLOOKUP(TRIM(B5343),Lookup!$B$2:$B$1000,Lookup!$C$2:$C$1000),"")</f>
        <v>Balanced - Debt Oriented</v>
      </c>
      <c r="D5343" s="8" t="str">
        <f>IFERROR(INDEX('nav master'!$C:$C, MATCH(B5343, 'nav master'!$B:$B, 0)), "")</f>
        <v>ULIF 011 04/01/07 WLS 110</v>
      </c>
      <c r="E5343" s="8">
        <v>65.715599999999995</v>
      </c>
      <c r="F5343" s="9">
        <v>46176</v>
      </c>
    </row>
    <row r="5344" spans="1:6" ht="75" x14ac:dyDescent="0.25">
      <c r="A5344" s="8" t="s">
        <v>63</v>
      </c>
      <c r="B5344" s="8" t="s">
        <v>81</v>
      </c>
      <c r="C5344" s="8" t="str">
        <f>IFERROR(_xlfn.XLOOKUP(TRIM(B5344),Lookup!$B$2:$B$1000,Lookup!$C$2:$C$1000),"")</f>
        <v>Balanced - Debt Oriented</v>
      </c>
      <c r="D5344" s="8" t="str">
        <f>IFERROR(INDEX('nav master'!$C:$C, MATCH(B5344, 'nav master'!$B:$B, 0)), "")</f>
        <v>ULIF 011 04/01/07 WLS 110</v>
      </c>
      <c r="E5344" s="8">
        <v>65.892499999999998</v>
      </c>
      <c r="F5344" s="9">
        <v>46177</v>
      </c>
    </row>
    <row r="5345" spans="1:6" ht="75" x14ac:dyDescent="0.25">
      <c r="A5345" s="8" t="s">
        <v>63</v>
      </c>
      <c r="B5345" s="8" t="s">
        <v>81</v>
      </c>
      <c r="C5345" s="8" t="str">
        <f>IFERROR(_xlfn.XLOOKUP(TRIM(B5345),Lookup!$B$2:$B$1000,Lookup!$C$2:$C$1000),"")</f>
        <v>Balanced - Debt Oriented</v>
      </c>
      <c r="D5345" s="8" t="str">
        <f>IFERROR(INDEX('nav master'!$C:$C, MATCH(B5345, 'nav master'!$B:$B, 0)), "")</f>
        <v>ULIF 011 04/01/07 WLS 110</v>
      </c>
      <c r="E5345" s="8">
        <v>65.840999999999994</v>
      </c>
      <c r="F5345" s="9">
        <v>46178</v>
      </c>
    </row>
    <row r="5346" spans="1:6" ht="75" x14ac:dyDescent="0.25">
      <c r="A5346" s="8" t="s">
        <v>63</v>
      </c>
      <c r="B5346" s="8" t="s">
        <v>81</v>
      </c>
      <c r="C5346" s="8" t="str">
        <f>IFERROR(_xlfn.XLOOKUP(TRIM(B5346),Lookup!$B$2:$B$1000,Lookup!$C$2:$C$1000),"")</f>
        <v>Balanced - Debt Oriented</v>
      </c>
      <c r="D5346" s="8" t="str">
        <f>IFERROR(INDEX('nav master'!$C:$C, MATCH(B5346, 'nav master'!$B:$B, 0)), "")</f>
        <v>ULIF 011 04/01/07 WLS 110</v>
      </c>
      <c r="E5346" s="8">
        <v>65.559899999999999</v>
      </c>
      <c r="F5346" s="9">
        <v>46181</v>
      </c>
    </row>
    <row r="5347" spans="1:6" ht="75" x14ac:dyDescent="0.25">
      <c r="A5347" s="8" t="s">
        <v>63</v>
      </c>
      <c r="B5347" s="8" t="s">
        <v>81</v>
      </c>
      <c r="C5347" s="8" t="str">
        <f>IFERROR(_xlfn.XLOOKUP(TRIM(B5347),Lookup!$B$2:$B$1000,Lookup!$C$2:$C$1000),"")</f>
        <v>Balanced - Debt Oriented</v>
      </c>
      <c r="D5347" s="8" t="str">
        <f>IFERROR(INDEX('nav master'!$C:$C, MATCH(B5347, 'nav master'!$B:$B, 0)), "")</f>
        <v>ULIF 011 04/01/07 WLS 110</v>
      </c>
      <c r="E5347" s="8">
        <v>65.850700000000003</v>
      </c>
      <c r="F5347" s="9">
        <v>46182</v>
      </c>
    </row>
    <row r="5348" spans="1:6" ht="75" x14ac:dyDescent="0.25">
      <c r="A5348" s="8" t="s">
        <v>63</v>
      </c>
      <c r="B5348" s="8" t="s">
        <v>81</v>
      </c>
      <c r="C5348" s="8" t="str">
        <f>IFERROR(_xlfn.XLOOKUP(TRIM(B5348),Lookup!$B$2:$B$1000,Lookup!$C$2:$C$1000),"")</f>
        <v>Balanced - Debt Oriented</v>
      </c>
      <c r="D5348" s="8" t="str">
        <f>IFERROR(INDEX('nav master'!$C:$C, MATCH(B5348, 'nav master'!$B:$B, 0)), "")</f>
        <v>ULIF 011 04/01/07 WLS 110</v>
      </c>
      <c r="E5348" s="8">
        <v>65.580600000000004</v>
      </c>
      <c r="F5348" s="9">
        <v>46183</v>
      </c>
    </row>
    <row r="5349" spans="1:6" ht="75" x14ac:dyDescent="0.25">
      <c r="A5349" s="8" t="s">
        <v>63</v>
      </c>
      <c r="B5349" s="8" t="s">
        <v>81</v>
      </c>
      <c r="C5349" s="8" t="str">
        <f>IFERROR(_xlfn.XLOOKUP(TRIM(B5349),Lookup!$B$2:$B$1000,Lookup!$C$2:$C$1000),"")</f>
        <v>Balanced - Debt Oriented</v>
      </c>
      <c r="D5349" s="8" t="str">
        <f>IFERROR(INDEX('nav master'!$C:$C, MATCH(B5349, 'nav master'!$B:$B, 0)), "")</f>
        <v>ULIF 011 04/01/07 WLS 110</v>
      </c>
      <c r="E5349" s="8">
        <v>65.457700000000003</v>
      </c>
      <c r="F5349" s="9">
        <v>46184</v>
      </c>
    </row>
    <row r="5350" spans="1:6" ht="75" x14ac:dyDescent="0.25">
      <c r="A5350" s="8" t="s">
        <v>63</v>
      </c>
      <c r="B5350" s="8" t="s">
        <v>81</v>
      </c>
      <c r="C5350" s="8" t="str">
        <f>IFERROR(_xlfn.XLOOKUP(TRIM(B5350),Lookup!$B$2:$B$1000,Lookup!$C$2:$C$1000),"")</f>
        <v>Balanced - Debt Oriented</v>
      </c>
      <c r="D5350" s="8" t="str">
        <f>IFERROR(INDEX('nav master'!$C:$C, MATCH(B5350, 'nav master'!$B:$B, 0)), "")</f>
        <v>ULIF 011 04/01/07 WLS 110</v>
      </c>
      <c r="E5350" s="8">
        <v>66.103399999999993</v>
      </c>
      <c r="F5350" s="9">
        <v>46185</v>
      </c>
    </row>
    <row r="5351" spans="1:6" ht="75" x14ac:dyDescent="0.25">
      <c r="A5351" s="8" t="s">
        <v>63</v>
      </c>
      <c r="B5351" s="8" t="s">
        <v>81</v>
      </c>
      <c r="C5351" s="8" t="str">
        <f>IFERROR(_xlfn.XLOOKUP(TRIM(B5351),Lookup!$B$2:$B$1000,Lookup!$C$2:$C$1000),"")</f>
        <v>Balanced - Debt Oriented</v>
      </c>
      <c r="D5351" s="8" t="str">
        <f>IFERROR(INDEX('nav master'!$C:$C, MATCH(B5351, 'nav master'!$B:$B, 0)), "")</f>
        <v>ULIF 011 04/01/07 WLS 110</v>
      </c>
      <c r="E5351" s="8">
        <v>66.535499999999999</v>
      </c>
      <c r="F5351" s="9">
        <v>46188</v>
      </c>
    </row>
    <row r="5352" spans="1:6" ht="75" x14ac:dyDescent="0.25">
      <c r="A5352" s="8" t="s">
        <v>63</v>
      </c>
      <c r="B5352" s="8" t="s">
        <v>81</v>
      </c>
      <c r="C5352" s="8" t="str">
        <f>IFERROR(_xlfn.XLOOKUP(TRIM(B5352),Lookup!$B$2:$B$1000,Lookup!$C$2:$C$1000),"")</f>
        <v>Balanced - Debt Oriented</v>
      </c>
      <c r="D5352" s="8" t="str">
        <f>IFERROR(INDEX('nav master'!$C:$C, MATCH(B5352, 'nav master'!$B:$B, 0)), "")</f>
        <v>ULIF 011 04/01/07 WLS 110</v>
      </c>
      <c r="E5352" s="8">
        <v>66.621499999999997</v>
      </c>
      <c r="F5352" s="9">
        <v>46189</v>
      </c>
    </row>
    <row r="5353" spans="1:6" ht="75" x14ac:dyDescent="0.25">
      <c r="A5353" s="8" t="s">
        <v>63</v>
      </c>
      <c r="B5353" s="8" t="s">
        <v>81</v>
      </c>
      <c r="C5353" s="8" t="str">
        <f>IFERROR(_xlfn.XLOOKUP(TRIM(B5353),Lookup!$B$2:$B$1000,Lookup!$C$2:$C$1000),"")</f>
        <v>Balanced - Debt Oriented</v>
      </c>
      <c r="D5353" s="8" t="str">
        <f>IFERROR(INDEX('nav master'!$C:$C, MATCH(B5353, 'nav master'!$B:$B, 0)), "")</f>
        <v>ULIF 011 04/01/07 WLS 110</v>
      </c>
      <c r="E5353" s="8">
        <v>66.704300000000003</v>
      </c>
      <c r="F5353" s="9">
        <v>46190</v>
      </c>
    </row>
    <row r="5354" spans="1:6" ht="75" x14ac:dyDescent="0.25">
      <c r="A5354" s="8" t="s">
        <v>63</v>
      </c>
      <c r="B5354" s="8" t="s">
        <v>81</v>
      </c>
      <c r="C5354" s="8" t="str">
        <f>IFERROR(_xlfn.XLOOKUP(TRIM(B5354),Lookup!$B$2:$B$1000,Lookup!$C$2:$C$1000),"")</f>
        <v>Balanced - Debt Oriented</v>
      </c>
      <c r="D5354" s="8" t="str">
        <f>IFERROR(INDEX('nav master'!$C:$C, MATCH(B5354, 'nav master'!$B:$B, 0)), "")</f>
        <v>ULIF 011 04/01/07 WLS 110</v>
      </c>
      <c r="E5354" s="8">
        <v>66.911699999999996</v>
      </c>
      <c r="F5354" s="9">
        <v>46191</v>
      </c>
    </row>
    <row r="5355" spans="1:6" ht="75" x14ac:dyDescent="0.25">
      <c r="A5355" s="8" t="s">
        <v>63</v>
      </c>
      <c r="B5355" s="8" t="s">
        <v>81</v>
      </c>
      <c r="C5355" s="8" t="str">
        <f>IFERROR(_xlfn.XLOOKUP(TRIM(B5355),Lookup!$B$2:$B$1000,Lookup!$C$2:$C$1000),"")</f>
        <v>Balanced - Debt Oriented</v>
      </c>
      <c r="D5355" s="8" t="str">
        <f>IFERROR(INDEX('nav master'!$C:$C, MATCH(B5355, 'nav master'!$B:$B, 0)), "")</f>
        <v>ULIF 011 04/01/07 WLS 110</v>
      </c>
      <c r="E5355" s="8">
        <v>66.811899999999994</v>
      </c>
      <c r="F5355" s="9">
        <v>46192</v>
      </c>
    </row>
    <row r="5356" spans="1:6" ht="75" x14ac:dyDescent="0.25">
      <c r="A5356" s="8" t="s">
        <v>63</v>
      </c>
      <c r="B5356" s="8" t="s">
        <v>81</v>
      </c>
      <c r="C5356" s="8" t="str">
        <f>IFERROR(_xlfn.XLOOKUP(TRIM(B5356),Lookup!$B$2:$B$1000,Lookup!$C$2:$C$1000),"")</f>
        <v>Balanced - Debt Oriented</v>
      </c>
      <c r="D5356" s="8" t="str">
        <f>IFERROR(INDEX('nav master'!$C:$C, MATCH(B5356, 'nav master'!$B:$B, 0)), "")</f>
        <v>ULIF 011 04/01/07 WLS 110</v>
      </c>
      <c r="E5356" s="8">
        <v>67.120699999999999</v>
      </c>
      <c r="F5356" s="9">
        <v>46195</v>
      </c>
    </row>
    <row r="5357" spans="1:6" ht="75" x14ac:dyDescent="0.25">
      <c r="A5357" s="8" t="s">
        <v>63</v>
      </c>
      <c r="B5357" s="8" t="s">
        <v>81</v>
      </c>
      <c r="C5357" s="8" t="str">
        <f>IFERROR(_xlfn.XLOOKUP(TRIM(B5357),Lookup!$B$2:$B$1000,Lookup!$C$2:$C$1000),"")</f>
        <v>Balanced - Debt Oriented</v>
      </c>
      <c r="D5357" s="8" t="str">
        <f>IFERROR(INDEX('nav master'!$C:$C, MATCH(B5357, 'nav master'!$B:$B, 0)), "")</f>
        <v>ULIF 011 04/01/07 WLS 110</v>
      </c>
      <c r="E5357" s="8">
        <v>66.897199999999998</v>
      </c>
      <c r="F5357" s="9">
        <v>46196</v>
      </c>
    </row>
    <row r="5358" spans="1:6" ht="75" x14ac:dyDescent="0.25">
      <c r="A5358" s="8" t="s">
        <v>63</v>
      </c>
      <c r="B5358" s="8" t="s">
        <v>81</v>
      </c>
      <c r="C5358" s="8" t="str">
        <f>IFERROR(_xlfn.XLOOKUP(TRIM(B5358),Lookup!$B$2:$B$1000,Lookup!$C$2:$C$1000),"")</f>
        <v>Balanced - Debt Oriented</v>
      </c>
      <c r="D5358" s="8" t="str">
        <f>IFERROR(INDEX('nav master'!$C:$C, MATCH(B5358, 'nav master'!$B:$B, 0)), "")</f>
        <v>ULIF 011 04/01/07 WLS 110</v>
      </c>
      <c r="E5358" s="8">
        <v>67.153899999999993</v>
      </c>
      <c r="F5358" s="9">
        <v>46197</v>
      </c>
    </row>
    <row r="5359" spans="1:6" ht="75" x14ac:dyDescent="0.25">
      <c r="A5359" s="8" t="s">
        <v>63</v>
      </c>
      <c r="B5359" s="8" t="s">
        <v>81</v>
      </c>
      <c r="C5359" s="8" t="str">
        <f>IFERROR(_xlfn.XLOOKUP(TRIM(B5359),Lookup!$B$2:$B$1000,Lookup!$C$2:$C$1000),"")</f>
        <v>Balanced - Debt Oriented</v>
      </c>
      <c r="D5359" s="8" t="str">
        <f>IFERROR(INDEX('nav master'!$C:$C, MATCH(B5359, 'nav master'!$B:$B, 0)), "")</f>
        <v>ULIF 011 04/01/07 WLS 110</v>
      </c>
      <c r="E5359" s="8">
        <v>67.074799999999996</v>
      </c>
      <c r="F5359" s="9">
        <v>46198</v>
      </c>
    </row>
    <row r="5360" spans="1:6" ht="75" x14ac:dyDescent="0.25">
      <c r="A5360" s="8" t="s">
        <v>63</v>
      </c>
      <c r="B5360" s="8" t="s">
        <v>81</v>
      </c>
      <c r="C5360" s="8" t="str">
        <f>IFERROR(_xlfn.XLOOKUP(TRIM(B5360),Lookup!$B$2:$B$1000,Lookup!$C$2:$C$1000),"")</f>
        <v>Balanced - Debt Oriented</v>
      </c>
      <c r="D5360" s="8" t="str">
        <f>IFERROR(INDEX('nav master'!$C:$C, MATCH(B5360, 'nav master'!$B:$B, 0)), "")</f>
        <v>ULIF 011 04/01/07 WLS 110</v>
      </c>
      <c r="E5360" s="8">
        <v>67.013499999999993</v>
      </c>
      <c r="F5360" s="9">
        <v>46202</v>
      </c>
    </row>
    <row r="5361" spans="1:6" ht="75" x14ac:dyDescent="0.25">
      <c r="A5361" s="8" t="s">
        <v>63</v>
      </c>
      <c r="B5361" s="8" t="s">
        <v>81</v>
      </c>
      <c r="C5361" s="8" t="str">
        <f>IFERROR(_xlfn.XLOOKUP(TRIM(B5361),Lookup!$B$2:$B$1000,Lookup!$C$2:$C$1000),"")</f>
        <v>Balanced - Debt Oriented</v>
      </c>
      <c r="D5361" s="8" t="str">
        <f>IFERROR(INDEX('nav master'!$C:$C, MATCH(B5361, 'nav master'!$B:$B, 0)), "")</f>
        <v>ULIF 011 04/01/07 WLS 110</v>
      </c>
      <c r="E5361" s="8">
        <v>67.116799999999998</v>
      </c>
      <c r="F5361" s="9">
        <v>46203</v>
      </c>
    </row>
    <row r="5362" spans="1:6" ht="75" x14ac:dyDescent="0.25">
      <c r="A5362" s="8" t="s">
        <v>63</v>
      </c>
      <c r="B5362" s="8" t="s">
        <v>81</v>
      </c>
      <c r="C5362" s="8" t="str">
        <f>IFERROR(_xlfn.XLOOKUP(TRIM(B5362),Lookup!$B$2:$B$1000,Lookup!$C$2:$C$1000),"")</f>
        <v>Balanced - Debt Oriented</v>
      </c>
      <c r="D5362" s="8" t="str">
        <f>IFERROR(INDEX('nav master'!$C:$C, MATCH(B5362, 'nav master'!$B:$B, 0)), "")</f>
        <v>ULIF 011 04/01/07 WLS 110</v>
      </c>
      <c r="E5362" s="8">
        <v>67.225399999999993</v>
      </c>
      <c r="F5362" s="9">
        <v>46204</v>
      </c>
    </row>
    <row r="5363" spans="1:6" ht="75" x14ac:dyDescent="0.25">
      <c r="A5363" s="8" t="s">
        <v>63</v>
      </c>
      <c r="B5363" s="8" t="s">
        <v>81</v>
      </c>
      <c r="C5363" s="8" t="str">
        <f>IFERROR(_xlfn.XLOOKUP(TRIM(B5363),Lookup!$B$2:$B$1000,Lookup!$C$2:$C$1000),"")</f>
        <v>Balanced - Debt Oriented</v>
      </c>
      <c r="D5363" s="8" t="str">
        <f>IFERROR(INDEX('nav master'!$C:$C, MATCH(B5363, 'nav master'!$B:$B, 0)), "")</f>
        <v>ULIF 011 04/01/07 WLS 110</v>
      </c>
      <c r="E5363" s="8">
        <v>67.487899999999996</v>
      </c>
      <c r="F5363" s="9">
        <v>46205</v>
      </c>
    </row>
    <row r="5364" spans="1:6" ht="75" x14ac:dyDescent="0.25">
      <c r="A5364" s="8" t="s">
        <v>63</v>
      </c>
      <c r="B5364" s="8" t="s">
        <v>81</v>
      </c>
      <c r="C5364" s="8" t="str">
        <f>IFERROR(_xlfn.XLOOKUP(TRIM(B5364),Lookup!$B$2:$B$1000,Lookup!$C$2:$C$1000),"")</f>
        <v>Balanced - Debt Oriented</v>
      </c>
      <c r="D5364" s="8" t="str">
        <f>IFERROR(INDEX('nav master'!$C:$C, MATCH(B5364, 'nav master'!$B:$B, 0)), "")</f>
        <v>ULIF 011 04/01/07 WLS 110</v>
      </c>
      <c r="E5364" s="8">
        <v>67.417599999999993</v>
      </c>
      <c r="F5364" s="9">
        <v>46206</v>
      </c>
    </row>
    <row r="5365" spans="1:6" ht="75" x14ac:dyDescent="0.25">
      <c r="A5365" s="8" t="s">
        <v>63</v>
      </c>
      <c r="B5365" s="8" t="s">
        <v>81</v>
      </c>
      <c r="C5365" s="8" t="str">
        <f>IFERROR(_xlfn.XLOOKUP(TRIM(B5365),Lookup!$B$2:$B$1000,Lookup!$C$2:$C$1000),"")</f>
        <v>Balanced - Debt Oriented</v>
      </c>
      <c r="D5365" s="8" t="str">
        <f>IFERROR(INDEX('nav master'!$C:$C, MATCH(B5365, 'nav master'!$B:$B, 0)), "")</f>
        <v>ULIF 011 04/01/07 WLS 110</v>
      </c>
      <c r="E5365" s="8">
        <v>67.697100000000006</v>
      </c>
      <c r="F5365" s="9">
        <v>46209</v>
      </c>
    </row>
    <row r="5366" spans="1:6" ht="75" x14ac:dyDescent="0.25">
      <c r="A5366" s="8" t="s">
        <v>63</v>
      </c>
      <c r="B5366" s="8" t="s">
        <v>81</v>
      </c>
      <c r="C5366" s="8" t="str">
        <f>IFERROR(_xlfn.XLOOKUP(TRIM(B5366),Lookup!$B$2:$B$1000,Lookup!$C$2:$C$1000),"")</f>
        <v>Balanced - Debt Oriented</v>
      </c>
      <c r="D5366" s="8" t="str">
        <f>IFERROR(INDEX('nav master'!$C:$C, MATCH(B5366, 'nav master'!$B:$B, 0)), "")</f>
        <v>ULIF 011 04/01/07 WLS 110</v>
      </c>
      <c r="E5366" s="8">
        <v>67.653800000000004</v>
      </c>
      <c r="F5366" s="9">
        <v>46210</v>
      </c>
    </row>
    <row r="5367" spans="1:6" ht="75" x14ac:dyDescent="0.25">
      <c r="A5367" s="8" t="s">
        <v>63</v>
      </c>
      <c r="B5367" s="8" t="s">
        <v>81</v>
      </c>
      <c r="C5367" s="8" t="str">
        <f>IFERROR(_xlfn.XLOOKUP(TRIM(B5367),Lookup!$B$2:$B$1000,Lookup!$C$2:$C$1000),"")</f>
        <v>Balanced - Debt Oriented</v>
      </c>
      <c r="D5367" s="8" t="str">
        <f>IFERROR(INDEX('nav master'!$C:$C, MATCH(B5367, 'nav master'!$B:$B, 0)), "")</f>
        <v>ULIF 011 04/01/07 WLS 110</v>
      </c>
      <c r="E5367" s="8">
        <v>67.137100000000004</v>
      </c>
      <c r="F5367" s="9">
        <v>46211</v>
      </c>
    </row>
    <row r="5368" spans="1:6" ht="75" x14ac:dyDescent="0.25">
      <c r="A5368" s="8" t="s">
        <v>63</v>
      </c>
      <c r="B5368" s="8" t="s">
        <v>81</v>
      </c>
      <c r="C5368" s="8" t="str">
        <f>IFERROR(_xlfn.XLOOKUP(TRIM(B5368),Lookup!$B$2:$B$1000,Lookup!$C$2:$C$1000),"")</f>
        <v>Balanced - Debt Oriented</v>
      </c>
      <c r="D5368" s="8" t="str">
        <f>IFERROR(INDEX('nav master'!$C:$C, MATCH(B5368, 'nav master'!$B:$B, 0)), "")</f>
        <v>ULIF 011 04/01/07 WLS 110</v>
      </c>
      <c r="E5368" s="8">
        <v>67.523200000000003</v>
      </c>
      <c r="F5368" s="9">
        <v>46212</v>
      </c>
    </row>
    <row r="5369" spans="1:6" ht="75" x14ac:dyDescent="0.25">
      <c r="A5369" s="8" t="s">
        <v>63</v>
      </c>
      <c r="B5369" s="8" t="s">
        <v>81</v>
      </c>
      <c r="C5369" s="8" t="str">
        <f>IFERROR(_xlfn.XLOOKUP(TRIM(B5369),Lookup!$B$2:$B$1000,Lookup!$C$2:$C$1000),"")</f>
        <v>Balanced - Debt Oriented</v>
      </c>
      <c r="D5369" s="8" t="str">
        <f>IFERROR(INDEX('nav master'!$C:$C, MATCH(B5369, 'nav master'!$B:$B, 0)), "")</f>
        <v>ULIF 011 04/01/07 WLS 110</v>
      </c>
      <c r="E5369" s="8">
        <v>67.984899999999996</v>
      </c>
      <c r="F5369" s="9">
        <v>46213</v>
      </c>
    </row>
    <row r="5370" spans="1:6" ht="75" x14ac:dyDescent="0.25">
      <c r="A5370" s="8" t="s">
        <v>63</v>
      </c>
      <c r="B5370" s="8" t="s">
        <v>81</v>
      </c>
      <c r="C5370" s="8" t="str">
        <f>IFERROR(_xlfn.XLOOKUP(TRIM(B5370),Lookup!$B$2:$B$1000,Lookup!$C$2:$C$1000),"")</f>
        <v>Balanced - Debt Oriented</v>
      </c>
      <c r="D5370" s="8" t="str">
        <f>IFERROR(INDEX('nav master'!$C:$C, MATCH(B5370, 'nav master'!$B:$B, 0)), "")</f>
        <v>ULIF 011 04/01/07 WLS 110</v>
      </c>
      <c r="E5370" s="8">
        <v>68.050899999999999</v>
      </c>
      <c r="F5370" s="9">
        <v>46216</v>
      </c>
    </row>
    <row r="5371" spans="1:6" ht="75" x14ac:dyDescent="0.25">
      <c r="A5371" s="8" t="s">
        <v>63</v>
      </c>
      <c r="B5371" s="8" t="s">
        <v>81</v>
      </c>
      <c r="C5371" s="8" t="str">
        <f>IFERROR(_xlfn.XLOOKUP(TRIM(B5371),Lookup!$B$2:$B$1000,Lookup!$C$2:$C$1000),"")</f>
        <v>Balanced - Debt Oriented</v>
      </c>
      <c r="D5371" s="8" t="str">
        <f>IFERROR(INDEX('nav master'!$C:$C, MATCH(B5371, 'nav master'!$B:$B, 0)), "")</f>
        <v>ULIF 011 04/01/07 WLS 110</v>
      </c>
      <c r="E5371" s="8">
        <v>67.670699999999997</v>
      </c>
      <c r="F5371" s="9">
        <v>46217</v>
      </c>
    </row>
    <row r="5372" spans="1:6" ht="75" x14ac:dyDescent="0.25">
      <c r="A5372" s="8" t="s">
        <v>63</v>
      </c>
      <c r="B5372" s="8" t="s">
        <v>81</v>
      </c>
      <c r="C5372" s="8" t="str">
        <f>IFERROR(_xlfn.XLOOKUP(TRIM(B5372),Lookup!$B$2:$B$1000,Lookup!$C$2:$C$1000),"")</f>
        <v>Balanced - Debt Oriented</v>
      </c>
      <c r="D5372" s="8" t="str">
        <f>IFERROR(INDEX('nav master'!$C:$C, MATCH(B5372, 'nav master'!$B:$B, 0)), "")</f>
        <v>ULIF 011 04/01/07 WLS 110</v>
      </c>
      <c r="E5372" s="8">
        <v>67.758700000000005</v>
      </c>
      <c r="F5372" s="9">
        <v>46218</v>
      </c>
    </row>
    <row r="5373" spans="1:6" ht="75" x14ac:dyDescent="0.25">
      <c r="A5373" s="8" t="s">
        <v>63</v>
      </c>
      <c r="B5373" s="8" t="s">
        <v>81</v>
      </c>
      <c r="C5373" s="8" t="str">
        <f>IFERROR(_xlfn.XLOOKUP(TRIM(B5373),Lookup!$B$2:$B$1000,Lookup!$C$2:$C$1000),"")</f>
        <v>Balanced - Debt Oriented</v>
      </c>
      <c r="D5373" s="8" t="str">
        <f>IFERROR(INDEX('nav master'!$C:$C, MATCH(B5373, 'nav master'!$B:$B, 0)), "")</f>
        <v>ULIF 011 04/01/07 WLS 110</v>
      </c>
      <c r="E5373" s="8">
        <v>67.764200000000002</v>
      </c>
      <c r="F5373" s="9">
        <v>46219</v>
      </c>
    </row>
    <row r="5374" spans="1:6" ht="75" x14ac:dyDescent="0.25">
      <c r="A5374" s="8" t="s">
        <v>63</v>
      </c>
      <c r="B5374" s="8" t="s">
        <v>81</v>
      </c>
      <c r="C5374" s="8" t="str">
        <f>IFERROR(_xlfn.XLOOKUP(TRIM(B5374),Lookup!$B$2:$B$1000,Lookup!$C$2:$C$1000),"")</f>
        <v>Balanced - Debt Oriented</v>
      </c>
      <c r="D5374" s="8" t="str">
        <f>IFERROR(INDEX('nav master'!$C:$C, MATCH(B5374, 'nav master'!$B:$B, 0)), "")</f>
        <v>ULIF 011 04/01/07 WLS 110</v>
      </c>
      <c r="E5374" s="8">
        <v>67.651200000000003</v>
      </c>
      <c r="F5374" s="9">
        <v>46220</v>
      </c>
    </row>
    <row r="5375" spans="1:6" ht="75" x14ac:dyDescent="0.25">
      <c r="A5375" s="8" t="s">
        <v>63</v>
      </c>
      <c r="B5375" s="8" t="s">
        <v>81</v>
      </c>
      <c r="C5375" s="8" t="str">
        <f>IFERROR(_xlfn.XLOOKUP(TRIM(B5375),Lookup!$B$2:$B$1000,Lookup!$C$2:$C$1000),"")</f>
        <v>Balanced - Debt Oriented</v>
      </c>
      <c r="D5375" s="8" t="str">
        <f>IFERROR(INDEX('nav master'!$C:$C, MATCH(B5375, 'nav master'!$B:$B, 0)), "")</f>
        <v>ULIF 011 04/01/07 WLS 110</v>
      </c>
      <c r="E5375" s="8">
        <v>67.729600000000005</v>
      </c>
      <c r="F5375" s="9">
        <v>46223</v>
      </c>
    </row>
    <row r="5376" spans="1:6" ht="75" x14ac:dyDescent="0.25">
      <c r="A5376" s="8" t="s">
        <v>63</v>
      </c>
      <c r="B5376" s="8" t="s">
        <v>81</v>
      </c>
      <c r="C5376" s="8" t="str">
        <f>IFERROR(_xlfn.XLOOKUP(TRIM(B5376),Lookup!$B$2:$B$1000,Lookup!$C$2:$C$1000),"")</f>
        <v>Balanced - Debt Oriented</v>
      </c>
      <c r="D5376" s="8" t="str">
        <f>IFERROR(INDEX('nav master'!$C:$C, MATCH(B5376, 'nav master'!$B:$B, 0)), "")</f>
        <v>ULIF 011 04/01/07 WLS 110</v>
      </c>
      <c r="E5376" s="8">
        <v>67.712999999999994</v>
      </c>
      <c r="F5376" s="9">
        <v>46224</v>
      </c>
    </row>
    <row r="5377" spans="1:6" ht="75" x14ac:dyDescent="0.25">
      <c r="A5377" s="8" t="s">
        <v>63</v>
      </c>
      <c r="B5377" s="8" t="s">
        <v>81</v>
      </c>
      <c r="C5377" s="8" t="str">
        <f>IFERROR(_xlfn.XLOOKUP(TRIM(B5377),Lookup!$B$2:$B$1000,Lookup!$C$2:$C$1000),"")</f>
        <v>Balanced - Debt Oriented</v>
      </c>
      <c r="D5377" s="8" t="str">
        <f>IFERROR(INDEX('nav master'!$C:$C, MATCH(B5377, 'nav master'!$B:$B, 0)), "")</f>
        <v>ULIF 011 04/01/07 WLS 110</v>
      </c>
      <c r="E5377" s="8">
        <v>67.342200000000005</v>
      </c>
      <c r="F5377" s="9">
        <v>46225</v>
      </c>
    </row>
    <row r="5378" spans="1:6" ht="75" x14ac:dyDescent="0.25">
      <c r="A5378" s="8" t="s">
        <v>63</v>
      </c>
      <c r="B5378" s="8" t="s">
        <v>81</v>
      </c>
      <c r="C5378" s="8" t="str">
        <f>IFERROR(_xlfn.XLOOKUP(TRIM(B5378),Lookup!$B$2:$B$1000,Lookup!$C$2:$C$1000),"")</f>
        <v>Balanced - Debt Oriented</v>
      </c>
      <c r="D5378" s="8" t="str">
        <f>IFERROR(INDEX('nav master'!$C:$C, MATCH(B5378, 'nav master'!$B:$B, 0)), "")</f>
        <v>ULIF 011 04/01/07 WLS 110</v>
      </c>
      <c r="E5378" s="8">
        <v>67.0351</v>
      </c>
      <c r="F5378" s="9">
        <v>46226</v>
      </c>
    </row>
    <row r="5379" spans="1:6" ht="75" x14ac:dyDescent="0.25">
      <c r="A5379" s="8" t="s">
        <v>63</v>
      </c>
      <c r="B5379" s="8" t="s">
        <v>81</v>
      </c>
      <c r="C5379" s="8" t="str">
        <f>IFERROR(_xlfn.XLOOKUP(TRIM(B5379),Lookup!$B$2:$B$1000,Lookup!$C$2:$C$1000),"")</f>
        <v>Balanced - Debt Oriented</v>
      </c>
      <c r="D5379" s="8" t="str">
        <f>IFERROR(INDEX('nav master'!$C:$C, MATCH(B5379, 'nav master'!$B:$B, 0)), "")</f>
        <v>ULIF 011 04/01/07 WLS 110</v>
      </c>
      <c r="E5379" s="8">
        <v>67.022000000000006</v>
      </c>
      <c r="F5379" s="9">
        <v>46227</v>
      </c>
    </row>
    <row r="5380" spans="1:6" ht="75" x14ac:dyDescent="0.25">
      <c r="A5380" s="8" t="s">
        <v>63</v>
      </c>
      <c r="B5380" s="8" t="s">
        <v>81</v>
      </c>
      <c r="C5380" s="8" t="str">
        <f>IFERROR(_xlfn.XLOOKUP(TRIM(B5380),Lookup!$B$2:$B$1000,Lookup!$C$2:$C$1000),"")</f>
        <v>Balanced - Debt Oriented</v>
      </c>
      <c r="D5380" s="8" t="str">
        <f>IFERROR(INDEX('nav master'!$C:$C, MATCH(B5380, 'nav master'!$B:$B, 0)), "")</f>
        <v>ULIF 011 04/01/07 WLS 110</v>
      </c>
      <c r="E5380" s="8">
        <v>67.390600000000006</v>
      </c>
      <c r="F5380" s="9">
        <v>46230</v>
      </c>
    </row>
    <row r="5381" spans="1:6" ht="75" x14ac:dyDescent="0.25">
      <c r="A5381" s="8" t="s">
        <v>63</v>
      </c>
      <c r="B5381" s="8" t="s">
        <v>81</v>
      </c>
      <c r="C5381" s="8" t="str">
        <f>IFERROR(_xlfn.XLOOKUP(TRIM(B5381),Lookup!$B$2:$B$1000,Lookup!$C$2:$C$1000),"")</f>
        <v>Balanced - Debt Oriented</v>
      </c>
      <c r="D5381" s="8" t="str">
        <f>IFERROR(INDEX('nav master'!$C:$C, MATCH(B5381, 'nav master'!$B:$B, 0)), "")</f>
        <v>ULIF 011 04/01/07 WLS 110</v>
      </c>
      <c r="E5381" s="8">
        <v>67.479799999999997</v>
      </c>
      <c r="F5381" s="9">
        <v>46231</v>
      </c>
    </row>
    <row r="5382" spans="1:6" ht="75" x14ac:dyDescent="0.25">
      <c r="A5382" s="8" t="s">
        <v>63</v>
      </c>
      <c r="B5382" s="8" t="s">
        <v>81</v>
      </c>
      <c r="C5382" s="8" t="str">
        <f>IFERROR(_xlfn.XLOOKUP(TRIM(B5382),Lookup!$B$2:$B$1000,Lookup!$C$2:$C$1000),"")</f>
        <v>Balanced - Debt Oriented</v>
      </c>
      <c r="D5382" s="8" t="str">
        <f>IFERROR(INDEX('nav master'!$C:$C, MATCH(B5382, 'nav master'!$B:$B, 0)), "")</f>
        <v>ULIF 011 04/01/07 WLS 110</v>
      </c>
      <c r="E5382" s="8">
        <v>67.790199999999999</v>
      </c>
      <c r="F5382" s="9">
        <v>46232</v>
      </c>
    </row>
    <row r="5383" spans="1:6" ht="75" x14ac:dyDescent="0.25">
      <c r="A5383" s="8" t="s">
        <v>63</v>
      </c>
      <c r="B5383" s="8" t="s">
        <v>81</v>
      </c>
      <c r="C5383" s="8" t="str">
        <f>IFERROR(_xlfn.XLOOKUP(TRIM(B5383),Lookup!$B$2:$B$1000,Lookup!$C$2:$C$1000),"")</f>
        <v>Balanced - Debt Oriented</v>
      </c>
      <c r="D5383" s="8" t="str">
        <f>IFERROR(INDEX('nav master'!$C:$C, MATCH(B5383, 'nav master'!$B:$B, 0)), "")</f>
        <v>ULIF 011 04/01/07 WLS 110</v>
      </c>
      <c r="E5383" s="8">
        <v>67.730400000000003</v>
      </c>
      <c r="F5383" s="9">
        <v>46233</v>
      </c>
    </row>
    <row r="5384" spans="1:6" ht="75" x14ac:dyDescent="0.25">
      <c r="A5384" s="8" t="s">
        <v>63</v>
      </c>
      <c r="B5384" s="8" t="s">
        <v>81</v>
      </c>
      <c r="C5384" s="8" t="str">
        <f>IFERROR(_xlfn.XLOOKUP(TRIM(B5384),Lookup!$B$2:$B$1000,Lookup!$C$2:$C$1000),"")</f>
        <v>Balanced - Debt Oriented</v>
      </c>
      <c r="D5384" s="8" t="str">
        <f>IFERROR(INDEX('nav master'!$C:$C, MATCH(B5384, 'nav master'!$B:$B, 0)), "")</f>
        <v>ULIF 011 04/01/07 WLS 110</v>
      </c>
      <c r="E5384" s="8">
        <v>67.852099999999993</v>
      </c>
      <c r="F5384" s="9">
        <v>46234</v>
      </c>
    </row>
  </sheetData>
  <autoFilter ref="A1:AE5384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AA999"/>
  <sheetViews>
    <sheetView workbookViewId="0">
      <pane ySplit="1" topLeftCell="A50" activePane="bottomLeft" state="frozen"/>
      <selection pane="bottomLeft" activeCell="B50" sqref="B50"/>
    </sheetView>
  </sheetViews>
  <sheetFormatPr defaultColWidth="14.42578125" defaultRowHeight="15" customHeight="1" x14ac:dyDescent="0.25"/>
  <cols>
    <col min="1" max="1" width="23.28515625" style="8" customWidth="1"/>
    <col min="2" max="2" width="35" style="8" customWidth="1"/>
    <col min="3" max="3" width="33.85546875" style="8" customWidth="1"/>
    <col min="4" max="4" width="24.5703125" style="8" customWidth="1"/>
    <col min="5" max="8" width="14.42578125" style="8"/>
    <col min="9" max="9" width="27.42578125" style="8" customWidth="1"/>
    <col min="10" max="10" width="16.85546875" style="8" customWidth="1"/>
    <col min="11" max="16384" width="14.42578125" style="8"/>
  </cols>
  <sheetData>
    <row r="1" spans="1:27" ht="30" x14ac:dyDescent="0.25">
      <c r="A1" s="1" t="s">
        <v>82</v>
      </c>
      <c r="B1" s="1" t="s">
        <v>83</v>
      </c>
      <c r="C1" s="1" t="s">
        <v>62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05" hidden="1" x14ac:dyDescent="0.25">
      <c r="A2" s="1" t="s">
        <v>5</v>
      </c>
      <c r="B2" s="1" t="s">
        <v>6</v>
      </c>
      <c r="C2" s="1" t="s">
        <v>7</v>
      </c>
      <c r="D2" s="2" t="s">
        <v>91</v>
      </c>
      <c r="E2" s="1" t="s">
        <v>92</v>
      </c>
      <c r="F2" s="1" t="s">
        <v>93</v>
      </c>
      <c r="G2" s="1"/>
      <c r="H2" s="1" t="s">
        <v>94</v>
      </c>
      <c r="I2" s="1"/>
      <c r="J2" s="3">
        <v>46222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05" hidden="1" x14ac:dyDescent="0.25">
      <c r="A3" s="1" t="s">
        <v>5</v>
      </c>
      <c r="B3" s="1" t="s">
        <v>8</v>
      </c>
      <c r="C3" s="1" t="s">
        <v>9</v>
      </c>
      <c r="D3" s="4" t="s">
        <v>95</v>
      </c>
      <c r="E3" s="1" t="s">
        <v>92</v>
      </c>
      <c r="F3" s="1" t="s">
        <v>93</v>
      </c>
      <c r="G3" s="1"/>
      <c r="H3" s="1" t="s">
        <v>94</v>
      </c>
      <c r="I3" s="1"/>
      <c r="J3" s="3">
        <v>46222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05" hidden="1" x14ac:dyDescent="0.25">
      <c r="A4" s="1" t="s">
        <v>5</v>
      </c>
      <c r="B4" s="1" t="s">
        <v>10</v>
      </c>
      <c r="C4" s="1" t="s">
        <v>11</v>
      </c>
      <c r="D4" s="2" t="s">
        <v>96</v>
      </c>
      <c r="E4" s="1" t="s">
        <v>97</v>
      </c>
      <c r="F4" s="1" t="s">
        <v>93</v>
      </c>
      <c r="G4" s="1"/>
      <c r="H4" s="1" t="s">
        <v>98</v>
      </c>
      <c r="I4" s="1" t="s">
        <v>99</v>
      </c>
      <c r="J4" s="3">
        <v>46222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20" hidden="1" x14ac:dyDescent="0.25">
      <c r="A5" s="1" t="s">
        <v>5</v>
      </c>
      <c r="B5" s="1" t="s">
        <v>12</v>
      </c>
      <c r="C5" s="1" t="s">
        <v>13</v>
      </c>
      <c r="D5" s="2" t="s">
        <v>100</v>
      </c>
      <c r="E5" s="1" t="s">
        <v>92</v>
      </c>
      <c r="F5" s="1" t="s">
        <v>93</v>
      </c>
      <c r="G5" s="1"/>
      <c r="H5" s="1" t="s">
        <v>94</v>
      </c>
      <c r="I5" s="1"/>
      <c r="J5" s="3">
        <v>46222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05" hidden="1" x14ac:dyDescent="0.25">
      <c r="A6" s="1" t="s">
        <v>5</v>
      </c>
      <c r="B6" s="1" t="s">
        <v>14</v>
      </c>
      <c r="C6" s="1" t="s">
        <v>15</v>
      </c>
      <c r="D6" s="2" t="s">
        <v>101</v>
      </c>
      <c r="E6" s="1" t="s">
        <v>97</v>
      </c>
      <c r="F6" s="1" t="s">
        <v>93</v>
      </c>
      <c r="G6" s="1"/>
      <c r="H6" s="1" t="s">
        <v>98</v>
      </c>
      <c r="I6" s="1" t="s">
        <v>99</v>
      </c>
      <c r="J6" s="3">
        <v>46222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05" hidden="1" x14ac:dyDescent="0.25">
      <c r="A7" s="1" t="s">
        <v>5</v>
      </c>
      <c r="B7" s="1" t="s">
        <v>16</v>
      </c>
      <c r="C7" s="1" t="s">
        <v>17</v>
      </c>
      <c r="D7" s="2" t="s">
        <v>102</v>
      </c>
      <c r="E7" s="1" t="s">
        <v>97</v>
      </c>
      <c r="F7" s="1" t="s">
        <v>93</v>
      </c>
      <c r="G7" s="1"/>
      <c r="H7" s="1" t="s">
        <v>98</v>
      </c>
      <c r="I7" s="1" t="s">
        <v>99</v>
      </c>
      <c r="J7" s="3">
        <v>46222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05" hidden="1" x14ac:dyDescent="0.25">
      <c r="A8" s="1" t="s">
        <v>5</v>
      </c>
      <c r="B8" s="1" t="s">
        <v>18</v>
      </c>
      <c r="C8" s="1" t="s">
        <v>19</v>
      </c>
      <c r="D8" s="2" t="s">
        <v>103</v>
      </c>
      <c r="E8" s="1" t="s">
        <v>97</v>
      </c>
      <c r="F8" s="1" t="s">
        <v>93</v>
      </c>
      <c r="G8" s="1"/>
      <c r="H8" s="1" t="s">
        <v>98</v>
      </c>
      <c r="I8" s="1" t="s">
        <v>99</v>
      </c>
      <c r="J8" s="3">
        <v>46222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05" hidden="1" x14ac:dyDescent="0.25">
      <c r="A9" s="1" t="s">
        <v>5</v>
      </c>
      <c r="B9" s="1" t="s">
        <v>20</v>
      </c>
      <c r="C9" s="1" t="s">
        <v>21</v>
      </c>
      <c r="D9" s="2" t="s">
        <v>104</v>
      </c>
      <c r="E9" s="1" t="s">
        <v>92</v>
      </c>
      <c r="F9" s="1" t="s">
        <v>93</v>
      </c>
      <c r="G9" s="1"/>
      <c r="H9" s="1" t="s">
        <v>94</v>
      </c>
      <c r="I9" s="1"/>
      <c r="J9" s="3">
        <v>46222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05" hidden="1" x14ac:dyDescent="0.25">
      <c r="A10" s="1" t="s">
        <v>5</v>
      </c>
      <c r="B10" s="1" t="s">
        <v>22</v>
      </c>
      <c r="C10" s="1" t="s">
        <v>23</v>
      </c>
      <c r="D10" s="2" t="s">
        <v>105</v>
      </c>
      <c r="E10" s="1" t="s">
        <v>97</v>
      </c>
      <c r="F10" s="1" t="s">
        <v>93</v>
      </c>
      <c r="G10" s="1"/>
      <c r="H10" s="1" t="s">
        <v>94</v>
      </c>
      <c r="I10" s="1" t="s">
        <v>99</v>
      </c>
      <c r="J10" s="3">
        <v>46222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05" hidden="1" x14ac:dyDescent="0.25">
      <c r="A11" s="1" t="s">
        <v>5</v>
      </c>
      <c r="B11" s="1" t="s">
        <v>24</v>
      </c>
      <c r="C11" s="1" t="s">
        <v>25</v>
      </c>
      <c r="D11" s="2" t="s">
        <v>106</v>
      </c>
      <c r="E11" s="1" t="s">
        <v>92</v>
      </c>
      <c r="F11" s="1" t="s">
        <v>93</v>
      </c>
      <c r="G11" s="1"/>
      <c r="H11" s="1" t="s">
        <v>94</v>
      </c>
      <c r="I11" s="1"/>
      <c r="J11" s="3">
        <v>46222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05" hidden="1" x14ac:dyDescent="0.25">
      <c r="A12" s="1" t="s">
        <v>5</v>
      </c>
      <c r="B12" s="1" t="s">
        <v>26</v>
      </c>
      <c r="C12" s="1" t="s">
        <v>27</v>
      </c>
      <c r="D12" s="2" t="s">
        <v>107</v>
      </c>
      <c r="E12" s="1" t="s">
        <v>97</v>
      </c>
      <c r="F12" s="1" t="s">
        <v>93</v>
      </c>
      <c r="G12" s="1"/>
      <c r="H12" s="1" t="s">
        <v>94</v>
      </c>
      <c r="I12" s="1" t="s">
        <v>99</v>
      </c>
      <c r="J12" s="3">
        <v>46222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05" hidden="1" x14ac:dyDescent="0.25">
      <c r="A13" s="1" t="s">
        <v>5</v>
      </c>
      <c r="B13" s="1" t="s">
        <v>28</v>
      </c>
      <c r="C13" s="1" t="s">
        <v>29</v>
      </c>
      <c r="D13" s="2" t="s">
        <v>108</v>
      </c>
      <c r="E13" s="1" t="s">
        <v>97</v>
      </c>
      <c r="F13" s="1" t="s">
        <v>93</v>
      </c>
      <c r="G13" s="1"/>
      <c r="H13" s="1" t="s">
        <v>94</v>
      </c>
      <c r="I13" s="1" t="s">
        <v>99</v>
      </c>
      <c r="J13" s="3">
        <v>46222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05" hidden="1" x14ac:dyDescent="0.25">
      <c r="A14" s="1" t="s">
        <v>5</v>
      </c>
      <c r="B14" s="1" t="s">
        <v>30</v>
      </c>
      <c r="C14" s="1" t="s">
        <v>31</v>
      </c>
      <c r="D14" s="2" t="s">
        <v>109</v>
      </c>
      <c r="E14" s="1" t="s">
        <v>92</v>
      </c>
      <c r="F14" s="1" t="s">
        <v>93</v>
      </c>
      <c r="G14" s="1"/>
      <c r="H14" s="1" t="s">
        <v>94</v>
      </c>
      <c r="I14" s="1"/>
      <c r="J14" s="3">
        <v>46222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20" hidden="1" x14ac:dyDescent="0.25">
      <c r="A15" s="1" t="s">
        <v>5</v>
      </c>
      <c r="B15" s="1" t="s">
        <v>32</v>
      </c>
      <c r="C15" s="1" t="s">
        <v>33</v>
      </c>
      <c r="D15" s="2" t="s">
        <v>110</v>
      </c>
      <c r="E15" s="1" t="s">
        <v>92</v>
      </c>
      <c r="F15" s="1" t="s">
        <v>93</v>
      </c>
      <c r="G15" s="1"/>
      <c r="H15" s="1" t="s">
        <v>94</v>
      </c>
      <c r="I15" s="1"/>
      <c r="J15" s="3">
        <v>46222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05" hidden="1" x14ac:dyDescent="0.25">
      <c r="A16" s="1" t="s">
        <v>5</v>
      </c>
      <c r="B16" s="1" t="s">
        <v>34</v>
      </c>
      <c r="C16" s="1" t="s">
        <v>35</v>
      </c>
      <c r="D16" s="2" t="s">
        <v>111</v>
      </c>
      <c r="E16" s="1" t="s">
        <v>97</v>
      </c>
      <c r="F16" s="1" t="s">
        <v>93</v>
      </c>
      <c r="G16" s="1"/>
      <c r="H16" s="1" t="s">
        <v>94</v>
      </c>
      <c r="I16" s="1" t="s">
        <v>99</v>
      </c>
      <c r="J16" s="3">
        <v>46222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20" hidden="1" x14ac:dyDescent="0.25">
      <c r="A17" s="1" t="s">
        <v>5</v>
      </c>
      <c r="B17" s="1" t="s">
        <v>36</v>
      </c>
      <c r="C17" s="1" t="s">
        <v>37</v>
      </c>
      <c r="D17" s="2" t="s">
        <v>112</v>
      </c>
      <c r="E17" s="1" t="s">
        <v>92</v>
      </c>
      <c r="F17" s="1" t="s">
        <v>93</v>
      </c>
      <c r="G17" s="1"/>
      <c r="H17" s="1" t="s">
        <v>94</v>
      </c>
      <c r="I17" s="1"/>
      <c r="J17" s="3">
        <v>46222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05" hidden="1" x14ac:dyDescent="0.25">
      <c r="A18" s="1" t="s">
        <v>5</v>
      </c>
      <c r="B18" s="1" t="s">
        <v>38</v>
      </c>
      <c r="C18" s="1" t="s">
        <v>39</v>
      </c>
      <c r="D18" s="2" t="s">
        <v>113</v>
      </c>
      <c r="E18" s="1" t="s">
        <v>97</v>
      </c>
      <c r="F18" s="1" t="s">
        <v>93</v>
      </c>
      <c r="G18" s="1"/>
      <c r="H18" s="1" t="s">
        <v>94</v>
      </c>
      <c r="I18" s="1" t="s">
        <v>99</v>
      </c>
      <c r="J18" s="3">
        <v>46222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05" hidden="1" x14ac:dyDescent="0.25">
      <c r="A19" s="1" t="s">
        <v>5</v>
      </c>
      <c r="B19" s="1" t="s">
        <v>40</v>
      </c>
      <c r="C19" s="1" t="s">
        <v>41</v>
      </c>
      <c r="D19" s="2" t="s">
        <v>114</v>
      </c>
      <c r="E19" s="1" t="s">
        <v>97</v>
      </c>
      <c r="F19" s="1" t="s">
        <v>93</v>
      </c>
      <c r="G19" s="1"/>
      <c r="H19" s="1" t="s">
        <v>94</v>
      </c>
      <c r="I19" s="1" t="s">
        <v>99</v>
      </c>
      <c r="J19" s="3">
        <v>46222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05" hidden="1" x14ac:dyDescent="0.25">
      <c r="A20" s="1" t="s">
        <v>5</v>
      </c>
      <c r="B20" s="1" t="s">
        <v>52</v>
      </c>
      <c r="C20" s="1" t="s">
        <v>53</v>
      </c>
      <c r="D20" s="2" t="s">
        <v>115</v>
      </c>
      <c r="E20" s="1" t="s">
        <v>97</v>
      </c>
      <c r="F20" s="1" t="s">
        <v>93</v>
      </c>
      <c r="G20" s="1"/>
      <c r="H20" s="1" t="s">
        <v>94</v>
      </c>
      <c r="I20" s="1" t="s">
        <v>99</v>
      </c>
      <c r="J20" s="3">
        <v>46222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05" hidden="1" x14ac:dyDescent="0.25">
      <c r="A21" s="1" t="s">
        <v>5</v>
      </c>
      <c r="B21" s="1" t="s">
        <v>54</v>
      </c>
      <c r="C21" s="1" t="s">
        <v>55</v>
      </c>
      <c r="D21" s="2" t="s">
        <v>116</v>
      </c>
      <c r="E21" s="1" t="s">
        <v>97</v>
      </c>
      <c r="F21" s="1" t="s">
        <v>93</v>
      </c>
      <c r="G21" s="1"/>
      <c r="H21" s="1" t="s">
        <v>98</v>
      </c>
      <c r="I21" s="1" t="s">
        <v>99</v>
      </c>
      <c r="J21" s="3">
        <v>46222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20" hidden="1" x14ac:dyDescent="0.25">
      <c r="A22" s="1" t="s">
        <v>5</v>
      </c>
      <c r="B22" s="1" t="s">
        <v>56</v>
      </c>
      <c r="C22" s="1" t="s">
        <v>57</v>
      </c>
      <c r="D22" s="2" t="s">
        <v>117</v>
      </c>
      <c r="E22" s="1" t="s">
        <v>92</v>
      </c>
      <c r="F22" s="1" t="s">
        <v>93</v>
      </c>
      <c r="G22" s="1"/>
      <c r="H22" s="1" t="s">
        <v>94</v>
      </c>
      <c r="I22" s="1"/>
      <c r="J22" s="3">
        <v>46222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05" hidden="1" x14ac:dyDescent="0.25">
      <c r="A23" s="1" t="s">
        <v>5</v>
      </c>
      <c r="B23" s="1" t="s">
        <v>58</v>
      </c>
      <c r="C23" s="1" t="s">
        <v>59</v>
      </c>
      <c r="D23" s="2" t="s">
        <v>118</v>
      </c>
      <c r="E23" s="1" t="s">
        <v>97</v>
      </c>
      <c r="F23" s="1" t="s">
        <v>93</v>
      </c>
      <c r="G23" s="1"/>
      <c r="H23" s="1" t="s">
        <v>94</v>
      </c>
      <c r="I23" s="1" t="s">
        <v>99</v>
      </c>
      <c r="J23" s="3">
        <v>46222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05" hidden="1" x14ac:dyDescent="0.25">
      <c r="A24" s="1" t="s">
        <v>5</v>
      </c>
      <c r="B24" s="1" t="s">
        <v>60</v>
      </c>
      <c r="C24" s="1" t="s">
        <v>61</v>
      </c>
      <c r="D24" s="2" t="s">
        <v>119</v>
      </c>
      <c r="E24" s="1" t="s">
        <v>97</v>
      </c>
      <c r="F24" s="1" t="s">
        <v>93</v>
      </c>
      <c r="G24" s="1"/>
      <c r="H24" s="1" t="s">
        <v>94</v>
      </c>
      <c r="I24" s="1" t="s">
        <v>99</v>
      </c>
      <c r="J24" s="3">
        <v>46222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05" hidden="1" x14ac:dyDescent="0.25">
      <c r="A25" s="1" t="s">
        <v>5</v>
      </c>
      <c r="B25" s="1" t="s">
        <v>42</v>
      </c>
      <c r="C25" s="1" t="s">
        <v>43</v>
      </c>
      <c r="D25" s="2" t="s">
        <v>120</v>
      </c>
      <c r="E25" s="1" t="s">
        <v>92</v>
      </c>
      <c r="F25" s="1" t="s">
        <v>93</v>
      </c>
      <c r="G25" s="1"/>
      <c r="H25" s="1" t="s">
        <v>94</v>
      </c>
      <c r="I25" s="1"/>
      <c r="J25" s="3">
        <v>46222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05" hidden="1" x14ac:dyDescent="0.25">
      <c r="A26" s="1" t="s">
        <v>5</v>
      </c>
      <c r="B26" s="1" t="s">
        <v>44</v>
      </c>
      <c r="C26" s="1" t="s">
        <v>45</v>
      </c>
      <c r="D26" s="2" t="s">
        <v>121</v>
      </c>
      <c r="E26" s="1" t="s">
        <v>97</v>
      </c>
      <c r="F26" s="1" t="s">
        <v>93</v>
      </c>
      <c r="G26" s="1"/>
      <c r="H26" s="1" t="s">
        <v>98</v>
      </c>
      <c r="I26" s="1" t="s">
        <v>99</v>
      </c>
      <c r="J26" s="3">
        <v>46222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05" hidden="1" x14ac:dyDescent="0.25">
      <c r="A27" s="1" t="s">
        <v>5</v>
      </c>
      <c r="B27" s="1" t="s">
        <v>46</v>
      </c>
      <c r="C27" s="1" t="s">
        <v>47</v>
      </c>
      <c r="D27" s="2" t="s">
        <v>122</v>
      </c>
      <c r="E27" s="1" t="s">
        <v>97</v>
      </c>
      <c r="F27" s="1" t="s">
        <v>93</v>
      </c>
      <c r="G27" s="1"/>
      <c r="H27" s="1" t="s">
        <v>98</v>
      </c>
      <c r="I27" s="1" t="s">
        <v>99</v>
      </c>
      <c r="J27" s="3">
        <v>46222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05" hidden="1" x14ac:dyDescent="0.25">
      <c r="A28" s="1" t="s">
        <v>5</v>
      </c>
      <c r="B28" s="1" t="s">
        <v>48</v>
      </c>
      <c r="C28" s="1" t="s">
        <v>49</v>
      </c>
      <c r="D28" s="2" t="s">
        <v>123</v>
      </c>
      <c r="E28" s="1" t="s">
        <v>97</v>
      </c>
      <c r="F28" s="1" t="s">
        <v>93</v>
      </c>
      <c r="G28" s="1"/>
      <c r="H28" s="1" t="s">
        <v>98</v>
      </c>
      <c r="I28" s="1" t="s">
        <v>99</v>
      </c>
      <c r="J28" s="3">
        <v>46222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05" hidden="1" x14ac:dyDescent="0.25">
      <c r="A29" s="1" t="s">
        <v>5</v>
      </c>
      <c r="B29" s="1" t="s">
        <v>50</v>
      </c>
      <c r="C29" s="1" t="s">
        <v>51</v>
      </c>
      <c r="D29" s="2" t="s">
        <v>124</v>
      </c>
      <c r="E29" s="1" t="s">
        <v>97</v>
      </c>
      <c r="F29" s="1" t="s">
        <v>93</v>
      </c>
      <c r="G29" s="1"/>
      <c r="H29" s="1" t="s">
        <v>98</v>
      </c>
      <c r="I29" s="1" t="s">
        <v>99</v>
      </c>
      <c r="J29" s="3">
        <v>46222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30" hidden="1" x14ac:dyDescent="0.25">
      <c r="A30" s="1" t="s">
        <v>125</v>
      </c>
      <c r="B30" s="1" t="s">
        <v>126</v>
      </c>
      <c r="C30" s="1" t="s">
        <v>127</v>
      </c>
      <c r="D30" s="2" t="s">
        <v>128</v>
      </c>
      <c r="E30" s="1" t="s">
        <v>97</v>
      </c>
      <c r="F30" s="1" t="s">
        <v>129</v>
      </c>
      <c r="G30" s="1"/>
      <c r="H30" s="1" t="s">
        <v>94</v>
      </c>
      <c r="I30" s="1"/>
      <c r="J30" s="5">
        <v>46224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30" hidden="1" x14ac:dyDescent="0.25">
      <c r="A31" s="1" t="s">
        <v>125</v>
      </c>
      <c r="B31" s="1" t="s">
        <v>130</v>
      </c>
      <c r="C31" s="1" t="s">
        <v>131</v>
      </c>
      <c r="D31" s="2" t="s">
        <v>128</v>
      </c>
      <c r="E31" s="1" t="s">
        <v>97</v>
      </c>
      <c r="F31" s="1" t="s">
        <v>129</v>
      </c>
      <c r="G31" s="1"/>
      <c r="H31" s="1" t="s">
        <v>94</v>
      </c>
      <c r="I31" s="1"/>
      <c r="J31" s="5">
        <v>46224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30" hidden="1" x14ac:dyDescent="0.25">
      <c r="A32" s="1" t="s">
        <v>125</v>
      </c>
      <c r="B32" s="1" t="s">
        <v>132</v>
      </c>
      <c r="C32" s="1" t="s">
        <v>133</v>
      </c>
      <c r="D32" s="2" t="s">
        <v>128</v>
      </c>
      <c r="E32" s="1" t="s">
        <v>97</v>
      </c>
      <c r="F32" s="1" t="s">
        <v>129</v>
      </c>
      <c r="G32" s="1"/>
      <c r="H32" s="1" t="s">
        <v>94</v>
      </c>
      <c r="I32" s="1"/>
      <c r="J32" s="5">
        <v>46224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30" hidden="1" x14ac:dyDescent="0.25">
      <c r="A33" s="1" t="s">
        <v>125</v>
      </c>
      <c r="B33" s="1" t="s">
        <v>134</v>
      </c>
      <c r="C33" s="1" t="s">
        <v>135</v>
      </c>
      <c r="D33" s="2" t="s">
        <v>128</v>
      </c>
      <c r="E33" s="1" t="s">
        <v>97</v>
      </c>
      <c r="F33" s="1" t="s">
        <v>129</v>
      </c>
      <c r="G33" s="1"/>
      <c r="H33" s="1" t="s">
        <v>94</v>
      </c>
      <c r="I33" s="1"/>
      <c r="J33" s="5">
        <v>46224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30" hidden="1" x14ac:dyDescent="0.25">
      <c r="A34" s="1" t="s">
        <v>125</v>
      </c>
      <c r="B34" s="1" t="s">
        <v>136</v>
      </c>
      <c r="C34" s="1" t="s">
        <v>137</v>
      </c>
      <c r="D34" s="2" t="s">
        <v>128</v>
      </c>
      <c r="E34" s="1" t="s">
        <v>97</v>
      </c>
      <c r="F34" s="1" t="s">
        <v>129</v>
      </c>
      <c r="G34" s="1"/>
      <c r="H34" s="1" t="s">
        <v>94</v>
      </c>
      <c r="I34" s="1"/>
      <c r="J34" s="5">
        <v>46224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30" hidden="1" x14ac:dyDescent="0.25">
      <c r="A35" s="1" t="s">
        <v>125</v>
      </c>
      <c r="B35" s="1" t="s">
        <v>138</v>
      </c>
      <c r="C35" s="1" t="s">
        <v>139</v>
      </c>
      <c r="D35" s="2" t="s">
        <v>128</v>
      </c>
      <c r="E35" s="1" t="s">
        <v>97</v>
      </c>
      <c r="F35" s="1" t="s">
        <v>129</v>
      </c>
      <c r="G35" s="1"/>
      <c r="H35" s="1" t="s">
        <v>94</v>
      </c>
      <c r="I35" s="1"/>
      <c r="J35" s="5">
        <v>46224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30" hidden="1" x14ac:dyDescent="0.25">
      <c r="A36" s="1" t="s">
        <v>125</v>
      </c>
      <c r="B36" s="1" t="s">
        <v>40</v>
      </c>
      <c r="C36" s="1" t="s">
        <v>140</v>
      </c>
      <c r="D36" s="2" t="s">
        <v>128</v>
      </c>
      <c r="E36" s="1" t="s">
        <v>97</v>
      </c>
      <c r="F36" s="1" t="s">
        <v>129</v>
      </c>
      <c r="G36" s="1"/>
      <c r="H36" s="1" t="s">
        <v>94</v>
      </c>
      <c r="I36" s="1"/>
      <c r="J36" s="5">
        <v>46224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30" hidden="1" x14ac:dyDescent="0.25">
      <c r="A37" s="1" t="s">
        <v>125</v>
      </c>
      <c r="B37" s="1" t="s">
        <v>141</v>
      </c>
      <c r="C37" s="1" t="s">
        <v>142</v>
      </c>
      <c r="D37" s="2" t="s">
        <v>128</v>
      </c>
      <c r="E37" s="1" t="s">
        <v>97</v>
      </c>
      <c r="F37" s="1" t="s">
        <v>129</v>
      </c>
      <c r="G37" s="1"/>
      <c r="H37" s="1" t="s">
        <v>94</v>
      </c>
      <c r="I37" s="1"/>
      <c r="J37" s="5">
        <v>46224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30" hidden="1" x14ac:dyDescent="0.25">
      <c r="A38" s="1" t="s">
        <v>125</v>
      </c>
      <c r="B38" s="1" t="s">
        <v>143</v>
      </c>
      <c r="C38" s="1" t="s">
        <v>144</v>
      </c>
      <c r="D38" s="2" t="s">
        <v>128</v>
      </c>
      <c r="E38" s="1" t="s">
        <v>97</v>
      </c>
      <c r="F38" s="1" t="s">
        <v>129</v>
      </c>
      <c r="G38" s="1"/>
      <c r="H38" s="1" t="s">
        <v>94</v>
      </c>
      <c r="I38" s="1"/>
      <c r="J38" s="5">
        <v>46224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30" hidden="1" x14ac:dyDescent="0.25">
      <c r="A39" s="1" t="s">
        <v>125</v>
      </c>
      <c r="B39" s="1" t="s">
        <v>145</v>
      </c>
      <c r="C39" s="1" t="s">
        <v>146</v>
      </c>
      <c r="D39" s="2" t="s">
        <v>128</v>
      </c>
      <c r="E39" s="1" t="s">
        <v>97</v>
      </c>
      <c r="F39" s="1" t="s">
        <v>129</v>
      </c>
      <c r="G39" s="1"/>
      <c r="H39" s="1" t="s">
        <v>94</v>
      </c>
      <c r="I39" s="1"/>
      <c r="J39" s="5">
        <v>46224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30" hidden="1" x14ac:dyDescent="0.25">
      <c r="A40" s="1" t="s">
        <v>125</v>
      </c>
      <c r="B40" s="1" t="s">
        <v>58</v>
      </c>
      <c r="C40" s="1" t="s">
        <v>147</v>
      </c>
      <c r="D40" s="2" t="s">
        <v>128</v>
      </c>
      <c r="E40" s="1" t="s">
        <v>97</v>
      </c>
      <c r="F40" s="1" t="s">
        <v>129</v>
      </c>
      <c r="G40" s="1"/>
      <c r="H40" s="1" t="s">
        <v>94</v>
      </c>
      <c r="I40" s="1"/>
      <c r="J40" s="5">
        <v>46224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30" hidden="1" x14ac:dyDescent="0.25">
      <c r="A41" s="1" t="s">
        <v>125</v>
      </c>
      <c r="B41" s="1" t="s">
        <v>148</v>
      </c>
      <c r="C41" s="1" t="s">
        <v>149</v>
      </c>
      <c r="D41" s="2" t="s">
        <v>128</v>
      </c>
      <c r="E41" s="1" t="s">
        <v>97</v>
      </c>
      <c r="F41" s="1" t="s">
        <v>129</v>
      </c>
      <c r="G41" s="1"/>
      <c r="H41" s="1" t="s">
        <v>94</v>
      </c>
      <c r="I41" s="1"/>
      <c r="J41" s="5">
        <v>46224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30" hidden="1" x14ac:dyDescent="0.25">
      <c r="A42" s="1" t="s">
        <v>125</v>
      </c>
      <c r="B42" s="1" t="s">
        <v>150</v>
      </c>
      <c r="C42" s="1" t="s">
        <v>151</v>
      </c>
      <c r="D42" s="2" t="s">
        <v>128</v>
      </c>
      <c r="E42" s="1" t="s">
        <v>97</v>
      </c>
      <c r="F42" s="1" t="s">
        <v>129</v>
      </c>
      <c r="G42" s="1"/>
      <c r="H42" s="1" t="s">
        <v>94</v>
      </c>
      <c r="I42" s="1"/>
      <c r="J42" s="5">
        <v>46224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30" hidden="1" x14ac:dyDescent="0.25">
      <c r="A43" s="1" t="s">
        <v>125</v>
      </c>
      <c r="B43" s="1" t="s">
        <v>152</v>
      </c>
      <c r="C43" s="1" t="s">
        <v>153</v>
      </c>
      <c r="D43" s="2" t="s">
        <v>128</v>
      </c>
      <c r="E43" s="1" t="s">
        <v>97</v>
      </c>
      <c r="F43" s="1" t="s">
        <v>129</v>
      </c>
      <c r="G43" s="1"/>
      <c r="H43" s="1" t="s">
        <v>94</v>
      </c>
      <c r="I43" s="1"/>
      <c r="J43" s="5">
        <v>46224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30" hidden="1" x14ac:dyDescent="0.25">
      <c r="A44" s="1" t="s">
        <v>125</v>
      </c>
      <c r="B44" s="1" t="s">
        <v>154</v>
      </c>
      <c r="C44" s="1" t="s">
        <v>155</v>
      </c>
      <c r="D44" s="2" t="s">
        <v>128</v>
      </c>
      <c r="E44" s="1" t="s">
        <v>97</v>
      </c>
      <c r="F44" s="1" t="s">
        <v>129</v>
      </c>
      <c r="G44" s="1"/>
      <c r="H44" s="1" t="s">
        <v>94</v>
      </c>
      <c r="I44" s="1"/>
      <c r="J44" s="5">
        <v>46224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30" hidden="1" x14ac:dyDescent="0.25">
      <c r="A45" s="1" t="s">
        <v>125</v>
      </c>
      <c r="B45" s="1" t="s">
        <v>64</v>
      </c>
      <c r="C45" s="1" t="s">
        <v>156</v>
      </c>
      <c r="D45" s="2" t="s">
        <v>128</v>
      </c>
      <c r="E45" s="1" t="s">
        <v>97</v>
      </c>
      <c r="F45" s="1" t="s">
        <v>129</v>
      </c>
      <c r="G45" s="1"/>
      <c r="H45" s="1" t="s">
        <v>94</v>
      </c>
      <c r="I45" s="1"/>
      <c r="J45" s="5">
        <v>46224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30" hidden="1" x14ac:dyDescent="0.25">
      <c r="A46" s="1" t="s">
        <v>125</v>
      </c>
      <c r="B46" s="1" t="s">
        <v>157</v>
      </c>
      <c r="C46" s="1" t="s">
        <v>158</v>
      </c>
      <c r="D46" s="2" t="s">
        <v>128</v>
      </c>
      <c r="E46" s="1" t="s">
        <v>97</v>
      </c>
      <c r="F46" s="1" t="s">
        <v>129</v>
      </c>
      <c r="G46" s="1"/>
      <c r="H46" s="1" t="s">
        <v>94</v>
      </c>
      <c r="I46" s="1"/>
      <c r="J46" s="5">
        <v>46224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30" hidden="1" x14ac:dyDescent="0.25">
      <c r="A47" s="1" t="s">
        <v>125</v>
      </c>
      <c r="B47" s="1" t="s">
        <v>159</v>
      </c>
      <c r="C47" s="1" t="s">
        <v>160</v>
      </c>
      <c r="D47" s="2" t="s">
        <v>128</v>
      </c>
      <c r="E47" s="1" t="s">
        <v>97</v>
      </c>
      <c r="F47" s="1" t="s">
        <v>129</v>
      </c>
      <c r="G47" s="1"/>
      <c r="H47" s="1" t="s">
        <v>94</v>
      </c>
      <c r="I47" s="1"/>
      <c r="J47" s="5">
        <v>46224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30" hidden="1" x14ac:dyDescent="0.25">
      <c r="A48" s="1" t="s">
        <v>125</v>
      </c>
      <c r="B48" s="1" t="s">
        <v>161</v>
      </c>
      <c r="C48" s="1" t="s">
        <v>162</v>
      </c>
      <c r="D48" s="2" t="s">
        <v>128</v>
      </c>
      <c r="E48" s="1" t="s">
        <v>97</v>
      </c>
      <c r="F48" s="1" t="s">
        <v>129</v>
      </c>
      <c r="G48" s="1"/>
      <c r="H48" s="1" t="s">
        <v>94</v>
      </c>
      <c r="I48" s="1"/>
      <c r="J48" s="5">
        <v>46224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30" hidden="1" x14ac:dyDescent="0.25">
      <c r="A49" s="1" t="s">
        <v>125</v>
      </c>
      <c r="B49" s="1" t="s">
        <v>163</v>
      </c>
      <c r="C49" s="1" t="s">
        <v>164</v>
      </c>
      <c r="D49" s="2" t="s">
        <v>128</v>
      </c>
      <c r="E49" s="1" t="s">
        <v>97</v>
      </c>
      <c r="F49" s="1" t="s">
        <v>129</v>
      </c>
      <c r="G49" s="1"/>
      <c r="H49" s="1" t="s">
        <v>94</v>
      </c>
      <c r="I49" s="1"/>
      <c r="J49" s="5">
        <v>46224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45" x14ac:dyDescent="0.25">
      <c r="A50" s="1" t="s">
        <v>63</v>
      </c>
      <c r="B50" s="11" t="s">
        <v>65</v>
      </c>
      <c r="C50" s="1" t="s">
        <v>165</v>
      </c>
      <c r="D50" s="4" t="s">
        <v>166</v>
      </c>
      <c r="E50" s="1" t="s">
        <v>97</v>
      </c>
      <c r="F50" s="1" t="s">
        <v>167</v>
      </c>
      <c r="G50" s="1"/>
      <c r="H50" s="1" t="s">
        <v>94</v>
      </c>
      <c r="I50" s="1"/>
      <c r="J50" s="3">
        <v>46225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45" x14ac:dyDescent="0.25">
      <c r="A51" s="1" t="s">
        <v>63</v>
      </c>
      <c r="B51" s="1" t="s">
        <v>58</v>
      </c>
      <c r="C51" s="1" t="s">
        <v>168</v>
      </c>
      <c r="D51" s="4" t="s">
        <v>166</v>
      </c>
      <c r="E51" s="1" t="s">
        <v>97</v>
      </c>
      <c r="F51" s="1" t="s">
        <v>167</v>
      </c>
      <c r="G51" s="1"/>
      <c r="H51" s="1" t="s">
        <v>94</v>
      </c>
      <c r="I51" s="1"/>
      <c r="J51" s="3">
        <v>46225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45" x14ac:dyDescent="0.25">
      <c r="A52" s="1" t="s">
        <v>63</v>
      </c>
      <c r="B52" s="1" t="s">
        <v>64</v>
      </c>
      <c r="C52" s="1" t="s">
        <v>169</v>
      </c>
      <c r="D52" s="4" t="s">
        <v>166</v>
      </c>
      <c r="E52" s="1" t="s">
        <v>97</v>
      </c>
      <c r="F52" s="1" t="s">
        <v>167</v>
      </c>
      <c r="G52" s="1"/>
      <c r="H52" s="1" t="s">
        <v>94</v>
      </c>
      <c r="I52" s="1"/>
      <c r="J52" s="3">
        <v>46225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45" x14ac:dyDescent="0.25">
      <c r="A53" s="1" t="s">
        <v>63</v>
      </c>
      <c r="B53" s="1" t="s">
        <v>70</v>
      </c>
      <c r="C53" s="1" t="s">
        <v>170</v>
      </c>
      <c r="D53" s="4" t="s">
        <v>166</v>
      </c>
      <c r="E53" s="1" t="s">
        <v>97</v>
      </c>
      <c r="F53" s="1" t="s">
        <v>167</v>
      </c>
      <c r="G53" s="1"/>
      <c r="H53" s="1" t="s">
        <v>94</v>
      </c>
      <c r="I53" s="1"/>
      <c r="J53" s="3">
        <v>46225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45" x14ac:dyDescent="0.25">
      <c r="A54" s="1" t="s">
        <v>63</v>
      </c>
      <c r="B54" s="1" t="s">
        <v>14</v>
      </c>
      <c r="C54" s="1" t="s">
        <v>171</v>
      </c>
      <c r="D54" s="4" t="s">
        <v>166</v>
      </c>
      <c r="E54" s="1" t="s">
        <v>97</v>
      </c>
      <c r="F54" s="1" t="s">
        <v>167</v>
      </c>
      <c r="G54" s="1"/>
      <c r="H54" s="1" t="s">
        <v>94</v>
      </c>
      <c r="I54" s="1"/>
      <c r="J54" s="3">
        <v>46225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45" x14ac:dyDescent="0.25">
      <c r="A55" s="1" t="s">
        <v>63</v>
      </c>
      <c r="B55" s="11" t="s">
        <v>77</v>
      </c>
      <c r="C55" s="1" t="s">
        <v>172</v>
      </c>
      <c r="D55" s="4" t="s">
        <v>166</v>
      </c>
      <c r="E55" s="1" t="s">
        <v>97</v>
      </c>
      <c r="F55" s="1" t="s">
        <v>167</v>
      </c>
      <c r="G55" s="1"/>
      <c r="H55" s="1" t="s">
        <v>94</v>
      </c>
      <c r="I55" s="1"/>
      <c r="J55" s="3">
        <v>46225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45" x14ac:dyDescent="0.25">
      <c r="A56" s="1" t="s">
        <v>63</v>
      </c>
      <c r="B56" s="1" t="s">
        <v>76</v>
      </c>
      <c r="C56" s="1" t="s">
        <v>173</v>
      </c>
      <c r="D56" s="4" t="s">
        <v>166</v>
      </c>
      <c r="E56" s="1" t="s">
        <v>97</v>
      </c>
      <c r="F56" s="1" t="s">
        <v>167</v>
      </c>
      <c r="G56" s="1"/>
      <c r="H56" s="1" t="s">
        <v>94</v>
      </c>
      <c r="I56" s="1"/>
      <c r="J56" s="3">
        <v>46225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45" x14ac:dyDescent="0.25">
      <c r="A57" s="1" t="s">
        <v>63</v>
      </c>
      <c r="B57" s="1" t="s">
        <v>74</v>
      </c>
      <c r="C57" s="1" t="s">
        <v>174</v>
      </c>
      <c r="D57" s="4" t="s">
        <v>166</v>
      </c>
      <c r="E57" s="1" t="s">
        <v>97</v>
      </c>
      <c r="F57" s="1" t="s">
        <v>167</v>
      </c>
      <c r="G57" s="1"/>
      <c r="H57" s="1" t="s">
        <v>94</v>
      </c>
      <c r="I57" s="1"/>
      <c r="J57" s="3">
        <v>46225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45" x14ac:dyDescent="0.25">
      <c r="A58" s="1" t="s">
        <v>63</v>
      </c>
      <c r="B58" s="1" t="s">
        <v>67</v>
      </c>
      <c r="C58" s="1" t="s">
        <v>175</v>
      </c>
      <c r="D58" s="4" t="s">
        <v>166</v>
      </c>
      <c r="E58" s="1" t="s">
        <v>97</v>
      </c>
      <c r="F58" s="1" t="s">
        <v>167</v>
      </c>
      <c r="G58" s="1"/>
      <c r="H58" s="1" t="s">
        <v>94</v>
      </c>
      <c r="I58" s="1"/>
      <c r="J58" s="3">
        <v>46225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45" x14ac:dyDescent="0.25">
      <c r="A59" s="1" t="s">
        <v>63</v>
      </c>
      <c r="B59" s="11" t="s">
        <v>78</v>
      </c>
      <c r="C59" s="1" t="s">
        <v>176</v>
      </c>
      <c r="D59" s="4" t="s">
        <v>166</v>
      </c>
      <c r="E59" s="1" t="s">
        <v>97</v>
      </c>
      <c r="F59" s="1" t="s">
        <v>167</v>
      </c>
      <c r="G59" s="1"/>
      <c r="H59" s="1" t="s">
        <v>94</v>
      </c>
      <c r="I59" s="1"/>
      <c r="J59" s="3">
        <v>46225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45" x14ac:dyDescent="0.25">
      <c r="A60" s="1" t="s">
        <v>63</v>
      </c>
      <c r="B60" s="1" t="s">
        <v>81</v>
      </c>
      <c r="C60" s="1" t="s">
        <v>177</v>
      </c>
      <c r="D60" s="4" t="s">
        <v>166</v>
      </c>
      <c r="E60" s="1" t="s">
        <v>97</v>
      </c>
      <c r="F60" s="1" t="s">
        <v>167</v>
      </c>
      <c r="G60" s="1"/>
      <c r="H60" s="1" t="s">
        <v>94</v>
      </c>
      <c r="I60" s="1"/>
      <c r="J60" s="3">
        <v>46225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45" x14ac:dyDescent="0.25">
      <c r="A61" s="1" t="s">
        <v>63</v>
      </c>
      <c r="B61" s="1" t="s">
        <v>79</v>
      </c>
      <c r="C61" s="1" t="s">
        <v>178</v>
      </c>
      <c r="D61" s="4" t="s">
        <v>166</v>
      </c>
      <c r="E61" s="1" t="s">
        <v>97</v>
      </c>
      <c r="F61" s="1" t="s">
        <v>167</v>
      </c>
      <c r="G61" s="1"/>
      <c r="H61" s="1" t="s">
        <v>94</v>
      </c>
      <c r="I61" s="1"/>
      <c r="J61" s="3">
        <v>46225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45" x14ac:dyDescent="0.25">
      <c r="A62" s="1" t="s">
        <v>63</v>
      </c>
      <c r="B62" s="11" t="s">
        <v>80</v>
      </c>
      <c r="C62" s="1" t="s">
        <v>179</v>
      </c>
      <c r="D62" s="4" t="s">
        <v>166</v>
      </c>
      <c r="E62" s="1" t="s">
        <v>97</v>
      </c>
      <c r="F62" s="1" t="s">
        <v>167</v>
      </c>
      <c r="G62" s="1"/>
      <c r="H62" s="1" t="s">
        <v>94</v>
      </c>
      <c r="I62" s="1"/>
      <c r="J62" s="3">
        <v>46225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45" x14ac:dyDescent="0.25">
      <c r="A63" s="1" t="s">
        <v>63</v>
      </c>
      <c r="B63" s="1" t="s">
        <v>66</v>
      </c>
      <c r="C63" s="1" t="s">
        <v>180</v>
      </c>
      <c r="D63" s="4" t="s">
        <v>166</v>
      </c>
      <c r="E63" s="1" t="s">
        <v>97</v>
      </c>
      <c r="F63" s="1" t="s">
        <v>167</v>
      </c>
      <c r="G63" s="1"/>
      <c r="H63" s="1" t="s">
        <v>94</v>
      </c>
      <c r="I63" s="1"/>
      <c r="J63" s="3">
        <v>46225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45" x14ac:dyDescent="0.25">
      <c r="A64" s="1" t="s">
        <v>63</v>
      </c>
      <c r="B64" s="1" t="s">
        <v>73</v>
      </c>
      <c r="C64" s="1" t="s">
        <v>181</v>
      </c>
      <c r="D64" s="4" t="s">
        <v>166</v>
      </c>
      <c r="E64" s="1" t="s">
        <v>97</v>
      </c>
      <c r="F64" s="1" t="s">
        <v>167</v>
      </c>
      <c r="G64" s="1"/>
      <c r="H64" s="1" t="s">
        <v>94</v>
      </c>
      <c r="I64" s="1"/>
      <c r="J64" s="3">
        <v>46225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45" x14ac:dyDescent="0.25">
      <c r="A65" s="1" t="s">
        <v>63</v>
      </c>
      <c r="B65" s="1" t="s">
        <v>72</v>
      </c>
      <c r="C65" s="1" t="s">
        <v>182</v>
      </c>
      <c r="D65" s="4" t="s">
        <v>166</v>
      </c>
      <c r="E65" s="1" t="s">
        <v>97</v>
      </c>
      <c r="F65" s="1" t="s">
        <v>167</v>
      </c>
      <c r="G65" s="1"/>
      <c r="H65" s="1" t="s">
        <v>94</v>
      </c>
      <c r="I65" s="1"/>
      <c r="J65" s="3">
        <v>46225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45" x14ac:dyDescent="0.25">
      <c r="A66" s="1" t="s">
        <v>63</v>
      </c>
      <c r="B66" s="1" t="s">
        <v>68</v>
      </c>
      <c r="C66" s="1" t="s">
        <v>183</v>
      </c>
      <c r="D66" s="4" t="s">
        <v>166</v>
      </c>
      <c r="E66" s="1" t="s">
        <v>97</v>
      </c>
      <c r="F66" s="1" t="s">
        <v>167</v>
      </c>
      <c r="G66" s="1"/>
      <c r="H66" s="1" t="s">
        <v>94</v>
      </c>
      <c r="I66" s="1"/>
      <c r="J66" s="3">
        <v>46225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45" x14ac:dyDescent="0.25">
      <c r="A67" s="1" t="s">
        <v>63</v>
      </c>
      <c r="B67" s="11" t="s">
        <v>38</v>
      </c>
      <c r="C67" s="1" t="s">
        <v>184</v>
      </c>
      <c r="D67" s="4" t="s">
        <v>166</v>
      </c>
      <c r="E67" s="1" t="s">
        <v>97</v>
      </c>
      <c r="F67" s="1" t="s">
        <v>167</v>
      </c>
      <c r="G67" s="1"/>
      <c r="H67" s="1" t="s">
        <v>94</v>
      </c>
      <c r="I67" s="1"/>
      <c r="J67" s="3">
        <v>46225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45" x14ac:dyDescent="0.25">
      <c r="A68" s="1" t="s">
        <v>63</v>
      </c>
      <c r="B68" s="11" t="s">
        <v>71</v>
      </c>
      <c r="C68" s="1" t="s">
        <v>185</v>
      </c>
      <c r="D68" s="4" t="s">
        <v>166</v>
      </c>
      <c r="E68" s="1" t="s">
        <v>97</v>
      </c>
      <c r="F68" s="1" t="s">
        <v>167</v>
      </c>
      <c r="G68" s="1"/>
      <c r="H68" s="1" t="s">
        <v>94</v>
      </c>
      <c r="I68" s="1"/>
      <c r="J68" s="3">
        <v>46225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45" x14ac:dyDescent="0.25">
      <c r="A69" s="1" t="s">
        <v>63</v>
      </c>
      <c r="B69" s="11" t="s">
        <v>75</v>
      </c>
      <c r="C69" s="1" t="s">
        <v>186</v>
      </c>
      <c r="D69" s="4" t="s">
        <v>166</v>
      </c>
      <c r="E69" s="1" t="s">
        <v>97</v>
      </c>
      <c r="F69" s="1" t="s">
        <v>167</v>
      </c>
      <c r="G69" s="1"/>
      <c r="H69" s="1" t="s">
        <v>94</v>
      </c>
      <c r="I69" s="1"/>
      <c r="J69" s="3">
        <v>46225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45" x14ac:dyDescent="0.25">
      <c r="A70" s="1" t="s">
        <v>63</v>
      </c>
      <c r="B70" s="1" t="s">
        <v>69</v>
      </c>
      <c r="C70" s="1" t="s">
        <v>187</v>
      </c>
      <c r="D70" s="4" t="s">
        <v>166</v>
      </c>
      <c r="E70" s="1" t="s">
        <v>97</v>
      </c>
      <c r="F70" s="1" t="s">
        <v>167</v>
      </c>
      <c r="G70" s="1"/>
      <c r="H70" s="1" t="s">
        <v>94</v>
      </c>
      <c r="I70" s="1"/>
      <c r="J70" s="3">
        <v>46225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45" x14ac:dyDescent="0.25">
      <c r="A71" s="1" t="s">
        <v>63</v>
      </c>
      <c r="B71" s="11" t="s">
        <v>52</v>
      </c>
      <c r="C71" s="1" t="s">
        <v>188</v>
      </c>
      <c r="D71" s="4" t="s">
        <v>166</v>
      </c>
      <c r="E71" s="1" t="s">
        <v>97</v>
      </c>
      <c r="F71" s="1" t="s">
        <v>167</v>
      </c>
      <c r="G71" s="1"/>
      <c r="H71" s="1" t="s">
        <v>94</v>
      </c>
      <c r="I71" s="1"/>
      <c r="J71" s="3">
        <v>46225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idden="1" x14ac:dyDescent="0.25">
      <c r="A72" s="1"/>
      <c r="B72" s="1"/>
      <c r="C72" s="1"/>
      <c r="D72" s="1"/>
      <c r="E72" s="1"/>
      <c r="F72" s="1"/>
      <c r="G72" s="1"/>
      <c r="H72" s="1"/>
      <c r="I72" s="1"/>
      <c r="J72" s="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idden="1" x14ac:dyDescent="0.25">
      <c r="A73" s="1"/>
      <c r="B73" s="1"/>
      <c r="C73" s="1"/>
      <c r="D73" s="1"/>
      <c r="E73" s="1"/>
      <c r="F73" s="1"/>
      <c r="G73" s="1"/>
      <c r="H73" s="1"/>
      <c r="I73" s="1"/>
      <c r="J73" s="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idden="1" x14ac:dyDescent="0.25">
      <c r="A74" s="1"/>
      <c r="B74" s="1"/>
      <c r="C74" s="1"/>
      <c r="D74" s="1"/>
      <c r="E74" s="1"/>
      <c r="F74" s="1"/>
      <c r="G74" s="1"/>
      <c r="H74" s="1"/>
      <c r="I74" s="1"/>
      <c r="J74" s="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idden="1" x14ac:dyDescent="0.25">
      <c r="A75" s="1"/>
      <c r="B75" s="1"/>
      <c r="C75" s="1"/>
      <c r="D75" s="1"/>
      <c r="E75" s="1"/>
      <c r="F75" s="1"/>
      <c r="G75" s="1"/>
      <c r="H75" s="1"/>
      <c r="I75" s="1"/>
      <c r="J75" s="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idden="1" x14ac:dyDescent="0.25">
      <c r="A76" s="1"/>
      <c r="B76" s="1"/>
      <c r="C76" s="1"/>
      <c r="D76" s="1"/>
      <c r="E76" s="1"/>
      <c r="F76" s="1"/>
      <c r="G76" s="1"/>
      <c r="H76" s="1"/>
      <c r="I76" s="1"/>
      <c r="J76" s="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idden="1" x14ac:dyDescent="0.25">
      <c r="A77" s="1"/>
      <c r="B77" s="1"/>
      <c r="C77" s="1"/>
      <c r="D77" s="1"/>
      <c r="E77" s="1"/>
      <c r="F77" s="1"/>
      <c r="G77" s="1"/>
      <c r="H77" s="1"/>
      <c r="I77" s="1"/>
      <c r="J77" s="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idden="1" x14ac:dyDescent="0.25">
      <c r="A78" s="1"/>
      <c r="B78" s="1"/>
      <c r="C78" s="1"/>
      <c r="D78" s="1"/>
      <c r="E78" s="1"/>
      <c r="F78" s="1"/>
      <c r="G78" s="1"/>
      <c r="H78" s="1"/>
      <c r="I78" s="1"/>
      <c r="J78" s="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idden="1" x14ac:dyDescent="0.25">
      <c r="A79" s="1"/>
      <c r="B79" s="1"/>
      <c r="C79" s="1"/>
      <c r="D79" s="1"/>
      <c r="E79" s="1"/>
      <c r="F79" s="1"/>
      <c r="G79" s="1"/>
      <c r="H79" s="1"/>
      <c r="I79" s="1"/>
      <c r="J79" s="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idden="1" x14ac:dyDescent="0.25">
      <c r="A80" s="1"/>
      <c r="B80" s="1"/>
      <c r="C80" s="1"/>
      <c r="D80" s="1"/>
      <c r="E80" s="1"/>
      <c r="F80" s="1"/>
      <c r="G80" s="1"/>
      <c r="H80" s="1"/>
      <c r="I80" s="1"/>
      <c r="J80" s="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idden="1" x14ac:dyDescent="0.25">
      <c r="A81" s="1"/>
      <c r="B81" s="1"/>
      <c r="C81" s="1"/>
      <c r="D81" s="1"/>
      <c r="E81" s="1"/>
      <c r="F81" s="1"/>
      <c r="G81" s="1"/>
      <c r="H81" s="1"/>
      <c r="I81" s="1"/>
      <c r="J81" s="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idden="1" x14ac:dyDescent="0.25">
      <c r="A82" s="1"/>
      <c r="B82" s="1"/>
      <c r="C82" s="1"/>
      <c r="D82" s="1"/>
      <c r="E82" s="1"/>
      <c r="F82" s="1"/>
      <c r="G82" s="1"/>
      <c r="H82" s="1"/>
      <c r="I82" s="1"/>
      <c r="J82" s="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idden="1" x14ac:dyDescent="0.25">
      <c r="A83" s="1"/>
      <c r="B83" s="1"/>
      <c r="C83" s="1"/>
      <c r="D83" s="1"/>
      <c r="E83" s="1"/>
      <c r="F83" s="1"/>
      <c r="G83" s="1"/>
      <c r="H83" s="1"/>
      <c r="I83" s="1"/>
      <c r="J83" s="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idden="1" x14ac:dyDescent="0.25">
      <c r="A84" s="1"/>
      <c r="B84" s="1"/>
      <c r="C84" s="1"/>
      <c r="D84" s="1"/>
      <c r="E84" s="1"/>
      <c r="F84" s="1"/>
      <c r="G84" s="1"/>
      <c r="H84" s="1"/>
      <c r="I84" s="1"/>
      <c r="J84" s="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idden="1" x14ac:dyDescent="0.25">
      <c r="A85" s="1"/>
      <c r="B85" s="1"/>
      <c r="C85" s="1"/>
      <c r="D85" s="1"/>
      <c r="E85" s="1"/>
      <c r="F85" s="1"/>
      <c r="G85" s="1"/>
      <c r="H85" s="1"/>
      <c r="I85" s="1"/>
      <c r="J85" s="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idden="1" x14ac:dyDescent="0.25">
      <c r="A86" s="1"/>
      <c r="B86" s="1"/>
      <c r="C86" s="1"/>
      <c r="D86" s="1"/>
      <c r="E86" s="1"/>
      <c r="F86" s="1"/>
      <c r="G86" s="1"/>
      <c r="H86" s="1"/>
      <c r="I86" s="1"/>
      <c r="J86" s="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idden="1" x14ac:dyDescent="0.25">
      <c r="A87" s="1"/>
      <c r="B87" s="1"/>
      <c r="C87" s="1"/>
      <c r="D87" s="1"/>
      <c r="E87" s="1"/>
      <c r="F87" s="1"/>
      <c r="G87" s="1"/>
      <c r="H87" s="1"/>
      <c r="I87" s="1"/>
      <c r="J87" s="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idden="1" x14ac:dyDescent="0.25">
      <c r="A88" s="1"/>
      <c r="B88" s="1"/>
      <c r="C88" s="1"/>
      <c r="D88" s="1"/>
      <c r="E88" s="1"/>
      <c r="F88" s="1"/>
      <c r="G88" s="1"/>
      <c r="H88" s="1"/>
      <c r="I88" s="1"/>
      <c r="J88" s="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idden="1" x14ac:dyDescent="0.25">
      <c r="A89" s="1"/>
      <c r="B89" s="1"/>
      <c r="C89" s="1"/>
      <c r="D89" s="1"/>
      <c r="E89" s="1"/>
      <c r="F89" s="1"/>
      <c r="G89" s="1"/>
      <c r="H89" s="1"/>
      <c r="I89" s="1"/>
      <c r="J89" s="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idden="1" x14ac:dyDescent="0.25">
      <c r="A90" s="1"/>
      <c r="B90" s="1"/>
      <c r="C90" s="1"/>
      <c r="D90" s="1"/>
      <c r="E90" s="1"/>
      <c r="F90" s="1"/>
      <c r="G90" s="1"/>
      <c r="H90" s="1"/>
      <c r="I90" s="1"/>
      <c r="J90" s="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idden="1" x14ac:dyDescent="0.25">
      <c r="A91" s="1"/>
      <c r="B91" s="1"/>
      <c r="C91" s="1"/>
      <c r="D91" s="1"/>
      <c r="E91" s="1"/>
      <c r="F91" s="1"/>
      <c r="G91" s="1"/>
      <c r="H91" s="1"/>
      <c r="I91" s="1"/>
      <c r="J91" s="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idden="1" x14ac:dyDescent="0.25">
      <c r="A92" s="1"/>
      <c r="B92" s="1"/>
      <c r="C92" s="1"/>
      <c r="D92" s="1"/>
      <c r="E92" s="1"/>
      <c r="F92" s="1"/>
      <c r="G92" s="1"/>
      <c r="H92" s="1"/>
      <c r="I92" s="1"/>
      <c r="J92" s="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idden="1" x14ac:dyDescent="0.25">
      <c r="A93" s="1"/>
      <c r="B93" s="1"/>
      <c r="C93" s="1"/>
      <c r="D93" s="1"/>
      <c r="E93" s="1"/>
      <c r="F93" s="1"/>
      <c r="G93" s="1"/>
      <c r="H93" s="1"/>
      <c r="I93" s="1"/>
      <c r="J93" s="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idden="1" x14ac:dyDescent="0.25">
      <c r="A94" s="1"/>
      <c r="B94" s="1"/>
      <c r="C94" s="1"/>
      <c r="D94" s="1"/>
      <c r="E94" s="1"/>
      <c r="F94" s="1"/>
      <c r="G94" s="1"/>
      <c r="H94" s="1"/>
      <c r="I94" s="1"/>
      <c r="J94" s="3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idden="1" x14ac:dyDescent="0.25">
      <c r="A95" s="1"/>
      <c r="B95" s="1"/>
      <c r="C95" s="1"/>
      <c r="D95" s="1"/>
      <c r="E95" s="1"/>
      <c r="F95" s="1"/>
      <c r="G95" s="1"/>
      <c r="H95" s="1"/>
      <c r="I95" s="1"/>
      <c r="J95" s="3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idden="1" x14ac:dyDescent="0.25">
      <c r="A96" s="1"/>
      <c r="B96" s="1"/>
      <c r="C96" s="1"/>
      <c r="D96" s="1"/>
      <c r="E96" s="1"/>
      <c r="F96" s="1"/>
      <c r="G96" s="1"/>
      <c r="H96" s="1"/>
      <c r="I96" s="1"/>
      <c r="J96" s="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idden="1" x14ac:dyDescent="0.25">
      <c r="A97" s="1"/>
      <c r="B97" s="1"/>
      <c r="C97" s="1"/>
      <c r="D97" s="1"/>
      <c r="E97" s="1"/>
      <c r="F97" s="1"/>
      <c r="G97" s="1"/>
      <c r="H97" s="1"/>
      <c r="I97" s="1"/>
      <c r="J97" s="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idden="1" x14ac:dyDescent="0.25">
      <c r="A98" s="1"/>
      <c r="B98" s="1"/>
      <c r="C98" s="1"/>
      <c r="D98" s="1"/>
      <c r="E98" s="1"/>
      <c r="F98" s="1"/>
      <c r="G98" s="1"/>
      <c r="H98" s="1"/>
      <c r="I98" s="1"/>
      <c r="J98" s="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idden="1" x14ac:dyDescent="0.25">
      <c r="A99" s="1"/>
      <c r="B99" s="1"/>
      <c r="C99" s="1"/>
      <c r="D99" s="1"/>
      <c r="E99" s="1"/>
      <c r="F99" s="1"/>
      <c r="G99" s="1"/>
      <c r="H99" s="1"/>
      <c r="I99" s="1"/>
      <c r="J99" s="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idden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idden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idden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idden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idden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idden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idden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idden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idden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idden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idden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idden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idden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idden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idden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idden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idden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idden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idden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3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idden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3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idden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3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idden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idden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idden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idden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idden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idden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idden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idden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idden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idden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idden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idden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idden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idden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idden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idden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idden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idden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idden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idden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idden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idden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idden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3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idden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3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idden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3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idden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3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idden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3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idden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3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idden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3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idden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3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idden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3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idden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3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idden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3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idden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3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idden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3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idden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3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idden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3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idden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3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idden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3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idden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3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idden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3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idden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3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idden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3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idden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3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idden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3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idden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3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idden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3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idden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3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idden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3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idden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3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idden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3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idden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3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idden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3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idden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3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idden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3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idden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3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idden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3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idden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3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idden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3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idden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3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idden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3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idden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3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idden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3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idden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3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idden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3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idden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3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idden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3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idden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3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idden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idden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idden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idden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3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idden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3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idden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3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idden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3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idden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3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idden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3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idden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3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idden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3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idden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3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idden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3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idden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3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idden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3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idden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3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idden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3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idden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3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idden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3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idden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3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idden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3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idden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3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idden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3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idden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3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idden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3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idden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3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idden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3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idden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3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idden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3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idden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3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idden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3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idden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3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idden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3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idden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3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idden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3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idden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3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idden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3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idden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3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idden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3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idden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3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idden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3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idden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3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idden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3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idden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3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idden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3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idden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3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idden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3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idden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3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idden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3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idden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3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idden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3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idden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3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idden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3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idden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3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idden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3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idden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3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idden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3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idden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3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idden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3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idden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3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idden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3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idden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3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idden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3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idden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3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idden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3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idden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3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idden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3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idden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3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idden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3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idden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3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idden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3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idden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3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idden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3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idden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3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idden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3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idden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3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idden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3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idden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3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idden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3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idden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3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idden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3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idden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3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idden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3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idden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3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idden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3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idden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3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idden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3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idden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3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idden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3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idden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3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idden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3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idden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3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idden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3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idden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3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idden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3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idden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3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idden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3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idden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3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idden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3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idden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3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idden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3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idden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3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idden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3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idden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3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idden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3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idden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3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idden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3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idden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3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idden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3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idden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3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idden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3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idden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3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idden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3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idden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3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idden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3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idden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3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idden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3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idden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3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idden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3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idden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3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idden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3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idden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3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idden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3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idden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3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idden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3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idden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3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idden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3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idden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3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idden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3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idden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3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idden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3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idden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3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idden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3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idden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3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idden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3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idden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3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idden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3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idden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3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idden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3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idden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3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idden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3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idden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3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idden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3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idden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3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idden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3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idden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3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idden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3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idden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3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idden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3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idden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3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idden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3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idden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3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idden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3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idden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3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idden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3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idden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3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idden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3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idden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3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idden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3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idden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3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idden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3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idden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3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idden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3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idden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3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idden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3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idden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3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idden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3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idden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3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idden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3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idden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3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idden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3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idden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3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idden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3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idden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3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idden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3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idden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3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idden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3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idden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3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idden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3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idden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3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idden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3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idden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3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idden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3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idden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3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idden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3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idden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3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idden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3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idden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3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idden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3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idden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3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idden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3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idden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3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idden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3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idden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3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idden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3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idden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3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idden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3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idden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3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idden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3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idden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3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idden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3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idden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3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idden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3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idden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3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idden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3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idden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3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idden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3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idden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3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idden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3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idden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3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idden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3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idden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3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idden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3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idden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3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idden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3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idden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3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idden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3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idden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3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idden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3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idden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3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idden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3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idden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3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idden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3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idden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3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idden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3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idden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3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idden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3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idden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3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idden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3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idden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3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idden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3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idden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3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idden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3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idden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3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idden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3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idden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3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idden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3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idden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3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idden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3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idden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3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idden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3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idden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3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idden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3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idden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3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idden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3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idden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3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idden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3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idden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3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idden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3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idden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3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idden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3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idden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3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idden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3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idden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3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idden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3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idden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3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idden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3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idden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3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idden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3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idden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3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idden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3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idden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3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idden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3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idden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3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idden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3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idden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3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idden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3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idden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3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idden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3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idden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3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idden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3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idden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3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idden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3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idden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3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idden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3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idden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3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idden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3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idden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3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idden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3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idden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3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idden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3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idden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3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idden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3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idden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3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idden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3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idden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3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idden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3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idden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3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idden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3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idden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3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idden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3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idden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3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idden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3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idden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3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idden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3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idden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3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idden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3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idden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3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idden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3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idden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3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idden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3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idden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3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idden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3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idden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3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idden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3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idden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3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idden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3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idden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3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idden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3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idden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3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idden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3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idden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3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idden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3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idden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3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idden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3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idden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3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idden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3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idden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3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idden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3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idden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3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idden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3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idden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3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idden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3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idden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3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idden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3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idden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3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idden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3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idden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3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idden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3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idden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3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idden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3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idden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3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idden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3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idden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3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idden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3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idden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3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idden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3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idden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3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idden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3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idden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3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idden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3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idden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3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idden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3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idden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3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idden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3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idden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3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idden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3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idden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3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idden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3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idden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3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idden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3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idden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3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idden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3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idden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3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idden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3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idden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3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idden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3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idden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3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idden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3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idden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3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idden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3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idden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3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idden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3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idden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3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idden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3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idden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3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idden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3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idden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3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idden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3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idden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3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idden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3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idden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3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idden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3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idden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3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idden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3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idden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3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idden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3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idden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3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idden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3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idden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3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idden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3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idden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3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idden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3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idden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3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idden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3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idden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3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idden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3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idden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3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idden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3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idden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3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idden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3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idden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3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idden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3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idden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3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idden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3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idden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3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idden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3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idden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3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idden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3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idden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3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idden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3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idden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3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idden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3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idden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3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idden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3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idden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3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idden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3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idden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3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idden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3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idden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3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idden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3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idden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3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idden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3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idden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3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idden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3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idden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3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idden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3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idden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3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idden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3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idden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3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idden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3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idden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3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idden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3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idden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3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idden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3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idden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3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idden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3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idden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3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idden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3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idden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3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idden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3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idden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3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idden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3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idden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3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idden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3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idden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3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idden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3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idden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3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idden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3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idden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3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idden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3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idden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3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idden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3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idden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3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idden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3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idden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3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idden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3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idden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3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idden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3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idden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3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idden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3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idden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3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idden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3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idden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3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idden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3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idden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3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idden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3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idden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3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idden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3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idden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3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idden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3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idden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3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idden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3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idden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3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idden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3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idden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3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idden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3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idden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3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idden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3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idden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3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idden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3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idden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3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idden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3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idden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3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idden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3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idden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3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idden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3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idden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3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idden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3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idden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3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idden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3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idden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3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idden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3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idden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3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idden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3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idden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3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idden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3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idden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3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idden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3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idden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3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idden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3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idden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3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idden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3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idden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3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idden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3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idden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3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idden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3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idden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3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idden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3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idden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3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idden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3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idden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3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idden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3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idden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3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idden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3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idden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3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idden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3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idden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3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idden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3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idden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3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idden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3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idden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3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idden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3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idden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3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idden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3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idden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3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idden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3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idden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3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idden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3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idden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3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idden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3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idden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3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idden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3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idden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3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idden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3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idden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3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idden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3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idden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3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idden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3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idden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3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idden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3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idden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3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idden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3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idden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3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idden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3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idden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3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idden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3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idden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3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idden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3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idden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3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idden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3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idden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3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idden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3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idden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3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idden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3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idden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3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idden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3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idden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3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idden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3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idden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3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idden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3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idden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3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idden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3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idden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3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idden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3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idden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3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idden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3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idden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3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idden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3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idden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3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idden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3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idden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3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idden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3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idden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3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idden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3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idden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3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idden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3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idden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3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idden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3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idden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3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idden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3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idden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3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idden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3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idden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3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idden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3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idden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3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idden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3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idden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3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idden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3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idden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3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idden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3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idden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3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idden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3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idden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3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idden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3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idden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3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idden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3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idden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3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idden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3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idden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3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idden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3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idden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3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idden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3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idden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3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idden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3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idden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3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idden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3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idden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3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idden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3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idden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3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idden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3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idden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3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idden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3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idden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3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idden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3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idden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3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idden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3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idden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3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idden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3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idden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3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idden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3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idden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3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idden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3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idden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3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idden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3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idden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3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idden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3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idden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3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idden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3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idden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3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idden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3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idden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3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idden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3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idden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3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idden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3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idden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3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idden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3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idden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3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idden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3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idden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3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idden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3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idden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3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idden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3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idden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3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idden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3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idden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3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idden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3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idden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3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idden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3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idden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3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idden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3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idden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3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idden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3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idden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3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idden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3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idden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3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idden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3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idden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3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idden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3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idden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3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idden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3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idden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3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idden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3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idden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3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idden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3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idden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3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idden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3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idden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3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idden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3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idden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3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idden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3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idden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3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idden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3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idden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3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idden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3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idden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3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idden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3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idden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3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idden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3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idden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3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idden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3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idden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3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idden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3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idden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3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idden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3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idden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3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idden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3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idden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3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idden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3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idden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3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idden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3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idden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3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idden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3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idden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3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idden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3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idden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3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idden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3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idden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3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idden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3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idden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3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idden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3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idden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3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idden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3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idden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3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idden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3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idden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3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idden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3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idden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3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idden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3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idden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3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idden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3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idden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3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idden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3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idden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3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idden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3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idden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3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idden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3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idden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3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idden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3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idden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3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idden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3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idden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3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idden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3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idden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3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idden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3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idden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3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idden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3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idden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3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idden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3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idden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3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idden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3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idden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3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idden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3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idden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3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idden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3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idden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3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idden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3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idden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3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idden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3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idden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3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idden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3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idden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3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idden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3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idden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3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idden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3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idden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3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idden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3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idden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3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idden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3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idden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3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idden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3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idden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3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idden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3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idden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3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idden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3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idden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3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idden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3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idden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3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idden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3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idden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3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idden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3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idden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3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idden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3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idden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3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idden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3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idden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3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idden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3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idden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3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idden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3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idden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3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idden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3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idden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3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idden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3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idden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3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idden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3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idden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3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idden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3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idden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3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idden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3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idden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3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idden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3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idden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3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idden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3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idden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3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idden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3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idden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3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idden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3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idden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3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idden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3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idden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3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idden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3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idden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3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idden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3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idden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3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idden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3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idden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3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idden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3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idden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3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idden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3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idden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3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idden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3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idden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3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idden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3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idden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3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idden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3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idden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3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idden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3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idden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3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idden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3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idden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3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idden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3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idden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3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idden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3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idden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3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idden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3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idden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3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idden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3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idden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3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idden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3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idden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3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idden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3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autoFilter ref="A1:AA999" xr:uid="{00000000-0009-0000-0000-000002000000}">
    <filterColumn colId="0">
      <filters>
        <filter val="TATA AIA"/>
      </filters>
    </filterColumn>
  </autoFilter>
  <hyperlinks>
    <hyperlink ref="D2" r:id="rId1" xr:uid="{00000000-0004-0000-0200-000000000000}"/>
    <hyperlink ref="D3" r:id="rId2" xr:uid="{00000000-0004-0000-0200-000001000000}"/>
    <hyperlink ref="D4" r:id="rId3" xr:uid="{00000000-0004-0000-0200-000002000000}"/>
    <hyperlink ref="D5" r:id="rId4" xr:uid="{00000000-0004-0000-0200-000003000000}"/>
    <hyperlink ref="D6" r:id="rId5" xr:uid="{00000000-0004-0000-0200-000004000000}"/>
    <hyperlink ref="D7" r:id="rId6" xr:uid="{00000000-0004-0000-0200-000005000000}"/>
    <hyperlink ref="D8" r:id="rId7" xr:uid="{00000000-0004-0000-0200-000006000000}"/>
    <hyperlink ref="D9" r:id="rId8" xr:uid="{00000000-0004-0000-0200-000007000000}"/>
    <hyperlink ref="D10" r:id="rId9" xr:uid="{00000000-0004-0000-0200-000008000000}"/>
    <hyperlink ref="D11" r:id="rId10" xr:uid="{00000000-0004-0000-0200-000009000000}"/>
    <hyperlink ref="D12" r:id="rId11" xr:uid="{00000000-0004-0000-0200-00000A000000}"/>
    <hyperlink ref="D13" r:id="rId12" xr:uid="{00000000-0004-0000-0200-00000B000000}"/>
    <hyperlink ref="D14" r:id="rId13" xr:uid="{00000000-0004-0000-0200-00000C000000}"/>
    <hyperlink ref="D15" r:id="rId14" xr:uid="{00000000-0004-0000-0200-00000D000000}"/>
    <hyperlink ref="D16" r:id="rId15" xr:uid="{00000000-0004-0000-0200-00000E000000}"/>
    <hyperlink ref="D17" r:id="rId16" xr:uid="{00000000-0004-0000-0200-00000F000000}"/>
    <hyperlink ref="D18" r:id="rId17" xr:uid="{00000000-0004-0000-0200-000010000000}"/>
    <hyperlink ref="D19" r:id="rId18" xr:uid="{00000000-0004-0000-0200-000011000000}"/>
    <hyperlink ref="D20" r:id="rId19" xr:uid="{00000000-0004-0000-0200-000012000000}"/>
    <hyperlink ref="D21" r:id="rId20" xr:uid="{00000000-0004-0000-0200-000013000000}"/>
    <hyperlink ref="D22" r:id="rId21" xr:uid="{00000000-0004-0000-0200-000014000000}"/>
    <hyperlink ref="D23" r:id="rId22" xr:uid="{00000000-0004-0000-0200-000015000000}"/>
    <hyperlink ref="D24" r:id="rId23" xr:uid="{00000000-0004-0000-0200-000016000000}"/>
    <hyperlink ref="D25" r:id="rId24" xr:uid="{00000000-0004-0000-0200-000017000000}"/>
    <hyperlink ref="D26" r:id="rId25" xr:uid="{00000000-0004-0000-0200-000018000000}"/>
    <hyperlink ref="D27" r:id="rId26" xr:uid="{00000000-0004-0000-0200-000019000000}"/>
    <hyperlink ref="D28" r:id="rId27" xr:uid="{00000000-0004-0000-0200-00001A000000}"/>
    <hyperlink ref="D29" r:id="rId28" xr:uid="{00000000-0004-0000-0200-00001B000000}"/>
    <hyperlink ref="D30" r:id="rId29" xr:uid="{00000000-0004-0000-0200-00001C000000}"/>
    <hyperlink ref="D31" r:id="rId30" xr:uid="{00000000-0004-0000-0200-00001D000000}"/>
    <hyperlink ref="D32" r:id="rId31" xr:uid="{00000000-0004-0000-0200-00001E000000}"/>
    <hyperlink ref="D33" r:id="rId32" xr:uid="{00000000-0004-0000-0200-00001F000000}"/>
    <hyperlink ref="D34" r:id="rId33" xr:uid="{00000000-0004-0000-0200-000020000000}"/>
    <hyperlink ref="D35" r:id="rId34" xr:uid="{00000000-0004-0000-0200-000021000000}"/>
    <hyperlink ref="D36" r:id="rId35" xr:uid="{00000000-0004-0000-0200-000022000000}"/>
    <hyperlink ref="D37" r:id="rId36" xr:uid="{00000000-0004-0000-0200-000023000000}"/>
    <hyperlink ref="D38" r:id="rId37" xr:uid="{00000000-0004-0000-0200-000024000000}"/>
    <hyperlink ref="D39" r:id="rId38" xr:uid="{00000000-0004-0000-0200-000025000000}"/>
    <hyperlink ref="D40" r:id="rId39" xr:uid="{00000000-0004-0000-0200-000026000000}"/>
    <hyperlink ref="D41" r:id="rId40" xr:uid="{00000000-0004-0000-0200-000027000000}"/>
    <hyperlink ref="D42" r:id="rId41" xr:uid="{00000000-0004-0000-0200-000028000000}"/>
    <hyperlink ref="D43" r:id="rId42" xr:uid="{00000000-0004-0000-0200-000029000000}"/>
    <hyperlink ref="D44" r:id="rId43" xr:uid="{00000000-0004-0000-0200-00002A000000}"/>
    <hyperlink ref="D45" r:id="rId44" xr:uid="{00000000-0004-0000-0200-00002B000000}"/>
    <hyperlink ref="D46" r:id="rId45" xr:uid="{00000000-0004-0000-0200-00002C000000}"/>
    <hyperlink ref="D47" r:id="rId46" xr:uid="{00000000-0004-0000-0200-00002D000000}"/>
    <hyperlink ref="D48" r:id="rId47" xr:uid="{00000000-0004-0000-0200-00002E000000}"/>
    <hyperlink ref="D49" r:id="rId48" xr:uid="{00000000-0004-0000-0200-00002F000000}"/>
    <hyperlink ref="D50" r:id="rId49" xr:uid="{00000000-0004-0000-0200-000030000000}"/>
    <hyperlink ref="D51" r:id="rId50" xr:uid="{00000000-0004-0000-0200-000031000000}"/>
    <hyperlink ref="D52" r:id="rId51" xr:uid="{00000000-0004-0000-0200-000032000000}"/>
    <hyperlink ref="D53" r:id="rId52" xr:uid="{00000000-0004-0000-0200-000033000000}"/>
    <hyperlink ref="D54" r:id="rId53" xr:uid="{00000000-0004-0000-0200-000034000000}"/>
    <hyperlink ref="D55" r:id="rId54" xr:uid="{00000000-0004-0000-0200-000035000000}"/>
    <hyperlink ref="D56" r:id="rId55" xr:uid="{00000000-0004-0000-0200-000036000000}"/>
    <hyperlink ref="D57" r:id="rId56" xr:uid="{00000000-0004-0000-0200-000037000000}"/>
    <hyperlink ref="D58" r:id="rId57" xr:uid="{00000000-0004-0000-0200-000038000000}"/>
    <hyperlink ref="D59" r:id="rId58" xr:uid="{00000000-0004-0000-0200-000039000000}"/>
    <hyperlink ref="D60" r:id="rId59" xr:uid="{00000000-0004-0000-0200-00003A000000}"/>
    <hyperlink ref="D61" r:id="rId60" xr:uid="{00000000-0004-0000-0200-00003B000000}"/>
    <hyperlink ref="D62" r:id="rId61" xr:uid="{00000000-0004-0000-0200-00003C000000}"/>
    <hyperlink ref="D63" r:id="rId62" xr:uid="{00000000-0004-0000-0200-00003D000000}"/>
    <hyperlink ref="D64" r:id="rId63" xr:uid="{00000000-0004-0000-0200-00003E000000}"/>
    <hyperlink ref="D65" r:id="rId64" xr:uid="{00000000-0004-0000-0200-00003F000000}"/>
    <hyperlink ref="D66" r:id="rId65" xr:uid="{00000000-0004-0000-0200-000040000000}"/>
    <hyperlink ref="D67" r:id="rId66" xr:uid="{00000000-0004-0000-0200-000041000000}"/>
    <hyperlink ref="D68" r:id="rId67" xr:uid="{00000000-0004-0000-0200-000042000000}"/>
    <hyperlink ref="D69" r:id="rId68" xr:uid="{00000000-0004-0000-0200-000043000000}"/>
    <hyperlink ref="D70" r:id="rId69" xr:uid="{00000000-0004-0000-0200-000044000000}"/>
    <hyperlink ref="D71" r:id="rId70" xr:uid="{00000000-0004-0000-0200-000045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1128"/>
  <sheetViews>
    <sheetView workbookViewId="0">
      <pane ySplit="1" topLeftCell="A2" activePane="bottomLeft" state="frozen"/>
      <selection pane="bottomLeft" activeCell="C3" sqref="C3"/>
    </sheetView>
  </sheetViews>
  <sheetFormatPr defaultRowHeight="15" customHeight="1" x14ac:dyDescent="0.25"/>
  <cols>
    <col min="1" max="16384" width="9.140625" style="8"/>
  </cols>
  <sheetData>
    <row r="1" spans="1:6" ht="30" x14ac:dyDescent="0.25">
      <c r="A1" s="8" t="s">
        <v>0</v>
      </c>
      <c r="B1" s="8" t="s">
        <v>1</v>
      </c>
      <c r="D1" s="8" t="s">
        <v>2</v>
      </c>
      <c r="E1" s="8" t="s">
        <v>3</v>
      </c>
      <c r="F1" s="8" t="s">
        <v>4</v>
      </c>
    </row>
    <row r="2" spans="1:6" ht="60" x14ac:dyDescent="0.25">
      <c r="A2" s="8" t="s">
        <v>125</v>
      </c>
      <c r="B2" s="8" t="s">
        <v>126</v>
      </c>
      <c r="C2" s="8" t="str">
        <f>IFERROR(_xlfn.XLOOKUP(TRIM(B2),Lookup!$B$2:$B$1000,Lookup!$C$2:$C$1000),"")</f>
        <v>Equity</v>
      </c>
      <c r="D2" s="8" t="str">
        <f>IFERROR(INDEX('nav master'!$C:$C, MATCH(B2, 'nav master'!$B:$B, 0)), "")</f>
        <v>ULIF05501/08/13DivrEqtyFd101</v>
      </c>
      <c r="E2" s="8" t="s">
        <v>189</v>
      </c>
      <c r="F2" s="8" t="s">
        <v>190</v>
      </c>
    </row>
    <row r="3" spans="1:6" ht="60" x14ac:dyDescent="0.25">
      <c r="A3" s="8" t="s">
        <v>125</v>
      </c>
      <c r="B3" s="8" t="s">
        <v>126</v>
      </c>
      <c r="C3" s="8" t="str">
        <f>IFERROR(_xlfn.XLOOKUP(TRIM(B3),Lookup!$B$2:$B$1000,Lookup!$C$2:$C$1000),"")</f>
        <v>Equity</v>
      </c>
      <c r="D3" s="8" t="str">
        <f>IFERROR(INDEX('nav master'!$C:$C, MATCH(B3, 'nav master'!$B:$B, 0)), "")</f>
        <v>ULIF05501/08/13DivrEqtyFd101</v>
      </c>
      <c r="E3" s="8" t="s">
        <v>191</v>
      </c>
      <c r="F3" s="8" t="s">
        <v>192</v>
      </c>
    </row>
    <row r="4" spans="1:6" ht="60" x14ac:dyDescent="0.25">
      <c r="A4" s="8" t="s">
        <v>125</v>
      </c>
      <c r="B4" s="8" t="s">
        <v>126</v>
      </c>
      <c r="C4" s="8" t="str">
        <f>IFERROR(_xlfn.XLOOKUP(TRIM(B4),Lookup!$B$2:$B$1000,Lookup!$C$2:$C$1000),"")</f>
        <v>Equity</v>
      </c>
      <c r="D4" s="8" t="str">
        <f>IFERROR(INDEX('nav master'!$C:$C, MATCH(B4, 'nav master'!$B:$B, 0)), "")</f>
        <v>ULIF05501/08/13DivrEqtyFd101</v>
      </c>
      <c r="E4" s="8" t="s">
        <v>193</v>
      </c>
      <c r="F4" s="8" t="s">
        <v>194</v>
      </c>
    </row>
    <row r="5" spans="1:6" ht="60" x14ac:dyDescent="0.25">
      <c r="A5" s="8" t="s">
        <v>125</v>
      </c>
      <c r="B5" s="8" t="s">
        <v>126</v>
      </c>
      <c r="C5" s="8" t="str">
        <f>IFERROR(_xlfn.XLOOKUP(TRIM(B5),Lookup!$B$2:$B$1000,Lookup!$C$2:$C$1000),"")</f>
        <v>Equity</v>
      </c>
      <c r="D5" s="8" t="str">
        <f>IFERROR(INDEX('nav master'!$C:$C, MATCH(B5, 'nav master'!$B:$B, 0)), "")</f>
        <v>ULIF05501/08/13DivrEqtyFd101</v>
      </c>
      <c r="E5" s="8" t="s">
        <v>195</v>
      </c>
      <c r="F5" s="8" t="s">
        <v>196</v>
      </c>
    </row>
    <row r="6" spans="1:6" ht="60" x14ac:dyDescent="0.25">
      <c r="A6" s="8" t="s">
        <v>125</v>
      </c>
      <c r="B6" s="8" t="s">
        <v>126</v>
      </c>
      <c r="C6" s="8" t="str">
        <f>IFERROR(_xlfn.XLOOKUP(TRIM(B6),Lookup!$B$2:$B$1000,Lookup!$C$2:$C$1000),"")</f>
        <v>Equity</v>
      </c>
      <c r="D6" s="8" t="str">
        <f>IFERROR(INDEX('nav master'!$C:$C, MATCH(B6, 'nav master'!$B:$B, 0)), "")</f>
        <v>ULIF05501/08/13DivrEqtyFd101</v>
      </c>
      <c r="E6" s="8" t="s">
        <v>197</v>
      </c>
      <c r="F6" s="8" t="s">
        <v>198</v>
      </c>
    </row>
    <row r="7" spans="1:6" ht="60" x14ac:dyDescent="0.25">
      <c r="A7" s="8" t="s">
        <v>125</v>
      </c>
      <c r="B7" s="8" t="s">
        <v>126</v>
      </c>
      <c r="C7" s="8" t="str">
        <f>IFERROR(_xlfn.XLOOKUP(TRIM(B7),Lookup!$B$2:$B$1000,Lookup!$C$2:$C$1000),"")</f>
        <v>Equity</v>
      </c>
      <c r="D7" s="8" t="str">
        <f>IFERROR(INDEX('nav master'!$C:$C, MATCH(B7, 'nav master'!$B:$B, 0)), "")</f>
        <v>ULIF05501/08/13DivrEqtyFd101</v>
      </c>
      <c r="E7" s="8" t="s">
        <v>199</v>
      </c>
      <c r="F7" s="8" t="s">
        <v>200</v>
      </c>
    </row>
    <row r="8" spans="1:6" ht="60" x14ac:dyDescent="0.25">
      <c r="A8" s="8" t="s">
        <v>125</v>
      </c>
      <c r="B8" s="8" t="s">
        <v>126</v>
      </c>
      <c r="C8" s="8" t="str">
        <f>IFERROR(_xlfn.XLOOKUP(TRIM(B8),Lookup!$B$2:$B$1000,Lookup!$C$2:$C$1000),"")</f>
        <v>Equity</v>
      </c>
      <c r="D8" s="8" t="str">
        <f>IFERROR(INDEX('nav master'!$C:$C, MATCH(B8, 'nav master'!$B:$B, 0)), "")</f>
        <v>ULIF05501/08/13DivrEqtyFd101</v>
      </c>
      <c r="E8" s="8" t="s">
        <v>201</v>
      </c>
      <c r="F8" s="8" t="s">
        <v>202</v>
      </c>
    </row>
    <row r="9" spans="1:6" ht="60" x14ac:dyDescent="0.25">
      <c r="A9" s="8" t="s">
        <v>125</v>
      </c>
      <c r="B9" s="8" t="s">
        <v>126</v>
      </c>
      <c r="C9" s="8" t="str">
        <f>IFERROR(_xlfn.XLOOKUP(TRIM(B9),Lookup!$B$2:$B$1000,Lookup!$C$2:$C$1000),"")</f>
        <v>Equity</v>
      </c>
      <c r="D9" s="8" t="str">
        <f>IFERROR(INDEX('nav master'!$C:$C, MATCH(B9, 'nav master'!$B:$B, 0)), "")</f>
        <v>ULIF05501/08/13DivrEqtyFd101</v>
      </c>
      <c r="E9" s="8" t="s">
        <v>203</v>
      </c>
      <c r="F9" s="8" t="s">
        <v>204</v>
      </c>
    </row>
    <row r="10" spans="1:6" ht="60" x14ac:dyDescent="0.25">
      <c r="A10" s="8" t="s">
        <v>125</v>
      </c>
      <c r="B10" s="8" t="s">
        <v>126</v>
      </c>
      <c r="C10" s="8" t="str">
        <f>IFERROR(_xlfn.XLOOKUP(TRIM(B10),Lookup!$B$2:$B$1000,Lookup!$C$2:$C$1000),"")</f>
        <v>Equity</v>
      </c>
      <c r="D10" s="8" t="str">
        <f>IFERROR(INDEX('nav master'!$C:$C, MATCH(B10, 'nav master'!$B:$B, 0)), "")</f>
        <v>ULIF05501/08/13DivrEqtyFd101</v>
      </c>
      <c r="E10" s="8" t="s">
        <v>205</v>
      </c>
      <c r="F10" s="8" t="s">
        <v>206</v>
      </c>
    </row>
    <row r="11" spans="1:6" ht="60" x14ac:dyDescent="0.25">
      <c r="A11" s="8" t="s">
        <v>125</v>
      </c>
      <c r="B11" s="8" t="s">
        <v>126</v>
      </c>
      <c r="C11" s="8" t="str">
        <f>IFERROR(_xlfn.XLOOKUP(TRIM(B11),Lookup!$B$2:$B$1000,Lookup!$C$2:$C$1000),"")</f>
        <v>Equity</v>
      </c>
      <c r="D11" s="8" t="str">
        <f>IFERROR(INDEX('nav master'!$C:$C, MATCH(B11, 'nav master'!$B:$B, 0)), "")</f>
        <v>ULIF05501/08/13DivrEqtyFd101</v>
      </c>
      <c r="E11" s="8" t="s">
        <v>207</v>
      </c>
      <c r="F11" s="8" t="s">
        <v>208</v>
      </c>
    </row>
    <row r="12" spans="1:6" ht="60" x14ac:dyDescent="0.25">
      <c r="A12" s="8" t="s">
        <v>125</v>
      </c>
      <c r="B12" s="8" t="s">
        <v>126</v>
      </c>
      <c r="C12" s="8" t="str">
        <f>IFERROR(_xlfn.XLOOKUP(TRIM(B12),Lookup!$B$2:$B$1000,Lookup!$C$2:$C$1000),"")</f>
        <v>Equity</v>
      </c>
      <c r="D12" s="8" t="str">
        <f>IFERROR(INDEX('nav master'!$C:$C, MATCH(B12, 'nav master'!$B:$B, 0)), "")</f>
        <v>ULIF05501/08/13DivrEqtyFd101</v>
      </c>
      <c r="E12" s="8" t="s">
        <v>209</v>
      </c>
      <c r="F12" s="8" t="s">
        <v>210</v>
      </c>
    </row>
    <row r="13" spans="1:6" ht="60" x14ac:dyDescent="0.25">
      <c r="A13" s="8" t="s">
        <v>125</v>
      </c>
      <c r="B13" s="8" t="s">
        <v>126</v>
      </c>
      <c r="C13" s="8" t="str">
        <f>IFERROR(_xlfn.XLOOKUP(TRIM(B13),Lookup!$B$2:$B$1000,Lookup!$C$2:$C$1000),"")</f>
        <v>Equity</v>
      </c>
      <c r="D13" s="8" t="str">
        <f>IFERROR(INDEX('nav master'!$C:$C, MATCH(B13, 'nav master'!$B:$B, 0)), "")</f>
        <v>ULIF05501/08/13DivrEqtyFd101</v>
      </c>
      <c r="E13" s="8" t="s">
        <v>211</v>
      </c>
      <c r="F13" s="8" t="s">
        <v>212</v>
      </c>
    </row>
    <row r="14" spans="1:6" ht="60" x14ac:dyDescent="0.25">
      <c r="A14" s="8" t="s">
        <v>125</v>
      </c>
      <c r="B14" s="8" t="s">
        <v>126</v>
      </c>
      <c r="C14" s="8" t="str">
        <f>IFERROR(_xlfn.XLOOKUP(TRIM(B14),Lookup!$B$2:$B$1000,Lookup!$C$2:$C$1000),"")</f>
        <v>Equity</v>
      </c>
      <c r="D14" s="8" t="str">
        <f>IFERROR(INDEX('nav master'!$C:$C, MATCH(B14, 'nav master'!$B:$B, 0)), "")</f>
        <v>ULIF05501/08/13DivrEqtyFd101</v>
      </c>
      <c r="E14" s="8" t="s">
        <v>213</v>
      </c>
      <c r="F14" s="8" t="s">
        <v>214</v>
      </c>
    </row>
    <row r="15" spans="1:6" ht="60" x14ac:dyDescent="0.25">
      <c r="A15" s="8" t="s">
        <v>125</v>
      </c>
      <c r="B15" s="8" t="s">
        <v>126</v>
      </c>
      <c r="C15" s="8" t="str">
        <f>IFERROR(_xlfn.XLOOKUP(TRIM(B15),Lookup!$B$2:$B$1000,Lookup!$C$2:$C$1000),"")</f>
        <v>Equity</v>
      </c>
      <c r="D15" s="8" t="str">
        <f>IFERROR(INDEX('nav master'!$C:$C, MATCH(B15, 'nav master'!$B:$B, 0)), "")</f>
        <v>ULIF05501/08/13DivrEqtyFd101</v>
      </c>
      <c r="E15" s="8" t="s">
        <v>215</v>
      </c>
      <c r="F15" s="8" t="s">
        <v>216</v>
      </c>
    </row>
    <row r="16" spans="1:6" ht="60" x14ac:dyDescent="0.25">
      <c r="A16" s="8" t="s">
        <v>125</v>
      </c>
      <c r="B16" s="8" t="s">
        <v>126</v>
      </c>
      <c r="C16" s="8" t="str">
        <f>IFERROR(_xlfn.XLOOKUP(TRIM(B16),Lookup!$B$2:$B$1000,Lookup!$C$2:$C$1000),"")</f>
        <v>Equity</v>
      </c>
      <c r="D16" s="8" t="str">
        <f>IFERROR(INDEX('nav master'!$C:$C, MATCH(B16, 'nav master'!$B:$B, 0)), "")</f>
        <v>ULIF05501/08/13DivrEqtyFd101</v>
      </c>
      <c r="E16" s="8" t="s">
        <v>217</v>
      </c>
      <c r="F16" s="8" t="s">
        <v>218</v>
      </c>
    </row>
    <row r="17" spans="1:6" ht="60" x14ac:dyDescent="0.25">
      <c r="A17" s="8" t="s">
        <v>125</v>
      </c>
      <c r="B17" s="8" t="s">
        <v>126</v>
      </c>
      <c r="C17" s="8" t="str">
        <f>IFERROR(_xlfn.XLOOKUP(TRIM(B17),Lookup!$B$2:$B$1000,Lookup!$C$2:$C$1000),"")</f>
        <v>Equity</v>
      </c>
      <c r="D17" s="8" t="str">
        <f>IFERROR(INDEX('nav master'!$C:$C, MATCH(B17, 'nav master'!$B:$B, 0)), "")</f>
        <v>ULIF05501/08/13DivrEqtyFd101</v>
      </c>
      <c r="E17" s="8" t="s">
        <v>219</v>
      </c>
      <c r="F17" s="8" t="s">
        <v>220</v>
      </c>
    </row>
    <row r="18" spans="1:6" ht="60" x14ac:dyDescent="0.25">
      <c r="A18" s="8" t="s">
        <v>125</v>
      </c>
      <c r="B18" s="8" t="s">
        <v>126</v>
      </c>
      <c r="C18" s="8" t="str">
        <f>IFERROR(_xlfn.XLOOKUP(TRIM(B18),Lookup!$B$2:$B$1000,Lookup!$C$2:$C$1000),"")</f>
        <v>Equity</v>
      </c>
      <c r="D18" s="8" t="str">
        <f>IFERROR(INDEX('nav master'!$C:$C, MATCH(B18, 'nav master'!$B:$B, 0)), "")</f>
        <v>ULIF05501/08/13DivrEqtyFd101</v>
      </c>
      <c r="E18" s="8" t="s">
        <v>221</v>
      </c>
      <c r="F18" s="8" t="s">
        <v>222</v>
      </c>
    </row>
    <row r="19" spans="1:6" ht="60" x14ac:dyDescent="0.25">
      <c r="A19" s="8" t="s">
        <v>125</v>
      </c>
      <c r="B19" s="8" t="s">
        <v>126</v>
      </c>
      <c r="C19" s="8" t="str">
        <f>IFERROR(_xlfn.XLOOKUP(TRIM(B19),Lookup!$B$2:$B$1000,Lookup!$C$2:$C$1000),"")</f>
        <v>Equity</v>
      </c>
      <c r="D19" s="8" t="str">
        <f>IFERROR(INDEX('nav master'!$C:$C, MATCH(B19, 'nav master'!$B:$B, 0)), "")</f>
        <v>ULIF05501/08/13DivrEqtyFd101</v>
      </c>
      <c r="E19" s="8" t="s">
        <v>223</v>
      </c>
      <c r="F19" s="8" t="s">
        <v>224</v>
      </c>
    </row>
    <row r="20" spans="1:6" ht="60" x14ac:dyDescent="0.25">
      <c r="A20" s="8" t="s">
        <v>125</v>
      </c>
      <c r="B20" s="8" t="s">
        <v>126</v>
      </c>
      <c r="C20" s="8" t="str">
        <f>IFERROR(_xlfn.XLOOKUP(TRIM(B20),Lookup!$B$2:$B$1000,Lookup!$C$2:$C$1000),"")</f>
        <v>Equity</v>
      </c>
      <c r="D20" s="8" t="str">
        <f>IFERROR(INDEX('nav master'!$C:$C, MATCH(B20, 'nav master'!$B:$B, 0)), "")</f>
        <v>ULIF05501/08/13DivrEqtyFd101</v>
      </c>
      <c r="E20" s="8" t="s">
        <v>225</v>
      </c>
      <c r="F20" s="8" t="s">
        <v>226</v>
      </c>
    </row>
    <row r="21" spans="1:6" ht="60" x14ac:dyDescent="0.25">
      <c r="A21" s="8" t="s">
        <v>125</v>
      </c>
      <c r="B21" s="8" t="s">
        <v>126</v>
      </c>
      <c r="C21" s="8" t="str">
        <f>IFERROR(_xlfn.XLOOKUP(TRIM(B21),Lookup!$B$2:$B$1000,Lookup!$C$2:$C$1000),"")</f>
        <v>Equity</v>
      </c>
      <c r="D21" s="8" t="str">
        <f>IFERROR(INDEX('nav master'!$C:$C, MATCH(B21, 'nav master'!$B:$B, 0)), "")</f>
        <v>ULIF05501/08/13DivrEqtyFd101</v>
      </c>
      <c r="E21" s="8" t="s">
        <v>227</v>
      </c>
      <c r="F21" s="8" t="s">
        <v>228</v>
      </c>
    </row>
    <row r="22" spans="1:6" ht="60" x14ac:dyDescent="0.25">
      <c r="A22" s="8" t="s">
        <v>125</v>
      </c>
      <c r="B22" s="8" t="s">
        <v>126</v>
      </c>
      <c r="C22" s="8" t="str">
        <f>IFERROR(_xlfn.XLOOKUP(TRIM(B22),Lookup!$B$2:$B$1000,Lookup!$C$2:$C$1000),"")</f>
        <v>Equity</v>
      </c>
      <c r="D22" s="8" t="str">
        <f>IFERROR(INDEX('nav master'!$C:$C, MATCH(B22, 'nav master'!$B:$B, 0)), "")</f>
        <v>ULIF05501/08/13DivrEqtyFd101</v>
      </c>
      <c r="E22" s="8" t="s">
        <v>229</v>
      </c>
      <c r="F22" s="8" t="s">
        <v>230</v>
      </c>
    </row>
    <row r="23" spans="1:6" ht="60" x14ac:dyDescent="0.25">
      <c r="A23" s="8" t="s">
        <v>125</v>
      </c>
      <c r="B23" s="8" t="s">
        <v>126</v>
      </c>
      <c r="C23" s="8" t="str">
        <f>IFERROR(_xlfn.XLOOKUP(TRIM(B23),Lookup!$B$2:$B$1000,Lookup!$C$2:$C$1000),"")</f>
        <v>Equity</v>
      </c>
      <c r="D23" s="8" t="str">
        <f>IFERROR(INDEX('nav master'!$C:$C, MATCH(B23, 'nav master'!$B:$B, 0)), "")</f>
        <v>ULIF05501/08/13DivrEqtyFd101</v>
      </c>
      <c r="E23" s="8" t="s">
        <v>231</v>
      </c>
      <c r="F23" s="8" t="s">
        <v>232</v>
      </c>
    </row>
    <row r="24" spans="1:6" ht="60" x14ac:dyDescent="0.25">
      <c r="A24" s="8" t="s">
        <v>125</v>
      </c>
      <c r="B24" s="8" t="s">
        <v>126</v>
      </c>
      <c r="C24" s="8" t="str">
        <f>IFERROR(_xlfn.XLOOKUP(TRIM(B24),Lookup!$B$2:$B$1000,Lookup!$C$2:$C$1000),"")</f>
        <v>Equity</v>
      </c>
      <c r="D24" s="8" t="str">
        <f>IFERROR(INDEX('nav master'!$C:$C, MATCH(B24, 'nav master'!$B:$B, 0)), "")</f>
        <v>ULIF05501/08/13DivrEqtyFd101</v>
      </c>
      <c r="E24" s="8" t="s">
        <v>233</v>
      </c>
      <c r="F24" s="8" t="s">
        <v>234</v>
      </c>
    </row>
    <row r="25" spans="1:6" ht="60" x14ac:dyDescent="0.25">
      <c r="A25" s="8" t="s">
        <v>125</v>
      </c>
      <c r="B25" s="8" t="s">
        <v>126</v>
      </c>
      <c r="C25" s="8" t="str">
        <f>IFERROR(_xlfn.XLOOKUP(TRIM(B25),Lookup!$B$2:$B$1000,Lookup!$C$2:$C$1000),"")</f>
        <v>Equity</v>
      </c>
      <c r="D25" s="8" t="str">
        <f>IFERROR(INDEX('nav master'!$C:$C, MATCH(B25, 'nav master'!$B:$B, 0)), "")</f>
        <v>ULIF05501/08/13DivrEqtyFd101</v>
      </c>
      <c r="E25" s="8" t="s">
        <v>235</v>
      </c>
      <c r="F25" s="8" t="s">
        <v>236</v>
      </c>
    </row>
    <row r="26" spans="1:6" ht="60" x14ac:dyDescent="0.25">
      <c r="A26" s="8" t="s">
        <v>125</v>
      </c>
      <c r="B26" s="8" t="s">
        <v>126</v>
      </c>
      <c r="C26" s="8" t="str">
        <f>IFERROR(_xlfn.XLOOKUP(TRIM(B26),Lookup!$B$2:$B$1000,Lookup!$C$2:$C$1000),"")</f>
        <v>Equity</v>
      </c>
      <c r="D26" s="8" t="str">
        <f>IFERROR(INDEX('nav master'!$C:$C, MATCH(B26, 'nav master'!$B:$B, 0)), "")</f>
        <v>ULIF05501/08/13DivrEqtyFd101</v>
      </c>
      <c r="E26" s="8" t="s">
        <v>237</v>
      </c>
      <c r="F26" s="8" t="s">
        <v>238</v>
      </c>
    </row>
    <row r="27" spans="1:6" ht="60" x14ac:dyDescent="0.25">
      <c r="A27" s="8" t="s">
        <v>125</v>
      </c>
      <c r="B27" s="8" t="s">
        <v>126</v>
      </c>
      <c r="C27" s="8" t="str">
        <f>IFERROR(_xlfn.XLOOKUP(TRIM(B27),Lookup!$B$2:$B$1000,Lookup!$C$2:$C$1000),"")</f>
        <v>Equity</v>
      </c>
      <c r="D27" s="8" t="str">
        <f>IFERROR(INDEX('nav master'!$C:$C, MATCH(B27, 'nav master'!$B:$B, 0)), "")</f>
        <v>ULIF05501/08/13DivrEqtyFd101</v>
      </c>
      <c r="E27" s="8" t="s">
        <v>239</v>
      </c>
      <c r="F27" s="8" t="s">
        <v>240</v>
      </c>
    </row>
    <row r="28" spans="1:6" ht="60" x14ac:dyDescent="0.25">
      <c r="A28" s="8" t="s">
        <v>125</v>
      </c>
      <c r="B28" s="8" t="s">
        <v>126</v>
      </c>
      <c r="C28" s="8" t="str">
        <f>IFERROR(_xlfn.XLOOKUP(TRIM(B28),Lookup!$B$2:$B$1000,Lookup!$C$2:$C$1000),"")</f>
        <v>Equity</v>
      </c>
      <c r="D28" s="8" t="str">
        <f>IFERROR(INDEX('nav master'!$C:$C, MATCH(B28, 'nav master'!$B:$B, 0)), "")</f>
        <v>ULIF05501/08/13DivrEqtyFd101</v>
      </c>
      <c r="E28" s="8" t="s">
        <v>241</v>
      </c>
      <c r="F28" s="8" t="s">
        <v>242</v>
      </c>
    </row>
    <row r="29" spans="1:6" ht="60" x14ac:dyDescent="0.25">
      <c r="A29" s="8" t="s">
        <v>125</v>
      </c>
      <c r="B29" s="8" t="s">
        <v>126</v>
      </c>
      <c r="C29" s="8" t="str">
        <f>IFERROR(_xlfn.XLOOKUP(TRIM(B29),Lookup!$B$2:$B$1000,Lookup!$C$2:$C$1000),"")</f>
        <v>Equity</v>
      </c>
      <c r="D29" s="8" t="str">
        <f>IFERROR(INDEX('nav master'!$C:$C, MATCH(B29, 'nav master'!$B:$B, 0)), "")</f>
        <v>ULIF05501/08/13DivrEqtyFd101</v>
      </c>
      <c r="E29" s="8" t="s">
        <v>243</v>
      </c>
      <c r="F29" s="8" t="s">
        <v>244</v>
      </c>
    </row>
    <row r="30" spans="1:6" ht="60" x14ac:dyDescent="0.25">
      <c r="A30" s="8" t="s">
        <v>125</v>
      </c>
      <c r="B30" s="8" t="s">
        <v>126</v>
      </c>
      <c r="C30" s="8" t="str">
        <f>IFERROR(_xlfn.XLOOKUP(TRIM(B30),Lookup!$B$2:$B$1000,Lookup!$C$2:$C$1000),"")</f>
        <v>Equity</v>
      </c>
      <c r="D30" s="8" t="str">
        <f>IFERROR(INDEX('nav master'!$C:$C, MATCH(B30, 'nav master'!$B:$B, 0)), "")</f>
        <v>ULIF05501/08/13DivrEqtyFd101</v>
      </c>
      <c r="E30" s="8" t="s">
        <v>245</v>
      </c>
      <c r="F30" s="8" t="s">
        <v>246</v>
      </c>
    </row>
    <row r="31" spans="1:6" ht="60" x14ac:dyDescent="0.25">
      <c r="A31" s="8" t="s">
        <v>125</v>
      </c>
      <c r="B31" s="8" t="s">
        <v>126</v>
      </c>
      <c r="C31" s="8" t="str">
        <f>IFERROR(_xlfn.XLOOKUP(TRIM(B31),Lookup!$B$2:$B$1000,Lookup!$C$2:$C$1000),"")</f>
        <v>Equity</v>
      </c>
      <c r="D31" s="8" t="str">
        <f>IFERROR(INDEX('nav master'!$C:$C, MATCH(B31, 'nav master'!$B:$B, 0)), "")</f>
        <v>ULIF05501/08/13DivrEqtyFd101</v>
      </c>
      <c r="E31" s="8" t="s">
        <v>247</v>
      </c>
      <c r="F31" s="8" t="s">
        <v>248</v>
      </c>
    </row>
    <row r="32" spans="1:6" ht="60" x14ac:dyDescent="0.25">
      <c r="A32" s="8" t="s">
        <v>125</v>
      </c>
      <c r="B32" s="8" t="s">
        <v>126</v>
      </c>
      <c r="C32" s="8" t="str">
        <f>IFERROR(_xlfn.XLOOKUP(TRIM(B32),Lookup!$B$2:$B$1000,Lookup!$C$2:$C$1000),"")</f>
        <v>Equity</v>
      </c>
      <c r="D32" s="8" t="str">
        <f>IFERROR(INDEX('nav master'!$C:$C, MATCH(B32, 'nav master'!$B:$B, 0)), "")</f>
        <v>ULIF05501/08/13DivrEqtyFd101</v>
      </c>
      <c r="E32" s="8" t="s">
        <v>249</v>
      </c>
      <c r="F32" s="8" t="s">
        <v>250</v>
      </c>
    </row>
    <row r="33" spans="1:6" ht="60" x14ac:dyDescent="0.25">
      <c r="A33" s="8" t="s">
        <v>125</v>
      </c>
      <c r="B33" s="8" t="s">
        <v>126</v>
      </c>
      <c r="C33" s="8" t="str">
        <f>IFERROR(_xlfn.XLOOKUP(TRIM(B33),Lookup!$B$2:$B$1000,Lookup!$C$2:$C$1000),"")</f>
        <v>Equity</v>
      </c>
      <c r="D33" s="8" t="str">
        <f>IFERROR(INDEX('nav master'!$C:$C, MATCH(B33, 'nav master'!$B:$B, 0)), "")</f>
        <v>ULIF05501/08/13DivrEqtyFd101</v>
      </c>
      <c r="E33" s="8" t="s">
        <v>251</v>
      </c>
      <c r="F33" s="8" t="s">
        <v>252</v>
      </c>
    </row>
    <row r="34" spans="1:6" ht="60" x14ac:dyDescent="0.25">
      <c r="A34" s="8" t="s">
        <v>125</v>
      </c>
      <c r="B34" s="8" t="s">
        <v>126</v>
      </c>
      <c r="C34" s="8" t="str">
        <f>IFERROR(_xlfn.XLOOKUP(TRIM(B34),Lookup!$B$2:$B$1000,Lookup!$C$2:$C$1000),"")</f>
        <v>Equity</v>
      </c>
      <c r="D34" s="8" t="str">
        <f>IFERROR(INDEX('nav master'!$C:$C, MATCH(B34, 'nav master'!$B:$B, 0)), "")</f>
        <v>ULIF05501/08/13DivrEqtyFd101</v>
      </c>
      <c r="E34" s="8" t="s">
        <v>253</v>
      </c>
      <c r="F34" s="8" t="s">
        <v>254</v>
      </c>
    </row>
    <row r="35" spans="1:6" ht="60" x14ac:dyDescent="0.25">
      <c r="A35" s="8" t="s">
        <v>125</v>
      </c>
      <c r="B35" s="8" t="s">
        <v>126</v>
      </c>
      <c r="C35" s="8" t="str">
        <f>IFERROR(_xlfn.XLOOKUP(TRIM(B35),Lookup!$B$2:$B$1000,Lookup!$C$2:$C$1000),"")</f>
        <v>Equity</v>
      </c>
      <c r="D35" s="8" t="str">
        <f>IFERROR(INDEX('nav master'!$C:$C, MATCH(B35, 'nav master'!$B:$B, 0)), "")</f>
        <v>ULIF05501/08/13DivrEqtyFd101</v>
      </c>
      <c r="E35" s="8" t="s">
        <v>255</v>
      </c>
      <c r="F35" s="8" t="s">
        <v>256</v>
      </c>
    </row>
    <row r="36" spans="1:6" ht="60" x14ac:dyDescent="0.25">
      <c r="A36" s="8" t="s">
        <v>125</v>
      </c>
      <c r="B36" s="8" t="s">
        <v>126</v>
      </c>
      <c r="C36" s="8" t="str">
        <f>IFERROR(_xlfn.XLOOKUP(TRIM(B36),Lookup!$B$2:$B$1000,Lookup!$C$2:$C$1000),"")</f>
        <v>Equity</v>
      </c>
      <c r="D36" s="8" t="str">
        <f>IFERROR(INDEX('nav master'!$C:$C, MATCH(B36, 'nav master'!$B:$B, 0)), "")</f>
        <v>ULIF05501/08/13DivrEqtyFd101</v>
      </c>
      <c r="E36" s="8" t="s">
        <v>257</v>
      </c>
      <c r="F36" s="8" t="s">
        <v>258</v>
      </c>
    </row>
    <row r="37" spans="1:6" ht="60" x14ac:dyDescent="0.25">
      <c r="A37" s="8" t="s">
        <v>125</v>
      </c>
      <c r="B37" s="8" t="s">
        <v>126</v>
      </c>
      <c r="C37" s="8" t="str">
        <f>IFERROR(_xlfn.XLOOKUP(TRIM(B37),Lookup!$B$2:$B$1000,Lookup!$C$2:$C$1000),"")</f>
        <v>Equity</v>
      </c>
      <c r="D37" s="8" t="str">
        <f>IFERROR(INDEX('nav master'!$C:$C, MATCH(B37, 'nav master'!$B:$B, 0)), "")</f>
        <v>ULIF05501/08/13DivrEqtyFd101</v>
      </c>
      <c r="E37" s="8" t="s">
        <v>259</v>
      </c>
      <c r="F37" s="8" t="s">
        <v>260</v>
      </c>
    </row>
    <row r="38" spans="1:6" ht="60" x14ac:dyDescent="0.25">
      <c r="A38" s="8" t="s">
        <v>125</v>
      </c>
      <c r="B38" s="8" t="s">
        <v>126</v>
      </c>
      <c r="C38" s="8" t="str">
        <f>IFERROR(_xlfn.XLOOKUP(TRIM(B38),Lookup!$B$2:$B$1000,Lookup!$C$2:$C$1000),"")</f>
        <v>Equity</v>
      </c>
      <c r="D38" s="8" t="str">
        <f>IFERROR(INDEX('nav master'!$C:$C, MATCH(B38, 'nav master'!$B:$B, 0)), "")</f>
        <v>ULIF05501/08/13DivrEqtyFd101</v>
      </c>
      <c r="E38" s="8" t="s">
        <v>261</v>
      </c>
      <c r="F38" s="8" t="s">
        <v>262</v>
      </c>
    </row>
    <row r="39" spans="1:6" ht="60" x14ac:dyDescent="0.25">
      <c r="A39" s="8" t="s">
        <v>125</v>
      </c>
      <c r="B39" s="8" t="s">
        <v>126</v>
      </c>
      <c r="C39" s="8" t="str">
        <f>IFERROR(_xlfn.XLOOKUP(TRIM(B39),Lookup!$B$2:$B$1000,Lookup!$C$2:$C$1000),"")</f>
        <v>Equity</v>
      </c>
      <c r="D39" s="8" t="str">
        <f>IFERROR(INDEX('nav master'!$C:$C, MATCH(B39, 'nav master'!$B:$B, 0)), "")</f>
        <v>ULIF05501/08/13DivrEqtyFd101</v>
      </c>
      <c r="E39" s="8" t="s">
        <v>263</v>
      </c>
      <c r="F39" s="8" t="s">
        <v>264</v>
      </c>
    </row>
    <row r="40" spans="1:6" ht="60" x14ac:dyDescent="0.25">
      <c r="A40" s="8" t="s">
        <v>125</v>
      </c>
      <c r="B40" s="8" t="s">
        <v>126</v>
      </c>
      <c r="C40" s="8" t="str">
        <f>IFERROR(_xlfn.XLOOKUP(TRIM(B40),Lookup!$B$2:$B$1000,Lookup!$C$2:$C$1000),"")</f>
        <v>Equity</v>
      </c>
      <c r="D40" s="8" t="str">
        <f>IFERROR(INDEX('nav master'!$C:$C, MATCH(B40, 'nav master'!$B:$B, 0)), "")</f>
        <v>ULIF05501/08/13DivrEqtyFd101</v>
      </c>
      <c r="E40" s="8" t="s">
        <v>265</v>
      </c>
      <c r="F40" s="8" t="s">
        <v>266</v>
      </c>
    </row>
    <row r="41" spans="1:6" ht="60" x14ac:dyDescent="0.25">
      <c r="A41" s="8" t="s">
        <v>125</v>
      </c>
      <c r="B41" s="8" t="s">
        <v>126</v>
      </c>
      <c r="C41" s="8" t="str">
        <f>IFERROR(_xlfn.XLOOKUP(TRIM(B41),Lookup!$B$2:$B$1000,Lookup!$C$2:$C$1000),"")</f>
        <v>Equity</v>
      </c>
      <c r="D41" s="8" t="str">
        <f>IFERROR(INDEX('nav master'!$C:$C, MATCH(B41, 'nav master'!$B:$B, 0)), "")</f>
        <v>ULIF05501/08/13DivrEqtyFd101</v>
      </c>
      <c r="E41" s="8" t="s">
        <v>267</v>
      </c>
      <c r="F41" s="8" t="s">
        <v>268</v>
      </c>
    </row>
    <row r="42" spans="1:6" ht="60" x14ac:dyDescent="0.25">
      <c r="A42" s="8" t="s">
        <v>125</v>
      </c>
      <c r="B42" s="8" t="s">
        <v>126</v>
      </c>
      <c r="C42" s="8" t="str">
        <f>IFERROR(_xlfn.XLOOKUP(TRIM(B42),Lookup!$B$2:$B$1000,Lookup!$C$2:$C$1000),"")</f>
        <v>Equity</v>
      </c>
      <c r="D42" s="8" t="str">
        <f>IFERROR(INDEX('nav master'!$C:$C, MATCH(B42, 'nav master'!$B:$B, 0)), "")</f>
        <v>ULIF05501/08/13DivrEqtyFd101</v>
      </c>
      <c r="E42" s="8" t="s">
        <v>269</v>
      </c>
      <c r="F42" s="8" t="s">
        <v>270</v>
      </c>
    </row>
    <row r="43" spans="1:6" ht="60" x14ac:dyDescent="0.25">
      <c r="A43" s="8" t="s">
        <v>125</v>
      </c>
      <c r="B43" s="8" t="s">
        <v>126</v>
      </c>
      <c r="C43" s="8" t="str">
        <f>IFERROR(_xlfn.XLOOKUP(TRIM(B43),Lookup!$B$2:$B$1000,Lookup!$C$2:$C$1000),"")</f>
        <v>Equity</v>
      </c>
      <c r="D43" s="8" t="str">
        <f>IFERROR(INDEX('nav master'!$C:$C, MATCH(B43, 'nav master'!$B:$B, 0)), "")</f>
        <v>ULIF05501/08/13DivrEqtyFd101</v>
      </c>
      <c r="E43" s="8" t="s">
        <v>271</v>
      </c>
      <c r="F43" s="8" t="s">
        <v>272</v>
      </c>
    </row>
    <row r="44" spans="1:6" ht="60" x14ac:dyDescent="0.25">
      <c r="A44" s="8" t="s">
        <v>125</v>
      </c>
      <c r="B44" s="8" t="s">
        <v>126</v>
      </c>
      <c r="C44" s="8" t="str">
        <f>IFERROR(_xlfn.XLOOKUP(TRIM(B44),Lookup!$B$2:$B$1000,Lookup!$C$2:$C$1000),"")</f>
        <v>Equity</v>
      </c>
      <c r="D44" s="8" t="str">
        <f>IFERROR(INDEX('nav master'!$C:$C, MATCH(B44, 'nav master'!$B:$B, 0)), "")</f>
        <v>ULIF05501/08/13DivrEqtyFd101</v>
      </c>
      <c r="E44" s="8" t="s">
        <v>273</v>
      </c>
      <c r="F44" s="8" t="s">
        <v>274</v>
      </c>
    </row>
    <row r="45" spans="1:6" ht="60" x14ac:dyDescent="0.25">
      <c r="A45" s="8" t="s">
        <v>125</v>
      </c>
      <c r="B45" s="8" t="s">
        <v>126</v>
      </c>
      <c r="C45" s="8" t="str">
        <f>IFERROR(_xlfn.XLOOKUP(TRIM(B45),Lookup!$B$2:$B$1000,Lookup!$C$2:$C$1000),"")</f>
        <v>Equity</v>
      </c>
      <c r="D45" s="8" t="str">
        <f>IFERROR(INDEX('nav master'!$C:$C, MATCH(B45, 'nav master'!$B:$B, 0)), "")</f>
        <v>ULIF05501/08/13DivrEqtyFd101</v>
      </c>
      <c r="E45" s="8" t="s">
        <v>275</v>
      </c>
      <c r="F45" s="8" t="s">
        <v>276</v>
      </c>
    </row>
    <row r="46" spans="1:6" ht="60" x14ac:dyDescent="0.25">
      <c r="A46" s="8" t="s">
        <v>125</v>
      </c>
      <c r="B46" s="8" t="s">
        <v>126</v>
      </c>
      <c r="C46" s="8" t="str">
        <f>IFERROR(_xlfn.XLOOKUP(TRIM(B46),Lookup!$B$2:$B$1000,Lookup!$C$2:$C$1000),"")</f>
        <v>Equity</v>
      </c>
      <c r="D46" s="8" t="str">
        <f>IFERROR(INDEX('nav master'!$C:$C, MATCH(B46, 'nav master'!$B:$B, 0)), "")</f>
        <v>ULIF05501/08/13DivrEqtyFd101</v>
      </c>
      <c r="E46" s="8" t="s">
        <v>277</v>
      </c>
      <c r="F46" s="8" t="s">
        <v>278</v>
      </c>
    </row>
    <row r="47" spans="1:6" ht="60" x14ac:dyDescent="0.25">
      <c r="A47" s="8" t="s">
        <v>125</v>
      </c>
      <c r="B47" s="8" t="s">
        <v>126</v>
      </c>
      <c r="C47" s="8" t="str">
        <f>IFERROR(_xlfn.XLOOKUP(TRIM(B47),Lookup!$B$2:$B$1000,Lookup!$C$2:$C$1000),"")</f>
        <v>Equity</v>
      </c>
      <c r="D47" s="8" t="str">
        <f>IFERROR(INDEX('nav master'!$C:$C, MATCH(B47, 'nav master'!$B:$B, 0)), "")</f>
        <v>ULIF05501/08/13DivrEqtyFd101</v>
      </c>
      <c r="E47" s="8" t="s">
        <v>279</v>
      </c>
      <c r="F47" s="8" t="s">
        <v>280</v>
      </c>
    </row>
    <row r="48" spans="1:6" ht="60" x14ac:dyDescent="0.25">
      <c r="A48" s="8" t="s">
        <v>125</v>
      </c>
      <c r="B48" s="8" t="s">
        <v>126</v>
      </c>
      <c r="C48" s="8" t="str">
        <f>IFERROR(_xlfn.XLOOKUP(TRIM(B48),Lookup!$B$2:$B$1000,Lookup!$C$2:$C$1000),"")</f>
        <v>Equity</v>
      </c>
      <c r="D48" s="8" t="str">
        <f>IFERROR(INDEX('nav master'!$C:$C, MATCH(B48, 'nav master'!$B:$B, 0)), "")</f>
        <v>ULIF05501/08/13DivrEqtyFd101</v>
      </c>
      <c r="E48" s="8" t="s">
        <v>281</v>
      </c>
      <c r="F48" s="8" t="s">
        <v>282</v>
      </c>
    </row>
    <row r="49" spans="1:6" ht="60" x14ac:dyDescent="0.25">
      <c r="A49" s="8" t="s">
        <v>125</v>
      </c>
      <c r="B49" s="8" t="s">
        <v>126</v>
      </c>
      <c r="C49" s="8" t="str">
        <f>IFERROR(_xlfn.XLOOKUP(TRIM(B49),Lookup!$B$2:$B$1000,Lookup!$C$2:$C$1000),"")</f>
        <v>Equity</v>
      </c>
      <c r="D49" s="8" t="str">
        <f>IFERROR(INDEX('nav master'!$C:$C, MATCH(B49, 'nav master'!$B:$B, 0)), "")</f>
        <v>ULIF05501/08/13DivrEqtyFd101</v>
      </c>
      <c r="E49" s="8" t="s">
        <v>283</v>
      </c>
      <c r="F49" s="8" t="s">
        <v>284</v>
      </c>
    </row>
    <row r="50" spans="1:6" ht="60" x14ac:dyDescent="0.25">
      <c r="A50" s="8" t="s">
        <v>125</v>
      </c>
      <c r="B50" s="8" t="s">
        <v>126</v>
      </c>
      <c r="C50" s="8" t="str">
        <f>IFERROR(_xlfn.XLOOKUP(TRIM(B50),Lookup!$B$2:$B$1000,Lookup!$C$2:$C$1000),"")</f>
        <v>Equity</v>
      </c>
      <c r="D50" s="8" t="str">
        <f>IFERROR(INDEX('nav master'!$C:$C, MATCH(B50, 'nav master'!$B:$B, 0)), "")</f>
        <v>ULIF05501/08/13DivrEqtyFd101</v>
      </c>
      <c r="E50" s="8" t="s">
        <v>285</v>
      </c>
      <c r="F50" s="8" t="s">
        <v>286</v>
      </c>
    </row>
    <row r="51" spans="1:6" ht="60" x14ac:dyDescent="0.25">
      <c r="A51" s="8" t="s">
        <v>125</v>
      </c>
      <c r="B51" s="8" t="s">
        <v>126</v>
      </c>
      <c r="C51" s="8" t="str">
        <f>IFERROR(_xlfn.XLOOKUP(TRIM(B51),Lookup!$B$2:$B$1000,Lookup!$C$2:$C$1000),"")</f>
        <v>Equity</v>
      </c>
      <c r="D51" s="8" t="str">
        <f>IFERROR(INDEX('nav master'!$C:$C, MATCH(B51, 'nav master'!$B:$B, 0)), "")</f>
        <v>ULIF05501/08/13DivrEqtyFd101</v>
      </c>
      <c r="E51" s="8" t="s">
        <v>287</v>
      </c>
      <c r="F51" s="8" t="s">
        <v>288</v>
      </c>
    </row>
    <row r="52" spans="1:6" ht="60" x14ac:dyDescent="0.25">
      <c r="A52" s="8" t="s">
        <v>125</v>
      </c>
      <c r="B52" s="8" t="s">
        <v>126</v>
      </c>
      <c r="C52" s="8" t="str">
        <f>IFERROR(_xlfn.XLOOKUP(TRIM(B52),Lookup!$B$2:$B$1000,Lookup!$C$2:$C$1000),"")</f>
        <v>Equity</v>
      </c>
      <c r="D52" s="8" t="str">
        <f>IFERROR(INDEX('nav master'!$C:$C, MATCH(B52, 'nav master'!$B:$B, 0)), "")</f>
        <v>ULIF05501/08/13DivrEqtyFd101</v>
      </c>
      <c r="E52" s="8" t="s">
        <v>289</v>
      </c>
      <c r="F52" s="8" t="s">
        <v>290</v>
      </c>
    </row>
    <row r="53" spans="1:6" ht="60" x14ac:dyDescent="0.25">
      <c r="A53" s="8" t="s">
        <v>125</v>
      </c>
      <c r="B53" s="8" t="s">
        <v>126</v>
      </c>
      <c r="C53" s="8" t="str">
        <f>IFERROR(_xlfn.XLOOKUP(TRIM(B53),Lookup!$B$2:$B$1000,Lookup!$C$2:$C$1000),"")</f>
        <v>Equity</v>
      </c>
      <c r="D53" s="8" t="str">
        <f>IFERROR(INDEX('nav master'!$C:$C, MATCH(B53, 'nav master'!$B:$B, 0)), "")</f>
        <v>ULIF05501/08/13DivrEqtyFd101</v>
      </c>
      <c r="E53" s="8" t="s">
        <v>291</v>
      </c>
      <c r="F53" s="8" t="s">
        <v>292</v>
      </c>
    </row>
    <row r="54" spans="1:6" ht="60" x14ac:dyDescent="0.25">
      <c r="A54" s="8" t="s">
        <v>125</v>
      </c>
      <c r="B54" s="8" t="s">
        <v>126</v>
      </c>
      <c r="C54" s="8" t="str">
        <f>IFERROR(_xlfn.XLOOKUP(TRIM(B54),Lookup!$B$2:$B$1000,Lookup!$C$2:$C$1000),"")</f>
        <v>Equity</v>
      </c>
      <c r="D54" s="8" t="str">
        <f>IFERROR(INDEX('nav master'!$C:$C, MATCH(B54, 'nav master'!$B:$B, 0)), "")</f>
        <v>ULIF05501/08/13DivrEqtyFd101</v>
      </c>
      <c r="E54" s="8" t="s">
        <v>293</v>
      </c>
      <c r="F54" s="8" t="s">
        <v>294</v>
      </c>
    </row>
    <row r="55" spans="1:6" ht="60" x14ac:dyDescent="0.25">
      <c r="A55" s="8" t="s">
        <v>125</v>
      </c>
      <c r="B55" s="8" t="s">
        <v>126</v>
      </c>
      <c r="C55" s="8" t="str">
        <f>IFERROR(_xlfn.XLOOKUP(TRIM(B55),Lookup!$B$2:$B$1000,Lookup!$C$2:$C$1000),"")</f>
        <v>Equity</v>
      </c>
      <c r="D55" s="8" t="str">
        <f>IFERROR(INDEX('nav master'!$C:$C, MATCH(B55, 'nav master'!$B:$B, 0)), "")</f>
        <v>ULIF05501/08/13DivrEqtyFd101</v>
      </c>
      <c r="E55" s="8" t="s">
        <v>295</v>
      </c>
      <c r="F55" s="8" t="s">
        <v>296</v>
      </c>
    </row>
    <row r="56" spans="1:6" ht="60" x14ac:dyDescent="0.25">
      <c r="A56" s="8" t="s">
        <v>125</v>
      </c>
      <c r="B56" s="8" t="s">
        <v>126</v>
      </c>
      <c r="C56" s="8" t="str">
        <f>IFERROR(_xlfn.XLOOKUP(TRIM(B56),Lookup!$B$2:$B$1000,Lookup!$C$2:$C$1000),"")</f>
        <v>Equity</v>
      </c>
      <c r="D56" s="8" t="str">
        <f>IFERROR(INDEX('nav master'!$C:$C, MATCH(B56, 'nav master'!$B:$B, 0)), "")</f>
        <v>ULIF05501/08/13DivrEqtyFd101</v>
      </c>
      <c r="E56" s="8" t="s">
        <v>297</v>
      </c>
      <c r="F56" s="8" t="s">
        <v>298</v>
      </c>
    </row>
    <row r="57" spans="1:6" ht="60" x14ac:dyDescent="0.25">
      <c r="A57" s="8" t="s">
        <v>125</v>
      </c>
      <c r="B57" s="8" t="s">
        <v>126</v>
      </c>
      <c r="C57" s="8" t="str">
        <f>IFERROR(_xlfn.XLOOKUP(TRIM(B57),Lookup!$B$2:$B$1000,Lookup!$C$2:$C$1000),"")</f>
        <v>Equity</v>
      </c>
      <c r="D57" s="8" t="str">
        <f>IFERROR(INDEX('nav master'!$C:$C, MATCH(B57, 'nav master'!$B:$B, 0)), "")</f>
        <v>ULIF05501/08/13DivrEqtyFd101</v>
      </c>
      <c r="E57" s="8" t="s">
        <v>299</v>
      </c>
      <c r="F57" s="8" t="s">
        <v>300</v>
      </c>
    </row>
    <row r="58" spans="1:6" ht="60" x14ac:dyDescent="0.25">
      <c r="A58" s="8" t="s">
        <v>125</v>
      </c>
      <c r="B58" s="8" t="s">
        <v>126</v>
      </c>
      <c r="C58" s="8" t="str">
        <f>IFERROR(_xlfn.XLOOKUP(TRIM(B58),Lookup!$B$2:$B$1000,Lookup!$C$2:$C$1000),"")</f>
        <v>Equity</v>
      </c>
      <c r="D58" s="8" t="str">
        <f>IFERROR(INDEX('nav master'!$C:$C, MATCH(B58, 'nav master'!$B:$B, 0)), "")</f>
        <v>ULIF05501/08/13DivrEqtyFd101</v>
      </c>
      <c r="E58" s="8" t="s">
        <v>301</v>
      </c>
      <c r="F58" s="8" t="s">
        <v>302</v>
      </c>
    </row>
    <row r="59" spans="1:6" ht="60" x14ac:dyDescent="0.25">
      <c r="A59" s="8" t="s">
        <v>125</v>
      </c>
      <c r="B59" s="8" t="s">
        <v>126</v>
      </c>
      <c r="C59" s="8" t="str">
        <f>IFERROR(_xlfn.XLOOKUP(TRIM(B59),Lookup!$B$2:$B$1000,Lookup!$C$2:$C$1000),"")</f>
        <v>Equity</v>
      </c>
      <c r="D59" s="8" t="str">
        <f>IFERROR(INDEX('nav master'!$C:$C, MATCH(B59, 'nav master'!$B:$B, 0)), "")</f>
        <v>ULIF05501/08/13DivrEqtyFd101</v>
      </c>
      <c r="E59" s="8" t="s">
        <v>303</v>
      </c>
      <c r="F59" s="8" t="s">
        <v>304</v>
      </c>
    </row>
    <row r="60" spans="1:6" ht="60" x14ac:dyDescent="0.25">
      <c r="A60" s="8" t="s">
        <v>125</v>
      </c>
      <c r="B60" s="8" t="s">
        <v>126</v>
      </c>
      <c r="C60" s="8" t="str">
        <f>IFERROR(_xlfn.XLOOKUP(TRIM(B60),Lookup!$B$2:$B$1000,Lookup!$C$2:$C$1000),"")</f>
        <v>Equity</v>
      </c>
      <c r="D60" s="8" t="str">
        <f>IFERROR(INDEX('nav master'!$C:$C, MATCH(B60, 'nav master'!$B:$B, 0)), "")</f>
        <v>ULIF05501/08/13DivrEqtyFd101</v>
      </c>
      <c r="E60" s="8" t="s">
        <v>305</v>
      </c>
      <c r="F60" s="8" t="s">
        <v>306</v>
      </c>
    </row>
    <row r="61" spans="1:6" ht="60" x14ac:dyDescent="0.25">
      <c r="A61" s="8" t="s">
        <v>125</v>
      </c>
      <c r="B61" s="8" t="s">
        <v>126</v>
      </c>
      <c r="C61" s="8" t="str">
        <f>IFERROR(_xlfn.XLOOKUP(TRIM(B61),Lookup!$B$2:$B$1000,Lookup!$C$2:$C$1000),"")</f>
        <v>Equity</v>
      </c>
      <c r="D61" s="8" t="str">
        <f>IFERROR(INDEX('nav master'!$C:$C, MATCH(B61, 'nav master'!$B:$B, 0)), "")</f>
        <v>ULIF05501/08/13DivrEqtyFd101</v>
      </c>
      <c r="E61" s="8" t="s">
        <v>307</v>
      </c>
      <c r="F61" s="8" t="s">
        <v>308</v>
      </c>
    </row>
    <row r="62" spans="1:6" ht="60" x14ac:dyDescent="0.25">
      <c r="A62" s="8" t="s">
        <v>125</v>
      </c>
      <c r="B62" s="8" t="s">
        <v>126</v>
      </c>
      <c r="C62" s="8" t="str">
        <f>IFERROR(_xlfn.XLOOKUP(TRIM(B62),Lookup!$B$2:$B$1000,Lookup!$C$2:$C$1000),"")</f>
        <v>Equity</v>
      </c>
      <c r="D62" s="8" t="str">
        <f>IFERROR(INDEX('nav master'!$C:$C, MATCH(B62, 'nav master'!$B:$B, 0)), "")</f>
        <v>ULIF05501/08/13DivrEqtyFd101</v>
      </c>
      <c r="E62" s="8" t="s">
        <v>309</v>
      </c>
      <c r="F62" s="8" t="s">
        <v>310</v>
      </c>
    </row>
    <row r="63" spans="1:6" ht="60" x14ac:dyDescent="0.25">
      <c r="A63" s="8" t="s">
        <v>125</v>
      </c>
      <c r="B63" s="8" t="s">
        <v>126</v>
      </c>
      <c r="C63" s="8" t="str">
        <f>IFERROR(_xlfn.XLOOKUP(TRIM(B63),Lookup!$B$2:$B$1000,Lookup!$C$2:$C$1000),"")</f>
        <v>Equity</v>
      </c>
      <c r="D63" s="8" t="str">
        <f>IFERROR(INDEX('nav master'!$C:$C, MATCH(B63, 'nav master'!$B:$B, 0)), "")</f>
        <v>ULIF05501/08/13DivrEqtyFd101</v>
      </c>
      <c r="E63" s="8" t="s">
        <v>311</v>
      </c>
      <c r="F63" s="8" t="s">
        <v>312</v>
      </c>
    </row>
    <row r="64" spans="1:6" ht="60" x14ac:dyDescent="0.25">
      <c r="A64" s="8" t="s">
        <v>125</v>
      </c>
      <c r="B64" s="8" t="s">
        <v>126</v>
      </c>
      <c r="C64" s="8" t="str">
        <f>IFERROR(_xlfn.XLOOKUP(TRIM(B64),Lookup!$B$2:$B$1000,Lookup!$C$2:$C$1000),"")</f>
        <v>Equity</v>
      </c>
      <c r="D64" s="8" t="str">
        <f>IFERROR(INDEX('nav master'!$C:$C, MATCH(B64, 'nav master'!$B:$B, 0)), "")</f>
        <v>ULIF05501/08/13DivrEqtyFd101</v>
      </c>
      <c r="E64" s="8" t="s">
        <v>313</v>
      </c>
      <c r="F64" s="8" t="s">
        <v>314</v>
      </c>
    </row>
    <row r="65" spans="1:6" ht="60" x14ac:dyDescent="0.25">
      <c r="A65" s="8" t="s">
        <v>125</v>
      </c>
      <c r="B65" s="8" t="s">
        <v>126</v>
      </c>
      <c r="C65" s="8" t="str">
        <f>IFERROR(_xlfn.XLOOKUP(TRIM(B65),Lookup!$B$2:$B$1000,Lookup!$C$2:$C$1000),"")</f>
        <v>Equity</v>
      </c>
      <c r="D65" s="8" t="str">
        <f>IFERROR(INDEX('nav master'!$C:$C, MATCH(B65, 'nav master'!$B:$B, 0)), "")</f>
        <v>ULIF05501/08/13DivrEqtyFd101</v>
      </c>
      <c r="E65" s="8" t="s">
        <v>315</v>
      </c>
      <c r="F65" s="8" t="s">
        <v>316</v>
      </c>
    </row>
    <row r="66" spans="1:6" ht="60" x14ac:dyDescent="0.25">
      <c r="A66" s="8" t="s">
        <v>125</v>
      </c>
      <c r="B66" s="8" t="s">
        <v>126</v>
      </c>
      <c r="C66" s="8" t="str">
        <f>IFERROR(_xlfn.XLOOKUP(TRIM(B66),Lookup!$B$2:$B$1000,Lookup!$C$2:$C$1000),"")</f>
        <v>Equity</v>
      </c>
      <c r="D66" s="8" t="str">
        <f>IFERROR(INDEX('nav master'!$C:$C, MATCH(B66, 'nav master'!$B:$B, 0)), "")</f>
        <v>ULIF05501/08/13DivrEqtyFd101</v>
      </c>
      <c r="E66" s="8" t="s">
        <v>317</v>
      </c>
      <c r="F66" s="8" t="s">
        <v>318</v>
      </c>
    </row>
    <row r="67" spans="1:6" ht="60" x14ac:dyDescent="0.25">
      <c r="A67" s="8" t="s">
        <v>125</v>
      </c>
      <c r="B67" s="8" t="s">
        <v>126</v>
      </c>
      <c r="C67" s="8" t="str">
        <f>IFERROR(_xlfn.XLOOKUP(TRIM(B67),Lookup!$B$2:$B$1000,Lookup!$C$2:$C$1000),"")</f>
        <v>Equity</v>
      </c>
      <c r="D67" s="8" t="str">
        <f>IFERROR(INDEX('nav master'!$C:$C, MATCH(B67, 'nav master'!$B:$B, 0)), "")</f>
        <v>ULIF05501/08/13DivrEqtyFd101</v>
      </c>
      <c r="E67" s="8" t="s">
        <v>319</v>
      </c>
      <c r="F67" s="8" t="s">
        <v>320</v>
      </c>
    </row>
    <row r="68" spans="1:6" ht="60" x14ac:dyDescent="0.25">
      <c r="A68" s="8" t="s">
        <v>125</v>
      </c>
      <c r="B68" s="8" t="s">
        <v>126</v>
      </c>
      <c r="C68" s="8" t="str">
        <f>IFERROR(_xlfn.XLOOKUP(TRIM(B68),Lookup!$B$2:$B$1000,Lookup!$C$2:$C$1000),"")</f>
        <v>Equity</v>
      </c>
      <c r="D68" s="8" t="str">
        <f>IFERROR(INDEX('nav master'!$C:$C, MATCH(B68, 'nav master'!$B:$B, 0)), "")</f>
        <v>ULIF05501/08/13DivrEqtyFd101</v>
      </c>
      <c r="E68" s="8" t="s">
        <v>321</v>
      </c>
      <c r="F68" s="8" t="s">
        <v>322</v>
      </c>
    </row>
    <row r="69" spans="1:6" ht="60" x14ac:dyDescent="0.25">
      <c r="A69" s="8" t="s">
        <v>125</v>
      </c>
      <c r="B69" s="8" t="s">
        <v>126</v>
      </c>
      <c r="C69" s="8" t="str">
        <f>IFERROR(_xlfn.XLOOKUP(TRIM(B69),Lookup!$B$2:$B$1000,Lookup!$C$2:$C$1000),"")</f>
        <v>Equity</v>
      </c>
      <c r="D69" s="8" t="str">
        <f>IFERROR(INDEX('nav master'!$C:$C, MATCH(B69, 'nav master'!$B:$B, 0)), "")</f>
        <v>ULIF05501/08/13DivrEqtyFd101</v>
      </c>
      <c r="E69" s="8" t="s">
        <v>323</v>
      </c>
      <c r="F69" s="8" t="s">
        <v>324</v>
      </c>
    </row>
    <row r="70" spans="1:6" ht="60" x14ac:dyDescent="0.25">
      <c r="A70" s="8" t="s">
        <v>125</v>
      </c>
      <c r="B70" s="8" t="s">
        <v>126</v>
      </c>
      <c r="C70" s="8" t="str">
        <f>IFERROR(_xlfn.XLOOKUP(TRIM(B70),Lookup!$B$2:$B$1000,Lookup!$C$2:$C$1000),"")</f>
        <v>Equity</v>
      </c>
      <c r="D70" s="8" t="str">
        <f>IFERROR(INDEX('nav master'!$C:$C, MATCH(B70, 'nav master'!$B:$B, 0)), "")</f>
        <v>ULIF05501/08/13DivrEqtyFd101</v>
      </c>
      <c r="E70" s="8" t="s">
        <v>325</v>
      </c>
      <c r="F70" s="8" t="s">
        <v>326</v>
      </c>
    </row>
    <row r="71" spans="1:6" ht="60" x14ac:dyDescent="0.25">
      <c r="A71" s="8" t="s">
        <v>125</v>
      </c>
      <c r="B71" s="8" t="s">
        <v>126</v>
      </c>
      <c r="C71" s="8" t="str">
        <f>IFERROR(_xlfn.XLOOKUP(TRIM(B71),Lookup!$B$2:$B$1000,Lookup!$C$2:$C$1000),"")</f>
        <v>Equity</v>
      </c>
      <c r="D71" s="8" t="str">
        <f>IFERROR(INDEX('nav master'!$C:$C, MATCH(B71, 'nav master'!$B:$B, 0)), "")</f>
        <v>ULIF05501/08/13DivrEqtyFd101</v>
      </c>
      <c r="E71" s="8" t="s">
        <v>327</v>
      </c>
      <c r="F71" s="8" t="s">
        <v>328</v>
      </c>
    </row>
    <row r="72" spans="1:6" ht="60" x14ac:dyDescent="0.25">
      <c r="A72" s="8" t="s">
        <v>125</v>
      </c>
      <c r="B72" s="8" t="s">
        <v>126</v>
      </c>
      <c r="C72" s="8" t="str">
        <f>IFERROR(_xlfn.XLOOKUP(TRIM(B72),Lookup!$B$2:$B$1000,Lookup!$C$2:$C$1000),"")</f>
        <v>Equity</v>
      </c>
      <c r="D72" s="8" t="str">
        <f>IFERROR(INDEX('nav master'!$C:$C, MATCH(B72, 'nav master'!$B:$B, 0)), "")</f>
        <v>ULIF05501/08/13DivrEqtyFd101</v>
      </c>
      <c r="E72" s="8" t="s">
        <v>329</v>
      </c>
      <c r="F72" s="8" t="s">
        <v>330</v>
      </c>
    </row>
    <row r="73" spans="1:6" ht="60" x14ac:dyDescent="0.25">
      <c r="A73" s="8" t="s">
        <v>125</v>
      </c>
      <c r="B73" s="8" t="s">
        <v>126</v>
      </c>
      <c r="C73" s="8" t="str">
        <f>IFERROR(_xlfn.XLOOKUP(TRIM(B73),Lookup!$B$2:$B$1000,Lookup!$C$2:$C$1000),"")</f>
        <v>Equity</v>
      </c>
      <c r="D73" s="8" t="str">
        <f>IFERROR(INDEX('nav master'!$C:$C, MATCH(B73, 'nav master'!$B:$B, 0)), "")</f>
        <v>ULIF05501/08/13DivrEqtyFd101</v>
      </c>
      <c r="E73" s="8" t="s">
        <v>331</v>
      </c>
      <c r="F73" s="8" t="s">
        <v>332</v>
      </c>
    </row>
    <row r="74" spans="1:6" ht="60" x14ac:dyDescent="0.25">
      <c r="A74" s="8" t="s">
        <v>125</v>
      </c>
      <c r="B74" s="8" t="s">
        <v>126</v>
      </c>
      <c r="C74" s="8" t="str">
        <f>IFERROR(_xlfn.XLOOKUP(TRIM(B74),Lookup!$B$2:$B$1000,Lookup!$C$2:$C$1000),"")</f>
        <v>Equity</v>
      </c>
      <c r="D74" s="8" t="str">
        <f>IFERROR(INDEX('nav master'!$C:$C, MATCH(B74, 'nav master'!$B:$B, 0)), "")</f>
        <v>ULIF05501/08/13DivrEqtyFd101</v>
      </c>
      <c r="E74" s="8" t="s">
        <v>333</v>
      </c>
      <c r="F74" s="8" t="s">
        <v>334</v>
      </c>
    </row>
    <row r="75" spans="1:6" ht="60" x14ac:dyDescent="0.25">
      <c r="A75" s="8" t="s">
        <v>125</v>
      </c>
      <c r="B75" s="8" t="s">
        <v>126</v>
      </c>
      <c r="C75" s="8" t="str">
        <f>IFERROR(_xlfn.XLOOKUP(TRIM(B75),Lookup!$B$2:$B$1000,Lookup!$C$2:$C$1000),"")</f>
        <v>Equity</v>
      </c>
      <c r="D75" s="8" t="str">
        <f>IFERROR(INDEX('nav master'!$C:$C, MATCH(B75, 'nav master'!$B:$B, 0)), "")</f>
        <v>ULIF05501/08/13DivrEqtyFd101</v>
      </c>
      <c r="E75" s="8" t="s">
        <v>335</v>
      </c>
      <c r="F75" s="8" t="s">
        <v>336</v>
      </c>
    </row>
    <row r="76" spans="1:6" ht="60" x14ac:dyDescent="0.25">
      <c r="A76" s="8" t="s">
        <v>125</v>
      </c>
      <c r="B76" s="8" t="s">
        <v>126</v>
      </c>
      <c r="C76" s="8" t="str">
        <f>IFERROR(_xlfn.XLOOKUP(TRIM(B76),Lookup!$B$2:$B$1000,Lookup!$C$2:$C$1000),"")</f>
        <v>Equity</v>
      </c>
      <c r="D76" s="8" t="str">
        <f>IFERROR(INDEX('nav master'!$C:$C, MATCH(B76, 'nav master'!$B:$B, 0)), "")</f>
        <v>ULIF05501/08/13DivrEqtyFd101</v>
      </c>
      <c r="E76" s="8" t="s">
        <v>337</v>
      </c>
      <c r="F76" s="8" t="s">
        <v>338</v>
      </c>
    </row>
    <row r="77" spans="1:6" ht="60" x14ac:dyDescent="0.25">
      <c r="A77" s="8" t="s">
        <v>125</v>
      </c>
      <c r="B77" s="8" t="s">
        <v>126</v>
      </c>
      <c r="C77" s="8" t="str">
        <f>IFERROR(_xlfn.XLOOKUP(TRIM(B77),Lookup!$B$2:$B$1000,Lookup!$C$2:$C$1000),"")</f>
        <v>Equity</v>
      </c>
      <c r="D77" s="8" t="str">
        <f>IFERROR(INDEX('nav master'!$C:$C, MATCH(B77, 'nav master'!$B:$B, 0)), "")</f>
        <v>ULIF05501/08/13DivrEqtyFd101</v>
      </c>
      <c r="E77" s="8" t="s">
        <v>339</v>
      </c>
      <c r="F77" s="8" t="s">
        <v>340</v>
      </c>
    </row>
    <row r="78" spans="1:6" ht="60" x14ac:dyDescent="0.25">
      <c r="A78" s="8" t="s">
        <v>125</v>
      </c>
      <c r="B78" s="8" t="s">
        <v>126</v>
      </c>
      <c r="C78" s="8" t="str">
        <f>IFERROR(_xlfn.XLOOKUP(TRIM(B78),Lookup!$B$2:$B$1000,Lookup!$C$2:$C$1000),"")</f>
        <v>Equity</v>
      </c>
      <c r="D78" s="8" t="str">
        <f>IFERROR(INDEX('nav master'!$C:$C, MATCH(B78, 'nav master'!$B:$B, 0)), "")</f>
        <v>ULIF05501/08/13DivrEqtyFd101</v>
      </c>
      <c r="E78" s="8" t="s">
        <v>341</v>
      </c>
      <c r="F78" s="8" t="s">
        <v>342</v>
      </c>
    </row>
    <row r="79" spans="1:6" ht="60" x14ac:dyDescent="0.25">
      <c r="A79" s="8" t="s">
        <v>125</v>
      </c>
      <c r="B79" s="8" t="s">
        <v>126</v>
      </c>
      <c r="C79" s="8" t="str">
        <f>IFERROR(_xlfn.XLOOKUP(TRIM(B79),Lookup!$B$2:$B$1000,Lookup!$C$2:$C$1000),"")</f>
        <v>Equity</v>
      </c>
      <c r="D79" s="8" t="str">
        <f>IFERROR(INDEX('nav master'!$C:$C, MATCH(B79, 'nav master'!$B:$B, 0)), "")</f>
        <v>ULIF05501/08/13DivrEqtyFd101</v>
      </c>
      <c r="E79" s="8" t="s">
        <v>343</v>
      </c>
      <c r="F79" s="8" t="s">
        <v>344</v>
      </c>
    </row>
    <row r="80" spans="1:6" ht="60" x14ac:dyDescent="0.25">
      <c r="A80" s="8" t="s">
        <v>125</v>
      </c>
      <c r="B80" s="8" t="s">
        <v>126</v>
      </c>
      <c r="C80" s="8" t="str">
        <f>IFERROR(_xlfn.XLOOKUP(TRIM(B80),Lookup!$B$2:$B$1000,Lookup!$C$2:$C$1000),"")</f>
        <v>Equity</v>
      </c>
      <c r="D80" s="8" t="str">
        <f>IFERROR(INDEX('nav master'!$C:$C, MATCH(B80, 'nav master'!$B:$B, 0)), "")</f>
        <v>ULIF05501/08/13DivrEqtyFd101</v>
      </c>
      <c r="E80" s="8" t="s">
        <v>345</v>
      </c>
      <c r="F80" s="8" t="s">
        <v>346</v>
      </c>
    </row>
    <row r="81" spans="1:6" ht="60" x14ac:dyDescent="0.25">
      <c r="A81" s="8" t="s">
        <v>125</v>
      </c>
      <c r="B81" s="8" t="s">
        <v>126</v>
      </c>
      <c r="C81" s="8" t="str">
        <f>IFERROR(_xlfn.XLOOKUP(TRIM(B81),Lookup!$B$2:$B$1000,Lookup!$C$2:$C$1000),"")</f>
        <v>Equity</v>
      </c>
      <c r="D81" s="8" t="str">
        <f>IFERROR(INDEX('nav master'!$C:$C, MATCH(B81, 'nav master'!$B:$B, 0)), "")</f>
        <v>ULIF05501/08/13DivrEqtyFd101</v>
      </c>
      <c r="E81" s="8" t="s">
        <v>347</v>
      </c>
      <c r="F81" s="8" t="s">
        <v>348</v>
      </c>
    </row>
    <row r="82" spans="1:6" ht="60" x14ac:dyDescent="0.25">
      <c r="A82" s="8" t="s">
        <v>125</v>
      </c>
      <c r="B82" s="8" t="s">
        <v>126</v>
      </c>
      <c r="C82" s="8" t="str">
        <f>IFERROR(_xlfn.XLOOKUP(TRIM(B82),Lookup!$B$2:$B$1000,Lookup!$C$2:$C$1000),"")</f>
        <v>Equity</v>
      </c>
      <c r="D82" s="8" t="str">
        <f>IFERROR(INDEX('nav master'!$C:$C, MATCH(B82, 'nav master'!$B:$B, 0)), "")</f>
        <v>ULIF05501/08/13DivrEqtyFd101</v>
      </c>
      <c r="E82" s="8" t="s">
        <v>349</v>
      </c>
      <c r="F82" s="8" t="s">
        <v>350</v>
      </c>
    </row>
    <row r="83" spans="1:6" ht="60" x14ac:dyDescent="0.25">
      <c r="A83" s="8" t="s">
        <v>125</v>
      </c>
      <c r="B83" s="8" t="s">
        <v>126</v>
      </c>
      <c r="C83" s="8" t="str">
        <f>IFERROR(_xlfn.XLOOKUP(TRIM(B83),Lookup!$B$2:$B$1000,Lookup!$C$2:$C$1000),"")</f>
        <v>Equity</v>
      </c>
      <c r="D83" s="8" t="str">
        <f>IFERROR(INDEX('nav master'!$C:$C, MATCH(B83, 'nav master'!$B:$B, 0)), "")</f>
        <v>ULIF05501/08/13DivrEqtyFd101</v>
      </c>
      <c r="E83" s="8" t="s">
        <v>351</v>
      </c>
      <c r="F83" s="8" t="s">
        <v>352</v>
      </c>
    </row>
    <row r="84" spans="1:6" ht="60" x14ac:dyDescent="0.25">
      <c r="A84" s="8" t="s">
        <v>125</v>
      </c>
      <c r="B84" s="8" t="s">
        <v>126</v>
      </c>
      <c r="C84" s="8" t="str">
        <f>IFERROR(_xlfn.XLOOKUP(TRIM(B84),Lookup!$B$2:$B$1000,Lookup!$C$2:$C$1000),"")</f>
        <v>Equity</v>
      </c>
      <c r="D84" s="8" t="str">
        <f>IFERROR(INDEX('nav master'!$C:$C, MATCH(B84, 'nav master'!$B:$B, 0)), "")</f>
        <v>ULIF05501/08/13DivrEqtyFd101</v>
      </c>
      <c r="E84" s="8" t="s">
        <v>353</v>
      </c>
      <c r="F84" s="8" t="s">
        <v>354</v>
      </c>
    </row>
    <row r="85" spans="1:6" ht="60" x14ac:dyDescent="0.25">
      <c r="A85" s="8" t="s">
        <v>125</v>
      </c>
      <c r="B85" s="8" t="s">
        <v>126</v>
      </c>
      <c r="C85" s="8" t="str">
        <f>IFERROR(_xlfn.XLOOKUP(TRIM(B85),Lookup!$B$2:$B$1000,Lookup!$C$2:$C$1000),"")</f>
        <v>Equity</v>
      </c>
      <c r="D85" s="8" t="str">
        <f>IFERROR(INDEX('nav master'!$C:$C, MATCH(B85, 'nav master'!$B:$B, 0)), "")</f>
        <v>ULIF05501/08/13DivrEqtyFd101</v>
      </c>
      <c r="E85" s="8" t="s">
        <v>355</v>
      </c>
      <c r="F85" s="8" t="s">
        <v>356</v>
      </c>
    </row>
    <row r="86" spans="1:6" ht="60" x14ac:dyDescent="0.25">
      <c r="A86" s="8" t="s">
        <v>125</v>
      </c>
      <c r="B86" s="8" t="s">
        <v>126</v>
      </c>
      <c r="C86" s="8" t="str">
        <f>IFERROR(_xlfn.XLOOKUP(TRIM(B86),Lookup!$B$2:$B$1000,Lookup!$C$2:$C$1000),"")</f>
        <v>Equity</v>
      </c>
      <c r="D86" s="8" t="str">
        <f>IFERROR(INDEX('nav master'!$C:$C, MATCH(B86, 'nav master'!$B:$B, 0)), "")</f>
        <v>ULIF05501/08/13DivrEqtyFd101</v>
      </c>
      <c r="E86" s="8" t="s">
        <v>357</v>
      </c>
      <c r="F86" s="8" t="s">
        <v>358</v>
      </c>
    </row>
    <row r="87" spans="1:6" ht="60" x14ac:dyDescent="0.25">
      <c r="A87" s="8" t="s">
        <v>125</v>
      </c>
      <c r="B87" s="8" t="s">
        <v>126</v>
      </c>
      <c r="C87" s="8" t="str">
        <f>IFERROR(_xlfn.XLOOKUP(TRIM(B87),Lookup!$B$2:$B$1000,Lookup!$C$2:$C$1000),"")</f>
        <v>Equity</v>
      </c>
      <c r="D87" s="8" t="str">
        <f>IFERROR(INDEX('nav master'!$C:$C, MATCH(B87, 'nav master'!$B:$B, 0)), "")</f>
        <v>ULIF05501/08/13DivrEqtyFd101</v>
      </c>
      <c r="E87" s="8" t="s">
        <v>359</v>
      </c>
      <c r="F87" s="8" t="s">
        <v>360</v>
      </c>
    </row>
    <row r="88" spans="1:6" ht="60" x14ac:dyDescent="0.25">
      <c r="A88" s="8" t="s">
        <v>125</v>
      </c>
      <c r="B88" s="8" t="s">
        <v>126</v>
      </c>
      <c r="C88" s="8" t="str">
        <f>IFERROR(_xlfn.XLOOKUP(TRIM(B88),Lookup!$B$2:$B$1000,Lookup!$C$2:$C$1000),"")</f>
        <v>Equity</v>
      </c>
      <c r="D88" s="8" t="str">
        <f>IFERROR(INDEX('nav master'!$C:$C, MATCH(B88, 'nav master'!$B:$B, 0)), "")</f>
        <v>ULIF05501/08/13DivrEqtyFd101</v>
      </c>
      <c r="E88" s="8" t="s">
        <v>361</v>
      </c>
      <c r="F88" s="8" t="s">
        <v>362</v>
      </c>
    </row>
    <row r="89" spans="1:6" ht="60" x14ac:dyDescent="0.25">
      <c r="A89" s="8" t="s">
        <v>125</v>
      </c>
      <c r="B89" s="8" t="s">
        <v>126</v>
      </c>
      <c r="C89" s="8" t="str">
        <f>IFERROR(_xlfn.XLOOKUP(TRIM(B89),Lookup!$B$2:$B$1000,Lookup!$C$2:$C$1000),"")</f>
        <v>Equity</v>
      </c>
      <c r="D89" s="8" t="str">
        <f>IFERROR(INDEX('nav master'!$C:$C, MATCH(B89, 'nav master'!$B:$B, 0)), "")</f>
        <v>ULIF05501/08/13DivrEqtyFd101</v>
      </c>
      <c r="E89" s="8" t="s">
        <v>363</v>
      </c>
      <c r="F89" s="8" t="s">
        <v>364</v>
      </c>
    </row>
    <row r="90" spans="1:6" ht="60" x14ac:dyDescent="0.25">
      <c r="A90" s="8" t="s">
        <v>125</v>
      </c>
      <c r="B90" s="8" t="s">
        <v>126</v>
      </c>
      <c r="C90" s="8" t="str">
        <f>IFERROR(_xlfn.XLOOKUP(TRIM(B90),Lookup!$B$2:$B$1000,Lookup!$C$2:$C$1000),"")</f>
        <v>Equity</v>
      </c>
      <c r="D90" s="8" t="str">
        <f>IFERROR(INDEX('nav master'!$C:$C, MATCH(B90, 'nav master'!$B:$B, 0)), "")</f>
        <v>ULIF05501/08/13DivrEqtyFd101</v>
      </c>
      <c r="E90" s="8" t="s">
        <v>365</v>
      </c>
      <c r="F90" s="8" t="s">
        <v>366</v>
      </c>
    </row>
    <row r="91" spans="1:6" ht="60" x14ac:dyDescent="0.25">
      <c r="A91" s="8" t="s">
        <v>125</v>
      </c>
      <c r="B91" s="8" t="s">
        <v>126</v>
      </c>
      <c r="C91" s="8" t="str">
        <f>IFERROR(_xlfn.XLOOKUP(TRIM(B91),Lookup!$B$2:$B$1000,Lookup!$C$2:$C$1000),"")</f>
        <v>Equity</v>
      </c>
      <c r="D91" s="8" t="str">
        <f>IFERROR(INDEX('nav master'!$C:$C, MATCH(B91, 'nav master'!$B:$B, 0)), "")</f>
        <v>ULIF05501/08/13DivrEqtyFd101</v>
      </c>
      <c r="E91" s="8" t="s">
        <v>367</v>
      </c>
      <c r="F91" s="8" t="s">
        <v>368</v>
      </c>
    </row>
    <row r="92" spans="1:6" ht="60" x14ac:dyDescent="0.25">
      <c r="A92" s="8" t="s">
        <v>125</v>
      </c>
      <c r="B92" s="8" t="s">
        <v>126</v>
      </c>
      <c r="C92" s="8" t="str">
        <f>IFERROR(_xlfn.XLOOKUP(TRIM(B92),Lookup!$B$2:$B$1000,Lookup!$C$2:$C$1000),"")</f>
        <v>Equity</v>
      </c>
      <c r="D92" s="8" t="str">
        <f>IFERROR(INDEX('nav master'!$C:$C, MATCH(B92, 'nav master'!$B:$B, 0)), "")</f>
        <v>ULIF05501/08/13DivrEqtyFd101</v>
      </c>
      <c r="E92" s="8" t="s">
        <v>369</v>
      </c>
      <c r="F92" s="8" t="s">
        <v>370</v>
      </c>
    </row>
    <row r="93" spans="1:6" ht="60" x14ac:dyDescent="0.25">
      <c r="A93" s="8" t="s">
        <v>125</v>
      </c>
      <c r="B93" s="8" t="s">
        <v>126</v>
      </c>
      <c r="C93" s="8" t="str">
        <f>IFERROR(_xlfn.XLOOKUP(TRIM(B93),Lookup!$B$2:$B$1000,Lookup!$C$2:$C$1000),"")</f>
        <v>Equity</v>
      </c>
      <c r="D93" s="8" t="str">
        <f>IFERROR(INDEX('nav master'!$C:$C, MATCH(B93, 'nav master'!$B:$B, 0)), "")</f>
        <v>ULIF05501/08/13DivrEqtyFd101</v>
      </c>
      <c r="E93" s="8" t="s">
        <v>371</v>
      </c>
      <c r="F93" s="8" t="s">
        <v>372</v>
      </c>
    </row>
    <row r="94" spans="1:6" ht="60" x14ac:dyDescent="0.25">
      <c r="A94" s="8" t="s">
        <v>125</v>
      </c>
      <c r="B94" s="8" t="s">
        <v>126</v>
      </c>
      <c r="C94" s="8" t="str">
        <f>IFERROR(_xlfn.XLOOKUP(TRIM(B94),Lookup!$B$2:$B$1000,Lookup!$C$2:$C$1000),"")</f>
        <v>Equity</v>
      </c>
      <c r="D94" s="8" t="str">
        <f>IFERROR(INDEX('nav master'!$C:$C, MATCH(B94, 'nav master'!$B:$B, 0)), "")</f>
        <v>ULIF05501/08/13DivrEqtyFd101</v>
      </c>
      <c r="E94" s="8" t="s">
        <v>373</v>
      </c>
      <c r="F94" s="8" t="s">
        <v>374</v>
      </c>
    </row>
    <row r="95" spans="1:6" ht="60" x14ac:dyDescent="0.25">
      <c r="A95" s="8" t="s">
        <v>125</v>
      </c>
      <c r="B95" s="8" t="s">
        <v>126</v>
      </c>
      <c r="C95" s="8" t="str">
        <f>IFERROR(_xlfn.XLOOKUP(TRIM(B95),Lookup!$B$2:$B$1000,Lookup!$C$2:$C$1000),"")</f>
        <v>Equity</v>
      </c>
      <c r="D95" s="8" t="str">
        <f>IFERROR(INDEX('nav master'!$C:$C, MATCH(B95, 'nav master'!$B:$B, 0)), "")</f>
        <v>ULIF05501/08/13DivrEqtyFd101</v>
      </c>
      <c r="E95" s="8" t="s">
        <v>375</v>
      </c>
      <c r="F95" s="8" t="s">
        <v>376</v>
      </c>
    </row>
    <row r="96" spans="1:6" ht="60" x14ac:dyDescent="0.25">
      <c r="A96" s="8" t="s">
        <v>125</v>
      </c>
      <c r="B96" s="8" t="s">
        <v>126</v>
      </c>
      <c r="C96" s="8" t="str">
        <f>IFERROR(_xlfn.XLOOKUP(TRIM(B96),Lookup!$B$2:$B$1000,Lookup!$C$2:$C$1000),"")</f>
        <v>Equity</v>
      </c>
      <c r="D96" s="8" t="str">
        <f>IFERROR(INDEX('nav master'!$C:$C, MATCH(B96, 'nav master'!$B:$B, 0)), "")</f>
        <v>ULIF05501/08/13DivrEqtyFd101</v>
      </c>
      <c r="E96" s="8" t="s">
        <v>377</v>
      </c>
      <c r="F96" s="8" t="s">
        <v>378</v>
      </c>
    </row>
    <row r="97" spans="1:6" ht="60" x14ac:dyDescent="0.25">
      <c r="A97" s="8" t="s">
        <v>125</v>
      </c>
      <c r="B97" s="8" t="s">
        <v>126</v>
      </c>
      <c r="C97" s="8" t="str">
        <f>IFERROR(_xlfn.XLOOKUP(TRIM(B97),Lookup!$B$2:$B$1000,Lookup!$C$2:$C$1000),"")</f>
        <v>Equity</v>
      </c>
      <c r="D97" s="8" t="str">
        <f>IFERROR(INDEX('nav master'!$C:$C, MATCH(B97, 'nav master'!$B:$B, 0)), "")</f>
        <v>ULIF05501/08/13DivrEqtyFd101</v>
      </c>
      <c r="E97" s="8" t="s">
        <v>379</v>
      </c>
      <c r="F97" s="8" t="s">
        <v>380</v>
      </c>
    </row>
    <row r="98" spans="1:6" ht="60" x14ac:dyDescent="0.25">
      <c r="A98" s="8" t="s">
        <v>125</v>
      </c>
      <c r="B98" s="8" t="s">
        <v>126</v>
      </c>
      <c r="C98" s="8" t="str">
        <f>IFERROR(_xlfn.XLOOKUP(TRIM(B98),Lookup!$B$2:$B$1000,Lookup!$C$2:$C$1000),"")</f>
        <v>Equity</v>
      </c>
      <c r="D98" s="8" t="str">
        <f>IFERROR(INDEX('nav master'!$C:$C, MATCH(B98, 'nav master'!$B:$B, 0)), "")</f>
        <v>ULIF05501/08/13DivrEqtyFd101</v>
      </c>
      <c r="E98" s="8" t="s">
        <v>381</v>
      </c>
      <c r="F98" s="8" t="s">
        <v>382</v>
      </c>
    </row>
    <row r="99" spans="1:6" ht="60" x14ac:dyDescent="0.25">
      <c r="A99" s="8" t="s">
        <v>125</v>
      </c>
      <c r="B99" s="8" t="s">
        <v>126</v>
      </c>
      <c r="C99" s="8" t="str">
        <f>IFERROR(_xlfn.XLOOKUP(TRIM(B99),Lookup!$B$2:$B$1000,Lookup!$C$2:$C$1000),"")</f>
        <v>Equity</v>
      </c>
      <c r="D99" s="8" t="str">
        <f>IFERROR(INDEX('nav master'!$C:$C, MATCH(B99, 'nav master'!$B:$B, 0)), "")</f>
        <v>ULIF05501/08/13DivrEqtyFd101</v>
      </c>
      <c r="E99" s="8" t="s">
        <v>383</v>
      </c>
      <c r="F99" s="8" t="s">
        <v>384</v>
      </c>
    </row>
    <row r="100" spans="1:6" ht="60" x14ac:dyDescent="0.25">
      <c r="A100" s="8" t="s">
        <v>125</v>
      </c>
      <c r="B100" s="8" t="s">
        <v>126</v>
      </c>
      <c r="C100" s="8" t="str">
        <f>IFERROR(_xlfn.XLOOKUP(TRIM(B100),Lookup!$B$2:$B$1000,Lookup!$C$2:$C$1000),"")</f>
        <v>Equity</v>
      </c>
      <c r="D100" s="8" t="str">
        <f>IFERROR(INDEX('nav master'!$C:$C, MATCH(B100, 'nav master'!$B:$B, 0)), "")</f>
        <v>ULIF05501/08/13DivrEqtyFd101</v>
      </c>
      <c r="E100" s="8" t="s">
        <v>385</v>
      </c>
      <c r="F100" s="8" t="s">
        <v>386</v>
      </c>
    </row>
    <row r="101" spans="1:6" ht="60" x14ac:dyDescent="0.25">
      <c r="A101" s="8" t="s">
        <v>125</v>
      </c>
      <c r="B101" s="8" t="s">
        <v>126</v>
      </c>
      <c r="C101" s="8" t="str">
        <f>IFERROR(_xlfn.XLOOKUP(TRIM(B101),Lookup!$B$2:$B$1000,Lookup!$C$2:$C$1000),"")</f>
        <v>Equity</v>
      </c>
      <c r="D101" s="8" t="str">
        <f>IFERROR(INDEX('nav master'!$C:$C, MATCH(B101, 'nav master'!$B:$B, 0)), "")</f>
        <v>ULIF05501/08/13DivrEqtyFd101</v>
      </c>
      <c r="E101" s="8" t="s">
        <v>387</v>
      </c>
      <c r="F101" s="8" t="s">
        <v>388</v>
      </c>
    </row>
    <row r="102" spans="1:6" ht="60" x14ac:dyDescent="0.25">
      <c r="A102" s="8" t="s">
        <v>125</v>
      </c>
      <c r="B102" s="8" t="s">
        <v>126</v>
      </c>
      <c r="C102" s="8" t="str">
        <f>IFERROR(_xlfn.XLOOKUP(TRIM(B102),Lookup!$B$2:$B$1000,Lookup!$C$2:$C$1000),"")</f>
        <v>Equity</v>
      </c>
      <c r="D102" s="8" t="str">
        <f>IFERROR(INDEX('nav master'!$C:$C, MATCH(B102, 'nav master'!$B:$B, 0)), "")</f>
        <v>ULIF05501/08/13DivrEqtyFd101</v>
      </c>
      <c r="E102" s="8" t="s">
        <v>389</v>
      </c>
      <c r="F102" s="8" t="s">
        <v>390</v>
      </c>
    </row>
    <row r="103" spans="1:6" ht="60" x14ac:dyDescent="0.25">
      <c r="A103" s="8" t="s">
        <v>125</v>
      </c>
      <c r="B103" s="8" t="s">
        <v>126</v>
      </c>
      <c r="C103" s="8" t="str">
        <f>IFERROR(_xlfn.XLOOKUP(TRIM(B103),Lookup!$B$2:$B$1000,Lookup!$C$2:$C$1000),"")</f>
        <v>Equity</v>
      </c>
      <c r="D103" s="8" t="str">
        <f>IFERROR(INDEX('nav master'!$C:$C, MATCH(B103, 'nav master'!$B:$B, 0)), "")</f>
        <v>ULIF05501/08/13DivrEqtyFd101</v>
      </c>
      <c r="E103" s="8" t="s">
        <v>391</v>
      </c>
      <c r="F103" s="8" t="s">
        <v>392</v>
      </c>
    </row>
    <row r="104" spans="1:6" ht="60" x14ac:dyDescent="0.25">
      <c r="A104" s="8" t="s">
        <v>125</v>
      </c>
      <c r="B104" s="8" t="s">
        <v>126</v>
      </c>
      <c r="C104" s="8" t="str">
        <f>IFERROR(_xlfn.XLOOKUP(TRIM(B104),Lookup!$B$2:$B$1000,Lookup!$C$2:$C$1000),"")</f>
        <v>Equity</v>
      </c>
      <c r="D104" s="8" t="str">
        <f>IFERROR(INDEX('nav master'!$C:$C, MATCH(B104, 'nav master'!$B:$B, 0)), "")</f>
        <v>ULIF05501/08/13DivrEqtyFd101</v>
      </c>
      <c r="E104" s="8" t="s">
        <v>393</v>
      </c>
      <c r="F104" s="8" t="s">
        <v>394</v>
      </c>
    </row>
    <row r="105" spans="1:6" ht="60" x14ac:dyDescent="0.25">
      <c r="A105" s="8" t="s">
        <v>125</v>
      </c>
      <c r="B105" s="8" t="s">
        <v>126</v>
      </c>
      <c r="C105" s="8" t="str">
        <f>IFERROR(_xlfn.XLOOKUP(TRIM(B105),Lookup!$B$2:$B$1000,Lookup!$C$2:$C$1000),"")</f>
        <v>Equity</v>
      </c>
      <c r="D105" s="8" t="str">
        <f>IFERROR(INDEX('nav master'!$C:$C, MATCH(B105, 'nav master'!$B:$B, 0)), "")</f>
        <v>ULIF05501/08/13DivrEqtyFd101</v>
      </c>
      <c r="E105" s="8" t="s">
        <v>395</v>
      </c>
      <c r="F105" s="8" t="s">
        <v>396</v>
      </c>
    </row>
    <row r="106" spans="1:6" ht="60" x14ac:dyDescent="0.25">
      <c r="A106" s="8" t="s">
        <v>125</v>
      </c>
      <c r="B106" s="8" t="s">
        <v>126</v>
      </c>
      <c r="C106" s="8" t="str">
        <f>IFERROR(_xlfn.XLOOKUP(TRIM(B106),Lookup!$B$2:$B$1000,Lookup!$C$2:$C$1000),"")</f>
        <v>Equity</v>
      </c>
      <c r="D106" s="8" t="str">
        <f>IFERROR(INDEX('nav master'!$C:$C, MATCH(B106, 'nav master'!$B:$B, 0)), "")</f>
        <v>ULIF05501/08/13DivrEqtyFd101</v>
      </c>
      <c r="E106" s="8" t="s">
        <v>397</v>
      </c>
      <c r="F106" s="8" t="s">
        <v>398</v>
      </c>
    </row>
    <row r="107" spans="1:6" ht="60" x14ac:dyDescent="0.25">
      <c r="A107" s="8" t="s">
        <v>125</v>
      </c>
      <c r="B107" s="8" t="s">
        <v>126</v>
      </c>
      <c r="C107" s="8" t="str">
        <f>IFERROR(_xlfn.XLOOKUP(TRIM(B107),Lookup!$B$2:$B$1000,Lookup!$C$2:$C$1000),"")</f>
        <v>Equity</v>
      </c>
      <c r="D107" s="8" t="str">
        <f>IFERROR(INDEX('nav master'!$C:$C, MATCH(B107, 'nav master'!$B:$B, 0)), "")</f>
        <v>ULIF05501/08/13DivrEqtyFd101</v>
      </c>
      <c r="E107" s="8" t="s">
        <v>399</v>
      </c>
      <c r="F107" s="8" t="s">
        <v>400</v>
      </c>
    </row>
    <row r="108" spans="1:6" ht="60" x14ac:dyDescent="0.25">
      <c r="A108" s="8" t="s">
        <v>125</v>
      </c>
      <c r="B108" s="8" t="s">
        <v>126</v>
      </c>
      <c r="C108" s="8" t="str">
        <f>IFERROR(_xlfn.XLOOKUP(TRIM(B108),Lookup!$B$2:$B$1000,Lookup!$C$2:$C$1000),"")</f>
        <v>Equity</v>
      </c>
      <c r="D108" s="8" t="str">
        <f>IFERROR(INDEX('nav master'!$C:$C, MATCH(B108, 'nav master'!$B:$B, 0)), "")</f>
        <v>ULIF05501/08/13DivrEqtyFd101</v>
      </c>
      <c r="E108" s="8" t="s">
        <v>401</v>
      </c>
      <c r="F108" s="8" t="s">
        <v>402</v>
      </c>
    </row>
    <row r="109" spans="1:6" ht="60" x14ac:dyDescent="0.25">
      <c r="A109" s="8" t="s">
        <v>125</v>
      </c>
      <c r="B109" s="8" t="s">
        <v>126</v>
      </c>
      <c r="C109" s="8" t="str">
        <f>IFERROR(_xlfn.XLOOKUP(TRIM(B109),Lookup!$B$2:$B$1000,Lookup!$C$2:$C$1000),"")</f>
        <v>Equity</v>
      </c>
      <c r="D109" s="8" t="str">
        <f>IFERROR(INDEX('nav master'!$C:$C, MATCH(B109, 'nav master'!$B:$B, 0)), "")</f>
        <v>ULIF05501/08/13DivrEqtyFd101</v>
      </c>
      <c r="E109" s="8" t="s">
        <v>403</v>
      </c>
      <c r="F109" s="8" t="s">
        <v>404</v>
      </c>
    </row>
    <row r="110" spans="1:6" ht="60" x14ac:dyDescent="0.25">
      <c r="A110" s="8" t="s">
        <v>125</v>
      </c>
      <c r="B110" s="8" t="s">
        <v>126</v>
      </c>
      <c r="C110" s="8" t="str">
        <f>IFERROR(_xlfn.XLOOKUP(TRIM(B110),Lookup!$B$2:$B$1000,Lookup!$C$2:$C$1000),"")</f>
        <v>Equity</v>
      </c>
      <c r="D110" s="8" t="str">
        <f>IFERROR(INDEX('nav master'!$C:$C, MATCH(B110, 'nav master'!$B:$B, 0)), "")</f>
        <v>ULIF05501/08/13DivrEqtyFd101</v>
      </c>
      <c r="E110" s="8" t="s">
        <v>405</v>
      </c>
      <c r="F110" s="8" t="s">
        <v>406</v>
      </c>
    </row>
    <row r="111" spans="1:6" ht="60" x14ac:dyDescent="0.25">
      <c r="A111" s="8" t="s">
        <v>125</v>
      </c>
      <c r="B111" s="8" t="s">
        <v>126</v>
      </c>
      <c r="C111" s="8" t="str">
        <f>IFERROR(_xlfn.XLOOKUP(TRIM(B111),Lookup!$B$2:$B$1000,Lookup!$C$2:$C$1000),"")</f>
        <v>Equity</v>
      </c>
      <c r="D111" s="8" t="str">
        <f>IFERROR(INDEX('nav master'!$C:$C, MATCH(B111, 'nav master'!$B:$B, 0)), "")</f>
        <v>ULIF05501/08/13DivrEqtyFd101</v>
      </c>
      <c r="E111" s="8" t="s">
        <v>407</v>
      </c>
      <c r="F111" s="8" t="s">
        <v>408</v>
      </c>
    </row>
    <row r="112" spans="1:6" ht="60" x14ac:dyDescent="0.25">
      <c r="A112" s="8" t="s">
        <v>125</v>
      </c>
      <c r="B112" s="8" t="s">
        <v>126</v>
      </c>
      <c r="C112" s="8" t="str">
        <f>IFERROR(_xlfn.XLOOKUP(TRIM(B112),Lookup!$B$2:$B$1000,Lookup!$C$2:$C$1000),"")</f>
        <v>Equity</v>
      </c>
      <c r="D112" s="8" t="str">
        <f>IFERROR(INDEX('nav master'!$C:$C, MATCH(B112, 'nav master'!$B:$B, 0)), "")</f>
        <v>ULIF05501/08/13DivrEqtyFd101</v>
      </c>
      <c r="E112" s="8" t="s">
        <v>409</v>
      </c>
      <c r="F112" s="8" t="s">
        <v>410</v>
      </c>
    </row>
    <row r="113" spans="1:6" ht="60" x14ac:dyDescent="0.25">
      <c r="A113" s="8" t="s">
        <v>125</v>
      </c>
      <c r="B113" s="8" t="s">
        <v>126</v>
      </c>
      <c r="C113" s="8" t="str">
        <f>IFERROR(_xlfn.XLOOKUP(TRIM(B113),Lookup!$B$2:$B$1000,Lookup!$C$2:$C$1000),"")</f>
        <v>Equity</v>
      </c>
      <c r="D113" s="8" t="str">
        <f>IFERROR(INDEX('nav master'!$C:$C, MATCH(B113, 'nav master'!$B:$B, 0)), "")</f>
        <v>ULIF05501/08/13DivrEqtyFd101</v>
      </c>
      <c r="E113" s="8" t="s">
        <v>411</v>
      </c>
      <c r="F113" s="8" t="s">
        <v>412</v>
      </c>
    </row>
    <row r="114" spans="1:6" ht="60" x14ac:dyDescent="0.25">
      <c r="A114" s="8" t="s">
        <v>125</v>
      </c>
      <c r="B114" s="8" t="s">
        <v>126</v>
      </c>
      <c r="C114" s="8" t="str">
        <f>IFERROR(_xlfn.XLOOKUP(TRIM(B114),Lookup!$B$2:$B$1000,Lookup!$C$2:$C$1000),"")</f>
        <v>Equity</v>
      </c>
      <c r="D114" s="8" t="str">
        <f>IFERROR(INDEX('nav master'!$C:$C, MATCH(B114, 'nav master'!$B:$B, 0)), "")</f>
        <v>ULIF05501/08/13DivrEqtyFd101</v>
      </c>
      <c r="E114" s="8" t="s">
        <v>413</v>
      </c>
      <c r="F114" s="8" t="s">
        <v>414</v>
      </c>
    </row>
    <row r="115" spans="1:6" ht="60" x14ac:dyDescent="0.25">
      <c r="A115" s="8" t="s">
        <v>125</v>
      </c>
      <c r="B115" s="8" t="s">
        <v>126</v>
      </c>
      <c r="C115" s="8" t="str">
        <f>IFERROR(_xlfn.XLOOKUP(TRIM(B115),Lookup!$B$2:$B$1000,Lookup!$C$2:$C$1000),"")</f>
        <v>Equity</v>
      </c>
      <c r="D115" s="8" t="str">
        <f>IFERROR(INDEX('nav master'!$C:$C, MATCH(B115, 'nav master'!$B:$B, 0)), "")</f>
        <v>ULIF05501/08/13DivrEqtyFd101</v>
      </c>
      <c r="E115" s="8" t="s">
        <v>415</v>
      </c>
      <c r="F115" s="8" t="s">
        <v>416</v>
      </c>
    </row>
    <row r="116" spans="1:6" ht="60" x14ac:dyDescent="0.25">
      <c r="A116" s="8" t="s">
        <v>125</v>
      </c>
      <c r="B116" s="8" t="s">
        <v>126</v>
      </c>
      <c r="C116" s="8" t="str">
        <f>IFERROR(_xlfn.XLOOKUP(TRIM(B116),Lookup!$B$2:$B$1000,Lookup!$C$2:$C$1000),"")</f>
        <v>Equity</v>
      </c>
      <c r="D116" s="8" t="str">
        <f>IFERROR(INDEX('nav master'!$C:$C, MATCH(B116, 'nav master'!$B:$B, 0)), "")</f>
        <v>ULIF05501/08/13DivrEqtyFd101</v>
      </c>
      <c r="E116" s="8" t="s">
        <v>417</v>
      </c>
      <c r="F116" s="8" t="s">
        <v>418</v>
      </c>
    </row>
    <row r="117" spans="1:6" ht="60" x14ac:dyDescent="0.25">
      <c r="A117" s="8" t="s">
        <v>125</v>
      </c>
      <c r="B117" s="8" t="s">
        <v>126</v>
      </c>
      <c r="C117" s="8" t="str">
        <f>IFERROR(_xlfn.XLOOKUP(TRIM(B117),Lookup!$B$2:$B$1000,Lookup!$C$2:$C$1000),"")</f>
        <v>Equity</v>
      </c>
      <c r="D117" s="8" t="str">
        <f>IFERROR(INDEX('nav master'!$C:$C, MATCH(B117, 'nav master'!$B:$B, 0)), "")</f>
        <v>ULIF05501/08/13DivrEqtyFd101</v>
      </c>
      <c r="E117" s="8" t="s">
        <v>419</v>
      </c>
      <c r="F117" s="8" t="s">
        <v>420</v>
      </c>
    </row>
    <row r="118" spans="1:6" ht="60" x14ac:dyDescent="0.25">
      <c r="A118" s="8" t="s">
        <v>125</v>
      </c>
      <c r="B118" s="8" t="s">
        <v>126</v>
      </c>
      <c r="C118" s="8" t="str">
        <f>IFERROR(_xlfn.XLOOKUP(TRIM(B118),Lookup!$B$2:$B$1000,Lookup!$C$2:$C$1000),"")</f>
        <v>Equity</v>
      </c>
      <c r="D118" s="8" t="str">
        <f>IFERROR(INDEX('nav master'!$C:$C, MATCH(B118, 'nav master'!$B:$B, 0)), "")</f>
        <v>ULIF05501/08/13DivrEqtyFd101</v>
      </c>
      <c r="E118" s="8" t="s">
        <v>421</v>
      </c>
      <c r="F118" s="8" t="s">
        <v>422</v>
      </c>
    </row>
    <row r="119" spans="1:6" ht="60" x14ac:dyDescent="0.25">
      <c r="A119" s="8" t="s">
        <v>125</v>
      </c>
      <c r="B119" s="8" t="s">
        <v>126</v>
      </c>
      <c r="C119" s="8" t="str">
        <f>IFERROR(_xlfn.XLOOKUP(TRIM(B119),Lookup!$B$2:$B$1000,Lookup!$C$2:$C$1000),"")</f>
        <v>Equity</v>
      </c>
      <c r="D119" s="8" t="str">
        <f>IFERROR(INDEX('nav master'!$C:$C, MATCH(B119, 'nav master'!$B:$B, 0)), "")</f>
        <v>ULIF05501/08/13DivrEqtyFd101</v>
      </c>
      <c r="E119" s="8" t="s">
        <v>423</v>
      </c>
      <c r="F119" s="8" t="s">
        <v>424</v>
      </c>
    </row>
    <row r="120" spans="1:6" ht="60" x14ac:dyDescent="0.25">
      <c r="A120" s="8" t="s">
        <v>125</v>
      </c>
      <c r="B120" s="8" t="s">
        <v>126</v>
      </c>
      <c r="C120" s="8" t="str">
        <f>IFERROR(_xlfn.XLOOKUP(TRIM(B120),Lookup!$B$2:$B$1000,Lookup!$C$2:$C$1000),"")</f>
        <v>Equity</v>
      </c>
      <c r="D120" s="8" t="str">
        <f>IFERROR(INDEX('nav master'!$C:$C, MATCH(B120, 'nav master'!$B:$B, 0)), "")</f>
        <v>ULIF05501/08/13DivrEqtyFd101</v>
      </c>
      <c r="E120" s="8" t="s">
        <v>425</v>
      </c>
      <c r="F120" s="8" t="s">
        <v>426</v>
      </c>
    </row>
    <row r="121" spans="1:6" ht="60" x14ac:dyDescent="0.25">
      <c r="A121" s="8" t="s">
        <v>125</v>
      </c>
      <c r="B121" s="8" t="s">
        <v>126</v>
      </c>
      <c r="C121" s="8" t="str">
        <f>IFERROR(_xlfn.XLOOKUP(TRIM(B121),Lookup!$B$2:$B$1000,Lookup!$C$2:$C$1000),"")</f>
        <v>Equity</v>
      </c>
      <c r="D121" s="8" t="str">
        <f>IFERROR(INDEX('nav master'!$C:$C, MATCH(B121, 'nav master'!$B:$B, 0)), "")</f>
        <v>ULIF05501/08/13DivrEqtyFd101</v>
      </c>
      <c r="E121" s="8" t="s">
        <v>427</v>
      </c>
      <c r="F121" s="8" t="s">
        <v>428</v>
      </c>
    </row>
    <row r="122" spans="1:6" ht="60" x14ac:dyDescent="0.25">
      <c r="A122" s="8" t="s">
        <v>125</v>
      </c>
      <c r="B122" s="8" t="s">
        <v>126</v>
      </c>
      <c r="C122" s="8" t="str">
        <f>IFERROR(_xlfn.XLOOKUP(TRIM(B122),Lookup!$B$2:$B$1000,Lookup!$C$2:$C$1000),"")</f>
        <v>Equity</v>
      </c>
      <c r="D122" s="8" t="str">
        <f>IFERROR(INDEX('nav master'!$C:$C, MATCH(B122, 'nav master'!$B:$B, 0)), "")</f>
        <v>ULIF05501/08/13DivrEqtyFd101</v>
      </c>
      <c r="E122" s="8" t="s">
        <v>429</v>
      </c>
      <c r="F122" s="8" t="s">
        <v>430</v>
      </c>
    </row>
    <row r="123" spans="1:6" ht="60" x14ac:dyDescent="0.25">
      <c r="A123" s="8" t="s">
        <v>125</v>
      </c>
      <c r="B123" s="8" t="s">
        <v>126</v>
      </c>
      <c r="C123" s="8" t="str">
        <f>IFERROR(_xlfn.XLOOKUP(TRIM(B123),Lookup!$B$2:$B$1000,Lookup!$C$2:$C$1000),"")</f>
        <v>Equity</v>
      </c>
      <c r="D123" s="8" t="str">
        <f>IFERROR(INDEX('nav master'!$C:$C, MATCH(B123, 'nav master'!$B:$B, 0)), "")</f>
        <v>ULIF05501/08/13DivrEqtyFd101</v>
      </c>
      <c r="E123" s="8" t="s">
        <v>431</v>
      </c>
      <c r="F123" s="8" t="s">
        <v>432</v>
      </c>
    </row>
    <row r="124" spans="1:6" ht="60" x14ac:dyDescent="0.25">
      <c r="A124" s="8" t="s">
        <v>125</v>
      </c>
      <c r="B124" s="8" t="s">
        <v>126</v>
      </c>
      <c r="C124" s="8" t="str">
        <f>IFERROR(_xlfn.XLOOKUP(TRIM(B124),Lookup!$B$2:$B$1000,Lookup!$C$2:$C$1000),"")</f>
        <v>Equity</v>
      </c>
      <c r="D124" s="8" t="str">
        <f>IFERROR(INDEX('nav master'!$C:$C, MATCH(B124, 'nav master'!$B:$B, 0)), "")</f>
        <v>ULIF05501/08/13DivrEqtyFd101</v>
      </c>
      <c r="E124" s="8" t="s">
        <v>433</v>
      </c>
      <c r="F124" s="8" t="s">
        <v>434</v>
      </c>
    </row>
    <row r="125" spans="1:6" ht="60" x14ac:dyDescent="0.25">
      <c r="A125" s="8" t="s">
        <v>125</v>
      </c>
      <c r="B125" s="8" t="s">
        <v>126</v>
      </c>
      <c r="C125" s="8" t="str">
        <f>IFERROR(_xlfn.XLOOKUP(TRIM(B125),Lookup!$B$2:$B$1000,Lookup!$C$2:$C$1000),"")</f>
        <v>Equity</v>
      </c>
      <c r="D125" s="8" t="str">
        <f>IFERROR(INDEX('nav master'!$C:$C, MATCH(B125, 'nav master'!$B:$B, 0)), "")</f>
        <v>ULIF05501/08/13DivrEqtyFd101</v>
      </c>
      <c r="E125" s="8" t="s">
        <v>435</v>
      </c>
      <c r="F125" s="8" t="s">
        <v>436</v>
      </c>
    </row>
    <row r="126" spans="1:6" ht="60" x14ac:dyDescent="0.25">
      <c r="A126" s="8" t="s">
        <v>125</v>
      </c>
      <c r="B126" s="8" t="s">
        <v>126</v>
      </c>
      <c r="C126" s="8" t="str">
        <f>IFERROR(_xlfn.XLOOKUP(TRIM(B126),Lookup!$B$2:$B$1000,Lookup!$C$2:$C$1000),"")</f>
        <v>Equity</v>
      </c>
      <c r="D126" s="8" t="str">
        <f>IFERROR(INDEX('nav master'!$C:$C, MATCH(B126, 'nav master'!$B:$B, 0)), "")</f>
        <v>ULIF05501/08/13DivrEqtyFd101</v>
      </c>
      <c r="E126" s="8" t="s">
        <v>437</v>
      </c>
      <c r="F126" s="8" t="s">
        <v>438</v>
      </c>
    </row>
    <row r="127" spans="1:6" ht="60" x14ac:dyDescent="0.25">
      <c r="A127" s="8" t="s">
        <v>125</v>
      </c>
      <c r="B127" s="8" t="s">
        <v>126</v>
      </c>
      <c r="C127" s="8" t="str">
        <f>IFERROR(_xlfn.XLOOKUP(TRIM(B127),Lookup!$B$2:$B$1000,Lookup!$C$2:$C$1000),"")</f>
        <v>Equity</v>
      </c>
      <c r="D127" s="8" t="str">
        <f>IFERROR(INDEX('nav master'!$C:$C, MATCH(B127, 'nav master'!$B:$B, 0)), "")</f>
        <v>ULIF05501/08/13DivrEqtyFd101</v>
      </c>
      <c r="E127" s="8" t="s">
        <v>439</v>
      </c>
      <c r="F127" s="8" t="s">
        <v>440</v>
      </c>
    </row>
    <row r="128" spans="1:6" ht="60" x14ac:dyDescent="0.25">
      <c r="A128" s="8" t="s">
        <v>125</v>
      </c>
      <c r="B128" s="8" t="s">
        <v>126</v>
      </c>
      <c r="C128" s="8" t="str">
        <f>IFERROR(_xlfn.XLOOKUP(TRIM(B128),Lookup!$B$2:$B$1000,Lookup!$C$2:$C$1000),"")</f>
        <v>Equity</v>
      </c>
      <c r="D128" s="8" t="str">
        <f>IFERROR(INDEX('nav master'!$C:$C, MATCH(B128, 'nav master'!$B:$B, 0)), "")</f>
        <v>ULIF05501/08/13DivrEqtyFd101</v>
      </c>
      <c r="E128" s="8" t="s">
        <v>441</v>
      </c>
      <c r="F128" s="8" t="s">
        <v>442</v>
      </c>
    </row>
    <row r="129" spans="1:6" ht="60" x14ac:dyDescent="0.25">
      <c r="A129" s="8" t="s">
        <v>125</v>
      </c>
      <c r="B129" s="8" t="s">
        <v>126</v>
      </c>
      <c r="C129" s="8" t="str">
        <f>IFERROR(_xlfn.XLOOKUP(TRIM(B129),Lookup!$B$2:$B$1000,Lookup!$C$2:$C$1000),"")</f>
        <v>Equity</v>
      </c>
      <c r="D129" s="8" t="str">
        <f>IFERROR(INDEX('nav master'!$C:$C, MATCH(B129, 'nav master'!$B:$B, 0)), "")</f>
        <v>ULIF05501/08/13DivrEqtyFd101</v>
      </c>
      <c r="E129" s="8" t="s">
        <v>443</v>
      </c>
      <c r="F129" s="8" t="s">
        <v>444</v>
      </c>
    </row>
    <row r="130" spans="1:6" ht="60" x14ac:dyDescent="0.25">
      <c r="A130" s="8" t="s">
        <v>125</v>
      </c>
      <c r="B130" s="8" t="s">
        <v>126</v>
      </c>
      <c r="C130" s="8" t="str">
        <f>IFERROR(_xlfn.XLOOKUP(TRIM(B130),Lookup!$B$2:$B$1000,Lookup!$C$2:$C$1000),"")</f>
        <v>Equity</v>
      </c>
      <c r="D130" s="8" t="str">
        <f>IFERROR(INDEX('nav master'!$C:$C, MATCH(B130, 'nav master'!$B:$B, 0)), "")</f>
        <v>ULIF05501/08/13DivrEqtyFd101</v>
      </c>
      <c r="E130" s="8" t="s">
        <v>445</v>
      </c>
      <c r="F130" s="8" t="s">
        <v>342</v>
      </c>
    </row>
    <row r="131" spans="1:6" ht="60" x14ac:dyDescent="0.25">
      <c r="A131" s="8" t="s">
        <v>125</v>
      </c>
      <c r="B131" s="8" t="s">
        <v>126</v>
      </c>
      <c r="C131" s="8" t="str">
        <f>IFERROR(_xlfn.XLOOKUP(TRIM(B131),Lookup!$B$2:$B$1000,Lookup!$C$2:$C$1000),"")</f>
        <v>Equity</v>
      </c>
      <c r="D131" s="8" t="str">
        <f>IFERROR(INDEX('nav master'!$C:$C, MATCH(B131, 'nav master'!$B:$B, 0)), "")</f>
        <v>ULIF05501/08/13DivrEqtyFd101</v>
      </c>
      <c r="E131" s="8" t="s">
        <v>446</v>
      </c>
      <c r="F131" s="8" t="s">
        <v>447</v>
      </c>
    </row>
    <row r="132" spans="1:6" ht="60" x14ac:dyDescent="0.25">
      <c r="A132" s="8" t="s">
        <v>125</v>
      </c>
      <c r="B132" s="8" t="s">
        <v>126</v>
      </c>
      <c r="C132" s="8" t="str">
        <f>IFERROR(_xlfn.XLOOKUP(TRIM(B132),Lookup!$B$2:$B$1000,Lookup!$C$2:$C$1000),"")</f>
        <v>Equity</v>
      </c>
      <c r="D132" s="8" t="str">
        <f>IFERROR(INDEX('nav master'!$C:$C, MATCH(B132, 'nav master'!$B:$B, 0)), "")</f>
        <v>ULIF05501/08/13DivrEqtyFd101</v>
      </c>
      <c r="E132" s="8" t="s">
        <v>448</v>
      </c>
      <c r="F132" s="8" t="s">
        <v>449</v>
      </c>
    </row>
    <row r="133" spans="1:6" ht="60" x14ac:dyDescent="0.25">
      <c r="A133" s="8" t="s">
        <v>125</v>
      </c>
      <c r="B133" s="8" t="s">
        <v>126</v>
      </c>
      <c r="C133" s="8" t="str">
        <f>IFERROR(_xlfn.XLOOKUP(TRIM(B133),Lookup!$B$2:$B$1000,Lookup!$C$2:$C$1000),"")</f>
        <v>Equity</v>
      </c>
      <c r="D133" s="8" t="str">
        <f>IFERROR(INDEX('nav master'!$C:$C, MATCH(B133, 'nav master'!$B:$B, 0)), "")</f>
        <v>ULIF05501/08/13DivrEqtyFd101</v>
      </c>
      <c r="E133" s="8" t="s">
        <v>450</v>
      </c>
      <c r="F133" s="8" t="s">
        <v>451</v>
      </c>
    </row>
    <row r="134" spans="1:6" ht="60" x14ac:dyDescent="0.25">
      <c r="A134" s="8" t="s">
        <v>125</v>
      </c>
      <c r="B134" s="8" t="s">
        <v>126</v>
      </c>
      <c r="C134" s="8" t="str">
        <f>IFERROR(_xlfn.XLOOKUP(TRIM(B134),Lookup!$B$2:$B$1000,Lookup!$C$2:$C$1000),"")</f>
        <v>Equity</v>
      </c>
      <c r="D134" s="8" t="str">
        <f>IFERROR(INDEX('nav master'!$C:$C, MATCH(B134, 'nav master'!$B:$B, 0)), "")</f>
        <v>ULIF05501/08/13DivrEqtyFd101</v>
      </c>
      <c r="E134" s="8" t="s">
        <v>452</v>
      </c>
      <c r="F134" s="8" t="s">
        <v>453</v>
      </c>
    </row>
    <row r="135" spans="1:6" ht="60" x14ac:dyDescent="0.25">
      <c r="A135" s="8" t="s">
        <v>125</v>
      </c>
      <c r="B135" s="8" t="s">
        <v>126</v>
      </c>
      <c r="C135" s="8" t="str">
        <f>IFERROR(_xlfn.XLOOKUP(TRIM(B135),Lookup!$B$2:$B$1000,Lookup!$C$2:$C$1000),"")</f>
        <v>Equity</v>
      </c>
      <c r="D135" s="8" t="str">
        <f>IFERROR(INDEX('nav master'!$C:$C, MATCH(B135, 'nav master'!$B:$B, 0)), "")</f>
        <v>ULIF05501/08/13DivrEqtyFd101</v>
      </c>
      <c r="E135" s="8" t="s">
        <v>454</v>
      </c>
      <c r="F135" s="8" t="s">
        <v>455</v>
      </c>
    </row>
    <row r="136" spans="1:6" ht="60" x14ac:dyDescent="0.25">
      <c r="A136" s="8" t="s">
        <v>125</v>
      </c>
      <c r="B136" s="8" t="s">
        <v>126</v>
      </c>
      <c r="C136" s="8" t="str">
        <f>IFERROR(_xlfn.XLOOKUP(TRIM(B136),Lookup!$B$2:$B$1000,Lookup!$C$2:$C$1000),"")</f>
        <v>Equity</v>
      </c>
      <c r="D136" s="8" t="str">
        <f>IFERROR(INDEX('nav master'!$C:$C, MATCH(B136, 'nav master'!$B:$B, 0)), "")</f>
        <v>ULIF05501/08/13DivrEqtyFd101</v>
      </c>
      <c r="E136" s="8" t="s">
        <v>456</v>
      </c>
      <c r="F136" s="8" t="s">
        <v>457</v>
      </c>
    </row>
    <row r="137" spans="1:6" ht="60" x14ac:dyDescent="0.25">
      <c r="A137" s="8" t="s">
        <v>125</v>
      </c>
      <c r="B137" s="8" t="s">
        <v>126</v>
      </c>
      <c r="C137" s="8" t="str">
        <f>IFERROR(_xlfn.XLOOKUP(TRIM(B137),Lookup!$B$2:$B$1000,Lookup!$C$2:$C$1000),"")</f>
        <v>Equity</v>
      </c>
      <c r="D137" s="8" t="str">
        <f>IFERROR(INDEX('nav master'!$C:$C, MATCH(B137, 'nav master'!$B:$B, 0)), "")</f>
        <v>ULIF05501/08/13DivrEqtyFd101</v>
      </c>
      <c r="E137" s="8" t="s">
        <v>458</v>
      </c>
      <c r="F137" s="8" t="s">
        <v>459</v>
      </c>
    </row>
    <row r="138" spans="1:6" ht="60" x14ac:dyDescent="0.25">
      <c r="A138" s="8" t="s">
        <v>125</v>
      </c>
      <c r="B138" s="8" t="s">
        <v>126</v>
      </c>
      <c r="C138" s="8" t="str">
        <f>IFERROR(_xlfn.XLOOKUP(TRIM(B138),Lookup!$B$2:$B$1000,Lookup!$C$2:$C$1000),"")</f>
        <v>Equity</v>
      </c>
      <c r="D138" s="8" t="str">
        <f>IFERROR(INDEX('nav master'!$C:$C, MATCH(B138, 'nav master'!$B:$B, 0)), "")</f>
        <v>ULIF05501/08/13DivrEqtyFd101</v>
      </c>
      <c r="E138" s="8" t="s">
        <v>460</v>
      </c>
      <c r="F138" s="8" t="s">
        <v>461</v>
      </c>
    </row>
    <row r="139" spans="1:6" ht="60" x14ac:dyDescent="0.25">
      <c r="A139" s="8" t="s">
        <v>125</v>
      </c>
      <c r="B139" s="8" t="s">
        <v>126</v>
      </c>
      <c r="C139" s="8" t="str">
        <f>IFERROR(_xlfn.XLOOKUP(TRIM(B139),Lookup!$B$2:$B$1000,Lookup!$C$2:$C$1000),"")</f>
        <v>Equity</v>
      </c>
      <c r="D139" s="8" t="str">
        <f>IFERROR(INDEX('nav master'!$C:$C, MATCH(B139, 'nav master'!$B:$B, 0)), "")</f>
        <v>ULIF05501/08/13DivrEqtyFd101</v>
      </c>
      <c r="E139" s="8" t="s">
        <v>462</v>
      </c>
      <c r="F139" s="8" t="s">
        <v>463</v>
      </c>
    </row>
    <row r="140" spans="1:6" ht="60" x14ac:dyDescent="0.25">
      <c r="A140" s="8" t="s">
        <v>125</v>
      </c>
      <c r="B140" s="8" t="s">
        <v>126</v>
      </c>
      <c r="C140" s="8" t="str">
        <f>IFERROR(_xlfn.XLOOKUP(TRIM(B140),Lookup!$B$2:$B$1000,Lookup!$C$2:$C$1000),"")</f>
        <v>Equity</v>
      </c>
      <c r="D140" s="8" t="str">
        <f>IFERROR(INDEX('nav master'!$C:$C, MATCH(B140, 'nav master'!$B:$B, 0)), "")</f>
        <v>ULIF05501/08/13DivrEqtyFd101</v>
      </c>
      <c r="E140" s="8" t="s">
        <v>464</v>
      </c>
      <c r="F140" s="8" t="s">
        <v>465</v>
      </c>
    </row>
    <row r="141" spans="1:6" ht="60" x14ac:dyDescent="0.25">
      <c r="A141" s="8" t="s">
        <v>125</v>
      </c>
      <c r="B141" s="8" t="s">
        <v>126</v>
      </c>
      <c r="C141" s="8" t="str">
        <f>IFERROR(_xlfn.XLOOKUP(TRIM(B141),Lookup!$B$2:$B$1000,Lookup!$C$2:$C$1000),"")</f>
        <v>Equity</v>
      </c>
      <c r="D141" s="8" t="str">
        <f>IFERROR(INDEX('nav master'!$C:$C, MATCH(B141, 'nav master'!$B:$B, 0)), "")</f>
        <v>ULIF05501/08/13DivrEqtyFd101</v>
      </c>
      <c r="E141" s="8" t="s">
        <v>466</v>
      </c>
      <c r="F141" s="8" t="s">
        <v>467</v>
      </c>
    </row>
    <row r="142" spans="1:6" ht="60" x14ac:dyDescent="0.25">
      <c r="A142" s="8" t="s">
        <v>125</v>
      </c>
      <c r="B142" s="8" t="s">
        <v>126</v>
      </c>
      <c r="C142" s="8" t="str">
        <f>IFERROR(_xlfn.XLOOKUP(TRIM(B142),Lookup!$B$2:$B$1000,Lookup!$C$2:$C$1000),"")</f>
        <v>Equity</v>
      </c>
      <c r="D142" s="8" t="str">
        <f>IFERROR(INDEX('nav master'!$C:$C, MATCH(B142, 'nav master'!$B:$B, 0)), "")</f>
        <v>ULIF05501/08/13DivrEqtyFd101</v>
      </c>
      <c r="E142" s="8" t="s">
        <v>468</v>
      </c>
      <c r="F142" s="8" t="s">
        <v>469</v>
      </c>
    </row>
    <row r="143" spans="1:6" ht="60" x14ac:dyDescent="0.25">
      <c r="A143" s="8" t="s">
        <v>125</v>
      </c>
      <c r="B143" s="8" t="s">
        <v>126</v>
      </c>
      <c r="C143" s="8" t="str">
        <f>IFERROR(_xlfn.XLOOKUP(TRIM(B143),Lookup!$B$2:$B$1000,Lookup!$C$2:$C$1000),"")</f>
        <v>Equity</v>
      </c>
      <c r="D143" s="8" t="str">
        <f>IFERROR(INDEX('nav master'!$C:$C, MATCH(B143, 'nav master'!$B:$B, 0)), "")</f>
        <v>ULIF05501/08/13DivrEqtyFd101</v>
      </c>
      <c r="E143" s="8" t="s">
        <v>470</v>
      </c>
      <c r="F143" s="8" t="s">
        <v>471</v>
      </c>
    </row>
    <row r="144" spans="1:6" ht="60" x14ac:dyDescent="0.25">
      <c r="A144" s="8" t="s">
        <v>125</v>
      </c>
      <c r="B144" s="8" t="s">
        <v>126</v>
      </c>
      <c r="C144" s="8" t="str">
        <f>IFERROR(_xlfn.XLOOKUP(TRIM(B144),Lookup!$B$2:$B$1000,Lookup!$C$2:$C$1000),"")</f>
        <v>Equity</v>
      </c>
      <c r="D144" s="8" t="str">
        <f>IFERROR(INDEX('nav master'!$C:$C, MATCH(B144, 'nav master'!$B:$B, 0)), "")</f>
        <v>ULIF05501/08/13DivrEqtyFd101</v>
      </c>
      <c r="E144" s="8" t="s">
        <v>472</v>
      </c>
      <c r="F144" s="8" t="s">
        <v>473</v>
      </c>
    </row>
    <row r="145" spans="1:6" ht="60" x14ac:dyDescent="0.25">
      <c r="A145" s="8" t="s">
        <v>125</v>
      </c>
      <c r="B145" s="8" t="s">
        <v>126</v>
      </c>
      <c r="C145" s="8" t="str">
        <f>IFERROR(_xlfn.XLOOKUP(TRIM(B145),Lookup!$B$2:$B$1000,Lookup!$C$2:$C$1000),"")</f>
        <v>Equity</v>
      </c>
      <c r="D145" s="8" t="str">
        <f>IFERROR(INDEX('nav master'!$C:$C, MATCH(B145, 'nav master'!$B:$B, 0)), "")</f>
        <v>ULIF05501/08/13DivrEqtyFd101</v>
      </c>
      <c r="E145" s="8" t="s">
        <v>474</v>
      </c>
      <c r="F145" s="8" t="s">
        <v>475</v>
      </c>
    </row>
    <row r="146" spans="1:6" ht="60" x14ac:dyDescent="0.25">
      <c r="A146" s="8" t="s">
        <v>125</v>
      </c>
      <c r="B146" s="8" t="s">
        <v>126</v>
      </c>
      <c r="C146" s="8" t="str">
        <f>IFERROR(_xlfn.XLOOKUP(TRIM(B146),Lookup!$B$2:$B$1000,Lookup!$C$2:$C$1000),"")</f>
        <v>Equity</v>
      </c>
      <c r="D146" s="8" t="str">
        <f>IFERROR(INDEX('nav master'!$C:$C, MATCH(B146, 'nav master'!$B:$B, 0)), "")</f>
        <v>ULIF05501/08/13DivrEqtyFd101</v>
      </c>
      <c r="E146" s="8" t="s">
        <v>476</v>
      </c>
      <c r="F146" s="8" t="s">
        <v>477</v>
      </c>
    </row>
    <row r="147" spans="1:6" ht="60" x14ac:dyDescent="0.25">
      <c r="A147" s="8" t="s">
        <v>125</v>
      </c>
      <c r="B147" s="8" t="s">
        <v>126</v>
      </c>
      <c r="C147" s="8" t="str">
        <f>IFERROR(_xlfn.XLOOKUP(TRIM(B147),Lookup!$B$2:$B$1000,Lookup!$C$2:$C$1000),"")</f>
        <v>Equity</v>
      </c>
      <c r="D147" s="8" t="str">
        <f>IFERROR(INDEX('nav master'!$C:$C, MATCH(B147, 'nav master'!$B:$B, 0)), "")</f>
        <v>ULIF05501/08/13DivrEqtyFd101</v>
      </c>
      <c r="E147" s="8" t="s">
        <v>478</v>
      </c>
      <c r="F147" s="8" t="s">
        <v>479</v>
      </c>
    </row>
    <row r="148" spans="1:6" ht="60" x14ac:dyDescent="0.25">
      <c r="A148" s="8" t="s">
        <v>125</v>
      </c>
      <c r="B148" s="8" t="s">
        <v>126</v>
      </c>
      <c r="C148" s="8" t="str">
        <f>IFERROR(_xlfn.XLOOKUP(TRIM(B148),Lookup!$B$2:$B$1000,Lookup!$C$2:$C$1000),"")</f>
        <v>Equity</v>
      </c>
      <c r="D148" s="8" t="str">
        <f>IFERROR(INDEX('nav master'!$C:$C, MATCH(B148, 'nav master'!$B:$B, 0)), "")</f>
        <v>ULIF05501/08/13DivrEqtyFd101</v>
      </c>
      <c r="E148" s="8" t="s">
        <v>480</v>
      </c>
      <c r="F148" s="8" t="s">
        <v>481</v>
      </c>
    </row>
    <row r="149" spans="1:6" ht="60" x14ac:dyDescent="0.25">
      <c r="A149" s="8" t="s">
        <v>125</v>
      </c>
      <c r="B149" s="8" t="s">
        <v>126</v>
      </c>
      <c r="C149" s="8" t="str">
        <f>IFERROR(_xlfn.XLOOKUP(TRIM(B149),Lookup!$B$2:$B$1000,Lookup!$C$2:$C$1000),"")</f>
        <v>Equity</v>
      </c>
      <c r="D149" s="8" t="str">
        <f>IFERROR(INDEX('nav master'!$C:$C, MATCH(B149, 'nav master'!$B:$B, 0)), "")</f>
        <v>ULIF05501/08/13DivrEqtyFd101</v>
      </c>
      <c r="E149" s="8" t="s">
        <v>482</v>
      </c>
      <c r="F149" s="8" t="s">
        <v>483</v>
      </c>
    </row>
    <row r="150" spans="1:6" ht="60" x14ac:dyDescent="0.25">
      <c r="A150" s="8" t="s">
        <v>125</v>
      </c>
      <c r="B150" s="8" t="s">
        <v>126</v>
      </c>
      <c r="C150" s="8" t="str">
        <f>IFERROR(_xlfn.XLOOKUP(TRIM(B150),Lookup!$B$2:$B$1000,Lookup!$C$2:$C$1000),"")</f>
        <v>Equity</v>
      </c>
      <c r="D150" s="8" t="str">
        <f>IFERROR(INDEX('nav master'!$C:$C, MATCH(B150, 'nav master'!$B:$B, 0)), "")</f>
        <v>ULIF05501/08/13DivrEqtyFd101</v>
      </c>
      <c r="E150" s="8" t="s">
        <v>484</v>
      </c>
      <c r="F150" s="8" t="s">
        <v>485</v>
      </c>
    </row>
    <row r="151" spans="1:6" ht="60" x14ac:dyDescent="0.25">
      <c r="A151" s="8" t="s">
        <v>125</v>
      </c>
      <c r="B151" s="8" t="s">
        <v>126</v>
      </c>
      <c r="C151" s="8" t="str">
        <f>IFERROR(_xlfn.XLOOKUP(TRIM(B151),Lookup!$B$2:$B$1000,Lookup!$C$2:$C$1000),"")</f>
        <v>Equity</v>
      </c>
      <c r="D151" s="8" t="str">
        <f>IFERROR(INDEX('nav master'!$C:$C, MATCH(B151, 'nav master'!$B:$B, 0)), "")</f>
        <v>ULIF05501/08/13DivrEqtyFd101</v>
      </c>
      <c r="E151" s="8" t="s">
        <v>486</v>
      </c>
      <c r="F151" s="8" t="s">
        <v>487</v>
      </c>
    </row>
    <row r="152" spans="1:6" ht="60" x14ac:dyDescent="0.25">
      <c r="A152" s="8" t="s">
        <v>125</v>
      </c>
      <c r="B152" s="8" t="s">
        <v>126</v>
      </c>
      <c r="C152" s="8" t="str">
        <f>IFERROR(_xlfn.XLOOKUP(TRIM(B152),Lookup!$B$2:$B$1000,Lookup!$C$2:$C$1000),"")</f>
        <v>Equity</v>
      </c>
      <c r="D152" s="8" t="str">
        <f>IFERROR(INDEX('nav master'!$C:$C, MATCH(B152, 'nav master'!$B:$B, 0)), "")</f>
        <v>ULIF05501/08/13DivrEqtyFd101</v>
      </c>
      <c r="E152" s="8" t="s">
        <v>488</v>
      </c>
      <c r="F152" s="8" t="s">
        <v>489</v>
      </c>
    </row>
    <row r="153" spans="1:6" ht="60" x14ac:dyDescent="0.25">
      <c r="A153" s="8" t="s">
        <v>125</v>
      </c>
      <c r="B153" s="8" t="s">
        <v>126</v>
      </c>
      <c r="C153" s="8" t="str">
        <f>IFERROR(_xlfn.XLOOKUP(TRIM(B153),Lookup!$B$2:$B$1000,Lookup!$C$2:$C$1000),"")</f>
        <v>Equity</v>
      </c>
      <c r="D153" s="8" t="str">
        <f>IFERROR(INDEX('nav master'!$C:$C, MATCH(B153, 'nav master'!$B:$B, 0)), "")</f>
        <v>ULIF05501/08/13DivrEqtyFd101</v>
      </c>
      <c r="E153" s="8" t="s">
        <v>490</v>
      </c>
      <c r="F153" s="8" t="s">
        <v>491</v>
      </c>
    </row>
    <row r="154" spans="1:6" ht="60" x14ac:dyDescent="0.25">
      <c r="A154" s="8" t="s">
        <v>125</v>
      </c>
      <c r="B154" s="8" t="s">
        <v>126</v>
      </c>
      <c r="C154" s="8" t="str">
        <f>IFERROR(_xlfn.XLOOKUP(TRIM(B154),Lookup!$B$2:$B$1000,Lookup!$C$2:$C$1000),"")</f>
        <v>Equity</v>
      </c>
      <c r="D154" s="8" t="str">
        <f>IFERROR(INDEX('nav master'!$C:$C, MATCH(B154, 'nav master'!$B:$B, 0)), "")</f>
        <v>ULIF05501/08/13DivrEqtyFd101</v>
      </c>
      <c r="E154" s="8" t="s">
        <v>492</v>
      </c>
      <c r="F154" s="8" t="s">
        <v>493</v>
      </c>
    </row>
    <row r="155" spans="1:6" ht="60" x14ac:dyDescent="0.25">
      <c r="A155" s="8" t="s">
        <v>125</v>
      </c>
      <c r="B155" s="8" t="s">
        <v>126</v>
      </c>
      <c r="C155" s="8" t="str">
        <f>IFERROR(_xlfn.XLOOKUP(TRIM(B155),Lookup!$B$2:$B$1000,Lookup!$C$2:$C$1000),"")</f>
        <v>Equity</v>
      </c>
      <c r="D155" s="8" t="str">
        <f>IFERROR(INDEX('nav master'!$C:$C, MATCH(B155, 'nav master'!$B:$B, 0)), "")</f>
        <v>ULIF05501/08/13DivrEqtyFd101</v>
      </c>
      <c r="E155" s="8" t="s">
        <v>494</v>
      </c>
      <c r="F155" s="8" t="s">
        <v>495</v>
      </c>
    </row>
    <row r="156" spans="1:6" ht="60" x14ac:dyDescent="0.25">
      <c r="A156" s="8" t="s">
        <v>125</v>
      </c>
      <c r="B156" s="8" t="s">
        <v>126</v>
      </c>
      <c r="C156" s="8" t="str">
        <f>IFERROR(_xlfn.XLOOKUP(TRIM(B156),Lookup!$B$2:$B$1000,Lookup!$C$2:$C$1000),"")</f>
        <v>Equity</v>
      </c>
      <c r="D156" s="8" t="str">
        <f>IFERROR(INDEX('nav master'!$C:$C, MATCH(B156, 'nav master'!$B:$B, 0)), "")</f>
        <v>ULIF05501/08/13DivrEqtyFd101</v>
      </c>
      <c r="E156" s="8" t="s">
        <v>496</v>
      </c>
      <c r="F156" s="8" t="s">
        <v>497</v>
      </c>
    </row>
    <row r="157" spans="1:6" ht="60" x14ac:dyDescent="0.25">
      <c r="A157" s="8" t="s">
        <v>125</v>
      </c>
      <c r="B157" s="8" t="s">
        <v>126</v>
      </c>
      <c r="C157" s="8" t="str">
        <f>IFERROR(_xlfn.XLOOKUP(TRIM(B157),Lookup!$B$2:$B$1000,Lookup!$C$2:$C$1000),"")</f>
        <v>Equity</v>
      </c>
      <c r="D157" s="8" t="str">
        <f>IFERROR(INDEX('nav master'!$C:$C, MATCH(B157, 'nav master'!$B:$B, 0)), "")</f>
        <v>ULIF05501/08/13DivrEqtyFd101</v>
      </c>
      <c r="E157" s="8" t="s">
        <v>498</v>
      </c>
      <c r="F157" s="8" t="s">
        <v>499</v>
      </c>
    </row>
    <row r="158" spans="1:6" ht="60" x14ac:dyDescent="0.25">
      <c r="A158" s="8" t="s">
        <v>125</v>
      </c>
      <c r="B158" s="8" t="s">
        <v>126</v>
      </c>
      <c r="C158" s="8" t="str">
        <f>IFERROR(_xlfn.XLOOKUP(TRIM(B158),Lookup!$B$2:$B$1000,Lookup!$C$2:$C$1000),"")</f>
        <v>Equity</v>
      </c>
      <c r="D158" s="8" t="str">
        <f>IFERROR(INDEX('nav master'!$C:$C, MATCH(B158, 'nav master'!$B:$B, 0)), "")</f>
        <v>ULIF05501/08/13DivrEqtyFd101</v>
      </c>
      <c r="E158" s="8" t="s">
        <v>500</v>
      </c>
      <c r="F158" s="8" t="s">
        <v>501</v>
      </c>
    </row>
    <row r="159" spans="1:6" ht="60" x14ac:dyDescent="0.25">
      <c r="A159" s="8" t="s">
        <v>125</v>
      </c>
      <c r="B159" s="8" t="s">
        <v>126</v>
      </c>
      <c r="C159" s="8" t="str">
        <f>IFERROR(_xlfn.XLOOKUP(TRIM(B159),Lookup!$B$2:$B$1000,Lookup!$C$2:$C$1000),"")</f>
        <v>Equity</v>
      </c>
      <c r="D159" s="8" t="str">
        <f>IFERROR(INDEX('nav master'!$C:$C, MATCH(B159, 'nav master'!$B:$B, 0)), "")</f>
        <v>ULIF05501/08/13DivrEqtyFd101</v>
      </c>
      <c r="E159" s="8" t="s">
        <v>502</v>
      </c>
      <c r="F159" s="8" t="s">
        <v>503</v>
      </c>
    </row>
    <row r="160" spans="1:6" ht="60" x14ac:dyDescent="0.25">
      <c r="A160" s="8" t="s">
        <v>125</v>
      </c>
      <c r="B160" s="8" t="s">
        <v>126</v>
      </c>
      <c r="C160" s="8" t="str">
        <f>IFERROR(_xlfn.XLOOKUP(TRIM(B160),Lookup!$B$2:$B$1000,Lookup!$C$2:$C$1000),"")</f>
        <v>Equity</v>
      </c>
      <c r="D160" s="8" t="str">
        <f>IFERROR(INDEX('nav master'!$C:$C, MATCH(B160, 'nav master'!$B:$B, 0)), "")</f>
        <v>ULIF05501/08/13DivrEqtyFd101</v>
      </c>
      <c r="E160" s="8" t="s">
        <v>504</v>
      </c>
      <c r="F160" s="8" t="s">
        <v>505</v>
      </c>
    </row>
    <row r="161" spans="1:6" ht="60" x14ac:dyDescent="0.25">
      <c r="A161" s="8" t="s">
        <v>125</v>
      </c>
      <c r="B161" s="8" t="s">
        <v>126</v>
      </c>
      <c r="C161" s="8" t="str">
        <f>IFERROR(_xlfn.XLOOKUP(TRIM(B161),Lookup!$B$2:$B$1000,Lookup!$C$2:$C$1000),"")</f>
        <v>Equity</v>
      </c>
      <c r="D161" s="8" t="str">
        <f>IFERROR(INDEX('nav master'!$C:$C, MATCH(B161, 'nav master'!$B:$B, 0)), "")</f>
        <v>ULIF05501/08/13DivrEqtyFd101</v>
      </c>
      <c r="E161" s="8" t="s">
        <v>506</v>
      </c>
      <c r="F161" s="8" t="s">
        <v>507</v>
      </c>
    </row>
    <row r="162" spans="1:6" ht="60" x14ac:dyDescent="0.25">
      <c r="A162" s="8" t="s">
        <v>125</v>
      </c>
      <c r="B162" s="8" t="s">
        <v>126</v>
      </c>
      <c r="C162" s="8" t="str">
        <f>IFERROR(_xlfn.XLOOKUP(TRIM(B162),Lookup!$B$2:$B$1000,Lookup!$C$2:$C$1000),"")</f>
        <v>Equity</v>
      </c>
      <c r="D162" s="8" t="str">
        <f>IFERROR(INDEX('nav master'!$C:$C, MATCH(B162, 'nav master'!$B:$B, 0)), "")</f>
        <v>ULIF05501/08/13DivrEqtyFd101</v>
      </c>
      <c r="E162" s="8" t="s">
        <v>508</v>
      </c>
      <c r="F162" s="8" t="s">
        <v>509</v>
      </c>
    </row>
    <row r="163" spans="1:6" ht="60" x14ac:dyDescent="0.25">
      <c r="A163" s="8" t="s">
        <v>125</v>
      </c>
      <c r="B163" s="8" t="s">
        <v>126</v>
      </c>
      <c r="C163" s="8" t="str">
        <f>IFERROR(_xlfn.XLOOKUP(TRIM(B163),Lookup!$B$2:$B$1000,Lookup!$C$2:$C$1000),"")</f>
        <v>Equity</v>
      </c>
      <c r="D163" s="8" t="str">
        <f>IFERROR(INDEX('nav master'!$C:$C, MATCH(B163, 'nav master'!$B:$B, 0)), "")</f>
        <v>ULIF05501/08/13DivrEqtyFd101</v>
      </c>
      <c r="E163" s="8" t="s">
        <v>510</v>
      </c>
      <c r="F163" s="8" t="s">
        <v>511</v>
      </c>
    </row>
    <row r="164" spans="1:6" ht="60" x14ac:dyDescent="0.25">
      <c r="A164" s="8" t="s">
        <v>125</v>
      </c>
      <c r="B164" s="8" t="s">
        <v>126</v>
      </c>
      <c r="C164" s="8" t="str">
        <f>IFERROR(_xlfn.XLOOKUP(TRIM(B164),Lookup!$B$2:$B$1000,Lookup!$C$2:$C$1000),"")</f>
        <v>Equity</v>
      </c>
      <c r="D164" s="8" t="str">
        <f>IFERROR(INDEX('nav master'!$C:$C, MATCH(B164, 'nav master'!$B:$B, 0)), "")</f>
        <v>ULIF05501/08/13DivrEqtyFd101</v>
      </c>
      <c r="E164" s="8" t="s">
        <v>512</v>
      </c>
      <c r="F164" s="8" t="s">
        <v>513</v>
      </c>
    </row>
    <row r="165" spans="1:6" ht="60" x14ac:dyDescent="0.25">
      <c r="A165" s="8" t="s">
        <v>125</v>
      </c>
      <c r="B165" s="8" t="s">
        <v>126</v>
      </c>
      <c r="C165" s="8" t="str">
        <f>IFERROR(_xlfn.XLOOKUP(TRIM(B165),Lookup!$B$2:$B$1000,Lookup!$C$2:$C$1000),"")</f>
        <v>Equity</v>
      </c>
      <c r="D165" s="8" t="str">
        <f>IFERROR(INDEX('nav master'!$C:$C, MATCH(B165, 'nav master'!$B:$B, 0)), "")</f>
        <v>ULIF05501/08/13DivrEqtyFd101</v>
      </c>
      <c r="E165" s="8" t="s">
        <v>514</v>
      </c>
      <c r="F165" s="8" t="s">
        <v>515</v>
      </c>
    </row>
    <row r="166" spans="1:6" ht="60" x14ac:dyDescent="0.25">
      <c r="A166" s="8" t="s">
        <v>125</v>
      </c>
      <c r="B166" s="8" t="s">
        <v>126</v>
      </c>
      <c r="C166" s="8" t="str">
        <f>IFERROR(_xlfn.XLOOKUP(TRIM(B166),Lookup!$B$2:$B$1000,Lookup!$C$2:$C$1000),"")</f>
        <v>Equity</v>
      </c>
      <c r="D166" s="8" t="str">
        <f>IFERROR(INDEX('nav master'!$C:$C, MATCH(B166, 'nav master'!$B:$B, 0)), "")</f>
        <v>ULIF05501/08/13DivrEqtyFd101</v>
      </c>
      <c r="E166" s="8" t="s">
        <v>516</v>
      </c>
      <c r="F166" s="8" t="s">
        <v>517</v>
      </c>
    </row>
    <row r="167" spans="1:6" ht="60" x14ac:dyDescent="0.25">
      <c r="A167" s="8" t="s">
        <v>125</v>
      </c>
      <c r="B167" s="8" t="s">
        <v>126</v>
      </c>
      <c r="C167" s="8" t="str">
        <f>IFERROR(_xlfn.XLOOKUP(TRIM(B167),Lookup!$B$2:$B$1000,Lookup!$C$2:$C$1000),"")</f>
        <v>Equity</v>
      </c>
      <c r="D167" s="8" t="str">
        <f>IFERROR(INDEX('nav master'!$C:$C, MATCH(B167, 'nav master'!$B:$B, 0)), "")</f>
        <v>ULIF05501/08/13DivrEqtyFd101</v>
      </c>
      <c r="E167" s="8" t="s">
        <v>518</v>
      </c>
      <c r="F167" s="8" t="s">
        <v>519</v>
      </c>
    </row>
    <row r="168" spans="1:6" ht="60" x14ac:dyDescent="0.25">
      <c r="A168" s="8" t="s">
        <v>125</v>
      </c>
      <c r="B168" s="8" t="s">
        <v>126</v>
      </c>
      <c r="C168" s="8" t="str">
        <f>IFERROR(_xlfn.XLOOKUP(TRIM(B168),Lookup!$B$2:$B$1000,Lookup!$C$2:$C$1000),"")</f>
        <v>Equity</v>
      </c>
      <c r="D168" s="8" t="str">
        <f>IFERROR(INDEX('nav master'!$C:$C, MATCH(B168, 'nav master'!$B:$B, 0)), "")</f>
        <v>ULIF05501/08/13DivrEqtyFd101</v>
      </c>
      <c r="E168" s="8" t="s">
        <v>520</v>
      </c>
      <c r="F168" s="8" t="s">
        <v>521</v>
      </c>
    </row>
    <row r="169" spans="1:6" ht="60" x14ac:dyDescent="0.25">
      <c r="A169" s="8" t="s">
        <v>125</v>
      </c>
      <c r="B169" s="8" t="s">
        <v>126</v>
      </c>
      <c r="C169" s="8" t="str">
        <f>IFERROR(_xlfn.XLOOKUP(TRIM(B169),Lookup!$B$2:$B$1000,Lookup!$C$2:$C$1000),"")</f>
        <v>Equity</v>
      </c>
      <c r="D169" s="8" t="str">
        <f>IFERROR(INDEX('nav master'!$C:$C, MATCH(B169, 'nav master'!$B:$B, 0)), "")</f>
        <v>ULIF05501/08/13DivrEqtyFd101</v>
      </c>
      <c r="E169" s="8" t="s">
        <v>522</v>
      </c>
      <c r="F169" s="8" t="s">
        <v>523</v>
      </c>
    </row>
    <row r="170" spans="1:6" ht="60" x14ac:dyDescent="0.25">
      <c r="A170" s="8" t="s">
        <v>125</v>
      </c>
      <c r="B170" s="8" t="s">
        <v>126</v>
      </c>
      <c r="C170" s="8" t="str">
        <f>IFERROR(_xlfn.XLOOKUP(TRIM(B170),Lookup!$B$2:$B$1000,Lookup!$C$2:$C$1000),"")</f>
        <v>Equity</v>
      </c>
      <c r="D170" s="8" t="str">
        <f>IFERROR(INDEX('nav master'!$C:$C, MATCH(B170, 'nav master'!$B:$B, 0)), "")</f>
        <v>ULIF05501/08/13DivrEqtyFd101</v>
      </c>
      <c r="E170" s="8" t="s">
        <v>524</v>
      </c>
      <c r="F170" s="8" t="s">
        <v>525</v>
      </c>
    </row>
    <row r="171" spans="1:6" ht="60" x14ac:dyDescent="0.25">
      <c r="A171" s="8" t="s">
        <v>125</v>
      </c>
      <c r="B171" s="8" t="s">
        <v>126</v>
      </c>
      <c r="C171" s="8" t="str">
        <f>IFERROR(_xlfn.XLOOKUP(TRIM(B171),Lookup!$B$2:$B$1000,Lookup!$C$2:$C$1000),"")</f>
        <v>Equity</v>
      </c>
      <c r="D171" s="8" t="str">
        <f>IFERROR(INDEX('nav master'!$C:$C, MATCH(B171, 'nav master'!$B:$B, 0)), "")</f>
        <v>ULIF05501/08/13DivrEqtyFd101</v>
      </c>
      <c r="E171" s="8" t="s">
        <v>526</v>
      </c>
      <c r="F171" s="8" t="s">
        <v>527</v>
      </c>
    </row>
    <row r="172" spans="1:6" ht="60" x14ac:dyDescent="0.25">
      <c r="A172" s="8" t="s">
        <v>125</v>
      </c>
      <c r="B172" s="8" t="s">
        <v>126</v>
      </c>
      <c r="C172" s="8" t="str">
        <f>IFERROR(_xlfn.XLOOKUP(TRIM(B172),Lookup!$B$2:$B$1000,Lookup!$C$2:$C$1000),"")</f>
        <v>Equity</v>
      </c>
      <c r="D172" s="8" t="str">
        <f>IFERROR(INDEX('nav master'!$C:$C, MATCH(B172, 'nav master'!$B:$B, 0)), "")</f>
        <v>ULIF05501/08/13DivrEqtyFd101</v>
      </c>
      <c r="E172" s="8" t="s">
        <v>528</v>
      </c>
      <c r="F172" s="8" t="s">
        <v>529</v>
      </c>
    </row>
    <row r="173" spans="1:6" ht="60" x14ac:dyDescent="0.25">
      <c r="A173" s="8" t="s">
        <v>125</v>
      </c>
      <c r="B173" s="8" t="s">
        <v>126</v>
      </c>
      <c r="C173" s="8" t="str">
        <f>IFERROR(_xlfn.XLOOKUP(TRIM(B173),Lookup!$B$2:$B$1000,Lookup!$C$2:$C$1000),"")</f>
        <v>Equity</v>
      </c>
      <c r="D173" s="8" t="str">
        <f>IFERROR(INDEX('nav master'!$C:$C, MATCH(B173, 'nav master'!$B:$B, 0)), "")</f>
        <v>ULIF05501/08/13DivrEqtyFd101</v>
      </c>
      <c r="E173" s="8" t="s">
        <v>530</v>
      </c>
      <c r="F173" s="8" t="s">
        <v>531</v>
      </c>
    </row>
    <row r="174" spans="1:6" ht="60" x14ac:dyDescent="0.25">
      <c r="A174" s="8" t="s">
        <v>125</v>
      </c>
      <c r="B174" s="8" t="s">
        <v>126</v>
      </c>
      <c r="C174" s="8" t="str">
        <f>IFERROR(_xlfn.XLOOKUP(TRIM(B174),Lookup!$B$2:$B$1000,Lookup!$C$2:$C$1000),"")</f>
        <v>Equity</v>
      </c>
      <c r="D174" s="8" t="str">
        <f>IFERROR(INDEX('nav master'!$C:$C, MATCH(B174, 'nav master'!$B:$B, 0)), "")</f>
        <v>ULIF05501/08/13DivrEqtyFd101</v>
      </c>
      <c r="E174" s="8" t="s">
        <v>532</v>
      </c>
      <c r="F174" s="8" t="s">
        <v>533</v>
      </c>
    </row>
    <row r="175" spans="1:6" ht="60" x14ac:dyDescent="0.25">
      <c r="A175" s="8" t="s">
        <v>125</v>
      </c>
      <c r="B175" s="8" t="s">
        <v>126</v>
      </c>
      <c r="C175" s="8" t="str">
        <f>IFERROR(_xlfn.XLOOKUP(TRIM(B175),Lookup!$B$2:$B$1000,Lookup!$C$2:$C$1000),"")</f>
        <v>Equity</v>
      </c>
      <c r="D175" s="8" t="str">
        <f>IFERROR(INDEX('nav master'!$C:$C, MATCH(B175, 'nav master'!$B:$B, 0)), "")</f>
        <v>ULIF05501/08/13DivrEqtyFd101</v>
      </c>
      <c r="E175" s="8" t="s">
        <v>534</v>
      </c>
      <c r="F175" s="8" t="s">
        <v>535</v>
      </c>
    </row>
    <row r="176" spans="1:6" ht="60" x14ac:dyDescent="0.25">
      <c r="A176" s="8" t="s">
        <v>125</v>
      </c>
      <c r="B176" s="8" t="s">
        <v>126</v>
      </c>
      <c r="C176" s="8" t="str">
        <f>IFERROR(_xlfn.XLOOKUP(TRIM(B176),Lookup!$B$2:$B$1000,Lookup!$C$2:$C$1000),"")</f>
        <v>Equity</v>
      </c>
      <c r="D176" s="8" t="str">
        <f>IFERROR(INDEX('nav master'!$C:$C, MATCH(B176, 'nav master'!$B:$B, 0)), "")</f>
        <v>ULIF05501/08/13DivrEqtyFd101</v>
      </c>
      <c r="E176" s="8" t="s">
        <v>536</v>
      </c>
      <c r="F176" s="8" t="s">
        <v>537</v>
      </c>
    </row>
    <row r="177" spans="1:6" ht="60" x14ac:dyDescent="0.25">
      <c r="A177" s="8" t="s">
        <v>125</v>
      </c>
      <c r="B177" s="8" t="s">
        <v>126</v>
      </c>
      <c r="C177" s="8" t="str">
        <f>IFERROR(_xlfn.XLOOKUP(TRIM(B177),Lookup!$B$2:$B$1000,Lookup!$C$2:$C$1000),"")</f>
        <v>Equity</v>
      </c>
      <c r="D177" s="8" t="str">
        <f>IFERROR(INDEX('nav master'!$C:$C, MATCH(B177, 'nav master'!$B:$B, 0)), "")</f>
        <v>ULIF05501/08/13DivrEqtyFd101</v>
      </c>
      <c r="E177" s="8" t="s">
        <v>538</v>
      </c>
      <c r="F177" s="8" t="s">
        <v>539</v>
      </c>
    </row>
    <row r="178" spans="1:6" ht="60" x14ac:dyDescent="0.25">
      <c r="A178" s="8" t="s">
        <v>125</v>
      </c>
      <c r="B178" s="8" t="s">
        <v>126</v>
      </c>
      <c r="C178" s="8" t="str">
        <f>IFERROR(_xlfn.XLOOKUP(TRIM(B178),Lookup!$B$2:$B$1000,Lookup!$C$2:$C$1000),"")</f>
        <v>Equity</v>
      </c>
      <c r="D178" s="8" t="str">
        <f>IFERROR(INDEX('nav master'!$C:$C, MATCH(B178, 'nav master'!$B:$B, 0)), "")</f>
        <v>ULIF05501/08/13DivrEqtyFd101</v>
      </c>
      <c r="E178" s="8" t="s">
        <v>540</v>
      </c>
      <c r="F178" s="8" t="s">
        <v>541</v>
      </c>
    </row>
    <row r="179" spans="1:6" ht="60" x14ac:dyDescent="0.25">
      <c r="A179" s="8" t="s">
        <v>125</v>
      </c>
      <c r="B179" s="8" t="s">
        <v>126</v>
      </c>
      <c r="C179" s="8" t="str">
        <f>IFERROR(_xlfn.XLOOKUP(TRIM(B179),Lookup!$B$2:$B$1000,Lookup!$C$2:$C$1000),"")</f>
        <v>Equity</v>
      </c>
      <c r="D179" s="8" t="str">
        <f>IFERROR(INDEX('nav master'!$C:$C, MATCH(B179, 'nav master'!$B:$B, 0)), "")</f>
        <v>ULIF05501/08/13DivrEqtyFd101</v>
      </c>
      <c r="E179" s="8" t="s">
        <v>542</v>
      </c>
      <c r="F179" s="8" t="s">
        <v>543</v>
      </c>
    </row>
    <row r="180" spans="1:6" ht="60" x14ac:dyDescent="0.25">
      <c r="A180" s="8" t="s">
        <v>125</v>
      </c>
      <c r="B180" s="8" t="s">
        <v>126</v>
      </c>
      <c r="C180" s="8" t="str">
        <f>IFERROR(_xlfn.XLOOKUP(TRIM(B180),Lookup!$B$2:$B$1000,Lookup!$C$2:$C$1000),"")</f>
        <v>Equity</v>
      </c>
      <c r="D180" s="8" t="str">
        <f>IFERROR(INDEX('nav master'!$C:$C, MATCH(B180, 'nav master'!$B:$B, 0)), "")</f>
        <v>ULIF05501/08/13DivrEqtyFd101</v>
      </c>
      <c r="E180" s="8" t="s">
        <v>544</v>
      </c>
      <c r="F180" s="8" t="s">
        <v>545</v>
      </c>
    </row>
    <row r="181" spans="1:6" ht="60" x14ac:dyDescent="0.25">
      <c r="A181" s="8" t="s">
        <v>125</v>
      </c>
      <c r="B181" s="8" t="s">
        <v>126</v>
      </c>
      <c r="C181" s="8" t="str">
        <f>IFERROR(_xlfn.XLOOKUP(TRIM(B181),Lookup!$B$2:$B$1000,Lookup!$C$2:$C$1000),"")</f>
        <v>Equity</v>
      </c>
      <c r="D181" s="8" t="str">
        <f>IFERROR(INDEX('nav master'!$C:$C, MATCH(B181, 'nav master'!$B:$B, 0)), "")</f>
        <v>ULIF05501/08/13DivrEqtyFd101</v>
      </c>
      <c r="E181" s="8" t="s">
        <v>546</v>
      </c>
      <c r="F181" s="8" t="s">
        <v>547</v>
      </c>
    </row>
    <row r="182" spans="1:6" ht="60" x14ac:dyDescent="0.25">
      <c r="A182" s="8" t="s">
        <v>125</v>
      </c>
      <c r="B182" s="8" t="s">
        <v>126</v>
      </c>
      <c r="C182" s="8" t="str">
        <f>IFERROR(_xlfn.XLOOKUP(TRIM(B182),Lookup!$B$2:$B$1000,Lookup!$C$2:$C$1000),"")</f>
        <v>Equity</v>
      </c>
      <c r="D182" s="8" t="str">
        <f>IFERROR(INDEX('nav master'!$C:$C, MATCH(B182, 'nav master'!$B:$B, 0)), "")</f>
        <v>ULIF05501/08/13DivrEqtyFd101</v>
      </c>
      <c r="E182" s="8" t="s">
        <v>548</v>
      </c>
      <c r="F182" s="8" t="s">
        <v>549</v>
      </c>
    </row>
    <row r="183" spans="1:6" ht="60" x14ac:dyDescent="0.25">
      <c r="A183" s="8" t="s">
        <v>125</v>
      </c>
      <c r="B183" s="8" t="s">
        <v>126</v>
      </c>
      <c r="C183" s="8" t="str">
        <f>IFERROR(_xlfn.XLOOKUP(TRIM(B183),Lookup!$B$2:$B$1000,Lookup!$C$2:$C$1000),"")</f>
        <v>Equity</v>
      </c>
      <c r="D183" s="8" t="str">
        <f>IFERROR(INDEX('nav master'!$C:$C, MATCH(B183, 'nav master'!$B:$B, 0)), "")</f>
        <v>ULIF05501/08/13DivrEqtyFd101</v>
      </c>
      <c r="E183" s="8" t="s">
        <v>550</v>
      </c>
      <c r="F183" s="8" t="s">
        <v>551</v>
      </c>
    </row>
    <row r="184" spans="1:6" ht="60" x14ac:dyDescent="0.25">
      <c r="A184" s="8" t="s">
        <v>125</v>
      </c>
      <c r="B184" s="8" t="s">
        <v>126</v>
      </c>
      <c r="C184" s="8" t="str">
        <f>IFERROR(_xlfn.XLOOKUP(TRIM(B184),Lookup!$B$2:$B$1000,Lookup!$C$2:$C$1000),"")</f>
        <v>Equity</v>
      </c>
      <c r="D184" s="8" t="str">
        <f>IFERROR(INDEX('nav master'!$C:$C, MATCH(B184, 'nav master'!$B:$B, 0)), "")</f>
        <v>ULIF05501/08/13DivrEqtyFd101</v>
      </c>
      <c r="E184" s="8" t="s">
        <v>552</v>
      </c>
      <c r="F184" s="8" t="s">
        <v>553</v>
      </c>
    </row>
    <row r="185" spans="1:6" ht="60" x14ac:dyDescent="0.25">
      <c r="A185" s="8" t="s">
        <v>125</v>
      </c>
      <c r="B185" s="8" t="s">
        <v>126</v>
      </c>
      <c r="C185" s="8" t="str">
        <f>IFERROR(_xlfn.XLOOKUP(TRIM(B185),Lookup!$B$2:$B$1000,Lookup!$C$2:$C$1000),"")</f>
        <v>Equity</v>
      </c>
      <c r="D185" s="8" t="str">
        <f>IFERROR(INDEX('nav master'!$C:$C, MATCH(B185, 'nav master'!$B:$B, 0)), "")</f>
        <v>ULIF05501/08/13DivrEqtyFd101</v>
      </c>
      <c r="E185" s="8" t="s">
        <v>554</v>
      </c>
      <c r="F185" s="8" t="s">
        <v>555</v>
      </c>
    </row>
    <row r="186" spans="1:6" ht="60" x14ac:dyDescent="0.25">
      <c r="A186" s="8" t="s">
        <v>125</v>
      </c>
      <c r="B186" s="8" t="s">
        <v>126</v>
      </c>
      <c r="C186" s="8" t="str">
        <f>IFERROR(_xlfn.XLOOKUP(TRIM(B186),Lookup!$B$2:$B$1000,Lookup!$C$2:$C$1000),"")</f>
        <v>Equity</v>
      </c>
      <c r="D186" s="8" t="str">
        <f>IFERROR(INDEX('nav master'!$C:$C, MATCH(B186, 'nav master'!$B:$B, 0)), "")</f>
        <v>ULIF05501/08/13DivrEqtyFd101</v>
      </c>
      <c r="E186" s="8" t="s">
        <v>556</v>
      </c>
      <c r="F186" s="8" t="s">
        <v>557</v>
      </c>
    </row>
    <row r="187" spans="1:6" ht="60" x14ac:dyDescent="0.25">
      <c r="A187" s="8" t="s">
        <v>125</v>
      </c>
      <c r="B187" s="8" t="s">
        <v>126</v>
      </c>
      <c r="C187" s="8" t="str">
        <f>IFERROR(_xlfn.XLOOKUP(TRIM(B187),Lookup!$B$2:$B$1000,Lookup!$C$2:$C$1000),"")</f>
        <v>Equity</v>
      </c>
      <c r="D187" s="8" t="str">
        <f>IFERROR(INDEX('nav master'!$C:$C, MATCH(B187, 'nav master'!$B:$B, 0)), "")</f>
        <v>ULIF05501/08/13DivrEqtyFd101</v>
      </c>
      <c r="E187" s="8" t="s">
        <v>558</v>
      </c>
      <c r="F187" s="8" t="s">
        <v>559</v>
      </c>
    </row>
    <row r="188" spans="1:6" ht="60" x14ac:dyDescent="0.25">
      <c r="A188" s="8" t="s">
        <v>125</v>
      </c>
      <c r="B188" s="8" t="s">
        <v>126</v>
      </c>
      <c r="C188" s="8" t="str">
        <f>IFERROR(_xlfn.XLOOKUP(TRIM(B188),Lookup!$B$2:$B$1000,Lookup!$C$2:$C$1000),"")</f>
        <v>Equity</v>
      </c>
      <c r="D188" s="8" t="str">
        <f>IFERROR(INDEX('nav master'!$C:$C, MATCH(B188, 'nav master'!$B:$B, 0)), "")</f>
        <v>ULIF05501/08/13DivrEqtyFd101</v>
      </c>
      <c r="E188" s="8" t="s">
        <v>560</v>
      </c>
      <c r="F188" s="8" t="s">
        <v>561</v>
      </c>
    </row>
    <row r="189" spans="1:6" ht="60" x14ac:dyDescent="0.25">
      <c r="A189" s="8" t="s">
        <v>125</v>
      </c>
      <c r="B189" s="8" t="s">
        <v>126</v>
      </c>
      <c r="C189" s="8" t="str">
        <f>IFERROR(_xlfn.XLOOKUP(TRIM(B189),Lookup!$B$2:$B$1000,Lookup!$C$2:$C$1000),"")</f>
        <v>Equity</v>
      </c>
      <c r="D189" s="8" t="str">
        <f>IFERROR(INDEX('nav master'!$C:$C, MATCH(B189, 'nav master'!$B:$B, 0)), "")</f>
        <v>ULIF05501/08/13DivrEqtyFd101</v>
      </c>
      <c r="E189" s="8" t="s">
        <v>562</v>
      </c>
      <c r="F189" s="8" t="s">
        <v>563</v>
      </c>
    </row>
    <row r="190" spans="1:6" ht="60" x14ac:dyDescent="0.25">
      <c r="A190" s="8" t="s">
        <v>125</v>
      </c>
      <c r="B190" s="8" t="s">
        <v>126</v>
      </c>
      <c r="C190" s="8" t="str">
        <f>IFERROR(_xlfn.XLOOKUP(TRIM(B190),Lookup!$B$2:$B$1000,Lookup!$C$2:$C$1000),"")</f>
        <v>Equity</v>
      </c>
      <c r="D190" s="8" t="str">
        <f>IFERROR(INDEX('nav master'!$C:$C, MATCH(B190, 'nav master'!$B:$B, 0)), "")</f>
        <v>ULIF05501/08/13DivrEqtyFd101</v>
      </c>
      <c r="E190" s="8" t="s">
        <v>564</v>
      </c>
      <c r="F190" s="8" t="s">
        <v>565</v>
      </c>
    </row>
    <row r="191" spans="1:6" ht="60" x14ac:dyDescent="0.25">
      <c r="A191" s="8" t="s">
        <v>125</v>
      </c>
      <c r="B191" s="8" t="s">
        <v>126</v>
      </c>
      <c r="C191" s="8" t="str">
        <f>IFERROR(_xlfn.XLOOKUP(TRIM(B191),Lookup!$B$2:$B$1000,Lookup!$C$2:$C$1000),"")</f>
        <v>Equity</v>
      </c>
      <c r="D191" s="8" t="str">
        <f>IFERROR(INDEX('nav master'!$C:$C, MATCH(B191, 'nav master'!$B:$B, 0)), "")</f>
        <v>ULIF05501/08/13DivrEqtyFd101</v>
      </c>
      <c r="E191" s="8" t="s">
        <v>566</v>
      </c>
      <c r="F191" s="8" t="s">
        <v>567</v>
      </c>
    </row>
    <row r="192" spans="1:6" ht="60" x14ac:dyDescent="0.25">
      <c r="A192" s="8" t="s">
        <v>125</v>
      </c>
      <c r="B192" s="8" t="s">
        <v>126</v>
      </c>
      <c r="C192" s="8" t="str">
        <f>IFERROR(_xlfn.XLOOKUP(TRIM(B192),Lookup!$B$2:$B$1000,Lookup!$C$2:$C$1000),"")</f>
        <v>Equity</v>
      </c>
      <c r="D192" s="8" t="str">
        <f>IFERROR(INDEX('nav master'!$C:$C, MATCH(B192, 'nav master'!$B:$B, 0)), "")</f>
        <v>ULIF05501/08/13DivrEqtyFd101</v>
      </c>
      <c r="E192" s="8" t="s">
        <v>568</v>
      </c>
      <c r="F192" s="8" t="s">
        <v>569</v>
      </c>
    </row>
    <row r="193" spans="1:6" ht="60" x14ac:dyDescent="0.25">
      <c r="A193" s="8" t="s">
        <v>125</v>
      </c>
      <c r="B193" s="8" t="s">
        <v>126</v>
      </c>
      <c r="C193" s="8" t="str">
        <f>IFERROR(_xlfn.XLOOKUP(TRIM(B193),Lookup!$B$2:$B$1000,Lookup!$C$2:$C$1000),"")</f>
        <v>Equity</v>
      </c>
      <c r="D193" s="8" t="str">
        <f>IFERROR(INDEX('nav master'!$C:$C, MATCH(B193, 'nav master'!$B:$B, 0)), "")</f>
        <v>ULIF05501/08/13DivrEqtyFd101</v>
      </c>
      <c r="E193" s="8" t="s">
        <v>570</v>
      </c>
      <c r="F193" s="8" t="s">
        <v>571</v>
      </c>
    </row>
    <row r="194" spans="1:6" ht="60" x14ac:dyDescent="0.25">
      <c r="A194" s="8" t="s">
        <v>125</v>
      </c>
      <c r="B194" s="8" t="s">
        <v>126</v>
      </c>
      <c r="C194" s="8" t="str">
        <f>IFERROR(_xlfn.XLOOKUP(TRIM(B194),Lookup!$B$2:$B$1000,Lookup!$C$2:$C$1000),"")</f>
        <v>Equity</v>
      </c>
      <c r="D194" s="8" t="str">
        <f>IFERROR(INDEX('nav master'!$C:$C, MATCH(B194, 'nav master'!$B:$B, 0)), "")</f>
        <v>ULIF05501/08/13DivrEqtyFd101</v>
      </c>
      <c r="E194" s="8" t="s">
        <v>572</v>
      </c>
      <c r="F194" s="8" t="s">
        <v>573</v>
      </c>
    </row>
    <row r="195" spans="1:6" ht="60" x14ac:dyDescent="0.25">
      <c r="A195" s="8" t="s">
        <v>125</v>
      </c>
      <c r="B195" s="8" t="s">
        <v>126</v>
      </c>
      <c r="C195" s="8" t="str">
        <f>IFERROR(_xlfn.XLOOKUP(TRIM(B195),Lookup!$B$2:$B$1000,Lookup!$C$2:$C$1000),"")</f>
        <v>Equity</v>
      </c>
      <c r="D195" s="8" t="str">
        <f>IFERROR(INDEX('nav master'!$C:$C, MATCH(B195, 'nav master'!$B:$B, 0)), "")</f>
        <v>ULIF05501/08/13DivrEqtyFd101</v>
      </c>
      <c r="E195" s="8" t="s">
        <v>574</v>
      </c>
      <c r="F195" s="8" t="s">
        <v>575</v>
      </c>
    </row>
    <row r="196" spans="1:6" ht="60" x14ac:dyDescent="0.25">
      <c r="A196" s="8" t="s">
        <v>125</v>
      </c>
      <c r="B196" s="8" t="s">
        <v>126</v>
      </c>
      <c r="C196" s="8" t="str">
        <f>IFERROR(_xlfn.XLOOKUP(TRIM(B196),Lookup!$B$2:$B$1000,Lookup!$C$2:$C$1000),"")</f>
        <v>Equity</v>
      </c>
      <c r="D196" s="8" t="str">
        <f>IFERROR(INDEX('nav master'!$C:$C, MATCH(B196, 'nav master'!$B:$B, 0)), "")</f>
        <v>ULIF05501/08/13DivrEqtyFd101</v>
      </c>
      <c r="E196" s="8" t="s">
        <v>576</v>
      </c>
      <c r="F196" s="8" t="s">
        <v>577</v>
      </c>
    </row>
    <row r="197" spans="1:6" ht="60" x14ac:dyDescent="0.25">
      <c r="A197" s="8" t="s">
        <v>125</v>
      </c>
      <c r="B197" s="8" t="s">
        <v>126</v>
      </c>
      <c r="C197" s="8" t="str">
        <f>IFERROR(_xlfn.XLOOKUP(TRIM(B197),Lookup!$B$2:$B$1000,Lookup!$C$2:$C$1000),"")</f>
        <v>Equity</v>
      </c>
      <c r="D197" s="8" t="str">
        <f>IFERROR(INDEX('nav master'!$C:$C, MATCH(B197, 'nav master'!$B:$B, 0)), "")</f>
        <v>ULIF05501/08/13DivrEqtyFd101</v>
      </c>
      <c r="E197" s="8" t="s">
        <v>578</v>
      </c>
      <c r="F197" s="8" t="s">
        <v>579</v>
      </c>
    </row>
    <row r="198" spans="1:6" ht="60" x14ac:dyDescent="0.25">
      <c r="A198" s="8" t="s">
        <v>125</v>
      </c>
      <c r="B198" s="8" t="s">
        <v>126</v>
      </c>
      <c r="C198" s="8" t="str">
        <f>IFERROR(_xlfn.XLOOKUP(TRIM(B198),Lookup!$B$2:$B$1000,Lookup!$C$2:$C$1000),"")</f>
        <v>Equity</v>
      </c>
      <c r="D198" s="8" t="str">
        <f>IFERROR(INDEX('nav master'!$C:$C, MATCH(B198, 'nav master'!$B:$B, 0)), "")</f>
        <v>ULIF05501/08/13DivrEqtyFd101</v>
      </c>
      <c r="E198" s="8" t="s">
        <v>580</v>
      </c>
      <c r="F198" s="8" t="s">
        <v>581</v>
      </c>
    </row>
    <row r="199" spans="1:6" ht="60" x14ac:dyDescent="0.25">
      <c r="A199" s="8" t="s">
        <v>125</v>
      </c>
      <c r="B199" s="8" t="s">
        <v>126</v>
      </c>
      <c r="C199" s="8" t="str">
        <f>IFERROR(_xlfn.XLOOKUP(TRIM(B199),Lookup!$B$2:$B$1000,Lookup!$C$2:$C$1000),"")</f>
        <v>Equity</v>
      </c>
      <c r="D199" s="8" t="str">
        <f>IFERROR(INDEX('nav master'!$C:$C, MATCH(B199, 'nav master'!$B:$B, 0)), "")</f>
        <v>ULIF05501/08/13DivrEqtyFd101</v>
      </c>
      <c r="E199" s="8" t="s">
        <v>582</v>
      </c>
      <c r="F199" s="8" t="s">
        <v>583</v>
      </c>
    </row>
    <row r="200" spans="1:6" ht="60" x14ac:dyDescent="0.25">
      <c r="A200" s="8" t="s">
        <v>125</v>
      </c>
      <c r="B200" s="8" t="s">
        <v>126</v>
      </c>
      <c r="C200" s="8" t="str">
        <f>IFERROR(_xlfn.XLOOKUP(TRIM(B200),Lookup!$B$2:$B$1000,Lookup!$C$2:$C$1000),"")</f>
        <v>Equity</v>
      </c>
      <c r="D200" s="8" t="str">
        <f>IFERROR(INDEX('nav master'!$C:$C, MATCH(B200, 'nav master'!$B:$B, 0)), "")</f>
        <v>ULIF05501/08/13DivrEqtyFd101</v>
      </c>
      <c r="E200" s="8" t="s">
        <v>584</v>
      </c>
      <c r="F200" s="8" t="s">
        <v>585</v>
      </c>
    </row>
    <row r="201" spans="1:6" ht="60" x14ac:dyDescent="0.25">
      <c r="A201" s="8" t="s">
        <v>125</v>
      </c>
      <c r="B201" s="8" t="s">
        <v>126</v>
      </c>
      <c r="C201" s="8" t="str">
        <f>IFERROR(_xlfn.XLOOKUP(TRIM(B201),Lookup!$B$2:$B$1000,Lookup!$C$2:$C$1000),"")</f>
        <v>Equity</v>
      </c>
      <c r="D201" s="8" t="str">
        <f>IFERROR(INDEX('nav master'!$C:$C, MATCH(B201, 'nav master'!$B:$B, 0)), "")</f>
        <v>ULIF05501/08/13DivrEqtyFd101</v>
      </c>
      <c r="E201" s="8" t="s">
        <v>586</v>
      </c>
      <c r="F201" s="8" t="s">
        <v>587</v>
      </c>
    </row>
    <row r="202" spans="1:6" ht="60" x14ac:dyDescent="0.25">
      <c r="A202" s="8" t="s">
        <v>125</v>
      </c>
      <c r="B202" s="8" t="s">
        <v>126</v>
      </c>
      <c r="C202" s="8" t="str">
        <f>IFERROR(_xlfn.XLOOKUP(TRIM(B202),Lookup!$B$2:$B$1000,Lookup!$C$2:$C$1000),"")</f>
        <v>Equity</v>
      </c>
      <c r="D202" s="8" t="str">
        <f>IFERROR(INDEX('nav master'!$C:$C, MATCH(B202, 'nav master'!$B:$B, 0)), "")</f>
        <v>ULIF05501/08/13DivrEqtyFd101</v>
      </c>
      <c r="E202" s="8" t="s">
        <v>588</v>
      </c>
      <c r="F202" s="8" t="s">
        <v>589</v>
      </c>
    </row>
    <row r="203" spans="1:6" ht="60" x14ac:dyDescent="0.25">
      <c r="A203" s="8" t="s">
        <v>125</v>
      </c>
      <c r="B203" s="8" t="s">
        <v>126</v>
      </c>
      <c r="C203" s="8" t="str">
        <f>IFERROR(_xlfn.XLOOKUP(TRIM(B203),Lookup!$B$2:$B$1000,Lookup!$C$2:$C$1000),"")</f>
        <v>Equity</v>
      </c>
      <c r="D203" s="8" t="str">
        <f>IFERROR(INDEX('nav master'!$C:$C, MATCH(B203, 'nav master'!$B:$B, 0)), "")</f>
        <v>ULIF05501/08/13DivrEqtyFd101</v>
      </c>
      <c r="E203" s="8" t="s">
        <v>590</v>
      </c>
      <c r="F203" s="8" t="s">
        <v>591</v>
      </c>
    </row>
    <row r="204" spans="1:6" ht="60" x14ac:dyDescent="0.25">
      <c r="A204" s="8" t="s">
        <v>125</v>
      </c>
      <c r="B204" s="8" t="s">
        <v>126</v>
      </c>
      <c r="C204" s="8" t="str">
        <f>IFERROR(_xlfn.XLOOKUP(TRIM(B204),Lookup!$B$2:$B$1000,Lookup!$C$2:$C$1000),"")</f>
        <v>Equity</v>
      </c>
      <c r="D204" s="8" t="str">
        <f>IFERROR(INDEX('nav master'!$C:$C, MATCH(B204, 'nav master'!$B:$B, 0)), "")</f>
        <v>ULIF05501/08/13DivrEqtyFd101</v>
      </c>
      <c r="E204" s="8" t="s">
        <v>592</v>
      </c>
      <c r="F204" s="8" t="s">
        <v>593</v>
      </c>
    </row>
    <row r="205" spans="1:6" ht="60" x14ac:dyDescent="0.25">
      <c r="A205" s="8" t="s">
        <v>125</v>
      </c>
      <c r="B205" s="8" t="s">
        <v>126</v>
      </c>
      <c r="C205" s="8" t="str">
        <f>IFERROR(_xlfn.XLOOKUP(TRIM(B205),Lookup!$B$2:$B$1000,Lookup!$C$2:$C$1000),"")</f>
        <v>Equity</v>
      </c>
      <c r="D205" s="8" t="str">
        <f>IFERROR(INDEX('nav master'!$C:$C, MATCH(B205, 'nav master'!$B:$B, 0)), "")</f>
        <v>ULIF05501/08/13DivrEqtyFd101</v>
      </c>
      <c r="E205" s="8" t="s">
        <v>594</v>
      </c>
      <c r="F205" s="8" t="s">
        <v>595</v>
      </c>
    </row>
    <row r="206" spans="1:6" ht="60" x14ac:dyDescent="0.25">
      <c r="A206" s="8" t="s">
        <v>125</v>
      </c>
      <c r="B206" s="8" t="s">
        <v>126</v>
      </c>
      <c r="C206" s="8" t="str">
        <f>IFERROR(_xlfn.XLOOKUP(TRIM(B206),Lookup!$B$2:$B$1000,Lookup!$C$2:$C$1000),"")</f>
        <v>Equity</v>
      </c>
      <c r="D206" s="8" t="str">
        <f>IFERROR(INDEX('nav master'!$C:$C, MATCH(B206, 'nav master'!$B:$B, 0)), "")</f>
        <v>ULIF05501/08/13DivrEqtyFd101</v>
      </c>
      <c r="E206" s="8" t="s">
        <v>596</v>
      </c>
      <c r="F206" s="8" t="s">
        <v>597</v>
      </c>
    </row>
    <row r="207" spans="1:6" ht="60" x14ac:dyDescent="0.25">
      <c r="A207" s="8" t="s">
        <v>125</v>
      </c>
      <c r="B207" s="8" t="s">
        <v>126</v>
      </c>
      <c r="C207" s="8" t="str">
        <f>IFERROR(_xlfn.XLOOKUP(TRIM(B207),Lookup!$B$2:$B$1000,Lookup!$C$2:$C$1000),"")</f>
        <v>Equity</v>
      </c>
      <c r="D207" s="8" t="str">
        <f>IFERROR(INDEX('nav master'!$C:$C, MATCH(B207, 'nav master'!$B:$B, 0)), "")</f>
        <v>ULIF05501/08/13DivrEqtyFd101</v>
      </c>
      <c r="E207" s="8" t="s">
        <v>598</v>
      </c>
      <c r="F207" s="8" t="s">
        <v>599</v>
      </c>
    </row>
    <row r="208" spans="1:6" ht="60" x14ac:dyDescent="0.25">
      <c r="A208" s="8" t="s">
        <v>125</v>
      </c>
      <c r="B208" s="8" t="s">
        <v>126</v>
      </c>
      <c r="C208" s="8" t="str">
        <f>IFERROR(_xlfn.XLOOKUP(TRIM(B208),Lookup!$B$2:$B$1000,Lookup!$C$2:$C$1000),"")</f>
        <v>Equity</v>
      </c>
      <c r="D208" s="8" t="str">
        <f>IFERROR(INDEX('nav master'!$C:$C, MATCH(B208, 'nav master'!$B:$B, 0)), "")</f>
        <v>ULIF05501/08/13DivrEqtyFd101</v>
      </c>
      <c r="E208" s="8" t="s">
        <v>600</v>
      </c>
      <c r="F208" s="8" t="s">
        <v>601</v>
      </c>
    </row>
    <row r="209" spans="1:6" ht="60" x14ac:dyDescent="0.25">
      <c r="A209" s="8" t="s">
        <v>125</v>
      </c>
      <c r="B209" s="8" t="s">
        <v>126</v>
      </c>
      <c r="C209" s="8" t="str">
        <f>IFERROR(_xlfn.XLOOKUP(TRIM(B209),Lookup!$B$2:$B$1000,Lookup!$C$2:$C$1000),"")</f>
        <v>Equity</v>
      </c>
      <c r="D209" s="8" t="str">
        <f>IFERROR(INDEX('nav master'!$C:$C, MATCH(B209, 'nav master'!$B:$B, 0)), "")</f>
        <v>ULIF05501/08/13DivrEqtyFd101</v>
      </c>
      <c r="E209" s="8" t="s">
        <v>602</v>
      </c>
      <c r="F209" s="8" t="s">
        <v>603</v>
      </c>
    </row>
    <row r="210" spans="1:6" ht="60" x14ac:dyDescent="0.25">
      <c r="A210" s="8" t="s">
        <v>125</v>
      </c>
      <c r="B210" s="8" t="s">
        <v>126</v>
      </c>
      <c r="C210" s="8" t="str">
        <f>IFERROR(_xlfn.XLOOKUP(TRIM(B210),Lookup!$B$2:$B$1000,Lookup!$C$2:$C$1000),"")</f>
        <v>Equity</v>
      </c>
      <c r="D210" s="8" t="str">
        <f>IFERROR(INDEX('nav master'!$C:$C, MATCH(B210, 'nav master'!$B:$B, 0)), "")</f>
        <v>ULIF05501/08/13DivrEqtyFd101</v>
      </c>
      <c r="E210" s="8" t="s">
        <v>604</v>
      </c>
      <c r="F210" s="8" t="s">
        <v>605</v>
      </c>
    </row>
    <row r="211" spans="1:6" ht="60" x14ac:dyDescent="0.25">
      <c r="A211" s="8" t="s">
        <v>125</v>
      </c>
      <c r="B211" s="8" t="s">
        <v>126</v>
      </c>
      <c r="C211" s="8" t="str">
        <f>IFERROR(_xlfn.XLOOKUP(TRIM(B211),Lookup!$B$2:$B$1000,Lookup!$C$2:$C$1000),"")</f>
        <v>Equity</v>
      </c>
      <c r="D211" s="8" t="str">
        <f>IFERROR(INDEX('nav master'!$C:$C, MATCH(B211, 'nav master'!$B:$B, 0)), "")</f>
        <v>ULIF05501/08/13DivrEqtyFd101</v>
      </c>
      <c r="E211" s="8" t="s">
        <v>606</v>
      </c>
      <c r="F211" s="8" t="s">
        <v>607</v>
      </c>
    </row>
    <row r="212" spans="1:6" ht="60" x14ac:dyDescent="0.25">
      <c r="A212" s="8" t="s">
        <v>125</v>
      </c>
      <c r="B212" s="8" t="s">
        <v>126</v>
      </c>
      <c r="C212" s="8" t="str">
        <f>IFERROR(_xlfn.XLOOKUP(TRIM(B212),Lookup!$B$2:$B$1000,Lookup!$C$2:$C$1000),"")</f>
        <v>Equity</v>
      </c>
      <c r="D212" s="8" t="str">
        <f>IFERROR(INDEX('nav master'!$C:$C, MATCH(B212, 'nav master'!$B:$B, 0)), "")</f>
        <v>ULIF05501/08/13DivrEqtyFd101</v>
      </c>
      <c r="E212" s="8" t="s">
        <v>608</v>
      </c>
      <c r="F212" s="8" t="s">
        <v>609</v>
      </c>
    </row>
    <row r="213" spans="1:6" ht="60" x14ac:dyDescent="0.25">
      <c r="A213" s="8" t="s">
        <v>125</v>
      </c>
      <c r="B213" s="8" t="s">
        <v>126</v>
      </c>
      <c r="C213" s="8" t="str">
        <f>IFERROR(_xlfn.XLOOKUP(TRIM(B213),Lookup!$B$2:$B$1000,Lookup!$C$2:$C$1000),"")</f>
        <v>Equity</v>
      </c>
      <c r="D213" s="8" t="str">
        <f>IFERROR(INDEX('nav master'!$C:$C, MATCH(B213, 'nav master'!$B:$B, 0)), "")</f>
        <v>ULIF05501/08/13DivrEqtyFd101</v>
      </c>
      <c r="E213" s="8" t="s">
        <v>610</v>
      </c>
      <c r="F213" s="8" t="s">
        <v>611</v>
      </c>
    </row>
    <row r="214" spans="1:6" ht="60" x14ac:dyDescent="0.25">
      <c r="A214" s="8" t="s">
        <v>125</v>
      </c>
      <c r="B214" s="8" t="s">
        <v>126</v>
      </c>
      <c r="C214" s="8" t="str">
        <f>IFERROR(_xlfn.XLOOKUP(TRIM(B214),Lookup!$B$2:$B$1000,Lookup!$C$2:$C$1000),"")</f>
        <v>Equity</v>
      </c>
      <c r="D214" s="8" t="str">
        <f>IFERROR(INDEX('nav master'!$C:$C, MATCH(B214, 'nav master'!$B:$B, 0)), "")</f>
        <v>ULIF05501/08/13DivrEqtyFd101</v>
      </c>
      <c r="E214" s="8" t="s">
        <v>612</v>
      </c>
      <c r="F214" s="8" t="s">
        <v>613</v>
      </c>
    </row>
    <row r="215" spans="1:6" ht="60" x14ac:dyDescent="0.25">
      <c r="A215" s="8" t="s">
        <v>125</v>
      </c>
      <c r="B215" s="8" t="s">
        <v>126</v>
      </c>
      <c r="C215" s="8" t="str">
        <f>IFERROR(_xlfn.XLOOKUP(TRIM(B215),Lookup!$B$2:$B$1000,Lookup!$C$2:$C$1000),"")</f>
        <v>Equity</v>
      </c>
      <c r="D215" s="8" t="str">
        <f>IFERROR(INDEX('nav master'!$C:$C, MATCH(B215, 'nav master'!$B:$B, 0)), "")</f>
        <v>ULIF05501/08/13DivrEqtyFd101</v>
      </c>
      <c r="E215" s="8" t="s">
        <v>614</v>
      </c>
      <c r="F215" s="8" t="s">
        <v>615</v>
      </c>
    </row>
    <row r="216" spans="1:6" ht="60" x14ac:dyDescent="0.25">
      <c r="A216" s="8" t="s">
        <v>125</v>
      </c>
      <c r="B216" s="8" t="s">
        <v>126</v>
      </c>
      <c r="C216" s="8" t="str">
        <f>IFERROR(_xlfn.XLOOKUP(TRIM(B216),Lookup!$B$2:$B$1000,Lookup!$C$2:$C$1000),"")</f>
        <v>Equity</v>
      </c>
      <c r="D216" s="8" t="str">
        <f>IFERROR(INDEX('nav master'!$C:$C, MATCH(B216, 'nav master'!$B:$B, 0)), "")</f>
        <v>ULIF05501/08/13DivrEqtyFd101</v>
      </c>
      <c r="E216" s="8" t="s">
        <v>616</v>
      </c>
      <c r="F216" s="8" t="s">
        <v>617</v>
      </c>
    </row>
    <row r="217" spans="1:6" ht="60" x14ac:dyDescent="0.25">
      <c r="A217" s="8" t="s">
        <v>125</v>
      </c>
      <c r="B217" s="8" t="s">
        <v>126</v>
      </c>
      <c r="C217" s="8" t="str">
        <f>IFERROR(_xlfn.XLOOKUP(TRIM(B217),Lookup!$B$2:$B$1000,Lookup!$C$2:$C$1000),"")</f>
        <v>Equity</v>
      </c>
      <c r="D217" s="8" t="str">
        <f>IFERROR(INDEX('nav master'!$C:$C, MATCH(B217, 'nav master'!$B:$B, 0)), "")</f>
        <v>ULIF05501/08/13DivrEqtyFd101</v>
      </c>
      <c r="E217" s="8" t="s">
        <v>618</v>
      </c>
      <c r="F217" s="8" t="s">
        <v>619</v>
      </c>
    </row>
    <row r="218" spans="1:6" ht="60" x14ac:dyDescent="0.25">
      <c r="A218" s="8" t="s">
        <v>125</v>
      </c>
      <c r="B218" s="8" t="s">
        <v>126</v>
      </c>
      <c r="C218" s="8" t="str">
        <f>IFERROR(_xlfn.XLOOKUP(TRIM(B218),Lookup!$B$2:$B$1000,Lookup!$C$2:$C$1000),"")</f>
        <v>Equity</v>
      </c>
      <c r="D218" s="8" t="str">
        <f>IFERROR(INDEX('nav master'!$C:$C, MATCH(B218, 'nav master'!$B:$B, 0)), "")</f>
        <v>ULIF05501/08/13DivrEqtyFd101</v>
      </c>
      <c r="E218" s="8" t="s">
        <v>620</v>
      </c>
      <c r="F218" s="8" t="s">
        <v>621</v>
      </c>
    </row>
    <row r="219" spans="1:6" ht="60" x14ac:dyDescent="0.25">
      <c r="A219" s="8" t="s">
        <v>125</v>
      </c>
      <c r="B219" s="8" t="s">
        <v>126</v>
      </c>
      <c r="C219" s="8" t="str">
        <f>IFERROR(_xlfn.XLOOKUP(TRIM(B219),Lookup!$B$2:$B$1000,Lookup!$C$2:$C$1000),"")</f>
        <v>Equity</v>
      </c>
      <c r="D219" s="8" t="str">
        <f>IFERROR(INDEX('nav master'!$C:$C, MATCH(B219, 'nav master'!$B:$B, 0)), "")</f>
        <v>ULIF05501/08/13DivrEqtyFd101</v>
      </c>
      <c r="E219" s="8" t="s">
        <v>622</v>
      </c>
      <c r="F219" s="8" t="s">
        <v>623</v>
      </c>
    </row>
    <row r="220" spans="1:6" ht="60" x14ac:dyDescent="0.25">
      <c r="A220" s="8" t="s">
        <v>125</v>
      </c>
      <c r="B220" s="8" t="s">
        <v>126</v>
      </c>
      <c r="C220" s="8" t="str">
        <f>IFERROR(_xlfn.XLOOKUP(TRIM(B220),Lookup!$B$2:$B$1000,Lookup!$C$2:$C$1000),"")</f>
        <v>Equity</v>
      </c>
      <c r="D220" s="8" t="str">
        <f>IFERROR(INDEX('nav master'!$C:$C, MATCH(B220, 'nav master'!$B:$B, 0)), "")</f>
        <v>ULIF05501/08/13DivrEqtyFd101</v>
      </c>
      <c r="E220" s="8" t="s">
        <v>624</v>
      </c>
      <c r="F220" s="8" t="s">
        <v>625</v>
      </c>
    </row>
    <row r="221" spans="1:6" ht="60" x14ac:dyDescent="0.25">
      <c r="A221" s="8" t="s">
        <v>125</v>
      </c>
      <c r="B221" s="8" t="s">
        <v>126</v>
      </c>
      <c r="C221" s="8" t="str">
        <f>IFERROR(_xlfn.XLOOKUP(TRIM(B221),Lookup!$B$2:$B$1000,Lookup!$C$2:$C$1000),"")</f>
        <v>Equity</v>
      </c>
      <c r="D221" s="8" t="str">
        <f>IFERROR(INDEX('nav master'!$C:$C, MATCH(B221, 'nav master'!$B:$B, 0)), "")</f>
        <v>ULIF05501/08/13DivrEqtyFd101</v>
      </c>
      <c r="E221" s="8" t="s">
        <v>626</v>
      </c>
      <c r="F221" s="8" t="s">
        <v>627</v>
      </c>
    </row>
    <row r="222" spans="1:6" ht="60" x14ac:dyDescent="0.25">
      <c r="A222" s="8" t="s">
        <v>125</v>
      </c>
      <c r="B222" s="8" t="s">
        <v>126</v>
      </c>
      <c r="C222" s="8" t="str">
        <f>IFERROR(_xlfn.XLOOKUP(TRIM(B222),Lookup!$B$2:$B$1000,Lookup!$C$2:$C$1000),"")</f>
        <v>Equity</v>
      </c>
      <c r="D222" s="8" t="str">
        <f>IFERROR(INDEX('nav master'!$C:$C, MATCH(B222, 'nav master'!$B:$B, 0)), "")</f>
        <v>ULIF05501/08/13DivrEqtyFd101</v>
      </c>
      <c r="E222" s="8" t="s">
        <v>628</v>
      </c>
      <c r="F222" s="8" t="s">
        <v>629</v>
      </c>
    </row>
    <row r="223" spans="1:6" ht="60" x14ac:dyDescent="0.25">
      <c r="A223" s="8" t="s">
        <v>125</v>
      </c>
      <c r="B223" s="8" t="s">
        <v>126</v>
      </c>
      <c r="C223" s="8" t="str">
        <f>IFERROR(_xlfn.XLOOKUP(TRIM(B223),Lookup!$B$2:$B$1000,Lookup!$C$2:$C$1000),"")</f>
        <v>Equity</v>
      </c>
      <c r="D223" s="8" t="str">
        <f>IFERROR(INDEX('nav master'!$C:$C, MATCH(B223, 'nav master'!$B:$B, 0)), "")</f>
        <v>ULIF05501/08/13DivrEqtyFd101</v>
      </c>
      <c r="E223" s="8" t="s">
        <v>630</v>
      </c>
      <c r="F223" s="8" t="s">
        <v>631</v>
      </c>
    </row>
    <row r="224" spans="1:6" ht="60" x14ac:dyDescent="0.25">
      <c r="A224" s="8" t="s">
        <v>125</v>
      </c>
      <c r="B224" s="8" t="s">
        <v>126</v>
      </c>
      <c r="C224" s="8" t="str">
        <f>IFERROR(_xlfn.XLOOKUP(TRIM(B224),Lookup!$B$2:$B$1000,Lookup!$C$2:$C$1000),"")</f>
        <v>Equity</v>
      </c>
      <c r="D224" s="8" t="str">
        <f>IFERROR(INDEX('nav master'!$C:$C, MATCH(B224, 'nav master'!$B:$B, 0)), "")</f>
        <v>ULIF05501/08/13DivrEqtyFd101</v>
      </c>
      <c r="E224" s="8" t="s">
        <v>632</v>
      </c>
      <c r="F224" s="8" t="s">
        <v>633</v>
      </c>
    </row>
    <row r="225" spans="1:6" ht="60" x14ac:dyDescent="0.25">
      <c r="A225" s="8" t="s">
        <v>125</v>
      </c>
      <c r="B225" s="8" t="s">
        <v>126</v>
      </c>
      <c r="C225" s="8" t="str">
        <f>IFERROR(_xlfn.XLOOKUP(TRIM(B225),Lookup!$B$2:$B$1000,Lookup!$C$2:$C$1000),"")</f>
        <v>Equity</v>
      </c>
      <c r="D225" s="8" t="str">
        <f>IFERROR(INDEX('nav master'!$C:$C, MATCH(B225, 'nav master'!$B:$B, 0)), "")</f>
        <v>ULIF05501/08/13DivrEqtyFd101</v>
      </c>
      <c r="E225" s="8" t="s">
        <v>634</v>
      </c>
      <c r="F225" s="8" t="s">
        <v>635</v>
      </c>
    </row>
    <row r="226" spans="1:6" ht="60" x14ac:dyDescent="0.25">
      <c r="A226" s="8" t="s">
        <v>125</v>
      </c>
      <c r="B226" s="8" t="s">
        <v>126</v>
      </c>
      <c r="C226" s="8" t="str">
        <f>IFERROR(_xlfn.XLOOKUP(TRIM(B226),Lookup!$B$2:$B$1000,Lookup!$C$2:$C$1000),"")</f>
        <v>Equity</v>
      </c>
      <c r="D226" s="8" t="str">
        <f>IFERROR(INDEX('nav master'!$C:$C, MATCH(B226, 'nav master'!$B:$B, 0)), "")</f>
        <v>ULIF05501/08/13DivrEqtyFd101</v>
      </c>
      <c r="E226" s="8" t="s">
        <v>636</v>
      </c>
      <c r="F226" s="8" t="s">
        <v>637</v>
      </c>
    </row>
    <row r="227" spans="1:6" ht="60" x14ac:dyDescent="0.25">
      <c r="A227" s="8" t="s">
        <v>125</v>
      </c>
      <c r="B227" s="8" t="s">
        <v>126</v>
      </c>
      <c r="C227" s="8" t="str">
        <f>IFERROR(_xlfn.XLOOKUP(TRIM(B227),Lookup!$B$2:$B$1000,Lookup!$C$2:$C$1000),"")</f>
        <v>Equity</v>
      </c>
      <c r="D227" s="8" t="str">
        <f>IFERROR(INDEX('nav master'!$C:$C, MATCH(B227, 'nav master'!$B:$B, 0)), "")</f>
        <v>ULIF05501/08/13DivrEqtyFd101</v>
      </c>
      <c r="E227" s="8" t="s">
        <v>638</v>
      </c>
      <c r="F227" s="8" t="s">
        <v>639</v>
      </c>
    </row>
    <row r="228" spans="1:6" ht="60" x14ac:dyDescent="0.25">
      <c r="A228" s="8" t="s">
        <v>125</v>
      </c>
      <c r="B228" s="8" t="s">
        <v>126</v>
      </c>
      <c r="C228" s="8" t="str">
        <f>IFERROR(_xlfn.XLOOKUP(TRIM(B228),Lookup!$B$2:$B$1000,Lookup!$C$2:$C$1000),"")</f>
        <v>Equity</v>
      </c>
      <c r="D228" s="8" t="str">
        <f>IFERROR(INDEX('nav master'!$C:$C, MATCH(B228, 'nav master'!$B:$B, 0)), "")</f>
        <v>ULIF05501/08/13DivrEqtyFd101</v>
      </c>
      <c r="E228" s="8" t="s">
        <v>640</v>
      </c>
      <c r="F228" s="8" t="s">
        <v>641</v>
      </c>
    </row>
    <row r="229" spans="1:6" ht="60" x14ac:dyDescent="0.25">
      <c r="A229" s="8" t="s">
        <v>125</v>
      </c>
      <c r="B229" s="8" t="s">
        <v>126</v>
      </c>
      <c r="C229" s="8" t="str">
        <f>IFERROR(_xlfn.XLOOKUP(TRIM(B229),Lookup!$B$2:$B$1000,Lookup!$C$2:$C$1000),"")</f>
        <v>Equity</v>
      </c>
      <c r="D229" s="8" t="str">
        <f>IFERROR(INDEX('nav master'!$C:$C, MATCH(B229, 'nav master'!$B:$B, 0)), "")</f>
        <v>ULIF05501/08/13DivrEqtyFd101</v>
      </c>
      <c r="E229" s="8" t="s">
        <v>642</v>
      </c>
      <c r="F229" s="8" t="s">
        <v>643</v>
      </c>
    </row>
    <row r="230" spans="1:6" ht="60" x14ac:dyDescent="0.25">
      <c r="A230" s="8" t="s">
        <v>125</v>
      </c>
      <c r="B230" s="8" t="s">
        <v>126</v>
      </c>
      <c r="C230" s="8" t="str">
        <f>IFERROR(_xlfn.XLOOKUP(TRIM(B230),Lookup!$B$2:$B$1000,Lookup!$C$2:$C$1000),"")</f>
        <v>Equity</v>
      </c>
      <c r="D230" s="8" t="str">
        <f>IFERROR(INDEX('nav master'!$C:$C, MATCH(B230, 'nav master'!$B:$B, 0)), "")</f>
        <v>ULIF05501/08/13DivrEqtyFd101</v>
      </c>
      <c r="E230" s="8" t="s">
        <v>644</v>
      </c>
      <c r="F230" s="8" t="s">
        <v>645</v>
      </c>
    </row>
    <row r="231" spans="1:6" ht="60" x14ac:dyDescent="0.25">
      <c r="A231" s="8" t="s">
        <v>125</v>
      </c>
      <c r="B231" s="8" t="s">
        <v>126</v>
      </c>
      <c r="C231" s="8" t="str">
        <f>IFERROR(_xlfn.XLOOKUP(TRIM(B231),Lookup!$B$2:$B$1000,Lookup!$C$2:$C$1000),"")</f>
        <v>Equity</v>
      </c>
      <c r="D231" s="8" t="str">
        <f>IFERROR(INDEX('nav master'!$C:$C, MATCH(B231, 'nav master'!$B:$B, 0)), "")</f>
        <v>ULIF05501/08/13DivrEqtyFd101</v>
      </c>
      <c r="E231" s="8" t="s">
        <v>646</v>
      </c>
      <c r="F231" s="8" t="s">
        <v>647</v>
      </c>
    </row>
    <row r="232" spans="1:6" ht="60" x14ac:dyDescent="0.25">
      <c r="A232" s="8" t="s">
        <v>125</v>
      </c>
      <c r="B232" s="8" t="s">
        <v>126</v>
      </c>
      <c r="C232" s="8" t="str">
        <f>IFERROR(_xlfn.XLOOKUP(TRIM(B232),Lookup!$B$2:$B$1000,Lookup!$C$2:$C$1000),"")</f>
        <v>Equity</v>
      </c>
      <c r="D232" s="8" t="str">
        <f>IFERROR(INDEX('nav master'!$C:$C, MATCH(B232, 'nav master'!$B:$B, 0)), "")</f>
        <v>ULIF05501/08/13DivrEqtyFd101</v>
      </c>
      <c r="E232" s="8" t="s">
        <v>648</v>
      </c>
      <c r="F232" s="8" t="s">
        <v>649</v>
      </c>
    </row>
    <row r="233" spans="1:6" ht="60" x14ac:dyDescent="0.25">
      <c r="A233" s="8" t="s">
        <v>125</v>
      </c>
      <c r="B233" s="8" t="s">
        <v>126</v>
      </c>
      <c r="C233" s="8" t="str">
        <f>IFERROR(_xlfn.XLOOKUP(TRIM(B233),Lookup!$B$2:$B$1000,Lookup!$C$2:$C$1000),"")</f>
        <v>Equity</v>
      </c>
      <c r="D233" s="8" t="str">
        <f>IFERROR(INDEX('nav master'!$C:$C, MATCH(B233, 'nav master'!$B:$B, 0)), "")</f>
        <v>ULIF05501/08/13DivrEqtyFd101</v>
      </c>
      <c r="E233" s="8" t="s">
        <v>650</v>
      </c>
      <c r="F233" s="8" t="s">
        <v>651</v>
      </c>
    </row>
    <row r="234" spans="1:6" ht="60" x14ac:dyDescent="0.25">
      <c r="A234" s="8" t="s">
        <v>125</v>
      </c>
      <c r="B234" s="8" t="s">
        <v>126</v>
      </c>
      <c r="C234" s="8" t="str">
        <f>IFERROR(_xlfn.XLOOKUP(TRIM(B234),Lookup!$B$2:$B$1000,Lookup!$C$2:$C$1000),"")</f>
        <v>Equity</v>
      </c>
      <c r="D234" s="8" t="str">
        <f>IFERROR(INDEX('nav master'!$C:$C, MATCH(B234, 'nav master'!$B:$B, 0)), "")</f>
        <v>ULIF05501/08/13DivrEqtyFd101</v>
      </c>
      <c r="E234" s="8" t="s">
        <v>652</v>
      </c>
      <c r="F234" s="8" t="s">
        <v>653</v>
      </c>
    </row>
    <row r="235" spans="1:6" ht="60" x14ac:dyDescent="0.25">
      <c r="A235" s="8" t="s">
        <v>125</v>
      </c>
      <c r="B235" s="8" t="s">
        <v>126</v>
      </c>
      <c r="C235" s="8" t="str">
        <f>IFERROR(_xlfn.XLOOKUP(TRIM(B235),Lookup!$B$2:$B$1000,Lookup!$C$2:$C$1000),"")</f>
        <v>Equity</v>
      </c>
      <c r="D235" s="8" t="str">
        <f>IFERROR(INDEX('nav master'!$C:$C, MATCH(B235, 'nav master'!$B:$B, 0)), "")</f>
        <v>ULIF05501/08/13DivrEqtyFd101</v>
      </c>
      <c r="E235" s="8" t="s">
        <v>654</v>
      </c>
      <c r="F235" s="8" t="s">
        <v>655</v>
      </c>
    </row>
    <row r="236" spans="1:6" ht="60" x14ac:dyDescent="0.25">
      <c r="A236" s="8" t="s">
        <v>125</v>
      </c>
      <c r="B236" s="8" t="s">
        <v>126</v>
      </c>
      <c r="C236" s="8" t="str">
        <f>IFERROR(_xlfn.XLOOKUP(TRIM(B236),Lookup!$B$2:$B$1000,Lookup!$C$2:$C$1000),"")</f>
        <v>Equity</v>
      </c>
      <c r="D236" s="8" t="str">
        <f>IFERROR(INDEX('nav master'!$C:$C, MATCH(B236, 'nav master'!$B:$B, 0)), "")</f>
        <v>ULIF05501/08/13DivrEqtyFd101</v>
      </c>
      <c r="E236" s="8" t="s">
        <v>656</v>
      </c>
      <c r="F236" s="8" t="s">
        <v>657</v>
      </c>
    </row>
    <row r="237" spans="1:6" ht="60" x14ac:dyDescent="0.25">
      <c r="A237" s="8" t="s">
        <v>125</v>
      </c>
      <c r="B237" s="8" t="s">
        <v>126</v>
      </c>
      <c r="C237" s="8" t="str">
        <f>IFERROR(_xlfn.XLOOKUP(TRIM(B237),Lookup!$B$2:$B$1000,Lookup!$C$2:$C$1000),"")</f>
        <v>Equity</v>
      </c>
      <c r="D237" s="8" t="str">
        <f>IFERROR(INDEX('nav master'!$C:$C, MATCH(B237, 'nav master'!$B:$B, 0)), "")</f>
        <v>ULIF05501/08/13DivrEqtyFd101</v>
      </c>
      <c r="E237" s="8" t="s">
        <v>658</v>
      </c>
      <c r="F237" s="8" t="s">
        <v>659</v>
      </c>
    </row>
    <row r="238" spans="1:6" ht="60" x14ac:dyDescent="0.25">
      <c r="A238" s="8" t="s">
        <v>125</v>
      </c>
      <c r="B238" s="8" t="s">
        <v>126</v>
      </c>
      <c r="C238" s="8" t="str">
        <f>IFERROR(_xlfn.XLOOKUP(TRIM(B238),Lookup!$B$2:$B$1000,Lookup!$C$2:$C$1000),"")</f>
        <v>Equity</v>
      </c>
      <c r="D238" s="8" t="str">
        <f>IFERROR(INDEX('nav master'!$C:$C, MATCH(B238, 'nav master'!$B:$B, 0)), "")</f>
        <v>ULIF05501/08/13DivrEqtyFd101</v>
      </c>
      <c r="E238" s="8" t="s">
        <v>660</v>
      </c>
      <c r="F238" s="8" t="s">
        <v>661</v>
      </c>
    </row>
    <row r="239" spans="1:6" ht="60" x14ac:dyDescent="0.25">
      <c r="A239" s="8" t="s">
        <v>125</v>
      </c>
      <c r="B239" s="8" t="s">
        <v>126</v>
      </c>
      <c r="C239" s="8" t="str">
        <f>IFERROR(_xlfn.XLOOKUP(TRIM(B239),Lookup!$B$2:$B$1000,Lookup!$C$2:$C$1000),"")</f>
        <v>Equity</v>
      </c>
      <c r="D239" s="8" t="str">
        <f>IFERROR(INDEX('nav master'!$C:$C, MATCH(B239, 'nav master'!$B:$B, 0)), "")</f>
        <v>ULIF05501/08/13DivrEqtyFd101</v>
      </c>
      <c r="E239" s="8" t="s">
        <v>662</v>
      </c>
      <c r="F239" s="8" t="s">
        <v>663</v>
      </c>
    </row>
    <row r="240" spans="1:6" ht="60" x14ac:dyDescent="0.25">
      <c r="A240" s="8" t="s">
        <v>125</v>
      </c>
      <c r="B240" s="8" t="s">
        <v>126</v>
      </c>
      <c r="C240" s="8" t="str">
        <f>IFERROR(_xlfn.XLOOKUP(TRIM(B240),Lookup!$B$2:$B$1000,Lookup!$C$2:$C$1000),"")</f>
        <v>Equity</v>
      </c>
      <c r="D240" s="8" t="str">
        <f>IFERROR(INDEX('nav master'!$C:$C, MATCH(B240, 'nav master'!$B:$B, 0)), "")</f>
        <v>ULIF05501/08/13DivrEqtyFd101</v>
      </c>
      <c r="E240" s="8" t="s">
        <v>664</v>
      </c>
      <c r="F240" s="8" t="s">
        <v>665</v>
      </c>
    </row>
    <row r="241" spans="1:6" ht="60" x14ac:dyDescent="0.25">
      <c r="A241" s="8" t="s">
        <v>125</v>
      </c>
      <c r="B241" s="8" t="s">
        <v>126</v>
      </c>
      <c r="C241" s="8" t="str">
        <f>IFERROR(_xlfn.XLOOKUP(TRIM(B241),Lookup!$B$2:$B$1000,Lookup!$C$2:$C$1000),"")</f>
        <v>Equity</v>
      </c>
      <c r="D241" s="8" t="str">
        <f>IFERROR(INDEX('nav master'!$C:$C, MATCH(B241, 'nav master'!$B:$B, 0)), "")</f>
        <v>ULIF05501/08/13DivrEqtyFd101</v>
      </c>
      <c r="E241" s="8" t="s">
        <v>4892</v>
      </c>
      <c r="F241" s="8" t="s">
        <v>4893</v>
      </c>
    </row>
    <row r="242" spans="1:6" ht="60" x14ac:dyDescent="0.25">
      <c r="A242" s="8" t="s">
        <v>125</v>
      </c>
      <c r="B242" s="8" t="s">
        <v>126</v>
      </c>
      <c r="C242" s="8" t="str">
        <f>IFERROR(_xlfn.XLOOKUP(TRIM(B242),Lookup!$B$2:$B$1000,Lookup!$C$2:$C$1000),"")</f>
        <v>Equity</v>
      </c>
      <c r="D242" s="8" t="str">
        <f>IFERROR(INDEX('nav master'!$C:$C, MATCH(B242, 'nav master'!$B:$B, 0)), "")</f>
        <v>ULIF05501/08/13DivrEqtyFd101</v>
      </c>
      <c r="E242" s="8" t="s">
        <v>4894</v>
      </c>
      <c r="F242" s="8" t="s">
        <v>4895</v>
      </c>
    </row>
    <row r="243" spans="1:6" ht="60" x14ac:dyDescent="0.25">
      <c r="A243" s="8" t="s">
        <v>125</v>
      </c>
      <c r="B243" s="8" t="s">
        <v>126</v>
      </c>
      <c r="C243" s="8" t="str">
        <f>IFERROR(_xlfn.XLOOKUP(TRIM(B243),Lookup!$B$2:$B$1000,Lookup!$C$2:$C$1000),"")</f>
        <v>Equity</v>
      </c>
      <c r="D243" s="8" t="str">
        <f>IFERROR(INDEX('nav master'!$C:$C, MATCH(B243, 'nav master'!$B:$B, 0)), "")</f>
        <v>ULIF05501/08/13DivrEqtyFd101</v>
      </c>
      <c r="E243" s="8" t="s">
        <v>4896</v>
      </c>
      <c r="F243" s="8" t="s">
        <v>4897</v>
      </c>
    </row>
    <row r="244" spans="1:6" ht="60" x14ac:dyDescent="0.25">
      <c r="A244" s="8" t="s">
        <v>125</v>
      </c>
      <c r="B244" s="8" t="s">
        <v>126</v>
      </c>
      <c r="C244" s="8" t="str">
        <f>IFERROR(_xlfn.XLOOKUP(TRIM(B244),Lookup!$B$2:$B$1000,Lookup!$C$2:$C$1000),"")</f>
        <v>Equity</v>
      </c>
      <c r="D244" s="8" t="str">
        <f>IFERROR(INDEX('nav master'!$C:$C, MATCH(B244, 'nav master'!$B:$B, 0)), "")</f>
        <v>ULIF05501/08/13DivrEqtyFd101</v>
      </c>
      <c r="E244" s="8" t="s">
        <v>4898</v>
      </c>
      <c r="F244" s="8" t="s">
        <v>4899</v>
      </c>
    </row>
    <row r="245" spans="1:6" ht="60" x14ac:dyDescent="0.25">
      <c r="A245" s="8" t="s">
        <v>125</v>
      </c>
      <c r="B245" s="8" t="s">
        <v>126</v>
      </c>
      <c r="C245" s="8" t="str">
        <f>IFERROR(_xlfn.XLOOKUP(TRIM(B245),Lookup!$B$2:$B$1000,Lookup!$C$2:$C$1000),"")</f>
        <v>Equity</v>
      </c>
      <c r="D245" s="8" t="str">
        <f>IFERROR(INDEX('nav master'!$C:$C, MATCH(B245, 'nav master'!$B:$B, 0)), "")</f>
        <v>ULIF05501/08/13DivrEqtyFd101</v>
      </c>
      <c r="E245" s="8" t="s">
        <v>4900</v>
      </c>
      <c r="F245" s="8" t="s">
        <v>4901</v>
      </c>
    </row>
    <row r="246" spans="1:6" ht="60" x14ac:dyDescent="0.25">
      <c r="A246" s="8" t="s">
        <v>125</v>
      </c>
      <c r="B246" s="8" t="s">
        <v>126</v>
      </c>
      <c r="C246" s="8" t="str">
        <f>IFERROR(_xlfn.XLOOKUP(TRIM(B246),Lookup!$B$2:$B$1000,Lookup!$C$2:$C$1000),"")</f>
        <v>Equity</v>
      </c>
      <c r="D246" s="8" t="str">
        <f>IFERROR(INDEX('nav master'!$C:$C, MATCH(B246, 'nav master'!$B:$B, 0)), "")</f>
        <v>ULIF05501/08/13DivrEqtyFd101</v>
      </c>
      <c r="E246" s="8" t="s">
        <v>4902</v>
      </c>
      <c r="F246" s="8" t="s">
        <v>3531</v>
      </c>
    </row>
    <row r="247" spans="1:6" ht="60" x14ac:dyDescent="0.25">
      <c r="A247" s="8" t="s">
        <v>125</v>
      </c>
      <c r="B247" s="8" t="s">
        <v>126</v>
      </c>
      <c r="C247" s="8" t="str">
        <f>IFERROR(_xlfn.XLOOKUP(TRIM(B247),Lookup!$B$2:$B$1000,Lookup!$C$2:$C$1000),"")</f>
        <v>Equity</v>
      </c>
      <c r="D247" s="8" t="str">
        <f>IFERROR(INDEX('nav master'!$C:$C, MATCH(B247, 'nav master'!$B:$B, 0)), "")</f>
        <v>ULIF05501/08/13DivrEqtyFd101</v>
      </c>
      <c r="E247" s="8" t="s">
        <v>4903</v>
      </c>
      <c r="F247" s="8" t="s">
        <v>4904</v>
      </c>
    </row>
    <row r="248" spans="1:6" ht="60" x14ac:dyDescent="0.25">
      <c r="A248" s="8" t="s">
        <v>125</v>
      </c>
      <c r="B248" s="8" t="s">
        <v>126</v>
      </c>
      <c r="C248" s="8" t="str">
        <f>IFERROR(_xlfn.XLOOKUP(TRIM(B248),Lookup!$B$2:$B$1000,Lookup!$C$2:$C$1000),"")</f>
        <v>Equity</v>
      </c>
      <c r="D248" s="8" t="str">
        <f>IFERROR(INDEX('nav master'!$C:$C, MATCH(B248, 'nav master'!$B:$B, 0)), "")</f>
        <v>ULIF05501/08/13DivrEqtyFd101</v>
      </c>
      <c r="E248" s="8" t="s">
        <v>4905</v>
      </c>
      <c r="F248" s="8" t="s">
        <v>4906</v>
      </c>
    </row>
    <row r="249" spans="1:6" ht="60" x14ac:dyDescent="0.25">
      <c r="A249" s="8" t="s">
        <v>125</v>
      </c>
      <c r="B249" s="8" t="s">
        <v>134</v>
      </c>
      <c r="C249" s="8" t="str">
        <f>IFERROR(_xlfn.XLOOKUP(TRIM(B249),Lookup!$B$2:$B$1000,Lookup!$C$2:$C$1000),"")</f>
        <v>Debt</v>
      </c>
      <c r="D249" s="8" t="str">
        <f>IFERROR(INDEX('nav master'!$C:$C, MATCH(B249, 'nav master'!$B:$B, 0)), "")</f>
        <v>ULIF05601/08/13BondFunds101</v>
      </c>
      <c r="E249" s="8" t="s">
        <v>189</v>
      </c>
      <c r="F249" s="8" t="s">
        <v>666</v>
      </c>
    </row>
    <row r="250" spans="1:6" ht="60" x14ac:dyDescent="0.25">
      <c r="A250" s="8" t="s">
        <v>125</v>
      </c>
      <c r="B250" s="8" t="s">
        <v>134</v>
      </c>
      <c r="C250" s="8" t="str">
        <f>IFERROR(_xlfn.XLOOKUP(TRIM(B250),Lookup!$B$2:$B$1000,Lookup!$C$2:$C$1000),"")</f>
        <v>Debt</v>
      </c>
      <c r="D250" s="8" t="str">
        <f>IFERROR(INDEX('nav master'!$C:$C, MATCH(B250, 'nav master'!$B:$B, 0)), "")</f>
        <v>ULIF05601/08/13BondFunds101</v>
      </c>
      <c r="E250" s="8" t="s">
        <v>191</v>
      </c>
      <c r="F250" s="8" t="s">
        <v>667</v>
      </c>
    </row>
    <row r="251" spans="1:6" ht="60" x14ac:dyDescent="0.25">
      <c r="A251" s="8" t="s">
        <v>125</v>
      </c>
      <c r="B251" s="8" t="s">
        <v>134</v>
      </c>
      <c r="C251" s="8" t="str">
        <f>IFERROR(_xlfn.XLOOKUP(TRIM(B251),Lookup!$B$2:$B$1000,Lookup!$C$2:$C$1000),"")</f>
        <v>Debt</v>
      </c>
      <c r="D251" s="8" t="str">
        <f>IFERROR(INDEX('nav master'!$C:$C, MATCH(B251, 'nav master'!$B:$B, 0)), "")</f>
        <v>ULIF05601/08/13BondFunds101</v>
      </c>
      <c r="E251" s="8" t="s">
        <v>193</v>
      </c>
      <c r="F251" s="8" t="s">
        <v>668</v>
      </c>
    </row>
    <row r="252" spans="1:6" ht="60" x14ac:dyDescent="0.25">
      <c r="A252" s="8" t="s">
        <v>125</v>
      </c>
      <c r="B252" s="8" t="s">
        <v>134</v>
      </c>
      <c r="C252" s="8" t="str">
        <f>IFERROR(_xlfn.XLOOKUP(TRIM(B252),Lookup!$B$2:$B$1000,Lookup!$C$2:$C$1000),"")</f>
        <v>Debt</v>
      </c>
      <c r="D252" s="8" t="str">
        <f>IFERROR(INDEX('nav master'!$C:$C, MATCH(B252, 'nav master'!$B:$B, 0)), "")</f>
        <v>ULIF05601/08/13BondFunds101</v>
      </c>
      <c r="E252" s="8" t="s">
        <v>195</v>
      </c>
      <c r="F252" s="8" t="s">
        <v>669</v>
      </c>
    </row>
    <row r="253" spans="1:6" ht="60" x14ac:dyDescent="0.25">
      <c r="A253" s="8" t="s">
        <v>125</v>
      </c>
      <c r="B253" s="8" t="s">
        <v>134</v>
      </c>
      <c r="C253" s="8" t="str">
        <f>IFERROR(_xlfn.XLOOKUP(TRIM(B253),Lookup!$B$2:$B$1000,Lookup!$C$2:$C$1000),"")</f>
        <v>Debt</v>
      </c>
      <c r="D253" s="8" t="str">
        <f>IFERROR(INDEX('nav master'!$C:$C, MATCH(B253, 'nav master'!$B:$B, 0)), "")</f>
        <v>ULIF05601/08/13BondFunds101</v>
      </c>
      <c r="E253" s="8" t="s">
        <v>197</v>
      </c>
      <c r="F253" s="8" t="s">
        <v>670</v>
      </c>
    </row>
    <row r="254" spans="1:6" ht="60" x14ac:dyDescent="0.25">
      <c r="A254" s="8" t="s">
        <v>125</v>
      </c>
      <c r="B254" s="8" t="s">
        <v>134</v>
      </c>
      <c r="C254" s="8" t="str">
        <f>IFERROR(_xlfn.XLOOKUP(TRIM(B254),Lookup!$B$2:$B$1000,Lookup!$C$2:$C$1000),"")</f>
        <v>Debt</v>
      </c>
      <c r="D254" s="8" t="str">
        <f>IFERROR(INDEX('nav master'!$C:$C, MATCH(B254, 'nav master'!$B:$B, 0)), "")</f>
        <v>ULIF05601/08/13BondFunds101</v>
      </c>
      <c r="E254" s="8" t="s">
        <v>199</v>
      </c>
      <c r="F254" s="8" t="s">
        <v>671</v>
      </c>
    </row>
    <row r="255" spans="1:6" ht="60" x14ac:dyDescent="0.25">
      <c r="A255" s="8" t="s">
        <v>125</v>
      </c>
      <c r="B255" s="8" t="s">
        <v>134</v>
      </c>
      <c r="C255" s="8" t="str">
        <f>IFERROR(_xlfn.XLOOKUP(TRIM(B255),Lookup!$B$2:$B$1000,Lookup!$C$2:$C$1000),"")</f>
        <v>Debt</v>
      </c>
      <c r="D255" s="8" t="str">
        <f>IFERROR(INDEX('nav master'!$C:$C, MATCH(B255, 'nav master'!$B:$B, 0)), "")</f>
        <v>ULIF05601/08/13BondFunds101</v>
      </c>
      <c r="E255" s="8" t="s">
        <v>201</v>
      </c>
      <c r="F255" s="8" t="s">
        <v>672</v>
      </c>
    </row>
    <row r="256" spans="1:6" ht="60" x14ac:dyDescent="0.25">
      <c r="A256" s="8" t="s">
        <v>125</v>
      </c>
      <c r="B256" s="8" t="s">
        <v>134</v>
      </c>
      <c r="C256" s="8" t="str">
        <f>IFERROR(_xlfn.XLOOKUP(TRIM(B256),Lookup!$B$2:$B$1000,Lookup!$C$2:$C$1000),"")</f>
        <v>Debt</v>
      </c>
      <c r="D256" s="8" t="str">
        <f>IFERROR(INDEX('nav master'!$C:$C, MATCH(B256, 'nav master'!$B:$B, 0)), "")</f>
        <v>ULIF05601/08/13BondFunds101</v>
      </c>
      <c r="E256" s="8" t="s">
        <v>203</v>
      </c>
      <c r="F256" s="8" t="s">
        <v>673</v>
      </c>
    </row>
    <row r="257" spans="1:6" ht="60" x14ac:dyDescent="0.25">
      <c r="A257" s="8" t="s">
        <v>125</v>
      </c>
      <c r="B257" s="8" t="s">
        <v>134</v>
      </c>
      <c r="C257" s="8" t="str">
        <f>IFERROR(_xlfn.XLOOKUP(TRIM(B257),Lookup!$B$2:$B$1000,Lookup!$C$2:$C$1000),"")</f>
        <v>Debt</v>
      </c>
      <c r="D257" s="8" t="str">
        <f>IFERROR(INDEX('nav master'!$C:$C, MATCH(B257, 'nav master'!$B:$B, 0)), "")</f>
        <v>ULIF05601/08/13BondFunds101</v>
      </c>
      <c r="E257" s="8" t="s">
        <v>205</v>
      </c>
      <c r="F257" s="8" t="s">
        <v>674</v>
      </c>
    </row>
    <row r="258" spans="1:6" ht="60" x14ac:dyDescent="0.25">
      <c r="A258" s="8" t="s">
        <v>125</v>
      </c>
      <c r="B258" s="8" t="s">
        <v>134</v>
      </c>
      <c r="C258" s="8" t="str">
        <f>IFERROR(_xlfn.XLOOKUP(TRIM(B258),Lookup!$B$2:$B$1000,Lookup!$C$2:$C$1000),"")</f>
        <v>Debt</v>
      </c>
      <c r="D258" s="8" t="str">
        <f>IFERROR(INDEX('nav master'!$C:$C, MATCH(B258, 'nav master'!$B:$B, 0)), "")</f>
        <v>ULIF05601/08/13BondFunds101</v>
      </c>
      <c r="E258" s="8" t="s">
        <v>207</v>
      </c>
      <c r="F258" s="8" t="s">
        <v>675</v>
      </c>
    </row>
    <row r="259" spans="1:6" ht="60" x14ac:dyDescent="0.25">
      <c r="A259" s="8" t="s">
        <v>125</v>
      </c>
      <c r="B259" s="8" t="s">
        <v>134</v>
      </c>
      <c r="C259" s="8" t="str">
        <f>IFERROR(_xlfn.XLOOKUP(TRIM(B259),Lookup!$B$2:$B$1000,Lookup!$C$2:$C$1000),"")</f>
        <v>Debt</v>
      </c>
      <c r="D259" s="8" t="str">
        <f>IFERROR(INDEX('nav master'!$C:$C, MATCH(B259, 'nav master'!$B:$B, 0)), "")</f>
        <v>ULIF05601/08/13BondFunds101</v>
      </c>
      <c r="E259" s="8" t="s">
        <v>209</v>
      </c>
      <c r="F259" s="8" t="s">
        <v>676</v>
      </c>
    </row>
    <row r="260" spans="1:6" ht="60" x14ac:dyDescent="0.25">
      <c r="A260" s="8" t="s">
        <v>125</v>
      </c>
      <c r="B260" s="8" t="s">
        <v>134</v>
      </c>
      <c r="C260" s="8" t="str">
        <f>IFERROR(_xlfn.XLOOKUP(TRIM(B260),Lookup!$B$2:$B$1000,Lookup!$C$2:$C$1000),"")</f>
        <v>Debt</v>
      </c>
      <c r="D260" s="8" t="str">
        <f>IFERROR(INDEX('nav master'!$C:$C, MATCH(B260, 'nav master'!$B:$B, 0)), "")</f>
        <v>ULIF05601/08/13BondFunds101</v>
      </c>
      <c r="E260" s="8" t="s">
        <v>211</v>
      </c>
      <c r="F260" s="8" t="s">
        <v>677</v>
      </c>
    </row>
    <row r="261" spans="1:6" ht="60" x14ac:dyDescent="0.25">
      <c r="A261" s="8" t="s">
        <v>125</v>
      </c>
      <c r="B261" s="8" t="s">
        <v>134</v>
      </c>
      <c r="C261" s="8" t="str">
        <f>IFERROR(_xlfn.XLOOKUP(TRIM(B261),Lookup!$B$2:$B$1000,Lookup!$C$2:$C$1000),"")</f>
        <v>Debt</v>
      </c>
      <c r="D261" s="8" t="str">
        <f>IFERROR(INDEX('nav master'!$C:$C, MATCH(B261, 'nav master'!$B:$B, 0)), "")</f>
        <v>ULIF05601/08/13BondFunds101</v>
      </c>
      <c r="E261" s="8" t="s">
        <v>213</v>
      </c>
      <c r="F261" s="8" t="s">
        <v>678</v>
      </c>
    </row>
    <row r="262" spans="1:6" ht="60" x14ac:dyDescent="0.25">
      <c r="A262" s="8" t="s">
        <v>125</v>
      </c>
      <c r="B262" s="8" t="s">
        <v>134</v>
      </c>
      <c r="C262" s="8" t="str">
        <f>IFERROR(_xlfn.XLOOKUP(TRIM(B262),Lookup!$B$2:$B$1000,Lookup!$C$2:$C$1000),"")</f>
        <v>Debt</v>
      </c>
      <c r="D262" s="8" t="str">
        <f>IFERROR(INDEX('nav master'!$C:$C, MATCH(B262, 'nav master'!$B:$B, 0)), "")</f>
        <v>ULIF05601/08/13BondFunds101</v>
      </c>
      <c r="E262" s="8" t="s">
        <v>215</v>
      </c>
      <c r="F262" s="8" t="s">
        <v>679</v>
      </c>
    </row>
    <row r="263" spans="1:6" ht="60" x14ac:dyDescent="0.25">
      <c r="A263" s="8" t="s">
        <v>125</v>
      </c>
      <c r="B263" s="8" t="s">
        <v>134</v>
      </c>
      <c r="C263" s="8" t="str">
        <f>IFERROR(_xlfn.XLOOKUP(TRIM(B263),Lookup!$B$2:$B$1000,Lookup!$C$2:$C$1000),"")</f>
        <v>Debt</v>
      </c>
      <c r="D263" s="8" t="str">
        <f>IFERROR(INDEX('nav master'!$C:$C, MATCH(B263, 'nav master'!$B:$B, 0)), "")</f>
        <v>ULIF05601/08/13BondFunds101</v>
      </c>
      <c r="E263" s="8" t="s">
        <v>217</v>
      </c>
      <c r="F263" s="8" t="s">
        <v>680</v>
      </c>
    </row>
    <row r="264" spans="1:6" ht="60" x14ac:dyDescent="0.25">
      <c r="A264" s="8" t="s">
        <v>125</v>
      </c>
      <c r="B264" s="8" t="s">
        <v>134</v>
      </c>
      <c r="C264" s="8" t="str">
        <f>IFERROR(_xlfn.XLOOKUP(TRIM(B264),Lookup!$B$2:$B$1000,Lookup!$C$2:$C$1000),"")</f>
        <v>Debt</v>
      </c>
      <c r="D264" s="8" t="str">
        <f>IFERROR(INDEX('nav master'!$C:$C, MATCH(B264, 'nav master'!$B:$B, 0)), "")</f>
        <v>ULIF05601/08/13BondFunds101</v>
      </c>
      <c r="E264" s="8" t="s">
        <v>219</v>
      </c>
      <c r="F264" s="8" t="s">
        <v>681</v>
      </c>
    </row>
    <row r="265" spans="1:6" ht="60" x14ac:dyDescent="0.25">
      <c r="A265" s="8" t="s">
        <v>125</v>
      </c>
      <c r="B265" s="8" t="s">
        <v>134</v>
      </c>
      <c r="C265" s="8" t="str">
        <f>IFERROR(_xlfn.XLOOKUP(TRIM(B265),Lookup!$B$2:$B$1000,Lookup!$C$2:$C$1000),"")</f>
        <v>Debt</v>
      </c>
      <c r="D265" s="8" t="str">
        <f>IFERROR(INDEX('nav master'!$C:$C, MATCH(B265, 'nav master'!$B:$B, 0)), "")</f>
        <v>ULIF05601/08/13BondFunds101</v>
      </c>
      <c r="E265" s="8" t="s">
        <v>221</v>
      </c>
      <c r="F265" s="8" t="s">
        <v>682</v>
      </c>
    </row>
    <row r="266" spans="1:6" ht="60" x14ac:dyDescent="0.25">
      <c r="A266" s="8" t="s">
        <v>125</v>
      </c>
      <c r="B266" s="8" t="s">
        <v>134</v>
      </c>
      <c r="C266" s="8" t="str">
        <f>IFERROR(_xlfn.XLOOKUP(TRIM(B266),Lookup!$B$2:$B$1000,Lookup!$C$2:$C$1000),"")</f>
        <v>Debt</v>
      </c>
      <c r="D266" s="8" t="str">
        <f>IFERROR(INDEX('nav master'!$C:$C, MATCH(B266, 'nav master'!$B:$B, 0)), "")</f>
        <v>ULIF05601/08/13BondFunds101</v>
      </c>
      <c r="E266" s="8" t="s">
        <v>223</v>
      </c>
      <c r="F266" s="8" t="s">
        <v>683</v>
      </c>
    </row>
    <row r="267" spans="1:6" ht="60" x14ac:dyDescent="0.25">
      <c r="A267" s="8" t="s">
        <v>125</v>
      </c>
      <c r="B267" s="8" t="s">
        <v>134</v>
      </c>
      <c r="C267" s="8" t="str">
        <f>IFERROR(_xlfn.XLOOKUP(TRIM(B267),Lookup!$B$2:$B$1000,Lookup!$C$2:$C$1000),"")</f>
        <v>Debt</v>
      </c>
      <c r="D267" s="8" t="str">
        <f>IFERROR(INDEX('nav master'!$C:$C, MATCH(B267, 'nav master'!$B:$B, 0)), "")</f>
        <v>ULIF05601/08/13BondFunds101</v>
      </c>
      <c r="E267" s="8" t="s">
        <v>225</v>
      </c>
      <c r="F267" s="8" t="s">
        <v>684</v>
      </c>
    </row>
    <row r="268" spans="1:6" ht="60" x14ac:dyDescent="0.25">
      <c r="A268" s="8" t="s">
        <v>125</v>
      </c>
      <c r="B268" s="8" t="s">
        <v>134</v>
      </c>
      <c r="C268" s="8" t="str">
        <f>IFERROR(_xlfn.XLOOKUP(TRIM(B268),Lookup!$B$2:$B$1000,Lookup!$C$2:$C$1000),"")</f>
        <v>Debt</v>
      </c>
      <c r="D268" s="8" t="str">
        <f>IFERROR(INDEX('nav master'!$C:$C, MATCH(B268, 'nav master'!$B:$B, 0)), "")</f>
        <v>ULIF05601/08/13BondFunds101</v>
      </c>
      <c r="E268" s="8" t="s">
        <v>227</v>
      </c>
      <c r="F268" s="8" t="s">
        <v>685</v>
      </c>
    </row>
    <row r="269" spans="1:6" ht="60" x14ac:dyDescent="0.25">
      <c r="A269" s="8" t="s">
        <v>125</v>
      </c>
      <c r="B269" s="8" t="s">
        <v>134</v>
      </c>
      <c r="C269" s="8" t="str">
        <f>IFERROR(_xlfn.XLOOKUP(TRIM(B269),Lookup!$B$2:$B$1000,Lookup!$C$2:$C$1000),"")</f>
        <v>Debt</v>
      </c>
      <c r="D269" s="8" t="str">
        <f>IFERROR(INDEX('nav master'!$C:$C, MATCH(B269, 'nav master'!$B:$B, 0)), "")</f>
        <v>ULIF05601/08/13BondFunds101</v>
      </c>
      <c r="E269" s="8" t="s">
        <v>229</v>
      </c>
      <c r="F269" s="8" t="s">
        <v>686</v>
      </c>
    </row>
    <row r="270" spans="1:6" ht="60" x14ac:dyDescent="0.25">
      <c r="A270" s="8" t="s">
        <v>125</v>
      </c>
      <c r="B270" s="8" t="s">
        <v>134</v>
      </c>
      <c r="C270" s="8" t="str">
        <f>IFERROR(_xlfn.XLOOKUP(TRIM(B270),Lookup!$B$2:$B$1000,Lookup!$C$2:$C$1000),"")</f>
        <v>Debt</v>
      </c>
      <c r="D270" s="8" t="str">
        <f>IFERROR(INDEX('nav master'!$C:$C, MATCH(B270, 'nav master'!$B:$B, 0)), "")</f>
        <v>ULIF05601/08/13BondFunds101</v>
      </c>
      <c r="E270" s="8" t="s">
        <v>231</v>
      </c>
      <c r="F270" s="8" t="s">
        <v>687</v>
      </c>
    </row>
    <row r="271" spans="1:6" ht="60" x14ac:dyDescent="0.25">
      <c r="A271" s="8" t="s">
        <v>125</v>
      </c>
      <c r="B271" s="8" t="s">
        <v>134</v>
      </c>
      <c r="C271" s="8" t="str">
        <f>IFERROR(_xlfn.XLOOKUP(TRIM(B271),Lookup!$B$2:$B$1000,Lookup!$C$2:$C$1000),"")</f>
        <v>Debt</v>
      </c>
      <c r="D271" s="8" t="str">
        <f>IFERROR(INDEX('nav master'!$C:$C, MATCH(B271, 'nav master'!$B:$B, 0)), "")</f>
        <v>ULIF05601/08/13BondFunds101</v>
      </c>
      <c r="E271" s="8" t="s">
        <v>233</v>
      </c>
      <c r="F271" s="8" t="s">
        <v>688</v>
      </c>
    </row>
    <row r="272" spans="1:6" ht="60" x14ac:dyDescent="0.25">
      <c r="A272" s="8" t="s">
        <v>125</v>
      </c>
      <c r="B272" s="8" t="s">
        <v>134</v>
      </c>
      <c r="C272" s="8" t="str">
        <f>IFERROR(_xlfn.XLOOKUP(TRIM(B272),Lookup!$B$2:$B$1000,Lookup!$C$2:$C$1000),"")</f>
        <v>Debt</v>
      </c>
      <c r="D272" s="8" t="str">
        <f>IFERROR(INDEX('nav master'!$C:$C, MATCH(B272, 'nav master'!$B:$B, 0)), "")</f>
        <v>ULIF05601/08/13BondFunds101</v>
      </c>
      <c r="E272" s="8" t="s">
        <v>235</v>
      </c>
      <c r="F272" s="8" t="s">
        <v>689</v>
      </c>
    </row>
    <row r="273" spans="1:6" ht="60" x14ac:dyDescent="0.25">
      <c r="A273" s="8" t="s">
        <v>125</v>
      </c>
      <c r="B273" s="8" t="s">
        <v>134</v>
      </c>
      <c r="C273" s="8" t="str">
        <f>IFERROR(_xlfn.XLOOKUP(TRIM(B273),Lookup!$B$2:$B$1000,Lookup!$C$2:$C$1000),"")</f>
        <v>Debt</v>
      </c>
      <c r="D273" s="8" t="str">
        <f>IFERROR(INDEX('nav master'!$C:$C, MATCH(B273, 'nav master'!$B:$B, 0)), "")</f>
        <v>ULIF05601/08/13BondFunds101</v>
      </c>
      <c r="E273" s="8" t="s">
        <v>237</v>
      </c>
      <c r="F273" s="8" t="s">
        <v>690</v>
      </c>
    </row>
    <row r="274" spans="1:6" ht="60" x14ac:dyDescent="0.25">
      <c r="A274" s="8" t="s">
        <v>125</v>
      </c>
      <c r="B274" s="8" t="s">
        <v>134</v>
      </c>
      <c r="C274" s="8" t="str">
        <f>IFERROR(_xlfn.XLOOKUP(TRIM(B274),Lookup!$B$2:$B$1000,Lookup!$C$2:$C$1000),"")</f>
        <v>Debt</v>
      </c>
      <c r="D274" s="8" t="str">
        <f>IFERROR(INDEX('nav master'!$C:$C, MATCH(B274, 'nav master'!$B:$B, 0)), "")</f>
        <v>ULIF05601/08/13BondFunds101</v>
      </c>
      <c r="E274" s="8" t="s">
        <v>239</v>
      </c>
      <c r="F274" s="8" t="s">
        <v>691</v>
      </c>
    </row>
    <row r="275" spans="1:6" ht="60" x14ac:dyDescent="0.25">
      <c r="A275" s="8" t="s">
        <v>125</v>
      </c>
      <c r="B275" s="8" t="s">
        <v>134</v>
      </c>
      <c r="C275" s="8" t="str">
        <f>IFERROR(_xlfn.XLOOKUP(TRIM(B275),Lookup!$B$2:$B$1000,Lookup!$C$2:$C$1000),"")</f>
        <v>Debt</v>
      </c>
      <c r="D275" s="8" t="str">
        <f>IFERROR(INDEX('nav master'!$C:$C, MATCH(B275, 'nav master'!$B:$B, 0)), "")</f>
        <v>ULIF05601/08/13BondFunds101</v>
      </c>
      <c r="E275" s="8" t="s">
        <v>241</v>
      </c>
      <c r="F275" s="8" t="s">
        <v>692</v>
      </c>
    </row>
    <row r="276" spans="1:6" ht="60" x14ac:dyDescent="0.25">
      <c r="A276" s="8" t="s">
        <v>125</v>
      </c>
      <c r="B276" s="8" t="s">
        <v>134</v>
      </c>
      <c r="C276" s="8" t="str">
        <f>IFERROR(_xlfn.XLOOKUP(TRIM(B276),Lookup!$B$2:$B$1000,Lookup!$C$2:$C$1000),"")</f>
        <v>Debt</v>
      </c>
      <c r="D276" s="8" t="str">
        <f>IFERROR(INDEX('nav master'!$C:$C, MATCH(B276, 'nav master'!$B:$B, 0)), "")</f>
        <v>ULIF05601/08/13BondFunds101</v>
      </c>
      <c r="E276" s="8" t="s">
        <v>243</v>
      </c>
      <c r="F276" s="8" t="s">
        <v>693</v>
      </c>
    </row>
    <row r="277" spans="1:6" ht="60" x14ac:dyDescent="0.25">
      <c r="A277" s="8" t="s">
        <v>125</v>
      </c>
      <c r="B277" s="8" t="s">
        <v>134</v>
      </c>
      <c r="C277" s="8" t="str">
        <f>IFERROR(_xlfn.XLOOKUP(TRIM(B277),Lookup!$B$2:$B$1000,Lookup!$C$2:$C$1000),"")</f>
        <v>Debt</v>
      </c>
      <c r="D277" s="8" t="str">
        <f>IFERROR(INDEX('nav master'!$C:$C, MATCH(B277, 'nav master'!$B:$B, 0)), "")</f>
        <v>ULIF05601/08/13BondFunds101</v>
      </c>
      <c r="E277" s="8" t="s">
        <v>245</v>
      </c>
      <c r="F277" s="8" t="s">
        <v>694</v>
      </c>
    </row>
    <row r="278" spans="1:6" ht="60" x14ac:dyDescent="0.25">
      <c r="A278" s="8" t="s">
        <v>125</v>
      </c>
      <c r="B278" s="8" t="s">
        <v>134</v>
      </c>
      <c r="C278" s="8" t="str">
        <f>IFERROR(_xlfn.XLOOKUP(TRIM(B278),Lookup!$B$2:$B$1000,Lookup!$C$2:$C$1000),"")</f>
        <v>Debt</v>
      </c>
      <c r="D278" s="8" t="str">
        <f>IFERROR(INDEX('nav master'!$C:$C, MATCH(B278, 'nav master'!$B:$B, 0)), "")</f>
        <v>ULIF05601/08/13BondFunds101</v>
      </c>
      <c r="E278" s="8" t="s">
        <v>247</v>
      </c>
      <c r="F278" s="8" t="s">
        <v>695</v>
      </c>
    </row>
    <row r="279" spans="1:6" ht="60" x14ac:dyDescent="0.25">
      <c r="A279" s="8" t="s">
        <v>125</v>
      </c>
      <c r="B279" s="8" t="s">
        <v>134</v>
      </c>
      <c r="C279" s="8" t="str">
        <f>IFERROR(_xlfn.XLOOKUP(TRIM(B279),Lookup!$B$2:$B$1000,Lookup!$C$2:$C$1000),"")</f>
        <v>Debt</v>
      </c>
      <c r="D279" s="8" t="str">
        <f>IFERROR(INDEX('nav master'!$C:$C, MATCH(B279, 'nav master'!$B:$B, 0)), "")</f>
        <v>ULIF05601/08/13BondFunds101</v>
      </c>
      <c r="E279" s="8" t="s">
        <v>249</v>
      </c>
      <c r="F279" s="8" t="s">
        <v>696</v>
      </c>
    </row>
    <row r="280" spans="1:6" ht="60" x14ac:dyDescent="0.25">
      <c r="A280" s="8" t="s">
        <v>125</v>
      </c>
      <c r="B280" s="8" t="s">
        <v>134</v>
      </c>
      <c r="C280" s="8" t="str">
        <f>IFERROR(_xlfn.XLOOKUP(TRIM(B280),Lookup!$B$2:$B$1000,Lookup!$C$2:$C$1000),"")</f>
        <v>Debt</v>
      </c>
      <c r="D280" s="8" t="str">
        <f>IFERROR(INDEX('nav master'!$C:$C, MATCH(B280, 'nav master'!$B:$B, 0)), "")</f>
        <v>ULIF05601/08/13BondFunds101</v>
      </c>
      <c r="E280" s="8" t="s">
        <v>251</v>
      </c>
      <c r="F280" s="8" t="s">
        <v>697</v>
      </c>
    </row>
    <row r="281" spans="1:6" ht="60" x14ac:dyDescent="0.25">
      <c r="A281" s="8" t="s">
        <v>125</v>
      </c>
      <c r="B281" s="8" t="s">
        <v>134</v>
      </c>
      <c r="C281" s="8" t="str">
        <f>IFERROR(_xlfn.XLOOKUP(TRIM(B281),Lookup!$B$2:$B$1000,Lookup!$C$2:$C$1000),"")</f>
        <v>Debt</v>
      </c>
      <c r="D281" s="8" t="str">
        <f>IFERROR(INDEX('nav master'!$C:$C, MATCH(B281, 'nav master'!$B:$B, 0)), "")</f>
        <v>ULIF05601/08/13BondFunds101</v>
      </c>
      <c r="E281" s="8" t="s">
        <v>253</v>
      </c>
      <c r="F281" s="8" t="s">
        <v>698</v>
      </c>
    </row>
    <row r="282" spans="1:6" ht="60" x14ac:dyDescent="0.25">
      <c r="A282" s="8" t="s">
        <v>125</v>
      </c>
      <c r="B282" s="8" t="s">
        <v>134</v>
      </c>
      <c r="C282" s="8" t="str">
        <f>IFERROR(_xlfn.XLOOKUP(TRIM(B282),Lookup!$B$2:$B$1000,Lookup!$C$2:$C$1000),"")</f>
        <v>Debt</v>
      </c>
      <c r="D282" s="8" t="str">
        <f>IFERROR(INDEX('nav master'!$C:$C, MATCH(B282, 'nav master'!$B:$B, 0)), "")</f>
        <v>ULIF05601/08/13BondFunds101</v>
      </c>
      <c r="E282" s="8" t="s">
        <v>255</v>
      </c>
      <c r="F282" s="8" t="s">
        <v>699</v>
      </c>
    </row>
    <row r="283" spans="1:6" ht="60" x14ac:dyDescent="0.25">
      <c r="A283" s="8" t="s">
        <v>125</v>
      </c>
      <c r="B283" s="8" t="s">
        <v>134</v>
      </c>
      <c r="C283" s="8" t="str">
        <f>IFERROR(_xlfn.XLOOKUP(TRIM(B283),Lookup!$B$2:$B$1000,Lookup!$C$2:$C$1000),"")</f>
        <v>Debt</v>
      </c>
      <c r="D283" s="8" t="str">
        <f>IFERROR(INDEX('nav master'!$C:$C, MATCH(B283, 'nav master'!$B:$B, 0)), "")</f>
        <v>ULIF05601/08/13BondFunds101</v>
      </c>
      <c r="E283" s="8" t="s">
        <v>257</v>
      </c>
      <c r="F283" s="8" t="s">
        <v>700</v>
      </c>
    </row>
    <row r="284" spans="1:6" ht="60" x14ac:dyDescent="0.25">
      <c r="A284" s="8" t="s">
        <v>125</v>
      </c>
      <c r="B284" s="8" t="s">
        <v>134</v>
      </c>
      <c r="C284" s="8" t="str">
        <f>IFERROR(_xlfn.XLOOKUP(TRIM(B284),Lookup!$B$2:$B$1000,Lookup!$C$2:$C$1000),"")</f>
        <v>Debt</v>
      </c>
      <c r="D284" s="8" t="str">
        <f>IFERROR(INDEX('nav master'!$C:$C, MATCH(B284, 'nav master'!$B:$B, 0)), "")</f>
        <v>ULIF05601/08/13BondFunds101</v>
      </c>
      <c r="E284" s="8" t="s">
        <v>259</v>
      </c>
      <c r="F284" s="8" t="s">
        <v>701</v>
      </c>
    </row>
    <row r="285" spans="1:6" ht="60" x14ac:dyDescent="0.25">
      <c r="A285" s="8" t="s">
        <v>125</v>
      </c>
      <c r="B285" s="8" t="s">
        <v>134</v>
      </c>
      <c r="C285" s="8" t="str">
        <f>IFERROR(_xlfn.XLOOKUP(TRIM(B285),Lookup!$B$2:$B$1000,Lookup!$C$2:$C$1000),"")</f>
        <v>Debt</v>
      </c>
      <c r="D285" s="8" t="str">
        <f>IFERROR(INDEX('nav master'!$C:$C, MATCH(B285, 'nav master'!$B:$B, 0)), "")</f>
        <v>ULIF05601/08/13BondFunds101</v>
      </c>
      <c r="E285" s="8" t="s">
        <v>261</v>
      </c>
      <c r="F285" s="8" t="s">
        <v>702</v>
      </c>
    </row>
    <row r="286" spans="1:6" ht="60" x14ac:dyDescent="0.25">
      <c r="A286" s="8" t="s">
        <v>125</v>
      </c>
      <c r="B286" s="8" t="s">
        <v>134</v>
      </c>
      <c r="C286" s="8" t="str">
        <f>IFERROR(_xlfn.XLOOKUP(TRIM(B286),Lookup!$B$2:$B$1000,Lookup!$C$2:$C$1000),"")</f>
        <v>Debt</v>
      </c>
      <c r="D286" s="8" t="str">
        <f>IFERROR(INDEX('nav master'!$C:$C, MATCH(B286, 'nav master'!$B:$B, 0)), "")</f>
        <v>ULIF05601/08/13BondFunds101</v>
      </c>
      <c r="E286" s="8" t="s">
        <v>263</v>
      </c>
      <c r="F286" s="8" t="s">
        <v>703</v>
      </c>
    </row>
    <row r="287" spans="1:6" ht="60" x14ac:dyDescent="0.25">
      <c r="A287" s="8" t="s">
        <v>125</v>
      </c>
      <c r="B287" s="8" t="s">
        <v>134</v>
      </c>
      <c r="C287" s="8" t="str">
        <f>IFERROR(_xlfn.XLOOKUP(TRIM(B287),Lookup!$B$2:$B$1000,Lookup!$C$2:$C$1000),"")</f>
        <v>Debt</v>
      </c>
      <c r="D287" s="8" t="str">
        <f>IFERROR(INDEX('nav master'!$C:$C, MATCH(B287, 'nav master'!$B:$B, 0)), "")</f>
        <v>ULIF05601/08/13BondFunds101</v>
      </c>
      <c r="E287" s="8" t="s">
        <v>265</v>
      </c>
      <c r="F287" s="8" t="s">
        <v>704</v>
      </c>
    </row>
    <row r="288" spans="1:6" ht="60" x14ac:dyDescent="0.25">
      <c r="A288" s="8" t="s">
        <v>125</v>
      </c>
      <c r="B288" s="8" t="s">
        <v>134</v>
      </c>
      <c r="C288" s="8" t="str">
        <f>IFERROR(_xlfn.XLOOKUP(TRIM(B288),Lookup!$B$2:$B$1000,Lookup!$C$2:$C$1000),"")</f>
        <v>Debt</v>
      </c>
      <c r="D288" s="8" t="str">
        <f>IFERROR(INDEX('nav master'!$C:$C, MATCH(B288, 'nav master'!$B:$B, 0)), "")</f>
        <v>ULIF05601/08/13BondFunds101</v>
      </c>
      <c r="E288" s="8" t="s">
        <v>267</v>
      </c>
      <c r="F288" s="8" t="s">
        <v>705</v>
      </c>
    </row>
    <row r="289" spans="1:6" ht="60" x14ac:dyDescent="0.25">
      <c r="A289" s="8" t="s">
        <v>125</v>
      </c>
      <c r="B289" s="8" t="s">
        <v>134</v>
      </c>
      <c r="C289" s="8" t="str">
        <f>IFERROR(_xlfn.XLOOKUP(TRIM(B289),Lookup!$B$2:$B$1000,Lookup!$C$2:$C$1000),"")</f>
        <v>Debt</v>
      </c>
      <c r="D289" s="8" t="str">
        <f>IFERROR(INDEX('nav master'!$C:$C, MATCH(B289, 'nav master'!$B:$B, 0)), "")</f>
        <v>ULIF05601/08/13BondFunds101</v>
      </c>
      <c r="E289" s="8" t="s">
        <v>269</v>
      </c>
      <c r="F289" s="8" t="s">
        <v>706</v>
      </c>
    </row>
    <row r="290" spans="1:6" ht="60" x14ac:dyDescent="0.25">
      <c r="A290" s="8" t="s">
        <v>125</v>
      </c>
      <c r="B290" s="8" t="s">
        <v>134</v>
      </c>
      <c r="C290" s="8" t="str">
        <f>IFERROR(_xlfn.XLOOKUP(TRIM(B290),Lookup!$B$2:$B$1000,Lookup!$C$2:$C$1000),"")</f>
        <v>Debt</v>
      </c>
      <c r="D290" s="8" t="str">
        <f>IFERROR(INDEX('nav master'!$C:$C, MATCH(B290, 'nav master'!$B:$B, 0)), "")</f>
        <v>ULIF05601/08/13BondFunds101</v>
      </c>
      <c r="E290" s="8" t="s">
        <v>271</v>
      </c>
      <c r="F290" s="8" t="s">
        <v>707</v>
      </c>
    </row>
    <row r="291" spans="1:6" ht="60" x14ac:dyDescent="0.25">
      <c r="A291" s="8" t="s">
        <v>125</v>
      </c>
      <c r="B291" s="8" t="s">
        <v>134</v>
      </c>
      <c r="C291" s="8" t="str">
        <f>IFERROR(_xlfn.XLOOKUP(TRIM(B291),Lookup!$B$2:$B$1000,Lookup!$C$2:$C$1000),"")</f>
        <v>Debt</v>
      </c>
      <c r="D291" s="8" t="str">
        <f>IFERROR(INDEX('nav master'!$C:$C, MATCH(B291, 'nav master'!$B:$B, 0)), "")</f>
        <v>ULIF05601/08/13BondFunds101</v>
      </c>
      <c r="E291" s="8" t="s">
        <v>273</v>
      </c>
      <c r="F291" s="8" t="s">
        <v>708</v>
      </c>
    </row>
    <row r="292" spans="1:6" ht="60" x14ac:dyDescent="0.25">
      <c r="A292" s="8" t="s">
        <v>125</v>
      </c>
      <c r="B292" s="8" t="s">
        <v>134</v>
      </c>
      <c r="C292" s="8" t="str">
        <f>IFERROR(_xlfn.XLOOKUP(TRIM(B292),Lookup!$B$2:$B$1000,Lookup!$C$2:$C$1000),"")</f>
        <v>Debt</v>
      </c>
      <c r="D292" s="8" t="str">
        <f>IFERROR(INDEX('nav master'!$C:$C, MATCH(B292, 'nav master'!$B:$B, 0)), "")</f>
        <v>ULIF05601/08/13BondFunds101</v>
      </c>
      <c r="E292" s="8" t="s">
        <v>275</v>
      </c>
      <c r="F292" s="8" t="s">
        <v>709</v>
      </c>
    </row>
    <row r="293" spans="1:6" ht="60" x14ac:dyDescent="0.25">
      <c r="A293" s="8" t="s">
        <v>125</v>
      </c>
      <c r="B293" s="8" t="s">
        <v>134</v>
      </c>
      <c r="C293" s="8" t="str">
        <f>IFERROR(_xlfn.XLOOKUP(TRIM(B293),Lookup!$B$2:$B$1000,Lookup!$C$2:$C$1000),"")</f>
        <v>Debt</v>
      </c>
      <c r="D293" s="8" t="str">
        <f>IFERROR(INDEX('nav master'!$C:$C, MATCH(B293, 'nav master'!$B:$B, 0)), "")</f>
        <v>ULIF05601/08/13BondFunds101</v>
      </c>
      <c r="E293" s="8" t="s">
        <v>277</v>
      </c>
      <c r="F293" s="8" t="s">
        <v>710</v>
      </c>
    </row>
    <row r="294" spans="1:6" ht="60" x14ac:dyDescent="0.25">
      <c r="A294" s="8" t="s">
        <v>125</v>
      </c>
      <c r="B294" s="8" t="s">
        <v>134</v>
      </c>
      <c r="C294" s="8" t="str">
        <f>IFERROR(_xlfn.XLOOKUP(TRIM(B294),Lookup!$B$2:$B$1000,Lookup!$C$2:$C$1000),"")</f>
        <v>Debt</v>
      </c>
      <c r="D294" s="8" t="str">
        <f>IFERROR(INDEX('nav master'!$C:$C, MATCH(B294, 'nav master'!$B:$B, 0)), "")</f>
        <v>ULIF05601/08/13BondFunds101</v>
      </c>
      <c r="E294" s="8" t="s">
        <v>279</v>
      </c>
      <c r="F294" s="8" t="s">
        <v>711</v>
      </c>
    </row>
    <row r="295" spans="1:6" ht="60" x14ac:dyDescent="0.25">
      <c r="A295" s="8" t="s">
        <v>125</v>
      </c>
      <c r="B295" s="8" t="s">
        <v>134</v>
      </c>
      <c r="C295" s="8" t="str">
        <f>IFERROR(_xlfn.XLOOKUP(TRIM(B295),Lookup!$B$2:$B$1000,Lookup!$C$2:$C$1000),"")</f>
        <v>Debt</v>
      </c>
      <c r="D295" s="8" t="str">
        <f>IFERROR(INDEX('nav master'!$C:$C, MATCH(B295, 'nav master'!$B:$B, 0)), "")</f>
        <v>ULIF05601/08/13BondFunds101</v>
      </c>
      <c r="E295" s="8" t="s">
        <v>281</v>
      </c>
      <c r="F295" s="8" t="s">
        <v>712</v>
      </c>
    </row>
    <row r="296" spans="1:6" ht="60" x14ac:dyDescent="0.25">
      <c r="A296" s="8" t="s">
        <v>125</v>
      </c>
      <c r="B296" s="8" t="s">
        <v>134</v>
      </c>
      <c r="C296" s="8" t="str">
        <f>IFERROR(_xlfn.XLOOKUP(TRIM(B296),Lookup!$B$2:$B$1000,Lookup!$C$2:$C$1000),"")</f>
        <v>Debt</v>
      </c>
      <c r="D296" s="8" t="str">
        <f>IFERROR(INDEX('nav master'!$C:$C, MATCH(B296, 'nav master'!$B:$B, 0)), "")</f>
        <v>ULIF05601/08/13BondFunds101</v>
      </c>
      <c r="E296" s="8" t="s">
        <v>283</v>
      </c>
      <c r="F296" s="8" t="s">
        <v>713</v>
      </c>
    </row>
    <row r="297" spans="1:6" ht="60" x14ac:dyDescent="0.25">
      <c r="A297" s="8" t="s">
        <v>125</v>
      </c>
      <c r="B297" s="8" t="s">
        <v>134</v>
      </c>
      <c r="C297" s="8" t="str">
        <f>IFERROR(_xlfn.XLOOKUP(TRIM(B297),Lookup!$B$2:$B$1000,Lookup!$C$2:$C$1000),"")</f>
        <v>Debt</v>
      </c>
      <c r="D297" s="8" t="str">
        <f>IFERROR(INDEX('nav master'!$C:$C, MATCH(B297, 'nav master'!$B:$B, 0)), "")</f>
        <v>ULIF05601/08/13BondFunds101</v>
      </c>
      <c r="E297" s="8" t="s">
        <v>285</v>
      </c>
      <c r="F297" s="8" t="s">
        <v>714</v>
      </c>
    </row>
    <row r="298" spans="1:6" ht="60" x14ac:dyDescent="0.25">
      <c r="A298" s="8" t="s">
        <v>125</v>
      </c>
      <c r="B298" s="8" t="s">
        <v>134</v>
      </c>
      <c r="C298" s="8" t="str">
        <f>IFERROR(_xlfn.XLOOKUP(TRIM(B298),Lookup!$B$2:$B$1000,Lookup!$C$2:$C$1000),"")</f>
        <v>Debt</v>
      </c>
      <c r="D298" s="8" t="str">
        <f>IFERROR(INDEX('nav master'!$C:$C, MATCH(B298, 'nav master'!$B:$B, 0)), "")</f>
        <v>ULIF05601/08/13BondFunds101</v>
      </c>
      <c r="E298" s="8" t="s">
        <v>287</v>
      </c>
      <c r="F298" s="8" t="s">
        <v>715</v>
      </c>
    </row>
    <row r="299" spans="1:6" ht="60" x14ac:dyDescent="0.25">
      <c r="A299" s="8" t="s">
        <v>125</v>
      </c>
      <c r="B299" s="8" t="s">
        <v>134</v>
      </c>
      <c r="C299" s="8" t="str">
        <f>IFERROR(_xlfn.XLOOKUP(TRIM(B299),Lookup!$B$2:$B$1000,Lookup!$C$2:$C$1000),"")</f>
        <v>Debt</v>
      </c>
      <c r="D299" s="8" t="str">
        <f>IFERROR(INDEX('nav master'!$C:$C, MATCH(B299, 'nav master'!$B:$B, 0)), "")</f>
        <v>ULIF05601/08/13BondFunds101</v>
      </c>
      <c r="E299" s="8" t="s">
        <v>289</v>
      </c>
      <c r="F299" s="8" t="s">
        <v>716</v>
      </c>
    </row>
    <row r="300" spans="1:6" ht="60" x14ac:dyDescent="0.25">
      <c r="A300" s="8" t="s">
        <v>125</v>
      </c>
      <c r="B300" s="8" t="s">
        <v>134</v>
      </c>
      <c r="C300" s="8" t="str">
        <f>IFERROR(_xlfn.XLOOKUP(TRIM(B300),Lookup!$B$2:$B$1000,Lookup!$C$2:$C$1000),"")</f>
        <v>Debt</v>
      </c>
      <c r="D300" s="8" t="str">
        <f>IFERROR(INDEX('nav master'!$C:$C, MATCH(B300, 'nav master'!$B:$B, 0)), "")</f>
        <v>ULIF05601/08/13BondFunds101</v>
      </c>
      <c r="E300" s="8" t="s">
        <v>291</v>
      </c>
      <c r="F300" s="8" t="s">
        <v>717</v>
      </c>
    </row>
    <row r="301" spans="1:6" ht="60" x14ac:dyDescent="0.25">
      <c r="A301" s="8" t="s">
        <v>125</v>
      </c>
      <c r="B301" s="8" t="s">
        <v>134</v>
      </c>
      <c r="C301" s="8" t="str">
        <f>IFERROR(_xlfn.XLOOKUP(TRIM(B301),Lookup!$B$2:$B$1000,Lookup!$C$2:$C$1000),"")</f>
        <v>Debt</v>
      </c>
      <c r="D301" s="8" t="str">
        <f>IFERROR(INDEX('nav master'!$C:$C, MATCH(B301, 'nav master'!$B:$B, 0)), "")</f>
        <v>ULIF05601/08/13BondFunds101</v>
      </c>
      <c r="E301" s="8" t="s">
        <v>293</v>
      </c>
      <c r="F301" s="8" t="s">
        <v>718</v>
      </c>
    </row>
    <row r="302" spans="1:6" ht="60" x14ac:dyDescent="0.25">
      <c r="A302" s="8" t="s">
        <v>125</v>
      </c>
      <c r="B302" s="8" t="s">
        <v>134</v>
      </c>
      <c r="C302" s="8" t="str">
        <f>IFERROR(_xlfn.XLOOKUP(TRIM(B302),Lookup!$B$2:$B$1000,Lookup!$C$2:$C$1000),"")</f>
        <v>Debt</v>
      </c>
      <c r="D302" s="8" t="str">
        <f>IFERROR(INDEX('nav master'!$C:$C, MATCH(B302, 'nav master'!$B:$B, 0)), "")</f>
        <v>ULIF05601/08/13BondFunds101</v>
      </c>
      <c r="E302" s="8" t="s">
        <v>295</v>
      </c>
      <c r="F302" s="8" t="s">
        <v>719</v>
      </c>
    </row>
    <row r="303" spans="1:6" ht="60" x14ac:dyDescent="0.25">
      <c r="A303" s="8" t="s">
        <v>125</v>
      </c>
      <c r="B303" s="8" t="s">
        <v>134</v>
      </c>
      <c r="C303" s="8" t="str">
        <f>IFERROR(_xlfn.XLOOKUP(TRIM(B303),Lookup!$B$2:$B$1000,Lookup!$C$2:$C$1000),"")</f>
        <v>Debt</v>
      </c>
      <c r="D303" s="8" t="str">
        <f>IFERROR(INDEX('nav master'!$C:$C, MATCH(B303, 'nav master'!$B:$B, 0)), "")</f>
        <v>ULIF05601/08/13BondFunds101</v>
      </c>
      <c r="E303" s="8" t="s">
        <v>297</v>
      </c>
      <c r="F303" s="8" t="s">
        <v>720</v>
      </c>
    </row>
    <row r="304" spans="1:6" ht="60" x14ac:dyDescent="0.25">
      <c r="A304" s="8" t="s">
        <v>125</v>
      </c>
      <c r="B304" s="8" t="s">
        <v>134</v>
      </c>
      <c r="C304" s="8" t="str">
        <f>IFERROR(_xlfn.XLOOKUP(TRIM(B304),Lookup!$B$2:$B$1000,Lookup!$C$2:$C$1000),"")</f>
        <v>Debt</v>
      </c>
      <c r="D304" s="8" t="str">
        <f>IFERROR(INDEX('nav master'!$C:$C, MATCH(B304, 'nav master'!$B:$B, 0)), "")</f>
        <v>ULIF05601/08/13BondFunds101</v>
      </c>
      <c r="E304" s="8" t="s">
        <v>299</v>
      </c>
      <c r="F304" s="8" t="s">
        <v>721</v>
      </c>
    </row>
    <row r="305" spans="1:6" ht="60" x14ac:dyDescent="0.25">
      <c r="A305" s="8" t="s">
        <v>125</v>
      </c>
      <c r="B305" s="8" t="s">
        <v>134</v>
      </c>
      <c r="C305" s="8" t="str">
        <f>IFERROR(_xlfn.XLOOKUP(TRIM(B305),Lookup!$B$2:$B$1000,Lookup!$C$2:$C$1000),"")</f>
        <v>Debt</v>
      </c>
      <c r="D305" s="8" t="str">
        <f>IFERROR(INDEX('nav master'!$C:$C, MATCH(B305, 'nav master'!$B:$B, 0)), "")</f>
        <v>ULIF05601/08/13BondFunds101</v>
      </c>
      <c r="E305" s="8" t="s">
        <v>301</v>
      </c>
      <c r="F305" s="8" t="s">
        <v>722</v>
      </c>
    </row>
    <row r="306" spans="1:6" ht="60" x14ac:dyDescent="0.25">
      <c r="A306" s="8" t="s">
        <v>125</v>
      </c>
      <c r="B306" s="8" t="s">
        <v>134</v>
      </c>
      <c r="C306" s="8" t="str">
        <f>IFERROR(_xlfn.XLOOKUP(TRIM(B306),Lookup!$B$2:$B$1000,Lookup!$C$2:$C$1000),"")</f>
        <v>Debt</v>
      </c>
      <c r="D306" s="8" t="str">
        <f>IFERROR(INDEX('nav master'!$C:$C, MATCH(B306, 'nav master'!$B:$B, 0)), "")</f>
        <v>ULIF05601/08/13BondFunds101</v>
      </c>
      <c r="E306" s="8" t="s">
        <v>303</v>
      </c>
      <c r="F306" s="8" t="s">
        <v>723</v>
      </c>
    </row>
    <row r="307" spans="1:6" ht="60" x14ac:dyDescent="0.25">
      <c r="A307" s="8" t="s">
        <v>125</v>
      </c>
      <c r="B307" s="8" t="s">
        <v>134</v>
      </c>
      <c r="C307" s="8" t="str">
        <f>IFERROR(_xlfn.XLOOKUP(TRIM(B307),Lookup!$B$2:$B$1000,Lookup!$C$2:$C$1000),"")</f>
        <v>Debt</v>
      </c>
      <c r="D307" s="8" t="str">
        <f>IFERROR(INDEX('nav master'!$C:$C, MATCH(B307, 'nav master'!$B:$B, 0)), "")</f>
        <v>ULIF05601/08/13BondFunds101</v>
      </c>
      <c r="E307" s="8" t="s">
        <v>305</v>
      </c>
      <c r="F307" s="8" t="s">
        <v>724</v>
      </c>
    </row>
    <row r="308" spans="1:6" ht="60" x14ac:dyDescent="0.25">
      <c r="A308" s="8" t="s">
        <v>125</v>
      </c>
      <c r="B308" s="8" t="s">
        <v>134</v>
      </c>
      <c r="C308" s="8" t="str">
        <f>IFERROR(_xlfn.XLOOKUP(TRIM(B308),Lookup!$B$2:$B$1000,Lookup!$C$2:$C$1000),"")</f>
        <v>Debt</v>
      </c>
      <c r="D308" s="8" t="str">
        <f>IFERROR(INDEX('nav master'!$C:$C, MATCH(B308, 'nav master'!$B:$B, 0)), "")</f>
        <v>ULIF05601/08/13BondFunds101</v>
      </c>
      <c r="E308" s="8" t="s">
        <v>307</v>
      </c>
      <c r="F308" s="8" t="s">
        <v>725</v>
      </c>
    </row>
    <row r="309" spans="1:6" ht="60" x14ac:dyDescent="0.25">
      <c r="A309" s="8" t="s">
        <v>125</v>
      </c>
      <c r="B309" s="8" t="s">
        <v>134</v>
      </c>
      <c r="C309" s="8" t="str">
        <f>IFERROR(_xlfn.XLOOKUP(TRIM(B309),Lookup!$B$2:$B$1000,Lookup!$C$2:$C$1000),"")</f>
        <v>Debt</v>
      </c>
      <c r="D309" s="8" t="str">
        <f>IFERROR(INDEX('nav master'!$C:$C, MATCH(B309, 'nav master'!$B:$B, 0)), "")</f>
        <v>ULIF05601/08/13BondFunds101</v>
      </c>
      <c r="E309" s="8" t="s">
        <v>309</v>
      </c>
      <c r="F309" s="8" t="s">
        <v>726</v>
      </c>
    </row>
    <row r="310" spans="1:6" ht="60" x14ac:dyDescent="0.25">
      <c r="A310" s="8" t="s">
        <v>125</v>
      </c>
      <c r="B310" s="8" t="s">
        <v>134</v>
      </c>
      <c r="C310" s="8" t="str">
        <f>IFERROR(_xlfn.XLOOKUP(TRIM(B310),Lookup!$B$2:$B$1000,Lookup!$C$2:$C$1000),"")</f>
        <v>Debt</v>
      </c>
      <c r="D310" s="8" t="str">
        <f>IFERROR(INDEX('nav master'!$C:$C, MATCH(B310, 'nav master'!$B:$B, 0)), "")</f>
        <v>ULIF05601/08/13BondFunds101</v>
      </c>
      <c r="E310" s="8" t="s">
        <v>311</v>
      </c>
      <c r="F310" s="8" t="s">
        <v>727</v>
      </c>
    </row>
    <row r="311" spans="1:6" ht="60" x14ac:dyDescent="0.25">
      <c r="A311" s="8" t="s">
        <v>125</v>
      </c>
      <c r="B311" s="8" t="s">
        <v>134</v>
      </c>
      <c r="C311" s="8" t="str">
        <f>IFERROR(_xlfn.XLOOKUP(TRIM(B311),Lookup!$B$2:$B$1000,Lookup!$C$2:$C$1000),"")</f>
        <v>Debt</v>
      </c>
      <c r="D311" s="8" t="str">
        <f>IFERROR(INDEX('nav master'!$C:$C, MATCH(B311, 'nav master'!$B:$B, 0)), "")</f>
        <v>ULIF05601/08/13BondFunds101</v>
      </c>
      <c r="E311" s="8" t="s">
        <v>313</v>
      </c>
      <c r="F311" s="8" t="s">
        <v>728</v>
      </c>
    </row>
    <row r="312" spans="1:6" ht="60" x14ac:dyDescent="0.25">
      <c r="A312" s="8" t="s">
        <v>125</v>
      </c>
      <c r="B312" s="8" t="s">
        <v>134</v>
      </c>
      <c r="C312" s="8" t="str">
        <f>IFERROR(_xlfn.XLOOKUP(TRIM(B312),Lookup!$B$2:$B$1000,Lookup!$C$2:$C$1000),"")</f>
        <v>Debt</v>
      </c>
      <c r="D312" s="8" t="str">
        <f>IFERROR(INDEX('nav master'!$C:$C, MATCH(B312, 'nav master'!$B:$B, 0)), "")</f>
        <v>ULIF05601/08/13BondFunds101</v>
      </c>
      <c r="E312" s="8" t="s">
        <v>315</v>
      </c>
      <c r="F312" s="8" t="s">
        <v>729</v>
      </c>
    </row>
    <row r="313" spans="1:6" ht="60" x14ac:dyDescent="0.25">
      <c r="A313" s="8" t="s">
        <v>125</v>
      </c>
      <c r="B313" s="8" t="s">
        <v>134</v>
      </c>
      <c r="C313" s="8" t="str">
        <f>IFERROR(_xlfn.XLOOKUP(TRIM(B313),Lookup!$B$2:$B$1000,Lookup!$C$2:$C$1000),"")</f>
        <v>Debt</v>
      </c>
      <c r="D313" s="8" t="str">
        <f>IFERROR(INDEX('nav master'!$C:$C, MATCH(B313, 'nav master'!$B:$B, 0)), "")</f>
        <v>ULIF05601/08/13BondFunds101</v>
      </c>
      <c r="E313" s="8" t="s">
        <v>317</v>
      </c>
      <c r="F313" s="8" t="s">
        <v>730</v>
      </c>
    </row>
    <row r="314" spans="1:6" ht="60" x14ac:dyDescent="0.25">
      <c r="A314" s="8" t="s">
        <v>125</v>
      </c>
      <c r="B314" s="8" t="s">
        <v>134</v>
      </c>
      <c r="C314" s="8" t="str">
        <f>IFERROR(_xlfn.XLOOKUP(TRIM(B314),Lookup!$B$2:$B$1000,Lookup!$C$2:$C$1000),"")</f>
        <v>Debt</v>
      </c>
      <c r="D314" s="8" t="str">
        <f>IFERROR(INDEX('nav master'!$C:$C, MATCH(B314, 'nav master'!$B:$B, 0)), "")</f>
        <v>ULIF05601/08/13BondFunds101</v>
      </c>
      <c r="E314" s="8" t="s">
        <v>319</v>
      </c>
      <c r="F314" s="8" t="s">
        <v>731</v>
      </c>
    </row>
    <row r="315" spans="1:6" ht="60" x14ac:dyDescent="0.25">
      <c r="A315" s="8" t="s">
        <v>125</v>
      </c>
      <c r="B315" s="8" t="s">
        <v>134</v>
      </c>
      <c r="C315" s="8" t="str">
        <f>IFERROR(_xlfn.XLOOKUP(TRIM(B315),Lookup!$B$2:$B$1000,Lookup!$C$2:$C$1000),"")</f>
        <v>Debt</v>
      </c>
      <c r="D315" s="8" t="str">
        <f>IFERROR(INDEX('nav master'!$C:$C, MATCH(B315, 'nav master'!$B:$B, 0)), "")</f>
        <v>ULIF05601/08/13BondFunds101</v>
      </c>
      <c r="E315" s="8" t="s">
        <v>321</v>
      </c>
      <c r="F315" s="8" t="s">
        <v>732</v>
      </c>
    </row>
    <row r="316" spans="1:6" ht="60" x14ac:dyDescent="0.25">
      <c r="A316" s="8" t="s">
        <v>125</v>
      </c>
      <c r="B316" s="8" t="s">
        <v>134</v>
      </c>
      <c r="C316" s="8" t="str">
        <f>IFERROR(_xlfn.XLOOKUP(TRIM(B316),Lookup!$B$2:$B$1000,Lookup!$C$2:$C$1000),"")</f>
        <v>Debt</v>
      </c>
      <c r="D316" s="8" t="str">
        <f>IFERROR(INDEX('nav master'!$C:$C, MATCH(B316, 'nav master'!$B:$B, 0)), "")</f>
        <v>ULIF05601/08/13BondFunds101</v>
      </c>
      <c r="E316" s="8" t="s">
        <v>323</v>
      </c>
      <c r="F316" s="8" t="s">
        <v>733</v>
      </c>
    </row>
    <row r="317" spans="1:6" ht="60" x14ac:dyDescent="0.25">
      <c r="A317" s="8" t="s">
        <v>125</v>
      </c>
      <c r="B317" s="8" t="s">
        <v>134</v>
      </c>
      <c r="C317" s="8" t="str">
        <f>IFERROR(_xlfn.XLOOKUP(TRIM(B317),Lookup!$B$2:$B$1000,Lookup!$C$2:$C$1000),"")</f>
        <v>Debt</v>
      </c>
      <c r="D317" s="8" t="str">
        <f>IFERROR(INDEX('nav master'!$C:$C, MATCH(B317, 'nav master'!$B:$B, 0)), "")</f>
        <v>ULIF05601/08/13BondFunds101</v>
      </c>
      <c r="E317" s="8" t="s">
        <v>325</v>
      </c>
      <c r="F317" s="8" t="s">
        <v>733</v>
      </c>
    </row>
    <row r="318" spans="1:6" ht="60" x14ac:dyDescent="0.25">
      <c r="A318" s="8" t="s">
        <v>125</v>
      </c>
      <c r="B318" s="8" t="s">
        <v>134</v>
      </c>
      <c r="C318" s="8" t="str">
        <f>IFERROR(_xlfn.XLOOKUP(TRIM(B318),Lookup!$B$2:$B$1000,Lookup!$C$2:$C$1000),"")</f>
        <v>Debt</v>
      </c>
      <c r="D318" s="8" t="str">
        <f>IFERROR(INDEX('nav master'!$C:$C, MATCH(B318, 'nav master'!$B:$B, 0)), "")</f>
        <v>ULIF05601/08/13BondFunds101</v>
      </c>
      <c r="E318" s="8" t="s">
        <v>327</v>
      </c>
      <c r="F318" s="8" t="s">
        <v>734</v>
      </c>
    </row>
    <row r="319" spans="1:6" ht="60" x14ac:dyDescent="0.25">
      <c r="A319" s="8" t="s">
        <v>125</v>
      </c>
      <c r="B319" s="8" t="s">
        <v>134</v>
      </c>
      <c r="C319" s="8" t="str">
        <f>IFERROR(_xlfn.XLOOKUP(TRIM(B319),Lookup!$B$2:$B$1000,Lookup!$C$2:$C$1000),"")</f>
        <v>Debt</v>
      </c>
      <c r="D319" s="8" t="str">
        <f>IFERROR(INDEX('nav master'!$C:$C, MATCH(B319, 'nav master'!$B:$B, 0)), "")</f>
        <v>ULIF05601/08/13BondFunds101</v>
      </c>
      <c r="E319" s="8" t="s">
        <v>329</v>
      </c>
      <c r="F319" s="8" t="s">
        <v>735</v>
      </c>
    </row>
    <row r="320" spans="1:6" ht="60" x14ac:dyDescent="0.25">
      <c r="A320" s="8" t="s">
        <v>125</v>
      </c>
      <c r="B320" s="8" t="s">
        <v>134</v>
      </c>
      <c r="C320" s="8" t="str">
        <f>IFERROR(_xlfn.XLOOKUP(TRIM(B320),Lookup!$B$2:$B$1000,Lookup!$C$2:$C$1000),"")</f>
        <v>Debt</v>
      </c>
      <c r="D320" s="8" t="str">
        <f>IFERROR(INDEX('nav master'!$C:$C, MATCH(B320, 'nav master'!$B:$B, 0)), "")</f>
        <v>ULIF05601/08/13BondFunds101</v>
      </c>
      <c r="E320" s="8" t="s">
        <v>331</v>
      </c>
      <c r="F320" s="8" t="s">
        <v>736</v>
      </c>
    </row>
    <row r="321" spans="1:6" ht="60" x14ac:dyDescent="0.25">
      <c r="A321" s="8" t="s">
        <v>125</v>
      </c>
      <c r="B321" s="8" t="s">
        <v>134</v>
      </c>
      <c r="C321" s="8" t="str">
        <f>IFERROR(_xlfn.XLOOKUP(TRIM(B321),Lookup!$B$2:$B$1000,Lookup!$C$2:$C$1000),"")</f>
        <v>Debt</v>
      </c>
      <c r="D321" s="8" t="str">
        <f>IFERROR(INDEX('nav master'!$C:$C, MATCH(B321, 'nav master'!$B:$B, 0)), "")</f>
        <v>ULIF05601/08/13BondFunds101</v>
      </c>
      <c r="E321" s="8" t="s">
        <v>333</v>
      </c>
      <c r="F321" s="8" t="s">
        <v>737</v>
      </c>
    </row>
    <row r="322" spans="1:6" ht="60" x14ac:dyDescent="0.25">
      <c r="A322" s="8" t="s">
        <v>125</v>
      </c>
      <c r="B322" s="8" t="s">
        <v>134</v>
      </c>
      <c r="C322" s="8" t="str">
        <f>IFERROR(_xlfn.XLOOKUP(TRIM(B322),Lookup!$B$2:$B$1000,Lookup!$C$2:$C$1000),"")</f>
        <v>Debt</v>
      </c>
      <c r="D322" s="8" t="str">
        <f>IFERROR(INDEX('nav master'!$C:$C, MATCH(B322, 'nav master'!$B:$B, 0)), "")</f>
        <v>ULIF05601/08/13BondFunds101</v>
      </c>
      <c r="E322" s="8" t="s">
        <v>335</v>
      </c>
      <c r="F322" s="8" t="s">
        <v>738</v>
      </c>
    </row>
    <row r="323" spans="1:6" ht="60" x14ac:dyDescent="0.25">
      <c r="A323" s="8" t="s">
        <v>125</v>
      </c>
      <c r="B323" s="8" t="s">
        <v>134</v>
      </c>
      <c r="C323" s="8" t="str">
        <f>IFERROR(_xlfn.XLOOKUP(TRIM(B323),Lookup!$B$2:$B$1000,Lookup!$C$2:$C$1000),"")</f>
        <v>Debt</v>
      </c>
      <c r="D323" s="8" t="str">
        <f>IFERROR(INDEX('nav master'!$C:$C, MATCH(B323, 'nav master'!$B:$B, 0)), "")</f>
        <v>ULIF05601/08/13BondFunds101</v>
      </c>
      <c r="E323" s="8" t="s">
        <v>337</v>
      </c>
      <c r="F323" s="8" t="s">
        <v>739</v>
      </c>
    </row>
    <row r="324" spans="1:6" ht="60" x14ac:dyDescent="0.25">
      <c r="A324" s="8" t="s">
        <v>125</v>
      </c>
      <c r="B324" s="8" t="s">
        <v>134</v>
      </c>
      <c r="C324" s="8" t="str">
        <f>IFERROR(_xlfn.XLOOKUP(TRIM(B324),Lookup!$B$2:$B$1000,Lookup!$C$2:$C$1000),"")</f>
        <v>Debt</v>
      </c>
      <c r="D324" s="8" t="str">
        <f>IFERROR(INDEX('nav master'!$C:$C, MATCH(B324, 'nav master'!$B:$B, 0)), "")</f>
        <v>ULIF05601/08/13BondFunds101</v>
      </c>
      <c r="E324" s="8" t="s">
        <v>339</v>
      </c>
      <c r="F324" s="8" t="s">
        <v>740</v>
      </c>
    </row>
    <row r="325" spans="1:6" ht="60" x14ac:dyDescent="0.25">
      <c r="A325" s="8" t="s">
        <v>125</v>
      </c>
      <c r="B325" s="8" t="s">
        <v>134</v>
      </c>
      <c r="C325" s="8" t="str">
        <f>IFERROR(_xlfn.XLOOKUP(TRIM(B325),Lookup!$B$2:$B$1000,Lookup!$C$2:$C$1000),"")</f>
        <v>Debt</v>
      </c>
      <c r="D325" s="8" t="str">
        <f>IFERROR(INDEX('nav master'!$C:$C, MATCH(B325, 'nav master'!$B:$B, 0)), "")</f>
        <v>ULIF05601/08/13BondFunds101</v>
      </c>
      <c r="E325" s="8" t="s">
        <v>341</v>
      </c>
      <c r="F325" s="8" t="s">
        <v>741</v>
      </c>
    </row>
    <row r="326" spans="1:6" ht="60" x14ac:dyDescent="0.25">
      <c r="A326" s="8" t="s">
        <v>125</v>
      </c>
      <c r="B326" s="8" t="s">
        <v>134</v>
      </c>
      <c r="C326" s="8" t="str">
        <f>IFERROR(_xlfn.XLOOKUP(TRIM(B326),Lookup!$B$2:$B$1000,Lookup!$C$2:$C$1000),"")</f>
        <v>Debt</v>
      </c>
      <c r="D326" s="8" t="str">
        <f>IFERROR(INDEX('nav master'!$C:$C, MATCH(B326, 'nav master'!$B:$B, 0)), "")</f>
        <v>ULIF05601/08/13BondFunds101</v>
      </c>
      <c r="E326" s="8" t="s">
        <v>343</v>
      </c>
      <c r="F326" s="8" t="s">
        <v>742</v>
      </c>
    </row>
    <row r="327" spans="1:6" ht="60" x14ac:dyDescent="0.25">
      <c r="A327" s="8" t="s">
        <v>125</v>
      </c>
      <c r="B327" s="8" t="s">
        <v>134</v>
      </c>
      <c r="C327" s="8" t="str">
        <f>IFERROR(_xlfn.XLOOKUP(TRIM(B327),Lookup!$B$2:$B$1000,Lookup!$C$2:$C$1000),"")</f>
        <v>Debt</v>
      </c>
      <c r="D327" s="8" t="str">
        <f>IFERROR(INDEX('nav master'!$C:$C, MATCH(B327, 'nav master'!$B:$B, 0)), "")</f>
        <v>ULIF05601/08/13BondFunds101</v>
      </c>
      <c r="E327" s="8" t="s">
        <v>345</v>
      </c>
      <c r="F327" s="8" t="s">
        <v>743</v>
      </c>
    </row>
    <row r="328" spans="1:6" ht="60" x14ac:dyDescent="0.25">
      <c r="A328" s="8" t="s">
        <v>125</v>
      </c>
      <c r="B328" s="8" t="s">
        <v>134</v>
      </c>
      <c r="C328" s="8" t="str">
        <f>IFERROR(_xlfn.XLOOKUP(TRIM(B328),Lookup!$B$2:$B$1000,Lookup!$C$2:$C$1000),"")</f>
        <v>Debt</v>
      </c>
      <c r="D328" s="8" t="str">
        <f>IFERROR(INDEX('nav master'!$C:$C, MATCH(B328, 'nav master'!$B:$B, 0)), "")</f>
        <v>ULIF05601/08/13BondFunds101</v>
      </c>
      <c r="E328" s="8" t="s">
        <v>347</v>
      </c>
      <c r="F328" s="8" t="s">
        <v>744</v>
      </c>
    </row>
    <row r="329" spans="1:6" ht="60" x14ac:dyDescent="0.25">
      <c r="A329" s="8" t="s">
        <v>125</v>
      </c>
      <c r="B329" s="8" t="s">
        <v>134</v>
      </c>
      <c r="C329" s="8" t="str">
        <f>IFERROR(_xlfn.XLOOKUP(TRIM(B329),Lookup!$B$2:$B$1000,Lookup!$C$2:$C$1000),"")</f>
        <v>Debt</v>
      </c>
      <c r="D329" s="8" t="str">
        <f>IFERROR(INDEX('nav master'!$C:$C, MATCH(B329, 'nav master'!$B:$B, 0)), "")</f>
        <v>ULIF05601/08/13BondFunds101</v>
      </c>
      <c r="E329" s="8" t="s">
        <v>349</v>
      </c>
      <c r="F329" s="8" t="s">
        <v>745</v>
      </c>
    </row>
    <row r="330" spans="1:6" ht="60" x14ac:dyDescent="0.25">
      <c r="A330" s="8" t="s">
        <v>125</v>
      </c>
      <c r="B330" s="8" t="s">
        <v>134</v>
      </c>
      <c r="C330" s="8" t="str">
        <f>IFERROR(_xlfn.XLOOKUP(TRIM(B330),Lookup!$B$2:$B$1000,Lookup!$C$2:$C$1000),"")</f>
        <v>Debt</v>
      </c>
      <c r="D330" s="8" t="str">
        <f>IFERROR(INDEX('nav master'!$C:$C, MATCH(B330, 'nav master'!$B:$B, 0)), "")</f>
        <v>ULIF05601/08/13BondFunds101</v>
      </c>
      <c r="E330" s="8" t="s">
        <v>351</v>
      </c>
      <c r="F330" s="8" t="s">
        <v>746</v>
      </c>
    </row>
    <row r="331" spans="1:6" ht="60" x14ac:dyDescent="0.25">
      <c r="A331" s="8" t="s">
        <v>125</v>
      </c>
      <c r="B331" s="8" t="s">
        <v>134</v>
      </c>
      <c r="C331" s="8" t="str">
        <f>IFERROR(_xlfn.XLOOKUP(TRIM(B331),Lookup!$B$2:$B$1000,Lookup!$C$2:$C$1000),"")</f>
        <v>Debt</v>
      </c>
      <c r="D331" s="8" t="str">
        <f>IFERROR(INDEX('nav master'!$C:$C, MATCH(B331, 'nav master'!$B:$B, 0)), "")</f>
        <v>ULIF05601/08/13BondFunds101</v>
      </c>
      <c r="E331" s="8" t="s">
        <v>353</v>
      </c>
      <c r="F331" s="8" t="s">
        <v>747</v>
      </c>
    </row>
    <row r="332" spans="1:6" ht="60" x14ac:dyDescent="0.25">
      <c r="A332" s="8" t="s">
        <v>125</v>
      </c>
      <c r="B332" s="8" t="s">
        <v>134</v>
      </c>
      <c r="C332" s="8" t="str">
        <f>IFERROR(_xlfn.XLOOKUP(TRIM(B332),Lookup!$B$2:$B$1000,Lookup!$C$2:$C$1000),"")</f>
        <v>Debt</v>
      </c>
      <c r="D332" s="8" t="str">
        <f>IFERROR(INDEX('nav master'!$C:$C, MATCH(B332, 'nav master'!$B:$B, 0)), "")</f>
        <v>ULIF05601/08/13BondFunds101</v>
      </c>
      <c r="E332" s="8" t="s">
        <v>355</v>
      </c>
      <c r="F332" s="8" t="s">
        <v>748</v>
      </c>
    </row>
    <row r="333" spans="1:6" ht="60" x14ac:dyDescent="0.25">
      <c r="A333" s="8" t="s">
        <v>125</v>
      </c>
      <c r="B333" s="8" t="s">
        <v>134</v>
      </c>
      <c r="C333" s="8" t="str">
        <f>IFERROR(_xlfn.XLOOKUP(TRIM(B333),Lookup!$B$2:$B$1000,Lookup!$C$2:$C$1000),"")</f>
        <v>Debt</v>
      </c>
      <c r="D333" s="8" t="str">
        <f>IFERROR(INDEX('nav master'!$C:$C, MATCH(B333, 'nav master'!$B:$B, 0)), "")</f>
        <v>ULIF05601/08/13BondFunds101</v>
      </c>
      <c r="E333" s="8" t="s">
        <v>357</v>
      </c>
      <c r="F333" s="8" t="s">
        <v>749</v>
      </c>
    </row>
    <row r="334" spans="1:6" ht="60" x14ac:dyDescent="0.25">
      <c r="A334" s="8" t="s">
        <v>125</v>
      </c>
      <c r="B334" s="8" t="s">
        <v>134</v>
      </c>
      <c r="C334" s="8" t="str">
        <f>IFERROR(_xlfn.XLOOKUP(TRIM(B334),Lookup!$B$2:$B$1000,Lookup!$C$2:$C$1000),"")</f>
        <v>Debt</v>
      </c>
      <c r="D334" s="8" t="str">
        <f>IFERROR(INDEX('nav master'!$C:$C, MATCH(B334, 'nav master'!$B:$B, 0)), "")</f>
        <v>ULIF05601/08/13BondFunds101</v>
      </c>
      <c r="E334" s="8" t="s">
        <v>359</v>
      </c>
      <c r="F334" s="8" t="s">
        <v>750</v>
      </c>
    </row>
    <row r="335" spans="1:6" ht="60" x14ac:dyDescent="0.25">
      <c r="A335" s="8" t="s">
        <v>125</v>
      </c>
      <c r="B335" s="8" t="s">
        <v>134</v>
      </c>
      <c r="C335" s="8" t="str">
        <f>IFERROR(_xlfn.XLOOKUP(TRIM(B335),Lookup!$B$2:$B$1000,Lookup!$C$2:$C$1000),"")</f>
        <v>Debt</v>
      </c>
      <c r="D335" s="8" t="str">
        <f>IFERROR(INDEX('nav master'!$C:$C, MATCH(B335, 'nav master'!$B:$B, 0)), "")</f>
        <v>ULIF05601/08/13BondFunds101</v>
      </c>
      <c r="E335" s="8" t="s">
        <v>361</v>
      </c>
      <c r="F335" s="8" t="s">
        <v>751</v>
      </c>
    </row>
    <row r="336" spans="1:6" ht="60" x14ac:dyDescent="0.25">
      <c r="A336" s="8" t="s">
        <v>125</v>
      </c>
      <c r="B336" s="8" t="s">
        <v>134</v>
      </c>
      <c r="C336" s="8" t="str">
        <f>IFERROR(_xlfn.XLOOKUP(TRIM(B336),Lookup!$B$2:$B$1000,Lookup!$C$2:$C$1000),"")</f>
        <v>Debt</v>
      </c>
      <c r="D336" s="8" t="str">
        <f>IFERROR(INDEX('nav master'!$C:$C, MATCH(B336, 'nav master'!$B:$B, 0)), "")</f>
        <v>ULIF05601/08/13BondFunds101</v>
      </c>
      <c r="E336" s="8" t="s">
        <v>363</v>
      </c>
      <c r="F336" s="8" t="s">
        <v>752</v>
      </c>
    </row>
    <row r="337" spans="1:6" ht="60" x14ac:dyDescent="0.25">
      <c r="A337" s="8" t="s">
        <v>125</v>
      </c>
      <c r="B337" s="8" t="s">
        <v>134</v>
      </c>
      <c r="C337" s="8" t="str">
        <f>IFERROR(_xlfn.XLOOKUP(TRIM(B337),Lookup!$B$2:$B$1000,Lookup!$C$2:$C$1000),"")</f>
        <v>Debt</v>
      </c>
      <c r="D337" s="8" t="str">
        <f>IFERROR(INDEX('nav master'!$C:$C, MATCH(B337, 'nav master'!$B:$B, 0)), "")</f>
        <v>ULIF05601/08/13BondFunds101</v>
      </c>
      <c r="E337" s="8" t="s">
        <v>365</v>
      </c>
      <c r="F337" s="8" t="s">
        <v>753</v>
      </c>
    </row>
    <row r="338" spans="1:6" ht="60" x14ac:dyDescent="0.25">
      <c r="A338" s="8" t="s">
        <v>125</v>
      </c>
      <c r="B338" s="8" t="s">
        <v>134</v>
      </c>
      <c r="C338" s="8" t="str">
        <f>IFERROR(_xlfn.XLOOKUP(TRIM(B338),Lookup!$B$2:$B$1000,Lookup!$C$2:$C$1000),"")</f>
        <v>Debt</v>
      </c>
      <c r="D338" s="8" t="str">
        <f>IFERROR(INDEX('nav master'!$C:$C, MATCH(B338, 'nav master'!$B:$B, 0)), "")</f>
        <v>ULIF05601/08/13BondFunds101</v>
      </c>
      <c r="E338" s="8" t="s">
        <v>367</v>
      </c>
      <c r="F338" s="8" t="s">
        <v>754</v>
      </c>
    </row>
    <row r="339" spans="1:6" ht="60" x14ac:dyDescent="0.25">
      <c r="A339" s="8" t="s">
        <v>125</v>
      </c>
      <c r="B339" s="8" t="s">
        <v>134</v>
      </c>
      <c r="C339" s="8" t="str">
        <f>IFERROR(_xlfn.XLOOKUP(TRIM(B339),Lookup!$B$2:$B$1000,Lookup!$C$2:$C$1000),"")</f>
        <v>Debt</v>
      </c>
      <c r="D339" s="8" t="str">
        <f>IFERROR(INDEX('nav master'!$C:$C, MATCH(B339, 'nav master'!$B:$B, 0)), "")</f>
        <v>ULIF05601/08/13BondFunds101</v>
      </c>
      <c r="E339" s="8" t="s">
        <v>369</v>
      </c>
      <c r="F339" s="8" t="s">
        <v>755</v>
      </c>
    </row>
    <row r="340" spans="1:6" ht="60" x14ac:dyDescent="0.25">
      <c r="A340" s="8" t="s">
        <v>125</v>
      </c>
      <c r="B340" s="8" t="s">
        <v>134</v>
      </c>
      <c r="C340" s="8" t="str">
        <f>IFERROR(_xlfn.XLOOKUP(TRIM(B340),Lookup!$B$2:$B$1000,Lookup!$C$2:$C$1000),"")</f>
        <v>Debt</v>
      </c>
      <c r="D340" s="8" t="str">
        <f>IFERROR(INDEX('nav master'!$C:$C, MATCH(B340, 'nav master'!$B:$B, 0)), "")</f>
        <v>ULIF05601/08/13BondFunds101</v>
      </c>
      <c r="E340" s="8" t="s">
        <v>371</v>
      </c>
      <c r="F340" s="8" t="s">
        <v>756</v>
      </c>
    </row>
    <row r="341" spans="1:6" ht="60" x14ac:dyDescent="0.25">
      <c r="A341" s="8" t="s">
        <v>125</v>
      </c>
      <c r="B341" s="8" t="s">
        <v>134</v>
      </c>
      <c r="C341" s="8" t="str">
        <f>IFERROR(_xlfn.XLOOKUP(TRIM(B341),Lookup!$B$2:$B$1000,Lookup!$C$2:$C$1000),"")</f>
        <v>Debt</v>
      </c>
      <c r="D341" s="8" t="str">
        <f>IFERROR(INDEX('nav master'!$C:$C, MATCH(B341, 'nav master'!$B:$B, 0)), "")</f>
        <v>ULIF05601/08/13BondFunds101</v>
      </c>
      <c r="E341" s="8" t="s">
        <v>373</v>
      </c>
      <c r="F341" s="8" t="s">
        <v>757</v>
      </c>
    </row>
    <row r="342" spans="1:6" ht="60" x14ac:dyDescent="0.25">
      <c r="A342" s="8" t="s">
        <v>125</v>
      </c>
      <c r="B342" s="8" t="s">
        <v>134</v>
      </c>
      <c r="C342" s="8" t="str">
        <f>IFERROR(_xlfn.XLOOKUP(TRIM(B342),Lookup!$B$2:$B$1000,Lookup!$C$2:$C$1000),"")</f>
        <v>Debt</v>
      </c>
      <c r="D342" s="8" t="str">
        <f>IFERROR(INDEX('nav master'!$C:$C, MATCH(B342, 'nav master'!$B:$B, 0)), "")</f>
        <v>ULIF05601/08/13BondFunds101</v>
      </c>
      <c r="E342" s="8" t="s">
        <v>375</v>
      </c>
      <c r="F342" s="8" t="s">
        <v>758</v>
      </c>
    </row>
    <row r="343" spans="1:6" ht="60" x14ac:dyDescent="0.25">
      <c r="A343" s="8" t="s">
        <v>125</v>
      </c>
      <c r="B343" s="8" t="s">
        <v>134</v>
      </c>
      <c r="C343" s="8" t="str">
        <f>IFERROR(_xlfn.XLOOKUP(TRIM(B343),Lookup!$B$2:$B$1000,Lookup!$C$2:$C$1000),"")</f>
        <v>Debt</v>
      </c>
      <c r="D343" s="8" t="str">
        <f>IFERROR(INDEX('nav master'!$C:$C, MATCH(B343, 'nav master'!$B:$B, 0)), "")</f>
        <v>ULIF05601/08/13BondFunds101</v>
      </c>
      <c r="E343" s="8" t="s">
        <v>377</v>
      </c>
      <c r="F343" s="8" t="s">
        <v>759</v>
      </c>
    </row>
    <row r="344" spans="1:6" ht="60" x14ac:dyDescent="0.25">
      <c r="A344" s="8" t="s">
        <v>125</v>
      </c>
      <c r="B344" s="8" t="s">
        <v>134</v>
      </c>
      <c r="C344" s="8" t="str">
        <f>IFERROR(_xlfn.XLOOKUP(TRIM(B344),Lookup!$B$2:$B$1000,Lookup!$C$2:$C$1000),"")</f>
        <v>Debt</v>
      </c>
      <c r="D344" s="8" t="str">
        <f>IFERROR(INDEX('nav master'!$C:$C, MATCH(B344, 'nav master'!$B:$B, 0)), "")</f>
        <v>ULIF05601/08/13BondFunds101</v>
      </c>
      <c r="E344" s="8" t="s">
        <v>379</v>
      </c>
      <c r="F344" s="8" t="s">
        <v>760</v>
      </c>
    </row>
    <row r="345" spans="1:6" ht="60" x14ac:dyDescent="0.25">
      <c r="A345" s="8" t="s">
        <v>125</v>
      </c>
      <c r="B345" s="8" t="s">
        <v>134</v>
      </c>
      <c r="C345" s="8" t="str">
        <f>IFERROR(_xlfn.XLOOKUP(TRIM(B345),Lookup!$B$2:$B$1000,Lookup!$C$2:$C$1000),"")</f>
        <v>Debt</v>
      </c>
      <c r="D345" s="8" t="str">
        <f>IFERROR(INDEX('nav master'!$C:$C, MATCH(B345, 'nav master'!$B:$B, 0)), "")</f>
        <v>ULIF05601/08/13BondFunds101</v>
      </c>
      <c r="E345" s="8" t="s">
        <v>381</v>
      </c>
      <c r="F345" s="8" t="s">
        <v>761</v>
      </c>
    </row>
    <row r="346" spans="1:6" ht="60" x14ac:dyDescent="0.25">
      <c r="A346" s="8" t="s">
        <v>125</v>
      </c>
      <c r="B346" s="8" t="s">
        <v>134</v>
      </c>
      <c r="C346" s="8" t="str">
        <f>IFERROR(_xlfn.XLOOKUP(TRIM(B346),Lookup!$B$2:$B$1000,Lookup!$C$2:$C$1000),"")</f>
        <v>Debt</v>
      </c>
      <c r="D346" s="8" t="str">
        <f>IFERROR(INDEX('nav master'!$C:$C, MATCH(B346, 'nav master'!$B:$B, 0)), "")</f>
        <v>ULIF05601/08/13BondFunds101</v>
      </c>
      <c r="E346" s="8" t="s">
        <v>383</v>
      </c>
      <c r="F346" s="8" t="s">
        <v>762</v>
      </c>
    </row>
    <row r="347" spans="1:6" ht="60" x14ac:dyDescent="0.25">
      <c r="A347" s="8" t="s">
        <v>125</v>
      </c>
      <c r="B347" s="8" t="s">
        <v>134</v>
      </c>
      <c r="C347" s="8" t="str">
        <f>IFERROR(_xlfn.XLOOKUP(TRIM(B347),Lookup!$B$2:$B$1000,Lookup!$C$2:$C$1000),"")</f>
        <v>Debt</v>
      </c>
      <c r="D347" s="8" t="str">
        <f>IFERROR(INDEX('nav master'!$C:$C, MATCH(B347, 'nav master'!$B:$B, 0)), "")</f>
        <v>ULIF05601/08/13BondFunds101</v>
      </c>
      <c r="E347" s="8" t="s">
        <v>385</v>
      </c>
      <c r="F347" s="8" t="s">
        <v>763</v>
      </c>
    </row>
    <row r="348" spans="1:6" ht="60" x14ac:dyDescent="0.25">
      <c r="A348" s="8" t="s">
        <v>125</v>
      </c>
      <c r="B348" s="8" t="s">
        <v>134</v>
      </c>
      <c r="C348" s="8" t="str">
        <f>IFERROR(_xlfn.XLOOKUP(TRIM(B348),Lookup!$B$2:$B$1000,Lookup!$C$2:$C$1000),"")</f>
        <v>Debt</v>
      </c>
      <c r="D348" s="8" t="str">
        <f>IFERROR(INDEX('nav master'!$C:$C, MATCH(B348, 'nav master'!$B:$B, 0)), "")</f>
        <v>ULIF05601/08/13BondFunds101</v>
      </c>
      <c r="E348" s="8" t="s">
        <v>387</v>
      </c>
      <c r="F348" s="8" t="s">
        <v>764</v>
      </c>
    </row>
    <row r="349" spans="1:6" ht="60" x14ac:dyDescent="0.25">
      <c r="A349" s="8" t="s">
        <v>125</v>
      </c>
      <c r="B349" s="8" t="s">
        <v>134</v>
      </c>
      <c r="C349" s="8" t="str">
        <f>IFERROR(_xlfn.XLOOKUP(TRIM(B349),Lookup!$B$2:$B$1000,Lookup!$C$2:$C$1000),"")</f>
        <v>Debt</v>
      </c>
      <c r="D349" s="8" t="str">
        <f>IFERROR(INDEX('nav master'!$C:$C, MATCH(B349, 'nav master'!$B:$B, 0)), "")</f>
        <v>ULIF05601/08/13BondFunds101</v>
      </c>
      <c r="E349" s="8" t="s">
        <v>389</v>
      </c>
      <c r="F349" s="8" t="s">
        <v>749</v>
      </c>
    </row>
    <row r="350" spans="1:6" ht="60" x14ac:dyDescent="0.25">
      <c r="A350" s="8" t="s">
        <v>125</v>
      </c>
      <c r="B350" s="8" t="s">
        <v>134</v>
      </c>
      <c r="C350" s="8" t="str">
        <f>IFERROR(_xlfn.XLOOKUP(TRIM(B350),Lookup!$B$2:$B$1000,Lookup!$C$2:$C$1000),"")</f>
        <v>Debt</v>
      </c>
      <c r="D350" s="8" t="str">
        <f>IFERROR(INDEX('nav master'!$C:$C, MATCH(B350, 'nav master'!$B:$B, 0)), "")</f>
        <v>ULIF05601/08/13BondFunds101</v>
      </c>
      <c r="E350" s="8" t="s">
        <v>391</v>
      </c>
      <c r="F350" s="8" t="s">
        <v>765</v>
      </c>
    </row>
    <row r="351" spans="1:6" ht="60" x14ac:dyDescent="0.25">
      <c r="A351" s="8" t="s">
        <v>125</v>
      </c>
      <c r="B351" s="8" t="s">
        <v>134</v>
      </c>
      <c r="C351" s="8" t="str">
        <f>IFERROR(_xlfn.XLOOKUP(TRIM(B351),Lookup!$B$2:$B$1000,Lookup!$C$2:$C$1000),"")</f>
        <v>Debt</v>
      </c>
      <c r="D351" s="8" t="str">
        <f>IFERROR(INDEX('nav master'!$C:$C, MATCH(B351, 'nav master'!$B:$B, 0)), "")</f>
        <v>ULIF05601/08/13BondFunds101</v>
      </c>
      <c r="E351" s="8" t="s">
        <v>393</v>
      </c>
      <c r="F351" s="8" t="s">
        <v>766</v>
      </c>
    </row>
    <row r="352" spans="1:6" ht="60" x14ac:dyDescent="0.25">
      <c r="A352" s="8" t="s">
        <v>125</v>
      </c>
      <c r="B352" s="8" t="s">
        <v>134</v>
      </c>
      <c r="C352" s="8" t="str">
        <f>IFERROR(_xlfn.XLOOKUP(TRIM(B352),Lookup!$B$2:$B$1000,Lookup!$C$2:$C$1000),"")</f>
        <v>Debt</v>
      </c>
      <c r="D352" s="8" t="str">
        <f>IFERROR(INDEX('nav master'!$C:$C, MATCH(B352, 'nav master'!$B:$B, 0)), "")</f>
        <v>ULIF05601/08/13BondFunds101</v>
      </c>
      <c r="E352" s="8" t="s">
        <v>395</v>
      </c>
      <c r="F352" s="8" t="s">
        <v>767</v>
      </c>
    </row>
    <row r="353" spans="1:6" ht="60" x14ac:dyDescent="0.25">
      <c r="A353" s="8" t="s">
        <v>125</v>
      </c>
      <c r="B353" s="8" t="s">
        <v>134</v>
      </c>
      <c r="C353" s="8" t="str">
        <f>IFERROR(_xlfn.XLOOKUP(TRIM(B353),Lookup!$B$2:$B$1000,Lookup!$C$2:$C$1000),"")</f>
        <v>Debt</v>
      </c>
      <c r="D353" s="8" t="str">
        <f>IFERROR(INDEX('nav master'!$C:$C, MATCH(B353, 'nav master'!$B:$B, 0)), "")</f>
        <v>ULIF05601/08/13BondFunds101</v>
      </c>
      <c r="E353" s="8" t="s">
        <v>397</v>
      </c>
      <c r="F353" s="8" t="s">
        <v>768</v>
      </c>
    </row>
    <row r="354" spans="1:6" ht="60" x14ac:dyDescent="0.25">
      <c r="A354" s="8" t="s">
        <v>125</v>
      </c>
      <c r="B354" s="8" t="s">
        <v>134</v>
      </c>
      <c r="C354" s="8" t="str">
        <f>IFERROR(_xlfn.XLOOKUP(TRIM(B354),Lookup!$B$2:$B$1000,Lookup!$C$2:$C$1000),"")</f>
        <v>Debt</v>
      </c>
      <c r="D354" s="8" t="str">
        <f>IFERROR(INDEX('nav master'!$C:$C, MATCH(B354, 'nav master'!$B:$B, 0)), "")</f>
        <v>ULIF05601/08/13BondFunds101</v>
      </c>
      <c r="E354" s="8" t="s">
        <v>399</v>
      </c>
      <c r="F354" s="8" t="s">
        <v>769</v>
      </c>
    </row>
    <row r="355" spans="1:6" ht="60" x14ac:dyDescent="0.25">
      <c r="A355" s="8" t="s">
        <v>125</v>
      </c>
      <c r="B355" s="8" t="s">
        <v>134</v>
      </c>
      <c r="C355" s="8" t="str">
        <f>IFERROR(_xlfn.XLOOKUP(TRIM(B355),Lookup!$B$2:$B$1000,Lookup!$C$2:$C$1000),"")</f>
        <v>Debt</v>
      </c>
      <c r="D355" s="8" t="str">
        <f>IFERROR(INDEX('nav master'!$C:$C, MATCH(B355, 'nav master'!$B:$B, 0)), "")</f>
        <v>ULIF05601/08/13BondFunds101</v>
      </c>
      <c r="E355" s="8" t="s">
        <v>401</v>
      </c>
      <c r="F355" s="8" t="s">
        <v>770</v>
      </c>
    </row>
    <row r="356" spans="1:6" ht="60" x14ac:dyDescent="0.25">
      <c r="A356" s="8" t="s">
        <v>125</v>
      </c>
      <c r="B356" s="8" t="s">
        <v>134</v>
      </c>
      <c r="C356" s="8" t="str">
        <f>IFERROR(_xlfn.XLOOKUP(TRIM(B356),Lookup!$B$2:$B$1000,Lookup!$C$2:$C$1000),"")</f>
        <v>Debt</v>
      </c>
      <c r="D356" s="8" t="str">
        <f>IFERROR(INDEX('nav master'!$C:$C, MATCH(B356, 'nav master'!$B:$B, 0)), "")</f>
        <v>ULIF05601/08/13BondFunds101</v>
      </c>
      <c r="E356" s="8" t="s">
        <v>403</v>
      </c>
      <c r="F356" s="8" t="s">
        <v>771</v>
      </c>
    </row>
    <row r="357" spans="1:6" ht="60" x14ac:dyDescent="0.25">
      <c r="A357" s="8" t="s">
        <v>125</v>
      </c>
      <c r="B357" s="8" t="s">
        <v>134</v>
      </c>
      <c r="C357" s="8" t="str">
        <f>IFERROR(_xlfn.XLOOKUP(TRIM(B357),Lookup!$B$2:$B$1000,Lookup!$C$2:$C$1000),"")</f>
        <v>Debt</v>
      </c>
      <c r="D357" s="8" t="str">
        <f>IFERROR(INDEX('nav master'!$C:$C, MATCH(B357, 'nav master'!$B:$B, 0)), "")</f>
        <v>ULIF05601/08/13BondFunds101</v>
      </c>
      <c r="E357" s="8" t="s">
        <v>405</v>
      </c>
      <c r="F357" s="8" t="s">
        <v>772</v>
      </c>
    </row>
    <row r="358" spans="1:6" ht="60" x14ac:dyDescent="0.25">
      <c r="A358" s="8" t="s">
        <v>125</v>
      </c>
      <c r="B358" s="8" t="s">
        <v>134</v>
      </c>
      <c r="C358" s="8" t="str">
        <f>IFERROR(_xlfn.XLOOKUP(TRIM(B358),Lookup!$B$2:$B$1000,Lookup!$C$2:$C$1000),"")</f>
        <v>Debt</v>
      </c>
      <c r="D358" s="8" t="str">
        <f>IFERROR(INDEX('nav master'!$C:$C, MATCH(B358, 'nav master'!$B:$B, 0)), "")</f>
        <v>ULIF05601/08/13BondFunds101</v>
      </c>
      <c r="E358" s="8" t="s">
        <v>407</v>
      </c>
      <c r="F358" s="8" t="s">
        <v>773</v>
      </c>
    </row>
    <row r="359" spans="1:6" ht="60" x14ac:dyDescent="0.25">
      <c r="A359" s="8" t="s">
        <v>125</v>
      </c>
      <c r="B359" s="8" t="s">
        <v>134</v>
      </c>
      <c r="C359" s="8" t="str">
        <f>IFERROR(_xlfn.XLOOKUP(TRIM(B359),Lookup!$B$2:$B$1000,Lookup!$C$2:$C$1000),"")</f>
        <v>Debt</v>
      </c>
      <c r="D359" s="8" t="str">
        <f>IFERROR(INDEX('nav master'!$C:$C, MATCH(B359, 'nav master'!$B:$B, 0)), "")</f>
        <v>ULIF05601/08/13BondFunds101</v>
      </c>
      <c r="E359" s="8" t="s">
        <v>409</v>
      </c>
      <c r="F359" s="8" t="s">
        <v>774</v>
      </c>
    </row>
    <row r="360" spans="1:6" ht="60" x14ac:dyDescent="0.25">
      <c r="A360" s="8" t="s">
        <v>125</v>
      </c>
      <c r="B360" s="8" t="s">
        <v>134</v>
      </c>
      <c r="C360" s="8" t="str">
        <f>IFERROR(_xlfn.XLOOKUP(TRIM(B360),Lookup!$B$2:$B$1000,Lookup!$C$2:$C$1000),"")</f>
        <v>Debt</v>
      </c>
      <c r="D360" s="8" t="str">
        <f>IFERROR(INDEX('nav master'!$C:$C, MATCH(B360, 'nav master'!$B:$B, 0)), "")</f>
        <v>ULIF05601/08/13BondFunds101</v>
      </c>
      <c r="E360" s="8" t="s">
        <v>411</v>
      </c>
      <c r="F360" s="8" t="s">
        <v>775</v>
      </c>
    </row>
    <row r="361" spans="1:6" ht="60" x14ac:dyDescent="0.25">
      <c r="A361" s="8" t="s">
        <v>125</v>
      </c>
      <c r="B361" s="8" t="s">
        <v>134</v>
      </c>
      <c r="C361" s="8" t="str">
        <f>IFERROR(_xlfn.XLOOKUP(TRIM(B361),Lookup!$B$2:$B$1000,Lookup!$C$2:$C$1000),"")</f>
        <v>Debt</v>
      </c>
      <c r="D361" s="8" t="str">
        <f>IFERROR(INDEX('nav master'!$C:$C, MATCH(B361, 'nav master'!$B:$B, 0)), "")</f>
        <v>ULIF05601/08/13BondFunds101</v>
      </c>
      <c r="E361" s="8" t="s">
        <v>413</v>
      </c>
      <c r="F361" s="8" t="s">
        <v>711</v>
      </c>
    </row>
    <row r="362" spans="1:6" ht="60" x14ac:dyDescent="0.25">
      <c r="A362" s="8" t="s">
        <v>125</v>
      </c>
      <c r="B362" s="8" t="s">
        <v>134</v>
      </c>
      <c r="C362" s="8" t="str">
        <f>IFERROR(_xlfn.XLOOKUP(TRIM(B362),Lookup!$B$2:$B$1000,Lookup!$C$2:$C$1000),"")</f>
        <v>Debt</v>
      </c>
      <c r="D362" s="8" t="str">
        <f>IFERROR(INDEX('nav master'!$C:$C, MATCH(B362, 'nav master'!$B:$B, 0)), "")</f>
        <v>ULIF05601/08/13BondFunds101</v>
      </c>
      <c r="E362" s="8" t="s">
        <v>415</v>
      </c>
      <c r="F362" s="8" t="s">
        <v>776</v>
      </c>
    </row>
    <row r="363" spans="1:6" ht="60" x14ac:dyDescent="0.25">
      <c r="A363" s="8" t="s">
        <v>125</v>
      </c>
      <c r="B363" s="8" t="s">
        <v>134</v>
      </c>
      <c r="C363" s="8" t="str">
        <f>IFERROR(_xlfn.XLOOKUP(TRIM(B363),Lookup!$B$2:$B$1000,Lookup!$C$2:$C$1000),"")</f>
        <v>Debt</v>
      </c>
      <c r="D363" s="8" t="str">
        <f>IFERROR(INDEX('nav master'!$C:$C, MATCH(B363, 'nav master'!$B:$B, 0)), "")</f>
        <v>ULIF05601/08/13BondFunds101</v>
      </c>
      <c r="E363" s="8" t="s">
        <v>417</v>
      </c>
      <c r="F363" s="8" t="s">
        <v>777</v>
      </c>
    </row>
    <row r="364" spans="1:6" ht="60" x14ac:dyDescent="0.25">
      <c r="A364" s="8" t="s">
        <v>125</v>
      </c>
      <c r="B364" s="8" t="s">
        <v>134</v>
      </c>
      <c r="C364" s="8" t="str">
        <f>IFERROR(_xlfn.XLOOKUP(TRIM(B364),Lookup!$B$2:$B$1000,Lookup!$C$2:$C$1000),"")</f>
        <v>Debt</v>
      </c>
      <c r="D364" s="8" t="str">
        <f>IFERROR(INDEX('nav master'!$C:$C, MATCH(B364, 'nav master'!$B:$B, 0)), "")</f>
        <v>ULIF05601/08/13BondFunds101</v>
      </c>
      <c r="E364" s="8" t="s">
        <v>419</v>
      </c>
      <c r="F364" s="8" t="s">
        <v>778</v>
      </c>
    </row>
    <row r="365" spans="1:6" ht="60" x14ac:dyDescent="0.25">
      <c r="A365" s="8" t="s">
        <v>125</v>
      </c>
      <c r="B365" s="8" t="s">
        <v>134</v>
      </c>
      <c r="C365" s="8" t="str">
        <f>IFERROR(_xlfn.XLOOKUP(TRIM(B365),Lookup!$B$2:$B$1000,Lookup!$C$2:$C$1000),"")</f>
        <v>Debt</v>
      </c>
      <c r="D365" s="8" t="str">
        <f>IFERROR(INDEX('nav master'!$C:$C, MATCH(B365, 'nav master'!$B:$B, 0)), "")</f>
        <v>ULIF05601/08/13BondFunds101</v>
      </c>
      <c r="E365" s="8" t="s">
        <v>421</v>
      </c>
      <c r="F365" s="8" t="s">
        <v>779</v>
      </c>
    </row>
    <row r="366" spans="1:6" ht="60" x14ac:dyDescent="0.25">
      <c r="A366" s="8" t="s">
        <v>125</v>
      </c>
      <c r="B366" s="8" t="s">
        <v>134</v>
      </c>
      <c r="C366" s="8" t="str">
        <f>IFERROR(_xlfn.XLOOKUP(TRIM(B366),Lookup!$B$2:$B$1000,Lookup!$C$2:$C$1000),"")</f>
        <v>Debt</v>
      </c>
      <c r="D366" s="8" t="str">
        <f>IFERROR(INDEX('nav master'!$C:$C, MATCH(B366, 'nav master'!$B:$B, 0)), "")</f>
        <v>ULIF05601/08/13BondFunds101</v>
      </c>
      <c r="E366" s="8" t="s">
        <v>423</v>
      </c>
      <c r="F366" s="8" t="s">
        <v>780</v>
      </c>
    </row>
    <row r="367" spans="1:6" ht="60" x14ac:dyDescent="0.25">
      <c r="A367" s="8" t="s">
        <v>125</v>
      </c>
      <c r="B367" s="8" t="s">
        <v>134</v>
      </c>
      <c r="C367" s="8" t="str">
        <f>IFERROR(_xlfn.XLOOKUP(TRIM(B367),Lookup!$B$2:$B$1000,Lookup!$C$2:$C$1000),"")</f>
        <v>Debt</v>
      </c>
      <c r="D367" s="8" t="str">
        <f>IFERROR(INDEX('nav master'!$C:$C, MATCH(B367, 'nav master'!$B:$B, 0)), "")</f>
        <v>ULIF05601/08/13BondFunds101</v>
      </c>
      <c r="E367" s="8" t="s">
        <v>425</v>
      </c>
      <c r="F367" s="8" t="s">
        <v>781</v>
      </c>
    </row>
    <row r="368" spans="1:6" ht="60" x14ac:dyDescent="0.25">
      <c r="A368" s="8" t="s">
        <v>125</v>
      </c>
      <c r="B368" s="8" t="s">
        <v>134</v>
      </c>
      <c r="C368" s="8" t="str">
        <f>IFERROR(_xlfn.XLOOKUP(TRIM(B368),Lookup!$B$2:$B$1000,Lookup!$C$2:$C$1000),"")</f>
        <v>Debt</v>
      </c>
      <c r="D368" s="8" t="str">
        <f>IFERROR(INDEX('nav master'!$C:$C, MATCH(B368, 'nav master'!$B:$B, 0)), "")</f>
        <v>ULIF05601/08/13BondFunds101</v>
      </c>
      <c r="E368" s="8" t="s">
        <v>427</v>
      </c>
      <c r="F368" s="8" t="s">
        <v>782</v>
      </c>
    </row>
    <row r="369" spans="1:6" ht="60" x14ac:dyDescent="0.25">
      <c r="A369" s="8" t="s">
        <v>125</v>
      </c>
      <c r="B369" s="8" t="s">
        <v>134</v>
      </c>
      <c r="C369" s="8" t="str">
        <f>IFERROR(_xlfn.XLOOKUP(TRIM(B369),Lookup!$B$2:$B$1000,Lookup!$C$2:$C$1000),"")</f>
        <v>Debt</v>
      </c>
      <c r="D369" s="8" t="str">
        <f>IFERROR(INDEX('nav master'!$C:$C, MATCH(B369, 'nav master'!$B:$B, 0)), "")</f>
        <v>ULIF05601/08/13BondFunds101</v>
      </c>
      <c r="E369" s="8" t="s">
        <v>429</v>
      </c>
      <c r="F369" s="8" t="s">
        <v>783</v>
      </c>
    </row>
    <row r="370" spans="1:6" ht="60" x14ac:dyDescent="0.25">
      <c r="A370" s="8" t="s">
        <v>125</v>
      </c>
      <c r="B370" s="8" t="s">
        <v>134</v>
      </c>
      <c r="C370" s="8" t="str">
        <f>IFERROR(_xlfn.XLOOKUP(TRIM(B370),Lookup!$B$2:$B$1000,Lookup!$C$2:$C$1000),"")</f>
        <v>Debt</v>
      </c>
      <c r="D370" s="8" t="str">
        <f>IFERROR(INDEX('nav master'!$C:$C, MATCH(B370, 'nav master'!$B:$B, 0)), "")</f>
        <v>ULIF05601/08/13BondFunds101</v>
      </c>
      <c r="E370" s="8" t="s">
        <v>431</v>
      </c>
      <c r="F370" s="8" t="s">
        <v>668</v>
      </c>
    </row>
    <row r="371" spans="1:6" ht="60" x14ac:dyDescent="0.25">
      <c r="A371" s="8" t="s">
        <v>125</v>
      </c>
      <c r="B371" s="8" t="s">
        <v>134</v>
      </c>
      <c r="C371" s="8" t="str">
        <f>IFERROR(_xlfn.XLOOKUP(TRIM(B371),Lookup!$B$2:$B$1000,Lookup!$C$2:$C$1000),"")</f>
        <v>Debt</v>
      </c>
      <c r="D371" s="8" t="str">
        <f>IFERROR(INDEX('nav master'!$C:$C, MATCH(B371, 'nav master'!$B:$B, 0)), "")</f>
        <v>ULIF05601/08/13BondFunds101</v>
      </c>
      <c r="E371" s="8" t="s">
        <v>433</v>
      </c>
      <c r="F371" s="8" t="s">
        <v>784</v>
      </c>
    </row>
    <row r="372" spans="1:6" ht="60" x14ac:dyDescent="0.25">
      <c r="A372" s="8" t="s">
        <v>125</v>
      </c>
      <c r="B372" s="8" t="s">
        <v>134</v>
      </c>
      <c r="C372" s="8" t="str">
        <f>IFERROR(_xlfn.XLOOKUP(TRIM(B372),Lookup!$B$2:$B$1000,Lookup!$C$2:$C$1000),"")</f>
        <v>Debt</v>
      </c>
      <c r="D372" s="8" t="str">
        <f>IFERROR(INDEX('nav master'!$C:$C, MATCH(B372, 'nav master'!$B:$B, 0)), "")</f>
        <v>ULIF05601/08/13BondFunds101</v>
      </c>
      <c r="E372" s="8" t="s">
        <v>435</v>
      </c>
      <c r="F372" s="8" t="s">
        <v>785</v>
      </c>
    </row>
    <row r="373" spans="1:6" ht="60" x14ac:dyDescent="0.25">
      <c r="A373" s="8" t="s">
        <v>125</v>
      </c>
      <c r="B373" s="8" t="s">
        <v>134</v>
      </c>
      <c r="C373" s="8" t="str">
        <f>IFERROR(_xlfn.XLOOKUP(TRIM(B373),Lookup!$B$2:$B$1000,Lookup!$C$2:$C$1000),"")</f>
        <v>Debt</v>
      </c>
      <c r="D373" s="8" t="str">
        <f>IFERROR(INDEX('nav master'!$C:$C, MATCH(B373, 'nav master'!$B:$B, 0)), "")</f>
        <v>ULIF05601/08/13BondFunds101</v>
      </c>
      <c r="E373" s="8" t="s">
        <v>437</v>
      </c>
      <c r="F373" s="8" t="s">
        <v>786</v>
      </c>
    </row>
    <row r="374" spans="1:6" ht="60" x14ac:dyDescent="0.25">
      <c r="A374" s="8" t="s">
        <v>125</v>
      </c>
      <c r="B374" s="8" t="s">
        <v>134</v>
      </c>
      <c r="C374" s="8" t="str">
        <f>IFERROR(_xlfn.XLOOKUP(TRIM(B374),Lookup!$B$2:$B$1000,Lookup!$C$2:$C$1000),"")</f>
        <v>Debt</v>
      </c>
      <c r="D374" s="8" t="str">
        <f>IFERROR(INDEX('nav master'!$C:$C, MATCH(B374, 'nav master'!$B:$B, 0)), "")</f>
        <v>ULIF05601/08/13BondFunds101</v>
      </c>
      <c r="E374" s="8" t="s">
        <v>439</v>
      </c>
      <c r="F374" s="8" t="s">
        <v>787</v>
      </c>
    </row>
    <row r="375" spans="1:6" ht="60" x14ac:dyDescent="0.25">
      <c r="A375" s="8" t="s">
        <v>125</v>
      </c>
      <c r="B375" s="8" t="s">
        <v>134</v>
      </c>
      <c r="C375" s="8" t="str">
        <f>IFERROR(_xlfn.XLOOKUP(TRIM(B375),Lookup!$B$2:$B$1000,Lookup!$C$2:$C$1000),"")</f>
        <v>Debt</v>
      </c>
      <c r="D375" s="8" t="str">
        <f>IFERROR(INDEX('nav master'!$C:$C, MATCH(B375, 'nav master'!$B:$B, 0)), "")</f>
        <v>ULIF05601/08/13BondFunds101</v>
      </c>
      <c r="E375" s="8" t="s">
        <v>441</v>
      </c>
      <c r="F375" s="8" t="s">
        <v>788</v>
      </c>
    </row>
    <row r="376" spans="1:6" ht="60" x14ac:dyDescent="0.25">
      <c r="A376" s="8" t="s">
        <v>125</v>
      </c>
      <c r="B376" s="8" t="s">
        <v>134</v>
      </c>
      <c r="C376" s="8" t="str">
        <f>IFERROR(_xlfn.XLOOKUP(TRIM(B376),Lookup!$B$2:$B$1000,Lookup!$C$2:$C$1000),"")</f>
        <v>Debt</v>
      </c>
      <c r="D376" s="8" t="str">
        <f>IFERROR(INDEX('nav master'!$C:$C, MATCH(B376, 'nav master'!$B:$B, 0)), "")</f>
        <v>ULIF05601/08/13BondFunds101</v>
      </c>
      <c r="E376" s="8" t="s">
        <v>443</v>
      </c>
      <c r="F376" s="8" t="s">
        <v>789</v>
      </c>
    </row>
    <row r="377" spans="1:6" ht="60" x14ac:dyDescent="0.25">
      <c r="A377" s="8" t="s">
        <v>125</v>
      </c>
      <c r="B377" s="8" t="s">
        <v>134</v>
      </c>
      <c r="C377" s="8" t="str">
        <f>IFERROR(_xlfn.XLOOKUP(TRIM(B377),Lookup!$B$2:$B$1000,Lookup!$C$2:$C$1000),"")</f>
        <v>Debt</v>
      </c>
      <c r="D377" s="8" t="str">
        <f>IFERROR(INDEX('nav master'!$C:$C, MATCH(B377, 'nav master'!$B:$B, 0)), "")</f>
        <v>ULIF05601/08/13BondFunds101</v>
      </c>
      <c r="E377" s="8" t="s">
        <v>445</v>
      </c>
      <c r="F377" s="8" t="s">
        <v>790</v>
      </c>
    </row>
    <row r="378" spans="1:6" ht="60" x14ac:dyDescent="0.25">
      <c r="A378" s="8" t="s">
        <v>125</v>
      </c>
      <c r="B378" s="8" t="s">
        <v>134</v>
      </c>
      <c r="C378" s="8" t="str">
        <f>IFERROR(_xlfn.XLOOKUP(TRIM(B378),Lookup!$B$2:$B$1000,Lookup!$C$2:$C$1000),"")</f>
        <v>Debt</v>
      </c>
      <c r="D378" s="8" t="str">
        <f>IFERROR(INDEX('nav master'!$C:$C, MATCH(B378, 'nav master'!$B:$B, 0)), "")</f>
        <v>ULIF05601/08/13BondFunds101</v>
      </c>
      <c r="E378" s="8" t="s">
        <v>446</v>
      </c>
      <c r="F378" s="8" t="s">
        <v>791</v>
      </c>
    </row>
    <row r="379" spans="1:6" ht="60" x14ac:dyDescent="0.25">
      <c r="A379" s="8" t="s">
        <v>125</v>
      </c>
      <c r="B379" s="8" t="s">
        <v>134</v>
      </c>
      <c r="C379" s="8" t="str">
        <f>IFERROR(_xlfn.XLOOKUP(TRIM(B379),Lookup!$B$2:$B$1000,Lookup!$C$2:$C$1000),"")</f>
        <v>Debt</v>
      </c>
      <c r="D379" s="8" t="str">
        <f>IFERROR(INDEX('nav master'!$C:$C, MATCH(B379, 'nav master'!$B:$B, 0)), "")</f>
        <v>ULIF05601/08/13BondFunds101</v>
      </c>
      <c r="E379" s="8" t="s">
        <v>448</v>
      </c>
      <c r="F379" s="8" t="s">
        <v>792</v>
      </c>
    </row>
    <row r="380" spans="1:6" ht="60" x14ac:dyDescent="0.25">
      <c r="A380" s="8" t="s">
        <v>125</v>
      </c>
      <c r="B380" s="8" t="s">
        <v>134</v>
      </c>
      <c r="C380" s="8" t="str">
        <f>IFERROR(_xlfn.XLOOKUP(TRIM(B380),Lookup!$B$2:$B$1000,Lookup!$C$2:$C$1000),"")</f>
        <v>Debt</v>
      </c>
      <c r="D380" s="8" t="str">
        <f>IFERROR(INDEX('nav master'!$C:$C, MATCH(B380, 'nav master'!$B:$B, 0)), "")</f>
        <v>ULIF05601/08/13BondFunds101</v>
      </c>
      <c r="E380" s="8" t="s">
        <v>450</v>
      </c>
      <c r="F380" s="8" t="s">
        <v>793</v>
      </c>
    </row>
    <row r="381" spans="1:6" ht="60" x14ac:dyDescent="0.25">
      <c r="A381" s="8" t="s">
        <v>125</v>
      </c>
      <c r="B381" s="8" t="s">
        <v>134</v>
      </c>
      <c r="C381" s="8" t="str">
        <f>IFERROR(_xlfn.XLOOKUP(TRIM(B381),Lookup!$B$2:$B$1000,Lookup!$C$2:$C$1000),"")</f>
        <v>Debt</v>
      </c>
      <c r="D381" s="8" t="str">
        <f>IFERROR(INDEX('nav master'!$C:$C, MATCH(B381, 'nav master'!$B:$B, 0)), "")</f>
        <v>ULIF05601/08/13BondFunds101</v>
      </c>
      <c r="E381" s="8" t="s">
        <v>452</v>
      </c>
      <c r="F381" s="8" t="s">
        <v>794</v>
      </c>
    </row>
    <row r="382" spans="1:6" ht="60" x14ac:dyDescent="0.25">
      <c r="A382" s="8" t="s">
        <v>125</v>
      </c>
      <c r="B382" s="8" t="s">
        <v>134</v>
      </c>
      <c r="C382" s="8" t="str">
        <f>IFERROR(_xlfn.XLOOKUP(TRIM(B382),Lookup!$B$2:$B$1000,Lookup!$C$2:$C$1000),"")</f>
        <v>Debt</v>
      </c>
      <c r="D382" s="8" t="str">
        <f>IFERROR(INDEX('nav master'!$C:$C, MATCH(B382, 'nav master'!$B:$B, 0)), "")</f>
        <v>ULIF05601/08/13BondFunds101</v>
      </c>
      <c r="E382" s="8" t="s">
        <v>454</v>
      </c>
      <c r="F382" s="8" t="s">
        <v>795</v>
      </c>
    </row>
    <row r="383" spans="1:6" ht="60" x14ac:dyDescent="0.25">
      <c r="A383" s="8" t="s">
        <v>125</v>
      </c>
      <c r="B383" s="8" t="s">
        <v>134</v>
      </c>
      <c r="C383" s="8" t="str">
        <f>IFERROR(_xlfn.XLOOKUP(TRIM(B383),Lookup!$B$2:$B$1000,Lookup!$C$2:$C$1000),"")</f>
        <v>Debt</v>
      </c>
      <c r="D383" s="8" t="str">
        <f>IFERROR(INDEX('nav master'!$C:$C, MATCH(B383, 'nav master'!$B:$B, 0)), "")</f>
        <v>ULIF05601/08/13BondFunds101</v>
      </c>
      <c r="E383" s="8" t="s">
        <v>456</v>
      </c>
      <c r="F383" s="8" t="s">
        <v>796</v>
      </c>
    </row>
    <row r="384" spans="1:6" ht="60" x14ac:dyDescent="0.25">
      <c r="A384" s="8" t="s">
        <v>125</v>
      </c>
      <c r="B384" s="8" t="s">
        <v>134</v>
      </c>
      <c r="C384" s="8" t="str">
        <f>IFERROR(_xlfn.XLOOKUP(TRIM(B384),Lookup!$B$2:$B$1000,Lookup!$C$2:$C$1000),"")</f>
        <v>Debt</v>
      </c>
      <c r="D384" s="8" t="str">
        <f>IFERROR(INDEX('nav master'!$C:$C, MATCH(B384, 'nav master'!$B:$B, 0)), "")</f>
        <v>ULIF05601/08/13BondFunds101</v>
      </c>
      <c r="E384" s="8" t="s">
        <v>458</v>
      </c>
      <c r="F384" s="8" t="s">
        <v>797</v>
      </c>
    </row>
    <row r="385" spans="1:6" ht="60" x14ac:dyDescent="0.25">
      <c r="A385" s="8" t="s">
        <v>125</v>
      </c>
      <c r="B385" s="8" t="s">
        <v>134</v>
      </c>
      <c r="C385" s="8" t="str">
        <f>IFERROR(_xlfn.XLOOKUP(TRIM(B385),Lookup!$B$2:$B$1000,Lookup!$C$2:$C$1000),"")</f>
        <v>Debt</v>
      </c>
      <c r="D385" s="8" t="str">
        <f>IFERROR(INDEX('nav master'!$C:$C, MATCH(B385, 'nav master'!$B:$B, 0)), "")</f>
        <v>ULIF05601/08/13BondFunds101</v>
      </c>
      <c r="E385" s="8" t="s">
        <v>460</v>
      </c>
      <c r="F385" s="8" t="s">
        <v>798</v>
      </c>
    </row>
    <row r="386" spans="1:6" ht="60" x14ac:dyDescent="0.25">
      <c r="A386" s="8" t="s">
        <v>125</v>
      </c>
      <c r="B386" s="8" t="s">
        <v>134</v>
      </c>
      <c r="C386" s="8" t="str">
        <f>IFERROR(_xlfn.XLOOKUP(TRIM(B386),Lookup!$B$2:$B$1000,Lookup!$C$2:$C$1000),"")</f>
        <v>Debt</v>
      </c>
      <c r="D386" s="8" t="str">
        <f>IFERROR(INDEX('nav master'!$C:$C, MATCH(B386, 'nav master'!$B:$B, 0)), "")</f>
        <v>ULIF05601/08/13BondFunds101</v>
      </c>
      <c r="E386" s="8" t="s">
        <v>462</v>
      </c>
      <c r="F386" s="8" t="s">
        <v>799</v>
      </c>
    </row>
    <row r="387" spans="1:6" ht="60" x14ac:dyDescent="0.25">
      <c r="A387" s="8" t="s">
        <v>125</v>
      </c>
      <c r="B387" s="8" t="s">
        <v>134</v>
      </c>
      <c r="C387" s="8" t="str">
        <f>IFERROR(_xlfn.XLOOKUP(TRIM(B387),Lookup!$B$2:$B$1000,Lookup!$C$2:$C$1000),"")</f>
        <v>Debt</v>
      </c>
      <c r="D387" s="8" t="str">
        <f>IFERROR(INDEX('nav master'!$C:$C, MATCH(B387, 'nav master'!$B:$B, 0)), "")</f>
        <v>ULIF05601/08/13BondFunds101</v>
      </c>
      <c r="E387" s="8" t="s">
        <v>464</v>
      </c>
      <c r="F387" s="8" t="s">
        <v>800</v>
      </c>
    </row>
    <row r="388" spans="1:6" ht="60" x14ac:dyDescent="0.25">
      <c r="A388" s="8" t="s">
        <v>125</v>
      </c>
      <c r="B388" s="8" t="s">
        <v>134</v>
      </c>
      <c r="C388" s="8" t="str">
        <f>IFERROR(_xlfn.XLOOKUP(TRIM(B388),Lookup!$B$2:$B$1000,Lookup!$C$2:$C$1000),"")</f>
        <v>Debt</v>
      </c>
      <c r="D388" s="8" t="str">
        <f>IFERROR(INDEX('nav master'!$C:$C, MATCH(B388, 'nav master'!$B:$B, 0)), "")</f>
        <v>ULIF05601/08/13BondFunds101</v>
      </c>
      <c r="E388" s="8" t="s">
        <v>466</v>
      </c>
      <c r="F388" s="8" t="s">
        <v>801</v>
      </c>
    </row>
    <row r="389" spans="1:6" ht="60" x14ac:dyDescent="0.25">
      <c r="A389" s="8" t="s">
        <v>125</v>
      </c>
      <c r="B389" s="8" t="s">
        <v>134</v>
      </c>
      <c r="C389" s="8" t="str">
        <f>IFERROR(_xlfn.XLOOKUP(TRIM(B389),Lookup!$B$2:$B$1000,Lookup!$C$2:$C$1000),"")</f>
        <v>Debt</v>
      </c>
      <c r="D389" s="8" t="str">
        <f>IFERROR(INDEX('nav master'!$C:$C, MATCH(B389, 'nav master'!$B:$B, 0)), "")</f>
        <v>ULIF05601/08/13BondFunds101</v>
      </c>
      <c r="E389" s="8" t="s">
        <v>468</v>
      </c>
      <c r="F389" s="8" t="s">
        <v>802</v>
      </c>
    </row>
    <row r="390" spans="1:6" ht="60" x14ac:dyDescent="0.25">
      <c r="A390" s="8" t="s">
        <v>125</v>
      </c>
      <c r="B390" s="8" t="s">
        <v>134</v>
      </c>
      <c r="C390" s="8" t="str">
        <f>IFERROR(_xlfn.XLOOKUP(TRIM(B390),Lookup!$B$2:$B$1000,Lookup!$C$2:$C$1000),"")</f>
        <v>Debt</v>
      </c>
      <c r="D390" s="8" t="str">
        <f>IFERROR(INDEX('nav master'!$C:$C, MATCH(B390, 'nav master'!$B:$B, 0)), "")</f>
        <v>ULIF05601/08/13BondFunds101</v>
      </c>
      <c r="E390" s="8" t="s">
        <v>470</v>
      </c>
      <c r="F390" s="8" t="s">
        <v>803</v>
      </c>
    </row>
    <row r="391" spans="1:6" ht="60" x14ac:dyDescent="0.25">
      <c r="A391" s="8" t="s">
        <v>125</v>
      </c>
      <c r="B391" s="8" t="s">
        <v>134</v>
      </c>
      <c r="C391" s="8" t="str">
        <f>IFERROR(_xlfn.XLOOKUP(TRIM(B391),Lookup!$B$2:$B$1000,Lookup!$C$2:$C$1000),"")</f>
        <v>Debt</v>
      </c>
      <c r="D391" s="8" t="str">
        <f>IFERROR(INDEX('nav master'!$C:$C, MATCH(B391, 'nav master'!$B:$B, 0)), "")</f>
        <v>ULIF05601/08/13BondFunds101</v>
      </c>
      <c r="E391" s="8" t="s">
        <v>472</v>
      </c>
      <c r="F391" s="8" t="s">
        <v>804</v>
      </c>
    </row>
    <row r="392" spans="1:6" ht="60" x14ac:dyDescent="0.25">
      <c r="A392" s="8" t="s">
        <v>125</v>
      </c>
      <c r="B392" s="8" t="s">
        <v>134</v>
      </c>
      <c r="C392" s="8" t="str">
        <f>IFERROR(_xlfn.XLOOKUP(TRIM(B392),Lookup!$B$2:$B$1000,Lookup!$C$2:$C$1000),"")</f>
        <v>Debt</v>
      </c>
      <c r="D392" s="8" t="str">
        <f>IFERROR(INDEX('nav master'!$C:$C, MATCH(B392, 'nav master'!$B:$B, 0)), "")</f>
        <v>ULIF05601/08/13BondFunds101</v>
      </c>
      <c r="E392" s="8" t="s">
        <v>474</v>
      </c>
      <c r="F392" s="8" t="s">
        <v>805</v>
      </c>
    </row>
    <row r="393" spans="1:6" ht="60" x14ac:dyDescent="0.25">
      <c r="A393" s="8" t="s">
        <v>125</v>
      </c>
      <c r="B393" s="8" t="s">
        <v>134</v>
      </c>
      <c r="C393" s="8" t="str">
        <f>IFERROR(_xlfn.XLOOKUP(TRIM(B393),Lookup!$B$2:$B$1000,Lookup!$C$2:$C$1000),"")</f>
        <v>Debt</v>
      </c>
      <c r="D393" s="8" t="str">
        <f>IFERROR(INDEX('nav master'!$C:$C, MATCH(B393, 'nav master'!$B:$B, 0)), "")</f>
        <v>ULIF05601/08/13BondFunds101</v>
      </c>
      <c r="E393" s="8" t="s">
        <v>476</v>
      </c>
      <c r="F393" s="8" t="s">
        <v>806</v>
      </c>
    </row>
    <row r="394" spans="1:6" ht="60" x14ac:dyDescent="0.25">
      <c r="A394" s="8" t="s">
        <v>125</v>
      </c>
      <c r="B394" s="8" t="s">
        <v>134</v>
      </c>
      <c r="C394" s="8" t="str">
        <f>IFERROR(_xlfn.XLOOKUP(TRIM(B394),Lookup!$B$2:$B$1000,Lookup!$C$2:$C$1000),"")</f>
        <v>Debt</v>
      </c>
      <c r="D394" s="8" t="str">
        <f>IFERROR(INDEX('nav master'!$C:$C, MATCH(B394, 'nav master'!$B:$B, 0)), "")</f>
        <v>ULIF05601/08/13BondFunds101</v>
      </c>
      <c r="E394" s="8" t="s">
        <v>478</v>
      </c>
      <c r="F394" s="8" t="s">
        <v>807</v>
      </c>
    </row>
    <row r="395" spans="1:6" ht="60" x14ac:dyDescent="0.25">
      <c r="A395" s="8" t="s">
        <v>125</v>
      </c>
      <c r="B395" s="8" t="s">
        <v>134</v>
      </c>
      <c r="C395" s="8" t="str">
        <f>IFERROR(_xlfn.XLOOKUP(TRIM(B395),Lookup!$B$2:$B$1000,Lookup!$C$2:$C$1000),"")</f>
        <v>Debt</v>
      </c>
      <c r="D395" s="8" t="str">
        <f>IFERROR(INDEX('nav master'!$C:$C, MATCH(B395, 'nav master'!$B:$B, 0)), "")</f>
        <v>ULIF05601/08/13BondFunds101</v>
      </c>
      <c r="E395" s="8" t="s">
        <v>480</v>
      </c>
      <c r="F395" s="8" t="s">
        <v>808</v>
      </c>
    </row>
    <row r="396" spans="1:6" ht="60" x14ac:dyDescent="0.25">
      <c r="A396" s="8" t="s">
        <v>125</v>
      </c>
      <c r="B396" s="8" t="s">
        <v>134</v>
      </c>
      <c r="C396" s="8" t="str">
        <f>IFERROR(_xlfn.XLOOKUP(TRIM(B396),Lookup!$B$2:$B$1000,Lookup!$C$2:$C$1000),"")</f>
        <v>Debt</v>
      </c>
      <c r="D396" s="8" t="str">
        <f>IFERROR(INDEX('nav master'!$C:$C, MATCH(B396, 'nav master'!$B:$B, 0)), "")</f>
        <v>ULIF05601/08/13BondFunds101</v>
      </c>
      <c r="E396" s="8" t="s">
        <v>482</v>
      </c>
      <c r="F396" s="8" t="s">
        <v>809</v>
      </c>
    </row>
    <row r="397" spans="1:6" ht="60" x14ac:dyDescent="0.25">
      <c r="A397" s="8" t="s">
        <v>125</v>
      </c>
      <c r="B397" s="8" t="s">
        <v>134</v>
      </c>
      <c r="C397" s="8" t="str">
        <f>IFERROR(_xlfn.XLOOKUP(TRIM(B397),Lookup!$B$2:$B$1000,Lookup!$C$2:$C$1000),"")</f>
        <v>Debt</v>
      </c>
      <c r="D397" s="8" t="str">
        <f>IFERROR(INDEX('nav master'!$C:$C, MATCH(B397, 'nav master'!$B:$B, 0)), "")</f>
        <v>ULIF05601/08/13BondFunds101</v>
      </c>
      <c r="E397" s="8" t="s">
        <v>484</v>
      </c>
      <c r="F397" s="8" t="s">
        <v>810</v>
      </c>
    </row>
    <row r="398" spans="1:6" ht="60" x14ac:dyDescent="0.25">
      <c r="A398" s="8" t="s">
        <v>125</v>
      </c>
      <c r="B398" s="8" t="s">
        <v>134</v>
      </c>
      <c r="C398" s="8" t="str">
        <f>IFERROR(_xlfn.XLOOKUP(TRIM(B398),Lookup!$B$2:$B$1000,Lookup!$C$2:$C$1000),"")</f>
        <v>Debt</v>
      </c>
      <c r="D398" s="8" t="str">
        <f>IFERROR(INDEX('nav master'!$C:$C, MATCH(B398, 'nav master'!$B:$B, 0)), "")</f>
        <v>ULIF05601/08/13BondFunds101</v>
      </c>
      <c r="E398" s="8" t="s">
        <v>486</v>
      </c>
      <c r="F398" s="8" t="s">
        <v>811</v>
      </c>
    </row>
    <row r="399" spans="1:6" ht="60" x14ac:dyDescent="0.25">
      <c r="A399" s="8" t="s">
        <v>125</v>
      </c>
      <c r="B399" s="8" t="s">
        <v>134</v>
      </c>
      <c r="C399" s="8" t="str">
        <f>IFERROR(_xlfn.XLOOKUP(TRIM(B399),Lookup!$B$2:$B$1000,Lookup!$C$2:$C$1000),"")</f>
        <v>Debt</v>
      </c>
      <c r="D399" s="8" t="str">
        <f>IFERROR(INDEX('nav master'!$C:$C, MATCH(B399, 'nav master'!$B:$B, 0)), "")</f>
        <v>ULIF05601/08/13BondFunds101</v>
      </c>
      <c r="E399" s="8" t="s">
        <v>488</v>
      </c>
      <c r="F399" s="8" t="s">
        <v>812</v>
      </c>
    </row>
    <row r="400" spans="1:6" ht="60" x14ac:dyDescent="0.25">
      <c r="A400" s="8" t="s">
        <v>125</v>
      </c>
      <c r="B400" s="8" t="s">
        <v>134</v>
      </c>
      <c r="C400" s="8" t="str">
        <f>IFERROR(_xlfn.XLOOKUP(TRIM(B400),Lookup!$B$2:$B$1000,Lookup!$C$2:$C$1000),"")</f>
        <v>Debt</v>
      </c>
      <c r="D400" s="8" t="str">
        <f>IFERROR(INDEX('nav master'!$C:$C, MATCH(B400, 'nav master'!$B:$B, 0)), "")</f>
        <v>ULIF05601/08/13BondFunds101</v>
      </c>
      <c r="E400" s="8" t="s">
        <v>490</v>
      </c>
      <c r="F400" s="8" t="s">
        <v>813</v>
      </c>
    </row>
    <row r="401" spans="1:6" ht="60" x14ac:dyDescent="0.25">
      <c r="A401" s="8" t="s">
        <v>125</v>
      </c>
      <c r="B401" s="8" t="s">
        <v>134</v>
      </c>
      <c r="C401" s="8" t="str">
        <f>IFERROR(_xlfn.XLOOKUP(TRIM(B401),Lookup!$B$2:$B$1000,Lookup!$C$2:$C$1000),"")</f>
        <v>Debt</v>
      </c>
      <c r="D401" s="8" t="str">
        <f>IFERROR(INDEX('nav master'!$C:$C, MATCH(B401, 'nav master'!$B:$B, 0)), "")</f>
        <v>ULIF05601/08/13BondFunds101</v>
      </c>
      <c r="E401" s="8" t="s">
        <v>492</v>
      </c>
      <c r="F401" s="8" t="s">
        <v>814</v>
      </c>
    </row>
    <row r="402" spans="1:6" ht="60" x14ac:dyDescent="0.25">
      <c r="A402" s="8" t="s">
        <v>125</v>
      </c>
      <c r="B402" s="8" t="s">
        <v>134</v>
      </c>
      <c r="C402" s="8" t="str">
        <f>IFERROR(_xlfn.XLOOKUP(TRIM(B402),Lookup!$B$2:$B$1000,Lookup!$C$2:$C$1000),"")</f>
        <v>Debt</v>
      </c>
      <c r="D402" s="8" t="str">
        <f>IFERROR(INDEX('nav master'!$C:$C, MATCH(B402, 'nav master'!$B:$B, 0)), "")</f>
        <v>ULIF05601/08/13BondFunds101</v>
      </c>
      <c r="E402" s="8" t="s">
        <v>494</v>
      </c>
      <c r="F402" s="8" t="s">
        <v>815</v>
      </c>
    </row>
    <row r="403" spans="1:6" ht="60" x14ac:dyDescent="0.25">
      <c r="A403" s="8" t="s">
        <v>125</v>
      </c>
      <c r="B403" s="8" t="s">
        <v>134</v>
      </c>
      <c r="C403" s="8" t="str">
        <f>IFERROR(_xlfn.XLOOKUP(TRIM(B403),Lookup!$B$2:$B$1000,Lookup!$C$2:$C$1000),"")</f>
        <v>Debt</v>
      </c>
      <c r="D403" s="8" t="str">
        <f>IFERROR(INDEX('nav master'!$C:$C, MATCH(B403, 'nav master'!$B:$B, 0)), "")</f>
        <v>ULIF05601/08/13BondFunds101</v>
      </c>
      <c r="E403" s="8" t="s">
        <v>496</v>
      </c>
      <c r="F403" s="8" t="s">
        <v>816</v>
      </c>
    </row>
    <row r="404" spans="1:6" ht="60" x14ac:dyDescent="0.25">
      <c r="A404" s="8" t="s">
        <v>125</v>
      </c>
      <c r="B404" s="8" t="s">
        <v>134</v>
      </c>
      <c r="C404" s="8" t="str">
        <f>IFERROR(_xlfn.XLOOKUP(TRIM(B404),Lookup!$B$2:$B$1000,Lookup!$C$2:$C$1000),"")</f>
        <v>Debt</v>
      </c>
      <c r="D404" s="8" t="str">
        <f>IFERROR(INDEX('nav master'!$C:$C, MATCH(B404, 'nav master'!$B:$B, 0)), "")</f>
        <v>ULIF05601/08/13BondFunds101</v>
      </c>
      <c r="E404" s="8" t="s">
        <v>498</v>
      </c>
      <c r="F404" s="8" t="s">
        <v>817</v>
      </c>
    </row>
    <row r="405" spans="1:6" ht="60" x14ac:dyDescent="0.25">
      <c r="A405" s="8" t="s">
        <v>125</v>
      </c>
      <c r="B405" s="8" t="s">
        <v>134</v>
      </c>
      <c r="C405" s="8" t="str">
        <f>IFERROR(_xlfn.XLOOKUP(TRIM(B405),Lookup!$B$2:$B$1000,Lookup!$C$2:$C$1000),"")</f>
        <v>Debt</v>
      </c>
      <c r="D405" s="8" t="str">
        <f>IFERROR(INDEX('nav master'!$C:$C, MATCH(B405, 'nav master'!$B:$B, 0)), "")</f>
        <v>ULIF05601/08/13BondFunds101</v>
      </c>
      <c r="E405" s="8" t="s">
        <v>500</v>
      </c>
      <c r="F405" s="8" t="s">
        <v>818</v>
      </c>
    </row>
    <row r="406" spans="1:6" ht="60" x14ac:dyDescent="0.25">
      <c r="A406" s="8" t="s">
        <v>125</v>
      </c>
      <c r="B406" s="8" t="s">
        <v>134</v>
      </c>
      <c r="C406" s="8" t="str">
        <f>IFERROR(_xlfn.XLOOKUP(TRIM(B406),Lookup!$B$2:$B$1000,Lookup!$C$2:$C$1000),"")</f>
        <v>Debt</v>
      </c>
      <c r="D406" s="8" t="str">
        <f>IFERROR(INDEX('nav master'!$C:$C, MATCH(B406, 'nav master'!$B:$B, 0)), "")</f>
        <v>ULIF05601/08/13BondFunds101</v>
      </c>
      <c r="E406" s="8" t="s">
        <v>502</v>
      </c>
      <c r="F406" s="8" t="s">
        <v>819</v>
      </c>
    </row>
    <row r="407" spans="1:6" ht="60" x14ac:dyDescent="0.25">
      <c r="A407" s="8" t="s">
        <v>125</v>
      </c>
      <c r="B407" s="8" t="s">
        <v>134</v>
      </c>
      <c r="C407" s="8" t="str">
        <f>IFERROR(_xlfn.XLOOKUP(TRIM(B407),Lookup!$B$2:$B$1000,Lookup!$C$2:$C$1000),"")</f>
        <v>Debt</v>
      </c>
      <c r="D407" s="8" t="str">
        <f>IFERROR(INDEX('nav master'!$C:$C, MATCH(B407, 'nav master'!$B:$B, 0)), "")</f>
        <v>ULIF05601/08/13BondFunds101</v>
      </c>
      <c r="E407" s="8" t="s">
        <v>504</v>
      </c>
      <c r="F407" s="8" t="s">
        <v>820</v>
      </c>
    </row>
    <row r="408" spans="1:6" ht="60" x14ac:dyDescent="0.25">
      <c r="A408" s="8" t="s">
        <v>125</v>
      </c>
      <c r="B408" s="8" t="s">
        <v>134</v>
      </c>
      <c r="C408" s="8" t="str">
        <f>IFERROR(_xlfn.XLOOKUP(TRIM(B408),Lookup!$B$2:$B$1000,Lookup!$C$2:$C$1000),"")</f>
        <v>Debt</v>
      </c>
      <c r="D408" s="8" t="str">
        <f>IFERROR(INDEX('nav master'!$C:$C, MATCH(B408, 'nav master'!$B:$B, 0)), "")</f>
        <v>ULIF05601/08/13BondFunds101</v>
      </c>
      <c r="E408" s="8" t="s">
        <v>506</v>
      </c>
      <c r="F408" s="8" t="s">
        <v>821</v>
      </c>
    </row>
    <row r="409" spans="1:6" ht="60" x14ac:dyDescent="0.25">
      <c r="A409" s="8" t="s">
        <v>125</v>
      </c>
      <c r="B409" s="8" t="s">
        <v>134</v>
      </c>
      <c r="C409" s="8" t="str">
        <f>IFERROR(_xlfn.XLOOKUP(TRIM(B409),Lookup!$B$2:$B$1000,Lookup!$C$2:$C$1000),"")</f>
        <v>Debt</v>
      </c>
      <c r="D409" s="8" t="str">
        <f>IFERROR(INDEX('nav master'!$C:$C, MATCH(B409, 'nav master'!$B:$B, 0)), "")</f>
        <v>ULIF05601/08/13BondFunds101</v>
      </c>
      <c r="E409" s="8" t="s">
        <v>508</v>
      </c>
      <c r="F409" s="8" t="s">
        <v>822</v>
      </c>
    </row>
    <row r="410" spans="1:6" ht="60" x14ac:dyDescent="0.25">
      <c r="A410" s="8" t="s">
        <v>125</v>
      </c>
      <c r="B410" s="8" t="s">
        <v>134</v>
      </c>
      <c r="C410" s="8" t="str">
        <f>IFERROR(_xlfn.XLOOKUP(TRIM(B410),Lookup!$B$2:$B$1000,Lookup!$C$2:$C$1000),"")</f>
        <v>Debt</v>
      </c>
      <c r="D410" s="8" t="str">
        <f>IFERROR(INDEX('nav master'!$C:$C, MATCH(B410, 'nav master'!$B:$B, 0)), "")</f>
        <v>ULIF05601/08/13BondFunds101</v>
      </c>
      <c r="E410" s="8" t="s">
        <v>510</v>
      </c>
      <c r="F410" s="8" t="s">
        <v>823</v>
      </c>
    </row>
    <row r="411" spans="1:6" ht="60" x14ac:dyDescent="0.25">
      <c r="A411" s="8" t="s">
        <v>125</v>
      </c>
      <c r="B411" s="8" t="s">
        <v>134</v>
      </c>
      <c r="C411" s="8" t="str">
        <f>IFERROR(_xlfn.XLOOKUP(TRIM(B411),Lookup!$B$2:$B$1000,Lookup!$C$2:$C$1000),"")</f>
        <v>Debt</v>
      </c>
      <c r="D411" s="8" t="str">
        <f>IFERROR(INDEX('nav master'!$C:$C, MATCH(B411, 'nav master'!$B:$B, 0)), "")</f>
        <v>ULIF05601/08/13BondFunds101</v>
      </c>
      <c r="E411" s="8" t="s">
        <v>512</v>
      </c>
      <c r="F411" s="8" t="s">
        <v>824</v>
      </c>
    </row>
    <row r="412" spans="1:6" ht="60" x14ac:dyDescent="0.25">
      <c r="A412" s="8" t="s">
        <v>125</v>
      </c>
      <c r="B412" s="8" t="s">
        <v>134</v>
      </c>
      <c r="C412" s="8" t="str">
        <f>IFERROR(_xlfn.XLOOKUP(TRIM(B412),Lookup!$B$2:$B$1000,Lookup!$C$2:$C$1000),"")</f>
        <v>Debt</v>
      </c>
      <c r="D412" s="8" t="str">
        <f>IFERROR(INDEX('nav master'!$C:$C, MATCH(B412, 'nav master'!$B:$B, 0)), "")</f>
        <v>ULIF05601/08/13BondFunds101</v>
      </c>
      <c r="E412" s="8" t="s">
        <v>514</v>
      </c>
      <c r="F412" s="8" t="s">
        <v>825</v>
      </c>
    </row>
    <row r="413" spans="1:6" ht="60" x14ac:dyDescent="0.25">
      <c r="A413" s="8" t="s">
        <v>125</v>
      </c>
      <c r="B413" s="8" t="s">
        <v>134</v>
      </c>
      <c r="C413" s="8" t="str">
        <f>IFERROR(_xlfn.XLOOKUP(TRIM(B413),Lookup!$B$2:$B$1000,Lookup!$C$2:$C$1000),"")</f>
        <v>Debt</v>
      </c>
      <c r="D413" s="8" t="str">
        <f>IFERROR(INDEX('nav master'!$C:$C, MATCH(B413, 'nav master'!$B:$B, 0)), "")</f>
        <v>ULIF05601/08/13BondFunds101</v>
      </c>
      <c r="E413" s="8" t="s">
        <v>516</v>
      </c>
      <c r="F413" s="8" t="s">
        <v>826</v>
      </c>
    </row>
    <row r="414" spans="1:6" ht="60" x14ac:dyDescent="0.25">
      <c r="A414" s="8" t="s">
        <v>125</v>
      </c>
      <c r="B414" s="8" t="s">
        <v>134</v>
      </c>
      <c r="C414" s="8" t="str">
        <f>IFERROR(_xlfn.XLOOKUP(TRIM(B414),Lookup!$B$2:$B$1000,Lookup!$C$2:$C$1000),"")</f>
        <v>Debt</v>
      </c>
      <c r="D414" s="8" t="str">
        <f>IFERROR(INDEX('nav master'!$C:$C, MATCH(B414, 'nav master'!$B:$B, 0)), "")</f>
        <v>ULIF05601/08/13BondFunds101</v>
      </c>
      <c r="E414" s="8" t="s">
        <v>518</v>
      </c>
      <c r="F414" s="8" t="s">
        <v>827</v>
      </c>
    </row>
    <row r="415" spans="1:6" ht="60" x14ac:dyDescent="0.25">
      <c r="A415" s="8" t="s">
        <v>125</v>
      </c>
      <c r="B415" s="8" t="s">
        <v>134</v>
      </c>
      <c r="C415" s="8" t="str">
        <f>IFERROR(_xlfn.XLOOKUP(TRIM(B415),Lookup!$B$2:$B$1000,Lookup!$C$2:$C$1000),"")</f>
        <v>Debt</v>
      </c>
      <c r="D415" s="8" t="str">
        <f>IFERROR(INDEX('nav master'!$C:$C, MATCH(B415, 'nav master'!$B:$B, 0)), "")</f>
        <v>ULIF05601/08/13BondFunds101</v>
      </c>
      <c r="E415" s="8" t="s">
        <v>520</v>
      </c>
      <c r="F415" s="8" t="s">
        <v>828</v>
      </c>
    </row>
    <row r="416" spans="1:6" ht="60" x14ac:dyDescent="0.25">
      <c r="A416" s="8" t="s">
        <v>125</v>
      </c>
      <c r="B416" s="8" t="s">
        <v>134</v>
      </c>
      <c r="C416" s="8" t="str">
        <f>IFERROR(_xlfn.XLOOKUP(TRIM(B416),Lookup!$B$2:$B$1000,Lookup!$C$2:$C$1000),"")</f>
        <v>Debt</v>
      </c>
      <c r="D416" s="8" t="str">
        <f>IFERROR(INDEX('nav master'!$C:$C, MATCH(B416, 'nav master'!$B:$B, 0)), "")</f>
        <v>ULIF05601/08/13BondFunds101</v>
      </c>
      <c r="E416" s="8" t="s">
        <v>522</v>
      </c>
      <c r="F416" s="8" t="s">
        <v>829</v>
      </c>
    </row>
    <row r="417" spans="1:6" ht="60" x14ac:dyDescent="0.25">
      <c r="A417" s="8" t="s">
        <v>125</v>
      </c>
      <c r="B417" s="8" t="s">
        <v>134</v>
      </c>
      <c r="C417" s="8" t="str">
        <f>IFERROR(_xlfn.XLOOKUP(TRIM(B417),Lookup!$B$2:$B$1000,Lookup!$C$2:$C$1000),"")</f>
        <v>Debt</v>
      </c>
      <c r="D417" s="8" t="str">
        <f>IFERROR(INDEX('nav master'!$C:$C, MATCH(B417, 'nav master'!$B:$B, 0)), "")</f>
        <v>ULIF05601/08/13BondFunds101</v>
      </c>
      <c r="E417" s="8" t="s">
        <v>524</v>
      </c>
      <c r="F417" s="8" t="s">
        <v>830</v>
      </c>
    </row>
    <row r="418" spans="1:6" ht="60" x14ac:dyDescent="0.25">
      <c r="A418" s="8" t="s">
        <v>125</v>
      </c>
      <c r="B418" s="8" t="s">
        <v>134</v>
      </c>
      <c r="C418" s="8" t="str">
        <f>IFERROR(_xlfn.XLOOKUP(TRIM(B418),Lookup!$B$2:$B$1000,Lookup!$C$2:$C$1000),"")</f>
        <v>Debt</v>
      </c>
      <c r="D418" s="8" t="str">
        <f>IFERROR(INDEX('nav master'!$C:$C, MATCH(B418, 'nav master'!$B:$B, 0)), "")</f>
        <v>ULIF05601/08/13BondFunds101</v>
      </c>
      <c r="E418" s="8" t="s">
        <v>526</v>
      </c>
      <c r="F418" s="8" t="s">
        <v>831</v>
      </c>
    </row>
    <row r="419" spans="1:6" ht="60" x14ac:dyDescent="0.25">
      <c r="A419" s="8" t="s">
        <v>125</v>
      </c>
      <c r="B419" s="8" t="s">
        <v>134</v>
      </c>
      <c r="C419" s="8" t="str">
        <f>IFERROR(_xlfn.XLOOKUP(TRIM(B419),Lookup!$B$2:$B$1000,Lookup!$C$2:$C$1000),"")</f>
        <v>Debt</v>
      </c>
      <c r="D419" s="8" t="str">
        <f>IFERROR(INDEX('nav master'!$C:$C, MATCH(B419, 'nav master'!$B:$B, 0)), "")</f>
        <v>ULIF05601/08/13BondFunds101</v>
      </c>
      <c r="E419" s="8" t="s">
        <v>528</v>
      </c>
      <c r="F419" s="8" t="s">
        <v>832</v>
      </c>
    </row>
    <row r="420" spans="1:6" ht="60" x14ac:dyDescent="0.25">
      <c r="A420" s="8" t="s">
        <v>125</v>
      </c>
      <c r="B420" s="8" t="s">
        <v>134</v>
      </c>
      <c r="C420" s="8" t="str">
        <f>IFERROR(_xlfn.XLOOKUP(TRIM(B420),Lookup!$B$2:$B$1000,Lookup!$C$2:$C$1000),"")</f>
        <v>Debt</v>
      </c>
      <c r="D420" s="8" t="str">
        <f>IFERROR(INDEX('nav master'!$C:$C, MATCH(B420, 'nav master'!$B:$B, 0)), "")</f>
        <v>ULIF05601/08/13BondFunds101</v>
      </c>
      <c r="E420" s="8" t="s">
        <v>530</v>
      </c>
      <c r="F420" s="8" t="s">
        <v>833</v>
      </c>
    </row>
    <row r="421" spans="1:6" ht="60" x14ac:dyDescent="0.25">
      <c r="A421" s="8" t="s">
        <v>125</v>
      </c>
      <c r="B421" s="8" t="s">
        <v>134</v>
      </c>
      <c r="C421" s="8" t="str">
        <f>IFERROR(_xlfn.XLOOKUP(TRIM(B421),Lookup!$B$2:$B$1000,Lookup!$C$2:$C$1000),"")</f>
        <v>Debt</v>
      </c>
      <c r="D421" s="8" t="str">
        <f>IFERROR(INDEX('nav master'!$C:$C, MATCH(B421, 'nav master'!$B:$B, 0)), "")</f>
        <v>ULIF05601/08/13BondFunds101</v>
      </c>
      <c r="E421" s="8" t="s">
        <v>532</v>
      </c>
      <c r="F421" s="8" t="s">
        <v>834</v>
      </c>
    </row>
    <row r="422" spans="1:6" ht="60" x14ac:dyDescent="0.25">
      <c r="A422" s="8" t="s">
        <v>125</v>
      </c>
      <c r="B422" s="8" t="s">
        <v>134</v>
      </c>
      <c r="C422" s="8" t="str">
        <f>IFERROR(_xlfn.XLOOKUP(TRIM(B422),Lookup!$B$2:$B$1000,Lookup!$C$2:$C$1000),"")</f>
        <v>Debt</v>
      </c>
      <c r="D422" s="8" t="str">
        <f>IFERROR(INDEX('nav master'!$C:$C, MATCH(B422, 'nav master'!$B:$B, 0)), "")</f>
        <v>ULIF05601/08/13BondFunds101</v>
      </c>
      <c r="E422" s="8" t="s">
        <v>534</v>
      </c>
      <c r="F422" s="8" t="s">
        <v>835</v>
      </c>
    </row>
    <row r="423" spans="1:6" ht="60" x14ac:dyDescent="0.25">
      <c r="A423" s="8" t="s">
        <v>125</v>
      </c>
      <c r="B423" s="8" t="s">
        <v>134</v>
      </c>
      <c r="C423" s="8" t="str">
        <f>IFERROR(_xlfn.XLOOKUP(TRIM(B423),Lookup!$B$2:$B$1000,Lookup!$C$2:$C$1000),"")</f>
        <v>Debt</v>
      </c>
      <c r="D423" s="8" t="str">
        <f>IFERROR(INDEX('nav master'!$C:$C, MATCH(B423, 'nav master'!$B:$B, 0)), "")</f>
        <v>ULIF05601/08/13BondFunds101</v>
      </c>
      <c r="E423" s="8" t="s">
        <v>536</v>
      </c>
      <c r="F423" s="8" t="s">
        <v>836</v>
      </c>
    </row>
    <row r="424" spans="1:6" ht="60" x14ac:dyDescent="0.25">
      <c r="A424" s="8" t="s">
        <v>125</v>
      </c>
      <c r="B424" s="8" t="s">
        <v>134</v>
      </c>
      <c r="C424" s="8" t="str">
        <f>IFERROR(_xlfn.XLOOKUP(TRIM(B424),Lookup!$B$2:$B$1000,Lookup!$C$2:$C$1000),"")</f>
        <v>Debt</v>
      </c>
      <c r="D424" s="8" t="str">
        <f>IFERROR(INDEX('nav master'!$C:$C, MATCH(B424, 'nav master'!$B:$B, 0)), "")</f>
        <v>ULIF05601/08/13BondFunds101</v>
      </c>
      <c r="E424" s="8" t="s">
        <v>538</v>
      </c>
      <c r="F424" s="8" t="s">
        <v>837</v>
      </c>
    </row>
    <row r="425" spans="1:6" ht="60" x14ac:dyDescent="0.25">
      <c r="A425" s="8" t="s">
        <v>125</v>
      </c>
      <c r="B425" s="8" t="s">
        <v>134</v>
      </c>
      <c r="C425" s="8" t="str">
        <f>IFERROR(_xlfn.XLOOKUP(TRIM(B425),Lookup!$B$2:$B$1000,Lookup!$C$2:$C$1000),"")</f>
        <v>Debt</v>
      </c>
      <c r="D425" s="8" t="str">
        <f>IFERROR(INDEX('nav master'!$C:$C, MATCH(B425, 'nav master'!$B:$B, 0)), "")</f>
        <v>ULIF05601/08/13BondFunds101</v>
      </c>
      <c r="E425" s="8" t="s">
        <v>540</v>
      </c>
      <c r="F425" s="8" t="s">
        <v>838</v>
      </c>
    </row>
    <row r="426" spans="1:6" ht="60" x14ac:dyDescent="0.25">
      <c r="A426" s="8" t="s">
        <v>125</v>
      </c>
      <c r="B426" s="8" t="s">
        <v>134</v>
      </c>
      <c r="C426" s="8" t="str">
        <f>IFERROR(_xlfn.XLOOKUP(TRIM(B426),Lookup!$B$2:$B$1000,Lookup!$C$2:$C$1000),"")</f>
        <v>Debt</v>
      </c>
      <c r="D426" s="8" t="str">
        <f>IFERROR(INDEX('nav master'!$C:$C, MATCH(B426, 'nav master'!$B:$B, 0)), "")</f>
        <v>ULIF05601/08/13BondFunds101</v>
      </c>
      <c r="E426" s="8" t="s">
        <v>542</v>
      </c>
      <c r="F426" s="8" t="s">
        <v>839</v>
      </c>
    </row>
    <row r="427" spans="1:6" ht="60" x14ac:dyDescent="0.25">
      <c r="A427" s="8" t="s">
        <v>125</v>
      </c>
      <c r="B427" s="8" t="s">
        <v>134</v>
      </c>
      <c r="C427" s="8" t="str">
        <f>IFERROR(_xlfn.XLOOKUP(TRIM(B427),Lookup!$B$2:$B$1000,Lookup!$C$2:$C$1000),"")</f>
        <v>Debt</v>
      </c>
      <c r="D427" s="8" t="str">
        <f>IFERROR(INDEX('nav master'!$C:$C, MATCH(B427, 'nav master'!$B:$B, 0)), "")</f>
        <v>ULIF05601/08/13BondFunds101</v>
      </c>
      <c r="E427" s="8" t="s">
        <v>544</v>
      </c>
      <c r="F427" s="8" t="s">
        <v>840</v>
      </c>
    </row>
    <row r="428" spans="1:6" ht="60" x14ac:dyDescent="0.25">
      <c r="A428" s="8" t="s">
        <v>125</v>
      </c>
      <c r="B428" s="8" t="s">
        <v>134</v>
      </c>
      <c r="C428" s="8" t="str">
        <f>IFERROR(_xlfn.XLOOKUP(TRIM(B428),Lookup!$B$2:$B$1000,Lookup!$C$2:$C$1000),"")</f>
        <v>Debt</v>
      </c>
      <c r="D428" s="8" t="str">
        <f>IFERROR(INDEX('nav master'!$C:$C, MATCH(B428, 'nav master'!$B:$B, 0)), "")</f>
        <v>ULIF05601/08/13BondFunds101</v>
      </c>
      <c r="E428" s="8" t="s">
        <v>546</v>
      </c>
      <c r="F428" s="8" t="s">
        <v>841</v>
      </c>
    </row>
    <row r="429" spans="1:6" ht="60" x14ac:dyDescent="0.25">
      <c r="A429" s="8" t="s">
        <v>125</v>
      </c>
      <c r="B429" s="8" t="s">
        <v>134</v>
      </c>
      <c r="C429" s="8" t="str">
        <f>IFERROR(_xlfn.XLOOKUP(TRIM(B429),Lookup!$B$2:$B$1000,Lookup!$C$2:$C$1000),"")</f>
        <v>Debt</v>
      </c>
      <c r="D429" s="8" t="str">
        <f>IFERROR(INDEX('nav master'!$C:$C, MATCH(B429, 'nav master'!$B:$B, 0)), "")</f>
        <v>ULIF05601/08/13BondFunds101</v>
      </c>
      <c r="E429" s="8" t="s">
        <v>548</v>
      </c>
      <c r="F429" s="8" t="s">
        <v>842</v>
      </c>
    </row>
    <row r="430" spans="1:6" ht="60" x14ac:dyDescent="0.25">
      <c r="A430" s="8" t="s">
        <v>125</v>
      </c>
      <c r="B430" s="8" t="s">
        <v>134</v>
      </c>
      <c r="C430" s="8" t="str">
        <f>IFERROR(_xlfn.XLOOKUP(TRIM(B430),Lookup!$B$2:$B$1000,Lookup!$C$2:$C$1000),"")</f>
        <v>Debt</v>
      </c>
      <c r="D430" s="8" t="str">
        <f>IFERROR(INDEX('nav master'!$C:$C, MATCH(B430, 'nav master'!$B:$B, 0)), "")</f>
        <v>ULIF05601/08/13BondFunds101</v>
      </c>
      <c r="E430" s="8" t="s">
        <v>550</v>
      </c>
      <c r="F430" s="8" t="s">
        <v>773</v>
      </c>
    </row>
    <row r="431" spans="1:6" ht="60" x14ac:dyDescent="0.25">
      <c r="A431" s="8" t="s">
        <v>125</v>
      </c>
      <c r="B431" s="8" t="s">
        <v>134</v>
      </c>
      <c r="C431" s="8" t="str">
        <f>IFERROR(_xlfn.XLOOKUP(TRIM(B431),Lookup!$B$2:$B$1000,Lookup!$C$2:$C$1000),"")</f>
        <v>Debt</v>
      </c>
      <c r="D431" s="8" t="str">
        <f>IFERROR(INDEX('nav master'!$C:$C, MATCH(B431, 'nav master'!$B:$B, 0)), "")</f>
        <v>ULIF05601/08/13BondFunds101</v>
      </c>
      <c r="E431" s="8" t="s">
        <v>552</v>
      </c>
      <c r="F431" s="8" t="s">
        <v>843</v>
      </c>
    </row>
    <row r="432" spans="1:6" ht="60" x14ac:dyDescent="0.25">
      <c r="A432" s="8" t="s">
        <v>125</v>
      </c>
      <c r="B432" s="8" t="s">
        <v>134</v>
      </c>
      <c r="C432" s="8" t="str">
        <f>IFERROR(_xlfn.XLOOKUP(TRIM(B432),Lookup!$B$2:$B$1000,Lookup!$C$2:$C$1000),"")</f>
        <v>Debt</v>
      </c>
      <c r="D432" s="8" t="str">
        <f>IFERROR(INDEX('nav master'!$C:$C, MATCH(B432, 'nav master'!$B:$B, 0)), "")</f>
        <v>ULIF05601/08/13BondFunds101</v>
      </c>
      <c r="E432" s="8" t="s">
        <v>554</v>
      </c>
      <c r="F432" s="8" t="s">
        <v>844</v>
      </c>
    </row>
    <row r="433" spans="1:6" ht="60" x14ac:dyDescent="0.25">
      <c r="A433" s="8" t="s">
        <v>125</v>
      </c>
      <c r="B433" s="8" t="s">
        <v>134</v>
      </c>
      <c r="C433" s="8" t="str">
        <f>IFERROR(_xlfn.XLOOKUP(TRIM(B433),Lookup!$B$2:$B$1000,Lookup!$C$2:$C$1000),"")</f>
        <v>Debt</v>
      </c>
      <c r="D433" s="8" t="str">
        <f>IFERROR(INDEX('nav master'!$C:$C, MATCH(B433, 'nav master'!$B:$B, 0)), "")</f>
        <v>ULIF05601/08/13BondFunds101</v>
      </c>
      <c r="E433" s="8" t="s">
        <v>556</v>
      </c>
      <c r="F433" s="8" t="s">
        <v>845</v>
      </c>
    </row>
    <row r="434" spans="1:6" ht="60" x14ac:dyDescent="0.25">
      <c r="A434" s="8" t="s">
        <v>125</v>
      </c>
      <c r="B434" s="8" t="s">
        <v>134</v>
      </c>
      <c r="C434" s="8" t="str">
        <f>IFERROR(_xlfn.XLOOKUP(TRIM(B434),Lookup!$B$2:$B$1000,Lookup!$C$2:$C$1000),"")</f>
        <v>Debt</v>
      </c>
      <c r="D434" s="8" t="str">
        <f>IFERROR(INDEX('nav master'!$C:$C, MATCH(B434, 'nav master'!$B:$B, 0)), "")</f>
        <v>ULIF05601/08/13BondFunds101</v>
      </c>
      <c r="E434" s="8" t="s">
        <v>558</v>
      </c>
      <c r="F434" s="8" t="s">
        <v>846</v>
      </c>
    </row>
    <row r="435" spans="1:6" ht="60" x14ac:dyDescent="0.25">
      <c r="A435" s="8" t="s">
        <v>125</v>
      </c>
      <c r="B435" s="8" t="s">
        <v>134</v>
      </c>
      <c r="C435" s="8" t="str">
        <f>IFERROR(_xlfn.XLOOKUP(TRIM(B435),Lookup!$B$2:$B$1000,Lookup!$C$2:$C$1000),"")</f>
        <v>Debt</v>
      </c>
      <c r="D435" s="8" t="str">
        <f>IFERROR(INDEX('nav master'!$C:$C, MATCH(B435, 'nav master'!$B:$B, 0)), "")</f>
        <v>ULIF05601/08/13BondFunds101</v>
      </c>
      <c r="E435" s="8" t="s">
        <v>560</v>
      </c>
      <c r="F435" s="8" t="s">
        <v>847</v>
      </c>
    </row>
    <row r="436" spans="1:6" ht="60" x14ac:dyDescent="0.25">
      <c r="A436" s="8" t="s">
        <v>125</v>
      </c>
      <c r="B436" s="8" t="s">
        <v>134</v>
      </c>
      <c r="C436" s="8" t="str">
        <f>IFERROR(_xlfn.XLOOKUP(TRIM(B436),Lookup!$B$2:$B$1000,Lookup!$C$2:$C$1000),"")</f>
        <v>Debt</v>
      </c>
      <c r="D436" s="8" t="str">
        <f>IFERROR(INDEX('nav master'!$C:$C, MATCH(B436, 'nav master'!$B:$B, 0)), "")</f>
        <v>ULIF05601/08/13BondFunds101</v>
      </c>
      <c r="E436" s="8" t="s">
        <v>562</v>
      </c>
      <c r="F436" s="8" t="s">
        <v>848</v>
      </c>
    </row>
    <row r="437" spans="1:6" ht="60" x14ac:dyDescent="0.25">
      <c r="A437" s="8" t="s">
        <v>125</v>
      </c>
      <c r="B437" s="8" t="s">
        <v>134</v>
      </c>
      <c r="C437" s="8" t="str">
        <f>IFERROR(_xlfn.XLOOKUP(TRIM(B437),Lookup!$B$2:$B$1000,Lookup!$C$2:$C$1000),"")</f>
        <v>Debt</v>
      </c>
      <c r="D437" s="8" t="str">
        <f>IFERROR(INDEX('nav master'!$C:$C, MATCH(B437, 'nav master'!$B:$B, 0)), "")</f>
        <v>ULIF05601/08/13BondFunds101</v>
      </c>
      <c r="E437" s="8" t="s">
        <v>564</v>
      </c>
      <c r="F437" s="8" t="s">
        <v>849</v>
      </c>
    </row>
    <row r="438" spans="1:6" ht="60" x14ac:dyDescent="0.25">
      <c r="A438" s="8" t="s">
        <v>125</v>
      </c>
      <c r="B438" s="8" t="s">
        <v>134</v>
      </c>
      <c r="C438" s="8" t="str">
        <f>IFERROR(_xlfn.XLOOKUP(TRIM(B438),Lookup!$B$2:$B$1000,Lookup!$C$2:$C$1000),"")</f>
        <v>Debt</v>
      </c>
      <c r="D438" s="8" t="str">
        <f>IFERROR(INDEX('nav master'!$C:$C, MATCH(B438, 'nav master'!$B:$B, 0)), "")</f>
        <v>ULIF05601/08/13BondFunds101</v>
      </c>
      <c r="E438" s="8" t="s">
        <v>566</v>
      </c>
      <c r="F438" s="8" t="s">
        <v>850</v>
      </c>
    </row>
    <row r="439" spans="1:6" ht="60" x14ac:dyDescent="0.25">
      <c r="A439" s="8" t="s">
        <v>125</v>
      </c>
      <c r="B439" s="8" t="s">
        <v>134</v>
      </c>
      <c r="C439" s="8" t="str">
        <f>IFERROR(_xlfn.XLOOKUP(TRIM(B439),Lookup!$B$2:$B$1000,Lookup!$C$2:$C$1000),"")</f>
        <v>Debt</v>
      </c>
      <c r="D439" s="8" t="str">
        <f>IFERROR(INDEX('nav master'!$C:$C, MATCH(B439, 'nav master'!$B:$B, 0)), "")</f>
        <v>ULIF05601/08/13BondFunds101</v>
      </c>
      <c r="E439" s="8" t="s">
        <v>568</v>
      </c>
      <c r="F439" s="8" t="s">
        <v>851</v>
      </c>
    </row>
    <row r="440" spans="1:6" ht="60" x14ac:dyDescent="0.25">
      <c r="A440" s="8" t="s">
        <v>125</v>
      </c>
      <c r="B440" s="8" t="s">
        <v>134</v>
      </c>
      <c r="C440" s="8" t="str">
        <f>IFERROR(_xlfn.XLOOKUP(TRIM(B440),Lookup!$B$2:$B$1000,Lookup!$C$2:$C$1000),"")</f>
        <v>Debt</v>
      </c>
      <c r="D440" s="8" t="str">
        <f>IFERROR(INDEX('nav master'!$C:$C, MATCH(B440, 'nav master'!$B:$B, 0)), "")</f>
        <v>ULIF05601/08/13BondFunds101</v>
      </c>
      <c r="E440" s="8" t="s">
        <v>570</v>
      </c>
      <c r="F440" s="8" t="s">
        <v>852</v>
      </c>
    </row>
    <row r="441" spans="1:6" ht="60" x14ac:dyDescent="0.25">
      <c r="A441" s="8" t="s">
        <v>125</v>
      </c>
      <c r="B441" s="8" t="s">
        <v>134</v>
      </c>
      <c r="C441" s="8" t="str">
        <f>IFERROR(_xlfn.XLOOKUP(TRIM(B441),Lookup!$B$2:$B$1000,Lookup!$C$2:$C$1000),"")</f>
        <v>Debt</v>
      </c>
      <c r="D441" s="8" t="str">
        <f>IFERROR(INDEX('nav master'!$C:$C, MATCH(B441, 'nav master'!$B:$B, 0)), "")</f>
        <v>ULIF05601/08/13BondFunds101</v>
      </c>
      <c r="E441" s="8" t="s">
        <v>572</v>
      </c>
      <c r="F441" s="8" t="s">
        <v>853</v>
      </c>
    </row>
    <row r="442" spans="1:6" ht="60" x14ac:dyDescent="0.25">
      <c r="A442" s="8" t="s">
        <v>125</v>
      </c>
      <c r="B442" s="8" t="s">
        <v>134</v>
      </c>
      <c r="C442" s="8" t="str">
        <f>IFERROR(_xlfn.XLOOKUP(TRIM(B442),Lookup!$B$2:$B$1000,Lookup!$C$2:$C$1000),"")</f>
        <v>Debt</v>
      </c>
      <c r="D442" s="8" t="str">
        <f>IFERROR(INDEX('nav master'!$C:$C, MATCH(B442, 'nav master'!$B:$B, 0)), "")</f>
        <v>ULIF05601/08/13BondFunds101</v>
      </c>
      <c r="E442" s="8" t="s">
        <v>574</v>
      </c>
      <c r="F442" s="8" t="s">
        <v>854</v>
      </c>
    </row>
    <row r="443" spans="1:6" ht="60" x14ac:dyDescent="0.25">
      <c r="A443" s="8" t="s">
        <v>125</v>
      </c>
      <c r="B443" s="8" t="s">
        <v>134</v>
      </c>
      <c r="C443" s="8" t="str">
        <f>IFERROR(_xlfn.XLOOKUP(TRIM(B443),Lookup!$B$2:$B$1000,Lookup!$C$2:$C$1000),"")</f>
        <v>Debt</v>
      </c>
      <c r="D443" s="8" t="str">
        <f>IFERROR(INDEX('nav master'!$C:$C, MATCH(B443, 'nav master'!$B:$B, 0)), "")</f>
        <v>ULIF05601/08/13BondFunds101</v>
      </c>
      <c r="E443" s="8" t="s">
        <v>576</v>
      </c>
      <c r="F443" s="8" t="s">
        <v>855</v>
      </c>
    </row>
    <row r="444" spans="1:6" ht="60" x14ac:dyDescent="0.25">
      <c r="A444" s="8" t="s">
        <v>125</v>
      </c>
      <c r="B444" s="8" t="s">
        <v>134</v>
      </c>
      <c r="C444" s="8" t="str">
        <f>IFERROR(_xlfn.XLOOKUP(TRIM(B444),Lookup!$B$2:$B$1000,Lookup!$C$2:$C$1000),"")</f>
        <v>Debt</v>
      </c>
      <c r="D444" s="8" t="str">
        <f>IFERROR(INDEX('nav master'!$C:$C, MATCH(B444, 'nav master'!$B:$B, 0)), "")</f>
        <v>ULIF05601/08/13BondFunds101</v>
      </c>
      <c r="E444" s="8" t="s">
        <v>578</v>
      </c>
      <c r="F444" s="8" t="s">
        <v>856</v>
      </c>
    </row>
    <row r="445" spans="1:6" ht="60" x14ac:dyDescent="0.25">
      <c r="A445" s="8" t="s">
        <v>125</v>
      </c>
      <c r="B445" s="8" t="s">
        <v>134</v>
      </c>
      <c r="C445" s="8" t="str">
        <f>IFERROR(_xlfn.XLOOKUP(TRIM(B445),Lookup!$B$2:$B$1000,Lookup!$C$2:$C$1000),"")</f>
        <v>Debt</v>
      </c>
      <c r="D445" s="8" t="str">
        <f>IFERROR(INDEX('nav master'!$C:$C, MATCH(B445, 'nav master'!$B:$B, 0)), "")</f>
        <v>ULIF05601/08/13BondFunds101</v>
      </c>
      <c r="E445" s="8" t="s">
        <v>580</v>
      </c>
      <c r="F445" s="8" t="s">
        <v>857</v>
      </c>
    </row>
    <row r="446" spans="1:6" ht="60" x14ac:dyDescent="0.25">
      <c r="A446" s="8" t="s">
        <v>125</v>
      </c>
      <c r="B446" s="8" t="s">
        <v>134</v>
      </c>
      <c r="C446" s="8" t="str">
        <f>IFERROR(_xlfn.XLOOKUP(TRIM(B446),Lookup!$B$2:$B$1000,Lookup!$C$2:$C$1000),"")</f>
        <v>Debt</v>
      </c>
      <c r="D446" s="8" t="str">
        <f>IFERROR(INDEX('nav master'!$C:$C, MATCH(B446, 'nav master'!$B:$B, 0)), "")</f>
        <v>ULIF05601/08/13BondFunds101</v>
      </c>
      <c r="E446" s="8" t="s">
        <v>582</v>
      </c>
      <c r="F446" s="8" t="s">
        <v>858</v>
      </c>
    </row>
    <row r="447" spans="1:6" ht="60" x14ac:dyDescent="0.25">
      <c r="A447" s="8" t="s">
        <v>125</v>
      </c>
      <c r="B447" s="8" t="s">
        <v>134</v>
      </c>
      <c r="C447" s="8" t="str">
        <f>IFERROR(_xlfn.XLOOKUP(TRIM(B447),Lookup!$B$2:$B$1000,Lookup!$C$2:$C$1000),"")</f>
        <v>Debt</v>
      </c>
      <c r="D447" s="8" t="str">
        <f>IFERROR(INDEX('nav master'!$C:$C, MATCH(B447, 'nav master'!$B:$B, 0)), "")</f>
        <v>ULIF05601/08/13BondFunds101</v>
      </c>
      <c r="E447" s="8" t="s">
        <v>584</v>
      </c>
      <c r="F447" s="8" t="s">
        <v>859</v>
      </c>
    </row>
    <row r="448" spans="1:6" ht="60" x14ac:dyDescent="0.25">
      <c r="A448" s="8" t="s">
        <v>125</v>
      </c>
      <c r="B448" s="8" t="s">
        <v>134</v>
      </c>
      <c r="C448" s="8" t="str">
        <f>IFERROR(_xlfn.XLOOKUP(TRIM(B448),Lookup!$B$2:$B$1000,Lookup!$C$2:$C$1000),"")</f>
        <v>Debt</v>
      </c>
      <c r="D448" s="8" t="str">
        <f>IFERROR(INDEX('nav master'!$C:$C, MATCH(B448, 'nav master'!$B:$B, 0)), "")</f>
        <v>ULIF05601/08/13BondFunds101</v>
      </c>
      <c r="E448" s="8" t="s">
        <v>586</v>
      </c>
      <c r="F448" s="8" t="s">
        <v>860</v>
      </c>
    </row>
    <row r="449" spans="1:6" ht="60" x14ac:dyDescent="0.25">
      <c r="A449" s="8" t="s">
        <v>125</v>
      </c>
      <c r="B449" s="8" t="s">
        <v>134</v>
      </c>
      <c r="C449" s="8" t="str">
        <f>IFERROR(_xlfn.XLOOKUP(TRIM(B449),Lookup!$B$2:$B$1000,Lookup!$C$2:$C$1000),"")</f>
        <v>Debt</v>
      </c>
      <c r="D449" s="8" t="str">
        <f>IFERROR(INDEX('nav master'!$C:$C, MATCH(B449, 'nav master'!$B:$B, 0)), "")</f>
        <v>ULIF05601/08/13BondFunds101</v>
      </c>
      <c r="E449" s="8" t="s">
        <v>588</v>
      </c>
      <c r="F449" s="8" t="s">
        <v>861</v>
      </c>
    </row>
    <row r="450" spans="1:6" ht="60" x14ac:dyDescent="0.25">
      <c r="A450" s="8" t="s">
        <v>125</v>
      </c>
      <c r="B450" s="8" t="s">
        <v>134</v>
      </c>
      <c r="C450" s="8" t="str">
        <f>IFERROR(_xlfn.XLOOKUP(TRIM(B450),Lookup!$B$2:$B$1000,Lookup!$C$2:$C$1000),"")</f>
        <v>Debt</v>
      </c>
      <c r="D450" s="8" t="str">
        <f>IFERROR(INDEX('nav master'!$C:$C, MATCH(B450, 'nav master'!$B:$B, 0)), "")</f>
        <v>ULIF05601/08/13BondFunds101</v>
      </c>
      <c r="E450" s="8" t="s">
        <v>590</v>
      </c>
      <c r="F450" s="8" t="s">
        <v>862</v>
      </c>
    </row>
    <row r="451" spans="1:6" ht="60" x14ac:dyDescent="0.25">
      <c r="A451" s="8" t="s">
        <v>125</v>
      </c>
      <c r="B451" s="8" t="s">
        <v>134</v>
      </c>
      <c r="C451" s="8" t="str">
        <f>IFERROR(_xlfn.XLOOKUP(TRIM(B451),Lookup!$B$2:$B$1000,Lookup!$C$2:$C$1000),"")</f>
        <v>Debt</v>
      </c>
      <c r="D451" s="8" t="str">
        <f>IFERROR(INDEX('nav master'!$C:$C, MATCH(B451, 'nav master'!$B:$B, 0)), "")</f>
        <v>ULIF05601/08/13BondFunds101</v>
      </c>
      <c r="E451" s="8" t="s">
        <v>592</v>
      </c>
      <c r="F451" s="8" t="s">
        <v>863</v>
      </c>
    </row>
    <row r="452" spans="1:6" ht="60" x14ac:dyDescent="0.25">
      <c r="A452" s="8" t="s">
        <v>125</v>
      </c>
      <c r="B452" s="8" t="s">
        <v>134</v>
      </c>
      <c r="C452" s="8" t="str">
        <f>IFERROR(_xlfn.XLOOKUP(TRIM(B452),Lookup!$B$2:$B$1000,Lookup!$C$2:$C$1000),"")</f>
        <v>Debt</v>
      </c>
      <c r="D452" s="8" t="str">
        <f>IFERROR(INDEX('nav master'!$C:$C, MATCH(B452, 'nav master'!$B:$B, 0)), "")</f>
        <v>ULIF05601/08/13BondFunds101</v>
      </c>
      <c r="E452" s="8" t="s">
        <v>594</v>
      </c>
      <c r="F452" s="8" t="s">
        <v>864</v>
      </c>
    </row>
    <row r="453" spans="1:6" ht="60" x14ac:dyDescent="0.25">
      <c r="A453" s="8" t="s">
        <v>125</v>
      </c>
      <c r="B453" s="8" t="s">
        <v>134</v>
      </c>
      <c r="C453" s="8" t="str">
        <f>IFERROR(_xlfn.XLOOKUP(TRIM(B453),Lookup!$B$2:$B$1000,Lookup!$C$2:$C$1000),"")</f>
        <v>Debt</v>
      </c>
      <c r="D453" s="8" t="str">
        <f>IFERROR(INDEX('nav master'!$C:$C, MATCH(B453, 'nav master'!$B:$B, 0)), "")</f>
        <v>ULIF05601/08/13BondFunds101</v>
      </c>
      <c r="E453" s="8" t="s">
        <v>596</v>
      </c>
      <c r="F453" s="8" t="s">
        <v>759</v>
      </c>
    </row>
    <row r="454" spans="1:6" ht="60" x14ac:dyDescent="0.25">
      <c r="A454" s="8" t="s">
        <v>125</v>
      </c>
      <c r="B454" s="8" t="s">
        <v>134</v>
      </c>
      <c r="C454" s="8" t="str">
        <f>IFERROR(_xlfn.XLOOKUP(TRIM(B454),Lookup!$B$2:$B$1000,Lookup!$C$2:$C$1000),"")</f>
        <v>Debt</v>
      </c>
      <c r="D454" s="8" t="str">
        <f>IFERROR(INDEX('nav master'!$C:$C, MATCH(B454, 'nav master'!$B:$B, 0)), "")</f>
        <v>ULIF05601/08/13BondFunds101</v>
      </c>
      <c r="E454" s="8" t="s">
        <v>598</v>
      </c>
      <c r="F454" s="8" t="s">
        <v>865</v>
      </c>
    </row>
    <row r="455" spans="1:6" ht="60" x14ac:dyDescent="0.25">
      <c r="A455" s="8" t="s">
        <v>125</v>
      </c>
      <c r="B455" s="8" t="s">
        <v>134</v>
      </c>
      <c r="C455" s="8" t="str">
        <f>IFERROR(_xlfn.XLOOKUP(TRIM(B455),Lookup!$B$2:$B$1000,Lookup!$C$2:$C$1000),"")</f>
        <v>Debt</v>
      </c>
      <c r="D455" s="8" t="str">
        <f>IFERROR(INDEX('nav master'!$C:$C, MATCH(B455, 'nav master'!$B:$B, 0)), "")</f>
        <v>ULIF05601/08/13BondFunds101</v>
      </c>
      <c r="E455" s="8" t="s">
        <v>600</v>
      </c>
      <c r="F455" s="8" t="s">
        <v>866</v>
      </c>
    </row>
    <row r="456" spans="1:6" ht="60" x14ac:dyDescent="0.25">
      <c r="A456" s="8" t="s">
        <v>125</v>
      </c>
      <c r="B456" s="8" t="s">
        <v>134</v>
      </c>
      <c r="C456" s="8" t="str">
        <f>IFERROR(_xlfn.XLOOKUP(TRIM(B456),Lookup!$B$2:$B$1000,Lookup!$C$2:$C$1000),"")</f>
        <v>Debt</v>
      </c>
      <c r="D456" s="8" t="str">
        <f>IFERROR(INDEX('nav master'!$C:$C, MATCH(B456, 'nav master'!$B:$B, 0)), "")</f>
        <v>ULIF05601/08/13BondFunds101</v>
      </c>
      <c r="E456" s="8" t="s">
        <v>602</v>
      </c>
      <c r="F456" s="8" t="s">
        <v>867</v>
      </c>
    </row>
    <row r="457" spans="1:6" ht="60" x14ac:dyDescent="0.25">
      <c r="A457" s="8" t="s">
        <v>125</v>
      </c>
      <c r="B457" s="8" t="s">
        <v>134</v>
      </c>
      <c r="C457" s="8" t="str">
        <f>IFERROR(_xlfn.XLOOKUP(TRIM(B457),Lookup!$B$2:$B$1000,Lookup!$C$2:$C$1000),"")</f>
        <v>Debt</v>
      </c>
      <c r="D457" s="8" t="str">
        <f>IFERROR(INDEX('nav master'!$C:$C, MATCH(B457, 'nav master'!$B:$B, 0)), "")</f>
        <v>ULIF05601/08/13BondFunds101</v>
      </c>
      <c r="E457" s="8" t="s">
        <v>604</v>
      </c>
      <c r="F457" s="8" t="s">
        <v>868</v>
      </c>
    </row>
    <row r="458" spans="1:6" ht="60" x14ac:dyDescent="0.25">
      <c r="A458" s="8" t="s">
        <v>125</v>
      </c>
      <c r="B458" s="8" t="s">
        <v>134</v>
      </c>
      <c r="C458" s="8" t="str">
        <f>IFERROR(_xlfn.XLOOKUP(TRIM(B458),Lookup!$B$2:$B$1000,Lookup!$C$2:$C$1000),"")</f>
        <v>Debt</v>
      </c>
      <c r="D458" s="8" t="str">
        <f>IFERROR(INDEX('nav master'!$C:$C, MATCH(B458, 'nav master'!$B:$B, 0)), "")</f>
        <v>ULIF05601/08/13BondFunds101</v>
      </c>
      <c r="E458" s="8" t="s">
        <v>606</v>
      </c>
      <c r="F458" s="8" t="s">
        <v>869</v>
      </c>
    </row>
    <row r="459" spans="1:6" ht="60" x14ac:dyDescent="0.25">
      <c r="A459" s="8" t="s">
        <v>125</v>
      </c>
      <c r="B459" s="8" t="s">
        <v>134</v>
      </c>
      <c r="C459" s="8" t="str">
        <f>IFERROR(_xlfn.XLOOKUP(TRIM(B459),Lookup!$B$2:$B$1000,Lookup!$C$2:$C$1000),"")</f>
        <v>Debt</v>
      </c>
      <c r="D459" s="8" t="str">
        <f>IFERROR(INDEX('nav master'!$C:$C, MATCH(B459, 'nav master'!$B:$B, 0)), "")</f>
        <v>ULIF05601/08/13BondFunds101</v>
      </c>
      <c r="E459" s="8" t="s">
        <v>608</v>
      </c>
      <c r="F459" s="8" t="s">
        <v>870</v>
      </c>
    </row>
    <row r="460" spans="1:6" ht="60" x14ac:dyDescent="0.25">
      <c r="A460" s="8" t="s">
        <v>125</v>
      </c>
      <c r="B460" s="8" t="s">
        <v>134</v>
      </c>
      <c r="C460" s="8" t="str">
        <f>IFERROR(_xlfn.XLOOKUP(TRIM(B460),Lookup!$B$2:$B$1000,Lookup!$C$2:$C$1000),"")</f>
        <v>Debt</v>
      </c>
      <c r="D460" s="8" t="str">
        <f>IFERROR(INDEX('nav master'!$C:$C, MATCH(B460, 'nav master'!$B:$B, 0)), "")</f>
        <v>ULIF05601/08/13BondFunds101</v>
      </c>
      <c r="E460" s="8" t="s">
        <v>610</v>
      </c>
      <c r="F460" s="8" t="s">
        <v>871</v>
      </c>
    </row>
    <row r="461" spans="1:6" ht="60" x14ac:dyDescent="0.25">
      <c r="A461" s="8" t="s">
        <v>125</v>
      </c>
      <c r="B461" s="8" t="s">
        <v>134</v>
      </c>
      <c r="C461" s="8" t="str">
        <f>IFERROR(_xlfn.XLOOKUP(TRIM(B461),Lookup!$B$2:$B$1000,Lookup!$C$2:$C$1000),"")</f>
        <v>Debt</v>
      </c>
      <c r="D461" s="8" t="str">
        <f>IFERROR(INDEX('nav master'!$C:$C, MATCH(B461, 'nav master'!$B:$B, 0)), "")</f>
        <v>ULIF05601/08/13BondFunds101</v>
      </c>
      <c r="E461" s="8" t="s">
        <v>612</v>
      </c>
      <c r="F461" s="8" t="s">
        <v>872</v>
      </c>
    </row>
    <row r="462" spans="1:6" ht="60" x14ac:dyDescent="0.25">
      <c r="A462" s="8" t="s">
        <v>125</v>
      </c>
      <c r="B462" s="8" t="s">
        <v>134</v>
      </c>
      <c r="C462" s="8" t="str">
        <f>IFERROR(_xlfn.XLOOKUP(TRIM(B462),Lookup!$B$2:$B$1000,Lookup!$C$2:$C$1000),"")</f>
        <v>Debt</v>
      </c>
      <c r="D462" s="8" t="str">
        <f>IFERROR(INDEX('nav master'!$C:$C, MATCH(B462, 'nav master'!$B:$B, 0)), "")</f>
        <v>ULIF05601/08/13BondFunds101</v>
      </c>
      <c r="E462" s="8" t="s">
        <v>614</v>
      </c>
      <c r="F462" s="8" t="s">
        <v>873</v>
      </c>
    </row>
    <row r="463" spans="1:6" ht="60" x14ac:dyDescent="0.25">
      <c r="A463" s="8" t="s">
        <v>125</v>
      </c>
      <c r="B463" s="8" t="s">
        <v>134</v>
      </c>
      <c r="C463" s="8" t="str">
        <f>IFERROR(_xlfn.XLOOKUP(TRIM(B463),Lookup!$B$2:$B$1000,Lookup!$C$2:$C$1000),"")</f>
        <v>Debt</v>
      </c>
      <c r="D463" s="8" t="str">
        <f>IFERROR(INDEX('nav master'!$C:$C, MATCH(B463, 'nav master'!$B:$B, 0)), "")</f>
        <v>ULIF05601/08/13BondFunds101</v>
      </c>
      <c r="E463" s="8" t="s">
        <v>616</v>
      </c>
      <c r="F463" s="8" t="s">
        <v>874</v>
      </c>
    </row>
    <row r="464" spans="1:6" ht="60" x14ac:dyDescent="0.25">
      <c r="A464" s="8" t="s">
        <v>125</v>
      </c>
      <c r="B464" s="8" t="s">
        <v>134</v>
      </c>
      <c r="C464" s="8" t="str">
        <f>IFERROR(_xlfn.XLOOKUP(TRIM(B464),Lookup!$B$2:$B$1000,Lookup!$C$2:$C$1000),"")</f>
        <v>Debt</v>
      </c>
      <c r="D464" s="8" t="str">
        <f>IFERROR(INDEX('nav master'!$C:$C, MATCH(B464, 'nav master'!$B:$B, 0)), "")</f>
        <v>ULIF05601/08/13BondFunds101</v>
      </c>
      <c r="E464" s="8" t="s">
        <v>618</v>
      </c>
      <c r="F464" s="8" t="s">
        <v>875</v>
      </c>
    </row>
    <row r="465" spans="1:6" ht="60" x14ac:dyDescent="0.25">
      <c r="A465" s="8" t="s">
        <v>125</v>
      </c>
      <c r="B465" s="8" t="s">
        <v>134</v>
      </c>
      <c r="C465" s="8" t="str">
        <f>IFERROR(_xlfn.XLOOKUP(TRIM(B465),Lookup!$B$2:$B$1000,Lookup!$C$2:$C$1000),"")</f>
        <v>Debt</v>
      </c>
      <c r="D465" s="8" t="str">
        <f>IFERROR(INDEX('nav master'!$C:$C, MATCH(B465, 'nav master'!$B:$B, 0)), "")</f>
        <v>ULIF05601/08/13BondFunds101</v>
      </c>
      <c r="E465" s="8" t="s">
        <v>620</v>
      </c>
      <c r="F465" s="8" t="s">
        <v>876</v>
      </c>
    </row>
    <row r="466" spans="1:6" ht="60" x14ac:dyDescent="0.25">
      <c r="A466" s="8" t="s">
        <v>125</v>
      </c>
      <c r="B466" s="8" t="s">
        <v>134</v>
      </c>
      <c r="C466" s="8" t="str">
        <f>IFERROR(_xlfn.XLOOKUP(TRIM(B466),Lookup!$B$2:$B$1000,Lookup!$C$2:$C$1000),"")</f>
        <v>Debt</v>
      </c>
      <c r="D466" s="8" t="str">
        <f>IFERROR(INDEX('nav master'!$C:$C, MATCH(B466, 'nav master'!$B:$B, 0)), "")</f>
        <v>ULIF05601/08/13BondFunds101</v>
      </c>
      <c r="E466" s="8" t="s">
        <v>622</v>
      </c>
      <c r="F466" s="8" t="s">
        <v>877</v>
      </c>
    </row>
    <row r="467" spans="1:6" ht="60" x14ac:dyDescent="0.25">
      <c r="A467" s="8" t="s">
        <v>125</v>
      </c>
      <c r="B467" s="8" t="s">
        <v>134</v>
      </c>
      <c r="C467" s="8" t="str">
        <f>IFERROR(_xlfn.XLOOKUP(TRIM(B467),Lookup!$B$2:$B$1000,Lookup!$C$2:$C$1000),"")</f>
        <v>Debt</v>
      </c>
      <c r="D467" s="8" t="str">
        <f>IFERROR(INDEX('nav master'!$C:$C, MATCH(B467, 'nav master'!$B:$B, 0)), "")</f>
        <v>ULIF05601/08/13BondFunds101</v>
      </c>
      <c r="E467" s="8" t="s">
        <v>624</v>
      </c>
      <c r="F467" s="8" t="s">
        <v>878</v>
      </c>
    </row>
    <row r="468" spans="1:6" ht="60" x14ac:dyDescent="0.25">
      <c r="A468" s="8" t="s">
        <v>125</v>
      </c>
      <c r="B468" s="8" t="s">
        <v>134</v>
      </c>
      <c r="C468" s="8" t="str">
        <f>IFERROR(_xlfn.XLOOKUP(TRIM(B468),Lookup!$B$2:$B$1000,Lookup!$C$2:$C$1000),"")</f>
        <v>Debt</v>
      </c>
      <c r="D468" s="8" t="str">
        <f>IFERROR(INDEX('nav master'!$C:$C, MATCH(B468, 'nav master'!$B:$B, 0)), "")</f>
        <v>ULIF05601/08/13BondFunds101</v>
      </c>
      <c r="E468" s="8" t="s">
        <v>626</v>
      </c>
      <c r="F468" s="8" t="s">
        <v>879</v>
      </c>
    </row>
    <row r="469" spans="1:6" ht="60" x14ac:dyDescent="0.25">
      <c r="A469" s="8" t="s">
        <v>125</v>
      </c>
      <c r="B469" s="8" t="s">
        <v>134</v>
      </c>
      <c r="C469" s="8" t="str">
        <f>IFERROR(_xlfn.XLOOKUP(TRIM(B469),Lookup!$B$2:$B$1000,Lookup!$C$2:$C$1000),"")</f>
        <v>Debt</v>
      </c>
      <c r="D469" s="8" t="str">
        <f>IFERROR(INDEX('nav master'!$C:$C, MATCH(B469, 'nav master'!$B:$B, 0)), "")</f>
        <v>ULIF05601/08/13BondFunds101</v>
      </c>
      <c r="E469" s="8" t="s">
        <v>628</v>
      </c>
      <c r="F469" s="8" t="s">
        <v>880</v>
      </c>
    </row>
    <row r="470" spans="1:6" ht="60" x14ac:dyDescent="0.25">
      <c r="A470" s="8" t="s">
        <v>125</v>
      </c>
      <c r="B470" s="8" t="s">
        <v>134</v>
      </c>
      <c r="C470" s="8" t="str">
        <f>IFERROR(_xlfn.XLOOKUP(TRIM(B470),Lookup!$B$2:$B$1000,Lookup!$C$2:$C$1000),"")</f>
        <v>Debt</v>
      </c>
      <c r="D470" s="8" t="str">
        <f>IFERROR(INDEX('nav master'!$C:$C, MATCH(B470, 'nav master'!$B:$B, 0)), "")</f>
        <v>ULIF05601/08/13BondFunds101</v>
      </c>
      <c r="E470" s="8" t="s">
        <v>630</v>
      </c>
      <c r="F470" s="8" t="s">
        <v>881</v>
      </c>
    </row>
    <row r="471" spans="1:6" ht="60" x14ac:dyDescent="0.25">
      <c r="A471" s="8" t="s">
        <v>125</v>
      </c>
      <c r="B471" s="8" t="s">
        <v>134</v>
      </c>
      <c r="C471" s="8" t="str">
        <f>IFERROR(_xlfn.XLOOKUP(TRIM(B471),Lookup!$B$2:$B$1000,Lookup!$C$2:$C$1000),"")</f>
        <v>Debt</v>
      </c>
      <c r="D471" s="8" t="str">
        <f>IFERROR(INDEX('nav master'!$C:$C, MATCH(B471, 'nav master'!$B:$B, 0)), "")</f>
        <v>ULIF05601/08/13BondFunds101</v>
      </c>
      <c r="E471" s="8" t="s">
        <v>632</v>
      </c>
      <c r="F471" s="8" t="s">
        <v>882</v>
      </c>
    </row>
    <row r="472" spans="1:6" ht="60" x14ac:dyDescent="0.25">
      <c r="A472" s="8" t="s">
        <v>125</v>
      </c>
      <c r="B472" s="8" t="s">
        <v>134</v>
      </c>
      <c r="C472" s="8" t="str">
        <f>IFERROR(_xlfn.XLOOKUP(TRIM(B472),Lookup!$B$2:$B$1000,Lookup!$C$2:$C$1000),"")</f>
        <v>Debt</v>
      </c>
      <c r="D472" s="8" t="str">
        <f>IFERROR(INDEX('nav master'!$C:$C, MATCH(B472, 'nav master'!$B:$B, 0)), "")</f>
        <v>ULIF05601/08/13BondFunds101</v>
      </c>
      <c r="E472" s="8" t="s">
        <v>634</v>
      </c>
      <c r="F472" s="8" t="s">
        <v>883</v>
      </c>
    </row>
    <row r="473" spans="1:6" ht="60" x14ac:dyDescent="0.25">
      <c r="A473" s="8" t="s">
        <v>125</v>
      </c>
      <c r="B473" s="8" t="s">
        <v>134</v>
      </c>
      <c r="C473" s="8" t="str">
        <f>IFERROR(_xlfn.XLOOKUP(TRIM(B473),Lookup!$B$2:$B$1000,Lookup!$C$2:$C$1000),"")</f>
        <v>Debt</v>
      </c>
      <c r="D473" s="8" t="str">
        <f>IFERROR(INDEX('nav master'!$C:$C, MATCH(B473, 'nav master'!$B:$B, 0)), "")</f>
        <v>ULIF05601/08/13BondFunds101</v>
      </c>
      <c r="E473" s="8" t="s">
        <v>636</v>
      </c>
      <c r="F473" s="8" t="s">
        <v>884</v>
      </c>
    </row>
    <row r="474" spans="1:6" ht="60" x14ac:dyDescent="0.25">
      <c r="A474" s="8" t="s">
        <v>125</v>
      </c>
      <c r="B474" s="8" t="s">
        <v>134</v>
      </c>
      <c r="C474" s="8" t="str">
        <f>IFERROR(_xlfn.XLOOKUP(TRIM(B474),Lookup!$B$2:$B$1000,Lookup!$C$2:$C$1000),"")</f>
        <v>Debt</v>
      </c>
      <c r="D474" s="8" t="str">
        <f>IFERROR(INDEX('nav master'!$C:$C, MATCH(B474, 'nav master'!$B:$B, 0)), "")</f>
        <v>ULIF05601/08/13BondFunds101</v>
      </c>
      <c r="E474" s="8" t="s">
        <v>638</v>
      </c>
      <c r="F474" s="8" t="s">
        <v>885</v>
      </c>
    </row>
    <row r="475" spans="1:6" ht="60" x14ac:dyDescent="0.25">
      <c r="A475" s="8" t="s">
        <v>125</v>
      </c>
      <c r="B475" s="8" t="s">
        <v>134</v>
      </c>
      <c r="C475" s="8" t="str">
        <f>IFERROR(_xlfn.XLOOKUP(TRIM(B475),Lookup!$B$2:$B$1000,Lookup!$C$2:$C$1000),"")</f>
        <v>Debt</v>
      </c>
      <c r="D475" s="8" t="str">
        <f>IFERROR(INDEX('nav master'!$C:$C, MATCH(B475, 'nav master'!$B:$B, 0)), "")</f>
        <v>ULIF05601/08/13BondFunds101</v>
      </c>
      <c r="E475" s="8" t="s">
        <v>640</v>
      </c>
      <c r="F475" s="8" t="s">
        <v>886</v>
      </c>
    </row>
    <row r="476" spans="1:6" ht="60" x14ac:dyDescent="0.25">
      <c r="A476" s="8" t="s">
        <v>125</v>
      </c>
      <c r="B476" s="8" t="s">
        <v>134</v>
      </c>
      <c r="C476" s="8" t="str">
        <f>IFERROR(_xlfn.XLOOKUP(TRIM(B476),Lookup!$B$2:$B$1000,Lookup!$C$2:$C$1000),"")</f>
        <v>Debt</v>
      </c>
      <c r="D476" s="8" t="str">
        <f>IFERROR(INDEX('nav master'!$C:$C, MATCH(B476, 'nav master'!$B:$B, 0)), "")</f>
        <v>ULIF05601/08/13BondFunds101</v>
      </c>
      <c r="E476" s="8" t="s">
        <v>642</v>
      </c>
      <c r="F476" s="8" t="s">
        <v>887</v>
      </c>
    </row>
    <row r="477" spans="1:6" ht="60" x14ac:dyDescent="0.25">
      <c r="A477" s="8" t="s">
        <v>125</v>
      </c>
      <c r="B477" s="8" t="s">
        <v>134</v>
      </c>
      <c r="C477" s="8" t="str">
        <f>IFERROR(_xlfn.XLOOKUP(TRIM(B477),Lookup!$B$2:$B$1000,Lookup!$C$2:$C$1000),"")</f>
        <v>Debt</v>
      </c>
      <c r="D477" s="8" t="str">
        <f>IFERROR(INDEX('nav master'!$C:$C, MATCH(B477, 'nav master'!$B:$B, 0)), "")</f>
        <v>ULIF05601/08/13BondFunds101</v>
      </c>
      <c r="E477" s="8" t="s">
        <v>644</v>
      </c>
      <c r="F477" s="8" t="s">
        <v>888</v>
      </c>
    </row>
    <row r="478" spans="1:6" ht="60" x14ac:dyDescent="0.25">
      <c r="A478" s="8" t="s">
        <v>125</v>
      </c>
      <c r="B478" s="8" t="s">
        <v>134</v>
      </c>
      <c r="C478" s="8" t="str">
        <f>IFERROR(_xlfn.XLOOKUP(TRIM(B478),Lookup!$B$2:$B$1000,Lookup!$C$2:$C$1000),"")</f>
        <v>Debt</v>
      </c>
      <c r="D478" s="8" t="str">
        <f>IFERROR(INDEX('nav master'!$C:$C, MATCH(B478, 'nav master'!$B:$B, 0)), "")</f>
        <v>ULIF05601/08/13BondFunds101</v>
      </c>
      <c r="E478" s="8" t="s">
        <v>646</v>
      </c>
      <c r="F478" s="8" t="s">
        <v>889</v>
      </c>
    </row>
    <row r="479" spans="1:6" ht="60" x14ac:dyDescent="0.25">
      <c r="A479" s="8" t="s">
        <v>125</v>
      </c>
      <c r="B479" s="8" t="s">
        <v>134</v>
      </c>
      <c r="C479" s="8" t="str">
        <f>IFERROR(_xlfn.XLOOKUP(TRIM(B479),Lookup!$B$2:$B$1000,Lookup!$C$2:$C$1000),"")</f>
        <v>Debt</v>
      </c>
      <c r="D479" s="8" t="str">
        <f>IFERROR(INDEX('nav master'!$C:$C, MATCH(B479, 'nav master'!$B:$B, 0)), "")</f>
        <v>ULIF05601/08/13BondFunds101</v>
      </c>
      <c r="E479" s="8" t="s">
        <v>648</v>
      </c>
      <c r="F479" s="8" t="s">
        <v>890</v>
      </c>
    </row>
    <row r="480" spans="1:6" ht="60" x14ac:dyDescent="0.25">
      <c r="A480" s="8" t="s">
        <v>125</v>
      </c>
      <c r="B480" s="8" t="s">
        <v>134</v>
      </c>
      <c r="C480" s="8" t="str">
        <f>IFERROR(_xlfn.XLOOKUP(TRIM(B480),Lookup!$B$2:$B$1000,Lookup!$C$2:$C$1000),"")</f>
        <v>Debt</v>
      </c>
      <c r="D480" s="8" t="str">
        <f>IFERROR(INDEX('nav master'!$C:$C, MATCH(B480, 'nav master'!$B:$B, 0)), "")</f>
        <v>ULIF05601/08/13BondFunds101</v>
      </c>
      <c r="E480" s="8" t="s">
        <v>650</v>
      </c>
      <c r="F480" s="8" t="s">
        <v>891</v>
      </c>
    </row>
    <row r="481" spans="1:6" ht="60" x14ac:dyDescent="0.25">
      <c r="A481" s="8" t="s">
        <v>125</v>
      </c>
      <c r="B481" s="8" t="s">
        <v>134</v>
      </c>
      <c r="C481" s="8" t="str">
        <f>IFERROR(_xlfn.XLOOKUP(TRIM(B481),Lookup!$B$2:$B$1000,Lookup!$C$2:$C$1000),"")</f>
        <v>Debt</v>
      </c>
      <c r="D481" s="8" t="str">
        <f>IFERROR(INDEX('nav master'!$C:$C, MATCH(B481, 'nav master'!$B:$B, 0)), "")</f>
        <v>ULIF05601/08/13BondFunds101</v>
      </c>
      <c r="E481" s="8" t="s">
        <v>652</v>
      </c>
      <c r="F481" s="8" t="s">
        <v>892</v>
      </c>
    </row>
    <row r="482" spans="1:6" ht="60" x14ac:dyDescent="0.25">
      <c r="A482" s="8" t="s">
        <v>125</v>
      </c>
      <c r="B482" s="8" t="s">
        <v>134</v>
      </c>
      <c r="C482" s="8" t="str">
        <f>IFERROR(_xlfn.XLOOKUP(TRIM(B482),Lookup!$B$2:$B$1000,Lookup!$C$2:$C$1000),"")</f>
        <v>Debt</v>
      </c>
      <c r="D482" s="8" t="str">
        <f>IFERROR(INDEX('nav master'!$C:$C, MATCH(B482, 'nav master'!$B:$B, 0)), "")</f>
        <v>ULIF05601/08/13BondFunds101</v>
      </c>
      <c r="E482" s="8" t="s">
        <v>654</v>
      </c>
      <c r="F482" s="8" t="s">
        <v>893</v>
      </c>
    </row>
    <row r="483" spans="1:6" ht="60" x14ac:dyDescent="0.25">
      <c r="A483" s="8" t="s">
        <v>125</v>
      </c>
      <c r="B483" s="8" t="s">
        <v>134</v>
      </c>
      <c r="C483" s="8" t="str">
        <f>IFERROR(_xlfn.XLOOKUP(TRIM(B483),Lookup!$B$2:$B$1000,Lookup!$C$2:$C$1000),"")</f>
        <v>Debt</v>
      </c>
      <c r="D483" s="8" t="str">
        <f>IFERROR(INDEX('nav master'!$C:$C, MATCH(B483, 'nav master'!$B:$B, 0)), "")</f>
        <v>ULIF05601/08/13BondFunds101</v>
      </c>
      <c r="E483" s="8" t="s">
        <v>656</v>
      </c>
      <c r="F483" s="8" t="s">
        <v>894</v>
      </c>
    </row>
    <row r="484" spans="1:6" ht="60" x14ac:dyDescent="0.25">
      <c r="A484" s="8" t="s">
        <v>125</v>
      </c>
      <c r="B484" s="8" t="s">
        <v>134</v>
      </c>
      <c r="C484" s="8" t="str">
        <f>IFERROR(_xlfn.XLOOKUP(TRIM(B484),Lookup!$B$2:$B$1000,Lookup!$C$2:$C$1000),"")</f>
        <v>Debt</v>
      </c>
      <c r="D484" s="8" t="str">
        <f>IFERROR(INDEX('nav master'!$C:$C, MATCH(B484, 'nav master'!$B:$B, 0)), "")</f>
        <v>ULIF05601/08/13BondFunds101</v>
      </c>
      <c r="E484" s="8" t="s">
        <v>658</v>
      </c>
      <c r="F484" s="8" t="s">
        <v>895</v>
      </c>
    </row>
    <row r="485" spans="1:6" ht="60" x14ac:dyDescent="0.25">
      <c r="A485" s="8" t="s">
        <v>125</v>
      </c>
      <c r="B485" s="8" t="s">
        <v>134</v>
      </c>
      <c r="C485" s="8" t="str">
        <f>IFERROR(_xlfn.XLOOKUP(TRIM(B485),Lookup!$B$2:$B$1000,Lookup!$C$2:$C$1000),"")</f>
        <v>Debt</v>
      </c>
      <c r="D485" s="8" t="str">
        <f>IFERROR(INDEX('nav master'!$C:$C, MATCH(B485, 'nav master'!$B:$B, 0)), "")</f>
        <v>ULIF05601/08/13BondFunds101</v>
      </c>
      <c r="E485" s="8" t="s">
        <v>660</v>
      </c>
      <c r="F485" s="8" t="s">
        <v>896</v>
      </c>
    </row>
    <row r="486" spans="1:6" ht="60" x14ac:dyDescent="0.25">
      <c r="A486" s="8" t="s">
        <v>125</v>
      </c>
      <c r="B486" s="8" t="s">
        <v>134</v>
      </c>
      <c r="C486" s="8" t="str">
        <f>IFERROR(_xlfn.XLOOKUP(TRIM(B486),Lookup!$B$2:$B$1000,Lookup!$C$2:$C$1000),"")</f>
        <v>Debt</v>
      </c>
      <c r="D486" s="8" t="str">
        <f>IFERROR(INDEX('nav master'!$C:$C, MATCH(B486, 'nav master'!$B:$B, 0)), "")</f>
        <v>ULIF05601/08/13BondFunds101</v>
      </c>
      <c r="E486" s="8" t="s">
        <v>662</v>
      </c>
      <c r="F486" s="8" t="s">
        <v>897</v>
      </c>
    </row>
    <row r="487" spans="1:6" ht="60" x14ac:dyDescent="0.25">
      <c r="A487" s="8" t="s">
        <v>125</v>
      </c>
      <c r="B487" s="8" t="s">
        <v>134</v>
      </c>
      <c r="C487" s="8" t="str">
        <f>IFERROR(_xlfn.XLOOKUP(TRIM(B487),Lookup!$B$2:$B$1000,Lookup!$C$2:$C$1000),"")</f>
        <v>Debt</v>
      </c>
      <c r="D487" s="8" t="str">
        <f>IFERROR(INDEX('nav master'!$C:$C, MATCH(B487, 'nav master'!$B:$B, 0)), "")</f>
        <v>ULIF05601/08/13BondFunds101</v>
      </c>
      <c r="E487" s="8" t="s">
        <v>664</v>
      </c>
      <c r="F487" s="8" t="s">
        <v>898</v>
      </c>
    </row>
    <row r="488" spans="1:6" ht="60" x14ac:dyDescent="0.25">
      <c r="A488" s="8" t="s">
        <v>125</v>
      </c>
      <c r="B488" s="8" t="s">
        <v>134</v>
      </c>
      <c r="C488" s="8" t="str">
        <f>IFERROR(_xlfn.XLOOKUP(TRIM(B488),Lookup!$B$2:$B$1000,Lookup!$C$2:$C$1000),"")</f>
        <v>Debt</v>
      </c>
      <c r="D488" s="8" t="str">
        <f>IFERROR(INDEX('nav master'!$C:$C, MATCH(B488, 'nav master'!$B:$B, 0)), "")</f>
        <v>ULIF05601/08/13BondFunds101</v>
      </c>
      <c r="E488" s="8" t="s">
        <v>4892</v>
      </c>
      <c r="F488" s="8" t="s">
        <v>4907</v>
      </c>
    </row>
    <row r="489" spans="1:6" ht="60" x14ac:dyDescent="0.25">
      <c r="A489" s="8" t="s">
        <v>125</v>
      </c>
      <c r="B489" s="8" t="s">
        <v>134</v>
      </c>
      <c r="C489" s="8" t="str">
        <f>IFERROR(_xlfn.XLOOKUP(TRIM(B489),Lookup!$B$2:$B$1000,Lookup!$C$2:$C$1000),"")</f>
        <v>Debt</v>
      </c>
      <c r="D489" s="8" t="str">
        <f>IFERROR(INDEX('nav master'!$C:$C, MATCH(B489, 'nav master'!$B:$B, 0)), "")</f>
        <v>ULIF05601/08/13BondFunds101</v>
      </c>
      <c r="E489" s="8" t="s">
        <v>4894</v>
      </c>
      <c r="F489" s="8" t="s">
        <v>4908</v>
      </c>
    </row>
    <row r="490" spans="1:6" ht="60" x14ac:dyDescent="0.25">
      <c r="A490" s="8" t="s">
        <v>125</v>
      </c>
      <c r="B490" s="8" t="s">
        <v>134</v>
      </c>
      <c r="C490" s="8" t="str">
        <f>IFERROR(_xlfn.XLOOKUP(TRIM(B490),Lookup!$B$2:$B$1000,Lookup!$C$2:$C$1000),"")</f>
        <v>Debt</v>
      </c>
      <c r="D490" s="8" t="str">
        <f>IFERROR(INDEX('nav master'!$C:$C, MATCH(B490, 'nav master'!$B:$B, 0)), "")</f>
        <v>ULIF05601/08/13BondFunds101</v>
      </c>
      <c r="E490" s="8" t="s">
        <v>4896</v>
      </c>
      <c r="F490" s="8" t="s">
        <v>4909</v>
      </c>
    </row>
    <row r="491" spans="1:6" ht="60" x14ac:dyDescent="0.25">
      <c r="A491" s="8" t="s">
        <v>125</v>
      </c>
      <c r="B491" s="8" t="s">
        <v>134</v>
      </c>
      <c r="C491" s="8" t="str">
        <f>IFERROR(_xlfn.XLOOKUP(TRIM(B491),Lookup!$B$2:$B$1000,Lookup!$C$2:$C$1000),"")</f>
        <v>Debt</v>
      </c>
      <c r="D491" s="8" t="str">
        <f>IFERROR(INDEX('nav master'!$C:$C, MATCH(B491, 'nav master'!$B:$B, 0)), "")</f>
        <v>ULIF05601/08/13BondFunds101</v>
      </c>
      <c r="E491" s="8" t="s">
        <v>4898</v>
      </c>
      <c r="F491" s="8" t="s">
        <v>4910</v>
      </c>
    </row>
    <row r="492" spans="1:6" ht="60" x14ac:dyDescent="0.25">
      <c r="A492" s="8" t="s">
        <v>125</v>
      </c>
      <c r="B492" s="8" t="s">
        <v>134</v>
      </c>
      <c r="C492" s="8" t="str">
        <f>IFERROR(_xlfn.XLOOKUP(TRIM(B492),Lookup!$B$2:$B$1000,Lookup!$C$2:$C$1000),"")</f>
        <v>Debt</v>
      </c>
      <c r="D492" s="8" t="str">
        <f>IFERROR(INDEX('nav master'!$C:$C, MATCH(B492, 'nav master'!$B:$B, 0)), "")</f>
        <v>ULIF05601/08/13BondFunds101</v>
      </c>
      <c r="E492" s="8" t="s">
        <v>4900</v>
      </c>
      <c r="F492" s="8" t="s">
        <v>4911</v>
      </c>
    </row>
    <row r="493" spans="1:6" ht="60" x14ac:dyDescent="0.25">
      <c r="A493" s="8" t="s">
        <v>125</v>
      </c>
      <c r="B493" s="8" t="s">
        <v>134</v>
      </c>
      <c r="C493" s="8" t="str">
        <f>IFERROR(_xlfn.XLOOKUP(TRIM(B493),Lookup!$B$2:$B$1000,Lookup!$C$2:$C$1000),"")</f>
        <v>Debt</v>
      </c>
      <c r="D493" s="8" t="str">
        <f>IFERROR(INDEX('nav master'!$C:$C, MATCH(B493, 'nav master'!$B:$B, 0)), "")</f>
        <v>ULIF05601/08/13BondFunds101</v>
      </c>
      <c r="E493" s="8" t="s">
        <v>4902</v>
      </c>
      <c r="F493" s="8" t="s">
        <v>4912</v>
      </c>
    </row>
    <row r="494" spans="1:6" ht="60" x14ac:dyDescent="0.25">
      <c r="A494" s="8" t="s">
        <v>125</v>
      </c>
      <c r="B494" s="8" t="s">
        <v>134</v>
      </c>
      <c r="C494" s="8" t="str">
        <f>IFERROR(_xlfn.XLOOKUP(TRIM(B494),Lookup!$B$2:$B$1000,Lookup!$C$2:$C$1000),"")</f>
        <v>Debt</v>
      </c>
      <c r="D494" s="8" t="str">
        <f>IFERROR(INDEX('nav master'!$C:$C, MATCH(B494, 'nav master'!$B:$B, 0)), "")</f>
        <v>ULIF05601/08/13BondFunds101</v>
      </c>
      <c r="E494" s="8" t="s">
        <v>4903</v>
      </c>
      <c r="F494" s="8" t="s">
        <v>4913</v>
      </c>
    </row>
    <row r="495" spans="1:6" ht="60" x14ac:dyDescent="0.25">
      <c r="A495" s="8" t="s">
        <v>125</v>
      </c>
      <c r="B495" s="8" t="s">
        <v>134</v>
      </c>
      <c r="C495" s="8" t="str">
        <f>IFERROR(_xlfn.XLOOKUP(TRIM(B495),Lookup!$B$2:$B$1000,Lookup!$C$2:$C$1000),"")</f>
        <v>Debt</v>
      </c>
      <c r="D495" s="8" t="str">
        <f>IFERROR(INDEX('nav master'!$C:$C, MATCH(B495, 'nav master'!$B:$B, 0)), "")</f>
        <v>ULIF05601/08/13BondFunds101</v>
      </c>
      <c r="E495" s="8" t="s">
        <v>4905</v>
      </c>
      <c r="F495" s="8" t="s">
        <v>4914</v>
      </c>
    </row>
    <row r="496" spans="1:6" ht="60" x14ac:dyDescent="0.25">
      <c r="A496" s="8" t="s">
        <v>125</v>
      </c>
      <c r="B496" s="8" t="s">
        <v>136</v>
      </c>
      <c r="C496" s="8" t="str">
        <f>IFERROR(_xlfn.XLOOKUP(TRIM(B496),Lookup!$B$2:$B$1000,Lookup!$C$2:$C$1000),"")</f>
        <v>Equity</v>
      </c>
      <c r="D496" s="8" t="str">
        <f>IFERROR(INDEX('nav master'!$C:$C, MATCH(B496, 'nav master'!$B:$B, 0)), "")</f>
        <v>ULIF06618/01/18DiscvryFnd101</v>
      </c>
      <c r="E496" s="8" t="s">
        <v>189</v>
      </c>
      <c r="F496" s="8" t="s">
        <v>899</v>
      </c>
    </row>
    <row r="497" spans="1:6" ht="60" x14ac:dyDescent="0.25">
      <c r="A497" s="8" t="s">
        <v>125</v>
      </c>
      <c r="B497" s="8" t="s">
        <v>136</v>
      </c>
      <c r="C497" s="8" t="str">
        <f>IFERROR(_xlfn.XLOOKUP(TRIM(B497),Lookup!$B$2:$B$1000,Lookup!$C$2:$C$1000),"")</f>
        <v>Equity</v>
      </c>
      <c r="D497" s="8" t="str">
        <f>IFERROR(INDEX('nav master'!$C:$C, MATCH(B497, 'nav master'!$B:$B, 0)), "")</f>
        <v>ULIF06618/01/18DiscvryFnd101</v>
      </c>
      <c r="E497" s="8" t="s">
        <v>191</v>
      </c>
      <c r="F497" s="8" t="s">
        <v>900</v>
      </c>
    </row>
    <row r="498" spans="1:6" ht="60" x14ac:dyDescent="0.25">
      <c r="A498" s="8" t="s">
        <v>125</v>
      </c>
      <c r="B498" s="8" t="s">
        <v>136</v>
      </c>
      <c r="C498" s="8" t="str">
        <f>IFERROR(_xlfn.XLOOKUP(TRIM(B498),Lookup!$B$2:$B$1000,Lookup!$C$2:$C$1000),"")</f>
        <v>Equity</v>
      </c>
      <c r="D498" s="8" t="str">
        <f>IFERROR(INDEX('nav master'!$C:$C, MATCH(B498, 'nav master'!$B:$B, 0)), "")</f>
        <v>ULIF06618/01/18DiscvryFnd101</v>
      </c>
      <c r="E498" s="8" t="s">
        <v>193</v>
      </c>
      <c r="F498" s="8" t="s">
        <v>901</v>
      </c>
    </row>
    <row r="499" spans="1:6" ht="60" x14ac:dyDescent="0.25">
      <c r="A499" s="8" t="s">
        <v>125</v>
      </c>
      <c r="B499" s="8" t="s">
        <v>136</v>
      </c>
      <c r="C499" s="8" t="str">
        <f>IFERROR(_xlfn.XLOOKUP(TRIM(B499),Lookup!$B$2:$B$1000,Lookup!$C$2:$C$1000),"")</f>
        <v>Equity</v>
      </c>
      <c r="D499" s="8" t="str">
        <f>IFERROR(INDEX('nav master'!$C:$C, MATCH(B499, 'nav master'!$B:$B, 0)), "")</f>
        <v>ULIF06618/01/18DiscvryFnd101</v>
      </c>
      <c r="E499" s="8" t="s">
        <v>195</v>
      </c>
      <c r="F499" s="8" t="s">
        <v>902</v>
      </c>
    </row>
    <row r="500" spans="1:6" ht="60" x14ac:dyDescent="0.25">
      <c r="A500" s="8" t="s">
        <v>125</v>
      </c>
      <c r="B500" s="8" t="s">
        <v>136</v>
      </c>
      <c r="C500" s="8" t="str">
        <f>IFERROR(_xlfn.XLOOKUP(TRIM(B500),Lookup!$B$2:$B$1000,Lookup!$C$2:$C$1000),"")</f>
        <v>Equity</v>
      </c>
      <c r="D500" s="8" t="str">
        <f>IFERROR(INDEX('nav master'!$C:$C, MATCH(B500, 'nav master'!$B:$B, 0)), "")</f>
        <v>ULIF06618/01/18DiscvryFnd101</v>
      </c>
      <c r="E500" s="8" t="s">
        <v>197</v>
      </c>
      <c r="F500" s="8" t="s">
        <v>903</v>
      </c>
    </row>
    <row r="501" spans="1:6" ht="60" x14ac:dyDescent="0.25">
      <c r="A501" s="8" t="s">
        <v>125</v>
      </c>
      <c r="B501" s="8" t="s">
        <v>136</v>
      </c>
      <c r="C501" s="8" t="str">
        <f>IFERROR(_xlfn.XLOOKUP(TRIM(B501),Lookup!$B$2:$B$1000,Lookup!$C$2:$C$1000),"")</f>
        <v>Equity</v>
      </c>
      <c r="D501" s="8" t="str">
        <f>IFERROR(INDEX('nav master'!$C:$C, MATCH(B501, 'nav master'!$B:$B, 0)), "")</f>
        <v>ULIF06618/01/18DiscvryFnd101</v>
      </c>
      <c r="E501" s="8" t="s">
        <v>199</v>
      </c>
      <c r="F501" s="8" t="s">
        <v>904</v>
      </c>
    </row>
    <row r="502" spans="1:6" ht="60" x14ac:dyDescent="0.25">
      <c r="A502" s="8" t="s">
        <v>125</v>
      </c>
      <c r="B502" s="8" t="s">
        <v>136</v>
      </c>
      <c r="C502" s="8" t="str">
        <f>IFERROR(_xlfn.XLOOKUP(TRIM(B502),Lookup!$B$2:$B$1000,Lookup!$C$2:$C$1000),"")</f>
        <v>Equity</v>
      </c>
      <c r="D502" s="8" t="str">
        <f>IFERROR(INDEX('nav master'!$C:$C, MATCH(B502, 'nav master'!$B:$B, 0)), "")</f>
        <v>ULIF06618/01/18DiscvryFnd101</v>
      </c>
      <c r="E502" s="8" t="s">
        <v>201</v>
      </c>
      <c r="F502" s="8" t="s">
        <v>905</v>
      </c>
    </row>
    <row r="503" spans="1:6" ht="60" x14ac:dyDescent="0.25">
      <c r="A503" s="8" t="s">
        <v>125</v>
      </c>
      <c r="B503" s="8" t="s">
        <v>136</v>
      </c>
      <c r="C503" s="8" t="str">
        <f>IFERROR(_xlfn.XLOOKUP(TRIM(B503),Lookup!$B$2:$B$1000,Lookup!$C$2:$C$1000),"")</f>
        <v>Equity</v>
      </c>
      <c r="D503" s="8" t="str">
        <f>IFERROR(INDEX('nav master'!$C:$C, MATCH(B503, 'nav master'!$B:$B, 0)), "")</f>
        <v>ULIF06618/01/18DiscvryFnd101</v>
      </c>
      <c r="E503" s="8" t="s">
        <v>203</v>
      </c>
      <c r="F503" s="8" t="s">
        <v>906</v>
      </c>
    </row>
    <row r="504" spans="1:6" ht="60" x14ac:dyDescent="0.25">
      <c r="A504" s="8" t="s">
        <v>125</v>
      </c>
      <c r="B504" s="8" t="s">
        <v>136</v>
      </c>
      <c r="C504" s="8" t="str">
        <f>IFERROR(_xlfn.XLOOKUP(TRIM(B504),Lookup!$B$2:$B$1000,Lookup!$C$2:$C$1000),"")</f>
        <v>Equity</v>
      </c>
      <c r="D504" s="8" t="str">
        <f>IFERROR(INDEX('nav master'!$C:$C, MATCH(B504, 'nav master'!$B:$B, 0)), "")</f>
        <v>ULIF06618/01/18DiscvryFnd101</v>
      </c>
      <c r="E504" s="8" t="s">
        <v>205</v>
      </c>
      <c r="F504" s="8" t="s">
        <v>907</v>
      </c>
    </row>
    <row r="505" spans="1:6" ht="60" x14ac:dyDescent="0.25">
      <c r="A505" s="8" t="s">
        <v>125</v>
      </c>
      <c r="B505" s="8" t="s">
        <v>136</v>
      </c>
      <c r="C505" s="8" t="str">
        <f>IFERROR(_xlfn.XLOOKUP(TRIM(B505),Lookup!$B$2:$B$1000,Lookup!$C$2:$C$1000),"")</f>
        <v>Equity</v>
      </c>
      <c r="D505" s="8" t="str">
        <f>IFERROR(INDEX('nav master'!$C:$C, MATCH(B505, 'nav master'!$B:$B, 0)), "")</f>
        <v>ULIF06618/01/18DiscvryFnd101</v>
      </c>
      <c r="E505" s="8" t="s">
        <v>207</v>
      </c>
      <c r="F505" s="8" t="s">
        <v>908</v>
      </c>
    </row>
    <row r="506" spans="1:6" ht="60" x14ac:dyDescent="0.25">
      <c r="A506" s="8" t="s">
        <v>125</v>
      </c>
      <c r="B506" s="8" t="s">
        <v>136</v>
      </c>
      <c r="C506" s="8" t="str">
        <f>IFERROR(_xlfn.XLOOKUP(TRIM(B506),Lookup!$B$2:$B$1000,Lookup!$C$2:$C$1000),"")</f>
        <v>Equity</v>
      </c>
      <c r="D506" s="8" t="str">
        <f>IFERROR(INDEX('nav master'!$C:$C, MATCH(B506, 'nav master'!$B:$B, 0)), "")</f>
        <v>ULIF06618/01/18DiscvryFnd101</v>
      </c>
      <c r="E506" s="8" t="s">
        <v>209</v>
      </c>
      <c r="F506" s="8" t="s">
        <v>909</v>
      </c>
    </row>
    <row r="507" spans="1:6" ht="60" x14ac:dyDescent="0.25">
      <c r="A507" s="8" t="s">
        <v>125</v>
      </c>
      <c r="B507" s="8" t="s">
        <v>136</v>
      </c>
      <c r="C507" s="8" t="str">
        <f>IFERROR(_xlfn.XLOOKUP(TRIM(B507),Lookup!$B$2:$B$1000,Lookup!$C$2:$C$1000),"")</f>
        <v>Equity</v>
      </c>
      <c r="D507" s="8" t="str">
        <f>IFERROR(INDEX('nav master'!$C:$C, MATCH(B507, 'nav master'!$B:$B, 0)), "")</f>
        <v>ULIF06618/01/18DiscvryFnd101</v>
      </c>
      <c r="E507" s="8" t="s">
        <v>211</v>
      </c>
      <c r="F507" s="8" t="s">
        <v>910</v>
      </c>
    </row>
    <row r="508" spans="1:6" ht="60" x14ac:dyDescent="0.25">
      <c r="A508" s="8" t="s">
        <v>125</v>
      </c>
      <c r="B508" s="8" t="s">
        <v>136</v>
      </c>
      <c r="C508" s="8" t="str">
        <f>IFERROR(_xlfn.XLOOKUP(TRIM(B508),Lookup!$B$2:$B$1000,Lookup!$C$2:$C$1000),"")</f>
        <v>Equity</v>
      </c>
      <c r="D508" s="8" t="str">
        <f>IFERROR(INDEX('nav master'!$C:$C, MATCH(B508, 'nav master'!$B:$B, 0)), "")</f>
        <v>ULIF06618/01/18DiscvryFnd101</v>
      </c>
      <c r="E508" s="8" t="s">
        <v>213</v>
      </c>
      <c r="F508" s="8" t="s">
        <v>911</v>
      </c>
    </row>
    <row r="509" spans="1:6" ht="60" x14ac:dyDescent="0.25">
      <c r="A509" s="8" t="s">
        <v>125</v>
      </c>
      <c r="B509" s="8" t="s">
        <v>136</v>
      </c>
      <c r="C509" s="8" t="str">
        <f>IFERROR(_xlfn.XLOOKUP(TRIM(B509),Lookup!$B$2:$B$1000,Lookup!$C$2:$C$1000),"")</f>
        <v>Equity</v>
      </c>
      <c r="D509" s="8" t="str">
        <f>IFERROR(INDEX('nav master'!$C:$C, MATCH(B509, 'nav master'!$B:$B, 0)), "")</f>
        <v>ULIF06618/01/18DiscvryFnd101</v>
      </c>
      <c r="E509" s="8" t="s">
        <v>215</v>
      </c>
      <c r="F509" s="8" t="s">
        <v>912</v>
      </c>
    </row>
    <row r="510" spans="1:6" ht="60" x14ac:dyDescent="0.25">
      <c r="A510" s="8" t="s">
        <v>125</v>
      </c>
      <c r="B510" s="8" t="s">
        <v>136</v>
      </c>
      <c r="C510" s="8" t="str">
        <f>IFERROR(_xlfn.XLOOKUP(TRIM(B510),Lookup!$B$2:$B$1000,Lookup!$C$2:$C$1000),"")</f>
        <v>Equity</v>
      </c>
      <c r="D510" s="8" t="str">
        <f>IFERROR(INDEX('nav master'!$C:$C, MATCH(B510, 'nav master'!$B:$B, 0)), "")</f>
        <v>ULIF06618/01/18DiscvryFnd101</v>
      </c>
      <c r="E510" s="8" t="s">
        <v>217</v>
      </c>
      <c r="F510" s="8" t="s">
        <v>913</v>
      </c>
    </row>
    <row r="511" spans="1:6" ht="60" x14ac:dyDescent="0.25">
      <c r="A511" s="8" t="s">
        <v>125</v>
      </c>
      <c r="B511" s="8" t="s">
        <v>136</v>
      </c>
      <c r="C511" s="8" t="str">
        <f>IFERROR(_xlfn.XLOOKUP(TRIM(B511),Lookup!$B$2:$B$1000,Lookup!$C$2:$C$1000),"")</f>
        <v>Equity</v>
      </c>
      <c r="D511" s="8" t="str">
        <f>IFERROR(INDEX('nav master'!$C:$C, MATCH(B511, 'nav master'!$B:$B, 0)), "")</f>
        <v>ULIF06618/01/18DiscvryFnd101</v>
      </c>
      <c r="E511" s="8" t="s">
        <v>219</v>
      </c>
      <c r="F511" s="8" t="s">
        <v>914</v>
      </c>
    </row>
    <row r="512" spans="1:6" ht="60" x14ac:dyDescent="0.25">
      <c r="A512" s="8" t="s">
        <v>125</v>
      </c>
      <c r="B512" s="8" t="s">
        <v>136</v>
      </c>
      <c r="C512" s="8" t="str">
        <f>IFERROR(_xlfn.XLOOKUP(TRIM(B512),Lookup!$B$2:$B$1000,Lookup!$C$2:$C$1000),"")</f>
        <v>Equity</v>
      </c>
      <c r="D512" s="8" t="str">
        <f>IFERROR(INDEX('nav master'!$C:$C, MATCH(B512, 'nav master'!$B:$B, 0)), "")</f>
        <v>ULIF06618/01/18DiscvryFnd101</v>
      </c>
      <c r="E512" s="8" t="s">
        <v>221</v>
      </c>
      <c r="F512" s="8" t="s">
        <v>915</v>
      </c>
    </row>
    <row r="513" spans="1:6" ht="60" x14ac:dyDescent="0.25">
      <c r="A513" s="8" t="s">
        <v>125</v>
      </c>
      <c r="B513" s="8" t="s">
        <v>136</v>
      </c>
      <c r="C513" s="8" t="str">
        <f>IFERROR(_xlfn.XLOOKUP(TRIM(B513),Lookup!$B$2:$B$1000,Lookup!$C$2:$C$1000),"")</f>
        <v>Equity</v>
      </c>
      <c r="D513" s="8" t="str">
        <f>IFERROR(INDEX('nav master'!$C:$C, MATCH(B513, 'nav master'!$B:$B, 0)), "")</f>
        <v>ULIF06618/01/18DiscvryFnd101</v>
      </c>
      <c r="E513" s="8" t="s">
        <v>223</v>
      </c>
      <c r="F513" s="8" t="s">
        <v>916</v>
      </c>
    </row>
    <row r="514" spans="1:6" ht="60" x14ac:dyDescent="0.25">
      <c r="A514" s="8" t="s">
        <v>125</v>
      </c>
      <c r="B514" s="8" t="s">
        <v>136</v>
      </c>
      <c r="C514" s="8" t="str">
        <f>IFERROR(_xlfn.XLOOKUP(TRIM(B514),Lookup!$B$2:$B$1000,Lookup!$C$2:$C$1000),"")</f>
        <v>Equity</v>
      </c>
      <c r="D514" s="8" t="str">
        <f>IFERROR(INDEX('nav master'!$C:$C, MATCH(B514, 'nav master'!$B:$B, 0)), "")</f>
        <v>ULIF06618/01/18DiscvryFnd101</v>
      </c>
      <c r="E514" s="8" t="s">
        <v>225</v>
      </c>
      <c r="F514" s="8" t="s">
        <v>917</v>
      </c>
    </row>
    <row r="515" spans="1:6" ht="60" x14ac:dyDescent="0.25">
      <c r="A515" s="8" t="s">
        <v>125</v>
      </c>
      <c r="B515" s="8" t="s">
        <v>136</v>
      </c>
      <c r="C515" s="8" t="str">
        <f>IFERROR(_xlfn.XLOOKUP(TRIM(B515),Lookup!$B$2:$B$1000,Lookup!$C$2:$C$1000),"")</f>
        <v>Equity</v>
      </c>
      <c r="D515" s="8" t="str">
        <f>IFERROR(INDEX('nav master'!$C:$C, MATCH(B515, 'nav master'!$B:$B, 0)), "")</f>
        <v>ULIF06618/01/18DiscvryFnd101</v>
      </c>
      <c r="E515" s="8" t="s">
        <v>227</v>
      </c>
      <c r="F515" s="8" t="s">
        <v>918</v>
      </c>
    </row>
    <row r="516" spans="1:6" ht="60" x14ac:dyDescent="0.25">
      <c r="A516" s="8" t="s">
        <v>125</v>
      </c>
      <c r="B516" s="8" t="s">
        <v>136</v>
      </c>
      <c r="C516" s="8" t="str">
        <f>IFERROR(_xlfn.XLOOKUP(TRIM(B516),Lookup!$B$2:$B$1000,Lookup!$C$2:$C$1000),"")</f>
        <v>Equity</v>
      </c>
      <c r="D516" s="8" t="str">
        <f>IFERROR(INDEX('nav master'!$C:$C, MATCH(B516, 'nav master'!$B:$B, 0)), "")</f>
        <v>ULIF06618/01/18DiscvryFnd101</v>
      </c>
      <c r="E516" s="8" t="s">
        <v>229</v>
      </c>
      <c r="F516" s="8" t="s">
        <v>919</v>
      </c>
    </row>
    <row r="517" spans="1:6" ht="60" x14ac:dyDescent="0.25">
      <c r="A517" s="8" t="s">
        <v>125</v>
      </c>
      <c r="B517" s="8" t="s">
        <v>136</v>
      </c>
      <c r="C517" s="8" t="str">
        <f>IFERROR(_xlfn.XLOOKUP(TRIM(B517),Lookup!$B$2:$B$1000,Lookup!$C$2:$C$1000),"")</f>
        <v>Equity</v>
      </c>
      <c r="D517" s="8" t="str">
        <f>IFERROR(INDEX('nav master'!$C:$C, MATCH(B517, 'nav master'!$B:$B, 0)), "")</f>
        <v>ULIF06618/01/18DiscvryFnd101</v>
      </c>
      <c r="E517" s="8" t="s">
        <v>231</v>
      </c>
      <c r="F517" s="8" t="s">
        <v>920</v>
      </c>
    </row>
    <row r="518" spans="1:6" ht="60" x14ac:dyDescent="0.25">
      <c r="A518" s="8" t="s">
        <v>125</v>
      </c>
      <c r="B518" s="8" t="s">
        <v>136</v>
      </c>
      <c r="C518" s="8" t="str">
        <f>IFERROR(_xlfn.XLOOKUP(TRIM(B518),Lookup!$B$2:$B$1000,Lookup!$C$2:$C$1000),"")</f>
        <v>Equity</v>
      </c>
      <c r="D518" s="8" t="str">
        <f>IFERROR(INDEX('nav master'!$C:$C, MATCH(B518, 'nav master'!$B:$B, 0)), "")</f>
        <v>ULIF06618/01/18DiscvryFnd101</v>
      </c>
      <c r="E518" s="8" t="s">
        <v>233</v>
      </c>
      <c r="F518" s="8" t="s">
        <v>921</v>
      </c>
    </row>
    <row r="519" spans="1:6" ht="60" x14ac:dyDescent="0.25">
      <c r="A519" s="8" t="s">
        <v>125</v>
      </c>
      <c r="B519" s="8" t="s">
        <v>136</v>
      </c>
      <c r="C519" s="8" t="str">
        <f>IFERROR(_xlfn.XLOOKUP(TRIM(B519),Lookup!$B$2:$B$1000,Lookup!$C$2:$C$1000),"")</f>
        <v>Equity</v>
      </c>
      <c r="D519" s="8" t="str">
        <f>IFERROR(INDEX('nav master'!$C:$C, MATCH(B519, 'nav master'!$B:$B, 0)), "")</f>
        <v>ULIF06618/01/18DiscvryFnd101</v>
      </c>
      <c r="E519" s="8" t="s">
        <v>235</v>
      </c>
      <c r="F519" s="8" t="s">
        <v>922</v>
      </c>
    </row>
    <row r="520" spans="1:6" ht="60" x14ac:dyDescent="0.25">
      <c r="A520" s="8" t="s">
        <v>125</v>
      </c>
      <c r="B520" s="8" t="s">
        <v>136</v>
      </c>
      <c r="C520" s="8" t="str">
        <f>IFERROR(_xlfn.XLOOKUP(TRIM(B520),Lookup!$B$2:$B$1000,Lookup!$C$2:$C$1000),"")</f>
        <v>Equity</v>
      </c>
      <c r="D520" s="8" t="str">
        <f>IFERROR(INDEX('nav master'!$C:$C, MATCH(B520, 'nav master'!$B:$B, 0)), "")</f>
        <v>ULIF06618/01/18DiscvryFnd101</v>
      </c>
      <c r="E520" s="8" t="s">
        <v>237</v>
      </c>
      <c r="F520" s="8" t="s">
        <v>923</v>
      </c>
    </row>
    <row r="521" spans="1:6" ht="60" x14ac:dyDescent="0.25">
      <c r="A521" s="8" t="s">
        <v>125</v>
      </c>
      <c r="B521" s="8" t="s">
        <v>136</v>
      </c>
      <c r="C521" s="8" t="str">
        <f>IFERROR(_xlfn.XLOOKUP(TRIM(B521),Lookup!$B$2:$B$1000,Lookup!$C$2:$C$1000),"")</f>
        <v>Equity</v>
      </c>
      <c r="D521" s="8" t="str">
        <f>IFERROR(INDEX('nav master'!$C:$C, MATCH(B521, 'nav master'!$B:$B, 0)), "")</f>
        <v>ULIF06618/01/18DiscvryFnd101</v>
      </c>
      <c r="E521" s="8" t="s">
        <v>239</v>
      </c>
      <c r="F521" s="8" t="s">
        <v>924</v>
      </c>
    </row>
    <row r="522" spans="1:6" ht="60" x14ac:dyDescent="0.25">
      <c r="A522" s="8" t="s">
        <v>125</v>
      </c>
      <c r="B522" s="8" t="s">
        <v>136</v>
      </c>
      <c r="C522" s="8" t="str">
        <f>IFERROR(_xlfn.XLOOKUP(TRIM(B522),Lookup!$B$2:$B$1000,Lookup!$C$2:$C$1000),"")</f>
        <v>Equity</v>
      </c>
      <c r="D522" s="8" t="str">
        <f>IFERROR(INDEX('nav master'!$C:$C, MATCH(B522, 'nav master'!$B:$B, 0)), "")</f>
        <v>ULIF06618/01/18DiscvryFnd101</v>
      </c>
      <c r="E522" s="8" t="s">
        <v>241</v>
      </c>
      <c r="F522" s="8" t="s">
        <v>921</v>
      </c>
    </row>
    <row r="523" spans="1:6" ht="60" x14ac:dyDescent="0.25">
      <c r="A523" s="8" t="s">
        <v>125</v>
      </c>
      <c r="B523" s="8" t="s">
        <v>136</v>
      </c>
      <c r="C523" s="8" t="str">
        <f>IFERROR(_xlfn.XLOOKUP(TRIM(B523),Lookup!$B$2:$B$1000,Lookup!$C$2:$C$1000),"")</f>
        <v>Equity</v>
      </c>
      <c r="D523" s="8" t="str">
        <f>IFERROR(INDEX('nav master'!$C:$C, MATCH(B523, 'nav master'!$B:$B, 0)), "")</f>
        <v>ULIF06618/01/18DiscvryFnd101</v>
      </c>
      <c r="E523" s="8" t="s">
        <v>243</v>
      </c>
      <c r="F523" s="8" t="s">
        <v>925</v>
      </c>
    </row>
    <row r="524" spans="1:6" ht="60" x14ac:dyDescent="0.25">
      <c r="A524" s="8" t="s">
        <v>125</v>
      </c>
      <c r="B524" s="8" t="s">
        <v>136</v>
      </c>
      <c r="C524" s="8" t="str">
        <f>IFERROR(_xlfn.XLOOKUP(TRIM(B524),Lookup!$B$2:$B$1000,Lookup!$C$2:$C$1000),"")</f>
        <v>Equity</v>
      </c>
      <c r="D524" s="8" t="str">
        <f>IFERROR(INDEX('nav master'!$C:$C, MATCH(B524, 'nav master'!$B:$B, 0)), "")</f>
        <v>ULIF06618/01/18DiscvryFnd101</v>
      </c>
      <c r="E524" s="8" t="s">
        <v>245</v>
      </c>
      <c r="F524" s="8" t="s">
        <v>926</v>
      </c>
    </row>
    <row r="525" spans="1:6" ht="60" x14ac:dyDescent="0.25">
      <c r="A525" s="8" t="s">
        <v>125</v>
      </c>
      <c r="B525" s="8" t="s">
        <v>136</v>
      </c>
      <c r="C525" s="8" t="str">
        <f>IFERROR(_xlfn.XLOOKUP(TRIM(B525),Lookup!$B$2:$B$1000,Lookup!$C$2:$C$1000),"")</f>
        <v>Equity</v>
      </c>
      <c r="D525" s="8" t="str">
        <f>IFERROR(INDEX('nav master'!$C:$C, MATCH(B525, 'nav master'!$B:$B, 0)), "")</f>
        <v>ULIF06618/01/18DiscvryFnd101</v>
      </c>
      <c r="E525" s="8" t="s">
        <v>247</v>
      </c>
      <c r="F525" s="8" t="s">
        <v>927</v>
      </c>
    </row>
    <row r="526" spans="1:6" ht="60" x14ac:dyDescent="0.25">
      <c r="A526" s="8" t="s">
        <v>125</v>
      </c>
      <c r="B526" s="8" t="s">
        <v>136</v>
      </c>
      <c r="C526" s="8" t="str">
        <f>IFERROR(_xlfn.XLOOKUP(TRIM(B526),Lookup!$B$2:$B$1000,Lookup!$C$2:$C$1000),"")</f>
        <v>Equity</v>
      </c>
      <c r="D526" s="8" t="str">
        <f>IFERROR(INDEX('nav master'!$C:$C, MATCH(B526, 'nav master'!$B:$B, 0)), "")</f>
        <v>ULIF06618/01/18DiscvryFnd101</v>
      </c>
      <c r="E526" s="8" t="s">
        <v>249</v>
      </c>
      <c r="F526" s="8" t="s">
        <v>928</v>
      </c>
    </row>
    <row r="527" spans="1:6" ht="60" x14ac:dyDescent="0.25">
      <c r="A527" s="8" t="s">
        <v>125</v>
      </c>
      <c r="B527" s="8" t="s">
        <v>136</v>
      </c>
      <c r="C527" s="8" t="str">
        <f>IFERROR(_xlfn.XLOOKUP(TRIM(B527),Lookup!$B$2:$B$1000,Lookup!$C$2:$C$1000),"")</f>
        <v>Equity</v>
      </c>
      <c r="D527" s="8" t="str">
        <f>IFERROR(INDEX('nav master'!$C:$C, MATCH(B527, 'nav master'!$B:$B, 0)), "")</f>
        <v>ULIF06618/01/18DiscvryFnd101</v>
      </c>
      <c r="E527" s="8" t="s">
        <v>251</v>
      </c>
      <c r="F527" s="8" t="s">
        <v>929</v>
      </c>
    </row>
    <row r="528" spans="1:6" ht="60" x14ac:dyDescent="0.25">
      <c r="A528" s="8" t="s">
        <v>125</v>
      </c>
      <c r="B528" s="8" t="s">
        <v>136</v>
      </c>
      <c r="C528" s="8" t="str">
        <f>IFERROR(_xlfn.XLOOKUP(TRIM(B528),Lookup!$B$2:$B$1000,Lookup!$C$2:$C$1000),"")</f>
        <v>Equity</v>
      </c>
      <c r="D528" s="8" t="str">
        <f>IFERROR(INDEX('nav master'!$C:$C, MATCH(B528, 'nav master'!$B:$B, 0)), "")</f>
        <v>ULIF06618/01/18DiscvryFnd101</v>
      </c>
      <c r="E528" s="8" t="s">
        <v>253</v>
      </c>
      <c r="F528" s="8" t="s">
        <v>930</v>
      </c>
    </row>
    <row r="529" spans="1:6" ht="60" x14ac:dyDescent="0.25">
      <c r="A529" s="8" t="s">
        <v>125</v>
      </c>
      <c r="B529" s="8" t="s">
        <v>136</v>
      </c>
      <c r="C529" s="8" t="str">
        <f>IFERROR(_xlfn.XLOOKUP(TRIM(B529),Lookup!$B$2:$B$1000,Lookup!$C$2:$C$1000),"")</f>
        <v>Equity</v>
      </c>
      <c r="D529" s="8" t="str">
        <f>IFERROR(INDEX('nav master'!$C:$C, MATCH(B529, 'nav master'!$B:$B, 0)), "")</f>
        <v>ULIF06618/01/18DiscvryFnd101</v>
      </c>
      <c r="E529" s="8" t="s">
        <v>255</v>
      </c>
      <c r="F529" s="8" t="s">
        <v>931</v>
      </c>
    </row>
    <row r="530" spans="1:6" ht="60" x14ac:dyDescent="0.25">
      <c r="A530" s="8" t="s">
        <v>125</v>
      </c>
      <c r="B530" s="8" t="s">
        <v>136</v>
      </c>
      <c r="C530" s="8" t="str">
        <f>IFERROR(_xlfn.XLOOKUP(TRIM(B530),Lookup!$B$2:$B$1000,Lookup!$C$2:$C$1000),"")</f>
        <v>Equity</v>
      </c>
      <c r="D530" s="8" t="str">
        <f>IFERROR(INDEX('nav master'!$C:$C, MATCH(B530, 'nav master'!$B:$B, 0)), "")</f>
        <v>ULIF06618/01/18DiscvryFnd101</v>
      </c>
      <c r="E530" s="8" t="s">
        <v>257</v>
      </c>
      <c r="F530" s="8" t="s">
        <v>932</v>
      </c>
    </row>
    <row r="531" spans="1:6" ht="60" x14ac:dyDescent="0.25">
      <c r="A531" s="8" t="s">
        <v>125</v>
      </c>
      <c r="B531" s="8" t="s">
        <v>136</v>
      </c>
      <c r="C531" s="8" t="str">
        <f>IFERROR(_xlfn.XLOOKUP(TRIM(B531),Lookup!$B$2:$B$1000,Lookup!$C$2:$C$1000),"")</f>
        <v>Equity</v>
      </c>
      <c r="D531" s="8" t="str">
        <f>IFERROR(INDEX('nav master'!$C:$C, MATCH(B531, 'nav master'!$B:$B, 0)), "")</f>
        <v>ULIF06618/01/18DiscvryFnd101</v>
      </c>
      <c r="E531" s="8" t="s">
        <v>259</v>
      </c>
      <c r="F531" s="8" t="s">
        <v>933</v>
      </c>
    </row>
    <row r="532" spans="1:6" ht="60" x14ac:dyDescent="0.25">
      <c r="A532" s="8" t="s">
        <v>125</v>
      </c>
      <c r="B532" s="8" t="s">
        <v>136</v>
      </c>
      <c r="C532" s="8" t="str">
        <f>IFERROR(_xlfn.XLOOKUP(TRIM(B532),Lookup!$B$2:$B$1000,Lookup!$C$2:$C$1000),"")</f>
        <v>Equity</v>
      </c>
      <c r="D532" s="8" t="str">
        <f>IFERROR(INDEX('nav master'!$C:$C, MATCH(B532, 'nav master'!$B:$B, 0)), "")</f>
        <v>ULIF06618/01/18DiscvryFnd101</v>
      </c>
      <c r="E532" s="8" t="s">
        <v>261</v>
      </c>
      <c r="F532" s="8" t="s">
        <v>934</v>
      </c>
    </row>
    <row r="533" spans="1:6" ht="60" x14ac:dyDescent="0.25">
      <c r="A533" s="8" t="s">
        <v>125</v>
      </c>
      <c r="B533" s="8" t="s">
        <v>136</v>
      </c>
      <c r="C533" s="8" t="str">
        <f>IFERROR(_xlfn.XLOOKUP(TRIM(B533),Lookup!$B$2:$B$1000,Lookup!$C$2:$C$1000),"")</f>
        <v>Equity</v>
      </c>
      <c r="D533" s="8" t="str">
        <f>IFERROR(INDEX('nav master'!$C:$C, MATCH(B533, 'nav master'!$B:$B, 0)), "")</f>
        <v>ULIF06618/01/18DiscvryFnd101</v>
      </c>
      <c r="E533" s="8" t="s">
        <v>263</v>
      </c>
      <c r="F533" s="8" t="s">
        <v>935</v>
      </c>
    </row>
    <row r="534" spans="1:6" ht="60" x14ac:dyDescent="0.25">
      <c r="A534" s="8" t="s">
        <v>125</v>
      </c>
      <c r="B534" s="8" t="s">
        <v>136</v>
      </c>
      <c r="C534" s="8" t="str">
        <f>IFERROR(_xlfn.XLOOKUP(TRIM(B534),Lookup!$B$2:$B$1000,Lookup!$C$2:$C$1000),"")</f>
        <v>Equity</v>
      </c>
      <c r="D534" s="8" t="str">
        <f>IFERROR(INDEX('nav master'!$C:$C, MATCH(B534, 'nav master'!$B:$B, 0)), "")</f>
        <v>ULIF06618/01/18DiscvryFnd101</v>
      </c>
      <c r="E534" s="8" t="s">
        <v>265</v>
      </c>
      <c r="F534" s="8" t="s">
        <v>936</v>
      </c>
    </row>
    <row r="535" spans="1:6" ht="60" x14ac:dyDescent="0.25">
      <c r="A535" s="8" t="s">
        <v>125</v>
      </c>
      <c r="B535" s="8" t="s">
        <v>136</v>
      </c>
      <c r="C535" s="8" t="str">
        <f>IFERROR(_xlfn.XLOOKUP(TRIM(B535),Lookup!$B$2:$B$1000,Lookup!$C$2:$C$1000),"")</f>
        <v>Equity</v>
      </c>
      <c r="D535" s="8" t="str">
        <f>IFERROR(INDEX('nav master'!$C:$C, MATCH(B535, 'nav master'!$B:$B, 0)), "")</f>
        <v>ULIF06618/01/18DiscvryFnd101</v>
      </c>
      <c r="E535" s="8" t="s">
        <v>267</v>
      </c>
      <c r="F535" s="8" t="s">
        <v>937</v>
      </c>
    </row>
    <row r="536" spans="1:6" ht="60" x14ac:dyDescent="0.25">
      <c r="A536" s="8" t="s">
        <v>125</v>
      </c>
      <c r="B536" s="8" t="s">
        <v>136</v>
      </c>
      <c r="C536" s="8" t="str">
        <f>IFERROR(_xlfn.XLOOKUP(TRIM(B536),Lookup!$B$2:$B$1000,Lookup!$C$2:$C$1000),"")</f>
        <v>Equity</v>
      </c>
      <c r="D536" s="8" t="str">
        <f>IFERROR(INDEX('nav master'!$C:$C, MATCH(B536, 'nav master'!$B:$B, 0)), "")</f>
        <v>ULIF06618/01/18DiscvryFnd101</v>
      </c>
      <c r="E536" s="8" t="s">
        <v>269</v>
      </c>
      <c r="F536" s="8" t="s">
        <v>938</v>
      </c>
    </row>
    <row r="537" spans="1:6" ht="60" x14ac:dyDescent="0.25">
      <c r="A537" s="8" t="s">
        <v>125</v>
      </c>
      <c r="B537" s="8" t="s">
        <v>136</v>
      </c>
      <c r="C537" s="8" t="str">
        <f>IFERROR(_xlfn.XLOOKUP(TRIM(B537),Lookup!$B$2:$B$1000,Lookup!$C$2:$C$1000),"")</f>
        <v>Equity</v>
      </c>
      <c r="D537" s="8" t="str">
        <f>IFERROR(INDEX('nav master'!$C:$C, MATCH(B537, 'nav master'!$B:$B, 0)), "")</f>
        <v>ULIF06618/01/18DiscvryFnd101</v>
      </c>
      <c r="E537" s="8" t="s">
        <v>271</v>
      </c>
      <c r="F537" s="8" t="s">
        <v>939</v>
      </c>
    </row>
    <row r="538" spans="1:6" ht="60" x14ac:dyDescent="0.25">
      <c r="A538" s="8" t="s">
        <v>125</v>
      </c>
      <c r="B538" s="8" t="s">
        <v>136</v>
      </c>
      <c r="C538" s="8" t="str">
        <f>IFERROR(_xlfn.XLOOKUP(TRIM(B538),Lookup!$B$2:$B$1000,Lookup!$C$2:$C$1000),"")</f>
        <v>Equity</v>
      </c>
      <c r="D538" s="8" t="str">
        <f>IFERROR(INDEX('nav master'!$C:$C, MATCH(B538, 'nav master'!$B:$B, 0)), "")</f>
        <v>ULIF06618/01/18DiscvryFnd101</v>
      </c>
      <c r="E538" s="8" t="s">
        <v>273</v>
      </c>
      <c r="F538" s="8" t="s">
        <v>940</v>
      </c>
    </row>
    <row r="539" spans="1:6" ht="60" x14ac:dyDescent="0.25">
      <c r="A539" s="8" t="s">
        <v>125</v>
      </c>
      <c r="B539" s="8" t="s">
        <v>136</v>
      </c>
      <c r="C539" s="8" t="str">
        <f>IFERROR(_xlfn.XLOOKUP(TRIM(B539),Lookup!$B$2:$B$1000,Lookup!$C$2:$C$1000),"")</f>
        <v>Equity</v>
      </c>
      <c r="D539" s="8" t="str">
        <f>IFERROR(INDEX('nav master'!$C:$C, MATCH(B539, 'nav master'!$B:$B, 0)), "")</f>
        <v>ULIF06618/01/18DiscvryFnd101</v>
      </c>
      <c r="E539" s="8" t="s">
        <v>275</v>
      </c>
      <c r="F539" s="8" t="s">
        <v>194</v>
      </c>
    </row>
    <row r="540" spans="1:6" ht="60" x14ac:dyDescent="0.25">
      <c r="A540" s="8" t="s">
        <v>125</v>
      </c>
      <c r="B540" s="8" t="s">
        <v>136</v>
      </c>
      <c r="C540" s="8" t="str">
        <f>IFERROR(_xlfn.XLOOKUP(TRIM(B540),Lookup!$B$2:$B$1000,Lookup!$C$2:$C$1000),"")</f>
        <v>Equity</v>
      </c>
      <c r="D540" s="8" t="str">
        <f>IFERROR(INDEX('nav master'!$C:$C, MATCH(B540, 'nav master'!$B:$B, 0)), "")</f>
        <v>ULIF06618/01/18DiscvryFnd101</v>
      </c>
      <c r="E540" s="8" t="s">
        <v>277</v>
      </c>
      <c r="F540" s="8" t="s">
        <v>941</v>
      </c>
    </row>
    <row r="541" spans="1:6" ht="60" x14ac:dyDescent="0.25">
      <c r="A541" s="8" t="s">
        <v>125</v>
      </c>
      <c r="B541" s="8" t="s">
        <v>136</v>
      </c>
      <c r="C541" s="8" t="str">
        <f>IFERROR(_xlfn.XLOOKUP(TRIM(B541),Lookup!$B$2:$B$1000,Lookup!$C$2:$C$1000),"")</f>
        <v>Equity</v>
      </c>
      <c r="D541" s="8" t="str">
        <f>IFERROR(INDEX('nav master'!$C:$C, MATCH(B541, 'nav master'!$B:$B, 0)), "")</f>
        <v>ULIF06618/01/18DiscvryFnd101</v>
      </c>
      <c r="E541" s="8" t="s">
        <v>279</v>
      </c>
      <c r="F541" s="8" t="s">
        <v>942</v>
      </c>
    </row>
    <row r="542" spans="1:6" ht="60" x14ac:dyDescent="0.25">
      <c r="A542" s="8" t="s">
        <v>125</v>
      </c>
      <c r="B542" s="8" t="s">
        <v>136</v>
      </c>
      <c r="C542" s="8" t="str">
        <f>IFERROR(_xlfn.XLOOKUP(TRIM(B542),Lookup!$B$2:$B$1000,Lookup!$C$2:$C$1000),"")</f>
        <v>Equity</v>
      </c>
      <c r="D542" s="8" t="str">
        <f>IFERROR(INDEX('nav master'!$C:$C, MATCH(B542, 'nav master'!$B:$B, 0)), "")</f>
        <v>ULIF06618/01/18DiscvryFnd101</v>
      </c>
      <c r="E542" s="8" t="s">
        <v>281</v>
      </c>
      <c r="F542" s="8" t="s">
        <v>943</v>
      </c>
    </row>
    <row r="543" spans="1:6" ht="60" x14ac:dyDescent="0.25">
      <c r="A543" s="8" t="s">
        <v>125</v>
      </c>
      <c r="B543" s="8" t="s">
        <v>136</v>
      </c>
      <c r="C543" s="8" t="str">
        <f>IFERROR(_xlfn.XLOOKUP(TRIM(B543),Lookup!$B$2:$B$1000,Lookup!$C$2:$C$1000),"")</f>
        <v>Equity</v>
      </c>
      <c r="D543" s="8" t="str">
        <f>IFERROR(INDEX('nav master'!$C:$C, MATCH(B543, 'nav master'!$B:$B, 0)), "")</f>
        <v>ULIF06618/01/18DiscvryFnd101</v>
      </c>
      <c r="E543" s="8" t="s">
        <v>283</v>
      </c>
      <c r="F543" s="8" t="s">
        <v>944</v>
      </c>
    </row>
    <row r="544" spans="1:6" ht="60" x14ac:dyDescent="0.25">
      <c r="A544" s="8" t="s">
        <v>125</v>
      </c>
      <c r="B544" s="8" t="s">
        <v>136</v>
      </c>
      <c r="C544" s="8" t="str">
        <f>IFERROR(_xlfn.XLOOKUP(TRIM(B544),Lookup!$B$2:$B$1000,Lookup!$C$2:$C$1000),"")</f>
        <v>Equity</v>
      </c>
      <c r="D544" s="8" t="str">
        <f>IFERROR(INDEX('nav master'!$C:$C, MATCH(B544, 'nav master'!$B:$B, 0)), "")</f>
        <v>ULIF06618/01/18DiscvryFnd101</v>
      </c>
      <c r="E544" s="8" t="s">
        <v>285</v>
      </c>
      <c r="F544" s="8" t="s">
        <v>945</v>
      </c>
    </row>
    <row r="545" spans="1:6" ht="60" x14ac:dyDescent="0.25">
      <c r="A545" s="8" t="s">
        <v>125</v>
      </c>
      <c r="B545" s="8" t="s">
        <v>136</v>
      </c>
      <c r="C545" s="8" t="str">
        <f>IFERROR(_xlfn.XLOOKUP(TRIM(B545),Lookup!$B$2:$B$1000,Lookup!$C$2:$C$1000),"")</f>
        <v>Equity</v>
      </c>
      <c r="D545" s="8" t="str">
        <f>IFERROR(INDEX('nav master'!$C:$C, MATCH(B545, 'nav master'!$B:$B, 0)), "")</f>
        <v>ULIF06618/01/18DiscvryFnd101</v>
      </c>
      <c r="E545" s="8" t="s">
        <v>287</v>
      </c>
      <c r="F545" s="8" t="s">
        <v>946</v>
      </c>
    </row>
    <row r="546" spans="1:6" ht="60" x14ac:dyDescent="0.25">
      <c r="A546" s="8" t="s">
        <v>125</v>
      </c>
      <c r="B546" s="8" t="s">
        <v>136</v>
      </c>
      <c r="C546" s="8" t="str">
        <f>IFERROR(_xlfn.XLOOKUP(TRIM(B546),Lookup!$B$2:$B$1000,Lookup!$C$2:$C$1000),"")</f>
        <v>Equity</v>
      </c>
      <c r="D546" s="8" t="str">
        <f>IFERROR(INDEX('nav master'!$C:$C, MATCH(B546, 'nav master'!$B:$B, 0)), "")</f>
        <v>ULIF06618/01/18DiscvryFnd101</v>
      </c>
      <c r="E546" s="8" t="s">
        <v>289</v>
      </c>
      <c r="F546" s="8" t="s">
        <v>947</v>
      </c>
    </row>
    <row r="547" spans="1:6" ht="60" x14ac:dyDescent="0.25">
      <c r="A547" s="8" t="s">
        <v>125</v>
      </c>
      <c r="B547" s="8" t="s">
        <v>136</v>
      </c>
      <c r="C547" s="8" t="str">
        <f>IFERROR(_xlfn.XLOOKUP(TRIM(B547),Lookup!$B$2:$B$1000,Lookup!$C$2:$C$1000),"")</f>
        <v>Equity</v>
      </c>
      <c r="D547" s="8" t="str">
        <f>IFERROR(INDEX('nav master'!$C:$C, MATCH(B547, 'nav master'!$B:$B, 0)), "")</f>
        <v>ULIF06618/01/18DiscvryFnd101</v>
      </c>
      <c r="E547" s="8" t="s">
        <v>291</v>
      </c>
      <c r="F547" s="8" t="s">
        <v>948</v>
      </c>
    </row>
    <row r="548" spans="1:6" ht="60" x14ac:dyDescent="0.25">
      <c r="A548" s="8" t="s">
        <v>125</v>
      </c>
      <c r="B548" s="8" t="s">
        <v>136</v>
      </c>
      <c r="C548" s="8" t="str">
        <f>IFERROR(_xlfn.XLOOKUP(TRIM(B548),Lookup!$B$2:$B$1000,Lookup!$C$2:$C$1000),"")</f>
        <v>Equity</v>
      </c>
      <c r="D548" s="8" t="str">
        <f>IFERROR(INDEX('nav master'!$C:$C, MATCH(B548, 'nav master'!$B:$B, 0)), "")</f>
        <v>ULIF06618/01/18DiscvryFnd101</v>
      </c>
      <c r="E548" s="8" t="s">
        <v>293</v>
      </c>
      <c r="F548" s="8" t="s">
        <v>949</v>
      </c>
    </row>
    <row r="549" spans="1:6" ht="60" x14ac:dyDescent="0.25">
      <c r="A549" s="8" t="s">
        <v>125</v>
      </c>
      <c r="B549" s="8" t="s">
        <v>136</v>
      </c>
      <c r="C549" s="8" t="str">
        <f>IFERROR(_xlfn.XLOOKUP(TRIM(B549),Lookup!$B$2:$B$1000,Lookup!$C$2:$C$1000),"")</f>
        <v>Equity</v>
      </c>
      <c r="D549" s="8" t="str">
        <f>IFERROR(INDEX('nav master'!$C:$C, MATCH(B549, 'nav master'!$B:$B, 0)), "")</f>
        <v>ULIF06618/01/18DiscvryFnd101</v>
      </c>
      <c r="E549" s="8" t="s">
        <v>295</v>
      </c>
      <c r="F549" s="8" t="s">
        <v>950</v>
      </c>
    </row>
    <row r="550" spans="1:6" ht="60" x14ac:dyDescent="0.25">
      <c r="A550" s="8" t="s">
        <v>125</v>
      </c>
      <c r="B550" s="8" t="s">
        <v>136</v>
      </c>
      <c r="C550" s="8" t="str">
        <f>IFERROR(_xlfn.XLOOKUP(TRIM(B550),Lookup!$B$2:$B$1000,Lookup!$C$2:$C$1000),"")</f>
        <v>Equity</v>
      </c>
      <c r="D550" s="8" t="str">
        <f>IFERROR(INDEX('nav master'!$C:$C, MATCH(B550, 'nav master'!$B:$B, 0)), "")</f>
        <v>ULIF06618/01/18DiscvryFnd101</v>
      </c>
      <c r="E550" s="8" t="s">
        <v>297</v>
      </c>
      <c r="F550" s="8" t="s">
        <v>951</v>
      </c>
    </row>
    <row r="551" spans="1:6" ht="60" x14ac:dyDescent="0.25">
      <c r="A551" s="8" t="s">
        <v>125</v>
      </c>
      <c r="B551" s="8" t="s">
        <v>136</v>
      </c>
      <c r="C551" s="8" t="str">
        <f>IFERROR(_xlfn.XLOOKUP(TRIM(B551),Lookup!$B$2:$B$1000,Lookup!$C$2:$C$1000),"")</f>
        <v>Equity</v>
      </c>
      <c r="D551" s="8" t="str">
        <f>IFERROR(INDEX('nav master'!$C:$C, MATCH(B551, 'nav master'!$B:$B, 0)), "")</f>
        <v>ULIF06618/01/18DiscvryFnd101</v>
      </c>
      <c r="E551" s="8" t="s">
        <v>299</v>
      </c>
      <c r="F551" s="8" t="s">
        <v>952</v>
      </c>
    </row>
    <row r="552" spans="1:6" ht="60" x14ac:dyDescent="0.25">
      <c r="A552" s="8" t="s">
        <v>125</v>
      </c>
      <c r="B552" s="8" t="s">
        <v>136</v>
      </c>
      <c r="C552" s="8" t="str">
        <f>IFERROR(_xlfn.XLOOKUP(TRIM(B552),Lookup!$B$2:$B$1000,Lookup!$C$2:$C$1000),"")</f>
        <v>Equity</v>
      </c>
      <c r="D552" s="8" t="str">
        <f>IFERROR(INDEX('nav master'!$C:$C, MATCH(B552, 'nav master'!$B:$B, 0)), "")</f>
        <v>ULIF06618/01/18DiscvryFnd101</v>
      </c>
      <c r="E552" s="8" t="s">
        <v>301</v>
      </c>
      <c r="F552" s="8" t="s">
        <v>953</v>
      </c>
    </row>
    <row r="553" spans="1:6" ht="60" x14ac:dyDescent="0.25">
      <c r="A553" s="8" t="s">
        <v>125</v>
      </c>
      <c r="B553" s="8" t="s">
        <v>136</v>
      </c>
      <c r="C553" s="8" t="str">
        <f>IFERROR(_xlfn.XLOOKUP(TRIM(B553),Lookup!$B$2:$B$1000,Lookup!$C$2:$C$1000),"")</f>
        <v>Equity</v>
      </c>
      <c r="D553" s="8" t="str">
        <f>IFERROR(INDEX('nav master'!$C:$C, MATCH(B553, 'nav master'!$B:$B, 0)), "")</f>
        <v>ULIF06618/01/18DiscvryFnd101</v>
      </c>
      <c r="E553" s="8" t="s">
        <v>303</v>
      </c>
      <c r="F553" s="8" t="s">
        <v>954</v>
      </c>
    </row>
    <row r="554" spans="1:6" ht="60" x14ac:dyDescent="0.25">
      <c r="A554" s="8" t="s">
        <v>125</v>
      </c>
      <c r="B554" s="8" t="s">
        <v>136</v>
      </c>
      <c r="C554" s="8" t="str">
        <f>IFERROR(_xlfn.XLOOKUP(TRIM(B554),Lookup!$B$2:$B$1000,Lookup!$C$2:$C$1000),"")</f>
        <v>Equity</v>
      </c>
      <c r="D554" s="8" t="str">
        <f>IFERROR(INDEX('nav master'!$C:$C, MATCH(B554, 'nav master'!$B:$B, 0)), "")</f>
        <v>ULIF06618/01/18DiscvryFnd101</v>
      </c>
      <c r="E554" s="8" t="s">
        <v>305</v>
      </c>
      <c r="F554" s="8" t="s">
        <v>955</v>
      </c>
    </row>
    <row r="555" spans="1:6" ht="60" x14ac:dyDescent="0.25">
      <c r="A555" s="8" t="s">
        <v>125</v>
      </c>
      <c r="B555" s="8" t="s">
        <v>136</v>
      </c>
      <c r="C555" s="8" t="str">
        <f>IFERROR(_xlfn.XLOOKUP(TRIM(B555),Lookup!$B$2:$B$1000,Lookup!$C$2:$C$1000),"")</f>
        <v>Equity</v>
      </c>
      <c r="D555" s="8" t="str">
        <f>IFERROR(INDEX('nav master'!$C:$C, MATCH(B555, 'nav master'!$B:$B, 0)), "")</f>
        <v>ULIF06618/01/18DiscvryFnd101</v>
      </c>
      <c r="E555" s="8" t="s">
        <v>307</v>
      </c>
      <c r="F555" s="8" t="s">
        <v>956</v>
      </c>
    </row>
    <row r="556" spans="1:6" ht="60" x14ac:dyDescent="0.25">
      <c r="A556" s="8" t="s">
        <v>125</v>
      </c>
      <c r="B556" s="8" t="s">
        <v>136</v>
      </c>
      <c r="C556" s="8" t="str">
        <f>IFERROR(_xlfn.XLOOKUP(TRIM(B556),Lookup!$B$2:$B$1000,Lookup!$C$2:$C$1000),"")</f>
        <v>Equity</v>
      </c>
      <c r="D556" s="8" t="str">
        <f>IFERROR(INDEX('nav master'!$C:$C, MATCH(B556, 'nav master'!$B:$B, 0)), "")</f>
        <v>ULIF06618/01/18DiscvryFnd101</v>
      </c>
      <c r="E556" s="8" t="s">
        <v>309</v>
      </c>
      <c r="F556" s="8" t="s">
        <v>957</v>
      </c>
    </row>
    <row r="557" spans="1:6" ht="60" x14ac:dyDescent="0.25">
      <c r="A557" s="8" t="s">
        <v>125</v>
      </c>
      <c r="B557" s="8" t="s">
        <v>136</v>
      </c>
      <c r="C557" s="8" t="str">
        <f>IFERROR(_xlfn.XLOOKUP(TRIM(B557),Lookup!$B$2:$B$1000,Lookup!$C$2:$C$1000),"")</f>
        <v>Equity</v>
      </c>
      <c r="D557" s="8" t="str">
        <f>IFERROR(INDEX('nav master'!$C:$C, MATCH(B557, 'nav master'!$B:$B, 0)), "")</f>
        <v>ULIF06618/01/18DiscvryFnd101</v>
      </c>
      <c r="E557" s="8" t="s">
        <v>311</v>
      </c>
      <c r="F557" s="8" t="s">
        <v>958</v>
      </c>
    </row>
    <row r="558" spans="1:6" ht="60" x14ac:dyDescent="0.25">
      <c r="A558" s="8" t="s">
        <v>125</v>
      </c>
      <c r="B558" s="8" t="s">
        <v>136</v>
      </c>
      <c r="C558" s="8" t="str">
        <f>IFERROR(_xlfn.XLOOKUP(TRIM(B558),Lookup!$B$2:$B$1000,Lookup!$C$2:$C$1000),"")</f>
        <v>Equity</v>
      </c>
      <c r="D558" s="8" t="str">
        <f>IFERROR(INDEX('nav master'!$C:$C, MATCH(B558, 'nav master'!$B:$B, 0)), "")</f>
        <v>ULIF06618/01/18DiscvryFnd101</v>
      </c>
      <c r="E558" s="8" t="s">
        <v>313</v>
      </c>
      <c r="F558" s="8" t="s">
        <v>959</v>
      </c>
    </row>
    <row r="559" spans="1:6" ht="60" x14ac:dyDescent="0.25">
      <c r="A559" s="8" t="s">
        <v>125</v>
      </c>
      <c r="B559" s="8" t="s">
        <v>136</v>
      </c>
      <c r="C559" s="8" t="str">
        <f>IFERROR(_xlfn.XLOOKUP(TRIM(B559),Lookup!$B$2:$B$1000,Lookup!$C$2:$C$1000),"")</f>
        <v>Equity</v>
      </c>
      <c r="D559" s="8" t="str">
        <f>IFERROR(INDEX('nav master'!$C:$C, MATCH(B559, 'nav master'!$B:$B, 0)), "")</f>
        <v>ULIF06618/01/18DiscvryFnd101</v>
      </c>
      <c r="E559" s="8" t="s">
        <v>315</v>
      </c>
      <c r="F559" s="8" t="s">
        <v>960</v>
      </c>
    </row>
    <row r="560" spans="1:6" ht="60" x14ac:dyDescent="0.25">
      <c r="A560" s="8" t="s">
        <v>125</v>
      </c>
      <c r="B560" s="8" t="s">
        <v>136</v>
      </c>
      <c r="C560" s="8" t="str">
        <f>IFERROR(_xlfn.XLOOKUP(TRIM(B560),Lookup!$B$2:$B$1000,Lookup!$C$2:$C$1000),"")</f>
        <v>Equity</v>
      </c>
      <c r="D560" s="8" t="str">
        <f>IFERROR(INDEX('nav master'!$C:$C, MATCH(B560, 'nav master'!$B:$B, 0)), "")</f>
        <v>ULIF06618/01/18DiscvryFnd101</v>
      </c>
      <c r="E560" s="8" t="s">
        <v>317</v>
      </c>
      <c r="F560" s="8" t="s">
        <v>961</v>
      </c>
    </row>
    <row r="561" spans="1:6" ht="60" x14ac:dyDescent="0.25">
      <c r="A561" s="8" t="s">
        <v>125</v>
      </c>
      <c r="B561" s="8" t="s">
        <v>136</v>
      </c>
      <c r="C561" s="8" t="str">
        <f>IFERROR(_xlfn.XLOOKUP(TRIM(B561),Lookup!$B$2:$B$1000,Lookup!$C$2:$C$1000),"")</f>
        <v>Equity</v>
      </c>
      <c r="D561" s="8" t="str">
        <f>IFERROR(INDEX('nav master'!$C:$C, MATCH(B561, 'nav master'!$B:$B, 0)), "")</f>
        <v>ULIF06618/01/18DiscvryFnd101</v>
      </c>
      <c r="E561" s="8" t="s">
        <v>319</v>
      </c>
      <c r="F561" s="8" t="s">
        <v>962</v>
      </c>
    </row>
    <row r="562" spans="1:6" ht="60" x14ac:dyDescent="0.25">
      <c r="A562" s="8" t="s">
        <v>125</v>
      </c>
      <c r="B562" s="8" t="s">
        <v>136</v>
      </c>
      <c r="C562" s="8" t="str">
        <f>IFERROR(_xlfn.XLOOKUP(TRIM(B562),Lookup!$B$2:$B$1000,Lookup!$C$2:$C$1000),"")</f>
        <v>Equity</v>
      </c>
      <c r="D562" s="8" t="str">
        <f>IFERROR(INDEX('nav master'!$C:$C, MATCH(B562, 'nav master'!$B:$B, 0)), "")</f>
        <v>ULIF06618/01/18DiscvryFnd101</v>
      </c>
      <c r="E562" s="8" t="s">
        <v>321</v>
      </c>
      <c r="F562" s="8" t="s">
        <v>963</v>
      </c>
    </row>
    <row r="563" spans="1:6" ht="60" x14ac:dyDescent="0.25">
      <c r="A563" s="8" t="s">
        <v>125</v>
      </c>
      <c r="B563" s="8" t="s">
        <v>136</v>
      </c>
      <c r="C563" s="8" t="str">
        <f>IFERROR(_xlfn.XLOOKUP(TRIM(B563),Lookup!$B$2:$B$1000,Lookup!$C$2:$C$1000),"")</f>
        <v>Equity</v>
      </c>
      <c r="D563" s="8" t="str">
        <f>IFERROR(INDEX('nav master'!$C:$C, MATCH(B563, 'nav master'!$B:$B, 0)), "")</f>
        <v>ULIF06618/01/18DiscvryFnd101</v>
      </c>
      <c r="E563" s="8" t="s">
        <v>323</v>
      </c>
      <c r="F563" s="8" t="s">
        <v>964</v>
      </c>
    </row>
    <row r="564" spans="1:6" ht="60" x14ac:dyDescent="0.25">
      <c r="A564" s="8" t="s">
        <v>125</v>
      </c>
      <c r="B564" s="8" t="s">
        <v>136</v>
      </c>
      <c r="C564" s="8" t="str">
        <f>IFERROR(_xlfn.XLOOKUP(TRIM(B564),Lookup!$B$2:$B$1000,Lookup!$C$2:$C$1000),"")</f>
        <v>Equity</v>
      </c>
      <c r="D564" s="8" t="str">
        <f>IFERROR(INDEX('nav master'!$C:$C, MATCH(B564, 'nav master'!$B:$B, 0)), "")</f>
        <v>ULIF06618/01/18DiscvryFnd101</v>
      </c>
      <c r="E564" s="8" t="s">
        <v>325</v>
      </c>
      <c r="F564" s="8" t="s">
        <v>965</v>
      </c>
    </row>
    <row r="565" spans="1:6" ht="60" x14ac:dyDescent="0.25">
      <c r="A565" s="8" t="s">
        <v>125</v>
      </c>
      <c r="B565" s="8" t="s">
        <v>136</v>
      </c>
      <c r="C565" s="8" t="str">
        <f>IFERROR(_xlfn.XLOOKUP(TRIM(B565),Lookup!$B$2:$B$1000,Lookup!$C$2:$C$1000),"")</f>
        <v>Equity</v>
      </c>
      <c r="D565" s="8" t="str">
        <f>IFERROR(INDEX('nav master'!$C:$C, MATCH(B565, 'nav master'!$B:$B, 0)), "")</f>
        <v>ULIF06618/01/18DiscvryFnd101</v>
      </c>
      <c r="E565" s="8" t="s">
        <v>327</v>
      </c>
      <c r="F565" s="8" t="s">
        <v>966</v>
      </c>
    </row>
    <row r="566" spans="1:6" ht="60" x14ac:dyDescent="0.25">
      <c r="A566" s="8" t="s">
        <v>125</v>
      </c>
      <c r="B566" s="8" t="s">
        <v>136</v>
      </c>
      <c r="C566" s="8" t="str">
        <f>IFERROR(_xlfn.XLOOKUP(TRIM(B566),Lookup!$B$2:$B$1000,Lookup!$C$2:$C$1000),"")</f>
        <v>Equity</v>
      </c>
      <c r="D566" s="8" t="str">
        <f>IFERROR(INDEX('nav master'!$C:$C, MATCH(B566, 'nav master'!$B:$B, 0)), "")</f>
        <v>ULIF06618/01/18DiscvryFnd101</v>
      </c>
      <c r="E566" s="8" t="s">
        <v>329</v>
      </c>
      <c r="F566" s="8" t="s">
        <v>967</v>
      </c>
    </row>
    <row r="567" spans="1:6" ht="60" x14ac:dyDescent="0.25">
      <c r="A567" s="8" t="s">
        <v>125</v>
      </c>
      <c r="B567" s="8" t="s">
        <v>136</v>
      </c>
      <c r="C567" s="8" t="str">
        <f>IFERROR(_xlfn.XLOOKUP(TRIM(B567),Lookup!$B$2:$B$1000,Lookup!$C$2:$C$1000),"")</f>
        <v>Equity</v>
      </c>
      <c r="D567" s="8" t="str">
        <f>IFERROR(INDEX('nav master'!$C:$C, MATCH(B567, 'nav master'!$B:$B, 0)), "")</f>
        <v>ULIF06618/01/18DiscvryFnd101</v>
      </c>
      <c r="E567" s="8" t="s">
        <v>331</v>
      </c>
      <c r="F567" s="8" t="s">
        <v>968</v>
      </c>
    </row>
    <row r="568" spans="1:6" ht="60" x14ac:dyDescent="0.25">
      <c r="A568" s="8" t="s">
        <v>125</v>
      </c>
      <c r="B568" s="8" t="s">
        <v>136</v>
      </c>
      <c r="C568" s="8" t="str">
        <f>IFERROR(_xlfn.XLOOKUP(TRIM(B568),Lookup!$B$2:$B$1000,Lookup!$C$2:$C$1000),"")</f>
        <v>Equity</v>
      </c>
      <c r="D568" s="8" t="str">
        <f>IFERROR(INDEX('nav master'!$C:$C, MATCH(B568, 'nav master'!$B:$B, 0)), "")</f>
        <v>ULIF06618/01/18DiscvryFnd101</v>
      </c>
      <c r="E568" s="8" t="s">
        <v>333</v>
      </c>
      <c r="F568" s="8" t="s">
        <v>969</v>
      </c>
    </row>
    <row r="569" spans="1:6" ht="60" x14ac:dyDescent="0.25">
      <c r="A569" s="8" t="s">
        <v>125</v>
      </c>
      <c r="B569" s="8" t="s">
        <v>136</v>
      </c>
      <c r="C569" s="8" t="str">
        <f>IFERROR(_xlfn.XLOOKUP(TRIM(B569),Lookup!$B$2:$B$1000,Lookup!$C$2:$C$1000),"")</f>
        <v>Equity</v>
      </c>
      <c r="D569" s="8" t="str">
        <f>IFERROR(INDEX('nav master'!$C:$C, MATCH(B569, 'nav master'!$B:$B, 0)), "")</f>
        <v>ULIF06618/01/18DiscvryFnd101</v>
      </c>
      <c r="E569" s="8" t="s">
        <v>335</v>
      </c>
      <c r="F569" s="8" t="s">
        <v>970</v>
      </c>
    </row>
    <row r="570" spans="1:6" ht="60" x14ac:dyDescent="0.25">
      <c r="A570" s="8" t="s">
        <v>125</v>
      </c>
      <c r="B570" s="8" t="s">
        <v>136</v>
      </c>
      <c r="C570" s="8" t="str">
        <f>IFERROR(_xlfn.XLOOKUP(TRIM(B570),Lookup!$B$2:$B$1000,Lookup!$C$2:$C$1000),"")</f>
        <v>Equity</v>
      </c>
      <c r="D570" s="8" t="str">
        <f>IFERROR(INDEX('nav master'!$C:$C, MATCH(B570, 'nav master'!$B:$B, 0)), "")</f>
        <v>ULIF06618/01/18DiscvryFnd101</v>
      </c>
      <c r="E570" s="8" t="s">
        <v>337</v>
      </c>
      <c r="F570" s="8" t="s">
        <v>971</v>
      </c>
    </row>
    <row r="571" spans="1:6" ht="60" x14ac:dyDescent="0.25">
      <c r="A571" s="8" t="s">
        <v>125</v>
      </c>
      <c r="B571" s="8" t="s">
        <v>136</v>
      </c>
      <c r="C571" s="8" t="str">
        <f>IFERROR(_xlfn.XLOOKUP(TRIM(B571),Lookup!$B$2:$B$1000,Lookup!$C$2:$C$1000),"")</f>
        <v>Equity</v>
      </c>
      <c r="D571" s="8" t="str">
        <f>IFERROR(INDEX('nav master'!$C:$C, MATCH(B571, 'nav master'!$B:$B, 0)), "")</f>
        <v>ULIF06618/01/18DiscvryFnd101</v>
      </c>
      <c r="E571" s="8" t="s">
        <v>339</v>
      </c>
      <c r="F571" s="8" t="s">
        <v>972</v>
      </c>
    </row>
    <row r="572" spans="1:6" ht="60" x14ac:dyDescent="0.25">
      <c r="A572" s="8" t="s">
        <v>125</v>
      </c>
      <c r="B572" s="8" t="s">
        <v>136</v>
      </c>
      <c r="C572" s="8" t="str">
        <f>IFERROR(_xlfn.XLOOKUP(TRIM(B572),Lookup!$B$2:$B$1000,Lookup!$C$2:$C$1000),"")</f>
        <v>Equity</v>
      </c>
      <c r="D572" s="8" t="str">
        <f>IFERROR(INDEX('nav master'!$C:$C, MATCH(B572, 'nav master'!$B:$B, 0)), "")</f>
        <v>ULIF06618/01/18DiscvryFnd101</v>
      </c>
      <c r="E572" s="8" t="s">
        <v>341</v>
      </c>
      <c r="F572" s="8" t="s">
        <v>973</v>
      </c>
    </row>
    <row r="573" spans="1:6" ht="60" x14ac:dyDescent="0.25">
      <c r="A573" s="8" t="s">
        <v>125</v>
      </c>
      <c r="B573" s="8" t="s">
        <v>136</v>
      </c>
      <c r="C573" s="8" t="str">
        <f>IFERROR(_xlfn.XLOOKUP(TRIM(B573),Lookup!$B$2:$B$1000,Lookup!$C$2:$C$1000),"")</f>
        <v>Equity</v>
      </c>
      <c r="D573" s="8" t="str">
        <f>IFERROR(INDEX('nav master'!$C:$C, MATCH(B573, 'nav master'!$B:$B, 0)), "")</f>
        <v>ULIF06618/01/18DiscvryFnd101</v>
      </c>
      <c r="E573" s="8" t="s">
        <v>343</v>
      </c>
      <c r="F573" s="8" t="s">
        <v>974</v>
      </c>
    </row>
    <row r="574" spans="1:6" ht="60" x14ac:dyDescent="0.25">
      <c r="A574" s="8" t="s">
        <v>125</v>
      </c>
      <c r="B574" s="8" t="s">
        <v>136</v>
      </c>
      <c r="C574" s="8" t="str">
        <f>IFERROR(_xlfn.XLOOKUP(TRIM(B574),Lookup!$B$2:$B$1000,Lookup!$C$2:$C$1000),"")</f>
        <v>Equity</v>
      </c>
      <c r="D574" s="8" t="str">
        <f>IFERROR(INDEX('nav master'!$C:$C, MATCH(B574, 'nav master'!$B:$B, 0)), "")</f>
        <v>ULIF06618/01/18DiscvryFnd101</v>
      </c>
      <c r="E574" s="8" t="s">
        <v>345</v>
      </c>
      <c r="F574" s="8" t="s">
        <v>975</v>
      </c>
    </row>
    <row r="575" spans="1:6" ht="60" x14ac:dyDescent="0.25">
      <c r="A575" s="8" t="s">
        <v>125</v>
      </c>
      <c r="B575" s="8" t="s">
        <v>136</v>
      </c>
      <c r="C575" s="8" t="str">
        <f>IFERROR(_xlfn.XLOOKUP(TRIM(B575),Lookup!$B$2:$B$1000,Lookup!$C$2:$C$1000),"")</f>
        <v>Equity</v>
      </c>
      <c r="D575" s="8" t="str">
        <f>IFERROR(INDEX('nav master'!$C:$C, MATCH(B575, 'nav master'!$B:$B, 0)), "")</f>
        <v>ULIF06618/01/18DiscvryFnd101</v>
      </c>
      <c r="E575" s="8" t="s">
        <v>347</v>
      </c>
      <c r="F575" s="8" t="s">
        <v>976</v>
      </c>
    </row>
    <row r="576" spans="1:6" ht="60" x14ac:dyDescent="0.25">
      <c r="A576" s="8" t="s">
        <v>125</v>
      </c>
      <c r="B576" s="8" t="s">
        <v>136</v>
      </c>
      <c r="C576" s="8" t="str">
        <f>IFERROR(_xlfn.XLOOKUP(TRIM(B576),Lookup!$B$2:$B$1000,Lookup!$C$2:$C$1000),"")</f>
        <v>Equity</v>
      </c>
      <c r="D576" s="8" t="str">
        <f>IFERROR(INDEX('nav master'!$C:$C, MATCH(B576, 'nav master'!$B:$B, 0)), "")</f>
        <v>ULIF06618/01/18DiscvryFnd101</v>
      </c>
      <c r="E576" s="8" t="s">
        <v>349</v>
      </c>
      <c r="F576" s="8" t="s">
        <v>977</v>
      </c>
    </row>
    <row r="577" spans="1:6" ht="60" x14ac:dyDescent="0.25">
      <c r="A577" s="8" t="s">
        <v>125</v>
      </c>
      <c r="B577" s="8" t="s">
        <v>136</v>
      </c>
      <c r="C577" s="8" t="str">
        <f>IFERROR(_xlfn.XLOOKUP(TRIM(B577),Lookup!$B$2:$B$1000,Lookup!$C$2:$C$1000),"")</f>
        <v>Equity</v>
      </c>
      <c r="D577" s="8" t="str">
        <f>IFERROR(INDEX('nav master'!$C:$C, MATCH(B577, 'nav master'!$B:$B, 0)), "")</f>
        <v>ULIF06618/01/18DiscvryFnd101</v>
      </c>
      <c r="E577" s="8" t="s">
        <v>351</v>
      </c>
      <c r="F577" s="8" t="s">
        <v>978</v>
      </c>
    </row>
    <row r="578" spans="1:6" ht="60" x14ac:dyDescent="0.25">
      <c r="A578" s="8" t="s">
        <v>125</v>
      </c>
      <c r="B578" s="8" t="s">
        <v>136</v>
      </c>
      <c r="C578" s="8" t="str">
        <f>IFERROR(_xlfn.XLOOKUP(TRIM(B578),Lookup!$B$2:$B$1000,Lookup!$C$2:$C$1000),"")</f>
        <v>Equity</v>
      </c>
      <c r="D578" s="8" t="str">
        <f>IFERROR(INDEX('nav master'!$C:$C, MATCH(B578, 'nav master'!$B:$B, 0)), "")</f>
        <v>ULIF06618/01/18DiscvryFnd101</v>
      </c>
      <c r="E578" s="8" t="s">
        <v>353</v>
      </c>
      <c r="F578" s="8" t="s">
        <v>979</v>
      </c>
    </row>
    <row r="579" spans="1:6" ht="60" x14ac:dyDescent="0.25">
      <c r="A579" s="8" t="s">
        <v>125</v>
      </c>
      <c r="B579" s="8" t="s">
        <v>136</v>
      </c>
      <c r="C579" s="8" t="str">
        <f>IFERROR(_xlfn.XLOOKUP(TRIM(B579),Lookup!$B$2:$B$1000,Lookup!$C$2:$C$1000),"")</f>
        <v>Equity</v>
      </c>
      <c r="D579" s="8" t="str">
        <f>IFERROR(INDEX('nav master'!$C:$C, MATCH(B579, 'nav master'!$B:$B, 0)), "")</f>
        <v>ULIF06618/01/18DiscvryFnd101</v>
      </c>
      <c r="E579" s="8" t="s">
        <v>355</v>
      </c>
      <c r="F579" s="8" t="s">
        <v>980</v>
      </c>
    </row>
    <row r="580" spans="1:6" ht="60" x14ac:dyDescent="0.25">
      <c r="A580" s="8" t="s">
        <v>125</v>
      </c>
      <c r="B580" s="8" t="s">
        <v>136</v>
      </c>
      <c r="C580" s="8" t="str">
        <f>IFERROR(_xlfn.XLOOKUP(TRIM(B580),Lookup!$B$2:$B$1000,Lookup!$C$2:$C$1000),"")</f>
        <v>Equity</v>
      </c>
      <c r="D580" s="8" t="str">
        <f>IFERROR(INDEX('nav master'!$C:$C, MATCH(B580, 'nav master'!$B:$B, 0)), "")</f>
        <v>ULIF06618/01/18DiscvryFnd101</v>
      </c>
      <c r="E580" s="8" t="s">
        <v>357</v>
      </c>
      <c r="F580" s="8" t="s">
        <v>981</v>
      </c>
    </row>
    <row r="581" spans="1:6" ht="60" x14ac:dyDescent="0.25">
      <c r="A581" s="8" t="s">
        <v>125</v>
      </c>
      <c r="B581" s="8" t="s">
        <v>136</v>
      </c>
      <c r="C581" s="8" t="str">
        <f>IFERROR(_xlfn.XLOOKUP(TRIM(B581),Lookup!$B$2:$B$1000,Lookup!$C$2:$C$1000),"")</f>
        <v>Equity</v>
      </c>
      <c r="D581" s="8" t="str">
        <f>IFERROR(INDEX('nav master'!$C:$C, MATCH(B581, 'nav master'!$B:$B, 0)), "")</f>
        <v>ULIF06618/01/18DiscvryFnd101</v>
      </c>
      <c r="E581" s="8" t="s">
        <v>359</v>
      </c>
      <c r="F581" s="8" t="s">
        <v>982</v>
      </c>
    </row>
    <row r="582" spans="1:6" ht="60" x14ac:dyDescent="0.25">
      <c r="A582" s="8" t="s">
        <v>125</v>
      </c>
      <c r="B582" s="8" t="s">
        <v>136</v>
      </c>
      <c r="C582" s="8" t="str">
        <f>IFERROR(_xlfn.XLOOKUP(TRIM(B582),Lookup!$B$2:$B$1000,Lookup!$C$2:$C$1000),"")</f>
        <v>Equity</v>
      </c>
      <c r="D582" s="8" t="str">
        <f>IFERROR(INDEX('nav master'!$C:$C, MATCH(B582, 'nav master'!$B:$B, 0)), "")</f>
        <v>ULIF06618/01/18DiscvryFnd101</v>
      </c>
      <c r="E582" s="8" t="s">
        <v>361</v>
      </c>
      <c r="F582" s="8" t="s">
        <v>983</v>
      </c>
    </row>
    <row r="583" spans="1:6" ht="60" x14ac:dyDescent="0.25">
      <c r="A583" s="8" t="s">
        <v>125</v>
      </c>
      <c r="B583" s="8" t="s">
        <v>136</v>
      </c>
      <c r="C583" s="8" t="str">
        <f>IFERROR(_xlfn.XLOOKUP(TRIM(B583),Lookup!$B$2:$B$1000,Lookup!$C$2:$C$1000),"")</f>
        <v>Equity</v>
      </c>
      <c r="D583" s="8" t="str">
        <f>IFERROR(INDEX('nav master'!$C:$C, MATCH(B583, 'nav master'!$B:$B, 0)), "")</f>
        <v>ULIF06618/01/18DiscvryFnd101</v>
      </c>
      <c r="E583" s="8" t="s">
        <v>363</v>
      </c>
      <c r="F583" s="8" t="s">
        <v>984</v>
      </c>
    </row>
    <row r="584" spans="1:6" ht="60" x14ac:dyDescent="0.25">
      <c r="A584" s="8" t="s">
        <v>125</v>
      </c>
      <c r="B584" s="8" t="s">
        <v>136</v>
      </c>
      <c r="C584" s="8" t="str">
        <f>IFERROR(_xlfn.XLOOKUP(TRIM(B584),Lookup!$B$2:$B$1000,Lookup!$C$2:$C$1000),"")</f>
        <v>Equity</v>
      </c>
      <c r="D584" s="8" t="str">
        <f>IFERROR(INDEX('nav master'!$C:$C, MATCH(B584, 'nav master'!$B:$B, 0)), "")</f>
        <v>ULIF06618/01/18DiscvryFnd101</v>
      </c>
      <c r="E584" s="8" t="s">
        <v>365</v>
      </c>
      <c r="F584" s="8" t="s">
        <v>985</v>
      </c>
    </row>
    <row r="585" spans="1:6" ht="60" x14ac:dyDescent="0.25">
      <c r="A585" s="8" t="s">
        <v>125</v>
      </c>
      <c r="B585" s="8" t="s">
        <v>136</v>
      </c>
      <c r="C585" s="8" t="str">
        <f>IFERROR(_xlfn.XLOOKUP(TRIM(B585),Lookup!$B$2:$B$1000,Lookup!$C$2:$C$1000),"")</f>
        <v>Equity</v>
      </c>
      <c r="D585" s="8" t="str">
        <f>IFERROR(INDEX('nav master'!$C:$C, MATCH(B585, 'nav master'!$B:$B, 0)), "")</f>
        <v>ULIF06618/01/18DiscvryFnd101</v>
      </c>
      <c r="E585" s="8" t="s">
        <v>367</v>
      </c>
      <c r="F585" s="8" t="s">
        <v>986</v>
      </c>
    </row>
    <row r="586" spans="1:6" ht="60" x14ac:dyDescent="0.25">
      <c r="A586" s="8" t="s">
        <v>125</v>
      </c>
      <c r="B586" s="8" t="s">
        <v>136</v>
      </c>
      <c r="C586" s="8" t="str">
        <f>IFERROR(_xlfn.XLOOKUP(TRIM(B586),Lookup!$B$2:$B$1000,Lookup!$C$2:$C$1000),"")</f>
        <v>Equity</v>
      </c>
      <c r="D586" s="8" t="str">
        <f>IFERROR(INDEX('nav master'!$C:$C, MATCH(B586, 'nav master'!$B:$B, 0)), "")</f>
        <v>ULIF06618/01/18DiscvryFnd101</v>
      </c>
      <c r="E586" s="8" t="s">
        <v>369</v>
      </c>
      <c r="F586" s="8" t="s">
        <v>987</v>
      </c>
    </row>
    <row r="587" spans="1:6" ht="60" x14ac:dyDescent="0.25">
      <c r="A587" s="8" t="s">
        <v>125</v>
      </c>
      <c r="B587" s="8" t="s">
        <v>136</v>
      </c>
      <c r="C587" s="8" t="str">
        <f>IFERROR(_xlfn.XLOOKUP(TRIM(B587),Lookup!$B$2:$B$1000,Lookup!$C$2:$C$1000),"")</f>
        <v>Equity</v>
      </c>
      <c r="D587" s="8" t="str">
        <f>IFERROR(INDEX('nav master'!$C:$C, MATCH(B587, 'nav master'!$B:$B, 0)), "")</f>
        <v>ULIF06618/01/18DiscvryFnd101</v>
      </c>
      <c r="E587" s="8" t="s">
        <v>371</v>
      </c>
      <c r="F587" s="8" t="s">
        <v>988</v>
      </c>
    </row>
    <row r="588" spans="1:6" ht="60" x14ac:dyDescent="0.25">
      <c r="A588" s="8" t="s">
        <v>125</v>
      </c>
      <c r="B588" s="8" t="s">
        <v>136</v>
      </c>
      <c r="C588" s="8" t="str">
        <f>IFERROR(_xlfn.XLOOKUP(TRIM(B588),Lookup!$B$2:$B$1000,Lookup!$C$2:$C$1000),"")</f>
        <v>Equity</v>
      </c>
      <c r="D588" s="8" t="str">
        <f>IFERROR(INDEX('nav master'!$C:$C, MATCH(B588, 'nav master'!$B:$B, 0)), "")</f>
        <v>ULIF06618/01/18DiscvryFnd101</v>
      </c>
      <c r="E588" s="8" t="s">
        <v>373</v>
      </c>
      <c r="F588" s="8" t="s">
        <v>989</v>
      </c>
    </row>
    <row r="589" spans="1:6" ht="60" x14ac:dyDescent="0.25">
      <c r="A589" s="8" t="s">
        <v>125</v>
      </c>
      <c r="B589" s="8" t="s">
        <v>136</v>
      </c>
      <c r="C589" s="8" t="str">
        <f>IFERROR(_xlfn.XLOOKUP(TRIM(B589),Lookup!$B$2:$B$1000,Lookup!$C$2:$C$1000),"")</f>
        <v>Equity</v>
      </c>
      <c r="D589" s="8" t="str">
        <f>IFERROR(INDEX('nav master'!$C:$C, MATCH(B589, 'nav master'!$B:$B, 0)), "")</f>
        <v>ULIF06618/01/18DiscvryFnd101</v>
      </c>
      <c r="E589" s="8" t="s">
        <v>375</v>
      </c>
      <c r="F589" s="8" t="s">
        <v>990</v>
      </c>
    </row>
    <row r="590" spans="1:6" ht="60" x14ac:dyDescent="0.25">
      <c r="A590" s="8" t="s">
        <v>125</v>
      </c>
      <c r="B590" s="8" t="s">
        <v>136</v>
      </c>
      <c r="C590" s="8" t="str">
        <f>IFERROR(_xlfn.XLOOKUP(TRIM(B590),Lookup!$B$2:$B$1000,Lookup!$C$2:$C$1000),"")</f>
        <v>Equity</v>
      </c>
      <c r="D590" s="8" t="str">
        <f>IFERROR(INDEX('nav master'!$C:$C, MATCH(B590, 'nav master'!$B:$B, 0)), "")</f>
        <v>ULIF06618/01/18DiscvryFnd101</v>
      </c>
      <c r="E590" s="8" t="s">
        <v>377</v>
      </c>
      <c r="F590" s="8" t="s">
        <v>991</v>
      </c>
    </row>
    <row r="591" spans="1:6" ht="60" x14ac:dyDescent="0.25">
      <c r="A591" s="8" t="s">
        <v>125</v>
      </c>
      <c r="B591" s="8" t="s">
        <v>136</v>
      </c>
      <c r="C591" s="8" t="str">
        <f>IFERROR(_xlfn.XLOOKUP(TRIM(B591),Lookup!$B$2:$B$1000,Lookup!$C$2:$C$1000),"")</f>
        <v>Equity</v>
      </c>
      <c r="D591" s="8" t="str">
        <f>IFERROR(INDEX('nav master'!$C:$C, MATCH(B591, 'nav master'!$B:$B, 0)), "")</f>
        <v>ULIF06618/01/18DiscvryFnd101</v>
      </c>
      <c r="E591" s="8" t="s">
        <v>379</v>
      </c>
      <c r="F591" s="8" t="s">
        <v>992</v>
      </c>
    </row>
    <row r="592" spans="1:6" ht="60" x14ac:dyDescent="0.25">
      <c r="A592" s="8" t="s">
        <v>125</v>
      </c>
      <c r="B592" s="8" t="s">
        <v>136</v>
      </c>
      <c r="C592" s="8" t="str">
        <f>IFERROR(_xlfn.XLOOKUP(TRIM(B592),Lookup!$B$2:$B$1000,Lookup!$C$2:$C$1000),"")</f>
        <v>Equity</v>
      </c>
      <c r="D592" s="8" t="str">
        <f>IFERROR(INDEX('nav master'!$C:$C, MATCH(B592, 'nav master'!$B:$B, 0)), "")</f>
        <v>ULIF06618/01/18DiscvryFnd101</v>
      </c>
      <c r="E592" s="8" t="s">
        <v>381</v>
      </c>
      <c r="F592" s="8" t="s">
        <v>993</v>
      </c>
    </row>
    <row r="593" spans="1:6" ht="60" x14ac:dyDescent="0.25">
      <c r="A593" s="8" t="s">
        <v>125</v>
      </c>
      <c r="B593" s="8" t="s">
        <v>136</v>
      </c>
      <c r="C593" s="8" t="str">
        <f>IFERROR(_xlfn.XLOOKUP(TRIM(B593),Lookup!$B$2:$B$1000,Lookup!$C$2:$C$1000),"")</f>
        <v>Equity</v>
      </c>
      <c r="D593" s="8" t="str">
        <f>IFERROR(INDEX('nav master'!$C:$C, MATCH(B593, 'nav master'!$B:$B, 0)), "")</f>
        <v>ULIF06618/01/18DiscvryFnd101</v>
      </c>
      <c r="E593" s="8" t="s">
        <v>383</v>
      </c>
      <c r="F593" s="8" t="s">
        <v>994</v>
      </c>
    </row>
    <row r="594" spans="1:6" ht="60" x14ac:dyDescent="0.25">
      <c r="A594" s="8" t="s">
        <v>125</v>
      </c>
      <c r="B594" s="8" t="s">
        <v>136</v>
      </c>
      <c r="C594" s="8" t="str">
        <f>IFERROR(_xlfn.XLOOKUP(TRIM(B594),Lookup!$B$2:$B$1000,Lookup!$C$2:$C$1000),"")</f>
        <v>Equity</v>
      </c>
      <c r="D594" s="8" t="str">
        <f>IFERROR(INDEX('nav master'!$C:$C, MATCH(B594, 'nav master'!$B:$B, 0)), "")</f>
        <v>ULIF06618/01/18DiscvryFnd101</v>
      </c>
      <c r="E594" s="8" t="s">
        <v>385</v>
      </c>
      <c r="F594" s="8" t="s">
        <v>995</v>
      </c>
    </row>
    <row r="595" spans="1:6" ht="60" x14ac:dyDescent="0.25">
      <c r="A595" s="8" t="s">
        <v>125</v>
      </c>
      <c r="B595" s="8" t="s">
        <v>136</v>
      </c>
      <c r="C595" s="8" t="str">
        <f>IFERROR(_xlfn.XLOOKUP(TRIM(B595),Lookup!$B$2:$B$1000,Lookup!$C$2:$C$1000),"")</f>
        <v>Equity</v>
      </c>
      <c r="D595" s="8" t="str">
        <f>IFERROR(INDEX('nav master'!$C:$C, MATCH(B595, 'nav master'!$B:$B, 0)), "")</f>
        <v>ULIF06618/01/18DiscvryFnd101</v>
      </c>
      <c r="E595" s="8" t="s">
        <v>387</v>
      </c>
      <c r="F595" s="8" t="s">
        <v>996</v>
      </c>
    </row>
    <row r="596" spans="1:6" ht="60" x14ac:dyDescent="0.25">
      <c r="A596" s="8" t="s">
        <v>125</v>
      </c>
      <c r="B596" s="8" t="s">
        <v>136</v>
      </c>
      <c r="C596" s="8" t="str">
        <f>IFERROR(_xlfn.XLOOKUP(TRIM(B596),Lookup!$B$2:$B$1000,Lookup!$C$2:$C$1000),"")</f>
        <v>Equity</v>
      </c>
      <c r="D596" s="8" t="str">
        <f>IFERROR(INDEX('nav master'!$C:$C, MATCH(B596, 'nav master'!$B:$B, 0)), "")</f>
        <v>ULIF06618/01/18DiscvryFnd101</v>
      </c>
      <c r="E596" s="8" t="s">
        <v>389</v>
      </c>
      <c r="F596" s="8" t="s">
        <v>997</v>
      </c>
    </row>
    <row r="597" spans="1:6" ht="60" x14ac:dyDescent="0.25">
      <c r="A597" s="8" t="s">
        <v>125</v>
      </c>
      <c r="B597" s="8" t="s">
        <v>136</v>
      </c>
      <c r="C597" s="8" t="str">
        <f>IFERROR(_xlfn.XLOOKUP(TRIM(B597),Lookup!$B$2:$B$1000,Lookup!$C$2:$C$1000),"")</f>
        <v>Equity</v>
      </c>
      <c r="D597" s="8" t="str">
        <f>IFERROR(INDEX('nav master'!$C:$C, MATCH(B597, 'nav master'!$B:$B, 0)), "")</f>
        <v>ULIF06618/01/18DiscvryFnd101</v>
      </c>
      <c r="E597" s="8" t="s">
        <v>391</v>
      </c>
      <c r="F597" s="8" t="s">
        <v>998</v>
      </c>
    </row>
    <row r="598" spans="1:6" ht="60" x14ac:dyDescent="0.25">
      <c r="A598" s="8" t="s">
        <v>125</v>
      </c>
      <c r="B598" s="8" t="s">
        <v>136</v>
      </c>
      <c r="C598" s="8" t="str">
        <f>IFERROR(_xlfn.XLOOKUP(TRIM(B598),Lookup!$B$2:$B$1000,Lookup!$C$2:$C$1000),"")</f>
        <v>Equity</v>
      </c>
      <c r="D598" s="8" t="str">
        <f>IFERROR(INDEX('nav master'!$C:$C, MATCH(B598, 'nav master'!$B:$B, 0)), "")</f>
        <v>ULIF06618/01/18DiscvryFnd101</v>
      </c>
      <c r="E598" s="8" t="s">
        <v>393</v>
      </c>
      <c r="F598" s="8" t="s">
        <v>999</v>
      </c>
    </row>
    <row r="599" spans="1:6" ht="60" x14ac:dyDescent="0.25">
      <c r="A599" s="8" t="s">
        <v>125</v>
      </c>
      <c r="B599" s="8" t="s">
        <v>136</v>
      </c>
      <c r="C599" s="8" t="str">
        <f>IFERROR(_xlfn.XLOOKUP(TRIM(B599),Lookup!$B$2:$B$1000,Lookup!$C$2:$C$1000),"")</f>
        <v>Equity</v>
      </c>
      <c r="D599" s="8" t="str">
        <f>IFERROR(INDEX('nav master'!$C:$C, MATCH(B599, 'nav master'!$B:$B, 0)), "")</f>
        <v>ULIF06618/01/18DiscvryFnd101</v>
      </c>
      <c r="E599" s="8" t="s">
        <v>395</v>
      </c>
      <c r="F599" s="8" t="s">
        <v>1000</v>
      </c>
    </row>
    <row r="600" spans="1:6" ht="60" x14ac:dyDescent="0.25">
      <c r="A600" s="8" t="s">
        <v>125</v>
      </c>
      <c r="B600" s="8" t="s">
        <v>136</v>
      </c>
      <c r="C600" s="8" t="str">
        <f>IFERROR(_xlfn.XLOOKUP(TRIM(B600),Lookup!$B$2:$B$1000,Lookup!$C$2:$C$1000),"")</f>
        <v>Equity</v>
      </c>
      <c r="D600" s="8" t="str">
        <f>IFERROR(INDEX('nav master'!$C:$C, MATCH(B600, 'nav master'!$B:$B, 0)), "")</f>
        <v>ULIF06618/01/18DiscvryFnd101</v>
      </c>
      <c r="E600" s="8" t="s">
        <v>397</v>
      </c>
      <c r="F600" s="8" t="s">
        <v>1001</v>
      </c>
    </row>
    <row r="601" spans="1:6" ht="60" x14ac:dyDescent="0.25">
      <c r="A601" s="8" t="s">
        <v>125</v>
      </c>
      <c r="B601" s="8" t="s">
        <v>136</v>
      </c>
      <c r="C601" s="8" t="str">
        <f>IFERROR(_xlfn.XLOOKUP(TRIM(B601),Lookup!$B$2:$B$1000,Lookup!$C$2:$C$1000),"")</f>
        <v>Equity</v>
      </c>
      <c r="D601" s="8" t="str">
        <f>IFERROR(INDEX('nav master'!$C:$C, MATCH(B601, 'nav master'!$B:$B, 0)), "")</f>
        <v>ULIF06618/01/18DiscvryFnd101</v>
      </c>
      <c r="E601" s="8" t="s">
        <v>399</v>
      </c>
      <c r="F601" s="8" t="s">
        <v>1002</v>
      </c>
    </row>
    <row r="602" spans="1:6" ht="60" x14ac:dyDescent="0.25">
      <c r="A602" s="8" t="s">
        <v>125</v>
      </c>
      <c r="B602" s="8" t="s">
        <v>136</v>
      </c>
      <c r="C602" s="8" t="str">
        <f>IFERROR(_xlfn.XLOOKUP(TRIM(B602),Lookup!$B$2:$B$1000,Lookup!$C$2:$C$1000),"")</f>
        <v>Equity</v>
      </c>
      <c r="D602" s="8" t="str">
        <f>IFERROR(INDEX('nav master'!$C:$C, MATCH(B602, 'nav master'!$B:$B, 0)), "")</f>
        <v>ULIF06618/01/18DiscvryFnd101</v>
      </c>
      <c r="E602" s="8" t="s">
        <v>401</v>
      </c>
      <c r="F602" s="8" t="s">
        <v>1003</v>
      </c>
    </row>
    <row r="603" spans="1:6" ht="60" x14ac:dyDescent="0.25">
      <c r="A603" s="8" t="s">
        <v>125</v>
      </c>
      <c r="B603" s="8" t="s">
        <v>136</v>
      </c>
      <c r="C603" s="8" t="str">
        <f>IFERROR(_xlfn.XLOOKUP(TRIM(B603),Lookup!$B$2:$B$1000,Lookup!$C$2:$C$1000),"")</f>
        <v>Equity</v>
      </c>
      <c r="D603" s="8" t="str">
        <f>IFERROR(INDEX('nav master'!$C:$C, MATCH(B603, 'nav master'!$B:$B, 0)), "")</f>
        <v>ULIF06618/01/18DiscvryFnd101</v>
      </c>
      <c r="E603" s="8" t="s">
        <v>403</v>
      </c>
      <c r="F603" s="8" t="s">
        <v>1004</v>
      </c>
    </row>
    <row r="604" spans="1:6" ht="60" x14ac:dyDescent="0.25">
      <c r="A604" s="8" t="s">
        <v>125</v>
      </c>
      <c r="B604" s="8" t="s">
        <v>136</v>
      </c>
      <c r="C604" s="8" t="str">
        <f>IFERROR(_xlfn.XLOOKUP(TRIM(B604),Lookup!$B$2:$B$1000,Lookup!$C$2:$C$1000),"")</f>
        <v>Equity</v>
      </c>
      <c r="D604" s="8" t="str">
        <f>IFERROR(INDEX('nav master'!$C:$C, MATCH(B604, 'nav master'!$B:$B, 0)), "")</f>
        <v>ULIF06618/01/18DiscvryFnd101</v>
      </c>
      <c r="E604" s="8" t="s">
        <v>405</v>
      </c>
      <c r="F604" s="8" t="s">
        <v>1005</v>
      </c>
    </row>
    <row r="605" spans="1:6" ht="60" x14ac:dyDescent="0.25">
      <c r="A605" s="8" t="s">
        <v>125</v>
      </c>
      <c r="B605" s="8" t="s">
        <v>136</v>
      </c>
      <c r="C605" s="8" t="str">
        <f>IFERROR(_xlfn.XLOOKUP(TRIM(B605),Lookup!$B$2:$B$1000,Lookup!$C$2:$C$1000),"")</f>
        <v>Equity</v>
      </c>
      <c r="D605" s="8" t="str">
        <f>IFERROR(INDEX('nav master'!$C:$C, MATCH(B605, 'nav master'!$B:$B, 0)), "")</f>
        <v>ULIF06618/01/18DiscvryFnd101</v>
      </c>
      <c r="E605" s="8" t="s">
        <v>407</v>
      </c>
      <c r="F605" s="8" t="s">
        <v>1006</v>
      </c>
    </row>
    <row r="606" spans="1:6" ht="60" x14ac:dyDescent="0.25">
      <c r="A606" s="8" t="s">
        <v>125</v>
      </c>
      <c r="B606" s="8" t="s">
        <v>136</v>
      </c>
      <c r="C606" s="8" t="str">
        <f>IFERROR(_xlfn.XLOOKUP(TRIM(B606),Lookup!$B$2:$B$1000,Lookup!$C$2:$C$1000),"")</f>
        <v>Equity</v>
      </c>
      <c r="D606" s="8" t="str">
        <f>IFERROR(INDEX('nav master'!$C:$C, MATCH(B606, 'nav master'!$B:$B, 0)), "")</f>
        <v>ULIF06618/01/18DiscvryFnd101</v>
      </c>
      <c r="E606" s="8" t="s">
        <v>409</v>
      </c>
      <c r="F606" s="8" t="s">
        <v>1007</v>
      </c>
    </row>
    <row r="607" spans="1:6" ht="60" x14ac:dyDescent="0.25">
      <c r="A607" s="8" t="s">
        <v>125</v>
      </c>
      <c r="B607" s="8" t="s">
        <v>136</v>
      </c>
      <c r="C607" s="8" t="str">
        <f>IFERROR(_xlfn.XLOOKUP(TRIM(B607),Lookup!$B$2:$B$1000,Lookup!$C$2:$C$1000),"")</f>
        <v>Equity</v>
      </c>
      <c r="D607" s="8" t="str">
        <f>IFERROR(INDEX('nav master'!$C:$C, MATCH(B607, 'nav master'!$B:$B, 0)), "")</f>
        <v>ULIF06618/01/18DiscvryFnd101</v>
      </c>
      <c r="E607" s="8" t="s">
        <v>411</v>
      </c>
      <c r="F607" s="8" t="s">
        <v>1008</v>
      </c>
    </row>
    <row r="608" spans="1:6" ht="60" x14ac:dyDescent="0.25">
      <c r="A608" s="8" t="s">
        <v>125</v>
      </c>
      <c r="B608" s="8" t="s">
        <v>136</v>
      </c>
      <c r="C608" s="8" t="str">
        <f>IFERROR(_xlfn.XLOOKUP(TRIM(B608),Lookup!$B$2:$B$1000,Lookup!$C$2:$C$1000),"")</f>
        <v>Equity</v>
      </c>
      <c r="D608" s="8" t="str">
        <f>IFERROR(INDEX('nav master'!$C:$C, MATCH(B608, 'nav master'!$B:$B, 0)), "")</f>
        <v>ULIF06618/01/18DiscvryFnd101</v>
      </c>
      <c r="E608" s="8" t="s">
        <v>413</v>
      </c>
      <c r="F608" s="8" t="s">
        <v>1009</v>
      </c>
    </row>
    <row r="609" spans="1:6" ht="60" x14ac:dyDescent="0.25">
      <c r="A609" s="8" t="s">
        <v>125</v>
      </c>
      <c r="B609" s="8" t="s">
        <v>136</v>
      </c>
      <c r="C609" s="8" t="str">
        <f>IFERROR(_xlfn.XLOOKUP(TRIM(B609),Lookup!$B$2:$B$1000,Lookup!$C$2:$C$1000),"")</f>
        <v>Equity</v>
      </c>
      <c r="D609" s="8" t="str">
        <f>IFERROR(INDEX('nav master'!$C:$C, MATCH(B609, 'nav master'!$B:$B, 0)), "")</f>
        <v>ULIF06618/01/18DiscvryFnd101</v>
      </c>
      <c r="E609" s="8" t="s">
        <v>415</v>
      </c>
      <c r="F609" s="8" t="s">
        <v>1010</v>
      </c>
    </row>
    <row r="610" spans="1:6" ht="60" x14ac:dyDescent="0.25">
      <c r="A610" s="8" t="s">
        <v>125</v>
      </c>
      <c r="B610" s="8" t="s">
        <v>136</v>
      </c>
      <c r="C610" s="8" t="str">
        <f>IFERROR(_xlfn.XLOOKUP(TRIM(B610),Lookup!$B$2:$B$1000,Lookup!$C$2:$C$1000),"")</f>
        <v>Equity</v>
      </c>
      <c r="D610" s="8" t="str">
        <f>IFERROR(INDEX('nav master'!$C:$C, MATCH(B610, 'nav master'!$B:$B, 0)), "")</f>
        <v>ULIF06618/01/18DiscvryFnd101</v>
      </c>
      <c r="E610" s="8" t="s">
        <v>417</v>
      </c>
      <c r="F610" s="8" t="s">
        <v>1011</v>
      </c>
    </row>
    <row r="611" spans="1:6" ht="60" x14ac:dyDescent="0.25">
      <c r="A611" s="8" t="s">
        <v>125</v>
      </c>
      <c r="B611" s="8" t="s">
        <v>136</v>
      </c>
      <c r="C611" s="8" t="str">
        <f>IFERROR(_xlfn.XLOOKUP(TRIM(B611),Lookup!$B$2:$B$1000,Lookup!$C$2:$C$1000),"")</f>
        <v>Equity</v>
      </c>
      <c r="D611" s="8" t="str">
        <f>IFERROR(INDEX('nav master'!$C:$C, MATCH(B611, 'nav master'!$B:$B, 0)), "")</f>
        <v>ULIF06618/01/18DiscvryFnd101</v>
      </c>
      <c r="E611" s="8" t="s">
        <v>419</v>
      </c>
      <c r="F611" s="8" t="s">
        <v>1012</v>
      </c>
    </row>
    <row r="612" spans="1:6" ht="60" x14ac:dyDescent="0.25">
      <c r="A612" s="8" t="s">
        <v>125</v>
      </c>
      <c r="B612" s="8" t="s">
        <v>136</v>
      </c>
      <c r="C612" s="8" t="str">
        <f>IFERROR(_xlfn.XLOOKUP(TRIM(B612),Lookup!$B$2:$B$1000,Lookup!$C$2:$C$1000),"")</f>
        <v>Equity</v>
      </c>
      <c r="D612" s="8" t="str">
        <f>IFERROR(INDEX('nav master'!$C:$C, MATCH(B612, 'nav master'!$B:$B, 0)), "")</f>
        <v>ULIF06618/01/18DiscvryFnd101</v>
      </c>
      <c r="E612" s="8" t="s">
        <v>421</v>
      </c>
      <c r="F612" s="8" t="s">
        <v>1013</v>
      </c>
    </row>
    <row r="613" spans="1:6" ht="60" x14ac:dyDescent="0.25">
      <c r="A613" s="8" t="s">
        <v>125</v>
      </c>
      <c r="B613" s="8" t="s">
        <v>136</v>
      </c>
      <c r="C613" s="8" t="str">
        <f>IFERROR(_xlfn.XLOOKUP(TRIM(B613),Lookup!$B$2:$B$1000,Lookup!$C$2:$C$1000),"")</f>
        <v>Equity</v>
      </c>
      <c r="D613" s="8" t="str">
        <f>IFERROR(INDEX('nav master'!$C:$C, MATCH(B613, 'nav master'!$B:$B, 0)), "")</f>
        <v>ULIF06618/01/18DiscvryFnd101</v>
      </c>
      <c r="E613" s="8" t="s">
        <v>423</v>
      </c>
      <c r="F613" s="8" t="s">
        <v>1014</v>
      </c>
    </row>
    <row r="614" spans="1:6" ht="60" x14ac:dyDescent="0.25">
      <c r="A614" s="8" t="s">
        <v>125</v>
      </c>
      <c r="B614" s="8" t="s">
        <v>136</v>
      </c>
      <c r="C614" s="8" t="str">
        <f>IFERROR(_xlfn.XLOOKUP(TRIM(B614),Lookup!$B$2:$B$1000,Lookup!$C$2:$C$1000),"")</f>
        <v>Equity</v>
      </c>
      <c r="D614" s="8" t="str">
        <f>IFERROR(INDEX('nav master'!$C:$C, MATCH(B614, 'nav master'!$B:$B, 0)), "")</f>
        <v>ULIF06618/01/18DiscvryFnd101</v>
      </c>
      <c r="E614" s="8" t="s">
        <v>425</v>
      </c>
      <c r="F614" s="8" t="s">
        <v>1015</v>
      </c>
    </row>
    <row r="615" spans="1:6" ht="60" x14ac:dyDescent="0.25">
      <c r="A615" s="8" t="s">
        <v>125</v>
      </c>
      <c r="B615" s="8" t="s">
        <v>136</v>
      </c>
      <c r="C615" s="8" t="str">
        <f>IFERROR(_xlfn.XLOOKUP(TRIM(B615),Lookup!$B$2:$B$1000,Lookup!$C$2:$C$1000),"")</f>
        <v>Equity</v>
      </c>
      <c r="D615" s="8" t="str">
        <f>IFERROR(INDEX('nav master'!$C:$C, MATCH(B615, 'nav master'!$B:$B, 0)), "")</f>
        <v>ULIF06618/01/18DiscvryFnd101</v>
      </c>
      <c r="E615" s="8" t="s">
        <v>427</v>
      </c>
      <c r="F615" s="8" t="s">
        <v>1016</v>
      </c>
    </row>
    <row r="616" spans="1:6" ht="60" x14ac:dyDescent="0.25">
      <c r="A616" s="8" t="s">
        <v>125</v>
      </c>
      <c r="B616" s="8" t="s">
        <v>136</v>
      </c>
      <c r="C616" s="8" t="str">
        <f>IFERROR(_xlfn.XLOOKUP(TRIM(B616),Lookup!$B$2:$B$1000,Lookup!$C$2:$C$1000),"")</f>
        <v>Equity</v>
      </c>
      <c r="D616" s="8" t="str">
        <f>IFERROR(INDEX('nav master'!$C:$C, MATCH(B616, 'nav master'!$B:$B, 0)), "")</f>
        <v>ULIF06618/01/18DiscvryFnd101</v>
      </c>
      <c r="E616" s="8" t="s">
        <v>429</v>
      </c>
      <c r="F616" s="8" t="s">
        <v>1017</v>
      </c>
    </row>
    <row r="617" spans="1:6" ht="60" x14ac:dyDescent="0.25">
      <c r="A617" s="8" t="s">
        <v>125</v>
      </c>
      <c r="B617" s="8" t="s">
        <v>136</v>
      </c>
      <c r="C617" s="8" t="str">
        <f>IFERROR(_xlfn.XLOOKUP(TRIM(B617),Lookup!$B$2:$B$1000,Lookup!$C$2:$C$1000),"")</f>
        <v>Equity</v>
      </c>
      <c r="D617" s="8" t="str">
        <f>IFERROR(INDEX('nav master'!$C:$C, MATCH(B617, 'nav master'!$B:$B, 0)), "")</f>
        <v>ULIF06618/01/18DiscvryFnd101</v>
      </c>
      <c r="E617" s="8" t="s">
        <v>431</v>
      </c>
      <c r="F617" s="8" t="s">
        <v>1018</v>
      </c>
    </row>
    <row r="618" spans="1:6" ht="60" x14ac:dyDescent="0.25">
      <c r="A618" s="8" t="s">
        <v>125</v>
      </c>
      <c r="B618" s="8" t="s">
        <v>136</v>
      </c>
      <c r="C618" s="8" t="str">
        <f>IFERROR(_xlfn.XLOOKUP(TRIM(B618),Lookup!$B$2:$B$1000,Lookup!$C$2:$C$1000),"")</f>
        <v>Equity</v>
      </c>
      <c r="D618" s="8" t="str">
        <f>IFERROR(INDEX('nav master'!$C:$C, MATCH(B618, 'nav master'!$B:$B, 0)), "")</f>
        <v>ULIF06618/01/18DiscvryFnd101</v>
      </c>
      <c r="E618" s="8" t="s">
        <v>433</v>
      </c>
      <c r="F618" s="8" t="s">
        <v>1019</v>
      </c>
    </row>
    <row r="619" spans="1:6" ht="60" x14ac:dyDescent="0.25">
      <c r="A619" s="8" t="s">
        <v>125</v>
      </c>
      <c r="B619" s="8" t="s">
        <v>136</v>
      </c>
      <c r="C619" s="8" t="str">
        <f>IFERROR(_xlfn.XLOOKUP(TRIM(B619),Lookup!$B$2:$B$1000,Lookup!$C$2:$C$1000),"")</f>
        <v>Equity</v>
      </c>
      <c r="D619" s="8" t="str">
        <f>IFERROR(INDEX('nav master'!$C:$C, MATCH(B619, 'nav master'!$B:$B, 0)), "")</f>
        <v>ULIF06618/01/18DiscvryFnd101</v>
      </c>
      <c r="E619" s="8" t="s">
        <v>435</v>
      </c>
      <c r="F619" s="8" t="s">
        <v>1020</v>
      </c>
    </row>
    <row r="620" spans="1:6" ht="60" x14ac:dyDescent="0.25">
      <c r="A620" s="8" t="s">
        <v>125</v>
      </c>
      <c r="B620" s="8" t="s">
        <v>136</v>
      </c>
      <c r="C620" s="8" t="str">
        <f>IFERROR(_xlfn.XLOOKUP(TRIM(B620),Lookup!$B$2:$B$1000,Lookup!$C$2:$C$1000),"")</f>
        <v>Equity</v>
      </c>
      <c r="D620" s="8" t="str">
        <f>IFERROR(INDEX('nav master'!$C:$C, MATCH(B620, 'nav master'!$B:$B, 0)), "")</f>
        <v>ULIF06618/01/18DiscvryFnd101</v>
      </c>
      <c r="E620" s="8" t="s">
        <v>437</v>
      </c>
      <c r="F620" s="8" t="s">
        <v>1021</v>
      </c>
    </row>
    <row r="621" spans="1:6" ht="60" x14ac:dyDescent="0.25">
      <c r="A621" s="8" t="s">
        <v>125</v>
      </c>
      <c r="B621" s="8" t="s">
        <v>136</v>
      </c>
      <c r="C621" s="8" t="str">
        <f>IFERROR(_xlfn.XLOOKUP(TRIM(B621),Lookup!$B$2:$B$1000,Lookup!$C$2:$C$1000),"")</f>
        <v>Equity</v>
      </c>
      <c r="D621" s="8" t="str">
        <f>IFERROR(INDEX('nav master'!$C:$C, MATCH(B621, 'nav master'!$B:$B, 0)), "")</f>
        <v>ULIF06618/01/18DiscvryFnd101</v>
      </c>
      <c r="E621" s="8" t="s">
        <v>439</v>
      </c>
      <c r="F621" s="8" t="s">
        <v>1022</v>
      </c>
    </row>
    <row r="622" spans="1:6" ht="60" x14ac:dyDescent="0.25">
      <c r="A622" s="8" t="s">
        <v>125</v>
      </c>
      <c r="B622" s="8" t="s">
        <v>136</v>
      </c>
      <c r="C622" s="8" t="str">
        <f>IFERROR(_xlfn.XLOOKUP(TRIM(B622),Lookup!$B$2:$B$1000,Lookup!$C$2:$C$1000),"")</f>
        <v>Equity</v>
      </c>
      <c r="D622" s="8" t="str">
        <f>IFERROR(INDEX('nav master'!$C:$C, MATCH(B622, 'nav master'!$B:$B, 0)), "")</f>
        <v>ULIF06618/01/18DiscvryFnd101</v>
      </c>
      <c r="E622" s="8" t="s">
        <v>441</v>
      </c>
      <c r="F622" s="8" t="s">
        <v>1023</v>
      </c>
    </row>
    <row r="623" spans="1:6" ht="60" x14ac:dyDescent="0.25">
      <c r="A623" s="8" t="s">
        <v>125</v>
      </c>
      <c r="B623" s="8" t="s">
        <v>136</v>
      </c>
      <c r="C623" s="8" t="str">
        <f>IFERROR(_xlfn.XLOOKUP(TRIM(B623),Lookup!$B$2:$B$1000,Lookup!$C$2:$C$1000),"")</f>
        <v>Equity</v>
      </c>
      <c r="D623" s="8" t="str">
        <f>IFERROR(INDEX('nav master'!$C:$C, MATCH(B623, 'nav master'!$B:$B, 0)), "")</f>
        <v>ULIF06618/01/18DiscvryFnd101</v>
      </c>
      <c r="E623" s="8" t="s">
        <v>443</v>
      </c>
      <c r="F623" s="8" t="s">
        <v>1024</v>
      </c>
    </row>
    <row r="624" spans="1:6" ht="60" x14ac:dyDescent="0.25">
      <c r="A624" s="8" t="s">
        <v>125</v>
      </c>
      <c r="B624" s="8" t="s">
        <v>136</v>
      </c>
      <c r="C624" s="8" t="str">
        <f>IFERROR(_xlfn.XLOOKUP(TRIM(B624),Lookup!$B$2:$B$1000,Lookup!$C$2:$C$1000),"")</f>
        <v>Equity</v>
      </c>
      <c r="D624" s="8" t="str">
        <f>IFERROR(INDEX('nav master'!$C:$C, MATCH(B624, 'nav master'!$B:$B, 0)), "")</f>
        <v>ULIF06618/01/18DiscvryFnd101</v>
      </c>
      <c r="E624" s="8" t="s">
        <v>445</v>
      </c>
      <c r="F624" s="8" t="s">
        <v>1025</v>
      </c>
    </row>
    <row r="625" spans="1:6" ht="60" x14ac:dyDescent="0.25">
      <c r="A625" s="8" t="s">
        <v>125</v>
      </c>
      <c r="B625" s="8" t="s">
        <v>136</v>
      </c>
      <c r="C625" s="8" t="str">
        <f>IFERROR(_xlfn.XLOOKUP(TRIM(B625),Lookup!$B$2:$B$1000,Lookup!$C$2:$C$1000),"")</f>
        <v>Equity</v>
      </c>
      <c r="D625" s="8" t="str">
        <f>IFERROR(INDEX('nav master'!$C:$C, MATCH(B625, 'nav master'!$B:$B, 0)), "")</f>
        <v>ULIF06618/01/18DiscvryFnd101</v>
      </c>
      <c r="E625" s="8" t="s">
        <v>446</v>
      </c>
      <c r="F625" s="8" t="s">
        <v>1026</v>
      </c>
    </row>
    <row r="626" spans="1:6" ht="60" x14ac:dyDescent="0.25">
      <c r="A626" s="8" t="s">
        <v>125</v>
      </c>
      <c r="B626" s="8" t="s">
        <v>136</v>
      </c>
      <c r="C626" s="8" t="str">
        <f>IFERROR(_xlfn.XLOOKUP(TRIM(B626),Lookup!$B$2:$B$1000,Lookup!$C$2:$C$1000),"")</f>
        <v>Equity</v>
      </c>
      <c r="D626" s="8" t="str">
        <f>IFERROR(INDEX('nav master'!$C:$C, MATCH(B626, 'nav master'!$B:$B, 0)), "")</f>
        <v>ULIF06618/01/18DiscvryFnd101</v>
      </c>
      <c r="E626" s="8" t="s">
        <v>448</v>
      </c>
      <c r="F626" s="8" t="s">
        <v>1027</v>
      </c>
    </row>
    <row r="627" spans="1:6" ht="60" x14ac:dyDescent="0.25">
      <c r="A627" s="8" t="s">
        <v>125</v>
      </c>
      <c r="B627" s="8" t="s">
        <v>136</v>
      </c>
      <c r="C627" s="8" t="str">
        <f>IFERROR(_xlfn.XLOOKUP(TRIM(B627),Lookup!$B$2:$B$1000,Lookup!$C$2:$C$1000),"")</f>
        <v>Equity</v>
      </c>
      <c r="D627" s="8" t="str">
        <f>IFERROR(INDEX('nav master'!$C:$C, MATCH(B627, 'nav master'!$B:$B, 0)), "")</f>
        <v>ULIF06618/01/18DiscvryFnd101</v>
      </c>
      <c r="E627" s="8" t="s">
        <v>450</v>
      </c>
      <c r="F627" s="8" t="s">
        <v>1028</v>
      </c>
    </row>
    <row r="628" spans="1:6" ht="60" x14ac:dyDescent="0.25">
      <c r="A628" s="8" t="s">
        <v>125</v>
      </c>
      <c r="B628" s="8" t="s">
        <v>136</v>
      </c>
      <c r="C628" s="8" t="str">
        <f>IFERROR(_xlfn.XLOOKUP(TRIM(B628),Lookup!$B$2:$B$1000,Lookup!$C$2:$C$1000),"")</f>
        <v>Equity</v>
      </c>
      <c r="D628" s="8" t="str">
        <f>IFERROR(INDEX('nav master'!$C:$C, MATCH(B628, 'nav master'!$B:$B, 0)), "")</f>
        <v>ULIF06618/01/18DiscvryFnd101</v>
      </c>
      <c r="E628" s="8" t="s">
        <v>452</v>
      </c>
      <c r="F628" s="8" t="s">
        <v>1029</v>
      </c>
    </row>
    <row r="629" spans="1:6" ht="60" x14ac:dyDescent="0.25">
      <c r="A629" s="8" t="s">
        <v>125</v>
      </c>
      <c r="B629" s="8" t="s">
        <v>136</v>
      </c>
      <c r="C629" s="8" t="str">
        <f>IFERROR(_xlfn.XLOOKUP(TRIM(B629),Lookup!$B$2:$B$1000,Lookup!$C$2:$C$1000),"")</f>
        <v>Equity</v>
      </c>
      <c r="D629" s="8" t="str">
        <f>IFERROR(INDEX('nav master'!$C:$C, MATCH(B629, 'nav master'!$B:$B, 0)), "")</f>
        <v>ULIF06618/01/18DiscvryFnd101</v>
      </c>
      <c r="E629" s="8" t="s">
        <v>454</v>
      </c>
      <c r="F629" s="8" t="s">
        <v>1030</v>
      </c>
    </row>
    <row r="630" spans="1:6" ht="60" x14ac:dyDescent="0.25">
      <c r="A630" s="8" t="s">
        <v>125</v>
      </c>
      <c r="B630" s="8" t="s">
        <v>136</v>
      </c>
      <c r="C630" s="8" t="str">
        <f>IFERROR(_xlfn.XLOOKUP(TRIM(B630),Lookup!$B$2:$B$1000,Lookup!$C$2:$C$1000),"")</f>
        <v>Equity</v>
      </c>
      <c r="D630" s="8" t="str">
        <f>IFERROR(INDEX('nav master'!$C:$C, MATCH(B630, 'nav master'!$B:$B, 0)), "")</f>
        <v>ULIF06618/01/18DiscvryFnd101</v>
      </c>
      <c r="E630" s="8" t="s">
        <v>456</v>
      </c>
      <c r="F630" s="8" t="s">
        <v>1031</v>
      </c>
    </row>
    <row r="631" spans="1:6" ht="60" x14ac:dyDescent="0.25">
      <c r="A631" s="8" t="s">
        <v>125</v>
      </c>
      <c r="B631" s="8" t="s">
        <v>136</v>
      </c>
      <c r="C631" s="8" t="str">
        <f>IFERROR(_xlfn.XLOOKUP(TRIM(B631),Lookup!$B$2:$B$1000,Lookup!$C$2:$C$1000),"")</f>
        <v>Equity</v>
      </c>
      <c r="D631" s="8" t="str">
        <f>IFERROR(INDEX('nav master'!$C:$C, MATCH(B631, 'nav master'!$B:$B, 0)), "")</f>
        <v>ULIF06618/01/18DiscvryFnd101</v>
      </c>
      <c r="E631" s="8" t="s">
        <v>458</v>
      </c>
      <c r="F631" s="8" t="s">
        <v>1032</v>
      </c>
    </row>
    <row r="632" spans="1:6" ht="60" x14ac:dyDescent="0.25">
      <c r="A632" s="8" t="s">
        <v>125</v>
      </c>
      <c r="B632" s="8" t="s">
        <v>136</v>
      </c>
      <c r="C632" s="8" t="str">
        <f>IFERROR(_xlfn.XLOOKUP(TRIM(B632),Lookup!$B$2:$B$1000,Lookup!$C$2:$C$1000),"")</f>
        <v>Equity</v>
      </c>
      <c r="D632" s="8" t="str">
        <f>IFERROR(INDEX('nav master'!$C:$C, MATCH(B632, 'nav master'!$B:$B, 0)), "")</f>
        <v>ULIF06618/01/18DiscvryFnd101</v>
      </c>
      <c r="E632" s="8" t="s">
        <v>460</v>
      </c>
      <c r="F632" s="8" t="s">
        <v>1033</v>
      </c>
    </row>
    <row r="633" spans="1:6" ht="60" x14ac:dyDescent="0.25">
      <c r="A633" s="8" t="s">
        <v>125</v>
      </c>
      <c r="B633" s="8" t="s">
        <v>136</v>
      </c>
      <c r="C633" s="8" t="str">
        <f>IFERROR(_xlfn.XLOOKUP(TRIM(B633),Lookup!$B$2:$B$1000,Lookup!$C$2:$C$1000),"")</f>
        <v>Equity</v>
      </c>
      <c r="D633" s="8" t="str">
        <f>IFERROR(INDEX('nav master'!$C:$C, MATCH(B633, 'nav master'!$B:$B, 0)), "")</f>
        <v>ULIF06618/01/18DiscvryFnd101</v>
      </c>
      <c r="E633" s="8" t="s">
        <v>462</v>
      </c>
      <c r="F633" s="8" t="s">
        <v>1034</v>
      </c>
    </row>
    <row r="634" spans="1:6" ht="60" x14ac:dyDescent="0.25">
      <c r="A634" s="8" t="s">
        <v>125</v>
      </c>
      <c r="B634" s="8" t="s">
        <v>136</v>
      </c>
      <c r="C634" s="8" t="str">
        <f>IFERROR(_xlfn.XLOOKUP(TRIM(B634),Lookup!$B$2:$B$1000,Lookup!$C$2:$C$1000),"")</f>
        <v>Equity</v>
      </c>
      <c r="D634" s="8" t="str">
        <f>IFERROR(INDEX('nav master'!$C:$C, MATCH(B634, 'nav master'!$B:$B, 0)), "")</f>
        <v>ULIF06618/01/18DiscvryFnd101</v>
      </c>
      <c r="E634" s="8" t="s">
        <v>464</v>
      </c>
      <c r="F634" s="8" t="s">
        <v>1035</v>
      </c>
    </row>
    <row r="635" spans="1:6" ht="60" x14ac:dyDescent="0.25">
      <c r="A635" s="8" t="s">
        <v>125</v>
      </c>
      <c r="B635" s="8" t="s">
        <v>136</v>
      </c>
      <c r="C635" s="8" t="str">
        <f>IFERROR(_xlfn.XLOOKUP(TRIM(B635),Lookup!$B$2:$B$1000,Lookup!$C$2:$C$1000),"")</f>
        <v>Equity</v>
      </c>
      <c r="D635" s="8" t="str">
        <f>IFERROR(INDEX('nav master'!$C:$C, MATCH(B635, 'nav master'!$B:$B, 0)), "")</f>
        <v>ULIF06618/01/18DiscvryFnd101</v>
      </c>
      <c r="E635" s="8" t="s">
        <v>466</v>
      </c>
      <c r="F635" s="8" t="s">
        <v>1036</v>
      </c>
    </row>
    <row r="636" spans="1:6" ht="60" x14ac:dyDescent="0.25">
      <c r="A636" s="8" t="s">
        <v>125</v>
      </c>
      <c r="B636" s="8" t="s">
        <v>136</v>
      </c>
      <c r="C636" s="8" t="str">
        <f>IFERROR(_xlfn.XLOOKUP(TRIM(B636),Lookup!$B$2:$B$1000,Lookup!$C$2:$C$1000),"")</f>
        <v>Equity</v>
      </c>
      <c r="D636" s="8" t="str">
        <f>IFERROR(INDEX('nav master'!$C:$C, MATCH(B636, 'nav master'!$B:$B, 0)), "")</f>
        <v>ULIF06618/01/18DiscvryFnd101</v>
      </c>
      <c r="E636" s="8" t="s">
        <v>468</v>
      </c>
      <c r="F636" s="8" t="s">
        <v>1037</v>
      </c>
    </row>
    <row r="637" spans="1:6" ht="60" x14ac:dyDescent="0.25">
      <c r="A637" s="8" t="s">
        <v>125</v>
      </c>
      <c r="B637" s="8" t="s">
        <v>136</v>
      </c>
      <c r="C637" s="8" t="str">
        <f>IFERROR(_xlfn.XLOOKUP(TRIM(B637),Lookup!$B$2:$B$1000,Lookup!$C$2:$C$1000),"")</f>
        <v>Equity</v>
      </c>
      <c r="D637" s="8" t="str">
        <f>IFERROR(INDEX('nav master'!$C:$C, MATCH(B637, 'nav master'!$B:$B, 0)), "")</f>
        <v>ULIF06618/01/18DiscvryFnd101</v>
      </c>
      <c r="E637" s="8" t="s">
        <v>470</v>
      </c>
      <c r="F637" s="8" t="s">
        <v>1038</v>
      </c>
    </row>
    <row r="638" spans="1:6" ht="60" x14ac:dyDescent="0.25">
      <c r="A638" s="8" t="s">
        <v>125</v>
      </c>
      <c r="B638" s="8" t="s">
        <v>136</v>
      </c>
      <c r="C638" s="8" t="str">
        <f>IFERROR(_xlfn.XLOOKUP(TRIM(B638),Lookup!$B$2:$B$1000,Lookup!$C$2:$C$1000),"")</f>
        <v>Equity</v>
      </c>
      <c r="D638" s="8" t="str">
        <f>IFERROR(INDEX('nav master'!$C:$C, MATCH(B638, 'nav master'!$B:$B, 0)), "")</f>
        <v>ULIF06618/01/18DiscvryFnd101</v>
      </c>
      <c r="E638" s="8" t="s">
        <v>472</v>
      </c>
      <c r="F638" s="8" t="s">
        <v>1039</v>
      </c>
    </row>
    <row r="639" spans="1:6" ht="60" x14ac:dyDescent="0.25">
      <c r="A639" s="8" t="s">
        <v>125</v>
      </c>
      <c r="B639" s="8" t="s">
        <v>136</v>
      </c>
      <c r="C639" s="8" t="str">
        <f>IFERROR(_xlfn.XLOOKUP(TRIM(B639),Lookup!$B$2:$B$1000,Lookup!$C$2:$C$1000),"")</f>
        <v>Equity</v>
      </c>
      <c r="D639" s="8" t="str">
        <f>IFERROR(INDEX('nav master'!$C:$C, MATCH(B639, 'nav master'!$B:$B, 0)), "")</f>
        <v>ULIF06618/01/18DiscvryFnd101</v>
      </c>
      <c r="E639" s="8" t="s">
        <v>474</v>
      </c>
      <c r="F639" s="8" t="s">
        <v>1040</v>
      </c>
    </row>
    <row r="640" spans="1:6" ht="60" x14ac:dyDescent="0.25">
      <c r="A640" s="8" t="s">
        <v>125</v>
      </c>
      <c r="B640" s="8" t="s">
        <v>136</v>
      </c>
      <c r="C640" s="8" t="str">
        <f>IFERROR(_xlfn.XLOOKUP(TRIM(B640),Lookup!$B$2:$B$1000,Lookup!$C$2:$C$1000),"")</f>
        <v>Equity</v>
      </c>
      <c r="D640" s="8" t="str">
        <f>IFERROR(INDEX('nav master'!$C:$C, MATCH(B640, 'nav master'!$B:$B, 0)), "")</f>
        <v>ULIF06618/01/18DiscvryFnd101</v>
      </c>
      <c r="E640" s="8" t="s">
        <v>476</v>
      </c>
      <c r="F640" s="8" t="s">
        <v>1041</v>
      </c>
    </row>
    <row r="641" spans="1:6" ht="60" x14ac:dyDescent="0.25">
      <c r="A641" s="8" t="s">
        <v>125</v>
      </c>
      <c r="B641" s="8" t="s">
        <v>136</v>
      </c>
      <c r="C641" s="8" t="str">
        <f>IFERROR(_xlfn.XLOOKUP(TRIM(B641),Lookup!$B$2:$B$1000,Lookup!$C$2:$C$1000),"")</f>
        <v>Equity</v>
      </c>
      <c r="D641" s="8" t="str">
        <f>IFERROR(INDEX('nav master'!$C:$C, MATCH(B641, 'nav master'!$B:$B, 0)), "")</f>
        <v>ULIF06618/01/18DiscvryFnd101</v>
      </c>
      <c r="E641" s="8" t="s">
        <v>478</v>
      </c>
      <c r="F641" s="8" t="s">
        <v>1042</v>
      </c>
    </row>
    <row r="642" spans="1:6" ht="60" x14ac:dyDescent="0.25">
      <c r="A642" s="8" t="s">
        <v>125</v>
      </c>
      <c r="B642" s="8" t="s">
        <v>136</v>
      </c>
      <c r="C642" s="8" t="str">
        <f>IFERROR(_xlfn.XLOOKUP(TRIM(B642),Lookup!$B$2:$B$1000,Lookup!$C$2:$C$1000),"")</f>
        <v>Equity</v>
      </c>
      <c r="D642" s="8" t="str">
        <f>IFERROR(INDEX('nav master'!$C:$C, MATCH(B642, 'nav master'!$B:$B, 0)), "")</f>
        <v>ULIF06618/01/18DiscvryFnd101</v>
      </c>
      <c r="E642" s="8" t="s">
        <v>480</v>
      </c>
      <c r="F642" s="8" t="s">
        <v>1043</v>
      </c>
    </row>
    <row r="643" spans="1:6" ht="60" x14ac:dyDescent="0.25">
      <c r="A643" s="8" t="s">
        <v>125</v>
      </c>
      <c r="B643" s="8" t="s">
        <v>136</v>
      </c>
      <c r="C643" s="8" t="str">
        <f>IFERROR(_xlfn.XLOOKUP(TRIM(B643),Lookup!$B$2:$B$1000,Lookup!$C$2:$C$1000),"")</f>
        <v>Equity</v>
      </c>
      <c r="D643" s="8" t="str">
        <f>IFERROR(INDEX('nav master'!$C:$C, MATCH(B643, 'nav master'!$B:$B, 0)), "")</f>
        <v>ULIF06618/01/18DiscvryFnd101</v>
      </c>
      <c r="E643" s="8" t="s">
        <v>482</v>
      </c>
      <c r="F643" s="8" t="s">
        <v>1044</v>
      </c>
    </row>
    <row r="644" spans="1:6" ht="60" x14ac:dyDescent="0.25">
      <c r="A644" s="8" t="s">
        <v>125</v>
      </c>
      <c r="B644" s="8" t="s">
        <v>136</v>
      </c>
      <c r="C644" s="8" t="str">
        <f>IFERROR(_xlfn.XLOOKUP(TRIM(B644),Lookup!$B$2:$B$1000,Lookup!$C$2:$C$1000),"")</f>
        <v>Equity</v>
      </c>
      <c r="D644" s="8" t="str">
        <f>IFERROR(INDEX('nav master'!$C:$C, MATCH(B644, 'nav master'!$B:$B, 0)), "")</f>
        <v>ULIF06618/01/18DiscvryFnd101</v>
      </c>
      <c r="E644" s="8" t="s">
        <v>484</v>
      </c>
      <c r="F644" s="8" t="s">
        <v>1045</v>
      </c>
    </row>
    <row r="645" spans="1:6" ht="60" x14ac:dyDescent="0.25">
      <c r="A645" s="8" t="s">
        <v>125</v>
      </c>
      <c r="B645" s="8" t="s">
        <v>136</v>
      </c>
      <c r="C645" s="8" t="str">
        <f>IFERROR(_xlfn.XLOOKUP(TRIM(B645),Lookup!$B$2:$B$1000,Lookup!$C$2:$C$1000),"")</f>
        <v>Equity</v>
      </c>
      <c r="D645" s="8" t="str">
        <f>IFERROR(INDEX('nav master'!$C:$C, MATCH(B645, 'nav master'!$B:$B, 0)), "")</f>
        <v>ULIF06618/01/18DiscvryFnd101</v>
      </c>
      <c r="E645" s="8" t="s">
        <v>486</v>
      </c>
      <c r="F645" s="8" t="s">
        <v>1046</v>
      </c>
    </row>
    <row r="646" spans="1:6" ht="60" x14ac:dyDescent="0.25">
      <c r="A646" s="8" t="s">
        <v>125</v>
      </c>
      <c r="B646" s="8" t="s">
        <v>136</v>
      </c>
      <c r="C646" s="8" t="str">
        <f>IFERROR(_xlfn.XLOOKUP(TRIM(B646),Lookup!$B$2:$B$1000,Lookup!$C$2:$C$1000),"")</f>
        <v>Equity</v>
      </c>
      <c r="D646" s="8" t="str">
        <f>IFERROR(INDEX('nav master'!$C:$C, MATCH(B646, 'nav master'!$B:$B, 0)), "")</f>
        <v>ULIF06618/01/18DiscvryFnd101</v>
      </c>
      <c r="E646" s="8" t="s">
        <v>488</v>
      </c>
      <c r="F646" s="8" t="s">
        <v>1047</v>
      </c>
    </row>
    <row r="647" spans="1:6" ht="60" x14ac:dyDescent="0.25">
      <c r="A647" s="8" t="s">
        <v>125</v>
      </c>
      <c r="B647" s="8" t="s">
        <v>136</v>
      </c>
      <c r="C647" s="8" t="str">
        <f>IFERROR(_xlfn.XLOOKUP(TRIM(B647),Lookup!$B$2:$B$1000,Lookup!$C$2:$C$1000),"")</f>
        <v>Equity</v>
      </c>
      <c r="D647" s="8" t="str">
        <f>IFERROR(INDEX('nav master'!$C:$C, MATCH(B647, 'nav master'!$B:$B, 0)), "")</f>
        <v>ULIF06618/01/18DiscvryFnd101</v>
      </c>
      <c r="E647" s="8" t="s">
        <v>490</v>
      </c>
      <c r="F647" s="8" t="s">
        <v>559</v>
      </c>
    </row>
    <row r="648" spans="1:6" ht="60" x14ac:dyDescent="0.25">
      <c r="A648" s="8" t="s">
        <v>125</v>
      </c>
      <c r="B648" s="8" t="s">
        <v>136</v>
      </c>
      <c r="C648" s="8" t="str">
        <f>IFERROR(_xlfn.XLOOKUP(TRIM(B648),Lookup!$B$2:$B$1000,Lookup!$C$2:$C$1000),"")</f>
        <v>Equity</v>
      </c>
      <c r="D648" s="8" t="str">
        <f>IFERROR(INDEX('nav master'!$C:$C, MATCH(B648, 'nav master'!$B:$B, 0)), "")</f>
        <v>ULIF06618/01/18DiscvryFnd101</v>
      </c>
      <c r="E648" s="8" t="s">
        <v>492</v>
      </c>
      <c r="F648" s="8" t="s">
        <v>1048</v>
      </c>
    </row>
    <row r="649" spans="1:6" ht="60" x14ac:dyDescent="0.25">
      <c r="A649" s="8" t="s">
        <v>125</v>
      </c>
      <c r="B649" s="8" t="s">
        <v>136</v>
      </c>
      <c r="C649" s="8" t="str">
        <f>IFERROR(_xlfn.XLOOKUP(TRIM(B649),Lookup!$B$2:$B$1000,Lookup!$C$2:$C$1000),"")</f>
        <v>Equity</v>
      </c>
      <c r="D649" s="8" t="str">
        <f>IFERROR(INDEX('nav master'!$C:$C, MATCH(B649, 'nav master'!$B:$B, 0)), "")</f>
        <v>ULIF06618/01/18DiscvryFnd101</v>
      </c>
      <c r="E649" s="8" t="s">
        <v>494</v>
      </c>
      <c r="F649" s="8" t="s">
        <v>1049</v>
      </c>
    </row>
    <row r="650" spans="1:6" ht="60" x14ac:dyDescent="0.25">
      <c r="A650" s="8" t="s">
        <v>125</v>
      </c>
      <c r="B650" s="8" t="s">
        <v>136</v>
      </c>
      <c r="C650" s="8" t="str">
        <f>IFERROR(_xlfn.XLOOKUP(TRIM(B650),Lookup!$B$2:$B$1000,Lookup!$C$2:$C$1000),"")</f>
        <v>Equity</v>
      </c>
      <c r="D650" s="8" t="str">
        <f>IFERROR(INDEX('nav master'!$C:$C, MATCH(B650, 'nav master'!$B:$B, 0)), "")</f>
        <v>ULIF06618/01/18DiscvryFnd101</v>
      </c>
      <c r="E650" s="8" t="s">
        <v>496</v>
      </c>
      <c r="F650" s="8" t="s">
        <v>1050</v>
      </c>
    </row>
    <row r="651" spans="1:6" ht="60" x14ac:dyDescent="0.25">
      <c r="A651" s="8" t="s">
        <v>125</v>
      </c>
      <c r="B651" s="8" t="s">
        <v>136</v>
      </c>
      <c r="C651" s="8" t="str">
        <f>IFERROR(_xlfn.XLOOKUP(TRIM(B651),Lookup!$B$2:$B$1000,Lookup!$C$2:$C$1000),"")</f>
        <v>Equity</v>
      </c>
      <c r="D651" s="8" t="str">
        <f>IFERROR(INDEX('nav master'!$C:$C, MATCH(B651, 'nav master'!$B:$B, 0)), "")</f>
        <v>ULIF06618/01/18DiscvryFnd101</v>
      </c>
      <c r="E651" s="8" t="s">
        <v>498</v>
      </c>
      <c r="F651" s="8" t="s">
        <v>1051</v>
      </c>
    </row>
    <row r="652" spans="1:6" ht="60" x14ac:dyDescent="0.25">
      <c r="A652" s="8" t="s">
        <v>125</v>
      </c>
      <c r="B652" s="8" t="s">
        <v>136</v>
      </c>
      <c r="C652" s="8" t="str">
        <f>IFERROR(_xlfn.XLOOKUP(TRIM(B652),Lookup!$B$2:$B$1000,Lookup!$C$2:$C$1000),"")</f>
        <v>Equity</v>
      </c>
      <c r="D652" s="8" t="str">
        <f>IFERROR(INDEX('nav master'!$C:$C, MATCH(B652, 'nav master'!$B:$B, 0)), "")</f>
        <v>ULIF06618/01/18DiscvryFnd101</v>
      </c>
      <c r="E652" s="8" t="s">
        <v>500</v>
      </c>
      <c r="F652" s="8" t="s">
        <v>1052</v>
      </c>
    </row>
    <row r="653" spans="1:6" ht="60" x14ac:dyDescent="0.25">
      <c r="A653" s="8" t="s">
        <v>125</v>
      </c>
      <c r="B653" s="8" t="s">
        <v>136</v>
      </c>
      <c r="C653" s="8" t="str">
        <f>IFERROR(_xlfn.XLOOKUP(TRIM(B653),Lookup!$B$2:$B$1000,Lookup!$C$2:$C$1000),"")</f>
        <v>Equity</v>
      </c>
      <c r="D653" s="8" t="str">
        <f>IFERROR(INDEX('nav master'!$C:$C, MATCH(B653, 'nav master'!$B:$B, 0)), "")</f>
        <v>ULIF06618/01/18DiscvryFnd101</v>
      </c>
      <c r="E653" s="8" t="s">
        <v>502</v>
      </c>
      <c r="F653" s="8" t="s">
        <v>1053</v>
      </c>
    </row>
    <row r="654" spans="1:6" ht="60" x14ac:dyDescent="0.25">
      <c r="A654" s="8" t="s">
        <v>125</v>
      </c>
      <c r="B654" s="8" t="s">
        <v>136</v>
      </c>
      <c r="C654" s="8" t="str">
        <f>IFERROR(_xlfn.XLOOKUP(TRIM(B654),Lookup!$B$2:$B$1000,Lookup!$C$2:$C$1000),"")</f>
        <v>Equity</v>
      </c>
      <c r="D654" s="8" t="str">
        <f>IFERROR(INDEX('nav master'!$C:$C, MATCH(B654, 'nav master'!$B:$B, 0)), "")</f>
        <v>ULIF06618/01/18DiscvryFnd101</v>
      </c>
      <c r="E654" s="8" t="s">
        <v>504</v>
      </c>
      <c r="F654" s="8" t="s">
        <v>1054</v>
      </c>
    </row>
    <row r="655" spans="1:6" ht="60" x14ac:dyDescent="0.25">
      <c r="A655" s="8" t="s">
        <v>125</v>
      </c>
      <c r="B655" s="8" t="s">
        <v>136</v>
      </c>
      <c r="C655" s="8" t="str">
        <f>IFERROR(_xlfn.XLOOKUP(TRIM(B655),Lookup!$B$2:$B$1000,Lookup!$C$2:$C$1000),"")</f>
        <v>Equity</v>
      </c>
      <c r="D655" s="8" t="str">
        <f>IFERROR(INDEX('nav master'!$C:$C, MATCH(B655, 'nav master'!$B:$B, 0)), "")</f>
        <v>ULIF06618/01/18DiscvryFnd101</v>
      </c>
      <c r="E655" s="8" t="s">
        <v>506</v>
      </c>
      <c r="F655" s="8" t="s">
        <v>1055</v>
      </c>
    </row>
    <row r="656" spans="1:6" ht="60" x14ac:dyDescent="0.25">
      <c r="A656" s="8" t="s">
        <v>125</v>
      </c>
      <c r="B656" s="8" t="s">
        <v>136</v>
      </c>
      <c r="C656" s="8" t="str">
        <f>IFERROR(_xlfn.XLOOKUP(TRIM(B656),Lookup!$B$2:$B$1000,Lookup!$C$2:$C$1000),"")</f>
        <v>Equity</v>
      </c>
      <c r="D656" s="8" t="str">
        <f>IFERROR(INDEX('nav master'!$C:$C, MATCH(B656, 'nav master'!$B:$B, 0)), "")</f>
        <v>ULIF06618/01/18DiscvryFnd101</v>
      </c>
      <c r="E656" s="8" t="s">
        <v>508</v>
      </c>
      <c r="F656" s="8" t="s">
        <v>1056</v>
      </c>
    </row>
    <row r="657" spans="1:6" ht="60" x14ac:dyDescent="0.25">
      <c r="A657" s="8" t="s">
        <v>125</v>
      </c>
      <c r="B657" s="8" t="s">
        <v>136</v>
      </c>
      <c r="C657" s="8" t="str">
        <f>IFERROR(_xlfn.XLOOKUP(TRIM(B657),Lookup!$B$2:$B$1000,Lookup!$C$2:$C$1000),"")</f>
        <v>Equity</v>
      </c>
      <c r="D657" s="8" t="str">
        <f>IFERROR(INDEX('nav master'!$C:$C, MATCH(B657, 'nav master'!$B:$B, 0)), "")</f>
        <v>ULIF06618/01/18DiscvryFnd101</v>
      </c>
      <c r="E657" s="8" t="s">
        <v>510</v>
      </c>
      <c r="F657" s="8" t="s">
        <v>1057</v>
      </c>
    </row>
    <row r="658" spans="1:6" ht="60" x14ac:dyDescent="0.25">
      <c r="A658" s="8" t="s">
        <v>125</v>
      </c>
      <c r="B658" s="8" t="s">
        <v>136</v>
      </c>
      <c r="C658" s="8" t="str">
        <f>IFERROR(_xlfn.XLOOKUP(TRIM(B658),Lookup!$B$2:$B$1000,Lookup!$C$2:$C$1000),"")</f>
        <v>Equity</v>
      </c>
      <c r="D658" s="8" t="str">
        <f>IFERROR(INDEX('nav master'!$C:$C, MATCH(B658, 'nav master'!$B:$B, 0)), "")</f>
        <v>ULIF06618/01/18DiscvryFnd101</v>
      </c>
      <c r="E658" s="8" t="s">
        <v>512</v>
      </c>
      <c r="F658" s="8" t="s">
        <v>1058</v>
      </c>
    </row>
    <row r="659" spans="1:6" ht="60" x14ac:dyDescent="0.25">
      <c r="A659" s="8" t="s">
        <v>125</v>
      </c>
      <c r="B659" s="8" t="s">
        <v>136</v>
      </c>
      <c r="C659" s="8" t="str">
        <f>IFERROR(_xlfn.XLOOKUP(TRIM(B659),Lookup!$B$2:$B$1000,Lookup!$C$2:$C$1000),"")</f>
        <v>Equity</v>
      </c>
      <c r="D659" s="8" t="str">
        <f>IFERROR(INDEX('nav master'!$C:$C, MATCH(B659, 'nav master'!$B:$B, 0)), "")</f>
        <v>ULIF06618/01/18DiscvryFnd101</v>
      </c>
      <c r="E659" s="8" t="s">
        <v>514</v>
      </c>
      <c r="F659" s="8" t="s">
        <v>1059</v>
      </c>
    </row>
    <row r="660" spans="1:6" ht="60" x14ac:dyDescent="0.25">
      <c r="A660" s="8" t="s">
        <v>125</v>
      </c>
      <c r="B660" s="8" t="s">
        <v>136</v>
      </c>
      <c r="C660" s="8" t="str">
        <f>IFERROR(_xlfn.XLOOKUP(TRIM(B660),Lookup!$B$2:$B$1000,Lookup!$C$2:$C$1000),"")</f>
        <v>Equity</v>
      </c>
      <c r="D660" s="8" t="str">
        <f>IFERROR(INDEX('nav master'!$C:$C, MATCH(B660, 'nav master'!$B:$B, 0)), "")</f>
        <v>ULIF06618/01/18DiscvryFnd101</v>
      </c>
      <c r="E660" s="8" t="s">
        <v>516</v>
      </c>
      <c r="F660" s="8" t="s">
        <v>1060</v>
      </c>
    </row>
    <row r="661" spans="1:6" ht="60" x14ac:dyDescent="0.25">
      <c r="A661" s="8" t="s">
        <v>125</v>
      </c>
      <c r="B661" s="8" t="s">
        <v>136</v>
      </c>
      <c r="C661" s="8" t="str">
        <f>IFERROR(_xlfn.XLOOKUP(TRIM(B661),Lookup!$B$2:$B$1000,Lookup!$C$2:$C$1000),"")</f>
        <v>Equity</v>
      </c>
      <c r="D661" s="8" t="str">
        <f>IFERROR(INDEX('nav master'!$C:$C, MATCH(B661, 'nav master'!$B:$B, 0)), "")</f>
        <v>ULIF06618/01/18DiscvryFnd101</v>
      </c>
      <c r="E661" s="8" t="s">
        <v>518</v>
      </c>
      <c r="F661" s="8" t="s">
        <v>1061</v>
      </c>
    </row>
    <row r="662" spans="1:6" ht="60" x14ac:dyDescent="0.25">
      <c r="A662" s="8" t="s">
        <v>125</v>
      </c>
      <c r="B662" s="8" t="s">
        <v>136</v>
      </c>
      <c r="C662" s="8" t="str">
        <f>IFERROR(_xlfn.XLOOKUP(TRIM(B662),Lookup!$B$2:$B$1000,Lookup!$C$2:$C$1000),"")</f>
        <v>Equity</v>
      </c>
      <c r="D662" s="8" t="str">
        <f>IFERROR(INDEX('nav master'!$C:$C, MATCH(B662, 'nav master'!$B:$B, 0)), "")</f>
        <v>ULIF06618/01/18DiscvryFnd101</v>
      </c>
      <c r="E662" s="8" t="s">
        <v>520</v>
      </c>
      <c r="F662" s="8" t="s">
        <v>1062</v>
      </c>
    </row>
    <row r="663" spans="1:6" ht="60" x14ac:dyDescent="0.25">
      <c r="A663" s="8" t="s">
        <v>125</v>
      </c>
      <c r="B663" s="8" t="s">
        <v>136</v>
      </c>
      <c r="C663" s="8" t="str">
        <f>IFERROR(_xlfn.XLOOKUP(TRIM(B663),Lookup!$B$2:$B$1000,Lookup!$C$2:$C$1000),"")</f>
        <v>Equity</v>
      </c>
      <c r="D663" s="8" t="str">
        <f>IFERROR(INDEX('nav master'!$C:$C, MATCH(B663, 'nav master'!$B:$B, 0)), "")</f>
        <v>ULIF06618/01/18DiscvryFnd101</v>
      </c>
      <c r="E663" s="8" t="s">
        <v>522</v>
      </c>
      <c r="F663" s="8" t="s">
        <v>1063</v>
      </c>
    </row>
    <row r="664" spans="1:6" ht="60" x14ac:dyDescent="0.25">
      <c r="A664" s="8" t="s">
        <v>125</v>
      </c>
      <c r="B664" s="8" t="s">
        <v>136</v>
      </c>
      <c r="C664" s="8" t="str">
        <f>IFERROR(_xlfn.XLOOKUP(TRIM(B664),Lookup!$B$2:$B$1000,Lookup!$C$2:$C$1000),"")</f>
        <v>Equity</v>
      </c>
      <c r="D664" s="8" t="str">
        <f>IFERROR(INDEX('nav master'!$C:$C, MATCH(B664, 'nav master'!$B:$B, 0)), "")</f>
        <v>ULIF06618/01/18DiscvryFnd101</v>
      </c>
      <c r="E664" s="8" t="s">
        <v>524</v>
      </c>
      <c r="F664" s="8" t="s">
        <v>1064</v>
      </c>
    </row>
    <row r="665" spans="1:6" ht="60" x14ac:dyDescent="0.25">
      <c r="A665" s="8" t="s">
        <v>125</v>
      </c>
      <c r="B665" s="8" t="s">
        <v>136</v>
      </c>
      <c r="C665" s="8" t="str">
        <f>IFERROR(_xlfn.XLOOKUP(TRIM(B665),Lookup!$B$2:$B$1000,Lookup!$C$2:$C$1000),"")</f>
        <v>Equity</v>
      </c>
      <c r="D665" s="8" t="str">
        <f>IFERROR(INDEX('nav master'!$C:$C, MATCH(B665, 'nav master'!$B:$B, 0)), "")</f>
        <v>ULIF06618/01/18DiscvryFnd101</v>
      </c>
      <c r="E665" s="8" t="s">
        <v>526</v>
      </c>
      <c r="F665" s="8" t="s">
        <v>1065</v>
      </c>
    </row>
    <row r="666" spans="1:6" ht="60" x14ac:dyDescent="0.25">
      <c r="A666" s="8" t="s">
        <v>125</v>
      </c>
      <c r="B666" s="8" t="s">
        <v>136</v>
      </c>
      <c r="C666" s="8" t="str">
        <f>IFERROR(_xlfn.XLOOKUP(TRIM(B666),Lookup!$B$2:$B$1000,Lookup!$C$2:$C$1000),"")</f>
        <v>Equity</v>
      </c>
      <c r="D666" s="8" t="str">
        <f>IFERROR(INDEX('nav master'!$C:$C, MATCH(B666, 'nav master'!$B:$B, 0)), "")</f>
        <v>ULIF06618/01/18DiscvryFnd101</v>
      </c>
      <c r="E666" s="8" t="s">
        <v>528</v>
      </c>
      <c r="F666" s="8" t="s">
        <v>1066</v>
      </c>
    </row>
    <row r="667" spans="1:6" ht="60" x14ac:dyDescent="0.25">
      <c r="A667" s="8" t="s">
        <v>125</v>
      </c>
      <c r="B667" s="8" t="s">
        <v>136</v>
      </c>
      <c r="C667" s="8" t="str">
        <f>IFERROR(_xlfn.XLOOKUP(TRIM(B667),Lookup!$B$2:$B$1000,Lookup!$C$2:$C$1000),"")</f>
        <v>Equity</v>
      </c>
      <c r="D667" s="8" t="str">
        <f>IFERROR(INDEX('nav master'!$C:$C, MATCH(B667, 'nav master'!$B:$B, 0)), "")</f>
        <v>ULIF06618/01/18DiscvryFnd101</v>
      </c>
      <c r="E667" s="8" t="s">
        <v>530</v>
      </c>
      <c r="F667" s="8" t="s">
        <v>1067</v>
      </c>
    </row>
    <row r="668" spans="1:6" ht="60" x14ac:dyDescent="0.25">
      <c r="A668" s="8" t="s">
        <v>125</v>
      </c>
      <c r="B668" s="8" t="s">
        <v>136</v>
      </c>
      <c r="C668" s="8" t="str">
        <f>IFERROR(_xlfn.XLOOKUP(TRIM(B668),Lookup!$B$2:$B$1000,Lookup!$C$2:$C$1000),"")</f>
        <v>Equity</v>
      </c>
      <c r="D668" s="8" t="str">
        <f>IFERROR(INDEX('nav master'!$C:$C, MATCH(B668, 'nav master'!$B:$B, 0)), "")</f>
        <v>ULIF06618/01/18DiscvryFnd101</v>
      </c>
      <c r="E668" s="8" t="s">
        <v>532</v>
      </c>
      <c r="F668" s="8" t="s">
        <v>1068</v>
      </c>
    </row>
    <row r="669" spans="1:6" ht="60" x14ac:dyDescent="0.25">
      <c r="A669" s="8" t="s">
        <v>125</v>
      </c>
      <c r="B669" s="8" t="s">
        <v>136</v>
      </c>
      <c r="C669" s="8" t="str">
        <f>IFERROR(_xlfn.XLOOKUP(TRIM(B669),Lookup!$B$2:$B$1000,Lookup!$C$2:$C$1000),"")</f>
        <v>Equity</v>
      </c>
      <c r="D669" s="8" t="str">
        <f>IFERROR(INDEX('nav master'!$C:$C, MATCH(B669, 'nav master'!$B:$B, 0)), "")</f>
        <v>ULIF06618/01/18DiscvryFnd101</v>
      </c>
      <c r="E669" s="8" t="s">
        <v>534</v>
      </c>
      <c r="F669" s="8" t="s">
        <v>1069</v>
      </c>
    </row>
    <row r="670" spans="1:6" ht="60" x14ac:dyDescent="0.25">
      <c r="A670" s="8" t="s">
        <v>125</v>
      </c>
      <c r="B670" s="8" t="s">
        <v>136</v>
      </c>
      <c r="C670" s="8" t="str">
        <f>IFERROR(_xlfn.XLOOKUP(TRIM(B670),Lookup!$B$2:$B$1000,Lookup!$C$2:$C$1000),"")</f>
        <v>Equity</v>
      </c>
      <c r="D670" s="8" t="str">
        <f>IFERROR(INDEX('nav master'!$C:$C, MATCH(B670, 'nav master'!$B:$B, 0)), "")</f>
        <v>ULIF06618/01/18DiscvryFnd101</v>
      </c>
      <c r="E670" s="8" t="s">
        <v>536</v>
      </c>
      <c r="F670" s="8" t="s">
        <v>1070</v>
      </c>
    </row>
    <row r="671" spans="1:6" ht="60" x14ac:dyDescent="0.25">
      <c r="A671" s="8" t="s">
        <v>125</v>
      </c>
      <c r="B671" s="8" t="s">
        <v>136</v>
      </c>
      <c r="C671" s="8" t="str">
        <f>IFERROR(_xlfn.XLOOKUP(TRIM(B671),Lookup!$B$2:$B$1000,Lookup!$C$2:$C$1000),"")</f>
        <v>Equity</v>
      </c>
      <c r="D671" s="8" t="str">
        <f>IFERROR(INDEX('nav master'!$C:$C, MATCH(B671, 'nav master'!$B:$B, 0)), "")</f>
        <v>ULIF06618/01/18DiscvryFnd101</v>
      </c>
      <c r="E671" s="8" t="s">
        <v>538</v>
      </c>
      <c r="F671" s="8" t="s">
        <v>1071</v>
      </c>
    </row>
    <row r="672" spans="1:6" ht="60" x14ac:dyDescent="0.25">
      <c r="A672" s="8" t="s">
        <v>125</v>
      </c>
      <c r="B672" s="8" t="s">
        <v>136</v>
      </c>
      <c r="C672" s="8" t="str">
        <f>IFERROR(_xlfn.XLOOKUP(TRIM(B672),Lookup!$B$2:$B$1000,Lookup!$C$2:$C$1000),"")</f>
        <v>Equity</v>
      </c>
      <c r="D672" s="8" t="str">
        <f>IFERROR(INDEX('nav master'!$C:$C, MATCH(B672, 'nav master'!$B:$B, 0)), "")</f>
        <v>ULIF06618/01/18DiscvryFnd101</v>
      </c>
      <c r="E672" s="8" t="s">
        <v>540</v>
      </c>
      <c r="F672" s="8" t="s">
        <v>1072</v>
      </c>
    </row>
    <row r="673" spans="1:6" ht="60" x14ac:dyDescent="0.25">
      <c r="A673" s="8" t="s">
        <v>125</v>
      </c>
      <c r="B673" s="8" t="s">
        <v>136</v>
      </c>
      <c r="C673" s="8" t="str">
        <f>IFERROR(_xlfn.XLOOKUP(TRIM(B673),Lookup!$B$2:$B$1000,Lookup!$C$2:$C$1000),"")</f>
        <v>Equity</v>
      </c>
      <c r="D673" s="8" t="str">
        <f>IFERROR(INDEX('nav master'!$C:$C, MATCH(B673, 'nav master'!$B:$B, 0)), "")</f>
        <v>ULIF06618/01/18DiscvryFnd101</v>
      </c>
      <c r="E673" s="8" t="s">
        <v>542</v>
      </c>
      <c r="F673" s="8" t="s">
        <v>1073</v>
      </c>
    </row>
    <row r="674" spans="1:6" ht="60" x14ac:dyDescent="0.25">
      <c r="A674" s="8" t="s">
        <v>125</v>
      </c>
      <c r="B674" s="8" t="s">
        <v>136</v>
      </c>
      <c r="C674" s="8" t="str">
        <f>IFERROR(_xlfn.XLOOKUP(TRIM(B674),Lookup!$B$2:$B$1000,Lookup!$C$2:$C$1000),"")</f>
        <v>Equity</v>
      </c>
      <c r="D674" s="8" t="str">
        <f>IFERROR(INDEX('nav master'!$C:$C, MATCH(B674, 'nav master'!$B:$B, 0)), "")</f>
        <v>ULIF06618/01/18DiscvryFnd101</v>
      </c>
      <c r="E674" s="8" t="s">
        <v>544</v>
      </c>
      <c r="F674" s="8" t="s">
        <v>1074</v>
      </c>
    </row>
    <row r="675" spans="1:6" ht="60" x14ac:dyDescent="0.25">
      <c r="A675" s="8" t="s">
        <v>125</v>
      </c>
      <c r="B675" s="8" t="s">
        <v>136</v>
      </c>
      <c r="C675" s="8" t="str">
        <f>IFERROR(_xlfn.XLOOKUP(TRIM(B675),Lookup!$B$2:$B$1000,Lookup!$C$2:$C$1000),"")</f>
        <v>Equity</v>
      </c>
      <c r="D675" s="8" t="str">
        <f>IFERROR(INDEX('nav master'!$C:$C, MATCH(B675, 'nav master'!$B:$B, 0)), "")</f>
        <v>ULIF06618/01/18DiscvryFnd101</v>
      </c>
      <c r="E675" s="8" t="s">
        <v>546</v>
      </c>
      <c r="F675" s="8" t="s">
        <v>1075</v>
      </c>
    </row>
    <row r="676" spans="1:6" ht="60" x14ac:dyDescent="0.25">
      <c r="A676" s="8" t="s">
        <v>125</v>
      </c>
      <c r="B676" s="8" t="s">
        <v>136</v>
      </c>
      <c r="C676" s="8" t="str">
        <f>IFERROR(_xlfn.XLOOKUP(TRIM(B676),Lookup!$B$2:$B$1000,Lookup!$C$2:$C$1000),"")</f>
        <v>Equity</v>
      </c>
      <c r="D676" s="8" t="str">
        <f>IFERROR(INDEX('nav master'!$C:$C, MATCH(B676, 'nav master'!$B:$B, 0)), "")</f>
        <v>ULIF06618/01/18DiscvryFnd101</v>
      </c>
      <c r="E676" s="8" t="s">
        <v>548</v>
      </c>
      <c r="F676" s="8" t="s">
        <v>1076</v>
      </c>
    </row>
    <row r="677" spans="1:6" ht="60" x14ac:dyDescent="0.25">
      <c r="A677" s="8" t="s">
        <v>125</v>
      </c>
      <c r="B677" s="8" t="s">
        <v>136</v>
      </c>
      <c r="C677" s="8" t="str">
        <f>IFERROR(_xlfn.XLOOKUP(TRIM(B677),Lookup!$B$2:$B$1000,Lookup!$C$2:$C$1000),"")</f>
        <v>Equity</v>
      </c>
      <c r="D677" s="8" t="str">
        <f>IFERROR(INDEX('nav master'!$C:$C, MATCH(B677, 'nav master'!$B:$B, 0)), "")</f>
        <v>ULIF06618/01/18DiscvryFnd101</v>
      </c>
      <c r="E677" s="8" t="s">
        <v>550</v>
      </c>
      <c r="F677" s="8" t="s">
        <v>1077</v>
      </c>
    </row>
    <row r="678" spans="1:6" ht="60" x14ac:dyDescent="0.25">
      <c r="A678" s="8" t="s">
        <v>125</v>
      </c>
      <c r="B678" s="8" t="s">
        <v>136</v>
      </c>
      <c r="C678" s="8" t="str">
        <f>IFERROR(_xlfn.XLOOKUP(TRIM(B678),Lookup!$B$2:$B$1000,Lookup!$C$2:$C$1000),"")</f>
        <v>Equity</v>
      </c>
      <c r="D678" s="8" t="str">
        <f>IFERROR(INDEX('nav master'!$C:$C, MATCH(B678, 'nav master'!$B:$B, 0)), "")</f>
        <v>ULIF06618/01/18DiscvryFnd101</v>
      </c>
      <c r="E678" s="8" t="s">
        <v>552</v>
      </c>
      <c r="F678" s="8" t="s">
        <v>1078</v>
      </c>
    </row>
    <row r="679" spans="1:6" ht="60" x14ac:dyDescent="0.25">
      <c r="A679" s="8" t="s">
        <v>125</v>
      </c>
      <c r="B679" s="8" t="s">
        <v>136</v>
      </c>
      <c r="C679" s="8" t="str">
        <f>IFERROR(_xlfn.XLOOKUP(TRIM(B679),Lookup!$B$2:$B$1000,Lookup!$C$2:$C$1000),"")</f>
        <v>Equity</v>
      </c>
      <c r="D679" s="8" t="str">
        <f>IFERROR(INDEX('nav master'!$C:$C, MATCH(B679, 'nav master'!$B:$B, 0)), "")</f>
        <v>ULIF06618/01/18DiscvryFnd101</v>
      </c>
      <c r="E679" s="8" t="s">
        <v>554</v>
      </c>
      <c r="F679" s="8" t="s">
        <v>1079</v>
      </c>
    </row>
    <row r="680" spans="1:6" ht="60" x14ac:dyDescent="0.25">
      <c r="A680" s="8" t="s">
        <v>125</v>
      </c>
      <c r="B680" s="8" t="s">
        <v>136</v>
      </c>
      <c r="C680" s="8" t="str">
        <f>IFERROR(_xlfn.XLOOKUP(TRIM(B680),Lookup!$B$2:$B$1000,Lookup!$C$2:$C$1000),"")</f>
        <v>Equity</v>
      </c>
      <c r="D680" s="8" t="str">
        <f>IFERROR(INDEX('nav master'!$C:$C, MATCH(B680, 'nav master'!$B:$B, 0)), "")</f>
        <v>ULIF06618/01/18DiscvryFnd101</v>
      </c>
      <c r="E680" s="8" t="s">
        <v>556</v>
      </c>
      <c r="F680" s="8" t="s">
        <v>1080</v>
      </c>
    </row>
    <row r="681" spans="1:6" ht="60" x14ac:dyDescent="0.25">
      <c r="A681" s="8" t="s">
        <v>125</v>
      </c>
      <c r="B681" s="8" t="s">
        <v>136</v>
      </c>
      <c r="C681" s="8" t="str">
        <f>IFERROR(_xlfn.XLOOKUP(TRIM(B681),Lookup!$B$2:$B$1000,Lookup!$C$2:$C$1000),"")</f>
        <v>Equity</v>
      </c>
      <c r="D681" s="8" t="str">
        <f>IFERROR(INDEX('nav master'!$C:$C, MATCH(B681, 'nav master'!$B:$B, 0)), "")</f>
        <v>ULIF06618/01/18DiscvryFnd101</v>
      </c>
      <c r="E681" s="8" t="s">
        <v>558</v>
      </c>
      <c r="F681" s="8" t="s">
        <v>1081</v>
      </c>
    </row>
    <row r="682" spans="1:6" ht="60" x14ac:dyDescent="0.25">
      <c r="A682" s="8" t="s">
        <v>125</v>
      </c>
      <c r="B682" s="8" t="s">
        <v>136</v>
      </c>
      <c r="C682" s="8" t="str">
        <f>IFERROR(_xlfn.XLOOKUP(TRIM(B682),Lookup!$B$2:$B$1000,Lookup!$C$2:$C$1000),"")</f>
        <v>Equity</v>
      </c>
      <c r="D682" s="8" t="str">
        <f>IFERROR(INDEX('nav master'!$C:$C, MATCH(B682, 'nav master'!$B:$B, 0)), "")</f>
        <v>ULIF06618/01/18DiscvryFnd101</v>
      </c>
      <c r="E682" s="8" t="s">
        <v>560</v>
      </c>
      <c r="F682" s="8" t="s">
        <v>1082</v>
      </c>
    </row>
    <row r="683" spans="1:6" ht="60" x14ac:dyDescent="0.25">
      <c r="A683" s="8" t="s">
        <v>125</v>
      </c>
      <c r="B683" s="8" t="s">
        <v>136</v>
      </c>
      <c r="C683" s="8" t="str">
        <f>IFERROR(_xlfn.XLOOKUP(TRIM(B683),Lookup!$B$2:$B$1000,Lookup!$C$2:$C$1000),"")</f>
        <v>Equity</v>
      </c>
      <c r="D683" s="8" t="str">
        <f>IFERROR(INDEX('nav master'!$C:$C, MATCH(B683, 'nav master'!$B:$B, 0)), "")</f>
        <v>ULIF06618/01/18DiscvryFnd101</v>
      </c>
      <c r="E683" s="8" t="s">
        <v>562</v>
      </c>
      <c r="F683" s="8" t="s">
        <v>1083</v>
      </c>
    </row>
    <row r="684" spans="1:6" ht="60" x14ac:dyDescent="0.25">
      <c r="A684" s="8" t="s">
        <v>125</v>
      </c>
      <c r="B684" s="8" t="s">
        <v>136</v>
      </c>
      <c r="C684" s="8" t="str">
        <f>IFERROR(_xlfn.XLOOKUP(TRIM(B684),Lookup!$B$2:$B$1000,Lookup!$C$2:$C$1000),"")</f>
        <v>Equity</v>
      </c>
      <c r="D684" s="8" t="str">
        <f>IFERROR(INDEX('nav master'!$C:$C, MATCH(B684, 'nav master'!$B:$B, 0)), "")</f>
        <v>ULIF06618/01/18DiscvryFnd101</v>
      </c>
      <c r="E684" s="8" t="s">
        <v>564</v>
      </c>
      <c r="F684" s="8" t="s">
        <v>1084</v>
      </c>
    </row>
    <row r="685" spans="1:6" ht="60" x14ac:dyDescent="0.25">
      <c r="A685" s="8" t="s">
        <v>125</v>
      </c>
      <c r="B685" s="8" t="s">
        <v>136</v>
      </c>
      <c r="C685" s="8" t="str">
        <f>IFERROR(_xlfn.XLOOKUP(TRIM(B685),Lookup!$B$2:$B$1000,Lookup!$C$2:$C$1000),"")</f>
        <v>Equity</v>
      </c>
      <c r="D685" s="8" t="str">
        <f>IFERROR(INDEX('nav master'!$C:$C, MATCH(B685, 'nav master'!$B:$B, 0)), "")</f>
        <v>ULIF06618/01/18DiscvryFnd101</v>
      </c>
      <c r="E685" s="8" t="s">
        <v>566</v>
      </c>
      <c r="F685" s="8" t="s">
        <v>1085</v>
      </c>
    </row>
    <row r="686" spans="1:6" ht="60" x14ac:dyDescent="0.25">
      <c r="A686" s="8" t="s">
        <v>125</v>
      </c>
      <c r="B686" s="8" t="s">
        <v>136</v>
      </c>
      <c r="C686" s="8" t="str">
        <f>IFERROR(_xlfn.XLOOKUP(TRIM(B686),Lookup!$B$2:$B$1000,Lookup!$C$2:$C$1000),"")</f>
        <v>Equity</v>
      </c>
      <c r="D686" s="8" t="str">
        <f>IFERROR(INDEX('nav master'!$C:$C, MATCH(B686, 'nav master'!$B:$B, 0)), "")</f>
        <v>ULIF06618/01/18DiscvryFnd101</v>
      </c>
      <c r="E686" s="8" t="s">
        <v>568</v>
      </c>
      <c r="F686" s="8" t="s">
        <v>1086</v>
      </c>
    </row>
    <row r="687" spans="1:6" ht="60" x14ac:dyDescent="0.25">
      <c r="A687" s="8" t="s">
        <v>125</v>
      </c>
      <c r="B687" s="8" t="s">
        <v>136</v>
      </c>
      <c r="C687" s="8" t="str">
        <f>IFERROR(_xlfn.XLOOKUP(TRIM(B687),Lookup!$B$2:$B$1000,Lookup!$C$2:$C$1000),"")</f>
        <v>Equity</v>
      </c>
      <c r="D687" s="8" t="str">
        <f>IFERROR(INDEX('nav master'!$C:$C, MATCH(B687, 'nav master'!$B:$B, 0)), "")</f>
        <v>ULIF06618/01/18DiscvryFnd101</v>
      </c>
      <c r="E687" s="8" t="s">
        <v>570</v>
      </c>
      <c r="F687" s="8" t="s">
        <v>1087</v>
      </c>
    </row>
    <row r="688" spans="1:6" ht="60" x14ac:dyDescent="0.25">
      <c r="A688" s="8" t="s">
        <v>125</v>
      </c>
      <c r="B688" s="8" t="s">
        <v>136</v>
      </c>
      <c r="C688" s="8" t="str">
        <f>IFERROR(_xlfn.XLOOKUP(TRIM(B688),Lookup!$B$2:$B$1000,Lookup!$C$2:$C$1000),"")</f>
        <v>Equity</v>
      </c>
      <c r="D688" s="8" t="str">
        <f>IFERROR(INDEX('nav master'!$C:$C, MATCH(B688, 'nav master'!$B:$B, 0)), "")</f>
        <v>ULIF06618/01/18DiscvryFnd101</v>
      </c>
      <c r="E688" s="8" t="s">
        <v>572</v>
      </c>
      <c r="F688" s="8" t="s">
        <v>1088</v>
      </c>
    </row>
    <row r="689" spans="1:6" ht="60" x14ac:dyDescent="0.25">
      <c r="A689" s="8" t="s">
        <v>125</v>
      </c>
      <c r="B689" s="8" t="s">
        <v>136</v>
      </c>
      <c r="C689" s="8" t="str">
        <f>IFERROR(_xlfn.XLOOKUP(TRIM(B689),Lookup!$B$2:$B$1000,Lookup!$C$2:$C$1000),"")</f>
        <v>Equity</v>
      </c>
      <c r="D689" s="8" t="str">
        <f>IFERROR(INDEX('nav master'!$C:$C, MATCH(B689, 'nav master'!$B:$B, 0)), "")</f>
        <v>ULIF06618/01/18DiscvryFnd101</v>
      </c>
      <c r="E689" s="8" t="s">
        <v>574</v>
      </c>
      <c r="F689" s="8" t="s">
        <v>1089</v>
      </c>
    </row>
    <row r="690" spans="1:6" ht="60" x14ac:dyDescent="0.25">
      <c r="A690" s="8" t="s">
        <v>125</v>
      </c>
      <c r="B690" s="8" t="s">
        <v>136</v>
      </c>
      <c r="C690" s="8" t="str">
        <f>IFERROR(_xlfn.XLOOKUP(TRIM(B690),Lookup!$B$2:$B$1000,Lookup!$C$2:$C$1000),"")</f>
        <v>Equity</v>
      </c>
      <c r="D690" s="8" t="str">
        <f>IFERROR(INDEX('nav master'!$C:$C, MATCH(B690, 'nav master'!$B:$B, 0)), "")</f>
        <v>ULIF06618/01/18DiscvryFnd101</v>
      </c>
      <c r="E690" s="8" t="s">
        <v>576</v>
      </c>
      <c r="F690" s="8" t="s">
        <v>1090</v>
      </c>
    </row>
    <row r="691" spans="1:6" ht="60" x14ac:dyDescent="0.25">
      <c r="A691" s="8" t="s">
        <v>125</v>
      </c>
      <c r="B691" s="8" t="s">
        <v>136</v>
      </c>
      <c r="C691" s="8" t="str">
        <f>IFERROR(_xlfn.XLOOKUP(TRIM(B691),Lookup!$B$2:$B$1000,Lookup!$C$2:$C$1000),"")</f>
        <v>Equity</v>
      </c>
      <c r="D691" s="8" t="str">
        <f>IFERROR(INDEX('nav master'!$C:$C, MATCH(B691, 'nav master'!$B:$B, 0)), "")</f>
        <v>ULIF06618/01/18DiscvryFnd101</v>
      </c>
      <c r="E691" s="8" t="s">
        <v>578</v>
      </c>
      <c r="F691" s="8" t="s">
        <v>1091</v>
      </c>
    </row>
    <row r="692" spans="1:6" ht="60" x14ac:dyDescent="0.25">
      <c r="A692" s="8" t="s">
        <v>125</v>
      </c>
      <c r="B692" s="8" t="s">
        <v>136</v>
      </c>
      <c r="C692" s="8" t="str">
        <f>IFERROR(_xlfn.XLOOKUP(TRIM(B692),Lookup!$B$2:$B$1000,Lookup!$C$2:$C$1000),"")</f>
        <v>Equity</v>
      </c>
      <c r="D692" s="8" t="str">
        <f>IFERROR(INDEX('nav master'!$C:$C, MATCH(B692, 'nav master'!$B:$B, 0)), "")</f>
        <v>ULIF06618/01/18DiscvryFnd101</v>
      </c>
      <c r="E692" s="8" t="s">
        <v>580</v>
      </c>
      <c r="F692" s="8" t="s">
        <v>1092</v>
      </c>
    </row>
    <row r="693" spans="1:6" ht="60" x14ac:dyDescent="0.25">
      <c r="A693" s="8" t="s">
        <v>125</v>
      </c>
      <c r="B693" s="8" t="s">
        <v>136</v>
      </c>
      <c r="C693" s="8" t="str">
        <f>IFERROR(_xlfn.XLOOKUP(TRIM(B693),Lookup!$B$2:$B$1000,Lookup!$C$2:$C$1000),"")</f>
        <v>Equity</v>
      </c>
      <c r="D693" s="8" t="str">
        <f>IFERROR(INDEX('nav master'!$C:$C, MATCH(B693, 'nav master'!$B:$B, 0)), "")</f>
        <v>ULIF06618/01/18DiscvryFnd101</v>
      </c>
      <c r="E693" s="8" t="s">
        <v>582</v>
      </c>
      <c r="F693" s="8" t="s">
        <v>1093</v>
      </c>
    </row>
    <row r="694" spans="1:6" ht="60" x14ac:dyDescent="0.25">
      <c r="A694" s="8" t="s">
        <v>125</v>
      </c>
      <c r="B694" s="8" t="s">
        <v>136</v>
      </c>
      <c r="C694" s="8" t="str">
        <f>IFERROR(_xlfn.XLOOKUP(TRIM(B694),Lookup!$B$2:$B$1000,Lookup!$C$2:$C$1000),"")</f>
        <v>Equity</v>
      </c>
      <c r="D694" s="8" t="str">
        <f>IFERROR(INDEX('nav master'!$C:$C, MATCH(B694, 'nav master'!$B:$B, 0)), "")</f>
        <v>ULIF06618/01/18DiscvryFnd101</v>
      </c>
      <c r="E694" s="8" t="s">
        <v>584</v>
      </c>
      <c r="F694" s="8" t="s">
        <v>1094</v>
      </c>
    </row>
    <row r="695" spans="1:6" ht="60" x14ac:dyDescent="0.25">
      <c r="A695" s="8" t="s">
        <v>125</v>
      </c>
      <c r="B695" s="8" t="s">
        <v>136</v>
      </c>
      <c r="C695" s="8" t="str">
        <f>IFERROR(_xlfn.XLOOKUP(TRIM(B695),Lookup!$B$2:$B$1000,Lookup!$C$2:$C$1000),"")</f>
        <v>Equity</v>
      </c>
      <c r="D695" s="8" t="str">
        <f>IFERROR(INDEX('nav master'!$C:$C, MATCH(B695, 'nav master'!$B:$B, 0)), "")</f>
        <v>ULIF06618/01/18DiscvryFnd101</v>
      </c>
      <c r="E695" s="8" t="s">
        <v>586</v>
      </c>
      <c r="F695" s="8" t="s">
        <v>1095</v>
      </c>
    </row>
    <row r="696" spans="1:6" ht="60" x14ac:dyDescent="0.25">
      <c r="A696" s="8" t="s">
        <v>125</v>
      </c>
      <c r="B696" s="8" t="s">
        <v>136</v>
      </c>
      <c r="C696" s="8" t="str">
        <f>IFERROR(_xlfn.XLOOKUP(TRIM(B696),Lookup!$B$2:$B$1000,Lookup!$C$2:$C$1000),"")</f>
        <v>Equity</v>
      </c>
      <c r="D696" s="8" t="str">
        <f>IFERROR(INDEX('nav master'!$C:$C, MATCH(B696, 'nav master'!$B:$B, 0)), "")</f>
        <v>ULIF06618/01/18DiscvryFnd101</v>
      </c>
      <c r="E696" s="8" t="s">
        <v>588</v>
      </c>
      <c r="F696" s="8" t="s">
        <v>1096</v>
      </c>
    </row>
    <row r="697" spans="1:6" ht="60" x14ac:dyDescent="0.25">
      <c r="A697" s="8" t="s">
        <v>125</v>
      </c>
      <c r="B697" s="8" t="s">
        <v>136</v>
      </c>
      <c r="C697" s="8" t="str">
        <f>IFERROR(_xlfn.XLOOKUP(TRIM(B697),Lookup!$B$2:$B$1000,Lookup!$C$2:$C$1000),"")</f>
        <v>Equity</v>
      </c>
      <c r="D697" s="8" t="str">
        <f>IFERROR(INDEX('nav master'!$C:$C, MATCH(B697, 'nav master'!$B:$B, 0)), "")</f>
        <v>ULIF06618/01/18DiscvryFnd101</v>
      </c>
      <c r="E697" s="8" t="s">
        <v>590</v>
      </c>
      <c r="F697" s="8" t="s">
        <v>1097</v>
      </c>
    </row>
    <row r="698" spans="1:6" ht="60" x14ac:dyDescent="0.25">
      <c r="A698" s="8" t="s">
        <v>125</v>
      </c>
      <c r="B698" s="8" t="s">
        <v>136</v>
      </c>
      <c r="C698" s="8" t="str">
        <f>IFERROR(_xlfn.XLOOKUP(TRIM(B698),Lookup!$B$2:$B$1000,Lookup!$C$2:$C$1000),"")</f>
        <v>Equity</v>
      </c>
      <c r="D698" s="8" t="str">
        <f>IFERROR(INDEX('nav master'!$C:$C, MATCH(B698, 'nav master'!$B:$B, 0)), "")</f>
        <v>ULIF06618/01/18DiscvryFnd101</v>
      </c>
      <c r="E698" s="8" t="s">
        <v>592</v>
      </c>
      <c r="F698" s="8" t="s">
        <v>1098</v>
      </c>
    </row>
    <row r="699" spans="1:6" ht="60" x14ac:dyDescent="0.25">
      <c r="A699" s="8" t="s">
        <v>125</v>
      </c>
      <c r="B699" s="8" t="s">
        <v>136</v>
      </c>
      <c r="C699" s="8" t="str">
        <f>IFERROR(_xlfn.XLOOKUP(TRIM(B699),Lookup!$B$2:$B$1000,Lookup!$C$2:$C$1000),"")</f>
        <v>Equity</v>
      </c>
      <c r="D699" s="8" t="str">
        <f>IFERROR(INDEX('nav master'!$C:$C, MATCH(B699, 'nav master'!$B:$B, 0)), "")</f>
        <v>ULIF06618/01/18DiscvryFnd101</v>
      </c>
      <c r="E699" s="8" t="s">
        <v>594</v>
      </c>
      <c r="F699" s="8" t="s">
        <v>1099</v>
      </c>
    </row>
    <row r="700" spans="1:6" ht="60" x14ac:dyDescent="0.25">
      <c r="A700" s="8" t="s">
        <v>125</v>
      </c>
      <c r="B700" s="8" t="s">
        <v>136</v>
      </c>
      <c r="C700" s="8" t="str">
        <f>IFERROR(_xlfn.XLOOKUP(TRIM(B700),Lookup!$B$2:$B$1000,Lookup!$C$2:$C$1000),"")</f>
        <v>Equity</v>
      </c>
      <c r="D700" s="8" t="str">
        <f>IFERROR(INDEX('nav master'!$C:$C, MATCH(B700, 'nav master'!$B:$B, 0)), "")</f>
        <v>ULIF06618/01/18DiscvryFnd101</v>
      </c>
      <c r="E700" s="8" t="s">
        <v>596</v>
      </c>
      <c r="F700" s="8" t="s">
        <v>1100</v>
      </c>
    </row>
    <row r="701" spans="1:6" ht="60" x14ac:dyDescent="0.25">
      <c r="A701" s="8" t="s">
        <v>125</v>
      </c>
      <c r="B701" s="8" t="s">
        <v>136</v>
      </c>
      <c r="C701" s="8" t="str">
        <f>IFERROR(_xlfn.XLOOKUP(TRIM(B701),Lookup!$B$2:$B$1000,Lookup!$C$2:$C$1000),"")</f>
        <v>Equity</v>
      </c>
      <c r="D701" s="8" t="str">
        <f>IFERROR(INDEX('nav master'!$C:$C, MATCH(B701, 'nav master'!$B:$B, 0)), "")</f>
        <v>ULIF06618/01/18DiscvryFnd101</v>
      </c>
      <c r="E701" s="8" t="s">
        <v>598</v>
      </c>
      <c r="F701" s="8" t="s">
        <v>1101</v>
      </c>
    </row>
    <row r="702" spans="1:6" ht="60" x14ac:dyDescent="0.25">
      <c r="A702" s="8" t="s">
        <v>125</v>
      </c>
      <c r="B702" s="8" t="s">
        <v>136</v>
      </c>
      <c r="C702" s="8" t="str">
        <f>IFERROR(_xlfn.XLOOKUP(TRIM(B702),Lookup!$B$2:$B$1000,Lookup!$C$2:$C$1000),"")</f>
        <v>Equity</v>
      </c>
      <c r="D702" s="8" t="str">
        <f>IFERROR(INDEX('nav master'!$C:$C, MATCH(B702, 'nav master'!$B:$B, 0)), "")</f>
        <v>ULIF06618/01/18DiscvryFnd101</v>
      </c>
      <c r="E702" s="8" t="s">
        <v>600</v>
      </c>
      <c r="F702" s="8" t="s">
        <v>1102</v>
      </c>
    </row>
    <row r="703" spans="1:6" ht="60" x14ac:dyDescent="0.25">
      <c r="A703" s="8" t="s">
        <v>125</v>
      </c>
      <c r="B703" s="8" t="s">
        <v>136</v>
      </c>
      <c r="C703" s="8" t="str">
        <f>IFERROR(_xlfn.XLOOKUP(TRIM(B703),Lookup!$B$2:$B$1000,Lookup!$C$2:$C$1000),"")</f>
        <v>Equity</v>
      </c>
      <c r="D703" s="8" t="str">
        <f>IFERROR(INDEX('nav master'!$C:$C, MATCH(B703, 'nav master'!$B:$B, 0)), "")</f>
        <v>ULIF06618/01/18DiscvryFnd101</v>
      </c>
      <c r="E703" s="8" t="s">
        <v>602</v>
      </c>
      <c r="F703" s="8" t="s">
        <v>1103</v>
      </c>
    </row>
    <row r="704" spans="1:6" ht="60" x14ac:dyDescent="0.25">
      <c r="A704" s="8" t="s">
        <v>125</v>
      </c>
      <c r="B704" s="8" t="s">
        <v>136</v>
      </c>
      <c r="C704" s="8" t="str">
        <f>IFERROR(_xlfn.XLOOKUP(TRIM(B704),Lookup!$B$2:$B$1000,Lookup!$C$2:$C$1000),"")</f>
        <v>Equity</v>
      </c>
      <c r="D704" s="8" t="str">
        <f>IFERROR(INDEX('nav master'!$C:$C, MATCH(B704, 'nav master'!$B:$B, 0)), "")</f>
        <v>ULIF06618/01/18DiscvryFnd101</v>
      </c>
      <c r="E704" s="8" t="s">
        <v>604</v>
      </c>
      <c r="F704" s="8" t="s">
        <v>1104</v>
      </c>
    </row>
    <row r="705" spans="1:6" ht="60" x14ac:dyDescent="0.25">
      <c r="A705" s="8" t="s">
        <v>125</v>
      </c>
      <c r="B705" s="8" t="s">
        <v>136</v>
      </c>
      <c r="C705" s="8" t="str">
        <f>IFERROR(_xlfn.XLOOKUP(TRIM(B705),Lookup!$B$2:$B$1000,Lookup!$C$2:$C$1000),"")</f>
        <v>Equity</v>
      </c>
      <c r="D705" s="8" t="str">
        <f>IFERROR(INDEX('nav master'!$C:$C, MATCH(B705, 'nav master'!$B:$B, 0)), "")</f>
        <v>ULIF06618/01/18DiscvryFnd101</v>
      </c>
      <c r="E705" s="8" t="s">
        <v>606</v>
      </c>
      <c r="F705" s="8" t="s">
        <v>1105</v>
      </c>
    </row>
    <row r="706" spans="1:6" ht="60" x14ac:dyDescent="0.25">
      <c r="A706" s="8" t="s">
        <v>125</v>
      </c>
      <c r="B706" s="8" t="s">
        <v>136</v>
      </c>
      <c r="C706" s="8" t="str">
        <f>IFERROR(_xlfn.XLOOKUP(TRIM(B706),Lookup!$B$2:$B$1000,Lookup!$C$2:$C$1000),"")</f>
        <v>Equity</v>
      </c>
      <c r="D706" s="8" t="str">
        <f>IFERROR(INDEX('nav master'!$C:$C, MATCH(B706, 'nav master'!$B:$B, 0)), "")</f>
        <v>ULIF06618/01/18DiscvryFnd101</v>
      </c>
      <c r="E706" s="8" t="s">
        <v>608</v>
      </c>
      <c r="F706" s="8" t="s">
        <v>1106</v>
      </c>
    </row>
    <row r="707" spans="1:6" ht="60" x14ac:dyDescent="0.25">
      <c r="A707" s="8" t="s">
        <v>125</v>
      </c>
      <c r="B707" s="8" t="s">
        <v>136</v>
      </c>
      <c r="C707" s="8" t="str">
        <f>IFERROR(_xlfn.XLOOKUP(TRIM(B707),Lookup!$B$2:$B$1000,Lookup!$C$2:$C$1000),"")</f>
        <v>Equity</v>
      </c>
      <c r="D707" s="8" t="str">
        <f>IFERROR(INDEX('nav master'!$C:$C, MATCH(B707, 'nav master'!$B:$B, 0)), "")</f>
        <v>ULIF06618/01/18DiscvryFnd101</v>
      </c>
      <c r="E707" s="8" t="s">
        <v>610</v>
      </c>
      <c r="F707" s="8" t="s">
        <v>1107</v>
      </c>
    </row>
    <row r="708" spans="1:6" ht="60" x14ac:dyDescent="0.25">
      <c r="A708" s="8" t="s">
        <v>125</v>
      </c>
      <c r="B708" s="8" t="s">
        <v>136</v>
      </c>
      <c r="C708" s="8" t="str">
        <f>IFERROR(_xlfn.XLOOKUP(TRIM(B708),Lookup!$B$2:$B$1000,Lookup!$C$2:$C$1000),"")</f>
        <v>Equity</v>
      </c>
      <c r="D708" s="8" t="str">
        <f>IFERROR(INDEX('nav master'!$C:$C, MATCH(B708, 'nav master'!$B:$B, 0)), "")</f>
        <v>ULIF06618/01/18DiscvryFnd101</v>
      </c>
      <c r="E708" s="8" t="s">
        <v>612</v>
      </c>
      <c r="F708" s="8" t="s">
        <v>1108</v>
      </c>
    </row>
    <row r="709" spans="1:6" ht="60" x14ac:dyDescent="0.25">
      <c r="A709" s="8" t="s">
        <v>125</v>
      </c>
      <c r="B709" s="8" t="s">
        <v>136</v>
      </c>
      <c r="C709" s="8" t="str">
        <f>IFERROR(_xlfn.XLOOKUP(TRIM(B709),Lookup!$B$2:$B$1000,Lookup!$C$2:$C$1000),"")</f>
        <v>Equity</v>
      </c>
      <c r="D709" s="8" t="str">
        <f>IFERROR(INDEX('nav master'!$C:$C, MATCH(B709, 'nav master'!$B:$B, 0)), "")</f>
        <v>ULIF06618/01/18DiscvryFnd101</v>
      </c>
      <c r="E709" s="8" t="s">
        <v>614</v>
      </c>
      <c r="F709" s="8" t="s">
        <v>1109</v>
      </c>
    </row>
    <row r="710" spans="1:6" ht="60" x14ac:dyDescent="0.25">
      <c r="A710" s="8" t="s">
        <v>125</v>
      </c>
      <c r="B710" s="8" t="s">
        <v>136</v>
      </c>
      <c r="C710" s="8" t="str">
        <f>IFERROR(_xlfn.XLOOKUP(TRIM(B710),Lookup!$B$2:$B$1000,Lookup!$C$2:$C$1000),"")</f>
        <v>Equity</v>
      </c>
      <c r="D710" s="8" t="str">
        <f>IFERROR(INDEX('nav master'!$C:$C, MATCH(B710, 'nav master'!$B:$B, 0)), "")</f>
        <v>ULIF06618/01/18DiscvryFnd101</v>
      </c>
      <c r="E710" s="8" t="s">
        <v>616</v>
      </c>
      <c r="F710" s="8" t="s">
        <v>1110</v>
      </c>
    </row>
    <row r="711" spans="1:6" ht="60" x14ac:dyDescent="0.25">
      <c r="A711" s="8" t="s">
        <v>125</v>
      </c>
      <c r="B711" s="8" t="s">
        <v>136</v>
      </c>
      <c r="C711" s="8" t="str">
        <f>IFERROR(_xlfn.XLOOKUP(TRIM(B711),Lookup!$B$2:$B$1000,Lookup!$C$2:$C$1000),"")</f>
        <v>Equity</v>
      </c>
      <c r="D711" s="8" t="str">
        <f>IFERROR(INDEX('nav master'!$C:$C, MATCH(B711, 'nav master'!$B:$B, 0)), "")</f>
        <v>ULIF06618/01/18DiscvryFnd101</v>
      </c>
      <c r="E711" s="8" t="s">
        <v>618</v>
      </c>
      <c r="F711" s="8" t="s">
        <v>1111</v>
      </c>
    </row>
    <row r="712" spans="1:6" ht="60" x14ac:dyDescent="0.25">
      <c r="A712" s="8" t="s">
        <v>125</v>
      </c>
      <c r="B712" s="8" t="s">
        <v>136</v>
      </c>
      <c r="C712" s="8" t="str">
        <f>IFERROR(_xlfn.XLOOKUP(TRIM(B712),Lookup!$B$2:$B$1000,Lookup!$C$2:$C$1000),"")</f>
        <v>Equity</v>
      </c>
      <c r="D712" s="8" t="str">
        <f>IFERROR(INDEX('nav master'!$C:$C, MATCH(B712, 'nav master'!$B:$B, 0)), "")</f>
        <v>ULIF06618/01/18DiscvryFnd101</v>
      </c>
      <c r="E712" s="8" t="s">
        <v>620</v>
      </c>
      <c r="F712" s="8" t="s">
        <v>1112</v>
      </c>
    </row>
    <row r="713" spans="1:6" ht="60" x14ac:dyDescent="0.25">
      <c r="A713" s="8" t="s">
        <v>125</v>
      </c>
      <c r="B713" s="8" t="s">
        <v>136</v>
      </c>
      <c r="C713" s="8" t="str">
        <f>IFERROR(_xlfn.XLOOKUP(TRIM(B713),Lookup!$B$2:$B$1000,Lookup!$C$2:$C$1000),"")</f>
        <v>Equity</v>
      </c>
      <c r="D713" s="8" t="str">
        <f>IFERROR(INDEX('nav master'!$C:$C, MATCH(B713, 'nav master'!$B:$B, 0)), "")</f>
        <v>ULIF06618/01/18DiscvryFnd101</v>
      </c>
      <c r="E713" s="8" t="s">
        <v>622</v>
      </c>
      <c r="F713" s="8" t="s">
        <v>1113</v>
      </c>
    </row>
    <row r="714" spans="1:6" ht="60" x14ac:dyDescent="0.25">
      <c r="A714" s="8" t="s">
        <v>125</v>
      </c>
      <c r="B714" s="8" t="s">
        <v>136</v>
      </c>
      <c r="C714" s="8" t="str">
        <f>IFERROR(_xlfn.XLOOKUP(TRIM(B714),Lookup!$B$2:$B$1000,Lookup!$C$2:$C$1000),"")</f>
        <v>Equity</v>
      </c>
      <c r="D714" s="8" t="str">
        <f>IFERROR(INDEX('nav master'!$C:$C, MATCH(B714, 'nav master'!$B:$B, 0)), "")</f>
        <v>ULIF06618/01/18DiscvryFnd101</v>
      </c>
      <c r="E714" s="8" t="s">
        <v>624</v>
      </c>
      <c r="F714" s="8" t="s">
        <v>1114</v>
      </c>
    </row>
    <row r="715" spans="1:6" ht="60" x14ac:dyDescent="0.25">
      <c r="A715" s="8" t="s">
        <v>125</v>
      </c>
      <c r="B715" s="8" t="s">
        <v>136</v>
      </c>
      <c r="C715" s="8" t="str">
        <f>IFERROR(_xlfn.XLOOKUP(TRIM(B715),Lookup!$B$2:$B$1000,Lookup!$C$2:$C$1000),"")</f>
        <v>Equity</v>
      </c>
      <c r="D715" s="8" t="str">
        <f>IFERROR(INDEX('nav master'!$C:$C, MATCH(B715, 'nav master'!$B:$B, 0)), "")</f>
        <v>ULIF06618/01/18DiscvryFnd101</v>
      </c>
      <c r="E715" s="8" t="s">
        <v>626</v>
      </c>
      <c r="F715" s="8" t="s">
        <v>1115</v>
      </c>
    </row>
    <row r="716" spans="1:6" ht="60" x14ac:dyDescent="0.25">
      <c r="A716" s="8" t="s">
        <v>125</v>
      </c>
      <c r="B716" s="8" t="s">
        <v>136</v>
      </c>
      <c r="C716" s="8" t="str">
        <f>IFERROR(_xlfn.XLOOKUP(TRIM(B716),Lookup!$B$2:$B$1000,Lookup!$C$2:$C$1000),"")</f>
        <v>Equity</v>
      </c>
      <c r="D716" s="8" t="str">
        <f>IFERROR(INDEX('nav master'!$C:$C, MATCH(B716, 'nav master'!$B:$B, 0)), "")</f>
        <v>ULIF06618/01/18DiscvryFnd101</v>
      </c>
      <c r="E716" s="8" t="s">
        <v>628</v>
      </c>
      <c r="F716" s="8" t="s">
        <v>1116</v>
      </c>
    </row>
    <row r="717" spans="1:6" ht="60" x14ac:dyDescent="0.25">
      <c r="A717" s="8" t="s">
        <v>125</v>
      </c>
      <c r="B717" s="8" t="s">
        <v>136</v>
      </c>
      <c r="C717" s="8" t="str">
        <f>IFERROR(_xlfn.XLOOKUP(TRIM(B717),Lookup!$B$2:$B$1000,Lookup!$C$2:$C$1000),"")</f>
        <v>Equity</v>
      </c>
      <c r="D717" s="8" t="str">
        <f>IFERROR(INDEX('nav master'!$C:$C, MATCH(B717, 'nav master'!$B:$B, 0)), "")</f>
        <v>ULIF06618/01/18DiscvryFnd101</v>
      </c>
      <c r="E717" s="8" t="s">
        <v>630</v>
      </c>
      <c r="F717" s="8" t="s">
        <v>1117</v>
      </c>
    </row>
    <row r="718" spans="1:6" ht="60" x14ac:dyDescent="0.25">
      <c r="A718" s="8" t="s">
        <v>125</v>
      </c>
      <c r="B718" s="8" t="s">
        <v>136</v>
      </c>
      <c r="C718" s="8" t="str">
        <f>IFERROR(_xlfn.XLOOKUP(TRIM(B718),Lookup!$B$2:$B$1000,Lookup!$C$2:$C$1000),"")</f>
        <v>Equity</v>
      </c>
      <c r="D718" s="8" t="str">
        <f>IFERROR(INDEX('nav master'!$C:$C, MATCH(B718, 'nav master'!$B:$B, 0)), "")</f>
        <v>ULIF06618/01/18DiscvryFnd101</v>
      </c>
      <c r="E718" s="8" t="s">
        <v>632</v>
      </c>
      <c r="F718" s="8" t="s">
        <v>1118</v>
      </c>
    </row>
    <row r="719" spans="1:6" ht="60" x14ac:dyDescent="0.25">
      <c r="A719" s="8" t="s">
        <v>125</v>
      </c>
      <c r="B719" s="8" t="s">
        <v>136</v>
      </c>
      <c r="C719" s="8" t="str">
        <f>IFERROR(_xlfn.XLOOKUP(TRIM(B719),Lookup!$B$2:$B$1000,Lookup!$C$2:$C$1000),"")</f>
        <v>Equity</v>
      </c>
      <c r="D719" s="8" t="str">
        <f>IFERROR(INDEX('nav master'!$C:$C, MATCH(B719, 'nav master'!$B:$B, 0)), "")</f>
        <v>ULIF06618/01/18DiscvryFnd101</v>
      </c>
      <c r="E719" s="8" t="s">
        <v>634</v>
      </c>
      <c r="F719" s="8" t="s">
        <v>1119</v>
      </c>
    </row>
    <row r="720" spans="1:6" ht="60" x14ac:dyDescent="0.25">
      <c r="A720" s="8" t="s">
        <v>125</v>
      </c>
      <c r="B720" s="8" t="s">
        <v>136</v>
      </c>
      <c r="C720" s="8" t="str">
        <f>IFERROR(_xlfn.XLOOKUP(TRIM(B720),Lookup!$B$2:$B$1000,Lookup!$C$2:$C$1000),"")</f>
        <v>Equity</v>
      </c>
      <c r="D720" s="8" t="str">
        <f>IFERROR(INDEX('nav master'!$C:$C, MATCH(B720, 'nav master'!$B:$B, 0)), "")</f>
        <v>ULIF06618/01/18DiscvryFnd101</v>
      </c>
      <c r="E720" s="8" t="s">
        <v>636</v>
      </c>
      <c r="F720" s="8" t="s">
        <v>1120</v>
      </c>
    </row>
    <row r="721" spans="1:6" ht="60" x14ac:dyDescent="0.25">
      <c r="A721" s="8" t="s">
        <v>125</v>
      </c>
      <c r="B721" s="8" t="s">
        <v>136</v>
      </c>
      <c r="C721" s="8" t="str">
        <f>IFERROR(_xlfn.XLOOKUP(TRIM(B721),Lookup!$B$2:$B$1000,Lookup!$C$2:$C$1000),"")</f>
        <v>Equity</v>
      </c>
      <c r="D721" s="8" t="str">
        <f>IFERROR(INDEX('nav master'!$C:$C, MATCH(B721, 'nav master'!$B:$B, 0)), "")</f>
        <v>ULIF06618/01/18DiscvryFnd101</v>
      </c>
      <c r="E721" s="8" t="s">
        <v>638</v>
      </c>
      <c r="F721" s="8" t="s">
        <v>1121</v>
      </c>
    </row>
    <row r="722" spans="1:6" ht="60" x14ac:dyDescent="0.25">
      <c r="A722" s="8" t="s">
        <v>125</v>
      </c>
      <c r="B722" s="8" t="s">
        <v>136</v>
      </c>
      <c r="C722" s="8" t="str">
        <f>IFERROR(_xlfn.XLOOKUP(TRIM(B722),Lookup!$B$2:$B$1000,Lookup!$C$2:$C$1000),"")</f>
        <v>Equity</v>
      </c>
      <c r="D722" s="8" t="str">
        <f>IFERROR(INDEX('nav master'!$C:$C, MATCH(B722, 'nav master'!$B:$B, 0)), "")</f>
        <v>ULIF06618/01/18DiscvryFnd101</v>
      </c>
      <c r="E722" s="8" t="s">
        <v>640</v>
      </c>
      <c r="F722" s="8" t="s">
        <v>1122</v>
      </c>
    </row>
    <row r="723" spans="1:6" ht="60" x14ac:dyDescent="0.25">
      <c r="A723" s="8" t="s">
        <v>125</v>
      </c>
      <c r="B723" s="8" t="s">
        <v>136</v>
      </c>
      <c r="C723" s="8" t="str">
        <f>IFERROR(_xlfn.XLOOKUP(TRIM(B723),Lookup!$B$2:$B$1000,Lookup!$C$2:$C$1000),"")</f>
        <v>Equity</v>
      </c>
      <c r="D723" s="8" t="str">
        <f>IFERROR(INDEX('nav master'!$C:$C, MATCH(B723, 'nav master'!$B:$B, 0)), "")</f>
        <v>ULIF06618/01/18DiscvryFnd101</v>
      </c>
      <c r="E723" s="8" t="s">
        <v>642</v>
      </c>
      <c r="F723" s="8" t="s">
        <v>1123</v>
      </c>
    </row>
    <row r="724" spans="1:6" ht="60" x14ac:dyDescent="0.25">
      <c r="A724" s="8" t="s">
        <v>125</v>
      </c>
      <c r="B724" s="8" t="s">
        <v>136</v>
      </c>
      <c r="C724" s="8" t="str">
        <f>IFERROR(_xlfn.XLOOKUP(TRIM(B724),Lookup!$B$2:$B$1000,Lookup!$C$2:$C$1000),"")</f>
        <v>Equity</v>
      </c>
      <c r="D724" s="8" t="str">
        <f>IFERROR(INDEX('nav master'!$C:$C, MATCH(B724, 'nav master'!$B:$B, 0)), "")</f>
        <v>ULIF06618/01/18DiscvryFnd101</v>
      </c>
      <c r="E724" s="8" t="s">
        <v>644</v>
      </c>
      <c r="F724" s="8" t="s">
        <v>1124</v>
      </c>
    </row>
    <row r="725" spans="1:6" ht="60" x14ac:dyDescent="0.25">
      <c r="A725" s="8" t="s">
        <v>125</v>
      </c>
      <c r="B725" s="8" t="s">
        <v>136</v>
      </c>
      <c r="C725" s="8" t="str">
        <f>IFERROR(_xlfn.XLOOKUP(TRIM(B725),Lookup!$B$2:$B$1000,Lookup!$C$2:$C$1000),"")</f>
        <v>Equity</v>
      </c>
      <c r="D725" s="8" t="str">
        <f>IFERROR(INDEX('nav master'!$C:$C, MATCH(B725, 'nav master'!$B:$B, 0)), "")</f>
        <v>ULIF06618/01/18DiscvryFnd101</v>
      </c>
      <c r="E725" s="8" t="s">
        <v>646</v>
      </c>
      <c r="F725" s="8" t="s">
        <v>1125</v>
      </c>
    </row>
    <row r="726" spans="1:6" ht="60" x14ac:dyDescent="0.25">
      <c r="A726" s="8" t="s">
        <v>125</v>
      </c>
      <c r="B726" s="8" t="s">
        <v>136</v>
      </c>
      <c r="C726" s="8" t="str">
        <f>IFERROR(_xlfn.XLOOKUP(TRIM(B726),Lookup!$B$2:$B$1000,Lookup!$C$2:$C$1000),"")</f>
        <v>Equity</v>
      </c>
      <c r="D726" s="8" t="str">
        <f>IFERROR(INDEX('nav master'!$C:$C, MATCH(B726, 'nav master'!$B:$B, 0)), "")</f>
        <v>ULIF06618/01/18DiscvryFnd101</v>
      </c>
      <c r="E726" s="8" t="s">
        <v>648</v>
      </c>
      <c r="F726" s="8" t="s">
        <v>1126</v>
      </c>
    </row>
    <row r="727" spans="1:6" ht="60" x14ac:dyDescent="0.25">
      <c r="A727" s="8" t="s">
        <v>125</v>
      </c>
      <c r="B727" s="8" t="s">
        <v>136</v>
      </c>
      <c r="C727" s="8" t="str">
        <f>IFERROR(_xlfn.XLOOKUP(TRIM(B727),Lookup!$B$2:$B$1000,Lookup!$C$2:$C$1000),"")</f>
        <v>Equity</v>
      </c>
      <c r="D727" s="8" t="str">
        <f>IFERROR(INDEX('nav master'!$C:$C, MATCH(B727, 'nav master'!$B:$B, 0)), "")</f>
        <v>ULIF06618/01/18DiscvryFnd101</v>
      </c>
      <c r="E727" s="8" t="s">
        <v>650</v>
      </c>
      <c r="F727" s="8" t="s">
        <v>1127</v>
      </c>
    </row>
    <row r="728" spans="1:6" ht="60" x14ac:dyDescent="0.25">
      <c r="A728" s="8" t="s">
        <v>125</v>
      </c>
      <c r="B728" s="8" t="s">
        <v>136</v>
      </c>
      <c r="C728" s="8" t="str">
        <f>IFERROR(_xlfn.XLOOKUP(TRIM(B728),Lookup!$B$2:$B$1000,Lookup!$C$2:$C$1000),"")</f>
        <v>Equity</v>
      </c>
      <c r="D728" s="8" t="str">
        <f>IFERROR(INDEX('nav master'!$C:$C, MATCH(B728, 'nav master'!$B:$B, 0)), "")</f>
        <v>ULIF06618/01/18DiscvryFnd101</v>
      </c>
      <c r="E728" s="8" t="s">
        <v>652</v>
      </c>
      <c r="F728" s="8" t="s">
        <v>1128</v>
      </c>
    </row>
    <row r="729" spans="1:6" ht="60" x14ac:dyDescent="0.25">
      <c r="A729" s="8" t="s">
        <v>125</v>
      </c>
      <c r="B729" s="8" t="s">
        <v>136</v>
      </c>
      <c r="C729" s="8" t="str">
        <f>IFERROR(_xlfn.XLOOKUP(TRIM(B729),Lookup!$B$2:$B$1000,Lookup!$C$2:$C$1000),"")</f>
        <v>Equity</v>
      </c>
      <c r="D729" s="8" t="str">
        <f>IFERROR(INDEX('nav master'!$C:$C, MATCH(B729, 'nav master'!$B:$B, 0)), "")</f>
        <v>ULIF06618/01/18DiscvryFnd101</v>
      </c>
      <c r="E729" s="8" t="s">
        <v>654</v>
      </c>
      <c r="F729" s="8" t="s">
        <v>1129</v>
      </c>
    </row>
    <row r="730" spans="1:6" ht="60" x14ac:dyDescent="0.25">
      <c r="A730" s="8" t="s">
        <v>125</v>
      </c>
      <c r="B730" s="8" t="s">
        <v>136</v>
      </c>
      <c r="C730" s="8" t="str">
        <f>IFERROR(_xlfn.XLOOKUP(TRIM(B730),Lookup!$B$2:$B$1000,Lookup!$C$2:$C$1000),"")</f>
        <v>Equity</v>
      </c>
      <c r="D730" s="8" t="str">
        <f>IFERROR(INDEX('nav master'!$C:$C, MATCH(B730, 'nav master'!$B:$B, 0)), "")</f>
        <v>ULIF06618/01/18DiscvryFnd101</v>
      </c>
      <c r="E730" s="8" t="s">
        <v>656</v>
      </c>
      <c r="F730" s="8" t="s">
        <v>1130</v>
      </c>
    </row>
    <row r="731" spans="1:6" ht="60" x14ac:dyDescent="0.25">
      <c r="A731" s="8" t="s">
        <v>125</v>
      </c>
      <c r="B731" s="8" t="s">
        <v>136</v>
      </c>
      <c r="C731" s="8" t="str">
        <f>IFERROR(_xlfn.XLOOKUP(TRIM(B731),Lookup!$B$2:$B$1000,Lookup!$C$2:$C$1000),"")</f>
        <v>Equity</v>
      </c>
      <c r="D731" s="8" t="str">
        <f>IFERROR(INDEX('nav master'!$C:$C, MATCH(B731, 'nav master'!$B:$B, 0)), "")</f>
        <v>ULIF06618/01/18DiscvryFnd101</v>
      </c>
      <c r="E731" s="8" t="s">
        <v>658</v>
      </c>
      <c r="F731" s="8" t="s">
        <v>1131</v>
      </c>
    </row>
    <row r="732" spans="1:6" ht="60" x14ac:dyDescent="0.25">
      <c r="A732" s="8" t="s">
        <v>125</v>
      </c>
      <c r="B732" s="8" t="s">
        <v>136</v>
      </c>
      <c r="C732" s="8" t="str">
        <f>IFERROR(_xlfn.XLOOKUP(TRIM(B732),Lookup!$B$2:$B$1000,Lookup!$C$2:$C$1000),"")</f>
        <v>Equity</v>
      </c>
      <c r="D732" s="8" t="str">
        <f>IFERROR(INDEX('nav master'!$C:$C, MATCH(B732, 'nav master'!$B:$B, 0)), "")</f>
        <v>ULIF06618/01/18DiscvryFnd101</v>
      </c>
      <c r="E732" s="8" t="s">
        <v>660</v>
      </c>
      <c r="F732" s="8" t="s">
        <v>1132</v>
      </c>
    </row>
    <row r="733" spans="1:6" ht="60" x14ac:dyDescent="0.25">
      <c r="A733" s="8" t="s">
        <v>125</v>
      </c>
      <c r="B733" s="8" t="s">
        <v>136</v>
      </c>
      <c r="C733" s="8" t="str">
        <f>IFERROR(_xlfn.XLOOKUP(TRIM(B733),Lookup!$B$2:$B$1000,Lookup!$C$2:$C$1000),"")</f>
        <v>Equity</v>
      </c>
      <c r="D733" s="8" t="str">
        <f>IFERROR(INDEX('nav master'!$C:$C, MATCH(B733, 'nav master'!$B:$B, 0)), "")</f>
        <v>ULIF06618/01/18DiscvryFnd101</v>
      </c>
      <c r="E733" s="8" t="s">
        <v>662</v>
      </c>
      <c r="F733" s="8" t="s">
        <v>1133</v>
      </c>
    </row>
    <row r="734" spans="1:6" ht="60" x14ac:dyDescent="0.25">
      <c r="A734" s="8" t="s">
        <v>125</v>
      </c>
      <c r="B734" s="8" t="s">
        <v>136</v>
      </c>
      <c r="C734" s="8" t="str">
        <f>IFERROR(_xlfn.XLOOKUP(TRIM(B734),Lookup!$B$2:$B$1000,Lookup!$C$2:$C$1000),"")</f>
        <v>Equity</v>
      </c>
      <c r="D734" s="8" t="str">
        <f>IFERROR(INDEX('nav master'!$C:$C, MATCH(B734, 'nav master'!$B:$B, 0)), "")</f>
        <v>ULIF06618/01/18DiscvryFnd101</v>
      </c>
      <c r="E734" s="8" t="s">
        <v>664</v>
      </c>
      <c r="F734" s="8" t="s">
        <v>1134</v>
      </c>
    </row>
    <row r="735" spans="1:6" ht="60" x14ac:dyDescent="0.25">
      <c r="A735" s="8" t="s">
        <v>125</v>
      </c>
      <c r="B735" s="8" t="s">
        <v>136</v>
      </c>
      <c r="C735" s="8" t="str">
        <f>IFERROR(_xlfn.XLOOKUP(TRIM(B735),Lookup!$B$2:$B$1000,Lookup!$C$2:$C$1000),"")</f>
        <v>Equity</v>
      </c>
      <c r="D735" s="8" t="str">
        <f>IFERROR(INDEX('nav master'!$C:$C, MATCH(B735, 'nav master'!$B:$B, 0)), "")</f>
        <v>ULIF06618/01/18DiscvryFnd101</v>
      </c>
      <c r="E735" s="8" t="s">
        <v>4892</v>
      </c>
      <c r="F735" s="8" t="s">
        <v>4915</v>
      </c>
    </row>
    <row r="736" spans="1:6" ht="60" x14ac:dyDescent="0.25">
      <c r="A736" s="8" t="s">
        <v>125</v>
      </c>
      <c r="B736" s="8" t="s">
        <v>136</v>
      </c>
      <c r="C736" s="8" t="str">
        <f>IFERROR(_xlfn.XLOOKUP(TRIM(B736),Lookup!$B$2:$B$1000,Lookup!$C$2:$C$1000),"")</f>
        <v>Equity</v>
      </c>
      <c r="D736" s="8" t="str">
        <f>IFERROR(INDEX('nav master'!$C:$C, MATCH(B736, 'nav master'!$B:$B, 0)), "")</f>
        <v>ULIF06618/01/18DiscvryFnd101</v>
      </c>
      <c r="E736" s="8" t="s">
        <v>4894</v>
      </c>
      <c r="F736" s="8" t="s">
        <v>4916</v>
      </c>
    </row>
    <row r="737" spans="1:6" ht="60" x14ac:dyDescent="0.25">
      <c r="A737" s="8" t="s">
        <v>125</v>
      </c>
      <c r="B737" s="8" t="s">
        <v>136</v>
      </c>
      <c r="C737" s="8" t="str">
        <f>IFERROR(_xlfn.XLOOKUP(TRIM(B737),Lookup!$B$2:$B$1000,Lookup!$C$2:$C$1000),"")</f>
        <v>Equity</v>
      </c>
      <c r="D737" s="8" t="str">
        <f>IFERROR(INDEX('nav master'!$C:$C, MATCH(B737, 'nav master'!$B:$B, 0)), "")</f>
        <v>ULIF06618/01/18DiscvryFnd101</v>
      </c>
      <c r="E737" s="8" t="s">
        <v>4896</v>
      </c>
      <c r="F737" s="8" t="s">
        <v>4917</v>
      </c>
    </row>
    <row r="738" spans="1:6" ht="60" x14ac:dyDescent="0.25">
      <c r="A738" s="8" t="s">
        <v>125</v>
      </c>
      <c r="B738" s="8" t="s">
        <v>136</v>
      </c>
      <c r="C738" s="8" t="str">
        <f>IFERROR(_xlfn.XLOOKUP(TRIM(B738),Lookup!$B$2:$B$1000,Lookup!$C$2:$C$1000),"")</f>
        <v>Equity</v>
      </c>
      <c r="D738" s="8" t="str">
        <f>IFERROR(INDEX('nav master'!$C:$C, MATCH(B738, 'nav master'!$B:$B, 0)), "")</f>
        <v>ULIF06618/01/18DiscvryFnd101</v>
      </c>
      <c r="E738" s="8" t="s">
        <v>4898</v>
      </c>
      <c r="F738" s="8" t="s">
        <v>4918</v>
      </c>
    </row>
    <row r="739" spans="1:6" ht="60" x14ac:dyDescent="0.25">
      <c r="A739" s="8" t="s">
        <v>125</v>
      </c>
      <c r="B739" s="8" t="s">
        <v>136</v>
      </c>
      <c r="C739" s="8" t="str">
        <f>IFERROR(_xlfn.XLOOKUP(TRIM(B739),Lookup!$B$2:$B$1000,Lookup!$C$2:$C$1000),"")</f>
        <v>Equity</v>
      </c>
      <c r="D739" s="8" t="str">
        <f>IFERROR(INDEX('nav master'!$C:$C, MATCH(B739, 'nav master'!$B:$B, 0)), "")</f>
        <v>ULIF06618/01/18DiscvryFnd101</v>
      </c>
      <c r="E739" s="8" t="s">
        <v>4900</v>
      </c>
      <c r="F739" s="8" t="s">
        <v>4919</v>
      </c>
    </row>
    <row r="740" spans="1:6" ht="60" x14ac:dyDescent="0.25">
      <c r="A740" s="8" t="s">
        <v>125</v>
      </c>
      <c r="B740" s="8" t="s">
        <v>136</v>
      </c>
      <c r="C740" s="8" t="str">
        <f>IFERROR(_xlfn.XLOOKUP(TRIM(B740),Lookup!$B$2:$B$1000,Lookup!$C$2:$C$1000),"")</f>
        <v>Equity</v>
      </c>
      <c r="D740" s="8" t="str">
        <f>IFERROR(INDEX('nav master'!$C:$C, MATCH(B740, 'nav master'!$B:$B, 0)), "")</f>
        <v>ULIF06618/01/18DiscvryFnd101</v>
      </c>
      <c r="E740" s="8" t="s">
        <v>4902</v>
      </c>
      <c r="F740" s="8" t="s">
        <v>4920</v>
      </c>
    </row>
    <row r="741" spans="1:6" ht="60" x14ac:dyDescent="0.25">
      <c r="A741" s="8" t="s">
        <v>125</v>
      </c>
      <c r="B741" s="8" t="s">
        <v>136</v>
      </c>
      <c r="C741" s="8" t="str">
        <f>IFERROR(_xlfn.XLOOKUP(TRIM(B741),Lookup!$B$2:$B$1000,Lookup!$C$2:$C$1000),"")</f>
        <v>Equity</v>
      </c>
      <c r="D741" s="8" t="str">
        <f>IFERROR(INDEX('nav master'!$C:$C, MATCH(B741, 'nav master'!$B:$B, 0)), "")</f>
        <v>ULIF06618/01/18DiscvryFnd101</v>
      </c>
      <c r="E741" s="8" t="s">
        <v>4903</v>
      </c>
      <c r="F741" s="8" t="s">
        <v>4921</v>
      </c>
    </row>
    <row r="742" spans="1:6" ht="60" x14ac:dyDescent="0.25">
      <c r="A742" s="8" t="s">
        <v>125</v>
      </c>
      <c r="B742" s="8" t="s">
        <v>136</v>
      </c>
      <c r="C742" s="8" t="str">
        <f>IFERROR(_xlfn.XLOOKUP(TRIM(B742),Lookup!$B$2:$B$1000,Lookup!$C$2:$C$1000),"")</f>
        <v>Equity</v>
      </c>
      <c r="D742" s="8" t="str">
        <f>IFERROR(INDEX('nav master'!$C:$C, MATCH(B742, 'nav master'!$B:$B, 0)), "")</f>
        <v>ULIF06618/01/18DiscvryFnd101</v>
      </c>
      <c r="E742" s="8" t="s">
        <v>4905</v>
      </c>
      <c r="F742" s="8" t="s">
        <v>4922</v>
      </c>
    </row>
    <row r="743" spans="1:6" ht="60" x14ac:dyDescent="0.25">
      <c r="A743" s="8" t="s">
        <v>125</v>
      </c>
      <c r="B743" s="8" t="s">
        <v>152</v>
      </c>
      <c r="C743" s="8" t="str">
        <f>IFERROR(_xlfn.XLOOKUP(TRIM(B743),Lookup!$B$2:$B$1000,Lookup!$C$2:$C$1000),"")</f>
        <v>Equity</v>
      </c>
      <c r="D743" s="8" t="str">
        <f>IFERROR(INDEX('nav master'!$C:$C, MATCH(B743, 'nav master'!$B:$B, 0)), "")</f>
        <v>ULIF07528/05/24AlphaIdxFd101</v>
      </c>
      <c r="E743" s="8" t="s">
        <v>189</v>
      </c>
      <c r="F743" s="8" t="s">
        <v>1136</v>
      </c>
    </row>
    <row r="744" spans="1:6" ht="60" x14ac:dyDescent="0.25">
      <c r="A744" s="8" t="s">
        <v>125</v>
      </c>
      <c r="B744" s="8" t="s">
        <v>152</v>
      </c>
      <c r="C744" s="8" t="str">
        <f>IFERROR(_xlfn.XLOOKUP(TRIM(B744),Lookup!$B$2:$B$1000,Lookup!$C$2:$C$1000),"")</f>
        <v>Equity</v>
      </c>
      <c r="D744" s="8" t="str">
        <f>IFERROR(INDEX('nav master'!$C:$C, MATCH(B744, 'nav master'!$B:$B, 0)), "")</f>
        <v>ULIF07528/05/24AlphaIdxFd101</v>
      </c>
      <c r="E744" s="8" t="s">
        <v>191</v>
      </c>
      <c r="F744" s="8" t="s">
        <v>1137</v>
      </c>
    </row>
    <row r="745" spans="1:6" ht="60" x14ac:dyDescent="0.25">
      <c r="A745" s="8" t="s">
        <v>125</v>
      </c>
      <c r="B745" s="8" t="s">
        <v>152</v>
      </c>
      <c r="C745" s="8" t="str">
        <f>IFERROR(_xlfn.XLOOKUP(TRIM(B745),Lookup!$B$2:$B$1000,Lookup!$C$2:$C$1000),"")</f>
        <v>Equity</v>
      </c>
      <c r="D745" s="8" t="str">
        <f>IFERROR(INDEX('nav master'!$C:$C, MATCH(B745, 'nav master'!$B:$B, 0)), "")</f>
        <v>ULIF07528/05/24AlphaIdxFd101</v>
      </c>
      <c r="E745" s="8" t="s">
        <v>193</v>
      </c>
      <c r="F745" s="8" t="s">
        <v>1138</v>
      </c>
    </row>
    <row r="746" spans="1:6" ht="60" x14ac:dyDescent="0.25">
      <c r="A746" s="8" t="s">
        <v>125</v>
      </c>
      <c r="B746" s="8" t="s">
        <v>152</v>
      </c>
      <c r="C746" s="8" t="str">
        <f>IFERROR(_xlfn.XLOOKUP(TRIM(B746),Lookup!$B$2:$B$1000,Lookup!$C$2:$C$1000),"")</f>
        <v>Equity</v>
      </c>
      <c r="D746" s="8" t="str">
        <f>IFERROR(INDEX('nav master'!$C:$C, MATCH(B746, 'nav master'!$B:$B, 0)), "")</f>
        <v>ULIF07528/05/24AlphaIdxFd101</v>
      </c>
      <c r="E746" s="8" t="s">
        <v>195</v>
      </c>
      <c r="F746" s="8" t="s">
        <v>1139</v>
      </c>
    </row>
    <row r="747" spans="1:6" ht="60" x14ac:dyDescent="0.25">
      <c r="A747" s="8" t="s">
        <v>125</v>
      </c>
      <c r="B747" s="8" t="s">
        <v>152</v>
      </c>
      <c r="C747" s="8" t="str">
        <f>IFERROR(_xlfn.XLOOKUP(TRIM(B747),Lookup!$B$2:$B$1000,Lookup!$C$2:$C$1000),"")</f>
        <v>Equity</v>
      </c>
      <c r="D747" s="8" t="str">
        <f>IFERROR(INDEX('nav master'!$C:$C, MATCH(B747, 'nav master'!$B:$B, 0)), "")</f>
        <v>ULIF07528/05/24AlphaIdxFd101</v>
      </c>
      <c r="E747" s="8" t="s">
        <v>197</v>
      </c>
      <c r="F747" s="8" t="s">
        <v>1140</v>
      </c>
    </row>
    <row r="748" spans="1:6" ht="60" x14ac:dyDescent="0.25">
      <c r="A748" s="8" t="s">
        <v>125</v>
      </c>
      <c r="B748" s="8" t="s">
        <v>152</v>
      </c>
      <c r="C748" s="8" t="str">
        <f>IFERROR(_xlfn.XLOOKUP(TRIM(B748),Lookup!$B$2:$B$1000,Lookup!$C$2:$C$1000),"")</f>
        <v>Equity</v>
      </c>
      <c r="D748" s="8" t="str">
        <f>IFERROR(INDEX('nav master'!$C:$C, MATCH(B748, 'nav master'!$B:$B, 0)), "")</f>
        <v>ULIF07528/05/24AlphaIdxFd101</v>
      </c>
      <c r="E748" s="8" t="s">
        <v>199</v>
      </c>
      <c r="F748" s="8" t="s">
        <v>1141</v>
      </c>
    </row>
    <row r="749" spans="1:6" ht="60" x14ac:dyDescent="0.25">
      <c r="A749" s="8" t="s">
        <v>125</v>
      </c>
      <c r="B749" s="8" t="s">
        <v>152</v>
      </c>
      <c r="C749" s="8" t="str">
        <f>IFERROR(_xlfn.XLOOKUP(TRIM(B749),Lookup!$B$2:$B$1000,Lookup!$C$2:$C$1000),"")</f>
        <v>Equity</v>
      </c>
      <c r="D749" s="8" t="str">
        <f>IFERROR(INDEX('nav master'!$C:$C, MATCH(B749, 'nav master'!$B:$B, 0)), "")</f>
        <v>ULIF07528/05/24AlphaIdxFd101</v>
      </c>
      <c r="E749" s="8" t="s">
        <v>201</v>
      </c>
      <c r="F749" s="8" t="s">
        <v>1142</v>
      </c>
    </row>
    <row r="750" spans="1:6" ht="60" x14ac:dyDescent="0.25">
      <c r="A750" s="8" t="s">
        <v>125</v>
      </c>
      <c r="B750" s="8" t="s">
        <v>152</v>
      </c>
      <c r="C750" s="8" t="str">
        <f>IFERROR(_xlfn.XLOOKUP(TRIM(B750),Lookup!$B$2:$B$1000,Lookup!$C$2:$C$1000),"")</f>
        <v>Equity</v>
      </c>
      <c r="D750" s="8" t="str">
        <f>IFERROR(INDEX('nav master'!$C:$C, MATCH(B750, 'nav master'!$B:$B, 0)), "")</f>
        <v>ULIF07528/05/24AlphaIdxFd101</v>
      </c>
      <c r="E750" s="8" t="s">
        <v>203</v>
      </c>
      <c r="F750" s="8" t="s">
        <v>1143</v>
      </c>
    </row>
    <row r="751" spans="1:6" ht="60" x14ac:dyDescent="0.25">
      <c r="A751" s="8" t="s">
        <v>125</v>
      </c>
      <c r="B751" s="8" t="s">
        <v>152</v>
      </c>
      <c r="C751" s="8" t="str">
        <f>IFERROR(_xlfn.XLOOKUP(TRIM(B751),Lookup!$B$2:$B$1000,Lookup!$C$2:$C$1000),"")</f>
        <v>Equity</v>
      </c>
      <c r="D751" s="8" t="str">
        <f>IFERROR(INDEX('nav master'!$C:$C, MATCH(B751, 'nav master'!$B:$B, 0)), "")</f>
        <v>ULIF07528/05/24AlphaIdxFd101</v>
      </c>
      <c r="E751" s="8" t="s">
        <v>205</v>
      </c>
      <c r="F751" s="8" t="s">
        <v>1144</v>
      </c>
    </row>
    <row r="752" spans="1:6" ht="60" x14ac:dyDescent="0.25">
      <c r="A752" s="8" t="s">
        <v>125</v>
      </c>
      <c r="B752" s="8" t="s">
        <v>152</v>
      </c>
      <c r="C752" s="8" t="str">
        <f>IFERROR(_xlfn.XLOOKUP(TRIM(B752),Lookup!$B$2:$B$1000,Lookup!$C$2:$C$1000),"")</f>
        <v>Equity</v>
      </c>
      <c r="D752" s="8" t="str">
        <f>IFERROR(INDEX('nav master'!$C:$C, MATCH(B752, 'nav master'!$B:$B, 0)), "")</f>
        <v>ULIF07528/05/24AlphaIdxFd101</v>
      </c>
      <c r="E752" s="8" t="s">
        <v>207</v>
      </c>
      <c r="F752" s="8" t="s">
        <v>1145</v>
      </c>
    </row>
    <row r="753" spans="1:6" ht="60" x14ac:dyDescent="0.25">
      <c r="A753" s="8" t="s">
        <v>125</v>
      </c>
      <c r="B753" s="8" t="s">
        <v>152</v>
      </c>
      <c r="C753" s="8" t="str">
        <f>IFERROR(_xlfn.XLOOKUP(TRIM(B753),Lookup!$B$2:$B$1000,Lookup!$C$2:$C$1000),"")</f>
        <v>Equity</v>
      </c>
      <c r="D753" s="8" t="str">
        <f>IFERROR(INDEX('nav master'!$C:$C, MATCH(B753, 'nav master'!$B:$B, 0)), "")</f>
        <v>ULIF07528/05/24AlphaIdxFd101</v>
      </c>
      <c r="E753" s="8" t="s">
        <v>209</v>
      </c>
      <c r="F753" s="8" t="s">
        <v>1146</v>
      </c>
    </row>
    <row r="754" spans="1:6" ht="60" x14ac:dyDescent="0.25">
      <c r="A754" s="8" t="s">
        <v>125</v>
      </c>
      <c r="B754" s="8" t="s">
        <v>152</v>
      </c>
      <c r="C754" s="8" t="str">
        <f>IFERROR(_xlfn.XLOOKUP(TRIM(B754),Lookup!$B$2:$B$1000,Lookup!$C$2:$C$1000),"")</f>
        <v>Equity</v>
      </c>
      <c r="D754" s="8" t="str">
        <f>IFERROR(INDEX('nav master'!$C:$C, MATCH(B754, 'nav master'!$B:$B, 0)), "")</f>
        <v>ULIF07528/05/24AlphaIdxFd101</v>
      </c>
      <c r="E754" s="8" t="s">
        <v>211</v>
      </c>
      <c r="F754" s="8" t="s">
        <v>1147</v>
      </c>
    </row>
    <row r="755" spans="1:6" ht="60" x14ac:dyDescent="0.25">
      <c r="A755" s="8" t="s">
        <v>125</v>
      </c>
      <c r="B755" s="8" t="s">
        <v>152</v>
      </c>
      <c r="C755" s="8" t="str">
        <f>IFERROR(_xlfn.XLOOKUP(TRIM(B755),Lookup!$B$2:$B$1000,Lookup!$C$2:$C$1000),"")</f>
        <v>Equity</v>
      </c>
      <c r="D755" s="8" t="str">
        <f>IFERROR(INDEX('nav master'!$C:$C, MATCH(B755, 'nav master'!$B:$B, 0)), "")</f>
        <v>ULIF07528/05/24AlphaIdxFd101</v>
      </c>
      <c r="E755" s="8" t="s">
        <v>213</v>
      </c>
      <c r="F755" s="8" t="s">
        <v>1148</v>
      </c>
    </row>
    <row r="756" spans="1:6" ht="60" x14ac:dyDescent="0.25">
      <c r="A756" s="8" t="s">
        <v>125</v>
      </c>
      <c r="B756" s="8" t="s">
        <v>152</v>
      </c>
      <c r="C756" s="8" t="str">
        <f>IFERROR(_xlfn.XLOOKUP(TRIM(B756),Lookup!$B$2:$B$1000,Lookup!$C$2:$C$1000),"")</f>
        <v>Equity</v>
      </c>
      <c r="D756" s="8" t="str">
        <f>IFERROR(INDEX('nav master'!$C:$C, MATCH(B756, 'nav master'!$B:$B, 0)), "")</f>
        <v>ULIF07528/05/24AlphaIdxFd101</v>
      </c>
      <c r="E756" s="8" t="s">
        <v>215</v>
      </c>
      <c r="F756" s="8" t="s">
        <v>1149</v>
      </c>
    </row>
    <row r="757" spans="1:6" ht="60" x14ac:dyDescent="0.25">
      <c r="A757" s="8" t="s">
        <v>125</v>
      </c>
      <c r="B757" s="8" t="s">
        <v>152</v>
      </c>
      <c r="C757" s="8" t="str">
        <f>IFERROR(_xlfn.XLOOKUP(TRIM(B757),Lookup!$B$2:$B$1000,Lookup!$C$2:$C$1000),"")</f>
        <v>Equity</v>
      </c>
      <c r="D757" s="8" t="str">
        <f>IFERROR(INDEX('nav master'!$C:$C, MATCH(B757, 'nav master'!$B:$B, 0)), "")</f>
        <v>ULIF07528/05/24AlphaIdxFd101</v>
      </c>
      <c r="E757" s="8" t="s">
        <v>217</v>
      </c>
      <c r="F757" s="8" t="s">
        <v>1150</v>
      </c>
    </row>
    <row r="758" spans="1:6" ht="60" x14ac:dyDescent="0.25">
      <c r="A758" s="8" t="s">
        <v>125</v>
      </c>
      <c r="B758" s="8" t="s">
        <v>152</v>
      </c>
      <c r="C758" s="8" t="str">
        <f>IFERROR(_xlfn.XLOOKUP(TRIM(B758),Lookup!$B$2:$B$1000,Lookup!$C$2:$C$1000),"")</f>
        <v>Equity</v>
      </c>
      <c r="D758" s="8" t="str">
        <f>IFERROR(INDEX('nav master'!$C:$C, MATCH(B758, 'nav master'!$B:$B, 0)), "")</f>
        <v>ULIF07528/05/24AlphaIdxFd101</v>
      </c>
      <c r="E758" s="8" t="s">
        <v>219</v>
      </c>
      <c r="F758" s="8" t="s">
        <v>1151</v>
      </c>
    </row>
    <row r="759" spans="1:6" ht="60" x14ac:dyDescent="0.25">
      <c r="A759" s="8" t="s">
        <v>125</v>
      </c>
      <c r="B759" s="8" t="s">
        <v>152</v>
      </c>
      <c r="C759" s="8" t="str">
        <f>IFERROR(_xlfn.XLOOKUP(TRIM(B759),Lookup!$B$2:$B$1000,Lookup!$C$2:$C$1000),"")</f>
        <v>Equity</v>
      </c>
      <c r="D759" s="8" t="str">
        <f>IFERROR(INDEX('nav master'!$C:$C, MATCH(B759, 'nav master'!$B:$B, 0)), "")</f>
        <v>ULIF07528/05/24AlphaIdxFd101</v>
      </c>
      <c r="E759" s="8" t="s">
        <v>221</v>
      </c>
      <c r="F759" s="8" t="s">
        <v>1152</v>
      </c>
    </row>
    <row r="760" spans="1:6" ht="60" x14ac:dyDescent="0.25">
      <c r="A760" s="8" t="s">
        <v>125</v>
      </c>
      <c r="B760" s="8" t="s">
        <v>152</v>
      </c>
      <c r="C760" s="8" t="str">
        <f>IFERROR(_xlfn.XLOOKUP(TRIM(B760),Lookup!$B$2:$B$1000,Lookup!$C$2:$C$1000),"")</f>
        <v>Equity</v>
      </c>
      <c r="D760" s="8" t="str">
        <f>IFERROR(INDEX('nav master'!$C:$C, MATCH(B760, 'nav master'!$B:$B, 0)), "")</f>
        <v>ULIF07528/05/24AlphaIdxFd101</v>
      </c>
      <c r="E760" s="8" t="s">
        <v>223</v>
      </c>
      <c r="F760" s="8" t="s">
        <v>1153</v>
      </c>
    </row>
    <row r="761" spans="1:6" ht="60" x14ac:dyDescent="0.25">
      <c r="A761" s="8" t="s">
        <v>125</v>
      </c>
      <c r="B761" s="8" t="s">
        <v>152</v>
      </c>
      <c r="C761" s="8" t="str">
        <f>IFERROR(_xlfn.XLOOKUP(TRIM(B761),Lookup!$B$2:$B$1000,Lookup!$C$2:$C$1000),"")</f>
        <v>Equity</v>
      </c>
      <c r="D761" s="8" t="str">
        <f>IFERROR(INDEX('nav master'!$C:$C, MATCH(B761, 'nav master'!$B:$B, 0)), "")</f>
        <v>ULIF07528/05/24AlphaIdxFd101</v>
      </c>
      <c r="E761" s="8" t="s">
        <v>225</v>
      </c>
      <c r="F761" s="8" t="s">
        <v>1154</v>
      </c>
    </row>
    <row r="762" spans="1:6" ht="60" x14ac:dyDescent="0.25">
      <c r="A762" s="8" t="s">
        <v>125</v>
      </c>
      <c r="B762" s="8" t="s">
        <v>152</v>
      </c>
      <c r="C762" s="8" t="str">
        <f>IFERROR(_xlfn.XLOOKUP(TRIM(B762),Lookup!$B$2:$B$1000,Lookup!$C$2:$C$1000),"")</f>
        <v>Equity</v>
      </c>
      <c r="D762" s="8" t="str">
        <f>IFERROR(INDEX('nav master'!$C:$C, MATCH(B762, 'nav master'!$B:$B, 0)), "")</f>
        <v>ULIF07528/05/24AlphaIdxFd101</v>
      </c>
      <c r="E762" s="8" t="s">
        <v>227</v>
      </c>
      <c r="F762" s="8" t="s">
        <v>1155</v>
      </c>
    </row>
    <row r="763" spans="1:6" ht="60" x14ac:dyDescent="0.25">
      <c r="A763" s="8" t="s">
        <v>125</v>
      </c>
      <c r="B763" s="8" t="s">
        <v>152</v>
      </c>
      <c r="C763" s="8" t="str">
        <f>IFERROR(_xlfn.XLOOKUP(TRIM(B763),Lookup!$B$2:$B$1000,Lookup!$C$2:$C$1000),"")</f>
        <v>Equity</v>
      </c>
      <c r="D763" s="8" t="str">
        <f>IFERROR(INDEX('nav master'!$C:$C, MATCH(B763, 'nav master'!$B:$B, 0)), "")</f>
        <v>ULIF07528/05/24AlphaIdxFd101</v>
      </c>
      <c r="E763" s="8" t="s">
        <v>229</v>
      </c>
      <c r="F763" s="8" t="s">
        <v>1156</v>
      </c>
    </row>
    <row r="764" spans="1:6" ht="60" x14ac:dyDescent="0.25">
      <c r="A764" s="8" t="s">
        <v>125</v>
      </c>
      <c r="B764" s="8" t="s">
        <v>152</v>
      </c>
      <c r="C764" s="8" t="str">
        <f>IFERROR(_xlfn.XLOOKUP(TRIM(B764),Lookup!$B$2:$B$1000,Lookup!$C$2:$C$1000),"")</f>
        <v>Equity</v>
      </c>
      <c r="D764" s="8" t="str">
        <f>IFERROR(INDEX('nav master'!$C:$C, MATCH(B764, 'nav master'!$B:$B, 0)), "")</f>
        <v>ULIF07528/05/24AlphaIdxFd101</v>
      </c>
      <c r="E764" s="8" t="s">
        <v>231</v>
      </c>
      <c r="F764" s="8" t="s">
        <v>1157</v>
      </c>
    </row>
    <row r="765" spans="1:6" ht="60" x14ac:dyDescent="0.25">
      <c r="A765" s="8" t="s">
        <v>125</v>
      </c>
      <c r="B765" s="8" t="s">
        <v>152</v>
      </c>
      <c r="C765" s="8" t="str">
        <f>IFERROR(_xlfn.XLOOKUP(TRIM(B765),Lookup!$B$2:$B$1000,Lookup!$C$2:$C$1000),"")</f>
        <v>Equity</v>
      </c>
      <c r="D765" s="8" t="str">
        <f>IFERROR(INDEX('nav master'!$C:$C, MATCH(B765, 'nav master'!$B:$B, 0)), "")</f>
        <v>ULIF07528/05/24AlphaIdxFd101</v>
      </c>
      <c r="E765" s="8" t="s">
        <v>233</v>
      </c>
      <c r="F765" s="8" t="s">
        <v>1158</v>
      </c>
    </row>
    <row r="766" spans="1:6" ht="60" x14ac:dyDescent="0.25">
      <c r="A766" s="8" t="s">
        <v>125</v>
      </c>
      <c r="B766" s="8" t="s">
        <v>152</v>
      </c>
      <c r="C766" s="8" t="str">
        <f>IFERROR(_xlfn.XLOOKUP(TRIM(B766),Lookup!$B$2:$B$1000,Lookup!$C$2:$C$1000),"")</f>
        <v>Equity</v>
      </c>
      <c r="D766" s="8" t="str">
        <f>IFERROR(INDEX('nav master'!$C:$C, MATCH(B766, 'nav master'!$B:$B, 0)), "")</f>
        <v>ULIF07528/05/24AlphaIdxFd101</v>
      </c>
      <c r="E766" s="8" t="s">
        <v>235</v>
      </c>
      <c r="F766" s="8" t="s">
        <v>1159</v>
      </c>
    </row>
    <row r="767" spans="1:6" ht="60" x14ac:dyDescent="0.25">
      <c r="A767" s="8" t="s">
        <v>125</v>
      </c>
      <c r="B767" s="8" t="s">
        <v>152</v>
      </c>
      <c r="C767" s="8" t="str">
        <f>IFERROR(_xlfn.XLOOKUP(TRIM(B767),Lookup!$B$2:$B$1000,Lookup!$C$2:$C$1000),"")</f>
        <v>Equity</v>
      </c>
      <c r="D767" s="8" t="str">
        <f>IFERROR(INDEX('nav master'!$C:$C, MATCH(B767, 'nav master'!$B:$B, 0)), "")</f>
        <v>ULIF07528/05/24AlphaIdxFd101</v>
      </c>
      <c r="E767" s="8" t="s">
        <v>237</v>
      </c>
      <c r="F767" s="8" t="s">
        <v>1160</v>
      </c>
    </row>
    <row r="768" spans="1:6" ht="60" x14ac:dyDescent="0.25">
      <c r="A768" s="8" t="s">
        <v>125</v>
      </c>
      <c r="B768" s="8" t="s">
        <v>152</v>
      </c>
      <c r="C768" s="8" t="str">
        <f>IFERROR(_xlfn.XLOOKUP(TRIM(B768),Lookup!$B$2:$B$1000,Lookup!$C$2:$C$1000),"")</f>
        <v>Equity</v>
      </c>
      <c r="D768" s="8" t="str">
        <f>IFERROR(INDEX('nav master'!$C:$C, MATCH(B768, 'nav master'!$B:$B, 0)), "")</f>
        <v>ULIF07528/05/24AlphaIdxFd101</v>
      </c>
      <c r="E768" s="8" t="s">
        <v>239</v>
      </c>
      <c r="F768" s="8" t="s">
        <v>1161</v>
      </c>
    </row>
    <row r="769" spans="1:6" ht="60" x14ac:dyDescent="0.25">
      <c r="A769" s="8" t="s">
        <v>125</v>
      </c>
      <c r="B769" s="8" t="s">
        <v>152</v>
      </c>
      <c r="C769" s="8" t="str">
        <f>IFERROR(_xlfn.XLOOKUP(TRIM(B769),Lookup!$B$2:$B$1000,Lookup!$C$2:$C$1000),"")</f>
        <v>Equity</v>
      </c>
      <c r="D769" s="8" t="str">
        <f>IFERROR(INDEX('nav master'!$C:$C, MATCH(B769, 'nav master'!$B:$B, 0)), "")</f>
        <v>ULIF07528/05/24AlphaIdxFd101</v>
      </c>
      <c r="E769" s="8" t="s">
        <v>241</v>
      </c>
      <c r="F769" s="8" t="s">
        <v>1162</v>
      </c>
    </row>
    <row r="770" spans="1:6" ht="60" x14ac:dyDescent="0.25">
      <c r="A770" s="8" t="s">
        <v>125</v>
      </c>
      <c r="B770" s="8" t="s">
        <v>152</v>
      </c>
      <c r="C770" s="8" t="str">
        <f>IFERROR(_xlfn.XLOOKUP(TRIM(B770),Lookup!$B$2:$B$1000,Lookup!$C$2:$C$1000),"")</f>
        <v>Equity</v>
      </c>
      <c r="D770" s="8" t="str">
        <f>IFERROR(INDEX('nav master'!$C:$C, MATCH(B770, 'nav master'!$B:$B, 0)), "")</f>
        <v>ULIF07528/05/24AlphaIdxFd101</v>
      </c>
      <c r="E770" s="8" t="s">
        <v>243</v>
      </c>
      <c r="F770" s="8" t="s">
        <v>1163</v>
      </c>
    </row>
    <row r="771" spans="1:6" ht="60" x14ac:dyDescent="0.25">
      <c r="A771" s="8" t="s">
        <v>125</v>
      </c>
      <c r="B771" s="8" t="s">
        <v>152</v>
      </c>
      <c r="C771" s="8" t="str">
        <f>IFERROR(_xlfn.XLOOKUP(TRIM(B771),Lookup!$B$2:$B$1000,Lookup!$C$2:$C$1000),"")</f>
        <v>Equity</v>
      </c>
      <c r="D771" s="8" t="str">
        <f>IFERROR(INDEX('nav master'!$C:$C, MATCH(B771, 'nav master'!$B:$B, 0)), "")</f>
        <v>ULIF07528/05/24AlphaIdxFd101</v>
      </c>
      <c r="E771" s="8" t="s">
        <v>245</v>
      </c>
      <c r="F771" s="8" t="s">
        <v>1164</v>
      </c>
    </row>
    <row r="772" spans="1:6" ht="60" x14ac:dyDescent="0.25">
      <c r="A772" s="8" t="s">
        <v>125</v>
      </c>
      <c r="B772" s="8" t="s">
        <v>152</v>
      </c>
      <c r="C772" s="8" t="str">
        <f>IFERROR(_xlfn.XLOOKUP(TRIM(B772),Lookup!$B$2:$B$1000,Lookup!$C$2:$C$1000),"")</f>
        <v>Equity</v>
      </c>
      <c r="D772" s="8" t="str">
        <f>IFERROR(INDEX('nav master'!$C:$C, MATCH(B772, 'nav master'!$B:$B, 0)), "")</f>
        <v>ULIF07528/05/24AlphaIdxFd101</v>
      </c>
      <c r="E772" s="8" t="s">
        <v>247</v>
      </c>
      <c r="F772" s="8" t="s">
        <v>1165</v>
      </c>
    </row>
    <row r="773" spans="1:6" ht="60" x14ac:dyDescent="0.25">
      <c r="A773" s="8" t="s">
        <v>125</v>
      </c>
      <c r="B773" s="8" t="s">
        <v>152</v>
      </c>
      <c r="C773" s="8" t="str">
        <f>IFERROR(_xlfn.XLOOKUP(TRIM(B773),Lookup!$B$2:$B$1000,Lookup!$C$2:$C$1000),"")</f>
        <v>Equity</v>
      </c>
      <c r="D773" s="8" t="str">
        <f>IFERROR(INDEX('nav master'!$C:$C, MATCH(B773, 'nav master'!$B:$B, 0)), "")</f>
        <v>ULIF07528/05/24AlphaIdxFd101</v>
      </c>
      <c r="E773" s="8" t="s">
        <v>249</v>
      </c>
      <c r="F773" s="8" t="s">
        <v>1166</v>
      </c>
    </row>
    <row r="774" spans="1:6" ht="60" x14ac:dyDescent="0.25">
      <c r="A774" s="8" t="s">
        <v>125</v>
      </c>
      <c r="B774" s="8" t="s">
        <v>152</v>
      </c>
      <c r="C774" s="8" t="str">
        <f>IFERROR(_xlfn.XLOOKUP(TRIM(B774),Lookup!$B$2:$B$1000,Lookup!$C$2:$C$1000),"")</f>
        <v>Equity</v>
      </c>
      <c r="D774" s="8" t="str">
        <f>IFERROR(INDEX('nav master'!$C:$C, MATCH(B774, 'nav master'!$B:$B, 0)), "")</f>
        <v>ULIF07528/05/24AlphaIdxFd101</v>
      </c>
      <c r="E774" s="8" t="s">
        <v>251</v>
      </c>
      <c r="F774" s="8" t="s">
        <v>1167</v>
      </c>
    </row>
    <row r="775" spans="1:6" ht="60" x14ac:dyDescent="0.25">
      <c r="A775" s="8" t="s">
        <v>125</v>
      </c>
      <c r="B775" s="8" t="s">
        <v>152</v>
      </c>
      <c r="C775" s="8" t="str">
        <f>IFERROR(_xlfn.XLOOKUP(TRIM(B775),Lookup!$B$2:$B$1000,Lookup!$C$2:$C$1000),"")</f>
        <v>Equity</v>
      </c>
      <c r="D775" s="8" t="str">
        <f>IFERROR(INDEX('nav master'!$C:$C, MATCH(B775, 'nav master'!$B:$B, 0)), "")</f>
        <v>ULIF07528/05/24AlphaIdxFd101</v>
      </c>
      <c r="E775" s="8" t="s">
        <v>253</v>
      </c>
      <c r="F775" s="8" t="s">
        <v>1135</v>
      </c>
    </row>
    <row r="776" spans="1:6" ht="60" x14ac:dyDescent="0.25">
      <c r="A776" s="8" t="s">
        <v>125</v>
      </c>
      <c r="B776" s="8" t="s">
        <v>152</v>
      </c>
      <c r="C776" s="8" t="str">
        <f>IFERROR(_xlfn.XLOOKUP(TRIM(B776),Lookup!$B$2:$B$1000,Lookup!$C$2:$C$1000),"")</f>
        <v>Equity</v>
      </c>
      <c r="D776" s="8" t="str">
        <f>IFERROR(INDEX('nav master'!$C:$C, MATCH(B776, 'nav master'!$B:$B, 0)), "")</f>
        <v>ULIF07528/05/24AlphaIdxFd101</v>
      </c>
      <c r="E776" s="8" t="s">
        <v>255</v>
      </c>
      <c r="F776" s="8" t="s">
        <v>1168</v>
      </c>
    </row>
    <row r="777" spans="1:6" ht="60" x14ac:dyDescent="0.25">
      <c r="A777" s="8" t="s">
        <v>125</v>
      </c>
      <c r="B777" s="8" t="s">
        <v>152</v>
      </c>
      <c r="C777" s="8" t="str">
        <f>IFERROR(_xlfn.XLOOKUP(TRIM(B777),Lookup!$B$2:$B$1000,Lookup!$C$2:$C$1000),"")</f>
        <v>Equity</v>
      </c>
      <c r="D777" s="8" t="str">
        <f>IFERROR(INDEX('nav master'!$C:$C, MATCH(B777, 'nav master'!$B:$B, 0)), "")</f>
        <v>ULIF07528/05/24AlphaIdxFd101</v>
      </c>
      <c r="E777" s="8" t="s">
        <v>257</v>
      </c>
      <c r="F777" s="8" t="s">
        <v>1169</v>
      </c>
    </row>
    <row r="778" spans="1:6" ht="60" x14ac:dyDescent="0.25">
      <c r="A778" s="8" t="s">
        <v>125</v>
      </c>
      <c r="B778" s="8" t="s">
        <v>152</v>
      </c>
      <c r="C778" s="8" t="str">
        <f>IFERROR(_xlfn.XLOOKUP(TRIM(B778),Lookup!$B$2:$B$1000,Lookup!$C$2:$C$1000),"")</f>
        <v>Equity</v>
      </c>
      <c r="D778" s="8" t="str">
        <f>IFERROR(INDEX('nav master'!$C:$C, MATCH(B778, 'nav master'!$B:$B, 0)), "")</f>
        <v>ULIF07528/05/24AlphaIdxFd101</v>
      </c>
      <c r="E778" s="8" t="s">
        <v>259</v>
      </c>
      <c r="F778" s="8" t="s">
        <v>1170</v>
      </c>
    </row>
    <row r="779" spans="1:6" ht="60" x14ac:dyDescent="0.25">
      <c r="A779" s="8" t="s">
        <v>125</v>
      </c>
      <c r="B779" s="8" t="s">
        <v>152</v>
      </c>
      <c r="C779" s="8" t="str">
        <f>IFERROR(_xlfn.XLOOKUP(TRIM(B779),Lookup!$B$2:$B$1000,Lookup!$C$2:$C$1000),"")</f>
        <v>Equity</v>
      </c>
      <c r="D779" s="8" t="str">
        <f>IFERROR(INDEX('nav master'!$C:$C, MATCH(B779, 'nav master'!$B:$B, 0)), "")</f>
        <v>ULIF07528/05/24AlphaIdxFd101</v>
      </c>
      <c r="E779" s="8" t="s">
        <v>261</v>
      </c>
      <c r="F779" s="8" t="s">
        <v>1171</v>
      </c>
    </row>
    <row r="780" spans="1:6" ht="60" x14ac:dyDescent="0.25">
      <c r="A780" s="8" t="s">
        <v>125</v>
      </c>
      <c r="B780" s="8" t="s">
        <v>152</v>
      </c>
      <c r="C780" s="8" t="str">
        <f>IFERROR(_xlfn.XLOOKUP(TRIM(B780),Lookup!$B$2:$B$1000,Lookup!$C$2:$C$1000),"")</f>
        <v>Equity</v>
      </c>
      <c r="D780" s="8" t="str">
        <f>IFERROR(INDEX('nav master'!$C:$C, MATCH(B780, 'nav master'!$B:$B, 0)), "")</f>
        <v>ULIF07528/05/24AlphaIdxFd101</v>
      </c>
      <c r="E780" s="8" t="s">
        <v>263</v>
      </c>
      <c r="F780" s="8" t="s">
        <v>1172</v>
      </c>
    </row>
    <row r="781" spans="1:6" ht="60" x14ac:dyDescent="0.25">
      <c r="A781" s="8" t="s">
        <v>125</v>
      </c>
      <c r="B781" s="8" t="s">
        <v>152</v>
      </c>
      <c r="C781" s="8" t="str">
        <f>IFERROR(_xlfn.XLOOKUP(TRIM(B781),Lookup!$B$2:$B$1000,Lookup!$C$2:$C$1000),"")</f>
        <v>Equity</v>
      </c>
      <c r="D781" s="8" t="str">
        <f>IFERROR(INDEX('nav master'!$C:$C, MATCH(B781, 'nav master'!$B:$B, 0)), "")</f>
        <v>ULIF07528/05/24AlphaIdxFd101</v>
      </c>
      <c r="E781" s="8" t="s">
        <v>265</v>
      </c>
      <c r="F781" s="8" t="s">
        <v>1173</v>
      </c>
    </row>
    <row r="782" spans="1:6" ht="60" x14ac:dyDescent="0.25">
      <c r="A782" s="8" t="s">
        <v>125</v>
      </c>
      <c r="B782" s="8" t="s">
        <v>152</v>
      </c>
      <c r="C782" s="8" t="str">
        <f>IFERROR(_xlfn.XLOOKUP(TRIM(B782),Lookup!$B$2:$B$1000,Lookup!$C$2:$C$1000),"")</f>
        <v>Equity</v>
      </c>
      <c r="D782" s="8" t="str">
        <f>IFERROR(INDEX('nav master'!$C:$C, MATCH(B782, 'nav master'!$B:$B, 0)), "")</f>
        <v>ULIF07528/05/24AlphaIdxFd101</v>
      </c>
      <c r="E782" s="8" t="s">
        <v>267</v>
      </c>
      <c r="F782" s="8" t="s">
        <v>1174</v>
      </c>
    </row>
    <row r="783" spans="1:6" ht="60" x14ac:dyDescent="0.25">
      <c r="A783" s="8" t="s">
        <v>125</v>
      </c>
      <c r="B783" s="8" t="s">
        <v>152</v>
      </c>
      <c r="C783" s="8" t="str">
        <f>IFERROR(_xlfn.XLOOKUP(TRIM(B783),Lookup!$B$2:$B$1000,Lookup!$C$2:$C$1000),"")</f>
        <v>Equity</v>
      </c>
      <c r="D783" s="8" t="str">
        <f>IFERROR(INDEX('nav master'!$C:$C, MATCH(B783, 'nav master'!$B:$B, 0)), "")</f>
        <v>ULIF07528/05/24AlphaIdxFd101</v>
      </c>
      <c r="E783" s="8" t="s">
        <v>269</v>
      </c>
      <c r="F783" s="8" t="s">
        <v>1175</v>
      </c>
    </row>
    <row r="784" spans="1:6" ht="60" x14ac:dyDescent="0.25">
      <c r="A784" s="8" t="s">
        <v>125</v>
      </c>
      <c r="B784" s="8" t="s">
        <v>152</v>
      </c>
      <c r="C784" s="8" t="str">
        <f>IFERROR(_xlfn.XLOOKUP(TRIM(B784),Lookup!$B$2:$B$1000,Lookup!$C$2:$C$1000),"")</f>
        <v>Equity</v>
      </c>
      <c r="D784" s="8" t="str">
        <f>IFERROR(INDEX('nav master'!$C:$C, MATCH(B784, 'nav master'!$B:$B, 0)), "")</f>
        <v>ULIF07528/05/24AlphaIdxFd101</v>
      </c>
      <c r="E784" s="8" t="s">
        <v>271</v>
      </c>
      <c r="F784" s="8" t="s">
        <v>1176</v>
      </c>
    </row>
    <row r="785" spans="1:6" ht="60" x14ac:dyDescent="0.25">
      <c r="A785" s="8" t="s">
        <v>125</v>
      </c>
      <c r="B785" s="8" t="s">
        <v>152</v>
      </c>
      <c r="C785" s="8" t="str">
        <f>IFERROR(_xlfn.XLOOKUP(TRIM(B785),Lookup!$B$2:$B$1000,Lookup!$C$2:$C$1000),"")</f>
        <v>Equity</v>
      </c>
      <c r="D785" s="8" t="str">
        <f>IFERROR(INDEX('nav master'!$C:$C, MATCH(B785, 'nav master'!$B:$B, 0)), "")</f>
        <v>ULIF07528/05/24AlphaIdxFd101</v>
      </c>
      <c r="E785" s="8" t="s">
        <v>273</v>
      </c>
      <c r="F785" s="8" t="s">
        <v>1177</v>
      </c>
    </row>
    <row r="786" spans="1:6" ht="60" x14ac:dyDescent="0.25">
      <c r="A786" s="8" t="s">
        <v>125</v>
      </c>
      <c r="B786" s="8" t="s">
        <v>152</v>
      </c>
      <c r="C786" s="8" t="str">
        <f>IFERROR(_xlfn.XLOOKUP(TRIM(B786),Lookup!$B$2:$B$1000,Lookup!$C$2:$C$1000),"")</f>
        <v>Equity</v>
      </c>
      <c r="D786" s="8" t="str">
        <f>IFERROR(INDEX('nav master'!$C:$C, MATCH(B786, 'nav master'!$B:$B, 0)), "")</f>
        <v>ULIF07528/05/24AlphaIdxFd101</v>
      </c>
      <c r="E786" s="8" t="s">
        <v>275</v>
      </c>
      <c r="F786" s="8" t="s">
        <v>1178</v>
      </c>
    </row>
    <row r="787" spans="1:6" ht="60" x14ac:dyDescent="0.25">
      <c r="A787" s="8" t="s">
        <v>125</v>
      </c>
      <c r="B787" s="8" t="s">
        <v>152</v>
      </c>
      <c r="C787" s="8" t="str">
        <f>IFERROR(_xlfn.XLOOKUP(TRIM(B787),Lookup!$B$2:$B$1000,Lookup!$C$2:$C$1000),"")</f>
        <v>Equity</v>
      </c>
      <c r="D787" s="8" t="str">
        <f>IFERROR(INDEX('nav master'!$C:$C, MATCH(B787, 'nav master'!$B:$B, 0)), "")</f>
        <v>ULIF07528/05/24AlphaIdxFd101</v>
      </c>
      <c r="E787" s="8" t="s">
        <v>277</v>
      </c>
      <c r="F787" s="8" t="s">
        <v>1179</v>
      </c>
    </row>
    <row r="788" spans="1:6" ht="60" x14ac:dyDescent="0.25">
      <c r="A788" s="8" t="s">
        <v>125</v>
      </c>
      <c r="B788" s="8" t="s">
        <v>152</v>
      </c>
      <c r="C788" s="8" t="str">
        <f>IFERROR(_xlfn.XLOOKUP(TRIM(B788),Lookup!$B$2:$B$1000,Lookup!$C$2:$C$1000),"")</f>
        <v>Equity</v>
      </c>
      <c r="D788" s="8" t="str">
        <f>IFERROR(INDEX('nav master'!$C:$C, MATCH(B788, 'nav master'!$B:$B, 0)), "")</f>
        <v>ULIF07528/05/24AlphaIdxFd101</v>
      </c>
      <c r="E788" s="8" t="s">
        <v>279</v>
      </c>
      <c r="F788" s="8" t="s">
        <v>1180</v>
      </c>
    </row>
    <row r="789" spans="1:6" ht="60" x14ac:dyDescent="0.25">
      <c r="A789" s="8" t="s">
        <v>125</v>
      </c>
      <c r="B789" s="8" t="s">
        <v>152</v>
      </c>
      <c r="C789" s="8" t="str">
        <f>IFERROR(_xlfn.XLOOKUP(TRIM(B789),Lookup!$B$2:$B$1000,Lookup!$C$2:$C$1000),"")</f>
        <v>Equity</v>
      </c>
      <c r="D789" s="8" t="str">
        <f>IFERROR(INDEX('nav master'!$C:$C, MATCH(B789, 'nav master'!$B:$B, 0)), "")</f>
        <v>ULIF07528/05/24AlphaIdxFd101</v>
      </c>
      <c r="E789" s="8" t="s">
        <v>281</v>
      </c>
      <c r="F789" s="8" t="s">
        <v>1181</v>
      </c>
    </row>
    <row r="790" spans="1:6" ht="60" x14ac:dyDescent="0.25">
      <c r="A790" s="8" t="s">
        <v>125</v>
      </c>
      <c r="B790" s="8" t="s">
        <v>152</v>
      </c>
      <c r="C790" s="8" t="str">
        <f>IFERROR(_xlfn.XLOOKUP(TRIM(B790),Lookup!$B$2:$B$1000,Lookup!$C$2:$C$1000),"")</f>
        <v>Equity</v>
      </c>
      <c r="D790" s="8" t="str">
        <f>IFERROR(INDEX('nav master'!$C:$C, MATCH(B790, 'nav master'!$B:$B, 0)), "")</f>
        <v>ULIF07528/05/24AlphaIdxFd101</v>
      </c>
      <c r="E790" s="8" t="s">
        <v>283</v>
      </c>
      <c r="F790" s="8" t="s">
        <v>1182</v>
      </c>
    </row>
    <row r="791" spans="1:6" ht="60" x14ac:dyDescent="0.25">
      <c r="A791" s="8" t="s">
        <v>125</v>
      </c>
      <c r="B791" s="8" t="s">
        <v>152</v>
      </c>
      <c r="C791" s="8" t="str">
        <f>IFERROR(_xlfn.XLOOKUP(TRIM(B791),Lookup!$B$2:$B$1000,Lookup!$C$2:$C$1000),"")</f>
        <v>Equity</v>
      </c>
      <c r="D791" s="8" t="str">
        <f>IFERROR(INDEX('nav master'!$C:$C, MATCH(B791, 'nav master'!$B:$B, 0)), "")</f>
        <v>ULIF07528/05/24AlphaIdxFd101</v>
      </c>
      <c r="E791" s="8" t="s">
        <v>285</v>
      </c>
      <c r="F791" s="8" t="s">
        <v>1183</v>
      </c>
    </row>
    <row r="792" spans="1:6" ht="60" x14ac:dyDescent="0.25">
      <c r="A792" s="8" t="s">
        <v>125</v>
      </c>
      <c r="B792" s="8" t="s">
        <v>152</v>
      </c>
      <c r="C792" s="8" t="str">
        <f>IFERROR(_xlfn.XLOOKUP(TRIM(B792),Lookup!$B$2:$B$1000,Lookup!$C$2:$C$1000),"")</f>
        <v>Equity</v>
      </c>
      <c r="D792" s="8" t="str">
        <f>IFERROR(INDEX('nav master'!$C:$C, MATCH(B792, 'nav master'!$B:$B, 0)), "")</f>
        <v>ULIF07528/05/24AlphaIdxFd101</v>
      </c>
      <c r="E792" s="8" t="s">
        <v>287</v>
      </c>
      <c r="F792" s="8" t="s">
        <v>1184</v>
      </c>
    </row>
    <row r="793" spans="1:6" ht="60" x14ac:dyDescent="0.25">
      <c r="A793" s="8" t="s">
        <v>125</v>
      </c>
      <c r="B793" s="8" t="s">
        <v>152</v>
      </c>
      <c r="C793" s="8" t="str">
        <f>IFERROR(_xlfn.XLOOKUP(TRIM(B793),Lookup!$B$2:$B$1000,Lookup!$C$2:$C$1000),"")</f>
        <v>Equity</v>
      </c>
      <c r="D793" s="8" t="str">
        <f>IFERROR(INDEX('nav master'!$C:$C, MATCH(B793, 'nav master'!$B:$B, 0)), "")</f>
        <v>ULIF07528/05/24AlphaIdxFd101</v>
      </c>
      <c r="E793" s="8" t="s">
        <v>289</v>
      </c>
      <c r="F793" s="8" t="s">
        <v>1185</v>
      </c>
    </row>
    <row r="794" spans="1:6" ht="60" x14ac:dyDescent="0.25">
      <c r="A794" s="8" t="s">
        <v>125</v>
      </c>
      <c r="B794" s="8" t="s">
        <v>152</v>
      </c>
      <c r="C794" s="8" t="str">
        <f>IFERROR(_xlfn.XLOOKUP(TRIM(B794),Lookup!$B$2:$B$1000,Lookup!$C$2:$C$1000),"")</f>
        <v>Equity</v>
      </c>
      <c r="D794" s="8" t="str">
        <f>IFERROR(INDEX('nav master'!$C:$C, MATCH(B794, 'nav master'!$B:$B, 0)), "")</f>
        <v>ULIF07528/05/24AlphaIdxFd101</v>
      </c>
      <c r="E794" s="8" t="s">
        <v>291</v>
      </c>
      <c r="F794" s="8" t="s">
        <v>1186</v>
      </c>
    </row>
    <row r="795" spans="1:6" ht="60" x14ac:dyDescent="0.25">
      <c r="A795" s="8" t="s">
        <v>125</v>
      </c>
      <c r="B795" s="8" t="s">
        <v>152</v>
      </c>
      <c r="C795" s="8" t="str">
        <f>IFERROR(_xlfn.XLOOKUP(TRIM(B795),Lookup!$B$2:$B$1000,Lookup!$C$2:$C$1000),"")</f>
        <v>Equity</v>
      </c>
      <c r="D795" s="8" t="str">
        <f>IFERROR(INDEX('nav master'!$C:$C, MATCH(B795, 'nav master'!$B:$B, 0)), "")</f>
        <v>ULIF07528/05/24AlphaIdxFd101</v>
      </c>
      <c r="E795" s="8" t="s">
        <v>293</v>
      </c>
      <c r="F795" s="8" t="s">
        <v>1187</v>
      </c>
    </row>
    <row r="796" spans="1:6" ht="60" x14ac:dyDescent="0.25">
      <c r="A796" s="8" t="s">
        <v>125</v>
      </c>
      <c r="B796" s="8" t="s">
        <v>152</v>
      </c>
      <c r="C796" s="8" t="str">
        <f>IFERROR(_xlfn.XLOOKUP(TRIM(B796),Lookup!$B$2:$B$1000,Lookup!$C$2:$C$1000),"")</f>
        <v>Equity</v>
      </c>
      <c r="D796" s="8" t="str">
        <f>IFERROR(INDEX('nav master'!$C:$C, MATCH(B796, 'nav master'!$B:$B, 0)), "")</f>
        <v>ULIF07528/05/24AlphaIdxFd101</v>
      </c>
      <c r="E796" s="8" t="s">
        <v>295</v>
      </c>
      <c r="F796" s="8" t="s">
        <v>1188</v>
      </c>
    </row>
    <row r="797" spans="1:6" ht="60" x14ac:dyDescent="0.25">
      <c r="A797" s="8" t="s">
        <v>125</v>
      </c>
      <c r="B797" s="8" t="s">
        <v>152</v>
      </c>
      <c r="C797" s="8" t="str">
        <f>IFERROR(_xlfn.XLOOKUP(TRIM(B797),Lookup!$B$2:$B$1000,Lookup!$C$2:$C$1000),"")</f>
        <v>Equity</v>
      </c>
      <c r="D797" s="8" t="str">
        <f>IFERROR(INDEX('nav master'!$C:$C, MATCH(B797, 'nav master'!$B:$B, 0)), "")</f>
        <v>ULIF07528/05/24AlphaIdxFd101</v>
      </c>
      <c r="E797" s="8" t="s">
        <v>297</v>
      </c>
      <c r="F797" s="8" t="s">
        <v>1189</v>
      </c>
    </row>
    <row r="798" spans="1:6" ht="60" x14ac:dyDescent="0.25">
      <c r="A798" s="8" t="s">
        <v>125</v>
      </c>
      <c r="B798" s="8" t="s">
        <v>152</v>
      </c>
      <c r="C798" s="8" t="str">
        <f>IFERROR(_xlfn.XLOOKUP(TRIM(B798),Lookup!$B$2:$B$1000,Lookup!$C$2:$C$1000),"")</f>
        <v>Equity</v>
      </c>
      <c r="D798" s="8" t="str">
        <f>IFERROR(INDEX('nav master'!$C:$C, MATCH(B798, 'nav master'!$B:$B, 0)), "")</f>
        <v>ULIF07528/05/24AlphaIdxFd101</v>
      </c>
      <c r="E798" s="8" t="s">
        <v>299</v>
      </c>
      <c r="F798" s="8" t="s">
        <v>1190</v>
      </c>
    </row>
    <row r="799" spans="1:6" ht="60" x14ac:dyDescent="0.25">
      <c r="A799" s="8" t="s">
        <v>125</v>
      </c>
      <c r="B799" s="8" t="s">
        <v>152</v>
      </c>
      <c r="C799" s="8" t="str">
        <f>IFERROR(_xlfn.XLOOKUP(TRIM(B799),Lookup!$B$2:$B$1000,Lookup!$C$2:$C$1000),"")</f>
        <v>Equity</v>
      </c>
      <c r="D799" s="8" t="str">
        <f>IFERROR(INDEX('nav master'!$C:$C, MATCH(B799, 'nav master'!$B:$B, 0)), "")</f>
        <v>ULIF07528/05/24AlphaIdxFd101</v>
      </c>
      <c r="E799" s="8" t="s">
        <v>301</v>
      </c>
      <c r="F799" s="8" t="s">
        <v>1191</v>
      </c>
    </row>
    <row r="800" spans="1:6" ht="60" x14ac:dyDescent="0.25">
      <c r="A800" s="8" t="s">
        <v>125</v>
      </c>
      <c r="B800" s="8" t="s">
        <v>152</v>
      </c>
      <c r="C800" s="8" t="str">
        <f>IFERROR(_xlfn.XLOOKUP(TRIM(B800),Lookup!$B$2:$B$1000,Lookup!$C$2:$C$1000),"")</f>
        <v>Equity</v>
      </c>
      <c r="D800" s="8" t="str">
        <f>IFERROR(INDEX('nav master'!$C:$C, MATCH(B800, 'nav master'!$B:$B, 0)), "")</f>
        <v>ULIF07528/05/24AlphaIdxFd101</v>
      </c>
      <c r="E800" s="8" t="s">
        <v>303</v>
      </c>
      <c r="F800" s="8" t="s">
        <v>1192</v>
      </c>
    </row>
    <row r="801" spans="1:6" ht="60" x14ac:dyDescent="0.25">
      <c r="A801" s="8" t="s">
        <v>125</v>
      </c>
      <c r="B801" s="8" t="s">
        <v>152</v>
      </c>
      <c r="C801" s="8" t="str">
        <f>IFERROR(_xlfn.XLOOKUP(TRIM(B801),Lookup!$B$2:$B$1000,Lookup!$C$2:$C$1000),"")</f>
        <v>Equity</v>
      </c>
      <c r="D801" s="8" t="str">
        <f>IFERROR(INDEX('nav master'!$C:$C, MATCH(B801, 'nav master'!$B:$B, 0)), "")</f>
        <v>ULIF07528/05/24AlphaIdxFd101</v>
      </c>
      <c r="E801" s="8" t="s">
        <v>305</v>
      </c>
      <c r="F801" s="8" t="s">
        <v>1193</v>
      </c>
    </row>
    <row r="802" spans="1:6" ht="60" x14ac:dyDescent="0.25">
      <c r="A802" s="8" t="s">
        <v>125</v>
      </c>
      <c r="B802" s="8" t="s">
        <v>152</v>
      </c>
      <c r="C802" s="8" t="str">
        <f>IFERROR(_xlfn.XLOOKUP(TRIM(B802),Lookup!$B$2:$B$1000,Lookup!$C$2:$C$1000),"")</f>
        <v>Equity</v>
      </c>
      <c r="D802" s="8" t="str">
        <f>IFERROR(INDEX('nav master'!$C:$C, MATCH(B802, 'nav master'!$B:$B, 0)), "")</f>
        <v>ULIF07528/05/24AlphaIdxFd101</v>
      </c>
      <c r="E802" s="8" t="s">
        <v>307</v>
      </c>
      <c r="F802" s="8" t="s">
        <v>1194</v>
      </c>
    </row>
    <row r="803" spans="1:6" ht="60" x14ac:dyDescent="0.25">
      <c r="A803" s="8" t="s">
        <v>125</v>
      </c>
      <c r="B803" s="8" t="s">
        <v>152</v>
      </c>
      <c r="C803" s="8" t="str">
        <f>IFERROR(_xlfn.XLOOKUP(TRIM(B803),Lookup!$B$2:$B$1000,Lookup!$C$2:$C$1000),"")</f>
        <v>Equity</v>
      </c>
      <c r="D803" s="8" t="str">
        <f>IFERROR(INDEX('nav master'!$C:$C, MATCH(B803, 'nav master'!$B:$B, 0)), "")</f>
        <v>ULIF07528/05/24AlphaIdxFd101</v>
      </c>
      <c r="E803" s="8" t="s">
        <v>309</v>
      </c>
      <c r="F803" s="8" t="s">
        <v>1195</v>
      </c>
    </row>
    <row r="804" spans="1:6" ht="60" x14ac:dyDescent="0.25">
      <c r="A804" s="8" t="s">
        <v>125</v>
      </c>
      <c r="B804" s="8" t="s">
        <v>152</v>
      </c>
      <c r="C804" s="8" t="str">
        <f>IFERROR(_xlfn.XLOOKUP(TRIM(B804),Lookup!$B$2:$B$1000,Lookup!$C$2:$C$1000),"")</f>
        <v>Equity</v>
      </c>
      <c r="D804" s="8" t="str">
        <f>IFERROR(INDEX('nav master'!$C:$C, MATCH(B804, 'nav master'!$B:$B, 0)), "")</f>
        <v>ULIF07528/05/24AlphaIdxFd101</v>
      </c>
      <c r="E804" s="8" t="s">
        <v>311</v>
      </c>
      <c r="F804" s="8" t="s">
        <v>1196</v>
      </c>
    </row>
    <row r="805" spans="1:6" ht="60" x14ac:dyDescent="0.25">
      <c r="A805" s="8" t="s">
        <v>125</v>
      </c>
      <c r="B805" s="8" t="s">
        <v>152</v>
      </c>
      <c r="C805" s="8" t="str">
        <f>IFERROR(_xlfn.XLOOKUP(TRIM(B805),Lookup!$B$2:$B$1000,Lookup!$C$2:$C$1000),"")</f>
        <v>Equity</v>
      </c>
      <c r="D805" s="8" t="str">
        <f>IFERROR(INDEX('nav master'!$C:$C, MATCH(B805, 'nav master'!$B:$B, 0)), "")</f>
        <v>ULIF07528/05/24AlphaIdxFd101</v>
      </c>
      <c r="E805" s="8" t="s">
        <v>313</v>
      </c>
      <c r="F805" s="8" t="s">
        <v>1197</v>
      </c>
    </row>
    <row r="806" spans="1:6" ht="60" x14ac:dyDescent="0.25">
      <c r="A806" s="8" t="s">
        <v>125</v>
      </c>
      <c r="B806" s="8" t="s">
        <v>152</v>
      </c>
      <c r="C806" s="8" t="str">
        <f>IFERROR(_xlfn.XLOOKUP(TRIM(B806),Lookup!$B$2:$B$1000,Lookup!$C$2:$C$1000),"")</f>
        <v>Equity</v>
      </c>
      <c r="D806" s="8" t="str">
        <f>IFERROR(INDEX('nav master'!$C:$C, MATCH(B806, 'nav master'!$B:$B, 0)), "")</f>
        <v>ULIF07528/05/24AlphaIdxFd101</v>
      </c>
      <c r="E806" s="8" t="s">
        <v>315</v>
      </c>
      <c r="F806" s="8" t="s">
        <v>1198</v>
      </c>
    </row>
    <row r="807" spans="1:6" ht="60" x14ac:dyDescent="0.25">
      <c r="A807" s="8" t="s">
        <v>125</v>
      </c>
      <c r="B807" s="8" t="s">
        <v>152</v>
      </c>
      <c r="C807" s="8" t="str">
        <f>IFERROR(_xlfn.XLOOKUP(TRIM(B807),Lookup!$B$2:$B$1000,Lookup!$C$2:$C$1000),"")</f>
        <v>Equity</v>
      </c>
      <c r="D807" s="8" t="str">
        <f>IFERROR(INDEX('nav master'!$C:$C, MATCH(B807, 'nav master'!$B:$B, 0)), "")</f>
        <v>ULIF07528/05/24AlphaIdxFd101</v>
      </c>
      <c r="E807" s="8" t="s">
        <v>317</v>
      </c>
      <c r="F807" s="8" t="s">
        <v>1199</v>
      </c>
    </row>
    <row r="808" spans="1:6" ht="60" x14ac:dyDescent="0.25">
      <c r="A808" s="8" t="s">
        <v>125</v>
      </c>
      <c r="B808" s="8" t="s">
        <v>152</v>
      </c>
      <c r="C808" s="8" t="str">
        <f>IFERROR(_xlfn.XLOOKUP(TRIM(B808),Lookup!$B$2:$B$1000,Lookup!$C$2:$C$1000),"")</f>
        <v>Equity</v>
      </c>
      <c r="D808" s="8" t="str">
        <f>IFERROR(INDEX('nav master'!$C:$C, MATCH(B808, 'nav master'!$B:$B, 0)), "")</f>
        <v>ULIF07528/05/24AlphaIdxFd101</v>
      </c>
      <c r="E808" s="8" t="s">
        <v>319</v>
      </c>
      <c r="F808" s="8" t="s">
        <v>1200</v>
      </c>
    </row>
    <row r="809" spans="1:6" ht="60" x14ac:dyDescent="0.25">
      <c r="A809" s="8" t="s">
        <v>125</v>
      </c>
      <c r="B809" s="8" t="s">
        <v>152</v>
      </c>
      <c r="C809" s="8" t="str">
        <f>IFERROR(_xlfn.XLOOKUP(TRIM(B809),Lookup!$B$2:$B$1000,Lookup!$C$2:$C$1000),"")</f>
        <v>Equity</v>
      </c>
      <c r="D809" s="8" t="str">
        <f>IFERROR(INDEX('nav master'!$C:$C, MATCH(B809, 'nav master'!$B:$B, 0)), "")</f>
        <v>ULIF07528/05/24AlphaIdxFd101</v>
      </c>
      <c r="E809" s="8" t="s">
        <v>321</v>
      </c>
      <c r="F809" s="8" t="s">
        <v>1201</v>
      </c>
    </row>
    <row r="810" spans="1:6" ht="60" x14ac:dyDescent="0.25">
      <c r="A810" s="8" t="s">
        <v>125</v>
      </c>
      <c r="B810" s="8" t="s">
        <v>152</v>
      </c>
      <c r="C810" s="8" t="str">
        <f>IFERROR(_xlfn.XLOOKUP(TRIM(B810),Lookup!$B$2:$B$1000,Lookup!$C$2:$C$1000),"")</f>
        <v>Equity</v>
      </c>
      <c r="D810" s="8" t="str">
        <f>IFERROR(INDEX('nav master'!$C:$C, MATCH(B810, 'nav master'!$B:$B, 0)), "")</f>
        <v>ULIF07528/05/24AlphaIdxFd101</v>
      </c>
      <c r="E810" s="8" t="s">
        <v>323</v>
      </c>
      <c r="F810" s="8" t="s">
        <v>1202</v>
      </c>
    </row>
    <row r="811" spans="1:6" ht="60" x14ac:dyDescent="0.25">
      <c r="A811" s="8" t="s">
        <v>125</v>
      </c>
      <c r="B811" s="8" t="s">
        <v>152</v>
      </c>
      <c r="C811" s="8" t="str">
        <f>IFERROR(_xlfn.XLOOKUP(TRIM(B811),Lookup!$B$2:$B$1000,Lookup!$C$2:$C$1000),"")</f>
        <v>Equity</v>
      </c>
      <c r="D811" s="8" t="str">
        <f>IFERROR(INDEX('nav master'!$C:$C, MATCH(B811, 'nav master'!$B:$B, 0)), "")</f>
        <v>ULIF07528/05/24AlphaIdxFd101</v>
      </c>
      <c r="E811" s="8" t="s">
        <v>325</v>
      </c>
      <c r="F811" s="8" t="s">
        <v>1203</v>
      </c>
    </row>
    <row r="812" spans="1:6" ht="60" x14ac:dyDescent="0.25">
      <c r="A812" s="8" t="s">
        <v>125</v>
      </c>
      <c r="B812" s="8" t="s">
        <v>152</v>
      </c>
      <c r="C812" s="8" t="str">
        <f>IFERROR(_xlfn.XLOOKUP(TRIM(B812),Lookup!$B$2:$B$1000,Lookup!$C$2:$C$1000),"")</f>
        <v>Equity</v>
      </c>
      <c r="D812" s="8" t="str">
        <f>IFERROR(INDEX('nav master'!$C:$C, MATCH(B812, 'nav master'!$B:$B, 0)), "")</f>
        <v>ULIF07528/05/24AlphaIdxFd101</v>
      </c>
      <c r="E812" s="8" t="s">
        <v>327</v>
      </c>
      <c r="F812" s="8" t="s">
        <v>1204</v>
      </c>
    </row>
    <row r="813" spans="1:6" ht="60" x14ac:dyDescent="0.25">
      <c r="A813" s="8" t="s">
        <v>125</v>
      </c>
      <c r="B813" s="8" t="s">
        <v>152</v>
      </c>
      <c r="C813" s="8" t="str">
        <f>IFERROR(_xlfn.XLOOKUP(TRIM(B813),Lookup!$B$2:$B$1000,Lookup!$C$2:$C$1000),"")</f>
        <v>Equity</v>
      </c>
      <c r="D813" s="8" t="str">
        <f>IFERROR(INDEX('nav master'!$C:$C, MATCH(B813, 'nav master'!$B:$B, 0)), "")</f>
        <v>ULIF07528/05/24AlphaIdxFd101</v>
      </c>
      <c r="E813" s="8" t="s">
        <v>329</v>
      </c>
      <c r="F813" s="8" t="s">
        <v>1205</v>
      </c>
    </row>
    <row r="814" spans="1:6" ht="60" x14ac:dyDescent="0.25">
      <c r="A814" s="8" t="s">
        <v>125</v>
      </c>
      <c r="B814" s="8" t="s">
        <v>152</v>
      </c>
      <c r="C814" s="8" t="str">
        <f>IFERROR(_xlfn.XLOOKUP(TRIM(B814),Lookup!$B$2:$B$1000,Lookup!$C$2:$C$1000),"")</f>
        <v>Equity</v>
      </c>
      <c r="D814" s="8" t="str">
        <f>IFERROR(INDEX('nav master'!$C:$C, MATCH(B814, 'nav master'!$B:$B, 0)), "")</f>
        <v>ULIF07528/05/24AlphaIdxFd101</v>
      </c>
      <c r="E814" s="8" t="s">
        <v>331</v>
      </c>
      <c r="F814" s="8" t="s">
        <v>1206</v>
      </c>
    </row>
    <row r="815" spans="1:6" ht="60" x14ac:dyDescent="0.25">
      <c r="A815" s="8" t="s">
        <v>125</v>
      </c>
      <c r="B815" s="8" t="s">
        <v>152</v>
      </c>
      <c r="C815" s="8" t="str">
        <f>IFERROR(_xlfn.XLOOKUP(TRIM(B815),Lookup!$B$2:$B$1000,Lookup!$C$2:$C$1000),"")</f>
        <v>Equity</v>
      </c>
      <c r="D815" s="8" t="str">
        <f>IFERROR(INDEX('nav master'!$C:$C, MATCH(B815, 'nav master'!$B:$B, 0)), "")</f>
        <v>ULIF07528/05/24AlphaIdxFd101</v>
      </c>
      <c r="E815" s="8" t="s">
        <v>333</v>
      </c>
      <c r="F815" s="8" t="s">
        <v>1207</v>
      </c>
    </row>
    <row r="816" spans="1:6" ht="60" x14ac:dyDescent="0.25">
      <c r="A816" s="8" t="s">
        <v>125</v>
      </c>
      <c r="B816" s="8" t="s">
        <v>152</v>
      </c>
      <c r="C816" s="8" t="str">
        <f>IFERROR(_xlfn.XLOOKUP(TRIM(B816),Lookup!$B$2:$B$1000,Lookup!$C$2:$C$1000),"")</f>
        <v>Equity</v>
      </c>
      <c r="D816" s="8" t="str">
        <f>IFERROR(INDEX('nav master'!$C:$C, MATCH(B816, 'nav master'!$B:$B, 0)), "")</f>
        <v>ULIF07528/05/24AlphaIdxFd101</v>
      </c>
      <c r="E816" s="8" t="s">
        <v>335</v>
      </c>
      <c r="F816" s="8" t="s">
        <v>1208</v>
      </c>
    </row>
    <row r="817" spans="1:6" ht="60" x14ac:dyDescent="0.25">
      <c r="A817" s="8" t="s">
        <v>125</v>
      </c>
      <c r="B817" s="8" t="s">
        <v>152</v>
      </c>
      <c r="C817" s="8" t="str">
        <f>IFERROR(_xlfn.XLOOKUP(TRIM(B817),Lookup!$B$2:$B$1000,Lookup!$C$2:$C$1000),"")</f>
        <v>Equity</v>
      </c>
      <c r="D817" s="8" t="str">
        <f>IFERROR(INDEX('nav master'!$C:$C, MATCH(B817, 'nav master'!$B:$B, 0)), "")</f>
        <v>ULIF07528/05/24AlphaIdxFd101</v>
      </c>
      <c r="E817" s="8" t="s">
        <v>337</v>
      </c>
      <c r="F817" s="8" t="s">
        <v>1209</v>
      </c>
    </row>
    <row r="818" spans="1:6" ht="60" x14ac:dyDescent="0.25">
      <c r="A818" s="8" t="s">
        <v>125</v>
      </c>
      <c r="B818" s="8" t="s">
        <v>152</v>
      </c>
      <c r="C818" s="8" t="str">
        <f>IFERROR(_xlfn.XLOOKUP(TRIM(B818),Lookup!$B$2:$B$1000,Lookup!$C$2:$C$1000),"")</f>
        <v>Equity</v>
      </c>
      <c r="D818" s="8" t="str">
        <f>IFERROR(INDEX('nav master'!$C:$C, MATCH(B818, 'nav master'!$B:$B, 0)), "")</f>
        <v>ULIF07528/05/24AlphaIdxFd101</v>
      </c>
      <c r="E818" s="8" t="s">
        <v>339</v>
      </c>
      <c r="F818" s="8" t="s">
        <v>1210</v>
      </c>
    </row>
    <row r="819" spans="1:6" ht="60" x14ac:dyDescent="0.25">
      <c r="A819" s="8" t="s">
        <v>125</v>
      </c>
      <c r="B819" s="8" t="s">
        <v>152</v>
      </c>
      <c r="C819" s="8" t="str">
        <f>IFERROR(_xlfn.XLOOKUP(TRIM(B819),Lookup!$B$2:$B$1000,Lookup!$C$2:$C$1000),"")</f>
        <v>Equity</v>
      </c>
      <c r="D819" s="8" t="str">
        <f>IFERROR(INDEX('nav master'!$C:$C, MATCH(B819, 'nav master'!$B:$B, 0)), "")</f>
        <v>ULIF07528/05/24AlphaIdxFd101</v>
      </c>
      <c r="E819" s="8" t="s">
        <v>341</v>
      </c>
      <c r="F819" s="8" t="s">
        <v>1211</v>
      </c>
    </row>
    <row r="820" spans="1:6" ht="60" x14ac:dyDescent="0.25">
      <c r="A820" s="8" t="s">
        <v>125</v>
      </c>
      <c r="B820" s="8" t="s">
        <v>152</v>
      </c>
      <c r="C820" s="8" t="str">
        <f>IFERROR(_xlfn.XLOOKUP(TRIM(B820),Lookup!$B$2:$B$1000,Lookup!$C$2:$C$1000),"")</f>
        <v>Equity</v>
      </c>
      <c r="D820" s="8" t="str">
        <f>IFERROR(INDEX('nav master'!$C:$C, MATCH(B820, 'nav master'!$B:$B, 0)), "")</f>
        <v>ULIF07528/05/24AlphaIdxFd101</v>
      </c>
      <c r="E820" s="8" t="s">
        <v>343</v>
      </c>
      <c r="F820" s="8" t="s">
        <v>1212</v>
      </c>
    </row>
    <row r="821" spans="1:6" ht="60" x14ac:dyDescent="0.25">
      <c r="A821" s="8" t="s">
        <v>125</v>
      </c>
      <c r="B821" s="8" t="s">
        <v>152</v>
      </c>
      <c r="C821" s="8" t="str">
        <f>IFERROR(_xlfn.XLOOKUP(TRIM(B821),Lookup!$B$2:$B$1000,Lookup!$C$2:$C$1000),"")</f>
        <v>Equity</v>
      </c>
      <c r="D821" s="8" t="str">
        <f>IFERROR(INDEX('nav master'!$C:$C, MATCH(B821, 'nav master'!$B:$B, 0)), "")</f>
        <v>ULIF07528/05/24AlphaIdxFd101</v>
      </c>
      <c r="E821" s="8" t="s">
        <v>345</v>
      </c>
      <c r="F821" s="8" t="s">
        <v>1213</v>
      </c>
    </row>
    <row r="822" spans="1:6" ht="60" x14ac:dyDescent="0.25">
      <c r="A822" s="8" t="s">
        <v>125</v>
      </c>
      <c r="B822" s="8" t="s">
        <v>152</v>
      </c>
      <c r="C822" s="8" t="str">
        <f>IFERROR(_xlfn.XLOOKUP(TRIM(B822),Lookup!$B$2:$B$1000,Lookup!$C$2:$C$1000),"")</f>
        <v>Equity</v>
      </c>
      <c r="D822" s="8" t="str">
        <f>IFERROR(INDEX('nav master'!$C:$C, MATCH(B822, 'nav master'!$B:$B, 0)), "")</f>
        <v>ULIF07528/05/24AlphaIdxFd101</v>
      </c>
      <c r="E822" s="8" t="s">
        <v>347</v>
      </c>
      <c r="F822" s="8" t="s">
        <v>1214</v>
      </c>
    </row>
    <row r="823" spans="1:6" ht="60" x14ac:dyDescent="0.25">
      <c r="A823" s="8" t="s">
        <v>125</v>
      </c>
      <c r="B823" s="8" t="s">
        <v>152</v>
      </c>
      <c r="C823" s="8" t="str">
        <f>IFERROR(_xlfn.XLOOKUP(TRIM(B823),Lookup!$B$2:$B$1000,Lookup!$C$2:$C$1000),"")</f>
        <v>Equity</v>
      </c>
      <c r="D823" s="8" t="str">
        <f>IFERROR(INDEX('nav master'!$C:$C, MATCH(B823, 'nav master'!$B:$B, 0)), "")</f>
        <v>ULIF07528/05/24AlphaIdxFd101</v>
      </c>
      <c r="E823" s="8" t="s">
        <v>349</v>
      </c>
      <c r="F823" s="8" t="s">
        <v>1215</v>
      </c>
    </row>
    <row r="824" spans="1:6" ht="60" x14ac:dyDescent="0.25">
      <c r="A824" s="8" t="s">
        <v>125</v>
      </c>
      <c r="B824" s="8" t="s">
        <v>152</v>
      </c>
      <c r="C824" s="8" t="str">
        <f>IFERROR(_xlfn.XLOOKUP(TRIM(B824),Lookup!$B$2:$B$1000,Lookup!$C$2:$C$1000),"")</f>
        <v>Equity</v>
      </c>
      <c r="D824" s="8" t="str">
        <f>IFERROR(INDEX('nav master'!$C:$C, MATCH(B824, 'nav master'!$B:$B, 0)), "")</f>
        <v>ULIF07528/05/24AlphaIdxFd101</v>
      </c>
      <c r="E824" s="8" t="s">
        <v>351</v>
      </c>
      <c r="F824" s="8" t="s">
        <v>1216</v>
      </c>
    </row>
    <row r="825" spans="1:6" ht="60" x14ac:dyDescent="0.25">
      <c r="A825" s="8" t="s">
        <v>125</v>
      </c>
      <c r="B825" s="8" t="s">
        <v>152</v>
      </c>
      <c r="C825" s="8" t="str">
        <f>IFERROR(_xlfn.XLOOKUP(TRIM(B825),Lookup!$B$2:$B$1000,Lookup!$C$2:$C$1000),"")</f>
        <v>Equity</v>
      </c>
      <c r="D825" s="8" t="str">
        <f>IFERROR(INDEX('nav master'!$C:$C, MATCH(B825, 'nav master'!$B:$B, 0)), "")</f>
        <v>ULIF07528/05/24AlphaIdxFd101</v>
      </c>
      <c r="E825" s="8" t="s">
        <v>353</v>
      </c>
      <c r="F825" s="8" t="s">
        <v>1217</v>
      </c>
    </row>
    <row r="826" spans="1:6" ht="60" x14ac:dyDescent="0.25">
      <c r="A826" s="8" t="s">
        <v>125</v>
      </c>
      <c r="B826" s="8" t="s">
        <v>152</v>
      </c>
      <c r="C826" s="8" t="str">
        <f>IFERROR(_xlfn.XLOOKUP(TRIM(B826),Lookup!$B$2:$B$1000,Lookup!$C$2:$C$1000),"")</f>
        <v>Equity</v>
      </c>
      <c r="D826" s="8" t="str">
        <f>IFERROR(INDEX('nav master'!$C:$C, MATCH(B826, 'nav master'!$B:$B, 0)), "")</f>
        <v>ULIF07528/05/24AlphaIdxFd101</v>
      </c>
      <c r="E826" s="8" t="s">
        <v>355</v>
      </c>
      <c r="F826" s="8" t="s">
        <v>1218</v>
      </c>
    </row>
    <row r="827" spans="1:6" ht="60" x14ac:dyDescent="0.25">
      <c r="A827" s="8" t="s">
        <v>125</v>
      </c>
      <c r="B827" s="8" t="s">
        <v>152</v>
      </c>
      <c r="C827" s="8" t="str">
        <f>IFERROR(_xlfn.XLOOKUP(TRIM(B827),Lookup!$B$2:$B$1000,Lookup!$C$2:$C$1000),"")</f>
        <v>Equity</v>
      </c>
      <c r="D827" s="8" t="str">
        <f>IFERROR(INDEX('nav master'!$C:$C, MATCH(B827, 'nav master'!$B:$B, 0)), "")</f>
        <v>ULIF07528/05/24AlphaIdxFd101</v>
      </c>
      <c r="E827" s="8" t="s">
        <v>357</v>
      </c>
      <c r="F827" s="8" t="s">
        <v>1219</v>
      </c>
    </row>
    <row r="828" spans="1:6" ht="60" x14ac:dyDescent="0.25">
      <c r="A828" s="8" t="s">
        <v>125</v>
      </c>
      <c r="B828" s="8" t="s">
        <v>152</v>
      </c>
      <c r="C828" s="8" t="str">
        <f>IFERROR(_xlfn.XLOOKUP(TRIM(B828),Lookup!$B$2:$B$1000,Lookup!$C$2:$C$1000),"")</f>
        <v>Equity</v>
      </c>
      <c r="D828" s="8" t="str">
        <f>IFERROR(INDEX('nav master'!$C:$C, MATCH(B828, 'nav master'!$B:$B, 0)), "")</f>
        <v>ULIF07528/05/24AlphaIdxFd101</v>
      </c>
      <c r="E828" s="8" t="s">
        <v>359</v>
      </c>
      <c r="F828" s="8" t="s">
        <v>1220</v>
      </c>
    </row>
    <row r="829" spans="1:6" ht="60" x14ac:dyDescent="0.25">
      <c r="A829" s="8" t="s">
        <v>125</v>
      </c>
      <c r="B829" s="8" t="s">
        <v>152</v>
      </c>
      <c r="C829" s="8" t="str">
        <f>IFERROR(_xlfn.XLOOKUP(TRIM(B829),Lookup!$B$2:$B$1000,Lookup!$C$2:$C$1000),"")</f>
        <v>Equity</v>
      </c>
      <c r="D829" s="8" t="str">
        <f>IFERROR(INDEX('nav master'!$C:$C, MATCH(B829, 'nav master'!$B:$B, 0)), "")</f>
        <v>ULIF07528/05/24AlphaIdxFd101</v>
      </c>
      <c r="E829" s="8" t="s">
        <v>361</v>
      </c>
      <c r="F829" s="8" t="s">
        <v>1221</v>
      </c>
    </row>
    <row r="830" spans="1:6" ht="60" x14ac:dyDescent="0.25">
      <c r="A830" s="8" t="s">
        <v>125</v>
      </c>
      <c r="B830" s="8" t="s">
        <v>152</v>
      </c>
      <c r="C830" s="8" t="str">
        <f>IFERROR(_xlfn.XLOOKUP(TRIM(B830),Lookup!$B$2:$B$1000,Lookup!$C$2:$C$1000),"")</f>
        <v>Equity</v>
      </c>
      <c r="D830" s="8" t="str">
        <f>IFERROR(INDEX('nav master'!$C:$C, MATCH(B830, 'nav master'!$B:$B, 0)), "")</f>
        <v>ULIF07528/05/24AlphaIdxFd101</v>
      </c>
      <c r="E830" s="8" t="s">
        <v>363</v>
      </c>
      <c r="F830" s="8" t="s">
        <v>1222</v>
      </c>
    </row>
    <row r="831" spans="1:6" ht="60" x14ac:dyDescent="0.25">
      <c r="A831" s="8" t="s">
        <v>125</v>
      </c>
      <c r="B831" s="8" t="s">
        <v>152</v>
      </c>
      <c r="C831" s="8" t="str">
        <f>IFERROR(_xlfn.XLOOKUP(TRIM(B831),Lookup!$B$2:$B$1000,Lookup!$C$2:$C$1000),"")</f>
        <v>Equity</v>
      </c>
      <c r="D831" s="8" t="str">
        <f>IFERROR(INDEX('nav master'!$C:$C, MATCH(B831, 'nav master'!$B:$B, 0)), "")</f>
        <v>ULIF07528/05/24AlphaIdxFd101</v>
      </c>
      <c r="E831" s="8" t="s">
        <v>365</v>
      </c>
      <c r="F831" s="8" t="s">
        <v>1223</v>
      </c>
    </row>
    <row r="832" spans="1:6" ht="60" x14ac:dyDescent="0.25">
      <c r="A832" s="8" t="s">
        <v>125</v>
      </c>
      <c r="B832" s="8" t="s">
        <v>152</v>
      </c>
      <c r="C832" s="8" t="str">
        <f>IFERROR(_xlfn.XLOOKUP(TRIM(B832),Lookup!$B$2:$B$1000,Lookup!$C$2:$C$1000),"")</f>
        <v>Equity</v>
      </c>
      <c r="D832" s="8" t="str">
        <f>IFERROR(INDEX('nav master'!$C:$C, MATCH(B832, 'nav master'!$B:$B, 0)), "")</f>
        <v>ULIF07528/05/24AlphaIdxFd101</v>
      </c>
      <c r="E832" s="8" t="s">
        <v>367</v>
      </c>
      <c r="F832" s="8" t="s">
        <v>1224</v>
      </c>
    </row>
    <row r="833" spans="1:6" ht="60" x14ac:dyDescent="0.25">
      <c r="A833" s="8" t="s">
        <v>125</v>
      </c>
      <c r="B833" s="8" t="s">
        <v>152</v>
      </c>
      <c r="C833" s="8" t="str">
        <f>IFERROR(_xlfn.XLOOKUP(TRIM(B833),Lookup!$B$2:$B$1000,Lookup!$C$2:$C$1000),"")</f>
        <v>Equity</v>
      </c>
      <c r="D833" s="8" t="str">
        <f>IFERROR(INDEX('nav master'!$C:$C, MATCH(B833, 'nav master'!$B:$B, 0)), "")</f>
        <v>ULIF07528/05/24AlphaIdxFd101</v>
      </c>
      <c r="E833" s="8" t="s">
        <v>369</v>
      </c>
      <c r="F833" s="8" t="s">
        <v>1225</v>
      </c>
    </row>
    <row r="834" spans="1:6" ht="60" x14ac:dyDescent="0.25">
      <c r="A834" s="8" t="s">
        <v>125</v>
      </c>
      <c r="B834" s="8" t="s">
        <v>152</v>
      </c>
      <c r="C834" s="8" t="str">
        <f>IFERROR(_xlfn.XLOOKUP(TRIM(B834),Lookup!$B$2:$B$1000,Lookup!$C$2:$C$1000),"")</f>
        <v>Equity</v>
      </c>
      <c r="D834" s="8" t="str">
        <f>IFERROR(INDEX('nav master'!$C:$C, MATCH(B834, 'nav master'!$B:$B, 0)), "")</f>
        <v>ULIF07528/05/24AlphaIdxFd101</v>
      </c>
      <c r="E834" s="8" t="s">
        <v>371</v>
      </c>
      <c r="F834" s="8" t="s">
        <v>1226</v>
      </c>
    </row>
    <row r="835" spans="1:6" ht="60" x14ac:dyDescent="0.25">
      <c r="A835" s="8" t="s">
        <v>125</v>
      </c>
      <c r="B835" s="8" t="s">
        <v>152</v>
      </c>
      <c r="C835" s="8" t="str">
        <f>IFERROR(_xlfn.XLOOKUP(TRIM(B835),Lookup!$B$2:$B$1000,Lookup!$C$2:$C$1000),"")</f>
        <v>Equity</v>
      </c>
      <c r="D835" s="8" t="str">
        <f>IFERROR(INDEX('nav master'!$C:$C, MATCH(B835, 'nav master'!$B:$B, 0)), "")</f>
        <v>ULIF07528/05/24AlphaIdxFd101</v>
      </c>
      <c r="E835" s="8" t="s">
        <v>373</v>
      </c>
      <c r="F835" s="8" t="s">
        <v>1227</v>
      </c>
    </row>
    <row r="836" spans="1:6" ht="60" x14ac:dyDescent="0.25">
      <c r="A836" s="8" t="s">
        <v>125</v>
      </c>
      <c r="B836" s="8" t="s">
        <v>152</v>
      </c>
      <c r="C836" s="8" t="str">
        <f>IFERROR(_xlfn.XLOOKUP(TRIM(B836),Lookup!$B$2:$B$1000,Lookup!$C$2:$C$1000),"")</f>
        <v>Equity</v>
      </c>
      <c r="D836" s="8" t="str">
        <f>IFERROR(INDEX('nav master'!$C:$C, MATCH(B836, 'nav master'!$B:$B, 0)), "")</f>
        <v>ULIF07528/05/24AlphaIdxFd101</v>
      </c>
      <c r="E836" s="8" t="s">
        <v>375</v>
      </c>
      <c r="F836" s="8" t="s">
        <v>1228</v>
      </c>
    </row>
    <row r="837" spans="1:6" ht="60" x14ac:dyDescent="0.25">
      <c r="A837" s="8" t="s">
        <v>125</v>
      </c>
      <c r="B837" s="8" t="s">
        <v>152</v>
      </c>
      <c r="C837" s="8" t="str">
        <f>IFERROR(_xlfn.XLOOKUP(TRIM(B837),Lookup!$B$2:$B$1000,Lookup!$C$2:$C$1000),"")</f>
        <v>Equity</v>
      </c>
      <c r="D837" s="8" t="str">
        <f>IFERROR(INDEX('nav master'!$C:$C, MATCH(B837, 'nav master'!$B:$B, 0)), "")</f>
        <v>ULIF07528/05/24AlphaIdxFd101</v>
      </c>
      <c r="E837" s="8" t="s">
        <v>377</v>
      </c>
      <c r="F837" s="8" t="s">
        <v>1229</v>
      </c>
    </row>
    <row r="838" spans="1:6" ht="60" x14ac:dyDescent="0.25">
      <c r="A838" s="8" t="s">
        <v>125</v>
      </c>
      <c r="B838" s="8" t="s">
        <v>152</v>
      </c>
      <c r="C838" s="8" t="str">
        <f>IFERROR(_xlfn.XLOOKUP(TRIM(B838),Lookup!$B$2:$B$1000,Lookup!$C$2:$C$1000),"")</f>
        <v>Equity</v>
      </c>
      <c r="D838" s="8" t="str">
        <f>IFERROR(INDEX('nav master'!$C:$C, MATCH(B838, 'nav master'!$B:$B, 0)), "")</f>
        <v>ULIF07528/05/24AlphaIdxFd101</v>
      </c>
      <c r="E838" s="8" t="s">
        <v>379</v>
      </c>
      <c r="F838" s="8" t="s">
        <v>1230</v>
      </c>
    </row>
    <row r="839" spans="1:6" ht="60" x14ac:dyDescent="0.25">
      <c r="A839" s="8" t="s">
        <v>125</v>
      </c>
      <c r="B839" s="8" t="s">
        <v>152</v>
      </c>
      <c r="C839" s="8" t="str">
        <f>IFERROR(_xlfn.XLOOKUP(TRIM(B839),Lookup!$B$2:$B$1000,Lookup!$C$2:$C$1000),"")</f>
        <v>Equity</v>
      </c>
      <c r="D839" s="8" t="str">
        <f>IFERROR(INDEX('nav master'!$C:$C, MATCH(B839, 'nav master'!$B:$B, 0)), "")</f>
        <v>ULIF07528/05/24AlphaIdxFd101</v>
      </c>
      <c r="E839" s="8" t="s">
        <v>381</v>
      </c>
      <c r="F839" s="8" t="s">
        <v>1231</v>
      </c>
    </row>
    <row r="840" spans="1:6" ht="60" x14ac:dyDescent="0.25">
      <c r="A840" s="8" t="s">
        <v>125</v>
      </c>
      <c r="B840" s="8" t="s">
        <v>152</v>
      </c>
      <c r="C840" s="8" t="str">
        <f>IFERROR(_xlfn.XLOOKUP(TRIM(B840),Lookup!$B$2:$B$1000,Lookup!$C$2:$C$1000),"")</f>
        <v>Equity</v>
      </c>
      <c r="D840" s="8" t="str">
        <f>IFERROR(INDEX('nav master'!$C:$C, MATCH(B840, 'nav master'!$B:$B, 0)), "")</f>
        <v>ULIF07528/05/24AlphaIdxFd101</v>
      </c>
      <c r="E840" s="8" t="s">
        <v>383</v>
      </c>
      <c r="F840" s="8" t="s">
        <v>1232</v>
      </c>
    </row>
    <row r="841" spans="1:6" ht="60" x14ac:dyDescent="0.25">
      <c r="A841" s="8" t="s">
        <v>125</v>
      </c>
      <c r="B841" s="8" t="s">
        <v>152</v>
      </c>
      <c r="C841" s="8" t="str">
        <f>IFERROR(_xlfn.XLOOKUP(TRIM(B841),Lookup!$B$2:$B$1000,Lookup!$C$2:$C$1000),"")</f>
        <v>Equity</v>
      </c>
      <c r="D841" s="8" t="str">
        <f>IFERROR(INDEX('nav master'!$C:$C, MATCH(B841, 'nav master'!$B:$B, 0)), "")</f>
        <v>ULIF07528/05/24AlphaIdxFd101</v>
      </c>
      <c r="E841" s="8" t="s">
        <v>385</v>
      </c>
      <c r="F841" s="8" t="s">
        <v>1233</v>
      </c>
    </row>
    <row r="842" spans="1:6" ht="60" x14ac:dyDescent="0.25">
      <c r="A842" s="8" t="s">
        <v>125</v>
      </c>
      <c r="B842" s="8" t="s">
        <v>152</v>
      </c>
      <c r="C842" s="8" t="str">
        <f>IFERROR(_xlfn.XLOOKUP(TRIM(B842),Lookup!$B$2:$B$1000,Lookup!$C$2:$C$1000),"")</f>
        <v>Equity</v>
      </c>
      <c r="D842" s="8" t="str">
        <f>IFERROR(INDEX('nav master'!$C:$C, MATCH(B842, 'nav master'!$B:$B, 0)), "")</f>
        <v>ULIF07528/05/24AlphaIdxFd101</v>
      </c>
      <c r="E842" s="8" t="s">
        <v>387</v>
      </c>
      <c r="F842" s="8" t="s">
        <v>1234</v>
      </c>
    </row>
    <row r="843" spans="1:6" ht="60" x14ac:dyDescent="0.25">
      <c r="A843" s="8" t="s">
        <v>125</v>
      </c>
      <c r="B843" s="8" t="s">
        <v>152</v>
      </c>
      <c r="C843" s="8" t="str">
        <f>IFERROR(_xlfn.XLOOKUP(TRIM(B843),Lookup!$B$2:$B$1000,Lookup!$C$2:$C$1000),"")</f>
        <v>Equity</v>
      </c>
      <c r="D843" s="8" t="str">
        <f>IFERROR(INDEX('nav master'!$C:$C, MATCH(B843, 'nav master'!$B:$B, 0)), "")</f>
        <v>ULIF07528/05/24AlphaIdxFd101</v>
      </c>
      <c r="E843" s="8" t="s">
        <v>389</v>
      </c>
      <c r="F843" s="8" t="s">
        <v>1235</v>
      </c>
    </row>
    <row r="844" spans="1:6" ht="60" x14ac:dyDescent="0.25">
      <c r="A844" s="8" t="s">
        <v>125</v>
      </c>
      <c r="B844" s="8" t="s">
        <v>152</v>
      </c>
      <c r="C844" s="8" t="str">
        <f>IFERROR(_xlfn.XLOOKUP(TRIM(B844),Lookup!$B$2:$B$1000,Lookup!$C$2:$C$1000),"")</f>
        <v>Equity</v>
      </c>
      <c r="D844" s="8" t="str">
        <f>IFERROR(INDEX('nav master'!$C:$C, MATCH(B844, 'nav master'!$B:$B, 0)), "")</f>
        <v>ULIF07528/05/24AlphaIdxFd101</v>
      </c>
      <c r="E844" s="8" t="s">
        <v>391</v>
      </c>
      <c r="F844" s="8" t="s">
        <v>1236</v>
      </c>
    </row>
    <row r="845" spans="1:6" ht="60" x14ac:dyDescent="0.25">
      <c r="A845" s="8" t="s">
        <v>125</v>
      </c>
      <c r="B845" s="8" t="s">
        <v>152</v>
      </c>
      <c r="C845" s="8" t="str">
        <f>IFERROR(_xlfn.XLOOKUP(TRIM(B845),Lookup!$B$2:$B$1000,Lookup!$C$2:$C$1000),"")</f>
        <v>Equity</v>
      </c>
      <c r="D845" s="8" t="str">
        <f>IFERROR(INDEX('nav master'!$C:$C, MATCH(B845, 'nav master'!$B:$B, 0)), "")</f>
        <v>ULIF07528/05/24AlphaIdxFd101</v>
      </c>
      <c r="E845" s="8" t="s">
        <v>393</v>
      </c>
      <c r="F845" s="8" t="s">
        <v>1237</v>
      </c>
    </row>
    <row r="846" spans="1:6" ht="60" x14ac:dyDescent="0.25">
      <c r="A846" s="8" t="s">
        <v>125</v>
      </c>
      <c r="B846" s="8" t="s">
        <v>152</v>
      </c>
      <c r="C846" s="8" t="str">
        <f>IFERROR(_xlfn.XLOOKUP(TRIM(B846),Lookup!$B$2:$B$1000,Lookup!$C$2:$C$1000),"")</f>
        <v>Equity</v>
      </c>
      <c r="D846" s="8" t="str">
        <f>IFERROR(INDEX('nav master'!$C:$C, MATCH(B846, 'nav master'!$B:$B, 0)), "")</f>
        <v>ULIF07528/05/24AlphaIdxFd101</v>
      </c>
      <c r="E846" s="8" t="s">
        <v>395</v>
      </c>
      <c r="F846" s="8" t="s">
        <v>1238</v>
      </c>
    </row>
    <row r="847" spans="1:6" ht="60" x14ac:dyDescent="0.25">
      <c r="A847" s="8" t="s">
        <v>125</v>
      </c>
      <c r="B847" s="8" t="s">
        <v>152</v>
      </c>
      <c r="C847" s="8" t="str">
        <f>IFERROR(_xlfn.XLOOKUP(TRIM(B847),Lookup!$B$2:$B$1000,Lookup!$C$2:$C$1000),"")</f>
        <v>Equity</v>
      </c>
      <c r="D847" s="8" t="str">
        <f>IFERROR(INDEX('nav master'!$C:$C, MATCH(B847, 'nav master'!$B:$B, 0)), "")</f>
        <v>ULIF07528/05/24AlphaIdxFd101</v>
      </c>
      <c r="E847" s="8" t="s">
        <v>397</v>
      </c>
      <c r="F847" s="8" t="s">
        <v>1239</v>
      </c>
    </row>
    <row r="848" spans="1:6" ht="60" x14ac:dyDescent="0.25">
      <c r="A848" s="8" t="s">
        <v>125</v>
      </c>
      <c r="B848" s="8" t="s">
        <v>152</v>
      </c>
      <c r="C848" s="8" t="str">
        <f>IFERROR(_xlfn.XLOOKUP(TRIM(B848),Lookup!$B$2:$B$1000,Lookup!$C$2:$C$1000),"")</f>
        <v>Equity</v>
      </c>
      <c r="D848" s="8" t="str">
        <f>IFERROR(INDEX('nav master'!$C:$C, MATCH(B848, 'nav master'!$B:$B, 0)), "")</f>
        <v>ULIF07528/05/24AlphaIdxFd101</v>
      </c>
      <c r="E848" s="8" t="s">
        <v>399</v>
      </c>
      <c r="F848" s="8" t="s">
        <v>1240</v>
      </c>
    </row>
    <row r="849" spans="1:6" ht="60" x14ac:dyDescent="0.25">
      <c r="A849" s="8" t="s">
        <v>125</v>
      </c>
      <c r="B849" s="8" t="s">
        <v>152</v>
      </c>
      <c r="C849" s="8" t="str">
        <f>IFERROR(_xlfn.XLOOKUP(TRIM(B849),Lookup!$B$2:$B$1000,Lookup!$C$2:$C$1000),"")</f>
        <v>Equity</v>
      </c>
      <c r="D849" s="8" t="str">
        <f>IFERROR(INDEX('nav master'!$C:$C, MATCH(B849, 'nav master'!$B:$B, 0)), "")</f>
        <v>ULIF07528/05/24AlphaIdxFd101</v>
      </c>
      <c r="E849" s="8" t="s">
        <v>401</v>
      </c>
      <c r="F849" s="8" t="s">
        <v>1241</v>
      </c>
    </row>
    <row r="850" spans="1:6" ht="60" x14ac:dyDescent="0.25">
      <c r="A850" s="8" t="s">
        <v>125</v>
      </c>
      <c r="B850" s="8" t="s">
        <v>152</v>
      </c>
      <c r="C850" s="8" t="str">
        <f>IFERROR(_xlfn.XLOOKUP(TRIM(B850),Lookup!$B$2:$B$1000,Lookup!$C$2:$C$1000),"")</f>
        <v>Equity</v>
      </c>
      <c r="D850" s="8" t="str">
        <f>IFERROR(INDEX('nav master'!$C:$C, MATCH(B850, 'nav master'!$B:$B, 0)), "")</f>
        <v>ULIF07528/05/24AlphaIdxFd101</v>
      </c>
      <c r="E850" s="8" t="s">
        <v>403</v>
      </c>
      <c r="F850" s="8" t="s">
        <v>1242</v>
      </c>
    </row>
    <row r="851" spans="1:6" ht="60" x14ac:dyDescent="0.25">
      <c r="A851" s="8" t="s">
        <v>125</v>
      </c>
      <c r="B851" s="8" t="s">
        <v>152</v>
      </c>
      <c r="C851" s="8" t="str">
        <f>IFERROR(_xlfn.XLOOKUP(TRIM(B851),Lookup!$B$2:$B$1000,Lookup!$C$2:$C$1000),"")</f>
        <v>Equity</v>
      </c>
      <c r="D851" s="8" t="str">
        <f>IFERROR(INDEX('nav master'!$C:$C, MATCH(B851, 'nav master'!$B:$B, 0)), "")</f>
        <v>ULIF07528/05/24AlphaIdxFd101</v>
      </c>
      <c r="E851" s="8" t="s">
        <v>405</v>
      </c>
      <c r="F851" s="8" t="s">
        <v>1243</v>
      </c>
    </row>
    <row r="852" spans="1:6" ht="60" x14ac:dyDescent="0.25">
      <c r="A852" s="8" t="s">
        <v>125</v>
      </c>
      <c r="B852" s="8" t="s">
        <v>152</v>
      </c>
      <c r="C852" s="8" t="str">
        <f>IFERROR(_xlfn.XLOOKUP(TRIM(B852),Lookup!$B$2:$B$1000,Lookup!$C$2:$C$1000),"")</f>
        <v>Equity</v>
      </c>
      <c r="D852" s="8" t="str">
        <f>IFERROR(INDEX('nav master'!$C:$C, MATCH(B852, 'nav master'!$B:$B, 0)), "")</f>
        <v>ULIF07528/05/24AlphaIdxFd101</v>
      </c>
      <c r="E852" s="8" t="s">
        <v>407</v>
      </c>
      <c r="F852" s="8" t="s">
        <v>1244</v>
      </c>
    </row>
    <row r="853" spans="1:6" ht="60" x14ac:dyDescent="0.25">
      <c r="A853" s="8" t="s">
        <v>125</v>
      </c>
      <c r="B853" s="8" t="s">
        <v>152</v>
      </c>
      <c r="C853" s="8" t="str">
        <f>IFERROR(_xlfn.XLOOKUP(TRIM(B853),Lookup!$B$2:$B$1000,Lookup!$C$2:$C$1000),"")</f>
        <v>Equity</v>
      </c>
      <c r="D853" s="8" t="str">
        <f>IFERROR(INDEX('nav master'!$C:$C, MATCH(B853, 'nav master'!$B:$B, 0)), "")</f>
        <v>ULIF07528/05/24AlphaIdxFd101</v>
      </c>
      <c r="E853" s="8" t="s">
        <v>409</v>
      </c>
      <c r="F853" s="8" t="s">
        <v>1245</v>
      </c>
    </row>
    <row r="854" spans="1:6" ht="60" x14ac:dyDescent="0.25">
      <c r="A854" s="8" t="s">
        <v>125</v>
      </c>
      <c r="B854" s="8" t="s">
        <v>152</v>
      </c>
      <c r="C854" s="8" t="str">
        <f>IFERROR(_xlfn.XLOOKUP(TRIM(B854),Lookup!$B$2:$B$1000,Lookup!$C$2:$C$1000),"")</f>
        <v>Equity</v>
      </c>
      <c r="D854" s="8" t="str">
        <f>IFERROR(INDEX('nav master'!$C:$C, MATCH(B854, 'nav master'!$B:$B, 0)), "")</f>
        <v>ULIF07528/05/24AlphaIdxFd101</v>
      </c>
      <c r="E854" s="8" t="s">
        <v>411</v>
      </c>
      <c r="F854" s="8" t="s">
        <v>1246</v>
      </c>
    </row>
    <row r="855" spans="1:6" ht="60" x14ac:dyDescent="0.25">
      <c r="A855" s="8" t="s">
        <v>125</v>
      </c>
      <c r="B855" s="8" t="s">
        <v>152</v>
      </c>
      <c r="C855" s="8" t="str">
        <f>IFERROR(_xlfn.XLOOKUP(TRIM(B855),Lookup!$B$2:$B$1000,Lookup!$C$2:$C$1000),"")</f>
        <v>Equity</v>
      </c>
      <c r="D855" s="8" t="str">
        <f>IFERROR(INDEX('nav master'!$C:$C, MATCH(B855, 'nav master'!$B:$B, 0)), "")</f>
        <v>ULIF07528/05/24AlphaIdxFd101</v>
      </c>
      <c r="E855" s="8" t="s">
        <v>413</v>
      </c>
      <c r="F855" s="8" t="s">
        <v>1247</v>
      </c>
    </row>
    <row r="856" spans="1:6" ht="60" x14ac:dyDescent="0.25">
      <c r="A856" s="8" t="s">
        <v>125</v>
      </c>
      <c r="B856" s="8" t="s">
        <v>152</v>
      </c>
      <c r="C856" s="8" t="str">
        <f>IFERROR(_xlfn.XLOOKUP(TRIM(B856),Lookup!$B$2:$B$1000,Lookup!$C$2:$C$1000),"")</f>
        <v>Equity</v>
      </c>
      <c r="D856" s="8" t="str">
        <f>IFERROR(INDEX('nav master'!$C:$C, MATCH(B856, 'nav master'!$B:$B, 0)), "")</f>
        <v>ULIF07528/05/24AlphaIdxFd101</v>
      </c>
      <c r="E856" s="8" t="s">
        <v>415</v>
      </c>
      <c r="F856" s="8" t="s">
        <v>1248</v>
      </c>
    </row>
    <row r="857" spans="1:6" ht="60" x14ac:dyDescent="0.25">
      <c r="A857" s="8" t="s">
        <v>125</v>
      </c>
      <c r="B857" s="8" t="s">
        <v>152</v>
      </c>
      <c r="C857" s="8" t="str">
        <f>IFERROR(_xlfn.XLOOKUP(TRIM(B857),Lookup!$B$2:$B$1000,Lookup!$C$2:$C$1000),"")</f>
        <v>Equity</v>
      </c>
      <c r="D857" s="8" t="str">
        <f>IFERROR(INDEX('nav master'!$C:$C, MATCH(B857, 'nav master'!$B:$B, 0)), "")</f>
        <v>ULIF07528/05/24AlphaIdxFd101</v>
      </c>
      <c r="E857" s="8" t="s">
        <v>417</v>
      </c>
      <c r="F857" s="8" t="s">
        <v>1249</v>
      </c>
    </row>
    <row r="858" spans="1:6" ht="60" x14ac:dyDescent="0.25">
      <c r="A858" s="8" t="s">
        <v>125</v>
      </c>
      <c r="B858" s="8" t="s">
        <v>152</v>
      </c>
      <c r="C858" s="8" t="str">
        <f>IFERROR(_xlfn.XLOOKUP(TRIM(B858),Lookup!$B$2:$B$1000,Lookup!$C$2:$C$1000),"")</f>
        <v>Equity</v>
      </c>
      <c r="D858" s="8" t="str">
        <f>IFERROR(INDEX('nav master'!$C:$C, MATCH(B858, 'nav master'!$B:$B, 0)), "")</f>
        <v>ULIF07528/05/24AlphaIdxFd101</v>
      </c>
      <c r="E858" s="8" t="s">
        <v>419</v>
      </c>
      <c r="F858" s="8" t="s">
        <v>1250</v>
      </c>
    </row>
    <row r="859" spans="1:6" ht="60" x14ac:dyDescent="0.25">
      <c r="A859" s="8" t="s">
        <v>125</v>
      </c>
      <c r="B859" s="8" t="s">
        <v>152</v>
      </c>
      <c r="C859" s="8" t="str">
        <f>IFERROR(_xlfn.XLOOKUP(TRIM(B859),Lookup!$B$2:$B$1000,Lookup!$C$2:$C$1000),"")</f>
        <v>Equity</v>
      </c>
      <c r="D859" s="8" t="str">
        <f>IFERROR(INDEX('nav master'!$C:$C, MATCH(B859, 'nav master'!$B:$B, 0)), "")</f>
        <v>ULIF07528/05/24AlphaIdxFd101</v>
      </c>
      <c r="E859" s="8" t="s">
        <v>421</v>
      </c>
      <c r="F859" s="8" t="s">
        <v>1251</v>
      </c>
    </row>
    <row r="860" spans="1:6" ht="60" x14ac:dyDescent="0.25">
      <c r="A860" s="8" t="s">
        <v>125</v>
      </c>
      <c r="B860" s="8" t="s">
        <v>152</v>
      </c>
      <c r="C860" s="8" t="str">
        <f>IFERROR(_xlfn.XLOOKUP(TRIM(B860),Lookup!$B$2:$B$1000,Lookup!$C$2:$C$1000),"")</f>
        <v>Equity</v>
      </c>
      <c r="D860" s="8" t="str">
        <f>IFERROR(INDEX('nav master'!$C:$C, MATCH(B860, 'nav master'!$B:$B, 0)), "")</f>
        <v>ULIF07528/05/24AlphaIdxFd101</v>
      </c>
      <c r="E860" s="8" t="s">
        <v>423</v>
      </c>
      <c r="F860" s="8" t="s">
        <v>1252</v>
      </c>
    </row>
    <row r="861" spans="1:6" ht="60" x14ac:dyDescent="0.25">
      <c r="A861" s="8" t="s">
        <v>125</v>
      </c>
      <c r="B861" s="8" t="s">
        <v>152</v>
      </c>
      <c r="C861" s="8" t="str">
        <f>IFERROR(_xlfn.XLOOKUP(TRIM(B861),Lookup!$B$2:$B$1000,Lookup!$C$2:$C$1000),"")</f>
        <v>Equity</v>
      </c>
      <c r="D861" s="8" t="str">
        <f>IFERROR(INDEX('nav master'!$C:$C, MATCH(B861, 'nav master'!$B:$B, 0)), "")</f>
        <v>ULIF07528/05/24AlphaIdxFd101</v>
      </c>
      <c r="E861" s="8" t="s">
        <v>425</v>
      </c>
      <c r="F861" s="8" t="s">
        <v>1253</v>
      </c>
    </row>
    <row r="862" spans="1:6" ht="60" x14ac:dyDescent="0.25">
      <c r="A862" s="8" t="s">
        <v>125</v>
      </c>
      <c r="B862" s="8" t="s">
        <v>152</v>
      </c>
      <c r="C862" s="8" t="str">
        <f>IFERROR(_xlfn.XLOOKUP(TRIM(B862),Lookup!$B$2:$B$1000,Lookup!$C$2:$C$1000),"")</f>
        <v>Equity</v>
      </c>
      <c r="D862" s="8" t="str">
        <f>IFERROR(INDEX('nav master'!$C:$C, MATCH(B862, 'nav master'!$B:$B, 0)), "")</f>
        <v>ULIF07528/05/24AlphaIdxFd101</v>
      </c>
      <c r="E862" s="8" t="s">
        <v>427</v>
      </c>
      <c r="F862" s="8" t="s">
        <v>1254</v>
      </c>
    </row>
    <row r="863" spans="1:6" ht="60" x14ac:dyDescent="0.25">
      <c r="A863" s="8" t="s">
        <v>125</v>
      </c>
      <c r="B863" s="8" t="s">
        <v>152</v>
      </c>
      <c r="C863" s="8" t="str">
        <f>IFERROR(_xlfn.XLOOKUP(TRIM(B863),Lookup!$B$2:$B$1000,Lookup!$C$2:$C$1000),"")</f>
        <v>Equity</v>
      </c>
      <c r="D863" s="8" t="str">
        <f>IFERROR(INDEX('nav master'!$C:$C, MATCH(B863, 'nav master'!$B:$B, 0)), "")</f>
        <v>ULIF07528/05/24AlphaIdxFd101</v>
      </c>
      <c r="E863" s="8" t="s">
        <v>429</v>
      </c>
      <c r="F863" s="8" t="s">
        <v>1255</v>
      </c>
    </row>
    <row r="864" spans="1:6" ht="60" x14ac:dyDescent="0.25">
      <c r="A864" s="8" t="s">
        <v>125</v>
      </c>
      <c r="B864" s="8" t="s">
        <v>152</v>
      </c>
      <c r="C864" s="8" t="str">
        <f>IFERROR(_xlfn.XLOOKUP(TRIM(B864),Lookup!$B$2:$B$1000,Lookup!$C$2:$C$1000),"")</f>
        <v>Equity</v>
      </c>
      <c r="D864" s="8" t="str">
        <f>IFERROR(INDEX('nav master'!$C:$C, MATCH(B864, 'nav master'!$B:$B, 0)), "")</f>
        <v>ULIF07528/05/24AlphaIdxFd101</v>
      </c>
      <c r="E864" s="8" t="s">
        <v>431</v>
      </c>
      <c r="F864" s="8" t="s">
        <v>1256</v>
      </c>
    </row>
    <row r="865" spans="1:6" ht="60" x14ac:dyDescent="0.25">
      <c r="A865" s="8" t="s">
        <v>125</v>
      </c>
      <c r="B865" s="8" t="s">
        <v>152</v>
      </c>
      <c r="C865" s="8" t="str">
        <f>IFERROR(_xlfn.XLOOKUP(TRIM(B865),Lookup!$B$2:$B$1000,Lookup!$C$2:$C$1000),"")</f>
        <v>Equity</v>
      </c>
      <c r="D865" s="8" t="str">
        <f>IFERROR(INDEX('nav master'!$C:$C, MATCH(B865, 'nav master'!$B:$B, 0)), "")</f>
        <v>ULIF07528/05/24AlphaIdxFd101</v>
      </c>
      <c r="E865" s="8" t="s">
        <v>433</v>
      </c>
      <c r="F865" s="8" t="s">
        <v>1257</v>
      </c>
    </row>
    <row r="866" spans="1:6" ht="60" x14ac:dyDescent="0.25">
      <c r="A866" s="8" t="s">
        <v>125</v>
      </c>
      <c r="B866" s="8" t="s">
        <v>152</v>
      </c>
      <c r="C866" s="8" t="str">
        <f>IFERROR(_xlfn.XLOOKUP(TRIM(B866),Lookup!$B$2:$B$1000,Lookup!$C$2:$C$1000),"")</f>
        <v>Equity</v>
      </c>
      <c r="D866" s="8" t="str">
        <f>IFERROR(INDEX('nav master'!$C:$C, MATCH(B866, 'nav master'!$B:$B, 0)), "")</f>
        <v>ULIF07528/05/24AlphaIdxFd101</v>
      </c>
      <c r="E866" s="8" t="s">
        <v>435</v>
      </c>
      <c r="F866" s="8" t="s">
        <v>1258</v>
      </c>
    </row>
    <row r="867" spans="1:6" ht="60" x14ac:dyDescent="0.25">
      <c r="A867" s="8" t="s">
        <v>125</v>
      </c>
      <c r="B867" s="8" t="s">
        <v>152</v>
      </c>
      <c r="C867" s="8" t="str">
        <f>IFERROR(_xlfn.XLOOKUP(TRIM(B867),Lookup!$B$2:$B$1000,Lookup!$C$2:$C$1000),"")</f>
        <v>Equity</v>
      </c>
      <c r="D867" s="8" t="str">
        <f>IFERROR(INDEX('nav master'!$C:$C, MATCH(B867, 'nav master'!$B:$B, 0)), "")</f>
        <v>ULIF07528/05/24AlphaIdxFd101</v>
      </c>
      <c r="E867" s="8" t="s">
        <v>437</v>
      </c>
      <c r="F867" s="8" t="s">
        <v>1259</v>
      </c>
    </row>
    <row r="868" spans="1:6" ht="60" x14ac:dyDescent="0.25">
      <c r="A868" s="8" t="s">
        <v>125</v>
      </c>
      <c r="B868" s="8" t="s">
        <v>152</v>
      </c>
      <c r="C868" s="8" t="str">
        <f>IFERROR(_xlfn.XLOOKUP(TRIM(B868),Lookup!$B$2:$B$1000,Lookup!$C$2:$C$1000),"")</f>
        <v>Equity</v>
      </c>
      <c r="D868" s="8" t="str">
        <f>IFERROR(INDEX('nav master'!$C:$C, MATCH(B868, 'nav master'!$B:$B, 0)), "")</f>
        <v>ULIF07528/05/24AlphaIdxFd101</v>
      </c>
      <c r="E868" s="8" t="s">
        <v>439</v>
      </c>
      <c r="F868" s="8" t="s">
        <v>1260</v>
      </c>
    </row>
    <row r="869" spans="1:6" ht="60" x14ac:dyDescent="0.25">
      <c r="A869" s="8" t="s">
        <v>125</v>
      </c>
      <c r="B869" s="8" t="s">
        <v>152</v>
      </c>
      <c r="C869" s="8" t="str">
        <f>IFERROR(_xlfn.XLOOKUP(TRIM(B869),Lookup!$B$2:$B$1000,Lookup!$C$2:$C$1000),"")</f>
        <v>Equity</v>
      </c>
      <c r="D869" s="8" t="str">
        <f>IFERROR(INDEX('nav master'!$C:$C, MATCH(B869, 'nav master'!$B:$B, 0)), "")</f>
        <v>ULIF07528/05/24AlphaIdxFd101</v>
      </c>
      <c r="E869" s="8" t="s">
        <v>441</v>
      </c>
      <c r="F869" s="8" t="s">
        <v>1261</v>
      </c>
    </row>
    <row r="870" spans="1:6" ht="60" x14ac:dyDescent="0.25">
      <c r="A870" s="8" t="s">
        <v>125</v>
      </c>
      <c r="B870" s="8" t="s">
        <v>152</v>
      </c>
      <c r="C870" s="8" t="str">
        <f>IFERROR(_xlfn.XLOOKUP(TRIM(B870),Lookup!$B$2:$B$1000,Lookup!$C$2:$C$1000),"")</f>
        <v>Equity</v>
      </c>
      <c r="D870" s="8" t="str">
        <f>IFERROR(INDEX('nav master'!$C:$C, MATCH(B870, 'nav master'!$B:$B, 0)), "")</f>
        <v>ULIF07528/05/24AlphaIdxFd101</v>
      </c>
      <c r="E870" s="8" t="s">
        <v>443</v>
      </c>
      <c r="F870" s="8" t="s">
        <v>1262</v>
      </c>
    </row>
    <row r="871" spans="1:6" ht="60" x14ac:dyDescent="0.25">
      <c r="A871" s="8" t="s">
        <v>125</v>
      </c>
      <c r="B871" s="8" t="s">
        <v>152</v>
      </c>
      <c r="C871" s="8" t="str">
        <f>IFERROR(_xlfn.XLOOKUP(TRIM(B871),Lookup!$B$2:$B$1000,Lookup!$C$2:$C$1000),"")</f>
        <v>Equity</v>
      </c>
      <c r="D871" s="8" t="str">
        <f>IFERROR(INDEX('nav master'!$C:$C, MATCH(B871, 'nav master'!$B:$B, 0)), "")</f>
        <v>ULIF07528/05/24AlphaIdxFd101</v>
      </c>
      <c r="E871" s="8" t="s">
        <v>445</v>
      </c>
      <c r="F871" s="8" t="s">
        <v>1263</v>
      </c>
    </row>
    <row r="872" spans="1:6" ht="60" x14ac:dyDescent="0.25">
      <c r="A872" s="8" t="s">
        <v>125</v>
      </c>
      <c r="B872" s="8" t="s">
        <v>152</v>
      </c>
      <c r="C872" s="8" t="str">
        <f>IFERROR(_xlfn.XLOOKUP(TRIM(B872),Lookup!$B$2:$B$1000,Lookup!$C$2:$C$1000),"")</f>
        <v>Equity</v>
      </c>
      <c r="D872" s="8" t="str">
        <f>IFERROR(INDEX('nav master'!$C:$C, MATCH(B872, 'nav master'!$B:$B, 0)), "")</f>
        <v>ULIF07528/05/24AlphaIdxFd101</v>
      </c>
      <c r="E872" s="8" t="s">
        <v>446</v>
      </c>
      <c r="F872" s="8" t="s">
        <v>1264</v>
      </c>
    </row>
    <row r="873" spans="1:6" ht="60" x14ac:dyDescent="0.25">
      <c r="A873" s="8" t="s">
        <v>125</v>
      </c>
      <c r="B873" s="8" t="s">
        <v>152</v>
      </c>
      <c r="C873" s="8" t="str">
        <f>IFERROR(_xlfn.XLOOKUP(TRIM(B873),Lookup!$B$2:$B$1000,Lookup!$C$2:$C$1000),"")</f>
        <v>Equity</v>
      </c>
      <c r="D873" s="8" t="str">
        <f>IFERROR(INDEX('nav master'!$C:$C, MATCH(B873, 'nav master'!$B:$B, 0)), "")</f>
        <v>ULIF07528/05/24AlphaIdxFd101</v>
      </c>
      <c r="E873" s="8" t="s">
        <v>448</v>
      </c>
      <c r="F873" s="8" t="s">
        <v>1265</v>
      </c>
    </row>
    <row r="874" spans="1:6" ht="60" x14ac:dyDescent="0.25">
      <c r="A874" s="8" t="s">
        <v>125</v>
      </c>
      <c r="B874" s="8" t="s">
        <v>152</v>
      </c>
      <c r="C874" s="8" t="str">
        <f>IFERROR(_xlfn.XLOOKUP(TRIM(B874),Lookup!$B$2:$B$1000,Lookup!$C$2:$C$1000),"")</f>
        <v>Equity</v>
      </c>
      <c r="D874" s="8" t="str">
        <f>IFERROR(INDEX('nav master'!$C:$C, MATCH(B874, 'nav master'!$B:$B, 0)), "")</f>
        <v>ULIF07528/05/24AlphaIdxFd101</v>
      </c>
      <c r="E874" s="8" t="s">
        <v>450</v>
      </c>
      <c r="F874" s="8" t="s">
        <v>1266</v>
      </c>
    </row>
    <row r="875" spans="1:6" ht="60" x14ac:dyDescent="0.25">
      <c r="A875" s="8" t="s">
        <v>125</v>
      </c>
      <c r="B875" s="8" t="s">
        <v>152</v>
      </c>
      <c r="C875" s="8" t="str">
        <f>IFERROR(_xlfn.XLOOKUP(TRIM(B875),Lookup!$B$2:$B$1000,Lookup!$C$2:$C$1000),"")</f>
        <v>Equity</v>
      </c>
      <c r="D875" s="8" t="str">
        <f>IFERROR(INDEX('nav master'!$C:$C, MATCH(B875, 'nav master'!$B:$B, 0)), "")</f>
        <v>ULIF07528/05/24AlphaIdxFd101</v>
      </c>
      <c r="E875" s="8" t="s">
        <v>452</v>
      </c>
      <c r="F875" s="8" t="s">
        <v>1267</v>
      </c>
    </row>
    <row r="876" spans="1:6" ht="60" x14ac:dyDescent="0.25">
      <c r="A876" s="8" t="s">
        <v>125</v>
      </c>
      <c r="B876" s="8" t="s">
        <v>152</v>
      </c>
      <c r="C876" s="8" t="str">
        <f>IFERROR(_xlfn.XLOOKUP(TRIM(B876),Lookup!$B$2:$B$1000,Lookup!$C$2:$C$1000),"")</f>
        <v>Equity</v>
      </c>
      <c r="D876" s="8" t="str">
        <f>IFERROR(INDEX('nav master'!$C:$C, MATCH(B876, 'nav master'!$B:$B, 0)), "")</f>
        <v>ULIF07528/05/24AlphaIdxFd101</v>
      </c>
      <c r="E876" s="8" t="s">
        <v>454</v>
      </c>
      <c r="F876" s="8" t="s">
        <v>1268</v>
      </c>
    </row>
    <row r="877" spans="1:6" ht="60" x14ac:dyDescent="0.25">
      <c r="A877" s="8" t="s">
        <v>125</v>
      </c>
      <c r="B877" s="8" t="s">
        <v>152</v>
      </c>
      <c r="C877" s="8" t="str">
        <f>IFERROR(_xlfn.XLOOKUP(TRIM(B877),Lookup!$B$2:$B$1000,Lookup!$C$2:$C$1000),"")</f>
        <v>Equity</v>
      </c>
      <c r="D877" s="8" t="str">
        <f>IFERROR(INDEX('nav master'!$C:$C, MATCH(B877, 'nav master'!$B:$B, 0)), "")</f>
        <v>ULIF07528/05/24AlphaIdxFd101</v>
      </c>
      <c r="E877" s="8" t="s">
        <v>456</v>
      </c>
      <c r="F877" s="8" t="s">
        <v>1269</v>
      </c>
    </row>
    <row r="878" spans="1:6" ht="60" x14ac:dyDescent="0.25">
      <c r="A878" s="8" t="s">
        <v>125</v>
      </c>
      <c r="B878" s="8" t="s">
        <v>152</v>
      </c>
      <c r="C878" s="8" t="str">
        <f>IFERROR(_xlfn.XLOOKUP(TRIM(B878),Lookup!$B$2:$B$1000,Lookup!$C$2:$C$1000),"")</f>
        <v>Equity</v>
      </c>
      <c r="D878" s="8" t="str">
        <f>IFERROR(INDEX('nav master'!$C:$C, MATCH(B878, 'nav master'!$B:$B, 0)), "")</f>
        <v>ULIF07528/05/24AlphaIdxFd101</v>
      </c>
      <c r="E878" s="8" t="s">
        <v>458</v>
      </c>
      <c r="F878" s="8" t="s">
        <v>1270</v>
      </c>
    </row>
    <row r="879" spans="1:6" ht="60" x14ac:dyDescent="0.25">
      <c r="A879" s="8" t="s">
        <v>125</v>
      </c>
      <c r="B879" s="8" t="s">
        <v>152</v>
      </c>
      <c r="C879" s="8" t="str">
        <f>IFERROR(_xlfn.XLOOKUP(TRIM(B879),Lookup!$B$2:$B$1000,Lookup!$C$2:$C$1000),"")</f>
        <v>Equity</v>
      </c>
      <c r="D879" s="8" t="str">
        <f>IFERROR(INDEX('nav master'!$C:$C, MATCH(B879, 'nav master'!$B:$B, 0)), "")</f>
        <v>ULIF07528/05/24AlphaIdxFd101</v>
      </c>
      <c r="E879" s="8" t="s">
        <v>460</v>
      </c>
      <c r="F879" s="8" t="s">
        <v>1271</v>
      </c>
    </row>
    <row r="880" spans="1:6" ht="60" x14ac:dyDescent="0.25">
      <c r="A880" s="8" t="s">
        <v>125</v>
      </c>
      <c r="B880" s="8" t="s">
        <v>152</v>
      </c>
      <c r="C880" s="8" t="str">
        <f>IFERROR(_xlfn.XLOOKUP(TRIM(B880),Lookup!$B$2:$B$1000,Lookup!$C$2:$C$1000),"")</f>
        <v>Equity</v>
      </c>
      <c r="D880" s="8" t="str">
        <f>IFERROR(INDEX('nav master'!$C:$C, MATCH(B880, 'nav master'!$B:$B, 0)), "")</f>
        <v>ULIF07528/05/24AlphaIdxFd101</v>
      </c>
      <c r="E880" s="8" t="s">
        <v>462</v>
      </c>
      <c r="F880" s="8" t="s">
        <v>1272</v>
      </c>
    </row>
    <row r="881" spans="1:6" ht="60" x14ac:dyDescent="0.25">
      <c r="A881" s="8" t="s">
        <v>125</v>
      </c>
      <c r="B881" s="8" t="s">
        <v>152</v>
      </c>
      <c r="C881" s="8" t="str">
        <f>IFERROR(_xlfn.XLOOKUP(TRIM(B881),Lookup!$B$2:$B$1000,Lookup!$C$2:$C$1000),"")</f>
        <v>Equity</v>
      </c>
      <c r="D881" s="8" t="str">
        <f>IFERROR(INDEX('nav master'!$C:$C, MATCH(B881, 'nav master'!$B:$B, 0)), "")</f>
        <v>ULIF07528/05/24AlphaIdxFd101</v>
      </c>
      <c r="E881" s="8" t="s">
        <v>464</v>
      </c>
      <c r="F881" s="8" t="s">
        <v>1273</v>
      </c>
    </row>
    <row r="882" spans="1:6" ht="60" x14ac:dyDescent="0.25">
      <c r="A882" s="8" t="s">
        <v>125</v>
      </c>
      <c r="B882" s="8" t="s">
        <v>152</v>
      </c>
      <c r="C882" s="8" t="str">
        <f>IFERROR(_xlfn.XLOOKUP(TRIM(B882),Lookup!$B$2:$B$1000,Lookup!$C$2:$C$1000),"")</f>
        <v>Equity</v>
      </c>
      <c r="D882" s="8" t="str">
        <f>IFERROR(INDEX('nav master'!$C:$C, MATCH(B882, 'nav master'!$B:$B, 0)), "")</f>
        <v>ULIF07528/05/24AlphaIdxFd101</v>
      </c>
      <c r="E882" s="8" t="s">
        <v>466</v>
      </c>
      <c r="F882" s="8" t="s">
        <v>1274</v>
      </c>
    </row>
    <row r="883" spans="1:6" ht="60" x14ac:dyDescent="0.25">
      <c r="A883" s="8" t="s">
        <v>125</v>
      </c>
      <c r="B883" s="8" t="s">
        <v>152</v>
      </c>
      <c r="C883" s="8" t="str">
        <f>IFERROR(_xlfn.XLOOKUP(TRIM(B883),Lookup!$B$2:$B$1000,Lookup!$C$2:$C$1000),"")</f>
        <v>Equity</v>
      </c>
      <c r="D883" s="8" t="str">
        <f>IFERROR(INDEX('nav master'!$C:$C, MATCH(B883, 'nav master'!$B:$B, 0)), "")</f>
        <v>ULIF07528/05/24AlphaIdxFd101</v>
      </c>
      <c r="E883" s="8" t="s">
        <v>468</v>
      </c>
      <c r="F883" s="8" t="s">
        <v>1275</v>
      </c>
    </row>
    <row r="884" spans="1:6" ht="60" x14ac:dyDescent="0.25">
      <c r="A884" s="8" t="s">
        <v>125</v>
      </c>
      <c r="B884" s="8" t="s">
        <v>152</v>
      </c>
      <c r="C884" s="8" t="str">
        <f>IFERROR(_xlfn.XLOOKUP(TRIM(B884),Lookup!$B$2:$B$1000,Lookup!$C$2:$C$1000),"")</f>
        <v>Equity</v>
      </c>
      <c r="D884" s="8" t="str">
        <f>IFERROR(INDEX('nav master'!$C:$C, MATCH(B884, 'nav master'!$B:$B, 0)), "")</f>
        <v>ULIF07528/05/24AlphaIdxFd101</v>
      </c>
      <c r="E884" s="8" t="s">
        <v>470</v>
      </c>
      <c r="F884" s="8" t="s">
        <v>1276</v>
      </c>
    </row>
    <row r="885" spans="1:6" ht="60" x14ac:dyDescent="0.25">
      <c r="A885" s="8" t="s">
        <v>125</v>
      </c>
      <c r="B885" s="8" t="s">
        <v>152</v>
      </c>
      <c r="C885" s="8" t="str">
        <f>IFERROR(_xlfn.XLOOKUP(TRIM(B885),Lookup!$B$2:$B$1000,Lookup!$C$2:$C$1000),"")</f>
        <v>Equity</v>
      </c>
      <c r="D885" s="8" t="str">
        <f>IFERROR(INDEX('nav master'!$C:$C, MATCH(B885, 'nav master'!$B:$B, 0)), "")</f>
        <v>ULIF07528/05/24AlphaIdxFd101</v>
      </c>
      <c r="E885" s="8" t="s">
        <v>472</v>
      </c>
      <c r="F885" s="8" t="s">
        <v>1277</v>
      </c>
    </row>
    <row r="886" spans="1:6" ht="60" x14ac:dyDescent="0.25">
      <c r="A886" s="8" t="s">
        <v>125</v>
      </c>
      <c r="B886" s="8" t="s">
        <v>152</v>
      </c>
      <c r="C886" s="8" t="str">
        <f>IFERROR(_xlfn.XLOOKUP(TRIM(B886),Lookup!$B$2:$B$1000,Lookup!$C$2:$C$1000),"")</f>
        <v>Equity</v>
      </c>
      <c r="D886" s="8" t="str">
        <f>IFERROR(INDEX('nav master'!$C:$C, MATCH(B886, 'nav master'!$B:$B, 0)), "")</f>
        <v>ULIF07528/05/24AlphaIdxFd101</v>
      </c>
      <c r="E886" s="8" t="s">
        <v>474</v>
      </c>
      <c r="F886" s="8" t="s">
        <v>1278</v>
      </c>
    </row>
    <row r="887" spans="1:6" ht="60" x14ac:dyDescent="0.25">
      <c r="A887" s="8" t="s">
        <v>125</v>
      </c>
      <c r="B887" s="8" t="s">
        <v>152</v>
      </c>
      <c r="C887" s="8" t="str">
        <f>IFERROR(_xlfn.XLOOKUP(TRIM(B887),Lookup!$B$2:$B$1000,Lookup!$C$2:$C$1000),"")</f>
        <v>Equity</v>
      </c>
      <c r="D887" s="8" t="str">
        <f>IFERROR(INDEX('nav master'!$C:$C, MATCH(B887, 'nav master'!$B:$B, 0)), "")</f>
        <v>ULIF07528/05/24AlphaIdxFd101</v>
      </c>
      <c r="E887" s="8" t="s">
        <v>476</v>
      </c>
      <c r="F887" s="8" t="s">
        <v>1279</v>
      </c>
    </row>
    <row r="888" spans="1:6" ht="60" x14ac:dyDescent="0.25">
      <c r="A888" s="8" t="s">
        <v>125</v>
      </c>
      <c r="B888" s="8" t="s">
        <v>152</v>
      </c>
      <c r="C888" s="8" t="str">
        <f>IFERROR(_xlfn.XLOOKUP(TRIM(B888),Lookup!$B$2:$B$1000,Lookup!$C$2:$C$1000),"")</f>
        <v>Equity</v>
      </c>
      <c r="D888" s="8" t="str">
        <f>IFERROR(INDEX('nav master'!$C:$C, MATCH(B888, 'nav master'!$B:$B, 0)), "")</f>
        <v>ULIF07528/05/24AlphaIdxFd101</v>
      </c>
      <c r="E888" s="8" t="s">
        <v>478</v>
      </c>
      <c r="F888" s="8" t="s">
        <v>1280</v>
      </c>
    </row>
    <row r="889" spans="1:6" ht="60" x14ac:dyDescent="0.25">
      <c r="A889" s="8" t="s">
        <v>125</v>
      </c>
      <c r="B889" s="8" t="s">
        <v>152</v>
      </c>
      <c r="C889" s="8" t="str">
        <f>IFERROR(_xlfn.XLOOKUP(TRIM(B889),Lookup!$B$2:$B$1000,Lookup!$C$2:$C$1000),"")</f>
        <v>Equity</v>
      </c>
      <c r="D889" s="8" t="str">
        <f>IFERROR(INDEX('nav master'!$C:$C, MATCH(B889, 'nav master'!$B:$B, 0)), "")</f>
        <v>ULIF07528/05/24AlphaIdxFd101</v>
      </c>
      <c r="E889" s="8" t="s">
        <v>480</v>
      </c>
      <c r="F889" s="8" t="s">
        <v>1281</v>
      </c>
    </row>
    <row r="890" spans="1:6" ht="60" x14ac:dyDescent="0.25">
      <c r="A890" s="8" t="s">
        <v>125</v>
      </c>
      <c r="B890" s="8" t="s">
        <v>152</v>
      </c>
      <c r="C890" s="8" t="str">
        <f>IFERROR(_xlfn.XLOOKUP(TRIM(B890),Lookup!$B$2:$B$1000,Lookup!$C$2:$C$1000),"")</f>
        <v>Equity</v>
      </c>
      <c r="D890" s="8" t="str">
        <f>IFERROR(INDEX('nav master'!$C:$C, MATCH(B890, 'nav master'!$B:$B, 0)), "")</f>
        <v>ULIF07528/05/24AlphaIdxFd101</v>
      </c>
      <c r="E890" s="8" t="s">
        <v>482</v>
      </c>
      <c r="F890" s="8" t="s">
        <v>1282</v>
      </c>
    </row>
    <row r="891" spans="1:6" ht="60" x14ac:dyDescent="0.25">
      <c r="A891" s="8" t="s">
        <v>125</v>
      </c>
      <c r="B891" s="8" t="s">
        <v>152</v>
      </c>
      <c r="C891" s="8" t="str">
        <f>IFERROR(_xlfn.XLOOKUP(TRIM(B891),Lookup!$B$2:$B$1000,Lookup!$C$2:$C$1000),"")</f>
        <v>Equity</v>
      </c>
      <c r="D891" s="8" t="str">
        <f>IFERROR(INDEX('nav master'!$C:$C, MATCH(B891, 'nav master'!$B:$B, 0)), "")</f>
        <v>ULIF07528/05/24AlphaIdxFd101</v>
      </c>
      <c r="E891" s="8" t="s">
        <v>484</v>
      </c>
      <c r="F891" s="8" t="s">
        <v>1283</v>
      </c>
    </row>
    <row r="892" spans="1:6" ht="60" x14ac:dyDescent="0.25">
      <c r="A892" s="8" t="s">
        <v>125</v>
      </c>
      <c r="B892" s="8" t="s">
        <v>152</v>
      </c>
      <c r="C892" s="8" t="str">
        <f>IFERROR(_xlfn.XLOOKUP(TRIM(B892),Lookup!$B$2:$B$1000,Lookup!$C$2:$C$1000),"")</f>
        <v>Equity</v>
      </c>
      <c r="D892" s="8" t="str">
        <f>IFERROR(INDEX('nav master'!$C:$C, MATCH(B892, 'nav master'!$B:$B, 0)), "")</f>
        <v>ULIF07528/05/24AlphaIdxFd101</v>
      </c>
      <c r="E892" s="8" t="s">
        <v>486</v>
      </c>
      <c r="F892" s="8" t="s">
        <v>1284</v>
      </c>
    </row>
    <row r="893" spans="1:6" ht="60" x14ac:dyDescent="0.25">
      <c r="A893" s="8" t="s">
        <v>125</v>
      </c>
      <c r="B893" s="8" t="s">
        <v>152</v>
      </c>
      <c r="C893" s="8" t="str">
        <f>IFERROR(_xlfn.XLOOKUP(TRIM(B893),Lookup!$B$2:$B$1000,Lookup!$C$2:$C$1000),"")</f>
        <v>Equity</v>
      </c>
      <c r="D893" s="8" t="str">
        <f>IFERROR(INDEX('nav master'!$C:$C, MATCH(B893, 'nav master'!$B:$B, 0)), "")</f>
        <v>ULIF07528/05/24AlphaIdxFd101</v>
      </c>
      <c r="E893" s="8" t="s">
        <v>488</v>
      </c>
      <c r="F893" s="8" t="s">
        <v>1285</v>
      </c>
    </row>
    <row r="894" spans="1:6" ht="60" x14ac:dyDescent="0.25">
      <c r="A894" s="8" t="s">
        <v>125</v>
      </c>
      <c r="B894" s="8" t="s">
        <v>152</v>
      </c>
      <c r="C894" s="8" t="str">
        <f>IFERROR(_xlfn.XLOOKUP(TRIM(B894),Lookup!$B$2:$B$1000,Lookup!$C$2:$C$1000),"")</f>
        <v>Equity</v>
      </c>
      <c r="D894" s="8" t="str">
        <f>IFERROR(INDEX('nav master'!$C:$C, MATCH(B894, 'nav master'!$B:$B, 0)), "")</f>
        <v>ULIF07528/05/24AlphaIdxFd101</v>
      </c>
      <c r="E894" s="8" t="s">
        <v>490</v>
      </c>
      <c r="F894" s="8" t="s">
        <v>1286</v>
      </c>
    </row>
    <row r="895" spans="1:6" ht="60" x14ac:dyDescent="0.25">
      <c r="A895" s="8" t="s">
        <v>125</v>
      </c>
      <c r="B895" s="8" t="s">
        <v>152</v>
      </c>
      <c r="C895" s="8" t="str">
        <f>IFERROR(_xlfn.XLOOKUP(TRIM(B895),Lookup!$B$2:$B$1000,Lookup!$C$2:$C$1000),"")</f>
        <v>Equity</v>
      </c>
      <c r="D895" s="8" t="str">
        <f>IFERROR(INDEX('nav master'!$C:$C, MATCH(B895, 'nav master'!$B:$B, 0)), "")</f>
        <v>ULIF07528/05/24AlphaIdxFd101</v>
      </c>
      <c r="E895" s="8" t="s">
        <v>492</v>
      </c>
      <c r="F895" s="8" t="s">
        <v>1287</v>
      </c>
    </row>
    <row r="896" spans="1:6" ht="60" x14ac:dyDescent="0.25">
      <c r="A896" s="8" t="s">
        <v>125</v>
      </c>
      <c r="B896" s="8" t="s">
        <v>152</v>
      </c>
      <c r="C896" s="8" t="str">
        <f>IFERROR(_xlfn.XLOOKUP(TRIM(B896),Lookup!$B$2:$B$1000,Lookup!$C$2:$C$1000),"")</f>
        <v>Equity</v>
      </c>
      <c r="D896" s="8" t="str">
        <f>IFERROR(INDEX('nav master'!$C:$C, MATCH(B896, 'nav master'!$B:$B, 0)), "")</f>
        <v>ULIF07528/05/24AlphaIdxFd101</v>
      </c>
      <c r="E896" s="8" t="s">
        <v>494</v>
      </c>
      <c r="F896" s="8" t="s">
        <v>1288</v>
      </c>
    </row>
    <row r="897" spans="1:6" ht="60" x14ac:dyDescent="0.25">
      <c r="A897" s="8" t="s">
        <v>125</v>
      </c>
      <c r="B897" s="8" t="s">
        <v>152</v>
      </c>
      <c r="C897" s="8" t="str">
        <f>IFERROR(_xlfn.XLOOKUP(TRIM(B897),Lookup!$B$2:$B$1000,Lookup!$C$2:$C$1000),"")</f>
        <v>Equity</v>
      </c>
      <c r="D897" s="8" t="str">
        <f>IFERROR(INDEX('nav master'!$C:$C, MATCH(B897, 'nav master'!$B:$B, 0)), "")</f>
        <v>ULIF07528/05/24AlphaIdxFd101</v>
      </c>
      <c r="E897" s="8" t="s">
        <v>496</v>
      </c>
      <c r="F897" s="8" t="s">
        <v>1289</v>
      </c>
    </row>
    <row r="898" spans="1:6" ht="60" x14ac:dyDescent="0.25">
      <c r="A898" s="8" t="s">
        <v>125</v>
      </c>
      <c r="B898" s="8" t="s">
        <v>152</v>
      </c>
      <c r="C898" s="8" t="str">
        <f>IFERROR(_xlfn.XLOOKUP(TRIM(B898),Lookup!$B$2:$B$1000,Lookup!$C$2:$C$1000),"")</f>
        <v>Equity</v>
      </c>
      <c r="D898" s="8" t="str">
        <f>IFERROR(INDEX('nav master'!$C:$C, MATCH(B898, 'nav master'!$B:$B, 0)), "")</f>
        <v>ULIF07528/05/24AlphaIdxFd101</v>
      </c>
      <c r="E898" s="8" t="s">
        <v>498</v>
      </c>
      <c r="F898" s="8" t="s">
        <v>1290</v>
      </c>
    </row>
    <row r="899" spans="1:6" ht="60" x14ac:dyDescent="0.25">
      <c r="A899" s="8" t="s">
        <v>125</v>
      </c>
      <c r="B899" s="8" t="s">
        <v>152</v>
      </c>
      <c r="C899" s="8" t="str">
        <f>IFERROR(_xlfn.XLOOKUP(TRIM(B899),Lookup!$B$2:$B$1000,Lookup!$C$2:$C$1000),"")</f>
        <v>Equity</v>
      </c>
      <c r="D899" s="8" t="str">
        <f>IFERROR(INDEX('nav master'!$C:$C, MATCH(B899, 'nav master'!$B:$B, 0)), "")</f>
        <v>ULIF07528/05/24AlphaIdxFd101</v>
      </c>
      <c r="E899" s="8" t="s">
        <v>500</v>
      </c>
      <c r="F899" s="8" t="s">
        <v>1291</v>
      </c>
    </row>
    <row r="900" spans="1:6" ht="60" x14ac:dyDescent="0.25">
      <c r="A900" s="8" t="s">
        <v>125</v>
      </c>
      <c r="B900" s="8" t="s">
        <v>152</v>
      </c>
      <c r="C900" s="8" t="str">
        <f>IFERROR(_xlfn.XLOOKUP(TRIM(B900),Lookup!$B$2:$B$1000,Lookup!$C$2:$C$1000),"")</f>
        <v>Equity</v>
      </c>
      <c r="D900" s="8" t="str">
        <f>IFERROR(INDEX('nav master'!$C:$C, MATCH(B900, 'nav master'!$B:$B, 0)), "")</f>
        <v>ULIF07528/05/24AlphaIdxFd101</v>
      </c>
      <c r="E900" s="8" t="s">
        <v>502</v>
      </c>
      <c r="F900" s="8" t="s">
        <v>1292</v>
      </c>
    </row>
    <row r="901" spans="1:6" ht="60" x14ac:dyDescent="0.25">
      <c r="A901" s="8" t="s">
        <v>125</v>
      </c>
      <c r="B901" s="8" t="s">
        <v>152</v>
      </c>
      <c r="C901" s="8" t="str">
        <f>IFERROR(_xlfn.XLOOKUP(TRIM(B901),Lookup!$B$2:$B$1000,Lookup!$C$2:$C$1000),"")</f>
        <v>Equity</v>
      </c>
      <c r="D901" s="8" t="str">
        <f>IFERROR(INDEX('nav master'!$C:$C, MATCH(B901, 'nav master'!$B:$B, 0)), "")</f>
        <v>ULIF07528/05/24AlphaIdxFd101</v>
      </c>
      <c r="E901" s="8" t="s">
        <v>504</v>
      </c>
      <c r="F901" s="8" t="s">
        <v>1293</v>
      </c>
    </row>
    <row r="902" spans="1:6" ht="60" x14ac:dyDescent="0.25">
      <c r="A902" s="8" t="s">
        <v>125</v>
      </c>
      <c r="B902" s="8" t="s">
        <v>152</v>
      </c>
      <c r="C902" s="8" t="str">
        <f>IFERROR(_xlfn.XLOOKUP(TRIM(B902),Lookup!$B$2:$B$1000,Lookup!$C$2:$C$1000),"")</f>
        <v>Equity</v>
      </c>
      <c r="D902" s="8" t="str">
        <f>IFERROR(INDEX('nav master'!$C:$C, MATCH(B902, 'nav master'!$B:$B, 0)), "")</f>
        <v>ULIF07528/05/24AlphaIdxFd101</v>
      </c>
      <c r="E902" s="8" t="s">
        <v>506</v>
      </c>
      <c r="F902" s="8" t="s">
        <v>1294</v>
      </c>
    </row>
    <row r="903" spans="1:6" ht="60" x14ac:dyDescent="0.25">
      <c r="A903" s="8" t="s">
        <v>125</v>
      </c>
      <c r="B903" s="8" t="s">
        <v>152</v>
      </c>
      <c r="C903" s="8" t="str">
        <f>IFERROR(_xlfn.XLOOKUP(TRIM(B903),Lookup!$B$2:$B$1000,Lookup!$C$2:$C$1000),"")</f>
        <v>Equity</v>
      </c>
      <c r="D903" s="8" t="str">
        <f>IFERROR(INDEX('nav master'!$C:$C, MATCH(B903, 'nav master'!$B:$B, 0)), "")</f>
        <v>ULIF07528/05/24AlphaIdxFd101</v>
      </c>
      <c r="E903" s="8" t="s">
        <v>508</v>
      </c>
      <c r="F903" s="8" t="s">
        <v>1295</v>
      </c>
    </row>
    <row r="904" spans="1:6" ht="60" x14ac:dyDescent="0.25">
      <c r="A904" s="8" t="s">
        <v>125</v>
      </c>
      <c r="B904" s="8" t="s">
        <v>152</v>
      </c>
      <c r="C904" s="8" t="str">
        <f>IFERROR(_xlfn.XLOOKUP(TRIM(B904),Lookup!$B$2:$B$1000,Lookup!$C$2:$C$1000),"")</f>
        <v>Equity</v>
      </c>
      <c r="D904" s="8" t="str">
        <f>IFERROR(INDEX('nav master'!$C:$C, MATCH(B904, 'nav master'!$B:$B, 0)), "")</f>
        <v>ULIF07528/05/24AlphaIdxFd101</v>
      </c>
      <c r="E904" s="8" t="s">
        <v>510</v>
      </c>
      <c r="F904" s="8" t="s">
        <v>1296</v>
      </c>
    </row>
    <row r="905" spans="1:6" ht="60" x14ac:dyDescent="0.25">
      <c r="A905" s="8" t="s">
        <v>125</v>
      </c>
      <c r="B905" s="8" t="s">
        <v>152</v>
      </c>
      <c r="C905" s="8" t="str">
        <f>IFERROR(_xlfn.XLOOKUP(TRIM(B905),Lookup!$B$2:$B$1000,Lookup!$C$2:$C$1000),"")</f>
        <v>Equity</v>
      </c>
      <c r="D905" s="8" t="str">
        <f>IFERROR(INDEX('nav master'!$C:$C, MATCH(B905, 'nav master'!$B:$B, 0)), "")</f>
        <v>ULIF07528/05/24AlphaIdxFd101</v>
      </c>
      <c r="E905" s="8" t="s">
        <v>512</v>
      </c>
      <c r="F905" s="8" t="s">
        <v>1297</v>
      </c>
    </row>
    <row r="906" spans="1:6" ht="60" x14ac:dyDescent="0.25">
      <c r="A906" s="8" t="s">
        <v>125</v>
      </c>
      <c r="B906" s="8" t="s">
        <v>152</v>
      </c>
      <c r="C906" s="8" t="str">
        <f>IFERROR(_xlfn.XLOOKUP(TRIM(B906),Lookup!$B$2:$B$1000,Lookup!$C$2:$C$1000),"")</f>
        <v>Equity</v>
      </c>
      <c r="D906" s="8" t="str">
        <f>IFERROR(INDEX('nav master'!$C:$C, MATCH(B906, 'nav master'!$B:$B, 0)), "")</f>
        <v>ULIF07528/05/24AlphaIdxFd101</v>
      </c>
      <c r="E906" s="8" t="s">
        <v>514</v>
      </c>
      <c r="F906" s="8" t="s">
        <v>1298</v>
      </c>
    </row>
    <row r="907" spans="1:6" ht="60" x14ac:dyDescent="0.25">
      <c r="A907" s="8" t="s">
        <v>125</v>
      </c>
      <c r="B907" s="8" t="s">
        <v>152</v>
      </c>
      <c r="C907" s="8" t="str">
        <f>IFERROR(_xlfn.XLOOKUP(TRIM(B907),Lookup!$B$2:$B$1000,Lookup!$C$2:$C$1000),"")</f>
        <v>Equity</v>
      </c>
      <c r="D907" s="8" t="str">
        <f>IFERROR(INDEX('nav master'!$C:$C, MATCH(B907, 'nav master'!$B:$B, 0)), "")</f>
        <v>ULIF07528/05/24AlphaIdxFd101</v>
      </c>
      <c r="E907" s="8" t="s">
        <v>516</v>
      </c>
      <c r="F907" s="8" t="s">
        <v>1299</v>
      </c>
    </row>
    <row r="908" spans="1:6" ht="60" x14ac:dyDescent="0.25">
      <c r="A908" s="8" t="s">
        <v>125</v>
      </c>
      <c r="B908" s="8" t="s">
        <v>152</v>
      </c>
      <c r="C908" s="8" t="str">
        <f>IFERROR(_xlfn.XLOOKUP(TRIM(B908),Lookup!$B$2:$B$1000,Lookup!$C$2:$C$1000),"")</f>
        <v>Equity</v>
      </c>
      <c r="D908" s="8" t="str">
        <f>IFERROR(INDEX('nav master'!$C:$C, MATCH(B908, 'nav master'!$B:$B, 0)), "")</f>
        <v>ULIF07528/05/24AlphaIdxFd101</v>
      </c>
      <c r="E908" s="8" t="s">
        <v>518</v>
      </c>
      <c r="F908" s="8" t="s">
        <v>1300</v>
      </c>
    </row>
    <row r="909" spans="1:6" ht="60" x14ac:dyDescent="0.25">
      <c r="A909" s="8" t="s">
        <v>125</v>
      </c>
      <c r="B909" s="8" t="s">
        <v>152</v>
      </c>
      <c r="C909" s="8" t="str">
        <f>IFERROR(_xlfn.XLOOKUP(TRIM(B909),Lookup!$B$2:$B$1000,Lookup!$C$2:$C$1000),"")</f>
        <v>Equity</v>
      </c>
      <c r="D909" s="8" t="str">
        <f>IFERROR(INDEX('nav master'!$C:$C, MATCH(B909, 'nav master'!$B:$B, 0)), "")</f>
        <v>ULIF07528/05/24AlphaIdxFd101</v>
      </c>
      <c r="E909" s="8" t="s">
        <v>520</v>
      </c>
      <c r="F909" s="8" t="s">
        <v>1301</v>
      </c>
    </row>
    <row r="910" spans="1:6" ht="60" x14ac:dyDescent="0.25">
      <c r="A910" s="8" t="s">
        <v>125</v>
      </c>
      <c r="B910" s="8" t="s">
        <v>152</v>
      </c>
      <c r="C910" s="8" t="str">
        <f>IFERROR(_xlfn.XLOOKUP(TRIM(B910),Lookup!$B$2:$B$1000,Lookup!$C$2:$C$1000),"")</f>
        <v>Equity</v>
      </c>
      <c r="D910" s="8" t="str">
        <f>IFERROR(INDEX('nav master'!$C:$C, MATCH(B910, 'nav master'!$B:$B, 0)), "")</f>
        <v>ULIF07528/05/24AlphaIdxFd101</v>
      </c>
      <c r="E910" s="8" t="s">
        <v>522</v>
      </c>
      <c r="F910" s="8" t="s">
        <v>1302</v>
      </c>
    </row>
    <row r="911" spans="1:6" ht="60" x14ac:dyDescent="0.25">
      <c r="A911" s="8" t="s">
        <v>125</v>
      </c>
      <c r="B911" s="8" t="s">
        <v>152</v>
      </c>
      <c r="C911" s="8" t="str">
        <f>IFERROR(_xlfn.XLOOKUP(TRIM(B911),Lookup!$B$2:$B$1000,Lookup!$C$2:$C$1000),"")</f>
        <v>Equity</v>
      </c>
      <c r="D911" s="8" t="str">
        <f>IFERROR(INDEX('nav master'!$C:$C, MATCH(B911, 'nav master'!$B:$B, 0)), "")</f>
        <v>ULIF07528/05/24AlphaIdxFd101</v>
      </c>
      <c r="E911" s="8" t="s">
        <v>524</v>
      </c>
      <c r="F911" s="8" t="s">
        <v>1303</v>
      </c>
    </row>
    <row r="912" spans="1:6" ht="60" x14ac:dyDescent="0.25">
      <c r="A912" s="8" t="s">
        <v>125</v>
      </c>
      <c r="B912" s="8" t="s">
        <v>152</v>
      </c>
      <c r="C912" s="8" t="str">
        <f>IFERROR(_xlfn.XLOOKUP(TRIM(B912),Lookup!$B$2:$B$1000,Lookup!$C$2:$C$1000),"")</f>
        <v>Equity</v>
      </c>
      <c r="D912" s="8" t="str">
        <f>IFERROR(INDEX('nav master'!$C:$C, MATCH(B912, 'nav master'!$B:$B, 0)), "")</f>
        <v>ULIF07528/05/24AlphaIdxFd101</v>
      </c>
      <c r="E912" s="8" t="s">
        <v>526</v>
      </c>
      <c r="F912" s="8" t="s">
        <v>1304</v>
      </c>
    </row>
    <row r="913" spans="1:6" ht="60" x14ac:dyDescent="0.25">
      <c r="A913" s="8" t="s">
        <v>125</v>
      </c>
      <c r="B913" s="8" t="s">
        <v>152</v>
      </c>
      <c r="C913" s="8" t="str">
        <f>IFERROR(_xlfn.XLOOKUP(TRIM(B913),Lookup!$B$2:$B$1000,Lookup!$C$2:$C$1000),"")</f>
        <v>Equity</v>
      </c>
      <c r="D913" s="8" t="str">
        <f>IFERROR(INDEX('nav master'!$C:$C, MATCH(B913, 'nav master'!$B:$B, 0)), "")</f>
        <v>ULIF07528/05/24AlphaIdxFd101</v>
      </c>
      <c r="E913" s="8" t="s">
        <v>528</v>
      </c>
      <c r="F913" s="8" t="s">
        <v>1305</v>
      </c>
    </row>
    <row r="914" spans="1:6" ht="60" x14ac:dyDescent="0.25">
      <c r="A914" s="8" t="s">
        <v>125</v>
      </c>
      <c r="B914" s="8" t="s">
        <v>152</v>
      </c>
      <c r="C914" s="8" t="str">
        <f>IFERROR(_xlfn.XLOOKUP(TRIM(B914),Lookup!$B$2:$B$1000,Lookup!$C$2:$C$1000),"")</f>
        <v>Equity</v>
      </c>
      <c r="D914" s="8" t="str">
        <f>IFERROR(INDEX('nav master'!$C:$C, MATCH(B914, 'nav master'!$B:$B, 0)), "")</f>
        <v>ULIF07528/05/24AlphaIdxFd101</v>
      </c>
      <c r="E914" s="8" t="s">
        <v>530</v>
      </c>
      <c r="F914" s="8" t="s">
        <v>1306</v>
      </c>
    </row>
    <row r="915" spans="1:6" ht="60" x14ac:dyDescent="0.25">
      <c r="A915" s="8" t="s">
        <v>125</v>
      </c>
      <c r="B915" s="8" t="s">
        <v>152</v>
      </c>
      <c r="C915" s="8" t="str">
        <f>IFERROR(_xlfn.XLOOKUP(TRIM(B915),Lookup!$B$2:$B$1000,Lookup!$C$2:$C$1000),"")</f>
        <v>Equity</v>
      </c>
      <c r="D915" s="8" t="str">
        <f>IFERROR(INDEX('nav master'!$C:$C, MATCH(B915, 'nav master'!$B:$B, 0)), "")</f>
        <v>ULIF07528/05/24AlphaIdxFd101</v>
      </c>
      <c r="E915" s="8" t="s">
        <v>532</v>
      </c>
      <c r="F915" s="8" t="s">
        <v>1307</v>
      </c>
    </row>
    <row r="916" spans="1:6" ht="60" x14ac:dyDescent="0.25">
      <c r="A916" s="8" t="s">
        <v>125</v>
      </c>
      <c r="B916" s="8" t="s">
        <v>152</v>
      </c>
      <c r="C916" s="8" t="str">
        <f>IFERROR(_xlfn.XLOOKUP(TRIM(B916),Lookup!$B$2:$B$1000,Lookup!$C$2:$C$1000),"")</f>
        <v>Equity</v>
      </c>
      <c r="D916" s="8" t="str">
        <f>IFERROR(INDEX('nav master'!$C:$C, MATCH(B916, 'nav master'!$B:$B, 0)), "")</f>
        <v>ULIF07528/05/24AlphaIdxFd101</v>
      </c>
      <c r="E916" s="8" t="s">
        <v>534</v>
      </c>
      <c r="F916" s="8" t="s">
        <v>1308</v>
      </c>
    </row>
    <row r="917" spans="1:6" ht="60" x14ac:dyDescent="0.25">
      <c r="A917" s="8" t="s">
        <v>125</v>
      </c>
      <c r="B917" s="8" t="s">
        <v>152</v>
      </c>
      <c r="C917" s="8" t="str">
        <f>IFERROR(_xlfn.XLOOKUP(TRIM(B917),Lookup!$B$2:$B$1000,Lookup!$C$2:$C$1000),"")</f>
        <v>Equity</v>
      </c>
      <c r="D917" s="8" t="str">
        <f>IFERROR(INDEX('nav master'!$C:$C, MATCH(B917, 'nav master'!$B:$B, 0)), "")</f>
        <v>ULIF07528/05/24AlphaIdxFd101</v>
      </c>
      <c r="E917" s="8" t="s">
        <v>536</v>
      </c>
      <c r="F917" s="8" t="s">
        <v>1309</v>
      </c>
    </row>
    <row r="918" spans="1:6" ht="60" x14ac:dyDescent="0.25">
      <c r="A918" s="8" t="s">
        <v>125</v>
      </c>
      <c r="B918" s="8" t="s">
        <v>152</v>
      </c>
      <c r="C918" s="8" t="str">
        <f>IFERROR(_xlfn.XLOOKUP(TRIM(B918),Lookup!$B$2:$B$1000,Lookup!$C$2:$C$1000),"")</f>
        <v>Equity</v>
      </c>
      <c r="D918" s="8" t="str">
        <f>IFERROR(INDEX('nav master'!$C:$C, MATCH(B918, 'nav master'!$B:$B, 0)), "")</f>
        <v>ULIF07528/05/24AlphaIdxFd101</v>
      </c>
      <c r="E918" s="8" t="s">
        <v>538</v>
      </c>
      <c r="F918" s="8" t="s">
        <v>1310</v>
      </c>
    </row>
    <row r="919" spans="1:6" ht="60" x14ac:dyDescent="0.25">
      <c r="A919" s="8" t="s">
        <v>125</v>
      </c>
      <c r="B919" s="8" t="s">
        <v>152</v>
      </c>
      <c r="C919" s="8" t="str">
        <f>IFERROR(_xlfn.XLOOKUP(TRIM(B919),Lookup!$B$2:$B$1000,Lookup!$C$2:$C$1000),"")</f>
        <v>Equity</v>
      </c>
      <c r="D919" s="8" t="str">
        <f>IFERROR(INDEX('nav master'!$C:$C, MATCH(B919, 'nav master'!$B:$B, 0)), "")</f>
        <v>ULIF07528/05/24AlphaIdxFd101</v>
      </c>
      <c r="E919" s="8" t="s">
        <v>540</v>
      </c>
      <c r="F919" s="8" t="s">
        <v>1311</v>
      </c>
    </row>
    <row r="920" spans="1:6" ht="60" x14ac:dyDescent="0.25">
      <c r="A920" s="8" t="s">
        <v>125</v>
      </c>
      <c r="B920" s="8" t="s">
        <v>152</v>
      </c>
      <c r="C920" s="8" t="str">
        <f>IFERROR(_xlfn.XLOOKUP(TRIM(B920),Lookup!$B$2:$B$1000,Lookup!$C$2:$C$1000),"")</f>
        <v>Equity</v>
      </c>
      <c r="D920" s="8" t="str">
        <f>IFERROR(INDEX('nav master'!$C:$C, MATCH(B920, 'nav master'!$B:$B, 0)), "")</f>
        <v>ULIF07528/05/24AlphaIdxFd101</v>
      </c>
      <c r="E920" s="8" t="s">
        <v>542</v>
      </c>
      <c r="F920" s="8" t="s">
        <v>1312</v>
      </c>
    </row>
    <row r="921" spans="1:6" ht="60" x14ac:dyDescent="0.25">
      <c r="A921" s="8" t="s">
        <v>125</v>
      </c>
      <c r="B921" s="8" t="s">
        <v>152</v>
      </c>
      <c r="C921" s="8" t="str">
        <f>IFERROR(_xlfn.XLOOKUP(TRIM(B921),Lookup!$B$2:$B$1000,Lookup!$C$2:$C$1000),"")</f>
        <v>Equity</v>
      </c>
      <c r="D921" s="8" t="str">
        <f>IFERROR(INDEX('nav master'!$C:$C, MATCH(B921, 'nav master'!$B:$B, 0)), "")</f>
        <v>ULIF07528/05/24AlphaIdxFd101</v>
      </c>
      <c r="E921" s="8" t="s">
        <v>544</v>
      </c>
      <c r="F921" s="8" t="s">
        <v>1170</v>
      </c>
    </row>
    <row r="922" spans="1:6" ht="60" x14ac:dyDescent="0.25">
      <c r="A922" s="8" t="s">
        <v>125</v>
      </c>
      <c r="B922" s="8" t="s">
        <v>152</v>
      </c>
      <c r="C922" s="8" t="str">
        <f>IFERROR(_xlfn.XLOOKUP(TRIM(B922),Lookup!$B$2:$B$1000,Lookup!$C$2:$C$1000),"")</f>
        <v>Equity</v>
      </c>
      <c r="D922" s="8" t="str">
        <f>IFERROR(INDEX('nav master'!$C:$C, MATCH(B922, 'nav master'!$B:$B, 0)), "")</f>
        <v>ULIF07528/05/24AlphaIdxFd101</v>
      </c>
      <c r="E922" s="8" t="s">
        <v>546</v>
      </c>
      <c r="F922" s="8" t="s">
        <v>1313</v>
      </c>
    </row>
    <row r="923" spans="1:6" ht="60" x14ac:dyDescent="0.25">
      <c r="A923" s="8" t="s">
        <v>125</v>
      </c>
      <c r="B923" s="8" t="s">
        <v>152</v>
      </c>
      <c r="C923" s="8" t="str">
        <f>IFERROR(_xlfn.XLOOKUP(TRIM(B923),Lookup!$B$2:$B$1000,Lookup!$C$2:$C$1000),"")</f>
        <v>Equity</v>
      </c>
      <c r="D923" s="8" t="str">
        <f>IFERROR(INDEX('nav master'!$C:$C, MATCH(B923, 'nav master'!$B:$B, 0)), "")</f>
        <v>ULIF07528/05/24AlphaIdxFd101</v>
      </c>
      <c r="E923" s="8" t="s">
        <v>548</v>
      </c>
      <c r="F923" s="8" t="s">
        <v>1314</v>
      </c>
    </row>
    <row r="924" spans="1:6" ht="60" x14ac:dyDescent="0.25">
      <c r="A924" s="8" t="s">
        <v>125</v>
      </c>
      <c r="B924" s="8" t="s">
        <v>152</v>
      </c>
      <c r="C924" s="8" t="str">
        <f>IFERROR(_xlfn.XLOOKUP(TRIM(B924),Lookup!$B$2:$B$1000,Lookup!$C$2:$C$1000),"")</f>
        <v>Equity</v>
      </c>
      <c r="D924" s="8" t="str">
        <f>IFERROR(INDEX('nav master'!$C:$C, MATCH(B924, 'nav master'!$B:$B, 0)), "")</f>
        <v>ULIF07528/05/24AlphaIdxFd101</v>
      </c>
      <c r="E924" s="8" t="s">
        <v>550</v>
      </c>
      <c r="F924" s="8" t="s">
        <v>1315</v>
      </c>
    </row>
    <row r="925" spans="1:6" ht="60" x14ac:dyDescent="0.25">
      <c r="A925" s="8" t="s">
        <v>125</v>
      </c>
      <c r="B925" s="8" t="s">
        <v>152</v>
      </c>
      <c r="C925" s="8" t="str">
        <f>IFERROR(_xlfn.XLOOKUP(TRIM(B925),Lookup!$B$2:$B$1000,Lookup!$C$2:$C$1000),"")</f>
        <v>Equity</v>
      </c>
      <c r="D925" s="8" t="str">
        <f>IFERROR(INDEX('nav master'!$C:$C, MATCH(B925, 'nav master'!$B:$B, 0)), "")</f>
        <v>ULIF07528/05/24AlphaIdxFd101</v>
      </c>
      <c r="E925" s="8" t="s">
        <v>552</v>
      </c>
      <c r="F925" s="8" t="s">
        <v>1152</v>
      </c>
    </row>
    <row r="926" spans="1:6" ht="60" x14ac:dyDescent="0.25">
      <c r="A926" s="8" t="s">
        <v>125</v>
      </c>
      <c r="B926" s="8" t="s">
        <v>152</v>
      </c>
      <c r="C926" s="8" t="str">
        <f>IFERROR(_xlfn.XLOOKUP(TRIM(B926),Lookup!$B$2:$B$1000,Lookup!$C$2:$C$1000),"")</f>
        <v>Equity</v>
      </c>
      <c r="D926" s="8" t="str">
        <f>IFERROR(INDEX('nav master'!$C:$C, MATCH(B926, 'nav master'!$B:$B, 0)), "")</f>
        <v>ULIF07528/05/24AlphaIdxFd101</v>
      </c>
      <c r="E926" s="8" t="s">
        <v>554</v>
      </c>
      <c r="F926" s="8" t="s">
        <v>1180</v>
      </c>
    </row>
    <row r="927" spans="1:6" ht="60" x14ac:dyDescent="0.25">
      <c r="A927" s="8" t="s">
        <v>125</v>
      </c>
      <c r="B927" s="8" t="s">
        <v>152</v>
      </c>
      <c r="C927" s="8" t="str">
        <f>IFERROR(_xlfn.XLOOKUP(TRIM(B927),Lookup!$B$2:$B$1000,Lookup!$C$2:$C$1000),"")</f>
        <v>Equity</v>
      </c>
      <c r="D927" s="8" t="str">
        <f>IFERROR(INDEX('nav master'!$C:$C, MATCH(B927, 'nav master'!$B:$B, 0)), "")</f>
        <v>ULIF07528/05/24AlphaIdxFd101</v>
      </c>
      <c r="E927" s="8" t="s">
        <v>556</v>
      </c>
      <c r="F927" s="8" t="s">
        <v>1316</v>
      </c>
    </row>
    <row r="928" spans="1:6" ht="60" x14ac:dyDescent="0.25">
      <c r="A928" s="8" t="s">
        <v>125</v>
      </c>
      <c r="B928" s="8" t="s">
        <v>152</v>
      </c>
      <c r="C928" s="8" t="str">
        <f>IFERROR(_xlfn.XLOOKUP(TRIM(B928),Lookup!$B$2:$B$1000,Lookup!$C$2:$C$1000),"")</f>
        <v>Equity</v>
      </c>
      <c r="D928" s="8" t="str">
        <f>IFERROR(INDEX('nav master'!$C:$C, MATCH(B928, 'nav master'!$B:$B, 0)), "")</f>
        <v>ULIF07528/05/24AlphaIdxFd101</v>
      </c>
      <c r="E928" s="8" t="s">
        <v>558</v>
      </c>
      <c r="F928" s="8" t="s">
        <v>1317</v>
      </c>
    </row>
    <row r="929" spans="1:6" ht="60" x14ac:dyDescent="0.25">
      <c r="A929" s="8" t="s">
        <v>125</v>
      </c>
      <c r="B929" s="8" t="s">
        <v>152</v>
      </c>
      <c r="C929" s="8" t="str">
        <f>IFERROR(_xlfn.XLOOKUP(TRIM(B929),Lookup!$B$2:$B$1000,Lookup!$C$2:$C$1000),"")</f>
        <v>Equity</v>
      </c>
      <c r="D929" s="8" t="str">
        <f>IFERROR(INDEX('nav master'!$C:$C, MATCH(B929, 'nav master'!$B:$B, 0)), "")</f>
        <v>ULIF07528/05/24AlphaIdxFd101</v>
      </c>
      <c r="E929" s="8" t="s">
        <v>560</v>
      </c>
      <c r="F929" s="8" t="s">
        <v>1318</v>
      </c>
    </row>
    <row r="930" spans="1:6" ht="60" x14ac:dyDescent="0.25">
      <c r="A930" s="8" t="s">
        <v>125</v>
      </c>
      <c r="B930" s="8" t="s">
        <v>152</v>
      </c>
      <c r="C930" s="8" t="str">
        <f>IFERROR(_xlfn.XLOOKUP(TRIM(B930),Lookup!$B$2:$B$1000,Lookup!$C$2:$C$1000),"")</f>
        <v>Equity</v>
      </c>
      <c r="D930" s="8" t="str">
        <f>IFERROR(INDEX('nav master'!$C:$C, MATCH(B930, 'nav master'!$B:$B, 0)), "")</f>
        <v>ULIF07528/05/24AlphaIdxFd101</v>
      </c>
      <c r="E930" s="8" t="s">
        <v>562</v>
      </c>
      <c r="F930" s="8" t="s">
        <v>1319</v>
      </c>
    </row>
    <row r="931" spans="1:6" ht="60" x14ac:dyDescent="0.25">
      <c r="A931" s="8" t="s">
        <v>125</v>
      </c>
      <c r="B931" s="8" t="s">
        <v>152</v>
      </c>
      <c r="C931" s="8" t="str">
        <f>IFERROR(_xlfn.XLOOKUP(TRIM(B931),Lookup!$B$2:$B$1000,Lookup!$C$2:$C$1000),"")</f>
        <v>Equity</v>
      </c>
      <c r="D931" s="8" t="str">
        <f>IFERROR(INDEX('nav master'!$C:$C, MATCH(B931, 'nav master'!$B:$B, 0)), "")</f>
        <v>ULIF07528/05/24AlphaIdxFd101</v>
      </c>
      <c r="E931" s="8" t="s">
        <v>564</v>
      </c>
      <c r="F931" s="8" t="s">
        <v>1320</v>
      </c>
    </row>
    <row r="932" spans="1:6" ht="60" x14ac:dyDescent="0.25">
      <c r="A932" s="8" t="s">
        <v>125</v>
      </c>
      <c r="B932" s="8" t="s">
        <v>152</v>
      </c>
      <c r="C932" s="8" t="str">
        <f>IFERROR(_xlfn.XLOOKUP(TRIM(B932),Lookup!$B$2:$B$1000,Lookup!$C$2:$C$1000),"")</f>
        <v>Equity</v>
      </c>
      <c r="D932" s="8" t="str">
        <f>IFERROR(INDEX('nav master'!$C:$C, MATCH(B932, 'nav master'!$B:$B, 0)), "")</f>
        <v>ULIF07528/05/24AlphaIdxFd101</v>
      </c>
      <c r="E932" s="8" t="s">
        <v>566</v>
      </c>
      <c r="F932" s="8" t="s">
        <v>1321</v>
      </c>
    </row>
    <row r="933" spans="1:6" ht="60" x14ac:dyDescent="0.25">
      <c r="A933" s="8" t="s">
        <v>125</v>
      </c>
      <c r="B933" s="8" t="s">
        <v>152</v>
      </c>
      <c r="C933" s="8" t="str">
        <f>IFERROR(_xlfn.XLOOKUP(TRIM(B933),Lookup!$B$2:$B$1000,Lookup!$C$2:$C$1000),"")</f>
        <v>Equity</v>
      </c>
      <c r="D933" s="8" t="str">
        <f>IFERROR(INDEX('nav master'!$C:$C, MATCH(B933, 'nav master'!$B:$B, 0)), "")</f>
        <v>ULIF07528/05/24AlphaIdxFd101</v>
      </c>
      <c r="E933" s="8" t="s">
        <v>568</v>
      </c>
      <c r="F933" s="8" t="s">
        <v>1322</v>
      </c>
    </row>
    <row r="934" spans="1:6" ht="60" x14ac:dyDescent="0.25">
      <c r="A934" s="8" t="s">
        <v>125</v>
      </c>
      <c r="B934" s="8" t="s">
        <v>152</v>
      </c>
      <c r="C934" s="8" t="str">
        <f>IFERROR(_xlfn.XLOOKUP(TRIM(B934),Lookup!$B$2:$B$1000,Lookup!$C$2:$C$1000),"")</f>
        <v>Equity</v>
      </c>
      <c r="D934" s="8" t="str">
        <f>IFERROR(INDEX('nav master'!$C:$C, MATCH(B934, 'nav master'!$B:$B, 0)), "")</f>
        <v>ULIF07528/05/24AlphaIdxFd101</v>
      </c>
      <c r="E934" s="8" t="s">
        <v>570</v>
      </c>
      <c r="F934" s="8" t="s">
        <v>1323</v>
      </c>
    </row>
    <row r="935" spans="1:6" ht="60" x14ac:dyDescent="0.25">
      <c r="A935" s="8" t="s">
        <v>125</v>
      </c>
      <c r="B935" s="8" t="s">
        <v>152</v>
      </c>
      <c r="C935" s="8" t="str">
        <f>IFERROR(_xlfn.XLOOKUP(TRIM(B935),Lookup!$B$2:$B$1000,Lookup!$C$2:$C$1000),"")</f>
        <v>Equity</v>
      </c>
      <c r="D935" s="8" t="str">
        <f>IFERROR(INDEX('nav master'!$C:$C, MATCH(B935, 'nav master'!$B:$B, 0)), "")</f>
        <v>ULIF07528/05/24AlphaIdxFd101</v>
      </c>
      <c r="E935" s="8" t="s">
        <v>572</v>
      </c>
      <c r="F935" s="8" t="s">
        <v>1324</v>
      </c>
    </row>
    <row r="936" spans="1:6" ht="60" x14ac:dyDescent="0.25">
      <c r="A936" s="8" t="s">
        <v>125</v>
      </c>
      <c r="B936" s="8" t="s">
        <v>152</v>
      </c>
      <c r="C936" s="8" t="str">
        <f>IFERROR(_xlfn.XLOOKUP(TRIM(B936),Lookup!$B$2:$B$1000,Lookup!$C$2:$C$1000),"")</f>
        <v>Equity</v>
      </c>
      <c r="D936" s="8" t="str">
        <f>IFERROR(INDEX('nav master'!$C:$C, MATCH(B936, 'nav master'!$B:$B, 0)), "")</f>
        <v>ULIF07528/05/24AlphaIdxFd101</v>
      </c>
      <c r="E936" s="8" t="s">
        <v>574</v>
      </c>
      <c r="F936" s="8" t="s">
        <v>1325</v>
      </c>
    </row>
    <row r="937" spans="1:6" ht="60" x14ac:dyDescent="0.25">
      <c r="A937" s="8" t="s">
        <v>125</v>
      </c>
      <c r="B937" s="8" t="s">
        <v>152</v>
      </c>
      <c r="C937" s="8" t="str">
        <f>IFERROR(_xlfn.XLOOKUP(TRIM(B937),Lookup!$B$2:$B$1000,Lookup!$C$2:$C$1000),"")</f>
        <v>Equity</v>
      </c>
      <c r="D937" s="8" t="str">
        <f>IFERROR(INDEX('nav master'!$C:$C, MATCH(B937, 'nav master'!$B:$B, 0)), "")</f>
        <v>ULIF07528/05/24AlphaIdxFd101</v>
      </c>
      <c r="E937" s="8" t="s">
        <v>576</v>
      </c>
      <c r="F937" s="8" t="s">
        <v>1326</v>
      </c>
    </row>
    <row r="938" spans="1:6" ht="60" x14ac:dyDescent="0.25">
      <c r="A938" s="8" t="s">
        <v>125</v>
      </c>
      <c r="B938" s="8" t="s">
        <v>152</v>
      </c>
      <c r="C938" s="8" t="str">
        <f>IFERROR(_xlfn.XLOOKUP(TRIM(B938),Lookup!$B$2:$B$1000,Lookup!$C$2:$C$1000),"")</f>
        <v>Equity</v>
      </c>
      <c r="D938" s="8" t="str">
        <f>IFERROR(INDEX('nav master'!$C:$C, MATCH(B938, 'nav master'!$B:$B, 0)), "")</f>
        <v>ULIF07528/05/24AlphaIdxFd101</v>
      </c>
      <c r="E938" s="8" t="s">
        <v>578</v>
      </c>
      <c r="F938" s="8" t="s">
        <v>1327</v>
      </c>
    </row>
    <row r="939" spans="1:6" ht="60" x14ac:dyDescent="0.25">
      <c r="A939" s="8" t="s">
        <v>125</v>
      </c>
      <c r="B939" s="8" t="s">
        <v>152</v>
      </c>
      <c r="C939" s="8" t="str">
        <f>IFERROR(_xlfn.XLOOKUP(TRIM(B939),Lookup!$B$2:$B$1000,Lookup!$C$2:$C$1000),"")</f>
        <v>Equity</v>
      </c>
      <c r="D939" s="8" t="str">
        <f>IFERROR(INDEX('nav master'!$C:$C, MATCH(B939, 'nav master'!$B:$B, 0)), "")</f>
        <v>ULIF07528/05/24AlphaIdxFd101</v>
      </c>
      <c r="E939" s="8" t="s">
        <v>580</v>
      </c>
      <c r="F939" s="8" t="s">
        <v>1328</v>
      </c>
    </row>
    <row r="940" spans="1:6" ht="60" x14ac:dyDescent="0.25">
      <c r="A940" s="8" t="s">
        <v>125</v>
      </c>
      <c r="B940" s="8" t="s">
        <v>152</v>
      </c>
      <c r="C940" s="8" t="str">
        <f>IFERROR(_xlfn.XLOOKUP(TRIM(B940),Lookup!$B$2:$B$1000,Lookup!$C$2:$C$1000),"")</f>
        <v>Equity</v>
      </c>
      <c r="D940" s="8" t="str">
        <f>IFERROR(INDEX('nav master'!$C:$C, MATCH(B940, 'nav master'!$B:$B, 0)), "")</f>
        <v>ULIF07528/05/24AlphaIdxFd101</v>
      </c>
      <c r="E940" s="8" t="s">
        <v>582</v>
      </c>
      <c r="F940" s="8" t="s">
        <v>1329</v>
      </c>
    </row>
    <row r="941" spans="1:6" ht="60" x14ac:dyDescent="0.25">
      <c r="A941" s="8" t="s">
        <v>125</v>
      </c>
      <c r="B941" s="8" t="s">
        <v>152</v>
      </c>
      <c r="C941" s="8" t="str">
        <f>IFERROR(_xlfn.XLOOKUP(TRIM(B941),Lookup!$B$2:$B$1000,Lookup!$C$2:$C$1000),"")</f>
        <v>Equity</v>
      </c>
      <c r="D941" s="8" t="str">
        <f>IFERROR(INDEX('nav master'!$C:$C, MATCH(B941, 'nav master'!$B:$B, 0)), "")</f>
        <v>ULIF07528/05/24AlphaIdxFd101</v>
      </c>
      <c r="E941" s="8" t="s">
        <v>584</v>
      </c>
      <c r="F941" s="8" t="s">
        <v>1330</v>
      </c>
    </row>
    <row r="942" spans="1:6" ht="60" x14ac:dyDescent="0.25">
      <c r="A942" s="8" t="s">
        <v>125</v>
      </c>
      <c r="B942" s="8" t="s">
        <v>152</v>
      </c>
      <c r="C942" s="8" t="str">
        <f>IFERROR(_xlfn.XLOOKUP(TRIM(B942),Lookup!$B$2:$B$1000,Lookup!$C$2:$C$1000),"")</f>
        <v>Equity</v>
      </c>
      <c r="D942" s="8" t="str">
        <f>IFERROR(INDEX('nav master'!$C:$C, MATCH(B942, 'nav master'!$B:$B, 0)), "")</f>
        <v>ULIF07528/05/24AlphaIdxFd101</v>
      </c>
      <c r="E942" s="8" t="s">
        <v>586</v>
      </c>
      <c r="F942" s="8" t="s">
        <v>1331</v>
      </c>
    </row>
    <row r="943" spans="1:6" ht="60" x14ac:dyDescent="0.25">
      <c r="A943" s="8" t="s">
        <v>125</v>
      </c>
      <c r="B943" s="8" t="s">
        <v>152</v>
      </c>
      <c r="C943" s="8" t="str">
        <f>IFERROR(_xlfn.XLOOKUP(TRIM(B943),Lookup!$B$2:$B$1000,Lookup!$C$2:$C$1000),"")</f>
        <v>Equity</v>
      </c>
      <c r="D943" s="8" t="str">
        <f>IFERROR(INDEX('nav master'!$C:$C, MATCH(B943, 'nav master'!$B:$B, 0)), "")</f>
        <v>ULIF07528/05/24AlphaIdxFd101</v>
      </c>
      <c r="E943" s="8" t="s">
        <v>588</v>
      </c>
      <c r="F943" s="8" t="s">
        <v>1332</v>
      </c>
    </row>
    <row r="944" spans="1:6" ht="60" x14ac:dyDescent="0.25">
      <c r="A944" s="8" t="s">
        <v>125</v>
      </c>
      <c r="B944" s="8" t="s">
        <v>152</v>
      </c>
      <c r="C944" s="8" t="str">
        <f>IFERROR(_xlfn.XLOOKUP(TRIM(B944),Lookup!$B$2:$B$1000,Lookup!$C$2:$C$1000),"")</f>
        <v>Equity</v>
      </c>
      <c r="D944" s="8" t="str">
        <f>IFERROR(INDEX('nav master'!$C:$C, MATCH(B944, 'nav master'!$B:$B, 0)), "")</f>
        <v>ULIF07528/05/24AlphaIdxFd101</v>
      </c>
      <c r="E944" s="8" t="s">
        <v>590</v>
      </c>
      <c r="F944" s="8" t="s">
        <v>1333</v>
      </c>
    </row>
    <row r="945" spans="1:6" ht="60" x14ac:dyDescent="0.25">
      <c r="A945" s="8" t="s">
        <v>125</v>
      </c>
      <c r="B945" s="8" t="s">
        <v>152</v>
      </c>
      <c r="C945" s="8" t="str">
        <f>IFERROR(_xlfn.XLOOKUP(TRIM(B945),Lookup!$B$2:$B$1000,Lookup!$C$2:$C$1000),"")</f>
        <v>Equity</v>
      </c>
      <c r="D945" s="8" t="str">
        <f>IFERROR(INDEX('nav master'!$C:$C, MATCH(B945, 'nav master'!$B:$B, 0)), "")</f>
        <v>ULIF07528/05/24AlphaIdxFd101</v>
      </c>
      <c r="E945" s="8" t="s">
        <v>592</v>
      </c>
      <c r="F945" s="8" t="s">
        <v>1334</v>
      </c>
    </row>
    <row r="946" spans="1:6" ht="60" x14ac:dyDescent="0.25">
      <c r="A946" s="8" t="s">
        <v>125</v>
      </c>
      <c r="B946" s="8" t="s">
        <v>152</v>
      </c>
      <c r="C946" s="8" t="str">
        <f>IFERROR(_xlfn.XLOOKUP(TRIM(B946),Lookup!$B$2:$B$1000,Lookup!$C$2:$C$1000),"")</f>
        <v>Equity</v>
      </c>
      <c r="D946" s="8" t="str">
        <f>IFERROR(INDEX('nav master'!$C:$C, MATCH(B946, 'nav master'!$B:$B, 0)), "")</f>
        <v>ULIF07528/05/24AlphaIdxFd101</v>
      </c>
      <c r="E946" s="8" t="s">
        <v>594</v>
      </c>
      <c r="F946" s="8" t="s">
        <v>1335</v>
      </c>
    </row>
    <row r="947" spans="1:6" ht="60" x14ac:dyDescent="0.25">
      <c r="A947" s="8" t="s">
        <v>125</v>
      </c>
      <c r="B947" s="8" t="s">
        <v>152</v>
      </c>
      <c r="C947" s="8" t="str">
        <f>IFERROR(_xlfn.XLOOKUP(TRIM(B947),Lookup!$B$2:$B$1000,Lookup!$C$2:$C$1000),"")</f>
        <v>Equity</v>
      </c>
      <c r="D947" s="8" t="str">
        <f>IFERROR(INDEX('nav master'!$C:$C, MATCH(B947, 'nav master'!$B:$B, 0)), "")</f>
        <v>ULIF07528/05/24AlphaIdxFd101</v>
      </c>
      <c r="E947" s="8" t="s">
        <v>596</v>
      </c>
      <c r="F947" s="8" t="s">
        <v>1336</v>
      </c>
    </row>
    <row r="948" spans="1:6" ht="60" x14ac:dyDescent="0.25">
      <c r="A948" s="8" t="s">
        <v>125</v>
      </c>
      <c r="B948" s="8" t="s">
        <v>152</v>
      </c>
      <c r="C948" s="8" t="str">
        <f>IFERROR(_xlfn.XLOOKUP(TRIM(B948),Lookup!$B$2:$B$1000,Lookup!$C$2:$C$1000),"")</f>
        <v>Equity</v>
      </c>
      <c r="D948" s="8" t="str">
        <f>IFERROR(INDEX('nav master'!$C:$C, MATCH(B948, 'nav master'!$B:$B, 0)), "")</f>
        <v>ULIF07528/05/24AlphaIdxFd101</v>
      </c>
      <c r="E948" s="8" t="s">
        <v>598</v>
      </c>
      <c r="F948" s="8" t="s">
        <v>1337</v>
      </c>
    </row>
    <row r="949" spans="1:6" ht="60" x14ac:dyDescent="0.25">
      <c r="A949" s="8" t="s">
        <v>125</v>
      </c>
      <c r="B949" s="8" t="s">
        <v>152</v>
      </c>
      <c r="C949" s="8" t="str">
        <f>IFERROR(_xlfn.XLOOKUP(TRIM(B949),Lookup!$B$2:$B$1000,Lookup!$C$2:$C$1000),"")</f>
        <v>Equity</v>
      </c>
      <c r="D949" s="8" t="str">
        <f>IFERROR(INDEX('nav master'!$C:$C, MATCH(B949, 'nav master'!$B:$B, 0)), "")</f>
        <v>ULIF07528/05/24AlphaIdxFd101</v>
      </c>
      <c r="E949" s="8" t="s">
        <v>600</v>
      </c>
      <c r="F949" s="8" t="s">
        <v>1338</v>
      </c>
    </row>
    <row r="950" spans="1:6" ht="60" x14ac:dyDescent="0.25">
      <c r="A950" s="8" t="s">
        <v>125</v>
      </c>
      <c r="B950" s="8" t="s">
        <v>152</v>
      </c>
      <c r="C950" s="8" t="str">
        <f>IFERROR(_xlfn.XLOOKUP(TRIM(B950),Lookup!$B$2:$B$1000,Lookup!$C$2:$C$1000),"")</f>
        <v>Equity</v>
      </c>
      <c r="D950" s="8" t="str">
        <f>IFERROR(INDEX('nav master'!$C:$C, MATCH(B950, 'nav master'!$B:$B, 0)), "")</f>
        <v>ULIF07528/05/24AlphaIdxFd101</v>
      </c>
      <c r="E950" s="8" t="s">
        <v>602</v>
      </c>
      <c r="F950" s="8" t="s">
        <v>1339</v>
      </c>
    </row>
    <row r="951" spans="1:6" ht="60" x14ac:dyDescent="0.25">
      <c r="A951" s="8" t="s">
        <v>125</v>
      </c>
      <c r="B951" s="8" t="s">
        <v>152</v>
      </c>
      <c r="C951" s="8" t="str">
        <f>IFERROR(_xlfn.XLOOKUP(TRIM(B951),Lookup!$B$2:$B$1000,Lookup!$C$2:$C$1000),"")</f>
        <v>Equity</v>
      </c>
      <c r="D951" s="8" t="str">
        <f>IFERROR(INDEX('nav master'!$C:$C, MATCH(B951, 'nav master'!$B:$B, 0)), "")</f>
        <v>ULIF07528/05/24AlphaIdxFd101</v>
      </c>
      <c r="E951" s="8" t="s">
        <v>604</v>
      </c>
      <c r="F951" s="8" t="s">
        <v>1340</v>
      </c>
    </row>
    <row r="952" spans="1:6" ht="60" x14ac:dyDescent="0.25">
      <c r="A952" s="8" t="s">
        <v>125</v>
      </c>
      <c r="B952" s="8" t="s">
        <v>152</v>
      </c>
      <c r="C952" s="8" t="str">
        <f>IFERROR(_xlfn.XLOOKUP(TRIM(B952),Lookup!$B$2:$B$1000,Lookup!$C$2:$C$1000),"")</f>
        <v>Equity</v>
      </c>
      <c r="D952" s="8" t="str">
        <f>IFERROR(INDEX('nav master'!$C:$C, MATCH(B952, 'nav master'!$B:$B, 0)), "")</f>
        <v>ULIF07528/05/24AlphaIdxFd101</v>
      </c>
      <c r="E952" s="8" t="s">
        <v>606</v>
      </c>
      <c r="F952" s="8" t="s">
        <v>1341</v>
      </c>
    </row>
    <row r="953" spans="1:6" ht="60" x14ac:dyDescent="0.25">
      <c r="A953" s="8" t="s">
        <v>125</v>
      </c>
      <c r="B953" s="8" t="s">
        <v>152</v>
      </c>
      <c r="C953" s="8" t="str">
        <f>IFERROR(_xlfn.XLOOKUP(TRIM(B953),Lookup!$B$2:$B$1000,Lookup!$C$2:$C$1000),"")</f>
        <v>Equity</v>
      </c>
      <c r="D953" s="8" t="str">
        <f>IFERROR(INDEX('nav master'!$C:$C, MATCH(B953, 'nav master'!$B:$B, 0)), "")</f>
        <v>ULIF07528/05/24AlphaIdxFd101</v>
      </c>
      <c r="E953" s="8" t="s">
        <v>608</v>
      </c>
      <c r="F953" s="8" t="s">
        <v>1342</v>
      </c>
    </row>
    <row r="954" spans="1:6" ht="60" x14ac:dyDescent="0.25">
      <c r="A954" s="8" t="s">
        <v>125</v>
      </c>
      <c r="B954" s="8" t="s">
        <v>152</v>
      </c>
      <c r="C954" s="8" t="str">
        <f>IFERROR(_xlfn.XLOOKUP(TRIM(B954),Lookup!$B$2:$B$1000,Lookup!$C$2:$C$1000),"")</f>
        <v>Equity</v>
      </c>
      <c r="D954" s="8" t="str">
        <f>IFERROR(INDEX('nav master'!$C:$C, MATCH(B954, 'nav master'!$B:$B, 0)), "")</f>
        <v>ULIF07528/05/24AlphaIdxFd101</v>
      </c>
      <c r="E954" s="8" t="s">
        <v>610</v>
      </c>
      <c r="F954" s="8" t="s">
        <v>1343</v>
      </c>
    </row>
    <row r="955" spans="1:6" ht="60" x14ac:dyDescent="0.25">
      <c r="A955" s="8" t="s">
        <v>125</v>
      </c>
      <c r="B955" s="8" t="s">
        <v>152</v>
      </c>
      <c r="C955" s="8" t="str">
        <f>IFERROR(_xlfn.XLOOKUP(TRIM(B955),Lookup!$B$2:$B$1000,Lookup!$C$2:$C$1000),"")</f>
        <v>Equity</v>
      </c>
      <c r="D955" s="8" t="str">
        <f>IFERROR(INDEX('nav master'!$C:$C, MATCH(B955, 'nav master'!$B:$B, 0)), "")</f>
        <v>ULIF07528/05/24AlphaIdxFd101</v>
      </c>
      <c r="E955" s="8" t="s">
        <v>612</v>
      </c>
      <c r="F955" s="8" t="s">
        <v>1344</v>
      </c>
    </row>
    <row r="956" spans="1:6" ht="60" x14ac:dyDescent="0.25">
      <c r="A956" s="8" t="s">
        <v>125</v>
      </c>
      <c r="B956" s="8" t="s">
        <v>152</v>
      </c>
      <c r="C956" s="8" t="str">
        <f>IFERROR(_xlfn.XLOOKUP(TRIM(B956),Lookup!$B$2:$B$1000,Lookup!$C$2:$C$1000),"")</f>
        <v>Equity</v>
      </c>
      <c r="D956" s="8" t="str">
        <f>IFERROR(INDEX('nav master'!$C:$C, MATCH(B956, 'nav master'!$B:$B, 0)), "")</f>
        <v>ULIF07528/05/24AlphaIdxFd101</v>
      </c>
      <c r="E956" s="8" t="s">
        <v>614</v>
      </c>
      <c r="F956" s="8" t="s">
        <v>1345</v>
      </c>
    </row>
    <row r="957" spans="1:6" ht="60" x14ac:dyDescent="0.25">
      <c r="A957" s="8" t="s">
        <v>125</v>
      </c>
      <c r="B957" s="8" t="s">
        <v>152</v>
      </c>
      <c r="C957" s="8" t="str">
        <f>IFERROR(_xlfn.XLOOKUP(TRIM(B957),Lookup!$B$2:$B$1000,Lookup!$C$2:$C$1000),"")</f>
        <v>Equity</v>
      </c>
      <c r="D957" s="8" t="str">
        <f>IFERROR(INDEX('nav master'!$C:$C, MATCH(B957, 'nav master'!$B:$B, 0)), "")</f>
        <v>ULIF07528/05/24AlphaIdxFd101</v>
      </c>
      <c r="E957" s="8" t="s">
        <v>616</v>
      </c>
      <c r="F957" s="8" t="s">
        <v>1346</v>
      </c>
    </row>
    <row r="958" spans="1:6" ht="60" x14ac:dyDescent="0.25">
      <c r="A958" s="8" t="s">
        <v>125</v>
      </c>
      <c r="B958" s="8" t="s">
        <v>152</v>
      </c>
      <c r="C958" s="8" t="str">
        <f>IFERROR(_xlfn.XLOOKUP(TRIM(B958),Lookup!$B$2:$B$1000,Lookup!$C$2:$C$1000),"")</f>
        <v>Equity</v>
      </c>
      <c r="D958" s="8" t="str">
        <f>IFERROR(INDEX('nav master'!$C:$C, MATCH(B958, 'nav master'!$B:$B, 0)), "")</f>
        <v>ULIF07528/05/24AlphaIdxFd101</v>
      </c>
      <c r="E958" s="8" t="s">
        <v>618</v>
      </c>
      <c r="F958" s="8" t="s">
        <v>1347</v>
      </c>
    </row>
    <row r="959" spans="1:6" ht="60" x14ac:dyDescent="0.25">
      <c r="A959" s="8" t="s">
        <v>125</v>
      </c>
      <c r="B959" s="8" t="s">
        <v>152</v>
      </c>
      <c r="C959" s="8" t="str">
        <f>IFERROR(_xlfn.XLOOKUP(TRIM(B959),Lookup!$B$2:$B$1000,Lookup!$C$2:$C$1000),"")</f>
        <v>Equity</v>
      </c>
      <c r="D959" s="8" t="str">
        <f>IFERROR(INDEX('nav master'!$C:$C, MATCH(B959, 'nav master'!$B:$B, 0)), "")</f>
        <v>ULIF07528/05/24AlphaIdxFd101</v>
      </c>
      <c r="E959" s="8" t="s">
        <v>620</v>
      </c>
      <c r="F959" s="8" t="s">
        <v>1348</v>
      </c>
    </row>
    <row r="960" spans="1:6" ht="60" x14ac:dyDescent="0.25">
      <c r="A960" s="8" t="s">
        <v>125</v>
      </c>
      <c r="B960" s="8" t="s">
        <v>152</v>
      </c>
      <c r="C960" s="8" t="str">
        <f>IFERROR(_xlfn.XLOOKUP(TRIM(B960),Lookup!$B$2:$B$1000,Lookup!$C$2:$C$1000),"")</f>
        <v>Equity</v>
      </c>
      <c r="D960" s="8" t="str">
        <f>IFERROR(INDEX('nav master'!$C:$C, MATCH(B960, 'nav master'!$B:$B, 0)), "")</f>
        <v>ULIF07528/05/24AlphaIdxFd101</v>
      </c>
      <c r="E960" s="8" t="s">
        <v>622</v>
      </c>
      <c r="F960" s="8" t="s">
        <v>1349</v>
      </c>
    </row>
    <row r="961" spans="1:6" ht="60" x14ac:dyDescent="0.25">
      <c r="A961" s="8" t="s">
        <v>125</v>
      </c>
      <c r="B961" s="8" t="s">
        <v>152</v>
      </c>
      <c r="C961" s="8" t="str">
        <f>IFERROR(_xlfn.XLOOKUP(TRIM(B961),Lookup!$B$2:$B$1000,Lookup!$C$2:$C$1000),"")</f>
        <v>Equity</v>
      </c>
      <c r="D961" s="8" t="str">
        <f>IFERROR(INDEX('nav master'!$C:$C, MATCH(B961, 'nav master'!$B:$B, 0)), "")</f>
        <v>ULIF07528/05/24AlphaIdxFd101</v>
      </c>
      <c r="E961" s="8" t="s">
        <v>624</v>
      </c>
      <c r="F961" s="8" t="s">
        <v>1350</v>
      </c>
    </row>
    <row r="962" spans="1:6" ht="60" x14ac:dyDescent="0.25">
      <c r="A962" s="8" t="s">
        <v>125</v>
      </c>
      <c r="B962" s="8" t="s">
        <v>152</v>
      </c>
      <c r="C962" s="8" t="str">
        <f>IFERROR(_xlfn.XLOOKUP(TRIM(B962),Lookup!$B$2:$B$1000,Lookup!$C$2:$C$1000),"")</f>
        <v>Equity</v>
      </c>
      <c r="D962" s="8" t="str">
        <f>IFERROR(INDEX('nav master'!$C:$C, MATCH(B962, 'nav master'!$B:$B, 0)), "")</f>
        <v>ULIF07528/05/24AlphaIdxFd101</v>
      </c>
      <c r="E962" s="8" t="s">
        <v>626</v>
      </c>
      <c r="F962" s="8" t="s">
        <v>1351</v>
      </c>
    </row>
    <row r="963" spans="1:6" ht="60" x14ac:dyDescent="0.25">
      <c r="A963" s="8" t="s">
        <v>125</v>
      </c>
      <c r="B963" s="8" t="s">
        <v>152</v>
      </c>
      <c r="C963" s="8" t="str">
        <f>IFERROR(_xlfn.XLOOKUP(TRIM(B963),Lookup!$B$2:$B$1000,Lookup!$C$2:$C$1000),"")</f>
        <v>Equity</v>
      </c>
      <c r="D963" s="8" t="str">
        <f>IFERROR(INDEX('nav master'!$C:$C, MATCH(B963, 'nav master'!$B:$B, 0)), "")</f>
        <v>ULIF07528/05/24AlphaIdxFd101</v>
      </c>
      <c r="E963" s="8" t="s">
        <v>628</v>
      </c>
      <c r="F963" s="8" t="s">
        <v>1352</v>
      </c>
    </row>
    <row r="964" spans="1:6" ht="60" x14ac:dyDescent="0.25">
      <c r="A964" s="8" t="s">
        <v>125</v>
      </c>
      <c r="B964" s="8" t="s">
        <v>152</v>
      </c>
      <c r="C964" s="8" t="str">
        <f>IFERROR(_xlfn.XLOOKUP(TRIM(B964),Lookup!$B$2:$B$1000,Lookup!$C$2:$C$1000),"")</f>
        <v>Equity</v>
      </c>
      <c r="D964" s="8" t="str">
        <f>IFERROR(INDEX('nav master'!$C:$C, MATCH(B964, 'nav master'!$B:$B, 0)), "")</f>
        <v>ULIF07528/05/24AlphaIdxFd101</v>
      </c>
      <c r="E964" s="8" t="s">
        <v>630</v>
      </c>
      <c r="F964" s="8" t="s">
        <v>1353</v>
      </c>
    </row>
    <row r="965" spans="1:6" ht="60" x14ac:dyDescent="0.25">
      <c r="A965" s="8" t="s">
        <v>125</v>
      </c>
      <c r="B965" s="8" t="s">
        <v>152</v>
      </c>
      <c r="C965" s="8" t="str">
        <f>IFERROR(_xlfn.XLOOKUP(TRIM(B965),Lookup!$B$2:$B$1000,Lookup!$C$2:$C$1000),"")</f>
        <v>Equity</v>
      </c>
      <c r="D965" s="8" t="str">
        <f>IFERROR(INDEX('nav master'!$C:$C, MATCH(B965, 'nav master'!$B:$B, 0)), "")</f>
        <v>ULIF07528/05/24AlphaIdxFd101</v>
      </c>
      <c r="E965" s="8" t="s">
        <v>632</v>
      </c>
      <c r="F965" s="8" t="s">
        <v>1354</v>
      </c>
    </row>
    <row r="966" spans="1:6" ht="60" x14ac:dyDescent="0.25">
      <c r="A966" s="8" t="s">
        <v>125</v>
      </c>
      <c r="B966" s="8" t="s">
        <v>152</v>
      </c>
      <c r="C966" s="8" t="str">
        <f>IFERROR(_xlfn.XLOOKUP(TRIM(B966),Lookup!$B$2:$B$1000,Lookup!$C$2:$C$1000),"")</f>
        <v>Equity</v>
      </c>
      <c r="D966" s="8" t="str">
        <f>IFERROR(INDEX('nav master'!$C:$C, MATCH(B966, 'nav master'!$B:$B, 0)), "")</f>
        <v>ULIF07528/05/24AlphaIdxFd101</v>
      </c>
      <c r="E966" s="8" t="s">
        <v>634</v>
      </c>
      <c r="F966" s="8" t="s">
        <v>1355</v>
      </c>
    </row>
    <row r="967" spans="1:6" ht="60" x14ac:dyDescent="0.25">
      <c r="A967" s="8" t="s">
        <v>125</v>
      </c>
      <c r="B967" s="8" t="s">
        <v>152</v>
      </c>
      <c r="C967" s="8" t="str">
        <f>IFERROR(_xlfn.XLOOKUP(TRIM(B967),Lookup!$B$2:$B$1000,Lookup!$C$2:$C$1000),"")</f>
        <v>Equity</v>
      </c>
      <c r="D967" s="8" t="str">
        <f>IFERROR(INDEX('nav master'!$C:$C, MATCH(B967, 'nav master'!$B:$B, 0)), "")</f>
        <v>ULIF07528/05/24AlphaIdxFd101</v>
      </c>
      <c r="E967" s="8" t="s">
        <v>636</v>
      </c>
      <c r="F967" s="8" t="s">
        <v>1356</v>
      </c>
    </row>
    <row r="968" spans="1:6" ht="60" x14ac:dyDescent="0.25">
      <c r="A968" s="8" t="s">
        <v>125</v>
      </c>
      <c r="B968" s="8" t="s">
        <v>152</v>
      </c>
      <c r="C968" s="8" t="str">
        <f>IFERROR(_xlfn.XLOOKUP(TRIM(B968),Lookup!$B$2:$B$1000,Lookup!$C$2:$C$1000),"")</f>
        <v>Equity</v>
      </c>
      <c r="D968" s="8" t="str">
        <f>IFERROR(INDEX('nav master'!$C:$C, MATCH(B968, 'nav master'!$B:$B, 0)), "")</f>
        <v>ULIF07528/05/24AlphaIdxFd101</v>
      </c>
      <c r="E968" s="8" t="s">
        <v>638</v>
      </c>
      <c r="F968" s="8" t="s">
        <v>1357</v>
      </c>
    </row>
    <row r="969" spans="1:6" ht="60" x14ac:dyDescent="0.25">
      <c r="A969" s="8" t="s">
        <v>125</v>
      </c>
      <c r="B969" s="8" t="s">
        <v>152</v>
      </c>
      <c r="C969" s="8" t="str">
        <f>IFERROR(_xlfn.XLOOKUP(TRIM(B969),Lookup!$B$2:$B$1000,Lookup!$C$2:$C$1000),"")</f>
        <v>Equity</v>
      </c>
      <c r="D969" s="8" t="str">
        <f>IFERROR(INDEX('nav master'!$C:$C, MATCH(B969, 'nav master'!$B:$B, 0)), "")</f>
        <v>ULIF07528/05/24AlphaIdxFd101</v>
      </c>
      <c r="E969" s="8" t="s">
        <v>640</v>
      </c>
      <c r="F969" s="8" t="s">
        <v>1358</v>
      </c>
    </row>
    <row r="970" spans="1:6" ht="60" x14ac:dyDescent="0.25">
      <c r="A970" s="8" t="s">
        <v>125</v>
      </c>
      <c r="B970" s="8" t="s">
        <v>152</v>
      </c>
      <c r="C970" s="8" t="str">
        <f>IFERROR(_xlfn.XLOOKUP(TRIM(B970),Lookup!$B$2:$B$1000,Lookup!$C$2:$C$1000),"")</f>
        <v>Equity</v>
      </c>
      <c r="D970" s="8" t="str">
        <f>IFERROR(INDEX('nav master'!$C:$C, MATCH(B970, 'nav master'!$B:$B, 0)), "")</f>
        <v>ULIF07528/05/24AlphaIdxFd101</v>
      </c>
      <c r="E970" s="8" t="s">
        <v>642</v>
      </c>
      <c r="F970" s="8" t="s">
        <v>1359</v>
      </c>
    </row>
    <row r="971" spans="1:6" ht="60" x14ac:dyDescent="0.25">
      <c r="A971" s="8" t="s">
        <v>125</v>
      </c>
      <c r="B971" s="8" t="s">
        <v>152</v>
      </c>
      <c r="C971" s="8" t="str">
        <f>IFERROR(_xlfn.XLOOKUP(TRIM(B971),Lookup!$B$2:$B$1000,Lookup!$C$2:$C$1000),"")</f>
        <v>Equity</v>
      </c>
      <c r="D971" s="8" t="str">
        <f>IFERROR(INDEX('nav master'!$C:$C, MATCH(B971, 'nav master'!$B:$B, 0)), "")</f>
        <v>ULIF07528/05/24AlphaIdxFd101</v>
      </c>
      <c r="E971" s="8" t="s">
        <v>644</v>
      </c>
      <c r="F971" s="8" t="s">
        <v>1360</v>
      </c>
    </row>
    <row r="972" spans="1:6" ht="60" x14ac:dyDescent="0.25">
      <c r="A972" s="8" t="s">
        <v>125</v>
      </c>
      <c r="B972" s="8" t="s">
        <v>152</v>
      </c>
      <c r="C972" s="8" t="str">
        <f>IFERROR(_xlfn.XLOOKUP(TRIM(B972),Lookup!$B$2:$B$1000,Lookup!$C$2:$C$1000),"")</f>
        <v>Equity</v>
      </c>
      <c r="D972" s="8" t="str">
        <f>IFERROR(INDEX('nav master'!$C:$C, MATCH(B972, 'nav master'!$B:$B, 0)), "")</f>
        <v>ULIF07528/05/24AlphaIdxFd101</v>
      </c>
      <c r="E972" s="8" t="s">
        <v>646</v>
      </c>
      <c r="F972" s="8" t="s">
        <v>1361</v>
      </c>
    </row>
    <row r="973" spans="1:6" ht="60" x14ac:dyDescent="0.25">
      <c r="A973" s="8" t="s">
        <v>125</v>
      </c>
      <c r="B973" s="8" t="s">
        <v>152</v>
      </c>
      <c r="C973" s="8" t="str">
        <f>IFERROR(_xlfn.XLOOKUP(TRIM(B973),Lookup!$B$2:$B$1000,Lookup!$C$2:$C$1000),"")</f>
        <v>Equity</v>
      </c>
      <c r="D973" s="8" t="str">
        <f>IFERROR(INDEX('nav master'!$C:$C, MATCH(B973, 'nav master'!$B:$B, 0)), "")</f>
        <v>ULIF07528/05/24AlphaIdxFd101</v>
      </c>
      <c r="E973" s="8" t="s">
        <v>648</v>
      </c>
      <c r="F973" s="8" t="s">
        <v>1362</v>
      </c>
    </row>
    <row r="974" spans="1:6" ht="60" x14ac:dyDescent="0.25">
      <c r="A974" s="8" t="s">
        <v>125</v>
      </c>
      <c r="B974" s="8" t="s">
        <v>152</v>
      </c>
      <c r="C974" s="8" t="str">
        <f>IFERROR(_xlfn.XLOOKUP(TRIM(B974),Lookup!$B$2:$B$1000,Lookup!$C$2:$C$1000),"")</f>
        <v>Equity</v>
      </c>
      <c r="D974" s="8" t="str">
        <f>IFERROR(INDEX('nav master'!$C:$C, MATCH(B974, 'nav master'!$B:$B, 0)), "")</f>
        <v>ULIF07528/05/24AlphaIdxFd101</v>
      </c>
      <c r="E974" s="8" t="s">
        <v>650</v>
      </c>
      <c r="F974" s="8" t="s">
        <v>1363</v>
      </c>
    </row>
    <row r="975" spans="1:6" ht="60" x14ac:dyDescent="0.25">
      <c r="A975" s="8" t="s">
        <v>125</v>
      </c>
      <c r="B975" s="8" t="s">
        <v>152</v>
      </c>
      <c r="C975" s="8" t="str">
        <f>IFERROR(_xlfn.XLOOKUP(TRIM(B975),Lookup!$B$2:$B$1000,Lookup!$C$2:$C$1000),"")</f>
        <v>Equity</v>
      </c>
      <c r="D975" s="8" t="str">
        <f>IFERROR(INDEX('nav master'!$C:$C, MATCH(B975, 'nav master'!$B:$B, 0)), "")</f>
        <v>ULIF07528/05/24AlphaIdxFd101</v>
      </c>
      <c r="E975" s="8" t="s">
        <v>652</v>
      </c>
      <c r="F975" s="8" t="s">
        <v>1364</v>
      </c>
    </row>
    <row r="976" spans="1:6" ht="60" x14ac:dyDescent="0.25">
      <c r="A976" s="8" t="s">
        <v>125</v>
      </c>
      <c r="B976" s="8" t="s">
        <v>152</v>
      </c>
      <c r="C976" s="8" t="str">
        <f>IFERROR(_xlfn.XLOOKUP(TRIM(B976),Lookup!$B$2:$B$1000,Lookup!$C$2:$C$1000),"")</f>
        <v>Equity</v>
      </c>
      <c r="D976" s="8" t="str">
        <f>IFERROR(INDEX('nav master'!$C:$C, MATCH(B976, 'nav master'!$B:$B, 0)), "")</f>
        <v>ULIF07528/05/24AlphaIdxFd101</v>
      </c>
      <c r="E976" s="8" t="s">
        <v>654</v>
      </c>
      <c r="F976" s="8" t="s">
        <v>1365</v>
      </c>
    </row>
    <row r="977" spans="1:6" ht="60" x14ac:dyDescent="0.25">
      <c r="A977" s="8" t="s">
        <v>125</v>
      </c>
      <c r="B977" s="8" t="s">
        <v>152</v>
      </c>
      <c r="C977" s="8" t="str">
        <f>IFERROR(_xlfn.XLOOKUP(TRIM(B977),Lookup!$B$2:$B$1000,Lookup!$C$2:$C$1000),"")</f>
        <v>Equity</v>
      </c>
      <c r="D977" s="8" t="str">
        <f>IFERROR(INDEX('nav master'!$C:$C, MATCH(B977, 'nav master'!$B:$B, 0)), "")</f>
        <v>ULIF07528/05/24AlphaIdxFd101</v>
      </c>
      <c r="E977" s="8" t="s">
        <v>656</v>
      </c>
      <c r="F977" s="8" t="s">
        <v>1366</v>
      </c>
    </row>
    <row r="978" spans="1:6" ht="60" x14ac:dyDescent="0.25">
      <c r="A978" s="8" t="s">
        <v>125</v>
      </c>
      <c r="B978" s="8" t="s">
        <v>152</v>
      </c>
      <c r="C978" s="8" t="str">
        <f>IFERROR(_xlfn.XLOOKUP(TRIM(B978),Lookup!$B$2:$B$1000,Lookup!$C$2:$C$1000),"")</f>
        <v>Equity</v>
      </c>
      <c r="D978" s="8" t="str">
        <f>IFERROR(INDEX('nav master'!$C:$C, MATCH(B978, 'nav master'!$B:$B, 0)), "")</f>
        <v>ULIF07528/05/24AlphaIdxFd101</v>
      </c>
      <c r="E978" s="8" t="s">
        <v>658</v>
      </c>
      <c r="F978" s="8" t="s">
        <v>1367</v>
      </c>
    </row>
    <row r="979" spans="1:6" ht="60" x14ac:dyDescent="0.25">
      <c r="A979" s="8" t="s">
        <v>125</v>
      </c>
      <c r="B979" s="8" t="s">
        <v>152</v>
      </c>
      <c r="C979" s="8" t="str">
        <f>IFERROR(_xlfn.XLOOKUP(TRIM(B979),Lookup!$B$2:$B$1000,Lookup!$C$2:$C$1000),"")</f>
        <v>Equity</v>
      </c>
      <c r="D979" s="8" t="str">
        <f>IFERROR(INDEX('nav master'!$C:$C, MATCH(B979, 'nav master'!$B:$B, 0)), "")</f>
        <v>ULIF07528/05/24AlphaIdxFd101</v>
      </c>
      <c r="E979" s="8" t="s">
        <v>660</v>
      </c>
      <c r="F979" s="8" t="s">
        <v>1368</v>
      </c>
    </row>
    <row r="980" spans="1:6" ht="60" x14ac:dyDescent="0.25">
      <c r="A980" s="8" t="s">
        <v>125</v>
      </c>
      <c r="B980" s="8" t="s">
        <v>152</v>
      </c>
      <c r="C980" s="8" t="str">
        <f>IFERROR(_xlfn.XLOOKUP(TRIM(B980),Lookup!$B$2:$B$1000,Lookup!$C$2:$C$1000),"")</f>
        <v>Equity</v>
      </c>
      <c r="D980" s="8" t="str">
        <f>IFERROR(INDEX('nav master'!$C:$C, MATCH(B980, 'nav master'!$B:$B, 0)), "")</f>
        <v>ULIF07528/05/24AlphaIdxFd101</v>
      </c>
      <c r="E980" s="8" t="s">
        <v>662</v>
      </c>
      <c r="F980" s="8" t="s">
        <v>1369</v>
      </c>
    </row>
    <row r="981" spans="1:6" ht="60" x14ac:dyDescent="0.25">
      <c r="A981" s="8" t="s">
        <v>125</v>
      </c>
      <c r="B981" s="8" t="s">
        <v>152</v>
      </c>
      <c r="C981" s="8" t="str">
        <f>IFERROR(_xlfn.XLOOKUP(TRIM(B981),Lookup!$B$2:$B$1000,Lookup!$C$2:$C$1000),"")</f>
        <v>Equity</v>
      </c>
      <c r="D981" s="8" t="str">
        <f>IFERROR(INDEX('nav master'!$C:$C, MATCH(B981, 'nav master'!$B:$B, 0)), "")</f>
        <v>ULIF07528/05/24AlphaIdxFd101</v>
      </c>
      <c r="E981" s="8" t="s">
        <v>664</v>
      </c>
      <c r="F981" s="8" t="s">
        <v>1370</v>
      </c>
    </row>
    <row r="982" spans="1:6" ht="60" x14ac:dyDescent="0.25">
      <c r="A982" s="8" t="s">
        <v>125</v>
      </c>
      <c r="B982" s="8" t="s">
        <v>152</v>
      </c>
      <c r="C982" s="8" t="str">
        <f>IFERROR(_xlfn.XLOOKUP(TRIM(B982),Lookup!$B$2:$B$1000,Lookup!$C$2:$C$1000),"")</f>
        <v>Equity</v>
      </c>
      <c r="D982" s="8" t="str">
        <f>IFERROR(INDEX('nav master'!$C:$C, MATCH(B982, 'nav master'!$B:$B, 0)), "")</f>
        <v>ULIF07528/05/24AlphaIdxFd101</v>
      </c>
      <c r="E982" s="8" t="s">
        <v>4892</v>
      </c>
      <c r="F982" s="8" t="s">
        <v>4923</v>
      </c>
    </row>
    <row r="983" spans="1:6" ht="60" x14ac:dyDescent="0.25">
      <c r="A983" s="8" t="s">
        <v>125</v>
      </c>
      <c r="B983" s="8" t="s">
        <v>152</v>
      </c>
      <c r="C983" s="8" t="str">
        <f>IFERROR(_xlfn.XLOOKUP(TRIM(B983),Lookup!$B$2:$B$1000,Lookup!$C$2:$C$1000),"")</f>
        <v>Equity</v>
      </c>
      <c r="D983" s="8" t="str">
        <f>IFERROR(INDEX('nav master'!$C:$C, MATCH(B983, 'nav master'!$B:$B, 0)), "")</f>
        <v>ULIF07528/05/24AlphaIdxFd101</v>
      </c>
      <c r="E983" s="8" t="s">
        <v>4894</v>
      </c>
      <c r="F983" s="8" t="s">
        <v>4924</v>
      </c>
    </row>
    <row r="984" spans="1:6" ht="60" x14ac:dyDescent="0.25">
      <c r="A984" s="8" t="s">
        <v>125</v>
      </c>
      <c r="B984" s="8" t="s">
        <v>152</v>
      </c>
      <c r="C984" s="8" t="str">
        <f>IFERROR(_xlfn.XLOOKUP(TRIM(B984),Lookup!$B$2:$B$1000,Lookup!$C$2:$C$1000),"")</f>
        <v>Equity</v>
      </c>
      <c r="D984" s="8" t="str">
        <f>IFERROR(INDEX('nav master'!$C:$C, MATCH(B984, 'nav master'!$B:$B, 0)), "")</f>
        <v>ULIF07528/05/24AlphaIdxFd101</v>
      </c>
      <c r="E984" s="8" t="s">
        <v>4896</v>
      </c>
      <c r="F984" s="8" t="s">
        <v>4925</v>
      </c>
    </row>
    <row r="985" spans="1:6" ht="60" x14ac:dyDescent="0.25">
      <c r="A985" s="8" t="s">
        <v>125</v>
      </c>
      <c r="B985" s="8" t="s">
        <v>152</v>
      </c>
      <c r="C985" s="8" t="str">
        <f>IFERROR(_xlfn.XLOOKUP(TRIM(B985),Lookup!$B$2:$B$1000,Lookup!$C$2:$C$1000),"")</f>
        <v>Equity</v>
      </c>
      <c r="D985" s="8" t="str">
        <f>IFERROR(INDEX('nav master'!$C:$C, MATCH(B985, 'nav master'!$B:$B, 0)), "")</f>
        <v>ULIF07528/05/24AlphaIdxFd101</v>
      </c>
      <c r="E985" s="8" t="s">
        <v>4898</v>
      </c>
      <c r="F985" s="8" t="s">
        <v>4926</v>
      </c>
    </row>
    <row r="986" spans="1:6" ht="60" x14ac:dyDescent="0.25">
      <c r="A986" s="8" t="s">
        <v>125</v>
      </c>
      <c r="B986" s="8" t="s">
        <v>152</v>
      </c>
      <c r="C986" s="8" t="str">
        <f>IFERROR(_xlfn.XLOOKUP(TRIM(B986),Lookup!$B$2:$B$1000,Lookup!$C$2:$C$1000),"")</f>
        <v>Equity</v>
      </c>
      <c r="D986" s="8" t="str">
        <f>IFERROR(INDEX('nav master'!$C:$C, MATCH(B986, 'nav master'!$B:$B, 0)), "")</f>
        <v>ULIF07528/05/24AlphaIdxFd101</v>
      </c>
      <c r="E986" s="8" t="s">
        <v>4900</v>
      </c>
      <c r="F986" s="8" t="s">
        <v>1361</v>
      </c>
    </row>
    <row r="987" spans="1:6" ht="60" x14ac:dyDescent="0.25">
      <c r="A987" s="8" t="s">
        <v>125</v>
      </c>
      <c r="B987" s="8" t="s">
        <v>152</v>
      </c>
      <c r="C987" s="8" t="str">
        <f>IFERROR(_xlfn.XLOOKUP(TRIM(B987),Lookup!$B$2:$B$1000,Lookup!$C$2:$C$1000),"")</f>
        <v>Equity</v>
      </c>
      <c r="D987" s="8" t="str">
        <f>IFERROR(INDEX('nav master'!$C:$C, MATCH(B987, 'nav master'!$B:$B, 0)), "")</f>
        <v>ULIF07528/05/24AlphaIdxFd101</v>
      </c>
      <c r="E987" s="8" t="s">
        <v>4902</v>
      </c>
      <c r="F987" s="8" t="s">
        <v>4927</v>
      </c>
    </row>
    <row r="988" spans="1:6" ht="60" x14ac:dyDescent="0.25">
      <c r="A988" s="8" t="s">
        <v>125</v>
      </c>
      <c r="B988" s="8" t="s">
        <v>152</v>
      </c>
      <c r="C988" s="8" t="str">
        <f>IFERROR(_xlfn.XLOOKUP(TRIM(B988),Lookup!$B$2:$B$1000,Lookup!$C$2:$C$1000),"")</f>
        <v>Equity</v>
      </c>
      <c r="D988" s="8" t="str">
        <f>IFERROR(INDEX('nav master'!$C:$C, MATCH(B988, 'nav master'!$B:$B, 0)), "")</f>
        <v>ULIF07528/05/24AlphaIdxFd101</v>
      </c>
      <c r="E988" s="8" t="s">
        <v>4903</v>
      </c>
      <c r="F988" s="8" t="s">
        <v>4928</v>
      </c>
    </row>
    <row r="989" spans="1:6" ht="60" x14ac:dyDescent="0.25">
      <c r="A989" s="8" t="s">
        <v>125</v>
      </c>
      <c r="B989" s="8" t="s">
        <v>152</v>
      </c>
      <c r="C989" s="8" t="str">
        <f>IFERROR(_xlfn.XLOOKUP(TRIM(B989),Lookup!$B$2:$B$1000,Lookup!$C$2:$C$1000),"")</f>
        <v>Equity</v>
      </c>
      <c r="D989" s="8" t="str">
        <f>IFERROR(INDEX('nav master'!$C:$C, MATCH(B989, 'nav master'!$B:$B, 0)), "")</f>
        <v>ULIF07528/05/24AlphaIdxFd101</v>
      </c>
      <c r="E989" s="8" t="s">
        <v>4905</v>
      </c>
      <c r="F989" s="8" t="s">
        <v>4929</v>
      </c>
    </row>
    <row r="990" spans="1:6" ht="60" x14ac:dyDescent="0.25">
      <c r="A990" s="8" t="s">
        <v>125</v>
      </c>
      <c r="B990" s="8" t="s">
        <v>154</v>
      </c>
      <c r="C990" s="8" t="str">
        <f>IFERROR(_xlfn.XLOOKUP(TRIM(B990),Lookup!$B$2:$B$1000,Lookup!$C$2:$C$1000),"")</f>
        <v>Equity</v>
      </c>
      <c r="D990" s="8" t="str">
        <f>IFERROR(INDEX('nav master'!$C:$C, MATCH(B990, 'nav master'!$B:$B, 0)), "")</f>
        <v>ULIF07616/10/24Top500MoFd101</v>
      </c>
      <c r="E990" s="8" t="s">
        <v>189</v>
      </c>
      <c r="F990" s="8" t="s">
        <v>1372</v>
      </c>
    </row>
    <row r="991" spans="1:6" ht="60" x14ac:dyDescent="0.25">
      <c r="A991" s="8" t="s">
        <v>125</v>
      </c>
      <c r="B991" s="8" t="s">
        <v>154</v>
      </c>
      <c r="C991" s="8" t="str">
        <f>IFERROR(_xlfn.XLOOKUP(TRIM(B991),Lookup!$B$2:$B$1000,Lookup!$C$2:$C$1000),"")</f>
        <v>Equity</v>
      </c>
      <c r="D991" s="8" t="str">
        <f>IFERROR(INDEX('nav master'!$C:$C, MATCH(B991, 'nav master'!$B:$B, 0)), "")</f>
        <v>ULIF07616/10/24Top500MoFd101</v>
      </c>
      <c r="E991" s="8" t="s">
        <v>191</v>
      </c>
      <c r="F991" s="8" t="s">
        <v>1373</v>
      </c>
    </row>
    <row r="992" spans="1:6" ht="60" x14ac:dyDescent="0.25">
      <c r="A992" s="8" t="s">
        <v>125</v>
      </c>
      <c r="B992" s="8" t="s">
        <v>154</v>
      </c>
      <c r="C992" s="8" t="str">
        <f>IFERROR(_xlfn.XLOOKUP(TRIM(B992),Lookup!$B$2:$B$1000,Lookup!$C$2:$C$1000),"")</f>
        <v>Equity</v>
      </c>
      <c r="D992" s="8" t="str">
        <f>IFERROR(INDEX('nav master'!$C:$C, MATCH(B992, 'nav master'!$B:$B, 0)), "")</f>
        <v>ULIF07616/10/24Top500MoFd101</v>
      </c>
      <c r="E992" s="8" t="s">
        <v>193</v>
      </c>
      <c r="F992" s="8" t="s">
        <v>1374</v>
      </c>
    </row>
    <row r="993" spans="1:6" ht="60" x14ac:dyDescent="0.25">
      <c r="A993" s="8" t="s">
        <v>125</v>
      </c>
      <c r="B993" s="8" t="s">
        <v>154</v>
      </c>
      <c r="C993" s="8" t="str">
        <f>IFERROR(_xlfn.XLOOKUP(TRIM(B993),Lookup!$B$2:$B$1000,Lookup!$C$2:$C$1000),"")</f>
        <v>Equity</v>
      </c>
      <c r="D993" s="8" t="str">
        <f>IFERROR(INDEX('nav master'!$C:$C, MATCH(B993, 'nav master'!$B:$B, 0)), "")</f>
        <v>ULIF07616/10/24Top500MoFd101</v>
      </c>
      <c r="E993" s="8" t="s">
        <v>195</v>
      </c>
      <c r="F993" s="8" t="s">
        <v>1375</v>
      </c>
    </row>
    <row r="994" spans="1:6" ht="60" x14ac:dyDescent="0.25">
      <c r="A994" s="8" t="s">
        <v>125</v>
      </c>
      <c r="B994" s="8" t="s">
        <v>154</v>
      </c>
      <c r="C994" s="8" t="str">
        <f>IFERROR(_xlfn.XLOOKUP(TRIM(B994),Lookup!$B$2:$B$1000,Lookup!$C$2:$C$1000),"")</f>
        <v>Equity</v>
      </c>
      <c r="D994" s="8" t="str">
        <f>IFERROR(INDEX('nav master'!$C:$C, MATCH(B994, 'nav master'!$B:$B, 0)), "")</f>
        <v>ULIF07616/10/24Top500MoFd101</v>
      </c>
      <c r="E994" s="8" t="s">
        <v>197</v>
      </c>
      <c r="F994" s="8" t="s">
        <v>1376</v>
      </c>
    </row>
    <row r="995" spans="1:6" ht="60" x14ac:dyDescent="0.25">
      <c r="A995" s="8" t="s">
        <v>125</v>
      </c>
      <c r="B995" s="8" t="s">
        <v>154</v>
      </c>
      <c r="C995" s="8" t="str">
        <f>IFERROR(_xlfn.XLOOKUP(TRIM(B995),Lookup!$B$2:$B$1000,Lookup!$C$2:$C$1000),"")</f>
        <v>Equity</v>
      </c>
      <c r="D995" s="8" t="str">
        <f>IFERROR(INDEX('nav master'!$C:$C, MATCH(B995, 'nav master'!$B:$B, 0)), "")</f>
        <v>ULIF07616/10/24Top500MoFd101</v>
      </c>
      <c r="E995" s="8" t="s">
        <v>199</v>
      </c>
      <c r="F995" s="8" t="s">
        <v>1377</v>
      </c>
    </row>
    <row r="996" spans="1:6" ht="60" x14ac:dyDescent="0.25">
      <c r="A996" s="8" t="s">
        <v>125</v>
      </c>
      <c r="B996" s="8" t="s">
        <v>154</v>
      </c>
      <c r="C996" s="8" t="str">
        <f>IFERROR(_xlfn.XLOOKUP(TRIM(B996),Lookup!$B$2:$B$1000,Lookup!$C$2:$C$1000),"")</f>
        <v>Equity</v>
      </c>
      <c r="D996" s="8" t="str">
        <f>IFERROR(INDEX('nav master'!$C:$C, MATCH(B996, 'nav master'!$B:$B, 0)), "")</f>
        <v>ULIF07616/10/24Top500MoFd101</v>
      </c>
      <c r="E996" s="8" t="s">
        <v>201</v>
      </c>
      <c r="F996" s="8" t="s">
        <v>1378</v>
      </c>
    </row>
    <row r="997" spans="1:6" ht="60" x14ac:dyDescent="0.25">
      <c r="A997" s="8" t="s">
        <v>125</v>
      </c>
      <c r="B997" s="8" t="s">
        <v>154</v>
      </c>
      <c r="C997" s="8" t="str">
        <f>IFERROR(_xlfn.XLOOKUP(TRIM(B997),Lookup!$B$2:$B$1000,Lookup!$C$2:$C$1000),"")</f>
        <v>Equity</v>
      </c>
      <c r="D997" s="8" t="str">
        <f>IFERROR(INDEX('nav master'!$C:$C, MATCH(B997, 'nav master'!$B:$B, 0)), "")</f>
        <v>ULIF07616/10/24Top500MoFd101</v>
      </c>
      <c r="E997" s="8" t="s">
        <v>203</v>
      </c>
      <c r="F997" s="8" t="s">
        <v>1317</v>
      </c>
    </row>
    <row r="998" spans="1:6" ht="60" x14ac:dyDescent="0.25">
      <c r="A998" s="8" t="s">
        <v>125</v>
      </c>
      <c r="B998" s="8" t="s">
        <v>154</v>
      </c>
      <c r="C998" s="8" t="str">
        <f>IFERROR(_xlfn.XLOOKUP(TRIM(B998),Lookup!$B$2:$B$1000,Lookup!$C$2:$C$1000),"")</f>
        <v>Equity</v>
      </c>
      <c r="D998" s="8" t="str">
        <f>IFERROR(INDEX('nav master'!$C:$C, MATCH(B998, 'nav master'!$B:$B, 0)), "")</f>
        <v>ULIF07616/10/24Top500MoFd101</v>
      </c>
      <c r="E998" s="8" t="s">
        <v>205</v>
      </c>
      <c r="F998" s="8" t="s">
        <v>1379</v>
      </c>
    </row>
    <row r="999" spans="1:6" ht="60" x14ac:dyDescent="0.25">
      <c r="A999" s="8" t="s">
        <v>125</v>
      </c>
      <c r="B999" s="8" t="s">
        <v>154</v>
      </c>
      <c r="C999" s="8" t="str">
        <f>IFERROR(_xlfn.XLOOKUP(TRIM(B999),Lookup!$B$2:$B$1000,Lookup!$C$2:$C$1000),"")</f>
        <v>Equity</v>
      </c>
      <c r="D999" s="8" t="str">
        <f>IFERROR(INDEX('nav master'!$C:$C, MATCH(B999, 'nav master'!$B:$B, 0)), "")</f>
        <v>ULIF07616/10/24Top500MoFd101</v>
      </c>
      <c r="E999" s="8" t="s">
        <v>207</v>
      </c>
      <c r="F999" s="8" t="s">
        <v>1380</v>
      </c>
    </row>
    <row r="1000" spans="1:6" ht="60" x14ac:dyDescent="0.25">
      <c r="A1000" s="8" t="s">
        <v>125</v>
      </c>
      <c r="B1000" s="8" t="s">
        <v>154</v>
      </c>
      <c r="C1000" s="8" t="str">
        <f>IFERROR(_xlfn.XLOOKUP(TRIM(B1000),Lookup!$B$2:$B$1000,Lookup!$C$2:$C$1000),"")</f>
        <v>Equity</v>
      </c>
      <c r="D1000" s="8" t="str">
        <f>IFERROR(INDEX('nav master'!$C:$C, MATCH(B1000, 'nav master'!$B:$B, 0)), "")</f>
        <v>ULIF07616/10/24Top500MoFd101</v>
      </c>
      <c r="E1000" s="8" t="s">
        <v>209</v>
      </c>
      <c r="F1000" s="8" t="s">
        <v>1381</v>
      </c>
    </row>
    <row r="1001" spans="1:6" ht="60" x14ac:dyDescent="0.25">
      <c r="A1001" s="8" t="s">
        <v>125</v>
      </c>
      <c r="B1001" s="8" t="s">
        <v>154</v>
      </c>
      <c r="C1001" s="8" t="str">
        <f>IFERROR(_xlfn.XLOOKUP(TRIM(B1001),Lookup!$B$2:$B$1000,Lookup!$C$2:$C$1000),"")</f>
        <v>Equity</v>
      </c>
      <c r="D1001" s="8" t="str">
        <f>IFERROR(INDEX('nav master'!$C:$C, MATCH(B1001, 'nav master'!$B:$B, 0)), "")</f>
        <v>ULIF07616/10/24Top500MoFd101</v>
      </c>
      <c r="E1001" s="8" t="s">
        <v>211</v>
      </c>
      <c r="F1001" s="8" t="s">
        <v>1382</v>
      </c>
    </row>
    <row r="1002" spans="1:6" ht="60" x14ac:dyDescent="0.25">
      <c r="A1002" s="8" t="s">
        <v>125</v>
      </c>
      <c r="B1002" s="8" t="s">
        <v>154</v>
      </c>
      <c r="C1002" s="8" t="str">
        <f>IFERROR(_xlfn.XLOOKUP(TRIM(B1002),Lookup!$B$2:$B$1000,Lookup!$C$2:$C$1000),"")</f>
        <v>Equity</v>
      </c>
      <c r="D1002" s="8" t="str">
        <f>IFERROR(INDEX('nav master'!$C:$C, MATCH(B1002, 'nav master'!$B:$B, 0)), "")</f>
        <v>ULIF07616/10/24Top500MoFd101</v>
      </c>
      <c r="E1002" s="8" t="s">
        <v>213</v>
      </c>
      <c r="F1002" s="8" t="s">
        <v>1383</v>
      </c>
    </row>
    <row r="1003" spans="1:6" ht="60" x14ac:dyDescent="0.25">
      <c r="A1003" s="8" t="s">
        <v>125</v>
      </c>
      <c r="B1003" s="8" t="s">
        <v>154</v>
      </c>
      <c r="C1003" s="8" t="str">
        <f>IFERROR(_xlfn.XLOOKUP(TRIM(B1003),Lookup!$B$2:$B$1000,Lookup!$C$2:$C$1000),"")</f>
        <v>Equity</v>
      </c>
      <c r="D1003" s="8" t="str">
        <f>IFERROR(INDEX('nav master'!$C:$C, MATCH(B1003, 'nav master'!$B:$B, 0)), "")</f>
        <v>ULIF07616/10/24Top500MoFd101</v>
      </c>
      <c r="E1003" s="8" t="s">
        <v>215</v>
      </c>
      <c r="F1003" s="8" t="s">
        <v>1384</v>
      </c>
    </row>
    <row r="1004" spans="1:6" ht="60" x14ac:dyDescent="0.25">
      <c r="A1004" s="8" t="s">
        <v>125</v>
      </c>
      <c r="B1004" s="8" t="s">
        <v>154</v>
      </c>
      <c r="C1004" s="8" t="str">
        <f>IFERROR(_xlfn.XLOOKUP(TRIM(B1004),Lookup!$B$2:$B$1000,Lookup!$C$2:$C$1000),"")</f>
        <v>Equity</v>
      </c>
      <c r="D1004" s="8" t="str">
        <f>IFERROR(INDEX('nav master'!$C:$C, MATCH(B1004, 'nav master'!$B:$B, 0)), "")</f>
        <v>ULIF07616/10/24Top500MoFd101</v>
      </c>
      <c r="E1004" s="8" t="s">
        <v>217</v>
      </c>
      <c r="F1004" s="8" t="s">
        <v>1385</v>
      </c>
    </row>
    <row r="1005" spans="1:6" ht="60" x14ac:dyDescent="0.25">
      <c r="A1005" s="8" t="s">
        <v>125</v>
      </c>
      <c r="B1005" s="8" t="s">
        <v>154</v>
      </c>
      <c r="C1005" s="8" t="str">
        <f>IFERROR(_xlfn.XLOOKUP(TRIM(B1005),Lookup!$B$2:$B$1000,Lookup!$C$2:$C$1000),"")</f>
        <v>Equity</v>
      </c>
      <c r="D1005" s="8" t="str">
        <f>IFERROR(INDEX('nav master'!$C:$C, MATCH(B1005, 'nav master'!$B:$B, 0)), "")</f>
        <v>ULIF07616/10/24Top500MoFd101</v>
      </c>
      <c r="E1005" s="8" t="s">
        <v>219</v>
      </c>
      <c r="F1005" s="8" t="s">
        <v>1386</v>
      </c>
    </row>
    <row r="1006" spans="1:6" ht="60" x14ac:dyDescent="0.25">
      <c r="A1006" s="8" t="s">
        <v>125</v>
      </c>
      <c r="B1006" s="8" t="s">
        <v>154</v>
      </c>
      <c r="C1006" s="8" t="str">
        <f>IFERROR(_xlfn.XLOOKUP(TRIM(B1006),Lookup!$B$2:$B$1000,Lookup!$C$2:$C$1000),"")</f>
        <v>Equity</v>
      </c>
      <c r="D1006" s="8" t="str">
        <f>IFERROR(INDEX('nav master'!$C:$C, MATCH(B1006, 'nav master'!$B:$B, 0)), "")</f>
        <v>ULIF07616/10/24Top500MoFd101</v>
      </c>
      <c r="E1006" s="8" t="s">
        <v>221</v>
      </c>
      <c r="F1006" s="8" t="s">
        <v>1386</v>
      </c>
    </row>
    <row r="1007" spans="1:6" ht="60" x14ac:dyDescent="0.25">
      <c r="A1007" s="8" t="s">
        <v>125</v>
      </c>
      <c r="B1007" s="8" t="s">
        <v>154</v>
      </c>
      <c r="C1007" s="8" t="str">
        <f>IFERROR(_xlfn.XLOOKUP(TRIM(B1007),Lookup!$B$2:$B$1000,Lookup!$C$2:$C$1000),"")</f>
        <v>Equity</v>
      </c>
      <c r="D1007" s="8" t="str">
        <f>IFERROR(INDEX('nav master'!$C:$C, MATCH(B1007, 'nav master'!$B:$B, 0)), "")</f>
        <v>ULIF07616/10/24Top500MoFd101</v>
      </c>
      <c r="E1007" s="8" t="s">
        <v>223</v>
      </c>
      <c r="F1007" s="8" t="s">
        <v>1387</v>
      </c>
    </row>
    <row r="1008" spans="1:6" ht="60" x14ac:dyDescent="0.25">
      <c r="A1008" s="8" t="s">
        <v>125</v>
      </c>
      <c r="B1008" s="8" t="s">
        <v>154</v>
      </c>
      <c r="C1008" s="8" t="str">
        <f>IFERROR(_xlfn.XLOOKUP(TRIM(B1008),Lookup!$B$2:$B$1000,Lookup!$C$2:$C$1000),"")</f>
        <v>Equity</v>
      </c>
      <c r="D1008" s="8" t="str">
        <f>IFERROR(INDEX('nav master'!$C:$C, MATCH(B1008, 'nav master'!$B:$B, 0)), "")</f>
        <v>ULIF07616/10/24Top500MoFd101</v>
      </c>
      <c r="E1008" s="8" t="s">
        <v>225</v>
      </c>
      <c r="F1008" s="8" t="s">
        <v>1388</v>
      </c>
    </row>
    <row r="1009" spans="1:6" ht="60" x14ac:dyDescent="0.25">
      <c r="A1009" s="8" t="s">
        <v>125</v>
      </c>
      <c r="B1009" s="8" t="s">
        <v>154</v>
      </c>
      <c r="C1009" s="8" t="str">
        <f>IFERROR(_xlfn.XLOOKUP(TRIM(B1009),Lookup!$B$2:$B$1000,Lookup!$C$2:$C$1000),"")</f>
        <v>Equity</v>
      </c>
      <c r="D1009" s="8" t="str">
        <f>IFERROR(INDEX('nav master'!$C:$C, MATCH(B1009, 'nav master'!$B:$B, 0)), "")</f>
        <v>ULIF07616/10/24Top500MoFd101</v>
      </c>
      <c r="E1009" s="8" t="s">
        <v>227</v>
      </c>
      <c r="F1009" s="8" t="s">
        <v>1389</v>
      </c>
    </row>
    <row r="1010" spans="1:6" ht="60" x14ac:dyDescent="0.25">
      <c r="A1010" s="8" t="s">
        <v>125</v>
      </c>
      <c r="B1010" s="8" t="s">
        <v>154</v>
      </c>
      <c r="C1010" s="8" t="str">
        <f>IFERROR(_xlfn.XLOOKUP(TRIM(B1010),Lookup!$B$2:$B$1000,Lookup!$C$2:$C$1000),"")</f>
        <v>Equity</v>
      </c>
      <c r="D1010" s="8" t="str">
        <f>IFERROR(INDEX('nav master'!$C:$C, MATCH(B1010, 'nav master'!$B:$B, 0)), "")</f>
        <v>ULIF07616/10/24Top500MoFd101</v>
      </c>
      <c r="E1010" s="8" t="s">
        <v>229</v>
      </c>
      <c r="F1010" s="8" t="s">
        <v>1390</v>
      </c>
    </row>
    <row r="1011" spans="1:6" ht="60" x14ac:dyDescent="0.25">
      <c r="A1011" s="8" t="s">
        <v>125</v>
      </c>
      <c r="B1011" s="8" t="s">
        <v>154</v>
      </c>
      <c r="C1011" s="8" t="str">
        <f>IFERROR(_xlfn.XLOOKUP(TRIM(B1011),Lookup!$B$2:$B$1000,Lookup!$C$2:$C$1000),"")</f>
        <v>Equity</v>
      </c>
      <c r="D1011" s="8" t="str">
        <f>IFERROR(INDEX('nav master'!$C:$C, MATCH(B1011, 'nav master'!$B:$B, 0)), "")</f>
        <v>ULIF07616/10/24Top500MoFd101</v>
      </c>
      <c r="E1011" s="8" t="s">
        <v>231</v>
      </c>
      <c r="F1011" s="8" t="s">
        <v>1391</v>
      </c>
    </row>
    <row r="1012" spans="1:6" ht="60" x14ac:dyDescent="0.25">
      <c r="A1012" s="8" t="s">
        <v>125</v>
      </c>
      <c r="B1012" s="8" t="s">
        <v>154</v>
      </c>
      <c r="C1012" s="8" t="str">
        <f>IFERROR(_xlfn.XLOOKUP(TRIM(B1012),Lookup!$B$2:$B$1000,Lookup!$C$2:$C$1000),"")</f>
        <v>Equity</v>
      </c>
      <c r="D1012" s="8" t="str">
        <f>IFERROR(INDEX('nav master'!$C:$C, MATCH(B1012, 'nav master'!$B:$B, 0)), "")</f>
        <v>ULIF07616/10/24Top500MoFd101</v>
      </c>
      <c r="E1012" s="8" t="s">
        <v>233</v>
      </c>
      <c r="F1012" s="8" t="s">
        <v>1392</v>
      </c>
    </row>
    <row r="1013" spans="1:6" ht="60" x14ac:dyDescent="0.25">
      <c r="A1013" s="8" t="s">
        <v>125</v>
      </c>
      <c r="B1013" s="8" t="s">
        <v>154</v>
      </c>
      <c r="C1013" s="8" t="str">
        <f>IFERROR(_xlfn.XLOOKUP(TRIM(B1013),Lookup!$B$2:$B$1000,Lookup!$C$2:$C$1000),"")</f>
        <v>Equity</v>
      </c>
      <c r="D1013" s="8" t="str">
        <f>IFERROR(INDEX('nav master'!$C:$C, MATCH(B1013, 'nav master'!$B:$B, 0)), "")</f>
        <v>ULIF07616/10/24Top500MoFd101</v>
      </c>
      <c r="E1013" s="8" t="s">
        <v>235</v>
      </c>
      <c r="F1013" s="8" t="s">
        <v>1393</v>
      </c>
    </row>
    <row r="1014" spans="1:6" ht="60" x14ac:dyDescent="0.25">
      <c r="A1014" s="8" t="s">
        <v>125</v>
      </c>
      <c r="B1014" s="8" t="s">
        <v>154</v>
      </c>
      <c r="C1014" s="8" t="str">
        <f>IFERROR(_xlfn.XLOOKUP(TRIM(B1014),Lookup!$B$2:$B$1000,Lookup!$C$2:$C$1000),"")</f>
        <v>Equity</v>
      </c>
      <c r="D1014" s="8" t="str">
        <f>IFERROR(INDEX('nav master'!$C:$C, MATCH(B1014, 'nav master'!$B:$B, 0)), "")</f>
        <v>ULIF07616/10/24Top500MoFd101</v>
      </c>
      <c r="E1014" s="8" t="s">
        <v>237</v>
      </c>
      <c r="F1014" s="8" t="s">
        <v>1394</v>
      </c>
    </row>
    <row r="1015" spans="1:6" ht="60" x14ac:dyDescent="0.25">
      <c r="A1015" s="8" t="s">
        <v>125</v>
      </c>
      <c r="B1015" s="8" t="s">
        <v>154</v>
      </c>
      <c r="C1015" s="8" t="str">
        <f>IFERROR(_xlfn.XLOOKUP(TRIM(B1015),Lookup!$B$2:$B$1000,Lookup!$C$2:$C$1000),"")</f>
        <v>Equity</v>
      </c>
      <c r="D1015" s="8" t="str">
        <f>IFERROR(INDEX('nav master'!$C:$C, MATCH(B1015, 'nav master'!$B:$B, 0)), "")</f>
        <v>ULIF07616/10/24Top500MoFd101</v>
      </c>
      <c r="E1015" s="8" t="s">
        <v>239</v>
      </c>
      <c r="F1015" s="8" t="s">
        <v>1395</v>
      </c>
    </row>
    <row r="1016" spans="1:6" ht="60" x14ac:dyDescent="0.25">
      <c r="A1016" s="8" t="s">
        <v>125</v>
      </c>
      <c r="B1016" s="8" t="s">
        <v>154</v>
      </c>
      <c r="C1016" s="8" t="str">
        <f>IFERROR(_xlfn.XLOOKUP(TRIM(B1016),Lookup!$B$2:$B$1000,Lookup!$C$2:$C$1000),"")</f>
        <v>Equity</v>
      </c>
      <c r="D1016" s="8" t="str">
        <f>IFERROR(INDEX('nav master'!$C:$C, MATCH(B1016, 'nav master'!$B:$B, 0)), "")</f>
        <v>ULIF07616/10/24Top500MoFd101</v>
      </c>
      <c r="E1016" s="8" t="s">
        <v>241</v>
      </c>
      <c r="F1016" s="8" t="s">
        <v>1396</v>
      </c>
    </row>
    <row r="1017" spans="1:6" ht="60" x14ac:dyDescent="0.25">
      <c r="A1017" s="8" t="s">
        <v>125</v>
      </c>
      <c r="B1017" s="8" t="s">
        <v>154</v>
      </c>
      <c r="C1017" s="8" t="str">
        <f>IFERROR(_xlfn.XLOOKUP(TRIM(B1017),Lookup!$B$2:$B$1000,Lookup!$C$2:$C$1000),"")</f>
        <v>Equity</v>
      </c>
      <c r="D1017" s="8" t="str">
        <f>IFERROR(INDEX('nav master'!$C:$C, MATCH(B1017, 'nav master'!$B:$B, 0)), "")</f>
        <v>ULIF07616/10/24Top500MoFd101</v>
      </c>
      <c r="E1017" s="8" t="s">
        <v>243</v>
      </c>
      <c r="F1017" s="8" t="s">
        <v>1397</v>
      </c>
    </row>
    <row r="1018" spans="1:6" ht="60" x14ac:dyDescent="0.25">
      <c r="A1018" s="8" t="s">
        <v>125</v>
      </c>
      <c r="B1018" s="8" t="s">
        <v>154</v>
      </c>
      <c r="C1018" s="8" t="str">
        <f>IFERROR(_xlfn.XLOOKUP(TRIM(B1018),Lookup!$B$2:$B$1000,Lookup!$C$2:$C$1000),"")</f>
        <v>Equity</v>
      </c>
      <c r="D1018" s="8" t="str">
        <f>IFERROR(INDEX('nav master'!$C:$C, MATCH(B1018, 'nav master'!$B:$B, 0)), "")</f>
        <v>ULIF07616/10/24Top500MoFd101</v>
      </c>
      <c r="E1018" s="8" t="s">
        <v>245</v>
      </c>
      <c r="F1018" s="8" t="s">
        <v>1398</v>
      </c>
    </row>
    <row r="1019" spans="1:6" ht="60" x14ac:dyDescent="0.25">
      <c r="A1019" s="8" t="s">
        <v>125</v>
      </c>
      <c r="B1019" s="8" t="s">
        <v>154</v>
      </c>
      <c r="C1019" s="8" t="str">
        <f>IFERROR(_xlfn.XLOOKUP(TRIM(B1019),Lookup!$B$2:$B$1000,Lookup!$C$2:$C$1000),"")</f>
        <v>Equity</v>
      </c>
      <c r="D1019" s="8" t="str">
        <f>IFERROR(INDEX('nav master'!$C:$C, MATCH(B1019, 'nav master'!$B:$B, 0)), "")</f>
        <v>ULIF07616/10/24Top500MoFd101</v>
      </c>
      <c r="E1019" s="8" t="s">
        <v>247</v>
      </c>
      <c r="F1019" s="8" t="s">
        <v>1399</v>
      </c>
    </row>
    <row r="1020" spans="1:6" ht="60" x14ac:dyDescent="0.25">
      <c r="A1020" s="8" t="s">
        <v>125</v>
      </c>
      <c r="B1020" s="8" t="s">
        <v>154</v>
      </c>
      <c r="C1020" s="8" t="str">
        <f>IFERROR(_xlfn.XLOOKUP(TRIM(B1020),Lookup!$B$2:$B$1000,Lookup!$C$2:$C$1000),"")</f>
        <v>Equity</v>
      </c>
      <c r="D1020" s="8" t="str">
        <f>IFERROR(INDEX('nav master'!$C:$C, MATCH(B1020, 'nav master'!$B:$B, 0)), "")</f>
        <v>ULIF07616/10/24Top500MoFd101</v>
      </c>
      <c r="E1020" s="8" t="s">
        <v>249</v>
      </c>
      <c r="F1020" s="8" t="s">
        <v>1400</v>
      </c>
    </row>
    <row r="1021" spans="1:6" ht="60" x14ac:dyDescent="0.25">
      <c r="A1021" s="8" t="s">
        <v>125</v>
      </c>
      <c r="B1021" s="8" t="s">
        <v>154</v>
      </c>
      <c r="C1021" s="8" t="str">
        <f>IFERROR(_xlfn.XLOOKUP(TRIM(B1021),Lookup!$B$2:$B$1000,Lookup!$C$2:$C$1000),"")</f>
        <v>Equity</v>
      </c>
      <c r="D1021" s="8" t="str">
        <f>IFERROR(INDEX('nav master'!$C:$C, MATCH(B1021, 'nav master'!$B:$B, 0)), "")</f>
        <v>ULIF07616/10/24Top500MoFd101</v>
      </c>
      <c r="E1021" s="8" t="s">
        <v>251</v>
      </c>
      <c r="F1021" s="8" t="s">
        <v>1401</v>
      </c>
    </row>
    <row r="1022" spans="1:6" ht="60" x14ac:dyDescent="0.25">
      <c r="A1022" s="8" t="s">
        <v>125</v>
      </c>
      <c r="B1022" s="8" t="s">
        <v>154</v>
      </c>
      <c r="C1022" s="8" t="str">
        <f>IFERROR(_xlfn.XLOOKUP(TRIM(B1022),Lookup!$B$2:$B$1000,Lookup!$C$2:$C$1000),"")</f>
        <v>Equity</v>
      </c>
      <c r="D1022" s="8" t="str">
        <f>IFERROR(INDEX('nav master'!$C:$C, MATCH(B1022, 'nav master'!$B:$B, 0)), "")</f>
        <v>ULIF07616/10/24Top500MoFd101</v>
      </c>
      <c r="E1022" s="8" t="s">
        <v>253</v>
      </c>
      <c r="F1022" s="8" t="s">
        <v>1402</v>
      </c>
    </row>
    <row r="1023" spans="1:6" ht="60" x14ac:dyDescent="0.25">
      <c r="A1023" s="8" t="s">
        <v>125</v>
      </c>
      <c r="B1023" s="8" t="s">
        <v>154</v>
      </c>
      <c r="C1023" s="8" t="str">
        <f>IFERROR(_xlfn.XLOOKUP(TRIM(B1023),Lookup!$B$2:$B$1000,Lookup!$C$2:$C$1000),"")</f>
        <v>Equity</v>
      </c>
      <c r="D1023" s="8" t="str">
        <f>IFERROR(INDEX('nav master'!$C:$C, MATCH(B1023, 'nav master'!$B:$B, 0)), "")</f>
        <v>ULIF07616/10/24Top500MoFd101</v>
      </c>
      <c r="E1023" s="8" t="s">
        <v>255</v>
      </c>
      <c r="F1023" s="8" t="s">
        <v>1403</v>
      </c>
    </row>
    <row r="1024" spans="1:6" ht="60" x14ac:dyDescent="0.25">
      <c r="A1024" s="8" t="s">
        <v>125</v>
      </c>
      <c r="B1024" s="8" t="s">
        <v>154</v>
      </c>
      <c r="C1024" s="8" t="str">
        <f>IFERROR(_xlfn.XLOOKUP(TRIM(B1024),Lookup!$B$2:$B$1000,Lookup!$C$2:$C$1000),"")</f>
        <v>Equity</v>
      </c>
      <c r="D1024" s="8" t="str">
        <f>IFERROR(INDEX('nav master'!$C:$C, MATCH(B1024, 'nav master'!$B:$B, 0)), "")</f>
        <v>ULIF07616/10/24Top500MoFd101</v>
      </c>
      <c r="E1024" s="8" t="s">
        <v>257</v>
      </c>
      <c r="F1024" s="8" t="s">
        <v>1404</v>
      </c>
    </row>
    <row r="1025" spans="1:6" ht="60" x14ac:dyDescent="0.25">
      <c r="A1025" s="8" t="s">
        <v>125</v>
      </c>
      <c r="B1025" s="8" t="s">
        <v>154</v>
      </c>
      <c r="C1025" s="8" t="str">
        <f>IFERROR(_xlfn.XLOOKUP(TRIM(B1025),Lookup!$B$2:$B$1000,Lookup!$C$2:$C$1000),"")</f>
        <v>Equity</v>
      </c>
      <c r="D1025" s="8" t="str">
        <f>IFERROR(INDEX('nav master'!$C:$C, MATCH(B1025, 'nav master'!$B:$B, 0)), "")</f>
        <v>ULIF07616/10/24Top500MoFd101</v>
      </c>
      <c r="E1025" s="8" t="s">
        <v>259</v>
      </c>
      <c r="F1025" s="8" t="s">
        <v>1405</v>
      </c>
    </row>
    <row r="1026" spans="1:6" ht="60" x14ac:dyDescent="0.25">
      <c r="A1026" s="8" t="s">
        <v>125</v>
      </c>
      <c r="B1026" s="8" t="s">
        <v>154</v>
      </c>
      <c r="C1026" s="8" t="str">
        <f>IFERROR(_xlfn.XLOOKUP(TRIM(B1026),Lookup!$B$2:$B$1000,Lookup!$C$2:$C$1000),"")</f>
        <v>Equity</v>
      </c>
      <c r="D1026" s="8" t="str">
        <f>IFERROR(INDEX('nav master'!$C:$C, MATCH(B1026, 'nav master'!$B:$B, 0)), "")</f>
        <v>ULIF07616/10/24Top500MoFd101</v>
      </c>
      <c r="E1026" s="8" t="s">
        <v>261</v>
      </c>
      <c r="F1026" s="8" t="s">
        <v>1406</v>
      </c>
    </row>
    <row r="1027" spans="1:6" ht="60" x14ac:dyDescent="0.25">
      <c r="A1027" s="8" t="s">
        <v>125</v>
      </c>
      <c r="B1027" s="8" t="s">
        <v>154</v>
      </c>
      <c r="C1027" s="8" t="str">
        <f>IFERROR(_xlfn.XLOOKUP(TRIM(B1027),Lookup!$B$2:$B$1000,Lookup!$C$2:$C$1000),"")</f>
        <v>Equity</v>
      </c>
      <c r="D1027" s="8" t="str">
        <f>IFERROR(INDEX('nav master'!$C:$C, MATCH(B1027, 'nav master'!$B:$B, 0)), "")</f>
        <v>ULIF07616/10/24Top500MoFd101</v>
      </c>
      <c r="E1027" s="8" t="s">
        <v>263</v>
      </c>
      <c r="F1027" s="8" t="s">
        <v>1407</v>
      </c>
    </row>
    <row r="1028" spans="1:6" ht="60" x14ac:dyDescent="0.25">
      <c r="A1028" s="8" t="s">
        <v>125</v>
      </c>
      <c r="B1028" s="8" t="s">
        <v>154</v>
      </c>
      <c r="C1028" s="8" t="str">
        <f>IFERROR(_xlfn.XLOOKUP(TRIM(B1028),Lookup!$B$2:$B$1000,Lookup!$C$2:$C$1000),"")</f>
        <v>Equity</v>
      </c>
      <c r="D1028" s="8" t="str">
        <f>IFERROR(INDEX('nav master'!$C:$C, MATCH(B1028, 'nav master'!$B:$B, 0)), "")</f>
        <v>ULIF07616/10/24Top500MoFd101</v>
      </c>
      <c r="E1028" s="8" t="s">
        <v>265</v>
      </c>
      <c r="F1028" s="8" t="s">
        <v>1408</v>
      </c>
    </row>
    <row r="1029" spans="1:6" ht="60" x14ac:dyDescent="0.25">
      <c r="A1029" s="8" t="s">
        <v>125</v>
      </c>
      <c r="B1029" s="8" t="s">
        <v>154</v>
      </c>
      <c r="C1029" s="8" t="str">
        <f>IFERROR(_xlfn.XLOOKUP(TRIM(B1029),Lookup!$B$2:$B$1000,Lookup!$C$2:$C$1000),"")</f>
        <v>Equity</v>
      </c>
      <c r="D1029" s="8" t="str">
        <f>IFERROR(INDEX('nav master'!$C:$C, MATCH(B1029, 'nav master'!$B:$B, 0)), "")</f>
        <v>ULIF07616/10/24Top500MoFd101</v>
      </c>
      <c r="E1029" s="8" t="s">
        <v>267</v>
      </c>
      <c r="F1029" s="8" t="s">
        <v>1409</v>
      </c>
    </row>
    <row r="1030" spans="1:6" ht="60" x14ac:dyDescent="0.25">
      <c r="A1030" s="8" t="s">
        <v>125</v>
      </c>
      <c r="B1030" s="8" t="s">
        <v>154</v>
      </c>
      <c r="C1030" s="8" t="str">
        <f>IFERROR(_xlfn.XLOOKUP(TRIM(B1030),Lookup!$B$2:$B$1000,Lookup!$C$2:$C$1000),"")</f>
        <v>Equity</v>
      </c>
      <c r="D1030" s="8" t="str">
        <f>IFERROR(INDEX('nav master'!$C:$C, MATCH(B1030, 'nav master'!$B:$B, 0)), "")</f>
        <v>ULIF07616/10/24Top500MoFd101</v>
      </c>
      <c r="E1030" s="8" t="s">
        <v>269</v>
      </c>
      <c r="F1030" s="8" t="s">
        <v>1410</v>
      </c>
    </row>
    <row r="1031" spans="1:6" ht="60" x14ac:dyDescent="0.25">
      <c r="A1031" s="8" t="s">
        <v>125</v>
      </c>
      <c r="B1031" s="8" t="s">
        <v>154</v>
      </c>
      <c r="C1031" s="8" t="str">
        <f>IFERROR(_xlfn.XLOOKUP(TRIM(B1031),Lookup!$B$2:$B$1000,Lookup!$C$2:$C$1000),"")</f>
        <v>Equity</v>
      </c>
      <c r="D1031" s="8" t="str">
        <f>IFERROR(INDEX('nav master'!$C:$C, MATCH(B1031, 'nav master'!$B:$B, 0)), "")</f>
        <v>ULIF07616/10/24Top500MoFd101</v>
      </c>
      <c r="E1031" s="8" t="s">
        <v>271</v>
      </c>
      <c r="F1031" s="8" t="s">
        <v>1411</v>
      </c>
    </row>
    <row r="1032" spans="1:6" ht="60" x14ac:dyDescent="0.25">
      <c r="A1032" s="8" t="s">
        <v>125</v>
      </c>
      <c r="B1032" s="8" t="s">
        <v>154</v>
      </c>
      <c r="C1032" s="8" t="str">
        <f>IFERROR(_xlfn.XLOOKUP(TRIM(B1032),Lookup!$B$2:$B$1000,Lookup!$C$2:$C$1000),"")</f>
        <v>Equity</v>
      </c>
      <c r="D1032" s="8" t="str">
        <f>IFERROR(INDEX('nav master'!$C:$C, MATCH(B1032, 'nav master'!$B:$B, 0)), "")</f>
        <v>ULIF07616/10/24Top500MoFd101</v>
      </c>
      <c r="E1032" s="8" t="s">
        <v>273</v>
      </c>
      <c r="F1032" s="8" t="s">
        <v>1412</v>
      </c>
    </row>
    <row r="1033" spans="1:6" ht="60" x14ac:dyDescent="0.25">
      <c r="A1033" s="8" t="s">
        <v>125</v>
      </c>
      <c r="B1033" s="8" t="s">
        <v>154</v>
      </c>
      <c r="C1033" s="8" t="str">
        <f>IFERROR(_xlfn.XLOOKUP(TRIM(B1033),Lookup!$B$2:$B$1000,Lookup!$C$2:$C$1000),"")</f>
        <v>Equity</v>
      </c>
      <c r="D1033" s="8" t="str">
        <f>IFERROR(INDEX('nav master'!$C:$C, MATCH(B1033, 'nav master'!$B:$B, 0)), "")</f>
        <v>ULIF07616/10/24Top500MoFd101</v>
      </c>
      <c r="E1033" s="8" t="s">
        <v>275</v>
      </c>
      <c r="F1033" s="8" t="s">
        <v>1413</v>
      </c>
    </row>
    <row r="1034" spans="1:6" ht="60" x14ac:dyDescent="0.25">
      <c r="A1034" s="8" t="s">
        <v>125</v>
      </c>
      <c r="B1034" s="8" t="s">
        <v>154</v>
      </c>
      <c r="C1034" s="8" t="str">
        <f>IFERROR(_xlfn.XLOOKUP(TRIM(B1034),Lookup!$B$2:$B$1000,Lookup!$C$2:$C$1000),"")</f>
        <v>Equity</v>
      </c>
      <c r="D1034" s="8" t="str">
        <f>IFERROR(INDEX('nav master'!$C:$C, MATCH(B1034, 'nav master'!$B:$B, 0)), "")</f>
        <v>ULIF07616/10/24Top500MoFd101</v>
      </c>
      <c r="E1034" s="8" t="s">
        <v>277</v>
      </c>
      <c r="F1034" s="8" t="s">
        <v>1414</v>
      </c>
    </row>
    <row r="1035" spans="1:6" ht="60" x14ac:dyDescent="0.25">
      <c r="A1035" s="8" t="s">
        <v>125</v>
      </c>
      <c r="B1035" s="8" t="s">
        <v>154</v>
      </c>
      <c r="C1035" s="8" t="str">
        <f>IFERROR(_xlfn.XLOOKUP(TRIM(B1035),Lookup!$B$2:$B$1000,Lookup!$C$2:$C$1000),"")</f>
        <v>Equity</v>
      </c>
      <c r="D1035" s="8" t="str">
        <f>IFERROR(INDEX('nav master'!$C:$C, MATCH(B1035, 'nav master'!$B:$B, 0)), "")</f>
        <v>ULIF07616/10/24Top500MoFd101</v>
      </c>
      <c r="E1035" s="8" t="s">
        <v>279</v>
      </c>
      <c r="F1035" s="8" t="s">
        <v>1415</v>
      </c>
    </row>
    <row r="1036" spans="1:6" ht="60" x14ac:dyDescent="0.25">
      <c r="A1036" s="8" t="s">
        <v>125</v>
      </c>
      <c r="B1036" s="8" t="s">
        <v>154</v>
      </c>
      <c r="C1036" s="8" t="str">
        <f>IFERROR(_xlfn.XLOOKUP(TRIM(B1036),Lookup!$B$2:$B$1000,Lookup!$C$2:$C$1000),"")</f>
        <v>Equity</v>
      </c>
      <c r="D1036" s="8" t="str">
        <f>IFERROR(INDEX('nav master'!$C:$C, MATCH(B1036, 'nav master'!$B:$B, 0)), "")</f>
        <v>ULIF07616/10/24Top500MoFd101</v>
      </c>
      <c r="E1036" s="8" t="s">
        <v>281</v>
      </c>
      <c r="F1036" s="8" t="s">
        <v>1416</v>
      </c>
    </row>
    <row r="1037" spans="1:6" ht="60" x14ac:dyDescent="0.25">
      <c r="A1037" s="8" t="s">
        <v>125</v>
      </c>
      <c r="B1037" s="8" t="s">
        <v>154</v>
      </c>
      <c r="C1037" s="8" t="str">
        <f>IFERROR(_xlfn.XLOOKUP(TRIM(B1037),Lookup!$B$2:$B$1000,Lookup!$C$2:$C$1000),"")</f>
        <v>Equity</v>
      </c>
      <c r="D1037" s="8" t="str">
        <f>IFERROR(INDEX('nav master'!$C:$C, MATCH(B1037, 'nav master'!$B:$B, 0)), "")</f>
        <v>ULIF07616/10/24Top500MoFd101</v>
      </c>
      <c r="E1037" s="8" t="s">
        <v>283</v>
      </c>
      <c r="F1037" s="8" t="s">
        <v>1417</v>
      </c>
    </row>
    <row r="1038" spans="1:6" ht="60" x14ac:dyDescent="0.25">
      <c r="A1038" s="8" t="s">
        <v>125</v>
      </c>
      <c r="B1038" s="8" t="s">
        <v>154</v>
      </c>
      <c r="C1038" s="8" t="str">
        <f>IFERROR(_xlfn.XLOOKUP(TRIM(B1038),Lookup!$B$2:$B$1000,Lookup!$C$2:$C$1000),"")</f>
        <v>Equity</v>
      </c>
      <c r="D1038" s="8" t="str">
        <f>IFERROR(INDEX('nav master'!$C:$C, MATCH(B1038, 'nav master'!$B:$B, 0)), "")</f>
        <v>ULIF07616/10/24Top500MoFd101</v>
      </c>
      <c r="E1038" s="8" t="s">
        <v>285</v>
      </c>
      <c r="F1038" s="8" t="s">
        <v>1418</v>
      </c>
    </row>
    <row r="1039" spans="1:6" ht="60" x14ac:dyDescent="0.25">
      <c r="A1039" s="8" t="s">
        <v>125</v>
      </c>
      <c r="B1039" s="8" t="s">
        <v>154</v>
      </c>
      <c r="C1039" s="8" t="str">
        <f>IFERROR(_xlfn.XLOOKUP(TRIM(B1039),Lookup!$B$2:$B$1000,Lookup!$C$2:$C$1000),"")</f>
        <v>Equity</v>
      </c>
      <c r="D1039" s="8" t="str">
        <f>IFERROR(INDEX('nav master'!$C:$C, MATCH(B1039, 'nav master'!$B:$B, 0)), "")</f>
        <v>ULIF07616/10/24Top500MoFd101</v>
      </c>
      <c r="E1039" s="8" t="s">
        <v>287</v>
      </c>
      <c r="F1039" s="8" t="s">
        <v>1419</v>
      </c>
    </row>
    <row r="1040" spans="1:6" ht="60" x14ac:dyDescent="0.25">
      <c r="A1040" s="8" t="s">
        <v>125</v>
      </c>
      <c r="B1040" s="8" t="s">
        <v>154</v>
      </c>
      <c r="C1040" s="8" t="str">
        <f>IFERROR(_xlfn.XLOOKUP(TRIM(B1040),Lookup!$B$2:$B$1000,Lookup!$C$2:$C$1000),"")</f>
        <v>Equity</v>
      </c>
      <c r="D1040" s="8" t="str">
        <f>IFERROR(INDEX('nav master'!$C:$C, MATCH(B1040, 'nav master'!$B:$B, 0)), "")</f>
        <v>ULIF07616/10/24Top500MoFd101</v>
      </c>
      <c r="E1040" s="8" t="s">
        <v>289</v>
      </c>
      <c r="F1040" s="8" t="s">
        <v>1420</v>
      </c>
    </row>
    <row r="1041" spans="1:6" ht="60" x14ac:dyDescent="0.25">
      <c r="A1041" s="8" t="s">
        <v>125</v>
      </c>
      <c r="B1041" s="8" t="s">
        <v>154</v>
      </c>
      <c r="C1041" s="8" t="str">
        <f>IFERROR(_xlfn.XLOOKUP(TRIM(B1041),Lookup!$B$2:$B$1000,Lookup!$C$2:$C$1000),"")</f>
        <v>Equity</v>
      </c>
      <c r="D1041" s="8" t="str">
        <f>IFERROR(INDEX('nav master'!$C:$C, MATCH(B1041, 'nav master'!$B:$B, 0)), "")</f>
        <v>ULIF07616/10/24Top500MoFd101</v>
      </c>
      <c r="E1041" s="8" t="s">
        <v>291</v>
      </c>
      <c r="F1041" s="8" t="s">
        <v>1421</v>
      </c>
    </row>
    <row r="1042" spans="1:6" ht="60" x14ac:dyDescent="0.25">
      <c r="A1042" s="8" t="s">
        <v>125</v>
      </c>
      <c r="B1042" s="8" t="s">
        <v>154</v>
      </c>
      <c r="C1042" s="8" t="str">
        <f>IFERROR(_xlfn.XLOOKUP(TRIM(B1042),Lookup!$B$2:$B$1000,Lookup!$C$2:$C$1000),"")</f>
        <v>Equity</v>
      </c>
      <c r="D1042" s="8" t="str">
        <f>IFERROR(INDEX('nav master'!$C:$C, MATCH(B1042, 'nav master'!$B:$B, 0)), "")</f>
        <v>ULIF07616/10/24Top500MoFd101</v>
      </c>
      <c r="E1042" s="8" t="s">
        <v>293</v>
      </c>
      <c r="F1042" s="8" t="s">
        <v>1422</v>
      </c>
    </row>
    <row r="1043" spans="1:6" ht="60" x14ac:dyDescent="0.25">
      <c r="A1043" s="8" t="s">
        <v>125</v>
      </c>
      <c r="B1043" s="8" t="s">
        <v>154</v>
      </c>
      <c r="C1043" s="8" t="str">
        <f>IFERROR(_xlfn.XLOOKUP(TRIM(B1043),Lookup!$B$2:$B$1000,Lookup!$C$2:$C$1000),"")</f>
        <v>Equity</v>
      </c>
      <c r="D1043" s="8" t="str">
        <f>IFERROR(INDEX('nav master'!$C:$C, MATCH(B1043, 'nav master'!$B:$B, 0)), "")</f>
        <v>ULIF07616/10/24Top500MoFd101</v>
      </c>
      <c r="E1043" s="8" t="s">
        <v>295</v>
      </c>
      <c r="F1043" s="8" t="s">
        <v>1423</v>
      </c>
    </row>
    <row r="1044" spans="1:6" ht="60" x14ac:dyDescent="0.25">
      <c r="A1044" s="8" t="s">
        <v>125</v>
      </c>
      <c r="B1044" s="8" t="s">
        <v>154</v>
      </c>
      <c r="C1044" s="8" t="str">
        <f>IFERROR(_xlfn.XLOOKUP(TRIM(B1044),Lookup!$B$2:$B$1000,Lookup!$C$2:$C$1000),"")</f>
        <v>Equity</v>
      </c>
      <c r="D1044" s="8" t="str">
        <f>IFERROR(INDEX('nav master'!$C:$C, MATCH(B1044, 'nav master'!$B:$B, 0)), "")</f>
        <v>ULIF07616/10/24Top500MoFd101</v>
      </c>
      <c r="E1044" s="8" t="s">
        <v>297</v>
      </c>
      <c r="F1044" s="8" t="s">
        <v>1424</v>
      </c>
    </row>
    <row r="1045" spans="1:6" ht="60" x14ac:dyDescent="0.25">
      <c r="A1045" s="8" t="s">
        <v>125</v>
      </c>
      <c r="B1045" s="8" t="s">
        <v>154</v>
      </c>
      <c r="C1045" s="8" t="str">
        <f>IFERROR(_xlfn.XLOOKUP(TRIM(B1045),Lookup!$B$2:$B$1000,Lookup!$C$2:$C$1000),"")</f>
        <v>Equity</v>
      </c>
      <c r="D1045" s="8" t="str">
        <f>IFERROR(INDEX('nav master'!$C:$C, MATCH(B1045, 'nav master'!$B:$B, 0)), "")</f>
        <v>ULIF07616/10/24Top500MoFd101</v>
      </c>
      <c r="E1045" s="8" t="s">
        <v>299</v>
      </c>
      <c r="F1045" s="8" t="s">
        <v>1425</v>
      </c>
    </row>
    <row r="1046" spans="1:6" ht="60" x14ac:dyDescent="0.25">
      <c r="A1046" s="8" t="s">
        <v>125</v>
      </c>
      <c r="B1046" s="8" t="s">
        <v>154</v>
      </c>
      <c r="C1046" s="8" t="str">
        <f>IFERROR(_xlfn.XLOOKUP(TRIM(B1046),Lookup!$B$2:$B$1000,Lookup!$C$2:$C$1000),"")</f>
        <v>Equity</v>
      </c>
      <c r="D1046" s="8" t="str">
        <f>IFERROR(INDEX('nav master'!$C:$C, MATCH(B1046, 'nav master'!$B:$B, 0)), "")</f>
        <v>ULIF07616/10/24Top500MoFd101</v>
      </c>
      <c r="E1046" s="8" t="s">
        <v>301</v>
      </c>
      <c r="F1046" s="8" t="s">
        <v>1426</v>
      </c>
    </row>
    <row r="1047" spans="1:6" ht="60" x14ac:dyDescent="0.25">
      <c r="A1047" s="8" t="s">
        <v>125</v>
      </c>
      <c r="B1047" s="8" t="s">
        <v>154</v>
      </c>
      <c r="C1047" s="8" t="str">
        <f>IFERROR(_xlfn.XLOOKUP(TRIM(B1047),Lookup!$B$2:$B$1000,Lookup!$C$2:$C$1000),"")</f>
        <v>Equity</v>
      </c>
      <c r="D1047" s="8" t="str">
        <f>IFERROR(INDEX('nav master'!$C:$C, MATCH(B1047, 'nav master'!$B:$B, 0)), "")</f>
        <v>ULIF07616/10/24Top500MoFd101</v>
      </c>
      <c r="E1047" s="8" t="s">
        <v>303</v>
      </c>
      <c r="F1047" s="8" t="s">
        <v>1427</v>
      </c>
    </row>
    <row r="1048" spans="1:6" ht="60" x14ac:dyDescent="0.25">
      <c r="A1048" s="8" t="s">
        <v>125</v>
      </c>
      <c r="B1048" s="8" t="s">
        <v>154</v>
      </c>
      <c r="C1048" s="8" t="str">
        <f>IFERROR(_xlfn.XLOOKUP(TRIM(B1048),Lookup!$B$2:$B$1000,Lookup!$C$2:$C$1000),"")</f>
        <v>Equity</v>
      </c>
      <c r="D1048" s="8" t="str">
        <f>IFERROR(INDEX('nav master'!$C:$C, MATCH(B1048, 'nav master'!$B:$B, 0)), "")</f>
        <v>ULIF07616/10/24Top500MoFd101</v>
      </c>
      <c r="E1048" s="8" t="s">
        <v>305</v>
      </c>
      <c r="F1048" s="8" t="s">
        <v>1428</v>
      </c>
    </row>
    <row r="1049" spans="1:6" ht="60" x14ac:dyDescent="0.25">
      <c r="A1049" s="8" t="s">
        <v>125</v>
      </c>
      <c r="B1049" s="8" t="s">
        <v>154</v>
      </c>
      <c r="C1049" s="8" t="str">
        <f>IFERROR(_xlfn.XLOOKUP(TRIM(B1049),Lookup!$B$2:$B$1000,Lookup!$C$2:$C$1000),"")</f>
        <v>Equity</v>
      </c>
      <c r="D1049" s="8" t="str">
        <f>IFERROR(INDEX('nav master'!$C:$C, MATCH(B1049, 'nav master'!$B:$B, 0)), "")</f>
        <v>ULIF07616/10/24Top500MoFd101</v>
      </c>
      <c r="E1049" s="8" t="s">
        <v>307</v>
      </c>
      <c r="F1049" s="8" t="s">
        <v>1429</v>
      </c>
    </row>
    <row r="1050" spans="1:6" ht="60" x14ac:dyDescent="0.25">
      <c r="A1050" s="8" t="s">
        <v>125</v>
      </c>
      <c r="B1050" s="8" t="s">
        <v>154</v>
      </c>
      <c r="C1050" s="8" t="str">
        <f>IFERROR(_xlfn.XLOOKUP(TRIM(B1050),Lookup!$B$2:$B$1000,Lookup!$C$2:$C$1000),"")</f>
        <v>Equity</v>
      </c>
      <c r="D1050" s="8" t="str">
        <f>IFERROR(INDEX('nav master'!$C:$C, MATCH(B1050, 'nav master'!$B:$B, 0)), "")</f>
        <v>ULIF07616/10/24Top500MoFd101</v>
      </c>
      <c r="E1050" s="8" t="s">
        <v>309</v>
      </c>
      <c r="F1050" s="8" t="s">
        <v>1430</v>
      </c>
    </row>
    <row r="1051" spans="1:6" ht="60" x14ac:dyDescent="0.25">
      <c r="A1051" s="8" t="s">
        <v>125</v>
      </c>
      <c r="B1051" s="8" t="s">
        <v>154</v>
      </c>
      <c r="C1051" s="8" t="str">
        <f>IFERROR(_xlfn.XLOOKUP(TRIM(B1051),Lookup!$B$2:$B$1000,Lookup!$C$2:$C$1000),"")</f>
        <v>Equity</v>
      </c>
      <c r="D1051" s="8" t="str">
        <f>IFERROR(INDEX('nav master'!$C:$C, MATCH(B1051, 'nav master'!$B:$B, 0)), "")</f>
        <v>ULIF07616/10/24Top500MoFd101</v>
      </c>
      <c r="E1051" s="8" t="s">
        <v>311</v>
      </c>
      <c r="F1051" s="8" t="s">
        <v>1431</v>
      </c>
    </row>
    <row r="1052" spans="1:6" ht="60" x14ac:dyDescent="0.25">
      <c r="A1052" s="8" t="s">
        <v>125</v>
      </c>
      <c r="B1052" s="8" t="s">
        <v>154</v>
      </c>
      <c r="C1052" s="8" t="str">
        <f>IFERROR(_xlfn.XLOOKUP(TRIM(B1052),Lookup!$B$2:$B$1000,Lookup!$C$2:$C$1000),"")</f>
        <v>Equity</v>
      </c>
      <c r="D1052" s="8" t="str">
        <f>IFERROR(INDEX('nav master'!$C:$C, MATCH(B1052, 'nav master'!$B:$B, 0)), "")</f>
        <v>ULIF07616/10/24Top500MoFd101</v>
      </c>
      <c r="E1052" s="8" t="s">
        <v>313</v>
      </c>
      <c r="F1052" s="8" t="s">
        <v>1432</v>
      </c>
    </row>
    <row r="1053" spans="1:6" ht="60" x14ac:dyDescent="0.25">
      <c r="A1053" s="8" t="s">
        <v>125</v>
      </c>
      <c r="B1053" s="8" t="s">
        <v>154</v>
      </c>
      <c r="C1053" s="8" t="str">
        <f>IFERROR(_xlfn.XLOOKUP(TRIM(B1053),Lookup!$B$2:$B$1000,Lookup!$C$2:$C$1000),"")</f>
        <v>Equity</v>
      </c>
      <c r="D1053" s="8" t="str">
        <f>IFERROR(INDEX('nav master'!$C:$C, MATCH(B1053, 'nav master'!$B:$B, 0)), "")</f>
        <v>ULIF07616/10/24Top500MoFd101</v>
      </c>
      <c r="E1053" s="8" t="s">
        <v>315</v>
      </c>
      <c r="F1053" s="8" t="s">
        <v>1433</v>
      </c>
    </row>
    <row r="1054" spans="1:6" ht="60" x14ac:dyDescent="0.25">
      <c r="A1054" s="8" t="s">
        <v>125</v>
      </c>
      <c r="B1054" s="8" t="s">
        <v>154</v>
      </c>
      <c r="C1054" s="8" t="str">
        <f>IFERROR(_xlfn.XLOOKUP(TRIM(B1054),Lookup!$B$2:$B$1000,Lookup!$C$2:$C$1000),"")</f>
        <v>Equity</v>
      </c>
      <c r="D1054" s="8" t="str">
        <f>IFERROR(INDEX('nav master'!$C:$C, MATCH(B1054, 'nav master'!$B:$B, 0)), "")</f>
        <v>ULIF07616/10/24Top500MoFd101</v>
      </c>
      <c r="E1054" s="8" t="s">
        <v>317</v>
      </c>
      <c r="F1054" s="8" t="s">
        <v>1434</v>
      </c>
    </row>
    <row r="1055" spans="1:6" ht="60" x14ac:dyDescent="0.25">
      <c r="A1055" s="8" t="s">
        <v>125</v>
      </c>
      <c r="B1055" s="8" t="s">
        <v>154</v>
      </c>
      <c r="C1055" s="8" t="str">
        <f>IFERROR(_xlfn.XLOOKUP(TRIM(B1055),Lookup!$B$2:$B$1000,Lookup!$C$2:$C$1000),"")</f>
        <v>Equity</v>
      </c>
      <c r="D1055" s="8" t="str">
        <f>IFERROR(INDEX('nav master'!$C:$C, MATCH(B1055, 'nav master'!$B:$B, 0)), "")</f>
        <v>ULIF07616/10/24Top500MoFd101</v>
      </c>
      <c r="E1055" s="8" t="s">
        <v>319</v>
      </c>
      <c r="F1055" s="8" t="s">
        <v>1435</v>
      </c>
    </row>
    <row r="1056" spans="1:6" ht="60" x14ac:dyDescent="0.25">
      <c r="A1056" s="8" t="s">
        <v>125</v>
      </c>
      <c r="B1056" s="8" t="s">
        <v>154</v>
      </c>
      <c r="C1056" s="8" t="str">
        <f>IFERROR(_xlfn.XLOOKUP(TRIM(B1056),Lookup!$B$2:$B$1000,Lookup!$C$2:$C$1000),"")</f>
        <v>Equity</v>
      </c>
      <c r="D1056" s="8" t="str">
        <f>IFERROR(INDEX('nav master'!$C:$C, MATCH(B1056, 'nav master'!$B:$B, 0)), "")</f>
        <v>ULIF07616/10/24Top500MoFd101</v>
      </c>
      <c r="E1056" s="8" t="s">
        <v>321</v>
      </c>
      <c r="F1056" s="8" t="s">
        <v>1436</v>
      </c>
    </row>
    <row r="1057" spans="1:6" ht="60" x14ac:dyDescent="0.25">
      <c r="A1057" s="8" t="s">
        <v>125</v>
      </c>
      <c r="B1057" s="8" t="s">
        <v>154</v>
      </c>
      <c r="C1057" s="8" t="str">
        <f>IFERROR(_xlfn.XLOOKUP(TRIM(B1057),Lookup!$B$2:$B$1000,Lookup!$C$2:$C$1000),"")</f>
        <v>Equity</v>
      </c>
      <c r="D1057" s="8" t="str">
        <f>IFERROR(INDEX('nav master'!$C:$C, MATCH(B1057, 'nav master'!$B:$B, 0)), "")</f>
        <v>ULIF07616/10/24Top500MoFd101</v>
      </c>
      <c r="E1057" s="8" t="s">
        <v>323</v>
      </c>
      <c r="F1057" s="8" t="s">
        <v>1437</v>
      </c>
    </row>
    <row r="1058" spans="1:6" ht="60" x14ac:dyDescent="0.25">
      <c r="A1058" s="8" t="s">
        <v>125</v>
      </c>
      <c r="B1058" s="8" t="s">
        <v>154</v>
      </c>
      <c r="C1058" s="8" t="str">
        <f>IFERROR(_xlfn.XLOOKUP(TRIM(B1058),Lookup!$B$2:$B$1000,Lookup!$C$2:$C$1000),"")</f>
        <v>Equity</v>
      </c>
      <c r="D1058" s="8" t="str">
        <f>IFERROR(INDEX('nav master'!$C:$C, MATCH(B1058, 'nav master'!$B:$B, 0)), "")</f>
        <v>ULIF07616/10/24Top500MoFd101</v>
      </c>
      <c r="E1058" s="8" t="s">
        <v>325</v>
      </c>
      <c r="F1058" s="8" t="s">
        <v>1438</v>
      </c>
    </row>
    <row r="1059" spans="1:6" ht="60" x14ac:dyDescent="0.25">
      <c r="A1059" s="8" t="s">
        <v>125</v>
      </c>
      <c r="B1059" s="8" t="s">
        <v>154</v>
      </c>
      <c r="C1059" s="8" t="str">
        <f>IFERROR(_xlfn.XLOOKUP(TRIM(B1059),Lookup!$B$2:$B$1000,Lookup!$C$2:$C$1000),"")</f>
        <v>Equity</v>
      </c>
      <c r="D1059" s="8" t="str">
        <f>IFERROR(INDEX('nav master'!$C:$C, MATCH(B1059, 'nav master'!$B:$B, 0)), "")</f>
        <v>ULIF07616/10/24Top500MoFd101</v>
      </c>
      <c r="E1059" s="8" t="s">
        <v>327</v>
      </c>
      <c r="F1059" s="8" t="s">
        <v>1439</v>
      </c>
    </row>
    <row r="1060" spans="1:6" ht="60" x14ac:dyDescent="0.25">
      <c r="A1060" s="8" t="s">
        <v>125</v>
      </c>
      <c r="B1060" s="8" t="s">
        <v>154</v>
      </c>
      <c r="C1060" s="8" t="str">
        <f>IFERROR(_xlfn.XLOOKUP(TRIM(B1060),Lookup!$B$2:$B$1000,Lookup!$C$2:$C$1000),"")</f>
        <v>Equity</v>
      </c>
      <c r="D1060" s="8" t="str">
        <f>IFERROR(INDEX('nav master'!$C:$C, MATCH(B1060, 'nav master'!$B:$B, 0)), "")</f>
        <v>ULIF07616/10/24Top500MoFd101</v>
      </c>
      <c r="E1060" s="8" t="s">
        <v>329</v>
      </c>
      <c r="F1060" s="8" t="s">
        <v>1440</v>
      </c>
    </row>
    <row r="1061" spans="1:6" ht="60" x14ac:dyDescent="0.25">
      <c r="A1061" s="8" t="s">
        <v>125</v>
      </c>
      <c r="B1061" s="8" t="s">
        <v>154</v>
      </c>
      <c r="C1061" s="8" t="str">
        <f>IFERROR(_xlfn.XLOOKUP(TRIM(B1061),Lookup!$B$2:$B$1000,Lookup!$C$2:$C$1000),"")</f>
        <v>Equity</v>
      </c>
      <c r="D1061" s="8" t="str">
        <f>IFERROR(INDEX('nav master'!$C:$C, MATCH(B1061, 'nav master'!$B:$B, 0)), "")</f>
        <v>ULIF07616/10/24Top500MoFd101</v>
      </c>
      <c r="E1061" s="8" t="s">
        <v>331</v>
      </c>
      <c r="F1061" s="8" t="s">
        <v>1441</v>
      </c>
    </row>
    <row r="1062" spans="1:6" ht="60" x14ac:dyDescent="0.25">
      <c r="A1062" s="8" t="s">
        <v>125</v>
      </c>
      <c r="B1062" s="8" t="s">
        <v>154</v>
      </c>
      <c r="C1062" s="8" t="str">
        <f>IFERROR(_xlfn.XLOOKUP(TRIM(B1062),Lookup!$B$2:$B$1000,Lookup!$C$2:$C$1000),"")</f>
        <v>Equity</v>
      </c>
      <c r="D1062" s="8" t="str">
        <f>IFERROR(INDEX('nav master'!$C:$C, MATCH(B1062, 'nav master'!$B:$B, 0)), "")</f>
        <v>ULIF07616/10/24Top500MoFd101</v>
      </c>
      <c r="E1062" s="8" t="s">
        <v>333</v>
      </c>
      <c r="F1062" s="8" t="s">
        <v>1442</v>
      </c>
    </row>
    <row r="1063" spans="1:6" ht="60" x14ac:dyDescent="0.25">
      <c r="A1063" s="8" t="s">
        <v>125</v>
      </c>
      <c r="B1063" s="8" t="s">
        <v>154</v>
      </c>
      <c r="C1063" s="8" t="str">
        <f>IFERROR(_xlfn.XLOOKUP(TRIM(B1063),Lookup!$B$2:$B$1000,Lookup!$C$2:$C$1000),"")</f>
        <v>Equity</v>
      </c>
      <c r="D1063" s="8" t="str">
        <f>IFERROR(INDEX('nav master'!$C:$C, MATCH(B1063, 'nav master'!$B:$B, 0)), "")</f>
        <v>ULIF07616/10/24Top500MoFd101</v>
      </c>
      <c r="E1063" s="8" t="s">
        <v>335</v>
      </c>
      <c r="F1063" s="8" t="s">
        <v>1443</v>
      </c>
    </row>
    <row r="1064" spans="1:6" ht="60" x14ac:dyDescent="0.25">
      <c r="A1064" s="8" t="s">
        <v>125</v>
      </c>
      <c r="B1064" s="8" t="s">
        <v>154</v>
      </c>
      <c r="C1064" s="8" t="str">
        <f>IFERROR(_xlfn.XLOOKUP(TRIM(B1064),Lookup!$B$2:$B$1000,Lookup!$C$2:$C$1000),"")</f>
        <v>Equity</v>
      </c>
      <c r="D1064" s="8" t="str">
        <f>IFERROR(INDEX('nav master'!$C:$C, MATCH(B1064, 'nav master'!$B:$B, 0)), "")</f>
        <v>ULIF07616/10/24Top500MoFd101</v>
      </c>
      <c r="E1064" s="8" t="s">
        <v>337</v>
      </c>
      <c r="F1064" s="8" t="s">
        <v>1444</v>
      </c>
    </row>
    <row r="1065" spans="1:6" ht="60" x14ac:dyDescent="0.25">
      <c r="A1065" s="8" t="s">
        <v>125</v>
      </c>
      <c r="B1065" s="8" t="s">
        <v>154</v>
      </c>
      <c r="C1065" s="8" t="str">
        <f>IFERROR(_xlfn.XLOOKUP(TRIM(B1065),Lookup!$B$2:$B$1000,Lookup!$C$2:$C$1000),"")</f>
        <v>Equity</v>
      </c>
      <c r="D1065" s="8" t="str">
        <f>IFERROR(INDEX('nav master'!$C:$C, MATCH(B1065, 'nav master'!$B:$B, 0)), "")</f>
        <v>ULIF07616/10/24Top500MoFd101</v>
      </c>
      <c r="E1065" s="8" t="s">
        <v>339</v>
      </c>
      <c r="F1065" s="8" t="s">
        <v>1445</v>
      </c>
    </row>
    <row r="1066" spans="1:6" ht="60" x14ac:dyDescent="0.25">
      <c r="A1066" s="8" t="s">
        <v>125</v>
      </c>
      <c r="B1066" s="8" t="s">
        <v>154</v>
      </c>
      <c r="C1066" s="8" t="str">
        <f>IFERROR(_xlfn.XLOOKUP(TRIM(B1066),Lookup!$B$2:$B$1000,Lookup!$C$2:$C$1000),"")</f>
        <v>Equity</v>
      </c>
      <c r="D1066" s="8" t="str">
        <f>IFERROR(INDEX('nav master'!$C:$C, MATCH(B1066, 'nav master'!$B:$B, 0)), "")</f>
        <v>ULIF07616/10/24Top500MoFd101</v>
      </c>
      <c r="E1066" s="8" t="s">
        <v>341</v>
      </c>
      <c r="F1066" s="8" t="s">
        <v>1446</v>
      </c>
    </row>
    <row r="1067" spans="1:6" ht="60" x14ac:dyDescent="0.25">
      <c r="A1067" s="8" t="s">
        <v>125</v>
      </c>
      <c r="B1067" s="8" t="s">
        <v>154</v>
      </c>
      <c r="C1067" s="8" t="str">
        <f>IFERROR(_xlfn.XLOOKUP(TRIM(B1067),Lookup!$B$2:$B$1000,Lookup!$C$2:$C$1000),"")</f>
        <v>Equity</v>
      </c>
      <c r="D1067" s="8" t="str">
        <f>IFERROR(INDEX('nav master'!$C:$C, MATCH(B1067, 'nav master'!$B:$B, 0)), "")</f>
        <v>ULIF07616/10/24Top500MoFd101</v>
      </c>
      <c r="E1067" s="8" t="s">
        <v>343</v>
      </c>
      <c r="F1067" s="8" t="s">
        <v>1447</v>
      </c>
    </row>
    <row r="1068" spans="1:6" ht="60" x14ac:dyDescent="0.25">
      <c r="A1068" s="8" t="s">
        <v>125</v>
      </c>
      <c r="B1068" s="8" t="s">
        <v>154</v>
      </c>
      <c r="C1068" s="8" t="str">
        <f>IFERROR(_xlfn.XLOOKUP(TRIM(B1068),Lookup!$B$2:$B$1000,Lookup!$C$2:$C$1000),"")</f>
        <v>Equity</v>
      </c>
      <c r="D1068" s="8" t="str">
        <f>IFERROR(INDEX('nav master'!$C:$C, MATCH(B1068, 'nav master'!$B:$B, 0)), "")</f>
        <v>ULIF07616/10/24Top500MoFd101</v>
      </c>
      <c r="E1068" s="8" t="s">
        <v>345</v>
      </c>
      <c r="F1068" s="8" t="s">
        <v>1448</v>
      </c>
    </row>
    <row r="1069" spans="1:6" ht="60" x14ac:dyDescent="0.25">
      <c r="A1069" s="8" t="s">
        <v>125</v>
      </c>
      <c r="B1069" s="8" t="s">
        <v>154</v>
      </c>
      <c r="C1069" s="8" t="str">
        <f>IFERROR(_xlfn.XLOOKUP(TRIM(B1069),Lookup!$B$2:$B$1000,Lookup!$C$2:$C$1000),"")</f>
        <v>Equity</v>
      </c>
      <c r="D1069" s="8" t="str">
        <f>IFERROR(INDEX('nav master'!$C:$C, MATCH(B1069, 'nav master'!$B:$B, 0)), "")</f>
        <v>ULIF07616/10/24Top500MoFd101</v>
      </c>
      <c r="E1069" s="8" t="s">
        <v>347</v>
      </c>
      <c r="F1069" s="8" t="s">
        <v>1449</v>
      </c>
    </row>
    <row r="1070" spans="1:6" ht="60" x14ac:dyDescent="0.25">
      <c r="A1070" s="8" t="s">
        <v>125</v>
      </c>
      <c r="B1070" s="8" t="s">
        <v>154</v>
      </c>
      <c r="C1070" s="8" t="str">
        <f>IFERROR(_xlfn.XLOOKUP(TRIM(B1070),Lookup!$B$2:$B$1000,Lookup!$C$2:$C$1000),"")</f>
        <v>Equity</v>
      </c>
      <c r="D1070" s="8" t="str">
        <f>IFERROR(INDEX('nav master'!$C:$C, MATCH(B1070, 'nav master'!$B:$B, 0)), "")</f>
        <v>ULIF07616/10/24Top500MoFd101</v>
      </c>
      <c r="E1070" s="8" t="s">
        <v>349</v>
      </c>
      <c r="F1070" s="8" t="s">
        <v>1450</v>
      </c>
    </row>
    <row r="1071" spans="1:6" ht="60" x14ac:dyDescent="0.25">
      <c r="A1071" s="8" t="s">
        <v>125</v>
      </c>
      <c r="B1071" s="8" t="s">
        <v>154</v>
      </c>
      <c r="C1071" s="8" t="str">
        <f>IFERROR(_xlfn.XLOOKUP(TRIM(B1071),Lookup!$B$2:$B$1000,Lookup!$C$2:$C$1000),"")</f>
        <v>Equity</v>
      </c>
      <c r="D1071" s="8" t="str">
        <f>IFERROR(INDEX('nav master'!$C:$C, MATCH(B1071, 'nav master'!$B:$B, 0)), "")</f>
        <v>ULIF07616/10/24Top500MoFd101</v>
      </c>
      <c r="E1071" s="8" t="s">
        <v>351</v>
      </c>
      <c r="F1071" s="8" t="s">
        <v>1451</v>
      </c>
    </row>
    <row r="1072" spans="1:6" ht="60" x14ac:dyDescent="0.25">
      <c r="A1072" s="8" t="s">
        <v>125</v>
      </c>
      <c r="B1072" s="8" t="s">
        <v>154</v>
      </c>
      <c r="C1072" s="8" t="str">
        <f>IFERROR(_xlfn.XLOOKUP(TRIM(B1072),Lookup!$B$2:$B$1000,Lookup!$C$2:$C$1000),"")</f>
        <v>Equity</v>
      </c>
      <c r="D1072" s="8" t="str">
        <f>IFERROR(INDEX('nav master'!$C:$C, MATCH(B1072, 'nav master'!$B:$B, 0)), "")</f>
        <v>ULIF07616/10/24Top500MoFd101</v>
      </c>
      <c r="E1072" s="8" t="s">
        <v>353</v>
      </c>
      <c r="F1072" s="8" t="s">
        <v>1452</v>
      </c>
    </row>
    <row r="1073" spans="1:6" ht="60" x14ac:dyDescent="0.25">
      <c r="A1073" s="8" t="s">
        <v>125</v>
      </c>
      <c r="B1073" s="8" t="s">
        <v>154</v>
      </c>
      <c r="C1073" s="8" t="str">
        <f>IFERROR(_xlfn.XLOOKUP(TRIM(B1073),Lookup!$B$2:$B$1000,Lookup!$C$2:$C$1000),"")</f>
        <v>Equity</v>
      </c>
      <c r="D1073" s="8" t="str">
        <f>IFERROR(INDEX('nav master'!$C:$C, MATCH(B1073, 'nav master'!$B:$B, 0)), "")</f>
        <v>ULIF07616/10/24Top500MoFd101</v>
      </c>
      <c r="E1073" s="8" t="s">
        <v>355</v>
      </c>
      <c r="F1073" s="8" t="s">
        <v>1453</v>
      </c>
    </row>
    <row r="1074" spans="1:6" ht="60" x14ac:dyDescent="0.25">
      <c r="A1074" s="8" t="s">
        <v>125</v>
      </c>
      <c r="B1074" s="8" t="s">
        <v>154</v>
      </c>
      <c r="C1074" s="8" t="str">
        <f>IFERROR(_xlfn.XLOOKUP(TRIM(B1074),Lookup!$B$2:$B$1000,Lookup!$C$2:$C$1000),"")</f>
        <v>Equity</v>
      </c>
      <c r="D1074" s="8" t="str">
        <f>IFERROR(INDEX('nav master'!$C:$C, MATCH(B1074, 'nav master'!$B:$B, 0)), "")</f>
        <v>ULIF07616/10/24Top500MoFd101</v>
      </c>
      <c r="E1074" s="8" t="s">
        <v>357</v>
      </c>
      <c r="F1074" s="8" t="s">
        <v>1454</v>
      </c>
    </row>
    <row r="1075" spans="1:6" ht="60" x14ac:dyDescent="0.25">
      <c r="A1075" s="8" t="s">
        <v>125</v>
      </c>
      <c r="B1075" s="8" t="s">
        <v>154</v>
      </c>
      <c r="C1075" s="8" t="str">
        <f>IFERROR(_xlfn.XLOOKUP(TRIM(B1075),Lookup!$B$2:$B$1000,Lookup!$C$2:$C$1000),"")</f>
        <v>Equity</v>
      </c>
      <c r="D1075" s="8" t="str">
        <f>IFERROR(INDEX('nav master'!$C:$C, MATCH(B1075, 'nav master'!$B:$B, 0)), "")</f>
        <v>ULIF07616/10/24Top500MoFd101</v>
      </c>
      <c r="E1075" s="8" t="s">
        <v>359</v>
      </c>
      <c r="F1075" s="8" t="s">
        <v>1455</v>
      </c>
    </row>
    <row r="1076" spans="1:6" ht="60" x14ac:dyDescent="0.25">
      <c r="A1076" s="8" t="s">
        <v>125</v>
      </c>
      <c r="B1076" s="8" t="s">
        <v>154</v>
      </c>
      <c r="C1076" s="8" t="str">
        <f>IFERROR(_xlfn.XLOOKUP(TRIM(B1076),Lookup!$B$2:$B$1000,Lookup!$C$2:$C$1000),"")</f>
        <v>Equity</v>
      </c>
      <c r="D1076" s="8" t="str">
        <f>IFERROR(INDEX('nav master'!$C:$C, MATCH(B1076, 'nav master'!$B:$B, 0)), "")</f>
        <v>ULIF07616/10/24Top500MoFd101</v>
      </c>
      <c r="E1076" s="8" t="s">
        <v>361</v>
      </c>
      <c r="F1076" s="8" t="s">
        <v>1456</v>
      </c>
    </row>
    <row r="1077" spans="1:6" ht="60" x14ac:dyDescent="0.25">
      <c r="A1077" s="8" t="s">
        <v>125</v>
      </c>
      <c r="B1077" s="8" t="s">
        <v>154</v>
      </c>
      <c r="C1077" s="8" t="str">
        <f>IFERROR(_xlfn.XLOOKUP(TRIM(B1077),Lookup!$B$2:$B$1000,Lookup!$C$2:$C$1000),"")</f>
        <v>Equity</v>
      </c>
      <c r="D1077" s="8" t="str">
        <f>IFERROR(INDEX('nav master'!$C:$C, MATCH(B1077, 'nav master'!$B:$B, 0)), "")</f>
        <v>ULIF07616/10/24Top500MoFd101</v>
      </c>
      <c r="E1077" s="8" t="s">
        <v>363</v>
      </c>
      <c r="F1077" s="8" t="s">
        <v>1457</v>
      </c>
    </row>
    <row r="1078" spans="1:6" ht="60" x14ac:dyDescent="0.25">
      <c r="A1078" s="8" t="s">
        <v>125</v>
      </c>
      <c r="B1078" s="8" t="s">
        <v>154</v>
      </c>
      <c r="C1078" s="8" t="str">
        <f>IFERROR(_xlfn.XLOOKUP(TRIM(B1078),Lookup!$B$2:$B$1000,Lookup!$C$2:$C$1000),"")</f>
        <v>Equity</v>
      </c>
      <c r="D1078" s="8" t="str">
        <f>IFERROR(INDEX('nav master'!$C:$C, MATCH(B1078, 'nav master'!$B:$B, 0)), "")</f>
        <v>ULIF07616/10/24Top500MoFd101</v>
      </c>
      <c r="E1078" s="8" t="s">
        <v>365</v>
      </c>
      <c r="F1078" s="8" t="s">
        <v>1458</v>
      </c>
    </row>
    <row r="1079" spans="1:6" ht="60" x14ac:dyDescent="0.25">
      <c r="A1079" s="8" t="s">
        <v>125</v>
      </c>
      <c r="B1079" s="8" t="s">
        <v>154</v>
      </c>
      <c r="C1079" s="8" t="str">
        <f>IFERROR(_xlfn.XLOOKUP(TRIM(B1079),Lookup!$B$2:$B$1000,Lookup!$C$2:$C$1000),"")</f>
        <v>Equity</v>
      </c>
      <c r="D1079" s="8" t="str">
        <f>IFERROR(INDEX('nav master'!$C:$C, MATCH(B1079, 'nav master'!$B:$B, 0)), "")</f>
        <v>ULIF07616/10/24Top500MoFd101</v>
      </c>
      <c r="E1079" s="8" t="s">
        <v>367</v>
      </c>
      <c r="F1079" s="8" t="s">
        <v>1459</v>
      </c>
    </row>
    <row r="1080" spans="1:6" ht="60" x14ac:dyDescent="0.25">
      <c r="A1080" s="8" t="s">
        <v>125</v>
      </c>
      <c r="B1080" s="8" t="s">
        <v>154</v>
      </c>
      <c r="C1080" s="8" t="str">
        <f>IFERROR(_xlfn.XLOOKUP(TRIM(B1080),Lookup!$B$2:$B$1000,Lookup!$C$2:$C$1000),"")</f>
        <v>Equity</v>
      </c>
      <c r="D1080" s="8" t="str">
        <f>IFERROR(INDEX('nav master'!$C:$C, MATCH(B1080, 'nav master'!$B:$B, 0)), "")</f>
        <v>ULIF07616/10/24Top500MoFd101</v>
      </c>
      <c r="E1080" s="8" t="s">
        <v>369</v>
      </c>
      <c r="F1080" s="8" t="s">
        <v>1460</v>
      </c>
    </row>
    <row r="1081" spans="1:6" ht="60" x14ac:dyDescent="0.25">
      <c r="A1081" s="8" t="s">
        <v>125</v>
      </c>
      <c r="B1081" s="8" t="s">
        <v>154</v>
      </c>
      <c r="C1081" s="8" t="str">
        <f>IFERROR(_xlfn.XLOOKUP(TRIM(B1081),Lookup!$B$2:$B$1000,Lookup!$C$2:$C$1000),"")</f>
        <v>Equity</v>
      </c>
      <c r="D1081" s="8" t="str">
        <f>IFERROR(INDEX('nav master'!$C:$C, MATCH(B1081, 'nav master'!$B:$B, 0)), "")</f>
        <v>ULIF07616/10/24Top500MoFd101</v>
      </c>
      <c r="E1081" s="8" t="s">
        <v>371</v>
      </c>
      <c r="F1081" s="8" t="s">
        <v>1461</v>
      </c>
    </row>
    <row r="1082" spans="1:6" ht="60" x14ac:dyDescent="0.25">
      <c r="A1082" s="8" t="s">
        <v>125</v>
      </c>
      <c r="B1082" s="8" t="s">
        <v>154</v>
      </c>
      <c r="C1082" s="8" t="str">
        <f>IFERROR(_xlfn.XLOOKUP(TRIM(B1082),Lookup!$B$2:$B$1000,Lookup!$C$2:$C$1000),"")</f>
        <v>Equity</v>
      </c>
      <c r="D1082" s="8" t="str">
        <f>IFERROR(INDEX('nav master'!$C:$C, MATCH(B1082, 'nav master'!$B:$B, 0)), "")</f>
        <v>ULIF07616/10/24Top500MoFd101</v>
      </c>
      <c r="E1082" s="8" t="s">
        <v>373</v>
      </c>
      <c r="F1082" s="8" t="s">
        <v>1462</v>
      </c>
    </row>
    <row r="1083" spans="1:6" ht="60" x14ac:dyDescent="0.25">
      <c r="A1083" s="8" t="s">
        <v>125</v>
      </c>
      <c r="B1083" s="8" t="s">
        <v>154</v>
      </c>
      <c r="C1083" s="8" t="str">
        <f>IFERROR(_xlfn.XLOOKUP(TRIM(B1083),Lookup!$B$2:$B$1000,Lookup!$C$2:$C$1000),"")</f>
        <v>Equity</v>
      </c>
      <c r="D1083" s="8" t="str">
        <f>IFERROR(INDEX('nav master'!$C:$C, MATCH(B1083, 'nav master'!$B:$B, 0)), "")</f>
        <v>ULIF07616/10/24Top500MoFd101</v>
      </c>
      <c r="E1083" s="8" t="s">
        <v>375</v>
      </c>
      <c r="F1083" s="8" t="s">
        <v>1463</v>
      </c>
    </row>
    <row r="1084" spans="1:6" ht="60" x14ac:dyDescent="0.25">
      <c r="A1084" s="8" t="s">
        <v>125</v>
      </c>
      <c r="B1084" s="8" t="s">
        <v>154</v>
      </c>
      <c r="C1084" s="8" t="str">
        <f>IFERROR(_xlfn.XLOOKUP(TRIM(B1084),Lookup!$B$2:$B$1000,Lookup!$C$2:$C$1000),"")</f>
        <v>Equity</v>
      </c>
      <c r="D1084" s="8" t="str">
        <f>IFERROR(INDEX('nav master'!$C:$C, MATCH(B1084, 'nav master'!$B:$B, 0)), "")</f>
        <v>ULIF07616/10/24Top500MoFd101</v>
      </c>
      <c r="E1084" s="8" t="s">
        <v>377</v>
      </c>
      <c r="F1084" s="8" t="s">
        <v>1464</v>
      </c>
    </row>
    <row r="1085" spans="1:6" ht="60" x14ac:dyDescent="0.25">
      <c r="A1085" s="8" t="s">
        <v>125</v>
      </c>
      <c r="B1085" s="8" t="s">
        <v>154</v>
      </c>
      <c r="C1085" s="8" t="str">
        <f>IFERROR(_xlfn.XLOOKUP(TRIM(B1085),Lookup!$B$2:$B$1000,Lookup!$C$2:$C$1000),"")</f>
        <v>Equity</v>
      </c>
      <c r="D1085" s="8" t="str">
        <f>IFERROR(INDEX('nav master'!$C:$C, MATCH(B1085, 'nav master'!$B:$B, 0)), "")</f>
        <v>ULIF07616/10/24Top500MoFd101</v>
      </c>
      <c r="E1085" s="8" t="s">
        <v>379</v>
      </c>
      <c r="F1085" s="8" t="s">
        <v>1465</v>
      </c>
    </row>
    <row r="1086" spans="1:6" ht="60" x14ac:dyDescent="0.25">
      <c r="A1086" s="8" t="s">
        <v>125</v>
      </c>
      <c r="B1086" s="8" t="s">
        <v>154</v>
      </c>
      <c r="C1086" s="8" t="str">
        <f>IFERROR(_xlfn.XLOOKUP(TRIM(B1086),Lookup!$B$2:$B$1000,Lookup!$C$2:$C$1000),"")</f>
        <v>Equity</v>
      </c>
      <c r="D1086" s="8" t="str">
        <f>IFERROR(INDEX('nav master'!$C:$C, MATCH(B1086, 'nav master'!$B:$B, 0)), "")</f>
        <v>ULIF07616/10/24Top500MoFd101</v>
      </c>
      <c r="E1086" s="8" t="s">
        <v>381</v>
      </c>
      <c r="F1086" s="8" t="s">
        <v>1466</v>
      </c>
    </row>
    <row r="1087" spans="1:6" ht="60" x14ac:dyDescent="0.25">
      <c r="A1087" s="8" t="s">
        <v>125</v>
      </c>
      <c r="B1087" s="8" t="s">
        <v>154</v>
      </c>
      <c r="C1087" s="8" t="str">
        <f>IFERROR(_xlfn.XLOOKUP(TRIM(B1087),Lookup!$B$2:$B$1000,Lookup!$C$2:$C$1000),"")</f>
        <v>Equity</v>
      </c>
      <c r="D1087" s="8" t="str">
        <f>IFERROR(INDEX('nav master'!$C:$C, MATCH(B1087, 'nav master'!$B:$B, 0)), "")</f>
        <v>ULIF07616/10/24Top500MoFd101</v>
      </c>
      <c r="E1087" s="8" t="s">
        <v>383</v>
      </c>
      <c r="F1087" s="8" t="s">
        <v>1467</v>
      </c>
    </row>
    <row r="1088" spans="1:6" ht="60" x14ac:dyDescent="0.25">
      <c r="A1088" s="8" t="s">
        <v>125</v>
      </c>
      <c r="B1088" s="8" t="s">
        <v>154</v>
      </c>
      <c r="C1088" s="8" t="str">
        <f>IFERROR(_xlfn.XLOOKUP(TRIM(B1088),Lookup!$B$2:$B$1000,Lookup!$C$2:$C$1000),"")</f>
        <v>Equity</v>
      </c>
      <c r="D1088" s="8" t="str">
        <f>IFERROR(INDEX('nav master'!$C:$C, MATCH(B1088, 'nav master'!$B:$B, 0)), "")</f>
        <v>ULIF07616/10/24Top500MoFd101</v>
      </c>
      <c r="E1088" s="8" t="s">
        <v>385</v>
      </c>
      <c r="F1088" s="8" t="s">
        <v>1468</v>
      </c>
    </row>
    <row r="1089" spans="1:6" ht="60" x14ac:dyDescent="0.25">
      <c r="A1089" s="8" t="s">
        <v>125</v>
      </c>
      <c r="B1089" s="8" t="s">
        <v>154</v>
      </c>
      <c r="C1089" s="8" t="str">
        <f>IFERROR(_xlfn.XLOOKUP(TRIM(B1089),Lookup!$B$2:$B$1000,Lookup!$C$2:$C$1000),"")</f>
        <v>Equity</v>
      </c>
      <c r="D1089" s="8" t="str">
        <f>IFERROR(INDEX('nav master'!$C:$C, MATCH(B1089, 'nav master'!$B:$B, 0)), "")</f>
        <v>ULIF07616/10/24Top500MoFd101</v>
      </c>
      <c r="E1089" s="8" t="s">
        <v>387</v>
      </c>
      <c r="F1089" s="8" t="s">
        <v>1469</v>
      </c>
    </row>
    <row r="1090" spans="1:6" ht="60" x14ac:dyDescent="0.25">
      <c r="A1090" s="8" t="s">
        <v>125</v>
      </c>
      <c r="B1090" s="8" t="s">
        <v>154</v>
      </c>
      <c r="C1090" s="8" t="str">
        <f>IFERROR(_xlfn.XLOOKUP(TRIM(B1090),Lookup!$B$2:$B$1000,Lookup!$C$2:$C$1000),"")</f>
        <v>Equity</v>
      </c>
      <c r="D1090" s="8" t="str">
        <f>IFERROR(INDEX('nav master'!$C:$C, MATCH(B1090, 'nav master'!$B:$B, 0)), "")</f>
        <v>ULIF07616/10/24Top500MoFd101</v>
      </c>
      <c r="E1090" s="8" t="s">
        <v>389</v>
      </c>
      <c r="F1090" s="8" t="s">
        <v>1470</v>
      </c>
    </row>
    <row r="1091" spans="1:6" ht="60" x14ac:dyDescent="0.25">
      <c r="A1091" s="8" t="s">
        <v>125</v>
      </c>
      <c r="B1091" s="8" t="s">
        <v>154</v>
      </c>
      <c r="C1091" s="8" t="str">
        <f>IFERROR(_xlfn.XLOOKUP(TRIM(B1091),Lookup!$B$2:$B$1000,Lookup!$C$2:$C$1000),"")</f>
        <v>Equity</v>
      </c>
      <c r="D1091" s="8" t="str">
        <f>IFERROR(INDEX('nav master'!$C:$C, MATCH(B1091, 'nav master'!$B:$B, 0)), "")</f>
        <v>ULIF07616/10/24Top500MoFd101</v>
      </c>
      <c r="E1091" s="8" t="s">
        <v>391</v>
      </c>
      <c r="F1091" s="8" t="s">
        <v>1471</v>
      </c>
    </row>
    <row r="1092" spans="1:6" ht="60" x14ac:dyDescent="0.25">
      <c r="A1092" s="8" t="s">
        <v>125</v>
      </c>
      <c r="B1092" s="8" t="s">
        <v>154</v>
      </c>
      <c r="C1092" s="8" t="str">
        <f>IFERROR(_xlfn.XLOOKUP(TRIM(B1092),Lookup!$B$2:$B$1000,Lookup!$C$2:$C$1000),"")</f>
        <v>Equity</v>
      </c>
      <c r="D1092" s="8" t="str">
        <f>IFERROR(INDEX('nav master'!$C:$C, MATCH(B1092, 'nav master'!$B:$B, 0)), "")</f>
        <v>ULIF07616/10/24Top500MoFd101</v>
      </c>
      <c r="E1092" s="8" t="s">
        <v>393</v>
      </c>
      <c r="F1092" s="8" t="s">
        <v>1472</v>
      </c>
    </row>
    <row r="1093" spans="1:6" ht="60" x14ac:dyDescent="0.25">
      <c r="A1093" s="8" t="s">
        <v>125</v>
      </c>
      <c r="B1093" s="8" t="s">
        <v>154</v>
      </c>
      <c r="C1093" s="8" t="str">
        <f>IFERROR(_xlfn.XLOOKUP(TRIM(B1093),Lookup!$B$2:$B$1000,Lookup!$C$2:$C$1000),"")</f>
        <v>Equity</v>
      </c>
      <c r="D1093" s="8" t="str">
        <f>IFERROR(INDEX('nav master'!$C:$C, MATCH(B1093, 'nav master'!$B:$B, 0)), "")</f>
        <v>ULIF07616/10/24Top500MoFd101</v>
      </c>
      <c r="E1093" s="8" t="s">
        <v>395</v>
      </c>
      <c r="F1093" s="8" t="s">
        <v>1473</v>
      </c>
    </row>
    <row r="1094" spans="1:6" ht="60" x14ac:dyDescent="0.25">
      <c r="A1094" s="8" t="s">
        <v>125</v>
      </c>
      <c r="B1094" s="8" t="s">
        <v>154</v>
      </c>
      <c r="C1094" s="8" t="str">
        <f>IFERROR(_xlfn.XLOOKUP(TRIM(B1094),Lookup!$B$2:$B$1000,Lookup!$C$2:$C$1000),"")</f>
        <v>Equity</v>
      </c>
      <c r="D1094" s="8" t="str">
        <f>IFERROR(INDEX('nav master'!$C:$C, MATCH(B1094, 'nav master'!$B:$B, 0)), "")</f>
        <v>ULIF07616/10/24Top500MoFd101</v>
      </c>
      <c r="E1094" s="8" t="s">
        <v>397</v>
      </c>
      <c r="F1094" s="8" t="s">
        <v>1474</v>
      </c>
    </row>
    <row r="1095" spans="1:6" ht="60" x14ac:dyDescent="0.25">
      <c r="A1095" s="8" t="s">
        <v>125</v>
      </c>
      <c r="B1095" s="8" t="s">
        <v>154</v>
      </c>
      <c r="C1095" s="8" t="str">
        <f>IFERROR(_xlfn.XLOOKUP(TRIM(B1095),Lookup!$B$2:$B$1000,Lookup!$C$2:$C$1000),"")</f>
        <v>Equity</v>
      </c>
      <c r="D1095" s="8" t="str">
        <f>IFERROR(INDEX('nav master'!$C:$C, MATCH(B1095, 'nav master'!$B:$B, 0)), "")</f>
        <v>ULIF07616/10/24Top500MoFd101</v>
      </c>
      <c r="E1095" s="8" t="s">
        <v>399</v>
      </c>
      <c r="F1095" s="8" t="s">
        <v>1475</v>
      </c>
    </row>
    <row r="1096" spans="1:6" ht="60" x14ac:dyDescent="0.25">
      <c r="A1096" s="8" t="s">
        <v>125</v>
      </c>
      <c r="B1096" s="8" t="s">
        <v>154</v>
      </c>
      <c r="C1096" s="8" t="str">
        <f>IFERROR(_xlfn.XLOOKUP(TRIM(B1096),Lookup!$B$2:$B$1000,Lookup!$C$2:$C$1000),"")</f>
        <v>Equity</v>
      </c>
      <c r="D1096" s="8" t="str">
        <f>IFERROR(INDEX('nav master'!$C:$C, MATCH(B1096, 'nav master'!$B:$B, 0)), "")</f>
        <v>ULIF07616/10/24Top500MoFd101</v>
      </c>
      <c r="E1096" s="8" t="s">
        <v>401</v>
      </c>
      <c r="F1096" s="8" t="s">
        <v>1476</v>
      </c>
    </row>
    <row r="1097" spans="1:6" ht="60" x14ac:dyDescent="0.25">
      <c r="A1097" s="8" t="s">
        <v>125</v>
      </c>
      <c r="B1097" s="8" t="s">
        <v>154</v>
      </c>
      <c r="C1097" s="8" t="str">
        <f>IFERROR(_xlfn.XLOOKUP(TRIM(B1097),Lookup!$B$2:$B$1000,Lookup!$C$2:$C$1000),"")</f>
        <v>Equity</v>
      </c>
      <c r="D1097" s="8" t="str">
        <f>IFERROR(INDEX('nav master'!$C:$C, MATCH(B1097, 'nav master'!$B:$B, 0)), "")</f>
        <v>ULIF07616/10/24Top500MoFd101</v>
      </c>
      <c r="E1097" s="8" t="s">
        <v>403</v>
      </c>
      <c r="F1097" s="8" t="s">
        <v>1477</v>
      </c>
    </row>
    <row r="1098" spans="1:6" ht="60" x14ac:dyDescent="0.25">
      <c r="A1098" s="8" t="s">
        <v>125</v>
      </c>
      <c r="B1098" s="8" t="s">
        <v>154</v>
      </c>
      <c r="C1098" s="8" t="str">
        <f>IFERROR(_xlfn.XLOOKUP(TRIM(B1098),Lookup!$B$2:$B$1000,Lookup!$C$2:$C$1000),"")</f>
        <v>Equity</v>
      </c>
      <c r="D1098" s="8" t="str">
        <f>IFERROR(INDEX('nav master'!$C:$C, MATCH(B1098, 'nav master'!$B:$B, 0)), "")</f>
        <v>ULIF07616/10/24Top500MoFd101</v>
      </c>
      <c r="E1098" s="8" t="s">
        <v>405</v>
      </c>
      <c r="F1098" s="8" t="s">
        <v>1478</v>
      </c>
    </row>
    <row r="1099" spans="1:6" ht="60" x14ac:dyDescent="0.25">
      <c r="A1099" s="8" t="s">
        <v>125</v>
      </c>
      <c r="B1099" s="8" t="s">
        <v>154</v>
      </c>
      <c r="C1099" s="8" t="str">
        <f>IFERROR(_xlfn.XLOOKUP(TRIM(B1099),Lookup!$B$2:$B$1000,Lookup!$C$2:$C$1000),"")</f>
        <v>Equity</v>
      </c>
      <c r="D1099" s="8" t="str">
        <f>IFERROR(INDEX('nav master'!$C:$C, MATCH(B1099, 'nav master'!$B:$B, 0)), "")</f>
        <v>ULIF07616/10/24Top500MoFd101</v>
      </c>
      <c r="E1099" s="8" t="s">
        <v>407</v>
      </c>
      <c r="F1099" s="8" t="s">
        <v>1479</v>
      </c>
    </row>
    <row r="1100" spans="1:6" ht="60" x14ac:dyDescent="0.25">
      <c r="A1100" s="8" t="s">
        <v>125</v>
      </c>
      <c r="B1100" s="8" t="s">
        <v>154</v>
      </c>
      <c r="C1100" s="8" t="str">
        <f>IFERROR(_xlfn.XLOOKUP(TRIM(B1100),Lookup!$B$2:$B$1000,Lookup!$C$2:$C$1000),"")</f>
        <v>Equity</v>
      </c>
      <c r="D1100" s="8" t="str">
        <f>IFERROR(INDEX('nav master'!$C:$C, MATCH(B1100, 'nav master'!$B:$B, 0)), "")</f>
        <v>ULIF07616/10/24Top500MoFd101</v>
      </c>
      <c r="E1100" s="8" t="s">
        <v>409</v>
      </c>
      <c r="F1100" s="8" t="s">
        <v>1480</v>
      </c>
    </row>
    <row r="1101" spans="1:6" ht="60" x14ac:dyDescent="0.25">
      <c r="A1101" s="8" t="s">
        <v>125</v>
      </c>
      <c r="B1101" s="8" t="s">
        <v>154</v>
      </c>
      <c r="C1101" s="8" t="str">
        <f>IFERROR(_xlfn.XLOOKUP(TRIM(B1101),Lookup!$B$2:$B$1000,Lookup!$C$2:$C$1000),"")</f>
        <v>Equity</v>
      </c>
      <c r="D1101" s="8" t="str">
        <f>IFERROR(INDEX('nav master'!$C:$C, MATCH(B1101, 'nav master'!$B:$B, 0)), "")</f>
        <v>ULIF07616/10/24Top500MoFd101</v>
      </c>
      <c r="E1101" s="8" t="s">
        <v>411</v>
      </c>
      <c r="F1101" s="8" t="s">
        <v>1481</v>
      </c>
    </row>
    <row r="1102" spans="1:6" ht="60" x14ac:dyDescent="0.25">
      <c r="A1102" s="8" t="s">
        <v>125</v>
      </c>
      <c r="B1102" s="8" t="s">
        <v>154</v>
      </c>
      <c r="C1102" s="8" t="str">
        <f>IFERROR(_xlfn.XLOOKUP(TRIM(B1102),Lookup!$B$2:$B$1000,Lookup!$C$2:$C$1000),"")</f>
        <v>Equity</v>
      </c>
      <c r="D1102" s="8" t="str">
        <f>IFERROR(INDEX('nav master'!$C:$C, MATCH(B1102, 'nav master'!$B:$B, 0)), "")</f>
        <v>ULIF07616/10/24Top500MoFd101</v>
      </c>
      <c r="E1102" s="8" t="s">
        <v>413</v>
      </c>
      <c r="F1102" s="8" t="s">
        <v>1482</v>
      </c>
    </row>
    <row r="1103" spans="1:6" ht="60" x14ac:dyDescent="0.25">
      <c r="A1103" s="8" t="s">
        <v>125</v>
      </c>
      <c r="B1103" s="8" t="s">
        <v>154</v>
      </c>
      <c r="C1103" s="8" t="str">
        <f>IFERROR(_xlfn.XLOOKUP(TRIM(B1103),Lookup!$B$2:$B$1000,Lookup!$C$2:$C$1000),"")</f>
        <v>Equity</v>
      </c>
      <c r="D1103" s="8" t="str">
        <f>IFERROR(INDEX('nav master'!$C:$C, MATCH(B1103, 'nav master'!$B:$B, 0)), "")</f>
        <v>ULIF07616/10/24Top500MoFd101</v>
      </c>
      <c r="E1103" s="8" t="s">
        <v>415</v>
      </c>
      <c r="F1103" s="8" t="s">
        <v>1483</v>
      </c>
    </row>
    <row r="1104" spans="1:6" ht="60" x14ac:dyDescent="0.25">
      <c r="A1104" s="8" t="s">
        <v>125</v>
      </c>
      <c r="B1104" s="8" t="s">
        <v>154</v>
      </c>
      <c r="C1104" s="8" t="str">
        <f>IFERROR(_xlfn.XLOOKUP(TRIM(B1104),Lookup!$B$2:$B$1000,Lookup!$C$2:$C$1000),"")</f>
        <v>Equity</v>
      </c>
      <c r="D1104" s="8" t="str">
        <f>IFERROR(INDEX('nav master'!$C:$C, MATCH(B1104, 'nav master'!$B:$B, 0)), "")</f>
        <v>ULIF07616/10/24Top500MoFd101</v>
      </c>
      <c r="E1104" s="8" t="s">
        <v>417</v>
      </c>
      <c r="F1104" s="8" t="s">
        <v>1484</v>
      </c>
    </row>
    <row r="1105" spans="1:6" ht="60" x14ac:dyDescent="0.25">
      <c r="A1105" s="8" t="s">
        <v>125</v>
      </c>
      <c r="B1105" s="8" t="s">
        <v>154</v>
      </c>
      <c r="C1105" s="8" t="str">
        <f>IFERROR(_xlfn.XLOOKUP(TRIM(B1105),Lookup!$B$2:$B$1000,Lookup!$C$2:$C$1000),"")</f>
        <v>Equity</v>
      </c>
      <c r="D1105" s="8" t="str">
        <f>IFERROR(INDEX('nav master'!$C:$C, MATCH(B1105, 'nav master'!$B:$B, 0)), "")</f>
        <v>ULIF07616/10/24Top500MoFd101</v>
      </c>
      <c r="E1105" s="8" t="s">
        <v>419</v>
      </c>
      <c r="F1105" s="8" t="s">
        <v>1485</v>
      </c>
    </row>
    <row r="1106" spans="1:6" ht="60" x14ac:dyDescent="0.25">
      <c r="A1106" s="8" t="s">
        <v>125</v>
      </c>
      <c r="B1106" s="8" t="s">
        <v>154</v>
      </c>
      <c r="C1106" s="8" t="str">
        <f>IFERROR(_xlfn.XLOOKUP(TRIM(B1106),Lookup!$B$2:$B$1000,Lookup!$C$2:$C$1000),"")</f>
        <v>Equity</v>
      </c>
      <c r="D1106" s="8" t="str">
        <f>IFERROR(INDEX('nav master'!$C:$C, MATCH(B1106, 'nav master'!$B:$B, 0)), "")</f>
        <v>ULIF07616/10/24Top500MoFd101</v>
      </c>
      <c r="E1106" s="8" t="s">
        <v>421</v>
      </c>
      <c r="F1106" s="8" t="s">
        <v>1486</v>
      </c>
    </row>
    <row r="1107" spans="1:6" ht="60" x14ac:dyDescent="0.25">
      <c r="A1107" s="8" t="s">
        <v>125</v>
      </c>
      <c r="B1107" s="8" t="s">
        <v>154</v>
      </c>
      <c r="C1107" s="8" t="str">
        <f>IFERROR(_xlfn.XLOOKUP(TRIM(B1107),Lookup!$B$2:$B$1000,Lookup!$C$2:$C$1000),"")</f>
        <v>Equity</v>
      </c>
      <c r="D1107" s="8" t="str">
        <f>IFERROR(INDEX('nav master'!$C:$C, MATCH(B1107, 'nav master'!$B:$B, 0)), "")</f>
        <v>ULIF07616/10/24Top500MoFd101</v>
      </c>
      <c r="E1107" s="8" t="s">
        <v>423</v>
      </c>
      <c r="F1107" s="8" t="s">
        <v>1487</v>
      </c>
    </row>
    <row r="1108" spans="1:6" ht="60" x14ac:dyDescent="0.25">
      <c r="A1108" s="8" t="s">
        <v>125</v>
      </c>
      <c r="B1108" s="8" t="s">
        <v>154</v>
      </c>
      <c r="C1108" s="8" t="str">
        <f>IFERROR(_xlfn.XLOOKUP(TRIM(B1108),Lookup!$B$2:$B$1000,Lookup!$C$2:$C$1000),"")</f>
        <v>Equity</v>
      </c>
      <c r="D1108" s="8" t="str">
        <f>IFERROR(INDEX('nav master'!$C:$C, MATCH(B1108, 'nav master'!$B:$B, 0)), "")</f>
        <v>ULIF07616/10/24Top500MoFd101</v>
      </c>
      <c r="E1108" s="8" t="s">
        <v>425</v>
      </c>
      <c r="F1108" s="8" t="s">
        <v>1488</v>
      </c>
    </row>
    <row r="1109" spans="1:6" ht="60" x14ac:dyDescent="0.25">
      <c r="A1109" s="8" t="s">
        <v>125</v>
      </c>
      <c r="B1109" s="8" t="s">
        <v>154</v>
      </c>
      <c r="C1109" s="8" t="str">
        <f>IFERROR(_xlfn.XLOOKUP(TRIM(B1109),Lookup!$B$2:$B$1000,Lookup!$C$2:$C$1000),"")</f>
        <v>Equity</v>
      </c>
      <c r="D1109" s="8" t="str">
        <f>IFERROR(INDEX('nav master'!$C:$C, MATCH(B1109, 'nav master'!$B:$B, 0)), "")</f>
        <v>ULIF07616/10/24Top500MoFd101</v>
      </c>
      <c r="E1109" s="8" t="s">
        <v>427</v>
      </c>
      <c r="F1109" s="8" t="s">
        <v>1489</v>
      </c>
    </row>
    <row r="1110" spans="1:6" ht="60" x14ac:dyDescent="0.25">
      <c r="A1110" s="8" t="s">
        <v>125</v>
      </c>
      <c r="B1110" s="8" t="s">
        <v>154</v>
      </c>
      <c r="C1110" s="8" t="str">
        <f>IFERROR(_xlfn.XLOOKUP(TRIM(B1110),Lookup!$B$2:$B$1000,Lookup!$C$2:$C$1000),"")</f>
        <v>Equity</v>
      </c>
      <c r="D1110" s="8" t="str">
        <f>IFERROR(INDEX('nav master'!$C:$C, MATCH(B1110, 'nav master'!$B:$B, 0)), "")</f>
        <v>ULIF07616/10/24Top500MoFd101</v>
      </c>
      <c r="E1110" s="8" t="s">
        <v>429</v>
      </c>
      <c r="F1110" s="8" t="s">
        <v>1490</v>
      </c>
    </row>
    <row r="1111" spans="1:6" ht="60" x14ac:dyDescent="0.25">
      <c r="A1111" s="8" t="s">
        <v>125</v>
      </c>
      <c r="B1111" s="8" t="s">
        <v>154</v>
      </c>
      <c r="C1111" s="8" t="str">
        <f>IFERROR(_xlfn.XLOOKUP(TRIM(B1111),Lookup!$B$2:$B$1000,Lookup!$C$2:$C$1000),"")</f>
        <v>Equity</v>
      </c>
      <c r="D1111" s="8" t="str">
        <f>IFERROR(INDEX('nav master'!$C:$C, MATCH(B1111, 'nav master'!$B:$B, 0)), "")</f>
        <v>ULIF07616/10/24Top500MoFd101</v>
      </c>
      <c r="E1111" s="8" t="s">
        <v>431</v>
      </c>
      <c r="F1111" s="8" t="s">
        <v>1491</v>
      </c>
    </row>
    <row r="1112" spans="1:6" ht="60" x14ac:dyDescent="0.25">
      <c r="A1112" s="8" t="s">
        <v>125</v>
      </c>
      <c r="B1112" s="8" t="s">
        <v>154</v>
      </c>
      <c r="C1112" s="8" t="str">
        <f>IFERROR(_xlfn.XLOOKUP(TRIM(B1112),Lookup!$B$2:$B$1000,Lookup!$C$2:$C$1000),"")</f>
        <v>Equity</v>
      </c>
      <c r="D1112" s="8" t="str">
        <f>IFERROR(INDEX('nav master'!$C:$C, MATCH(B1112, 'nav master'!$B:$B, 0)), "")</f>
        <v>ULIF07616/10/24Top500MoFd101</v>
      </c>
      <c r="E1112" s="8" t="s">
        <v>433</v>
      </c>
      <c r="F1112" s="8" t="s">
        <v>1492</v>
      </c>
    </row>
    <row r="1113" spans="1:6" ht="60" x14ac:dyDescent="0.25">
      <c r="A1113" s="8" t="s">
        <v>125</v>
      </c>
      <c r="B1113" s="8" t="s">
        <v>154</v>
      </c>
      <c r="C1113" s="8" t="str">
        <f>IFERROR(_xlfn.XLOOKUP(TRIM(B1113),Lookup!$B$2:$B$1000,Lookup!$C$2:$C$1000),"")</f>
        <v>Equity</v>
      </c>
      <c r="D1113" s="8" t="str">
        <f>IFERROR(INDEX('nav master'!$C:$C, MATCH(B1113, 'nav master'!$B:$B, 0)), "")</f>
        <v>ULIF07616/10/24Top500MoFd101</v>
      </c>
      <c r="E1113" s="8" t="s">
        <v>435</v>
      </c>
      <c r="F1113" s="8" t="s">
        <v>1493</v>
      </c>
    </row>
    <row r="1114" spans="1:6" ht="60" x14ac:dyDescent="0.25">
      <c r="A1114" s="8" t="s">
        <v>125</v>
      </c>
      <c r="B1114" s="8" t="s">
        <v>154</v>
      </c>
      <c r="C1114" s="8" t="str">
        <f>IFERROR(_xlfn.XLOOKUP(TRIM(B1114),Lookup!$B$2:$B$1000,Lookup!$C$2:$C$1000),"")</f>
        <v>Equity</v>
      </c>
      <c r="D1114" s="8" t="str">
        <f>IFERROR(INDEX('nav master'!$C:$C, MATCH(B1114, 'nav master'!$B:$B, 0)), "")</f>
        <v>ULIF07616/10/24Top500MoFd101</v>
      </c>
      <c r="E1114" s="8" t="s">
        <v>437</v>
      </c>
      <c r="F1114" s="8" t="s">
        <v>1494</v>
      </c>
    </row>
    <row r="1115" spans="1:6" ht="60" x14ac:dyDescent="0.25">
      <c r="A1115" s="8" t="s">
        <v>125</v>
      </c>
      <c r="B1115" s="8" t="s">
        <v>154</v>
      </c>
      <c r="C1115" s="8" t="str">
        <f>IFERROR(_xlfn.XLOOKUP(TRIM(B1115),Lookup!$B$2:$B$1000,Lookup!$C$2:$C$1000),"")</f>
        <v>Equity</v>
      </c>
      <c r="D1115" s="8" t="str">
        <f>IFERROR(INDEX('nav master'!$C:$C, MATCH(B1115, 'nav master'!$B:$B, 0)), "")</f>
        <v>ULIF07616/10/24Top500MoFd101</v>
      </c>
      <c r="E1115" s="8" t="s">
        <v>439</v>
      </c>
      <c r="F1115" s="8" t="s">
        <v>1495</v>
      </c>
    </row>
    <row r="1116" spans="1:6" ht="60" x14ac:dyDescent="0.25">
      <c r="A1116" s="8" t="s">
        <v>125</v>
      </c>
      <c r="B1116" s="8" t="s">
        <v>154</v>
      </c>
      <c r="C1116" s="8" t="str">
        <f>IFERROR(_xlfn.XLOOKUP(TRIM(B1116),Lookup!$B$2:$B$1000,Lookup!$C$2:$C$1000),"")</f>
        <v>Equity</v>
      </c>
      <c r="D1116" s="8" t="str">
        <f>IFERROR(INDEX('nav master'!$C:$C, MATCH(B1116, 'nav master'!$B:$B, 0)), "")</f>
        <v>ULIF07616/10/24Top500MoFd101</v>
      </c>
      <c r="E1116" s="8" t="s">
        <v>441</v>
      </c>
      <c r="F1116" s="8" t="s">
        <v>1496</v>
      </c>
    </row>
    <row r="1117" spans="1:6" ht="60" x14ac:dyDescent="0.25">
      <c r="A1117" s="8" t="s">
        <v>125</v>
      </c>
      <c r="B1117" s="8" t="s">
        <v>154</v>
      </c>
      <c r="C1117" s="8" t="str">
        <f>IFERROR(_xlfn.XLOOKUP(TRIM(B1117),Lookup!$B$2:$B$1000,Lookup!$C$2:$C$1000),"")</f>
        <v>Equity</v>
      </c>
      <c r="D1117" s="8" t="str">
        <f>IFERROR(INDEX('nav master'!$C:$C, MATCH(B1117, 'nav master'!$B:$B, 0)), "")</f>
        <v>ULIF07616/10/24Top500MoFd101</v>
      </c>
      <c r="E1117" s="8" t="s">
        <v>443</v>
      </c>
      <c r="F1117" s="8" t="s">
        <v>1497</v>
      </c>
    </row>
    <row r="1118" spans="1:6" ht="60" x14ac:dyDescent="0.25">
      <c r="A1118" s="8" t="s">
        <v>125</v>
      </c>
      <c r="B1118" s="8" t="s">
        <v>154</v>
      </c>
      <c r="C1118" s="8" t="str">
        <f>IFERROR(_xlfn.XLOOKUP(TRIM(B1118),Lookup!$B$2:$B$1000,Lookup!$C$2:$C$1000),"")</f>
        <v>Equity</v>
      </c>
      <c r="D1118" s="8" t="str">
        <f>IFERROR(INDEX('nav master'!$C:$C, MATCH(B1118, 'nav master'!$B:$B, 0)), "")</f>
        <v>ULIF07616/10/24Top500MoFd101</v>
      </c>
      <c r="E1118" s="8" t="s">
        <v>445</v>
      </c>
      <c r="F1118" s="8" t="s">
        <v>1498</v>
      </c>
    </row>
    <row r="1119" spans="1:6" ht="60" x14ac:dyDescent="0.25">
      <c r="A1119" s="8" t="s">
        <v>125</v>
      </c>
      <c r="B1119" s="8" t="s">
        <v>154</v>
      </c>
      <c r="C1119" s="8" t="str">
        <f>IFERROR(_xlfn.XLOOKUP(TRIM(B1119),Lookup!$B$2:$B$1000,Lookup!$C$2:$C$1000),"")</f>
        <v>Equity</v>
      </c>
      <c r="D1119" s="8" t="str">
        <f>IFERROR(INDEX('nav master'!$C:$C, MATCH(B1119, 'nav master'!$B:$B, 0)), "")</f>
        <v>ULIF07616/10/24Top500MoFd101</v>
      </c>
      <c r="E1119" s="8" t="s">
        <v>446</v>
      </c>
      <c r="F1119" s="8" t="s">
        <v>1499</v>
      </c>
    </row>
    <row r="1120" spans="1:6" ht="60" x14ac:dyDescent="0.25">
      <c r="A1120" s="8" t="s">
        <v>125</v>
      </c>
      <c r="B1120" s="8" t="s">
        <v>154</v>
      </c>
      <c r="C1120" s="8" t="str">
        <f>IFERROR(_xlfn.XLOOKUP(TRIM(B1120),Lookup!$B$2:$B$1000,Lookup!$C$2:$C$1000),"")</f>
        <v>Equity</v>
      </c>
      <c r="D1120" s="8" t="str">
        <f>IFERROR(INDEX('nav master'!$C:$C, MATCH(B1120, 'nav master'!$B:$B, 0)), "")</f>
        <v>ULIF07616/10/24Top500MoFd101</v>
      </c>
      <c r="E1120" s="8" t="s">
        <v>448</v>
      </c>
      <c r="F1120" s="8" t="s">
        <v>1500</v>
      </c>
    </row>
    <row r="1121" spans="1:6" ht="60" x14ac:dyDescent="0.25">
      <c r="A1121" s="8" t="s">
        <v>125</v>
      </c>
      <c r="B1121" s="8" t="s">
        <v>154</v>
      </c>
      <c r="C1121" s="8" t="str">
        <f>IFERROR(_xlfn.XLOOKUP(TRIM(B1121),Lookup!$B$2:$B$1000,Lookup!$C$2:$C$1000),"")</f>
        <v>Equity</v>
      </c>
      <c r="D1121" s="8" t="str">
        <f>IFERROR(INDEX('nav master'!$C:$C, MATCH(B1121, 'nav master'!$B:$B, 0)), "")</f>
        <v>ULIF07616/10/24Top500MoFd101</v>
      </c>
      <c r="E1121" s="8" t="s">
        <v>450</v>
      </c>
      <c r="F1121" s="8" t="s">
        <v>1501</v>
      </c>
    </row>
    <row r="1122" spans="1:6" ht="60" x14ac:dyDescent="0.25">
      <c r="A1122" s="8" t="s">
        <v>125</v>
      </c>
      <c r="B1122" s="8" t="s">
        <v>154</v>
      </c>
      <c r="C1122" s="8" t="str">
        <f>IFERROR(_xlfn.XLOOKUP(TRIM(B1122),Lookup!$B$2:$B$1000,Lookup!$C$2:$C$1000),"")</f>
        <v>Equity</v>
      </c>
      <c r="D1122" s="8" t="str">
        <f>IFERROR(INDEX('nav master'!$C:$C, MATCH(B1122, 'nav master'!$B:$B, 0)), "")</f>
        <v>ULIF07616/10/24Top500MoFd101</v>
      </c>
      <c r="E1122" s="8" t="s">
        <v>452</v>
      </c>
      <c r="F1122" s="8" t="s">
        <v>1502</v>
      </c>
    </row>
    <row r="1123" spans="1:6" ht="60" x14ac:dyDescent="0.25">
      <c r="A1123" s="8" t="s">
        <v>125</v>
      </c>
      <c r="B1123" s="8" t="s">
        <v>154</v>
      </c>
      <c r="C1123" s="8" t="str">
        <f>IFERROR(_xlfn.XLOOKUP(TRIM(B1123),Lookup!$B$2:$B$1000,Lookup!$C$2:$C$1000),"")</f>
        <v>Equity</v>
      </c>
      <c r="D1123" s="8" t="str">
        <f>IFERROR(INDEX('nav master'!$C:$C, MATCH(B1123, 'nav master'!$B:$B, 0)), "")</f>
        <v>ULIF07616/10/24Top500MoFd101</v>
      </c>
      <c r="E1123" s="8" t="s">
        <v>454</v>
      </c>
      <c r="F1123" s="8" t="s">
        <v>1503</v>
      </c>
    </row>
    <row r="1124" spans="1:6" ht="60" x14ac:dyDescent="0.25">
      <c r="A1124" s="8" t="s">
        <v>125</v>
      </c>
      <c r="B1124" s="8" t="s">
        <v>154</v>
      </c>
      <c r="C1124" s="8" t="str">
        <f>IFERROR(_xlfn.XLOOKUP(TRIM(B1124),Lookup!$B$2:$B$1000,Lookup!$C$2:$C$1000),"")</f>
        <v>Equity</v>
      </c>
      <c r="D1124" s="8" t="str">
        <f>IFERROR(INDEX('nav master'!$C:$C, MATCH(B1124, 'nav master'!$B:$B, 0)), "")</f>
        <v>ULIF07616/10/24Top500MoFd101</v>
      </c>
      <c r="E1124" s="8" t="s">
        <v>456</v>
      </c>
      <c r="F1124" s="8" t="s">
        <v>1504</v>
      </c>
    </row>
    <row r="1125" spans="1:6" ht="60" x14ac:dyDescent="0.25">
      <c r="A1125" s="8" t="s">
        <v>125</v>
      </c>
      <c r="B1125" s="8" t="s">
        <v>154</v>
      </c>
      <c r="C1125" s="8" t="str">
        <f>IFERROR(_xlfn.XLOOKUP(TRIM(B1125),Lookup!$B$2:$B$1000,Lookup!$C$2:$C$1000),"")</f>
        <v>Equity</v>
      </c>
      <c r="D1125" s="8" t="str">
        <f>IFERROR(INDEX('nav master'!$C:$C, MATCH(B1125, 'nav master'!$B:$B, 0)), "")</f>
        <v>ULIF07616/10/24Top500MoFd101</v>
      </c>
      <c r="E1125" s="8" t="s">
        <v>458</v>
      </c>
      <c r="F1125" s="8" t="s">
        <v>1505</v>
      </c>
    </row>
    <row r="1126" spans="1:6" ht="60" x14ac:dyDescent="0.25">
      <c r="A1126" s="8" t="s">
        <v>125</v>
      </c>
      <c r="B1126" s="8" t="s">
        <v>154</v>
      </c>
      <c r="C1126" s="8" t="str">
        <f>IFERROR(_xlfn.XLOOKUP(TRIM(B1126),Lookup!$B$2:$B$1000,Lookup!$C$2:$C$1000),"")</f>
        <v>Equity</v>
      </c>
      <c r="D1126" s="8" t="str">
        <f>IFERROR(INDEX('nav master'!$C:$C, MATCH(B1126, 'nav master'!$B:$B, 0)), "")</f>
        <v>ULIF07616/10/24Top500MoFd101</v>
      </c>
      <c r="E1126" s="8" t="s">
        <v>460</v>
      </c>
      <c r="F1126" s="8" t="s">
        <v>1506</v>
      </c>
    </row>
    <row r="1127" spans="1:6" ht="60" x14ac:dyDescent="0.25">
      <c r="A1127" s="8" t="s">
        <v>125</v>
      </c>
      <c r="B1127" s="8" t="s">
        <v>154</v>
      </c>
      <c r="C1127" s="8" t="str">
        <f>IFERROR(_xlfn.XLOOKUP(TRIM(B1127),Lookup!$B$2:$B$1000,Lookup!$C$2:$C$1000),"")</f>
        <v>Equity</v>
      </c>
      <c r="D1127" s="8" t="str">
        <f>IFERROR(INDEX('nav master'!$C:$C, MATCH(B1127, 'nav master'!$B:$B, 0)), "")</f>
        <v>ULIF07616/10/24Top500MoFd101</v>
      </c>
      <c r="E1127" s="8" t="s">
        <v>462</v>
      </c>
      <c r="F1127" s="8" t="s">
        <v>1243</v>
      </c>
    </row>
    <row r="1128" spans="1:6" ht="60" x14ac:dyDescent="0.25">
      <c r="A1128" s="8" t="s">
        <v>125</v>
      </c>
      <c r="B1128" s="8" t="s">
        <v>154</v>
      </c>
      <c r="C1128" s="8" t="str">
        <f>IFERROR(_xlfn.XLOOKUP(TRIM(B1128),Lookup!$B$2:$B$1000,Lookup!$C$2:$C$1000),"")</f>
        <v>Equity</v>
      </c>
      <c r="D1128" s="8" t="str">
        <f>IFERROR(INDEX('nav master'!$C:$C, MATCH(B1128, 'nav master'!$B:$B, 0)), "")</f>
        <v>ULIF07616/10/24Top500MoFd101</v>
      </c>
      <c r="E1128" s="8" t="s">
        <v>464</v>
      </c>
      <c r="F1128" s="8" t="s">
        <v>1507</v>
      </c>
    </row>
    <row r="1129" spans="1:6" ht="60" x14ac:dyDescent="0.25">
      <c r="A1129" s="8" t="s">
        <v>125</v>
      </c>
      <c r="B1129" s="8" t="s">
        <v>154</v>
      </c>
      <c r="C1129" s="8" t="str">
        <f>IFERROR(_xlfn.XLOOKUP(TRIM(B1129),Lookup!$B$2:$B$1000,Lookup!$C$2:$C$1000),"")</f>
        <v>Equity</v>
      </c>
      <c r="D1129" s="8" t="str">
        <f>IFERROR(INDEX('nav master'!$C:$C, MATCH(B1129, 'nav master'!$B:$B, 0)), "")</f>
        <v>ULIF07616/10/24Top500MoFd101</v>
      </c>
      <c r="E1129" s="8" t="s">
        <v>466</v>
      </c>
      <c r="F1129" s="8" t="s">
        <v>1508</v>
      </c>
    </row>
    <row r="1130" spans="1:6" ht="60" x14ac:dyDescent="0.25">
      <c r="A1130" s="8" t="s">
        <v>125</v>
      </c>
      <c r="B1130" s="8" t="s">
        <v>154</v>
      </c>
      <c r="C1130" s="8" t="str">
        <f>IFERROR(_xlfn.XLOOKUP(TRIM(B1130),Lookup!$B$2:$B$1000,Lookup!$C$2:$C$1000),"")</f>
        <v>Equity</v>
      </c>
      <c r="D1130" s="8" t="str">
        <f>IFERROR(INDEX('nav master'!$C:$C, MATCH(B1130, 'nav master'!$B:$B, 0)), "")</f>
        <v>ULIF07616/10/24Top500MoFd101</v>
      </c>
      <c r="E1130" s="8" t="s">
        <v>468</v>
      </c>
      <c r="F1130" s="8" t="s">
        <v>1509</v>
      </c>
    </row>
    <row r="1131" spans="1:6" ht="60" x14ac:dyDescent="0.25">
      <c r="A1131" s="8" t="s">
        <v>125</v>
      </c>
      <c r="B1131" s="8" t="s">
        <v>154</v>
      </c>
      <c r="C1131" s="8" t="str">
        <f>IFERROR(_xlfn.XLOOKUP(TRIM(B1131),Lookup!$B$2:$B$1000,Lookup!$C$2:$C$1000),"")</f>
        <v>Equity</v>
      </c>
      <c r="D1131" s="8" t="str">
        <f>IFERROR(INDEX('nav master'!$C:$C, MATCH(B1131, 'nav master'!$B:$B, 0)), "")</f>
        <v>ULIF07616/10/24Top500MoFd101</v>
      </c>
      <c r="E1131" s="8" t="s">
        <v>470</v>
      </c>
      <c r="F1131" s="8" t="s">
        <v>1510</v>
      </c>
    </row>
    <row r="1132" spans="1:6" ht="60" x14ac:dyDescent="0.25">
      <c r="A1132" s="8" t="s">
        <v>125</v>
      </c>
      <c r="B1132" s="8" t="s">
        <v>154</v>
      </c>
      <c r="C1132" s="8" t="str">
        <f>IFERROR(_xlfn.XLOOKUP(TRIM(B1132),Lookup!$B$2:$B$1000,Lookup!$C$2:$C$1000),"")</f>
        <v>Equity</v>
      </c>
      <c r="D1132" s="8" t="str">
        <f>IFERROR(INDEX('nav master'!$C:$C, MATCH(B1132, 'nav master'!$B:$B, 0)), "")</f>
        <v>ULIF07616/10/24Top500MoFd101</v>
      </c>
      <c r="E1132" s="8" t="s">
        <v>472</v>
      </c>
      <c r="F1132" s="8" t="s">
        <v>1511</v>
      </c>
    </row>
    <row r="1133" spans="1:6" ht="60" x14ac:dyDescent="0.25">
      <c r="A1133" s="8" t="s">
        <v>125</v>
      </c>
      <c r="B1133" s="8" t="s">
        <v>154</v>
      </c>
      <c r="C1133" s="8" t="str">
        <f>IFERROR(_xlfn.XLOOKUP(TRIM(B1133),Lookup!$B$2:$B$1000,Lookup!$C$2:$C$1000),"")</f>
        <v>Equity</v>
      </c>
      <c r="D1133" s="8" t="str">
        <f>IFERROR(INDEX('nav master'!$C:$C, MATCH(B1133, 'nav master'!$B:$B, 0)), "")</f>
        <v>ULIF07616/10/24Top500MoFd101</v>
      </c>
      <c r="E1133" s="8" t="s">
        <v>474</v>
      </c>
      <c r="F1133" s="8" t="s">
        <v>1512</v>
      </c>
    </row>
    <row r="1134" spans="1:6" ht="60" x14ac:dyDescent="0.25">
      <c r="A1134" s="8" t="s">
        <v>125</v>
      </c>
      <c r="B1134" s="8" t="s">
        <v>154</v>
      </c>
      <c r="C1134" s="8" t="str">
        <f>IFERROR(_xlfn.XLOOKUP(TRIM(B1134),Lookup!$B$2:$B$1000,Lookup!$C$2:$C$1000),"")</f>
        <v>Equity</v>
      </c>
      <c r="D1134" s="8" t="str">
        <f>IFERROR(INDEX('nav master'!$C:$C, MATCH(B1134, 'nav master'!$B:$B, 0)), "")</f>
        <v>ULIF07616/10/24Top500MoFd101</v>
      </c>
      <c r="E1134" s="8" t="s">
        <v>476</v>
      </c>
      <c r="F1134" s="8" t="s">
        <v>1513</v>
      </c>
    </row>
    <row r="1135" spans="1:6" ht="60" x14ac:dyDescent="0.25">
      <c r="A1135" s="8" t="s">
        <v>125</v>
      </c>
      <c r="B1135" s="8" t="s">
        <v>154</v>
      </c>
      <c r="C1135" s="8" t="str">
        <f>IFERROR(_xlfn.XLOOKUP(TRIM(B1135),Lookup!$B$2:$B$1000,Lookup!$C$2:$C$1000),"")</f>
        <v>Equity</v>
      </c>
      <c r="D1135" s="8" t="str">
        <f>IFERROR(INDEX('nav master'!$C:$C, MATCH(B1135, 'nav master'!$B:$B, 0)), "")</f>
        <v>ULIF07616/10/24Top500MoFd101</v>
      </c>
      <c r="E1135" s="8" t="s">
        <v>478</v>
      </c>
      <c r="F1135" s="8" t="s">
        <v>1514</v>
      </c>
    </row>
    <row r="1136" spans="1:6" ht="60" x14ac:dyDescent="0.25">
      <c r="A1136" s="8" t="s">
        <v>125</v>
      </c>
      <c r="B1136" s="8" t="s">
        <v>154</v>
      </c>
      <c r="C1136" s="8" t="str">
        <f>IFERROR(_xlfn.XLOOKUP(TRIM(B1136),Lookup!$B$2:$B$1000,Lookup!$C$2:$C$1000),"")</f>
        <v>Equity</v>
      </c>
      <c r="D1136" s="8" t="str">
        <f>IFERROR(INDEX('nav master'!$C:$C, MATCH(B1136, 'nav master'!$B:$B, 0)), "")</f>
        <v>ULIF07616/10/24Top500MoFd101</v>
      </c>
      <c r="E1136" s="8" t="s">
        <v>480</v>
      </c>
      <c r="F1136" s="8" t="s">
        <v>1515</v>
      </c>
    </row>
    <row r="1137" spans="1:6" ht="60" x14ac:dyDescent="0.25">
      <c r="A1137" s="8" t="s">
        <v>125</v>
      </c>
      <c r="B1137" s="8" t="s">
        <v>154</v>
      </c>
      <c r="C1137" s="8" t="str">
        <f>IFERROR(_xlfn.XLOOKUP(TRIM(B1137),Lookup!$B$2:$B$1000,Lookup!$C$2:$C$1000),"")</f>
        <v>Equity</v>
      </c>
      <c r="D1137" s="8" t="str">
        <f>IFERROR(INDEX('nav master'!$C:$C, MATCH(B1137, 'nav master'!$B:$B, 0)), "")</f>
        <v>ULIF07616/10/24Top500MoFd101</v>
      </c>
      <c r="E1137" s="8" t="s">
        <v>482</v>
      </c>
      <c r="F1137" s="8" t="s">
        <v>1516</v>
      </c>
    </row>
    <row r="1138" spans="1:6" ht="60" x14ac:dyDescent="0.25">
      <c r="A1138" s="8" t="s">
        <v>125</v>
      </c>
      <c r="B1138" s="8" t="s">
        <v>154</v>
      </c>
      <c r="C1138" s="8" t="str">
        <f>IFERROR(_xlfn.XLOOKUP(TRIM(B1138),Lookup!$B$2:$B$1000,Lookup!$C$2:$C$1000),"")</f>
        <v>Equity</v>
      </c>
      <c r="D1138" s="8" t="str">
        <f>IFERROR(INDEX('nav master'!$C:$C, MATCH(B1138, 'nav master'!$B:$B, 0)), "")</f>
        <v>ULIF07616/10/24Top500MoFd101</v>
      </c>
      <c r="E1138" s="8" t="s">
        <v>484</v>
      </c>
      <c r="F1138" s="8" t="s">
        <v>1517</v>
      </c>
    </row>
    <row r="1139" spans="1:6" ht="60" x14ac:dyDescent="0.25">
      <c r="A1139" s="8" t="s">
        <v>125</v>
      </c>
      <c r="B1139" s="8" t="s">
        <v>154</v>
      </c>
      <c r="C1139" s="8" t="str">
        <f>IFERROR(_xlfn.XLOOKUP(TRIM(B1139),Lookup!$B$2:$B$1000,Lookup!$C$2:$C$1000),"")</f>
        <v>Equity</v>
      </c>
      <c r="D1139" s="8" t="str">
        <f>IFERROR(INDEX('nav master'!$C:$C, MATCH(B1139, 'nav master'!$B:$B, 0)), "")</f>
        <v>ULIF07616/10/24Top500MoFd101</v>
      </c>
      <c r="E1139" s="8" t="s">
        <v>486</v>
      </c>
      <c r="F1139" s="8" t="s">
        <v>1518</v>
      </c>
    </row>
    <row r="1140" spans="1:6" ht="60" x14ac:dyDescent="0.25">
      <c r="A1140" s="8" t="s">
        <v>125</v>
      </c>
      <c r="B1140" s="8" t="s">
        <v>154</v>
      </c>
      <c r="C1140" s="8" t="str">
        <f>IFERROR(_xlfn.XLOOKUP(TRIM(B1140),Lookup!$B$2:$B$1000,Lookup!$C$2:$C$1000),"")</f>
        <v>Equity</v>
      </c>
      <c r="D1140" s="8" t="str">
        <f>IFERROR(INDEX('nav master'!$C:$C, MATCH(B1140, 'nav master'!$B:$B, 0)), "")</f>
        <v>ULIF07616/10/24Top500MoFd101</v>
      </c>
      <c r="E1140" s="8" t="s">
        <v>488</v>
      </c>
      <c r="F1140" s="8" t="s">
        <v>1519</v>
      </c>
    </row>
    <row r="1141" spans="1:6" ht="60" x14ac:dyDescent="0.25">
      <c r="A1141" s="8" t="s">
        <v>125</v>
      </c>
      <c r="B1141" s="8" t="s">
        <v>154</v>
      </c>
      <c r="C1141" s="8" t="str">
        <f>IFERROR(_xlfn.XLOOKUP(TRIM(B1141),Lookup!$B$2:$B$1000,Lookup!$C$2:$C$1000),"")</f>
        <v>Equity</v>
      </c>
      <c r="D1141" s="8" t="str">
        <f>IFERROR(INDEX('nav master'!$C:$C, MATCH(B1141, 'nav master'!$B:$B, 0)), "")</f>
        <v>ULIF07616/10/24Top500MoFd101</v>
      </c>
      <c r="E1141" s="8" t="s">
        <v>490</v>
      </c>
      <c r="F1141" s="8" t="s">
        <v>1520</v>
      </c>
    </row>
    <row r="1142" spans="1:6" ht="60" x14ac:dyDescent="0.25">
      <c r="A1142" s="8" t="s">
        <v>125</v>
      </c>
      <c r="B1142" s="8" t="s">
        <v>154</v>
      </c>
      <c r="C1142" s="8" t="str">
        <f>IFERROR(_xlfn.XLOOKUP(TRIM(B1142),Lookup!$B$2:$B$1000,Lookup!$C$2:$C$1000),"")</f>
        <v>Equity</v>
      </c>
      <c r="D1142" s="8" t="str">
        <f>IFERROR(INDEX('nav master'!$C:$C, MATCH(B1142, 'nav master'!$B:$B, 0)), "")</f>
        <v>ULIF07616/10/24Top500MoFd101</v>
      </c>
      <c r="E1142" s="8" t="s">
        <v>492</v>
      </c>
      <c r="F1142" s="8" t="s">
        <v>1521</v>
      </c>
    </row>
    <row r="1143" spans="1:6" ht="60" x14ac:dyDescent="0.25">
      <c r="A1143" s="8" t="s">
        <v>125</v>
      </c>
      <c r="B1143" s="8" t="s">
        <v>154</v>
      </c>
      <c r="C1143" s="8" t="str">
        <f>IFERROR(_xlfn.XLOOKUP(TRIM(B1143),Lookup!$B$2:$B$1000,Lookup!$C$2:$C$1000),"")</f>
        <v>Equity</v>
      </c>
      <c r="D1143" s="8" t="str">
        <f>IFERROR(INDEX('nav master'!$C:$C, MATCH(B1143, 'nav master'!$B:$B, 0)), "")</f>
        <v>ULIF07616/10/24Top500MoFd101</v>
      </c>
      <c r="E1143" s="8" t="s">
        <v>494</v>
      </c>
      <c r="F1143" s="8" t="s">
        <v>1522</v>
      </c>
    </row>
    <row r="1144" spans="1:6" ht="60" x14ac:dyDescent="0.25">
      <c r="A1144" s="8" t="s">
        <v>125</v>
      </c>
      <c r="B1144" s="8" t="s">
        <v>154</v>
      </c>
      <c r="C1144" s="8" t="str">
        <f>IFERROR(_xlfn.XLOOKUP(TRIM(B1144),Lookup!$B$2:$B$1000,Lookup!$C$2:$C$1000),"")</f>
        <v>Equity</v>
      </c>
      <c r="D1144" s="8" t="str">
        <f>IFERROR(INDEX('nav master'!$C:$C, MATCH(B1144, 'nav master'!$B:$B, 0)), "")</f>
        <v>ULIF07616/10/24Top500MoFd101</v>
      </c>
      <c r="E1144" s="8" t="s">
        <v>496</v>
      </c>
      <c r="F1144" s="8" t="s">
        <v>1523</v>
      </c>
    </row>
    <row r="1145" spans="1:6" ht="60" x14ac:dyDescent="0.25">
      <c r="A1145" s="8" t="s">
        <v>125</v>
      </c>
      <c r="B1145" s="8" t="s">
        <v>154</v>
      </c>
      <c r="C1145" s="8" t="str">
        <f>IFERROR(_xlfn.XLOOKUP(TRIM(B1145),Lookup!$B$2:$B$1000,Lookup!$C$2:$C$1000),"")</f>
        <v>Equity</v>
      </c>
      <c r="D1145" s="8" t="str">
        <f>IFERROR(INDEX('nav master'!$C:$C, MATCH(B1145, 'nav master'!$B:$B, 0)), "")</f>
        <v>ULIF07616/10/24Top500MoFd101</v>
      </c>
      <c r="E1145" s="8" t="s">
        <v>498</v>
      </c>
      <c r="F1145" s="8" t="s">
        <v>1524</v>
      </c>
    </row>
    <row r="1146" spans="1:6" ht="60" x14ac:dyDescent="0.25">
      <c r="A1146" s="8" t="s">
        <v>125</v>
      </c>
      <c r="B1146" s="8" t="s">
        <v>154</v>
      </c>
      <c r="C1146" s="8" t="str">
        <f>IFERROR(_xlfn.XLOOKUP(TRIM(B1146),Lookup!$B$2:$B$1000,Lookup!$C$2:$C$1000),"")</f>
        <v>Equity</v>
      </c>
      <c r="D1146" s="8" t="str">
        <f>IFERROR(INDEX('nav master'!$C:$C, MATCH(B1146, 'nav master'!$B:$B, 0)), "")</f>
        <v>ULIF07616/10/24Top500MoFd101</v>
      </c>
      <c r="E1146" s="8" t="s">
        <v>500</v>
      </c>
      <c r="F1146" s="8" t="s">
        <v>1525</v>
      </c>
    </row>
    <row r="1147" spans="1:6" ht="60" x14ac:dyDescent="0.25">
      <c r="A1147" s="8" t="s">
        <v>125</v>
      </c>
      <c r="B1147" s="8" t="s">
        <v>154</v>
      </c>
      <c r="C1147" s="8" t="str">
        <f>IFERROR(_xlfn.XLOOKUP(TRIM(B1147),Lookup!$B$2:$B$1000,Lookup!$C$2:$C$1000),"")</f>
        <v>Equity</v>
      </c>
      <c r="D1147" s="8" t="str">
        <f>IFERROR(INDEX('nav master'!$C:$C, MATCH(B1147, 'nav master'!$B:$B, 0)), "")</f>
        <v>ULIF07616/10/24Top500MoFd101</v>
      </c>
      <c r="E1147" s="8" t="s">
        <v>502</v>
      </c>
      <c r="F1147" s="8" t="s">
        <v>1526</v>
      </c>
    </row>
    <row r="1148" spans="1:6" ht="60" x14ac:dyDescent="0.25">
      <c r="A1148" s="8" t="s">
        <v>125</v>
      </c>
      <c r="B1148" s="8" t="s">
        <v>154</v>
      </c>
      <c r="C1148" s="8" t="str">
        <f>IFERROR(_xlfn.XLOOKUP(TRIM(B1148),Lookup!$B$2:$B$1000,Lookup!$C$2:$C$1000),"")</f>
        <v>Equity</v>
      </c>
      <c r="D1148" s="8" t="str">
        <f>IFERROR(INDEX('nav master'!$C:$C, MATCH(B1148, 'nav master'!$B:$B, 0)), "")</f>
        <v>ULIF07616/10/24Top500MoFd101</v>
      </c>
      <c r="E1148" s="8" t="s">
        <v>504</v>
      </c>
      <c r="F1148" s="8" t="s">
        <v>1527</v>
      </c>
    </row>
    <row r="1149" spans="1:6" ht="60" x14ac:dyDescent="0.25">
      <c r="A1149" s="8" t="s">
        <v>125</v>
      </c>
      <c r="B1149" s="8" t="s">
        <v>154</v>
      </c>
      <c r="C1149" s="8" t="str">
        <f>IFERROR(_xlfn.XLOOKUP(TRIM(B1149),Lookup!$B$2:$B$1000,Lookup!$C$2:$C$1000),"")</f>
        <v>Equity</v>
      </c>
      <c r="D1149" s="8" t="str">
        <f>IFERROR(INDEX('nav master'!$C:$C, MATCH(B1149, 'nav master'!$B:$B, 0)), "")</f>
        <v>ULIF07616/10/24Top500MoFd101</v>
      </c>
      <c r="E1149" s="8" t="s">
        <v>506</v>
      </c>
      <c r="F1149" s="8" t="s">
        <v>1528</v>
      </c>
    </row>
    <row r="1150" spans="1:6" ht="60" x14ac:dyDescent="0.25">
      <c r="A1150" s="8" t="s">
        <v>125</v>
      </c>
      <c r="B1150" s="8" t="s">
        <v>154</v>
      </c>
      <c r="C1150" s="8" t="str">
        <f>IFERROR(_xlfn.XLOOKUP(TRIM(B1150),Lookup!$B$2:$B$1000,Lookup!$C$2:$C$1000),"")</f>
        <v>Equity</v>
      </c>
      <c r="D1150" s="8" t="str">
        <f>IFERROR(INDEX('nav master'!$C:$C, MATCH(B1150, 'nav master'!$B:$B, 0)), "")</f>
        <v>ULIF07616/10/24Top500MoFd101</v>
      </c>
      <c r="E1150" s="8" t="s">
        <v>508</v>
      </c>
      <c r="F1150" s="8" t="s">
        <v>1529</v>
      </c>
    </row>
    <row r="1151" spans="1:6" ht="60" x14ac:dyDescent="0.25">
      <c r="A1151" s="8" t="s">
        <v>125</v>
      </c>
      <c r="B1151" s="8" t="s">
        <v>154</v>
      </c>
      <c r="C1151" s="8" t="str">
        <f>IFERROR(_xlfn.XLOOKUP(TRIM(B1151),Lookup!$B$2:$B$1000,Lookup!$C$2:$C$1000),"")</f>
        <v>Equity</v>
      </c>
      <c r="D1151" s="8" t="str">
        <f>IFERROR(INDEX('nav master'!$C:$C, MATCH(B1151, 'nav master'!$B:$B, 0)), "")</f>
        <v>ULIF07616/10/24Top500MoFd101</v>
      </c>
      <c r="E1151" s="8" t="s">
        <v>510</v>
      </c>
      <c r="F1151" s="8" t="s">
        <v>1530</v>
      </c>
    </row>
    <row r="1152" spans="1:6" ht="60" x14ac:dyDescent="0.25">
      <c r="A1152" s="8" t="s">
        <v>125</v>
      </c>
      <c r="B1152" s="8" t="s">
        <v>154</v>
      </c>
      <c r="C1152" s="8" t="str">
        <f>IFERROR(_xlfn.XLOOKUP(TRIM(B1152),Lookup!$B$2:$B$1000,Lookup!$C$2:$C$1000),"")</f>
        <v>Equity</v>
      </c>
      <c r="D1152" s="8" t="str">
        <f>IFERROR(INDEX('nav master'!$C:$C, MATCH(B1152, 'nav master'!$B:$B, 0)), "")</f>
        <v>ULIF07616/10/24Top500MoFd101</v>
      </c>
      <c r="E1152" s="8" t="s">
        <v>512</v>
      </c>
      <c r="F1152" s="8" t="s">
        <v>1531</v>
      </c>
    </row>
    <row r="1153" spans="1:6" ht="60" x14ac:dyDescent="0.25">
      <c r="A1153" s="8" t="s">
        <v>125</v>
      </c>
      <c r="B1153" s="8" t="s">
        <v>154</v>
      </c>
      <c r="C1153" s="8" t="str">
        <f>IFERROR(_xlfn.XLOOKUP(TRIM(B1153),Lookup!$B$2:$B$1000,Lookup!$C$2:$C$1000),"")</f>
        <v>Equity</v>
      </c>
      <c r="D1153" s="8" t="str">
        <f>IFERROR(INDEX('nav master'!$C:$C, MATCH(B1153, 'nav master'!$B:$B, 0)), "")</f>
        <v>ULIF07616/10/24Top500MoFd101</v>
      </c>
      <c r="E1153" s="8" t="s">
        <v>514</v>
      </c>
      <c r="F1153" s="8" t="s">
        <v>1532</v>
      </c>
    </row>
    <row r="1154" spans="1:6" ht="60" x14ac:dyDescent="0.25">
      <c r="A1154" s="8" t="s">
        <v>125</v>
      </c>
      <c r="B1154" s="8" t="s">
        <v>154</v>
      </c>
      <c r="C1154" s="8" t="str">
        <f>IFERROR(_xlfn.XLOOKUP(TRIM(B1154),Lookup!$B$2:$B$1000,Lookup!$C$2:$C$1000),"")</f>
        <v>Equity</v>
      </c>
      <c r="D1154" s="8" t="str">
        <f>IFERROR(INDEX('nav master'!$C:$C, MATCH(B1154, 'nav master'!$B:$B, 0)), "")</f>
        <v>ULIF07616/10/24Top500MoFd101</v>
      </c>
      <c r="E1154" s="8" t="s">
        <v>516</v>
      </c>
      <c r="F1154" s="8" t="s">
        <v>1533</v>
      </c>
    </row>
    <row r="1155" spans="1:6" ht="60" x14ac:dyDescent="0.25">
      <c r="A1155" s="8" t="s">
        <v>125</v>
      </c>
      <c r="B1155" s="8" t="s">
        <v>154</v>
      </c>
      <c r="C1155" s="8" t="str">
        <f>IFERROR(_xlfn.XLOOKUP(TRIM(B1155),Lookup!$B$2:$B$1000,Lookup!$C$2:$C$1000),"")</f>
        <v>Equity</v>
      </c>
      <c r="D1155" s="8" t="str">
        <f>IFERROR(INDEX('nav master'!$C:$C, MATCH(B1155, 'nav master'!$B:$B, 0)), "")</f>
        <v>ULIF07616/10/24Top500MoFd101</v>
      </c>
      <c r="E1155" s="8" t="s">
        <v>518</v>
      </c>
      <c r="F1155" s="8" t="s">
        <v>1534</v>
      </c>
    </row>
    <row r="1156" spans="1:6" ht="60" x14ac:dyDescent="0.25">
      <c r="A1156" s="8" t="s">
        <v>125</v>
      </c>
      <c r="B1156" s="8" t="s">
        <v>154</v>
      </c>
      <c r="C1156" s="8" t="str">
        <f>IFERROR(_xlfn.XLOOKUP(TRIM(B1156),Lookup!$B$2:$B$1000,Lookup!$C$2:$C$1000),"")</f>
        <v>Equity</v>
      </c>
      <c r="D1156" s="8" t="str">
        <f>IFERROR(INDEX('nav master'!$C:$C, MATCH(B1156, 'nav master'!$B:$B, 0)), "")</f>
        <v>ULIF07616/10/24Top500MoFd101</v>
      </c>
      <c r="E1156" s="8" t="s">
        <v>520</v>
      </c>
      <c r="F1156" s="8" t="s">
        <v>1535</v>
      </c>
    </row>
    <row r="1157" spans="1:6" ht="60" x14ac:dyDescent="0.25">
      <c r="A1157" s="8" t="s">
        <v>125</v>
      </c>
      <c r="B1157" s="8" t="s">
        <v>154</v>
      </c>
      <c r="C1157" s="8" t="str">
        <f>IFERROR(_xlfn.XLOOKUP(TRIM(B1157),Lookup!$B$2:$B$1000,Lookup!$C$2:$C$1000),"")</f>
        <v>Equity</v>
      </c>
      <c r="D1157" s="8" t="str">
        <f>IFERROR(INDEX('nav master'!$C:$C, MATCH(B1157, 'nav master'!$B:$B, 0)), "")</f>
        <v>ULIF07616/10/24Top500MoFd101</v>
      </c>
      <c r="E1157" s="8" t="s">
        <v>522</v>
      </c>
      <c r="F1157" s="8" t="s">
        <v>1536</v>
      </c>
    </row>
    <row r="1158" spans="1:6" ht="60" x14ac:dyDescent="0.25">
      <c r="A1158" s="8" t="s">
        <v>125</v>
      </c>
      <c r="B1158" s="8" t="s">
        <v>154</v>
      </c>
      <c r="C1158" s="8" t="str">
        <f>IFERROR(_xlfn.XLOOKUP(TRIM(B1158),Lookup!$B$2:$B$1000,Lookup!$C$2:$C$1000),"")</f>
        <v>Equity</v>
      </c>
      <c r="D1158" s="8" t="str">
        <f>IFERROR(INDEX('nav master'!$C:$C, MATCH(B1158, 'nav master'!$B:$B, 0)), "")</f>
        <v>ULIF07616/10/24Top500MoFd101</v>
      </c>
      <c r="E1158" s="8" t="s">
        <v>524</v>
      </c>
      <c r="F1158" s="8" t="s">
        <v>1537</v>
      </c>
    </row>
    <row r="1159" spans="1:6" ht="60" x14ac:dyDescent="0.25">
      <c r="A1159" s="8" t="s">
        <v>125</v>
      </c>
      <c r="B1159" s="8" t="s">
        <v>154</v>
      </c>
      <c r="C1159" s="8" t="str">
        <f>IFERROR(_xlfn.XLOOKUP(TRIM(B1159),Lookup!$B$2:$B$1000,Lookup!$C$2:$C$1000),"")</f>
        <v>Equity</v>
      </c>
      <c r="D1159" s="8" t="str">
        <f>IFERROR(INDEX('nav master'!$C:$C, MATCH(B1159, 'nav master'!$B:$B, 0)), "")</f>
        <v>ULIF07616/10/24Top500MoFd101</v>
      </c>
      <c r="E1159" s="8" t="s">
        <v>526</v>
      </c>
      <c r="F1159" s="8" t="s">
        <v>1538</v>
      </c>
    </row>
    <row r="1160" spans="1:6" ht="60" x14ac:dyDescent="0.25">
      <c r="A1160" s="8" t="s">
        <v>125</v>
      </c>
      <c r="B1160" s="8" t="s">
        <v>154</v>
      </c>
      <c r="C1160" s="8" t="str">
        <f>IFERROR(_xlfn.XLOOKUP(TRIM(B1160),Lookup!$B$2:$B$1000,Lookup!$C$2:$C$1000),"")</f>
        <v>Equity</v>
      </c>
      <c r="D1160" s="8" t="str">
        <f>IFERROR(INDEX('nav master'!$C:$C, MATCH(B1160, 'nav master'!$B:$B, 0)), "")</f>
        <v>ULIF07616/10/24Top500MoFd101</v>
      </c>
      <c r="E1160" s="8" t="s">
        <v>528</v>
      </c>
      <c r="F1160" s="8" t="s">
        <v>1539</v>
      </c>
    </row>
    <row r="1161" spans="1:6" ht="60" x14ac:dyDescent="0.25">
      <c r="A1161" s="8" t="s">
        <v>125</v>
      </c>
      <c r="B1161" s="8" t="s">
        <v>154</v>
      </c>
      <c r="C1161" s="8" t="str">
        <f>IFERROR(_xlfn.XLOOKUP(TRIM(B1161),Lookup!$B$2:$B$1000,Lookup!$C$2:$C$1000),"")</f>
        <v>Equity</v>
      </c>
      <c r="D1161" s="8" t="str">
        <f>IFERROR(INDEX('nav master'!$C:$C, MATCH(B1161, 'nav master'!$B:$B, 0)), "")</f>
        <v>ULIF07616/10/24Top500MoFd101</v>
      </c>
      <c r="E1161" s="8" t="s">
        <v>530</v>
      </c>
      <c r="F1161" s="8" t="s">
        <v>1540</v>
      </c>
    </row>
    <row r="1162" spans="1:6" ht="60" x14ac:dyDescent="0.25">
      <c r="A1162" s="8" t="s">
        <v>125</v>
      </c>
      <c r="B1162" s="8" t="s">
        <v>154</v>
      </c>
      <c r="C1162" s="8" t="str">
        <f>IFERROR(_xlfn.XLOOKUP(TRIM(B1162),Lookup!$B$2:$B$1000,Lookup!$C$2:$C$1000),"")</f>
        <v>Equity</v>
      </c>
      <c r="D1162" s="8" t="str">
        <f>IFERROR(INDEX('nav master'!$C:$C, MATCH(B1162, 'nav master'!$B:$B, 0)), "")</f>
        <v>ULIF07616/10/24Top500MoFd101</v>
      </c>
      <c r="E1162" s="8" t="s">
        <v>532</v>
      </c>
      <c r="F1162" s="8" t="s">
        <v>1541</v>
      </c>
    </row>
    <row r="1163" spans="1:6" ht="60" x14ac:dyDescent="0.25">
      <c r="A1163" s="8" t="s">
        <v>125</v>
      </c>
      <c r="B1163" s="8" t="s">
        <v>154</v>
      </c>
      <c r="C1163" s="8" t="str">
        <f>IFERROR(_xlfn.XLOOKUP(TRIM(B1163),Lookup!$B$2:$B$1000,Lookup!$C$2:$C$1000),"")</f>
        <v>Equity</v>
      </c>
      <c r="D1163" s="8" t="str">
        <f>IFERROR(INDEX('nav master'!$C:$C, MATCH(B1163, 'nav master'!$B:$B, 0)), "")</f>
        <v>ULIF07616/10/24Top500MoFd101</v>
      </c>
      <c r="E1163" s="8" t="s">
        <v>534</v>
      </c>
      <c r="F1163" s="8" t="s">
        <v>1542</v>
      </c>
    </row>
    <row r="1164" spans="1:6" ht="60" x14ac:dyDescent="0.25">
      <c r="A1164" s="8" t="s">
        <v>125</v>
      </c>
      <c r="B1164" s="8" t="s">
        <v>154</v>
      </c>
      <c r="C1164" s="8" t="str">
        <f>IFERROR(_xlfn.XLOOKUP(TRIM(B1164),Lookup!$B$2:$B$1000,Lookup!$C$2:$C$1000),"")</f>
        <v>Equity</v>
      </c>
      <c r="D1164" s="8" t="str">
        <f>IFERROR(INDEX('nav master'!$C:$C, MATCH(B1164, 'nav master'!$B:$B, 0)), "")</f>
        <v>ULIF07616/10/24Top500MoFd101</v>
      </c>
      <c r="E1164" s="8" t="s">
        <v>536</v>
      </c>
      <c r="F1164" s="8" t="s">
        <v>1543</v>
      </c>
    </row>
    <row r="1165" spans="1:6" ht="60" x14ac:dyDescent="0.25">
      <c r="A1165" s="8" t="s">
        <v>125</v>
      </c>
      <c r="B1165" s="8" t="s">
        <v>154</v>
      </c>
      <c r="C1165" s="8" t="str">
        <f>IFERROR(_xlfn.XLOOKUP(TRIM(B1165),Lookup!$B$2:$B$1000,Lookup!$C$2:$C$1000),"")</f>
        <v>Equity</v>
      </c>
      <c r="D1165" s="8" t="str">
        <f>IFERROR(INDEX('nav master'!$C:$C, MATCH(B1165, 'nav master'!$B:$B, 0)), "")</f>
        <v>ULIF07616/10/24Top500MoFd101</v>
      </c>
      <c r="E1165" s="8" t="s">
        <v>538</v>
      </c>
      <c r="F1165" s="8" t="s">
        <v>1544</v>
      </c>
    </row>
    <row r="1166" spans="1:6" ht="60" x14ac:dyDescent="0.25">
      <c r="A1166" s="8" t="s">
        <v>125</v>
      </c>
      <c r="B1166" s="8" t="s">
        <v>154</v>
      </c>
      <c r="C1166" s="8" t="str">
        <f>IFERROR(_xlfn.XLOOKUP(TRIM(B1166),Lookup!$B$2:$B$1000,Lookup!$C$2:$C$1000),"")</f>
        <v>Equity</v>
      </c>
      <c r="D1166" s="8" t="str">
        <f>IFERROR(INDEX('nav master'!$C:$C, MATCH(B1166, 'nav master'!$B:$B, 0)), "")</f>
        <v>ULIF07616/10/24Top500MoFd101</v>
      </c>
      <c r="E1166" s="8" t="s">
        <v>540</v>
      </c>
      <c r="F1166" s="8" t="s">
        <v>1545</v>
      </c>
    </row>
    <row r="1167" spans="1:6" ht="60" x14ac:dyDescent="0.25">
      <c r="A1167" s="8" t="s">
        <v>125</v>
      </c>
      <c r="B1167" s="8" t="s">
        <v>154</v>
      </c>
      <c r="C1167" s="8" t="str">
        <f>IFERROR(_xlfn.XLOOKUP(TRIM(B1167),Lookup!$B$2:$B$1000,Lookup!$C$2:$C$1000),"")</f>
        <v>Equity</v>
      </c>
      <c r="D1167" s="8" t="str">
        <f>IFERROR(INDEX('nav master'!$C:$C, MATCH(B1167, 'nav master'!$B:$B, 0)), "")</f>
        <v>ULIF07616/10/24Top500MoFd101</v>
      </c>
      <c r="E1167" s="8" t="s">
        <v>542</v>
      </c>
      <c r="F1167" s="8" t="s">
        <v>1546</v>
      </c>
    </row>
    <row r="1168" spans="1:6" ht="60" x14ac:dyDescent="0.25">
      <c r="A1168" s="8" t="s">
        <v>125</v>
      </c>
      <c r="B1168" s="8" t="s">
        <v>154</v>
      </c>
      <c r="C1168" s="8" t="str">
        <f>IFERROR(_xlfn.XLOOKUP(TRIM(B1168),Lookup!$B$2:$B$1000,Lookup!$C$2:$C$1000),"")</f>
        <v>Equity</v>
      </c>
      <c r="D1168" s="8" t="str">
        <f>IFERROR(INDEX('nav master'!$C:$C, MATCH(B1168, 'nav master'!$B:$B, 0)), "")</f>
        <v>ULIF07616/10/24Top500MoFd101</v>
      </c>
      <c r="E1168" s="8" t="s">
        <v>544</v>
      </c>
      <c r="F1168" s="8" t="s">
        <v>1547</v>
      </c>
    </row>
    <row r="1169" spans="1:6" ht="60" x14ac:dyDescent="0.25">
      <c r="A1169" s="8" t="s">
        <v>125</v>
      </c>
      <c r="B1169" s="8" t="s">
        <v>154</v>
      </c>
      <c r="C1169" s="8" t="str">
        <f>IFERROR(_xlfn.XLOOKUP(TRIM(B1169),Lookup!$B$2:$B$1000,Lookup!$C$2:$C$1000),"")</f>
        <v>Equity</v>
      </c>
      <c r="D1169" s="8" t="str">
        <f>IFERROR(INDEX('nav master'!$C:$C, MATCH(B1169, 'nav master'!$B:$B, 0)), "")</f>
        <v>ULIF07616/10/24Top500MoFd101</v>
      </c>
      <c r="E1169" s="8" t="s">
        <v>546</v>
      </c>
      <c r="F1169" s="8" t="s">
        <v>1548</v>
      </c>
    </row>
    <row r="1170" spans="1:6" ht="60" x14ac:dyDescent="0.25">
      <c r="A1170" s="8" t="s">
        <v>125</v>
      </c>
      <c r="B1170" s="8" t="s">
        <v>154</v>
      </c>
      <c r="C1170" s="8" t="str">
        <f>IFERROR(_xlfn.XLOOKUP(TRIM(B1170),Lookup!$B$2:$B$1000,Lookup!$C$2:$C$1000),"")</f>
        <v>Equity</v>
      </c>
      <c r="D1170" s="8" t="str">
        <f>IFERROR(INDEX('nav master'!$C:$C, MATCH(B1170, 'nav master'!$B:$B, 0)), "")</f>
        <v>ULIF07616/10/24Top500MoFd101</v>
      </c>
      <c r="E1170" s="8" t="s">
        <v>548</v>
      </c>
      <c r="F1170" s="8" t="s">
        <v>1549</v>
      </c>
    </row>
    <row r="1171" spans="1:6" ht="60" x14ac:dyDescent="0.25">
      <c r="A1171" s="8" t="s">
        <v>125</v>
      </c>
      <c r="B1171" s="8" t="s">
        <v>154</v>
      </c>
      <c r="C1171" s="8" t="str">
        <f>IFERROR(_xlfn.XLOOKUP(TRIM(B1171),Lookup!$B$2:$B$1000,Lookup!$C$2:$C$1000),"")</f>
        <v>Equity</v>
      </c>
      <c r="D1171" s="8" t="str">
        <f>IFERROR(INDEX('nav master'!$C:$C, MATCH(B1171, 'nav master'!$B:$B, 0)), "")</f>
        <v>ULIF07616/10/24Top500MoFd101</v>
      </c>
      <c r="E1171" s="8" t="s">
        <v>550</v>
      </c>
      <c r="F1171" s="8" t="s">
        <v>1550</v>
      </c>
    </row>
    <row r="1172" spans="1:6" ht="60" x14ac:dyDescent="0.25">
      <c r="A1172" s="8" t="s">
        <v>125</v>
      </c>
      <c r="B1172" s="8" t="s">
        <v>154</v>
      </c>
      <c r="C1172" s="8" t="str">
        <f>IFERROR(_xlfn.XLOOKUP(TRIM(B1172),Lookup!$B$2:$B$1000,Lookup!$C$2:$C$1000),"")</f>
        <v>Equity</v>
      </c>
      <c r="D1172" s="8" t="str">
        <f>IFERROR(INDEX('nav master'!$C:$C, MATCH(B1172, 'nav master'!$B:$B, 0)), "")</f>
        <v>ULIF07616/10/24Top500MoFd101</v>
      </c>
      <c r="E1172" s="8" t="s">
        <v>552</v>
      </c>
      <c r="F1172" s="8" t="s">
        <v>1551</v>
      </c>
    </row>
    <row r="1173" spans="1:6" ht="60" x14ac:dyDescent="0.25">
      <c r="A1173" s="8" t="s">
        <v>125</v>
      </c>
      <c r="B1173" s="8" t="s">
        <v>154</v>
      </c>
      <c r="C1173" s="8" t="str">
        <f>IFERROR(_xlfn.XLOOKUP(TRIM(B1173),Lookup!$B$2:$B$1000,Lookup!$C$2:$C$1000),"")</f>
        <v>Equity</v>
      </c>
      <c r="D1173" s="8" t="str">
        <f>IFERROR(INDEX('nav master'!$C:$C, MATCH(B1173, 'nav master'!$B:$B, 0)), "")</f>
        <v>ULIF07616/10/24Top500MoFd101</v>
      </c>
      <c r="E1173" s="8" t="s">
        <v>554</v>
      </c>
      <c r="F1173" s="8" t="s">
        <v>1552</v>
      </c>
    </row>
    <row r="1174" spans="1:6" ht="60" x14ac:dyDescent="0.25">
      <c r="A1174" s="8" t="s">
        <v>125</v>
      </c>
      <c r="B1174" s="8" t="s">
        <v>154</v>
      </c>
      <c r="C1174" s="8" t="str">
        <f>IFERROR(_xlfn.XLOOKUP(TRIM(B1174),Lookup!$B$2:$B$1000,Lookup!$C$2:$C$1000),"")</f>
        <v>Equity</v>
      </c>
      <c r="D1174" s="8" t="str">
        <f>IFERROR(INDEX('nav master'!$C:$C, MATCH(B1174, 'nav master'!$B:$B, 0)), "")</f>
        <v>ULIF07616/10/24Top500MoFd101</v>
      </c>
      <c r="E1174" s="8" t="s">
        <v>556</v>
      </c>
      <c r="F1174" s="8" t="s">
        <v>1553</v>
      </c>
    </row>
    <row r="1175" spans="1:6" ht="60" x14ac:dyDescent="0.25">
      <c r="A1175" s="8" t="s">
        <v>125</v>
      </c>
      <c r="B1175" s="8" t="s">
        <v>154</v>
      </c>
      <c r="C1175" s="8" t="str">
        <f>IFERROR(_xlfn.XLOOKUP(TRIM(B1175),Lookup!$B$2:$B$1000,Lookup!$C$2:$C$1000),"")</f>
        <v>Equity</v>
      </c>
      <c r="D1175" s="8" t="str">
        <f>IFERROR(INDEX('nav master'!$C:$C, MATCH(B1175, 'nav master'!$B:$B, 0)), "")</f>
        <v>ULIF07616/10/24Top500MoFd101</v>
      </c>
      <c r="E1175" s="8" t="s">
        <v>558</v>
      </c>
      <c r="F1175" s="8" t="s">
        <v>1554</v>
      </c>
    </row>
    <row r="1176" spans="1:6" ht="60" x14ac:dyDescent="0.25">
      <c r="A1176" s="8" t="s">
        <v>125</v>
      </c>
      <c r="B1176" s="8" t="s">
        <v>154</v>
      </c>
      <c r="C1176" s="8" t="str">
        <f>IFERROR(_xlfn.XLOOKUP(TRIM(B1176),Lookup!$B$2:$B$1000,Lookup!$C$2:$C$1000),"")</f>
        <v>Equity</v>
      </c>
      <c r="D1176" s="8" t="str">
        <f>IFERROR(INDEX('nav master'!$C:$C, MATCH(B1176, 'nav master'!$B:$B, 0)), "")</f>
        <v>ULIF07616/10/24Top500MoFd101</v>
      </c>
      <c r="E1176" s="8" t="s">
        <v>560</v>
      </c>
      <c r="F1176" s="8" t="s">
        <v>1555</v>
      </c>
    </row>
    <row r="1177" spans="1:6" ht="60" x14ac:dyDescent="0.25">
      <c r="A1177" s="8" t="s">
        <v>125</v>
      </c>
      <c r="B1177" s="8" t="s">
        <v>154</v>
      </c>
      <c r="C1177" s="8" t="str">
        <f>IFERROR(_xlfn.XLOOKUP(TRIM(B1177),Lookup!$B$2:$B$1000,Lookup!$C$2:$C$1000),"")</f>
        <v>Equity</v>
      </c>
      <c r="D1177" s="8" t="str">
        <f>IFERROR(INDEX('nav master'!$C:$C, MATCH(B1177, 'nav master'!$B:$B, 0)), "")</f>
        <v>ULIF07616/10/24Top500MoFd101</v>
      </c>
      <c r="E1177" s="8" t="s">
        <v>562</v>
      </c>
      <c r="F1177" s="8" t="s">
        <v>1556</v>
      </c>
    </row>
    <row r="1178" spans="1:6" ht="60" x14ac:dyDescent="0.25">
      <c r="A1178" s="8" t="s">
        <v>125</v>
      </c>
      <c r="B1178" s="8" t="s">
        <v>154</v>
      </c>
      <c r="C1178" s="8" t="str">
        <f>IFERROR(_xlfn.XLOOKUP(TRIM(B1178),Lookup!$B$2:$B$1000,Lookup!$C$2:$C$1000),"")</f>
        <v>Equity</v>
      </c>
      <c r="D1178" s="8" t="str">
        <f>IFERROR(INDEX('nav master'!$C:$C, MATCH(B1178, 'nav master'!$B:$B, 0)), "")</f>
        <v>ULIF07616/10/24Top500MoFd101</v>
      </c>
      <c r="E1178" s="8" t="s">
        <v>564</v>
      </c>
      <c r="F1178" s="8" t="s">
        <v>1557</v>
      </c>
    </row>
    <row r="1179" spans="1:6" ht="60" x14ac:dyDescent="0.25">
      <c r="A1179" s="8" t="s">
        <v>125</v>
      </c>
      <c r="B1179" s="8" t="s">
        <v>154</v>
      </c>
      <c r="C1179" s="8" t="str">
        <f>IFERROR(_xlfn.XLOOKUP(TRIM(B1179),Lookup!$B$2:$B$1000,Lookup!$C$2:$C$1000),"")</f>
        <v>Equity</v>
      </c>
      <c r="D1179" s="8" t="str">
        <f>IFERROR(INDEX('nav master'!$C:$C, MATCH(B1179, 'nav master'!$B:$B, 0)), "")</f>
        <v>ULIF07616/10/24Top500MoFd101</v>
      </c>
      <c r="E1179" s="8" t="s">
        <v>566</v>
      </c>
      <c r="F1179" s="8" t="s">
        <v>1558</v>
      </c>
    </row>
    <row r="1180" spans="1:6" ht="60" x14ac:dyDescent="0.25">
      <c r="A1180" s="8" t="s">
        <v>125</v>
      </c>
      <c r="B1180" s="8" t="s">
        <v>154</v>
      </c>
      <c r="C1180" s="8" t="str">
        <f>IFERROR(_xlfn.XLOOKUP(TRIM(B1180),Lookup!$B$2:$B$1000,Lookup!$C$2:$C$1000),"")</f>
        <v>Equity</v>
      </c>
      <c r="D1180" s="8" t="str">
        <f>IFERROR(INDEX('nav master'!$C:$C, MATCH(B1180, 'nav master'!$B:$B, 0)), "")</f>
        <v>ULIF07616/10/24Top500MoFd101</v>
      </c>
      <c r="E1180" s="8" t="s">
        <v>568</v>
      </c>
      <c r="F1180" s="8" t="s">
        <v>1559</v>
      </c>
    </row>
    <row r="1181" spans="1:6" ht="60" x14ac:dyDescent="0.25">
      <c r="A1181" s="8" t="s">
        <v>125</v>
      </c>
      <c r="B1181" s="8" t="s">
        <v>154</v>
      </c>
      <c r="C1181" s="8" t="str">
        <f>IFERROR(_xlfn.XLOOKUP(TRIM(B1181),Lookup!$B$2:$B$1000,Lookup!$C$2:$C$1000),"")</f>
        <v>Equity</v>
      </c>
      <c r="D1181" s="8" t="str">
        <f>IFERROR(INDEX('nav master'!$C:$C, MATCH(B1181, 'nav master'!$B:$B, 0)), "")</f>
        <v>ULIF07616/10/24Top500MoFd101</v>
      </c>
      <c r="E1181" s="8" t="s">
        <v>570</v>
      </c>
      <c r="F1181" s="8" t="s">
        <v>1560</v>
      </c>
    </row>
    <row r="1182" spans="1:6" ht="60" x14ac:dyDescent="0.25">
      <c r="A1182" s="8" t="s">
        <v>125</v>
      </c>
      <c r="B1182" s="8" t="s">
        <v>154</v>
      </c>
      <c r="C1182" s="8" t="str">
        <f>IFERROR(_xlfn.XLOOKUP(TRIM(B1182),Lookup!$B$2:$B$1000,Lookup!$C$2:$C$1000),"")</f>
        <v>Equity</v>
      </c>
      <c r="D1182" s="8" t="str">
        <f>IFERROR(INDEX('nav master'!$C:$C, MATCH(B1182, 'nav master'!$B:$B, 0)), "")</f>
        <v>ULIF07616/10/24Top500MoFd101</v>
      </c>
      <c r="E1182" s="8" t="s">
        <v>572</v>
      </c>
      <c r="F1182" s="8" t="s">
        <v>1561</v>
      </c>
    </row>
    <row r="1183" spans="1:6" ht="60" x14ac:dyDescent="0.25">
      <c r="A1183" s="8" t="s">
        <v>125</v>
      </c>
      <c r="B1183" s="8" t="s">
        <v>154</v>
      </c>
      <c r="C1183" s="8" t="str">
        <f>IFERROR(_xlfn.XLOOKUP(TRIM(B1183),Lookup!$B$2:$B$1000,Lookup!$C$2:$C$1000),"")</f>
        <v>Equity</v>
      </c>
      <c r="D1183" s="8" t="str">
        <f>IFERROR(INDEX('nav master'!$C:$C, MATCH(B1183, 'nav master'!$B:$B, 0)), "")</f>
        <v>ULIF07616/10/24Top500MoFd101</v>
      </c>
      <c r="E1183" s="8" t="s">
        <v>574</v>
      </c>
      <c r="F1183" s="8" t="s">
        <v>1562</v>
      </c>
    </row>
    <row r="1184" spans="1:6" ht="60" x14ac:dyDescent="0.25">
      <c r="A1184" s="8" t="s">
        <v>125</v>
      </c>
      <c r="B1184" s="8" t="s">
        <v>154</v>
      </c>
      <c r="C1184" s="8" t="str">
        <f>IFERROR(_xlfn.XLOOKUP(TRIM(B1184),Lookup!$B$2:$B$1000,Lookup!$C$2:$C$1000),"")</f>
        <v>Equity</v>
      </c>
      <c r="D1184" s="8" t="str">
        <f>IFERROR(INDEX('nav master'!$C:$C, MATCH(B1184, 'nav master'!$B:$B, 0)), "")</f>
        <v>ULIF07616/10/24Top500MoFd101</v>
      </c>
      <c r="E1184" s="8" t="s">
        <v>576</v>
      </c>
      <c r="F1184" s="8" t="s">
        <v>1563</v>
      </c>
    </row>
    <row r="1185" spans="1:6" ht="60" x14ac:dyDescent="0.25">
      <c r="A1185" s="8" t="s">
        <v>125</v>
      </c>
      <c r="B1185" s="8" t="s">
        <v>154</v>
      </c>
      <c r="C1185" s="8" t="str">
        <f>IFERROR(_xlfn.XLOOKUP(TRIM(B1185),Lookup!$B$2:$B$1000,Lookup!$C$2:$C$1000),"")</f>
        <v>Equity</v>
      </c>
      <c r="D1185" s="8" t="str">
        <f>IFERROR(INDEX('nav master'!$C:$C, MATCH(B1185, 'nav master'!$B:$B, 0)), "")</f>
        <v>ULIF07616/10/24Top500MoFd101</v>
      </c>
      <c r="E1185" s="8" t="s">
        <v>578</v>
      </c>
      <c r="F1185" s="8" t="s">
        <v>1564</v>
      </c>
    </row>
    <row r="1186" spans="1:6" ht="60" x14ac:dyDescent="0.25">
      <c r="A1186" s="8" t="s">
        <v>125</v>
      </c>
      <c r="B1186" s="8" t="s">
        <v>154</v>
      </c>
      <c r="C1186" s="8" t="str">
        <f>IFERROR(_xlfn.XLOOKUP(TRIM(B1186),Lookup!$B$2:$B$1000,Lookup!$C$2:$C$1000),"")</f>
        <v>Equity</v>
      </c>
      <c r="D1186" s="8" t="str">
        <f>IFERROR(INDEX('nav master'!$C:$C, MATCH(B1186, 'nav master'!$B:$B, 0)), "")</f>
        <v>ULIF07616/10/24Top500MoFd101</v>
      </c>
      <c r="E1186" s="8" t="s">
        <v>580</v>
      </c>
      <c r="F1186" s="8" t="s">
        <v>1565</v>
      </c>
    </row>
    <row r="1187" spans="1:6" ht="60" x14ac:dyDescent="0.25">
      <c r="A1187" s="8" t="s">
        <v>125</v>
      </c>
      <c r="B1187" s="8" t="s">
        <v>154</v>
      </c>
      <c r="C1187" s="8" t="str">
        <f>IFERROR(_xlfn.XLOOKUP(TRIM(B1187),Lookup!$B$2:$B$1000,Lookup!$C$2:$C$1000),"")</f>
        <v>Equity</v>
      </c>
      <c r="D1187" s="8" t="str">
        <f>IFERROR(INDEX('nav master'!$C:$C, MATCH(B1187, 'nav master'!$B:$B, 0)), "")</f>
        <v>ULIF07616/10/24Top500MoFd101</v>
      </c>
      <c r="E1187" s="8" t="s">
        <v>582</v>
      </c>
      <c r="F1187" s="8" t="s">
        <v>1566</v>
      </c>
    </row>
    <row r="1188" spans="1:6" ht="60" x14ac:dyDescent="0.25">
      <c r="A1188" s="8" t="s">
        <v>125</v>
      </c>
      <c r="B1188" s="8" t="s">
        <v>154</v>
      </c>
      <c r="C1188" s="8" t="str">
        <f>IFERROR(_xlfn.XLOOKUP(TRIM(B1188),Lookup!$B$2:$B$1000,Lookup!$C$2:$C$1000),"")</f>
        <v>Equity</v>
      </c>
      <c r="D1188" s="8" t="str">
        <f>IFERROR(INDEX('nav master'!$C:$C, MATCH(B1188, 'nav master'!$B:$B, 0)), "")</f>
        <v>ULIF07616/10/24Top500MoFd101</v>
      </c>
      <c r="E1188" s="8" t="s">
        <v>584</v>
      </c>
      <c r="F1188" s="8" t="s">
        <v>1567</v>
      </c>
    </row>
    <row r="1189" spans="1:6" ht="60" x14ac:dyDescent="0.25">
      <c r="A1189" s="8" t="s">
        <v>125</v>
      </c>
      <c r="B1189" s="8" t="s">
        <v>154</v>
      </c>
      <c r="C1189" s="8" t="str">
        <f>IFERROR(_xlfn.XLOOKUP(TRIM(B1189),Lookup!$B$2:$B$1000,Lookup!$C$2:$C$1000),"")</f>
        <v>Equity</v>
      </c>
      <c r="D1189" s="8" t="str">
        <f>IFERROR(INDEX('nav master'!$C:$C, MATCH(B1189, 'nav master'!$B:$B, 0)), "")</f>
        <v>ULIF07616/10/24Top500MoFd101</v>
      </c>
      <c r="E1189" s="8" t="s">
        <v>586</v>
      </c>
      <c r="F1189" s="8" t="s">
        <v>1568</v>
      </c>
    </row>
    <row r="1190" spans="1:6" ht="60" x14ac:dyDescent="0.25">
      <c r="A1190" s="8" t="s">
        <v>125</v>
      </c>
      <c r="B1190" s="8" t="s">
        <v>154</v>
      </c>
      <c r="C1190" s="8" t="str">
        <f>IFERROR(_xlfn.XLOOKUP(TRIM(B1190),Lookup!$B$2:$B$1000,Lookup!$C$2:$C$1000),"")</f>
        <v>Equity</v>
      </c>
      <c r="D1190" s="8" t="str">
        <f>IFERROR(INDEX('nav master'!$C:$C, MATCH(B1190, 'nav master'!$B:$B, 0)), "")</f>
        <v>ULIF07616/10/24Top500MoFd101</v>
      </c>
      <c r="E1190" s="8" t="s">
        <v>588</v>
      </c>
      <c r="F1190" s="8" t="s">
        <v>1569</v>
      </c>
    </row>
    <row r="1191" spans="1:6" ht="60" x14ac:dyDescent="0.25">
      <c r="A1191" s="8" t="s">
        <v>125</v>
      </c>
      <c r="B1191" s="8" t="s">
        <v>154</v>
      </c>
      <c r="C1191" s="8" t="str">
        <f>IFERROR(_xlfn.XLOOKUP(TRIM(B1191),Lookup!$B$2:$B$1000,Lookup!$C$2:$C$1000),"")</f>
        <v>Equity</v>
      </c>
      <c r="D1191" s="8" t="str">
        <f>IFERROR(INDEX('nav master'!$C:$C, MATCH(B1191, 'nav master'!$B:$B, 0)), "")</f>
        <v>ULIF07616/10/24Top500MoFd101</v>
      </c>
      <c r="E1191" s="8" t="s">
        <v>590</v>
      </c>
      <c r="F1191" s="8" t="s">
        <v>1570</v>
      </c>
    </row>
    <row r="1192" spans="1:6" ht="60" x14ac:dyDescent="0.25">
      <c r="A1192" s="8" t="s">
        <v>125</v>
      </c>
      <c r="B1192" s="8" t="s">
        <v>154</v>
      </c>
      <c r="C1192" s="8" t="str">
        <f>IFERROR(_xlfn.XLOOKUP(TRIM(B1192),Lookup!$B$2:$B$1000,Lookup!$C$2:$C$1000),"")</f>
        <v>Equity</v>
      </c>
      <c r="D1192" s="8" t="str">
        <f>IFERROR(INDEX('nav master'!$C:$C, MATCH(B1192, 'nav master'!$B:$B, 0)), "")</f>
        <v>ULIF07616/10/24Top500MoFd101</v>
      </c>
      <c r="E1192" s="8" t="s">
        <v>592</v>
      </c>
      <c r="F1192" s="8" t="s">
        <v>1240</v>
      </c>
    </row>
    <row r="1193" spans="1:6" ht="60" x14ac:dyDescent="0.25">
      <c r="A1193" s="8" t="s">
        <v>125</v>
      </c>
      <c r="B1193" s="8" t="s">
        <v>154</v>
      </c>
      <c r="C1193" s="8" t="str">
        <f>IFERROR(_xlfn.XLOOKUP(TRIM(B1193),Lookup!$B$2:$B$1000,Lookup!$C$2:$C$1000),"")</f>
        <v>Equity</v>
      </c>
      <c r="D1193" s="8" t="str">
        <f>IFERROR(INDEX('nav master'!$C:$C, MATCH(B1193, 'nav master'!$B:$B, 0)), "")</f>
        <v>ULIF07616/10/24Top500MoFd101</v>
      </c>
      <c r="E1193" s="8" t="s">
        <v>594</v>
      </c>
      <c r="F1193" s="8" t="s">
        <v>1571</v>
      </c>
    </row>
    <row r="1194" spans="1:6" ht="60" x14ac:dyDescent="0.25">
      <c r="A1194" s="8" t="s">
        <v>125</v>
      </c>
      <c r="B1194" s="8" t="s">
        <v>154</v>
      </c>
      <c r="C1194" s="8" t="str">
        <f>IFERROR(_xlfn.XLOOKUP(TRIM(B1194),Lookup!$B$2:$B$1000,Lookup!$C$2:$C$1000),"")</f>
        <v>Equity</v>
      </c>
      <c r="D1194" s="8" t="str">
        <f>IFERROR(INDEX('nav master'!$C:$C, MATCH(B1194, 'nav master'!$B:$B, 0)), "")</f>
        <v>ULIF07616/10/24Top500MoFd101</v>
      </c>
      <c r="E1194" s="8" t="s">
        <v>596</v>
      </c>
      <c r="F1194" s="8" t="s">
        <v>1572</v>
      </c>
    </row>
    <row r="1195" spans="1:6" ht="60" x14ac:dyDescent="0.25">
      <c r="A1195" s="8" t="s">
        <v>125</v>
      </c>
      <c r="B1195" s="8" t="s">
        <v>154</v>
      </c>
      <c r="C1195" s="8" t="str">
        <f>IFERROR(_xlfn.XLOOKUP(TRIM(B1195),Lookup!$B$2:$B$1000,Lookup!$C$2:$C$1000),"")</f>
        <v>Equity</v>
      </c>
      <c r="D1195" s="8" t="str">
        <f>IFERROR(INDEX('nav master'!$C:$C, MATCH(B1195, 'nav master'!$B:$B, 0)), "")</f>
        <v>ULIF07616/10/24Top500MoFd101</v>
      </c>
      <c r="E1195" s="8" t="s">
        <v>598</v>
      </c>
      <c r="F1195" s="8" t="s">
        <v>1571</v>
      </c>
    </row>
    <row r="1196" spans="1:6" ht="60" x14ac:dyDescent="0.25">
      <c r="A1196" s="8" t="s">
        <v>125</v>
      </c>
      <c r="B1196" s="8" t="s">
        <v>154</v>
      </c>
      <c r="C1196" s="8" t="str">
        <f>IFERROR(_xlfn.XLOOKUP(TRIM(B1196),Lookup!$B$2:$B$1000,Lookup!$C$2:$C$1000),"")</f>
        <v>Equity</v>
      </c>
      <c r="D1196" s="8" t="str">
        <f>IFERROR(INDEX('nav master'!$C:$C, MATCH(B1196, 'nav master'!$B:$B, 0)), "")</f>
        <v>ULIF07616/10/24Top500MoFd101</v>
      </c>
      <c r="E1196" s="8" t="s">
        <v>600</v>
      </c>
      <c r="F1196" s="8" t="s">
        <v>1573</v>
      </c>
    </row>
    <row r="1197" spans="1:6" ht="60" x14ac:dyDescent="0.25">
      <c r="A1197" s="8" t="s">
        <v>125</v>
      </c>
      <c r="B1197" s="8" t="s">
        <v>154</v>
      </c>
      <c r="C1197" s="8" t="str">
        <f>IFERROR(_xlfn.XLOOKUP(TRIM(B1197),Lookup!$B$2:$B$1000,Lookup!$C$2:$C$1000),"")</f>
        <v>Equity</v>
      </c>
      <c r="D1197" s="8" t="str">
        <f>IFERROR(INDEX('nav master'!$C:$C, MATCH(B1197, 'nav master'!$B:$B, 0)), "")</f>
        <v>ULIF07616/10/24Top500MoFd101</v>
      </c>
      <c r="E1197" s="8" t="s">
        <v>602</v>
      </c>
      <c r="F1197" s="8" t="s">
        <v>1574</v>
      </c>
    </row>
    <row r="1198" spans="1:6" ht="60" x14ac:dyDescent="0.25">
      <c r="A1198" s="8" t="s">
        <v>125</v>
      </c>
      <c r="B1198" s="8" t="s">
        <v>154</v>
      </c>
      <c r="C1198" s="8" t="str">
        <f>IFERROR(_xlfn.XLOOKUP(TRIM(B1198),Lookup!$B$2:$B$1000,Lookup!$C$2:$C$1000),"")</f>
        <v>Equity</v>
      </c>
      <c r="D1198" s="8" t="str">
        <f>IFERROR(INDEX('nav master'!$C:$C, MATCH(B1198, 'nav master'!$B:$B, 0)), "")</f>
        <v>ULIF07616/10/24Top500MoFd101</v>
      </c>
      <c r="E1198" s="8" t="s">
        <v>604</v>
      </c>
      <c r="F1198" s="8" t="s">
        <v>1575</v>
      </c>
    </row>
    <row r="1199" spans="1:6" ht="60" x14ac:dyDescent="0.25">
      <c r="A1199" s="8" t="s">
        <v>125</v>
      </c>
      <c r="B1199" s="8" t="s">
        <v>154</v>
      </c>
      <c r="C1199" s="8" t="str">
        <f>IFERROR(_xlfn.XLOOKUP(TRIM(B1199),Lookup!$B$2:$B$1000,Lookup!$C$2:$C$1000),"")</f>
        <v>Equity</v>
      </c>
      <c r="D1199" s="8" t="str">
        <f>IFERROR(INDEX('nav master'!$C:$C, MATCH(B1199, 'nav master'!$B:$B, 0)), "")</f>
        <v>ULIF07616/10/24Top500MoFd101</v>
      </c>
      <c r="E1199" s="8" t="s">
        <v>606</v>
      </c>
      <c r="F1199" s="8" t="s">
        <v>1576</v>
      </c>
    </row>
    <row r="1200" spans="1:6" ht="60" x14ac:dyDescent="0.25">
      <c r="A1200" s="8" t="s">
        <v>125</v>
      </c>
      <c r="B1200" s="8" t="s">
        <v>154</v>
      </c>
      <c r="C1200" s="8" t="str">
        <f>IFERROR(_xlfn.XLOOKUP(TRIM(B1200),Lookup!$B$2:$B$1000,Lookup!$C$2:$C$1000),"")</f>
        <v>Equity</v>
      </c>
      <c r="D1200" s="8" t="str">
        <f>IFERROR(INDEX('nav master'!$C:$C, MATCH(B1200, 'nav master'!$B:$B, 0)), "")</f>
        <v>ULIF07616/10/24Top500MoFd101</v>
      </c>
      <c r="E1200" s="8" t="s">
        <v>608</v>
      </c>
      <c r="F1200" s="8" t="s">
        <v>1577</v>
      </c>
    </row>
    <row r="1201" spans="1:6" ht="60" x14ac:dyDescent="0.25">
      <c r="A1201" s="8" t="s">
        <v>125</v>
      </c>
      <c r="B1201" s="8" t="s">
        <v>154</v>
      </c>
      <c r="C1201" s="8" t="str">
        <f>IFERROR(_xlfn.XLOOKUP(TRIM(B1201),Lookup!$B$2:$B$1000,Lookup!$C$2:$C$1000),"")</f>
        <v>Equity</v>
      </c>
      <c r="D1201" s="8" t="str">
        <f>IFERROR(INDEX('nav master'!$C:$C, MATCH(B1201, 'nav master'!$B:$B, 0)), "")</f>
        <v>ULIF07616/10/24Top500MoFd101</v>
      </c>
      <c r="E1201" s="8" t="s">
        <v>610</v>
      </c>
      <c r="F1201" s="8" t="s">
        <v>1578</v>
      </c>
    </row>
    <row r="1202" spans="1:6" ht="60" x14ac:dyDescent="0.25">
      <c r="A1202" s="8" t="s">
        <v>125</v>
      </c>
      <c r="B1202" s="8" t="s">
        <v>154</v>
      </c>
      <c r="C1202" s="8" t="str">
        <f>IFERROR(_xlfn.XLOOKUP(TRIM(B1202),Lookup!$B$2:$B$1000,Lookup!$C$2:$C$1000),"")</f>
        <v>Equity</v>
      </c>
      <c r="D1202" s="8" t="str">
        <f>IFERROR(INDEX('nav master'!$C:$C, MATCH(B1202, 'nav master'!$B:$B, 0)), "")</f>
        <v>ULIF07616/10/24Top500MoFd101</v>
      </c>
      <c r="E1202" s="8" t="s">
        <v>612</v>
      </c>
      <c r="F1202" s="8" t="s">
        <v>1579</v>
      </c>
    </row>
    <row r="1203" spans="1:6" ht="60" x14ac:dyDescent="0.25">
      <c r="A1203" s="8" t="s">
        <v>125</v>
      </c>
      <c r="B1203" s="8" t="s">
        <v>154</v>
      </c>
      <c r="C1203" s="8" t="str">
        <f>IFERROR(_xlfn.XLOOKUP(TRIM(B1203),Lookup!$B$2:$B$1000,Lookup!$C$2:$C$1000),"")</f>
        <v>Equity</v>
      </c>
      <c r="D1203" s="8" t="str">
        <f>IFERROR(INDEX('nav master'!$C:$C, MATCH(B1203, 'nav master'!$B:$B, 0)), "")</f>
        <v>ULIF07616/10/24Top500MoFd101</v>
      </c>
      <c r="E1203" s="8" t="s">
        <v>614</v>
      </c>
      <c r="F1203" s="8" t="s">
        <v>1580</v>
      </c>
    </row>
    <row r="1204" spans="1:6" ht="60" x14ac:dyDescent="0.25">
      <c r="A1204" s="8" t="s">
        <v>125</v>
      </c>
      <c r="B1204" s="8" t="s">
        <v>154</v>
      </c>
      <c r="C1204" s="8" t="str">
        <f>IFERROR(_xlfn.XLOOKUP(TRIM(B1204),Lookup!$B$2:$B$1000,Lookup!$C$2:$C$1000),"")</f>
        <v>Equity</v>
      </c>
      <c r="D1204" s="8" t="str">
        <f>IFERROR(INDEX('nav master'!$C:$C, MATCH(B1204, 'nav master'!$B:$B, 0)), "")</f>
        <v>ULIF07616/10/24Top500MoFd101</v>
      </c>
      <c r="E1204" s="8" t="s">
        <v>616</v>
      </c>
      <c r="F1204" s="8" t="s">
        <v>1581</v>
      </c>
    </row>
    <row r="1205" spans="1:6" ht="60" x14ac:dyDescent="0.25">
      <c r="A1205" s="8" t="s">
        <v>125</v>
      </c>
      <c r="B1205" s="8" t="s">
        <v>154</v>
      </c>
      <c r="C1205" s="8" t="str">
        <f>IFERROR(_xlfn.XLOOKUP(TRIM(B1205),Lookup!$B$2:$B$1000,Lookup!$C$2:$C$1000),"")</f>
        <v>Equity</v>
      </c>
      <c r="D1205" s="8" t="str">
        <f>IFERROR(INDEX('nav master'!$C:$C, MATCH(B1205, 'nav master'!$B:$B, 0)), "")</f>
        <v>ULIF07616/10/24Top500MoFd101</v>
      </c>
      <c r="E1205" s="8" t="s">
        <v>618</v>
      </c>
      <c r="F1205" s="8" t="s">
        <v>1582</v>
      </c>
    </row>
    <row r="1206" spans="1:6" ht="60" x14ac:dyDescent="0.25">
      <c r="A1206" s="8" t="s">
        <v>125</v>
      </c>
      <c r="B1206" s="8" t="s">
        <v>154</v>
      </c>
      <c r="C1206" s="8" t="str">
        <f>IFERROR(_xlfn.XLOOKUP(TRIM(B1206),Lookup!$B$2:$B$1000,Lookup!$C$2:$C$1000),"")</f>
        <v>Equity</v>
      </c>
      <c r="D1206" s="8" t="str">
        <f>IFERROR(INDEX('nav master'!$C:$C, MATCH(B1206, 'nav master'!$B:$B, 0)), "")</f>
        <v>ULIF07616/10/24Top500MoFd101</v>
      </c>
      <c r="E1206" s="8" t="s">
        <v>620</v>
      </c>
      <c r="F1206" s="8" t="s">
        <v>1583</v>
      </c>
    </row>
    <row r="1207" spans="1:6" ht="60" x14ac:dyDescent="0.25">
      <c r="A1207" s="8" t="s">
        <v>125</v>
      </c>
      <c r="B1207" s="8" t="s">
        <v>154</v>
      </c>
      <c r="C1207" s="8" t="str">
        <f>IFERROR(_xlfn.XLOOKUP(TRIM(B1207),Lookup!$B$2:$B$1000,Lookup!$C$2:$C$1000),"")</f>
        <v>Equity</v>
      </c>
      <c r="D1207" s="8" t="str">
        <f>IFERROR(INDEX('nav master'!$C:$C, MATCH(B1207, 'nav master'!$B:$B, 0)), "")</f>
        <v>ULIF07616/10/24Top500MoFd101</v>
      </c>
      <c r="E1207" s="8" t="s">
        <v>622</v>
      </c>
      <c r="F1207" s="8" t="s">
        <v>1216</v>
      </c>
    </row>
    <row r="1208" spans="1:6" ht="60" x14ac:dyDescent="0.25">
      <c r="A1208" s="8" t="s">
        <v>125</v>
      </c>
      <c r="B1208" s="8" t="s">
        <v>154</v>
      </c>
      <c r="C1208" s="8" t="str">
        <f>IFERROR(_xlfn.XLOOKUP(TRIM(B1208),Lookup!$B$2:$B$1000,Lookup!$C$2:$C$1000),"")</f>
        <v>Equity</v>
      </c>
      <c r="D1208" s="8" t="str">
        <f>IFERROR(INDEX('nav master'!$C:$C, MATCH(B1208, 'nav master'!$B:$B, 0)), "")</f>
        <v>ULIF07616/10/24Top500MoFd101</v>
      </c>
      <c r="E1208" s="8" t="s">
        <v>624</v>
      </c>
      <c r="F1208" s="8" t="s">
        <v>1371</v>
      </c>
    </row>
    <row r="1209" spans="1:6" ht="60" x14ac:dyDescent="0.25">
      <c r="A1209" s="8" t="s">
        <v>125</v>
      </c>
      <c r="B1209" s="8" t="s">
        <v>154</v>
      </c>
      <c r="C1209" s="8" t="str">
        <f>IFERROR(_xlfn.XLOOKUP(TRIM(B1209),Lookup!$B$2:$B$1000,Lookup!$C$2:$C$1000),"")</f>
        <v>Equity</v>
      </c>
      <c r="D1209" s="8" t="str">
        <f>IFERROR(INDEX('nav master'!$C:$C, MATCH(B1209, 'nav master'!$B:$B, 0)), "")</f>
        <v>ULIF07616/10/24Top500MoFd101</v>
      </c>
      <c r="E1209" s="8" t="s">
        <v>626</v>
      </c>
      <c r="F1209" s="8" t="s">
        <v>1584</v>
      </c>
    </row>
    <row r="1210" spans="1:6" ht="60" x14ac:dyDescent="0.25">
      <c r="A1210" s="8" t="s">
        <v>125</v>
      </c>
      <c r="B1210" s="8" t="s">
        <v>154</v>
      </c>
      <c r="C1210" s="8" t="str">
        <f>IFERROR(_xlfn.XLOOKUP(TRIM(B1210),Lookup!$B$2:$B$1000,Lookup!$C$2:$C$1000),"")</f>
        <v>Equity</v>
      </c>
      <c r="D1210" s="8" t="str">
        <f>IFERROR(INDEX('nav master'!$C:$C, MATCH(B1210, 'nav master'!$B:$B, 0)), "")</f>
        <v>ULIF07616/10/24Top500MoFd101</v>
      </c>
      <c r="E1210" s="8" t="s">
        <v>628</v>
      </c>
      <c r="F1210" s="8" t="s">
        <v>1585</v>
      </c>
    </row>
    <row r="1211" spans="1:6" ht="60" x14ac:dyDescent="0.25">
      <c r="A1211" s="8" t="s">
        <v>125</v>
      </c>
      <c r="B1211" s="8" t="s">
        <v>154</v>
      </c>
      <c r="C1211" s="8" t="str">
        <f>IFERROR(_xlfn.XLOOKUP(TRIM(B1211),Lookup!$B$2:$B$1000,Lookup!$C$2:$C$1000),"")</f>
        <v>Equity</v>
      </c>
      <c r="D1211" s="8" t="str">
        <f>IFERROR(INDEX('nav master'!$C:$C, MATCH(B1211, 'nav master'!$B:$B, 0)), "")</f>
        <v>ULIF07616/10/24Top500MoFd101</v>
      </c>
      <c r="E1211" s="8" t="s">
        <v>630</v>
      </c>
      <c r="F1211" s="8" t="s">
        <v>1586</v>
      </c>
    </row>
    <row r="1212" spans="1:6" ht="60" x14ac:dyDescent="0.25">
      <c r="A1212" s="8" t="s">
        <v>125</v>
      </c>
      <c r="B1212" s="8" t="s">
        <v>154</v>
      </c>
      <c r="C1212" s="8" t="str">
        <f>IFERROR(_xlfn.XLOOKUP(TRIM(B1212),Lookup!$B$2:$B$1000,Lookup!$C$2:$C$1000),"")</f>
        <v>Equity</v>
      </c>
      <c r="D1212" s="8" t="str">
        <f>IFERROR(INDEX('nav master'!$C:$C, MATCH(B1212, 'nav master'!$B:$B, 0)), "")</f>
        <v>ULIF07616/10/24Top500MoFd101</v>
      </c>
      <c r="E1212" s="8" t="s">
        <v>632</v>
      </c>
      <c r="F1212" s="8" t="s">
        <v>1587</v>
      </c>
    </row>
    <row r="1213" spans="1:6" ht="60" x14ac:dyDescent="0.25">
      <c r="A1213" s="8" t="s">
        <v>125</v>
      </c>
      <c r="B1213" s="8" t="s">
        <v>154</v>
      </c>
      <c r="C1213" s="8" t="str">
        <f>IFERROR(_xlfn.XLOOKUP(TRIM(B1213),Lookup!$B$2:$B$1000,Lookup!$C$2:$C$1000),"")</f>
        <v>Equity</v>
      </c>
      <c r="D1213" s="8" t="str">
        <f>IFERROR(INDEX('nav master'!$C:$C, MATCH(B1213, 'nav master'!$B:$B, 0)), "")</f>
        <v>ULIF07616/10/24Top500MoFd101</v>
      </c>
      <c r="E1213" s="8" t="s">
        <v>634</v>
      </c>
      <c r="F1213" s="8" t="s">
        <v>1588</v>
      </c>
    </row>
    <row r="1214" spans="1:6" ht="60" x14ac:dyDescent="0.25">
      <c r="A1214" s="8" t="s">
        <v>125</v>
      </c>
      <c r="B1214" s="8" t="s">
        <v>154</v>
      </c>
      <c r="C1214" s="8" t="str">
        <f>IFERROR(_xlfn.XLOOKUP(TRIM(B1214),Lookup!$B$2:$B$1000,Lookup!$C$2:$C$1000),"")</f>
        <v>Equity</v>
      </c>
      <c r="D1214" s="8" t="str">
        <f>IFERROR(INDEX('nav master'!$C:$C, MATCH(B1214, 'nav master'!$B:$B, 0)), "")</f>
        <v>ULIF07616/10/24Top500MoFd101</v>
      </c>
      <c r="E1214" s="8" t="s">
        <v>636</v>
      </c>
      <c r="F1214" s="8" t="s">
        <v>1589</v>
      </c>
    </row>
    <row r="1215" spans="1:6" ht="60" x14ac:dyDescent="0.25">
      <c r="A1215" s="8" t="s">
        <v>125</v>
      </c>
      <c r="B1215" s="8" t="s">
        <v>154</v>
      </c>
      <c r="C1215" s="8" t="str">
        <f>IFERROR(_xlfn.XLOOKUP(TRIM(B1215),Lookup!$B$2:$B$1000,Lookup!$C$2:$C$1000),"")</f>
        <v>Equity</v>
      </c>
      <c r="D1215" s="8" t="str">
        <f>IFERROR(INDEX('nav master'!$C:$C, MATCH(B1215, 'nav master'!$B:$B, 0)), "")</f>
        <v>ULIF07616/10/24Top500MoFd101</v>
      </c>
      <c r="E1215" s="8" t="s">
        <v>638</v>
      </c>
      <c r="F1215" s="8" t="s">
        <v>1590</v>
      </c>
    </row>
    <row r="1216" spans="1:6" ht="60" x14ac:dyDescent="0.25">
      <c r="A1216" s="8" t="s">
        <v>125</v>
      </c>
      <c r="B1216" s="8" t="s">
        <v>154</v>
      </c>
      <c r="C1216" s="8" t="str">
        <f>IFERROR(_xlfn.XLOOKUP(TRIM(B1216),Lookup!$B$2:$B$1000,Lookup!$C$2:$C$1000),"")</f>
        <v>Equity</v>
      </c>
      <c r="D1216" s="8" t="str">
        <f>IFERROR(INDEX('nav master'!$C:$C, MATCH(B1216, 'nav master'!$B:$B, 0)), "")</f>
        <v>ULIF07616/10/24Top500MoFd101</v>
      </c>
      <c r="E1216" s="8" t="s">
        <v>640</v>
      </c>
      <c r="F1216" s="8" t="s">
        <v>1509</v>
      </c>
    </row>
    <row r="1217" spans="1:6" ht="60" x14ac:dyDescent="0.25">
      <c r="A1217" s="8" t="s">
        <v>125</v>
      </c>
      <c r="B1217" s="8" t="s">
        <v>154</v>
      </c>
      <c r="C1217" s="8" t="str">
        <f>IFERROR(_xlfn.XLOOKUP(TRIM(B1217),Lookup!$B$2:$B$1000,Lookup!$C$2:$C$1000),"")</f>
        <v>Equity</v>
      </c>
      <c r="D1217" s="8" t="str">
        <f>IFERROR(INDEX('nav master'!$C:$C, MATCH(B1217, 'nav master'!$B:$B, 0)), "")</f>
        <v>ULIF07616/10/24Top500MoFd101</v>
      </c>
      <c r="E1217" s="8" t="s">
        <v>642</v>
      </c>
      <c r="F1217" s="8" t="s">
        <v>1591</v>
      </c>
    </row>
    <row r="1218" spans="1:6" ht="60" x14ac:dyDescent="0.25">
      <c r="A1218" s="8" t="s">
        <v>125</v>
      </c>
      <c r="B1218" s="8" t="s">
        <v>154</v>
      </c>
      <c r="C1218" s="8" t="str">
        <f>IFERROR(_xlfn.XLOOKUP(TRIM(B1218),Lookup!$B$2:$B$1000,Lookup!$C$2:$C$1000),"")</f>
        <v>Equity</v>
      </c>
      <c r="D1218" s="8" t="str">
        <f>IFERROR(INDEX('nav master'!$C:$C, MATCH(B1218, 'nav master'!$B:$B, 0)), "")</f>
        <v>ULIF07616/10/24Top500MoFd101</v>
      </c>
      <c r="E1218" s="8" t="s">
        <v>644</v>
      </c>
      <c r="F1218" s="8" t="s">
        <v>1592</v>
      </c>
    </row>
    <row r="1219" spans="1:6" ht="60" x14ac:dyDescent="0.25">
      <c r="A1219" s="8" t="s">
        <v>125</v>
      </c>
      <c r="B1219" s="8" t="s">
        <v>154</v>
      </c>
      <c r="C1219" s="8" t="str">
        <f>IFERROR(_xlfn.XLOOKUP(TRIM(B1219),Lookup!$B$2:$B$1000,Lookup!$C$2:$C$1000),"")</f>
        <v>Equity</v>
      </c>
      <c r="D1219" s="8" t="str">
        <f>IFERROR(INDEX('nav master'!$C:$C, MATCH(B1219, 'nav master'!$B:$B, 0)), "")</f>
        <v>ULIF07616/10/24Top500MoFd101</v>
      </c>
      <c r="E1219" s="8" t="s">
        <v>646</v>
      </c>
      <c r="F1219" s="8" t="s">
        <v>1593</v>
      </c>
    </row>
    <row r="1220" spans="1:6" ht="60" x14ac:dyDescent="0.25">
      <c r="A1220" s="8" t="s">
        <v>125</v>
      </c>
      <c r="B1220" s="8" t="s">
        <v>154</v>
      </c>
      <c r="C1220" s="8" t="str">
        <f>IFERROR(_xlfn.XLOOKUP(TRIM(B1220),Lookup!$B$2:$B$1000,Lookup!$C$2:$C$1000),"")</f>
        <v>Equity</v>
      </c>
      <c r="D1220" s="8" t="str">
        <f>IFERROR(INDEX('nav master'!$C:$C, MATCH(B1220, 'nav master'!$B:$B, 0)), "")</f>
        <v>ULIF07616/10/24Top500MoFd101</v>
      </c>
      <c r="E1220" s="8" t="s">
        <v>648</v>
      </c>
      <c r="F1220" s="8" t="s">
        <v>1594</v>
      </c>
    </row>
    <row r="1221" spans="1:6" ht="60" x14ac:dyDescent="0.25">
      <c r="A1221" s="8" t="s">
        <v>125</v>
      </c>
      <c r="B1221" s="8" t="s">
        <v>154</v>
      </c>
      <c r="C1221" s="8" t="str">
        <f>IFERROR(_xlfn.XLOOKUP(TRIM(B1221),Lookup!$B$2:$B$1000,Lookup!$C$2:$C$1000),"")</f>
        <v>Equity</v>
      </c>
      <c r="D1221" s="8" t="str">
        <f>IFERROR(INDEX('nav master'!$C:$C, MATCH(B1221, 'nav master'!$B:$B, 0)), "")</f>
        <v>ULIF07616/10/24Top500MoFd101</v>
      </c>
      <c r="E1221" s="8" t="s">
        <v>650</v>
      </c>
      <c r="F1221" s="8" t="s">
        <v>1595</v>
      </c>
    </row>
    <row r="1222" spans="1:6" ht="60" x14ac:dyDescent="0.25">
      <c r="A1222" s="8" t="s">
        <v>125</v>
      </c>
      <c r="B1222" s="8" t="s">
        <v>154</v>
      </c>
      <c r="C1222" s="8" t="str">
        <f>IFERROR(_xlfn.XLOOKUP(TRIM(B1222),Lookup!$B$2:$B$1000,Lookup!$C$2:$C$1000),"")</f>
        <v>Equity</v>
      </c>
      <c r="D1222" s="8" t="str">
        <f>IFERROR(INDEX('nav master'!$C:$C, MATCH(B1222, 'nav master'!$B:$B, 0)), "")</f>
        <v>ULIF07616/10/24Top500MoFd101</v>
      </c>
      <c r="E1222" s="8" t="s">
        <v>652</v>
      </c>
      <c r="F1222" s="8" t="s">
        <v>1596</v>
      </c>
    </row>
    <row r="1223" spans="1:6" ht="60" x14ac:dyDescent="0.25">
      <c r="A1223" s="8" t="s">
        <v>125</v>
      </c>
      <c r="B1223" s="8" t="s">
        <v>154</v>
      </c>
      <c r="C1223" s="8" t="str">
        <f>IFERROR(_xlfn.XLOOKUP(TRIM(B1223),Lookup!$B$2:$B$1000,Lookup!$C$2:$C$1000),"")</f>
        <v>Equity</v>
      </c>
      <c r="D1223" s="8" t="str">
        <f>IFERROR(INDEX('nav master'!$C:$C, MATCH(B1223, 'nav master'!$B:$B, 0)), "")</f>
        <v>ULIF07616/10/24Top500MoFd101</v>
      </c>
      <c r="E1223" s="8" t="s">
        <v>654</v>
      </c>
      <c r="F1223" s="8" t="s">
        <v>1597</v>
      </c>
    </row>
    <row r="1224" spans="1:6" ht="60" x14ac:dyDescent="0.25">
      <c r="A1224" s="8" t="s">
        <v>125</v>
      </c>
      <c r="B1224" s="8" t="s">
        <v>154</v>
      </c>
      <c r="C1224" s="8" t="str">
        <f>IFERROR(_xlfn.XLOOKUP(TRIM(B1224),Lookup!$B$2:$B$1000,Lookup!$C$2:$C$1000),"")</f>
        <v>Equity</v>
      </c>
      <c r="D1224" s="8" t="str">
        <f>IFERROR(INDEX('nav master'!$C:$C, MATCH(B1224, 'nav master'!$B:$B, 0)), "")</f>
        <v>ULIF07616/10/24Top500MoFd101</v>
      </c>
      <c r="E1224" s="8" t="s">
        <v>656</v>
      </c>
      <c r="F1224" s="8" t="s">
        <v>1598</v>
      </c>
    </row>
    <row r="1225" spans="1:6" ht="60" x14ac:dyDescent="0.25">
      <c r="A1225" s="8" t="s">
        <v>125</v>
      </c>
      <c r="B1225" s="8" t="s">
        <v>154</v>
      </c>
      <c r="C1225" s="8" t="str">
        <f>IFERROR(_xlfn.XLOOKUP(TRIM(B1225),Lookup!$B$2:$B$1000,Lookup!$C$2:$C$1000),"")</f>
        <v>Equity</v>
      </c>
      <c r="D1225" s="8" t="str">
        <f>IFERROR(INDEX('nav master'!$C:$C, MATCH(B1225, 'nav master'!$B:$B, 0)), "")</f>
        <v>ULIF07616/10/24Top500MoFd101</v>
      </c>
      <c r="E1225" s="8" t="s">
        <v>658</v>
      </c>
      <c r="F1225" s="8" t="s">
        <v>1599</v>
      </c>
    </row>
    <row r="1226" spans="1:6" ht="60" x14ac:dyDescent="0.25">
      <c r="A1226" s="8" t="s">
        <v>125</v>
      </c>
      <c r="B1226" s="8" t="s">
        <v>154</v>
      </c>
      <c r="C1226" s="8" t="str">
        <f>IFERROR(_xlfn.XLOOKUP(TRIM(B1226),Lookup!$B$2:$B$1000,Lookup!$C$2:$C$1000),"")</f>
        <v>Equity</v>
      </c>
      <c r="D1226" s="8" t="str">
        <f>IFERROR(INDEX('nav master'!$C:$C, MATCH(B1226, 'nav master'!$B:$B, 0)), "")</f>
        <v>ULIF07616/10/24Top500MoFd101</v>
      </c>
      <c r="E1226" s="8" t="s">
        <v>660</v>
      </c>
      <c r="F1226" s="8" t="s">
        <v>1600</v>
      </c>
    </row>
    <row r="1227" spans="1:6" ht="60" x14ac:dyDescent="0.25">
      <c r="A1227" s="8" t="s">
        <v>125</v>
      </c>
      <c r="B1227" s="8" t="s">
        <v>154</v>
      </c>
      <c r="C1227" s="8" t="str">
        <f>IFERROR(_xlfn.XLOOKUP(TRIM(B1227),Lookup!$B$2:$B$1000,Lookup!$C$2:$C$1000),"")</f>
        <v>Equity</v>
      </c>
      <c r="D1227" s="8" t="str">
        <f>IFERROR(INDEX('nav master'!$C:$C, MATCH(B1227, 'nav master'!$B:$B, 0)), "")</f>
        <v>ULIF07616/10/24Top500MoFd101</v>
      </c>
      <c r="E1227" s="8" t="s">
        <v>662</v>
      </c>
      <c r="F1227" s="8" t="s">
        <v>1601</v>
      </c>
    </row>
    <row r="1228" spans="1:6" ht="60" x14ac:dyDescent="0.25">
      <c r="A1228" s="8" t="s">
        <v>125</v>
      </c>
      <c r="B1228" s="8" t="s">
        <v>154</v>
      </c>
      <c r="C1228" s="8" t="str">
        <f>IFERROR(_xlfn.XLOOKUP(TRIM(B1228),Lookup!$B$2:$B$1000,Lookup!$C$2:$C$1000),"")</f>
        <v>Equity</v>
      </c>
      <c r="D1228" s="8" t="str">
        <f>IFERROR(INDEX('nav master'!$C:$C, MATCH(B1228, 'nav master'!$B:$B, 0)), "")</f>
        <v>ULIF07616/10/24Top500MoFd101</v>
      </c>
      <c r="E1228" s="8" t="s">
        <v>664</v>
      </c>
      <c r="F1228" s="8" t="s">
        <v>1602</v>
      </c>
    </row>
    <row r="1229" spans="1:6" ht="60" x14ac:dyDescent="0.25">
      <c r="A1229" s="8" t="s">
        <v>125</v>
      </c>
      <c r="B1229" s="8" t="s">
        <v>154</v>
      </c>
      <c r="C1229" s="8" t="str">
        <f>IFERROR(_xlfn.XLOOKUP(TRIM(B1229),Lookup!$B$2:$B$1000,Lookup!$C$2:$C$1000),"")</f>
        <v>Equity</v>
      </c>
      <c r="D1229" s="8" t="str">
        <f>IFERROR(INDEX('nav master'!$C:$C, MATCH(B1229, 'nav master'!$B:$B, 0)), "")</f>
        <v>ULIF07616/10/24Top500MoFd101</v>
      </c>
      <c r="E1229" s="8" t="s">
        <v>4892</v>
      </c>
      <c r="F1229" s="8" t="s">
        <v>4930</v>
      </c>
    </row>
    <row r="1230" spans="1:6" ht="60" x14ac:dyDescent="0.25">
      <c r="A1230" s="8" t="s">
        <v>125</v>
      </c>
      <c r="B1230" s="8" t="s">
        <v>154</v>
      </c>
      <c r="C1230" s="8" t="str">
        <f>IFERROR(_xlfn.XLOOKUP(TRIM(B1230),Lookup!$B$2:$B$1000,Lookup!$C$2:$C$1000),"")</f>
        <v>Equity</v>
      </c>
      <c r="D1230" s="8" t="str">
        <f>IFERROR(INDEX('nav master'!$C:$C, MATCH(B1230, 'nav master'!$B:$B, 0)), "")</f>
        <v>ULIF07616/10/24Top500MoFd101</v>
      </c>
      <c r="E1230" s="8" t="s">
        <v>4894</v>
      </c>
      <c r="F1230" s="8" t="s">
        <v>1482</v>
      </c>
    </row>
    <row r="1231" spans="1:6" ht="60" x14ac:dyDescent="0.25">
      <c r="A1231" s="8" t="s">
        <v>125</v>
      </c>
      <c r="B1231" s="8" t="s">
        <v>154</v>
      </c>
      <c r="C1231" s="8" t="str">
        <f>IFERROR(_xlfn.XLOOKUP(TRIM(B1231),Lookup!$B$2:$B$1000,Lookup!$C$2:$C$1000),"")</f>
        <v>Equity</v>
      </c>
      <c r="D1231" s="8" t="str">
        <f>IFERROR(INDEX('nav master'!$C:$C, MATCH(B1231, 'nav master'!$B:$B, 0)), "")</f>
        <v>ULIF07616/10/24Top500MoFd101</v>
      </c>
      <c r="E1231" s="8" t="s">
        <v>4896</v>
      </c>
      <c r="F1231" s="8" t="s">
        <v>4931</v>
      </c>
    </row>
    <row r="1232" spans="1:6" ht="60" x14ac:dyDescent="0.25">
      <c r="A1232" s="8" t="s">
        <v>125</v>
      </c>
      <c r="B1232" s="8" t="s">
        <v>154</v>
      </c>
      <c r="C1232" s="8" t="str">
        <f>IFERROR(_xlfn.XLOOKUP(TRIM(B1232),Lookup!$B$2:$B$1000,Lookup!$C$2:$C$1000),"")</f>
        <v>Equity</v>
      </c>
      <c r="D1232" s="8" t="str">
        <f>IFERROR(INDEX('nav master'!$C:$C, MATCH(B1232, 'nav master'!$B:$B, 0)), "")</f>
        <v>ULIF07616/10/24Top500MoFd101</v>
      </c>
      <c r="E1232" s="8" t="s">
        <v>4898</v>
      </c>
      <c r="F1232" s="8" t="s">
        <v>4932</v>
      </c>
    </row>
    <row r="1233" spans="1:6" ht="60" x14ac:dyDescent="0.25">
      <c r="A1233" s="8" t="s">
        <v>125</v>
      </c>
      <c r="B1233" s="8" t="s">
        <v>154</v>
      </c>
      <c r="C1233" s="8" t="str">
        <f>IFERROR(_xlfn.XLOOKUP(TRIM(B1233),Lookup!$B$2:$B$1000,Lookup!$C$2:$C$1000),"")</f>
        <v>Equity</v>
      </c>
      <c r="D1233" s="8" t="str">
        <f>IFERROR(INDEX('nav master'!$C:$C, MATCH(B1233, 'nav master'!$B:$B, 0)), "")</f>
        <v>ULIF07616/10/24Top500MoFd101</v>
      </c>
      <c r="E1233" s="8" t="s">
        <v>4900</v>
      </c>
      <c r="F1233" s="8" t="s">
        <v>4933</v>
      </c>
    </row>
    <row r="1234" spans="1:6" ht="60" x14ac:dyDescent="0.25">
      <c r="A1234" s="8" t="s">
        <v>125</v>
      </c>
      <c r="B1234" s="8" t="s">
        <v>154</v>
      </c>
      <c r="C1234" s="8" t="str">
        <f>IFERROR(_xlfn.XLOOKUP(TRIM(B1234),Lookup!$B$2:$B$1000,Lookup!$C$2:$C$1000),"")</f>
        <v>Equity</v>
      </c>
      <c r="D1234" s="8" t="str">
        <f>IFERROR(INDEX('nav master'!$C:$C, MATCH(B1234, 'nav master'!$B:$B, 0)), "")</f>
        <v>ULIF07616/10/24Top500MoFd101</v>
      </c>
      <c r="E1234" s="8" t="s">
        <v>4902</v>
      </c>
      <c r="F1234" s="8" t="s">
        <v>4934</v>
      </c>
    </row>
    <row r="1235" spans="1:6" ht="60" x14ac:dyDescent="0.25">
      <c r="A1235" s="8" t="s">
        <v>125</v>
      </c>
      <c r="B1235" s="8" t="s">
        <v>154</v>
      </c>
      <c r="C1235" s="8" t="str">
        <f>IFERROR(_xlfn.XLOOKUP(TRIM(B1235),Lookup!$B$2:$B$1000,Lookup!$C$2:$C$1000),"")</f>
        <v>Equity</v>
      </c>
      <c r="D1235" s="8" t="str">
        <f>IFERROR(INDEX('nav master'!$C:$C, MATCH(B1235, 'nav master'!$B:$B, 0)), "")</f>
        <v>ULIF07616/10/24Top500MoFd101</v>
      </c>
      <c r="E1235" s="8" t="s">
        <v>4903</v>
      </c>
      <c r="F1235" s="8" t="s">
        <v>4935</v>
      </c>
    </row>
    <row r="1236" spans="1:6" ht="60" x14ac:dyDescent="0.25">
      <c r="A1236" s="8" t="s">
        <v>125</v>
      </c>
      <c r="B1236" s="8" t="s">
        <v>154</v>
      </c>
      <c r="C1236" s="8" t="str">
        <f>IFERROR(_xlfn.XLOOKUP(TRIM(B1236),Lookup!$B$2:$B$1000,Lookup!$C$2:$C$1000),"")</f>
        <v>Equity</v>
      </c>
      <c r="D1236" s="8" t="str">
        <f>IFERROR(INDEX('nav master'!$C:$C, MATCH(B1236, 'nav master'!$B:$B, 0)), "")</f>
        <v>ULIF07616/10/24Top500MoFd101</v>
      </c>
      <c r="E1236" s="8" t="s">
        <v>4905</v>
      </c>
      <c r="F1236" s="8" t="s">
        <v>4936</v>
      </c>
    </row>
    <row r="1237" spans="1:6" ht="75" x14ac:dyDescent="0.25">
      <c r="A1237" s="8" t="s">
        <v>125</v>
      </c>
      <c r="B1237" s="8" t="s">
        <v>161</v>
      </c>
      <c r="C1237" s="8" t="str">
        <f>IFERROR(_xlfn.XLOOKUP(TRIM(B1237),Lookup!$B$2:$B$1000,Lookup!$C$2:$C$1000),"")</f>
        <v>Equity</v>
      </c>
      <c r="D1237" s="8" t="str">
        <f>IFERROR(INDEX('nav master'!$C:$C, MATCH(B1237, 'nav master'!$B:$B, 0)), "")</f>
        <v>ULIF08421/11/25InCnsmAdFd101</v>
      </c>
      <c r="E1237" s="8" t="s">
        <v>359</v>
      </c>
      <c r="F1237" s="8" t="s">
        <v>1603</v>
      </c>
    </row>
    <row r="1238" spans="1:6" ht="75" x14ac:dyDescent="0.25">
      <c r="A1238" s="8" t="s">
        <v>125</v>
      </c>
      <c r="B1238" s="8" t="s">
        <v>161</v>
      </c>
      <c r="C1238" s="8" t="str">
        <f>IFERROR(_xlfn.XLOOKUP(TRIM(B1238),Lookup!$B$2:$B$1000,Lookup!$C$2:$C$1000),"")</f>
        <v>Equity</v>
      </c>
      <c r="D1238" s="8" t="str">
        <f>IFERROR(INDEX('nav master'!$C:$C, MATCH(B1238, 'nav master'!$B:$B, 0)), "")</f>
        <v>ULIF08421/11/25InCnsmAdFd101</v>
      </c>
      <c r="E1238" s="8" t="s">
        <v>361</v>
      </c>
      <c r="F1238" s="8" t="s">
        <v>1604</v>
      </c>
    </row>
    <row r="1239" spans="1:6" ht="75" x14ac:dyDescent="0.25">
      <c r="A1239" s="8" t="s">
        <v>125</v>
      </c>
      <c r="B1239" s="8" t="s">
        <v>161</v>
      </c>
      <c r="C1239" s="8" t="str">
        <f>IFERROR(_xlfn.XLOOKUP(TRIM(B1239),Lookup!$B$2:$B$1000,Lookup!$C$2:$C$1000),"")</f>
        <v>Equity</v>
      </c>
      <c r="D1239" s="8" t="str">
        <f>IFERROR(INDEX('nav master'!$C:$C, MATCH(B1239, 'nav master'!$B:$B, 0)), "")</f>
        <v>ULIF08421/11/25InCnsmAdFd101</v>
      </c>
      <c r="E1239" s="8" t="s">
        <v>363</v>
      </c>
      <c r="F1239" s="8" t="s">
        <v>1605</v>
      </c>
    </row>
    <row r="1240" spans="1:6" ht="75" x14ac:dyDescent="0.25">
      <c r="A1240" s="8" t="s">
        <v>125</v>
      </c>
      <c r="B1240" s="8" t="s">
        <v>161</v>
      </c>
      <c r="C1240" s="8" t="str">
        <f>IFERROR(_xlfn.XLOOKUP(TRIM(B1240),Lookup!$B$2:$B$1000,Lookup!$C$2:$C$1000),"")</f>
        <v>Equity</v>
      </c>
      <c r="D1240" s="8" t="str">
        <f>IFERROR(INDEX('nav master'!$C:$C, MATCH(B1240, 'nav master'!$B:$B, 0)), "")</f>
        <v>ULIF08421/11/25InCnsmAdFd101</v>
      </c>
      <c r="E1240" s="8" t="s">
        <v>365</v>
      </c>
      <c r="F1240" s="8" t="s">
        <v>1606</v>
      </c>
    </row>
    <row r="1241" spans="1:6" ht="75" x14ac:dyDescent="0.25">
      <c r="A1241" s="8" t="s">
        <v>125</v>
      </c>
      <c r="B1241" s="8" t="s">
        <v>161</v>
      </c>
      <c r="C1241" s="8" t="str">
        <f>IFERROR(_xlfn.XLOOKUP(TRIM(B1241),Lookup!$B$2:$B$1000,Lookup!$C$2:$C$1000),"")</f>
        <v>Equity</v>
      </c>
      <c r="D1241" s="8" t="str">
        <f>IFERROR(INDEX('nav master'!$C:$C, MATCH(B1241, 'nav master'!$B:$B, 0)), "")</f>
        <v>ULIF08421/11/25InCnsmAdFd101</v>
      </c>
      <c r="E1241" s="8" t="s">
        <v>367</v>
      </c>
      <c r="F1241" s="8" t="s">
        <v>1607</v>
      </c>
    </row>
    <row r="1242" spans="1:6" ht="75" x14ac:dyDescent="0.25">
      <c r="A1242" s="8" t="s">
        <v>125</v>
      </c>
      <c r="B1242" s="8" t="s">
        <v>161</v>
      </c>
      <c r="C1242" s="8" t="str">
        <f>IFERROR(_xlfn.XLOOKUP(TRIM(B1242),Lookup!$B$2:$B$1000,Lookup!$C$2:$C$1000),"")</f>
        <v>Equity</v>
      </c>
      <c r="D1242" s="8" t="str">
        <f>IFERROR(INDEX('nav master'!$C:$C, MATCH(B1242, 'nav master'!$B:$B, 0)), "")</f>
        <v>ULIF08421/11/25InCnsmAdFd101</v>
      </c>
      <c r="E1242" s="8" t="s">
        <v>369</v>
      </c>
      <c r="F1242" s="8" t="s">
        <v>1608</v>
      </c>
    </row>
    <row r="1243" spans="1:6" ht="75" x14ac:dyDescent="0.25">
      <c r="A1243" s="8" t="s">
        <v>125</v>
      </c>
      <c r="B1243" s="8" t="s">
        <v>161</v>
      </c>
      <c r="C1243" s="8" t="str">
        <f>IFERROR(_xlfn.XLOOKUP(TRIM(B1243),Lookup!$B$2:$B$1000,Lookup!$C$2:$C$1000),"")</f>
        <v>Equity</v>
      </c>
      <c r="D1243" s="8" t="str">
        <f>IFERROR(INDEX('nav master'!$C:$C, MATCH(B1243, 'nav master'!$B:$B, 0)), "")</f>
        <v>ULIF08421/11/25InCnsmAdFd101</v>
      </c>
      <c r="E1243" s="8" t="s">
        <v>371</v>
      </c>
      <c r="F1243" s="8" t="s">
        <v>1609</v>
      </c>
    </row>
    <row r="1244" spans="1:6" ht="75" x14ac:dyDescent="0.25">
      <c r="A1244" s="8" t="s">
        <v>125</v>
      </c>
      <c r="B1244" s="8" t="s">
        <v>161</v>
      </c>
      <c r="C1244" s="8" t="str">
        <f>IFERROR(_xlfn.XLOOKUP(TRIM(B1244),Lookup!$B$2:$B$1000,Lookup!$C$2:$C$1000),"")</f>
        <v>Equity</v>
      </c>
      <c r="D1244" s="8" t="str">
        <f>IFERROR(INDEX('nav master'!$C:$C, MATCH(B1244, 'nav master'!$B:$B, 0)), "")</f>
        <v>ULIF08421/11/25InCnsmAdFd101</v>
      </c>
      <c r="E1244" s="8" t="s">
        <v>373</v>
      </c>
      <c r="F1244" s="8" t="s">
        <v>1610</v>
      </c>
    </row>
    <row r="1245" spans="1:6" ht="75" x14ac:dyDescent="0.25">
      <c r="A1245" s="8" t="s">
        <v>125</v>
      </c>
      <c r="B1245" s="8" t="s">
        <v>161</v>
      </c>
      <c r="C1245" s="8" t="str">
        <f>IFERROR(_xlfn.XLOOKUP(TRIM(B1245),Lookup!$B$2:$B$1000,Lookup!$C$2:$C$1000),"")</f>
        <v>Equity</v>
      </c>
      <c r="D1245" s="8" t="str">
        <f>IFERROR(INDEX('nav master'!$C:$C, MATCH(B1245, 'nav master'!$B:$B, 0)), "")</f>
        <v>ULIF08421/11/25InCnsmAdFd101</v>
      </c>
      <c r="E1245" s="8" t="s">
        <v>375</v>
      </c>
      <c r="F1245" s="8" t="s">
        <v>1611</v>
      </c>
    </row>
    <row r="1246" spans="1:6" ht="75" x14ac:dyDescent="0.25">
      <c r="A1246" s="8" t="s">
        <v>125</v>
      </c>
      <c r="B1246" s="8" t="s">
        <v>161</v>
      </c>
      <c r="C1246" s="8" t="str">
        <f>IFERROR(_xlfn.XLOOKUP(TRIM(B1246),Lookup!$B$2:$B$1000,Lookup!$C$2:$C$1000),"")</f>
        <v>Equity</v>
      </c>
      <c r="D1246" s="8" t="str">
        <f>IFERROR(INDEX('nav master'!$C:$C, MATCH(B1246, 'nav master'!$B:$B, 0)), "")</f>
        <v>ULIF08421/11/25InCnsmAdFd101</v>
      </c>
      <c r="E1246" s="8" t="s">
        <v>377</v>
      </c>
      <c r="F1246" s="8" t="s">
        <v>1612</v>
      </c>
    </row>
    <row r="1247" spans="1:6" ht="75" x14ac:dyDescent="0.25">
      <c r="A1247" s="8" t="s">
        <v>125</v>
      </c>
      <c r="B1247" s="8" t="s">
        <v>161</v>
      </c>
      <c r="C1247" s="8" t="str">
        <f>IFERROR(_xlfn.XLOOKUP(TRIM(B1247),Lookup!$B$2:$B$1000,Lookup!$C$2:$C$1000),"")</f>
        <v>Equity</v>
      </c>
      <c r="D1247" s="8" t="str">
        <f>IFERROR(INDEX('nav master'!$C:$C, MATCH(B1247, 'nav master'!$B:$B, 0)), "")</f>
        <v>ULIF08421/11/25InCnsmAdFd101</v>
      </c>
      <c r="E1247" s="8" t="s">
        <v>379</v>
      </c>
      <c r="F1247" s="8" t="s">
        <v>1613</v>
      </c>
    </row>
    <row r="1248" spans="1:6" ht="75" x14ac:dyDescent="0.25">
      <c r="A1248" s="8" t="s">
        <v>125</v>
      </c>
      <c r="B1248" s="8" t="s">
        <v>161</v>
      </c>
      <c r="C1248" s="8" t="str">
        <f>IFERROR(_xlfn.XLOOKUP(TRIM(B1248),Lookup!$B$2:$B$1000,Lookup!$C$2:$C$1000),"")</f>
        <v>Equity</v>
      </c>
      <c r="D1248" s="8" t="str">
        <f>IFERROR(INDEX('nav master'!$C:$C, MATCH(B1248, 'nav master'!$B:$B, 0)), "")</f>
        <v>ULIF08421/11/25InCnsmAdFd101</v>
      </c>
      <c r="E1248" s="8" t="s">
        <v>381</v>
      </c>
      <c r="F1248" s="8" t="s">
        <v>1614</v>
      </c>
    </row>
    <row r="1249" spans="1:6" ht="75" x14ac:dyDescent="0.25">
      <c r="A1249" s="8" t="s">
        <v>125</v>
      </c>
      <c r="B1249" s="8" t="s">
        <v>161</v>
      </c>
      <c r="C1249" s="8" t="str">
        <f>IFERROR(_xlfn.XLOOKUP(TRIM(B1249),Lookup!$B$2:$B$1000,Lookup!$C$2:$C$1000),"")</f>
        <v>Equity</v>
      </c>
      <c r="D1249" s="8" t="str">
        <f>IFERROR(INDEX('nav master'!$C:$C, MATCH(B1249, 'nav master'!$B:$B, 0)), "")</f>
        <v>ULIF08421/11/25InCnsmAdFd101</v>
      </c>
      <c r="E1249" s="8" t="s">
        <v>383</v>
      </c>
      <c r="F1249" s="8" t="s">
        <v>1615</v>
      </c>
    </row>
    <row r="1250" spans="1:6" ht="75" x14ac:dyDescent="0.25">
      <c r="A1250" s="8" t="s">
        <v>125</v>
      </c>
      <c r="B1250" s="8" t="s">
        <v>161</v>
      </c>
      <c r="C1250" s="8" t="str">
        <f>IFERROR(_xlfn.XLOOKUP(TRIM(B1250),Lookup!$B$2:$B$1000,Lookup!$C$2:$C$1000),"")</f>
        <v>Equity</v>
      </c>
      <c r="D1250" s="8" t="str">
        <f>IFERROR(INDEX('nav master'!$C:$C, MATCH(B1250, 'nav master'!$B:$B, 0)), "")</f>
        <v>ULIF08421/11/25InCnsmAdFd101</v>
      </c>
      <c r="E1250" s="8" t="s">
        <v>385</v>
      </c>
      <c r="F1250" s="8" t="s">
        <v>1616</v>
      </c>
    </row>
    <row r="1251" spans="1:6" ht="75" x14ac:dyDescent="0.25">
      <c r="A1251" s="8" t="s">
        <v>125</v>
      </c>
      <c r="B1251" s="8" t="s">
        <v>161</v>
      </c>
      <c r="C1251" s="8" t="str">
        <f>IFERROR(_xlfn.XLOOKUP(TRIM(B1251),Lookup!$B$2:$B$1000,Lookup!$C$2:$C$1000),"")</f>
        <v>Equity</v>
      </c>
      <c r="D1251" s="8" t="str">
        <f>IFERROR(INDEX('nav master'!$C:$C, MATCH(B1251, 'nav master'!$B:$B, 0)), "")</f>
        <v>ULIF08421/11/25InCnsmAdFd101</v>
      </c>
      <c r="E1251" s="8" t="s">
        <v>387</v>
      </c>
      <c r="F1251" s="8" t="s">
        <v>1617</v>
      </c>
    </row>
    <row r="1252" spans="1:6" ht="75" x14ac:dyDescent="0.25">
      <c r="A1252" s="8" t="s">
        <v>125</v>
      </c>
      <c r="B1252" s="8" t="s">
        <v>161</v>
      </c>
      <c r="C1252" s="8" t="str">
        <f>IFERROR(_xlfn.XLOOKUP(TRIM(B1252),Lookup!$B$2:$B$1000,Lookup!$C$2:$C$1000),"")</f>
        <v>Equity</v>
      </c>
      <c r="D1252" s="8" t="str">
        <f>IFERROR(INDEX('nav master'!$C:$C, MATCH(B1252, 'nav master'!$B:$B, 0)), "")</f>
        <v>ULIF08421/11/25InCnsmAdFd101</v>
      </c>
      <c r="E1252" s="8" t="s">
        <v>389</v>
      </c>
      <c r="F1252" s="8" t="s">
        <v>1618</v>
      </c>
    </row>
    <row r="1253" spans="1:6" ht="75" x14ac:dyDescent="0.25">
      <c r="A1253" s="8" t="s">
        <v>125</v>
      </c>
      <c r="B1253" s="8" t="s">
        <v>161</v>
      </c>
      <c r="C1253" s="8" t="str">
        <f>IFERROR(_xlfn.XLOOKUP(TRIM(B1253),Lookup!$B$2:$B$1000,Lookup!$C$2:$C$1000),"")</f>
        <v>Equity</v>
      </c>
      <c r="D1253" s="8" t="str">
        <f>IFERROR(INDEX('nav master'!$C:$C, MATCH(B1253, 'nav master'!$B:$B, 0)), "")</f>
        <v>ULIF08421/11/25InCnsmAdFd101</v>
      </c>
      <c r="E1253" s="8" t="s">
        <v>391</v>
      </c>
      <c r="F1253" s="8" t="s">
        <v>1619</v>
      </c>
    </row>
    <row r="1254" spans="1:6" ht="75" x14ac:dyDescent="0.25">
      <c r="A1254" s="8" t="s">
        <v>125</v>
      </c>
      <c r="B1254" s="8" t="s">
        <v>161</v>
      </c>
      <c r="C1254" s="8" t="str">
        <f>IFERROR(_xlfn.XLOOKUP(TRIM(B1254),Lookup!$B$2:$B$1000,Lookup!$C$2:$C$1000),"")</f>
        <v>Equity</v>
      </c>
      <c r="D1254" s="8" t="str">
        <f>IFERROR(INDEX('nav master'!$C:$C, MATCH(B1254, 'nav master'!$B:$B, 0)), "")</f>
        <v>ULIF08421/11/25InCnsmAdFd101</v>
      </c>
      <c r="E1254" s="8" t="s">
        <v>393</v>
      </c>
      <c r="F1254" s="8" t="s">
        <v>1620</v>
      </c>
    </row>
    <row r="1255" spans="1:6" ht="75" x14ac:dyDescent="0.25">
      <c r="A1255" s="8" t="s">
        <v>125</v>
      </c>
      <c r="B1255" s="8" t="s">
        <v>161</v>
      </c>
      <c r="C1255" s="8" t="str">
        <f>IFERROR(_xlfn.XLOOKUP(TRIM(B1255),Lookup!$B$2:$B$1000,Lookup!$C$2:$C$1000),"")</f>
        <v>Equity</v>
      </c>
      <c r="D1255" s="8" t="str">
        <f>IFERROR(INDEX('nav master'!$C:$C, MATCH(B1255, 'nav master'!$B:$B, 0)), "")</f>
        <v>ULIF08421/11/25InCnsmAdFd101</v>
      </c>
      <c r="E1255" s="8" t="s">
        <v>395</v>
      </c>
      <c r="F1255" s="8" t="s">
        <v>1621</v>
      </c>
    </row>
    <row r="1256" spans="1:6" ht="75" x14ac:dyDescent="0.25">
      <c r="A1256" s="8" t="s">
        <v>125</v>
      </c>
      <c r="B1256" s="8" t="s">
        <v>161</v>
      </c>
      <c r="C1256" s="8" t="str">
        <f>IFERROR(_xlfn.XLOOKUP(TRIM(B1256),Lookup!$B$2:$B$1000,Lookup!$C$2:$C$1000),"")</f>
        <v>Equity</v>
      </c>
      <c r="D1256" s="8" t="str">
        <f>IFERROR(INDEX('nav master'!$C:$C, MATCH(B1256, 'nav master'!$B:$B, 0)), "")</f>
        <v>ULIF08421/11/25InCnsmAdFd101</v>
      </c>
      <c r="E1256" s="8" t="s">
        <v>397</v>
      </c>
      <c r="F1256" s="8" t="s">
        <v>1622</v>
      </c>
    </row>
    <row r="1257" spans="1:6" ht="75" x14ac:dyDescent="0.25">
      <c r="A1257" s="8" t="s">
        <v>125</v>
      </c>
      <c r="B1257" s="8" t="s">
        <v>161</v>
      </c>
      <c r="C1257" s="8" t="str">
        <f>IFERROR(_xlfn.XLOOKUP(TRIM(B1257),Lookup!$B$2:$B$1000,Lookup!$C$2:$C$1000),"")</f>
        <v>Equity</v>
      </c>
      <c r="D1257" s="8" t="str">
        <f>IFERROR(INDEX('nav master'!$C:$C, MATCH(B1257, 'nav master'!$B:$B, 0)), "")</f>
        <v>ULIF08421/11/25InCnsmAdFd101</v>
      </c>
      <c r="E1257" s="8" t="s">
        <v>399</v>
      </c>
      <c r="F1257" s="8" t="s">
        <v>1623</v>
      </c>
    </row>
    <row r="1258" spans="1:6" ht="75" x14ac:dyDescent="0.25">
      <c r="A1258" s="8" t="s">
        <v>125</v>
      </c>
      <c r="B1258" s="8" t="s">
        <v>161</v>
      </c>
      <c r="C1258" s="8" t="str">
        <f>IFERROR(_xlfn.XLOOKUP(TRIM(B1258),Lookup!$B$2:$B$1000,Lookup!$C$2:$C$1000),"")</f>
        <v>Equity</v>
      </c>
      <c r="D1258" s="8" t="str">
        <f>IFERROR(INDEX('nav master'!$C:$C, MATCH(B1258, 'nav master'!$B:$B, 0)), "")</f>
        <v>ULIF08421/11/25InCnsmAdFd101</v>
      </c>
      <c r="E1258" s="8" t="s">
        <v>401</v>
      </c>
      <c r="F1258" s="8" t="s">
        <v>1624</v>
      </c>
    </row>
    <row r="1259" spans="1:6" ht="75" x14ac:dyDescent="0.25">
      <c r="A1259" s="8" t="s">
        <v>125</v>
      </c>
      <c r="B1259" s="8" t="s">
        <v>161</v>
      </c>
      <c r="C1259" s="8" t="str">
        <f>IFERROR(_xlfn.XLOOKUP(TRIM(B1259),Lookup!$B$2:$B$1000,Lookup!$C$2:$C$1000),"")</f>
        <v>Equity</v>
      </c>
      <c r="D1259" s="8" t="str">
        <f>IFERROR(INDEX('nav master'!$C:$C, MATCH(B1259, 'nav master'!$B:$B, 0)), "")</f>
        <v>ULIF08421/11/25InCnsmAdFd101</v>
      </c>
      <c r="E1259" s="8" t="s">
        <v>403</v>
      </c>
      <c r="F1259" s="8" t="s">
        <v>1625</v>
      </c>
    </row>
    <row r="1260" spans="1:6" ht="75" x14ac:dyDescent="0.25">
      <c r="A1260" s="8" t="s">
        <v>125</v>
      </c>
      <c r="B1260" s="8" t="s">
        <v>161</v>
      </c>
      <c r="C1260" s="8" t="str">
        <f>IFERROR(_xlfn.XLOOKUP(TRIM(B1260),Lookup!$B$2:$B$1000,Lookup!$C$2:$C$1000),"")</f>
        <v>Equity</v>
      </c>
      <c r="D1260" s="8" t="str">
        <f>IFERROR(INDEX('nav master'!$C:$C, MATCH(B1260, 'nav master'!$B:$B, 0)), "")</f>
        <v>ULIF08421/11/25InCnsmAdFd101</v>
      </c>
      <c r="E1260" s="8" t="s">
        <v>405</v>
      </c>
      <c r="F1260" s="8" t="s">
        <v>1626</v>
      </c>
    </row>
    <row r="1261" spans="1:6" ht="75" x14ac:dyDescent="0.25">
      <c r="A1261" s="8" t="s">
        <v>125</v>
      </c>
      <c r="B1261" s="8" t="s">
        <v>161</v>
      </c>
      <c r="C1261" s="8" t="str">
        <f>IFERROR(_xlfn.XLOOKUP(TRIM(B1261),Lookup!$B$2:$B$1000,Lookup!$C$2:$C$1000),"")</f>
        <v>Equity</v>
      </c>
      <c r="D1261" s="8" t="str">
        <f>IFERROR(INDEX('nav master'!$C:$C, MATCH(B1261, 'nav master'!$B:$B, 0)), "")</f>
        <v>ULIF08421/11/25InCnsmAdFd101</v>
      </c>
      <c r="E1261" s="8" t="s">
        <v>407</v>
      </c>
      <c r="F1261" s="8" t="s">
        <v>1627</v>
      </c>
    </row>
    <row r="1262" spans="1:6" ht="75" x14ac:dyDescent="0.25">
      <c r="A1262" s="8" t="s">
        <v>125</v>
      </c>
      <c r="B1262" s="8" t="s">
        <v>161</v>
      </c>
      <c r="C1262" s="8" t="str">
        <f>IFERROR(_xlfn.XLOOKUP(TRIM(B1262),Lookup!$B$2:$B$1000,Lookup!$C$2:$C$1000),"")</f>
        <v>Equity</v>
      </c>
      <c r="D1262" s="8" t="str">
        <f>IFERROR(INDEX('nav master'!$C:$C, MATCH(B1262, 'nav master'!$B:$B, 0)), "")</f>
        <v>ULIF08421/11/25InCnsmAdFd101</v>
      </c>
      <c r="E1262" s="8" t="s">
        <v>409</v>
      </c>
      <c r="F1262" s="8" t="s">
        <v>1628</v>
      </c>
    </row>
    <row r="1263" spans="1:6" ht="75" x14ac:dyDescent="0.25">
      <c r="A1263" s="8" t="s">
        <v>125</v>
      </c>
      <c r="B1263" s="8" t="s">
        <v>161</v>
      </c>
      <c r="C1263" s="8" t="str">
        <f>IFERROR(_xlfn.XLOOKUP(TRIM(B1263),Lookup!$B$2:$B$1000,Lookup!$C$2:$C$1000),"")</f>
        <v>Equity</v>
      </c>
      <c r="D1263" s="8" t="str">
        <f>IFERROR(INDEX('nav master'!$C:$C, MATCH(B1263, 'nav master'!$B:$B, 0)), "")</f>
        <v>ULIF08421/11/25InCnsmAdFd101</v>
      </c>
      <c r="E1263" s="8" t="s">
        <v>411</v>
      </c>
      <c r="F1263" s="8" t="s">
        <v>1629</v>
      </c>
    </row>
    <row r="1264" spans="1:6" ht="75" x14ac:dyDescent="0.25">
      <c r="A1264" s="8" t="s">
        <v>125</v>
      </c>
      <c r="B1264" s="8" t="s">
        <v>161</v>
      </c>
      <c r="C1264" s="8" t="str">
        <f>IFERROR(_xlfn.XLOOKUP(TRIM(B1264),Lookup!$B$2:$B$1000,Lookup!$C$2:$C$1000),"")</f>
        <v>Equity</v>
      </c>
      <c r="D1264" s="8" t="str">
        <f>IFERROR(INDEX('nav master'!$C:$C, MATCH(B1264, 'nav master'!$B:$B, 0)), "")</f>
        <v>ULIF08421/11/25InCnsmAdFd101</v>
      </c>
      <c r="E1264" s="8" t="s">
        <v>413</v>
      </c>
      <c r="F1264" s="8" t="s">
        <v>1630</v>
      </c>
    </row>
    <row r="1265" spans="1:6" ht="75" x14ac:dyDescent="0.25">
      <c r="A1265" s="8" t="s">
        <v>125</v>
      </c>
      <c r="B1265" s="8" t="s">
        <v>161</v>
      </c>
      <c r="C1265" s="8" t="str">
        <f>IFERROR(_xlfn.XLOOKUP(TRIM(B1265),Lookup!$B$2:$B$1000,Lookup!$C$2:$C$1000),"")</f>
        <v>Equity</v>
      </c>
      <c r="D1265" s="8" t="str">
        <f>IFERROR(INDEX('nav master'!$C:$C, MATCH(B1265, 'nav master'!$B:$B, 0)), "")</f>
        <v>ULIF08421/11/25InCnsmAdFd101</v>
      </c>
      <c r="E1265" s="8" t="s">
        <v>415</v>
      </c>
      <c r="F1265" s="8" t="s">
        <v>1631</v>
      </c>
    </row>
    <row r="1266" spans="1:6" ht="75" x14ac:dyDescent="0.25">
      <c r="A1266" s="8" t="s">
        <v>125</v>
      </c>
      <c r="B1266" s="8" t="s">
        <v>161</v>
      </c>
      <c r="C1266" s="8" t="str">
        <f>IFERROR(_xlfn.XLOOKUP(TRIM(B1266),Lookup!$B$2:$B$1000,Lookup!$C$2:$C$1000),"")</f>
        <v>Equity</v>
      </c>
      <c r="D1266" s="8" t="str">
        <f>IFERROR(INDEX('nav master'!$C:$C, MATCH(B1266, 'nav master'!$B:$B, 0)), "")</f>
        <v>ULIF08421/11/25InCnsmAdFd101</v>
      </c>
      <c r="E1266" s="8" t="s">
        <v>417</v>
      </c>
      <c r="F1266" s="8" t="s">
        <v>1632</v>
      </c>
    </row>
    <row r="1267" spans="1:6" ht="75" x14ac:dyDescent="0.25">
      <c r="A1267" s="8" t="s">
        <v>125</v>
      </c>
      <c r="B1267" s="8" t="s">
        <v>161</v>
      </c>
      <c r="C1267" s="8" t="str">
        <f>IFERROR(_xlfn.XLOOKUP(TRIM(B1267),Lookup!$B$2:$B$1000,Lookup!$C$2:$C$1000),"")</f>
        <v>Equity</v>
      </c>
      <c r="D1267" s="8" t="str">
        <f>IFERROR(INDEX('nav master'!$C:$C, MATCH(B1267, 'nav master'!$B:$B, 0)), "")</f>
        <v>ULIF08421/11/25InCnsmAdFd101</v>
      </c>
      <c r="E1267" s="8" t="s">
        <v>419</v>
      </c>
      <c r="F1267" s="8" t="s">
        <v>1633</v>
      </c>
    </row>
    <row r="1268" spans="1:6" ht="75" x14ac:dyDescent="0.25">
      <c r="A1268" s="8" t="s">
        <v>125</v>
      </c>
      <c r="B1268" s="8" t="s">
        <v>161</v>
      </c>
      <c r="C1268" s="8" t="str">
        <f>IFERROR(_xlfn.XLOOKUP(TRIM(B1268),Lookup!$B$2:$B$1000,Lookup!$C$2:$C$1000),"")</f>
        <v>Equity</v>
      </c>
      <c r="D1268" s="8" t="str">
        <f>IFERROR(INDEX('nav master'!$C:$C, MATCH(B1268, 'nav master'!$B:$B, 0)), "")</f>
        <v>ULIF08421/11/25InCnsmAdFd101</v>
      </c>
      <c r="E1268" s="8" t="s">
        <v>421</v>
      </c>
      <c r="F1268" s="8" t="s">
        <v>1634</v>
      </c>
    </row>
    <row r="1269" spans="1:6" ht="75" x14ac:dyDescent="0.25">
      <c r="A1269" s="8" t="s">
        <v>125</v>
      </c>
      <c r="B1269" s="8" t="s">
        <v>161</v>
      </c>
      <c r="C1269" s="8" t="str">
        <f>IFERROR(_xlfn.XLOOKUP(TRIM(B1269),Lookup!$B$2:$B$1000,Lookup!$C$2:$C$1000),"")</f>
        <v>Equity</v>
      </c>
      <c r="D1269" s="8" t="str">
        <f>IFERROR(INDEX('nav master'!$C:$C, MATCH(B1269, 'nav master'!$B:$B, 0)), "")</f>
        <v>ULIF08421/11/25InCnsmAdFd101</v>
      </c>
      <c r="E1269" s="8" t="s">
        <v>423</v>
      </c>
      <c r="F1269" s="8" t="s">
        <v>1635</v>
      </c>
    </row>
    <row r="1270" spans="1:6" ht="75" x14ac:dyDescent="0.25">
      <c r="A1270" s="8" t="s">
        <v>125</v>
      </c>
      <c r="B1270" s="8" t="s">
        <v>161</v>
      </c>
      <c r="C1270" s="8" t="str">
        <f>IFERROR(_xlfn.XLOOKUP(TRIM(B1270),Lookup!$B$2:$B$1000,Lookup!$C$2:$C$1000),"")</f>
        <v>Equity</v>
      </c>
      <c r="D1270" s="8" t="str">
        <f>IFERROR(INDEX('nav master'!$C:$C, MATCH(B1270, 'nav master'!$B:$B, 0)), "")</f>
        <v>ULIF08421/11/25InCnsmAdFd101</v>
      </c>
      <c r="E1270" s="8" t="s">
        <v>425</v>
      </c>
      <c r="F1270" s="8" t="s">
        <v>1636</v>
      </c>
    </row>
    <row r="1271" spans="1:6" ht="75" x14ac:dyDescent="0.25">
      <c r="A1271" s="8" t="s">
        <v>125</v>
      </c>
      <c r="B1271" s="8" t="s">
        <v>161</v>
      </c>
      <c r="C1271" s="8" t="str">
        <f>IFERROR(_xlfn.XLOOKUP(TRIM(B1271),Lookup!$B$2:$B$1000,Lookup!$C$2:$C$1000),"")</f>
        <v>Equity</v>
      </c>
      <c r="D1271" s="8" t="str">
        <f>IFERROR(INDEX('nav master'!$C:$C, MATCH(B1271, 'nav master'!$B:$B, 0)), "")</f>
        <v>ULIF08421/11/25InCnsmAdFd101</v>
      </c>
      <c r="E1271" s="8" t="s">
        <v>427</v>
      </c>
      <c r="F1271" s="8" t="s">
        <v>1637</v>
      </c>
    </row>
    <row r="1272" spans="1:6" ht="75" x14ac:dyDescent="0.25">
      <c r="A1272" s="8" t="s">
        <v>125</v>
      </c>
      <c r="B1272" s="8" t="s">
        <v>161</v>
      </c>
      <c r="C1272" s="8" t="str">
        <f>IFERROR(_xlfn.XLOOKUP(TRIM(B1272),Lookup!$B$2:$B$1000,Lookup!$C$2:$C$1000),"")</f>
        <v>Equity</v>
      </c>
      <c r="D1272" s="8" t="str">
        <f>IFERROR(INDEX('nav master'!$C:$C, MATCH(B1272, 'nav master'!$B:$B, 0)), "")</f>
        <v>ULIF08421/11/25InCnsmAdFd101</v>
      </c>
      <c r="E1272" s="8" t="s">
        <v>429</v>
      </c>
      <c r="F1272" s="8" t="s">
        <v>1638</v>
      </c>
    </row>
    <row r="1273" spans="1:6" ht="75" x14ac:dyDescent="0.25">
      <c r="A1273" s="8" t="s">
        <v>125</v>
      </c>
      <c r="B1273" s="8" t="s">
        <v>161</v>
      </c>
      <c r="C1273" s="8" t="str">
        <f>IFERROR(_xlfn.XLOOKUP(TRIM(B1273),Lookup!$B$2:$B$1000,Lookup!$C$2:$C$1000),"")</f>
        <v>Equity</v>
      </c>
      <c r="D1273" s="8" t="str">
        <f>IFERROR(INDEX('nav master'!$C:$C, MATCH(B1273, 'nav master'!$B:$B, 0)), "")</f>
        <v>ULIF08421/11/25InCnsmAdFd101</v>
      </c>
      <c r="E1273" s="8" t="s">
        <v>431</v>
      </c>
      <c r="F1273" s="8" t="s">
        <v>1639</v>
      </c>
    </row>
    <row r="1274" spans="1:6" ht="75" x14ac:dyDescent="0.25">
      <c r="A1274" s="8" t="s">
        <v>125</v>
      </c>
      <c r="B1274" s="8" t="s">
        <v>161</v>
      </c>
      <c r="C1274" s="8" t="str">
        <f>IFERROR(_xlfn.XLOOKUP(TRIM(B1274),Lookup!$B$2:$B$1000,Lookup!$C$2:$C$1000),"")</f>
        <v>Equity</v>
      </c>
      <c r="D1274" s="8" t="str">
        <f>IFERROR(INDEX('nav master'!$C:$C, MATCH(B1274, 'nav master'!$B:$B, 0)), "")</f>
        <v>ULIF08421/11/25InCnsmAdFd101</v>
      </c>
      <c r="E1274" s="8" t="s">
        <v>433</v>
      </c>
      <c r="F1274" s="8" t="s">
        <v>1640</v>
      </c>
    </row>
    <row r="1275" spans="1:6" ht="75" x14ac:dyDescent="0.25">
      <c r="A1275" s="8" t="s">
        <v>125</v>
      </c>
      <c r="B1275" s="8" t="s">
        <v>161</v>
      </c>
      <c r="C1275" s="8" t="str">
        <f>IFERROR(_xlfn.XLOOKUP(TRIM(B1275),Lookup!$B$2:$B$1000,Lookup!$C$2:$C$1000),"")</f>
        <v>Equity</v>
      </c>
      <c r="D1275" s="8" t="str">
        <f>IFERROR(INDEX('nav master'!$C:$C, MATCH(B1275, 'nav master'!$B:$B, 0)), "")</f>
        <v>ULIF08421/11/25InCnsmAdFd101</v>
      </c>
      <c r="E1275" s="8" t="s">
        <v>435</v>
      </c>
      <c r="F1275" s="8" t="s">
        <v>1641</v>
      </c>
    </row>
    <row r="1276" spans="1:6" ht="75" x14ac:dyDescent="0.25">
      <c r="A1276" s="8" t="s">
        <v>125</v>
      </c>
      <c r="B1276" s="8" t="s">
        <v>161</v>
      </c>
      <c r="C1276" s="8" t="str">
        <f>IFERROR(_xlfn.XLOOKUP(TRIM(B1276),Lookup!$B$2:$B$1000,Lookup!$C$2:$C$1000),"")</f>
        <v>Equity</v>
      </c>
      <c r="D1276" s="8" t="str">
        <f>IFERROR(INDEX('nav master'!$C:$C, MATCH(B1276, 'nav master'!$B:$B, 0)), "")</f>
        <v>ULIF08421/11/25InCnsmAdFd101</v>
      </c>
      <c r="E1276" s="8" t="s">
        <v>437</v>
      </c>
      <c r="F1276" s="8" t="s">
        <v>1642</v>
      </c>
    </row>
    <row r="1277" spans="1:6" ht="75" x14ac:dyDescent="0.25">
      <c r="A1277" s="8" t="s">
        <v>125</v>
      </c>
      <c r="B1277" s="8" t="s">
        <v>161</v>
      </c>
      <c r="C1277" s="8" t="str">
        <f>IFERROR(_xlfn.XLOOKUP(TRIM(B1277),Lookup!$B$2:$B$1000,Lookup!$C$2:$C$1000),"")</f>
        <v>Equity</v>
      </c>
      <c r="D1277" s="8" t="str">
        <f>IFERROR(INDEX('nav master'!$C:$C, MATCH(B1277, 'nav master'!$B:$B, 0)), "")</f>
        <v>ULIF08421/11/25InCnsmAdFd101</v>
      </c>
      <c r="E1277" s="8" t="s">
        <v>439</v>
      </c>
      <c r="F1277" s="8" t="s">
        <v>1643</v>
      </c>
    </row>
    <row r="1278" spans="1:6" ht="75" x14ac:dyDescent="0.25">
      <c r="A1278" s="8" t="s">
        <v>125</v>
      </c>
      <c r="B1278" s="8" t="s">
        <v>161</v>
      </c>
      <c r="C1278" s="8" t="str">
        <f>IFERROR(_xlfn.XLOOKUP(TRIM(B1278),Lookup!$B$2:$B$1000,Lookup!$C$2:$C$1000),"")</f>
        <v>Equity</v>
      </c>
      <c r="D1278" s="8" t="str">
        <f>IFERROR(INDEX('nav master'!$C:$C, MATCH(B1278, 'nav master'!$B:$B, 0)), "")</f>
        <v>ULIF08421/11/25InCnsmAdFd101</v>
      </c>
      <c r="E1278" s="8" t="s">
        <v>441</v>
      </c>
      <c r="F1278" s="8" t="s">
        <v>1644</v>
      </c>
    </row>
    <row r="1279" spans="1:6" ht="75" x14ac:dyDescent="0.25">
      <c r="A1279" s="8" t="s">
        <v>125</v>
      </c>
      <c r="B1279" s="8" t="s">
        <v>161</v>
      </c>
      <c r="C1279" s="8" t="str">
        <f>IFERROR(_xlfn.XLOOKUP(TRIM(B1279),Lookup!$B$2:$B$1000,Lookup!$C$2:$C$1000),"")</f>
        <v>Equity</v>
      </c>
      <c r="D1279" s="8" t="str">
        <f>IFERROR(INDEX('nav master'!$C:$C, MATCH(B1279, 'nav master'!$B:$B, 0)), "")</f>
        <v>ULIF08421/11/25InCnsmAdFd101</v>
      </c>
      <c r="E1279" s="8" t="s">
        <v>443</v>
      </c>
      <c r="F1279" s="8" t="s">
        <v>1645</v>
      </c>
    </row>
    <row r="1280" spans="1:6" ht="75" x14ac:dyDescent="0.25">
      <c r="A1280" s="8" t="s">
        <v>125</v>
      </c>
      <c r="B1280" s="8" t="s">
        <v>161</v>
      </c>
      <c r="C1280" s="8" t="str">
        <f>IFERROR(_xlfn.XLOOKUP(TRIM(B1280),Lookup!$B$2:$B$1000,Lookup!$C$2:$C$1000),"")</f>
        <v>Equity</v>
      </c>
      <c r="D1280" s="8" t="str">
        <f>IFERROR(INDEX('nav master'!$C:$C, MATCH(B1280, 'nav master'!$B:$B, 0)), "")</f>
        <v>ULIF08421/11/25InCnsmAdFd101</v>
      </c>
      <c r="E1280" s="8" t="s">
        <v>445</v>
      </c>
      <c r="F1280" s="8" t="s">
        <v>1646</v>
      </c>
    </row>
    <row r="1281" spans="1:6" ht="75" x14ac:dyDescent="0.25">
      <c r="A1281" s="8" t="s">
        <v>125</v>
      </c>
      <c r="B1281" s="8" t="s">
        <v>161</v>
      </c>
      <c r="C1281" s="8" t="str">
        <f>IFERROR(_xlfn.XLOOKUP(TRIM(B1281),Lookup!$B$2:$B$1000,Lookup!$C$2:$C$1000),"")</f>
        <v>Equity</v>
      </c>
      <c r="D1281" s="8" t="str">
        <f>IFERROR(INDEX('nav master'!$C:$C, MATCH(B1281, 'nav master'!$B:$B, 0)), "")</f>
        <v>ULIF08421/11/25InCnsmAdFd101</v>
      </c>
      <c r="E1281" s="8" t="s">
        <v>446</v>
      </c>
      <c r="F1281" s="8" t="s">
        <v>1647</v>
      </c>
    </row>
    <row r="1282" spans="1:6" ht="75" x14ac:dyDescent="0.25">
      <c r="A1282" s="8" t="s">
        <v>125</v>
      </c>
      <c r="B1282" s="8" t="s">
        <v>161</v>
      </c>
      <c r="C1282" s="8" t="str">
        <f>IFERROR(_xlfn.XLOOKUP(TRIM(B1282),Lookup!$B$2:$B$1000,Lookup!$C$2:$C$1000),"")</f>
        <v>Equity</v>
      </c>
      <c r="D1282" s="8" t="str">
        <f>IFERROR(INDEX('nav master'!$C:$C, MATCH(B1282, 'nav master'!$B:$B, 0)), "")</f>
        <v>ULIF08421/11/25InCnsmAdFd101</v>
      </c>
      <c r="E1282" s="8" t="s">
        <v>448</v>
      </c>
      <c r="F1282" s="8" t="s">
        <v>1648</v>
      </c>
    </row>
    <row r="1283" spans="1:6" ht="75" x14ac:dyDescent="0.25">
      <c r="A1283" s="8" t="s">
        <v>125</v>
      </c>
      <c r="B1283" s="8" t="s">
        <v>161</v>
      </c>
      <c r="C1283" s="8" t="str">
        <f>IFERROR(_xlfn.XLOOKUP(TRIM(B1283),Lookup!$B$2:$B$1000,Lookup!$C$2:$C$1000),"")</f>
        <v>Equity</v>
      </c>
      <c r="D1283" s="8" t="str">
        <f>IFERROR(INDEX('nav master'!$C:$C, MATCH(B1283, 'nav master'!$B:$B, 0)), "")</f>
        <v>ULIF08421/11/25InCnsmAdFd101</v>
      </c>
      <c r="E1283" s="8" t="s">
        <v>450</v>
      </c>
      <c r="F1283" s="8" t="s">
        <v>1649</v>
      </c>
    </row>
    <row r="1284" spans="1:6" ht="75" x14ac:dyDescent="0.25">
      <c r="A1284" s="8" t="s">
        <v>125</v>
      </c>
      <c r="B1284" s="8" t="s">
        <v>161</v>
      </c>
      <c r="C1284" s="8" t="str">
        <f>IFERROR(_xlfn.XLOOKUP(TRIM(B1284),Lookup!$B$2:$B$1000,Lookup!$C$2:$C$1000),"")</f>
        <v>Equity</v>
      </c>
      <c r="D1284" s="8" t="str">
        <f>IFERROR(INDEX('nav master'!$C:$C, MATCH(B1284, 'nav master'!$B:$B, 0)), "")</f>
        <v>ULIF08421/11/25InCnsmAdFd101</v>
      </c>
      <c r="E1284" s="8" t="s">
        <v>452</v>
      </c>
      <c r="F1284" s="8" t="s">
        <v>1650</v>
      </c>
    </row>
    <row r="1285" spans="1:6" ht="75" x14ac:dyDescent="0.25">
      <c r="A1285" s="8" t="s">
        <v>125</v>
      </c>
      <c r="B1285" s="8" t="s">
        <v>161</v>
      </c>
      <c r="C1285" s="8" t="str">
        <f>IFERROR(_xlfn.XLOOKUP(TRIM(B1285),Lookup!$B$2:$B$1000,Lookup!$C$2:$C$1000),"")</f>
        <v>Equity</v>
      </c>
      <c r="D1285" s="8" t="str">
        <f>IFERROR(INDEX('nav master'!$C:$C, MATCH(B1285, 'nav master'!$B:$B, 0)), "")</f>
        <v>ULIF08421/11/25InCnsmAdFd101</v>
      </c>
      <c r="E1285" s="8" t="s">
        <v>454</v>
      </c>
      <c r="F1285" s="8" t="s">
        <v>1651</v>
      </c>
    </row>
    <row r="1286" spans="1:6" ht="75" x14ac:dyDescent="0.25">
      <c r="A1286" s="8" t="s">
        <v>125</v>
      </c>
      <c r="B1286" s="8" t="s">
        <v>161</v>
      </c>
      <c r="C1286" s="8" t="str">
        <f>IFERROR(_xlfn.XLOOKUP(TRIM(B1286),Lookup!$B$2:$B$1000,Lookup!$C$2:$C$1000),"")</f>
        <v>Equity</v>
      </c>
      <c r="D1286" s="8" t="str">
        <f>IFERROR(INDEX('nav master'!$C:$C, MATCH(B1286, 'nav master'!$B:$B, 0)), "")</f>
        <v>ULIF08421/11/25InCnsmAdFd101</v>
      </c>
      <c r="E1286" s="8" t="s">
        <v>456</v>
      </c>
      <c r="F1286" s="8" t="s">
        <v>1652</v>
      </c>
    </row>
    <row r="1287" spans="1:6" ht="75" x14ac:dyDescent="0.25">
      <c r="A1287" s="8" t="s">
        <v>125</v>
      </c>
      <c r="B1287" s="8" t="s">
        <v>161</v>
      </c>
      <c r="C1287" s="8" t="str">
        <f>IFERROR(_xlfn.XLOOKUP(TRIM(B1287),Lookup!$B$2:$B$1000,Lookup!$C$2:$C$1000),"")</f>
        <v>Equity</v>
      </c>
      <c r="D1287" s="8" t="str">
        <f>IFERROR(INDEX('nav master'!$C:$C, MATCH(B1287, 'nav master'!$B:$B, 0)), "")</f>
        <v>ULIF08421/11/25InCnsmAdFd101</v>
      </c>
      <c r="E1287" s="8" t="s">
        <v>458</v>
      </c>
      <c r="F1287" s="8" t="s">
        <v>1653</v>
      </c>
    </row>
    <row r="1288" spans="1:6" ht="75" x14ac:dyDescent="0.25">
      <c r="A1288" s="8" t="s">
        <v>125</v>
      </c>
      <c r="B1288" s="8" t="s">
        <v>161</v>
      </c>
      <c r="C1288" s="8" t="str">
        <f>IFERROR(_xlfn.XLOOKUP(TRIM(B1288),Lookup!$B$2:$B$1000,Lookup!$C$2:$C$1000),"")</f>
        <v>Equity</v>
      </c>
      <c r="D1288" s="8" t="str">
        <f>IFERROR(INDEX('nav master'!$C:$C, MATCH(B1288, 'nav master'!$B:$B, 0)), "")</f>
        <v>ULIF08421/11/25InCnsmAdFd101</v>
      </c>
      <c r="E1288" s="8" t="s">
        <v>460</v>
      </c>
      <c r="F1288" s="8" t="s">
        <v>1654</v>
      </c>
    </row>
    <row r="1289" spans="1:6" ht="75" x14ac:dyDescent="0.25">
      <c r="A1289" s="8" t="s">
        <v>125</v>
      </c>
      <c r="B1289" s="8" t="s">
        <v>161</v>
      </c>
      <c r="C1289" s="8" t="str">
        <f>IFERROR(_xlfn.XLOOKUP(TRIM(B1289),Lookup!$B$2:$B$1000,Lookup!$C$2:$C$1000),"")</f>
        <v>Equity</v>
      </c>
      <c r="D1289" s="8" t="str">
        <f>IFERROR(INDEX('nav master'!$C:$C, MATCH(B1289, 'nav master'!$B:$B, 0)), "")</f>
        <v>ULIF08421/11/25InCnsmAdFd101</v>
      </c>
      <c r="E1289" s="8" t="s">
        <v>462</v>
      </c>
      <c r="F1289" s="8" t="s">
        <v>1655</v>
      </c>
    </row>
    <row r="1290" spans="1:6" ht="75" x14ac:dyDescent="0.25">
      <c r="A1290" s="8" t="s">
        <v>125</v>
      </c>
      <c r="B1290" s="8" t="s">
        <v>161</v>
      </c>
      <c r="C1290" s="8" t="str">
        <f>IFERROR(_xlfn.XLOOKUP(TRIM(B1290),Lookup!$B$2:$B$1000,Lookup!$C$2:$C$1000),"")</f>
        <v>Equity</v>
      </c>
      <c r="D1290" s="8" t="str">
        <f>IFERROR(INDEX('nav master'!$C:$C, MATCH(B1290, 'nav master'!$B:$B, 0)), "")</f>
        <v>ULIF08421/11/25InCnsmAdFd101</v>
      </c>
      <c r="E1290" s="8" t="s">
        <v>464</v>
      </c>
      <c r="F1290" s="8" t="s">
        <v>1656</v>
      </c>
    </row>
    <row r="1291" spans="1:6" ht="75" x14ac:dyDescent="0.25">
      <c r="A1291" s="8" t="s">
        <v>125</v>
      </c>
      <c r="B1291" s="8" t="s">
        <v>161</v>
      </c>
      <c r="C1291" s="8" t="str">
        <f>IFERROR(_xlfn.XLOOKUP(TRIM(B1291),Lookup!$B$2:$B$1000,Lookup!$C$2:$C$1000),"")</f>
        <v>Equity</v>
      </c>
      <c r="D1291" s="8" t="str">
        <f>IFERROR(INDEX('nav master'!$C:$C, MATCH(B1291, 'nav master'!$B:$B, 0)), "")</f>
        <v>ULIF08421/11/25InCnsmAdFd101</v>
      </c>
      <c r="E1291" s="8" t="s">
        <v>466</v>
      </c>
      <c r="F1291" s="8" t="s">
        <v>1657</v>
      </c>
    </row>
    <row r="1292" spans="1:6" ht="75" x14ac:dyDescent="0.25">
      <c r="A1292" s="8" t="s">
        <v>125</v>
      </c>
      <c r="B1292" s="8" t="s">
        <v>161</v>
      </c>
      <c r="C1292" s="8" t="str">
        <f>IFERROR(_xlfn.XLOOKUP(TRIM(B1292),Lookup!$B$2:$B$1000,Lookup!$C$2:$C$1000),"")</f>
        <v>Equity</v>
      </c>
      <c r="D1292" s="8" t="str">
        <f>IFERROR(INDEX('nav master'!$C:$C, MATCH(B1292, 'nav master'!$B:$B, 0)), "")</f>
        <v>ULIF08421/11/25InCnsmAdFd101</v>
      </c>
      <c r="E1292" s="8" t="s">
        <v>468</v>
      </c>
      <c r="F1292" s="8" t="s">
        <v>1658</v>
      </c>
    </row>
    <row r="1293" spans="1:6" ht="75" x14ac:dyDescent="0.25">
      <c r="A1293" s="8" t="s">
        <v>125</v>
      </c>
      <c r="B1293" s="8" t="s">
        <v>161</v>
      </c>
      <c r="C1293" s="8" t="str">
        <f>IFERROR(_xlfn.XLOOKUP(TRIM(B1293),Lookup!$B$2:$B$1000,Lookup!$C$2:$C$1000),"")</f>
        <v>Equity</v>
      </c>
      <c r="D1293" s="8" t="str">
        <f>IFERROR(INDEX('nav master'!$C:$C, MATCH(B1293, 'nav master'!$B:$B, 0)), "")</f>
        <v>ULIF08421/11/25InCnsmAdFd101</v>
      </c>
      <c r="E1293" s="8" t="s">
        <v>470</v>
      </c>
      <c r="F1293" s="8" t="s">
        <v>1659</v>
      </c>
    </row>
    <row r="1294" spans="1:6" ht="75" x14ac:dyDescent="0.25">
      <c r="A1294" s="8" t="s">
        <v>125</v>
      </c>
      <c r="B1294" s="8" t="s">
        <v>161</v>
      </c>
      <c r="C1294" s="8" t="str">
        <f>IFERROR(_xlfn.XLOOKUP(TRIM(B1294),Lookup!$B$2:$B$1000,Lookup!$C$2:$C$1000),"")</f>
        <v>Equity</v>
      </c>
      <c r="D1294" s="8" t="str">
        <f>IFERROR(INDEX('nav master'!$C:$C, MATCH(B1294, 'nav master'!$B:$B, 0)), "")</f>
        <v>ULIF08421/11/25InCnsmAdFd101</v>
      </c>
      <c r="E1294" s="8" t="s">
        <v>472</v>
      </c>
      <c r="F1294" s="8" t="s">
        <v>1660</v>
      </c>
    </row>
    <row r="1295" spans="1:6" ht="75" x14ac:dyDescent="0.25">
      <c r="A1295" s="8" t="s">
        <v>125</v>
      </c>
      <c r="B1295" s="8" t="s">
        <v>161</v>
      </c>
      <c r="C1295" s="8" t="str">
        <f>IFERROR(_xlfn.XLOOKUP(TRIM(B1295),Lookup!$B$2:$B$1000,Lookup!$C$2:$C$1000),"")</f>
        <v>Equity</v>
      </c>
      <c r="D1295" s="8" t="str">
        <f>IFERROR(INDEX('nav master'!$C:$C, MATCH(B1295, 'nav master'!$B:$B, 0)), "")</f>
        <v>ULIF08421/11/25InCnsmAdFd101</v>
      </c>
      <c r="E1295" s="8" t="s">
        <v>474</v>
      </c>
      <c r="F1295" s="8" t="s">
        <v>1661</v>
      </c>
    </row>
    <row r="1296" spans="1:6" ht="75" x14ac:dyDescent="0.25">
      <c r="A1296" s="8" t="s">
        <v>125</v>
      </c>
      <c r="B1296" s="8" t="s">
        <v>161</v>
      </c>
      <c r="C1296" s="8" t="str">
        <f>IFERROR(_xlfn.XLOOKUP(TRIM(B1296),Lookup!$B$2:$B$1000,Lookup!$C$2:$C$1000),"")</f>
        <v>Equity</v>
      </c>
      <c r="D1296" s="8" t="str">
        <f>IFERROR(INDEX('nav master'!$C:$C, MATCH(B1296, 'nav master'!$B:$B, 0)), "")</f>
        <v>ULIF08421/11/25InCnsmAdFd101</v>
      </c>
      <c r="E1296" s="8" t="s">
        <v>476</v>
      </c>
      <c r="F1296" s="8" t="s">
        <v>1662</v>
      </c>
    </row>
    <row r="1297" spans="1:6" ht="75" x14ac:dyDescent="0.25">
      <c r="A1297" s="8" t="s">
        <v>125</v>
      </c>
      <c r="B1297" s="8" t="s">
        <v>161</v>
      </c>
      <c r="C1297" s="8" t="str">
        <f>IFERROR(_xlfn.XLOOKUP(TRIM(B1297),Lookup!$B$2:$B$1000,Lookup!$C$2:$C$1000),"")</f>
        <v>Equity</v>
      </c>
      <c r="D1297" s="8" t="str">
        <f>IFERROR(INDEX('nav master'!$C:$C, MATCH(B1297, 'nav master'!$B:$B, 0)), "")</f>
        <v>ULIF08421/11/25InCnsmAdFd101</v>
      </c>
      <c r="E1297" s="8" t="s">
        <v>478</v>
      </c>
      <c r="F1297" s="8" t="s">
        <v>1663</v>
      </c>
    </row>
    <row r="1298" spans="1:6" ht="75" x14ac:dyDescent="0.25">
      <c r="A1298" s="8" t="s">
        <v>125</v>
      </c>
      <c r="B1298" s="8" t="s">
        <v>161</v>
      </c>
      <c r="C1298" s="8" t="str">
        <f>IFERROR(_xlfn.XLOOKUP(TRIM(B1298),Lookup!$B$2:$B$1000,Lookup!$C$2:$C$1000),"")</f>
        <v>Equity</v>
      </c>
      <c r="D1298" s="8" t="str">
        <f>IFERROR(INDEX('nav master'!$C:$C, MATCH(B1298, 'nav master'!$B:$B, 0)), "")</f>
        <v>ULIF08421/11/25InCnsmAdFd101</v>
      </c>
      <c r="E1298" s="8" t="s">
        <v>480</v>
      </c>
      <c r="F1298" s="8" t="s">
        <v>1664</v>
      </c>
    </row>
    <row r="1299" spans="1:6" ht="75" x14ac:dyDescent="0.25">
      <c r="A1299" s="8" t="s">
        <v>125</v>
      </c>
      <c r="B1299" s="8" t="s">
        <v>161</v>
      </c>
      <c r="C1299" s="8" t="str">
        <f>IFERROR(_xlfn.XLOOKUP(TRIM(B1299),Lookup!$B$2:$B$1000,Lookup!$C$2:$C$1000),"")</f>
        <v>Equity</v>
      </c>
      <c r="D1299" s="8" t="str">
        <f>IFERROR(INDEX('nav master'!$C:$C, MATCH(B1299, 'nav master'!$B:$B, 0)), "")</f>
        <v>ULIF08421/11/25InCnsmAdFd101</v>
      </c>
      <c r="E1299" s="8" t="s">
        <v>482</v>
      </c>
      <c r="F1299" s="8" t="s">
        <v>1665</v>
      </c>
    </row>
    <row r="1300" spans="1:6" ht="75" x14ac:dyDescent="0.25">
      <c r="A1300" s="8" t="s">
        <v>125</v>
      </c>
      <c r="B1300" s="8" t="s">
        <v>161</v>
      </c>
      <c r="C1300" s="8" t="str">
        <f>IFERROR(_xlfn.XLOOKUP(TRIM(B1300),Lookup!$B$2:$B$1000,Lookup!$C$2:$C$1000),"")</f>
        <v>Equity</v>
      </c>
      <c r="D1300" s="8" t="str">
        <f>IFERROR(INDEX('nav master'!$C:$C, MATCH(B1300, 'nav master'!$B:$B, 0)), "")</f>
        <v>ULIF08421/11/25InCnsmAdFd101</v>
      </c>
      <c r="E1300" s="8" t="s">
        <v>484</v>
      </c>
      <c r="F1300" s="8" t="s">
        <v>1666</v>
      </c>
    </row>
    <row r="1301" spans="1:6" ht="75" x14ac:dyDescent="0.25">
      <c r="A1301" s="8" t="s">
        <v>125</v>
      </c>
      <c r="B1301" s="8" t="s">
        <v>161</v>
      </c>
      <c r="C1301" s="8" t="str">
        <f>IFERROR(_xlfn.XLOOKUP(TRIM(B1301),Lookup!$B$2:$B$1000,Lookup!$C$2:$C$1000),"")</f>
        <v>Equity</v>
      </c>
      <c r="D1301" s="8" t="str">
        <f>IFERROR(INDEX('nav master'!$C:$C, MATCH(B1301, 'nav master'!$B:$B, 0)), "")</f>
        <v>ULIF08421/11/25InCnsmAdFd101</v>
      </c>
      <c r="E1301" s="8" t="s">
        <v>486</v>
      </c>
      <c r="F1301" s="8" t="s">
        <v>1667</v>
      </c>
    </row>
    <row r="1302" spans="1:6" ht="75" x14ac:dyDescent="0.25">
      <c r="A1302" s="8" t="s">
        <v>125</v>
      </c>
      <c r="B1302" s="8" t="s">
        <v>161</v>
      </c>
      <c r="C1302" s="8" t="str">
        <f>IFERROR(_xlfn.XLOOKUP(TRIM(B1302),Lookup!$B$2:$B$1000,Lookup!$C$2:$C$1000),"")</f>
        <v>Equity</v>
      </c>
      <c r="D1302" s="8" t="str">
        <f>IFERROR(INDEX('nav master'!$C:$C, MATCH(B1302, 'nav master'!$B:$B, 0)), "")</f>
        <v>ULIF08421/11/25InCnsmAdFd101</v>
      </c>
      <c r="E1302" s="8" t="s">
        <v>488</v>
      </c>
      <c r="F1302" s="8" t="s">
        <v>1668</v>
      </c>
    </row>
    <row r="1303" spans="1:6" ht="75" x14ac:dyDescent="0.25">
      <c r="A1303" s="8" t="s">
        <v>125</v>
      </c>
      <c r="B1303" s="8" t="s">
        <v>161</v>
      </c>
      <c r="C1303" s="8" t="str">
        <f>IFERROR(_xlfn.XLOOKUP(TRIM(B1303),Lookup!$B$2:$B$1000,Lookup!$C$2:$C$1000),"")</f>
        <v>Equity</v>
      </c>
      <c r="D1303" s="8" t="str">
        <f>IFERROR(INDEX('nav master'!$C:$C, MATCH(B1303, 'nav master'!$B:$B, 0)), "")</f>
        <v>ULIF08421/11/25InCnsmAdFd101</v>
      </c>
      <c r="E1303" s="8" t="s">
        <v>490</v>
      </c>
      <c r="F1303" s="8" t="s">
        <v>1669</v>
      </c>
    </row>
    <row r="1304" spans="1:6" ht="75" x14ac:dyDescent="0.25">
      <c r="A1304" s="8" t="s">
        <v>125</v>
      </c>
      <c r="B1304" s="8" t="s">
        <v>161</v>
      </c>
      <c r="C1304" s="8" t="str">
        <f>IFERROR(_xlfn.XLOOKUP(TRIM(B1304),Lookup!$B$2:$B$1000,Lookup!$C$2:$C$1000),"")</f>
        <v>Equity</v>
      </c>
      <c r="D1304" s="8" t="str">
        <f>IFERROR(INDEX('nav master'!$C:$C, MATCH(B1304, 'nav master'!$B:$B, 0)), "")</f>
        <v>ULIF08421/11/25InCnsmAdFd101</v>
      </c>
      <c r="E1304" s="8" t="s">
        <v>492</v>
      </c>
      <c r="F1304" s="8" t="s">
        <v>1670</v>
      </c>
    </row>
    <row r="1305" spans="1:6" ht="75" x14ac:dyDescent="0.25">
      <c r="A1305" s="8" t="s">
        <v>125</v>
      </c>
      <c r="B1305" s="8" t="s">
        <v>161</v>
      </c>
      <c r="C1305" s="8" t="str">
        <f>IFERROR(_xlfn.XLOOKUP(TRIM(B1305),Lookup!$B$2:$B$1000,Lookup!$C$2:$C$1000),"")</f>
        <v>Equity</v>
      </c>
      <c r="D1305" s="8" t="str">
        <f>IFERROR(INDEX('nav master'!$C:$C, MATCH(B1305, 'nav master'!$B:$B, 0)), "")</f>
        <v>ULIF08421/11/25InCnsmAdFd101</v>
      </c>
      <c r="E1305" s="8" t="s">
        <v>494</v>
      </c>
      <c r="F1305" s="8" t="s">
        <v>1671</v>
      </c>
    </row>
    <row r="1306" spans="1:6" ht="75" x14ac:dyDescent="0.25">
      <c r="A1306" s="8" t="s">
        <v>125</v>
      </c>
      <c r="B1306" s="8" t="s">
        <v>161</v>
      </c>
      <c r="C1306" s="8" t="str">
        <f>IFERROR(_xlfn.XLOOKUP(TRIM(B1306),Lookup!$B$2:$B$1000,Lookup!$C$2:$C$1000),"")</f>
        <v>Equity</v>
      </c>
      <c r="D1306" s="8" t="str">
        <f>IFERROR(INDEX('nav master'!$C:$C, MATCH(B1306, 'nav master'!$B:$B, 0)), "")</f>
        <v>ULIF08421/11/25InCnsmAdFd101</v>
      </c>
      <c r="E1306" s="8" t="s">
        <v>496</v>
      </c>
      <c r="F1306" s="8" t="s">
        <v>1672</v>
      </c>
    </row>
    <row r="1307" spans="1:6" ht="75" x14ac:dyDescent="0.25">
      <c r="A1307" s="8" t="s">
        <v>125</v>
      </c>
      <c r="B1307" s="8" t="s">
        <v>161</v>
      </c>
      <c r="C1307" s="8" t="str">
        <f>IFERROR(_xlfn.XLOOKUP(TRIM(B1307),Lookup!$B$2:$B$1000,Lookup!$C$2:$C$1000),"")</f>
        <v>Equity</v>
      </c>
      <c r="D1307" s="8" t="str">
        <f>IFERROR(INDEX('nav master'!$C:$C, MATCH(B1307, 'nav master'!$B:$B, 0)), "")</f>
        <v>ULIF08421/11/25InCnsmAdFd101</v>
      </c>
      <c r="E1307" s="8" t="s">
        <v>498</v>
      </c>
      <c r="F1307" s="8" t="s">
        <v>1673</v>
      </c>
    </row>
    <row r="1308" spans="1:6" ht="75" x14ac:dyDescent="0.25">
      <c r="A1308" s="8" t="s">
        <v>125</v>
      </c>
      <c r="B1308" s="8" t="s">
        <v>161</v>
      </c>
      <c r="C1308" s="8" t="str">
        <f>IFERROR(_xlfn.XLOOKUP(TRIM(B1308),Lookup!$B$2:$B$1000,Lookup!$C$2:$C$1000),"")</f>
        <v>Equity</v>
      </c>
      <c r="D1308" s="8" t="str">
        <f>IFERROR(INDEX('nav master'!$C:$C, MATCH(B1308, 'nav master'!$B:$B, 0)), "")</f>
        <v>ULIF08421/11/25InCnsmAdFd101</v>
      </c>
      <c r="E1308" s="8" t="s">
        <v>500</v>
      </c>
      <c r="F1308" s="8" t="s">
        <v>1674</v>
      </c>
    </row>
    <row r="1309" spans="1:6" ht="75" x14ac:dyDescent="0.25">
      <c r="A1309" s="8" t="s">
        <v>125</v>
      </c>
      <c r="B1309" s="8" t="s">
        <v>161</v>
      </c>
      <c r="C1309" s="8" t="str">
        <f>IFERROR(_xlfn.XLOOKUP(TRIM(B1309),Lookup!$B$2:$B$1000,Lookup!$C$2:$C$1000),"")</f>
        <v>Equity</v>
      </c>
      <c r="D1309" s="8" t="str">
        <f>IFERROR(INDEX('nav master'!$C:$C, MATCH(B1309, 'nav master'!$B:$B, 0)), "")</f>
        <v>ULIF08421/11/25InCnsmAdFd101</v>
      </c>
      <c r="E1309" s="8" t="s">
        <v>502</v>
      </c>
      <c r="F1309" s="8" t="s">
        <v>1675</v>
      </c>
    </row>
    <row r="1310" spans="1:6" ht="75" x14ac:dyDescent="0.25">
      <c r="A1310" s="8" t="s">
        <v>125</v>
      </c>
      <c r="B1310" s="8" t="s">
        <v>161</v>
      </c>
      <c r="C1310" s="8" t="str">
        <f>IFERROR(_xlfn.XLOOKUP(TRIM(B1310),Lookup!$B$2:$B$1000,Lookup!$C$2:$C$1000),"")</f>
        <v>Equity</v>
      </c>
      <c r="D1310" s="8" t="str">
        <f>IFERROR(INDEX('nav master'!$C:$C, MATCH(B1310, 'nav master'!$B:$B, 0)), "")</f>
        <v>ULIF08421/11/25InCnsmAdFd101</v>
      </c>
      <c r="E1310" s="8" t="s">
        <v>504</v>
      </c>
      <c r="F1310" s="8" t="s">
        <v>1676</v>
      </c>
    </row>
    <row r="1311" spans="1:6" ht="75" x14ac:dyDescent="0.25">
      <c r="A1311" s="8" t="s">
        <v>125</v>
      </c>
      <c r="B1311" s="8" t="s">
        <v>161</v>
      </c>
      <c r="C1311" s="8" t="str">
        <f>IFERROR(_xlfn.XLOOKUP(TRIM(B1311),Lookup!$B$2:$B$1000,Lookup!$C$2:$C$1000),"")</f>
        <v>Equity</v>
      </c>
      <c r="D1311" s="8" t="str">
        <f>IFERROR(INDEX('nav master'!$C:$C, MATCH(B1311, 'nav master'!$B:$B, 0)), "")</f>
        <v>ULIF08421/11/25InCnsmAdFd101</v>
      </c>
      <c r="E1311" s="8" t="s">
        <v>506</v>
      </c>
      <c r="F1311" s="8" t="s">
        <v>1677</v>
      </c>
    </row>
    <row r="1312" spans="1:6" ht="75" x14ac:dyDescent="0.25">
      <c r="A1312" s="8" t="s">
        <v>125</v>
      </c>
      <c r="B1312" s="8" t="s">
        <v>161</v>
      </c>
      <c r="C1312" s="8" t="str">
        <f>IFERROR(_xlfn.XLOOKUP(TRIM(B1312),Lookup!$B$2:$B$1000,Lookup!$C$2:$C$1000),"")</f>
        <v>Equity</v>
      </c>
      <c r="D1312" s="8" t="str">
        <f>IFERROR(INDEX('nav master'!$C:$C, MATCH(B1312, 'nav master'!$B:$B, 0)), "")</f>
        <v>ULIF08421/11/25InCnsmAdFd101</v>
      </c>
      <c r="E1312" s="8" t="s">
        <v>508</v>
      </c>
      <c r="F1312" s="8" t="s">
        <v>1678</v>
      </c>
    </row>
    <row r="1313" spans="1:6" ht="75" x14ac:dyDescent="0.25">
      <c r="A1313" s="8" t="s">
        <v>125</v>
      </c>
      <c r="B1313" s="8" t="s">
        <v>161</v>
      </c>
      <c r="C1313" s="8" t="str">
        <f>IFERROR(_xlfn.XLOOKUP(TRIM(B1313),Lookup!$B$2:$B$1000,Lookup!$C$2:$C$1000),"")</f>
        <v>Equity</v>
      </c>
      <c r="D1313" s="8" t="str">
        <f>IFERROR(INDEX('nav master'!$C:$C, MATCH(B1313, 'nav master'!$B:$B, 0)), "")</f>
        <v>ULIF08421/11/25InCnsmAdFd101</v>
      </c>
      <c r="E1313" s="8" t="s">
        <v>510</v>
      </c>
      <c r="F1313" s="8" t="s">
        <v>1679</v>
      </c>
    </row>
    <row r="1314" spans="1:6" ht="75" x14ac:dyDescent="0.25">
      <c r="A1314" s="8" t="s">
        <v>125</v>
      </c>
      <c r="B1314" s="8" t="s">
        <v>161</v>
      </c>
      <c r="C1314" s="8" t="str">
        <f>IFERROR(_xlfn.XLOOKUP(TRIM(B1314),Lookup!$B$2:$B$1000,Lookup!$C$2:$C$1000),"")</f>
        <v>Equity</v>
      </c>
      <c r="D1314" s="8" t="str">
        <f>IFERROR(INDEX('nav master'!$C:$C, MATCH(B1314, 'nav master'!$B:$B, 0)), "")</f>
        <v>ULIF08421/11/25InCnsmAdFd101</v>
      </c>
      <c r="E1314" s="8" t="s">
        <v>512</v>
      </c>
      <c r="F1314" s="8" t="s">
        <v>1141</v>
      </c>
    </row>
    <row r="1315" spans="1:6" ht="75" x14ac:dyDescent="0.25">
      <c r="A1315" s="8" t="s">
        <v>125</v>
      </c>
      <c r="B1315" s="8" t="s">
        <v>161</v>
      </c>
      <c r="C1315" s="8" t="str">
        <f>IFERROR(_xlfn.XLOOKUP(TRIM(B1315),Lookup!$B$2:$B$1000,Lookup!$C$2:$C$1000),"")</f>
        <v>Equity</v>
      </c>
      <c r="D1315" s="8" t="str">
        <f>IFERROR(INDEX('nav master'!$C:$C, MATCH(B1315, 'nav master'!$B:$B, 0)), "")</f>
        <v>ULIF08421/11/25InCnsmAdFd101</v>
      </c>
      <c r="E1315" s="8" t="s">
        <v>514</v>
      </c>
      <c r="F1315" s="8" t="s">
        <v>1680</v>
      </c>
    </row>
    <row r="1316" spans="1:6" ht="75" x14ac:dyDescent="0.25">
      <c r="A1316" s="8" t="s">
        <v>125</v>
      </c>
      <c r="B1316" s="8" t="s">
        <v>161</v>
      </c>
      <c r="C1316" s="8" t="str">
        <f>IFERROR(_xlfn.XLOOKUP(TRIM(B1316),Lookup!$B$2:$B$1000,Lookup!$C$2:$C$1000),"")</f>
        <v>Equity</v>
      </c>
      <c r="D1316" s="8" t="str">
        <f>IFERROR(INDEX('nav master'!$C:$C, MATCH(B1316, 'nav master'!$B:$B, 0)), "")</f>
        <v>ULIF08421/11/25InCnsmAdFd101</v>
      </c>
      <c r="E1316" s="8" t="s">
        <v>516</v>
      </c>
      <c r="F1316" s="8" t="s">
        <v>1681</v>
      </c>
    </row>
    <row r="1317" spans="1:6" ht="75" x14ac:dyDescent="0.25">
      <c r="A1317" s="8" t="s">
        <v>125</v>
      </c>
      <c r="B1317" s="8" t="s">
        <v>161</v>
      </c>
      <c r="C1317" s="8" t="str">
        <f>IFERROR(_xlfn.XLOOKUP(TRIM(B1317),Lookup!$B$2:$B$1000,Lookup!$C$2:$C$1000),"")</f>
        <v>Equity</v>
      </c>
      <c r="D1317" s="8" t="str">
        <f>IFERROR(INDEX('nav master'!$C:$C, MATCH(B1317, 'nav master'!$B:$B, 0)), "")</f>
        <v>ULIF08421/11/25InCnsmAdFd101</v>
      </c>
      <c r="E1317" s="8" t="s">
        <v>518</v>
      </c>
      <c r="F1317" s="8" t="s">
        <v>1682</v>
      </c>
    </row>
    <row r="1318" spans="1:6" ht="75" x14ac:dyDescent="0.25">
      <c r="A1318" s="8" t="s">
        <v>125</v>
      </c>
      <c r="B1318" s="8" t="s">
        <v>161</v>
      </c>
      <c r="C1318" s="8" t="str">
        <f>IFERROR(_xlfn.XLOOKUP(TRIM(B1318),Lookup!$B$2:$B$1000,Lookup!$C$2:$C$1000),"")</f>
        <v>Equity</v>
      </c>
      <c r="D1318" s="8" t="str">
        <f>IFERROR(INDEX('nav master'!$C:$C, MATCH(B1318, 'nav master'!$B:$B, 0)), "")</f>
        <v>ULIF08421/11/25InCnsmAdFd101</v>
      </c>
      <c r="E1318" s="8" t="s">
        <v>520</v>
      </c>
      <c r="F1318" s="8" t="s">
        <v>1683</v>
      </c>
    </row>
    <row r="1319" spans="1:6" ht="75" x14ac:dyDescent="0.25">
      <c r="A1319" s="8" t="s">
        <v>125</v>
      </c>
      <c r="B1319" s="8" t="s">
        <v>161</v>
      </c>
      <c r="C1319" s="8" t="str">
        <f>IFERROR(_xlfn.XLOOKUP(TRIM(B1319),Lookup!$B$2:$B$1000,Lookup!$C$2:$C$1000),"")</f>
        <v>Equity</v>
      </c>
      <c r="D1319" s="8" t="str">
        <f>IFERROR(INDEX('nav master'!$C:$C, MATCH(B1319, 'nav master'!$B:$B, 0)), "")</f>
        <v>ULIF08421/11/25InCnsmAdFd101</v>
      </c>
      <c r="E1319" s="8" t="s">
        <v>522</v>
      </c>
      <c r="F1319" s="8" t="s">
        <v>1684</v>
      </c>
    </row>
    <row r="1320" spans="1:6" ht="75" x14ac:dyDescent="0.25">
      <c r="A1320" s="8" t="s">
        <v>125</v>
      </c>
      <c r="B1320" s="8" t="s">
        <v>161</v>
      </c>
      <c r="C1320" s="8" t="str">
        <f>IFERROR(_xlfn.XLOOKUP(TRIM(B1320),Lookup!$B$2:$B$1000,Lookup!$C$2:$C$1000),"")</f>
        <v>Equity</v>
      </c>
      <c r="D1320" s="8" t="str">
        <f>IFERROR(INDEX('nav master'!$C:$C, MATCH(B1320, 'nav master'!$B:$B, 0)), "")</f>
        <v>ULIF08421/11/25InCnsmAdFd101</v>
      </c>
      <c r="E1320" s="8" t="s">
        <v>524</v>
      </c>
      <c r="F1320" s="8" t="s">
        <v>1685</v>
      </c>
    </row>
    <row r="1321" spans="1:6" ht="75" x14ac:dyDescent="0.25">
      <c r="A1321" s="8" t="s">
        <v>125</v>
      </c>
      <c r="B1321" s="8" t="s">
        <v>161</v>
      </c>
      <c r="C1321" s="8" t="str">
        <f>IFERROR(_xlfn.XLOOKUP(TRIM(B1321),Lookup!$B$2:$B$1000,Lookup!$C$2:$C$1000),"")</f>
        <v>Equity</v>
      </c>
      <c r="D1321" s="8" t="str">
        <f>IFERROR(INDEX('nav master'!$C:$C, MATCH(B1321, 'nav master'!$B:$B, 0)), "")</f>
        <v>ULIF08421/11/25InCnsmAdFd101</v>
      </c>
      <c r="E1321" s="8" t="s">
        <v>526</v>
      </c>
      <c r="F1321" s="8" t="s">
        <v>1686</v>
      </c>
    </row>
    <row r="1322" spans="1:6" ht="75" x14ac:dyDescent="0.25">
      <c r="A1322" s="8" t="s">
        <v>125</v>
      </c>
      <c r="B1322" s="8" t="s">
        <v>161</v>
      </c>
      <c r="C1322" s="8" t="str">
        <f>IFERROR(_xlfn.XLOOKUP(TRIM(B1322),Lookup!$B$2:$B$1000,Lookup!$C$2:$C$1000),"")</f>
        <v>Equity</v>
      </c>
      <c r="D1322" s="8" t="str">
        <f>IFERROR(INDEX('nav master'!$C:$C, MATCH(B1322, 'nav master'!$B:$B, 0)), "")</f>
        <v>ULIF08421/11/25InCnsmAdFd101</v>
      </c>
      <c r="E1322" s="8" t="s">
        <v>528</v>
      </c>
      <c r="F1322" s="8" t="s">
        <v>1687</v>
      </c>
    </row>
    <row r="1323" spans="1:6" ht="75" x14ac:dyDescent="0.25">
      <c r="A1323" s="8" t="s">
        <v>125</v>
      </c>
      <c r="B1323" s="8" t="s">
        <v>161</v>
      </c>
      <c r="C1323" s="8" t="str">
        <f>IFERROR(_xlfn.XLOOKUP(TRIM(B1323),Lookup!$B$2:$B$1000,Lookup!$C$2:$C$1000),"")</f>
        <v>Equity</v>
      </c>
      <c r="D1323" s="8" t="str">
        <f>IFERROR(INDEX('nav master'!$C:$C, MATCH(B1323, 'nav master'!$B:$B, 0)), "")</f>
        <v>ULIF08421/11/25InCnsmAdFd101</v>
      </c>
      <c r="E1323" s="8" t="s">
        <v>530</v>
      </c>
      <c r="F1323" s="8" t="s">
        <v>1688</v>
      </c>
    </row>
    <row r="1324" spans="1:6" ht="75" x14ac:dyDescent="0.25">
      <c r="A1324" s="8" t="s">
        <v>125</v>
      </c>
      <c r="B1324" s="8" t="s">
        <v>161</v>
      </c>
      <c r="C1324" s="8" t="str">
        <f>IFERROR(_xlfn.XLOOKUP(TRIM(B1324),Lookup!$B$2:$B$1000,Lookup!$C$2:$C$1000),"")</f>
        <v>Equity</v>
      </c>
      <c r="D1324" s="8" t="str">
        <f>IFERROR(INDEX('nav master'!$C:$C, MATCH(B1324, 'nav master'!$B:$B, 0)), "")</f>
        <v>ULIF08421/11/25InCnsmAdFd101</v>
      </c>
      <c r="E1324" s="8" t="s">
        <v>532</v>
      </c>
      <c r="F1324" s="8" t="s">
        <v>1689</v>
      </c>
    </row>
    <row r="1325" spans="1:6" ht="75" x14ac:dyDescent="0.25">
      <c r="A1325" s="8" t="s">
        <v>125</v>
      </c>
      <c r="B1325" s="8" t="s">
        <v>161</v>
      </c>
      <c r="C1325" s="8" t="str">
        <f>IFERROR(_xlfn.XLOOKUP(TRIM(B1325),Lookup!$B$2:$B$1000,Lookup!$C$2:$C$1000),"")</f>
        <v>Equity</v>
      </c>
      <c r="D1325" s="8" t="str">
        <f>IFERROR(INDEX('nav master'!$C:$C, MATCH(B1325, 'nav master'!$B:$B, 0)), "")</f>
        <v>ULIF08421/11/25InCnsmAdFd101</v>
      </c>
      <c r="E1325" s="8" t="s">
        <v>534</v>
      </c>
      <c r="F1325" s="8" t="s">
        <v>1690</v>
      </c>
    </row>
    <row r="1326" spans="1:6" ht="75" x14ac:dyDescent="0.25">
      <c r="A1326" s="8" t="s">
        <v>125</v>
      </c>
      <c r="B1326" s="8" t="s">
        <v>161</v>
      </c>
      <c r="C1326" s="8" t="str">
        <f>IFERROR(_xlfn.XLOOKUP(TRIM(B1326),Lookup!$B$2:$B$1000,Lookup!$C$2:$C$1000),"")</f>
        <v>Equity</v>
      </c>
      <c r="D1326" s="8" t="str">
        <f>IFERROR(INDEX('nav master'!$C:$C, MATCH(B1326, 'nav master'!$B:$B, 0)), "")</f>
        <v>ULIF08421/11/25InCnsmAdFd101</v>
      </c>
      <c r="E1326" s="8" t="s">
        <v>536</v>
      </c>
      <c r="F1326" s="8" t="s">
        <v>1691</v>
      </c>
    </row>
    <row r="1327" spans="1:6" ht="75" x14ac:dyDescent="0.25">
      <c r="A1327" s="8" t="s">
        <v>125</v>
      </c>
      <c r="B1327" s="8" t="s">
        <v>161</v>
      </c>
      <c r="C1327" s="8" t="str">
        <f>IFERROR(_xlfn.XLOOKUP(TRIM(B1327),Lookup!$B$2:$B$1000,Lookup!$C$2:$C$1000),"")</f>
        <v>Equity</v>
      </c>
      <c r="D1327" s="8" t="str">
        <f>IFERROR(INDEX('nav master'!$C:$C, MATCH(B1327, 'nav master'!$B:$B, 0)), "")</f>
        <v>ULIF08421/11/25InCnsmAdFd101</v>
      </c>
      <c r="E1327" s="8" t="s">
        <v>538</v>
      </c>
      <c r="F1327" s="8" t="s">
        <v>1692</v>
      </c>
    </row>
    <row r="1328" spans="1:6" ht="75" x14ac:dyDescent="0.25">
      <c r="A1328" s="8" t="s">
        <v>125</v>
      </c>
      <c r="B1328" s="8" t="s">
        <v>161</v>
      </c>
      <c r="C1328" s="8" t="str">
        <f>IFERROR(_xlfn.XLOOKUP(TRIM(B1328),Lookup!$B$2:$B$1000,Lookup!$C$2:$C$1000),"")</f>
        <v>Equity</v>
      </c>
      <c r="D1328" s="8" t="str">
        <f>IFERROR(INDEX('nav master'!$C:$C, MATCH(B1328, 'nav master'!$B:$B, 0)), "")</f>
        <v>ULIF08421/11/25InCnsmAdFd101</v>
      </c>
      <c r="E1328" s="8" t="s">
        <v>540</v>
      </c>
      <c r="F1328" s="8" t="s">
        <v>1693</v>
      </c>
    </row>
    <row r="1329" spans="1:6" ht="75" x14ac:dyDescent="0.25">
      <c r="A1329" s="8" t="s">
        <v>125</v>
      </c>
      <c r="B1329" s="8" t="s">
        <v>161</v>
      </c>
      <c r="C1329" s="8" t="str">
        <f>IFERROR(_xlfn.XLOOKUP(TRIM(B1329),Lookup!$B$2:$B$1000,Lookup!$C$2:$C$1000),"")</f>
        <v>Equity</v>
      </c>
      <c r="D1329" s="8" t="str">
        <f>IFERROR(INDEX('nav master'!$C:$C, MATCH(B1329, 'nav master'!$B:$B, 0)), "")</f>
        <v>ULIF08421/11/25InCnsmAdFd101</v>
      </c>
      <c r="E1329" s="8" t="s">
        <v>542</v>
      </c>
      <c r="F1329" s="8" t="s">
        <v>1694</v>
      </c>
    </row>
    <row r="1330" spans="1:6" ht="75" x14ac:dyDescent="0.25">
      <c r="A1330" s="8" t="s">
        <v>125</v>
      </c>
      <c r="B1330" s="8" t="s">
        <v>161</v>
      </c>
      <c r="C1330" s="8" t="str">
        <f>IFERROR(_xlfn.XLOOKUP(TRIM(B1330),Lookup!$B$2:$B$1000,Lookup!$C$2:$C$1000),"")</f>
        <v>Equity</v>
      </c>
      <c r="D1330" s="8" t="str">
        <f>IFERROR(INDEX('nav master'!$C:$C, MATCH(B1330, 'nav master'!$B:$B, 0)), "")</f>
        <v>ULIF08421/11/25InCnsmAdFd101</v>
      </c>
      <c r="E1330" s="8" t="s">
        <v>544</v>
      </c>
      <c r="F1330" s="8" t="s">
        <v>1695</v>
      </c>
    </row>
    <row r="1331" spans="1:6" ht="75" x14ac:dyDescent="0.25">
      <c r="A1331" s="8" t="s">
        <v>125</v>
      </c>
      <c r="B1331" s="8" t="s">
        <v>161</v>
      </c>
      <c r="C1331" s="8" t="str">
        <f>IFERROR(_xlfn.XLOOKUP(TRIM(B1331),Lookup!$B$2:$B$1000,Lookup!$C$2:$C$1000),"")</f>
        <v>Equity</v>
      </c>
      <c r="D1331" s="8" t="str">
        <f>IFERROR(INDEX('nav master'!$C:$C, MATCH(B1331, 'nav master'!$B:$B, 0)), "")</f>
        <v>ULIF08421/11/25InCnsmAdFd101</v>
      </c>
      <c r="E1331" s="8" t="s">
        <v>546</v>
      </c>
      <c r="F1331" s="8" t="s">
        <v>1696</v>
      </c>
    </row>
    <row r="1332" spans="1:6" ht="75" x14ac:dyDescent="0.25">
      <c r="A1332" s="8" t="s">
        <v>125</v>
      </c>
      <c r="B1332" s="8" t="s">
        <v>161</v>
      </c>
      <c r="C1332" s="8" t="str">
        <f>IFERROR(_xlfn.XLOOKUP(TRIM(B1332),Lookup!$B$2:$B$1000,Lookup!$C$2:$C$1000),"")</f>
        <v>Equity</v>
      </c>
      <c r="D1332" s="8" t="str">
        <f>IFERROR(INDEX('nav master'!$C:$C, MATCH(B1332, 'nav master'!$B:$B, 0)), "")</f>
        <v>ULIF08421/11/25InCnsmAdFd101</v>
      </c>
      <c r="E1332" s="8" t="s">
        <v>548</v>
      </c>
      <c r="F1332" s="8" t="s">
        <v>1697</v>
      </c>
    </row>
    <row r="1333" spans="1:6" ht="75" x14ac:dyDescent="0.25">
      <c r="A1333" s="8" t="s">
        <v>125</v>
      </c>
      <c r="B1333" s="8" t="s">
        <v>161</v>
      </c>
      <c r="C1333" s="8" t="str">
        <f>IFERROR(_xlfn.XLOOKUP(TRIM(B1333),Lookup!$B$2:$B$1000,Lookup!$C$2:$C$1000),"")</f>
        <v>Equity</v>
      </c>
      <c r="D1333" s="8" t="str">
        <f>IFERROR(INDEX('nav master'!$C:$C, MATCH(B1333, 'nav master'!$B:$B, 0)), "")</f>
        <v>ULIF08421/11/25InCnsmAdFd101</v>
      </c>
      <c r="E1333" s="8" t="s">
        <v>550</v>
      </c>
      <c r="F1333" s="8" t="s">
        <v>1698</v>
      </c>
    </row>
    <row r="1334" spans="1:6" ht="75" x14ac:dyDescent="0.25">
      <c r="A1334" s="8" t="s">
        <v>125</v>
      </c>
      <c r="B1334" s="8" t="s">
        <v>161</v>
      </c>
      <c r="C1334" s="8" t="str">
        <f>IFERROR(_xlfn.XLOOKUP(TRIM(B1334),Lookup!$B$2:$B$1000,Lookup!$C$2:$C$1000),"")</f>
        <v>Equity</v>
      </c>
      <c r="D1334" s="8" t="str">
        <f>IFERROR(INDEX('nav master'!$C:$C, MATCH(B1334, 'nav master'!$B:$B, 0)), "")</f>
        <v>ULIF08421/11/25InCnsmAdFd101</v>
      </c>
      <c r="E1334" s="8" t="s">
        <v>552</v>
      </c>
      <c r="F1334" s="8" t="s">
        <v>1699</v>
      </c>
    </row>
    <row r="1335" spans="1:6" ht="75" x14ac:dyDescent="0.25">
      <c r="A1335" s="8" t="s">
        <v>125</v>
      </c>
      <c r="B1335" s="8" t="s">
        <v>161</v>
      </c>
      <c r="C1335" s="8" t="str">
        <f>IFERROR(_xlfn.XLOOKUP(TRIM(B1335),Lookup!$B$2:$B$1000,Lookup!$C$2:$C$1000),"")</f>
        <v>Equity</v>
      </c>
      <c r="D1335" s="8" t="str">
        <f>IFERROR(INDEX('nav master'!$C:$C, MATCH(B1335, 'nav master'!$B:$B, 0)), "")</f>
        <v>ULIF08421/11/25InCnsmAdFd101</v>
      </c>
      <c r="E1335" s="8" t="s">
        <v>554</v>
      </c>
      <c r="F1335" s="8" t="s">
        <v>1700</v>
      </c>
    </row>
    <row r="1336" spans="1:6" ht="75" x14ac:dyDescent="0.25">
      <c r="A1336" s="8" t="s">
        <v>125</v>
      </c>
      <c r="B1336" s="8" t="s">
        <v>161</v>
      </c>
      <c r="C1336" s="8" t="str">
        <f>IFERROR(_xlfn.XLOOKUP(TRIM(B1336),Lookup!$B$2:$B$1000,Lookup!$C$2:$C$1000),"")</f>
        <v>Equity</v>
      </c>
      <c r="D1336" s="8" t="str">
        <f>IFERROR(INDEX('nav master'!$C:$C, MATCH(B1336, 'nav master'!$B:$B, 0)), "")</f>
        <v>ULIF08421/11/25InCnsmAdFd101</v>
      </c>
      <c r="E1336" s="8" t="s">
        <v>556</v>
      </c>
      <c r="F1336" s="8" t="s">
        <v>1701</v>
      </c>
    </row>
    <row r="1337" spans="1:6" ht="75" x14ac:dyDescent="0.25">
      <c r="A1337" s="8" t="s">
        <v>125</v>
      </c>
      <c r="B1337" s="8" t="s">
        <v>161</v>
      </c>
      <c r="C1337" s="8" t="str">
        <f>IFERROR(_xlfn.XLOOKUP(TRIM(B1337),Lookup!$B$2:$B$1000,Lookup!$C$2:$C$1000),"")</f>
        <v>Equity</v>
      </c>
      <c r="D1337" s="8" t="str">
        <f>IFERROR(INDEX('nav master'!$C:$C, MATCH(B1337, 'nav master'!$B:$B, 0)), "")</f>
        <v>ULIF08421/11/25InCnsmAdFd101</v>
      </c>
      <c r="E1337" s="8" t="s">
        <v>558</v>
      </c>
      <c r="F1337" s="8" t="s">
        <v>1702</v>
      </c>
    </row>
    <row r="1338" spans="1:6" ht="75" x14ac:dyDescent="0.25">
      <c r="A1338" s="8" t="s">
        <v>125</v>
      </c>
      <c r="B1338" s="8" t="s">
        <v>161</v>
      </c>
      <c r="C1338" s="8" t="str">
        <f>IFERROR(_xlfn.XLOOKUP(TRIM(B1338),Lookup!$B$2:$B$1000,Lookup!$C$2:$C$1000),"")</f>
        <v>Equity</v>
      </c>
      <c r="D1338" s="8" t="str">
        <f>IFERROR(INDEX('nav master'!$C:$C, MATCH(B1338, 'nav master'!$B:$B, 0)), "")</f>
        <v>ULIF08421/11/25InCnsmAdFd101</v>
      </c>
      <c r="E1338" s="8" t="s">
        <v>560</v>
      </c>
      <c r="F1338" s="8" t="s">
        <v>1703</v>
      </c>
    </row>
    <row r="1339" spans="1:6" ht="75" x14ac:dyDescent="0.25">
      <c r="A1339" s="8" t="s">
        <v>125</v>
      </c>
      <c r="B1339" s="8" t="s">
        <v>161</v>
      </c>
      <c r="C1339" s="8" t="str">
        <f>IFERROR(_xlfn.XLOOKUP(TRIM(B1339),Lookup!$B$2:$B$1000,Lookup!$C$2:$C$1000),"")</f>
        <v>Equity</v>
      </c>
      <c r="D1339" s="8" t="str">
        <f>IFERROR(INDEX('nav master'!$C:$C, MATCH(B1339, 'nav master'!$B:$B, 0)), "")</f>
        <v>ULIF08421/11/25InCnsmAdFd101</v>
      </c>
      <c r="E1339" s="8" t="s">
        <v>562</v>
      </c>
      <c r="F1339" s="8" t="s">
        <v>1704</v>
      </c>
    </row>
    <row r="1340" spans="1:6" ht="75" x14ac:dyDescent="0.25">
      <c r="A1340" s="8" t="s">
        <v>125</v>
      </c>
      <c r="B1340" s="8" t="s">
        <v>161</v>
      </c>
      <c r="C1340" s="8" t="str">
        <f>IFERROR(_xlfn.XLOOKUP(TRIM(B1340),Lookup!$B$2:$B$1000,Lookup!$C$2:$C$1000),"")</f>
        <v>Equity</v>
      </c>
      <c r="D1340" s="8" t="str">
        <f>IFERROR(INDEX('nav master'!$C:$C, MATCH(B1340, 'nav master'!$B:$B, 0)), "")</f>
        <v>ULIF08421/11/25InCnsmAdFd101</v>
      </c>
      <c r="E1340" s="8" t="s">
        <v>564</v>
      </c>
      <c r="F1340" s="8" t="s">
        <v>1705</v>
      </c>
    </row>
    <row r="1341" spans="1:6" ht="75" x14ac:dyDescent="0.25">
      <c r="A1341" s="8" t="s">
        <v>125</v>
      </c>
      <c r="B1341" s="8" t="s">
        <v>161</v>
      </c>
      <c r="C1341" s="8" t="str">
        <f>IFERROR(_xlfn.XLOOKUP(TRIM(B1341),Lookup!$B$2:$B$1000,Lookup!$C$2:$C$1000),"")</f>
        <v>Equity</v>
      </c>
      <c r="D1341" s="8" t="str">
        <f>IFERROR(INDEX('nav master'!$C:$C, MATCH(B1341, 'nav master'!$B:$B, 0)), "")</f>
        <v>ULIF08421/11/25InCnsmAdFd101</v>
      </c>
      <c r="E1341" s="8" t="s">
        <v>566</v>
      </c>
      <c r="F1341" s="8" t="s">
        <v>1706</v>
      </c>
    </row>
    <row r="1342" spans="1:6" ht="75" x14ac:dyDescent="0.25">
      <c r="A1342" s="8" t="s">
        <v>125</v>
      </c>
      <c r="B1342" s="8" t="s">
        <v>161</v>
      </c>
      <c r="C1342" s="8" t="str">
        <f>IFERROR(_xlfn.XLOOKUP(TRIM(B1342),Lookup!$B$2:$B$1000,Lookup!$C$2:$C$1000),"")</f>
        <v>Equity</v>
      </c>
      <c r="D1342" s="8" t="str">
        <f>IFERROR(INDEX('nav master'!$C:$C, MATCH(B1342, 'nav master'!$B:$B, 0)), "")</f>
        <v>ULIF08421/11/25InCnsmAdFd101</v>
      </c>
      <c r="E1342" s="8" t="s">
        <v>568</v>
      </c>
      <c r="F1342" s="8" t="s">
        <v>1707</v>
      </c>
    </row>
    <row r="1343" spans="1:6" ht="75" x14ac:dyDescent="0.25">
      <c r="A1343" s="8" t="s">
        <v>125</v>
      </c>
      <c r="B1343" s="8" t="s">
        <v>161</v>
      </c>
      <c r="C1343" s="8" t="str">
        <f>IFERROR(_xlfn.XLOOKUP(TRIM(B1343),Lookup!$B$2:$B$1000,Lookup!$C$2:$C$1000),"")</f>
        <v>Equity</v>
      </c>
      <c r="D1343" s="8" t="str">
        <f>IFERROR(INDEX('nav master'!$C:$C, MATCH(B1343, 'nav master'!$B:$B, 0)), "")</f>
        <v>ULIF08421/11/25InCnsmAdFd101</v>
      </c>
      <c r="E1343" s="8" t="s">
        <v>570</v>
      </c>
      <c r="F1343" s="8" t="s">
        <v>1708</v>
      </c>
    </row>
    <row r="1344" spans="1:6" ht="75" x14ac:dyDescent="0.25">
      <c r="A1344" s="8" t="s">
        <v>125</v>
      </c>
      <c r="B1344" s="8" t="s">
        <v>161</v>
      </c>
      <c r="C1344" s="8" t="str">
        <f>IFERROR(_xlfn.XLOOKUP(TRIM(B1344),Lookup!$B$2:$B$1000,Lookup!$C$2:$C$1000),"")</f>
        <v>Equity</v>
      </c>
      <c r="D1344" s="8" t="str">
        <f>IFERROR(INDEX('nav master'!$C:$C, MATCH(B1344, 'nav master'!$B:$B, 0)), "")</f>
        <v>ULIF08421/11/25InCnsmAdFd101</v>
      </c>
      <c r="E1344" s="8" t="s">
        <v>572</v>
      </c>
      <c r="F1344" s="8" t="s">
        <v>1709</v>
      </c>
    </row>
    <row r="1345" spans="1:6" ht="75" x14ac:dyDescent="0.25">
      <c r="A1345" s="8" t="s">
        <v>125</v>
      </c>
      <c r="B1345" s="8" t="s">
        <v>161</v>
      </c>
      <c r="C1345" s="8" t="str">
        <f>IFERROR(_xlfn.XLOOKUP(TRIM(B1345),Lookup!$B$2:$B$1000,Lookup!$C$2:$C$1000),"")</f>
        <v>Equity</v>
      </c>
      <c r="D1345" s="8" t="str">
        <f>IFERROR(INDEX('nav master'!$C:$C, MATCH(B1345, 'nav master'!$B:$B, 0)), "")</f>
        <v>ULIF08421/11/25InCnsmAdFd101</v>
      </c>
      <c r="E1345" s="8" t="s">
        <v>574</v>
      </c>
      <c r="F1345" s="8" t="s">
        <v>1710</v>
      </c>
    </row>
    <row r="1346" spans="1:6" ht="75" x14ac:dyDescent="0.25">
      <c r="A1346" s="8" t="s">
        <v>125</v>
      </c>
      <c r="B1346" s="8" t="s">
        <v>161</v>
      </c>
      <c r="C1346" s="8" t="str">
        <f>IFERROR(_xlfn.XLOOKUP(TRIM(B1346),Lookup!$B$2:$B$1000,Lookup!$C$2:$C$1000),"")</f>
        <v>Equity</v>
      </c>
      <c r="D1346" s="8" t="str">
        <f>IFERROR(INDEX('nav master'!$C:$C, MATCH(B1346, 'nav master'!$B:$B, 0)), "")</f>
        <v>ULIF08421/11/25InCnsmAdFd101</v>
      </c>
      <c r="E1346" s="8" t="s">
        <v>576</v>
      </c>
      <c r="F1346" s="8" t="s">
        <v>1711</v>
      </c>
    </row>
    <row r="1347" spans="1:6" ht="75" x14ac:dyDescent="0.25">
      <c r="A1347" s="8" t="s">
        <v>125</v>
      </c>
      <c r="B1347" s="8" t="s">
        <v>161</v>
      </c>
      <c r="C1347" s="8" t="str">
        <f>IFERROR(_xlfn.XLOOKUP(TRIM(B1347),Lookup!$B$2:$B$1000,Lookup!$C$2:$C$1000),"")</f>
        <v>Equity</v>
      </c>
      <c r="D1347" s="8" t="str">
        <f>IFERROR(INDEX('nav master'!$C:$C, MATCH(B1347, 'nav master'!$B:$B, 0)), "")</f>
        <v>ULIF08421/11/25InCnsmAdFd101</v>
      </c>
      <c r="E1347" s="8" t="s">
        <v>578</v>
      </c>
      <c r="F1347" s="8" t="s">
        <v>1712</v>
      </c>
    </row>
    <row r="1348" spans="1:6" ht="75" x14ac:dyDescent="0.25">
      <c r="A1348" s="8" t="s">
        <v>125</v>
      </c>
      <c r="B1348" s="8" t="s">
        <v>161</v>
      </c>
      <c r="C1348" s="8" t="str">
        <f>IFERROR(_xlfn.XLOOKUP(TRIM(B1348),Lookup!$B$2:$B$1000,Lookup!$C$2:$C$1000),"")</f>
        <v>Equity</v>
      </c>
      <c r="D1348" s="8" t="str">
        <f>IFERROR(INDEX('nav master'!$C:$C, MATCH(B1348, 'nav master'!$B:$B, 0)), "")</f>
        <v>ULIF08421/11/25InCnsmAdFd101</v>
      </c>
      <c r="E1348" s="8" t="s">
        <v>580</v>
      </c>
      <c r="F1348" s="8" t="s">
        <v>1713</v>
      </c>
    </row>
    <row r="1349" spans="1:6" ht="75" x14ac:dyDescent="0.25">
      <c r="A1349" s="8" t="s">
        <v>125</v>
      </c>
      <c r="B1349" s="8" t="s">
        <v>161</v>
      </c>
      <c r="C1349" s="8" t="str">
        <f>IFERROR(_xlfn.XLOOKUP(TRIM(B1349),Lookup!$B$2:$B$1000,Lookup!$C$2:$C$1000),"")</f>
        <v>Equity</v>
      </c>
      <c r="D1349" s="8" t="str">
        <f>IFERROR(INDEX('nav master'!$C:$C, MATCH(B1349, 'nav master'!$B:$B, 0)), "")</f>
        <v>ULIF08421/11/25InCnsmAdFd101</v>
      </c>
      <c r="E1349" s="8" t="s">
        <v>582</v>
      </c>
      <c r="F1349" s="8" t="s">
        <v>1714</v>
      </c>
    </row>
    <row r="1350" spans="1:6" ht="75" x14ac:dyDescent="0.25">
      <c r="A1350" s="8" t="s">
        <v>125</v>
      </c>
      <c r="B1350" s="8" t="s">
        <v>161</v>
      </c>
      <c r="C1350" s="8" t="str">
        <f>IFERROR(_xlfn.XLOOKUP(TRIM(B1350),Lookup!$B$2:$B$1000,Lookup!$C$2:$C$1000),"")</f>
        <v>Equity</v>
      </c>
      <c r="D1350" s="8" t="str">
        <f>IFERROR(INDEX('nav master'!$C:$C, MATCH(B1350, 'nav master'!$B:$B, 0)), "")</f>
        <v>ULIF08421/11/25InCnsmAdFd101</v>
      </c>
      <c r="E1350" s="8" t="s">
        <v>584</v>
      </c>
      <c r="F1350" s="8" t="s">
        <v>1715</v>
      </c>
    </row>
    <row r="1351" spans="1:6" ht="75" x14ac:dyDescent="0.25">
      <c r="A1351" s="8" t="s">
        <v>125</v>
      </c>
      <c r="B1351" s="8" t="s">
        <v>161</v>
      </c>
      <c r="C1351" s="8" t="str">
        <f>IFERROR(_xlfn.XLOOKUP(TRIM(B1351),Lookup!$B$2:$B$1000,Lookup!$C$2:$C$1000),"")</f>
        <v>Equity</v>
      </c>
      <c r="D1351" s="8" t="str">
        <f>IFERROR(INDEX('nav master'!$C:$C, MATCH(B1351, 'nav master'!$B:$B, 0)), "")</f>
        <v>ULIF08421/11/25InCnsmAdFd101</v>
      </c>
      <c r="E1351" s="8" t="s">
        <v>586</v>
      </c>
      <c r="F1351" s="8" t="s">
        <v>1716</v>
      </c>
    </row>
    <row r="1352" spans="1:6" ht="75" x14ac:dyDescent="0.25">
      <c r="A1352" s="8" t="s">
        <v>125</v>
      </c>
      <c r="B1352" s="8" t="s">
        <v>161</v>
      </c>
      <c r="C1352" s="8" t="str">
        <f>IFERROR(_xlfn.XLOOKUP(TRIM(B1352),Lookup!$B$2:$B$1000,Lookup!$C$2:$C$1000),"")</f>
        <v>Equity</v>
      </c>
      <c r="D1352" s="8" t="str">
        <f>IFERROR(INDEX('nav master'!$C:$C, MATCH(B1352, 'nav master'!$B:$B, 0)), "")</f>
        <v>ULIF08421/11/25InCnsmAdFd101</v>
      </c>
      <c r="E1352" s="8" t="s">
        <v>588</v>
      </c>
      <c r="F1352" s="8" t="s">
        <v>1717</v>
      </c>
    </row>
    <row r="1353" spans="1:6" ht="75" x14ac:dyDescent="0.25">
      <c r="A1353" s="8" t="s">
        <v>125</v>
      </c>
      <c r="B1353" s="8" t="s">
        <v>161</v>
      </c>
      <c r="C1353" s="8" t="str">
        <f>IFERROR(_xlfn.XLOOKUP(TRIM(B1353),Lookup!$B$2:$B$1000,Lookup!$C$2:$C$1000),"")</f>
        <v>Equity</v>
      </c>
      <c r="D1353" s="8" t="str">
        <f>IFERROR(INDEX('nav master'!$C:$C, MATCH(B1353, 'nav master'!$B:$B, 0)), "")</f>
        <v>ULIF08421/11/25InCnsmAdFd101</v>
      </c>
      <c r="E1353" s="8" t="s">
        <v>590</v>
      </c>
      <c r="F1353" s="8" t="s">
        <v>1718</v>
      </c>
    </row>
    <row r="1354" spans="1:6" ht="75" x14ac:dyDescent="0.25">
      <c r="A1354" s="8" t="s">
        <v>125</v>
      </c>
      <c r="B1354" s="8" t="s">
        <v>161</v>
      </c>
      <c r="C1354" s="8" t="str">
        <f>IFERROR(_xlfn.XLOOKUP(TRIM(B1354),Lookup!$B$2:$B$1000,Lookup!$C$2:$C$1000),"")</f>
        <v>Equity</v>
      </c>
      <c r="D1354" s="8" t="str">
        <f>IFERROR(INDEX('nav master'!$C:$C, MATCH(B1354, 'nav master'!$B:$B, 0)), "")</f>
        <v>ULIF08421/11/25InCnsmAdFd101</v>
      </c>
      <c r="E1354" s="8" t="s">
        <v>592</v>
      </c>
      <c r="F1354" s="8" t="s">
        <v>1719</v>
      </c>
    </row>
    <row r="1355" spans="1:6" ht="75" x14ac:dyDescent="0.25">
      <c r="A1355" s="8" t="s">
        <v>125</v>
      </c>
      <c r="B1355" s="8" t="s">
        <v>161</v>
      </c>
      <c r="C1355" s="8" t="str">
        <f>IFERROR(_xlfn.XLOOKUP(TRIM(B1355),Lookup!$B$2:$B$1000,Lookup!$C$2:$C$1000),"")</f>
        <v>Equity</v>
      </c>
      <c r="D1355" s="8" t="str">
        <f>IFERROR(INDEX('nav master'!$C:$C, MATCH(B1355, 'nav master'!$B:$B, 0)), "")</f>
        <v>ULIF08421/11/25InCnsmAdFd101</v>
      </c>
      <c r="E1355" s="8" t="s">
        <v>594</v>
      </c>
      <c r="F1355" s="8" t="s">
        <v>1720</v>
      </c>
    </row>
    <row r="1356" spans="1:6" ht="75" x14ac:dyDescent="0.25">
      <c r="A1356" s="8" t="s">
        <v>125</v>
      </c>
      <c r="B1356" s="8" t="s">
        <v>161</v>
      </c>
      <c r="C1356" s="8" t="str">
        <f>IFERROR(_xlfn.XLOOKUP(TRIM(B1356),Lookup!$B$2:$B$1000,Lookup!$C$2:$C$1000),"")</f>
        <v>Equity</v>
      </c>
      <c r="D1356" s="8" t="str">
        <f>IFERROR(INDEX('nav master'!$C:$C, MATCH(B1356, 'nav master'!$B:$B, 0)), "")</f>
        <v>ULIF08421/11/25InCnsmAdFd101</v>
      </c>
      <c r="E1356" s="8" t="s">
        <v>596</v>
      </c>
      <c r="F1356" s="8" t="s">
        <v>1721</v>
      </c>
    </row>
    <row r="1357" spans="1:6" ht="75" x14ac:dyDescent="0.25">
      <c r="A1357" s="8" t="s">
        <v>125</v>
      </c>
      <c r="B1357" s="8" t="s">
        <v>161</v>
      </c>
      <c r="C1357" s="8" t="str">
        <f>IFERROR(_xlfn.XLOOKUP(TRIM(B1357),Lookup!$B$2:$B$1000,Lookup!$C$2:$C$1000),"")</f>
        <v>Equity</v>
      </c>
      <c r="D1357" s="8" t="str">
        <f>IFERROR(INDEX('nav master'!$C:$C, MATCH(B1357, 'nav master'!$B:$B, 0)), "")</f>
        <v>ULIF08421/11/25InCnsmAdFd101</v>
      </c>
      <c r="E1357" s="8" t="s">
        <v>598</v>
      </c>
      <c r="F1357" s="8" t="s">
        <v>1722</v>
      </c>
    </row>
    <row r="1358" spans="1:6" ht="75" x14ac:dyDescent="0.25">
      <c r="A1358" s="8" t="s">
        <v>125</v>
      </c>
      <c r="B1358" s="8" t="s">
        <v>161</v>
      </c>
      <c r="C1358" s="8" t="str">
        <f>IFERROR(_xlfn.XLOOKUP(TRIM(B1358),Lookup!$B$2:$B$1000,Lookup!$C$2:$C$1000),"")</f>
        <v>Equity</v>
      </c>
      <c r="D1358" s="8" t="str">
        <f>IFERROR(INDEX('nav master'!$C:$C, MATCH(B1358, 'nav master'!$B:$B, 0)), "")</f>
        <v>ULIF08421/11/25InCnsmAdFd101</v>
      </c>
      <c r="E1358" s="8" t="s">
        <v>600</v>
      </c>
      <c r="F1358" s="8" t="s">
        <v>1723</v>
      </c>
    </row>
    <row r="1359" spans="1:6" ht="75" x14ac:dyDescent="0.25">
      <c r="A1359" s="8" t="s">
        <v>125</v>
      </c>
      <c r="B1359" s="8" t="s">
        <v>161</v>
      </c>
      <c r="C1359" s="8" t="str">
        <f>IFERROR(_xlfn.XLOOKUP(TRIM(B1359),Lookup!$B$2:$B$1000,Lookup!$C$2:$C$1000),"")</f>
        <v>Equity</v>
      </c>
      <c r="D1359" s="8" t="str">
        <f>IFERROR(INDEX('nav master'!$C:$C, MATCH(B1359, 'nav master'!$B:$B, 0)), "")</f>
        <v>ULIF08421/11/25InCnsmAdFd101</v>
      </c>
      <c r="E1359" s="8" t="s">
        <v>602</v>
      </c>
      <c r="F1359" s="8" t="s">
        <v>1724</v>
      </c>
    </row>
    <row r="1360" spans="1:6" ht="75" x14ac:dyDescent="0.25">
      <c r="A1360" s="8" t="s">
        <v>125</v>
      </c>
      <c r="B1360" s="8" t="s">
        <v>161</v>
      </c>
      <c r="C1360" s="8" t="str">
        <f>IFERROR(_xlfn.XLOOKUP(TRIM(B1360),Lookup!$B$2:$B$1000,Lookup!$C$2:$C$1000),"")</f>
        <v>Equity</v>
      </c>
      <c r="D1360" s="8" t="str">
        <f>IFERROR(INDEX('nav master'!$C:$C, MATCH(B1360, 'nav master'!$B:$B, 0)), "")</f>
        <v>ULIF08421/11/25InCnsmAdFd101</v>
      </c>
      <c r="E1360" s="8" t="s">
        <v>604</v>
      </c>
      <c r="F1360" s="8" t="s">
        <v>1725</v>
      </c>
    </row>
    <row r="1361" spans="1:6" ht="75" x14ac:dyDescent="0.25">
      <c r="A1361" s="8" t="s">
        <v>125</v>
      </c>
      <c r="B1361" s="8" t="s">
        <v>161</v>
      </c>
      <c r="C1361" s="8" t="str">
        <f>IFERROR(_xlfn.XLOOKUP(TRIM(B1361),Lookup!$B$2:$B$1000,Lookup!$C$2:$C$1000),"")</f>
        <v>Equity</v>
      </c>
      <c r="D1361" s="8" t="str">
        <f>IFERROR(INDEX('nav master'!$C:$C, MATCH(B1361, 'nav master'!$B:$B, 0)), "")</f>
        <v>ULIF08421/11/25InCnsmAdFd101</v>
      </c>
      <c r="E1361" s="8" t="s">
        <v>606</v>
      </c>
      <c r="F1361" s="8" t="s">
        <v>1726</v>
      </c>
    </row>
    <row r="1362" spans="1:6" ht="75" x14ac:dyDescent="0.25">
      <c r="A1362" s="8" t="s">
        <v>125</v>
      </c>
      <c r="B1362" s="8" t="s">
        <v>161</v>
      </c>
      <c r="C1362" s="8" t="str">
        <f>IFERROR(_xlfn.XLOOKUP(TRIM(B1362),Lookup!$B$2:$B$1000,Lookup!$C$2:$C$1000),"")</f>
        <v>Equity</v>
      </c>
      <c r="D1362" s="8" t="str">
        <f>IFERROR(INDEX('nav master'!$C:$C, MATCH(B1362, 'nav master'!$B:$B, 0)), "")</f>
        <v>ULIF08421/11/25InCnsmAdFd101</v>
      </c>
      <c r="E1362" s="8" t="s">
        <v>608</v>
      </c>
      <c r="F1362" s="8" t="s">
        <v>1727</v>
      </c>
    </row>
    <row r="1363" spans="1:6" ht="75" x14ac:dyDescent="0.25">
      <c r="A1363" s="8" t="s">
        <v>125</v>
      </c>
      <c r="B1363" s="8" t="s">
        <v>161</v>
      </c>
      <c r="C1363" s="8" t="str">
        <f>IFERROR(_xlfn.XLOOKUP(TRIM(B1363),Lookup!$B$2:$B$1000,Lookup!$C$2:$C$1000),"")</f>
        <v>Equity</v>
      </c>
      <c r="D1363" s="8" t="str">
        <f>IFERROR(INDEX('nav master'!$C:$C, MATCH(B1363, 'nav master'!$B:$B, 0)), "")</f>
        <v>ULIF08421/11/25InCnsmAdFd101</v>
      </c>
      <c r="E1363" s="8" t="s">
        <v>610</v>
      </c>
      <c r="F1363" s="8" t="s">
        <v>1728</v>
      </c>
    </row>
    <row r="1364" spans="1:6" ht="75" x14ac:dyDescent="0.25">
      <c r="A1364" s="8" t="s">
        <v>125</v>
      </c>
      <c r="B1364" s="8" t="s">
        <v>161</v>
      </c>
      <c r="C1364" s="8" t="str">
        <f>IFERROR(_xlfn.XLOOKUP(TRIM(B1364),Lookup!$B$2:$B$1000,Lookup!$C$2:$C$1000),"")</f>
        <v>Equity</v>
      </c>
      <c r="D1364" s="8" t="str">
        <f>IFERROR(INDEX('nav master'!$C:$C, MATCH(B1364, 'nav master'!$B:$B, 0)), "")</f>
        <v>ULIF08421/11/25InCnsmAdFd101</v>
      </c>
      <c r="E1364" s="8" t="s">
        <v>612</v>
      </c>
      <c r="F1364" s="8" t="s">
        <v>1729</v>
      </c>
    </row>
    <row r="1365" spans="1:6" ht="75" x14ac:dyDescent="0.25">
      <c r="A1365" s="8" t="s">
        <v>125</v>
      </c>
      <c r="B1365" s="8" t="s">
        <v>161</v>
      </c>
      <c r="C1365" s="8" t="str">
        <f>IFERROR(_xlfn.XLOOKUP(TRIM(B1365),Lookup!$B$2:$B$1000,Lookup!$C$2:$C$1000),"")</f>
        <v>Equity</v>
      </c>
      <c r="D1365" s="8" t="str">
        <f>IFERROR(INDEX('nav master'!$C:$C, MATCH(B1365, 'nav master'!$B:$B, 0)), "")</f>
        <v>ULIF08421/11/25InCnsmAdFd101</v>
      </c>
      <c r="E1365" s="8" t="s">
        <v>614</v>
      </c>
      <c r="F1365" s="8" t="s">
        <v>1730</v>
      </c>
    </row>
    <row r="1366" spans="1:6" ht="75" x14ac:dyDescent="0.25">
      <c r="A1366" s="8" t="s">
        <v>125</v>
      </c>
      <c r="B1366" s="8" t="s">
        <v>161</v>
      </c>
      <c r="C1366" s="8" t="str">
        <f>IFERROR(_xlfn.XLOOKUP(TRIM(B1366),Lookup!$B$2:$B$1000,Lookup!$C$2:$C$1000),"")</f>
        <v>Equity</v>
      </c>
      <c r="D1366" s="8" t="str">
        <f>IFERROR(INDEX('nav master'!$C:$C, MATCH(B1366, 'nav master'!$B:$B, 0)), "")</f>
        <v>ULIF08421/11/25InCnsmAdFd101</v>
      </c>
      <c r="E1366" s="8" t="s">
        <v>616</v>
      </c>
      <c r="F1366" s="8" t="s">
        <v>1731</v>
      </c>
    </row>
    <row r="1367" spans="1:6" ht="75" x14ac:dyDescent="0.25">
      <c r="A1367" s="8" t="s">
        <v>125</v>
      </c>
      <c r="B1367" s="8" t="s">
        <v>161</v>
      </c>
      <c r="C1367" s="8" t="str">
        <f>IFERROR(_xlfn.XLOOKUP(TRIM(B1367),Lookup!$B$2:$B$1000,Lookup!$C$2:$C$1000),"")</f>
        <v>Equity</v>
      </c>
      <c r="D1367" s="8" t="str">
        <f>IFERROR(INDEX('nav master'!$C:$C, MATCH(B1367, 'nav master'!$B:$B, 0)), "")</f>
        <v>ULIF08421/11/25InCnsmAdFd101</v>
      </c>
      <c r="E1367" s="8" t="s">
        <v>618</v>
      </c>
      <c r="F1367" s="8" t="s">
        <v>1732</v>
      </c>
    </row>
    <row r="1368" spans="1:6" ht="75" x14ac:dyDescent="0.25">
      <c r="A1368" s="8" t="s">
        <v>125</v>
      </c>
      <c r="B1368" s="8" t="s">
        <v>161</v>
      </c>
      <c r="C1368" s="8" t="str">
        <f>IFERROR(_xlfn.XLOOKUP(TRIM(B1368),Lookup!$B$2:$B$1000,Lookup!$C$2:$C$1000),"")</f>
        <v>Equity</v>
      </c>
      <c r="D1368" s="8" t="str">
        <f>IFERROR(INDEX('nav master'!$C:$C, MATCH(B1368, 'nav master'!$B:$B, 0)), "")</f>
        <v>ULIF08421/11/25InCnsmAdFd101</v>
      </c>
      <c r="E1368" s="8" t="s">
        <v>620</v>
      </c>
      <c r="F1368" s="8" t="s">
        <v>1733</v>
      </c>
    </row>
    <row r="1369" spans="1:6" ht="75" x14ac:dyDescent="0.25">
      <c r="A1369" s="8" t="s">
        <v>125</v>
      </c>
      <c r="B1369" s="8" t="s">
        <v>161</v>
      </c>
      <c r="C1369" s="8" t="str">
        <f>IFERROR(_xlfn.XLOOKUP(TRIM(B1369),Lookup!$B$2:$B$1000,Lookup!$C$2:$C$1000),"")</f>
        <v>Equity</v>
      </c>
      <c r="D1369" s="8" t="str">
        <f>IFERROR(INDEX('nav master'!$C:$C, MATCH(B1369, 'nav master'!$B:$B, 0)), "")</f>
        <v>ULIF08421/11/25InCnsmAdFd101</v>
      </c>
      <c r="E1369" s="8" t="s">
        <v>622</v>
      </c>
      <c r="F1369" s="8" t="s">
        <v>1734</v>
      </c>
    </row>
    <row r="1370" spans="1:6" ht="75" x14ac:dyDescent="0.25">
      <c r="A1370" s="8" t="s">
        <v>125</v>
      </c>
      <c r="B1370" s="8" t="s">
        <v>161</v>
      </c>
      <c r="C1370" s="8" t="str">
        <f>IFERROR(_xlfn.XLOOKUP(TRIM(B1370),Lookup!$B$2:$B$1000,Lookup!$C$2:$C$1000),"")</f>
        <v>Equity</v>
      </c>
      <c r="D1370" s="8" t="str">
        <f>IFERROR(INDEX('nav master'!$C:$C, MATCH(B1370, 'nav master'!$B:$B, 0)), "")</f>
        <v>ULIF08421/11/25InCnsmAdFd101</v>
      </c>
      <c r="E1370" s="8" t="s">
        <v>624</v>
      </c>
      <c r="F1370" s="8" t="s">
        <v>1735</v>
      </c>
    </row>
    <row r="1371" spans="1:6" ht="75" x14ac:dyDescent="0.25">
      <c r="A1371" s="8" t="s">
        <v>125</v>
      </c>
      <c r="B1371" s="8" t="s">
        <v>161</v>
      </c>
      <c r="C1371" s="8" t="str">
        <f>IFERROR(_xlfn.XLOOKUP(TRIM(B1371),Lookup!$B$2:$B$1000,Lookup!$C$2:$C$1000),"")</f>
        <v>Equity</v>
      </c>
      <c r="D1371" s="8" t="str">
        <f>IFERROR(INDEX('nav master'!$C:$C, MATCH(B1371, 'nav master'!$B:$B, 0)), "")</f>
        <v>ULIF08421/11/25InCnsmAdFd101</v>
      </c>
      <c r="E1371" s="8" t="s">
        <v>626</v>
      </c>
      <c r="F1371" s="8" t="s">
        <v>1736</v>
      </c>
    </row>
    <row r="1372" spans="1:6" ht="75" x14ac:dyDescent="0.25">
      <c r="A1372" s="8" t="s">
        <v>125</v>
      </c>
      <c r="B1372" s="8" t="s">
        <v>161</v>
      </c>
      <c r="C1372" s="8" t="str">
        <f>IFERROR(_xlfn.XLOOKUP(TRIM(B1372),Lookup!$B$2:$B$1000,Lookup!$C$2:$C$1000),"")</f>
        <v>Equity</v>
      </c>
      <c r="D1372" s="8" t="str">
        <f>IFERROR(INDEX('nav master'!$C:$C, MATCH(B1372, 'nav master'!$B:$B, 0)), "")</f>
        <v>ULIF08421/11/25InCnsmAdFd101</v>
      </c>
      <c r="E1372" s="8" t="s">
        <v>628</v>
      </c>
      <c r="F1372" s="8" t="s">
        <v>1737</v>
      </c>
    </row>
    <row r="1373" spans="1:6" ht="75" x14ac:dyDescent="0.25">
      <c r="A1373" s="8" t="s">
        <v>125</v>
      </c>
      <c r="B1373" s="8" t="s">
        <v>161</v>
      </c>
      <c r="C1373" s="8" t="str">
        <f>IFERROR(_xlfn.XLOOKUP(TRIM(B1373),Lookup!$B$2:$B$1000,Lookup!$C$2:$C$1000),"")</f>
        <v>Equity</v>
      </c>
      <c r="D1373" s="8" t="str">
        <f>IFERROR(INDEX('nav master'!$C:$C, MATCH(B1373, 'nav master'!$B:$B, 0)), "")</f>
        <v>ULIF08421/11/25InCnsmAdFd101</v>
      </c>
      <c r="E1373" s="8" t="s">
        <v>630</v>
      </c>
      <c r="F1373" s="8" t="s">
        <v>1738</v>
      </c>
    </row>
    <row r="1374" spans="1:6" ht="75" x14ac:dyDescent="0.25">
      <c r="A1374" s="8" t="s">
        <v>125</v>
      </c>
      <c r="B1374" s="8" t="s">
        <v>161</v>
      </c>
      <c r="C1374" s="8" t="str">
        <f>IFERROR(_xlfn.XLOOKUP(TRIM(B1374),Lookup!$B$2:$B$1000,Lookup!$C$2:$C$1000),"")</f>
        <v>Equity</v>
      </c>
      <c r="D1374" s="8" t="str">
        <f>IFERROR(INDEX('nav master'!$C:$C, MATCH(B1374, 'nav master'!$B:$B, 0)), "")</f>
        <v>ULIF08421/11/25InCnsmAdFd101</v>
      </c>
      <c r="E1374" s="8" t="s">
        <v>632</v>
      </c>
      <c r="F1374" s="8" t="s">
        <v>1739</v>
      </c>
    </row>
    <row r="1375" spans="1:6" ht="75" x14ac:dyDescent="0.25">
      <c r="A1375" s="8" t="s">
        <v>125</v>
      </c>
      <c r="B1375" s="8" t="s">
        <v>161</v>
      </c>
      <c r="C1375" s="8" t="str">
        <f>IFERROR(_xlfn.XLOOKUP(TRIM(B1375),Lookup!$B$2:$B$1000,Lookup!$C$2:$C$1000),"")</f>
        <v>Equity</v>
      </c>
      <c r="D1375" s="8" t="str">
        <f>IFERROR(INDEX('nav master'!$C:$C, MATCH(B1375, 'nav master'!$B:$B, 0)), "")</f>
        <v>ULIF08421/11/25InCnsmAdFd101</v>
      </c>
      <c r="E1375" s="8" t="s">
        <v>634</v>
      </c>
      <c r="F1375" s="8" t="s">
        <v>1740</v>
      </c>
    </row>
    <row r="1376" spans="1:6" ht="75" x14ac:dyDescent="0.25">
      <c r="A1376" s="8" t="s">
        <v>125</v>
      </c>
      <c r="B1376" s="8" t="s">
        <v>161</v>
      </c>
      <c r="C1376" s="8" t="str">
        <f>IFERROR(_xlfn.XLOOKUP(TRIM(B1376),Lookup!$B$2:$B$1000,Lookup!$C$2:$C$1000),"")</f>
        <v>Equity</v>
      </c>
      <c r="D1376" s="8" t="str">
        <f>IFERROR(INDEX('nav master'!$C:$C, MATCH(B1376, 'nav master'!$B:$B, 0)), "")</f>
        <v>ULIF08421/11/25InCnsmAdFd101</v>
      </c>
      <c r="E1376" s="8" t="s">
        <v>636</v>
      </c>
      <c r="F1376" s="8" t="s">
        <v>1741</v>
      </c>
    </row>
    <row r="1377" spans="1:6" ht="75" x14ac:dyDescent="0.25">
      <c r="A1377" s="8" t="s">
        <v>125</v>
      </c>
      <c r="B1377" s="8" t="s">
        <v>161</v>
      </c>
      <c r="C1377" s="8" t="str">
        <f>IFERROR(_xlfn.XLOOKUP(TRIM(B1377),Lookup!$B$2:$B$1000,Lookup!$C$2:$C$1000),"")</f>
        <v>Equity</v>
      </c>
      <c r="D1377" s="8" t="str">
        <f>IFERROR(INDEX('nav master'!$C:$C, MATCH(B1377, 'nav master'!$B:$B, 0)), "")</f>
        <v>ULIF08421/11/25InCnsmAdFd101</v>
      </c>
      <c r="E1377" s="8" t="s">
        <v>638</v>
      </c>
      <c r="F1377" s="8" t="s">
        <v>1742</v>
      </c>
    </row>
    <row r="1378" spans="1:6" ht="75" x14ac:dyDescent="0.25">
      <c r="A1378" s="8" t="s">
        <v>125</v>
      </c>
      <c r="B1378" s="8" t="s">
        <v>161</v>
      </c>
      <c r="C1378" s="8" t="str">
        <f>IFERROR(_xlfn.XLOOKUP(TRIM(B1378),Lookup!$B$2:$B$1000,Lookup!$C$2:$C$1000),"")</f>
        <v>Equity</v>
      </c>
      <c r="D1378" s="8" t="str">
        <f>IFERROR(INDEX('nav master'!$C:$C, MATCH(B1378, 'nav master'!$B:$B, 0)), "")</f>
        <v>ULIF08421/11/25InCnsmAdFd101</v>
      </c>
      <c r="E1378" s="8" t="s">
        <v>640</v>
      </c>
      <c r="F1378" s="8" t="s">
        <v>1743</v>
      </c>
    </row>
    <row r="1379" spans="1:6" ht="75" x14ac:dyDescent="0.25">
      <c r="A1379" s="8" t="s">
        <v>125</v>
      </c>
      <c r="B1379" s="8" t="s">
        <v>161</v>
      </c>
      <c r="C1379" s="8" t="str">
        <f>IFERROR(_xlfn.XLOOKUP(TRIM(B1379),Lookup!$B$2:$B$1000,Lookup!$C$2:$C$1000),"")</f>
        <v>Equity</v>
      </c>
      <c r="D1379" s="8" t="str">
        <f>IFERROR(INDEX('nav master'!$C:$C, MATCH(B1379, 'nav master'!$B:$B, 0)), "")</f>
        <v>ULIF08421/11/25InCnsmAdFd101</v>
      </c>
      <c r="E1379" s="8" t="s">
        <v>642</v>
      </c>
      <c r="F1379" s="8" t="s">
        <v>1744</v>
      </c>
    </row>
    <row r="1380" spans="1:6" ht="75" x14ac:dyDescent="0.25">
      <c r="A1380" s="8" t="s">
        <v>125</v>
      </c>
      <c r="B1380" s="8" t="s">
        <v>161</v>
      </c>
      <c r="C1380" s="8" t="str">
        <f>IFERROR(_xlfn.XLOOKUP(TRIM(B1380),Lookup!$B$2:$B$1000,Lookup!$C$2:$C$1000),"")</f>
        <v>Equity</v>
      </c>
      <c r="D1380" s="8" t="str">
        <f>IFERROR(INDEX('nav master'!$C:$C, MATCH(B1380, 'nav master'!$B:$B, 0)), "")</f>
        <v>ULIF08421/11/25InCnsmAdFd101</v>
      </c>
      <c r="E1380" s="8" t="s">
        <v>644</v>
      </c>
      <c r="F1380" s="8" t="s">
        <v>1745</v>
      </c>
    </row>
    <row r="1381" spans="1:6" ht="75" x14ac:dyDescent="0.25">
      <c r="A1381" s="8" t="s">
        <v>125</v>
      </c>
      <c r="B1381" s="8" t="s">
        <v>161</v>
      </c>
      <c r="C1381" s="8" t="str">
        <f>IFERROR(_xlfn.XLOOKUP(TRIM(B1381),Lookup!$B$2:$B$1000,Lookup!$C$2:$C$1000),"")</f>
        <v>Equity</v>
      </c>
      <c r="D1381" s="8" t="str">
        <f>IFERROR(INDEX('nav master'!$C:$C, MATCH(B1381, 'nav master'!$B:$B, 0)), "")</f>
        <v>ULIF08421/11/25InCnsmAdFd101</v>
      </c>
      <c r="E1381" s="8" t="s">
        <v>646</v>
      </c>
      <c r="F1381" s="8" t="s">
        <v>1746</v>
      </c>
    </row>
    <row r="1382" spans="1:6" ht="75" x14ac:dyDescent="0.25">
      <c r="A1382" s="8" t="s">
        <v>125</v>
      </c>
      <c r="B1382" s="8" t="s">
        <v>161</v>
      </c>
      <c r="C1382" s="8" t="str">
        <f>IFERROR(_xlfn.XLOOKUP(TRIM(B1382),Lookup!$B$2:$B$1000,Lookup!$C$2:$C$1000),"")</f>
        <v>Equity</v>
      </c>
      <c r="D1382" s="8" t="str">
        <f>IFERROR(INDEX('nav master'!$C:$C, MATCH(B1382, 'nav master'!$B:$B, 0)), "")</f>
        <v>ULIF08421/11/25InCnsmAdFd101</v>
      </c>
      <c r="E1382" s="8" t="s">
        <v>648</v>
      </c>
      <c r="F1382" s="8" t="s">
        <v>1747</v>
      </c>
    </row>
    <row r="1383" spans="1:6" ht="75" x14ac:dyDescent="0.25">
      <c r="A1383" s="8" t="s">
        <v>125</v>
      </c>
      <c r="B1383" s="8" t="s">
        <v>161</v>
      </c>
      <c r="C1383" s="8" t="str">
        <f>IFERROR(_xlfn.XLOOKUP(TRIM(B1383),Lookup!$B$2:$B$1000,Lookup!$C$2:$C$1000),"")</f>
        <v>Equity</v>
      </c>
      <c r="D1383" s="8" t="str">
        <f>IFERROR(INDEX('nav master'!$C:$C, MATCH(B1383, 'nav master'!$B:$B, 0)), "")</f>
        <v>ULIF08421/11/25InCnsmAdFd101</v>
      </c>
      <c r="E1383" s="8" t="s">
        <v>650</v>
      </c>
      <c r="F1383" s="8" t="s">
        <v>1748</v>
      </c>
    </row>
    <row r="1384" spans="1:6" ht="75" x14ac:dyDescent="0.25">
      <c r="A1384" s="8" t="s">
        <v>125</v>
      </c>
      <c r="B1384" s="8" t="s">
        <v>161</v>
      </c>
      <c r="C1384" s="8" t="str">
        <f>IFERROR(_xlfn.XLOOKUP(TRIM(B1384),Lookup!$B$2:$B$1000,Lookup!$C$2:$C$1000),"")</f>
        <v>Equity</v>
      </c>
      <c r="D1384" s="8" t="str">
        <f>IFERROR(INDEX('nav master'!$C:$C, MATCH(B1384, 'nav master'!$B:$B, 0)), "")</f>
        <v>ULIF08421/11/25InCnsmAdFd101</v>
      </c>
      <c r="E1384" s="8" t="s">
        <v>652</v>
      </c>
      <c r="F1384" s="8" t="s">
        <v>1749</v>
      </c>
    </row>
    <row r="1385" spans="1:6" ht="75" x14ac:dyDescent="0.25">
      <c r="A1385" s="8" t="s">
        <v>125</v>
      </c>
      <c r="B1385" s="8" t="s">
        <v>161</v>
      </c>
      <c r="C1385" s="8" t="str">
        <f>IFERROR(_xlfn.XLOOKUP(TRIM(B1385),Lookup!$B$2:$B$1000,Lookup!$C$2:$C$1000),"")</f>
        <v>Equity</v>
      </c>
      <c r="D1385" s="8" t="str">
        <f>IFERROR(INDEX('nav master'!$C:$C, MATCH(B1385, 'nav master'!$B:$B, 0)), "")</f>
        <v>ULIF08421/11/25InCnsmAdFd101</v>
      </c>
      <c r="E1385" s="8" t="s">
        <v>654</v>
      </c>
      <c r="F1385" s="8" t="s">
        <v>1750</v>
      </c>
    </row>
    <row r="1386" spans="1:6" ht="75" x14ac:dyDescent="0.25">
      <c r="A1386" s="8" t="s">
        <v>125</v>
      </c>
      <c r="B1386" s="8" t="s">
        <v>161</v>
      </c>
      <c r="C1386" s="8" t="str">
        <f>IFERROR(_xlfn.XLOOKUP(TRIM(B1386),Lookup!$B$2:$B$1000,Lookup!$C$2:$C$1000),"")</f>
        <v>Equity</v>
      </c>
      <c r="D1386" s="8" t="str">
        <f>IFERROR(INDEX('nav master'!$C:$C, MATCH(B1386, 'nav master'!$B:$B, 0)), "")</f>
        <v>ULIF08421/11/25InCnsmAdFd101</v>
      </c>
      <c r="E1386" s="8" t="s">
        <v>656</v>
      </c>
      <c r="F1386" s="8" t="s">
        <v>1751</v>
      </c>
    </row>
    <row r="1387" spans="1:6" ht="75" x14ac:dyDescent="0.25">
      <c r="A1387" s="8" t="s">
        <v>125</v>
      </c>
      <c r="B1387" s="8" t="s">
        <v>161</v>
      </c>
      <c r="C1387" s="8" t="str">
        <f>IFERROR(_xlfn.XLOOKUP(TRIM(B1387),Lookup!$B$2:$B$1000,Lookup!$C$2:$C$1000),"")</f>
        <v>Equity</v>
      </c>
      <c r="D1387" s="8" t="str">
        <f>IFERROR(INDEX('nav master'!$C:$C, MATCH(B1387, 'nav master'!$B:$B, 0)), "")</f>
        <v>ULIF08421/11/25InCnsmAdFd101</v>
      </c>
      <c r="E1387" s="8" t="s">
        <v>658</v>
      </c>
      <c r="F1387" s="8" t="s">
        <v>1752</v>
      </c>
    </row>
    <row r="1388" spans="1:6" ht="75" x14ac:dyDescent="0.25">
      <c r="A1388" s="8" t="s">
        <v>125</v>
      </c>
      <c r="B1388" s="8" t="s">
        <v>161</v>
      </c>
      <c r="C1388" s="8" t="str">
        <f>IFERROR(_xlfn.XLOOKUP(TRIM(B1388),Lookup!$B$2:$B$1000,Lookup!$C$2:$C$1000),"")</f>
        <v>Equity</v>
      </c>
      <c r="D1388" s="8" t="str">
        <f>IFERROR(INDEX('nav master'!$C:$C, MATCH(B1388, 'nav master'!$B:$B, 0)), "")</f>
        <v>ULIF08421/11/25InCnsmAdFd101</v>
      </c>
      <c r="E1388" s="8" t="s">
        <v>660</v>
      </c>
      <c r="F1388" s="8" t="s">
        <v>1753</v>
      </c>
    </row>
    <row r="1389" spans="1:6" ht="75" x14ac:dyDescent="0.25">
      <c r="A1389" s="8" t="s">
        <v>125</v>
      </c>
      <c r="B1389" s="8" t="s">
        <v>161</v>
      </c>
      <c r="C1389" s="8" t="str">
        <f>IFERROR(_xlfn.XLOOKUP(TRIM(B1389),Lookup!$B$2:$B$1000,Lookup!$C$2:$C$1000),"")</f>
        <v>Equity</v>
      </c>
      <c r="D1389" s="8" t="str">
        <f>IFERROR(INDEX('nav master'!$C:$C, MATCH(B1389, 'nav master'!$B:$B, 0)), "")</f>
        <v>ULIF08421/11/25InCnsmAdFd101</v>
      </c>
      <c r="E1389" s="8" t="s">
        <v>662</v>
      </c>
      <c r="F1389" s="8" t="s">
        <v>1754</v>
      </c>
    </row>
    <row r="1390" spans="1:6" ht="75" x14ac:dyDescent="0.25">
      <c r="A1390" s="8" t="s">
        <v>125</v>
      </c>
      <c r="B1390" s="8" t="s">
        <v>161</v>
      </c>
      <c r="C1390" s="8" t="str">
        <f>IFERROR(_xlfn.XLOOKUP(TRIM(B1390),Lookup!$B$2:$B$1000,Lookup!$C$2:$C$1000),"")</f>
        <v>Equity</v>
      </c>
      <c r="D1390" s="8" t="str">
        <f>IFERROR(INDEX('nav master'!$C:$C, MATCH(B1390, 'nav master'!$B:$B, 0)), "")</f>
        <v>ULIF08421/11/25InCnsmAdFd101</v>
      </c>
      <c r="E1390" s="8" t="s">
        <v>664</v>
      </c>
      <c r="F1390" s="8" t="s">
        <v>1755</v>
      </c>
    </row>
    <row r="1391" spans="1:6" ht="75" x14ac:dyDescent="0.25">
      <c r="A1391" s="8" t="s">
        <v>125</v>
      </c>
      <c r="B1391" s="8" t="s">
        <v>161</v>
      </c>
      <c r="C1391" s="8" t="str">
        <f>IFERROR(_xlfn.XLOOKUP(TRIM(B1391),Lookup!$B$2:$B$1000,Lookup!$C$2:$C$1000),"")</f>
        <v>Equity</v>
      </c>
      <c r="D1391" s="8" t="str">
        <f>IFERROR(INDEX('nav master'!$C:$C, MATCH(B1391, 'nav master'!$B:$B, 0)), "")</f>
        <v>ULIF08421/11/25InCnsmAdFd101</v>
      </c>
      <c r="E1391" s="8" t="s">
        <v>4892</v>
      </c>
      <c r="F1391" s="8" t="s">
        <v>4937</v>
      </c>
    </row>
    <row r="1392" spans="1:6" ht="75" x14ac:dyDescent="0.25">
      <c r="A1392" s="8" t="s">
        <v>125</v>
      </c>
      <c r="B1392" s="8" t="s">
        <v>161</v>
      </c>
      <c r="C1392" s="8" t="str">
        <f>IFERROR(_xlfn.XLOOKUP(TRIM(B1392),Lookup!$B$2:$B$1000,Lookup!$C$2:$C$1000),"")</f>
        <v>Equity</v>
      </c>
      <c r="D1392" s="8" t="str">
        <f>IFERROR(INDEX('nav master'!$C:$C, MATCH(B1392, 'nav master'!$B:$B, 0)), "")</f>
        <v>ULIF08421/11/25InCnsmAdFd101</v>
      </c>
      <c r="E1392" s="8" t="s">
        <v>4894</v>
      </c>
      <c r="F1392" s="8" t="s">
        <v>4938</v>
      </c>
    </row>
    <row r="1393" spans="1:6" ht="75" x14ac:dyDescent="0.25">
      <c r="A1393" s="8" t="s">
        <v>125</v>
      </c>
      <c r="B1393" s="8" t="s">
        <v>161</v>
      </c>
      <c r="C1393" s="8" t="str">
        <f>IFERROR(_xlfn.XLOOKUP(TRIM(B1393),Lookup!$B$2:$B$1000,Lookup!$C$2:$C$1000),"")</f>
        <v>Equity</v>
      </c>
      <c r="D1393" s="8" t="str">
        <f>IFERROR(INDEX('nav master'!$C:$C, MATCH(B1393, 'nav master'!$B:$B, 0)), "")</f>
        <v>ULIF08421/11/25InCnsmAdFd101</v>
      </c>
      <c r="E1393" s="8" t="s">
        <v>4896</v>
      </c>
      <c r="F1393" s="8" t="s">
        <v>4939</v>
      </c>
    </row>
    <row r="1394" spans="1:6" ht="75" x14ac:dyDescent="0.25">
      <c r="A1394" s="8" t="s">
        <v>125</v>
      </c>
      <c r="B1394" s="8" t="s">
        <v>161</v>
      </c>
      <c r="C1394" s="8" t="str">
        <f>IFERROR(_xlfn.XLOOKUP(TRIM(B1394),Lookup!$B$2:$B$1000,Lookup!$C$2:$C$1000),"")</f>
        <v>Equity</v>
      </c>
      <c r="D1394" s="8" t="str">
        <f>IFERROR(INDEX('nav master'!$C:$C, MATCH(B1394, 'nav master'!$B:$B, 0)), "")</f>
        <v>ULIF08421/11/25InCnsmAdFd101</v>
      </c>
      <c r="E1394" s="8" t="s">
        <v>4898</v>
      </c>
      <c r="F1394" s="8" t="s">
        <v>4940</v>
      </c>
    </row>
    <row r="1395" spans="1:6" ht="75" x14ac:dyDescent="0.25">
      <c r="A1395" s="8" t="s">
        <v>125</v>
      </c>
      <c r="B1395" s="8" t="s">
        <v>161</v>
      </c>
      <c r="C1395" s="8" t="str">
        <f>IFERROR(_xlfn.XLOOKUP(TRIM(B1395),Lookup!$B$2:$B$1000,Lookup!$C$2:$C$1000),"")</f>
        <v>Equity</v>
      </c>
      <c r="D1395" s="8" t="str">
        <f>IFERROR(INDEX('nav master'!$C:$C, MATCH(B1395, 'nav master'!$B:$B, 0)), "")</f>
        <v>ULIF08421/11/25InCnsmAdFd101</v>
      </c>
      <c r="E1395" s="8" t="s">
        <v>4900</v>
      </c>
      <c r="F1395" s="8" t="s">
        <v>4941</v>
      </c>
    </row>
    <row r="1396" spans="1:6" ht="75" x14ac:dyDescent="0.25">
      <c r="A1396" s="8" t="s">
        <v>125</v>
      </c>
      <c r="B1396" s="8" t="s">
        <v>161</v>
      </c>
      <c r="C1396" s="8" t="str">
        <f>IFERROR(_xlfn.XLOOKUP(TRIM(B1396),Lookup!$B$2:$B$1000,Lookup!$C$2:$C$1000),"")</f>
        <v>Equity</v>
      </c>
      <c r="D1396" s="8" t="str">
        <f>IFERROR(INDEX('nav master'!$C:$C, MATCH(B1396, 'nav master'!$B:$B, 0)), "")</f>
        <v>ULIF08421/11/25InCnsmAdFd101</v>
      </c>
      <c r="E1396" s="8" t="s">
        <v>4902</v>
      </c>
      <c r="F1396" s="8" t="s">
        <v>4942</v>
      </c>
    </row>
    <row r="1397" spans="1:6" ht="75" x14ac:dyDescent="0.25">
      <c r="A1397" s="8" t="s">
        <v>125</v>
      </c>
      <c r="B1397" s="8" t="s">
        <v>161</v>
      </c>
      <c r="C1397" s="8" t="str">
        <f>IFERROR(_xlfn.XLOOKUP(TRIM(B1397),Lookup!$B$2:$B$1000,Lookup!$C$2:$C$1000),"")</f>
        <v>Equity</v>
      </c>
      <c r="D1397" s="8" t="str">
        <f>IFERROR(INDEX('nav master'!$C:$C, MATCH(B1397, 'nav master'!$B:$B, 0)), "")</f>
        <v>ULIF08421/11/25InCnsmAdFd101</v>
      </c>
      <c r="E1397" s="8" t="s">
        <v>4903</v>
      </c>
      <c r="F1397" s="8" t="s">
        <v>4943</v>
      </c>
    </row>
    <row r="1398" spans="1:6" ht="75" x14ac:dyDescent="0.25">
      <c r="A1398" s="8" t="s">
        <v>125</v>
      </c>
      <c r="B1398" s="8" t="s">
        <v>161</v>
      </c>
      <c r="C1398" s="8" t="str">
        <f>IFERROR(_xlfn.XLOOKUP(TRIM(B1398),Lookup!$B$2:$B$1000,Lookup!$C$2:$C$1000),"")</f>
        <v>Equity</v>
      </c>
      <c r="D1398" s="8" t="str">
        <f>IFERROR(INDEX('nav master'!$C:$C, MATCH(B1398, 'nav master'!$B:$B, 0)), "")</f>
        <v>ULIF08421/11/25InCnsmAdFd101</v>
      </c>
      <c r="E1398" s="8" t="s">
        <v>4905</v>
      </c>
      <c r="F1398" s="8" t="s">
        <v>4944</v>
      </c>
    </row>
    <row r="1399" spans="1:6" ht="60" x14ac:dyDescent="0.25">
      <c r="A1399" s="8" t="s">
        <v>125</v>
      </c>
      <c r="B1399" s="8" t="s">
        <v>130</v>
      </c>
      <c r="C1399" s="8" t="str">
        <f>IFERROR(_xlfn.XLOOKUP(TRIM(B1399),Lookup!$B$2:$B$1000,Lookup!$C$2:$C$1000),"")</f>
        <v>Equity</v>
      </c>
      <c r="D1399" s="8" t="str">
        <f>IFERROR(INDEX('nav master'!$C:$C, MATCH(B1399, 'nav master'!$B:$B, 0)), "")</f>
        <v>ULIF03501/01/10BlueChipFd101</v>
      </c>
      <c r="E1399" s="8" t="s">
        <v>189</v>
      </c>
      <c r="F1399" s="8" t="s">
        <v>1756</v>
      </c>
    </row>
    <row r="1400" spans="1:6" ht="60" x14ac:dyDescent="0.25">
      <c r="A1400" s="8" t="s">
        <v>125</v>
      </c>
      <c r="B1400" s="8" t="s">
        <v>130</v>
      </c>
      <c r="C1400" s="8" t="str">
        <f>IFERROR(_xlfn.XLOOKUP(TRIM(B1400),Lookup!$B$2:$B$1000,Lookup!$C$2:$C$1000),"")</f>
        <v>Equity</v>
      </c>
      <c r="D1400" s="8" t="str">
        <f>IFERROR(INDEX('nav master'!$C:$C, MATCH(B1400, 'nav master'!$B:$B, 0)), "")</f>
        <v>ULIF03501/01/10BlueChipFd101</v>
      </c>
      <c r="E1400" s="8" t="s">
        <v>191</v>
      </c>
      <c r="F1400" s="8" t="s">
        <v>1757</v>
      </c>
    </row>
    <row r="1401" spans="1:6" ht="60" x14ac:dyDescent="0.25">
      <c r="A1401" s="8" t="s">
        <v>125</v>
      </c>
      <c r="B1401" s="8" t="s">
        <v>130</v>
      </c>
      <c r="C1401" s="8" t="str">
        <f>IFERROR(_xlfn.XLOOKUP(TRIM(B1401),Lookup!$B$2:$B$1000,Lookup!$C$2:$C$1000),"")</f>
        <v>Equity</v>
      </c>
      <c r="D1401" s="8" t="str">
        <f>IFERROR(INDEX('nav master'!$C:$C, MATCH(B1401, 'nav master'!$B:$B, 0)), "")</f>
        <v>ULIF03501/01/10BlueChipFd101</v>
      </c>
      <c r="E1401" s="8" t="s">
        <v>193</v>
      </c>
      <c r="F1401" s="8" t="s">
        <v>1758</v>
      </c>
    </row>
    <row r="1402" spans="1:6" ht="60" x14ac:dyDescent="0.25">
      <c r="A1402" s="8" t="s">
        <v>125</v>
      </c>
      <c r="B1402" s="8" t="s">
        <v>130</v>
      </c>
      <c r="C1402" s="8" t="str">
        <f>IFERROR(_xlfn.XLOOKUP(TRIM(B1402),Lookup!$B$2:$B$1000,Lookup!$C$2:$C$1000),"")</f>
        <v>Equity</v>
      </c>
      <c r="D1402" s="8" t="str">
        <f>IFERROR(INDEX('nav master'!$C:$C, MATCH(B1402, 'nav master'!$B:$B, 0)), "")</f>
        <v>ULIF03501/01/10BlueChipFd101</v>
      </c>
      <c r="E1402" s="8" t="s">
        <v>195</v>
      </c>
      <c r="F1402" s="8" t="s">
        <v>1759</v>
      </c>
    </row>
    <row r="1403" spans="1:6" ht="60" x14ac:dyDescent="0.25">
      <c r="A1403" s="8" t="s">
        <v>125</v>
      </c>
      <c r="B1403" s="8" t="s">
        <v>130</v>
      </c>
      <c r="C1403" s="8" t="str">
        <f>IFERROR(_xlfn.XLOOKUP(TRIM(B1403),Lookup!$B$2:$B$1000,Lookup!$C$2:$C$1000),"")</f>
        <v>Equity</v>
      </c>
      <c r="D1403" s="8" t="str">
        <f>IFERROR(INDEX('nav master'!$C:$C, MATCH(B1403, 'nav master'!$B:$B, 0)), "")</f>
        <v>ULIF03501/01/10BlueChipFd101</v>
      </c>
      <c r="E1403" s="8" t="s">
        <v>197</v>
      </c>
      <c r="F1403" s="8" t="s">
        <v>1760</v>
      </c>
    </row>
    <row r="1404" spans="1:6" ht="60" x14ac:dyDescent="0.25">
      <c r="A1404" s="8" t="s">
        <v>125</v>
      </c>
      <c r="B1404" s="8" t="s">
        <v>130</v>
      </c>
      <c r="C1404" s="8" t="str">
        <f>IFERROR(_xlfn.XLOOKUP(TRIM(B1404),Lookup!$B$2:$B$1000,Lookup!$C$2:$C$1000),"")</f>
        <v>Equity</v>
      </c>
      <c r="D1404" s="8" t="str">
        <f>IFERROR(INDEX('nav master'!$C:$C, MATCH(B1404, 'nav master'!$B:$B, 0)), "")</f>
        <v>ULIF03501/01/10BlueChipFd101</v>
      </c>
      <c r="E1404" s="8" t="s">
        <v>199</v>
      </c>
      <c r="F1404" s="8" t="s">
        <v>1761</v>
      </c>
    </row>
    <row r="1405" spans="1:6" ht="60" x14ac:dyDescent="0.25">
      <c r="A1405" s="8" t="s">
        <v>125</v>
      </c>
      <c r="B1405" s="8" t="s">
        <v>130</v>
      </c>
      <c r="C1405" s="8" t="str">
        <f>IFERROR(_xlfn.XLOOKUP(TRIM(B1405),Lookup!$B$2:$B$1000,Lookup!$C$2:$C$1000),"")</f>
        <v>Equity</v>
      </c>
      <c r="D1405" s="8" t="str">
        <f>IFERROR(INDEX('nav master'!$C:$C, MATCH(B1405, 'nav master'!$B:$B, 0)), "")</f>
        <v>ULIF03501/01/10BlueChipFd101</v>
      </c>
      <c r="E1405" s="8" t="s">
        <v>201</v>
      </c>
      <c r="F1405" s="8" t="s">
        <v>1762</v>
      </c>
    </row>
    <row r="1406" spans="1:6" ht="60" x14ac:dyDescent="0.25">
      <c r="A1406" s="8" t="s">
        <v>125</v>
      </c>
      <c r="B1406" s="8" t="s">
        <v>130</v>
      </c>
      <c r="C1406" s="8" t="str">
        <f>IFERROR(_xlfn.XLOOKUP(TRIM(B1406),Lookup!$B$2:$B$1000,Lookup!$C$2:$C$1000),"")</f>
        <v>Equity</v>
      </c>
      <c r="D1406" s="8" t="str">
        <f>IFERROR(INDEX('nav master'!$C:$C, MATCH(B1406, 'nav master'!$B:$B, 0)), "")</f>
        <v>ULIF03501/01/10BlueChipFd101</v>
      </c>
      <c r="E1406" s="8" t="s">
        <v>203</v>
      </c>
      <c r="F1406" s="8" t="s">
        <v>1763</v>
      </c>
    </row>
    <row r="1407" spans="1:6" ht="60" x14ac:dyDescent="0.25">
      <c r="A1407" s="8" t="s">
        <v>125</v>
      </c>
      <c r="B1407" s="8" t="s">
        <v>130</v>
      </c>
      <c r="C1407" s="8" t="str">
        <f>IFERROR(_xlfn.XLOOKUP(TRIM(B1407),Lookup!$B$2:$B$1000,Lookup!$C$2:$C$1000),"")</f>
        <v>Equity</v>
      </c>
      <c r="D1407" s="8" t="str">
        <f>IFERROR(INDEX('nav master'!$C:$C, MATCH(B1407, 'nav master'!$B:$B, 0)), "")</f>
        <v>ULIF03501/01/10BlueChipFd101</v>
      </c>
      <c r="E1407" s="8" t="s">
        <v>205</v>
      </c>
      <c r="F1407" s="8" t="s">
        <v>1764</v>
      </c>
    </row>
    <row r="1408" spans="1:6" ht="60" x14ac:dyDescent="0.25">
      <c r="A1408" s="8" t="s">
        <v>125</v>
      </c>
      <c r="B1408" s="8" t="s">
        <v>130</v>
      </c>
      <c r="C1408" s="8" t="str">
        <f>IFERROR(_xlfn.XLOOKUP(TRIM(B1408),Lookup!$B$2:$B$1000,Lookup!$C$2:$C$1000),"")</f>
        <v>Equity</v>
      </c>
      <c r="D1408" s="8" t="str">
        <f>IFERROR(INDEX('nav master'!$C:$C, MATCH(B1408, 'nav master'!$B:$B, 0)), "")</f>
        <v>ULIF03501/01/10BlueChipFd101</v>
      </c>
      <c r="E1408" s="8" t="s">
        <v>207</v>
      </c>
      <c r="F1408" s="8" t="s">
        <v>1765</v>
      </c>
    </row>
    <row r="1409" spans="1:6" ht="60" x14ac:dyDescent="0.25">
      <c r="A1409" s="8" t="s">
        <v>125</v>
      </c>
      <c r="B1409" s="8" t="s">
        <v>130</v>
      </c>
      <c r="C1409" s="8" t="str">
        <f>IFERROR(_xlfn.XLOOKUP(TRIM(B1409),Lookup!$B$2:$B$1000,Lookup!$C$2:$C$1000),"")</f>
        <v>Equity</v>
      </c>
      <c r="D1409" s="8" t="str">
        <f>IFERROR(INDEX('nav master'!$C:$C, MATCH(B1409, 'nav master'!$B:$B, 0)), "")</f>
        <v>ULIF03501/01/10BlueChipFd101</v>
      </c>
      <c r="E1409" s="8" t="s">
        <v>209</v>
      </c>
      <c r="F1409" s="8" t="s">
        <v>1766</v>
      </c>
    </row>
    <row r="1410" spans="1:6" ht="60" x14ac:dyDescent="0.25">
      <c r="A1410" s="8" t="s">
        <v>125</v>
      </c>
      <c r="B1410" s="8" t="s">
        <v>130</v>
      </c>
      <c r="C1410" s="8" t="str">
        <f>IFERROR(_xlfn.XLOOKUP(TRIM(B1410),Lookup!$B$2:$B$1000,Lookup!$C$2:$C$1000),"")</f>
        <v>Equity</v>
      </c>
      <c r="D1410" s="8" t="str">
        <f>IFERROR(INDEX('nav master'!$C:$C, MATCH(B1410, 'nav master'!$B:$B, 0)), "")</f>
        <v>ULIF03501/01/10BlueChipFd101</v>
      </c>
      <c r="E1410" s="8" t="s">
        <v>211</v>
      </c>
      <c r="F1410" s="8" t="s">
        <v>1767</v>
      </c>
    </row>
    <row r="1411" spans="1:6" ht="60" x14ac:dyDescent="0.25">
      <c r="A1411" s="8" t="s">
        <v>125</v>
      </c>
      <c r="B1411" s="8" t="s">
        <v>130</v>
      </c>
      <c r="C1411" s="8" t="str">
        <f>IFERROR(_xlfn.XLOOKUP(TRIM(B1411),Lookup!$B$2:$B$1000,Lookup!$C$2:$C$1000),"")</f>
        <v>Equity</v>
      </c>
      <c r="D1411" s="8" t="str">
        <f>IFERROR(INDEX('nav master'!$C:$C, MATCH(B1411, 'nav master'!$B:$B, 0)), "")</f>
        <v>ULIF03501/01/10BlueChipFd101</v>
      </c>
      <c r="E1411" s="8" t="s">
        <v>213</v>
      </c>
      <c r="F1411" s="8" t="s">
        <v>1768</v>
      </c>
    </row>
    <row r="1412" spans="1:6" ht="60" x14ac:dyDescent="0.25">
      <c r="A1412" s="8" t="s">
        <v>125</v>
      </c>
      <c r="B1412" s="8" t="s">
        <v>130</v>
      </c>
      <c r="C1412" s="8" t="str">
        <f>IFERROR(_xlfn.XLOOKUP(TRIM(B1412),Lookup!$B$2:$B$1000,Lookup!$C$2:$C$1000),"")</f>
        <v>Equity</v>
      </c>
      <c r="D1412" s="8" t="str">
        <f>IFERROR(INDEX('nav master'!$C:$C, MATCH(B1412, 'nav master'!$B:$B, 0)), "")</f>
        <v>ULIF03501/01/10BlueChipFd101</v>
      </c>
      <c r="E1412" s="8" t="s">
        <v>215</v>
      </c>
      <c r="F1412" s="8" t="s">
        <v>1769</v>
      </c>
    </row>
    <row r="1413" spans="1:6" ht="60" x14ac:dyDescent="0.25">
      <c r="A1413" s="8" t="s">
        <v>125</v>
      </c>
      <c r="B1413" s="8" t="s">
        <v>130</v>
      </c>
      <c r="C1413" s="8" t="str">
        <f>IFERROR(_xlfn.XLOOKUP(TRIM(B1413),Lookup!$B$2:$B$1000,Lookup!$C$2:$C$1000),"")</f>
        <v>Equity</v>
      </c>
      <c r="D1413" s="8" t="str">
        <f>IFERROR(INDEX('nav master'!$C:$C, MATCH(B1413, 'nav master'!$B:$B, 0)), "")</f>
        <v>ULIF03501/01/10BlueChipFd101</v>
      </c>
      <c r="E1413" s="8" t="s">
        <v>217</v>
      </c>
      <c r="F1413" s="8" t="s">
        <v>1770</v>
      </c>
    </row>
    <row r="1414" spans="1:6" ht="60" x14ac:dyDescent="0.25">
      <c r="A1414" s="8" t="s">
        <v>125</v>
      </c>
      <c r="B1414" s="8" t="s">
        <v>130</v>
      </c>
      <c r="C1414" s="8" t="str">
        <f>IFERROR(_xlfn.XLOOKUP(TRIM(B1414),Lookup!$B$2:$B$1000,Lookup!$C$2:$C$1000),"")</f>
        <v>Equity</v>
      </c>
      <c r="D1414" s="8" t="str">
        <f>IFERROR(INDEX('nav master'!$C:$C, MATCH(B1414, 'nav master'!$B:$B, 0)), "")</f>
        <v>ULIF03501/01/10BlueChipFd101</v>
      </c>
      <c r="E1414" s="8" t="s">
        <v>219</v>
      </c>
      <c r="F1414" s="8" t="s">
        <v>1771</v>
      </c>
    </row>
    <row r="1415" spans="1:6" ht="60" x14ac:dyDescent="0.25">
      <c r="A1415" s="8" t="s">
        <v>125</v>
      </c>
      <c r="B1415" s="8" t="s">
        <v>130</v>
      </c>
      <c r="C1415" s="8" t="str">
        <f>IFERROR(_xlfn.XLOOKUP(TRIM(B1415),Lookup!$B$2:$B$1000,Lookup!$C$2:$C$1000),"")</f>
        <v>Equity</v>
      </c>
      <c r="D1415" s="8" t="str">
        <f>IFERROR(INDEX('nav master'!$C:$C, MATCH(B1415, 'nav master'!$B:$B, 0)), "")</f>
        <v>ULIF03501/01/10BlueChipFd101</v>
      </c>
      <c r="E1415" s="8" t="s">
        <v>221</v>
      </c>
      <c r="F1415" s="8" t="s">
        <v>1772</v>
      </c>
    </row>
    <row r="1416" spans="1:6" ht="60" x14ac:dyDescent="0.25">
      <c r="A1416" s="8" t="s">
        <v>125</v>
      </c>
      <c r="B1416" s="8" t="s">
        <v>130</v>
      </c>
      <c r="C1416" s="8" t="str">
        <f>IFERROR(_xlfn.XLOOKUP(TRIM(B1416),Lookup!$B$2:$B$1000,Lookup!$C$2:$C$1000),"")</f>
        <v>Equity</v>
      </c>
      <c r="D1416" s="8" t="str">
        <f>IFERROR(INDEX('nav master'!$C:$C, MATCH(B1416, 'nav master'!$B:$B, 0)), "")</f>
        <v>ULIF03501/01/10BlueChipFd101</v>
      </c>
      <c r="E1416" s="8" t="s">
        <v>223</v>
      </c>
      <c r="F1416" s="8" t="s">
        <v>1773</v>
      </c>
    </row>
    <row r="1417" spans="1:6" ht="60" x14ac:dyDescent="0.25">
      <c r="A1417" s="8" t="s">
        <v>125</v>
      </c>
      <c r="B1417" s="8" t="s">
        <v>130</v>
      </c>
      <c r="C1417" s="8" t="str">
        <f>IFERROR(_xlfn.XLOOKUP(TRIM(B1417),Lookup!$B$2:$B$1000,Lookup!$C$2:$C$1000),"")</f>
        <v>Equity</v>
      </c>
      <c r="D1417" s="8" t="str">
        <f>IFERROR(INDEX('nav master'!$C:$C, MATCH(B1417, 'nav master'!$B:$B, 0)), "")</f>
        <v>ULIF03501/01/10BlueChipFd101</v>
      </c>
      <c r="E1417" s="8" t="s">
        <v>225</v>
      </c>
      <c r="F1417" s="8" t="s">
        <v>1774</v>
      </c>
    </row>
    <row r="1418" spans="1:6" ht="60" x14ac:dyDescent="0.25">
      <c r="A1418" s="8" t="s">
        <v>125</v>
      </c>
      <c r="B1418" s="8" t="s">
        <v>130</v>
      </c>
      <c r="C1418" s="8" t="str">
        <f>IFERROR(_xlfn.XLOOKUP(TRIM(B1418),Lookup!$B$2:$B$1000,Lookup!$C$2:$C$1000),"")</f>
        <v>Equity</v>
      </c>
      <c r="D1418" s="8" t="str">
        <f>IFERROR(INDEX('nav master'!$C:$C, MATCH(B1418, 'nav master'!$B:$B, 0)), "")</f>
        <v>ULIF03501/01/10BlueChipFd101</v>
      </c>
      <c r="E1418" s="8" t="s">
        <v>227</v>
      </c>
      <c r="F1418" s="8" t="s">
        <v>1775</v>
      </c>
    </row>
    <row r="1419" spans="1:6" ht="60" x14ac:dyDescent="0.25">
      <c r="A1419" s="8" t="s">
        <v>125</v>
      </c>
      <c r="B1419" s="8" t="s">
        <v>130</v>
      </c>
      <c r="C1419" s="8" t="str">
        <f>IFERROR(_xlfn.XLOOKUP(TRIM(B1419),Lookup!$B$2:$B$1000,Lookup!$C$2:$C$1000),"")</f>
        <v>Equity</v>
      </c>
      <c r="D1419" s="8" t="str">
        <f>IFERROR(INDEX('nav master'!$C:$C, MATCH(B1419, 'nav master'!$B:$B, 0)), "")</f>
        <v>ULIF03501/01/10BlueChipFd101</v>
      </c>
      <c r="E1419" s="8" t="s">
        <v>229</v>
      </c>
      <c r="F1419" s="8" t="s">
        <v>1776</v>
      </c>
    </row>
    <row r="1420" spans="1:6" ht="60" x14ac:dyDescent="0.25">
      <c r="A1420" s="8" t="s">
        <v>125</v>
      </c>
      <c r="B1420" s="8" t="s">
        <v>130</v>
      </c>
      <c r="C1420" s="8" t="str">
        <f>IFERROR(_xlfn.XLOOKUP(TRIM(B1420),Lookup!$B$2:$B$1000,Lookup!$C$2:$C$1000),"")</f>
        <v>Equity</v>
      </c>
      <c r="D1420" s="8" t="str">
        <f>IFERROR(INDEX('nav master'!$C:$C, MATCH(B1420, 'nav master'!$B:$B, 0)), "")</f>
        <v>ULIF03501/01/10BlueChipFd101</v>
      </c>
      <c r="E1420" s="8" t="s">
        <v>231</v>
      </c>
      <c r="F1420" s="8" t="s">
        <v>1777</v>
      </c>
    </row>
    <row r="1421" spans="1:6" ht="60" x14ac:dyDescent="0.25">
      <c r="A1421" s="8" t="s">
        <v>125</v>
      </c>
      <c r="B1421" s="8" t="s">
        <v>130</v>
      </c>
      <c r="C1421" s="8" t="str">
        <f>IFERROR(_xlfn.XLOOKUP(TRIM(B1421),Lookup!$B$2:$B$1000,Lookup!$C$2:$C$1000),"")</f>
        <v>Equity</v>
      </c>
      <c r="D1421" s="8" t="str">
        <f>IFERROR(INDEX('nav master'!$C:$C, MATCH(B1421, 'nav master'!$B:$B, 0)), "")</f>
        <v>ULIF03501/01/10BlueChipFd101</v>
      </c>
      <c r="E1421" s="8" t="s">
        <v>233</v>
      </c>
      <c r="F1421" s="8" t="s">
        <v>1778</v>
      </c>
    </row>
    <row r="1422" spans="1:6" ht="60" x14ac:dyDescent="0.25">
      <c r="A1422" s="8" t="s">
        <v>125</v>
      </c>
      <c r="B1422" s="8" t="s">
        <v>130</v>
      </c>
      <c r="C1422" s="8" t="str">
        <f>IFERROR(_xlfn.XLOOKUP(TRIM(B1422),Lookup!$B$2:$B$1000,Lookup!$C$2:$C$1000),"")</f>
        <v>Equity</v>
      </c>
      <c r="D1422" s="8" t="str">
        <f>IFERROR(INDEX('nav master'!$C:$C, MATCH(B1422, 'nav master'!$B:$B, 0)), "")</f>
        <v>ULIF03501/01/10BlueChipFd101</v>
      </c>
      <c r="E1422" s="8" t="s">
        <v>235</v>
      </c>
      <c r="F1422" s="8" t="s">
        <v>1779</v>
      </c>
    </row>
    <row r="1423" spans="1:6" ht="60" x14ac:dyDescent="0.25">
      <c r="A1423" s="8" t="s">
        <v>125</v>
      </c>
      <c r="B1423" s="8" t="s">
        <v>130</v>
      </c>
      <c r="C1423" s="8" t="str">
        <f>IFERROR(_xlfn.XLOOKUP(TRIM(B1423),Lookup!$B$2:$B$1000,Lookup!$C$2:$C$1000),"")</f>
        <v>Equity</v>
      </c>
      <c r="D1423" s="8" t="str">
        <f>IFERROR(INDEX('nav master'!$C:$C, MATCH(B1423, 'nav master'!$B:$B, 0)), "")</f>
        <v>ULIF03501/01/10BlueChipFd101</v>
      </c>
      <c r="E1423" s="8" t="s">
        <v>237</v>
      </c>
      <c r="F1423" s="8" t="s">
        <v>1780</v>
      </c>
    </row>
    <row r="1424" spans="1:6" ht="60" x14ac:dyDescent="0.25">
      <c r="A1424" s="8" t="s">
        <v>125</v>
      </c>
      <c r="B1424" s="8" t="s">
        <v>130</v>
      </c>
      <c r="C1424" s="8" t="str">
        <f>IFERROR(_xlfn.XLOOKUP(TRIM(B1424),Lookup!$B$2:$B$1000,Lookup!$C$2:$C$1000),"")</f>
        <v>Equity</v>
      </c>
      <c r="D1424" s="8" t="str">
        <f>IFERROR(INDEX('nav master'!$C:$C, MATCH(B1424, 'nav master'!$B:$B, 0)), "")</f>
        <v>ULIF03501/01/10BlueChipFd101</v>
      </c>
      <c r="E1424" s="8" t="s">
        <v>239</v>
      </c>
      <c r="F1424" s="8" t="s">
        <v>1781</v>
      </c>
    </row>
    <row r="1425" spans="1:6" ht="60" x14ac:dyDescent="0.25">
      <c r="A1425" s="8" t="s">
        <v>125</v>
      </c>
      <c r="B1425" s="8" t="s">
        <v>130</v>
      </c>
      <c r="C1425" s="8" t="str">
        <f>IFERROR(_xlfn.XLOOKUP(TRIM(B1425),Lookup!$B$2:$B$1000,Lookup!$C$2:$C$1000),"")</f>
        <v>Equity</v>
      </c>
      <c r="D1425" s="8" t="str">
        <f>IFERROR(INDEX('nav master'!$C:$C, MATCH(B1425, 'nav master'!$B:$B, 0)), "")</f>
        <v>ULIF03501/01/10BlueChipFd101</v>
      </c>
      <c r="E1425" s="8" t="s">
        <v>241</v>
      </c>
      <c r="F1425" s="8" t="s">
        <v>1782</v>
      </c>
    </row>
    <row r="1426" spans="1:6" ht="60" x14ac:dyDescent="0.25">
      <c r="A1426" s="8" t="s">
        <v>125</v>
      </c>
      <c r="B1426" s="8" t="s">
        <v>130</v>
      </c>
      <c r="C1426" s="8" t="str">
        <f>IFERROR(_xlfn.XLOOKUP(TRIM(B1426),Lookup!$B$2:$B$1000,Lookup!$C$2:$C$1000),"")</f>
        <v>Equity</v>
      </c>
      <c r="D1426" s="8" t="str">
        <f>IFERROR(INDEX('nav master'!$C:$C, MATCH(B1426, 'nav master'!$B:$B, 0)), "")</f>
        <v>ULIF03501/01/10BlueChipFd101</v>
      </c>
      <c r="E1426" s="8" t="s">
        <v>243</v>
      </c>
      <c r="F1426" s="8" t="s">
        <v>1783</v>
      </c>
    </row>
    <row r="1427" spans="1:6" ht="60" x14ac:dyDescent="0.25">
      <c r="A1427" s="8" t="s">
        <v>125</v>
      </c>
      <c r="B1427" s="8" t="s">
        <v>130</v>
      </c>
      <c r="C1427" s="8" t="str">
        <f>IFERROR(_xlfn.XLOOKUP(TRIM(B1427),Lookup!$B$2:$B$1000,Lookup!$C$2:$C$1000),"")</f>
        <v>Equity</v>
      </c>
      <c r="D1427" s="8" t="str">
        <f>IFERROR(INDEX('nav master'!$C:$C, MATCH(B1427, 'nav master'!$B:$B, 0)), "")</f>
        <v>ULIF03501/01/10BlueChipFd101</v>
      </c>
      <c r="E1427" s="8" t="s">
        <v>245</v>
      </c>
      <c r="F1427" s="8" t="s">
        <v>1784</v>
      </c>
    </row>
    <row r="1428" spans="1:6" ht="60" x14ac:dyDescent="0.25">
      <c r="A1428" s="8" t="s">
        <v>125</v>
      </c>
      <c r="B1428" s="8" t="s">
        <v>130</v>
      </c>
      <c r="C1428" s="8" t="str">
        <f>IFERROR(_xlfn.XLOOKUP(TRIM(B1428),Lookup!$B$2:$B$1000,Lookup!$C$2:$C$1000),"")</f>
        <v>Equity</v>
      </c>
      <c r="D1428" s="8" t="str">
        <f>IFERROR(INDEX('nav master'!$C:$C, MATCH(B1428, 'nav master'!$B:$B, 0)), "")</f>
        <v>ULIF03501/01/10BlueChipFd101</v>
      </c>
      <c r="E1428" s="8" t="s">
        <v>247</v>
      </c>
      <c r="F1428" s="8" t="s">
        <v>1785</v>
      </c>
    </row>
    <row r="1429" spans="1:6" ht="60" x14ac:dyDescent="0.25">
      <c r="A1429" s="8" t="s">
        <v>125</v>
      </c>
      <c r="B1429" s="8" t="s">
        <v>130</v>
      </c>
      <c r="C1429" s="8" t="str">
        <f>IFERROR(_xlfn.XLOOKUP(TRIM(B1429),Lookup!$B$2:$B$1000,Lookup!$C$2:$C$1000),"")</f>
        <v>Equity</v>
      </c>
      <c r="D1429" s="8" t="str">
        <f>IFERROR(INDEX('nav master'!$C:$C, MATCH(B1429, 'nav master'!$B:$B, 0)), "")</f>
        <v>ULIF03501/01/10BlueChipFd101</v>
      </c>
      <c r="E1429" s="8" t="s">
        <v>249</v>
      </c>
      <c r="F1429" s="8" t="s">
        <v>1786</v>
      </c>
    </row>
    <row r="1430" spans="1:6" ht="60" x14ac:dyDescent="0.25">
      <c r="A1430" s="8" t="s">
        <v>125</v>
      </c>
      <c r="B1430" s="8" t="s">
        <v>130</v>
      </c>
      <c r="C1430" s="8" t="str">
        <f>IFERROR(_xlfn.XLOOKUP(TRIM(B1430),Lookup!$B$2:$B$1000,Lookup!$C$2:$C$1000),"")</f>
        <v>Equity</v>
      </c>
      <c r="D1430" s="8" t="str">
        <f>IFERROR(INDEX('nav master'!$C:$C, MATCH(B1430, 'nav master'!$B:$B, 0)), "")</f>
        <v>ULIF03501/01/10BlueChipFd101</v>
      </c>
      <c r="E1430" s="8" t="s">
        <v>251</v>
      </c>
      <c r="F1430" s="8" t="s">
        <v>1787</v>
      </c>
    </row>
    <row r="1431" spans="1:6" ht="60" x14ac:dyDescent="0.25">
      <c r="A1431" s="8" t="s">
        <v>125</v>
      </c>
      <c r="B1431" s="8" t="s">
        <v>130</v>
      </c>
      <c r="C1431" s="8" t="str">
        <f>IFERROR(_xlfn.XLOOKUP(TRIM(B1431),Lookup!$B$2:$B$1000,Lookup!$C$2:$C$1000),"")</f>
        <v>Equity</v>
      </c>
      <c r="D1431" s="8" t="str">
        <f>IFERROR(INDEX('nav master'!$C:$C, MATCH(B1431, 'nav master'!$B:$B, 0)), "")</f>
        <v>ULIF03501/01/10BlueChipFd101</v>
      </c>
      <c r="E1431" s="8" t="s">
        <v>253</v>
      </c>
      <c r="F1431" s="8" t="s">
        <v>1788</v>
      </c>
    </row>
    <row r="1432" spans="1:6" ht="60" x14ac:dyDescent="0.25">
      <c r="A1432" s="8" t="s">
        <v>125</v>
      </c>
      <c r="B1432" s="8" t="s">
        <v>130</v>
      </c>
      <c r="C1432" s="8" t="str">
        <f>IFERROR(_xlfn.XLOOKUP(TRIM(B1432),Lookup!$B$2:$B$1000,Lookup!$C$2:$C$1000),"")</f>
        <v>Equity</v>
      </c>
      <c r="D1432" s="8" t="str">
        <f>IFERROR(INDEX('nav master'!$C:$C, MATCH(B1432, 'nav master'!$B:$B, 0)), "")</f>
        <v>ULIF03501/01/10BlueChipFd101</v>
      </c>
      <c r="E1432" s="8" t="s">
        <v>255</v>
      </c>
      <c r="F1432" s="8" t="s">
        <v>1789</v>
      </c>
    </row>
    <row r="1433" spans="1:6" ht="60" x14ac:dyDescent="0.25">
      <c r="A1433" s="8" t="s">
        <v>125</v>
      </c>
      <c r="B1433" s="8" t="s">
        <v>130</v>
      </c>
      <c r="C1433" s="8" t="str">
        <f>IFERROR(_xlfn.XLOOKUP(TRIM(B1433),Lookup!$B$2:$B$1000,Lookup!$C$2:$C$1000),"")</f>
        <v>Equity</v>
      </c>
      <c r="D1433" s="8" t="str">
        <f>IFERROR(INDEX('nav master'!$C:$C, MATCH(B1433, 'nav master'!$B:$B, 0)), "")</f>
        <v>ULIF03501/01/10BlueChipFd101</v>
      </c>
      <c r="E1433" s="8" t="s">
        <v>257</v>
      </c>
      <c r="F1433" s="8" t="s">
        <v>1790</v>
      </c>
    </row>
    <row r="1434" spans="1:6" ht="60" x14ac:dyDescent="0.25">
      <c r="A1434" s="8" t="s">
        <v>125</v>
      </c>
      <c r="B1434" s="8" t="s">
        <v>130</v>
      </c>
      <c r="C1434" s="8" t="str">
        <f>IFERROR(_xlfn.XLOOKUP(TRIM(B1434),Lookup!$B$2:$B$1000,Lookup!$C$2:$C$1000),"")</f>
        <v>Equity</v>
      </c>
      <c r="D1434" s="8" t="str">
        <f>IFERROR(INDEX('nav master'!$C:$C, MATCH(B1434, 'nav master'!$B:$B, 0)), "")</f>
        <v>ULIF03501/01/10BlueChipFd101</v>
      </c>
      <c r="E1434" s="8" t="s">
        <v>259</v>
      </c>
      <c r="F1434" s="8" t="s">
        <v>1791</v>
      </c>
    </row>
    <row r="1435" spans="1:6" ht="60" x14ac:dyDescent="0.25">
      <c r="A1435" s="8" t="s">
        <v>125</v>
      </c>
      <c r="B1435" s="8" t="s">
        <v>130</v>
      </c>
      <c r="C1435" s="8" t="str">
        <f>IFERROR(_xlfn.XLOOKUP(TRIM(B1435),Lookup!$B$2:$B$1000,Lookup!$C$2:$C$1000),"")</f>
        <v>Equity</v>
      </c>
      <c r="D1435" s="8" t="str">
        <f>IFERROR(INDEX('nav master'!$C:$C, MATCH(B1435, 'nav master'!$B:$B, 0)), "")</f>
        <v>ULIF03501/01/10BlueChipFd101</v>
      </c>
      <c r="E1435" s="8" t="s">
        <v>261</v>
      </c>
      <c r="F1435" s="8" t="s">
        <v>1792</v>
      </c>
    </row>
    <row r="1436" spans="1:6" ht="60" x14ac:dyDescent="0.25">
      <c r="A1436" s="8" t="s">
        <v>125</v>
      </c>
      <c r="B1436" s="8" t="s">
        <v>130</v>
      </c>
      <c r="C1436" s="8" t="str">
        <f>IFERROR(_xlfn.XLOOKUP(TRIM(B1436),Lookup!$B$2:$B$1000,Lookup!$C$2:$C$1000),"")</f>
        <v>Equity</v>
      </c>
      <c r="D1436" s="8" t="str">
        <f>IFERROR(INDEX('nav master'!$C:$C, MATCH(B1436, 'nav master'!$B:$B, 0)), "")</f>
        <v>ULIF03501/01/10BlueChipFd101</v>
      </c>
      <c r="E1436" s="8" t="s">
        <v>263</v>
      </c>
      <c r="F1436" s="8" t="s">
        <v>1793</v>
      </c>
    </row>
    <row r="1437" spans="1:6" ht="60" x14ac:dyDescent="0.25">
      <c r="A1437" s="8" t="s">
        <v>125</v>
      </c>
      <c r="B1437" s="8" t="s">
        <v>130</v>
      </c>
      <c r="C1437" s="8" t="str">
        <f>IFERROR(_xlfn.XLOOKUP(TRIM(B1437),Lookup!$B$2:$B$1000,Lookup!$C$2:$C$1000),"")</f>
        <v>Equity</v>
      </c>
      <c r="D1437" s="8" t="str">
        <f>IFERROR(INDEX('nav master'!$C:$C, MATCH(B1437, 'nav master'!$B:$B, 0)), "")</f>
        <v>ULIF03501/01/10BlueChipFd101</v>
      </c>
      <c r="E1437" s="8" t="s">
        <v>265</v>
      </c>
      <c r="F1437" s="8" t="s">
        <v>1794</v>
      </c>
    </row>
    <row r="1438" spans="1:6" ht="60" x14ac:dyDescent="0.25">
      <c r="A1438" s="8" t="s">
        <v>125</v>
      </c>
      <c r="B1438" s="8" t="s">
        <v>130</v>
      </c>
      <c r="C1438" s="8" t="str">
        <f>IFERROR(_xlfn.XLOOKUP(TRIM(B1438),Lookup!$B$2:$B$1000,Lookup!$C$2:$C$1000),"")</f>
        <v>Equity</v>
      </c>
      <c r="D1438" s="8" t="str">
        <f>IFERROR(INDEX('nav master'!$C:$C, MATCH(B1438, 'nav master'!$B:$B, 0)), "")</f>
        <v>ULIF03501/01/10BlueChipFd101</v>
      </c>
      <c r="E1438" s="8" t="s">
        <v>267</v>
      </c>
      <c r="F1438" s="8" t="s">
        <v>1795</v>
      </c>
    </row>
    <row r="1439" spans="1:6" ht="60" x14ac:dyDescent="0.25">
      <c r="A1439" s="8" t="s">
        <v>125</v>
      </c>
      <c r="B1439" s="8" t="s">
        <v>130</v>
      </c>
      <c r="C1439" s="8" t="str">
        <f>IFERROR(_xlfn.XLOOKUP(TRIM(B1439),Lookup!$B$2:$B$1000,Lookup!$C$2:$C$1000),"")</f>
        <v>Equity</v>
      </c>
      <c r="D1439" s="8" t="str">
        <f>IFERROR(INDEX('nav master'!$C:$C, MATCH(B1439, 'nav master'!$B:$B, 0)), "")</f>
        <v>ULIF03501/01/10BlueChipFd101</v>
      </c>
      <c r="E1439" s="8" t="s">
        <v>269</v>
      </c>
      <c r="F1439" s="8" t="s">
        <v>1796</v>
      </c>
    </row>
    <row r="1440" spans="1:6" ht="60" x14ac:dyDescent="0.25">
      <c r="A1440" s="8" t="s">
        <v>125</v>
      </c>
      <c r="B1440" s="8" t="s">
        <v>130</v>
      </c>
      <c r="C1440" s="8" t="str">
        <f>IFERROR(_xlfn.XLOOKUP(TRIM(B1440),Lookup!$B$2:$B$1000,Lookup!$C$2:$C$1000),"")</f>
        <v>Equity</v>
      </c>
      <c r="D1440" s="8" t="str">
        <f>IFERROR(INDEX('nav master'!$C:$C, MATCH(B1440, 'nav master'!$B:$B, 0)), "")</f>
        <v>ULIF03501/01/10BlueChipFd101</v>
      </c>
      <c r="E1440" s="8" t="s">
        <v>271</v>
      </c>
      <c r="F1440" s="8" t="s">
        <v>1797</v>
      </c>
    </row>
    <row r="1441" spans="1:6" ht="60" x14ac:dyDescent="0.25">
      <c r="A1441" s="8" t="s">
        <v>125</v>
      </c>
      <c r="B1441" s="8" t="s">
        <v>130</v>
      </c>
      <c r="C1441" s="8" t="str">
        <f>IFERROR(_xlfn.XLOOKUP(TRIM(B1441),Lookup!$B$2:$B$1000,Lookup!$C$2:$C$1000),"")</f>
        <v>Equity</v>
      </c>
      <c r="D1441" s="8" t="str">
        <f>IFERROR(INDEX('nav master'!$C:$C, MATCH(B1441, 'nav master'!$B:$B, 0)), "")</f>
        <v>ULIF03501/01/10BlueChipFd101</v>
      </c>
      <c r="E1441" s="8" t="s">
        <v>273</v>
      </c>
      <c r="F1441" s="8" t="s">
        <v>1798</v>
      </c>
    </row>
    <row r="1442" spans="1:6" ht="60" x14ac:dyDescent="0.25">
      <c r="A1442" s="8" t="s">
        <v>125</v>
      </c>
      <c r="B1442" s="8" t="s">
        <v>130</v>
      </c>
      <c r="C1442" s="8" t="str">
        <f>IFERROR(_xlfn.XLOOKUP(TRIM(B1442),Lookup!$B$2:$B$1000,Lookup!$C$2:$C$1000),"")</f>
        <v>Equity</v>
      </c>
      <c r="D1442" s="8" t="str">
        <f>IFERROR(INDEX('nav master'!$C:$C, MATCH(B1442, 'nav master'!$B:$B, 0)), "")</f>
        <v>ULIF03501/01/10BlueChipFd101</v>
      </c>
      <c r="E1442" s="8" t="s">
        <v>275</v>
      </c>
      <c r="F1442" s="8" t="s">
        <v>1799</v>
      </c>
    </row>
    <row r="1443" spans="1:6" ht="60" x14ac:dyDescent="0.25">
      <c r="A1443" s="8" t="s">
        <v>125</v>
      </c>
      <c r="B1443" s="8" t="s">
        <v>130</v>
      </c>
      <c r="C1443" s="8" t="str">
        <f>IFERROR(_xlfn.XLOOKUP(TRIM(B1443),Lookup!$B$2:$B$1000,Lookup!$C$2:$C$1000),"")</f>
        <v>Equity</v>
      </c>
      <c r="D1443" s="8" t="str">
        <f>IFERROR(INDEX('nav master'!$C:$C, MATCH(B1443, 'nav master'!$B:$B, 0)), "")</f>
        <v>ULIF03501/01/10BlueChipFd101</v>
      </c>
      <c r="E1443" s="8" t="s">
        <v>277</v>
      </c>
      <c r="F1443" s="8" t="s">
        <v>1800</v>
      </c>
    </row>
    <row r="1444" spans="1:6" ht="60" x14ac:dyDescent="0.25">
      <c r="A1444" s="8" t="s">
        <v>125</v>
      </c>
      <c r="B1444" s="8" t="s">
        <v>130</v>
      </c>
      <c r="C1444" s="8" t="str">
        <f>IFERROR(_xlfn.XLOOKUP(TRIM(B1444),Lookup!$B$2:$B$1000,Lookup!$C$2:$C$1000),"")</f>
        <v>Equity</v>
      </c>
      <c r="D1444" s="8" t="str">
        <f>IFERROR(INDEX('nav master'!$C:$C, MATCH(B1444, 'nav master'!$B:$B, 0)), "")</f>
        <v>ULIF03501/01/10BlueChipFd101</v>
      </c>
      <c r="E1444" s="8" t="s">
        <v>279</v>
      </c>
      <c r="F1444" s="8" t="s">
        <v>1801</v>
      </c>
    </row>
    <row r="1445" spans="1:6" ht="60" x14ac:dyDescent="0.25">
      <c r="A1445" s="8" t="s">
        <v>125</v>
      </c>
      <c r="B1445" s="8" t="s">
        <v>130</v>
      </c>
      <c r="C1445" s="8" t="str">
        <f>IFERROR(_xlfn.XLOOKUP(TRIM(B1445),Lookup!$B$2:$B$1000,Lookup!$C$2:$C$1000),"")</f>
        <v>Equity</v>
      </c>
      <c r="D1445" s="8" t="str">
        <f>IFERROR(INDEX('nav master'!$C:$C, MATCH(B1445, 'nav master'!$B:$B, 0)), "")</f>
        <v>ULIF03501/01/10BlueChipFd101</v>
      </c>
      <c r="E1445" s="8" t="s">
        <v>281</v>
      </c>
      <c r="F1445" s="8" t="s">
        <v>1802</v>
      </c>
    </row>
    <row r="1446" spans="1:6" ht="60" x14ac:dyDescent="0.25">
      <c r="A1446" s="8" t="s">
        <v>125</v>
      </c>
      <c r="B1446" s="8" t="s">
        <v>130</v>
      </c>
      <c r="C1446" s="8" t="str">
        <f>IFERROR(_xlfn.XLOOKUP(TRIM(B1446),Lookup!$B$2:$B$1000,Lookup!$C$2:$C$1000),"")</f>
        <v>Equity</v>
      </c>
      <c r="D1446" s="8" t="str">
        <f>IFERROR(INDEX('nav master'!$C:$C, MATCH(B1446, 'nav master'!$B:$B, 0)), "")</f>
        <v>ULIF03501/01/10BlueChipFd101</v>
      </c>
      <c r="E1446" s="8" t="s">
        <v>283</v>
      </c>
      <c r="F1446" s="8" t="s">
        <v>1803</v>
      </c>
    </row>
    <row r="1447" spans="1:6" ht="60" x14ac:dyDescent="0.25">
      <c r="A1447" s="8" t="s">
        <v>125</v>
      </c>
      <c r="B1447" s="8" t="s">
        <v>130</v>
      </c>
      <c r="C1447" s="8" t="str">
        <f>IFERROR(_xlfn.XLOOKUP(TRIM(B1447),Lookup!$B$2:$B$1000,Lookup!$C$2:$C$1000),"")</f>
        <v>Equity</v>
      </c>
      <c r="D1447" s="8" t="str">
        <f>IFERROR(INDEX('nav master'!$C:$C, MATCH(B1447, 'nav master'!$B:$B, 0)), "")</f>
        <v>ULIF03501/01/10BlueChipFd101</v>
      </c>
      <c r="E1447" s="8" t="s">
        <v>285</v>
      </c>
      <c r="F1447" s="8" t="s">
        <v>1804</v>
      </c>
    </row>
    <row r="1448" spans="1:6" ht="60" x14ac:dyDescent="0.25">
      <c r="A1448" s="8" t="s">
        <v>125</v>
      </c>
      <c r="B1448" s="8" t="s">
        <v>130</v>
      </c>
      <c r="C1448" s="8" t="str">
        <f>IFERROR(_xlfn.XLOOKUP(TRIM(B1448),Lookup!$B$2:$B$1000,Lookup!$C$2:$C$1000),"")</f>
        <v>Equity</v>
      </c>
      <c r="D1448" s="8" t="str">
        <f>IFERROR(INDEX('nav master'!$C:$C, MATCH(B1448, 'nav master'!$B:$B, 0)), "")</f>
        <v>ULIF03501/01/10BlueChipFd101</v>
      </c>
      <c r="E1448" s="8" t="s">
        <v>287</v>
      </c>
      <c r="F1448" s="8" t="s">
        <v>1805</v>
      </c>
    </row>
    <row r="1449" spans="1:6" ht="60" x14ac:dyDescent="0.25">
      <c r="A1449" s="8" t="s">
        <v>125</v>
      </c>
      <c r="B1449" s="8" t="s">
        <v>130</v>
      </c>
      <c r="C1449" s="8" t="str">
        <f>IFERROR(_xlfn.XLOOKUP(TRIM(B1449),Lookup!$B$2:$B$1000,Lookup!$C$2:$C$1000),"")</f>
        <v>Equity</v>
      </c>
      <c r="D1449" s="8" t="str">
        <f>IFERROR(INDEX('nav master'!$C:$C, MATCH(B1449, 'nav master'!$B:$B, 0)), "")</f>
        <v>ULIF03501/01/10BlueChipFd101</v>
      </c>
      <c r="E1449" s="8" t="s">
        <v>289</v>
      </c>
      <c r="F1449" s="8" t="s">
        <v>1806</v>
      </c>
    </row>
    <row r="1450" spans="1:6" ht="60" x14ac:dyDescent="0.25">
      <c r="A1450" s="8" t="s">
        <v>125</v>
      </c>
      <c r="B1450" s="8" t="s">
        <v>130</v>
      </c>
      <c r="C1450" s="8" t="str">
        <f>IFERROR(_xlfn.XLOOKUP(TRIM(B1450),Lookup!$B$2:$B$1000,Lookup!$C$2:$C$1000),"")</f>
        <v>Equity</v>
      </c>
      <c r="D1450" s="8" t="str">
        <f>IFERROR(INDEX('nav master'!$C:$C, MATCH(B1450, 'nav master'!$B:$B, 0)), "")</f>
        <v>ULIF03501/01/10BlueChipFd101</v>
      </c>
      <c r="E1450" s="8" t="s">
        <v>291</v>
      </c>
      <c r="F1450" s="8" t="s">
        <v>1807</v>
      </c>
    </row>
    <row r="1451" spans="1:6" ht="60" x14ac:dyDescent="0.25">
      <c r="A1451" s="8" t="s">
        <v>125</v>
      </c>
      <c r="B1451" s="8" t="s">
        <v>130</v>
      </c>
      <c r="C1451" s="8" t="str">
        <f>IFERROR(_xlfn.XLOOKUP(TRIM(B1451),Lookup!$B$2:$B$1000,Lookup!$C$2:$C$1000),"")</f>
        <v>Equity</v>
      </c>
      <c r="D1451" s="8" t="str">
        <f>IFERROR(INDEX('nav master'!$C:$C, MATCH(B1451, 'nav master'!$B:$B, 0)), "")</f>
        <v>ULIF03501/01/10BlueChipFd101</v>
      </c>
      <c r="E1451" s="8" t="s">
        <v>293</v>
      </c>
      <c r="F1451" s="8" t="s">
        <v>1808</v>
      </c>
    </row>
    <row r="1452" spans="1:6" ht="60" x14ac:dyDescent="0.25">
      <c r="A1452" s="8" t="s">
        <v>125</v>
      </c>
      <c r="B1452" s="8" t="s">
        <v>130</v>
      </c>
      <c r="C1452" s="8" t="str">
        <f>IFERROR(_xlfn.XLOOKUP(TRIM(B1452),Lookup!$B$2:$B$1000,Lookup!$C$2:$C$1000),"")</f>
        <v>Equity</v>
      </c>
      <c r="D1452" s="8" t="str">
        <f>IFERROR(INDEX('nav master'!$C:$C, MATCH(B1452, 'nav master'!$B:$B, 0)), "")</f>
        <v>ULIF03501/01/10BlueChipFd101</v>
      </c>
      <c r="E1452" s="8" t="s">
        <v>295</v>
      </c>
      <c r="F1452" s="8" t="s">
        <v>1809</v>
      </c>
    </row>
    <row r="1453" spans="1:6" ht="60" x14ac:dyDescent="0.25">
      <c r="A1453" s="8" t="s">
        <v>125</v>
      </c>
      <c r="B1453" s="8" t="s">
        <v>130</v>
      </c>
      <c r="C1453" s="8" t="str">
        <f>IFERROR(_xlfn.XLOOKUP(TRIM(B1453),Lookup!$B$2:$B$1000,Lookup!$C$2:$C$1000),"")</f>
        <v>Equity</v>
      </c>
      <c r="D1453" s="8" t="str">
        <f>IFERROR(INDEX('nav master'!$C:$C, MATCH(B1453, 'nav master'!$B:$B, 0)), "")</f>
        <v>ULIF03501/01/10BlueChipFd101</v>
      </c>
      <c r="E1453" s="8" t="s">
        <v>297</v>
      </c>
      <c r="F1453" s="8" t="s">
        <v>1810</v>
      </c>
    </row>
    <row r="1454" spans="1:6" ht="60" x14ac:dyDescent="0.25">
      <c r="A1454" s="8" t="s">
        <v>125</v>
      </c>
      <c r="B1454" s="8" t="s">
        <v>130</v>
      </c>
      <c r="C1454" s="8" t="str">
        <f>IFERROR(_xlfn.XLOOKUP(TRIM(B1454),Lookup!$B$2:$B$1000,Lookup!$C$2:$C$1000),"")</f>
        <v>Equity</v>
      </c>
      <c r="D1454" s="8" t="str">
        <f>IFERROR(INDEX('nav master'!$C:$C, MATCH(B1454, 'nav master'!$B:$B, 0)), "")</f>
        <v>ULIF03501/01/10BlueChipFd101</v>
      </c>
      <c r="E1454" s="8" t="s">
        <v>299</v>
      </c>
      <c r="F1454" s="8" t="s">
        <v>1811</v>
      </c>
    </row>
    <row r="1455" spans="1:6" ht="60" x14ac:dyDescent="0.25">
      <c r="A1455" s="8" t="s">
        <v>125</v>
      </c>
      <c r="B1455" s="8" t="s">
        <v>130</v>
      </c>
      <c r="C1455" s="8" t="str">
        <f>IFERROR(_xlfn.XLOOKUP(TRIM(B1455),Lookup!$B$2:$B$1000,Lookup!$C$2:$C$1000),"")</f>
        <v>Equity</v>
      </c>
      <c r="D1455" s="8" t="str">
        <f>IFERROR(INDEX('nav master'!$C:$C, MATCH(B1455, 'nav master'!$B:$B, 0)), "")</f>
        <v>ULIF03501/01/10BlueChipFd101</v>
      </c>
      <c r="E1455" s="8" t="s">
        <v>301</v>
      </c>
      <c r="F1455" s="8" t="s">
        <v>1812</v>
      </c>
    </row>
    <row r="1456" spans="1:6" ht="60" x14ac:dyDescent="0.25">
      <c r="A1456" s="8" t="s">
        <v>125</v>
      </c>
      <c r="B1456" s="8" t="s">
        <v>130</v>
      </c>
      <c r="C1456" s="8" t="str">
        <f>IFERROR(_xlfn.XLOOKUP(TRIM(B1456),Lookup!$B$2:$B$1000,Lookup!$C$2:$C$1000),"")</f>
        <v>Equity</v>
      </c>
      <c r="D1456" s="8" t="str">
        <f>IFERROR(INDEX('nav master'!$C:$C, MATCH(B1456, 'nav master'!$B:$B, 0)), "")</f>
        <v>ULIF03501/01/10BlueChipFd101</v>
      </c>
      <c r="E1456" s="8" t="s">
        <v>303</v>
      </c>
      <c r="F1456" s="8" t="s">
        <v>1813</v>
      </c>
    </row>
    <row r="1457" spans="1:6" ht="60" x14ac:dyDescent="0.25">
      <c r="A1457" s="8" t="s">
        <v>125</v>
      </c>
      <c r="B1457" s="8" t="s">
        <v>130</v>
      </c>
      <c r="C1457" s="8" t="str">
        <f>IFERROR(_xlfn.XLOOKUP(TRIM(B1457),Lookup!$B$2:$B$1000,Lookup!$C$2:$C$1000),"")</f>
        <v>Equity</v>
      </c>
      <c r="D1457" s="8" t="str">
        <f>IFERROR(INDEX('nav master'!$C:$C, MATCH(B1457, 'nav master'!$B:$B, 0)), "")</f>
        <v>ULIF03501/01/10BlueChipFd101</v>
      </c>
      <c r="E1457" s="8" t="s">
        <v>305</v>
      </c>
      <c r="F1457" s="8" t="s">
        <v>1814</v>
      </c>
    </row>
    <row r="1458" spans="1:6" ht="60" x14ac:dyDescent="0.25">
      <c r="A1458" s="8" t="s">
        <v>125</v>
      </c>
      <c r="B1458" s="8" t="s">
        <v>130</v>
      </c>
      <c r="C1458" s="8" t="str">
        <f>IFERROR(_xlfn.XLOOKUP(TRIM(B1458),Lookup!$B$2:$B$1000,Lookup!$C$2:$C$1000),"")</f>
        <v>Equity</v>
      </c>
      <c r="D1458" s="8" t="str">
        <f>IFERROR(INDEX('nav master'!$C:$C, MATCH(B1458, 'nav master'!$B:$B, 0)), "")</f>
        <v>ULIF03501/01/10BlueChipFd101</v>
      </c>
      <c r="E1458" s="8" t="s">
        <v>307</v>
      </c>
      <c r="F1458" s="8" t="s">
        <v>1815</v>
      </c>
    </row>
    <row r="1459" spans="1:6" ht="60" x14ac:dyDescent="0.25">
      <c r="A1459" s="8" t="s">
        <v>125</v>
      </c>
      <c r="B1459" s="8" t="s">
        <v>130</v>
      </c>
      <c r="C1459" s="8" t="str">
        <f>IFERROR(_xlfn.XLOOKUP(TRIM(B1459),Lookup!$B$2:$B$1000,Lookup!$C$2:$C$1000),"")</f>
        <v>Equity</v>
      </c>
      <c r="D1459" s="8" t="str">
        <f>IFERROR(INDEX('nav master'!$C:$C, MATCH(B1459, 'nav master'!$B:$B, 0)), "")</f>
        <v>ULIF03501/01/10BlueChipFd101</v>
      </c>
      <c r="E1459" s="8" t="s">
        <v>309</v>
      </c>
      <c r="F1459" s="8" t="s">
        <v>1816</v>
      </c>
    </row>
    <row r="1460" spans="1:6" ht="60" x14ac:dyDescent="0.25">
      <c r="A1460" s="8" t="s">
        <v>125</v>
      </c>
      <c r="B1460" s="8" t="s">
        <v>130</v>
      </c>
      <c r="C1460" s="8" t="str">
        <f>IFERROR(_xlfn.XLOOKUP(TRIM(B1460),Lookup!$B$2:$B$1000,Lookup!$C$2:$C$1000),"")</f>
        <v>Equity</v>
      </c>
      <c r="D1460" s="8" t="str">
        <f>IFERROR(INDEX('nav master'!$C:$C, MATCH(B1460, 'nav master'!$B:$B, 0)), "")</f>
        <v>ULIF03501/01/10BlueChipFd101</v>
      </c>
      <c r="E1460" s="8" t="s">
        <v>311</v>
      </c>
      <c r="F1460" s="8" t="s">
        <v>1817</v>
      </c>
    </row>
    <row r="1461" spans="1:6" ht="60" x14ac:dyDescent="0.25">
      <c r="A1461" s="8" t="s">
        <v>125</v>
      </c>
      <c r="B1461" s="8" t="s">
        <v>130</v>
      </c>
      <c r="C1461" s="8" t="str">
        <f>IFERROR(_xlfn.XLOOKUP(TRIM(B1461),Lookup!$B$2:$B$1000,Lookup!$C$2:$C$1000),"")</f>
        <v>Equity</v>
      </c>
      <c r="D1461" s="8" t="str">
        <f>IFERROR(INDEX('nav master'!$C:$C, MATCH(B1461, 'nav master'!$B:$B, 0)), "")</f>
        <v>ULIF03501/01/10BlueChipFd101</v>
      </c>
      <c r="E1461" s="8" t="s">
        <v>313</v>
      </c>
      <c r="F1461" s="8" t="s">
        <v>1818</v>
      </c>
    </row>
    <row r="1462" spans="1:6" ht="60" x14ac:dyDescent="0.25">
      <c r="A1462" s="8" t="s">
        <v>125</v>
      </c>
      <c r="B1462" s="8" t="s">
        <v>130</v>
      </c>
      <c r="C1462" s="8" t="str">
        <f>IFERROR(_xlfn.XLOOKUP(TRIM(B1462),Lookup!$B$2:$B$1000,Lookup!$C$2:$C$1000),"")</f>
        <v>Equity</v>
      </c>
      <c r="D1462" s="8" t="str">
        <f>IFERROR(INDEX('nav master'!$C:$C, MATCH(B1462, 'nav master'!$B:$B, 0)), "")</f>
        <v>ULIF03501/01/10BlueChipFd101</v>
      </c>
      <c r="E1462" s="8" t="s">
        <v>315</v>
      </c>
      <c r="F1462" s="8" t="s">
        <v>1819</v>
      </c>
    </row>
    <row r="1463" spans="1:6" ht="60" x14ac:dyDescent="0.25">
      <c r="A1463" s="8" t="s">
        <v>125</v>
      </c>
      <c r="B1463" s="8" t="s">
        <v>130</v>
      </c>
      <c r="C1463" s="8" t="str">
        <f>IFERROR(_xlfn.XLOOKUP(TRIM(B1463),Lookup!$B$2:$B$1000,Lookup!$C$2:$C$1000),"")</f>
        <v>Equity</v>
      </c>
      <c r="D1463" s="8" t="str">
        <f>IFERROR(INDEX('nav master'!$C:$C, MATCH(B1463, 'nav master'!$B:$B, 0)), "")</f>
        <v>ULIF03501/01/10BlueChipFd101</v>
      </c>
      <c r="E1463" s="8" t="s">
        <v>317</v>
      </c>
      <c r="F1463" s="8" t="s">
        <v>1820</v>
      </c>
    </row>
    <row r="1464" spans="1:6" ht="60" x14ac:dyDescent="0.25">
      <c r="A1464" s="8" t="s">
        <v>125</v>
      </c>
      <c r="B1464" s="8" t="s">
        <v>130</v>
      </c>
      <c r="C1464" s="8" t="str">
        <f>IFERROR(_xlfn.XLOOKUP(TRIM(B1464),Lookup!$B$2:$B$1000,Lookup!$C$2:$C$1000),"")</f>
        <v>Equity</v>
      </c>
      <c r="D1464" s="8" t="str">
        <f>IFERROR(INDEX('nav master'!$C:$C, MATCH(B1464, 'nav master'!$B:$B, 0)), "")</f>
        <v>ULIF03501/01/10BlueChipFd101</v>
      </c>
      <c r="E1464" s="8" t="s">
        <v>319</v>
      </c>
      <c r="F1464" s="8" t="s">
        <v>1821</v>
      </c>
    </row>
    <row r="1465" spans="1:6" ht="60" x14ac:dyDescent="0.25">
      <c r="A1465" s="8" t="s">
        <v>125</v>
      </c>
      <c r="B1465" s="8" t="s">
        <v>130</v>
      </c>
      <c r="C1465" s="8" t="str">
        <f>IFERROR(_xlfn.XLOOKUP(TRIM(B1465),Lookup!$B$2:$B$1000,Lookup!$C$2:$C$1000),"")</f>
        <v>Equity</v>
      </c>
      <c r="D1465" s="8" t="str">
        <f>IFERROR(INDEX('nav master'!$C:$C, MATCH(B1465, 'nav master'!$B:$B, 0)), "")</f>
        <v>ULIF03501/01/10BlueChipFd101</v>
      </c>
      <c r="E1465" s="8" t="s">
        <v>321</v>
      </c>
      <c r="F1465" s="8" t="s">
        <v>1822</v>
      </c>
    </row>
    <row r="1466" spans="1:6" ht="60" x14ac:dyDescent="0.25">
      <c r="A1466" s="8" t="s">
        <v>125</v>
      </c>
      <c r="B1466" s="8" t="s">
        <v>130</v>
      </c>
      <c r="C1466" s="8" t="str">
        <f>IFERROR(_xlfn.XLOOKUP(TRIM(B1466),Lookup!$B$2:$B$1000,Lookup!$C$2:$C$1000),"")</f>
        <v>Equity</v>
      </c>
      <c r="D1466" s="8" t="str">
        <f>IFERROR(INDEX('nav master'!$C:$C, MATCH(B1466, 'nav master'!$B:$B, 0)), "")</f>
        <v>ULIF03501/01/10BlueChipFd101</v>
      </c>
      <c r="E1466" s="8" t="s">
        <v>323</v>
      </c>
      <c r="F1466" s="8" t="s">
        <v>1823</v>
      </c>
    </row>
    <row r="1467" spans="1:6" ht="60" x14ac:dyDescent="0.25">
      <c r="A1467" s="8" t="s">
        <v>125</v>
      </c>
      <c r="B1467" s="8" t="s">
        <v>130</v>
      </c>
      <c r="C1467" s="8" t="str">
        <f>IFERROR(_xlfn.XLOOKUP(TRIM(B1467),Lookup!$B$2:$B$1000,Lookup!$C$2:$C$1000),"")</f>
        <v>Equity</v>
      </c>
      <c r="D1467" s="8" t="str">
        <f>IFERROR(INDEX('nav master'!$C:$C, MATCH(B1467, 'nav master'!$B:$B, 0)), "")</f>
        <v>ULIF03501/01/10BlueChipFd101</v>
      </c>
      <c r="E1467" s="8" t="s">
        <v>325</v>
      </c>
      <c r="F1467" s="8" t="s">
        <v>1824</v>
      </c>
    </row>
    <row r="1468" spans="1:6" ht="60" x14ac:dyDescent="0.25">
      <c r="A1468" s="8" t="s">
        <v>125</v>
      </c>
      <c r="B1468" s="8" t="s">
        <v>130</v>
      </c>
      <c r="C1468" s="8" t="str">
        <f>IFERROR(_xlfn.XLOOKUP(TRIM(B1468),Lookup!$B$2:$B$1000,Lookup!$C$2:$C$1000),"")</f>
        <v>Equity</v>
      </c>
      <c r="D1468" s="8" t="str">
        <f>IFERROR(INDEX('nav master'!$C:$C, MATCH(B1468, 'nav master'!$B:$B, 0)), "")</f>
        <v>ULIF03501/01/10BlueChipFd101</v>
      </c>
      <c r="E1468" s="8" t="s">
        <v>327</v>
      </c>
      <c r="F1468" s="8" t="s">
        <v>1825</v>
      </c>
    </row>
    <row r="1469" spans="1:6" ht="60" x14ac:dyDescent="0.25">
      <c r="A1469" s="8" t="s">
        <v>125</v>
      </c>
      <c r="B1469" s="8" t="s">
        <v>130</v>
      </c>
      <c r="C1469" s="8" t="str">
        <f>IFERROR(_xlfn.XLOOKUP(TRIM(B1469),Lookup!$B$2:$B$1000,Lookup!$C$2:$C$1000),"")</f>
        <v>Equity</v>
      </c>
      <c r="D1469" s="8" t="str">
        <f>IFERROR(INDEX('nav master'!$C:$C, MATCH(B1469, 'nav master'!$B:$B, 0)), "")</f>
        <v>ULIF03501/01/10BlueChipFd101</v>
      </c>
      <c r="E1469" s="8" t="s">
        <v>329</v>
      </c>
      <c r="F1469" s="8" t="s">
        <v>1826</v>
      </c>
    </row>
    <row r="1470" spans="1:6" ht="60" x14ac:dyDescent="0.25">
      <c r="A1470" s="8" t="s">
        <v>125</v>
      </c>
      <c r="B1470" s="8" t="s">
        <v>130</v>
      </c>
      <c r="C1470" s="8" t="str">
        <f>IFERROR(_xlfn.XLOOKUP(TRIM(B1470),Lookup!$B$2:$B$1000,Lookup!$C$2:$C$1000),"")</f>
        <v>Equity</v>
      </c>
      <c r="D1470" s="8" t="str">
        <f>IFERROR(INDEX('nav master'!$C:$C, MATCH(B1470, 'nav master'!$B:$B, 0)), "")</f>
        <v>ULIF03501/01/10BlueChipFd101</v>
      </c>
      <c r="E1470" s="8" t="s">
        <v>331</v>
      </c>
      <c r="F1470" s="8" t="s">
        <v>1827</v>
      </c>
    </row>
    <row r="1471" spans="1:6" ht="60" x14ac:dyDescent="0.25">
      <c r="A1471" s="8" t="s">
        <v>125</v>
      </c>
      <c r="B1471" s="8" t="s">
        <v>130</v>
      </c>
      <c r="C1471" s="8" t="str">
        <f>IFERROR(_xlfn.XLOOKUP(TRIM(B1471),Lookup!$B$2:$B$1000,Lookup!$C$2:$C$1000),"")</f>
        <v>Equity</v>
      </c>
      <c r="D1471" s="8" t="str">
        <f>IFERROR(INDEX('nav master'!$C:$C, MATCH(B1471, 'nav master'!$B:$B, 0)), "")</f>
        <v>ULIF03501/01/10BlueChipFd101</v>
      </c>
      <c r="E1471" s="8" t="s">
        <v>333</v>
      </c>
      <c r="F1471" s="8" t="s">
        <v>1828</v>
      </c>
    </row>
    <row r="1472" spans="1:6" ht="60" x14ac:dyDescent="0.25">
      <c r="A1472" s="8" t="s">
        <v>125</v>
      </c>
      <c r="B1472" s="8" t="s">
        <v>130</v>
      </c>
      <c r="C1472" s="8" t="str">
        <f>IFERROR(_xlfn.XLOOKUP(TRIM(B1472),Lookup!$B$2:$B$1000,Lookup!$C$2:$C$1000),"")</f>
        <v>Equity</v>
      </c>
      <c r="D1472" s="8" t="str">
        <f>IFERROR(INDEX('nav master'!$C:$C, MATCH(B1472, 'nav master'!$B:$B, 0)), "")</f>
        <v>ULIF03501/01/10BlueChipFd101</v>
      </c>
      <c r="E1472" s="8" t="s">
        <v>335</v>
      </c>
      <c r="F1472" s="8" t="s">
        <v>1829</v>
      </c>
    </row>
    <row r="1473" spans="1:6" ht="60" x14ac:dyDescent="0.25">
      <c r="A1473" s="8" t="s">
        <v>125</v>
      </c>
      <c r="B1473" s="8" t="s">
        <v>130</v>
      </c>
      <c r="C1473" s="8" t="str">
        <f>IFERROR(_xlfn.XLOOKUP(TRIM(B1473),Lookup!$B$2:$B$1000,Lookup!$C$2:$C$1000),"")</f>
        <v>Equity</v>
      </c>
      <c r="D1473" s="8" t="str">
        <f>IFERROR(INDEX('nav master'!$C:$C, MATCH(B1473, 'nav master'!$B:$B, 0)), "")</f>
        <v>ULIF03501/01/10BlueChipFd101</v>
      </c>
      <c r="E1473" s="8" t="s">
        <v>337</v>
      </c>
      <c r="F1473" s="8" t="s">
        <v>1830</v>
      </c>
    </row>
    <row r="1474" spans="1:6" ht="60" x14ac:dyDescent="0.25">
      <c r="A1474" s="8" t="s">
        <v>125</v>
      </c>
      <c r="B1474" s="8" t="s">
        <v>130</v>
      </c>
      <c r="C1474" s="8" t="str">
        <f>IFERROR(_xlfn.XLOOKUP(TRIM(B1474),Lookup!$B$2:$B$1000,Lookup!$C$2:$C$1000),"")</f>
        <v>Equity</v>
      </c>
      <c r="D1474" s="8" t="str">
        <f>IFERROR(INDEX('nav master'!$C:$C, MATCH(B1474, 'nav master'!$B:$B, 0)), "")</f>
        <v>ULIF03501/01/10BlueChipFd101</v>
      </c>
      <c r="E1474" s="8" t="s">
        <v>339</v>
      </c>
      <c r="F1474" s="8" t="s">
        <v>1831</v>
      </c>
    </row>
    <row r="1475" spans="1:6" ht="60" x14ac:dyDescent="0.25">
      <c r="A1475" s="8" t="s">
        <v>125</v>
      </c>
      <c r="B1475" s="8" t="s">
        <v>130</v>
      </c>
      <c r="C1475" s="8" t="str">
        <f>IFERROR(_xlfn.XLOOKUP(TRIM(B1475),Lookup!$B$2:$B$1000,Lookup!$C$2:$C$1000),"")</f>
        <v>Equity</v>
      </c>
      <c r="D1475" s="8" t="str">
        <f>IFERROR(INDEX('nav master'!$C:$C, MATCH(B1475, 'nav master'!$B:$B, 0)), "")</f>
        <v>ULIF03501/01/10BlueChipFd101</v>
      </c>
      <c r="E1475" s="8" t="s">
        <v>341</v>
      </c>
      <c r="F1475" s="8" t="s">
        <v>1832</v>
      </c>
    </row>
    <row r="1476" spans="1:6" ht="60" x14ac:dyDescent="0.25">
      <c r="A1476" s="8" t="s">
        <v>125</v>
      </c>
      <c r="B1476" s="8" t="s">
        <v>130</v>
      </c>
      <c r="C1476" s="8" t="str">
        <f>IFERROR(_xlfn.XLOOKUP(TRIM(B1476),Lookup!$B$2:$B$1000,Lookup!$C$2:$C$1000),"")</f>
        <v>Equity</v>
      </c>
      <c r="D1476" s="8" t="str">
        <f>IFERROR(INDEX('nav master'!$C:$C, MATCH(B1476, 'nav master'!$B:$B, 0)), "")</f>
        <v>ULIF03501/01/10BlueChipFd101</v>
      </c>
      <c r="E1476" s="8" t="s">
        <v>343</v>
      </c>
      <c r="F1476" s="8" t="s">
        <v>1833</v>
      </c>
    </row>
    <row r="1477" spans="1:6" ht="60" x14ac:dyDescent="0.25">
      <c r="A1477" s="8" t="s">
        <v>125</v>
      </c>
      <c r="B1477" s="8" t="s">
        <v>130</v>
      </c>
      <c r="C1477" s="8" t="str">
        <f>IFERROR(_xlfn.XLOOKUP(TRIM(B1477),Lookup!$B$2:$B$1000,Lookup!$C$2:$C$1000),"")</f>
        <v>Equity</v>
      </c>
      <c r="D1477" s="8" t="str">
        <f>IFERROR(INDEX('nav master'!$C:$C, MATCH(B1477, 'nav master'!$B:$B, 0)), "")</f>
        <v>ULIF03501/01/10BlueChipFd101</v>
      </c>
      <c r="E1477" s="8" t="s">
        <v>345</v>
      </c>
      <c r="F1477" s="8" t="s">
        <v>1834</v>
      </c>
    </row>
    <row r="1478" spans="1:6" ht="60" x14ac:dyDescent="0.25">
      <c r="A1478" s="8" t="s">
        <v>125</v>
      </c>
      <c r="B1478" s="8" t="s">
        <v>130</v>
      </c>
      <c r="C1478" s="8" t="str">
        <f>IFERROR(_xlfn.XLOOKUP(TRIM(B1478),Lookup!$B$2:$B$1000,Lookup!$C$2:$C$1000),"")</f>
        <v>Equity</v>
      </c>
      <c r="D1478" s="8" t="str">
        <f>IFERROR(INDEX('nav master'!$C:$C, MATCH(B1478, 'nav master'!$B:$B, 0)), "")</f>
        <v>ULIF03501/01/10BlueChipFd101</v>
      </c>
      <c r="E1478" s="8" t="s">
        <v>347</v>
      </c>
      <c r="F1478" s="8" t="s">
        <v>1835</v>
      </c>
    </row>
    <row r="1479" spans="1:6" ht="60" x14ac:dyDescent="0.25">
      <c r="A1479" s="8" t="s">
        <v>125</v>
      </c>
      <c r="B1479" s="8" t="s">
        <v>130</v>
      </c>
      <c r="C1479" s="8" t="str">
        <f>IFERROR(_xlfn.XLOOKUP(TRIM(B1479),Lookup!$B$2:$B$1000,Lookup!$C$2:$C$1000),"")</f>
        <v>Equity</v>
      </c>
      <c r="D1479" s="8" t="str">
        <f>IFERROR(INDEX('nav master'!$C:$C, MATCH(B1479, 'nav master'!$B:$B, 0)), "")</f>
        <v>ULIF03501/01/10BlueChipFd101</v>
      </c>
      <c r="E1479" s="8" t="s">
        <v>349</v>
      </c>
      <c r="F1479" s="8" t="s">
        <v>1836</v>
      </c>
    </row>
    <row r="1480" spans="1:6" ht="60" x14ac:dyDescent="0.25">
      <c r="A1480" s="8" t="s">
        <v>125</v>
      </c>
      <c r="B1480" s="8" t="s">
        <v>130</v>
      </c>
      <c r="C1480" s="8" t="str">
        <f>IFERROR(_xlfn.XLOOKUP(TRIM(B1480),Lookup!$B$2:$B$1000,Lookup!$C$2:$C$1000),"")</f>
        <v>Equity</v>
      </c>
      <c r="D1480" s="8" t="str">
        <f>IFERROR(INDEX('nav master'!$C:$C, MATCH(B1480, 'nav master'!$B:$B, 0)), "")</f>
        <v>ULIF03501/01/10BlueChipFd101</v>
      </c>
      <c r="E1480" s="8" t="s">
        <v>351</v>
      </c>
      <c r="F1480" s="8" t="s">
        <v>1837</v>
      </c>
    </row>
    <row r="1481" spans="1:6" ht="60" x14ac:dyDescent="0.25">
      <c r="A1481" s="8" t="s">
        <v>125</v>
      </c>
      <c r="B1481" s="8" t="s">
        <v>130</v>
      </c>
      <c r="C1481" s="8" t="str">
        <f>IFERROR(_xlfn.XLOOKUP(TRIM(B1481),Lookup!$B$2:$B$1000,Lookup!$C$2:$C$1000),"")</f>
        <v>Equity</v>
      </c>
      <c r="D1481" s="8" t="str">
        <f>IFERROR(INDEX('nav master'!$C:$C, MATCH(B1481, 'nav master'!$B:$B, 0)), "")</f>
        <v>ULIF03501/01/10BlueChipFd101</v>
      </c>
      <c r="E1481" s="8" t="s">
        <v>353</v>
      </c>
      <c r="F1481" s="8" t="s">
        <v>1838</v>
      </c>
    </row>
    <row r="1482" spans="1:6" ht="60" x14ac:dyDescent="0.25">
      <c r="A1482" s="8" t="s">
        <v>125</v>
      </c>
      <c r="B1482" s="8" t="s">
        <v>130</v>
      </c>
      <c r="C1482" s="8" t="str">
        <f>IFERROR(_xlfn.XLOOKUP(TRIM(B1482),Lookup!$B$2:$B$1000,Lookup!$C$2:$C$1000),"")</f>
        <v>Equity</v>
      </c>
      <c r="D1482" s="8" t="str">
        <f>IFERROR(INDEX('nav master'!$C:$C, MATCH(B1482, 'nav master'!$B:$B, 0)), "")</f>
        <v>ULIF03501/01/10BlueChipFd101</v>
      </c>
      <c r="E1482" s="8" t="s">
        <v>355</v>
      </c>
      <c r="F1482" s="8" t="s">
        <v>1839</v>
      </c>
    </row>
    <row r="1483" spans="1:6" ht="60" x14ac:dyDescent="0.25">
      <c r="A1483" s="8" t="s">
        <v>125</v>
      </c>
      <c r="B1483" s="8" t="s">
        <v>130</v>
      </c>
      <c r="C1483" s="8" t="str">
        <f>IFERROR(_xlfn.XLOOKUP(TRIM(B1483),Lookup!$B$2:$B$1000,Lookup!$C$2:$C$1000),"")</f>
        <v>Equity</v>
      </c>
      <c r="D1483" s="8" t="str">
        <f>IFERROR(INDEX('nav master'!$C:$C, MATCH(B1483, 'nav master'!$B:$B, 0)), "")</f>
        <v>ULIF03501/01/10BlueChipFd101</v>
      </c>
      <c r="E1483" s="8" t="s">
        <v>357</v>
      </c>
      <c r="F1483" s="8" t="s">
        <v>1840</v>
      </c>
    </row>
    <row r="1484" spans="1:6" ht="60" x14ac:dyDescent="0.25">
      <c r="A1484" s="8" t="s">
        <v>125</v>
      </c>
      <c r="B1484" s="8" t="s">
        <v>130</v>
      </c>
      <c r="C1484" s="8" t="str">
        <f>IFERROR(_xlfn.XLOOKUP(TRIM(B1484),Lookup!$B$2:$B$1000,Lookup!$C$2:$C$1000),"")</f>
        <v>Equity</v>
      </c>
      <c r="D1484" s="8" t="str">
        <f>IFERROR(INDEX('nav master'!$C:$C, MATCH(B1484, 'nav master'!$B:$B, 0)), "")</f>
        <v>ULIF03501/01/10BlueChipFd101</v>
      </c>
      <c r="E1484" s="8" t="s">
        <v>359</v>
      </c>
      <c r="F1484" s="8" t="s">
        <v>1841</v>
      </c>
    </row>
    <row r="1485" spans="1:6" ht="60" x14ac:dyDescent="0.25">
      <c r="A1485" s="8" t="s">
        <v>125</v>
      </c>
      <c r="B1485" s="8" t="s">
        <v>130</v>
      </c>
      <c r="C1485" s="8" t="str">
        <f>IFERROR(_xlfn.XLOOKUP(TRIM(B1485),Lookup!$B$2:$B$1000,Lookup!$C$2:$C$1000),"")</f>
        <v>Equity</v>
      </c>
      <c r="D1485" s="8" t="str">
        <f>IFERROR(INDEX('nav master'!$C:$C, MATCH(B1485, 'nav master'!$B:$B, 0)), "")</f>
        <v>ULIF03501/01/10BlueChipFd101</v>
      </c>
      <c r="E1485" s="8" t="s">
        <v>361</v>
      </c>
      <c r="F1485" s="8" t="s">
        <v>1842</v>
      </c>
    </row>
    <row r="1486" spans="1:6" ht="60" x14ac:dyDescent="0.25">
      <c r="A1486" s="8" t="s">
        <v>125</v>
      </c>
      <c r="B1486" s="8" t="s">
        <v>130</v>
      </c>
      <c r="C1486" s="8" t="str">
        <f>IFERROR(_xlfn.XLOOKUP(TRIM(B1486),Lookup!$B$2:$B$1000,Lookup!$C$2:$C$1000),"")</f>
        <v>Equity</v>
      </c>
      <c r="D1486" s="8" t="str">
        <f>IFERROR(INDEX('nav master'!$C:$C, MATCH(B1486, 'nav master'!$B:$B, 0)), "")</f>
        <v>ULIF03501/01/10BlueChipFd101</v>
      </c>
      <c r="E1486" s="8" t="s">
        <v>363</v>
      </c>
      <c r="F1486" s="8" t="s">
        <v>1843</v>
      </c>
    </row>
    <row r="1487" spans="1:6" ht="60" x14ac:dyDescent="0.25">
      <c r="A1487" s="8" t="s">
        <v>125</v>
      </c>
      <c r="B1487" s="8" t="s">
        <v>130</v>
      </c>
      <c r="C1487" s="8" t="str">
        <f>IFERROR(_xlfn.XLOOKUP(TRIM(B1487),Lookup!$B$2:$B$1000,Lookup!$C$2:$C$1000),"")</f>
        <v>Equity</v>
      </c>
      <c r="D1487" s="8" t="str">
        <f>IFERROR(INDEX('nav master'!$C:$C, MATCH(B1487, 'nav master'!$B:$B, 0)), "")</f>
        <v>ULIF03501/01/10BlueChipFd101</v>
      </c>
      <c r="E1487" s="8" t="s">
        <v>365</v>
      </c>
      <c r="F1487" s="8" t="s">
        <v>1844</v>
      </c>
    </row>
    <row r="1488" spans="1:6" ht="60" x14ac:dyDescent="0.25">
      <c r="A1488" s="8" t="s">
        <v>125</v>
      </c>
      <c r="B1488" s="8" t="s">
        <v>130</v>
      </c>
      <c r="C1488" s="8" t="str">
        <f>IFERROR(_xlfn.XLOOKUP(TRIM(B1488),Lookup!$B$2:$B$1000,Lookup!$C$2:$C$1000),"")</f>
        <v>Equity</v>
      </c>
      <c r="D1488" s="8" t="str">
        <f>IFERROR(INDEX('nav master'!$C:$C, MATCH(B1488, 'nav master'!$B:$B, 0)), "")</f>
        <v>ULIF03501/01/10BlueChipFd101</v>
      </c>
      <c r="E1488" s="8" t="s">
        <v>367</v>
      </c>
      <c r="F1488" s="8" t="s">
        <v>1845</v>
      </c>
    </row>
    <row r="1489" spans="1:6" ht="60" x14ac:dyDescent="0.25">
      <c r="A1489" s="8" t="s">
        <v>125</v>
      </c>
      <c r="B1489" s="8" t="s">
        <v>130</v>
      </c>
      <c r="C1489" s="8" t="str">
        <f>IFERROR(_xlfn.XLOOKUP(TRIM(B1489),Lookup!$B$2:$B$1000,Lookup!$C$2:$C$1000),"")</f>
        <v>Equity</v>
      </c>
      <c r="D1489" s="8" t="str">
        <f>IFERROR(INDEX('nav master'!$C:$C, MATCH(B1489, 'nav master'!$B:$B, 0)), "")</f>
        <v>ULIF03501/01/10BlueChipFd101</v>
      </c>
      <c r="E1489" s="8" t="s">
        <v>369</v>
      </c>
      <c r="F1489" s="8" t="s">
        <v>1846</v>
      </c>
    </row>
    <row r="1490" spans="1:6" ht="60" x14ac:dyDescent="0.25">
      <c r="A1490" s="8" t="s">
        <v>125</v>
      </c>
      <c r="B1490" s="8" t="s">
        <v>130</v>
      </c>
      <c r="C1490" s="8" t="str">
        <f>IFERROR(_xlfn.XLOOKUP(TRIM(B1490),Lookup!$B$2:$B$1000,Lookup!$C$2:$C$1000),"")</f>
        <v>Equity</v>
      </c>
      <c r="D1490" s="8" t="str">
        <f>IFERROR(INDEX('nav master'!$C:$C, MATCH(B1490, 'nav master'!$B:$B, 0)), "")</f>
        <v>ULIF03501/01/10BlueChipFd101</v>
      </c>
      <c r="E1490" s="8" t="s">
        <v>371</v>
      </c>
      <c r="F1490" s="8" t="s">
        <v>1847</v>
      </c>
    </row>
    <row r="1491" spans="1:6" ht="60" x14ac:dyDescent="0.25">
      <c r="A1491" s="8" t="s">
        <v>125</v>
      </c>
      <c r="B1491" s="8" t="s">
        <v>130</v>
      </c>
      <c r="C1491" s="8" t="str">
        <f>IFERROR(_xlfn.XLOOKUP(TRIM(B1491),Lookup!$B$2:$B$1000,Lookup!$C$2:$C$1000),"")</f>
        <v>Equity</v>
      </c>
      <c r="D1491" s="8" t="str">
        <f>IFERROR(INDEX('nav master'!$C:$C, MATCH(B1491, 'nav master'!$B:$B, 0)), "")</f>
        <v>ULIF03501/01/10BlueChipFd101</v>
      </c>
      <c r="E1491" s="8" t="s">
        <v>373</v>
      </c>
      <c r="F1491" s="8" t="s">
        <v>1848</v>
      </c>
    </row>
    <row r="1492" spans="1:6" ht="60" x14ac:dyDescent="0.25">
      <c r="A1492" s="8" t="s">
        <v>125</v>
      </c>
      <c r="B1492" s="8" t="s">
        <v>130</v>
      </c>
      <c r="C1492" s="8" t="str">
        <f>IFERROR(_xlfn.XLOOKUP(TRIM(B1492),Lookup!$B$2:$B$1000,Lookup!$C$2:$C$1000),"")</f>
        <v>Equity</v>
      </c>
      <c r="D1492" s="8" t="str">
        <f>IFERROR(INDEX('nav master'!$C:$C, MATCH(B1492, 'nav master'!$B:$B, 0)), "")</f>
        <v>ULIF03501/01/10BlueChipFd101</v>
      </c>
      <c r="E1492" s="8" t="s">
        <v>375</v>
      </c>
      <c r="F1492" s="8" t="s">
        <v>1849</v>
      </c>
    </row>
    <row r="1493" spans="1:6" ht="60" x14ac:dyDescent="0.25">
      <c r="A1493" s="8" t="s">
        <v>125</v>
      </c>
      <c r="B1493" s="8" t="s">
        <v>130</v>
      </c>
      <c r="C1493" s="8" t="str">
        <f>IFERROR(_xlfn.XLOOKUP(TRIM(B1493),Lookup!$B$2:$B$1000,Lookup!$C$2:$C$1000),"")</f>
        <v>Equity</v>
      </c>
      <c r="D1493" s="8" t="str">
        <f>IFERROR(INDEX('nav master'!$C:$C, MATCH(B1493, 'nav master'!$B:$B, 0)), "")</f>
        <v>ULIF03501/01/10BlueChipFd101</v>
      </c>
      <c r="E1493" s="8" t="s">
        <v>377</v>
      </c>
      <c r="F1493" s="8" t="s">
        <v>1850</v>
      </c>
    </row>
    <row r="1494" spans="1:6" ht="60" x14ac:dyDescent="0.25">
      <c r="A1494" s="8" t="s">
        <v>125</v>
      </c>
      <c r="B1494" s="8" t="s">
        <v>130</v>
      </c>
      <c r="C1494" s="8" t="str">
        <f>IFERROR(_xlfn.XLOOKUP(TRIM(B1494),Lookup!$B$2:$B$1000,Lookup!$C$2:$C$1000),"")</f>
        <v>Equity</v>
      </c>
      <c r="D1494" s="8" t="str">
        <f>IFERROR(INDEX('nav master'!$C:$C, MATCH(B1494, 'nav master'!$B:$B, 0)), "")</f>
        <v>ULIF03501/01/10BlueChipFd101</v>
      </c>
      <c r="E1494" s="8" t="s">
        <v>379</v>
      </c>
      <c r="F1494" s="8" t="s">
        <v>1851</v>
      </c>
    </row>
    <row r="1495" spans="1:6" ht="60" x14ac:dyDescent="0.25">
      <c r="A1495" s="8" t="s">
        <v>125</v>
      </c>
      <c r="B1495" s="8" t="s">
        <v>130</v>
      </c>
      <c r="C1495" s="8" t="str">
        <f>IFERROR(_xlfn.XLOOKUP(TRIM(B1495),Lookup!$B$2:$B$1000,Lookup!$C$2:$C$1000),"")</f>
        <v>Equity</v>
      </c>
      <c r="D1495" s="8" t="str">
        <f>IFERROR(INDEX('nav master'!$C:$C, MATCH(B1495, 'nav master'!$B:$B, 0)), "")</f>
        <v>ULIF03501/01/10BlueChipFd101</v>
      </c>
      <c r="E1495" s="8" t="s">
        <v>381</v>
      </c>
      <c r="F1495" s="8" t="s">
        <v>1852</v>
      </c>
    </row>
    <row r="1496" spans="1:6" ht="60" x14ac:dyDescent="0.25">
      <c r="A1496" s="8" t="s">
        <v>125</v>
      </c>
      <c r="B1496" s="8" t="s">
        <v>130</v>
      </c>
      <c r="C1496" s="8" t="str">
        <f>IFERROR(_xlfn.XLOOKUP(TRIM(B1496),Lookup!$B$2:$B$1000,Lookup!$C$2:$C$1000),"")</f>
        <v>Equity</v>
      </c>
      <c r="D1496" s="8" t="str">
        <f>IFERROR(INDEX('nav master'!$C:$C, MATCH(B1496, 'nav master'!$B:$B, 0)), "")</f>
        <v>ULIF03501/01/10BlueChipFd101</v>
      </c>
      <c r="E1496" s="8" t="s">
        <v>383</v>
      </c>
      <c r="F1496" s="8" t="s">
        <v>1853</v>
      </c>
    </row>
    <row r="1497" spans="1:6" ht="60" x14ac:dyDescent="0.25">
      <c r="A1497" s="8" t="s">
        <v>125</v>
      </c>
      <c r="B1497" s="8" t="s">
        <v>130</v>
      </c>
      <c r="C1497" s="8" t="str">
        <f>IFERROR(_xlfn.XLOOKUP(TRIM(B1497),Lookup!$B$2:$B$1000,Lookup!$C$2:$C$1000),"")</f>
        <v>Equity</v>
      </c>
      <c r="D1497" s="8" t="str">
        <f>IFERROR(INDEX('nav master'!$C:$C, MATCH(B1497, 'nav master'!$B:$B, 0)), "")</f>
        <v>ULIF03501/01/10BlueChipFd101</v>
      </c>
      <c r="E1497" s="8" t="s">
        <v>385</v>
      </c>
      <c r="F1497" s="8" t="s">
        <v>1854</v>
      </c>
    </row>
    <row r="1498" spans="1:6" ht="60" x14ac:dyDescent="0.25">
      <c r="A1498" s="8" t="s">
        <v>125</v>
      </c>
      <c r="B1498" s="8" t="s">
        <v>130</v>
      </c>
      <c r="C1498" s="8" t="str">
        <f>IFERROR(_xlfn.XLOOKUP(TRIM(B1498),Lookup!$B$2:$B$1000,Lookup!$C$2:$C$1000),"")</f>
        <v>Equity</v>
      </c>
      <c r="D1498" s="8" t="str">
        <f>IFERROR(INDEX('nav master'!$C:$C, MATCH(B1498, 'nav master'!$B:$B, 0)), "")</f>
        <v>ULIF03501/01/10BlueChipFd101</v>
      </c>
      <c r="E1498" s="8" t="s">
        <v>387</v>
      </c>
      <c r="F1498" s="8" t="s">
        <v>1855</v>
      </c>
    </row>
    <row r="1499" spans="1:6" ht="60" x14ac:dyDescent="0.25">
      <c r="A1499" s="8" t="s">
        <v>125</v>
      </c>
      <c r="B1499" s="8" t="s">
        <v>130</v>
      </c>
      <c r="C1499" s="8" t="str">
        <f>IFERROR(_xlfn.XLOOKUP(TRIM(B1499),Lookup!$B$2:$B$1000,Lookup!$C$2:$C$1000),"")</f>
        <v>Equity</v>
      </c>
      <c r="D1499" s="8" t="str">
        <f>IFERROR(INDEX('nav master'!$C:$C, MATCH(B1499, 'nav master'!$B:$B, 0)), "")</f>
        <v>ULIF03501/01/10BlueChipFd101</v>
      </c>
      <c r="E1499" s="8" t="s">
        <v>389</v>
      </c>
      <c r="F1499" s="8" t="s">
        <v>1856</v>
      </c>
    </row>
    <row r="1500" spans="1:6" ht="60" x14ac:dyDescent="0.25">
      <c r="A1500" s="8" t="s">
        <v>125</v>
      </c>
      <c r="B1500" s="8" t="s">
        <v>130</v>
      </c>
      <c r="C1500" s="8" t="str">
        <f>IFERROR(_xlfn.XLOOKUP(TRIM(B1500),Lookup!$B$2:$B$1000,Lookup!$C$2:$C$1000),"")</f>
        <v>Equity</v>
      </c>
      <c r="D1500" s="8" t="str">
        <f>IFERROR(INDEX('nav master'!$C:$C, MATCH(B1500, 'nav master'!$B:$B, 0)), "")</f>
        <v>ULIF03501/01/10BlueChipFd101</v>
      </c>
      <c r="E1500" s="8" t="s">
        <v>391</v>
      </c>
      <c r="F1500" s="8" t="s">
        <v>1857</v>
      </c>
    </row>
    <row r="1501" spans="1:6" ht="60" x14ac:dyDescent="0.25">
      <c r="A1501" s="8" t="s">
        <v>125</v>
      </c>
      <c r="B1501" s="8" t="s">
        <v>130</v>
      </c>
      <c r="C1501" s="8" t="str">
        <f>IFERROR(_xlfn.XLOOKUP(TRIM(B1501),Lookup!$B$2:$B$1000,Lookup!$C$2:$C$1000),"")</f>
        <v>Equity</v>
      </c>
      <c r="D1501" s="8" t="str">
        <f>IFERROR(INDEX('nav master'!$C:$C, MATCH(B1501, 'nav master'!$B:$B, 0)), "")</f>
        <v>ULIF03501/01/10BlueChipFd101</v>
      </c>
      <c r="E1501" s="8" t="s">
        <v>393</v>
      </c>
      <c r="F1501" s="8" t="s">
        <v>1858</v>
      </c>
    </row>
    <row r="1502" spans="1:6" ht="60" x14ac:dyDescent="0.25">
      <c r="A1502" s="8" t="s">
        <v>125</v>
      </c>
      <c r="B1502" s="8" t="s">
        <v>130</v>
      </c>
      <c r="C1502" s="8" t="str">
        <f>IFERROR(_xlfn.XLOOKUP(TRIM(B1502),Lookup!$B$2:$B$1000,Lookup!$C$2:$C$1000),"")</f>
        <v>Equity</v>
      </c>
      <c r="D1502" s="8" t="str">
        <f>IFERROR(INDEX('nav master'!$C:$C, MATCH(B1502, 'nav master'!$B:$B, 0)), "")</f>
        <v>ULIF03501/01/10BlueChipFd101</v>
      </c>
      <c r="E1502" s="8" t="s">
        <v>395</v>
      </c>
      <c r="F1502" s="8" t="s">
        <v>1859</v>
      </c>
    </row>
    <row r="1503" spans="1:6" ht="60" x14ac:dyDescent="0.25">
      <c r="A1503" s="8" t="s">
        <v>125</v>
      </c>
      <c r="B1503" s="8" t="s">
        <v>130</v>
      </c>
      <c r="C1503" s="8" t="str">
        <f>IFERROR(_xlfn.XLOOKUP(TRIM(B1503),Lookup!$B$2:$B$1000,Lookup!$C$2:$C$1000),"")</f>
        <v>Equity</v>
      </c>
      <c r="D1503" s="8" t="str">
        <f>IFERROR(INDEX('nav master'!$C:$C, MATCH(B1503, 'nav master'!$B:$B, 0)), "")</f>
        <v>ULIF03501/01/10BlueChipFd101</v>
      </c>
      <c r="E1503" s="8" t="s">
        <v>397</v>
      </c>
      <c r="F1503" s="8" t="s">
        <v>1860</v>
      </c>
    </row>
    <row r="1504" spans="1:6" ht="60" x14ac:dyDescent="0.25">
      <c r="A1504" s="8" t="s">
        <v>125</v>
      </c>
      <c r="B1504" s="8" t="s">
        <v>130</v>
      </c>
      <c r="C1504" s="8" t="str">
        <f>IFERROR(_xlfn.XLOOKUP(TRIM(B1504),Lookup!$B$2:$B$1000,Lookup!$C$2:$C$1000),"")</f>
        <v>Equity</v>
      </c>
      <c r="D1504" s="8" t="str">
        <f>IFERROR(INDEX('nav master'!$C:$C, MATCH(B1504, 'nav master'!$B:$B, 0)), "")</f>
        <v>ULIF03501/01/10BlueChipFd101</v>
      </c>
      <c r="E1504" s="8" t="s">
        <v>399</v>
      </c>
      <c r="F1504" s="8" t="s">
        <v>1861</v>
      </c>
    </row>
    <row r="1505" spans="1:6" ht="60" x14ac:dyDescent="0.25">
      <c r="A1505" s="8" t="s">
        <v>125</v>
      </c>
      <c r="B1505" s="8" t="s">
        <v>130</v>
      </c>
      <c r="C1505" s="8" t="str">
        <f>IFERROR(_xlfn.XLOOKUP(TRIM(B1505),Lookup!$B$2:$B$1000,Lookup!$C$2:$C$1000),"")</f>
        <v>Equity</v>
      </c>
      <c r="D1505" s="8" t="str">
        <f>IFERROR(INDEX('nav master'!$C:$C, MATCH(B1505, 'nav master'!$B:$B, 0)), "")</f>
        <v>ULIF03501/01/10BlueChipFd101</v>
      </c>
      <c r="E1505" s="8" t="s">
        <v>401</v>
      </c>
      <c r="F1505" s="8" t="s">
        <v>1862</v>
      </c>
    </row>
    <row r="1506" spans="1:6" ht="60" x14ac:dyDescent="0.25">
      <c r="A1506" s="8" t="s">
        <v>125</v>
      </c>
      <c r="B1506" s="8" t="s">
        <v>130</v>
      </c>
      <c r="C1506" s="8" t="str">
        <f>IFERROR(_xlfn.XLOOKUP(TRIM(B1506),Lookup!$B$2:$B$1000,Lookup!$C$2:$C$1000),"")</f>
        <v>Equity</v>
      </c>
      <c r="D1506" s="8" t="str">
        <f>IFERROR(INDEX('nav master'!$C:$C, MATCH(B1506, 'nav master'!$B:$B, 0)), "")</f>
        <v>ULIF03501/01/10BlueChipFd101</v>
      </c>
      <c r="E1506" s="8" t="s">
        <v>403</v>
      </c>
      <c r="F1506" s="8" t="s">
        <v>1863</v>
      </c>
    </row>
    <row r="1507" spans="1:6" ht="60" x14ac:dyDescent="0.25">
      <c r="A1507" s="8" t="s">
        <v>125</v>
      </c>
      <c r="B1507" s="8" t="s">
        <v>130</v>
      </c>
      <c r="C1507" s="8" t="str">
        <f>IFERROR(_xlfn.XLOOKUP(TRIM(B1507),Lookup!$B$2:$B$1000,Lookup!$C$2:$C$1000),"")</f>
        <v>Equity</v>
      </c>
      <c r="D1507" s="8" t="str">
        <f>IFERROR(INDEX('nav master'!$C:$C, MATCH(B1507, 'nav master'!$B:$B, 0)), "")</f>
        <v>ULIF03501/01/10BlueChipFd101</v>
      </c>
      <c r="E1507" s="8" t="s">
        <v>405</v>
      </c>
      <c r="F1507" s="8" t="s">
        <v>1864</v>
      </c>
    </row>
    <row r="1508" spans="1:6" ht="60" x14ac:dyDescent="0.25">
      <c r="A1508" s="8" t="s">
        <v>125</v>
      </c>
      <c r="B1508" s="8" t="s">
        <v>130</v>
      </c>
      <c r="C1508" s="8" t="str">
        <f>IFERROR(_xlfn.XLOOKUP(TRIM(B1508),Lookup!$B$2:$B$1000,Lookup!$C$2:$C$1000),"")</f>
        <v>Equity</v>
      </c>
      <c r="D1508" s="8" t="str">
        <f>IFERROR(INDEX('nav master'!$C:$C, MATCH(B1508, 'nav master'!$B:$B, 0)), "")</f>
        <v>ULIF03501/01/10BlueChipFd101</v>
      </c>
      <c r="E1508" s="8" t="s">
        <v>407</v>
      </c>
      <c r="F1508" s="8" t="s">
        <v>1865</v>
      </c>
    </row>
    <row r="1509" spans="1:6" ht="60" x14ac:dyDescent="0.25">
      <c r="A1509" s="8" t="s">
        <v>125</v>
      </c>
      <c r="B1509" s="8" t="s">
        <v>130</v>
      </c>
      <c r="C1509" s="8" t="str">
        <f>IFERROR(_xlfn.XLOOKUP(TRIM(B1509),Lookup!$B$2:$B$1000,Lookup!$C$2:$C$1000),"")</f>
        <v>Equity</v>
      </c>
      <c r="D1509" s="8" t="str">
        <f>IFERROR(INDEX('nav master'!$C:$C, MATCH(B1509, 'nav master'!$B:$B, 0)), "")</f>
        <v>ULIF03501/01/10BlueChipFd101</v>
      </c>
      <c r="E1509" s="8" t="s">
        <v>409</v>
      </c>
      <c r="F1509" s="8" t="s">
        <v>1866</v>
      </c>
    </row>
    <row r="1510" spans="1:6" ht="60" x14ac:dyDescent="0.25">
      <c r="A1510" s="8" t="s">
        <v>125</v>
      </c>
      <c r="B1510" s="8" t="s">
        <v>130</v>
      </c>
      <c r="C1510" s="8" t="str">
        <f>IFERROR(_xlfn.XLOOKUP(TRIM(B1510),Lookup!$B$2:$B$1000,Lookup!$C$2:$C$1000),"")</f>
        <v>Equity</v>
      </c>
      <c r="D1510" s="8" t="str">
        <f>IFERROR(INDEX('nav master'!$C:$C, MATCH(B1510, 'nav master'!$B:$B, 0)), "")</f>
        <v>ULIF03501/01/10BlueChipFd101</v>
      </c>
      <c r="E1510" s="8" t="s">
        <v>411</v>
      </c>
      <c r="F1510" s="8" t="s">
        <v>1867</v>
      </c>
    </row>
    <row r="1511" spans="1:6" ht="60" x14ac:dyDescent="0.25">
      <c r="A1511" s="8" t="s">
        <v>125</v>
      </c>
      <c r="B1511" s="8" t="s">
        <v>130</v>
      </c>
      <c r="C1511" s="8" t="str">
        <f>IFERROR(_xlfn.XLOOKUP(TRIM(B1511),Lookup!$B$2:$B$1000,Lookup!$C$2:$C$1000),"")</f>
        <v>Equity</v>
      </c>
      <c r="D1511" s="8" t="str">
        <f>IFERROR(INDEX('nav master'!$C:$C, MATCH(B1511, 'nav master'!$B:$B, 0)), "")</f>
        <v>ULIF03501/01/10BlueChipFd101</v>
      </c>
      <c r="E1511" s="8" t="s">
        <v>413</v>
      </c>
      <c r="F1511" s="8" t="s">
        <v>1868</v>
      </c>
    </row>
    <row r="1512" spans="1:6" ht="60" x14ac:dyDescent="0.25">
      <c r="A1512" s="8" t="s">
        <v>125</v>
      </c>
      <c r="B1512" s="8" t="s">
        <v>130</v>
      </c>
      <c r="C1512" s="8" t="str">
        <f>IFERROR(_xlfn.XLOOKUP(TRIM(B1512),Lookup!$B$2:$B$1000,Lookup!$C$2:$C$1000),"")</f>
        <v>Equity</v>
      </c>
      <c r="D1512" s="8" t="str">
        <f>IFERROR(INDEX('nav master'!$C:$C, MATCH(B1512, 'nav master'!$B:$B, 0)), "")</f>
        <v>ULIF03501/01/10BlueChipFd101</v>
      </c>
      <c r="E1512" s="8" t="s">
        <v>415</v>
      </c>
      <c r="F1512" s="8" t="s">
        <v>1869</v>
      </c>
    </row>
    <row r="1513" spans="1:6" ht="60" x14ac:dyDescent="0.25">
      <c r="A1513" s="8" t="s">
        <v>125</v>
      </c>
      <c r="B1513" s="8" t="s">
        <v>130</v>
      </c>
      <c r="C1513" s="8" t="str">
        <f>IFERROR(_xlfn.XLOOKUP(TRIM(B1513),Lookup!$B$2:$B$1000,Lookup!$C$2:$C$1000),"")</f>
        <v>Equity</v>
      </c>
      <c r="D1513" s="8" t="str">
        <f>IFERROR(INDEX('nav master'!$C:$C, MATCH(B1513, 'nav master'!$B:$B, 0)), "")</f>
        <v>ULIF03501/01/10BlueChipFd101</v>
      </c>
      <c r="E1513" s="8" t="s">
        <v>417</v>
      </c>
      <c r="F1513" s="8" t="s">
        <v>1870</v>
      </c>
    </row>
    <row r="1514" spans="1:6" ht="60" x14ac:dyDescent="0.25">
      <c r="A1514" s="8" t="s">
        <v>125</v>
      </c>
      <c r="B1514" s="8" t="s">
        <v>130</v>
      </c>
      <c r="C1514" s="8" t="str">
        <f>IFERROR(_xlfn.XLOOKUP(TRIM(B1514),Lookup!$B$2:$B$1000,Lookup!$C$2:$C$1000),"")</f>
        <v>Equity</v>
      </c>
      <c r="D1514" s="8" t="str">
        <f>IFERROR(INDEX('nav master'!$C:$C, MATCH(B1514, 'nav master'!$B:$B, 0)), "")</f>
        <v>ULIF03501/01/10BlueChipFd101</v>
      </c>
      <c r="E1514" s="8" t="s">
        <v>419</v>
      </c>
      <c r="F1514" s="8" t="s">
        <v>1871</v>
      </c>
    </row>
    <row r="1515" spans="1:6" ht="60" x14ac:dyDescent="0.25">
      <c r="A1515" s="8" t="s">
        <v>125</v>
      </c>
      <c r="B1515" s="8" t="s">
        <v>130</v>
      </c>
      <c r="C1515" s="8" t="str">
        <f>IFERROR(_xlfn.XLOOKUP(TRIM(B1515),Lookup!$B$2:$B$1000,Lookup!$C$2:$C$1000),"")</f>
        <v>Equity</v>
      </c>
      <c r="D1515" s="8" t="str">
        <f>IFERROR(INDEX('nav master'!$C:$C, MATCH(B1515, 'nav master'!$B:$B, 0)), "")</f>
        <v>ULIF03501/01/10BlueChipFd101</v>
      </c>
      <c r="E1515" s="8" t="s">
        <v>421</v>
      </c>
      <c r="F1515" s="8" t="s">
        <v>1872</v>
      </c>
    </row>
    <row r="1516" spans="1:6" ht="60" x14ac:dyDescent="0.25">
      <c r="A1516" s="8" t="s">
        <v>125</v>
      </c>
      <c r="B1516" s="8" t="s">
        <v>130</v>
      </c>
      <c r="C1516" s="8" t="str">
        <f>IFERROR(_xlfn.XLOOKUP(TRIM(B1516),Lookup!$B$2:$B$1000,Lookup!$C$2:$C$1000),"")</f>
        <v>Equity</v>
      </c>
      <c r="D1516" s="8" t="str">
        <f>IFERROR(INDEX('nav master'!$C:$C, MATCH(B1516, 'nav master'!$B:$B, 0)), "")</f>
        <v>ULIF03501/01/10BlueChipFd101</v>
      </c>
      <c r="E1516" s="8" t="s">
        <v>423</v>
      </c>
      <c r="F1516" s="8" t="s">
        <v>1873</v>
      </c>
    </row>
    <row r="1517" spans="1:6" ht="60" x14ac:dyDescent="0.25">
      <c r="A1517" s="8" t="s">
        <v>125</v>
      </c>
      <c r="B1517" s="8" t="s">
        <v>130</v>
      </c>
      <c r="C1517" s="8" t="str">
        <f>IFERROR(_xlfn.XLOOKUP(TRIM(B1517),Lookup!$B$2:$B$1000,Lookup!$C$2:$C$1000),"")</f>
        <v>Equity</v>
      </c>
      <c r="D1517" s="8" t="str">
        <f>IFERROR(INDEX('nav master'!$C:$C, MATCH(B1517, 'nav master'!$B:$B, 0)), "")</f>
        <v>ULIF03501/01/10BlueChipFd101</v>
      </c>
      <c r="E1517" s="8" t="s">
        <v>425</v>
      </c>
      <c r="F1517" s="8" t="s">
        <v>1874</v>
      </c>
    </row>
    <row r="1518" spans="1:6" ht="60" x14ac:dyDescent="0.25">
      <c r="A1518" s="8" t="s">
        <v>125</v>
      </c>
      <c r="B1518" s="8" t="s">
        <v>130</v>
      </c>
      <c r="C1518" s="8" t="str">
        <f>IFERROR(_xlfn.XLOOKUP(TRIM(B1518),Lookup!$B$2:$B$1000,Lookup!$C$2:$C$1000),"")</f>
        <v>Equity</v>
      </c>
      <c r="D1518" s="8" t="str">
        <f>IFERROR(INDEX('nav master'!$C:$C, MATCH(B1518, 'nav master'!$B:$B, 0)), "")</f>
        <v>ULIF03501/01/10BlueChipFd101</v>
      </c>
      <c r="E1518" s="8" t="s">
        <v>427</v>
      </c>
      <c r="F1518" s="8" t="s">
        <v>1875</v>
      </c>
    </row>
    <row r="1519" spans="1:6" ht="60" x14ac:dyDescent="0.25">
      <c r="A1519" s="8" t="s">
        <v>125</v>
      </c>
      <c r="B1519" s="8" t="s">
        <v>130</v>
      </c>
      <c r="C1519" s="8" t="str">
        <f>IFERROR(_xlfn.XLOOKUP(TRIM(B1519),Lookup!$B$2:$B$1000,Lookup!$C$2:$C$1000),"")</f>
        <v>Equity</v>
      </c>
      <c r="D1519" s="8" t="str">
        <f>IFERROR(INDEX('nav master'!$C:$C, MATCH(B1519, 'nav master'!$B:$B, 0)), "")</f>
        <v>ULIF03501/01/10BlueChipFd101</v>
      </c>
      <c r="E1519" s="8" t="s">
        <v>429</v>
      </c>
      <c r="F1519" s="8" t="s">
        <v>1876</v>
      </c>
    </row>
    <row r="1520" spans="1:6" ht="60" x14ac:dyDescent="0.25">
      <c r="A1520" s="8" t="s">
        <v>125</v>
      </c>
      <c r="B1520" s="8" t="s">
        <v>130</v>
      </c>
      <c r="C1520" s="8" t="str">
        <f>IFERROR(_xlfn.XLOOKUP(TRIM(B1520),Lookup!$B$2:$B$1000,Lookup!$C$2:$C$1000),"")</f>
        <v>Equity</v>
      </c>
      <c r="D1520" s="8" t="str">
        <f>IFERROR(INDEX('nav master'!$C:$C, MATCH(B1520, 'nav master'!$B:$B, 0)), "")</f>
        <v>ULIF03501/01/10BlueChipFd101</v>
      </c>
      <c r="E1520" s="8" t="s">
        <v>431</v>
      </c>
      <c r="F1520" s="8" t="s">
        <v>1877</v>
      </c>
    </row>
    <row r="1521" spans="1:6" ht="60" x14ac:dyDescent="0.25">
      <c r="A1521" s="8" t="s">
        <v>125</v>
      </c>
      <c r="B1521" s="8" t="s">
        <v>130</v>
      </c>
      <c r="C1521" s="8" t="str">
        <f>IFERROR(_xlfn.XLOOKUP(TRIM(B1521),Lookup!$B$2:$B$1000,Lookup!$C$2:$C$1000),"")</f>
        <v>Equity</v>
      </c>
      <c r="D1521" s="8" t="str">
        <f>IFERROR(INDEX('nav master'!$C:$C, MATCH(B1521, 'nav master'!$B:$B, 0)), "")</f>
        <v>ULIF03501/01/10BlueChipFd101</v>
      </c>
      <c r="E1521" s="8" t="s">
        <v>433</v>
      </c>
      <c r="F1521" s="8" t="s">
        <v>1878</v>
      </c>
    </row>
    <row r="1522" spans="1:6" ht="60" x14ac:dyDescent="0.25">
      <c r="A1522" s="8" t="s">
        <v>125</v>
      </c>
      <c r="B1522" s="8" t="s">
        <v>130</v>
      </c>
      <c r="C1522" s="8" t="str">
        <f>IFERROR(_xlfn.XLOOKUP(TRIM(B1522),Lookup!$B$2:$B$1000,Lookup!$C$2:$C$1000),"")</f>
        <v>Equity</v>
      </c>
      <c r="D1522" s="8" t="str">
        <f>IFERROR(INDEX('nav master'!$C:$C, MATCH(B1522, 'nav master'!$B:$B, 0)), "")</f>
        <v>ULIF03501/01/10BlueChipFd101</v>
      </c>
      <c r="E1522" s="8" t="s">
        <v>435</v>
      </c>
      <c r="F1522" s="8" t="s">
        <v>1879</v>
      </c>
    </row>
    <row r="1523" spans="1:6" ht="60" x14ac:dyDescent="0.25">
      <c r="A1523" s="8" t="s">
        <v>125</v>
      </c>
      <c r="B1523" s="8" t="s">
        <v>130</v>
      </c>
      <c r="C1523" s="8" t="str">
        <f>IFERROR(_xlfn.XLOOKUP(TRIM(B1523),Lookup!$B$2:$B$1000,Lookup!$C$2:$C$1000),"")</f>
        <v>Equity</v>
      </c>
      <c r="D1523" s="8" t="str">
        <f>IFERROR(INDEX('nav master'!$C:$C, MATCH(B1523, 'nav master'!$B:$B, 0)), "")</f>
        <v>ULIF03501/01/10BlueChipFd101</v>
      </c>
      <c r="E1523" s="8" t="s">
        <v>437</v>
      </c>
      <c r="F1523" s="8" t="s">
        <v>1880</v>
      </c>
    </row>
    <row r="1524" spans="1:6" ht="60" x14ac:dyDescent="0.25">
      <c r="A1524" s="8" t="s">
        <v>125</v>
      </c>
      <c r="B1524" s="8" t="s">
        <v>130</v>
      </c>
      <c r="C1524" s="8" t="str">
        <f>IFERROR(_xlfn.XLOOKUP(TRIM(B1524),Lookup!$B$2:$B$1000,Lookup!$C$2:$C$1000),"")</f>
        <v>Equity</v>
      </c>
      <c r="D1524" s="8" t="str">
        <f>IFERROR(INDEX('nav master'!$C:$C, MATCH(B1524, 'nav master'!$B:$B, 0)), "")</f>
        <v>ULIF03501/01/10BlueChipFd101</v>
      </c>
      <c r="E1524" s="8" t="s">
        <v>439</v>
      </c>
      <c r="F1524" s="8" t="s">
        <v>1881</v>
      </c>
    </row>
    <row r="1525" spans="1:6" ht="60" x14ac:dyDescent="0.25">
      <c r="A1525" s="8" t="s">
        <v>125</v>
      </c>
      <c r="B1525" s="8" t="s">
        <v>130</v>
      </c>
      <c r="C1525" s="8" t="str">
        <f>IFERROR(_xlfn.XLOOKUP(TRIM(B1525),Lookup!$B$2:$B$1000,Lookup!$C$2:$C$1000),"")</f>
        <v>Equity</v>
      </c>
      <c r="D1525" s="8" t="str">
        <f>IFERROR(INDEX('nav master'!$C:$C, MATCH(B1525, 'nav master'!$B:$B, 0)), "")</f>
        <v>ULIF03501/01/10BlueChipFd101</v>
      </c>
      <c r="E1525" s="8" t="s">
        <v>441</v>
      </c>
      <c r="F1525" s="8" t="s">
        <v>1882</v>
      </c>
    </row>
    <row r="1526" spans="1:6" ht="60" x14ac:dyDescent="0.25">
      <c r="A1526" s="8" t="s">
        <v>125</v>
      </c>
      <c r="B1526" s="8" t="s">
        <v>130</v>
      </c>
      <c r="C1526" s="8" t="str">
        <f>IFERROR(_xlfn.XLOOKUP(TRIM(B1526),Lookup!$B$2:$B$1000,Lookup!$C$2:$C$1000),"")</f>
        <v>Equity</v>
      </c>
      <c r="D1526" s="8" t="str">
        <f>IFERROR(INDEX('nav master'!$C:$C, MATCH(B1526, 'nav master'!$B:$B, 0)), "")</f>
        <v>ULIF03501/01/10BlueChipFd101</v>
      </c>
      <c r="E1526" s="8" t="s">
        <v>443</v>
      </c>
      <c r="F1526" s="8" t="s">
        <v>1883</v>
      </c>
    </row>
    <row r="1527" spans="1:6" ht="60" x14ac:dyDescent="0.25">
      <c r="A1527" s="8" t="s">
        <v>125</v>
      </c>
      <c r="B1527" s="8" t="s">
        <v>130</v>
      </c>
      <c r="C1527" s="8" t="str">
        <f>IFERROR(_xlfn.XLOOKUP(TRIM(B1527),Lookup!$B$2:$B$1000,Lookup!$C$2:$C$1000),"")</f>
        <v>Equity</v>
      </c>
      <c r="D1527" s="8" t="str">
        <f>IFERROR(INDEX('nav master'!$C:$C, MATCH(B1527, 'nav master'!$B:$B, 0)), "")</f>
        <v>ULIF03501/01/10BlueChipFd101</v>
      </c>
      <c r="E1527" s="8" t="s">
        <v>445</v>
      </c>
      <c r="F1527" s="8" t="s">
        <v>1884</v>
      </c>
    </row>
    <row r="1528" spans="1:6" ht="60" x14ac:dyDescent="0.25">
      <c r="A1528" s="8" t="s">
        <v>125</v>
      </c>
      <c r="B1528" s="8" t="s">
        <v>130</v>
      </c>
      <c r="C1528" s="8" t="str">
        <f>IFERROR(_xlfn.XLOOKUP(TRIM(B1528),Lookup!$B$2:$B$1000,Lookup!$C$2:$C$1000),"")</f>
        <v>Equity</v>
      </c>
      <c r="D1528" s="8" t="str">
        <f>IFERROR(INDEX('nav master'!$C:$C, MATCH(B1528, 'nav master'!$B:$B, 0)), "")</f>
        <v>ULIF03501/01/10BlueChipFd101</v>
      </c>
      <c r="E1528" s="8" t="s">
        <v>446</v>
      </c>
      <c r="F1528" s="8" t="s">
        <v>1885</v>
      </c>
    </row>
    <row r="1529" spans="1:6" ht="60" x14ac:dyDescent="0.25">
      <c r="A1529" s="8" t="s">
        <v>125</v>
      </c>
      <c r="B1529" s="8" t="s">
        <v>130</v>
      </c>
      <c r="C1529" s="8" t="str">
        <f>IFERROR(_xlfn.XLOOKUP(TRIM(B1529),Lookup!$B$2:$B$1000,Lookup!$C$2:$C$1000),"")</f>
        <v>Equity</v>
      </c>
      <c r="D1529" s="8" t="str">
        <f>IFERROR(INDEX('nav master'!$C:$C, MATCH(B1529, 'nav master'!$B:$B, 0)), "")</f>
        <v>ULIF03501/01/10BlueChipFd101</v>
      </c>
      <c r="E1529" s="8" t="s">
        <v>448</v>
      </c>
      <c r="F1529" s="8" t="s">
        <v>1886</v>
      </c>
    </row>
    <row r="1530" spans="1:6" ht="60" x14ac:dyDescent="0.25">
      <c r="A1530" s="8" t="s">
        <v>125</v>
      </c>
      <c r="B1530" s="8" t="s">
        <v>130</v>
      </c>
      <c r="C1530" s="8" t="str">
        <f>IFERROR(_xlfn.XLOOKUP(TRIM(B1530),Lookup!$B$2:$B$1000,Lookup!$C$2:$C$1000),"")</f>
        <v>Equity</v>
      </c>
      <c r="D1530" s="8" t="str">
        <f>IFERROR(INDEX('nav master'!$C:$C, MATCH(B1530, 'nav master'!$B:$B, 0)), "")</f>
        <v>ULIF03501/01/10BlueChipFd101</v>
      </c>
      <c r="E1530" s="8" t="s">
        <v>450</v>
      </c>
      <c r="F1530" s="8" t="s">
        <v>1887</v>
      </c>
    </row>
    <row r="1531" spans="1:6" ht="60" x14ac:dyDescent="0.25">
      <c r="A1531" s="8" t="s">
        <v>125</v>
      </c>
      <c r="B1531" s="8" t="s">
        <v>130</v>
      </c>
      <c r="C1531" s="8" t="str">
        <f>IFERROR(_xlfn.XLOOKUP(TRIM(B1531),Lookup!$B$2:$B$1000,Lookup!$C$2:$C$1000),"")</f>
        <v>Equity</v>
      </c>
      <c r="D1531" s="8" t="str">
        <f>IFERROR(INDEX('nav master'!$C:$C, MATCH(B1531, 'nav master'!$B:$B, 0)), "")</f>
        <v>ULIF03501/01/10BlueChipFd101</v>
      </c>
      <c r="E1531" s="8" t="s">
        <v>452</v>
      </c>
      <c r="F1531" s="8" t="s">
        <v>1888</v>
      </c>
    </row>
    <row r="1532" spans="1:6" ht="60" x14ac:dyDescent="0.25">
      <c r="A1532" s="8" t="s">
        <v>125</v>
      </c>
      <c r="B1532" s="8" t="s">
        <v>130</v>
      </c>
      <c r="C1532" s="8" t="str">
        <f>IFERROR(_xlfn.XLOOKUP(TRIM(B1532),Lookup!$B$2:$B$1000,Lookup!$C$2:$C$1000),"")</f>
        <v>Equity</v>
      </c>
      <c r="D1532" s="8" t="str">
        <f>IFERROR(INDEX('nav master'!$C:$C, MATCH(B1532, 'nav master'!$B:$B, 0)), "")</f>
        <v>ULIF03501/01/10BlueChipFd101</v>
      </c>
      <c r="E1532" s="8" t="s">
        <v>454</v>
      </c>
      <c r="F1532" s="8" t="s">
        <v>1889</v>
      </c>
    </row>
    <row r="1533" spans="1:6" ht="60" x14ac:dyDescent="0.25">
      <c r="A1533" s="8" t="s">
        <v>125</v>
      </c>
      <c r="B1533" s="8" t="s">
        <v>130</v>
      </c>
      <c r="C1533" s="8" t="str">
        <f>IFERROR(_xlfn.XLOOKUP(TRIM(B1533),Lookup!$B$2:$B$1000,Lookup!$C$2:$C$1000),"")</f>
        <v>Equity</v>
      </c>
      <c r="D1533" s="8" t="str">
        <f>IFERROR(INDEX('nav master'!$C:$C, MATCH(B1533, 'nav master'!$B:$B, 0)), "")</f>
        <v>ULIF03501/01/10BlueChipFd101</v>
      </c>
      <c r="E1533" s="8" t="s">
        <v>456</v>
      </c>
      <c r="F1533" s="8" t="s">
        <v>1890</v>
      </c>
    </row>
    <row r="1534" spans="1:6" ht="60" x14ac:dyDescent="0.25">
      <c r="A1534" s="8" t="s">
        <v>125</v>
      </c>
      <c r="B1534" s="8" t="s">
        <v>130</v>
      </c>
      <c r="C1534" s="8" t="str">
        <f>IFERROR(_xlfn.XLOOKUP(TRIM(B1534),Lookup!$B$2:$B$1000,Lookup!$C$2:$C$1000),"")</f>
        <v>Equity</v>
      </c>
      <c r="D1534" s="8" t="str">
        <f>IFERROR(INDEX('nav master'!$C:$C, MATCH(B1534, 'nav master'!$B:$B, 0)), "")</f>
        <v>ULIF03501/01/10BlueChipFd101</v>
      </c>
      <c r="E1534" s="8" t="s">
        <v>458</v>
      </c>
      <c r="F1534" s="8" t="s">
        <v>1891</v>
      </c>
    </row>
    <row r="1535" spans="1:6" ht="60" x14ac:dyDescent="0.25">
      <c r="A1535" s="8" t="s">
        <v>125</v>
      </c>
      <c r="B1535" s="8" t="s">
        <v>130</v>
      </c>
      <c r="C1535" s="8" t="str">
        <f>IFERROR(_xlfn.XLOOKUP(TRIM(B1535),Lookup!$B$2:$B$1000,Lookup!$C$2:$C$1000),"")</f>
        <v>Equity</v>
      </c>
      <c r="D1535" s="8" t="str">
        <f>IFERROR(INDEX('nav master'!$C:$C, MATCH(B1535, 'nav master'!$B:$B, 0)), "")</f>
        <v>ULIF03501/01/10BlueChipFd101</v>
      </c>
      <c r="E1535" s="8" t="s">
        <v>460</v>
      </c>
      <c r="F1535" s="8" t="s">
        <v>1892</v>
      </c>
    </row>
    <row r="1536" spans="1:6" ht="60" x14ac:dyDescent="0.25">
      <c r="A1536" s="8" t="s">
        <v>125</v>
      </c>
      <c r="B1536" s="8" t="s">
        <v>130</v>
      </c>
      <c r="C1536" s="8" t="str">
        <f>IFERROR(_xlfn.XLOOKUP(TRIM(B1536),Lookup!$B$2:$B$1000,Lookup!$C$2:$C$1000),"")</f>
        <v>Equity</v>
      </c>
      <c r="D1536" s="8" t="str">
        <f>IFERROR(INDEX('nav master'!$C:$C, MATCH(B1536, 'nav master'!$B:$B, 0)), "")</f>
        <v>ULIF03501/01/10BlueChipFd101</v>
      </c>
      <c r="E1536" s="8" t="s">
        <v>462</v>
      </c>
      <c r="F1536" s="8" t="s">
        <v>1893</v>
      </c>
    </row>
    <row r="1537" spans="1:6" ht="60" x14ac:dyDescent="0.25">
      <c r="A1537" s="8" t="s">
        <v>125</v>
      </c>
      <c r="B1537" s="8" t="s">
        <v>130</v>
      </c>
      <c r="C1537" s="8" t="str">
        <f>IFERROR(_xlfn.XLOOKUP(TRIM(B1537),Lookup!$B$2:$B$1000,Lookup!$C$2:$C$1000),"")</f>
        <v>Equity</v>
      </c>
      <c r="D1537" s="8" t="str">
        <f>IFERROR(INDEX('nav master'!$C:$C, MATCH(B1537, 'nav master'!$B:$B, 0)), "")</f>
        <v>ULIF03501/01/10BlueChipFd101</v>
      </c>
      <c r="E1537" s="8" t="s">
        <v>464</v>
      </c>
      <c r="F1537" s="8" t="s">
        <v>1894</v>
      </c>
    </row>
    <row r="1538" spans="1:6" ht="60" x14ac:dyDescent="0.25">
      <c r="A1538" s="8" t="s">
        <v>125</v>
      </c>
      <c r="B1538" s="8" t="s">
        <v>130</v>
      </c>
      <c r="C1538" s="8" t="str">
        <f>IFERROR(_xlfn.XLOOKUP(TRIM(B1538),Lookup!$B$2:$B$1000,Lookup!$C$2:$C$1000),"")</f>
        <v>Equity</v>
      </c>
      <c r="D1538" s="8" t="str">
        <f>IFERROR(INDEX('nav master'!$C:$C, MATCH(B1538, 'nav master'!$B:$B, 0)), "")</f>
        <v>ULIF03501/01/10BlueChipFd101</v>
      </c>
      <c r="E1538" s="8" t="s">
        <v>466</v>
      </c>
      <c r="F1538" s="8" t="s">
        <v>1895</v>
      </c>
    </row>
    <row r="1539" spans="1:6" ht="60" x14ac:dyDescent="0.25">
      <c r="A1539" s="8" t="s">
        <v>125</v>
      </c>
      <c r="B1539" s="8" t="s">
        <v>130</v>
      </c>
      <c r="C1539" s="8" t="str">
        <f>IFERROR(_xlfn.XLOOKUP(TRIM(B1539),Lookup!$B$2:$B$1000,Lookup!$C$2:$C$1000),"")</f>
        <v>Equity</v>
      </c>
      <c r="D1539" s="8" t="str">
        <f>IFERROR(INDEX('nav master'!$C:$C, MATCH(B1539, 'nav master'!$B:$B, 0)), "")</f>
        <v>ULIF03501/01/10BlueChipFd101</v>
      </c>
      <c r="E1539" s="8" t="s">
        <v>468</v>
      </c>
      <c r="F1539" s="8" t="s">
        <v>1896</v>
      </c>
    </row>
    <row r="1540" spans="1:6" ht="60" x14ac:dyDescent="0.25">
      <c r="A1540" s="8" t="s">
        <v>125</v>
      </c>
      <c r="B1540" s="8" t="s">
        <v>130</v>
      </c>
      <c r="C1540" s="8" t="str">
        <f>IFERROR(_xlfn.XLOOKUP(TRIM(B1540),Lookup!$B$2:$B$1000,Lookup!$C$2:$C$1000),"")</f>
        <v>Equity</v>
      </c>
      <c r="D1540" s="8" t="str">
        <f>IFERROR(INDEX('nav master'!$C:$C, MATCH(B1540, 'nav master'!$B:$B, 0)), "")</f>
        <v>ULIF03501/01/10BlueChipFd101</v>
      </c>
      <c r="E1540" s="8" t="s">
        <v>470</v>
      </c>
      <c r="F1540" s="8" t="s">
        <v>1897</v>
      </c>
    </row>
    <row r="1541" spans="1:6" ht="60" x14ac:dyDescent="0.25">
      <c r="A1541" s="8" t="s">
        <v>125</v>
      </c>
      <c r="B1541" s="8" t="s">
        <v>130</v>
      </c>
      <c r="C1541" s="8" t="str">
        <f>IFERROR(_xlfn.XLOOKUP(TRIM(B1541),Lookup!$B$2:$B$1000,Lookup!$C$2:$C$1000),"")</f>
        <v>Equity</v>
      </c>
      <c r="D1541" s="8" t="str">
        <f>IFERROR(INDEX('nav master'!$C:$C, MATCH(B1541, 'nav master'!$B:$B, 0)), "")</f>
        <v>ULIF03501/01/10BlueChipFd101</v>
      </c>
      <c r="E1541" s="8" t="s">
        <v>472</v>
      </c>
      <c r="F1541" s="8" t="s">
        <v>1898</v>
      </c>
    </row>
    <row r="1542" spans="1:6" ht="60" x14ac:dyDescent="0.25">
      <c r="A1542" s="8" t="s">
        <v>125</v>
      </c>
      <c r="B1542" s="8" t="s">
        <v>130</v>
      </c>
      <c r="C1542" s="8" t="str">
        <f>IFERROR(_xlfn.XLOOKUP(TRIM(B1542),Lookup!$B$2:$B$1000,Lookup!$C$2:$C$1000),"")</f>
        <v>Equity</v>
      </c>
      <c r="D1542" s="8" t="str">
        <f>IFERROR(INDEX('nav master'!$C:$C, MATCH(B1542, 'nav master'!$B:$B, 0)), "")</f>
        <v>ULIF03501/01/10BlueChipFd101</v>
      </c>
      <c r="E1542" s="8" t="s">
        <v>474</v>
      </c>
      <c r="F1542" s="8" t="s">
        <v>1899</v>
      </c>
    </row>
    <row r="1543" spans="1:6" ht="60" x14ac:dyDescent="0.25">
      <c r="A1543" s="8" t="s">
        <v>125</v>
      </c>
      <c r="B1543" s="8" t="s">
        <v>130</v>
      </c>
      <c r="C1543" s="8" t="str">
        <f>IFERROR(_xlfn.XLOOKUP(TRIM(B1543),Lookup!$B$2:$B$1000,Lookup!$C$2:$C$1000),"")</f>
        <v>Equity</v>
      </c>
      <c r="D1543" s="8" t="str">
        <f>IFERROR(INDEX('nav master'!$C:$C, MATCH(B1543, 'nav master'!$B:$B, 0)), "")</f>
        <v>ULIF03501/01/10BlueChipFd101</v>
      </c>
      <c r="E1543" s="8" t="s">
        <v>476</v>
      </c>
      <c r="F1543" s="8" t="s">
        <v>1900</v>
      </c>
    </row>
    <row r="1544" spans="1:6" ht="60" x14ac:dyDescent="0.25">
      <c r="A1544" s="8" t="s">
        <v>125</v>
      </c>
      <c r="B1544" s="8" t="s">
        <v>130</v>
      </c>
      <c r="C1544" s="8" t="str">
        <f>IFERROR(_xlfn.XLOOKUP(TRIM(B1544),Lookup!$B$2:$B$1000,Lookup!$C$2:$C$1000),"")</f>
        <v>Equity</v>
      </c>
      <c r="D1544" s="8" t="str">
        <f>IFERROR(INDEX('nav master'!$C:$C, MATCH(B1544, 'nav master'!$B:$B, 0)), "")</f>
        <v>ULIF03501/01/10BlueChipFd101</v>
      </c>
      <c r="E1544" s="8" t="s">
        <v>478</v>
      </c>
      <c r="F1544" s="8" t="s">
        <v>1901</v>
      </c>
    </row>
    <row r="1545" spans="1:6" ht="60" x14ac:dyDescent="0.25">
      <c r="A1545" s="8" t="s">
        <v>125</v>
      </c>
      <c r="B1545" s="8" t="s">
        <v>130</v>
      </c>
      <c r="C1545" s="8" t="str">
        <f>IFERROR(_xlfn.XLOOKUP(TRIM(B1545),Lookup!$B$2:$B$1000,Lookup!$C$2:$C$1000),"")</f>
        <v>Equity</v>
      </c>
      <c r="D1545" s="8" t="str">
        <f>IFERROR(INDEX('nav master'!$C:$C, MATCH(B1545, 'nav master'!$B:$B, 0)), "")</f>
        <v>ULIF03501/01/10BlueChipFd101</v>
      </c>
      <c r="E1545" s="8" t="s">
        <v>480</v>
      </c>
      <c r="F1545" s="8" t="s">
        <v>1902</v>
      </c>
    </row>
    <row r="1546" spans="1:6" ht="60" x14ac:dyDescent="0.25">
      <c r="A1546" s="8" t="s">
        <v>125</v>
      </c>
      <c r="B1546" s="8" t="s">
        <v>130</v>
      </c>
      <c r="C1546" s="8" t="str">
        <f>IFERROR(_xlfn.XLOOKUP(TRIM(B1546),Lookup!$B$2:$B$1000,Lookup!$C$2:$C$1000),"")</f>
        <v>Equity</v>
      </c>
      <c r="D1546" s="8" t="str">
        <f>IFERROR(INDEX('nav master'!$C:$C, MATCH(B1546, 'nav master'!$B:$B, 0)), "")</f>
        <v>ULIF03501/01/10BlueChipFd101</v>
      </c>
      <c r="E1546" s="8" t="s">
        <v>482</v>
      </c>
      <c r="F1546" s="8" t="s">
        <v>1903</v>
      </c>
    </row>
    <row r="1547" spans="1:6" ht="60" x14ac:dyDescent="0.25">
      <c r="A1547" s="8" t="s">
        <v>125</v>
      </c>
      <c r="B1547" s="8" t="s">
        <v>130</v>
      </c>
      <c r="C1547" s="8" t="str">
        <f>IFERROR(_xlfn.XLOOKUP(TRIM(B1547),Lookup!$B$2:$B$1000,Lookup!$C$2:$C$1000),"")</f>
        <v>Equity</v>
      </c>
      <c r="D1547" s="8" t="str">
        <f>IFERROR(INDEX('nav master'!$C:$C, MATCH(B1547, 'nav master'!$B:$B, 0)), "")</f>
        <v>ULIF03501/01/10BlueChipFd101</v>
      </c>
      <c r="E1547" s="8" t="s">
        <v>484</v>
      </c>
      <c r="F1547" s="8" t="s">
        <v>1904</v>
      </c>
    </row>
    <row r="1548" spans="1:6" ht="60" x14ac:dyDescent="0.25">
      <c r="A1548" s="8" t="s">
        <v>125</v>
      </c>
      <c r="B1548" s="8" t="s">
        <v>130</v>
      </c>
      <c r="C1548" s="8" t="str">
        <f>IFERROR(_xlfn.XLOOKUP(TRIM(B1548),Lookup!$B$2:$B$1000,Lookup!$C$2:$C$1000),"")</f>
        <v>Equity</v>
      </c>
      <c r="D1548" s="8" t="str">
        <f>IFERROR(INDEX('nav master'!$C:$C, MATCH(B1548, 'nav master'!$B:$B, 0)), "")</f>
        <v>ULIF03501/01/10BlueChipFd101</v>
      </c>
      <c r="E1548" s="8" t="s">
        <v>486</v>
      </c>
      <c r="F1548" s="8" t="s">
        <v>1905</v>
      </c>
    </row>
    <row r="1549" spans="1:6" ht="60" x14ac:dyDescent="0.25">
      <c r="A1549" s="8" t="s">
        <v>125</v>
      </c>
      <c r="B1549" s="8" t="s">
        <v>130</v>
      </c>
      <c r="C1549" s="8" t="str">
        <f>IFERROR(_xlfn.XLOOKUP(TRIM(B1549),Lookup!$B$2:$B$1000,Lookup!$C$2:$C$1000),"")</f>
        <v>Equity</v>
      </c>
      <c r="D1549" s="8" t="str">
        <f>IFERROR(INDEX('nav master'!$C:$C, MATCH(B1549, 'nav master'!$B:$B, 0)), "")</f>
        <v>ULIF03501/01/10BlueChipFd101</v>
      </c>
      <c r="E1549" s="8" t="s">
        <v>488</v>
      </c>
      <c r="F1549" s="8" t="s">
        <v>1906</v>
      </c>
    </row>
    <row r="1550" spans="1:6" ht="60" x14ac:dyDescent="0.25">
      <c r="A1550" s="8" t="s">
        <v>125</v>
      </c>
      <c r="B1550" s="8" t="s">
        <v>130</v>
      </c>
      <c r="C1550" s="8" t="str">
        <f>IFERROR(_xlfn.XLOOKUP(TRIM(B1550),Lookup!$B$2:$B$1000,Lookup!$C$2:$C$1000),"")</f>
        <v>Equity</v>
      </c>
      <c r="D1550" s="8" t="str">
        <f>IFERROR(INDEX('nav master'!$C:$C, MATCH(B1550, 'nav master'!$B:$B, 0)), "")</f>
        <v>ULIF03501/01/10BlueChipFd101</v>
      </c>
      <c r="E1550" s="8" t="s">
        <v>490</v>
      </c>
      <c r="F1550" s="8" t="s">
        <v>1907</v>
      </c>
    </row>
    <row r="1551" spans="1:6" ht="60" x14ac:dyDescent="0.25">
      <c r="A1551" s="8" t="s">
        <v>125</v>
      </c>
      <c r="B1551" s="8" t="s">
        <v>130</v>
      </c>
      <c r="C1551" s="8" t="str">
        <f>IFERROR(_xlfn.XLOOKUP(TRIM(B1551),Lookup!$B$2:$B$1000,Lookup!$C$2:$C$1000),"")</f>
        <v>Equity</v>
      </c>
      <c r="D1551" s="8" t="str">
        <f>IFERROR(INDEX('nav master'!$C:$C, MATCH(B1551, 'nav master'!$B:$B, 0)), "")</f>
        <v>ULIF03501/01/10BlueChipFd101</v>
      </c>
      <c r="E1551" s="8" t="s">
        <v>492</v>
      </c>
      <c r="F1551" s="8" t="s">
        <v>1908</v>
      </c>
    </row>
    <row r="1552" spans="1:6" ht="60" x14ac:dyDescent="0.25">
      <c r="A1552" s="8" t="s">
        <v>125</v>
      </c>
      <c r="B1552" s="8" t="s">
        <v>130</v>
      </c>
      <c r="C1552" s="8" t="str">
        <f>IFERROR(_xlfn.XLOOKUP(TRIM(B1552),Lookup!$B$2:$B$1000,Lookup!$C$2:$C$1000),"")</f>
        <v>Equity</v>
      </c>
      <c r="D1552" s="8" t="str">
        <f>IFERROR(INDEX('nav master'!$C:$C, MATCH(B1552, 'nav master'!$B:$B, 0)), "")</f>
        <v>ULIF03501/01/10BlueChipFd101</v>
      </c>
      <c r="E1552" s="8" t="s">
        <v>494</v>
      </c>
      <c r="F1552" s="8" t="s">
        <v>1909</v>
      </c>
    </row>
    <row r="1553" spans="1:6" ht="60" x14ac:dyDescent="0.25">
      <c r="A1553" s="8" t="s">
        <v>125</v>
      </c>
      <c r="B1553" s="8" t="s">
        <v>130</v>
      </c>
      <c r="C1553" s="8" t="str">
        <f>IFERROR(_xlfn.XLOOKUP(TRIM(B1553),Lookup!$B$2:$B$1000,Lookup!$C$2:$C$1000),"")</f>
        <v>Equity</v>
      </c>
      <c r="D1553" s="8" t="str">
        <f>IFERROR(INDEX('nav master'!$C:$C, MATCH(B1553, 'nav master'!$B:$B, 0)), "")</f>
        <v>ULIF03501/01/10BlueChipFd101</v>
      </c>
      <c r="E1553" s="8" t="s">
        <v>496</v>
      </c>
      <c r="F1553" s="8" t="s">
        <v>1910</v>
      </c>
    </row>
    <row r="1554" spans="1:6" ht="60" x14ac:dyDescent="0.25">
      <c r="A1554" s="8" t="s">
        <v>125</v>
      </c>
      <c r="B1554" s="8" t="s">
        <v>130</v>
      </c>
      <c r="C1554" s="8" t="str">
        <f>IFERROR(_xlfn.XLOOKUP(TRIM(B1554),Lookup!$B$2:$B$1000,Lookup!$C$2:$C$1000),"")</f>
        <v>Equity</v>
      </c>
      <c r="D1554" s="8" t="str">
        <f>IFERROR(INDEX('nav master'!$C:$C, MATCH(B1554, 'nav master'!$B:$B, 0)), "")</f>
        <v>ULIF03501/01/10BlueChipFd101</v>
      </c>
      <c r="E1554" s="8" t="s">
        <v>498</v>
      </c>
      <c r="F1554" s="8" t="s">
        <v>1911</v>
      </c>
    </row>
    <row r="1555" spans="1:6" ht="60" x14ac:dyDescent="0.25">
      <c r="A1555" s="8" t="s">
        <v>125</v>
      </c>
      <c r="B1555" s="8" t="s">
        <v>130</v>
      </c>
      <c r="C1555" s="8" t="str">
        <f>IFERROR(_xlfn.XLOOKUP(TRIM(B1555),Lookup!$B$2:$B$1000,Lookup!$C$2:$C$1000),"")</f>
        <v>Equity</v>
      </c>
      <c r="D1555" s="8" t="str">
        <f>IFERROR(INDEX('nav master'!$C:$C, MATCH(B1555, 'nav master'!$B:$B, 0)), "")</f>
        <v>ULIF03501/01/10BlueChipFd101</v>
      </c>
      <c r="E1555" s="8" t="s">
        <v>500</v>
      </c>
      <c r="F1555" s="8" t="s">
        <v>1912</v>
      </c>
    </row>
    <row r="1556" spans="1:6" ht="60" x14ac:dyDescent="0.25">
      <c r="A1556" s="8" t="s">
        <v>125</v>
      </c>
      <c r="B1556" s="8" t="s">
        <v>130</v>
      </c>
      <c r="C1556" s="8" t="str">
        <f>IFERROR(_xlfn.XLOOKUP(TRIM(B1556),Lookup!$B$2:$B$1000,Lookup!$C$2:$C$1000),"")</f>
        <v>Equity</v>
      </c>
      <c r="D1556" s="8" t="str">
        <f>IFERROR(INDEX('nav master'!$C:$C, MATCH(B1556, 'nav master'!$B:$B, 0)), "")</f>
        <v>ULIF03501/01/10BlueChipFd101</v>
      </c>
      <c r="E1556" s="8" t="s">
        <v>502</v>
      </c>
      <c r="F1556" s="8" t="s">
        <v>1913</v>
      </c>
    </row>
    <row r="1557" spans="1:6" ht="60" x14ac:dyDescent="0.25">
      <c r="A1557" s="8" t="s">
        <v>125</v>
      </c>
      <c r="B1557" s="8" t="s">
        <v>130</v>
      </c>
      <c r="C1557" s="8" t="str">
        <f>IFERROR(_xlfn.XLOOKUP(TRIM(B1557),Lookup!$B$2:$B$1000,Lookup!$C$2:$C$1000),"")</f>
        <v>Equity</v>
      </c>
      <c r="D1557" s="8" t="str">
        <f>IFERROR(INDEX('nav master'!$C:$C, MATCH(B1557, 'nav master'!$B:$B, 0)), "")</f>
        <v>ULIF03501/01/10BlueChipFd101</v>
      </c>
      <c r="E1557" s="8" t="s">
        <v>504</v>
      </c>
      <c r="F1557" s="8" t="s">
        <v>1914</v>
      </c>
    </row>
    <row r="1558" spans="1:6" ht="60" x14ac:dyDescent="0.25">
      <c r="A1558" s="8" t="s">
        <v>125</v>
      </c>
      <c r="B1558" s="8" t="s">
        <v>130</v>
      </c>
      <c r="C1558" s="8" t="str">
        <f>IFERROR(_xlfn.XLOOKUP(TRIM(B1558),Lookup!$B$2:$B$1000,Lookup!$C$2:$C$1000),"")</f>
        <v>Equity</v>
      </c>
      <c r="D1558" s="8" t="str">
        <f>IFERROR(INDEX('nav master'!$C:$C, MATCH(B1558, 'nav master'!$B:$B, 0)), "")</f>
        <v>ULIF03501/01/10BlueChipFd101</v>
      </c>
      <c r="E1558" s="8" t="s">
        <v>506</v>
      </c>
      <c r="F1558" s="8" t="s">
        <v>1915</v>
      </c>
    </row>
    <row r="1559" spans="1:6" ht="60" x14ac:dyDescent="0.25">
      <c r="A1559" s="8" t="s">
        <v>125</v>
      </c>
      <c r="B1559" s="8" t="s">
        <v>130</v>
      </c>
      <c r="C1559" s="8" t="str">
        <f>IFERROR(_xlfn.XLOOKUP(TRIM(B1559),Lookup!$B$2:$B$1000,Lookup!$C$2:$C$1000),"")</f>
        <v>Equity</v>
      </c>
      <c r="D1559" s="8" t="str">
        <f>IFERROR(INDEX('nav master'!$C:$C, MATCH(B1559, 'nav master'!$B:$B, 0)), "")</f>
        <v>ULIF03501/01/10BlueChipFd101</v>
      </c>
      <c r="E1559" s="8" t="s">
        <v>508</v>
      </c>
      <c r="F1559" s="8" t="s">
        <v>1916</v>
      </c>
    </row>
    <row r="1560" spans="1:6" ht="60" x14ac:dyDescent="0.25">
      <c r="A1560" s="8" t="s">
        <v>125</v>
      </c>
      <c r="B1560" s="8" t="s">
        <v>130</v>
      </c>
      <c r="C1560" s="8" t="str">
        <f>IFERROR(_xlfn.XLOOKUP(TRIM(B1560),Lookup!$B$2:$B$1000,Lookup!$C$2:$C$1000),"")</f>
        <v>Equity</v>
      </c>
      <c r="D1560" s="8" t="str">
        <f>IFERROR(INDEX('nav master'!$C:$C, MATCH(B1560, 'nav master'!$B:$B, 0)), "")</f>
        <v>ULIF03501/01/10BlueChipFd101</v>
      </c>
      <c r="E1560" s="8" t="s">
        <v>510</v>
      </c>
      <c r="F1560" s="8" t="s">
        <v>1917</v>
      </c>
    </row>
    <row r="1561" spans="1:6" ht="60" x14ac:dyDescent="0.25">
      <c r="A1561" s="8" t="s">
        <v>125</v>
      </c>
      <c r="B1561" s="8" t="s">
        <v>130</v>
      </c>
      <c r="C1561" s="8" t="str">
        <f>IFERROR(_xlfn.XLOOKUP(TRIM(B1561),Lookup!$B$2:$B$1000,Lookup!$C$2:$C$1000),"")</f>
        <v>Equity</v>
      </c>
      <c r="D1561" s="8" t="str">
        <f>IFERROR(INDEX('nav master'!$C:$C, MATCH(B1561, 'nav master'!$B:$B, 0)), "")</f>
        <v>ULIF03501/01/10BlueChipFd101</v>
      </c>
      <c r="E1561" s="8" t="s">
        <v>512</v>
      </c>
      <c r="F1561" s="8" t="s">
        <v>1918</v>
      </c>
    </row>
    <row r="1562" spans="1:6" ht="60" x14ac:dyDescent="0.25">
      <c r="A1562" s="8" t="s">
        <v>125</v>
      </c>
      <c r="B1562" s="8" t="s">
        <v>130</v>
      </c>
      <c r="C1562" s="8" t="str">
        <f>IFERROR(_xlfn.XLOOKUP(TRIM(B1562),Lookup!$B$2:$B$1000,Lookup!$C$2:$C$1000),"")</f>
        <v>Equity</v>
      </c>
      <c r="D1562" s="8" t="str">
        <f>IFERROR(INDEX('nav master'!$C:$C, MATCH(B1562, 'nav master'!$B:$B, 0)), "")</f>
        <v>ULIF03501/01/10BlueChipFd101</v>
      </c>
      <c r="E1562" s="8" t="s">
        <v>514</v>
      </c>
      <c r="F1562" s="8" t="s">
        <v>1919</v>
      </c>
    </row>
    <row r="1563" spans="1:6" ht="60" x14ac:dyDescent="0.25">
      <c r="A1563" s="8" t="s">
        <v>125</v>
      </c>
      <c r="B1563" s="8" t="s">
        <v>130</v>
      </c>
      <c r="C1563" s="8" t="str">
        <f>IFERROR(_xlfn.XLOOKUP(TRIM(B1563),Lookup!$B$2:$B$1000,Lookup!$C$2:$C$1000),"")</f>
        <v>Equity</v>
      </c>
      <c r="D1563" s="8" t="str">
        <f>IFERROR(INDEX('nav master'!$C:$C, MATCH(B1563, 'nav master'!$B:$B, 0)), "")</f>
        <v>ULIF03501/01/10BlueChipFd101</v>
      </c>
      <c r="E1563" s="8" t="s">
        <v>516</v>
      </c>
      <c r="F1563" s="8" t="s">
        <v>1920</v>
      </c>
    </row>
    <row r="1564" spans="1:6" ht="60" x14ac:dyDescent="0.25">
      <c r="A1564" s="8" t="s">
        <v>125</v>
      </c>
      <c r="B1564" s="8" t="s">
        <v>130</v>
      </c>
      <c r="C1564" s="8" t="str">
        <f>IFERROR(_xlfn.XLOOKUP(TRIM(B1564),Lookup!$B$2:$B$1000,Lookup!$C$2:$C$1000),"")</f>
        <v>Equity</v>
      </c>
      <c r="D1564" s="8" t="str">
        <f>IFERROR(INDEX('nav master'!$C:$C, MATCH(B1564, 'nav master'!$B:$B, 0)), "")</f>
        <v>ULIF03501/01/10BlueChipFd101</v>
      </c>
      <c r="E1564" s="8" t="s">
        <v>518</v>
      </c>
      <c r="F1564" s="8" t="s">
        <v>1921</v>
      </c>
    </row>
    <row r="1565" spans="1:6" ht="60" x14ac:dyDescent="0.25">
      <c r="A1565" s="8" t="s">
        <v>125</v>
      </c>
      <c r="B1565" s="8" t="s">
        <v>130</v>
      </c>
      <c r="C1565" s="8" t="str">
        <f>IFERROR(_xlfn.XLOOKUP(TRIM(B1565),Lookup!$B$2:$B$1000,Lookup!$C$2:$C$1000),"")</f>
        <v>Equity</v>
      </c>
      <c r="D1565" s="8" t="str">
        <f>IFERROR(INDEX('nav master'!$C:$C, MATCH(B1565, 'nav master'!$B:$B, 0)), "")</f>
        <v>ULIF03501/01/10BlueChipFd101</v>
      </c>
      <c r="E1565" s="8" t="s">
        <v>520</v>
      </c>
      <c r="F1565" s="8" t="s">
        <v>1922</v>
      </c>
    </row>
    <row r="1566" spans="1:6" ht="60" x14ac:dyDescent="0.25">
      <c r="A1566" s="8" t="s">
        <v>125</v>
      </c>
      <c r="B1566" s="8" t="s">
        <v>130</v>
      </c>
      <c r="C1566" s="8" t="str">
        <f>IFERROR(_xlfn.XLOOKUP(TRIM(B1566),Lookup!$B$2:$B$1000,Lookup!$C$2:$C$1000),"")</f>
        <v>Equity</v>
      </c>
      <c r="D1566" s="8" t="str">
        <f>IFERROR(INDEX('nav master'!$C:$C, MATCH(B1566, 'nav master'!$B:$B, 0)), "")</f>
        <v>ULIF03501/01/10BlueChipFd101</v>
      </c>
      <c r="E1566" s="8" t="s">
        <v>522</v>
      </c>
      <c r="F1566" s="8" t="s">
        <v>1923</v>
      </c>
    </row>
    <row r="1567" spans="1:6" ht="60" x14ac:dyDescent="0.25">
      <c r="A1567" s="8" t="s">
        <v>125</v>
      </c>
      <c r="B1567" s="8" t="s">
        <v>130</v>
      </c>
      <c r="C1567" s="8" t="str">
        <f>IFERROR(_xlfn.XLOOKUP(TRIM(B1567),Lookup!$B$2:$B$1000,Lookup!$C$2:$C$1000),"")</f>
        <v>Equity</v>
      </c>
      <c r="D1567" s="8" t="str">
        <f>IFERROR(INDEX('nav master'!$C:$C, MATCH(B1567, 'nav master'!$B:$B, 0)), "")</f>
        <v>ULIF03501/01/10BlueChipFd101</v>
      </c>
      <c r="E1567" s="8" t="s">
        <v>524</v>
      </c>
      <c r="F1567" s="8" t="s">
        <v>1924</v>
      </c>
    </row>
    <row r="1568" spans="1:6" ht="60" x14ac:dyDescent="0.25">
      <c r="A1568" s="8" t="s">
        <v>125</v>
      </c>
      <c r="B1568" s="8" t="s">
        <v>130</v>
      </c>
      <c r="C1568" s="8" t="str">
        <f>IFERROR(_xlfn.XLOOKUP(TRIM(B1568),Lookup!$B$2:$B$1000,Lookup!$C$2:$C$1000),"")</f>
        <v>Equity</v>
      </c>
      <c r="D1568" s="8" t="str">
        <f>IFERROR(INDEX('nav master'!$C:$C, MATCH(B1568, 'nav master'!$B:$B, 0)), "")</f>
        <v>ULIF03501/01/10BlueChipFd101</v>
      </c>
      <c r="E1568" s="8" t="s">
        <v>526</v>
      </c>
      <c r="F1568" s="8" t="s">
        <v>1925</v>
      </c>
    </row>
    <row r="1569" spans="1:6" ht="60" x14ac:dyDescent="0.25">
      <c r="A1569" s="8" t="s">
        <v>125</v>
      </c>
      <c r="B1569" s="8" t="s">
        <v>130</v>
      </c>
      <c r="C1569" s="8" t="str">
        <f>IFERROR(_xlfn.XLOOKUP(TRIM(B1569),Lookup!$B$2:$B$1000,Lookup!$C$2:$C$1000),"")</f>
        <v>Equity</v>
      </c>
      <c r="D1569" s="8" t="str">
        <f>IFERROR(INDEX('nav master'!$C:$C, MATCH(B1569, 'nav master'!$B:$B, 0)), "")</f>
        <v>ULIF03501/01/10BlueChipFd101</v>
      </c>
      <c r="E1569" s="8" t="s">
        <v>528</v>
      </c>
      <c r="F1569" s="8" t="s">
        <v>1926</v>
      </c>
    </row>
    <row r="1570" spans="1:6" ht="60" x14ac:dyDescent="0.25">
      <c r="A1570" s="8" t="s">
        <v>125</v>
      </c>
      <c r="B1570" s="8" t="s">
        <v>130</v>
      </c>
      <c r="C1570" s="8" t="str">
        <f>IFERROR(_xlfn.XLOOKUP(TRIM(B1570),Lookup!$B$2:$B$1000,Lookup!$C$2:$C$1000),"")</f>
        <v>Equity</v>
      </c>
      <c r="D1570" s="8" t="str">
        <f>IFERROR(INDEX('nav master'!$C:$C, MATCH(B1570, 'nav master'!$B:$B, 0)), "")</f>
        <v>ULIF03501/01/10BlueChipFd101</v>
      </c>
      <c r="E1570" s="8" t="s">
        <v>530</v>
      </c>
      <c r="F1570" s="8" t="s">
        <v>1927</v>
      </c>
    </row>
    <row r="1571" spans="1:6" ht="60" x14ac:dyDescent="0.25">
      <c r="A1571" s="8" t="s">
        <v>125</v>
      </c>
      <c r="B1571" s="8" t="s">
        <v>130</v>
      </c>
      <c r="C1571" s="8" t="str">
        <f>IFERROR(_xlfn.XLOOKUP(TRIM(B1571),Lookup!$B$2:$B$1000,Lookup!$C$2:$C$1000),"")</f>
        <v>Equity</v>
      </c>
      <c r="D1571" s="8" t="str">
        <f>IFERROR(INDEX('nav master'!$C:$C, MATCH(B1571, 'nav master'!$B:$B, 0)), "")</f>
        <v>ULIF03501/01/10BlueChipFd101</v>
      </c>
      <c r="E1571" s="8" t="s">
        <v>532</v>
      </c>
      <c r="F1571" s="8" t="s">
        <v>1928</v>
      </c>
    </row>
    <row r="1572" spans="1:6" ht="60" x14ac:dyDescent="0.25">
      <c r="A1572" s="8" t="s">
        <v>125</v>
      </c>
      <c r="B1572" s="8" t="s">
        <v>130</v>
      </c>
      <c r="C1572" s="8" t="str">
        <f>IFERROR(_xlfn.XLOOKUP(TRIM(B1572),Lookup!$B$2:$B$1000,Lookup!$C$2:$C$1000),"")</f>
        <v>Equity</v>
      </c>
      <c r="D1572" s="8" t="str">
        <f>IFERROR(INDEX('nav master'!$C:$C, MATCH(B1572, 'nav master'!$B:$B, 0)), "")</f>
        <v>ULIF03501/01/10BlueChipFd101</v>
      </c>
      <c r="E1572" s="8" t="s">
        <v>534</v>
      </c>
      <c r="F1572" s="8" t="s">
        <v>1929</v>
      </c>
    </row>
    <row r="1573" spans="1:6" ht="60" x14ac:dyDescent="0.25">
      <c r="A1573" s="8" t="s">
        <v>125</v>
      </c>
      <c r="B1573" s="8" t="s">
        <v>130</v>
      </c>
      <c r="C1573" s="8" t="str">
        <f>IFERROR(_xlfn.XLOOKUP(TRIM(B1573),Lookup!$B$2:$B$1000,Lookup!$C$2:$C$1000),"")</f>
        <v>Equity</v>
      </c>
      <c r="D1573" s="8" t="str">
        <f>IFERROR(INDEX('nav master'!$C:$C, MATCH(B1573, 'nav master'!$B:$B, 0)), "")</f>
        <v>ULIF03501/01/10BlueChipFd101</v>
      </c>
      <c r="E1573" s="8" t="s">
        <v>536</v>
      </c>
      <c r="F1573" s="8" t="s">
        <v>1930</v>
      </c>
    </row>
    <row r="1574" spans="1:6" ht="60" x14ac:dyDescent="0.25">
      <c r="A1574" s="8" t="s">
        <v>125</v>
      </c>
      <c r="B1574" s="8" t="s">
        <v>130</v>
      </c>
      <c r="C1574" s="8" t="str">
        <f>IFERROR(_xlfn.XLOOKUP(TRIM(B1574),Lookup!$B$2:$B$1000,Lookup!$C$2:$C$1000),"")</f>
        <v>Equity</v>
      </c>
      <c r="D1574" s="8" t="str">
        <f>IFERROR(INDEX('nav master'!$C:$C, MATCH(B1574, 'nav master'!$B:$B, 0)), "")</f>
        <v>ULIF03501/01/10BlueChipFd101</v>
      </c>
      <c r="E1574" s="8" t="s">
        <v>538</v>
      </c>
      <c r="F1574" s="8" t="s">
        <v>1931</v>
      </c>
    </row>
    <row r="1575" spans="1:6" ht="60" x14ac:dyDescent="0.25">
      <c r="A1575" s="8" t="s">
        <v>125</v>
      </c>
      <c r="B1575" s="8" t="s">
        <v>130</v>
      </c>
      <c r="C1575" s="8" t="str">
        <f>IFERROR(_xlfn.XLOOKUP(TRIM(B1575),Lookup!$B$2:$B$1000,Lookup!$C$2:$C$1000),"")</f>
        <v>Equity</v>
      </c>
      <c r="D1575" s="8" t="str">
        <f>IFERROR(INDEX('nav master'!$C:$C, MATCH(B1575, 'nav master'!$B:$B, 0)), "")</f>
        <v>ULIF03501/01/10BlueChipFd101</v>
      </c>
      <c r="E1575" s="8" t="s">
        <v>540</v>
      </c>
      <c r="F1575" s="8" t="s">
        <v>1932</v>
      </c>
    </row>
    <row r="1576" spans="1:6" ht="60" x14ac:dyDescent="0.25">
      <c r="A1576" s="8" t="s">
        <v>125</v>
      </c>
      <c r="B1576" s="8" t="s">
        <v>130</v>
      </c>
      <c r="C1576" s="8" t="str">
        <f>IFERROR(_xlfn.XLOOKUP(TRIM(B1576),Lookup!$B$2:$B$1000,Lookup!$C$2:$C$1000),"")</f>
        <v>Equity</v>
      </c>
      <c r="D1576" s="8" t="str">
        <f>IFERROR(INDEX('nav master'!$C:$C, MATCH(B1576, 'nav master'!$B:$B, 0)), "")</f>
        <v>ULIF03501/01/10BlueChipFd101</v>
      </c>
      <c r="E1576" s="8" t="s">
        <v>542</v>
      </c>
      <c r="F1576" s="8" t="s">
        <v>1933</v>
      </c>
    </row>
    <row r="1577" spans="1:6" ht="60" x14ac:dyDescent="0.25">
      <c r="A1577" s="8" t="s">
        <v>125</v>
      </c>
      <c r="B1577" s="8" t="s">
        <v>130</v>
      </c>
      <c r="C1577" s="8" t="str">
        <f>IFERROR(_xlfn.XLOOKUP(TRIM(B1577),Lookup!$B$2:$B$1000,Lookup!$C$2:$C$1000),"")</f>
        <v>Equity</v>
      </c>
      <c r="D1577" s="8" t="str">
        <f>IFERROR(INDEX('nav master'!$C:$C, MATCH(B1577, 'nav master'!$B:$B, 0)), "")</f>
        <v>ULIF03501/01/10BlueChipFd101</v>
      </c>
      <c r="E1577" s="8" t="s">
        <v>544</v>
      </c>
      <c r="F1577" s="8" t="s">
        <v>1934</v>
      </c>
    </row>
    <row r="1578" spans="1:6" ht="60" x14ac:dyDescent="0.25">
      <c r="A1578" s="8" t="s">
        <v>125</v>
      </c>
      <c r="B1578" s="8" t="s">
        <v>130</v>
      </c>
      <c r="C1578" s="8" t="str">
        <f>IFERROR(_xlfn.XLOOKUP(TRIM(B1578),Lookup!$B$2:$B$1000,Lookup!$C$2:$C$1000),"")</f>
        <v>Equity</v>
      </c>
      <c r="D1578" s="8" t="str">
        <f>IFERROR(INDEX('nav master'!$C:$C, MATCH(B1578, 'nav master'!$B:$B, 0)), "")</f>
        <v>ULIF03501/01/10BlueChipFd101</v>
      </c>
      <c r="E1578" s="8" t="s">
        <v>546</v>
      </c>
      <c r="F1578" s="8" t="s">
        <v>1935</v>
      </c>
    </row>
    <row r="1579" spans="1:6" ht="60" x14ac:dyDescent="0.25">
      <c r="A1579" s="8" t="s">
        <v>125</v>
      </c>
      <c r="B1579" s="8" t="s">
        <v>130</v>
      </c>
      <c r="C1579" s="8" t="str">
        <f>IFERROR(_xlfn.XLOOKUP(TRIM(B1579),Lookup!$B$2:$B$1000,Lookup!$C$2:$C$1000),"")</f>
        <v>Equity</v>
      </c>
      <c r="D1579" s="8" t="str">
        <f>IFERROR(INDEX('nav master'!$C:$C, MATCH(B1579, 'nav master'!$B:$B, 0)), "")</f>
        <v>ULIF03501/01/10BlueChipFd101</v>
      </c>
      <c r="E1579" s="8" t="s">
        <v>548</v>
      </c>
      <c r="F1579" s="8" t="s">
        <v>1936</v>
      </c>
    </row>
    <row r="1580" spans="1:6" ht="60" x14ac:dyDescent="0.25">
      <c r="A1580" s="8" t="s">
        <v>125</v>
      </c>
      <c r="B1580" s="8" t="s">
        <v>130</v>
      </c>
      <c r="C1580" s="8" t="str">
        <f>IFERROR(_xlfn.XLOOKUP(TRIM(B1580),Lookup!$B$2:$B$1000,Lookup!$C$2:$C$1000),"")</f>
        <v>Equity</v>
      </c>
      <c r="D1580" s="8" t="str">
        <f>IFERROR(INDEX('nav master'!$C:$C, MATCH(B1580, 'nav master'!$B:$B, 0)), "")</f>
        <v>ULIF03501/01/10BlueChipFd101</v>
      </c>
      <c r="E1580" s="8" t="s">
        <v>550</v>
      </c>
      <c r="F1580" s="8" t="s">
        <v>1937</v>
      </c>
    </row>
    <row r="1581" spans="1:6" ht="60" x14ac:dyDescent="0.25">
      <c r="A1581" s="8" t="s">
        <v>125</v>
      </c>
      <c r="B1581" s="8" t="s">
        <v>130</v>
      </c>
      <c r="C1581" s="8" t="str">
        <f>IFERROR(_xlfn.XLOOKUP(TRIM(B1581),Lookup!$B$2:$B$1000,Lookup!$C$2:$C$1000),"")</f>
        <v>Equity</v>
      </c>
      <c r="D1581" s="8" t="str">
        <f>IFERROR(INDEX('nav master'!$C:$C, MATCH(B1581, 'nav master'!$B:$B, 0)), "")</f>
        <v>ULIF03501/01/10BlueChipFd101</v>
      </c>
      <c r="E1581" s="8" t="s">
        <v>552</v>
      </c>
      <c r="F1581" s="8" t="s">
        <v>1938</v>
      </c>
    </row>
    <row r="1582" spans="1:6" ht="60" x14ac:dyDescent="0.25">
      <c r="A1582" s="8" t="s">
        <v>125</v>
      </c>
      <c r="B1582" s="8" t="s">
        <v>130</v>
      </c>
      <c r="C1582" s="8" t="str">
        <f>IFERROR(_xlfn.XLOOKUP(TRIM(B1582),Lookup!$B$2:$B$1000,Lookup!$C$2:$C$1000),"")</f>
        <v>Equity</v>
      </c>
      <c r="D1582" s="8" t="str">
        <f>IFERROR(INDEX('nav master'!$C:$C, MATCH(B1582, 'nav master'!$B:$B, 0)), "")</f>
        <v>ULIF03501/01/10BlueChipFd101</v>
      </c>
      <c r="E1582" s="8" t="s">
        <v>554</v>
      </c>
      <c r="F1582" s="8" t="s">
        <v>1939</v>
      </c>
    </row>
    <row r="1583" spans="1:6" ht="60" x14ac:dyDescent="0.25">
      <c r="A1583" s="8" t="s">
        <v>125</v>
      </c>
      <c r="B1583" s="8" t="s">
        <v>130</v>
      </c>
      <c r="C1583" s="8" t="str">
        <f>IFERROR(_xlfn.XLOOKUP(TRIM(B1583),Lookup!$B$2:$B$1000,Lookup!$C$2:$C$1000),"")</f>
        <v>Equity</v>
      </c>
      <c r="D1583" s="8" t="str">
        <f>IFERROR(INDEX('nav master'!$C:$C, MATCH(B1583, 'nav master'!$B:$B, 0)), "")</f>
        <v>ULIF03501/01/10BlueChipFd101</v>
      </c>
      <c r="E1583" s="8" t="s">
        <v>556</v>
      </c>
      <c r="F1583" s="8" t="s">
        <v>1940</v>
      </c>
    </row>
    <row r="1584" spans="1:6" ht="60" x14ac:dyDescent="0.25">
      <c r="A1584" s="8" t="s">
        <v>125</v>
      </c>
      <c r="B1584" s="8" t="s">
        <v>130</v>
      </c>
      <c r="C1584" s="8" t="str">
        <f>IFERROR(_xlfn.XLOOKUP(TRIM(B1584),Lookup!$B$2:$B$1000,Lookup!$C$2:$C$1000),"")</f>
        <v>Equity</v>
      </c>
      <c r="D1584" s="8" t="str">
        <f>IFERROR(INDEX('nav master'!$C:$C, MATCH(B1584, 'nav master'!$B:$B, 0)), "")</f>
        <v>ULIF03501/01/10BlueChipFd101</v>
      </c>
      <c r="E1584" s="8" t="s">
        <v>558</v>
      </c>
      <c r="F1584" s="8" t="s">
        <v>1941</v>
      </c>
    </row>
    <row r="1585" spans="1:6" ht="60" x14ac:dyDescent="0.25">
      <c r="A1585" s="8" t="s">
        <v>125</v>
      </c>
      <c r="B1585" s="8" t="s">
        <v>130</v>
      </c>
      <c r="C1585" s="8" t="str">
        <f>IFERROR(_xlfn.XLOOKUP(TRIM(B1585),Lookup!$B$2:$B$1000,Lookup!$C$2:$C$1000),"")</f>
        <v>Equity</v>
      </c>
      <c r="D1585" s="8" t="str">
        <f>IFERROR(INDEX('nav master'!$C:$C, MATCH(B1585, 'nav master'!$B:$B, 0)), "")</f>
        <v>ULIF03501/01/10BlueChipFd101</v>
      </c>
      <c r="E1585" s="8" t="s">
        <v>560</v>
      </c>
      <c r="F1585" s="8" t="s">
        <v>1942</v>
      </c>
    </row>
    <row r="1586" spans="1:6" ht="60" x14ac:dyDescent="0.25">
      <c r="A1586" s="8" t="s">
        <v>125</v>
      </c>
      <c r="B1586" s="8" t="s">
        <v>130</v>
      </c>
      <c r="C1586" s="8" t="str">
        <f>IFERROR(_xlfn.XLOOKUP(TRIM(B1586),Lookup!$B$2:$B$1000,Lookup!$C$2:$C$1000),"")</f>
        <v>Equity</v>
      </c>
      <c r="D1586" s="8" t="str">
        <f>IFERROR(INDEX('nav master'!$C:$C, MATCH(B1586, 'nav master'!$B:$B, 0)), "")</f>
        <v>ULIF03501/01/10BlueChipFd101</v>
      </c>
      <c r="E1586" s="8" t="s">
        <v>562</v>
      </c>
      <c r="F1586" s="8" t="s">
        <v>1943</v>
      </c>
    </row>
    <row r="1587" spans="1:6" ht="60" x14ac:dyDescent="0.25">
      <c r="A1587" s="8" t="s">
        <v>125</v>
      </c>
      <c r="B1587" s="8" t="s">
        <v>130</v>
      </c>
      <c r="C1587" s="8" t="str">
        <f>IFERROR(_xlfn.XLOOKUP(TRIM(B1587),Lookup!$B$2:$B$1000,Lookup!$C$2:$C$1000),"")</f>
        <v>Equity</v>
      </c>
      <c r="D1587" s="8" t="str">
        <f>IFERROR(INDEX('nav master'!$C:$C, MATCH(B1587, 'nav master'!$B:$B, 0)), "")</f>
        <v>ULIF03501/01/10BlueChipFd101</v>
      </c>
      <c r="E1587" s="8" t="s">
        <v>564</v>
      </c>
      <c r="F1587" s="8" t="s">
        <v>1944</v>
      </c>
    </row>
    <row r="1588" spans="1:6" ht="60" x14ac:dyDescent="0.25">
      <c r="A1588" s="8" t="s">
        <v>125</v>
      </c>
      <c r="B1588" s="8" t="s">
        <v>130</v>
      </c>
      <c r="C1588" s="8" t="str">
        <f>IFERROR(_xlfn.XLOOKUP(TRIM(B1588),Lookup!$B$2:$B$1000,Lookup!$C$2:$C$1000),"")</f>
        <v>Equity</v>
      </c>
      <c r="D1588" s="8" t="str">
        <f>IFERROR(INDEX('nav master'!$C:$C, MATCH(B1588, 'nav master'!$B:$B, 0)), "")</f>
        <v>ULIF03501/01/10BlueChipFd101</v>
      </c>
      <c r="E1588" s="8" t="s">
        <v>566</v>
      </c>
      <c r="F1588" s="8" t="s">
        <v>1945</v>
      </c>
    </row>
    <row r="1589" spans="1:6" ht="60" x14ac:dyDescent="0.25">
      <c r="A1589" s="8" t="s">
        <v>125</v>
      </c>
      <c r="B1589" s="8" t="s">
        <v>130</v>
      </c>
      <c r="C1589" s="8" t="str">
        <f>IFERROR(_xlfn.XLOOKUP(TRIM(B1589),Lookup!$B$2:$B$1000,Lookup!$C$2:$C$1000),"")</f>
        <v>Equity</v>
      </c>
      <c r="D1589" s="8" t="str">
        <f>IFERROR(INDEX('nav master'!$C:$C, MATCH(B1589, 'nav master'!$B:$B, 0)), "")</f>
        <v>ULIF03501/01/10BlueChipFd101</v>
      </c>
      <c r="E1589" s="8" t="s">
        <v>568</v>
      </c>
      <c r="F1589" s="8" t="s">
        <v>1946</v>
      </c>
    </row>
    <row r="1590" spans="1:6" ht="60" x14ac:dyDescent="0.25">
      <c r="A1590" s="8" t="s">
        <v>125</v>
      </c>
      <c r="B1590" s="8" t="s">
        <v>130</v>
      </c>
      <c r="C1590" s="8" t="str">
        <f>IFERROR(_xlfn.XLOOKUP(TRIM(B1590),Lookup!$B$2:$B$1000,Lookup!$C$2:$C$1000),"")</f>
        <v>Equity</v>
      </c>
      <c r="D1590" s="8" t="str">
        <f>IFERROR(INDEX('nav master'!$C:$C, MATCH(B1590, 'nav master'!$B:$B, 0)), "")</f>
        <v>ULIF03501/01/10BlueChipFd101</v>
      </c>
      <c r="E1590" s="8" t="s">
        <v>570</v>
      </c>
      <c r="F1590" s="8" t="s">
        <v>1947</v>
      </c>
    </row>
    <row r="1591" spans="1:6" ht="60" x14ac:dyDescent="0.25">
      <c r="A1591" s="8" t="s">
        <v>125</v>
      </c>
      <c r="B1591" s="8" t="s">
        <v>130</v>
      </c>
      <c r="C1591" s="8" t="str">
        <f>IFERROR(_xlfn.XLOOKUP(TRIM(B1591),Lookup!$B$2:$B$1000,Lookup!$C$2:$C$1000),"")</f>
        <v>Equity</v>
      </c>
      <c r="D1591" s="8" t="str">
        <f>IFERROR(INDEX('nav master'!$C:$C, MATCH(B1591, 'nav master'!$B:$B, 0)), "")</f>
        <v>ULIF03501/01/10BlueChipFd101</v>
      </c>
      <c r="E1591" s="8" t="s">
        <v>572</v>
      </c>
      <c r="F1591" s="8" t="s">
        <v>1948</v>
      </c>
    </row>
    <row r="1592" spans="1:6" ht="60" x14ac:dyDescent="0.25">
      <c r="A1592" s="8" t="s">
        <v>125</v>
      </c>
      <c r="B1592" s="8" t="s">
        <v>130</v>
      </c>
      <c r="C1592" s="8" t="str">
        <f>IFERROR(_xlfn.XLOOKUP(TRIM(B1592),Lookup!$B$2:$B$1000,Lookup!$C$2:$C$1000),"")</f>
        <v>Equity</v>
      </c>
      <c r="D1592" s="8" t="str">
        <f>IFERROR(INDEX('nav master'!$C:$C, MATCH(B1592, 'nav master'!$B:$B, 0)), "")</f>
        <v>ULIF03501/01/10BlueChipFd101</v>
      </c>
      <c r="E1592" s="8" t="s">
        <v>574</v>
      </c>
      <c r="F1592" s="8" t="s">
        <v>1949</v>
      </c>
    </row>
    <row r="1593" spans="1:6" ht="60" x14ac:dyDescent="0.25">
      <c r="A1593" s="8" t="s">
        <v>125</v>
      </c>
      <c r="B1593" s="8" t="s">
        <v>130</v>
      </c>
      <c r="C1593" s="8" t="str">
        <f>IFERROR(_xlfn.XLOOKUP(TRIM(B1593),Lookup!$B$2:$B$1000,Lookup!$C$2:$C$1000),"")</f>
        <v>Equity</v>
      </c>
      <c r="D1593" s="8" t="str">
        <f>IFERROR(INDEX('nav master'!$C:$C, MATCH(B1593, 'nav master'!$B:$B, 0)), "")</f>
        <v>ULIF03501/01/10BlueChipFd101</v>
      </c>
      <c r="E1593" s="8" t="s">
        <v>576</v>
      </c>
      <c r="F1593" s="8" t="s">
        <v>1950</v>
      </c>
    </row>
    <row r="1594" spans="1:6" ht="60" x14ac:dyDescent="0.25">
      <c r="A1594" s="8" t="s">
        <v>125</v>
      </c>
      <c r="B1594" s="8" t="s">
        <v>130</v>
      </c>
      <c r="C1594" s="8" t="str">
        <f>IFERROR(_xlfn.XLOOKUP(TRIM(B1594),Lookup!$B$2:$B$1000,Lookup!$C$2:$C$1000),"")</f>
        <v>Equity</v>
      </c>
      <c r="D1594" s="8" t="str">
        <f>IFERROR(INDEX('nav master'!$C:$C, MATCH(B1594, 'nav master'!$B:$B, 0)), "")</f>
        <v>ULIF03501/01/10BlueChipFd101</v>
      </c>
      <c r="E1594" s="8" t="s">
        <v>578</v>
      </c>
      <c r="F1594" s="8" t="s">
        <v>1951</v>
      </c>
    </row>
    <row r="1595" spans="1:6" ht="60" x14ac:dyDescent="0.25">
      <c r="A1595" s="8" t="s">
        <v>125</v>
      </c>
      <c r="B1595" s="8" t="s">
        <v>130</v>
      </c>
      <c r="C1595" s="8" t="str">
        <f>IFERROR(_xlfn.XLOOKUP(TRIM(B1595),Lookup!$B$2:$B$1000,Lookup!$C$2:$C$1000),"")</f>
        <v>Equity</v>
      </c>
      <c r="D1595" s="8" t="str">
        <f>IFERROR(INDEX('nav master'!$C:$C, MATCH(B1595, 'nav master'!$B:$B, 0)), "")</f>
        <v>ULIF03501/01/10BlueChipFd101</v>
      </c>
      <c r="E1595" s="8" t="s">
        <v>580</v>
      </c>
      <c r="F1595" s="8" t="s">
        <v>1952</v>
      </c>
    </row>
    <row r="1596" spans="1:6" ht="60" x14ac:dyDescent="0.25">
      <c r="A1596" s="8" t="s">
        <v>125</v>
      </c>
      <c r="B1596" s="8" t="s">
        <v>130</v>
      </c>
      <c r="C1596" s="8" t="str">
        <f>IFERROR(_xlfn.XLOOKUP(TRIM(B1596),Lookup!$B$2:$B$1000,Lookup!$C$2:$C$1000),"")</f>
        <v>Equity</v>
      </c>
      <c r="D1596" s="8" t="str">
        <f>IFERROR(INDEX('nav master'!$C:$C, MATCH(B1596, 'nav master'!$B:$B, 0)), "")</f>
        <v>ULIF03501/01/10BlueChipFd101</v>
      </c>
      <c r="E1596" s="8" t="s">
        <v>582</v>
      </c>
      <c r="F1596" s="8" t="s">
        <v>1953</v>
      </c>
    </row>
    <row r="1597" spans="1:6" ht="60" x14ac:dyDescent="0.25">
      <c r="A1597" s="8" t="s">
        <v>125</v>
      </c>
      <c r="B1597" s="8" t="s">
        <v>130</v>
      </c>
      <c r="C1597" s="8" t="str">
        <f>IFERROR(_xlfn.XLOOKUP(TRIM(B1597),Lookup!$B$2:$B$1000,Lookup!$C$2:$C$1000),"")</f>
        <v>Equity</v>
      </c>
      <c r="D1597" s="8" t="str">
        <f>IFERROR(INDEX('nav master'!$C:$C, MATCH(B1597, 'nav master'!$B:$B, 0)), "")</f>
        <v>ULIF03501/01/10BlueChipFd101</v>
      </c>
      <c r="E1597" s="8" t="s">
        <v>584</v>
      </c>
      <c r="F1597" s="8" t="s">
        <v>1954</v>
      </c>
    </row>
    <row r="1598" spans="1:6" ht="60" x14ac:dyDescent="0.25">
      <c r="A1598" s="8" t="s">
        <v>125</v>
      </c>
      <c r="B1598" s="8" t="s">
        <v>130</v>
      </c>
      <c r="C1598" s="8" t="str">
        <f>IFERROR(_xlfn.XLOOKUP(TRIM(B1598),Lookup!$B$2:$B$1000,Lookup!$C$2:$C$1000),"")</f>
        <v>Equity</v>
      </c>
      <c r="D1598" s="8" t="str">
        <f>IFERROR(INDEX('nav master'!$C:$C, MATCH(B1598, 'nav master'!$B:$B, 0)), "")</f>
        <v>ULIF03501/01/10BlueChipFd101</v>
      </c>
      <c r="E1598" s="8" t="s">
        <v>586</v>
      </c>
      <c r="F1598" s="8" t="s">
        <v>1955</v>
      </c>
    </row>
    <row r="1599" spans="1:6" ht="60" x14ac:dyDescent="0.25">
      <c r="A1599" s="8" t="s">
        <v>125</v>
      </c>
      <c r="B1599" s="8" t="s">
        <v>130</v>
      </c>
      <c r="C1599" s="8" t="str">
        <f>IFERROR(_xlfn.XLOOKUP(TRIM(B1599),Lookup!$B$2:$B$1000,Lookup!$C$2:$C$1000),"")</f>
        <v>Equity</v>
      </c>
      <c r="D1599" s="8" t="str">
        <f>IFERROR(INDEX('nav master'!$C:$C, MATCH(B1599, 'nav master'!$B:$B, 0)), "")</f>
        <v>ULIF03501/01/10BlueChipFd101</v>
      </c>
      <c r="E1599" s="8" t="s">
        <v>588</v>
      </c>
      <c r="F1599" s="8" t="s">
        <v>1956</v>
      </c>
    </row>
    <row r="1600" spans="1:6" ht="60" x14ac:dyDescent="0.25">
      <c r="A1600" s="8" t="s">
        <v>125</v>
      </c>
      <c r="B1600" s="8" t="s">
        <v>130</v>
      </c>
      <c r="C1600" s="8" t="str">
        <f>IFERROR(_xlfn.XLOOKUP(TRIM(B1600),Lookup!$B$2:$B$1000,Lookup!$C$2:$C$1000),"")</f>
        <v>Equity</v>
      </c>
      <c r="D1600" s="8" t="str">
        <f>IFERROR(INDEX('nav master'!$C:$C, MATCH(B1600, 'nav master'!$B:$B, 0)), "")</f>
        <v>ULIF03501/01/10BlueChipFd101</v>
      </c>
      <c r="E1600" s="8" t="s">
        <v>590</v>
      </c>
      <c r="F1600" s="8" t="s">
        <v>1957</v>
      </c>
    </row>
    <row r="1601" spans="1:6" ht="60" x14ac:dyDescent="0.25">
      <c r="A1601" s="8" t="s">
        <v>125</v>
      </c>
      <c r="B1601" s="8" t="s">
        <v>130</v>
      </c>
      <c r="C1601" s="8" t="str">
        <f>IFERROR(_xlfn.XLOOKUP(TRIM(B1601),Lookup!$B$2:$B$1000,Lookup!$C$2:$C$1000),"")</f>
        <v>Equity</v>
      </c>
      <c r="D1601" s="8" t="str">
        <f>IFERROR(INDEX('nav master'!$C:$C, MATCH(B1601, 'nav master'!$B:$B, 0)), "")</f>
        <v>ULIF03501/01/10BlueChipFd101</v>
      </c>
      <c r="E1601" s="8" t="s">
        <v>592</v>
      </c>
      <c r="F1601" s="8" t="s">
        <v>1958</v>
      </c>
    </row>
    <row r="1602" spans="1:6" ht="60" x14ac:dyDescent="0.25">
      <c r="A1602" s="8" t="s">
        <v>125</v>
      </c>
      <c r="B1602" s="8" t="s">
        <v>130</v>
      </c>
      <c r="C1602" s="8" t="str">
        <f>IFERROR(_xlfn.XLOOKUP(TRIM(B1602),Lookup!$B$2:$B$1000,Lookup!$C$2:$C$1000),"")</f>
        <v>Equity</v>
      </c>
      <c r="D1602" s="8" t="str">
        <f>IFERROR(INDEX('nav master'!$C:$C, MATCH(B1602, 'nav master'!$B:$B, 0)), "")</f>
        <v>ULIF03501/01/10BlueChipFd101</v>
      </c>
      <c r="E1602" s="8" t="s">
        <v>594</v>
      </c>
      <c r="F1602" s="8" t="s">
        <v>1959</v>
      </c>
    </row>
    <row r="1603" spans="1:6" ht="60" x14ac:dyDescent="0.25">
      <c r="A1603" s="8" t="s">
        <v>125</v>
      </c>
      <c r="B1603" s="8" t="s">
        <v>130</v>
      </c>
      <c r="C1603" s="8" t="str">
        <f>IFERROR(_xlfn.XLOOKUP(TRIM(B1603),Lookup!$B$2:$B$1000,Lookup!$C$2:$C$1000),"")</f>
        <v>Equity</v>
      </c>
      <c r="D1603" s="8" t="str">
        <f>IFERROR(INDEX('nav master'!$C:$C, MATCH(B1603, 'nav master'!$B:$B, 0)), "")</f>
        <v>ULIF03501/01/10BlueChipFd101</v>
      </c>
      <c r="E1603" s="8" t="s">
        <v>596</v>
      </c>
      <c r="F1603" s="8" t="s">
        <v>1960</v>
      </c>
    </row>
    <row r="1604" spans="1:6" ht="60" x14ac:dyDescent="0.25">
      <c r="A1604" s="8" t="s">
        <v>125</v>
      </c>
      <c r="B1604" s="8" t="s">
        <v>130</v>
      </c>
      <c r="C1604" s="8" t="str">
        <f>IFERROR(_xlfn.XLOOKUP(TRIM(B1604),Lookup!$B$2:$B$1000,Lookup!$C$2:$C$1000),"")</f>
        <v>Equity</v>
      </c>
      <c r="D1604" s="8" t="str">
        <f>IFERROR(INDEX('nav master'!$C:$C, MATCH(B1604, 'nav master'!$B:$B, 0)), "")</f>
        <v>ULIF03501/01/10BlueChipFd101</v>
      </c>
      <c r="E1604" s="8" t="s">
        <v>598</v>
      </c>
      <c r="F1604" s="8" t="s">
        <v>1961</v>
      </c>
    </row>
    <row r="1605" spans="1:6" ht="60" x14ac:dyDescent="0.25">
      <c r="A1605" s="8" t="s">
        <v>125</v>
      </c>
      <c r="B1605" s="8" t="s">
        <v>130</v>
      </c>
      <c r="C1605" s="8" t="str">
        <f>IFERROR(_xlfn.XLOOKUP(TRIM(B1605),Lookup!$B$2:$B$1000,Lookup!$C$2:$C$1000),"")</f>
        <v>Equity</v>
      </c>
      <c r="D1605" s="8" t="str">
        <f>IFERROR(INDEX('nav master'!$C:$C, MATCH(B1605, 'nav master'!$B:$B, 0)), "")</f>
        <v>ULIF03501/01/10BlueChipFd101</v>
      </c>
      <c r="E1605" s="8" t="s">
        <v>600</v>
      </c>
      <c r="F1605" s="8" t="s">
        <v>1962</v>
      </c>
    </row>
    <row r="1606" spans="1:6" ht="60" x14ac:dyDescent="0.25">
      <c r="A1606" s="8" t="s">
        <v>125</v>
      </c>
      <c r="B1606" s="8" t="s">
        <v>130</v>
      </c>
      <c r="C1606" s="8" t="str">
        <f>IFERROR(_xlfn.XLOOKUP(TRIM(B1606),Lookup!$B$2:$B$1000,Lookup!$C$2:$C$1000),"")</f>
        <v>Equity</v>
      </c>
      <c r="D1606" s="8" t="str">
        <f>IFERROR(INDEX('nav master'!$C:$C, MATCH(B1606, 'nav master'!$B:$B, 0)), "")</f>
        <v>ULIF03501/01/10BlueChipFd101</v>
      </c>
      <c r="E1606" s="8" t="s">
        <v>602</v>
      </c>
      <c r="F1606" s="8" t="s">
        <v>1963</v>
      </c>
    </row>
    <row r="1607" spans="1:6" ht="60" x14ac:dyDescent="0.25">
      <c r="A1607" s="8" t="s">
        <v>125</v>
      </c>
      <c r="B1607" s="8" t="s">
        <v>130</v>
      </c>
      <c r="C1607" s="8" t="str">
        <f>IFERROR(_xlfn.XLOOKUP(TRIM(B1607),Lookup!$B$2:$B$1000,Lookup!$C$2:$C$1000),"")</f>
        <v>Equity</v>
      </c>
      <c r="D1607" s="8" t="str">
        <f>IFERROR(INDEX('nav master'!$C:$C, MATCH(B1607, 'nav master'!$B:$B, 0)), "")</f>
        <v>ULIF03501/01/10BlueChipFd101</v>
      </c>
      <c r="E1607" s="8" t="s">
        <v>604</v>
      </c>
      <c r="F1607" s="8" t="s">
        <v>1964</v>
      </c>
    </row>
    <row r="1608" spans="1:6" ht="60" x14ac:dyDescent="0.25">
      <c r="A1608" s="8" t="s">
        <v>125</v>
      </c>
      <c r="B1608" s="8" t="s">
        <v>130</v>
      </c>
      <c r="C1608" s="8" t="str">
        <f>IFERROR(_xlfn.XLOOKUP(TRIM(B1608),Lookup!$B$2:$B$1000,Lookup!$C$2:$C$1000),"")</f>
        <v>Equity</v>
      </c>
      <c r="D1608" s="8" t="str">
        <f>IFERROR(INDEX('nav master'!$C:$C, MATCH(B1608, 'nav master'!$B:$B, 0)), "")</f>
        <v>ULIF03501/01/10BlueChipFd101</v>
      </c>
      <c r="E1608" s="8" t="s">
        <v>606</v>
      </c>
      <c r="F1608" s="8" t="s">
        <v>1965</v>
      </c>
    </row>
    <row r="1609" spans="1:6" ht="60" x14ac:dyDescent="0.25">
      <c r="A1609" s="8" t="s">
        <v>125</v>
      </c>
      <c r="B1609" s="8" t="s">
        <v>130</v>
      </c>
      <c r="C1609" s="8" t="str">
        <f>IFERROR(_xlfn.XLOOKUP(TRIM(B1609),Lookup!$B$2:$B$1000,Lookup!$C$2:$C$1000),"")</f>
        <v>Equity</v>
      </c>
      <c r="D1609" s="8" t="str">
        <f>IFERROR(INDEX('nav master'!$C:$C, MATCH(B1609, 'nav master'!$B:$B, 0)), "")</f>
        <v>ULIF03501/01/10BlueChipFd101</v>
      </c>
      <c r="E1609" s="8" t="s">
        <v>608</v>
      </c>
      <c r="F1609" s="8" t="s">
        <v>1966</v>
      </c>
    </row>
    <row r="1610" spans="1:6" ht="60" x14ac:dyDescent="0.25">
      <c r="A1610" s="8" t="s">
        <v>125</v>
      </c>
      <c r="B1610" s="8" t="s">
        <v>130</v>
      </c>
      <c r="C1610" s="8" t="str">
        <f>IFERROR(_xlfn.XLOOKUP(TRIM(B1610),Lookup!$B$2:$B$1000,Lookup!$C$2:$C$1000),"")</f>
        <v>Equity</v>
      </c>
      <c r="D1610" s="8" t="str">
        <f>IFERROR(INDEX('nav master'!$C:$C, MATCH(B1610, 'nav master'!$B:$B, 0)), "")</f>
        <v>ULIF03501/01/10BlueChipFd101</v>
      </c>
      <c r="E1610" s="8" t="s">
        <v>610</v>
      </c>
      <c r="F1610" s="8" t="s">
        <v>1967</v>
      </c>
    </row>
    <row r="1611" spans="1:6" ht="60" x14ac:dyDescent="0.25">
      <c r="A1611" s="8" t="s">
        <v>125</v>
      </c>
      <c r="B1611" s="8" t="s">
        <v>130</v>
      </c>
      <c r="C1611" s="8" t="str">
        <f>IFERROR(_xlfn.XLOOKUP(TRIM(B1611),Lookup!$B$2:$B$1000,Lookup!$C$2:$C$1000),"")</f>
        <v>Equity</v>
      </c>
      <c r="D1611" s="8" t="str">
        <f>IFERROR(INDEX('nav master'!$C:$C, MATCH(B1611, 'nav master'!$B:$B, 0)), "")</f>
        <v>ULIF03501/01/10BlueChipFd101</v>
      </c>
      <c r="E1611" s="8" t="s">
        <v>612</v>
      </c>
      <c r="F1611" s="8" t="s">
        <v>1968</v>
      </c>
    </row>
    <row r="1612" spans="1:6" ht="60" x14ac:dyDescent="0.25">
      <c r="A1612" s="8" t="s">
        <v>125</v>
      </c>
      <c r="B1612" s="8" t="s">
        <v>130</v>
      </c>
      <c r="C1612" s="8" t="str">
        <f>IFERROR(_xlfn.XLOOKUP(TRIM(B1612),Lookup!$B$2:$B$1000,Lookup!$C$2:$C$1000),"")</f>
        <v>Equity</v>
      </c>
      <c r="D1612" s="8" t="str">
        <f>IFERROR(INDEX('nav master'!$C:$C, MATCH(B1612, 'nav master'!$B:$B, 0)), "")</f>
        <v>ULIF03501/01/10BlueChipFd101</v>
      </c>
      <c r="E1612" s="8" t="s">
        <v>614</v>
      </c>
      <c r="F1612" s="8" t="s">
        <v>1969</v>
      </c>
    </row>
    <row r="1613" spans="1:6" ht="60" x14ac:dyDescent="0.25">
      <c r="A1613" s="8" t="s">
        <v>125</v>
      </c>
      <c r="B1613" s="8" t="s">
        <v>130</v>
      </c>
      <c r="C1613" s="8" t="str">
        <f>IFERROR(_xlfn.XLOOKUP(TRIM(B1613),Lookup!$B$2:$B$1000,Lookup!$C$2:$C$1000),"")</f>
        <v>Equity</v>
      </c>
      <c r="D1613" s="8" t="str">
        <f>IFERROR(INDEX('nav master'!$C:$C, MATCH(B1613, 'nav master'!$B:$B, 0)), "")</f>
        <v>ULIF03501/01/10BlueChipFd101</v>
      </c>
      <c r="E1613" s="8" t="s">
        <v>616</v>
      </c>
      <c r="F1613" s="8" t="s">
        <v>1970</v>
      </c>
    </row>
    <row r="1614" spans="1:6" ht="60" x14ac:dyDescent="0.25">
      <c r="A1614" s="8" t="s">
        <v>125</v>
      </c>
      <c r="B1614" s="8" t="s">
        <v>130</v>
      </c>
      <c r="C1614" s="8" t="str">
        <f>IFERROR(_xlfn.XLOOKUP(TRIM(B1614),Lookup!$B$2:$B$1000,Lookup!$C$2:$C$1000),"")</f>
        <v>Equity</v>
      </c>
      <c r="D1614" s="8" t="str">
        <f>IFERROR(INDEX('nav master'!$C:$C, MATCH(B1614, 'nav master'!$B:$B, 0)), "")</f>
        <v>ULIF03501/01/10BlueChipFd101</v>
      </c>
      <c r="E1614" s="8" t="s">
        <v>618</v>
      </c>
      <c r="F1614" s="8" t="s">
        <v>1971</v>
      </c>
    </row>
    <row r="1615" spans="1:6" ht="60" x14ac:dyDescent="0.25">
      <c r="A1615" s="8" t="s">
        <v>125</v>
      </c>
      <c r="B1615" s="8" t="s">
        <v>130</v>
      </c>
      <c r="C1615" s="8" t="str">
        <f>IFERROR(_xlfn.XLOOKUP(TRIM(B1615),Lookup!$B$2:$B$1000,Lookup!$C$2:$C$1000),"")</f>
        <v>Equity</v>
      </c>
      <c r="D1615" s="8" t="str">
        <f>IFERROR(INDEX('nav master'!$C:$C, MATCH(B1615, 'nav master'!$B:$B, 0)), "")</f>
        <v>ULIF03501/01/10BlueChipFd101</v>
      </c>
      <c r="E1615" s="8" t="s">
        <v>620</v>
      </c>
      <c r="F1615" s="8" t="s">
        <v>1972</v>
      </c>
    </row>
    <row r="1616" spans="1:6" ht="60" x14ac:dyDescent="0.25">
      <c r="A1616" s="8" t="s">
        <v>125</v>
      </c>
      <c r="B1616" s="8" t="s">
        <v>130</v>
      </c>
      <c r="C1616" s="8" t="str">
        <f>IFERROR(_xlfn.XLOOKUP(TRIM(B1616),Lookup!$B$2:$B$1000,Lookup!$C$2:$C$1000),"")</f>
        <v>Equity</v>
      </c>
      <c r="D1616" s="8" t="str">
        <f>IFERROR(INDEX('nav master'!$C:$C, MATCH(B1616, 'nav master'!$B:$B, 0)), "")</f>
        <v>ULIF03501/01/10BlueChipFd101</v>
      </c>
      <c r="E1616" s="8" t="s">
        <v>622</v>
      </c>
      <c r="F1616" s="8" t="s">
        <v>1973</v>
      </c>
    </row>
    <row r="1617" spans="1:6" ht="60" x14ac:dyDescent="0.25">
      <c r="A1617" s="8" t="s">
        <v>125</v>
      </c>
      <c r="B1617" s="8" t="s">
        <v>130</v>
      </c>
      <c r="C1617" s="8" t="str">
        <f>IFERROR(_xlfn.XLOOKUP(TRIM(B1617),Lookup!$B$2:$B$1000,Lookup!$C$2:$C$1000),"")</f>
        <v>Equity</v>
      </c>
      <c r="D1617" s="8" t="str">
        <f>IFERROR(INDEX('nav master'!$C:$C, MATCH(B1617, 'nav master'!$B:$B, 0)), "")</f>
        <v>ULIF03501/01/10BlueChipFd101</v>
      </c>
      <c r="E1617" s="8" t="s">
        <v>624</v>
      </c>
      <c r="F1617" s="8" t="s">
        <v>1974</v>
      </c>
    </row>
    <row r="1618" spans="1:6" ht="60" x14ac:dyDescent="0.25">
      <c r="A1618" s="8" t="s">
        <v>125</v>
      </c>
      <c r="B1618" s="8" t="s">
        <v>130</v>
      </c>
      <c r="C1618" s="8" t="str">
        <f>IFERROR(_xlfn.XLOOKUP(TRIM(B1618),Lookup!$B$2:$B$1000,Lookup!$C$2:$C$1000),"")</f>
        <v>Equity</v>
      </c>
      <c r="D1618" s="8" t="str">
        <f>IFERROR(INDEX('nav master'!$C:$C, MATCH(B1618, 'nav master'!$B:$B, 0)), "")</f>
        <v>ULIF03501/01/10BlueChipFd101</v>
      </c>
      <c r="E1618" s="8" t="s">
        <v>626</v>
      </c>
      <c r="F1618" s="8" t="s">
        <v>1975</v>
      </c>
    </row>
    <row r="1619" spans="1:6" ht="60" x14ac:dyDescent="0.25">
      <c r="A1619" s="8" t="s">
        <v>125</v>
      </c>
      <c r="B1619" s="8" t="s">
        <v>130</v>
      </c>
      <c r="C1619" s="8" t="str">
        <f>IFERROR(_xlfn.XLOOKUP(TRIM(B1619),Lookup!$B$2:$B$1000,Lookup!$C$2:$C$1000),"")</f>
        <v>Equity</v>
      </c>
      <c r="D1619" s="8" t="str">
        <f>IFERROR(INDEX('nav master'!$C:$C, MATCH(B1619, 'nav master'!$B:$B, 0)), "")</f>
        <v>ULIF03501/01/10BlueChipFd101</v>
      </c>
      <c r="E1619" s="8" t="s">
        <v>628</v>
      </c>
      <c r="F1619" s="8" t="s">
        <v>1976</v>
      </c>
    </row>
    <row r="1620" spans="1:6" ht="60" x14ac:dyDescent="0.25">
      <c r="A1620" s="8" t="s">
        <v>125</v>
      </c>
      <c r="B1620" s="8" t="s">
        <v>130</v>
      </c>
      <c r="C1620" s="8" t="str">
        <f>IFERROR(_xlfn.XLOOKUP(TRIM(B1620),Lookup!$B$2:$B$1000,Lookup!$C$2:$C$1000),"")</f>
        <v>Equity</v>
      </c>
      <c r="D1620" s="8" t="str">
        <f>IFERROR(INDEX('nav master'!$C:$C, MATCH(B1620, 'nav master'!$B:$B, 0)), "")</f>
        <v>ULIF03501/01/10BlueChipFd101</v>
      </c>
      <c r="E1620" s="8" t="s">
        <v>630</v>
      </c>
      <c r="F1620" s="8" t="s">
        <v>1977</v>
      </c>
    </row>
    <row r="1621" spans="1:6" ht="60" x14ac:dyDescent="0.25">
      <c r="A1621" s="8" t="s">
        <v>125</v>
      </c>
      <c r="B1621" s="8" t="s">
        <v>130</v>
      </c>
      <c r="C1621" s="8" t="str">
        <f>IFERROR(_xlfn.XLOOKUP(TRIM(B1621),Lookup!$B$2:$B$1000,Lookup!$C$2:$C$1000),"")</f>
        <v>Equity</v>
      </c>
      <c r="D1621" s="8" t="str">
        <f>IFERROR(INDEX('nav master'!$C:$C, MATCH(B1621, 'nav master'!$B:$B, 0)), "")</f>
        <v>ULIF03501/01/10BlueChipFd101</v>
      </c>
      <c r="E1621" s="8" t="s">
        <v>632</v>
      </c>
      <c r="F1621" s="8" t="s">
        <v>1978</v>
      </c>
    </row>
    <row r="1622" spans="1:6" ht="60" x14ac:dyDescent="0.25">
      <c r="A1622" s="8" t="s">
        <v>125</v>
      </c>
      <c r="B1622" s="8" t="s">
        <v>130</v>
      </c>
      <c r="C1622" s="8" t="str">
        <f>IFERROR(_xlfn.XLOOKUP(TRIM(B1622),Lookup!$B$2:$B$1000,Lookup!$C$2:$C$1000),"")</f>
        <v>Equity</v>
      </c>
      <c r="D1622" s="8" t="str">
        <f>IFERROR(INDEX('nav master'!$C:$C, MATCH(B1622, 'nav master'!$B:$B, 0)), "")</f>
        <v>ULIF03501/01/10BlueChipFd101</v>
      </c>
      <c r="E1622" s="8" t="s">
        <v>634</v>
      </c>
      <c r="F1622" s="8" t="s">
        <v>1979</v>
      </c>
    </row>
    <row r="1623" spans="1:6" ht="60" x14ac:dyDescent="0.25">
      <c r="A1623" s="8" t="s">
        <v>125</v>
      </c>
      <c r="B1623" s="8" t="s">
        <v>130</v>
      </c>
      <c r="C1623" s="8" t="str">
        <f>IFERROR(_xlfn.XLOOKUP(TRIM(B1623),Lookup!$B$2:$B$1000,Lookup!$C$2:$C$1000),"")</f>
        <v>Equity</v>
      </c>
      <c r="D1623" s="8" t="str">
        <f>IFERROR(INDEX('nav master'!$C:$C, MATCH(B1623, 'nav master'!$B:$B, 0)), "")</f>
        <v>ULIF03501/01/10BlueChipFd101</v>
      </c>
      <c r="E1623" s="8" t="s">
        <v>636</v>
      </c>
      <c r="F1623" s="8" t="s">
        <v>1980</v>
      </c>
    </row>
    <row r="1624" spans="1:6" ht="60" x14ac:dyDescent="0.25">
      <c r="A1624" s="8" t="s">
        <v>125</v>
      </c>
      <c r="B1624" s="8" t="s">
        <v>130</v>
      </c>
      <c r="C1624" s="8" t="str">
        <f>IFERROR(_xlfn.XLOOKUP(TRIM(B1624),Lookup!$B$2:$B$1000,Lookup!$C$2:$C$1000),"")</f>
        <v>Equity</v>
      </c>
      <c r="D1624" s="8" t="str">
        <f>IFERROR(INDEX('nav master'!$C:$C, MATCH(B1624, 'nav master'!$B:$B, 0)), "")</f>
        <v>ULIF03501/01/10BlueChipFd101</v>
      </c>
      <c r="E1624" s="8" t="s">
        <v>638</v>
      </c>
      <c r="F1624" s="8" t="s">
        <v>1981</v>
      </c>
    </row>
    <row r="1625" spans="1:6" ht="60" x14ac:dyDescent="0.25">
      <c r="A1625" s="8" t="s">
        <v>125</v>
      </c>
      <c r="B1625" s="8" t="s">
        <v>130</v>
      </c>
      <c r="C1625" s="8" t="str">
        <f>IFERROR(_xlfn.XLOOKUP(TRIM(B1625),Lookup!$B$2:$B$1000,Lookup!$C$2:$C$1000),"")</f>
        <v>Equity</v>
      </c>
      <c r="D1625" s="8" t="str">
        <f>IFERROR(INDEX('nav master'!$C:$C, MATCH(B1625, 'nav master'!$B:$B, 0)), "")</f>
        <v>ULIF03501/01/10BlueChipFd101</v>
      </c>
      <c r="E1625" s="8" t="s">
        <v>640</v>
      </c>
      <c r="F1625" s="8" t="s">
        <v>1982</v>
      </c>
    </row>
    <row r="1626" spans="1:6" ht="60" x14ac:dyDescent="0.25">
      <c r="A1626" s="8" t="s">
        <v>125</v>
      </c>
      <c r="B1626" s="8" t="s">
        <v>130</v>
      </c>
      <c r="C1626" s="8" t="str">
        <f>IFERROR(_xlfn.XLOOKUP(TRIM(B1626),Lookup!$B$2:$B$1000,Lookup!$C$2:$C$1000),"")</f>
        <v>Equity</v>
      </c>
      <c r="D1626" s="8" t="str">
        <f>IFERROR(INDEX('nav master'!$C:$C, MATCH(B1626, 'nav master'!$B:$B, 0)), "")</f>
        <v>ULIF03501/01/10BlueChipFd101</v>
      </c>
      <c r="E1626" s="8" t="s">
        <v>642</v>
      </c>
      <c r="F1626" s="8" t="s">
        <v>1983</v>
      </c>
    </row>
    <row r="1627" spans="1:6" ht="60" x14ac:dyDescent="0.25">
      <c r="A1627" s="8" t="s">
        <v>125</v>
      </c>
      <c r="B1627" s="8" t="s">
        <v>130</v>
      </c>
      <c r="C1627" s="8" t="str">
        <f>IFERROR(_xlfn.XLOOKUP(TRIM(B1627),Lookup!$B$2:$B$1000,Lookup!$C$2:$C$1000),"")</f>
        <v>Equity</v>
      </c>
      <c r="D1627" s="8" t="str">
        <f>IFERROR(INDEX('nav master'!$C:$C, MATCH(B1627, 'nav master'!$B:$B, 0)), "")</f>
        <v>ULIF03501/01/10BlueChipFd101</v>
      </c>
      <c r="E1627" s="8" t="s">
        <v>644</v>
      </c>
      <c r="F1627" s="8" t="s">
        <v>1984</v>
      </c>
    </row>
    <row r="1628" spans="1:6" ht="60" x14ac:dyDescent="0.25">
      <c r="A1628" s="8" t="s">
        <v>125</v>
      </c>
      <c r="B1628" s="8" t="s">
        <v>130</v>
      </c>
      <c r="C1628" s="8" t="str">
        <f>IFERROR(_xlfn.XLOOKUP(TRIM(B1628),Lookup!$B$2:$B$1000,Lookup!$C$2:$C$1000),"")</f>
        <v>Equity</v>
      </c>
      <c r="D1628" s="8" t="str">
        <f>IFERROR(INDEX('nav master'!$C:$C, MATCH(B1628, 'nav master'!$B:$B, 0)), "")</f>
        <v>ULIF03501/01/10BlueChipFd101</v>
      </c>
      <c r="E1628" s="8" t="s">
        <v>646</v>
      </c>
      <c r="F1628" s="8" t="s">
        <v>1985</v>
      </c>
    </row>
    <row r="1629" spans="1:6" ht="60" x14ac:dyDescent="0.25">
      <c r="A1629" s="8" t="s">
        <v>125</v>
      </c>
      <c r="B1629" s="8" t="s">
        <v>130</v>
      </c>
      <c r="C1629" s="8" t="str">
        <f>IFERROR(_xlfn.XLOOKUP(TRIM(B1629),Lookup!$B$2:$B$1000,Lookup!$C$2:$C$1000),"")</f>
        <v>Equity</v>
      </c>
      <c r="D1629" s="8" t="str">
        <f>IFERROR(INDEX('nav master'!$C:$C, MATCH(B1629, 'nav master'!$B:$B, 0)), "")</f>
        <v>ULIF03501/01/10BlueChipFd101</v>
      </c>
      <c r="E1629" s="8" t="s">
        <v>648</v>
      </c>
      <c r="F1629" s="8" t="s">
        <v>1986</v>
      </c>
    </row>
    <row r="1630" spans="1:6" ht="60" x14ac:dyDescent="0.25">
      <c r="A1630" s="8" t="s">
        <v>125</v>
      </c>
      <c r="B1630" s="8" t="s">
        <v>130</v>
      </c>
      <c r="C1630" s="8" t="str">
        <f>IFERROR(_xlfn.XLOOKUP(TRIM(B1630),Lookup!$B$2:$B$1000,Lookup!$C$2:$C$1000),"")</f>
        <v>Equity</v>
      </c>
      <c r="D1630" s="8" t="str">
        <f>IFERROR(INDEX('nav master'!$C:$C, MATCH(B1630, 'nav master'!$B:$B, 0)), "")</f>
        <v>ULIF03501/01/10BlueChipFd101</v>
      </c>
      <c r="E1630" s="8" t="s">
        <v>650</v>
      </c>
      <c r="F1630" s="8" t="s">
        <v>1987</v>
      </c>
    </row>
    <row r="1631" spans="1:6" ht="60" x14ac:dyDescent="0.25">
      <c r="A1631" s="8" t="s">
        <v>125</v>
      </c>
      <c r="B1631" s="8" t="s">
        <v>130</v>
      </c>
      <c r="C1631" s="8" t="str">
        <f>IFERROR(_xlfn.XLOOKUP(TRIM(B1631),Lookup!$B$2:$B$1000,Lookup!$C$2:$C$1000),"")</f>
        <v>Equity</v>
      </c>
      <c r="D1631" s="8" t="str">
        <f>IFERROR(INDEX('nav master'!$C:$C, MATCH(B1631, 'nav master'!$B:$B, 0)), "")</f>
        <v>ULIF03501/01/10BlueChipFd101</v>
      </c>
      <c r="E1631" s="8" t="s">
        <v>652</v>
      </c>
      <c r="F1631" s="8" t="s">
        <v>1988</v>
      </c>
    </row>
    <row r="1632" spans="1:6" ht="60" x14ac:dyDescent="0.25">
      <c r="A1632" s="8" t="s">
        <v>125</v>
      </c>
      <c r="B1632" s="8" t="s">
        <v>130</v>
      </c>
      <c r="C1632" s="8" t="str">
        <f>IFERROR(_xlfn.XLOOKUP(TRIM(B1632),Lookup!$B$2:$B$1000,Lookup!$C$2:$C$1000),"")</f>
        <v>Equity</v>
      </c>
      <c r="D1632" s="8" t="str">
        <f>IFERROR(INDEX('nav master'!$C:$C, MATCH(B1632, 'nav master'!$B:$B, 0)), "")</f>
        <v>ULIF03501/01/10BlueChipFd101</v>
      </c>
      <c r="E1632" s="8" t="s">
        <v>654</v>
      </c>
      <c r="F1632" s="8" t="s">
        <v>1989</v>
      </c>
    </row>
    <row r="1633" spans="1:6" ht="60" x14ac:dyDescent="0.25">
      <c r="A1633" s="8" t="s">
        <v>125</v>
      </c>
      <c r="B1633" s="8" t="s">
        <v>130</v>
      </c>
      <c r="C1633" s="8" t="str">
        <f>IFERROR(_xlfn.XLOOKUP(TRIM(B1633),Lookup!$B$2:$B$1000,Lookup!$C$2:$C$1000),"")</f>
        <v>Equity</v>
      </c>
      <c r="D1633" s="8" t="str">
        <f>IFERROR(INDEX('nav master'!$C:$C, MATCH(B1633, 'nav master'!$B:$B, 0)), "")</f>
        <v>ULIF03501/01/10BlueChipFd101</v>
      </c>
      <c r="E1633" s="8" t="s">
        <v>656</v>
      </c>
      <c r="F1633" s="8" t="s">
        <v>1990</v>
      </c>
    </row>
    <row r="1634" spans="1:6" ht="60" x14ac:dyDescent="0.25">
      <c r="A1634" s="8" t="s">
        <v>125</v>
      </c>
      <c r="B1634" s="8" t="s">
        <v>130</v>
      </c>
      <c r="C1634" s="8" t="str">
        <f>IFERROR(_xlfn.XLOOKUP(TRIM(B1634),Lookup!$B$2:$B$1000,Lookup!$C$2:$C$1000),"")</f>
        <v>Equity</v>
      </c>
      <c r="D1634" s="8" t="str">
        <f>IFERROR(INDEX('nav master'!$C:$C, MATCH(B1634, 'nav master'!$B:$B, 0)), "")</f>
        <v>ULIF03501/01/10BlueChipFd101</v>
      </c>
      <c r="E1634" s="8" t="s">
        <v>658</v>
      </c>
      <c r="F1634" s="8" t="s">
        <v>1991</v>
      </c>
    </row>
    <row r="1635" spans="1:6" ht="60" x14ac:dyDescent="0.25">
      <c r="A1635" s="8" t="s">
        <v>125</v>
      </c>
      <c r="B1635" s="8" t="s">
        <v>130</v>
      </c>
      <c r="C1635" s="8" t="str">
        <f>IFERROR(_xlfn.XLOOKUP(TRIM(B1635),Lookup!$B$2:$B$1000,Lookup!$C$2:$C$1000),"")</f>
        <v>Equity</v>
      </c>
      <c r="D1635" s="8" t="str">
        <f>IFERROR(INDEX('nav master'!$C:$C, MATCH(B1635, 'nav master'!$B:$B, 0)), "")</f>
        <v>ULIF03501/01/10BlueChipFd101</v>
      </c>
      <c r="E1635" s="8" t="s">
        <v>660</v>
      </c>
      <c r="F1635" s="8" t="s">
        <v>1992</v>
      </c>
    </row>
    <row r="1636" spans="1:6" ht="60" x14ac:dyDescent="0.25">
      <c r="A1636" s="8" t="s">
        <v>125</v>
      </c>
      <c r="B1636" s="8" t="s">
        <v>130</v>
      </c>
      <c r="C1636" s="8" t="str">
        <f>IFERROR(_xlfn.XLOOKUP(TRIM(B1636),Lookup!$B$2:$B$1000,Lookup!$C$2:$C$1000),"")</f>
        <v>Equity</v>
      </c>
      <c r="D1636" s="8" t="str">
        <f>IFERROR(INDEX('nav master'!$C:$C, MATCH(B1636, 'nav master'!$B:$B, 0)), "")</f>
        <v>ULIF03501/01/10BlueChipFd101</v>
      </c>
      <c r="E1636" s="8" t="s">
        <v>662</v>
      </c>
      <c r="F1636" s="8" t="s">
        <v>1993</v>
      </c>
    </row>
    <row r="1637" spans="1:6" ht="60" x14ac:dyDescent="0.25">
      <c r="A1637" s="8" t="s">
        <v>125</v>
      </c>
      <c r="B1637" s="8" t="s">
        <v>130</v>
      </c>
      <c r="C1637" s="8" t="str">
        <f>IFERROR(_xlfn.XLOOKUP(TRIM(B1637),Lookup!$B$2:$B$1000,Lookup!$C$2:$C$1000),"")</f>
        <v>Equity</v>
      </c>
      <c r="D1637" s="8" t="str">
        <f>IFERROR(INDEX('nav master'!$C:$C, MATCH(B1637, 'nav master'!$B:$B, 0)), "")</f>
        <v>ULIF03501/01/10BlueChipFd101</v>
      </c>
      <c r="E1637" s="8" t="s">
        <v>664</v>
      </c>
      <c r="F1637" s="8" t="s">
        <v>1994</v>
      </c>
    </row>
    <row r="1638" spans="1:6" ht="60" x14ac:dyDescent="0.25">
      <c r="A1638" s="8" t="s">
        <v>125</v>
      </c>
      <c r="B1638" s="8" t="s">
        <v>130</v>
      </c>
      <c r="C1638" s="8" t="str">
        <f>IFERROR(_xlfn.XLOOKUP(TRIM(B1638),Lookup!$B$2:$B$1000,Lookup!$C$2:$C$1000),"")</f>
        <v>Equity</v>
      </c>
      <c r="D1638" s="8" t="str">
        <f>IFERROR(INDEX('nav master'!$C:$C, MATCH(B1638, 'nav master'!$B:$B, 0)), "")</f>
        <v>ULIF03501/01/10BlueChipFd101</v>
      </c>
      <c r="E1638" s="8" t="s">
        <v>4892</v>
      </c>
      <c r="F1638" s="8" t="s">
        <v>4945</v>
      </c>
    </row>
    <row r="1639" spans="1:6" ht="60" x14ac:dyDescent="0.25">
      <c r="A1639" s="8" t="s">
        <v>125</v>
      </c>
      <c r="B1639" s="8" t="s">
        <v>130</v>
      </c>
      <c r="C1639" s="8" t="str">
        <f>IFERROR(_xlfn.XLOOKUP(TRIM(B1639),Lookup!$B$2:$B$1000,Lookup!$C$2:$C$1000),"")</f>
        <v>Equity</v>
      </c>
      <c r="D1639" s="8" t="str">
        <f>IFERROR(INDEX('nav master'!$C:$C, MATCH(B1639, 'nav master'!$B:$B, 0)), "")</f>
        <v>ULIF03501/01/10BlueChipFd101</v>
      </c>
      <c r="E1639" s="8" t="s">
        <v>4894</v>
      </c>
      <c r="F1639" s="8" t="s">
        <v>4946</v>
      </c>
    </row>
    <row r="1640" spans="1:6" ht="60" x14ac:dyDescent="0.25">
      <c r="A1640" s="8" t="s">
        <v>125</v>
      </c>
      <c r="B1640" s="8" t="s">
        <v>130</v>
      </c>
      <c r="C1640" s="8" t="str">
        <f>IFERROR(_xlfn.XLOOKUP(TRIM(B1640),Lookup!$B$2:$B$1000,Lookup!$C$2:$C$1000),"")</f>
        <v>Equity</v>
      </c>
      <c r="D1640" s="8" t="str">
        <f>IFERROR(INDEX('nav master'!$C:$C, MATCH(B1640, 'nav master'!$B:$B, 0)), "")</f>
        <v>ULIF03501/01/10BlueChipFd101</v>
      </c>
      <c r="E1640" s="8" t="s">
        <v>4896</v>
      </c>
      <c r="F1640" s="8" t="s">
        <v>4947</v>
      </c>
    </row>
    <row r="1641" spans="1:6" ht="60" x14ac:dyDescent="0.25">
      <c r="A1641" s="8" t="s">
        <v>125</v>
      </c>
      <c r="B1641" s="8" t="s">
        <v>130</v>
      </c>
      <c r="C1641" s="8" t="str">
        <f>IFERROR(_xlfn.XLOOKUP(TRIM(B1641),Lookup!$B$2:$B$1000,Lookup!$C$2:$C$1000),"")</f>
        <v>Equity</v>
      </c>
      <c r="D1641" s="8" t="str">
        <f>IFERROR(INDEX('nav master'!$C:$C, MATCH(B1641, 'nav master'!$B:$B, 0)), "")</f>
        <v>ULIF03501/01/10BlueChipFd101</v>
      </c>
      <c r="E1641" s="8" t="s">
        <v>4898</v>
      </c>
      <c r="F1641" s="8" t="s">
        <v>4948</v>
      </c>
    </row>
    <row r="1642" spans="1:6" ht="60" x14ac:dyDescent="0.25">
      <c r="A1642" s="8" t="s">
        <v>125</v>
      </c>
      <c r="B1642" s="8" t="s">
        <v>130</v>
      </c>
      <c r="C1642" s="8" t="str">
        <f>IFERROR(_xlfn.XLOOKUP(TRIM(B1642),Lookup!$B$2:$B$1000,Lookup!$C$2:$C$1000),"")</f>
        <v>Equity</v>
      </c>
      <c r="D1642" s="8" t="str">
        <f>IFERROR(INDEX('nav master'!$C:$C, MATCH(B1642, 'nav master'!$B:$B, 0)), "")</f>
        <v>ULIF03501/01/10BlueChipFd101</v>
      </c>
      <c r="E1642" s="8" t="s">
        <v>4900</v>
      </c>
      <c r="F1642" s="8" t="s">
        <v>4949</v>
      </c>
    </row>
    <row r="1643" spans="1:6" ht="60" x14ac:dyDescent="0.25">
      <c r="A1643" s="8" t="s">
        <v>125</v>
      </c>
      <c r="B1643" s="8" t="s">
        <v>130</v>
      </c>
      <c r="C1643" s="8" t="str">
        <f>IFERROR(_xlfn.XLOOKUP(TRIM(B1643),Lookup!$B$2:$B$1000,Lookup!$C$2:$C$1000),"")</f>
        <v>Equity</v>
      </c>
      <c r="D1643" s="8" t="str">
        <f>IFERROR(INDEX('nav master'!$C:$C, MATCH(B1643, 'nav master'!$B:$B, 0)), "")</f>
        <v>ULIF03501/01/10BlueChipFd101</v>
      </c>
      <c r="E1643" s="8" t="s">
        <v>4902</v>
      </c>
      <c r="F1643" s="8" t="s">
        <v>1928</v>
      </c>
    </row>
    <row r="1644" spans="1:6" ht="60" x14ac:dyDescent="0.25">
      <c r="A1644" s="8" t="s">
        <v>125</v>
      </c>
      <c r="B1644" s="8" t="s">
        <v>130</v>
      </c>
      <c r="C1644" s="8" t="str">
        <f>IFERROR(_xlfn.XLOOKUP(TRIM(B1644),Lookup!$B$2:$B$1000,Lookup!$C$2:$C$1000),"")</f>
        <v>Equity</v>
      </c>
      <c r="D1644" s="8" t="str">
        <f>IFERROR(INDEX('nav master'!$C:$C, MATCH(B1644, 'nav master'!$B:$B, 0)), "")</f>
        <v>ULIF03501/01/10BlueChipFd101</v>
      </c>
      <c r="E1644" s="8" t="s">
        <v>4903</v>
      </c>
      <c r="F1644" s="8" t="s">
        <v>4950</v>
      </c>
    </row>
    <row r="1645" spans="1:6" ht="60" x14ac:dyDescent="0.25">
      <c r="A1645" s="8" t="s">
        <v>125</v>
      </c>
      <c r="B1645" s="8" t="s">
        <v>130</v>
      </c>
      <c r="C1645" s="8" t="str">
        <f>IFERROR(_xlfn.XLOOKUP(TRIM(B1645),Lookup!$B$2:$B$1000,Lookup!$C$2:$C$1000),"")</f>
        <v>Equity</v>
      </c>
      <c r="D1645" s="8" t="str">
        <f>IFERROR(INDEX('nav master'!$C:$C, MATCH(B1645, 'nav master'!$B:$B, 0)), "")</f>
        <v>ULIF03501/01/10BlueChipFd101</v>
      </c>
      <c r="E1645" s="8" t="s">
        <v>4905</v>
      </c>
      <c r="F1645" s="8" t="s">
        <v>4951</v>
      </c>
    </row>
    <row r="1646" spans="1:6" ht="60" x14ac:dyDescent="0.25">
      <c r="A1646" s="8" t="s">
        <v>125</v>
      </c>
      <c r="B1646" s="8" t="s">
        <v>40</v>
      </c>
      <c r="C1646" s="8" t="str">
        <f>IFERROR(_xlfn.XLOOKUP(TRIM(B1646),Lookup!$B$2:$B$1000,Lookup!$C$2:$C$1000),"")</f>
        <v>Equity</v>
      </c>
      <c r="D1646" s="8" t="str">
        <f>IFERROR(INDEX('nav master'!$C:$C, MATCH(B1646, 'nav master'!$B:$B, 0)), "")</f>
        <v>ULIF 086 24/11/09 LOpport 105</v>
      </c>
      <c r="E1646" s="8" t="s">
        <v>189</v>
      </c>
      <c r="F1646" s="8" t="s">
        <v>1995</v>
      </c>
    </row>
    <row r="1647" spans="1:6" ht="60" x14ac:dyDescent="0.25">
      <c r="A1647" s="8" t="s">
        <v>125</v>
      </c>
      <c r="B1647" s="8" t="s">
        <v>40</v>
      </c>
      <c r="C1647" s="8" t="str">
        <f>IFERROR(_xlfn.XLOOKUP(TRIM(B1647),Lookup!$B$2:$B$1000,Lookup!$C$2:$C$1000),"")</f>
        <v>Equity</v>
      </c>
      <c r="D1647" s="8" t="str">
        <f>IFERROR(INDEX('nav master'!$C:$C, MATCH(B1647, 'nav master'!$B:$B, 0)), "")</f>
        <v>ULIF 086 24/11/09 LOpport 105</v>
      </c>
      <c r="E1647" s="8" t="s">
        <v>191</v>
      </c>
      <c r="F1647" s="8" t="s">
        <v>1996</v>
      </c>
    </row>
    <row r="1648" spans="1:6" ht="60" x14ac:dyDescent="0.25">
      <c r="A1648" s="8" t="s">
        <v>125</v>
      </c>
      <c r="B1648" s="8" t="s">
        <v>40</v>
      </c>
      <c r="C1648" s="8" t="str">
        <f>IFERROR(_xlfn.XLOOKUP(TRIM(B1648),Lookup!$B$2:$B$1000,Lookup!$C$2:$C$1000),"")</f>
        <v>Equity</v>
      </c>
      <c r="D1648" s="8" t="str">
        <f>IFERROR(INDEX('nav master'!$C:$C, MATCH(B1648, 'nav master'!$B:$B, 0)), "")</f>
        <v>ULIF 086 24/11/09 LOpport 105</v>
      </c>
      <c r="E1648" s="8" t="s">
        <v>193</v>
      </c>
      <c r="F1648" s="8" t="s">
        <v>1997</v>
      </c>
    </row>
    <row r="1649" spans="1:6" ht="60" x14ac:dyDescent="0.25">
      <c r="A1649" s="8" t="s">
        <v>125</v>
      </c>
      <c r="B1649" s="8" t="s">
        <v>40</v>
      </c>
      <c r="C1649" s="8" t="str">
        <f>IFERROR(_xlfn.XLOOKUP(TRIM(B1649),Lookup!$B$2:$B$1000,Lookup!$C$2:$C$1000),"")</f>
        <v>Equity</v>
      </c>
      <c r="D1649" s="8" t="str">
        <f>IFERROR(INDEX('nav master'!$C:$C, MATCH(B1649, 'nav master'!$B:$B, 0)), "")</f>
        <v>ULIF 086 24/11/09 LOpport 105</v>
      </c>
      <c r="E1649" s="8" t="s">
        <v>195</v>
      </c>
      <c r="F1649" s="8" t="s">
        <v>1998</v>
      </c>
    </row>
    <row r="1650" spans="1:6" ht="60" x14ac:dyDescent="0.25">
      <c r="A1650" s="8" t="s">
        <v>125</v>
      </c>
      <c r="B1650" s="8" t="s">
        <v>40</v>
      </c>
      <c r="C1650" s="8" t="str">
        <f>IFERROR(_xlfn.XLOOKUP(TRIM(B1650),Lookup!$B$2:$B$1000,Lookup!$C$2:$C$1000),"")</f>
        <v>Equity</v>
      </c>
      <c r="D1650" s="8" t="str">
        <f>IFERROR(INDEX('nav master'!$C:$C, MATCH(B1650, 'nav master'!$B:$B, 0)), "")</f>
        <v>ULIF 086 24/11/09 LOpport 105</v>
      </c>
      <c r="E1650" s="8" t="s">
        <v>197</v>
      </c>
      <c r="F1650" s="8" t="s">
        <v>1999</v>
      </c>
    </row>
    <row r="1651" spans="1:6" ht="60" x14ac:dyDescent="0.25">
      <c r="A1651" s="8" t="s">
        <v>125</v>
      </c>
      <c r="B1651" s="8" t="s">
        <v>40</v>
      </c>
      <c r="C1651" s="8" t="str">
        <f>IFERROR(_xlfn.XLOOKUP(TRIM(B1651),Lookup!$B$2:$B$1000,Lookup!$C$2:$C$1000),"")</f>
        <v>Equity</v>
      </c>
      <c r="D1651" s="8" t="str">
        <f>IFERROR(INDEX('nav master'!$C:$C, MATCH(B1651, 'nav master'!$B:$B, 0)), "")</f>
        <v>ULIF 086 24/11/09 LOpport 105</v>
      </c>
      <c r="E1651" s="8" t="s">
        <v>199</v>
      </c>
      <c r="F1651" s="8" t="s">
        <v>2000</v>
      </c>
    </row>
    <row r="1652" spans="1:6" ht="60" x14ac:dyDescent="0.25">
      <c r="A1652" s="8" t="s">
        <v>125</v>
      </c>
      <c r="B1652" s="8" t="s">
        <v>40</v>
      </c>
      <c r="C1652" s="8" t="str">
        <f>IFERROR(_xlfn.XLOOKUP(TRIM(B1652),Lookup!$B$2:$B$1000,Lookup!$C$2:$C$1000),"")</f>
        <v>Equity</v>
      </c>
      <c r="D1652" s="8" t="str">
        <f>IFERROR(INDEX('nav master'!$C:$C, MATCH(B1652, 'nav master'!$B:$B, 0)), "")</f>
        <v>ULIF 086 24/11/09 LOpport 105</v>
      </c>
      <c r="E1652" s="8" t="s">
        <v>201</v>
      </c>
      <c r="F1652" s="8" t="s">
        <v>2001</v>
      </c>
    </row>
    <row r="1653" spans="1:6" ht="60" x14ac:dyDescent="0.25">
      <c r="A1653" s="8" t="s">
        <v>125</v>
      </c>
      <c r="B1653" s="8" t="s">
        <v>40</v>
      </c>
      <c r="C1653" s="8" t="str">
        <f>IFERROR(_xlfn.XLOOKUP(TRIM(B1653),Lookup!$B$2:$B$1000,Lookup!$C$2:$C$1000),"")</f>
        <v>Equity</v>
      </c>
      <c r="D1653" s="8" t="str">
        <f>IFERROR(INDEX('nav master'!$C:$C, MATCH(B1653, 'nav master'!$B:$B, 0)), "")</f>
        <v>ULIF 086 24/11/09 LOpport 105</v>
      </c>
      <c r="E1653" s="8" t="s">
        <v>203</v>
      </c>
      <c r="F1653" s="8" t="s">
        <v>2002</v>
      </c>
    </row>
    <row r="1654" spans="1:6" ht="60" x14ac:dyDescent="0.25">
      <c r="A1654" s="8" t="s">
        <v>125</v>
      </c>
      <c r="B1654" s="8" t="s">
        <v>40</v>
      </c>
      <c r="C1654" s="8" t="str">
        <f>IFERROR(_xlfn.XLOOKUP(TRIM(B1654),Lookup!$B$2:$B$1000,Lookup!$C$2:$C$1000),"")</f>
        <v>Equity</v>
      </c>
      <c r="D1654" s="8" t="str">
        <f>IFERROR(INDEX('nav master'!$C:$C, MATCH(B1654, 'nav master'!$B:$B, 0)), "")</f>
        <v>ULIF 086 24/11/09 LOpport 105</v>
      </c>
      <c r="E1654" s="8" t="s">
        <v>205</v>
      </c>
      <c r="F1654" s="8" t="s">
        <v>2003</v>
      </c>
    </row>
    <row r="1655" spans="1:6" ht="60" x14ac:dyDescent="0.25">
      <c r="A1655" s="8" t="s">
        <v>125</v>
      </c>
      <c r="B1655" s="8" t="s">
        <v>40</v>
      </c>
      <c r="C1655" s="8" t="str">
        <f>IFERROR(_xlfn.XLOOKUP(TRIM(B1655),Lookup!$B$2:$B$1000,Lookup!$C$2:$C$1000),"")</f>
        <v>Equity</v>
      </c>
      <c r="D1655" s="8" t="str">
        <f>IFERROR(INDEX('nav master'!$C:$C, MATCH(B1655, 'nav master'!$B:$B, 0)), "")</f>
        <v>ULIF 086 24/11/09 LOpport 105</v>
      </c>
      <c r="E1655" s="8" t="s">
        <v>207</v>
      </c>
      <c r="F1655" s="8" t="s">
        <v>2004</v>
      </c>
    </row>
    <row r="1656" spans="1:6" ht="60" x14ac:dyDescent="0.25">
      <c r="A1656" s="8" t="s">
        <v>125</v>
      </c>
      <c r="B1656" s="8" t="s">
        <v>40</v>
      </c>
      <c r="C1656" s="8" t="str">
        <f>IFERROR(_xlfn.XLOOKUP(TRIM(B1656),Lookup!$B$2:$B$1000,Lookup!$C$2:$C$1000),"")</f>
        <v>Equity</v>
      </c>
      <c r="D1656" s="8" t="str">
        <f>IFERROR(INDEX('nav master'!$C:$C, MATCH(B1656, 'nav master'!$B:$B, 0)), "")</f>
        <v>ULIF 086 24/11/09 LOpport 105</v>
      </c>
      <c r="E1656" s="8" t="s">
        <v>209</v>
      </c>
      <c r="F1656" s="8" t="s">
        <v>2005</v>
      </c>
    </row>
    <row r="1657" spans="1:6" ht="60" x14ac:dyDescent="0.25">
      <c r="A1657" s="8" t="s">
        <v>125</v>
      </c>
      <c r="B1657" s="8" t="s">
        <v>40</v>
      </c>
      <c r="C1657" s="8" t="str">
        <f>IFERROR(_xlfn.XLOOKUP(TRIM(B1657),Lookup!$B$2:$B$1000,Lookup!$C$2:$C$1000),"")</f>
        <v>Equity</v>
      </c>
      <c r="D1657" s="8" t="str">
        <f>IFERROR(INDEX('nav master'!$C:$C, MATCH(B1657, 'nav master'!$B:$B, 0)), "")</f>
        <v>ULIF 086 24/11/09 LOpport 105</v>
      </c>
      <c r="E1657" s="8" t="s">
        <v>211</v>
      </c>
      <c r="F1657" s="8" t="s">
        <v>2006</v>
      </c>
    </row>
    <row r="1658" spans="1:6" ht="60" x14ac:dyDescent="0.25">
      <c r="A1658" s="8" t="s">
        <v>125</v>
      </c>
      <c r="B1658" s="8" t="s">
        <v>40</v>
      </c>
      <c r="C1658" s="8" t="str">
        <f>IFERROR(_xlfn.XLOOKUP(TRIM(B1658),Lookup!$B$2:$B$1000,Lookup!$C$2:$C$1000),"")</f>
        <v>Equity</v>
      </c>
      <c r="D1658" s="8" t="str">
        <f>IFERROR(INDEX('nav master'!$C:$C, MATCH(B1658, 'nav master'!$B:$B, 0)), "")</f>
        <v>ULIF 086 24/11/09 LOpport 105</v>
      </c>
      <c r="E1658" s="8" t="s">
        <v>213</v>
      </c>
      <c r="F1658" s="8" t="s">
        <v>2007</v>
      </c>
    </row>
    <row r="1659" spans="1:6" ht="60" x14ac:dyDescent="0.25">
      <c r="A1659" s="8" t="s">
        <v>125</v>
      </c>
      <c r="B1659" s="8" t="s">
        <v>40</v>
      </c>
      <c r="C1659" s="8" t="str">
        <f>IFERROR(_xlfn.XLOOKUP(TRIM(B1659),Lookup!$B$2:$B$1000,Lookup!$C$2:$C$1000),"")</f>
        <v>Equity</v>
      </c>
      <c r="D1659" s="8" t="str">
        <f>IFERROR(INDEX('nav master'!$C:$C, MATCH(B1659, 'nav master'!$B:$B, 0)), "")</f>
        <v>ULIF 086 24/11/09 LOpport 105</v>
      </c>
      <c r="E1659" s="8" t="s">
        <v>215</v>
      </c>
      <c r="F1659" s="8" t="s">
        <v>2008</v>
      </c>
    </row>
    <row r="1660" spans="1:6" ht="60" x14ac:dyDescent="0.25">
      <c r="A1660" s="8" t="s">
        <v>125</v>
      </c>
      <c r="B1660" s="8" t="s">
        <v>40</v>
      </c>
      <c r="C1660" s="8" t="str">
        <f>IFERROR(_xlfn.XLOOKUP(TRIM(B1660),Lookup!$B$2:$B$1000,Lookup!$C$2:$C$1000),"")</f>
        <v>Equity</v>
      </c>
      <c r="D1660" s="8" t="str">
        <f>IFERROR(INDEX('nav master'!$C:$C, MATCH(B1660, 'nav master'!$B:$B, 0)), "")</f>
        <v>ULIF 086 24/11/09 LOpport 105</v>
      </c>
      <c r="E1660" s="8" t="s">
        <v>217</v>
      </c>
      <c r="F1660" s="8" t="s">
        <v>2009</v>
      </c>
    </row>
    <row r="1661" spans="1:6" ht="60" x14ac:dyDescent="0.25">
      <c r="A1661" s="8" t="s">
        <v>125</v>
      </c>
      <c r="B1661" s="8" t="s">
        <v>40</v>
      </c>
      <c r="C1661" s="8" t="str">
        <f>IFERROR(_xlfn.XLOOKUP(TRIM(B1661),Lookup!$B$2:$B$1000,Lookup!$C$2:$C$1000),"")</f>
        <v>Equity</v>
      </c>
      <c r="D1661" s="8" t="str">
        <f>IFERROR(INDEX('nav master'!$C:$C, MATCH(B1661, 'nav master'!$B:$B, 0)), "")</f>
        <v>ULIF 086 24/11/09 LOpport 105</v>
      </c>
      <c r="E1661" s="8" t="s">
        <v>219</v>
      </c>
      <c r="F1661" s="8" t="s">
        <v>2010</v>
      </c>
    </row>
    <row r="1662" spans="1:6" ht="60" x14ac:dyDescent="0.25">
      <c r="A1662" s="8" t="s">
        <v>125</v>
      </c>
      <c r="B1662" s="8" t="s">
        <v>40</v>
      </c>
      <c r="C1662" s="8" t="str">
        <f>IFERROR(_xlfn.XLOOKUP(TRIM(B1662),Lookup!$B$2:$B$1000,Lookup!$C$2:$C$1000),"")</f>
        <v>Equity</v>
      </c>
      <c r="D1662" s="8" t="str">
        <f>IFERROR(INDEX('nav master'!$C:$C, MATCH(B1662, 'nav master'!$B:$B, 0)), "")</f>
        <v>ULIF 086 24/11/09 LOpport 105</v>
      </c>
      <c r="E1662" s="8" t="s">
        <v>221</v>
      </c>
      <c r="F1662" s="8" t="s">
        <v>2011</v>
      </c>
    </row>
    <row r="1663" spans="1:6" ht="60" x14ac:dyDescent="0.25">
      <c r="A1663" s="8" t="s">
        <v>125</v>
      </c>
      <c r="B1663" s="8" t="s">
        <v>40</v>
      </c>
      <c r="C1663" s="8" t="str">
        <f>IFERROR(_xlfn.XLOOKUP(TRIM(B1663),Lookup!$B$2:$B$1000,Lookup!$C$2:$C$1000),"")</f>
        <v>Equity</v>
      </c>
      <c r="D1663" s="8" t="str">
        <f>IFERROR(INDEX('nav master'!$C:$C, MATCH(B1663, 'nav master'!$B:$B, 0)), "")</f>
        <v>ULIF 086 24/11/09 LOpport 105</v>
      </c>
      <c r="E1663" s="8" t="s">
        <v>223</v>
      </c>
      <c r="F1663" s="8" t="s">
        <v>2012</v>
      </c>
    </row>
    <row r="1664" spans="1:6" ht="60" x14ac:dyDescent="0.25">
      <c r="A1664" s="8" t="s">
        <v>125</v>
      </c>
      <c r="B1664" s="8" t="s">
        <v>40</v>
      </c>
      <c r="C1664" s="8" t="str">
        <f>IFERROR(_xlfn.XLOOKUP(TRIM(B1664),Lookup!$B$2:$B$1000,Lookup!$C$2:$C$1000),"")</f>
        <v>Equity</v>
      </c>
      <c r="D1664" s="8" t="str">
        <f>IFERROR(INDEX('nav master'!$C:$C, MATCH(B1664, 'nav master'!$B:$B, 0)), "")</f>
        <v>ULIF 086 24/11/09 LOpport 105</v>
      </c>
      <c r="E1664" s="8" t="s">
        <v>225</v>
      </c>
      <c r="F1664" s="8" t="s">
        <v>2013</v>
      </c>
    </row>
    <row r="1665" spans="1:6" ht="60" x14ac:dyDescent="0.25">
      <c r="A1665" s="8" t="s">
        <v>125</v>
      </c>
      <c r="B1665" s="8" t="s">
        <v>40</v>
      </c>
      <c r="C1665" s="8" t="str">
        <f>IFERROR(_xlfn.XLOOKUP(TRIM(B1665),Lookup!$B$2:$B$1000,Lookup!$C$2:$C$1000),"")</f>
        <v>Equity</v>
      </c>
      <c r="D1665" s="8" t="str">
        <f>IFERROR(INDEX('nav master'!$C:$C, MATCH(B1665, 'nav master'!$B:$B, 0)), "")</f>
        <v>ULIF 086 24/11/09 LOpport 105</v>
      </c>
      <c r="E1665" s="8" t="s">
        <v>227</v>
      </c>
      <c r="F1665" s="8" t="s">
        <v>2014</v>
      </c>
    </row>
    <row r="1666" spans="1:6" ht="60" x14ac:dyDescent="0.25">
      <c r="A1666" s="8" t="s">
        <v>125</v>
      </c>
      <c r="B1666" s="8" t="s">
        <v>40</v>
      </c>
      <c r="C1666" s="8" t="str">
        <f>IFERROR(_xlfn.XLOOKUP(TRIM(B1666),Lookup!$B$2:$B$1000,Lookup!$C$2:$C$1000),"")</f>
        <v>Equity</v>
      </c>
      <c r="D1666" s="8" t="str">
        <f>IFERROR(INDEX('nav master'!$C:$C, MATCH(B1666, 'nav master'!$B:$B, 0)), "")</f>
        <v>ULIF 086 24/11/09 LOpport 105</v>
      </c>
      <c r="E1666" s="8" t="s">
        <v>229</v>
      </c>
      <c r="F1666" s="8" t="s">
        <v>2015</v>
      </c>
    </row>
    <row r="1667" spans="1:6" ht="60" x14ac:dyDescent="0.25">
      <c r="A1667" s="8" t="s">
        <v>125</v>
      </c>
      <c r="B1667" s="8" t="s">
        <v>40</v>
      </c>
      <c r="C1667" s="8" t="str">
        <f>IFERROR(_xlfn.XLOOKUP(TRIM(B1667),Lookup!$B$2:$B$1000,Lookup!$C$2:$C$1000),"")</f>
        <v>Equity</v>
      </c>
      <c r="D1667" s="8" t="str">
        <f>IFERROR(INDEX('nav master'!$C:$C, MATCH(B1667, 'nav master'!$B:$B, 0)), "")</f>
        <v>ULIF 086 24/11/09 LOpport 105</v>
      </c>
      <c r="E1667" s="8" t="s">
        <v>231</v>
      </c>
      <c r="F1667" s="8" t="s">
        <v>2016</v>
      </c>
    </row>
    <row r="1668" spans="1:6" ht="60" x14ac:dyDescent="0.25">
      <c r="A1668" s="8" t="s">
        <v>125</v>
      </c>
      <c r="B1668" s="8" t="s">
        <v>40</v>
      </c>
      <c r="C1668" s="8" t="str">
        <f>IFERROR(_xlfn.XLOOKUP(TRIM(B1668),Lookup!$B$2:$B$1000,Lookup!$C$2:$C$1000),"")</f>
        <v>Equity</v>
      </c>
      <c r="D1668" s="8" t="str">
        <f>IFERROR(INDEX('nav master'!$C:$C, MATCH(B1668, 'nav master'!$B:$B, 0)), "")</f>
        <v>ULIF 086 24/11/09 LOpport 105</v>
      </c>
      <c r="E1668" s="8" t="s">
        <v>233</v>
      </c>
      <c r="F1668" s="8" t="s">
        <v>2017</v>
      </c>
    </row>
    <row r="1669" spans="1:6" ht="60" x14ac:dyDescent="0.25">
      <c r="A1669" s="8" t="s">
        <v>125</v>
      </c>
      <c r="B1669" s="8" t="s">
        <v>40</v>
      </c>
      <c r="C1669" s="8" t="str">
        <f>IFERROR(_xlfn.XLOOKUP(TRIM(B1669),Lookup!$B$2:$B$1000,Lookup!$C$2:$C$1000),"")</f>
        <v>Equity</v>
      </c>
      <c r="D1669" s="8" t="str">
        <f>IFERROR(INDEX('nav master'!$C:$C, MATCH(B1669, 'nav master'!$B:$B, 0)), "")</f>
        <v>ULIF 086 24/11/09 LOpport 105</v>
      </c>
      <c r="E1669" s="8" t="s">
        <v>235</v>
      </c>
      <c r="F1669" s="8" t="s">
        <v>2018</v>
      </c>
    </row>
    <row r="1670" spans="1:6" ht="60" x14ac:dyDescent="0.25">
      <c r="A1670" s="8" t="s">
        <v>125</v>
      </c>
      <c r="B1670" s="8" t="s">
        <v>40</v>
      </c>
      <c r="C1670" s="8" t="str">
        <f>IFERROR(_xlfn.XLOOKUP(TRIM(B1670),Lookup!$B$2:$B$1000,Lookup!$C$2:$C$1000),"")</f>
        <v>Equity</v>
      </c>
      <c r="D1670" s="8" t="str">
        <f>IFERROR(INDEX('nav master'!$C:$C, MATCH(B1670, 'nav master'!$B:$B, 0)), "")</f>
        <v>ULIF 086 24/11/09 LOpport 105</v>
      </c>
      <c r="E1670" s="8" t="s">
        <v>237</v>
      </c>
      <c r="F1670" s="8" t="s">
        <v>2019</v>
      </c>
    </row>
    <row r="1671" spans="1:6" ht="60" x14ac:dyDescent="0.25">
      <c r="A1671" s="8" t="s">
        <v>125</v>
      </c>
      <c r="B1671" s="8" t="s">
        <v>40</v>
      </c>
      <c r="C1671" s="8" t="str">
        <f>IFERROR(_xlfn.XLOOKUP(TRIM(B1671),Lookup!$B$2:$B$1000,Lookup!$C$2:$C$1000),"")</f>
        <v>Equity</v>
      </c>
      <c r="D1671" s="8" t="str">
        <f>IFERROR(INDEX('nav master'!$C:$C, MATCH(B1671, 'nav master'!$B:$B, 0)), "")</f>
        <v>ULIF 086 24/11/09 LOpport 105</v>
      </c>
      <c r="E1671" s="8" t="s">
        <v>239</v>
      </c>
      <c r="F1671" s="8" t="s">
        <v>2020</v>
      </c>
    </row>
    <row r="1672" spans="1:6" ht="60" x14ac:dyDescent="0.25">
      <c r="A1672" s="8" t="s">
        <v>125</v>
      </c>
      <c r="B1672" s="8" t="s">
        <v>40</v>
      </c>
      <c r="C1672" s="8" t="str">
        <f>IFERROR(_xlfn.XLOOKUP(TRIM(B1672),Lookup!$B$2:$B$1000,Lookup!$C$2:$C$1000),"")</f>
        <v>Equity</v>
      </c>
      <c r="D1672" s="8" t="str">
        <f>IFERROR(INDEX('nav master'!$C:$C, MATCH(B1672, 'nav master'!$B:$B, 0)), "")</f>
        <v>ULIF 086 24/11/09 LOpport 105</v>
      </c>
      <c r="E1672" s="8" t="s">
        <v>241</v>
      </c>
      <c r="F1672" s="8" t="s">
        <v>2021</v>
      </c>
    </row>
    <row r="1673" spans="1:6" ht="60" x14ac:dyDescent="0.25">
      <c r="A1673" s="8" t="s">
        <v>125</v>
      </c>
      <c r="B1673" s="8" t="s">
        <v>40</v>
      </c>
      <c r="C1673" s="8" t="str">
        <f>IFERROR(_xlfn.XLOOKUP(TRIM(B1673),Lookup!$B$2:$B$1000,Lookup!$C$2:$C$1000),"")</f>
        <v>Equity</v>
      </c>
      <c r="D1673" s="8" t="str">
        <f>IFERROR(INDEX('nav master'!$C:$C, MATCH(B1673, 'nav master'!$B:$B, 0)), "")</f>
        <v>ULIF 086 24/11/09 LOpport 105</v>
      </c>
      <c r="E1673" s="8" t="s">
        <v>243</v>
      </c>
      <c r="F1673" s="8" t="s">
        <v>2022</v>
      </c>
    </row>
    <row r="1674" spans="1:6" ht="60" x14ac:dyDescent="0.25">
      <c r="A1674" s="8" t="s">
        <v>125</v>
      </c>
      <c r="B1674" s="8" t="s">
        <v>40</v>
      </c>
      <c r="C1674" s="8" t="str">
        <f>IFERROR(_xlfn.XLOOKUP(TRIM(B1674),Lookup!$B$2:$B$1000,Lookup!$C$2:$C$1000),"")</f>
        <v>Equity</v>
      </c>
      <c r="D1674" s="8" t="str">
        <f>IFERROR(INDEX('nav master'!$C:$C, MATCH(B1674, 'nav master'!$B:$B, 0)), "")</f>
        <v>ULIF 086 24/11/09 LOpport 105</v>
      </c>
      <c r="E1674" s="8" t="s">
        <v>245</v>
      </c>
      <c r="F1674" s="8" t="s">
        <v>2023</v>
      </c>
    </row>
    <row r="1675" spans="1:6" ht="60" x14ac:dyDescent="0.25">
      <c r="A1675" s="8" t="s">
        <v>125</v>
      </c>
      <c r="B1675" s="8" t="s">
        <v>40</v>
      </c>
      <c r="C1675" s="8" t="str">
        <f>IFERROR(_xlfn.XLOOKUP(TRIM(B1675),Lookup!$B$2:$B$1000,Lookup!$C$2:$C$1000),"")</f>
        <v>Equity</v>
      </c>
      <c r="D1675" s="8" t="str">
        <f>IFERROR(INDEX('nav master'!$C:$C, MATCH(B1675, 'nav master'!$B:$B, 0)), "")</f>
        <v>ULIF 086 24/11/09 LOpport 105</v>
      </c>
      <c r="E1675" s="8" t="s">
        <v>247</v>
      </c>
      <c r="F1675" s="8" t="s">
        <v>2024</v>
      </c>
    </row>
    <row r="1676" spans="1:6" ht="60" x14ac:dyDescent="0.25">
      <c r="A1676" s="8" t="s">
        <v>125</v>
      </c>
      <c r="B1676" s="8" t="s">
        <v>40</v>
      </c>
      <c r="C1676" s="8" t="str">
        <f>IFERROR(_xlfn.XLOOKUP(TRIM(B1676),Lookup!$B$2:$B$1000,Lookup!$C$2:$C$1000),"")</f>
        <v>Equity</v>
      </c>
      <c r="D1676" s="8" t="str">
        <f>IFERROR(INDEX('nav master'!$C:$C, MATCH(B1676, 'nav master'!$B:$B, 0)), "")</f>
        <v>ULIF 086 24/11/09 LOpport 105</v>
      </c>
      <c r="E1676" s="8" t="s">
        <v>249</v>
      </c>
      <c r="F1676" s="8" t="s">
        <v>2025</v>
      </c>
    </row>
    <row r="1677" spans="1:6" ht="60" x14ac:dyDescent="0.25">
      <c r="A1677" s="8" t="s">
        <v>125</v>
      </c>
      <c r="B1677" s="8" t="s">
        <v>40</v>
      </c>
      <c r="C1677" s="8" t="str">
        <f>IFERROR(_xlfn.XLOOKUP(TRIM(B1677),Lookup!$B$2:$B$1000,Lookup!$C$2:$C$1000),"")</f>
        <v>Equity</v>
      </c>
      <c r="D1677" s="8" t="str">
        <f>IFERROR(INDEX('nav master'!$C:$C, MATCH(B1677, 'nav master'!$B:$B, 0)), "")</f>
        <v>ULIF 086 24/11/09 LOpport 105</v>
      </c>
      <c r="E1677" s="8" t="s">
        <v>251</v>
      </c>
      <c r="F1677" s="8" t="s">
        <v>2026</v>
      </c>
    </row>
    <row r="1678" spans="1:6" ht="60" x14ac:dyDescent="0.25">
      <c r="A1678" s="8" t="s">
        <v>125</v>
      </c>
      <c r="B1678" s="8" t="s">
        <v>40</v>
      </c>
      <c r="C1678" s="8" t="str">
        <f>IFERROR(_xlfn.XLOOKUP(TRIM(B1678),Lookup!$B$2:$B$1000,Lookup!$C$2:$C$1000),"")</f>
        <v>Equity</v>
      </c>
      <c r="D1678" s="8" t="str">
        <f>IFERROR(INDEX('nav master'!$C:$C, MATCH(B1678, 'nav master'!$B:$B, 0)), "")</f>
        <v>ULIF 086 24/11/09 LOpport 105</v>
      </c>
      <c r="E1678" s="8" t="s">
        <v>253</v>
      </c>
      <c r="F1678" s="8" t="s">
        <v>2027</v>
      </c>
    </row>
    <row r="1679" spans="1:6" ht="60" x14ac:dyDescent="0.25">
      <c r="A1679" s="8" t="s">
        <v>125</v>
      </c>
      <c r="B1679" s="8" t="s">
        <v>40</v>
      </c>
      <c r="C1679" s="8" t="str">
        <f>IFERROR(_xlfn.XLOOKUP(TRIM(B1679),Lookup!$B$2:$B$1000,Lookup!$C$2:$C$1000),"")</f>
        <v>Equity</v>
      </c>
      <c r="D1679" s="8" t="str">
        <f>IFERROR(INDEX('nav master'!$C:$C, MATCH(B1679, 'nav master'!$B:$B, 0)), "")</f>
        <v>ULIF 086 24/11/09 LOpport 105</v>
      </c>
      <c r="E1679" s="8" t="s">
        <v>255</v>
      </c>
      <c r="F1679" s="8" t="s">
        <v>2028</v>
      </c>
    </row>
    <row r="1680" spans="1:6" ht="60" x14ac:dyDescent="0.25">
      <c r="A1680" s="8" t="s">
        <v>125</v>
      </c>
      <c r="B1680" s="8" t="s">
        <v>40</v>
      </c>
      <c r="C1680" s="8" t="str">
        <f>IFERROR(_xlfn.XLOOKUP(TRIM(B1680),Lookup!$B$2:$B$1000,Lookup!$C$2:$C$1000),"")</f>
        <v>Equity</v>
      </c>
      <c r="D1680" s="8" t="str">
        <f>IFERROR(INDEX('nav master'!$C:$C, MATCH(B1680, 'nav master'!$B:$B, 0)), "")</f>
        <v>ULIF 086 24/11/09 LOpport 105</v>
      </c>
      <c r="E1680" s="8" t="s">
        <v>257</v>
      </c>
      <c r="F1680" s="8" t="s">
        <v>2029</v>
      </c>
    </row>
    <row r="1681" spans="1:6" ht="60" x14ac:dyDescent="0.25">
      <c r="A1681" s="8" t="s">
        <v>125</v>
      </c>
      <c r="B1681" s="8" t="s">
        <v>40</v>
      </c>
      <c r="C1681" s="8" t="str">
        <f>IFERROR(_xlfn.XLOOKUP(TRIM(B1681),Lookup!$B$2:$B$1000,Lookup!$C$2:$C$1000),"")</f>
        <v>Equity</v>
      </c>
      <c r="D1681" s="8" t="str">
        <f>IFERROR(INDEX('nav master'!$C:$C, MATCH(B1681, 'nav master'!$B:$B, 0)), "")</f>
        <v>ULIF 086 24/11/09 LOpport 105</v>
      </c>
      <c r="E1681" s="8" t="s">
        <v>259</v>
      </c>
      <c r="F1681" s="8" t="s">
        <v>2030</v>
      </c>
    </row>
    <row r="1682" spans="1:6" ht="60" x14ac:dyDescent="0.25">
      <c r="A1682" s="8" t="s">
        <v>125</v>
      </c>
      <c r="B1682" s="8" t="s">
        <v>40</v>
      </c>
      <c r="C1682" s="8" t="str">
        <f>IFERROR(_xlfn.XLOOKUP(TRIM(B1682),Lookup!$B$2:$B$1000,Lookup!$C$2:$C$1000),"")</f>
        <v>Equity</v>
      </c>
      <c r="D1682" s="8" t="str">
        <f>IFERROR(INDEX('nav master'!$C:$C, MATCH(B1682, 'nav master'!$B:$B, 0)), "")</f>
        <v>ULIF 086 24/11/09 LOpport 105</v>
      </c>
      <c r="E1682" s="8" t="s">
        <v>261</v>
      </c>
      <c r="F1682" s="8" t="s">
        <v>2031</v>
      </c>
    </row>
    <row r="1683" spans="1:6" ht="60" x14ac:dyDescent="0.25">
      <c r="A1683" s="8" t="s">
        <v>125</v>
      </c>
      <c r="B1683" s="8" t="s">
        <v>40</v>
      </c>
      <c r="C1683" s="8" t="str">
        <f>IFERROR(_xlfn.XLOOKUP(TRIM(B1683),Lookup!$B$2:$B$1000,Lookup!$C$2:$C$1000),"")</f>
        <v>Equity</v>
      </c>
      <c r="D1683" s="8" t="str">
        <f>IFERROR(INDEX('nav master'!$C:$C, MATCH(B1683, 'nav master'!$B:$B, 0)), "")</f>
        <v>ULIF 086 24/11/09 LOpport 105</v>
      </c>
      <c r="E1683" s="8" t="s">
        <v>263</v>
      </c>
      <c r="F1683" s="8" t="s">
        <v>2032</v>
      </c>
    </row>
    <row r="1684" spans="1:6" ht="60" x14ac:dyDescent="0.25">
      <c r="A1684" s="8" t="s">
        <v>125</v>
      </c>
      <c r="B1684" s="8" t="s">
        <v>40</v>
      </c>
      <c r="C1684" s="8" t="str">
        <f>IFERROR(_xlfn.XLOOKUP(TRIM(B1684),Lookup!$B$2:$B$1000,Lookup!$C$2:$C$1000),"")</f>
        <v>Equity</v>
      </c>
      <c r="D1684" s="8" t="str">
        <f>IFERROR(INDEX('nav master'!$C:$C, MATCH(B1684, 'nav master'!$B:$B, 0)), "")</f>
        <v>ULIF 086 24/11/09 LOpport 105</v>
      </c>
      <c r="E1684" s="8" t="s">
        <v>265</v>
      </c>
      <c r="F1684" s="8" t="s">
        <v>2033</v>
      </c>
    </row>
    <row r="1685" spans="1:6" ht="60" x14ac:dyDescent="0.25">
      <c r="A1685" s="8" t="s">
        <v>125</v>
      </c>
      <c r="B1685" s="8" t="s">
        <v>40</v>
      </c>
      <c r="C1685" s="8" t="str">
        <f>IFERROR(_xlfn.XLOOKUP(TRIM(B1685),Lookup!$B$2:$B$1000,Lookup!$C$2:$C$1000),"")</f>
        <v>Equity</v>
      </c>
      <c r="D1685" s="8" t="str">
        <f>IFERROR(INDEX('nav master'!$C:$C, MATCH(B1685, 'nav master'!$B:$B, 0)), "")</f>
        <v>ULIF 086 24/11/09 LOpport 105</v>
      </c>
      <c r="E1685" s="8" t="s">
        <v>267</v>
      </c>
      <c r="F1685" s="8" t="s">
        <v>2034</v>
      </c>
    </row>
    <row r="1686" spans="1:6" ht="60" x14ac:dyDescent="0.25">
      <c r="A1686" s="8" t="s">
        <v>125</v>
      </c>
      <c r="B1686" s="8" t="s">
        <v>40</v>
      </c>
      <c r="C1686" s="8" t="str">
        <f>IFERROR(_xlfn.XLOOKUP(TRIM(B1686),Lookup!$B$2:$B$1000,Lookup!$C$2:$C$1000),"")</f>
        <v>Equity</v>
      </c>
      <c r="D1686" s="8" t="str">
        <f>IFERROR(INDEX('nav master'!$C:$C, MATCH(B1686, 'nav master'!$B:$B, 0)), "")</f>
        <v>ULIF 086 24/11/09 LOpport 105</v>
      </c>
      <c r="E1686" s="8" t="s">
        <v>269</v>
      </c>
      <c r="F1686" s="8" t="s">
        <v>2035</v>
      </c>
    </row>
    <row r="1687" spans="1:6" ht="60" x14ac:dyDescent="0.25">
      <c r="A1687" s="8" t="s">
        <v>125</v>
      </c>
      <c r="B1687" s="8" t="s">
        <v>40</v>
      </c>
      <c r="C1687" s="8" t="str">
        <f>IFERROR(_xlfn.XLOOKUP(TRIM(B1687),Lookup!$B$2:$B$1000,Lookup!$C$2:$C$1000),"")</f>
        <v>Equity</v>
      </c>
      <c r="D1687" s="8" t="str">
        <f>IFERROR(INDEX('nav master'!$C:$C, MATCH(B1687, 'nav master'!$B:$B, 0)), "")</f>
        <v>ULIF 086 24/11/09 LOpport 105</v>
      </c>
      <c r="E1687" s="8" t="s">
        <v>271</v>
      </c>
      <c r="F1687" s="8" t="s">
        <v>2036</v>
      </c>
    </row>
    <row r="1688" spans="1:6" ht="60" x14ac:dyDescent="0.25">
      <c r="A1688" s="8" t="s">
        <v>125</v>
      </c>
      <c r="B1688" s="8" t="s">
        <v>40</v>
      </c>
      <c r="C1688" s="8" t="str">
        <f>IFERROR(_xlfn.XLOOKUP(TRIM(B1688),Lookup!$B$2:$B$1000,Lookup!$C$2:$C$1000),"")</f>
        <v>Equity</v>
      </c>
      <c r="D1688" s="8" t="str">
        <f>IFERROR(INDEX('nav master'!$C:$C, MATCH(B1688, 'nav master'!$B:$B, 0)), "")</f>
        <v>ULIF 086 24/11/09 LOpport 105</v>
      </c>
      <c r="E1688" s="8" t="s">
        <v>273</v>
      </c>
      <c r="F1688" s="8" t="s">
        <v>2037</v>
      </c>
    </row>
    <row r="1689" spans="1:6" ht="60" x14ac:dyDescent="0.25">
      <c r="A1689" s="8" t="s">
        <v>125</v>
      </c>
      <c r="B1689" s="8" t="s">
        <v>40</v>
      </c>
      <c r="C1689" s="8" t="str">
        <f>IFERROR(_xlfn.XLOOKUP(TRIM(B1689),Lookup!$B$2:$B$1000,Lookup!$C$2:$C$1000),"")</f>
        <v>Equity</v>
      </c>
      <c r="D1689" s="8" t="str">
        <f>IFERROR(INDEX('nav master'!$C:$C, MATCH(B1689, 'nav master'!$B:$B, 0)), "")</f>
        <v>ULIF 086 24/11/09 LOpport 105</v>
      </c>
      <c r="E1689" s="8" t="s">
        <v>275</v>
      </c>
      <c r="F1689" s="8" t="s">
        <v>2038</v>
      </c>
    </row>
    <row r="1690" spans="1:6" ht="60" x14ac:dyDescent="0.25">
      <c r="A1690" s="8" t="s">
        <v>125</v>
      </c>
      <c r="B1690" s="8" t="s">
        <v>40</v>
      </c>
      <c r="C1690" s="8" t="str">
        <f>IFERROR(_xlfn.XLOOKUP(TRIM(B1690),Lookup!$B$2:$B$1000,Lookup!$C$2:$C$1000),"")</f>
        <v>Equity</v>
      </c>
      <c r="D1690" s="8" t="str">
        <f>IFERROR(INDEX('nav master'!$C:$C, MATCH(B1690, 'nav master'!$B:$B, 0)), "")</f>
        <v>ULIF 086 24/11/09 LOpport 105</v>
      </c>
      <c r="E1690" s="8" t="s">
        <v>277</v>
      </c>
      <c r="F1690" s="8" t="s">
        <v>2039</v>
      </c>
    </row>
    <row r="1691" spans="1:6" ht="60" x14ac:dyDescent="0.25">
      <c r="A1691" s="8" t="s">
        <v>125</v>
      </c>
      <c r="B1691" s="8" t="s">
        <v>40</v>
      </c>
      <c r="C1691" s="8" t="str">
        <f>IFERROR(_xlfn.XLOOKUP(TRIM(B1691),Lookup!$B$2:$B$1000,Lookup!$C$2:$C$1000),"")</f>
        <v>Equity</v>
      </c>
      <c r="D1691" s="8" t="str">
        <f>IFERROR(INDEX('nav master'!$C:$C, MATCH(B1691, 'nav master'!$B:$B, 0)), "")</f>
        <v>ULIF 086 24/11/09 LOpport 105</v>
      </c>
      <c r="E1691" s="8" t="s">
        <v>279</v>
      </c>
      <c r="F1691" s="8" t="s">
        <v>2040</v>
      </c>
    </row>
    <row r="1692" spans="1:6" ht="60" x14ac:dyDescent="0.25">
      <c r="A1692" s="8" t="s">
        <v>125</v>
      </c>
      <c r="B1692" s="8" t="s">
        <v>40</v>
      </c>
      <c r="C1692" s="8" t="str">
        <f>IFERROR(_xlfn.XLOOKUP(TRIM(B1692),Lookup!$B$2:$B$1000,Lookup!$C$2:$C$1000),"")</f>
        <v>Equity</v>
      </c>
      <c r="D1692" s="8" t="str">
        <f>IFERROR(INDEX('nav master'!$C:$C, MATCH(B1692, 'nav master'!$B:$B, 0)), "")</f>
        <v>ULIF 086 24/11/09 LOpport 105</v>
      </c>
      <c r="E1692" s="8" t="s">
        <v>281</v>
      </c>
      <c r="F1692" s="8" t="s">
        <v>2041</v>
      </c>
    </row>
    <row r="1693" spans="1:6" ht="60" x14ac:dyDescent="0.25">
      <c r="A1693" s="8" t="s">
        <v>125</v>
      </c>
      <c r="B1693" s="8" t="s">
        <v>40</v>
      </c>
      <c r="C1693" s="8" t="str">
        <f>IFERROR(_xlfn.XLOOKUP(TRIM(B1693),Lookup!$B$2:$B$1000,Lookup!$C$2:$C$1000),"")</f>
        <v>Equity</v>
      </c>
      <c r="D1693" s="8" t="str">
        <f>IFERROR(INDEX('nav master'!$C:$C, MATCH(B1693, 'nav master'!$B:$B, 0)), "")</f>
        <v>ULIF 086 24/11/09 LOpport 105</v>
      </c>
      <c r="E1693" s="8" t="s">
        <v>283</v>
      </c>
      <c r="F1693" s="8" t="s">
        <v>2042</v>
      </c>
    </row>
    <row r="1694" spans="1:6" ht="60" x14ac:dyDescent="0.25">
      <c r="A1694" s="8" t="s">
        <v>125</v>
      </c>
      <c r="B1694" s="8" t="s">
        <v>40</v>
      </c>
      <c r="C1694" s="8" t="str">
        <f>IFERROR(_xlfn.XLOOKUP(TRIM(B1694),Lookup!$B$2:$B$1000,Lookup!$C$2:$C$1000),"")</f>
        <v>Equity</v>
      </c>
      <c r="D1694" s="8" t="str">
        <f>IFERROR(INDEX('nav master'!$C:$C, MATCH(B1694, 'nav master'!$B:$B, 0)), "")</f>
        <v>ULIF 086 24/11/09 LOpport 105</v>
      </c>
      <c r="E1694" s="8" t="s">
        <v>285</v>
      </c>
      <c r="F1694" s="8" t="s">
        <v>2043</v>
      </c>
    </row>
    <row r="1695" spans="1:6" ht="60" x14ac:dyDescent="0.25">
      <c r="A1695" s="8" t="s">
        <v>125</v>
      </c>
      <c r="B1695" s="8" t="s">
        <v>40</v>
      </c>
      <c r="C1695" s="8" t="str">
        <f>IFERROR(_xlfn.XLOOKUP(TRIM(B1695),Lookup!$B$2:$B$1000,Lookup!$C$2:$C$1000),"")</f>
        <v>Equity</v>
      </c>
      <c r="D1695" s="8" t="str">
        <f>IFERROR(INDEX('nav master'!$C:$C, MATCH(B1695, 'nav master'!$B:$B, 0)), "")</f>
        <v>ULIF 086 24/11/09 LOpport 105</v>
      </c>
      <c r="E1695" s="8" t="s">
        <v>287</v>
      </c>
      <c r="F1695" s="8" t="s">
        <v>2044</v>
      </c>
    </row>
    <row r="1696" spans="1:6" ht="60" x14ac:dyDescent="0.25">
      <c r="A1696" s="8" t="s">
        <v>125</v>
      </c>
      <c r="B1696" s="8" t="s">
        <v>40</v>
      </c>
      <c r="C1696" s="8" t="str">
        <f>IFERROR(_xlfn.XLOOKUP(TRIM(B1696),Lookup!$B$2:$B$1000,Lookup!$C$2:$C$1000),"")</f>
        <v>Equity</v>
      </c>
      <c r="D1696" s="8" t="str">
        <f>IFERROR(INDEX('nav master'!$C:$C, MATCH(B1696, 'nav master'!$B:$B, 0)), "")</f>
        <v>ULIF 086 24/11/09 LOpport 105</v>
      </c>
      <c r="E1696" s="8" t="s">
        <v>289</v>
      </c>
      <c r="F1696" s="8" t="s">
        <v>2045</v>
      </c>
    </row>
    <row r="1697" spans="1:6" ht="60" x14ac:dyDescent="0.25">
      <c r="A1697" s="8" t="s">
        <v>125</v>
      </c>
      <c r="B1697" s="8" t="s">
        <v>40</v>
      </c>
      <c r="C1697" s="8" t="str">
        <f>IFERROR(_xlfn.XLOOKUP(TRIM(B1697),Lookup!$B$2:$B$1000,Lookup!$C$2:$C$1000),"")</f>
        <v>Equity</v>
      </c>
      <c r="D1697" s="8" t="str">
        <f>IFERROR(INDEX('nav master'!$C:$C, MATCH(B1697, 'nav master'!$B:$B, 0)), "")</f>
        <v>ULIF 086 24/11/09 LOpport 105</v>
      </c>
      <c r="E1697" s="8" t="s">
        <v>291</v>
      </c>
      <c r="F1697" s="8" t="s">
        <v>2046</v>
      </c>
    </row>
    <row r="1698" spans="1:6" ht="60" x14ac:dyDescent="0.25">
      <c r="A1698" s="8" t="s">
        <v>125</v>
      </c>
      <c r="B1698" s="8" t="s">
        <v>40</v>
      </c>
      <c r="C1698" s="8" t="str">
        <f>IFERROR(_xlfn.XLOOKUP(TRIM(B1698),Lookup!$B$2:$B$1000,Lookup!$C$2:$C$1000),"")</f>
        <v>Equity</v>
      </c>
      <c r="D1698" s="8" t="str">
        <f>IFERROR(INDEX('nav master'!$C:$C, MATCH(B1698, 'nav master'!$B:$B, 0)), "")</f>
        <v>ULIF 086 24/11/09 LOpport 105</v>
      </c>
      <c r="E1698" s="8" t="s">
        <v>293</v>
      </c>
      <c r="F1698" s="8" t="s">
        <v>2047</v>
      </c>
    </row>
    <row r="1699" spans="1:6" ht="60" x14ac:dyDescent="0.25">
      <c r="A1699" s="8" t="s">
        <v>125</v>
      </c>
      <c r="B1699" s="8" t="s">
        <v>40</v>
      </c>
      <c r="C1699" s="8" t="str">
        <f>IFERROR(_xlfn.XLOOKUP(TRIM(B1699),Lookup!$B$2:$B$1000,Lookup!$C$2:$C$1000),"")</f>
        <v>Equity</v>
      </c>
      <c r="D1699" s="8" t="str">
        <f>IFERROR(INDEX('nav master'!$C:$C, MATCH(B1699, 'nav master'!$B:$B, 0)), "")</f>
        <v>ULIF 086 24/11/09 LOpport 105</v>
      </c>
      <c r="E1699" s="8" t="s">
        <v>295</v>
      </c>
      <c r="F1699" s="8" t="s">
        <v>2048</v>
      </c>
    </row>
    <row r="1700" spans="1:6" ht="60" x14ac:dyDescent="0.25">
      <c r="A1700" s="8" t="s">
        <v>125</v>
      </c>
      <c r="B1700" s="8" t="s">
        <v>40</v>
      </c>
      <c r="C1700" s="8" t="str">
        <f>IFERROR(_xlfn.XLOOKUP(TRIM(B1700),Lookup!$B$2:$B$1000,Lookup!$C$2:$C$1000),"")</f>
        <v>Equity</v>
      </c>
      <c r="D1700" s="8" t="str">
        <f>IFERROR(INDEX('nav master'!$C:$C, MATCH(B1700, 'nav master'!$B:$B, 0)), "")</f>
        <v>ULIF 086 24/11/09 LOpport 105</v>
      </c>
      <c r="E1700" s="8" t="s">
        <v>297</v>
      </c>
      <c r="F1700" s="8" t="s">
        <v>2049</v>
      </c>
    </row>
    <row r="1701" spans="1:6" ht="60" x14ac:dyDescent="0.25">
      <c r="A1701" s="8" t="s">
        <v>125</v>
      </c>
      <c r="B1701" s="8" t="s">
        <v>40</v>
      </c>
      <c r="C1701" s="8" t="str">
        <f>IFERROR(_xlfn.XLOOKUP(TRIM(B1701),Lookup!$B$2:$B$1000,Lookup!$C$2:$C$1000),"")</f>
        <v>Equity</v>
      </c>
      <c r="D1701" s="8" t="str">
        <f>IFERROR(INDEX('nav master'!$C:$C, MATCH(B1701, 'nav master'!$B:$B, 0)), "")</f>
        <v>ULIF 086 24/11/09 LOpport 105</v>
      </c>
      <c r="E1701" s="8" t="s">
        <v>299</v>
      </c>
      <c r="F1701" s="8" t="s">
        <v>2050</v>
      </c>
    </row>
    <row r="1702" spans="1:6" ht="60" x14ac:dyDescent="0.25">
      <c r="A1702" s="8" t="s">
        <v>125</v>
      </c>
      <c r="B1702" s="8" t="s">
        <v>40</v>
      </c>
      <c r="C1702" s="8" t="str">
        <f>IFERROR(_xlfn.XLOOKUP(TRIM(B1702),Lookup!$B$2:$B$1000,Lookup!$C$2:$C$1000),"")</f>
        <v>Equity</v>
      </c>
      <c r="D1702" s="8" t="str">
        <f>IFERROR(INDEX('nav master'!$C:$C, MATCH(B1702, 'nav master'!$B:$B, 0)), "")</f>
        <v>ULIF 086 24/11/09 LOpport 105</v>
      </c>
      <c r="E1702" s="8" t="s">
        <v>301</v>
      </c>
      <c r="F1702" s="8" t="s">
        <v>2051</v>
      </c>
    </row>
    <row r="1703" spans="1:6" ht="60" x14ac:dyDescent="0.25">
      <c r="A1703" s="8" t="s">
        <v>125</v>
      </c>
      <c r="B1703" s="8" t="s">
        <v>40</v>
      </c>
      <c r="C1703" s="8" t="str">
        <f>IFERROR(_xlfn.XLOOKUP(TRIM(B1703),Lookup!$B$2:$B$1000,Lookup!$C$2:$C$1000),"")</f>
        <v>Equity</v>
      </c>
      <c r="D1703" s="8" t="str">
        <f>IFERROR(INDEX('nav master'!$C:$C, MATCH(B1703, 'nav master'!$B:$B, 0)), "")</f>
        <v>ULIF 086 24/11/09 LOpport 105</v>
      </c>
      <c r="E1703" s="8" t="s">
        <v>303</v>
      </c>
      <c r="F1703" s="8" t="s">
        <v>2052</v>
      </c>
    </row>
    <row r="1704" spans="1:6" ht="60" x14ac:dyDescent="0.25">
      <c r="A1704" s="8" t="s">
        <v>125</v>
      </c>
      <c r="B1704" s="8" t="s">
        <v>40</v>
      </c>
      <c r="C1704" s="8" t="str">
        <f>IFERROR(_xlfn.XLOOKUP(TRIM(B1704),Lookup!$B$2:$B$1000,Lookup!$C$2:$C$1000),"")</f>
        <v>Equity</v>
      </c>
      <c r="D1704" s="8" t="str">
        <f>IFERROR(INDEX('nav master'!$C:$C, MATCH(B1704, 'nav master'!$B:$B, 0)), "")</f>
        <v>ULIF 086 24/11/09 LOpport 105</v>
      </c>
      <c r="E1704" s="8" t="s">
        <v>305</v>
      </c>
      <c r="F1704" s="8" t="s">
        <v>2053</v>
      </c>
    </row>
    <row r="1705" spans="1:6" ht="60" x14ac:dyDescent="0.25">
      <c r="A1705" s="8" t="s">
        <v>125</v>
      </c>
      <c r="B1705" s="8" t="s">
        <v>40</v>
      </c>
      <c r="C1705" s="8" t="str">
        <f>IFERROR(_xlfn.XLOOKUP(TRIM(B1705),Lookup!$B$2:$B$1000,Lookup!$C$2:$C$1000),"")</f>
        <v>Equity</v>
      </c>
      <c r="D1705" s="8" t="str">
        <f>IFERROR(INDEX('nav master'!$C:$C, MATCH(B1705, 'nav master'!$B:$B, 0)), "")</f>
        <v>ULIF 086 24/11/09 LOpport 105</v>
      </c>
      <c r="E1705" s="8" t="s">
        <v>307</v>
      </c>
      <c r="F1705" s="8" t="s">
        <v>2054</v>
      </c>
    </row>
    <row r="1706" spans="1:6" ht="60" x14ac:dyDescent="0.25">
      <c r="A1706" s="8" t="s">
        <v>125</v>
      </c>
      <c r="B1706" s="8" t="s">
        <v>40</v>
      </c>
      <c r="C1706" s="8" t="str">
        <f>IFERROR(_xlfn.XLOOKUP(TRIM(B1706),Lookup!$B$2:$B$1000,Lookup!$C$2:$C$1000),"")</f>
        <v>Equity</v>
      </c>
      <c r="D1706" s="8" t="str">
        <f>IFERROR(INDEX('nav master'!$C:$C, MATCH(B1706, 'nav master'!$B:$B, 0)), "")</f>
        <v>ULIF 086 24/11/09 LOpport 105</v>
      </c>
      <c r="E1706" s="8" t="s">
        <v>309</v>
      </c>
      <c r="F1706" s="8" t="s">
        <v>2055</v>
      </c>
    </row>
    <row r="1707" spans="1:6" ht="60" x14ac:dyDescent="0.25">
      <c r="A1707" s="8" t="s">
        <v>125</v>
      </c>
      <c r="B1707" s="8" t="s">
        <v>40</v>
      </c>
      <c r="C1707" s="8" t="str">
        <f>IFERROR(_xlfn.XLOOKUP(TRIM(B1707),Lookup!$B$2:$B$1000,Lookup!$C$2:$C$1000),"")</f>
        <v>Equity</v>
      </c>
      <c r="D1707" s="8" t="str">
        <f>IFERROR(INDEX('nav master'!$C:$C, MATCH(B1707, 'nav master'!$B:$B, 0)), "")</f>
        <v>ULIF 086 24/11/09 LOpport 105</v>
      </c>
      <c r="E1707" s="8" t="s">
        <v>311</v>
      </c>
      <c r="F1707" s="8" t="s">
        <v>2056</v>
      </c>
    </row>
    <row r="1708" spans="1:6" ht="60" x14ac:dyDescent="0.25">
      <c r="A1708" s="8" t="s">
        <v>125</v>
      </c>
      <c r="B1708" s="8" t="s">
        <v>40</v>
      </c>
      <c r="C1708" s="8" t="str">
        <f>IFERROR(_xlfn.XLOOKUP(TRIM(B1708),Lookup!$B$2:$B$1000,Lookup!$C$2:$C$1000),"")</f>
        <v>Equity</v>
      </c>
      <c r="D1708" s="8" t="str">
        <f>IFERROR(INDEX('nav master'!$C:$C, MATCH(B1708, 'nav master'!$B:$B, 0)), "")</f>
        <v>ULIF 086 24/11/09 LOpport 105</v>
      </c>
      <c r="E1708" s="8" t="s">
        <v>313</v>
      </c>
      <c r="F1708" s="8" t="s">
        <v>2057</v>
      </c>
    </row>
    <row r="1709" spans="1:6" ht="60" x14ac:dyDescent="0.25">
      <c r="A1709" s="8" t="s">
        <v>125</v>
      </c>
      <c r="B1709" s="8" t="s">
        <v>40</v>
      </c>
      <c r="C1709" s="8" t="str">
        <f>IFERROR(_xlfn.XLOOKUP(TRIM(B1709),Lookup!$B$2:$B$1000,Lookup!$C$2:$C$1000),"")</f>
        <v>Equity</v>
      </c>
      <c r="D1709" s="8" t="str">
        <f>IFERROR(INDEX('nav master'!$C:$C, MATCH(B1709, 'nav master'!$B:$B, 0)), "")</f>
        <v>ULIF 086 24/11/09 LOpport 105</v>
      </c>
      <c r="E1709" s="8" t="s">
        <v>315</v>
      </c>
      <c r="F1709" s="8" t="s">
        <v>2058</v>
      </c>
    </row>
    <row r="1710" spans="1:6" ht="60" x14ac:dyDescent="0.25">
      <c r="A1710" s="8" t="s">
        <v>125</v>
      </c>
      <c r="B1710" s="8" t="s">
        <v>40</v>
      </c>
      <c r="C1710" s="8" t="str">
        <f>IFERROR(_xlfn.XLOOKUP(TRIM(B1710),Lookup!$B$2:$B$1000,Lookup!$C$2:$C$1000),"")</f>
        <v>Equity</v>
      </c>
      <c r="D1710" s="8" t="str">
        <f>IFERROR(INDEX('nav master'!$C:$C, MATCH(B1710, 'nav master'!$B:$B, 0)), "")</f>
        <v>ULIF 086 24/11/09 LOpport 105</v>
      </c>
      <c r="E1710" s="8" t="s">
        <v>317</v>
      </c>
      <c r="F1710" s="8" t="s">
        <v>2059</v>
      </c>
    </row>
    <row r="1711" spans="1:6" ht="60" x14ac:dyDescent="0.25">
      <c r="A1711" s="8" t="s">
        <v>125</v>
      </c>
      <c r="B1711" s="8" t="s">
        <v>40</v>
      </c>
      <c r="C1711" s="8" t="str">
        <f>IFERROR(_xlfn.XLOOKUP(TRIM(B1711),Lookup!$B$2:$B$1000,Lookup!$C$2:$C$1000),"")</f>
        <v>Equity</v>
      </c>
      <c r="D1711" s="8" t="str">
        <f>IFERROR(INDEX('nav master'!$C:$C, MATCH(B1711, 'nav master'!$B:$B, 0)), "")</f>
        <v>ULIF 086 24/11/09 LOpport 105</v>
      </c>
      <c r="E1711" s="8" t="s">
        <v>319</v>
      </c>
      <c r="F1711" s="8" t="s">
        <v>2060</v>
      </c>
    </row>
    <row r="1712" spans="1:6" ht="60" x14ac:dyDescent="0.25">
      <c r="A1712" s="8" t="s">
        <v>125</v>
      </c>
      <c r="B1712" s="8" t="s">
        <v>40</v>
      </c>
      <c r="C1712" s="8" t="str">
        <f>IFERROR(_xlfn.XLOOKUP(TRIM(B1712),Lookup!$B$2:$B$1000,Lookup!$C$2:$C$1000),"")</f>
        <v>Equity</v>
      </c>
      <c r="D1712" s="8" t="str">
        <f>IFERROR(INDEX('nav master'!$C:$C, MATCH(B1712, 'nav master'!$B:$B, 0)), "")</f>
        <v>ULIF 086 24/11/09 LOpport 105</v>
      </c>
      <c r="E1712" s="8" t="s">
        <v>321</v>
      </c>
      <c r="F1712" s="8" t="s">
        <v>2061</v>
      </c>
    </row>
    <row r="1713" spans="1:6" ht="60" x14ac:dyDescent="0.25">
      <c r="A1713" s="8" t="s">
        <v>125</v>
      </c>
      <c r="B1713" s="8" t="s">
        <v>40</v>
      </c>
      <c r="C1713" s="8" t="str">
        <f>IFERROR(_xlfn.XLOOKUP(TRIM(B1713),Lookup!$B$2:$B$1000,Lookup!$C$2:$C$1000),"")</f>
        <v>Equity</v>
      </c>
      <c r="D1713" s="8" t="str">
        <f>IFERROR(INDEX('nav master'!$C:$C, MATCH(B1713, 'nav master'!$B:$B, 0)), "")</f>
        <v>ULIF 086 24/11/09 LOpport 105</v>
      </c>
      <c r="E1713" s="8" t="s">
        <v>323</v>
      </c>
      <c r="F1713" s="8" t="s">
        <v>2062</v>
      </c>
    </row>
    <row r="1714" spans="1:6" ht="60" x14ac:dyDescent="0.25">
      <c r="A1714" s="8" t="s">
        <v>125</v>
      </c>
      <c r="B1714" s="8" t="s">
        <v>40</v>
      </c>
      <c r="C1714" s="8" t="str">
        <f>IFERROR(_xlfn.XLOOKUP(TRIM(B1714),Lookup!$B$2:$B$1000,Lookup!$C$2:$C$1000),"")</f>
        <v>Equity</v>
      </c>
      <c r="D1714" s="8" t="str">
        <f>IFERROR(INDEX('nav master'!$C:$C, MATCH(B1714, 'nav master'!$B:$B, 0)), "")</f>
        <v>ULIF 086 24/11/09 LOpport 105</v>
      </c>
      <c r="E1714" s="8" t="s">
        <v>325</v>
      </c>
      <c r="F1714" s="8" t="s">
        <v>2063</v>
      </c>
    </row>
    <row r="1715" spans="1:6" ht="60" x14ac:dyDescent="0.25">
      <c r="A1715" s="8" t="s">
        <v>125</v>
      </c>
      <c r="B1715" s="8" t="s">
        <v>40</v>
      </c>
      <c r="C1715" s="8" t="str">
        <f>IFERROR(_xlfn.XLOOKUP(TRIM(B1715),Lookup!$B$2:$B$1000,Lookup!$C$2:$C$1000),"")</f>
        <v>Equity</v>
      </c>
      <c r="D1715" s="8" t="str">
        <f>IFERROR(INDEX('nav master'!$C:$C, MATCH(B1715, 'nav master'!$B:$B, 0)), "")</f>
        <v>ULIF 086 24/11/09 LOpport 105</v>
      </c>
      <c r="E1715" s="8" t="s">
        <v>327</v>
      </c>
      <c r="F1715" s="8" t="s">
        <v>2064</v>
      </c>
    </row>
    <row r="1716" spans="1:6" ht="60" x14ac:dyDescent="0.25">
      <c r="A1716" s="8" t="s">
        <v>125</v>
      </c>
      <c r="B1716" s="8" t="s">
        <v>40</v>
      </c>
      <c r="C1716" s="8" t="str">
        <f>IFERROR(_xlfn.XLOOKUP(TRIM(B1716),Lookup!$B$2:$B$1000,Lookup!$C$2:$C$1000),"")</f>
        <v>Equity</v>
      </c>
      <c r="D1716" s="8" t="str">
        <f>IFERROR(INDEX('nav master'!$C:$C, MATCH(B1716, 'nav master'!$B:$B, 0)), "")</f>
        <v>ULIF 086 24/11/09 LOpport 105</v>
      </c>
      <c r="E1716" s="8" t="s">
        <v>329</v>
      </c>
      <c r="F1716" s="8" t="s">
        <v>2065</v>
      </c>
    </row>
    <row r="1717" spans="1:6" ht="60" x14ac:dyDescent="0.25">
      <c r="A1717" s="8" t="s">
        <v>125</v>
      </c>
      <c r="B1717" s="8" t="s">
        <v>40</v>
      </c>
      <c r="C1717" s="8" t="str">
        <f>IFERROR(_xlfn.XLOOKUP(TRIM(B1717),Lookup!$B$2:$B$1000,Lookup!$C$2:$C$1000),"")</f>
        <v>Equity</v>
      </c>
      <c r="D1717" s="8" t="str">
        <f>IFERROR(INDEX('nav master'!$C:$C, MATCH(B1717, 'nav master'!$B:$B, 0)), "")</f>
        <v>ULIF 086 24/11/09 LOpport 105</v>
      </c>
      <c r="E1717" s="8" t="s">
        <v>331</v>
      </c>
      <c r="F1717" s="8" t="s">
        <v>2066</v>
      </c>
    </row>
    <row r="1718" spans="1:6" ht="60" x14ac:dyDescent="0.25">
      <c r="A1718" s="8" t="s">
        <v>125</v>
      </c>
      <c r="B1718" s="8" t="s">
        <v>40</v>
      </c>
      <c r="C1718" s="8" t="str">
        <f>IFERROR(_xlfn.XLOOKUP(TRIM(B1718),Lookup!$B$2:$B$1000,Lookup!$C$2:$C$1000),"")</f>
        <v>Equity</v>
      </c>
      <c r="D1718" s="8" t="str">
        <f>IFERROR(INDEX('nav master'!$C:$C, MATCH(B1718, 'nav master'!$B:$B, 0)), "")</f>
        <v>ULIF 086 24/11/09 LOpport 105</v>
      </c>
      <c r="E1718" s="8" t="s">
        <v>333</v>
      </c>
      <c r="F1718" s="8" t="s">
        <v>2067</v>
      </c>
    </row>
    <row r="1719" spans="1:6" ht="60" x14ac:dyDescent="0.25">
      <c r="A1719" s="8" t="s">
        <v>125</v>
      </c>
      <c r="B1719" s="8" t="s">
        <v>40</v>
      </c>
      <c r="C1719" s="8" t="str">
        <f>IFERROR(_xlfn.XLOOKUP(TRIM(B1719),Lookup!$B$2:$B$1000,Lookup!$C$2:$C$1000),"")</f>
        <v>Equity</v>
      </c>
      <c r="D1719" s="8" t="str">
        <f>IFERROR(INDEX('nav master'!$C:$C, MATCH(B1719, 'nav master'!$B:$B, 0)), "")</f>
        <v>ULIF 086 24/11/09 LOpport 105</v>
      </c>
      <c r="E1719" s="8" t="s">
        <v>335</v>
      </c>
      <c r="F1719" s="8" t="s">
        <v>2068</v>
      </c>
    </row>
    <row r="1720" spans="1:6" ht="60" x14ac:dyDescent="0.25">
      <c r="A1720" s="8" t="s">
        <v>125</v>
      </c>
      <c r="B1720" s="8" t="s">
        <v>40</v>
      </c>
      <c r="C1720" s="8" t="str">
        <f>IFERROR(_xlfn.XLOOKUP(TRIM(B1720),Lookup!$B$2:$B$1000,Lookup!$C$2:$C$1000),"")</f>
        <v>Equity</v>
      </c>
      <c r="D1720" s="8" t="str">
        <f>IFERROR(INDEX('nav master'!$C:$C, MATCH(B1720, 'nav master'!$B:$B, 0)), "")</f>
        <v>ULIF 086 24/11/09 LOpport 105</v>
      </c>
      <c r="E1720" s="8" t="s">
        <v>337</v>
      </c>
      <c r="F1720" s="8" t="s">
        <v>2069</v>
      </c>
    </row>
    <row r="1721" spans="1:6" ht="60" x14ac:dyDescent="0.25">
      <c r="A1721" s="8" t="s">
        <v>125</v>
      </c>
      <c r="B1721" s="8" t="s">
        <v>40</v>
      </c>
      <c r="C1721" s="8" t="str">
        <f>IFERROR(_xlfn.XLOOKUP(TRIM(B1721),Lookup!$B$2:$B$1000,Lookup!$C$2:$C$1000),"")</f>
        <v>Equity</v>
      </c>
      <c r="D1721" s="8" t="str">
        <f>IFERROR(INDEX('nav master'!$C:$C, MATCH(B1721, 'nav master'!$B:$B, 0)), "")</f>
        <v>ULIF 086 24/11/09 LOpport 105</v>
      </c>
      <c r="E1721" s="8" t="s">
        <v>339</v>
      </c>
      <c r="F1721" s="8" t="s">
        <v>2070</v>
      </c>
    </row>
    <row r="1722" spans="1:6" ht="60" x14ac:dyDescent="0.25">
      <c r="A1722" s="8" t="s">
        <v>125</v>
      </c>
      <c r="B1722" s="8" t="s">
        <v>40</v>
      </c>
      <c r="C1722" s="8" t="str">
        <f>IFERROR(_xlfn.XLOOKUP(TRIM(B1722),Lookup!$B$2:$B$1000,Lookup!$C$2:$C$1000),"")</f>
        <v>Equity</v>
      </c>
      <c r="D1722" s="8" t="str">
        <f>IFERROR(INDEX('nav master'!$C:$C, MATCH(B1722, 'nav master'!$B:$B, 0)), "")</f>
        <v>ULIF 086 24/11/09 LOpport 105</v>
      </c>
      <c r="E1722" s="8" t="s">
        <v>341</v>
      </c>
      <c r="F1722" s="8" t="s">
        <v>2071</v>
      </c>
    </row>
    <row r="1723" spans="1:6" ht="60" x14ac:dyDescent="0.25">
      <c r="A1723" s="8" t="s">
        <v>125</v>
      </c>
      <c r="B1723" s="8" t="s">
        <v>40</v>
      </c>
      <c r="C1723" s="8" t="str">
        <f>IFERROR(_xlfn.XLOOKUP(TRIM(B1723),Lookup!$B$2:$B$1000,Lookup!$C$2:$C$1000),"")</f>
        <v>Equity</v>
      </c>
      <c r="D1723" s="8" t="str">
        <f>IFERROR(INDEX('nav master'!$C:$C, MATCH(B1723, 'nav master'!$B:$B, 0)), "")</f>
        <v>ULIF 086 24/11/09 LOpport 105</v>
      </c>
      <c r="E1723" s="8" t="s">
        <v>343</v>
      </c>
      <c r="F1723" s="8" t="s">
        <v>2072</v>
      </c>
    </row>
    <row r="1724" spans="1:6" ht="60" x14ac:dyDescent="0.25">
      <c r="A1724" s="8" t="s">
        <v>125</v>
      </c>
      <c r="B1724" s="8" t="s">
        <v>40</v>
      </c>
      <c r="C1724" s="8" t="str">
        <f>IFERROR(_xlfn.XLOOKUP(TRIM(B1724),Lookup!$B$2:$B$1000,Lookup!$C$2:$C$1000),"")</f>
        <v>Equity</v>
      </c>
      <c r="D1724" s="8" t="str">
        <f>IFERROR(INDEX('nav master'!$C:$C, MATCH(B1724, 'nav master'!$B:$B, 0)), "")</f>
        <v>ULIF 086 24/11/09 LOpport 105</v>
      </c>
      <c r="E1724" s="8" t="s">
        <v>345</v>
      </c>
      <c r="F1724" s="8" t="s">
        <v>2073</v>
      </c>
    </row>
    <row r="1725" spans="1:6" ht="60" x14ac:dyDescent="0.25">
      <c r="A1725" s="8" t="s">
        <v>125</v>
      </c>
      <c r="B1725" s="8" t="s">
        <v>40</v>
      </c>
      <c r="C1725" s="8" t="str">
        <f>IFERROR(_xlfn.XLOOKUP(TRIM(B1725),Lookup!$B$2:$B$1000,Lookup!$C$2:$C$1000),"")</f>
        <v>Equity</v>
      </c>
      <c r="D1725" s="8" t="str">
        <f>IFERROR(INDEX('nav master'!$C:$C, MATCH(B1725, 'nav master'!$B:$B, 0)), "")</f>
        <v>ULIF 086 24/11/09 LOpport 105</v>
      </c>
      <c r="E1725" s="8" t="s">
        <v>347</v>
      </c>
      <c r="F1725" s="8" t="s">
        <v>2074</v>
      </c>
    </row>
    <row r="1726" spans="1:6" ht="60" x14ac:dyDescent="0.25">
      <c r="A1726" s="8" t="s">
        <v>125</v>
      </c>
      <c r="B1726" s="8" t="s">
        <v>40</v>
      </c>
      <c r="C1726" s="8" t="str">
        <f>IFERROR(_xlfn.XLOOKUP(TRIM(B1726),Lookup!$B$2:$B$1000,Lookup!$C$2:$C$1000),"")</f>
        <v>Equity</v>
      </c>
      <c r="D1726" s="8" t="str">
        <f>IFERROR(INDEX('nav master'!$C:$C, MATCH(B1726, 'nav master'!$B:$B, 0)), "")</f>
        <v>ULIF 086 24/11/09 LOpport 105</v>
      </c>
      <c r="E1726" s="8" t="s">
        <v>349</v>
      </c>
      <c r="F1726" s="8" t="s">
        <v>2075</v>
      </c>
    </row>
    <row r="1727" spans="1:6" ht="60" x14ac:dyDescent="0.25">
      <c r="A1727" s="8" t="s">
        <v>125</v>
      </c>
      <c r="B1727" s="8" t="s">
        <v>40</v>
      </c>
      <c r="C1727" s="8" t="str">
        <f>IFERROR(_xlfn.XLOOKUP(TRIM(B1727),Lookup!$B$2:$B$1000,Lookup!$C$2:$C$1000),"")</f>
        <v>Equity</v>
      </c>
      <c r="D1727" s="8" t="str">
        <f>IFERROR(INDEX('nav master'!$C:$C, MATCH(B1727, 'nav master'!$B:$B, 0)), "")</f>
        <v>ULIF 086 24/11/09 LOpport 105</v>
      </c>
      <c r="E1727" s="8" t="s">
        <v>351</v>
      </c>
      <c r="F1727" s="8" t="s">
        <v>2076</v>
      </c>
    </row>
    <row r="1728" spans="1:6" ht="60" x14ac:dyDescent="0.25">
      <c r="A1728" s="8" t="s">
        <v>125</v>
      </c>
      <c r="B1728" s="8" t="s">
        <v>40</v>
      </c>
      <c r="C1728" s="8" t="str">
        <f>IFERROR(_xlfn.XLOOKUP(TRIM(B1728),Lookup!$B$2:$B$1000,Lookup!$C$2:$C$1000),"")</f>
        <v>Equity</v>
      </c>
      <c r="D1728" s="8" t="str">
        <f>IFERROR(INDEX('nav master'!$C:$C, MATCH(B1728, 'nav master'!$B:$B, 0)), "")</f>
        <v>ULIF 086 24/11/09 LOpport 105</v>
      </c>
      <c r="E1728" s="8" t="s">
        <v>353</v>
      </c>
      <c r="F1728" s="8" t="s">
        <v>2077</v>
      </c>
    </row>
    <row r="1729" spans="1:6" ht="60" x14ac:dyDescent="0.25">
      <c r="A1729" s="8" t="s">
        <v>125</v>
      </c>
      <c r="B1729" s="8" t="s">
        <v>40</v>
      </c>
      <c r="C1729" s="8" t="str">
        <f>IFERROR(_xlfn.XLOOKUP(TRIM(B1729),Lookup!$B$2:$B$1000,Lookup!$C$2:$C$1000),"")</f>
        <v>Equity</v>
      </c>
      <c r="D1729" s="8" t="str">
        <f>IFERROR(INDEX('nav master'!$C:$C, MATCH(B1729, 'nav master'!$B:$B, 0)), "")</f>
        <v>ULIF 086 24/11/09 LOpport 105</v>
      </c>
      <c r="E1729" s="8" t="s">
        <v>355</v>
      </c>
      <c r="F1729" s="8" t="s">
        <v>2078</v>
      </c>
    </row>
    <row r="1730" spans="1:6" ht="60" x14ac:dyDescent="0.25">
      <c r="A1730" s="8" t="s">
        <v>125</v>
      </c>
      <c r="B1730" s="8" t="s">
        <v>40</v>
      </c>
      <c r="C1730" s="8" t="str">
        <f>IFERROR(_xlfn.XLOOKUP(TRIM(B1730),Lookup!$B$2:$B$1000,Lookup!$C$2:$C$1000),"")</f>
        <v>Equity</v>
      </c>
      <c r="D1730" s="8" t="str">
        <f>IFERROR(INDEX('nav master'!$C:$C, MATCH(B1730, 'nav master'!$B:$B, 0)), "")</f>
        <v>ULIF 086 24/11/09 LOpport 105</v>
      </c>
      <c r="E1730" s="8" t="s">
        <v>357</v>
      </c>
      <c r="F1730" s="8" t="s">
        <v>2079</v>
      </c>
    </row>
    <row r="1731" spans="1:6" ht="60" x14ac:dyDescent="0.25">
      <c r="A1731" s="8" t="s">
        <v>125</v>
      </c>
      <c r="B1731" s="8" t="s">
        <v>40</v>
      </c>
      <c r="C1731" s="8" t="str">
        <f>IFERROR(_xlfn.XLOOKUP(TRIM(B1731),Lookup!$B$2:$B$1000,Lookup!$C$2:$C$1000),"")</f>
        <v>Equity</v>
      </c>
      <c r="D1731" s="8" t="str">
        <f>IFERROR(INDEX('nav master'!$C:$C, MATCH(B1731, 'nav master'!$B:$B, 0)), "")</f>
        <v>ULIF 086 24/11/09 LOpport 105</v>
      </c>
      <c r="E1731" s="8" t="s">
        <v>359</v>
      </c>
      <c r="F1731" s="8" t="s">
        <v>2080</v>
      </c>
    </row>
    <row r="1732" spans="1:6" ht="60" x14ac:dyDescent="0.25">
      <c r="A1732" s="8" t="s">
        <v>125</v>
      </c>
      <c r="B1732" s="8" t="s">
        <v>40</v>
      </c>
      <c r="C1732" s="8" t="str">
        <f>IFERROR(_xlfn.XLOOKUP(TRIM(B1732),Lookup!$B$2:$B$1000,Lookup!$C$2:$C$1000),"")</f>
        <v>Equity</v>
      </c>
      <c r="D1732" s="8" t="str">
        <f>IFERROR(INDEX('nav master'!$C:$C, MATCH(B1732, 'nav master'!$B:$B, 0)), "")</f>
        <v>ULIF 086 24/11/09 LOpport 105</v>
      </c>
      <c r="E1732" s="8" t="s">
        <v>361</v>
      </c>
      <c r="F1732" s="8" t="s">
        <v>2081</v>
      </c>
    </row>
    <row r="1733" spans="1:6" ht="60" x14ac:dyDescent="0.25">
      <c r="A1733" s="8" t="s">
        <v>125</v>
      </c>
      <c r="B1733" s="8" t="s">
        <v>40</v>
      </c>
      <c r="C1733" s="8" t="str">
        <f>IFERROR(_xlfn.XLOOKUP(TRIM(B1733),Lookup!$B$2:$B$1000,Lookup!$C$2:$C$1000),"")</f>
        <v>Equity</v>
      </c>
      <c r="D1733" s="8" t="str">
        <f>IFERROR(INDEX('nav master'!$C:$C, MATCH(B1733, 'nav master'!$B:$B, 0)), "")</f>
        <v>ULIF 086 24/11/09 LOpport 105</v>
      </c>
      <c r="E1733" s="8" t="s">
        <v>363</v>
      </c>
      <c r="F1733" s="8" t="s">
        <v>2082</v>
      </c>
    </row>
    <row r="1734" spans="1:6" ht="60" x14ac:dyDescent="0.25">
      <c r="A1734" s="8" t="s">
        <v>125</v>
      </c>
      <c r="B1734" s="8" t="s">
        <v>40</v>
      </c>
      <c r="C1734" s="8" t="str">
        <f>IFERROR(_xlfn.XLOOKUP(TRIM(B1734),Lookup!$B$2:$B$1000,Lookup!$C$2:$C$1000),"")</f>
        <v>Equity</v>
      </c>
      <c r="D1734" s="8" t="str">
        <f>IFERROR(INDEX('nav master'!$C:$C, MATCH(B1734, 'nav master'!$B:$B, 0)), "")</f>
        <v>ULIF 086 24/11/09 LOpport 105</v>
      </c>
      <c r="E1734" s="8" t="s">
        <v>365</v>
      </c>
      <c r="F1734" s="8" t="s">
        <v>2083</v>
      </c>
    </row>
    <row r="1735" spans="1:6" ht="60" x14ac:dyDescent="0.25">
      <c r="A1735" s="8" t="s">
        <v>125</v>
      </c>
      <c r="B1735" s="8" t="s">
        <v>40</v>
      </c>
      <c r="C1735" s="8" t="str">
        <f>IFERROR(_xlfn.XLOOKUP(TRIM(B1735),Lookup!$B$2:$B$1000,Lookup!$C$2:$C$1000),"")</f>
        <v>Equity</v>
      </c>
      <c r="D1735" s="8" t="str">
        <f>IFERROR(INDEX('nav master'!$C:$C, MATCH(B1735, 'nav master'!$B:$B, 0)), "")</f>
        <v>ULIF 086 24/11/09 LOpport 105</v>
      </c>
      <c r="E1735" s="8" t="s">
        <v>367</v>
      </c>
      <c r="F1735" s="8" t="s">
        <v>2084</v>
      </c>
    </row>
    <row r="1736" spans="1:6" ht="60" x14ac:dyDescent="0.25">
      <c r="A1736" s="8" t="s">
        <v>125</v>
      </c>
      <c r="B1736" s="8" t="s">
        <v>40</v>
      </c>
      <c r="C1736" s="8" t="str">
        <f>IFERROR(_xlfn.XLOOKUP(TRIM(B1736),Lookup!$B$2:$B$1000,Lookup!$C$2:$C$1000),"")</f>
        <v>Equity</v>
      </c>
      <c r="D1736" s="8" t="str">
        <f>IFERROR(INDEX('nav master'!$C:$C, MATCH(B1736, 'nav master'!$B:$B, 0)), "")</f>
        <v>ULIF 086 24/11/09 LOpport 105</v>
      </c>
      <c r="E1736" s="8" t="s">
        <v>369</v>
      </c>
      <c r="F1736" s="8" t="s">
        <v>2085</v>
      </c>
    </row>
    <row r="1737" spans="1:6" ht="60" x14ac:dyDescent="0.25">
      <c r="A1737" s="8" t="s">
        <v>125</v>
      </c>
      <c r="B1737" s="8" t="s">
        <v>40</v>
      </c>
      <c r="C1737" s="8" t="str">
        <f>IFERROR(_xlfn.XLOOKUP(TRIM(B1737),Lookup!$B$2:$B$1000,Lookup!$C$2:$C$1000),"")</f>
        <v>Equity</v>
      </c>
      <c r="D1737" s="8" t="str">
        <f>IFERROR(INDEX('nav master'!$C:$C, MATCH(B1737, 'nav master'!$B:$B, 0)), "")</f>
        <v>ULIF 086 24/11/09 LOpport 105</v>
      </c>
      <c r="E1737" s="8" t="s">
        <v>371</v>
      </c>
      <c r="F1737" s="8" t="s">
        <v>2086</v>
      </c>
    </row>
    <row r="1738" spans="1:6" ht="60" x14ac:dyDescent="0.25">
      <c r="A1738" s="8" t="s">
        <v>125</v>
      </c>
      <c r="B1738" s="8" t="s">
        <v>40</v>
      </c>
      <c r="C1738" s="8" t="str">
        <f>IFERROR(_xlfn.XLOOKUP(TRIM(B1738),Lookup!$B$2:$B$1000,Lookup!$C$2:$C$1000),"")</f>
        <v>Equity</v>
      </c>
      <c r="D1738" s="8" t="str">
        <f>IFERROR(INDEX('nav master'!$C:$C, MATCH(B1738, 'nav master'!$B:$B, 0)), "")</f>
        <v>ULIF 086 24/11/09 LOpport 105</v>
      </c>
      <c r="E1738" s="8" t="s">
        <v>373</v>
      </c>
      <c r="F1738" s="8" t="s">
        <v>2087</v>
      </c>
    </row>
    <row r="1739" spans="1:6" ht="60" x14ac:dyDescent="0.25">
      <c r="A1739" s="8" t="s">
        <v>125</v>
      </c>
      <c r="B1739" s="8" t="s">
        <v>40</v>
      </c>
      <c r="C1739" s="8" t="str">
        <f>IFERROR(_xlfn.XLOOKUP(TRIM(B1739),Lookup!$B$2:$B$1000,Lookup!$C$2:$C$1000),"")</f>
        <v>Equity</v>
      </c>
      <c r="D1739" s="8" t="str">
        <f>IFERROR(INDEX('nav master'!$C:$C, MATCH(B1739, 'nav master'!$B:$B, 0)), "")</f>
        <v>ULIF 086 24/11/09 LOpport 105</v>
      </c>
      <c r="E1739" s="8" t="s">
        <v>375</v>
      </c>
      <c r="F1739" s="8" t="s">
        <v>2088</v>
      </c>
    </row>
    <row r="1740" spans="1:6" ht="60" x14ac:dyDescent="0.25">
      <c r="A1740" s="8" t="s">
        <v>125</v>
      </c>
      <c r="B1740" s="8" t="s">
        <v>40</v>
      </c>
      <c r="C1740" s="8" t="str">
        <f>IFERROR(_xlfn.XLOOKUP(TRIM(B1740),Lookup!$B$2:$B$1000,Lookup!$C$2:$C$1000),"")</f>
        <v>Equity</v>
      </c>
      <c r="D1740" s="8" t="str">
        <f>IFERROR(INDEX('nav master'!$C:$C, MATCH(B1740, 'nav master'!$B:$B, 0)), "")</f>
        <v>ULIF 086 24/11/09 LOpport 105</v>
      </c>
      <c r="E1740" s="8" t="s">
        <v>377</v>
      </c>
      <c r="F1740" s="8" t="s">
        <v>2089</v>
      </c>
    </row>
    <row r="1741" spans="1:6" ht="60" x14ac:dyDescent="0.25">
      <c r="A1741" s="8" t="s">
        <v>125</v>
      </c>
      <c r="B1741" s="8" t="s">
        <v>40</v>
      </c>
      <c r="C1741" s="8" t="str">
        <f>IFERROR(_xlfn.XLOOKUP(TRIM(B1741),Lookup!$B$2:$B$1000,Lookup!$C$2:$C$1000),"")</f>
        <v>Equity</v>
      </c>
      <c r="D1741" s="8" t="str">
        <f>IFERROR(INDEX('nav master'!$C:$C, MATCH(B1741, 'nav master'!$B:$B, 0)), "")</f>
        <v>ULIF 086 24/11/09 LOpport 105</v>
      </c>
      <c r="E1741" s="8" t="s">
        <v>379</v>
      </c>
      <c r="F1741" s="8" t="s">
        <v>2090</v>
      </c>
    </row>
    <row r="1742" spans="1:6" ht="60" x14ac:dyDescent="0.25">
      <c r="A1742" s="8" t="s">
        <v>125</v>
      </c>
      <c r="B1742" s="8" t="s">
        <v>40</v>
      </c>
      <c r="C1742" s="8" t="str">
        <f>IFERROR(_xlfn.XLOOKUP(TRIM(B1742),Lookup!$B$2:$B$1000,Lookup!$C$2:$C$1000),"")</f>
        <v>Equity</v>
      </c>
      <c r="D1742" s="8" t="str">
        <f>IFERROR(INDEX('nav master'!$C:$C, MATCH(B1742, 'nav master'!$B:$B, 0)), "")</f>
        <v>ULIF 086 24/11/09 LOpport 105</v>
      </c>
      <c r="E1742" s="8" t="s">
        <v>381</v>
      </c>
      <c r="F1742" s="8" t="s">
        <v>2091</v>
      </c>
    </row>
    <row r="1743" spans="1:6" ht="60" x14ac:dyDescent="0.25">
      <c r="A1743" s="8" t="s">
        <v>125</v>
      </c>
      <c r="B1743" s="8" t="s">
        <v>40</v>
      </c>
      <c r="C1743" s="8" t="str">
        <f>IFERROR(_xlfn.XLOOKUP(TRIM(B1743),Lookup!$B$2:$B$1000,Lookup!$C$2:$C$1000),"")</f>
        <v>Equity</v>
      </c>
      <c r="D1743" s="8" t="str">
        <f>IFERROR(INDEX('nav master'!$C:$C, MATCH(B1743, 'nav master'!$B:$B, 0)), "")</f>
        <v>ULIF 086 24/11/09 LOpport 105</v>
      </c>
      <c r="E1743" s="8" t="s">
        <v>383</v>
      </c>
      <c r="F1743" s="8" t="s">
        <v>2092</v>
      </c>
    </row>
    <row r="1744" spans="1:6" ht="60" x14ac:dyDescent="0.25">
      <c r="A1744" s="8" t="s">
        <v>125</v>
      </c>
      <c r="B1744" s="8" t="s">
        <v>40</v>
      </c>
      <c r="C1744" s="8" t="str">
        <f>IFERROR(_xlfn.XLOOKUP(TRIM(B1744),Lookup!$B$2:$B$1000,Lookup!$C$2:$C$1000),"")</f>
        <v>Equity</v>
      </c>
      <c r="D1744" s="8" t="str">
        <f>IFERROR(INDEX('nav master'!$C:$C, MATCH(B1744, 'nav master'!$B:$B, 0)), "")</f>
        <v>ULIF 086 24/11/09 LOpport 105</v>
      </c>
      <c r="E1744" s="8" t="s">
        <v>385</v>
      </c>
      <c r="F1744" s="8" t="s">
        <v>2093</v>
      </c>
    </row>
    <row r="1745" spans="1:6" ht="60" x14ac:dyDescent="0.25">
      <c r="A1745" s="8" t="s">
        <v>125</v>
      </c>
      <c r="B1745" s="8" t="s">
        <v>40</v>
      </c>
      <c r="C1745" s="8" t="str">
        <f>IFERROR(_xlfn.XLOOKUP(TRIM(B1745),Lookup!$B$2:$B$1000,Lookup!$C$2:$C$1000),"")</f>
        <v>Equity</v>
      </c>
      <c r="D1745" s="8" t="str">
        <f>IFERROR(INDEX('nav master'!$C:$C, MATCH(B1745, 'nav master'!$B:$B, 0)), "")</f>
        <v>ULIF 086 24/11/09 LOpport 105</v>
      </c>
      <c r="E1745" s="8" t="s">
        <v>387</v>
      </c>
      <c r="F1745" s="8" t="s">
        <v>2094</v>
      </c>
    </row>
    <row r="1746" spans="1:6" ht="60" x14ac:dyDescent="0.25">
      <c r="A1746" s="8" t="s">
        <v>125</v>
      </c>
      <c r="B1746" s="8" t="s">
        <v>40</v>
      </c>
      <c r="C1746" s="8" t="str">
        <f>IFERROR(_xlfn.XLOOKUP(TRIM(B1746),Lookup!$B$2:$B$1000,Lookup!$C$2:$C$1000),"")</f>
        <v>Equity</v>
      </c>
      <c r="D1746" s="8" t="str">
        <f>IFERROR(INDEX('nav master'!$C:$C, MATCH(B1746, 'nav master'!$B:$B, 0)), "")</f>
        <v>ULIF 086 24/11/09 LOpport 105</v>
      </c>
      <c r="E1746" s="8" t="s">
        <v>389</v>
      </c>
      <c r="F1746" s="8" t="s">
        <v>2095</v>
      </c>
    </row>
    <row r="1747" spans="1:6" ht="60" x14ac:dyDescent="0.25">
      <c r="A1747" s="8" t="s">
        <v>125</v>
      </c>
      <c r="B1747" s="8" t="s">
        <v>40</v>
      </c>
      <c r="C1747" s="8" t="str">
        <f>IFERROR(_xlfn.XLOOKUP(TRIM(B1747),Lookup!$B$2:$B$1000,Lookup!$C$2:$C$1000),"")</f>
        <v>Equity</v>
      </c>
      <c r="D1747" s="8" t="str">
        <f>IFERROR(INDEX('nav master'!$C:$C, MATCH(B1747, 'nav master'!$B:$B, 0)), "")</f>
        <v>ULIF 086 24/11/09 LOpport 105</v>
      </c>
      <c r="E1747" s="8" t="s">
        <v>391</v>
      </c>
      <c r="F1747" s="8" t="s">
        <v>2096</v>
      </c>
    </row>
    <row r="1748" spans="1:6" ht="60" x14ac:dyDescent="0.25">
      <c r="A1748" s="8" t="s">
        <v>125</v>
      </c>
      <c r="B1748" s="8" t="s">
        <v>40</v>
      </c>
      <c r="C1748" s="8" t="str">
        <f>IFERROR(_xlfn.XLOOKUP(TRIM(B1748),Lookup!$B$2:$B$1000,Lookup!$C$2:$C$1000),"")</f>
        <v>Equity</v>
      </c>
      <c r="D1748" s="8" t="str">
        <f>IFERROR(INDEX('nav master'!$C:$C, MATCH(B1748, 'nav master'!$B:$B, 0)), "")</f>
        <v>ULIF 086 24/11/09 LOpport 105</v>
      </c>
      <c r="E1748" s="8" t="s">
        <v>393</v>
      </c>
      <c r="F1748" s="8" t="s">
        <v>2097</v>
      </c>
    </row>
    <row r="1749" spans="1:6" ht="60" x14ac:dyDescent="0.25">
      <c r="A1749" s="8" t="s">
        <v>125</v>
      </c>
      <c r="B1749" s="8" t="s">
        <v>40</v>
      </c>
      <c r="C1749" s="8" t="str">
        <f>IFERROR(_xlfn.XLOOKUP(TRIM(B1749),Lookup!$B$2:$B$1000,Lookup!$C$2:$C$1000),"")</f>
        <v>Equity</v>
      </c>
      <c r="D1749" s="8" t="str">
        <f>IFERROR(INDEX('nav master'!$C:$C, MATCH(B1749, 'nav master'!$B:$B, 0)), "")</f>
        <v>ULIF 086 24/11/09 LOpport 105</v>
      </c>
      <c r="E1749" s="8" t="s">
        <v>395</v>
      </c>
      <c r="F1749" s="8" t="s">
        <v>2098</v>
      </c>
    </row>
    <row r="1750" spans="1:6" ht="60" x14ac:dyDescent="0.25">
      <c r="A1750" s="8" t="s">
        <v>125</v>
      </c>
      <c r="B1750" s="8" t="s">
        <v>40</v>
      </c>
      <c r="C1750" s="8" t="str">
        <f>IFERROR(_xlfn.XLOOKUP(TRIM(B1750),Lookup!$B$2:$B$1000,Lookup!$C$2:$C$1000),"")</f>
        <v>Equity</v>
      </c>
      <c r="D1750" s="8" t="str">
        <f>IFERROR(INDEX('nav master'!$C:$C, MATCH(B1750, 'nav master'!$B:$B, 0)), "")</f>
        <v>ULIF 086 24/11/09 LOpport 105</v>
      </c>
      <c r="E1750" s="8" t="s">
        <v>397</v>
      </c>
      <c r="F1750" s="8" t="s">
        <v>2099</v>
      </c>
    </row>
    <row r="1751" spans="1:6" ht="60" x14ac:dyDescent="0.25">
      <c r="A1751" s="8" t="s">
        <v>125</v>
      </c>
      <c r="B1751" s="8" t="s">
        <v>40</v>
      </c>
      <c r="C1751" s="8" t="str">
        <f>IFERROR(_xlfn.XLOOKUP(TRIM(B1751),Lookup!$B$2:$B$1000,Lookup!$C$2:$C$1000),"")</f>
        <v>Equity</v>
      </c>
      <c r="D1751" s="8" t="str">
        <f>IFERROR(INDEX('nav master'!$C:$C, MATCH(B1751, 'nav master'!$B:$B, 0)), "")</f>
        <v>ULIF 086 24/11/09 LOpport 105</v>
      </c>
      <c r="E1751" s="8" t="s">
        <v>399</v>
      </c>
      <c r="F1751" s="8" t="s">
        <v>2100</v>
      </c>
    </row>
    <row r="1752" spans="1:6" ht="60" x14ac:dyDescent="0.25">
      <c r="A1752" s="8" t="s">
        <v>125</v>
      </c>
      <c r="B1752" s="8" t="s">
        <v>40</v>
      </c>
      <c r="C1752" s="8" t="str">
        <f>IFERROR(_xlfn.XLOOKUP(TRIM(B1752),Lookup!$B$2:$B$1000,Lookup!$C$2:$C$1000),"")</f>
        <v>Equity</v>
      </c>
      <c r="D1752" s="8" t="str">
        <f>IFERROR(INDEX('nav master'!$C:$C, MATCH(B1752, 'nav master'!$B:$B, 0)), "")</f>
        <v>ULIF 086 24/11/09 LOpport 105</v>
      </c>
      <c r="E1752" s="8" t="s">
        <v>401</v>
      </c>
      <c r="F1752" s="8" t="s">
        <v>2101</v>
      </c>
    </row>
    <row r="1753" spans="1:6" ht="60" x14ac:dyDescent="0.25">
      <c r="A1753" s="8" t="s">
        <v>125</v>
      </c>
      <c r="B1753" s="8" t="s">
        <v>40</v>
      </c>
      <c r="C1753" s="8" t="str">
        <f>IFERROR(_xlfn.XLOOKUP(TRIM(B1753),Lookup!$B$2:$B$1000,Lookup!$C$2:$C$1000),"")</f>
        <v>Equity</v>
      </c>
      <c r="D1753" s="8" t="str">
        <f>IFERROR(INDEX('nav master'!$C:$C, MATCH(B1753, 'nav master'!$B:$B, 0)), "")</f>
        <v>ULIF 086 24/11/09 LOpport 105</v>
      </c>
      <c r="E1753" s="8" t="s">
        <v>403</v>
      </c>
      <c r="F1753" s="8" t="s">
        <v>2102</v>
      </c>
    </row>
    <row r="1754" spans="1:6" ht="60" x14ac:dyDescent="0.25">
      <c r="A1754" s="8" t="s">
        <v>125</v>
      </c>
      <c r="B1754" s="8" t="s">
        <v>40</v>
      </c>
      <c r="C1754" s="8" t="str">
        <f>IFERROR(_xlfn.XLOOKUP(TRIM(B1754),Lookup!$B$2:$B$1000,Lookup!$C$2:$C$1000),"")</f>
        <v>Equity</v>
      </c>
      <c r="D1754" s="8" t="str">
        <f>IFERROR(INDEX('nav master'!$C:$C, MATCH(B1754, 'nav master'!$B:$B, 0)), "")</f>
        <v>ULIF 086 24/11/09 LOpport 105</v>
      </c>
      <c r="E1754" s="8" t="s">
        <v>405</v>
      </c>
      <c r="F1754" s="8" t="s">
        <v>2103</v>
      </c>
    </row>
    <row r="1755" spans="1:6" ht="60" x14ac:dyDescent="0.25">
      <c r="A1755" s="8" t="s">
        <v>125</v>
      </c>
      <c r="B1755" s="8" t="s">
        <v>40</v>
      </c>
      <c r="C1755" s="8" t="str">
        <f>IFERROR(_xlfn.XLOOKUP(TRIM(B1755),Lookup!$B$2:$B$1000,Lookup!$C$2:$C$1000),"")</f>
        <v>Equity</v>
      </c>
      <c r="D1755" s="8" t="str">
        <f>IFERROR(INDEX('nav master'!$C:$C, MATCH(B1755, 'nav master'!$B:$B, 0)), "")</f>
        <v>ULIF 086 24/11/09 LOpport 105</v>
      </c>
      <c r="E1755" s="8" t="s">
        <v>407</v>
      </c>
      <c r="F1755" s="8" t="s">
        <v>2104</v>
      </c>
    </row>
    <row r="1756" spans="1:6" ht="60" x14ac:dyDescent="0.25">
      <c r="A1756" s="8" t="s">
        <v>125</v>
      </c>
      <c r="B1756" s="8" t="s">
        <v>40</v>
      </c>
      <c r="C1756" s="8" t="str">
        <f>IFERROR(_xlfn.XLOOKUP(TRIM(B1756),Lookup!$B$2:$B$1000,Lookup!$C$2:$C$1000),"")</f>
        <v>Equity</v>
      </c>
      <c r="D1756" s="8" t="str">
        <f>IFERROR(INDEX('nav master'!$C:$C, MATCH(B1756, 'nav master'!$B:$B, 0)), "")</f>
        <v>ULIF 086 24/11/09 LOpport 105</v>
      </c>
      <c r="E1756" s="8" t="s">
        <v>409</v>
      </c>
      <c r="F1756" s="8" t="s">
        <v>2105</v>
      </c>
    </row>
    <row r="1757" spans="1:6" ht="60" x14ac:dyDescent="0.25">
      <c r="A1757" s="8" t="s">
        <v>125</v>
      </c>
      <c r="B1757" s="8" t="s">
        <v>40</v>
      </c>
      <c r="C1757" s="8" t="str">
        <f>IFERROR(_xlfn.XLOOKUP(TRIM(B1757),Lookup!$B$2:$B$1000,Lookup!$C$2:$C$1000),"")</f>
        <v>Equity</v>
      </c>
      <c r="D1757" s="8" t="str">
        <f>IFERROR(INDEX('nav master'!$C:$C, MATCH(B1757, 'nav master'!$B:$B, 0)), "")</f>
        <v>ULIF 086 24/11/09 LOpport 105</v>
      </c>
      <c r="E1757" s="8" t="s">
        <v>411</v>
      </c>
      <c r="F1757" s="8" t="s">
        <v>2106</v>
      </c>
    </row>
    <row r="1758" spans="1:6" ht="60" x14ac:dyDescent="0.25">
      <c r="A1758" s="8" t="s">
        <v>125</v>
      </c>
      <c r="B1758" s="8" t="s">
        <v>40</v>
      </c>
      <c r="C1758" s="8" t="str">
        <f>IFERROR(_xlfn.XLOOKUP(TRIM(B1758),Lookup!$B$2:$B$1000,Lookup!$C$2:$C$1000),"")</f>
        <v>Equity</v>
      </c>
      <c r="D1758" s="8" t="str">
        <f>IFERROR(INDEX('nav master'!$C:$C, MATCH(B1758, 'nav master'!$B:$B, 0)), "")</f>
        <v>ULIF 086 24/11/09 LOpport 105</v>
      </c>
      <c r="E1758" s="8" t="s">
        <v>413</v>
      </c>
      <c r="F1758" s="8" t="s">
        <v>2107</v>
      </c>
    </row>
    <row r="1759" spans="1:6" ht="60" x14ac:dyDescent="0.25">
      <c r="A1759" s="8" t="s">
        <v>125</v>
      </c>
      <c r="B1759" s="8" t="s">
        <v>40</v>
      </c>
      <c r="C1759" s="8" t="str">
        <f>IFERROR(_xlfn.XLOOKUP(TRIM(B1759),Lookup!$B$2:$B$1000,Lookup!$C$2:$C$1000),"")</f>
        <v>Equity</v>
      </c>
      <c r="D1759" s="8" t="str">
        <f>IFERROR(INDEX('nav master'!$C:$C, MATCH(B1759, 'nav master'!$B:$B, 0)), "")</f>
        <v>ULIF 086 24/11/09 LOpport 105</v>
      </c>
      <c r="E1759" s="8" t="s">
        <v>415</v>
      </c>
      <c r="F1759" s="8" t="s">
        <v>2108</v>
      </c>
    </row>
    <row r="1760" spans="1:6" ht="60" x14ac:dyDescent="0.25">
      <c r="A1760" s="8" t="s">
        <v>125</v>
      </c>
      <c r="B1760" s="8" t="s">
        <v>40</v>
      </c>
      <c r="C1760" s="8" t="str">
        <f>IFERROR(_xlfn.XLOOKUP(TRIM(B1760),Lookup!$B$2:$B$1000,Lookup!$C$2:$C$1000),"")</f>
        <v>Equity</v>
      </c>
      <c r="D1760" s="8" t="str">
        <f>IFERROR(INDEX('nav master'!$C:$C, MATCH(B1760, 'nav master'!$B:$B, 0)), "")</f>
        <v>ULIF 086 24/11/09 LOpport 105</v>
      </c>
      <c r="E1760" s="8" t="s">
        <v>417</v>
      </c>
      <c r="F1760" s="8" t="s">
        <v>2109</v>
      </c>
    </row>
    <row r="1761" spans="1:6" ht="60" x14ac:dyDescent="0.25">
      <c r="A1761" s="8" t="s">
        <v>125</v>
      </c>
      <c r="B1761" s="8" t="s">
        <v>40</v>
      </c>
      <c r="C1761" s="8" t="str">
        <f>IFERROR(_xlfn.XLOOKUP(TRIM(B1761),Lookup!$B$2:$B$1000,Lookup!$C$2:$C$1000),"")</f>
        <v>Equity</v>
      </c>
      <c r="D1761" s="8" t="str">
        <f>IFERROR(INDEX('nav master'!$C:$C, MATCH(B1761, 'nav master'!$B:$B, 0)), "")</f>
        <v>ULIF 086 24/11/09 LOpport 105</v>
      </c>
      <c r="E1761" s="8" t="s">
        <v>419</v>
      </c>
      <c r="F1761" s="8" t="s">
        <v>2110</v>
      </c>
    </row>
    <row r="1762" spans="1:6" ht="60" x14ac:dyDescent="0.25">
      <c r="A1762" s="8" t="s">
        <v>125</v>
      </c>
      <c r="B1762" s="8" t="s">
        <v>40</v>
      </c>
      <c r="C1762" s="8" t="str">
        <f>IFERROR(_xlfn.XLOOKUP(TRIM(B1762),Lookup!$B$2:$B$1000,Lookup!$C$2:$C$1000),"")</f>
        <v>Equity</v>
      </c>
      <c r="D1762" s="8" t="str">
        <f>IFERROR(INDEX('nav master'!$C:$C, MATCH(B1762, 'nav master'!$B:$B, 0)), "")</f>
        <v>ULIF 086 24/11/09 LOpport 105</v>
      </c>
      <c r="E1762" s="8" t="s">
        <v>421</v>
      </c>
      <c r="F1762" s="8" t="s">
        <v>2111</v>
      </c>
    </row>
    <row r="1763" spans="1:6" ht="60" x14ac:dyDescent="0.25">
      <c r="A1763" s="8" t="s">
        <v>125</v>
      </c>
      <c r="B1763" s="8" t="s">
        <v>40</v>
      </c>
      <c r="C1763" s="8" t="str">
        <f>IFERROR(_xlfn.XLOOKUP(TRIM(B1763),Lookup!$B$2:$B$1000,Lookup!$C$2:$C$1000),"")</f>
        <v>Equity</v>
      </c>
      <c r="D1763" s="8" t="str">
        <f>IFERROR(INDEX('nav master'!$C:$C, MATCH(B1763, 'nav master'!$B:$B, 0)), "")</f>
        <v>ULIF 086 24/11/09 LOpport 105</v>
      </c>
      <c r="E1763" s="8" t="s">
        <v>423</v>
      </c>
      <c r="F1763" s="8" t="s">
        <v>2112</v>
      </c>
    </row>
    <row r="1764" spans="1:6" ht="60" x14ac:dyDescent="0.25">
      <c r="A1764" s="8" t="s">
        <v>125</v>
      </c>
      <c r="B1764" s="8" t="s">
        <v>40</v>
      </c>
      <c r="C1764" s="8" t="str">
        <f>IFERROR(_xlfn.XLOOKUP(TRIM(B1764),Lookup!$B$2:$B$1000,Lookup!$C$2:$C$1000),"")</f>
        <v>Equity</v>
      </c>
      <c r="D1764" s="8" t="str">
        <f>IFERROR(INDEX('nav master'!$C:$C, MATCH(B1764, 'nav master'!$B:$B, 0)), "")</f>
        <v>ULIF 086 24/11/09 LOpport 105</v>
      </c>
      <c r="E1764" s="8" t="s">
        <v>425</v>
      </c>
      <c r="F1764" s="8" t="s">
        <v>2113</v>
      </c>
    </row>
    <row r="1765" spans="1:6" ht="60" x14ac:dyDescent="0.25">
      <c r="A1765" s="8" t="s">
        <v>125</v>
      </c>
      <c r="B1765" s="8" t="s">
        <v>40</v>
      </c>
      <c r="C1765" s="8" t="str">
        <f>IFERROR(_xlfn.XLOOKUP(TRIM(B1765),Lookup!$B$2:$B$1000,Lookup!$C$2:$C$1000),"")</f>
        <v>Equity</v>
      </c>
      <c r="D1765" s="8" t="str">
        <f>IFERROR(INDEX('nav master'!$C:$C, MATCH(B1765, 'nav master'!$B:$B, 0)), "")</f>
        <v>ULIF 086 24/11/09 LOpport 105</v>
      </c>
      <c r="E1765" s="8" t="s">
        <v>427</v>
      </c>
      <c r="F1765" s="8" t="s">
        <v>2114</v>
      </c>
    </row>
    <row r="1766" spans="1:6" ht="60" x14ac:dyDescent="0.25">
      <c r="A1766" s="8" t="s">
        <v>125</v>
      </c>
      <c r="B1766" s="8" t="s">
        <v>40</v>
      </c>
      <c r="C1766" s="8" t="str">
        <f>IFERROR(_xlfn.XLOOKUP(TRIM(B1766),Lookup!$B$2:$B$1000,Lookup!$C$2:$C$1000),"")</f>
        <v>Equity</v>
      </c>
      <c r="D1766" s="8" t="str">
        <f>IFERROR(INDEX('nav master'!$C:$C, MATCH(B1766, 'nav master'!$B:$B, 0)), "")</f>
        <v>ULIF 086 24/11/09 LOpport 105</v>
      </c>
      <c r="E1766" s="8" t="s">
        <v>429</v>
      </c>
      <c r="F1766" s="8" t="s">
        <v>2115</v>
      </c>
    </row>
    <row r="1767" spans="1:6" ht="60" x14ac:dyDescent="0.25">
      <c r="A1767" s="8" t="s">
        <v>125</v>
      </c>
      <c r="B1767" s="8" t="s">
        <v>40</v>
      </c>
      <c r="C1767" s="8" t="str">
        <f>IFERROR(_xlfn.XLOOKUP(TRIM(B1767),Lookup!$B$2:$B$1000,Lookup!$C$2:$C$1000),"")</f>
        <v>Equity</v>
      </c>
      <c r="D1767" s="8" t="str">
        <f>IFERROR(INDEX('nav master'!$C:$C, MATCH(B1767, 'nav master'!$B:$B, 0)), "")</f>
        <v>ULIF 086 24/11/09 LOpport 105</v>
      </c>
      <c r="E1767" s="8" t="s">
        <v>431</v>
      </c>
      <c r="F1767" s="8" t="s">
        <v>2116</v>
      </c>
    </row>
    <row r="1768" spans="1:6" ht="60" x14ac:dyDescent="0.25">
      <c r="A1768" s="8" t="s">
        <v>125</v>
      </c>
      <c r="B1768" s="8" t="s">
        <v>40</v>
      </c>
      <c r="C1768" s="8" t="str">
        <f>IFERROR(_xlfn.XLOOKUP(TRIM(B1768),Lookup!$B$2:$B$1000,Lookup!$C$2:$C$1000),"")</f>
        <v>Equity</v>
      </c>
      <c r="D1768" s="8" t="str">
        <f>IFERROR(INDEX('nav master'!$C:$C, MATCH(B1768, 'nav master'!$B:$B, 0)), "")</f>
        <v>ULIF 086 24/11/09 LOpport 105</v>
      </c>
      <c r="E1768" s="8" t="s">
        <v>433</v>
      </c>
      <c r="F1768" s="8" t="s">
        <v>2117</v>
      </c>
    </row>
    <row r="1769" spans="1:6" ht="60" x14ac:dyDescent="0.25">
      <c r="A1769" s="8" t="s">
        <v>125</v>
      </c>
      <c r="B1769" s="8" t="s">
        <v>40</v>
      </c>
      <c r="C1769" s="8" t="str">
        <f>IFERROR(_xlfn.XLOOKUP(TRIM(B1769),Lookup!$B$2:$B$1000,Lookup!$C$2:$C$1000),"")</f>
        <v>Equity</v>
      </c>
      <c r="D1769" s="8" t="str">
        <f>IFERROR(INDEX('nav master'!$C:$C, MATCH(B1769, 'nav master'!$B:$B, 0)), "")</f>
        <v>ULIF 086 24/11/09 LOpport 105</v>
      </c>
      <c r="E1769" s="8" t="s">
        <v>435</v>
      </c>
      <c r="F1769" s="8" t="s">
        <v>2118</v>
      </c>
    </row>
    <row r="1770" spans="1:6" ht="60" x14ac:dyDescent="0.25">
      <c r="A1770" s="8" t="s">
        <v>125</v>
      </c>
      <c r="B1770" s="8" t="s">
        <v>40</v>
      </c>
      <c r="C1770" s="8" t="str">
        <f>IFERROR(_xlfn.XLOOKUP(TRIM(B1770),Lookup!$B$2:$B$1000,Lookup!$C$2:$C$1000),"")</f>
        <v>Equity</v>
      </c>
      <c r="D1770" s="8" t="str">
        <f>IFERROR(INDEX('nav master'!$C:$C, MATCH(B1770, 'nav master'!$B:$B, 0)), "")</f>
        <v>ULIF 086 24/11/09 LOpport 105</v>
      </c>
      <c r="E1770" s="8" t="s">
        <v>437</v>
      </c>
      <c r="F1770" s="8" t="s">
        <v>2119</v>
      </c>
    </row>
    <row r="1771" spans="1:6" ht="60" x14ac:dyDescent="0.25">
      <c r="A1771" s="8" t="s">
        <v>125</v>
      </c>
      <c r="B1771" s="8" t="s">
        <v>40</v>
      </c>
      <c r="C1771" s="8" t="str">
        <f>IFERROR(_xlfn.XLOOKUP(TRIM(B1771),Lookup!$B$2:$B$1000,Lookup!$C$2:$C$1000),"")</f>
        <v>Equity</v>
      </c>
      <c r="D1771" s="8" t="str">
        <f>IFERROR(INDEX('nav master'!$C:$C, MATCH(B1771, 'nav master'!$B:$B, 0)), "")</f>
        <v>ULIF 086 24/11/09 LOpport 105</v>
      </c>
      <c r="E1771" s="8" t="s">
        <v>439</v>
      </c>
      <c r="F1771" s="8" t="s">
        <v>2120</v>
      </c>
    </row>
    <row r="1772" spans="1:6" ht="60" x14ac:dyDescent="0.25">
      <c r="A1772" s="8" t="s">
        <v>125</v>
      </c>
      <c r="B1772" s="8" t="s">
        <v>40</v>
      </c>
      <c r="C1772" s="8" t="str">
        <f>IFERROR(_xlfn.XLOOKUP(TRIM(B1772),Lookup!$B$2:$B$1000,Lookup!$C$2:$C$1000),"")</f>
        <v>Equity</v>
      </c>
      <c r="D1772" s="8" t="str">
        <f>IFERROR(INDEX('nav master'!$C:$C, MATCH(B1772, 'nav master'!$B:$B, 0)), "")</f>
        <v>ULIF 086 24/11/09 LOpport 105</v>
      </c>
      <c r="E1772" s="8" t="s">
        <v>441</v>
      </c>
      <c r="F1772" s="8" t="s">
        <v>2121</v>
      </c>
    </row>
    <row r="1773" spans="1:6" ht="60" x14ac:dyDescent="0.25">
      <c r="A1773" s="8" t="s">
        <v>125</v>
      </c>
      <c r="B1773" s="8" t="s">
        <v>40</v>
      </c>
      <c r="C1773" s="8" t="str">
        <f>IFERROR(_xlfn.XLOOKUP(TRIM(B1773),Lookup!$B$2:$B$1000,Lookup!$C$2:$C$1000),"")</f>
        <v>Equity</v>
      </c>
      <c r="D1773" s="8" t="str">
        <f>IFERROR(INDEX('nav master'!$C:$C, MATCH(B1773, 'nav master'!$B:$B, 0)), "")</f>
        <v>ULIF 086 24/11/09 LOpport 105</v>
      </c>
      <c r="E1773" s="8" t="s">
        <v>443</v>
      </c>
      <c r="F1773" s="8" t="s">
        <v>2122</v>
      </c>
    </row>
    <row r="1774" spans="1:6" ht="60" x14ac:dyDescent="0.25">
      <c r="A1774" s="8" t="s">
        <v>125</v>
      </c>
      <c r="B1774" s="8" t="s">
        <v>40</v>
      </c>
      <c r="C1774" s="8" t="str">
        <f>IFERROR(_xlfn.XLOOKUP(TRIM(B1774),Lookup!$B$2:$B$1000,Lookup!$C$2:$C$1000),"")</f>
        <v>Equity</v>
      </c>
      <c r="D1774" s="8" t="str">
        <f>IFERROR(INDEX('nav master'!$C:$C, MATCH(B1774, 'nav master'!$B:$B, 0)), "")</f>
        <v>ULIF 086 24/11/09 LOpport 105</v>
      </c>
      <c r="E1774" s="8" t="s">
        <v>445</v>
      </c>
      <c r="F1774" s="8" t="s">
        <v>2123</v>
      </c>
    </row>
    <row r="1775" spans="1:6" ht="60" x14ac:dyDescent="0.25">
      <c r="A1775" s="8" t="s">
        <v>125</v>
      </c>
      <c r="B1775" s="8" t="s">
        <v>40</v>
      </c>
      <c r="C1775" s="8" t="str">
        <f>IFERROR(_xlfn.XLOOKUP(TRIM(B1775),Lookup!$B$2:$B$1000,Lookup!$C$2:$C$1000),"")</f>
        <v>Equity</v>
      </c>
      <c r="D1775" s="8" t="str">
        <f>IFERROR(INDEX('nav master'!$C:$C, MATCH(B1775, 'nav master'!$B:$B, 0)), "")</f>
        <v>ULIF 086 24/11/09 LOpport 105</v>
      </c>
      <c r="E1775" s="8" t="s">
        <v>446</v>
      </c>
      <c r="F1775" s="8" t="s">
        <v>2124</v>
      </c>
    </row>
    <row r="1776" spans="1:6" ht="60" x14ac:dyDescent="0.25">
      <c r="A1776" s="8" t="s">
        <v>125</v>
      </c>
      <c r="B1776" s="8" t="s">
        <v>40</v>
      </c>
      <c r="C1776" s="8" t="str">
        <f>IFERROR(_xlfn.XLOOKUP(TRIM(B1776),Lookup!$B$2:$B$1000,Lookup!$C$2:$C$1000),"")</f>
        <v>Equity</v>
      </c>
      <c r="D1776" s="8" t="str">
        <f>IFERROR(INDEX('nav master'!$C:$C, MATCH(B1776, 'nav master'!$B:$B, 0)), "")</f>
        <v>ULIF 086 24/11/09 LOpport 105</v>
      </c>
      <c r="E1776" s="8" t="s">
        <v>448</v>
      </c>
      <c r="F1776" s="8" t="s">
        <v>2125</v>
      </c>
    </row>
    <row r="1777" spans="1:6" ht="60" x14ac:dyDescent="0.25">
      <c r="A1777" s="8" t="s">
        <v>125</v>
      </c>
      <c r="B1777" s="8" t="s">
        <v>40</v>
      </c>
      <c r="C1777" s="8" t="str">
        <f>IFERROR(_xlfn.XLOOKUP(TRIM(B1777),Lookup!$B$2:$B$1000,Lookup!$C$2:$C$1000),"")</f>
        <v>Equity</v>
      </c>
      <c r="D1777" s="8" t="str">
        <f>IFERROR(INDEX('nav master'!$C:$C, MATCH(B1777, 'nav master'!$B:$B, 0)), "")</f>
        <v>ULIF 086 24/11/09 LOpport 105</v>
      </c>
      <c r="E1777" s="8" t="s">
        <v>450</v>
      </c>
      <c r="F1777" s="8" t="s">
        <v>2126</v>
      </c>
    </row>
    <row r="1778" spans="1:6" ht="60" x14ac:dyDescent="0.25">
      <c r="A1778" s="8" t="s">
        <v>125</v>
      </c>
      <c r="B1778" s="8" t="s">
        <v>40</v>
      </c>
      <c r="C1778" s="8" t="str">
        <f>IFERROR(_xlfn.XLOOKUP(TRIM(B1778),Lookup!$B$2:$B$1000,Lookup!$C$2:$C$1000),"")</f>
        <v>Equity</v>
      </c>
      <c r="D1778" s="8" t="str">
        <f>IFERROR(INDEX('nav master'!$C:$C, MATCH(B1778, 'nav master'!$B:$B, 0)), "")</f>
        <v>ULIF 086 24/11/09 LOpport 105</v>
      </c>
      <c r="E1778" s="8" t="s">
        <v>452</v>
      </c>
      <c r="F1778" s="8" t="s">
        <v>2127</v>
      </c>
    </row>
    <row r="1779" spans="1:6" ht="60" x14ac:dyDescent="0.25">
      <c r="A1779" s="8" t="s">
        <v>125</v>
      </c>
      <c r="B1779" s="8" t="s">
        <v>40</v>
      </c>
      <c r="C1779" s="8" t="str">
        <f>IFERROR(_xlfn.XLOOKUP(TRIM(B1779),Lookup!$B$2:$B$1000,Lookup!$C$2:$C$1000),"")</f>
        <v>Equity</v>
      </c>
      <c r="D1779" s="8" t="str">
        <f>IFERROR(INDEX('nav master'!$C:$C, MATCH(B1779, 'nav master'!$B:$B, 0)), "")</f>
        <v>ULIF 086 24/11/09 LOpport 105</v>
      </c>
      <c r="E1779" s="8" t="s">
        <v>454</v>
      </c>
      <c r="F1779" s="8" t="s">
        <v>2128</v>
      </c>
    </row>
    <row r="1780" spans="1:6" ht="60" x14ac:dyDescent="0.25">
      <c r="A1780" s="8" t="s">
        <v>125</v>
      </c>
      <c r="B1780" s="8" t="s">
        <v>40</v>
      </c>
      <c r="C1780" s="8" t="str">
        <f>IFERROR(_xlfn.XLOOKUP(TRIM(B1780),Lookup!$B$2:$B$1000,Lookup!$C$2:$C$1000),"")</f>
        <v>Equity</v>
      </c>
      <c r="D1780" s="8" t="str">
        <f>IFERROR(INDEX('nav master'!$C:$C, MATCH(B1780, 'nav master'!$B:$B, 0)), "")</f>
        <v>ULIF 086 24/11/09 LOpport 105</v>
      </c>
      <c r="E1780" s="8" t="s">
        <v>456</v>
      </c>
      <c r="F1780" s="8" t="s">
        <v>2129</v>
      </c>
    </row>
    <row r="1781" spans="1:6" ht="60" x14ac:dyDescent="0.25">
      <c r="A1781" s="8" t="s">
        <v>125</v>
      </c>
      <c r="B1781" s="8" t="s">
        <v>40</v>
      </c>
      <c r="C1781" s="8" t="str">
        <f>IFERROR(_xlfn.XLOOKUP(TRIM(B1781),Lookup!$B$2:$B$1000,Lookup!$C$2:$C$1000),"")</f>
        <v>Equity</v>
      </c>
      <c r="D1781" s="8" t="str">
        <f>IFERROR(INDEX('nav master'!$C:$C, MATCH(B1781, 'nav master'!$B:$B, 0)), "")</f>
        <v>ULIF 086 24/11/09 LOpport 105</v>
      </c>
      <c r="E1781" s="8" t="s">
        <v>458</v>
      </c>
      <c r="F1781" s="8" t="s">
        <v>2130</v>
      </c>
    </row>
    <row r="1782" spans="1:6" ht="60" x14ac:dyDescent="0.25">
      <c r="A1782" s="8" t="s">
        <v>125</v>
      </c>
      <c r="B1782" s="8" t="s">
        <v>40</v>
      </c>
      <c r="C1782" s="8" t="str">
        <f>IFERROR(_xlfn.XLOOKUP(TRIM(B1782),Lookup!$B$2:$B$1000,Lookup!$C$2:$C$1000),"")</f>
        <v>Equity</v>
      </c>
      <c r="D1782" s="8" t="str">
        <f>IFERROR(INDEX('nav master'!$C:$C, MATCH(B1782, 'nav master'!$B:$B, 0)), "")</f>
        <v>ULIF 086 24/11/09 LOpport 105</v>
      </c>
      <c r="E1782" s="8" t="s">
        <v>460</v>
      </c>
      <c r="F1782" s="8" t="s">
        <v>2131</v>
      </c>
    </row>
    <row r="1783" spans="1:6" ht="60" x14ac:dyDescent="0.25">
      <c r="A1783" s="8" t="s">
        <v>125</v>
      </c>
      <c r="B1783" s="8" t="s">
        <v>40</v>
      </c>
      <c r="C1783" s="8" t="str">
        <f>IFERROR(_xlfn.XLOOKUP(TRIM(B1783),Lookup!$B$2:$B$1000,Lookup!$C$2:$C$1000),"")</f>
        <v>Equity</v>
      </c>
      <c r="D1783" s="8" t="str">
        <f>IFERROR(INDEX('nav master'!$C:$C, MATCH(B1783, 'nav master'!$B:$B, 0)), "")</f>
        <v>ULIF 086 24/11/09 LOpport 105</v>
      </c>
      <c r="E1783" s="8" t="s">
        <v>462</v>
      </c>
      <c r="F1783" s="8" t="s">
        <v>2132</v>
      </c>
    </row>
    <row r="1784" spans="1:6" ht="60" x14ac:dyDescent="0.25">
      <c r="A1784" s="8" t="s">
        <v>125</v>
      </c>
      <c r="B1784" s="8" t="s">
        <v>40</v>
      </c>
      <c r="C1784" s="8" t="str">
        <f>IFERROR(_xlfn.XLOOKUP(TRIM(B1784),Lookup!$B$2:$B$1000,Lookup!$C$2:$C$1000),"")</f>
        <v>Equity</v>
      </c>
      <c r="D1784" s="8" t="str">
        <f>IFERROR(INDEX('nav master'!$C:$C, MATCH(B1784, 'nav master'!$B:$B, 0)), "")</f>
        <v>ULIF 086 24/11/09 LOpport 105</v>
      </c>
      <c r="E1784" s="8" t="s">
        <v>464</v>
      </c>
      <c r="F1784" s="8" t="s">
        <v>2133</v>
      </c>
    </row>
    <row r="1785" spans="1:6" ht="60" x14ac:dyDescent="0.25">
      <c r="A1785" s="8" t="s">
        <v>125</v>
      </c>
      <c r="B1785" s="8" t="s">
        <v>40</v>
      </c>
      <c r="C1785" s="8" t="str">
        <f>IFERROR(_xlfn.XLOOKUP(TRIM(B1785),Lookup!$B$2:$B$1000,Lookup!$C$2:$C$1000),"")</f>
        <v>Equity</v>
      </c>
      <c r="D1785" s="8" t="str">
        <f>IFERROR(INDEX('nav master'!$C:$C, MATCH(B1785, 'nav master'!$B:$B, 0)), "")</f>
        <v>ULIF 086 24/11/09 LOpport 105</v>
      </c>
      <c r="E1785" s="8" t="s">
        <v>466</v>
      </c>
      <c r="F1785" s="8" t="s">
        <v>2134</v>
      </c>
    </row>
    <row r="1786" spans="1:6" ht="60" x14ac:dyDescent="0.25">
      <c r="A1786" s="8" t="s">
        <v>125</v>
      </c>
      <c r="B1786" s="8" t="s">
        <v>40</v>
      </c>
      <c r="C1786" s="8" t="str">
        <f>IFERROR(_xlfn.XLOOKUP(TRIM(B1786),Lookup!$B$2:$B$1000,Lookup!$C$2:$C$1000),"")</f>
        <v>Equity</v>
      </c>
      <c r="D1786" s="8" t="str">
        <f>IFERROR(INDEX('nav master'!$C:$C, MATCH(B1786, 'nav master'!$B:$B, 0)), "")</f>
        <v>ULIF 086 24/11/09 LOpport 105</v>
      </c>
      <c r="E1786" s="8" t="s">
        <v>468</v>
      </c>
      <c r="F1786" s="8" t="s">
        <v>2135</v>
      </c>
    </row>
    <row r="1787" spans="1:6" ht="60" x14ac:dyDescent="0.25">
      <c r="A1787" s="8" t="s">
        <v>125</v>
      </c>
      <c r="B1787" s="8" t="s">
        <v>40</v>
      </c>
      <c r="C1787" s="8" t="str">
        <f>IFERROR(_xlfn.XLOOKUP(TRIM(B1787),Lookup!$B$2:$B$1000,Lookup!$C$2:$C$1000),"")</f>
        <v>Equity</v>
      </c>
      <c r="D1787" s="8" t="str">
        <f>IFERROR(INDEX('nav master'!$C:$C, MATCH(B1787, 'nav master'!$B:$B, 0)), "")</f>
        <v>ULIF 086 24/11/09 LOpport 105</v>
      </c>
      <c r="E1787" s="8" t="s">
        <v>470</v>
      </c>
      <c r="F1787" s="8" t="s">
        <v>2136</v>
      </c>
    </row>
    <row r="1788" spans="1:6" ht="60" x14ac:dyDescent="0.25">
      <c r="A1788" s="8" t="s">
        <v>125</v>
      </c>
      <c r="B1788" s="8" t="s">
        <v>40</v>
      </c>
      <c r="C1788" s="8" t="str">
        <f>IFERROR(_xlfn.XLOOKUP(TRIM(B1788),Lookup!$B$2:$B$1000,Lookup!$C$2:$C$1000),"")</f>
        <v>Equity</v>
      </c>
      <c r="D1788" s="8" t="str">
        <f>IFERROR(INDEX('nav master'!$C:$C, MATCH(B1788, 'nav master'!$B:$B, 0)), "")</f>
        <v>ULIF 086 24/11/09 LOpport 105</v>
      </c>
      <c r="E1788" s="8" t="s">
        <v>472</v>
      </c>
      <c r="F1788" s="8" t="s">
        <v>2137</v>
      </c>
    </row>
    <row r="1789" spans="1:6" ht="60" x14ac:dyDescent="0.25">
      <c r="A1789" s="8" t="s">
        <v>125</v>
      </c>
      <c r="B1789" s="8" t="s">
        <v>40</v>
      </c>
      <c r="C1789" s="8" t="str">
        <f>IFERROR(_xlfn.XLOOKUP(TRIM(B1789),Lookup!$B$2:$B$1000,Lookup!$C$2:$C$1000),"")</f>
        <v>Equity</v>
      </c>
      <c r="D1789" s="8" t="str">
        <f>IFERROR(INDEX('nav master'!$C:$C, MATCH(B1789, 'nav master'!$B:$B, 0)), "")</f>
        <v>ULIF 086 24/11/09 LOpport 105</v>
      </c>
      <c r="E1789" s="8" t="s">
        <v>474</v>
      </c>
      <c r="F1789" s="8" t="s">
        <v>2138</v>
      </c>
    </row>
    <row r="1790" spans="1:6" ht="60" x14ac:dyDescent="0.25">
      <c r="A1790" s="8" t="s">
        <v>125</v>
      </c>
      <c r="B1790" s="8" t="s">
        <v>40</v>
      </c>
      <c r="C1790" s="8" t="str">
        <f>IFERROR(_xlfn.XLOOKUP(TRIM(B1790),Lookup!$B$2:$B$1000,Lookup!$C$2:$C$1000),"")</f>
        <v>Equity</v>
      </c>
      <c r="D1790" s="8" t="str">
        <f>IFERROR(INDEX('nav master'!$C:$C, MATCH(B1790, 'nav master'!$B:$B, 0)), "")</f>
        <v>ULIF 086 24/11/09 LOpport 105</v>
      </c>
      <c r="E1790" s="8" t="s">
        <v>476</v>
      </c>
      <c r="F1790" s="8" t="s">
        <v>2139</v>
      </c>
    </row>
    <row r="1791" spans="1:6" ht="60" x14ac:dyDescent="0.25">
      <c r="A1791" s="8" t="s">
        <v>125</v>
      </c>
      <c r="B1791" s="8" t="s">
        <v>40</v>
      </c>
      <c r="C1791" s="8" t="str">
        <f>IFERROR(_xlfn.XLOOKUP(TRIM(B1791),Lookup!$B$2:$B$1000,Lookup!$C$2:$C$1000),"")</f>
        <v>Equity</v>
      </c>
      <c r="D1791" s="8" t="str">
        <f>IFERROR(INDEX('nav master'!$C:$C, MATCH(B1791, 'nav master'!$B:$B, 0)), "")</f>
        <v>ULIF 086 24/11/09 LOpport 105</v>
      </c>
      <c r="E1791" s="8" t="s">
        <v>478</v>
      </c>
      <c r="F1791" s="8" t="s">
        <v>2140</v>
      </c>
    </row>
    <row r="1792" spans="1:6" ht="60" x14ac:dyDescent="0.25">
      <c r="A1792" s="8" t="s">
        <v>125</v>
      </c>
      <c r="B1792" s="8" t="s">
        <v>40</v>
      </c>
      <c r="C1792" s="8" t="str">
        <f>IFERROR(_xlfn.XLOOKUP(TRIM(B1792),Lookup!$B$2:$B$1000,Lookup!$C$2:$C$1000),"")</f>
        <v>Equity</v>
      </c>
      <c r="D1792" s="8" t="str">
        <f>IFERROR(INDEX('nav master'!$C:$C, MATCH(B1792, 'nav master'!$B:$B, 0)), "")</f>
        <v>ULIF 086 24/11/09 LOpport 105</v>
      </c>
      <c r="E1792" s="8" t="s">
        <v>480</v>
      </c>
      <c r="F1792" s="8" t="s">
        <v>2141</v>
      </c>
    </row>
    <row r="1793" spans="1:6" ht="60" x14ac:dyDescent="0.25">
      <c r="A1793" s="8" t="s">
        <v>125</v>
      </c>
      <c r="B1793" s="8" t="s">
        <v>40</v>
      </c>
      <c r="C1793" s="8" t="str">
        <f>IFERROR(_xlfn.XLOOKUP(TRIM(B1793),Lookup!$B$2:$B$1000,Lookup!$C$2:$C$1000),"")</f>
        <v>Equity</v>
      </c>
      <c r="D1793" s="8" t="str">
        <f>IFERROR(INDEX('nav master'!$C:$C, MATCH(B1793, 'nav master'!$B:$B, 0)), "")</f>
        <v>ULIF 086 24/11/09 LOpport 105</v>
      </c>
      <c r="E1793" s="8" t="s">
        <v>482</v>
      </c>
      <c r="F1793" s="8" t="s">
        <v>2142</v>
      </c>
    </row>
    <row r="1794" spans="1:6" ht="60" x14ac:dyDescent="0.25">
      <c r="A1794" s="8" t="s">
        <v>125</v>
      </c>
      <c r="B1794" s="8" t="s">
        <v>40</v>
      </c>
      <c r="C1794" s="8" t="str">
        <f>IFERROR(_xlfn.XLOOKUP(TRIM(B1794),Lookup!$B$2:$B$1000,Lookup!$C$2:$C$1000),"")</f>
        <v>Equity</v>
      </c>
      <c r="D1794" s="8" t="str">
        <f>IFERROR(INDEX('nav master'!$C:$C, MATCH(B1794, 'nav master'!$B:$B, 0)), "")</f>
        <v>ULIF 086 24/11/09 LOpport 105</v>
      </c>
      <c r="E1794" s="8" t="s">
        <v>484</v>
      </c>
      <c r="F1794" s="8" t="s">
        <v>2143</v>
      </c>
    </row>
    <row r="1795" spans="1:6" ht="60" x14ac:dyDescent="0.25">
      <c r="A1795" s="8" t="s">
        <v>125</v>
      </c>
      <c r="B1795" s="8" t="s">
        <v>40</v>
      </c>
      <c r="C1795" s="8" t="str">
        <f>IFERROR(_xlfn.XLOOKUP(TRIM(B1795),Lookup!$B$2:$B$1000,Lookup!$C$2:$C$1000),"")</f>
        <v>Equity</v>
      </c>
      <c r="D1795" s="8" t="str">
        <f>IFERROR(INDEX('nav master'!$C:$C, MATCH(B1795, 'nav master'!$B:$B, 0)), "")</f>
        <v>ULIF 086 24/11/09 LOpport 105</v>
      </c>
      <c r="E1795" s="8" t="s">
        <v>486</v>
      </c>
      <c r="F1795" s="8" t="s">
        <v>2144</v>
      </c>
    </row>
    <row r="1796" spans="1:6" ht="60" x14ac:dyDescent="0.25">
      <c r="A1796" s="8" t="s">
        <v>125</v>
      </c>
      <c r="B1796" s="8" t="s">
        <v>40</v>
      </c>
      <c r="C1796" s="8" t="str">
        <f>IFERROR(_xlfn.XLOOKUP(TRIM(B1796),Lookup!$B$2:$B$1000,Lookup!$C$2:$C$1000),"")</f>
        <v>Equity</v>
      </c>
      <c r="D1796" s="8" t="str">
        <f>IFERROR(INDEX('nav master'!$C:$C, MATCH(B1796, 'nav master'!$B:$B, 0)), "")</f>
        <v>ULIF 086 24/11/09 LOpport 105</v>
      </c>
      <c r="E1796" s="8" t="s">
        <v>488</v>
      </c>
      <c r="F1796" s="8" t="s">
        <v>2145</v>
      </c>
    </row>
    <row r="1797" spans="1:6" ht="60" x14ac:dyDescent="0.25">
      <c r="A1797" s="8" t="s">
        <v>125</v>
      </c>
      <c r="B1797" s="8" t="s">
        <v>40</v>
      </c>
      <c r="C1797" s="8" t="str">
        <f>IFERROR(_xlfn.XLOOKUP(TRIM(B1797),Lookup!$B$2:$B$1000,Lookup!$C$2:$C$1000),"")</f>
        <v>Equity</v>
      </c>
      <c r="D1797" s="8" t="str">
        <f>IFERROR(INDEX('nav master'!$C:$C, MATCH(B1797, 'nav master'!$B:$B, 0)), "")</f>
        <v>ULIF 086 24/11/09 LOpport 105</v>
      </c>
      <c r="E1797" s="8" t="s">
        <v>490</v>
      </c>
      <c r="F1797" s="8" t="s">
        <v>2146</v>
      </c>
    </row>
    <row r="1798" spans="1:6" ht="60" x14ac:dyDescent="0.25">
      <c r="A1798" s="8" t="s">
        <v>125</v>
      </c>
      <c r="B1798" s="8" t="s">
        <v>40</v>
      </c>
      <c r="C1798" s="8" t="str">
        <f>IFERROR(_xlfn.XLOOKUP(TRIM(B1798),Lookup!$B$2:$B$1000,Lookup!$C$2:$C$1000),"")</f>
        <v>Equity</v>
      </c>
      <c r="D1798" s="8" t="str">
        <f>IFERROR(INDEX('nav master'!$C:$C, MATCH(B1798, 'nav master'!$B:$B, 0)), "")</f>
        <v>ULIF 086 24/11/09 LOpport 105</v>
      </c>
      <c r="E1798" s="8" t="s">
        <v>492</v>
      </c>
      <c r="F1798" s="8" t="s">
        <v>2147</v>
      </c>
    </row>
    <row r="1799" spans="1:6" ht="60" x14ac:dyDescent="0.25">
      <c r="A1799" s="8" t="s">
        <v>125</v>
      </c>
      <c r="B1799" s="8" t="s">
        <v>40</v>
      </c>
      <c r="C1799" s="8" t="str">
        <f>IFERROR(_xlfn.XLOOKUP(TRIM(B1799),Lookup!$B$2:$B$1000,Lookup!$C$2:$C$1000),"")</f>
        <v>Equity</v>
      </c>
      <c r="D1799" s="8" t="str">
        <f>IFERROR(INDEX('nav master'!$C:$C, MATCH(B1799, 'nav master'!$B:$B, 0)), "")</f>
        <v>ULIF 086 24/11/09 LOpport 105</v>
      </c>
      <c r="E1799" s="8" t="s">
        <v>494</v>
      </c>
      <c r="F1799" s="8" t="s">
        <v>2148</v>
      </c>
    </row>
    <row r="1800" spans="1:6" ht="60" x14ac:dyDescent="0.25">
      <c r="A1800" s="8" t="s">
        <v>125</v>
      </c>
      <c r="B1800" s="8" t="s">
        <v>40</v>
      </c>
      <c r="C1800" s="8" t="str">
        <f>IFERROR(_xlfn.XLOOKUP(TRIM(B1800),Lookup!$B$2:$B$1000,Lookup!$C$2:$C$1000),"")</f>
        <v>Equity</v>
      </c>
      <c r="D1800" s="8" t="str">
        <f>IFERROR(INDEX('nav master'!$C:$C, MATCH(B1800, 'nav master'!$B:$B, 0)), "")</f>
        <v>ULIF 086 24/11/09 LOpport 105</v>
      </c>
      <c r="E1800" s="8" t="s">
        <v>496</v>
      </c>
      <c r="F1800" s="8" t="s">
        <v>2149</v>
      </c>
    </row>
    <row r="1801" spans="1:6" ht="60" x14ac:dyDescent="0.25">
      <c r="A1801" s="8" t="s">
        <v>125</v>
      </c>
      <c r="B1801" s="8" t="s">
        <v>40</v>
      </c>
      <c r="C1801" s="8" t="str">
        <f>IFERROR(_xlfn.XLOOKUP(TRIM(B1801),Lookup!$B$2:$B$1000,Lookup!$C$2:$C$1000),"")</f>
        <v>Equity</v>
      </c>
      <c r="D1801" s="8" t="str">
        <f>IFERROR(INDEX('nav master'!$C:$C, MATCH(B1801, 'nav master'!$B:$B, 0)), "")</f>
        <v>ULIF 086 24/11/09 LOpport 105</v>
      </c>
      <c r="E1801" s="8" t="s">
        <v>498</v>
      </c>
      <c r="F1801" s="8" t="s">
        <v>2150</v>
      </c>
    </row>
    <row r="1802" spans="1:6" ht="60" x14ac:dyDescent="0.25">
      <c r="A1802" s="8" t="s">
        <v>125</v>
      </c>
      <c r="B1802" s="8" t="s">
        <v>40</v>
      </c>
      <c r="C1802" s="8" t="str">
        <f>IFERROR(_xlfn.XLOOKUP(TRIM(B1802),Lookup!$B$2:$B$1000,Lookup!$C$2:$C$1000),"")</f>
        <v>Equity</v>
      </c>
      <c r="D1802" s="8" t="str">
        <f>IFERROR(INDEX('nav master'!$C:$C, MATCH(B1802, 'nav master'!$B:$B, 0)), "")</f>
        <v>ULIF 086 24/11/09 LOpport 105</v>
      </c>
      <c r="E1802" s="8" t="s">
        <v>500</v>
      </c>
      <c r="F1802" s="8" t="s">
        <v>2151</v>
      </c>
    </row>
    <row r="1803" spans="1:6" ht="60" x14ac:dyDescent="0.25">
      <c r="A1803" s="8" t="s">
        <v>125</v>
      </c>
      <c r="B1803" s="8" t="s">
        <v>40</v>
      </c>
      <c r="C1803" s="8" t="str">
        <f>IFERROR(_xlfn.XLOOKUP(TRIM(B1803),Lookup!$B$2:$B$1000,Lookup!$C$2:$C$1000),"")</f>
        <v>Equity</v>
      </c>
      <c r="D1803" s="8" t="str">
        <f>IFERROR(INDEX('nav master'!$C:$C, MATCH(B1803, 'nav master'!$B:$B, 0)), "")</f>
        <v>ULIF 086 24/11/09 LOpport 105</v>
      </c>
      <c r="E1803" s="8" t="s">
        <v>502</v>
      </c>
      <c r="F1803" s="8" t="s">
        <v>2152</v>
      </c>
    </row>
    <row r="1804" spans="1:6" ht="60" x14ac:dyDescent="0.25">
      <c r="A1804" s="8" t="s">
        <v>125</v>
      </c>
      <c r="B1804" s="8" t="s">
        <v>40</v>
      </c>
      <c r="C1804" s="8" t="str">
        <f>IFERROR(_xlfn.XLOOKUP(TRIM(B1804),Lookup!$B$2:$B$1000,Lookup!$C$2:$C$1000),"")</f>
        <v>Equity</v>
      </c>
      <c r="D1804" s="8" t="str">
        <f>IFERROR(INDEX('nav master'!$C:$C, MATCH(B1804, 'nav master'!$B:$B, 0)), "")</f>
        <v>ULIF 086 24/11/09 LOpport 105</v>
      </c>
      <c r="E1804" s="8" t="s">
        <v>504</v>
      </c>
      <c r="F1804" s="8" t="s">
        <v>2153</v>
      </c>
    </row>
    <row r="1805" spans="1:6" ht="60" x14ac:dyDescent="0.25">
      <c r="A1805" s="8" t="s">
        <v>125</v>
      </c>
      <c r="B1805" s="8" t="s">
        <v>40</v>
      </c>
      <c r="C1805" s="8" t="str">
        <f>IFERROR(_xlfn.XLOOKUP(TRIM(B1805),Lookup!$B$2:$B$1000,Lookup!$C$2:$C$1000),"")</f>
        <v>Equity</v>
      </c>
      <c r="D1805" s="8" t="str">
        <f>IFERROR(INDEX('nav master'!$C:$C, MATCH(B1805, 'nav master'!$B:$B, 0)), "")</f>
        <v>ULIF 086 24/11/09 LOpport 105</v>
      </c>
      <c r="E1805" s="8" t="s">
        <v>506</v>
      </c>
      <c r="F1805" s="8" t="s">
        <v>2154</v>
      </c>
    </row>
    <row r="1806" spans="1:6" ht="60" x14ac:dyDescent="0.25">
      <c r="A1806" s="8" t="s">
        <v>125</v>
      </c>
      <c r="B1806" s="8" t="s">
        <v>40</v>
      </c>
      <c r="C1806" s="8" t="str">
        <f>IFERROR(_xlfn.XLOOKUP(TRIM(B1806),Lookup!$B$2:$B$1000,Lookup!$C$2:$C$1000),"")</f>
        <v>Equity</v>
      </c>
      <c r="D1806" s="8" t="str">
        <f>IFERROR(INDEX('nav master'!$C:$C, MATCH(B1806, 'nav master'!$B:$B, 0)), "")</f>
        <v>ULIF 086 24/11/09 LOpport 105</v>
      </c>
      <c r="E1806" s="8" t="s">
        <v>508</v>
      </c>
      <c r="F1806" s="8" t="s">
        <v>2155</v>
      </c>
    </row>
    <row r="1807" spans="1:6" ht="60" x14ac:dyDescent="0.25">
      <c r="A1807" s="8" t="s">
        <v>125</v>
      </c>
      <c r="B1807" s="8" t="s">
        <v>40</v>
      </c>
      <c r="C1807" s="8" t="str">
        <f>IFERROR(_xlfn.XLOOKUP(TRIM(B1807),Lookup!$B$2:$B$1000,Lookup!$C$2:$C$1000),"")</f>
        <v>Equity</v>
      </c>
      <c r="D1807" s="8" t="str">
        <f>IFERROR(INDEX('nav master'!$C:$C, MATCH(B1807, 'nav master'!$B:$B, 0)), "")</f>
        <v>ULIF 086 24/11/09 LOpport 105</v>
      </c>
      <c r="E1807" s="8" t="s">
        <v>510</v>
      </c>
      <c r="F1807" s="8" t="s">
        <v>2156</v>
      </c>
    </row>
    <row r="1808" spans="1:6" ht="60" x14ac:dyDescent="0.25">
      <c r="A1808" s="8" t="s">
        <v>125</v>
      </c>
      <c r="B1808" s="8" t="s">
        <v>40</v>
      </c>
      <c r="C1808" s="8" t="str">
        <f>IFERROR(_xlfn.XLOOKUP(TRIM(B1808),Lookup!$B$2:$B$1000,Lookup!$C$2:$C$1000),"")</f>
        <v>Equity</v>
      </c>
      <c r="D1808" s="8" t="str">
        <f>IFERROR(INDEX('nav master'!$C:$C, MATCH(B1808, 'nav master'!$B:$B, 0)), "")</f>
        <v>ULIF 086 24/11/09 LOpport 105</v>
      </c>
      <c r="E1808" s="8" t="s">
        <v>512</v>
      </c>
      <c r="F1808" s="8" t="s">
        <v>2157</v>
      </c>
    </row>
    <row r="1809" spans="1:6" ht="60" x14ac:dyDescent="0.25">
      <c r="A1809" s="8" t="s">
        <v>125</v>
      </c>
      <c r="B1809" s="8" t="s">
        <v>40</v>
      </c>
      <c r="C1809" s="8" t="str">
        <f>IFERROR(_xlfn.XLOOKUP(TRIM(B1809),Lookup!$B$2:$B$1000,Lookup!$C$2:$C$1000),"")</f>
        <v>Equity</v>
      </c>
      <c r="D1809" s="8" t="str">
        <f>IFERROR(INDEX('nav master'!$C:$C, MATCH(B1809, 'nav master'!$B:$B, 0)), "")</f>
        <v>ULIF 086 24/11/09 LOpport 105</v>
      </c>
      <c r="E1809" s="8" t="s">
        <v>514</v>
      </c>
      <c r="F1809" s="8" t="s">
        <v>2158</v>
      </c>
    </row>
    <row r="1810" spans="1:6" ht="60" x14ac:dyDescent="0.25">
      <c r="A1810" s="8" t="s">
        <v>125</v>
      </c>
      <c r="B1810" s="8" t="s">
        <v>40</v>
      </c>
      <c r="C1810" s="8" t="str">
        <f>IFERROR(_xlfn.XLOOKUP(TRIM(B1810),Lookup!$B$2:$B$1000,Lookup!$C$2:$C$1000),"")</f>
        <v>Equity</v>
      </c>
      <c r="D1810" s="8" t="str">
        <f>IFERROR(INDEX('nav master'!$C:$C, MATCH(B1810, 'nav master'!$B:$B, 0)), "")</f>
        <v>ULIF 086 24/11/09 LOpport 105</v>
      </c>
      <c r="E1810" s="8" t="s">
        <v>516</v>
      </c>
      <c r="F1810" s="8" t="s">
        <v>2159</v>
      </c>
    </row>
    <row r="1811" spans="1:6" ht="60" x14ac:dyDescent="0.25">
      <c r="A1811" s="8" t="s">
        <v>125</v>
      </c>
      <c r="B1811" s="8" t="s">
        <v>40</v>
      </c>
      <c r="C1811" s="8" t="str">
        <f>IFERROR(_xlfn.XLOOKUP(TRIM(B1811),Lookup!$B$2:$B$1000,Lookup!$C$2:$C$1000),"")</f>
        <v>Equity</v>
      </c>
      <c r="D1811" s="8" t="str">
        <f>IFERROR(INDEX('nav master'!$C:$C, MATCH(B1811, 'nav master'!$B:$B, 0)), "")</f>
        <v>ULIF 086 24/11/09 LOpport 105</v>
      </c>
      <c r="E1811" s="8" t="s">
        <v>518</v>
      </c>
      <c r="F1811" s="8" t="s">
        <v>2160</v>
      </c>
    </row>
    <row r="1812" spans="1:6" ht="60" x14ac:dyDescent="0.25">
      <c r="A1812" s="8" t="s">
        <v>125</v>
      </c>
      <c r="B1812" s="8" t="s">
        <v>40</v>
      </c>
      <c r="C1812" s="8" t="str">
        <f>IFERROR(_xlfn.XLOOKUP(TRIM(B1812),Lookup!$B$2:$B$1000,Lookup!$C$2:$C$1000),"")</f>
        <v>Equity</v>
      </c>
      <c r="D1812" s="8" t="str">
        <f>IFERROR(INDEX('nav master'!$C:$C, MATCH(B1812, 'nav master'!$B:$B, 0)), "")</f>
        <v>ULIF 086 24/11/09 LOpport 105</v>
      </c>
      <c r="E1812" s="8" t="s">
        <v>520</v>
      </c>
      <c r="F1812" s="8" t="s">
        <v>2161</v>
      </c>
    </row>
    <row r="1813" spans="1:6" ht="60" x14ac:dyDescent="0.25">
      <c r="A1813" s="8" t="s">
        <v>125</v>
      </c>
      <c r="B1813" s="8" t="s">
        <v>40</v>
      </c>
      <c r="C1813" s="8" t="str">
        <f>IFERROR(_xlfn.XLOOKUP(TRIM(B1813),Lookup!$B$2:$B$1000,Lookup!$C$2:$C$1000),"")</f>
        <v>Equity</v>
      </c>
      <c r="D1813" s="8" t="str">
        <f>IFERROR(INDEX('nav master'!$C:$C, MATCH(B1813, 'nav master'!$B:$B, 0)), "")</f>
        <v>ULIF 086 24/11/09 LOpport 105</v>
      </c>
      <c r="E1813" s="8" t="s">
        <v>522</v>
      </c>
      <c r="F1813" s="8" t="s">
        <v>2162</v>
      </c>
    </row>
    <row r="1814" spans="1:6" ht="60" x14ac:dyDescent="0.25">
      <c r="A1814" s="8" t="s">
        <v>125</v>
      </c>
      <c r="B1814" s="8" t="s">
        <v>40</v>
      </c>
      <c r="C1814" s="8" t="str">
        <f>IFERROR(_xlfn.XLOOKUP(TRIM(B1814),Lookup!$B$2:$B$1000,Lookup!$C$2:$C$1000),"")</f>
        <v>Equity</v>
      </c>
      <c r="D1814" s="8" t="str">
        <f>IFERROR(INDEX('nav master'!$C:$C, MATCH(B1814, 'nav master'!$B:$B, 0)), "")</f>
        <v>ULIF 086 24/11/09 LOpport 105</v>
      </c>
      <c r="E1814" s="8" t="s">
        <v>524</v>
      </c>
      <c r="F1814" s="8" t="s">
        <v>2163</v>
      </c>
    </row>
    <row r="1815" spans="1:6" ht="60" x14ac:dyDescent="0.25">
      <c r="A1815" s="8" t="s">
        <v>125</v>
      </c>
      <c r="B1815" s="8" t="s">
        <v>40</v>
      </c>
      <c r="C1815" s="8" t="str">
        <f>IFERROR(_xlfn.XLOOKUP(TRIM(B1815),Lookup!$B$2:$B$1000,Lookup!$C$2:$C$1000),"")</f>
        <v>Equity</v>
      </c>
      <c r="D1815" s="8" t="str">
        <f>IFERROR(INDEX('nav master'!$C:$C, MATCH(B1815, 'nav master'!$B:$B, 0)), "")</f>
        <v>ULIF 086 24/11/09 LOpport 105</v>
      </c>
      <c r="E1815" s="8" t="s">
        <v>526</v>
      </c>
      <c r="F1815" s="8" t="s">
        <v>2164</v>
      </c>
    </row>
    <row r="1816" spans="1:6" ht="60" x14ac:dyDescent="0.25">
      <c r="A1816" s="8" t="s">
        <v>125</v>
      </c>
      <c r="B1816" s="8" t="s">
        <v>40</v>
      </c>
      <c r="C1816" s="8" t="str">
        <f>IFERROR(_xlfn.XLOOKUP(TRIM(B1816),Lookup!$B$2:$B$1000,Lookup!$C$2:$C$1000),"")</f>
        <v>Equity</v>
      </c>
      <c r="D1816" s="8" t="str">
        <f>IFERROR(INDEX('nav master'!$C:$C, MATCH(B1816, 'nav master'!$B:$B, 0)), "")</f>
        <v>ULIF 086 24/11/09 LOpport 105</v>
      </c>
      <c r="E1816" s="8" t="s">
        <v>528</v>
      </c>
      <c r="F1816" s="8" t="s">
        <v>2165</v>
      </c>
    </row>
    <row r="1817" spans="1:6" ht="60" x14ac:dyDescent="0.25">
      <c r="A1817" s="8" t="s">
        <v>125</v>
      </c>
      <c r="B1817" s="8" t="s">
        <v>40</v>
      </c>
      <c r="C1817" s="8" t="str">
        <f>IFERROR(_xlfn.XLOOKUP(TRIM(B1817),Lookup!$B$2:$B$1000,Lookup!$C$2:$C$1000),"")</f>
        <v>Equity</v>
      </c>
      <c r="D1817" s="8" t="str">
        <f>IFERROR(INDEX('nav master'!$C:$C, MATCH(B1817, 'nav master'!$B:$B, 0)), "")</f>
        <v>ULIF 086 24/11/09 LOpport 105</v>
      </c>
      <c r="E1817" s="8" t="s">
        <v>530</v>
      </c>
      <c r="F1817" s="8" t="s">
        <v>2166</v>
      </c>
    </row>
    <row r="1818" spans="1:6" ht="60" x14ac:dyDescent="0.25">
      <c r="A1818" s="8" t="s">
        <v>125</v>
      </c>
      <c r="B1818" s="8" t="s">
        <v>40</v>
      </c>
      <c r="C1818" s="8" t="str">
        <f>IFERROR(_xlfn.XLOOKUP(TRIM(B1818),Lookup!$B$2:$B$1000,Lookup!$C$2:$C$1000),"")</f>
        <v>Equity</v>
      </c>
      <c r="D1818" s="8" t="str">
        <f>IFERROR(INDEX('nav master'!$C:$C, MATCH(B1818, 'nav master'!$B:$B, 0)), "")</f>
        <v>ULIF 086 24/11/09 LOpport 105</v>
      </c>
      <c r="E1818" s="8" t="s">
        <v>532</v>
      </c>
      <c r="F1818" s="8" t="s">
        <v>2167</v>
      </c>
    </row>
    <row r="1819" spans="1:6" ht="60" x14ac:dyDescent="0.25">
      <c r="A1819" s="8" t="s">
        <v>125</v>
      </c>
      <c r="B1819" s="8" t="s">
        <v>40</v>
      </c>
      <c r="C1819" s="8" t="str">
        <f>IFERROR(_xlfn.XLOOKUP(TRIM(B1819),Lookup!$B$2:$B$1000,Lookup!$C$2:$C$1000),"")</f>
        <v>Equity</v>
      </c>
      <c r="D1819" s="8" t="str">
        <f>IFERROR(INDEX('nav master'!$C:$C, MATCH(B1819, 'nav master'!$B:$B, 0)), "")</f>
        <v>ULIF 086 24/11/09 LOpport 105</v>
      </c>
      <c r="E1819" s="8" t="s">
        <v>534</v>
      </c>
      <c r="F1819" s="8" t="s">
        <v>2168</v>
      </c>
    </row>
    <row r="1820" spans="1:6" ht="60" x14ac:dyDescent="0.25">
      <c r="A1820" s="8" t="s">
        <v>125</v>
      </c>
      <c r="B1820" s="8" t="s">
        <v>40</v>
      </c>
      <c r="C1820" s="8" t="str">
        <f>IFERROR(_xlfn.XLOOKUP(TRIM(B1820),Lookup!$B$2:$B$1000,Lookup!$C$2:$C$1000),"")</f>
        <v>Equity</v>
      </c>
      <c r="D1820" s="8" t="str">
        <f>IFERROR(INDEX('nav master'!$C:$C, MATCH(B1820, 'nav master'!$B:$B, 0)), "")</f>
        <v>ULIF 086 24/11/09 LOpport 105</v>
      </c>
      <c r="E1820" s="8" t="s">
        <v>536</v>
      </c>
      <c r="F1820" s="8" t="s">
        <v>2169</v>
      </c>
    </row>
    <row r="1821" spans="1:6" ht="60" x14ac:dyDescent="0.25">
      <c r="A1821" s="8" t="s">
        <v>125</v>
      </c>
      <c r="B1821" s="8" t="s">
        <v>40</v>
      </c>
      <c r="C1821" s="8" t="str">
        <f>IFERROR(_xlfn.XLOOKUP(TRIM(B1821),Lookup!$B$2:$B$1000,Lookup!$C$2:$C$1000),"")</f>
        <v>Equity</v>
      </c>
      <c r="D1821" s="8" t="str">
        <f>IFERROR(INDEX('nav master'!$C:$C, MATCH(B1821, 'nav master'!$B:$B, 0)), "")</f>
        <v>ULIF 086 24/11/09 LOpport 105</v>
      </c>
      <c r="E1821" s="8" t="s">
        <v>538</v>
      </c>
      <c r="F1821" s="8" t="s">
        <v>2170</v>
      </c>
    </row>
    <row r="1822" spans="1:6" ht="60" x14ac:dyDescent="0.25">
      <c r="A1822" s="8" t="s">
        <v>125</v>
      </c>
      <c r="B1822" s="8" t="s">
        <v>40</v>
      </c>
      <c r="C1822" s="8" t="str">
        <f>IFERROR(_xlfn.XLOOKUP(TRIM(B1822),Lookup!$B$2:$B$1000,Lookup!$C$2:$C$1000),"")</f>
        <v>Equity</v>
      </c>
      <c r="D1822" s="8" t="str">
        <f>IFERROR(INDEX('nav master'!$C:$C, MATCH(B1822, 'nav master'!$B:$B, 0)), "")</f>
        <v>ULIF 086 24/11/09 LOpport 105</v>
      </c>
      <c r="E1822" s="8" t="s">
        <v>540</v>
      </c>
      <c r="F1822" s="8" t="s">
        <v>2171</v>
      </c>
    </row>
    <row r="1823" spans="1:6" ht="60" x14ac:dyDescent="0.25">
      <c r="A1823" s="8" t="s">
        <v>125</v>
      </c>
      <c r="B1823" s="8" t="s">
        <v>40</v>
      </c>
      <c r="C1823" s="8" t="str">
        <f>IFERROR(_xlfn.XLOOKUP(TRIM(B1823),Lookup!$B$2:$B$1000,Lookup!$C$2:$C$1000),"")</f>
        <v>Equity</v>
      </c>
      <c r="D1823" s="8" t="str">
        <f>IFERROR(INDEX('nav master'!$C:$C, MATCH(B1823, 'nav master'!$B:$B, 0)), "")</f>
        <v>ULIF 086 24/11/09 LOpport 105</v>
      </c>
      <c r="E1823" s="8" t="s">
        <v>542</v>
      </c>
      <c r="F1823" s="8" t="s">
        <v>2172</v>
      </c>
    </row>
    <row r="1824" spans="1:6" ht="60" x14ac:dyDescent="0.25">
      <c r="A1824" s="8" t="s">
        <v>125</v>
      </c>
      <c r="B1824" s="8" t="s">
        <v>40</v>
      </c>
      <c r="C1824" s="8" t="str">
        <f>IFERROR(_xlfn.XLOOKUP(TRIM(B1824),Lookup!$B$2:$B$1000,Lookup!$C$2:$C$1000),"")</f>
        <v>Equity</v>
      </c>
      <c r="D1824" s="8" t="str">
        <f>IFERROR(INDEX('nav master'!$C:$C, MATCH(B1824, 'nav master'!$B:$B, 0)), "")</f>
        <v>ULIF 086 24/11/09 LOpport 105</v>
      </c>
      <c r="E1824" s="8" t="s">
        <v>544</v>
      </c>
      <c r="F1824" s="8" t="s">
        <v>2173</v>
      </c>
    </row>
    <row r="1825" spans="1:6" ht="60" x14ac:dyDescent="0.25">
      <c r="A1825" s="8" t="s">
        <v>125</v>
      </c>
      <c r="B1825" s="8" t="s">
        <v>40</v>
      </c>
      <c r="C1825" s="8" t="str">
        <f>IFERROR(_xlfn.XLOOKUP(TRIM(B1825),Lookup!$B$2:$B$1000,Lookup!$C$2:$C$1000),"")</f>
        <v>Equity</v>
      </c>
      <c r="D1825" s="8" t="str">
        <f>IFERROR(INDEX('nav master'!$C:$C, MATCH(B1825, 'nav master'!$B:$B, 0)), "")</f>
        <v>ULIF 086 24/11/09 LOpport 105</v>
      </c>
      <c r="E1825" s="8" t="s">
        <v>546</v>
      </c>
      <c r="F1825" s="8" t="s">
        <v>2174</v>
      </c>
    </row>
    <row r="1826" spans="1:6" ht="60" x14ac:dyDescent="0.25">
      <c r="A1826" s="8" t="s">
        <v>125</v>
      </c>
      <c r="B1826" s="8" t="s">
        <v>40</v>
      </c>
      <c r="C1826" s="8" t="str">
        <f>IFERROR(_xlfn.XLOOKUP(TRIM(B1826),Lookup!$B$2:$B$1000,Lookup!$C$2:$C$1000),"")</f>
        <v>Equity</v>
      </c>
      <c r="D1826" s="8" t="str">
        <f>IFERROR(INDEX('nav master'!$C:$C, MATCH(B1826, 'nav master'!$B:$B, 0)), "")</f>
        <v>ULIF 086 24/11/09 LOpport 105</v>
      </c>
      <c r="E1826" s="8" t="s">
        <v>548</v>
      </c>
      <c r="F1826" s="8" t="s">
        <v>2175</v>
      </c>
    </row>
    <row r="1827" spans="1:6" ht="60" x14ac:dyDescent="0.25">
      <c r="A1827" s="8" t="s">
        <v>125</v>
      </c>
      <c r="B1827" s="8" t="s">
        <v>40</v>
      </c>
      <c r="C1827" s="8" t="str">
        <f>IFERROR(_xlfn.XLOOKUP(TRIM(B1827),Lookup!$B$2:$B$1000,Lookup!$C$2:$C$1000),"")</f>
        <v>Equity</v>
      </c>
      <c r="D1827" s="8" t="str">
        <f>IFERROR(INDEX('nav master'!$C:$C, MATCH(B1827, 'nav master'!$B:$B, 0)), "")</f>
        <v>ULIF 086 24/11/09 LOpport 105</v>
      </c>
      <c r="E1827" s="8" t="s">
        <v>550</v>
      </c>
      <c r="F1827" s="8" t="s">
        <v>2176</v>
      </c>
    </row>
    <row r="1828" spans="1:6" ht="60" x14ac:dyDescent="0.25">
      <c r="A1828" s="8" t="s">
        <v>125</v>
      </c>
      <c r="B1828" s="8" t="s">
        <v>40</v>
      </c>
      <c r="C1828" s="8" t="str">
        <f>IFERROR(_xlfn.XLOOKUP(TRIM(B1828),Lookup!$B$2:$B$1000,Lookup!$C$2:$C$1000),"")</f>
        <v>Equity</v>
      </c>
      <c r="D1828" s="8" t="str">
        <f>IFERROR(INDEX('nav master'!$C:$C, MATCH(B1828, 'nav master'!$B:$B, 0)), "")</f>
        <v>ULIF 086 24/11/09 LOpport 105</v>
      </c>
      <c r="E1828" s="8" t="s">
        <v>552</v>
      </c>
      <c r="F1828" s="8" t="s">
        <v>2177</v>
      </c>
    </row>
    <row r="1829" spans="1:6" ht="60" x14ac:dyDescent="0.25">
      <c r="A1829" s="8" t="s">
        <v>125</v>
      </c>
      <c r="B1829" s="8" t="s">
        <v>40</v>
      </c>
      <c r="C1829" s="8" t="str">
        <f>IFERROR(_xlfn.XLOOKUP(TRIM(B1829),Lookup!$B$2:$B$1000,Lookup!$C$2:$C$1000),"")</f>
        <v>Equity</v>
      </c>
      <c r="D1829" s="8" t="str">
        <f>IFERROR(INDEX('nav master'!$C:$C, MATCH(B1829, 'nav master'!$B:$B, 0)), "")</f>
        <v>ULIF 086 24/11/09 LOpport 105</v>
      </c>
      <c r="E1829" s="8" t="s">
        <v>554</v>
      </c>
      <c r="F1829" s="8" t="s">
        <v>2178</v>
      </c>
    </row>
    <row r="1830" spans="1:6" ht="60" x14ac:dyDescent="0.25">
      <c r="A1830" s="8" t="s">
        <v>125</v>
      </c>
      <c r="B1830" s="8" t="s">
        <v>40</v>
      </c>
      <c r="C1830" s="8" t="str">
        <f>IFERROR(_xlfn.XLOOKUP(TRIM(B1830),Lookup!$B$2:$B$1000,Lookup!$C$2:$C$1000),"")</f>
        <v>Equity</v>
      </c>
      <c r="D1830" s="8" t="str">
        <f>IFERROR(INDEX('nav master'!$C:$C, MATCH(B1830, 'nav master'!$B:$B, 0)), "")</f>
        <v>ULIF 086 24/11/09 LOpport 105</v>
      </c>
      <c r="E1830" s="8" t="s">
        <v>556</v>
      </c>
      <c r="F1830" s="8" t="s">
        <v>2179</v>
      </c>
    </row>
    <row r="1831" spans="1:6" ht="60" x14ac:dyDescent="0.25">
      <c r="A1831" s="8" t="s">
        <v>125</v>
      </c>
      <c r="B1831" s="8" t="s">
        <v>40</v>
      </c>
      <c r="C1831" s="8" t="str">
        <f>IFERROR(_xlfn.XLOOKUP(TRIM(B1831),Lookup!$B$2:$B$1000,Lookup!$C$2:$C$1000),"")</f>
        <v>Equity</v>
      </c>
      <c r="D1831" s="8" t="str">
        <f>IFERROR(INDEX('nav master'!$C:$C, MATCH(B1831, 'nav master'!$B:$B, 0)), "")</f>
        <v>ULIF 086 24/11/09 LOpport 105</v>
      </c>
      <c r="E1831" s="8" t="s">
        <v>558</v>
      </c>
      <c r="F1831" s="8" t="s">
        <v>2180</v>
      </c>
    </row>
    <row r="1832" spans="1:6" ht="60" x14ac:dyDescent="0.25">
      <c r="A1832" s="8" t="s">
        <v>125</v>
      </c>
      <c r="B1832" s="8" t="s">
        <v>40</v>
      </c>
      <c r="C1832" s="8" t="str">
        <f>IFERROR(_xlfn.XLOOKUP(TRIM(B1832),Lookup!$B$2:$B$1000,Lookup!$C$2:$C$1000),"")</f>
        <v>Equity</v>
      </c>
      <c r="D1832" s="8" t="str">
        <f>IFERROR(INDEX('nav master'!$C:$C, MATCH(B1832, 'nav master'!$B:$B, 0)), "")</f>
        <v>ULIF 086 24/11/09 LOpport 105</v>
      </c>
      <c r="E1832" s="8" t="s">
        <v>560</v>
      </c>
      <c r="F1832" s="8" t="s">
        <v>2181</v>
      </c>
    </row>
    <row r="1833" spans="1:6" ht="60" x14ac:dyDescent="0.25">
      <c r="A1833" s="8" t="s">
        <v>125</v>
      </c>
      <c r="B1833" s="8" t="s">
        <v>40</v>
      </c>
      <c r="C1833" s="8" t="str">
        <f>IFERROR(_xlfn.XLOOKUP(TRIM(B1833),Lookup!$B$2:$B$1000,Lookup!$C$2:$C$1000),"")</f>
        <v>Equity</v>
      </c>
      <c r="D1833" s="8" t="str">
        <f>IFERROR(INDEX('nav master'!$C:$C, MATCH(B1833, 'nav master'!$B:$B, 0)), "")</f>
        <v>ULIF 086 24/11/09 LOpport 105</v>
      </c>
      <c r="E1833" s="8" t="s">
        <v>562</v>
      </c>
      <c r="F1833" s="8" t="s">
        <v>2182</v>
      </c>
    </row>
    <row r="1834" spans="1:6" ht="60" x14ac:dyDescent="0.25">
      <c r="A1834" s="8" t="s">
        <v>125</v>
      </c>
      <c r="B1834" s="8" t="s">
        <v>40</v>
      </c>
      <c r="C1834" s="8" t="str">
        <f>IFERROR(_xlfn.XLOOKUP(TRIM(B1834),Lookup!$B$2:$B$1000,Lookup!$C$2:$C$1000),"")</f>
        <v>Equity</v>
      </c>
      <c r="D1834" s="8" t="str">
        <f>IFERROR(INDEX('nav master'!$C:$C, MATCH(B1834, 'nav master'!$B:$B, 0)), "")</f>
        <v>ULIF 086 24/11/09 LOpport 105</v>
      </c>
      <c r="E1834" s="8" t="s">
        <v>564</v>
      </c>
      <c r="F1834" s="8" t="s">
        <v>2183</v>
      </c>
    </row>
    <row r="1835" spans="1:6" ht="60" x14ac:dyDescent="0.25">
      <c r="A1835" s="8" t="s">
        <v>125</v>
      </c>
      <c r="B1835" s="8" t="s">
        <v>40</v>
      </c>
      <c r="C1835" s="8" t="str">
        <f>IFERROR(_xlfn.XLOOKUP(TRIM(B1835),Lookup!$B$2:$B$1000,Lookup!$C$2:$C$1000),"")</f>
        <v>Equity</v>
      </c>
      <c r="D1835" s="8" t="str">
        <f>IFERROR(INDEX('nav master'!$C:$C, MATCH(B1835, 'nav master'!$B:$B, 0)), "")</f>
        <v>ULIF 086 24/11/09 LOpport 105</v>
      </c>
      <c r="E1835" s="8" t="s">
        <v>566</v>
      </c>
      <c r="F1835" s="8" t="s">
        <v>2184</v>
      </c>
    </row>
    <row r="1836" spans="1:6" ht="60" x14ac:dyDescent="0.25">
      <c r="A1836" s="8" t="s">
        <v>125</v>
      </c>
      <c r="B1836" s="8" t="s">
        <v>40</v>
      </c>
      <c r="C1836" s="8" t="str">
        <f>IFERROR(_xlfn.XLOOKUP(TRIM(B1836),Lookup!$B$2:$B$1000,Lookup!$C$2:$C$1000),"")</f>
        <v>Equity</v>
      </c>
      <c r="D1836" s="8" t="str">
        <f>IFERROR(INDEX('nav master'!$C:$C, MATCH(B1836, 'nav master'!$B:$B, 0)), "")</f>
        <v>ULIF 086 24/11/09 LOpport 105</v>
      </c>
      <c r="E1836" s="8" t="s">
        <v>568</v>
      </c>
      <c r="F1836" s="8" t="s">
        <v>2185</v>
      </c>
    </row>
    <row r="1837" spans="1:6" ht="60" x14ac:dyDescent="0.25">
      <c r="A1837" s="8" t="s">
        <v>125</v>
      </c>
      <c r="B1837" s="8" t="s">
        <v>40</v>
      </c>
      <c r="C1837" s="8" t="str">
        <f>IFERROR(_xlfn.XLOOKUP(TRIM(B1837),Lookup!$B$2:$B$1000,Lookup!$C$2:$C$1000),"")</f>
        <v>Equity</v>
      </c>
      <c r="D1837" s="8" t="str">
        <f>IFERROR(INDEX('nav master'!$C:$C, MATCH(B1837, 'nav master'!$B:$B, 0)), "")</f>
        <v>ULIF 086 24/11/09 LOpport 105</v>
      </c>
      <c r="E1837" s="8" t="s">
        <v>570</v>
      </c>
      <c r="F1837" s="8" t="s">
        <v>2186</v>
      </c>
    </row>
    <row r="1838" spans="1:6" ht="60" x14ac:dyDescent="0.25">
      <c r="A1838" s="8" t="s">
        <v>125</v>
      </c>
      <c r="B1838" s="8" t="s">
        <v>40</v>
      </c>
      <c r="C1838" s="8" t="str">
        <f>IFERROR(_xlfn.XLOOKUP(TRIM(B1838),Lookup!$B$2:$B$1000,Lookup!$C$2:$C$1000),"")</f>
        <v>Equity</v>
      </c>
      <c r="D1838" s="8" t="str">
        <f>IFERROR(INDEX('nav master'!$C:$C, MATCH(B1838, 'nav master'!$B:$B, 0)), "")</f>
        <v>ULIF 086 24/11/09 LOpport 105</v>
      </c>
      <c r="E1838" s="8" t="s">
        <v>572</v>
      </c>
      <c r="F1838" s="8" t="s">
        <v>2187</v>
      </c>
    </row>
    <row r="1839" spans="1:6" ht="60" x14ac:dyDescent="0.25">
      <c r="A1839" s="8" t="s">
        <v>125</v>
      </c>
      <c r="B1839" s="8" t="s">
        <v>40</v>
      </c>
      <c r="C1839" s="8" t="str">
        <f>IFERROR(_xlfn.XLOOKUP(TRIM(B1839),Lookup!$B$2:$B$1000,Lookup!$C$2:$C$1000),"")</f>
        <v>Equity</v>
      </c>
      <c r="D1839" s="8" t="str">
        <f>IFERROR(INDEX('nav master'!$C:$C, MATCH(B1839, 'nav master'!$B:$B, 0)), "")</f>
        <v>ULIF 086 24/11/09 LOpport 105</v>
      </c>
      <c r="E1839" s="8" t="s">
        <v>574</v>
      </c>
      <c r="F1839" s="8" t="s">
        <v>2188</v>
      </c>
    </row>
    <row r="1840" spans="1:6" ht="60" x14ac:dyDescent="0.25">
      <c r="A1840" s="8" t="s">
        <v>125</v>
      </c>
      <c r="B1840" s="8" t="s">
        <v>40</v>
      </c>
      <c r="C1840" s="8" t="str">
        <f>IFERROR(_xlfn.XLOOKUP(TRIM(B1840),Lookup!$B$2:$B$1000,Lookup!$C$2:$C$1000),"")</f>
        <v>Equity</v>
      </c>
      <c r="D1840" s="8" t="str">
        <f>IFERROR(INDEX('nav master'!$C:$C, MATCH(B1840, 'nav master'!$B:$B, 0)), "")</f>
        <v>ULIF 086 24/11/09 LOpport 105</v>
      </c>
      <c r="E1840" s="8" t="s">
        <v>576</v>
      </c>
      <c r="F1840" s="8" t="s">
        <v>2189</v>
      </c>
    </row>
    <row r="1841" spans="1:6" ht="60" x14ac:dyDescent="0.25">
      <c r="A1841" s="8" t="s">
        <v>125</v>
      </c>
      <c r="B1841" s="8" t="s">
        <v>40</v>
      </c>
      <c r="C1841" s="8" t="str">
        <f>IFERROR(_xlfn.XLOOKUP(TRIM(B1841),Lookup!$B$2:$B$1000,Lookup!$C$2:$C$1000),"")</f>
        <v>Equity</v>
      </c>
      <c r="D1841" s="8" t="str">
        <f>IFERROR(INDEX('nav master'!$C:$C, MATCH(B1841, 'nav master'!$B:$B, 0)), "")</f>
        <v>ULIF 086 24/11/09 LOpport 105</v>
      </c>
      <c r="E1841" s="8" t="s">
        <v>578</v>
      </c>
      <c r="F1841" s="8" t="s">
        <v>2190</v>
      </c>
    </row>
    <row r="1842" spans="1:6" ht="60" x14ac:dyDescent="0.25">
      <c r="A1842" s="8" t="s">
        <v>125</v>
      </c>
      <c r="B1842" s="8" t="s">
        <v>40</v>
      </c>
      <c r="C1842" s="8" t="str">
        <f>IFERROR(_xlfn.XLOOKUP(TRIM(B1842),Lookup!$B$2:$B$1000,Lookup!$C$2:$C$1000),"")</f>
        <v>Equity</v>
      </c>
      <c r="D1842" s="8" t="str">
        <f>IFERROR(INDEX('nav master'!$C:$C, MATCH(B1842, 'nav master'!$B:$B, 0)), "")</f>
        <v>ULIF 086 24/11/09 LOpport 105</v>
      </c>
      <c r="E1842" s="8" t="s">
        <v>580</v>
      </c>
      <c r="F1842" s="8" t="s">
        <v>2191</v>
      </c>
    </row>
    <row r="1843" spans="1:6" ht="60" x14ac:dyDescent="0.25">
      <c r="A1843" s="8" t="s">
        <v>125</v>
      </c>
      <c r="B1843" s="8" t="s">
        <v>40</v>
      </c>
      <c r="C1843" s="8" t="str">
        <f>IFERROR(_xlfn.XLOOKUP(TRIM(B1843),Lookup!$B$2:$B$1000,Lookup!$C$2:$C$1000),"")</f>
        <v>Equity</v>
      </c>
      <c r="D1843" s="8" t="str">
        <f>IFERROR(INDEX('nav master'!$C:$C, MATCH(B1843, 'nav master'!$B:$B, 0)), "")</f>
        <v>ULIF 086 24/11/09 LOpport 105</v>
      </c>
      <c r="E1843" s="8" t="s">
        <v>582</v>
      </c>
      <c r="F1843" s="8" t="s">
        <v>2192</v>
      </c>
    </row>
    <row r="1844" spans="1:6" ht="60" x14ac:dyDescent="0.25">
      <c r="A1844" s="8" t="s">
        <v>125</v>
      </c>
      <c r="B1844" s="8" t="s">
        <v>40</v>
      </c>
      <c r="C1844" s="8" t="str">
        <f>IFERROR(_xlfn.XLOOKUP(TRIM(B1844),Lookup!$B$2:$B$1000,Lookup!$C$2:$C$1000),"")</f>
        <v>Equity</v>
      </c>
      <c r="D1844" s="8" t="str">
        <f>IFERROR(INDEX('nav master'!$C:$C, MATCH(B1844, 'nav master'!$B:$B, 0)), "")</f>
        <v>ULIF 086 24/11/09 LOpport 105</v>
      </c>
      <c r="E1844" s="8" t="s">
        <v>584</v>
      </c>
      <c r="F1844" s="8" t="s">
        <v>2193</v>
      </c>
    </row>
    <row r="1845" spans="1:6" ht="60" x14ac:dyDescent="0.25">
      <c r="A1845" s="8" t="s">
        <v>125</v>
      </c>
      <c r="B1845" s="8" t="s">
        <v>40</v>
      </c>
      <c r="C1845" s="8" t="str">
        <f>IFERROR(_xlfn.XLOOKUP(TRIM(B1845),Lookup!$B$2:$B$1000,Lookup!$C$2:$C$1000),"")</f>
        <v>Equity</v>
      </c>
      <c r="D1845" s="8" t="str">
        <f>IFERROR(INDEX('nav master'!$C:$C, MATCH(B1845, 'nav master'!$B:$B, 0)), "")</f>
        <v>ULIF 086 24/11/09 LOpport 105</v>
      </c>
      <c r="E1845" s="8" t="s">
        <v>586</v>
      </c>
      <c r="F1845" s="8" t="s">
        <v>2194</v>
      </c>
    </row>
    <row r="1846" spans="1:6" ht="60" x14ac:dyDescent="0.25">
      <c r="A1846" s="8" t="s">
        <v>125</v>
      </c>
      <c r="B1846" s="8" t="s">
        <v>40</v>
      </c>
      <c r="C1846" s="8" t="str">
        <f>IFERROR(_xlfn.XLOOKUP(TRIM(B1846),Lookup!$B$2:$B$1000,Lookup!$C$2:$C$1000),"")</f>
        <v>Equity</v>
      </c>
      <c r="D1846" s="8" t="str">
        <f>IFERROR(INDEX('nav master'!$C:$C, MATCH(B1846, 'nav master'!$B:$B, 0)), "")</f>
        <v>ULIF 086 24/11/09 LOpport 105</v>
      </c>
      <c r="E1846" s="8" t="s">
        <v>588</v>
      </c>
      <c r="F1846" s="8" t="s">
        <v>2195</v>
      </c>
    </row>
    <row r="1847" spans="1:6" ht="60" x14ac:dyDescent="0.25">
      <c r="A1847" s="8" t="s">
        <v>125</v>
      </c>
      <c r="B1847" s="8" t="s">
        <v>40</v>
      </c>
      <c r="C1847" s="8" t="str">
        <f>IFERROR(_xlfn.XLOOKUP(TRIM(B1847),Lookup!$B$2:$B$1000,Lookup!$C$2:$C$1000),"")</f>
        <v>Equity</v>
      </c>
      <c r="D1847" s="8" t="str">
        <f>IFERROR(INDEX('nav master'!$C:$C, MATCH(B1847, 'nav master'!$B:$B, 0)), "")</f>
        <v>ULIF 086 24/11/09 LOpport 105</v>
      </c>
      <c r="E1847" s="8" t="s">
        <v>590</v>
      </c>
      <c r="F1847" s="8" t="s">
        <v>2196</v>
      </c>
    </row>
    <row r="1848" spans="1:6" ht="60" x14ac:dyDescent="0.25">
      <c r="A1848" s="8" t="s">
        <v>125</v>
      </c>
      <c r="B1848" s="8" t="s">
        <v>40</v>
      </c>
      <c r="C1848" s="8" t="str">
        <f>IFERROR(_xlfn.XLOOKUP(TRIM(B1848),Lookup!$B$2:$B$1000,Lookup!$C$2:$C$1000),"")</f>
        <v>Equity</v>
      </c>
      <c r="D1848" s="8" t="str">
        <f>IFERROR(INDEX('nav master'!$C:$C, MATCH(B1848, 'nav master'!$B:$B, 0)), "")</f>
        <v>ULIF 086 24/11/09 LOpport 105</v>
      </c>
      <c r="E1848" s="8" t="s">
        <v>592</v>
      </c>
      <c r="F1848" s="8" t="s">
        <v>2197</v>
      </c>
    </row>
    <row r="1849" spans="1:6" ht="60" x14ac:dyDescent="0.25">
      <c r="A1849" s="8" t="s">
        <v>125</v>
      </c>
      <c r="B1849" s="8" t="s">
        <v>40</v>
      </c>
      <c r="C1849" s="8" t="str">
        <f>IFERROR(_xlfn.XLOOKUP(TRIM(B1849),Lookup!$B$2:$B$1000,Lookup!$C$2:$C$1000),"")</f>
        <v>Equity</v>
      </c>
      <c r="D1849" s="8" t="str">
        <f>IFERROR(INDEX('nav master'!$C:$C, MATCH(B1849, 'nav master'!$B:$B, 0)), "")</f>
        <v>ULIF 086 24/11/09 LOpport 105</v>
      </c>
      <c r="E1849" s="8" t="s">
        <v>594</v>
      </c>
      <c r="F1849" s="8" t="s">
        <v>2198</v>
      </c>
    </row>
    <row r="1850" spans="1:6" ht="60" x14ac:dyDescent="0.25">
      <c r="A1850" s="8" t="s">
        <v>125</v>
      </c>
      <c r="B1850" s="8" t="s">
        <v>40</v>
      </c>
      <c r="C1850" s="8" t="str">
        <f>IFERROR(_xlfn.XLOOKUP(TRIM(B1850),Lookup!$B$2:$B$1000,Lookup!$C$2:$C$1000),"")</f>
        <v>Equity</v>
      </c>
      <c r="D1850" s="8" t="str">
        <f>IFERROR(INDEX('nav master'!$C:$C, MATCH(B1850, 'nav master'!$B:$B, 0)), "")</f>
        <v>ULIF 086 24/11/09 LOpport 105</v>
      </c>
      <c r="E1850" s="8" t="s">
        <v>596</v>
      </c>
      <c r="F1850" s="8" t="s">
        <v>2199</v>
      </c>
    </row>
    <row r="1851" spans="1:6" ht="60" x14ac:dyDescent="0.25">
      <c r="A1851" s="8" t="s">
        <v>125</v>
      </c>
      <c r="B1851" s="8" t="s">
        <v>40</v>
      </c>
      <c r="C1851" s="8" t="str">
        <f>IFERROR(_xlfn.XLOOKUP(TRIM(B1851),Lookup!$B$2:$B$1000,Lookup!$C$2:$C$1000),"")</f>
        <v>Equity</v>
      </c>
      <c r="D1851" s="8" t="str">
        <f>IFERROR(INDEX('nav master'!$C:$C, MATCH(B1851, 'nav master'!$B:$B, 0)), "")</f>
        <v>ULIF 086 24/11/09 LOpport 105</v>
      </c>
      <c r="E1851" s="8" t="s">
        <v>598</v>
      </c>
      <c r="F1851" s="8" t="s">
        <v>2200</v>
      </c>
    </row>
    <row r="1852" spans="1:6" ht="60" x14ac:dyDescent="0.25">
      <c r="A1852" s="8" t="s">
        <v>125</v>
      </c>
      <c r="B1852" s="8" t="s">
        <v>40</v>
      </c>
      <c r="C1852" s="8" t="str">
        <f>IFERROR(_xlfn.XLOOKUP(TRIM(B1852),Lookup!$B$2:$B$1000,Lookup!$C$2:$C$1000),"")</f>
        <v>Equity</v>
      </c>
      <c r="D1852" s="8" t="str">
        <f>IFERROR(INDEX('nav master'!$C:$C, MATCH(B1852, 'nav master'!$B:$B, 0)), "")</f>
        <v>ULIF 086 24/11/09 LOpport 105</v>
      </c>
      <c r="E1852" s="8" t="s">
        <v>600</v>
      </c>
      <c r="F1852" s="8" t="s">
        <v>2201</v>
      </c>
    </row>
    <row r="1853" spans="1:6" ht="60" x14ac:dyDescent="0.25">
      <c r="A1853" s="8" t="s">
        <v>125</v>
      </c>
      <c r="B1853" s="8" t="s">
        <v>40</v>
      </c>
      <c r="C1853" s="8" t="str">
        <f>IFERROR(_xlfn.XLOOKUP(TRIM(B1853),Lookup!$B$2:$B$1000,Lookup!$C$2:$C$1000),"")</f>
        <v>Equity</v>
      </c>
      <c r="D1853" s="8" t="str">
        <f>IFERROR(INDEX('nav master'!$C:$C, MATCH(B1853, 'nav master'!$B:$B, 0)), "")</f>
        <v>ULIF 086 24/11/09 LOpport 105</v>
      </c>
      <c r="E1853" s="8" t="s">
        <v>602</v>
      </c>
      <c r="F1853" s="8" t="s">
        <v>2202</v>
      </c>
    </row>
    <row r="1854" spans="1:6" ht="60" x14ac:dyDescent="0.25">
      <c r="A1854" s="8" t="s">
        <v>125</v>
      </c>
      <c r="B1854" s="8" t="s">
        <v>40</v>
      </c>
      <c r="C1854" s="8" t="str">
        <f>IFERROR(_xlfn.XLOOKUP(TRIM(B1854),Lookup!$B$2:$B$1000,Lookup!$C$2:$C$1000),"")</f>
        <v>Equity</v>
      </c>
      <c r="D1854" s="8" t="str">
        <f>IFERROR(INDEX('nav master'!$C:$C, MATCH(B1854, 'nav master'!$B:$B, 0)), "")</f>
        <v>ULIF 086 24/11/09 LOpport 105</v>
      </c>
      <c r="E1854" s="8" t="s">
        <v>604</v>
      </c>
      <c r="F1854" s="8" t="s">
        <v>2203</v>
      </c>
    </row>
    <row r="1855" spans="1:6" ht="60" x14ac:dyDescent="0.25">
      <c r="A1855" s="8" t="s">
        <v>125</v>
      </c>
      <c r="B1855" s="8" t="s">
        <v>40</v>
      </c>
      <c r="C1855" s="8" t="str">
        <f>IFERROR(_xlfn.XLOOKUP(TRIM(B1855),Lookup!$B$2:$B$1000,Lookup!$C$2:$C$1000),"")</f>
        <v>Equity</v>
      </c>
      <c r="D1855" s="8" t="str">
        <f>IFERROR(INDEX('nav master'!$C:$C, MATCH(B1855, 'nav master'!$B:$B, 0)), "")</f>
        <v>ULIF 086 24/11/09 LOpport 105</v>
      </c>
      <c r="E1855" s="8" t="s">
        <v>606</v>
      </c>
      <c r="F1855" s="8" t="s">
        <v>2204</v>
      </c>
    </row>
    <row r="1856" spans="1:6" ht="60" x14ac:dyDescent="0.25">
      <c r="A1856" s="8" t="s">
        <v>125</v>
      </c>
      <c r="B1856" s="8" t="s">
        <v>40</v>
      </c>
      <c r="C1856" s="8" t="str">
        <f>IFERROR(_xlfn.XLOOKUP(TRIM(B1856),Lookup!$B$2:$B$1000,Lookup!$C$2:$C$1000),"")</f>
        <v>Equity</v>
      </c>
      <c r="D1856" s="8" t="str">
        <f>IFERROR(INDEX('nav master'!$C:$C, MATCH(B1856, 'nav master'!$B:$B, 0)), "")</f>
        <v>ULIF 086 24/11/09 LOpport 105</v>
      </c>
      <c r="E1856" s="8" t="s">
        <v>608</v>
      </c>
      <c r="F1856" s="8" t="s">
        <v>2205</v>
      </c>
    </row>
    <row r="1857" spans="1:6" ht="60" x14ac:dyDescent="0.25">
      <c r="A1857" s="8" t="s">
        <v>125</v>
      </c>
      <c r="B1857" s="8" t="s">
        <v>40</v>
      </c>
      <c r="C1857" s="8" t="str">
        <f>IFERROR(_xlfn.XLOOKUP(TRIM(B1857),Lookup!$B$2:$B$1000,Lookup!$C$2:$C$1000),"")</f>
        <v>Equity</v>
      </c>
      <c r="D1857" s="8" t="str">
        <f>IFERROR(INDEX('nav master'!$C:$C, MATCH(B1857, 'nav master'!$B:$B, 0)), "")</f>
        <v>ULIF 086 24/11/09 LOpport 105</v>
      </c>
      <c r="E1857" s="8" t="s">
        <v>610</v>
      </c>
      <c r="F1857" s="8" t="s">
        <v>2206</v>
      </c>
    </row>
    <row r="1858" spans="1:6" ht="60" x14ac:dyDescent="0.25">
      <c r="A1858" s="8" t="s">
        <v>125</v>
      </c>
      <c r="B1858" s="8" t="s">
        <v>40</v>
      </c>
      <c r="C1858" s="8" t="str">
        <f>IFERROR(_xlfn.XLOOKUP(TRIM(B1858),Lookup!$B$2:$B$1000,Lookup!$C$2:$C$1000),"")</f>
        <v>Equity</v>
      </c>
      <c r="D1858" s="8" t="str">
        <f>IFERROR(INDEX('nav master'!$C:$C, MATCH(B1858, 'nav master'!$B:$B, 0)), "")</f>
        <v>ULIF 086 24/11/09 LOpport 105</v>
      </c>
      <c r="E1858" s="8" t="s">
        <v>612</v>
      </c>
      <c r="F1858" s="8" t="s">
        <v>2207</v>
      </c>
    </row>
    <row r="1859" spans="1:6" ht="60" x14ac:dyDescent="0.25">
      <c r="A1859" s="8" t="s">
        <v>125</v>
      </c>
      <c r="B1859" s="8" t="s">
        <v>40</v>
      </c>
      <c r="C1859" s="8" t="str">
        <f>IFERROR(_xlfn.XLOOKUP(TRIM(B1859),Lookup!$B$2:$B$1000,Lookup!$C$2:$C$1000),"")</f>
        <v>Equity</v>
      </c>
      <c r="D1859" s="8" t="str">
        <f>IFERROR(INDEX('nav master'!$C:$C, MATCH(B1859, 'nav master'!$B:$B, 0)), "")</f>
        <v>ULIF 086 24/11/09 LOpport 105</v>
      </c>
      <c r="E1859" s="8" t="s">
        <v>614</v>
      </c>
      <c r="F1859" s="8" t="s">
        <v>2208</v>
      </c>
    </row>
    <row r="1860" spans="1:6" ht="60" x14ac:dyDescent="0.25">
      <c r="A1860" s="8" t="s">
        <v>125</v>
      </c>
      <c r="B1860" s="8" t="s">
        <v>40</v>
      </c>
      <c r="C1860" s="8" t="str">
        <f>IFERROR(_xlfn.XLOOKUP(TRIM(B1860),Lookup!$B$2:$B$1000,Lookup!$C$2:$C$1000),"")</f>
        <v>Equity</v>
      </c>
      <c r="D1860" s="8" t="str">
        <f>IFERROR(INDEX('nav master'!$C:$C, MATCH(B1860, 'nav master'!$B:$B, 0)), "")</f>
        <v>ULIF 086 24/11/09 LOpport 105</v>
      </c>
      <c r="E1860" s="8" t="s">
        <v>616</v>
      </c>
      <c r="F1860" s="8" t="s">
        <v>2209</v>
      </c>
    </row>
    <row r="1861" spans="1:6" ht="60" x14ac:dyDescent="0.25">
      <c r="A1861" s="8" t="s">
        <v>125</v>
      </c>
      <c r="B1861" s="8" t="s">
        <v>40</v>
      </c>
      <c r="C1861" s="8" t="str">
        <f>IFERROR(_xlfn.XLOOKUP(TRIM(B1861),Lookup!$B$2:$B$1000,Lookup!$C$2:$C$1000),"")</f>
        <v>Equity</v>
      </c>
      <c r="D1861" s="8" t="str">
        <f>IFERROR(INDEX('nav master'!$C:$C, MATCH(B1861, 'nav master'!$B:$B, 0)), "")</f>
        <v>ULIF 086 24/11/09 LOpport 105</v>
      </c>
      <c r="E1861" s="8" t="s">
        <v>618</v>
      </c>
      <c r="F1861" s="8" t="s">
        <v>2210</v>
      </c>
    </row>
    <row r="1862" spans="1:6" ht="60" x14ac:dyDescent="0.25">
      <c r="A1862" s="8" t="s">
        <v>125</v>
      </c>
      <c r="B1862" s="8" t="s">
        <v>40</v>
      </c>
      <c r="C1862" s="8" t="str">
        <f>IFERROR(_xlfn.XLOOKUP(TRIM(B1862),Lookup!$B$2:$B$1000,Lookup!$C$2:$C$1000),"")</f>
        <v>Equity</v>
      </c>
      <c r="D1862" s="8" t="str">
        <f>IFERROR(INDEX('nav master'!$C:$C, MATCH(B1862, 'nav master'!$B:$B, 0)), "")</f>
        <v>ULIF 086 24/11/09 LOpport 105</v>
      </c>
      <c r="E1862" s="8" t="s">
        <v>620</v>
      </c>
      <c r="F1862" s="8" t="s">
        <v>2211</v>
      </c>
    </row>
    <row r="1863" spans="1:6" ht="60" x14ac:dyDescent="0.25">
      <c r="A1863" s="8" t="s">
        <v>125</v>
      </c>
      <c r="B1863" s="8" t="s">
        <v>40</v>
      </c>
      <c r="C1863" s="8" t="str">
        <f>IFERROR(_xlfn.XLOOKUP(TRIM(B1863),Lookup!$B$2:$B$1000,Lookup!$C$2:$C$1000),"")</f>
        <v>Equity</v>
      </c>
      <c r="D1863" s="8" t="str">
        <f>IFERROR(INDEX('nav master'!$C:$C, MATCH(B1863, 'nav master'!$B:$B, 0)), "")</f>
        <v>ULIF 086 24/11/09 LOpport 105</v>
      </c>
      <c r="E1863" s="8" t="s">
        <v>622</v>
      </c>
      <c r="F1863" s="8" t="s">
        <v>2212</v>
      </c>
    </row>
    <row r="1864" spans="1:6" ht="60" x14ac:dyDescent="0.25">
      <c r="A1864" s="8" t="s">
        <v>125</v>
      </c>
      <c r="B1864" s="8" t="s">
        <v>40</v>
      </c>
      <c r="C1864" s="8" t="str">
        <f>IFERROR(_xlfn.XLOOKUP(TRIM(B1864),Lookup!$B$2:$B$1000,Lookup!$C$2:$C$1000),"")</f>
        <v>Equity</v>
      </c>
      <c r="D1864" s="8" t="str">
        <f>IFERROR(INDEX('nav master'!$C:$C, MATCH(B1864, 'nav master'!$B:$B, 0)), "")</f>
        <v>ULIF 086 24/11/09 LOpport 105</v>
      </c>
      <c r="E1864" s="8" t="s">
        <v>624</v>
      </c>
      <c r="F1864" s="8" t="s">
        <v>2213</v>
      </c>
    </row>
    <row r="1865" spans="1:6" ht="60" x14ac:dyDescent="0.25">
      <c r="A1865" s="8" t="s">
        <v>125</v>
      </c>
      <c r="B1865" s="8" t="s">
        <v>40</v>
      </c>
      <c r="C1865" s="8" t="str">
        <f>IFERROR(_xlfn.XLOOKUP(TRIM(B1865),Lookup!$B$2:$B$1000,Lookup!$C$2:$C$1000),"")</f>
        <v>Equity</v>
      </c>
      <c r="D1865" s="8" t="str">
        <f>IFERROR(INDEX('nav master'!$C:$C, MATCH(B1865, 'nav master'!$B:$B, 0)), "")</f>
        <v>ULIF 086 24/11/09 LOpport 105</v>
      </c>
      <c r="E1865" s="8" t="s">
        <v>626</v>
      </c>
      <c r="F1865" s="8" t="s">
        <v>2214</v>
      </c>
    </row>
    <row r="1866" spans="1:6" ht="60" x14ac:dyDescent="0.25">
      <c r="A1866" s="8" t="s">
        <v>125</v>
      </c>
      <c r="B1866" s="8" t="s">
        <v>40</v>
      </c>
      <c r="C1866" s="8" t="str">
        <f>IFERROR(_xlfn.XLOOKUP(TRIM(B1866),Lookup!$B$2:$B$1000,Lookup!$C$2:$C$1000),"")</f>
        <v>Equity</v>
      </c>
      <c r="D1866" s="8" t="str">
        <f>IFERROR(INDEX('nav master'!$C:$C, MATCH(B1866, 'nav master'!$B:$B, 0)), "")</f>
        <v>ULIF 086 24/11/09 LOpport 105</v>
      </c>
      <c r="E1866" s="8" t="s">
        <v>628</v>
      </c>
      <c r="F1866" s="8" t="s">
        <v>2215</v>
      </c>
    </row>
    <row r="1867" spans="1:6" ht="60" x14ac:dyDescent="0.25">
      <c r="A1867" s="8" t="s">
        <v>125</v>
      </c>
      <c r="B1867" s="8" t="s">
        <v>40</v>
      </c>
      <c r="C1867" s="8" t="str">
        <f>IFERROR(_xlfn.XLOOKUP(TRIM(B1867),Lookup!$B$2:$B$1000,Lookup!$C$2:$C$1000),"")</f>
        <v>Equity</v>
      </c>
      <c r="D1867" s="8" t="str">
        <f>IFERROR(INDEX('nav master'!$C:$C, MATCH(B1867, 'nav master'!$B:$B, 0)), "")</f>
        <v>ULIF 086 24/11/09 LOpport 105</v>
      </c>
      <c r="E1867" s="8" t="s">
        <v>630</v>
      </c>
      <c r="F1867" s="8" t="s">
        <v>2216</v>
      </c>
    </row>
    <row r="1868" spans="1:6" ht="60" x14ac:dyDescent="0.25">
      <c r="A1868" s="8" t="s">
        <v>125</v>
      </c>
      <c r="B1868" s="8" t="s">
        <v>40</v>
      </c>
      <c r="C1868" s="8" t="str">
        <f>IFERROR(_xlfn.XLOOKUP(TRIM(B1868),Lookup!$B$2:$B$1000,Lookup!$C$2:$C$1000),"")</f>
        <v>Equity</v>
      </c>
      <c r="D1868" s="8" t="str">
        <f>IFERROR(INDEX('nav master'!$C:$C, MATCH(B1868, 'nav master'!$B:$B, 0)), "")</f>
        <v>ULIF 086 24/11/09 LOpport 105</v>
      </c>
      <c r="E1868" s="8" t="s">
        <v>632</v>
      </c>
      <c r="F1868" s="8" t="s">
        <v>2217</v>
      </c>
    </row>
    <row r="1869" spans="1:6" ht="60" x14ac:dyDescent="0.25">
      <c r="A1869" s="8" t="s">
        <v>125</v>
      </c>
      <c r="B1869" s="8" t="s">
        <v>40</v>
      </c>
      <c r="C1869" s="8" t="str">
        <f>IFERROR(_xlfn.XLOOKUP(TRIM(B1869),Lookup!$B$2:$B$1000,Lookup!$C$2:$C$1000),"")</f>
        <v>Equity</v>
      </c>
      <c r="D1869" s="8" t="str">
        <f>IFERROR(INDEX('nav master'!$C:$C, MATCH(B1869, 'nav master'!$B:$B, 0)), "")</f>
        <v>ULIF 086 24/11/09 LOpport 105</v>
      </c>
      <c r="E1869" s="8" t="s">
        <v>634</v>
      </c>
      <c r="F1869" s="8" t="s">
        <v>2218</v>
      </c>
    </row>
    <row r="1870" spans="1:6" ht="60" x14ac:dyDescent="0.25">
      <c r="A1870" s="8" t="s">
        <v>125</v>
      </c>
      <c r="B1870" s="8" t="s">
        <v>40</v>
      </c>
      <c r="C1870" s="8" t="str">
        <f>IFERROR(_xlfn.XLOOKUP(TRIM(B1870),Lookup!$B$2:$B$1000,Lookup!$C$2:$C$1000),"")</f>
        <v>Equity</v>
      </c>
      <c r="D1870" s="8" t="str">
        <f>IFERROR(INDEX('nav master'!$C:$C, MATCH(B1870, 'nav master'!$B:$B, 0)), "")</f>
        <v>ULIF 086 24/11/09 LOpport 105</v>
      </c>
      <c r="E1870" s="8" t="s">
        <v>636</v>
      </c>
      <c r="F1870" s="8" t="s">
        <v>2219</v>
      </c>
    </row>
    <row r="1871" spans="1:6" ht="60" x14ac:dyDescent="0.25">
      <c r="A1871" s="8" t="s">
        <v>125</v>
      </c>
      <c r="B1871" s="8" t="s">
        <v>40</v>
      </c>
      <c r="C1871" s="8" t="str">
        <f>IFERROR(_xlfn.XLOOKUP(TRIM(B1871),Lookup!$B$2:$B$1000,Lookup!$C$2:$C$1000),"")</f>
        <v>Equity</v>
      </c>
      <c r="D1871" s="8" t="str">
        <f>IFERROR(INDEX('nav master'!$C:$C, MATCH(B1871, 'nav master'!$B:$B, 0)), "")</f>
        <v>ULIF 086 24/11/09 LOpport 105</v>
      </c>
      <c r="E1871" s="8" t="s">
        <v>638</v>
      </c>
      <c r="F1871" s="8" t="s">
        <v>2220</v>
      </c>
    </row>
    <row r="1872" spans="1:6" ht="60" x14ac:dyDescent="0.25">
      <c r="A1872" s="8" t="s">
        <v>125</v>
      </c>
      <c r="B1872" s="8" t="s">
        <v>40</v>
      </c>
      <c r="C1872" s="8" t="str">
        <f>IFERROR(_xlfn.XLOOKUP(TRIM(B1872),Lookup!$B$2:$B$1000,Lookup!$C$2:$C$1000),"")</f>
        <v>Equity</v>
      </c>
      <c r="D1872" s="8" t="str">
        <f>IFERROR(INDEX('nav master'!$C:$C, MATCH(B1872, 'nav master'!$B:$B, 0)), "")</f>
        <v>ULIF 086 24/11/09 LOpport 105</v>
      </c>
      <c r="E1872" s="8" t="s">
        <v>640</v>
      </c>
      <c r="F1872" s="8" t="s">
        <v>2221</v>
      </c>
    </row>
    <row r="1873" spans="1:6" ht="60" x14ac:dyDescent="0.25">
      <c r="A1873" s="8" t="s">
        <v>125</v>
      </c>
      <c r="B1873" s="8" t="s">
        <v>40</v>
      </c>
      <c r="C1873" s="8" t="str">
        <f>IFERROR(_xlfn.XLOOKUP(TRIM(B1873),Lookup!$B$2:$B$1000,Lookup!$C$2:$C$1000),"")</f>
        <v>Equity</v>
      </c>
      <c r="D1873" s="8" t="str">
        <f>IFERROR(INDEX('nav master'!$C:$C, MATCH(B1873, 'nav master'!$B:$B, 0)), "")</f>
        <v>ULIF 086 24/11/09 LOpport 105</v>
      </c>
      <c r="E1873" s="8" t="s">
        <v>642</v>
      </c>
      <c r="F1873" s="8" t="s">
        <v>2222</v>
      </c>
    </row>
    <row r="1874" spans="1:6" ht="60" x14ac:dyDescent="0.25">
      <c r="A1874" s="8" t="s">
        <v>125</v>
      </c>
      <c r="B1874" s="8" t="s">
        <v>40</v>
      </c>
      <c r="C1874" s="8" t="str">
        <f>IFERROR(_xlfn.XLOOKUP(TRIM(B1874),Lookup!$B$2:$B$1000,Lookup!$C$2:$C$1000),"")</f>
        <v>Equity</v>
      </c>
      <c r="D1874" s="8" t="str">
        <f>IFERROR(INDEX('nav master'!$C:$C, MATCH(B1874, 'nav master'!$B:$B, 0)), "")</f>
        <v>ULIF 086 24/11/09 LOpport 105</v>
      </c>
      <c r="E1874" s="8" t="s">
        <v>644</v>
      </c>
      <c r="F1874" s="8" t="s">
        <v>2223</v>
      </c>
    </row>
    <row r="1875" spans="1:6" ht="60" x14ac:dyDescent="0.25">
      <c r="A1875" s="8" t="s">
        <v>125</v>
      </c>
      <c r="B1875" s="8" t="s">
        <v>40</v>
      </c>
      <c r="C1875" s="8" t="str">
        <f>IFERROR(_xlfn.XLOOKUP(TRIM(B1875),Lookup!$B$2:$B$1000,Lookup!$C$2:$C$1000),"")</f>
        <v>Equity</v>
      </c>
      <c r="D1875" s="8" t="str">
        <f>IFERROR(INDEX('nav master'!$C:$C, MATCH(B1875, 'nav master'!$B:$B, 0)), "")</f>
        <v>ULIF 086 24/11/09 LOpport 105</v>
      </c>
      <c r="E1875" s="8" t="s">
        <v>646</v>
      </c>
      <c r="F1875" s="8" t="s">
        <v>2224</v>
      </c>
    </row>
    <row r="1876" spans="1:6" ht="60" x14ac:dyDescent="0.25">
      <c r="A1876" s="8" t="s">
        <v>125</v>
      </c>
      <c r="B1876" s="8" t="s">
        <v>40</v>
      </c>
      <c r="C1876" s="8" t="str">
        <f>IFERROR(_xlfn.XLOOKUP(TRIM(B1876),Lookup!$B$2:$B$1000,Lookup!$C$2:$C$1000),"")</f>
        <v>Equity</v>
      </c>
      <c r="D1876" s="8" t="str">
        <f>IFERROR(INDEX('nav master'!$C:$C, MATCH(B1876, 'nav master'!$B:$B, 0)), "")</f>
        <v>ULIF 086 24/11/09 LOpport 105</v>
      </c>
      <c r="E1876" s="8" t="s">
        <v>648</v>
      </c>
      <c r="F1876" s="8" t="s">
        <v>2225</v>
      </c>
    </row>
    <row r="1877" spans="1:6" ht="60" x14ac:dyDescent="0.25">
      <c r="A1877" s="8" t="s">
        <v>125</v>
      </c>
      <c r="B1877" s="8" t="s">
        <v>40</v>
      </c>
      <c r="C1877" s="8" t="str">
        <f>IFERROR(_xlfn.XLOOKUP(TRIM(B1877),Lookup!$B$2:$B$1000,Lookup!$C$2:$C$1000),"")</f>
        <v>Equity</v>
      </c>
      <c r="D1877" s="8" t="str">
        <f>IFERROR(INDEX('nav master'!$C:$C, MATCH(B1877, 'nav master'!$B:$B, 0)), "")</f>
        <v>ULIF 086 24/11/09 LOpport 105</v>
      </c>
      <c r="E1877" s="8" t="s">
        <v>650</v>
      </c>
      <c r="F1877" s="8" t="s">
        <v>2226</v>
      </c>
    </row>
    <row r="1878" spans="1:6" ht="60" x14ac:dyDescent="0.25">
      <c r="A1878" s="8" t="s">
        <v>125</v>
      </c>
      <c r="B1878" s="8" t="s">
        <v>40</v>
      </c>
      <c r="C1878" s="8" t="str">
        <f>IFERROR(_xlfn.XLOOKUP(TRIM(B1878),Lookup!$B$2:$B$1000,Lookup!$C$2:$C$1000),"")</f>
        <v>Equity</v>
      </c>
      <c r="D1878" s="8" t="str">
        <f>IFERROR(INDEX('nav master'!$C:$C, MATCH(B1878, 'nav master'!$B:$B, 0)), "")</f>
        <v>ULIF 086 24/11/09 LOpport 105</v>
      </c>
      <c r="E1878" s="8" t="s">
        <v>652</v>
      </c>
      <c r="F1878" s="8" t="s">
        <v>2227</v>
      </c>
    </row>
    <row r="1879" spans="1:6" ht="60" x14ac:dyDescent="0.25">
      <c r="A1879" s="8" t="s">
        <v>125</v>
      </c>
      <c r="B1879" s="8" t="s">
        <v>40</v>
      </c>
      <c r="C1879" s="8" t="str">
        <f>IFERROR(_xlfn.XLOOKUP(TRIM(B1879),Lookup!$B$2:$B$1000,Lookup!$C$2:$C$1000),"")</f>
        <v>Equity</v>
      </c>
      <c r="D1879" s="8" t="str">
        <f>IFERROR(INDEX('nav master'!$C:$C, MATCH(B1879, 'nav master'!$B:$B, 0)), "")</f>
        <v>ULIF 086 24/11/09 LOpport 105</v>
      </c>
      <c r="E1879" s="8" t="s">
        <v>654</v>
      </c>
      <c r="F1879" s="8" t="s">
        <v>2228</v>
      </c>
    </row>
    <row r="1880" spans="1:6" ht="60" x14ac:dyDescent="0.25">
      <c r="A1880" s="8" t="s">
        <v>125</v>
      </c>
      <c r="B1880" s="8" t="s">
        <v>40</v>
      </c>
      <c r="C1880" s="8" t="str">
        <f>IFERROR(_xlfn.XLOOKUP(TRIM(B1880),Lookup!$B$2:$B$1000,Lookup!$C$2:$C$1000),"")</f>
        <v>Equity</v>
      </c>
      <c r="D1880" s="8" t="str">
        <f>IFERROR(INDEX('nav master'!$C:$C, MATCH(B1880, 'nav master'!$B:$B, 0)), "")</f>
        <v>ULIF 086 24/11/09 LOpport 105</v>
      </c>
      <c r="E1880" s="8" t="s">
        <v>656</v>
      </c>
      <c r="F1880" s="8" t="s">
        <v>2229</v>
      </c>
    </row>
    <row r="1881" spans="1:6" ht="60" x14ac:dyDescent="0.25">
      <c r="A1881" s="8" t="s">
        <v>125</v>
      </c>
      <c r="B1881" s="8" t="s">
        <v>40</v>
      </c>
      <c r="C1881" s="8" t="str">
        <f>IFERROR(_xlfn.XLOOKUP(TRIM(B1881),Lookup!$B$2:$B$1000,Lookup!$C$2:$C$1000),"")</f>
        <v>Equity</v>
      </c>
      <c r="D1881" s="8" t="str">
        <f>IFERROR(INDEX('nav master'!$C:$C, MATCH(B1881, 'nav master'!$B:$B, 0)), "")</f>
        <v>ULIF 086 24/11/09 LOpport 105</v>
      </c>
      <c r="E1881" s="8" t="s">
        <v>658</v>
      </c>
      <c r="F1881" s="8" t="s">
        <v>2230</v>
      </c>
    </row>
    <row r="1882" spans="1:6" ht="60" x14ac:dyDescent="0.25">
      <c r="A1882" s="8" t="s">
        <v>125</v>
      </c>
      <c r="B1882" s="8" t="s">
        <v>40</v>
      </c>
      <c r="C1882" s="8" t="str">
        <f>IFERROR(_xlfn.XLOOKUP(TRIM(B1882),Lookup!$B$2:$B$1000,Lookup!$C$2:$C$1000),"")</f>
        <v>Equity</v>
      </c>
      <c r="D1882" s="8" t="str">
        <f>IFERROR(INDEX('nav master'!$C:$C, MATCH(B1882, 'nav master'!$B:$B, 0)), "")</f>
        <v>ULIF 086 24/11/09 LOpport 105</v>
      </c>
      <c r="E1882" s="8" t="s">
        <v>660</v>
      </c>
      <c r="F1882" s="8" t="s">
        <v>2231</v>
      </c>
    </row>
    <row r="1883" spans="1:6" ht="60" x14ac:dyDescent="0.25">
      <c r="A1883" s="8" t="s">
        <v>125</v>
      </c>
      <c r="B1883" s="8" t="s">
        <v>40</v>
      </c>
      <c r="C1883" s="8" t="str">
        <f>IFERROR(_xlfn.XLOOKUP(TRIM(B1883),Lookup!$B$2:$B$1000,Lookup!$C$2:$C$1000),"")</f>
        <v>Equity</v>
      </c>
      <c r="D1883" s="8" t="str">
        <f>IFERROR(INDEX('nav master'!$C:$C, MATCH(B1883, 'nav master'!$B:$B, 0)), "")</f>
        <v>ULIF 086 24/11/09 LOpport 105</v>
      </c>
      <c r="E1883" s="8" t="s">
        <v>662</v>
      </c>
      <c r="F1883" s="8" t="s">
        <v>2232</v>
      </c>
    </row>
    <row r="1884" spans="1:6" ht="60" x14ac:dyDescent="0.25">
      <c r="A1884" s="8" t="s">
        <v>125</v>
      </c>
      <c r="B1884" s="8" t="s">
        <v>40</v>
      </c>
      <c r="C1884" s="8" t="str">
        <f>IFERROR(_xlfn.XLOOKUP(TRIM(B1884),Lookup!$B$2:$B$1000,Lookup!$C$2:$C$1000),"")</f>
        <v>Equity</v>
      </c>
      <c r="D1884" s="8" t="str">
        <f>IFERROR(INDEX('nav master'!$C:$C, MATCH(B1884, 'nav master'!$B:$B, 0)), "")</f>
        <v>ULIF 086 24/11/09 LOpport 105</v>
      </c>
      <c r="E1884" s="8" t="s">
        <v>664</v>
      </c>
      <c r="F1884" s="8" t="s">
        <v>2233</v>
      </c>
    </row>
    <row r="1885" spans="1:6" ht="60" x14ac:dyDescent="0.25">
      <c r="A1885" s="8" t="s">
        <v>125</v>
      </c>
      <c r="B1885" s="8" t="s">
        <v>40</v>
      </c>
      <c r="C1885" s="8" t="str">
        <f>IFERROR(_xlfn.XLOOKUP(TRIM(B1885),Lookup!$B$2:$B$1000,Lookup!$C$2:$C$1000),"")</f>
        <v>Equity</v>
      </c>
      <c r="D1885" s="8" t="str">
        <f>IFERROR(INDEX('nav master'!$C:$C, MATCH(B1885, 'nav master'!$B:$B, 0)), "")</f>
        <v>ULIF 086 24/11/09 LOpport 105</v>
      </c>
      <c r="E1885" s="8" t="s">
        <v>4892</v>
      </c>
      <c r="F1885" s="8" t="s">
        <v>4952</v>
      </c>
    </row>
    <row r="1886" spans="1:6" ht="60" x14ac:dyDescent="0.25">
      <c r="A1886" s="8" t="s">
        <v>125</v>
      </c>
      <c r="B1886" s="8" t="s">
        <v>40</v>
      </c>
      <c r="C1886" s="8" t="str">
        <f>IFERROR(_xlfn.XLOOKUP(TRIM(B1886),Lookup!$B$2:$B$1000,Lookup!$C$2:$C$1000),"")</f>
        <v>Equity</v>
      </c>
      <c r="D1886" s="8" t="str">
        <f>IFERROR(INDEX('nav master'!$C:$C, MATCH(B1886, 'nav master'!$B:$B, 0)), "")</f>
        <v>ULIF 086 24/11/09 LOpport 105</v>
      </c>
      <c r="E1886" s="8" t="s">
        <v>4894</v>
      </c>
      <c r="F1886" s="8" t="s">
        <v>4953</v>
      </c>
    </row>
    <row r="1887" spans="1:6" ht="60" x14ac:dyDescent="0.25">
      <c r="A1887" s="8" t="s">
        <v>125</v>
      </c>
      <c r="B1887" s="8" t="s">
        <v>40</v>
      </c>
      <c r="C1887" s="8" t="str">
        <f>IFERROR(_xlfn.XLOOKUP(TRIM(B1887),Lookup!$B$2:$B$1000,Lookup!$C$2:$C$1000),"")</f>
        <v>Equity</v>
      </c>
      <c r="D1887" s="8" t="str">
        <f>IFERROR(INDEX('nav master'!$C:$C, MATCH(B1887, 'nav master'!$B:$B, 0)), "")</f>
        <v>ULIF 086 24/11/09 LOpport 105</v>
      </c>
      <c r="E1887" s="8" t="s">
        <v>4896</v>
      </c>
      <c r="F1887" s="8" t="s">
        <v>4954</v>
      </c>
    </row>
    <row r="1888" spans="1:6" ht="60" x14ac:dyDescent="0.25">
      <c r="A1888" s="8" t="s">
        <v>125</v>
      </c>
      <c r="B1888" s="8" t="s">
        <v>40</v>
      </c>
      <c r="C1888" s="8" t="str">
        <f>IFERROR(_xlfn.XLOOKUP(TRIM(B1888),Lookup!$B$2:$B$1000,Lookup!$C$2:$C$1000),"")</f>
        <v>Equity</v>
      </c>
      <c r="D1888" s="8" t="str">
        <f>IFERROR(INDEX('nav master'!$C:$C, MATCH(B1888, 'nav master'!$B:$B, 0)), "")</f>
        <v>ULIF 086 24/11/09 LOpport 105</v>
      </c>
      <c r="E1888" s="8" t="s">
        <v>4898</v>
      </c>
      <c r="F1888" s="8" t="s">
        <v>4955</v>
      </c>
    </row>
    <row r="1889" spans="1:6" ht="60" x14ac:dyDescent="0.25">
      <c r="A1889" s="8" t="s">
        <v>125</v>
      </c>
      <c r="B1889" s="8" t="s">
        <v>40</v>
      </c>
      <c r="C1889" s="8" t="str">
        <f>IFERROR(_xlfn.XLOOKUP(TRIM(B1889),Lookup!$B$2:$B$1000,Lookup!$C$2:$C$1000),"")</f>
        <v>Equity</v>
      </c>
      <c r="D1889" s="8" t="str">
        <f>IFERROR(INDEX('nav master'!$C:$C, MATCH(B1889, 'nav master'!$B:$B, 0)), "")</f>
        <v>ULIF 086 24/11/09 LOpport 105</v>
      </c>
      <c r="E1889" s="8" t="s">
        <v>4900</v>
      </c>
      <c r="F1889" s="8" t="s">
        <v>4956</v>
      </c>
    </row>
    <row r="1890" spans="1:6" ht="60" x14ac:dyDescent="0.25">
      <c r="A1890" s="8" t="s">
        <v>125</v>
      </c>
      <c r="B1890" s="8" t="s">
        <v>40</v>
      </c>
      <c r="C1890" s="8" t="str">
        <f>IFERROR(_xlfn.XLOOKUP(TRIM(B1890),Lookup!$B$2:$B$1000,Lookup!$C$2:$C$1000),"")</f>
        <v>Equity</v>
      </c>
      <c r="D1890" s="8" t="str">
        <f>IFERROR(INDEX('nav master'!$C:$C, MATCH(B1890, 'nav master'!$B:$B, 0)), "")</f>
        <v>ULIF 086 24/11/09 LOpport 105</v>
      </c>
      <c r="E1890" s="8" t="s">
        <v>4902</v>
      </c>
      <c r="F1890" s="8" t="s">
        <v>4957</v>
      </c>
    </row>
    <row r="1891" spans="1:6" ht="60" x14ac:dyDescent="0.25">
      <c r="A1891" s="8" t="s">
        <v>125</v>
      </c>
      <c r="B1891" s="8" t="s">
        <v>40</v>
      </c>
      <c r="C1891" s="8" t="str">
        <f>IFERROR(_xlfn.XLOOKUP(TRIM(B1891),Lookup!$B$2:$B$1000,Lookup!$C$2:$C$1000),"")</f>
        <v>Equity</v>
      </c>
      <c r="D1891" s="8" t="str">
        <f>IFERROR(INDEX('nav master'!$C:$C, MATCH(B1891, 'nav master'!$B:$B, 0)), "")</f>
        <v>ULIF 086 24/11/09 LOpport 105</v>
      </c>
      <c r="E1891" s="8" t="s">
        <v>4903</v>
      </c>
      <c r="F1891" s="8" t="s">
        <v>4958</v>
      </c>
    </row>
    <row r="1892" spans="1:6" ht="60" x14ac:dyDescent="0.25">
      <c r="A1892" s="8" t="s">
        <v>125</v>
      </c>
      <c r="B1892" s="8" t="s">
        <v>40</v>
      </c>
      <c r="C1892" s="8" t="str">
        <f>IFERROR(_xlfn.XLOOKUP(TRIM(B1892),Lookup!$B$2:$B$1000,Lookup!$C$2:$C$1000),"")</f>
        <v>Equity</v>
      </c>
      <c r="D1892" s="8" t="str">
        <f>IFERROR(INDEX('nav master'!$C:$C, MATCH(B1892, 'nav master'!$B:$B, 0)), "")</f>
        <v>ULIF 086 24/11/09 LOpport 105</v>
      </c>
      <c r="E1892" s="8" t="s">
        <v>4905</v>
      </c>
      <c r="F1892" s="8" t="s">
        <v>4959</v>
      </c>
    </row>
    <row r="1893" spans="1:6" ht="60" x14ac:dyDescent="0.25">
      <c r="A1893" s="8" t="s">
        <v>125</v>
      </c>
      <c r="B1893" s="8" t="s">
        <v>143</v>
      </c>
      <c r="C1893" s="8" t="str">
        <f>IFERROR(_xlfn.XLOOKUP(TRIM(B1893),Lookup!$B$2:$B$1000,Lookup!$C$2:$C$1000),"")</f>
        <v>Debt</v>
      </c>
      <c r="D1893" s="8" t="str">
        <f>IFERROR(INDEX('nav master'!$C:$C, MATCH(B1893, 'nav master'!$B:$B, 0)), "")</f>
        <v>ULIF06814/06/19BondPlusFd101</v>
      </c>
      <c r="E1893" s="8" t="s">
        <v>189</v>
      </c>
      <c r="F1893" s="8" t="s">
        <v>2235</v>
      </c>
    </row>
    <row r="1894" spans="1:6" ht="60" x14ac:dyDescent="0.25">
      <c r="A1894" s="8" t="s">
        <v>125</v>
      </c>
      <c r="B1894" s="8" t="s">
        <v>143</v>
      </c>
      <c r="C1894" s="8" t="str">
        <f>IFERROR(_xlfn.XLOOKUP(TRIM(B1894),Lookup!$B$2:$B$1000,Lookup!$C$2:$C$1000),"")</f>
        <v>Debt</v>
      </c>
      <c r="D1894" s="8" t="str">
        <f>IFERROR(INDEX('nav master'!$C:$C, MATCH(B1894, 'nav master'!$B:$B, 0)), "")</f>
        <v>ULIF06814/06/19BondPlusFd101</v>
      </c>
      <c r="E1894" s="8" t="s">
        <v>191</v>
      </c>
      <c r="F1894" s="8" t="s">
        <v>2236</v>
      </c>
    </row>
    <row r="1895" spans="1:6" ht="60" x14ac:dyDescent="0.25">
      <c r="A1895" s="8" t="s">
        <v>125</v>
      </c>
      <c r="B1895" s="8" t="s">
        <v>143</v>
      </c>
      <c r="C1895" s="8" t="str">
        <f>IFERROR(_xlfn.XLOOKUP(TRIM(B1895),Lookup!$B$2:$B$1000,Lookup!$C$2:$C$1000),"")</f>
        <v>Debt</v>
      </c>
      <c r="D1895" s="8" t="str">
        <f>IFERROR(INDEX('nav master'!$C:$C, MATCH(B1895, 'nav master'!$B:$B, 0)), "")</f>
        <v>ULIF06814/06/19BondPlusFd101</v>
      </c>
      <c r="E1895" s="8" t="s">
        <v>193</v>
      </c>
      <c r="F1895" s="8" t="s">
        <v>2237</v>
      </c>
    </row>
    <row r="1896" spans="1:6" ht="60" x14ac:dyDescent="0.25">
      <c r="A1896" s="8" t="s">
        <v>125</v>
      </c>
      <c r="B1896" s="8" t="s">
        <v>143</v>
      </c>
      <c r="C1896" s="8" t="str">
        <f>IFERROR(_xlfn.XLOOKUP(TRIM(B1896),Lookup!$B$2:$B$1000,Lookup!$C$2:$C$1000),"")</f>
        <v>Debt</v>
      </c>
      <c r="D1896" s="8" t="str">
        <f>IFERROR(INDEX('nav master'!$C:$C, MATCH(B1896, 'nav master'!$B:$B, 0)), "")</f>
        <v>ULIF06814/06/19BondPlusFd101</v>
      </c>
      <c r="E1896" s="8" t="s">
        <v>195</v>
      </c>
      <c r="F1896" s="8" t="s">
        <v>2238</v>
      </c>
    </row>
    <row r="1897" spans="1:6" ht="60" x14ac:dyDescent="0.25">
      <c r="A1897" s="8" t="s">
        <v>125</v>
      </c>
      <c r="B1897" s="8" t="s">
        <v>143</v>
      </c>
      <c r="C1897" s="8" t="str">
        <f>IFERROR(_xlfn.XLOOKUP(TRIM(B1897),Lookup!$B$2:$B$1000,Lookup!$C$2:$C$1000),"")</f>
        <v>Debt</v>
      </c>
      <c r="D1897" s="8" t="str">
        <f>IFERROR(INDEX('nav master'!$C:$C, MATCH(B1897, 'nav master'!$B:$B, 0)), "")</f>
        <v>ULIF06814/06/19BondPlusFd101</v>
      </c>
      <c r="E1897" s="8" t="s">
        <v>197</v>
      </c>
      <c r="F1897" s="8" t="s">
        <v>2234</v>
      </c>
    </row>
    <row r="1898" spans="1:6" ht="60" x14ac:dyDescent="0.25">
      <c r="A1898" s="8" t="s">
        <v>125</v>
      </c>
      <c r="B1898" s="8" t="s">
        <v>143</v>
      </c>
      <c r="C1898" s="8" t="str">
        <f>IFERROR(_xlfn.XLOOKUP(TRIM(B1898),Lookup!$B$2:$B$1000,Lookup!$C$2:$C$1000),"")</f>
        <v>Debt</v>
      </c>
      <c r="D1898" s="8" t="str">
        <f>IFERROR(INDEX('nav master'!$C:$C, MATCH(B1898, 'nav master'!$B:$B, 0)), "")</f>
        <v>ULIF06814/06/19BondPlusFd101</v>
      </c>
      <c r="E1898" s="8" t="s">
        <v>199</v>
      </c>
      <c r="F1898" s="8" t="s">
        <v>2239</v>
      </c>
    </row>
    <row r="1899" spans="1:6" ht="60" x14ac:dyDescent="0.25">
      <c r="A1899" s="8" t="s">
        <v>125</v>
      </c>
      <c r="B1899" s="8" t="s">
        <v>143</v>
      </c>
      <c r="C1899" s="8" t="str">
        <f>IFERROR(_xlfn.XLOOKUP(TRIM(B1899),Lookup!$B$2:$B$1000,Lookup!$C$2:$C$1000),"")</f>
        <v>Debt</v>
      </c>
      <c r="D1899" s="8" t="str">
        <f>IFERROR(INDEX('nav master'!$C:$C, MATCH(B1899, 'nav master'!$B:$B, 0)), "")</f>
        <v>ULIF06814/06/19BondPlusFd101</v>
      </c>
      <c r="E1899" s="8" t="s">
        <v>201</v>
      </c>
      <c r="F1899" s="8" t="s">
        <v>2240</v>
      </c>
    </row>
    <row r="1900" spans="1:6" ht="60" x14ac:dyDescent="0.25">
      <c r="A1900" s="8" t="s">
        <v>125</v>
      </c>
      <c r="B1900" s="8" t="s">
        <v>143</v>
      </c>
      <c r="C1900" s="8" t="str">
        <f>IFERROR(_xlfn.XLOOKUP(TRIM(B1900),Lookup!$B$2:$B$1000,Lookup!$C$2:$C$1000),"")</f>
        <v>Debt</v>
      </c>
      <c r="D1900" s="8" t="str">
        <f>IFERROR(INDEX('nav master'!$C:$C, MATCH(B1900, 'nav master'!$B:$B, 0)), "")</f>
        <v>ULIF06814/06/19BondPlusFd101</v>
      </c>
      <c r="E1900" s="8" t="s">
        <v>203</v>
      </c>
      <c r="F1900" s="8" t="s">
        <v>2241</v>
      </c>
    </row>
    <row r="1901" spans="1:6" ht="60" x14ac:dyDescent="0.25">
      <c r="A1901" s="8" t="s">
        <v>125</v>
      </c>
      <c r="B1901" s="8" t="s">
        <v>143</v>
      </c>
      <c r="C1901" s="8" t="str">
        <f>IFERROR(_xlfn.XLOOKUP(TRIM(B1901),Lookup!$B$2:$B$1000,Lookup!$C$2:$C$1000),"")</f>
        <v>Debt</v>
      </c>
      <c r="D1901" s="8" t="str">
        <f>IFERROR(INDEX('nav master'!$C:$C, MATCH(B1901, 'nav master'!$B:$B, 0)), "")</f>
        <v>ULIF06814/06/19BondPlusFd101</v>
      </c>
      <c r="E1901" s="8" t="s">
        <v>205</v>
      </c>
      <c r="F1901" s="8" t="s">
        <v>2242</v>
      </c>
    </row>
    <row r="1902" spans="1:6" ht="60" x14ac:dyDescent="0.25">
      <c r="A1902" s="8" t="s">
        <v>125</v>
      </c>
      <c r="B1902" s="8" t="s">
        <v>143</v>
      </c>
      <c r="C1902" s="8" t="str">
        <f>IFERROR(_xlfn.XLOOKUP(TRIM(B1902),Lookup!$B$2:$B$1000,Lookup!$C$2:$C$1000),"")</f>
        <v>Debt</v>
      </c>
      <c r="D1902" s="8" t="str">
        <f>IFERROR(INDEX('nav master'!$C:$C, MATCH(B1902, 'nav master'!$B:$B, 0)), "")</f>
        <v>ULIF06814/06/19BondPlusFd101</v>
      </c>
      <c r="E1902" s="8" t="s">
        <v>207</v>
      </c>
      <c r="F1902" s="8" t="s">
        <v>2243</v>
      </c>
    </row>
    <row r="1903" spans="1:6" ht="60" x14ac:dyDescent="0.25">
      <c r="A1903" s="8" t="s">
        <v>125</v>
      </c>
      <c r="B1903" s="8" t="s">
        <v>143</v>
      </c>
      <c r="C1903" s="8" t="str">
        <f>IFERROR(_xlfn.XLOOKUP(TRIM(B1903),Lookup!$B$2:$B$1000,Lookup!$C$2:$C$1000),"")</f>
        <v>Debt</v>
      </c>
      <c r="D1903" s="8" t="str">
        <f>IFERROR(INDEX('nav master'!$C:$C, MATCH(B1903, 'nav master'!$B:$B, 0)), "")</f>
        <v>ULIF06814/06/19BondPlusFd101</v>
      </c>
      <c r="E1903" s="8" t="s">
        <v>209</v>
      </c>
      <c r="F1903" s="8" t="s">
        <v>2244</v>
      </c>
    </row>
    <row r="1904" spans="1:6" ht="60" x14ac:dyDescent="0.25">
      <c r="A1904" s="8" t="s">
        <v>125</v>
      </c>
      <c r="B1904" s="8" t="s">
        <v>143</v>
      </c>
      <c r="C1904" s="8" t="str">
        <f>IFERROR(_xlfn.XLOOKUP(TRIM(B1904),Lookup!$B$2:$B$1000,Lookup!$C$2:$C$1000),"")</f>
        <v>Debt</v>
      </c>
      <c r="D1904" s="8" t="str">
        <f>IFERROR(INDEX('nav master'!$C:$C, MATCH(B1904, 'nav master'!$B:$B, 0)), "")</f>
        <v>ULIF06814/06/19BondPlusFd101</v>
      </c>
      <c r="E1904" s="8" t="s">
        <v>211</v>
      </c>
      <c r="F1904" s="8" t="s">
        <v>2245</v>
      </c>
    </row>
    <row r="1905" spans="1:6" ht="60" x14ac:dyDescent="0.25">
      <c r="A1905" s="8" t="s">
        <v>125</v>
      </c>
      <c r="B1905" s="8" t="s">
        <v>143</v>
      </c>
      <c r="C1905" s="8" t="str">
        <f>IFERROR(_xlfn.XLOOKUP(TRIM(B1905),Lookup!$B$2:$B$1000,Lookup!$C$2:$C$1000),"")</f>
        <v>Debt</v>
      </c>
      <c r="D1905" s="8" t="str">
        <f>IFERROR(INDEX('nav master'!$C:$C, MATCH(B1905, 'nav master'!$B:$B, 0)), "")</f>
        <v>ULIF06814/06/19BondPlusFd101</v>
      </c>
      <c r="E1905" s="8" t="s">
        <v>213</v>
      </c>
      <c r="F1905" s="8" t="s">
        <v>2246</v>
      </c>
    </row>
    <row r="1906" spans="1:6" ht="60" x14ac:dyDescent="0.25">
      <c r="A1906" s="8" t="s">
        <v>125</v>
      </c>
      <c r="B1906" s="8" t="s">
        <v>143</v>
      </c>
      <c r="C1906" s="8" t="str">
        <f>IFERROR(_xlfn.XLOOKUP(TRIM(B1906),Lookup!$B$2:$B$1000,Lookup!$C$2:$C$1000),"")</f>
        <v>Debt</v>
      </c>
      <c r="D1906" s="8" t="str">
        <f>IFERROR(INDEX('nav master'!$C:$C, MATCH(B1906, 'nav master'!$B:$B, 0)), "")</f>
        <v>ULIF06814/06/19BondPlusFd101</v>
      </c>
      <c r="E1906" s="8" t="s">
        <v>215</v>
      </c>
      <c r="F1906" s="8" t="s">
        <v>2247</v>
      </c>
    </row>
    <row r="1907" spans="1:6" ht="60" x14ac:dyDescent="0.25">
      <c r="A1907" s="8" t="s">
        <v>125</v>
      </c>
      <c r="B1907" s="8" t="s">
        <v>143</v>
      </c>
      <c r="C1907" s="8" t="str">
        <f>IFERROR(_xlfn.XLOOKUP(TRIM(B1907),Lookup!$B$2:$B$1000,Lookup!$C$2:$C$1000),"")</f>
        <v>Debt</v>
      </c>
      <c r="D1907" s="8" t="str">
        <f>IFERROR(INDEX('nav master'!$C:$C, MATCH(B1907, 'nav master'!$B:$B, 0)), "")</f>
        <v>ULIF06814/06/19BondPlusFd101</v>
      </c>
      <c r="E1907" s="8" t="s">
        <v>217</v>
      </c>
      <c r="F1907" s="8" t="s">
        <v>2248</v>
      </c>
    </row>
    <row r="1908" spans="1:6" ht="60" x14ac:dyDescent="0.25">
      <c r="A1908" s="8" t="s">
        <v>125</v>
      </c>
      <c r="B1908" s="8" t="s">
        <v>143</v>
      </c>
      <c r="C1908" s="8" t="str">
        <f>IFERROR(_xlfn.XLOOKUP(TRIM(B1908),Lookup!$B$2:$B$1000,Lookup!$C$2:$C$1000),"")</f>
        <v>Debt</v>
      </c>
      <c r="D1908" s="8" t="str">
        <f>IFERROR(INDEX('nav master'!$C:$C, MATCH(B1908, 'nav master'!$B:$B, 0)), "")</f>
        <v>ULIF06814/06/19BondPlusFd101</v>
      </c>
      <c r="E1908" s="8" t="s">
        <v>219</v>
      </c>
      <c r="F1908" s="8" t="s">
        <v>2249</v>
      </c>
    </row>
    <row r="1909" spans="1:6" ht="60" x14ac:dyDescent="0.25">
      <c r="A1909" s="8" t="s">
        <v>125</v>
      </c>
      <c r="B1909" s="8" t="s">
        <v>143</v>
      </c>
      <c r="C1909" s="8" t="str">
        <f>IFERROR(_xlfn.XLOOKUP(TRIM(B1909),Lookup!$B$2:$B$1000,Lookup!$C$2:$C$1000),"")</f>
        <v>Debt</v>
      </c>
      <c r="D1909" s="8" t="str">
        <f>IFERROR(INDEX('nav master'!$C:$C, MATCH(B1909, 'nav master'!$B:$B, 0)), "")</f>
        <v>ULIF06814/06/19BondPlusFd101</v>
      </c>
      <c r="E1909" s="8" t="s">
        <v>221</v>
      </c>
      <c r="F1909" s="8" t="s">
        <v>2235</v>
      </c>
    </row>
    <row r="1910" spans="1:6" ht="60" x14ac:dyDescent="0.25">
      <c r="A1910" s="8" t="s">
        <v>125</v>
      </c>
      <c r="B1910" s="8" t="s">
        <v>143</v>
      </c>
      <c r="C1910" s="8" t="str">
        <f>IFERROR(_xlfn.XLOOKUP(TRIM(B1910),Lookup!$B$2:$B$1000,Lookup!$C$2:$C$1000),"")</f>
        <v>Debt</v>
      </c>
      <c r="D1910" s="8" t="str">
        <f>IFERROR(INDEX('nav master'!$C:$C, MATCH(B1910, 'nav master'!$B:$B, 0)), "")</f>
        <v>ULIF06814/06/19BondPlusFd101</v>
      </c>
      <c r="E1910" s="8" t="s">
        <v>223</v>
      </c>
      <c r="F1910" s="8" t="s">
        <v>2250</v>
      </c>
    </row>
    <row r="1911" spans="1:6" ht="60" x14ac:dyDescent="0.25">
      <c r="A1911" s="8" t="s">
        <v>125</v>
      </c>
      <c r="B1911" s="8" t="s">
        <v>143</v>
      </c>
      <c r="C1911" s="8" t="str">
        <f>IFERROR(_xlfn.XLOOKUP(TRIM(B1911),Lookup!$B$2:$B$1000,Lookup!$C$2:$C$1000),"")</f>
        <v>Debt</v>
      </c>
      <c r="D1911" s="8" t="str">
        <f>IFERROR(INDEX('nav master'!$C:$C, MATCH(B1911, 'nav master'!$B:$B, 0)), "")</f>
        <v>ULIF06814/06/19BondPlusFd101</v>
      </c>
      <c r="E1911" s="8" t="s">
        <v>225</v>
      </c>
      <c r="F1911" s="8" t="s">
        <v>2251</v>
      </c>
    </row>
    <row r="1912" spans="1:6" ht="60" x14ac:dyDescent="0.25">
      <c r="A1912" s="8" t="s">
        <v>125</v>
      </c>
      <c r="B1912" s="8" t="s">
        <v>143</v>
      </c>
      <c r="C1912" s="8" t="str">
        <f>IFERROR(_xlfn.XLOOKUP(TRIM(B1912),Lookup!$B$2:$B$1000,Lookup!$C$2:$C$1000),"")</f>
        <v>Debt</v>
      </c>
      <c r="D1912" s="8" t="str">
        <f>IFERROR(INDEX('nav master'!$C:$C, MATCH(B1912, 'nav master'!$B:$B, 0)), "")</f>
        <v>ULIF06814/06/19BondPlusFd101</v>
      </c>
      <c r="E1912" s="8" t="s">
        <v>227</v>
      </c>
      <c r="F1912" s="8" t="s">
        <v>2252</v>
      </c>
    </row>
    <row r="1913" spans="1:6" ht="60" x14ac:dyDescent="0.25">
      <c r="A1913" s="8" t="s">
        <v>125</v>
      </c>
      <c r="B1913" s="8" t="s">
        <v>143</v>
      </c>
      <c r="C1913" s="8" t="str">
        <f>IFERROR(_xlfn.XLOOKUP(TRIM(B1913),Lookup!$B$2:$B$1000,Lookup!$C$2:$C$1000),"")</f>
        <v>Debt</v>
      </c>
      <c r="D1913" s="8" t="str">
        <f>IFERROR(INDEX('nav master'!$C:$C, MATCH(B1913, 'nav master'!$B:$B, 0)), "")</f>
        <v>ULIF06814/06/19BondPlusFd101</v>
      </c>
      <c r="E1913" s="8" t="s">
        <v>229</v>
      </c>
      <c r="F1913" s="8" t="s">
        <v>2253</v>
      </c>
    </row>
    <row r="1914" spans="1:6" ht="60" x14ac:dyDescent="0.25">
      <c r="A1914" s="8" t="s">
        <v>125</v>
      </c>
      <c r="B1914" s="8" t="s">
        <v>143</v>
      </c>
      <c r="C1914" s="8" t="str">
        <f>IFERROR(_xlfn.XLOOKUP(TRIM(B1914),Lookup!$B$2:$B$1000,Lookup!$C$2:$C$1000),"")</f>
        <v>Debt</v>
      </c>
      <c r="D1914" s="8" t="str">
        <f>IFERROR(INDEX('nav master'!$C:$C, MATCH(B1914, 'nav master'!$B:$B, 0)), "")</f>
        <v>ULIF06814/06/19BondPlusFd101</v>
      </c>
      <c r="E1914" s="8" t="s">
        <v>231</v>
      </c>
      <c r="F1914" s="8" t="s">
        <v>2254</v>
      </c>
    </row>
    <row r="1915" spans="1:6" ht="60" x14ac:dyDescent="0.25">
      <c r="A1915" s="8" t="s">
        <v>125</v>
      </c>
      <c r="B1915" s="8" t="s">
        <v>143</v>
      </c>
      <c r="C1915" s="8" t="str">
        <f>IFERROR(_xlfn.XLOOKUP(TRIM(B1915),Lookup!$B$2:$B$1000,Lookup!$C$2:$C$1000),"")</f>
        <v>Debt</v>
      </c>
      <c r="D1915" s="8" t="str">
        <f>IFERROR(INDEX('nav master'!$C:$C, MATCH(B1915, 'nav master'!$B:$B, 0)), "")</f>
        <v>ULIF06814/06/19BondPlusFd101</v>
      </c>
      <c r="E1915" s="8" t="s">
        <v>233</v>
      </c>
      <c r="F1915" s="8" t="s">
        <v>2250</v>
      </c>
    </row>
    <row r="1916" spans="1:6" ht="60" x14ac:dyDescent="0.25">
      <c r="A1916" s="8" t="s">
        <v>125</v>
      </c>
      <c r="B1916" s="8" t="s">
        <v>143</v>
      </c>
      <c r="C1916" s="8" t="str">
        <f>IFERROR(_xlfn.XLOOKUP(TRIM(B1916),Lookup!$B$2:$B$1000,Lookup!$C$2:$C$1000),"")</f>
        <v>Debt</v>
      </c>
      <c r="D1916" s="8" t="str">
        <f>IFERROR(INDEX('nav master'!$C:$C, MATCH(B1916, 'nav master'!$B:$B, 0)), "")</f>
        <v>ULIF06814/06/19BondPlusFd101</v>
      </c>
      <c r="E1916" s="8" t="s">
        <v>235</v>
      </c>
      <c r="F1916" s="8" t="s">
        <v>2255</v>
      </c>
    </row>
    <row r="1917" spans="1:6" ht="60" x14ac:dyDescent="0.25">
      <c r="A1917" s="8" t="s">
        <v>125</v>
      </c>
      <c r="B1917" s="8" t="s">
        <v>143</v>
      </c>
      <c r="C1917" s="8" t="str">
        <f>IFERROR(_xlfn.XLOOKUP(TRIM(B1917),Lookup!$B$2:$B$1000,Lookup!$C$2:$C$1000),"")</f>
        <v>Debt</v>
      </c>
      <c r="D1917" s="8" t="str">
        <f>IFERROR(INDEX('nav master'!$C:$C, MATCH(B1917, 'nav master'!$B:$B, 0)), "")</f>
        <v>ULIF06814/06/19BondPlusFd101</v>
      </c>
      <c r="E1917" s="8" t="s">
        <v>237</v>
      </c>
      <c r="F1917" s="8" t="s">
        <v>2256</v>
      </c>
    </row>
    <row r="1918" spans="1:6" ht="60" x14ac:dyDescent="0.25">
      <c r="A1918" s="8" t="s">
        <v>125</v>
      </c>
      <c r="B1918" s="8" t="s">
        <v>143</v>
      </c>
      <c r="C1918" s="8" t="str">
        <f>IFERROR(_xlfn.XLOOKUP(TRIM(B1918),Lookup!$B$2:$B$1000,Lookup!$C$2:$C$1000),"")</f>
        <v>Debt</v>
      </c>
      <c r="D1918" s="8" t="str">
        <f>IFERROR(INDEX('nav master'!$C:$C, MATCH(B1918, 'nav master'!$B:$B, 0)), "")</f>
        <v>ULIF06814/06/19BondPlusFd101</v>
      </c>
      <c r="E1918" s="8" t="s">
        <v>239</v>
      </c>
      <c r="F1918" s="8" t="s">
        <v>2257</v>
      </c>
    </row>
    <row r="1919" spans="1:6" ht="60" x14ac:dyDescent="0.25">
      <c r="A1919" s="8" t="s">
        <v>125</v>
      </c>
      <c r="B1919" s="8" t="s">
        <v>143</v>
      </c>
      <c r="C1919" s="8" t="str">
        <f>IFERROR(_xlfn.XLOOKUP(TRIM(B1919),Lookup!$B$2:$B$1000,Lookup!$C$2:$C$1000),"")</f>
        <v>Debt</v>
      </c>
      <c r="D1919" s="8" t="str">
        <f>IFERROR(INDEX('nav master'!$C:$C, MATCH(B1919, 'nav master'!$B:$B, 0)), "")</f>
        <v>ULIF06814/06/19BondPlusFd101</v>
      </c>
      <c r="E1919" s="8" t="s">
        <v>241</v>
      </c>
      <c r="F1919" s="8" t="s">
        <v>2258</v>
      </c>
    </row>
    <row r="1920" spans="1:6" ht="60" x14ac:dyDescent="0.25">
      <c r="A1920" s="8" t="s">
        <v>125</v>
      </c>
      <c r="B1920" s="8" t="s">
        <v>143</v>
      </c>
      <c r="C1920" s="8" t="str">
        <f>IFERROR(_xlfn.XLOOKUP(TRIM(B1920),Lookup!$B$2:$B$1000,Lookup!$C$2:$C$1000),"")</f>
        <v>Debt</v>
      </c>
      <c r="D1920" s="8" t="str">
        <f>IFERROR(INDEX('nav master'!$C:$C, MATCH(B1920, 'nav master'!$B:$B, 0)), "")</f>
        <v>ULIF06814/06/19BondPlusFd101</v>
      </c>
      <c r="E1920" s="8" t="s">
        <v>243</v>
      </c>
      <c r="F1920" s="8" t="s">
        <v>2259</v>
      </c>
    </row>
    <row r="1921" spans="1:6" ht="60" x14ac:dyDescent="0.25">
      <c r="A1921" s="8" t="s">
        <v>125</v>
      </c>
      <c r="B1921" s="8" t="s">
        <v>143</v>
      </c>
      <c r="C1921" s="8" t="str">
        <f>IFERROR(_xlfn.XLOOKUP(TRIM(B1921),Lookup!$B$2:$B$1000,Lookup!$C$2:$C$1000),"")</f>
        <v>Debt</v>
      </c>
      <c r="D1921" s="8" t="str">
        <f>IFERROR(INDEX('nav master'!$C:$C, MATCH(B1921, 'nav master'!$B:$B, 0)), "")</f>
        <v>ULIF06814/06/19BondPlusFd101</v>
      </c>
      <c r="E1921" s="8" t="s">
        <v>245</v>
      </c>
      <c r="F1921" s="8" t="s">
        <v>2260</v>
      </c>
    </row>
    <row r="1922" spans="1:6" ht="60" x14ac:dyDescent="0.25">
      <c r="A1922" s="8" t="s">
        <v>125</v>
      </c>
      <c r="B1922" s="8" t="s">
        <v>143</v>
      </c>
      <c r="C1922" s="8" t="str">
        <f>IFERROR(_xlfn.XLOOKUP(TRIM(B1922),Lookup!$B$2:$B$1000,Lookup!$C$2:$C$1000),"")</f>
        <v>Debt</v>
      </c>
      <c r="D1922" s="8" t="str">
        <f>IFERROR(INDEX('nav master'!$C:$C, MATCH(B1922, 'nav master'!$B:$B, 0)), "")</f>
        <v>ULIF06814/06/19BondPlusFd101</v>
      </c>
      <c r="E1922" s="8" t="s">
        <v>247</v>
      </c>
      <c r="F1922" s="8" t="s">
        <v>2261</v>
      </c>
    </row>
    <row r="1923" spans="1:6" ht="60" x14ac:dyDescent="0.25">
      <c r="A1923" s="8" t="s">
        <v>125</v>
      </c>
      <c r="B1923" s="8" t="s">
        <v>143</v>
      </c>
      <c r="C1923" s="8" t="str">
        <f>IFERROR(_xlfn.XLOOKUP(TRIM(B1923),Lookup!$B$2:$B$1000,Lookup!$C$2:$C$1000),"")</f>
        <v>Debt</v>
      </c>
      <c r="D1923" s="8" t="str">
        <f>IFERROR(INDEX('nav master'!$C:$C, MATCH(B1923, 'nav master'!$B:$B, 0)), "")</f>
        <v>ULIF06814/06/19BondPlusFd101</v>
      </c>
      <c r="E1923" s="8" t="s">
        <v>249</v>
      </c>
      <c r="F1923" s="8" t="s">
        <v>2262</v>
      </c>
    </row>
    <row r="1924" spans="1:6" ht="60" x14ac:dyDescent="0.25">
      <c r="A1924" s="8" t="s">
        <v>125</v>
      </c>
      <c r="B1924" s="8" t="s">
        <v>143</v>
      </c>
      <c r="C1924" s="8" t="str">
        <f>IFERROR(_xlfn.XLOOKUP(TRIM(B1924),Lookup!$B$2:$B$1000,Lookup!$C$2:$C$1000),"")</f>
        <v>Debt</v>
      </c>
      <c r="D1924" s="8" t="str">
        <f>IFERROR(INDEX('nav master'!$C:$C, MATCH(B1924, 'nav master'!$B:$B, 0)), "")</f>
        <v>ULIF06814/06/19BondPlusFd101</v>
      </c>
      <c r="E1924" s="8" t="s">
        <v>251</v>
      </c>
      <c r="F1924" s="8" t="s">
        <v>2263</v>
      </c>
    </row>
    <row r="1925" spans="1:6" ht="60" x14ac:dyDescent="0.25">
      <c r="A1925" s="8" t="s">
        <v>125</v>
      </c>
      <c r="B1925" s="8" t="s">
        <v>143</v>
      </c>
      <c r="C1925" s="8" t="str">
        <f>IFERROR(_xlfn.XLOOKUP(TRIM(B1925),Lookup!$B$2:$B$1000,Lookup!$C$2:$C$1000),"")</f>
        <v>Debt</v>
      </c>
      <c r="D1925" s="8" t="str">
        <f>IFERROR(INDEX('nav master'!$C:$C, MATCH(B1925, 'nav master'!$B:$B, 0)), "")</f>
        <v>ULIF06814/06/19BondPlusFd101</v>
      </c>
      <c r="E1925" s="8" t="s">
        <v>253</v>
      </c>
      <c r="F1925" s="8" t="s">
        <v>2264</v>
      </c>
    </row>
    <row r="1926" spans="1:6" ht="60" x14ac:dyDescent="0.25">
      <c r="A1926" s="8" t="s">
        <v>125</v>
      </c>
      <c r="B1926" s="8" t="s">
        <v>143</v>
      </c>
      <c r="C1926" s="8" t="str">
        <f>IFERROR(_xlfn.XLOOKUP(TRIM(B1926),Lookup!$B$2:$B$1000,Lookup!$C$2:$C$1000),"")</f>
        <v>Debt</v>
      </c>
      <c r="D1926" s="8" t="str">
        <f>IFERROR(INDEX('nav master'!$C:$C, MATCH(B1926, 'nav master'!$B:$B, 0)), "")</f>
        <v>ULIF06814/06/19BondPlusFd101</v>
      </c>
      <c r="E1926" s="8" t="s">
        <v>255</v>
      </c>
      <c r="F1926" s="8" t="s">
        <v>2265</v>
      </c>
    </row>
    <row r="1927" spans="1:6" ht="60" x14ac:dyDescent="0.25">
      <c r="A1927" s="8" t="s">
        <v>125</v>
      </c>
      <c r="B1927" s="8" t="s">
        <v>143</v>
      </c>
      <c r="C1927" s="8" t="str">
        <f>IFERROR(_xlfn.XLOOKUP(TRIM(B1927),Lookup!$B$2:$B$1000,Lookup!$C$2:$C$1000),"")</f>
        <v>Debt</v>
      </c>
      <c r="D1927" s="8" t="str">
        <f>IFERROR(INDEX('nav master'!$C:$C, MATCH(B1927, 'nav master'!$B:$B, 0)), "")</f>
        <v>ULIF06814/06/19BondPlusFd101</v>
      </c>
      <c r="E1927" s="8" t="s">
        <v>257</v>
      </c>
      <c r="F1927" s="8" t="s">
        <v>2266</v>
      </c>
    </row>
    <row r="1928" spans="1:6" ht="60" x14ac:dyDescent="0.25">
      <c r="A1928" s="8" t="s">
        <v>125</v>
      </c>
      <c r="B1928" s="8" t="s">
        <v>143</v>
      </c>
      <c r="C1928" s="8" t="str">
        <f>IFERROR(_xlfn.XLOOKUP(TRIM(B1928),Lookup!$B$2:$B$1000,Lookup!$C$2:$C$1000),"")</f>
        <v>Debt</v>
      </c>
      <c r="D1928" s="8" t="str">
        <f>IFERROR(INDEX('nav master'!$C:$C, MATCH(B1928, 'nav master'!$B:$B, 0)), "")</f>
        <v>ULIF06814/06/19BondPlusFd101</v>
      </c>
      <c r="E1928" s="8" t="s">
        <v>259</v>
      </c>
      <c r="F1928" s="8" t="s">
        <v>2267</v>
      </c>
    </row>
    <row r="1929" spans="1:6" ht="60" x14ac:dyDescent="0.25">
      <c r="A1929" s="8" t="s">
        <v>125</v>
      </c>
      <c r="B1929" s="8" t="s">
        <v>143</v>
      </c>
      <c r="C1929" s="8" t="str">
        <f>IFERROR(_xlfn.XLOOKUP(TRIM(B1929),Lookup!$B$2:$B$1000,Lookup!$C$2:$C$1000),"")</f>
        <v>Debt</v>
      </c>
      <c r="D1929" s="8" t="str">
        <f>IFERROR(INDEX('nav master'!$C:$C, MATCH(B1929, 'nav master'!$B:$B, 0)), "")</f>
        <v>ULIF06814/06/19BondPlusFd101</v>
      </c>
      <c r="E1929" s="8" t="s">
        <v>261</v>
      </c>
      <c r="F1929" s="8" t="s">
        <v>2268</v>
      </c>
    </row>
    <row r="1930" spans="1:6" ht="60" x14ac:dyDescent="0.25">
      <c r="A1930" s="8" t="s">
        <v>125</v>
      </c>
      <c r="B1930" s="8" t="s">
        <v>143</v>
      </c>
      <c r="C1930" s="8" t="str">
        <f>IFERROR(_xlfn.XLOOKUP(TRIM(B1930),Lookup!$B$2:$B$1000,Lookup!$C$2:$C$1000),"")</f>
        <v>Debt</v>
      </c>
      <c r="D1930" s="8" t="str">
        <f>IFERROR(INDEX('nav master'!$C:$C, MATCH(B1930, 'nav master'!$B:$B, 0)), "")</f>
        <v>ULIF06814/06/19BondPlusFd101</v>
      </c>
      <c r="E1930" s="8" t="s">
        <v>263</v>
      </c>
      <c r="F1930" s="8" t="s">
        <v>2269</v>
      </c>
    </row>
    <row r="1931" spans="1:6" ht="60" x14ac:dyDescent="0.25">
      <c r="A1931" s="8" t="s">
        <v>125</v>
      </c>
      <c r="B1931" s="8" t="s">
        <v>143</v>
      </c>
      <c r="C1931" s="8" t="str">
        <f>IFERROR(_xlfn.XLOOKUP(TRIM(B1931),Lookup!$B$2:$B$1000,Lookup!$C$2:$C$1000),"")</f>
        <v>Debt</v>
      </c>
      <c r="D1931" s="8" t="str">
        <f>IFERROR(INDEX('nav master'!$C:$C, MATCH(B1931, 'nav master'!$B:$B, 0)), "")</f>
        <v>ULIF06814/06/19BondPlusFd101</v>
      </c>
      <c r="E1931" s="8" t="s">
        <v>265</v>
      </c>
      <c r="F1931" s="8" t="s">
        <v>2270</v>
      </c>
    </row>
    <row r="1932" spans="1:6" ht="60" x14ac:dyDescent="0.25">
      <c r="A1932" s="8" t="s">
        <v>125</v>
      </c>
      <c r="B1932" s="8" t="s">
        <v>143</v>
      </c>
      <c r="C1932" s="8" t="str">
        <f>IFERROR(_xlfn.XLOOKUP(TRIM(B1932),Lookup!$B$2:$B$1000,Lookup!$C$2:$C$1000),"")</f>
        <v>Debt</v>
      </c>
      <c r="D1932" s="8" t="str">
        <f>IFERROR(INDEX('nav master'!$C:$C, MATCH(B1932, 'nav master'!$B:$B, 0)), "")</f>
        <v>ULIF06814/06/19BondPlusFd101</v>
      </c>
      <c r="E1932" s="8" t="s">
        <v>267</v>
      </c>
      <c r="F1932" s="8" t="s">
        <v>2271</v>
      </c>
    </row>
    <row r="1933" spans="1:6" ht="60" x14ac:dyDescent="0.25">
      <c r="A1933" s="8" t="s">
        <v>125</v>
      </c>
      <c r="B1933" s="8" t="s">
        <v>143</v>
      </c>
      <c r="C1933" s="8" t="str">
        <f>IFERROR(_xlfn.XLOOKUP(TRIM(B1933),Lookup!$B$2:$B$1000,Lookup!$C$2:$C$1000),"")</f>
        <v>Debt</v>
      </c>
      <c r="D1933" s="8" t="str">
        <f>IFERROR(INDEX('nav master'!$C:$C, MATCH(B1933, 'nav master'!$B:$B, 0)), "")</f>
        <v>ULIF06814/06/19BondPlusFd101</v>
      </c>
      <c r="E1933" s="8" t="s">
        <v>269</v>
      </c>
      <c r="F1933" s="8" t="s">
        <v>2272</v>
      </c>
    </row>
    <row r="1934" spans="1:6" ht="60" x14ac:dyDescent="0.25">
      <c r="A1934" s="8" t="s">
        <v>125</v>
      </c>
      <c r="B1934" s="8" t="s">
        <v>143</v>
      </c>
      <c r="C1934" s="8" t="str">
        <f>IFERROR(_xlfn.XLOOKUP(TRIM(B1934),Lookup!$B$2:$B$1000,Lookup!$C$2:$C$1000),"")</f>
        <v>Debt</v>
      </c>
      <c r="D1934" s="8" t="str">
        <f>IFERROR(INDEX('nav master'!$C:$C, MATCH(B1934, 'nav master'!$B:$B, 0)), "")</f>
        <v>ULIF06814/06/19BondPlusFd101</v>
      </c>
      <c r="E1934" s="8" t="s">
        <v>271</v>
      </c>
      <c r="F1934" s="8" t="s">
        <v>2273</v>
      </c>
    </row>
    <row r="1935" spans="1:6" ht="60" x14ac:dyDescent="0.25">
      <c r="A1935" s="8" t="s">
        <v>125</v>
      </c>
      <c r="B1935" s="8" t="s">
        <v>143</v>
      </c>
      <c r="C1935" s="8" t="str">
        <f>IFERROR(_xlfn.XLOOKUP(TRIM(B1935),Lookup!$B$2:$B$1000,Lookup!$C$2:$C$1000),"")</f>
        <v>Debt</v>
      </c>
      <c r="D1935" s="8" t="str">
        <f>IFERROR(INDEX('nav master'!$C:$C, MATCH(B1935, 'nav master'!$B:$B, 0)), "")</f>
        <v>ULIF06814/06/19BondPlusFd101</v>
      </c>
      <c r="E1935" s="8" t="s">
        <v>273</v>
      </c>
      <c r="F1935" s="8" t="s">
        <v>2274</v>
      </c>
    </row>
    <row r="1936" spans="1:6" ht="60" x14ac:dyDescent="0.25">
      <c r="A1936" s="8" t="s">
        <v>125</v>
      </c>
      <c r="B1936" s="8" t="s">
        <v>143</v>
      </c>
      <c r="C1936" s="8" t="str">
        <f>IFERROR(_xlfn.XLOOKUP(TRIM(B1936),Lookup!$B$2:$B$1000,Lookup!$C$2:$C$1000),"")</f>
        <v>Debt</v>
      </c>
      <c r="D1936" s="8" t="str">
        <f>IFERROR(INDEX('nav master'!$C:$C, MATCH(B1936, 'nav master'!$B:$B, 0)), "")</f>
        <v>ULIF06814/06/19BondPlusFd101</v>
      </c>
      <c r="E1936" s="8" t="s">
        <v>275</v>
      </c>
      <c r="F1936" s="8" t="s">
        <v>2275</v>
      </c>
    </row>
    <row r="1937" spans="1:6" ht="60" x14ac:dyDescent="0.25">
      <c r="A1937" s="8" t="s">
        <v>125</v>
      </c>
      <c r="B1937" s="8" t="s">
        <v>143</v>
      </c>
      <c r="C1937" s="8" t="str">
        <f>IFERROR(_xlfn.XLOOKUP(TRIM(B1937),Lookup!$B$2:$B$1000,Lookup!$C$2:$C$1000),"")</f>
        <v>Debt</v>
      </c>
      <c r="D1937" s="8" t="str">
        <f>IFERROR(INDEX('nav master'!$C:$C, MATCH(B1937, 'nav master'!$B:$B, 0)), "")</f>
        <v>ULIF06814/06/19BondPlusFd101</v>
      </c>
      <c r="E1937" s="8" t="s">
        <v>277</v>
      </c>
      <c r="F1937" s="8" t="s">
        <v>2276</v>
      </c>
    </row>
    <row r="1938" spans="1:6" ht="60" x14ac:dyDescent="0.25">
      <c r="A1938" s="8" t="s">
        <v>125</v>
      </c>
      <c r="B1938" s="8" t="s">
        <v>143</v>
      </c>
      <c r="C1938" s="8" t="str">
        <f>IFERROR(_xlfn.XLOOKUP(TRIM(B1938),Lookup!$B$2:$B$1000,Lookup!$C$2:$C$1000),"")</f>
        <v>Debt</v>
      </c>
      <c r="D1938" s="8" t="str">
        <f>IFERROR(INDEX('nav master'!$C:$C, MATCH(B1938, 'nav master'!$B:$B, 0)), "")</f>
        <v>ULIF06814/06/19BondPlusFd101</v>
      </c>
      <c r="E1938" s="8" t="s">
        <v>279</v>
      </c>
      <c r="F1938" s="8" t="s">
        <v>2277</v>
      </c>
    </row>
    <row r="1939" spans="1:6" ht="60" x14ac:dyDescent="0.25">
      <c r="A1939" s="8" t="s">
        <v>125</v>
      </c>
      <c r="B1939" s="8" t="s">
        <v>143</v>
      </c>
      <c r="C1939" s="8" t="str">
        <f>IFERROR(_xlfn.XLOOKUP(TRIM(B1939),Lookup!$B$2:$B$1000,Lookup!$C$2:$C$1000),"")</f>
        <v>Debt</v>
      </c>
      <c r="D1939" s="8" t="str">
        <f>IFERROR(INDEX('nav master'!$C:$C, MATCH(B1939, 'nav master'!$B:$B, 0)), "")</f>
        <v>ULIF06814/06/19BondPlusFd101</v>
      </c>
      <c r="E1939" s="8" t="s">
        <v>281</v>
      </c>
      <c r="F1939" s="8" t="s">
        <v>2278</v>
      </c>
    </row>
    <row r="1940" spans="1:6" ht="60" x14ac:dyDescent="0.25">
      <c r="A1940" s="8" t="s">
        <v>125</v>
      </c>
      <c r="B1940" s="8" t="s">
        <v>143</v>
      </c>
      <c r="C1940" s="8" t="str">
        <f>IFERROR(_xlfn.XLOOKUP(TRIM(B1940),Lookup!$B$2:$B$1000,Lookup!$C$2:$C$1000),"")</f>
        <v>Debt</v>
      </c>
      <c r="D1940" s="8" t="str">
        <f>IFERROR(INDEX('nav master'!$C:$C, MATCH(B1940, 'nav master'!$B:$B, 0)), "")</f>
        <v>ULIF06814/06/19BondPlusFd101</v>
      </c>
      <c r="E1940" s="8" t="s">
        <v>283</v>
      </c>
      <c r="F1940" s="8" t="s">
        <v>2279</v>
      </c>
    </row>
    <row r="1941" spans="1:6" ht="60" x14ac:dyDescent="0.25">
      <c r="A1941" s="8" t="s">
        <v>125</v>
      </c>
      <c r="B1941" s="8" t="s">
        <v>143</v>
      </c>
      <c r="C1941" s="8" t="str">
        <f>IFERROR(_xlfn.XLOOKUP(TRIM(B1941),Lookup!$B$2:$B$1000,Lookup!$C$2:$C$1000),"")</f>
        <v>Debt</v>
      </c>
      <c r="D1941" s="8" t="str">
        <f>IFERROR(INDEX('nav master'!$C:$C, MATCH(B1941, 'nav master'!$B:$B, 0)), "")</f>
        <v>ULIF06814/06/19BondPlusFd101</v>
      </c>
      <c r="E1941" s="8" t="s">
        <v>285</v>
      </c>
      <c r="F1941" s="8" t="s">
        <v>2280</v>
      </c>
    </row>
    <row r="1942" spans="1:6" ht="60" x14ac:dyDescent="0.25">
      <c r="A1942" s="8" t="s">
        <v>125</v>
      </c>
      <c r="B1942" s="8" t="s">
        <v>143</v>
      </c>
      <c r="C1942" s="8" t="str">
        <f>IFERROR(_xlfn.XLOOKUP(TRIM(B1942),Lookup!$B$2:$B$1000,Lookup!$C$2:$C$1000),"")</f>
        <v>Debt</v>
      </c>
      <c r="D1942" s="8" t="str">
        <f>IFERROR(INDEX('nav master'!$C:$C, MATCH(B1942, 'nav master'!$B:$B, 0)), "")</f>
        <v>ULIF06814/06/19BondPlusFd101</v>
      </c>
      <c r="E1942" s="8" t="s">
        <v>287</v>
      </c>
      <c r="F1942" s="8" t="s">
        <v>2281</v>
      </c>
    </row>
    <row r="1943" spans="1:6" ht="60" x14ac:dyDescent="0.25">
      <c r="A1943" s="8" t="s">
        <v>125</v>
      </c>
      <c r="B1943" s="8" t="s">
        <v>143</v>
      </c>
      <c r="C1943" s="8" t="str">
        <f>IFERROR(_xlfn.XLOOKUP(TRIM(B1943),Lookup!$B$2:$B$1000,Lookup!$C$2:$C$1000),"")</f>
        <v>Debt</v>
      </c>
      <c r="D1943" s="8" t="str">
        <f>IFERROR(INDEX('nav master'!$C:$C, MATCH(B1943, 'nav master'!$B:$B, 0)), "")</f>
        <v>ULIF06814/06/19BondPlusFd101</v>
      </c>
      <c r="E1943" s="8" t="s">
        <v>289</v>
      </c>
      <c r="F1943" s="8" t="s">
        <v>2282</v>
      </c>
    </row>
    <row r="1944" spans="1:6" ht="60" x14ac:dyDescent="0.25">
      <c r="A1944" s="8" t="s">
        <v>125</v>
      </c>
      <c r="B1944" s="8" t="s">
        <v>143</v>
      </c>
      <c r="C1944" s="8" t="str">
        <f>IFERROR(_xlfn.XLOOKUP(TRIM(B1944),Lookup!$B$2:$B$1000,Lookup!$C$2:$C$1000),"")</f>
        <v>Debt</v>
      </c>
      <c r="D1944" s="8" t="str">
        <f>IFERROR(INDEX('nav master'!$C:$C, MATCH(B1944, 'nav master'!$B:$B, 0)), "")</f>
        <v>ULIF06814/06/19BondPlusFd101</v>
      </c>
      <c r="E1944" s="8" t="s">
        <v>291</v>
      </c>
      <c r="F1944" s="8" t="s">
        <v>2283</v>
      </c>
    </row>
    <row r="1945" spans="1:6" ht="60" x14ac:dyDescent="0.25">
      <c r="A1945" s="8" t="s">
        <v>125</v>
      </c>
      <c r="B1945" s="8" t="s">
        <v>143</v>
      </c>
      <c r="C1945" s="8" t="str">
        <f>IFERROR(_xlfn.XLOOKUP(TRIM(B1945),Lookup!$B$2:$B$1000,Lookup!$C$2:$C$1000),"")</f>
        <v>Debt</v>
      </c>
      <c r="D1945" s="8" t="str">
        <f>IFERROR(INDEX('nav master'!$C:$C, MATCH(B1945, 'nav master'!$B:$B, 0)), "")</f>
        <v>ULIF06814/06/19BondPlusFd101</v>
      </c>
      <c r="E1945" s="8" t="s">
        <v>293</v>
      </c>
      <c r="F1945" s="8" t="s">
        <v>2284</v>
      </c>
    </row>
    <row r="1946" spans="1:6" ht="60" x14ac:dyDescent="0.25">
      <c r="A1946" s="8" t="s">
        <v>125</v>
      </c>
      <c r="B1946" s="8" t="s">
        <v>143</v>
      </c>
      <c r="C1946" s="8" t="str">
        <f>IFERROR(_xlfn.XLOOKUP(TRIM(B1946),Lookup!$B$2:$B$1000,Lookup!$C$2:$C$1000),"")</f>
        <v>Debt</v>
      </c>
      <c r="D1946" s="8" t="str">
        <f>IFERROR(INDEX('nav master'!$C:$C, MATCH(B1946, 'nav master'!$B:$B, 0)), "")</f>
        <v>ULIF06814/06/19BondPlusFd101</v>
      </c>
      <c r="E1946" s="8" t="s">
        <v>295</v>
      </c>
      <c r="F1946" s="8" t="s">
        <v>2285</v>
      </c>
    </row>
    <row r="1947" spans="1:6" ht="60" x14ac:dyDescent="0.25">
      <c r="A1947" s="8" t="s">
        <v>125</v>
      </c>
      <c r="B1947" s="8" t="s">
        <v>143</v>
      </c>
      <c r="C1947" s="8" t="str">
        <f>IFERROR(_xlfn.XLOOKUP(TRIM(B1947),Lookup!$B$2:$B$1000,Lookup!$C$2:$C$1000),"")</f>
        <v>Debt</v>
      </c>
      <c r="D1947" s="8" t="str">
        <f>IFERROR(INDEX('nav master'!$C:$C, MATCH(B1947, 'nav master'!$B:$B, 0)), "")</f>
        <v>ULIF06814/06/19BondPlusFd101</v>
      </c>
      <c r="E1947" s="8" t="s">
        <v>297</v>
      </c>
      <c r="F1947" s="8" t="s">
        <v>2286</v>
      </c>
    </row>
    <row r="1948" spans="1:6" ht="60" x14ac:dyDescent="0.25">
      <c r="A1948" s="8" t="s">
        <v>125</v>
      </c>
      <c r="B1948" s="8" t="s">
        <v>143</v>
      </c>
      <c r="C1948" s="8" t="str">
        <f>IFERROR(_xlfn.XLOOKUP(TRIM(B1948),Lookup!$B$2:$B$1000,Lookup!$C$2:$C$1000),"")</f>
        <v>Debt</v>
      </c>
      <c r="D1948" s="8" t="str">
        <f>IFERROR(INDEX('nav master'!$C:$C, MATCH(B1948, 'nav master'!$B:$B, 0)), "")</f>
        <v>ULIF06814/06/19BondPlusFd101</v>
      </c>
      <c r="E1948" s="8" t="s">
        <v>299</v>
      </c>
      <c r="F1948" s="8" t="s">
        <v>2287</v>
      </c>
    </row>
    <row r="1949" spans="1:6" ht="60" x14ac:dyDescent="0.25">
      <c r="A1949" s="8" t="s">
        <v>125</v>
      </c>
      <c r="B1949" s="8" t="s">
        <v>143</v>
      </c>
      <c r="C1949" s="8" t="str">
        <f>IFERROR(_xlfn.XLOOKUP(TRIM(B1949),Lookup!$B$2:$B$1000,Lookup!$C$2:$C$1000),"")</f>
        <v>Debt</v>
      </c>
      <c r="D1949" s="8" t="str">
        <f>IFERROR(INDEX('nav master'!$C:$C, MATCH(B1949, 'nav master'!$B:$B, 0)), "")</f>
        <v>ULIF06814/06/19BondPlusFd101</v>
      </c>
      <c r="E1949" s="8" t="s">
        <v>301</v>
      </c>
      <c r="F1949" s="8" t="s">
        <v>2288</v>
      </c>
    </row>
    <row r="1950" spans="1:6" ht="60" x14ac:dyDescent="0.25">
      <c r="A1950" s="8" t="s">
        <v>125</v>
      </c>
      <c r="B1950" s="8" t="s">
        <v>143</v>
      </c>
      <c r="C1950" s="8" t="str">
        <f>IFERROR(_xlfn.XLOOKUP(TRIM(B1950),Lookup!$B$2:$B$1000,Lookup!$C$2:$C$1000),"")</f>
        <v>Debt</v>
      </c>
      <c r="D1950" s="8" t="str">
        <f>IFERROR(INDEX('nav master'!$C:$C, MATCH(B1950, 'nav master'!$B:$B, 0)), "")</f>
        <v>ULIF06814/06/19BondPlusFd101</v>
      </c>
      <c r="E1950" s="8" t="s">
        <v>303</v>
      </c>
      <c r="F1950" s="8" t="s">
        <v>2289</v>
      </c>
    </row>
    <row r="1951" spans="1:6" ht="60" x14ac:dyDescent="0.25">
      <c r="A1951" s="8" t="s">
        <v>125</v>
      </c>
      <c r="B1951" s="8" t="s">
        <v>143</v>
      </c>
      <c r="C1951" s="8" t="str">
        <f>IFERROR(_xlfn.XLOOKUP(TRIM(B1951),Lookup!$B$2:$B$1000,Lookup!$C$2:$C$1000),"")</f>
        <v>Debt</v>
      </c>
      <c r="D1951" s="8" t="str">
        <f>IFERROR(INDEX('nav master'!$C:$C, MATCH(B1951, 'nav master'!$B:$B, 0)), "")</f>
        <v>ULIF06814/06/19BondPlusFd101</v>
      </c>
      <c r="E1951" s="8" t="s">
        <v>305</v>
      </c>
      <c r="F1951" s="8" t="s">
        <v>2290</v>
      </c>
    </row>
    <row r="1952" spans="1:6" ht="60" x14ac:dyDescent="0.25">
      <c r="A1952" s="8" t="s">
        <v>125</v>
      </c>
      <c r="B1952" s="8" t="s">
        <v>143</v>
      </c>
      <c r="C1952" s="8" t="str">
        <f>IFERROR(_xlfn.XLOOKUP(TRIM(B1952),Lookup!$B$2:$B$1000,Lookup!$C$2:$C$1000),"")</f>
        <v>Debt</v>
      </c>
      <c r="D1952" s="8" t="str">
        <f>IFERROR(INDEX('nav master'!$C:$C, MATCH(B1952, 'nav master'!$B:$B, 0)), "")</f>
        <v>ULIF06814/06/19BondPlusFd101</v>
      </c>
      <c r="E1952" s="8" t="s">
        <v>307</v>
      </c>
      <c r="F1952" s="8" t="s">
        <v>2291</v>
      </c>
    </row>
    <row r="1953" spans="1:6" ht="60" x14ac:dyDescent="0.25">
      <c r="A1953" s="8" t="s">
        <v>125</v>
      </c>
      <c r="B1953" s="8" t="s">
        <v>143</v>
      </c>
      <c r="C1953" s="8" t="str">
        <f>IFERROR(_xlfn.XLOOKUP(TRIM(B1953),Lookup!$B$2:$B$1000,Lookup!$C$2:$C$1000),"")</f>
        <v>Debt</v>
      </c>
      <c r="D1953" s="8" t="str">
        <f>IFERROR(INDEX('nav master'!$C:$C, MATCH(B1953, 'nav master'!$B:$B, 0)), "")</f>
        <v>ULIF06814/06/19BondPlusFd101</v>
      </c>
      <c r="E1953" s="8" t="s">
        <v>309</v>
      </c>
      <c r="F1953" s="8" t="s">
        <v>2292</v>
      </c>
    </row>
    <row r="1954" spans="1:6" ht="60" x14ac:dyDescent="0.25">
      <c r="A1954" s="8" t="s">
        <v>125</v>
      </c>
      <c r="B1954" s="8" t="s">
        <v>143</v>
      </c>
      <c r="C1954" s="8" t="str">
        <f>IFERROR(_xlfn.XLOOKUP(TRIM(B1954),Lookup!$B$2:$B$1000,Lookup!$C$2:$C$1000),"")</f>
        <v>Debt</v>
      </c>
      <c r="D1954" s="8" t="str">
        <f>IFERROR(INDEX('nav master'!$C:$C, MATCH(B1954, 'nav master'!$B:$B, 0)), "")</f>
        <v>ULIF06814/06/19BondPlusFd101</v>
      </c>
      <c r="E1954" s="8" t="s">
        <v>311</v>
      </c>
      <c r="F1954" s="8" t="s">
        <v>2291</v>
      </c>
    </row>
    <row r="1955" spans="1:6" ht="60" x14ac:dyDescent="0.25">
      <c r="A1955" s="8" t="s">
        <v>125</v>
      </c>
      <c r="B1955" s="8" t="s">
        <v>143</v>
      </c>
      <c r="C1955" s="8" t="str">
        <f>IFERROR(_xlfn.XLOOKUP(TRIM(B1955),Lookup!$B$2:$B$1000,Lookup!$C$2:$C$1000),"")</f>
        <v>Debt</v>
      </c>
      <c r="D1955" s="8" t="str">
        <f>IFERROR(INDEX('nav master'!$C:$C, MATCH(B1955, 'nav master'!$B:$B, 0)), "")</f>
        <v>ULIF06814/06/19BondPlusFd101</v>
      </c>
      <c r="E1955" s="8" t="s">
        <v>313</v>
      </c>
      <c r="F1955" s="8" t="s">
        <v>2293</v>
      </c>
    </row>
    <row r="1956" spans="1:6" ht="60" x14ac:dyDescent="0.25">
      <c r="A1956" s="8" t="s">
        <v>125</v>
      </c>
      <c r="B1956" s="8" t="s">
        <v>143</v>
      </c>
      <c r="C1956" s="8" t="str">
        <f>IFERROR(_xlfn.XLOOKUP(TRIM(B1956),Lookup!$B$2:$B$1000,Lookup!$C$2:$C$1000),"")</f>
        <v>Debt</v>
      </c>
      <c r="D1956" s="8" t="str">
        <f>IFERROR(INDEX('nav master'!$C:$C, MATCH(B1956, 'nav master'!$B:$B, 0)), "")</f>
        <v>ULIF06814/06/19BondPlusFd101</v>
      </c>
      <c r="E1956" s="8" t="s">
        <v>315</v>
      </c>
      <c r="F1956" s="8" t="s">
        <v>2282</v>
      </c>
    </row>
    <row r="1957" spans="1:6" ht="60" x14ac:dyDescent="0.25">
      <c r="A1957" s="8" t="s">
        <v>125</v>
      </c>
      <c r="B1957" s="8" t="s">
        <v>143</v>
      </c>
      <c r="C1957" s="8" t="str">
        <f>IFERROR(_xlfn.XLOOKUP(TRIM(B1957),Lookup!$B$2:$B$1000,Lookup!$C$2:$C$1000),"")</f>
        <v>Debt</v>
      </c>
      <c r="D1957" s="8" t="str">
        <f>IFERROR(INDEX('nav master'!$C:$C, MATCH(B1957, 'nav master'!$B:$B, 0)), "")</f>
        <v>ULIF06814/06/19BondPlusFd101</v>
      </c>
      <c r="E1957" s="8" t="s">
        <v>317</v>
      </c>
      <c r="F1957" s="8" t="s">
        <v>2294</v>
      </c>
    </row>
    <row r="1958" spans="1:6" ht="60" x14ac:dyDescent="0.25">
      <c r="A1958" s="8" t="s">
        <v>125</v>
      </c>
      <c r="B1958" s="8" t="s">
        <v>143</v>
      </c>
      <c r="C1958" s="8" t="str">
        <f>IFERROR(_xlfn.XLOOKUP(TRIM(B1958),Lookup!$B$2:$B$1000,Lookup!$C$2:$C$1000),"")</f>
        <v>Debt</v>
      </c>
      <c r="D1958" s="8" t="str">
        <f>IFERROR(INDEX('nav master'!$C:$C, MATCH(B1958, 'nav master'!$B:$B, 0)), "")</f>
        <v>ULIF06814/06/19BondPlusFd101</v>
      </c>
      <c r="E1958" s="8" t="s">
        <v>319</v>
      </c>
      <c r="F1958" s="8" t="s">
        <v>2295</v>
      </c>
    </row>
    <row r="1959" spans="1:6" ht="60" x14ac:dyDescent="0.25">
      <c r="A1959" s="8" t="s">
        <v>125</v>
      </c>
      <c r="B1959" s="8" t="s">
        <v>143</v>
      </c>
      <c r="C1959" s="8" t="str">
        <f>IFERROR(_xlfn.XLOOKUP(TRIM(B1959),Lookup!$B$2:$B$1000,Lookup!$C$2:$C$1000),"")</f>
        <v>Debt</v>
      </c>
      <c r="D1959" s="8" t="str">
        <f>IFERROR(INDEX('nav master'!$C:$C, MATCH(B1959, 'nav master'!$B:$B, 0)), "")</f>
        <v>ULIF06814/06/19BondPlusFd101</v>
      </c>
      <c r="E1959" s="8" t="s">
        <v>321</v>
      </c>
      <c r="F1959" s="8" t="s">
        <v>2296</v>
      </c>
    </row>
    <row r="1960" spans="1:6" ht="60" x14ac:dyDescent="0.25">
      <c r="A1960" s="8" t="s">
        <v>125</v>
      </c>
      <c r="B1960" s="8" t="s">
        <v>143</v>
      </c>
      <c r="C1960" s="8" t="str">
        <f>IFERROR(_xlfn.XLOOKUP(TRIM(B1960),Lookup!$B$2:$B$1000,Lookup!$C$2:$C$1000),"")</f>
        <v>Debt</v>
      </c>
      <c r="D1960" s="8" t="str">
        <f>IFERROR(INDEX('nav master'!$C:$C, MATCH(B1960, 'nav master'!$B:$B, 0)), "")</f>
        <v>ULIF06814/06/19BondPlusFd101</v>
      </c>
      <c r="E1960" s="8" t="s">
        <v>323</v>
      </c>
      <c r="F1960" s="8" t="s">
        <v>2297</v>
      </c>
    </row>
    <row r="1961" spans="1:6" ht="60" x14ac:dyDescent="0.25">
      <c r="A1961" s="8" t="s">
        <v>125</v>
      </c>
      <c r="B1961" s="8" t="s">
        <v>143</v>
      </c>
      <c r="C1961" s="8" t="str">
        <f>IFERROR(_xlfn.XLOOKUP(TRIM(B1961),Lookup!$B$2:$B$1000,Lookup!$C$2:$C$1000),"")</f>
        <v>Debt</v>
      </c>
      <c r="D1961" s="8" t="str">
        <f>IFERROR(INDEX('nav master'!$C:$C, MATCH(B1961, 'nav master'!$B:$B, 0)), "")</f>
        <v>ULIF06814/06/19BondPlusFd101</v>
      </c>
      <c r="E1961" s="8" t="s">
        <v>325</v>
      </c>
      <c r="F1961" s="8" t="s">
        <v>2298</v>
      </c>
    </row>
    <row r="1962" spans="1:6" ht="60" x14ac:dyDescent="0.25">
      <c r="A1962" s="8" t="s">
        <v>125</v>
      </c>
      <c r="B1962" s="8" t="s">
        <v>143</v>
      </c>
      <c r="C1962" s="8" t="str">
        <f>IFERROR(_xlfn.XLOOKUP(TRIM(B1962),Lookup!$B$2:$B$1000,Lookup!$C$2:$C$1000),"")</f>
        <v>Debt</v>
      </c>
      <c r="D1962" s="8" t="str">
        <f>IFERROR(INDEX('nav master'!$C:$C, MATCH(B1962, 'nav master'!$B:$B, 0)), "")</f>
        <v>ULIF06814/06/19BondPlusFd101</v>
      </c>
      <c r="E1962" s="8" t="s">
        <v>327</v>
      </c>
      <c r="F1962" s="8" t="s">
        <v>2299</v>
      </c>
    </row>
    <row r="1963" spans="1:6" ht="60" x14ac:dyDescent="0.25">
      <c r="A1963" s="8" t="s">
        <v>125</v>
      </c>
      <c r="B1963" s="8" t="s">
        <v>143</v>
      </c>
      <c r="C1963" s="8" t="str">
        <f>IFERROR(_xlfn.XLOOKUP(TRIM(B1963),Lookup!$B$2:$B$1000,Lookup!$C$2:$C$1000),"")</f>
        <v>Debt</v>
      </c>
      <c r="D1963" s="8" t="str">
        <f>IFERROR(INDEX('nav master'!$C:$C, MATCH(B1963, 'nav master'!$B:$B, 0)), "")</f>
        <v>ULIF06814/06/19BondPlusFd101</v>
      </c>
      <c r="E1963" s="8" t="s">
        <v>329</v>
      </c>
      <c r="F1963" s="8" t="s">
        <v>2300</v>
      </c>
    </row>
    <row r="1964" spans="1:6" ht="60" x14ac:dyDescent="0.25">
      <c r="A1964" s="8" t="s">
        <v>125</v>
      </c>
      <c r="B1964" s="8" t="s">
        <v>143</v>
      </c>
      <c r="C1964" s="8" t="str">
        <f>IFERROR(_xlfn.XLOOKUP(TRIM(B1964),Lookup!$B$2:$B$1000,Lookup!$C$2:$C$1000),"")</f>
        <v>Debt</v>
      </c>
      <c r="D1964" s="8" t="str">
        <f>IFERROR(INDEX('nav master'!$C:$C, MATCH(B1964, 'nav master'!$B:$B, 0)), "")</f>
        <v>ULIF06814/06/19BondPlusFd101</v>
      </c>
      <c r="E1964" s="8" t="s">
        <v>331</v>
      </c>
      <c r="F1964" s="8" t="s">
        <v>2301</v>
      </c>
    </row>
    <row r="1965" spans="1:6" ht="60" x14ac:dyDescent="0.25">
      <c r="A1965" s="8" t="s">
        <v>125</v>
      </c>
      <c r="B1965" s="8" t="s">
        <v>143</v>
      </c>
      <c r="C1965" s="8" t="str">
        <f>IFERROR(_xlfn.XLOOKUP(TRIM(B1965),Lookup!$B$2:$B$1000,Lookup!$C$2:$C$1000),"")</f>
        <v>Debt</v>
      </c>
      <c r="D1965" s="8" t="str">
        <f>IFERROR(INDEX('nav master'!$C:$C, MATCH(B1965, 'nav master'!$B:$B, 0)), "")</f>
        <v>ULIF06814/06/19BondPlusFd101</v>
      </c>
      <c r="E1965" s="8" t="s">
        <v>333</v>
      </c>
      <c r="F1965" s="8" t="s">
        <v>2302</v>
      </c>
    </row>
    <row r="1966" spans="1:6" ht="60" x14ac:dyDescent="0.25">
      <c r="A1966" s="8" t="s">
        <v>125</v>
      </c>
      <c r="B1966" s="8" t="s">
        <v>143</v>
      </c>
      <c r="C1966" s="8" t="str">
        <f>IFERROR(_xlfn.XLOOKUP(TRIM(B1966),Lookup!$B$2:$B$1000,Lookup!$C$2:$C$1000),"")</f>
        <v>Debt</v>
      </c>
      <c r="D1966" s="8" t="str">
        <f>IFERROR(INDEX('nav master'!$C:$C, MATCH(B1966, 'nav master'!$B:$B, 0)), "")</f>
        <v>ULIF06814/06/19BondPlusFd101</v>
      </c>
      <c r="E1966" s="8" t="s">
        <v>335</v>
      </c>
      <c r="F1966" s="8" t="s">
        <v>2303</v>
      </c>
    </row>
    <row r="1967" spans="1:6" ht="60" x14ac:dyDescent="0.25">
      <c r="A1967" s="8" t="s">
        <v>125</v>
      </c>
      <c r="B1967" s="8" t="s">
        <v>143</v>
      </c>
      <c r="C1967" s="8" t="str">
        <f>IFERROR(_xlfn.XLOOKUP(TRIM(B1967),Lookup!$B$2:$B$1000,Lookup!$C$2:$C$1000),"")</f>
        <v>Debt</v>
      </c>
      <c r="D1967" s="8" t="str">
        <f>IFERROR(INDEX('nav master'!$C:$C, MATCH(B1967, 'nav master'!$B:$B, 0)), "")</f>
        <v>ULIF06814/06/19BondPlusFd101</v>
      </c>
      <c r="E1967" s="8" t="s">
        <v>337</v>
      </c>
      <c r="F1967" s="8" t="s">
        <v>2304</v>
      </c>
    </row>
    <row r="1968" spans="1:6" ht="60" x14ac:dyDescent="0.25">
      <c r="A1968" s="8" t="s">
        <v>125</v>
      </c>
      <c r="B1968" s="8" t="s">
        <v>143</v>
      </c>
      <c r="C1968" s="8" t="str">
        <f>IFERROR(_xlfn.XLOOKUP(TRIM(B1968),Lookup!$B$2:$B$1000,Lookup!$C$2:$C$1000),"")</f>
        <v>Debt</v>
      </c>
      <c r="D1968" s="8" t="str">
        <f>IFERROR(INDEX('nav master'!$C:$C, MATCH(B1968, 'nav master'!$B:$B, 0)), "")</f>
        <v>ULIF06814/06/19BondPlusFd101</v>
      </c>
      <c r="E1968" s="8" t="s">
        <v>339</v>
      </c>
      <c r="F1968" s="8" t="s">
        <v>2305</v>
      </c>
    </row>
    <row r="1969" spans="1:6" ht="60" x14ac:dyDescent="0.25">
      <c r="A1969" s="8" t="s">
        <v>125</v>
      </c>
      <c r="B1969" s="8" t="s">
        <v>143</v>
      </c>
      <c r="C1969" s="8" t="str">
        <f>IFERROR(_xlfn.XLOOKUP(TRIM(B1969),Lookup!$B$2:$B$1000,Lookup!$C$2:$C$1000),"")</f>
        <v>Debt</v>
      </c>
      <c r="D1969" s="8" t="str">
        <f>IFERROR(INDEX('nav master'!$C:$C, MATCH(B1969, 'nav master'!$B:$B, 0)), "")</f>
        <v>ULIF06814/06/19BondPlusFd101</v>
      </c>
      <c r="E1969" s="8" t="s">
        <v>341</v>
      </c>
      <c r="F1969" s="8" t="s">
        <v>2306</v>
      </c>
    </row>
    <row r="1970" spans="1:6" ht="60" x14ac:dyDescent="0.25">
      <c r="A1970" s="8" t="s">
        <v>125</v>
      </c>
      <c r="B1970" s="8" t="s">
        <v>143</v>
      </c>
      <c r="C1970" s="8" t="str">
        <f>IFERROR(_xlfn.XLOOKUP(TRIM(B1970),Lookup!$B$2:$B$1000,Lookup!$C$2:$C$1000),"")</f>
        <v>Debt</v>
      </c>
      <c r="D1970" s="8" t="str">
        <f>IFERROR(INDEX('nav master'!$C:$C, MATCH(B1970, 'nav master'!$B:$B, 0)), "")</f>
        <v>ULIF06814/06/19BondPlusFd101</v>
      </c>
      <c r="E1970" s="8" t="s">
        <v>343</v>
      </c>
      <c r="F1970" s="8" t="s">
        <v>2307</v>
      </c>
    </row>
    <row r="1971" spans="1:6" ht="60" x14ac:dyDescent="0.25">
      <c r="A1971" s="8" t="s">
        <v>125</v>
      </c>
      <c r="B1971" s="8" t="s">
        <v>143</v>
      </c>
      <c r="C1971" s="8" t="str">
        <f>IFERROR(_xlfn.XLOOKUP(TRIM(B1971),Lookup!$B$2:$B$1000,Lookup!$C$2:$C$1000),"")</f>
        <v>Debt</v>
      </c>
      <c r="D1971" s="8" t="str">
        <f>IFERROR(INDEX('nav master'!$C:$C, MATCH(B1971, 'nav master'!$B:$B, 0)), "")</f>
        <v>ULIF06814/06/19BondPlusFd101</v>
      </c>
      <c r="E1971" s="8" t="s">
        <v>345</v>
      </c>
      <c r="F1971" s="8" t="s">
        <v>2308</v>
      </c>
    </row>
    <row r="1972" spans="1:6" ht="60" x14ac:dyDescent="0.25">
      <c r="A1972" s="8" t="s">
        <v>125</v>
      </c>
      <c r="B1972" s="8" t="s">
        <v>143</v>
      </c>
      <c r="C1972" s="8" t="str">
        <f>IFERROR(_xlfn.XLOOKUP(TRIM(B1972),Lookup!$B$2:$B$1000,Lookup!$C$2:$C$1000),"")</f>
        <v>Debt</v>
      </c>
      <c r="D1972" s="8" t="str">
        <f>IFERROR(INDEX('nav master'!$C:$C, MATCH(B1972, 'nav master'!$B:$B, 0)), "")</f>
        <v>ULIF06814/06/19BondPlusFd101</v>
      </c>
      <c r="E1972" s="8" t="s">
        <v>347</v>
      </c>
      <c r="F1972" s="8" t="s">
        <v>2309</v>
      </c>
    </row>
    <row r="1973" spans="1:6" ht="60" x14ac:dyDescent="0.25">
      <c r="A1973" s="8" t="s">
        <v>125</v>
      </c>
      <c r="B1973" s="8" t="s">
        <v>143</v>
      </c>
      <c r="C1973" s="8" t="str">
        <f>IFERROR(_xlfn.XLOOKUP(TRIM(B1973),Lookup!$B$2:$B$1000,Lookup!$C$2:$C$1000),"")</f>
        <v>Debt</v>
      </c>
      <c r="D1973" s="8" t="str">
        <f>IFERROR(INDEX('nav master'!$C:$C, MATCH(B1973, 'nav master'!$B:$B, 0)), "")</f>
        <v>ULIF06814/06/19BondPlusFd101</v>
      </c>
      <c r="E1973" s="8" t="s">
        <v>349</v>
      </c>
      <c r="F1973" s="8" t="s">
        <v>2310</v>
      </c>
    </row>
    <row r="1974" spans="1:6" ht="60" x14ac:dyDescent="0.25">
      <c r="A1974" s="8" t="s">
        <v>125</v>
      </c>
      <c r="B1974" s="8" t="s">
        <v>143</v>
      </c>
      <c r="C1974" s="8" t="str">
        <f>IFERROR(_xlfn.XLOOKUP(TRIM(B1974),Lookup!$B$2:$B$1000,Lookup!$C$2:$C$1000),"")</f>
        <v>Debt</v>
      </c>
      <c r="D1974" s="8" t="str">
        <f>IFERROR(INDEX('nav master'!$C:$C, MATCH(B1974, 'nav master'!$B:$B, 0)), "")</f>
        <v>ULIF06814/06/19BondPlusFd101</v>
      </c>
      <c r="E1974" s="8" t="s">
        <v>351</v>
      </c>
      <c r="F1974" s="8" t="s">
        <v>2311</v>
      </c>
    </row>
    <row r="1975" spans="1:6" ht="60" x14ac:dyDescent="0.25">
      <c r="A1975" s="8" t="s">
        <v>125</v>
      </c>
      <c r="B1975" s="8" t="s">
        <v>143</v>
      </c>
      <c r="C1975" s="8" t="str">
        <f>IFERROR(_xlfn.XLOOKUP(TRIM(B1975),Lookup!$B$2:$B$1000,Lookup!$C$2:$C$1000),"")</f>
        <v>Debt</v>
      </c>
      <c r="D1975" s="8" t="str">
        <f>IFERROR(INDEX('nav master'!$C:$C, MATCH(B1975, 'nav master'!$B:$B, 0)), "")</f>
        <v>ULIF06814/06/19BondPlusFd101</v>
      </c>
      <c r="E1975" s="8" t="s">
        <v>353</v>
      </c>
      <c r="F1975" s="8" t="s">
        <v>2312</v>
      </c>
    </row>
    <row r="1976" spans="1:6" ht="60" x14ac:dyDescent="0.25">
      <c r="A1976" s="8" t="s">
        <v>125</v>
      </c>
      <c r="B1976" s="8" t="s">
        <v>143</v>
      </c>
      <c r="C1976" s="8" t="str">
        <f>IFERROR(_xlfn.XLOOKUP(TRIM(B1976),Lookup!$B$2:$B$1000,Lookup!$C$2:$C$1000),"")</f>
        <v>Debt</v>
      </c>
      <c r="D1976" s="8" t="str">
        <f>IFERROR(INDEX('nav master'!$C:$C, MATCH(B1976, 'nav master'!$B:$B, 0)), "")</f>
        <v>ULIF06814/06/19BondPlusFd101</v>
      </c>
      <c r="E1976" s="8" t="s">
        <v>355</v>
      </c>
      <c r="F1976" s="8" t="s">
        <v>2313</v>
      </c>
    </row>
    <row r="1977" spans="1:6" ht="60" x14ac:dyDescent="0.25">
      <c r="A1977" s="8" t="s">
        <v>125</v>
      </c>
      <c r="B1977" s="8" t="s">
        <v>143</v>
      </c>
      <c r="C1977" s="8" t="str">
        <f>IFERROR(_xlfn.XLOOKUP(TRIM(B1977),Lookup!$B$2:$B$1000,Lookup!$C$2:$C$1000),"")</f>
        <v>Debt</v>
      </c>
      <c r="D1977" s="8" t="str">
        <f>IFERROR(INDEX('nav master'!$C:$C, MATCH(B1977, 'nav master'!$B:$B, 0)), "")</f>
        <v>ULIF06814/06/19BondPlusFd101</v>
      </c>
      <c r="E1977" s="8" t="s">
        <v>357</v>
      </c>
      <c r="F1977" s="8" t="s">
        <v>2314</v>
      </c>
    </row>
    <row r="1978" spans="1:6" ht="60" x14ac:dyDescent="0.25">
      <c r="A1978" s="8" t="s">
        <v>125</v>
      </c>
      <c r="B1978" s="8" t="s">
        <v>143</v>
      </c>
      <c r="C1978" s="8" t="str">
        <f>IFERROR(_xlfn.XLOOKUP(TRIM(B1978),Lookup!$B$2:$B$1000,Lookup!$C$2:$C$1000),"")</f>
        <v>Debt</v>
      </c>
      <c r="D1978" s="8" t="str">
        <f>IFERROR(INDEX('nav master'!$C:$C, MATCH(B1978, 'nav master'!$B:$B, 0)), "")</f>
        <v>ULIF06814/06/19BondPlusFd101</v>
      </c>
      <c r="E1978" s="8" t="s">
        <v>359</v>
      </c>
      <c r="F1978" s="8" t="s">
        <v>2315</v>
      </c>
    </row>
    <row r="1979" spans="1:6" ht="60" x14ac:dyDescent="0.25">
      <c r="A1979" s="8" t="s">
        <v>125</v>
      </c>
      <c r="B1979" s="8" t="s">
        <v>143</v>
      </c>
      <c r="C1979" s="8" t="str">
        <f>IFERROR(_xlfn.XLOOKUP(TRIM(B1979),Lookup!$B$2:$B$1000,Lookup!$C$2:$C$1000),"")</f>
        <v>Debt</v>
      </c>
      <c r="D1979" s="8" t="str">
        <f>IFERROR(INDEX('nav master'!$C:$C, MATCH(B1979, 'nav master'!$B:$B, 0)), "")</f>
        <v>ULIF06814/06/19BondPlusFd101</v>
      </c>
      <c r="E1979" s="8" t="s">
        <v>361</v>
      </c>
      <c r="F1979" s="8" t="s">
        <v>2316</v>
      </c>
    </row>
    <row r="1980" spans="1:6" ht="60" x14ac:dyDescent="0.25">
      <c r="A1980" s="8" t="s">
        <v>125</v>
      </c>
      <c r="B1980" s="8" t="s">
        <v>143</v>
      </c>
      <c r="C1980" s="8" t="str">
        <f>IFERROR(_xlfn.XLOOKUP(TRIM(B1980),Lookup!$B$2:$B$1000,Lookup!$C$2:$C$1000),"")</f>
        <v>Debt</v>
      </c>
      <c r="D1980" s="8" t="str">
        <f>IFERROR(INDEX('nav master'!$C:$C, MATCH(B1980, 'nav master'!$B:$B, 0)), "")</f>
        <v>ULIF06814/06/19BondPlusFd101</v>
      </c>
      <c r="E1980" s="8" t="s">
        <v>363</v>
      </c>
      <c r="F1980" s="8" t="s">
        <v>2317</v>
      </c>
    </row>
    <row r="1981" spans="1:6" ht="60" x14ac:dyDescent="0.25">
      <c r="A1981" s="8" t="s">
        <v>125</v>
      </c>
      <c r="B1981" s="8" t="s">
        <v>143</v>
      </c>
      <c r="C1981" s="8" t="str">
        <f>IFERROR(_xlfn.XLOOKUP(TRIM(B1981),Lookup!$B$2:$B$1000,Lookup!$C$2:$C$1000),"")</f>
        <v>Debt</v>
      </c>
      <c r="D1981" s="8" t="str">
        <f>IFERROR(INDEX('nav master'!$C:$C, MATCH(B1981, 'nav master'!$B:$B, 0)), "")</f>
        <v>ULIF06814/06/19BondPlusFd101</v>
      </c>
      <c r="E1981" s="8" t="s">
        <v>365</v>
      </c>
      <c r="F1981" s="8" t="s">
        <v>2318</v>
      </c>
    </row>
    <row r="1982" spans="1:6" ht="60" x14ac:dyDescent="0.25">
      <c r="A1982" s="8" t="s">
        <v>125</v>
      </c>
      <c r="B1982" s="8" t="s">
        <v>143</v>
      </c>
      <c r="C1982" s="8" t="str">
        <f>IFERROR(_xlfn.XLOOKUP(TRIM(B1982),Lookup!$B$2:$B$1000,Lookup!$C$2:$C$1000),"")</f>
        <v>Debt</v>
      </c>
      <c r="D1982" s="8" t="str">
        <f>IFERROR(INDEX('nav master'!$C:$C, MATCH(B1982, 'nav master'!$B:$B, 0)), "")</f>
        <v>ULIF06814/06/19BondPlusFd101</v>
      </c>
      <c r="E1982" s="8" t="s">
        <v>367</v>
      </c>
      <c r="F1982" s="8" t="s">
        <v>2319</v>
      </c>
    </row>
    <row r="1983" spans="1:6" ht="60" x14ac:dyDescent="0.25">
      <c r="A1983" s="8" t="s">
        <v>125</v>
      </c>
      <c r="B1983" s="8" t="s">
        <v>143</v>
      </c>
      <c r="C1983" s="8" t="str">
        <f>IFERROR(_xlfn.XLOOKUP(TRIM(B1983),Lookup!$B$2:$B$1000,Lookup!$C$2:$C$1000),"")</f>
        <v>Debt</v>
      </c>
      <c r="D1983" s="8" t="str">
        <f>IFERROR(INDEX('nav master'!$C:$C, MATCH(B1983, 'nav master'!$B:$B, 0)), "")</f>
        <v>ULIF06814/06/19BondPlusFd101</v>
      </c>
      <c r="E1983" s="8" t="s">
        <v>369</v>
      </c>
      <c r="F1983" s="8" t="s">
        <v>2320</v>
      </c>
    </row>
    <row r="1984" spans="1:6" ht="60" x14ac:dyDescent="0.25">
      <c r="A1984" s="8" t="s">
        <v>125</v>
      </c>
      <c r="B1984" s="8" t="s">
        <v>143</v>
      </c>
      <c r="C1984" s="8" t="str">
        <f>IFERROR(_xlfn.XLOOKUP(TRIM(B1984),Lookup!$B$2:$B$1000,Lookup!$C$2:$C$1000),"")</f>
        <v>Debt</v>
      </c>
      <c r="D1984" s="8" t="str">
        <f>IFERROR(INDEX('nav master'!$C:$C, MATCH(B1984, 'nav master'!$B:$B, 0)), "")</f>
        <v>ULIF06814/06/19BondPlusFd101</v>
      </c>
      <c r="E1984" s="8" t="s">
        <v>371</v>
      </c>
      <c r="F1984" s="8" t="s">
        <v>2321</v>
      </c>
    </row>
    <row r="1985" spans="1:6" ht="60" x14ac:dyDescent="0.25">
      <c r="A1985" s="8" t="s">
        <v>125</v>
      </c>
      <c r="B1985" s="8" t="s">
        <v>143</v>
      </c>
      <c r="C1985" s="8" t="str">
        <f>IFERROR(_xlfn.XLOOKUP(TRIM(B1985),Lookup!$B$2:$B$1000,Lookup!$C$2:$C$1000),"")</f>
        <v>Debt</v>
      </c>
      <c r="D1985" s="8" t="str">
        <f>IFERROR(INDEX('nav master'!$C:$C, MATCH(B1985, 'nav master'!$B:$B, 0)), "")</f>
        <v>ULIF06814/06/19BondPlusFd101</v>
      </c>
      <c r="E1985" s="8" t="s">
        <v>373</v>
      </c>
      <c r="F1985" s="8" t="s">
        <v>2322</v>
      </c>
    </row>
    <row r="1986" spans="1:6" ht="60" x14ac:dyDescent="0.25">
      <c r="A1986" s="8" t="s">
        <v>125</v>
      </c>
      <c r="B1986" s="8" t="s">
        <v>143</v>
      </c>
      <c r="C1986" s="8" t="str">
        <f>IFERROR(_xlfn.XLOOKUP(TRIM(B1986),Lookup!$B$2:$B$1000,Lookup!$C$2:$C$1000),"")</f>
        <v>Debt</v>
      </c>
      <c r="D1986" s="8" t="str">
        <f>IFERROR(INDEX('nav master'!$C:$C, MATCH(B1986, 'nav master'!$B:$B, 0)), "")</f>
        <v>ULIF06814/06/19BondPlusFd101</v>
      </c>
      <c r="E1986" s="8" t="s">
        <v>375</v>
      </c>
      <c r="F1986" s="8" t="s">
        <v>2323</v>
      </c>
    </row>
    <row r="1987" spans="1:6" ht="60" x14ac:dyDescent="0.25">
      <c r="A1987" s="8" t="s">
        <v>125</v>
      </c>
      <c r="B1987" s="8" t="s">
        <v>143</v>
      </c>
      <c r="C1987" s="8" t="str">
        <f>IFERROR(_xlfn.XLOOKUP(TRIM(B1987),Lookup!$B$2:$B$1000,Lookup!$C$2:$C$1000),"")</f>
        <v>Debt</v>
      </c>
      <c r="D1987" s="8" t="str">
        <f>IFERROR(INDEX('nav master'!$C:$C, MATCH(B1987, 'nav master'!$B:$B, 0)), "")</f>
        <v>ULIF06814/06/19BondPlusFd101</v>
      </c>
      <c r="E1987" s="8" t="s">
        <v>377</v>
      </c>
      <c r="F1987" s="8" t="s">
        <v>2324</v>
      </c>
    </row>
    <row r="1988" spans="1:6" ht="60" x14ac:dyDescent="0.25">
      <c r="A1988" s="8" t="s">
        <v>125</v>
      </c>
      <c r="B1988" s="8" t="s">
        <v>143</v>
      </c>
      <c r="C1988" s="8" t="str">
        <f>IFERROR(_xlfn.XLOOKUP(TRIM(B1988),Lookup!$B$2:$B$1000,Lookup!$C$2:$C$1000),"")</f>
        <v>Debt</v>
      </c>
      <c r="D1988" s="8" t="str">
        <f>IFERROR(INDEX('nav master'!$C:$C, MATCH(B1988, 'nav master'!$B:$B, 0)), "")</f>
        <v>ULIF06814/06/19BondPlusFd101</v>
      </c>
      <c r="E1988" s="8" t="s">
        <v>379</v>
      </c>
      <c r="F1988" s="8" t="s">
        <v>2325</v>
      </c>
    </row>
    <row r="1989" spans="1:6" ht="60" x14ac:dyDescent="0.25">
      <c r="A1989" s="8" t="s">
        <v>125</v>
      </c>
      <c r="B1989" s="8" t="s">
        <v>143</v>
      </c>
      <c r="C1989" s="8" t="str">
        <f>IFERROR(_xlfn.XLOOKUP(TRIM(B1989),Lookup!$B$2:$B$1000,Lookup!$C$2:$C$1000),"")</f>
        <v>Debt</v>
      </c>
      <c r="D1989" s="8" t="str">
        <f>IFERROR(INDEX('nav master'!$C:$C, MATCH(B1989, 'nav master'!$B:$B, 0)), "")</f>
        <v>ULIF06814/06/19BondPlusFd101</v>
      </c>
      <c r="E1989" s="8" t="s">
        <v>381</v>
      </c>
      <c r="F1989" s="8" t="s">
        <v>2326</v>
      </c>
    </row>
    <row r="1990" spans="1:6" ht="60" x14ac:dyDescent="0.25">
      <c r="A1990" s="8" t="s">
        <v>125</v>
      </c>
      <c r="B1990" s="8" t="s">
        <v>143</v>
      </c>
      <c r="C1990" s="8" t="str">
        <f>IFERROR(_xlfn.XLOOKUP(TRIM(B1990),Lookup!$B$2:$B$1000,Lookup!$C$2:$C$1000),"")</f>
        <v>Debt</v>
      </c>
      <c r="D1990" s="8" t="str">
        <f>IFERROR(INDEX('nav master'!$C:$C, MATCH(B1990, 'nav master'!$B:$B, 0)), "")</f>
        <v>ULIF06814/06/19BondPlusFd101</v>
      </c>
      <c r="E1990" s="8" t="s">
        <v>383</v>
      </c>
      <c r="F1990" s="8" t="s">
        <v>2327</v>
      </c>
    </row>
    <row r="1991" spans="1:6" ht="60" x14ac:dyDescent="0.25">
      <c r="A1991" s="8" t="s">
        <v>125</v>
      </c>
      <c r="B1991" s="8" t="s">
        <v>143</v>
      </c>
      <c r="C1991" s="8" t="str">
        <f>IFERROR(_xlfn.XLOOKUP(TRIM(B1991),Lookup!$B$2:$B$1000,Lookup!$C$2:$C$1000),"")</f>
        <v>Debt</v>
      </c>
      <c r="D1991" s="8" t="str">
        <f>IFERROR(INDEX('nav master'!$C:$C, MATCH(B1991, 'nav master'!$B:$B, 0)), "")</f>
        <v>ULIF06814/06/19BondPlusFd101</v>
      </c>
      <c r="E1991" s="8" t="s">
        <v>385</v>
      </c>
      <c r="F1991" s="8" t="s">
        <v>2328</v>
      </c>
    </row>
    <row r="1992" spans="1:6" ht="60" x14ac:dyDescent="0.25">
      <c r="A1992" s="8" t="s">
        <v>125</v>
      </c>
      <c r="B1992" s="8" t="s">
        <v>143</v>
      </c>
      <c r="C1992" s="8" t="str">
        <f>IFERROR(_xlfn.XLOOKUP(TRIM(B1992),Lookup!$B$2:$B$1000,Lookup!$C$2:$C$1000),"")</f>
        <v>Debt</v>
      </c>
      <c r="D1992" s="8" t="str">
        <f>IFERROR(INDEX('nav master'!$C:$C, MATCH(B1992, 'nav master'!$B:$B, 0)), "")</f>
        <v>ULIF06814/06/19BondPlusFd101</v>
      </c>
      <c r="E1992" s="8" t="s">
        <v>387</v>
      </c>
      <c r="F1992" s="8" t="s">
        <v>2329</v>
      </c>
    </row>
    <row r="1993" spans="1:6" ht="60" x14ac:dyDescent="0.25">
      <c r="A1993" s="8" t="s">
        <v>125</v>
      </c>
      <c r="B1993" s="8" t="s">
        <v>143</v>
      </c>
      <c r="C1993" s="8" t="str">
        <f>IFERROR(_xlfn.XLOOKUP(TRIM(B1993),Lookup!$B$2:$B$1000,Lookup!$C$2:$C$1000),"")</f>
        <v>Debt</v>
      </c>
      <c r="D1993" s="8" t="str">
        <f>IFERROR(INDEX('nav master'!$C:$C, MATCH(B1993, 'nav master'!$B:$B, 0)), "")</f>
        <v>ULIF06814/06/19BondPlusFd101</v>
      </c>
      <c r="E1993" s="8" t="s">
        <v>389</v>
      </c>
      <c r="F1993" s="8" t="s">
        <v>2330</v>
      </c>
    </row>
    <row r="1994" spans="1:6" ht="60" x14ac:dyDescent="0.25">
      <c r="A1994" s="8" t="s">
        <v>125</v>
      </c>
      <c r="B1994" s="8" t="s">
        <v>143</v>
      </c>
      <c r="C1994" s="8" t="str">
        <f>IFERROR(_xlfn.XLOOKUP(TRIM(B1994),Lookup!$B$2:$B$1000,Lookup!$C$2:$C$1000),"")</f>
        <v>Debt</v>
      </c>
      <c r="D1994" s="8" t="str">
        <f>IFERROR(INDEX('nav master'!$C:$C, MATCH(B1994, 'nav master'!$B:$B, 0)), "")</f>
        <v>ULIF06814/06/19BondPlusFd101</v>
      </c>
      <c r="E1994" s="8" t="s">
        <v>391</v>
      </c>
      <c r="F1994" s="8" t="s">
        <v>2331</v>
      </c>
    </row>
    <row r="1995" spans="1:6" ht="60" x14ac:dyDescent="0.25">
      <c r="A1995" s="8" t="s">
        <v>125</v>
      </c>
      <c r="B1995" s="8" t="s">
        <v>143</v>
      </c>
      <c r="C1995" s="8" t="str">
        <f>IFERROR(_xlfn.XLOOKUP(TRIM(B1995),Lookup!$B$2:$B$1000,Lookup!$C$2:$C$1000),"")</f>
        <v>Debt</v>
      </c>
      <c r="D1995" s="8" t="str">
        <f>IFERROR(INDEX('nav master'!$C:$C, MATCH(B1995, 'nav master'!$B:$B, 0)), "")</f>
        <v>ULIF06814/06/19BondPlusFd101</v>
      </c>
      <c r="E1995" s="8" t="s">
        <v>393</v>
      </c>
      <c r="F1995" s="8" t="s">
        <v>2332</v>
      </c>
    </row>
    <row r="1996" spans="1:6" ht="60" x14ac:dyDescent="0.25">
      <c r="A1996" s="8" t="s">
        <v>125</v>
      </c>
      <c r="B1996" s="8" t="s">
        <v>143</v>
      </c>
      <c r="C1996" s="8" t="str">
        <f>IFERROR(_xlfn.XLOOKUP(TRIM(B1996),Lookup!$B$2:$B$1000,Lookup!$C$2:$C$1000),"")</f>
        <v>Debt</v>
      </c>
      <c r="D1996" s="8" t="str">
        <f>IFERROR(INDEX('nav master'!$C:$C, MATCH(B1996, 'nav master'!$B:$B, 0)), "")</f>
        <v>ULIF06814/06/19BondPlusFd101</v>
      </c>
      <c r="E1996" s="8" t="s">
        <v>395</v>
      </c>
      <c r="F1996" s="8" t="s">
        <v>2333</v>
      </c>
    </row>
    <row r="1997" spans="1:6" ht="60" x14ac:dyDescent="0.25">
      <c r="A1997" s="8" t="s">
        <v>125</v>
      </c>
      <c r="B1997" s="8" t="s">
        <v>143</v>
      </c>
      <c r="C1997" s="8" t="str">
        <f>IFERROR(_xlfn.XLOOKUP(TRIM(B1997),Lookup!$B$2:$B$1000,Lookup!$C$2:$C$1000),"")</f>
        <v>Debt</v>
      </c>
      <c r="D1997" s="8" t="str">
        <f>IFERROR(INDEX('nav master'!$C:$C, MATCH(B1997, 'nav master'!$B:$B, 0)), "")</f>
        <v>ULIF06814/06/19BondPlusFd101</v>
      </c>
      <c r="E1997" s="8" t="s">
        <v>397</v>
      </c>
      <c r="F1997" s="8" t="s">
        <v>2334</v>
      </c>
    </row>
    <row r="1998" spans="1:6" ht="60" x14ac:dyDescent="0.25">
      <c r="A1998" s="8" t="s">
        <v>125</v>
      </c>
      <c r="B1998" s="8" t="s">
        <v>143</v>
      </c>
      <c r="C1998" s="8" t="str">
        <f>IFERROR(_xlfn.XLOOKUP(TRIM(B1998),Lookup!$B$2:$B$1000,Lookup!$C$2:$C$1000),"")</f>
        <v>Debt</v>
      </c>
      <c r="D1998" s="8" t="str">
        <f>IFERROR(INDEX('nav master'!$C:$C, MATCH(B1998, 'nav master'!$B:$B, 0)), "")</f>
        <v>ULIF06814/06/19BondPlusFd101</v>
      </c>
      <c r="E1998" s="8" t="s">
        <v>399</v>
      </c>
      <c r="F1998" s="8" t="s">
        <v>2335</v>
      </c>
    </row>
    <row r="1999" spans="1:6" ht="60" x14ac:dyDescent="0.25">
      <c r="A1999" s="8" t="s">
        <v>125</v>
      </c>
      <c r="B1999" s="8" t="s">
        <v>143</v>
      </c>
      <c r="C1999" s="8" t="str">
        <f>IFERROR(_xlfn.XLOOKUP(TRIM(B1999),Lookup!$B$2:$B$1000,Lookup!$C$2:$C$1000),"")</f>
        <v>Debt</v>
      </c>
      <c r="D1999" s="8" t="str">
        <f>IFERROR(INDEX('nav master'!$C:$C, MATCH(B1999, 'nav master'!$B:$B, 0)), "")</f>
        <v>ULIF06814/06/19BondPlusFd101</v>
      </c>
      <c r="E1999" s="8" t="s">
        <v>401</v>
      </c>
      <c r="F1999" s="8" t="s">
        <v>2336</v>
      </c>
    </row>
    <row r="2000" spans="1:6" ht="60" x14ac:dyDescent="0.25">
      <c r="A2000" s="8" t="s">
        <v>125</v>
      </c>
      <c r="B2000" s="8" t="s">
        <v>143</v>
      </c>
      <c r="C2000" s="8" t="str">
        <f>IFERROR(_xlfn.XLOOKUP(TRIM(B2000),Lookup!$B$2:$B$1000,Lookup!$C$2:$C$1000),"")</f>
        <v>Debt</v>
      </c>
      <c r="D2000" s="8" t="str">
        <f>IFERROR(INDEX('nav master'!$C:$C, MATCH(B2000, 'nav master'!$B:$B, 0)), "")</f>
        <v>ULIF06814/06/19BondPlusFd101</v>
      </c>
      <c r="E2000" s="8" t="s">
        <v>403</v>
      </c>
      <c r="F2000" s="8" t="s">
        <v>2337</v>
      </c>
    </row>
    <row r="2001" spans="1:6" ht="60" x14ac:dyDescent="0.25">
      <c r="A2001" s="8" t="s">
        <v>125</v>
      </c>
      <c r="B2001" s="8" t="s">
        <v>143</v>
      </c>
      <c r="C2001" s="8" t="str">
        <f>IFERROR(_xlfn.XLOOKUP(TRIM(B2001),Lookup!$B$2:$B$1000,Lookup!$C$2:$C$1000),"")</f>
        <v>Debt</v>
      </c>
      <c r="D2001" s="8" t="str">
        <f>IFERROR(INDEX('nav master'!$C:$C, MATCH(B2001, 'nav master'!$B:$B, 0)), "")</f>
        <v>ULIF06814/06/19BondPlusFd101</v>
      </c>
      <c r="E2001" s="8" t="s">
        <v>405</v>
      </c>
      <c r="F2001" s="8" t="s">
        <v>2319</v>
      </c>
    </row>
    <row r="2002" spans="1:6" ht="60" x14ac:dyDescent="0.25">
      <c r="A2002" s="8" t="s">
        <v>125</v>
      </c>
      <c r="B2002" s="8" t="s">
        <v>143</v>
      </c>
      <c r="C2002" s="8" t="str">
        <f>IFERROR(_xlfn.XLOOKUP(TRIM(B2002),Lookup!$B$2:$B$1000,Lookup!$C$2:$C$1000),"")</f>
        <v>Debt</v>
      </c>
      <c r="D2002" s="8" t="str">
        <f>IFERROR(INDEX('nav master'!$C:$C, MATCH(B2002, 'nav master'!$B:$B, 0)), "")</f>
        <v>ULIF06814/06/19BondPlusFd101</v>
      </c>
      <c r="E2002" s="8" t="s">
        <v>407</v>
      </c>
      <c r="F2002" s="8" t="s">
        <v>2338</v>
      </c>
    </row>
    <row r="2003" spans="1:6" ht="60" x14ac:dyDescent="0.25">
      <c r="A2003" s="8" t="s">
        <v>125</v>
      </c>
      <c r="B2003" s="8" t="s">
        <v>143</v>
      </c>
      <c r="C2003" s="8" t="str">
        <f>IFERROR(_xlfn.XLOOKUP(TRIM(B2003),Lookup!$B$2:$B$1000,Lookup!$C$2:$C$1000),"")</f>
        <v>Debt</v>
      </c>
      <c r="D2003" s="8" t="str">
        <f>IFERROR(INDEX('nav master'!$C:$C, MATCH(B2003, 'nav master'!$B:$B, 0)), "")</f>
        <v>ULIF06814/06/19BondPlusFd101</v>
      </c>
      <c r="E2003" s="8" t="s">
        <v>409</v>
      </c>
      <c r="F2003" s="8" t="s">
        <v>2331</v>
      </c>
    </row>
    <row r="2004" spans="1:6" ht="60" x14ac:dyDescent="0.25">
      <c r="A2004" s="8" t="s">
        <v>125</v>
      </c>
      <c r="B2004" s="8" t="s">
        <v>143</v>
      </c>
      <c r="C2004" s="8" t="str">
        <f>IFERROR(_xlfn.XLOOKUP(TRIM(B2004),Lookup!$B$2:$B$1000,Lookup!$C$2:$C$1000),"")</f>
        <v>Debt</v>
      </c>
      <c r="D2004" s="8" t="str">
        <f>IFERROR(INDEX('nav master'!$C:$C, MATCH(B2004, 'nav master'!$B:$B, 0)), "")</f>
        <v>ULIF06814/06/19BondPlusFd101</v>
      </c>
      <c r="E2004" s="8" t="s">
        <v>411</v>
      </c>
      <c r="F2004" s="8" t="s">
        <v>2339</v>
      </c>
    </row>
    <row r="2005" spans="1:6" ht="60" x14ac:dyDescent="0.25">
      <c r="A2005" s="8" t="s">
        <v>125</v>
      </c>
      <c r="B2005" s="8" t="s">
        <v>143</v>
      </c>
      <c r="C2005" s="8" t="str">
        <f>IFERROR(_xlfn.XLOOKUP(TRIM(B2005),Lookup!$B$2:$B$1000,Lookup!$C$2:$C$1000),"")</f>
        <v>Debt</v>
      </c>
      <c r="D2005" s="8" t="str">
        <f>IFERROR(INDEX('nav master'!$C:$C, MATCH(B2005, 'nav master'!$B:$B, 0)), "")</f>
        <v>ULIF06814/06/19BondPlusFd101</v>
      </c>
      <c r="E2005" s="8" t="s">
        <v>413</v>
      </c>
      <c r="F2005" s="8" t="s">
        <v>2340</v>
      </c>
    </row>
    <row r="2006" spans="1:6" ht="60" x14ac:dyDescent="0.25">
      <c r="A2006" s="8" t="s">
        <v>125</v>
      </c>
      <c r="B2006" s="8" t="s">
        <v>143</v>
      </c>
      <c r="C2006" s="8" t="str">
        <f>IFERROR(_xlfn.XLOOKUP(TRIM(B2006),Lookup!$B$2:$B$1000,Lookup!$C$2:$C$1000),"")</f>
        <v>Debt</v>
      </c>
      <c r="D2006" s="8" t="str">
        <f>IFERROR(INDEX('nav master'!$C:$C, MATCH(B2006, 'nav master'!$B:$B, 0)), "")</f>
        <v>ULIF06814/06/19BondPlusFd101</v>
      </c>
      <c r="E2006" s="8" t="s">
        <v>415</v>
      </c>
      <c r="F2006" s="8" t="s">
        <v>2293</v>
      </c>
    </row>
    <row r="2007" spans="1:6" ht="60" x14ac:dyDescent="0.25">
      <c r="A2007" s="8" t="s">
        <v>125</v>
      </c>
      <c r="B2007" s="8" t="s">
        <v>143</v>
      </c>
      <c r="C2007" s="8" t="str">
        <f>IFERROR(_xlfn.XLOOKUP(TRIM(B2007),Lookup!$B$2:$B$1000,Lookup!$C$2:$C$1000),"")</f>
        <v>Debt</v>
      </c>
      <c r="D2007" s="8" t="str">
        <f>IFERROR(INDEX('nav master'!$C:$C, MATCH(B2007, 'nav master'!$B:$B, 0)), "")</f>
        <v>ULIF06814/06/19BondPlusFd101</v>
      </c>
      <c r="E2007" s="8" t="s">
        <v>417</v>
      </c>
      <c r="F2007" s="8" t="s">
        <v>2341</v>
      </c>
    </row>
    <row r="2008" spans="1:6" ht="60" x14ac:dyDescent="0.25">
      <c r="A2008" s="8" t="s">
        <v>125</v>
      </c>
      <c r="B2008" s="8" t="s">
        <v>143</v>
      </c>
      <c r="C2008" s="8" t="str">
        <f>IFERROR(_xlfn.XLOOKUP(TRIM(B2008),Lookup!$B$2:$B$1000,Lookup!$C$2:$C$1000),"")</f>
        <v>Debt</v>
      </c>
      <c r="D2008" s="8" t="str">
        <f>IFERROR(INDEX('nav master'!$C:$C, MATCH(B2008, 'nav master'!$B:$B, 0)), "")</f>
        <v>ULIF06814/06/19BondPlusFd101</v>
      </c>
      <c r="E2008" s="8" t="s">
        <v>419</v>
      </c>
      <c r="F2008" s="8" t="s">
        <v>2342</v>
      </c>
    </row>
    <row r="2009" spans="1:6" ht="60" x14ac:dyDescent="0.25">
      <c r="A2009" s="8" t="s">
        <v>125</v>
      </c>
      <c r="B2009" s="8" t="s">
        <v>143</v>
      </c>
      <c r="C2009" s="8" t="str">
        <f>IFERROR(_xlfn.XLOOKUP(TRIM(B2009),Lookup!$B$2:$B$1000,Lookup!$C$2:$C$1000),"")</f>
        <v>Debt</v>
      </c>
      <c r="D2009" s="8" t="str">
        <f>IFERROR(INDEX('nav master'!$C:$C, MATCH(B2009, 'nav master'!$B:$B, 0)), "")</f>
        <v>ULIF06814/06/19BondPlusFd101</v>
      </c>
      <c r="E2009" s="8" t="s">
        <v>421</v>
      </c>
      <c r="F2009" s="8" t="s">
        <v>2343</v>
      </c>
    </row>
    <row r="2010" spans="1:6" ht="60" x14ac:dyDescent="0.25">
      <c r="A2010" s="8" t="s">
        <v>125</v>
      </c>
      <c r="B2010" s="8" t="s">
        <v>143</v>
      </c>
      <c r="C2010" s="8" t="str">
        <f>IFERROR(_xlfn.XLOOKUP(TRIM(B2010),Lookup!$B$2:$B$1000,Lookup!$C$2:$C$1000),"")</f>
        <v>Debt</v>
      </c>
      <c r="D2010" s="8" t="str">
        <f>IFERROR(INDEX('nav master'!$C:$C, MATCH(B2010, 'nav master'!$B:$B, 0)), "")</f>
        <v>ULIF06814/06/19BondPlusFd101</v>
      </c>
      <c r="E2010" s="8" t="s">
        <v>423</v>
      </c>
      <c r="F2010" s="8" t="s">
        <v>2344</v>
      </c>
    </row>
    <row r="2011" spans="1:6" ht="60" x14ac:dyDescent="0.25">
      <c r="A2011" s="8" t="s">
        <v>125</v>
      </c>
      <c r="B2011" s="8" t="s">
        <v>143</v>
      </c>
      <c r="C2011" s="8" t="str">
        <f>IFERROR(_xlfn.XLOOKUP(TRIM(B2011),Lookup!$B$2:$B$1000,Lookup!$C$2:$C$1000),"")</f>
        <v>Debt</v>
      </c>
      <c r="D2011" s="8" t="str">
        <f>IFERROR(INDEX('nav master'!$C:$C, MATCH(B2011, 'nav master'!$B:$B, 0)), "")</f>
        <v>ULIF06814/06/19BondPlusFd101</v>
      </c>
      <c r="E2011" s="8" t="s">
        <v>425</v>
      </c>
      <c r="F2011" s="8" t="s">
        <v>2345</v>
      </c>
    </row>
    <row r="2012" spans="1:6" ht="60" x14ac:dyDescent="0.25">
      <c r="A2012" s="8" t="s">
        <v>125</v>
      </c>
      <c r="B2012" s="8" t="s">
        <v>143</v>
      </c>
      <c r="C2012" s="8" t="str">
        <f>IFERROR(_xlfn.XLOOKUP(TRIM(B2012),Lookup!$B$2:$B$1000,Lookup!$C$2:$C$1000),"")</f>
        <v>Debt</v>
      </c>
      <c r="D2012" s="8" t="str">
        <f>IFERROR(INDEX('nav master'!$C:$C, MATCH(B2012, 'nav master'!$B:$B, 0)), "")</f>
        <v>ULIF06814/06/19BondPlusFd101</v>
      </c>
      <c r="E2012" s="8" t="s">
        <v>427</v>
      </c>
      <c r="F2012" s="8" t="s">
        <v>2346</v>
      </c>
    </row>
    <row r="2013" spans="1:6" ht="60" x14ac:dyDescent="0.25">
      <c r="A2013" s="8" t="s">
        <v>125</v>
      </c>
      <c r="B2013" s="8" t="s">
        <v>143</v>
      </c>
      <c r="C2013" s="8" t="str">
        <f>IFERROR(_xlfn.XLOOKUP(TRIM(B2013),Lookup!$B$2:$B$1000,Lookup!$C$2:$C$1000),"")</f>
        <v>Debt</v>
      </c>
      <c r="D2013" s="8" t="str">
        <f>IFERROR(INDEX('nav master'!$C:$C, MATCH(B2013, 'nav master'!$B:$B, 0)), "")</f>
        <v>ULIF06814/06/19BondPlusFd101</v>
      </c>
      <c r="E2013" s="8" t="s">
        <v>429</v>
      </c>
      <c r="F2013" s="8" t="s">
        <v>2347</v>
      </c>
    </row>
    <row r="2014" spans="1:6" ht="60" x14ac:dyDescent="0.25">
      <c r="A2014" s="8" t="s">
        <v>125</v>
      </c>
      <c r="B2014" s="8" t="s">
        <v>143</v>
      </c>
      <c r="C2014" s="8" t="str">
        <f>IFERROR(_xlfn.XLOOKUP(TRIM(B2014),Lookup!$B$2:$B$1000,Lookup!$C$2:$C$1000),"")</f>
        <v>Debt</v>
      </c>
      <c r="D2014" s="8" t="str">
        <f>IFERROR(INDEX('nav master'!$C:$C, MATCH(B2014, 'nav master'!$B:$B, 0)), "")</f>
        <v>ULIF06814/06/19BondPlusFd101</v>
      </c>
      <c r="E2014" s="8" t="s">
        <v>431</v>
      </c>
      <c r="F2014" s="8" t="s">
        <v>2343</v>
      </c>
    </row>
    <row r="2015" spans="1:6" ht="60" x14ac:dyDescent="0.25">
      <c r="A2015" s="8" t="s">
        <v>125</v>
      </c>
      <c r="B2015" s="8" t="s">
        <v>143</v>
      </c>
      <c r="C2015" s="8" t="str">
        <f>IFERROR(_xlfn.XLOOKUP(TRIM(B2015),Lookup!$B$2:$B$1000,Lookup!$C$2:$C$1000),"")</f>
        <v>Debt</v>
      </c>
      <c r="D2015" s="8" t="str">
        <f>IFERROR(INDEX('nav master'!$C:$C, MATCH(B2015, 'nav master'!$B:$B, 0)), "")</f>
        <v>ULIF06814/06/19BondPlusFd101</v>
      </c>
      <c r="E2015" s="8" t="s">
        <v>433</v>
      </c>
      <c r="F2015" s="8" t="s">
        <v>2348</v>
      </c>
    </row>
    <row r="2016" spans="1:6" ht="60" x14ac:dyDescent="0.25">
      <c r="A2016" s="8" t="s">
        <v>125</v>
      </c>
      <c r="B2016" s="8" t="s">
        <v>143</v>
      </c>
      <c r="C2016" s="8" t="str">
        <f>IFERROR(_xlfn.XLOOKUP(TRIM(B2016),Lookup!$B$2:$B$1000,Lookup!$C$2:$C$1000),"")</f>
        <v>Debt</v>
      </c>
      <c r="D2016" s="8" t="str">
        <f>IFERROR(INDEX('nav master'!$C:$C, MATCH(B2016, 'nav master'!$B:$B, 0)), "")</f>
        <v>ULIF06814/06/19BondPlusFd101</v>
      </c>
      <c r="E2016" s="8" t="s">
        <v>435</v>
      </c>
      <c r="F2016" s="8" t="s">
        <v>2349</v>
      </c>
    </row>
    <row r="2017" spans="1:6" ht="60" x14ac:dyDescent="0.25">
      <c r="A2017" s="8" t="s">
        <v>125</v>
      </c>
      <c r="B2017" s="8" t="s">
        <v>143</v>
      </c>
      <c r="C2017" s="8" t="str">
        <f>IFERROR(_xlfn.XLOOKUP(TRIM(B2017),Lookup!$B$2:$B$1000,Lookup!$C$2:$C$1000),"")</f>
        <v>Debt</v>
      </c>
      <c r="D2017" s="8" t="str">
        <f>IFERROR(INDEX('nav master'!$C:$C, MATCH(B2017, 'nav master'!$B:$B, 0)), "")</f>
        <v>ULIF06814/06/19BondPlusFd101</v>
      </c>
      <c r="E2017" s="8" t="s">
        <v>437</v>
      </c>
      <c r="F2017" s="8" t="s">
        <v>2350</v>
      </c>
    </row>
    <row r="2018" spans="1:6" ht="60" x14ac:dyDescent="0.25">
      <c r="A2018" s="8" t="s">
        <v>125</v>
      </c>
      <c r="B2018" s="8" t="s">
        <v>143</v>
      </c>
      <c r="C2018" s="8" t="str">
        <f>IFERROR(_xlfn.XLOOKUP(TRIM(B2018),Lookup!$B$2:$B$1000,Lookup!$C$2:$C$1000),"")</f>
        <v>Debt</v>
      </c>
      <c r="D2018" s="8" t="str">
        <f>IFERROR(INDEX('nav master'!$C:$C, MATCH(B2018, 'nav master'!$B:$B, 0)), "")</f>
        <v>ULIF06814/06/19BondPlusFd101</v>
      </c>
      <c r="E2018" s="8" t="s">
        <v>439</v>
      </c>
      <c r="F2018" s="8" t="s">
        <v>2351</v>
      </c>
    </row>
    <row r="2019" spans="1:6" ht="60" x14ac:dyDescent="0.25">
      <c r="A2019" s="8" t="s">
        <v>125</v>
      </c>
      <c r="B2019" s="8" t="s">
        <v>143</v>
      </c>
      <c r="C2019" s="8" t="str">
        <f>IFERROR(_xlfn.XLOOKUP(TRIM(B2019),Lookup!$B$2:$B$1000,Lookup!$C$2:$C$1000),"")</f>
        <v>Debt</v>
      </c>
      <c r="D2019" s="8" t="str">
        <f>IFERROR(INDEX('nav master'!$C:$C, MATCH(B2019, 'nav master'!$B:$B, 0)), "")</f>
        <v>ULIF06814/06/19BondPlusFd101</v>
      </c>
      <c r="E2019" s="8" t="s">
        <v>441</v>
      </c>
      <c r="F2019" s="8" t="s">
        <v>2352</v>
      </c>
    </row>
    <row r="2020" spans="1:6" ht="60" x14ac:dyDescent="0.25">
      <c r="A2020" s="8" t="s">
        <v>125</v>
      </c>
      <c r="B2020" s="8" t="s">
        <v>143</v>
      </c>
      <c r="C2020" s="8" t="str">
        <f>IFERROR(_xlfn.XLOOKUP(TRIM(B2020),Lookup!$B$2:$B$1000,Lookup!$C$2:$C$1000),"")</f>
        <v>Debt</v>
      </c>
      <c r="D2020" s="8" t="str">
        <f>IFERROR(INDEX('nav master'!$C:$C, MATCH(B2020, 'nav master'!$B:$B, 0)), "")</f>
        <v>ULIF06814/06/19BondPlusFd101</v>
      </c>
      <c r="E2020" s="8" t="s">
        <v>443</v>
      </c>
      <c r="F2020" s="8" t="s">
        <v>2353</v>
      </c>
    </row>
    <row r="2021" spans="1:6" ht="60" x14ac:dyDescent="0.25">
      <c r="A2021" s="8" t="s">
        <v>125</v>
      </c>
      <c r="B2021" s="8" t="s">
        <v>143</v>
      </c>
      <c r="C2021" s="8" t="str">
        <f>IFERROR(_xlfn.XLOOKUP(TRIM(B2021),Lookup!$B$2:$B$1000,Lookup!$C$2:$C$1000),"")</f>
        <v>Debt</v>
      </c>
      <c r="D2021" s="8" t="str">
        <f>IFERROR(INDEX('nav master'!$C:$C, MATCH(B2021, 'nav master'!$B:$B, 0)), "")</f>
        <v>ULIF06814/06/19BondPlusFd101</v>
      </c>
      <c r="E2021" s="8" t="s">
        <v>445</v>
      </c>
      <c r="F2021" s="8" t="s">
        <v>2354</v>
      </c>
    </row>
    <row r="2022" spans="1:6" ht="60" x14ac:dyDescent="0.25">
      <c r="A2022" s="8" t="s">
        <v>125</v>
      </c>
      <c r="B2022" s="8" t="s">
        <v>143</v>
      </c>
      <c r="C2022" s="8" t="str">
        <f>IFERROR(_xlfn.XLOOKUP(TRIM(B2022),Lookup!$B$2:$B$1000,Lookup!$C$2:$C$1000),"")</f>
        <v>Debt</v>
      </c>
      <c r="D2022" s="8" t="str">
        <f>IFERROR(INDEX('nav master'!$C:$C, MATCH(B2022, 'nav master'!$B:$B, 0)), "")</f>
        <v>ULIF06814/06/19BondPlusFd101</v>
      </c>
      <c r="E2022" s="8" t="s">
        <v>446</v>
      </c>
      <c r="F2022" s="8" t="s">
        <v>2355</v>
      </c>
    </row>
    <row r="2023" spans="1:6" ht="60" x14ac:dyDescent="0.25">
      <c r="A2023" s="8" t="s">
        <v>125</v>
      </c>
      <c r="B2023" s="8" t="s">
        <v>143</v>
      </c>
      <c r="C2023" s="8" t="str">
        <f>IFERROR(_xlfn.XLOOKUP(TRIM(B2023),Lookup!$B$2:$B$1000,Lookup!$C$2:$C$1000),"")</f>
        <v>Debt</v>
      </c>
      <c r="D2023" s="8" t="str">
        <f>IFERROR(INDEX('nav master'!$C:$C, MATCH(B2023, 'nav master'!$B:$B, 0)), "")</f>
        <v>ULIF06814/06/19BondPlusFd101</v>
      </c>
      <c r="E2023" s="8" t="s">
        <v>448</v>
      </c>
      <c r="F2023" s="8" t="s">
        <v>2356</v>
      </c>
    </row>
    <row r="2024" spans="1:6" ht="60" x14ac:dyDescent="0.25">
      <c r="A2024" s="8" t="s">
        <v>125</v>
      </c>
      <c r="B2024" s="8" t="s">
        <v>143</v>
      </c>
      <c r="C2024" s="8" t="str">
        <f>IFERROR(_xlfn.XLOOKUP(TRIM(B2024),Lookup!$B$2:$B$1000,Lookup!$C$2:$C$1000),"")</f>
        <v>Debt</v>
      </c>
      <c r="D2024" s="8" t="str">
        <f>IFERROR(INDEX('nav master'!$C:$C, MATCH(B2024, 'nav master'!$B:$B, 0)), "")</f>
        <v>ULIF06814/06/19BondPlusFd101</v>
      </c>
      <c r="E2024" s="8" t="s">
        <v>450</v>
      </c>
      <c r="F2024" s="8" t="s">
        <v>2357</v>
      </c>
    </row>
    <row r="2025" spans="1:6" ht="60" x14ac:dyDescent="0.25">
      <c r="A2025" s="8" t="s">
        <v>125</v>
      </c>
      <c r="B2025" s="8" t="s">
        <v>143</v>
      </c>
      <c r="C2025" s="8" t="str">
        <f>IFERROR(_xlfn.XLOOKUP(TRIM(B2025),Lookup!$B$2:$B$1000,Lookup!$C$2:$C$1000),"")</f>
        <v>Debt</v>
      </c>
      <c r="D2025" s="8" t="str">
        <f>IFERROR(INDEX('nav master'!$C:$C, MATCH(B2025, 'nav master'!$B:$B, 0)), "")</f>
        <v>ULIF06814/06/19BondPlusFd101</v>
      </c>
      <c r="E2025" s="8" t="s">
        <v>452</v>
      </c>
      <c r="F2025" s="8" t="s">
        <v>2358</v>
      </c>
    </row>
    <row r="2026" spans="1:6" ht="60" x14ac:dyDescent="0.25">
      <c r="A2026" s="8" t="s">
        <v>125</v>
      </c>
      <c r="B2026" s="8" t="s">
        <v>143</v>
      </c>
      <c r="C2026" s="8" t="str">
        <f>IFERROR(_xlfn.XLOOKUP(TRIM(B2026),Lookup!$B$2:$B$1000,Lookup!$C$2:$C$1000),"")</f>
        <v>Debt</v>
      </c>
      <c r="D2026" s="8" t="str">
        <f>IFERROR(INDEX('nav master'!$C:$C, MATCH(B2026, 'nav master'!$B:$B, 0)), "")</f>
        <v>ULIF06814/06/19BondPlusFd101</v>
      </c>
      <c r="E2026" s="8" t="s">
        <v>454</v>
      </c>
      <c r="F2026" s="8" t="s">
        <v>2359</v>
      </c>
    </row>
    <row r="2027" spans="1:6" ht="60" x14ac:dyDescent="0.25">
      <c r="A2027" s="8" t="s">
        <v>125</v>
      </c>
      <c r="B2027" s="8" t="s">
        <v>143</v>
      </c>
      <c r="C2027" s="8" t="str">
        <f>IFERROR(_xlfn.XLOOKUP(TRIM(B2027),Lookup!$B$2:$B$1000,Lookup!$C$2:$C$1000),"")</f>
        <v>Debt</v>
      </c>
      <c r="D2027" s="8" t="str">
        <f>IFERROR(INDEX('nav master'!$C:$C, MATCH(B2027, 'nav master'!$B:$B, 0)), "")</f>
        <v>ULIF06814/06/19BondPlusFd101</v>
      </c>
      <c r="E2027" s="8" t="s">
        <v>456</v>
      </c>
      <c r="F2027" s="8" t="s">
        <v>2360</v>
      </c>
    </row>
    <row r="2028" spans="1:6" ht="60" x14ac:dyDescent="0.25">
      <c r="A2028" s="8" t="s">
        <v>125</v>
      </c>
      <c r="B2028" s="8" t="s">
        <v>143</v>
      </c>
      <c r="C2028" s="8" t="str">
        <f>IFERROR(_xlfn.XLOOKUP(TRIM(B2028),Lookup!$B$2:$B$1000,Lookup!$C$2:$C$1000),"")</f>
        <v>Debt</v>
      </c>
      <c r="D2028" s="8" t="str">
        <f>IFERROR(INDEX('nav master'!$C:$C, MATCH(B2028, 'nav master'!$B:$B, 0)), "")</f>
        <v>ULIF06814/06/19BondPlusFd101</v>
      </c>
      <c r="E2028" s="8" t="s">
        <v>458</v>
      </c>
      <c r="F2028" s="8" t="s">
        <v>2361</v>
      </c>
    </row>
    <row r="2029" spans="1:6" ht="60" x14ac:dyDescent="0.25">
      <c r="A2029" s="8" t="s">
        <v>125</v>
      </c>
      <c r="B2029" s="8" t="s">
        <v>143</v>
      </c>
      <c r="C2029" s="8" t="str">
        <f>IFERROR(_xlfn.XLOOKUP(TRIM(B2029),Lookup!$B$2:$B$1000,Lookup!$C$2:$C$1000),"")</f>
        <v>Debt</v>
      </c>
      <c r="D2029" s="8" t="str">
        <f>IFERROR(INDEX('nav master'!$C:$C, MATCH(B2029, 'nav master'!$B:$B, 0)), "")</f>
        <v>ULIF06814/06/19BondPlusFd101</v>
      </c>
      <c r="E2029" s="8" t="s">
        <v>460</v>
      </c>
      <c r="F2029" s="8" t="s">
        <v>2362</v>
      </c>
    </row>
    <row r="2030" spans="1:6" ht="60" x14ac:dyDescent="0.25">
      <c r="A2030" s="8" t="s">
        <v>125</v>
      </c>
      <c r="B2030" s="8" t="s">
        <v>143</v>
      </c>
      <c r="C2030" s="8" t="str">
        <f>IFERROR(_xlfn.XLOOKUP(TRIM(B2030),Lookup!$B$2:$B$1000,Lookup!$C$2:$C$1000),"")</f>
        <v>Debt</v>
      </c>
      <c r="D2030" s="8" t="str">
        <f>IFERROR(INDEX('nav master'!$C:$C, MATCH(B2030, 'nav master'!$B:$B, 0)), "")</f>
        <v>ULIF06814/06/19BondPlusFd101</v>
      </c>
      <c r="E2030" s="8" t="s">
        <v>462</v>
      </c>
      <c r="F2030" s="8" t="s">
        <v>2363</v>
      </c>
    </row>
    <row r="2031" spans="1:6" ht="60" x14ac:dyDescent="0.25">
      <c r="A2031" s="8" t="s">
        <v>125</v>
      </c>
      <c r="B2031" s="8" t="s">
        <v>143</v>
      </c>
      <c r="C2031" s="8" t="str">
        <f>IFERROR(_xlfn.XLOOKUP(TRIM(B2031),Lookup!$B$2:$B$1000,Lookup!$C$2:$C$1000),"")</f>
        <v>Debt</v>
      </c>
      <c r="D2031" s="8" t="str">
        <f>IFERROR(INDEX('nav master'!$C:$C, MATCH(B2031, 'nav master'!$B:$B, 0)), "")</f>
        <v>ULIF06814/06/19BondPlusFd101</v>
      </c>
      <c r="E2031" s="8" t="s">
        <v>464</v>
      </c>
      <c r="F2031" s="8" t="s">
        <v>2364</v>
      </c>
    </row>
    <row r="2032" spans="1:6" ht="60" x14ac:dyDescent="0.25">
      <c r="A2032" s="8" t="s">
        <v>125</v>
      </c>
      <c r="B2032" s="8" t="s">
        <v>143</v>
      </c>
      <c r="C2032" s="8" t="str">
        <f>IFERROR(_xlfn.XLOOKUP(TRIM(B2032),Lookup!$B$2:$B$1000,Lookup!$C$2:$C$1000),"")</f>
        <v>Debt</v>
      </c>
      <c r="D2032" s="8" t="str">
        <f>IFERROR(INDEX('nav master'!$C:$C, MATCH(B2032, 'nav master'!$B:$B, 0)), "")</f>
        <v>ULIF06814/06/19BondPlusFd101</v>
      </c>
      <c r="E2032" s="8" t="s">
        <v>466</v>
      </c>
      <c r="F2032" s="8" t="s">
        <v>2365</v>
      </c>
    </row>
    <row r="2033" spans="1:6" ht="60" x14ac:dyDescent="0.25">
      <c r="A2033" s="8" t="s">
        <v>125</v>
      </c>
      <c r="B2033" s="8" t="s">
        <v>143</v>
      </c>
      <c r="C2033" s="8" t="str">
        <f>IFERROR(_xlfn.XLOOKUP(TRIM(B2033),Lookup!$B$2:$B$1000,Lookup!$C$2:$C$1000),"")</f>
        <v>Debt</v>
      </c>
      <c r="D2033" s="8" t="str">
        <f>IFERROR(INDEX('nav master'!$C:$C, MATCH(B2033, 'nav master'!$B:$B, 0)), "")</f>
        <v>ULIF06814/06/19BondPlusFd101</v>
      </c>
      <c r="E2033" s="8" t="s">
        <v>468</v>
      </c>
      <c r="F2033" s="8" t="s">
        <v>2366</v>
      </c>
    </row>
    <row r="2034" spans="1:6" ht="60" x14ac:dyDescent="0.25">
      <c r="A2034" s="8" t="s">
        <v>125</v>
      </c>
      <c r="B2034" s="8" t="s">
        <v>143</v>
      </c>
      <c r="C2034" s="8" t="str">
        <f>IFERROR(_xlfn.XLOOKUP(TRIM(B2034),Lookup!$B$2:$B$1000,Lookup!$C$2:$C$1000),"")</f>
        <v>Debt</v>
      </c>
      <c r="D2034" s="8" t="str">
        <f>IFERROR(INDEX('nav master'!$C:$C, MATCH(B2034, 'nav master'!$B:$B, 0)), "")</f>
        <v>ULIF06814/06/19BondPlusFd101</v>
      </c>
      <c r="E2034" s="8" t="s">
        <v>470</v>
      </c>
      <c r="F2034" s="8" t="s">
        <v>2367</v>
      </c>
    </row>
    <row r="2035" spans="1:6" ht="60" x14ac:dyDescent="0.25">
      <c r="A2035" s="8" t="s">
        <v>125</v>
      </c>
      <c r="B2035" s="8" t="s">
        <v>143</v>
      </c>
      <c r="C2035" s="8" t="str">
        <f>IFERROR(_xlfn.XLOOKUP(TRIM(B2035),Lookup!$B$2:$B$1000,Lookup!$C$2:$C$1000),"")</f>
        <v>Debt</v>
      </c>
      <c r="D2035" s="8" t="str">
        <f>IFERROR(INDEX('nav master'!$C:$C, MATCH(B2035, 'nav master'!$B:$B, 0)), "")</f>
        <v>ULIF06814/06/19BondPlusFd101</v>
      </c>
      <c r="E2035" s="8" t="s">
        <v>472</v>
      </c>
      <c r="F2035" s="8" t="s">
        <v>2368</v>
      </c>
    </row>
    <row r="2036" spans="1:6" ht="60" x14ac:dyDescent="0.25">
      <c r="A2036" s="8" t="s">
        <v>125</v>
      </c>
      <c r="B2036" s="8" t="s">
        <v>143</v>
      </c>
      <c r="C2036" s="8" t="str">
        <f>IFERROR(_xlfn.XLOOKUP(TRIM(B2036),Lookup!$B$2:$B$1000,Lookup!$C$2:$C$1000),"")</f>
        <v>Debt</v>
      </c>
      <c r="D2036" s="8" t="str">
        <f>IFERROR(INDEX('nav master'!$C:$C, MATCH(B2036, 'nav master'!$B:$B, 0)), "")</f>
        <v>ULIF06814/06/19BondPlusFd101</v>
      </c>
      <c r="E2036" s="8" t="s">
        <v>474</v>
      </c>
      <c r="F2036" s="8" t="s">
        <v>2369</v>
      </c>
    </row>
    <row r="2037" spans="1:6" ht="60" x14ac:dyDescent="0.25">
      <c r="A2037" s="8" t="s">
        <v>125</v>
      </c>
      <c r="B2037" s="8" t="s">
        <v>143</v>
      </c>
      <c r="C2037" s="8" t="str">
        <f>IFERROR(_xlfn.XLOOKUP(TRIM(B2037),Lookup!$B$2:$B$1000,Lookup!$C$2:$C$1000),"")</f>
        <v>Debt</v>
      </c>
      <c r="D2037" s="8" t="str">
        <f>IFERROR(INDEX('nav master'!$C:$C, MATCH(B2037, 'nav master'!$B:$B, 0)), "")</f>
        <v>ULIF06814/06/19BondPlusFd101</v>
      </c>
      <c r="E2037" s="8" t="s">
        <v>476</v>
      </c>
      <c r="F2037" s="8" t="s">
        <v>2370</v>
      </c>
    </row>
    <row r="2038" spans="1:6" ht="60" x14ac:dyDescent="0.25">
      <c r="A2038" s="8" t="s">
        <v>125</v>
      </c>
      <c r="B2038" s="8" t="s">
        <v>143</v>
      </c>
      <c r="C2038" s="8" t="str">
        <f>IFERROR(_xlfn.XLOOKUP(TRIM(B2038),Lookup!$B$2:$B$1000,Lookup!$C$2:$C$1000),"")</f>
        <v>Debt</v>
      </c>
      <c r="D2038" s="8" t="str">
        <f>IFERROR(INDEX('nav master'!$C:$C, MATCH(B2038, 'nav master'!$B:$B, 0)), "")</f>
        <v>ULIF06814/06/19BondPlusFd101</v>
      </c>
      <c r="E2038" s="8" t="s">
        <v>478</v>
      </c>
      <c r="F2038" s="8" t="s">
        <v>2371</v>
      </c>
    </row>
    <row r="2039" spans="1:6" ht="60" x14ac:dyDescent="0.25">
      <c r="A2039" s="8" t="s">
        <v>125</v>
      </c>
      <c r="B2039" s="8" t="s">
        <v>143</v>
      </c>
      <c r="C2039" s="8" t="str">
        <f>IFERROR(_xlfn.XLOOKUP(TRIM(B2039),Lookup!$B$2:$B$1000,Lookup!$C$2:$C$1000),"")</f>
        <v>Debt</v>
      </c>
      <c r="D2039" s="8" t="str">
        <f>IFERROR(INDEX('nav master'!$C:$C, MATCH(B2039, 'nav master'!$B:$B, 0)), "")</f>
        <v>ULIF06814/06/19BondPlusFd101</v>
      </c>
      <c r="E2039" s="8" t="s">
        <v>480</v>
      </c>
      <c r="F2039" s="8" t="s">
        <v>2372</v>
      </c>
    </row>
    <row r="2040" spans="1:6" ht="60" x14ac:dyDescent="0.25">
      <c r="A2040" s="8" t="s">
        <v>125</v>
      </c>
      <c r="B2040" s="8" t="s">
        <v>143</v>
      </c>
      <c r="C2040" s="8" t="str">
        <f>IFERROR(_xlfn.XLOOKUP(TRIM(B2040),Lookup!$B$2:$B$1000,Lookup!$C$2:$C$1000),"")</f>
        <v>Debt</v>
      </c>
      <c r="D2040" s="8" t="str">
        <f>IFERROR(INDEX('nav master'!$C:$C, MATCH(B2040, 'nav master'!$B:$B, 0)), "")</f>
        <v>ULIF06814/06/19BondPlusFd101</v>
      </c>
      <c r="E2040" s="8" t="s">
        <v>482</v>
      </c>
      <c r="F2040" s="8" t="s">
        <v>2373</v>
      </c>
    </row>
    <row r="2041" spans="1:6" ht="60" x14ac:dyDescent="0.25">
      <c r="A2041" s="8" t="s">
        <v>125</v>
      </c>
      <c r="B2041" s="8" t="s">
        <v>143</v>
      </c>
      <c r="C2041" s="8" t="str">
        <f>IFERROR(_xlfn.XLOOKUP(TRIM(B2041),Lookup!$B$2:$B$1000,Lookup!$C$2:$C$1000),"")</f>
        <v>Debt</v>
      </c>
      <c r="D2041" s="8" t="str">
        <f>IFERROR(INDEX('nav master'!$C:$C, MATCH(B2041, 'nav master'!$B:$B, 0)), "")</f>
        <v>ULIF06814/06/19BondPlusFd101</v>
      </c>
      <c r="E2041" s="8" t="s">
        <v>484</v>
      </c>
      <c r="F2041" s="8" t="s">
        <v>2374</v>
      </c>
    </row>
    <row r="2042" spans="1:6" ht="60" x14ac:dyDescent="0.25">
      <c r="A2042" s="8" t="s">
        <v>125</v>
      </c>
      <c r="B2042" s="8" t="s">
        <v>143</v>
      </c>
      <c r="C2042" s="8" t="str">
        <f>IFERROR(_xlfn.XLOOKUP(TRIM(B2042),Lookup!$B$2:$B$1000,Lookup!$C$2:$C$1000),"")</f>
        <v>Debt</v>
      </c>
      <c r="D2042" s="8" t="str">
        <f>IFERROR(INDEX('nav master'!$C:$C, MATCH(B2042, 'nav master'!$B:$B, 0)), "")</f>
        <v>ULIF06814/06/19BondPlusFd101</v>
      </c>
      <c r="E2042" s="8" t="s">
        <v>486</v>
      </c>
      <c r="F2042" s="8" t="s">
        <v>2375</v>
      </c>
    </row>
    <row r="2043" spans="1:6" ht="60" x14ac:dyDescent="0.25">
      <c r="A2043" s="8" t="s">
        <v>125</v>
      </c>
      <c r="B2043" s="8" t="s">
        <v>143</v>
      </c>
      <c r="C2043" s="8" t="str">
        <f>IFERROR(_xlfn.XLOOKUP(TRIM(B2043),Lookup!$B$2:$B$1000,Lookup!$C$2:$C$1000),"")</f>
        <v>Debt</v>
      </c>
      <c r="D2043" s="8" t="str">
        <f>IFERROR(INDEX('nav master'!$C:$C, MATCH(B2043, 'nav master'!$B:$B, 0)), "")</f>
        <v>ULIF06814/06/19BondPlusFd101</v>
      </c>
      <c r="E2043" s="8" t="s">
        <v>488</v>
      </c>
      <c r="F2043" s="8" t="s">
        <v>2376</v>
      </c>
    </row>
    <row r="2044" spans="1:6" ht="60" x14ac:dyDescent="0.25">
      <c r="A2044" s="8" t="s">
        <v>125</v>
      </c>
      <c r="B2044" s="8" t="s">
        <v>143</v>
      </c>
      <c r="C2044" s="8" t="str">
        <f>IFERROR(_xlfn.XLOOKUP(TRIM(B2044),Lookup!$B$2:$B$1000,Lookup!$C$2:$C$1000),"")</f>
        <v>Debt</v>
      </c>
      <c r="D2044" s="8" t="str">
        <f>IFERROR(INDEX('nav master'!$C:$C, MATCH(B2044, 'nav master'!$B:$B, 0)), "")</f>
        <v>ULIF06814/06/19BondPlusFd101</v>
      </c>
      <c r="E2044" s="8" t="s">
        <v>490</v>
      </c>
      <c r="F2044" s="8" t="s">
        <v>2377</v>
      </c>
    </row>
    <row r="2045" spans="1:6" ht="60" x14ac:dyDescent="0.25">
      <c r="A2045" s="8" t="s">
        <v>125</v>
      </c>
      <c r="B2045" s="8" t="s">
        <v>143</v>
      </c>
      <c r="C2045" s="8" t="str">
        <f>IFERROR(_xlfn.XLOOKUP(TRIM(B2045),Lookup!$B$2:$B$1000,Lookup!$C$2:$C$1000),"")</f>
        <v>Debt</v>
      </c>
      <c r="D2045" s="8" t="str">
        <f>IFERROR(INDEX('nav master'!$C:$C, MATCH(B2045, 'nav master'!$B:$B, 0)), "")</f>
        <v>ULIF06814/06/19BondPlusFd101</v>
      </c>
      <c r="E2045" s="8" t="s">
        <v>492</v>
      </c>
      <c r="F2045" s="8" t="s">
        <v>2378</v>
      </c>
    </row>
    <row r="2046" spans="1:6" ht="60" x14ac:dyDescent="0.25">
      <c r="A2046" s="8" t="s">
        <v>125</v>
      </c>
      <c r="B2046" s="8" t="s">
        <v>143</v>
      </c>
      <c r="C2046" s="8" t="str">
        <f>IFERROR(_xlfn.XLOOKUP(TRIM(B2046),Lookup!$B$2:$B$1000,Lookup!$C$2:$C$1000),"")</f>
        <v>Debt</v>
      </c>
      <c r="D2046" s="8" t="str">
        <f>IFERROR(INDEX('nav master'!$C:$C, MATCH(B2046, 'nav master'!$B:$B, 0)), "")</f>
        <v>ULIF06814/06/19BondPlusFd101</v>
      </c>
      <c r="E2046" s="8" t="s">
        <v>494</v>
      </c>
      <c r="F2046" s="8" t="s">
        <v>2332</v>
      </c>
    </row>
    <row r="2047" spans="1:6" ht="60" x14ac:dyDescent="0.25">
      <c r="A2047" s="8" t="s">
        <v>125</v>
      </c>
      <c r="B2047" s="8" t="s">
        <v>143</v>
      </c>
      <c r="C2047" s="8" t="str">
        <f>IFERROR(_xlfn.XLOOKUP(TRIM(B2047),Lookup!$B$2:$B$1000,Lookup!$C$2:$C$1000),"")</f>
        <v>Debt</v>
      </c>
      <c r="D2047" s="8" t="str">
        <f>IFERROR(INDEX('nav master'!$C:$C, MATCH(B2047, 'nav master'!$B:$B, 0)), "")</f>
        <v>ULIF06814/06/19BondPlusFd101</v>
      </c>
      <c r="E2047" s="8" t="s">
        <v>496</v>
      </c>
      <c r="F2047" s="8" t="s">
        <v>2379</v>
      </c>
    </row>
    <row r="2048" spans="1:6" ht="60" x14ac:dyDescent="0.25">
      <c r="A2048" s="8" t="s">
        <v>125</v>
      </c>
      <c r="B2048" s="8" t="s">
        <v>143</v>
      </c>
      <c r="C2048" s="8" t="str">
        <f>IFERROR(_xlfn.XLOOKUP(TRIM(B2048),Lookup!$B$2:$B$1000,Lookup!$C$2:$C$1000),"")</f>
        <v>Debt</v>
      </c>
      <c r="D2048" s="8" t="str">
        <f>IFERROR(INDEX('nav master'!$C:$C, MATCH(B2048, 'nav master'!$B:$B, 0)), "")</f>
        <v>ULIF06814/06/19BondPlusFd101</v>
      </c>
      <c r="E2048" s="8" t="s">
        <v>498</v>
      </c>
      <c r="F2048" s="8" t="s">
        <v>2380</v>
      </c>
    </row>
    <row r="2049" spans="1:6" ht="60" x14ac:dyDescent="0.25">
      <c r="A2049" s="8" t="s">
        <v>125</v>
      </c>
      <c r="B2049" s="8" t="s">
        <v>143</v>
      </c>
      <c r="C2049" s="8" t="str">
        <f>IFERROR(_xlfn.XLOOKUP(TRIM(B2049),Lookup!$B$2:$B$1000,Lookup!$C$2:$C$1000),"")</f>
        <v>Debt</v>
      </c>
      <c r="D2049" s="8" t="str">
        <f>IFERROR(INDEX('nav master'!$C:$C, MATCH(B2049, 'nav master'!$B:$B, 0)), "")</f>
        <v>ULIF06814/06/19BondPlusFd101</v>
      </c>
      <c r="E2049" s="8" t="s">
        <v>500</v>
      </c>
      <c r="F2049" s="8" t="s">
        <v>2381</v>
      </c>
    </row>
    <row r="2050" spans="1:6" ht="60" x14ac:dyDescent="0.25">
      <c r="A2050" s="8" t="s">
        <v>125</v>
      </c>
      <c r="B2050" s="8" t="s">
        <v>143</v>
      </c>
      <c r="C2050" s="8" t="str">
        <f>IFERROR(_xlfn.XLOOKUP(TRIM(B2050),Lookup!$B$2:$B$1000,Lookup!$C$2:$C$1000),"")</f>
        <v>Debt</v>
      </c>
      <c r="D2050" s="8" t="str">
        <f>IFERROR(INDEX('nav master'!$C:$C, MATCH(B2050, 'nav master'!$B:$B, 0)), "")</f>
        <v>ULIF06814/06/19BondPlusFd101</v>
      </c>
      <c r="E2050" s="8" t="s">
        <v>502</v>
      </c>
      <c r="F2050" s="8" t="s">
        <v>2382</v>
      </c>
    </row>
    <row r="2051" spans="1:6" ht="60" x14ac:dyDescent="0.25">
      <c r="A2051" s="8" t="s">
        <v>125</v>
      </c>
      <c r="B2051" s="8" t="s">
        <v>143</v>
      </c>
      <c r="C2051" s="8" t="str">
        <f>IFERROR(_xlfn.XLOOKUP(TRIM(B2051),Lookup!$B$2:$B$1000,Lookup!$C$2:$C$1000),"")</f>
        <v>Debt</v>
      </c>
      <c r="D2051" s="8" t="str">
        <f>IFERROR(INDEX('nav master'!$C:$C, MATCH(B2051, 'nav master'!$B:$B, 0)), "")</f>
        <v>ULIF06814/06/19BondPlusFd101</v>
      </c>
      <c r="E2051" s="8" t="s">
        <v>504</v>
      </c>
      <c r="F2051" s="8" t="s">
        <v>2383</v>
      </c>
    </row>
    <row r="2052" spans="1:6" ht="60" x14ac:dyDescent="0.25">
      <c r="A2052" s="8" t="s">
        <v>125</v>
      </c>
      <c r="B2052" s="8" t="s">
        <v>143</v>
      </c>
      <c r="C2052" s="8" t="str">
        <f>IFERROR(_xlfn.XLOOKUP(TRIM(B2052),Lookup!$B$2:$B$1000,Lookup!$C$2:$C$1000),"")</f>
        <v>Debt</v>
      </c>
      <c r="D2052" s="8" t="str">
        <f>IFERROR(INDEX('nav master'!$C:$C, MATCH(B2052, 'nav master'!$B:$B, 0)), "")</f>
        <v>ULIF06814/06/19BondPlusFd101</v>
      </c>
      <c r="E2052" s="8" t="s">
        <v>506</v>
      </c>
      <c r="F2052" s="8" t="s">
        <v>2384</v>
      </c>
    </row>
    <row r="2053" spans="1:6" ht="60" x14ac:dyDescent="0.25">
      <c r="A2053" s="8" t="s">
        <v>125</v>
      </c>
      <c r="B2053" s="8" t="s">
        <v>143</v>
      </c>
      <c r="C2053" s="8" t="str">
        <f>IFERROR(_xlfn.XLOOKUP(TRIM(B2053),Lookup!$B$2:$B$1000,Lookup!$C$2:$C$1000),"")</f>
        <v>Debt</v>
      </c>
      <c r="D2053" s="8" t="str">
        <f>IFERROR(INDEX('nav master'!$C:$C, MATCH(B2053, 'nav master'!$B:$B, 0)), "")</f>
        <v>ULIF06814/06/19BondPlusFd101</v>
      </c>
      <c r="E2053" s="8" t="s">
        <v>508</v>
      </c>
      <c r="F2053" s="8" t="s">
        <v>2385</v>
      </c>
    </row>
    <row r="2054" spans="1:6" ht="60" x14ac:dyDescent="0.25">
      <c r="A2054" s="8" t="s">
        <v>125</v>
      </c>
      <c r="B2054" s="8" t="s">
        <v>143</v>
      </c>
      <c r="C2054" s="8" t="str">
        <f>IFERROR(_xlfn.XLOOKUP(TRIM(B2054),Lookup!$B$2:$B$1000,Lookup!$C$2:$C$1000),"")</f>
        <v>Debt</v>
      </c>
      <c r="D2054" s="8" t="str">
        <f>IFERROR(INDEX('nav master'!$C:$C, MATCH(B2054, 'nav master'!$B:$B, 0)), "")</f>
        <v>ULIF06814/06/19BondPlusFd101</v>
      </c>
      <c r="E2054" s="8" t="s">
        <v>510</v>
      </c>
      <c r="F2054" s="8" t="s">
        <v>2386</v>
      </c>
    </row>
    <row r="2055" spans="1:6" ht="60" x14ac:dyDescent="0.25">
      <c r="A2055" s="8" t="s">
        <v>125</v>
      </c>
      <c r="B2055" s="8" t="s">
        <v>143</v>
      </c>
      <c r="C2055" s="8" t="str">
        <f>IFERROR(_xlfn.XLOOKUP(TRIM(B2055),Lookup!$B$2:$B$1000,Lookup!$C$2:$C$1000),"")</f>
        <v>Debt</v>
      </c>
      <c r="D2055" s="8" t="str">
        <f>IFERROR(INDEX('nav master'!$C:$C, MATCH(B2055, 'nav master'!$B:$B, 0)), "")</f>
        <v>ULIF06814/06/19BondPlusFd101</v>
      </c>
      <c r="E2055" s="8" t="s">
        <v>512</v>
      </c>
      <c r="F2055" s="8" t="s">
        <v>2387</v>
      </c>
    </row>
    <row r="2056" spans="1:6" ht="60" x14ac:dyDescent="0.25">
      <c r="A2056" s="8" t="s">
        <v>125</v>
      </c>
      <c r="B2056" s="8" t="s">
        <v>143</v>
      </c>
      <c r="C2056" s="8" t="str">
        <f>IFERROR(_xlfn.XLOOKUP(TRIM(B2056),Lookup!$B$2:$B$1000,Lookup!$C$2:$C$1000),"")</f>
        <v>Debt</v>
      </c>
      <c r="D2056" s="8" t="str">
        <f>IFERROR(INDEX('nav master'!$C:$C, MATCH(B2056, 'nav master'!$B:$B, 0)), "")</f>
        <v>ULIF06814/06/19BondPlusFd101</v>
      </c>
      <c r="E2056" s="8" t="s">
        <v>514</v>
      </c>
      <c r="F2056" s="8" t="s">
        <v>2388</v>
      </c>
    </row>
    <row r="2057" spans="1:6" ht="60" x14ac:dyDescent="0.25">
      <c r="A2057" s="8" t="s">
        <v>125</v>
      </c>
      <c r="B2057" s="8" t="s">
        <v>143</v>
      </c>
      <c r="C2057" s="8" t="str">
        <f>IFERROR(_xlfn.XLOOKUP(TRIM(B2057),Lookup!$B$2:$B$1000,Lookup!$C$2:$C$1000),"")</f>
        <v>Debt</v>
      </c>
      <c r="D2057" s="8" t="str">
        <f>IFERROR(INDEX('nav master'!$C:$C, MATCH(B2057, 'nav master'!$B:$B, 0)), "")</f>
        <v>ULIF06814/06/19BondPlusFd101</v>
      </c>
      <c r="E2057" s="8" t="s">
        <v>516</v>
      </c>
      <c r="F2057" s="8" t="s">
        <v>2389</v>
      </c>
    </row>
    <row r="2058" spans="1:6" ht="60" x14ac:dyDescent="0.25">
      <c r="A2058" s="8" t="s">
        <v>125</v>
      </c>
      <c r="B2058" s="8" t="s">
        <v>143</v>
      </c>
      <c r="C2058" s="8" t="str">
        <f>IFERROR(_xlfn.XLOOKUP(TRIM(B2058),Lookup!$B$2:$B$1000,Lookup!$C$2:$C$1000),"")</f>
        <v>Debt</v>
      </c>
      <c r="D2058" s="8" t="str">
        <f>IFERROR(INDEX('nav master'!$C:$C, MATCH(B2058, 'nav master'!$B:$B, 0)), "")</f>
        <v>ULIF06814/06/19BondPlusFd101</v>
      </c>
      <c r="E2058" s="8" t="s">
        <v>518</v>
      </c>
      <c r="F2058" s="8" t="s">
        <v>2390</v>
      </c>
    </row>
    <row r="2059" spans="1:6" ht="60" x14ac:dyDescent="0.25">
      <c r="A2059" s="8" t="s">
        <v>125</v>
      </c>
      <c r="B2059" s="8" t="s">
        <v>143</v>
      </c>
      <c r="C2059" s="8" t="str">
        <f>IFERROR(_xlfn.XLOOKUP(TRIM(B2059),Lookup!$B$2:$B$1000,Lookup!$C$2:$C$1000),"")</f>
        <v>Debt</v>
      </c>
      <c r="D2059" s="8" t="str">
        <f>IFERROR(INDEX('nav master'!$C:$C, MATCH(B2059, 'nav master'!$B:$B, 0)), "")</f>
        <v>ULIF06814/06/19BondPlusFd101</v>
      </c>
      <c r="E2059" s="8" t="s">
        <v>520</v>
      </c>
      <c r="F2059" s="8" t="s">
        <v>2391</v>
      </c>
    </row>
    <row r="2060" spans="1:6" ht="60" x14ac:dyDescent="0.25">
      <c r="A2060" s="8" t="s">
        <v>125</v>
      </c>
      <c r="B2060" s="8" t="s">
        <v>143</v>
      </c>
      <c r="C2060" s="8" t="str">
        <f>IFERROR(_xlfn.XLOOKUP(TRIM(B2060),Lookup!$B$2:$B$1000,Lookup!$C$2:$C$1000),"")</f>
        <v>Debt</v>
      </c>
      <c r="D2060" s="8" t="str">
        <f>IFERROR(INDEX('nav master'!$C:$C, MATCH(B2060, 'nav master'!$B:$B, 0)), "")</f>
        <v>ULIF06814/06/19BondPlusFd101</v>
      </c>
      <c r="E2060" s="8" t="s">
        <v>522</v>
      </c>
      <c r="F2060" s="8" t="s">
        <v>2392</v>
      </c>
    </row>
    <row r="2061" spans="1:6" ht="60" x14ac:dyDescent="0.25">
      <c r="A2061" s="8" t="s">
        <v>125</v>
      </c>
      <c r="B2061" s="8" t="s">
        <v>143</v>
      </c>
      <c r="C2061" s="8" t="str">
        <f>IFERROR(_xlfn.XLOOKUP(TRIM(B2061),Lookup!$B$2:$B$1000,Lookup!$C$2:$C$1000),"")</f>
        <v>Debt</v>
      </c>
      <c r="D2061" s="8" t="str">
        <f>IFERROR(INDEX('nav master'!$C:$C, MATCH(B2061, 'nav master'!$B:$B, 0)), "")</f>
        <v>ULIF06814/06/19BondPlusFd101</v>
      </c>
      <c r="E2061" s="8" t="s">
        <v>524</v>
      </c>
      <c r="F2061" s="8" t="s">
        <v>2393</v>
      </c>
    </row>
    <row r="2062" spans="1:6" ht="60" x14ac:dyDescent="0.25">
      <c r="A2062" s="8" t="s">
        <v>125</v>
      </c>
      <c r="B2062" s="8" t="s">
        <v>143</v>
      </c>
      <c r="C2062" s="8" t="str">
        <f>IFERROR(_xlfn.XLOOKUP(TRIM(B2062),Lookup!$B$2:$B$1000,Lookup!$C$2:$C$1000),"")</f>
        <v>Debt</v>
      </c>
      <c r="D2062" s="8" t="str">
        <f>IFERROR(INDEX('nav master'!$C:$C, MATCH(B2062, 'nav master'!$B:$B, 0)), "")</f>
        <v>ULIF06814/06/19BondPlusFd101</v>
      </c>
      <c r="E2062" s="8" t="s">
        <v>526</v>
      </c>
      <c r="F2062" s="8" t="s">
        <v>2394</v>
      </c>
    </row>
    <row r="2063" spans="1:6" ht="60" x14ac:dyDescent="0.25">
      <c r="A2063" s="8" t="s">
        <v>125</v>
      </c>
      <c r="B2063" s="8" t="s">
        <v>143</v>
      </c>
      <c r="C2063" s="8" t="str">
        <f>IFERROR(_xlfn.XLOOKUP(TRIM(B2063),Lookup!$B$2:$B$1000,Lookup!$C$2:$C$1000),"")</f>
        <v>Debt</v>
      </c>
      <c r="D2063" s="8" t="str">
        <f>IFERROR(INDEX('nav master'!$C:$C, MATCH(B2063, 'nav master'!$B:$B, 0)), "")</f>
        <v>ULIF06814/06/19BondPlusFd101</v>
      </c>
      <c r="E2063" s="8" t="s">
        <v>528</v>
      </c>
      <c r="F2063" s="8" t="s">
        <v>2395</v>
      </c>
    </row>
    <row r="2064" spans="1:6" ht="60" x14ac:dyDescent="0.25">
      <c r="A2064" s="8" t="s">
        <v>125</v>
      </c>
      <c r="B2064" s="8" t="s">
        <v>143</v>
      </c>
      <c r="C2064" s="8" t="str">
        <f>IFERROR(_xlfn.XLOOKUP(TRIM(B2064),Lookup!$B$2:$B$1000,Lookup!$C$2:$C$1000),"")</f>
        <v>Debt</v>
      </c>
      <c r="D2064" s="8" t="str">
        <f>IFERROR(INDEX('nav master'!$C:$C, MATCH(B2064, 'nav master'!$B:$B, 0)), "")</f>
        <v>ULIF06814/06/19BondPlusFd101</v>
      </c>
      <c r="E2064" s="8" t="s">
        <v>530</v>
      </c>
      <c r="F2064" s="8" t="s">
        <v>2396</v>
      </c>
    </row>
    <row r="2065" spans="1:6" ht="60" x14ac:dyDescent="0.25">
      <c r="A2065" s="8" t="s">
        <v>125</v>
      </c>
      <c r="B2065" s="8" t="s">
        <v>143</v>
      </c>
      <c r="C2065" s="8" t="str">
        <f>IFERROR(_xlfn.XLOOKUP(TRIM(B2065),Lookup!$B$2:$B$1000,Lookup!$C$2:$C$1000),"")</f>
        <v>Debt</v>
      </c>
      <c r="D2065" s="8" t="str">
        <f>IFERROR(INDEX('nav master'!$C:$C, MATCH(B2065, 'nav master'!$B:$B, 0)), "")</f>
        <v>ULIF06814/06/19BondPlusFd101</v>
      </c>
      <c r="E2065" s="8" t="s">
        <v>532</v>
      </c>
      <c r="F2065" s="8" t="s">
        <v>2397</v>
      </c>
    </row>
    <row r="2066" spans="1:6" ht="60" x14ac:dyDescent="0.25">
      <c r="A2066" s="8" t="s">
        <v>125</v>
      </c>
      <c r="B2066" s="8" t="s">
        <v>143</v>
      </c>
      <c r="C2066" s="8" t="str">
        <f>IFERROR(_xlfn.XLOOKUP(TRIM(B2066),Lookup!$B$2:$B$1000,Lookup!$C$2:$C$1000),"")</f>
        <v>Debt</v>
      </c>
      <c r="D2066" s="8" t="str">
        <f>IFERROR(INDEX('nav master'!$C:$C, MATCH(B2066, 'nav master'!$B:$B, 0)), "")</f>
        <v>ULIF06814/06/19BondPlusFd101</v>
      </c>
      <c r="E2066" s="8" t="s">
        <v>534</v>
      </c>
      <c r="F2066" s="8" t="s">
        <v>2398</v>
      </c>
    </row>
    <row r="2067" spans="1:6" ht="60" x14ac:dyDescent="0.25">
      <c r="A2067" s="8" t="s">
        <v>125</v>
      </c>
      <c r="B2067" s="8" t="s">
        <v>143</v>
      </c>
      <c r="C2067" s="8" t="str">
        <f>IFERROR(_xlfn.XLOOKUP(TRIM(B2067),Lookup!$B$2:$B$1000,Lookup!$C$2:$C$1000),"")</f>
        <v>Debt</v>
      </c>
      <c r="D2067" s="8" t="str">
        <f>IFERROR(INDEX('nav master'!$C:$C, MATCH(B2067, 'nav master'!$B:$B, 0)), "")</f>
        <v>ULIF06814/06/19BondPlusFd101</v>
      </c>
      <c r="E2067" s="8" t="s">
        <v>536</v>
      </c>
      <c r="F2067" s="8" t="s">
        <v>2399</v>
      </c>
    </row>
    <row r="2068" spans="1:6" ht="60" x14ac:dyDescent="0.25">
      <c r="A2068" s="8" t="s">
        <v>125</v>
      </c>
      <c r="B2068" s="8" t="s">
        <v>143</v>
      </c>
      <c r="C2068" s="8" t="str">
        <f>IFERROR(_xlfn.XLOOKUP(TRIM(B2068),Lookup!$B$2:$B$1000,Lookup!$C$2:$C$1000),"")</f>
        <v>Debt</v>
      </c>
      <c r="D2068" s="8" t="str">
        <f>IFERROR(INDEX('nav master'!$C:$C, MATCH(B2068, 'nav master'!$B:$B, 0)), "")</f>
        <v>ULIF06814/06/19BondPlusFd101</v>
      </c>
      <c r="E2068" s="8" t="s">
        <v>538</v>
      </c>
      <c r="F2068" s="8" t="s">
        <v>2400</v>
      </c>
    </row>
    <row r="2069" spans="1:6" ht="60" x14ac:dyDescent="0.25">
      <c r="A2069" s="8" t="s">
        <v>125</v>
      </c>
      <c r="B2069" s="8" t="s">
        <v>143</v>
      </c>
      <c r="C2069" s="8" t="str">
        <f>IFERROR(_xlfn.XLOOKUP(TRIM(B2069),Lookup!$B$2:$B$1000,Lookup!$C$2:$C$1000),"")</f>
        <v>Debt</v>
      </c>
      <c r="D2069" s="8" t="str">
        <f>IFERROR(INDEX('nav master'!$C:$C, MATCH(B2069, 'nav master'!$B:$B, 0)), "")</f>
        <v>ULIF06814/06/19BondPlusFd101</v>
      </c>
      <c r="E2069" s="8" t="s">
        <v>540</v>
      </c>
      <c r="F2069" s="8" t="s">
        <v>2401</v>
      </c>
    </row>
    <row r="2070" spans="1:6" ht="60" x14ac:dyDescent="0.25">
      <c r="A2070" s="8" t="s">
        <v>125</v>
      </c>
      <c r="B2070" s="8" t="s">
        <v>143</v>
      </c>
      <c r="C2070" s="8" t="str">
        <f>IFERROR(_xlfn.XLOOKUP(TRIM(B2070),Lookup!$B$2:$B$1000,Lookup!$C$2:$C$1000),"")</f>
        <v>Debt</v>
      </c>
      <c r="D2070" s="8" t="str">
        <f>IFERROR(INDEX('nav master'!$C:$C, MATCH(B2070, 'nav master'!$B:$B, 0)), "")</f>
        <v>ULIF06814/06/19BondPlusFd101</v>
      </c>
      <c r="E2070" s="8" t="s">
        <v>542</v>
      </c>
      <c r="F2070" s="8" t="s">
        <v>2402</v>
      </c>
    </row>
    <row r="2071" spans="1:6" ht="60" x14ac:dyDescent="0.25">
      <c r="A2071" s="8" t="s">
        <v>125</v>
      </c>
      <c r="B2071" s="8" t="s">
        <v>143</v>
      </c>
      <c r="C2071" s="8" t="str">
        <f>IFERROR(_xlfn.XLOOKUP(TRIM(B2071),Lookup!$B$2:$B$1000,Lookup!$C$2:$C$1000),"")</f>
        <v>Debt</v>
      </c>
      <c r="D2071" s="8" t="str">
        <f>IFERROR(INDEX('nav master'!$C:$C, MATCH(B2071, 'nav master'!$B:$B, 0)), "")</f>
        <v>ULIF06814/06/19BondPlusFd101</v>
      </c>
      <c r="E2071" s="8" t="s">
        <v>544</v>
      </c>
      <c r="F2071" s="8" t="s">
        <v>2403</v>
      </c>
    </row>
    <row r="2072" spans="1:6" ht="60" x14ac:dyDescent="0.25">
      <c r="A2072" s="8" t="s">
        <v>125</v>
      </c>
      <c r="B2072" s="8" t="s">
        <v>143</v>
      </c>
      <c r="C2072" s="8" t="str">
        <f>IFERROR(_xlfn.XLOOKUP(TRIM(B2072),Lookup!$B$2:$B$1000,Lookup!$C$2:$C$1000),"")</f>
        <v>Debt</v>
      </c>
      <c r="D2072" s="8" t="str">
        <f>IFERROR(INDEX('nav master'!$C:$C, MATCH(B2072, 'nav master'!$B:$B, 0)), "")</f>
        <v>ULIF06814/06/19BondPlusFd101</v>
      </c>
      <c r="E2072" s="8" t="s">
        <v>546</v>
      </c>
      <c r="F2072" s="8" t="s">
        <v>2404</v>
      </c>
    </row>
    <row r="2073" spans="1:6" ht="60" x14ac:dyDescent="0.25">
      <c r="A2073" s="8" t="s">
        <v>125</v>
      </c>
      <c r="B2073" s="8" t="s">
        <v>143</v>
      </c>
      <c r="C2073" s="8" t="str">
        <f>IFERROR(_xlfn.XLOOKUP(TRIM(B2073),Lookup!$B$2:$B$1000,Lookup!$C$2:$C$1000),"")</f>
        <v>Debt</v>
      </c>
      <c r="D2073" s="8" t="str">
        <f>IFERROR(INDEX('nav master'!$C:$C, MATCH(B2073, 'nav master'!$B:$B, 0)), "")</f>
        <v>ULIF06814/06/19BondPlusFd101</v>
      </c>
      <c r="E2073" s="8" t="s">
        <v>548</v>
      </c>
      <c r="F2073" s="8" t="s">
        <v>2405</v>
      </c>
    </row>
    <row r="2074" spans="1:6" ht="60" x14ac:dyDescent="0.25">
      <c r="A2074" s="8" t="s">
        <v>125</v>
      </c>
      <c r="B2074" s="8" t="s">
        <v>143</v>
      </c>
      <c r="C2074" s="8" t="str">
        <f>IFERROR(_xlfn.XLOOKUP(TRIM(B2074),Lookup!$B$2:$B$1000,Lookup!$C$2:$C$1000),"")</f>
        <v>Debt</v>
      </c>
      <c r="D2074" s="8" t="str">
        <f>IFERROR(INDEX('nav master'!$C:$C, MATCH(B2074, 'nav master'!$B:$B, 0)), "")</f>
        <v>ULIF06814/06/19BondPlusFd101</v>
      </c>
      <c r="E2074" s="8" t="s">
        <v>550</v>
      </c>
      <c r="F2074" s="8" t="s">
        <v>2406</v>
      </c>
    </row>
    <row r="2075" spans="1:6" ht="60" x14ac:dyDescent="0.25">
      <c r="A2075" s="8" t="s">
        <v>125</v>
      </c>
      <c r="B2075" s="8" t="s">
        <v>143</v>
      </c>
      <c r="C2075" s="8" t="str">
        <f>IFERROR(_xlfn.XLOOKUP(TRIM(B2075),Lookup!$B$2:$B$1000,Lookup!$C$2:$C$1000),"")</f>
        <v>Debt</v>
      </c>
      <c r="D2075" s="8" t="str">
        <f>IFERROR(INDEX('nav master'!$C:$C, MATCH(B2075, 'nav master'!$B:$B, 0)), "")</f>
        <v>ULIF06814/06/19BondPlusFd101</v>
      </c>
      <c r="E2075" s="8" t="s">
        <v>552</v>
      </c>
      <c r="F2075" s="8" t="s">
        <v>2407</v>
      </c>
    </row>
    <row r="2076" spans="1:6" ht="60" x14ac:dyDescent="0.25">
      <c r="A2076" s="8" t="s">
        <v>125</v>
      </c>
      <c r="B2076" s="8" t="s">
        <v>143</v>
      </c>
      <c r="C2076" s="8" t="str">
        <f>IFERROR(_xlfn.XLOOKUP(TRIM(B2076),Lookup!$B$2:$B$1000,Lookup!$C$2:$C$1000),"")</f>
        <v>Debt</v>
      </c>
      <c r="D2076" s="8" t="str">
        <f>IFERROR(INDEX('nav master'!$C:$C, MATCH(B2076, 'nav master'!$B:$B, 0)), "")</f>
        <v>ULIF06814/06/19BondPlusFd101</v>
      </c>
      <c r="E2076" s="8" t="s">
        <v>554</v>
      </c>
      <c r="F2076" s="8" t="s">
        <v>2408</v>
      </c>
    </row>
    <row r="2077" spans="1:6" ht="60" x14ac:dyDescent="0.25">
      <c r="A2077" s="8" t="s">
        <v>125</v>
      </c>
      <c r="B2077" s="8" t="s">
        <v>143</v>
      </c>
      <c r="C2077" s="8" t="str">
        <f>IFERROR(_xlfn.XLOOKUP(TRIM(B2077),Lookup!$B$2:$B$1000,Lookup!$C$2:$C$1000),"")</f>
        <v>Debt</v>
      </c>
      <c r="D2077" s="8" t="str">
        <f>IFERROR(INDEX('nav master'!$C:$C, MATCH(B2077, 'nav master'!$B:$B, 0)), "")</f>
        <v>ULIF06814/06/19BondPlusFd101</v>
      </c>
      <c r="E2077" s="8" t="s">
        <v>556</v>
      </c>
      <c r="F2077" s="8" t="s">
        <v>2409</v>
      </c>
    </row>
    <row r="2078" spans="1:6" ht="60" x14ac:dyDescent="0.25">
      <c r="A2078" s="8" t="s">
        <v>125</v>
      </c>
      <c r="B2078" s="8" t="s">
        <v>143</v>
      </c>
      <c r="C2078" s="8" t="str">
        <f>IFERROR(_xlfn.XLOOKUP(TRIM(B2078),Lookup!$B$2:$B$1000,Lookup!$C$2:$C$1000),"")</f>
        <v>Debt</v>
      </c>
      <c r="D2078" s="8" t="str">
        <f>IFERROR(INDEX('nav master'!$C:$C, MATCH(B2078, 'nav master'!$B:$B, 0)), "")</f>
        <v>ULIF06814/06/19BondPlusFd101</v>
      </c>
      <c r="E2078" s="8" t="s">
        <v>558</v>
      </c>
      <c r="F2078" s="8" t="s">
        <v>2410</v>
      </c>
    </row>
    <row r="2079" spans="1:6" ht="60" x14ac:dyDescent="0.25">
      <c r="A2079" s="8" t="s">
        <v>125</v>
      </c>
      <c r="B2079" s="8" t="s">
        <v>143</v>
      </c>
      <c r="C2079" s="8" t="str">
        <f>IFERROR(_xlfn.XLOOKUP(TRIM(B2079),Lookup!$B$2:$B$1000,Lookup!$C$2:$C$1000),"")</f>
        <v>Debt</v>
      </c>
      <c r="D2079" s="8" t="str">
        <f>IFERROR(INDEX('nav master'!$C:$C, MATCH(B2079, 'nav master'!$B:$B, 0)), "")</f>
        <v>ULIF06814/06/19BondPlusFd101</v>
      </c>
      <c r="E2079" s="8" t="s">
        <v>560</v>
      </c>
      <c r="F2079" s="8" t="s">
        <v>2411</v>
      </c>
    </row>
    <row r="2080" spans="1:6" ht="60" x14ac:dyDescent="0.25">
      <c r="A2080" s="8" t="s">
        <v>125</v>
      </c>
      <c r="B2080" s="8" t="s">
        <v>143</v>
      </c>
      <c r="C2080" s="8" t="str">
        <f>IFERROR(_xlfn.XLOOKUP(TRIM(B2080),Lookup!$B$2:$B$1000,Lookup!$C$2:$C$1000),"")</f>
        <v>Debt</v>
      </c>
      <c r="D2080" s="8" t="str">
        <f>IFERROR(INDEX('nav master'!$C:$C, MATCH(B2080, 'nav master'!$B:$B, 0)), "")</f>
        <v>ULIF06814/06/19BondPlusFd101</v>
      </c>
      <c r="E2080" s="8" t="s">
        <v>562</v>
      </c>
      <c r="F2080" s="8" t="s">
        <v>2412</v>
      </c>
    </row>
    <row r="2081" spans="1:6" ht="60" x14ac:dyDescent="0.25">
      <c r="A2081" s="8" t="s">
        <v>125</v>
      </c>
      <c r="B2081" s="8" t="s">
        <v>143</v>
      </c>
      <c r="C2081" s="8" t="str">
        <f>IFERROR(_xlfn.XLOOKUP(TRIM(B2081),Lookup!$B$2:$B$1000,Lookup!$C$2:$C$1000),"")</f>
        <v>Debt</v>
      </c>
      <c r="D2081" s="8" t="str">
        <f>IFERROR(INDEX('nav master'!$C:$C, MATCH(B2081, 'nav master'!$B:$B, 0)), "")</f>
        <v>ULIF06814/06/19BondPlusFd101</v>
      </c>
      <c r="E2081" s="8" t="s">
        <v>564</v>
      </c>
      <c r="F2081" s="8" t="s">
        <v>2413</v>
      </c>
    </row>
    <row r="2082" spans="1:6" ht="60" x14ac:dyDescent="0.25">
      <c r="A2082" s="8" t="s">
        <v>125</v>
      </c>
      <c r="B2082" s="8" t="s">
        <v>143</v>
      </c>
      <c r="C2082" s="8" t="str">
        <f>IFERROR(_xlfn.XLOOKUP(TRIM(B2082),Lookup!$B$2:$B$1000,Lookup!$C$2:$C$1000),"")</f>
        <v>Debt</v>
      </c>
      <c r="D2082" s="8" t="str">
        <f>IFERROR(INDEX('nav master'!$C:$C, MATCH(B2082, 'nav master'!$B:$B, 0)), "")</f>
        <v>ULIF06814/06/19BondPlusFd101</v>
      </c>
      <c r="E2082" s="8" t="s">
        <v>566</v>
      </c>
      <c r="F2082" s="8" t="s">
        <v>2414</v>
      </c>
    </row>
    <row r="2083" spans="1:6" ht="60" x14ac:dyDescent="0.25">
      <c r="A2083" s="8" t="s">
        <v>125</v>
      </c>
      <c r="B2083" s="8" t="s">
        <v>143</v>
      </c>
      <c r="C2083" s="8" t="str">
        <f>IFERROR(_xlfn.XLOOKUP(TRIM(B2083),Lookup!$B$2:$B$1000,Lookup!$C$2:$C$1000),"")</f>
        <v>Debt</v>
      </c>
      <c r="D2083" s="8" t="str">
        <f>IFERROR(INDEX('nav master'!$C:$C, MATCH(B2083, 'nav master'!$B:$B, 0)), "")</f>
        <v>ULIF06814/06/19BondPlusFd101</v>
      </c>
      <c r="E2083" s="8" t="s">
        <v>568</v>
      </c>
      <c r="F2083" s="8" t="s">
        <v>2415</v>
      </c>
    </row>
    <row r="2084" spans="1:6" ht="60" x14ac:dyDescent="0.25">
      <c r="A2084" s="8" t="s">
        <v>125</v>
      </c>
      <c r="B2084" s="8" t="s">
        <v>143</v>
      </c>
      <c r="C2084" s="8" t="str">
        <f>IFERROR(_xlfn.XLOOKUP(TRIM(B2084),Lookup!$B$2:$B$1000,Lookup!$C$2:$C$1000),"")</f>
        <v>Debt</v>
      </c>
      <c r="D2084" s="8" t="str">
        <f>IFERROR(INDEX('nav master'!$C:$C, MATCH(B2084, 'nav master'!$B:$B, 0)), "")</f>
        <v>ULIF06814/06/19BondPlusFd101</v>
      </c>
      <c r="E2084" s="8" t="s">
        <v>570</v>
      </c>
      <c r="F2084" s="8" t="s">
        <v>2416</v>
      </c>
    </row>
    <row r="2085" spans="1:6" ht="60" x14ac:dyDescent="0.25">
      <c r="A2085" s="8" t="s">
        <v>125</v>
      </c>
      <c r="B2085" s="8" t="s">
        <v>143</v>
      </c>
      <c r="C2085" s="8" t="str">
        <f>IFERROR(_xlfn.XLOOKUP(TRIM(B2085),Lookup!$B$2:$B$1000,Lookup!$C$2:$C$1000),"")</f>
        <v>Debt</v>
      </c>
      <c r="D2085" s="8" t="str">
        <f>IFERROR(INDEX('nav master'!$C:$C, MATCH(B2085, 'nav master'!$B:$B, 0)), "")</f>
        <v>ULIF06814/06/19BondPlusFd101</v>
      </c>
      <c r="E2085" s="8" t="s">
        <v>572</v>
      </c>
      <c r="F2085" s="8" t="s">
        <v>2417</v>
      </c>
    </row>
    <row r="2086" spans="1:6" ht="60" x14ac:dyDescent="0.25">
      <c r="A2086" s="8" t="s">
        <v>125</v>
      </c>
      <c r="B2086" s="8" t="s">
        <v>143</v>
      </c>
      <c r="C2086" s="8" t="str">
        <f>IFERROR(_xlfn.XLOOKUP(TRIM(B2086),Lookup!$B$2:$B$1000,Lookup!$C$2:$C$1000),"")</f>
        <v>Debt</v>
      </c>
      <c r="D2086" s="8" t="str">
        <f>IFERROR(INDEX('nav master'!$C:$C, MATCH(B2086, 'nav master'!$B:$B, 0)), "")</f>
        <v>ULIF06814/06/19BondPlusFd101</v>
      </c>
      <c r="E2086" s="8" t="s">
        <v>574</v>
      </c>
      <c r="F2086" s="8" t="s">
        <v>2418</v>
      </c>
    </row>
    <row r="2087" spans="1:6" ht="60" x14ac:dyDescent="0.25">
      <c r="A2087" s="8" t="s">
        <v>125</v>
      </c>
      <c r="B2087" s="8" t="s">
        <v>143</v>
      </c>
      <c r="C2087" s="8" t="str">
        <f>IFERROR(_xlfn.XLOOKUP(TRIM(B2087),Lookup!$B$2:$B$1000,Lookup!$C$2:$C$1000),"")</f>
        <v>Debt</v>
      </c>
      <c r="D2087" s="8" t="str">
        <f>IFERROR(INDEX('nav master'!$C:$C, MATCH(B2087, 'nav master'!$B:$B, 0)), "")</f>
        <v>ULIF06814/06/19BondPlusFd101</v>
      </c>
      <c r="E2087" s="8" t="s">
        <v>576</v>
      </c>
      <c r="F2087" s="8" t="s">
        <v>2419</v>
      </c>
    </row>
    <row r="2088" spans="1:6" ht="60" x14ac:dyDescent="0.25">
      <c r="A2088" s="8" t="s">
        <v>125</v>
      </c>
      <c r="B2088" s="8" t="s">
        <v>143</v>
      </c>
      <c r="C2088" s="8" t="str">
        <f>IFERROR(_xlfn.XLOOKUP(TRIM(B2088),Lookup!$B$2:$B$1000,Lookup!$C$2:$C$1000),"")</f>
        <v>Debt</v>
      </c>
      <c r="D2088" s="8" t="str">
        <f>IFERROR(INDEX('nav master'!$C:$C, MATCH(B2088, 'nav master'!$B:$B, 0)), "")</f>
        <v>ULIF06814/06/19BondPlusFd101</v>
      </c>
      <c r="E2088" s="8" t="s">
        <v>578</v>
      </c>
      <c r="F2088" s="8" t="s">
        <v>2420</v>
      </c>
    </row>
    <row r="2089" spans="1:6" ht="60" x14ac:dyDescent="0.25">
      <c r="A2089" s="8" t="s">
        <v>125</v>
      </c>
      <c r="B2089" s="8" t="s">
        <v>143</v>
      </c>
      <c r="C2089" s="8" t="str">
        <f>IFERROR(_xlfn.XLOOKUP(TRIM(B2089),Lookup!$B$2:$B$1000,Lookup!$C$2:$C$1000),"")</f>
        <v>Debt</v>
      </c>
      <c r="D2089" s="8" t="str">
        <f>IFERROR(INDEX('nav master'!$C:$C, MATCH(B2089, 'nav master'!$B:$B, 0)), "")</f>
        <v>ULIF06814/06/19BondPlusFd101</v>
      </c>
      <c r="E2089" s="8" t="s">
        <v>580</v>
      </c>
      <c r="F2089" s="8" t="s">
        <v>2421</v>
      </c>
    </row>
    <row r="2090" spans="1:6" ht="60" x14ac:dyDescent="0.25">
      <c r="A2090" s="8" t="s">
        <v>125</v>
      </c>
      <c r="B2090" s="8" t="s">
        <v>143</v>
      </c>
      <c r="C2090" s="8" t="str">
        <f>IFERROR(_xlfn.XLOOKUP(TRIM(B2090),Lookup!$B$2:$B$1000,Lookup!$C$2:$C$1000),"")</f>
        <v>Debt</v>
      </c>
      <c r="D2090" s="8" t="str">
        <f>IFERROR(INDEX('nav master'!$C:$C, MATCH(B2090, 'nav master'!$B:$B, 0)), "")</f>
        <v>ULIF06814/06/19BondPlusFd101</v>
      </c>
      <c r="E2090" s="8" t="s">
        <v>582</v>
      </c>
      <c r="F2090" s="8" t="s">
        <v>2422</v>
      </c>
    </row>
    <row r="2091" spans="1:6" ht="60" x14ac:dyDescent="0.25">
      <c r="A2091" s="8" t="s">
        <v>125</v>
      </c>
      <c r="B2091" s="8" t="s">
        <v>143</v>
      </c>
      <c r="C2091" s="8" t="str">
        <f>IFERROR(_xlfn.XLOOKUP(TRIM(B2091),Lookup!$B$2:$B$1000,Lookup!$C$2:$C$1000),"")</f>
        <v>Debt</v>
      </c>
      <c r="D2091" s="8" t="str">
        <f>IFERROR(INDEX('nav master'!$C:$C, MATCH(B2091, 'nav master'!$B:$B, 0)), "")</f>
        <v>ULIF06814/06/19BondPlusFd101</v>
      </c>
      <c r="E2091" s="8" t="s">
        <v>584</v>
      </c>
      <c r="F2091" s="8" t="s">
        <v>2423</v>
      </c>
    </row>
    <row r="2092" spans="1:6" ht="60" x14ac:dyDescent="0.25">
      <c r="A2092" s="8" t="s">
        <v>125</v>
      </c>
      <c r="B2092" s="8" t="s">
        <v>143</v>
      </c>
      <c r="C2092" s="8" t="str">
        <f>IFERROR(_xlfn.XLOOKUP(TRIM(B2092),Lookup!$B$2:$B$1000,Lookup!$C$2:$C$1000),"")</f>
        <v>Debt</v>
      </c>
      <c r="D2092" s="8" t="str">
        <f>IFERROR(INDEX('nav master'!$C:$C, MATCH(B2092, 'nav master'!$B:$B, 0)), "")</f>
        <v>ULIF06814/06/19BondPlusFd101</v>
      </c>
      <c r="E2092" s="8" t="s">
        <v>586</v>
      </c>
      <c r="F2092" s="8" t="s">
        <v>2424</v>
      </c>
    </row>
    <row r="2093" spans="1:6" ht="60" x14ac:dyDescent="0.25">
      <c r="A2093" s="8" t="s">
        <v>125</v>
      </c>
      <c r="B2093" s="8" t="s">
        <v>143</v>
      </c>
      <c r="C2093" s="8" t="str">
        <f>IFERROR(_xlfn.XLOOKUP(TRIM(B2093),Lookup!$B$2:$B$1000,Lookup!$C$2:$C$1000),"")</f>
        <v>Debt</v>
      </c>
      <c r="D2093" s="8" t="str">
        <f>IFERROR(INDEX('nav master'!$C:$C, MATCH(B2093, 'nav master'!$B:$B, 0)), "")</f>
        <v>ULIF06814/06/19BondPlusFd101</v>
      </c>
      <c r="E2093" s="8" t="s">
        <v>588</v>
      </c>
      <c r="F2093" s="8" t="s">
        <v>2425</v>
      </c>
    </row>
    <row r="2094" spans="1:6" ht="60" x14ac:dyDescent="0.25">
      <c r="A2094" s="8" t="s">
        <v>125</v>
      </c>
      <c r="B2094" s="8" t="s">
        <v>143</v>
      </c>
      <c r="C2094" s="8" t="str">
        <f>IFERROR(_xlfn.XLOOKUP(TRIM(B2094),Lookup!$B$2:$B$1000,Lookup!$C$2:$C$1000),"")</f>
        <v>Debt</v>
      </c>
      <c r="D2094" s="8" t="str">
        <f>IFERROR(INDEX('nav master'!$C:$C, MATCH(B2094, 'nav master'!$B:$B, 0)), "")</f>
        <v>ULIF06814/06/19BondPlusFd101</v>
      </c>
      <c r="E2094" s="8" t="s">
        <v>590</v>
      </c>
      <c r="F2094" s="8" t="s">
        <v>2426</v>
      </c>
    </row>
    <row r="2095" spans="1:6" ht="60" x14ac:dyDescent="0.25">
      <c r="A2095" s="8" t="s">
        <v>125</v>
      </c>
      <c r="B2095" s="8" t="s">
        <v>143</v>
      </c>
      <c r="C2095" s="8" t="str">
        <f>IFERROR(_xlfn.XLOOKUP(TRIM(B2095),Lookup!$B$2:$B$1000,Lookup!$C$2:$C$1000),"")</f>
        <v>Debt</v>
      </c>
      <c r="D2095" s="8" t="str">
        <f>IFERROR(INDEX('nav master'!$C:$C, MATCH(B2095, 'nav master'!$B:$B, 0)), "")</f>
        <v>ULIF06814/06/19BondPlusFd101</v>
      </c>
      <c r="E2095" s="8" t="s">
        <v>592</v>
      </c>
      <c r="F2095" s="8" t="s">
        <v>2427</v>
      </c>
    </row>
    <row r="2096" spans="1:6" ht="60" x14ac:dyDescent="0.25">
      <c r="A2096" s="8" t="s">
        <v>125</v>
      </c>
      <c r="B2096" s="8" t="s">
        <v>143</v>
      </c>
      <c r="C2096" s="8" t="str">
        <f>IFERROR(_xlfn.XLOOKUP(TRIM(B2096),Lookup!$B$2:$B$1000,Lookup!$C$2:$C$1000),"")</f>
        <v>Debt</v>
      </c>
      <c r="D2096" s="8" t="str">
        <f>IFERROR(INDEX('nav master'!$C:$C, MATCH(B2096, 'nav master'!$B:$B, 0)), "")</f>
        <v>ULIF06814/06/19BondPlusFd101</v>
      </c>
      <c r="E2096" s="8" t="s">
        <v>594</v>
      </c>
      <c r="F2096" s="8" t="s">
        <v>2428</v>
      </c>
    </row>
    <row r="2097" spans="1:6" ht="60" x14ac:dyDescent="0.25">
      <c r="A2097" s="8" t="s">
        <v>125</v>
      </c>
      <c r="B2097" s="8" t="s">
        <v>143</v>
      </c>
      <c r="C2097" s="8" t="str">
        <f>IFERROR(_xlfn.XLOOKUP(TRIM(B2097),Lookup!$B$2:$B$1000,Lookup!$C$2:$C$1000),"")</f>
        <v>Debt</v>
      </c>
      <c r="D2097" s="8" t="str">
        <f>IFERROR(INDEX('nav master'!$C:$C, MATCH(B2097, 'nav master'!$B:$B, 0)), "")</f>
        <v>ULIF06814/06/19BondPlusFd101</v>
      </c>
      <c r="E2097" s="8" t="s">
        <v>596</v>
      </c>
      <c r="F2097" s="8" t="s">
        <v>2429</v>
      </c>
    </row>
    <row r="2098" spans="1:6" ht="60" x14ac:dyDescent="0.25">
      <c r="A2098" s="8" t="s">
        <v>125</v>
      </c>
      <c r="B2098" s="8" t="s">
        <v>143</v>
      </c>
      <c r="C2098" s="8" t="str">
        <f>IFERROR(_xlfn.XLOOKUP(TRIM(B2098),Lookup!$B$2:$B$1000,Lookup!$C$2:$C$1000),"")</f>
        <v>Debt</v>
      </c>
      <c r="D2098" s="8" t="str">
        <f>IFERROR(INDEX('nav master'!$C:$C, MATCH(B2098, 'nav master'!$B:$B, 0)), "")</f>
        <v>ULIF06814/06/19BondPlusFd101</v>
      </c>
      <c r="E2098" s="8" t="s">
        <v>598</v>
      </c>
      <c r="F2098" s="8" t="s">
        <v>2430</v>
      </c>
    </row>
    <row r="2099" spans="1:6" ht="60" x14ac:dyDescent="0.25">
      <c r="A2099" s="8" t="s">
        <v>125</v>
      </c>
      <c r="B2099" s="8" t="s">
        <v>143</v>
      </c>
      <c r="C2099" s="8" t="str">
        <f>IFERROR(_xlfn.XLOOKUP(TRIM(B2099),Lookup!$B$2:$B$1000,Lookup!$C$2:$C$1000),"")</f>
        <v>Debt</v>
      </c>
      <c r="D2099" s="8" t="str">
        <f>IFERROR(INDEX('nav master'!$C:$C, MATCH(B2099, 'nav master'!$B:$B, 0)), "")</f>
        <v>ULIF06814/06/19BondPlusFd101</v>
      </c>
      <c r="E2099" s="8" t="s">
        <v>600</v>
      </c>
      <c r="F2099" s="8" t="s">
        <v>2431</v>
      </c>
    </row>
    <row r="2100" spans="1:6" ht="60" x14ac:dyDescent="0.25">
      <c r="A2100" s="8" t="s">
        <v>125</v>
      </c>
      <c r="B2100" s="8" t="s">
        <v>143</v>
      </c>
      <c r="C2100" s="8" t="str">
        <f>IFERROR(_xlfn.XLOOKUP(TRIM(B2100),Lookup!$B$2:$B$1000,Lookup!$C$2:$C$1000),"")</f>
        <v>Debt</v>
      </c>
      <c r="D2100" s="8" t="str">
        <f>IFERROR(INDEX('nav master'!$C:$C, MATCH(B2100, 'nav master'!$B:$B, 0)), "")</f>
        <v>ULIF06814/06/19BondPlusFd101</v>
      </c>
      <c r="E2100" s="8" t="s">
        <v>602</v>
      </c>
      <c r="F2100" s="8" t="s">
        <v>2432</v>
      </c>
    </row>
    <row r="2101" spans="1:6" ht="60" x14ac:dyDescent="0.25">
      <c r="A2101" s="8" t="s">
        <v>125</v>
      </c>
      <c r="B2101" s="8" t="s">
        <v>143</v>
      </c>
      <c r="C2101" s="8" t="str">
        <f>IFERROR(_xlfn.XLOOKUP(TRIM(B2101),Lookup!$B$2:$B$1000,Lookup!$C$2:$C$1000),"")</f>
        <v>Debt</v>
      </c>
      <c r="D2101" s="8" t="str">
        <f>IFERROR(INDEX('nav master'!$C:$C, MATCH(B2101, 'nav master'!$B:$B, 0)), "")</f>
        <v>ULIF06814/06/19BondPlusFd101</v>
      </c>
      <c r="E2101" s="8" t="s">
        <v>604</v>
      </c>
      <c r="F2101" s="8" t="s">
        <v>2433</v>
      </c>
    </row>
    <row r="2102" spans="1:6" ht="60" x14ac:dyDescent="0.25">
      <c r="A2102" s="8" t="s">
        <v>125</v>
      </c>
      <c r="B2102" s="8" t="s">
        <v>143</v>
      </c>
      <c r="C2102" s="8" t="str">
        <f>IFERROR(_xlfn.XLOOKUP(TRIM(B2102),Lookup!$B$2:$B$1000,Lookup!$C$2:$C$1000),"")</f>
        <v>Debt</v>
      </c>
      <c r="D2102" s="8" t="str">
        <f>IFERROR(INDEX('nav master'!$C:$C, MATCH(B2102, 'nav master'!$B:$B, 0)), "")</f>
        <v>ULIF06814/06/19BondPlusFd101</v>
      </c>
      <c r="E2102" s="8" t="s">
        <v>606</v>
      </c>
      <c r="F2102" s="8" t="s">
        <v>2434</v>
      </c>
    </row>
    <row r="2103" spans="1:6" ht="60" x14ac:dyDescent="0.25">
      <c r="A2103" s="8" t="s">
        <v>125</v>
      </c>
      <c r="B2103" s="8" t="s">
        <v>143</v>
      </c>
      <c r="C2103" s="8" t="str">
        <f>IFERROR(_xlfn.XLOOKUP(TRIM(B2103),Lookup!$B$2:$B$1000,Lookup!$C$2:$C$1000),"")</f>
        <v>Debt</v>
      </c>
      <c r="D2103" s="8" t="str">
        <f>IFERROR(INDEX('nav master'!$C:$C, MATCH(B2103, 'nav master'!$B:$B, 0)), "")</f>
        <v>ULIF06814/06/19BondPlusFd101</v>
      </c>
      <c r="E2103" s="8" t="s">
        <v>608</v>
      </c>
      <c r="F2103" s="8" t="s">
        <v>2435</v>
      </c>
    </row>
    <row r="2104" spans="1:6" ht="60" x14ac:dyDescent="0.25">
      <c r="A2104" s="8" t="s">
        <v>125</v>
      </c>
      <c r="B2104" s="8" t="s">
        <v>143</v>
      </c>
      <c r="C2104" s="8" t="str">
        <f>IFERROR(_xlfn.XLOOKUP(TRIM(B2104),Lookup!$B$2:$B$1000,Lookup!$C$2:$C$1000),"")</f>
        <v>Debt</v>
      </c>
      <c r="D2104" s="8" t="str">
        <f>IFERROR(INDEX('nav master'!$C:$C, MATCH(B2104, 'nav master'!$B:$B, 0)), "")</f>
        <v>ULIF06814/06/19BondPlusFd101</v>
      </c>
      <c r="E2104" s="8" t="s">
        <v>610</v>
      </c>
      <c r="F2104" s="8" t="s">
        <v>2436</v>
      </c>
    </row>
    <row r="2105" spans="1:6" ht="60" x14ac:dyDescent="0.25">
      <c r="A2105" s="8" t="s">
        <v>125</v>
      </c>
      <c r="B2105" s="8" t="s">
        <v>143</v>
      </c>
      <c r="C2105" s="8" t="str">
        <f>IFERROR(_xlfn.XLOOKUP(TRIM(B2105),Lookup!$B$2:$B$1000,Lookup!$C$2:$C$1000),"")</f>
        <v>Debt</v>
      </c>
      <c r="D2105" s="8" t="str">
        <f>IFERROR(INDEX('nav master'!$C:$C, MATCH(B2105, 'nav master'!$B:$B, 0)), "")</f>
        <v>ULIF06814/06/19BondPlusFd101</v>
      </c>
      <c r="E2105" s="8" t="s">
        <v>612</v>
      </c>
      <c r="F2105" s="8" t="s">
        <v>2437</v>
      </c>
    </row>
    <row r="2106" spans="1:6" ht="60" x14ac:dyDescent="0.25">
      <c r="A2106" s="8" t="s">
        <v>125</v>
      </c>
      <c r="B2106" s="8" t="s">
        <v>143</v>
      </c>
      <c r="C2106" s="8" t="str">
        <f>IFERROR(_xlfn.XLOOKUP(TRIM(B2106),Lookup!$B$2:$B$1000,Lookup!$C$2:$C$1000),"")</f>
        <v>Debt</v>
      </c>
      <c r="D2106" s="8" t="str">
        <f>IFERROR(INDEX('nav master'!$C:$C, MATCH(B2106, 'nav master'!$B:$B, 0)), "")</f>
        <v>ULIF06814/06/19BondPlusFd101</v>
      </c>
      <c r="E2106" s="8" t="s">
        <v>614</v>
      </c>
      <c r="F2106" s="8" t="s">
        <v>2438</v>
      </c>
    </row>
    <row r="2107" spans="1:6" ht="60" x14ac:dyDescent="0.25">
      <c r="A2107" s="8" t="s">
        <v>125</v>
      </c>
      <c r="B2107" s="8" t="s">
        <v>143</v>
      </c>
      <c r="C2107" s="8" t="str">
        <f>IFERROR(_xlfn.XLOOKUP(TRIM(B2107),Lookup!$B$2:$B$1000,Lookup!$C$2:$C$1000),"")</f>
        <v>Debt</v>
      </c>
      <c r="D2107" s="8" t="str">
        <f>IFERROR(INDEX('nav master'!$C:$C, MATCH(B2107, 'nav master'!$B:$B, 0)), "")</f>
        <v>ULIF06814/06/19BondPlusFd101</v>
      </c>
      <c r="E2107" s="8" t="s">
        <v>616</v>
      </c>
      <c r="F2107" s="8" t="s">
        <v>2439</v>
      </c>
    </row>
    <row r="2108" spans="1:6" ht="60" x14ac:dyDescent="0.25">
      <c r="A2108" s="8" t="s">
        <v>125</v>
      </c>
      <c r="B2108" s="8" t="s">
        <v>143</v>
      </c>
      <c r="C2108" s="8" t="str">
        <f>IFERROR(_xlfn.XLOOKUP(TRIM(B2108),Lookup!$B$2:$B$1000,Lookup!$C$2:$C$1000),"")</f>
        <v>Debt</v>
      </c>
      <c r="D2108" s="8" t="str">
        <f>IFERROR(INDEX('nav master'!$C:$C, MATCH(B2108, 'nav master'!$B:$B, 0)), "")</f>
        <v>ULIF06814/06/19BondPlusFd101</v>
      </c>
      <c r="E2108" s="8" t="s">
        <v>618</v>
      </c>
      <c r="F2108" s="8" t="s">
        <v>2440</v>
      </c>
    </row>
    <row r="2109" spans="1:6" ht="60" x14ac:dyDescent="0.25">
      <c r="A2109" s="8" t="s">
        <v>125</v>
      </c>
      <c r="B2109" s="8" t="s">
        <v>143</v>
      </c>
      <c r="C2109" s="8" t="str">
        <f>IFERROR(_xlfn.XLOOKUP(TRIM(B2109),Lookup!$B$2:$B$1000,Lookup!$C$2:$C$1000),"")</f>
        <v>Debt</v>
      </c>
      <c r="D2109" s="8" t="str">
        <f>IFERROR(INDEX('nav master'!$C:$C, MATCH(B2109, 'nav master'!$B:$B, 0)), "")</f>
        <v>ULIF06814/06/19BondPlusFd101</v>
      </c>
      <c r="E2109" s="8" t="s">
        <v>620</v>
      </c>
      <c r="F2109" s="8" t="s">
        <v>2441</v>
      </c>
    </row>
    <row r="2110" spans="1:6" ht="60" x14ac:dyDescent="0.25">
      <c r="A2110" s="8" t="s">
        <v>125</v>
      </c>
      <c r="B2110" s="8" t="s">
        <v>143</v>
      </c>
      <c r="C2110" s="8" t="str">
        <f>IFERROR(_xlfn.XLOOKUP(TRIM(B2110),Lookup!$B$2:$B$1000,Lookup!$C$2:$C$1000),"")</f>
        <v>Debt</v>
      </c>
      <c r="D2110" s="8" t="str">
        <f>IFERROR(INDEX('nav master'!$C:$C, MATCH(B2110, 'nav master'!$B:$B, 0)), "")</f>
        <v>ULIF06814/06/19BondPlusFd101</v>
      </c>
      <c r="E2110" s="8" t="s">
        <v>622</v>
      </c>
      <c r="F2110" s="8" t="s">
        <v>2442</v>
      </c>
    </row>
    <row r="2111" spans="1:6" ht="60" x14ac:dyDescent="0.25">
      <c r="A2111" s="8" t="s">
        <v>125</v>
      </c>
      <c r="B2111" s="8" t="s">
        <v>143</v>
      </c>
      <c r="C2111" s="8" t="str">
        <f>IFERROR(_xlfn.XLOOKUP(TRIM(B2111),Lookup!$B$2:$B$1000,Lookup!$C$2:$C$1000),"")</f>
        <v>Debt</v>
      </c>
      <c r="D2111" s="8" t="str">
        <f>IFERROR(INDEX('nav master'!$C:$C, MATCH(B2111, 'nav master'!$B:$B, 0)), "")</f>
        <v>ULIF06814/06/19BondPlusFd101</v>
      </c>
      <c r="E2111" s="8" t="s">
        <v>624</v>
      </c>
      <c r="F2111" s="8" t="s">
        <v>2443</v>
      </c>
    </row>
    <row r="2112" spans="1:6" ht="60" x14ac:dyDescent="0.25">
      <c r="A2112" s="8" t="s">
        <v>125</v>
      </c>
      <c r="B2112" s="8" t="s">
        <v>143</v>
      </c>
      <c r="C2112" s="8" t="str">
        <f>IFERROR(_xlfn.XLOOKUP(TRIM(B2112),Lookup!$B$2:$B$1000,Lookup!$C$2:$C$1000),"")</f>
        <v>Debt</v>
      </c>
      <c r="D2112" s="8" t="str">
        <f>IFERROR(INDEX('nav master'!$C:$C, MATCH(B2112, 'nav master'!$B:$B, 0)), "")</f>
        <v>ULIF06814/06/19BondPlusFd101</v>
      </c>
      <c r="E2112" s="8" t="s">
        <v>626</v>
      </c>
      <c r="F2112" s="8" t="s">
        <v>2444</v>
      </c>
    </row>
    <row r="2113" spans="1:6" ht="60" x14ac:dyDescent="0.25">
      <c r="A2113" s="8" t="s">
        <v>125</v>
      </c>
      <c r="B2113" s="8" t="s">
        <v>143</v>
      </c>
      <c r="C2113" s="8" t="str">
        <f>IFERROR(_xlfn.XLOOKUP(TRIM(B2113),Lookup!$B$2:$B$1000,Lookup!$C$2:$C$1000),"")</f>
        <v>Debt</v>
      </c>
      <c r="D2113" s="8" t="str">
        <f>IFERROR(INDEX('nav master'!$C:$C, MATCH(B2113, 'nav master'!$B:$B, 0)), "")</f>
        <v>ULIF06814/06/19BondPlusFd101</v>
      </c>
      <c r="E2113" s="8" t="s">
        <v>628</v>
      </c>
      <c r="F2113" s="8" t="s">
        <v>2445</v>
      </c>
    </row>
    <row r="2114" spans="1:6" ht="60" x14ac:dyDescent="0.25">
      <c r="A2114" s="8" t="s">
        <v>125</v>
      </c>
      <c r="B2114" s="8" t="s">
        <v>143</v>
      </c>
      <c r="C2114" s="8" t="str">
        <f>IFERROR(_xlfn.XLOOKUP(TRIM(B2114),Lookup!$B$2:$B$1000,Lookup!$C$2:$C$1000),"")</f>
        <v>Debt</v>
      </c>
      <c r="D2114" s="8" t="str">
        <f>IFERROR(INDEX('nav master'!$C:$C, MATCH(B2114, 'nav master'!$B:$B, 0)), "")</f>
        <v>ULIF06814/06/19BondPlusFd101</v>
      </c>
      <c r="E2114" s="8" t="s">
        <v>630</v>
      </c>
      <c r="F2114" s="8" t="s">
        <v>2446</v>
      </c>
    </row>
    <row r="2115" spans="1:6" ht="60" x14ac:dyDescent="0.25">
      <c r="A2115" s="8" t="s">
        <v>125</v>
      </c>
      <c r="B2115" s="8" t="s">
        <v>143</v>
      </c>
      <c r="C2115" s="8" t="str">
        <f>IFERROR(_xlfn.XLOOKUP(TRIM(B2115),Lookup!$B$2:$B$1000,Lookup!$C$2:$C$1000),"")</f>
        <v>Debt</v>
      </c>
      <c r="D2115" s="8" t="str">
        <f>IFERROR(INDEX('nav master'!$C:$C, MATCH(B2115, 'nav master'!$B:$B, 0)), "")</f>
        <v>ULIF06814/06/19BondPlusFd101</v>
      </c>
      <c r="E2115" s="8" t="s">
        <v>632</v>
      </c>
      <c r="F2115" s="8" t="s">
        <v>2447</v>
      </c>
    </row>
    <row r="2116" spans="1:6" ht="60" x14ac:dyDescent="0.25">
      <c r="A2116" s="8" t="s">
        <v>125</v>
      </c>
      <c r="B2116" s="8" t="s">
        <v>143</v>
      </c>
      <c r="C2116" s="8" t="str">
        <f>IFERROR(_xlfn.XLOOKUP(TRIM(B2116),Lookup!$B$2:$B$1000,Lookup!$C$2:$C$1000),"")</f>
        <v>Debt</v>
      </c>
      <c r="D2116" s="8" t="str">
        <f>IFERROR(INDEX('nav master'!$C:$C, MATCH(B2116, 'nav master'!$B:$B, 0)), "")</f>
        <v>ULIF06814/06/19BondPlusFd101</v>
      </c>
      <c r="E2116" s="8" t="s">
        <v>634</v>
      </c>
      <c r="F2116" s="8" t="s">
        <v>2448</v>
      </c>
    </row>
    <row r="2117" spans="1:6" ht="60" x14ac:dyDescent="0.25">
      <c r="A2117" s="8" t="s">
        <v>125</v>
      </c>
      <c r="B2117" s="8" t="s">
        <v>143</v>
      </c>
      <c r="C2117" s="8" t="str">
        <f>IFERROR(_xlfn.XLOOKUP(TRIM(B2117),Lookup!$B$2:$B$1000,Lookup!$C$2:$C$1000),"")</f>
        <v>Debt</v>
      </c>
      <c r="D2117" s="8" t="str">
        <f>IFERROR(INDEX('nav master'!$C:$C, MATCH(B2117, 'nav master'!$B:$B, 0)), "")</f>
        <v>ULIF06814/06/19BondPlusFd101</v>
      </c>
      <c r="E2117" s="8" t="s">
        <v>636</v>
      </c>
      <c r="F2117" s="8" t="s">
        <v>2449</v>
      </c>
    </row>
    <row r="2118" spans="1:6" ht="60" x14ac:dyDescent="0.25">
      <c r="A2118" s="8" t="s">
        <v>125</v>
      </c>
      <c r="B2118" s="8" t="s">
        <v>143</v>
      </c>
      <c r="C2118" s="8" t="str">
        <f>IFERROR(_xlfn.XLOOKUP(TRIM(B2118),Lookup!$B$2:$B$1000,Lookup!$C$2:$C$1000),"")</f>
        <v>Debt</v>
      </c>
      <c r="D2118" s="8" t="str">
        <f>IFERROR(INDEX('nav master'!$C:$C, MATCH(B2118, 'nav master'!$B:$B, 0)), "")</f>
        <v>ULIF06814/06/19BondPlusFd101</v>
      </c>
      <c r="E2118" s="8" t="s">
        <v>638</v>
      </c>
      <c r="F2118" s="8" t="s">
        <v>2450</v>
      </c>
    </row>
    <row r="2119" spans="1:6" ht="60" x14ac:dyDescent="0.25">
      <c r="A2119" s="8" t="s">
        <v>125</v>
      </c>
      <c r="B2119" s="8" t="s">
        <v>143</v>
      </c>
      <c r="C2119" s="8" t="str">
        <f>IFERROR(_xlfn.XLOOKUP(TRIM(B2119),Lookup!$B$2:$B$1000,Lookup!$C$2:$C$1000),"")</f>
        <v>Debt</v>
      </c>
      <c r="D2119" s="8" t="str">
        <f>IFERROR(INDEX('nav master'!$C:$C, MATCH(B2119, 'nav master'!$B:$B, 0)), "")</f>
        <v>ULIF06814/06/19BondPlusFd101</v>
      </c>
      <c r="E2119" s="8" t="s">
        <v>640</v>
      </c>
      <c r="F2119" s="8" t="s">
        <v>2451</v>
      </c>
    </row>
    <row r="2120" spans="1:6" ht="60" x14ac:dyDescent="0.25">
      <c r="A2120" s="8" t="s">
        <v>125</v>
      </c>
      <c r="B2120" s="8" t="s">
        <v>143</v>
      </c>
      <c r="C2120" s="8" t="str">
        <f>IFERROR(_xlfn.XLOOKUP(TRIM(B2120),Lookup!$B$2:$B$1000,Lookup!$C$2:$C$1000),"")</f>
        <v>Debt</v>
      </c>
      <c r="D2120" s="8" t="str">
        <f>IFERROR(INDEX('nav master'!$C:$C, MATCH(B2120, 'nav master'!$B:$B, 0)), "")</f>
        <v>ULIF06814/06/19BondPlusFd101</v>
      </c>
      <c r="E2120" s="8" t="s">
        <v>642</v>
      </c>
      <c r="F2120" s="8" t="s">
        <v>2452</v>
      </c>
    </row>
    <row r="2121" spans="1:6" ht="60" x14ac:dyDescent="0.25">
      <c r="A2121" s="8" t="s">
        <v>125</v>
      </c>
      <c r="B2121" s="8" t="s">
        <v>143</v>
      </c>
      <c r="C2121" s="8" t="str">
        <f>IFERROR(_xlfn.XLOOKUP(TRIM(B2121),Lookup!$B$2:$B$1000,Lookup!$C$2:$C$1000),"")</f>
        <v>Debt</v>
      </c>
      <c r="D2121" s="8" t="str">
        <f>IFERROR(INDEX('nav master'!$C:$C, MATCH(B2121, 'nav master'!$B:$B, 0)), "")</f>
        <v>ULIF06814/06/19BondPlusFd101</v>
      </c>
      <c r="E2121" s="8" t="s">
        <v>644</v>
      </c>
      <c r="F2121" s="8" t="s">
        <v>2453</v>
      </c>
    </row>
    <row r="2122" spans="1:6" ht="60" x14ac:dyDescent="0.25">
      <c r="A2122" s="8" t="s">
        <v>125</v>
      </c>
      <c r="B2122" s="8" t="s">
        <v>143</v>
      </c>
      <c r="C2122" s="8" t="str">
        <f>IFERROR(_xlfn.XLOOKUP(TRIM(B2122),Lookup!$B$2:$B$1000,Lookup!$C$2:$C$1000),"")</f>
        <v>Debt</v>
      </c>
      <c r="D2122" s="8" t="str">
        <f>IFERROR(INDEX('nav master'!$C:$C, MATCH(B2122, 'nav master'!$B:$B, 0)), "")</f>
        <v>ULIF06814/06/19BondPlusFd101</v>
      </c>
      <c r="E2122" s="8" t="s">
        <v>646</v>
      </c>
      <c r="F2122" s="8" t="s">
        <v>2454</v>
      </c>
    </row>
    <row r="2123" spans="1:6" ht="60" x14ac:dyDescent="0.25">
      <c r="A2123" s="8" t="s">
        <v>125</v>
      </c>
      <c r="B2123" s="8" t="s">
        <v>143</v>
      </c>
      <c r="C2123" s="8" t="str">
        <f>IFERROR(_xlfn.XLOOKUP(TRIM(B2123),Lookup!$B$2:$B$1000,Lookup!$C$2:$C$1000),"")</f>
        <v>Debt</v>
      </c>
      <c r="D2123" s="8" t="str">
        <f>IFERROR(INDEX('nav master'!$C:$C, MATCH(B2123, 'nav master'!$B:$B, 0)), "")</f>
        <v>ULIF06814/06/19BondPlusFd101</v>
      </c>
      <c r="E2123" s="8" t="s">
        <v>648</v>
      </c>
      <c r="F2123" s="8" t="s">
        <v>2455</v>
      </c>
    </row>
    <row r="2124" spans="1:6" ht="60" x14ac:dyDescent="0.25">
      <c r="A2124" s="8" t="s">
        <v>125</v>
      </c>
      <c r="B2124" s="8" t="s">
        <v>143</v>
      </c>
      <c r="C2124" s="8" t="str">
        <f>IFERROR(_xlfn.XLOOKUP(TRIM(B2124),Lookup!$B$2:$B$1000,Lookup!$C$2:$C$1000),"")</f>
        <v>Debt</v>
      </c>
      <c r="D2124" s="8" t="str">
        <f>IFERROR(INDEX('nav master'!$C:$C, MATCH(B2124, 'nav master'!$B:$B, 0)), "")</f>
        <v>ULIF06814/06/19BondPlusFd101</v>
      </c>
      <c r="E2124" s="8" t="s">
        <v>650</v>
      </c>
      <c r="F2124" s="8" t="s">
        <v>2456</v>
      </c>
    </row>
    <row r="2125" spans="1:6" ht="60" x14ac:dyDescent="0.25">
      <c r="A2125" s="8" t="s">
        <v>125</v>
      </c>
      <c r="B2125" s="8" t="s">
        <v>143</v>
      </c>
      <c r="C2125" s="8" t="str">
        <f>IFERROR(_xlfn.XLOOKUP(TRIM(B2125),Lookup!$B$2:$B$1000,Lookup!$C$2:$C$1000),"")</f>
        <v>Debt</v>
      </c>
      <c r="D2125" s="8" t="str">
        <f>IFERROR(INDEX('nav master'!$C:$C, MATCH(B2125, 'nav master'!$B:$B, 0)), "")</f>
        <v>ULIF06814/06/19BondPlusFd101</v>
      </c>
      <c r="E2125" s="8" t="s">
        <v>652</v>
      </c>
      <c r="F2125" s="8" t="s">
        <v>2457</v>
      </c>
    </row>
    <row r="2126" spans="1:6" ht="60" x14ac:dyDescent="0.25">
      <c r="A2126" s="8" t="s">
        <v>125</v>
      </c>
      <c r="B2126" s="8" t="s">
        <v>143</v>
      </c>
      <c r="C2126" s="8" t="str">
        <f>IFERROR(_xlfn.XLOOKUP(TRIM(B2126),Lookup!$B$2:$B$1000,Lookup!$C$2:$C$1000),"")</f>
        <v>Debt</v>
      </c>
      <c r="D2126" s="8" t="str">
        <f>IFERROR(INDEX('nav master'!$C:$C, MATCH(B2126, 'nav master'!$B:$B, 0)), "")</f>
        <v>ULIF06814/06/19BondPlusFd101</v>
      </c>
      <c r="E2126" s="8" t="s">
        <v>654</v>
      </c>
      <c r="F2126" s="8" t="s">
        <v>2458</v>
      </c>
    </row>
    <row r="2127" spans="1:6" ht="60" x14ac:dyDescent="0.25">
      <c r="A2127" s="8" t="s">
        <v>125</v>
      </c>
      <c r="B2127" s="8" t="s">
        <v>143</v>
      </c>
      <c r="C2127" s="8" t="str">
        <f>IFERROR(_xlfn.XLOOKUP(TRIM(B2127),Lookup!$B$2:$B$1000,Lookup!$C$2:$C$1000),"")</f>
        <v>Debt</v>
      </c>
      <c r="D2127" s="8" t="str">
        <f>IFERROR(INDEX('nav master'!$C:$C, MATCH(B2127, 'nav master'!$B:$B, 0)), "")</f>
        <v>ULIF06814/06/19BondPlusFd101</v>
      </c>
      <c r="E2127" s="8" t="s">
        <v>656</v>
      </c>
      <c r="F2127" s="8" t="s">
        <v>2459</v>
      </c>
    </row>
    <row r="2128" spans="1:6" ht="60" x14ac:dyDescent="0.25">
      <c r="A2128" s="8" t="s">
        <v>125</v>
      </c>
      <c r="B2128" s="8" t="s">
        <v>143</v>
      </c>
      <c r="C2128" s="8" t="str">
        <f>IFERROR(_xlfn.XLOOKUP(TRIM(B2128),Lookup!$B$2:$B$1000,Lookup!$C$2:$C$1000),"")</f>
        <v>Debt</v>
      </c>
      <c r="D2128" s="8" t="str">
        <f>IFERROR(INDEX('nav master'!$C:$C, MATCH(B2128, 'nav master'!$B:$B, 0)), "")</f>
        <v>ULIF06814/06/19BondPlusFd101</v>
      </c>
      <c r="E2128" s="8" t="s">
        <v>658</v>
      </c>
      <c r="F2128" s="8" t="s">
        <v>2460</v>
      </c>
    </row>
    <row r="2129" spans="1:6" ht="60" x14ac:dyDescent="0.25">
      <c r="A2129" s="8" t="s">
        <v>125</v>
      </c>
      <c r="B2129" s="8" t="s">
        <v>143</v>
      </c>
      <c r="C2129" s="8" t="str">
        <f>IFERROR(_xlfn.XLOOKUP(TRIM(B2129),Lookup!$B$2:$B$1000,Lookup!$C$2:$C$1000),"")</f>
        <v>Debt</v>
      </c>
      <c r="D2129" s="8" t="str">
        <f>IFERROR(INDEX('nav master'!$C:$C, MATCH(B2129, 'nav master'!$B:$B, 0)), "")</f>
        <v>ULIF06814/06/19BondPlusFd101</v>
      </c>
      <c r="E2129" s="8" t="s">
        <v>660</v>
      </c>
      <c r="F2129" s="8" t="s">
        <v>2461</v>
      </c>
    </row>
    <row r="2130" spans="1:6" ht="60" x14ac:dyDescent="0.25">
      <c r="A2130" s="8" t="s">
        <v>125</v>
      </c>
      <c r="B2130" s="8" t="s">
        <v>143</v>
      </c>
      <c r="C2130" s="8" t="str">
        <f>IFERROR(_xlfn.XLOOKUP(TRIM(B2130),Lookup!$B$2:$B$1000,Lookup!$C$2:$C$1000),"")</f>
        <v>Debt</v>
      </c>
      <c r="D2130" s="8" t="str">
        <f>IFERROR(INDEX('nav master'!$C:$C, MATCH(B2130, 'nav master'!$B:$B, 0)), "")</f>
        <v>ULIF06814/06/19BondPlusFd101</v>
      </c>
      <c r="E2130" s="8" t="s">
        <v>662</v>
      </c>
      <c r="F2130" s="8" t="s">
        <v>2462</v>
      </c>
    </row>
    <row r="2131" spans="1:6" ht="60" x14ac:dyDescent="0.25">
      <c r="A2131" s="8" t="s">
        <v>125</v>
      </c>
      <c r="B2131" s="8" t="s">
        <v>143</v>
      </c>
      <c r="C2131" s="8" t="str">
        <f>IFERROR(_xlfn.XLOOKUP(TRIM(B2131),Lookup!$B$2:$B$1000,Lookup!$C$2:$C$1000),"")</f>
        <v>Debt</v>
      </c>
      <c r="D2131" s="8" t="str">
        <f>IFERROR(INDEX('nav master'!$C:$C, MATCH(B2131, 'nav master'!$B:$B, 0)), "")</f>
        <v>ULIF06814/06/19BondPlusFd101</v>
      </c>
      <c r="E2131" s="8" t="s">
        <v>664</v>
      </c>
      <c r="F2131" s="8" t="s">
        <v>2463</v>
      </c>
    </row>
    <row r="2132" spans="1:6" ht="60" x14ac:dyDescent="0.25">
      <c r="A2132" s="8" t="s">
        <v>125</v>
      </c>
      <c r="B2132" s="8" t="s">
        <v>143</v>
      </c>
      <c r="C2132" s="8" t="str">
        <f>IFERROR(_xlfn.XLOOKUP(TRIM(B2132),Lookup!$B$2:$B$1000,Lookup!$C$2:$C$1000),"")</f>
        <v>Debt</v>
      </c>
      <c r="D2132" s="8" t="str">
        <f>IFERROR(INDEX('nav master'!$C:$C, MATCH(B2132, 'nav master'!$B:$B, 0)), "")</f>
        <v>ULIF06814/06/19BondPlusFd101</v>
      </c>
      <c r="E2132" s="8" t="s">
        <v>4892</v>
      </c>
      <c r="F2132" s="8" t="s">
        <v>4960</v>
      </c>
    </row>
    <row r="2133" spans="1:6" ht="60" x14ac:dyDescent="0.25">
      <c r="A2133" s="8" t="s">
        <v>125</v>
      </c>
      <c r="B2133" s="8" t="s">
        <v>143</v>
      </c>
      <c r="C2133" s="8" t="str">
        <f>IFERROR(_xlfn.XLOOKUP(TRIM(B2133),Lookup!$B$2:$B$1000,Lookup!$C$2:$C$1000),"")</f>
        <v>Debt</v>
      </c>
      <c r="D2133" s="8" t="str">
        <f>IFERROR(INDEX('nav master'!$C:$C, MATCH(B2133, 'nav master'!$B:$B, 0)), "")</f>
        <v>ULIF06814/06/19BondPlusFd101</v>
      </c>
      <c r="E2133" s="8" t="s">
        <v>4894</v>
      </c>
      <c r="F2133" s="8" t="s">
        <v>4961</v>
      </c>
    </row>
    <row r="2134" spans="1:6" ht="60" x14ac:dyDescent="0.25">
      <c r="A2134" s="8" t="s">
        <v>125</v>
      </c>
      <c r="B2134" s="8" t="s">
        <v>143</v>
      </c>
      <c r="C2134" s="8" t="str">
        <f>IFERROR(_xlfn.XLOOKUP(TRIM(B2134),Lookup!$B$2:$B$1000,Lookup!$C$2:$C$1000),"")</f>
        <v>Debt</v>
      </c>
      <c r="D2134" s="8" t="str">
        <f>IFERROR(INDEX('nav master'!$C:$C, MATCH(B2134, 'nav master'!$B:$B, 0)), "")</f>
        <v>ULIF06814/06/19BondPlusFd101</v>
      </c>
      <c r="E2134" s="8" t="s">
        <v>4896</v>
      </c>
      <c r="F2134" s="8" t="s">
        <v>4962</v>
      </c>
    </row>
    <row r="2135" spans="1:6" ht="60" x14ac:dyDescent="0.25">
      <c r="A2135" s="8" t="s">
        <v>125</v>
      </c>
      <c r="B2135" s="8" t="s">
        <v>143</v>
      </c>
      <c r="C2135" s="8" t="str">
        <f>IFERROR(_xlfn.XLOOKUP(TRIM(B2135),Lookup!$B$2:$B$1000,Lookup!$C$2:$C$1000),"")</f>
        <v>Debt</v>
      </c>
      <c r="D2135" s="8" t="str">
        <f>IFERROR(INDEX('nav master'!$C:$C, MATCH(B2135, 'nav master'!$B:$B, 0)), "")</f>
        <v>ULIF06814/06/19BondPlusFd101</v>
      </c>
      <c r="E2135" s="8" t="s">
        <v>4898</v>
      </c>
      <c r="F2135" s="8" t="s">
        <v>4963</v>
      </c>
    </row>
    <row r="2136" spans="1:6" ht="60" x14ac:dyDescent="0.25">
      <c r="A2136" s="8" t="s">
        <v>125</v>
      </c>
      <c r="B2136" s="8" t="s">
        <v>143</v>
      </c>
      <c r="C2136" s="8" t="str">
        <f>IFERROR(_xlfn.XLOOKUP(TRIM(B2136),Lookup!$B$2:$B$1000,Lookup!$C$2:$C$1000),"")</f>
        <v>Debt</v>
      </c>
      <c r="D2136" s="8" t="str">
        <f>IFERROR(INDEX('nav master'!$C:$C, MATCH(B2136, 'nav master'!$B:$B, 0)), "")</f>
        <v>ULIF06814/06/19BondPlusFd101</v>
      </c>
      <c r="E2136" s="8" t="s">
        <v>4900</v>
      </c>
      <c r="F2136" s="8" t="s">
        <v>4964</v>
      </c>
    </row>
    <row r="2137" spans="1:6" ht="60" x14ac:dyDescent="0.25">
      <c r="A2137" s="8" t="s">
        <v>125</v>
      </c>
      <c r="B2137" s="8" t="s">
        <v>143</v>
      </c>
      <c r="C2137" s="8" t="str">
        <f>IFERROR(_xlfn.XLOOKUP(TRIM(B2137),Lookup!$B$2:$B$1000,Lookup!$C$2:$C$1000),"")</f>
        <v>Debt</v>
      </c>
      <c r="D2137" s="8" t="str">
        <f>IFERROR(INDEX('nav master'!$C:$C, MATCH(B2137, 'nav master'!$B:$B, 0)), "")</f>
        <v>ULIF06814/06/19BondPlusFd101</v>
      </c>
      <c r="E2137" s="8" t="s">
        <v>4902</v>
      </c>
      <c r="F2137" s="8" t="s">
        <v>4965</v>
      </c>
    </row>
    <row r="2138" spans="1:6" ht="60" x14ac:dyDescent="0.25">
      <c r="A2138" s="8" t="s">
        <v>125</v>
      </c>
      <c r="B2138" s="8" t="s">
        <v>143</v>
      </c>
      <c r="C2138" s="8" t="str">
        <f>IFERROR(_xlfn.XLOOKUP(TRIM(B2138),Lookup!$B$2:$B$1000,Lookup!$C$2:$C$1000),"")</f>
        <v>Debt</v>
      </c>
      <c r="D2138" s="8" t="str">
        <f>IFERROR(INDEX('nav master'!$C:$C, MATCH(B2138, 'nav master'!$B:$B, 0)), "")</f>
        <v>ULIF06814/06/19BondPlusFd101</v>
      </c>
      <c r="E2138" s="8" t="s">
        <v>4903</v>
      </c>
      <c r="F2138" s="8" t="s">
        <v>4966</v>
      </c>
    </row>
    <row r="2139" spans="1:6" ht="60" x14ac:dyDescent="0.25">
      <c r="A2139" s="8" t="s">
        <v>125</v>
      </c>
      <c r="B2139" s="8" t="s">
        <v>143</v>
      </c>
      <c r="C2139" s="8" t="str">
        <f>IFERROR(_xlfn.XLOOKUP(TRIM(B2139),Lookup!$B$2:$B$1000,Lookup!$C$2:$C$1000),"")</f>
        <v>Debt</v>
      </c>
      <c r="D2139" s="8" t="str">
        <f>IFERROR(INDEX('nav master'!$C:$C, MATCH(B2139, 'nav master'!$B:$B, 0)), "")</f>
        <v>ULIF06814/06/19BondPlusFd101</v>
      </c>
      <c r="E2139" s="8" t="s">
        <v>4905</v>
      </c>
      <c r="F2139" s="8" t="s">
        <v>4967</v>
      </c>
    </row>
    <row r="2140" spans="1:6" ht="60" x14ac:dyDescent="0.25">
      <c r="A2140" s="8" t="s">
        <v>125</v>
      </c>
      <c r="B2140" s="8" t="s">
        <v>58</v>
      </c>
      <c r="C2140" s="8" t="str">
        <f>IFERROR(_xlfn.XLOOKUP(TRIM(B2140),Lookup!$B$2:$B$1000,Lookup!$C$2:$C$1000),"")</f>
        <v>Equity</v>
      </c>
      <c r="D2140" s="8" t="str">
        <f>IFERROR(INDEX('nav master'!$C:$C, MATCH(B2140, 'nav master'!$B:$B, 0)), "")</f>
        <v>ULIF 145 03/06/21 SustainEqu 105</v>
      </c>
      <c r="E2140" s="8" t="s">
        <v>189</v>
      </c>
      <c r="F2140" s="8" t="s">
        <v>2464</v>
      </c>
    </row>
    <row r="2141" spans="1:6" ht="60" x14ac:dyDescent="0.25">
      <c r="A2141" s="8" t="s">
        <v>125</v>
      </c>
      <c r="B2141" s="8" t="s">
        <v>58</v>
      </c>
      <c r="C2141" s="8" t="str">
        <f>IFERROR(_xlfn.XLOOKUP(TRIM(B2141),Lookup!$B$2:$B$1000,Lookup!$C$2:$C$1000),"")</f>
        <v>Equity</v>
      </c>
      <c r="D2141" s="8" t="str">
        <f>IFERROR(INDEX('nav master'!$C:$C, MATCH(B2141, 'nav master'!$B:$B, 0)), "")</f>
        <v>ULIF 145 03/06/21 SustainEqu 105</v>
      </c>
      <c r="E2141" s="8" t="s">
        <v>191</v>
      </c>
      <c r="F2141" s="8" t="s">
        <v>2465</v>
      </c>
    </row>
    <row r="2142" spans="1:6" ht="60" x14ac:dyDescent="0.25">
      <c r="A2142" s="8" t="s">
        <v>125</v>
      </c>
      <c r="B2142" s="8" t="s">
        <v>58</v>
      </c>
      <c r="C2142" s="8" t="str">
        <f>IFERROR(_xlfn.XLOOKUP(TRIM(B2142),Lookup!$B$2:$B$1000,Lookup!$C$2:$C$1000),"")</f>
        <v>Equity</v>
      </c>
      <c r="D2142" s="8" t="str">
        <f>IFERROR(INDEX('nav master'!$C:$C, MATCH(B2142, 'nav master'!$B:$B, 0)), "")</f>
        <v>ULIF 145 03/06/21 SustainEqu 105</v>
      </c>
      <c r="E2142" s="8" t="s">
        <v>193</v>
      </c>
      <c r="F2142" s="8" t="s">
        <v>2466</v>
      </c>
    </row>
    <row r="2143" spans="1:6" ht="60" x14ac:dyDescent="0.25">
      <c r="A2143" s="8" t="s">
        <v>125</v>
      </c>
      <c r="B2143" s="8" t="s">
        <v>58</v>
      </c>
      <c r="C2143" s="8" t="str">
        <f>IFERROR(_xlfn.XLOOKUP(TRIM(B2143),Lookup!$B$2:$B$1000,Lookup!$C$2:$C$1000),"")</f>
        <v>Equity</v>
      </c>
      <c r="D2143" s="8" t="str">
        <f>IFERROR(INDEX('nav master'!$C:$C, MATCH(B2143, 'nav master'!$B:$B, 0)), "")</f>
        <v>ULIF 145 03/06/21 SustainEqu 105</v>
      </c>
      <c r="E2143" s="8" t="s">
        <v>195</v>
      </c>
      <c r="F2143" s="8" t="s">
        <v>2467</v>
      </c>
    </row>
    <row r="2144" spans="1:6" ht="60" x14ac:dyDescent="0.25">
      <c r="A2144" s="8" t="s">
        <v>125</v>
      </c>
      <c r="B2144" s="8" t="s">
        <v>58</v>
      </c>
      <c r="C2144" s="8" t="str">
        <f>IFERROR(_xlfn.XLOOKUP(TRIM(B2144),Lookup!$B$2:$B$1000,Lookup!$C$2:$C$1000),"")</f>
        <v>Equity</v>
      </c>
      <c r="D2144" s="8" t="str">
        <f>IFERROR(INDEX('nav master'!$C:$C, MATCH(B2144, 'nav master'!$B:$B, 0)), "")</f>
        <v>ULIF 145 03/06/21 SustainEqu 105</v>
      </c>
      <c r="E2144" s="8" t="s">
        <v>197</v>
      </c>
      <c r="F2144" s="8" t="s">
        <v>2468</v>
      </c>
    </row>
    <row r="2145" spans="1:6" ht="60" x14ac:dyDescent="0.25">
      <c r="A2145" s="8" t="s">
        <v>125</v>
      </c>
      <c r="B2145" s="8" t="s">
        <v>58</v>
      </c>
      <c r="C2145" s="8" t="str">
        <f>IFERROR(_xlfn.XLOOKUP(TRIM(B2145),Lookup!$B$2:$B$1000,Lookup!$C$2:$C$1000),"")</f>
        <v>Equity</v>
      </c>
      <c r="D2145" s="8" t="str">
        <f>IFERROR(INDEX('nav master'!$C:$C, MATCH(B2145, 'nav master'!$B:$B, 0)), "")</f>
        <v>ULIF 145 03/06/21 SustainEqu 105</v>
      </c>
      <c r="E2145" s="8" t="s">
        <v>199</v>
      </c>
      <c r="F2145" s="8" t="s">
        <v>2469</v>
      </c>
    </row>
    <row r="2146" spans="1:6" ht="60" x14ac:dyDescent="0.25">
      <c r="A2146" s="8" t="s">
        <v>125</v>
      </c>
      <c r="B2146" s="8" t="s">
        <v>58</v>
      </c>
      <c r="C2146" s="8" t="str">
        <f>IFERROR(_xlfn.XLOOKUP(TRIM(B2146),Lookup!$B$2:$B$1000,Lookup!$C$2:$C$1000),"")</f>
        <v>Equity</v>
      </c>
      <c r="D2146" s="8" t="str">
        <f>IFERROR(INDEX('nav master'!$C:$C, MATCH(B2146, 'nav master'!$B:$B, 0)), "")</f>
        <v>ULIF 145 03/06/21 SustainEqu 105</v>
      </c>
      <c r="E2146" s="8" t="s">
        <v>201</v>
      </c>
      <c r="F2146" s="8" t="s">
        <v>2470</v>
      </c>
    </row>
    <row r="2147" spans="1:6" ht="60" x14ac:dyDescent="0.25">
      <c r="A2147" s="8" t="s">
        <v>125</v>
      </c>
      <c r="B2147" s="8" t="s">
        <v>58</v>
      </c>
      <c r="C2147" s="8" t="str">
        <f>IFERROR(_xlfn.XLOOKUP(TRIM(B2147),Lookup!$B$2:$B$1000,Lookup!$C$2:$C$1000),"")</f>
        <v>Equity</v>
      </c>
      <c r="D2147" s="8" t="str">
        <f>IFERROR(INDEX('nav master'!$C:$C, MATCH(B2147, 'nav master'!$B:$B, 0)), "")</f>
        <v>ULIF 145 03/06/21 SustainEqu 105</v>
      </c>
      <c r="E2147" s="8" t="s">
        <v>203</v>
      </c>
      <c r="F2147" s="8" t="s">
        <v>2471</v>
      </c>
    </row>
    <row r="2148" spans="1:6" ht="60" x14ac:dyDescent="0.25">
      <c r="A2148" s="8" t="s">
        <v>125</v>
      </c>
      <c r="B2148" s="8" t="s">
        <v>58</v>
      </c>
      <c r="C2148" s="8" t="str">
        <f>IFERROR(_xlfn.XLOOKUP(TRIM(B2148),Lookup!$B$2:$B$1000,Lookup!$C$2:$C$1000),"")</f>
        <v>Equity</v>
      </c>
      <c r="D2148" s="8" t="str">
        <f>IFERROR(INDEX('nav master'!$C:$C, MATCH(B2148, 'nav master'!$B:$B, 0)), "")</f>
        <v>ULIF 145 03/06/21 SustainEqu 105</v>
      </c>
      <c r="E2148" s="8" t="s">
        <v>205</v>
      </c>
      <c r="F2148" s="8" t="s">
        <v>2472</v>
      </c>
    </row>
    <row r="2149" spans="1:6" ht="60" x14ac:dyDescent="0.25">
      <c r="A2149" s="8" t="s">
        <v>125</v>
      </c>
      <c r="B2149" s="8" t="s">
        <v>58</v>
      </c>
      <c r="C2149" s="8" t="str">
        <f>IFERROR(_xlfn.XLOOKUP(TRIM(B2149),Lookup!$B$2:$B$1000,Lookup!$C$2:$C$1000),"")</f>
        <v>Equity</v>
      </c>
      <c r="D2149" s="8" t="str">
        <f>IFERROR(INDEX('nav master'!$C:$C, MATCH(B2149, 'nav master'!$B:$B, 0)), "")</f>
        <v>ULIF 145 03/06/21 SustainEqu 105</v>
      </c>
      <c r="E2149" s="8" t="s">
        <v>207</v>
      </c>
      <c r="F2149" s="8" t="s">
        <v>2473</v>
      </c>
    </row>
    <row r="2150" spans="1:6" ht="60" x14ac:dyDescent="0.25">
      <c r="A2150" s="8" t="s">
        <v>125</v>
      </c>
      <c r="B2150" s="8" t="s">
        <v>58</v>
      </c>
      <c r="C2150" s="8" t="str">
        <f>IFERROR(_xlfn.XLOOKUP(TRIM(B2150),Lookup!$B$2:$B$1000,Lookup!$C$2:$C$1000),"")</f>
        <v>Equity</v>
      </c>
      <c r="D2150" s="8" t="str">
        <f>IFERROR(INDEX('nav master'!$C:$C, MATCH(B2150, 'nav master'!$B:$B, 0)), "")</f>
        <v>ULIF 145 03/06/21 SustainEqu 105</v>
      </c>
      <c r="E2150" s="8" t="s">
        <v>209</v>
      </c>
      <c r="F2150" s="8" t="s">
        <v>2474</v>
      </c>
    </row>
    <row r="2151" spans="1:6" ht="60" x14ac:dyDescent="0.25">
      <c r="A2151" s="8" t="s">
        <v>125</v>
      </c>
      <c r="B2151" s="8" t="s">
        <v>58</v>
      </c>
      <c r="C2151" s="8" t="str">
        <f>IFERROR(_xlfn.XLOOKUP(TRIM(B2151),Lookup!$B$2:$B$1000,Lookup!$C$2:$C$1000),"")</f>
        <v>Equity</v>
      </c>
      <c r="D2151" s="8" t="str">
        <f>IFERROR(INDEX('nav master'!$C:$C, MATCH(B2151, 'nav master'!$B:$B, 0)), "")</f>
        <v>ULIF 145 03/06/21 SustainEqu 105</v>
      </c>
      <c r="E2151" s="8" t="s">
        <v>211</v>
      </c>
      <c r="F2151" s="8" t="s">
        <v>2475</v>
      </c>
    </row>
    <row r="2152" spans="1:6" ht="60" x14ac:dyDescent="0.25">
      <c r="A2152" s="8" t="s">
        <v>125</v>
      </c>
      <c r="B2152" s="8" t="s">
        <v>58</v>
      </c>
      <c r="C2152" s="8" t="str">
        <f>IFERROR(_xlfn.XLOOKUP(TRIM(B2152),Lookup!$B$2:$B$1000,Lookup!$C$2:$C$1000),"")</f>
        <v>Equity</v>
      </c>
      <c r="D2152" s="8" t="str">
        <f>IFERROR(INDEX('nav master'!$C:$C, MATCH(B2152, 'nav master'!$B:$B, 0)), "")</f>
        <v>ULIF 145 03/06/21 SustainEqu 105</v>
      </c>
      <c r="E2152" s="8" t="s">
        <v>213</v>
      </c>
      <c r="F2152" s="8" t="s">
        <v>2476</v>
      </c>
    </row>
    <row r="2153" spans="1:6" ht="60" x14ac:dyDescent="0.25">
      <c r="A2153" s="8" t="s">
        <v>125</v>
      </c>
      <c r="B2153" s="8" t="s">
        <v>58</v>
      </c>
      <c r="C2153" s="8" t="str">
        <f>IFERROR(_xlfn.XLOOKUP(TRIM(B2153),Lookup!$B$2:$B$1000,Lookup!$C$2:$C$1000),"")</f>
        <v>Equity</v>
      </c>
      <c r="D2153" s="8" t="str">
        <f>IFERROR(INDEX('nav master'!$C:$C, MATCH(B2153, 'nav master'!$B:$B, 0)), "")</f>
        <v>ULIF 145 03/06/21 SustainEqu 105</v>
      </c>
      <c r="E2153" s="8" t="s">
        <v>215</v>
      </c>
      <c r="F2153" s="8" t="s">
        <v>2477</v>
      </c>
    </row>
    <row r="2154" spans="1:6" ht="60" x14ac:dyDescent="0.25">
      <c r="A2154" s="8" t="s">
        <v>125</v>
      </c>
      <c r="B2154" s="8" t="s">
        <v>58</v>
      </c>
      <c r="C2154" s="8" t="str">
        <f>IFERROR(_xlfn.XLOOKUP(TRIM(B2154),Lookup!$B$2:$B$1000,Lookup!$C$2:$C$1000),"")</f>
        <v>Equity</v>
      </c>
      <c r="D2154" s="8" t="str">
        <f>IFERROR(INDEX('nav master'!$C:$C, MATCH(B2154, 'nav master'!$B:$B, 0)), "")</f>
        <v>ULIF 145 03/06/21 SustainEqu 105</v>
      </c>
      <c r="E2154" s="8" t="s">
        <v>217</v>
      </c>
      <c r="F2154" s="8" t="s">
        <v>2478</v>
      </c>
    </row>
    <row r="2155" spans="1:6" ht="60" x14ac:dyDescent="0.25">
      <c r="A2155" s="8" t="s">
        <v>125</v>
      </c>
      <c r="B2155" s="8" t="s">
        <v>58</v>
      </c>
      <c r="C2155" s="8" t="str">
        <f>IFERROR(_xlfn.XLOOKUP(TRIM(B2155),Lookup!$B$2:$B$1000,Lookup!$C$2:$C$1000),"")</f>
        <v>Equity</v>
      </c>
      <c r="D2155" s="8" t="str">
        <f>IFERROR(INDEX('nav master'!$C:$C, MATCH(B2155, 'nav master'!$B:$B, 0)), "")</f>
        <v>ULIF 145 03/06/21 SustainEqu 105</v>
      </c>
      <c r="E2155" s="8" t="s">
        <v>219</v>
      </c>
      <c r="F2155" s="8" t="s">
        <v>2479</v>
      </c>
    </row>
    <row r="2156" spans="1:6" ht="60" x14ac:dyDescent="0.25">
      <c r="A2156" s="8" t="s">
        <v>125</v>
      </c>
      <c r="B2156" s="8" t="s">
        <v>58</v>
      </c>
      <c r="C2156" s="8" t="str">
        <f>IFERROR(_xlfn.XLOOKUP(TRIM(B2156),Lookup!$B$2:$B$1000,Lookup!$C$2:$C$1000),"")</f>
        <v>Equity</v>
      </c>
      <c r="D2156" s="8" t="str">
        <f>IFERROR(INDEX('nav master'!$C:$C, MATCH(B2156, 'nav master'!$B:$B, 0)), "")</f>
        <v>ULIF 145 03/06/21 SustainEqu 105</v>
      </c>
      <c r="E2156" s="8" t="s">
        <v>221</v>
      </c>
      <c r="F2156" s="8" t="s">
        <v>2480</v>
      </c>
    </row>
    <row r="2157" spans="1:6" ht="60" x14ac:dyDescent="0.25">
      <c r="A2157" s="8" t="s">
        <v>125</v>
      </c>
      <c r="B2157" s="8" t="s">
        <v>58</v>
      </c>
      <c r="C2157" s="8" t="str">
        <f>IFERROR(_xlfn.XLOOKUP(TRIM(B2157),Lookup!$B$2:$B$1000,Lookup!$C$2:$C$1000),"")</f>
        <v>Equity</v>
      </c>
      <c r="D2157" s="8" t="str">
        <f>IFERROR(INDEX('nav master'!$C:$C, MATCH(B2157, 'nav master'!$B:$B, 0)), "")</f>
        <v>ULIF 145 03/06/21 SustainEqu 105</v>
      </c>
      <c r="E2157" s="8" t="s">
        <v>223</v>
      </c>
      <c r="F2157" s="8" t="s">
        <v>2481</v>
      </c>
    </row>
    <row r="2158" spans="1:6" ht="60" x14ac:dyDescent="0.25">
      <c r="A2158" s="8" t="s">
        <v>125</v>
      </c>
      <c r="B2158" s="8" t="s">
        <v>58</v>
      </c>
      <c r="C2158" s="8" t="str">
        <f>IFERROR(_xlfn.XLOOKUP(TRIM(B2158),Lookup!$B$2:$B$1000,Lookup!$C$2:$C$1000),"")</f>
        <v>Equity</v>
      </c>
      <c r="D2158" s="8" t="str">
        <f>IFERROR(INDEX('nav master'!$C:$C, MATCH(B2158, 'nav master'!$B:$B, 0)), "")</f>
        <v>ULIF 145 03/06/21 SustainEqu 105</v>
      </c>
      <c r="E2158" s="8" t="s">
        <v>225</v>
      </c>
      <c r="F2158" s="8" t="s">
        <v>2482</v>
      </c>
    </row>
    <row r="2159" spans="1:6" ht="60" x14ac:dyDescent="0.25">
      <c r="A2159" s="8" t="s">
        <v>125</v>
      </c>
      <c r="B2159" s="8" t="s">
        <v>58</v>
      </c>
      <c r="C2159" s="8" t="str">
        <f>IFERROR(_xlfn.XLOOKUP(TRIM(B2159),Lookup!$B$2:$B$1000,Lookup!$C$2:$C$1000),"")</f>
        <v>Equity</v>
      </c>
      <c r="D2159" s="8" t="str">
        <f>IFERROR(INDEX('nav master'!$C:$C, MATCH(B2159, 'nav master'!$B:$B, 0)), "")</f>
        <v>ULIF 145 03/06/21 SustainEqu 105</v>
      </c>
      <c r="E2159" s="8" t="s">
        <v>227</v>
      </c>
      <c r="F2159" s="8" t="s">
        <v>2483</v>
      </c>
    </row>
    <row r="2160" spans="1:6" ht="60" x14ac:dyDescent="0.25">
      <c r="A2160" s="8" t="s">
        <v>125</v>
      </c>
      <c r="B2160" s="8" t="s">
        <v>58</v>
      </c>
      <c r="C2160" s="8" t="str">
        <f>IFERROR(_xlfn.XLOOKUP(TRIM(B2160),Lookup!$B$2:$B$1000,Lookup!$C$2:$C$1000),"")</f>
        <v>Equity</v>
      </c>
      <c r="D2160" s="8" t="str">
        <f>IFERROR(INDEX('nav master'!$C:$C, MATCH(B2160, 'nav master'!$B:$B, 0)), "")</f>
        <v>ULIF 145 03/06/21 SustainEqu 105</v>
      </c>
      <c r="E2160" s="8" t="s">
        <v>229</v>
      </c>
      <c r="F2160" s="8" t="s">
        <v>2484</v>
      </c>
    </row>
    <row r="2161" spans="1:6" ht="60" x14ac:dyDescent="0.25">
      <c r="A2161" s="8" t="s">
        <v>125</v>
      </c>
      <c r="B2161" s="8" t="s">
        <v>58</v>
      </c>
      <c r="C2161" s="8" t="str">
        <f>IFERROR(_xlfn.XLOOKUP(TRIM(B2161),Lookup!$B$2:$B$1000,Lookup!$C$2:$C$1000),"")</f>
        <v>Equity</v>
      </c>
      <c r="D2161" s="8" t="str">
        <f>IFERROR(INDEX('nav master'!$C:$C, MATCH(B2161, 'nav master'!$B:$B, 0)), "")</f>
        <v>ULIF 145 03/06/21 SustainEqu 105</v>
      </c>
      <c r="E2161" s="8" t="s">
        <v>231</v>
      </c>
      <c r="F2161" s="8" t="s">
        <v>2485</v>
      </c>
    </row>
    <row r="2162" spans="1:6" ht="60" x14ac:dyDescent="0.25">
      <c r="A2162" s="8" t="s">
        <v>125</v>
      </c>
      <c r="B2162" s="8" t="s">
        <v>58</v>
      </c>
      <c r="C2162" s="8" t="str">
        <f>IFERROR(_xlfn.XLOOKUP(TRIM(B2162),Lookup!$B$2:$B$1000,Lookup!$C$2:$C$1000),"")</f>
        <v>Equity</v>
      </c>
      <c r="D2162" s="8" t="str">
        <f>IFERROR(INDEX('nav master'!$C:$C, MATCH(B2162, 'nav master'!$B:$B, 0)), "")</f>
        <v>ULIF 145 03/06/21 SustainEqu 105</v>
      </c>
      <c r="E2162" s="8" t="s">
        <v>233</v>
      </c>
      <c r="F2162" s="8" t="s">
        <v>2486</v>
      </c>
    </row>
    <row r="2163" spans="1:6" ht="60" x14ac:dyDescent="0.25">
      <c r="A2163" s="8" t="s">
        <v>125</v>
      </c>
      <c r="B2163" s="8" t="s">
        <v>58</v>
      </c>
      <c r="C2163" s="8" t="str">
        <f>IFERROR(_xlfn.XLOOKUP(TRIM(B2163),Lookup!$B$2:$B$1000,Lookup!$C$2:$C$1000),"")</f>
        <v>Equity</v>
      </c>
      <c r="D2163" s="8" t="str">
        <f>IFERROR(INDEX('nav master'!$C:$C, MATCH(B2163, 'nav master'!$B:$B, 0)), "")</f>
        <v>ULIF 145 03/06/21 SustainEqu 105</v>
      </c>
      <c r="E2163" s="8" t="s">
        <v>235</v>
      </c>
      <c r="F2163" s="8" t="s">
        <v>2487</v>
      </c>
    </row>
    <row r="2164" spans="1:6" ht="60" x14ac:dyDescent="0.25">
      <c r="A2164" s="8" t="s">
        <v>125</v>
      </c>
      <c r="B2164" s="8" t="s">
        <v>58</v>
      </c>
      <c r="C2164" s="8" t="str">
        <f>IFERROR(_xlfn.XLOOKUP(TRIM(B2164),Lookup!$B$2:$B$1000,Lookup!$C$2:$C$1000),"")</f>
        <v>Equity</v>
      </c>
      <c r="D2164" s="8" t="str">
        <f>IFERROR(INDEX('nav master'!$C:$C, MATCH(B2164, 'nav master'!$B:$B, 0)), "")</f>
        <v>ULIF 145 03/06/21 SustainEqu 105</v>
      </c>
      <c r="E2164" s="8" t="s">
        <v>237</v>
      </c>
      <c r="F2164" s="8" t="s">
        <v>2488</v>
      </c>
    </row>
    <row r="2165" spans="1:6" ht="60" x14ac:dyDescent="0.25">
      <c r="A2165" s="8" t="s">
        <v>125</v>
      </c>
      <c r="B2165" s="8" t="s">
        <v>58</v>
      </c>
      <c r="C2165" s="8" t="str">
        <f>IFERROR(_xlfn.XLOOKUP(TRIM(B2165),Lookup!$B$2:$B$1000,Lookup!$C$2:$C$1000),"")</f>
        <v>Equity</v>
      </c>
      <c r="D2165" s="8" t="str">
        <f>IFERROR(INDEX('nav master'!$C:$C, MATCH(B2165, 'nav master'!$B:$B, 0)), "")</f>
        <v>ULIF 145 03/06/21 SustainEqu 105</v>
      </c>
      <c r="E2165" s="8" t="s">
        <v>239</v>
      </c>
      <c r="F2165" s="8" t="s">
        <v>2489</v>
      </c>
    </row>
    <row r="2166" spans="1:6" ht="60" x14ac:dyDescent="0.25">
      <c r="A2166" s="8" t="s">
        <v>125</v>
      </c>
      <c r="B2166" s="8" t="s">
        <v>58</v>
      </c>
      <c r="C2166" s="8" t="str">
        <f>IFERROR(_xlfn.XLOOKUP(TRIM(B2166),Lookup!$B$2:$B$1000,Lookup!$C$2:$C$1000),"")</f>
        <v>Equity</v>
      </c>
      <c r="D2166" s="8" t="str">
        <f>IFERROR(INDEX('nav master'!$C:$C, MATCH(B2166, 'nav master'!$B:$B, 0)), "")</f>
        <v>ULIF 145 03/06/21 SustainEqu 105</v>
      </c>
      <c r="E2166" s="8" t="s">
        <v>241</v>
      </c>
      <c r="F2166" s="8" t="s">
        <v>2490</v>
      </c>
    </row>
    <row r="2167" spans="1:6" ht="60" x14ac:dyDescent="0.25">
      <c r="A2167" s="8" t="s">
        <v>125</v>
      </c>
      <c r="B2167" s="8" t="s">
        <v>58</v>
      </c>
      <c r="C2167" s="8" t="str">
        <f>IFERROR(_xlfn.XLOOKUP(TRIM(B2167),Lookup!$B$2:$B$1000,Lookup!$C$2:$C$1000),"")</f>
        <v>Equity</v>
      </c>
      <c r="D2167" s="8" t="str">
        <f>IFERROR(INDEX('nav master'!$C:$C, MATCH(B2167, 'nav master'!$B:$B, 0)), "")</f>
        <v>ULIF 145 03/06/21 SustainEqu 105</v>
      </c>
      <c r="E2167" s="8" t="s">
        <v>243</v>
      </c>
      <c r="F2167" s="8" t="s">
        <v>2491</v>
      </c>
    </row>
    <row r="2168" spans="1:6" ht="60" x14ac:dyDescent="0.25">
      <c r="A2168" s="8" t="s">
        <v>125</v>
      </c>
      <c r="B2168" s="8" t="s">
        <v>58</v>
      </c>
      <c r="C2168" s="8" t="str">
        <f>IFERROR(_xlfn.XLOOKUP(TRIM(B2168),Lookup!$B$2:$B$1000,Lookup!$C$2:$C$1000),"")</f>
        <v>Equity</v>
      </c>
      <c r="D2168" s="8" t="str">
        <f>IFERROR(INDEX('nav master'!$C:$C, MATCH(B2168, 'nav master'!$B:$B, 0)), "")</f>
        <v>ULIF 145 03/06/21 SustainEqu 105</v>
      </c>
      <c r="E2168" s="8" t="s">
        <v>245</v>
      </c>
      <c r="F2168" s="8" t="s">
        <v>2492</v>
      </c>
    </row>
    <row r="2169" spans="1:6" ht="60" x14ac:dyDescent="0.25">
      <c r="A2169" s="8" t="s">
        <v>125</v>
      </c>
      <c r="B2169" s="8" t="s">
        <v>58</v>
      </c>
      <c r="C2169" s="8" t="str">
        <f>IFERROR(_xlfn.XLOOKUP(TRIM(B2169),Lookup!$B$2:$B$1000,Lookup!$C$2:$C$1000),"")</f>
        <v>Equity</v>
      </c>
      <c r="D2169" s="8" t="str">
        <f>IFERROR(INDEX('nav master'!$C:$C, MATCH(B2169, 'nav master'!$B:$B, 0)), "")</f>
        <v>ULIF 145 03/06/21 SustainEqu 105</v>
      </c>
      <c r="E2169" s="8" t="s">
        <v>247</v>
      </c>
      <c r="F2169" s="8" t="s">
        <v>2493</v>
      </c>
    </row>
    <row r="2170" spans="1:6" ht="60" x14ac:dyDescent="0.25">
      <c r="A2170" s="8" t="s">
        <v>125</v>
      </c>
      <c r="B2170" s="8" t="s">
        <v>58</v>
      </c>
      <c r="C2170" s="8" t="str">
        <f>IFERROR(_xlfn.XLOOKUP(TRIM(B2170),Lookup!$B$2:$B$1000,Lookup!$C$2:$C$1000),"")</f>
        <v>Equity</v>
      </c>
      <c r="D2170" s="8" t="str">
        <f>IFERROR(INDEX('nav master'!$C:$C, MATCH(B2170, 'nav master'!$B:$B, 0)), "")</f>
        <v>ULIF 145 03/06/21 SustainEqu 105</v>
      </c>
      <c r="E2170" s="8" t="s">
        <v>249</v>
      </c>
      <c r="F2170" s="8" t="s">
        <v>2494</v>
      </c>
    </row>
    <row r="2171" spans="1:6" ht="60" x14ac:dyDescent="0.25">
      <c r="A2171" s="8" t="s">
        <v>125</v>
      </c>
      <c r="B2171" s="8" t="s">
        <v>58</v>
      </c>
      <c r="C2171" s="8" t="str">
        <f>IFERROR(_xlfn.XLOOKUP(TRIM(B2171),Lookup!$B$2:$B$1000,Lookup!$C$2:$C$1000),"")</f>
        <v>Equity</v>
      </c>
      <c r="D2171" s="8" t="str">
        <f>IFERROR(INDEX('nav master'!$C:$C, MATCH(B2171, 'nav master'!$B:$B, 0)), "")</f>
        <v>ULIF 145 03/06/21 SustainEqu 105</v>
      </c>
      <c r="E2171" s="8" t="s">
        <v>251</v>
      </c>
      <c r="F2171" s="8" t="s">
        <v>2495</v>
      </c>
    </row>
    <row r="2172" spans="1:6" ht="60" x14ac:dyDescent="0.25">
      <c r="A2172" s="8" t="s">
        <v>125</v>
      </c>
      <c r="B2172" s="8" t="s">
        <v>58</v>
      </c>
      <c r="C2172" s="8" t="str">
        <f>IFERROR(_xlfn.XLOOKUP(TRIM(B2172),Lookup!$B$2:$B$1000,Lookup!$C$2:$C$1000),"")</f>
        <v>Equity</v>
      </c>
      <c r="D2172" s="8" t="str">
        <f>IFERROR(INDEX('nav master'!$C:$C, MATCH(B2172, 'nav master'!$B:$B, 0)), "")</f>
        <v>ULIF 145 03/06/21 SustainEqu 105</v>
      </c>
      <c r="E2172" s="8" t="s">
        <v>253</v>
      </c>
      <c r="F2172" s="8" t="s">
        <v>2496</v>
      </c>
    </row>
    <row r="2173" spans="1:6" ht="60" x14ac:dyDescent="0.25">
      <c r="A2173" s="8" t="s">
        <v>125</v>
      </c>
      <c r="B2173" s="8" t="s">
        <v>58</v>
      </c>
      <c r="C2173" s="8" t="str">
        <f>IFERROR(_xlfn.XLOOKUP(TRIM(B2173),Lookup!$B$2:$B$1000,Lookup!$C$2:$C$1000),"")</f>
        <v>Equity</v>
      </c>
      <c r="D2173" s="8" t="str">
        <f>IFERROR(INDEX('nav master'!$C:$C, MATCH(B2173, 'nav master'!$B:$B, 0)), "")</f>
        <v>ULIF 145 03/06/21 SustainEqu 105</v>
      </c>
      <c r="E2173" s="8" t="s">
        <v>255</v>
      </c>
      <c r="F2173" s="8" t="s">
        <v>2497</v>
      </c>
    </row>
    <row r="2174" spans="1:6" ht="60" x14ac:dyDescent="0.25">
      <c r="A2174" s="8" t="s">
        <v>125</v>
      </c>
      <c r="B2174" s="8" t="s">
        <v>58</v>
      </c>
      <c r="C2174" s="8" t="str">
        <f>IFERROR(_xlfn.XLOOKUP(TRIM(B2174),Lookup!$B$2:$B$1000,Lookup!$C$2:$C$1000),"")</f>
        <v>Equity</v>
      </c>
      <c r="D2174" s="8" t="str">
        <f>IFERROR(INDEX('nav master'!$C:$C, MATCH(B2174, 'nav master'!$B:$B, 0)), "")</f>
        <v>ULIF 145 03/06/21 SustainEqu 105</v>
      </c>
      <c r="E2174" s="8" t="s">
        <v>257</v>
      </c>
      <c r="F2174" s="8" t="s">
        <v>2498</v>
      </c>
    </row>
    <row r="2175" spans="1:6" ht="60" x14ac:dyDescent="0.25">
      <c r="A2175" s="8" t="s">
        <v>125</v>
      </c>
      <c r="B2175" s="8" t="s">
        <v>58</v>
      </c>
      <c r="C2175" s="8" t="str">
        <f>IFERROR(_xlfn.XLOOKUP(TRIM(B2175),Lookup!$B$2:$B$1000,Lookup!$C$2:$C$1000),"")</f>
        <v>Equity</v>
      </c>
      <c r="D2175" s="8" t="str">
        <f>IFERROR(INDEX('nav master'!$C:$C, MATCH(B2175, 'nav master'!$B:$B, 0)), "")</f>
        <v>ULIF 145 03/06/21 SustainEqu 105</v>
      </c>
      <c r="E2175" s="8" t="s">
        <v>259</v>
      </c>
      <c r="F2175" s="8" t="s">
        <v>2499</v>
      </c>
    </row>
    <row r="2176" spans="1:6" ht="60" x14ac:dyDescent="0.25">
      <c r="A2176" s="8" t="s">
        <v>125</v>
      </c>
      <c r="B2176" s="8" t="s">
        <v>58</v>
      </c>
      <c r="C2176" s="8" t="str">
        <f>IFERROR(_xlfn.XLOOKUP(TRIM(B2176),Lookup!$B$2:$B$1000,Lookup!$C$2:$C$1000),"")</f>
        <v>Equity</v>
      </c>
      <c r="D2176" s="8" t="str">
        <f>IFERROR(INDEX('nav master'!$C:$C, MATCH(B2176, 'nav master'!$B:$B, 0)), "")</f>
        <v>ULIF 145 03/06/21 SustainEqu 105</v>
      </c>
      <c r="E2176" s="8" t="s">
        <v>261</v>
      </c>
      <c r="F2176" s="8" t="s">
        <v>2500</v>
      </c>
    </row>
    <row r="2177" spans="1:6" ht="60" x14ac:dyDescent="0.25">
      <c r="A2177" s="8" t="s">
        <v>125</v>
      </c>
      <c r="B2177" s="8" t="s">
        <v>58</v>
      </c>
      <c r="C2177" s="8" t="str">
        <f>IFERROR(_xlfn.XLOOKUP(TRIM(B2177),Lookup!$B$2:$B$1000,Lookup!$C$2:$C$1000),"")</f>
        <v>Equity</v>
      </c>
      <c r="D2177" s="8" t="str">
        <f>IFERROR(INDEX('nav master'!$C:$C, MATCH(B2177, 'nav master'!$B:$B, 0)), "")</f>
        <v>ULIF 145 03/06/21 SustainEqu 105</v>
      </c>
      <c r="E2177" s="8" t="s">
        <v>263</v>
      </c>
      <c r="F2177" s="8" t="s">
        <v>2501</v>
      </c>
    </row>
    <row r="2178" spans="1:6" ht="60" x14ac:dyDescent="0.25">
      <c r="A2178" s="8" t="s">
        <v>125</v>
      </c>
      <c r="B2178" s="8" t="s">
        <v>58</v>
      </c>
      <c r="C2178" s="8" t="str">
        <f>IFERROR(_xlfn.XLOOKUP(TRIM(B2178),Lookup!$B$2:$B$1000,Lookup!$C$2:$C$1000),"")</f>
        <v>Equity</v>
      </c>
      <c r="D2178" s="8" t="str">
        <f>IFERROR(INDEX('nav master'!$C:$C, MATCH(B2178, 'nav master'!$B:$B, 0)), "")</f>
        <v>ULIF 145 03/06/21 SustainEqu 105</v>
      </c>
      <c r="E2178" s="8" t="s">
        <v>265</v>
      </c>
      <c r="F2178" s="8" t="s">
        <v>2502</v>
      </c>
    </row>
    <row r="2179" spans="1:6" ht="60" x14ac:dyDescent="0.25">
      <c r="A2179" s="8" t="s">
        <v>125</v>
      </c>
      <c r="B2179" s="8" t="s">
        <v>58</v>
      </c>
      <c r="C2179" s="8" t="str">
        <f>IFERROR(_xlfn.XLOOKUP(TRIM(B2179),Lookup!$B$2:$B$1000,Lookup!$C$2:$C$1000),"")</f>
        <v>Equity</v>
      </c>
      <c r="D2179" s="8" t="str">
        <f>IFERROR(INDEX('nav master'!$C:$C, MATCH(B2179, 'nav master'!$B:$B, 0)), "")</f>
        <v>ULIF 145 03/06/21 SustainEqu 105</v>
      </c>
      <c r="E2179" s="8" t="s">
        <v>267</v>
      </c>
      <c r="F2179" s="8" t="s">
        <v>2503</v>
      </c>
    </row>
    <row r="2180" spans="1:6" ht="60" x14ac:dyDescent="0.25">
      <c r="A2180" s="8" t="s">
        <v>125</v>
      </c>
      <c r="B2180" s="8" t="s">
        <v>58</v>
      </c>
      <c r="C2180" s="8" t="str">
        <f>IFERROR(_xlfn.XLOOKUP(TRIM(B2180),Lookup!$B$2:$B$1000,Lookup!$C$2:$C$1000),"")</f>
        <v>Equity</v>
      </c>
      <c r="D2180" s="8" t="str">
        <f>IFERROR(INDEX('nav master'!$C:$C, MATCH(B2180, 'nav master'!$B:$B, 0)), "")</f>
        <v>ULIF 145 03/06/21 SustainEqu 105</v>
      </c>
      <c r="E2180" s="8" t="s">
        <v>269</v>
      </c>
      <c r="F2180" s="8" t="s">
        <v>2504</v>
      </c>
    </row>
    <row r="2181" spans="1:6" ht="60" x14ac:dyDescent="0.25">
      <c r="A2181" s="8" t="s">
        <v>125</v>
      </c>
      <c r="B2181" s="8" t="s">
        <v>58</v>
      </c>
      <c r="C2181" s="8" t="str">
        <f>IFERROR(_xlfn.XLOOKUP(TRIM(B2181),Lookup!$B$2:$B$1000,Lookup!$C$2:$C$1000),"")</f>
        <v>Equity</v>
      </c>
      <c r="D2181" s="8" t="str">
        <f>IFERROR(INDEX('nav master'!$C:$C, MATCH(B2181, 'nav master'!$B:$B, 0)), "")</f>
        <v>ULIF 145 03/06/21 SustainEqu 105</v>
      </c>
      <c r="E2181" s="8" t="s">
        <v>271</v>
      </c>
      <c r="F2181" s="8" t="s">
        <v>2505</v>
      </c>
    </row>
    <row r="2182" spans="1:6" ht="60" x14ac:dyDescent="0.25">
      <c r="A2182" s="8" t="s">
        <v>125</v>
      </c>
      <c r="B2182" s="8" t="s">
        <v>58</v>
      </c>
      <c r="C2182" s="8" t="str">
        <f>IFERROR(_xlfn.XLOOKUP(TRIM(B2182),Lookup!$B$2:$B$1000,Lookup!$C$2:$C$1000),"")</f>
        <v>Equity</v>
      </c>
      <c r="D2182" s="8" t="str">
        <f>IFERROR(INDEX('nav master'!$C:$C, MATCH(B2182, 'nav master'!$B:$B, 0)), "")</f>
        <v>ULIF 145 03/06/21 SustainEqu 105</v>
      </c>
      <c r="E2182" s="8" t="s">
        <v>273</v>
      </c>
      <c r="F2182" s="8" t="s">
        <v>2506</v>
      </c>
    </row>
    <row r="2183" spans="1:6" ht="60" x14ac:dyDescent="0.25">
      <c r="A2183" s="8" t="s">
        <v>125</v>
      </c>
      <c r="B2183" s="8" t="s">
        <v>58</v>
      </c>
      <c r="C2183" s="8" t="str">
        <f>IFERROR(_xlfn.XLOOKUP(TRIM(B2183),Lookup!$B$2:$B$1000,Lookup!$C$2:$C$1000),"")</f>
        <v>Equity</v>
      </c>
      <c r="D2183" s="8" t="str">
        <f>IFERROR(INDEX('nav master'!$C:$C, MATCH(B2183, 'nav master'!$B:$B, 0)), "")</f>
        <v>ULIF 145 03/06/21 SustainEqu 105</v>
      </c>
      <c r="E2183" s="8" t="s">
        <v>275</v>
      </c>
      <c r="F2183" s="8" t="s">
        <v>2507</v>
      </c>
    </row>
    <row r="2184" spans="1:6" ht="60" x14ac:dyDescent="0.25">
      <c r="A2184" s="8" t="s">
        <v>125</v>
      </c>
      <c r="B2184" s="8" t="s">
        <v>58</v>
      </c>
      <c r="C2184" s="8" t="str">
        <f>IFERROR(_xlfn.XLOOKUP(TRIM(B2184),Lookup!$B$2:$B$1000,Lookup!$C$2:$C$1000),"")</f>
        <v>Equity</v>
      </c>
      <c r="D2184" s="8" t="str">
        <f>IFERROR(INDEX('nav master'!$C:$C, MATCH(B2184, 'nav master'!$B:$B, 0)), "")</f>
        <v>ULIF 145 03/06/21 SustainEqu 105</v>
      </c>
      <c r="E2184" s="8" t="s">
        <v>277</v>
      </c>
      <c r="F2184" s="8" t="s">
        <v>2508</v>
      </c>
    </row>
    <row r="2185" spans="1:6" ht="60" x14ac:dyDescent="0.25">
      <c r="A2185" s="8" t="s">
        <v>125</v>
      </c>
      <c r="B2185" s="8" t="s">
        <v>58</v>
      </c>
      <c r="C2185" s="8" t="str">
        <f>IFERROR(_xlfn.XLOOKUP(TRIM(B2185),Lookup!$B$2:$B$1000,Lookup!$C$2:$C$1000),"")</f>
        <v>Equity</v>
      </c>
      <c r="D2185" s="8" t="str">
        <f>IFERROR(INDEX('nav master'!$C:$C, MATCH(B2185, 'nav master'!$B:$B, 0)), "")</f>
        <v>ULIF 145 03/06/21 SustainEqu 105</v>
      </c>
      <c r="E2185" s="8" t="s">
        <v>279</v>
      </c>
      <c r="F2185" s="8" t="s">
        <v>2509</v>
      </c>
    </row>
    <row r="2186" spans="1:6" ht="60" x14ac:dyDescent="0.25">
      <c r="A2186" s="8" t="s">
        <v>125</v>
      </c>
      <c r="B2186" s="8" t="s">
        <v>58</v>
      </c>
      <c r="C2186" s="8" t="str">
        <f>IFERROR(_xlfn.XLOOKUP(TRIM(B2186),Lookup!$B$2:$B$1000,Lookup!$C$2:$C$1000),"")</f>
        <v>Equity</v>
      </c>
      <c r="D2186" s="8" t="str">
        <f>IFERROR(INDEX('nav master'!$C:$C, MATCH(B2186, 'nav master'!$B:$B, 0)), "")</f>
        <v>ULIF 145 03/06/21 SustainEqu 105</v>
      </c>
      <c r="E2186" s="8" t="s">
        <v>281</v>
      </c>
      <c r="F2186" s="8" t="s">
        <v>2510</v>
      </c>
    </row>
    <row r="2187" spans="1:6" ht="60" x14ac:dyDescent="0.25">
      <c r="A2187" s="8" t="s">
        <v>125</v>
      </c>
      <c r="B2187" s="8" t="s">
        <v>58</v>
      </c>
      <c r="C2187" s="8" t="str">
        <f>IFERROR(_xlfn.XLOOKUP(TRIM(B2187),Lookup!$B$2:$B$1000,Lookup!$C$2:$C$1000),"")</f>
        <v>Equity</v>
      </c>
      <c r="D2187" s="8" t="str">
        <f>IFERROR(INDEX('nav master'!$C:$C, MATCH(B2187, 'nav master'!$B:$B, 0)), "")</f>
        <v>ULIF 145 03/06/21 SustainEqu 105</v>
      </c>
      <c r="E2187" s="8" t="s">
        <v>283</v>
      </c>
      <c r="F2187" s="8" t="s">
        <v>2511</v>
      </c>
    </row>
    <row r="2188" spans="1:6" ht="60" x14ac:dyDescent="0.25">
      <c r="A2188" s="8" t="s">
        <v>125</v>
      </c>
      <c r="B2188" s="8" t="s">
        <v>58</v>
      </c>
      <c r="C2188" s="8" t="str">
        <f>IFERROR(_xlfn.XLOOKUP(TRIM(B2188),Lookup!$B$2:$B$1000,Lookup!$C$2:$C$1000),"")</f>
        <v>Equity</v>
      </c>
      <c r="D2188" s="8" t="str">
        <f>IFERROR(INDEX('nav master'!$C:$C, MATCH(B2188, 'nav master'!$B:$B, 0)), "")</f>
        <v>ULIF 145 03/06/21 SustainEqu 105</v>
      </c>
      <c r="E2188" s="8" t="s">
        <v>285</v>
      </c>
      <c r="F2188" s="8" t="s">
        <v>2512</v>
      </c>
    </row>
    <row r="2189" spans="1:6" ht="60" x14ac:dyDescent="0.25">
      <c r="A2189" s="8" t="s">
        <v>125</v>
      </c>
      <c r="B2189" s="8" t="s">
        <v>58</v>
      </c>
      <c r="C2189" s="8" t="str">
        <f>IFERROR(_xlfn.XLOOKUP(TRIM(B2189),Lookup!$B$2:$B$1000,Lookup!$C$2:$C$1000),"")</f>
        <v>Equity</v>
      </c>
      <c r="D2189" s="8" t="str">
        <f>IFERROR(INDEX('nav master'!$C:$C, MATCH(B2189, 'nav master'!$B:$B, 0)), "")</f>
        <v>ULIF 145 03/06/21 SustainEqu 105</v>
      </c>
      <c r="E2189" s="8" t="s">
        <v>287</v>
      </c>
      <c r="F2189" s="8" t="s">
        <v>2513</v>
      </c>
    </row>
    <row r="2190" spans="1:6" ht="60" x14ac:dyDescent="0.25">
      <c r="A2190" s="8" t="s">
        <v>125</v>
      </c>
      <c r="B2190" s="8" t="s">
        <v>58</v>
      </c>
      <c r="C2190" s="8" t="str">
        <f>IFERROR(_xlfn.XLOOKUP(TRIM(B2190),Lookup!$B$2:$B$1000,Lookup!$C$2:$C$1000),"")</f>
        <v>Equity</v>
      </c>
      <c r="D2190" s="8" t="str">
        <f>IFERROR(INDEX('nav master'!$C:$C, MATCH(B2190, 'nav master'!$B:$B, 0)), "")</f>
        <v>ULIF 145 03/06/21 SustainEqu 105</v>
      </c>
      <c r="E2190" s="8" t="s">
        <v>289</v>
      </c>
      <c r="F2190" s="8" t="s">
        <v>2514</v>
      </c>
    </row>
    <row r="2191" spans="1:6" ht="60" x14ac:dyDescent="0.25">
      <c r="A2191" s="8" t="s">
        <v>125</v>
      </c>
      <c r="B2191" s="8" t="s">
        <v>58</v>
      </c>
      <c r="C2191" s="8" t="str">
        <f>IFERROR(_xlfn.XLOOKUP(TRIM(B2191),Lookup!$B$2:$B$1000,Lookup!$C$2:$C$1000),"")</f>
        <v>Equity</v>
      </c>
      <c r="D2191" s="8" t="str">
        <f>IFERROR(INDEX('nav master'!$C:$C, MATCH(B2191, 'nav master'!$B:$B, 0)), "")</f>
        <v>ULIF 145 03/06/21 SustainEqu 105</v>
      </c>
      <c r="E2191" s="8" t="s">
        <v>291</v>
      </c>
      <c r="F2191" s="8" t="s">
        <v>2515</v>
      </c>
    </row>
    <row r="2192" spans="1:6" ht="60" x14ac:dyDescent="0.25">
      <c r="A2192" s="8" t="s">
        <v>125</v>
      </c>
      <c r="B2192" s="8" t="s">
        <v>58</v>
      </c>
      <c r="C2192" s="8" t="str">
        <f>IFERROR(_xlfn.XLOOKUP(TRIM(B2192),Lookup!$B$2:$B$1000,Lookup!$C$2:$C$1000),"")</f>
        <v>Equity</v>
      </c>
      <c r="D2192" s="8" t="str">
        <f>IFERROR(INDEX('nav master'!$C:$C, MATCH(B2192, 'nav master'!$B:$B, 0)), "")</f>
        <v>ULIF 145 03/06/21 SustainEqu 105</v>
      </c>
      <c r="E2192" s="8" t="s">
        <v>293</v>
      </c>
      <c r="F2192" s="8" t="s">
        <v>2516</v>
      </c>
    </row>
    <row r="2193" spans="1:6" ht="60" x14ac:dyDescent="0.25">
      <c r="A2193" s="8" t="s">
        <v>125</v>
      </c>
      <c r="B2193" s="8" t="s">
        <v>58</v>
      </c>
      <c r="C2193" s="8" t="str">
        <f>IFERROR(_xlfn.XLOOKUP(TRIM(B2193),Lookup!$B$2:$B$1000,Lookup!$C$2:$C$1000),"")</f>
        <v>Equity</v>
      </c>
      <c r="D2193" s="8" t="str">
        <f>IFERROR(INDEX('nav master'!$C:$C, MATCH(B2193, 'nav master'!$B:$B, 0)), "")</f>
        <v>ULIF 145 03/06/21 SustainEqu 105</v>
      </c>
      <c r="E2193" s="8" t="s">
        <v>295</v>
      </c>
      <c r="F2193" s="8" t="s">
        <v>2517</v>
      </c>
    </row>
    <row r="2194" spans="1:6" ht="60" x14ac:dyDescent="0.25">
      <c r="A2194" s="8" t="s">
        <v>125</v>
      </c>
      <c r="B2194" s="8" t="s">
        <v>58</v>
      </c>
      <c r="C2194" s="8" t="str">
        <f>IFERROR(_xlfn.XLOOKUP(TRIM(B2194),Lookup!$B$2:$B$1000,Lookup!$C$2:$C$1000),"")</f>
        <v>Equity</v>
      </c>
      <c r="D2194" s="8" t="str">
        <f>IFERROR(INDEX('nav master'!$C:$C, MATCH(B2194, 'nav master'!$B:$B, 0)), "")</f>
        <v>ULIF 145 03/06/21 SustainEqu 105</v>
      </c>
      <c r="E2194" s="8" t="s">
        <v>297</v>
      </c>
      <c r="F2194" s="8" t="s">
        <v>2518</v>
      </c>
    </row>
    <row r="2195" spans="1:6" ht="60" x14ac:dyDescent="0.25">
      <c r="A2195" s="8" t="s">
        <v>125</v>
      </c>
      <c r="B2195" s="8" t="s">
        <v>58</v>
      </c>
      <c r="C2195" s="8" t="str">
        <f>IFERROR(_xlfn.XLOOKUP(TRIM(B2195),Lookup!$B$2:$B$1000,Lookup!$C$2:$C$1000),"")</f>
        <v>Equity</v>
      </c>
      <c r="D2195" s="8" t="str">
        <f>IFERROR(INDEX('nav master'!$C:$C, MATCH(B2195, 'nav master'!$B:$B, 0)), "")</f>
        <v>ULIF 145 03/06/21 SustainEqu 105</v>
      </c>
      <c r="E2195" s="8" t="s">
        <v>299</v>
      </c>
      <c r="F2195" s="8" t="s">
        <v>2519</v>
      </c>
    </row>
    <row r="2196" spans="1:6" ht="60" x14ac:dyDescent="0.25">
      <c r="A2196" s="8" t="s">
        <v>125</v>
      </c>
      <c r="B2196" s="8" t="s">
        <v>58</v>
      </c>
      <c r="C2196" s="8" t="str">
        <f>IFERROR(_xlfn.XLOOKUP(TRIM(B2196),Lookup!$B$2:$B$1000,Lookup!$C$2:$C$1000),"")</f>
        <v>Equity</v>
      </c>
      <c r="D2196" s="8" t="str">
        <f>IFERROR(INDEX('nav master'!$C:$C, MATCH(B2196, 'nav master'!$B:$B, 0)), "")</f>
        <v>ULIF 145 03/06/21 SustainEqu 105</v>
      </c>
      <c r="E2196" s="8" t="s">
        <v>301</v>
      </c>
      <c r="F2196" s="8" t="s">
        <v>2520</v>
      </c>
    </row>
    <row r="2197" spans="1:6" ht="60" x14ac:dyDescent="0.25">
      <c r="A2197" s="8" t="s">
        <v>125</v>
      </c>
      <c r="B2197" s="8" t="s">
        <v>58</v>
      </c>
      <c r="C2197" s="8" t="str">
        <f>IFERROR(_xlfn.XLOOKUP(TRIM(B2197),Lookup!$B$2:$B$1000,Lookup!$C$2:$C$1000),"")</f>
        <v>Equity</v>
      </c>
      <c r="D2197" s="8" t="str">
        <f>IFERROR(INDEX('nav master'!$C:$C, MATCH(B2197, 'nav master'!$B:$B, 0)), "")</f>
        <v>ULIF 145 03/06/21 SustainEqu 105</v>
      </c>
      <c r="E2197" s="8" t="s">
        <v>303</v>
      </c>
      <c r="F2197" s="8" t="s">
        <v>2521</v>
      </c>
    </row>
    <row r="2198" spans="1:6" ht="60" x14ac:dyDescent="0.25">
      <c r="A2198" s="8" t="s">
        <v>125</v>
      </c>
      <c r="B2198" s="8" t="s">
        <v>58</v>
      </c>
      <c r="C2198" s="8" t="str">
        <f>IFERROR(_xlfn.XLOOKUP(TRIM(B2198),Lookup!$B$2:$B$1000,Lookup!$C$2:$C$1000),"")</f>
        <v>Equity</v>
      </c>
      <c r="D2198" s="8" t="str">
        <f>IFERROR(INDEX('nav master'!$C:$C, MATCH(B2198, 'nav master'!$B:$B, 0)), "")</f>
        <v>ULIF 145 03/06/21 SustainEqu 105</v>
      </c>
      <c r="E2198" s="8" t="s">
        <v>305</v>
      </c>
      <c r="F2198" s="8" t="s">
        <v>2522</v>
      </c>
    </row>
    <row r="2199" spans="1:6" ht="60" x14ac:dyDescent="0.25">
      <c r="A2199" s="8" t="s">
        <v>125</v>
      </c>
      <c r="B2199" s="8" t="s">
        <v>58</v>
      </c>
      <c r="C2199" s="8" t="str">
        <f>IFERROR(_xlfn.XLOOKUP(TRIM(B2199),Lookup!$B$2:$B$1000,Lookup!$C$2:$C$1000),"")</f>
        <v>Equity</v>
      </c>
      <c r="D2199" s="8" t="str">
        <f>IFERROR(INDEX('nav master'!$C:$C, MATCH(B2199, 'nav master'!$B:$B, 0)), "")</f>
        <v>ULIF 145 03/06/21 SustainEqu 105</v>
      </c>
      <c r="E2199" s="8" t="s">
        <v>307</v>
      </c>
      <c r="F2199" s="8" t="s">
        <v>2523</v>
      </c>
    </row>
    <row r="2200" spans="1:6" ht="60" x14ac:dyDescent="0.25">
      <c r="A2200" s="8" t="s">
        <v>125</v>
      </c>
      <c r="B2200" s="8" t="s">
        <v>58</v>
      </c>
      <c r="C2200" s="8" t="str">
        <f>IFERROR(_xlfn.XLOOKUP(TRIM(B2200),Lookup!$B$2:$B$1000,Lookup!$C$2:$C$1000),"")</f>
        <v>Equity</v>
      </c>
      <c r="D2200" s="8" t="str">
        <f>IFERROR(INDEX('nav master'!$C:$C, MATCH(B2200, 'nav master'!$B:$B, 0)), "")</f>
        <v>ULIF 145 03/06/21 SustainEqu 105</v>
      </c>
      <c r="E2200" s="8" t="s">
        <v>309</v>
      </c>
      <c r="F2200" s="8" t="s">
        <v>2524</v>
      </c>
    </row>
    <row r="2201" spans="1:6" ht="60" x14ac:dyDescent="0.25">
      <c r="A2201" s="8" t="s">
        <v>125</v>
      </c>
      <c r="B2201" s="8" t="s">
        <v>58</v>
      </c>
      <c r="C2201" s="8" t="str">
        <f>IFERROR(_xlfn.XLOOKUP(TRIM(B2201),Lookup!$B$2:$B$1000,Lookup!$C$2:$C$1000),"")</f>
        <v>Equity</v>
      </c>
      <c r="D2201" s="8" t="str">
        <f>IFERROR(INDEX('nav master'!$C:$C, MATCH(B2201, 'nav master'!$B:$B, 0)), "")</f>
        <v>ULIF 145 03/06/21 SustainEqu 105</v>
      </c>
      <c r="E2201" s="8" t="s">
        <v>311</v>
      </c>
      <c r="F2201" s="8" t="s">
        <v>2525</v>
      </c>
    </row>
    <row r="2202" spans="1:6" ht="60" x14ac:dyDescent="0.25">
      <c r="A2202" s="8" t="s">
        <v>125</v>
      </c>
      <c r="B2202" s="8" t="s">
        <v>58</v>
      </c>
      <c r="C2202" s="8" t="str">
        <f>IFERROR(_xlfn.XLOOKUP(TRIM(B2202),Lookup!$B$2:$B$1000,Lookup!$C$2:$C$1000),"")</f>
        <v>Equity</v>
      </c>
      <c r="D2202" s="8" t="str">
        <f>IFERROR(INDEX('nav master'!$C:$C, MATCH(B2202, 'nav master'!$B:$B, 0)), "")</f>
        <v>ULIF 145 03/06/21 SustainEqu 105</v>
      </c>
      <c r="E2202" s="8" t="s">
        <v>313</v>
      </c>
      <c r="F2202" s="8" t="s">
        <v>2526</v>
      </c>
    </row>
    <row r="2203" spans="1:6" ht="60" x14ac:dyDescent="0.25">
      <c r="A2203" s="8" t="s">
        <v>125</v>
      </c>
      <c r="B2203" s="8" t="s">
        <v>58</v>
      </c>
      <c r="C2203" s="8" t="str">
        <f>IFERROR(_xlfn.XLOOKUP(TRIM(B2203),Lookup!$B$2:$B$1000,Lookup!$C$2:$C$1000),"")</f>
        <v>Equity</v>
      </c>
      <c r="D2203" s="8" t="str">
        <f>IFERROR(INDEX('nav master'!$C:$C, MATCH(B2203, 'nav master'!$B:$B, 0)), "")</f>
        <v>ULIF 145 03/06/21 SustainEqu 105</v>
      </c>
      <c r="E2203" s="8" t="s">
        <v>315</v>
      </c>
      <c r="F2203" s="8" t="s">
        <v>2527</v>
      </c>
    </row>
    <row r="2204" spans="1:6" ht="60" x14ac:dyDescent="0.25">
      <c r="A2204" s="8" t="s">
        <v>125</v>
      </c>
      <c r="B2204" s="8" t="s">
        <v>58</v>
      </c>
      <c r="C2204" s="8" t="str">
        <f>IFERROR(_xlfn.XLOOKUP(TRIM(B2204),Lookup!$B$2:$B$1000,Lookup!$C$2:$C$1000),"")</f>
        <v>Equity</v>
      </c>
      <c r="D2204" s="8" t="str">
        <f>IFERROR(INDEX('nav master'!$C:$C, MATCH(B2204, 'nav master'!$B:$B, 0)), "")</f>
        <v>ULIF 145 03/06/21 SustainEqu 105</v>
      </c>
      <c r="E2204" s="8" t="s">
        <v>317</v>
      </c>
      <c r="F2204" s="8" t="s">
        <v>2528</v>
      </c>
    </row>
    <row r="2205" spans="1:6" ht="60" x14ac:dyDescent="0.25">
      <c r="A2205" s="8" t="s">
        <v>125</v>
      </c>
      <c r="B2205" s="8" t="s">
        <v>58</v>
      </c>
      <c r="C2205" s="8" t="str">
        <f>IFERROR(_xlfn.XLOOKUP(TRIM(B2205),Lookup!$B$2:$B$1000,Lookup!$C$2:$C$1000),"")</f>
        <v>Equity</v>
      </c>
      <c r="D2205" s="8" t="str">
        <f>IFERROR(INDEX('nav master'!$C:$C, MATCH(B2205, 'nav master'!$B:$B, 0)), "")</f>
        <v>ULIF 145 03/06/21 SustainEqu 105</v>
      </c>
      <c r="E2205" s="8" t="s">
        <v>319</v>
      </c>
      <c r="F2205" s="8" t="s">
        <v>2529</v>
      </c>
    </row>
    <row r="2206" spans="1:6" ht="60" x14ac:dyDescent="0.25">
      <c r="A2206" s="8" t="s">
        <v>125</v>
      </c>
      <c r="B2206" s="8" t="s">
        <v>58</v>
      </c>
      <c r="C2206" s="8" t="str">
        <f>IFERROR(_xlfn.XLOOKUP(TRIM(B2206),Lookup!$B$2:$B$1000,Lookup!$C$2:$C$1000),"")</f>
        <v>Equity</v>
      </c>
      <c r="D2206" s="8" t="str">
        <f>IFERROR(INDEX('nav master'!$C:$C, MATCH(B2206, 'nav master'!$B:$B, 0)), "")</f>
        <v>ULIF 145 03/06/21 SustainEqu 105</v>
      </c>
      <c r="E2206" s="8" t="s">
        <v>321</v>
      </c>
      <c r="F2206" s="8" t="s">
        <v>2530</v>
      </c>
    </row>
    <row r="2207" spans="1:6" ht="60" x14ac:dyDescent="0.25">
      <c r="A2207" s="8" t="s">
        <v>125</v>
      </c>
      <c r="B2207" s="8" t="s">
        <v>58</v>
      </c>
      <c r="C2207" s="8" t="str">
        <f>IFERROR(_xlfn.XLOOKUP(TRIM(B2207),Lookup!$B$2:$B$1000,Lookup!$C$2:$C$1000),"")</f>
        <v>Equity</v>
      </c>
      <c r="D2207" s="8" t="str">
        <f>IFERROR(INDEX('nav master'!$C:$C, MATCH(B2207, 'nav master'!$B:$B, 0)), "")</f>
        <v>ULIF 145 03/06/21 SustainEqu 105</v>
      </c>
      <c r="E2207" s="8" t="s">
        <v>323</v>
      </c>
      <c r="F2207" s="8" t="s">
        <v>2531</v>
      </c>
    </row>
    <row r="2208" spans="1:6" ht="60" x14ac:dyDescent="0.25">
      <c r="A2208" s="8" t="s">
        <v>125</v>
      </c>
      <c r="B2208" s="8" t="s">
        <v>58</v>
      </c>
      <c r="C2208" s="8" t="str">
        <f>IFERROR(_xlfn.XLOOKUP(TRIM(B2208),Lookup!$B$2:$B$1000,Lookup!$C$2:$C$1000),"")</f>
        <v>Equity</v>
      </c>
      <c r="D2208" s="8" t="str">
        <f>IFERROR(INDEX('nav master'!$C:$C, MATCH(B2208, 'nav master'!$B:$B, 0)), "")</f>
        <v>ULIF 145 03/06/21 SustainEqu 105</v>
      </c>
      <c r="E2208" s="8" t="s">
        <v>325</v>
      </c>
      <c r="F2208" s="8" t="s">
        <v>2532</v>
      </c>
    </row>
    <row r="2209" spans="1:6" ht="60" x14ac:dyDescent="0.25">
      <c r="A2209" s="8" t="s">
        <v>125</v>
      </c>
      <c r="B2209" s="8" t="s">
        <v>58</v>
      </c>
      <c r="C2209" s="8" t="str">
        <f>IFERROR(_xlfn.XLOOKUP(TRIM(B2209),Lookup!$B$2:$B$1000,Lookup!$C$2:$C$1000),"")</f>
        <v>Equity</v>
      </c>
      <c r="D2209" s="8" t="str">
        <f>IFERROR(INDEX('nav master'!$C:$C, MATCH(B2209, 'nav master'!$B:$B, 0)), "")</f>
        <v>ULIF 145 03/06/21 SustainEqu 105</v>
      </c>
      <c r="E2209" s="8" t="s">
        <v>327</v>
      </c>
      <c r="F2209" s="8" t="s">
        <v>2533</v>
      </c>
    </row>
    <row r="2210" spans="1:6" ht="60" x14ac:dyDescent="0.25">
      <c r="A2210" s="8" t="s">
        <v>125</v>
      </c>
      <c r="B2210" s="8" t="s">
        <v>58</v>
      </c>
      <c r="C2210" s="8" t="str">
        <f>IFERROR(_xlfn.XLOOKUP(TRIM(B2210),Lookup!$B$2:$B$1000,Lookup!$C$2:$C$1000),"")</f>
        <v>Equity</v>
      </c>
      <c r="D2210" s="8" t="str">
        <f>IFERROR(INDEX('nav master'!$C:$C, MATCH(B2210, 'nav master'!$B:$B, 0)), "")</f>
        <v>ULIF 145 03/06/21 SustainEqu 105</v>
      </c>
      <c r="E2210" s="8" t="s">
        <v>329</v>
      </c>
      <c r="F2210" s="8" t="s">
        <v>2534</v>
      </c>
    </row>
    <row r="2211" spans="1:6" ht="60" x14ac:dyDescent="0.25">
      <c r="A2211" s="8" t="s">
        <v>125</v>
      </c>
      <c r="B2211" s="8" t="s">
        <v>58</v>
      </c>
      <c r="C2211" s="8" t="str">
        <f>IFERROR(_xlfn.XLOOKUP(TRIM(B2211),Lookup!$B$2:$B$1000,Lookup!$C$2:$C$1000),"")</f>
        <v>Equity</v>
      </c>
      <c r="D2211" s="8" t="str">
        <f>IFERROR(INDEX('nav master'!$C:$C, MATCH(B2211, 'nav master'!$B:$B, 0)), "")</f>
        <v>ULIF 145 03/06/21 SustainEqu 105</v>
      </c>
      <c r="E2211" s="8" t="s">
        <v>331</v>
      </c>
      <c r="F2211" s="8" t="s">
        <v>2535</v>
      </c>
    </row>
    <row r="2212" spans="1:6" ht="60" x14ac:dyDescent="0.25">
      <c r="A2212" s="8" t="s">
        <v>125</v>
      </c>
      <c r="B2212" s="8" t="s">
        <v>58</v>
      </c>
      <c r="C2212" s="8" t="str">
        <f>IFERROR(_xlfn.XLOOKUP(TRIM(B2212),Lookup!$B$2:$B$1000,Lookup!$C$2:$C$1000),"")</f>
        <v>Equity</v>
      </c>
      <c r="D2212" s="8" t="str">
        <f>IFERROR(INDEX('nav master'!$C:$C, MATCH(B2212, 'nav master'!$B:$B, 0)), "")</f>
        <v>ULIF 145 03/06/21 SustainEqu 105</v>
      </c>
      <c r="E2212" s="8" t="s">
        <v>333</v>
      </c>
      <c r="F2212" s="8" t="s">
        <v>2536</v>
      </c>
    </row>
    <row r="2213" spans="1:6" ht="60" x14ac:dyDescent="0.25">
      <c r="A2213" s="8" t="s">
        <v>125</v>
      </c>
      <c r="B2213" s="8" t="s">
        <v>58</v>
      </c>
      <c r="C2213" s="8" t="str">
        <f>IFERROR(_xlfn.XLOOKUP(TRIM(B2213),Lookup!$B$2:$B$1000,Lookup!$C$2:$C$1000),"")</f>
        <v>Equity</v>
      </c>
      <c r="D2213" s="8" t="str">
        <f>IFERROR(INDEX('nav master'!$C:$C, MATCH(B2213, 'nav master'!$B:$B, 0)), "")</f>
        <v>ULIF 145 03/06/21 SustainEqu 105</v>
      </c>
      <c r="E2213" s="8" t="s">
        <v>335</v>
      </c>
      <c r="F2213" s="8" t="s">
        <v>2537</v>
      </c>
    </row>
    <row r="2214" spans="1:6" ht="60" x14ac:dyDescent="0.25">
      <c r="A2214" s="8" t="s">
        <v>125</v>
      </c>
      <c r="B2214" s="8" t="s">
        <v>58</v>
      </c>
      <c r="C2214" s="8" t="str">
        <f>IFERROR(_xlfn.XLOOKUP(TRIM(B2214),Lookup!$B$2:$B$1000,Lookup!$C$2:$C$1000),"")</f>
        <v>Equity</v>
      </c>
      <c r="D2214" s="8" t="str">
        <f>IFERROR(INDEX('nav master'!$C:$C, MATCH(B2214, 'nav master'!$B:$B, 0)), "")</f>
        <v>ULIF 145 03/06/21 SustainEqu 105</v>
      </c>
      <c r="E2214" s="8" t="s">
        <v>337</v>
      </c>
      <c r="F2214" s="8" t="s">
        <v>2538</v>
      </c>
    </row>
    <row r="2215" spans="1:6" ht="60" x14ac:dyDescent="0.25">
      <c r="A2215" s="8" t="s">
        <v>125</v>
      </c>
      <c r="B2215" s="8" t="s">
        <v>58</v>
      </c>
      <c r="C2215" s="8" t="str">
        <f>IFERROR(_xlfn.XLOOKUP(TRIM(B2215),Lookup!$B$2:$B$1000,Lookup!$C$2:$C$1000),"")</f>
        <v>Equity</v>
      </c>
      <c r="D2215" s="8" t="str">
        <f>IFERROR(INDEX('nav master'!$C:$C, MATCH(B2215, 'nav master'!$B:$B, 0)), "")</f>
        <v>ULIF 145 03/06/21 SustainEqu 105</v>
      </c>
      <c r="E2215" s="8" t="s">
        <v>339</v>
      </c>
      <c r="F2215" s="8" t="s">
        <v>2539</v>
      </c>
    </row>
    <row r="2216" spans="1:6" ht="60" x14ac:dyDescent="0.25">
      <c r="A2216" s="8" t="s">
        <v>125</v>
      </c>
      <c r="B2216" s="8" t="s">
        <v>58</v>
      </c>
      <c r="C2216" s="8" t="str">
        <f>IFERROR(_xlfn.XLOOKUP(TRIM(B2216),Lookup!$B$2:$B$1000,Lookup!$C$2:$C$1000),"")</f>
        <v>Equity</v>
      </c>
      <c r="D2216" s="8" t="str">
        <f>IFERROR(INDEX('nav master'!$C:$C, MATCH(B2216, 'nav master'!$B:$B, 0)), "")</f>
        <v>ULIF 145 03/06/21 SustainEqu 105</v>
      </c>
      <c r="E2216" s="8" t="s">
        <v>341</v>
      </c>
      <c r="F2216" s="8" t="s">
        <v>2540</v>
      </c>
    </row>
    <row r="2217" spans="1:6" ht="60" x14ac:dyDescent="0.25">
      <c r="A2217" s="8" t="s">
        <v>125</v>
      </c>
      <c r="B2217" s="8" t="s">
        <v>58</v>
      </c>
      <c r="C2217" s="8" t="str">
        <f>IFERROR(_xlfn.XLOOKUP(TRIM(B2217),Lookup!$B$2:$B$1000,Lookup!$C$2:$C$1000),"")</f>
        <v>Equity</v>
      </c>
      <c r="D2217" s="8" t="str">
        <f>IFERROR(INDEX('nav master'!$C:$C, MATCH(B2217, 'nav master'!$B:$B, 0)), "")</f>
        <v>ULIF 145 03/06/21 SustainEqu 105</v>
      </c>
      <c r="E2217" s="8" t="s">
        <v>343</v>
      </c>
      <c r="F2217" s="8" t="s">
        <v>2541</v>
      </c>
    </row>
    <row r="2218" spans="1:6" ht="60" x14ac:dyDescent="0.25">
      <c r="A2218" s="8" t="s">
        <v>125</v>
      </c>
      <c r="B2218" s="8" t="s">
        <v>58</v>
      </c>
      <c r="C2218" s="8" t="str">
        <f>IFERROR(_xlfn.XLOOKUP(TRIM(B2218),Lookup!$B$2:$B$1000,Lookup!$C$2:$C$1000),"")</f>
        <v>Equity</v>
      </c>
      <c r="D2218" s="8" t="str">
        <f>IFERROR(INDEX('nav master'!$C:$C, MATCH(B2218, 'nav master'!$B:$B, 0)), "")</f>
        <v>ULIF 145 03/06/21 SustainEqu 105</v>
      </c>
      <c r="E2218" s="8" t="s">
        <v>345</v>
      </c>
      <c r="F2218" s="8" t="s">
        <v>2542</v>
      </c>
    </row>
    <row r="2219" spans="1:6" ht="60" x14ac:dyDescent="0.25">
      <c r="A2219" s="8" t="s">
        <v>125</v>
      </c>
      <c r="B2219" s="8" t="s">
        <v>58</v>
      </c>
      <c r="C2219" s="8" t="str">
        <f>IFERROR(_xlfn.XLOOKUP(TRIM(B2219),Lookup!$B$2:$B$1000,Lookup!$C$2:$C$1000),"")</f>
        <v>Equity</v>
      </c>
      <c r="D2219" s="8" t="str">
        <f>IFERROR(INDEX('nav master'!$C:$C, MATCH(B2219, 'nav master'!$B:$B, 0)), "")</f>
        <v>ULIF 145 03/06/21 SustainEqu 105</v>
      </c>
      <c r="E2219" s="8" t="s">
        <v>347</v>
      </c>
      <c r="F2219" s="8" t="s">
        <v>2543</v>
      </c>
    </row>
    <row r="2220" spans="1:6" ht="60" x14ac:dyDescent="0.25">
      <c r="A2220" s="8" t="s">
        <v>125</v>
      </c>
      <c r="B2220" s="8" t="s">
        <v>58</v>
      </c>
      <c r="C2220" s="8" t="str">
        <f>IFERROR(_xlfn.XLOOKUP(TRIM(B2220),Lookup!$B$2:$B$1000,Lookup!$C$2:$C$1000),"")</f>
        <v>Equity</v>
      </c>
      <c r="D2220" s="8" t="str">
        <f>IFERROR(INDEX('nav master'!$C:$C, MATCH(B2220, 'nav master'!$B:$B, 0)), "")</f>
        <v>ULIF 145 03/06/21 SustainEqu 105</v>
      </c>
      <c r="E2220" s="8" t="s">
        <v>349</v>
      </c>
      <c r="F2220" s="8" t="s">
        <v>2544</v>
      </c>
    </row>
    <row r="2221" spans="1:6" ht="60" x14ac:dyDescent="0.25">
      <c r="A2221" s="8" t="s">
        <v>125</v>
      </c>
      <c r="B2221" s="8" t="s">
        <v>58</v>
      </c>
      <c r="C2221" s="8" t="str">
        <f>IFERROR(_xlfn.XLOOKUP(TRIM(B2221),Lookup!$B$2:$B$1000,Lookup!$C$2:$C$1000),"")</f>
        <v>Equity</v>
      </c>
      <c r="D2221" s="8" t="str">
        <f>IFERROR(INDEX('nav master'!$C:$C, MATCH(B2221, 'nav master'!$B:$B, 0)), "")</f>
        <v>ULIF 145 03/06/21 SustainEqu 105</v>
      </c>
      <c r="E2221" s="8" t="s">
        <v>351</v>
      </c>
      <c r="F2221" s="8" t="s">
        <v>2545</v>
      </c>
    </row>
    <row r="2222" spans="1:6" ht="60" x14ac:dyDescent="0.25">
      <c r="A2222" s="8" t="s">
        <v>125</v>
      </c>
      <c r="B2222" s="8" t="s">
        <v>58</v>
      </c>
      <c r="C2222" s="8" t="str">
        <f>IFERROR(_xlfn.XLOOKUP(TRIM(B2222),Lookup!$B$2:$B$1000,Lookup!$C$2:$C$1000),"")</f>
        <v>Equity</v>
      </c>
      <c r="D2222" s="8" t="str">
        <f>IFERROR(INDEX('nav master'!$C:$C, MATCH(B2222, 'nav master'!$B:$B, 0)), "")</f>
        <v>ULIF 145 03/06/21 SustainEqu 105</v>
      </c>
      <c r="E2222" s="8" t="s">
        <v>353</v>
      </c>
      <c r="F2222" s="8" t="s">
        <v>2546</v>
      </c>
    </row>
    <row r="2223" spans="1:6" ht="60" x14ac:dyDescent="0.25">
      <c r="A2223" s="8" t="s">
        <v>125</v>
      </c>
      <c r="B2223" s="8" t="s">
        <v>58</v>
      </c>
      <c r="C2223" s="8" t="str">
        <f>IFERROR(_xlfn.XLOOKUP(TRIM(B2223),Lookup!$B$2:$B$1000,Lookup!$C$2:$C$1000),"")</f>
        <v>Equity</v>
      </c>
      <c r="D2223" s="8" t="str">
        <f>IFERROR(INDEX('nav master'!$C:$C, MATCH(B2223, 'nav master'!$B:$B, 0)), "")</f>
        <v>ULIF 145 03/06/21 SustainEqu 105</v>
      </c>
      <c r="E2223" s="8" t="s">
        <v>355</v>
      </c>
      <c r="F2223" s="8" t="s">
        <v>2547</v>
      </c>
    </row>
    <row r="2224" spans="1:6" ht="60" x14ac:dyDescent="0.25">
      <c r="A2224" s="8" t="s">
        <v>125</v>
      </c>
      <c r="B2224" s="8" t="s">
        <v>58</v>
      </c>
      <c r="C2224" s="8" t="str">
        <f>IFERROR(_xlfn.XLOOKUP(TRIM(B2224),Lookup!$B$2:$B$1000,Lookup!$C$2:$C$1000),"")</f>
        <v>Equity</v>
      </c>
      <c r="D2224" s="8" t="str">
        <f>IFERROR(INDEX('nav master'!$C:$C, MATCH(B2224, 'nav master'!$B:$B, 0)), "")</f>
        <v>ULIF 145 03/06/21 SustainEqu 105</v>
      </c>
      <c r="E2224" s="8" t="s">
        <v>357</v>
      </c>
      <c r="F2224" s="8" t="s">
        <v>2548</v>
      </c>
    </row>
    <row r="2225" spans="1:6" ht="60" x14ac:dyDescent="0.25">
      <c r="A2225" s="8" t="s">
        <v>125</v>
      </c>
      <c r="B2225" s="8" t="s">
        <v>58</v>
      </c>
      <c r="C2225" s="8" t="str">
        <f>IFERROR(_xlfn.XLOOKUP(TRIM(B2225),Lookup!$B$2:$B$1000,Lookup!$C$2:$C$1000),"")</f>
        <v>Equity</v>
      </c>
      <c r="D2225" s="8" t="str">
        <f>IFERROR(INDEX('nav master'!$C:$C, MATCH(B2225, 'nav master'!$B:$B, 0)), "")</f>
        <v>ULIF 145 03/06/21 SustainEqu 105</v>
      </c>
      <c r="E2225" s="8" t="s">
        <v>359</v>
      </c>
      <c r="F2225" s="8" t="s">
        <v>2549</v>
      </c>
    </row>
    <row r="2226" spans="1:6" ht="60" x14ac:dyDescent="0.25">
      <c r="A2226" s="8" t="s">
        <v>125</v>
      </c>
      <c r="B2226" s="8" t="s">
        <v>58</v>
      </c>
      <c r="C2226" s="8" t="str">
        <f>IFERROR(_xlfn.XLOOKUP(TRIM(B2226),Lookup!$B$2:$B$1000,Lookup!$C$2:$C$1000),"")</f>
        <v>Equity</v>
      </c>
      <c r="D2226" s="8" t="str">
        <f>IFERROR(INDEX('nav master'!$C:$C, MATCH(B2226, 'nav master'!$B:$B, 0)), "")</f>
        <v>ULIF 145 03/06/21 SustainEqu 105</v>
      </c>
      <c r="E2226" s="8" t="s">
        <v>361</v>
      </c>
      <c r="F2226" s="8" t="s">
        <v>2550</v>
      </c>
    </row>
    <row r="2227" spans="1:6" ht="60" x14ac:dyDescent="0.25">
      <c r="A2227" s="8" t="s">
        <v>125</v>
      </c>
      <c r="B2227" s="8" t="s">
        <v>58</v>
      </c>
      <c r="C2227" s="8" t="str">
        <f>IFERROR(_xlfn.XLOOKUP(TRIM(B2227),Lookup!$B$2:$B$1000,Lookup!$C$2:$C$1000),"")</f>
        <v>Equity</v>
      </c>
      <c r="D2227" s="8" t="str">
        <f>IFERROR(INDEX('nav master'!$C:$C, MATCH(B2227, 'nav master'!$B:$B, 0)), "")</f>
        <v>ULIF 145 03/06/21 SustainEqu 105</v>
      </c>
      <c r="E2227" s="8" t="s">
        <v>363</v>
      </c>
      <c r="F2227" s="8" t="s">
        <v>2551</v>
      </c>
    </row>
    <row r="2228" spans="1:6" ht="60" x14ac:dyDescent="0.25">
      <c r="A2228" s="8" t="s">
        <v>125</v>
      </c>
      <c r="B2228" s="8" t="s">
        <v>58</v>
      </c>
      <c r="C2228" s="8" t="str">
        <f>IFERROR(_xlfn.XLOOKUP(TRIM(B2228),Lookup!$B$2:$B$1000,Lookup!$C$2:$C$1000),"")</f>
        <v>Equity</v>
      </c>
      <c r="D2228" s="8" t="str">
        <f>IFERROR(INDEX('nav master'!$C:$C, MATCH(B2228, 'nav master'!$B:$B, 0)), "")</f>
        <v>ULIF 145 03/06/21 SustainEqu 105</v>
      </c>
      <c r="E2228" s="8" t="s">
        <v>365</v>
      </c>
      <c r="F2228" s="8" t="s">
        <v>2552</v>
      </c>
    </row>
    <row r="2229" spans="1:6" ht="60" x14ac:dyDescent="0.25">
      <c r="A2229" s="8" t="s">
        <v>125</v>
      </c>
      <c r="B2229" s="8" t="s">
        <v>58</v>
      </c>
      <c r="C2229" s="8" t="str">
        <f>IFERROR(_xlfn.XLOOKUP(TRIM(B2229),Lookup!$B$2:$B$1000,Lookup!$C$2:$C$1000),"")</f>
        <v>Equity</v>
      </c>
      <c r="D2229" s="8" t="str">
        <f>IFERROR(INDEX('nav master'!$C:$C, MATCH(B2229, 'nav master'!$B:$B, 0)), "")</f>
        <v>ULIF 145 03/06/21 SustainEqu 105</v>
      </c>
      <c r="E2229" s="8" t="s">
        <v>367</v>
      </c>
      <c r="F2229" s="8" t="s">
        <v>2553</v>
      </c>
    </row>
    <row r="2230" spans="1:6" ht="60" x14ac:dyDescent="0.25">
      <c r="A2230" s="8" t="s">
        <v>125</v>
      </c>
      <c r="B2230" s="8" t="s">
        <v>58</v>
      </c>
      <c r="C2230" s="8" t="str">
        <f>IFERROR(_xlfn.XLOOKUP(TRIM(B2230),Lookup!$B$2:$B$1000,Lookup!$C$2:$C$1000),"")</f>
        <v>Equity</v>
      </c>
      <c r="D2230" s="8" t="str">
        <f>IFERROR(INDEX('nav master'!$C:$C, MATCH(B2230, 'nav master'!$B:$B, 0)), "")</f>
        <v>ULIF 145 03/06/21 SustainEqu 105</v>
      </c>
      <c r="E2230" s="8" t="s">
        <v>369</v>
      </c>
      <c r="F2230" s="8" t="s">
        <v>2554</v>
      </c>
    </row>
    <row r="2231" spans="1:6" ht="60" x14ac:dyDescent="0.25">
      <c r="A2231" s="8" t="s">
        <v>125</v>
      </c>
      <c r="B2231" s="8" t="s">
        <v>58</v>
      </c>
      <c r="C2231" s="8" t="str">
        <f>IFERROR(_xlfn.XLOOKUP(TRIM(B2231),Lookup!$B$2:$B$1000,Lookup!$C$2:$C$1000),"")</f>
        <v>Equity</v>
      </c>
      <c r="D2231" s="8" t="str">
        <f>IFERROR(INDEX('nav master'!$C:$C, MATCH(B2231, 'nav master'!$B:$B, 0)), "")</f>
        <v>ULIF 145 03/06/21 SustainEqu 105</v>
      </c>
      <c r="E2231" s="8" t="s">
        <v>371</v>
      </c>
      <c r="F2231" s="8" t="s">
        <v>2555</v>
      </c>
    </row>
    <row r="2232" spans="1:6" ht="60" x14ac:dyDescent="0.25">
      <c r="A2232" s="8" t="s">
        <v>125</v>
      </c>
      <c r="B2232" s="8" t="s">
        <v>58</v>
      </c>
      <c r="C2232" s="8" t="str">
        <f>IFERROR(_xlfn.XLOOKUP(TRIM(B2232),Lookup!$B$2:$B$1000,Lookup!$C$2:$C$1000),"")</f>
        <v>Equity</v>
      </c>
      <c r="D2232" s="8" t="str">
        <f>IFERROR(INDEX('nav master'!$C:$C, MATCH(B2232, 'nav master'!$B:$B, 0)), "")</f>
        <v>ULIF 145 03/06/21 SustainEqu 105</v>
      </c>
      <c r="E2232" s="8" t="s">
        <v>373</v>
      </c>
      <c r="F2232" s="8" t="s">
        <v>2556</v>
      </c>
    </row>
    <row r="2233" spans="1:6" ht="60" x14ac:dyDescent="0.25">
      <c r="A2233" s="8" t="s">
        <v>125</v>
      </c>
      <c r="B2233" s="8" t="s">
        <v>58</v>
      </c>
      <c r="C2233" s="8" t="str">
        <f>IFERROR(_xlfn.XLOOKUP(TRIM(B2233),Lookup!$B$2:$B$1000,Lookup!$C$2:$C$1000),"")</f>
        <v>Equity</v>
      </c>
      <c r="D2233" s="8" t="str">
        <f>IFERROR(INDEX('nav master'!$C:$C, MATCH(B2233, 'nav master'!$B:$B, 0)), "")</f>
        <v>ULIF 145 03/06/21 SustainEqu 105</v>
      </c>
      <c r="E2233" s="8" t="s">
        <v>375</v>
      </c>
      <c r="F2233" s="8" t="s">
        <v>2557</v>
      </c>
    </row>
    <row r="2234" spans="1:6" ht="60" x14ac:dyDescent="0.25">
      <c r="A2234" s="8" t="s">
        <v>125</v>
      </c>
      <c r="B2234" s="8" t="s">
        <v>58</v>
      </c>
      <c r="C2234" s="8" t="str">
        <f>IFERROR(_xlfn.XLOOKUP(TRIM(B2234),Lookup!$B$2:$B$1000,Lookup!$C$2:$C$1000),"")</f>
        <v>Equity</v>
      </c>
      <c r="D2234" s="8" t="str">
        <f>IFERROR(INDEX('nav master'!$C:$C, MATCH(B2234, 'nav master'!$B:$B, 0)), "")</f>
        <v>ULIF 145 03/06/21 SustainEqu 105</v>
      </c>
      <c r="E2234" s="8" t="s">
        <v>377</v>
      </c>
      <c r="F2234" s="8" t="s">
        <v>2558</v>
      </c>
    </row>
    <row r="2235" spans="1:6" ht="60" x14ac:dyDescent="0.25">
      <c r="A2235" s="8" t="s">
        <v>125</v>
      </c>
      <c r="B2235" s="8" t="s">
        <v>58</v>
      </c>
      <c r="C2235" s="8" t="str">
        <f>IFERROR(_xlfn.XLOOKUP(TRIM(B2235),Lookup!$B$2:$B$1000,Lookup!$C$2:$C$1000),"")</f>
        <v>Equity</v>
      </c>
      <c r="D2235" s="8" t="str">
        <f>IFERROR(INDEX('nav master'!$C:$C, MATCH(B2235, 'nav master'!$B:$B, 0)), "")</f>
        <v>ULIF 145 03/06/21 SustainEqu 105</v>
      </c>
      <c r="E2235" s="8" t="s">
        <v>379</v>
      </c>
      <c r="F2235" s="8" t="s">
        <v>2559</v>
      </c>
    </row>
    <row r="2236" spans="1:6" ht="60" x14ac:dyDescent="0.25">
      <c r="A2236" s="8" t="s">
        <v>125</v>
      </c>
      <c r="B2236" s="8" t="s">
        <v>58</v>
      </c>
      <c r="C2236" s="8" t="str">
        <f>IFERROR(_xlfn.XLOOKUP(TRIM(B2236),Lookup!$B$2:$B$1000,Lookup!$C$2:$C$1000),"")</f>
        <v>Equity</v>
      </c>
      <c r="D2236" s="8" t="str">
        <f>IFERROR(INDEX('nav master'!$C:$C, MATCH(B2236, 'nav master'!$B:$B, 0)), "")</f>
        <v>ULIF 145 03/06/21 SustainEqu 105</v>
      </c>
      <c r="E2236" s="8" t="s">
        <v>381</v>
      </c>
      <c r="F2236" s="8" t="s">
        <v>2560</v>
      </c>
    </row>
    <row r="2237" spans="1:6" ht="60" x14ac:dyDescent="0.25">
      <c r="A2237" s="8" t="s">
        <v>125</v>
      </c>
      <c r="B2237" s="8" t="s">
        <v>58</v>
      </c>
      <c r="C2237" s="8" t="str">
        <f>IFERROR(_xlfn.XLOOKUP(TRIM(B2237),Lookup!$B$2:$B$1000,Lookup!$C$2:$C$1000),"")</f>
        <v>Equity</v>
      </c>
      <c r="D2237" s="8" t="str">
        <f>IFERROR(INDEX('nav master'!$C:$C, MATCH(B2237, 'nav master'!$B:$B, 0)), "")</f>
        <v>ULIF 145 03/06/21 SustainEqu 105</v>
      </c>
      <c r="E2237" s="8" t="s">
        <v>383</v>
      </c>
      <c r="F2237" s="8" t="s">
        <v>2561</v>
      </c>
    </row>
    <row r="2238" spans="1:6" ht="60" x14ac:dyDescent="0.25">
      <c r="A2238" s="8" t="s">
        <v>125</v>
      </c>
      <c r="B2238" s="8" t="s">
        <v>58</v>
      </c>
      <c r="C2238" s="8" t="str">
        <f>IFERROR(_xlfn.XLOOKUP(TRIM(B2238),Lookup!$B$2:$B$1000,Lookup!$C$2:$C$1000),"")</f>
        <v>Equity</v>
      </c>
      <c r="D2238" s="8" t="str">
        <f>IFERROR(INDEX('nav master'!$C:$C, MATCH(B2238, 'nav master'!$B:$B, 0)), "")</f>
        <v>ULIF 145 03/06/21 SustainEqu 105</v>
      </c>
      <c r="E2238" s="8" t="s">
        <v>385</v>
      </c>
      <c r="F2238" s="8" t="s">
        <v>2562</v>
      </c>
    </row>
    <row r="2239" spans="1:6" ht="60" x14ac:dyDescent="0.25">
      <c r="A2239" s="8" t="s">
        <v>125</v>
      </c>
      <c r="B2239" s="8" t="s">
        <v>58</v>
      </c>
      <c r="C2239" s="8" t="str">
        <f>IFERROR(_xlfn.XLOOKUP(TRIM(B2239),Lookup!$B$2:$B$1000,Lookup!$C$2:$C$1000),"")</f>
        <v>Equity</v>
      </c>
      <c r="D2239" s="8" t="str">
        <f>IFERROR(INDEX('nav master'!$C:$C, MATCH(B2239, 'nav master'!$B:$B, 0)), "")</f>
        <v>ULIF 145 03/06/21 SustainEqu 105</v>
      </c>
      <c r="E2239" s="8" t="s">
        <v>387</v>
      </c>
      <c r="F2239" s="8" t="s">
        <v>2563</v>
      </c>
    </row>
    <row r="2240" spans="1:6" ht="60" x14ac:dyDescent="0.25">
      <c r="A2240" s="8" t="s">
        <v>125</v>
      </c>
      <c r="B2240" s="8" t="s">
        <v>58</v>
      </c>
      <c r="C2240" s="8" t="str">
        <f>IFERROR(_xlfn.XLOOKUP(TRIM(B2240),Lookup!$B$2:$B$1000,Lookup!$C$2:$C$1000),"")</f>
        <v>Equity</v>
      </c>
      <c r="D2240" s="8" t="str">
        <f>IFERROR(INDEX('nav master'!$C:$C, MATCH(B2240, 'nav master'!$B:$B, 0)), "")</f>
        <v>ULIF 145 03/06/21 SustainEqu 105</v>
      </c>
      <c r="E2240" s="8" t="s">
        <v>389</v>
      </c>
      <c r="F2240" s="8" t="s">
        <v>2564</v>
      </c>
    </row>
    <row r="2241" spans="1:6" ht="60" x14ac:dyDescent="0.25">
      <c r="A2241" s="8" t="s">
        <v>125</v>
      </c>
      <c r="B2241" s="8" t="s">
        <v>58</v>
      </c>
      <c r="C2241" s="8" t="str">
        <f>IFERROR(_xlfn.XLOOKUP(TRIM(B2241),Lookup!$B$2:$B$1000,Lookup!$C$2:$C$1000),"")</f>
        <v>Equity</v>
      </c>
      <c r="D2241" s="8" t="str">
        <f>IFERROR(INDEX('nav master'!$C:$C, MATCH(B2241, 'nav master'!$B:$B, 0)), "")</f>
        <v>ULIF 145 03/06/21 SustainEqu 105</v>
      </c>
      <c r="E2241" s="8" t="s">
        <v>391</v>
      </c>
      <c r="F2241" s="8" t="s">
        <v>2565</v>
      </c>
    </row>
    <row r="2242" spans="1:6" ht="60" x14ac:dyDescent="0.25">
      <c r="A2242" s="8" t="s">
        <v>125</v>
      </c>
      <c r="B2242" s="8" t="s">
        <v>58</v>
      </c>
      <c r="C2242" s="8" t="str">
        <f>IFERROR(_xlfn.XLOOKUP(TRIM(B2242),Lookup!$B$2:$B$1000,Lookup!$C$2:$C$1000),"")</f>
        <v>Equity</v>
      </c>
      <c r="D2242" s="8" t="str">
        <f>IFERROR(INDEX('nav master'!$C:$C, MATCH(B2242, 'nav master'!$B:$B, 0)), "")</f>
        <v>ULIF 145 03/06/21 SustainEqu 105</v>
      </c>
      <c r="E2242" s="8" t="s">
        <v>393</v>
      </c>
      <c r="F2242" s="8" t="s">
        <v>2566</v>
      </c>
    </row>
    <row r="2243" spans="1:6" ht="60" x14ac:dyDescent="0.25">
      <c r="A2243" s="8" t="s">
        <v>125</v>
      </c>
      <c r="B2243" s="8" t="s">
        <v>58</v>
      </c>
      <c r="C2243" s="8" t="str">
        <f>IFERROR(_xlfn.XLOOKUP(TRIM(B2243),Lookup!$B$2:$B$1000,Lookup!$C$2:$C$1000),"")</f>
        <v>Equity</v>
      </c>
      <c r="D2243" s="8" t="str">
        <f>IFERROR(INDEX('nav master'!$C:$C, MATCH(B2243, 'nav master'!$B:$B, 0)), "")</f>
        <v>ULIF 145 03/06/21 SustainEqu 105</v>
      </c>
      <c r="E2243" s="8" t="s">
        <v>395</v>
      </c>
      <c r="F2243" s="8" t="s">
        <v>2567</v>
      </c>
    </row>
    <row r="2244" spans="1:6" ht="60" x14ac:dyDescent="0.25">
      <c r="A2244" s="8" t="s">
        <v>125</v>
      </c>
      <c r="B2244" s="8" t="s">
        <v>58</v>
      </c>
      <c r="C2244" s="8" t="str">
        <f>IFERROR(_xlfn.XLOOKUP(TRIM(B2244),Lookup!$B$2:$B$1000,Lookup!$C$2:$C$1000),"")</f>
        <v>Equity</v>
      </c>
      <c r="D2244" s="8" t="str">
        <f>IFERROR(INDEX('nav master'!$C:$C, MATCH(B2244, 'nav master'!$B:$B, 0)), "")</f>
        <v>ULIF 145 03/06/21 SustainEqu 105</v>
      </c>
      <c r="E2244" s="8" t="s">
        <v>397</v>
      </c>
      <c r="F2244" s="8" t="s">
        <v>2568</v>
      </c>
    </row>
    <row r="2245" spans="1:6" ht="60" x14ac:dyDescent="0.25">
      <c r="A2245" s="8" t="s">
        <v>125</v>
      </c>
      <c r="B2245" s="8" t="s">
        <v>58</v>
      </c>
      <c r="C2245" s="8" t="str">
        <f>IFERROR(_xlfn.XLOOKUP(TRIM(B2245),Lookup!$B$2:$B$1000,Lookup!$C$2:$C$1000),"")</f>
        <v>Equity</v>
      </c>
      <c r="D2245" s="8" t="str">
        <f>IFERROR(INDEX('nav master'!$C:$C, MATCH(B2245, 'nav master'!$B:$B, 0)), "")</f>
        <v>ULIF 145 03/06/21 SustainEqu 105</v>
      </c>
      <c r="E2245" s="8" t="s">
        <v>399</v>
      </c>
      <c r="F2245" s="8" t="s">
        <v>2569</v>
      </c>
    </row>
    <row r="2246" spans="1:6" ht="60" x14ac:dyDescent="0.25">
      <c r="A2246" s="8" t="s">
        <v>125</v>
      </c>
      <c r="B2246" s="8" t="s">
        <v>58</v>
      </c>
      <c r="C2246" s="8" t="str">
        <f>IFERROR(_xlfn.XLOOKUP(TRIM(B2246),Lookup!$B$2:$B$1000,Lookup!$C$2:$C$1000),"")</f>
        <v>Equity</v>
      </c>
      <c r="D2246" s="8" t="str">
        <f>IFERROR(INDEX('nav master'!$C:$C, MATCH(B2246, 'nav master'!$B:$B, 0)), "")</f>
        <v>ULIF 145 03/06/21 SustainEqu 105</v>
      </c>
      <c r="E2246" s="8" t="s">
        <v>401</v>
      </c>
      <c r="F2246" s="8" t="s">
        <v>2570</v>
      </c>
    </row>
    <row r="2247" spans="1:6" ht="60" x14ac:dyDescent="0.25">
      <c r="A2247" s="8" t="s">
        <v>125</v>
      </c>
      <c r="B2247" s="8" t="s">
        <v>58</v>
      </c>
      <c r="C2247" s="8" t="str">
        <f>IFERROR(_xlfn.XLOOKUP(TRIM(B2247),Lookup!$B$2:$B$1000,Lookup!$C$2:$C$1000),"")</f>
        <v>Equity</v>
      </c>
      <c r="D2247" s="8" t="str">
        <f>IFERROR(INDEX('nav master'!$C:$C, MATCH(B2247, 'nav master'!$B:$B, 0)), "")</f>
        <v>ULIF 145 03/06/21 SustainEqu 105</v>
      </c>
      <c r="E2247" s="8" t="s">
        <v>403</v>
      </c>
      <c r="F2247" s="8" t="s">
        <v>2571</v>
      </c>
    </row>
    <row r="2248" spans="1:6" ht="60" x14ac:dyDescent="0.25">
      <c r="A2248" s="8" t="s">
        <v>125</v>
      </c>
      <c r="B2248" s="8" t="s">
        <v>58</v>
      </c>
      <c r="C2248" s="8" t="str">
        <f>IFERROR(_xlfn.XLOOKUP(TRIM(B2248),Lookup!$B$2:$B$1000,Lookup!$C$2:$C$1000),"")</f>
        <v>Equity</v>
      </c>
      <c r="D2248" s="8" t="str">
        <f>IFERROR(INDEX('nav master'!$C:$C, MATCH(B2248, 'nav master'!$B:$B, 0)), "")</f>
        <v>ULIF 145 03/06/21 SustainEqu 105</v>
      </c>
      <c r="E2248" s="8" t="s">
        <v>405</v>
      </c>
      <c r="F2248" s="8" t="s">
        <v>2572</v>
      </c>
    </row>
    <row r="2249" spans="1:6" ht="60" x14ac:dyDescent="0.25">
      <c r="A2249" s="8" t="s">
        <v>125</v>
      </c>
      <c r="B2249" s="8" t="s">
        <v>58</v>
      </c>
      <c r="C2249" s="8" t="str">
        <f>IFERROR(_xlfn.XLOOKUP(TRIM(B2249),Lookup!$B$2:$B$1000,Lookup!$C$2:$C$1000),"")</f>
        <v>Equity</v>
      </c>
      <c r="D2249" s="8" t="str">
        <f>IFERROR(INDEX('nav master'!$C:$C, MATCH(B2249, 'nav master'!$B:$B, 0)), "")</f>
        <v>ULIF 145 03/06/21 SustainEqu 105</v>
      </c>
      <c r="E2249" s="8" t="s">
        <v>407</v>
      </c>
      <c r="F2249" s="8" t="s">
        <v>2573</v>
      </c>
    </row>
    <row r="2250" spans="1:6" ht="60" x14ac:dyDescent="0.25">
      <c r="A2250" s="8" t="s">
        <v>125</v>
      </c>
      <c r="B2250" s="8" t="s">
        <v>58</v>
      </c>
      <c r="C2250" s="8" t="str">
        <f>IFERROR(_xlfn.XLOOKUP(TRIM(B2250),Lookup!$B$2:$B$1000,Lookup!$C$2:$C$1000),"")</f>
        <v>Equity</v>
      </c>
      <c r="D2250" s="8" t="str">
        <f>IFERROR(INDEX('nav master'!$C:$C, MATCH(B2250, 'nav master'!$B:$B, 0)), "")</f>
        <v>ULIF 145 03/06/21 SustainEqu 105</v>
      </c>
      <c r="E2250" s="8" t="s">
        <v>409</v>
      </c>
      <c r="F2250" s="8" t="s">
        <v>2574</v>
      </c>
    </row>
    <row r="2251" spans="1:6" ht="60" x14ac:dyDescent="0.25">
      <c r="A2251" s="8" t="s">
        <v>125</v>
      </c>
      <c r="B2251" s="8" t="s">
        <v>58</v>
      </c>
      <c r="C2251" s="8" t="str">
        <f>IFERROR(_xlfn.XLOOKUP(TRIM(B2251),Lookup!$B$2:$B$1000,Lookup!$C$2:$C$1000),"")</f>
        <v>Equity</v>
      </c>
      <c r="D2251" s="8" t="str">
        <f>IFERROR(INDEX('nav master'!$C:$C, MATCH(B2251, 'nav master'!$B:$B, 0)), "")</f>
        <v>ULIF 145 03/06/21 SustainEqu 105</v>
      </c>
      <c r="E2251" s="8" t="s">
        <v>411</v>
      </c>
      <c r="F2251" s="8" t="s">
        <v>2575</v>
      </c>
    </row>
    <row r="2252" spans="1:6" ht="60" x14ac:dyDescent="0.25">
      <c r="A2252" s="8" t="s">
        <v>125</v>
      </c>
      <c r="B2252" s="8" t="s">
        <v>58</v>
      </c>
      <c r="C2252" s="8" t="str">
        <f>IFERROR(_xlfn.XLOOKUP(TRIM(B2252),Lookup!$B$2:$B$1000,Lookup!$C$2:$C$1000),"")</f>
        <v>Equity</v>
      </c>
      <c r="D2252" s="8" t="str">
        <f>IFERROR(INDEX('nav master'!$C:$C, MATCH(B2252, 'nav master'!$B:$B, 0)), "")</f>
        <v>ULIF 145 03/06/21 SustainEqu 105</v>
      </c>
      <c r="E2252" s="8" t="s">
        <v>413</v>
      </c>
      <c r="F2252" s="8" t="s">
        <v>2576</v>
      </c>
    </row>
    <row r="2253" spans="1:6" ht="60" x14ac:dyDescent="0.25">
      <c r="A2253" s="8" t="s">
        <v>125</v>
      </c>
      <c r="B2253" s="8" t="s">
        <v>58</v>
      </c>
      <c r="C2253" s="8" t="str">
        <f>IFERROR(_xlfn.XLOOKUP(TRIM(B2253),Lookup!$B$2:$B$1000,Lookup!$C$2:$C$1000),"")</f>
        <v>Equity</v>
      </c>
      <c r="D2253" s="8" t="str">
        <f>IFERROR(INDEX('nav master'!$C:$C, MATCH(B2253, 'nav master'!$B:$B, 0)), "")</f>
        <v>ULIF 145 03/06/21 SustainEqu 105</v>
      </c>
      <c r="E2253" s="8" t="s">
        <v>415</v>
      </c>
      <c r="F2253" s="8" t="s">
        <v>2577</v>
      </c>
    </row>
    <row r="2254" spans="1:6" ht="60" x14ac:dyDescent="0.25">
      <c r="A2254" s="8" t="s">
        <v>125</v>
      </c>
      <c r="B2254" s="8" t="s">
        <v>58</v>
      </c>
      <c r="C2254" s="8" t="str">
        <f>IFERROR(_xlfn.XLOOKUP(TRIM(B2254),Lookup!$B$2:$B$1000,Lookup!$C$2:$C$1000),"")</f>
        <v>Equity</v>
      </c>
      <c r="D2254" s="8" t="str">
        <f>IFERROR(INDEX('nav master'!$C:$C, MATCH(B2254, 'nav master'!$B:$B, 0)), "")</f>
        <v>ULIF 145 03/06/21 SustainEqu 105</v>
      </c>
      <c r="E2254" s="8" t="s">
        <v>417</v>
      </c>
      <c r="F2254" s="8" t="s">
        <v>2578</v>
      </c>
    </row>
    <row r="2255" spans="1:6" ht="60" x14ac:dyDescent="0.25">
      <c r="A2255" s="8" t="s">
        <v>125</v>
      </c>
      <c r="B2255" s="8" t="s">
        <v>58</v>
      </c>
      <c r="C2255" s="8" t="str">
        <f>IFERROR(_xlfn.XLOOKUP(TRIM(B2255),Lookup!$B$2:$B$1000,Lookup!$C$2:$C$1000),"")</f>
        <v>Equity</v>
      </c>
      <c r="D2255" s="8" t="str">
        <f>IFERROR(INDEX('nav master'!$C:$C, MATCH(B2255, 'nav master'!$B:$B, 0)), "")</f>
        <v>ULIF 145 03/06/21 SustainEqu 105</v>
      </c>
      <c r="E2255" s="8" t="s">
        <v>419</v>
      </c>
      <c r="F2255" s="8" t="s">
        <v>2579</v>
      </c>
    </row>
    <row r="2256" spans="1:6" ht="60" x14ac:dyDescent="0.25">
      <c r="A2256" s="8" t="s">
        <v>125</v>
      </c>
      <c r="B2256" s="8" t="s">
        <v>58</v>
      </c>
      <c r="C2256" s="8" t="str">
        <f>IFERROR(_xlfn.XLOOKUP(TRIM(B2256),Lookup!$B$2:$B$1000,Lookup!$C$2:$C$1000),"")</f>
        <v>Equity</v>
      </c>
      <c r="D2256" s="8" t="str">
        <f>IFERROR(INDEX('nav master'!$C:$C, MATCH(B2256, 'nav master'!$B:$B, 0)), "")</f>
        <v>ULIF 145 03/06/21 SustainEqu 105</v>
      </c>
      <c r="E2256" s="8" t="s">
        <v>421</v>
      </c>
      <c r="F2256" s="8" t="s">
        <v>2580</v>
      </c>
    </row>
    <row r="2257" spans="1:6" ht="60" x14ac:dyDescent="0.25">
      <c r="A2257" s="8" t="s">
        <v>125</v>
      </c>
      <c r="B2257" s="8" t="s">
        <v>58</v>
      </c>
      <c r="C2257" s="8" t="str">
        <f>IFERROR(_xlfn.XLOOKUP(TRIM(B2257),Lookup!$B$2:$B$1000,Lookup!$C$2:$C$1000),"")</f>
        <v>Equity</v>
      </c>
      <c r="D2257" s="8" t="str">
        <f>IFERROR(INDEX('nav master'!$C:$C, MATCH(B2257, 'nav master'!$B:$B, 0)), "")</f>
        <v>ULIF 145 03/06/21 SustainEqu 105</v>
      </c>
      <c r="E2257" s="8" t="s">
        <v>423</v>
      </c>
      <c r="F2257" s="8" t="s">
        <v>2581</v>
      </c>
    </row>
    <row r="2258" spans="1:6" ht="60" x14ac:dyDescent="0.25">
      <c r="A2258" s="8" t="s">
        <v>125</v>
      </c>
      <c r="B2258" s="8" t="s">
        <v>58</v>
      </c>
      <c r="C2258" s="8" t="str">
        <f>IFERROR(_xlfn.XLOOKUP(TRIM(B2258),Lookup!$B$2:$B$1000,Lookup!$C$2:$C$1000),"")</f>
        <v>Equity</v>
      </c>
      <c r="D2258" s="8" t="str">
        <f>IFERROR(INDEX('nav master'!$C:$C, MATCH(B2258, 'nav master'!$B:$B, 0)), "")</f>
        <v>ULIF 145 03/06/21 SustainEqu 105</v>
      </c>
      <c r="E2258" s="8" t="s">
        <v>425</v>
      </c>
      <c r="F2258" s="8" t="s">
        <v>2582</v>
      </c>
    </row>
    <row r="2259" spans="1:6" ht="60" x14ac:dyDescent="0.25">
      <c r="A2259" s="8" t="s">
        <v>125</v>
      </c>
      <c r="B2259" s="8" t="s">
        <v>58</v>
      </c>
      <c r="C2259" s="8" t="str">
        <f>IFERROR(_xlfn.XLOOKUP(TRIM(B2259),Lookup!$B$2:$B$1000,Lookup!$C$2:$C$1000),"")</f>
        <v>Equity</v>
      </c>
      <c r="D2259" s="8" t="str">
        <f>IFERROR(INDEX('nav master'!$C:$C, MATCH(B2259, 'nav master'!$B:$B, 0)), "")</f>
        <v>ULIF 145 03/06/21 SustainEqu 105</v>
      </c>
      <c r="E2259" s="8" t="s">
        <v>427</v>
      </c>
      <c r="F2259" s="8" t="s">
        <v>2583</v>
      </c>
    </row>
    <row r="2260" spans="1:6" ht="60" x14ac:dyDescent="0.25">
      <c r="A2260" s="8" t="s">
        <v>125</v>
      </c>
      <c r="B2260" s="8" t="s">
        <v>58</v>
      </c>
      <c r="C2260" s="8" t="str">
        <f>IFERROR(_xlfn.XLOOKUP(TRIM(B2260),Lookup!$B$2:$B$1000,Lookup!$C$2:$C$1000),"")</f>
        <v>Equity</v>
      </c>
      <c r="D2260" s="8" t="str">
        <f>IFERROR(INDEX('nav master'!$C:$C, MATCH(B2260, 'nav master'!$B:$B, 0)), "")</f>
        <v>ULIF 145 03/06/21 SustainEqu 105</v>
      </c>
      <c r="E2260" s="8" t="s">
        <v>429</v>
      </c>
      <c r="F2260" s="8" t="s">
        <v>2584</v>
      </c>
    </row>
    <row r="2261" spans="1:6" ht="60" x14ac:dyDescent="0.25">
      <c r="A2261" s="8" t="s">
        <v>125</v>
      </c>
      <c r="B2261" s="8" t="s">
        <v>58</v>
      </c>
      <c r="C2261" s="8" t="str">
        <f>IFERROR(_xlfn.XLOOKUP(TRIM(B2261),Lookup!$B$2:$B$1000,Lookup!$C$2:$C$1000),"")</f>
        <v>Equity</v>
      </c>
      <c r="D2261" s="8" t="str">
        <f>IFERROR(INDEX('nav master'!$C:$C, MATCH(B2261, 'nav master'!$B:$B, 0)), "")</f>
        <v>ULIF 145 03/06/21 SustainEqu 105</v>
      </c>
      <c r="E2261" s="8" t="s">
        <v>431</v>
      </c>
      <c r="F2261" s="8" t="s">
        <v>2585</v>
      </c>
    </row>
    <row r="2262" spans="1:6" ht="60" x14ac:dyDescent="0.25">
      <c r="A2262" s="8" t="s">
        <v>125</v>
      </c>
      <c r="B2262" s="8" t="s">
        <v>58</v>
      </c>
      <c r="C2262" s="8" t="str">
        <f>IFERROR(_xlfn.XLOOKUP(TRIM(B2262),Lookup!$B$2:$B$1000,Lookup!$C$2:$C$1000),"")</f>
        <v>Equity</v>
      </c>
      <c r="D2262" s="8" t="str">
        <f>IFERROR(INDEX('nav master'!$C:$C, MATCH(B2262, 'nav master'!$B:$B, 0)), "")</f>
        <v>ULIF 145 03/06/21 SustainEqu 105</v>
      </c>
      <c r="E2262" s="8" t="s">
        <v>433</v>
      </c>
      <c r="F2262" s="8" t="s">
        <v>2586</v>
      </c>
    </row>
    <row r="2263" spans="1:6" ht="60" x14ac:dyDescent="0.25">
      <c r="A2263" s="8" t="s">
        <v>125</v>
      </c>
      <c r="B2263" s="8" t="s">
        <v>58</v>
      </c>
      <c r="C2263" s="8" t="str">
        <f>IFERROR(_xlfn.XLOOKUP(TRIM(B2263),Lookup!$B$2:$B$1000,Lookup!$C$2:$C$1000),"")</f>
        <v>Equity</v>
      </c>
      <c r="D2263" s="8" t="str">
        <f>IFERROR(INDEX('nav master'!$C:$C, MATCH(B2263, 'nav master'!$B:$B, 0)), "")</f>
        <v>ULIF 145 03/06/21 SustainEqu 105</v>
      </c>
      <c r="E2263" s="8" t="s">
        <v>435</v>
      </c>
      <c r="F2263" s="8" t="s">
        <v>2587</v>
      </c>
    </row>
    <row r="2264" spans="1:6" ht="60" x14ac:dyDescent="0.25">
      <c r="A2264" s="8" t="s">
        <v>125</v>
      </c>
      <c r="B2264" s="8" t="s">
        <v>58</v>
      </c>
      <c r="C2264" s="8" t="str">
        <f>IFERROR(_xlfn.XLOOKUP(TRIM(B2264),Lookup!$B$2:$B$1000,Lookup!$C$2:$C$1000),"")</f>
        <v>Equity</v>
      </c>
      <c r="D2264" s="8" t="str">
        <f>IFERROR(INDEX('nav master'!$C:$C, MATCH(B2264, 'nav master'!$B:$B, 0)), "")</f>
        <v>ULIF 145 03/06/21 SustainEqu 105</v>
      </c>
      <c r="E2264" s="8" t="s">
        <v>437</v>
      </c>
      <c r="F2264" s="8" t="s">
        <v>2588</v>
      </c>
    </row>
    <row r="2265" spans="1:6" ht="60" x14ac:dyDescent="0.25">
      <c r="A2265" s="8" t="s">
        <v>125</v>
      </c>
      <c r="B2265" s="8" t="s">
        <v>58</v>
      </c>
      <c r="C2265" s="8" t="str">
        <f>IFERROR(_xlfn.XLOOKUP(TRIM(B2265),Lookup!$B$2:$B$1000,Lookup!$C$2:$C$1000),"")</f>
        <v>Equity</v>
      </c>
      <c r="D2265" s="8" t="str">
        <f>IFERROR(INDEX('nav master'!$C:$C, MATCH(B2265, 'nav master'!$B:$B, 0)), "")</f>
        <v>ULIF 145 03/06/21 SustainEqu 105</v>
      </c>
      <c r="E2265" s="8" t="s">
        <v>439</v>
      </c>
      <c r="F2265" s="8" t="s">
        <v>2589</v>
      </c>
    </row>
    <row r="2266" spans="1:6" ht="60" x14ac:dyDescent="0.25">
      <c r="A2266" s="8" t="s">
        <v>125</v>
      </c>
      <c r="B2266" s="8" t="s">
        <v>58</v>
      </c>
      <c r="C2266" s="8" t="str">
        <f>IFERROR(_xlfn.XLOOKUP(TRIM(B2266),Lookup!$B$2:$B$1000,Lookup!$C$2:$C$1000),"")</f>
        <v>Equity</v>
      </c>
      <c r="D2266" s="8" t="str">
        <f>IFERROR(INDEX('nav master'!$C:$C, MATCH(B2266, 'nav master'!$B:$B, 0)), "")</f>
        <v>ULIF 145 03/06/21 SustainEqu 105</v>
      </c>
      <c r="E2266" s="8" t="s">
        <v>441</v>
      </c>
      <c r="F2266" s="8" t="s">
        <v>2590</v>
      </c>
    </row>
    <row r="2267" spans="1:6" ht="60" x14ac:dyDescent="0.25">
      <c r="A2267" s="8" t="s">
        <v>125</v>
      </c>
      <c r="B2267" s="8" t="s">
        <v>58</v>
      </c>
      <c r="C2267" s="8" t="str">
        <f>IFERROR(_xlfn.XLOOKUP(TRIM(B2267),Lookup!$B$2:$B$1000,Lookup!$C$2:$C$1000),"")</f>
        <v>Equity</v>
      </c>
      <c r="D2267" s="8" t="str">
        <f>IFERROR(INDEX('nav master'!$C:$C, MATCH(B2267, 'nav master'!$B:$B, 0)), "")</f>
        <v>ULIF 145 03/06/21 SustainEqu 105</v>
      </c>
      <c r="E2267" s="8" t="s">
        <v>443</v>
      </c>
      <c r="F2267" s="8" t="s">
        <v>2591</v>
      </c>
    </row>
    <row r="2268" spans="1:6" ht="60" x14ac:dyDescent="0.25">
      <c r="A2268" s="8" t="s">
        <v>125</v>
      </c>
      <c r="B2268" s="8" t="s">
        <v>58</v>
      </c>
      <c r="C2268" s="8" t="str">
        <f>IFERROR(_xlfn.XLOOKUP(TRIM(B2268),Lookup!$B$2:$B$1000,Lookup!$C$2:$C$1000),"")</f>
        <v>Equity</v>
      </c>
      <c r="D2268" s="8" t="str">
        <f>IFERROR(INDEX('nav master'!$C:$C, MATCH(B2268, 'nav master'!$B:$B, 0)), "")</f>
        <v>ULIF 145 03/06/21 SustainEqu 105</v>
      </c>
      <c r="E2268" s="8" t="s">
        <v>445</v>
      </c>
      <c r="F2268" s="8" t="s">
        <v>2592</v>
      </c>
    </row>
    <row r="2269" spans="1:6" ht="60" x14ac:dyDescent="0.25">
      <c r="A2269" s="8" t="s">
        <v>125</v>
      </c>
      <c r="B2269" s="8" t="s">
        <v>58</v>
      </c>
      <c r="C2269" s="8" t="str">
        <f>IFERROR(_xlfn.XLOOKUP(TRIM(B2269),Lookup!$B$2:$B$1000,Lookup!$C$2:$C$1000),"")</f>
        <v>Equity</v>
      </c>
      <c r="D2269" s="8" t="str">
        <f>IFERROR(INDEX('nav master'!$C:$C, MATCH(B2269, 'nav master'!$B:$B, 0)), "")</f>
        <v>ULIF 145 03/06/21 SustainEqu 105</v>
      </c>
      <c r="E2269" s="8" t="s">
        <v>446</v>
      </c>
      <c r="F2269" s="8" t="s">
        <v>2593</v>
      </c>
    </row>
    <row r="2270" spans="1:6" ht="60" x14ac:dyDescent="0.25">
      <c r="A2270" s="8" t="s">
        <v>125</v>
      </c>
      <c r="B2270" s="8" t="s">
        <v>58</v>
      </c>
      <c r="C2270" s="8" t="str">
        <f>IFERROR(_xlfn.XLOOKUP(TRIM(B2270),Lookup!$B$2:$B$1000,Lookup!$C$2:$C$1000),"")</f>
        <v>Equity</v>
      </c>
      <c r="D2270" s="8" t="str">
        <f>IFERROR(INDEX('nav master'!$C:$C, MATCH(B2270, 'nav master'!$B:$B, 0)), "")</f>
        <v>ULIF 145 03/06/21 SustainEqu 105</v>
      </c>
      <c r="E2270" s="8" t="s">
        <v>448</v>
      </c>
      <c r="F2270" s="8" t="s">
        <v>2594</v>
      </c>
    </row>
    <row r="2271" spans="1:6" ht="60" x14ac:dyDescent="0.25">
      <c r="A2271" s="8" t="s">
        <v>125</v>
      </c>
      <c r="B2271" s="8" t="s">
        <v>58</v>
      </c>
      <c r="C2271" s="8" t="str">
        <f>IFERROR(_xlfn.XLOOKUP(TRIM(B2271),Lookup!$B$2:$B$1000,Lookup!$C$2:$C$1000),"")</f>
        <v>Equity</v>
      </c>
      <c r="D2271" s="8" t="str">
        <f>IFERROR(INDEX('nav master'!$C:$C, MATCH(B2271, 'nav master'!$B:$B, 0)), "")</f>
        <v>ULIF 145 03/06/21 SustainEqu 105</v>
      </c>
      <c r="E2271" s="8" t="s">
        <v>450</v>
      </c>
      <c r="F2271" s="8" t="s">
        <v>2548</v>
      </c>
    </row>
    <row r="2272" spans="1:6" ht="60" x14ac:dyDescent="0.25">
      <c r="A2272" s="8" t="s">
        <v>125</v>
      </c>
      <c r="B2272" s="8" t="s">
        <v>58</v>
      </c>
      <c r="C2272" s="8" t="str">
        <f>IFERROR(_xlfn.XLOOKUP(TRIM(B2272),Lookup!$B$2:$B$1000,Lookup!$C$2:$C$1000),"")</f>
        <v>Equity</v>
      </c>
      <c r="D2272" s="8" t="str">
        <f>IFERROR(INDEX('nav master'!$C:$C, MATCH(B2272, 'nav master'!$B:$B, 0)), "")</f>
        <v>ULIF 145 03/06/21 SustainEqu 105</v>
      </c>
      <c r="E2272" s="8" t="s">
        <v>452</v>
      </c>
      <c r="F2272" s="8" t="s">
        <v>2595</v>
      </c>
    </row>
    <row r="2273" spans="1:6" ht="60" x14ac:dyDescent="0.25">
      <c r="A2273" s="8" t="s">
        <v>125</v>
      </c>
      <c r="B2273" s="8" t="s">
        <v>58</v>
      </c>
      <c r="C2273" s="8" t="str">
        <f>IFERROR(_xlfn.XLOOKUP(TRIM(B2273),Lookup!$B$2:$B$1000,Lookup!$C$2:$C$1000),"")</f>
        <v>Equity</v>
      </c>
      <c r="D2273" s="8" t="str">
        <f>IFERROR(INDEX('nav master'!$C:$C, MATCH(B2273, 'nav master'!$B:$B, 0)), "")</f>
        <v>ULIF 145 03/06/21 SustainEqu 105</v>
      </c>
      <c r="E2273" s="8" t="s">
        <v>454</v>
      </c>
      <c r="F2273" s="8" t="s">
        <v>2596</v>
      </c>
    </row>
    <row r="2274" spans="1:6" ht="60" x14ac:dyDescent="0.25">
      <c r="A2274" s="8" t="s">
        <v>125</v>
      </c>
      <c r="B2274" s="8" t="s">
        <v>58</v>
      </c>
      <c r="C2274" s="8" t="str">
        <f>IFERROR(_xlfn.XLOOKUP(TRIM(B2274),Lookup!$B$2:$B$1000,Lookup!$C$2:$C$1000),"")</f>
        <v>Equity</v>
      </c>
      <c r="D2274" s="8" t="str">
        <f>IFERROR(INDEX('nav master'!$C:$C, MATCH(B2274, 'nav master'!$B:$B, 0)), "")</f>
        <v>ULIF 145 03/06/21 SustainEqu 105</v>
      </c>
      <c r="E2274" s="8" t="s">
        <v>456</v>
      </c>
      <c r="F2274" s="8" t="s">
        <v>2597</v>
      </c>
    </row>
    <row r="2275" spans="1:6" ht="60" x14ac:dyDescent="0.25">
      <c r="A2275" s="8" t="s">
        <v>125</v>
      </c>
      <c r="B2275" s="8" t="s">
        <v>58</v>
      </c>
      <c r="C2275" s="8" t="str">
        <f>IFERROR(_xlfn.XLOOKUP(TRIM(B2275),Lookup!$B$2:$B$1000,Lookup!$C$2:$C$1000),"")</f>
        <v>Equity</v>
      </c>
      <c r="D2275" s="8" t="str">
        <f>IFERROR(INDEX('nav master'!$C:$C, MATCH(B2275, 'nav master'!$B:$B, 0)), "")</f>
        <v>ULIF 145 03/06/21 SustainEqu 105</v>
      </c>
      <c r="E2275" s="8" t="s">
        <v>458</v>
      </c>
      <c r="F2275" s="8" t="s">
        <v>2598</v>
      </c>
    </row>
    <row r="2276" spans="1:6" ht="60" x14ac:dyDescent="0.25">
      <c r="A2276" s="8" t="s">
        <v>125</v>
      </c>
      <c r="B2276" s="8" t="s">
        <v>58</v>
      </c>
      <c r="C2276" s="8" t="str">
        <f>IFERROR(_xlfn.XLOOKUP(TRIM(B2276),Lookup!$B$2:$B$1000,Lookup!$C$2:$C$1000),"")</f>
        <v>Equity</v>
      </c>
      <c r="D2276" s="8" t="str">
        <f>IFERROR(INDEX('nav master'!$C:$C, MATCH(B2276, 'nav master'!$B:$B, 0)), "")</f>
        <v>ULIF 145 03/06/21 SustainEqu 105</v>
      </c>
      <c r="E2276" s="8" t="s">
        <v>460</v>
      </c>
      <c r="F2276" s="8" t="s">
        <v>2556</v>
      </c>
    </row>
    <row r="2277" spans="1:6" ht="60" x14ac:dyDescent="0.25">
      <c r="A2277" s="8" t="s">
        <v>125</v>
      </c>
      <c r="B2277" s="8" t="s">
        <v>58</v>
      </c>
      <c r="C2277" s="8" t="str">
        <f>IFERROR(_xlfn.XLOOKUP(TRIM(B2277),Lookup!$B$2:$B$1000,Lookup!$C$2:$C$1000),"")</f>
        <v>Equity</v>
      </c>
      <c r="D2277" s="8" t="str">
        <f>IFERROR(INDEX('nav master'!$C:$C, MATCH(B2277, 'nav master'!$B:$B, 0)), "")</f>
        <v>ULIF 145 03/06/21 SustainEqu 105</v>
      </c>
      <c r="E2277" s="8" t="s">
        <v>462</v>
      </c>
      <c r="F2277" s="8" t="s">
        <v>2599</v>
      </c>
    </row>
    <row r="2278" spans="1:6" ht="60" x14ac:dyDescent="0.25">
      <c r="A2278" s="8" t="s">
        <v>125</v>
      </c>
      <c r="B2278" s="8" t="s">
        <v>58</v>
      </c>
      <c r="C2278" s="8" t="str">
        <f>IFERROR(_xlfn.XLOOKUP(TRIM(B2278),Lookup!$B$2:$B$1000,Lookup!$C$2:$C$1000),"")</f>
        <v>Equity</v>
      </c>
      <c r="D2278" s="8" t="str">
        <f>IFERROR(INDEX('nav master'!$C:$C, MATCH(B2278, 'nav master'!$B:$B, 0)), "")</f>
        <v>ULIF 145 03/06/21 SustainEqu 105</v>
      </c>
      <c r="E2278" s="8" t="s">
        <v>464</v>
      </c>
      <c r="F2278" s="8" t="s">
        <v>2600</v>
      </c>
    </row>
    <row r="2279" spans="1:6" ht="60" x14ac:dyDescent="0.25">
      <c r="A2279" s="8" t="s">
        <v>125</v>
      </c>
      <c r="B2279" s="8" t="s">
        <v>58</v>
      </c>
      <c r="C2279" s="8" t="str">
        <f>IFERROR(_xlfn.XLOOKUP(TRIM(B2279),Lookup!$B$2:$B$1000,Lookup!$C$2:$C$1000),"")</f>
        <v>Equity</v>
      </c>
      <c r="D2279" s="8" t="str">
        <f>IFERROR(INDEX('nav master'!$C:$C, MATCH(B2279, 'nav master'!$B:$B, 0)), "")</f>
        <v>ULIF 145 03/06/21 SustainEqu 105</v>
      </c>
      <c r="E2279" s="8" t="s">
        <v>466</v>
      </c>
      <c r="F2279" s="8" t="s">
        <v>2601</v>
      </c>
    </row>
    <row r="2280" spans="1:6" ht="60" x14ac:dyDescent="0.25">
      <c r="A2280" s="8" t="s">
        <v>125</v>
      </c>
      <c r="B2280" s="8" t="s">
        <v>58</v>
      </c>
      <c r="C2280" s="8" t="str">
        <f>IFERROR(_xlfn.XLOOKUP(TRIM(B2280),Lookup!$B$2:$B$1000,Lookup!$C$2:$C$1000),"")</f>
        <v>Equity</v>
      </c>
      <c r="D2280" s="8" t="str">
        <f>IFERROR(INDEX('nav master'!$C:$C, MATCH(B2280, 'nav master'!$B:$B, 0)), "")</f>
        <v>ULIF 145 03/06/21 SustainEqu 105</v>
      </c>
      <c r="E2280" s="8" t="s">
        <v>468</v>
      </c>
      <c r="F2280" s="8" t="s">
        <v>2602</v>
      </c>
    </row>
    <row r="2281" spans="1:6" ht="60" x14ac:dyDescent="0.25">
      <c r="A2281" s="8" t="s">
        <v>125</v>
      </c>
      <c r="B2281" s="8" t="s">
        <v>58</v>
      </c>
      <c r="C2281" s="8" t="str">
        <f>IFERROR(_xlfn.XLOOKUP(TRIM(B2281),Lookup!$B$2:$B$1000,Lookup!$C$2:$C$1000),"")</f>
        <v>Equity</v>
      </c>
      <c r="D2281" s="8" t="str">
        <f>IFERROR(INDEX('nav master'!$C:$C, MATCH(B2281, 'nav master'!$B:$B, 0)), "")</f>
        <v>ULIF 145 03/06/21 SustainEqu 105</v>
      </c>
      <c r="E2281" s="8" t="s">
        <v>470</v>
      </c>
      <c r="F2281" s="8" t="s">
        <v>2603</v>
      </c>
    </row>
    <row r="2282" spans="1:6" ht="60" x14ac:dyDescent="0.25">
      <c r="A2282" s="8" t="s">
        <v>125</v>
      </c>
      <c r="B2282" s="8" t="s">
        <v>58</v>
      </c>
      <c r="C2282" s="8" t="str">
        <f>IFERROR(_xlfn.XLOOKUP(TRIM(B2282),Lookup!$B$2:$B$1000,Lookup!$C$2:$C$1000),"")</f>
        <v>Equity</v>
      </c>
      <c r="D2282" s="8" t="str">
        <f>IFERROR(INDEX('nav master'!$C:$C, MATCH(B2282, 'nav master'!$B:$B, 0)), "")</f>
        <v>ULIF 145 03/06/21 SustainEqu 105</v>
      </c>
      <c r="E2282" s="8" t="s">
        <v>472</v>
      </c>
      <c r="F2282" s="8" t="s">
        <v>2604</v>
      </c>
    </row>
    <row r="2283" spans="1:6" ht="60" x14ac:dyDescent="0.25">
      <c r="A2283" s="8" t="s">
        <v>125</v>
      </c>
      <c r="B2283" s="8" t="s">
        <v>58</v>
      </c>
      <c r="C2283" s="8" t="str">
        <f>IFERROR(_xlfn.XLOOKUP(TRIM(B2283),Lookup!$B$2:$B$1000,Lookup!$C$2:$C$1000),"")</f>
        <v>Equity</v>
      </c>
      <c r="D2283" s="8" t="str">
        <f>IFERROR(INDEX('nav master'!$C:$C, MATCH(B2283, 'nav master'!$B:$B, 0)), "")</f>
        <v>ULIF 145 03/06/21 SustainEqu 105</v>
      </c>
      <c r="E2283" s="8" t="s">
        <v>474</v>
      </c>
      <c r="F2283" s="8" t="s">
        <v>2494</v>
      </c>
    </row>
    <row r="2284" spans="1:6" ht="60" x14ac:dyDescent="0.25">
      <c r="A2284" s="8" t="s">
        <v>125</v>
      </c>
      <c r="B2284" s="8" t="s">
        <v>58</v>
      </c>
      <c r="C2284" s="8" t="str">
        <f>IFERROR(_xlfn.XLOOKUP(TRIM(B2284),Lookup!$B$2:$B$1000,Lookup!$C$2:$C$1000),"")</f>
        <v>Equity</v>
      </c>
      <c r="D2284" s="8" t="str">
        <f>IFERROR(INDEX('nav master'!$C:$C, MATCH(B2284, 'nav master'!$B:$B, 0)), "")</f>
        <v>ULIF 145 03/06/21 SustainEqu 105</v>
      </c>
      <c r="E2284" s="8" t="s">
        <v>476</v>
      </c>
      <c r="F2284" s="8" t="s">
        <v>2605</v>
      </c>
    </row>
    <row r="2285" spans="1:6" ht="60" x14ac:dyDescent="0.25">
      <c r="A2285" s="8" t="s">
        <v>125</v>
      </c>
      <c r="B2285" s="8" t="s">
        <v>58</v>
      </c>
      <c r="C2285" s="8" t="str">
        <f>IFERROR(_xlfn.XLOOKUP(TRIM(B2285),Lookup!$B$2:$B$1000,Lookup!$C$2:$C$1000),"")</f>
        <v>Equity</v>
      </c>
      <c r="D2285" s="8" t="str">
        <f>IFERROR(INDEX('nav master'!$C:$C, MATCH(B2285, 'nav master'!$B:$B, 0)), "")</f>
        <v>ULIF 145 03/06/21 SustainEqu 105</v>
      </c>
      <c r="E2285" s="8" t="s">
        <v>478</v>
      </c>
      <c r="F2285" s="8" t="s">
        <v>2606</v>
      </c>
    </row>
    <row r="2286" spans="1:6" ht="60" x14ac:dyDescent="0.25">
      <c r="A2286" s="8" t="s">
        <v>125</v>
      </c>
      <c r="B2286" s="8" t="s">
        <v>58</v>
      </c>
      <c r="C2286" s="8" t="str">
        <f>IFERROR(_xlfn.XLOOKUP(TRIM(B2286),Lookup!$B$2:$B$1000,Lookup!$C$2:$C$1000),"")</f>
        <v>Equity</v>
      </c>
      <c r="D2286" s="8" t="str">
        <f>IFERROR(INDEX('nav master'!$C:$C, MATCH(B2286, 'nav master'!$B:$B, 0)), "")</f>
        <v>ULIF 145 03/06/21 SustainEqu 105</v>
      </c>
      <c r="E2286" s="8" t="s">
        <v>480</v>
      </c>
      <c r="F2286" s="8" t="s">
        <v>2607</v>
      </c>
    </row>
    <row r="2287" spans="1:6" ht="60" x14ac:dyDescent="0.25">
      <c r="A2287" s="8" t="s">
        <v>125</v>
      </c>
      <c r="B2287" s="8" t="s">
        <v>58</v>
      </c>
      <c r="C2287" s="8" t="str">
        <f>IFERROR(_xlfn.XLOOKUP(TRIM(B2287),Lookup!$B$2:$B$1000,Lookup!$C$2:$C$1000),"")</f>
        <v>Equity</v>
      </c>
      <c r="D2287" s="8" t="str">
        <f>IFERROR(INDEX('nav master'!$C:$C, MATCH(B2287, 'nav master'!$B:$B, 0)), "")</f>
        <v>ULIF 145 03/06/21 SustainEqu 105</v>
      </c>
      <c r="E2287" s="8" t="s">
        <v>482</v>
      </c>
      <c r="F2287" s="8" t="s">
        <v>2608</v>
      </c>
    </row>
    <row r="2288" spans="1:6" ht="60" x14ac:dyDescent="0.25">
      <c r="A2288" s="8" t="s">
        <v>125</v>
      </c>
      <c r="B2288" s="8" t="s">
        <v>58</v>
      </c>
      <c r="C2288" s="8" t="str">
        <f>IFERROR(_xlfn.XLOOKUP(TRIM(B2288),Lookup!$B$2:$B$1000,Lookup!$C$2:$C$1000),"")</f>
        <v>Equity</v>
      </c>
      <c r="D2288" s="8" t="str">
        <f>IFERROR(INDEX('nav master'!$C:$C, MATCH(B2288, 'nav master'!$B:$B, 0)), "")</f>
        <v>ULIF 145 03/06/21 SustainEqu 105</v>
      </c>
      <c r="E2288" s="8" t="s">
        <v>484</v>
      </c>
      <c r="F2288" s="8" t="s">
        <v>2609</v>
      </c>
    </row>
    <row r="2289" spans="1:6" ht="60" x14ac:dyDescent="0.25">
      <c r="A2289" s="8" t="s">
        <v>125</v>
      </c>
      <c r="B2289" s="8" t="s">
        <v>58</v>
      </c>
      <c r="C2289" s="8" t="str">
        <f>IFERROR(_xlfn.XLOOKUP(TRIM(B2289),Lookup!$B$2:$B$1000,Lookup!$C$2:$C$1000),"")</f>
        <v>Equity</v>
      </c>
      <c r="D2289" s="8" t="str">
        <f>IFERROR(INDEX('nav master'!$C:$C, MATCH(B2289, 'nav master'!$B:$B, 0)), "")</f>
        <v>ULIF 145 03/06/21 SustainEqu 105</v>
      </c>
      <c r="E2289" s="8" t="s">
        <v>486</v>
      </c>
      <c r="F2289" s="8" t="s">
        <v>2610</v>
      </c>
    </row>
    <row r="2290" spans="1:6" ht="60" x14ac:dyDescent="0.25">
      <c r="A2290" s="8" t="s">
        <v>125</v>
      </c>
      <c r="B2290" s="8" t="s">
        <v>58</v>
      </c>
      <c r="C2290" s="8" t="str">
        <f>IFERROR(_xlfn.XLOOKUP(TRIM(B2290),Lookup!$B$2:$B$1000,Lookup!$C$2:$C$1000),"")</f>
        <v>Equity</v>
      </c>
      <c r="D2290" s="8" t="str">
        <f>IFERROR(INDEX('nav master'!$C:$C, MATCH(B2290, 'nav master'!$B:$B, 0)), "")</f>
        <v>ULIF 145 03/06/21 SustainEqu 105</v>
      </c>
      <c r="E2290" s="8" t="s">
        <v>488</v>
      </c>
      <c r="F2290" s="8" t="s">
        <v>2611</v>
      </c>
    </row>
    <row r="2291" spans="1:6" ht="60" x14ac:dyDescent="0.25">
      <c r="A2291" s="8" t="s">
        <v>125</v>
      </c>
      <c r="B2291" s="8" t="s">
        <v>58</v>
      </c>
      <c r="C2291" s="8" t="str">
        <f>IFERROR(_xlfn.XLOOKUP(TRIM(B2291),Lookup!$B$2:$B$1000,Lookup!$C$2:$C$1000),"")</f>
        <v>Equity</v>
      </c>
      <c r="D2291" s="8" t="str">
        <f>IFERROR(INDEX('nav master'!$C:$C, MATCH(B2291, 'nav master'!$B:$B, 0)), "")</f>
        <v>ULIF 145 03/06/21 SustainEqu 105</v>
      </c>
      <c r="E2291" s="8" t="s">
        <v>490</v>
      </c>
      <c r="F2291" s="8" t="s">
        <v>2612</v>
      </c>
    </row>
    <row r="2292" spans="1:6" ht="60" x14ac:dyDescent="0.25">
      <c r="A2292" s="8" t="s">
        <v>125</v>
      </c>
      <c r="B2292" s="8" t="s">
        <v>58</v>
      </c>
      <c r="C2292" s="8" t="str">
        <f>IFERROR(_xlfn.XLOOKUP(TRIM(B2292),Lookup!$B$2:$B$1000,Lookup!$C$2:$C$1000),"")</f>
        <v>Equity</v>
      </c>
      <c r="D2292" s="8" t="str">
        <f>IFERROR(INDEX('nav master'!$C:$C, MATCH(B2292, 'nav master'!$B:$B, 0)), "")</f>
        <v>ULIF 145 03/06/21 SustainEqu 105</v>
      </c>
      <c r="E2292" s="8" t="s">
        <v>492</v>
      </c>
      <c r="F2292" s="8" t="s">
        <v>2613</v>
      </c>
    </row>
    <row r="2293" spans="1:6" ht="60" x14ac:dyDescent="0.25">
      <c r="A2293" s="8" t="s">
        <v>125</v>
      </c>
      <c r="B2293" s="8" t="s">
        <v>58</v>
      </c>
      <c r="C2293" s="8" t="str">
        <f>IFERROR(_xlfn.XLOOKUP(TRIM(B2293),Lookup!$B$2:$B$1000,Lookup!$C$2:$C$1000),"")</f>
        <v>Equity</v>
      </c>
      <c r="D2293" s="8" t="str">
        <f>IFERROR(INDEX('nav master'!$C:$C, MATCH(B2293, 'nav master'!$B:$B, 0)), "")</f>
        <v>ULIF 145 03/06/21 SustainEqu 105</v>
      </c>
      <c r="E2293" s="8" t="s">
        <v>494</v>
      </c>
      <c r="F2293" s="8" t="s">
        <v>2614</v>
      </c>
    </row>
    <row r="2294" spans="1:6" ht="60" x14ac:dyDescent="0.25">
      <c r="A2294" s="8" t="s">
        <v>125</v>
      </c>
      <c r="B2294" s="8" t="s">
        <v>58</v>
      </c>
      <c r="C2294" s="8" t="str">
        <f>IFERROR(_xlfn.XLOOKUP(TRIM(B2294),Lookup!$B$2:$B$1000,Lookup!$C$2:$C$1000),"")</f>
        <v>Equity</v>
      </c>
      <c r="D2294" s="8" t="str">
        <f>IFERROR(INDEX('nav master'!$C:$C, MATCH(B2294, 'nav master'!$B:$B, 0)), "")</f>
        <v>ULIF 145 03/06/21 SustainEqu 105</v>
      </c>
      <c r="E2294" s="8" t="s">
        <v>496</v>
      </c>
      <c r="F2294" s="8" t="s">
        <v>2615</v>
      </c>
    </row>
    <row r="2295" spans="1:6" ht="60" x14ac:dyDescent="0.25">
      <c r="A2295" s="8" t="s">
        <v>125</v>
      </c>
      <c r="B2295" s="8" t="s">
        <v>58</v>
      </c>
      <c r="C2295" s="8" t="str">
        <f>IFERROR(_xlfn.XLOOKUP(TRIM(B2295),Lookup!$B$2:$B$1000,Lookup!$C$2:$C$1000),"")</f>
        <v>Equity</v>
      </c>
      <c r="D2295" s="8" t="str">
        <f>IFERROR(INDEX('nav master'!$C:$C, MATCH(B2295, 'nav master'!$B:$B, 0)), "")</f>
        <v>ULIF 145 03/06/21 SustainEqu 105</v>
      </c>
      <c r="E2295" s="8" t="s">
        <v>498</v>
      </c>
      <c r="F2295" s="8" t="s">
        <v>2616</v>
      </c>
    </row>
    <row r="2296" spans="1:6" ht="60" x14ac:dyDescent="0.25">
      <c r="A2296" s="8" t="s">
        <v>125</v>
      </c>
      <c r="B2296" s="8" t="s">
        <v>58</v>
      </c>
      <c r="C2296" s="8" t="str">
        <f>IFERROR(_xlfn.XLOOKUP(TRIM(B2296),Lookup!$B$2:$B$1000,Lookup!$C$2:$C$1000),"")</f>
        <v>Equity</v>
      </c>
      <c r="D2296" s="8" t="str">
        <f>IFERROR(INDEX('nav master'!$C:$C, MATCH(B2296, 'nav master'!$B:$B, 0)), "")</f>
        <v>ULIF 145 03/06/21 SustainEqu 105</v>
      </c>
      <c r="E2296" s="8" t="s">
        <v>500</v>
      </c>
      <c r="F2296" s="8" t="s">
        <v>2617</v>
      </c>
    </row>
    <row r="2297" spans="1:6" ht="60" x14ac:dyDescent="0.25">
      <c r="A2297" s="8" t="s">
        <v>125</v>
      </c>
      <c r="B2297" s="8" t="s">
        <v>58</v>
      </c>
      <c r="C2297" s="8" t="str">
        <f>IFERROR(_xlfn.XLOOKUP(TRIM(B2297),Lookup!$B$2:$B$1000,Lookup!$C$2:$C$1000),"")</f>
        <v>Equity</v>
      </c>
      <c r="D2297" s="8" t="str">
        <f>IFERROR(INDEX('nav master'!$C:$C, MATCH(B2297, 'nav master'!$B:$B, 0)), "")</f>
        <v>ULIF 145 03/06/21 SustainEqu 105</v>
      </c>
      <c r="E2297" s="8" t="s">
        <v>502</v>
      </c>
      <c r="F2297" s="8" t="s">
        <v>2618</v>
      </c>
    </row>
    <row r="2298" spans="1:6" ht="60" x14ac:dyDescent="0.25">
      <c r="A2298" s="8" t="s">
        <v>125</v>
      </c>
      <c r="B2298" s="8" t="s">
        <v>58</v>
      </c>
      <c r="C2298" s="8" t="str">
        <f>IFERROR(_xlfn.XLOOKUP(TRIM(B2298),Lookup!$B$2:$B$1000,Lookup!$C$2:$C$1000),"")</f>
        <v>Equity</v>
      </c>
      <c r="D2298" s="8" t="str">
        <f>IFERROR(INDEX('nav master'!$C:$C, MATCH(B2298, 'nav master'!$B:$B, 0)), "")</f>
        <v>ULIF 145 03/06/21 SustainEqu 105</v>
      </c>
      <c r="E2298" s="8" t="s">
        <v>504</v>
      </c>
      <c r="F2298" s="8" t="s">
        <v>2619</v>
      </c>
    </row>
    <row r="2299" spans="1:6" ht="60" x14ac:dyDescent="0.25">
      <c r="A2299" s="8" t="s">
        <v>125</v>
      </c>
      <c r="B2299" s="8" t="s">
        <v>58</v>
      </c>
      <c r="C2299" s="8" t="str">
        <f>IFERROR(_xlfn.XLOOKUP(TRIM(B2299),Lookup!$B$2:$B$1000,Lookup!$C$2:$C$1000),"")</f>
        <v>Equity</v>
      </c>
      <c r="D2299" s="8" t="str">
        <f>IFERROR(INDEX('nav master'!$C:$C, MATCH(B2299, 'nav master'!$B:$B, 0)), "")</f>
        <v>ULIF 145 03/06/21 SustainEqu 105</v>
      </c>
      <c r="E2299" s="8" t="s">
        <v>506</v>
      </c>
      <c r="F2299" s="8" t="s">
        <v>2620</v>
      </c>
    </row>
    <row r="2300" spans="1:6" ht="60" x14ac:dyDescent="0.25">
      <c r="A2300" s="8" t="s">
        <v>125</v>
      </c>
      <c r="B2300" s="8" t="s">
        <v>58</v>
      </c>
      <c r="C2300" s="8" t="str">
        <f>IFERROR(_xlfn.XLOOKUP(TRIM(B2300),Lookup!$B$2:$B$1000,Lookup!$C$2:$C$1000),"")</f>
        <v>Equity</v>
      </c>
      <c r="D2300" s="8" t="str">
        <f>IFERROR(INDEX('nav master'!$C:$C, MATCH(B2300, 'nav master'!$B:$B, 0)), "")</f>
        <v>ULIF 145 03/06/21 SustainEqu 105</v>
      </c>
      <c r="E2300" s="8" t="s">
        <v>508</v>
      </c>
      <c r="F2300" s="8" t="s">
        <v>2621</v>
      </c>
    </row>
    <row r="2301" spans="1:6" ht="60" x14ac:dyDescent="0.25">
      <c r="A2301" s="8" t="s">
        <v>125</v>
      </c>
      <c r="B2301" s="8" t="s">
        <v>58</v>
      </c>
      <c r="C2301" s="8" t="str">
        <f>IFERROR(_xlfn.XLOOKUP(TRIM(B2301),Lookup!$B$2:$B$1000,Lookup!$C$2:$C$1000),"")</f>
        <v>Equity</v>
      </c>
      <c r="D2301" s="8" t="str">
        <f>IFERROR(INDEX('nav master'!$C:$C, MATCH(B2301, 'nav master'!$B:$B, 0)), "")</f>
        <v>ULIF 145 03/06/21 SustainEqu 105</v>
      </c>
      <c r="E2301" s="8" t="s">
        <v>510</v>
      </c>
      <c r="F2301" s="8" t="s">
        <v>2622</v>
      </c>
    </row>
    <row r="2302" spans="1:6" ht="60" x14ac:dyDescent="0.25">
      <c r="A2302" s="8" t="s">
        <v>125</v>
      </c>
      <c r="B2302" s="8" t="s">
        <v>58</v>
      </c>
      <c r="C2302" s="8" t="str">
        <f>IFERROR(_xlfn.XLOOKUP(TRIM(B2302),Lookup!$B$2:$B$1000,Lookup!$C$2:$C$1000),"")</f>
        <v>Equity</v>
      </c>
      <c r="D2302" s="8" t="str">
        <f>IFERROR(INDEX('nav master'!$C:$C, MATCH(B2302, 'nav master'!$B:$B, 0)), "")</f>
        <v>ULIF 145 03/06/21 SustainEqu 105</v>
      </c>
      <c r="E2302" s="8" t="s">
        <v>512</v>
      </c>
      <c r="F2302" s="8" t="s">
        <v>2623</v>
      </c>
    </row>
    <row r="2303" spans="1:6" ht="60" x14ac:dyDescent="0.25">
      <c r="A2303" s="8" t="s">
        <v>125</v>
      </c>
      <c r="B2303" s="8" t="s">
        <v>58</v>
      </c>
      <c r="C2303" s="8" t="str">
        <f>IFERROR(_xlfn.XLOOKUP(TRIM(B2303),Lookup!$B$2:$B$1000,Lookup!$C$2:$C$1000),"")</f>
        <v>Equity</v>
      </c>
      <c r="D2303" s="8" t="str">
        <f>IFERROR(INDEX('nav master'!$C:$C, MATCH(B2303, 'nav master'!$B:$B, 0)), "")</f>
        <v>ULIF 145 03/06/21 SustainEqu 105</v>
      </c>
      <c r="E2303" s="8" t="s">
        <v>514</v>
      </c>
      <c r="F2303" s="8" t="s">
        <v>2624</v>
      </c>
    </row>
    <row r="2304" spans="1:6" ht="60" x14ac:dyDescent="0.25">
      <c r="A2304" s="8" t="s">
        <v>125</v>
      </c>
      <c r="B2304" s="8" t="s">
        <v>58</v>
      </c>
      <c r="C2304" s="8" t="str">
        <f>IFERROR(_xlfn.XLOOKUP(TRIM(B2304),Lookup!$B$2:$B$1000,Lookup!$C$2:$C$1000),"")</f>
        <v>Equity</v>
      </c>
      <c r="D2304" s="8" t="str">
        <f>IFERROR(INDEX('nav master'!$C:$C, MATCH(B2304, 'nav master'!$B:$B, 0)), "")</f>
        <v>ULIF 145 03/06/21 SustainEqu 105</v>
      </c>
      <c r="E2304" s="8" t="s">
        <v>516</v>
      </c>
      <c r="F2304" s="8" t="s">
        <v>2625</v>
      </c>
    </row>
    <row r="2305" spans="1:6" ht="60" x14ac:dyDescent="0.25">
      <c r="A2305" s="8" t="s">
        <v>125</v>
      </c>
      <c r="B2305" s="8" t="s">
        <v>58</v>
      </c>
      <c r="C2305" s="8" t="str">
        <f>IFERROR(_xlfn.XLOOKUP(TRIM(B2305),Lookup!$B$2:$B$1000,Lookup!$C$2:$C$1000),"")</f>
        <v>Equity</v>
      </c>
      <c r="D2305" s="8" t="str">
        <f>IFERROR(INDEX('nav master'!$C:$C, MATCH(B2305, 'nav master'!$B:$B, 0)), "")</f>
        <v>ULIF 145 03/06/21 SustainEqu 105</v>
      </c>
      <c r="E2305" s="8" t="s">
        <v>518</v>
      </c>
      <c r="F2305" s="8" t="s">
        <v>2626</v>
      </c>
    </row>
    <row r="2306" spans="1:6" ht="60" x14ac:dyDescent="0.25">
      <c r="A2306" s="8" t="s">
        <v>125</v>
      </c>
      <c r="B2306" s="8" t="s">
        <v>58</v>
      </c>
      <c r="C2306" s="8" t="str">
        <f>IFERROR(_xlfn.XLOOKUP(TRIM(B2306),Lookup!$B$2:$B$1000,Lookup!$C$2:$C$1000),"")</f>
        <v>Equity</v>
      </c>
      <c r="D2306" s="8" t="str">
        <f>IFERROR(INDEX('nav master'!$C:$C, MATCH(B2306, 'nav master'!$B:$B, 0)), "")</f>
        <v>ULIF 145 03/06/21 SustainEqu 105</v>
      </c>
      <c r="E2306" s="8" t="s">
        <v>520</v>
      </c>
      <c r="F2306" s="8" t="s">
        <v>2627</v>
      </c>
    </row>
    <row r="2307" spans="1:6" ht="60" x14ac:dyDescent="0.25">
      <c r="A2307" s="8" t="s">
        <v>125</v>
      </c>
      <c r="B2307" s="8" t="s">
        <v>58</v>
      </c>
      <c r="C2307" s="8" t="str">
        <f>IFERROR(_xlfn.XLOOKUP(TRIM(B2307),Lookup!$B$2:$B$1000,Lookup!$C$2:$C$1000),"")</f>
        <v>Equity</v>
      </c>
      <c r="D2307" s="8" t="str">
        <f>IFERROR(INDEX('nav master'!$C:$C, MATCH(B2307, 'nav master'!$B:$B, 0)), "")</f>
        <v>ULIF 145 03/06/21 SustainEqu 105</v>
      </c>
      <c r="E2307" s="8" t="s">
        <v>522</v>
      </c>
      <c r="F2307" s="8" t="s">
        <v>2628</v>
      </c>
    </row>
    <row r="2308" spans="1:6" ht="60" x14ac:dyDescent="0.25">
      <c r="A2308" s="8" t="s">
        <v>125</v>
      </c>
      <c r="B2308" s="8" t="s">
        <v>58</v>
      </c>
      <c r="C2308" s="8" t="str">
        <f>IFERROR(_xlfn.XLOOKUP(TRIM(B2308),Lookup!$B$2:$B$1000,Lookup!$C$2:$C$1000),"")</f>
        <v>Equity</v>
      </c>
      <c r="D2308" s="8" t="str">
        <f>IFERROR(INDEX('nav master'!$C:$C, MATCH(B2308, 'nav master'!$B:$B, 0)), "")</f>
        <v>ULIF 145 03/06/21 SustainEqu 105</v>
      </c>
      <c r="E2308" s="8" t="s">
        <v>524</v>
      </c>
      <c r="F2308" s="8" t="s">
        <v>2629</v>
      </c>
    </row>
    <row r="2309" spans="1:6" ht="60" x14ac:dyDescent="0.25">
      <c r="A2309" s="8" t="s">
        <v>125</v>
      </c>
      <c r="B2309" s="8" t="s">
        <v>58</v>
      </c>
      <c r="C2309" s="8" t="str">
        <f>IFERROR(_xlfn.XLOOKUP(TRIM(B2309),Lookup!$B$2:$B$1000,Lookup!$C$2:$C$1000),"")</f>
        <v>Equity</v>
      </c>
      <c r="D2309" s="8" t="str">
        <f>IFERROR(INDEX('nav master'!$C:$C, MATCH(B2309, 'nav master'!$B:$B, 0)), "")</f>
        <v>ULIF 145 03/06/21 SustainEqu 105</v>
      </c>
      <c r="E2309" s="8" t="s">
        <v>526</v>
      </c>
      <c r="F2309" s="8" t="s">
        <v>2630</v>
      </c>
    </row>
    <row r="2310" spans="1:6" ht="60" x14ac:dyDescent="0.25">
      <c r="A2310" s="8" t="s">
        <v>125</v>
      </c>
      <c r="B2310" s="8" t="s">
        <v>58</v>
      </c>
      <c r="C2310" s="8" t="str">
        <f>IFERROR(_xlfn.XLOOKUP(TRIM(B2310),Lookup!$B$2:$B$1000,Lookup!$C$2:$C$1000),"")</f>
        <v>Equity</v>
      </c>
      <c r="D2310" s="8" t="str">
        <f>IFERROR(INDEX('nav master'!$C:$C, MATCH(B2310, 'nav master'!$B:$B, 0)), "")</f>
        <v>ULIF 145 03/06/21 SustainEqu 105</v>
      </c>
      <c r="E2310" s="8" t="s">
        <v>528</v>
      </c>
      <c r="F2310" s="8" t="s">
        <v>2631</v>
      </c>
    </row>
    <row r="2311" spans="1:6" ht="60" x14ac:dyDescent="0.25">
      <c r="A2311" s="8" t="s">
        <v>125</v>
      </c>
      <c r="B2311" s="8" t="s">
        <v>58</v>
      </c>
      <c r="C2311" s="8" t="str">
        <f>IFERROR(_xlfn.XLOOKUP(TRIM(B2311),Lookup!$B$2:$B$1000,Lookup!$C$2:$C$1000),"")</f>
        <v>Equity</v>
      </c>
      <c r="D2311" s="8" t="str">
        <f>IFERROR(INDEX('nav master'!$C:$C, MATCH(B2311, 'nav master'!$B:$B, 0)), "")</f>
        <v>ULIF 145 03/06/21 SustainEqu 105</v>
      </c>
      <c r="E2311" s="8" t="s">
        <v>530</v>
      </c>
      <c r="F2311" s="8" t="s">
        <v>2632</v>
      </c>
    </row>
    <row r="2312" spans="1:6" ht="60" x14ac:dyDescent="0.25">
      <c r="A2312" s="8" t="s">
        <v>125</v>
      </c>
      <c r="B2312" s="8" t="s">
        <v>58</v>
      </c>
      <c r="C2312" s="8" t="str">
        <f>IFERROR(_xlfn.XLOOKUP(TRIM(B2312),Lookup!$B$2:$B$1000,Lookup!$C$2:$C$1000),"")</f>
        <v>Equity</v>
      </c>
      <c r="D2312" s="8" t="str">
        <f>IFERROR(INDEX('nav master'!$C:$C, MATCH(B2312, 'nav master'!$B:$B, 0)), "")</f>
        <v>ULIF 145 03/06/21 SustainEqu 105</v>
      </c>
      <c r="E2312" s="8" t="s">
        <v>532</v>
      </c>
      <c r="F2312" s="8" t="s">
        <v>2633</v>
      </c>
    </row>
    <row r="2313" spans="1:6" ht="60" x14ac:dyDescent="0.25">
      <c r="A2313" s="8" t="s">
        <v>125</v>
      </c>
      <c r="B2313" s="8" t="s">
        <v>58</v>
      </c>
      <c r="C2313" s="8" t="str">
        <f>IFERROR(_xlfn.XLOOKUP(TRIM(B2313),Lookup!$B$2:$B$1000,Lookup!$C$2:$C$1000),"")</f>
        <v>Equity</v>
      </c>
      <c r="D2313" s="8" t="str">
        <f>IFERROR(INDEX('nav master'!$C:$C, MATCH(B2313, 'nav master'!$B:$B, 0)), "")</f>
        <v>ULIF 145 03/06/21 SustainEqu 105</v>
      </c>
      <c r="E2313" s="8" t="s">
        <v>534</v>
      </c>
      <c r="F2313" s="8" t="s">
        <v>2634</v>
      </c>
    </row>
    <row r="2314" spans="1:6" ht="60" x14ac:dyDescent="0.25">
      <c r="A2314" s="8" t="s">
        <v>125</v>
      </c>
      <c r="B2314" s="8" t="s">
        <v>58</v>
      </c>
      <c r="C2314" s="8" t="str">
        <f>IFERROR(_xlfn.XLOOKUP(TRIM(B2314),Lookup!$B$2:$B$1000,Lookup!$C$2:$C$1000),"")</f>
        <v>Equity</v>
      </c>
      <c r="D2314" s="8" t="str">
        <f>IFERROR(INDEX('nav master'!$C:$C, MATCH(B2314, 'nav master'!$B:$B, 0)), "")</f>
        <v>ULIF 145 03/06/21 SustainEqu 105</v>
      </c>
      <c r="E2314" s="8" t="s">
        <v>536</v>
      </c>
      <c r="F2314" s="8" t="s">
        <v>2635</v>
      </c>
    </row>
    <row r="2315" spans="1:6" ht="60" x14ac:dyDescent="0.25">
      <c r="A2315" s="8" t="s">
        <v>125</v>
      </c>
      <c r="B2315" s="8" t="s">
        <v>58</v>
      </c>
      <c r="C2315" s="8" t="str">
        <f>IFERROR(_xlfn.XLOOKUP(TRIM(B2315),Lookup!$B$2:$B$1000,Lookup!$C$2:$C$1000),"")</f>
        <v>Equity</v>
      </c>
      <c r="D2315" s="8" t="str">
        <f>IFERROR(INDEX('nav master'!$C:$C, MATCH(B2315, 'nav master'!$B:$B, 0)), "")</f>
        <v>ULIF 145 03/06/21 SustainEqu 105</v>
      </c>
      <c r="E2315" s="8" t="s">
        <v>538</v>
      </c>
      <c r="F2315" s="8" t="s">
        <v>2636</v>
      </c>
    </row>
    <row r="2316" spans="1:6" ht="60" x14ac:dyDescent="0.25">
      <c r="A2316" s="8" t="s">
        <v>125</v>
      </c>
      <c r="B2316" s="8" t="s">
        <v>58</v>
      </c>
      <c r="C2316" s="8" t="str">
        <f>IFERROR(_xlfn.XLOOKUP(TRIM(B2316),Lookup!$B$2:$B$1000,Lookup!$C$2:$C$1000),"")</f>
        <v>Equity</v>
      </c>
      <c r="D2316" s="8" t="str">
        <f>IFERROR(INDEX('nav master'!$C:$C, MATCH(B2316, 'nav master'!$B:$B, 0)), "")</f>
        <v>ULIF 145 03/06/21 SustainEqu 105</v>
      </c>
      <c r="E2316" s="8" t="s">
        <v>540</v>
      </c>
      <c r="F2316" s="8" t="s">
        <v>2637</v>
      </c>
    </row>
    <row r="2317" spans="1:6" ht="60" x14ac:dyDescent="0.25">
      <c r="A2317" s="8" t="s">
        <v>125</v>
      </c>
      <c r="B2317" s="8" t="s">
        <v>58</v>
      </c>
      <c r="C2317" s="8" t="str">
        <f>IFERROR(_xlfn.XLOOKUP(TRIM(B2317),Lookup!$B$2:$B$1000,Lookup!$C$2:$C$1000),"")</f>
        <v>Equity</v>
      </c>
      <c r="D2317" s="8" t="str">
        <f>IFERROR(INDEX('nav master'!$C:$C, MATCH(B2317, 'nav master'!$B:$B, 0)), "")</f>
        <v>ULIF 145 03/06/21 SustainEqu 105</v>
      </c>
      <c r="E2317" s="8" t="s">
        <v>542</v>
      </c>
      <c r="F2317" s="8" t="s">
        <v>2638</v>
      </c>
    </row>
    <row r="2318" spans="1:6" ht="60" x14ac:dyDescent="0.25">
      <c r="A2318" s="8" t="s">
        <v>125</v>
      </c>
      <c r="B2318" s="8" t="s">
        <v>58</v>
      </c>
      <c r="C2318" s="8" t="str">
        <f>IFERROR(_xlfn.XLOOKUP(TRIM(B2318),Lookup!$B$2:$B$1000,Lookup!$C$2:$C$1000),"")</f>
        <v>Equity</v>
      </c>
      <c r="D2318" s="8" t="str">
        <f>IFERROR(INDEX('nav master'!$C:$C, MATCH(B2318, 'nav master'!$B:$B, 0)), "")</f>
        <v>ULIF 145 03/06/21 SustainEqu 105</v>
      </c>
      <c r="E2318" s="8" t="s">
        <v>544</v>
      </c>
      <c r="F2318" s="8" t="s">
        <v>2639</v>
      </c>
    </row>
    <row r="2319" spans="1:6" ht="60" x14ac:dyDescent="0.25">
      <c r="A2319" s="8" t="s">
        <v>125</v>
      </c>
      <c r="B2319" s="8" t="s">
        <v>58</v>
      </c>
      <c r="C2319" s="8" t="str">
        <f>IFERROR(_xlfn.XLOOKUP(TRIM(B2319),Lookup!$B$2:$B$1000,Lookup!$C$2:$C$1000),"")</f>
        <v>Equity</v>
      </c>
      <c r="D2319" s="8" t="str">
        <f>IFERROR(INDEX('nav master'!$C:$C, MATCH(B2319, 'nav master'!$B:$B, 0)), "")</f>
        <v>ULIF 145 03/06/21 SustainEqu 105</v>
      </c>
      <c r="E2319" s="8" t="s">
        <v>546</v>
      </c>
      <c r="F2319" s="8" t="s">
        <v>2640</v>
      </c>
    </row>
    <row r="2320" spans="1:6" ht="60" x14ac:dyDescent="0.25">
      <c r="A2320" s="8" t="s">
        <v>125</v>
      </c>
      <c r="B2320" s="8" t="s">
        <v>58</v>
      </c>
      <c r="C2320" s="8" t="str">
        <f>IFERROR(_xlfn.XLOOKUP(TRIM(B2320),Lookup!$B$2:$B$1000,Lookup!$C$2:$C$1000),"")</f>
        <v>Equity</v>
      </c>
      <c r="D2320" s="8" t="str">
        <f>IFERROR(INDEX('nav master'!$C:$C, MATCH(B2320, 'nav master'!$B:$B, 0)), "")</f>
        <v>ULIF 145 03/06/21 SustainEqu 105</v>
      </c>
      <c r="E2320" s="8" t="s">
        <v>548</v>
      </c>
      <c r="F2320" s="8" t="s">
        <v>2641</v>
      </c>
    </row>
    <row r="2321" spans="1:6" ht="60" x14ac:dyDescent="0.25">
      <c r="A2321" s="8" t="s">
        <v>125</v>
      </c>
      <c r="B2321" s="8" t="s">
        <v>58</v>
      </c>
      <c r="C2321" s="8" t="str">
        <f>IFERROR(_xlfn.XLOOKUP(TRIM(B2321),Lookup!$B$2:$B$1000,Lookup!$C$2:$C$1000),"")</f>
        <v>Equity</v>
      </c>
      <c r="D2321" s="8" t="str">
        <f>IFERROR(INDEX('nav master'!$C:$C, MATCH(B2321, 'nav master'!$B:$B, 0)), "")</f>
        <v>ULIF 145 03/06/21 SustainEqu 105</v>
      </c>
      <c r="E2321" s="8" t="s">
        <v>550</v>
      </c>
      <c r="F2321" s="8" t="s">
        <v>2642</v>
      </c>
    </row>
    <row r="2322" spans="1:6" ht="60" x14ac:dyDescent="0.25">
      <c r="A2322" s="8" t="s">
        <v>125</v>
      </c>
      <c r="B2322" s="8" t="s">
        <v>58</v>
      </c>
      <c r="C2322" s="8" t="str">
        <f>IFERROR(_xlfn.XLOOKUP(TRIM(B2322),Lookup!$B$2:$B$1000,Lookup!$C$2:$C$1000),"")</f>
        <v>Equity</v>
      </c>
      <c r="D2322" s="8" t="str">
        <f>IFERROR(INDEX('nav master'!$C:$C, MATCH(B2322, 'nav master'!$B:$B, 0)), "")</f>
        <v>ULIF 145 03/06/21 SustainEqu 105</v>
      </c>
      <c r="E2322" s="8" t="s">
        <v>552</v>
      </c>
      <c r="F2322" s="8" t="s">
        <v>2643</v>
      </c>
    </row>
    <row r="2323" spans="1:6" ht="60" x14ac:dyDescent="0.25">
      <c r="A2323" s="8" t="s">
        <v>125</v>
      </c>
      <c r="B2323" s="8" t="s">
        <v>58</v>
      </c>
      <c r="C2323" s="8" t="str">
        <f>IFERROR(_xlfn.XLOOKUP(TRIM(B2323),Lookup!$B$2:$B$1000,Lookup!$C$2:$C$1000),"")</f>
        <v>Equity</v>
      </c>
      <c r="D2323" s="8" t="str">
        <f>IFERROR(INDEX('nav master'!$C:$C, MATCH(B2323, 'nav master'!$B:$B, 0)), "")</f>
        <v>ULIF 145 03/06/21 SustainEqu 105</v>
      </c>
      <c r="E2323" s="8" t="s">
        <v>554</v>
      </c>
      <c r="F2323" s="8" t="s">
        <v>2644</v>
      </c>
    </row>
    <row r="2324" spans="1:6" ht="60" x14ac:dyDescent="0.25">
      <c r="A2324" s="8" t="s">
        <v>125</v>
      </c>
      <c r="B2324" s="8" t="s">
        <v>58</v>
      </c>
      <c r="C2324" s="8" t="str">
        <f>IFERROR(_xlfn.XLOOKUP(TRIM(B2324),Lookup!$B$2:$B$1000,Lookup!$C$2:$C$1000),"")</f>
        <v>Equity</v>
      </c>
      <c r="D2324" s="8" t="str">
        <f>IFERROR(INDEX('nav master'!$C:$C, MATCH(B2324, 'nav master'!$B:$B, 0)), "")</f>
        <v>ULIF 145 03/06/21 SustainEqu 105</v>
      </c>
      <c r="E2324" s="8" t="s">
        <v>556</v>
      </c>
      <c r="F2324" s="8" t="s">
        <v>2470</v>
      </c>
    </row>
    <row r="2325" spans="1:6" ht="60" x14ac:dyDescent="0.25">
      <c r="A2325" s="8" t="s">
        <v>125</v>
      </c>
      <c r="B2325" s="8" t="s">
        <v>58</v>
      </c>
      <c r="C2325" s="8" t="str">
        <f>IFERROR(_xlfn.XLOOKUP(TRIM(B2325),Lookup!$B$2:$B$1000,Lookup!$C$2:$C$1000),"")</f>
        <v>Equity</v>
      </c>
      <c r="D2325" s="8" t="str">
        <f>IFERROR(INDEX('nav master'!$C:$C, MATCH(B2325, 'nav master'!$B:$B, 0)), "")</f>
        <v>ULIF 145 03/06/21 SustainEqu 105</v>
      </c>
      <c r="E2325" s="8" t="s">
        <v>558</v>
      </c>
      <c r="F2325" s="8" t="s">
        <v>2645</v>
      </c>
    </row>
    <row r="2326" spans="1:6" ht="60" x14ac:dyDescent="0.25">
      <c r="A2326" s="8" t="s">
        <v>125</v>
      </c>
      <c r="B2326" s="8" t="s">
        <v>58</v>
      </c>
      <c r="C2326" s="8" t="str">
        <f>IFERROR(_xlfn.XLOOKUP(TRIM(B2326),Lookup!$B$2:$B$1000,Lookup!$C$2:$C$1000),"")</f>
        <v>Equity</v>
      </c>
      <c r="D2326" s="8" t="str">
        <f>IFERROR(INDEX('nav master'!$C:$C, MATCH(B2326, 'nav master'!$B:$B, 0)), "")</f>
        <v>ULIF 145 03/06/21 SustainEqu 105</v>
      </c>
      <c r="E2326" s="8" t="s">
        <v>560</v>
      </c>
      <c r="F2326" s="8" t="s">
        <v>2646</v>
      </c>
    </row>
    <row r="2327" spans="1:6" ht="60" x14ac:dyDescent="0.25">
      <c r="A2327" s="8" t="s">
        <v>125</v>
      </c>
      <c r="B2327" s="8" t="s">
        <v>58</v>
      </c>
      <c r="C2327" s="8" t="str">
        <f>IFERROR(_xlfn.XLOOKUP(TRIM(B2327),Lookup!$B$2:$B$1000,Lookup!$C$2:$C$1000),"")</f>
        <v>Equity</v>
      </c>
      <c r="D2327" s="8" t="str">
        <f>IFERROR(INDEX('nav master'!$C:$C, MATCH(B2327, 'nav master'!$B:$B, 0)), "")</f>
        <v>ULIF 145 03/06/21 SustainEqu 105</v>
      </c>
      <c r="E2327" s="8" t="s">
        <v>562</v>
      </c>
      <c r="F2327" s="8" t="s">
        <v>2647</v>
      </c>
    </row>
    <row r="2328" spans="1:6" ht="60" x14ac:dyDescent="0.25">
      <c r="A2328" s="8" t="s">
        <v>125</v>
      </c>
      <c r="B2328" s="8" t="s">
        <v>58</v>
      </c>
      <c r="C2328" s="8" t="str">
        <f>IFERROR(_xlfn.XLOOKUP(TRIM(B2328),Lookup!$B$2:$B$1000,Lookup!$C$2:$C$1000),"")</f>
        <v>Equity</v>
      </c>
      <c r="D2328" s="8" t="str">
        <f>IFERROR(INDEX('nav master'!$C:$C, MATCH(B2328, 'nav master'!$B:$B, 0)), "")</f>
        <v>ULIF 145 03/06/21 SustainEqu 105</v>
      </c>
      <c r="E2328" s="8" t="s">
        <v>564</v>
      </c>
      <c r="F2328" s="8" t="s">
        <v>2648</v>
      </c>
    </row>
    <row r="2329" spans="1:6" ht="60" x14ac:dyDescent="0.25">
      <c r="A2329" s="8" t="s">
        <v>125</v>
      </c>
      <c r="B2329" s="8" t="s">
        <v>58</v>
      </c>
      <c r="C2329" s="8" t="str">
        <f>IFERROR(_xlfn.XLOOKUP(TRIM(B2329),Lookup!$B$2:$B$1000,Lookup!$C$2:$C$1000),"")</f>
        <v>Equity</v>
      </c>
      <c r="D2329" s="8" t="str">
        <f>IFERROR(INDEX('nav master'!$C:$C, MATCH(B2329, 'nav master'!$B:$B, 0)), "")</f>
        <v>ULIF 145 03/06/21 SustainEqu 105</v>
      </c>
      <c r="E2329" s="8" t="s">
        <v>566</v>
      </c>
      <c r="F2329" s="8" t="s">
        <v>2649</v>
      </c>
    </row>
    <row r="2330" spans="1:6" ht="60" x14ac:dyDescent="0.25">
      <c r="A2330" s="8" t="s">
        <v>125</v>
      </c>
      <c r="B2330" s="8" t="s">
        <v>58</v>
      </c>
      <c r="C2330" s="8" t="str">
        <f>IFERROR(_xlfn.XLOOKUP(TRIM(B2330),Lookup!$B$2:$B$1000,Lookup!$C$2:$C$1000),"")</f>
        <v>Equity</v>
      </c>
      <c r="D2330" s="8" t="str">
        <f>IFERROR(INDEX('nav master'!$C:$C, MATCH(B2330, 'nav master'!$B:$B, 0)), "")</f>
        <v>ULIF 145 03/06/21 SustainEqu 105</v>
      </c>
      <c r="E2330" s="8" t="s">
        <v>568</v>
      </c>
      <c r="F2330" s="8" t="s">
        <v>2650</v>
      </c>
    </row>
    <row r="2331" spans="1:6" ht="60" x14ac:dyDescent="0.25">
      <c r="A2331" s="8" t="s">
        <v>125</v>
      </c>
      <c r="B2331" s="8" t="s">
        <v>58</v>
      </c>
      <c r="C2331" s="8" t="str">
        <f>IFERROR(_xlfn.XLOOKUP(TRIM(B2331),Lookup!$B$2:$B$1000,Lookup!$C$2:$C$1000),"")</f>
        <v>Equity</v>
      </c>
      <c r="D2331" s="8" t="str">
        <f>IFERROR(INDEX('nav master'!$C:$C, MATCH(B2331, 'nav master'!$B:$B, 0)), "")</f>
        <v>ULIF 145 03/06/21 SustainEqu 105</v>
      </c>
      <c r="E2331" s="8" t="s">
        <v>570</v>
      </c>
      <c r="F2331" s="8" t="s">
        <v>2651</v>
      </c>
    </row>
    <row r="2332" spans="1:6" ht="60" x14ac:dyDescent="0.25">
      <c r="A2332" s="8" t="s">
        <v>125</v>
      </c>
      <c r="B2332" s="8" t="s">
        <v>58</v>
      </c>
      <c r="C2332" s="8" t="str">
        <f>IFERROR(_xlfn.XLOOKUP(TRIM(B2332),Lookup!$B$2:$B$1000,Lookup!$C$2:$C$1000),"")</f>
        <v>Equity</v>
      </c>
      <c r="D2332" s="8" t="str">
        <f>IFERROR(INDEX('nav master'!$C:$C, MATCH(B2332, 'nav master'!$B:$B, 0)), "")</f>
        <v>ULIF 145 03/06/21 SustainEqu 105</v>
      </c>
      <c r="E2332" s="8" t="s">
        <v>572</v>
      </c>
      <c r="F2332" s="8" t="s">
        <v>2652</v>
      </c>
    </row>
    <row r="2333" spans="1:6" ht="60" x14ac:dyDescent="0.25">
      <c r="A2333" s="8" t="s">
        <v>125</v>
      </c>
      <c r="B2333" s="8" t="s">
        <v>58</v>
      </c>
      <c r="C2333" s="8" t="str">
        <f>IFERROR(_xlfn.XLOOKUP(TRIM(B2333),Lookup!$B$2:$B$1000,Lookup!$C$2:$C$1000),"")</f>
        <v>Equity</v>
      </c>
      <c r="D2333" s="8" t="str">
        <f>IFERROR(INDEX('nav master'!$C:$C, MATCH(B2333, 'nav master'!$B:$B, 0)), "")</f>
        <v>ULIF 145 03/06/21 SustainEqu 105</v>
      </c>
      <c r="E2333" s="8" t="s">
        <v>574</v>
      </c>
      <c r="F2333" s="8" t="s">
        <v>2653</v>
      </c>
    </row>
    <row r="2334" spans="1:6" ht="60" x14ac:dyDescent="0.25">
      <c r="A2334" s="8" t="s">
        <v>125</v>
      </c>
      <c r="B2334" s="8" t="s">
        <v>58</v>
      </c>
      <c r="C2334" s="8" t="str">
        <f>IFERROR(_xlfn.XLOOKUP(TRIM(B2334),Lookup!$B$2:$B$1000,Lookup!$C$2:$C$1000),"")</f>
        <v>Equity</v>
      </c>
      <c r="D2334" s="8" t="str">
        <f>IFERROR(INDEX('nav master'!$C:$C, MATCH(B2334, 'nav master'!$B:$B, 0)), "")</f>
        <v>ULIF 145 03/06/21 SustainEqu 105</v>
      </c>
      <c r="E2334" s="8" t="s">
        <v>576</v>
      </c>
      <c r="F2334" s="8" t="s">
        <v>2654</v>
      </c>
    </row>
    <row r="2335" spans="1:6" ht="60" x14ac:dyDescent="0.25">
      <c r="A2335" s="8" t="s">
        <v>125</v>
      </c>
      <c r="B2335" s="8" t="s">
        <v>58</v>
      </c>
      <c r="C2335" s="8" t="str">
        <f>IFERROR(_xlfn.XLOOKUP(TRIM(B2335),Lookup!$B$2:$B$1000,Lookup!$C$2:$C$1000),"")</f>
        <v>Equity</v>
      </c>
      <c r="D2335" s="8" t="str">
        <f>IFERROR(INDEX('nav master'!$C:$C, MATCH(B2335, 'nav master'!$B:$B, 0)), "")</f>
        <v>ULIF 145 03/06/21 SustainEqu 105</v>
      </c>
      <c r="E2335" s="8" t="s">
        <v>578</v>
      </c>
      <c r="F2335" s="8" t="s">
        <v>2655</v>
      </c>
    </row>
    <row r="2336" spans="1:6" ht="60" x14ac:dyDescent="0.25">
      <c r="A2336" s="8" t="s">
        <v>125</v>
      </c>
      <c r="B2336" s="8" t="s">
        <v>58</v>
      </c>
      <c r="C2336" s="8" t="str">
        <f>IFERROR(_xlfn.XLOOKUP(TRIM(B2336),Lookup!$B$2:$B$1000,Lookup!$C$2:$C$1000),"")</f>
        <v>Equity</v>
      </c>
      <c r="D2336" s="8" t="str">
        <f>IFERROR(INDEX('nav master'!$C:$C, MATCH(B2336, 'nav master'!$B:$B, 0)), "")</f>
        <v>ULIF 145 03/06/21 SustainEqu 105</v>
      </c>
      <c r="E2336" s="8" t="s">
        <v>580</v>
      </c>
      <c r="F2336" s="8" t="s">
        <v>2656</v>
      </c>
    </row>
    <row r="2337" spans="1:6" ht="60" x14ac:dyDescent="0.25">
      <c r="A2337" s="8" t="s">
        <v>125</v>
      </c>
      <c r="B2337" s="8" t="s">
        <v>58</v>
      </c>
      <c r="C2337" s="8" t="str">
        <f>IFERROR(_xlfn.XLOOKUP(TRIM(B2337),Lookup!$B$2:$B$1000,Lookup!$C$2:$C$1000),"")</f>
        <v>Equity</v>
      </c>
      <c r="D2337" s="8" t="str">
        <f>IFERROR(INDEX('nav master'!$C:$C, MATCH(B2337, 'nav master'!$B:$B, 0)), "")</f>
        <v>ULIF 145 03/06/21 SustainEqu 105</v>
      </c>
      <c r="E2337" s="8" t="s">
        <v>582</v>
      </c>
      <c r="F2337" s="8" t="s">
        <v>2657</v>
      </c>
    </row>
    <row r="2338" spans="1:6" ht="60" x14ac:dyDescent="0.25">
      <c r="A2338" s="8" t="s">
        <v>125</v>
      </c>
      <c r="B2338" s="8" t="s">
        <v>58</v>
      </c>
      <c r="C2338" s="8" t="str">
        <f>IFERROR(_xlfn.XLOOKUP(TRIM(B2338),Lookup!$B$2:$B$1000,Lookup!$C$2:$C$1000),"")</f>
        <v>Equity</v>
      </c>
      <c r="D2338" s="8" t="str">
        <f>IFERROR(INDEX('nav master'!$C:$C, MATCH(B2338, 'nav master'!$B:$B, 0)), "")</f>
        <v>ULIF 145 03/06/21 SustainEqu 105</v>
      </c>
      <c r="E2338" s="8" t="s">
        <v>584</v>
      </c>
      <c r="F2338" s="8" t="s">
        <v>2658</v>
      </c>
    </row>
    <row r="2339" spans="1:6" ht="60" x14ac:dyDescent="0.25">
      <c r="A2339" s="8" t="s">
        <v>125</v>
      </c>
      <c r="B2339" s="8" t="s">
        <v>58</v>
      </c>
      <c r="C2339" s="8" t="str">
        <f>IFERROR(_xlfn.XLOOKUP(TRIM(B2339),Lookup!$B$2:$B$1000,Lookup!$C$2:$C$1000),"")</f>
        <v>Equity</v>
      </c>
      <c r="D2339" s="8" t="str">
        <f>IFERROR(INDEX('nav master'!$C:$C, MATCH(B2339, 'nav master'!$B:$B, 0)), "")</f>
        <v>ULIF 145 03/06/21 SustainEqu 105</v>
      </c>
      <c r="E2339" s="8" t="s">
        <v>586</v>
      </c>
      <c r="F2339" s="8" t="s">
        <v>2659</v>
      </c>
    </row>
    <row r="2340" spans="1:6" ht="60" x14ac:dyDescent="0.25">
      <c r="A2340" s="8" t="s">
        <v>125</v>
      </c>
      <c r="B2340" s="8" t="s">
        <v>58</v>
      </c>
      <c r="C2340" s="8" t="str">
        <f>IFERROR(_xlfn.XLOOKUP(TRIM(B2340),Lookup!$B$2:$B$1000,Lookup!$C$2:$C$1000),"")</f>
        <v>Equity</v>
      </c>
      <c r="D2340" s="8" t="str">
        <f>IFERROR(INDEX('nav master'!$C:$C, MATCH(B2340, 'nav master'!$B:$B, 0)), "")</f>
        <v>ULIF 145 03/06/21 SustainEqu 105</v>
      </c>
      <c r="E2340" s="8" t="s">
        <v>588</v>
      </c>
      <c r="F2340" s="8" t="s">
        <v>2660</v>
      </c>
    </row>
    <row r="2341" spans="1:6" ht="60" x14ac:dyDescent="0.25">
      <c r="A2341" s="8" t="s">
        <v>125</v>
      </c>
      <c r="B2341" s="8" t="s">
        <v>58</v>
      </c>
      <c r="C2341" s="8" t="str">
        <f>IFERROR(_xlfn.XLOOKUP(TRIM(B2341),Lookup!$B$2:$B$1000,Lookup!$C$2:$C$1000),"")</f>
        <v>Equity</v>
      </c>
      <c r="D2341" s="8" t="str">
        <f>IFERROR(INDEX('nav master'!$C:$C, MATCH(B2341, 'nav master'!$B:$B, 0)), "")</f>
        <v>ULIF 145 03/06/21 SustainEqu 105</v>
      </c>
      <c r="E2341" s="8" t="s">
        <v>590</v>
      </c>
      <c r="F2341" s="8" t="s">
        <v>2661</v>
      </c>
    </row>
    <row r="2342" spans="1:6" ht="60" x14ac:dyDescent="0.25">
      <c r="A2342" s="8" t="s">
        <v>125</v>
      </c>
      <c r="B2342" s="8" t="s">
        <v>58</v>
      </c>
      <c r="C2342" s="8" t="str">
        <f>IFERROR(_xlfn.XLOOKUP(TRIM(B2342),Lookup!$B$2:$B$1000,Lookup!$C$2:$C$1000),"")</f>
        <v>Equity</v>
      </c>
      <c r="D2342" s="8" t="str">
        <f>IFERROR(INDEX('nav master'!$C:$C, MATCH(B2342, 'nav master'!$B:$B, 0)), "")</f>
        <v>ULIF 145 03/06/21 SustainEqu 105</v>
      </c>
      <c r="E2342" s="8" t="s">
        <v>592</v>
      </c>
      <c r="F2342" s="8" t="s">
        <v>2662</v>
      </c>
    </row>
    <row r="2343" spans="1:6" ht="60" x14ac:dyDescent="0.25">
      <c r="A2343" s="8" t="s">
        <v>125</v>
      </c>
      <c r="B2343" s="8" t="s">
        <v>58</v>
      </c>
      <c r="C2343" s="8" t="str">
        <f>IFERROR(_xlfn.XLOOKUP(TRIM(B2343),Lookup!$B$2:$B$1000,Lookup!$C$2:$C$1000),"")</f>
        <v>Equity</v>
      </c>
      <c r="D2343" s="8" t="str">
        <f>IFERROR(INDEX('nav master'!$C:$C, MATCH(B2343, 'nav master'!$B:$B, 0)), "")</f>
        <v>ULIF 145 03/06/21 SustainEqu 105</v>
      </c>
      <c r="E2343" s="8" t="s">
        <v>594</v>
      </c>
      <c r="F2343" s="8" t="s">
        <v>2663</v>
      </c>
    </row>
    <row r="2344" spans="1:6" ht="60" x14ac:dyDescent="0.25">
      <c r="A2344" s="8" t="s">
        <v>125</v>
      </c>
      <c r="B2344" s="8" t="s">
        <v>58</v>
      </c>
      <c r="C2344" s="8" t="str">
        <f>IFERROR(_xlfn.XLOOKUP(TRIM(B2344),Lookup!$B$2:$B$1000,Lookup!$C$2:$C$1000),"")</f>
        <v>Equity</v>
      </c>
      <c r="D2344" s="8" t="str">
        <f>IFERROR(INDEX('nav master'!$C:$C, MATCH(B2344, 'nav master'!$B:$B, 0)), "")</f>
        <v>ULIF 145 03/06/21 SustainEqu 105</v>
      </c>
      <c r="E2344" s="8" t="s">
        <v>596</v>
      </c>
      <c r="F2344" s="8" t="s">
        <v>2664</v>
      </c>
    </row>
    <row r="2345" spans="1:6" ht="60" x14ac:dyDescent="0.25">
      <c r="A2345" s="8" t="s">
        <v>125</v>
      </c>
      <c r="B2345" s="8" t="s">
        <v>58</v>
      </c>
      <c r="C2345" s="8" t="str">
        <f>IFERROR(_xlfn.XLOOKUP(TRIM(B2345),Lookup!$B$2:$B$1000,Lookup!$C$2:$C$1000),"")</f>
        <v>Equity</v>
      </c>
      <c r="D2345" s="8" t="str">
        <f>IFERROR(INDEX('nav master'!$C:$C, MATCH(B2345, 'nav master'!$B:$B, 0)), "")</f>
        <v>ULIF 145 03/06/21 SustainEqu 105</v>
      </c>
      <c r="E2345" s="8" t="s">
        <v>598</v>
      </c>
      <c r="F2345" s="8" t="s">
        <v>2665</v>
      </c>
    </row>
    <row r="2346" spans="1:6" ht="60" x14ac:dyDescent="0.25">
      <c r="A2346" s="8" t="s">
        <v>125</v>
      </c>
      <c r="B2346" s="8" t="s">
        <v>58</v>
      </c>
      <c r="C2346" s="8" t="str">
        <f>IFERROR(_xlfn.XLOOKUP(TRIM(B2346),Lookup!$B$2:$B$1000,Lookup!$C$2:$C$1000),"")</f>
        <v>Equity</v>
      </c>
      <c r="D2346" s="8" t="str">
        <f>IFERROR(INDEX('nav master'!$C:$C, MATCH(B2346, 'nav master'!$B:$B, 0)), "")</f>
        <v>ULIF 145 03/06/21 SustainEqu 105</v>
      </c>
      <c r="E2346" s="8" t="s">
        <v>600</v>
      </c>
      <c r="F2346" s="8" t="s">
        <v>2666</v>
      </c>
    </row>
    <row r="2347" spans="1:6" ht="60" x14ac:dyDescent="0.25">
      <c r="A2347" s="8" t="s">
        <v>125</v>
      </c>
      <c r="B2347" s="8" t="s">
        <v>58</v>
      </c>
      <c r="C2347" s="8" t="str">
        <f>IFERROR(_xlfn.XLOOKUP(TRIM(B2347),Lookup!$B$2:$B$1000,Lookup!$C$2:$C$1000),"")</f>
        <v>Equity</v>
      </c>
      <c r="D2347" s="8" t="str">
        <f>IFERROR(INDEX('nav master'!$C:$C, MATCH(B2347, 'nav master'!$B:$B, 0)), "")</f>
        <v>ULIF 145 03/06/21 SustainEqu 105</v>
      </c>
      <c r="E2347" s="8" t="s">
        <v>602</v>
      </c>
      <c r="F2347" s="8" t="s">
        <v>2667</v>
      </c>
    </row>
    <row r="2348" spans="1:6" ht="60" x14ac:dyDescent="0.25">
      <c r="A2348" s="8" t="s">
        <v>125</v>
      </c>
      <c r="B2348" s="8" t="s">
        <v>58</v>
      </c>
      <c r="C2348" s="8" t="str">
        <f>IFERROR(_xlfn.XLOOKUP(TRIM(B2348),Lookup!$B$2:$B$1000,Lookup!$C$2:$C$1000),"")</f>
        <v>Equity</v>
      </c>
      <c r="D2348" s="8" t="str">
        <f>IFERROR(INDEX('nav master'!$C:$C, MATCH(B2348, 'nav master'!$B:$B, 0)), "")</f>
        <v>ULIF 145 03/06/21 SustainEqu 105</v>
      </c>
      <c r="E2348" s="8" t="s">
        <v>604</v>
      </c>
      <c r="F2348" s="8" t="s">
        <v>2668</v>
      </c>
    </row>
    <row r="2349" spans="1:6" ht="60" x14ac:dyDescent="0.25">
      <c r="A2349" s="8" t="s">
        <v>125</v>
      </c>
      <c r="B2349" s="8" t="s">
        <v>58</v>
      </c>
      <c r="C2349" s="8" t="str">
        <f>IFERROR(_xlfn.XLOOKUP(TRIM(B2349),Lookup!$B$2:$B$1000,Lookup!$C$2:$C$1000),"")</f>
        <v>Equity</v>
      </c>
      <c r="D2349" s="8" t="str">
        <f>IFERROR(INDEX('nav master'!$C:$C, MATCH(B2349, 'nav master'!$B:$B, 0)), "")</f>
        <v>ULIF 145 03/06/21 SustainEqu 105</v>
      </c>
      <c r="E2349" s="8" t="s">
        <v>606</v>
      </c>
      <c r="F2349" s="8" t="s">
        <v>2669</v>
      </c>
    </row>
    <row r="2350" spans="1:6" ht="60" x14ac:dyDescent="0.25">
      <c r="A2350" s="8" t="s">
        <v>125</v>
      </c>
      <c r="B2350" s="8" t="s">
        <v>58</v>
      </c>
      <c r="C2350" s="8" t="str">
        <f>IFERROR(_xlfn.XLOOKUP(TRIM(B2350),Lookup!$B$2:$B$1000,Lookup!$C$2:$C$1000),"")</f>
        <v>Equity</v>
      </c>
      <c r="D2350" s="8" t="str">
        <f>IFERROR(INDEX('nav master'!$C:$C, MATCH(B2350, 'nav master'!$B:$B, 0)), "")</f>
        <v>ULIF 145 03/06/21 SustainEqu 105</v>
      </c>
      <c r="E2350" s="8" t="s">
        <v>608</v>
      </c>
      <c r="F2350" s="8" t="s">
        <v>2670</v>
      </c>
    </row>
    <row r="2351" spans="1:6" ht="60" x14ac:dyDescent="0.25">
      <c r="A2351" s="8" t="s">
        <v>125</v>
      </c>
      <c r="B2351" s="8" t="s">
        <v>58</v>
      </c>
      <c r="C2351" s="8" t="str">
        <f>IFERROR(_xlfn.XLOOKUP(TRIM(B2351),Lookup!$B$2:$B$1000,Lookup!$C$2:$C$1000),"")</f>
        <v>Equity</v>
      </c>
      <c r="D2351" s="8" t="str">
        <f>IFERROR(INDEX('nav master'!$C:$C, MATCH(B2351, 'nav master'!$B:$B, 0)), "")</f>
        <v>ULIF 145 03/06/21 SustainEqu 105</v>
      </c>
      <c r="E2351" s="8" t="s">
        <v>610</v>
      </c>
      <c r="F2351" s="8" t="s">
        <v>2671</v>
      </c>
    </row>
    <row r="2352" spans="1:6" ht="60" x14ac:dyDescent="0.25">
      <c r="A2352" s="8" t="s">
        <v>125</v>
      </c>
      <c r="B2352" s="8" t="s">
        <v>58</v>
      </c>
      <c r="C2352" s="8" t="str">
        <f>IFERROR(_xlfn.XLOOKUP(TRIM(B2352),Lookup!$B$2:$B$1000,Lookup!$C$2:$C$1000),"")</f>
        <v>Equity</v>
      </c>
      <c r="D2352" s="8" t="str">
        <f>IFERROR(INDEX('nav master'!$C:$C, MATCH(B2352, 'nav master'!$B:$B, 0)), "")</f>
        <v>ULIF 145 03/06/21 SustainEqu 105</v>
      </c>
      <c r="E2352" s="8" t="s">
        <v>612</v>
      </c>
      <c r="F2352" s="8" t="s">
        <v>2672</v>
      </c>
    </row>
    <row r="2353" spans="1:6" ht="60" x14ac:dyDescent="0.25">
      <c r="A2353" s="8" t="s">
        <v>125</v>
      </c>
      <c r="B2353" s="8" t="s">
        <v>58</v>
      </c>
      <c r="C2353" s="8" t="str">
        <f>IFERROR(_xlfn.XLOOKUP(TRIM(B2353),Lookup!$B$2:$B$1000,Lookup!$C$2:$C$1000),"")</f>
        <v>Equity</v>
      </c>
      <c r="D2353" s="8" t="str">
        <f>IFERROR(INDEX('nav master'!$C:$C, MATCH(B2353, 'nav master'!$B:$B, 0)), "")</f>
        <v>ULIF 145 03/06/21 SustainEqu 105</v>
      </c>
      <c r="E2353" s="8" t="s">
        <v>614</v>
      </c>
      <c r="F2353" s="8" t="s">
        <v>2673</v>
      </c>
    </row>
    <row r="2354" spans="1:6" ht="60" x14ac:dyDescent="0.25">
      <c r="A2354" s="8" t="s">
        <v>125</v>
      </c>
      <c r="B2354" s="8" t="s">
        <v>58</v>
      </c>
      <c r="C2354" s="8" t="str">
        <f>IFERROR(_xlfn.XLOOKUP(TRIM(B2354),Lookup!$B$2:$B$1000,Lookup!$C$2:$C$1000),"")</f>
        <v>Equity</v>
      </c>
      <c r="D2354" s="8" t="str">
        <f>IFERROR(INDEX('nav master'!$C:$C, MATCH(B2354, 'nav master'!$B:$B, 0)), "")</f>
        <v>ULIF 145 03/06/21 SustainEqu 105</v>
      </c>
      <c r="E2354" s="8" t="s">
        <v>616</v>
      </c>
      <c r="F2354" s="8" t="s">
        <v>2674</v>
      </c>
    </row>
    <row r="2355" spans="1:6" ht="60" x14ac:dyDescent="0.25">
      <c r="A2355" s="8" t="s">
        <v>125</v>
      </c>
      <c r="B2355" s="8" t="s">
        <v>58</v>
      </c>
      <c r="C2355" s="8" t="str">
        <f>IFERROR(_xlfn.XLOOKUP(TRIM(B2355),Lookup!$B$2:$B$1000,Lookup!$C$2:$C$1000),"")</f>
        <v>Equity</v>
      </c>
      <c r="D2355" s="8" t="str">
        <f>IFERROR(INDEX('nav master'!$C:$C, MATCH(B2355, 'nav master'!$B:$B, 0)), "")</f>
        <v>ULIF 145 03/06/21 SustainEqu 105</v>
      </c>
      <c r="E2355" s="8" t="s">
        <v>618</v>
      </c>
      <c r="F2355" s="8" t="s">
        <v>2675</v>
      </c>
    </row>
    <row r="2356" spans="1:6" ht="60" x14ac:dyDescent="0.25">
      <c r="A2356" s="8" t="s">
        <v>125</v>
      </c>
      <c r="B2356" s="8" t="s">
        <v>58</v>
      </c>
      <c r="C2356" s="8" t="str">
        <f>IFERROR(_xlfn.XLOOKUP(TRIM(B2356),Lookup!$B$2:$B$1000,Lookup!$C$2:$C$1000),"")</f>
        <v>Equity</v>
      </c>
      <c r="D2356" s="8" t="str">
        <f>IFERROR(INDEX('nav master'!$C:$C, MATCH(B2356, 'nav master'!$B:$B, 0)), "")</f>
        <v>ULIF 145 03/06/21 SustainEqu 105</v>
      </c>
      <c r="E2356" s="8" t="s">
        <v>620</v>
      </c>
      <c r="F2356" s="8" t="s">
        <v>2676</v>
      </c>
    </row>
    <row r="2357" spans="1:6" ht="60" x14ac:dyDescent="0.25">
      <c r="A2357" s="8" t="s">
        <v>125</v>
      </c>
      <c r="B2357" s="8" t="s">
        <v>58</v>
      </c>
      <c r="C2357" s="8" t="str">
        <f>IFERROR(_xlfn.XLOOKUP(TRIM(B2357),Lookup!$B$2:$B$1000,Lookup!$C$2:$C$1000),"")</f>
        <v>Equity</v>
      </c>
      <c r="D2357" s="8" t="str">
        <f>IFERROR(INDEX('nav master'!$C:$C, MATCH(B2357, 'nav master'!$B:$B, 0)), "")</f>
        <v>ULIF 145 03/06/21 SustainEqu 105</v>
      </c>
      <c r="E2357" s="8" t="s">
        <v>622</v>
      </c>
      <c r="F2357" s="8" t="s">
        <v>2677</v>
      </c>
    </row>
    <row r="2358" spans="1:6" ht="60" x14ac:dyDescent="0.25">
      <c r="A2358" s="8" t="s">
        <v>125</v>
      </c>
      <c r="B2358" s="8" t="s">
        <v>58</v>
      </c>
      <c r="C2358" s="8" t="str">
        <f>IFERROR(_xlfn.XLOOKUP(TRIM(B2358),Lookup!$B$2:$B$1000,Lookup!$C$2:$C$1000),"")</f>
        <v>Equity</v>
      </c>
      <c r="D2358" s="8" t="str">
        <f>IFERROR(INDEX('nav master'!$C:$C, MATCH(B2358, 'nav master'!$B:$B, 0)), "")</f>
        <v>ULIF 145 03/06/21 SustainEqu 105</v>
      </c>
      <c r="E2358" s="8" t="s">
        <v>624</v>
      </c>
      <c r="F2358" s="8" t="s">
        <v>2678</v>
      </c>
    </row>
    <row r="2359" spans="1:6" ht="60" x14ac:dyDescent="0.25">
      <c r="A2359" s="8" t="s">
        <v>125</v>
      </c>
      <c r="B2359" s="8" t="s">
        <v>58</v>
      </c>
      <c r="C2359" s="8" t="str">
        <f>IFERROR(_xlfn.XLOOKUP(TRIM(B2359),Lookup!$B$2:$B$1000,Lookup!$C$2:$C$1000),"")</f>
        <v>Equity</v>
      </c>
      <c r="D2359" s="8" t="str">
        <f>IFERROR(INDEX('nav master'!$C:$C, MATCH(B2359, 'nav master'!$B:$B, 0)), "")</f>
        <v>ULIF 145 03/06/21 SustainEqu 105</v>
      </c>
      <c r="E2359" s="8" t="s">
        <v>626</v>
      </c>
      <c r="F2359" s="8" t="s">
        <v>2679</v>
      </c>
    </row>
    <row r="2360" spans="1:6" ht="60" x14ac:dyDescent="0.25">
      <c r="A2360" s="8" t="s">
        <v>125</v>
      </c>
      <c r="B2360" s="8" t="s">
        <v>58</v>
      </c>
      <c r="C2360" s="8" t="str">
        <f>IFERROR(_xlfn.XLOOKUP(TRIM(B2360),Lookup!$B$2:$B$1000,Lookup!$C$2:$C$1000),"")</f>
        <v>Equity</v>
      </c>
      <c r="D2360" s="8" t="str">
        <f>IFERROR(INDEX('nav master'!$C:$C, MATCH(B2360, 'nav master'!$B:$B, 0)), "")</f>
        <v>ULIF 145 03/06/21 SustainEqu 105</v>
      </c>
      <c r="E2360" s="8" t="s">
        <v>628</v>
      </c>
      <c r="F2360" s="8" t="s">
        <v>2680</v>
      </c>
    </row>
    <row r="2361" spans="1:6" ht="60" x14ac:dyDescent="0.25">
      <c r="A2361" s="8" t="s">
        <v>125</v>
      </c>
      <c r="B2361" s="8" t="s">
        <v>58</v>
      </c>
      <c r="C2361" s="8" t="str">
        <f>IFERROR(_xlfn.XLOOKUP(TRIM(B2361),Lookup!$B$2:$B$1000,Lookup!$C$2:$C$1000),"")</f>
        <v>Equity</v>
      </c>
      <c r="D2361" s="8" t="str">
        <f>IFERROR(INDEX('nav master'!$C:$C, MATCH(B2361, 'nav master'!$B:$B, 0)), "")</f>
        <v>ULIF 145 03/06/21 SustainEqu 105</v>
      </c>
      <c r="E2361" s="8" t="s">
        <v>630</v>
      </c>
      <c r="F2361" s="8" t="s">
        <v>2681</v>
      </c>
    </row>
    <row r="2362" spans="1:6" ht="60" x14ac:dyDescent="0.25">
      <c r="A2362" s="8" t="s">
        <v>125</v>
      </c>
      <c r="B2362" s="8" t="s">
        <v>58</v>
      </c>
      <c r="C2362" s="8" t="str">
        <f>IFERROR(_xlfn.XLOOKUP(TRIM(B2362),Lookup!$B$2:$B$1000,Lookup!$C$2:$C$1000),"")</f>
        <v>Equity</v>
      </c>
      <c r="D2362" s="8" t="str">
        <f>IFERROR(INDEX('nav master'!$C:$C, MATCH(B2362, 'nav master'!$B:$B, 0)), "")</f>
        <v>ULIF 145 03/06/21 SustainEqu 105</v>
      </c>
      <c r="E2362" s="8" t="s">
        <v>632</v>
      </c>
      <c r="F2362" s="8" t="s">
        <v>2682</v>
      </c>
    </row>
    <row r="2363" spans="1:6" ht="60" x14ac:dyDescent="0.25">
      <c r="A2363" s="8" t="s">
        <v>125</v>
      </c>
      <c r="B2363" s="8" t="s">
        <v>58</v>
      </c>
      <c r="C2363" s="8" t="str">
        <f>IFERROR(_xlfn.XLOOKUP(TRIM(B2363),Lookup!$B$2:$B$1000,Lookup!$C$2:$C$1000),"")</f>
        <v>Equity</v>
      </c>
      <c r="D2363" s="8" t="str">
        <f>IFERROR(INDEX('nav master'!$C:$C, MATCH(B2363, 'nav master'!$B:$B, 0)), "")</f>
        <v>ULIF 145 03/06/21 SustainEqu 105</v>
      </c>
      <c r="E2363" s="8" t="s">
        <v>634</v>
      </c>
      <c r="F2363" s="8" t="s">
        <v>2683</v>
      </c>
    </row>
    <row r="2364" spans="1:6" ht="60" x14ac:dyDescent="0.25">
      <c r="A2364" s="8" t="s">
        <v>125</v>
      </c>
      <c r="B2364" s="8" t="s">
        <v>58</v>
      </c>
      <c r="C2364" s="8" t="str">
        <f>IFERROR(_xlfn.XLOOKUP(TRIM(B2364),Lookup!$B$2:$B$1000,Lookup!$C$2:$C$1000),"")</f>
        <v>Equity</v>
      </c>
      <c r="D2364" s="8" t="str">
        <f>IFERROR(INDEX('nav master'!$C:$C, MATCH(B2364, 'nav master'!$B:$B, 0)), "")</f>
        <v>ULIF 145 03/06/21 SustainEqu 105</v>
      </c>
      <c r="E2364" s="8" t="s">
        <v>636</v>
      </c>
      <c r="F2364" s="8" t="s">
        <v>2684</v>
      </c>
    </row>
    <row r="2365" spans="1:6" ht="60" x14ac:dyDescent="0.25">
      <c r="A2365" s="8" t="s">
        <v>125</v>
      </c>
      <c r="B2365" s="8" t="s">
        <v>58</v>
      </c>
      <c r="C2365" s="8" t="str">
        <f>IFERROR(_xlfn.XLOOKUP(TRIM(B2365),Lookup!$B$2:$B$1000,Lookup!$C$2:$C$1000),"")</f>
        <v>Equity</v>
      </c>
      <c r="D2365" s="8" t="str">
        <f>IFERROR(INDEX('nav master'!$C:$C, MATCH(B2365, 'nav master'!$B:$B, 0)), "")</f>
        <v>ULIF 145 03/06/21 SustainEqu 105</v>
      </c>
      <c r="E2365" s="8" t="s">
        <v>638</v>
      </c>
      <c r="F2365" s="8" t="s">
        <v>2685</v>
      </c>
    </row>
    <row r="2366" spans="1:6" ht="60" x14ac:dyDescent="0.25">
      <c r="A2366" s="8" t="s">
        <v>125</v>
      </c>
      <c r="B2366" s="8" t="s">
        <v>58</v>
      </c>
      <c r="C2366" s="8" t="str">
        <f>IFERROR(_xlfn.XLOOKUP(TRIM(B2366),Lookup!$B$2:$B$1000,Lookup!$C$2:$C$1000),"")</f>
        <v>Equity</v>
      </c>
      <c r="D2366" s="8" t="str">
        <f>IFERROR(INDEX('nav master'!$C:$C, MATCH(B2366, 'nav master'!$B:$B, 0)), "")</f>
        <v>ULIF 145 03/06/21 SustainEqu 105</v>
      </c>
      <c r="E2366" s="8" t="s">
        <v>640</v>
      </c>
      <c r="F2366" s="8" t="s">
        <v>2686</v>
      </c>
    </row>
    <row r="2367" spans="1:6" ht="60" x14ac:dyDescent="0.25">
      <c r="A2367" s="8" t="s">
        <v>125</v>
      </c>
      <c r="B2367" s="8" t="s">
        <v>58</v>
      </c>
      <c r="C2367" s="8" t="str">
        <f>IFERROR(_xlfn.XLOOKUP(TRIM(B2367),Lookup!$B$2:$B$1000,Lookup!$C$2:$C$1000),"")</f>
        <v>Equity</v>
      </c>
      <c r="D2367" s="8" t="str">
        <f>IFERROR(INDEX('nav master'!$C:$C, MATCH(B2367, 'nav master'!$B:$B, 0)), "")</f>
        <v>ULIF 145 03/06/21 SustainEqu 105</v>
      </c>
      <c r="E2367" s="8" t="s">
        <v>642</v>
      </c>
      <c r="F2367" s="8" t="s">
        <v>2687</v>
      </c>
    </row>
    <row r="2368" spans="1:6" ht="60" x14ac:dyDescent="0.25">
      <c r="A2368" s="8" t="s">
        <v>125</v>
      </c>
      <c r="B2368" s="8" t="s">
        <v>58</v>
      </c>
      <c r="C2368" s="8" t="str">
        <f>IFERROR(_xlfn.XLOOKUP(TRIM(B2368),Lookup!$B$2:$B$1000,Lookup!$C$2:$C$1000),"")</f>
        <v>Equity</v>
      </c>
      <c r="D2368" s="8" t="str">
        <f>IFERROR(INDEX('nav master'!$C:$C, MATCH(B2368, 'nav master'!$B:$B, 0)), "")</f>
        <v>ULIF 145 03/06/21 SustainEqu 105</v>
      </c>
      <c r="E2368" s="8" t="s">
        <v>644</v>
      </c>
      <c r="F2368" s="8" t="s">
        <v>2688</v>
      </c>
    </row>
    <row r="2369" spans="1:6" ht="60" x14ac:dyDescent="0.25">
      <c r="A2369" s="8" t="s">
        <v>125</v>
      </c>
      <c r="B2369" s="8" t="s">
        <v>58</v>
      </c>
      <c r="C2369" s="8" t="str">
        <f>IFERROR(_xlfn.XLOOKUP(TRIM(B2369),Lookup!$B$2:$B$1000,Lookup!$C$2:$C$1000),"")</f>
        <v>Equity</v>
      </c>
      <c r="D2369" s="8" t="str">
        <f>IFERROR(INDEX('nav master'!$C:$C, MATCH(B2369, 'nav master'!$B:$B, 0)), "")</f>
        <v>ULIF 145 03/06/21 SustainEqu 105</v>
      </c>
      <c r="E2369" s="8" t="s">
        <v>646</v>
      </c>
      <c r="F2369" s="8" t="s">
        <v>2689</v>
      </c>
    </row>
    <row r="2370" spans="1:6" ht="60" x14ac:dyDescent="0.25">
      <c r="A2370" s="8" t="s">
        <v>125</v>
      </c>
      <c r="B2370" s="8" t="s">
        <v>58</v>
      </c>
      <c r="C2370" s="8" t="str">
        <f>IFERROR(_xlfn.XLOOKUP(TRIM(B2370),Lookup!$B$2:$B$1000,Lookup!$C$2:$C$1000),"")</f>
        <v>Equity</v>
      </c>
      <c r="D2370" s="8" t="str">
        <f>IFERROR(INDEX('nav master'!$C:$C, MATCH(B2370, 'nav master'!$B:$B, 0)), "")</f>
        <v>ULIF 145 03/06/21 SustainEqu 105</v>
      </c>
      <c r="E2370" s="8" t="s">
        <v>648</v>
      </c>
      <c r="F2370" s="8" t="s">
        <v>2690</v>
      </c>
    </row>
    <row r="2371" spans="1:6" ht="60" x14ac:dyDescent="0.25">
      <c r="A2371" s="8" t="s">
        <v>125</v>
      </c>
      <c r="B2371" s="8" t="s">
        <v>58</v>
      </c>
      <c r="C2371" s="8" t="str">
        <f>IFERROR(_xlfn.XLOOKUP(TRIM(B2371),Lookup!$B$2:$B$1000,Lookup!$C$2:$C$1000),"")</f>
        <v>Equity</v>
      </c>
      <c r="D2371" s="8" t="str">
        <f>IFERROR(INDEX('nav master'!$C:$C, MATCH(B2371, 'nav master'!$B:$B, 0)), "")</f>
        <v>ULIF 145 03/06/21 SustainEqu 105</v>
      </c>
      <c r="E2371" s="8" t="s">
        <v>650</v>
      </c>
      <c r="F2371" s="8" t="s">
        <v>2691</v>
      </c>
    </row>
    <row r="2372" spans="1:6" ht="60" x14ac:dyDescent="0.25">
      <c r="A2372" s="8" t="s">
        <v>125</v>
      </c>
      <c r="B2372" s="8" t="s">
        <v>58</v>
      </c>
      <c r="C2372" s="8" t="str">
        <f>IFERROR(_xlfn.XLOOKUP(TRIM(B2372),Lookup!$B$2:$B$1000,Lookup!$C$2:$C$1000),"")</f>
        <v>Equity</v>
      </c>
      <c r="D2372" s="8" t="str">
        <f>IFERROR(INDEX('nav master'!$C:$C, MATCH(B2372, 'nav master'!$B:$B, 0)), "")</f>
        <v>ULIF 145 03/06/21 SustainEqu 105</v>
      </c>
      <c r="E2372" s="8" t="s">
        <v>652</v>
      </c>
      <c r="F2372" s="8" t="s">
        <v>2692</v>
      </c>
    </row>
    <row r="2373" spans="1:6" ht="60" x14ac:dyDescent="0.25">
      <c r="A2373" s="8" t="s">
        <v>125</v>
      </c>
      <c r="B2373" s="8" t="s">
        <v>58</v>
      </c>
      <c r="C2373" s="8" t="str">
        <f>IFERROR(_xlfn.XLOOKUP(TRIM(B2373),Lookup!$B$2:$B$1000,Lookup!$C$2:$C$1000),"")</f>
        <v>Equity</v>
      </c>
      <c r="D2373" s="8" t="str">
        <f>IFERROR(INDEX('nav master'!$C:$C, MATCH(B2373, 'nav master'!$B:$B, 0)), "")</f>
        <v>ULIF 145 03/06/21 SustainEqu 105</v>
      </c>
      <c r="E2373" s="8" t="s">
        <v>654</v>
      </c>
      <c r="F2373" s="8" t="s">
        <v>2693</v>
      </c>
    </row>
    <row r="2374" spans="1:6" ht="60" x14ac:dyDescent="0.25">
      <c r="A2374" s="8" t="s">
        <v>125</v>
      </c>
      <c r="B2374" s="8" t="s">
        <v>58</v>
      </c>
      <c r="C2374" s="8" t="str">
        <f>IFERROR(_xlfn.XLOOKUP(TRIM(B2374),Lookup!$B$2:$B$1000,Lookup!$C$2:$C$1000),"")</f>
        <v>Equity</v>
      </c>
      <c r="D2374" s="8" t="str">
        <f>IFERROR(INDEX('nav master'!$C:$C, MATCH(B2374, 'nav master'!$B:$B, 0)), "")</f>
        <v>ULIF 145 03/06/21 SustainEqu 105</v>
      </c>
      <c r="E2374" s="8" t="s">
        <v>656</v>
      </c>
      <c r="F2374" s="8" t="s">
        <v>2694</v>
      </c>
    </row>
    <row r="2375" spans="1:6" ht="60" x14ac:dyDescent="0.25">
      <c r="A2375" s="8" t="s">
        <v>125</v>
      </c>
      <c r="B2375" s="8" t="s">
        <v>58</v>
      </c>
      <c r="C2375" s="8" t="str">
        <f>IFERROR(_xlfn.XLOOKUP(TRIM(B2375),Lookup!$B$2:$B$1000,Lookup!$C$2:$C$1000),"")</f>
        <v>Equity</v>
      </c>
      <c r="D2375" s="8" t="str">
        <f>IFERROR(INDEX('nav master'!$C:$C, MATCH(B2375, 'nav master'!$B:$B, 0)), "")</f>
        <v>ULIF 145 03/06/21 SustainEqu 105</v>
      </c>
      <c r="E2375" s="8" t="s">
        <v>658</v>
      </c>
      <c r="F2375" s="8" t="s">
        <v>2695</v>
      </c>
    </row>
    <row r="2376" spans="1:6" ht="60" x14ac:dyDescent="0.25">
      <c r="A2376" s="8" t="s">
        <v>125</v>
      </c>
      <c r="B2376" s="8" t="s">
        <v>58</v>
      </c>
      <c r="C2376" s="8" t="str">
        <f>IFERROR(_xlfn.XLOOKUP(TRIM(B2376),Lookup!$B$2:$B$1000,Lookup!$C$2:$C$1000),"")</f>
        <v>Equity</v>
      </c>
      <c r="D2376" s="8" t="str">
        <f>IFERROR(INDEX('nav master'!$C:$C, MATCH(B2376, 'nav master'!$B:$B, 0)), "")</f>
        <v>ULIF 145 03/06/21 SustainEqu 105</v>
      </c>
      <c r="E2376" s="8" t="s">
        <v>660</v>
      </c>
      <c r="F2376" s="8" t="s">
        <v>2696</v>
      </c>
    </row>
    <row r="2377" spans="1:6" ht="60" x14ac:dyDescent="0.25">
      <c r="A2377" s="8" t="s">
        <v>125</v>
      </c>
      <c r="B2377" s="8" t="s">
        <v>58</v>
      </c>
      <c r="C2377" s="8" t="str">
        <f>IFERROR(_xlfn.XLOOKUP(TRIM(B2377),Lookup!$B$2:$B$1000,Lookup!$C$2:$C$1000),"")</f>
        <v>Equity</v>
      </c>
      <c r="D2377" s="8" t="str">
        <f>IFERROR(INDEX('nav master'!$C:$C, MATCH(B2377, 'nav master'!$B:$B, 0)), "")</f>
        <v>ULIF 145 03/06/21 SustainEqu 105</v>
      </c>
      <c r="E2377" s="8" t="s">
        <v>662</v>
      </c>
      <c r="F2377" s="8" t="s">
        <v>2697</v>
      </c>
    </row>
    <row r="2378" spans="1:6" ht="60" x14ac:dyDescent="0.25">
      <c r="A2378" s="8" t="s">
        <v>125</v>
      </c>
      <c r="B2378" s="8" t="s">
        <v>58</v>
      </c>
      <c r="C2378" s="8" t="str">
        <f>IFERROR(_xlfn.XLOOKUP(TRIM(B2378),Lookup!$B$2:$B$1000,Lookup!$C$2:$C$1000),"")</f>
        <v>Equity</v>
      </c>
      <c r="D2378" s="8" t="str">
        <f>IFERROR(INDEX('nav master'!$C:$C, MATCH(B2378, 'nav master'!$B:$B, 0)), "")</f>
        <v>ULIF 145 03/06/21 SustainEqu 105</v>
      </c>
      <c r="E2378" s="8" t="s">
        <v>664</v>
      </c>
      <c r="F2378" s="8" t="s">
        <v>2698</v>
      </c>
    </row>
    <row r="2379" spans="1:6" ht="60" x14ac:dyDescent="0.25">
      <c r="A2379" s="8" t="s">
        <v>125</v>
      </c>
      <c r="B2379" s="8" t="s">
        <v>58</v>
      </c>
      <c r="C2379" s="8" t="str">
        <f>IFERROR(_xlfn.XLOOKUP(TRIM(B2379),Lookup!$B$2:$B$1000,Lookup!$C$2:$C$1000),"")</f>
        <v>Equity</v>
      </c>
      <c r="D2379" s="8" t="str">
        <f>IFERROR(INDEX('nav master'!$C:$C, MATCH(B2379, 'nav master'!$B:$B, 0)), "")</f>
        <v>ULIF 145 03/06/21 SustainEqu 105</v>
      </c>
      <c r="E2379" s="8" t="s">
        <v>4892</v>
      </c>
      <c r="F2379" s="8" t="s">
        <v>4968</v>
      </c>
    </row>
    <row r="2380" spans="1:6" ht="60" x14ac:dyDescent="0.25">
      <c r="A2380" s="8" t="s">
        <v>125</v>
      </c>
      <c r="B2380" s="8" t="s">
        <v>58</v>
      </c>
      <c r="C2380" s="8" t="str">
        <f>IFERROR(_xlfn.XLOOKUP(TRIM(B2380),Lookup!$B$2:$B$1000,Lookup!$C$2:$C$1000),"")</f>
        <v>Equity</v>
      </c>
      <c r="D2380" s="8" t="str">
        <f>IFERROR(INDEX('nav master'!$C:$C, MATCH(B2380, 'nav master'!$B:$B, 0)), "")</f>
        <v>ULIF 145 03/06/21 SustainEqu 105</v>
      </c>
      <c r="E2380" s="8" t="s">
        <v>4894</v>
      </c>
      <c r="F2380" s="8" t="s">
        <v>4969</v>
      </c>
    </row>
    <row r="2381" spans="1:6" ht="60" x14ac:dyDescent="0.25">
      <c r="A2381" s="8" t="s">
        <v>125</v>
      </c>
      <c r="B2381" s="8" t="s">
        <v>58</v>
      </c>
      <c r="C2381" s="8" t="str">
        <f>IFERROR(_xlfn.XLOOKUP(TRIM(B2381),Lookup!$B$2:$B$1000,Lookup!$C$2:$C$1000),"")</f>
        <v>Equity</v>
      </c>
      <c r="D2381" s="8" t="str">
        <f>IFERROR(INDEX('nav master'!$C:$C, MATCH(B2381, 'nav master'!$B:$B, 0)), "")</f>
        <v>ULIF 145 03/06/21 SustainEqu 105</v>
      </c>
      <c r="E2381" s="8" t="s">
        <v>4896</v>
      </c>
      <c r="F2381" s="8" t="s">
        <v>4970</v>
      </c>
    </row>
    <row r="2382" spans="1:6" ht="60" x14ac:dyDescent="0.25">
      <c r="A2382" s="8" t="s">
        <v>125</v>
      </c>
      <c r="B2382" s="8" t="s">
        <v>58</v>
      </c>
      <c r="C2382" s="8" t="str">
        <f>IFERROR(_xlfn.XLOOKUP(TRIM(B2382),Lookup!$B$2:$B$1000,Lookup!$C$2:$C$1000),"")</f>
        <v>Equity</v>
      </c>
      <c r="D2382" s="8" t="str">
        <f>IFERROR(INDEX('nav master'!$C:$C, MATCH(B2382, 'nav master'!$B:$B, 0)), "")</f>
        <v>ULIF 145 03/06/21 SustainEqu 105</v>
      </c>
      <c r="E2382" s="8" t="s">
        <v>4898</v>
      </c>
      <c r="F2382" s="8" t="s">
        <v>4971</v>
      </c>
    </row>
    <row r="2383" spans="1:6" ht="60" x14ac:dyDescent="0.25">
      <c r="A2383" s="8" t="s">
        <v>125</v>
      </c>
      <c r="B2383" s="8" t="s">
        <v>58</v>
      </c>
      <c r="C2383" s="8" t="str">
        <f>IFERROR(_xlfn.XLOOKUP(TRIM(B2383),Lookup!$B$2:$B$1000,Lookup!$C$2:$C$1000),"")</f>
        <v>Equity</v>
      </c>
      <c r="D2383" s="8" t="str">
        <f>IFERROR(INDEX('nav master'!$C:$C, MATCH(B2383, 'nav master'!$B:$B, 0)), "")</f>
        <v>ULIF 145 03/06/21 SustainEqu 105</v>
      </c>
      <c r="E2383" s="8" t="s">
        <v>4900</v>
      </c>
      <c r="F2383" s="8" t="s">
        <v>4972</v>
      </c>
    </row>
    <row r="2384" spans="1:6" ht="60" x14ac:dyDescent="0.25">
      <c r="A2384" s="8" t="s">
        <v>125</v>
      </c>
      <c r="B2384" s="8" t="s">
        <v>58</v>
      </c>
      <c r="C2384" s="8" t="str">
        <f>IFERROR(_xlfn.XLOOKUP(TRIM(B2384),Lookup!$B$2:$B$1000,Lookup!$C$2:$C$1000),"")</f>
        <v>Equity</v>
      </c>
      <c r="D2384" s="8" t="str">
        <f>IFERROR(INDEX('nav master'!$C:$C, MATCH(B2384, 'nav master'!$B:$B, 0)), "")</f>
        <v>ULIF 145 03/06/21 SustainEqu 105</v>
      </c>
      <c r="E2384" s="8" t="s">
        <v>4902</v>
      </c>
      <c r="F2384" s="8" t="s">
        <v>4973</v>
      </c>
    </row>
    <row r="2385" spans="1:6" ht="60" x14ac:dyDescent="0.25">
      <c r="A2385" s="8" t="s">
        <v>125</v>
      </c>
      <c r="B2385" s="8" t="s">
        <v>58</v>
      </c>
      <c r="C2385" s="8" t="str">
        <f>IFERROR(_xlfn.XLOOKUP(TRIM(B2385),Lookup!$B$2:$B$1000,Lookup!$C$2:$C$1000),"")</f>
        <v>Equity</v>
      </c>
      <c r="D2385" s="8" t="str">
        <f>IFERROR(INDEX('nav master'!$C:$C, MATCH(B2385, 'nav master'!$B:$B, 0)), "")</f>
        <v>ULIF 145 03/06/21 SustainEqu 105</v>
      </c>
      <c r="E2385" s="8" t="s">
        <v>4903</v>
      </c>
      <c r="F2385" s="8" t="s">
        <v>4974</v>
      </c>
    </row>
    <row r="2386" spans="1:6" ht="60" x14ac:dyDescent="0.25">
      <c r="A2386" s="8" t="s">
        <v>125</v>
      </c>
      <c r="B2386" s="8" t="s">
        <v>58</v>
      </c>
      <c r="C2386" s="8" t="str">
        <f>IFERROR(_xlfn.XLOOKUP(TRIM(B2386),Lookup!$B$2:$B$1000,Lookup!$C$2:$C$1000),"")</f>
        <v>Equity</v>
      </c>
      <c r="D2386" s="8" t="str">
        <f>IFERROR(INDEX('nav master'!$C:$C, MATCH(B2386, 'nav master'!$B:$B, 0)), "")</f>
        <v>ULIF 145 03/06/21 SustainEqu 105</v>
      </c>
      <c r="E2386" s="8" t="s">
        <v>4905</v>
      </c>
      <c r="F2386" s="8" t="s">
        <v>4975</v>
      </c>
    </row>
    <row r="2387" spans="1:6" ht="60" x14ac:dyDescent="0.25">
      <c r="A2387" s="8" t="s">
        <v>125</v>
      </c>
      <c r="B2387" s="8" t="s">
        <v>64</v>
      </c>
      <c r="C2387" s="8" t="str">
        <f>IFERROR(_xlfn.XLOOKUP(TRIM(B2387),Lookup!$B$2:$B$1000,Lookup!$C$2:$C$1000),"")</f>
        <v>Hybrid</v>
      </c>
      <c r="D2387" s="8" t="str">
        <f>IFERROR(INDEX('nav master'!$C:$C, MATCH(B2387, 'nav master'!$B:$B, 0)), "")</f>
        <v>ULIF08028/02/25DynamicFnd101</v>
      </c>
      <c r="E2387" s="8" t="s">
        <v>189</v>
      </c>
      <c r="F2387" s="8" t="s">
        <v>2699</v>
      </c>
    </row>
    <row r="2388" spans="1:6" ht="60" x14ac:dyDescent="0.25">
      <c r="A2388" s="8" t="s">
        <v>125</v>
      </c>
      <c r="B2388" s="8" t="s">
        <v>64</v>
      </c>
      <c r="C2388" s="8" t="str">
        <f>IFERROR(_xlfn.XLOOKUP(TRIM(B2388),Lookup!$B$2:$B$1000,Lookup!$C$2:$C$1000),"")</f>
        <v>Hybrid</v>
      </c>
      <c r="D2388" s="8" t="str">
        <f>IFERROR(INDEX('nav master'!$C:$C, MATCH(B2388, 'nav master'!$B:$B, 0)), "")</f>
        <v>ULIF08028/02/25DynamicFnd101</v>
      </c>
      <c r="E2388" s="8" t="s">
        <v>191</v>
      </c>
      <c r="F2388" s="8" t="s">
        <v>2700</v>
      </c>
    </row>
    <row r="2389" spans="1:6" ht="60" x14ac:dyDescent="0.25">
      <c r="A2389" s="8" t="s">
        <v>125</v>
      </c>
      <c r="B2389" s="8" t="s">
        <v>64</v>
      </c>
      <c r="C2389" s="8" t="str">
        <f>IFERROR(_xlfn.XLOOKUP(TRIM(B2389),Lookup!$B$2:$B$1000,Lookup!$C$2:$C$1000),"")</f>
        <v>Hybrid</v>
      </c>
      <c r="D2389" s="8" t="str">
        <f>IFERROR(INDEX('nav master'!$C:$C, MATCH(B2389, 'nav master'!$B:$B, 0)), "")</f>
        <v>ULIF08028/02/25DynamicFnd101</v>
      </c>
      <c r="E2389" s="8" t="s">
        <v>193</v>
      </c>
      <c r="F2389" s="8" t="s">
        <v>2701</v>
      </c>
    </row>
    <row r="2390" spans="1:6" ht="60" x14ac:dyDescent="0.25">
      <c r="A2390" s="8" t="s">
        <v>125</v>
      </c>
      <c r="B2390" s="8" t="s">
        <v>64</v>
      </c>
      <c r="C2390" s="8" t="str">
        <f>IFERROR(_xlfn.XLOOKUP(TRIM(B2390),Lookup!$B$2:$B$1000,Lookup!$C$2:$C$1000),"")</f>
        <v>Hybrid</v>
      </c>
      <c r="D2390" s="8" t="str">
        <f>IFERROR(INDEX('nav master'!$C:$C, MATCH(B2390, 'nav master'!$B:$B, 0)), "")</f>
        <v>ULIF08028/02/25DynamicFnd101</v>
      </c>
      <c r="E2390" s="8" t="s">
        <v>195</v>
      </c>
      <c r="F2390" s="8" t="s">
        <v>2702</v>
      </c>
    </row>
    <row r="2391" spans="1:6" ht="60" x14ac:dyDescent="0.25">
      <c r="A2391" s="8" t="s">
        <v>125</v>
      </c>
      <c r="B2391" s="8" t="s">
        <v>64</v>
      </c>
      <c r="C2391" s="8" t="str">
        <f>IFERROR(_xlfn.XLOOKUP(TRIM(B2391),Lookup!$B$2:$B$1000,Lookup!$C$2:$C$1000),"")</f>
        <v>Hybrid</v>
      </c>
      <c r="D2391" s="8" t="str">
        <f>IFERROR(INDEX('nav master'!$C:$C, MATCH(B2391, 'nav master'!$B:$B, 0)), "")</f>
        <v>ULIF08028/02/25DynamicFnd101</v>
      </c>
      <c r="E2391" s="8" t="s">
        <v>197</v>
      </c>
      <c r="F2391" s="8" t="s">
        <v>2703</v>
      </c>
    </row>
    <row r="2392" spans="1:6" ht="60" x14ac:dyDescent="0.25">
      <c r="A2392" s="8" t="s">
        <v>125</v>
      </c>
      <c r="B2392" s="8" t="s">
        <v>64</v>
      </c>
      <c r="C2392" s="8" t="str">
        <f>IFERROR(_xlfn.XLOOKUP(TRIM(B2392),Lookup!$B$2:$B$1000,Lookup!$C$2:$C$1000),"")</f>
        <v>Hybrid</v>
      </c>
      <c r="D2392" s="8" t="str">
        <f>IFERROR(INDEX('nav master'!$C:$C, MATCH(B2392, 'nav master'!$B:$B, 0)), "")</f>
        <v>ULIF08028/02/25DynamicFnd101</v>
      </c>
      <c r="E2392" s="8" t="s">
        <v>199</v>
      </c>
      <c r="F2392" s="8" t="s">
        <v>2704</v>
      </c>
    </row>
    <row r="2393" spans="1:6" ht="60" x14ac:dyDescent="0.25">
      <c r="A2393" s="8" t="s">
        <v>125</v>
      </c>
      <c r="B2393" s="8" t="s">
        <v>64</v>
      </c>
      <c r="C2393" s="8" t="str">
        <f>IFERROR(_xlfn.XLOOKUP(TRIM(B2393),Lookup!$B$2:$B$1000,Lookup!$C$2:$C$1000),"")</f>
        <v>Hybrid</v>
      </c>
      <c r="D2393" s="8" t="str">
        <f>IFERROR(INDEX('nav master'!$C:$C, MATCH(B2393, 'nav master'!$B:$B, 0)), "")</f>
        <v>ULIF08028/02/25DynamicFnd101</v>
      </c>
      <c r="E2393" s="8" t="s">
        <v>201</v>
      </c>
      <c r="F2393" s="8" t="s">
        <v>2705</v>
      </c>
    </row>
    <row r="2394" spans="1:6" ht="60" x14ac:dyDescent="0.25">
      <c r="A2394" s="8" t="s">
        <v>125</v>
      </c>
      <c r="B2394" s="8" t="s">
        <v>64</v>
      </c>
      <c r="C2394" s="8" t="str">
        <f>IFERROR(_xlfn.XLOOKUP(TRIM(B2394),Lookup!$B$2:$B$1000,Lookup!$C$2:$C$1000),"")</f>
        <v>Hybrid</v>
      </c>
      <c r="D2394" s="8" t="str">
        <f>IFERROR(INDEX('nav master'!$C:$C, MATCH(B2394, 'nav master'!$B:$B, 0)), "")</f>
        <v>ULIF08028/02/25DynamicFnd101</v>
      </c>
      <c r="E2394" s="8" t="s">
        <v>203</v>
      </c>
      <c r="F2394" s="8" t="s">
        <v>2706</v>
      </c>
    </row>
    <row r="2395" spans="1:6" ht="60" x14ac:dyDescent="0.25">
      <c r="A2395" s="8" t="s">
        <v>125</v>
      </c>
      <c r="B2395" s="8" t="s">
        <v>64</v>
      </c>
      <c r="C2395" s="8" t="str">
        <f>IFERROR(_xlfn.XLOOKUP(TRIM(B2395),Lookup!$B$2:$B$1000,Lookup!$C$2:$C$1000),"")</f>
        <v>Hybrid</v>
      </c>
      <c r="D2395" s="8" t="str">
        <f>IFERROR(INDEX('nav master'!$C:$C, MATCH(B2395, 'nav master'!$B:$B, 0)), "")</f>
        <v>ULIF08028/02/25DynamicFnd101</v>
      </c>
      <c r="E2395" s="8" t="s">
        <v>205</v>
      </c>
      <c r="F2395" s="8" t="s">
        <v>2707</v>
      </c>
    </row>
    <row r="2396" spans="1:6" ht="60" x14ac:dyDescent="0.25">
      <c r="A2396" s="8" t="s">
        <v>125</v>
      </c>
      <c r="B2396" s="8" t="s">
        <v>64</v>
      </c>
      <c r="C2396" s="8" t="str">
        <f>IFERROR(_xlfn.XLOOKUP(TRIM(B2396),Lookup!$B$2:$B$1000,Lookup!$C$2:$C$1000),"")</f>
        <v>Hybrid</v>
      </c>
      <c r="D2396" s="8" t="str">
        <f>IFERROR(INDEX('nav master'!$C:$C, MATCH(B2396, 'nav master'!$B:$B, 0)), "")</f>
        <v>ULIF08028/02/25DynamicFnd101</v>
      </c>
      <c r="E2396" s="8" t="s">
        <v>207</v>
      </c>
      <c r="F2396" s="8" t="s">
        <v>2708</v>
      </c>
    </row>
    <row r="2397" spans="1:6" ht="60" x14ac:dyDescent="0.25">
      <c r="A2397" s="8" t="s">
        <v>125</v>
      </c>
      <c r="B2397" s="8" t="s">
        <v>64</v>
      </c>
      <c r="C2397" s="8" t="str">
        <f>IFERROR(_xlfn.XLOOKUP(TRIM(B2397),Lookup!$B$2:$B$1000,Lookup!$C$2:$C$1000),"")</f>
        <v>Hybrid</v>
      </c>
      <c r="D2397" s="8" t="str">
        <f>IFERROR(INDEX('nav master'!$C:$C, MATCH(B2397, 'nav master'!$B:$B, 0)), "")</f>
        <v>ULIF08028/02/25DynamicFnd101</v>
      </c>
      <c r="E2397" s="8" t="s">
        <v>209</v>
      </c>
      <c r="F2397" s="8" t="s">
        <v>2709</v>
      </c>
    </row>
    <row r="2398" spans="1:6" ht="60" x14ac:dyDescent="0.25">
      <c r="A2398" s="8" t="s">
        <v>125</v>
      </c>
      <c r="B2398" s="8" t="s">
        <v>64</v>
      </c>
      <c r="C2398" s="8" t="str">
        <f>IFERROR(_xlfn.XLOOKUP(TRIM(B2398),Lookup!$B$2:$B$1000,Lookup!$C$2:$C$1000),"")</f>
        <v>Hybrid</v>
      </c>
      <c r="D2398" s="8" t="str">
        <f>IFERROR(INDEX('nav master'!$C:$C, MATCH(B2398, 'nav master'!$B:$B, 0)), "")</f>
        <v>ULIF08028/02/25DynamicFnd101</v>
      </c>
      <c r="E2398" s="8" t="s">
        <v>211</v>
      </c>
      <c r="F2398" s="8" t="s">
        <v>2710</v>
      </c>
    </row>
    <row r="2399" spans="1:6" ht="60" x14ac:dyDescent="0.25">
      <c r="A2399" s="8" t="s">
        <v>125</v>
      </c>
      <c r="B2399" s="8" t="s">
        <v>64</v>
      </c>
      <c r="C2399" s="8" t="str">
        <f>IFERROR(_xlfn.XLOOKUP(TRIM(B2399),Lookup!$B$2:$B$1000,Lookup!$C$2:$C$1000),"")</f>
        <v>Hybrid</v>
      </c>
      <c r="D2399" s="8" t="str">
        <f>IFERROR(INDEX('nav master'!$C:$C, MATCH(B2399, 'nav master'!$B:$B, 0)), "")</f>
        <v>ULIF08028/02/25DynamicFnd101</v>
      </c>
      <c r="E2399" s="8" t="s">
        <v>213</v>
      </c>
      <c r="F2399" s="8" t="s">
        <v>2711</v>
      </c>
    </row>
    <row r="2400" spans="1:6" ht="60" x14ac:dyDescent="0.25">
      <c r="A2400" s="8" t="s">
        <v>125</v>
      </c>
      <c r="B2400" s="8" t="s">
        <v>64</v>
      </c>
      <c r="C2400" s="8" t="str">
        <f>IFERROR(_xlfn.XLOOKUP(TRIM(B2400),Lookup!$B$2:$B$1000,Lookup!$C$2:$C$1000),"")</f>
        <v>Hybrid</v>
      </c>
      <c r="D2400" s="8" t="str">
        <f>IFERROR(INDEX('nav master'!$C:$C, MATCH(B2400, 'nav master'!$B:$B, 0)), "")</f>
        <v>ULIF08028/02/25DynamicFnd101</v>
      </c>
      <c r="E2400" s="8" t="s">
        <v>215</v>
      </c>
      <c r="F2400" s="8" t="s">
        <v>2712</v>
      </c>
    </row>
    <row r="2401" spans="1:6" ht="60" x14ac:dyDescent="0.25">
      <c r="A2401" s="8" t="s">
        <v>125</v>
      </c>
      <c r="B2401" s="8" t="s">
        <v>64</v>
      </c>
      <c r="C2401" s="8" t="str">
        <f>IFERROR(_xlfn.XLOOKUP(TRIM(B2401),Lookup!$B$2:$B$1000,Lookup!$C$2:$C$1000),"")</f>
        <v>Hybrid</v>
      </c>
      <c r="D2401" s="8" t="str">
        <f>IFERROR(INDEX('nav master'!$C:$C, MATCH(B2401, 'nav master'!$B:$B, 0)), "")</f>
        <v>ULIF08028/02/25DynamicFnd101</v>
      </c>
      <c r="E2401" s="8" t="s">
        <v>217</v>
      </c>
      <c r="F2401" s="8" t="s">
        <v>2713</v>
      </c>
    </row>
    <row r="2402" spans="1:6" ht="60" x14ac:dyDescent="0.25">
      <c r="A2402" s="8" t="s">
        <v>125</v>
      </c>
      <c r="B2402" s="8" t="s">
        <v>64</v>
      </c>
      <c r="C2402" s="8" t="str">
        <f>IFERROR(_xlfn.XLOOKUP(TRIM(B2402),Lookup!$B$2:$B$1000,Lookup!$C$2:$C$1000),"")</f>
        <v>Hybrid</v>
      </c>
      <c r="D2402" s="8" t="str">
        <f>IFERROR(INDEX('nav master'!$C:$C, MATCH(B2402, 'nav master'!$B:$B, 0)), "")</f>
        <v>ULIF08028/02/25DynamicFnd101</v>
      </c>
      <c r="E2402" s="8" t="s">
        <v>219</v>
      </c>
      <c r="F2402" s="8" t="s">
        <v>2714</v>
      </c>
    </row>
    <row r="2403" spans="1:6" ht="60" x14ac:dyDescent="0.25">
      <c r="A2403" s="8" t="s">
        <v>125</v>
      </c>
      <c r="B2403" s="8" t="s">
        <v>64</v>
      </c>
      <c r="C2403" s="8" t="str">
        <f>IFERROR(_xlfn.XLOOKUP(TRIM(B2403),Lookup!$B$2:$B$1000,Lookup!$C$2:$C$1000),"")</f>
        <v>Hybrid</v>
      </c>
      <c r="D2403" s="8" t="str">
        <f>IFERROR(INDEX('nav master'!$C:$C, MATCH(B2403, 'nav master'!$B:$B, 0)), "")</f>
        <v>ULIF08028/02/25DynamicFnd101</v>
      </c>
      <c r="E2403" s="8" t="s">
        <v>221</v>
      </c>
      <c r="F2403" s="8" t="s">
        <v>2715</v>
      </c>
    </row>
    <row r="2404" spans="1:6" ht="60" x14ac:dyDescent="0.25">
      <c r="A2404" s="8" t="s">
        <v>125</v>
      </c>
      <c r="B2404" s="8" t="s">
        <v>64</v>
      </c>
      <c r="C2404" s="8" t="str">
        <f>IFERROR(_xlfn.XLOOKUP(TRIM(B2404),Lookup!$B$2:$B$1000,Lookup!$C$2:$C$1000),"")</f>
        <v>Hybrid</v>
      </c>
      <c r="D2404" s="8" t="str">
        <f>IFERROR(INDEX('nav master'!$C:$C, MATCH(B2404, 'nav master'!$B:$B, 0)), "")</f>
        <v>ULIF08028/02/25DynamicFnd101</v>
      </c>
      <c r="E2404" s="8" t="s">
        <v>223</v>
      </c>
      <c r="F2404" s="8" t="s">
        <v>2716</v>
      </c>
    </row>
    <row r="2405" spans="1:6" ht="60" x14ac:dyDescent="0.25">
      <c r="A2405" s="8" t="s">
        <v>125</v>
      </c>
      <c r="B2405" s="8" t="s">
        <v>64</v>
      </c>
      <c r="C2405" s="8" t="str">
        <f>IFERROR(_xlfn.XLOOKUP(TRIM(B2405),Lookup!$B$2:$B$1000,Lookup!$C$2:$C$1000),"")</f>
        <v>Hybrid</v>
      </c>
      <c r="D2405" s="8" t="str">
        <f>IFERROR(INDEX('nav master'!$C:$C, MATCH(B2405, 'nav master'!$B:$B, 0)), "")</f>
        <v>ULIF08028/02/25DynamicFnd101</v>
      </c>
      <c r="E2405" s="8" t="s">
        <v>225</v>
      </c>
      <c r="F2405" s="8" t="s">
        <v>2717</v>
      </c>
    </row>
    <row r="2406" spans="1:6" ht="60" x14ac:dyDescent="0.25">
      <c r="A2406" s="8" t="s">
        <v>125</v>
      </c>
      <c r="B2406" s="8" t="s">
        <v>64</v>
      </c>
      <c r="C2406" s="8" t="str">
        <f>IFERROR(_xlfn.XLOOKUP(TRIM(B2406),Lookup!$B$2:$B$1000,Lookup!$C$2:$C$1000),"")</f>
        <v>Hybrid</v>
      </c>
      <c r="D2406" s="8" t="str">
        <f>IFERROR(INDEX('nav master'!$C:$C, MATCH(B2406, 'nav master'!$B:$B, 0)), "")</f>
        <v>ULIF08028/02/25DynamicFnd101</v>
      </c>
      <c r="E2406" s="8" t="s">
        <v>227</v>
      </c>
      <c r="F2406" s="8" t="s">
        <v>2718</v>
      </c>
    </row>
    <row r="2407" spans="1:6" ht="60" x14ac:dyDescent="0.25">
      <c r="A2407" s="8" t="s">
        <v>125</v>
      </c>
      <c r="B2407" s="8" t="s">
        <v>64</v>
      </c>
      <c r="C2407" s="8" t="str">
        <f>IFERROR(_xlfn.XLOOKUP(TRIM(B2407),Lookup!$B$2:$B$1000,Lookup!$C$2:$C$1000),"")</f>
        <v>Hybrid</v>
      </c>
      <c r="D2407" s="8" t="str">
        <f>IFERROR(INDEX('nav master'!$C:$C, MATCH(B2407, 'nav master'!$B:$B, 0)), "")</f>
        <v>ULIF08028/02/25DynamicFnd101</v>
      </c>
      <c r="E2407" s="8" t="s">
        <v>229</v>
      </c>
      <c r="F2407" s="8" t="s">
        <v>2719</v>
      </c>
    </row>
    <row r="2408" spans="1:6" ht="60" x14ac:dyDescent="0.25">
      <c r="A2408" s="8" t="s">
        <v>125</v>
      </c>
      <c r="B2408" s="8" t="s">
        <v>64</v>
      </c>
      <c r="C2408" s="8" t="str">
        <f>IFERROR(_xlfn.XLOOKUP(TRIM(B2408),Lookup!$B$2:$B$1000,Lookup!$C$2:$C$1000),"")</f>
        <v>Hybrid</v>
      </c>
      <c r="D2408" s="8" t="str">
        <f>IFERROR(INDEX('nav master'!$C:$C, MATCH(B2408, 'nav master'!$B:$B, 0)), "")</f>
        <v>ULIF08028/02/25DynamicFnd101</v>
      </c>
      <c r="E2408" s="8" t="s">
        <v>231</v>
      </c>
      <c r="F2408" s="8" t="s">
        <v>2720</v>
      </c>
    </row>
    <row r="2409" spans="1:6" ht="60" x14ac:dyDescent="0.25">
      <c r="A2409" s="8" t="s">
        <v>125</v>
      </c>
      <c r="B2409" s="8" t="s">
        <v>64</v>
      </c>
      <c r="C2409" s="8" t="str">
        <f>IFERROR(_xlfn.XLOOKUP(TRIM(B2409),Lookup!$B$2:$B$1000,Lookup!$C$2:$C$1000),"")</f>
        <v>Hybrid</v>
      </c>
      <c r="D2409" s="8" t="str">
        <f>IFERROR(INDEX('nav master'!$C:$C, MATCH(B2409, 'nav master'!$B:$B, 0)), "")</f>
        <v>ULIF08028/02/25DynamicFnd101</v>
      </c>
      <c r="E2409" s="8" t="s">
        <v>233</v>
      </c>
      <c r="F2409" s="8" t="s">
        <v>2721</v>
      </c>
    </row>
    <row r="2410" spans="1:6" ht="60" x14ac:dyDescent="0.25">
      <c r="A2410" s="8" t="s">
        <v>125</v>
      </c>
      <c r="B2410" s="8" t="s">
        <v>64</v>
      </c>
      <c r="C2410" s="8" t="str">
        <f>IFERROR(_xlfn.XLOOKUP(TRIM(B2410),Lookup!$B$2:$B$1000,Lookup!$C$2:$C$1000),"")</f>
        <v>Hybrid</v>
      </c>
      <c r="D2410" s="8" t="str">
        <f>IFERROR(INDEX('nav master'!$C:$C, MATCH(B2410, 'nav master'!$B:$B, 0)), "")</f>
        <v>ULIF08028/02/25DynamicFnd101</v>
      </c>
      <c r="E2410" s="8" t="s">
        <v>235</v>
      </c>
      <c r="F2410" s="8" t="s">
        <v>2722</v>
      </c>
    </row>
    <row r="2411" spans="1:6" ht="60" x14ac:dyDescent="0.25">
      <c r="A2411" s="8" t="s">
        <v>125</v>
      </c>
      <c r="B2411" s="8" t="s">
        <v>64</v>
      </c>
      <c r="C2411" s="8" t="str">
        <f>IFERROR(_xlfn.XLOOKUP(TRIM(B2411),Lookup!$B$2:$B$1000,Lookup!$C$2:$C$1000),"")</f>
        <v>Hybrid</v>
      </c>
      <c r="D2411" s="8" t="str">
        <f>IFERROR(INDEX('nav master'!$C:$C, MATCH(B2411, 'nav master'!$B:$B, 0)), "")</f>
        <v>ULIF08028/02/25DynamicFnd101</v>
      </c>
      <c r="E2411" s="8" t="s">
        <v>237</v>
      </c>
      <c r="F2411" s="8" t="s">
        <v>2723</v>
      </c>
    </row>
    <row r="2412" spans="1:6" ht="60" x14ac:dyDescent="0.25">
      <c r="A2412" s="8" t="s">
        <v>125</v>
      </c>
      <c r="B2412" s="8" t="s">
        <v>64</v>
      </c>
      <c r="C2412" s="8" t="str">
        <f>IFERROR(_xlfn.XLOOKUP(TRIM(B2412),Lookup!$B$2:$B$1000,Lookup!$C$2:$C$1000),"")</f>
        <v>Hybrid</v>
      </c>
      <c r="D2412" s="8" t="str">
        <f>IFERROR(INDEX('nav master'!$C:$C, MATCH(B2412, 'nav master'!$B:$B, 0)), "")</f>
        <v>ULIF08028/02/25DynamicFnd101</v>
      </c>
      <c r="E2412" s="8" t="s">
        <v>239</v>
      </c>
      <c r="F2412" s="8" t="s">
        <v>2724</v>
      </c>
    </row>
    <row r="2413" spans="1:6" ht="60" x14ac:dyDescent="0.25">
      <c r="A2413" s="8" t="s">
        <v>125</v>
      </c>
      <c r="B2413" s="8" t="s">
        <v>64</v>
      </c>
      <c r="C2413" s="8" t="str">
        <f>IFERROR(_xlfn.XLOOKUP(TRIM(B2413),Lookup!$B$2:$B$1000,Lookup!$C$2:$C$1000),"")</f>
        <v>Hybrid</v>
      </c>
      <c r="D2413" s="8" t="str">
        <f>IFERROR(INDEX('nav master'!$C:$C, MATCH(B2413, 'nav master'!$B:$B, 0)), "")</f>
        <v>ULIF08028/02/25DynamicFnd101</v>
      </c>
      <c r="E2413" s="8" t="s">
        <v>241</v>
      </c>
      <c r="F2413" s="8" t="s">
        <v>2725</v>
      </c>
    </row>
    <row r="2414" spans="1:6" ht="60" x14ac:dyDescent="0.25">
      <c r="A2414" s="8" t="s">
        <v>125</v>
      </c>
      <c r="B2414" s="8" t="s">
        <v>64</v>
      </c>
      <c r="C2414" s="8" t="str">
        <f>IFERROR(_xlfn.XLOOKUP(TRIM(B2414),Lookup!$B$2:$B$1000,Lookup!$C$2:$C$1000),"")</f>
        <v>Hybrid</v>
      </c>
      <c r="D2414" s="8" t="str">
        <f>IFERROR(INDEX('nav master'!$C:$C, MATCH(B2414, 'nav master'!$B:$B, 0)), "")</f>
        <v>ULIF08028/02/25DynamicFnd101</v>
      </c>
      <c r="E2414" s="8" t="s">
        <v>243</v>
      </c>
      <c r="F2414" s="8" t="s">
        <v>2726</v>
      </c>
    </row>
    <row r="2415" spans="1:6" ht="60" x14ac:dyDescent="0.25">
      <c r="A2415" s="8" t="s">
        <v>125</v>
      </c>
      <c r="B2415" s="8" t="s">
        <v>64</v>
      </c>
      <c r="C2415" s="8" t="str">
        <f>IFERROR(_xlfn.XLOOKUP(TRIM(B2415),Lookup!$B$2:$B$1000,Lookup!$C$2:$C$1000),"")</f>
        <v>Hybrid</v>
      </c>
      <c r="D2415" s="8" t="str">
        <f>IFERROR(INDEX('nav master'!$C:$C, MATCH(B2415, 'nav master'!$B:$B, 0)), "")</f>
        <v>ULIF08028/02/25DynamicFnd101</v>
      </c>
      <c r="E2415" s="8" t="s">
        <v>245</v>
      </c>
      <c r="F2415" s="8" t="s">
        <v>2727</v>
      </c>
    </row>
    <row r="2416" spans="1:6" ht="60" x14ac:dyDescent="0.25">
      <c r="A2416" s="8" t="s">
        <v>125</v>
      </c>
      <c r="B2416" s="8" t="s">
        <v>64</v>
      </c>
      <c r="C2416" s="8" t="str">
        <f>IFERROR(_xlfn.XLOOKUP(TRIM(B2416),Lookup!$B$2:$B$1000,Lookup!$C$2:$C$1000),"")</f>
        <v>Hybrid</v>
      </c>
      <c r="D2416" s="8" t="str">
        <f>IFERROR(INDEX('nav master'!$C:$C, MATCH(B2416, 'nav master'!$B:$B, 0)), "")</f>
        <v>ULIF08028/02/25DynamicFnd101</v>
      </c>
      <c r="E2416" s="8" t="s">
        <v>247</v>
      </c>
      <c r="F2416" s="8" t="s">
        <v>2728</v>
      </c>
    </row>
    <row r="2417" spans="1:6" ht="60" x14ac:dyDescent="0.25">
      <c r="A2417" s="8" t="s">
        <v>125</v>
      </c>
      <c r="B2417" s="8" t="s">
        <v>64</v>
      </c>
      <c r="C2417" s="8" t="str">
        <f>IFERROR(_xlfn.XLOOKUP(TRIM(B2417),Lookup!$B$2:$B$1000,Lookup!$C$2:$C$1000),"")</f>
        <v>Hybrid</v>
      </c>
      <c r="D2417" s="8" t="str">
        <f>IFERROR(INDEX('nav master'!$C:$C, MATCH(B2417, 'nav master'!$B:$B, 0)), "")</f>
        <v>ULIF08028/02/25DynamicFnd101</v>
      </c>
      <c r="E2417" s="8" t="s">
        <v>249</v>
      </c>
      <c r="F2417" s="8" t="s">
        <v>2729</v>
      </c>
    </row>
    <row r="2418" spans="1:6" ht="60" x14ac:dyDescent="0.25">
      <c r="A2418" s="8" t="s">
        <v>125</v>
      </c>
      <c r="B2418" s="8" t="s">
        <v>64</v>
      </c>
      <c r="C2418" s="8" t="str">
        <f>IFERROR(_xlfn.XLOOKUP(TRIM(B2418),Lookup!$B$2:$B$1000,Lookup!$C$2:$C$1000),"")</f>
        <v>Hybrid</v>
      </c>
      <c r="D2418" s="8" t="str">
        <f>IFERROR(INDEX('nav master'!$C:$C, MATCH(B2418, 'nav master'!$B:$B, 0)), "")</f>
        <v>ULIF08028/02/25DynamicFnd101</v>
      </c>
      <c r="E2418" s="8" t="s">
        <v>251</v>
      </c>
      <c r="F2418" s="8" t="s">
        <v>2730</v>
      </c>
    </row>
    <row r="2419" spans="1:6" ht="60" x14ac:dyDescent="0.25">
      <c r="A2419" s="8" t="s">
        <v>125</v>
      </c>
      <c r="B2419" s="8" t="s">
        <v>64</v>
      </c>
      <c r="C2419" s="8" t="str">
        <f>IFERROR(_xlfn.XLOOKUP(TRIM(B2419),Lookup!$B$2:$B$1000,Lookup!$C$2:$C$1000),"")</f>
        <v>Hybrid</v>
      </c>
      <c r="D2419" s="8" t="str">
        <f>IFERROR(INDEX('nav master'!$C:$C, MATCH(B2419, 'nav master'!$B:$B, 0)), "")</f>
        <v>ULIF08028/02/25DynamicFnd101</v>
      </c>
      <c r="E2419" s="8" t="s">
        <v>253</v>
      </c>
      <c r="F2419" s="8" t="s">
        <v>2731</v>
      </c>
    </row>
    <row r="2420" spans="1:6" ht="60" x14ac:dyDescent="0.25">
      <c r="A2420" s="8" t="s">
        <v>125</v>
      </c>
      <c r="B2420" s="8" t="s">
        <v>64</v>
      </c>
      <c r="C2420" s="8" t="str">
        <f>IFERROR(_xlfn.XLOOKUP(TRIM(B2420),Lookup!$B$2:$B$1000,Lookup!$C$2:$C$1000),"")</f>
        <v>Hybrid</v>
      </c>
      <c r="D2420" s="8" t="str">
        <f>IFERROR(INDEX('nav master'!$C:$C, MATCH(B2420, 'nav master'!$B:$B, 0)), "")</f>
        <v>ULIF08028/02/25DynamicFnd101</v>
      </c>
      <c r="E2420" s="8" t="s">
        <v>255</v>
      </c>
      <c r="F2420" s="8" t="s">
        <v>2732</v>
      </c>
    </row>
    <row r="2421" spans="1:6" ht="60" x14ac:dyDescent="0.25">
      <c r="A2421" s="8" t="s">
        <v>125</v>
      </c>
      <c r="B2421" s="8" t="s">
        <v>64</v>
      </c>
      <c r="C2421" s="8" t="str">
        <f>IFERROR(_xlfn.XLOOKUP(TRIM(B2421),Lookup!$B$2:$B$1000,Lookup!$C$2:$C$1000),"")</f>
        <v>Hybrid</v>
      </c>
      <c r="D2421" s="8" t="str">
        <f>IFERROR(INDEX('nav master'!$C:$C, MATCH(B2421, 'nav master'!$B:$B, 0)), "")</f>
        <v>ULIF08028/02/25DynamicFnd101</v>
      </c>
      <c r="E2421" s="8" t="s">
        <v>257</v>
      </c>
      <c r="F2421" s="8" t="s">
        <v>2733</v>
      </c>
    </row>
    <row r="2422" spans="1:6" ht="60" x14ac:dyDescent="0.25">
      <c r="A2422" s="8" t="s">
        <v>125</v>
      </c>
      <c r="B2422" s="8" t="s">
        <v>64</v>
      </c>
      <c r="C2422" s="8" t="str">
        <f>IFERROR(_xlfn.XLOOKUP(TRIM(B2422),Lookup!$B$2:$B$1000,Lookup!$C$2:$C$1000),"")</f>
        <v>Hybrid</v>
      </c>
      <c r="D2422" s="8" t="str">
        <f>IFERROR(INDEX('nav master'!$C:$C, MATCH(B2422, 'nav master'!$B:$B, 0)), "")</f>
        <v>ULIF08028/02/25DynamicFnd101</v>
      </c>
      <c r="E2422" s="8" t="s">
        <v>259</v>
      </c>
      <c r="F2422" s="8" t="s">
        <v>2734</v>
      </c>
    </row>
    <row r="2423" spans="1:6" ht="60" x14ac:dyDescent="0.25">
      <c r="A2423" s="8" t="s">
        <v>125</v>
      </c>
      <c r="B2423" s="8" t="s">
        <v>64</v>
      </c>
      <c r="C2423" s="8" t="str">
        <f>IFERROR(_xlfn.XLOOKUP(TRIM(B2423),Lookup!$B$2:$B$1000,Lookup!$C$2:$C$1000),"")</f>
        <v>Hybrid</v>
      </c>
      <c r="D2423" s="8" t="str">
        <f>IFERROR(INDEX('nav master'!$C:$C, MATCH(B2423, 'nav master'!$B:$B, 0)), "")</f>
        <v>ULIF08028/02/25DynamicFnd101</v>
      </c>
      <c r="E2423" s="8" t="s">
        <v>261</v>
      </c>
      <c r="F2423" s="8" t="s">
        <v>2735</v>
      </c>
    </row>
    <row r="2424" spans="1:6" ht="60" x14ac:dyDescent="0.25">
      <c r="A2424" s="8" t="s">
        <v>125</v>
      </c>
      <c r="B2424" s="8" t="s">
        <v>64</v>
      </c>
      <c r="C2424" s="8" t="str">
        <f>IFERROR(_xlfn.XLOOKUP(TRIM(B2424),Lookup!$B$2:$B$1000,Lookup!$C$2:$C$1000),"")</f>
        <v>Hybrid</v>
      </c>
      <c r="D2424" s="8" t="str">
        <f>IFERROR(INDEX('nav master'!$C:$C, MATCH(B2424, 'nav master'!$B:$B, 0)), "")</f>
        <v>ULIF08028/02/25DynamicFnd101</v>
      </c>
      <c r="E2424" s="8" t="s">
        <v>263</v>
      </c>
      <c r="F2424" s="8" t="s">
        <v>2736</v>
      </c>
    </row>
    <row r="2425" spans="1:6" ht="60" x14ac:dyDescent="0.25">
      <c r="A2425" s="8" t="s">
        <v>125</v>
      </c>
      <c r="B2425" s="8" t="s">
        <v>64</v>
      </c>
      <c r="C2425" s="8" t="str">
        <f>IFERROR(_xlfn.XLOOKUP(TRIM(B2425),Lookup!$B$2:$B$1000,Lookup!$C$2:$C$1000),"")</f>
        <v>Hybrid</v>
      </c>
      <c r="D2425" s="8" t="str">
        <f>IFERROR(INDEX('nav master'!$C:$C, MATCH(B2425, 'nav master'!$B:$B, 0)), "")</f>
        <v>ULIF08028/02/25DynamicFnd101</v>
      </c>
      <c r="E2425" s="8" t="s">
        <v>265</v>
      </c>
      <c r="F2425" s="8" t="s">
        <v>2737</v>
      </c>
    </row>
    <row r="2426" spans="1:6" ht="60" x14ac:dyDescent="0.25">
      <c r="A2426" s="8" t="s">
        <v>125</v>
      </c>
      <c r="B2426" s="8" t="s">
        <v>64</v>
      </c>
      <c r="C2426" s="8" t="str">
        <f>IFERROR(_xlfn.XLOOKUP(TRIM(B2426),Lookup!$B$2:$B$1000,Lookup!$C$2:$C$1000),"")</f>
        <v>Hybrid</v>
      </c>
      <c r="D2426" s="8" t="str">
        <f>IFERROR(INDEX('nav master'!$C:$C, MATCH(B2426, 'nav master'!$B:$B, 0)), "")</f>
        <v>ULIF08028/02/25DynamicFnd101</v>
      </c>
      <c r="E2426" s="8" t="s">
        <v>267</v>
      </c>
      <c r="F2426" s="8" t="s">
        <v>2738</v>
      </c>
    </row>
    <row r="2427" spans="1:6" ht="60" x14ac:dyDescent="0.25">
      <c r="A2427" s="8" t="s">
        <v>125</v>
      </c>
      <c r="B2427" s="8" t="s">
        <v>64</v>
      </c>
      <c r="C2427" s="8" t="str">
        <f>IFERROR(_xlfn.XLOOKUP(TRIM(B2427),Lookup!$B$2:$B$1000,Lookup!$C$2:$C$1000),"")</f>
        <v>Hybrid</v>
      </c>
      <c r="D2427" s="8" t="str">
        <f>IFERROR(INDEX('nav master'!$C:$C, MATCH(B2427, 'nav master'!$B:$B, 0)), "")</f>
        <v>ULIF08028/02/25DynamicFnd101</v>
      </c>
      <c r="E2427" s="8" t="s">
        <v>269</v>
      </c>
      <c r="F2427" s="8" t="s">
        <v>2739</v>
      </c>
    </row>
    <row r="2428" spans="1:6" ht="60" x14ac:dyDescent="0.25">
      <c r="A2428" s="8" t="s">
        <v>125</v>
      </c>
      <c r="B2428" s="8" t="s">
        <v>64</v>
      </c>
      <c r="C2428" s="8" t="str">
        <f>IFERROR(_xlfn.XLOOKUP(TRIM(B2428),Lookup!$B$2:$B$1000,Lookup!$C$2:$C$1000),"")</f>
        <v>Hybrid</v>
      </c>
      <c r="D2428" s="8" t="str">
        <f>IFERROR(INDEX('nav master'!$C:$C, MATCH(B2428, 'nav master'!$B:$B, 0)), "")</f>
        <v>ULIF08028/02/25DynamicFnd101</v>
      </c>
      <c r="E2428" s="8" t="s">
        <v>271</v>
      </c>
      <c r="F2428" s="8" t="s">
        <v>2740</v>
      </c>
    </row>
    <row r="2429" spans="1:6" ht="60" x14ac:dyDescent="0.25">
      <c r="A2429" s="8" t="s">
        <v>125</v>
      </c>
      <c r="B2429" s="8" t="s">
        <v>64</v>
      </c>
      <c r="C2429" s="8" t="str">
        <f>IFERROR(_xlfn.XLOOKUP(TRIM(B2429),Lookup!$B$2:$B$1000,Lookup!$C$2:$C$1000),"")</f>
        <v>Hybrid</v>
      </c>
      <c r="D2429" s="8" t="str">
        <f>IFERROR(INDEX('nav master'!$C:$C, MATCH(B2429, 'nav master'!$B:$B, 0)), "")</f>
        <v>ULIF08028/02/25DynamicFnd101</v>
      </c>
      <c r="E2429" s="8" t="s">
        <v>273</v>
      </c>
      <c r="F2429" s="8" t="s">
        <v>2741</v>
      </c>
    </row>
    <row r="2430" spans="1:6" ht="60" x14ac:dyDescent="0.25">
      <c r="A2430" s="8" t="s">
        <v>125</v>
      </c>
      <c r="B2430" s="8" t="s">
        <v>64</v>
      </c>
      <c r="C2430" s="8" t="str">
        <f>IFERROR(_xlfn.XLOOKUP(TRIM(B2430),Lookup!$B$2:$B$1000,Lookup!$C$2:$C$1000),"")</f>
        <v>Hybrid</v>
      </c>
      <c r="D2430" s="8" t="str">
        <f>IFERROR(INDEX('nav master'!$C:$C, MATCH(B2430, 'nav master'!$B:$B, 0)), "")</f>
        <v>ULIF08028/02/25DynamicFnd101</v>
      </c>
      <c r="E2430" s="8" t="s">
        <v>275</v>
      </c>
      <c r="F2430" s="8" t="s">
        <v>2742</v>
      </c>
    </row>
    <row r="2431" spans="1:6" ht="60" x14ac:dyDescent="0.25">
      <c r="A2431" s="8" t="s">
        <v>125</v>
      </c>
      <c r="B2431" s="8" t="s">
        <v>64</v>
      </c>
      <c r="C2431" s="8" t="str">
        <f>IFERROR(_xlfn.XLOOKUP(TRIM(B2431),Lookup!$B$2:$B$1000,Lookup!$C$2:$C$1000),"")</f>
        <v>Hybrid</v>
      </c>
      <c r="D2431" s="8" t="str">
        <f>IFERROR(INDEX('nav master'!$C:$C, MATCH(B2431, 'nav master'!$B:$B, 0)), "")</f>
        <v>ULIF08028/02/25DynamicFnd101</v>
      </c>
      <c r="E2431" s="8" t="s">
        <v>277</v>
      </c>
      <c r="F2431" s="8" t="s">
        <v>2743</v>
      </c>
    </row>
    <row r="2432" spans="1:6" ht="60" x14ac:dyDescent="0.25">
      <c r="A2432" s="8" t="s">
        <v>125</v>
      </c>
      <c r="B2432" s="8" t="s">
        <v>64</v>
      </c>
      <c r="C2432" s="8" t="str">
        <f>IFERROR(_xlfn.XLOOKUP(TRIM(B2432),Lookup!$B$2:$B$1000,Lookup!$C$2:$C$1000),"")</f>
        <v>Hybrid</v>
      </c>
      <c r="D2432" s="8" t="str">
        <f>IFERROR(INDEX('nav master'!$C:$C, MATCH(B2432, 'nav master'!$B:$B, 0)), "")</f>
        <v>ULIF08028/02/25DynamicFnd101</v>
      </c>
      <c r="E2432" s="8" t="s">
        <v>279</v>
      </c>
      <c r="F2432" s="8" t="s">
        <v>2744</v>
      </c>
    </row>
    <row r="2433" spans="1:6" ht="60" x14ac:dyDescent="0.25">
      <c r="A2433" s="8" t="s">
        <v>125</v>
      </c>
      <c r="B2433" s="8" t="s">
        <v>64</v>
      </c>
      <c r="C2433" s="8" t="str">
        <f>IFERROR(_xlfn.XLOOKUP(TRIM(B2433),Lookup!$B$2:$B$1000,Lookup!$C$2:$C$1000),"")</f>
        <v>Hybrid</v>
      </c>
      <c r="D2433" s="8" t="str">
        <f>IFERROR(INDEX('nav master'!$C:$C, MATCH(B2433, 'nav master'!$B:$B, 0)), "")</f>
        <v>ULIF08028/02/25DynamicFnd101</v>
      </c>
      <c r="E2433" s="8" t="s">
        <v>281</v>
      </c>
      <c r="F2433" s="8" t="s">
        <v>2745</v>
      </c>
    </row>
    <row r="2434" spans="1:6" ht="60" x14ac:dyDescent="0.25">
      <c r="A2434" s="8" t="s">
        <v>125</v>
      </c>
      <c r="B2434" s="8" t="s">
        <v>64</v>
      </c>
      <c r="C2434" s="8" t="str">
        <f>IFERROR(_xlfn.XLOOKUP(TRIM(B2434),Lookup!$B$2:$B$1000,Lookup!$C$2:$C$1000),"")</f>
        <v>Hybrid</v>
      </c>
      <c r="D2434" s="8" t="str">
        <f>IFERROR(INDEX('nav master'!$C:$C, MATCH(B2434, 'nav master'!$B:$B, 0)), "")</f>
        <v>ULIF08028/02/25DynamicFnd101</v>
      </c>
      <c r="E2434" s="8" t="s">
        <v>283</v>
      </c>
      <c r="F2434" s="8" t="s">
        <v>2746</v>
      </c>
    </row>
    <row r="2435" spans="1:6" ht="60" x14ac:dyDescent="0.25">
      <c r="A2435" s="8" t="s">
        <v>125</v>
      </c>
      <c r="B2435" s="8" t="s">
        <v>64</v>
      </c>
      <c r="C2435" s="8" t="str">
        <f>IFERROR(_xlfn.XLOOKUP(TRIM(B2435),Lookup!$B$2:$B$1000,Lookup!$C$2:$C$1000),"")</f>
        <v>Hybrid</v>
      </c>
      <c r="D2435" s="8" t="str">
        <f>IFERROR(INDEX('nav master'!$C:$C, MATCH(B2435, 'nav master'!$B:$B, 0)), "")</f>
        <v>ULIF08028/02/25DynamicFnd101</v>
      </c>
      <c r="E2435" s="8" t="s">
        <v>285</v>
      </c>
      <c r="F2435" s="8" t="s">
        <v>2747</v>
      </c>
    </row>
    <row r="2436" spans="1:6" ht="60" x14ac:dyDescent="0.25">
      <c r="A2436" s="8" t="s">
        <v>125</v>
      </c>
      <c r="B2436" s="8" t="s">
        <v>64</v>
      </c>
      <c r="C2436" s="8" t="str">
        <f>IFERROR(_xlfn.XLOOKUP(TRIM(B2436),Lookup!$B$2:$B$1000,Lookup!$C$2:$C$1000),"")</f>
        <v>Hybrid</v>
      </c>
      <c r="D2436" s="8" t="str">
        <f>IFERROR(INDEX('nav master'!$C:$C, MATCH(B2436, 'nav master'!$B:$B, 0)), "")</f>
        <v>ULIF08028/02/25DynamicFnd101</v>
      </c>
      <c r="E2436" s="8" t="s">
        <v>287</v>
      </c>
      <c r="F2436" s="8" t="s">
        <v>2748</v>
      </c>
    </row>
    <row r="2437" spans="1:6" ht="60" x14ac:dyDescent="0.25">
      <c r="A2437" s="8" t="s">
        <v>125</v>
      </c>
      <c r="B2437" s="8" t="s">
        <v>64</v>
      </c>
      <c r="C2437" s="8" t="str">
        <f>IFERROR(_xlfn.XLOOKUP(TRIM(B2437),Lookup!$B$2:$B$1000,Lookup!$C$2:$C$1000),"")</f>
        <v>Hybrid</v>
      </c>
      <c r="D2437" s="8" t="str">
        <f>IFERROR(INDEX('nav master'!$C:$C, MATCH(B2437, 'nav master'!$B:$B, 0)), "")</f>
        <v>ULIF08028/02/25DynamicFnd101</v>
      </c>
      <c r="E2437" s="8" t="s">
        <v>289</v>
      </c>
      <c r="F2437" s="8" t="s">
        <v>2749</v>
      </c>
    </row>
    <row r="2438" spans="1:6" ht="60" x14ac:dyDescent="0.25">
      <c r="A2438" s="8" t="s">
        <v>125</v>
      </c>
      <c r="B2438" s="8" t="s">
        <v>64</v>
      </c>
      <c r="C2438" s="8" t="str">
        <f>IFERROR(_xlfn.XLOOKUP(TRIM(B2438),Lookup!$B$2:$B$1000,Lookup!$C$2:$C$1000),"")</f>
        <v>Hybrid</v>
      </c>
      <c r="D2438" s="8" t="str">
        <f>IFERROR(INDEX('nav master'!$C:$C, MATCH(B2438, 'nav master'!$B:$B, 0)), "")</f>
        <v>ULIF08028/02/25DynamicFnd101</v>
      </c>
      <c r="E2438" s="8" t="s">
        <v>291</v>
      </c>
      <c r="F2438" s="8" t="s">
        <v>2750</v>
      </c>
    </row>
    <row r="2439" spans="1:6" ht="60" x14ac:dyDescent="0.25">
      <c r="A2439" s="8" t="s">
        <v>125</v>
      </c>
      <c r="B2439" s="8" t="s">
        <v>64</v>
      </c>
      <c r="C2439" s="8" t="str">
        <f>IFERROR(_xlfn.XLOOKUP(TRIM(B2439),Lookup!$B$2:$B$1000,Lookup!$C$2:$C$1000),"")</f>
        <v>Hybrid</v>
      </c>
      <c r="D2439" s="8" t="str">
        <f>IFERROR(INDEX('nav master'!$C:$C, MATCH(B2439, 'nav master'!$B:$B, 0)), "")</f>
        <v>ULIF08028/02/25DynamicFnd101</v>
      </c>
      <c r="E2439" s="8" t="s">
        <v>293</v>
      </c>
      <c r="F2439" s="8" t="s">
        <v>2751</v>
      </c>
    </row>
    <row r="2440" spans="1:6" ht="60" x14ac:dyDescent="0.25">
      <c r="A2440" s="8" t="s">
        <v>125</v>
      </c>
      <c r="B2440" s="8" t="s">
        <v>64</v>
      </c>
      <c r="C2440" s="8" t="str">
        <f>IFERROR(_xlfn.XLOOKUP(TRIM(B2440),Lookup!$B$2:$B$1000,Lookup!$C$2:$C$1000),"")</f>
        <v>Hybrid</v>
      </c>
      <c r="D2440" s="8" t="str">
        <f>IFERROR(INDEX('nav master'!$C:$C, MATCH(B2440, 'nav master'!$B:$B, 0)), "")</f>
        <v>ULIF08028/02/25DynamicFnd101</v>
      </c>
      <c r="E2440" s="8" t="s">
        <v>295</v>
      </c>
      <c r="F2440" s="8" t="s">
        <v>2752</v>
      </c>
    </row>
    <row r="2441" spans="1:6" ht="60" x14ac:dyDescent="0.25">
      <c r="A2441" s="8" t="s">
        <v>125</v>
      </c>
      <c r="B2441" s="8" t="s">
        <v>64</v>
      </c>
      <c r="C2441" s="8" t="str">
        <f>IFERROR(_xlfn.XLOOKUP(TRIM(B2441),Lookup!$B$2:$B$1000,Lookup!$C$2:$C$1000),"")</f>
        <v>Hybrid</v>
      </c>
      <c r="D2441" s="8" t="str">
        <f>IFERROR(INDEX('nav master'!$C:$C, MATCH(B2441, 'nav master'!$B:$B, 0)), "")</f>
        <v>ULIF08028/02/25DynamicFnd101</v>
      </c>
      <c r="E2441" s="8" t="s">
        <v>297</v>
      </c>
      <c r="F2441" s="8" t="s">
        <v>2753</v>
      </c>
    </row>
    <row r="2442" spans="1:6" ht="60" x14ac:dyDescent="0.25">
      <c r="A2442" s="8" t="s">
        <v>125</v>
      </c>
      <c r="B2442" s="8" t="s">
        <v>64</v>
      </c>
      <c r="C2442" s="8" t="str">
        <f>IFERROR(_xlfn.XLOOKUP(TRIM(B2442),Lookup!$B$2:$B$1000,Lookup!$C$2:$C$1000),"")</f>
        <v>Hybrid</v>
      </c>
      <c r="D2442" s="8" t="str">
        <f>IFERROR(INDEX('nav master'!$C:$C, MATCH(B2442, 'nav master'!$B:$B, 0)), "")</f>
        <v>ULIF08028/02/25DynamicFnd101</v>
      </c>
      <c r="E2442" s="8" t="s">
        <v>299</v>
      </c>
      <c r="F2442" s="8" t="s">
        <v>2754</v>
      </c>
    </row>
    <row r="2443" spans="1:6" ht="60" x14ac:dyDescent="0.25">
      <c r="A2443" s="8" t="s">
        <v>125</v>
      </c>
      <c r="B2443" s="8" t="s">
        <v>64</v>
      </c>
      <c r="C2443" s="8" t="str">
        <f>IFERROR(_xlfn.XLOOKUP(TRIM(B2443),Lookup!$B$2:$B$1000,Lookup!$C$2:$C$1000),"")</f>
        <v>Hybrid</v>
      </c>
      <c r="D2443" s="8" t="str">
        <f>IFERROR(INDEX('nav master'!$C:$C, MATCH(B2443, 'nav master'!$B:$B, 0)), "")</f>
        <v>ULIF08028/02/25DynamicFnd101</v>
      </c>
      <c r="E2443" s="8" t="s">
        <v>301</v>
      </c>
      <c r="F2443" s="8" t="s">
        <v>2755</v>
      </c>
    </row>
    <row r="2444" spans="1:6" ht="60" x14ac:dyDescent="0.25">
      <c r="A2444" s="8" t="s">
        <v>125</v>
      </c>
      <c r="B2444" s="8" t="s">
        <v>64</v>
      </c>
      <c r="C2444" s="8" t="str">
        <f>IFERROR(_xlfn.XLOOKUP(TRIM(B2444),Lookup!$B$2:$B$1000,Lookup!$C$2:$C$1000),"")</f>
        <v>Hybrid</v>
      </c>
      <c r="D2444" s="8" t="str">
        <f>IFERROR(INDEX('nav master'!$C:$C, MATCH(B2444, 'nav master'!$B:$B, 0)), "")</f>
        <v>ULIF08028/02/25DynamicFnd101</v>
      </c>
      <c r="E2444" s="8" t="s">
        <v>303</v>
      </c>
      <c r="F2444" s="8" t="s">
        <v>2756</v>
      </c>
    </row>
    <row r="2445" spans="1:6" ht="60" x14ac:dyDescent="0.25">
      <c r="A2445" s="8" t="s">
        <v>125</v>
      </c>
      <c r="B2445" s="8" t="s">
        <v>64</v>
      </c>
      <c r="C2445" s="8" t="str">
        <f>IFERROR(_xlfn.XLOOKUP(TRIM(B2445),Lookup!$B$2:$B$1000,Lookup!$C$2:$C$1000),"")</f>
        <v>Hybrid</v>
      </c>
      <c r="D2445" s="8" t="str">
        <f>IFERROR(INDEX('nav master'!$C:$C, MATCH(B2445, 'nav master'!$B:$B, 0)), "")</f>
        <v>ULIF08028/02/25DynamicFnd101</v>
      </c>
      <c r="E2445" s="8" t="s">
        <v>305</v>
      </c>
      <c r="F2445" s="8" t="s">
        <v>2757</v>
      </c>
    </row>
    <row r="2446" spans="1:6" ht="60" x14ac:dyDescent="0.25">
      <c r="A2446" s="8" t="s">
        <v>125</v>
      </c>
      <c r="B2446" s="8" t="s">
        <v>64</v>
      </c>
      <c r="C2446" s="8" t="str">
        <f>IFERROR(_xlfn.XLOOKUP(TRIM(B2446),Lookup!$B$2:$B$1000,Lookup!$C$2:$C$1000),"")</f>
        <v>Hybrid</v>
      </c>
      <c r="D2446" s="8" t="str">
        <f>IFERROR(INDEX('nav master'!$C:$C, MATCH(B2446, 'nav master'!$B:$B, 0)), "")</f>
        <v>ULIF08028/02/25DynamicFnd101</v>
      </c>
      <c r="E2446" s="8" t="s">
        <v>307</v>
      </c>
      <c r="F2446" s="8" t="s">
        <v>2758</v>
      </c>
    </row>
    <row r="2447" spans="1:6" ht="60" x14ac:dyDescent="0.25">
      <c r="A2447" s="8" t="s">
        <v>125</v>
      </c>
      <c r="B2447" s="8" t="s">
        <v>64</v>
      </c>
      <c r="C2447" s="8" t="str">
        <f>IFERROR(_xlfn.XLOOKUP(TRIM(B2447),Lookup!$B$2:$B$1000,Lookup!$C$2:$C$1000),"")</f>
        <v>Hybrid</v>
      </c>
      <c r="D2447" s="8" t="str">
        <f>IFERROR(INDEX('nav master'!$C:$C, MATCH(B2447, 'nav master'!$B:$B, 0)), "")</f>
        <v>ULIF08028/02/25DynamicFnd101</v>
      </c>
      <c r="E2447" s="8" t="s">
        <v>309</v>
      </c>
      <c r="F2447" s="8" t="s">
        <v>2759</v>
      </c>
    </row>
    <row r="2448" spans="1:6" ht="60" x14ac:dyDescent="0.25">
      <c r="A2448" s="8" t="s">
        <v>125</v>
      </c>
      <c r="B2448" s="8" t="s">
        <v>64</v>
      </c>
      <c r="C2448" s="8" t="str">
        <f>IFERROR(_xlfn.XLOOKUP(TRIM(B2448),Lookup!$B$2:$B$1000,Lookup!$C$2:$C$1000),"")</f>
        <v>Hybrid</v>
      </c>
      <c r="D2448" s="8" t="str">
        <f>IFERROR(INDEX('nav master'!$C:$C, MATCH(B2448, 'nav master'!$B:$B, 0)), "")</f>
        <v>ULIF08028/02/25DynamicFnd101</v>
      </c>
      <c r="E2448" s="8" t="s">
        <v>311</v>
      </c>
      <c r="F2448" s="8" t="s">
        <v>2760</v>
      </c>
    </row>
    <row r="2449" spans="1:6" ht="60" x14ac:dyDescent="0.25">
      <c r="A2449" s="8" t="s">
        <v>125</v>
      </c>
      <c r="B2449" s="8" t="s">
        <v>64</v>
      </c>
      <c r="C2449" s="8" t="str">
        <f>IFERROR(_xlfn.XLOOKUP(TRIM(B2449),Lookup!$B$2:$B$1000,Lookup!$C$2:$C$1000),"")</f>
        <v>Hybrid</v>
      </c>
      <c r="D2449" s="8" t="str">
        <f>IFERROR(INDEX('nav master'!$C:$C, MATCH(B2449, 'nav master'!$B:$B, 0)), "")</f>
        <v>ULIF08028/02/25DynamicFnd101</v>
      </c>
      <c r="E2449" s="8" t="s">
        <v>313</v>
      </c>
      <c r="F2449" s="8" t="s">
        <v>2761</v>
      </c>
    </row>
    <row r="2450" spans="1:6" ht="60" x14ac:dyDescent="0.25">
      <c r="A2450" s="8" t="s">
        <v>125</v>
      </c>
      <c r="B2450" s="8" t="s">
        <v>64</v>
      </c>
      <c r="C2450" s="8" t="str">
        <f>IFERROR(_xlfn.XLOOKUP(TRIM(B2450),Lookup!$B$2:$B$1000,Lookup!$C$2:$C$1000),"")</f>
        <v>Hybrid</v>
      </c>
      <c r="D2450" s="8" t="str">
        <f>IFERROR(INDEX('nav master'!$C:$C, MATCH(B2450, 'nav master'!$B:$B, 0)), "")</f>
        <v>ULIF08028/02/25DynamicFnd101</v>
      </c>
      <c r="E2450" s="8" t="s">
        <v>315</v>
      </c>
      <c r="F2450" s="8" t="s">
        <v>2762</v>
      </c>
    </row>
    <row r="2451" spans="1:6" ht="60" x14ac:dyDescent="0.25">
      <c r="A2451" s="8" t="s">
        <v>125</v>
      </c>
      <c r="B2451" s="8" t="s">
        <v>64</v>
      </c>
      <c r="C2451" s="8" t="str">
        <f>IFERROR(_xlfn.XLOOKUP(TRIM(B2451),Lookup!$B$2:$B$1000,Lookup!$C$2:$C$1000),"")</f>
        <v>Hybrid</v>
      </c>
      <c r="D2451" s="8" t="str">
        <f>IFERROR(INDEX('nav master'!$C:$C, MATCH(B2451, 'nav master'!$B:$B, 0)), "")</f>
        <v>ULIF08028/02/25DynamicFnd101</v>
      </c>
      <c r="E2451" s="8" t="s">
        <v>317</v>
      </c>
      <c r="F2451" s="8" t="s">
        <v>2763</v>
      </c>
    </row>
    <row r="2452" spans="1:6" ht="60" x14ac:dyDescent="0.25">
      <c r="A2452" s="8" t="s">
        <v>125</v>
      </c>
      <c r="B2452" s="8" t="s">
        <v>64</v>
      </c>
      <c r="C2452" s="8" t="str">
        <f>IFERROR(_xlfn.XLOOKUP(TRIM(B2452),Lookup!$B$2:$B$1000,Lookup!$C$2:$C$1000),"")</f>
        <v>Hybrid</v>
      </c>
      <c r="D2452" s="8" t="str">
        <f>IFERROR(INDEX('nav master'!$C:$C, MATCH(B2452, 'nav master'!$B:$B, 0)), "")</f>
        <v>ULIF08028/02/25DynamicFnd101</v>
      </c>
      <c r="E2452" s="8" t="s">
        <v>319</v>
      </c>
      <c r="F2452" s="8" t="s">
        <v>2764</v>
      </c>
    </row>
    <row r="2453" spans="1:6" ht="60" x14ac:dyDescent="0.25">
      <c r="A2453" s="8" t="s">
        <v>125</v>
      </c>
      <c r="B2453" s="8" t="s">
        <v>64</v>
      </c>
      <c r="C2453" s="8" t="str">
        <f>IFERROR(_xlfn.XLOOKUP(TRIM(B2453),Lookup!$B$2:$B$1000,Lookup!$C$2:$C$1000),"")</f>
        <v>Hybrid</v>
      </c>
      <c r="D2453" s="8" t="str">
        <f>IFERROR(INDEX('nav master'!$C:$C, MATCH(B2453, 'nav master'!$B:$B, 0)), "")</f>
        <v>ULIF08028/02/25DynamicFnd101</v>
      </c>
      <c r="E2453" s="8" t="s">
        <v>321</v>
      </c>
      <c r="F2453" s="8" t="s">
        <v>2765</v>
      </c>
    </row>
    <row r="2454" spans="1:6" ht="60" x14ac:dyDescent="0.25">
      <c r="A2454" s="8" t="s">
        <v>125</v>
      </c>
      <c r="B2454" s="8" t="s">
        <v>64</v>
      </c>
      <c r="C2454" s="8" t="str">
        <f>IFERROR(_xlfn.XLOOKUP(TRIM(B2454),Lookup!$B$2:$B$1000,Lookup!$C$2:$C$1000),"")</f>
        <v>Hybrid</v>
      </c>
      <c r="D2454" s="8" t="str">
        <f>IFERROR(INDEX('nav master'!$C:$C, MATCH(B2454, 'nav master'!$B:$B, 0)), "")</f>
        <v>ULIF08028/02/25DynamicFnd101</v>
      </c>
      <c r="E2454" s="8" t="s">
        <v>323</v>
      </c>
      <c r="F2454" s="8" t="s">
        <v>2766</v>
      </c>
    </row>
    <row r="2455" spans="1:6" ht="60" x14ac:dyDescent="0.25">
      <c r="A2455" s="8" t="s">
        <v>125</v>
      </c>
      <c r="B2455" s="8" t="s">
        <v>64</v>
      </c>
      <c r="C2455" s="8" t="str">
        <f>IFERROR(_xlfn.XLOOKUP(TRIM(B2455),Lookup!$B$2:$B$1000,Lookup!$C$2:$C$1000),"")</f>
        <v>Hybrid</v>
      </c>
      <c r="D2455" s="8" t="str">
        <f>IFERROR(INDEX('nav master'!$C:$C, MATCH(B2455, 'nav master'!$B:$B, 0)), "")</f>
        <v>ULIF08028/02/25DynamicFnd101</v>
      </c>
      <c r="E2455" s="8" t="s">
        <v>325</v>
      </c>
      <c r="F2455" s="8" t="s">
        <v>2767</v>
      </c>
    </row>
    <row r="2456" spans="1:6" ht="60" x14ac:dyDescent="0.25">
      <c r="A2456" s="8" t="s">
        <v>125</v>
      </c>
      <c r="B2456" s="8" t="s">
        <v>64</v>
      </c>
      <c r="C2456" s="8" t="str">
        <f>IFERROR(_xlfn.XLOOKUP(TRIM(B2456),Lookup!$B$2:$B$1000,Lookup!$C$2:$C$1000),"")</f>
        <v>Hybrid</v>
      </c>
      <c r="D2456" s="8" t="str">
        <f>IFERROR(INDEX('nav master'!$C:$C, MATCH(B2456, 'nav master'!$B:$B, 0)), "")</f>
        <v>ULIF08028/02/25DynamicFnd101</v>
      </c>
      <c r="E2456" s="8" t="s">
        <v>327</v>
      </c>
      <c r="F2456" s="8" t="s">
        <v>2768</v>
      </c>
    </row>
    <row r="2457" spans="1:6" ht="60" x14ac:dyDescent="0.25">
      <c r="A2457" s="8" t="s">
        <v>125</v>
      </c>
      <c r="B2457" s="8" t="s">
        <v>64</v>
      </c>
      <c r="C2457" s="8" t="str">
        <f>IFERROR(_xlfn.XLOOKUP(TRIM(B2457),Lookup!$B$2:$B$1000,Lookup!$C$2:$C$1000),"")</f>
        <v>Hybrid</v>
      </c>
      <c r="D2457" s="8" t="str">
        <f>IFERROR(INDEX('nav master'!$C:$C, MATCH(B2457, 'nav master'!$B:$B, 0)), "")</f>
        <v>ULIF08028/02/25DynamicFnd101</v>
      </c>
      <c r="E2457" s="8" t="s">
        <v>329</v>
      </c>
      <c r="F2457" s="8" t="s">
        <v>2769</v>
      </c>
    </row>
    <row r="2458" spans="1:6" ht="60" x14ac:dyDescent="0.25">
      <c r="A2458" s="8" t="s">
        <v>125</v>
      </c>
      <c r="B2458" s="8" t="s">
        <v>64</v>
      </c>
      <c r="C2458" s="8" t="str">
        <f>IFERROR(_xlfn.XLOOKUP(TRIM(B2458),Lookup!$B$2:$B$1000,Lookup!$C$2:$C$1000),"")</f>
        <v>Hybrid</v>
      </c>
      <c r="D2458" s="8" t="str">
        <f>IFERROR(INDEX('nav master'!$C:$C, MATCH(B2458, 'nav master'!$B:$B, 0)), "")</f>
        <v>ULIF08028/02/25DynamicFnd101</v>
      </c>
      <c r="E2458" s="8" t="s">
        <v>331</v>
      </c>
      <c r="F2458" s="8" t="s">
        <v>2770</v>
      </c>
    </row>
    <row r="2459" spans="1:6" ht="60" x14ac:dyDescent="0.25">
      <c r="A2459" s="8" t="s">
        <v>125</v>
      </c>
      <c r="B2459" s="8" t="s">
        <v>64</v>
      </c>
      <c r="C2459" s="8" t="str">
        <f>IFERROR(_xlfn.XLOOKUP(TRIM(B2459),Lookup!$B$2:$B$1000,Lookup!$C$2:$C$1000),"")</f>
        <v>Hybrid</v>
      </c>
      <c r="D2459" s="8" t="str">
        <f>IFERROR(INDEX('nav master'!$C:$C, MATCH(B2459, 'nav master'!$B:$B, 0)), "")</f>
        <v>ULIF08028/02/25DynamicFnd101</v>
      </c>
      <c r="E2459" s="8" t="s">
        <v>333</v>
      </c>
      <c r="F2459" s="8" t="s">
        <v>2771</v>
      </c>
    </row>
    <row r="2460" spans="1:6" ht="60" x14ac:dyDescent="0.25">
      <c r="A2460" s="8" t="s">
        <v>125</v>
      </c>
      <c r="B2460" s="8" t="s">
        <v>64</v>
      </c>
      <c r="C2460" s="8" t="str">
        <f>IFERROR(_xlfn.XLOOKUP(TRIM(B2460),Lookup!$B$2:$B$1000,Lookup!$C$2:$C$1000),"")</f>
        <v>Hybrid</v>
      </c>
      <c r="D2460" s="8" t="str">
        <f>IFERROR(INDEX('nav master'!$C:$C, MATCH(B2460, 'nav master'!$B:$B, 0)), "")</f>
        <v>ULIF08028/02/25DynamicFnd101</v>
      </c>
      <c r="E2460" s="8" t="s">
        <v>335</v>
      </c>
      <c r="F2460" s="8" t="s">
        <v>2772</v>
      </c>
    </row>
    <row r="2461" spans="1:6" ht="60" x14ac:dyDescent="0.25">
      <c r="A2461" s="8" t="s">
        <v>125</v>
      </c>
      <c r="B2461" s="8" t="s">
        <v>64</v>
      </c>
      <c r="C2461" s="8" t="str">
        <f>IFERROR(_xlfn.XLOOKUP(TRIM(B2461),Lookup!$B$2:$B$1000,Lookup!$C$2:$C$1000),"")</f>
        <v>Hybrid</v>
      </c>
      <c r="D2461" s="8" t="str">
        <f>IFERROR(INDEX('nav master'!$C:$C, MATCH(B2461, 'nav master'!$B:$B, 0)), "")</f>
        <v>ULIF08028/02/25DynamicFnd101</v>
      </c>
      <c r="E2461" s="8" t="s">
        <v>337</v>
      </c>
      <c r="F2461" s="8" t="s">
        <v>2773</v>
      </c>
    </row>
    <row r="2462" spans="1:6" ht="60" x14ac:dyDescent="0.25">
      <c r="A2462" s="8" t="s">
        <v>125</v>
      </c>
      <c r="B2462" s="8" t="s">
        <v>64</v>
      </c>
      <c r="C2462" s="8" t="str">
        <f>IFERROR(_xlfn.XLOOKUP(TRIM(B2462),Lookup!$B$2:$B$1000,Lookup!$C$2:$C$1000),"")</f>
        <v>Hybrid</v>
      </c>
      <c r="D2462" s="8" t="str">
        <f>IFERROR(INDEX('nav master'!$C:$C, MATCH(B2462, 'nav master'!$B:$B, 0)), "")</f>
        <v>ULIF08028/02/25DynamicFnd101</v>
      </c>
      <c r="E2462" s="8" t="s">
        <v>339</v>
      </c>
      <c r="F2462" s="8" t="s">
        <v>2774</v>
      </c>
    </row>
    <row r="2463" spans="1:6" ht="60" x14ac:dyDescent="0.25">
      <c r="A2463" s="8" t="s">
        <v>125</v>
      </c>
      <c r="B2463" s="8" t="s">
        <v>64</v>
      </c>
      <c r="C2463" s="8" t="str">
        <f>IFERROR(_xlfn.XLOOKUP(TRIM(B2463),Lookup!$B$2:$B$1000,Lookup!$C$2:$C$1000),"")</f>
        <v>Hybrid</v>
      </c>
      <c r="D2463" s="8" t="str">
        <f>IFERROR(INDEX('nav master'!$C:$C, MATCH(B2463, 'nav master'!$B:$B, 0)), "")</f>
        <v>ULIF08028/02/25DynamicFnd101</v>
      </c>
      <c r="E2463" s="8" t="s">
        <v>341</v>
      </c>
      <c r="F2463" s="8" t="s">
        <v>2775</v>
      </c>
    </row>
    <row r="2464" spans="1:6" ht="60" x14ac:dyDescent="0.25">
      <c r="A2464" s="8" t="s">
        <v>125</v>
      </c>
      <c r="B2464" s="8" t="s">
        <v>64</v>
      </c>
      <c r="C2464" s="8" t="str">
        <f>IFERROR(_xlfn.XLOOKUP(TRIM(B2464),Lookup!$B$2:$B$1000,Lookup!$C$2:$C$1000),"")</f>
        <v>Hybrid</v>
      </c>
      <c r="D2464" s="8" t="str">
        <f>IFERROR(INDEX('nav master'!$C:$C, MATCH(B2464, 'nav master'!$B:$B, 0)), "")</f>
        <v>ULIF08028/02/25DynamicFnd101</v>
      </c>
      <c r="E2464" s="8" t="s">
        <v>343</v>
      </c>
      <c r="F2464" s="8" t="s">
        <v>2776</v>
      </c>
    </row>
    <row r="2465" spans="1:6" ht="60" x14ac:dyDescent="0.25">
      <c r="A2465" s="8" t="s">
        <v>125</v>
      </c>
      <c r="B2465" s="8" t="s">
        <v>64</v>
      </c>
      <c r="C2465" s="8" t="str">
        <f>IFERROR(_xlfn.XLOOKUP(TRIM(B2465),Lookup!$B$2:$B$1000,Lookup!$C$2:$C$1000),"")</f>
        <v>Hybrid</v>
      </c>
      <c r="D2465" s="8" t="str">
        <f>IFERROR(INDEX('nav master'!$C:$C, MATCH(B2465, 'nav master'!$B:$B, 0)), "")</f>
        <v>ULIF08028/02/25DynamicFnd101</v>
      </c>
      <c r="E2465" s="8" t="s">
        <v>345</v>
      </c>
      <c r="F2465" s="8" t="s">
        <v>2777</v>
      </c>
    </row>
    <row r="2466" spans="1:6" ht="60" x14ac:dyDescent="0.25">
      <c r="A2466" s="8" t="s">
        <v>125</v>
      </c>
      <c r="B2466" s="8" t="s">
        <v>64</v>
      </c>
      <c r="C2466" s="8" t="str">
        <f>IFERROR(_xlfn.XLOOKUP(TRIM(B2466),Lookup!$B$2:$B$1000,Lookup!$C$2:$C$1000),"")</f>
        <v>Hybrid</v>
      </c>
      <c r="D2466" s="8" t="str">
        <f>IFERROR(INDEX('nav master'!$C:$C, MATCH(B2466, 'nav master'!$B:$B, 0)), "")</f>
        <v>ULIF08028/02/25DynamicFnd101</v>
      </c>
      <c r="E2466" s="8" t="s">
        <v>347</v>
      </c>
      <c r="F2466" s="8" t="s">
        <v>2778</v>
      </c>
    </row>
    <row r="2467" spans="1:6" ht="60" x14ac:dyDescent="0.25">
      <c r="A2467" s="8" t="s">
        <v>125</v>
      </c>
      <c r="B2467" s="8" t="s">
        <v>64</v>
      </c>
      <c r="C2467" s="8" t="str">
        <f>IFERROR(_xlfn.XLOOKUP(TRIM(B2467),Lookup!$B$2:$B$1000,Lookup!$C$2:$C$1000),"")</f>
        <v>Hybrid</v>
      </c>
      <c r="D2467" s="8" t="str">
        <f>IFERROR(INDEX('nav master'!$C:$C, MATCH(B2467, 'nav master'!$B:$B, 0)), "")</f>
        <v>ULIF08028/02/25DynamicFnd101</v>
      </c>
      <c r="E2467" s="8" t="s">
        <v>349</v>
      </c>
      <c r="F2467" s="8" t="s">
        <v>2779</v>
      </c>
    </row>
    <row r="2468" spans="1:6" ht="60" x14ac:dyDescent="0.25">
      <c r="A2468" s="8" t="s">
        <v>125</v>
      </c>
      <c r="B2468" s="8" t="s">
        <v>64</v>
      </c>
      <c r="C2468" s="8" t="str">
        <f>IFERROR(_xlfn.XLOOKUP(TRIM(B2468),Lookup!$B$2:$B$1000,Lookup!$C$2:$C$1000),"")</f>
        <v>Hybrid</v>
      </c>
      <c r="D2468" s="8" t="str">
        <f>IFERROR(INDEX('nav master'!$C:$C, MATCH(B2468, 'nav master'!$B:$B, 0)), "")</f>
        <v>ULIF08028/02/25DynamicFnd101</v>
      </c>
      <c r="E2468" s="8" t="s">
        <v>351</v>
      </c>
      <c r="F2468" s="8" t="s">
        <v>2780</v>
      </c>
    </row>
    <row r="2469" spans="1:6" ht="60" x14ac:dyDescent="0.25">
      <c r="A2469" s="8" t="s">
        <v>125</v>
      </c>
      <c r="B2469" s="8" t="s">
        <v>64</v>
      </c>
      <c r="C2469" s="8" t="str">
        <f>IFERROR(_xlfn.XLOOKUP(TRIM(B2469),Lookup!$B$2:$B$1000,Lookup!$C$2:$C$1000),"")</f>
        <v>Hybrid</v>
      </c>
      <c r="D2469" s="8" t="str">
        <f>IFERROR(INDEX('nav master'!$C:$C, MATCH(B2469, 'nav master'!$B:$B, 0)), "")</f>
        <v>ULIF08028/02/25DynamicFnd101</v>
      </c>
      <c r="E2469" s="8" t="s">
        <v>353</v>
      </c>
      <c r="F2469" s="8" t="s">
        <v>2781</v>
      </c>
    </row>
    <row r="2470" spans="1:6" ht="60" x14ac:dyDescent="0.25">
      <c r="A2470" s="8" t="s">
        <v>125</v>
      </c>
      <c r="B2470" s="8" t="s">
        <v>64</v>
      </c>
      <c r="C2470" s="8" t="str">
        <f>IFERROR(_xlfn.XLOOKUP(TRIM(B2470),Lookup!$B$2:$B$1000,Lookup!$C$2:$C$1000),"")</f>
        <v>Hybrid</v>
      </c>
      <c r="D2470" s="8" t="str">
        <f>IFERROR(INDEX('nav master'!$C:$C, MATCH(B2470, 'nav master'!$B:$B, 0)), "")</f>
        <v>ULIF08028/02/25DynamicFnd101</v>
      </c>
      <c r="E2470" s="8" t="s">
        <v>355</v>
      </c>
      <c r="F2470" s="8" t="s">
        <v>2782</v>
      </c>
    </row>
    <row r="2471" spans="1:6" ht="60" x14ac:dyDescent="0.25">
      <c r="A2471" s="8" t="s">
        <v>125</v>
      </c>
      <c r="B2471" s="8" t="s">
        <v>64</v>
      </c>
      <c r="C2471" s="8" t="str">
        <f>IFERROR(_xlfn.XLOOKUP(TRIM(B2471),Lookup!$B$2:$B$1000,Lookup!$C$2:$C$1000),"")</f>
        <v>Hybrid</v>
      </c>
      <c r="D2471" s="8" t="str">
        <f>IFERROR(INDEX('nav master'!$C:$C, MATCH(B2471, 'nav master'!$B:$B, 0)), "")</f>
        <v>ULIF08028/02/25DynamicFnd101</v>
      </c>
      <c r="E2471" s="8" t="s">
        <v>357</v>
      </c>
      <c r="F2471" s="8" t="s">
        <v>2783</v>
      </c>
    </row>
    <row r="2472" spans="1:6" ht="60" x14ac:dyDescent="0.25">
      <c r="A2472" s="8" t="s">
        <v>125</v>
      </c>
      <c r="B2472" s="8" t="s">
        <v>64</v>
      </c>
      <c r="C2472" s="8" t="str">
        <f>IFERROR(_xlfn.XLOOKUP(TRIM(B2472),Lookup!$B$2:$B$1000,Lookup!$C$2:$C$1000),"")</f>
        <v>Hybrid</v>
      </c>
      <c r="D2472" s="8" t="str">
        <f>IFERROR(INDEX('nav master'!$C:$C, MATCH(B2472, 'nav master'!$B:$B, 0)), "")</f>
        <v>ULIF08028/02/25DynamicFnd101</v>
      </c>
      <c r="E2472" s="8" t="s">
        <v>359</v>
      </c>
      <c r="F2472" s="8" t="s">
        <v>2784</v>
      </c>
    </row>
    <row r="2473" spans="1:6" ht="60" x14ac:dyDescent="0.25">
      <c r="A2473" s="8" t="s">
        <v>125</v>
      </c>
      <c r="B2473" s="8" t="s">
        <v>64</v>
      </c>
      <c r="C2473" s="8" t="str">
        <f>IFERROR(_xlfn.XLOOKUP(TRIM(B2473),Lookup!$B$2:$B$1000,Lookup!$C$2:$C$1000),"")</f>
        <v>Hybrid</v>
      </c>
      <c r="D2473" s="8" t="str">
        <f>IFERROR(INDEX('nav master'!$C:$C, MATCH(B2473, 'nav master'!$B:$B, 0)), "")</f>
        <v>ULIF08028/02/25DynamicFnd101</v>
      </c>
      <c r="E2473" s="8" t="s">
        <v>361</v>
      </c>
      <c r="F2473" s="8" t="s">
        <v>2785</v>
      </c>
    </row>
    <row r="2474" spans="1:6" ht="60" x14ac:dyDescent="0.25">
      <c r="A2474" s="8" t="s">
        <v>125</v>
      </c>
      <c r="B2474" s="8" t="s">
        <v>64</v>
      </c>
      <c r="C2474" s="8" t="str">
        <f>IFERROR(_xlfn.XLOOKUP(TRIM(B2474),Lookup!$B$2:$B$1000,Lookup!$C$2:$C$1000),"")</f>
        <v>Hybrid</v>
      </c>
      <c r="D2474" s="8" t="str">
        <f>IFERROR(INDEX('nav master'!$C:$C, MATCH(B2474, 'nav master'!$B:$B, 0)), "")</f>
        <v>ULIF08028/02/25DynamicFnd101</v>
      </c>
      <c r="E2474" s="8" t="s">
        <v>363</v>
      </c>
      <c r="F2474" s="8" t="s">
        <v>2786</v>
      </c>
    </row>
    <row r="2475" spans="1:6" ht="60" x14ac:dyDescent="0.25">
      <c r="A2475" s="8" t="s">
        <v>125</v>
      </c>
      <c r="B2475" s="8" t="s">
        <v>64</v>
      </c>
      <c r="C2475" s="8" t="str">
        <f>IFERROR(_xlfn.XLOOKUP(TRIM(B2475),Lookup!$B$2:$B$1000,Lookup!$C$2:$C$1000),"")</f>
        <v>Hybrid</v>
      </c>
      <c r="D2475" s="8" t="str">
        <f>IFERROR(INDEX('nav master'!$C:$C, MATCH(B2475, 'nav master'!$B:$B, 0)), "")</f>
        <v>ULIF08028/02/25DynamicFnd101</v>
      </c>
      <c r="E2475" s="8" t="s">
        <v>365</v>
      </c>
      <c r="F2475" s="8" t="s">
        <v>2787</v>
      </c>
    </row>
    <row r="2476" spans="1:6" ht="60" x14ac:dyDescent="0.25">
      <c r="A2476" s="8" t="s">
        <v>125</v>
      </c>
      <c r="B2476" s="8" t="s">
        <v>64</v>
      </c>
      <c r="C2476" s="8" t="str">
        <f>IFERROR(_xlfn.XLOOKUP(TRIM(B2476),Lookup!$B$2:$B$1000,Lookup!$C$2:$C$1000),"")</f>
        <v>Hybrid</v>
      </c>
      <c r="D2476" s="8" t="str">
        <f>IFERROR(INDEX('nav master'!$C:$C, MATCH(B2476, 'nav master'!$B:$B, 0)), "")</f>
        <v>ULIF08028/02/25DynamicFnd101</v>
      </c>
      <c r="E2476" s="8" t="s">
        <v>367</v>
      </c>
      <c r="F2476" s="8" t="s">
        <v>2788</v>
      </c>
    </row>
    <row r="2477" spans="1:6" ht="60" x14ac:dyDescent="0.25">
      <c r="A2477" s="8" t="s">
        <v>125</v>
      </c>
      <c r="B2477" s="8" t="s">
        <v>64</v>
      </c>
      <c r="C2477" s="8" t="str">
        <f>IFERROR(_xlfn.XLOOKUP(TRIM(B2477),Lookup!$B$2:$B$1000,Lookup!$C$2:$C$1000),"")</f>
        <v>Hybrid</v>
      </c>
      <c r="D2477" s="8" t="str">
        <f>IFERROR(INDEX('nav master'!$C:$C, MATCH(B2477, 'nav master'!$B:$B, 0)), "")</f>
        <v>ULIF08028/02/25DynamicFnd101</v>
      </c>
      <c r="E2477" s="8" t="s">
        <v>369</v>
      </c>
      <c r="F2477" s="8" t="s">
        <v>2789</v>
      </c>
    </row>
    <row r="2478" spans="1:6" ht="60" x14ac:dyDescent="0.25">
      <c r="A2478" s="8" t="s">
        <v>125</v>
      </c>
      <c r="B2478" s="8" t="s">
        <v>64</v>
      </c>
      <c r="C2478" s="8" t="str">
        <f>IFERROR(_xlfn.XLOOKUP(TRIM(B2478),Lookup!$B$2:$B$1000,Lookup!$C$2:$C$1000),"")</f>
        <v>Hybrid</v>
      </c>
      <c r="D2478" s="8" t="str">
        <f>IFERROR(INDEX('nav master'!$C:$C, MATCH(B2478, 'nav master'!$B:$B, 0)), "")</f>
        <v>ULIF08028/02/25DynamicFnd101</v>
      </c>
      <c r="E2478" s="8" t="s">
        <v>371</v>
      </c>
      <c r="F2478" s="8" t="s">
        <v>2790</v>
      </c>
    </row>
    <row r="2479" spans="1:6" ht="60" x14ac:dyDescent="0.25">
      <c r="A2479" s="8" t="s">
        <v>125</v>
      </c>
      <c r="B2479" s="8" t="s">
        <v>64</v>
      </c>
      <c r="C2479" s="8" t="str">
        <f>IFERROR(_xlfn.XLOOKUP(TRIM(B2479),Lookup!$B$2:$B$1000,Lookup!$C$2:$C$1000),"")</f>
        <v>Hybrid</v>
      </c>
      <c r="D2479" s="8" t="str">
        <f>IFERROR(INDEX('nav master'!$C:$C, MATCH(B2479, 'nav master'!$B:$B, 0)), "")</f>
        <v>ULIF08028/02/25DynamicFnd101</v>
      </c>
      <c r="E2479" s="8" t="s">
        <v>373</v>
      </c>
      <c r="F2479" s="8" t="s">
        <v>2791</v>
      </c>
    </row>
    <row r="2480" spans="1:6" ht="60" x14ac:dyDescent="0.25">
      <c r="A2480" s="8" t="s">
        <v>125</v>
      </c>
      <c r="B2480" s="8" t="s">
        <v>64</v>
      </c>
      <c r="C2480" s="8" t="str">
        <f>IFERROR(_xlfn.XLOOKUP(TRIM(B2480),Lookup!$B$2:$B$1000,Lookup!$C$2:$C$1000),"")</f>
        <v>Hybrid</v>
      </c>
      <c r="D2480" s="8" t="str">
        <f>IFERROR(INDEX('nav master'!$C:$C, MATCH(B2480, 'nav master'!$B:$B, 0)), "")</f>
        <v>ULIF08028/02/25DynamicFnd101</v>
      </c>
      <c r="E2480" s="8" t="s">
        <v>375</v>
      </c>
      <c r="F2480" s="8" t="s">
        <v>2792</v>
      </c>
    </row>
    <row r="2481" spans="1:6" ht="60" x14ac:dyDescent="0.25">
      <c r="A2481" s="8" t="s">
        <v>125</v>
      </c>
      <c r="B2481" s="8" t="s">
        <v>64</v>
      </c>
      <c r="C2481" s="8" t="str">
        <f>IFERROR(_xlfn.XLOOKUP(TRIM(B2481),Lookup!$B$2:$B$1000,Lookup!$C$2:$C$1000),"")</f>
        <v>Hybrid</v>
      </c>
      <c r="D2481" s="8" t="str">
        <f>IFERROR(INDEX('nav master'!$C:$C, MATCH(B2481, 'nav master'!$B:$B, 0)), "")</f>
        <v>ULIF08028/02/25DynamicFnd101</v>
      </c>
      <c r="E2481" s="8" t="s">
        <v>377</v>
      </c>
      <c r="F2481" s="8" t="s">
        <v>2793</v>
      </c>
    </row>
    <row r="2482" spans="1:6" ht="60" x14ac:dyDescent="0.25">
      <c r="A2482" s="8" t="s">
        <v>125</v>
      </c>
      <c r="B2482" s="8" t="s">
        <v>64</v>
      </c>
      <c r="C2482" s="8" t="str">
        <f>IFERROR(_xlfn.XLOOKUP(TRIM(B2482),Lookup!$B$2:$B$1000,Lookup!$C$2:$C$1000),"")</f>
        <v>Hybrid</v>
      </c>
      <c r="D2482" s="8" t="str">
        <f>IFERROR(INDEX('nav master'!$C:$C, MATCH(B2482, 'nav master'!$B:$B, 0)), "")</f>
        <v>ULIF08028/02/25DynamicFnd101</v>
      </c>
      <c r="E2482" s="8" t="s">
        <v>379</v>
      </c>
      <c r="F2482" s="8" t="s">
        <v>2794</v>
      </c>
    </row>
    <row r="2483" spans="1:6" ht="60" x14ac:dyDescent="0.25">
      <c r="A2483" s="8" t="s">
        <v>125</v>
      </c>
      <c r="B2483" s="8" t="s">
        <v>64</v>
      </c>
      <c r="C2483" s="8" t="str">
        <f>IFERROR(_xlfn.XLOOKUP(TRIM(B2483),Lookup!$B$2:$B$1000,Lookup!$C$2:$C$1000),"")</f>
        <v>Hybrid</v>
      </c>
      <c r="D2483" s="8" t="str">
        <f>IFERROR(INDEX('nav master'!$C:$C, MATCH(B2483, 'nav master'!$B:$B, 0)), "")</f>
        <v>ULIF08028/02/25DynamicFnd101</v>
      </c>
      <c r="E2483" s="8" t="s">
        <v>381</v>
      </c>
      <c r="F2483" s="8" t="s">
        <v>2795</v>
      </c>
    </row>
    <row r="2484" spans="1:6" ht="60" x14ac:dyDescent="0.25">
      <c r="A2484" s="8" t="s">
        <v>125</v>
      </c>
      <c r="B2484" s="8" t="s">
        <v>64</v>
      </c>
      <c r="C2484" s="8" t="str">
        <f>IFERROR(_xlfn.XLOOKUP(TRIM(B2484),Lookup!$B$2:$B$1000,Lookup!$C$2:$C$1000),"")</f>
        <v>Hybrid</v>
      </c>
      <c r="D2484" s="8" t="str">
        <f>IFERROR(INDEX('nav master'!$C:$C, MATCH(B2484, 'nav master'!$B:$B, 0)), "")</f>
        <v>ULIF08028/02/25DynamicFnd101</v>
      </c>
      <c r="E2484" s="8" t="s">
        <v>383</v>
      </c>
      <c r="F2484" s="8" t="s">
        <v>2796</v>
      </c>
    </row>
    <row r="2485" spans="1:6" ht="60" x14ac:dyDescent="0.25">
      <c r="A2485" s="8" t="s">
        <v>125</v>
      </c>
      <c r="B2485" s="8" t="s">
        <v>64</v>
      </c>
      <c r="C2485" s="8" t="str">
        <f>IFERROR(_xlfn.XLOOKUP(TRIM(B2485),Lookup!$B$2:$B$1000,Lookup!$C$2:$C$1000),"")</f>
        <v>Hybrid</v>
      </c>
      <c r="D2485" s="8" t="str">
        <f>IFERROR(INDEX('nav master'!$C:$C, MATCH(B2485, 'nav master'!$B:$B, 0)), "")</f>
        <v>ULIF08028/02/25DynamicFnd101</v>
      </c>
      <c r="E2485" s="8" t="s">
        <v>385</v>
      </c>
      <c r="F2485" s="8" t="s">
        <v>2797</v>
      </c>
    </row>
    <row r="2486" spans="1:6" ht="60" x14ac:dyDescent="0.25">
      <c r="A2486" s="8" t="s">
        <v>125</v>
      </c>
      <c r="B2486" s="8" t="s">
        <v>64</v>
      </c>
      <c r="C2486" s="8" t="str">
        <f>IFERROR(_xlfn.XLOOKUP(TRIM(B2486),Lookup!$B$2:$B$1000,Lookup!$C$2:$C$1000),"")</f>
        <v>Hybrid</v>
      </c>
      <c r="D2486" s="8" t="str">
        <f>IFERROR(INDEX('nav master'!$C:$C, MATCH(B2486, 'nav master'!$B:$B, 0)), "")</f>
        <v>ULIF08028/02/25DynamicFnd101</v>
      </c>
      <c r="E2486" s="8" t="s">
        <v>387</v>
      </c>
      <c r="F2486" s="8" t="s">
        <v>2798</v>
      </c>
    </row>
    <row r="2487" spans="1:6" ht="60" x14ac:dyDescent="0.25">
      <c r="A2487" s="8" t="s">
        <v>125</v>
      </c>
      <c r="B2487" s="8" t="s">
        <v>64</v>
      </c>
      <c r="C2487" s="8" t="str">
        <f>IFERROR(_xlfn.XLOOKUP(TRIM(B2487),Lookup!$B$2:$B$1000,Lookup!$C$2:$C$1000),"")</f>
        <v>Hybrid</v>
      </c>
      <c r="D2487" s="8" t="str">
        <f>IFERROR(INDEX('nav master'!$C:$C, MATCH(B2487, 'nav master'!$B:$B, 0)), "")</f>
        <v>ULIF08028/02/25DynamicFnd101</v>
      </c>
      <c r="E2487" s="8" t="s">
        <v>389</v>
      </c>
      <c r="F2487" s="8" t="s">
        <v>2799</v>
      </c>
    </row>
    <row r="2488" spans="1:6" ht="60" x14ac:dyDescent="0.25">
      <c r="A2488" s="8" t="s">
        <v>125</v>
      </c>
      <c r="B2488" s="8" t="s">
        <v>64</v>
      </c>
      <c r="C2488" s="8" t="str">
        <f>IFERROR(_xlfn.XLOOKUP(TRIM(B2488),Lookup!$B$2:$B$1000,Lookup!$C$2:$C$1000),"")</f>
        <v>Hybrid</v>
      </c>
      <c r="D2488" s="8" t="str">
        <f>IFERROR(INDEX('nav master'!$C:$C, MATCH(B2488, 'nav master'!$B:$B, 0)), "")</f>
        <v>ULIF08028/02/25DynamicFnd101</v>
      </c>
      <c r="E2488" s="8" t="s">
        <v>391</v>
      </c>
      <c r="F2488" s="8" t="s">
        <v>2800</v>
      </c>
    </row>
    <row r="2489" spans="1:6" ht="60" x14ac:dyDescent="0.25">
      <c r="A2489" s="8" t="s">
        <v>125</v>
      </c>
      <c r="B2489" s="8" t="s">
        <v>64</v>
      </c>
      <c r="C2489" s="8" t="str">
        <f>IFERROR(_xlfn.XLOOKUP(TRIM(B2489),Lookup!$B$2:$B$1000,Lookup!$C$2:$C$1000),"")</f>
        <v>Hybrid</v>
      </c>
      <c r="D2489" s="8" t="str">
        <f>IFERROR(INDEX('nav master'!$C:$C, MATCH(B2489, 'nav master'!$B:$B, 0)), "")</f>
        <v>ULIF08028/02/25DynamicFnd101</v>
      </c>
      <c r="E2489" s="8" t="s">
        <v>393</v>
      </c>
      <c r="F2489" s="8" t="s">
        <v>2801</v>
      </c>
    </row>
    <row r="2490" spans="1:6" ht="60" x14ac:dyDescent="0.25">
      <c r="A2490" s="8" t="s">
        <v>125</v>
      </c>
      <c r="B2490" s="8" t="s">
        <v>64</v>
      </c>
      <c r="C2490" s="8" t="str">
        <f>IFERROR(_xlfn.XLOOKUP(TRIM(B2490),Lookup!$B$2:$B$1000,Lookup!$C$2:$C$1000),"")</f>
        <v>Hybrid</v>
      </c>
      <c r="D2490" s="8" t="str">
        <f>IFERROR(INDEX('nav master'!$C:$C, MATCH(B2490, 'nav master'!$B:$B, 0)), "")</f>
        <v>ULIF08028/02/25DynamicFnd101</v>
      </c>
      <c r="E2490" s="8" t="s">
        <v>395</v>
      </c>
      <c r="F2490" s="8" t="s">
        <v>2802</v>
      </c>
    </row>
    <row r="2491" spans="1:6" ht="60" x14ac:dyDescent="0.25">
      <c r="A2491" s="8" t="s">
        <v>125</v>
      </c>
      <c r="B2491" s="8" t="s">
        <v>64</v>
      </c>
      <c r="C2491" s="8" t="str">
        <f>IFERROR(_xlfn.XLOOKUP(TRIM(B2491),Lookup!$B$2:$B$1000,Lookup!$C$2:$C$1000),"")</f>
        <v>Hybrid</v>
      </c>
      <c r="D2491" s="8" t="str">
        <f>IFERROR(INDEX('nav master'!$C:$C, MATCH(B2491, 'nav master'!$B:$B, 0)), "")</f>
        <v>ULIF08028/02/25DynamicFnd101</v>
      </c>
      <c r="E2491" s="8" t="s">
        <v>397</v>
      </c>
      <c r="F2491" s="8" t="s">
        <v>2803</v>
      </c>
    </row>
    <row r="2492" spans="1:6" ht="60" x14ac:dyDescent="0.25">
      <c r="A2492" s="8" t="s">
        <v>125</v>
      </c>
      <c r="B2492" s="8" t="s">
        <v>64</v>
      </c>
      <c r="C2492" s="8" t="str">
        <f>IFERROR(_xlfn.XLOOKUP(TRIM(B2492),Lookup!$B$2:$B$1000,Lookup!$C$2:$C$1000),"")</f>
        <v>Hybrid</v>
      </c>
      <c r="D2492" s="8" t="str">
        <f>IFERROR(INDEX('nav master'!$C:$C, MATCH(B2492, 'nav master'!$B:$B, 0)), "")</f>
        <v>ULIF08028/02/25DynamicFnd101</v>
      </c>
      <c r="E2492" s="8" t="s">
        <v>399</v>
      </c>
      <c r="F2492" s="8" t="s">
        <v>2804</v>
      </c>
    </row>
    <row r="2493" spans="1:6" ht="60" x14ac:dyDescent="0.25">
      <c r="A2493" s="8" t="s">
        <v>125</v>
      </c>
      <c r="B2493" s="8" t="s">
        <v>64</v>
      </c>
      <c r="C2493" s="8" t="str">
        <f>IFERROR(_xlfn.XLOOKUP(TRIM(B2493),Lookup!$B$2:$B$1000,Lookup!$C$2:$C$1000),"")</f>
        <v>Hybrid</v>
      </c>
      <c r="D2493" s="8" t="str">
        <f>IFERROR(INDEX('nav master'!$C:$C, MATCH(B2493, 'nav master'!$B:$B, 0)), "")</f>
        <v>ULIF08028/02/25DynamicFnd101</v>
      </c>
      <c r="E2493" s="8" t="s">
        <v>401</v>
      </c>
      <c r="F2493" s="8" t="s">
        <v>2805</v>
      </c>
    </row>
    <row r="2494" spans="1:6" ht="60" x14ac:dyDescent="0.25">
      <c r="A2494" s="8" t="s">
        <v>125</v>
      </c>
      <c r="B2494" s="8" t="s">
        <v>64</v>
      </c>
      <c r="C2494" s="8" t="str">
        <f>IFERROR(_xlfn.XLOOKUP(TRIM(B2494),Lookup!$B$2:$B$1000,Lookup!$C$2:$C$1000),"")</f>
        <v>Hybrid</v>
      </c>
      <c r="D2494" s="8" t="str">
        <f>IFERROR(INDEX('nav master'!$C:$C, MATCH(B2494, 'nav master'!$B:$B, 0)), "")</f>
        <v>ULIF08028/02/25DynamicFnd101</v>
      </c>
      <c r="E2494" s="8" t="s">
        <v>403</v>
      </c>
      <c r="F2494" s="8" t="s">
        <v>2806</v>
      </c>
    </row>
    <row r="2495" spans="1:6" ht="60" x14ac:dyDescent="0.25">
      <c r="A2495" s="8" t="s">
        <v>125</v>
      </c>
      <c r="B2495" s="8" t="s">
        <v>64</v>
      </c>
      <c r="C2495" s="8" t="str">
        <f>IFERROR(_xlfn.XLOOKUP(TRIM(B2495),Lookup!$B$2:$B$1000,Lookup!$C$2:$C$1000),"")</f>
        <v>Hybrid</v>
      </c>
      <c r="D2495" s="8" t="str">
        <f>IFERROR(INDEX('nav master'!$C:$C, MATCH(B2495, 'nav master'!$B:$B, 0)), "")</f>
        <v>ULIF08028/02/25DynamicFnd101</v>
      </c>
      <c r="E2495" s="8" t="s">
        <v>405</v>
      </c>
      <c r="F2495" s="8" t="s">
        <v>2807</v>
      </c>
    </row>
    <row r="2496" spans="1:6" ht="60" x14ac:dyDescent="0.25">
      <c r="A2496" s="8" t="s">
        <v>125</v>
      </c>
      <c r="B2496" s="8" t="s">
        <v>64</v>
      </c>
      <c r="C2496" s="8" t="str">
        <f>IFERROR(_xlfn.XLOOKUP(TRIM(B2496),Lookup!$B$2:$B$1000,Lookup!$C$2:$C$1000),"")</f>
        <v>Hybrid</v>
      </c>
      <c r="D2496" s="8" t="str">
        <f>IFERROR(INDEX('nav master'!$C:$C, MATCH(B2496, 'nav master'!$B:$B, 0)), "")</f>
        <v>ULIF08028/02/25DynamicFnd101</v>
      </c>
      <c r="E2496" s="8" t="s">
        <v>407</v>
      </c>
      <c r="F2496" s="8" t="s">
        <v>2808</v>
      </c>
    </row>
    <row r="2497" spans="1:6" ht="60" x14ac:dyDescent="0.25">
      <c r="A2497" s="8" t="s">
        <v>125</v>
      </c>
      <c r="B2497" s="8" t="s">
        <v>64</v>
      </c>
      <c r="C2497" s="8" t="str">
        <f>IFERROR(_xlfn.XLOOKUP(TRIM(B2497),Lookup!$B$2:$B$1000,Lookup!$C$2:$C$1000),"")</f>
        <v>Hybrid</v>
      </c>
      <c r="D2497" s="8" t="str">
        <f>IFERROR(INDEX('nav master'!$C:$C, MATCH(B2497, 'nav master'!$B:$B, 0)), "")</f>
        <v>ULIF08028/02/25DynamicFnd101</v>
      </c>
      <c r="E2497" s="8" t="s">
        <v>409</v>
      </c>
      <c r="F2497" s="8" t="s">
        <v>2809</v>
      </c>
    </row>
    <row r="2498" spans="1:6" ht="60" x14ac:dyDescent="0.25">
      <c r="A2498" s="8" t="s">
        <v>125</v>
      </c>
      <c r="B2498" s="8" t="s">
        <v>64</v>
      </c>
      <c r="C2498" s="8" t="str">
        <f>IFERROR(_xlfn.XLOOKUP(TRIM(B2498),Lookup!$B$2:$B$1000,Lookup!$C$2:$C$1000),"")</f>
        <v>Hybrid</v>
      </c>
      <c r="D2498" s="8" t="str">
        <f>IFERROR(INDEX('nav master'!$C:$C, MATCH(B2498, 'nav master'!$B:$B, 0)), "")</f>
        <v>ULIF08028/02/25DynamicFnd101</v>
      </c>
      <c r="E2498" s="8" t="s">
        <v>411</v>
      </c>
      <c r="F2498" s="8" t="s">
        <v>2810</v>
      </c>
    </row>
    <row r="2499" spans="1:6" ht="60" x14ac:dyDescent="0.25">
      <c r="A2499" s="8" t="s">
        <v>125</v>
      </c>
      <c r="B2499" s="8" t="s">
        <v>64</v>
      </c>
      <c r="C2499" s="8" t="str">
        <f>IFERROR(_xlfn.XLOOKUP(TRIM(B2499),Lookup!$B$2:$B$1000,Lookup!$C$2:$C$1000),"")</f>
        <v>Hybrid</v>
      </c>
      <c r="D2499" s="8" t="str">
        <f>IFERROR(INDEX('nav master'!$C:$C, MATCH(B2499, 'nav master'!$B:$B, 0)), "")</f>
        <v>ULIF08028/02/25DynamicFnd101</v>
      </c>
      <c r="E2499" s="8" t="s">
        <v>413</v>
      </c>
      <c r="F2499" s="8" t="s">
        <v>2811</v>
      </c>
    </row>
    <row r="2500" spans="1:6" ht="60" x14ac:dyDescent="0.25">
      <c r="A2500" s="8" t="s">
        <v>125</v>
      </c>
      <c r="B2500" s="8" t="s">
        <v>64</v>
      </c>
      <c r="C2500" s="8" t="str">
        <f>IFERROR(_xlfn.XLOOKUP(TRIM(B2500),Lookup!$B$2:$B$1000,Lookup!$C$2:$C$1000),"")</f>
        <v>Hybrid</v>
      </c>
      <c r="D2500" s="8" t="str">
        <f>IFERROR(INDEX('nav master'!$C:$C, MATCH(B2500, 'nav master'!$B:$B, 0)), "")</f>
        <v>ULIF08028/02/25DynamicFnd101</v>
      </c>
      <c r="E2500" s="8" t="s">
        <v>415</v>
      </c>
      <c r="F2500" s="8" t="s">
        <v>2812</v>
      </c>
    </row>
    <row r="2501" spans="1:6" ht="60" x14ac:dyDescent="0.25">
      <c r="A2501" s="8" t="s">
        <v>125</v>
      </c>
      <c r="B2501" s="8" t="s">
        <v>64</v>
      </c>
      <c r="C2501" s="8" t="str">
        <f>IFERROR(_xlfn.XLOOKUP(TRIM(B2501),Lookup!$B$2:$B$1000,Lookup!$C$2:$C$1000),"")</f>
        <v>Hybrid</v>
      </c>
      <c r="D2501" s="8" t="str">
        <f>IFERROR(INDEX('nav master'!$C:$C, MATCH(B2501, 'nav master'!$B:$B, 0)), "")</f>
        <v>ULIF08028/02/25DynamicFnd101</v>
      </c>
      <c r="E2501" s="8" t="s">
        <v>417</v>
      </c>
      <c r="F2501" s="8" t="s">
        <v>2813</v>
      </c>
    </row>
    <row r="2502" spans="1:6" ht="60" x14ac:dyDescent="0.25">
      <c r="A2502" s="8" t="s">
        <v>125</v>
      </c>
      <c r="B2502" s="8" t="s">
        <v>64</v>
      </c>
      <c r="C2502" s="8" t="str">
        <f>IFERROR(_xlfn.XLOOKUP(TRIM(B2502),Lookup!$B$2:$B$1000,Lookup!$C$2:$C$1000),"")</f>
        <v>Hybrid</v>
      </c>
      <c r="D2502" s="8" t="str">
        <f>IFERROR(INDEX('nav master'!$C:$C, MATCH(B2502, 'nav master'!$B:$B, 0)), "")</f>
        <v>ULIF08028/02/25DynamicFnd101</v>
      </c>
      <c r="E2502" s="8" t="s">
        <v>419</v>
      </c>
      <c r="F2502" s="8" t="s">
        <v>2814</v>
      </c>
    </row>
    <row r="2503" spans="1:6" ht="60" x14ac:dyDescent="0.25">
      <c r="A2503" s="8" t="s">
        <v>125</v>
      </c>
      <c r="B2503" s="8" t="s">
        <v>64</v>
      </c>
      <c r="C2503" s="8" t="str">
        <f>IFERROR(_xlfn.XLOOKUP(TRIM(B2503),Lookup!$B$2:$B$1000,Lookup!$C$2:$C$1000),"")</f>
        <v>Hybrid</v>
      </c>
      <c r="D2503" s="8" t="str">
        <f>IFERROR(INDEX('nav master'!$C:$C, MATCH(B2503, 'nav master'!$B:$B, 0)), "")</f>
        <v>ULIF08028/02/25DynamicFnd101</v>
      </c>
      <c r="E2503" s="8" t="s">
        <v>421</v>
      </c>
      <c r="F2503" s="8" t="s">
        <v>2815</v>
      </c>
    </row>
    <row r="2504" spans="1:6" ht="60" x14ac:dyDescent="0.25">
      <c r="A2504" s="8" t="s">
        <v>125</v>
      </c>
      <c r="B2504" s="8" t="s">
        <v>64</v>
      </c>
      <c r="C2504" s="8" t="str">
        <f>IFERROR(_xlfn.XLOOKUP(TRIM(B2504),Lookup!$B$2:$B$1000,Lookup!$C$2:$C$1000),"")</f>
        <v>Hybrid</v>
      </c>
      <c r="D2504" s="8" t="str">
        <f>IFERROR(INDEX('nav master'!$C:$C, MATCH(B2504, 'nav master'!$B:$B, 0)), "")</f>
        <v>ULIF08028/02/25DynamicFnd101</v>
      </c>
      <c r="E2504" s="8" t="s">
        <v>423</v>
      </c>
      <c r="F2504" s="8" t="s">
        <v>2816</v>
      </c>
    </row>
    <row r="2505" spans="1:6" ht="60" x14ac:dyDescent="0.25">
      <c r="A2505" s="8" t="s">
        <v>125</v>
      </c>
      <c r="B2505" s="8" t="s">
        <v>64</v>
      </c>
      <c r="C2505" s="8" t="str">
        <f>IFERROR(_xlfn.XLOOKUP(TRIM(B2505),Lookup!$B$2:$B$1000,Lookup!$C$2:$C$1000),"")</f>
        <v>Hybrid</v>
      </c>
      <c r="D2505" s="8" t="str">
        <f>IFERROR(INDEX('nav master'!$C:$C, MATCH(B2505, 'nav master'!$B:$B, 0)), "")</f>
        <v>ULIF08028/02/25DynamicFnd101</v>
      </c>
      <c r="E2505" s="8" t="s">
        <v>425</v>
      </c>
      <c r="F2505" s="8" t="s">
        <v>2817</v>
      </c>
    </row>
    <row r="2506" spans="1:6" ht="60" x14ac:dyDescent="0.25">
      <c r="A2506" s="8" t="s">
        <v>125</v>
      </c>
      <c r="B2506" s="8" t="s">
        <v>64</v>
      </c>
      <c r="C2506" s="8" t="str">
        <f>IFERROR(_xlfn.XLOOKUP(TRIM(B2506),Lookup!$B$2:$B$1000,Lookup!$C$2:$C$1000),"")</f>
        <v>Hybrid</v>
      </c>
      <c r="D2506" s="8" t="str">
        <f>IFERROR(INDEX('nav master'!$C:$C, MATCH(B2506, 'nav master'!$B:$B, 0)), "")</f>
        <v>ULIF08028/02/25DynamicFnd101</v>
      </c>
      <c r="E2506" s="8" t="s">
        <v>427</v>
      </c>
      <c r="F2506" s="8" t="s">
        <v>2818</v>
      </c>
    </row>
    <row r="2507" spans="1:6" ht="60" x14ac:dyDescent="0.25">
      <c r="A2507" s="8" t="s">
        <v>125</v>
      </c>
      <c r="B2507" s="8" t="s">
        <v>64</v>
      </c>
      <c r="C2507" s="8" t="str">
        <f>IFERROR(_xlfn.XLOOKUP(TRIM(B2507),Lookup!$B$2:$B$1000,Lookup!$C$2:$C$1000),"")</f>
        <v>Hybrid</v>
      </c>
      <c r="D2507" s="8" t="str">
        <f>IFERROR(INDEX('nav master'!$C:$C, MATCH(B2507, 'nav master'!$B:$B, 0)), "")</f>
        <v>ULIF08028/02/25DynamicFnd101</v>
      </c>
      <c r="E2507" s="8" t="s">
        <v>429</v>
      </c>
      <c r="F2507" s="8" t="s">
        <v>2819</v>
      </c>
    </row>
    <row r="2508" spans="1:6" ht="60" x14ac:dyDescent="0.25">
      <c r="A2508" s="8" t="s">
        <v>125</v>
      </c>
      <c r="B2508" s="8" t="s">
        <v>64</v>
      </c>
      <c r="C2508" s="8" t="str">
        <f>IFERROR(_xlfn.XLOOKUP(TRIM(B2508),Lookup!$B$2:$B$1000,Lookup!$C$2:$C$1000),"")</f>
        <v>Hybrid</v>
      </c>
      <c r="D2508" s="8" t="str">
        <f>IFERROR(INDEX('nav master'!$C:$C, MATCH(B2508, 'nav master'!$B:$B, 0)), "")</f>
        <v>ULIF08028/02/25DynamicFnd101</v>
      </c>
      <c r="E2508" s="8" t="s">
        <v>431</v>
      </c>
      <c r="F2508" s="8" t="s">
        <v>2820</v>
      </c>
    </row>
    <row r="2509" spans="1:6" ht="60" x14ac:dyDescent="0.25">
      <c r="A2509" s="8" t="s">
        <v>125</v>
      </c>
      <c r="B2509" s="8" t="s">
        <v>64</v>
      </c>
      <c r="C2509" s="8" t="str">
        <f>IFERROR(_xlfn.XLOOKUP(TRIM(B2509),Lookup!$B$2:$B$1000,Lookup!$C$2:$C$1000),"")</f>
        <v>Hybrid</v>
      </c>
      <c r="D2509" s="8" t="str">
        <f>IFERROR(INDEX('nav master'!$C:$C, MATCH(B2509, 'nav master'!$B:$B, 0)), "")</f>
        <v>ULIF08028/02/25DynamicFnd101</v>
      </c>
      <c r="E2509" s="8" t="s">
        <v>433</v>
      </c>
      <c r="F2509" s="8" t="s">
        <v>2821</v>
      </c>
    </row>
    <row r="2510" spans="1:6" ht="60" x14ac:dyDescent="0.25">
      <c r="A2510" s="8" t="s">
        <v>125</v>
      </c>
      <c r="B2510" s="8" t="s">
        <v>64</v>
      </c>
      <c r="C2510" s="8" t="str">
        <f>IFERROR(_xlfn.XLOOKUP(TRIM(B2510),Lookup!$B$2:$B$1000,Lookup!$C$2:$C$1000),"")</f>
        <v>Hybrid</v>
      </c>
      <c r="D2510" s="8" t="str">
        <f>IFERROR(INDEX('nav master'!$C:$C, MATCH(B2510, 'nav master'!$B:$B, 0)), "")</f>
        <v>ULIF08028/02/25DynamicFnd101</v>
      </c>
      <c r="E2510" s="8" t="s">
        <v>435</v>
      </c>
      <c r="F2510" s="8" t="s">
        <v>2822</v>
      </c>
    </row>
    <row r="2511" spans="1:6" ht="60" x14ac:dyDescent="0.25">
      <c r="A2511" s="8" t="s">
        <v>125</v>
      </c>
      <c r="B2511" s="8" t="s">
        <v>64</v>
      </c>
      <c r="C2511" s="8" t="str">
        <f>IFERROR(_xlfn.XLOOKUP(TRIM(B2511),Lookup!$B$2:$B$1000,Lookup!$C$2:$C$1000),"")</f>
        <v>Hybrid</v>
      </c>
      <c r="D2511" s="8" t="str">
        <f>IFERROR(INDEX('nav master'!$C:$C, MATCH(B2511, 'nav master'!$B:$B, 0)), "")</f>
        <v>ULIF08028/02/25DynamicFnd101</v>
      </c>
      <c r="E2511" s="8" t="s">
        <v>437</v>
      </c>
      <c r="F2511" s="8" t="s">
        <v>2823</v>
      </c>
    </row>
    <row r="2512" spans="1:6" ht="60" x14ac:dyDescent="0.25">
      <c r="A2512" s="8" t="s">
        <v>125</v>
      </c>
      <c r="B2512" s="8" t="s">
        <v>64</v>
      </c>
      <c r="C2512" s="8" t="str">
        <f>IFERROR(_xlfn.XLOOKUP(TRIM(B2512),Lookup!$B$2:$B$1000,Lookup!$C$2:$C$1000),"")</f>
        <v>Hybrid</v>
      </c>
      <c r="D2512" s="8" t="str">
        <f>IFERROR(INDEX('nav master'!$C:$C, MATCH(B2512, 'nav master'!$B:$B, 0)), "")</f>
        <v>ULIF08028/02/25DynamicFnd101</v>
      </c>
      <c r="E2512" s="8" t="s">
        <v>439</v>
      </c>
      <c r="F2512" s="8" t="s">
        <v>2824</v>
      </c>
    </row>
    <row r="2513" spans="1:6" ht="60" x14ac:dyDescent="0.25">
      <c r="A2513" s="8" t="s">
        <v>125</v>
      </c>
      <c r="B2513" s="8" t="s">
        <v>64</v>
      </c>
      <c r="C2513" s="8" t="str">
        <f>IFERROR(_xlfn.XLOOKUP(TRIM(B2513),Lookup!$B$2:$B$1000,Lookup!$C$2:$C$1000),"")</f>
        <v>Hybrid</v>
      </c>
      <c r="D2513" s="8" t="str">
        <f>IFERROR(INDEX('nav master'!$C:$C, MATCH(B2513, 'nav master'!$B:$B, 0)), "")</f>
        <v>ULIF08028/02/25DynamicFnd101</v>
      </c>
      <c r="E2513" s="8" t="s">
        <v>441</v>
      </c>
      <c r="F2513" s="8" t="s">
        <v>2825</v>
      </c>
    </row>
    <row r="2514" spans="1:6" ht="60" x14ac:dyDescent="0.25">
      <c r="A2514" s="8" t="s">
        <v>125</v>
      </c>
      <c r="B2514" s="8" t="s">
        <v>64</v>
      </c>
      <c r="C2514" s="8" t="str">
        <f>IFERROR(_xlfn.XLOOKUP(TRIM(B2514),Lookup!$B$2:$B$1000,Lookup!$C$2:$C$1000),"")</f>
        <v>Hybrid</v>
      </c>
      <c r="D2514" s="8" t="str">
        <f>IFERROR(INDEX('nav master'!$C:$C, MATCH(B2514, 'nav master'!$B:$B, 0)), "")</f>
        <v>ULIF08028/02/25DynamicFnd101</v>
      </c>
      <c r="E2514" s="8" t="s">
        <v>443</v>
      </c>
      <c r="F2514" s="8" t="s">
        <v>2826</v>
      </c>
    </row>
    <row r="2515" spans="1:6" ht="60" x14ac:dyDescent="0.25">
      <c r="A2515" s="8" t="s">
        <v>125</v>
      </c>
      <c r="B2515" s="8" t="s">
        <v>64</v>
      </c>
      <c r="C2515" s="8" t="str">
        <f>IFERROR(_xlfn.XLOOKUP(TRIM(B2515),Lookup!$B$2:$B$1000,Lookup!$C$2:$C$1000),"")</f>
        <v>Hybrid</v>
      </c>
      <c r="D2515" s="8" t="str">
        <f>IFERROR(INDEX('nav master'!$C:$C, MATCH(B2515, 'nav master'!$B:$B, 0)), "")</f>
        <v>ULIF08028/02/25DynamicFnd101</v>
      </c>
      <c r="E2515" s="8" t="s">
        <v>445</v>
      </c>
      <c r="F2515" s="8" t="s">
        <v>2827</v>
      </c>
    </row>
    <row r="2516" spans="1:6" ht="60" x14ac:dyDescent="0.25">
      <c r="A2516" s="8" t="s">
        <v>125</v>
      </c>
      <c r="B2516" s="8" t="s">
        <v>64</v>
      </c>
      <c r="C2516" s="8" t="str">
        <f>IFERROR(_xlfn.XLOOKUP(TRIM(B2516),Lookup!$B$2:$B$1000,Lookup!$C$2:$C$1000),"")</f>
        <v>Hybrid</v>
      </c>
      <c r="D2516" s="8" t="str">
        <f>IFERROR(INDEX('nav master'!$C:$C, MATCH(B2516, 'nav master'!$B:$B, 0)), "")</f>
        <v>ULIF08028/02/25DynamicFnd101</v>
      </c>
      <c r="E2516" s="8" t="s">
        <v>446</v>
      </c>
      <c r="F2516" s="8" t="s">
        <v>2828</v>
      </c>
    </row>
    <row r="2517" spans="1:6" ht="60" x14ac:dyDescent="0.25">
      <c r="A2517" s="8" t="s">
        <v>125</v>
      </c>
      <c r="B2517" s="8" t="s">
        <v>64</v>
      </c>
      <c r="C2517" s="8" t="str">
        <f>IFERROR(_xlfn.XLOOKUP(TRIM(B2517),Lookup!$B$2:$B$1000,Lookup!$C$2:$C$1000),"")</f>
        <v>Hybrid</v>
      </c>
      <c r="D2517" s="8" t="str">
        <f>IFERROR(INDEX('nav master'!$C:$C, MATCH(B2517, 'nav master'!$B:$B, 0)), "")</f>
        <v>ULIF08028/02/25DynamicFnd101</v>
      </c>
      <c r="E2517" s="8" t="s">
        <v>448</v>
      </c>
      <c r="F2517" s="8" t="s">
        <v>2829</v>
      </c>
    </row>
    <row r="2518" spans="1:6" ht="60" x14ac:dyDescent="0.25">
      <c r="A2518" s="8" t="s">
        <v>125</v>
      </c>
      <c r="B2518" s="8" t="s">
        <v>64</v>
      </c>
      <c r="C2518" s="8" t="str">
        <f>IFERROR(_xlfn.XLOOKUP(TRIM(B2518),Lookup!$B$2:$B$1000,Lookup!$C$2:$C$1000),"")</f>
        <v>Hybrid</v>
      </c>
      <c r="D2518" s="8" t="str">
        <f>IFERROR(INDEX('nav master'!$C:$C, MATCH(B2518, 'nav master'!$B:$B, 0)), "")</f>
        <v>ULIF08028/02/25DynamicFnd101</v>
      </c>
      <c r="E2518" s="8" t="s">
        <v>450</v>
      </c>
      <c r="F2518" s="8" t="s">
        <v>2830</v>
      </c>
    </row>
    <row r="2519" spans="1:6" ht="60" x14ac:dyDescent="0.25">
      <c r="A2519" s="8" t="s">
        <v>125</v>
      </c>
      <c r="B2519" s="8" t="s">
        <v>64</v>
      </c>
      <c r="C2519" s="8" t="str">
        <f>IFERROR(_xlfn.XLOOKUP(TRIM(B2519),Lookup!$B$2:$B$1000,Lookup!$C$2:$C$1000),"")</f>
        <v>Hybrid</v>
      </c>
      <c r="D2519" s="8" t="str">
        <f>IFERROR(INDEX('nav master'!$C:$C, MATCH(B2519, 'nav master'!$B:$B, 0)), "")</f>
        <v>ULIF08028/02/25DynamicFnd101</v>
      </c>
      <c r="E2519" s="8" t="s">
        <v>452</v>
      </c>
      <c r="F2519" s="8" t="s">
        <v>2831</v>
      </c>
    </row>
    <row r="2520" spans="1:6" ht="60" x14ac:dyDescent="0.25">
      <c r="A2520" s="8" t="s">
        <v>125</v>
      </c>
      <c r="B2520" s="8" t="s">
        <v>64</v>
      </c>
      <c r="C2520" s="8" t="str">
        <f>IFERROR(_xlfn.XLOOKUP(TRIM(B2520),Lookup!$B$2:$B$1000,Lookup!$C$2:$C$1000),"")</f>
        <v>Hybrid</v>
      </c>
      <c r="D2520" s="8" t="str">
        <f>IFERROR(INDEX('nav master'!$C:$C, MATCH(B2520, 'nav master'!$B:$B, 0)), "")</f>
        <v>ULIF08028/02/25DynamicFnd101</v>
      </c>
      <c r="E2520" s="8" t="s">
        <v>454</v>
      </c>
      <c r="F2520" s="8" t="s">
        <v>2832</v>
      </c>
    </row>
    <row r="2521" spans="1:6" ht="60" x14ac:dyDescent="0.25">
      <c r="A2521" s="8" t="s">
        <v>125</v>
      </c>
      <c r="B2521" s="8" t="s">
        <v>64</v>
      </c>
      <c r="C2521" s="8" t="str">
        <f>IFERROR(_xlfn.XLOOKUP(TRIM(B2521),Lookup!$B$2:$B$1000,Lookup!$C$2:$C$1000),"")</f>
        <v>Hybrid</v>
      </c>
      <c r="D2521" s="8" t="str">
        <f>IFERROR(INDEX('nav master'!$C:$C, MATCH(B2521, 'nav master'!$B:$B, 0)), "")</f>
        <v>ULIF08028/02/25DynamicFnd101</v>
      </c>
      <c r="E2521" s="8" t="s">
        <v>456</v>
      </c>
      <c r="F2521" s="8" t="s">
        <v>2833</v>
      </c>
    </row>
    <row r="2522" spans="1:6" ht="60" x14ac:dyDescent="0.25">
      <c r="A2522" s="8" t="s">
        <v>125</v>
      </c>
      <c r="B2522" s="8" t="s">
        <v>64</v>
      </c>
      <c r="C2522" s="8" t="str">
        <f>IFERROR(_xlfn.XLOOKUP(TRIM(B2522),Lookup!$B$2:$B$1000,Lookup!$C$2:$C$1000),"")</f>
        <v>Hybrid</v>
      </c>
      <c r="D2522" s="8" t="str">
        <f>IFERROR(INDEX('nav master'!$C:$C, MATCH(B2522, 'nav master'!$B:$B, 0)), "")</f>
        <v>ULIF08028/02/25DynamicFnd101</v>
      </c>
      <c r="E2522" s="8" t="s">
        <v>458</v>
      </c>
      <c r="F2522" s="8" t="s">
        <v>2834</v>
      </c>
    </row>
    <row r="2523" spans="1:6" ht="60" x14ac:dyDescent="0.25">
      <c r="A2523" s="8" t="s">
        <v>125</v>
      </c>
      <c r="B2523" s="8" t="s">
        <v>64</v>
      </c>
      <c r="C2523" s="8" t="str">
        <f>IFERROR(_xlfn.XLOOKUP(TRIM(B2523),Lookup!$B$2:$B$1000,Lookup!$C$2:$C$1000),"")</f>
        <v>Hybrid</v>
      </c>
      <c r="D2523" s="8" t="str">
        <f>IFERROR(INDEX('nav master'!$C:$C, MATCH(B2523, 'nav master'!$B:$B, 0)), "")</f>
        <v>ULIF08028/02/25DynamicFnd101</v>
      </c>
      <c r="E2523" s="8" t="s">
        <v>460</v>
      </c>
      <c r="F2523" s="8" t="s">
        <v>2835</v>
      </c>
    </row>
    <row r="2524" spans="1:6" ht="60" x14ac:dyDescent="0.25">
      <c r="A2524" s="8" t="s">
        <v>125</v>
      </c>
      <c r="B2524" s="8" t="s">
        <v>64</v>
      </c>
      <c r="C2524" s="8" t="str">
        <f>IFERROR(_xlfn.XLOOKUP(TRIM(B2524),Lookup!$B$2:$B$1000,Lookup!$C$2:$C$1000),"")</f>
        <v>Hybrid</v>
      </c>
      <c r="D2524" s="8" t="str">
        <f>IFERROR(INDEX('nav master'!$C:$C, MATCH(B2524, 'nav master'!$B:$B, 0)), "")</f>
        <v>ULIF08028/02/25DynamicFnd101</v>
      </c>
      <c r="E2524" s="8" t="s">
        <v>462</v>
      </c>
      <c r="F2524" s="8" t="s">
        <v>2836</v>
      </c>
    </row>
    <row r="2525" spans="1:6" ht="60" x14ac:dyDescent="0.25">
      <c r="A2525" s="8" t="s">
        <v>125</v>
      </c>
      <c r="B2525" s="8" t="s">
        <v>64</v>
      </c>
      <c r="C2525" s="8" t="str">
        <f>IFERROR(_xlfn.XLOOKUP(TRIM(B2525),Lookup!$B$2:$B$1000,Lookup!$C$2:$C$1000),"")</f>
        <v>Hybrid</v>
      </c>
      <c r="D2525" s="8" t="str">
        <f>IFERROR(INDEX('nav master'!$C:$C, MATCH(B2525, 'nav master'!$B:$B, 0)), "")</f>
        <v>ULIF08028/02/25DynamicFnd101</v>
      </c>
      <c r="E2525" s="8" t="s">
        <v>464</v>
      </c>
      <c r="F2525" s="8" t="s">
        <v>2837</v>
      </c>
    </row>
    <row r="2526" spans="1:6" ht="60" x14ac:dyDescent="0.25">
      <c r="A2526" s="8" t="s">
        <v>125</v>
      </c>
      <c r="B2526" s="8" t="s">
        <v>64</v>
      </c>
      <c r="C2526" s="8" t="str">
        <f>IFERROR(_xlfn.XLOOKUP(TRIM(B2526),Lookup!$B$2:$B$1000,Lookup!$C$2:$C$1000),"")</f>
        <v>Hybrid</v>
      </c>
      <c r="D2526" s="8" t="str">
        <f>IFERROR(INDEX('nav master'!$C:$C, MATCH(B2526, 'nav master'!$B:$B, 0)), "")</f>
        <v>ULIF08028/02/25DynamicFnd101</v>
      </c>
      <c r="E2526" s="8" t="s">
        <v>466</v>
      </c>
      <c r="F2526" s="8" t="s">
        <v>2838</v>
      </c>
    </row>
    <row r="2527" spans="1:6" ht="60" x14ac:dyDescent="0.25">
      <c r="A2527" s="8" t="s">
        <v>125</v>
      </c>
      <c r="B2527" s="8" t="s">
        <v>64</v>
      </c>
      <c r="C2527" s="8" t="str">
        <f>IFERROR(_xlfn.XLOOKUP(TRIM(B2527),Lookup!$B$2:$B$1000,Lookup!$C$2:$C$1000),"")</f>
        <v>Hybrid</v>
      </c>
      <c r="D2527" s="8" t="str">
        <f>IFERROR(INDEX('nav master'!$C:$C, MATCH(B2527, 'nav master'!$B:$B, 0)), "")</f>
        <v>ULIF08028/02/25DynamicFnd101</v>
      </c>
      <c r="E2527" s="8" t="s">
        <v>468</v>
      </c>
      <c r="F2527" s="8" t="s">
        <v>2839</v>
      </c>
    </row>
    <row r="2528" spans="1:6" ht="60" x14ac:dyDescent="0.25">
      <c r="A2528" s="8" t="s">
        <v>125</v>
      </c>
      <c r="B2528" s="8" t="s">
        <v>64</v>
      </c>
      <c r="C2528" s="8" t="str">
        <f>IFERROR(_xlfn.XLOOKUP(TRIM(B2528),Lookup!$B$2:$B$1000,Lookup!$C$2:$C$1000),"")</f>
        <v>Hybrid</v>
      </c>
      <c r="D2528" s="8" t="str">
        <f>IFERROR(INDEX('nav master'!$C:$C, MATCH(B2528, 'nav master'!$B:$B, 0)), "")</f>
        <v>ULIF08028/02/25DynamicFnd101</v>
      </c>
      <c r="E2528" s="8" t="s">
        <v>470</v>
      </c>
      <c r="F2528" s="8" t="s">
        <v>2840</v>
      </c>
    </row>
    <row r="2529" spans="1:6" ht="60" x14ac:dyDescent="0.25">
      <c r="A2529" s="8" t="s">
        <v>125</v>
      </c>
      <c r="B2529" s="8" t="s">
        <v>64</v>
      </c>
      <c r="C2529" s="8" t="str">
        <f>IFERROR(_xlfn.XLOOKUP(TRIM(B2529),Lookup!$B$2:$B$1000,Lookup!$C$2:$C$1000),"")</f>
        <v>Hybrid</v>
      </c>
      <c r="D2529" s="8" t="str">
        <f>IFERROR(INDEX('nav master'!$C:$C, MATCH(B2529, 'nav master'!$B:$B, 0)), "")</f>
        <v>ULIF08028/02/25DynamicFnd101</v>
      </c>
      <c r="E2529" s="8" t="s">
        <v>472</v>
      </c>
      <c r="F2529" s="8" t="s">
        <v>2841</v>
      </c>
    </row>
    <row r="2530" spans="1:6" ht="60" x14ac:dyDescent="0.25">
      <c r="A2530" s="8" t="s">
        <v>125</v>
      </c>
      <c r="B2530" s="8" t="s">
        <v>64</v>
      </c>
      <c r="C2530" s="8" t="str">
        <f>IFERROR(_xlfn.XLOOKUP(TRIM(B2530),Lookup!$B$2:$B$1000,Lookup!$C$2:$C$1000),"")</f>
        <v>Hybrid</v>
      </c>
      <c r="D2530" s="8" t="str">
        <f>IFERROR(INDEX('nav master'!$C:$C, MATCH(B2530, 'nav master'!$B:$B, 0)), "")</f>
        <v>ULIF08028/02/25DynamicFnd101</v>
      </c>
      <c r="E2530" s="8" t="s">
        <v>474</v>
      </c>
      <c r="F2530" s="8" t="s">
        <v>2842</v>
      </c>
    </row>
    <row r="2531" spans="1:6" ht="60" x14ac:dyDescent="0.25">
      <c r="A2531" s="8" t="s">
        <v>125</v>
      </c>
      <c r="B2531" s="8" t="s">
        <v>64</v>
      </c>
      <c r="C2531" s="8" t="str">
        <f>IFERROR(_xlfn.XLOOKUP(TRIM(B2531),Lookup!$B$2:$B$1000,Lookup!$C$2:$C$1000),"")</f>
        <v>Hybrid</v>
      </c>
      <c r="D2531" s="8" t="str">
        <f>IFERROR(INDEX('nav master'!$C:$C, MATCH(B2531, 'nav master'!$B:$B, 0)), "")</f>
        <v>ULIF08028/02/25DynamicFnd101</v>
      </c>
      <c r="E2531" s="8" t="s">
        <v>476</v>
      </c>
      <c r="F2531" s="8" t="s">
        <v>2843</v>
      </c>
    </row>
    <row r="2532" spans="1:6" ht="60" x14ac:dyDescent="0.25">
      <c r="A2532" s="8" t="s">
        <v>125</v>
      </c>
      <c r="B2532" s="8" t="s">
        <v>64</v>
      </c>
      <c r="C2532" s="8" t="str">
        <f>IFERROR(_xlfn.XLOOKUP(TRIM(B2532),Lookup!$B$2:$B$1000,Lookup!$C$2:$C$1000),"")</f>
        <v>Hybrid</v>
      </c>
      <c r="D2532" s="8" t="str">
        <f>IFERROR(INDEX('nav master'!$C:$C, MATCH(B2532, 'nav master'!$B:$B, 0)), "")</f>
        <v>ULIF08028/02/25DynamicFnd101</v>
      </c>
      <c r="E2532" s="8" t="s">
        <v>478</v>
      </c>
      <c r="F2532" s="8" t="s">
        <v>2844</v>
      </c>
    </row>
    <row r="2533" spans="1:6" ht="60" x14ac:dyDescent="0.25">
      <c r="A2533" s="8" t="s">
        <v>125</v>
      </c>
      <c r="B2533" s="8" t="s">
        <v>64</v>
      </c>
      <c r="C2533" s="8" t="str">
        <f>IFERROR(_xlfn.XLOOKUP(TRIM(B2533),Lookup!$B$2:$B$1000,Lookup!$C$2:$C$1000),"")</f>
        <v>Hybrid</v>
      </c>
      <c r="D2533" s="8" t="str">
        <f>IFERROR(INDEX('nav master'!$C:$C, MATCH(B2533, 'nav master'!$B:$B, 0)), "")</f>
        <v>ULIF08028/02/25DynamicFnd101</v>
      </c>
      <c r="E2533" s="8" t="s">
        <v>480</v>
      </c>
      <c r="F2533" s="8" t="s">
        <v>2845</v>
      </c>
    </row>
    <row r="2534" spans="1:6" ht="60" x14ac:dyDescent="0.25">
      <c r="A2534" s="8" t="s">
        <v>125</v>
      </c>
      <c r="B2534" s="8" t="s">
        <v>64</v>
      </c>
      <c r="C2534" s="8" t="str">
        <f>IFERROR(_xlfn.XLOOKUP(TRIM(B2534),Lookup!$B$2:$B$1000,Lookup!$C$2:$C$1000),"")</f>
        <v>Hybrid</v>
      </c>
      <c r="D2534" s="8" t="str">
        <f>IFERROR(INDEX('nav master'!$C:$C, MATCH(B2534, 'nav master'!$B:$B, 0)), "")</f>
        <v>ULIF08028/02/25DynamicFnd101</v>
      </c>
      <c r="E2534" s="8" t="s">
        <v>482</v>
      </c>
      <c r="F2534" s="8" t="s">
        <v>2846</v>
      </c>
    </row>
    <row r="2535" spans="1:6" ht="60" x14ac:dyDescent="0.25">
      <c r="A2535" s="8" t="s">
        <v>125</v>
      </c>
      <c r="B2535" s="8" t="s">
        <v>64</v>
      </c>
      <c r="C2535" s="8" t="str">
        <f>IFERROR(_xlfn.XLOOKUP(TRIM(B2535),Lookup!$B$2:$B$1000,Lookup!$C$2:$C$1000),"")</f>
        <v>Hybrid</v>
      </c>
      <c r="D2535" s="8" t="str">
        <f>IFERROR(INDEX('nav master'!$C:$C, MATCH(B2535, 'nav master'!$B:$B, 0)), "")</f>
        <v>ULIF08028/02/25DynamicFnd101</v>
      </c>
      <c r="E2535" s="8" t="s">
        <v>484</v>
      </c>
      <c r="F2535" s="8" t="s">
        <v>2847</v>
      </c>
    </row>
    <row r="2536" spans="1:6" ht="60" x14ac:dyDescent="0.25">
      <c r="A2536" s="8" t="s">
        <v>125</v>
      </c>
      <c r="B2536" s="8" t="s">
        <v>64</v>
      </c>
      <c r="C2536" s="8" t="str">
        <f>IFERROR(_xlfn.XLOOKUP(TRIM(B2536),Lookup!$B$2:$B$1000,Lookup!$C$2:$C$1000),"")</f>
        <v>Hybrid</v>
      </c>
      <c r="D2536" s="8" t="str">
        <f>IFERROR(INDEX('nav master'!$C:$C, MATCH(B2536, 'nav master'!$B:$B, 0)), "")</f>
        <v>ULIF08028/02/25DynamicFnd101</v>
      </c>
      <c r="E2536" s="8" t="s">
        <v>486</v>
      </c>
      <c r="F2536" s="8" t="s">
        <v>2848</v>
      </c>
    </row>
    <row r="2537" spans="1:6" ht="60" x14ac:dyDescent="0.25">
      <c r="A2537" s="8" t="s">
        <v>125</v>
      </c>
      <c r="B2537" s="8" t="s">
        <v>64</v>
      </c>
      <c r="C2537" s="8" t="str">
        <f>IFERROR(_xlfn.XLOOKUP(TRIM(B2537),Lookup!$B$2:$B$1000,Lookup!$C$2:$C$1000),"")</f>
        <v>Hybrid</v>
      </c>
      <c r="D2537" s="8" t="str">
        <f>IFERROR(INDEX('nav master'!$C:$C, MATCH(B2537, 'nav master'!$B:$B, 0)), "")</f>
        <v>ULIF08028/02/25DynamicFnd101</v>
      </c>
      <c r="E2537" s="8" t="s">
        <v>488</v>
      </c>
      <c r="F2537" s="8" t="s">
        <v>2849</v>
      </c>
    </row>
    <row r="2538" spans="1:6" ht="60" x14ac:dyDescent="0.25">
      <c r="A2538" s="8" t="s">
        <v>125</v>
      </c>
      <c r="B2538" s="8" t="s">
        <v>64</v>
      </c>
      <c r="C2538" s="8" t="str">
        <f>IFERROR(_xlfn.XLOOKUP(TRIM(B2538),Lookup!$B$2:$B$1000,Lookup!$C$2:$C$1000),"")</f>
        <v>Hybrid</v>
      </c>
      <c r="D2538" s="8" t="str">
        <f>IFERROR(INDEX('nav master'!$C:$C, MATCH(B2538, 'nav master'!$B:$B, 0)), "")</f>
        <v>ULIF08028/02/25DynamicFnd101</v>
      </c>
      <c r="E2538" s="8" t="s">
        <v>490</v>
      </c>
      <c r="F2538" s="8" t="s">
        <v>2850</v>
      </c>
    </row>
    <row r="2539" spans="1:6" ht="60" x14ac:dyDescent="0.25">
      <c r="A2539" s="8" t="s">
        <v>125</v>
      </c>
      <c r="B2539" s="8" t="s">
        <v>64</v>
      </c>
      <c r="C2539" s="8" t="str">
        <f>IFERROR(_xlfn.XLOOKUP(TRIM(B2539),Lookup!$B$2:$B$1000,Lookup!$C$2:$C$1000),"")</f>
        <v>Hybrid</v>
      </c>
      <c r="D2539" s="8" t="str">
        <f>IFERROR(INDEX('nav master'!$C:$C, MATCH(B2539, 'nav master'!$B:$B, 0)), "")</f>
        <v>ULIF08028/02/25DynamicFnd101</v>
      </c>
      <c r="E2539" s="8" t="s">
        <v>492</v>
      </c>
      <c r="F2539" s="8" t="s">
        <v>2851</v>
      </c>
    </row>
    <row r="2540" spans="1:6" ht="60" x14ac:dyDescent="0.25">
      <c r="A2540" s="8" t="s">
        <v>125</v>
      </c>
      <c r="B2540" s="8" t="s">
        <v>64</v>
      </c>
      <c r="C2540" s="8" t="str">
        <f>IFERROR(_xlfn.XLOOKUP(TRIM(B2540),Lookup!$B$2:$B$1000,Lookup!$C$2:$C$1000),"")</f>
        <v>Hybrid</v>
      </c>
      <c r="D2540" s="8" t="str">
        <f>IFERROR(INDEX('nav master'!$C:$C, MATCH(B2540, 'nav master'!$B:$B, 0)), "")</f>
        <v>ULIF08028/02/25DynamicFnd101</v>
      </c>
      <c r="E2540" s="8" t="s">
        <v>494</v>
      </c>
      <c r="F2540" s="8" t="s">
        <v>2852</v>
      </c>
    </row>
    <row r="2541" spans="1:6" ht="60" x14ac:dyDescent="0.25">
      <c r="A2541" s="8" t="s">
        <v>125</v>
      </c>
      <c r="B2541" s="8" t="s">
        <v>64</v>
      </c>
      <c r="C2541" s="8" t="str">
        <f>IFERROR(_xlfn.XLOOKUP(TRIM(B2541),Lookup!$B$2:$B$1000,Lookup!$C$2:$C$1000),"")</f>
        <v>Hybrid</v>
      </c>
      <c r="D2541" s="8" t="str">
        <f>IFERROR(INDEX('nav master'!$C:$C, MATCH(B2541, 'nav master'!$B:$B, 0)), "")</f>
        <v>ULIF08028/02/25DynamicFnd101</v>
      </c>
      <c r="E2541" s="8" t="s">
        <v>496</v>
      </c>
      <c r="F2541" s="8" t="s">
        <v>2853</v>
      </c>
    </row>
    <row r="2542" spans="1:6" ht="60" x14ac:dyDescent="0.25">
      <c r="A2542" s="8" t="s">
        <v>125</v>
      </c>
      <c r="B2542" s="8" t="s">
        <v>64</v>
      </c>
      <c r="C2542" s="8" t="str">
        <f>IFERROR(_xlfn.XLOOKUP(TRIM(B2542),Lookup!$B$2:$B$1000,Lookup!$C$2:$C$1000),"")</f>
        <v>Hybrid</v>
      </c>
      <c r="D2542" s="8" t="str">
        <f>IFERROR(INDEX('nav master'!$C:$C, MATCH(B2542, 'nav master'!$B:$B, 0)), "")</f>
        <v>ULIF08028/02/25DynamicFnd101</v>
      </c>
      <c r="E2542" s="8" t="s">
        <v>498</v>
      </c>
      <c r="F2542" s="8" t="s">
        <v>2854</v>
      </c>
    </row>
    <row r="2543" spans="1:6" ht="60" x14ac:dyDescent="0.25">
      <c r="A2543" s="8" t="s">
        <v>125</v>
      </c>
      <c r="B2543" s="8" t="s">
        <v>64</v>
      </c>
      <c r="C2543" s="8" t="str">
        <f>IFERROR(_xlfn.XLOOKUP(TRIM(B2543),Lookup!$B$2:$B$1000,Lookup!$C$2:$C$1000),"")</f>
        <v>Hybrid</v>
      </c>
      <c r="D2543" s="8" t="str">
        <f>IFERROR(INDEX('nav master'!$C:$C, MATCH(B2543, 'nav master'!$B:$B, 0)), "")</f>
        <v>ULIF08028/02/25DynamicFnd101</v>
      </c>
      <c r="E2543" s="8" t="s">
        <v>500</v>
      </c>
      <c r="F2543" s="8" t="s">
        <v>2855</v>
      </c>
    </row>
    <row r="2544" spans="1:6" ht="60" x14ac:dyDescent="0.25">
      <c r="A2544" s="8" t="s">
        <v>125</v>
      </c>
      <c r="B2544" s="8" t="s">
        <v>64</v>
      </c>
      <c r="C2544" s="8" t="str">
        <f>IFERROR(_xlfn.XLOOKUP(TRIM(B2544),Lookup!$B$2:$B$1000,Lookup!$C$2:$C$1000),"")</f>
        <v>Hybrid</v>
      </c>
      <c r="D2544" s="8" t="str">
        <f>IFERROR(INDEX('nav master'!$C:$C, MATCH(B2544, 'nav master'!$B:$B, 0)), "")</f>
        <v>ULIF08028/02/25DynamicFnd101</v>
      </c>
      <c r="E2544" s="8" t="s">
        <v>502</v>
      </c>
      <c r="F2544" s="8" t="s">
        <v>2856</v>
      </c>
    </row>
    <row r="2545" spans="1:6" ht="60" x14ac:dyDescent="0.25">
      <c r="A2545" s="8" t="s">
        <v>125</v>
      </c>
      <c r="B2545" s="8" t="s">
        <v>64</v>
      </c>
      <c r="C2545" s="8" t="str">
        <f>IFERROR(_xlfn.XLOOKUP(TRIM(B2545),Lookup!$B$2:$B$1000,Lookup!$C$2:$C$1000),"")</f>
        <v>Hybrid</v>
      </c>
      <c r="D2545" s="8" t="str">
        <f>IFERROR(INDEX('nav master'!$C:$C, MATCH(B2545, 'nav master'!$B:$B, 0)), "")</f>
        <v>ULIF08028/02/25DynamicFnd101</v>
      </c>
      <c r="E2545" s="8" t="s">
        <v>504</v>
      </c>
      <c r="F2545" s="8" t="s">
        <v>2857</v>
      </c>
    </row>
    <row r="2546" spans="1:6" ht="60" x14ac:dyDescent="0.25">
      <c r="A2546" s="8" t="s">
        <v>125</v>
      </c>
      <c r="B2546" s="8" t="s">
        <v>64</v>
      </c>
      <c r="C2546" s="8" t="str">
        <f>IFERROR(_xlfn.XLOOKUP(TRIM(B2546),Lookup!$B$2:$B$1000,Lookup!$C$2:$C$1000),"")</f>
        <v>Hybrid</v>
      </c>
      <c r="D2546" s="8" t="str">
        <f>IFERROR(INDEX('nav master'!$C:$C, MATCH(B2546, 'nav master'!$B:$B, 0)), "")</f>
        <v>ULIF08028/02/25DynamicFnd101</v>
      </c>
      <c r="E2546" s="8" t="s">
        <v>506</v>
      </c>
      <c r="F2546" s="8" t="s">
        <v>2858</v>
      </c>
    </row>
    <row r="2547" spans="1:6" ht="60" x14ac:dyDescent="0.25">
      <c r="A2547" s="8" t="s">
        <v>125</v>
      </c>
      <c r="B2547" s="8" t="s">
        <v>64</v>
      </c>
      <c r="C2547" s="8" t="str">
        <f>IFERROR(_xlfn.XLOOKUP(TRIM(B2547),Lookup!$B$2:$B$1000,Lookup!$C$2:$C$1000),"")</f>
        <v>Hybrid</v>
      </c>
      <c r="D2547" s="8" t="str">
        <f>IFERROR(INDEX('nav master'!$C:$C, MATCH(B2547, 'nav master'!$B:$B, 0)), "")</f>
        <v>ULIF08028/02/25DynamicFnd101</v>
      </c>
      <c r="E2547" s="8" t="s">
        <v>508</v>
      </c>
      <c r="F2547" s="8" t="s">
        <v>2859</v>
      </c>
    </row>
    <row r="2548" spans="1:6" ht="60" x14ac:dyDescent="0.25">
      <c r="A2548" s="8" t="s">
        <v>125</v>
      </c>
      <c r="B2548" s="8" t="s">
        <v>64</v>
      </c>
      <c r="C2548" s="8" t="str">
        <f>IFERROR(_xlfn.XLOOKUP(TRIM(B2548),Lookup!$B$2:$B$1000,Lookup!$C$2:$C$1000),"")</f>
        <v>Hybrid</v>
      </c>
      <c r="D2548" s="8" t="str">
        <f>IFERROR(INDEX('nav master'!$C:$C, MATCH(B2548, 'nav master'!$B:$B, 0)), "")</f>
        <v>ULIF08028/02/25DynamicFnd101</v>
      </c>
      <c r="E2548" s="8" t="s">
        <v>510</v>
      </c>
      <c r="F2548" s="8" t="s">
        <v>2860</v>
      </c>
    </row>
    <row r="2549" spans="1:6" ht="60" x14ac:dyDescent="0.25">
      <c r="A2549" s="8" t="s">
        <v>125</v>
      </c>
      <c r="B2549" s="8" t="s">
        <v>64</v>
      </c>
      <c r="C2549" s="8" t="str">
        <f>IFERROR(_xlfn.XLOOKUP(TRIM(B2549),Lookup!$B$2:$B$1000,Lookup!$C$2:$C$1000),"")</f>
        <v>Hybrid</v>
      </c>
      <c r="D2549" s="8" t="str">
        <f>IFERROR(INDEX('nav master'!$C:$C, MATCH(B2549, 'nav master'!$B:$B, 0)), "")</f>
        <v>ULIF08028/02/25DynamicFnd101</v>
      </c>
      <c r="E2549" s="8" t="s">
        <v>512</v>
      </c>
      <c r="F2549" s="8" t="s">
        <v>2861</v>
      </c>
    </row>
    <row r="2550" spans="1:6" ht="60" x14ac:dyDescent="0.25">
      <c r="A2550" s="8" t="s">
        <v>125</v>
      </c>
      <c r="B2550" s="8" t="s">
        <v>64</v>
      </c>
      <c r="C2550" s="8" t="str">
        <f>IFERROR(_xlfn.XLOOKUP(TRIM(B2550),Lookup!$B$2:$B$1000,Lookup!$C$2:$C$1000),"")</f>
        <v>Hybrid</v>
      </c>
      <c r="D2550" s="8" t="str">
        <f>IFERROR(INDEX('nav master'!$C:$C, MATCH(B2550, 'nav master'!$B:$B, 0)), "")</f>
        <v>ULIF08028/02/25DynamicFnd101</v>
      </c>
      <c r="E2550" s="8" t="s">
        <v>514</v>
      </c>
      <c r="F2550" s="8" t="s">
        <v>2862</v>
      </c>
    </row>
    <row r="2551" spans="1:6" ht="60" x14ac:dyDescent="0.25">
      <c r="A2551" s="8" t="s">
        <v>125</v>
      </c>
      <c r="B2551" s="8" t="s">
        <v>64</v>
      </c>
      <c r="C2551" s="8" t="str">
        <f>IFERROR(_xlfn.XLOOKUP(TRIM(B2551),Lookup!$B$2:$B$1000,Lookup!$C$2:$C$1000),"")</f>
        <v>Hybrid</v>
      </c>
      <c r="D2551" s="8" t="str">
        <f>IFERROR(INDEX('nav master'!$C:$C, MATCH(B2551, 'nav master'!$B:$B, 0)), "")</f>
        <v>ULIF08028/02/25DynamicFnd101</v>
      </c>
      <c r="E2551" s="8" t="s">
        <v>516</v>
      </c>
      <c r="F2551" s="8" t="s">
        <v>2863</v>
      </c>
    </row>
    <row r="2552" spans="1:6" ht="60" x14ac:dyDescent="0.25">
      <c r="A2552" s="8" t="s">
        <v>125</v>
      </c>
      <c r="B2552" s="8" t="s">
        <v>64</v>
      </c>
      <c r="C2552" s="8" t="str">
        <f>IFERROR(_xlfn.XLOOKUP(TRIM(B2552),Lookup!$B$2:$B$1000,Lookup!$C$2:$C$1000),"")</f>
        <v>Hybrid</v>
      </c>
      <c r="D2552" s="8" t="str">
        <f>IFERROR(INDEX('nav master'!$C:$C, MATCH(B2552, 'nav master'!$B:$B, 0)), "")</f>
        <v>ULIF08028/02/25DynamicFnd101</v>
      </c>
      <c r="E2552" s="8" t="s">
        <v>518</v>
      </c>
      <c r="F2552" s="8" t="s">
        <v>2864</v>
      </c>
    </row>
    <row r="2553" spans="1:6" ht="60" x14ac:dyDescent="0.25">
      <c r="A2553" s="8" t="s">
        <v>125</v>
      </c>
      <c r="B2553" s="8" t="s">
        <v>64</v>
      </c>
      <c r="C2553" s="8" t="str">
        <f>IFERROR(_xlfn.XLOOKUP(TRIM(B2553),Lookup!$B$2:$B$1000,Lookup!$C$2:$C$1000),"")</f>
        <v>Hybrid</v>
      </c>
      <c r="D2553" s="8" t="str">
        <f>IFERROR(INDEX('nav master'!$C:$C, MATCH(B2553, 'nav master'!$B:$B, 0)), "")</f>
        <v>ULIF08028/02/25DynamicFnd101</v>
      </c>
      <c r="E2553" s="8" t="s">
        <v>520</v>
      </c>
      <c r="F2553" s="8" t="s">
        <v>2865</v>
      </c>
    </row>
    <row r="2554" spans="1:6" ht="60" x14ac:dyDescent="0.25">
      <c r="A2554" s="8" t="s">
        <v>125</v>
      </c>
      <c r="B2554" s="8" t="s">
        <v>64</v>
      </c>
      <c r="C2554" s="8" t="str">
        <f>IFERROR(_xlfn.XLOOKUP(TRIM(B2554),Lookup!$B$2:$B$1000,Lookup!$C$2:$C$1000),"")</f>
        <v>Hybrid</v>
      </c>
      <c r="D2554" s="8" t="str">
        <f>IFERROR(INDEX('nav master'!$C:$C, MATCH(B2554, 'nav master'!$B:$B, 0)), "")</f>
        <v>ULIF08028/02/25DynamicFnd101</v>
      </c>
      <c r="E2554" s="8" t="s">
        <v>522</v>
      </c>
      <c r="F2554" s="8" t="s">
        <v>2866</v>
      </c>
    </row>
    <row r="2555" spans="1:6" ht="60" x14ac:dyDescent="0.25">
      <c r="A2555" s="8" t="s">
        <v>125</v>
      </c>
      <c r="B2555" s="8" t="s">
        <v>64</v>
      </c>
      <c r="C2555" s="8" t="str">
        <f>IFERROR(_xlfn.XLOOKUP(TRIM(B2555),Lookup!$B$2:$B$1000,Lookup!$C$2:$C$1000),"")</f>
        <v>Hybrid</v>
      </c>
      <c r="D2555" s="8" t="str">
        <f>IFERROR(INDEX('nav master'!$C:$C, MATCH(B2555, 'nav master'!$B:$B, 0)), "")</f>
        <v>ULIF08028/02/25DynamicFnd101</v>
      </c>
      <c r="E2555" s="8" t="s">
        <v>524</v>
      </c>
      <c r="F2555" s="8" t="s">
        <v>2867</v>
      </c>
    </row>
    <row r="2556" spans="1:6" ht="60" x14ac:dyDescent="0.25">
      <c r="A2556" s="8" t="s">
        <v>125</v>
      </c>
      <c r="B2556" s="8" t="s">
        <v>64</v>
      </c>
      <c r="C2556" s="8" t="str">
        <f>IFERROR(_xlfn.XLOOKUP(TRIM(B2556),Lookup!$B$2:$B$1000,Lookup!$C$2:$C$1000),"")</f>
        <v>Hybrid</v>
      </c>
      <c r="D2556" s="8" t="str">
        <f>IFERROR(INDEX('nav master'!$C:$C, MATCH(B2556, 'nav master'!$B:$B, 0)), "")</f>
        <v>ULIF08028/02/25DynamicFnd101</v>
      </c>
      <c r="E2556" s="8" t="s">
        <v>526</v>
      </c>
      <c r="F2556" s="8" t="s">
        <v>2868</v>
      </c>
    </row>
    <row r="2557" spans="1:6" ht="60" x14ac:dyDescent="0.25">
      <c r="A2557" s="8" t="s">
        <v>125</v>
      </c>
      <c r="B2557" s="8" t="s">
        <v>64</v>
      </c>
      <c r="C2557" s="8" t="str">
        <f>IFERROR(_xlfn.XLOOKUP(TRIM(B2557),Lookup!$B$2:$B$1000,Lookup!$C$2:$C$1000),"")</f>
        <v>Hybrid</v>
      </c>
      <c r="D2557" s="8" t="str">
        <f>IFERROR(INDEX('nav master'!$C:$C, MATCH(B2557, 'nav master'!$B:$B, 0)), "")</f>
        <v>ULIF08028/02/25DynamicFnd101</v>
      </c>
      <c r="E2557" s="8" t="s">
        <v>528</v>
      </c>
      <c r="F2557" s="8" t="s">
        <v>2869</v>
      </c>
    </row>
    <row r="2558" spans="1:6" ht="60" x14ac:dyDescent="0.25">
      <c r="A2558" s="8" t="s">
        <v>125</v>
      </c>
      <c r="B2558" s="8" t="s">
        <v>64</v>
      </c>
      <c r="C2558" s="8" t="str">
        <f>IFERROR(_xlfn.XLOOKUP(TRIM(B2558),Lookup!$B$2:$B$1000,Lookup!$C$2:$C$1000),"")</f>
        <v>Hybrid</v>
      </c>
      <c r="D2558" s="8" t="str">
        <f>IFERROR(INDEX('nav master'!$C:$C, MATCH(B2558, 'nav master'!$B:$B, 0)), "")</f>
        <v>ULIF08028/02/25DynamicFnd101</v>
      </c>
      <c r="E2558" s="8" t="s">
        <v>530</v>
      </c>
      <c r="F2558" s="8" t="s">
        <v>2870</v>
      </c>
    </row>
    <row r="2559" spans="1:6" ht="60" x14ac:dyDescent="0.25">
      <c r="A2559" s="8" t="s">
        <v>125</v>
      </c>
      <c r="B2559" s="8" t="s">
        <v>64</v>
      </c>
      <c r="C2559" s="8" t="str">
        <f>IFERROR(_xlfn.XLOOKUP(TRIM(B2559),Lookup!$B$2:$B$1000,Lookup!$C$2:$C$1000),"")</f>
        <v>Hybrid</v>
      </c>
      <c r="D2559" s="8" t="str">
        <f>IFERROR(INDEX('nav master'!$C:$C, MATCH(B2559, 'nav master'!$B:$B, 0)), "")</f>
        <v>ULIF08028/02/25DynamicFnd101</v>
      </c>
      <c r="E2559" s="8" t="s">
        <v>532</v>
      </c>
      <c r="F2559" s="8" t="s">
        <v>2871</v>
      </c>
    </row>
    <row r="2560" spans="1:6" ht="60" x14ac:dyDescent="0.25">
      <c r="A2560" s="8" t="s">
        <v>125</v>
      </c>
      <c r="B2560" s="8" t="s">
        <v>64</v>
      </c>
      <c r="C2560" s="8" t="str">
        <f>IFERROR(_xlfn.XLOOKUP(TRIM(B2560),Lookup!$B$2:$B$1000,Lookup!$C$2:$C$1000),"")</f>
        <v>Hybrid</v>
      </c>
      <c r="D2560" s="8" t="str">
        <f>IFERROR(INDEX('nav master'!$C:$C, MATCH(B2560, 'nav master'!$B:$B, 0)), "")</f>
        <v>ULIF08028/02/25DynamicFnd101</v>
      </c>
      <c r="E2560" s="8" t="s">
        <v>534</v>
      </c>
      <c r="F2560" s="8" t="s">
        <v>2872</v>
      </c>
    </row>
    <row r="2561" spans="1:6" ht="60" x14ac:dyDescent="0.25">
      <c r="A2561" s="8" t="s">
        <v>125</v>
      </c>
      <c r="B2561" s="8" t="s">
        <v>64</v>
      </c>
      <c r="C2561" s="8" t="str">
        <f>IFERROR(_xlfn.XLOOKUP(TRIM(B2561),Lookup!$B$2:$B$1000,Lookup!$C$2:$C$1000),"")</f>
        <v>Hybrid</v>
      </c>
      <c r="D2561" s="8" t="str">
        <f>IFERROR(INDEX('nav master'!$C:$C, MATCH(B2561, 'nav master'!$B:$B, 0)), "")</f>
        <v>ULIF08028/02/25DynamicFnd101</v>
      </c>
      <c r="E2561" s="8" t="s">
        <v>536</v>
      </c>
      <c r="F2561" s="8" t="s">
        <v>2873</v>
      </c>
    </row>
    <row r="2562" spans="1:6" ht="60" x14ac:dyDescent="0.25">
      <c r="A2562" s="8" t="s">
        <v>125</v>
      </c>
      <c r="B2562" s="8" t="s">
        <v>64</v>
      </c>
      <c r="C2562" s="8" t="str">
        <f>IFERROR(_xlfn.XLOOKUP(TRIM(B2562),Lookup!$B$2:$B$1000,Lookup!$C$2:$C$1000),"")</f>
        <v>Hybrid</v>
      </c>
      <c r="D2562" s="8" t="str">
        <f>IFERROR(INDEX('nav master'!$C:$C, MATCH(B2562, 'nav master'!$B:$B, 0)), "")</f>
        <v>ULIF08028/02/25DynamicFnd101</v>
      </c>
      <c r="E2562" s="8" t="s">
        <v>538</v>
      </c>
      <c r="F2562" s="8" t="s">
        <v>2874</v>
      </c>
    </row>
    <row r="2563" spans="1:6" ht="60" x14ac:dyDescent="0.25">
      <c r="A2563" s="8" t="s">
        <v>125</v>
      </c>
      <c r="B2563" s="8" t="s">
        <v>64</v>
      </c>
      <c r="C2563" s="8" t="str">
        <f>IFERROR(_xlfn.XLOOKUP(TRIM(B2563),Lookup!$B$2:$B$1000,Lookup!$C$2:$C$1000),"")</f>
        <v>Hybrid</v>
      </c>
      <c r="D2563" s="8" t="str">
        <f>IFERROR(INDEX('nav master'!$C:$C, MATCH(B2563, 'nav master'!$B:$B, 0)), "")</f>
        <v>ULIF08028/02/25DynamicFnd101</v>
      </c>
      <c r="E2563" s="8" t="s">
        <v>540</v>
      </c>
      <c r="F2563" s="8" t="s">
        <v>2875</v>
      </c>
    </row>
    <row r="2564" spans="1:6" ht="60" x14ac:dyDescent="0.25">
      <c r="A2564" s="8" t="s">
        <v>125</v>
      </c>
      <c r="B2564" s="8" t="s">
        <v>64</v>
      </c>
      <c r="C2564" s="8" t="str">
        <f>IFERROR(_xlfn.XLOOKUP(TRIM(B2564),Lookup!$B$2:$B$1000,Lookup!$C$2:$C$1000),"")</f>
        <v>Hybrid</v>
      </c>
      <c r="D2564" s="8" t="str">
        <f>IFERROR(INDEX('nav master'!$C:$C, MATCH(B2564, 'nav master'!$B:$B, 0)), "")</f>
        <v>ULIF08028/02/25DynamicFnd101</v>
      </c>
      <c r="E2564" s="8" t="s">
        <v>542</v>
      </c>
      <c r="F2564" s="8" t="s">
        <v>2876</v>
      </c>
    </row>
    <row r="2565" spans="1:6" ht="60" x14ac:dyDescent="0.25">
      <c r="A2565" s="8" t="s">
        <v>125</v>
      </c>
      <c r="B2565" s="8" t="s">
        <v>64</v>
      </c>
      <c r="C2565" s="8" t="str">
        <f>IFERROR(_xlfn.XLOOKUP(TRIM(B2565),Lookup!$B$2:$B$1000,Lookup!$C$2:$C$1000),"")</f>
        <v>Hybrid</v>
      </c>
      <c r="D2565" s="8" t="str">
        <f>IFERROR(INDEX('nav master'!$C:$C, MATCH(B2565, 'nav master'!$B:$B, 0)), "")</f>
        <v>ULIF08028/02/25DynamicFnd101</v>
      </c>
      <c r="E2565" s="8" t="s">
        <v>544</v>
      </c>
      <c r="F2565" s="8" t="s">
        <v>2877</v>
      </c>
    </row>
    <row r="2566" spans="1:6" ht="60" x14ac:dyDescent="0.25">
      <c r="A2566" s="8" t="s">
        <v>125</v>
      </c>
      <c r="B2566" s="8" t="s">
        <v>64</v>
      </c>
      <c r="C2566" s="8" t="str">
        <f>IFERROR(_xlfn.XLOOKUP(TRIM(B2566),Lookup!$B$2:$B$1000,Lookup!$C$2:$C$1000),"")</f>
        <v>Hybrid</v>
      </c>
      <c r="D2566" s="8" t="str">
        <f>IFERROR(INDEX('nav master'!$C:$C, MATCH(B2566, 'nav master'!$B:$B, 0)), "")</f>
        <v>ULIF08028/02/25DynamicFnd101</v>
      </c>
      <c r="E2566" s="8" t="s">
        <v>546</v>
      </c>
      <c r="F2566" s="8" t="s">
        <v>2878</v>
      </c>
    </row>
    <row r="2567" spans="1:6" ht="60" x14ac:dyDescent="0.25">
      <c r="A2567" s="8" t="s">
        <v>125</v>
      </c>
      <c r="B2567" s="8" t="s">
        <v>64</v>
      </c>
      <c r="C2567" s="8" t="str">
        <f>IFERROR(_xlfn.XLOOKUP(TRIM(B2567),Lookup!$B$2:$B$1000,Lookup!$C$2:$C$1000),"")</f>
        <v>Hybrid</v>
      </c>
      <c r="D2567" s="8" t="str">
        <f>IFERROR(INDEX('nav master'!$C:$C, MATCH(B2567, 'nav master'!$B:$B, 0)), "")</f>
        <v>ULIF08028/02/25DynamicFnd101</v>
      </c>
      <c r="E2567" s="8" t="s">
        <v>548</v>
      </c>
      <c r="F2567" s="8" t="s">
        <v>2879</v>
      </c>
    </row>
    <row r="2568" spans="1:6" ht="60" x14ac:dyDescent="0.25">
      <c r="A2568" s="8" t="s">
        <v>125</v>
      </c>
      <c r="B2568" s="8" t="s">
        <v>64</v>
      </c>
      <c r="C2568" s="8" t="str">
        <f>IFERROR(_xlfn.XLOOKUP(TRIM(B2568),Lookup!$B$2:$B$1000,Lookup!$C$2:$C$1000),"")</f>
        <v>Hybrid</v>
      </c>
      <c r="D2568" s="8" t="str">
        <f>IFERROR(INDEX('nav master'!$C:$C, MATCH(B2568, 'nav master'!$B:$B, 0)), "")</f>
        <v>ULIF08028/02/25DynamicFnd101</v>
      </c>
      <c r="E2568" s="8" t="s">
        <v>550</v>
      </c>
      <c r="F2568" s="8" t="s">
        <v>2880</v>
      </c>
    </row>
    <row r="2569" spans="1:6" ht="60" x14ac:dyDescent="0.25">
      <c r="A2569" s="8" t="s">
        <v>125</v>
      </c>
      <c r="B2569" s="8" t="s">
        <v>64</v>
      </c>
      <c r="C2569" s="8" t="str">
        <f>IFERROR(_xlfn.XLOOKUP(TRIM(B2569),Lookup!$B$2:$B$1000,Lookup!$C$2:$C$1000),"")</f>
        <v>Hybrid</v>
      </c>
      <c r="D2569" s="8" t="str">
        <f>IFERROR(INDEX('nav master'!$C:$C, MATCH(B2569, 'nav master'!$B:$B, 0)), "")</f>
        <v>ULIF08028/02/25DynamicFnd101</v>
      </c>
      <c r="E2569" s="8" t="s">
        <v>552</v>
      </c>
      <c r="F2569" s="8" t="s">
        <v>2881</v>
      </c>
    </row>
    <row r="2570" spans="1:6" ht="60" x14ac:dyDescent="0.25">
      <c r="A2570" s="8" t="s">
        <v>125</v>
      </c>
      <c r="B2570" s="8" t="s">
        <v>64</v>
      </c>
      <c r="C2570" s="8" t="str">
        <f>IFERROR(_xlfn.XLOOKUP(TRIM(B2570),Lookup!$B$2:$B$1000,Lookup!$C$2:$C$1000),"")</f>
        <v>Hybrid</v>
      </c>
      <c r="D2570" s="8" t="str">
        <f>IFERROR(INDEX('nav master'!$C:$C, MATCH(B2570, 'nav master'!$B:$B, 0)), "")</f>
        <v>ULIF08028/02/25DynamicFnd101</v>
      </c>
      <c r="E2570" s="8" t="s">
        <v>554</v>
      </c>
      <c r="F2570" s="8" t="s">
        <v>2882</v>
      </c>
    </row>
    <row r="2571" spans="1:6" ht="60" x14ac:dyDescent="0.25">
      <c r="A2571" s="8" t="s">
        <v>125</v>
      </c>
      <c r="B2571" s="8" t="s">
        <v>64</v>
      </c>
      <c r="C2571" s="8" t="str">
        <f>IFERROR(_xlfn.XLOOKUP(TRIM(B2571),Lookup!$B$2:$B$1000,Lookup!$C$2:$C$1000),"")</f>
        <v>Hybrid</v>
      </c>
      <c r="D2571" s="8" t="str">
        <f>IFERROR(INDEX('nav master'!$C:$C, MATCH(B2571, 'nav master'!$B:$B, 0)), "")</f>
        <v>ULIF08028/02/25DynamicFnd101</v>
      </c>
      <c r="E2571" s="8" t="s">
        <v>556</v>
      </c>
      <c r="F2571" s="8" t="s">
        <v>2883</v>
      </c>
    </row>
    <row r="2572" spans="1:6" ht="60" x14ac:dyDescent="0.25">
      <c r="A2572" s="8" t="s">
        <v>125</v>
      </c>
      <c r="B2572" s="8" t="s">
        <v>64</v>
      </c>
      <c r="C2572" s="8" t="str">
        <f>IFERROR(_xlfn.XLOOKUP(TRIM(B2572),Lookup!$B$2:$B$1000,Lookup!$C$2:$C$1000),"")</f>
        <v>Hybrid</v>
      </c>
      <c r="D2572" s="8" t="str">
        <f>IFERROR(INDEX('nav master'!$C:$C, MATCH(B2572, 'nav master'!$B:$B, 0)), "")</f>
        <v>ULIF08028/02/25DynamicFnd101</v>
      </c>
      <c r="E2572" s="8" t="s">
        <v>558</v>
      </c>
      <c r="F2572" s="8" t="s">
        <v>2884</v>
      </c>
    </row>
    <row r="2573" spans="1:6" ht="60" x14ac:dyDescent="0.25">
      <c r="A2573" s="8" t="s">
        <v>125</v>
      </c>
      <c r="B2573" s="8" t="s">
        <v>64</v>
      </c>
      <c r="C2573" s="8" t="str">
        <f>IFERROR(_xlfn.XLOOKUP(TRIM(B2573),Lookup!$B$2:$B$1000,Lookup!$C$2:$C$1000),"")</f>
        <v>Hybrid</v>
      </c>
      <c r="D2573" s="8" t="str">
        <f>IFERROR(INDEX('nav master'!$C:$C, MATCH(B2573, 'nav master'!$B:$B, 0)), "")</f>
        <v>ULIF08028/02/25DynamicFnd101</v>
      </c>
      <c r="E2573" s="8" t="s">
        <v>560</v>
      </c>
      <c r="F2573" s="8" t="s">
        <v>2885</v>
      </c>
    </row>
    <row r="2574" spans="1:6" ht="60" x14ac:dyDescent="0.25">
      <c r="A2574" s="8" t="s">
        <v>125</v>
      </c>
      <c r="B2574" s="8" t="s">
        <v>64</v>
      </c>
      <c r="C2574" s="8" t="str">
        <f>IFERROR(_xlfn.XLOOKUP(TRIM(B2574),Lookup!$B$2:$B$1000,Lookup!$C$2:$C$1000),"")</f>
        <v>Hybrid</v>
      </c>
      <c r="D2574" s="8" t="str">
        <f>IFERROR(INDEX('nav master'!$C:$C, MATCH(B2574, 'nav master'!$B:$B, 0)), "")</f>
        <v>ULIF08028/02/25DynamicFnd101</v>
      </c>
      <c r="E2574" s="8" t="s">
        <v>562</v>
      </c>
      <c r="F2574" s="8" t="s">
        <v>2886</v>
      </c>
    </row>
    <row r="2575" spans="1:6" ht="60" x14ac:dyDescent="0.25">
      <c r="A2575" s="8" t="s">
        <v>125</v>
      </c>
      <c r="B2575" s="8" t="s">
        <v>64</v>
      </c>
      <c r="C2575" s="8" t="str">
        <f>IFERROR(_xlfn.XLOOKUP(TRIM(B2575),Lookup!$B$2:$B$1000,Lookup!$C$2:$C$1000),"")</f>
        <v>Hybrid</v>
      </c>
      <c r="D2575" s="8" t="str">
        <f>IFERROR(INDEX('nav master'!$C:$C, MATCH(B2575, 'nav master'!$B:$B, 0)), "")</f>
        <v>ULIF08028/02/25DynamicFnd101</v>
      </c>
      <c r="E2575" s="8" t="s">
        <v>564</v>
      </c>
      <c r="F2575" s="8" t="s">
        <v>2887</v>
      </c>
    </row>
    <row r="2576" spans="1:6" ht="60" x14ac:dyDescent="0.25">
      <c r="A2576" s="8" t="s">
        <v>125</v>
      </c>
      <c r="B2576" s="8" t="s">
        <v>64</v>
      </c>
      <c r="C2576" s="8" t="str">
        <f>IFERROR(_xlfn.XLOOKUP(TRIM(B2576),Lookup!$B$2:$B$1000,Lookup!$C$2:$C$1000),"")</f>
        <v>Hybrid</v>
      </c>
      <c r="D2576" s="8" t="str">
        <f>IFERROR(INDEX('nav master'!$C:$C, MATCH(B2576, 'nav master'!$B:$B, 0)), "")</f>
        <v>ULIF08028/02/25DynamicFnd101</v>
      </c>
      <c r="E2576" s="8" t="s">
        <v>566</v>
      </c>
      <c r="F2576" s="8" t="s">
        <v>2888</v>
      </c>
    </row>
    <row r="2577" spans="1:6" ht="60" x14ac:dyDescent="0.25">
      <c r="A2577" s="8" t="s">
        <v>125</v>
      </c>
      <c r="B2577" s="8" t="s">
        <v>64</v>
      </c>
      <c r="C2577" s="8" t="str">
        <f>IFERROR(_xlfn.XLOOKUP(TRIM(B2577),Lookup!$B$2:$B$1000,Lookup!$C$2:$C$1000),"")</f>
        <v>Hybrid</v>
      </c>
      <c r="D2577" s="8" t="str">
        <f>IFERROR(INDEX('nav master'!$C:$C, MATCH(B2577, 'nav master'!$B:$B, 0)), "")</f>
        <v>ULIF08028/02/25DynamicFnd101</v>
      </c>
      <c r="E2577" s="8" t="s">
        <v>568</v>
      </c>
      <c r="F2577" s="8" t="s">
        <v>2889</v>
      </c>
    </row>
    <row r="2578" spans="1:6" ht="60" x14ac:dyDescent="0.25">
      <c r="A2578" s="8" t="s">
        <v>125</v>
      </c>
      <c r="B2578" s="8" t="s">
        <v>64</v>
      </c>
      <c r="C2578" s="8" t="str">
        <f>IFERROR(_xlfn.XLOOKUP(TRIM(B2578),Lookup!$B$2:$B$1000,Lookup!$C$2:$C$1000),"")</f>
        <v>Hybrid</v>
      </c>
      <c r="D2578" s="8" t="str">
        <f>IFERROR(INDEX('nav master'!$C:$C, MATCH(B2578, 'nav master'!$B:$B, 0)), "")</f>
        <v>ULIF08028/02/25DynamicFnd101</v>
      </c>
      <c r="E2578" s="8" t="s">
        <v>570</v>
      </c>
      <c r="F2578" s="8" t="s">
        <v>2890</v>
      </c>
    </row>
    <row r="2579" spans="1:6" ht="60" x14ac:dyDescent="0.25">
      <c r="A2579" s="8" t="s">
        <v>125</v>
      </c>
      <c r="B2579" s="8" t="s">
        <v>64</v>
      </c>
      <c r="C2579" s="8" t="str">
        <f>IFERROR(_xlfn.XLOOKUP(TRIM(B2579),Lookup!$B$2:$B$1000,Lookup!$C$2:$C$1000),"")</f>
        <v>Hybrid</v>
      </c>
      <c r="D2579" s="8" t="str">
        <f>IFERROR(INDEX('nav master'!$C:$C, MATCH(B2579, 'nav master'!$B:$B, 0)), "")</f>
        <v>ULIF08028/02/25DynamicFnd101</v>
      </c>
      <c r="E2579" s="8" t="s">
        <v>572</v>
      </c>
      <c r="F2579" s="8" t="s">
        <v>2891</v>
      </c>
    </row>
    <row r="2580" spans="1:6" ht="60" x14ac:dyDescent="0.25">
      <c r="A2580" s="8" t="s">
        <v>125</v>
      </c>
      <c r="B2580" s="8" t="s">
        <v>64</v>
      </c>
      <c r="C2580" s="8" t="str">
        <f>IFERROR(_xlfn.XLOOKUP(TRIM(B2580),Lookup!$B$2:$B$1000,Lookup!$C$2:$C$1000),"")</f>
        <v>Hybrid</v>
      </c>
      <c r="D2580" s="8" t="str">
        <f>IFERROR(INDEX('nav master'!$C:$C, MATCH(B2580, 'nav master'!$B:$B, 0)), "")</f>
        <v>ULIF08028/02/25DynamicFnd101</v>
      </c>
      <c r="E2580" s="8" t="s">
        <v>574</v>
      </c>
      <c r="F2580" s="8" t="s">
        <v>2892</v>
      </c>
    </row>
    <row r="2581" spans="1:6" ht="60" x14ac:dyDescent="0.25">
      <c r="A2581" s="8" t="s">
        <v>125</v>
      </c>
      <c r="B2581" s="8" t="s">
        <v>64</v>
      </c>
      <c r="C2581" s="8" t="str">
        <f>IFERROR(_xlfn.XLOOKUP(TRIM(B2581),Lookup!$B$2:$B$1000,Lookup!$C$2:$C$1000),"")</f>
        <v>Hybrid</v>
      </c>
      <c r="D2581" s="8" t="str">
        <f>IFERROR(INDEX('nav master'!$C:$C, MATCH(B2581, 'nav master'!$B:$B, 0)), "")</f>
        <v>ULIF08028/02/25DynamicFnd101</v>
      </c>
      <c r="E2581" s="8" t="s">
        <v>576</v>
      </c>
      <c r="F2581" s="8" t="s">
        <v>2893</v>
      </c>
    </row>
    <row r="2582" spans="1:6" ht="60" x14ac:dyDescent="0.25">
      <c r="A2582" s="8" t="s">
        <v>125</v>
      </c>
      <c r="B2582" s="8" t="s">
        <v>64</v>
      </c>
      <c r="C2582" s="8" t="str">
        <f>IFERROR(_xlfn.XLOOKUP(TRIM(B2582),Lookup!$B$2:$B$1000,Lookup!$C$2:$C$1000),"")</f>
        <v>Hybrid</v>
      </c>
      <c r="D2582" s="8" t="str">
        <f>IFERROR(INDEX('nav master'!$C:$C, MATCH(B2582, 'nav master'!$B:$B, 0)), "")</f>
        <v>ULIF08028/02/25DynamicFnd101</v>
      </c>
      <c r="E2582" s="8" t="s">
        <v>578</v>
      </c>
      <c r="F2582" s="8" t="s">
        <v>2894</v>
      </c>
    </row>
    <row r="2583" spans="1:6" ht="60" x14ac:dyDescent="0.25">
      <c r="A2583" s="8" t="s">
        <v>125</v>
      </c>
      <c r="B2583" s="8" t="s">
        <v>64</v>
      </c>
      <c r="C2583" s="8" t="str">
        <f>IFERROR(_xlfn.XLOOKUP(TRIM(B2583),Lookup!$B$2:$B$1000,Lookup!$C$2:$C$1000),"")</f>
        <v>Hybrid</v>
      </c>
      <c r="D2583" s="8" t="str">
        <f>IFERROR(INDEX('nav master'!$C:$C, MATCH(B2583, 'nav master'!$B:$B, 0)), "")</f>
        <v>ULIF08028/02/25DynamicFnd101</v>
      </c>
      <c r="E2583" s="8" t="s">
        <v>580</v>
      </c>
      <c r="F2583" s="8" t="s">
        <v>2895</v>
      </c>
    </row>
    <row r="2584" spans="1:6" ht="60" x14ac:dyDescent="0.25">
      <c r="A2584" s="8" t="s">
        <v>125</v>
      </c>
      <c r="B2584" s="8" t="s">
        <v>64</v>
      </c>
      <c r="C2584" s="8" t="str">
        <f>IFERROR(_xlfn.XLOOKUP(TRIM(B2584),Lookup!$B$2:$B$1000,Lookup!$C$2:$C$1000),"")</f>
        <v>Hybrid</v>
      </c>
      <c r="D2584" s="8" t="str">
        <f>IFERROR(INDEX('nav master'!$C:$C, MATCH(B2584, 'nav master'!$B:$B, 0)), "")</f>
        <v>ULIF08028/02/25DynamicFnd101</v>
      </c>
      <c r="E2584" s="8" t="s">
        <v>582</v>
      </c>
      <c r="F2584" s="8" t="s">
        <v>2896</v>
      </c>
    </row>
    <row r="2585" spans="1:6" ht="60" x14ac:dyDescent="0.25">
      <c r="A2585" s="8" t="s">
        <v>125</v>
      </c>
      <c r="B2585" s="8" t="s">
        <v>64</v>
      </c>
      <c r="C2585" s="8" t="str">
        <f>IFERROR(_xlfn.XLOOKUP(TRIM(B2585),Lookup!$B$2:$B$1000,Lookup!$C$2:$C$1000),"")</f>
        <v>Hybrid</v>
      </c>
      <c r="D2585" s="8" t="str">
        <f>IFERROR(INDEX('nav master'!$C:$C, MATCH(B2585, 'nav master'!$B:$B, 0)), "")</f>
        <v>ULIF08028/02/25DynamicFnd101</v>
      </c>
      <c r="E2585" s="8" t="s">
        <v>584</v>
      </c>
      <c r="F2585" s="8" t="s">
        <v>2897</v>
      </c>
    </row>
    <row r="2586" spans="1:6" ht="60" x14ac:dyDescent="0.25">
      <c r="A2586" s="8" t="s">
        <v>125</v>
      </c>
      <c r="B2586" s="8" t="s">
        <v>64</v>
      </c>
      <c r="C2586" s="8" t="str">
        <f>IFERROR(_xlfn.XLOOKUP(TRIM(B2586),Lookup!$B$2:$B$1000,Lookup!$C$2:$C$1000),"")</f>
        <v>Hybrid</v>
      </c>
      <c r="D2586" s="8" t="str">
        <f>IFERROR(INDEX('nav master'!$C:$C, MATCH(B2586, 'nav master'!$B:$B, 0)), "")</f>
        <v>ULIF08028/02/25DynamicFnd101</v>
      </c>
      <c r="E2586" s="8" t="s">
        <v>586</v>
      </c>
      <c r="F2586" s="8" t="s">
        <v>2898</v>
      </c>
    </row>
    <row r="2587" spans="1:6" ht="60" x14ac:dyDescent="0.25">
      <c r="A2587" s="8" t="s">
        <v>125</v>
      </c>
      <c r="B2587" s="8" t="s">
        <v>64</v>
      </c>
      <c r="C2587" s="8" t="str">
        <f>IFERROR(_xlfn.XLOOKUP(TRIM(B2587),Lookup!$B$2:$B$1000,Lookup!$C$2:$C$1000),"")</f>
        <v>Hybrid</v>
      </c>
      <c r="D2587" s="8" t="str">
        <f>IFERROR(INDEX('nav master'!$C:$C, MATCH(B2587, 'nav master'!$B:$B, 0)), "")</f>
        <v>ULIF08028/02/25DynamicFnd101</v>
      </c>
      <c r="E2587" s="8" t="s">
        <v>588</v>
      </c>
      <c r="F2587" s="8" t="s">
        <v>2899</v>
      </c>
    </row>
    <row r="2588" spans="1:6" ht="60" x14ac:dyDescent="0.25">
      <c r="A2588" s="8" t="s">
        <v>125</v>
      </c>
      <c r="B2588" s="8" t="s">
        <v>64</v>
      </c>
      <c r="C2588" s="8" t="str">
        <f>IFERROR(_xlfn.XLOOKUP(TRIM(B2588),Lookup!$B$2:$B$1000,Lookup!$C$2:$C$1000),"")</f>
        <v>Hybrid</v>
      </c>
      <c r="D2588" s="8" t="str">
        <f>IFERROR(INDEX('nav master'!$C:$C, MATCH(B2588, 'nav master'!$B:$B, 0)), "")</f>
        <v>ULIF08028/02/25DynamicFnd101</v>
      </c>
      <c r="E2588" s="8" t="s">
        <v>590</v>
      </c>
      <c r="F2588" s="8" t="s">
        <v>2900</v>
      </c>
    </row>
    <row r="2589" spans="1:6" ht="60" x14ac:dyDescent="0.25">
      <c r="A2589" s="8" t="s">
        <v>125</v>
      </c>
      <c r="B2589" s="8" t="s">
        <v>64</v>
      </c>
      <c r="C2589" s="8" t="str">
        <f>IFERROR(_xlfn.XLOOKUP(TRIM(B2589),Lookup!$B$2:$B$1000,Lookup!$C$2:$C$1000),"")</f>
        <v>Hybrid</v>
      </c>
      <c r="D2589" s="8" t="str">
        <f>IFERROR(INDEX('nav master'!$C:$C, MATCH(B2589, 'nav master'!$B:$B, 0)), "")</f>
        <v>ULIF08028/02/25DynamicFnd101</v>
      </c>
      <c r="E2589" s="8" t="s">
        <v>592</v>
      </c>
      <c r="F2589" s="8" t="s">
        <v>2901</v>
      </c>
    </row>
    <row r="2590" spans="1:6" ht="60" x14ac:dyDescent="0.25">
      <c r="A2590" s="8" t="s">
        <v>125</v>
      </c>
      <c r="B2590" s="8" t="s">
        <v>64</v>
      </c>
      <c r="C2590" s="8" t="str">
        <f>IFERROR(_xlfn.XLOOKUP(TRIM(B2590),Lookup!$B$2:$B$1000,Lookup!$C$2:$C$1000),"")</f>
        <v>Hybrid</v>
      </c>
      <c r="D2590" s="8" t="str">
        <f>IFERROR(INDEX('nav master'!$C:$C, MATCH(B2590, 'nav master'!$B:$B, 0)), "")</f>
        <v>ULIF08028/02/25DynamicFnd101</v>
      </c>
      <c r="E2590" s="8" t="s">
        <v>594</v>
      </c>
      <c r="F2590" s="8" t="s">
        <v>2902</v>
      </c>
    </row>
    <row r="2591" spans="1:6" ht="60" x14ac:dyDescent="0.25">
      <c r="A2591" s="8" t="s">
        <v>125</v>
      </c>
      <c r="B2591" s="8" t="s">
        <v>64</v>
      </c>
      <c r="C2591" s="8" t="str">
        <f>IFERROR(_xlfn.XLOOKUP(TRIM(B2591),Lookup!$B$2:$B$1000,Lookup!$C$2:$C$1000),"")</f>
        <v>Hybrid</v>
      </c>
      <c r="D2591" s="8" t="str">
        <f>IFERROR(INDEX('nav master'!$C:$C, MATCH(B2591, 'nav master'!$B:$B, 0)), "")</f>
        <v>ULIF08028/02/25DynamicFnd101</v>
      </c>
      <c r="E2591" s="8" t="s">
        <v>596</v>
      </c>
      <c r="F2591" s="8" t="s">
        <v>2903</v>
      </c>
    </row>
    <row r="2592" spans="1:6" ht="60" x14ac:dyDescent="0.25">
      <c r="A2592" s="8" t="s">
        <v>125</v>
      </c>
      <c r="B2592" s="8" t="s">
        <v>64</v>
      </c>
      <c r="C2592" s="8" t="str">
        <f>IFERROR(_xlfn.XLOOKUP(TRIM(B2592),Lookup!$B$2:$B$1000,Lookup!$C$2:$C$1000),"")</f>
        <v>Hybrid</v>
      </c>
      <c r="D2592" s="8" t="str">
        <f>IFERROR(INDEX('nav master'!$C:$C, MATCH(B2592, 'nav master'!$B:$B, 0)), "")</f>
        <v>ULIF08028/02/25DynamicFnd101</v>
      </c>
      <c r="E2592" s="8" t="s">
        <v>598</v>
      </c>
      <c r="F2592" s="8" t="s">
        <v>2904</v>
      </c>
    </row>
    <row r="2593" spans="1:6" ht="60" x14ac:dyDescent="0.25">
      <c r="A2593" s="8" t="s">
        <v>125</v>
      </c>
      <c r="B2593" s="8" t="s">
        <v>64</v>
      </c>
      <c r="C2593" s="8" t="str">
        <f>IFERROR(_xlfn.XLOOKUP(TRIM(B2593),Lookup!$B$2:$B$1000,Lookup!$C$2:$C$1000),"")</f>
        <v>Hybrid</v>
      </c>
      <c r="D2593" s="8" t="str">
        <f>IFERROR(INDEX('nav master'!$C:$C, MATCH(B2593, 'nav master'!$B:$B, 0)), "")</f>
        <v>ULIF08028/02/25DynamicFnd101</v>
      </c>
      <c r="E2593" s="8" t="s">
        <v>600</v>
      </c>
      <c r="F2593" s="8" t="s">
        <v>2905</v>
      </c>
    </row>
    <row r="2594" spans="1:6" ht="60" x14ac:dyDescent="0.25">
      <c r="A2594" s="8" t="s">
        <v>125</v>
      </c>
      <c r="B2594" s="8" t="s">
        <v>64</v>
      </c>
      <c r="C2594" s="8" t="str">
        <f>IFERROR(_xlfn.XLOOKUP(TRIM(B2594),Lookup!$B$2:$B$1000,Lookup!$C$2:$C$1000),"")</f>
        <v>Hybrid</v>
      </c>
      <c r="D2594" s="8" t="str">
        <f>IFERROR(INDEX('nav master'!$C:$C, MATCH(B2594, 'nav master'!$B:$B, 0)), "")</f>
        <v>ULIF08028/02/25DynamicFnd101</v>
      </c>
      <c r="E2594" s="8" t="s">
        <v>602</v>
      </c>
      <c r="F2594" s="8" t="s">
        <v>2906</v>
      </c>
    </row>
    <row r="2595" spans="1:6" ht="60" x14ac:dyDescent="0.25">
      <c r="A2595" s="8" t="s">
        <v>125</v>
      </c>
      <c r="B2595" s="8" t="s">
        <v>64</v>
      </c>
      <c r="C2595" s="8" t="str">
        <f>IFERROR(_xlfn.XLOOKUP(TRIM(B2595),Lookup!$B$2:$B$1000,Lookup!$C$2:$C$1000),"")</f>
        <v>Hybrid</v>
      </c>
      <c r="D2595" s="8" t="str">
        <f>IFERROR(INDEX('nav master'!$C:$C, MATCH(B2595, 'nav master'!$B:$B, 0)), "")</f>
        <v>ULIF08028/02/25DynamicFnd101</v>
      </c>
      <c r="E2595" s="8" t="s">
        <v>604</v>
      </c>
      <c r="F2595" s="8" t="s">
        <v>2907</v>
      </c>
    </row>
    <row r="2596" spans="1:6" ht="60" x14ac:dyDescent="0.25">
      <c r="A2596" s="8" t="s">
        <v>125</v>
      </c>
      <c r="B2596" s="8" t="s">
        <v>64</v>
      </c>
      <c r="C2596" s="8" t="str">
        <f>IFERROR(_xlfn.XLOOKUP(TRIM(B2596),Lookup!$B$2:$B$1000,Lookup!$C$2:$C$1000),"")</f>
        <v>Hybrid</v>
      </c>
      <c r="D2596" s="8" t="str">
        <f>IFERROR(INDEX('nav master'!$C:$C, MATCH(B2596, 'nav master'!$B:$B, 0)), "")</f>
        <v>ULIF08028/02/25DynamicFnd101</v>
      </c>
      <c r="E2596" s="8" t="s">
        <v>606</v>
      </c>
      <c r="F2596" s="8" t="s">
        <v>2908</v>
      </c>
    </row>
    <row r="2597" spans="1:6" ht="60" x14ac:dyDescent="0.25">
      <c r="A2597" s="8" t="s">
        <v>125</v>
      </c>
      <c r="B2597" s="8" t="s">
        <v>64</v>
      </c>
      <c r="C2597" s="8" t="str">
        <f>IFERROR(_xlfn.XLOOKUP(TRIM(B2597),Lookup!$B$2:$B$1000,Lookup!$C$2:$C$1000),"")</f>
        <v>Hybrid</v>
      </c>
      <c r="D2597" s="8" t="str">
        <f>IFERROR(INDEX('nav master'!$C:$C, MATCH(B2597, 'nav master'!$B:$B, 0)), "")</f>
        <v>ULIF08028/02/25DynamicFnd101</v>
      </c>
      <c r="E2597" s="8" t="s">
        <v>608</v>
      </c>
      <c r="F2597" s="8" t="s">
        <v>2909</v>
      </c>
    </row>
    <row r="2598" spans="1:6" ht="60" x14ac:dyDescent="0.25">
      <c r="A2598" s="8" t="s">
        <v>125</v>
      </c>
      <c r="B2598" s="8" t="s">
        <v>64</v>
      </c>
      <c r="C2598" s="8" t="str">
        <f>IFERROR(_xlfn.XLOOKUP(TRIM(B2598),Lookup!$B$2:$B$1000,Lookup!$C$2:$C$1000),"")</f>
        <v>Hybrid</v>
      </c>
      <c r="D2598" s="8" t="str">
        <f>IFERROR(INDEX('nav master'!$C:$C, MATCH(B2598, 'nav master'!$B:$B, 0)), "")</f>
        <v>ULIF08028/02/25DynamicFnd101</v>
      </c>
      <c r="E2598" s="8" t="s">
        <v>610</v>
      </c>
      <c r="F2598" s="8" t="s">
        <v>2910</v>
      </c>
    </row>
    <row r="2599" spans="1:6" ht="60" x14ac:dyDescent="0.25">
      <c r="A2599" s="8" t="s">
        <v>125</v>
      </c>
      <c r="B2599" s="8" t="s">
        <v>64</v>
      </c>
      <c r="C2599" s="8" t="str">
        <f>IFERROR(_xlfn.XLOOKUP(TRIM(B2599),Lookup!$B$2:$B$1000,Lookup!$C$2:$C$1000),"")</f>
        <v>Hybrid</v>
      </c>
      <c r="D2599" s="8" t="str">
        <f>IFERROR(INDEX('nav master'!$C:$C, MATCH(B2599, 'nav master'!$B:$B, 0)), "")</f>
        <v>ULIF08028/02/25DynamicFnd101</v>
      </c>
      <c r="E2599" s="8" t="s">
        <v>612</v>
      </c>
      <c r="F2599" s="8" t="s">
        <v>2911</v>
      </c>
    </row>
    <row r="2600" spans="1:6" ht="60" x14ac:dyDescent="0.25">
      <c r="A2600" s="8" t="s">
        <v>125</v>
      </c>
      <c r="B2600" s="8" t="s">
        <v>64</v>
      </c>
      <c r="C2600" s="8" t="str">
        <f>IFERROR(_xlfn.XLOOKUP(TRIM(B2600),Lookup!$B$2:$B$1000,Lookup!$C$2:$C$1000),"")</f>
        <v>Hybrid</v>
      </c>
      <c r="D2600" s="8" t="str">
        <f>IFERROR(INDEX('nav master'!$C:$C, MATCH(B2600, 'nav master'!$B:$B, 0)), "")</f>
        <v>ULIF08028/02/25DynamicFnd101</v>
      </c>
      <c r="E2600" s="8" t="s">
        <v>614</v>
      </c>
      <c r="F2600" s="8" t="s">
        <v>2912</v>
      </c>
    </row>
    <row r="2601" spans="1:6" ht="60" x14ac:dyDescent="0.25">
      <c r="A2601" s="8" t="s">
        <v>125</v>
      </c>
      <c r="B2601" s="8" t="s">
        <v>64</v>
      </c>
      <c r="C2601" s="8" t="str">
        <f>IFERROR(_xlfn.XLOOKUP(TRIM(B2601),Lookup!$B$2:$B$1000,Lookup!$C$2:$C$1000),"")</f>
        <v>Hybrid</v>
      </c>
      <c r="D2601" s="8" t="str">
        <f>IFERROR(INDEX('nav master'!$C:$C, MATCH(B2601, 'nav master'!$B:$B, 0)), "")</f>
        <v>ULIF08028/02/25DynamicFnd101</v>
      </c>
      <c r="E2601" s="8" t="s">
        <v>616</v>
      </c>
      <c r="F2601" s="8" t="s">
        <v>2913</v>
      </c>
    </row>
    <row r="2602" spans="1:6" ht="60" x14ac:dyDescent="0.25">
      <c r="A2602" s="8" t="s">
        <v>125</v>
      </c>
      <c r="B2602" s="8" t="s">
        <v>64</v>
      </c>
      <c r="C2602" s="8" t="str">
        <f>IFERROR(_xlfn.XLOOKUP(TRIM(B2602),Lookup!$B$2:$B$1000,Lookup!$C$2:$C$1000),"")</f>
        <v>Hybrid</v>
      </c>
      <c r="D2602" s="8" t="str">
        <f>IFERROR(INDEX('nav master'!$C:$C, MATCH(B2602, 'nav master'!$B:$B, 0)), "")</f>
        <v>ULIF08028/02/25DynamicFnd101</v>
      </c>
      <c r="E2602" s="8" t="s">
        <v>618</v>
      </c>
      <c r="F2602" s="8" t="s">
        <v>2914</v>
      </c>
    </row>
    <row r="2603" spans="1:6" ht="60" x14ac:dyDescent="0.25">
      <c r="A2603" s="8" t="s">
        <v>125</v>
      </c>
      <c r="B2603" s="8" t="s">
        <v>64</v>
      </c>
      <c r="C2603" s="8" t="str">
        <f>IFERROR(_xlfn.XLOOKUP(TRIM(B2603),Lookup!$B$2:$B$1000,Lookup!$C$2:$C$1000),"")</f>
        <v>Hybrid</v>
      </c>
      <c r="D2603" s="8" t="str">
        <f>IFERROR(INDEX('nav master'!$C:$C, MATCH(B2603, 'nav master'!$B:$B, 0)), "")</f>
        <v>ULIF08028/02/25DynamicFnd101</v>
      </c>
      <c r="E2603" s="8" t="s">
        <v>620</v>
      </c>
      <c r="F2603" s="8" t="s">
        <v>2915</v>
      </c>
    </row>
    <row r="2604" spans="1:6" ht="60" x14ac:dyDescent="0.25">
      <c r="A2604" s="8" t="s">
        <v>125</v>
      </c>
      <c r="B2604" s="8" t="s">
        <v>64</v>
      </c>
      <c r="C2604" s="8" t="str">
        <f>IFERROR(_xlfn.XLOOKUP(TRIM(B2604),Lookup!$B$2:$B$1000,Lookup!$C$2:$C$1000),"")</f>
        <v>Hybrid</v>
      </c>
      <c r="D2604" s="8" t="str">
        <f>IFERROR(INDEX('nav master'!$C:$C, MATCH(B2604, 'nav master'!$B:$B, 0)), "")</f>
        <v>ULIF08028/02/25DynamicFnd101</v>
      </c>
      <c r="E2604" s="8" t="s">
        <v>622</v>
      </c>
      <c r="F2604" s="8" t="s">
        <v>2916</v>
      </c>
    </row>
    <row r="2605" spans="1:6" ht="60" x14ac:dyDescent="0.25">
      <c r="A2605" s="8" t="s">
        <v>125</v>
      </c>
      <c r="B2605" s="8" t="s">
        <v>64</v>
      </c>
      <c r="C2605" s="8" t="str">
        <f>IFERROR(_xlfn.XLOOKUP(TRIM(B2605),Lookup!$B$2:$B$1000,Lookup!$C$2:$C$1000),"")</f>
        <v>Hybrid</v>
      </c>
      <c r="D2605" s="8" t="str">
        <f>IFERROR(INDEX('nav master'!$C:$C, MATCH(B2605, 'nav master'!$B:$B, 0)), "")</f>
        <v>ULIF08028/02/25DynamicFnd101</v>
      </c>
      <c r="E2605" s="8" t="s">
        <v>624</v>
      </c>
      <c r="F2605" s="8" t="s">
        <v>2917</v>
      </c>
    </row>
    <row r="2606" spans="1:6" ht="60" x14ac:dyDescent="0.25">
      <c r="A2606" s="8" t="s">
        <v>125</v>
      </c>
      <c r="B2606" s="8" t="s">
        <v>64</v>
      </c>
      <c r="C2606" s="8" t="str">
        <f>IFERROR(_xlfn.XLOOKUP(TRIM(B2606),Lookup!$B$2:$B$1000,Lookup!$C$2:$C$1000),"")</f>
        <v>Hybrid</v>
      </c>
      <c r="D2606" s="8" t="str">
        <f>IFERROR(INDEX('nav master'!$C:$C, MATCH(B2606, 'nav master'!$B:$B, 0)), "")</f>
        <v>ULIF08028/02/25DynamicFnd101</v>
      </c>
      <c r="E2606" s="8" t="s">
        <v>626</v>
      </c>
      <c r="F2606" s="8" t="s">
        <v>2918</v>
      </c>
    </row>
    <row r="2607" spans="1:6" ht="60" x14ac:dyDescent="0.25">
      <c r="A2607" s="8" t="s">
        <v>125</v>
      </c>
      <c r="B2607" s="8" t="s">
        <v>64</v>
      </c>
      <c r="C2607" s="8" t="str">
        <f>IFERROR(_xlfn.XLOOKUP(TRIM(B2607),Lookup!$B$2:$B$1000,Lookup!$C$2:$C$1000),"")</f>
        <v>Hybrid</v>
      </c>
      <c r="D2607" s="8" t="str">
        <f>IFERROR(INDEX('nav master'!$C:$C, MATCH(B2607, 'nav master'!$B:$B, 0)), "")</f>
        <v>ULIF08028/02/25DynamicFnd101</v>
      </c>
      <c r="E2607" s="8" t="s">
        <v>628</v>
      </c>
      <c r="F2607" s="8" t="s">
        <v>2919</v>
      </c>
    </row>
    <row r="2608" spans="1:6" ht="60" x14ac:dyDescent="0.25">
      <c r="A2608" s="8" t="s">
        <v>125</v>
      </c>
      <c r="B2608" s="8" t="s">
        <v>64</v>
      </c>
      <c r="C2608" s="8" t="str">
        <f>IFERROR(_xlfn.XLOOKUP(TRIM(B2608),Lookup!$B$2:$B$1000,Lookup!$C$2:$C$1000),"")</f>
        <v>Hybrid</v>
      </c>
      <c r="D2608" s="8" t="str">
        <f>IFERROR(INDEX('nav master'!$C:$C, MATCH(B2608, 'nav master'!$B:$B, 0)), "")</f>
        <v>ULIF08028/02/25DynamicFnd101</v>
      </c>
      <c r="E2608" s="8" t="s">
        <v>630</v>
      </c>
      <c r="F2608" s="8" t="s">
        <v>2920</v>
      </c>
    </row>
    <row r="2609" spans="1:6" ht="60" x14ac:dyDescent="0.25">
      <c r="A2609" s="8" t="s">
        <v>125</v>
      </c>
      <c r="B2609" s="8" t="s">
        <v>64</v>
      </c>
      <c r="C2609" s="8" t="str">
        <f>IFERROR(_xlfn.XLOOKUP(TRIM(B2609),Lookup!$B$2:$B$1000,Lookup!$C$2:$C$1000),"")</f>
        <v>Hybrid</v>
      </c>
      <c r="D2609" s="8" t="str">
        <f>IFERROR(INDEX('nav master'!$C:$C, MATCH(B2609, 'nav master'!$B:$B, 0)), "")</f>
        <v>ULIF08028/02/25DynamicFnd101</v>
      </c>
      <c r="E2609" s="8" t="s">
        <v>632</v>
      </c>
      <c r="F2609" s="8" t="s">
        <v>2921</v>
      </c>
    </row>
    <row r="2610" spans="1:6" ht="60" x14ac:dyDescent="0.25">
      <c r="A2610" s="8" t="s">
        <v>125</v>
      </c>
      <c r="B2610" s="8" t="s">
        <v>64</v>
      </c>
      <c r="C2610" s="8" t="str">
        <f>IFERROR(_xlfn.XLOOKUP(TRIM(B2610),Lookup!$B$2:$B$1000,Lookup!$C$2:$C$1000),"")</f>
        <v>Hybrid</v>
      </c>
      <c r="D2610" s="8" t="str">
        <f>IFERROR(INDEX('nav master'!$C:$C, MATCH(B2610, 'nav master'!$B:$B, 0)), "")</f>
        <v>ULIF08028/02/25DynamicFnd101</v>
      </c>
      <c r="E2610" s="8" t="s">
        <v>634</v>
      </c>
      <c r="F2610" s="8" t="s">
        <v>2922</v>
      </c>
    </row>
    <row r="2611" spans="1:6" ht="60" x14ac:dyDescent="0.25">
      <c r="A2611" s="8" t="s">
        <v>125</v>
      </c>
      <c r="B2611" s="8" t="s">
        <v>64</v>
      </c>
      <c r="C2611" s="8" t="str">
        <f>IFERROR(_xlfn.XLOOKUP(TRIM(B2611),Lookup!$B$2:$B$1000,Lookup!$C$2:$C$1000),"")</f>
        <v>Hybrid</v>
      </c>
      <c r="D2611" s="8" t="str">
        <f>IFERROR(INDEX('nav master'!$C:$C, MATCH(B2611, 'nav master'!$B:$B, 0)), "")</f>
        <v>ULIF08028/02/25DynamicFnd101</v>
      </c>
      <c r="E2611" s="8" t="s">
        <v>636</v>
      </c>
      <c r="F2611" s="8" t="s">
        <v>2923</v>
      </c>
    </row>
    <row r="2612" spans="1:6" ht="60" x14ac:dyDescent="0.25">
      <c r="A2612" s="8" t="s">
        <v>125</v>
      </c>
      <c r="B2612" s="8" t="s">
        <v>64</v>
      </c>
      <c r="C2612" s="8" t="str">
        <f>IFERROR(_xlfn.XLOOKUP(TRIM(B2612),Lookup!$B$2:$B$1000,Lookup!$C$2:$C$1000),"")</f>
        <v>Hybrid</v>
      </c>
      <c r="D2612" s="8" t="str">
        <f>IFERROR(INDEX('nav master'!$C:$C, MATCH(B2612, 'nav master'!$B:$B, 0)), "")</f>
        <v>ULIF08028/02/25DynamicFnd101</v>
      </c>
      <c r="E2612" s="8" t="s">
        <v>638</v>
      </c>
      <c r="F2612" s="8" t="s">
        <v>2924</v>
      </c>
    </row>
    <row r="2613" spans="1:6" ht="60" x14ac:dyDescent="0.25">
      <c r="A2613" s="8" t="s">
        <v>125</v>
      </c>
      <c r="B2613" s="8" t="s">
        <v>64</v>
      </c>
      <c r="C2613" s="8" t="str">
        <f>IFERROR(_xlfn.XLOOKUP(TRIM(B2613),Lookup!$B$2:$B$1000,Lookup!$C$2:$C$1000),"")</f>
        <v>Hybrid</v>
      </c>
      <c r="D2613" s="8" t="str">
        <f>IFERROR(INDEX('nav master'!$C:$C, MATCH(B2613, 'nav master'!$B:$B, 0)), "")</f>
        <v>ULIF08028/02/25DynamicFnd101</v>
      </c>
      <c r="E2613" s="8" t="s">
        <v>640</v>
      </c>
      <c r="F2613" s="8" t="s">
        <v>2925</v>
      </c>
    </row>
    <row r="2614" spans="1:6" ht="60" x14ac:dyDescent="0.25">
      <c r="A2614" s="8" t="s">
        <v>125</v>
      </c>
      <c r="B2614" s="8" t="s">
        <v>64</v>
      </c>
      <c r="C2614" s="8" t="str">
        <f>IFERROR(_xlfn.XLOOKUP(TRIM(B2614),Lookup!$B$2:$B$1000,Lookup!$C$2:$C$1000),"")</f>
        <v>Hybrid</v>
      </c>
      <c r="D2614" s="8" t="str">
        <f>IFERROR(INDEX('nav master'!$C:$C, MATCH(B2614, 'nav master'!$B:$B, 0)), "")</f>
        <v>ULIF08028/02/25DynamicFnd101</v>
      </c>
      <c r="E2614" s="8" t="s">
        <v>642</v>
      </c>
      <c r="F2614" s="8" t="s">
        <v>2926</v>
      </c>
    </row>
    <row r="2615" spans="1:6" ht="60" x14ac:dyDescent="0.25">
      <c r="A2615" s="8" t="s">
        <v>125</v>
      </c>
      <c r="B2615" s="8" t="s">
        <v>64</v>
      </c>
      <c r="C2615" s="8" t="str">
        <f>IFERROR(_xlfn.XLOOKUP(TRIM(B2615),Lookup!$B$2:$B$1000,Lookup!$C$2:$C$1000),"")</f>
        <v>Hybrid</v>
      </c>
      <c r="D2615" s="8" t="str">
        <f>IFERROR(INDEX('nav master'!$C:$C, MATCH(B2615, 'nav master'!$B:$B, 0)), "")</f>
        <v>ULIF08028/02/25DynamicFnd101</v>
      </c>
      <c r="E2615" s="8" t="s">
        <v>644</v>
      </c>
      <c r="F2615" s="8" t="s">
        <v>2927</v>
      </c>
    </row>
    <row r="2616" spans="1:6" ht="60" x14ac:dyDescent="0.25">
      <c r="A2616" s="8" t="s">
        <v>125</v>
      </c>
      <c r="B2616" s="8" t="s">
        <v>64</v>
      </c>
      <c r="C2616" s="8" t="str">
        <f>IFERROR(_xlfn.XLOOKUP(TRIM(B2616),Lookup!$B$2:$B$1000,Lookup!$C$2:$C$1000),"")</f>
        <v>Hybrid</v>
      </c>
      <c r="D2616" s="8" t="str">
        <f>IFERROR(INDEX('nav master'!$C:$C, MATCH(B2616, 'nav master'!$B:$B, 0)), "")</f>
        <v>ULIF08028/02/25DynamicFnd101</v>
      </c>
      <c r="E2616" s="8" t="s">
        <v>646</v>
      </c>
      <c r="F2616" s="8" t="s">
        <v>2928</v>
      </c>
    </row>
    <row r="2617" spans="1:6" ht="60" x14ac:dyDescent="0.25">
      <c r="A2617" s="8" t="s">
        <v>125</v>
      </c>
      <c r="B2617" s="8" t="s">
        <v>64</v>
      </c>
      <c r="C2617" s="8" t="str">
        <f>IFERROR(_xlfn.XLOOKUP(TRIM(B2617),Lookup!$B$2:$B$1000,Lookup!$C$2:$C$1000),"")</f>
        <v>Hybrid</v>
      </c>
      <c r="D2617" s="8" t="str">
        <f>IFERROR(INDEX('nav master'!$C:$C, MATCH(B2617, 'nav master'!$B:$B, 0)), "")</f>
        <v>ULIF08028/02/25DynamicFnd101</v>
      </c>
      <c r="E2617" s="8" t="s">
        <v>648</v>
      </c>
      <c r="F2617" s="8" t="s">
        <v>2929</v>
      </c>
    </row>
    <row r="2618" spans="1:6" ht="60" x14ac:dyDescent="0.25">
      <c r="A2618" s="8" t="s">
        <v>125</v>
      </c>
      <c r="B2618" s="8" t="s">
        <v>64</v>
      </c>
      <c r="C2618" s="8" t="str">
        <f>IFERROR(_xlfn.XLOOKUP(TRIM(B2618),Lookup!$B$2:$B$1000,Lookup!$C$2:$C$1000),"")</f>
        <v>Hybrid</v>
      </c>
      <c r="D2618" s="8" t="str">
        <f>IFERROR(INDEX('nav master'!$C:$C, MATCH(B2618, 'nav master'!$B:$B, 0)), "")</f>
        <v>ULIF08028/02/25DynamicFnd101</v>
      </c>
      <c r="E2618" s="8" t="s">
        <v>650</v>
      </c>
      <c r="F2618" s="8" t="s">
        <v>2930</v>
      </c>
    </row>
    <row r="2619" spans="1:6" ht="60" x14ac:dyDescent="0.25">
      <c r="A2619" s="8" t="s">
        <v>125</v>
      </c>
      <c r="B2619" s="8" t="s">
        <v>64</v>
      </c>
      <c r="C2619" s="8" t="str">
        <f>IFERROR(_xlfn.XLOOKUP(TRIM(B2619),Lookup!$B$2:$B$1000,Lookup!$C$2:$C$1000),"")</f>
        <v>Hybrid</v>
      </c>
      <c r="D2619" s="8" t="str">
        <f>IFERROR(INDEX('nav master'!$C:$C, MATCH(B2619, 'nav master'!$B:$B, 0)), "")</f>
        <v>ULIF08028/02/25DynamicFnd101</v>
      </c>
      <c r="E2619" s="8" t="s">
        <v>652</v>
      </c>
      <c r="F2619" s="8" t="s">
        <v>2931</v>
      </c>
    </row>
    <row r="2620" spans="1:6" ht="60" x14ac:dyDescent="0.25">
      <c r="A2620" s="8" t="s">
        <v>125</v>
      </c>
      <c r="B2620" s="8" t="s">
        <v>64</v>
      </c>
      <c r="C2620" s="8" t="str">
        <f>IFERROR(_xlfn.XLOOKUP(TRIM(B2620),Lookup!$B$2:$B$1000,Lookup!$C$2:$C$1000),"")</f>
        <v>Hybrid</v>
      </c>
      <c r="D2620" s="8" t="str">
        <f>IFERROR(INDEX('nav master'!$C:$C, MATCH(B2620, 'nav master'!$B:$B, 0)), "")</f>
        <v>ULIF08028/02/25DynamicFnd101</v>
      </c>
      <c r="E2620" s="8" t="s">
        <v>654</v>
      </c>
      <c r="F2620" s="8" t="s">
        <v>2932</v>
      </c>
    </row>
    <row r="2621" spans="1:6" ht="60" x14ac:dyDescent="0.25">
      <c r="A2621" s="8" t="s">
        <v>125</v>
      </c>
      <c r="B2621" s="8" t="s">
        <v>64</v>
      </c>
      <c r="C2621" s="8" t="str">
        <f>IFERROR(_xlfn.XLOOKUP(TRIM(B2621),Lookup!$B$2:$B$1000,Lookup!$C$2:$C$1000),"")</f>
        <v>Hybrid</v>
      </c>
      <c r="D2621" s="8" t="str">
        <f>IFERROR(INDEX('nav master'!$C:$C, MATCH(B2621, 'nav master'!$B:$B, 0)), "")</f>
        <v>ULIF08028/02/25DynamicFnd101</v>
      </c>
      <c r="E2621" s="8" t="s">
        <v>656</v>
      </c>
      <c r="F2621" s="8" t="s">
        <v>2933</v>
      </c>
    </row>
    <row r="2622" spans="1:6" ht="60" x14ac:dyDescent="0.25">
      <c r="A2622" s="8" t="s">
        <v>125</v>
      </c>
      <c r="B2622" s="8" t="s">
        <v>64</v>
      </c>
      <c r="C2622" s="8" t="str">
        <f>IFERROR(_xlfn.XLOOKUP(TRIM(B2622),Lookup!$B$2:$B$1000,Lookup!$C$2:$C$1000),"")</f>
        <v>Hybrid</v>
      </c>
      <c r="D2622" s="8" t="str">
        <f>IFERROR(INDEX('nav master'!$C:$C, MATCH(B2622, 'nav master'!$B:$B, 0)), "")</f>
        <v>ULIF08028/02/25DynamicFnd101</v>
      </c>
      <c r="E2622" s="8" t="s">
        <v>658</v>
      </c>
      <c r="F2622" s="8" t="s">
        <v>2934</v>
      </c>
    </row>
    <row r="2623" spans="1:6" ht="60" x14ac:dyDescent="0.25">
      <c r="A2623" s="8" t="s">
        <v>125</v>
      </c>
      <c r="B2623" s="8" t="s">
        <v>64</v>
      </c>
      <c r="C2623" s="8" t="str">
        <f>IFERROR(_xlfn.XLOOKUP(TRIM(B2623),Lookup!$B$2:$B$1000,Lookup!$C$2:$C$1000),"")</f>
        <v>Hybrid</v>
      </c>
      <c r="D2623" s="8" t="str">
        <f>IFERROR(INDEX('nav master'!$C:$C, MATCH(B2623, 'nav master'!$B:$B, 0)), "")</f>
        <v>ULIF08028/02/25DynamicFnd101</v>
      </c>
      <c r="E2623" s="8" t="s">
        <v>660</v>
      </c>
      <c r="F2623" s="8" t="s">
        <v>2935</v>
      </c>
    </row>
    <row r="2624" spans="1:6" ht="60" x14ac:dyDescent="0.25">
      <c r="A2624" s="8" t="s">
        <v>125</v>
      </c>
      <c r="B2624" s="8" t="s">
        <v>64</v>
      </c>
      <c r="C2624" s="8" t="str">
        <f>IFERROR(_xlfn.XLOOKUP(TRIM(B2624),Lookup!$B$2:$B$1000,Lookup!$C$2:$C$1000),"")</f>
        <v>Hybrid</v>
      </c>
      <c r="D2624" s="8" t="str">
        <f>IFERROR(INDEX('nav master'!$C:$C, MATCH(B2624, 'nav master'!$B:$B, 0)), "")</f>
        <v>ULIF08028/02/25DynamicFnd101</v>
      </c>
      <c r="E2624" s="8" t="s">
        <v>662</v>
      </c>
      <c r="F2624" s="8" t="s">
        <v>2936</v>
      </c>
    </row>
    <row r="2625" spans="1:6" ht="60" x14ac:dyDescent="0.25">
      <c r="A2625" s="8" t="s">
        <v>125</v>
      </c>
      <c r="B2625" s="8" t="s">
        <v>64</v>
      </c>
      <c r="C2625" s="8" t="str">
        <f>IFERROR(_xlfn.XLOOKUP(TRIM(B2625),Lookup!$B$2:$B$1000,Lookup!$C$2:$C$1000),"")</f>
        <v>Hybrid</v>
      </c>
      <c r="D2625" s="8" t="str">
        <f>IFERROR(INDEX('nav master'!$C:$C, MATCH(B2625, 'nav master'!$B:$B, 0)), "")</f>
        <v>ULIF08028/02/25DynamicFnd101</v>
      </c>
      <c r="E2625" s="8" t="s">
        <v>664</v>
      </c>
      <c r="F2625" s="8" t="s">
        <v>2937</v>
      </c>
    </row>
    <row r="2626" spans="1:6" ht="60" x14ac:dyDescent="0.25">
      <c r="A2626" s="8" t="s">
        <v>125</v>
      </c>
      <c r="B2626" s="8" t="s">
        <v>64</v>
      </c>
      <c r="C2626" s="8" t="str">
        <f>IFERROR(_xlfn.XLOOKUP(TRIM(B2626),Lookup!$B$2:$B$1000,Lookup!$C$2:$C$1000),"")</f>
        <v>Hybrid</v>
      </c>
      <c r="D2626" s="8" t="str">
        <f>IFERROR(INDEX('nav master'!$C:$C, MATCH(B2626, 'nav master'!$B:$B, 0)), "")</f>
        <v>ULIF08028/02/25DynamicFnd101</v>
      </c>
      <c r="E2626" s="8" t="s">
        <v>4892</v>
      </c>
      <c r="F2626" s="8" t="s">
        <v>4976</v>
      </c>
    </row>
    <row r="2627" spans="1:6" ht="60" x14ac:dyDescent="0.25">
      <c r="A2627" s="8" t="s">
        <v>125</v>
      </c>
      <c r="B2627" s="8" t="s">
        <v>64</v>
      </c>
      <c r="C2627" s="8" t="str">
        <f>IFERROR(_xlfn.XLOOKUP(TRIM(B2627),Lookup!$B$2:$B$1000,Lookup!$C$2:$C$1000),"")</f>
        <v>Hybrid</v>
      </c>
      <c r="D2627" s="8" t="str">
        <f>IFERROR(INDEX('nav master'!$C:$C, MATCH(B2627, 'nav master'!$B:$B, 0)), "")</f>
        <v>ULIF08028/02/25DynamicFnd101</v>
      </c>
      <c r="E2627" s="8" t="s">
        <v>4894</v>
      </c>
      <c r="F2627" s="8" t="s">
        <v>4977</v>
      </c>
    </row>
    <row r="2628" spans="1:6" ht="60" x14ac:dyDescent="0.25">
      <c r="A2628" s="8" t="s">
        <v>125</v>
      </c>
      <c r="B2628" s="8" t="s">
        <v>64</v>
      </c>
      <c r="C2628" s="8" t="str">
        <f>IFERROR(_xlfn.XLOOKUP(TRIM(B2628),Lookup!$B$2:$B$1000,Lookup!$C$2:$C$1000),"")</f>
        <v>Hybrid</v>
      </c>
      <c r="D2628" s="8" t="str">
        <f>IFERROR(INDEX('nav master'!$C:$C, MATCH(B2628, 'nav master'!$B:$B, 0)), "")</f>
        <v>ULIF08028/02/25DynamicFnd101</v>
      </c>
      <c r="E2628" s="8" t="s">
        <v>4896</v>
      </c>
      <c r="F2628" s="8" t="s">
        <v>4978</v>
      </c>
    </row>
    <row r="2629" spans="1:6" ht="60" x14ac:dyDescent="0.25">
      <c r="A2629" s="8" t="s">
        <v>125</v>
      </c>
      <c r="B2629" s="8" t="s">
        <v>64</v>
      </c>
      <c r="C2629" s="8" t="str">
        <f>IFERROR(_xlfn.XLOOKUP(TRIM(B2629),Lookup!$B$2:$B$1000,Lookup!$C$2:$C$1000),"")</f>
        <v>Hybrid</v>
      </c>
      <c r="D2629" s="8" t="str">
        <f>IFERROR(INDEX('nav master'!$C:$C, MATCH(B2629, 'nav master'!$B:$B, 0)), "")</f>
        <v>ULIF08028/02/25DynamicFnd101</v>
      </c>
      <c r="E2629" s="8" t="s">
        <v>4898</v>
      </c>
      <c r="F2629" s="8" t="s">
        <v>4979</v>
      </c>
    </row>
    <row r="2630" spans="1:6" ht="60" x14ac:dyDescent="0.25">
      <c r="A2630" s="8" t="s">
        <v>125</v>
      </c>
      <c r="B2630" s="8" t="s">
        <v>64</v>
      </c>
      <c r="C2630" s="8" t="str">
        <f>IFERROR(_xlfn.XLOOKUP(TRIM(B2630),Lookup!$B$2:$B$1000,Lookup!$C$2:$C$1000),"")</f>
        <v>Hybrid</v>
      </c>
      <c r="D2630" s="8" t="str">
        <f>IFERROR(INDEX('nav master'!$C:$C, MATCH(B2630, 'nav master'!$B:$B, 0)), "")</f>
        <v>ULIF08028/02/25DynamicFnd101</v>
      </c>
      <c r="E2630" s="8" t="s">
        <v>4900</v>
      </c>
      <c r="F2630" s="8" t="s">
        <v>4980</v>
      </c>
    </row>
    <row r="2631" spans="1:6" ht="60" x14ac:dyDescent="0.25">
      <c r="A2631" s="8" t="s">
        <v>125</v>
      </c>
      <c r="B2631" s="8" t="s">
        <v>64</v>
      </c>
      <c r="C2631" s="8" t="str">
        <f>IFERROR(_xlfn.XLOOKUP(TRIM(B2631),Lookup!$B$2:$B$1000,Lookup!$C$2:$C$1000),"")</f>
        <v>Hybrid</v>
      </c>
      <c r="D2631" s="8" t="str">
        <f>IFERROR(INDEX('nav master'!$C:$C, MATCH(B2631, 'nav master'!$B:$B, 0)), "")</f>
        <v>ULIF08028/02/25DynamicFnd101</v>
      </c>
      <c r="E2631" s="8" t="s">
        <v>4902</v>
      </c>
      <c r="F2631" s="8" t="s">
        <v>4981</v>
      </c>
    </row>
    <row r="2632" spans="1:6" ht="60" x14ac:dyDescent="0.25">
      <c r="A2632" s="8" t="s">
        <v>125</v>
      </c>
      <c r="B2632" s="8" t="s">
        <v>64</v>
      </c>
      <c r="C2632" s="8" t="str">
        <f>IFERROR(_xlfn.XLOOKUP(TRIM(B2632),Lookup!$B$2:$B$1000,Lookup!$C$2:$C$1000),"")</f>
        <v>Hybrid</v>
      </c>
      <c r="D2632" s="8" t="str">
        <f>IFERROR(INDEX('nav master'!$C:$C, MATCH(B2632, 'nav master'!$B:$B, 0)), "")</f>
        <v>ULIF08028/02/25DynamicFnd101</v>
      </c>
      <c r="E2632" s="8" t="s">
        <v>4903</v>
      </c>
      <c r="F2632" s="8" t="s">
        <v>4982</v>
      </c>
    </row>
    <row r="2633" spans="1:6" ht="60" x14ac:dyDescent="0.25">
      <c r="A2633" s="8" t="s">
        <v>125</v>
      </c>
      <c r="B2633" s="8" t="s">
        <v>64</v>
      </c>
      <c r="C2633" s="8" t="str">
        <f>IFERROR(_xlfn.XLOOKUP(TRIM(B2633),Lookup!$B$2:$B$1000,Lookup!$C$2:$C$1000),"")</f>
        <v>Hybrid</v>
      </c>
      <c r="D2633" s="8" t="str">
        <f>IFERROR(INDEX('nav master'!$C:$C, MATCH(B2633, 'nav master'!$B:$B, 0)), "")</f>
        <v>ULIF08028/02/25DynamicFnd101</v>
      </c>
      <c r="E2633" s="8" t="s">
        <v>4905</v>
      </c>
      <c r="F2633" s="8" t="s">
        <v>4983</v>
      </c>
    </row>
    <row r="2634" spans="1:6" ht="60" x14ac:dyDescent="0.25">
      <c r="A2634" s="8" t="s">
        <v>125</v>
      </c>
      <c r="B2634" s="8" t="s">
        <v>157</v>
      </c>
      <c r="C2634" s="8" t="str">
        <f>IFERROR(_xlfn.XLOOKUP(TRIM(B2634),Lookup!$B$2:$B$1000,Lookup!$C$2:$C$1000),"")</f>
        <v>Equity</v>
      </c>
      <c r="D2634" s="8" t="str">
        <f>IFERROR(INDEX('nav master'!$C:$C, MATCH(B2634, 'nav master'!$B:$B, 0)), "")</f>
        <v>ULIF07828/02/25Alpha300Fd101</v>
      </c>
      <c r="E2634" s="8" t="s">
        <v>189</v>
      </c>
      <c r="F2634" s="8" t="s">
        <v>2939</v>
      </c>
    </row>
    <row r="2635" spans="1:6" ht="60" x14ac:dyDescent="0.25">
      <c r="A2635" s="8" t="s">
        <v>125</v>
      </c>
      <c r="B2635" s="8" t="s">
        <v>157</v>
      </c>
      <c r="C2635" s="8" t="str">
        <f>IFERROR(_xlfn.XLOOKUP(TRIM(B2635),Lookup!$B$2:$B$1000,Lookup!$C$2:$C$1000),"")</f>
        <v>Equity</v>
      </c>
      <c r="D2635" s="8" t="str">
        <f>IFERROR(INDEX('nav master'!$C:$C, MATCH(B2635, 'nav master'!$B:$B, 0)), "")</f>
        <v>ULIF07828/02/25Alpha300Fd101</v>
      </c>
      <c r="E2635" s="8" t="s">
        <v>191</v>
      </c>
      <c r="F2635" s="8" t="s">
        <v>2940</v>
      </c>
    </row>
    <row r="2636" spans="1:6" ht="60" x14ac:dyDescent="0.25">
      <c r="A2636" s="8" t="s">
        <v>125</v>
      </c>
      <c r="B2636" s="8" t="s">
        <v>157</v>
      </c>
      <c r="C2636" s="8" t="str">
        <f>IFERROR(_xlfn.XLOOKUP(TRIM(B2636),Lookup!$B$2:$B$1000,Lookup!$C$2:$C$1000),"")</f>
        <v>Equity</v>
      </c>
      <c r="D2636" s="8" t="str">
        <f>IFERROR(INDEX('nav master'!$C:$C, MATCH(B2636, 'nav master'!$B:$B, 0)), "")</f>
        <v>ULIF07828/02/25Alpha300Fd101</v>
      </c>
      <c r="E2636" s="8" t="s">
        <v>193</v>
      </c>
      <c r="F2636" s="8" t="s">
        <v>2941</v>
      </c>
    </row>
    <row r="2637" spans="1:6" ht="60" x14ac:dyDescent="0.25">
      <c r="A2637" s="8" t="s">
        <v>125</v>
      </c>
      <c r="B2637" s="8" t="s">
        <v>157</v>
      </c>
      <c r="C2637" s="8" t="str">
        <f>IFERROR(_xlfn.XLOOKUP(TRIM(B2637),Lookup!$B$2:$B$1000,Lookup!$C$2:$C$1000),"")</f>
        <v>Equity</v>
      </c>
      <c r="D2637" s="8" t="str">
        <f>IFERROR(INDEX('nav master'!$C:$C, MATCH(B2637, 'nav master'!$B:$B, 0)), "")</f>
        <v>ULIF07828/02/25Alpha300Fd101</v>
      </c>
      <c r="E2637" s="8" t="s">
        <v>195</v>
      </c>
      <c r="F2637" s="8" t="s">
        <v>2942</v>
      </c>
    </row>
    <row r="2638" spans="1:6" ht="60" x14ac:dyDescent="0.25">
      <c r="A2638" s="8" t="s">
        <v>125</v>
      </c>
      <c r="B2638" s="8" t="s">
        <v>157</v>
      </c>
      <c r="C2638" s="8" t="str">
        <f>IFERROR(_xlfn.XLOOKUP(TRIM(B2638),Lookup!$B$2:$B$1000,Lookup!$C$2:$C$1000),"")</f>
        <v>Equity</v>
      </c>
      <c r="D2638" s="8" t="str">
        <f>IFERROR(INDEX('nav master'!$C:$C, MATCH(B2638, 'nav master'!$B:$B, 0)), "")</f>
        <v>ULIF07828/02/25Alpha300Fd101</v>
      </c>
      <c r="E2638" s="8" t="s">
        <v>197</v>
      </c>
      <c r="F2638" s="8" t="s">
        <v>2943</v>
      </c>
    </row>
    <row r="2639" spans="1:6" ht="60" x14ac:dyDescent="0.25">
      <c r="A2639" s="8" t="s">
        <v>125</v>
      </c>
      <c r="B2639" s="8" t="s">
        <v>157</v>
      </c>
      <c r="C2639" s="8" t="str">
        <f>IFERROR(_xlfn.XLOOKUP(TRIM(B2639),Lookup!$B$2:$B$1000,Lookup!$C$2:$C$1000),"")</f>
        <v>Equity</v>
      </c>
      <c r="D2639" s="8" t="str">
        <f>IFERROR(INDEX('nav master'!$C:$C, MATCH(B2639, 'nav master'!$B:$B, 0)), "")</f>
        <v>ULIF07828/02/25Alpha300Fd101</v>
      </c>
      <c r="E2639" s="8" t="s">
        <v>199</v>
      </c>
      <c r="F2639" s="8" t="s">
        <v>2944</v>
      </c>
    </row>
    <row r="2640" spans="1:6" ht="60" x14ac:dyDescent="0.25">
      <c r="A2640" s="8" t="s">
        <v>125</v>
      </c>
      <c r="B2640" s="8" t="s">
        <v>157</v>
      </c>
      <c r="C2640" s="8" t="str">
        <f>IFERROR(_xlfn.XLOOKUP(TRIM(B2640),Lookup!$B$2:$B$1000,Lookup!$C$2:$C$1000),"")</f>
        <v>Equity</v>
      </c>
      <c r="D2640" s="8" t="str">
        <f>IFERROR(INDEX('nav master'!$C:$C, MATCH(B2640, 'nav master'!$B:$B, 0)), "")</f>
        <v>ULIF07828/02/25Alpha300Fd101</v>
      </c>
      <c r="E2640" s="8" t="s">
        <v>201</v>
      </c>
      <c r="F2640" s="8" t="s">
        <v>2945</v>
      </c>
    </row>
    <row r="2641" spans="1:6" ht="60" x14ac:dyDescent="0.25">
      <c r="A2641" s="8" t="s">
        <v>125</v>
      </c>
      <c r="B2641" s="8" t="s">
        <v>157</v>
      </c>
      <c r="C2641" s="8" t="str">
        <f>IFERROR(_xlfn.XLOOKUP(TRIM(B2641),Lookup!$B$2:$B$1000,Lookup!$C$2:$C$1000),"")</f>
        <v>Equity</v>
      </c>
      <c r="D2641" s="8" t="str">
        <f>IFERROR(INDEX('nav master'!$C:$C, MATCH(B2641, 'nav master'!$B:$B, 0)), "")</f>
        <v>ULIF07828/02/25Alpha300Fd101</v>
      </c>
      <c r="E2641" s="8" t="s">
        <v>203</v>
      </c>
      <c r="F2641" s="8" t="s">
        <v>2946</v>
      </c>
    </row>
    <row r="2642" spans="1:6" ht="60" x14ac:dyDescent="0.25">
      <c r="A2642" s="8" t="s">
        <v>125</v>
      </c>
      <c r="B2642" s="8" t="s">
        <v>157</v>
      </c>
      <c r="C2642" s="8" t="str">
        <f>IFERROR(_xlfn.XLOOKUP(TRIM(B2642),Lookup!$B$2:$B$1000,Lookup!$C$2:$C$1000),"")</f>
        <v>Equity</v>
      </c>
      <c r="D2642" s="8" t="str">
        <f>IFERROR(INDEX('nav master'!$C:$C, MATCH(B2642, 'nav master'!$B:$B, 0)), "")</f>
        <v>ULIF07828/02/25Alpha300Fd101</v>
      </c>
      <c r="E2642" s="8" t="s">
        <v>205</v>
      </c>
      <c r="F2642" s="8" t="s">
        <v>2947</v>
      </c>
    </row>
    <row r="2643" spans="1:6" ht="60" x14ac:dyDescent="0.25">
      <c r="A2643" s="8" t="s">
        <v>125</v>
      </c>
      <c r="B2643" s="8" t="s">
        <v>157</v>
      </c>
      <c r="C2643" s="8" t="str">
        <f>IFERROR(_xlfn.XLOOKUP(TRIM(B2643),Lookup!$B$2:$B$1000,Lookup!$C$2:$C$1000),"")</f>
        <v>Equity</v>
      </c>
      <c r="D2643" s="8" t="str">
        <f>IFERROR(INDEX('nav master'!$C:$C, MATCH(B2643, 'nav master'!$B:$B, 0)), "")</f>
        <v>ULIF07828/02/25Alpha300Fd101</v>
      </c>
      <c r="E2643" s="8" t="s">
        <v>207</v>
      </c>
      <c r="F2643" s="8" t="s">
        <v>2948</v>
      </c>
    </row>
    <row r="2644" spans="1:6" ht="60" x14ac:dyDescent="0.25">
      <c r="A2644" s="8" t="s">
        <v>125</v>
      </c>
      <c r="B2644" s="8" t="s">
        <v>157</v>
      </c>
      <c r="C2644" s="8" t="str">
        <f>IFERROR(_xlfn.XLOOKUP(TRIM(B2644),Lookup!$B$2:$B$1000,Lookup!$C$2:$C$1000),"")</f>
        <v>Equity</v>
      </c>
      <c r="D2644" s="8" t="str">
        <f>IFERROR(INDEX('nav master'!$C:$C, MATCH(B2644, 'nav master'!$B:$B, 0)), "")</f>
        <v>ULIF07828/02/25Alpha300Fd101</v>
      </c>
      <c r="E2644" s="8" t="s">
        <v>209</v>
      </c>
      <c r="F2644" s="8" t="s">
        <v>2949</v>
      </c>
    </row>
    <row r="2645" spans="1:6" ht="60" x14ac:dyDescent="0.25">
      <c r="A2645" s="8" t="s">
        <v>125</v>
      </c>
      <c r="B2645" s="8" t="s">
        <v>157</v>
      </c>
      <c r="C2645" s="8" t="str">
        <f>IFERROR(_xlfn.XLOOKUP(TRIM(B2645),Lookup!$B$2:$B$1000,Lookup!$C$2:$C$1000),"")</f>
        <v>Equity</v>
      </c>
      <c r="D2645" s="8" t="str">
        <f>IFERROR(INDEX('nav master'!$C:$C, MATCH(B2645, 'nav master'!$B:$B, 0)), "")</f>
        <v>ULIF07828/02/25Alpha300Fd101</v>
      </c>
      <c r="E2645" s="8" t="s">
        <v>211</v>
      </c>
      <c r="F2645" s="8" t="s">
        <v>2950</v>
      </c>
    </row>
    <row r="2646" spans="1:6" ht="60" x14ac:dyDescent="0.25">
      <c r="A2646" s="8" t="s">
        <v>125</v>
      </c>
      <c r="B2646" s="8" t="s">
        <v>157</v>
      </c>
      <c r="C2646" s="8" t="str">
        <f>IFERROR(_xlfn.XLOOKUP(TRIM(B2646),Lookup!$B$2:$B$1000,Lookup!$C$2:$C$1000),"")</f>
        <v>Equity</v>
      </c>
      <c r="D2646" s="8" t="str">
        <f>IFERROR(INDEX('nav master'!$C:$C, MATCH(B2646, 'nav master'!$B:$B, 0)), "")</f>
        <v>ULIF07828/02/25Alpha300Fd101</v>
      </c>
      <c r="E2646" s="8" t="s">
        <v>213</v>
      </c>
      <c r="F2646" s="8" t="s">
        <v>2951</v>
      </c>
    </row>
    <row r="2647" spans="1:6" ht="60" x14ac:dyDescent="0.25">
      <c r="A2647" s="8" t="s">
        <v>125</v>
      </c>
      <c r="B2647" s="8" t="s">
        <v>157</v>
      </c>
      <c r="C2647" s="8" t="str">
        <f>IFERROR(_xlfn.XLOOKUP(TRIM(B2647),Lookup!$B$2:$B$1000,Lookup!$C$2:$C$1000),"")</f>
        <v>Equity</v>
      </c>
      <c r="D2647" s="8" t="str">
        <f>IFERROR(INDEX('nav master'!$C:$C, MATCH(B2647, 'nav master'!$B:$B, 0)), "")</f>
        <v>ULIF07828/02/25Alpha300Fd101</v>
      </c>
      <c r="E2647" s="8" t="s">
        <v>215</v>
      </c>
      <c r="F2647" s="8" t="s">
        <v>2952</v>
      </c>
    </row>
    <row r="2648" spans="1:6" ht="60" x14ac:dyDescent="0.25">
      <c r="A2648" s="8" t="s">
        <v>125</v>
      </c>
      <c r="B2648" s="8" t="s">
        <v>157</v>
      </c>
      <c r="C2648" s="8" t="str">
        <f>IFERROR(_xlfn.XLOOKUP(TRIM(B2648),Lookup!$B$2:$B$1000,Lookup!$C$2:$C$1000),"")</f>
        <v>Equity</v>
      </c>
      <c r="D2648" s="8" t="str">
        <f>IFERROR(INDEX('nav master'!$C:$C, MATCH(B2648, 'nav master'!$B:$B, 0)), "")</f>
        <v>ULIF07828/02/25Alpha300Fd101</v>
      </c>
      <c r="E2648" s="8" t="s">
        <v>217</v>
      </c>
      <c r="F2648" s="8" t="s">
        <v>2953</v>
      </c>
    </row>
    <row r="2649" spans="1:6" ht="60" x14ac:dyDescent="0.25">
      <c r="A2649" s="8" t="s">
        <v>125</v>
      </c>
      <c r="B2649" s="8" t="s">
        <v>157</v>
      </c>
      <c r="C2649" s="8" t="str">
        <f>IFERROR(_xlfn.XLOOKUP(TRIM(B2649),Lookup!$B$2:$B$1000,Lookup!$C$2:$C$1000),"")</f>
        <v>Equity</v>
      </c>
      <c r="D2649" s="8" t="str">
        <f>IFERROR(INDEX('nav master'!$C:$C, MATCH(B2649, 'nav master'!$B:$B, 0)), "")</f>
        <v>ULIF07828/02/25Alpha300Fd101</v>
      </c>
      <c r="E2649" s="8" t="s">
        <v>219</v>
      </c>
      <c r="F2649" s="8" t="s">
        <v>2954</v>
      </c>
    </row>
    <row r="2650" spans="1:6" ht="60" x14ac:dyDescent="0.25">
      <c r="A2650" s="8" t="s">
        <v>125</v>
      </c>
      <c r="B2650" s="8" t="s">
        <v>157</v>
      </c>
      <c r="C2650" s="8" t="str">
        <f>IFERROR(_xlfn.XLOOKUP(TRIM(B2650),Lookup!$B$2:$B$1000,Lookup!$C$2:$C$1000),"")</f>
        <v>Equity</v>
      </c>
      <c r="D2650" s="8" t="str">
        <f>IFERROR(INDEX('nav master'!$C:$C, MATCH(B2650, 'nav master'!$B:$B, 0)), "")</f>
        <v>ULIF07828/02/25Alpha300Fd101</v>
      </c>
      <c r="E2650" s="8" t="s">
        <v>221</v>
      </c>
      <c r="F2650" s="8" t="s">
        <v>2955</v>
      </c>
    </row>
    <row r="2651" spans="1:6" ht="60" x14ac:dyDescent="0.25">
      <c r="A2651" s="8" t="s">
        <v>125</v>
      </c>
      <c r="B2651" s="8" t="s">
        <v>157</v>
      </c>
      <c r="C2651" s="8" t="str">
        <f>IFERROR(_xlfn.XLOOKUP(TRIM(B2651),Lookup!$B$2:$B$1000,Lookup!$C$2:$C$1000),"")</f>
        <v>Equity</v>
      </c>
      <c r="D2651" s="8" t="str">
        <f>IFERROR(INDEX('nav master'!$C:$C, MATCH(B2651, 'nav master'!$B:$B, 0)), "")</f>
        <v>ULIF07828/02/25Alpha300Fd101</v>
      </c>
      <c r="E2651" s="8" t="s">
        <v>223</v>
      </c>
      <c r="F2651" s="8" t="s">
        <v>2956</v>
      </c>
    </row>
    <row r="2652" spans="1:6" ht="60" x14ac:dyDescent="0.25">
      <c r="A2652" s="8" t="s">
        <v>125</v>
      </c>
      <c r="B2652" s="8" t="s">
        <v>157</v>
      </c>
      <c r="C2652" s="8" t="str">
        <f>IFERROR(_xlfn.XLOOKUP(TRIM(B2652),Lookup!$B$2:$B$1000,Lookup!$C$2:$C$1000),"")</f>
        <v>Equity</v>
      </c>
      <c r="D2652" s="8" t="str">
        <f>IFERROR(INDEX('nav master'!$C:$C, MATCH(B2652, 'nav master'!$B:$B, 0)), "")</f>
        <v>ULIF07828/02/25Alpha300Fd101</v>
      </c>
      <c r="E2652" s="8" t="s">
        <v>225</v>
      </c>
      <c r="F2652" s="8" t="s">
        <v>2957</v>
      </c>
    </row>
    <row r="2653" spans="1:6" ht="60" x14ac:dyDescent="0.25">
      <c r="A2653" s="8" t="s">
        <v>125</v>
      </c>
      <c r="B2653" s="8" t="s">
        <v>157</v>
      </c>
      <c r="C2653" s="8" t="str">
        <f>IFERROR(_xlfn.XLOOKUP(TRIM(B2653),Lookup!$B$2:$B$1000,Lookup!$C$2:$C$1000),"")</f>
        <v>Equity</v>
      </c>
      <c r="D2653" s="8" t="str">
        <f>IFERROR(INDEX('nav master'!$C:$C, MATCH(B2653, 'nav master'!$B:$B, 0)), "")</f>
        <v>ULIF07828/02/25Alpha300Fd101</v>
      </c>
      <c r="E2653" s="8" t="s">
        <v>227</v>
      </c>
      <c r="F2653" s="8" t="s">
        <v>2958</v>
      </c>
    </row>
    <row r="2654" spans="1:6" ht="60" x14ac:dyDescent="0.25">
      <c r="A2654" s="8" t="s">
        <v>125</v>
      </c>
      <c r="B2654" s="8" t="s">
        <v>157</v>
      </c>
      <c r="C2654" s="8" t="str">
        <f>IFERROR(_xlfn.XLOOKUP(TRIM(B2654),Lookup!$B$2:$B$1000,Lookup!$C$2:$C$1000),"")</f>
        <v>Equity</v>
      </c>
      <c r="D2654" s="8" t="str">
        <f>IFERROR(INDEX('nav master'!$C:$C, MATCH(B2654, 'nav master'!$B:$B, 0)), "")</f>
        <v>ULIF07828/02/25Alpha300Fd101</v>
      </c>
      <c r="E2654" s="8" t="s">
        <v>229</v>
      </c>
      <c r="F2654" s="8" t="s">
        <v>2959</v>
      </c>
    </row>
    <row r="2655" spans="1:6" ht="60" x14ac:dyDescent="0.25">
      <c r="A2655" s="8" t="s">
        <v>125</v>
      </c>
      <c r="B2655" s="8" t="s">
        <v>157</v>
      </c>
      <c r="C2655" s="8" t="str">
        <f>IFERROR(_xlfn.XLOOKUP(TRIM(B2655),Lookup!$B$2:$B$1000,Lookup!$C$2:$C$1000),"")</f>
        <v>Equity</v>
      </c>
      <c r="D2655" s="8" t="str">
        <f>IFERROR(INDEX('nav master'!$C:$C, MATCH(B2655, 'nav master'!$B:$B, 0)), "")</f>
        <v>ULIF07828/02/25Alpha300Fd101</v>
      </c>
      <c r="E2655" s="8" t="s">
        <v>231</v>
      </c>
      <c r="F2655" s="8" t="s">
        <v>2960</v>
      </c>
    </row>
    <row r="2656" spans="1:6" ht="60" x14ac:dyDescent="0.25">
      <c r="A2656" s="8" t="s">
        <v>125</v>
      </c>
      <c r="B2656" s="8" t="s">
        <v>157</v>
      </c>
      <c r="C2656" s="8" t="str">
        <f>IFERROR(_xlfn.XLOOKUP(TRIM(B2656),Lookup!$B$2:$B$1000,Lookup!$C$2:$C$1000),"")</f>
        <v>Equity</v>
      </c>
      <c r="D2656" s="8" t="str">
        <f>IFERROR(INDEX('nav master'!$C:$C, MATCH(B2656, 'nav master'!$B:$B, 0)), "")</f>
        <v>ULIF07828/02/25Alpha300Fd101</v>
      </c>
      <c r="E2656" s="8" t="s">
        <v>233</v>
      </c>
      <c r="F2656" s="8" t="s">
        <v>2961</v>
      </c>
    </row>
    <row r="2657" spans="1:6" ht="60" x14ac:dyDescent="0.25">
      <c r="A2657" s="8" t="s">
        <v>125</v>
      </c>
      <c r="B2657" s="8" t="s">
        <v>157</v>
      </c>
      <c r="C2657" s="8" t="str">
        <f>IFERROR(_xlfn.XLOOKUP(TRIM(B2657),Lookup!$B$2:$B$1000,Lookup!$C$2:$C$1000),"")</f>
        <v>Equity</v>
      </c>
      <c r="D2657" s="8" t="str">
        <f>IFERROR(INDEX('nav master'!$C:$C, MATCH(B2657, 'nav master'!$B:$B, 0)), "")</f>
        <v>ULIF07828/02/25Alpha300Fd101</v>
      </c>
      <c r="E2657" s="8" t="s">
        <v>235</v>
      </c>
      <c r="F2657" s="8" t="s">
        <v>2962</v>
      </c>
    </row>
    <row r="2658" spans="1:6" ht="60" x14ac:dyDescent="0.25">
      <c r="A2658" s="8" t="s">
        <v>125</v>
      </c>
      <c r="B2658" s="8" t="s">
        <v>157</v>
      </c>
      <c r="C2658" s="8" t="str">
        <f>IFERROR(_xlfn.XLOOKUP(TRIM(B2658),Lookup!$B$2:$B$1000,Lookup!$C$2:$C$1000),"")</f>
        <v>Equity</v>
      </c>
      <c r="D2658" s="8" t="str">
        <f>IFERROR(INDEX('nav master'!$C:$C, MATCH(B2658, 'nav master'!$B:$B, 0)), "")</f>
        <v>ULIF07828/02/25Alpha300Fd101</v>
      </c>
      <c r="E2658" s="8" t="s">
        <v>237</v>
      </c>
      <c r="F2658" s="8" t="s">
        <v>2963</v>
      </c>
    </row>
    <row r="2659" spans="1:6" ht="60" x14ac:dyDescent="0.25">
      <c r="A2659" s="8" t="s">
        <v>125</v>
      </c>
      <c r="B2659" s="8" t="s">
        <v>157</v>
      </c>
      <c r="C2659" s="8" t="str">
        <f>IFERROR(_xlfn.XLOOKUP(TRIM(B2659),Lookup!$B$2:$B$1000,Lookup!$C$2:$C$1000),"")</f>
        <v>Equity</v>
      </c>
      <c r="D2659" s="8" t="str">
        <f>IFERROR(INDEX('nav master'!$C:$C, MATCH(B2659, 'nav master'!$B:$B, 0)), "")</f>
        <v>ULIF07828/02/25Alpha300Fd101</v>
      </c>
      <c r="E2659" s="8" t="s">
        <v>239</v>
      </c>
      <c r="F2659" s="8" t="s">
        <v>2964</v>
      </c>
    </row>
    <row r="2660" spans="1:6" ht="60" x14ac:dyDescent="0.25">
      <c r="A2660" s="8" t="s">
        <v>125</v>
      </c>
      <c r="B2660" s="8" t="s">
        <v>157</v>
      </c>
      <c r="C2660" s="8" t="str">
        <f>IFERROR(_xlfn.XLOOKUP(TRIM(B2660),Lookup!$B$2:$B$1000,Lookup!$C$2:$C$1000),"")</f>
        <v>Equity</v>
      </c>
      <c r="D2660" s="8" t="str">
        <f>IFERROR(INDEX('nav master'!$C:$C, MATCH(B2660, 'nav master'!$B:$B, 0)), "")</f>
        <v>ULIF07828/02/25Alpha300Fd101</v>
      </c>
      <c r="E2660" s="8" t="s">
        <v>241</v>
      </c>
      <c r="F2660" s="8" t="s">
        <v>2965</v>
      </c>
    </row>
    <row r="2661" spans="1:6" ht="60" x14ac:dyDescent="0.25">
      <c r="A2661" s="8" t="s">
        <v>125</v>
      </c>
      <c r="B2661" s="8" t="s">
        <v>157</v>
      </c>
      <c r="C2661" s="8" t="str">
        <f>IFERROR(_xlfn.XLOOKUP(TRIM(B2661),Lookup!$B$2:$B$1000,Lookup!$C$2:$C$1000),"")</f>
        <v>Equity</v>
      </c>
      <c r="D2661" s="8" t="str">
        <f>IFERROR(INDEX('nav master'!$C:$C, MATCH(B2661, 'nav master'!$B:$B, 0)), "")</f>
        <v>ULIF07828/02/25Alpha300Fd101</v>
      </c>
      <c r="E2661" s="8" t="s">
        <v>243</v>
      </c>
      <c r="F2661" s="8" t="s">
        <v>2966</v>
      </c>
    </row>
    <row r="2662" spans="1:6" ht="60" x14ac:dyDescent="0.25">
      <c r="A2662" s="8" t="s">
        <v>125</v>
      </c>
      <c r="B2662" s="8" t="s">
        <v>157</v>
      </c>
      <c r="C2662" s="8" t="str">
        <f>IFERROR(_xlfn.XLOOKUP(TRIM(B2662),Lookup!$B$2:$B$1000,Lookup!$C$2:$C$1000),"")</f>
        <v>Equity</v>
      </c>
      <c r="D2662" s="8" t="str">
        <f>IFERROR(INDEX('nav master'!$C:$C, MATCH(B2662, 'nav master'!$B:$B, 0)), "")</f>
        <v>ULIF07828/02/25Alpha300Fd101</v>
      </c>
      <c r="E2662" s="8" t="s">
        <v>245</v>
      </c>
      <c r="F2662" s="8" t="s">
        <v>2967</v>
      </c>
    </row>
    <row r="2663" spans="1:6" ht="60" x14ac:dyDescent="0.25">
      <c r="A2663" s="8" t="s">
        <v>125</v>
      </c>
      <c r="B2663" s="8" t="s">
        <v>157</v>
      </c>
      <c r="C2663" s="8" t="str">
        <f>IFERROR(_xlfn.XLOOKUP(TRIM(B2663),Lookup!$B$2:$B$1000,Lookup!$C$2:$C$1000),"")</f>
        <v>Equity</v>
      </c>
      <c r="D2663" s="8" t="str">
        <f>IFERROR(INDEX('nav master'!$C:$C, MATCH(B2663, 'nav master'!$B:$B, 0)), "")</f>
        <v>ULIF07828/02/25Alpha300Fd101</v>
      </c>
      <c r="E2663" s="8" t="s">
        <v>247</v>
      </c>
      <c r="F2663" s="8" t="s">
        <v>2968</v>
      </c>
    </row>
    <row r="2664" spans="1:6" ht="60" x14ac:dyDescent="0.25">
      <c r="A2664" s="8" t="s">
        <v>125</v>
      </c>
      <c r="B2664" s="8" t="s">
        <v>157</v>
      </c>
      <c r="C2664" s="8" t="str">
        <f>IFERROR(_xlfn.XLOOKUP(TRIM(B2664),Lookup!$B$2:$B$1000,Lookup!$C$2:$C$1000),"")</f>
        <v>Equity</v>
      </c>
      <c r="D2664" s="8" t="str">
        <f>IFERROR(INDEX('nav master'!$C:$C, MATCH(B2664, 'nav master'!$B:$B, 0)), "")</f>
        <v>ULIF07828/02/25Alpha300Fd101</v>
      </c>
      <c r="E2664" s="8" t="s">
        <v>249</v>
      </c>
      <c r="F2664" s="8" t="s">
        <v>2969</v>
      </c>
    </row>
    <row r="2665" spans="1:6" ht="60" x14ac:dyDescent="0.25">
      <c r="A2665" s="8" t="s">
        <v>125</v>
      </c>
      <c r="B2665" s="8" t="s">
        <v>157</v>
      </c>
      <c r="C2665" s="8" t="str">
        <f>IFERROR(_xlfn.XLOOKUP(TRIM(B2665),Lookup!$B$2:$B$1000,Lookup!$C$2:$C$1000),"")</f>
        <v>Equity</v>
      </c>
      <c r="D2665" s="8" t="str">
        <f>IFERROR(INDEX('nav master'!$C:$C, MATCH(B2665, 'nav master'!$B:$B, 0)), "")</f>
        <v>ULIF07828/02/25Alpha300Fd101</v>
      </c>
      <c r="E2665" s="8" t="s">
        <v>251</v>
      </c>
      <c r="F2665" s="8" t="s">
        <v>2970</v>
      </c>
    </row>
    <row r="2666" spans="1:6" ht="60" x14ac:dyDescent="0.25">
      <c r="A2666" s="8" t="s">
        <v>125</v>
      </c>
      <c r="B2666" s="8" t="s">
        <v>157</v>
      </c>
      <c r="C2666" s="8" t="str">
        <f>IFERROR(_xlfn.XLOOKUP(TRIM(B2666),Lookup!$B$2:$B$1000,Lookup!$C$2:$C$1000),"")</f>
        <v>Equity</v>
      </c>
      <c r="D2666" s="8" t="str">
        <f>IFERROR(INDEX('nav master'!$C:$C, MATCH(B2666, 'nav master'!$B:$B, 0)), "")</f>
        <v>ULIF07828/02/25Alpha300Fd101</v>
      </c>
      <c r="E2666" s="8" t="s">
        <v>253</v>
      </c>
      <c r="F2666" s="8" t="s">
        <v>2971</v>
      </c>
    </row>
    <row r="2667" spans="1:6" ht="60" x14ac:dyDescent="0.25">
      <c r="A2667" s="8" t="s">
        <v>125</v>
      </c>
      <c r="B2667" s="8" t="s">
        <v>157</v>
      </c>
      <c r="C2667" s="8" t="str">
        <f>IFERROR(_xlfn.XLOOKUP(TRIM(B2667),Lookup!$B$2:$B$1000,Lookup!$C$2:$C$1000),"")</f>
        <v>Equity</v>
      </c>
      <c r="D2667" s="8" t="str">
        <f>IFERROR(INDEX('nav master'!$C:$C, MATCH(B2667, 'nav master'!$B:$B, 0)), "")</f>
        <v>ULIF07828/02/25Alpha300Fd101</v>
      </c>
      <c r="E2667" s="8" t="s">
        <v>255</v>
      </c>
      <c r="F2667" s="8" t="s">
        <v>2972</v>
      </c>
    </row>
    <row r="2668" spans="1:6" ht="60" x14ac:dyDescent="0.25">
      <c r="A2668" s="8" t="s">
        <v>125</v>
      </c>
      <c r="B2668" s="8" t="s">
        <v>157</v>
      </c>
      <c r="C2668" s="8" t="str">
        <f>IFERROR(_xlfn.XLOOKUP(TRIM(B2668),Lookup!$B$2:$B$1000,Lookup!$C$2:$C$1000),"")</f>
        <v>Equity</v>
      </c>
      <c r="D2668" s="8" t="str">
        <f>IFERROR(INDEX('nav master'!$C:$C, MATCH(B2668, 'nav master'!$B:$B, 0)), "")</f>
        <v>ULIF07828/02/25Alpha300Fd101</v>
      </c>
      <c r="E2668" s="8" t="s">
        <v>257</v>
      </c>
      <c r="F2668" s="8" t="s">
        <v>2973</v>
      </c>
    </row>
    <row r="2669" spans="1:6" ht="60" x14ac:dyDescent="0.25">
      <c r="A2669" s="8" t="s">
        <v>125</v>
      </c>
      <c r="B2669" s="8" t="s">
        <v>157</v>
      </c>
      <c r="C2669" s="8" t="str">
        <f>IFERROR(_xlfn.XLOOKUP(TRIM(B2669),Lookup!$B$2:$B$1000,Lookup!$C$2:$C$1000),"")</f>
        <v>Equity</v>
      </c>
      <c r="D2669" s="8" t="str">
        <f>IFERROR(INDEX('nav master'!$C:$C, MATCH(B2669, 'nav master'!$B:$B, 0)), "")</f>
        <v>ULIF07828/02/25Alpha300Fd101</v>
      </c>
      <c r="E2669" s="8" t="s">
        <v>259</v>
      </c>
      <c r="F2669" s="8" t="s">
        <v>2974</v>
      </c>
    </row>
    <row r="2670" spans="1:6" ht="60" x14ac:dyDescent="0.25">
      <c r="A2670" s="8" t="s">
        <v>125</v>
      </c>
      <c r="B2670" s="8" t="s">
        <v>157</v>
      </c>
      <c r="C2670" s="8" t="str">
        <f>IFERROR(_xlfn.XLOOKUP(TRIM(B2670),Lookup!$B$2:$B$1000,Lookup!$C$2:$C$1000),"")</f>
        <v>Equity</v>
      </c>
      <c r="D2670" s="8" t="str">
        <f>IFERROR(INDEX('nav master'!$C:$C, MATCH(B2670, 'nav master'!$B:$B, 0)), "")</f>
        <v>ULIF07828/02/25Alpha300Fd101</v>
      </c>
      <c r="E2670" s="8" t="s">
        <v>261</v>
      </c>
      <c r="F2670" s="8" t="s">
        <v>2975</v>
      </c>
    </row>
    <row r="2671" spans="1:6" ht="60" x14ac:dyDescent="0.25">
      <c r="A2671" s="8" t="s">
        <v>125</v>
      </c>
      <c r="B2671" s="8" t="s">
        <v>157</v>
      </c>
      <c r="C2671" s="8" t="str">
        <f>IFERROR(_xlfn.XLOOKUP(TRIM(B2671),Lookup!$B$2:$B$1000,Lookup!$C$2:$C$1000),"")</f>
        <v>Equity</v>
      </c>
      <c r="D2671" s="8" t="str">
        <f>IFERROR(INDEX('nav master'!$C:$C, MATCH(B2671, 'nav master'!$B:$B, 0)), "")</f>
        <v>ULIF07828/02/25Alpha300Fd101</v>
      </c>
      <c r="E2671" s="8" t="s">
        <v>263</v>
      </c>
      <c r="F2671" s="8" t="s">
        <v>2976</v>
      </c>
    </row>
    <row r="2672" spans="1:6" ht="60" x14ac:dyDescent="0.25">
      <c r="A2672" s="8" t="s">
        <v>125</v>
      </c>
      <c r="B2672" s="8" t="s">
        <v>157</v>
      </c>
      <c r="C2672" s="8" t="str">
        <f>IFERROR(_xlfn.XLOOKUP(TRIM(B2672),Lookup!$B$2:$B$1000,Lookup!$C$2:$C$1000),"")</f>
        <v>Equity</v>
      </c>
      <c r="D2672" s="8" t="str">
        <f>IFERROR(INDEX('nav master'!$C:$C, MATCH(B2672, 'nav master'!$B:$B, 0)), "")</f>
        <v>ULIF07828/02/25Alpha300Fd101</v>
      </c>
      <c r="E2672" s="8" t="s">
        <v>265</v>
      </c>
      <c r="F2672" s="8" t="s">
        <v>2977</v>
      </c>
    </row>
    <row r="2673" spans="1:6" ht="60" x14ac:dyDescent="0.25">
      <c r="A2673" s="8" t="s">
        <v>125</v>
      </c>
      <c r="B2673" s="8" t="s">
        <v>157</v>
      </c>
      <c r="C2673" s="8" t="str">
        <f>IFERROR(_xlfn.XLOOKUP(TRIM(B2673),Lookup!$B$2:$B$1000,Lookup!$C$2:$C$1000),"")</f>
        <v>Equity</v>
      </c>
      <c r="D2673" s="8" t="str">
        <f>IFERROR(INDEX('nav master'!$C:$C, MATCH(B2673, 'nav master'!$B:$B, 0)), "")</f>
        <v>ULIF07828/02/25Alpha300Fd101</v>
      </c>
      <c r="E2673" s="8" t="s">
        <v>267</v>
      </c>
      <c r="F2673" s="8" t="s">
        <v>2978</v>
      </c>
    </row>
    <row r="2674" spans="1:6" ht="60" x14ac:dyDescent="0.25">
      <c r="A2674" s="8" t="s">
        <v>125</v>
      </c>
      <c r="B2674" s="8" t="s">
        <v>157</v>
      </c>
      <c r="C2674" s="8" t="str">
        <f>IFERROR(_xlfn.XLOOKUP(TRIM(B2674),Lookup!$B$2:$B$1000,Lookup!$C$2:$C$1000),"")</f>
        <v>Equity</v>
      </c>
      <c r="D2674" s="8" t="str">
        <f>IFERROR(INDEX('nav master'!$C:$C, MATCH(B2674, 'nav master'!$B:$B, 0)), "")</f>
        <v>ULIF07828/02/25Alpha300Fd101</v>
      </c>
      <c r="E2674" s="8" t="s">
        <v>269</v>
      </c>
      <c r="F2674" s="8" t="s">
        <v>2979</v>
      </c>
    </row>
    <row r="2675" spans="1:6" ht="60" x14ac:dyDescent="0.25">
      <c r="A2675" s="8" t="s">
        <v>125</v>
      </c>
      <c r="B2675" s="8" t="s">
        <v>157</v>
      </c>
      <c r="C2675" s="8" t="str">
        <f>IFERROR(_xlfn.XLOOKUP(TRIM(B2675),Lookup!$B$2:$B$1000,Lookup!$C$2:$C$1000),"")</f>
        <v>Equity</v>
      </c>
      <c r="D2675" s="8" t="str">
        <f>IFERROR(INDEX('nav master'!$C:$C, MATCH(B2675, 'nav master'!$B:$B, 0)), "")</f>
        <v>ULIF07828/02/25Alpha300Fd101</v>
      </c>
      <c r="E2675" s="8" t="s">
        <v>271</v>
      </c>
      <c r="F2675" s="8" t="s">
        <v>2980</v>
      </c>
    </row>
    <row r="2676" spans="1:6" ht="60" x14ac:dyDescent="0.25">
      <c r="A2676" s="8" t="s">
        <v>125</v>
      </c>
      <c r="B2676" s="8" t="s">
        <v>157</v>
      </c>
      <c r="C2676" s="8" t="str">
        <f>IFERROR(_xlfn.XLOOKUP(TRIM(B2676),Lookup!$B$2:$B$1000,Lookup!$C$2:$C$1000),"")</f>
        <v>Equity</v>
      </c>
      <c r="D2676" s="8" t="str">
        <f>IFERROR(INDEX('nav master'!$C:$C, MATCH(B2676, 'nav master'!$B:$B, 0)), "")</f>
        <v>ULIF07828/02/25Alpha300Fd101</v>
      </c>
      <c r="E2676" s="8" t="s">
        <v>273</v>
      </c>
      <c r="F2676" s="8" t="s">
        <v>2981</v>
      </c>
    </row>
    <row r="2677" spans="1:6" ht="60" x14ac:dyDescent="0.25">
      <c r="A2677" s="8" t="s">
        <v>125</v>
      </c>
      <c r="B2677" s="8" t="s">
        <v>157</v>
      </c>
      <c r="C2677" s="8" t="str">
        <f>IFERROR(_xlfn.XLOOKUP(TRIM(B2677),Lookup!$B$2:$B$1000,Lookup!$C$2:$C$1000),"")</f>
        <v>Equity</v>
      </c>
      <c r="D2677" s="8" t="str">
        <f>IFERROR(INDEX('nav master'!$C:$C, MATCH(B2677, 'nav master'!$B:$B, 0)), "")</f>
        <v>ULIF07828/02/25Alpha300Fd101</v>
      </c>
      <c r="E2677" s="8" t="s">
        <v>275</v>
      </c>
      <c r="F2677" s="8" t="s">
        <v>2982</v>
      </c>
    </row>
    <row r="2678" spans="1:6" ht="60" x14ac:dyDescent="0.25">
      <c r="A2678" s="8" t="s">
        <v>125</v>
      </c>
      <c r="B2678" s="8" t="s">
        <v>157</v>
      </c>
      <c r="C2678" s="8" t="str">
        <f>IFERROR(_xlfn.XLOOKUP(TRIM(B2678),Lookup!$B$2:$B$1000,Lookup!$C$2:$C$1000),"")</f>
        <v>Equity</v>
      </c>
      <c r="D2678" s="8" t="str">
        <f>IFERROR(INDEX('nav master'!$C:$C, MATCH(B2678, 'nav master'!$B:$B, 0)), "")</f>
        <v>ULIF07828/02/25Alpha300Fd101</v>
      </c>
      <c r="E2678" s="8" t="s">
        <v>277</v>
      </c>
      <c r="F2678" s="8" t="s">
        <v>2983</v>
      </c>
    </row>
    <row r="2679" spans="1:6" ht="60" x14ac:dyDescent="0.25">
      <c r="A2679" s="8" t="s">
        <v>125</v>
      </c>
      <c r="B2679" s="8" t="s">
        <v>157</v>
      </c>
      <c r="C2679" s="8" t="str">
        <f>IFERROR(_xlfn.XLOOKUP(TRIM(B2679),Lookup!$B$2:$B$1000,Lookup!$C$2:$C$1000),"")</f>
        <v>Equity</v>
      </c>
      <c r="D2679" s="8" t="str">
        <f>IFERROR(INDEX('nav master'!$C:$C, MATCH(B2679, 'nav master'!$B:$B, 0)), "")</f>
        <v>ULIF07828/02/25Alpha300Fd101</v>
      </c>
      <c r="E2679" s="8" t="s">
        <v>279</v>
      </c>
      <c r="F2679" s="8" t="s">
        <v>2984</v>
      </c>
    </row>
    <row r="2680" spans="1:6" ht="60" x14ac:dyDescent="0.25">
      <c r="A2680" s="8" t="s">
        <v>125</v>
      </c>
      <c r="B2680" s="8" t="s">
        <v>157</v>
      </c>
      <c r="C2680" s="8" t="str">
        <f>IFERROR(_xlfn.XLOOKUP(TRIM(B2680),Lookup!$B$2:$B$1000,Lookup!$C$2:$C$1000),"")</f>
        <v>Equity</v>
      </c>
      <c r="D2680" s="8" t="str">
        <f>IFERROR(INDEX('nav master'!$C:$C, MATCH(B2680, 'nav master'!$B:$B, 0)), "")</f>
        <v>ULIF07828/02/25Alpha300Fd101</v>
      </c>
      <c r="E2680" s="8" t="s">
        <v>281</v>
      </c>
      <c r="F2680" s="8" t="s">
        <v>2985</v>
      </c>
    </row>
    <row r="2681" spans="1:6" ht="60" x14ac:dyDescent="0.25">
      <c r="A2681" s="8" t="s">
        <v>125</v>
      </c>
      <c r="B2681" s="8" t="s">
        <v>157</v>
      </c>
      <c r="C2681" s="8" t="str">
        <f>IFERROR(_xlfn.XLOOKUP(TRIM(B2681),Lookup!$B$2:$B$1000,Lookup!$C$2:$C$1000),"")</f>
        <v>Equity</v>
      </c>
      <c r="D2681" s="8" t="str">
        <f>IFERROR(INDEX('nav master'!$C:$C, MATCH(B2681, 'nav master'!$B:$B, 0)), "")</f>
        <v>ULIF07828/02/25Alpha300Fd101</v>
      </c>
      <c r="E2681" s="8" t="s">
        <v>283</v>
      </c>
      <c r="F2681" s="8" t="s">
        <v>2986</v>
      </c>
    </row>
    <row r="2682" spans="1:6" ht="60" x14ac:dyDescent="0.25">
      <c r="A2682" s="8" t="s">
        <v>125</v>
      </c>
      <c r="B2682" s="8" t="s">
        <v>157</v>
      </c>
      <c r="C2682" s="8" t="str">
        <f>IFERROR(_xlfn.XLOOKUP(TRIM(B2682),Lookup!$B$2:$B$1000,Lookup!$C$2:$C$1000),"")</f>
        <v>Equity</v>
      </c>
      <c r="D2682" s="8" t="str">
        <f>IFERROR(INDEX('nav master'!$C:$C, MATCH(B2682, 'nav master'!$B:$B, 0)), "")</f>
        <v>ULIF07828/02/25Alpha300Fd101</v>
      </c>
      <c r="E2682" s="8" t="s">
        <v>285</v>
      </c>
      <c r="F2682" s="8" t="s">
        <v>2987</v>
      </c>
    </row>
    <row r="2683" spans="1:6" ht="60" x14ac:dyDescent="0.25">
      <c r="A2683" s="8" t="s">
        <v>125</v>
      </c>
      <c r="B2683" s="8" t="s">
        <v>157</v>
      </c>
      <c r="C2683" s="8" t="str">
        <f>IFERROR(_xlfn.XLOOKUP(TRIM(B2683),Lookup!$B$2:$B$1000,Lookup!$C$2:$C$1000),"")</f>
        <v>Equity</v>
      </c>
      <c r="D2683" s="8" t="str">
        <f>IFERROR(INDEX('nav master'!$C:$C, MATCH(B2683, 'nav master'!$B:$B, 0)), "")</f>
        <v>ULIF07828/02/25Alpha300Fd101</v>
      </c>
      <c r="E2683" s="8" t="s">
        <v>287</v>
      </c>
      <c r="F2683" s="8" t="s">
        <v>2988</v>
      </c>
    </row>
    <row r="2684" spans="1:6" ht="60" x14ac:dyDescent="0.25">
      <c r="A2684" s="8" t="s">
        <v>125</v>
      </c>
      <c r="B2684" s="8" t="s">
        <v>157</v>
      </c>
      <c r="C2684" s="8" t="str">
        <f>IFERROR(_xlfn.XLOOKUP(TRIM(B2684),Lookup!$B$2:$B$1000,Lookup!$C$2:$C$1000),"")</f>
        <v>Equity</v>
      </c>
      <c r="D2684" s="8" t="str">
        <f>IFERROR(INDEX('nav master'!$C:$C, MATCH(B2684, 'nav master'!$B:$B, 0)), "")</f>
        <v>ULIF07828/02/25Alpha300Fd101</v>
      </c>
      <c r="E2684" s="8" t="s">
        <v>289</v>
      </c>
      <c r="F2684" s="8" t="s">
        <v>2989</v>
      </c>
    </row>
    <row r="2685" spans="1:6" ht="60" x14ac:dyDescent="0.25">
      <c r="A2685" s="8" t="s">
        <v>125</v>
      </c>
      <c r="B2685" s="8" t="s">
        <v>157</v>
      </c>
      <c r="C2685" s="8" t="str">
        <f>IFERROR(_xlfn.XLOOKUP(TRIM(B2685),Lookup!$B$2:$B$1000,Lookup!$C$2:$C$1000),"")</f>
        <v>Equity</v>
      </c>
      <c r="D2685" s="8" t="str">
        <f>IFERROR(INDEX('nav master'!$C:$C, MATCH(B2685, 'nav master'!$B:$B, 0)), "")</f>
        <v>ULIF07828/02/25Alpha300Fd101</v>
      </c>
      <c r="E2685" s="8" t="s">
        <v>291</v>
      </c>
      <c r="F2685" s="8" t="s">
        <v>2990</v>
      </c>
    </row>
    <row r="2686" spans="1:6" ht="60" x14ac:dyDescent="0.25">
      <c r="A2686" s="8" t="s">
        <v>125</v>
      </c>
      <c r="B2686" s="8" t="s">
        <v>157</v>
      </c>
      <c r="C2686" s="8" t="str">
        <f>IFERROR(_xlfn.XLOOKUP(TRIM(B2686),Lookup!$B$2:$B$1000,Lookup!$C$2:$C$1000),"")</f>
        <v>Equity</v>
      </c>
      <c r="D2686" s="8" t="str">
        <f>IFERROR(INDEX('nav master'!$C:$C, MATCH(B2686, 'nav master'!$B:$B, 0)), "")</f>
        <v>ULIF07828/02/25Alpha300Fd101</v>
      </c>
      <c r="E2686" s="8" t="s">
        <v>293</v>
      </c>
      <c r="F2686" s="8" t="s">
        <v>2991</v>
      </c>
    </row>
    <row r="2687" spans="1:6" ht="60" x14ac:dyDescent="0.25">
      <c r="A2687" s="8" t="s">
        <v>125</v>
      </c>
      <c r="B2687" s="8" t="s">
        <v>157</v>
      </c>
      <c r="C2687" s="8" t="str">
        <f>IFERROR(_xlfn.XLOOKUP(TRIM(B2687),Lookup!$B$2:$B$1000,Lookup!$C$2:$C$1000),"")</f>
        <v>Equity</v>
      </c>
      <c r="D2687" s="8" t="str">
        <f>IFERROR(INDEX('nav master'!$C:$C, MATCH(B2687, 'nav master'!$B:$B, 0)), "")</f>
        <v>ULIF07828/02/25Alpha300Fd101</v>
      </c>
      <c r="E2687" s="8" t="s">
        <v>295</v>
      </c>
      <c r="F2687" s="8" t="s">
        <v>2992</v>
      </c>
    </row>
    <row r="2688" spans="1:6" ht="60" x14ac:dyDescent="0.25">
      <c r="A2688" s="8" t="s">
        <v>125</v>
      </c>
      <c r="B2688" s="8" t="s">
        <v>157</v>
      </c>
      <c r="C2688" s="8" t="str">
        <f>IFERROR(_xlfn.XLOOKUP(TRIM(B2688),Lookup!$B$2:$B$1000,Lookup!$C$2:$C$1000),"")</f>
        <v>Equity</v>
      </c>
      <c r="D2688" s="8" t="str">
        <f>IFERROR(INDEX('nav master'!$C:$C, MATCH(B2688, 'nav master'!$B:$B, 0)), "")</f>
        <v>ULIF07828/02/25Alpha300Fd101</v>
      </c>
      <c r="E2688" s="8" t="s">
        <v>297</v>
      </c>
      <c r="F2688" s="8" t="s">
        <v>2993</v>
      </c>
    </row>
    <row r="2689" spans="1:6" ht="60" x14ac:dyDescent="0.25">
      <c r="A2689" s="8" t="s">
        <v>125</v>
      </c>
      <c r="B2689" s="8" t="s">
        <v>157</v>
      </c>
      <c r="C2689" s="8" t="str">
        <f>IFERROR(_xlfn.XLOOKUP(TRIM(B2689),Lookup!$B$2:$B$1000,Lookup!$C$2:$C$1000),"")</f>
        <v>Equity</v>
      </c>
      <c r="D2689" s="8" t="str">
        <f>IFERROR(INDEX('nav master'!$C:$C, MATCH(B2689, 'nav master'!$B:$B, 0)), "")</f>
        <v>ULIF07828/02/25Alpha300Fd101</v>
      </c>
      <c r="E2689" s="8" t="s">
        <v>299</v>
      </c>
      <c r="F2689" s="8" t="s">
        <v>2994</v>
      </c>
    </row>
    <row r="2690" spans="1:6" ht="60" x14ac:dyDescent="0.25">
      <c r="A2690" s="8" t="s">
        <v>125</v>
      </c>
      <c r="B2690" s="8" t="s">
        <v>157</v>
      </c>
      <c r="C2690" s="8" t="str">
        <f>IFERROR(_xlfn.XLOOKUP(TRIM(B2690),Lookup!$B$2:$B$1000,Lookup!$C$2:$C$1000),"")</f>
        <v>Equity</v>
      </c>
      <c r="D2690" s="8" t="str">
        <f>IFERROR(INDEX('nav master'!$C:$C, MATCH(B2690, 'nav master'!$B:$B, 0)), "")</f>
        <v>ULIF07828/02/25Alpha300Fd101</v>
      </c>
      <c r="E2690" s="8" t="s">
        <v>301</v>
      </c>
      <c r="F2690" s="8" t="s">
        <v>2995</v>
      </c>
    </row>
    <row r="2691" spans="1:6" ht="60" x14ac:dyDescent="0.25">
      <c r="A2691" s="8" t="s">
        <v>125</v>
      </c>
      <c r="B2691" s="8" t="s">
        <v>157</v>
      </c>
      <c r="C2691" s="8" t="str">
        <f>IFERROR(_xlfn.XLOOKUP(TRIM(B2691),Lookup!$B$2:$B$1000,Lookup!$C$2:$C$1000),"")</f>
        <v>Equity</v>
      </c>
      <c r="D2691" s="8" t="str">
        <f>IFERROR(INDEX('nav master'!$C:$C, MATCH(B2691, 'nav master'!$B:$B, 0)), "")</f>
        <v>ULIF07828/02/25Alpha300Fd101</v>
      </c>
      <c r="E2691" s="8" t="s">
        <v>303</v>
      </c>
      <c r="F2691" s="8" t="s">
        <v>2996</v>
      </c>
    </row>
    <row r="2692" spans="1:6" ht="60" x14ac:dyDescent="0.25">
      <c r="A2692" s="8" t="s">
        <v>125</v>
      </c>
      <c r="B2692" s="8" t="s">
        <v>157</v>
      </c>
      <c r="C2692" s="8" t="str">
        <f>IFERROR(_xlfn.XLOOKUP(TRIM(B2692),Lookup!$B$2:$B$1000,Lookup!$C$2:$C$1000),"")</f>
        <v>Equity</v>
      </c>
      <c r="D2692" s="8" t="str">
        <f>IFERROR(INDEX('nav master'!$C:$C, MATCH(B2692, 'nav master'!$B:$B, 0)), "")</f>
        <v>ULIF07828/02/25Alpha300Fd101</v>
      </c>
      <c r="E2692" s="8" t="s">
        <v>305</v>
      </c>
      <c r="F2692" s="8" t="s">
        <v>2997</v>
      </c>
    </row>
    <row r="2693" spans="1:6" ht="60" x14ac:dyDescent="0.25">
      <c r="A2693" s="8" t="s">
        <v>125</v>
      </c>
      <c r="B2693" s="8" t="s">
        <v>157</v>
      </c>
      <c r="C2693" s="8" t="str">
        <f>IFERROR(_xlfn.XLOOKUP(TRIM(B2693),Lookup!$B$2:$B$1000,Lookup!$C$2:$C$1000),"")</f>
        <v>Equity</v>
      </c>
      <c r="D2693" s="8" t="str">
        <f>IFERROR(INDEX('nav master'!$C:$C, MATCH(B2693, 'nav master'!$B:$B, 0)), "")</f>
        <v>ULIF07828/02/25Alpha300Fd101</v>
      </c>
      <c r="E2693" s="8" t="s">
        <v>307</v>
      </c>
      <c r="F2693" s="8" t="s">
        <v>2998</v>
      </c>
    </row>
    <row r="2694" spans="1:6" ht="60" x14ac:dyDescent="0.25">
      <c r="A2694" s="8" t="s">
        <v>125</v>
      </c>
      <c r="B2694" s="8" t="s">
        <v>157</v>
      </c>
      <c r="C2694" s="8" t="str">
        <f>IFERROR(_xlfn.XLOOKUP(TRIM(B2694),Lookup!$B$2:$B$1000,Lookup!$C$2:$C$1000),"")</f>
        <v>Equity</v>
      </c>
      <c r="D2694" s="8" t="str">
        <f>IFERROR(INDEX('nav master'!$C:$C, MATCH(B2694, 'nav master'!$B:$B, 0)), "")</f>
        <v>ULIF07828/02/25Alpha300Fd101</v>
      </c>
      <c r="E2694" s="8" t="s">
        <v>309</v>
      </c>
      <c r="F2694" s="8" t="s">
        <v>2999</v>
      </c>
    </row>
    <row r="2695" spans="1:6" ht="60" x14ac:dyDescent="0.25">
      <c r="A2695" s="8" t="s">
        <v>125</v>
      </c>
      <c r="B2695" s="8" t="s">
        <v>157</v>
      </c>
      <c r="C2695" s="8" t="str">
        <f>IFERROR(_xlfn.XLOOKUP(TRIM(B2695),Lookup!$B$2:$B$1000,Lookup!$C$2:$C$1000),"")</f>
        <v>Equity</v>
      </c>
      <c r="D2695" s="8" t="str">
        <f>IFERROR(INDEX('nav master'!$C:$C, MATCH(B2695, 'nav master'!$B:$B, 0)), "")</f>
        <v>ULIF07828/02/25Alpha300Fd101</v>
      </c>
      <c r="E2695" s="8" t="s">
        <v>311</v>
      </c>
      <c r="F2695" s="8" t="s">
        <v>3000</v>
      </c>
    </row>
    <row r="2696" spans="1:6" ht="60" x14ac:dyDescent="0.25">
      <c r="A2696" s="8" t="s">
        <v>125</v>
      </c>
      <c r="B2696" s="8" t="s">
        <v>157</v>
      </c>
      <c r="C2696" s="8" t="str">
        <f>IFERROR(_xlfn.XLOOKUP(TRIM(B2696),Lookup!$B$2:$B$1000,Lookup!$C$2:$C$1000),"")</f>
        <v>Equity</v>
      </c>
      <c r="D2696" s="8" t="str">
        <f>IFERROR(INDEX('nav master'!$C:$C, MATCH(B2696, 'nav master'!$B:$B, 0)), "")</f>
        <v>ULIF07828/02/25Alpha300Fd101</v>
      </c>
      <c r="E2696" s="8" t="s">
        <v>313</v>
      </c>
      <c r="F2696" s="8" t="s">
        <v>3001</v>
      </c>
    </row>
    <row r="2697" spans="1:6" ht="60" x14ac:dyDescent="0.25">
      <c r="A2697" s="8" t="s">
        <v>125</v>
      </c>
      <c r="B2697" s="8" t="s">
        <v>157</v>
      </c>
      <c r="C2697" s="8" t="str">
        <f>IFERROR(_xlfn.XLOOKUP(TRIM(B2697),Lookup!$B$2:$B$1000,Lookup!$C$2:$C$1000),"")</f>
        <v>Equity</v>
      </c>
      <c r="D2697" s="8" t="str">
        <f>IFERROR(INDEX('nav master'!$C:$C, MATCH(B2697, 'nav master'!$B:$B, 0)), "")</f>
        <v>ULIF07828/02/25Alpha300Fd101</v>
      </c>
      <c r="E2697" s="8" t="s">
        <v>315</v>
      </c>
      <c r="F2697" s="8" t="s">
        <v>3002</v>
      </c>
    </row>
    <row r="2698" spans="1:6" ht="60" x14ac:dyDescent="0.25">
      <c r="A2698" s="8" t="s">
        <v>125</v>
      </c>
      <c r="B2698" s="8" t="s">
        <v>157</v>
      </c>
      <c r="C2698" s="8" t="str">
        <f>IFERROR(_xlfn.XLOOKUP(TRIM(B2698),Lookup!$B$2:$B$1000,Lookup!$C$2:$C$1000),"")</f>
        <v>Equity</v>
      </c>
      <c r="D2698" s="8" t="str">
        <f>IFERROR(INDEX('nav master'!$C:$C, MATCH(B2698, 'nav master'!$B:$B, 0)), "")</f>
        <v>ULIF07828/02/25Alpha300Fd101</v>
      </c>
      <c r="E2698" s="8" t="s">
        <v>317</v>
      </c>
      <c r="F2698" s="8" t="s">
        <v>3003</v>
      </c>
    </row>
    <row r="2699" spans="1:6" ht="60" x14ac:dyDescent="0.25">
      <c r="A2699" s="8" t="s">
        <v>125</v>
      </c>
      <c r="B2699" s="8" t="s">
        <v>157</v>
      </c>
      <c r="C2699" s="8" t="str">
        <f>IFERROR(_xlfn.XLOOKUP(TRIM(B2699),Lookup!$B$2:$B$1000,Lookup!$C$2:$C$1000),"")</f>
        <v>Equity</v>
      </c>
      <c r="D2699" s="8" t="str">
        <f>IFERROR(INDEX('nav master'!$C:$C, MATCH(B2699, 'nav master'!$B:$B, 0)), "")</f>
        <v>ULIF07828/02/25Alpha300Fd101</v>
      </c>
      <c r="E2699" s="8" t="s">
        <v>319</v>
      </c>
      <c r="F2699" s="8" t="s">
        <v>3004</v>
      </c>
    </row>
    <row r="2700" spans="1:6" ht="60" x14ac:dyDescent="0.25">
      <c r="A2700" s="8" t="s">
        <v>125</v>
      </c>
      <c r="B2700" s="8" t="s">
        <v>157</v>
      </c>
      <c r="C2700" s="8" t="str">
        <f>IFERROR(_xlfn.XLOOKUP(TRIM(B2700),Lookup!$B$2:$B$1000,Lookup!$C$2:$C$1000),"")</f>
        <v>Equity</v>
      </c>
      <c r="D2700" s="8" t="str">
        <f>IFERROR(INDEX('nav master'!$C:$C, MATCH(B2700, 'nav master'!$B:$B, 0)), "")</f>
        <v>ULIF07828/02/25Alpha300Fd101</v>
      </c>
      <c r="E2700" s="8" t="s">
        <v>321</v>
      </c>
      <c r="F2700" s="8" t="s">
        <v>3005</v>
      </c>
    </row>
    <row r="2701" spans="1:6" ht="60" x14ac:dyDescent="0.25">
      <c r="A2701" s="8" t="s">
        <v>125</v>
      </c>
      <c r="B2701" s="8" t="s">
        <v>157</v>
      </c>
      <c r="C2701" s="8" t="str">
        <f>IFERROR(_xlfn.XLOOKUP(TRIM(B2701),Lookup!$B$2:$B$1000,Lookup!$C$2:$C$1000),"")</f>
        <v>Equity</v>
      </c>
      <c r="D2701" s="8" t="str">
        <f>IFERROR(INDEX('nav master'!$C:$C, MATCH(B2701, 'nav master'!$B:$B, 0)), "")</f>
        <v>ULIF07828/02/25Alpha300Fd101</v>
      </c>
      <c r="E2701" s="8" t="s">
        <v>323</v>
      </c>
      <c r="F2701" s="8" t="s">
        <v>3006</v>
      </c>
    </row>
    <row r="2702" spans="1:6" ht="60" x14ac:dyDescent="0.25">
      <c r="A2702" s="8" t="s">
        <v>125</v>
      </c>
      <c r="B2702" s="8" t="s">
        <v>157</v>
      </c>
      <c r="C2702" s="8" t="str">
        <f>IFERROR(_xlfn.XLOOKUP(TRIM(B2702),Lookup!$B$2:$B$1000,Lookup!$C$2:$C$1000),"")</f>
        <v>Equity</v>
      </c>
      <c r="D2702" s="8" t="str">
        <f>IFERROR(INDEX('nav master'!$C:$C, MATCH(B2702, 'nav master'!$B:$B, 0)), "")</f>
        <v>ULIF07828/02/25Alpha300Fd101</v>
      </c>
      <c r="E2702" s="8" t="s">
        <v>325</v>
      </c>
      <c r="F2702" s="8" t="s">
        <v>3007</v>
      </c>
    </row>
    <row r="2703" spans="1:6" ht="60" x14ac:dyDescent="0.25">
      <c r="A2703" s="8" t="s">
        <v>125</v>
      </c>
      <c r="B2703" s="8" t="s">
        <v>157</v>
      </c>
      <c r="C2703" s="8" t="str">
        <f>IFERROR(_xlfn.XLOOKUP(TRIM(B2703),Lookup!$B$2:$B$1000,Lookup!$C$2:$C$1000),"")</f>
        <v>Equity</v>
      </c>
      <c r="D2703" s="8" t="str">
        <f>IFERROR(INDEX('nav master'!$C:$C, MATCH(B2703, 'nav master'!$B:$B, 0)), "")</f>
        <v>ULIF07828/02/25Alpha300Fd101</v>
      </c>
      <c r="E2703" s="8" t="s">
        <v>327</v>
      </c>
      <c r="F2703" s="8" t="s">
        <v>3008</v>
      </c>
    </row>
    <row r="2704" spans="1:6" ht="60" x14ac:dyDescent="0.25">
      <c r="A2704" s="8" t="s">
        <v>125</v>
      </c>
      <c r="B2704" s="8" t="s">
        <v>157</v>
      </c>
      <c r="C2704" s="8" t="str">
        <f>IFERROR(_xlfn.XLOOKUP(TRIM(B2704),Lookup!$B$2:$B$1000,Lookup!$C$2:$C$1000),"")</f>
        <v>Equity</v>
      </c>
      <c r="D2704" s="8" t="str">
        <f>IFERROR(INDEX('nav master'!$C:$C, MATCH(B2704, 'nav master'!$B:$B, 0)), "")</f>
        <v>ULIF07828/02/25Alpha300Fd101</v>
      </c>
      <c r="E2704" s="8" t="s">
        <v>329</v>
      </c>
      <c r="F2704" s="8" t="s">
        <v>3009</v>
      </c>
    </row>
    <row r="2705" spans="1:6" ht="60" x14ac:dyDescent="0.25">
      <c r="A2705" s="8" t="s">
        <v>125</v>
      </c>
      <c r="B2705" s="8" t="s">
        <v>157</v>
      </c>
      <c r="C2705" s="8" t="str">
        <f>IFERROR(_xlfn.XLOOKUP(TRIM(B2705),Lookup!$B$2:$B$1000,Lookup!$C$2:$C$1000),"")</f>
        <v>Equity</v>
      </c>
      <c r="D2705" s="8" t="str">
        <f>IFERROR(INDEX('nav master'!$C:$C, MATCH(B2705, 'nav master'!$B:$B, 0)), "")</f>
        <v>ULIF07828/02/25Alpha300Fd101</v>
      </c>
      <c r="E2705" s="8" t="s">
        <v>331</v>
      </c>
      <c r="F2705" s="8" t="s">
        <v>3010</v>
      </c>
    </row>
    <row r="2706" spans="1:6" ht="60" x14ac:dyDescent="0.25">
      <c r="A2706" s="8" t="s">
        <v>125</v>
      </c>
      <c r="B2706" s="8" t="s">
        <v>157</v>
      </c>
      <c r="C2706" s="8" t="str">
        <f>IFERROR(_xlfn.XLOOKUP(TRIM(B2706),Lookup!$B$2:$B$1000,Lookup!$C$2:$C$1000),"")</f>
        <v>Equity</v>
      </c>
      <c r="D2706" s="8" t="str">
        <f>IFERROR(INDEX('nav master'!$C:$C, MATCH(B2706, 'nav master'!$B:$B, 0)), "")</f>
        <v>ULIF07828/02/25Alpha300Fd101</v>
      </c>
      <c r="E2706" s="8" t="s">
        <v>333</v>
      </c>
      <c r="F2706" s="8" t="s">
        <v>3011</v>
      </c>
    </row>
    <row r="2707" spans="1:6" ht="60" x14ac:dyDescent="0.25">
      <c r="A2707" s="8" t="s">
        <v>125</v>
      </c>
      <c r="B2707" s="8" t="s">
        <v>157</v>
      </c>
      <c r="C2707" s="8" t="str">
        <f>IFERROR(_xlfn.XLOOKUP(TRIM(B2707),Lookup!$B$2:$B$1000,Lookup!$C$2:$C$1000),"")</f>
        <v>Equity</v>
      </c>
      <c r="D2707" s="8" t="str">
        <f>IFERROR(INDEX('nav master'!$C:$C, MATCH(B2707, 'nav master'!$B:$B, 0)), "")</f>
        <v>ULIF07828/02/25Alpha300Fd101</v>
      </c>
      <c r="E2707" s="8" t="s">
        <v>335</v>
      </c>
      <c r="F2707" s="8" t="s">
        <v>3012</v>
      </c>
    </row>
    <row r="2708" spans="1:6" ht="60" x14ac:dyDescent="0.25">
      <c r="A2708" s="8" t="s">
        <v>125</v>
      </c>
      <c r="B2708" s="8" t="s">
        <v>157</v>
      </c>
      <c r="C2708" s="8" t="str">
        <f>IFERROR(_xlfn.XLOOKUP(TRIM(B2708),Lookup!$B$2:$B$1000,Lookup!$C$2:$C$1000),"")</f>
        <v>Equity</v>
      </c>
      <c r="D2708" s="8" t="str">
        <f>IFERROR(INDEX('nav master'!$C:$C, MATCH(B2708, 'nav master'!$B:$B, 0)), "")</f>
        <v>ULIF07828/02/25Alpha300Fd101</v>
      </c>
      <c r="E2708" s="8" t="s">
        <v>337</v>
      </c>
      <c r="F2708" s="8" t="s">
        <v>3013</v>
      </c>
    </row>
    <row r="2709" spans="1:6" ht="60" x14ac:dyDescent="0.25">
      <c r="A2709" s="8" t="s">
        <v>125</v>
      </c>
      <c r="B2709" s="8" t="s">
        <v>157</v>
      </c>
      <c r="C2709" s="8" t="str">
        <f>IFERROR(_xlfn.XLOOKUP(TRIM(B2709),Lookup!$B$2:$B$1000,Lookup!$C$2:$C$1000),"")</f>
        <v>Equity</v>
      </c>
      <c r="D2709" s="8" t="str">
        <f>IFERROR(INDEX('nav master'!$C:$C, MATCH(B2709, 'nav master'!$B:$B, 0)), "")</f>
        <v>ULIF07828/02/25Alpha300Fd101</v>
      </c>
      <c r="E2709" s="8" t="s">
        <v>339</v>
      </c>
      <c r="F2709" s="8" t="s">
        <v>3014</v>
      </c>
    </row>
    <row r="2710" spans="1:6" ht="60" x14ac:dyDescent="0.25">
      <c r="A2710" s="8" t="s">
        <v>125</v>
      </c>
      <c r="B2710" s="8" t="s">
        <v>157</v>
      </c>
      <c r="C2710" s="8" t="str">
        <f>IFERROR(_xlfn.XLOOKUP(TRIM(B2710),Lookup!$B$2:$B$1000,Lookup!$C$2:$C$1000),"")</f>
        <v>Equity</v>
      </c>
      <c r="D2710" s="8" t="str">
        <f>IFERROR(INDEX('nav master'!$C:$C, MATCH(B2710, 'nav master'!$B:$B, 0)), "")</f>
        <v>ULIF07828/02/25Alpha300Fd101</v>
      </c>
      <c r="E2710" s="8" t="s">
        <v>341</v>
      </c>
      <c r="F2710" s="8" t="s">
        <v>3015</v>
      </c>
    </row>
    <row r="2711" spans="1:6" ht="60" x14ac:dyDescent="0.25">
      <c r="A2711" s="8" t="s">
        <v>125</v>
      </c>
      <c r="B2711" s="8" t="s">
        <v>157</v>
      </c>
      <c r="C2711" s="8" t="str">
        <f>IFERROR(_xlfn.XLOOKUP(TRIM(B2711),Lookup!$B$2:$B$1000,Lookup!$C$2:$C$1000),"")</f>
        <v>Equity</v>
      </c>
      <c r="D2711" s="8" t="str">
        <f>IFERROR(INDEX('nav master'!$C:$C, MATCH(B2711, 'nav master'!$B:$B, 0)), "")</f>
        <v>ULIF07828/02/25Alpha300Fd101</v>
      </c>
      <c r="E2711" s="8" t="s">
        <v>343</v>
      </c>
      <c r="F2711" s="8" t="s">
        <v>3016</v>
      </c>
    </row>
    <row r="2712" spans="1:6" ht="60" x14ac:dyDescent="0.25">
      <c r="A2712" s="8" t="s">
        <v>125</v>
      </c>
      <c r="B2712" s="8" t="s">
        <v>157</v>
      </c>
      <c r="C2712" s="8" t="str">
        <f>IFERROR(_xlfn.XLOOKUP(TRIM(B2712),Lookup!$B$2:$B$1000,Lookup!$C$2:$C$1000),"")</f>
        <v>Equity</v>
      </c>
      <c r="D2712" s="8" t="str">
        <f>IFERROR(INDEX('nav master'!$C:$C, MATCH(B2712, 'nav master'!$B:$B, 0)), "")</f>
        <v>ULIF07828/02/25Alpha300Fd101</v>
      </c>
      <c r="E2712" s="8" t="s">
        <v>345</v>
      </c>
      <c r="F2712" s="8" t="s">
        <v>3017</v>
      </c>
    </row>
    <row r="2713" spans="1:6" ht="60" x14ac:dyDescent="0.25">
      <c r="A2713" s="8" t="s">
        <v>125</v>
      </c>
      <c r="B2713" s="8" t="s">
        <v>157</v>
      </c>
      <c r="C2713" s="8" t="str">
        <f>IFERROR(_xlfn.XLOOKUP(TRIM(B2713),Lookup!$B$2:$B$1000,Lookup!$C$2:$C$1000),"")</f>
        <v>Equity</v>
      </c>
      <c r="D2713" s="8" t="str">
        <f>IFERROR(INDEX('nav master'!$C:$C, MATCH(B2713, 'nav master'!$B:$B, 0)), "")</f>
        <v>ULIF07828/02/25Alpha300Fd101</v>
      </c>
      <c r="E2713" s="8" t="s">
        <v>347</v>
      </c>
      <c r="F2713" s="8" t="s">
        <v>3018</v>
      </c>
    </row>
    <row r="2714" spans="1:6" ht="60" x14ac:dyDescent="0.25">
      <c r="A2714" s="8" t="s">
        <v>125</v>
      </c>
      <c r="B2714" s="8" t="s">
        <v>157</v>
      </c>
      <c r="C2714" s="8" t="str">
        <f>IFERROR(_xlfn.XLOOKUP(TRIM(B2714),Lookup!$B$2:$B$1000,Lookup!$C$2:$C$1000),"")</f>
        <v>Equity</v>
      </c>
      <c r="D2714" s="8" t="str">
        <f>IFERROR(INDEX('nav master'!$C:$C, MATCH(B2714, 'nav master'!$B:$B, 0)), "")</f>
        <v>ULIF07828/02/25Alpha300Fd101</v>
      </c>
      <c r="E2714" s="8" t="s">
        <v>349</v>
      </c>
      <c r="F2714" s="8" t="s">
        <v>3019</v>
      </c>
    </row>
    <row r="2715" spans="1:6" ht="60" x14ac:dyDescent="0.25">
      <c r="A2715" s="8" t="s">
        <v>125</v>
      </c>
      <c r="B2715" s="8" t="s">
        <v>157</v>
      </c>
      <c r="C2715" s="8" t="str">
        <f>IFERROR(_xlfn.XLOOKUP(TRIM(B2715),Lookup!$B$2:$B$1000,Lookup!$C$2:$C$1000),"")</f>
        <v>Equity</v>
      </c>
      <c r="D2715" s="8" t="str">
        <f>IFERROR(INDEX('nav master'!$C:$C, MATCH(B2715, 'nav master'!$B:$B, 0)), "")</f>
        <v>ULIF07828/02/25Alpha300Fd101</v>
      </c>
      <c r="E2715" s="8" t="s">
        <v>351</v>
      </c>
      <c r="F2715" s="8" t="s">
        <v>3020</v>
      </c>
    </row>
    <row r="2716" spans="1:6" ht="60" x14ac:dyDescent="0.25">
      <c r="A2716" s="8" t="s">
        <v>125</v>
      </c>
      <c r="B2716" s="8" t="s">
        <v>157</v>
      </c>
      <c r="C2716" s="8" t="str">
        <f>IFERROR(_xlfn.XLOOKUP(TRIM(B2716),Lookup!$B$2:$B$1000,Lookup!$C$2:$C$1000),"")</f>
        <v>Equity</v>
      </c>
      <c r="D2716" s="8" t="str">
        <f>IFERROR(INDEX('nav master'!$C:$C, MATCH(B2716, 'nav master'!$B:$B, 0)), "")</f>
        <v>ULIF07828/02/25Alpha300Fd101</v>
      </c>
      <c r="E2716" s="8" t="s">
        <v>353</v>
      </c>
      <c r="F2716" s="8" t="s">
        <v>3021</v>
      </c>
    </row>
    <row r="2717" spans="1:6" ht="60" x14ac:dyDescent="0.25">
      <c r="A2717" s="8" t="s">
        <v>125</v>
      </c>
      <c r="B2717" s="8" t="s">
        <v>157</v>
      </c>
      <c r="C2717" s="8" t="str">
        <f>IFERROR(_xlfn.XLOOKUP(TRIM(B2717),Lookup!$B$2:$B$1000,Lookup!$C$2:$C$1000),"")</f>
        <v>Equity</v>
      </c>
      <c r="D2717" s="8" t="str">
        <f>IFERROR(INDEX('nav master'!$C:$C, MATCH(B2717, 'nav master'!$B:$B, 0)), "")</f>
        <v>ULIF07828/02/25Alpha300Fd101</v>
      </c>
      <c r="E2717" s="8" t="s">
        <v>355</v>
      </c>
      <c r="F2717" s="8" t="s">
        <v>3022</v>
      </c>
    </row>
    <row r="2718" spans="1:6" ht="60" x14ac:dyDescent="0.25">
      <c r="A2718" s="8" t="s">
        <v>125</v>
      </c>
      <c r="B2718" s="8" t="s">
        <v>157</v>
      </c>
      <c r="C2718" s="8" t="str">
        <f>IFERROR(_xlfn.XLOOKUP(TRIM(B2718),Lookup!$B$2:$B$1000,Lookup!$C$2:$C$1000),"")</f>
        <v>Equity</v>
      </c>
      <c r="D2718" s="8" t="str">
        <f>IFERROR(INDEX('nav master'!$C:$C, MATCH(B2718, 'nav master'!$B:$B, 0)), "")</f>
        <v>ULIF07828/02/25Alpha300Fd101</v>
      </c>
      <c r="E2718" s="8" t="s">
        <v>357</v>
      </c>
      <c r="F2718" s="8" t="s">
        <v>3023</v>
      </c>
    </row>
    <row r="2719" spans="1:6" ht="60" x14ac:dyDescent="0.25">
      <c r="A2719" s="8" t="s">
        <v>125</v>
      </c>
      <c r="B2719" s="8" t="s">
        <v>157</v>
      </c>
      <c r="C2719" s="8" t="str">
        <f>IFERROR(_xlfn.XLOOKUP(TRIM(B2719),Lookup!$B$2:$B$1000,Lookup!$C$2:$C$1000),"")</f>
        <v>Equity</v>
      </c>
      <c r="D2719" s="8" t="str">
        <f>IFERROR(INDEX('nav master'!$C:$C, MATCH(B2719, 'nav master'!$B:$B, 0)), "")</f>
        <v>ULIF07828/02/25Alpha300Fd101</v>
      </c>
      <c r="E2719" s="8" t="s">
        <v>359</v>
      </c>
      <c r="F2719" s="8" t="s">
        <v>3024</v>
      </c>
    </row>
    <row r="2720" spans="1:6" ht="60" x14ac:dyDescent="0.25">
      <c r="A2720" s="8" t="s">
        <v>125</v>
      </c>
      <c r="B2720" s="8" t="s">
        <v>157</v>
      </c>
      <c r="C2720" s="8" t="str">
        <f>IFERROR(_xlfn.XLOOKUP(TRIM(B2720),Lookup!$B$2:$B$1000,Lookup!$C$2:$C$1000),"")</f>
        <v>Equity</v>
      </c>
      <c r="D2720" s="8" t="str">
        <f>IFERROR(INDEX('nav master'!$C:$C, MATCH(B2720, 'nav master'!$B:$B, 0)), "")</f>
        <v>ULIF07828/02/25Alpha300Fd101</v>
      </c>
      <c r="E2720" s="8" t="s">
        <v>361</v>
      </c>
      <c r="F2720" s="8" t="s">
        <v>3025</v>
      </c>
    </row>
    <row r="2721" spans="1:6" ht="60" x14ac:dyDescent="0.25">
      <c r="A2721" s="8" t="s">
        <v>125</v>
      </c>
      <c r="B2721" s="8" t="s">
        <v>157</v>
      </c>
      <c r="C2721" s="8" t="str">
        <f>IFERROR(_xlfn.XLOOKUP(TRIM(B2721),Lookup!$B$2:$B$1000,Lookup!$C$2:$C$1000),"")</f>
        <v>Equity</v>
      </c>
      <c r="D2721" s="8" t="str">
        <f>IFERROR(INDEX('nav master'!$C:$C, MATCH(B2721, 'nav master'!$B:$B, 0)), "")</f>
        <v>ULIF07828/02/25Alpha300Fd101</v>
      </c>
      <c r="E2721" s="8" t="s">
        <v>363</v>
      </c>
      <c r="F2721" s="8" t="s">
        <v>3026</v>
      </c>
    </row>
    <row r="2722" spans="1:6" ht="60" x14ac:dyDescent="0.25">
      <c r="A2722" s="8" t="s">
        <v>125</v>
      </c>
      <c r="B2722" s="8" t="s">
        <v>157</v>
      </c>
      <c r="C2722" s="8" t="str">
        <f>IFERROR(_xlfn.XLOOKUP(TRIM(B2722),Lookup!$B$2:$B$1000,Lookup!$C$2:$C$1000),"")</f>
        <v>Equity</v>
      </c>
      <c r="D2722" s="8" t="str">
        <f>IFERROR(INDEX('nav master'!$C:$C, MATCH(B2722, 'nav master'!$B:$B, 0)), "")</f>
        <v>ULIF07828/02/25Alpha300Fd101</v>
      </c>
      <c r="E2722" s="8" t="s">
        <v>365</v>
      </c>
      <c r="F2722" s="8" t="s">
        <v>3027</v>
      </c>
    </row>
    <row r="2723" spans="1:6" ht="60" x14ac:dyDescent="0.25">
      <c r="A2723" s="8" t="s">
        <v>125</v>
      </c>
      <c r="B2723" s="8" t="s">
        <v>157</v>
      </c>
      <c r="C2723" s="8" t="str">
        <f>IFERROR(_xlfn.XLOOKUP(TRIM(B2723),Lookup!$B$2:$B$1000,Lookup!$C$2:$C$1000),"")</f>
        <v>Equity</v>
      </c>
      <c r="D2723" s="8" t="str">
        <f>IFERROR(INDEX('nav master'!$C:$C, MATCH(B2723, 'nav master'!$B:$B, 0)), "")</f>
        <v>ULIF07828/02/25Alpha300Fd101</v>
      </c>
      <c r="E2723" s="8" t="s">
        <v>367</v>
      </c>
      <c r="F2723" s="8" t="s">
        <v>3028</v>
      </c>
    </row>
    <row r="2724" spans="1:6" ht="60" x14ac:dyDescent="0.25">
      <c r="A2724" s="8" t="s">
        <v>125</v>
      </c>
      <c r="B2724" s="8" t="s">
        <v>157</v>
      </c>
      <c r="C2724" s="8" t="str">
        <f>IFERROR(_xlfn.XLOOKUP(TRIM(B2724),Lookup!$B$2:$B$1000,Lookup!$C$2:$C$1000),"")</f>
        <v>Equity</v>
      </c>
      <c r="D2724" s="8" t="str">
        <f>IFERROR(INDEX('nav master'!$C:$C, MATCH(B2724, 'nav master'!$B:$B, 0)), "")</f>
        <v>ULIF07828/02/25Alpha300Fd101</v>
      </c>
      <c r="E2724" s="8" t="s">
        <v>369</v>
      </c>
      <c r="F2724" s="8" t="s">
        <v>3029</v>
      </c>
    </row>
    <row r="2725" spans="1:6" ht="60" x14ac:dyDescent="0.25">
      <c r="A2725" s="8" t="s">
        <v>125</v>
      </c>
      <c r="B2725" s="8" t="s">
        <v>157</v>
      </c>
      <c r="C2725" s="8" t="str">
        <f>IFERROR(_xlfn.XLOOKUP(TRIM(B2725),Lookup!$B$2:$B$1000,Lookup!$C$2:$C$1000),"")</f>
        <v>Equity</v>
      </c>
      <c r="D2725" s="8" t="str">
        <f>IFERROR(INDEX('nav master'!$C:$C, MATCH(B2725, 'nav master'!$B:$B, 0)), "")</f>
        <v>ULIF07828/02/25Alpha300Fd101</v>
      </c>
      <c r="E2725" s="8" t="s">
        <v>371</v>
      </c>
      <c r="F2725" s="8" t="s">
        <v>3030</v>
      </c>
    </row>
    <row r="2726" spans="1:6" ht="60" x14ac:dyDescent="0.25">
      <c r="A2726" s="8" t="s">
        <v>125</v>
      </c>
      <c r="B2726" s="8" t="s">
        <v>157</v>
      </c>
      <c r="C2726" s="8" t="str">
        <f>IFERROR(_xlfn.XLOOKUP(TRIM(B2726),Lookup!$B$2:$B$1000,Lookup!$C$2:$C$1000),"")</f>
        <v>Equity</v>
      </c>
      <c r="D2726" s="8" t="str">
        <f>IFERROR(INDEX('nav master'!$C:$C, MATCH(B2726, 'nav master'!$B:$B, 0)), "")</f>
        <v>ULIF07828/02/25Alpha300Fd101</v>
      </c>
      <c r="E2726" s="8" t="s">
        <v>373</v>
      </c>
      <c r="F2726" s="8" t="s">
        <v>3031</v>
      </c>
    </row>
    <row r="2727" spans="1:6" ht="60" x14ac:dyDescent="0.25">
      <c r="A2727" s="8" t="s">
        <v>125</v>
      </c>
      <c r="B2727" s="8" t="s">
        <v>157</v>
      </c>
      <c r="C2727" s="8" t="str">
        <f>IFERROR(_xlfn.XLOOKUP(TRIM(B2727),Lookup!$B$2:$B$1000,Lookup!$C$2:$C$1000),"")</f>
        <v>Equity</v>
      </c>
      <c r="D2727" s="8" t="str">
        <f>IFERROR(INDEX('nav master'!$C:$C, MATCH(B2727, 'nav master'!$B:$B, 0)), "")</f>
        <v>ULIF07828/02/25Alpha300Fd101</v>
      </c>
      <c r="E2727" s="8" t="s">
        <v>375</v>
      </c>
      <c r="F2727" s="8" t="s">
        <v>3032</v>
      </c>
    </row>
    <row r="2728" spans="1:6" ht="60" x14ac:dyDescent="0.25">
      <c r="A2728" s="8" t="s">
        <v>125</v>
      </c>
      <c r="B2728" s="8" t="s">
        <v>157</v>
      </c>
      <c r="C2728" s="8" t="str">
        <f>IFERROR(_xlfn.XLOOKUP(TRIM(B2728),Lookup!$B$2:$B$1000,Lookup!$C$2:$C$1000),"")</f>
        <v>Equity</v>
      </c>
      <c r="D2728" s="8" t="str">
        <f>IFERROR(INDEX('nav master'!$C:$C, MATCH(B2728, 'nav master'!$B:$B, 0)), "")</f>
        <v>ULIF07828/02/25Alpha300Fd101</v>
      </c>
      <c r="E2728" s="8" t="s">
        <v>377</v>
      </c>
      <c r="F2728" s="8" t="s">
        <v>2982</v>
      </c>
    </row>
    <row r="2729" spans="1:6" ht="60" x14ac:dyDescent="0.25">
      <c r="A2729" s="8" t="s">
        <v>125</v>
      </c>
      <c r="B2729" s="8" t="s">
        <v>157</v>
      </c>
      <c r="C2729" s="8" t="str">
        <f>IFERROR(_xlfn.XLOOKUP(TRIM(B2729),Lookup!$B$2:$B$1000,Lookup!$C$2:$C$1000),"")</f>
        <v>Equity</v>
      </c>
      <c r="D2729" s="8" t="str">
        <f>IFERROR(INDEX('nav master'!$C:$C, MATCH(B2729, 'nav master'!$B:$B, 0)), "")</f>
        <v>ULIF07828/02/25Alpha300Fd101</v>
      </c>
      <c r="E2729" s="8" t="s">
        <v>379</v>
      </c>
      <c r="F2729" s="8" t="s">
        <v>3033</v>
      </c>
    </row>
    <row r="2730" spans="1:6" ht="60" x14ac:dyDescent="0.25">
      <c r="A2730" s="8" t="s">
        <v>125</v>
      </c>
      <c r="B2730" s="8" t="s">
        <v>157</v>
      </c>
      <c r="C2730" s="8" t="str">
        <f>IFERROR(_xlfn.XLOOKUP(TRIM(B2730),Lookup!$B$2:$B$1000,Lookup!$C$2:$C$1000),"")</f>
        <v>Equity</v>
      </c>
      <c r="D2730" s="8" t="str">
        <f>IFERROR(INDEX('nav master'!$C:$C, MATCH(B2730, 'nav master'!$B:$B, 0)), "")</f>
        <v>ULIF07828/02/25Alpha300Fd101</v>
      </c>
      <c r="E2730" s="8" t="s">
        <v>381</v>
      </c>
      <c r="F2730" s="8" t="s">
        <v>3034</v>
      </c>
    </row>
    <row r="2731" spans="1:6" ht="60" x14ac:dyDescent="0.25">
      <c r="A2731" s="8" t="s">
        <v>125</v>
      </c>
      <c r="B2731" s="8" t="s">
        <v>157</v>
      </c>
      <c r="C2731" s="8" t="str">
        <f>IFERROR(_xlfn.XLOOKUP(TRIM(B2731),Lookup!$B$2:$B$1000,Lookup!$C$2:$C$1000),"")</f>
        <v>Equity</v>
      </c>
      <c r="D2731" s="8" t="str">
        <f>IFERROR(INDEX('nav master'!$C:$C, MATCH(B2731, 'nav master'!$B:$B, 0)), "")</f>
        <v>ULIF07828/02/25Alpha300Fd101</v>
      </c>
      <c r="E2731" s="8" t="s">
        <v>383</v>
      </c>
      <c r="F2731" s="8" t="s">
        <v>3035</v>
      </c>
    </row>
    <row r="2732" spans="1:6" ht="60" x14ac:dyDescent="0.25">
      <c r="A2732" s="8" t="s">
        <v>125</v>
      </c>
      <c r="B2732" s="8" t="s">
        <v>157</v>
      </c>
      <c r="C2732" s="8" t="str">
        <f>IFERROR(_xlfn.XLOOKUP(TRIM(B2732),Lookup!$B$2:$B$1000,Lookup!$C$2:$C$1000),"")</f>
        <v>Equity</v>
      </c>
      <c r="D2732" s="8" t="str">
        <f>IFERROR(INDEX('nav master'!$C:$C, MATCH(B2732, 'nav master'!$B:$B, 0)), "")</f>
        <v>ULIF07828/02/25Alpha300Fd101</v>
      </c>
      <c r="E2732" s="8" t="s">
        <v>385</v>
      </c>
      <c r="F2732" s="8" t="s">
        <v>3036</v>
      </c>
    </row>
    <row r="2733" spans="1:6" ht="60" x14ac:dyDescent="0.25">
      <c r="A2733" s="8" t="s">
        <v>125</v>
      </c>
      <c r="B2733" s="8" t="s">
        <v>157</v>
      </c>
      <c r="C2733" s="8" t="str">
        <f>IFERROR(_xlfn.XLOOKUP(TRIM(B2733),Lookup!$B$2:$B$1000,Lookup!$C$2:$C$1000),"")</f>
        <v>Equity</v>
      </c>
      <c r="D2733" s="8" t="str">
        <f>IFERROR(INDEX('nav master'!$C:$C, MATCH(B2733, 'nav master'!$B:$B, 0)), "")</f>
        <v>ULIF07828/02/25Alpha300Fd101</v>
      </c>
      <c r="E2733" s="8" t="s">
        <v>387</v>
      </c>
      <c r="F2733" s="8" t="s">
        <v>3037</v>
      </c>
    </row>
    <row r="2734" spans="1:6" ht="60" x14ac:dyDescent="0.25">
      <c r="A2734" s="8" t="s">
        <v>125</v>
      </c>
      <c r="B2734" s="8" t="s">
        <v>157</v>
      </c>
      <c r="C2734" s="8" t="str">
        <f>IFERROR(_xlfn.XLOOKUP(TRIM(B2734),Lookup!$B$2:$B$1000,Lookup!$C$2:$C$1000),"")</f>
        <v>Equity</v>
      </c>
      <c r="D2734" s="8" t="str">
        <f>IFERROR(INDEX('nav master'!$C:$C, MATCH(B2734, 'nav master'!$B:$B, 0)), "")</f>
        <v>ULIF07828/02/25Alpha300Fd101</v>
      </c>
      <c r="E2734" s="8" t="s">
        <v>389</v>
      </c>
      <c r="F2734" s="8" t="s">
        <v>3038</v>
      </c>
    </row>
    <row r="2735" spans="1:6" ht="60" x14ac:dyDescent="0.25">
      <c r="A2735" s="8" t="s">
        <v>125</v>
      </c>
      <c r="B2735" s="8" t="s">
        <v>157</v>
      </c>
      <c r="C2735" s="8" t="str">
        <f>IFERROR(_xlfn.XLOOKUP(TRIM(B2735),Lookup!$B$2:$B$1000,Lookup!$C$2:$C$1000),"")</f>
        <v>Equity</v>
      </c>
      <c r="D2735" s="8" t="str">
        <f>IFERROR(INDEX('nav master'!$C:$C, MATCH(B2735, 'nav master'!$B:$B, 0)), "")</f>
        <v>ULIF07828/02/25Alpha300Fd101</v>
      </c>
      <c r="E2735" s="8" t="s">
        <v>391</v>
      </c>
      <c r="F2735" s="8" t="s">
        <v>3039</v>
      </c>
    </row>
    <row r="2736" spans="1:6" ht="60" x14ac:dyDescent="0.25">
      <c r="A2736" s="8" t="s">
        <v>125</v>
      </c>
      <c r="B2736" s="8" t="s">
        <v>157</v>
      </c>
      <c r="C2736" s="8" t="str">
        <f>IFERROR(_xlfn.XLOOKUP(TRIM(B2736),Lookup!$B$2:$B$1000,Lookup!$C$2:$C$1000),"")</f>
        <v>Equity</v>
      </c>
      <c r="D2736" s="8" t="str">
        <f>IFERROR(INDEX('nav master'!$C:$C, MATCH(B2736, 'nav master'!$B:$B, 0)), "")</f>
        <v>ULIF07828/02/25Alpha300Fd101</v>
      </c>
      <c r="E2736" s="8" t="s">
        <v>393</v>
      </c>
      <c r="F2736" s="8" t="s">
        <v>3040</v>
      </c>
    </row>
    <row r="2737" spans="1:6" ht="60" x14ac:dyDescent="0.25">
      <c r="A2737" s="8" t="s">
        <v>125</v>
      </c>
      <c r="B2737" s="8" t="s">
        <v>157</v>
      </c>
      <c r="C2737" s="8" t="str">
        <f>IFERROR(_xlfn.XLOOKUP(TRIM(B2737),Lookup!$B$2:$B$1000,Lookup!$C$2:$C$1000),"")</f>
        <v>Equity</v>
      </c>
      <c r="D2737" s="8" t="str">
        <f>IFERROR(INDEX('nav master'!$C:$C, MATCH(B2737, 'nav master'!$B:$B, 0)), "")</f>
        <v>ULIF07828/02/25Alpha300Fd101</v>
      </c>
      <c r="E2737" s="8" t="s">
        <v>395</v>
      </c>
      <c r="F2737" s="8" t="s">
        <v>3041</v>
      </c>
    </row>
    <row r="2738" spans="1:6" ht="60" x14ac:dyDescent="0.25">
      <c r="A2738" s="8" t="s">
        <v>125</v>
      </c>
      <c r="B2738" s="8" t="s">
        <v>157</v>
      </c>
      <c r="C2738" s="8" t="str">
        <f>IFERROR(_xlfn.XLOOKUP(TRIM(B2738),Lookup!$B$2:$B$1000,Lookup!$C$2:$C$1000),"")</f>
        <v>Equity</v>
      </c>
      <c r="D2738" s="8" t="str">
        <f>IFERROR(INDEX('nav master'!$C:$C, MATCH(B2738, 'nav master'!$B:$B, 0)), "")</f>
        <v>ULIF07828/02/25Alpha300Fd101</v>
      </c>
      <c r="E2738" s="8" t="s">
        <v>397</v>
      </c>
      <c r="F2738" s="8" t="s">
        <v>3042</v>
      </c>
    </row>
    <row r="2739" spans="1:6" ht="60" x14ac:dyDescent="0.25">
      <c r="A2739" s="8" t="s">
        <v>125</v>
      </c>
      <c r="B2739" s="8" t="s">
        <v>157</v>
      </c>
      <c r="C2739" s="8" t="str">
        <f>IFERROR(_xlfn.XLOOKUP(TRIM(B2739),Lookup!$B$2:$B$1000,Lookup!$C$2:$C$1000),"")</f>
        <v>Equity</v>
      </c>
      <c r="D2739" s="8" t="str">
        <f>IFERROR(INDEX('nav master'!$C:$C, MATCH(B2739, 'nav master'!$B:$B, 0)), "")</f>
        <v>ULIF07828/02/25Alpha300Fd101</v>
      </c>
      <c r="E2739" s="8" t="s">
        <v>399</v>
      </c>
      <c r="F2739" s="8" t="s">
        <v>3043</v>
      </c>
    </row>
    <row r="2740" spans="1:6" ht="60" x14ac:dyDescent="0.25">
      <c r="A2740" s="8" t="s">
        <v>125</v>
      </c>
      <c r="B2740" s="8" t="s">
        <v>157</v>
      </c>
      <c r="C2740" s="8" t="str">
        <f>IFERROR(_xlfn.XLOOKUP(TRIM(B2740),Lookup!$B$2:$B$1000,Lookup!$C$2:$C$1000),"")</f>
        <v>Equity</v>
      </c>
      <c r="D2740" s="8" t="str">
        <f>IFERROR(INDEX('nav master'!$C:$C, MATCH(B2740, 'nav master'!$B:$B, 0)), "")</f>
        <v>ULIF07828/02/25Alpha300Fd101</v>
      </c>
      <c r="E2740" s="8" t="s">
        <v>401</v>
      </c>
      <c r="F2740" s="8" t="s">
        <v>3044</v>
      </c>
    </row>
    <row r="2741" spans="1:6" ht="60" x14ac:dyDescent="0.25">
      <c r="A2741" s="8" t="s">
        <v>125</v>
      </c>
      <c r="B2741" s="8" t="s">
        <v>157</v>
      </c>
      <c r="C2741" s="8" t="str">
        <f>IFERROR(_xlfn.XLOOKUP(TRIM(B2741),Lookup!$B$2:$B$1000,Lookup!$C$2:$C$1000),"")</f>
        <v>Equity</v>
      </c>
      <c r="D2741" s="8" t="str">
        <f>IFERROR(INDEX('nav master'!$C:$C, MATCH(B2741, 'nav master'!$B:$B, 0)), "")</f>
        <v>ULIF07828/02/25Alpha300Fd101</v>
      </c>
      <c r="E2741" s="8" t="s">
        <v>403</v>
      </c>
      <c r="F2741" s="8" t="s">
        <v>3045</v>
      </c>
    </row>
    <row r="2742" spans="1:6" ht="60" x14ac:dyDescent="0.25">
      <c r="A2742" s="8" t="s">
        <v>125</v>
      </c>
      <c r="B2742" s="8" t="s">
        <v>157</v>
      </c>
      <c r="C2742" s="8" t="str">
        <f>IFERROR(_xlfn.XLOOKUP(TRIM(B2742),Lookup!$B$2:$B$1000,Lookup!$C$2:$C$1000),"")</f>
        <v>Equity</v>
      </c>
      <c r="D2742" s="8" t="str">
        <f>IFERROR(INDEX('nav master'!$C:$C, MATCH(B2742, 'nav master'!$B:$B, 0)), "")</f>
        <v>ULIF07828/02/25Alpha300Fd101</v>
      </c>
      <c r="E2742" s="8" t="s">
        <v>405</v>
      </c>
      <c r="F2742" s="8" t="s">
        <v>3046</v>
      </c>
    </row>
    <row r="2743" spans="1:6" ht="60" x14ac:dyDescent="0.25">
      <c r="A2743" s="8" t="s">
        <v>125</v>
      </c>
      <c r="B2743" s="8" t="s">
        <v>157</v>
      </c>
      <c r="C2743" s="8" t="str">
        <f>IFERROR(_xlfn.XLOOKUP(TRIM(B2743),Lookup!$B$2:$B$1000,Lookup!$C$2:$C$1000),"")</f>
        <v>Equity</v>
      </c>
      <c r="D2743" s="8" t="str">
        <f>IFERROR(INDEX('nav master'!$C:$C, MATCH(B2743, 'nav master'!$B:$B, 0)), "")</f>
        <v>ULIF07828/02/25Alpha300Fd101</v>
      </c>
      <c r="E2743" s="8" t="s">
        <v>407</v>
      </c>
      <c r="F2743" s="8" t="s">
        <v>3047</v>
      </c>
    </row>
    <row r="2744" spans="1:6" ht="60" x14ac:dyDescent="0.25">
      <c r="A2744" s="8" t="s">
        <v>125</v>
      </c>
      <c r="B2744" s="8" t="s">
        <v>157</v>
      </c>
      <c r="C2744" s="8" t="str">
        <f>IFERROR(_xlfn.XLOOKUP(TRIM(B2744),Lookup!$B$2:$B$1000,Lookup!$C$2:$C$1000),"")</f>
        <v>Equity</v>
      </c>
      <c r="D2744" s="8" t="str">
        <f>IFERROR(INDEX('nav master'!$C:$C, MATCH(B2744, 'nav master'!$B:$B, 0)), "")</f>
        <v>ULIF07828/02/25Alpha300Fd101</v>
      </c>
      <c r="E2744" s="8" t="s">
        <v>409</v>
      </c>
      <c r="F2744" s="8" t="s">
        <v>3048</v>
      </c>
    </row>
    <row r="2745" spans="1:6" ht="60" x14ac:dyDescent="0.25">
      <c r="A2745" s="8" t="s">
        <v>125</v>
      </c>
      <c r="B2745" s="8" t="s">
        <v>157</v>
      </c>
      <c r="C2745" s="8" t="str">
        <f>IFERROR(_xlfn.XLOOKUP(TRIM(B2745),Lookup!$B$2:$B$1000,Lookup!$C$2:$C$1000),"")</f>
        <v>Equity</v>
      </c>
      <c r="D2745" s="8" t="str">
        <f>IFERROR(INDEX('nav master'!$C:$C, MATCH(B2745, 'nav master'!$B:$B, 0)), "")</f>
        <v>ULIF07828/02/25Alpha300Fd101</v>
      </c>
      <c r="E2745" s="8" t="s">
        <v>411</v>
      </c>
      <c r="F2745" s="8" t="s">
        <v>3049</v>
      </c>
    </row>
    <row r="2746" spans="1:6" ht="60" x14ac:dyDescent="0.25">
      <c r="A2746" s="8" t="s">
        <v>125</v>
      </c>
      <c r="B2746" s="8" t="s">
        <v>157</v>
      </c>
      <c r="C2746" s="8" t="str">
        <f>IFERROR(_xlfn.XLOOKUP(TRIM(B2746),Lookup!$B$2:$B$1000,Lookup!$C$2:$C$1000),"")</f>
        <v>Equity</v>
      </c>
      <c r="D2746" s="8" t="str">
        <f>IFERROR(INDEX('nav master'!$C:$C, MATCH(B2746, 'nav master'!$B:$B, 0)), "")</f>
        <v>ULIF07828/02/25Alpha300Fd101</v>
      </c>
      <c r="E2746" s="8" t="s">
        <v>413</v>
      </c>
      <c r="F2746" s="8" t="s">
        <v>3050</v>
      </c>
    </row>
    <row r="2747" spans="1:6" ht="60" x14ac:dyDescent="0.25">
      <c r="A2747" s="8" t="s">
        <v>125</v>
      </c>
      <c r="B2747" s="8" t="s">
        <v>157</v>
      </c>
      <c r="C2747" s="8" t="str">
        <f>IFERROR(_xlfn.XLOOKUP(TRIM(B2747),Lookup!$B$2:$B$1000,Lookup!$C$2:$C$1000),"")</f>
        <v>Equity</v>
      </c>
      <c r="D2747" s="8" t="str">
        <f>IFERROR(INDEX('nav master'!$C:$C, MATCH(B2747, 'nav master'!$B:$B, 0)), "")</f>
        <v>ULIF07828/02/25Alpha300Fd101</v>
      </c>
      <c r="E2747" s="8" t="s">
        <v>415</v>
      </c>
      <c r="F2747" s="8" t="s">
        <v>3051</v>
      </c>
    </row>
    <row r="2748" spans="1:6" ht="60" x14ac:dyDescent="0.25">
      <c r="A2748" s="8" t="s">
        <v>125</v>
      </c>
      <c r="B2748" s="8" t="s">
        <v>157</v>
      </c>
      <c r="C2748" s="8" t="str">
        <f>IFERROR(_xlfn.XLOOKUP(TRIM(B2748),Lookup!$B$2:$B$1000,Lookup!$C$2:$C$1000),"")</f>
        <v>Equity</v>
      </c>
      <c r="D2748" s="8" t="str">
        <f>IFERROR(INDEX('nav master'!$C:$C, MATCH(B2748, 'nav master'!$B:$B, 0)), "")</f>
        <v>ULIF07828/02/25Alpha300Fd101</v>
      </c>
      <c r="E2748" s="8" t="s">
        <v>417</v>
      </c>
      <c r="F2748" s="8" t="s">
        <v>3052</v>
      </c>
    </row>
    <row r="2749" spans="1:6" ht="60" x14ac:dyDescent="0.25">
      <c r="A2749" s="8" t="s">
        <v>125</v>
      </c>
      <c r="B2749" s="8" t="s">
        <v>157</v>
      </c>
      <c r="C2749" s="8" t="str">
        <f>IFERROR(_xlfn.XLOOKUP(TRIM(B2749),Lookup!$B$2:$B$1000,Lookup!$C$2:$C$1000),"")</f>
        <v>Equity</v>
      </c>
      <c r="D2749" s="8" t="str">
        <f>IFERROR(INDEX('nav master'!$C:$C, MATCH(B2749, 'nav master'!$B:$B, 0)), "")</f>
        <v>ULIF07828/02/25Alpha300Fd101</v>
      </c>
      <c r="E2749" s="8" t="s">
        <v>419</v>
      </c>
      <c r="F2749" s="8" t="s">
        <v>3053</v>
      </c>
    </row>
    <row r="2750" spans="1:6" ht="60" x14ac:dyDescent="0.25">
      <c r="A2750" s="8" t="s">
        <v>125</v>
      </c>
      <c r="B2750" s="8" t="s">
        <v>157</v>
      </c>
      <c r="C2750" s="8" t="str">
        <f>IFERROR(_xlfn.XLOOKUP(TRIM(B2750),Lookup!$B$2:$B$1000,Lookup!$C$2:$C$1000),"")</f>
        <v>Equity</v>
      </c>
      <c r="D2750" s="8" t="str">
        <f>IFERROR(INDEX('nav master'!$C:$C, MATCH(B2750, 'nav master'!$B:$B, 0)), "")</f>
        <v>ULIF07828/02/25Alpha300Fd101</v>
      </c>
      <c r="E2750" s="8" t="s">
        <v>421</v>
      </c>
      <c r="F2750" s="8" t="s">
        <v>3054</v>
      </c>
    </row>
    <row r="2751" spans="1:6" ht="60" x14ac:dyDescent="0.25">
      <c r="A2751" s="8" t="s">
        <v>125</v>
      </c>
      <c r="B2751" s="8" t="s">
        <v>157</v>
      </c>
      <c r="C2751" s="8" t="str">
        <f>IFERROR(_xlfn.XLOOKUP(TRIM(B2751),Lookup!$B$2:$B$1000,Lookup!$C$2:$C$1000),"")</f>
        <v>Equity</v>
      </c>
      <c r="D2751" s="8" t="str">
        <f>IFERROR(INDEX('nav master'!$C:$C, MATCH(B2751, 'nav master'!$B:$B, 0)), "")</f>
        <v>ULIF07828/02/25Alpha300Fd101</v>
      </c>
      <c r="E2751" s="8" t="s">
        <v>423</v>
      </c>
      <c r="F2751" s="8" t="s">
        <v>3055</v>
      </c>
    </row>
    <row r="2752" spans="1:6" ht="60" x14ac:dyDescent="0.25">
      <c r="A2752" s="8" t="s">
        <v>125</v>
      </c>
      <c r="B2752" s="8" t="s">
        <v>157</v>
      </c>
      <c r="C2752" s="8" t="str">
        <f>IFERROR(_xlfn.XLOOKUP(TRIM(B2752),Lookup!$B$2:$B$1000,Lookup!$C$2:$C$1000),"")</f>
        <v>Equity</v>
      </c>
      <c r="D2752" s="8" t="str">
        <f>IFERROR(INDEX('nav master'!$C:$C, MATCH(B2752, 'nav master'!$B:$B, 0)), "")</f>
        <v>ULIF07828/02/25Alpha300Fd101</v>
      </c>
      <c r="E2752" s="8" t="s">
        <v>425</v>
      </c>
      <c r="F2752" s="8" t="s">
        <v>3056</v>
      </c>
    </row>
    <row r="2753" spans="1:6" ht="60" x14ac:dyDescent="0.25">
      <c r="A2753" s="8" t="s">
        <v>125</v>
      </c>
      <c r="B2753" s="8" t="s">
        <v>157</v>
      </c>
      <c r="C2753" s="8" t="str">
        <f>IFERROR(_xlfn.XLOOKUP(TRIM(B2753),Lookup!$B$2:$B$1000,Lookup!$C$2:$C$1000),"")</f>
        <v>Equity</v>
      </c>
      <c r="D2753" s="8" t="str">
        <f>IFERROR(INDEX('nav master'!$C:$C, MATCH(B2753, 'nav master'!$B:$B, 0)), "")</f>
        <v>ULIF07828/02/25Alpha300Fd101</v>
      </c>
      <c r="E2753" s="8" t="s">
        <v>427</v>
      </c>
      <c r="F2753" s="8" t="s">
        <v>3057</v>
      </c>
    </row>
    <row r="2754" spans="1:6" ht="60" x14ac:dyDescent="0.25">
      <c r="A2754" s="8" t="s">
        <v>125</v>
      </c>
      <c r="B2754" s="8" t="s">
        <v>157</v>
      </c>
      <c r="C2754" s="8" t="str">
        <f>IFERROR(_xlfn.XLOOKUP(TRIM(B2754),Lookup!$B$2:$B$1000,Lookup!$C$2:$C$1000),"")</f>
        <v>Equity</v>
      </c>
      <c r="D2754" s="8" t="str">
        <f>IFERROR(INDEX('nav master'!$C:$C, MATCH(B2754, 'nav master'!$B:$B, 0)), "")</f>
        <v>ULIF07828/02/25Alpha300Fd101</v>
      </c>
      <c r="E2754" s="8" t="s">
        <v>429</v>
      </c>
      <c r="F2754" s="8" t="s">
        <v>3058</v>
      </c>
    </row>
    <row r="2755" spans="1:6" ht="60" x14ac:dyDescent="0.25">
      <c r="A2755" s="8" t="s">
        <v>125</v>
      </c>
      <c r="B2755" s="8" t="s">
        <v>157</v>
      </c>
      <c r="C2755" s="8" t="str">
        <f>IFERROR(_xlfn.XLOOKUP(TRIM(B2755),Lookup!$B$2:$B$1000,Lookup!$C$2:$C$1000),"")</f>
        <v>Equity</v>
      </c>
      <c r="D2755" s="8" t="str">
        <f>IFERROR(INDEX('nav master'!$C:$C, MATCH(B2755, 'nav master'!$B:$B, 0)), "")</f>
        <v>ULIF07828/02/25Alpha300Fd101</v>
      </c>
      <c r="E2755" s="8" t="s">
        <v>431</v>
      </c>
      <c r="F2755" s="8" t="s">
        <v>3059</v>
      </c>
    </row>
    <row r="2756" spans="1:6" ht="60" x14ac:dyDescent="0.25">
      <c r="A2756" s="8" t="s">
        <v>125</v>
      </c>
      <c r="B2756" s="8" t="s">
        <v>157</v>
      </c>
      <c r="C2756" s="8" t="str">
        <f>IFERROR(_xlfn.XLOOKUP(TRIM(B2756),Lookup!$B$2:$B$1000,Lookup!$C$2:$C$1000),"")</f>
        <v>Equity</v>
      </c>
      <c r="D2756" s="8" t="str">
        <f>IFERROR(INDEX('nav master'!$C:$C, MATCH(B2756, 'nav master'!$B:$B, 0)), "")</f>
        <v>ULIF07828/02/25Alpha300Fd101</v>
      </c>
      <c r="E2756" s="8" t="s">
        <v>433</v>
      </c>
      <c r="F2756" s="8" t="s">
        <v>3060</v>
      </c>
    </row>
    <row r="2757" spans="1:6" ht="60" x14ac:dyDescent="0.25">
      <c r="A2757" s="8" t="s">
        <v>125</v>
      </c>
      <c r="B2757" s="8" t="s">
        <v>157</v>
      </c>
      <c r="C2757" s="8" t="str">
        <f>IFERROR(_xlfn.XLOOKUP(TRIM(B2757),Lookup!$B$2:$B$1000,Lookup!$C$2:$C$1000),"")</f>
        <v>Equity</v>
      </c>
      <c r="D2757" s="8" t="str">
        <f>IFERROR(INDEX('nav master'!$C:$C, MATCH(B2757, 'nav master'!$B:$B, 0)), "")</f>
        <v>ULIF07828/02/25Alpha300Fd101</v>
      </c>
      <c r="E2757" s="8" t="s">
        <v>435</v>
      </c>
      <c r="F2757" s="8" t="s">
        <v>3061</v>
      </c>
    </row>
    <row r="2758" spans="1:6" ht="60" x14ac:dyDescent="0.25">
      <c r="A2758" s="8" t="s">
        <v>125</v>
      </c>
      <c r="B2758" s="8" t="s">
        <v>157</v>
      </c>
      <c r="C2758" s="8" t="str">
        <f>IFERROR(_xlfn.XLOOKUP(TRIM(B2758),Lookup!$B$2:$B$1000,Lookup!$C$2:$C$1000),"")</f>
        <v>Equity</v>
      </c>
      <c r="D2758" s="8" t="str">
        <f>IFERROR(INDEX('nav master'!$C:$C, MATCH(B2758, 'nav master'!$B:$B, 0)), "")</f>
        <v>ULIF07828/02/25Alpha300Fd101</v>
      </c>
      <c r="E2758" s="8" t="s">
        <v>437</v>
      </c>
      <c r="F2758" s="8" t="s">
        <v>3062</v>
      </c>
    </row>
    <row r="2759" spans="1:6" ht="60" x14ac:dyDescent="0.25">
      <c r="A2759" s="8" t="s">
        <v>125</v>
      </c>
      <c r="B2759" s="8" t="s">
        <v>157</v>
      </c>
      <c r="C2759" s="8" t="str">
        <f>IFERROR(_xlfn.XLOOKUP(TRIM(B2759),Lookup!$B$2:$B$1000,Lookup!$C$2:$C$1000),"")</f>
        <v>Equity</v>
      </c>
      <c r="D2759" s="8" t="str">
        <f>IFERROR(INDEX('nav master'!$C:$C, MATCH(B2759, 'nav master'!$B:$B, 0)), "")</f>
        <v>ULIF07828/02/25Alpha300Fd101</v>
      </c>
      <c r="E2759" s="8" t="s">
        <v>439</v>
      </c>
      <c r="F2759" s="8" t="s">
        <v>3063</v>
      </c>
    </row>
    <row r="2760" spans="1:6" ht="60" x14ac:dyDescent="0.25">
      <c r="A2760" s="8" t="s">
        <v>125</v>
      </c>
      <c r="B2760" s="8" t="s">
        <v>157</v>
      </c>
      <c r="C2760" s="8" t="str">
        <f>IFERROR(_xlfn.XLOOKUP(TRIM(B2760),Lookup!$B$2:$B$1000,Lookup!$C$2:$C$1000),"")</f>
        <v>Equity</v>
      </c>
      <c r="D2760" s="8" t="str">
        <f>IFERROR(INDEX('nav master'!$C:$C, MATCH(B2760, 'nav master'!$B:$B, 0)), "")</f>
        <v>ULIF07828/02/25Alpha300Fd101</v>
      </c>
      <c r="E2760" s="8" t="s">
        <v>441</v>
      </c>
      <c r="F2760" s="8" t="s">
        <v>3064</v>
      </c>
    </row>
    <row r="2761" spans="1:6" ht="60" x14ac:dyDescent="0.25">
      <c r="A2761" s="8" t="s">
        <v>125</v>
      </c>
      <c r="B2761" s="8" t="s">
        <v>157</v>
      </c>
      <c r="C2761" s="8" t="str">
        <f>IFERROR(_xlfn.XLOOKUP(TRIM(B2761),Lookup!$B$2:$B$1000,Lookup!$C$2:$C$1000),"")</f>
        <v>Equity</v>
      </c>
      <c r="D2761" s="8" t="str">
        <f>IFERROR(INDEX('nav master'!$C:$C, MATCH(B2761, 'nav master'!$B:$B, 0)), "")</f>
        <v>ULIF07828/02/25Alpha300Fd101</v>
      </c>
      <c r="E2761" s="8" t="s">
        <v>443</v>
      </c>
      <c r="F2761" s="8" t="s">
        <v>3065</v>
      </c>
    </row>
    <row r="2762" spans="1:6" ht="60" x14ac:dyDescent="0.25">
      <c r="A2762" s="8" t="s">
        <v>125</v>
      </c>
      <c r="B2762" s="8" t="s">
        <v>157</v>
      </c>
      <c r="C2762" s="8" t="str">
        <f>IFERROR(_xlfn.XLOOKUP(TRIM(B2762),Lookup!$B$2:$B$1000,Lookup!$C$2:$C$1000),"")</f>
        <v>Equity</v>
      </c>
      <c r="D2762" s="8" t="str">
        <f>IFERROR(INDEX('nav master'!$C:$C, MATCH(B2762, 'nav master'!$B:$B, 0)), "")</f>
        <v>ULIF07828/02/25Alpha300Fd101</v>
      </c>
      <c r="E2762" s="8" t="s">
        <v>445</v>
      </c>
      <c r="F2762" s="8" t="s">
        <v>3066</v>
      </c>
    </row>
    <row r="2763" spans="1:6" ht="60" x14ac:dyDescent="0.25">
      <c r="A2763" s="8" t="s">
        <v>125</v>
      </c>
      <c r="B2763" s="8" t="s">
        <v>157</v>
      </c>
      <c r="C2763" s="8" t="str">
        <f>IFERROR(_xlfn.XLOOKUP(TRIM(B2763),Lookup!$B$2:$B$1000,Lookup!$C$2:$C$1000),"")</f>
        <v>Equity</v>
      </c>
      <c r="D2763" s="8" t="str">
        <f>IFERROR(INDEX('nav master'!$C:$C, MATCH(B2763, 'nav master'!$B:$B, 0)), "")</f>
        <v>ULIF07828/02/25Alpha300Fd101</v>
      </c>
      <c r="E2763" s="8" t="s">
        <v>446</v>
      </c>
      <c r="F2763" s="8" t="s">
        <v>3067</v>
      </c>
    </row>
    <row r="2764" spans="1:6" ht="60" x14ac:dyDescent="0.25">
      <c r="A2764" s="8" t="s">
        <v>125</v>
      </c>
      <c r="B2764" s="8" t="s">
        <v>157</v>
      </c>
      <c r="C2764" s="8" t="str">
        <f>IFERROR(_xlfn.XLOOKUP(TRIM(B2764),Lookup!$B$2:$B$1000,Lookup!$C$2:$C$1000),"")</f>
        <v>Equity</v>
      </c>
      <c r="D2764" s="8" t="str">
        <f>IFERROR(INDEX('nav master'!$C:$C, MATCH(B2764, 'nav master'!$B:$B, 0)), "")</f>
        <v>ULIF07828/02/25Alpha300Fd101</v>
      </c>
      <c r="E2764" s="8" t="s">
        <v>448</v>
      </c>
      <c r="F2764" s="8" t="s">
        <v>3068</v>
      </c>
    </row>
    <row r="2765" spans="1:6" ht="60" x14ac:dyDescent="0.25">
      <c r="A2765" s="8" t="s">
        <v>125</v>
      </c>
      <c r="B2765" s="8" t="s">
        <v>157</v>
      </c>
      <c r="C2765" s="8" t="str">
        <f>IFERROR(_xlfn.XLOOKUP(TRIM(B2765),Lookup!$B$2:$B$1000,Lookup!$C$2:$C$1000),"")</f>
        <v>Equity</v>
      </c>
      <c r="D2765" s="8" t="str">
        <f>IFERROR(INDEX('nav master'!$C:$C, MATCH(B2765, 'nav master'!$B:$B, 0)), "")</f>
        <v>ULIF07828/02/25Alpha300Fd101</v>
      </c>
      <c r="E2765" s="8" t="s">
        <v>450</v>
      </c>
      <c r="F2765" s="8" t="s">
        <v>3069</v>
      </c>
    </row>
    <row r="2766" spans="1:6" ht="60" x14ac:dyDescent="0.25">
      <c r="A2766" s="8" t="s">
        <v>125</v>
      </c>
      <c r="B2766" s="8" t="s">
        <v>157</v>
      </c>
      <c r="C2766" s="8" t="str">
        <f>IFERROR(_xlfn.XLOOKUP(TRIM(B2766),Lookup!$B$2:$B$1000,Lookup!$C$2:$C$1000),"")</f>
        <v>Equity</v>
      </c>
      <c r="D2766" s="8" t="str">
        <f>IFERROR(INDEX('nav master'!$C:$C, MATCH(B2766, 'nav master'!$B:$B, 0)), "")</f>
        <v>ULIF07828/02/25Alpha300Fd101</v>
      </c>
      <c r="E2766" s="8" t="s">
        <v>452</v>
      </c>
      <c r="F2766" s="8" t="s">
        <v>3070</v>
      </c>
    </row>
    <row r="2767" spans="1:6" ht="60" x14ac:dyDescent="0.25">
      <c r="A2767" s="8" t="s">
        <v>125</v>
      </c>
      <c r="B2767" s="8" t="s">
        <v>157</v>
      </c>
      <c r="C2767" s="8" t="str">
        <f>IFERROR(_xlfn.XLOOKUP(TRIM(B2767),Lookup!$B$2:$B$1000,Lookup!$C$2:$C$1000),"")</f>
        <v>Equity</v>
      </c>
      <c r="D2767" s="8" t="str">
        <f>IFERROR(INDEX('nav master'!$C:$C, MATCH(B2767, 'nav master'!$B:$B, 0)), "")</f>
        <v>ULIF07828/02/25Alpha300Fd101</v>
      </c>
      <c r="E2767" s="8" t="s">
        <v>454</v>
      </c>
      <c r="F2767" s="8" t="s">
        <v>3071</v>
      </c>
    </row>
    <row r="2768" spans="1:6" ht="60" x14ac:dyDescent="0.25">
      <c r="A2768" s="8" t="s">
        <v>125</v>
      </c>
      <c r="B2768" s="8" t="s">
        <v>157</v>
      </c>
      <c r="C2768" s="8" t="str">
        <f>IFERROR(_xlfn.XLOOKUP(TRIM(B2768),Lookup!$B$2:$B$1000,Lookup!$C$2:$C$1000),"")</f>
        <v>Equity</v>
      </c>
      <c r="D2768" s="8" t="str">
        <f>IFERROR(INDEX('nav master'!$C:$C, MATCH(B2768, 'nav master'!$B:$B, 0)), "")</f>
        <v>ULIF07828/02/25Alpha300Fd101</v>
      </c>
      <c r="E2768" s="8" t="s">
        <v>456</v>
      </c>
      <c r="F2768" s="8" t="s">
        <v>3072</v>
      </c>
    </row>
    <row r="2769" spans="1:6" ht="60" x14ac:dyDescent="0.25">
      <c r="A2769" s="8" t="s">
        <v>125</v>
      </c>
      <c r="B2769" s="8" t="s">
        <v>157</v>
      </c>
      <c r="C2769" s="8" t="str">
        <f>IFERROR(_xlfn.XLOOKUP(TRIM(B2769),Lookup!$B$2:$B$1000,Lookup!$C$2:$C$1000),"")</f>
        <v>Equity</v>
      </c>
      <c r="D2769" s="8" t="str">
        <f>IFERROR(INDEX('nav master'!$C:$C, MATCH(B2769, 'nav master'!$B:$B, 0)), "")</f>
        <v>ULIF07828/02/25Alpha300Fd101</v>
      </c>
      <c r="E2769" s="8" t="s">
        <v>458</v>
      </c>
      <c r="F2769" s="8" t="s">
        <v>3073</v>
      </c>
    </row>
    <row r="2770" spans="1:6" ht="60" x14ac:dyDescent="0.25">
      <c r="A2770" s="8" t="s">
        <v>125</v>
      </c>
      <c r="B2770" s="8" t="s">
        <v>157</v>
      </c>
      <c r="C2770" s="8" t="str">
        <f>IFERROR(_xlfn.XLOOKUP(TRIM(B2770),Lookup!$B$2:$B$1000,Lookup!$C$2:$C$1000),"")</f>
        <v>Equity</v>
      </c>
      <c r="D2770" s="8" t="str">
        <f>IFERROR(INDEX('nav master'!$C:$C, MATCH(B2770, 'nav master'!$B:$B, 0)), "")</f>
        <v>ULIF07828/02/25Alpha300Fd101</v>
      </c>
      <c r="E2770" s="8" t="s">
        <v>460</v>
      </c>
      <c r="F2770" s="8" t="s">
        <v>3074</v>
      </c>
    </row>
    <row r="2771" spans="1:6" ht="60" x14ac:dyDescent="0.25">
      <c r="A2771" s="8" t="s">
        <v>125</v>
      </c>
      <c r="B2771" s="8" t="s">
        <v>157</v>
      </c>
      <c r="C2771" s="8" t="str">
        <f>IFERROR(_xlfn.XLOOKUP(TRIM(B2771),Lookup!$B$2:$B$1000,Lookup!$C$2:$C$1000),"")</f>
        <v>Equity</v>
      </c>
      <c r="D2771" s="8" t="str">
        <f>IFERROR(INDEX('nav master'!$C:$C, MATCH(B2771, 'nav master'!$B:$B, 0)), "")</f>
        <v>ULIF07828/02/25Alpha300Fd101</v>
      </c>
      <c r="E2771" s="8" t="s">
        <v>462</v>
      </c>
      <c r="F2771" s="8" t="s">
        <v>3075</v>
      </c>
    </row>
    <row r="2772" spans="1:6" ht="60" x14ac:dyDescent="0.25">
      <c r="A2772" s="8" t="s">
        <v>125</v>
      </c>
      <c r="B2772" s="8" t="s">
        <v>157</v>
      </c>
      <c r="C2772" s="8" t="str">
        <f>IFERROR(_xlfn.XLOOKUP(TRIM(B2772),Lookup!$B$2:$B$1000,Lookup!$C$2:$C$1000),"")</f>
        <v>Equity</v>
      </c>
      <c r="D2772" s="8" t="str">
        <f>IFERROR(INDEX('nav master'!$C:$C, MATCH(B2772, 'nav master'!$B:$B, 0)), "")</f>
        <v>ULIF07828/02/25Alpha300Fd101</v>
      </c>
      <c r="E2772" s="8" t="s">
        <v>464</v>
      </c>
      <c r="F2772" s="8" t="s">
        <v>3076</v>
      </c>
    </row>
    <row r="2773" spans="1:6" ht="60" x14ac:dyDescent="0.25">
      <c r="A2773" s="8" t="s">
        <v>125</v>
      </c>
      <c r="B2773" s="8" t="s">
        <v>157</v>
      </c>
      <c r="C2773" s="8" t="str">
        <f>IFERROR(_xlfn.XLOOKUP(TRIM(B2773),Lookup!$B$2:$B$1000,Lookup!$C$2:$C$1000),"")</f>
        <v>Equity</v>
      </c>
      <c r="D2773" s="8" t="str">
        <f>IFERROR(INDEX('nav master'!$C:$C, MATCH(B2773, 'nav master'!$B:$B, 0)), "")</f>
        <v>ULIF07828/02/25Alpha300Fd101</v>
      </c>
      <c r="E2773" s="8" t="s">
        <v>466</v>
      </c>
      <c r="F2773" s="8" t="s">
        <v>3077</v>
      </c>
    </row>
    <row r="2774" spans="1:6" ht="60" x14ac:dyDescent="0.25">
      <c r="A2774" s="8" t="s">
        <v>125</v>
      </c>
      <c r="B2774" s="8" t="s">
        <v>157</v>
      </c>
      <c r="C2774" s="8" t="str">
        <f>IFERROR(_xlfn.XLOOKUP(TRIM(B2774),Lookup!$B$2:$B$1000,Lookup!$C$2:$C$1000),"")</f>
        <v>Equity</v>
      </c>
      <c r="D2774" s="8" t="str">
        <f>IFERROR(INDEX('nav master'!$C:$C, MATCH(B2774, 'nav master'!$B:$B, 0)), "")</f>
        <v>ULIF07828/02/25Alpha300Fd101</v>
      </c>
      <c r="E2774" s="8" t="s">
        <v>468</v>
      </c>
      <c r="F2774" s="8" t="s">
        <v>3078</v>
      </c>
    </row>
    <row r="2775" spans="1:6" ht="60" x14ac:dyDescent="0.25">
      <c r="A2775" s="8" t="s">
        <v>125</v>
      </c>
      <c r="B2775" s="8" t="s">
        <v>157</v>
      </c>
      <c r="C2775" s="8" t="str">
        <f>IFERROR(_xlfn.XLOOKUP(TRIM(B2775),Lookup!$B$2:$B$1000,Lookup!$C$2:$C$1000),"")</f>
        <v>Equity</v>
      </c>
      <c r="D2775" s="8" t="str">
        <f>IFERROR(INDEX('nav master'!$C:$C, MATCH(B2775, 'nav master'!$B:$B, 0)), "")</f>
        <v>ULIF07828/02/25Alpha300Fd101</v>
      </c>
      <c r="E2775" s="8" t="s">
        <v>470</v>
      </c>
      <c r="F2775" s="8" t="s">
        <v>3079</v>
      </c>
    </row>
    <row r="2776" spans="1:6" ht="60" x14ac:dyDescent="0.25">
      <c r="A2776" s="8" t="s">
        <v>125</v>
      </c>
      <c r="B2776" s="8" t="s">
        <v>157</v>
      </c>
      <c r="C2776" s="8" t="str">
        <f>IFERROR(_xlfn.XLOOKUP(TRIM(B2776),Lookup!$B$2:$B$1000,Lookup!$C$2:$C$1000),"")</f>
        <v>Equity</v>
      </c>
      <c r="D2776" s="8" t="str">
        <f>IFERROR(INDEX('nav master'!$C:$C, MATCH(B2776, 'nav master'!$B:$B, 0)), "")</f>
        <v>ULIF07828/02/25Alpha300Fd101</v>
      </c>
      <c r="E2776" s="8" t="s">
        <v>472</v>
      </c>
      <c r="F2776" s="8" t="s">
        <v>3080</v>
      </c>
    </row>
    <row r="2777" spans="1:6" ht="60" x14ac:dyDescent="0.25">
      <c r="A2777" s="8" t="s">
        <v>125</v>
      </c>
      <c r="B2777" s="8" t="s">
        <v>157</v>
      </c>
      <c r="C2777" s="8" t="str">
        <f>IFERROR(_xlfn.XLOOKUP(TRIM(B2777),Lookup!$B$2:$B$1000,Lookup!$C$2:$C$1000),"")</f>
        <v>Equity</v>
      </c>
      <c r="D2777" s="8" t="str">
        <f>IFERROR(INDEX('nav master'!$C:$C, MATCH(B2777, 'nav master'!$B:$B, 0)), "")</f>
        <v>ULIF07828/02/25Alpha300Fd101</v>
      </c>
      <c r="E2777" s="8" t="s">
        <v>474</v>
      </c>
      <c r="F2777" s="8" t="s">
        <v>3081</v>
      </c>
    </row>
    <row r="2778" spans="1:6" ht="60" x14ac:dyDescent="0.25">
      <c r="A2778" s="8" t="s">
        <v>125</v>
      </c>
      <c r="B2778" s="8" t="s">
        <v>157</v>
      </c>
      <c r="C2778" s="8" t="str">
        <f>IFERROR(_xlfn.XLOOKUP(TRIM(B2778),Lookup!$B$2:$B$1000,Lookup!$C$2:$C$1000),"")</f>
        <v>Equity</v>
      </c>
      <c r="D2778" s="8" t="str">
        <f>IFERROR(INDEX('nav master'!$C:$C, MATCH(B2778, 'nav master'!$B:$B, 0)), "")</f>
        <v>ULIF07828/02/25Alpha300Fd101</v>
      </c>
      <c r="E2778" s="8" t="s">
        <v>476</v>
      </c>
      <c r="F2778" s="8" t="s">
        <v>3082</v>
      </c>
    </row>
    <row r="2779" spans="1:6" ht="60" x14ac:dyDescent="0.25">
      <c r="A2779" s="8" t="s">
        <v>125</v>
      </c>
      <c r="B2779" s="8" t="s">
        <v>157</v>
      </c>
      <c r="C2779" s="8" t="str">
        <f>IFERROR(_xlfn.XLOOKUP(TRIM(B2779),Lookup!$B$2:$B$1000,Lookup!$C$2:$C$1000),"")</f>
        <v>Equity</v>
      </c>
      <c r="D2779" s="8" t="str">
        <f>IFERROR(INDEX('nav master'!$C:$C, MATCH(B2779, 'nav master'!$B:$B, 0)), "")</f>
        <v>ULIF07828/02/25Alpha300Fd101</v>
      </c>
      <c r="E2779" s="8" t="s">
        <v>478</v>
      </c>
      <c r="F2779" s="8" t="s">
        <v>3083</v>
      </c>
    </row>
    <row r="2780" spans="1:6" ht="60" x14ac:dyDescent="0.25">
      <c r="A2780" s="8" t="s">
        <v>125</v>
      </c>
      <c r="B2780" s="8" t="s">
        <v>157</v>
      </c>
      <c r="C2780" s="8" t="str">
        <f>IFERROR(_xlfn.XLOOKUP(TRIM(B2780),Lookup!$B$2:$B$1000,Lookup!$C$2:$C$1000),"")</f>
        <v>Equity</v>
      </c>
      <c r="D2780" s="8" t="str">
        <f>IFERROR(INDEX('nav master'!$C:$C, MATCH(B2780, 'nav master'!$B:$B, 0)), "")</f>
        <v>ULIF07828/02/25Alpha300Fd101</v>
      </c>
      <c r="E2780" s="8" t="s">
        <v>480</v>
      </c>
      <c r="F2780" s="8" t="s">
        <v>3084</v>
      </c>
    </row>
    <row r="2781" spans="1:6" ht="60" x14ac:dyDescent="0.25">
      <c r="A2781" s="8" t="s">
        <v>125</v>
      </c>
      <c r="B2781" s="8" t="s">
        <v>157</v>
      </c>
      <c r="C2781" s="8" t="str">
        <f>IFERROR(_xlfn.XLOOKUP(TRIM(B2781),Lookup!$B$2:$B$1000,Lookup!$C$2:$C$1000),"")</f>
        <v>Equity</v>
      </c>
      <c r="D2781" s="8" t="str">
        <f>IFERROR(INDEX('nav master'!$C:$C, MATCH(B2781, 'nav master'!$B:$B, 0)), "")</f>
        <v>ULIF07828/02/25Alpha300Fd101</v>
      </c>
      <c r="E2781" s="8" t="s">
        <v>482</v>
      </c>
      <c r="F2781" s="8" t="s">
        <v>3085</v>
      </c>
    </row>
    <row r="2782" spans="1:6" ht="60" x14ac:dyDescent="0.25">
      <c r="A2782" s="8" t="s">
        <v>125</v>
      </c>
      <c r="B2782" s="8" t="s">
        <v>157</v>
      </c>
      <c r="C2782" s="8" t="str">
        <f>IFERROR(_xlfn.XLOOKUP(TRIM(B2782),Lookup!$B$2:$B$1000,Lookup!$C$2:$C$1000),"")</f>
        <v>Equity</v>
      </c>
      <c r="D2782" s="8" t="str">
        <f>IFERROR(INDEX('nav master'!$C:$C, MATCH(B2782, 'nav master'!$B:$B, 0)), "")</f>
        <v>ULIF07828/02/25Alpha300Fd101</v>
      </c>
      <c r="E2782" s="8" t="s">
        <v>484</v>
      </c>
      <c r="F2782" s="8" t="s">
        <v>3086</v>
      </c>
    </row>
    <row r="2783" spans="1:6" ht="60" x14ac:dyDescent="0.25">
      <c r="A2783" s="8" t="s">
        <v>125</v>
      </c>
      <c r="B2783" s="8" t="s">
        <v>157</v>
      </c>
      <c r="C2783" s="8" t="str">
        <f>IFERROR(_xlfn.XLOOKUP(TRIM(B2783),Lookup!$B$2:$B$1000,Lookup!$C$2:$C$1000),"")</f>
        <v>Equity</v>
      </c>
      <c r="D2783" s="8" t="str">
        <f>IFERROR(INDEX('nav master'!$C:$C, MATCH(B2783, 'nav master'!$B:$B, 0)), "")</f>
        <v>ULIF07828/02/25Alpha300Fd101</v>
      </c>
      <c r="E2783" s="8" t="s">
        <v>486</v>
      </c>
      <c r="F2783" s="8" t="s">
        <v>3087</v>
      </c>
    </row>
    <row r="2784" spans="1:6" ht="60" x14ac:dyDescent="0.25">
      <c r="A2784" s="8" t="s">
        <v>125</v>
      </c>
      <c r="B2784" s="8" t="s">
        <v>157</v>
      </c>
      <c r="C2784" s="8" t="str">
        <f>IFERROR(_xlfn.XLOOKUP(TRIM(B2784),Lookup!$B$2:$B$1000,Lookup!$C$2:$C$1000),"")</f>
        <v>Equity</v>
      </c>
      <c r="D2784" s="8" t="str">
        <f>IFERROR(INDEX('nav master'!$C:$C, MATCH(B2784, 'nav master'!$B:$B, 0)), "")</f>
        <v>ULIF07828/02/25Alpha300Fd101</v>
      </c>
      <c r="E2784" s="8" t="s">
        <v>488</v>
      </c>
      <c r="F2784" s="8" t="s">
        <v>3088</v>
      </c>
    </row>
    <row r="2785" spans="1:6" ht="60" x14ac:dyDescent="0.25">
      <c r="A2785" s="8" t="s">
        <v>125</v>
      </c>
      <c r="B2785" s="8" t="s">
        <v>157</v>
      </c>
      <c r="C2785" s="8" t="str">
        <f>IFERROR(_xlfn.XLOOKUP(TRIM(B2785),Lookup!$B$2:$B$1000,Lookup!$C$2:$C$1000),"")</f>
        <v>Equity</v>
      </c>
      <c r="D2785" s="8" t="str">
        <f>IFERROR(INDEX('nav master'!$C:$C, MATCH(B2785, 'nav master'!$B:$B, 0)), "")</f>
        <v>ULIF07828/02/25Alpha300Fd101</v>
      </c>
      <c r="E2785" s="8" t="s">
        <v>490</v>
      </c>
      <c r="F2785" s="8" t="s">
        <v>3089</v>
      </c>
    </row>
    <row r="2786" spans="1:6" ht="60" x14ac:dyDescent="0.25">
      <c r="A2786" s="8" t="s">
        <v>125</v>
      </c>
      <c r="B2786" s="8" t="s">
        <v>157</v>
      </c>
      <c r="C2786" s="8" t="str">
        <f>IFERROR(_xlfn.XLOOKUP(TRIM(B2786),Lookup!$B$2:$B$1000,Lookup!$C$2:$C$1000),"")</f>
        <v>Equity</v>
      </c>
      <c r="D2786" s="8" t="str">
        <f>IFERROR(INDEX('nav master'!$C:$C, MATCH(B2786, 'nav master'!$B:$B, 0)), "")</f>
        <v>ULIF07828/02/25Alpha300Fd101</v>
      </c>
      <c r="E2786" s="8" t="s">
        <v>492</v>
      </c>
      <c r="F2786" s="8" t="s">
        <v>3090</v>
      </c>
    </row>
    <row r="2787" spans="1:6" ht="60" x14ac:dyDescent="0.25">
      <c r="A2787" s="8" t="s">
        <v>125</v>
      </c>
      <c r="B2787" s="8" t="s">
        <v>157</v>
      </c>
      <c r="C2787" s="8" t="str">
        <f>IFERROR(_xlfn.XLOOKUP(TRIM(B2787),Lookup!$B$2:$B$1000,Lookup!$C$2:$C$1000),"")</f>
        <v>Equity</v>
      </c>
      <c r="D2787" s="8" t="str">
        <f>IFERROR(INDEX('nav master'!$C:$C, MATCH(B2787, 'nav master'!$B:$B, 0)), "")</f>
        <v>ULIF07828/02/25Alpha300Fd101</v>
      </c>
      <c r="E2787" s="8" t="s">
        <v>494</v>
      </c>
      <c r="F2787" s="8" t="s">
        <v>3091</v>
      </c>
    </row>
    <row r="2788" spans="1:6" ht="60" x14ac:dyDescent="0.25">
      <c r="A2788" s="8" t="s">
        <v>125</v>
      </c>
      <c r="B2788" s="8" t="s">
        <v>157</v>
      </c>
      <c r="C2788" s="8" t="str">
        <f>IFERROR(_xlfn.XLOOKUP(TRIM(B2788),Lookup!$B$2:$B$1000,Lookup!$C$2:$C$1000),"")</f>
        <v>Equity</v>
      </c>
      <c r="D2788" s="8" t="str">
        <f>IFERROR(INDEX('nav master'!$C:$C, MATCH(B2788, 'nav master'!$B:$B, 0)), "")</f>
        <v>ULIF07828/02/25Alpha300Fd101</v>
      </c>
      <c r="E2788" s="8" t="s">
        <v>496</v>
      </c>
      <c r="F2788" s="8" t="s">
        <v>3092</v>
      </c>
    </row>
    <row r="2789" spans="1:6" ht="60" x14ac:dyDescent="0.25">
      <c r="A2789" s="8" t="s">
        <v>125</v>
      </c>
      <c r="B2789" s="8" t="s">
        <v>157</v>
      </c>
      <c r="C2789" s="8" t="str">
        <f>IFERROR(_xlfn.XLOOKUP(TRIM(B2789),Lookup!$B$2:$B$1000,Lookup!$C$2:$C$1000),"")</f>
        <v>Equity</v>
      </c>
      <c r="D2789" s="8" t="str">
        <f>IFERROR(INDEX('nav master'!$C:$C, MATCH(B2789, 'nav master'!$B:$B, 0)), "")</f>
        <v>ULIF07828/02/25Alpha300Fd101</v>
      </c>
      <c r="E2789" s="8" t="s">
        <v>498</v>
      </c>
      <c r="F2789" s="8" t="s">
        <v>3093</v>
      </c>
    </row>
    <row r="2790" spans="1:6" ht="60" x14ac:dyDescent="0.25">
      <c r="A2790" s="8" t="s">
        <v>125</v>
      </c>
      <c r="B2790" s="8" t="s">
        <v>157</v>
      </c>
      <c r="C2790" s="8" t="str">
        <f>IFERROR(_xlfn.XLOOKUP(TRIM(B2790),Lookup!$B$2:$B$1000,Lookup!$C$2:$C$1000),"")</f>
        <v>Equity</v>
      </c>
      <c r="D2790" s="8" t="str">
        <f>IFERROR(INDEX('nav master'!$C:$C, MATCH(B2790, 'nav master'!$B:$B, 0)), "")</f>
        <v>ULIF07828/02/25Alpha300Fd101</v>
      </c>
      <c r="E2790" s="8" t="s">
        <v>500</v>
      </c>
      <c r="F2790" s="8" t="s">
        <v>3094</v>
      </c>
    </row>
    <row r="2791" spans="1:6" ht="60" x14ac:dyDescent="0.25">
      <c r="A2791" s="8" t="s">
        <v>125</v>
      </c>
      <c r="B2791" s="8" t="s">
        <v>157</v>
      </c>
      <c r="C2791" s="8" t="str">
        <f>IFERROR(_xlfn.XLOOKUP(TRIM(B2791),Lookup!$B$2:$B$1000,Lookup!$C$2:$C$1000),"")</f>
        <v>Equity</v>
      </c>
      <c r="D2791" s="8" t="str">
        <f>IFERROR(INDEX('nav master'!$C:$C, MATCH(B2791, 'nav master'!$B:$B, 0)), "")</f>
        <v>ULIF07828/02/25Alpha300Fd101</v>
      </c>
      <c r="E2791" s="8" t="s">
        <v>502</v>
      </c>
      <c r="F2791" s="8" t="s">
        <v>3095</v>
      </c>
    </row>
    <row r="2792" spans="1:6" ht="60" x14ac:dyDescent="0.25">
      <c r="A2792" s="8" t="s">
        <v>125</v>
      </c>
      <c r="B2792" s="8" t="s">
        <v>157</v>
      </c>
      <c r="C2792" s="8" t="str">
        <f>IFERROR(_xlfn.XLOOKUP(TRIM(B2792),Lookup!$B$2:$B$1000,Lookup!$C$2:$C$1000),"")</f>
        <v>Equity</v>
      </c>
      <c r="D2792" s="8" t="str">
        <f>IFERROR(INDEX('nav master'!$C:$C, MATCH(B2792, 'nav master'!$B:$B, 0)), "")</f>
        <v>ULIF07828/02/25Alpha300Fd101</v>
      </c>
      <c r="E2792" s="8" t="s">
        <v>504</v>
      </c>
      <c r="F2792" s="8" t="s">
        <v>1179</v>
      </c>
    </row>
    <row r="2793" spans="1:6" ht="60" x14ac:dyDescent="0.25">
      <c r="A2793" s="8" t="s">
        <v>125</v>
      </c>
      <c r="B2793" s="8" t="s">
        <v>157</v>
      </c>
      <c r="C2793" s="8" t="str">
        <f>IFERROR(_xlfn.XLOOKUP(TRIM(B2793),Lookup!$B$2:$B$1000,Lookup!$C$2:$C$1000),"")</f>
        <v>Equity</v>
      </c>
      <c r="D2793" s="8" t="str">
        <f>IFERROR(INDEX('nav master'!$C:$C, MATCH(B2793, 'nav master'!$B:$B, 0)), "")</f>
        <v>ULIF07828/02/25Alpha300Fd101</v>
      </c>
      <c r="E2793" s="8" t="s">
        <v>506</v>
      </c>
      <c r="F2793" s="8" t="s">
        <v>3096</v>
      </c>
    </row>
    <row r="2794" spans="1:6" ht="60" x14ac:dyDescent="0.25">
      <c r="A2794" s="8" t="s">
        <v>125</v>
      </c>
      <c r="B2794" s="8" t="s">
        <v>157</v>
      </c>
      <c r="C2794" s="8" t="str">
        <f>IFERROR(_xlfn.XLOOKUP(TRIM(B2794),Lookup!$B$2:$B$1000,Lookup!$C$2:$C$1000),"")</f>
        <v>Equity</v>
      </c>
      <c r="D2794" s="8" t="str">
        <f>IFERROR(INDEX('nav master'!$C:$C, MATCH(B2794, 'nav master'!$B:$B, 0)), "")</f>
        <v>ULIF07828/02/25Alpha300Fd101</v>
      </c>
      <c r="E2794" s="8" t="s">
        <v>508</v>
      </c>
      <c r="F2794" s="8" t="s">
        <v>1455</v>
      </c>
    </row>
    <row r="2795" spans="1:6" ht="60" x14ac:dyDescent="0.25">
      <c r="A2795" s="8" t="s">
        <v>125</v>
      </c>
      <c r="B2795" s="8" t="s">
        <v>157</v>
      </c>
      <c r="C2795" s="8" t="str">
        <f>IFERROR(_xlfn.XLOOKUP(TRIM(B2795),Lookup!$B$2:$B$1000,Lookup!$C$2:$C$1000),"")</f>
        <v>Equity</v>
      </c>
      <c r="D2795" s="8" t="str">
        <f>IFERROR(INDEX('nav master'!$C:$C, MATCH(B2795, 'nav master'!$B:$B, 0)), "")</f>
        <v>ULIF07828/02/25Alpha300Fd101</v>
      </c>
      <c r="E2795" s="8" t="s">
        <v>510</v>
      </c>
      <c r="F2795" s="8" t="s">
        <v>3097</v>
      </c>
    </row>
    <row r="2796" spans="1:6" ht="60" x14ac:dyDescent="0.25">
      <c r="A2796" s="8" t="s">
        <v>125</v>
      </c>
      <c r="B2796" s="8" t="s">
        <v>157</v>
      </c>
      <c r="C2796" s="8" t="str">
        <f>IFERROR(_xlfn.XLOOKUP(TRIM(B2796),Lookup!$B$2:$B$1000,Lookup!$C$2:$C$1000),"")</f>
        <v>Equity</v>
      </c>
      <c r="D2796" s="8" t="str">
        <f>IFERROR(INDEX('nav master'!$C:$C, MATCH(B2796, 'nav master'!$B:$B, 0)), "")</f>
        <v>ULIF07828/02/25Alpha300Fd101</v>
      </c>
      <c r="E2796" s="8" t="s">
        <v>512</v>
      </c>
      <c r="F2796" s="8" t="s">
        <v>3098</v>
      </c>
    </row>
    <row r="2797" spans="1:6" ht="60" x14ac:dyDescent="0.25">
      <c r="A2797" s="8" t="s">
        <v>125</v>
      </c>
      <c r="B2797" s="8" t="s">
        <v>157</v>
      </c>
      <c r="C2797" s="8" t="str">
        <f>IFERROR(_xlfn.XLOOKUP(TRIM(B2797),Lookup!$B$2:$B$1000,Lookup!$C$2:$C$1000),"")</f>
        <v>Equity</v>
      </c>
      <c r="D2797" s="8" t="str">
        <f>IFERROR(INDEX('nav master'!$C:$C, MATCH(B2797, 'nav master'!$B:$B, 0)), "")</f>
        <v>ULIF07828/02/25Alpha300Fd101</v>
      </c>
      <c r="E2797" s="8" t="s">
        <v>514</v>
      </c>
      <c r="F2797" s="8" t="s">
        <v>3099</v>
      </c>
    </row>
    <row r="2798" spans="1:6" ht="60" x14ac:dyDescent="0.25">
      <c r="A2798" s="8" t="s">
        <v>125</v>
      </c>
      <c r="B2798" s="8" t="s">
        <v>157</v>
      </c>
      <c r="C2798" s="8" t="str">
        <f>IFERROR(_xlfn.XLOOKUP(TRIM(B2798),Lookup!$B$2:$B$1000,Lookup!$C$2:$C$1000),"")</f>
        <v>Equity</v>
      </c>
      <c r="D2798" s="8" t="str">
        <f>IFERROR(INDEX('nav master'!$C:$C, MATCH(B2798, 'nav master'!$B:$B, 0)), "")</f>
        <v>ULIF07828/02/25Alpha300Fd101</v>
      </c>
      <c r="E2798" s="8" t="s">
        <v>516</v>
      </c>
      <c r="F2798" s="8" t="s">
        <v>3100</v>
      </c>
    </row>
    <row r="2799" spans="1:6" ht="60" x14ac:dyDescent="0.25">
      <c r="A2799" s="8" t="s">
        <v>125</v>
      </c>
      <c r="B2799" s="8" t="s">
        <v>157</v>
      </c>
      <c r="C2799" s="8" t="str">
        <f>IFERROR(_xlfn.XLOOKUP(TRIM(B2799),Lookup!$B$2:$B$1000,Lookup!$C$2:$C$1000),"")</f>
        <v>Equity</v>
      </c>
      <c r="D2799" s="8" t="str">
        <f>IFERROR(INDEX('nav master'!$C:$C, MATCH(B2799, 'nav master'!$B:$B, 0)), "")</f>
        <v>ULIF07828/02/25Alpha300Fd101</v>
      </c>
      <c r="E2799" s="8" t="s">
        <v>518</v>
      </c>
      <c r="F2799" s="8" t="s">
        <v>3101</v>
      </c>
    </row>
    <row r="2800" spans="1:6" ht="60" x14ac:dyDescent="0.25">
      <c r="A2800" s="8" t="s">
        <v>125</v>
      </c>
      <c r="B2800" s="8" t="s">
        <v>157</v>
      </c>
      <c r="C2800" s="8" t="str">
        <f>IFERROR(_xlfn.XLOOKUP(TRIM(B2800),Lookup!$B$2:$B$1000,Lookup!$C$2:$C$1000),"")</f>
        <v>Equity</v>
      </c>
      <c r="D2800" s="8" t="str">
        <f>IFERROR(INDEX('nav master'!$C:$C, MATCH(B2800, 'nav master'!$B:$B, 0)), "")</f>
        <v>ULIF07828/02/25Alpha300Fd101</v>
      </c>
      <c r="E2800" s="8" t="s">
        <v>520</v>
      </c>
      <c r="F2800" s="8" t="s">
        <v>3102</v>
      </c>
    </row>
    <row r="2801" spans="1:6" ht="60" x14ac:dyDescent="0.25">
      <c r="A2801" s="8" t="s">
        <v>125</v>
      </c>
      <c r="B2801" s="8" t="s">
        <v>157</v>
      </c>
      <c r="C2801" s="8" t="str">
        <f>IFERROR(_xlfn.XLOOKUP(TRIM(B2801),Lookup!$B$2:$B$1000,Lookup!$C$2:$C$1000),"")</f>
        <v>Equity</v>
      </c>
      <c r="D2801" s="8" t="str">
        <f>IFERROR(INDEX('nav master'!$C:$C, MATCH(B2801, 'nav master'!$B:$B, 0)), "")</f>
        <v>ULIF07828/02/25Alpha300Fd101</v>
      </c>
      <c r="E2801" s="8" t="s">
        <v>522</v>
      </c>
      <c r="F2801" s="8" t="s">
        <v>3103</v>
      </c>
    </row>
    <row r="2802" spans="1:6" ht="60" x14ac:dyDescent="0.25">
      <c r="A2802" s="8" t="s">
        <v>125</v>
      </c>
      <c r="B2802" s="8" t="s">
        <v>157</v>
      </c>
      <c r="C2802" s="8" t="str">
        <f>IFERROR(_xlfn.XLOOKUP(TRIM(B2802),Lookup!$B$2:$B$1000,Lookup!$C$2:$C$1000),"")</f>
        <v>Equity</v>
      </c>
      <c r="D2802" s="8" t="str">
        <f>IFERROR(INDEX('nav master'!$C:$C, MATCH(B2802, 'nav master'!$B:$B, 0)), "")</f>
        <v>ULIF07828/02/25Alpha300Fd101</v>
      </c>
      <c r="E2802" s="8" t="s">
        <v>524</v>
      </c>
      <c r="F2802" s="8" t="s">
        <v>3104</v>
      </c>
    </row>
    <row r="2803" spans="1:6" ht="60" x14ac:dyDescent="0.25">
      <c r="A2803" s="8" t="s">
        <v>125</v>
      </c>
      <c r="B2803" s="8" t="s">
        <v>157</v>
      </c>
      <c r="C2803" s="8" t="str">
        <f>IFERROR(_xlfn.XLOOKUP(TRIM(B2803),Lookup!$B$2:$B$1000,Lookup!$C$2:$C$1000),"")</f>
        <v>Equity</v>
      </c>
      <c r="D2803" s="8" t="str">
        <f>IFERROR(INDEX('nav master'!$C:$C, MATCH(B2803, 'nav master'!$B:$B, 0)), "")</f>
        <v>ULIF07828/02/25Alpha300Fd101</v>
      </c>
      <c r="E2803" s="8" t="s">
        <v>526</v>
      </c>
      <c r="F2803" s="8" t="s">
        <v>3105</v>
      </c>
    </row>
    <row r="2804" spans="1:6" ht="60" x14ac:dyDescent="0.25">
      <c r="A2804" s="8" t="s">
        <v>125</v>
      </c>
      <c r="B2804" s="8" t="s">
        <v>157</v>
      </c>
      <c r="C2804" s="8" t="str">
        <f>IFERROR(_xlfn.XLOOKUP(TRIM(B2804),Lookup!$B$2:$B$1000,Lookup!$C$2:$C$1000),"")</f>
        <v>Equity</v>
      </c>
      <c r="D2804" s="8" t="str">
        <f>IFERROR(INDEX('nav master'!$C:$C, MATCH(B2804, 'nav master'!$B:$B, 0)), "")</f>
        <v>ULIF07828/02/25Alpha300Fd101</v>
      </c>
      <c r="E2804" s="8" t="s">
        <v>528</v>
      </c>
      <c r="F2804" s="8" t="s">
        <v>3032</v>
      </c>
    </row>
    <row r="2805" spans="1:6" ht="60" x14ac:dyDescent="0.25">
      <c r="A2805" s="8" t="s">
        <v>125</v>
      </c>
      <c r="B2805" s="8" t="s">
        <v>157</v>
      </c>
      <c r="C2805" s="8" t="str">
        <f>IFERROR(_xlfn.XLOOKUP(TRIM(B2805),Lookup!$B$2:$B$1000,Lookup!$C$2:$C$1000),"")</f>
        <v>Equity</v>
      </c>
      <c r="D2805" s="8" t="str">
        <f>IFERROR(INDEX('nav master'!$C:$C, MATCH(B2805, 'nav master'!$B:$B, 0)), "")</f>
        <v>ULIF07828/02/25Alpha300Fd101</v>
      </c>
      <c r="E2805" s="8" t="s">
        <v>530</v>
      </c>
      <c r="F2805" s="8" t="s">
        <v>3106</v>
      </c>
    </row>
    <row r="2806" spans="1:6" ht="60" x14ac:dyDescent="0.25">
      <c r="A2806" s="8" t="s">
        <v>125</v>
      </c>
      <c r="B2806" s="8" t="s">
        <v>157</v>
      </c>
      <c r="C2806" s="8" t="str">
        <f>IFERROR(_xlfn.XLOOKUP(TRIM(B2806),Lookup!$B$2:$B$1000,Lookup!$C$2:$C$1000),"")</f>
        <v>Equity</v>
      </c>
      <c r="D2806" s="8" t="str">
        <f>IFERROR(INDEX('nav master'!$C:$C, MATCH(B2806, 'nav master'!$B:$B, 0)), "")</f>
        <v>ULIF07828/02/25Alpha300Fd101</v>
      </c>
      <c r="E2806" s="8" t="s">
        <v>532</v>
      </c>
      <c r="F2806" s="8" t="s">
        <v>3107</v>
      </c>
    </row>
    <row r="2807" spans="1:6" ht="60" x14ac:dyDescent="0.25">
      <c r="A2807" s="8" t="s">
        <v>125</v>
      </c>
      <c r="B2807" s="8" t="s">
        <v>157</v>
      </c>
      <c r="C2807" s="8" t="str">
        <f>IFERROR(_xlfn.XLOOKUP(TRIM(B2807),Lookup!$B$2:$B$1000,Lookup!$C$2:$C$1000),"")</f>
        <v>Equity</v>
      </c>
      <c r="D2807" s="8" t="str">
        <f>IFERROR(INDEX('nav master'!$C:$C, MATCH(B2807, 'nav master'!$B:$B, 0)), "")</f>
        <v>ULIF07828/02/25Alpha300Fd101</v>
      </c>
      <c r="E2807" s="8" t="s">
        <v>534</v>
      </c>
      <c r="F2807" s="8" t="s">
        <v>3108</v>
      </c>
    </row>
    <row r="2808" spans="1:6" ht="60" x14ac:dyDescent="0.25">
      <c r="A2808" s="8" t="s">
        <v>125</v>
      </c>
      <c r="B2808" s="8" t="s">
        <v>157</v>
      </c>
      <c r="C2808" s="8" t="str">
        <f>IFERROR(_xlfn.XLOOKUP(TRIM(B2808),Lookup!$B$2:$B$1000,Lookup!$C$2:$C$1000),"")</f>
        <v>Equity</v>
      </c>
      <c r="D2808" s="8" t="str">
        <f>IFERROR(INDEX('nav master'!$C:$C, MATCH(B2808, 'nav master'!$B:$B, 0)), "")</f>
        <v>ULIF07828/02/25Alpha300Fd101</v>
      </c>
      <c r="E2808" s="8" t="s">
        <v>536</v>
      </c>
      <c r="F2808" s="8" t="s">
        <v>3109</v>
      </c>
    </row>
    <row r="2809" spans="1:6" ht="60" x14ac:dyDescent="0.25">
      <c r="A2809" s="8" t="s">
        <v>125</v>
      </c>
      <c r="B2809" s="8" t="s">
        <v>157</v>
      </c>
      <c r="C2809" s="8" t="str">
        <f>IFERROR(_xlfn.XLOOKUP(TRIM(B2809),Lookup!$B$2:$B$1000,Lookup!$C$2:$C$1000),"")</f>
        <v>Equity</v>
      </c>
      <c r="D2809" s="8" t="str">
        <f>IFERROR(INDEX('nav master'!$C:$C, MATCH(B2809, 'nav master'!$B:$B, 0)), "")</f>
        <v>ULIF07828/02/25Alpha300Fd101</v>
      </c>
      <c r="E2809" s="8" t="s">
        <v>538</v>
      </c>
      <c r="F2809" s="8" t="s">
        <v>3110</v>
      </c>
    </row>
    <row r="2810" spans="1:6" ht="60" x14ac:dyDescent="0.25">
      <c r="A2810" s="8" t="s">
        <v>125</v>
      </c>
      <c r="B2810" s="8" t="s">
        <v>157</v>
      </c>
      <c r="C2810" s="8" t="str">
        <f>IFERROR(_xlfn.XLOOKUP(TRIM(B2810),Lookup!$B$2:$B$1000,Lookup!$C$2:$C$1000),"")</f>
        <v>Equity</v>
      </c>
      <c r="D2810" s="8" t="str">
        <f>IFERROR(INDEX('nav master'!$C:$C, MATCH(B2810, 'nav master'!$B:$B, 0)), "")</f>
        <v>ULIF07828/02/25Alpha300Fd101</v>
      </c>
      <c r="E2810" s="8" t="s">
        <v>540</v>
      </c>
      <c r="F2810" s="8" t="s">
        <v>3111</v>
      </c>
    </row>
    <row r="2811" spans="1:6" ht="60" x14ac:dyDescent="0.25">
      <c r="A2811" s="8" t="s">
        <v>125</v>
      </c>
      <c r="B2811" s="8" t="s">
        <v>157</v>
      </c>
      <c r="C2811" s="8" t="str">
        <f>IFERROR(_xlfn.XLOOKUP(TRIM(B2811),Lookup!$B$2:$B$1000,Lookup!$C$2:$C$1000),"")</f>
        <v>Equity</v>
      </c>
      <c r="D2811" s="8" t="str">
        <f>IFERROR(INDEX('nav master'!$C:$C, MATCH(B2811, 'nav master'!$B:$B, 0)), "")</f>
        <v>ULIF07828/02/25Alpha300Fd101</v>
      </c>
      <c r="E2811" s="8" t="s">
        <v>542</v>
      </c>
      <c r="F2811" s="8" t="s">
        <v>3112</v>
      </c>
    </row>
    <row r="2812" spans="1:6" ht="60" x14ac:dyDescent="0.25">
      <c r="A2812" s="8" t="s">
        <v>125</v>
      </c>
      <c r="B2812" s="8" t="s">
        <v>157</v>
      </c>
      <c r="C2812" s="8" t="str">
        <f>IFERROR(_xlfn.XLOOKUP(TRIM(B2812),Lookup!$B$2:$B$1000,Lookup!$C$2:$C$1000),"")</f>
        <v>Equity</v>
      </c>
      <c r="D2812" s="8" t="str">
        <f>IFERROR(INDEX('nav master'!$C:$C, MATCH(B2812, 'nav master'!$B:$B, 0)), "")</f>
        <v>ULIF07828/02/25Alpha300Fd101</v>
      </c>
      <c r="E2812" s="8" t="s">
        <v>544</v>
      </c>
      <c r="F2812" s="8" t="s">
        <v>3113</v>
      </c>
    </row>
    <row r="2813" spans="1:6" ht="60" x14ac:dyDescent="0.25">
      <c r="A2813" s="8" t="s">
        <v>125</v>
      </c>
      <c r="B2813" s="8" t="s">
        <v>157</v>
      </c>
      <c r="C2813" s="8" t="str">
        <f>IFERROR(_xlfn.XLOOKUP(TRIM(B2813),Lookup!$B$2:$B$1000,Lookup!$C$2:$C$1000),"")</f>
        <v>Equity</v>
      </c>
      <c r="D2813" s="8" t="str">
        <f>IFERROR(INDEX('nav master'!$C:$C, MATCH(B2813, 'nav master'!$B:$B, 0)), "")</f>
        <v>ULIF07828/02/25Alpha300Fd101</v>
      </c>
      <c r="E2813" s="8" t="s">
        <v>546</v>
      </c>
      <c r="F2813" s="8" t="s">
        <v>3114</v>
      </c>
    </row>
    <row r="2814" spans="1:6" ht="60" x14ac:dyDescent="0.25">
      <c r="A2814" s="8" t="s">
        <v>125</v>
      </c>
      <c r="B2814" s="8" t="s">
        <v>157</v>
      </c>
      <c r="C2814" s="8" t="str">
        <f>IFERROR(_xlfn.XLOOKUP(TRIM(B2814),Lookup!$B$2:$B$1000,Lookup!$C$2:$C$1000),"")</f>
        <v>Equity</v>
      </c>
      <c r="D2814" s="8" t="str">
        <f>IFERROR(INDEX('nav master'!$C:$C, MATCH(B2814, 'nav master'!$B:$B, 0)), "")</f>
        <v>ULIF07828/02/25Alpha300Fd101</v>
      </c>
      <c r="E2814" s="8" t="s">
        <v>548</v>
      </c>
      <c r="F2814" s="8" t="s">
        <v>3115</v>
      </c>
    </row>
    <row r="2815" spans="1:6" ht="60" x14ac:dyDescent="0.25">
      <c r="A2815" s="8" t="s">
        <v>125</v>
      </c>
      <c r="B2815" s="8" t="s">
        <v>157</v>
      </c>
      <c r="C2815" s="8" t="str">
        <f>IFERROR(_xlfn.XLOOKUP(TRIM(B2815),Lookup!$B$2:$B$1000,Lookup!$C$2:$C$1000),"")</f>
        <v>Equity</v>
      </c>
      <c r="D2815" s="8" t="str">
        <f>IFERROR(INDEX('nav master'!$C:$C, MATCH(B2815, 'nav master'!$B:$B, 0)), "")</f>
        <v>ULIF07828/02/25Alpha300Fd101</v>
      </c>
      <c r="E2815" s="8" t="s">
        <v>550</v>
      </c>
      <c r="F2815" s="8" t="s">
        <v>3116</v>
      </c>
    </row>
    <row r="2816" spans="1:6" ht="60" x14ac:dyDescent="0.25">
      <c r="A2816" s="8" t="s">
        <v>125</v>
      </c>
      <c r="B2816" s="8" t="s">
        <v>157</v>
      </c>
      <c r="C2816" s="8" t="str">
        <f>IFERROR(_xlfn.XLOOKUP(TRIM(B2816),Lookup!$B$2:$B$1000,Lookup!$C$2:$C$1000),"")</f>
        <v>Equity</v>
      </c>
      <c r="D2816" s="8" t="str">
        <f>IFERROR(INDEX('nav master'!$C:$C, MATCH(B2816, 'nav master'!$B:$B, 0)), "")</f>
        <v>ULIF07828/02/25Alpha300Fd101</v>
      </c>
      <c r="E2816" s="8" t="s">
        <v>552</v>
      </c>
      <c r="F2816" s="8" t="s">
        <v>3117</v>
      </c>
    </row>
    <row r="2817" spans="1:6" ht="60" x14ac:dyDescent="0.25">
      <c r="A2817" s="8" t="s">
        <v>125</v>
      </c>
      <c r="B2817" s="8" t="s">
        <v>157</v>
      </c>
      <c r="C2817" s="8" t="str">
        <f>IFERROR(_xlfn.XLOOKUP(TRIM(B2817),Lookup!$B$2:$B$1000,Lookup!$C$2:$C$1000),"")</f>
        <v>Equity</v>
      </c>
      <c r="D2817" s="8" t="str">
        <f>IFERROR(INDEX('nav master'!$C:$C, MATCH(B2817, 'nav master'!$B:$B, 0)), "")</f>
        <v>ULIF07828/02/25Alpha300Fd101</v>
      </c>
      <c r="E2817" s="8" t="s">
        <v>554</v>
      </c>
      <c r="F2817" s="8" t="s">
        <v>3118</v>
      </c>
    </row>
    <row r="2818" spans="1:6" ht="60" x14ac:dyDescent="0.25">
      <c r="A2818" s="8" t="s">
        <v>125</v>
      </c>
      <c r="B2818" s="8" t="s">
        <v>157</v>
      </c>
      <c r="C2818" s="8" t="str">
        <f>IFERROR(_xlfn.XLOOKUP(TRIM(B2818),Lookup!$B$2:$B$1000,Lookup!$C$2:$C$1000),"")</f>
        <v>Equity</v>
      </c>
      <c r="D2818" s="8" t="str">
        <f>IFERROR(INDEX('nav master'!$C:$C, MATCH(B2818, 'nav master'!$B:$B, 0)), "")</f>
        <v>ULIF07828/02/25Alpha300Fd101</v>
      </c>
      <c r="E2818" s="8" t="s">
        <v>556</v>
      </c>
      <c r="F2818" s="8" t="s">
        <v>3119</v>
      </c>
    </row>
    <row r="2819" spans="1:6" ht="60" x14ac:dyDescent="0.25">
      <c r="A2819" s="8" t="s">
        <v>125</v>
      </c>
      <c r="B2819" s="8" t="s">
        <v>157</v>
      </c>
      <c r="C2819" s="8" t="str">
        <f>IFERROR(_xlfn.XLOOKUP(TRIM(B2819),Lookup!$B$2:$B$1000,Lookup!$C$2:$C$1000),"")</f>
        <v>Equity</v>
      </c>
      <c r="D2819" s="8" t="str">
        <f>IFERROR(INDEX('nav master'!$C:$C, MATCH(B2819, 'nav master'!$B:$B, 0)), "")</f>
        <v>ULIF07828/02/25Alpha300Fd101</v>
      </c>
      <c r="E2819" s="8" t="s">
        <v>558</v>
      </c>
      <c r="F2819" s="8" t="s">
        <v>3120</v>
      </c>
    </row>
    <row r="2820" spans="1:6" ht="60" x14ac:dyDescent="0.25">
      <c r="A2820" s="8" t="s">
        <v>125</v>
      </c>
      <c r="B2820" s="8" t="s">
        <v>157</v>
      </c>
      <c r="C2820" s="8" t="str">
        <f>IFERROR(_xlfn.XLOOKUP(TRIM(B2820),Lookup!$B$2:$B$1000,Lookup!$C$2:$C$1000),"")</f>
        <v>Equity</v>
      </c>
      <c r="D2820" s="8" t="str">
        <f>IFERROR(INDEX('nav master'!$C:$C, MATCH(B2820, 'nav master'!$B:$B, 0)), "")</f>
        <v>ULIF07828/02/25Alpha300Fd101</v>
      </c>
      <c r="E2820" s="8" t="s">
        <v>560</v>
      </c>
      <c r="F2820" s="8" t="s">
        <v>3121</v>
      </c>
    </row>
    <row r="2821" spans="1:6" ht="60" x14ac:dyDescent="0.25">
      <c r="A2821" s="8" t="s">
        <v>125</v>
      </c>
      <c r="B2821" s="8" t="s">
        <v>157</v>
      </c>
      <c r="C2821" s="8" t="str">
        <f>IFERROR(_xlfn.XLOOKUP(TRIM(B2821),Lookup!$B$2:$B$1000,Lookup!$C$2:$C$1000),"")</f>
        <v>Equity</v>
      </c>
      <c r="D2821" s="8" t="str">
        <f>IFERROR(INDEX('nav master'!$C:$C, MATCH(B2821, 'nav master'!$B:$B, 0)), "")</f>
        <v>ULIF07828/02/25Alpha300Fd101</v>
      </c>
      <c r="E2821" s="8" t="s">
        <v>562</v>
      </c>
      <c r="F2821" s="8" t="s">
        <v>3122</v>
      </c>
    </row>
    <row r="2822" spans="1:6" ht="60" x14ac:dyDescent="0.25">
      <c r="A2822" s="8" t="s">
        <v>125</v>
      </c>
      <c r="B2822" s="8" t="s">
        <v>157</v>
      </c>
      <c r="C2822" s="8" t="str">
        <f>IFERROR(_xlfn.XLOOKUP(TRIM(B2822),Lookup!$B$2:$B$1000,Lookup!$C$2:$C$1000),"")</f>
        <v>Equity</v>
      </c>
      <c r="D2822" s="8" t="str">
        <f>IFERROR(INDEX('nav master'!$C:$C, MATCH(B2822, 'nav master'!$B:$B, 0)), "")</f>
        <v>ULIF07828/02/25Alpha300Fd101</v>
      </c>
      <c r="E2822" s="8" t="s">
        <v>564</v>
      </c>
      <c r="F2822" s="8" t="s">
        <v>3123</v>
      </c>
    </row>
    <row r="2823" spans="1:6" ht="60" x14ac:dyDescent="0.25">
      <c r="A2823" s="8" t="s">
        <v>125</v>
      </c>
      <c r="B2823" s="8" t="s">
        <v>157</v>
      </c>
      <c r="C2823" s="8" t="str">
        <f>IFERROR(_xlfn.XLOOKUP(TRIM(B2823),Lookup!$B$2:$B$1000,Lookup!$C$2:$C$1000),"")</f>
        <v>Equity</v>
      </c>
      <c r="D2823" s="8" t="str">
        <f>IFERROR(INDEX('nav master'!$C:$C, MATCH(B2823, 'nav master'!$B:$B, 0)), "")</f>
        <v>ULIF07828/02/25Alpha300Fd101</v>
      </c>
      <c r="E2823" s="8" t="s">
        <v>566</v>
      </c>
      <c r="F2823" s="8" t="s">
        <v>3124</v>
      </c>
    </row>
    <row r="2824" spans="1:6" ht="60" x14ac:dyDescent="0.25">
      <c r="A2824" s="8" t="s">
        <v>125</v>
      </c>
      <c r="B2824" s="8" t="s">
        <v>157</v>
      </c>
      <c r="C2824" s="8" t="str">
        <f>IFERROR(_xlfn.XLOOKUP(TRIM(B2824),Lookup!$B$2:$B$1000,Lookup!$C$2:$C$1000),"")</f>
        <v>Equity</v>
      </c>
      <c r="D2824" s="8" t="str">
        <f>IFERROR(INDEX('nav master'!$C:$C, MATCH(B2824, 'nav master'!$B:$B, 0)), "")</f>
        <v>ULIF07828/02/25Alpha300Fd101</v>
      </c>
      <c r="E2824" s="8" t="s">
        <v>568</v>
      </c>
      <c r="F2824" s="8" t="s">
        <v>3125</v>
      </c>
    </row>
    <row r="2825" spans="1:6" ht="60" x14ac:dyDescent="0.25">
      <c r="A2825" s="8" t="s">
        <v>125</v>
      </c>
      <c r="B2825" s="8" t="s">
        <v>157</v>
      </c>
      <c r="C2825" s="8" t="str">
        <f>IFERROR(_xlfn.XLOOKUP(TRIM(B2825),Lookup!$B$2:$B$1000,Lookup!$C$2:$C$1000),"")</f>
        <v>Equity</v>
      </c>
      <c r="D2825" s="8" t="str">
        <f>IFERROR(INDEX('nav master'!$C:$C, MATCH(B2825, 'nav master'!$B:$B, 0)), "")</f>
        <v>ULIF07828/02/25Alpha300Fd101</v>
      </c>
      <c r="E2825" s="8" t="s">
        <v>570</v>
      </c>
      <c r="F2825" s="8" t="s">
        <v>3126</v>
      </c>
    </row>
    <row r="2826" spans="1:6" ht="60" x14ac:dyDescent="0.25">
      <c r="A2826" s="8" t="s">
        <v>125</v>
      </c>
      <c r="B2826" s="8" t="s">
        <v>157</v>
      </c>
      <c r="C2826" s="8" t="str">
        <f>IFERROR(_xlfn.XLOOKUP(TRIM(B2826),Lookup!$B$2:$B$1000,Lookup!$C$2:$C$1000),"")</f>
        <v>Equity</v>
      </c>
      <c r="D2826" s="8" t="str">
        <f>IFERROR(INDEX('nav master'!$C:$C, MATCH(B2826, 'nav master'!$B:$B, 0)), "")</f>
        <v>ULIF07828/02/25Alpha300Fd101</v>
      </c>
      <c r="E2826" s="8" t="s">
        <v>572</v>
      </c>
      <c r="F2826" s="8" t="s">
        <v>3127</v>
      </c>
    </row>
    <row r="2827" spans="1:6" ht="60" x14ac:dyDescent="0.25">
      <c r="A2827" s="8" t="s">
        <v>125</v>
      </c>
      <c r="B2827" s="8" t="s">
        <v>157</v>
      </c>
      <c r="C2827" s="8" t="str">
        <f>IFERROR(_xlfn.XLOOKUP(TRIM(B2827),Lookup!$B$2:$B$1000,Lookup!$C$2:$C$1000),"")</f>
        <v>Equity</v>
      </c>
      <c r="D2827" s="8" t="str">
        <f>IFERROR(INDEX('nav master'!$C:$C, MATCH(B2827, 'nav master'!$B:$B, 0)), "")</f>
        <v>ULIF07828/02/25Alpha300Fd101</v>
      </c>
      <c r="E2827" s="8" t="s">
        <v>574</v>
      </c>
      <c r="F2827" s="8" t="s">
        <v>3128</v>
      </c>
    </row>
    <row r="2828" spans="1:6" ht="60" x14ac:dyDescent="0.25">
      <c r="A2828" s="8" t="s">
        <v>125</v>
      </c>
      <c r="B2828" s="8" t="s">
        <v>157</v>
      </c>
      <c r="C2828" s="8" t="str">
        <f>IFERROR(_xlfn.XLOOKUP(TRIM(B2828),Lookup!$B$2:$B$1000,Lookup!$C$2:$C$1000),"")</f>
        <v>Equity</v>
      </c>
      <c r="D2828" s="8" t="str">
        <f>IFERROR(INDEX('nav master'!$C:$C, MATCH(B2828, 'nav master'!$B:$B, 0)), "")</f>
        <v>ULIF07828/02/25Alpha300Fd101</v>
      </c>
      <c r="E2828" s="8" t="s">
        <v>576</v>
      </c>
      <c r="F2828" s="8" t="s">
        <v>3129</v>
      </c>
    </row>
    <row r="2829" spans="1:6" ht="60" x14ac:dyDescent="0.25">
      <c r="A2829" s="8" t="s">
        <v>125</v>
      </c>
      <c r="B2829" s="8" t="s">
        <v>157</v>
      </c>
      <c r="C2829" s="8" t="str">
        <f>IFERROR(_xlfn.XLOOKUP(TRIM(B2829),Lookup!$B$2:$B$1000,Lookup!$C$2:$C$1000),"")</f>
        <v>Equity</v>
      </c>
      <c r="D2829" s="8" t="str">
        <f>IFERROR(INDEX('nav master'!$C:$C, MATCH(B2829, 'nav master'!$B:$B, 0)), "")</f>
        <v>ULIF07828/02/25Alpha300Fd101</v>
      </c>
      <c r="E2829" s="8" t="s">
        <v>578</v>
      </c>
      <c r="F2829" s="8" t="s">
        <v>3130</v>
      </c>
    </row>
    <row r="2830" spans="1:6" ht="60" x14ac:dyDescent="0.25">
      <c r="A2830" s="8" t="s">
        <v>125</v>
      </c>
      <c r="B2830" s="8" t="s">
        <v>157</v>
      </c>
      <c r="C2830" s="8" t="str">
        <f>IFERROR(_xlfn.XLOOKUP(TRIM(B2830),Lookup!$B$2:$B$1000,Lookup!$C$2:$C$1000),"")</f>
        <v>Equity</v>
      </c>
      <c r="D2830" s="8" t="str">
        <f>IFERROR(INDEX('nav master'!$C:$C, MATCH(B2830, 'nav master'!$B:$B, 0)), "")</f>
        <v>ULIF07828/02/25Alpha300Fd101</v>
      </c>
      <c r="E2830" s="8" t="s">
        <v>580</v>
      </c>
      <c r="F2830" s="8" t="s">
        <v>3131</v>
      </c>
    </row>
    <row r="2831" spans="1:6" ht="60" x14ac:dyDescent="0.25">
      <c r="A2831" s="8" t="s">
        <v>125</v>
      </c>
      <c r="B2831" s="8" t="s">
        <v>157</v>
      </c>
      <c r="C2831" s="8" t="str">
        <f>IFERROR(_xlfn.XLOOKUP(TRIM(B2831),Lookup!$B$2:$B$1000,Lookup!$C$2:$C$1000),"")</f>
        <v>Equity</v>
      </c>
      <c r="D2831" s="8" t="str">
        <f>IFERROR(INDEX('nav master'!$C:$C, MATCH(B2831, 'nav master'!$B:$B, 0)), "")</f>
        <v>ULIF07828/02/25Alpha300Fd101</v>
      </c>
      <c r="E2831" s="8" t="s">
        <v>582</v>
      </c>
      <c r="F2831" s="8" t="s">
        <v>3132</v>
      </c>
    </row>
    <row r="2832" spans="1:6" ht="60" x14ac:dyDescent="0.25">
      <c r="A2832" s="8" t="s">
        <v>125</v>
      </c>
      <c r="B2832" s="8" t="s">
        <v>157</v>
      </c>
      <c r="C2832" s="8" t="str">
        <f>IFERROR(_xlfn.XLOOKUP(TRIM(B2832),Lookup!$B$2:$B$1000,Lookup!$C$2:$C$1000),"")</f>
        <v>Equity</v>
      </c>
      <c r="D2832" s="8" t="str">
        <f>IFERROR(INDEX('nav master'!$C:$C, MATCH(B2832, 'nav master'!$B:$B, 0)), "")</f>
        <v>ULIF07828/02/25Alpha300Fd101</v>
      </c>
      <c r="E2832" s="8" t="s">
        <v>584</v>
      </c>
      <c r="F2832" s="8" t="s">
        <v>3133</v>
      </c>
    </row>
    <row r="2833" spans="1:6" ht="60" x14ac:dyDescent="0.25">
      <c r="A2833" s="8" t="s">
        <v>125</v>
      </c>
      <c r="B2833" s="8" t="s">
        <v>157</v>
      </c>
      <c r="C2833" s="8" t="str">
        <f>IFERROR(_xlfn.XLOOKUP(TRIM(B2833),Lookup!$B$2:$B$1000,Lookup!$C$2:$C$1000),"")</f>
        <v>Equity</v>
      </c>
      <c r="D2833" s="8" t="str">
        <f>IFERROR(INDEX('nav master'!$C:$C, MATCH(B2833, 'nav master'!$B:$B, 0)), "")</f>
        <v>ULIF07828/02/25Alpha300Fd101</v>
      </c>
      <c r="E2833" s="8" t="s">
        <v>586</v>
      </c>
      <c r="F2833" s="8" t="s">
        <v>3134</v>
      </c>
    </row>
    <row r="2834" spans="1:6" ht="60" x14ac:dyDescent="0.25">
      <c r="A2834" s="8" t="s">
        <v>125</v>
      </c>
      <c r="B2834" s="8" t="s">
        <v>157</v>
      </c>
      <c r="C2834" s="8" t="str">
        <f>IFERROR(_xlfn.XLOOKUP(TRIM(B2834),Lookup!$B$2:$B$1000,Lookup!$C$2:$C$1000),"")</f>
        <v>Equity</v>
      </c>
      <c r="D2834" s="8" t="str">
        <f>IFERROR(INDEX('nav master'!$C:$C, MATCH(B2834, 'nav master'!$B:$B, 0)), "")</f>
        <v>ULIF07828/02/25Alpha300Fd101</v>
      </c>
      <c r="E2834" s="8" t="s">
        <v>588</v>
      </c>
      <c r="F2834" s="8" t="s">
        <v>3135</v>
      </c>
    </row>
    <row r="2835" spans="1:6" ht="60" x14ac:dyDescent="0.25">
      <c r="A2835" s="8" t="s">
        <v>125</v>
      </c>
      <c r="B2835" s="8" t="s">
        <v>157</v>
      </c>
      <c r="C2835" s="8" t="str">
        <f>IFERROR(_xlfn.XLOOKUP(TRIM(B2835),Lookup!$B$2:$B$1000,Lookup!$C$2:$C$1000),"")</f>
        <v>Equity</v>
      </c>
      <c r="D2835" s="8" t="str">
        <f>IFERROR(INDEX('nav master'!$C:$C, MATCH(B2835, 'nav master'!$B:$B, 0)), "")</f>
        <v>ULIF07828/02/25Alpha300Fd101</v>
      </c>
      <c r="E2835" s="8" t="s">
        <v>590</v>
      </c>
      <c r="F2835" s="8" t="s">
        <v>3136</v>
      </c>
    </row>
    <row r="2836" spans="1:6" ht="60" x14ac:dyDescent="0.25">
      <c r="A2836" s="8" t="s">
        <v>125</v>
      </c>
      <c r="B2836" s="8" t="s">
        <v>157</v>
      </c>
      <c r="C2836" s="8" t="str">
        <f>IFERROR(_xlfn.XLOOKUP(TRIM(B2836),Lookup!$B$2:$B$1000,Lookup!$C$2:$C$1000),"")</f>
        <v>Equity</v>
      </c>
      <c r="D2836" s="8" t="str">
        <f>IFERROR(INDEX('nav master'!$C:$C, MATCH(B2836, 'nav master'!$B:$B, 0)), "")</f>
        <v>ULIF07828/02/25Alpha300Fd101</v>
      </c>
      <c r="E2836" s="8" t="s">
        <v>592</v>
      </c>
      <c r="F2836" s="8" t="s">
        <v>3137</v>
      </c>
    </row>
    <row r="2837" spans="1:6" ht="60" x14ac:dyDescent="0.25">
      <c r="A2837" s="8" t="s">
        <v>125</v>
      </c>
      <c r="B2837" s="8" t="s">
        <v>157</v>
      </c>
      <c r="C2837" s="8" t="str">
        <f>IFERROR(_xlfn.XLOOKUP(TRIM(B2837),Lookup!$B$2:$B$1000,Lookup!$C$2:$C$1000),"")</f>
        <v>Equity</v>
      </c>
      <c r="D2837" s="8" t="str">
        <f>IFERROR(INDEX('nav master'!$C:$C, MATCH(B2837, 'nav master'!$B:$B, 0)), "")</f>
        <v>ULIF07828/02/25Alpha300Fd101</v>
      </c>
      <c r="E2837" s="8" t="s">
        <v>594</v>
      </c>
      <c r="F2837" s="8" t="s">
        <v>3138</v>
      </c>
    </row>
    <row r="2838" spans="1:6" ht="60" x14ac:dyDescent="0.25">
      <c r="A2838" s="8" t="s">
        <v>125</v>
      </c>
      <c r="B2838" s="8" t="s">
        <v>157</v>
      </c>
      <c r="C2838" s="8" t="str">
        <f>IFERROR(_xlfn.XLOOKUP(TRIM(B2838),Lookup!$B$2:$B$1000,Lookup!$C$2:$C$1000),"")</f>
        <v>Equity</v>
      </c>
      <c r="D2838" s="8" t="str">
        <f>IFERROR(INDEX('nav master'!$C:$C, MATCH(B2838, 'nav master'!$B:$B, 0)), "")</f>
        <v>ULIF07828/02/25Alpha300Fd101</v>
      </c>
      <c r="E2838" s="8" t="s">
        <v>596</v>
      </c>
      <c r="F2838" s="8" t="s">
        <v>3139</v>
      </c>
    </row>
    <row r="2839" spans="1:6" ht="60" x14ac:dyDescent="0.25">
      <c r="A2839" s="8" t="s">
        <v>125</v>
      </c>
      <c r="B2839" s="8" t="s">
        <v>157</v>
      </c>
      <c r="C2839" s="8" t="str">
        <f>IFERROR(_xlfn.XLOOKUP(TRIM(B2839),Lookup!$B$2:$B$1000,Lookup!$C$2:$C$1000),"")</f>
        <v>Equity</v>
      </c>
      <c r="D2839" s="8" t="str">
        <f>IFERROR(INDEX('nav master'!$C:$C, MATCH(B2839, 'nav master'!$B:$B, 0)), "")</f>
        <v>ULIF07828/02/25Alpha300Fd101</v>
      </c>
      <c r="E2839" s="8" t="s">
        <v>598</v>
      </c>
      <c r="F2839" s="8" t="s">
        <v>3140</v>
      </c>
    </row>
    <row r="2840" spans="1:6" ht="60" x14ac:dyDescent="0.25">
      <c r="A2840" s="8" t="s">
        <v>125</v>
      </c>
      <c r="B2840" s="8" t="s">
        <v>157</v>
      </c>
      <c r="C2840" s="8" t="str">
        <f>IFERROR(_xlfn.XLOOKUP(TRIM(B2840),Lookup!$B$2:$B$1000,Lookup!$C$2:$C$1000),"")</f>
        <v>Equity</v>
      </c>
      <c r="D2840" s="8" t="str">
        <f>IFERROR(INDEX('nav master'!$C:$C, MATCH(B2840, 'nav master'!$B:$B, 0)), "")</f>
        <v>ULIF07828/02/25Alpha300Fd101</v>
      </c>
      <c r="E2840" s="8" t="s">
        <v>600</v>
      </c>
      <c r="F2840" s="8" t="s">
        <v>3141</v>
      </c>
    </row>
    <row r="2841" spans="1:6" ht="60" x14ac:dyDescent="0.25">
      <c r="A2841" s="8" t="s">
        <v>125</v>
      </c>
      <c r="B2841" s="8" t="s">
        <v>157</v>
      </c>
      <c r="C2841" s="8" t="str">
        <f>IFERROR(_xlfn.XLOOKUP(TRIM(B2841),Lookup!$B$2:$B$1000,Lookup!$C$2:$C$1000),"")</f>
        <v>Equity</v>
      </c>
      <c r="D2841" s="8" t="str">
        <f>IFERROR(INDEX('nav master'!$C:$C, MATCH(B2841, 'nav master'!$B:$B, 0)), "")</f>
        <v>ULIF07828/02/25Alpha300Fd101</v>
      </c>
      <c r="E2841" s="8" t="s">
        <v>602</v>
      </c>
      <c r="F2841" s="8" t="s">
        <v>3142</v>
      </c>
    </row>
    <row r="2842" spans="1:6" ht="60" x14ac:dyDescent="0.25">
      <c r="A2842" s="8" t="s">
        <v>125</v>
      </c>
      <c r="B2842" s="8" t="s">
        <v>157</v>
      </c>
      <c r="C2842" s="8" t="str">
        <f>IFERROR(_xlfn.XLOOKUP(TRIM(B2842),Lookup!$B$2:$B$1000,Lookup!$C$2:$C$1000),"")</f>
        <v>Equity</v>
      </c>
      <c r="D2842" s="8" t="str">
        <f>IFERROR(INDEX('nav master'!$C:$C, MATCH(B2842, 'nav master'!$B:$B, 0)), "")</f>
        <v>ULIF07828/02/25Alpha300Fd101</v>
      </c>
      <c r="E2842" s="8" t="s">
        <v>604</v>
      </c>
      <c r="F2842" s="8" t="s">
        <v>3143</v>
      </c>
    </row>
    <row r="2843" spans="1:6" ht="60" x14ac:dyDescent="0.25">
      <c r="A2843" s="8" t="s">
        <v>125</v>
      </c>
      <c r="B2843" s="8" t="s">
        <v>157</v>
      </c>
      <c r="C2843" s="8" t="str">
        <f>IFERROR(_xlfn.XLOOKUP(TRIM(B2843),Lookup!$B$2:$B$1000,Lookup!$C$2:$C$1000),"")</f>
        <v>Equity</v>
      </c>
      <c r="D2843" s="8" t="str">
        <f>IFERROR(INDEX('nav master'!$C:$C, MATCH(B2843, 'nav master'!$B:$B, 0)), "")</f>
        <v>ULIF07828/02/25Alpha300Fd101</v>
      </c>
      <c r="E2843" s="8" t="s">
        <v>606</v>
      </c>
      <c r="F2843" s="8" t="s">
        <v>3144</v>
      </c>
    </row>
    <row r="2844" spans="1:6" ht="60" x14ac:dyDescent="0.25">
      <c r="A2844" s="8" t="s">
        <v>125</v>
      </c>
      <c r="B2844" s="8" t="s">
        <v>157</v>
      </c>
      <c r="C2844" s="8" t="str">
        <f>IFERROR(_xlfn.XLOOKUP(TRIM(B2844),Lookup!$B$2:$B$1000,Lookup!$C$2:$C$1000),"")</f>
        <v>Equity</v>
      </c>
      <c r="D2844" s="8" t="str">
        <f>IFERROR(INDEX('nav master'!$C:$C, MATCH(B2844, 'nav master'!$B:$B, 0)), "")</f>
        <v>ULIF07828/02/25Alpha300Fd101</v>
      </c>
      <c r="E2844" s="8" t="s">
        <v>608</v>
      </c>
      <c r="F2844" s="8" t="s">
        <v>3145</v>
      </c>
    </row>
    <row r="2845" spans="1:6" ht="60" x14ac:dyDescent="0.25">
      <c r="A2845" s="8" t="s">
        <v>125</v>
      </c>
      <c r="B2845" s="8" t="s">
        <v>157</v>
      </c>
      <c r="C2845" s="8" t="str">
        <f>IFERROR(_xlfn.XLOOKUP(TRIM(B2845),Lookup!$B$2:$B$1000,Lookup!$C$2:$C$1000),"")</f>
        <v>Equity</v>
      </c>
      <c r="D2845" s="8" t="str">
        <f>IFERROR(INDEX('nav master'!$C:$C, MATCH(B2845, 'nav master'!$B:$B, 0)), "")</f>
        <v>ULIF07828/02/25Alpha300Fd101</v>
      </c>
      <c r="E2845" s="8" t="s">
        <v>610</v>
      </c>
      <c r="F2845" s="8" t="s">
        <v>3146</v>
      </c>
    </row>
    <row r="2846" spans="1:6" ht="60" x14ac:dyDescent="0.25">
      <c r="A2846" s="8" t="s">
        <v>125</v>
      </c>
      <c r="B2846" s="8" t="s">
        <v>157</v>
      </c>
      <c r="C2846" s="8" t="str">
        <f>IFERROR(_xlfn.XLOOKUP(TRIM(B2846),Lookup!$B$2:$B$1000,Lookup!$C$2:$C$1000),"")</f>
        <v>Equity</v>
      </c>
      <c r="D2846" s="8" t="str">
        <f>IFERROR(INDEX('nav master'!$C:$C, MATCH(B2846, 'nav master'!$B:$B, 0)), "")</f>
        <v>ULIF07828/02/25Alpha300Fd101</v>
      </c>
      <c r="E2846" s="8" t="s">
        <v>612</v>
      </c>
      <c r="F2846" s="8" t="s">
        <v>3147</v>
      </c>
    </row>
    <row r="2847" spans="1:6" ht="60" x14ac:dyDescent="0.25">
      <c r="A2847" s="8" t="s">
        <v>125</v>
      </c>
      <c r="B2847" s="8" t="s">
        <v>157</v>
      </c>
      <c r="C2847" s="8" t="str">
        <f>IFERROR(_xlfn.XLOOKUP(TRIM(B2847),Lookup!$B$2:$B$1000,Lookup!$C$2:$C$1000),"")</f>
        <v>Equity</v>
      </c>
      <c r="D2847" s="8" t="str">
        <f>IFERROR(INDEX('nav master'!$C:$C, MATCH(B2847, 'nav master'!$B:$B, 0)), "")</f>
        <v>ULIF07828/02/25Alpha300Fd101</v>
      </c>
      <c r="E2847" s="8" t="s">
        <v>614</v>
      </c>
      <c r="F2847" s="8" t="s">
        <v>3148</v>
      </c>
    </row>
    <row r="2848" spans="1:6" ht="60" x14ac:dyDescent="0.25">
      <c r="A2848" s="8" t="s">
        <v>125</v>
      </c>
      <c r="B2848" s="8" t="s">
        <v>157</v>
      </c>
      <c r="C2848" s="8" t="str">
        <f>IFERROR(_xlfn.XLOOKUP(TRIM(B2848),Lookup!$B$2:$B$1000,Lookup!$C$2:$C$1000),"")</f>
        <v>Equity</v>
      </c>
      <c r="D2848" s="8" t="str">
        <f>IFERROR(INDEX('nav master'!$C:$C, MATCH(B2848, 'nav master'!$B:$B, 0)), "")</f>
        <v>ULIF07828/02/25Alpha300Fd101</v>
      </c>
      <c r="E2848" s="8" t="s">
        <v>616</v>
      </c>
      <c r="F2848" s="8" t="s">
        <v>3149</v>
      </c>
    </row>
    <row r="2849" spans="1:6" ht="60" x14ac:dyDescent="0.25">
      <c r="A2849" s="8" t="s">
        <v>125</v>
      </c>
      <c r="B2849" s="8" t="s">
        <v>157</v>
      </c>
      <c r="C2849" s="8" t="str">
        <f>IFERROR(_xlfn.XLOOKUP(TRIM(B2849),Lookup!$B$2:$B$1000,Lookup!$C$2:$C$1000),"")</f>
        <v>Equity</v>
      </c>
      <c r="D2849" s="8" t="str">
        <f>IFERROR(INDEX('nav master'!$C:$C, MATCH(B2849, 'nav master'!$B:$B, 0)), "")</f>
        <v>ULIF07828/02/25Alpha300Fd101</v>
      </c>
      <c r="E2849" s="8" t="s">
        <v>618</v>
      </c>
      <c r="F2849" s="8" t="s">
        <v>3150</v>
      </c>
    </row>
    <row r="2850" spans="1:6" ht="60" x14ac:dyDescent="0.25">
      <c r="A2850" s="8" t="s">
        <v>125</v>
      </c>
      <c r="B2850" s="8" t="s">
        <v>157</v>
      </c>
      <c r="C2850" s="8" t="str">
        <f>IFERROR(_xlfn.XLOOKUP(TRIM(B2850),Lookup!$B$2:$B$1000,Lookup!$C$2:$C$1000),"")</f>
        <v>Equity</v>
      </c>
      <c r="D2850" s="8" t="str">
        <f>IFERROR(INDEX('nav master'!$C:$C, MATCH(B2850, 'nav master'!$B:$B, 0)), "")</f>
        <v>ULIF07828/02/25Alpha300Fd101</v>
      </c>
      <c r="E2850" s="8" t="s">
        <v>620</v>
      </c>
      <c r="F2850" s="8" t="s">
        <v>3151</v>
      </c>
    </row>
    <row r="2851" spans="1:6" ht="60" x14ac:dyDescent="0.25">
      <c r="A2851" s="8" t="s">
        <v>125</v>
      </c>
      <c r="B2851" s="8" t="s">
        <v>157</v>
      </c>
      <c r="C2851" s="8" t="str">
        <f>IFERROR(_xlfn.XLOOKUP(TRIM(B2851),Lookup!$B$2:$B$1000,Lookup!$C$2:$C$1000),"")</f>
        <v>Equity</v>
      </c>
      <c r="D2851" s="8" t="str">
        <f>IFERROR(INDEX('nav master'!$C:$C, MATCH(B2851, 'nav master'!$B:$B, 0)), "")</f>
        <v>ULIF07828/02/25Alpha300Fd101</v>
      </c>
      <c r="E2851" s="8" t="s">
        <v>622</v>
      </c>
      <c r="F2851" s="8" t="s">
        <v>3152</v>
      </c>
    </row>
    <row r="2852" spans="1:6" ht="60" x14ac:dyDescent="0.25">
      <c r="A2852" s="8" t="s">
        <v>125</v>
      </c>
      <c r="B2852" s="8" t="s">
        <v>157</v>
      </c>
      <c r="C2852" s="8" t="str">
        <f>IFERROR(_xlfn.XLOOKUP(TRIM(B2852),Lookup!$B$2:$B$1000,Lookup!$C$2:$C$1000),"")</f>
        <v>Equity</v>
      </c>
      <c r="D2852" s="8" t="str">
        <f>IFERROR(INDEX('nav master'!$C:$C, MATCH(B2852, 'nav master'!$B:$B, 0)), "")</f>
        <v>ULIF07828/02/25Alpha300Fd101</v>
      </c>
      <c r="E2852" s="8" t="s">
        <v>624</v>
      </c>
      <c r="F2852" s="8" t="s">
        <v>3153</v>
      </c>
    </row>
    <row r="2853" spans="1:6" ht="60" x14ac:dyDescent="0.25">
      <c r="A2853" s="8" t="s">
        <v>125</v>
      </c>
      <c r="B2853" s="8" t="s">
        <v>157</v>
      </c>
      <c r="C2853" s="8" t="str">
        <f>IFERROR(_xlfn.XLOOKUP(TRIM(B2853),Lookup!$B$2:$B$1000,Lookup!$C$2:$C$1000),"")</f>
        <v>Equity</v>
      </c>
      <c r="D2853" s="8" t="str">
        <f>IFERROR(INDEX('nav master'!$C:$C, MATCH(B2853, 'nav master'!$B:$B, 0)), "")</f>
        <v>ULIF07828/02/25Alpha300Fd101</v>
      </c>
      <c r="E2853" s="8" t="s">
        <v>626</v>
      </c>
      <c r="F2853" s="8" t="s">
        <v>3154</v>
      </c>
    </row>
    <row r="2854" spans="1:6" ht="60" x14ac:dyDescent="0.25">
      <c r="A2854" s="8" t="s">
        <v>125</v>
      </c>
      <c r="B2854" s="8" t="s">
        <v>157</v>
      </c>
      <c r="C2854" s="8" t="str">
        <f>IFERROR(_xlfn.XLOOKUP(TRIM(B2854),Lookup!$B$2:$B$1000,Lookup!$C$2:$C$1000),"")</f>
        <v>Equity</v>
      </c>
      <c r="D2854" s="8" t="str">
        <f>IFERROR(INDEX('nav master'!$C:$C, MATCH(B2854, 'nav master'!$B:$B, 0)), "")</f>
        <v>ULIF07828/02/25Alpha300Fd101</v>
      </c>
      <c r="E2854" s="8" t="s">
        <v>628</v>
      </c>
      <c r="F2854" s="8" t="s">
        <v>3155</v>
      </c>
    </row>
    <row r="2855" spans="1:6" ht="60" x14ac:dyDescent="0.25">
      <c r="A2855" s="8" t="s">
        <v>125</v>
      </c>
      <c r="B2855" s="8" t="s">
        <v>157</v>
      </c>
      <c r="C2855" s="8" t="str">
        <f>IFERROR(_xlfn.XLOOKUP(TRIM(B2855),Lookup!$B$2:$B$1000,Lookup!$C$2:$C$1000),"")</f>
        <v>Equity</v>
      </c>
      <c r="D2855" s="8" t="str">
        <f>IFERROR(INDEX('nav master'!$C:$C, MATCH(B2855, 'nav master'!$B:$B, 0)), "")</f>
        <v>ULIF07828/02/25Alpha300Fd101</v>
      </c>
      <c r="E2855" s="8" t="s">
        <v>630</v>
      </c>
      <c r="F2855" s="8" t="s">
        <v>3156</v>
      </c>
    </row>
    <row r="2856" spans="1:6" ht="60" x14ac:dyDescent="0.25">
      <c r="A2856" s="8" t="s">
        <v>125</v>
      </c>
      <c r="B2856" s="8" t="s">
        <v>157</v>
      </c>
      <c r="C2856" s="8" t="str">
        <f>IFERROR(_xlfn.XLOOKUP(TRIM(B2856),Lookup!$B$2:$B$1000,Lookup!$C$2:$C$1000),"")</f>
        <v>Equity</v>
      </c>
      <c r="D2856" s="8" t="str">
        <f>IFERROR(INDEX('nav master'!$C:$C, MATCH(B2856, 'nav master'!$B:$B, 0)), "")</f>
        <v>ULIF07828/02/25Alpha300Fd101</v>
      </c>
      <c r="E2856" s="8" t="s">
        <v>632</v>
      </c>
      <c r="F2856" s="8" t="s">
        <v>3157</v>
      </c>
    </row>
    <row r="2857" spans="1:6" ht="60" x14ac:dyDescent="0.25">
      <c r="A2857" s="8" t="s">
        <v>125</v>
      </c>
      <c r="B2857" s="8" t="s">
        <v>157</v>
      </c>
      <c r="C2857" s="8" t="str">
        <f>IFERROR(_xlfn.XLOOKUP(TRIM(B2857),Lookup!$B$2:$B$1000,Lookup!$C$2:$C$1000),"")</f>
        <v>Equity</v>
      </c>
      <c r="D2857" s="8" t="str">
        <f>IFERROR(INDEX('nav master'!$C:$C, MATCH(B2857, 'nav master'!$B:$B, 0)), "")</f>
        <v>ULIF07828/02/25Alpha300Fd101</v>
      </c>
      <c r="E2857" s="8" t="s">
        <v>634</v>
      </c>
      <c r="F2857" s="8" t="s">
        <v>3158</v>
      </c>
    </row>
    <row r="2858" spans="1:6" ht="60" x14ac:dyDescent="0.25">
      <c r="A2858" s="8" t="s">
        <v>125</v>
      </c>
      <c r="B2858" s="8" t="s">
        <v>157</v>
      </c>
      <c r="C2858" s="8" t="str">
        <f>IFERROR(_xlfn.XLOOKUP(TRIM(B2858),Lookup!$B$2:$B$1000,Lookup!$C$2:$C$1000),"")</f>
        <v>Equity</v>
      </c>
      <c r="D2858" s="8" t="str">
        <f>IFERROR(INDEX('nav master'!$C:$C, MATCH(B2858, 'nav master'!$B:$B, 0)), "")</f>
        <v>ULIF07828/02/25Alpha300Fd101</v>
      </c>
      <c r="E2858" s="8" t="s">
        <v>636</v>
      </c>
      <c r="F2858" s="8" t="s">
        <v>3159</v>
      </c>
    </row>
    <row r="2859" spans="1:6" ht="60" x14ac:dyDescent="0.25">
      <c r="A2859" s="8" t="s">
        <v>125</v>
      </c>
      <c r="B2859" s="8" t="s">
        <v>157</v>
      </c>
      <c r="C2859" s="8" t="str">
        <f>IFERROR(_xlfn.XLOOKUP(TRIM(B2859),Lookup!$B$2:$B$1000,Lookup!$C$2:$C$1000),"")</f>
        <v>Equity</v>
      </c>
      <c r="D2859" s="8" t="str">
        <f>IFERROR(INDEX('nav master'!$C:$C, MATCH(B2859, 'nav master'!$B:$B, 0)), "")</f>
        <v>ULIF07828/02/25Alpha300Fd101</v>
      </c>
      <c r="E2859" s="8" t="s">
        <v>638</v>
      </c>
      <c r="F2859" s="8" t="s">
        <v>3160</v>
      </c>
    </row>
    <row r="2860" spans="1:6" ht="60" x14ac:dyDescent="0.25">
      <c r="A2860" s="8" t="s">
        <v>125</v>
      </c>
      <c r="B2860" s="8" t="s">
        <v>157</v>
      </c>
      <c r="C2860" s="8" t="str">
        <f>IFERROR(_xlfn.XLOOKUP(TRIM(B2860),Lookup!$B$2:$B$1000,Lookup!$C$2:$C$1000),"")</f>
        <v>Equity</v>
      </c>
      <c r="D2860" s="8" t="str">
        <f>IFERROR(INDEX('nav master'!$C:$C, MATCH(B2860, 'nav master'!$B:$B, 0)), "")</f>
        <v>ULIF07828/02/25Alpha300Fd101</v>
      </c>
      <c r="E2860" s="8" t="s">
        <v>640</v>
      </c>
      <c r="F2860" s="8" t="s">
        <v>3161</v>
      </c>
    </row>
    <row r="2861" spans="1:6" ht="60" x14ac:dyDescent="0.25">
      <c r="A2861" s="8" t="s">
        <v>125</v>
      </c>
      <c r="B2861" s="8" t="s">
        <v>157</v>
      </c>
      <c r="C2861" s="8" t="str">
        <f>IFERROR(_xlfn.XLOOKUP(TRIM(B2861),Lookup!$B$2:$B$1000,Lookup!$C$2:$C$1000),"")</f>
        <v>Equity</v>
      </c>
      <c r="D2861" s="8" t="str">
        <f>IFERROR(INDEX('nav master'!$C:$C, MATCH(B2861, 'nav master'!$B:$B, 0)), "")</f>
        <v>ULIF07828/02/25Alpha300Fd101</v>
      </c>
      <c r="E2861" s="8" t="s">
        <v>642</v>
      </c>
      <c r="F2861" s="8" t="s">
        <v>3162</v>
      </c>
    </row>
    <row r="2862" spans="1:6" ht="60" x14ac:dyDescent="0.25">
      <c r="A2862" s="8" t="s">
        <v>125</v>
      </c>
      <c r="B2862" s="8" t="s">
        <v>157</v>
      </c>
      <c r="C2862" s="8" t="str">
        <f>IFERROR(_xlfn.XLOOKUP(TRIM(B2862),Lookup!$B$2:$B$1000,Lookup!$C$2:$C$1000),"")</f>
        <v>Equity</v>
      </c>
      <c r="D2862" s="8" t="str">
        <f>IFERROR(INDEX('nav master'!$C:$C, MATCH(B2862, 'nav master'!$B:$B, 0)), "")</f>
        <v>ULIF07828/02/25Alpha300Fd101</v>
      </c>
      <c r="E2862" s="8" t="s">
        <v>644</v>
      </c>
      <c r="F2862" s="8" t="s">
        <v>3163</v>
      </c>
    </row>
    <row r="2863" spans="1:6" ht="60" x14ac:dyDescent="0.25">
      <c r="A2863" s="8" t="s">
        <v>125</v>
      </c>
      <c r="B2863" s="8" t="s">
        <v>157</v>
      </c>
      <c r="C2863" s="8" t="str">
        <f>IFERROR(_xlfn.XLOOKUP(TRIM(B2863),Lookup!$B$2:$B$1000,Lookup!$C$2:$C$1000),"")</f>
        <v>Equity</v>
      </c>
      <c r="D2863" s="8" t="str">
        <f>IFERROR(INDEX('nav master'!$C:$C, MATCH(B2863, 'nav master'!$B:$B, 0)), "")</f>
        <v>ULIF07828/02/25Alpha300Fd101</v>
      </c>
      <c r="E2863" s="8" t="s">
        <v>646</v>
      </c>
      <c r="F2863" s="8" t="s">
        <v>3123</v>
      </c>
    </row>
    <row r="2864" spans="1:6" ht="60" x14ac:dyDescent="0.25">
      <c r="A2864" s="8" t="s">
        <v>125</v>
      </c>
      <c r="B2864" s="8" t="s">
        <v>157</v>
      </c>
      <c r="C2864" s="8" t="str">
        <f>IFERROR(_xlfn.XLOOKUP(TRIM(B2864),Lookup!$B$2:$B$1000,Lookup!$C$2:$C$1000),"")</f>
        <v>Equity</v>
      </c>
      <c r="D2864" s="8" t="str">
        <f>IFERROR(INDEX('nav master'!$C:$C, MATCH(B2864, 'nav master'!$B:$B, 0)), "")</f>
        <v>ULIF07828/02/25Alpha300Fd101</v>
      </c>
      <c r="E2864" s="8" t="s">
        <v>648</v>
      </c>
      <c r="F2864" s="8" t="s">
        <v>3164</v>
      </c>
    </row>
    <row r="2865" spans="1:6" ht="60" x14ac:dyDescent="0.25">
      <c r="A2865" s="8" t="s">
        <v>125</v>
      </c>
      <c r="B2865" s="8" t="s">
        <v>157</v>
      </c>
      <c r="C2865" s="8" t="str">
        <f>IFERROR(_xlfn.XLOOKUP(TRIM(B2865),Lookup!$B$2:$B$1000,Lookup!$C$2:$C$1000),"")</f>
        <v>Equity</v>
      </c>
      <c r="D2865" s="8" t="str">
        <f>IFERROR(INDEX('nav master'!$C:$C, MATCH(B2865, 'nav master'!$B:$B, 0)), "")</f>
        <v>ULIF07828/02/25Alpha300Fd101</v>
      </c>
      <c r="E2865" s="8" t="s">
        <v>650</v>
      </c>
      <c r="F2865" s="8" t="s">
        <v>3165</v>
      </c>
    </row>
    <row r="2866" spans="1:6" ht="60" x14ac:dyDescent="0.25">
      <c r="A2866" s="8" t="s">
        <v>125</v>
      </c>
      <c r="B2866" s="8" t="s">
        <v>157</v>
      </c>
      <c r="C2866" s="8" t="str">
        <f>IFERROR(_xlfn.XLOOKUP(TRIM(B2866),Lookup!$B$2:$B$1000,Lookup!$C$2:$C$1000),"")</f>
        <v>Equity</v>
      </c>
      <c r="D2866" s="8" t="str">
        <f>IFERROR(INDEX('nav master'!$C:$C, MATCH(B2866, 'nav master'!$B:$B, 0)), "")</f>
        <v>ULIF07828/02/25Alpha300Fd101</v>
      </c>
      <c r="E2866" s="8" t="s">
        <v>652</v>
      </c>
      <c r="F2866" s="8" t="s">
        <v>3166</v>
      </c>
    </row>
    <row r="2867" spans="1:6" ht="60" x14ac:dyDescent="0.25">
      <c r="A2867" s="8" t="s">
        <v>125</v>
      </c>
      <c r="B2867" s="8" t="s">
        <v>157</v>
      </c>
      <c r="C2867" s="8" t="str">
        <f>IFERROR(_xlfn.XLOOKUP(TRIM(B2867),Lookup!$B$2:$B$1000,Lookup!$C$2:$C$1000),"")</f>
        <v>Equity</v>
      </c>
      <c r="D2867" s="8" t="str">
        <f>IFERROR(INDEX('nav master'!$C:$C, MATCH(B2867, 'nav master'!$B:$B, 0)), "")</f>
        <v>ULIF07828/02/25Alpha300Fd101</v>
      </c>
      <c r="E2867" s="8" t="s">
        <v>654</v>
      </c>
      <c r="F2867" s="8" t="s">
        <v>3167</v>
      </c>
    </row>
    <row r="2868" spans="1:6" ht="60" x14ac:dyDescent="0.25">
      <c r="A2868" s="8" t="s">
        <v>125</v>
      </c>
      <c r="B2868" s="8" t="s">
        <v>157</v>
      </c>
      <c r="C2868" s="8" t="str">
        <f>IFERROR(_xlfn.XLOOKUP(TRIM(B2868),Lookup!$B$2:$B$1000,Lookup!$C$2:$C$1000),"")</f>
        <v>Equity</v>
      </c>
      <c r="D2868" s="8" t="str">
        <f>IFERROR(INDEX('nav master'!$C:$C, MATCH(B2868, 'nav master'!$B:$B, 0)), "")</f>
        <v>ULIF07828/02/25Alpha300Fd101</v>
      </c>
      <c r="E2868" s="8" t="s">
        <v>656</v>
      </c>
      <c r="F2868" s="8" t="s">
        <v>3168</v>
      </c>
    </row>
    <row r="2869" spans="1:6" ht="60" x14ac:dyDescent="0.25">
      <c r="A2869" s="8" t="s">
        <v>125</v>
      </c>
      <c r="B2869" s="8" t="s">
        <v>157</v>
      </c>
      <c r="C2869" s="8" t="str">
        <f>IFERROR(_xlfn.XLOOKUP(TRIM(B2869),Lookup!$B$2:$B$1000,Lookup!$C$2:$C$1000),"")</f>
        <v>Equity</v>
      </c>
      <c r="D2869" s="8" t="str">
        <f>IFERROR(INDEX('nav master'!$C:$C, MATCH(B2869, 'nav master'!$B:$B, 0)), "")</f>
        <v>ULIF07828/02/25Alpha300Fd101</v>
      </c>
      <c r="E2869" s="8" t="s">
        <v>658</v>
      </c>
      <c r="F2869" s="8" t="s">
        <v>3169</v>
      </c>
    </row>
    <row r="2870" spans="1:6" ht="60" x14ac:dyDescent="0.25">
      <c r="A2870" s="8" t="s">
        <v>125</v>
      </c>
      <c r="B2870" s="8" t="s">
        <v>157</v>
      </c>
      <c r="C2870" s="8" t="str">
        <f>IFERROR(_xlfn.XLOOKUP(TRIM(B2870),Lookup!$B$2:$B$1000,Lookup!$C$2:$C$1000),"")</f>
        <v>Equity</v>
      </c>
      <c r="D2870" s="8" t="str">
        <f>IFERROR(INDEX('nav master'!$C:$C, MATCH(B2870, 'nav master'!$B:$B, 0)), "")</f>
        <v>ULIF07828/02/25Alpha300Fd101</v>
      </c>
      <c r="E2870" s="8" t="s">
        <v>660</v>
      </c>
      <c r="F2870" s="8" t="s">
        <v>3170</v>
      </c>
    </row>
    <row r="2871" spans="1:6" ht="60" x14ac:dyDescent="0.25">
      <c r="A2871" s="8" t="s">
        <v>125</v>
      </c>
      <c r="B2871" s="8" t="s">
        <v>157</v>
      </c>
      <c r="C2871" s="8" t="str">
        <f>IFERROR(_xlfn.XLOOKUP(TRIM(B2871),Lookup!$B$2:$B$1000,Lookup!$C$2:$C$1000),"")</f>
        <v>Equity</v>
      </c>
      <c r="D2871" s="8" t="str">
        <f>IFERROR(INDEX('nav master'!$C:$C, MATCH(B2871, 'nav master'!$B:$B, 0)), "")</f>
        <v>ULIF07828/02/25Alpha300Fd101</v>
      </c>
      <c r="E2871" s="8" t="s">
        <v>662</v>
      </c>
      <c r="F2871" s="8" t="s">
        <v>3171</v>
      </c>
    </row>
    <row r="2872" spans="1:6" ht="60" x14ac:dyDescent="0.25">
      <c r="A2872" s="8" t="s">
        <v>125</v>
      </c>
      <c r="B2872" s="8" t="s">
        <v>157</v>
      </c>
      <c r="C2872" s="8" t="str">
        <f>IFERROR(_xlfn.XLOOKUP(TRIM(B2872),Lookup!$B$2:$B$1000,Lookup!$C$2:$C$1000),"")</f>
        <v>Equity</v>
      </c>
      <c r="D2872" s="8" t="str">
        <f>IFERROR(INDEX('nav master'!$C:$C, MATCH(B2872, 'nav master'!$B:$B, 0)), "")</f>
        <v>ULIF07828/02/25Alpha300Fd101</v>
      </c>
      <c r="E2872" s="8" t="s">
        <v>664</v>
      </c>
      <c r="F2872" s="8" t="s">
        <v>3172</v>
      </c>
    </row>
    <row r="2873" spans="1:6" ht="60" x14ac:dyDescent="0.25">
      <c r="A2873" s="8" t="s">
        <v>125</v>
      </c>
      <c r="B2873" s="8" t="s">
        <v>157</v>
      </c>
      <c r="C2873" s="8" t="str">
        <f>IFERROR(_xlfn.XLOOKUP(TRIM(B2873),Lookup!$B$2:$B$1000,Lookup!$C$2:$C$1000),"")</f>
        <v>Equity</v>
      </c>
      <c r="D2873" s="8" t="str">
        <f>IFERROR(INDEX('nav master'!$C:$C, MATCH(B2873, 'nav master'!$B:$B, 0)), "")</f>
        <v>ULIF07828/02/25Alpha300Fd101</v>
      </c>
      <c r="E2873" s="8" t="s">
        <v>4892</v>
      </c>
      <c r="F2873" s="8" t="s">
        <v>4984</v>
      </c>
    </row>
    <row r="2874" spans="1:6" ht="60" x14ac:dyDescent="0.25">
      <c r="A2874" s="8" t="s">
        <v>125</v>
      </c>
      <c r="B2874" s="8" t="s">
        <v>157</v>
      </c>
      <c r="C2874" s="8" t="str">
        <f>IFERROR(_xlfn.XLOOKUP(TRIM(B2874),Lookup!$B$2:$B$1000,Lookup!$C$2:$C$1000),"")</f>
        <v>Equity</v>
      </c>
      <c r="D2874" s="8" t="str">
        <f>IFERROR(INDEX('nav master'!$C:$C, MATCH(B2874, 'nav master'!$B:$B, 0)), "")</f>
        <v>ULIF07828/02/25Alpha300Fd101</v>
      </c>
      <c r="E2874" s="8" t="s">
        <v>4894</v>
      </c>
      <c r="F2874" s="8" t="s">
        <v>4985</v>
      </c>
    </row>
    <row r="2875" spans="1:6" ht="60" x14ac:dyDescent="0.25">
      <c r="A2875" s="8" t="s">
        <v>125</v>
      </c>
      <c r="B2875" s="8" t="s">
        <v>157</v>
      </c>
      <c r="C2875" s="8" t="str">
        <f>IFERROR(_xlfn.XLOOKUP(TRIM(B2875),Lookup!$B$2:$B$1000,Lookup!$C$2:$C$1000),"")</f>
        <v>Equity</v>
      </c>
      <c r="D2875" s="8" t="str">
        <f>IFERROR(INDEX('nav master'!$C:$C, MATCH(B2875, 'nav master'!$B:$B, 0)), "")</f>
        <v>ULIF07828/02/25Alpha300Fd101</v>
      </c>
      <c r="E2875" s="8" t="s">
        <v>4896</v>
      </c>
      <c r="F2875" s="8" t="s">
        <v>4986</v>
      </c>
    </row>
    <row r="2876" spans="1:6" ht="60" x14ac:dyDescent="0.25">
      <c r="A2876" s="8" t="s">
        <v>125</v>
      </c>
      <c r="B2876" s="8" t="s">
        <v>157</v>
      </c>
      <c r="C2876" s="8" t="str">
        <f>IFERROR(_xlfn.XLOOKUP(TRIM(B2876),Lookup!$B$2:$B$1000,Lookup!$C$2:$C$1000),"")</f>
        <v>Equity</v>
      </c>
      <c r="D2876" s="8" t="str">
        <f>IFERROR(INDEX('nav master'!$C:$C, MATCH(B2876, 'nav master'!$B:$B, 0)), "")</f>
        <v>ULIF07828/02/25Alpha300Fd101</v>
      </c>
      <c r="E2876" s="8" t="s">
        <v>4898</v>
      </c>
      <c r="F2876" s="8" t="s">
        <v>4987</v>
      </c>
    </row>
    <row r="2877" spans="1:6" ht="60" x14ac:dyDescent="0.25">
      <c r="A2877" s="8" t="s">
        <v>125</v>
      </c>
      <c r="B2877" s="8" t="s">
        <v>157</v>
      </c>
      <c r="C2877" s="8" t="str">
        <f>IFERROR(_xlfn.XLOOKUP(TRIM(B2877),Lookup!$B$2:$B$1000,Lookup!$C$2:$C$1000),"")</f>
        <v>Equity</v>
      </c>
      <c r="D2877" s="8" t="str">
        <f>IFERROR(INDEX('nav master'!$C:$C, MATCH(B2877, 'nav master'!$B:$B, 0)), "")</f>
        <v>ULIF07828/02/25Alpha300Fd101</v>
      </c>
      <c r="E2877" s="8" t="s">
        <v>4900</v>
      </c>
      <c r="F2877" s="8" t="s">
        <v>4988</v>
      </c>
    </row>
    <row r="2878" spans="1:6" ht="60" x14ac:dyDescent="0.25">
      <c r="A2878" s="8" t="s">
        <v>125</v>
      </c>
      <c r="B2878" s="8" t="s">
        <v>157</v>
      </c>
      <c r="C2878" s="8" t="str">
        <f>IFERROR(_xlfn.XLOOKUP(TRIM(B2878),Lookup!$B$2:$B$1000,Lookup!$C$2:$C$1000),"")</f>
        <v>Equity</v>
      </c>
      <c r="D2878" s="8" t="str">
        <f>IFERROR(INDEX('nav master'!$C:$C, MATCH(B2878, 'nav master'!$B:$B, 0)), "")</f>
        <v>ULIF07828/02/25Alpha300Fd101</v>
      </c>
      <c r="E2878" s="8" t="s">
        <v>4902</v>
      </c>
      <c r="F2878" s="8" t="s">
        <v>4989</v>
      </c>
    </row>
    <row r="2879" spans="1:6" ht="60" x14ac:dyDescent="0.25">
      <c r="A2879" s="8" t="s">
        <v>125</v>
      </c>
      <c r="B2879" s="8" t="s">
        <v>157</v>
      </c>
      <c r="C2879" s="8" t="str">
        <f>IFERROR(_xlfn.XLOOKUP(TRIM(B2879),Lookup!$B$2:$B$1000,Lookup!$C$2:$C$1000),"")</f>
        <v>Equity</v>
      </c>
      <c r="D2879" s="8" t="str">
        <f>IFERROR(INDEX('nav master'!$C:$C, MATCH(B2879, 'nav master'!$B:$B, 0)), "")</f>
        <v>ULIF07828/02/25Alpha300Fd101</v>
      </c>
      <c r="E2879" s="8" t="s">
        <v>4903</v>
      </c>
      <c r="F2879" s="8" t="s">
        <v>4990</v>
      </c>
    </row>
    <row r="2880" spans="1:6" ht="60" x14ac:dyDescent="0.25">
      <c r="A2880" s="8" t="s">
        <v>125</v>
      </c>
      <c r="B2880" s="8" t="s">
        <v>157</v>
      </c>
      <c r="C2880" s="8" t="str">
        <f>IFERROR(_xlfn.XLOOKUP(TRIM(B2880),Lookup!$B$2:$B$1000,Lookup!$C$2:$C$1000),"")</f>
        <v>Equity</v>
      </c>
      <c r="D2880" s="8" t="str">
        <f>IFERROR(INDEX('nav master'!$C:$C, MATCH(B2880, 'nav master'!$B:$B, 0)), "")</f>
        <v>ULIF07828/02/25Alpha300Fd101</v>
      </c>
      <c r="E2880" s="8" t="s">
        <v>4905</v>
      </c>
      <c r="F2880" s="8" t="s">
        <v>4991</v>
      </c>
    </row>
    <row r="2881" spans="1:6" ht="60" x14ac:dyDescent="0.25">
      <c r="A2881" s="8" t="s">
        <v>125</v>
      </c>
      <c r="B2881" s="8" t="s">
        <v>159</v>
      </c>
      <c r="C2881" s="8" t="str">
        <f>IFERROR(_xlfn.XLOOKUP(TRIM(B2881),Lookup!$B$2:$B$1000,Lookup!$C$2:$C$1000),"")</f>
        <v>Equity</v>
      </c>
      <c r="D2881" s="8" t="str">
        <f>IFERROR(INDEX('nav master'!$C:$C, MATCH(B2881, 'nav master'!$B:$B, 0)), "")</f>
        <v>ULIF08219/09/25TopMF500Fd101</v>
      </c>
      <c r="E2881" s="8" t="s">
        <v>271</v>
      </c>
      <c r="F2881" s="8" t="s">
        <v>1603</v>
      </c>
    </row>
    <row r="2882" spans="1:6" ht="60" x14ac:dyDescent="0.25">
      <c r="A2882" s="8" t="s">
        <v>125</v>
      </c>
      <c r="B2882" s="8" t="s">
        <v>159</v>
      </c>
      <c r="C2882" s="8" t="str">
        <f>IFERROR(_xlfn.XLOOKUP(TRIM(B2882),Lookup!$B$2:$B$1000,Lookup!$C$2:$C$1000),"")</f>
        <v>Equity</v>
      </c>
      <c r="D2882" s="8" t="str">
        <f>IFERROR(INDEX('nav master'!$C:$C, MATCH(B2882, 'nav master'!$B:$B, 0)), "")</f>
        <v>ULIF08219/09/25TopMF500Fd101</v>
      </c>
      <c r="E2882" s="8" t="s">
        <v>273</v>
      </c>
      <c r="F2882" s="8" t="s">
        <v>3173</v>
      </c>
    </row>
    <row r="2883" spans="1:6" ht="60" x14ac:dyDescent="0.25">
      <c r="A2883" s="8" t="s">
        <v>125</v>
      </c>
      <c r="B2883" s="8" t="s">
        <v>159</v>
      </c>
      <c r="C2883" s="8" t="str">
        <f>IFERROR(_xlfn.XLOOKUP(TRIM(B2883),Lookup!$B$2:$B$1000,Lookup!$C$2:$C$1000),"")</f>
        <v>Equity</v>
      </c>
      <c r="D2883" s="8" t="str">
        <f>IFERROR(INDEX('nav master'!$C:$C, MATCH(B2883, 'nav master'!$B:$B, 0)), "")</f>
        <v>ULIF08219/09/25TopMF500Fd101</v>
      </c>
      <c r="E2883" s="8" t="s">
        <v>275</v>
      </c>
      <c r="F2883" s="8" t="s">
        <v>3174</v>
      </c>
    </row>
    <row r="2884" spans="1:6" ht="60" x14ac:dyDescent="0.25">
      <c r="A2884" s="8" t="s">
        <v>125</v>
      </c>
      <c r="B2884" s="8" t="s">
        <v>159</v>
      </c>
      <c r="C2884" s="8" t="str">
        <f>IFERROR(_xlfn.XLOOKUP(TRIM(B2884),Lookup!$B$2:$B$1000,Lookup!$C$2:$C$1000),"")</f>
        <v>Equity</v>
      </c>
      <c r="D2884" s="8" t="str">
        <f>IFERROR(INDEX('nav master'!$C:$C, MATCH(B2884, 'nav master'!$B:$B, 0)), "")</f>
        <v>ULIF08219/09/25TopMF500Fd101</v>
      </c>
      <c r="E2884" s="8" t="s">
        <v>277</v>
      </c>
      <c r="F2884" s="8" t="s">
        <v>3175</v>
      </c>
    </row>
    <row r="2885" spans="1:6" ht="60" x14ac:dyDescent="0.25">
      <c r="A2885" s="8" t="s">
        <v>125</v>
      </c>
      <c r="B2885" s="8" t="s">
        <v>159</v>
      </c>
      <c r="C2885" s="8" t="str">
        <f>IFERROR(_xlfn.XLOOKUP(TRIM(B2885),Lookup!$B$2:$B$1000,Lookup!$C$2:$C$1000),"")</f>
        <v>Equity</v>
      </c>
      <c r="D2885" s="8" t="str">
        <f>IFERROR(INDEX('nav master'!$C:$C, MATCH(B2885, 'nav master'!$B:$B, 0)), "")</f>
        <v>ULIF08219/09/25TopMF500Fd101</v>
      </c>
      <c r="E2885" s="8" t="s">
        <v>279</v>
      </c>
      <c r="F2885" s="8" t="s">
        <v>3176</v>
      </c>
    </row>
    <row r="2886" spans="1:6" ht="60" x14ac:dyDescent="0.25">
      <c r="A2886" s="8" t="s">
        <v>125</v>
      </c>
      <c r="B2886" s="8" t="s">
        <v>159</v>
      </c>
      <c r="C2886" s="8" t="str">
        <f>IFERROR(_xlfn.XLOOKUP(TRIM(B2886),Lookup!$B$2:$B$1000,Lookup!$C$2:$C$1000),"")</f>
        <v>Equity</v>
      </c>
      <c r="D2886" s="8" t="str">
        <f>IFERROR(INDEX('nav master'!$C:$C, MATCH(B2886, 'nav master'!$B:$B, 0)), "")</f>
        <v>ULIF08219/09/25TopMF500Fd101</v>
      </c>
      <c r="E2886" s="8" t="s">
        <v>281</v>
      </c>
      <c r="F2886" s="8" t="s">
        <v>3177</v>
      </c>
    </row>
    <row r="2887" spans="1:6" ht="60" x14ac:dyDescent="0.25">
      <c r="A2887" s="8" t="s">
        <v>125</v>
      </c>
      <c r="B2887" s="8" t="s">
        <v>159</v>
      </c>
      <c r="C2887" s="8" t="str">
        <f>IFERROR(_xlfn.XLOOKUP(TRIM(B2887),Lookup!$B$2:$B$1000,Lookup!$C$2:$C$1000),"")</f>
        <v>Equity</v>
      </c>
      <c r="D2887" s="8" t="str">
        <f>IFERROR(INDEX('nav master'!$C:$C, MATCH(B2887, 'nav master'!$B:$B, 0)), "")</f>
        <v>ULIF08219/09/25TopMF500Fd101</v>
      </c>
      <c r="E2887" s="8" t="s">
        <v>283</v>
      </c>
      <c r="F2887" s="8" t="s">
        <v>3178</v>
      </c>
    </row>
    <row r="2888" spans="1:6" ht="60" x14ac:dyDescent="0.25">
      <c r="A2888" s="8" t="s">
        <v>125</v>
      </c>
      <c r="B2888" s="8" t="s">
        <v>159</v>
      </c>
      <c r="C2888" s="8" t="str">
        <f>IFERROR(_xlfn.XLOOKUP(TRIM(B2888),Lookup!$B$2:$B$1000,Lookup!$C$2:$C$1000),"")</f>
        <v>Equity</v>
      </c>
      <c r="D2888" s="8" t="str">
        <f>IFERROR(INDEX('nav master'!$C:$C, MATCH(B2888, 'nav master'!$B:$B, 0)), "")</f>
        <v>ULIF08219/09/25TopMF500Fd101</v>
      </c>
      <c r="E2888" s="8" t="s">
        <v>285</v>
      </c>
      <c r="F2888" s="8" t="s">
        <v>3179</v>
      </c>
    </row>
    <row r="2889" spans="1:6" ht="60" x14ac:dyDescent="0.25">
      <c r="A2889" s="8" t="s">
        <v>125</v>
      </c>
      <c r="B2889" s="8" t="s">
        <v>159</v>
      </c>
      <c r="C2889" s="8" t="str">
        <f>IFERROR(_xlfn.XLOOKUP(TRIM(B2889),Lookup!$B$2:$B$1000,Lookup!$C$2:$C$1000),"")</f>
        <v>Equity</v>
      </c>
      <c r="D2889" s="8" t="str">
        <f>IFERROR(INDEX('nav master'!$C:$C, MATCH(B2889, 'nav master'!$B:$B, 0)), "")</f>
        <v>ULIF08219/09/25TopMF500Fd101</v>
      </c>
      <c r="E2889" s="8" t="s">
        <v>287</v>
      </c>
      <c r="F2889" s="8" t="s">
        <v>3180</v>
      </c>
    </row>
    <row r="2890" spans="1:6" ht="60" x14ac:dyDescent="0.25">
      <c r="A2890" s="8" t="s">
        <v>125</v>
      </c>
      <c r="B2890" s="8" t="s">
        <v>159</v>
      </c>
      <c r="C2890" s="8" t="str">
        <f>IFERROR(_xlfn.XLOOKUP(TRIM(B2890),Lookup!$B$2:$B$1000,Lookup!$C$2:$C$1000),"")</f>
        <v>Equity</v>
      </c>
      <c r="D2890" s="8" t="str">
        <f>IFERROR(INDEX('nav master'!$C:$C, MATCH(B2890, 'nav master'!$B:$B, 0)), "")</f>
        <v>ULIF08219/09/25TopMF500Fd101</v>
      </c>
      <c r="E2890" s="8" t="s">
        <v>289</v>
      </c>
      <c r="F2890" s="8" t="s">
        <v>3181</v>
      </c>
    </row>
    <row r="2891" spans="1:6" ht="60" x14ac:dyDescent="0.25">
      <c r="A2891" s="8" t="s">
        <v>125</v>
      </c>
      <c r="B2891" s="8" t="s">
        <v>159</v>
      </c>
      <c r="C2891" s="8" t="str">
        <f>IFERROR(_xlfn.XLOOKUP(TRIM(B2891),Lookup!$B$2:$B$1000,Lookup!$C$2:$C$1000),"")</f>
        <v>Equity</v>
      </c>
      <c r="D2891" s="8" t="str">
        <f>IFERROR(INDEX('nav master'!$C:$C, MATCH(B2891, 'nav master'!$B:$B, 0)), "")</f>
        <v>ULIF08219/09/25TopMF500Fd101</v>
      </c>
      <c r="E2891" s="8" t="s">
        <v>291</v>
      </c>
      <c r="F2891" s="8" t="s">
        <v>3182</v>
      </c>
    </row>
    <row r="2892" spans="1:6" ht="60" x14ac:dyDescent="0.25">
      <c r="A2892" s="8" t="s">
        <v>125</v>
      </c>
      <c r="B2892" s="8" t="s">
        <v>159</v>
      </c>
      <c r="C2892" s="8" t="str">
        <f>IFERROR(_xlfn.XLOOKUP(TRIM(B2892),Lookup!$B$2:$B$1000,Lookup!$C$2:$C$1000),"")</f>
        <v>Equity</v>
      </c>
      <c r="D2892" s="8" t="str">
        <f>IFERROR(INDEX('nav master'!$C:$C, MATCH(B2892, 'nav master'!$B:$B, 0)), "")</f>
        <v>ULIF08219/09/25TopMF500Fd101</v>
      </c>
      <c r="E2892" s="8" t="s">
        <v>293</v>
      </c>
      <c r="F2892" s="8" t="s">
        <v>3183</v>
      </c>
    </row>
    <row r="2893" spans="1:6" ht="60" x14ac:dyDescent="0.25">
      <c r="A2893" s="8" t="s">
        <v>125</v>
      </c>
      <c r="B2893" s="8" t="s">
        <v>159</v>
      </c>
      <c r="C2893" s="8" t="str">
        <f>IFERROR(_xlfn.XLOOKUP(TRIM(B2893),Lookup!$B$2:$B$1000,Lookup!$C$2:$C$1000),"")</f>
        <v>Equity</v>
      </c>
      <c r="D2893" s="8" t="str">
        <f>IFERROR(INDEX('nav master'!$C:$C, MATCH(B2893, 'nav master'!$B:$B, 0)), "")</f>
        <v>ULIF08219/09/25TopMF500Fd101</v>
      </c>
      <c r="E2893" s="8" t="s">
        <v>295</v>
      </c>
      <c r="F2893" s="8" t="s">
        <v>3184</v>
      </c>
    </row>
    <row r="2894" spans="1:6" ht="60" x14ac:dyDescent="0.25">
      <c r="A2894" s="8" t="s">
        <v>125</v>
      </c>
      <c r="B2894" s="8" t="s">
        <v>159</v>
      </c>
      <c r="C2894" s="8" t="str">
        <f>IFERROR(_xlfn.XLOOKUP(TRIM(B2894),Lookup!$B$2:$B$1000,Lookup!$C$2:$C$1000),"")</f>
        <v>Equity</v>
      </c>
      <c r="D2894" s="8" t="str">
        <f>IFERROR(INDEX('nav master'!$C:$C, MATCH(B2894, 'nav master'!$B:$B, 0)), "")</f>
        <v>ULIF08219/09/25TopMF500Fd101</v>
      </c>
      <c r="E2894" s="8" t="s">
        <v>297</v>
      </c>
      <c r="F2894" s="8" t="s">
        <v>3185</v>
      </c>
    </row>
    <row r="2895" spans="1:6" ht="60" x14ac:dyDescent="0.25">
      <c r="A2895" s="8" t="s">
        <v>125</v>
      </c>
      <c r="B2895" s="8" t="s">
        <v>159</v>
      </c>
      <c r="C2895" s="8" t="str">
        <f>IFERROR(_xlfn.XLOOKUP(TRIM(B2895),Lookup!$B$2:$B$1000,Lookup!$C$2:$C$1000),"")</f>
        <v>Equity</v>
      </c>
      <c r="D2895" s="8" t="str">
        <f>IFERROR(INDEX('nav master'!$C:$C, MATCH(B2895, 'nav master'!$B:$B, 0)), "")</f>
        <v>ULIF08219/09/25TopMF500Fd101</v>
      </c>
      <c r="E2895" s="8" t="s">
        <v>299</v>
      </c>
      <c r="F2895" s="8" t="s">
        <v>3186</v>
      </c>
    </row>
    <row r="2896" spans="1:6" ht="60" x14ac:dyDescent="0.25">
      <c r="A2896" s="8" t="s">
        <v>125</v>
      </c>
      <c r="B2896" s="8" t="s">
        <v>159</v>
      </c>
      <c r="C2896" s="8" t="str">
        <f>IFERROR(_xlfn.XLOOKUP(TRIM(B2896),Lookup!$B$2:$B$1000,Lookup!$C$2:$C$1000),"")</f>
        <v>Equity</v>
      </c>
      <c r="D2896" s="8" t="str">
        <f>IFERROR(INDEX('nav master'!$C:$C, MATCH(B2896, 'nav master'!$B:$B, 0)), "")</f>
        <v>ULIF08219/09/25TopMF500Fd101</v>
      </c>
      <c r="E2896" s="8" t="s">
        <v>301</v>
      </c>
      <c r="F2896" s="8" t="s">
        <v>3187</v>
      </c>
    </row>
    <row r="2897" spans="1:6" ht="60" x14ac:dyDescent="0.25">
      <c r="A2897" s="8" t="s">
        <v>125</v>
      </c>
      <c r="B2897" s="8" t="s">
        <v>159</v>
      </c>
      <c r="C2897" s="8" t="str">
        <f>IFERROR(_xlfn.XLOOKUP(TRIM(B2897),Lookup!$B$2:$B$1000,Lookup!$C$2:$C$1000),"")</f>
        <v>Equity</v>
      </c>
      <c r="D2897" s="8" t="str">
        <f>IFERROR(INDEX('nav master'!$C:$C, MATCH(B2897, 'nav master'!$B:$B, 0)), "")</f>
        <v>ULIF08219/09/25TopMF500Fd101</v>
      </c>
      <c r="E2897" s="8" t="s">
        <v>303</v>
      </c>
      <c r="F2897" s="8" t="s">
        <v>3188</v>
      </c>
    </row>
    <row r="2898" spans="1:6" ht="60" x14ac:dyDescent="0.25">
      <c r="A2898" s="8" t="s">
        <v>125</v>
      </c>
      <c r="B2898" s="8" t="s">
        <v>159</v>
      </c>
      <c r="C2898" s="8" t="str">
        <f>IFERROR(_xlfn.XLOOKUP(TRIM(B2898),Lookup!$B$2:$B$1000,Lookup!$C$2:$C$1000),"")</f>
        <v>Equity</v>
      </c>
      <c r="D2898" s="8" t="str">
        <f>IFERROR(INDEX('nav master'!$C:$C, MATCH(B2898, 'nav master'!$B:$B, 0)), "")</f>
        <v>ULIF08219/09/25TopMF500Fd101</v>
      </c>
      <c r="E2898" s="8" t="s">
        <v>305</v>
      </c>
      <c r="F2898" s="8" t="s">
        <v>3189</v>
      </c>
    </row>
    <row r="2899" spans="1:6" ht="60" x14ac:dyDescent="0.25">
      <c r="A2899" s="8" t="s">
        <v>125</v>
      </c>
      <c r="B2899" s="8" t="s">
        <v>159</v>
      </c>
      <c r="C2899" s="8" t="str">
        <f>IFERROR(_xlfn.XLOOKUP(TRIM(B2899),Lookup!$B$2:$B$1000,Lookup!$C$2:$C$1000),"")</f>
        <v>Equity</v>
      </c>
      <c r="D2899" s="8" t="str">
        <f>IFERROR(INDEX('nav master'!$C:$C, MATCH(B2899, 'nav master'!$B:$B, 0)), "")</f>
        <v>ULIF08219/09/25TopMF500Fd101</v>
      </c>
      <c r="E2899" s="8" t="s">
        <v>307</v>
      </c>
      <c r="F2899" s="8" t="s">
        <v>3190</v>
      </c>
    </row>
    <row r="2900" spans="1:6" ht="60" x14ac:dyDescent="0.25">
      <c r="A2900" s="8" t="s">
        <v>125</v>
      </c>
      <c r="B2900" s="8" t="s">
        <v>159</v>
      </c>
      <c r="C2900" s="8" t="str">
        <f>IFERROR(_xlfn.XLOOKUP(TRIM(B2900),Lookup!$B$2:$B$1000,Lookup!$C$2:$C$1000),"")</f>
        <v>Equity</v>
      </c>
      <c r="D2900" s="8" t="str">
        <f>IFERROR(INDEX('nav master'!$C:$C, MATCH(B2900, 'nav master'!$B:$B, 0)), "")</f>
        <v>ULIF08219/09/25TopMF500Fd101</v>
      </c>
      <c r="E2900" s="8" t="s">
        <v>309</v>
      </c>
      <c r="F2900" s="8" t="s">
        <v>3191</v>
      </c>
    </row>
    <row r="2901" spans="1:6" ht="60" x14ac:dyDescent="0.25">
      <c r="A2901" s="8" t="s">
        <v>125</v>
      </c>
      <c r="B2901" s="8" t="s">
        <v>159</v>
      </c>
      <c r="C2901" s="8" t="str">
        <f>IFERROR(_xlfn.XLOOKUP(TRIM(B2901),Lookup!$B$2:$B$1000,Lookup!$C$2:$C$1000),"")</f>
        <v>Equity</v>
      </c>
      <c r="D2901" s="8" t="str">
        <f>IFERROR(INDEX('nav master'!$C:$C, MATCH(B2901, 'nav master'!$B:$B, 0)), "")</f>
        <v>ULIF08219/09/25TopMF500Fd101</v>
      </c>
      <c r="E2901" s="8" t="s">
        <v>311</v>
      </c>
      <c r="F2901" s="8" t="s">
        <v>3192</v>
      </c>
    </row>
    <row r="2902" spans="1:6" ht="60" x14ac:dyDescent="0.25">
      <c r="A2902" s="8" t="s">
        <v>125</v>
      </c>
      <c r="B2902" s="8" t="s">
        <v>159</v>
      </c>
      <c r="C2902" s="8" t="str">
        <f>IFERROR(_xlfn.XLOOKUP(TRIM(B2902),Lookup!$B$2:$B$1000,Lookup!$C$2:$C$1000),"")</f>
        <v>Equity</v>
      </c>
      <c r="D2902" s="8" t="str">
        <f>IFERROR(INDEX('nav master'!$C:$C, MATCH(B2902, 'nav master'!$B:$B, 0)), "")</f>
        <v>ULIF08219/09/25TopMF500Fd101</v>
      </c>
      <c r="E2902" s="8" t="s">
        <v>313</v>
      </c>
      <c r="F2902" s="8" t="s">
        <v>3193</v>
      </c>
    </row>
    <row r="2903" spans="1:6" ht="60" x14ac:dyDescent="0.25">
      <c r="A2903" s="8" t="s">
        <v>125</v>
      </c>
      <c r="B2903" s="8" t="s">
        <v>159</v>
      </c>
      <c r="C2903" s="8" t="str">
        <f>IFERROR(_xlfn.XLOOKUP(TRIM(B2903),Lookup!$B$2:$B$1000,Lookup!$C$2:$C$1000),"")</f>
        <v>Equity</v>
      </c>
      <c r="D2903" s="8" t="str">
        <f>IFERROR(INDEX('nav master'!$C:$C, MATCH(B2903, 'nav master'!$B:$B, 0)), "")</f>
        <v>ULIF08219/09/25TopMF500Fd101</v>
      </c>
      <c r="E2903" s="8" t="s">
        <v>315</v>
      </c>
      <c r="F2903" s="8" t="s">
        <v>3194</v>
      </c>
    </row>
    <row r="2904" spans="1:6" ht="60" x14ac:dyDescent="0.25">
      <c r="A2904" s="8" t="s">
        <v>125</v>
      </c>
      <c r="B2904" s="8" t="s">
        <v>159</v>
      </c>
      <c r="C2904" s="8" t="str">
        <f>IFERROR(_xlfn.XLOOKUP(TRIM(B2904),Lookup!$B$2:$B$1000,Lookup!$C$2:$C$1000),"")</f>
        <v>Equity</v>
      </c>
      <c r="D2904" s="8" t="str">
        <f>IFERROR(INDEX('nav master'!$C:$C, MATCH(B2904, 'nav master'!$B:$B, 0)), "")</f>
        <v>ULIF08219/09/25TopMF500Fd101</v>
      </c>
      <c r="E2904" s="8" t="s">
        <v>317</v>
      </c>
      <c r="F2904" s="8" t="s">
        <v>3195</v>
      </c>
    </row>
    <row r="2905" spans="1:6" ht="60" x14ac:dyDescent="0.25">
      <c r="A2905" s="8" t="s">
        <v>125</v>
      </c>
      <c r="B2905" s="8" t="s">
        <v>159</v>
      </c>
      <c r="C2905" s="8" t="str">
        <f>IFERROR(_xlfn.XLOOKUP(TRIM(B2905),Lookup!$B$2:$B$1000,Lookup!$C$2:$C$1000),"")</f>
        <v>Equity</v>
      </c>
      <c r="D2905" s="8" t="str">
        <f>IFERROR(INDEX('nav master'!$C:$C, MATCH(B2905, 'nav master'!$B:$B, 0)), "")</f>
        <v>ULIF08219/09/25TopMF500Fd101</v>
      </c>
      <c r="E2905" s="8" t="s">
        <v>319</v>
      </c>
      <c r="F2905" s="8" t="s">
        <v>2851</v>
      </c>
    </row>
    <row r="2906" spans="1:6" ht="60" x14ac:dyDescent="0.25">
      <c r="A2906" s="8" t="s">
        <v>125</v>
      </c>
      <c r="B2906" s="8" t="s">
        <v>159</v>
      </c>
      <c r="C2906" s="8" t="str">
        <f>IFERROR(_xlfn.XLOOKUP(TRIM(B2906),Lookup!$B$2:$B$1000,Lookup!$C$2:$C$1000),"")</f>
        <v>Equity</v>
      </c>
      <c r="D2906" s="8" t="str">
        <f>IFERROR(INDEX('nav master'!$C:$C, MATCH(B2906, 'nav master'!$B:$B, 0)), "")</f>
        <v>ULIF08219/09/25TopMF500Fd101</v>
      </c>
      <c r="E2906" s="8" t="s">
        <v>321</v>
      </c>
      <c r="F2906" s="8" t="s">
        <v>3196</v>
      </c>
    </row>
    <row r="2907" spans="1:6" ht="60" x14ac:dyDescent="0.25">
      <c r="A2907" s="8" t="s">
        <v>125</v>
      </c>
      <c r="B2907" s="8" t="s">
        <v>159</v>
      </c>
      <c r="C2907" s="8" t="str">
        <f>IFERROR(_xlfn.XLOOKUP(TRIM(B2907),Lookup!$B$2:$B$1000,Lookup!$C$2:$C$1000),"")</f>
        <v>Equity</v>
      </c>
      <c r="D2907" s="8" t="str">
        <f>IFERROR(INDEX('nav master'!$C:$C, MATCH(B2907, 'nav master'!$B:$B, 0)), "")</f>
        <v>ULIF08219/09/25TopMF500Fd101</v>
      </c>
      <c r="E2907" s="8" t="s">
        <v>323</v>
      </c>
      <c r="F2907" s="8" t="s">
        <v>3197</v>
      </c>
    </row>
    <row r="2908" spans="1:6" ht="60" x14ac:dyDescent="0.25">
      <c r="A2908" s="8" t="s">
        <v>125</v>
      </c>
      <c r="B2908" s="8" t="s">
        <v>159</v>
      </c>
      <c r="C2908" s="8" t="str">
        <f>IFERROR(_xlfn.XLOOKUP(TRIM(B2908),Lookup!$B$2:$B$1000,Lookup!$C$2:$C$1000),"")</f>
        <v>Equity</v>
      </c>
      <c r="D2908" s="8" t="str">
        <f>IFERROR(INDEX('nav master'!$C:$C, MATCH(B2908, 'nav master'!$B:$B, 0)), "")</f>
        <v>ULIF08219/09/25TopMF500Fd101</v>
      </c>
      <c r="E2908" s="8" t="s">
        <v>325</v>
      </c>
      <c r="F2908" s="8" t="s">
        <v>3198</v>
      </c>
    </row>
    <row r="2909" spans="1:6" ht="60" x14ac:dyDescent="0.25">
      <c r="A2909" s="8" t="s">
        <v>125</v>
      </c>
      <c r="B2909" s="8" t="s">
        <v>159</v>
      </c>
      <c r="C2909" s="8" t="str">
        <f>IFERROR(_xlfn.XLOOKUP(TRIM(B2909),Lookup!$B$2:$B$1000,Lookup!$C$2:$C$1000),"")</f>
        <v>Equity</v>
      </c>
      <c r="D2909" s="8" t="str">
        <f>IFERROR(INDEX('nav master'!$C:$C, MATCH(B2909, 'nav master'!$B:$B, 0)), "")</f>
        <v>ULIF08219/09/25TopMF500Fd101</v>
      </c>
      <c r="E2909" s="8" t="s">
        <v>327</v>
      </c>
      <c r="F2909" s="8" t="s">
        <v>3199</v>
      </c>
    </row>
    <row r="2910" spans="1:6" ht="60" x14ac:dyDescent="0.25">
      <c r="A2910" s="8" t="s">
        <v>125</v>
      </c>
      <c r="B2910" s="8" t="s">
        <v>159</v>
      </c>
      <c r="C2910" s="8" t="str">
        <f>IFERROR(_xlfn.XLOOKUP(TRIM(B2910),Lookup!$B$2:$B$1000,Lookup!$C$2:$C$1000),"")</f>
        <v>Equity</v>
      </c>
      <c r="D2910" s="8" t="str">
        <f>IFERROR(INDEX('nav master'!$C:$C, MATCH(B2910, 'nav master'!$B:$B, 0)), "")</f>
        <v>ULIF08219/09/25TopMF500Fd101</v>
      </c>
      <c r="E2910" s="8" t="s">
        <v>329</v>
      </c>
      <c r="F2910" s="8" t="s">
        <v>3200</v>
      </c>
    </row>
    <row r="2911" spans="1:6" ht="60" x14ac:dyDescent="0.25">
      <c r="A2911" s="8" t="s">
        <v>125</v>
      </c>
      <c r="B2911" s="8" t="s">
        <v>159</v>
      </c>
      <c r="C2911" s="8" t="str">
        <f>IFERROR(_xlfn.XLOOKUP(TRIM(B2911),Lookup!$B$2:$B$1000,Lookup!$C$2:$C$1000),"")</f>
        <v>Equity</v>
      </c>
      <c r="D2911" s="8" t="str">
        <f>IFERROR(INDEX('nav master'!$C:$C, MATCH(B2911, 'nav master'!$B:$B, 0)), "")</f>
        <v>ULIF08219/09/25TopMF500Fd101</v>
      </c>
      <c r="E2911" s="8" t="s">
        <v>331</v>
      </c>
      <c r="F2911" s="8" t="s">
        <v>3201</v>
      </c>
    </row>
    <row r="2912" spans="1:6" ht="60" x14ac:dyDescent="0.25">
      <c r="A2912" s="8" t="s">
        <v>125</v>
      </c>
      <c r="B2912" s="8" t="s">
        <v>159</v>
      </c>
      <c r="C2912" s="8" t="str">
        <f>IFERROR(_xlfn.XLOOKUP(TRIM(B2912),Lookup!$B$2:$B$1000,Lookup!$C$2:$C$1000),"")</f>
        <v>Equity</v>
      </c>
      <c r="D2912" s="8" t="str">
        <f>IFERROR(INDEX('nav master'!$C:$C, MATCH(B2912, 'nav master'!$B:$B, 0)), "")</f>
        <v>ULIF08219/09/25TopMF500Fd101</v>
      </c>
      <c r="E2912" s="8" t="s">
        <v>333</v>
      </c>
      <c r="F2912" s="8" t="s">
        <v>3202</v>
      </c>
    </row>
    <row r="2913" spans="1:6" ht="60" x14ac:dyDescent="0.25">
      <c r="A2913" s="8" t="s">
        <v>125</v>
      </c>
      <c r="B2913" s="8" t="s">
        <v>159</v>
      </c>
      <c r="C2913" s="8" t="str">
        <f>IFERROR(_xlfn.XLOOKUP(TRIM(B2913),Lookup!$B$2:$B$1000,Lookup!$C$2:$C$1000),"")</f>
        <v>Equity</v>
      </c>
      <c r="D2913" s="8" t="str">
        <f>IFERROR(INDEX('nav master'!$C:$C, MATCH(B2913, 'nav master'!$B:$B, 0)), "")</f>
        <v>ULIF08219/09/25TopMF500Fd101</v>
      </c>
      <c r="E2913" s="8" t="s">
        <v>335</v>
      </c>
      <c r="F2913" s="8" t="s">
        <v>3203</v>
      </c>
    </row>
    <row r="2914" spans="1:6" ht="60" x14ac:dyDescent="0.25">
      <c r="A2914" s="8" t="s">
        <v>125</v>
      </c>
      <c r="B2914" s="8" t="s">
        <v>159</v>
      </c>
      <c r="C2914" s="8" t="str">
        <f>IFERROR(_xlfn.XLOOKUP(TRIM(B2914),Lookup!$B$2:$B$1000,Lookup!$C$2:$C$1000),"")</f>
        <v>Equity</v>
      </c>
      <c r="D2914" s="8" t="str">
        <f>IFERROR(INDEX('nav master'!$C:$C, MATCH(B2914, 'nav master'!$B:$B, 0)), "")</f>
        <v>ULIF08219/09/25TopMF500Fd101</v>
      </c>
      <c r="E2914" s="8" t="s">
        <v>337</v>
      </c>
      <c r="F2914" s="8" t="s">
        <v>3204</v>
      </c>
    </row>
    <row r="2915" spans="1:6" ht="60" x14ac:dyDescent="0.25">
      <c r="A2915" s="8" t="s">
        <v>125</v>
      </c>
      <c r="B2915" s="8" t="s">
        <v>159</v>
      </c>
      <c r="C2915" s="8" t="str">
        <f>IFERROR(_xlfn.XLOOKUP(TRIM(B2915),Lookup!$B$2:$B$1000,Lookup!$C$2:$C$1000),"")</f>
        <v>Equity</v>
      </c>
      <c r="D2915" s="8" t="str">
        <f>IFERROR(INDEX('nav master'!$C:$C, MATCH(B2915, 'nav master'!$B:$B, 0)), "")</f>
        <v>ULIF08219/09/25TopMF500Fd101</v>
      </c>
      <c r="E2915" s="8" t="s">
        <v>339</v>
      </c>
      <c r="F2915" s="8" t="s">
        <v>3205</v>
      </c>
    </row>
    <row r="2916" spans="1:6" ht="60" x14ac:dyDescent="0.25">
      <c r="A2916" s="8" t="s">
        <v>125</v>
      </c>
      <c r="B2916" s="8" t="s">
        <v>159</v>
      </c>
      <c r="C2916" s="8" t="str">
        <f>IFERROR(_xlfn.XLOOKUP(TRIM(B2916),Lookup!$B$2:$B$1000,Lookup!$C$2:$C$1000),"")</f>
        <v>Equity</v>
      </c>
      <c r="D2916" s="8" t="str">
        <f>IFERROR(INDEX('nav master'!$C:$C, MATCH(B2916, 'nav master'!$B:$B, 0)), "")</f>
        <v>ULIF08219/09/25TopMF500Fd101</v>
      </c>
      <c r="E2916" s="8" t="s">
        <v>341</v>
      </c>
      <c r="F2916" s="8" t="s">
        <v>3206</v>
      </c>
    </row>
    <row r="2917" spans="1:6" ht="60" x14ac:dyDescent="0.25">
      <c r="A2917" s="8" t="s">
        <v>125</v>
      </c>
      <c r="B2917" s="8" t="s">
        <v>159</v>
      </c>
      <c r="C2917" s="8" t="str">
        <f>IFERROR(_xlfn.XLOOKUP(TRIM(B2917),Lookup!$B$2:$B$1000,Lookup!$C$2:$C$1000),"")</f>
        <v>Equity</v>
      </c>
      <c r="D2917" s="8" t="str">
        <f>IFERROR(INDEX('nav master'!$C:$C, MATCH(B2917, 'nav master'!$B:$B, 0)), "")</f>
        <v>ULIF08219/09/25TopMF500Fd101</v>
      </c>
      <c r="E2917" s="8" t="s">
        <v>343</v>
      </c>
      <c r="F2917" s="8" t="s">
        <v>3207</v>
      </c>
    </row>
    <row r="2918" spans="1:6" ht="60" x14ac:dyDescent="0.25">
      <c r="A2918" s="8" t="s">
        <v>125</v>
      </c>
      <c r="B2918" s="8" t="s">
        <v>159</v>
      </c>
      <c r="C2918" s="8" t="str">
        <f>IFERROR(_xlfn.XLOOKUP(TRIM(B2918),Lookup!$B$2:$B$1000,Lookup!$C$2:$C$1000),"")</f>
        <v>Equity</v>
      </c>
      <c r="D2918" s="8" t="str">
        <f>IFERROR(INDEX('nav master'!$C:$C, MATCH(B2918, 'nav master'!$B:$B, 0)), "")</f>
        <v>ULIF08219/09/25TopMF500Fd101</v>
      </c>
      <c r="E2918" s="8" t="s">
        <v>345</v>
      </c>
      <c r="F2918" s="8" t="s">
        <v>3208</v>
      </c>
    </row>
    <row r="2919" spans="1:6" ht="60" x14ac:dyDescent="0.25">
      <c r="A2919" s="8" t="s">
        <v>125</v>
      </c>
      <c r="B2919" s="8" t="s">
        <v>159</v>
      </c>
      <c r="C2919" s="8" t="str">
        <f>IFERROR(_xlfn.XLOOKUP(TRIM(B2919),Lookup!$B$2:$B$1000,Lookup!$C$2:$C$1000),"")</f>
        <v>Equity</v>
      </c>
      <c r="D2919" s="8" t="str">
        <f>IFERROR(INDEX('nav master'!$C:$C, MATCH(B2919, 'nav master'!$B:$B, 0)), "")</f>
        <v>ULIF08219/09/25TopMF500Fd101</v>
      </c>
      <c r="E2919" s="8" t="s">
        <v>347</v>
      </c>
      <c r="F2919" s="8" t="s">
        <v>3209</v>
      </c>
    </row>
    <row r="2920" spans="1:6" ht="60" x14ac:dyDescent="0.25">
      <c r="A2920" s="8" t="s">
        <v>125</v>
      </c>
      <c r="B2920" s="8" t="s">
        <v>159</v>
      </c>
      <c r="C2920" s="8" t="str">
        <f>IFERROR(_xlfn.XLOOKUP(TRIM(B2920),Lookup!$B$2:$B$1000,Lookup!$C$2:$C$1000),"")</f>
        <v>Equity</v>
      </c>
      <c r="D2920" s="8" t="str">
        <f>IFERROR(INDEX('nav master'!$C:$C, MATCH(B2920, 'nav master'!$B:$B, 0)), "")</f>
        <v>ULIF08219/09/25TopMF500Fd101</v>
      </c>
      <c r="E2920" s="8" t="s">
        <v>349</v>
      </c>
      <c r="F2920" s="8" t="s">
        <v>3210</v>
      </c>
    </row>
    <row r="2921" spans="1:6" ht="60" x14ac:dyDescent="0.25">
      <c r="A2921" s="8" t="s">
        <v>125</v>
      </c>
      <c r="B2921" s="8" t="s">
        <v>159</v>
      </c>
      <c r="C2921" s="8" t="str">
        <f>IFERROR(_xlfn.XLOOKUP(TRIM(B2921),Lookup!$B$2:$B$1000,Lookup!$C$2:$C$1000),"")</f>
        <v>Equity</v>
      </c>
      <c r="D2921" s="8" t="str">
        <f>IFERROR(INDEX('nav master'!$C:$C, MATCH(B2921, 'nav master'!$B:$B, 0)), "")</f>
        <v>ULIF08219/09/25TopMF500Fd101</v>
      </c>
      <c r="E2921" s="8" t="s">
        <v>351</v>
      </c>
      <c r="F2921" s="8" t="s">
        <v>3211</v>
      </c>
    </row>
    <row r="2922" spans="1:6" ht="60" x14ac:dyDescent="0.25">
      <c r="A2922" s="8" t="s">
        <v>125</v>
      </c>
      <c r="B2922" s="8" t="s">
        <v>159</v>
      </c>
      <c r="C2922" s="8" t="str">
        <f>IFERROR(_xlfn.XLOOKUP(TRIM(B2922),Lookup!$B$2:$B$1000,Lookup!$C$2:$C$1000),"")</f>
        <v>Equity</v>
      </c>
      <c r="D2922" s="8" t="str">
        <f>IFERROR(INDEX('nav master'!$C:$C, MATCH(B2922, 'nav master'!$B:$B, 0)), "")</f>
        <v>ULIF08219/09/25TopMF500Fd101</v>
      </c>
      <c r="E2922" s="8" t="s">
        <v>353</v>
      </c>
      <c r="F2922" s="8" t="s">
        <v>3212</v>
      </c>
    </row>
    <row r="2923" spans="1:6" ht="60" x14ac:dyDescent="0.25">
      <c r="A2923" s="8" t="s">
        <v>125</v>
      </c>
      <c r="B2923" s="8" t="s">
        <v>159</v>
      </c>
      <c r="C2923" s="8" t="str">
        <f>IFERROR(_xlfn.XLOOKUP(TRIM(B2923),Lookup!$B$2:$B$1000,Lookup!$C$2:$C$1000),"")</f>
        <v>Equity</v>
      </c>
      <c r="D2923" s="8" t="str">
        <f>IFERROR(INDEX('nav master'!$C:$C, MATCH(B2923, 'nav master'!$B:$B, 0)), "")</f>
        <v>ULIF08219/09/25TopMF500Fd101</v>
      </c>
      <c r="E2923" s="8" t="s">
        <v>355</v>
      </c>
      <c r="F2923" s="8" t="s">
        <v>3213</v>
      </c>
    </row>
    <row r="2924" spans="1:6" ht="60" x14ac:dyDescent="0.25">
      <c r="A2924" s="8" t="s">
        <v>125</v>
      </c>
      <c r="B2924" s="8" t="s">
        <v>159</v>
      </c>
      <c r="C2924" s="8" t="str">
        <f>IFERROR(_xlfn.XLOOKUP(TRIM(B2924),Lookup!$B$2:$B$1000,Lookup!$C$2:$C$1000),"")</f>
        <v>Equity</v>
      </c>
      <c r="D2924" s="8" t="str">
        <f>IFERROR(INDEX('nav master'!$C:$C, MATCH(B2924, 'nav master'!$B:$B, 0)), "")</f>
        <v>ULIF08219/09/25TopMF500Fd101</v>
      </c>
      <c r="E2924" s="8" t="s">
        <v>357</v>
      </c>
      <c r="F2924" s="8" t="s">
        <v>3214</v>
      </c>
    </row>
    <row r="2925" spans="1:6" ht="60" x14ac:dyDescent="0.25">
      <c r="A2925" s="8" t="s">
        <v>125</v>
      </c>
      <c r="B2925" s="8" t="s">
        <v>159</v>
      </c>
      <c r="C2925" s="8" t="str">
        <f>IFERROR(_xlfn.XLOOKUP(TRIM(B2925),Lookup!$B$2:$B$1000,Lookup!$C$2:$C$1000),"")</f>
        <v>Equity</v>
      </c>
      <c r="D2925" s="8" t="str">
        <f>IFERROR(INDEX('nav master'!$C:$C, MATCH(B2925, 'nav master'!$B:$B, 0)), "")</f>
        <v>ULIF08219/09/25TopMF500Fd101</v>
      </c>
      <c r="E2925" s="8" t="s">
        <v>359</v>
      </c>
      <c r="F2925" s="8" t="s">
        <v>3215</v>
      </c>
    </row>
    <row r="2926" spans="1:6" ht="60" x14ac:dyDescent="0.25">
      <c r="A2926" s="8" t="s">
        <v>125</v>
      </c>
      <c r="B2926" s="8" t="s">
        <v>159</v>
      </c>
      <c r="C2926" s="8" t="str">
        <f>IFERROR(_xlfn.XLOOKUP(TRIM(B2926),Lookup!$B$2:$B$1000,Lookup!$C$2:$C$1000),"")</f>
        <v>Equity</v>
      </c>
      <c r="D2926" s="8" t="str">
        <f>IFERROR(INDEX('nav master'!$C:$C, MATCH(B2926, 'nav master'!$B:$B, 0)), "")</f>
        <v>ULIF08219/09/25TopMF500Fd101</v>
      </c>
      <c r="E2926" s="8" t="s">
        <v>361</v>
      </c>
      <c r="F2926" s="8" t="s">
        <v>3216</v>
      </c>
    </row>
    <row r="2927" spans="1:6" ht="60" x14ac:dyDescent="0.25">
      <c r="A2927" s="8" t="s">
        <v>125</v>
      </c>
      <c r="B2927" s="8" t="s">
        <v>159</v>
      </c>
      <c r="C2927" s="8" t="str">
        <f>IFERROR(_xlfn.XLOOKUP(TRIM(B2927),Lookup!$B$2:$B$1000,Lookup!$C$2:$C$1000),"")</f>
        <v>Equity</v>
      </c>
      <c r="D2927" s="8" t="str">
        <f>IFERROR(INDEX('nav master'!$C:$C, MATCH(B2927, 'nav master'!$B:$B, 0)), "")</f>
        <v>ULIF08219/09/25TopMF500Fd101</v>
      </c>
      <c r="E2927" s="8" t="s">
        <v>363</v>
      </c>
      <c r="F2927" s="8" t="s">
        <v>3217</v>
      </c>
    </row>
    <row r="2928" spans="1:6" ht="60" x14ac:dyDescent="0.25">
      <c r="A2928" s="8" t="s">
        <v>125</v>
      </c>
      <c r="B2928" s="8" t="s">
        <v>159</v>
      </c>
      <c r="C2928" s="8" t="str">
        <f>IFERROR(_xlfn.XLOOKUP(TRIM(B2928),Lookup!$B$2:$B$1000,Lookup!$C$2:$C$1000),"")</f>
        <v>Equity</v>
      </c>
      <c r="D2928" s="8" t="str">
        <f>IFERROR(INDEX('nav master'!$C:$C, MATCH(B2928, 'nav master'!$B:$B, 0)), "")</f>
        <v>ULIF08219/09/25TopMF500Fd101</v>
      </c>
      <c r="E2928" s="8" t="s">
        <v>365</v>
      </c>
      <c r="F2928" s="8" t="s">
        <v>3218</v>
      </c>
    </row>
    <row r="2929" spans="1:6" ht="60" x14ac:dyDescent="0.25">
      <c r="A2929" s="8" t="s">
        <v>125</v>
      </c>
      <c r="B2929" s="8" t="s">
        <v>159</v>
      </c>
      <c r="C2929" s="8" t="str">
        <f>IFERROR(_xlfn.XLOOKUP(TRIM(B2929),Lookup!$B$2:$B$1000,Lookup!$C$2:$C$1000),"")</f>
        <v>Equity</v>
      </c>
      <c r="D2929" s="8" t="str">
        <f>IFERROR(INDEX('nav master'!$C:$C, MATCH(B2929, 'nav master'!$B:$B, 0)), "")</f>
        <v>ULIF08219/09/25TopMF500Fd101</v>
      </c>
      <c r="E2929" s="8" t="s">
        <v>367</v>
      </c>
      <c r="F2929" s="8" t="s">
        <v>3219</v>
      </c>
    </row>
    <row r="2930" spans="1:6" ht="60" x14ac:dyDescent="0.25">
      <c r="A2930" s="8" t="s">
        <v>125</v>
      </c>
      <c r="B2930" s="8" t="s">
        <v>159</v>
      </c>
      <c r="C2930" s="8" t="str">
        <f>IFERROR(_xlfn.XLOOKUP(TRIM(B2930),Lookup!$B$2:$B$1000,Lookup!$C$2:$C$1000),"")</f>
        <v>Equity</v>
      </c>
      <c r="D2930" s="8" t="str">
        <f>IFERROR(INDEX('nav master'!$C:$C, MATCH(B2930, 'nav master'!$B:$B, 0)), "")</f>
        <v>ULIF08219/09/25TopMF500Fd101</v>
      </c>
      <c r="E2930" s="8" t="s">
        <v>369</v>
      </c>
      <c r="F2930" s="8" t="s">
        <v>3220</v>
      </c>
    </row>
    <row r="2931" spans="1:6" ht="60" x14ac:dyDescent="0.25">
      <c r="A2931" s="8" t="s">
        <v>125</v>
      </c>
      <c r="B2931" s="8" t="s">
        <v>159</v>
      </c>
      <c r="C2931" s="8" t="str">
        <f>IFERROR(_xlfn.XLOOKUP(TRIM(B2931),Lookup!$B$2:$B$1000,Lookup!$C$2:$C$1000),"")</f>
        <v>Equity</v>
      </c>
      <c r="D2931" s="8" t="str">
        <f>IFERROR(INDEX('nav master'!$C:$C, MATCH(B2931, 'nav master'!$B:$B, 0)), "")</f>
        <v>ULIF08219/09/25TopMF500Fd101</v>
      </c>
      <c r="E2931" s="8" t="s">
        <v>371</v>
      </c>
      <c r="F2931" s="8" t="s">
        <v>3221</v>
      </c>
    </row>
    <row r="2932" spans="1:6" ht="60" x14ac:dyDescent="0.25">
      <c r="A2932" s="8" t="s">
        <v>125</v>
      </c>
      <c r="B2932" s="8" t="s">
        <v>159</v>
      </c>
      <c r="C2932" s="8" t="str">
        <f>IFERROR(_xlfn.XLOOKUP(TRIM(B2932),Lookup!$B$2:$B$1000,Lookup!$C$2:$C$1000),"")</f>
        <v>Equity</v>
      </c>
      <c r="D2932" s="8" t="str">
        <f>IFERROR(INDEX('nav master'!$C:$C, MATCH(B2932, 'nav master'!$B:$B, 0)), "")</f>
        <v>ULIF08219/09/25TopMF500Fd101</v>
      </c>
      <c r="E2932" s="8" t="s">
        <v>373</v>
      </c>
      <c r="F2932" s="8" t="s">
        <v>3222</v>
      </c>
    </row>
    <row r="2933" spans="1:6" ht="60" x14ac:dyDescent="0.25">
      <c r="A2933" s="8" t="s">
        <v>125</v>
      </c>
      <c r="B2933" s="8" t="s">
        <v>159</v>
      </c>
      <c r="C2933" s="8" t="str">
        <f>IFERROR(_xlfn.XLOOKUP(TRIM(B2933),Lookup!$B$2:$B$1000,Lookup!$C$2:$C$1000),"")</f>
        <v>Equity</v>
      </c>
      <c r="D2933" s="8" t="str">
        <f>IFERROR(INDEX('nav master'!$C:$C, MATCH(B2933, 'nav master'!$B:$B, 0)), "")</f>
        <v>ULIF08219/09/25TopMF500Fd101</v>
      </c>
      <c r="E2933" s="8" t="s">
        <v>375</v>
      </c>
      <c r="F2933" s="8" t="s">
        <v>3223</v>
      </c>
    </row>
    <row r="2934" spans="1:6" ht="60" x14ac:dyDescent="0.25">
      <c r="A2934" s="8" t="s">
        <v>125</v>
      </c>
      <c r="B2934" s="8" t="s">
        <v>159</v>
      </c>
      <c r="C2934" s="8" t="str">
        <f>IFERROR(_xlfn.XLOOKUP(TRIM(B2934),Lookup!$B$2:$B$1000,Lookup!$C$2:$C$1000),"")</f>
        <v>Equity</v>
      </c>
      <c r="D2934" s="8" t="str">
        <f>IFERROR(INDEX('nav master'!$C:$C, MATCH(B2934, 'nav master'!$B:$B, 0)), "")</f>
        <v>ULIF08219/09/25TopMF500Fd101</v>
      </c>
      <c r="E2934" s="8" t="s">
        <v>377</v>
      </c>
      <c r="F2934" s="8" t="s">
        <v>3224</v>
      </c>
    </row>
    <row r="2935" spans="1:6" ht="60" x14ac:dyDescent="0.25">
      <c r="A2935" s="8" t="s">
        <v>125</v>
      </c>
      <c r="B2935" s="8" t="s">
        <v>159</v>
      </c>
      <c r="C2935" s="8" t="str">
        <f>IFERROR(_xlfn.XLOOKUP(TRIM(B2935),Lookup!$B$2:$B$1000,Lookup!$C$2:$C$1000),"")</f>
        <v>Equity</v>
      </c>
      <c r="D2935" s="8" t="str">
        <f>IFERROR(INDEX('nav master'!$C:$C, MATCH(B2935, 'nav master'!$B:$B, 0)), "")</f>
        <v>ULIF08219/09/25TopMF500Fd101</v>
      </c>
      <c r="E2935" s="8" t="s">
        <v>379</v>
      </c>
      <c r="F2935" s="8" t="s">
        <v>3225</v>
      </c>
    </row>
    <row r="2936" spans="1:6" ht="60" x14ac:dyDescent="0.25">
      <c r="A2936" s="8" t="s">
        <v>125</v>
      </c>
      <c r="B2936" s="8" t="s">
        <v>159</v>
      </c>
      <c r="C2936" s="8" t="str">
        <f>IFERROR(_xlfn.XLOOKUP(TRIM(B2936),Lookup!$B$2:$B$1000,Lookup!$C$2:$C$1000),"")</f>
        <v>Equity</v>
      </c>
      <c r="D2936" s="8" t="str">
        <f>IFERROR(INDEX('nav master'!$C:$C, MATCH(B2936, 'nav master'!$B:$B, 0)), "")</f>
        <v>ULIF08219/09/25TopMF500Fd101</v>
      </c>
      <c r="E2936" s="8" t="s">
        <v>381</v>
      </c>
      <c r="F2936" s="8" t="s">
        <v>3226</v>
      </c>
    </row>
    <row r="2937" spans="1:6" ht="60" x14ac:dyDescent="0.25">
      <c r="A2937" s="8" t="s">
        <v>125</v>
      </c>
      <c r="B2937" s="8" t="s">
        <v>159</v>
      </c>
      <c r="C2937" s="8" t="str">
        <f>IFERROR(_xlfn.XLOOKUP(TRIM(B2937),Lookup!$B$2:$B$1000,Lookup!$C$2:$C$1000),"")</f>
        <v>Equity</v>
      </c>
      <c r="D2937" s="8" t="str">
        <f>IFERROR(INDEX('nav master'!$C:$C, MATCH(B2937, 'nav master'!$B:$B, 0)), "")</f>
        <v>ULIF08219/09/25TopMF500Fd101</v>
      </c>
      <c r="E2937" s="8" t="s">
        <v>383</v>
      </c>
      <c r="F2937" s="8" t="s">
        <v>3227</v>
      </c>
    </row>
    <row r="2938" spans="1:6" ht="60" x14ac:dyDescent="0.25">
      <c r="A2938" s="8" t="s">
        <v>125</v>
      </c>
      <c r="B2938" s="8" t="s">
        <v>159</v>
      </c>
      <c r="C2938" s="8" t="str">
        <f>IFERROR(_xlfn.XLOOKUP(TRIM(B2938),Lookup!$B$2:$B$1000,Lookup!$C$2:$C$1000),"")</f>
        <v>Equity</v>
      </c>
      <c r="D2938" s="8" t="str">
        <f>IFERROR(INDEX('nav master'!$C:$C, MATCH(B2938, 'nav master'!$B:$B, 0)), "")</f>
        <v>ULIF08219/09/25TopMF500Fd101</v>
      </c>
      <c r="E2938" s="8" t="s">
        <v>385</v>
      </c>
      <c r="F2938" s="8" t="s">
        <v>3228</v>
      </c>
    </row>
    <row r="2939" spans="1:6" ht="60" x14ac:dyDescent="0.25">
      <c r="A2939" s="8" t="s">
        <v>125</v>
      </c>
      <c r="B2939" s="8" t="s">
        <v>159</v>
      </c>
      <c r="C2939" s="8" t="str">
        <f>IFERROR(_xlfn.XLOOKUP(TRIM(B2939),Lookup!$B$2:$B$1000,Lookup!$C$2:$C$1000),"")</f>
        <v>Equity</v>
      </c>
      <c r="D2939" s="8" t="str">
        <f>IFERROR(INDEX('nav master'!$C:$C, MATCH(B2939, 'nav master'!$B:$B, 0)), "")</f>
        <v>ULIF08219/09/25TopMF500Fd101</v>
      </c>
      <c r="E2939" s="8" t="s">
        <v>387</v>
      </c>
      <c r="F2939" s="8" t="s">
        <v>3229</v>
      </c>
    </row>
    <row r="2940" spans="1:6" ht="60" x14ac:dyDescent="0.25">
      <c r="A2940" s="8" t="s">
        <v>125</v>
      </c>
      <c r="B2940" s="8" t="s">
        <v>159</v>
      </c>
      <c r="C2940" s="8" t="str">
        <f>IFERROR(_xlfn.XLOOKUP(TRIM(B2940),Lookup!$B$2:$B$1000,Lookup!$C$2:$C$1000),"")</f>
        <v>Equity</v>
      </c>
      <c r="D2940" s="8" t="str">
        <f>IFERROR(INDEX('nav master'!$C:$C, MATCH(B2940, 'nav master'!$B:$B, 0)), "")</f>
        <v>ULIF08219/09/25TopMF500Fd101</v>
      </c>
      <c r="E2940" s="8" t="s">
        <v>389</v>
      </c>
      <c r="F2940" s="8" t="s">
        <v>3230</v>
      </c>
    </row>
    <row r="2941" spans="1:6" ht="60" x14ac:dyDescent="0.25">
      <c r="A2941" s="8" t="s">
        <v>125</v>
      </c>
      <c r="B2941" s="8" t="s">
        <v>159</v>
      </c>
      <c r="C2941" s="8" t="str">
        <f>IFERROR(_xlfn.XLOOKUP(TRIM(B2941),Lookup!$B$2:$B$1000,Lookup!$C$2:$C$1000),"")</f>
        <v>Equity</v>
      </c>
      <c r="D2941" s="8" t="str">
        <f>IFERROR(INDEX('nav master'!$C:$C, MATCH(B2941, 'nav master'!$B:$B, 0)), "")</f>
        <v>ULIF08219/09/25TopMF500Fd101</v>
      </c>
      <c r="E2941" s="8" t="s">
        <v>391</v>
      </c>
      <c r="F2941" s="8" t="s">
        <v>3231</v>
      </c>
    </row>
    <row r="2942" spans="1:6" ht="60" x14ac:dyDescent="0.25">
      <c r="A2942" s="8" t="s">
        <v>125</v>
      </c>
      <c r="B2942" s="8" t="s">
        <v>159</v>
      </c>
      <c r="C2942" s="8" t="str">
        <f>IFERROR(_xlfn.XLOOKUP(TRIM(B2942),Lookup!$B$2:$B$1000,Lookup!$C$2:$C$1000),"")</f>
        <v>Equity</v>
      </c>
      <c r="D2942" s="8" t="str">
        <f>IFERROR(INDEX('nav master'!$C:$C, MATCH(B2942, 'nav master'!$B:$B, 0)), "")</f>
        <v>ULIF08219/09/25TopMF500Fd101</v>
      </c>
      <c r="E2942" s="8" t="s">
        <v>393</v>
      </c>
      <c r="F2942" s="8" t="s">
        <v>3232</v>
      </c>
    </row>
    <row r="2943" spans="1:6" ht="60" x14ac:dyDescent="0.25">
      <c r="A2943" s="8" t="s">
        <v>125</v>
      </c>
      <c r="B2943" s="8" t="s">
        <v>159</v>
      </c>
      <c r="C2943" s="8" t="str">
        <f>IFERROR(_xlfn.XLOOKUP(TRIM(B2943),Lookup!$B$2:$B$1000,Lookup!$C$2:$C$1000),"")</f>
        <v>Equity</v>
      </c>
      <c r="D2943" s="8" t="str">
        <f>IFERROR(INDEX('nav master'!$C:$C, MATCH(B2943, 'nav master'!$B:$B, 0)), "")</f>
        <v>ULIF08219/09/25TopMF500Fd101</v>
      </c>
      <c r="E2943" s="8" t="s">
        <v>395</v>
      </c>
      <c r="F2943" s="8" t="s">
        <v>3233</v>
      </c>
    </row>
    <row r="2944" spans="1:6" ht="60" x14ac:dyDescent="0.25">
      <c r="A2944" s="8" t="s">
        <v>125</v>
      </c>
      <c r="B2944" s="8" t="s">
        <v>159</v>
      </c>
      <c r="C2944" s="8" t="str">
        <f>IFERROR(_xlfn.XLOOKUP(TRIM(B2944),Lookup!$B$2:$B$1000,Lookup!$C$2:$C$1000),"")</f>
        <v>Equity</v>
      </c>
      <c r="D2944" s="8" t="str">
        <f>IFERROR(INDEX('nav master'!$C:$C, MATCH(B2944, 'nav master'!$B:$B, 0)), "")</f>
        <v>ULIF08219/09/25TopMF500Fd101</v>
      </c>
      <c r="E2944" s="8" t="s">
        <v>397</v>
      </c>
      <c r="F2944" s="8" t="s">
        <v>3234</v>
      </c>
    </row>
    <row r="2945" spans="1:6" ht="60" x14ac:dyDescent="0.25">
      <c r="A2945" s="8" t="s">
        <v>125</v>
      </c>
      <c r="B2945" s="8" t="s">
        <v>159</v>
      </c>
      <c r="C2945" s="8" t="str">
        <f>IFERROR(_xlfn.XLOOKUP(TRIM(B2945),Lookup!$B$2:$B$1000,Lookup!$C$2:$C$1000),"")</f>
        <v>Equity</v>
      </c>
      <c r="D2945" s="8" t="str">
        <f>IFERROR(INDEX('nav master'!$C:$C, MATCH(B2945, 'nav master'!$B:$B, 0)), "")</f>
        <v>ULIF08219/09/25TopMF500Fd101</v>
      </c>
      <c r="E2945" s="8" t="s">
        <v>399</v>
      </c>
      <c r="F2945" s="8" t="s">
        <v>3235</v>
      </c>
    </row>
    <row r="2946" spans="1:6" ht="60" x14ac:dyDescent="0.25">
      <c r="A2946" s="8" t="s">
        <v>125</v>
      </c>
      <c r="B2946" s="8" t="s">
        <v>159</v>
      </c>
      <c r="C2946" s="8" t="str">
        <f>IFERROR(_xlfn.XLOOKUP(TRIM(B2946),Lookup!$B$2:$B$1000,Lookup!$C$2:$C$1000),"")</f>
        <v>Equity</v>
      </c>
      <c r="D2946" s="8" t="str">
        <f>IFERROR(INDEX('nav master'!$C:$C, MATCH(B2946, 'nav master'!$B:$B, 0)), "")</f>
        <v>ULIF08219/09/25TopMF500Fd101</v>
      </c>
      <c r="E2946" s="8" t="s">
        <v>401</v>
      </c>
      <c r="F2946" s="8" t="s">
        <v>3236</v>
      </c>
    </row>
    <row r="2947" spans="1:6" ht="60" x14ac:dyDescent="0.25">
      <c r="A2947" s="8" t="s">
        <v>125</v>
      </c>
      <c r="B2947" s="8" t="s">
        <v>159</v>
      </c>
      <c r="C2947" s="8" t="str">
        <f>IFERROR(_xlfn.XLOOKUP(TRIM(B2947),Lookup!$B$2:$B$1000,Lookup!$C$2:$C$1000),"")</f>
        <v>Equity</v>
      </c>
      <c r="D2947" s="8" t="str">
        <f>IFERROR(INDEX('nav master'!$C:$C, MATCH(B2947, 'nav master'!$B:$B, 0)), "")</f>
        <v>ULIF08219/09/25TopMF500Fd101</v>
      </c>
      <c r="E2947" s="8" t="s">
        <v>403</v>
      </c>
      <c r="F2947" s="8" t="s">
        <v>3237</v>
      </c>
    </row>
    <row r="2948" spans="1:6" ht="60" x14ac:dyDescent="0.25">
      <c r="A2948" s="8" t="s">
        <v>125</v>
      </c>
      <c r="B2948" s="8" t="s">
        <v>159</v>
      </c>
      <c r="C2948" s="8" t="str">
        <f>IFERROR(_xlfn.XLOOKUP(TRIM(B2948),Lookup!$B$2:$B$1000,Lookup!$C$2:$C$1000),"")</f>
        <v>Equity</v>
      </c>
      <c r="D2948" s="8" t="str">
        <f>IFERROR(INDEX('nav master'!$C:$C, MATCH(B2948, 'nav master'!$B:$B, 0)), "")</f>
        <v>ULIF08219/09/25TopMF500Fd101</v>
      </c>
      <c r="E2948" s="8" t="s">
        <v>405</v>
      </c>
      <c r="F2948" s="8" t="s">
        <v>3238</v>
      </c>
    </row>
    <row r="2949" spans="1:6" ht="60" x14ac:dyDescent="0.25">
      <c r="A2949" s="8" t="s">
        <v>125</v>
      </c>
      <c r="B2949" s="8" t="s">
        <v>159</v>
      </c>
      <c r="C2949" s="8" t="str">
        <f>IFERROR(_xlfn.XLOOKUP(TRIM(B2949),Lookup!$B$2:$B$1000,Lookup!$C$2:$C$1000),"")</f>
        <v>Equity</v>
      </c>
      <c r="D2949" s="8" t="str">
        <f>IFERROR(INDEX('nav master'!$C:$C, MATCH(B2949, 'nav master'!$B:$B, 0)), "")</f>
        <v>ULIF08219/09/25TopMF500Fd101</v>
      </c>
      <c r="E2949" s="8" t="s">
        <v>407</v>
      </c>
      <c r="F2949" s="8" t="s">
        <v>3239</v>
      </c>
    </row>
    <row r="2950" spans="1:6" ht="60" x14ac:dyDescent="0.25">
      <c r="A2950" s="8" t="s">
        <v>125</v>
      </c>
      <c r="B2950" s="8" t="s">
        <v>159</v>
      </c>
      <c r="C2950" s="8" t="str">
        <f>IFERROR(_xlfn.XLOOKUP(TRIM(B2950),Lookup!$B$2:$B$1000,Lookup!$C$2:$C$1000),"")</f>
        <v>Equity</v>
      </c>
      <c r="D2950" s="8" t="str">
        <f>IFERROR(INDEX('nav master'!$C:$C, MATCH(B2950, 'nav master'!$B:$B, 0)), "")</f>
        <v>ULIF08219/09/25TopMF500Fd101</v>
      </c>
      <c r="E2950" s="8" t="s">
        <v>409</v>
      </c>
      <c r="F2950" s="8" t="s">
        <v>3240</v>
      </c>
    </row>
    <row r="2951" spans="1:6" ht="60" x14ac:dyDescent="0.25">
      <c r="A2951" s="8" t="s">
        <v>125</v>
      </c>
      <c r="B2951" s="8" t="s">
        <v>159</v>
      </c>
      <c r="C2951" s="8" t="str">
        <f>IFERROR(_xlfn.XLOOKUP(TRIM(B2951),Lookup!$B$2:$B$1000,Lookup!$C$2:$C$1000),"")</f>
        <v>Equity</v>
      </c>
      <c r="D2951" s="8" t="str">
        <f>IFERROR(INDEX('nav master'!$C:$C, MATCH(B2951, 'nav master'!$B:$B, 0)), "")</f>
        <v>ULIF08219/09/25TopMF500Fd101</v>
      </c>
      <c r="E2951" s="8" t="s">
        <v>411</v>
      </c>
      <c r="F2951" s="8" t="s">
        <v>3241</v>
      </c>
    </row>
    <row r="2952" spans="1:6" ht="60" x14ac:dyDescent="0.25">
      <c r="A2952" s="8" t="s">
        <v>125</v>
      </c>
      <c r="B2952" s="8" t="s">
        <v>159</v>
      </c>
      <c r="C2952" s="8" t="str">
        <f>IFERROR(_xlfn.XLOOKUP(TRIM(B2952),Lookup!$B$2:$B$1000,Lookup!$C$2:$C$1000),"")</f>
        <v>Equity</v>
      </c>
      <c r="D2952" s="8" t="str">
        <f>IFERROR(INDEX('nav master'!$C:$C, MATCH(B2952, 'nav master'!$B:$B, 0)), "")</f>
        <v>ULIF08219/09/25TopMF500Fd101</v>
      </c>
      <c r="E2952" s="8" t="s">
        <v>413</v>
      </c>
      <c r="F2952" s="8" t="s">
        <v>3242</v>
      </c>
    </row>
    <row r="2953" spans="1:6" ht="60" x14ac:dyDescent="0.25">
      <c r="A2953" s="8" t="s">
        <v>125</v>
      </c>
      <c r="B2953" s="8" t="s">
        <v>159</v>
      </c>
      <c r="C2953" s="8" t="str">
        <f>IFERROR(_xlfn.XLOOKUP(TRIM(B2953),Lookup!$B$2:$B$1000,Lookup!$C$2:$C$1000),"")</f>
        <v>Equity</v>
      </c>
      <c r="D2953" s="8" t="str">
        <f>IFERROR(INDEX('nav master'!$C:$C, MATCH(B2953, 'nav master'!$B:$B, 0)), "")</f>
        <v>ULIF08219/09/25TopMF500Fd101</v>
      </c>
      <c r="E2953" s="8" t="s">
        <v>415</v>
      </c>
      <c r="F2953" s="8" t="s">
        <v>3243</v>
      </c>
    </row>
    <row r="2954" spans="1:6" ht="60" x14ac:dyDescent="0.25">
      <c r="A2954" s="8" t="s">
        <v>125</v>
      </c>
      <c r="B2954" s="8" t="s">
        <v>159</v>
      </c>
      <c r="C2954" s="8" t="str">
        <f>IFERROR(_xlfn.XLOOKUP(TRIM(B2954),Lookup!$B$2:$B$1000,Lookup!$C$2:$C$1000),"")</f>
        <v>Equity</v>
      </c>
      <c r="D2954" s="8" t="str">
        <f>IFERROR(INDEX('nav master'!$C:$C, MATCH(B2954, 'nav master'!$B:$B, 0)), "")</f>
        <v>ULIF08219/09/25TopMF500Fd101</v>
      </c>
      <c r="E2954" s="8" t="s">
        <v>417</v>
      </c>
      <c r="F2954" s="8" t="s">
        <v>3244</v>
      </c>
    </row>
    <row r="2955" spans="1:6" ht="60" x14ac:dyDescent="0.25">
      <c r="A2955" s="8" t="s">
        <v>125</v>
      </c>
      <c r="B2955" s="8" t="s">
        <v>159</v>
      </c>
      <c r="C2955" s="8" t="str">
        <f>IFERROR(_xlfn.XLOOKUP(TRIM(B2955),Lookup!$B$2:$B$1000,Lookup!$C$2:$C$1000),"")</f>
        <v>Equity</v>
      </c>
      <c r="D2955" s="8" t="str">
        <f>IFERROR(INDEX('nav master'!$C:$C, MATCH(B2955, 'nav master'!$B:$B, 0)), "")</f>
        <v>ULIF08219/09/25TopMF500Fd101</v>
      </c>
      <c r="E2955" s="8" t="s">
        <v>419</v>
      </c>
      <c r="F2955" s="8" t="s">
        <v>3245</v>
      </c>
    </row>
    <row r="2956" spans="1:6" ht="60" x14ac:dyDescent="0.25">
      <c r="A2956" s="8" t="s">
        <v>125</v>
      </c>
      <c r="B2956" s="8" t="s">
        <v>159</v>
      </c>
      <c r="C2956" s="8" t="str">
        <f>IFERROR(_xlfn.XLOOKUP(TRIM(B2956),Lookup!$B$2:$B$1000,Lookup!$C$2:$C$1000),"")</f>
        <v>Equity</v>
      </c>
      <c r="D2956" s="8" t="str">
        <f>IFERROR(INDEX('nav master'!$C:$C, MATCH(B2956, 'nav master'!$B:$B, 0)), "")</f>
        <v>ULIF08219/09/25TopMF500Fd101</v>
      </c>
      <c r="E2956" s="8" t="s">
        <v>421</v>
      </c>
      <c r="F2956" s="8" t="s">
        <v>3246</v>
      </c>
    </row>
    <row r="2957" spans="1:6" ht="60" x14ac:dyDescent="0.25">
      <c r="A2957" s="8" t="s">
        <v>125</v>
      </c>
      <c r="B2957" s="8" t="s">
        <v>159</v>
      </c>
      <c r="C2957" s="8" t="str">
        <f>IFERROR(_xlfn.XLOOKUP(TRIM(B2957),Lookup!$B$2:$B$1000,Lookup!$C$2:$C$1000),"")</f>
        <v>Equity</v>
      </c>
      <c r="D2957" s="8" t="str">
        <f>IFERROR(INDEX('nav master'!$C:$C, MATCH(B2957, 'nav master'!$B:$B, 0)), "")</f>
        <v>ULIF08219/09/25TopMF500Fd101</v>
      </c>
      <c r="E2957" s="8" t="s">
        <v>423</v>
      </c>
      <c r="F2957" s="8" t="s">
        <v>3247</v>
      </c>
    </row>
    <row r="2958" spans="1:6" ht="60" x14ac:dyDescent="0.25">
      <c r="A2958" s="8" t="s">
        <v>125</v>
      </c>
      <c r="B2958" s="8" t="s">
        <v>159</v>
      </c>
      <c r="C2958" s="8" t="str">
        <f>IFERROR(_xlfn.XLOOKUP(TRIM(B2958),Lookup!$B$2:$B$1000,Lookup!$C$2:$C$1000),"")</f>
        <v>Equity</v>
      </c>
      <c r="D2958" s="8" t="str">
        <f>IFERROR(INDEX('nav master'!$C:$C, MATCH(B2958, 'nav master'!$B:$B, 0)), "")</f>
        <v>ULIF08219/09/25TopMF500Fd101</v>
      </c>
      <c r="E2958" s="8" t="s">
        <v>425</v>
      </c>
      <c r="F2958" s="8" t="s">
        <v>3248</v>
      </c>
    </row>
    <row r="2959" spans="1:6" ht="60" x14ac:dyDescent="0.25">
      <c r="A2959" s="8" t="s">
        <v>125</v>
      </c>
      <c r="B2959" s="8" t="s">
        <v>159</v>
      </c>
      <c r="C2959" s="8" t="str">
        <f>IFERROR(_xlfn.XLOOKUP(TRIM(B2959),Lookup!$B$2:$B$1000,Lookup!$C$2:$C$1000),"")</f>
        <v>Equity</v>
      </c>
      <c r="D2959" s="8" t="str">
        <f>IFERROR(INDEX('nav master'!$C:$C, MATCH(B2959, 'nav master'!$B:$B, 0)), "")</f>
        <v>ULIF08219/09/25TopMF500Fd101</v>
      </c>
      <c r="E2959" s="8" t="s">
        <v>427</v>
      </c>
      <c r="F2959" s="8" t="s">
        <v>3249</v>
      </c>
    </row>
    <row r="2960" spans="1:6" ht="60" x14ac:dyDescent="0.25">
      <c r="A2960" s="8" t="s">
        <v>125</v>
      </c>
      <c r="B2960" s="8" t="s">
        <v>159</v>
      </c>
      <c r="C2960" s="8" t="str">
        <f>IFERROR(_xlfn.XLOOKUP(TRIM(B2960),Lookup!$B$2:$B$1000,Lookup!$C$2:$C$1000),"")</f>
        <v>Equity</v>
      </c>
      <c r="D2960" s="8" t="str">
        <f>IFERROR(INDEX('nav master'!$C:$C, MATCH(B2960, 'nav master'!$B:$B, 0)), "")</f>
        <v>ULIF08219/09/25TopMF500Fd101</v>
      </c>
      <c r="E2960" s="8" t="s">
        <v>429</v>
      </c>
      <c r="F2960" s="8" t="s">
        <v>3250</v>
      </c>
    </row>
    <row r="2961" spans="1:6" ht="60" x14ac:dyDescent="0.25">
      <c r="A2961" s="8" t="s">
        <v>125</v>
      </c>
      <c r="B2961" s="8" t="s">
        <v>159</v>
      </c>
      <c r="C2961" s="8" t="str">
        <f>IFERROR(_xlfn.XLOOKUP(TRIM(B2961),Lookup!$B$2:$B$1000,Lookup!$C$2:$C$1000),"")</f>
        <v>Equity</v>
      </c>
      <c r="D2961" s="8" t="str">
        <f>IFERROR(INDEX('nav master'!$C:$C, MATCH(B2961, 'nav master'!$B:$B, 0)), "")</f>
        <v>ULIF08219/09/25TopMF500Fd101</v>
      </c>
      <c r="E2961" s="8" t="s">
        <v>431</v>
      </c>
      <c r="F2961" s="8" t="s">
        <v>3251</v>
      </c>
    </row>
    <row r="2962" spans="1:6" ht="60" x14ac:dyDescent="0.25">
      <c r="A2962" s="8" t="s">
        <v>125</v>
      </c>
      <c r="B2962" s="8" t="s">
        <v>159</v>
      </c>
      <c r="C2962" s="8" t="str">
        <f>IFERROR(_xlfn.XLOOKUP(TRIM(B2962),Lookup!$B$2:$B$1000,Lookup!$C$2:$C$1000),"")</f>
        <v>Equity</v>
      </c>
      <c r="D2962" s="8" t="str">
        <f>IFERROR(INDEX('nav master'!$C:$C, MATCH(B2962, 'nav master'!$B:$B, 0)), "")</f>
        <v>ULIF08219/09/25TopMF500Fd101</v>
      </c>
      <c r="E2962" s="8" t="s">
        <v>433</v>
      </c>
      <c r="F2962" s="8" t="s">
        <v>3252</v>
      </c>
    </row>
    <row r="2963" spans="1:6" ht="60" x14ac:dyDescent="0.25">
      <c r="A2963" s="8" t="s">
        <v>125</v>
      </c>
      <c r="B2963" s="8" t="s">
        <v>159</v>
      </c>
      <c r="C2963" s="8" t="str">
        <f>IFERROR(_xlfn.XLOOKUP(TRIM(B2963),Lookup!$B$2:$B$1000,Lookup!$C$2:$C$1000),"")</f>
        <v>Equity</v>
      </c>
      <c r="D2963" s="8" t="str">
        <f>IFERROR(INDEX('nav master'!$C:$C, MATCH(B2963, 'nav master'!$B:$B, 0)), "")</f>
        <v>ULIF08219/09/25TopMF500Fd101</v>
      </c>
      <c r="E2963" s="8" t="s">
        <v>435</v>
      </c>
      <c r="F2963" s="8" t="s">
        <v>3253</v>
      </c>
    </row>
    <row r="2964" spans="1:6" ht="60" x14ac:dyDescent="0.25">
      <c r="A2964" s="8" t="s">
        <v>125</v>
      </c>
      <c r="B2964" s="8" t="s">
        <v>159</v>
      </c>
      <c r="C2964" s="8" t="str">
        <f>IFERROR(_xlfn.XLOOKUP(TRIM(B2964),Lookup!$B$2:$B$1000,Lookup!$C$2:$C$1000),"")</f>
        <v>Equity</v>
      </c>
      <c r="D2964" s="8" t="str">
        <f>IFERROR(INDEX('nav master'!$C:$C, MATCH(B2964, 'nav master'!$B:$B, 0)), "")</f>
        <v>ULIF08219/09/25TopMF500Fd101</v>
      </c>
      <c r="E2964" s="8" t="s">
        <v>437</v>
      </c>
      <c r="F2964" s="8" t="s">
        <v>3254</v>
      </c>
    </row>
    <row r="2965" spans="1:6" ht="60" x14ac:dyDescent="0.25">
      <c r="A2965" s="8" t="s">
        <v>125</v>
      </c>
      <c r="B2965" s="8" t="s">
        <v>159</v>
      </c>
      <c r="C2965" s="8" t="str">
        <f>IFERROR(_xlfn.XLOOKUP(TRIM(B2965),Lookup!$B$2:$B$1000,Lookup!$C$2:$C$1000),"")</f>
        <v>Equity</v>
      </c>
      <c r="D2965" s="8" t="str">
        <f>IFERROR(INDEX('nav master'!$C:$C, MATCH(B2965, 'nav master'!$B:$B, 0)), "")</f>
        <v>ULIF08219/09/25TopMF500Fd101</v>
      </c>
      <c r="E2965" s="8" t="s">
        <v>439</v>
      </c>
      <c r="F2965" s="8" t="s">
        <v>3255</v>
      </c>
    </row>
    <row r="2966" spans="1:6" ht="60" x14ac:dyDescent="0.25">
      <c r="A2966" s="8" t="s">
        <v>125</v>
      </c>
      <c r="B2966" s="8" t="s">
        <v>159</v>
      </c>
      <c r="C2966" s="8" t="str">
        <f>IFERROR(_xlfn.XLOOKUP(TRIM(B2966),Lookup!$B$2:$B$1000,Lookup!$C$2:$C$1000),"")</f>
        <v>Equity</v>
      </c>
      <c r="D2966" s="8" t="str">
        <f>IFERROR(INDEX('nav master'!$C:$C, MATCH(B2966, 'nav master'!$B:$B, 0)), "")</f>
        <v>ULIF08219/09/25TopMF500Fd101</v>
      </c>
      <c r="E2966" s="8" t="s">
        <v>441</v>
      </c>
      <c r="F2966" s="8" t="s">
        <v>3256</v>
      </c>
    </row>
    <row r="2967" spans="1:6" ht="60" x14ac:dyDescent="0.25">
      <c r="A2967" s="8" t="s">
        <v>125</v>
      </c>
      <c r="B2967" s="8" t="s">
        <v>159</v>
      </c>
      <c r="C2967" s="8" t="str">
        <f>IFERROR(_xlfn.XLOOKUP(TRIM(B2967),Lookup!$B$2:$B$1000,Lookup!$C$2:$C$1000),"")</f>
        <v>Equity</v>
      </c>
      <c r="D2967" s="8" t="str">
        <f>IFERROR(INDEX('nav master'!$C:$C, MATCH(B2967, 'nav master'!$B:$B, 0)), "")</f>
        <v>ULIF08219/09/25TopMF500Fd101</v>
      </c>
      <c r="E2967" s="8" t="s">
        <v>443</v>
      </c>
      <c r="F2967" s="8" t="s">
        <v>3257</v>
      </c>
    </row>
    <row r="2968" spans="1:6" ht="60" x14ac:dyDescent="0.25">
      <c r="A2968" s="8" t="s">
        <v>125</v>
      </c>
      <c r="B2968" s="8" t="s">
        <v>159</v>
      </c>
      <c r="C2968" s="8" t="str">
        <f>IFERROR(_xlfn.XLOOKUP(TRIM(B2968),Lookup!$B$2:$B$1000,Lookup!$C$2:$C$1000),"")</f>
        <v>Equity</v>
      </c>
      <c r="D2968" s="8" t="str">
        <f>IFERROR(INDEX('nav master'!$C:$C, MATCH(B2968, 'nav master'!$B:$B, 0)), "")</f>
        <v>ULIF08219/09/25TopMF500Fd101</v>
      </c>
      <c r="E2968" s="8" t="s">
        <v>445</v>
      </c>
      <c r="F2968" s="8" t="s">
        <v>3258</v>
      </c>
    </row>
    <row r="2969" spans="1:6" ht="60" x14ac:dyDescent="0.25">
      <c r="A2969" s="8" t="s">
        <v>125</v>
      </c>
      <c r="B2969" s="8" t="s">
        <v>159</v>
      </c>
      <c r="C2969" s="8" t="str">
        <f>IFERROR(_xlfn.XLOOKUP(TRIM(B2969),Lookup!$B$2:$B$1000,Lookup!$C$2:$C$1000),"")</f>
        <v>Equity</v>
      </c>
      <c r="D2969" s="8" t="str">
        <f>IFERROR(INDEX('nav master'!$C:$C, MATCH(B2969, 'nav master'!$B:$B, 0)), "")</f>
        <v>ULIF08219/09/25TopMF500Fd101</v>
      </c>
      <c r="E2969" s="8" t="s">
        <v>446</v>
      </c>
      <c r="F2969" s="8" t="s">
        <v>3259</v>
      </c>
    </row>
    <row r="2970" spans="1:6" ht="60" x14ac:dyDescent="0.25">
      <c r="A2970" s="8" t="s">
        <v>125</v>
      </c>
      <c r="B2970" s="8" t="s">
        <v>159</v>
      </c>
      <c r="C2970" s="8" t="str">
        <f>IFERROR(_xlfn.XLOOKUP(TRIM(B2970),Lookup!$B$2:$B$1000,Lookup!$C$2:$C$1000),"")</f>
        <v>Equity</v>
      </c>
      <c r="D2970" s="8" t="str">
        <f>IFERROR(INDEX('nav master'!$C:$C, MATCH(B2970, 'nav master'!$B:$B, 0)), "")</f>
        <v>ULIF08219/09/25TopMF500Fd101</v>
      </c>
      <c r="E2970" s="8" t="s">
        <v>448</v>
      </c>
      <c r="F2970" s="8" t="s">
        <v>3260</v>
      </c>
    </row>
    <row r="2971" spans="1:6" ht="60" x14ac:dyDescent="0.25">
      <c r="A2971" s="8" t="s">
        <v>125</v>
      </c>
      <c r="B2971" s="8" t="s">
        <v>159</v>
      </c>
      <c r="C2971" s="8" t="str">
        <f>IFERROR(_xlfn.XLOOKUP(TRIM(B2971),Lookup!$B$2:$B$1000,Lookup!$C$2:$C$1000),"")</f>
        <v>Equity</v>
      </c>
      <c r="D2971" s="8" t="str">
        <f>IFERROR(INDEX('nav master'!$C:$C, MATCH(B2971, 'nav master'!$B:$B, 0)), "")</f>
        <v>ULIF08219/09/25TopMF500Fd101</v>
      </c>
      <c r="E2971" s="8" t="s">
        <v>450</v>
      </c>
      <c r="F2971" s="8" t="s">
        <v>3261</v>
      </c>
    </row>
    <row r="2972" spans="1:6" ht="60" x14ac:dyDescent="0.25">
      <c r="A2972" s="8" t="s">
        <v>125</v>
      </c>
      <c r="B2972" s="8" t="s">
        <v>159</v>
      </c>
      <c r="C2972" s="8" t="str">
        <f>IFERROR(_xlfn.XLOOKUP(TRIM(B2972),Lookup!$B$2:$B$1000,Lookup!$C$2:$C$1000),"")</f>
        <v>Equity</v>
      </c>
      <c r="D2972" s="8" t="str">
        <f>IFERROR(INDEX('nav master'!$C:$C, MATCH(B2972, 'nav master'!$B:$B, 0)), "")</f>
        <v>ULIF08219/09/25TopMF500Fd101</v>
      </c>
      <c r="E2972" s="8" t="s">
        <v>452</v>
      </c>
      <c r="F2972" s="8" t="s">
        <v>3262</v>
      </c>
    </row>
    <row r="2973" spans="1:6" ht="60" x14ac:dyDescent="0.25">
      <c r="A2973" s="8" t="s">
        <v>125</v>
      </c>
      <c r="B2973" s="8" t="s">
        <v>159</v>
      </c>
      <c r="C2973" s="8" t="str">
        <f>IFERROR(_xlfn.XLOOKUP(TRIM(B2973),Lookup!$B$2:$B$1000,Lookup!$C$2:$C$1000),"")</f>
        <v>Equity</v>
      </c>
      <c r="D2973" s="8" t="str">
        <f>IFERROR(INDEX('nav master'!$C:$C, MATCH(B2973, 'nav master'!$B:$B, 0)), "")</f>
        <v>ULIF08219/09/25TopMF500Fd101</v>
      </c>
      <c r="E2973" s="8" t="s">
        <v>454</v>
      </c>
      <c r="F2973" s="8" t="s">
        <v>3263</v>
      </c>
    </row>
    <row r="2974" spans="1:6" ht="60" x14ac:dyDescent="0.25">
      <c r="A2974" s="8" t="s">
        <v>125</v>
      </c>
      <c r="B2974" s="8" t="s">
        <v>159</v>
      </c>
      <c r="C2974" s="8" t="str">
        <f>IFERROR(_xlfn.XLOOKUP(TRIM(B2974),Lookup!$B$2:$B$1000,Lookup!$C$2:$C$1000),"")</f>
        <v>Equity</v>
      </c>
      <c r="D2974" s="8" t="str">
        <f>IFERROR(INDEX('nav master'!$C:$C, MATCH(B2974, 'nav master'!$B:$B, 0)), "")</f>
        <v>ULIF08219/09/25TopMF500Fd101</v>
      </c>
      <c r="E2974" s="8" t="s">
        <v>456</v>
      </c>
      <c r="F2974" s="8" t="s">
        <v>3264</v>
      </c>
    </row>
    <row r="2975" spans="1:6" ht="60" x14ac:dyDescent="0.25">
      <c r="A2975" s="8" t="s">
        <v>125</v>
      </c>
      <c r="B2975" s="8" t="s">
        <v>159</v>
      </c>
      <c r="C2975" s="8" t="str">
        <f>IFERROR(_xlfn.XLOOKUP(TRIM(B2975),Lookup!$B$2:$B$1000,Lookup!$C$2:$C$1000),"")</f>
        <v>Equity</v>
      </c>
      <c r="D2975" s="8" t="str">
        <f>IFERROR(INDEX('nav master'!$C:$C, MATCH(B2975, 'nav master'!$B:$B, 0)), "")</f>
        <v>ULIF08219/09/25TopMF500Fd101</v>
      </c>
      <c r="E2975" s="8" t="s">
        <v>458</v>
      </c>
      <c r="F2975" s="8" t="s">
        <v>3265</v>
      </c>
    </row>
    <row r="2976" spans="1:6" ht="60" x14ac:dyDescent="0.25">
      <c r="A2976" s="8" t="s">
        <v>125</v>
      </c>
      <c r="B2976" s="8" t="s">
        <v>159</v>
      </c>
      <c r="C2976" s="8" t="str">
        <f>IFERROR(_xlfn.XLOOKUP(TRIM(B2976),Lookup!$B$2:$B$1000,Lookup!$C$2:$C$1000),"")</f>
        <v>Equity</v>
      </c>
      <c r="D2976" s="8" t="str">
        <f>IFERROR(INDEX('nav master'!$C:$C, MATCH(B2976, 'nav master'!$B:$B, 0)), "")</f>
        <v>ULIF08219/09/25TopMF500Fd101</v>
      </c>
      <c r="E2976" s="8" t="s">
        <v>460</v>
      </c>
      <c r="F2976" s="8" t="s">
        <v>3266</v>
      </c>
    </row>
    <row r="2977" spans="1:6" ht="60" x14ac:dyDescent="0.25">
      <c r="A2977" s="8" t="s">
        <v>125</v>
      </c>
      <c r="B2977" s="8" t="s">
        <v>159</v>
      </c>
      <c r="C2977" s="8" t="str">
        <f>IFERROR(_xlfn.XLOOKUP(TRIM(B2977),Lookup!$B$2:$B$1000,Lookup!$C$2:$C$1000),"")</f>
        <v>Equity</v>
      </c>
      <c r="D2977" s="8" t="str">
        <f>IFERROR(INDEX('nav master'!$C:$C, MATCH(B2977, 'nav master'!$B:$B, 0)), "")</f>
        <v>ULIF08219/09/25TopMF500Fd101</v>
      </c>
      <c r="E2977" s="8" t="s">
        <v>462</v>
      </c>
      <c r="F2977" s="8" t="s">
        <v>3267</v>
      </c>
    </row>
    <row r="2978" spans="1:6" ht="60" x14ac:dyDescent="0.25">
      <c r="A2978" s="8" t="s">
        <v>125</v>
      </c>
      <c r="B2978" s="8" t="s">
        <v>159</v>
      </c>
      <c r="C2978" s="8" t="str">
        <f>IFERROR(_xlfn.XLOOKUP(TRIM(B2978),Lookup!$B$2:$B$1000,Lookup!$C$2:$C$1000),"")</f>
        <v>Equity</v>
      </c>
      <c r="D2978" s="8" t="str">
        <f>IFERROR(INDEX('nav master'!$C:$C, MATCH(B2978, 'nav master'!$B:$B, 0)), "")</f>
        <v>ULIF08219/09/25TopMF500Fd101</v>
      </c>
      <c r="E2978" s="8" t="s">
        <v>464</v>
      </c>
      <c r="F2978" s="8" t="s">
        <v>3268</v>
      </c>
    </row>
    <row r="2979" spans="1:6" ht="60" x14ac:dyDescent="0.25">
      <c r="A2979" s="8" t="s">
        <v>125</v>
      </c>
      <c r="B2979" s="8" t="s">
        <v>159</v>
      </c>
      <c r="C2979" s="8" t="str">
        <f>IFERROR(_xlfn.XLOOKUP(TRIM(B2979),Lookup!$B$2:$B$1000,Lookup!$C$2:$C$1000),"")</f>
        <v>Equity</v>
      </c>
      <c r="D2979" s="8" t="str">
        <f>IFERROR(INDEX('nav master'!$C:$C, MATCH(B2979, 'nav master'!$B:$B, 0)), "")</f>
        <v>ULIF08219/09/25TopMF500Fd101</v>
      </c>
      <c r="E2979" s="8" t="s">
        <v>466</v>
      </c>
      <c r="F2979" s="8" t="s">
        <v>3269</v>
      </c>
    </row>
    <row r="2980" spans="1:6" ht="60" x14ac:dyDescent="0.25">
      <c r="A2980" s="8" t="s">
        <v>125</v>
      </c>
      <c r="B2980" s="8" t="s">
        <v>159</v>
      </c>
      <c r="C2980" s="8" t="str">
        <f>IFERROR(_xlfn.XLOOKUP(TRIM(B2980),Lookup!$B$2:$B$1000,Lookup!$C$2:$C$1000),"")</f>
        <v>Equity</v>
      </c>
      <c r="D2980" s="8" t="str">
        <f>IFERROR(INDEX('nav master'!$C:$C, MATCH(B2980, 'nav master'!$B:$B, 0)), "")</f>
        <v>ULIF08219/09/25TopMF500Fd101</v>
      </c>
      <c r="E2980" s="8" t="s">
        <v>468</v>
      </c>
      <c r="F2980" s="8" t="s">
        <v>3270</v>
      </c>
    </row>
    <row r="2981" spans="1:6" ht="60" x14ac:dyDescent="0.25">
      <c r="A2981" s="8" t="s">
        <v>125</v>
      </c>
      <c r="B2981" s="8" t="s">
        <v>159</v>
      </c>
      <c r="C2981" s="8" t="str">
        <f>IFERROR(_xlfn.XLOOKUP(TRIM(B2981),Lookup!$B$2:$B$1000,Lookup!$C$2:$C$1000),"")</f>
        <v>Equity</v>
      </c>
      <c r="D2981" s="8" t="str">
        <f>IFERROR(INDEX('nav master'!$C:$C, MATCH(B2981, 'nav master'!$B:$B, 0)), "")</f>
        <v>ULIF08219/09/25TopMF500Fd101</v>
      </c>
      <c r="E2981" s="8" t="s">
        <v>470</v>
      </c>
      <c r="F2981" s="8" t="s">
        <v>3271</v>
      </c>
    </row>
    <row r="2982" spans="1:6" ht="60" x14ac:dyDescent="0.25">
      <c r="A2982" s="8" t="s">
        <v>125</v>
      </c>
      <c r="B2982" s="8" t="s">
        <v>159</v>
      </c>
      <c r="C2982" s="8" t="str">
        <f>IFERROR(_xlfn.XLOOKUP(TRIM(B2982),Lookup!$B$2:$B$1000,Lookup!$C$2:$C$1000),"")</f>
        <v>Equity</v>
      </c>
      <c r="D2982" s="8" t="str">
        <f>IFERROR(INDEX('nav master'!$C:$C, MATCH(B2982, 'nav master'!$B:$B, 0)), "")</f>
        <v>ULIF08219/09/25TopMF500Fd101</v>
      </c>
      <c r="E2982" s="8" t="s">
        <v>472</v>
      </c>
      <c r="F2982" s="8" t="s">
        <v>3272</v>
      </c>
    </row>
    <row r="2983" spans="1:6" ht="60" x14ac:dyDescent="0.25">
      <c r="A2983" s="8" t="s">
        <v>125</v>
      </c>
      <c r="B2983" s="8" t="s">
        <v>159</v>
      </c>
      <c r="C2983" s="8" t="str">
        <f>IFERROR(_xlfn.XLOOKUP(TRIM(B2983),Lookup!$B$2:$B$1000,Lookup!$C$2:$C$1000),"")</f>
        <v>Equity</v>
      </c>
      <c r="D2983" s="8" t="str">
        <f>IFERROR(INDEX('nav master'!$C:$C, MATCH(B2983, 'nav master'!$B:$B, 0)), "")</f>
        <v>ULIF08219/09/25TopMF500Fd101</v>
      </c>
      <c r="E2983" s="8" t="s">
        <v>474</v>
      </c>
      <c r="F2983" s="8" t="s">
        <v>3273</v>
      </c>
    </row>
    <row r="2984" spans="1:6" ht="60" x14ac:dyDescent="0.25">
      <c r="A2984" s="8" t="s">
        <v>125</v>
      </c>
      <c r="B2984" s="8" t="s">
        <v>159</v>
      </c>
      <c r="C2984" s="8" t="str">
        <f>IFERROR(_xlfn.XLOOKUP(TRIM(B2984),Lookup!$B$2:$B$1000,Lookup!$C$2:$C$1000),"")</f>
        <v>Equity</v>
      </c>
      <c r="D2984" s="8" t="str">
        <f>IFERROR(INDEX('nav master'!$C:$C, MATCH(B2984, 'nav master'!$B:$B, 0)), "")</f>
        <v>ULIF08219/09/25TopMF500Fd101</v>
      </c>
      <c r="E2984" s="8" t="s">
        <v>476</v>
      </c>
      <c r="F2984" s="8" t="s">
        <v>3274</v>
      </c>
    </row>
    <row r="2985" spans="1:6" ht="60" x14ac:dyDescent="0.25">
      <c r="A2985" s="8" t="s">
        <v>125</v>
      </c>
      <c r="B2985" s="8" t="s">
        <v>159</v>
      </c>
      <c r="C2985" s="8" t="str">
        <f>IFERROR(_xlfn.XLOOKUP(TRIM(B2985),Lookup!$B$2:$B$1000,Lookup!$C$2:$C$1000),"")</f>
        <v>Equity</v>
      </c>
      <c r="D2985" s="8" t="str">
        <f>IFERROR(INDEX('nav master'!$C:$C, MATCH(B2985, 'nav master'!$B:$B, 0)), "")</f>
        <v>ULIF08219/09/25TopMF500Fd101</v>
      </c>
      <c r="E2985" s="8" t="s">
        <v>478</v>
      </c>
      <c r="F2985" s="8" t="s">
        <v>3275</v>
      </c>
    </row>
    <row r="2986" spans="1:6" ht="60" x14ac:dyDescent="0.25">
      <c r="A2986" s="8" t="s">
        <v>125</v>
      </c>
      <c r="B2986" s="8" t="s">
        <v>159</v>
      </c>
      <c r="C2986" s="8" t="str">
        <f>IFERROR(_xlfn.XLOOKUP(TRIM(B2986),Lookup!$B$2:$B$1000,Lookup!$C$2:$C$1000),"")</f>
        <v>Equity</v>
      </c>
      <c r="D2986" s="8" t="str">
        <f>IFERROR(INDEX('nav master'!$C:$C, MATCH(B2986, 'nav master'!$B:$B, 0)), "")</f>
        <v>ULIF08219/09/25TopMF500Fd101</v>
      </c>
      <c r="E2986" s="8" t="s">
        <v>480</v>
      </c>
      <c r="F2986" s="8" t="s">
        <v>3276</v>
      </c>
    </row>
    <row r="2987" spans="1:6" ht="60" x14ac:dyDescent="0.25">
      <c r="A2987" s="8" t="s">
        <v>125</v>
      </c>
      <c r="B2987" s="8" t="s">
        <v>159</v>
      </c>
      <c r="C2987" s="8" t="str">
        <f>IFERROR(_xlfn.XLOOKUP(TRIM(B2987),Lookup!$B$2:$B$1000,Lookup!$C$2:$C$1000),"")</f>
        <v>Equity</v>
      </c>
      <c r="D2987" s="8" t="str">
        <f>IFERROR(INDEX('nav master'!$C:$C, MATCH(B2987, 'nav master'!$B:$B, 0)), "")</f>
        <v>ULIF08219/09/25TopMF500Fd101</v>
      </c>
      <c r="E2987" s="8" t="s">
        <v>482</v>
      </c>
      <c r="F2987" s="8" t="s">
        <v>3277</v>
      </c>
    </row>
    <row r="2988" spans="1:6" ht="60" x14ac:dyDescent="0.25">
      <c r="A2988" s="8" t="s">
        <v>125</v>
      </c>
      <c r="B2988" s="8" t="s">
        <v>159</v>
      </c>
      <c r="C2988" s="8" t="str">
        <f>IFERROR(_xlfn.XLOOKUP(TRIM(B2988),Lookup!$B$2:$B$1000,Lookup!$C$2:$C$1000),"")</f>
        <v>Equity</v>
      </c>
      <c r="D2988" s="8" t="str">
        <f>IFERROR(INDEX('nav master'!$C:$C, MATCH(B2988, 'nav master'!$B:$B, 0)), "")</f>
        <v>ULIF08219/09/25TopMF500Fd101</v>
      </c>
      <c r="E2988" s="8" t="s">
        <v>484</v>
      </c>
      <c r="F2988" s="8" t="s">
        <v>3278</v>
      </c>
    </row>
    <row r="2989" spans="1:6" ht="60" x14ac:dyDescent="0.25">
      <c r="A2989" s="8" t="s">
        <v>125</v>
      </c>
      <c r="B2989" s="8" t="s">
        <v>159</v>
      </c>
      <c r="C2989" s="8" t="str">
        <f>IFERROR(_xlfn.XLOOKUP(TRIM(B2989),Lookup!$B$2:$B$1000,Lookup!$C$2:$C$1000),"")</f>
        <v>Equity</v>
      </c>
      <c r="D2989" s="8" t="str">
        <f>IFERROR(INDEX('nav master'!$C:$C, MATCH(B2989, 'nav master'!$B:$B, 0)), "")</f>
        <v>ULIF08219/09/25TopMF500Fd101</v>
      </c>
      <c r="E2989" s="8" t="s">
        <v>486</v>
      </c>
      <c r="F2989" s="8" t="s">
        <v>3279</v>
      </c>
    </row>
    <row r="2990" spans="1:6" ht="60" x14ac:dyDescent="0.25">
      <c r="A2990" s="8" t="s">
        <v>125</v>
      </c>
      <c r="B2990" s="8" t="s">
        <v>159</v>
      </c>
      <c r="C2990" s="8" t="str">
        <f>IFERROR(_xlfn.XLOOKUP(TRIM(B2990),Lookup!$B$2:$B$1000,Lookup!$C$2:$C$1000),"")</f>
        <v>Equity</v>
      </c>
      <c r="D2990" s="8" t="str">
        <f>IFERROR(INDEX('nav master'!$C:$C, MATCH(B2990, 'nav master'!$B:$B, 0)), "")</f>
        <v>ULIF08219/09/25TopMF500Fd101</v>
      </c>
      <c r="E2990" s="8" t="s">
        <v>488</v>
      </c>
      <c r="F2990" s="8" t="s">
        <v>3280</v>
      </c>
    </row>
    <row r="2991" spans="1:6" ht="60" x14ac:dyDescent="0.25">
      <c r="A2991" s="8" t="s">
        <v>125</v>
      </c>
      <c r="B2991" s="8" t="s">
        <v>159</v>
      </c>
      <c r="C2991" s="8" t="str">
        <f>IFERROR(_xlfn.XLOOKUP(TRIM(B2991),Lookup!$B$2:$B$1000,Lookup!$C$2:$C$1000),"")</f>
        <v>Equity</v>
      </c>
      <c r="D2991" s="8" t="str">
        <f>IFERROR(INDEX('nav master'!$C:$C, MATCH(B2991, 'nav master'!$B:$B, 0)), "")</f>
        <v>ULIF08219/09/25TopMF500Fd101</v>
      </c>
      <c r="E2991" s="8" t="s">
        <v>490</v>
      </c>
      <c r="F2991" s="8" t="s">
        <v>3281</v>
      </c>
    </row>
    <row r="2992" spans="1:6" ht="60" x14ac:dyDescent="0.25">
      <c r="A2992" s="8" t="s">
        <v>125</v>
      </c>
      <c r="B2992" s="8" t="s">
        <v>159</v>
      </c>
      <c r="C2992" s="8" t="str">
        <f>IFERROR(_xlfn.XLOOKUP(TRIM(B2992),Lookup!$B$2:$B$1000,Lookup!$C$2:$C$1000),"")</f>
        <v>Equity</v>
      </c>
      <c r="D2992" s="8" t="str">
        <f>IFERROR(INDEX('nav master'!$C:$C, MATCH(B2992, 'nav master'!$B:$B, 0)), "")</f>
        <v>ULIF08219/09/25TopMF500Fd101</v>
      </c>
      <c r="E2992" s="8" t="s">
        <v>492</v>
      </c>
      <c r="F2992" s="8" t="s">
        <v>3282</v>
      </c>
    </row>
    <row r="2993" spans="1:6" ht="60" x14ac:dyDescent="0.25">
      <c r="A2993" s="8" t="s">
        <v>125</v>
      </c>
      <c r="B2993" s="8" t="s">
        <v>159</v>
      </c>
      <c r="C2993" s="8" t="str">
        <f>IFERROR(_xlfn.XLOOKUP(TRIM(B2993),Lookup!$B$2:$B$1000,Lookup!$C$2:$C$1000),"")</f>
        <v>Equity</v>
      </c>
      <c r="D2993" s="8" t="str">
        <f>IFERROR(INDEX('nav master'!$C:$C, MATCH(B2993, 'nav master'!$B:$B, 0)), "")</f>
        <v>ULIF08219/09/25TopMF500Fd101</v>
      </c>
      <c r="E2993" s="8" t="s">
        <v>494</v>
      </c>
      <c r="F2993" s="8" t="s">
        <v>3283</v>
      </c>
    </row>
    <row r="2994" spans="1:6" ht="60" x14ac:dyDescent="0.25">
      <c r="A2994" s="8" t="s">
        <v>125</v>
      </c>
      <c r="B2994" s="8" t="s">
        <v>159</v>
      </c>
      <c r="C2994" s="8" t="str">
        <f>IFERROR(_xlfn.XLOOKUP(TRIM(B2994),Lookup!$B$2:$B$1000,Lookup!$C$2:$C$1000),"")</f>
        <v>Equity</v>
      </c>
      <c r="D2994" s="8" t="str">
        <f>IFERROR(INDEX('nav master'!$C:$C, MATCH(B2994, 'nav master'!$B:$B, 0)), "")</f>
        <v>ULIF08219/09/25TopMF500Fd101</v>
      </c>
      <c r="E2994" s="8" t="s">
        <v>496</v>
      </c>
      <c r="F2994" s="8" t="s">
        <v>3284</v>
      </c>
    </row>
    <row r="2995" spans="1:6" ht="60" x14ac:dyDescent="0.25">
      <c r="A2995" s="8" t="s">
        <v>125</v>
      </c>
      <c r="B2995" s="8" t="s">
        <v>159</v>
      </c>
      <c r="C2995" s="8" t="str">
        <f>IFERROR(_xlfn.XLOOKUP(TRIM(B2995),Lookup!$B$2:$B$1000,Lookup!$C$2:$C$1000),"")</f>
        <v>Equity</v>
      </c>
      <c r="D2995" s="8" t="str">
        <f>IFERROR(INDEX('nav master'!$C:$C, MATCH(B2995, 'nav master'!$B:$B, 0)), "")</f>
        <v>ULIF08219/09/25TopMF500Fd101</v>
      </c>
      <c r="E2995" s="8" t="s">
        <v>498</v>
      </c>
      <c r="F2995" s="8" t="s">
        <v>3285</v>
      </c>
    </row>
    <row r="2996" spans="1:6" ht="60" x14ac:dyDescent="0.25">
      <c r="A2996" s="8" t="s">
        <v>125</v>
      </c>
      <c r="B2996" s="8" t="s">
        <v>159</v>
      </c>
      <c r="C2996" s="8" t="str">
        <f>IFERROR(_xlfn.XLOOKUP(TRIM(B2996),Lookup!$B$2:$B$1000,Lookup!$C$2:$C$1000),"")</f>
        <v>Equity</v>
      </c>
      <c r="D2996" s="8" t="str">
        <f>IFERROR(INDEX('nav master'!$C:$C, MATCH(B2996, 'nav master'!$B:$B, 0)), "")</f>
        <v>ULIF08219/09/25TopMF500Fd101</v>
      </c>
      <c r="E2996" s="8" t="s">
        <v>500</v>
      </c>
      <c r="F2996" s="8" t="s">
        <v>3286</v>
      </c>
    </row>
    <row r="2997" spans="1:6" ht="60" x14ac:dyDescent="0.25">
      <c r="A2997" s="8" t="s">
        <v>125</v>
      </c>
      <c r="B2997" s="8" t="s">
        <v>159</v>
      </c>
      <c r="C2997" s="8" t="str">
        <f>IFERROR(_xlfn.XLOOKUP(TRIM(B2997),Lookup!$B$2:$B$1000,Lookup!$C$2:$C$1000),"")</f>
        <v>Equity</v>
      </c>
      <c r="D2997" s="8" t="str">
        <f>IFERROR(INDEX('nav master'!$C:$C, MATCH(B2997, 'nav master'!$B:$B, 0)), "")</f>
        <v>ULIF08219/09/25TopMF500Fd101</v>
      </c>
      <c r="E2997" s="8" t="s">
        <v>502</v>
      </c>
      <c r="F2997" s="8" t="s">
        <v>3287</v>
      </c>
    </row>
    <row r="2998" spans="1:6" ht="60" x14ac:dyDescent="0.25">
      <c r="A2998" s="8" t="s">
        <v>125</v>
      </c>
      <c r="B2998" s="8" t="s">
        <v>159</v>
      </c>
      <c r="C2998" s="8" t="str">
        <f>IFERROR(_xlfn.XLOOKUP(TRIM(B2998),Lookup!$B$2:$B$1000,Lookup!$C$2:$C$1000),"")</f>
        <v>Equity</v>
      </c>
      <c r="D2998" s="8" t="str">
        <f>IFERROR(INDEX('nav master'!$C:$C, MATCH(B2998, 'nav master'!$B:$B, 0)), "")</f>
        <v>ULIF08219/09/25TopMF500Fd101</v>
      </c>
      <c r="E2998" s="8" t="s">
        <v>504</v>
      </c>
      <c r="F2998" s="8" t="s">
        <v>3288</v>
      </c>
    </row>
    <row r="2999" spans="1:6" ht="60" x14ac:dyDescent="0.25">
      <c r="A2999" s="8" t="s">
        <v>125</v>
      </c>
      <c r="B2999" s="8" t="s">
        <v>159</v>
      </c>
      <c r="C2999" s="8" t="str">
        <f>IFERROR(_xlfn.XLOOKUP(TRIM(B2999),Lookup!$B$2:$B$1000,Lookup!$C$2:$C$1000),"")</f>
        <v>Equity</v>
      </c>
      <c r="D2999" s="8" t="str">
        <f>IFERROR(INDEX('nav master'!$C:$C, MATCH(B2999, 'nav master'!$B:$B, 0)), "")</f>
        <v>ULIF08219/09/25TopMF500Fd101</v>
      </c>
      <c r="E2999" s="8" t="s">
        <v>506</v>
      </c>
      <c r="F2999" s="8" t="s">
        <v>3289</v>
      </c>
    </row>
    <row r="3000" spans="1:6" ht="60" x14ac:dyDescent="0.25">
      <c r="A3000" s="8" t="s">
        <v>125</v>
      </c>
      <c r="B3000" s="8" t="s">
        <v>159</v>
      </c>
      <c r="C3000" s="8" t="str">
        <f>IFERROR(_xlfn.XLOOKUP(TRIM(B3000),Lookup!$B$2:$B$1000,Lookup!$C$2:$C$1000),"")</f>
        <v>Equity</v>
      </c>
      <c r="D3000" s="8" t="str">
        <f>IFERROR(INDEX('nav master'!$C:$C, MATCH(B3000, 'nav master'!$B:$B, 0)), "")</f>
        <v>ULIF08219/09/25TopMF500Fd101</v>
      </c>
      <c r="E3000" s="8" t="s">
        <v>508</v>
      </c>
      <c r="F3000" s="8" t="s">
        <v>3290</v>
      </c>
    </row>
    <row r="3001" spans="1:6" ht="60" x14ac:dyDescent="0.25">
      <c r="A3001" s="8" t="s">
        <v>125</v>
      </c>
      <c r="B3001" s="8" t="s">
        <v>159</v>
      </c>
      <c r="C3001" s="8" t="str">
        <f>IFERROR(_xlfn.XLOOKUP(TRIM(B3001),Lookup!$B$2:$B$1000,Lookup!$C$2:$C$1000),"")</f>
        <v>Equity</v>
      </c>
      <c r="D3001" s="8" t="str">
        <f>IFERROR(INDEX('nav master'!$C:$C, MATCH(B3001, 'nav master'!$B:$B, 0)), "")</f>
        <v>ULIF08219/09/25TopMF500Fd101</v>
      </c>
      <c r="E3001" s="8" t="s">
        <v>510</v>
      </c>
      <c r="F3001" s="8" t="s">
        <v>3291</v>
      </c>
    </row>
    <row r="3002" spans="1:6" ht="60" x14ac:dyDescent="0.25">
      <c r="A3002" s="8" t="s">
        <v>125</v>
      </c>
      <c r="B3002" s="8" t="s">
        <v>159</v>
      </c>
      <c r="C3002" s="8" t="str">
        <f>IFERROR(_xlfn.XLOOKUP(TRIM(B3002),Lookup!$B$2:$B$1000,Lookup!$C$2:$C$1000),"")</f>
        <v>Equity</v>
      </c>
      <c r="D3002" s="8" t="str">
        <f>IFERROR(INDEX('nav master'!$C:$C, MATCH(B3002, 'nav master'!$B:$B, 0)), "")</f>
        <v>ULIF08219/09/25TopMF500Fd101</v>
      </c>
      <c r="E3002" s="8" t="s">
        <v>512</v>
      </c>
      <c r="F3002" s="8" t="s">
        <v>3292</v>
      </c>
    </row>
    <row r="3003" spans="1:6" ht="60" x14ac:dyDescent="0.25">
      <c r="A3003" s="8" t="s">
        <v>125</v>
      </c>
      <c r="B3003" s="8" t="s">
        <v>159</v>
      </c>
      <c r="C3003" s="8" t="str">
        <f>IFERROR(_xlfn.XLOOKUP(TRIM(B3003),Lookup!$B$2:$B$1000,Lookup!$C$2:$C$1000),"")</f>
        <v>Equity</v>
      </c>
      <c r="D3003" s="8" t="str">
        <f>IFERROR(INDEX('nav master'!$C:$C, MATCH(B3003, 'nav master'!$B:$B, 0)), "")</f>
        <v>ULIF08219/09/25TopMF500Fd101</v>
      </c>
      <c r="E3003" s="8" t="s">
        <v>514</v>
      </c>
      <c r="F3003" s="8" t="s">
        <v>3293</v>
      </c>
    </row>
    <row r="3004" spans="1:6" ht="60" x14ac:dyDescent="0.25">
      <c r="A3004" s="8" t="s">
        <v>125</v>
      </c>
      <c r="B3004" s="8" t="s">
        <v>159</v>
      </c>
      <c r="C3004" s="8" t="str">
        <f>IFERROR(_xlfn.XLOOKUP(TRIM(B3004),Lookup!$B$2:$B$1000,Lookup!$C$2:$C$1000),"")</f>
        <v>Equity</v>
      </c>
      <c r="D3004" s="8" t="str">
        <f>IFERROR(INDEX('nav master'!$C:$C, MATCH(B3004, 'nav master'!$B:$B, 0)), "")</f>
        <v>ULIF08219/09/25TopMF500Fd101</v>
      </c>
      <c r="E3004" s="8" t="s">
        <v>516</v>
      </c>
      <c r="F3004" s="8" t="s">
        <v>3294</v>
      </c>
    </row>
    <row r="3005" spans="1:6" ht="60" x14ac:dyDescent="0.25">
      <c r="A3005" s="8" t="s">
        <v>125</v>
      </c>
      <c r="B3005" s="8" t="s">
        <v>159</v>
      </c>
      <c r="C3005" s="8" t="str">
        <f>IFERROR(_xlfn.XLOOKUP(TRIM(B3005),Lookup!$B$2:$B$1000,Lookup!$C$2:$C$1000),"")</f>
        <v>Equity</v>
      </c>
      <c r="D3005" s="8" t="str">
        <f>IFERROR(INDEX('nav master'!$C:$C, MATCH(B3005, 'nav master'!$B:$B, 0)), "")</f>
        <v>ULIF08219/09/25TopMF500Fd101</v>
      </c>
      <c r="E3005" s="8" t="s">
        <v>518</v>
      </c>
      <c r="F3005" s="8" t="s">
        <v>3295</v>
      </c>
    </row>
    <row r="3006" spans="1:6" ht="60" x14ac:dyDescent="0.25">
      <c r="A3006" s="8" t="s">
        <v>125</v>
      </c>
      <c r="B3006" s="8" t="s">
        <v>159</v>
      </c>
      <c r="C3006" s="8" t="str">
        <f>IFERROR(_xlfn.XLOOKUP(TRIM(B3006),Lookup!$B$2:$B$1000,Lookup!$C$2:$C$1000),"")</f>
        <v>Equity</v>
      </c>
      <c r="D3006" s="8" t="str">
        <f>IFERROR(INDEX('nav master'!$C:$C, MATCH(B3006, 'nav master'!$B:$B, 0)), "")</f>
        <v>ULIF08219/09/25TopMF500Fd101</v>
      </c>
      <c r="E3006" s="8" t="s">
        <v>520</v>
      </c>
      <c r="F3006" s="8" t="s">
        <v>3296</v>
      </c>
    </row>
    <row r="3007" spans="1:6" ht="60" x14ac:dyDescent="0.25">
      <c r="A3007" s="8" t="s">
        <v>125</v>
      </c>
      <c r="B3007" s="8" t="s">
        <v>159</v>
      </c>
      <c r="C3007" s="8" t="str">
        <f>IFERROR(_xlfn.XLOOKUP(TRIM(B3007),Lookup!$B$2:$B$1000,Lookup!$C$2:$C$1000),"")</f>
        <v>Equity</v>
      </c>
      <c r="D3007" s="8" t="str">
        <f>IFERROR(INDEX('nav master'!$C:$C, MATCH(B3007, 'nav master'!$B:$B, 0)), "")</f>
        <v>ULIF08219/09/25TopMF500Fd101</v>
      </c>
      <c r="E3007" s="8" t="s">
        <v>522</v>
      </c>
      <c r="F3007" s="8" t="s">
        <v>3297</v>
      </c>
    </row>
    <row r="3008" spans="1:6" ht="60" x14ac:dyDescent="0.25">
      <c r="A3008" s="8" t="s">
        <v>125</v>
      </c>
      <c r="B3008" s="8" t="s">
        <v>159</v>
      </c>
      <c r="C3008" s="8" t="str">
        <f>IFERROR(_xlfn.XLOOKUP(TRIM(B3008),Lookup!$B$2:$B$1000,Lookup!$C$2:$C$1000),"")</f>
        <v>Equity</v>
      </c>
      <c r="D3008" s="8" t="str">
        <f>IFERROR(INDEX('nav master'!$C:$C, MATCH(B3008, 'nav master'!$B:$B, 0)), "")</f>
        <v>ULIF08219/09/25TopMF500Fd101</v>
      </c>
      <c r="E3008" s="8" t="s">
        <v>524</v>
      </c>
      <c r="F3008" s="8" t="s">
        <v>3298</v>
      </c>
    </row>
    <row r="3009" spans="1:6" ht="60" x14ac:dyDescent="0.25">
      <c r="A3009" s="8" t="s">
        <v>125</v>
      </c>
      <c r="B3009" s="8" t="s">
        <v>159</v>
      </c>
      <c r="C3009" s="8" t="str">
        <f>IFERROR(_xlfn.XLOOKUP(TRIM(B3009),Lookup!$B$2:$B$1000,Lookup!$C$2:$C$1000),"")</f>
        <v>Equity</v>
      </c>
      <c r="D3009" s="8" t="str">
        <f>IFERROR(INDEX('nav master'!$C:$C, MATCH(B3009, 'nav master'!$B:$B, 0)), "")</f>
        <v>ULIF08219/09/25TopMF500Fd101</v>
      </c>
      <c r="E3009" s="8" t="s">
        <v>526</v>
      </c>
      <c r="F3009" s="8" t="s">
        <v>3299</v>
      </c>
    </row>
    <row r="3010" spans="1:6" ht="60" x14ac:dyDescent="0.25">
      <c r="A3010" s="8" t="s">
        <v>125</v>
      </c>
      <c r="B3010" s="8" t="s">
        <v>159</v>
      </c>
      <c r="C3010" s="8" t="str">
        <f>IFERROR(_xlfn.XLOOKUP(TRIM(B3010),Lookup!$B$2:$B$1000,Lookup!$C$2:$C$1000),"")</f>
        <v>Equity</v>
      </c>
      <c r="D3010" s="8" t="str">
        <f>IFERROR(INDEX('nav master'!$C:$C, MATCH(B3010, 'nav master'!$B:$B, 0)), "")</f>
        <v>ULIF08219/09/25TopMF500Fd101</v>
      </c>
      <c r="E3010" s="8" t="s">
        <v>528</v>
      </c>
      <c r="F3010" s="8" t="s">
        <v>3300</v>
      </c>
    </row>
    <row r="3011" spans="1:6" ht="60" x14ac:dyDescent="0.25">
      <c r="A3011" s="8" t="s">
        <v>125</v>
      </c>
      <c r="B3011" s="8" t="s">
        <v>159</v>
      </c>
      <c r="C3011" s="8" t="str">
        <f>IFERROR(_xlfn.XLOOKUP(TRIM(B3011),Lookup!$B$2:$B$1000,Lookup!$C$2:$C$1000),"")</f>
        <v>Equity</v>
      </c>
      <c r="D3011" s="8" t="str">
        <f>IFERROR(INDEX('nav master'!$C:$C, MATCH(B3011, 'nav master'!$B:$B, 0)), "")</f>
        <v>ULIF08219/09/25TopMF500Fd101</v>
      </c>
      <c r="E3011" s="8" t="s">
        <v>530</v>
      </c>
      <c r="F3011" s="8" t="s">
        <v>3301</v>
      </c>
    </row>
    <row r="3012" spans="1:6" ht="60" x14ac:dyDescent="0.25">
      <c r="A3012" s="8" t="s">
        <v>125</v>
      </c>
      <c r="B3012" s="8" t="s">
        <v>159</v>
      </c>
      <c r="C3012" s="8" t="str">
        <f>IFERROR(_xlfn.XLOOKUP(TRIM(B3012),Lookup!$B$2:$B$1000,Lookup!$C$2:$C$1000),"")</f>
        <v>Equity</v>
      </c>
      <c r="D3012" s="8" t="str">
        <f>IFERROR(INDEX('nav master'!$C:$C, MATCH(B3012, 'nav master'!$B:$B, 0)), "")</f>
        <v>ULIF08219/09/25TopMF500Fd101</v>
      </c>
      <c r="E3012" s="8" t="s">
        <v>532</v>
      </c>
      <c r="F3012" s="8" t="s">
        <v>3302</v>
      </c>
    </row>
    <row r="3013" spans="1:6" ht="60" x14ac:dyDescent="0.25">
      <c r="A3013" s="8" t="s">
        <v>125</v>
      </c>
      <c r="B3013" s="8" t="s">
        <v>159</v>
      </c>
      <c r="C3013" s="8" t="str">
        <f>IFERROR(_xlfn.XLOOKUP(TRIM(B3013),Lookup!$B$2:$B$1000,Lookup!$C$2:$C$1000),"")</f>
        <v>Equity</v>
      </c>
      <c r="D3013" s="8" t="str">
        <f>IFERROR(INDEX('nav master'!$C:$C, MATCH(B3013, 'nav master'!$B:$B, 0)), "")</f>
        <v>ULIF08219/09/25TopMF500Fd101</v>
      </c>
      <c r="E3013" s="8" t="s">
        <v>534</v>
      </c>
      <c r="F3013" s="8" t="s">
        <v>3303</v>
      </c>
    </row>
    <row r="3014" spans="1:6" ht="60" x14ac:dyDescent="0.25">
      <c r="A3014" s="8" t="s">
        <v>125</v>
      </c>
      <c r="B3014" s="8" t="s">
        <v>159</v>
      </c>
      <c r="C3014" s="8" t="str">
        <f>IFERROR(_xlfn.XLOOKUP(TRIM(B3014),Lookup!$B$2:$B$1000,Lookup!$C$2:$C$1000),"")</f>
        <v>Equity</v>
      </c>
      <c r="D3014" s="8" t="str">
        <f>IFERROR(INDEX('nav master'!$C:$C, MATCH(B3014, 'nav master'!$B:$B, 0)), "")</f>
        <v>ULIF08219/09/25TopMF500Fd101</v>
      </c>
      <c r="E3014" s="8" t="s">
        <v>536</v>
      </c>
      <c r="F3014" s="8" t="s">
        <v>3304</v>
      </c>
    </row>
    <row r="3015" spans="1:6" ht="60" x14ac:dyDescent="0.25">
      <c r="A3015" s="8" t="s">
        <v>125</v>
      </c>
      <c r="B3015" s="8" t="s">
        <v>159</v>
      </c>
      <c r="C3015" s="8" t="str">
        <f>IFERROR(_xlfn.XLOOKUP(TRIM(B3015),Lookup!$B$2:$B$1000,Lookup!$C$2:$C$1000),"")</f>
        <v>Equity</v>
      </c>
      <c r="D3015" s="8" t="str">
        <f>IFERROR(INDEX('nav master'!$C:$C, MATCH(B3015, 'nav master'!$B:$B, 0)), "")</f>
        <v>ULIF08219/09/25TopMF500Fd101</v>
      </c>
      <c r="E3015" s="8" t="s">
        <v>538</v>
      </c>
      <c r="F3015" s="8" t="s">
        <v>3305</v>
      </c>
    </row>
    <row r="3016" spans="1:6" ht="60" x14ac:dyDescent="0.25">
      <c r="A3016" s="8" t="s">
        <v>125</v>
      </c>
      <c r="B3016" s="8" t="s">
        <v>159</v>
      </c>
      <c r="C3016" s="8" t="str">
        <f>IFERROR(_xlfn.XLOOKUP(TRIM(B3016),Lookup!$B$2:$B$1000,Lookup!$C$2:$C$1000),"")</f>
        <v>Equity</v>
      </c>
      <c r="D3016" s="8" t="str">
        <f>IFERROR(INDEX('nav master'!$C:$C, MATCH(B3016, 'nav master'!$B:$B, 0)), "")</f>
        <v>ULIF08219/09/25TopMF500Fd101</v>
      </c>
      <c r="E3016" s="8" t="s">
        <v>540</v>
      </c>
      <c r="F3016" s="8" t="s">
        <v>3306</v>
      </c>
    </row>
    <row r="3017" spans="1:6" ht="60" x14ac:dyDescent="0.25">
      <c r="A3017" s="8" t="s">
        <v>125</v>
      </c>
      <c r="B3017" s="8" t="s">
        <v>159</v>
      </c>
      <c r="C3017" s="8" t="str">
        <f>IFERROR(_xlfn.XLOOKUP(TRIM(B3017),Lookup!$B$2:$B$1000,Lookup!$C$2:$C$1000),"")</f>
        <v>Equity</v>
      </c>
      <c r="D3017" s="8" t="str">
        <f>IFERROR(INDEX('nav master'!$C:$C, MATCH(B3017, 'nav master'!$B:$B, 0)), "")</f>
        <v>ULIF08219/09/25TopMF500Fd101</v>
      </c>
      <c r="E3017" s="8" t="s">
        <v>542</v>
      </c>
      <c r="F3017" s="8" t="s">
        <v>3307</v>
      </c>
    </row>
    <row r="3018" spans="1:6" ht="60" x14ac:dyDescent="0.25">
      <c r="A3018" s="8" t="s">
        <v>125</v>
      </c>
      <c r="B3018" s="8" t="s">
        <v>159</v>
      </c>
      <c r="C3018" s="8" t="str">
        <f>IFERROR(_xlfn.XLOOKUP(TRIM(B3018),Lookup!$B$2:$B$1000,Lookup!$C$2:$C$1000),"")</f>
        <v>Equity</v>
      </c>
      <c r="D3018" s="8" t="str">
        <f>IFERROR(INDEX('nav master'!$C:$C, MATCH(B3018, 'nav master'!$B:$B, 0)), "")</f>
        <v>ULIF08219/09/25TopMF500Fd101</v>
      </c>
      <c r="E3018" s="8" t="s">
        <v>544</v>
      </c>
      <c r="F3018" s="8" t="s">
        <v>3308</v>
      </c>
    </row>
    <row r="3019" spans="1:6" ht="60" x14ac:dyDescent="0.25">
      <c r="A3019" s="8" t="s">
        <v>125</v>
      </c>
      <c r="B3019" s="8" t="s">
        <v>159</v>
      </c>
      <c r="C3019" s="8" t="str">
        <f>IFERROR(_xlfn.XLOOKUP(TRIM(B3019),Lookup!$B$2:$B$1000,Lookup!$C$2:$C$1000),"")</f>
        <v>Equity</v>
      </c>
      <c r="D3019" s="8" t="str">
        <f>IFERROR(INDEX('nav master'!$C:$C, MATCH(B3019, 'nav master'!$B:$B, 0)), "")</f>
        <v>ULIF08219/09/25TopMF500Fd101</v>
      </c>
      <c r="E3019" s="8" t="s">
        <v>546</v>
      </c>
      <c r="F3019" s="8" t="s">
        <v>2973</v>
      </c>
    </row>
    <row r="3020" spans="1:6" ht="60" x14ac:dyDescent="0.25">
      <c r="A3020" s="8" t="s">
        <v>125</v>
      </c>
      <c r="B3020" s="8" t="s">
        <v>159</v>
      </c>
      <c r="C3020" s="8" t="str">
        <f>IFERROR(_xlfn.XLOOKUP(TRIM(B3020),Lookup!$B$2:$B$1000,Lookup!$C$2:$C$1000),"")</f>
        <v>Equity</v>
      </c>
      <c r="D3020" s="8" t="str">
        <f>IFERROR(INDEX('nav master'!$C:$C, MATCH(B3020, 'nav master'!$B:$B, 0)), "")</f>
        <v>ULIF08219/09/25TopMF500Fd101</v>
      </c>
      <c r="E3020" s="8" t="s">
        <v>548</v>
      </c>
      <c r="F3020" s="8" t="s">
        <v>3309</v>
      </c>
    </row>
    <row r="3021" spans="1:6" ht="60" x14ac:dyDescent="0.25">
      <c r="A3021" s="8" t="s">
        <v>125</v>
      </c>
      <c r="B3021" s="8" t="s">
        <v>159</v>
      </c>
      <c r="C3021" s="8" t="str">
        <f>IFERROR(_xlfn.XLOOKUP(TRIM(B3021),Lookup!$B$2:$B$1000,Lookup!$C$2:$C$1000),"")</f>
        <v>Equity</v>
      </c>
      <c r="D3021" s="8" t="str">
        <f>IFERROR(INDEX('nav master'!$C:$C, MATCH(B3021, 'nav master'!$B:$B, 0)), "")</f>
        <v>ULIF08219/09/25TopMF500Fd101</v>
      </c>
      <c r="E3021" s="8" t="s">
        <v>550</v>
      </c>
      <c r="F3021" s="8" t="s">
        <v>3310</v>
      </c>
    </row>
    <row r="3022" spans="1:6" ht="60" x14ac:dyDescent="0.25">
      <c r="A3022" s="8" t="s">
        <v>125</v>
      </c>
      <c r="B3022" s="8" t="s">
        <v>159</v>
      </c>
      <c r="C3022" s="8" t="str">
        <f>IFERROR(_xlfn.XLOOKUP(TRIM(B3022),Lookup!$B$2:$B$1000,Lookup!$C$2:$C$1000),"")</f>
        <v>Equity</v>
      </c>
      <c r="D3022" s="8" t="str">
        <f>IFERROR(INDEX('nav master'!$C:$C, MATCH(B3022, 'nav master'!$B:$B, 0)), "")</f>
        <v>ULIF08219/09/25TopMF500Fd101</v>
      </c>
      <c r="E3022" s="8" t="s">
        <v>552</v>
      </c>
      <c r="F3022" s="8" t="s">
        <v>3311</v>
      </c>
    </row>
    <row r="3023" spans="1:6" ht="60" x14ac:dyDescent="0.25">
      <c r="A3023" s="8" t="s">
        <v>125</v>
      </c>
      <c r="B3023" s="8" t="s">
        <v>159</v>
      </c>
      <c r="C3023" s="8" t="str">
        <f>IFERROR(_xlfn.XLOOKUP(TRIM(B3023),Lookup!$B$2:$B$1000,Lookup!$C$2:$C$1000),"")</f>
        <v>Equity</v>
      </c>
      <c r="D3023" s="8" t="str">
        <f>IFERROR(INDEX('nav master'!$C:$C, MATCH(B3023, 'nav master'!$B:$B, 0)), "")</f>
        <v>ULIF08219/09/25TopMF500Fd101</v>
      </c>
      <c r="E3023" s="8" t="s">
        <v>554</v>
      </c>
      <c r="F3023" s="8" t="s">
        <v>3312</v>
      </c>
    </row>
    <row r="3024" spans="1:6" ht="60" x14ac:dyDescent="0.25">
      <c r="A3024" s="8" t="s">
        <v>125</v>
      </c>
      <c r="B3024" s="8" t="s">
        <v>159</v>
      </c>
      <c r="C3024" s="8" t="str">
        <f>IFERROR(_xlfn.XLOOKUP(TRIM(B3024),Lookup!$B$2:$B$1000,Lookup!$C$2:$C$1000),"")</f>
        <v>Equity</v>
      </c>
      <c r="D3024" s="8" t="str">
        <f>IFERROR(INDEX('nav master'!$C:$C, MATCH(B3024, 'nav master'!$B:$B, 0)), "")</f>
        <v>ULIF08219/09/25TopMF500Fd101</v>
      </c>
      <c r="E3024" s="8" t="s">
        <v>556</v>
      </c>
      <c r="F3024" s="8" t="s">
        <v>3313</v>
      </c>
    </row>
    <row r="3025" spans="1:6" ht="60" x14ac:dyDescent="0.25">
      <c r="A3025" s="8" t="s">
        <v>125</v>
      </c>
      <c r="B3025" s="8" t="s">
        <v>159</v>
      </c>
      <c r="C3025" s="8" t="str">
        <f>IFERROR(_xlfn.XLOOKUP(TRIM(B3025),Lookup!$B$2:$B$1000,Lookup!$C$2:$C$1000),"")</f>
        <v>Equity</v>
      </c>
      <c r="D3025" s="8" t="str">
        <f>IFERROR(INDEX('nav master'!$C:$C, MATCH(B3025, 'nav master'!$B:$B, 0)), "")</f>
        <v>ULIF08219/09/25TopMF500Fd101</v>
      </c>
      <c r="E3025" s="8" t="s">
        <v>558</v>
      </c>
      <c r="F3025" s="8" t="s">
        <v>3314</v>
      </c>
    </row>
    <row r="3026" spans="1:6" ht="60" x14ac:dyDescent="0.25">
      <c r="A3026" s="8" t="s">
        <v>125</v>
      </c>
      <c r="B3026" s="8" t="s">
        <v>159</v>
      </c>
      <c r="C3026" s="8" t="str">
        <f>IFERROR(_xlfn.XLOOKUP(TRIM(B3026),Lookup!$B$2:$B$1000,Lookup!$C$2:$C$1000),"")</f>
        <v>Equity</v>
      </c>
      <c r="D3026" s="8" t="str">
        <f>IFERROR(INDEX('nav master'!$C:$C, MATCH(B3026, 'nav master'!$B:$B, 0)), "")</f>
        <v>ULIF08219/09/25TopMF500Fd101</v>
      </c>
      <c r="E3026" s="8" t="s">
        <v>560</v>
      </c>
      <c r="F3026" s="8" t="s">
        <v>3315</v>
      </c>
    </row>
    <row r="3027" spans="1:6" ht="60" x14ac:dyDescent="0.25">
      <c r="A3027" s="8" t="s">
        <v>125</v>
      </c>
      <c r="B3027" s="8" t="s">
        <v>159</v>
      </c>
      <c r="C3027" s="8" t="str">
        <f>IFERROR(_xlfn.XLOOKUP(TRIM(B3027),Lookup!$B$2:$B$1000,Lookup!$C$2:$C$1000),"")</f>
        <v>Equity</v>
      </c>
      <c r="D3027" s="8" t="str">
        <f>IFERROR(INDEX('nav master'!$C:$C, MATCH(B3027, 'nav master'!$B:$B, 0)), "")</f>
        <v>ULIF08219/09/25TopMF500Fd101</v>
      </c>
      <c r="E3027" s="8" t="s">
        <v>562</v>
      </c>
      <c r="F3027" s="8" t="s">
        <v>3316</v>
      </c>
    </row>
    <row r="3028" spans="1:6" ht="60" x14ac:dyDescent="0.25">
      <c r="A3028" s="8" t="s">
        <v>125</v>
      </c>
      <c r="B3028" s="8" t="s">
        <v>159</v>
      </c>
      <c r="C3028" s="8" t="str">
        <f>IFERROR(_xlfn.XLOOKUP(TRIM(B3028),Lookup!$B$2:$B$1000,Lookup!$C$2:$C$1000),"")</f>
        <v>Equity</v>
      </c>
      <c r="D3028" s="8" t="str">
        <f>IFERROR(INDEX('nav master'!$C:$C, MATCH(B3028, 'nav master'!$B:$B, 0)), "")</f>
        <v>ULIF08219/09/25TopMF500Fd101</v>
      </c>
      <c r="E3028" s="8" t="s">
        <v>564</v>
      </c>
      <c r="F3028" s="8" t="s">
        <v>3317</v>
      </c>
    </row>
    <row r="3029" spans="1:6" ht="60" x14ac:dyDescent="0.25">
      <c r="A3029" s="8" t="s">
        <v>125</v>
      </c>
      <c r="B3029" s="8" t="s">
        <v>159</v>
      </c>
      <c r="C3029" s="8" t="str">
        <f>IFERROR(_xlfn.XLOOKUP(TRIM(B3029),Lookup!$B$2:$B$1000,Lookup!$C$2:$C$1000),"")</f>
        <v>Equity</v>
      </c>
      <c r="D3029" s="8" t="str">
        <f>IFERROR(INDEX('nav master'!$C:$C, MATCH(B3029, 'nav master'!$B:$B, 0)), "")</f>
        <v>ULIF08219/09/25TopMF500Fd101</v>
      </c>
      <c r="E3029" s="8" t="s">
        <v>566</v>
      </c>
      <c r="F3029" s="8" t="s">
        <v>3318</v>
      </c>
    </row>
    <row r="3030" spans="1:6" ht="60" x14ac:dyDescent="0.25">
      <c r="A3030" s="8" t="s">
        <v>125</v>
      </c>
      <c r="B3030" s="8" t="s">
        <v>159</v>
      </c>
      <c r="C3030" s="8" t="str">
        <f>IFERROR(_xlfn.XLOOKUP(TRIM(B3030),Lookup!$B$2:$B$1000,Lookup!$C$2:$C$1000),"")</f>
        <v>Equity</v>
      </c>
      <c r="D3030" s="8" t="str">
        <f>IFERROR(INDEX('nav master'!$C:$C, MATCH(B3030, 'nav master'!$B:$B, 0)), "")</f>
        <v>ULIF08219/09/25TopMF500Fd101</v>
      </c>
      <c r="E3030" s="8" t="s">
        <v>568</v>
      </c>
      <c r="F3030" s="8" t="s">
        <v>3319</v>
      </c>
    </row>
    <row r="3031" spans="1:6" ht="60" x14ac:dyDescent="0.25">
      <c r="A3031" s="8" t="s">
        <v>125</v>
      </c>
      <c r="B3031" s="8" t="s">
        <v>159</v>
      </c>
      <c r="C3031" s="8" t="str">
        <f>IFERROR(_xlfn.XLOOKUP(TRIM(B3031),Lookup!$B$2:$B$1000,Lookup!$C$2:$C$1000),"")</f>
        <v>Equity</v>
      </c>
      <c r="D3031" s="8" t="str">
        <f>IFERROR(INDEX('nav master'!$C:$C, MATCH(B3031, 'nav master'!$B:$B, 0)), "")</f>
        <v>ULIF08219/09/25TopMF500Fd101</v>
      </c>
      <c r="E3031" s="8" t="s">
        <v>570</v>
      </c>
      <c r="F3031" s="8" t="s">
        <v>3320</v>
      </c>
    </row>
    <row r="3032" spans="1:6" ht="60" x14ac:dyDescent="0.25">
      <c r="A3032" s="8" t="s">
        <v>125</v>
      </c>
      <c r="B3032" s="8" t="s">
        <v>159</v>
      </c>
      <c r="C3032" s="8" t="str">
        <f>IFERROR(_xlfn.XLOOKUP(TRIM(B3032),Lookup!$B$2:$B$1000,Lookup!$C$2:$C$1000),"")</f>
        <v>Equity</v>
      </c>
      <c r="D3032" s="8" t="str">
        <f>IFERROR(INDEX('nav master'!$C:$C, MATCH(B3032, 'nav master'!$B:$B, 0)), "")</f>
        <v>ULIF08219/09/25TopMF500Fd101</v>
      </c>
      <c r="E3032" s="8" t="s">
        <v>572</v>
      </c>
      <c r="F3032" s="8" t="s">
        <v>3321</v>
      </c>
    </row>
    <row r="3033" spans="1:6" ht="60" x14ac:dyDescent="0.25">
      <c r="A3033" s="8" t="s">
        <v>125</v>
      </c>
      <c r="B3033" s="8" t="s">
        <v>159</v>
      </c>
      <c r="C3033" s="8" t="str">
        <f>IFERROR(_xlfn.XLOOKUP(TRIM(B3033),Lookup!$B$2:$B$1000,Lookup!$C$2:$C$1000),"")</f>
        <v>Equity</v>
      </c>
      <c r="D3033" s="8" t="str">
        <f>IFERROR(INDEX('nav master'!$C:$C, MATCH(B3033, 'nav master'!$B:$B, 0)), "")</f>
        <v>ULIF08219/09/25TopMF500Fd101</v>
      </c>
      <c r="E3033" s="8" t="s">
        <v>574</v>
      </c>
      <c r="F3033" s="8" t="s">
        <v>3322</v>
      </c>
    </row>
    <row r="3034" spans="1:6" ht="60" x14ac:dyDescent="0.25">
      <c r="A3034" s="8" t="s">
        <v>125</v>
      </c>
      <c r="B3034" s="8" t="s">
        <v>159</v>
      </c>
      <c r="C3034" s="8" t="str">
        <f>IFERROR(_xlfn.XLOOKUP(TRIM(B3034),Lookup!$B$2:$B$1000,Lookup!$C$2:$C$1000),"")</f>
        <v>Equity</v>
      </c>
      <c r="D3034" s="8" t="str">
        <f>IFERROR(INDEX('nav master'!$C:$C, MATCH(B3034, 'nav master'!$B:$B, 0)), "")</f>
        <v>ULIF08219/09/25TopMF500Fd101</v>
      </c>
      <c r="E3034" s="8" t="s">
        <v>576</v>
      </c>
      <c r="F3034" s="8" t="s">
        <v>3323</v>
      </c>
    </row>
    <row r="3035" spans="1:6" ht="60" x14ac:dyDescent="0.25">
      <c r="A3035" s="8" t="s">
        <v>125</v>
      </c>
      <c r="B3035" s="8" t="s">
        <v>159</v>
      </c>
      <c r="C3035" s="8" t="str">
        <f>IFERROR(_xlfn.XLOOKUP(TRIM(B3035),Lookup!$B$2:$B$1000,Lookup!$C$2:$C$1000),"")</f>
        <v>Equity</v>
      </c>
      <c r="D3035" s="8" t="str">
        <f>IFERROR(INDEX('nav master'!$C:$C, MATCH(B3035, 'nav master'!$B:$B, 0)), "")</f>
        <v>ULIF08219/09/25TopMF500Fd101</v>
      </c>
      <c r="E3035" s="8" t="s">
        <v>578</v>
      </c>
      <c r="F3035" s="8" t="s">
        <v>3324</v>
      </c>
    </row>
    <row r="3036" spans="1:6" ht="60" x14ac:dyDescent="0.25">
      <c r="A3036" s="8" t="s">
        <v>125</v>
      </c>
      <c r="B3036" s="8" t="s">
        <v>159</v>
      </c>
      <c r="C3036" s="8" t="str">
        <f>IFERROR(_xlfn.XLOOKUP(TRIM(B3036),Lookup!$B$2:$B$1000,Lookup!$C$2:$C$1000),"")</f>
        <v>Equity</v>
      </c>
      <c r="D3036" s="8" t="str">
        <f>IFERROR(INDEX('nav master'!$C:$C, MATCH(B3036, 'nav master'!$B:$B, 0)), "")</f>
        <v>ULIF08219/09/25TopMF500Fd101</v>
      </c>
      <c r="E3036" s="8" t="s">
        <v>580</v>
      </c>
      <c r="F3036" s="8" t="s">
        <v>3325</v>
      </c>
    </row>
    <row r="3037" spans="1:6" ht="60" x14ac:dyDescent="0.25">
      <c r="A3037" s="8" t="s">
        <v>125</v>
      </c>
      <c r="B3037" s="8" t="s">
        <v>159</v>
      </c>
      <c r="C3037" s="8" t="str">
        <f>IFERROR(_xlfn.XLOOKUP(TRIM(B3037),Lookup!$B$2:$B$1000,Lookup!$C$2:$C$1000),"")</f>
        <v>Equity</v>
      </c>
      <c r="D3037" s="8" t="str">
        <f>IFERROR(INDEX('nav master'!$C:$C, MATCH(B3037, 'nav master'!$B:$B, 0)), "")</f>
        <v>ULIF08219/09/25TopMF500Fd101</v>
      </c>
      <c r="E3037" s="8" t="s">
        <v>582</v>
      </c>
      <c r="F3037" s="8" t="s">
        <v>3326</v>
      </c>
    </row>
    <row r="3038" spans="1:6" ht="60" x14ac:dyDescent="0.25">
      <c r="A3038" s="8" t="s">
        <v>125</v>
      </c>
      <c r="B3038" s="8" t="s">
        <v>159</v>
      </c>
      <c r="C3038" s="8" t="str">
        <f>IFERROR(_xlfn.XLOOKUP(TRIM(B3038),Lookup!$B$2:$B$1000,Lookup!$C$2:$C$1000),"")</f>
        <v>Equity</v>
      </c>
      <c r="D3038" s="8" t="str">
        <f>IFERROR(INDEX('nav master'!$C:$C, MATCH(B3038, 'nav master'!$B:$B, 0)), "")</f>
        <v>ULIF08219/09/25TopMF500Fd101</v>
      </c>
      <c r="E3038" s="8" t="s">
        <v>584</v>
      </c>
      <c r="F3038" s="8" t="s">
        <v>3327</v>
      </c>
    </row>
    <row r="3039" spans="1:6" ht="60" x14ac:dyDescent="0.25">
      <c r="A3039" s="8" t="s">
        <v>125</v>
      </c>
      <c r="B3039" s="8" t="s">
        <v>159</v>
      </c>
      <c r="C3039" s="8" t="str">
        <f>IFERROR(_xlfn.XLOOKUP(TRIM(B3039),Lookup!$B$2:$B$1000,Lookup!$C$2:$C$1000),"")</f>
        <v>Equity</v>
      </c>
      <c r="D3039" s="8" t="str">
        <f>IFERROR(INDEX('nav master'!$C:$C, MATCH(B3039, 'nav master'!$B:$B, 0)), "")</f>
        <v>ULIF08219/09/25TopMF500Fd101</v>
      </c>
      <c r="E3039" s="8" t="s">
        <v>586</v>
      </c>
      <c r="F3039" s="8" t="s">
        <v>3328</v>
      </c>
    </row>
    <row r="3040" spans="1:6" ht="60" x14ac:dyDescent="0.25">
      <c r="A3040" s="8" t="s">
        <v>125</v>
      </c>
      <c r="B3040" s="8" t="s">
        <v>159</v>
      </c>
      <c r="C3040" s="8" t="str">
        <f>IFERROR(_xlfn.XLOOKUP(TRIM(B3040),Lookup!$B$2:$B$1000,Lookup!$C$2:$C$1000),"")</f>
        <v>Equity</v>
      </c>
      <c r="D3040" s="8" t="str">
        <f>IFERROR(INDEX('nav master'!$C:$C, MATCH(B3040, 'nav master'!$B:$B, 0)), "")</f>
        <v>ULIF08219/09/25TopMF500Fd101</v>
      </c>
      <c r="E3040" s="8" t="s">
        <v>588</v>
      </c>
      <c r="F3040" s="8" t="s">
        <v>3329</v>
      </c>
    </row>
    <row r="3041" spans="1:6" ht="60" x14ac:dyDescent="0.25">
      <c r="A3041" s="8" t="s">
        <v>125</v>
      </c>
      <c r="B3041" s="8" t="s">
        <v>159</v>
      </c>
      <c r="C3041" s="8" t="str">
        <f>IFERROR(_xlfn.XLOOKUP(TRIM(B3041),Lookup!$B$2:$B$1000,Lookup!$C$2:$C$1000),"")</f>
        <v>Equity</v>
      </c>
      <c r="D3041" s="8" t="str">
        <f>IFERROR(INDEX('nav master'!$C:$C, MATCH(B3041, 'nav master'!$B:$B, 0)), "")</f>
        <v>ULIF08219/09/25TopMF500Fd101</v>
      </c>
      <c r="E3041" s="8" t="s">
        <v>590</v>
      </c>
      <c r="F3041" s="8" t="s">
        <v>1610</v>
      </c>
    </row>
    <row r="3042" spans="1:6" ht="60" x14ac:dyDescent="0.25">
      <c r="A3042" s="8" t="s">
        <v>125</v>
      </c>
      <c r="B3042" s="8" t="s">
        <v>159</v>
      </c>
      <c r="C3042" s="8" t="str">
        <f>IFERROR(_xlfn.XLOOKUP(TRIM(B3042),Lookup!$B$2:$B$1000,Lookup!$C$2:$C$1000),"")</f>
        <v>Equity</v>
      </c>
      <c r="D3042" s="8" t="str">
        <f>IFERROR(INDEX('nav master'!$C:$C, MATCH(B3042, 'nav master'!$B:$B, 0)), "")</f>
        <v>ULIF08219/09/25TopMF500Fd101</v>
      </c>
      <c r="E3042" s="8" t="s">
        <v>592</v>
      </c>
      <c r="F3042" s="8" t="s">
        <v>3330</v>
      </c>
    </row>
    <row r="3043" spans="1:6" ht="60" x14ac:dyDescent="0.25">
      <c r="A3043" s="8" t="s">
        <v>125</v>
      </c>
      <c r="B3043" s="8" t="s">
        <v>159</v>
      </c>
      <c r="C3043" s="8" t="str">
        <f>IFERROR(_xlfn.XLOOKUP(TRIM(B3043),Lookup!$B$2:$B$1000,Lookup!$C$2:$C$1000),"")</f>
        <v>Equity</v>
      </c>
      <c r="D3043" s="8" t="str">
        <f>IFERROR(INDEX('nav master'!$C:$C, MATCH(B3043, 'nav master'!$B:$B, 0)), "")</f>
        <v>ULIF08219/09/25TopMF500Fd101</v>
      </c>
      <c r="E3043" s="8" t="s">
        <v>594</v>
      </c>
      <c r="F3043" s="8" t="s">
        <v>3331</v>
      </c>
    </row>
    <row r="3044" spans="1:6" ht="60" x14ac:dyDescent="0.25">
      <c r="A3044" s="8" t="s">
        <v>125</v>
      </c>
      <c r="B3044" s="8" t="s">
        <v>159</v>
      </c>
      <c r="C3044" s="8" t="str">
        <f>IFERROR(_xlfn.XLOOKUP(TRIM(B3044),Lookup!$B$2:$B$1000,Lookup!$C$2:$C$1000),"")</f>
        <v>Equity</v>
      </c>
      <c r="D3044" s="8" t="str">
        <f>IFERROR(INDEX('nav master'!$C:$C, MATCH(B3044, 'nav master'!$B:$B, 0)), "")</f>
        <v>ULIF08219/09/25TopMF500Fd101</v>
      </c>
      <c r="E3044" s="8" t="s">
        <v>596</v>
      </c>
      <c r="F3044" s="8" t="s">
        <v>3332</v>
      </c>
    </row>
    <row r="3045" spans="1:6" ht="60" x14ac:dyDescent="0.25">
      <c r="A3045" s="8" t="s">
        <v>125</v>
      </c>
      <c r="B3045" s="8" t="s">
        <v>159</v>
      </c>
      <c r="C3045" s="8" t="str">
        <f>IFERROR(_xlfn.XLOOKUP(TRIM(B3045),Lookup!$B$2:$B$1000,Lookup!$C$2:$C$1000),"")</f>
        <v>Equity</v>
      </c>
      <c r="D3045" s="8" t="str">
        <f>IFERROR(INDEX('nav master'!$C:$C, MATCH(B3045, 'nav master'!$B:$B, 0)), "")</f>
        <v>ULIF08219/09/25TopMF500Fd101</v>
      </c>
      <c r="E3045" s="8" t="s">
        <v>598</v>
      </c>
      <c r="F3045" s="8" t="s">
        <v>3333</v>
      </c>
    </row>
    <row r="3046" spans="1:6" ht="60" x14ac:dyDescent="0.25">
      <c r="A3046" s="8" t="s">
        <v>125</v>
      </c>
      <c r="B3046" s="8" t="s">
        <v>159</v>
      </c>
      <c r="C3046" s="8" t="str">
        <f>IFERROR(_xlfn.XLOOKUP(TRIM(B3046),Lookup!$B$2:$B$1000,Lookup!$C$2:$C$1000),"")</f>
        <v>Equity</v>
      </c>
      <c r="D3046" s="8" t="str">
        <f>IFERROR(INDEX('nav master'!$C:$C, MATCH(B3046, 'nav master'!$B:$B, 0)), "")</f>
        <v>ULIF08219/09/25TopMF500Fd101</v>
      </c>
      <c r="E3046" s="8" t="s">
        <v>600</v>
      </c>
      <c r="F3046" s="8" t="s">
        <v>3334</v>
      </c>
    </row>
    <row r="3047" spans="1:6" ht="60" x14ac:dyDescent="0.25">
      <c r="A3047" s="8" t="s">
        <v>125</v>
      </c>
      <c r="B3047" s="8" t="s">
        <v>159</v>
      </c>
      <c r="C3047" s="8" t="str">
        <f>IFERROR(_xlfn.XLOOKUP(TRIM(B3047),Lookup!$B$2:$B$1000,Lookup!$C$2:$C$1000),"")</f>
        <v>Equity</v>
      </c>
      <c r="D3047" s="8" t="str">
        <f>IFERROR(INDEX('nav master'!$C:$C, MATCH(B3047, 'nav master'!$B:$B, 0)), "")</f>
        <v>ULIF08219/09/25TopMF500Fd101</v>
      </c>
      <c r="E3047" s="8" t="s">
        <v>602</v>
      </c>
      <c r="F3047" s="8" t="s">
        <v>3335</v>
      </c>
    </row>
    <row r="3048" spans="1:6" ht="60" x14ac:dyDescent="0.25">
      <c r="A3048" s="8" t="s">
        <v>125</v>
      </c>
      <c r="B3048" s="8" t="s">
        <v>159</v>
      </c>
      <c r="C3048" s="8" t="str">
        <f>IFERROR(_xlfn.XLOOKUP(TRIM(B3048),Lookup!$B$2:$B$1000,Lookup!$C$2:$C$1000),"")</f>
        <v>Equity</v>
      </c>
      <c r="D3048" s="8" t="str">
        <f>IFERROR(INDEX('nav master'!$C:$C, MATCH(B3048, 'nav master'!$B:$B, 0)), "")</f>
        <v>ULIF08219/09/25TopMF500Fd101</v>
      </c>
      <c r="E3048" s="8" t="s">
        <v>604</v>
      </c>
      <c r="F3048" s="8" t="s">
        <v>3336</v>
      </c>
    </row>
    <row r="3049" spans="1:6" ht="60" x14ac:dyDescent="0.25">
      <c r="A3049" s="8" t="s">
        <v>125</v>
      </c>
      <c r="B3049" s="8" t="s">
        <v>159</v>
      </c>
      <c r="C3049" s="8" t="str">
        <f>IFERROR(_xlfn.XLOOKUP(TRIM(B3049),Lookup!$B$2:$B$1000,Lookup!$C$2:$C$1000),"")</f>
        <v>Equity</v>
      </c>
      <c r="D3049" s="8" t="str">
        <f>IFERROR(INDEX('nav master'!$C:$C, MATCH(B3049, 'nav master'!$B:$B, 0)), "")</f>
        <v>ULIF08219/09/25TopMF500Fd101</v>
      </c>
      <c r="E3049" s="8" t="s">
        <v>606</v>
      </c>
      <c r="F3049" s="8" t="s">
        <v>3337</v>
      </c>
    </row>
    <row r="3050" spans="1:6" ht="60" x14ac:dyDescent="0.25">
      <c r="A3050" s="8" t="s">
        <v>125</v>
      </c>
      <c r="B3050" s="8" t="s">
        <v>159</v>
      </c>
      <c r="C3050" s="8" t="str">
        <f>IFERROR(_xlfn.XLOOKUP(TRIM(B3050),Lookup!$B$2:$B$1000,Lookup!$C$2:$C$1000),"")</f>
        <v>Equity</v>
      </c>
      <c r="D3050" s="8" t="str">
        <f>IFERROR(INDEX('nav master'!$C:$C, MATCH(B3050, 'nav master'!$B:$B, 0)), "")</f>
        <v>ULIF08219/09/25TopMF500Fd101</v>
      </c>
      <c r="E3050" s="8" t="s">
        <v>608</v>
      </c>
      <c r="F3050" s="8" t="s">
        <v>3338</v>
      </c>
    </row>
    <row r="3051" spans="1:6" ht="60" x14ac:dyDescent="0.25">
      <c r="A3051" s="8" t="s">
        <v>125</v>
      </c>
      <c r="B3051" s="8" t="s">
        <v>159</v>
      </c>
      <c r="C3051" s="8" t="str">
        <f>IFERROR(_xlfn.XLOOKUP(TRIM(B3051),Lookup!$B$2:$B$1000,Lookup!$C$2:$C$1000),"")</f>
        <v>Equity</v>
      </c>
      <c r="D3051" s="8" t="str">
        <f>IFERROR(INDEX('nav master'!$C:$C, MATCH(B3051, 'nav master'!$B:$B, 0)), "")</f>
        <v>ULIF08219/09/25TopMF500Fd101</v>
      </c>
      <c r="E3051" s="8" t="s">
        <v>610</v>
      </c>
      <c r="F3051" s="8" t="s">
        <v>3339</v>
      </c>
    </row>
    <row r="3052" spans="1:6" ht="60" x14ac:dyDescent="0.25">
      <c r="A3052" s="8" t="s">
        <v>125</v>
      </c>
      <c r="B3052" s="8" t="s">
        <v>159</v>
      </c>
      <c r="C3052" s="8" t="str">
        <f>IFERROR(_xlfn.XLOOKUP(TRIM(B3052),Lookup!$B$2:$B$1000,Lookup!$C$2:$C$1000),"")</f>
        <v>Equity</v>
      </c>
      <c r="D3052" s="8" t="str">
        <f>IFERROR(INDEX('nav master'!$C:$C, MATCH(B3052, 'nav master'!$B:$B, 0)), "")</f>
        <v>ULIF08219/09/25TopMF500Fd101</v>
      </c>
      <c r="E3052" s="8" t="s">
        <v>612</v>
      </c>
      <c r="F3052" s="8" t="s">
        <v>3340</v>
      </c>
    </row>
    <row r="3053" spans="1:6" ht="60" x14ac:dyDescent="0.25">
      <c r="A3053" s="8" t="s">
        <v>125</v>
      </c>
      <c r="B3053" s="8" t="s">
        <v>159</v>
      </c>
      <c r="C3053" s="8" t="str">
        <f>IFERROR(_xlfn.XLOOKUP(TRIM(B3053),Lookup!$B$2:$B$1000,Lookup!$C$2:$C$1000),"")</f>
        <v>Equity</v>
      </c>
      <c r="D3053" s="8" t="str">
        <f>IFERROR(INDEX('nav master'!$C:$C, MATCH(B3053, 'nav master'!$B:$B, 0)), "")</f>
        <v>ULIF08219/09/25TopMF500Fd101</v>
      </c>
      <c r="E3053" s="8" t="s">
        <v>614</v>
      </c>
      <c r="F3053" s="8" t="s">
        <v>3341</v>
      </c>
    </row>
    <row r="3054" spans="1:6" ht="60" x14ac:dyDescent="0.25">
      <c r="A3054" s="8" t="s">
        <v>125</v>
      </c>
      <c r="B3054" s="8" t="s">
        <v>159</v>
      </c>
      <c r="C3054" s="8" t="str">
        <f>IFERROR(_xlfn.XLOOKUP(TRIM(B3054),Lookup!$B$2:$B$1000,Lookup!$C$2:$C$1000),"")</f>
        <v>Equity</v>
      </c>
      <c r="D3054" s="8" t="str">
        <f>IFERROR(INDEX('nav master'!$C:$C, MATCH(B3054, 'nav master'!$B:$B, 0)), "")</f>
        <v>ULIF08219/09/25TopMF500Fd101</v>
      </c>
      <c r="E3054" s="8" t="s">
        <v>616</v>
      </c>
      <c r="F3054" s="8" t="s">
        <v>3342</v>
      </c>
    </row>
    <row r="3055" spans="1:6" ht="60" x14ac:dyDescent="0.25">
      <c r="A3055" s="8" t="s">
        <v>125</v>
      </c>
      <c r="B3055" s="8" t="s">
        <v>159</v>
      </c>
      <c r="C3055" s="8" t="str">
        <f>IFERROR(_xlfn.XLOOKUP(TRIM(B3055),Lookup!$B$2:$B$1000,Lookup!$C$2:$C$1000),"")</f>
        <v>Equity</v>
      </c>
      <c r="D3055" s="8" t="str">
        <f>IFERROR(INDEX('nav master'!$C:$C, MATCH(B3055, 'nav master'!$B:$B, 0)), "")</f>
        <v>ULIF08219/09/25TopMF500Fd101</v>
      </c>
      <c r="E3055" s="8" t="s">
        <v>618</v>
      </c>
      <c r="F3055" s="8" t="s">
        <v>3343</v>
      </c>
    </row>
    <row r="3056" spans="1:6" ht="60" x14ac:dyDescent="0.25">
      <c r="A3056" s="8" t="s">
        <v>125</v>
      </c>
      <c r="B3056" s="8" t="s">
        <v>159</v>
      </c>
      <c r="C3056" s="8" t="str">
        <f>IFERROR(_xlfn.XLOOKUP(TRIM(B3056),Lookup!$B$2:$B$1000,Lookup!$C$2:$C$1000),"")</f>
        <v>Equity</v>
      </c>
      <c r="D3056" s="8" t="str">
        <f>IFERROR(INDEX('nav master'!$C:$C, MATCH(B3056, 'nav master'!$B:$B, 0)), "")</f>
        <v>ULIF08219/09/25TopMF500Fd101</v>
      </c>
      <c r="E3056" s="8" t="s">
        <v>620</v>
      </c>
      <c r="F3056" s="8" t="s">
        <v>3344</v>
      </c>
    </row>
    <row r="3057" spans="1:6" ht="60" x14ac:dyDescent="0.25">
      <c r="A3057" s="8" t="s">
        <v>125</v>
      </c>
      <c r="B3057" s="8" t="s">
        <v>159</v>
      </c>
      <c r="C3057" s="8" t="str">
        <f>IFERROR(_xlfn.XLOOKUP(TRIM(B3057),Lookup!$B$2:$B$1000,Lookup!$C$2:$C$1000),"")</f>
        <v>Equity</v>
      </c>
      <c r="D3057" s="8" t="str">
        <f>IFERROR(INDEX('nav master'!$C:$C, MATCH(B3057, 'nav master'!$B:$B, 0)), "")</f>
        <v>ULIF08219/09/25TopMF500Fd101</v>
      </c>
      <c r="E3057" s="8" t="s">
        <v>622</v>
      </c>
      <c r="F3057" s="8" t="s">
        <v>3345</v>
      </c>
    </row>
    <row r="3058" spans="1:6" ht="60" x14ac:dyDescent="0.25">
      <c r="A3058" s="8" t="s">
        <v>125</v>
      </c>
      <c r="B3058" s="8" t="s">
        <v>159</v>
      </c>
      <c r="C3058" s="8" t="str">
        <f>IFERROR(_xlfn.XLOOKUP(TRIM(B3058),Lookup!$B$2:$B$1000,Lookup!$C$2:$C$1000),"")</f>
        <v>Equity</v>
      </c>
      <c r="D3058" s="8" t="str">
        <f>IFERROR(INDEX('nav master'!$C:$C, MATCH(B3058, 'nav master'!$B:$B, 0)), "")</f>
        <v>ULIF08219/09/25TopMF500Fd101</v>
      </c>
      <c r="E3058" s="8" t="s">
        <v>624</v>
      </c>
      <c r="F3058" s="8" t="s">
        <v>3346</v>
      </c>
    </row>
    <row r="3059" spans="1:6" ht="60" x14ac:dyDescent="0.25">
      <c r="A3059" s="8" t="s">
        <v>125</v>
      </c>
      <c r="B3059" s="8" t="s">
        <v>159</v>
      </c>
      <c r="C3059" s="8" t="str">
        <f>IFERROR(_xlfn.XLOOKUP(TRIM(B3059),Lookup!$B$2:$B$1000,Lookup!$C$2:$C$1000),"")</f>
        <v>Equity</v>
      </c>
      <c r="D3059" s="8" t="str">
        <f>IFERROR(INDEX('nav master'!$C:$C, MATCH(B3059, 'nav master'!$B:$B, 0)), "")</f>
        <v>ULIF08219/09/25TopMF500Fd101</v>
      </c>
      <c r="E3059" s="8" t="s">
        <v>626</v>
      </c>
      <c r="F3059" s="8" t="s">
        <v>3347</v>
      </c>
    </row>
    <row r="3060" spans="1:6" ht="60" x14ac:dyDescent="0.25">
      <c r="A3060" s="8" t="s">
        <v>125</v>
      </c>
      <c r="B3060" s="8" t="s">
        <v>159</v>
      </c>
      <c r="C3060" s="8" t="str">
        <f>IFERROR(_xlfn.XLOOKUP(TRIM(B3060),Lookup!$B$2:$B$1000,Lookup!$C$2:$C$1000),"")</f>
        <v>Equity</v>
      </c>
      <c r="D3060" s="8" t="str">
        <f>IFERROR(INDEX('nav master'!$C:$C, MATCH(B3060, 'nav master'!$B:$B, 0)), "")</f>
        <v>ULIF08219/09/25TopMF500Fd101</v>
      </c>
      <c r="E3060" s="8" t="s">
        <v>628</v>
      </c>
      <c r="F3060" s="8" t="s">
        <v>3348</v>
      </c>
    </row>
    <row r="3061" spans="1:6" ht="60" x14ac:dyDescent="0.25">
      <c r="A3061" s="8" t="s">
        <v>125</v>
      </c>
      <c r="B3061" s="8" t="s">
        <v>159</v>
      </c>
      <c r="C3061" s="8" t="str">
        <f>IFERROR(_xlfn.XLOOKUP(TRIM(B3061),Lookup!$B$2:$B$1000,Lookup!$C$2:$C$1000),"")</f>
        <v>Equity</v>
      </c>
      <c r="D3061" s="8" t="str">
        <f>IFERROR(INDEX('nav master'!$C:$C, MATCH(B3061, 'nav master'!$B:$B, 0)), "")</f>
        <v>ULIF08219/09/25TopMF500Fd101</v>
      </c>
      <c r="E3061" s="8" t="s">
        <v>630</v>
      </c>
      <c r="F3061" s="8" t="s">
        <v>3349</v>
      </c>
    </row>
    <row r="3062" spans="1:6" ht="60" x14ac:dyDescent="0.25">
      <c r="A3062" s="8" t="s">
        <v>125</v>
      </c>
      <c r="B3062" s="8" t="s">
        <v>159</v>
      </c>
      <c r="C3062" s="8" t="str">
        <f>IFERROR(_xlfn.XLOOKUP(TRIM(B3062),Lookup!$B$2:$B$1000,Lookup!$C$2:$C$1000),"")</f>
        <v>Equity</v>
      </c>
      <c r="D3062" s="8" t="str">
        <f>IFERROR(INDEX('nav master'!$C:$C, MATCH(B3062, 'nav master'!$B:$B, 0)), "")</f>
        <v>ULIF08219/09/25TopMF500Fd101</v>
      </c>
      <c r="E3062" s="8" t="s">
        <v>632</v>
      </c>
      <c r="F3062" s="8" t="s">
        <v>3350</v>
      </c>
    </row>
    <row r="3063" spans="1:6" ht="60" x14ac:dyDescent="0.25">
      <c r="A3063" s="8" t="s">
        <v>125</v>
      </c>
      <c r="B3063" s="8" t="s">
        <v>159</v>
      </c>
      <c r="C3063" s="8" t="str">
        <f>IFERROR(_xlfn.XLOOKUP(TRIM(B3063),Lookup!$B$2:$B$1000,Lookup!$C$2:$C$1000),"")</f>
        <v>Equity</v>
      </c>
      <c r="D3063" s="8" t="str">
        <f>IFERROR(INDEX('nav master'!$C:$C, MATCH(B3063, 'nav master'!$B:$B, 0)), "")</f>
        <v>ULIF08219/09/25TopMF500Fd101</v>
      </c>
      <c r="E3063" s="8" t="s">
        <v>634</v>
      </c>
      <c r="F3063" s="8" t="s">
        <v>3351</v>
      </c>
    </row>
    <row r="3064" spans="1:6" ht="60" x14ac:dyDescent="0.25">
      <c r="A3064" s="8" t="s">
        <v>125</v>
      </c>
      <c r="B3064" s="8" t="s">
        <v>159</v>
      </c>
      <c r="C3064" s="8" t="str">
        <f>IFERROR(_xlfn.XLOOKUP(TRIM(B3064),Lookup!$B$2:$B$1000,Lookup!$C$2:$C$1000),"")</f>
        <v>Equity</v>
      </c>
      <c r="D3064" s="8" t="str">
        <f>IFERROR(INDEX('nav master'!$C:$C, MATCH(B3064, 'nav master'!$B:$B, 0)), "")</f>
        <v>ULIF08219/09/25TopMF500Fd101</v>
      </c>
      <c r="E3064" s="8" t="s">
        <v>636</v>
      </c>
      <c r="F3064" s="8" t="s">
        <v>3352</v>
      </c>
    </row>
    <row r="3065" spans="1:6" ht="60" x14ac:dyDescent="0.25">
      <c r="A3065" s="8" t="s">
        <v>125</v>
      </c>
      <c r="B3065" s="8" t="s">
        <v>159</v>
      </c>
      <c r="C3065" s="8" t="str">
        <f>IFERROR(_xlfn.XLOOKUP(TRIM(B3065),Lookup!$B$2:$B$1000,Lookup!$C$2:$C$1000),"")</f>
        <v>Equity</v>
      </c>
      <c r="D3065" s="8" t="str">
        <f>IFERROR(INDEX('nav master'!$C:$C, MATCH(B3065, 'nav master'!$B:$B, 0)), "")</f>
        <v>ULIF08219/09/25TopMF500Fd101</v>
      </c>
      <c r="E3065" s="8" t="s">
        <v>638</v>
      </c>
      <c r="F3065" s="8" t="s">
        <v>3353</v>
      </c>
    </row>
    <row r="3066" spans="1:6" ht="60" x14ac:dyDescent="0.25">
      <c r="A3066" s="8" t="s">
        <v>125</v>
      </c>
      <c r="B3066" s="8" t="s">
        <v>159</v>
      </c>
      <c r="C3066" s="8" t="str">
        <f>IFERROR(_xlfn.XLOOKUP(TRIM(B3066),Lookup!$B$2:$B$1000,Lookup!$C$2:$C$1000),"")</f>
        <v>Equity</v>
      </c>
      <c r="D3066" s="8" t="str">
        <f>IFERROR(INDEX('nav master'!$C:$C, MATCH(B3066, 'nav master'!$B:$B, 0)), "")</f>
        <v>ULIF08219/09/25TopMF500Fd101</v>
      </c>
      <c r="E3066" s="8" t="s">
        <v>640</v>
      </c>
      <c r="F3066" s="8" t="s">
        <v>3354</v>
      </c>
    </row>
    <row r="3067" spans="1:6" ht="60" x14ac:dyDescent="0.25">
      <c r="A3067" s="8" t="s">
        <v>125</v>
      </c>
      <c r="B3067" s="8" t="s">
        <v>159</v>
      </c>
      <c r="C3067" s="8" t="str">
        <f>IFERROR(_xlfn.XLOOKUP(TRIM(B3067),Lookup!$B$2:$B$1000,Lookup!$C$2:$C$1000),"")</f>
        <v>Equity</v>
      </c>
      <c r="D3067" s="8" t="str">
        <f>IFERROR(INDEX('nav master'!$C:$C, MATCH(B3067, 'nav master'!$B:$B, 0)), "")</f>
        <v>ULIF08219/09/25TopMF500Fd101</v>
      </c>
      <c r="E3067" s="8" t="s">
        <v>642</v>
      </c>
      <c r="F3067" s="8" t="s">
        <v>3355</v>
      </c>
    </row>
    <row r="3068" spans="1:6" ht="60" x14ac:dyDescent="0.25">
      <c r="A3068" s="8" t="s">
        <v>125</v>
      </c>
      <c r="B3068" s="8" t="s">
        <v>159</v>
      </c>
      <c r="C3068" s="8" t="str">
        <f>IFERROR(_xlfn.XLOOKUP(TRIM(B3068),Lookup!$B$2:$B$1000,Lookup!$C$2:$C$1000),"")</f>
        <v>Equity</v>
      </c>
      <c r="D3068" s="8" t="str">
        <f>IFERROR(INDEX('nav master'!$C:$C, MATCH(B3068, 'nav master'!$B:$B, 0)), "")</f>
        <v>ULIF08219/09/25TopMF500Fd101</v>
      </c>
      <c r="E3068" s="8" t="s">
        <v>644</v>
      </c>
      <c r="F3068" s="8" t="s">
        <v>3356</v>
      </c>
    </row>
    <row r="3069" spans="1:6" ht="60" x14ac:dyDescent="0.25">
      <c r="A3069" s="8" t="s">
        <v>125</v>
      </c>
      <c r="B3069" s="8" t="s">
        <v>159</v>
      </c>
      <c r="C3069" s="8" t="str">
        <f>IFERROR(_xlfn.XLOOKUP(TRIM(B3069),Lookup!$B$2:$B$1000,Lookup!$C$2:$C$1000),"")</f>
        <v>Equity</v>
      </c>
      <c r="D3069" s="8" t="str">
        <f>IFERROR(INDEX('nav master'!$C:$C, MATCH(B3069, 'nav master'!$B:$B, 0)), "")</f>
        <v>ULIF08219/09/25TopMF500Fd101</v>
      </c>
      <c r="E3069" s="8" t="s">
        <v>646</v>
      </c>
      <c r="F3069" s="8" t="s">
        <v>3357</v>
      </c>
    </row>
    <row r="3070" spans="1:6" ht="60" x14ac:dyDescent="0.25">
      <c r="A3070" s="8" t="s">
        <v>125</v>
      </c>
      <c r="B3070" s="8" t="s">
        <v>159</v>
      </c>
      <c r="C3070" s="8" t="str">
        <f>IFERROR(_xlfn.XLOOKUP(TRIM(B3070),Lookup!$B$2:$B$1000,Lookup!$C$2:$C$1000),"")</f>
        <v>Equity</v>
      </c>
      <c r="D3070" s="8" t="str">
        <f>IFERROR(INDEX('nav master'!$C:$C, MATCH(B3070, 'nav master'!$B:$B, 0)), "")</f>
        <v>ULIF08219/09/25TopMF500Fd101</v>
      </c>
      <c r="E3070" s="8" t="s">
        <v>648</v>
      </c>
      <c r="F3070" s="8" t="s">
        <v>3358</v>
      </c>
    </row>
    <row r="3071" spans="1:6" ht="60" x14ac:dyDescent="0.25">
      <c r="A3071" s="8" t="s">
        <v>125</v>
      </c>
      <c r="B3071" s="8" t="s">
        <v>159</v>
      </c>
      <c r="C3071" s="8" t="str">
        <f>IFERROR(_xlfn.XLOOKUP(TRIM(B3071),Lookup!$B$2:$B$1000,Lookup!$C$2:$C$1000),"")</f>
        <v>Equity</v>
      </c>
      <c r="D3071" s="8" t="str">
        <f>IFERROR(INDEX('nav master'!$C:$C, MATCH(B3071, 'nav master'!$B:$B, 0)), "")</f>
        <v>ULIF08219/09/25TopMF500Fd101</v>
      </c>
      <c r="E3071" s="8" t="s">
        <v>650</v>
      </c>
      <c r="F3071" s="8" t="s">
        <v>3353</v>
      </c>
    </row>
    <row r="3072" spans="1:6" ht="60" x14ac:dyDescent="0.25">
      <c r="A3072" s="8" t="s">
        <v>125</v>
      </c>
      <c r="B3072" s="8" t="s">
        <v>159</v>
      </c>
      <c r="C3072" s="8" t="str">
        <f>IFERROR(_xlfn.XLOOKUP(TRIM(B3072),Lookup!$B$2:$B$1000,Lookup!$C$2:$C$1000),"")</f>
        <v>Equity</v>
      </c>
      <c r="D3072" s="8" t="str">
        <f>IFERROR(INDEX('nav master'!$C:$C, MATCH(B3072, 'nav master'!$B:$B, 0)), "")</f>
        <v>ULIF08219/09/25TopMF500Fd101</v>
      </c>
      <c r="E3072" s="8" t="s">
        <v>652</v>
      </c>
      <c r="F3072" s="8" t="s">
        <v>3359</v>
      </c>
    </row>
    <row r="3073" spans="1:6" ht="60" x14ac:dyDescent="0.25">
      <c r="A3073" s="8" t="s">
        <v>125</v>
      </c>
      <c r="B3073" s="8" t="s">
        <v>159</v>
      </c>
      <c r="C3073" s="8" t="str">
        <f>IFERROR(_xlfn.XLOOKUP(TRIM(B3073),Lookup!$B$2:$B$1000,Lookup!$C$2:$C$1000),"")</f>
        <v>Equity</v>
      </c>
      <c r="D3073" s="8" t="str">
        <f>IFERROR(INDEX('nav master'!$C:$C, MATCH(B3073, 'nav master'!$B:$B, 0)), "")</f>
        <v>ULIF08219/09/25TopMF500Fd101</v>
      </c>
      <c r="E3073" s="8" t="s">
        <v>654</v>
      </c>
      <c r="F3073" s="8" t="s">
        <v>3360</v>
      </c>
    </row>
    <row r="3074" spans="1:6" ht="60" x14ac:dyDescent="0.25">
      <c r="A3074" s="8" t="s">
        <v>125</v>
      </c>
      <c r="B3074" s="8" t="s">
        <v>159</v>
      </c>
      <c r="C3074" s="8" t="str">
        <f>IFERROR(_xlfn.XLOOKUP(TRIM(B3074),Lookup!$B$2:$B$1000,Lookup!$C$2:$C$1000),"")</f>
        <v>Equity</v>
      </c>
      <c r="D3074" s="8" t="str">
        <f>IFERROR(INDEX('nav master'!$C:$C, MATCH(B3074, 'nav master'!$B:$B, 0)), "")</f>
        <v>ULIF08219/09/25TopMF500Fd101</v>
      </c>
      <c r="E3074" s="8" t="s">
        <v>656</v>
      </c>
      <c r="F3074" s="8" t="s">
        <v>3361</v>
      </c>
    </row>
    <row r="3075" spans="1:6" ht="60" x14ac:dyDescent="0.25">
      <c r="A3075" s="8" t="s">
        <v>125</v>
      </c>
      <c r="B3075" s="8" t="s">
        <v>159</v>
      </c>
      <c r="C3075" s="8" t="str">
        <f>IFERROR(_xlfn.XLOOKUP(TRIM(B3075),Lookup!$B$2:$B$1000,Lookup!$C$2:$C$1000),"")</f>
        <v>Equity</v>
      </c>
      <c r="D3075" s="8" t="str">
        <f>IFERROR(INDEX('nav master'!$C:$C, MATCH(B3075, 'nav master'!$B:$B, 0)), "")</f>
        <v>ULIF08219/09/25TopMF500Fd101</v>
      </c>
      <c r="E3075" s="8" t="s">
        <v>658</v>
      </c>
      <c r="F3075" s="8" t="s">
        <v>1649</v>
      </c>
    </row>
    <row r="3076" spans="1:6" ht="60" x14ac:dyDescent="0.25">
      <c r="A3076" s="8" t="s">
        <v>125</v>
      </c>
      <c r="B3076" s="8" t="s">
        <v>159</v>
      </c>
      <c r="C3076" s="8" t="str">
        <f>IFERROR(_xlfn.XLOOKUP(TRIM(B3076),Lookup!$B$2:$B$1000,Lookup!$C$2:$C$1000),"")</f>
        <v>Equity</v>
      </c>
      <c r="D3076" s="8" t="str">
        <f>IFERROR(INDEX('nav master'!$C:$C, MATCH(B3076, 'nav master'!$B:$B, 0)), "")</f>
        <v>ULIF08219/09/25TopMF500Fd101</v>
      </c>
      <c r="E3076" s="8" t="s">
        <v>660</v>
      </c>
      <c r="F3076" s="8" t="s">
        <v>3362</v>
      </c>
    </row>
    <row r="3077" spans="1:6" ht="60" x14ac:dyDescent="0.25">
      <c r="A3077" s="8" t="s">
        <v>125</v>
      </c>
      <c r="B3077" s="8" t="s">
        <v>159</v>
      </c>
      <c r="C3077" s="8" t="str">
        <f>IFERROR(_xlfn.XLOOKUP(TRIM(B3077),Lookup!$B$2:$B$1000,Lookup!$C$2:$C$1000),"")</f>
        <v>Equity</v>
      </c>
      <c r="D3077" s="8" t="str">
        <f>IFERROR(INDEX('nav master'!$C:$C, MATCH(B3077, 'nav master'!$B:$B, 0)), "")</f>
        <v>ULIF08219/09/25TopMF500Fd101</v>
      </c>
      <c r="E3077" s="8" t="s">
        <v>662</v>
      </c>
      <c r="F3077" s="8" t="s">
        <v>3363</v>
      </c>
    </row>
    <row r="3078" spans="1:6" ht="60" x14ac:dyDescent="0.25">
      <c r="A3078" s="8" t="s">
        <v>125</v>
      </c>
      <c r="B3078" s="8" t="s">
        <v>159</v>
      </c>
      <c r="C3078" s="8" t="str">
        <f>IFERROR(_xlfn.XLOOKUP(TRIM(B3078),Lookup!$B$2:$B$1000,Lookup!$C$2:$C$1000),"")</f>
        <v>Equity</v>
      </c>
      <c r="D3078" s="8" t="str">
        <f>IFERROR(INDEX('nav master'!$C:$C, MATCH(B3078, 'nav master'!$B:$B, 0)), "")</f>
        <v>ULIF08219/09/25TopMF500Fd101</v>
      </c>
      <c r="E3078" s="8" t="s">
        <v>664</v>
      </c>
      <c r="F3078" s="8" t="s">
        <v>3364</v>
      </c>
    </row>
    <row r="3079" spans="1:6" ht="60" x14ac:dyDescent="0.25">
      <c r="A3079" s="8" t="s">
        <v>125</v>
      </c>
      <c r="B3079" s="8" t="s">
        <v>159</v>
      </c>
      <c r="C3079" s="8" t="str">
        <f>IFERROR(_xlfn.XLOOKUP(TRIM(B3079),Lookup!$B$2:$B$1000,Lookup!$C$2:$C$1000),"")</f>
        <v>Equity</v>
      </c>
      <c r="D3079" s="8" t="str">
        <f>IFERROR(INDEX('nav master'!$C:$C, MATCH(B3079, 'nav master'!$B:$B, 0)), "")</f>
        <v>ULIF08219/09/25TopMF500Fd101</v>
      </c>
      <c r="E3079" s="8" t="s">
        <v>4892</v>
      </c>
      <c r="F3079" s="8" t="s">
        <v>4992</v>
      </c>
    </row>
    <row r="3080" spans="1:6" ht="60" x14ac:dyDescent="0.25">
      <c r="A3080" s="8" t="s">
        <v>125</v>
      </c>
      <c r="B3080" s="8" t="s">
        <v>159</v>
      </c>
      <c r="C3080" s="8" t="str">
        <f>IFERROR(_xlfn.XLOOKUP(TRIM(B3080),Lookup!$B$2:$B$1000,Lookup!$C$2:$C$1000),"")</f>
        <v>Equity</v>
      </c>
      <c r="D3080" s="8" t="str">
        <f>IFERROR(INDEX('nav master'!$C:$C, MATCH(B3080, 'nav master'!$B:$B, 0)), "")</f>
        <v>ULIF08219/09/25TopMF500Fd101</v>
      </c>
      <c r="E3080" s="8" t="s">
        <v>4894</v>
      </c>
      <c r="F3080" s="8" t="s">
        <v>4993</v>
      </c>
    </row>
    <row r="3081" spans="1:6" ht="60" x14ac:dyDescent="0.25">
      <c r="A3081" s="8" t="s">
        <v>125</v>
      </c>
      <c r="B3081" s="8" t="s">
        <v>159</v>
      </c>
      <c r="C3081" s="8" t="str">
        <f>IFERROR(_xlfn.XLOOKUP(TRIM(B3081),Lookup!$B$2:$B$1000,Lookup!$C$2:$C$1000),"")</f>
        <v>Equity</v>
      </c>
      <c r="D3081" s="8" t="str">
        <f>IFERROR(INDEX('nav master'!$C:$C, MATCH(B3081, 'nav master'!$B:$B, 0)), "")</f>
        <v>ULIF08219/09/25TopMF500Fd101</v>
      </c>
      <c r="E3081" s="8" t="s">
        <v>4896</v>
      </c>
      <c r="F3081" s="8" t="s">
        <v>2991</v>
      </c>
    </row>
    <row r="3082" spans="1:6" ht="60" x14ac:dyDescent="0.25">
      <c r="A3082" s="8" t="s">
        <v>125</v>
      </c>
      <c r="B3082" s="8" t="s">
        <v>159</v>
      </c>
      <c r="C3082" s="8" t="str">
        <f>IFERROR(_xlfn.XLOOKUP(TRIM(B3082),Lookup!$B$2:$B$1000,Lookup!$C$2:$C$1000),"")</f>
        <v>Equity</v>
      </c>
      <c r="D3082" s="8" t="str">
        <f>IFERROR(INDEX('nav master'!$C:$C, MATCH(B3082, 'nav master'!$B:$B, 0)), "")</f>
        <v>ULIF08219/09/25TopMF500Fd101</v>
      </c>
      <c r="E3082" s="8" t="s">
        <v>4898</v>
      </c>
      <c r="F3082" s="8" t="s">
        <v>4994</v>
      </c>
    </row>
    <row r="3083" spans="1:6" ht="60" x14ac:dyDescent="0.25">
      <c r="A3083" s="8" t="s">
        <v>125</v>
      </c>
      <c r="B3083" s="8" t="s">
        <v>159</v>
      </c>
      <c r="C3083" s="8" t="str">
        <f>IFERROR(_xlfn.XLOOKUP(TRIM(B3083),Lookup!$B$2:$B$1000,Lookup!$C$2:$C$1000),"")</f>
        <v>Equity</v>
      </c>
      <c r="D3083" s="8" t="str">
        <f>IFERROR(INDEX('nav master'!$C:$C, MATCH(B3083, 'nav master'!$B:$B, 0)), "")</f>
        <v>ULIF08219/09/25TopMF500Fd101</v>
      </c>
      <c r="E3083" s="8" t="s">
        <v>4900</v>
      </c>
      <c r="F3083" s="8" t="s">
        <v>4995</v>
      </c>
    </row>
    <row r="3084" spans="1:6" ht="60" x14ac:dyDescent="0.25">
      <c r="A3084" s="8" t="s">
        <v>125</v>
      </c>
      <c r="B3084" s="8" t="s">
        <v>159</v>
      </c>
      <c r="C3084" s="8" t="str">
        <f>IFERROR(_xlfn.XLOOKUP(TRIM(B3084),Lookup!$B$2:$B$1000,Lookup!$C$2:$C$1000),"")</f>
        <v>Equity</v>
      </c>
      <c r="D3084" s="8" t="str">
        <f>IFERROR(INDEX('nav master'!$C:$C, MATCH(B3084, 'nav master'!$B:$B, 0)), "")</f>
        <v>ULIF08219/09/25TopMF500Fd101</v>
      </c>
      <c r="E3084" s="8" t="s">
        <v>4902</v>
      </c>
      <c r="F3084" s="8" t="s">
        <v>4996</v>
      </c>
    </row>
    <row r="3085" spans="1:6" ht="60" x14ac:dyDescent="0.25">
      <c r="A3085" s="8" t="s">
        <v>125</v>
      </c>
      <c r="B3085" s="8" t="s">
        <v>159</v>
      </c>
      <c r="C3085" s="8" t="str">
        <f>IFERROR(_xlfn.XLOOKUP(TRIM(B3085),Lookup!$B$2:$B$1000,Lookup!$C$2:$C$1000),"")</f>
        <v>Equity</v>
      </c>
      <c r="D3085" s="8" t="str">
        <f>IFERROR(INDEX('nav master'!$C:$C, MATCH(B3085, 'nav master'!$B:$B, 0)), "")</f>
        <v>ULIF08219/09/25TopMF500Fd101</v>
      </c>
      <c r="E3085" s="8" t="s">
        <v>4903</v>
      </c>
      <c r="F3085" s="8" t="s">
        <v>2938</v>
      </c>
    </row>
    <row r="3086" spans="1:6" ht="60" x14ac:dyDescent="0.25">
      <c r="A3086" s="8" t="s">
        <v>125</v>
      </c>
      <c r="B3086" s="8" t="s">
        <v>159</v>
      </c>
      <c r="C3086" s="8" t="str">
        <f>IFERROR(_xlfn.XLOOKUP(TRIM(B3086),Lookup!$B$2:$B$1000,Lookup!$C$2:$C$1000),"")</f>
        <v>Equity</v>
      </c>
      <c r="D3086" s="8" t="str">
        <f>IFERROR(INDEX('nav master'!$C:$C, MATCH(B3086, 'nav master'!$B:$B, 0)), "")</f>
        <v>ULIF08219/09/25TopMF500Fd101</v>
      </c>
      <c r="E3086" s="8" t="s">
        <v>4905</v>
      </c>
      <c r="F3086" s="8" t="s">
        <v>4997</v>
      </c>
    </row>
    <row r="3087" spans="1:6" ht="90" x14ac:dyDescent="0.25">
      <c r="A3087" s="8" t="s">
        <v>125</v>
      </c>
      <c r="B3087" s="8" t="s">
        <v>163</v>
      </c>
      <c r="C3087" s="8" t="str">
        <f>IFERROR(_xlfn.XLOOKUP(TRIM(B3087),Lookup!$B$2:$B$1000,Lookup!$C$2:$C$1000),"")</f>
        <v>Equity</v>
      </c>
      <c r="D3087" s="8" t="str">
        <f>IFERROR(INDEX('nav master'!$C:$C, MATCH(B3087, 'nav master'!$B:$B, 0)), "")</f>
        <v>ULIF08602/03/26InSctrLdrFd101</v>
      </c>
      <c r="E3087" s="8" t="s">
        <v>494</v>
      </c>
      <c r="F3087" s="8" t="s">
        <v>1603</v>
      </c>
    </row>
    <row r="3088" spans="1:6" ht="90" x14ac:dyDescent="0.25">
      <c r="A3088" s="8" t="s">
        <v>125</v>
      </c>
      <c r="B3088" s="8" t="s">
        <v>163</v>
      </c>
      <c r="C3088" s="8" t="str">
        <f>IFERROR(_xlfn.XLOOKUP(TRIM(B3088),Lookup!$B$2:$B$1000,Lookup!$C$2:$C$1000),"")</f>
        <v>Equity</v>
      </c>
      <c r="D3088" s="8" t="str">
        <f>IFERROR(INDEX('nav master'!$C:$C, MATCH(B3088, 'nav master'!$B:$B, 0)), "")</f>
        <v>ULIF08602/03/26InSctrLdrFd101</v>
      </c>
      <c r="E3088" s="8" t="s">
        <v>496</v>
      </c>
      <c r="F3088" s="8" t="s">
        <v>3365</v>
      </c>
    </row>
    <row r="3089" spans="1:6" ht="90" x14ac:dyDescent="0.25">
      <c r="A3089" s="8" t="s">
        <v>125</v>
      </c>
      <c r="B3089" s="8" t="s">
        <v>163</v>
      </c>
      <c r="C3089" s="8" t="str">
        <f>IFERROR(_xlfn.XLOOKUP(TRIM(B3089),Lookup!$B$2:$B$1000,Lookup!$C$2:$C$1000),"")</f>
        <v>Equity</v>
      </c>
      <c r="D3089" s="8" t="str">
        <f>IFERROR(INDEX('nav master'!$C:$C, MATCH(B3089, 'nav master'!$B:$B, 0)), "")</f>
        <v>ULIF08602/03/26InSctrLdrFd101</v>
      </c>
      <c r="E3089" s="8" t="s">
        <v>498</v>
      </c>
      <c r="F3089" s="8" t="s">
        <v>3366</v>
      </c>
    </row>
    <row r="3090" spans="1:6" ht="90" x14ac:dyDescent="0.25">
      <c r="A3090" s="8" t="s">
        <v>125</v>
      </c>
      <c r="B3090" s="8" t="s">
        <v>163</v>
      </c>
      <c r="C3090" s="8" t="str">
        <f>IFERROR(_xlfn.XLOOKUP(TRIM(B3090),Lookup!$B$2:$B$1000,Lookup!$C$2:$C$1000),"")</f>
        <v>Equity</v>
      </c>
      <c r="D3090" s="8" t="str">
        <f>IFERROR(INDEX('nav master'!$C:$C, MATCH(B3090, 'nav master'!$B:$B, 0)), "")</f>
        <v>ULIF08602/03/26InSctrLdrFd101</v>
      </c>
      <c r="E3090" s="8" t="s">
        <v>500</v>
      </c>
      <c r="F3090" s="8" t="s">
        <v>2972</v>
      </c>
    </row>
    <row r="3091" spans="1:6" ht="90" x14ac:dyDescent="0.25">
      <c r="A3091" s="8" t="s">
        <v>125</v>
      </c>
      <c r="B3091" s="8" t="s">
        <v>163</v>
      </c>
      <c r="C3091" s="8" t="str">
        <f>IFERROR(_xlfn.XLOOKUP(TRIM(B3091),Lookup!$B$2:$B$1000,Lookup!$C$2:$C$1000),"")</f>
        <v>Equity</v>
      </c>
      <c r="D3091" s="8" t="str">
        <f>IFERROR(INDEX('nav master'!$C:$C, MATCH(B3091, 'nav master'!$B:$B, 0)), "")</f>
        <v>ULIF08602/03/26InSctrLdrFd101</v>
      </c>
      <c r="E3091" s="8" t="s">
        <v>502</v>
      </c>
      <c r="F3091" s="8" t="s">
        <v>3367</v>
      </c>
    </row>
    <row r="3092" spans="1:6" ht="90" x14ac:dyDescent="0.25">
      <c r="A3092" s="8" t="s">
        <v>125</v>
      </c>
      <c r="B3092" s="8" t="s">
        <v>163</v>
      </c>
      <c r="C3092" s="8" t="str">
        <f>IFERROR(_xlfn.XLOOKUP(TRIM(B3092),Lookup!$B$2:$B$1000,Lookup!$C$2:$C$1000),"")</f>
        <v>Equity</v>
      </c>
      <c r="D3092" s="8" t="str">
        <f>IFERROR(INDEX('nav master'!$C:$C, MATCH(B3092, 'nav master'!$B:$B, 0)), "")</f>
        <v>ULIF08602/03/26InSctrLdrFd101</v>
      </c>
      <c r="E3092" s="8" t="s">
        <v>504</v>
      </c>
      <c r="F3092" s="8" t="s">
        <v>3368</v>
      </c>
    </row>
    <row r="3093" spans="1:6" ht="90" x14ac:dyDescent="0.25">
      <c r="A3093" s="8" t="s">
        <v>125</v>
      </c>
      <c r="B3093" s="8" t="s">
        <v>163</v>
      </c>
      <c r="C3093" s="8" t="str">
        <f>IFERROR(_xlfn.XLOOKUP(TRIM(B3093),Lookup!$B$2:$B$1000,Lookup!$C$2:$C$1000),"")</f>
        <v>Equity</v>
      </c>
      <c r="D3093" s="8" t="str">
        <f>IFERROR(INDEX('nav master'!$C:$C, MATCH(B3093, 'nav master'!$B:$B, 0)), "")</f>
        <v>ULIF08602/03/26InSctrLdrFd101</v>
      </c>
      <c r="E3093" s="8" t="s">
        <v>506</v>
      </c>
      <c r="F3093" s="8" t="s">
        <v>3369</v>
      </c>
    </row>
    <row r="3094" spans="1:6" ht="90" x14ac:dyDescent="0.25">
      <c r="A3094" s="8" t="s">
        <v>125</v>
      </c>
      <c r="B3094" s="8" t="s">
        <v>163</v>
      </c>
      <c r="C3094" s="8" t="str">
        <f>IFERROR(_xlfn.XLOOKUP(TRIM(B3094),Lookup!$B$2:$B$1000,Lookup!$C$2:$C$1000),"")</f>
        <v>Equity</v>
      </c>
      <c r="D3094" s="8" t="str">
        <f>IFERROR(INDEX('nav master'!$C:$C, MATCH(B3094, 'nav master'!$B:$B, 0)), "")</f>
        <v>ULIF08602/03/26InSctrLdrFd101</v>
      </c>
      <c r="E3094" s="8" t="s">
        <v>508</v>
      </c>
      <c r="F3094" s="8" t="s">
        <v>3370</v>
      </c>
    </row>
    <row r="3095" spans="1:6" ht="90" x14ac:dyDescent="0.25">
      <c r="A3095" s="8" t="s">
        <v>125</v>
      </c>
      <c r="B3095" s="8" t="s">
        <v>163</v>
      </c>
      <c r="C3095" s="8" t="str">
        <f>IFERROR(_xlfn.XLOOKUP(TRIM(B3095),Lookup!$B$2:$B$1000,Lookup!$C$2:$C$1000),"")</f>
        <v>Equity</v>
      </c>
      <c r="D3095" s="8" t="str">
        <f>IFERROR(INDEX('nav master'!$C:$C, MATCH(B3095, 'nav master'!$B:$B, 0)), "")</f>
        <v>ULIF08602/03/26InSctrLdrFd101</v>
      </c>
      <c r="E3095" s="8" t="s">
        <v>510</v>
      </c>
      <c r="F3095" s="8" t="s">
        <v>3371</v>
      </c>
    </row>
    <row r="3096" spans="1:6" ht="90" x14ac:dyDescent="0.25">
      <c r="A3096" s="8" t="s">
        <v>125</v>
      </c>
      <c r="B3096" s="8" t="s">
        <v>163</v>
      </c>
      <c r="C3096" s="8" t="str">
        <f>IFERROR(_xlfn.XLOOKUP(TRIM(B3096),Lookup!$B$2:$B$1000,Lookup!$C$2:$C$1000),"")</f>
        <v>Equity</v>
      </c>
      <c r="D3096" s="8" t="str">
        <f>IFERROR(INDEX('nav master'!$C:$C, MATCH(B3096, 'nav master'!$B:$B, 0)), "")</f>
        <v>ULIF08602/03/26InSctrLdrFd101</v>
      </c>
      <c r="E3096" s="8" t="s">
        <v>512</v>
      </c>
      <c r="F3096" s="8" t="s">
        <v>3372</v>
      </c>
    </row>
    <row r="3097" spans="1:6" ht="90" x14ac:dyDescent="0.25">
      <c r="A3097" s="8" t="s">
        <v>125</v>
      </c>
      <c r="B3097" s="8" t="s">
        <v>163</v>
      </c>
      <c r="C3097" s="8" t="str">
        <f>IFERROR(_xlfn.XLOOKUP(TRIM(B3097),Lookup!$B$2:$B$1000,Lookup!$C$2:$C$1000),"")</f>
        <v>Equity</v>
      </c>
      <c r="D3097" s="8" t="str">
        <f>IFERROR(INDEX('nav master'!$C:$C, MATCH(B3097, 'nav master'!$B:$B, 0)), "")</f>
        <v>ULIF08602/03/26InSctrLdrFd101</v>
      </c>
      <c r="E3097" s="8" t="s">
        <v>514</v>
      </c>
      <c r="F3097" s="8" t="s">
        <v>3373</v>
      </c>
    </row>
    <row r="3098" spans="1:6" ht="90" x14ac:dyDescent="0.25">
      <c r="A3098" s="8" t="s">
        <v>125</v>
      </c>
      <c r="B3098" s="8" t="s">
        <v>163</v>
      </c>
      <c r="C3098" s="8" t="str">
        <f>IFERROR(_xlfn.XLOOKUP(TRIM(B3098),Lookup!$B$2:$B$1000,Lookup!$C$2:$C$1000),"")</f>
        <v>Equity</v>
      </c>
      <c r="D3098" s="8" t="str">
        <f>IFERROR(INDEX('nav master'!$C:$C, MATCH(B3098, 'nav master'!$B:$B, 0)), "")</f>
        <v>ULIF08602/03/26InSctrLdrFd101</v>
      </c>
      <c r="E3098" s="8" t="s">
        <v>516</v>
      </c>
      <c r="F3098" s="8" t="s">
        <v>3374</v>
      </c>
    </row>
    <row r="3099" spans="1:6" ht="90" x14ac:dyDescent="0.25">
      <c r="A3099" s="8" t="s">
        <v>125</v>
      </c>
      <c r="B3099" s="8" t="s">
        <v>163</v>
      </c>
      <c r="C3099" s="8" t="str">
        <f>IFERROR(_xlfn.XLOOKUP(TRIM(B3099),Lookup!$B$2:$B$1000,Lookup!$C$2:$C$1000),"")</f>
        <v>Equity</v>
      </c>
      <c r="D3099" s="8" t="str">
        <f>IFERROR(INDEX('nav master'!$C:$C, MATCH(B3099, 'nav master'!$B:$B, 0)), "")</f>
        <v>ULIF08602/03/26InSctrLdrFd101</v>
      </c>
      <c r="E3099" s="8" t="s">
        <v>518</v>
      </c>
      <c r="F3099" s="8" t="s">
        <v>3375</v>
      </c>
    </row>
    <row r="3100" spans="1:6" ht="90" x14ac:dyDescent="0.25">
      <c r="A3100" s="8" t="s">
        <v>125</v>
      </c>
      <c r="B3100" s="8" t="s">
        <v>163</v>
      </c>
      <c r="C3100" s="8" t="str">
        <f>IFERROR(_xlfn.XLOOKUP(TRIM(B3100),Lookup!$B$2:$B$1000,Lookup!$C$2:$C$1000),"")</f>
        <v>Equity</v>
      </c>
      <c r="D3100" s="8" t="str">
        <f>IFERROR(INDEX('nav master'!$C:$C, MATCH(B3100, 'nav master'!$B:$B, 0)), "")</f>
        <v>ULIF08602/03/26InSctrLdrFd101</v>
      </c>
      <c r="E3100" s="8" t="s">
        <v>520</v>
      </c>
      <c r="F3100" s="8" t="s">
        <v>3376</v>
      </c>
    </row>
    <row r="3101" spans="1:6" ht="90" x14ac:dyDescent="0.25">
      <c r="A3101" s="8" t="s">
        <v>125</v>
      </c>
      <c r="B3101" s="8" t="s">
        <v>163</v>
      </c>
      <c r="C3101" s="8" t="str">
        <f>IFERROR(_xlfn.XLOOKUP(TRIM(B3101),Lookup!$B$2:$B$1000,Lookup!$C$2:$C$1000),"")</f>
        <v>Equity</v>
      </c>
      <c r="D3101" s="8" t="str">
        <f>IFERROR(INDEX('nav master'!$C:$C, MATCH(B3101, 'nav master'!$B:$B, 0)), "")</f>
        <v>ULIF08602/03/26InSctrLdrFd101</v>
      </c>
      <c r="E3101" s="8" t="s">
        <v>522</v>
      </c>
      <c r="F3101" s="8" t="s">
        <v>3377</v>
      </c>
    </row>
    <row r="3102" spans="1:6" ht="90" x14ac:dyDescent="0.25">
      <c r="A3102" s="8" t="s">
        <v>125</v>
      </c>
      <c r="B3102" s="8" t="s">
        <v>163</v>
      </c>
      <c r="C3102" s="8" t="str">
        <f>IFERROR(_xlfn.XLOOKUP(TRIM(B3102),Lookup!$B$2:$B$1000,Lookup!$C$2:$C$1000),"")</f>
        <v>Equity</v>
      </c>
      <c r="D3102" s="8" t="str">
        <f>IFERROR(INDEX('nav master'!$C:$C, MATCH(B3102, 'nav master'!$B:$B, 0)), "")</f>
        <v>ULIF08602/03/26InSctrLdrFd101</v>
      </c>
      <c r="E3102" s="8" t="s">
        <v>524</v>
      </c>
      <c r="F3102" s="8" t="s">
        <v>3378</v>
      </c>
    </row>
    <row r="3103" spans="1:6" ht="90" x14ac:dyDescent="0.25">
      <c r="A3103" s="8" t="s">
        <v>125</v>
      </c>
      <c r="B3103" s="8" t="s">
        <v>163</v>
      </c>
      <c r="C3103" s="8" t="str">
        <f>IFERROR(_xlfn.XLOOKUP(TRIM(B3103),Lookup!$B$2:$B$1000,Lookup!$C$2:$C$1000),"")</f>
        <v>Equity</v>
      </c>
      <c r="D3103" s="8" t="str">
        <f>IFERROR(INDEX('nav master'!$C:$C, MATCH(B3103, 'nav master'!$B:$B, 0)), "")</f>
        <v>ULIF08602/03/26InSctrLdrFd101</v>
      </c>
      <c r="E3103" s="8" t="s">
        <v>526</v>
      </c>
      <c r="F3103" s="8" t="s">
        <v>3379</v>
      </c>
    </row>
    <row r="3104" spans="1:6" ht="90" x14ac:dyDescent="0.25">
      <c r="A3104" s="8" t="s">
        <v>125</v>
      </c>
      <c r="B3104" s="8" t="s">
        <v>163</v>
      </c>
      <c r="C3104" s="8" t="str">
        <f>IFERROR(_xlfn.XLOOKUP(TRIM(B3104),Lookup!$B$2:$B$1000,Lookup!$C$2:$C$1000),"")</f>
        <v>Equity</v>
      </c>
      <c r="D3104" s="8" t="str">
        <f>IFERROR(INDEX('nav master'!$C:$C, MATCH(B3104, 'nav master'!$B:$B, 0)), "")</f>
        <v>ULIF08602/03/26InSctrLdrFd101</v>
      </c>
      <c r="E3104" s="8" t="s">
        <v>528</v>
      </c>
      <c r="F3104" s="8" t="s">
        <v>3380</v>
      </c>
    </row>
    <row r="3105" spans="1:6" ht="90" x14ac:dyDescent="0.25">
      <c r="A3105" s="8" t="s">
        <v>125</v>
      </c>
      <c r="B3105" s="8" t="s">
        <v>163</v>
      </c>
      <c r="C3105" s="8" t="str">
        <f>IFERROR(_xlfn.XLOOKUP(TRIM(B3105),Lookup!$B$2:$B$1000,Lookup!$C$2:$C$1000),"")</f>
        <v>Equity</v>
      </c>
      <c r="D3105" s="8" t="str">
        <f>IFERROR(INDEX('nav master'!$C:$C, MATCH(B3105, 'nav master'!$B:$B, 0)), "")</f>
        <v>ULIF08602/03/26InSctrLdrFd101</v>
      </c>
      <c r="E3105" s="8" t="s">
        <v>530</v>
      </c>
      <c r="F3105" s="8" t="s">
        <v>3381</v>
      </c>
    </row>
    <row r="3106" spans="1:6" ht="90" x14ac:dyDescent="0.25">
      <c r="A3106" s="8" t="s">
        <v>125</v>
      </c>
      <c r="B3106" s="8" t="s">
        <v>163</v>
      </c>
      <c r="C3106" s="8" t="str">
        <f>IFERROR(_xlfn.XLOOKUP(TRIM(B3106),Lookup!$B$2:$B$1000,Lookup!$C$2:$C$1000),"")</f>
        <v>Equity</v>
      </c>
      <c r="D3106" s="8" t="str">
        <f>IFERROR(INDEX('nav master'!$C:$C, MATCH(B3106, 'nav master'!$B:$B, 0)), "")</f>
        <v>ULIF08602/03/26InSctrLdrFd101</v>
      </c>
      <c r="E3106" s="8" t="s">
        <v>532</v>
      </c>
      <c r="F3106" s="8" t="s">
        <v>3382</v>
      </c>
    </row>
    <row r="3107" spans="1:6" ht="90" x14ac:dyDescent="0.25">
      <c r="A3107" s="8" t="s">
        <v>125</v>
      </c>
      <c r="B3107" s="8" t="s">
        <v>163</v>
      </c>
      <c r="C3107" s="8" t="str">
        <f>IFERROR(_xlfn.XLOOKUP(TRIM(B3107),Lookup!$B$2:$B$1000,Lookup!$C$2:$C$1000),"")</f>
        <v>Equity</v>
      </c>
      <c r="D3107" s="8" t="str">
        <f>IFERROR(INDEX('nav master'!$C:$C, MATCH(B3107, 'nav master'!$B:$B, 0)), "")</f>
        <v>ULIF08602/03/26InSctrLdrFd101</v>
      </c>
      <c r="E3107" s="8" t="s">
        <v>534</v>
      </c>
      <c r="F3107" s="8" t="s">
        <v>3383</v>
      </c>
    </row>
    <row r="3108" spans="1:6" ht="90" x14ac:dyDescent="0.25">
      <c r="A3108" s="8" t="s">
        <v>125</v>
      </c>
      <c r="B3108" s="8" t="s">
        <v>163</v>
      </c>
      <c r="C3108" s="8" t="str">
        <f>IFERROR(_xlfn.XLOOKUP(TRIM(B3108),Lookup!$B$2:$B$1000,Lookup!$C$2:$C$1000),"")</f>
        <v>Equity</v>
      </c>
      <c r="D3108" s="8" t="str">
        <f>IFERROR(INDEX('nav master'!$C:$C, MATCH(B3108, 'nav master'!$B:$B, 0)), "")</f>
        <v>ULIF08602/03/26InSctrLdrFd101</v>
      </c>
      <c r="E3108" s="8" t="s">
        <v>536</v>
      </c>
      <c r="F3108" s="8" t="s">
        <v>3384</v>
      </c>
    </row>
    <row r="3109" spans="1:6" ht="90" x14ac:dyDescent="0.25">
      <c r="A3109" s="8" t="s">
        <v>125</v>
      </c>
      <c r="B3109" s="8" t="s">
        <v>163</v>
      </c>
      <c r="C3109" s="8" t="str">
        <f>IFERROR(_xlfn.XLOOKUP(TRIM(B3109),Lookup!$B$2:$B$1000,Lookup!$C$2:$C$1000),"")</f>
        <v>Equity</v>
      </c>
      <c r="D3109" s="8" t="str">
        <f>IFERROR(INDEX('nav master'!$C:$C, MATCH(B3109, 'nav master'!$B:$B, 0)), "")</f>
        <v>ULIF08602/03/26InSctrLdrFd101</v>
      </c>
      <c r="E3109" s="8" t="s">
        <v>538</v>
      </c>
      <c r="F3109" s="8" t="s">
        <v>3385</v>
      </c>
    </row>
    <row r="3110" spans="1:6" ht="90" x14ac:dyDescent="0.25">
      <c r="A3110" s="8" t="s">
        <v>125</v>
      </c>
      <c r="B3110" s="8" t="s">
        <v>163</v>
      </c>
      <c r="C3110" s="8" t="str">
        <f>IFERROR(_xlfn.XLOOKUP(TRIM(B3110),Lookup!$B$2:$B$1000,Lookup!$C$2:$C$1000),"")</f>
        <v>Equity</v>
      </c>
      <c r="D3110" s="8" t="str">
        <f>IFERROR(INDEX('nav master'!$C:$C, MATCH(B3110, 'nav master'!$B:$B, 0)), "")</f>
        <v>ULIF08602/03/26InSctrLdrFd101</v>
      </c>
      <c r="E3110" s="8" t="s">
        <v>540</v>
      </c>
      <c r="F3110" s="8" t="s">
        <v>3386</v>
      </c>
    </row>
    <row r="3111" spans="1:6" ht="90" x14ac:dyDescent="0.25">
      <c r="A3111" s="8" t="s">
        <v>125</v>
      </c>
      <c r="B3111" s="8" t="s">
        <v>163</v>
      </c>
      <c r="C3111" s="8" t="str">
        <f>IFERROR(_xlfn.XLOOKUP(TRIM(B3111),Lookup!$B$2:$B$1000,Lookup!$C$2:$C$1000),"")</f>
        <v>Equity</v>
      </c>
      <c r="D3111" s="8" t="str">
        <f>IFERROR(INDEX('nav master'!$C:$C, MATCH(B3111, 'nav master'!$B:$B, 0)), "")</f>
        <v>ULIF08602/03/26InSctrLdrFd101</v>
      </c>
      <c r="E3111" s="8" t="s">
        <v>542</v>
      </c>
      <c r="F3111" s="8" t="s">
        <v>3387</v>
      </c>
    </row>
    <row r="3112" spans="1:6" ht="90" x14ac:dyDescent="0.25">
      <c r="A3112" s="8" t="s">
        <v>125</v>
      </c>
      <c r="B3112" s="8" t="s">
        <v>163</v>
      </c>
      <c r="C3112" s="8" t="str">
        <f>IFERROR(_xlfn.XLOOKUP(TRIM(B3112),Lookup!$B$2:$B$1000,Lookup!$C$2:$C$1000),"")</f>
        <v>Equity</v>
      </c>
      <c r="D3112" s="8" t="str">
        <f>IFERROR(INDEX('nav master'!$C:$C, MATCH(B3112, 'nav master'!$B:$B, 0)), "")</f>
        <v>ULIF08602/03/26InSctrLdrFd101</v>
      </c>
      <c r="E3112" s="8" t="s">
        <v>544</v>
      </c>
      <c r="F3112" s="8" t="s">
        <v>3388</v>
      </c>
    </row>
    <row r="3113" spans="1:6" ht="90" x14ac:dyDescent="0.25">
      <c r="A3113" s="8" t="s">
        <v>125</v>
      </c>
      <c r="B3113" s="8" t="s">
        <v>163</v>
      </c>
      <c r="C3113" s="8" t="str">
        <f>IFERROR(_xlfn.XLOOKUP(TRIM(B3113),Lookup!$B$2:$B$1000,Lookup!$C$2:$C$1000),"")</f>
        <v>Equity</v>
      </c>
      <c r="D3113" s="8" t="str">
        <f>IFERROR(INDEX('nav master'!$C:$C, MATCH(B3113, 'nav master'!$B:$B, 0)), "")</f>
        <v>ULIF08602/03/26InSctrLdrFd101</v>
      </c>
      <c r="E3113" s="8" t="s">
        <v>546</v>
      </c>
      <c r="F3113" s="8" t="s">
        <v>3389</v>
      </c>
    </row>
    <row r="3114" spans="1:6" ht="90" x14ac:dyDescent="0.25">
      <c r="A3114" s="8" t="s">
        <v>125</v>
      </c>
      <c r="B3114" s="8" t="s">
        <v>163</v>
      </c>
      <c r="C3114" s="8" t="str">
        <f>IFERROR(_xlfn.XLOOKUP(TRIM(B3114),Lookup!$B$2:$B$1000,Lookup!$C$2:$C$1000),"")</f>
        <v>Equity</v>
      </c>
      <c r="D3114" s="8" t="str">
        <f>IFERROR(INDEX('nav master'!$C:$C, MATCH(B3114, 'nav master'!$B:$B, 0)), "")</f>
        <v>ULIF08602/03/26InSctrLdrFd101</v>
      </c>
      <c r="E3114" s="8" t="s">
        <v>548</v>
      </c>
      <c r="F3114" s="8" t="s">
        <v>3390</v>
      </c>
    </row>
    <row r="3115" spans="1:6" ht="90" x14ac:dyDescent="0.25">
      <c r="A3115" s="8" t="s">
        <v>125</v>
      </c>
      <c r="B3115" s="8" t="s">
        <v>163</v>
      </c>
      <c r="C3115" s="8" t="str">
        <f>IFERROR(_xlfn.XLOOKUP(TRIM(B3115),Lookup!$B$2:$B$1000,Lookup!$C$2:$C$1000),"")</f>
        <v>Equity</v>
      </c>
      <c r="D3115" s="8" t="str">
        <f>IFERROR(INDEX('nav master'!$C:$C, MATCH(B3115, 'nav master'!$B:$B, 0)), "")</f>
        <v>ULIF08602/03/26InSctrLdrFd101</v>
      </c>
      <c r="E3115" s="8" t="s">
        <v>550</v>
      </c>
      <c r="F3115" s="8" t="s">
        <v>3391</v>
      </c>
    </row>
    <row r="3116" spans="1:6" ht="90" x14ac:dyDescent="0.25">
      <c r="A3116" s="8" t="s">
        <v>125</v>
      </c>
      <c r="B3116" s="8" t="s">
        <v>163</v>
      </c>
      <c r="C3116" s="8" t="str">
        <f>IFERROR(_xlfn.XLOOKUP(TRIM(B3116),Lookup!$B$2:$B$1000,Lookup!$C$2:$C$1000),"")</f>
        <v>Equity</v>
      </c>
      <c r="D3116" s="8" t="str">
        <f>IFERROR(INDEX('nav master'!$C:$C, MATCH(B3116, 'nav master'!$B:$B, 0)), "")</f>
        <v>ULIF08602/03/26InSctrLdrFd101</v>
      </c>
      <c r="E3116" s="8" t="s">
        <v>552</v>
      </c>
      <c r="F3116" s="8" t="s">
        <v>3392</v>
      </c>
    </row>
    <row r="3117" spans="1:6" ht="90" x14ac:dyDescent="0.25">
      <c r="A3117" s="8" t="s">
        <v>125</v>
      </c>
      <c r="B3117" s="8" t="s">
        <v>163</v>
      </c>
      <c r="C3117" s="8" t="str">
        <f>IFERROR(_xlfn.XLOOKUP(TRIM(B3117),Lookup!$B$2:$B$1000,Lookup!$C$2:$C$1000),"")</f>
        <v>Equity</v>
      </c>
      <c r="D3117" s="8" t="str">
        <f>IFERROR(INDEX('nav master'!$C:$C, MATCH(B3117, 'nav master'!$B:$B, 0)), "")</f>
        <v>ULIF08602/03/26InSctrLdrFd101</v>
      </c>
      <c r="E3117" s="8" t="s">
        <v>554</v>
      </c>
      <c r="F3117" s="8" t="s">
        <v>3393</v>
      </c>
    </row>
    <row r="3118" spans="1:6" ht="90" x14ac:dyDescent="0.25">
      <c r="A3118" s="8" t="s">
        <v>125</v>
      </c>
      <c r="B3118" s="8" t="s">
        <v>163</v>
      </c>
      <c r="C3118" s="8" t="str">
        <f>IFERROR(_xlfn.XLOOKUP(TRIM(B3118),Lookup!$B$2:$B$1000,Lookup!$C$2:$C$1000),"")</f>
        <v>Equity</v>
      </c>
      <c r="D3118" s="8" t="str">
        <f>IFERROR(INDEX('nav master'!$C:$C, MATCH(B3118, 'nav master'!$B:$B, 0)), "")</f>
        <v>ULIF08602/03/26InSctrLdrFd101</v>
      </c>
      <c r="E3118" s="8" t="s">
        <v>556</v>
      </c>
      <c r="F3118" s="8" t="s">
        <v>3394</v>
      </c>
    </row>
    <row r="3119" spans="1:6" ht="90" x14ac:dyDescent="0.25">
      <c r="A3119" s="8" t="s">
        <v>125</v>
      </c>
      <c r="B3119" s="8" t="s">
        <v>163</v>
      </c>
      <c r="C3119" s="8" t="str">
        <f>IFERROR(_xlfn.XLOOKUP(TRIM(B3119),Lookup!$B$2:$B$1000,Lookup!$C$2:$C$1000),"")</f>
        <v>Equity</v>
      </c>
      <c r="D3119" s="8" t="str">
        <f>IFERROR(INDEX('nav master'!$C:$C, MATCH(B3119, 'nav master'!$B:$B, 0)), "")</f>
        <v>ULIF08602/03/26InSctrLdrFd101</v>
      </c>
      <c r="E3119" s="8" t="s">
        <v>558</v>
      </c>
      <c r="F3119" s="8" t="s">
        <v>3395</v>
      </c>
    </row>
    <row r="3120" spans="1:6" ht="90" x14ac:dyDescent="0.25">
      <c r="A3120" s="8" t="s">
        <v>125</v>
      </c>
      <c r="B3120" s="8" t="s">
        <v>163</v>
      </c>
      <c r="C3120" s="8" t="str">
        <f>IFERROR(_xlfn.XLOOKUP(TRIM(B3120),Lookup!$B$2:$B$1000,Lookup!$C$2:$C$1000),"")</f>
        <v>Equity</v>
      </c>
      <c r="D3120" s="8" t="str">
        <f>IFERROR(INDEX('nav master'!$C:$C, MATCH(B3120, 'nav master'!$B:$B, 0)), "")</f>
        <v>ULIF08602/03/26InSctrLdrFd101</v>
      </c>
      <c r="E3120" s="8" t="s">
        <v>560</v>
      </c>
      <c r="F3120" s="8" t="s">
        <v>3396</v>
      </c>
    </row>
    <row r="3121" spans="1:6" ht="90" x14ac:dyDescent="0.25">
      <c r="A3121" s="8" t="s">
        <v>125</v>
      </c>
      <c r="B3121" s="8" t="s">
        <v>163</v>
      </c>
      <c r="C3121" s="8" t="str">
        <f>IFERROR(_xlfn.XLOOKUP(TRIM(B3121),Lookup!$B$2:$B$1000,Lookup!$C$2:$C$1000),"")</f>
        <v>Equity</v>
      </c>
      <c r="D3121" s="8" t="str">
        <f>IFERROR(INDEX('nav master'!$C:$C, MATCH(B3121, 'nav master'!$B:$B, 0)), "")</f>
        <v>ULIF08602/03/26InSctrLdrFd101</v>
      </c>
      <c r="E3121" s="8" t="s">
        <v>562</v>
      </c>
      <c r="F3121" s="8" t="s">
        <v>3397</v>
      </c>
    </row>
    <row r="3122" spans="1:6" ht="90" x14ac:dyDescent="0.25">
      <c r="A3122" s="8" t="s">
        <v>125</v>
      </c>
      <c r="B3122" s="8" t="s">
        <v>163</v>
      </c>
      <c r="C3122" s="8" t="str">
        <f>IFERROR(_xlfn.XLOOKUP(TRIM(B3122),Lookup!$B$2:$B$1000,Lookup!$C$2:$C$1000),"")</f>
        <v>Equity</v>
      </c>
      <c r="D3122" s="8" t="str">
        <f>IFERROR(INDEX('nav master'!$C:$C, MATCH(B3122, 'nav master'!$B:$B, 0)), "")</f>
        <v>ULIF08602/03/26InSctrLdrFd101</v>
      </c>
      <c r="E3122" s="8" t="s">
        <v>564</v>
      </c>
      <c r="F3122" s="8" t="s">
        <v>3398</v>
      </c>
    </row>
    <row r="3123" spans="1:6" ht="90" x14ac:dyDescent="0.25">
      <c r="A3123" s="8" t="s">
        <v>125</v>
      </c>
      <c r="B3123" s="8" t="s">
        <v>163</v>
      </c>
      <c r="C3123" s="8" t="str">
        <f>IFERROR(_xlfn.XLOOKUP(TRIM(B3123),Lookup!$B$2:$B$1000,Lookup!$C$2:$C$1000),"")</f>
        <v>Equity</v>
      </c>
      <c r="D3123" s="8" t="str">
        <f>IFERROR(INDEX('nav master'!$C:$C, MATCH(B3123, 'nav master'!$B:$B, 0)), "")</f>
        <v>ULIF08602/03/26InSctrLdrFd101</v>
      </c>
      <c r="E3123" s="8" t="s">
        <v>566</v>
      </c>
      <c r="F3123" s="8" t="s">
        <v>3399</v>
      </c>
    </row>
    <row r="3124" spans="1:6" ht="90" x14ac:dyDescent="0.25">
      <c r="A3124" s="8" t="s">
        <v>125</v>
      </c>
      <c r="B3124" s="8" t="s">
        <v>163</v>
      </c>
      <c r="C3124" s="8" t="str">
        <f>IFERROR(_xlfn.XLOOKUP(TRIM(B3124),Lookup!$B$2:$B$1000,Lookup!$C$2:$C$1000),"")</f>
        <v>Equity</v>
      </c>
      <c r="D3124" s="8" t="str">
        <f>IFERROR(INDEX('nav master'!$C:$C, MATCH(B3124, 'nav master'!$B:$B, 0)), "")</f>
        <v>ULIF08602/03/26InSctrLdrFd101</v>
      </c>
      <c r="E3124" s="8" t="s">
        <v>568</v>
      </c>
      <c r="F3124" s="8" t="s">
        <v>3400</v>
      </c>
    </row>
    <row r="3125" spans="1:6" ht="90" x14ac:dyDescent="0.25">
      <c r="A3125" s="8" t="s">
        <v>125</v>
      </c>
      <c r="B3125" s="8" t="s">
        <v>163</v>
      </c>
      <c r="C3125" s="8" t="str">
        <f>IFERROR(_xlfn.XLOOKUP(TRIM(B3125),Lookup!$B$2:$B$1000,Lookup!$C$2:$C$1000),"")</f>
        <v>Equity</v>
      </c>
      <c r="D3125" s="8" t="str">
        <f>IFERROR(INDEX('nav master'!$C:$C, MATCH(B3125, 'nav master'!$B:$B, 0)), "")</f>
        <v>ULIF08602/03/26InSctrLdrFd101</v>
      </c>
      <c r="E3125" s="8" t="s">
        <v>570</v>
      </c>
      <c r="F3125" s="8" t="s">
        <v>3401</v>
      </c>
    </row>
    <row r="3126" spans="1:6" ht="90" x14ac:dyDescent="0.25">
      <c r="A3126" s="8" t="s">
        <v>125</v>
      </c>
      <c r="B3126" s="8" t="s">
        <v>163</v>
      </c>
      <c r="C3126" s="8" t="str">
        <f>IFERROR(_xlfn.XLOOKUP(TRIM(B3126),Lookup!$B$2:$B$1000,Lookup!$C$2:$C$1000),"")</f>
        <v>Equity</v>
      </c>
      <c r="D3126" s="8" t="str">
        <f>IFERROR(INDEX('nav master'!$C:$C, MATCH(B3126, 'nav master'!$B:$B, 0)), "")</f>
        <v>ULIF08602/03/26InSctrLdrFd101</v>
      </c>
      <c r="E3126" s="8" t="s">
        <v>572</v>
      </c>
      <c r="F3126" s="8" t="s">
        <v>3402</v>
      </c>
    </row>
    <row r="3127" spans="1:6" ht="90" x14ac:dyDescent="0.25">
      <c r="A3127" s="8" t="s">
        <v>125</v>
      </c>
      <c r="B3127" s="8" t="s">
        <v>163</v>
      </c>
      <c r="C3127" s="8" t="str">
        <f>IFERROR(_xlfn.XLOOKUP(TRIM(B3127),Lookup!$B$2:$B$1000,Lookup!$C$2:$C$1000),"")</f>
        <v>Equity</v>
      </c>
      <c r="D3127" s="8" t="str">
        <f>IFERROR(INDEX('nav master'!$C:$C, MATCH(B3127, 'nav master'!$B:$B, 0)), "")</f>
        <v>ULIF08602/03/26InSctrLdrFd101</v>
      </c>
      <c r="E3127" s="8" t="s">
        <v>574</v>
      </c>
      <c r="F3127" s="8" t="s">
        <v>3403</v>
      </c>
    </row>
    <row r="3128" spans="1:6" ht="90" x14ac:dyDescent="0.25">
      <c r="A3128" s="8" t="s">
        <v>125</v>
      </c>
      <c r="B3128" s="8" t="s">
        <v>163</v>
      </c>
      <c r="C3128" s="8" t="str">
        <f>IFERROR(_xlfn.XLOOKUP(TRIM(B3128),Lookup!$B$2:$B$1000,Lookup!$C$2:$C$1000),"")</f>
        <v>Equity</v>
      </c>
      <c r="D3128" s="8" t="str">
        <f>IFERROR(INDEX('nav master'!$C:$C, MATCH(B3128, 'nav master'!$B:$B, 0)), "")</f>
        <v>ULIF08602/03/26InSctrLdrFd101</v>
      </c>
      <c r="E3128" s="8" t="s">
        <v>576</v>
      </c>
      <c r="F3128" s="8" t="s">
        <v>3404</v>
      </c>
    </row>
    <row r="3129" spans="1:6" ht="90" x14ac:dyDescent="0.25">
      <c r="A3129" s="8" t="s">
        <v>125</v>
      </c>
      <c r="B3129" s="8" t="s">
        <v>163</v>
      </c>
      <c r="C3129" s="8" t="str">
        <f>IFERROR(_xlfn.XLOOKUP(TRIM(B3129),Lookup!$B$2:$B$1000,Lookup!$C$2:$C$1000),"")</f>
        <v>Equity</v>
      </c>
      <c r="D3129" s="8" t="str">
        <f>IFERROR(INDEX('nav master'!$C:$C, MATCH(B3129, 'nav master'!$B:$B, 0)), "")</f>
        <v>ULIF08602/03/26InSctrLdrFd101</v>
      </c>
      <c r="E3129" s="8" t="s">
        <v>578</v>
      </c>
      <c r="F3129" s="8" t="s">
        <v>3405</v>
      </c>
    </row>
    <row r="3130" spans="1:6" ht="90" x14ac:dyDescent="0.25">
      <c r="A3130" s="8" t="s">
        <v>125</v>
      </c>
      <c r="B3130" s="8" t="s">
        <v>163</v>
      </c>
      <c r="C3130" s="8" t="str">
        <f>IFERROR(_xlfn.XLOOKUP(TRIM(B3130),Lookup!$B$2:$B$1000,Lookup!$C$2:$C$1000),"")</f>
        <v>Equity</v>
      </c>
      <c r="D3130" s="8" t="str">
        <f>IFERROR(INDEX('nav master'!$C:$C, MATCH(B3130, 'nav master'!$B:$B, 0)), "")</f>
        <v>ULIF08602/03/26InSctrLdrFd101</v>
      </c>
      <c r="E3130" s="8" t="s">
        <v>580</v>
      </c>
      <c r="F3130" s="8" t="s">
        <v>3406</v>
      </c>
    </row>
    <row r="3131" spans="1:6" ht="90" x14ac:dyDescent="0.25">
      <c r="A3131" s="8" t="s">
        <v>125</v>
      </c>
      <c r="B3131" s="8" t="s">
        <v>163</v>
      </c>
      <c r="C3131" s="8" t="str">
        <f>IFERROR(_xlfn.XLOOKUP(TRIM(B3131),Lookup!$B$2:$B$1000,Lookup!$C$2:$C$1000),"")</f>
        <v>Equity</v>
      </c>
      <c r="D3131" s="8" t="str">
        <f>IFERROR(INDEX('nav master'!$C:$C, MATCH(B3131, 'nav master'!$B:$B, 0)), "")</f>
        <v>ULIF08602/03/26InSctrLdrFd101</v>
      </c>
      <c r="E3131" s="8" t="s">
        <v>582</v>
      </c>
      <c r="F3131" s="8" t="s">
        <v>3407</v>
      </c>
    </row>
    <row r="3132" spans="1:6" ht="90" x14ac:dyDescent="0.25">
      <c r="A3132" s="8" t="s">
        <v>125</v>
      </c>
      <c r="B3132" s="8" t="s">
        <v>163</v>
      </c>
      <c r="C3132" s="8" t="str">
        <f>IFERROR(_xlfn.XLOOKUP(TRIM(B3132),Lookup!$B$2:$B$1000,Lookup!$C$2:$C$1000),"")</f>
        <v>Equity</v>
      </c>
      <c r="D3132" s="8" t="str">
        <f>IFERROR(INDEX('nav master'!$C:$C, MATCH(B3132, 'nav master'!$B:$B, 0)), "")</f>
        <v>ULIF08602/03/26InSctrLdrFd101</v>
      </c>
      <c r="E3132" s="8" t="s">
        <v>584</v>
      </c>
      <c r="F3132" s="8" t="s">
        <v>3408</v>
      </c>
    </row>
    <row r="3133" spans="1:6" ht="90" x14ac:dyDescent="0.25">
      <c r="A3133" s="8" t="s">
        <v>125</v>
      </c>
      <c r="B3133" s="8" t="s">
        <v>163</v>
      </c>
      <c r="C3133" s="8" t="str">
        <f>IFERROR(_xlfn.XLOOKUP(TRIM(B3133),Lookup!$B$2:$B$1000,Lookup!$C$2:$C$1000),"")</f>
        <v>Equity</v>
      </c>
      <c r="D3133" s="8" t="str">
        <f>IFERROR(INDEX('nav master'!$C:$C, MATCH(B3133, 'nav master'!$B:$B, 0)), "")</f>
        <v>ULIF08602/03/26InSctrLdrFd101</v>
      </c>
      <c r="E3133" s="8" t="s">
        <v>586</v>
      </c>
      <c r="F3133" s="8" t="s">
        <v>3409</v>
      </c>
    </row>
    <row r="3134" spans="1:6" ht="90" x14ac:dyDescent="0.25">
      <c r="A3134" s="8" t="s">
        <v>125</v>
      </c>
      <c r="B3134" s="8" t="s">
        <v>163</v>
      </c>
      <c r="C3134" s="8" t="str">
        <f>IFERROR(_xlfn.XLOOKUP(TRIM(B3134),Lookup!$B$2:$B$1000,Lookup!$C$2:$C$1000),"")</f>
        <v>Equity</v>
      </c>
      <c r="D3134" s="8" t="str">
        <f>IFERROR(INDEX('nav master'!$C:$C, MATCH(B3134, 'nav master'!$B:$B, 0)), "")</f>
        <v>ULIF08602/03/26InSctrLdrFd101</v>
      </c>
      <c r="E3134" s="8" t="s">
        <v>588</v>
      </c>
      <c r="F3134" s="8" t="s">
        <v>3410</v>
      </c>
    </row>
    <row r="3135" spans="1:6" ht="90" x14ac:dyDescent="0.25">
      <c r="A3135" s="8" t="s">
        <v>125</v>
      </c>
      <c r="B3135" s="8" t="s">
        <v>163</v>
      </c>
      <c r="C3135" s="8" t="str">
        <f>IFERROR(_xlfn.XLOOKUP(TRIM(B3135),Lookup!$B$2:$B$1000,Lookup!$C$2:$C$1000),"")</f>
        <v>Equity</v>
      </c>
      <c r="D3135" s="8" t="str">
        <f>IFERROR(INDEX('nav master'!$C:$C, MATCH(B3135, 'nav master'!$B:$B, 0)), "")</f>
        <v>ULIF08602/03/26InSctrLdrFd101</v>
      </c>
      <c r="E3135" s="8" t="s">
        <v>590</v>
      </c>
      <c r="F3135" s="8" t="s">
        <v>3411</v>
      </c>
    </row>
    <row r="3136" spans="1:6" ht="90" x14ac:dyDescent="0.25">
      <c r="A3136" s="8" t="s">
        <v>125</v>
      </c>
      <c r="B3136" s="8" t="s">
        <v>163</v>
      </c>
      <c r="C3136" s="8" t="str">
        <f>IFERROR(_xlfn.XLOOKUP(TRIM(B3136),Lookup!$B$2:$B$1000,Lookup!$C$2:$C$1000),"")</f>
        <v>Equity</v>
      </c>
      <c r="D3136" s="8" t="str">
        <f>IFERROR(INDEX('nav master'!$C:$C, MATCH(B3136, 'nav master'!$B:$B, 0)), "")</f>
        <v>ULIF08602/03/26InSctrLdrFd101</v>
      </c>
      <c r="E3136" s="8" t="s">
        <v>592</v>
      </c>
      <c r="F3136" s="8" t="s">
        <v>3412</v>
      </c>
    </row>
    <row r="3137" spans="1:6" ht="90" x14ac:dyDescent="0.25">
      <c r="A3137" s="8" t="s">
        <v>125</v>
      </c>
      <c r="B3137" s="8" t="s">
        <v>163</v>
      </c>
      <c r="C3137" s="8" t="str">
        <f>IFERROR(_xlfn.XLOOKUP(TRIM(B3137),Lookup!$B$2:$B$1000,Lookup!$C$2:$C$1000),"")</f>
        <v>Equity</v>
      </c>
      <c r="D3137" s="8" t="str">
        <f>IFERROR(INDEX('nav master'!$C:$C, MATCH(B3137, 'nav master'!$B:$B, 0)), "")</f>
        <v>ULIF08602/03/26InSctrLdrFd101</v>
      </c>
      <c r="E3137" s="8" t="s">
        <v>594</v>
      </c>
      <c r="F3137" s="8" t="s">
        <v>3413</v>
      </c>
    </row>
    <row r="3138" spans="1:6" ht="90" x14ac:dyDescent="0.25">
      <c r="A3138" s="8" t="s">
        <v>125</v>
      </c>
      <c r="B3138" s="8" t="s">
        <v>163</v>
      </c>
      <c r="C3138" s="8" t="str">
        <f>IFERROR(_xlfn.XLOOKUP(TRIM(B3138),Lookup!$B$2:$B$1000,Lookup!$C$2:$C$1000),"")</f>
        <v>Equity</v>
      </c>
      <c r="D3138" s="8" t="str">
        <f>IFERROR(INDEX('nav master'!$C:$C, MATCH(B3138, 'nav master'!$B:$B, 0)), "")</f>
        <v>ULIF08602/03/26InSctrLdrFd101</v>
      </c>
      <c r="E3138" s="8" t="s">
        <v>596</v>
      </c>
      <c r="F3138" s="8" t="s">
        <v>3414</v>
      </c>
    </row>
    <row r="3139" spans="1:6" ht="90" x14ac:dyDescent="0.25">
      <c r="A3139" s="8" t="s">
        <v>125</v>
      </c>
      <c r="B3139" s="8" t="s">
        <v>163</v>
      </c>
      <c r="C3139" s="8" t="str">
        <f>IFERROR(_xlfn.XLOOKUP(TRIM(B3139),Lookup!$B$2:$B$1000,Lookup!$C$2:$C$1000),"")</f>
        <v>Equity</v>
      </c>
      <c r="D3139" s="8" t="str">
        <f>IFERROR(INDEX('nav master'!$C:$C, MATCH(B3139, 'nav master'!$B:$B, 0)), "")</f>
        <v>ULIF08602/03/26InSctrLdrFd101</v>
      </c>
      <c r="E3139" s="8" t="s">
        <v>598</v>
      </c>
      <c r="F3139" s="8" t="s">
        <v>3415</v>
      </c>
    </row>
    <row r="3140" spans="1:6" ht="90" x14ac:dyDescent="0.25">
      <c r="A3140" s="8" t="s">
        <v>125</v>
      </c>
      <c r="B3140" s="8" t="s">
        <v>163</v>
      </c>
      <c r="C3140" s="8" t="str">
        <f>IFERROR(_xlfn.XLOOKUP(TRIM(B3140),Lookup!$B$2:$B$1000,Lookup!$C$2:$C$1000),"")</f>
        <v>Equity</v>
      </c>
      <c r="D3140" s="8" t="str">
        <f>IFERROR(INDEX('nav master'!$C:$C, MATCH(B3140, 'nav master'!$B:$B, 0)), "")</f>
        <v>ULIF08602/03/26InSctrLdrFd101</v>
      </c>
      <c r="E3140" s="8" t="s">
        <v>600</v>
      </c>
      <c r="F3140" s="8" t="s">
        <v>3416</v>
      </c>
    </row>
    <row r="3141" spans="1:6" ht="90" x14ac:dyDescent="0.25">
      <c r="A3141" s="8" t="s">
        <v>125</v>
      </c>
      <c r="B3141" s="8" t="s">
        <v>163</v>
      </c>
      <c r="C3141" s="8" t="str">
        <f>IFERROR(_xlfn.XLOOKUP(TRIM(B3141),Lookup!$B$2:$B$1000,Lookup!$C$2:$C$1000),"")</f>
        <v>Equity</v>
      </c>
      <c r="D3141" s="8" t="str">
        <f>IFERROR(INDEX('nav master'!$C:$C, MATCH(B3141, 'nav master'!$B:$B, 0)), "")</f>
        <v>ULIF08602/03/26InSctrLdrFd101</v>
      </c>
      <c r="E3141" s="8" t="s">
        <v>602</v>
      </c>
      <c r="F3141" s="8" t="s">
        <v>3417</v>
      </c>
    </row>
    <row r="3142" spans="1:6" ht="90" x14ac:dyDescent="0.25">
      <c r="A3142" s="8" t="s">
        <v>125</v>
      </c>
      <c r="B3142" s="8" t="s">
        <v>163</v>
      </c>
      <c r="C3142" s="8" t="str">
        <f>IFERROR(_xlfn.XLOOKUP(TRIM(B3142),Lookup!$B$2:$B$1000,Lookup!$C$2:$C$1000),"")</f>
        <v>Equity</v>
      </c>
      <c r="D3142" s="8" t="str">
        <f>IFERROR(INDEX('nav master'!$C:$C, MATCH(B3142, 'nav master'!$B:$B, 0)), "")</f>
        <v>ULIF08602/03/26InSctrLdrFd101</v>
      </c>
      <c r="E3142" s="8" t="s">
        <v>604</v>
      </c>
      <c r="F3142" s="8" t="s">
        <v>3418</v>
      </c>
    </row>
    <row r="3143" spans="1:6" ht="90" x14ac:dyDescent="0.25">
      <c r="A3143" s="8" t="s">
        <v>125</v>
      </c>
      <c r="B3143" s="8" t="s">
        <v>163</v>
      </c>
      <c r="C3143" s="8" t="str">
        <f>IFERROR(_xlfn.XLOOKUP(TRIM(B3143),Lookup!$B$2:$B$1000,Lookup!$C$2:$C$1000),"")</f>
        <v>Equity</v>
      </c>
      <c r="D3143" s="8" t="str">
        <f>IFERROR(INDEX('nav master'!$C:$C, MATCH(B3143, 'nav master'!$B:$B, 0)), "")</f>
        <v>ULIF08602/03/26InSctrLdrFd101</v>
      </c>
      <c r="E3143" s="8" t="s">
        <v>606</v>
      </c>
      <c r="F3143" s="8" t="s">
        <v>3419</v>
      </c>
    </row>
    <row r="3144" spans="1:6" ht="90" x14ac:dyDescent="0.25">
      <c r="A3144" s="8" t="s">
        <v>125</v>
      </c>
      <c r="B3144" s="8" t="s">
        <v>163</v>
      </c>
      <c r="C3144" s="8" t="str">
        <f>IFERROR(_xlfn.XLOOKUP(TRIM(B3144),Lookup!$B$2:$B$1000,Lookup!$C$2:$C$1000),"")</f>
        <v>Equity</v>
      </c>
      <c r="D3144" s="8" t="str">
        <f>IFERROR(INDEX('nav master'!$C:$C, MATCH(B3144, 'nav master'!$B:$B, 0)), "")</f>
        <v>ULIF08602/03/26InSctrLdrFd101</v>
      </c>
      <c r="E3144" s="8" t="s">
        <v>608</v>
      </c>
      <c r="F3144" s="8" t="s">
        <v>3420</v>
      </c>
    </row>
    <row r="3145" spans="1:6" ht="90" x14ac:dyDescent="0.25">
      <c r="A3145" s="8" t="s">
        <v>125</v>
      </c>
      <c r="B3145" s="8" t="s">
        <v>163</v>
      </c>
      <c r="C3145" s="8" t="str">
        <f>IFERROR(_xlfn.XLOOKUP(TRIM(B3145),Lookup!$B$2:$B$1000,Lookup!$C$2:$C$1000),"")</f>
        <v>Equity</v>
      </c>
      <c r="D3145" s="8" t="str">
        <f>IFERROR(INDEX('nav master'!$C:$C, MATCH(B3145, 'nav master'!$B:$B, 0)), "")</f>
        <v>ULIF08602/03/26InSctrLdrFd101</v>
      </c>
      <c r="E3145" s="8" t="s">
        <v>610</v>
      </c>
      <c r="F3145" s="8" t="s">
        <v>3421</v>
      </c>
    </row>
    <row r="3146" spans="1:6" ht="90" x14ac:dyDescent="0.25">
      <c r="A3146" s="8" t="s">
        <v>125</v>
      </c>
      <c r="B3146" s="8" t="s">
        <v>163</v>
      </c>
      <c r="C3146" s="8" t="str">
        <f>IFERROR(_xlfn.XLOOKUP(TRIM(B3146),Lookup!$B$2:$B$1000,Lookup!$C$2:$C$1000),"")</f>
        <v>Equity</v>
      </c>
      <c r="D3146" s="8" t="str">
        <f>IFERROR(INDEX('nav master'!$C:$C, MATCH(B3146, 'nav master'!$B:$B, 0)), "")</f>
        <v>ULIF08602/03/26InSctrLdrFd101</v>
      </c>
      <c r="E3146" s="8" t="s">
        <v>612</v>
      </c>
      <c r="F3146" s="8" t="s">
        <v>3422</v>
      </c>
    </row>
    <row r="3147" spans="1:6" ht="90" x14ac:dyDescent="0.25">
      <c r="A3147" s="8" t="s">
        <v>125</v>
      </c>
      <c r="B3147" s="8" t="s">
        <v>163</v>
      </c>
      <c r="C3147" s="8" t="str">
        <f>IFERROR(_xlfn.XLOOKUP(TRIM(B3147),Lookup!$B$2:$B$1000,Lookup!$C$2:$C$1000),"")</f>
        <v>Equity</v>
      </c>
      <c r="D3147" s="8" t="str">
        <f>IFERROR(INDEX('nav master'!$C:$C, MATCH(B3147, 'nav master'!$B:$B, 0)), "")</f>
        <v>ULIF08602/03/26InSctrLdrFd101</v>
      </c>
      <c r="E3147" s="8" t="s">
        <v>614</v>
      </c>
      <c r="F3147" s="8" t="s">
        <v>3423</v>
      </c>
    </row>
    <row r="3148" spans="1:6" ht="90" x14ac:dyDescent="0.25">
      <c r="A3148" s="8" t="s">
        <v>125</v>
      </c>
      <c r="B3148" s="8" t="s">
        <v>163</v>
      </c>
      <c r="C3148" s="8" t="str">
        <f>IFERROR(_xlfn.XLOOKUP(TRIM(B3148),Lookup!$B$2:$B$1000,Lookup!$C$2:$C$1000),"")</f>
        <v>Equity</v>
      </c>
      <c r="D3148" s="8" t="str">
        <f>IFERROR(INDEX('nav master'!$C:$C, MATCH(B3148, 'nav master'!$B:$B, 0)), "")</f>
        <v>ULIF08602/03/26InSctrLdrFd101</v>
      </c>
      <c r="E3148" s="8" t="s">
        <v>616</v>
      </c>
      <c r="F3148" s="8" t="s">
        <v>3424</v>
      </c>
    </row>
    <row r="3149" spans="1:6" ht="90" x14ac:dyDescent="0.25">
      <c r="A3149" s="8" t="s">
        <v>125</v>
      </c>
      <c r="B3149" s="8" t="s">
        <v>163</v>
      </c>
      <c r="C3149" s="8" t="str">
        <f>IFERROR(_xlfn.XLOOKUP(TRIM(B3149),Lookup!$B$2:$B$1000,Lookup!$C$2:$C$1000),"")</f>
        <v>Equity</v>
      </c>
      <c r="D3149" s="8" t="str">
        <f>IFERROR(INDEX('nav master'!$C:$C, MATCH(B3149, 'nav master'!$B:$B, 0)), "")</f>
        <v>ULIF08602/03/26InSctrLdrFd101</v>
      </c>
      <c r="E3149" s="8" t="s">
        <v>618</v>
      </c>
      <c r="F3149" s="8" t="s">
        <v>3425</v>
      </c>
    </row>
    <row r="3150" spans="1:6" ht="90" x14ac:dyDescent="0.25">
      <c r="A3150" s="8" t="s">
        <v>125</v>
      </c>
      <c r="B3150" s="8" t="s">
        <v>163</v>
      </c>
      <c r="C3150" s="8" t="str">
        <f>IFERROR(_xlfn.XLOOKUP(TRIM(B3150),Lookup!$B$2:$B$1000,Lookup!$C$2:$C$1000),"")</f>
        <v>Equity</v>
      </c>
      <c r="D3150" s="8" t="str">
        <f>IFERROR(INDEX('nav master'!$C:$C, MATCH(B3150, 'nav master'!$B:$B, 0)), "")</f>
        <v>ULIF08602/03/26InSctrLdrFd101</v>
      </c>
      <c r="E3150" s="8" t="s">
        <v>620</v>
      </c>
      <c r="F3150" s="8" t="s">
        <v>3426</v>
      </c>
    </row>
    <row r="3151" spans="1:6" ht="90" x14ac:dyDescent="0.25">
      <c r="A3151" s="8" t="s">
        <v>125</v>
      </c>
      <c r="B3151" s="8" t="s">
        <v>163</v>
      </c>
      <c r="C3151" s="8" t="str">
        <f>IFERROR(_xlfn.XLOOKUP(TRIM(B3151),Lookup!$B$2:$B$1000,Lookup!$C$2:$C$1000),"")</f>
        <v>Equity</v>
      </c>
      <c r="D3151" s="8" t="str">
        <f>IFERROR(INDEX('nav master'!$C:$C, MATCH(B3151, 'nav master'!$B:$B, 0)), "")</f>
        <v>ULIF08602/03/26InSctrLdrFd101</v>
      </c>
      <c r="E3151" s="8" t="s">
        <v>622</v>
      </c>
      <c r="F3151" s="8" t="s">
        <v>3427</v>
      </c>
    </row>
    <row r="3152" spans="1:6" ht="90" x14ac:dyDescent="0.25">
      <c r="A3152" s="8" t="s">
        <v>125</v>
      </c>
      <c r="B3152" s="8" t="s">
        <v>163</v>
      </c>
      <c r="C3152" s="8" t="str">
        <f>IFERROR(_xlfn.XLOOKUP(TRIM(B3152),Lookup!$B$2:$B$1000,Lookup!$C$2:$C$1000),"")</f>
        <v>Equity</v>
      </c>
      <c r="D3152" s="8" t="str">
        <f>IFERROR(INDEX('nav master'!$C:$C, MATCH(B3152, 'nav master'!$B:$B, 0)), "")</f>
        <v>ULIF08602/03/26InSctrLdrFd101</v>
      </c>
      <c r="E3152" s="8" t="s">
        <v>624</v>
      </c>
      <c r="F3152" s="8" t="s">
        <v>3428</v>
      </c>
    </row>
    <row r="3153" spans="1:6" ht="90" x14ac:dyDescent="0.25">
      <c r="A3153" s="8" t="s">
        <v>125</v>
      </c>
      <c r="B3153" s="8" t="s">
        <v>163</v>
      </c>
      <c r="C3153" s="8" t="str">
        <f>IFERROR(_xlfn.XLOOKUP(TRIM(B3153),Lookup!$B$2:$B$1000,Lookup!$C$2:$C$1000),"")</f>
        <v>Equity</v>
      </c>
      <c r="D3153" s="8" t="str">
        <f>IFERROR(INDEX('nav master'!$C:$C, MATCH(B3153, 'nav master'!$B:$B, 0)), "")</f>
        <v>ULIF08602/03/26InSctrLdrFd101</v>
      </c>
      <c r="E3153" s="8" t="s">
        <v>626</v>
      </c>
      <c r="F3153" s="8" t="s">
        <v>3429</v>
      </c>
    </row>
    <row r="3154" spans="1:6" ht="90" x14ac:dyDescent="0.25">
      <c r="A3154" s="8" t="s">
        <v>125</v>
      </c>
      <c r="B3154" s="8" t="s">
        <v>163</v>
      </c>
      <c r="C3154" s="8" t="str">
        <f>IFERROR(_xlfn.XLOOKUP(TRIM(B3154),Lookup!$B$2:$B$1000,Lookup!$C$2:$C$1000),"")</f>
        <v>Equity</v>
      </c>
      <c r="D3154" s="8" t="str">
        <f>IFERROR(INDEX('nav master'!$C:$C, MATCH(B3154, 'nav master'!$B:$B, 0)), "")</f>
        <v>ULIF08602/03/26InSctrLdrFd101</v>
      </c>
      <c r="E3154" s="8" t="s">
        <v>628</v>
      </c>
      <c r="F3154" s="8" t="s">
        <v>3430</v>
      </c>
    </row>
    <row r="3155" spans="1:6" ht="90" x14ac:dyDescent="0.25">
      <c r="A3155" s="8" t="s">
        <v>125</v>
      </c>
      <c r="B3155" s="8" t="s">
        <v>163</v>
      </c>
      <c r="C3155" s="8" t="str">
        <f>IFERROR(_xlfn.XLOOKUP(TRIM(B3155),Lookup!$B$2:$B$1000,Lookup!$C$2:$C$1000),"")</f>
        <v>Equity</v>
      </c>
      <c r="D3155" s="8" t="str">
        <f>IFERROR(INDEX('nav master'!$C:$C, MATCH(B3155, 'nav master'!$B:$B, 0)), "")</f>
        <v>ULIF08602/03/26InSctrLdrFd101</v>
      </c>
      <c r="E3155" s="8" t="s">
        <v>630</v>
      </c>
      <c r="F3155" s="8" t="s">
        <v>3431</v>
      </c>
    </row>
    <row r="3156" spans="1:6" ht="90" x14ac:dyDescent="0.25">
      <c r="A3156" s="8" t="s">
        <v>125</v>
      </c>
      <c r="B3156" s="8" t="s">
        <v>163</v>
      </c>
      <c r="C3156" s="8" t="str">
        <f>IFERROR(_xlfn.XLOOKUP(TRIM(B3156),Lookup!$B$2:$B$1000,Lookup!$C$2:$C$1000),"")</f>
        <v>Equity</v>
      </c>
      <c r="D3156" s="8" t="str">
        <f>IFERROR(INDEX('nav master'!$C:$C, MATCH(B3156, 'nav master'!$B:$B, 0)), "")</f>
        <v>ULIF08602/03/26InSctrLdrFd101</v>
      </c>
      <c r="E3156" s="8" t="s">
        <v>632</v>
      </c>
      <c r="F3156" s="8" t="s">
        <v>3432</v>
      </c>
    </row>
    <row r="3157" spans="1:6" ht="90" x14ac:dyDescent="0.25">
      <c r="A3157" s="8" t="s">
        <v>125</v>
      </c>
      <c r="B3157" s="8" t="s">
        <v>163</v>
      </c>
      <c r="C3157" s="8" t="str">
        <f>IFERROR(_xlfn.XLOOKUP(TRIM(B3157),Lookup!$B$2:$B$1000,Lookup!$C$2:$C$1000),"")</f>
        <v>Equity</v>
      </c>
      <c r="D3157" s="8" t="str">
        <f>IFERROR(INDEX('nav master'!$C:$C, MATCH(B3157, 'nav master'!$B:$B, 0)), "")</f>
        <v>ULIF08602/03/26InSctrLdrFd101</v>
      </c>
      <c r="E3157" s="8" t="s">
        <v>634</v>
      </c>
      <c r="F3157" s="8" t="s">
        <v>3433</v>
      </c>
    </row>
    <row r="3158" spans="1:6" ht="90" x14ac:dyDescent="0.25">
      <c r="A3158" s="8" t="s">
        <v>125</v>
      </c>
      <c r="B3158" s="8" t="s">
        <v>163</v>
      </c>
      <c r="C3158" s="8" t="str">
        <f>IFERROR(_xlfn.XLOOKUP(TRIM(B3158),Lookup!$B$2:$B$1000,Lookup!$C$2:$C$1000),"")</f>
        <v>Equity</v>
      </c>
      <c r="D3158" s="8" t="str">
        <f>IFERROR(INDEX('nav master'!$C:$C, MATCH(B3158, 'nav master'!$B:$B, 0)), "")</f>
        <v>ULIF08602/03/26InSctrLdrFd101</v>
      </c>
      <c r="E3158" s="8" t="s">
        <v>636</v>
      </c>
      <c r="F3158" s="8" t="s">
        <v>3434</v>
      </c>
    </row>
    <row r="3159" spans="1:6" ht="90" x14ac:dyDescent="0.25">
      <c r="A3159" s="8" t="s">
        <v>125</v>
      </c>
      <c r="B3159" s="8" t="s">
        <v>163</v>
      </c>
      <c r="C3159" s="8" t="str">
        <f>IFERROR(_xlfn.XLOOKUP(TRIM(B3159),Lookup!$B$2:$B$1000,Lookup!$C$2:$C$1000),"")</f>
        <v>Equity</v>
      </c>
      <c r="D3159" s="8" t="str">
        <f>IFERROR(INDEX('nav master'!$C:$C, MATCH(B3159, 'nav master'!$B:$B, 0)), "")</f>
        <v>ULIF08602/03/26InSctrLdrFd101</v>
      </c>
      <c r="E3159" s="8" t="s">
        <v>638</v>
      </c>
      <c r="F3159" s="8" t="s">
        <v>3435</v>
      </c>
    </row>
    <row r="3160" spans="1:6" ht="90" x14ac:dyDescent="0.25">
      <c r="A3160" s="8" t="s">
        <v>125</v>
      </c>
      <c r="B3160" s="8" t="s">
        <v>163</v>
      </c>
      <c r="C3160" s="8" t="str">
        <f>IFERROR(_xlfn.XLOOKUP(TRIM(B3160),Lookup!$B$2:$B$1000,Lookup!$C$2:$C$1000),"")</f>
        <v>Equity</v>
      </c>
      <c r="D3160" s="8" t="str">
        <f>IFERROR(INDEX('nav master'!$C:$C, MATCH(B3160, 'nav master'!$B:$B, 0)), "")</f>
        <v>ULIF08602/03/26InSctrLdrFd101</v>
      </c>
      <c r="E3160" s="8" t="s">
        <v>640</v>
      </c>
      <c r="F3160" s="8" t="s">
        <v>3436</v>
      </c>
    </row>
    <row r="3161" spans="1:6" ht="90" x14ac:dyDescent="0.25">
      <c r="A3161" s="8" t="s">
        <v>125</v>
      </c>
      <c r="B3161" s="8" t="s">
        <v>163</v>
      </c>
      <c r="C3161" s="8" t="str">
        <f>IFERROR(_xlfn.XLOOKUP(TRIM(B3161),Lookup!$B$2:$B$1000,Lookup!$C$2:$C$1000),"")</f>
        <v>Equity</v>
      </c>
      <c r="D3161" s="8" t="str">
        <f>IFERROR(INDEX('nav master'!$C:$C, MATCH(B3161, 'nav master'!$B:$B, 0)), "")</f>
        <v>ULIF08602/03/26InSctrLdrFd101</v>
      </c>
      <c r="E3161" s="8" t="s">
        <v>642</v>
      </c>
      <c r="F3161" s="8" t="s">
        <v>3437</v>
      </c>
    </row>
    <row r="3162" spans="1:6" ht="90" x14ac:dyDescent="0.25">
      <c r="A3162" s="8" t="s">
        <v>125</v>
      </c>
      <c r="B3162" s="8" t="s">
        <v>163</v>
      </c>
      <c r="C3162" s="8" t="str">
        <f>IFERROR(_xlfn.XLOOKUP(TRIM(B3162),Lookup!$B$2:$B$1000,Lookup!$C$2:$C$1000),"")</f>
        <v>Equity</v>
      </c>
      <c r="D3162" s="8" t="str">
        <f>IFERROR(INDEX('nav master'!$C:$C, MATCH(B3162, 'nav master'!$B:$B, 0)), "")</f>
        <v>ULIF08602/03/26InSctrLdrFd101</v>
      </c>
      <c r="E3162" s="8" t="s">
        <v>644</v>
      </c>
      <c r="F3162" s="8" t="s">
        <v>3438</v>
      </c>
    </row>
    <row r="3163" spans="1:6" ht="90" x14ac:dyDescent="0.25">
      <c r="A3163" s="8" t="s">
        <v>125</v>
      </c>
      <c r="B3163" s="8" t="s">
        <v>163</v>
      </c>
      <c r="C3163" s="8" t="str">
        <f>IFERROR(_xlfn.XLOOKUP(TRIM(B3163),Lookup!$B$2:$B$1000,Lookup!$C$2:$C$1000),"")</f>
        <v>Equity</v>
      </c>
      <c r="D3163" s="8" t="str">
        <f>IFERROR(INDEX('nav master'!$C:$C, MATCH(B3163, 'nav master'!$B:$B, 0)), "")</f>
        <v>ULIF08602/03/26InSctrLdrFd101</v>
      </c>
      <c r="E3163" s="8" t="s">
        <v>646</v>
      </c>
      <c r="F3163" s="8" t="s">
        <v>3439</v>
      </c>
    </row>
    <row r="3164" spans="1:6" ht="90" x14ac:dyDescent="0.25">
      <c r="A3164" s="8" t="s">
        <v>125</v>
      </c>
      <c r="B3164" s="8" t="s">
        <v>163</v>
      </c>
      <c r="C3164" s="8" t="str">
        <f>IFERROR(_xlfn.XLOOKUP(TRIM(B3164),Lookup!$B$2:$B$1000,Lookup!$C$2:$C$1000),"")</f>
        <v>Equity</v>
      </c>
      <c r="D3164" s="8" t="str">
        <f>IFERROR(INDEX('nav master'!$C:$C, MATCH(B3164, 'nav master'!$B:$B, 0)), "")</f>
        <v>ULIF08602/03/26InSctrLdrFd101</v>
      </c>
      <c r="E3164" s="8" t="s">
        <v>648</v>
      </c>
      <c r="F3164" s="8" t="s">
        <v>3440</v>
      </c>
    </row>
    <row r="3165" spans="1:6" ht="90" x14ac:dyDescent="0.25">
      <c r="A3165" s="8" t="s">
        <v>125</v>
      </c>
      <c r="B3165" s="8" t="s">
        <v>163</v>
      </c>
      <c r="C3165" s="8" t="str">
        <f>IFERROR(_xlfn.XLOOKUP(TRIM(B3165),Lookup!$B$2:$B$1000,Lookup!$C$2:$C$1000),"")</f>
        <v>Equity</v>
      </c>
      <c r="D3165" s="8" t="str">
        <f>IFERROR(INDEX('nav master'!$C:$C, MATCH(B3165, 'nav master'!$B:$B, 0)), "")</f>
        <v>ULIF08602/03/26InSctrLdrFd101</v>
      </c>
      <c r="E3165" s="8" t="s">
        <v>650</v>
      </c>
      <c r="F3165" s="8" t="s">
        <v>3441</v>
      </c>
    </row>
    <row r="3166" spans="1:6" ht="90" x14ac:dyDescent="0.25">
      <c r="A3166" s="8" t="s">
        <v>125</v>
      </c>
      <c r="B3166" s="8" t="s">
        <v>163</v>
      </c>
      <c r="C3166" s="8" t="str">
        <f>IFERROR(_xlfn.XLOOKUP(TRIM(B3166),Lookup!$B$2:$B$1000,Lookup!$C$2:$C$1000),"")</f>
        <v>Equity</v>
      </c>
      <c r="D3166" s="8" t="str">
        <f>IFERROR(INDEX('nav master'!$C:$C, MATCH(B3166, 'nav master'!$B:$B, 0)), "")</f>
        <v>ULIF08602/03/26InSctrLdrFd101</v>
      </c>
      <c r="E3166" s="8" t="s">
        <v>652</v>
      </c>
      <c r="F3166" s="8" t="s">
        <v>3442</v>
      </c>
    </row>
    <row r="3167" spans="1:6" ht="90" x14ac:dyDescent="0.25">
      <c r="A3167" s="8" t="s">
        <v>125</v>
      </c>
      <c r="B3167" s="8" t="s">
        <v>163</v>
      </c>
      <c r="C3167" s="8" t="str">
        <f>IFERROR(_xlfn.XLOOKUP(TRIM(B3167),Lookup!$B$2:$B$1000,Lookup!$C$2:$C$1000),"")</f>
        <v>Equity</v>
      </c>
      <c r="D3167" s="8" t="str">
        <f>IFERROR(INDEX('nav master'!$C:$C, MATCH(B3167, 'nav master'!$B:$B, 0)), "")</f>
        <v>ULIF08602/03/26InSctrLdrFd101</v>
      </c>
      <c r="E3167" s="8" t="s">
        <v>654</v>
      </c>
      <c r="F3167" s="8" t="s">
        <v>3443</v>
      </c>
    </row>
    <row r="3168" spans="1:6" ht="90" x14ac:dyDescent="0.25">
      <c r="A3168" s="8" t="s">
        <v>125</v>
      </c>
      <c r="B3168" s="8" t="s">
        <v>163</v>
      </c>
      <c r="C3168" s="8" t="str">
        <f>IFERROR(_xlfn.XLOOKUP(TRIM(B3168),Lookup!$B$2:$B$1000,Lookup!$C$2:$C$1000),"")</f>
        <v>Equity</v>
      </c>
      <c r="D3168" s="8" t="str">
        <f>IFERROR(INDEX('nav master'!$C:$C, MATCH(B3168, 'nav master'!$B:$B, 0)), "")</f>
        <v>ULIF08602/03/26InSctrLdrFd101</v>
      </c>
      <c r="E3168" s="8" t="s">
        <v>656</v>
      </c>
      <c r="F3168" s="8" t="s">
        <v>3444</v>
      </c>
    </row>
    <row r="3169" spans="1:6" ht="90" x14ac:dyDescent="0.25">
      <c r="A3169" s="8" t="s">
        <v>125</v>
      </c>
      <c r="B3169" s="8" t="s">
        <v>163</v>
      </c>
      <c r="C3169" s="8" t="str">
        <f>IFERROR(_xlfn.XLOOKUP(TRIM(B3169),Lookup!$B$2:$B$1000,Lookup!$C$2:$C$1000),"")</f>
        <v>Equity</v>
      </c>
      <c r="D3169" s="8" t="str">
        <f>IFERROR(INDEX('nav master'!$C:$C, MATCH(B3169, 'nav master'!$B:$B, 0)), "")</f>
        <v>ULIF08602/03/26InSctrLdrFd101</v>
      </c>
      <c r="E3169" s="8" t="s">
        <v>658</v>
      </c>
      <c r="F3169" s="8" t="s">
        <v>3445</v>
      </c>
    </row>
    <row r="3170" spans="1:6" ht="90" x14ac:dyDescent="0.25">
      <c r="A3170" s="8" t="s">
        <v>125</v>
      </c>
      <c r="B3170" s="8" t="s">
        <v>163</v>
      </c>
      <c r="C3170" s="8" t="str">
        <f>IFERROR(_xlfn.XLOOKUP(TRIM(B3170),Lookup!$B$2:$B$1000,Lookup!$C$2:$C$1000),"")</f>
        <v>Equity</v>
      </c>
      <c r="D3170" s="8" t="str">
        <f>IFERROR(INDEX('nav master'!$C:$C, MATCH(B3170, 'nav master'!$B:$B, 0)), "")</f>
        <v>ULIF08602/03/26InSctrLdrFd101</v>
      </c>
      <c r="E3170" s="8" t="s">
        <v>660</v>
      </c>
      <c r="F3170" s="8" t="s">
        <v>3446</v>
      </c>
    </row>
    <row r="3171" spans="1:6" ht="90" x14ac:dyDescent="0.25">
      <c r="A3171" s="8" t="s">
        <v>125</v>
      </c>
      <c r="B3171" s="8" t="s">
        <v>163</v>
      </c>
      <c r="C3171" s="8" t="str">
        <f>IFERROR(_xlfn.XLOOKUP(TRIM(B3171),Lookup!$B$2:$B$1000,Lookup!$C$2:$C$1000),"")</f>
        <v>Equity</v>
      </c>
      <c r="D3171" s="8" t="str">
        <f>IFERROR(INDEX('nav master'!$C:$C, MATCH(B3171, 'nav master'!$B:$B, 0)), "")</f>
        <v>ULIF08602/03/26InSctrLdrFd101</v>
      </c>
      <c r="E3171" s="8" t="s">
        <v>662</v>
      </c>
      <c r="F3171" s="8" t="s">
        <v>3447</v>
      </c>
    </row>
    <row r="3172" spans="1:6" ht="90" x14ac:dyDescent="0.25">
      <c r="A3172" s="8" t="s">
        <v>125</v>
      </c>
      <c r="B3172" s="8" t="s">
        <v>163</v>
      </c>
      <c r="C3172" s="8" t="str">
        <f>IFERROR(_xlfn.XLOOKUP(TRIM(B3172),Lookup!$B$2:$B$1000,Lookup!$C$2:$C$1000),"")</f>
        <v>Equity</v>
      </c>
      <c r="D3172" s="8" t="str">
        <f>IFERROR(INDEX('nav master'!$C:$C, MATCH(B3172, 'nav master'!$B:$B, 0)), "")</f>
        <v>ULIF08602/03/26InSctrLdrFd101</v>
      </c>
      <c r="E3172" s="8" t="s">
        <v>664</v>
      </c>
      <c r="F3172" s="8" t="s">
        <v>3448</v>
      </c>
    </row>
    <row r="3173" spans="1:6" ht="90" x14ac:dyDescent="0.25">
      <c r="A3173" s="8" t="s">
        <v>125</v>
      </c>
      <c r="B3173" s="8" t="s">
        <v>163</v>
      </c>
      <c r="C3173" s="8" t="str">
        <f>IFERROR(_xlfn.XLOOKUP(TRIM(B3173),Lookup!$B$2:$B$1000,Lookup!$C$2:$C$1000),"")</f>
        <v>Equity</v>
      </c>
      <c r="D3173" s="8" t="str">
        <f>IFERROR(INDEX('nav master'!$C:$C, MATCH(B3173, 'nav master'!$B:$B, 0)), "")</f>
        <v>ULIF08602/03/26InSctrLdrFd101</v>
      </c>
      <c r="E3173" s="8" t="s">
        <v>4892</v>
      </c>
      <c r="F3173" s="8" t="s">
        <v>4998</v>
      </c>
    </row>
    <row r="3174" spans="1:6" ht="90" x14ac:dyDescent="0.25">
      <c r="A3174" s="8" t="s">
        <v>125</v>
      </c>
      <c r="B3174" s="8" t="s">
        <v>163</v>
      </c>
      <c r="C3174" s="8" t="str">
        <f>IFERROR(_xlfn.XLOOKUP(TRIM(B3174),Lookup!$B$2:$B$1000,Lookup!$C$2:$C$1000),"")</f>
        <v>Equity</v>
      </c>
      <c r="D3174" s="8" t="str">
        <f>IFERROR(INDEX('nav master'!$C:$C, MATCH(B3174, 'nav master'!$B:$B, 0)), "")</f>
        <v>ULIF08602/03/26InSctrLdrFd101</v>
      </c>
      <c r="E3174" s="8" t="s">
        <v>4894</v>
      </c>
      <c r="F3174" s="8" t="s">
        <v>4999</v>
      </c>
    </row>
    <row r="3175" spans="1:6" ht="90" x14ac:dyDescent="0.25">
      <c r="A3175" s="8" t="s">
        <v>125</v>
      </c>
      <c r="B3175" s="8" t="s">
        <v>163</v>
      </c>
      <c r="C3175" s="8" t="str">
        <f>IFERROR(_xlfn.XLOOKUP(TRIM(B3175),Lookup!$B$2:$B$1000,Lookup!$C$2:$C$1000),"")</f>
        <v>Equity</v>
      </c>
      <c r="D3175" s="8" t="str">
        <f>IFERROR(INDEX('nav master'!$C:$C, MATCH(B3175, 'nav master'!$B:$B, 0)), "")</f>
        <v>ULIF08602/03/26InSctrLdrFd101</v>
      </c>
      <c r="E3175" s="8" t="s">
        <v>4896</v>
      </c>
      <c r="F3175" s="8" t="s">
        <v>5000</v>
      </c>
    </row>
    <row r="3176" spans="1:6" ht="90" x14ac:dyDescent="0.25">
      <c r="A3176" s="8" t="s">
        <v>125</v>
      </c>
      <c r="B3176" s="8" t="s">
        <v>163</v>
      </c>
      <c r="C3176" s="8" t="str">
        <f>IFERROR(_xlfn.XLOOKUP(TRIM(B3176),Lookup!$B$2:$B$1000,Lookup!$C$2:$C$1000),"")</f>
        <v>Equity</v>
      </c>
      <c r="D3176" s="8" t="str">
        <f>IFERROR(INDEX('nav master'!$C:$C, MATCH(B3176, 'nav master'!$B:$B, 0)), "")</f>
        <v>ULIF08602/03/26InSctrLdrFd101</v>
      </c>
      <c r="E3176" s="8" t="s">
        <v>4898</v>
      </c>
      <c r="F3176" s="8" t="s">
        <v>5001</v>
      </c>
    </row>
    <row r="3177" spans="1:6" ht="90" x14ac:dyDescent="0.25">
      <c r="A3177" s="8" t="s">
        <v>125</v>
      </c>
      <c r="B3177" s="8" t="s">
        <v>163</v>
      </c>
      <c r="C3177" s="8" t="str">
        <f>IFERROR(_xlfn.XLOOKUP(TRIM(B3177),Lookup!$B$2:$B$1000,Lookup!$C$2:$C$1000),"")</f>
        <v>Equity</v>
      </c>
      <c r="D3177" s="8" t="str">
        <f>IFERROR(INDEX('nav master'!$C:$C, MATCH(B3177, 'nav master'!$B:$B, 0)), "")</f>
        <v>ULIF08602/03/26InSctrLdrFd101</v>
      </c>
      <c r="E3177" s="8" t="s">
        <v>4900</v>
      </c>
      <c r="F3177" s="8" t="s">
        <v>5002</v>
      </c>
    </row>
    <row r="3178" spans="1:6" ht="90" x14ac:dyDescent="0.25">
      <c r="A3178" s="8" t="s">
        <v>125</v>
      </c>
      <c r="B3178" s="8" t="s">
        <v>163</v>
      </c>
      <c r="C3178" s="8" t="str">
        <f>IFERROR(_xlfn.XLOOKUP(TRIM(B3178),Lookup!$B$2:$B$1000,Lookup!$C$2:$C$1000),"")</f>
        <v>Equity</v>
      </c>
      <c r="D3178" s="8" t="str">
        <f>IFERROR(INDEX('nav master'!$C:$C, MATCH(B3178, 'nav master'!$B:$B, 0)), "")</f>
        <v>ULIF08602/03/26InSctrLdrFd101</v>
      </c>
      <c r="E3178" s="8" t="s">
        <v>4902</v>
      </c>
      <c r="F3178" s="8" t="s">
        <v>5003</v>
      </c>
    </row>
    <row r="3179" spans="1:6" ht="90" x14ac:dyDescent="0.25">
      <c r="A3179" s="8" t="s">
        <v>125</v>
      </c>
      <c r="B3179" s="8" t="s">
        <v>163</v>
      </c>
      <c r="C3179" s="8" t="str">
        <f>IFERROR(_xlfn.XLOOKUP(TRIM(B3179),Lookup!$B$2:$B$1000,Lookup!$C$2:$C$1000),"")</f>
        <v>Equity</v>
      </c>
      <c r="D3179" s="8" t="str">
        <f>IFERROR(INDEX('nav master'!$C:$C, MATCH(B3179, 'nav master'!$B:$B, 0)), "")</f>
        <v>ULIF08602/03/26InSctrLdrFd101</v>
      </c>
      <c r="E3179" s="8" t="s">
        <v>4903</v>
      </c>
      <c r="F3179" s="8" t="s">
        <v>5004</v>
      </c>
    </row>
    <row r="3180" spans="1:6" ht="90" x14ac:dyDescent="0.25">
      <c r="A3180" s="8" t="s">
        <v>125</v>
      </c>
      <c r="B3180" s="8" t="s">
        <v>163</v>
      </c>
      <c r="C3180" s="8" t="str">
        <f>IFERROR(_xlfn.XLOOKUP(TRIM(B3180),Lookup!$B$2:$B$1000,Lookup!$C$2:$C$1000),"")</f>
        <v>Equity</v>
      </c>
      <c r="D3180" s="8" t="str">
        <f>IFERROR(INDEX('nav master'!$C:$C, MATCH(B3180, 'nav master'!$B:$B, 0)), "")</f>
        <v>ULIF08602/03/26InSctrLdrFd101</v>
      </c>
      <c r="E3180" s="8" t="s">
        <v>4905</v>
      </c>
      <c r="F3180" s="8" t="s">
        <v>5005</v>
      </c>
    </row>
    <row r="3181" spans="1:6" ht="60" x14ac:dyDescent="0.25">
      <c r="A3181" s="8" t="s">
        <v>125</v>
      </c>
      <c r="B3181" s="8" t="s">
        <v>132</v>
      </c>
      <c r="C3181" s="8" t="str">
        <f>IFERROR(_xlfn.XLOOKUP(TRIM(B3181),Lookup!$B$2:$B$1000,Lookup!$C$2:$C$1000),"")</f>
        <v>Hybrid</v>
      </c>
      <c r="D3181" s="8" t="str">
        <f>IFERROR(INDEX('nav master'!$C:$C, MATCH(B3181, 'nav master'!$B:$B, 0)), "")</f>
        <v>ULIF03901/09/10BalancedFd101</v>
      </c>
      <c r="E3181" s="8" t="s">
        <v>189</v>
      </c>
      <c r="F3181" s="8" t="s">
        <v>3449</v>
      </c>
    </row>
    <row r="3182" spans="1:6" ht="60" x14ac:dyDescent="0.25">
      <c r="A3182" s="8" t="s">
        <v>125</v>
      </c>
      <c r="B3182" s="8" t="s">
        <v>132</v>
      </c>
      <c r="C3182" s="8" t="str">
        <f>IFERROR(_xlfn.XLOOKUP(TRIM(B3182),Lookup!$B$2:$B$1000,Lookup!$C$2:$C$1000),"")</f>
        <v>Hybrid</v>
      </c>
      <c r="D3182" s="8" t="str">
        <f>IFERROR(INDEX('nav master'!$C:$C, MATCH(B3182, 'nav master'!$B:$B, 0)), "")</f>
        <v>ULIF03901/09/10BalancedFd101</v>
      </c>
      <c r="E3182" s="8" t="s">
        <v>191</v>
      </c>
      <c r="F3182" s="8" t="s">
        <v>3450</v>
      </c>
    </row>
    <row r="3183" spans="1:6" ht="60" x14ac:dyDescent="0.25">
      <c r="A3183" s="8" t="s">
        <v>125</v>
      </c>
      <c r="B3183" s="8" t="s">
        <v>132</v>
      </c>
      <c r="C3183" s="8" t="str">
        <f>IFERROR(_xlfn.XLOOKUP(TRIM(B3183),Lookup!$B$2:$B$1000,Lookup!$C$2:$C$1000),"")</f>
        <v>Hybrid</v>
      </c>
      <c r="D3183" s="8" t="str">
        <f>IFERROR(INDEX('nav master'!$C:$C, MATCH(B3183, 'nav master'!$B:$B, 0)), "")</f>
        <v>ULIF03901/09/10BalancedFd101</v>
      </c>
      <c r="E3183" s="8" t="s">
        <v>193</v>
      </c>
      <c r="F3183" s="8" t="s">
        <v>3451</v>
      </c>
    </row>
    <row r="3184" spans="1:6" ht="60" x14ac:dyDescent="0.25">
      <c r="A3184" s="8" t="s">
        <v>125</v>
      </c>
      <c r="B3184" s="8" t="s">
        <v>132</v>
      </c>
      <c r="C3184" s="8" t="str">
        <f>IFERROR(_xlfn.XLOOKUP(TRIM(B3184),Lookup!$B$2:$B$1000,Lookup!$C$2:$C$1000),"")</f>
        <v>Hybrid</v>
      </c>
      <c r="D3184" s="8" t="str">
        <f>IFERROR(INDEX('nav master'!$C:$C, MATCH(B3184, 'nav master'!$B:$B, 0)), "")</f>
        <v>ULIF03901/09/10BalancedFd101</v>
      </c>
      <c r="E3184" s="8" t="s">
        <v>195</v>
      </c>
      <c r="F3184" s="8" t="s">
        <v>3452</v>
      </c>
    </row>
    <row r="3185" spans="1:6" ht="60" x14ac:dyDescent="0.25">
      <c r="A3185" s="8" t="s">
        <v>125</v>
      </c>
      <c r="B3185" s="8" t="s">
        <v>132</v>
      </c>
      <c r="C3185" s="8" t="str">
        <f>IFERROR(_xlfn.XLOOKUP(TRIM(B3185),Lookup!$B$2:$B$1000,Lookup!$C$2:$C$1000),"")</f>
        <v>Hybrid</v>
      </c>
      <c r="D3185" s="8" t="str">
        <f>IFERROR(INDEX('nav master'!$C:$C, MATCH(B3185, 'nav master'!$B:$B, 0)), "")</f>
        <v>ULIF03901/09/10BalancedFd101</v>
      </c>
      <c r="E3185" s="8" t="s">
        <v>197</v>
      </c>
      <c r="F3185" s="8" t="s">
        <v>3453</v>
      </c>
    </row>
    <row r="3186" spans="1:6" ht="60" x14ac:dyDescent="0.25">
      <c r="A3186" s="8" t="s">
        <v>125</v>
      </c>
      <c r="B3186" s="8" t="s">
        <v>132</v>
      </c>
      <c r="C3186" s="8" t="str">
        <f>IFERROR(_xlfn.XLOOKUP(TRIM(B3186),Lookup!$B$2:$B$1000,Lookup!$C$2:$C$1000),"")</f>
        <v>Hybrid</v>
      </c>
      <c r="D3186" s="8" t="str">
        <f>IFERROR(INDEX('nav master'!$C:$C, MATCH(B3186, 'nav master'!$B:$B, 0)), "")</f>
        <v>ULIF03901/09/10BalancedFd101</v>
      </c>
      <c r="E3186" s="8" t="s">
        <v>199</v>
      </c>
      <c r="F3186" s="8" t="s">
        <v>3454</v>
      </c>
    </row>
    <row r="3187" spans="1:6" ht="60" x14ac:dyDescent="0.25">
      <c r="A3187" s="8" t="s">
        <v>125</v>
      </c>
      <c r="B3187" s="8" t="s">
        <v>132</v>
      </c>
      <c r="C3187" s="8" t="str">
        <f>IFERROR(_xlfn.XLOOKUP(TRIM(B3187),Lookup!$B$2:$B$1000,Lookup!$C$2:$C$1000),"")</f>
        <v>Hybrid</v>
      </c>
      <c r="D3187" s="8" t="str">
        <f>IFERROR(INDEX('nav master'!$C:$C, MATCH(B3187, 'nav master'!$B:$B, 0)), "")</f>
        <v>ULIF03901/09/10BalancedFd101</v>
      </c>
      <c r="E3187" s="8" t="s">
        <v>201</v>
      </c>
      <c r="F3187" s="8" t="s">
        <v>3455</v>
      </c>
    </row>
    <row r="3188" spans="1:6" ht="60" x14ac:dyDescent="0.25">
      <c r="A3188" s="8" t="s">
        <v>125</v>
      </c>
      <c r="B3188" s="8" t="s">
        <v>132</v>
      </c>
      <c r="C3188" s="8" t="str">
        <f>IFERROR(_xlfn.XLOOKUP(TRIM(B3188),Lookup!$B$2:$B$1000,Lookup!$C$2:$C$1000),"")</f>
        <v>Hybrid</v>
      </c>
      <c r="D3188" s="8" t="str">
        <f>IFERROR(INDEX('nav master'!$C:$C, MATCH(B3188, 'nav master'!$B:$B, 0)), "")</f>
        <v>ULIF03901/09/10BalancedFd101</v>
      </c>
      <c r="E3188" s="8" t="s">
        <v>203</v>
      </c>
      <c r="F3188" s="8" t="s">
        <v>3456</v>
      </c>
    </row>
    <row r="3189" spans="1:6" ht="60" x14ac:dyDescent="0.25">
      <c r="A3189" s="8" t="s">
        <v>125</v>
      </c>
      <c r="B3189" s="8" t="s">
        <v>132</v>
      </c>
      <c r="C3189" s="8" t="str">
        <f>IFERROR(_xlfn.XLOOKUP(TRIM(B3189),Lookup!$B$2:$B$1000,Lookup!$C$2:$C$1000),"")</f>
        <v>Hybrid</v>
      </c>
      <c r="D3189" s="8" t="str">
        <f>IFERROR(INDEX('nav master'!$C:$C, MATCH(B3189, 'nav master'!$B:$B, 0)), "")</f>
        <v>ULIF03901/09/10BalancedFd101</v>
      </c>
      <c r="E3189" s="8" t="s">
        <v>205</v>
      </c>
      <c r="F3189" s="8" t="s">
        <v>3457</v>
      </c>
    </row>
    <row r="3190" spans="1:6" ht="60" x14ac:dyDescent="0.25">
      <c r="A3190" s="8" t="s">
        <v>125</v>
      </c>
      <c r="B3190" s="8" t="s">
        <v>132</v>
      </c>
      <c r="C3190" s="8" t="str">
        <f>IFERROR(_xlfn.XLOOKUP(TRIM(B3190),Lookup!$B$2:$B$1000,Lookup!$C$2:$C$1000),"")</f>
        <v>Hybrid</v>
      </c>
      <c r="D3190" s="8" t="str">
        <f>IFERROR(INDEX('nav master'!$C:$C, MATCH(B3190, 'nav master'!$B:$B, 0)), "")</f>
        <v>ULIF03901/09/10BalancedFd101</v>
      </c>
      <c r="E3190" s="8" t="s">
        <v>207</v>
      </c>
      <c r="F3190" s="8" t="s">
        <v>3458</v>
      </c>
    </row>
    <row r="3191" spans="1:6" ht="60" x14ac:dyDescent="0.25">
      <c r="A3191" s="8" t="s">
        <v>125</v>
      </c>
      <c r="B3191" s="8" t="s">
        <v>132</v>
      </c>
      <c r="C3191" s="8" t="str">
        <f>IFERROR(_xlfn.XLOOKUP(TRIM(B3191),Lookup!$B$2:$B$1000,Lookup!$C$2:$C$1000),"")</f>
        <v>Hybrid</v>
      </c>
      <c r="D3191" s="8" t="str">
        <f>IFERROR(INDEX('nav master'!$C:$C, MATCH(B3191, 'nav master'!$B:$B, 0)), "")</f>
        <v>ULIF03901/09/10BalancedFd101</v>
      </c>
      <c r="E3191" s="8" t="s">
        <v>209</v>
      </c>
      <c r="F3191" s="8" t="s">
        <v>3459</v>
      </c>
    </row>
    <row r="3192" spans="1:6" ht="60" x14ac:dyDescent="0.25">
      <c r="A3192" s="8" t="s">
        <v>125</v>
      </c>
      <c r="B3192" s="8" t="s">
        <v>132</v>
      </c>
      <c r="C3192" s="8" t="str">
        <f>IFERROR(_xlfn.XLOOKUP(TRIM(B3192),Lookup!$B$2:$B$1000,Lookup!$C$2:$C$1000),"")</f>
        <v>Hybrid</v>
      </c>
      <c r="D3192" s="8" t="str">
        <f>IFERROR(INDEX('nav master'!$C:$C, MATCH(B3192, 'nav master'!$B:$B, 0)), "")</f>
        <v>ULIF03901/09/10BalancedFd101</v>
      </c>
      <c r="E3192" s="8" t="s">
        <v>211</v>
      </c>
      <c r="F3192" s="8" t="s">
        <v>3460</v>
      </c>
    </row>
    <row r="3193" spans="1:6" ht="60" x14ac:dyDescent="0.25">
      <c r="A3193" s="8" t="s">
        <v>125</v>
      </c>
      <c r="B3193" s="8" t="s">
        <v>132</v>
      </c>
      <c r="C3193" s="8" t="str">
        <f>IFERROR(_xlfn.XLOOKUP(TRIM(B3193),Lookup!$B$2:$B$1000,Lookup!$C$2:$C$1000),"")</f>
        <v>Hybrid</v>
      </c>
      <c r="D3193" s="8" t="str">
        <f>IFERROR(INDEX('nav master'!$C:$C, MATCH(B3193, 'nav master'!$B:$B, 0)), "")</f>
        <v>ULIF03901/09/10BalancedFd101</v>
      </c>
      <c r="E3193" s="8" t="s">
        <v>213</v>
      </c>
      <c r="F3193" s="8" t="s">
        <v>3461</v>
      </c>
    </row>
    <row r="3194" spans="1:6" ht="60" x14ac:dyDescent="0.25">
      <c r="A3194" s="8" t="s">
        <v>125</v>
      </c>
      <c r="B3194" s="8" t="s">
        <v>132</v>
      </c>
      <c r="C3194" s="8" t="str">
        <f>IFERROR(_xlfn.XLOOKUP(TRIM(B3194),Lookup!$B$2:$B$1000,Lookup!$C$2:$C$1000),"")</f>
        <v>Hybrid</v>
      </c>
      <c r="D3194" s="8" t="str">
        <f>IFERROR(INDEX('nav master'!$C:$C, MATCH(B3194, 'nav master'!$B:$B, 0)), "")</f>
        <v>ULIF03901/09/10BalancedFd101</v>
      </c>
      <c r="E3194" s="8" t="s">
        <v>215</v>
      </c>
      <c r="F3194" s="8" t="s">
        <v>3462</v>
      </c>
    </row>
    <row r="3195" spans="1:6" ht="60" x14ac:dyDescent="0.25">
      <c r="A3195" s="8" t="s">
        <v>125</v>
      </c>
      <c r="B3195" s="8" t="s">
        <v>132</v>
      </c>
      <c r="C3195" s="8" t="str">
        <f>IFERROR(_xlfn.XLOOKUP(TRIM(B3195),Lookup!$B$2:$B$1000,Lookup!$C$2:$C$1000),"")</f>
        <v>Hybrid</v>
      </c>
      <c r="D3195" s="8" t="str">
        <f>IFERROR(INDEX('nav master'!$C:$C, MATCH(B3195, 'nav master'!$B:$B, 0)), "")</f>
        <v>ULIF03901/09/10BalancedFd101</v>
      </c>
      <c r="E3195" s="8" t="s">
        <v>217</v>
      </c>
      <c r="F3195" s="8" t="s">
        <v>3463</v>
      </c>
    </row>
    <row r="3196" spans="1:6" ht="60" x14ac:dyDescent="0.25">
      <c r="A3196" s="8" t="s">
        <v>125</v>
      </c>
      <c r="B3196" s="8" t="s">
        <v>132</v>
      </c>
      <c r="C3196" s="8" t="str">
        <f>IFERROR(_xlfn.XLOOKUP(TRIM(B3196),Lookup!$B$2:$B$1000,Lookup!$C$2:$C$1000),"")</f>
        <v>Hybrid</v>
      </c>
      <c r="D3196" s="8" t="str">
        <f>IFERROR(INDEX('nav master'!$C:$C, MATCH(B3196, 'nav master'!$B:$B, 0)), "")</f>
        <v>ULIF03901/09/10BalancedFd101</v>
      </c>
      <c r="E3196" s="8" t="s">
        <v>219</v>
      </c>
      <c r="F3196" s="8" t="s">
        <v>3464</v>
      </c>
    </row>
    <row r="3197" spans="1:6" ht="60" x14ac:dyDescent="0.25">
      <c r="A3197" s="8" t="s">
        <v>125</v>
      </c>
      <c r="B3197" s="8" t="s">
        <v>132</v>
      </c>
      <c r="C3197" s="8" t="str">
        <f>IFERROR(_xlfn.XLOOKUP(TRIM(B3197),Lookup!$B$2:$B$1000,Lookup!$C$2:$C$1000),"")</f>
        <v>Hybrid</v>
      </c>
      <c r="D3197" s="8" t="str">
        <f>IFERROR(INDEX('nav master'!$C:$C, MATCH(B3197, 'nav master'!$B:$B, 0)), "")</f>
        <v>ULIF03901/09/10BalancedFd101</v>
      </c>
      <c r="E3197" s="8" t="s">
        <v>221</v>
      </c>
      <c r="F3197" s="8" t="s">
        <v>3465</v>
      </c>
    </row>
    <row r="3198" spans="1:6" ht="60" x14ac:dyDescent="0.25">
      <c r="A3198" s="8" t="s">
        <v>125</v>
      </c>
      <c r="B3198" s="8" t="s">
        <v>132</v>
      </c>
      <c r="C3198" s="8" t="str">
        <f>IFERROR(_xlfn.XLOOKUP(TRIM(B3198),Lookup!$B$2:$B$1000,Lookup!$C$2:$C$1000),"")</f>
        <v>Hybrid</v>
      </c>
      <c r="D3198" s="8" t="str">
        <f>IFERROR(INDEX('nav master'!$C:$C, MATCH(B3198, 'nav master'!$B:$B, 0)), "")</f>
        <v>ULIF03901/09/10BalancedFd101</v>
      </c>
      <c r="E3198" s="8" t="s">
        <v>223</v>
      </c>
      <c r="F3198" s="8" t="s">
        <v>3466</v>
      </c>
    </row>
    <row r="3199" spans="1:6" ht="60" x14ac:dyDescent="0.25">
      <c r="A3199" s="8" t="s">
        <v>125</v>
      </c>
      <c r="B3199" s="8" t="s">
        <v>132</v>
      </c>
      <c r="C3199" s="8" t="str">
        <f>IFERROR(_xlfn.XLOOKUP(TRIM(B3199),Lookup!$B$2:$B$1000,Lookup!$C$2:$C$1000),"")</f>
        <v>Hybrid</v>
      </c>
      <c r="D3199" s="8" t="str">
        <f>IFERROR(INDEX('nav master'!$C:$C, MATCH(B3199, 'nav master'!$B:$B, 0)), "")</f>
        <v>ULIF03901/09/10BalancedFd101</v>
      </c>
      <c r="E3199" s="8" t="s">
        <v>225</v>
      </c>
      <c r="F3199" s="8" t="s">
        <v>3467</v>
      </c>
    </row>
    <row r="3200" spans="1:6" ht="60" x14ac:dyDescent="0.25">
      <c r="A3200" s="8" t="s">
        <v>125</v>
      </c>
      <c r="B3200" s="8" t="s">
        <v>132</v>
      </c>
      <c r="C3200" s="8" t="str">
        <f>IFERROR(_xlfn.XLOOKUP(TRIM(B3200),Lookup!$B$2:$B$1000,Lookup!$C$2:$C$1000),"")</f>
        <v>Hybrid</v>
      </c>
      <c r="D3200" s="8" t="str">
        <f>IFERROR(INDEX('nav master'!$C:$C, MATCH(B3200, 'nav master'!$B:$B, 0)), "")</f>
        <v>ULIF03901/09/10BalancedFd101</v>
      </c>
      <c r="E3200" s="8" t="s">
        <v>227</v>
      </c>
      <c r="F3200" s="8" t="s">
        <v>3468</v>
      </c>
    </row>
    <row r="3201" spans="1:6" ht="60" x14ac:dyDescent="0.25">
      <c r="A3201" s="8" t="s">
        <v>125</v>
      </c>
      <c r="B3201" s="8" t="s">
        <v>132</v>
      </c>
      <c r="C3201" s="8" t="str">
        <f>IFERROR(_xlfn.XLOOKUP(TRIM(B3201),Lookup!$B$2:$B$1000,Lookup!$C$2:$C$1000),"")</f>
        <v>Hybrid</v>
      </c>
      <c r="D3201" s="8" t="str">
        <f>IFERROR(INDEX('nav master'!$C:$C, MATCH(B3201, 'nav master'!$B:$B, 0)), "")</f>
        <v>ULIF03901/09/10BalancedFd101</v>
      </c>
      <c r="E3201" s="8" t="s">
        <v>229</v>
      </c>
      <c r="F3201" s="8" t="s">
        <v>3469</v>
      </c>
    </row>
    <row r="3202" spans="1:6" ht="60" x14ac:dyDescent="0.25">
      <c r="A3202" s="8" t="s">
        <v>125</v>
      </c>
      <c r="B3202" s="8" t="s">
        <v>132</v>
      </c>
      <c r="C3202" s="8" t="str">
        <f>IFERROR(_xlfn.XLOOKUP(TRIM(B3202),Lookup!$B$2:$B$1000,Lookup!$C$2:$C$1000),"")</f>
        <v>Hybrid</v>
      </c>
      <c r="D3202" s="8" t="str">
        <f>IFERROR(INDEX('nav master'!$C:$C, MATCH(B3202, 'nav master'!$B:$B, 0)), "")</f>
        <v>ULIF03901/09/10BalancedFd101</v>
      </c>
      <c r="E3202" s="8" t="s">
        <v>231</v>
      </c>
      <c r="F3202" s="8" t="s">
        <v>3470</v>
      </c>
    </row>
    <row r="3203" spans="1:6" ht="60" x14ac:dyDescent="0.25">
      <c r="A3203" s="8" t="s">
        <v>125</v>
      </c>
      <c r="B3203" s="8" t="s">
        <v>132</v>
      </c>
      <c r="C3203" s="8" t="str">
        <f>IFERROR(_xlfn.XLOOKUP(TRIM(B3203),Lookup!$B$2:$B$1000,Lookup!$C$2:$C$1000),"")</f>
        <v>Hybrid</v>
      </c>
      <c r="D3203" s="8" t="str">
        <f>IFERROR(INDEX('nav master'!$C:$C, MATCH(B3203, 'nav master'!$B:$B, 0)), "")</f>
        <v>ULIF03901/09/10BalancedFd101</v>
      </c>
      <c r="E3203" s="8" t="s">
        <v>233</v>
      </c>
      <c r="F3203" s="8" t="s">
        <v>3471</v>
      </c>
    </row>
    <row r="3204" spans="1:6" ht="60" x14ac:dyDescent="0.25">
      <c r="A3204" s="8" t="s">
        <v>125</v>
      </c>
      <c r="B3204" s="8" t="s">
        <v>132</v>
      </c>
      <c r="C3204" s="8" t="str">
        <f>IFERROR(_xlfn.XLOOKUP(TRIM(B3204),Lookup!$B$2:$B$1000,Lookup!$C$2:$C$1000),"")</f>
        <v>Hybrid</v>
      </c>
      <c r="D3204" s="8" t="str">
        <f>IFERROR(INDEX('nav master'!$C:$C, MATCH(B3204, 'nav master'!$B:$B, 0)), "")</f>
        <v>ULIF03901/09/10BalancedFd101</v>
      </c>
      <c r="E3204" s="8" t="s">
        <v>235</v>
      </c>
      <c r="F3204" s="8" t="s">
        <v>3472</v>
      </c>
    </row>
    <row r="3205" spans="1:6" ht="60" x14ac:dyDescent="0.25">
      <c r="A3205" s="8" t="s">
        <v>125</v>
      </c>
      <c r="B3205" s="8" t="s">
        <v>132</v>
      </c>
      <c r="C3205" s="8" t="str">
        <f>IFERROR(_xlfn.XLOOKUP(TRIM(B3205),Lookup!$B$2:$B$1000,Lookup!$C$2:$C$1000),"")</f>
        <v>Hybrid</v>
      </c>
      <c r="D3205" s="8" t="str">
        <f>IFERROR(INDEX('nav master'!$C:$C, MATCH(B3205, 'nav master'!$B:$B, 0)), "")</f>
        <v>ULIF03901/09/10BalancedFd101</v>
      </c>
      <c r="E3205" s="8" t="s">
        <v>237</v>
      </c>
      <c r="F3205" s="8" t="s">
        <v>3473</v>
      </c>
    </row>
    <row r="3206" spans="1:6" ht="60" x14ac:dyDescent="0.25">
      <c r="A3206" s="8" t="s">
        <v>125</v>
      </c>
      <c r="B3206" s="8" t="s">
        <v>132</v>
      </c>
      <c r="C3206" s="8" t="str">
        <f>IFERROR(_xlfn.XLOOKUP(TRIM(B3206),Lookup!$B$2:$B$1000,Lookup!$C$2:$C$1000),"")</f>
        <v>Hybrid</v>
      </c>
      <c r="D3206" s="8" t="str">
        <f>IFERROR(INDEX('nav master'!$C:$C, MATCH(B3206, 'nav master'!$B:$B, 0)), "")</f>
        <v>ULIF03901/09/10BalancedFd101</v>
      </c>
      <c r="E3206" s="8" t="s">
        <v>239</v>
      </c>
      <c r="F3206" s="8" t="s">
        <v>3474</v>
      </c>
    </row>
    <row r="3207" spans="1:6" ht="60" x14ac:dyDescent="0.25">
      <c r="A3207" s="8" t="s">
        <v>125</v>
      </c>
      <c r="B3207" s="8" t="s">
        <v>132</v>
      </c>
      <c r="C3207" s="8" t="str">
        <f>IFERROR(_xlfn.XLOOKUP(TRIM(B3207),Lookup!$B$2:$B$1000,Lookup!$C$2:$C$1000),"")</f>
        <v>Hybrid</v>
      </c>
      <c r="D3207" s="8" t="str">
        <f>IFERROR(INDEX('nav master'!$C:$C, MATCH(B3207, 'nav master'!$B:$B, 0)), "")</f>
        <v>ULIF03901/09/10BalancedFd101</v>
      </c>
      <c r="E3207" s="8" t="s">
        <v>241</v>
      </c>
      <c r="F3207" s="8" t="s">
        <v>3475</v>
      </c>
    </row>
    <row r="3208" spans="1:6" ht="60" x14ac:dyDescent="0.25">
      <c r="A3208" s="8" t="s">
        <v>125</v>
      </c>
      <c r="B3208" s="8" t="s">
        <v>132</v>
      </c>
      <c r="C3208" s="8" t="str">
        <f>IFERROR(_xlfn.XLOOKUP(TRIM(B3208),Lookup!$B$2:$B$1000,Lookup!$C$2:$C$1000),"")</f>
        <v>Hybrid</v>
      </c>
      <c r="D3208" s="8" t="str">
        <f>IFERROR(INDEX('nav master'!$C:$C, MATCH(B3208, 'nav master'!$B:$B, 0)), "")</f>
        <v>ULIF03901/09/10BalancedFd101</v>
      </c>
      <c r="E3208" s="8" t="s">
        <v>243</v>
      </c>
      <c r="F3208" s="8" t="s">
        <v>3476</v>
      </c>
    </row>
    <row r="3209" spans="1:6" ht="60" x14ac:dyDescent="0.25">
      <c r="A3209" s="8" t="s">
        <v>125</v>
      </c>
      <c r="B3209" s="8" t="s">
        <v>132</v>
      </c>
      <c r="C3209" s="8" t="str">
        <f>IFERROR(_xlfn.XLOOKUP(TRIM(B3209),Lookup!$B$2:$B$1000,Lookup!$C$2:$C$1000),"")</f>
        <v>Hybrid</v>
      </c>
      <c r="D3209" s="8" t="str">
        <f>IFERROR(INDEX('nav master'!$C:$C, MATCH(B3209, 'nav master'!$B:$B, 0)), "")</f>
        <v>ULIF03901/09/10BalancedFd101</v>
      </c>
      <c r="E3209" s="8" t="s">
        <v>245</v>
      </c>
      <c r="F3209" s="8" t="s">
        <v>3477</v>
      </c>
    </row>
    <row r="3210" spans="1:6" ht="60" x14ac:dyDescent="0.25">
      <c r="A3210" s="8" t="s">
        <v>125</v>
      </c>
      <c r="B3210" s="8" t="s">
        <v>132</v>
      </c>
      <c r="C3210" s="8" t="str">
        <f>IFERROR(_xlfn.XLOOKUP(TRIM(B3210),Lookup!$B$2:$B$1000,Lookup!$C$2:$C$1000),"")</f>
        <v>Hybrid</v>
      </c>
      <c r="D3210" s="8" t="str">
        <f>IFERROR(INDEX('nav master'!$C:$C, MATCH(B3210, 'nav master'!$B:$B, 0)), "")</f>
        <v>ULIF03901/09/10BalancedFd101</v>
      </c>
      <c r="E3210" s="8" t="s">
        <v>247</v>
      </c>
      <c r="F3210" s="8" t="s">
        <v>3478</v>
      </c>
    </row>
    <row r="3211" spans="1:6" ht="60" x14ac:dyDescent="0.25">
      <c r="A3211" s="8" t="s">
        <v>125</v>
      </c>
      <c r="B3211" s="8" t="s">
        <v>132</v>
      </c>
      <c r="C3211" s="8" t="str">
        <f>IFERROR(_xlfn.XLOOKUP(TRIM(B3211),Lookup!$B$2:$B$1000,Lookup!$C$2:$C$1000),"")</f>
        <v>Hybrid</v>
      </c>
      <c r="D3211" s="8" t="str">
        <f>IFERROR(INDEX('nav master'!$C:$C, MATCH(B3211, 'nav master'!$B:$B, 0)), "")</f>
        <v>ULIF03901/09/10BalancedFd101</v>
      </c>
      <c r="E3211" s="8" t="s">
        <v>249</v>
      </c>
      <c r="F3211" s="8" t="s">
        <v>3479</v>
      </c>
    </row>
    <row r="3212" spans="1:6" ht="60" x14ac:dyDescent="0.25">
      <c r="A3212" s="8" t="s">
        <v>125</v>
      </c>
      <c r="B3212" s="8" t="s">
        <v>132</v>
      </c>
      <c r="C3212" s="8" t="str">
        <f>IFERROR(_xlfn.XLOOKUP(TRIM(B3212),Lookup!$B$2:$B$1000,Lookup!$C$2:$C$1000),"")</f>
        <v>Hybrid</v>
      </c>
      <c r="D3212" s="8" t="str">
        <f>IFERROR(INDEX('nav master'!$C:$C, MATCH(B3212, 'nav master'!$B:$B, 0)), "")</f>
        <v>ULIF03901/09/10BalancedFd101</v>
      </c>
      <c r="E3212" s="8" t="s">
        <v>251</v>
      </c>
      <c r="F3212" s="8" t="s">
        <v>3480</v>
      </c>
    </row>
    <row r="3213" spans="1:6" ht="60" x14ac:dyDescent="0.25">
      <c r="A3213" s="8" t="s">
        <v>125</v>
      </c>
      <c r="B3213" s="8" t="s">
        <v>132</v>
      </c>
      <c r="C3213" s="8" t="str">
        <f>IFERROR(_xlfn.XLOOKUP(TRIM(B3213),Lookup!$B$2:$B$1000,Lookup!$C$2:$C$1000),"")</f>
        <v>Hybrid</v>
      </c>
      <c r="D3213" s="8" t="str">
        <f>IFERROR(INDEX('nav master'!$C:$C, MATCH(B3213, 'nav master'!$B:$B, 0)), "")</f>
        <v>ULIF03901/09/10BalancedFd101</v>
      </c>
      <c r="E3213" s="8" t="s">
        <v>253</v>
      </c>
      <c r="F3213" s="8" t="s">
        <v>3481</v>
      </c>
    </row>
    <row r="3214" spans="1:6" ht="60" x14ac:dyDescent="0.25">
      <c r="A3214" s="8" t="s">
        <v>125</v>
      </c>
      <c r="B3214" s="8" t="s">
        <v>132</v>
      </c>
      <c r="C3214" s="8" t="str">
        <f>IFERROR(_xlfn.XLOOKUP(TRIM(B3214),Lookup!$B$2:$B$1000,Lookup!$C$2:$C$1000),"")</f>
        <v>Hybrid</v>
      </c>
      <c r="D3214" s="8" t="str">
        <f>IFERROR(INDEX('nav master'!$C:$C, MATCH(B3214, 'nav master'!$B:$B, 0)), "")</f>
        <v>ULIF03901/09/10BalancedFd101</v>
      </c>
      <c r="E3214" s="8" t="s">
        <v>255</v>
      </c>
      <c r="F3214" s="8" t="s">
        <v>3482</v>
      </c>
    </row>
    <row r="3215" spans="1:6" ht="60" x14ac:dyDescent="0.25">
      <c r="A3215" s="8" t="s">
        <v>125</v>
      </c>
      <c r="B3215" s="8" t="s">
        <v>132</v>
      </c>
      <c r="C3215" s="8" t="str">
        <f>IFERROR(_xlfn.XLOOKUP(TRIM(B3215),Lookup!$B$2:$B$1000,Lookup!$C$2:$C$1000),"")</f>
        <v>Hybrid</v>
      </c>
      <c r="D3215" s="8" t="str">
        <f>IFERROR(INDEX('nav master'!$C:$C, MATCH(B3215, 'nav master'!$B:$B, 0)), "")</f>
        <v>ULIF03901/09/10BalancedFd101</v>
      </c>
      <c r="E3215" s="8" t="s">
        <v>257</v>
      </c>
      <c r="F3215" s="8" t="s">
        <v>3483</v>
      </c>
    </row>
    <row r="3216" spans="1:6" ht="60" x14ac:dyDescent="0.25">
      <c r="A3216" s="8" t="s">
        <v>125</v>
      </c>
      <c r="B3216" s="8" t="s">
        <v>132</v>
      </c>
      <c r="C3216" s="8" t="str">
        <f>IFERROR(_xlfn.XLOOKUP(TRIM(B3216),Lookup!$B$2:$B$1000,Lookup!$C$2:$C$1000),"")</f>
        <v>Hybrid</v>
      </c>
      <c r="D3216" s="8" t="str">
        <f>IFERROR(INDEX('nav master'!$C:$C, MATCH(B3216, 'nav master'!$B:$B, 0)), "")</f>
        <v>ULIF03901/09/10BalancedFd101</v>
      </c>
      <c r="E3216" s="8" t="s">
        <v>259</v>
      </c>
      <c r="F3216" s="8" t="s">
        <v>3484</v>
      </c>
    </row>
    <row r="3217" spans="1:6" ht="60" x14ac:dyDescent="0.25">
      <c r="A3217" s="8" t="s">
        <v>125</v>
      </c>
      <c r="B3217" s="8" t="s">
        <v>132</v>
      </c>
      <c r="C3217" s="8" t="str">
        <f>IFERROR(_xlfn.XLOOKUP(TRIM(B3217),Lookup!$B$2:$B$1000,Lookup!$C$2:$C$1000),"")</f>
        <v>Hybrid</v>
      </c>
      <c r="D3217" s="8" t="str">
        <f>IFERROR(INDEX('nav master'!$C:$C, MATCH(B3217, 'nav master'!$B:$B, 0)), "")</f>
        <v>ULIF03901/09/10BalancedFd101</v>
      </c>
      <c r="E3217" s="8" t="s">
        <v>261</v>
      </c>
      <c r="F3217" s="8" t="s">
        <v>3485</v>
      </c>
    </row>
    <row r="3218" spans="1:6" ht="60" x14ac:dyDescent="0.25">
      <c r="A3218" s="8" t="s">
        <v>125</v>
      </c>
      <c r="B3218" s="8" t="s">
        <v>132</v>
      </c>
      <c r="C3218" s="8" t="str">
        <f>IFERROR(_xlfn.XLOOKUP(TRIM(B3218),Lookup!$B$2:$B$1000,Lookup!$C$2:$C$1000),"")</f>
        <v>Hybrid</v>
      </c>
      <c r="D3218" s="8" t="str">
        <f>IFERROR(INDEX('nav master'!$C:$C, MATCH(B3218, 'nav master'!$B:$B, 0)), "")</f>
        <v>ULIF03901/09/10BalancedFd101</v>
      </c>
      <c r="E3218" s="8" t="s">
        <v>263</v>
      </c>
      <c r="F3218" s="8" t="s">
        <v>3486</v>
      </c>
    </row>
    <row r="3219" spans="1:6" ht="60" x14ac:dyDescent="0.25">
      <c r="A3219" s="8" t="s">
        <v>125</v>
      </c>
      <c r="B3219" s="8" t="s">
        <v>132</v>
      </c>
      <c r="C3219" s="8" t="str">
        <f>IFERROR(_xlfn.XLOOKUP(TRIM(B3219),Lookup!$B$2:$B$1000,Lookup!$C$2:$C$1000),"")</f>
        <v>Hybrid</v>
      </c>
      <c r="D3219" s="8" t="str">
        <f>IFERROR(INDEX('nav master'!$C:$C, MATCH(B3219, 'nav master'!$B:$B, 0)), "")</f>
        <v>ULIF03901/09/10BalancedFd101</v>
      </c>
      <c r="E3219" s="8" t="s">
        <v>265</v>
      </c>
      <c r="F3219" s="8" t="s">
        <v>3487</v>
      </c>
    </row>
    <row r="3220" spans="1:6" ht="60" x14ac:dyDescent="0.25">
      <c r="A3220" s="8" t="s">
        <v>125</v>
      </c>
      <c r="B3220" s="8" t="s">
        <v>132</v>
      </c>
      <c r="C3220" s="8" t="str">
        <f>IFERROR(_xlfn.XLOOKUP(TRIM(B3220),Lookup!$B$2:$B$1000,Lookup!$C$2:$C$1000),"")</f>
        <v>Hybrid</v>
      </c>
      <c r="D3220" s="8" t="str">
        <f>IFERROR(INDEX('nav master'!$C:$C, MATCH(B3220, 'nav master'!$B:$B, 0)), "")</f>
        <v>ULIF03901/09/10BalancedFd101</v>
      </c>
      <c r="E3220" s="8" t="s">
        <v>267</v>
      </c>
      <c r="F3220" s="8" t="s">
        <v>3488</v>
      </c>
    </row>
    <row r="3221" spans="1:6" ht="60" x14ac:dyDescent="0.25">
      <c r="A3221" s="8" t="s">
        <v>125</v>
      </c>
      <c r="B3221" s="8" t="s">
        <v>132</v>
      </c>
      <c r="C3221" s="8" t="str">
        <f>IFERROR(_xlfn.XLOOKUP(TRIM(B3221),Lookup!$B$2:$B$1000,Lookup!$C$2:$C$1000),"")</f>
        <v>Hybrid</v>
      </c>
      <c r="D3221" s="8" t="str">
        <f>IFERROR(INDEX('nav master'!$C:$C, MATCH(B3221, 'nav master'!$B:$B, 0)), "")</f>
        <v>ULIF03901/09/10BalancedFd101</v>
      </c>
      <c r="E3221" s="8" t="s">
        <v>269</v>
      </c>
      <c r="F3221" s="8" t="s">
        <v>3489</v>
      </c>
    </row>
    <row r="3222" spans="1:6" ht="60" x14ac:dyDescent="0.25">
      <c r="A3222" s="8" t="s">
        <v>125</v>
      </c>
      <c r="B3222" s="8" t="s">
        <v>132</v>
      </c>
      <c r="C3222" s="8" t="str">
        <f>IFERROR(_xlfn.XLOOKUP(TRIM(B3222),Lookup!$B$2:$B$1000,Lookup!$C$2:$C$1000),"")</f>
        <v>Hybrid</v>
      </c>
      <c r="D3222" s="8" t="str">
        <f>IFERROR(INDEX('nav master'!$C:$C, MATCH(B3222, 'nav master'!$B:$B, 0)), "")</f>
        <v>ULIF03901/09/10BalancedFd101</v>
      </c>
      <c r="E3222" s="8" t="s">
        <v>271</v>
      </c>
      <c r="F3222" s="8" t="s">
        <v>3490</v>
      </c>
    </row>
    <row r="3223" spans="1:6" ht="60" x14ac:dyDescent="0.25">
      <c r="A3223" s="8" t="s">
        <v>125</v>
      </c>
      <c r="B3223" s="8" t="s">
        <v>132</v>
      </c>
      <c r="C3223" s="8" t="str">
        <f>IFERROR(_xlfn.XLOOKUP(TRIM(B3223),Lookup!$B$2:$B$1000,Lookup!$C$2:$C$1000),"")</f>
        <v>Hybrid</v>
      </c>
      <c r="D3223" s="8" t="str">
        <f>IFERROR(INDEX('nav master'!$C:$C, MATCH(B3223, 'nav master'!$B:$B, 0)), "")</f>
        <v>ULIF03901/09/10BalancedFd101</v>
      </c>
      <c r="E3223" s="8" t="s">
        <v>273</v>
      </c>
      <c r="F3223" s="8" t="s">
        <v>3491</v>
      </c>
    </row>
    <row r="3224" spans="1:6" ht="60" x14ac:dyDescent="0.25">
      <c r="A3224" s="8" t="s">
        <v>125</v>
      </c>
      <c r="B3224" s="8" t="s">
        <v>132</v>
      </c>
      <c r="C3224" s="8" t="str">
        <f>IFERROR(_xlfn.XLOOKUP(TRIM(B3224),Lookup!$B$2:$B$1000,Lookup!$C$2:$C$1000),"")</f>
        <v>Hybrid</v>
      </c>
      <c r="D3224" s="8" t="str">
        <f>IFERROR(INDEX('nav master'!$C:$C, MATCH(B3224, 'nav master'!$B:$B, 0)), "")</f>
        <v>ULIF03901/09/10BalancedFd101</v>
      </c>
      <c r="E3224" s="8" t="s">
        <v>275</v>
      </c>
      <c r="F3224" s="8" t="s">
        <v>3492</v>
      </c>
    </row>
    <row r="3225" spans="1:6" ht="60" x14ac:dyDescent="0.25">
      <c r="A3225" s="8" t="s">
        <v>125</v>
      </c>
      <c r="B3225" s="8" t="s">
        <v>132</v>
      </c>
      <c r="C3225" s="8" t="str">
        <f>IFERROR(_xlfn.XLOOKUP(TRIM(B3225),Lookup!$B$2:$B$1000,Lookup!$C$2:$C$1000),"")</f>
        <v>Hybrid</v>
      </c>
      <c r="D3225" s="8" t="str">
        <f>IFERROR(INDEX('nav master'!$C:$C, MATCH(B3225, 'nav master'!$B:$B, 0)), "")</f>
        <v>ULIF03901/09/10BalancedFd101</v>
      </c>
      <c r="E3225" s="8" t="s">
        <v>277</v>
      </c>
      <c r="F3225" s="8" t="s">
        <v>3493</v>
      </c>
    </row>
    <row r="3226" spans="1:6" ht="60" x14ac:dyDescent="0.25">
      <c r="A3226" s="8" t="s">
        <v>125</v>
      </c>
      <c r="B3226" s="8" t="s">
        <v>132</v>
      </c>
      <c r="C3226" s="8" t="str">
        <f>IFERROR(_xlfn.XLOOKUP(TRIM(B3226),Lookup!$B$2:$B$1000,Lookup!$C$2:$C$1000),"")</f>
        <v>Hybrid</v>
      </c>
      <c r="D3226" s="8" t="str">
        <f>IFERROR(INDEX('nav master'!$C:$C, MATCH(B3226, 'nav master'!$B:$B, 0)), "")</f>
        <v>ULIF03901/09/10BalancedFd101</v>
      </c>
      <c r="E3226" s="8" t="s">
        <v>279</v>
      </c>
      <c r="F3226" s="8" t="s">
        <v>3494</v>
      </c>
    </row>
    <row r="3227" spans="1:6" ht="60" x14ac:dyDescent="0.25">
      <c r="A3227" s="8" t="s">
        <v>125</v>
      </c>
      <c r="B3227" s="8" t="s">
        <v>132</v>
      </c>
      <c r="C3227" s="8" t="str">
        <f>IFERROR(_xlfn.XLOOKUP(TRIM(B3227),Lookup!$B$2:$B$1000,Lookup!$C$2:$C$1000),"")</f>
        <v>Hybrid</v>
      </c>
      <c r="D3227" s="8" t="str">
        <f>IFERROR(INDEX('nav master'!$C:$C, MATCH(B3227, 'nav master'!$B:$B, 0)), "")</f>
        <v>ULIF03901/09/10BalancedFd101</v>
      </c>
      <c r="E3227" s="8" t="s">
        <v>281</v>
      </c>
      <c r="F3227" s="8" t="s">
        <v>3495</v>
      </c>
    </row>
    <row r="3228" spans="1:6" ht="60" x14ac:dyDescent="0.25">
      <c r="A3228" s="8" t="s">
        <v>125</v>
      </c>
      <c r="B3228" s="8" t="s">
        <v>132</v>
      </c>
      <c r="C3228" s="8" t="str">
        <f>IFERROR(_xlfn.XLOOKUP(TRIM(B3228),Lookup!$B$2:$B$1000,Lookup!$C$2:$C$1000),"")</f>
        <v>Hybrid</v>
      </c>
      <c r="D3228" s="8" t="str">
        <f>IFERROR(INDEX('nav master'!$C:$C, MATCH(B3228, 'nav master'!$B:$B, 0)), "")</f>
        <v>ULIF03901/09/10BalancedFd101</v>
      </c>
      <c r="E3228" s="8" t="s">
        <v>283</v>
      </c>
      <c r="F3228" s="8" t="s">
        <v>3496</v>
      </c>
    </row>
    <row r="3229" spans="1:6" ht="60" x14ac:dyDescent="0.25">
      <c r="A3229" s="8" t="s">
        <v>125</v>
      </c>
      <c r="B3229" s="8" t="s">
        <v>132</v>
      </c>
      <c r="C3229" s="8" t="str">
        <f>IFERROR(_xlfn.XLOOKUP(TRIM(B3229),Lookup!$B$2:$B$1000,Lookup!$C$2:$C$1000),"")</f>
        <v>Hybrid</v>
      </c>
      <c r="D3229" s="8" t="str">
        <f>IFERROR(INDEX('nav master'!$C:$C, MATCH(B3229, 'nav master'!$B:$B, 0)), "")</f>
        <v>ULIF03901/09/10BalancedFd101</v>
      </c>
      <c r="E3229" s="8" t="s">
        <v>285</v>
      </c>
      <c r="F3229" s="8" t="s">
        <v>3497</v>
      </c>
    </row>
    <row r="3230" spans="1:6" ht="60" x14ac:dyDescent="0.25">
      <c r="A3230" s="8" t="s">
        <v>125</v>
      </c>
      <c r="B3230" s="8" t="s">
        <v>132</v>
      </c>
      <c r="C3230" s="8" t="str">
        <f>IFERROR(_xlfn.XLOOKUP(TRIM(B3230),Lookup!$B$2:$B$1000,Lookup!$C$2:$C$1000),"")</f>
        <v>Hybrid</v>
      </c>
      <c r="D3230" s="8" t="str">
        <f>IFERROR(INDEX('nav master'!$C:$C, MATCH(B3230, 'nav master'!$B:$B, 0)), "")</f>
        <v>ULIF03901/09/10BalancedFd101</v>
      </c>
      <c r="E3230" s="8" t="s">
        <v>287</v>
      </c>
      <c r="F3230" s="8" t="s">
        <v>3498</v>
      </c>
    </row>
    <row r="3231" spans="1:6" ht="60" x14ac:dyDescent="0.25">
      <c r="A3231" s="8" t="s">
        <v>125</v>
      </c>
      <c r="B3231" s="8" t="s">
        <v>132</v>
      </c>
      <c r="C3231" s="8" t="str">
        <f>IFERROR(_xlfn.XLOOKUP(TRIM(B3231),Lookup!$B$2:$B$1000,Lookup!$C$2:$C$1000),"")</f>
        <v>Hybrid</v>
      </c>
      <c r="D3231" s="8" t="str">
        <f>IFERROR(INDEX('nav master'!$C:$C, MATCH(B3231, 'nav master'!$B:$B, 0)), "")</f>
        <v>ULIF03901/09/10BalancedFd101</v>
      </c>
      <c r="E3231" s="8" t="s">
        <v>289</v>
      </c>
      <c r="F3231" s="8" t="s">
        <v>3499</v>
      </c>
    </row>
    <row r="3232" spans="1:6" ht="60" x14ac:dyDescent="0.25">
      <c r="A3232" s="8" t="s">
        <v>125</v>
      </c>
      <c r="B3232" s="8" t="s">
        <v>132</v>
      </c>
      <c r="C3232" s="8" t="str">
        <f>IFERROR(_xlfn.XLOOKUP(TRIM(B3232),Lookup!$B$2:$B$1000,Lookup!$C$2:$C$1000),"")</f>
        <v>Hybrid</v>
      </c>
      <c r="D3232" s="8" t="str">
        <f>IFERROR(INDEX('nav master'!$C:$C, MATCH(B3232, 'nav master'!$B:$B, 0)), "")</f>
        <v>ULIF03901/09/10BalancedFd101</v>
      </c>
      <c r="E3232" s="8" t="s">
        <v>291</v>
      </c>
      <c r="F3232" s="8" t="s">
        <v>3500</v>
      </c>
    </row>
    <row r="3233" spans="1:6" ht="60" x14ac:dyDescent="0.25">
      <c r="A3233" s="8" t="s">
        <v>125</v>
      </c>
      <c r="B3233" s="8" t="s">
        <v>132</v>
      </c>
      <c r="C3233" s="8" t="str">
        <f>IFERROR(_xlfn.XLOOKUP(TRIM(B3233),Lookup!$B$2:$B$1000,Lookup!$C$2:$C$1000),"")</f>
        <v>Hybrid</v>
      </c>
      <c r="D3233" s="8" t="str">
        <f>IFERROR(INDEX('nav master'!$C:$C, MATCH(B3233, 'nav master'!$B:$B, 0)), "")</f>
        <v>ULIF03901/09/10BalancedFd101</v>
      </c>
      <c r="E3233" s="8" t="s">
        <v>293</v>
      </c>
      <c r="F3233" s="8" t="s">
        <v>3501</v>
      </c>
    </row>
    <row r="3234" spans="1:6" ht="60" x14ac:dyDescent="0.25">
      <c r="A3234" s="8" t="s">
        <v>125</v>
      </c>
      <c r="B3234" s="8" t="s">
        <v>132</v>
      </c>
      <c r="C3234" s="8" t="str">
        <f>IFERROR(_xlfn.XLOOKUP(TRIM(B3234),Lookup!$B$2:$B$1000,Lookup!$C$2:$C$1000),"")</f>
        <v>Hybrid</v>
      </c>
      <c r="D3234" s="8" t="str">
        <f>IFERROR(INDEX('nav master'!$C:$C, MATCH(B3234, 'nav master'!$B:$B, 0)), "")</f>
        <v>ULIF03901/09/10BalancedFd101</v>
      </c>
      <c r="E3234" s="8" t="s">
        <v>295</v>
      </c>
      <c r="F3234" s="8" t="s">
        <v>3502</v>
      </c>
    </row>
    <row r="3235" spans="1:6" ht="60" x14ac:dyDescent="0.25">
      <c r="A3235" s="8" t="s">
        <v>125</v>
      </c>
      <c r="B3235" s="8" t="s">
        <v>132</v>
      </c>
      <c r="C3235" s="8" t="str">
        <f>IFERROR(_xlfn.XLOOKUP(TRIM(B3235),Lookup!$B$2:$B$1000,Lookup!$C$2:$C$1000),"")</f>
        <v>Hybrid</v>
      </c>
      <c r="D3235" s="8" t="str">
        <f>IFERROR(INDEX('nav master'!$C:$C, MATCH(B3235, 'nav master'!$B:$B, 0)), "")</f>
        <v>ULIF03901/09/10BalancedFd101</v>
      </c>
      <c r="E3235" s="8" t="s">
        <v>297</v>
      </c>
      <c r="F3235" s="8" t="s">
        <v>3503</v>
      </c>
    </row>
    <row r="3236" spans="1:6" ht="60" x14ac:dyDescent="0.25">
      <c r="A3236" s="8" t="s">
        <v>125</v>
      </c>
      <c r="B3236" s="8" t="s">
        <v>132</v>
      </c>
      <c r="C3236" s="8" t="str">
        <f>IFERROR(_xlfn.XLOOKUP(TRIM(B3236),Lookup!$B$2:$B$1000,Lookup!$C$2:$C$1000),"")</f>
        <v>Hybrid</v>
      </c>
      <c r="D3236" s="8" t="str">
        <f>IFERROR(INDEX('nav master'!$C:$C, MATCH(B3236, 'nav master'!$B:$B, 0)), "")</f>
        <v>ULIF03901/09/10BalancedFd101</v>
      </c>
      <c r="E3236" s="8" t="s">
        <v>299</v>
      </c>
      <c r="F3236" s="8" t="s">
        <v>3504</v>
      </c>
    </row>
    <row r="3237" spans="1:6" ht="60" x14ac:dyDescent="0.25">
      <c r="A3237" s="8" t="s">
        <v>125</v>
      </c>
      <c r="B3237" s="8" t="s">
        <v>132</v>
      </c>
      <c r="C3237" s="8" t="str">
        <f>IFERROR(_xlfn.XLOOKUP(TRIM(B3237),Lookup!$B$2:$B$1000,Lookup!$C$2:$C$1000),"")</f>
        <v>Hybrid</v>
      </c>
      <c r="D3237" s="8" t="str">
        <f>IFERROR(INDEX('nav master'!$C:$C, MATCH(B3237, 'nav master'!$B:$B, 0)), "")</f>
        <v>ULIF03901/09/10BalancedFd101</v>
      </c>
      <c r="E3237" s="8" t="s">
        <v>301</v>
      </c>
      <c r="F3237" s="8" t="s">
        <v>3505</v>
      </c>
    </row>
    <row r="3238" spans="1:6" ht="60" x14ac:dyDescent="0.25">
      <c r="A3238" s="8" t="s">
        <v>125</v>
      </c>
      <c r="B3238" s="8" t="s">
        <v>132</v>
      </c>
      <c r="C3238" s="8" t="str">
        <f>IFERROR(_xlfn.XLOOKUP(TRIM(B3238),Lookup!$B$2:$B$1000,Lookup!$C$2:$C$1000),"")</f>
        <v>Hybrid</v>
      </c>
      <c r="D3238" s="8" t="str">
        <f>IFERROR(INDEX('nav master'!$C:$C, MATCH(B3238, 'nav master'!$B:$B, 0)), "")</f>
        <v>ULIF03901/09/10BalancedFd101</v>
      </c>
      <c r="E3238" s="8" t="s">
        <v>303</v>
      </c>
      <c r="F3238" s="8" t="s">
        <v>3506</v>
      </c>
    </row>
    <row r="3239" spans="1:6" ht="60" x14ac:dyDescent="0.25">
      <c r="A3239" s="8" t="s">
        <v>125</v>
      </c>
      <c r="B3239" s="8" t="s">
        <v>132</v>
      </c>
      <c r="C3239" s="8" t="str">
        <f>IFERROR(_xlfn.XLOOKUP(TRIM(B3239),Lookup!$B$2:$B$1000,Lookup!$C$2:$C$1000),"")</f>
        <v>Hybrid</v>
      </c>
      <c r="D3239" s="8" t="str">
        <f>IFERROR(INDEX('nav master'!$C:$C, MATCH(B3239, 'nav master'!$B:$B, 0)), "")</f>
        <v>ULIF03901/09/10BalancedFd101</v>
      </c>
      <c r="E3239" s="8" t="s">
        <v>305</v>
      </c>
      <c r="F3239" s="8" t="s">
        <v>3507</v>
      </c>
    </row>
    <row r="3240" spans="1:6" ht="60" x14ac:dyDescent="0.25">
      <c r="A3240" s="8" t="s">
        <v>125</v>
      </c>
      <c r="B3240" s="8" t="s">
        <v>132</v>
      </c>
      <c r="C3240" s="8" t="str">
        <f>IFERROR(_xlfn.XLOOKUP(TRIM(B3240),Lookup!$B$2:$B$1000,Lookup!$C$2:$C$1000),"")</f>
        <v>Hybrid</v>
      </c>
      <c r="D3240" s="8" t="str">
        <f>IFERROR(INDEX('nav master'!$C:$C, MATCH(B3240, 'nav master'!$B:$B, 0)), "")</f>
        <v>ULIF03901/09/10BalancedFd101</v>
      </c>
      <c r="E3240" s="8" t="s">
        <v>307</v>
      </c>
      <c r="F3240" s="8" t="s">
        <v>3508</v>
      </c>
    </row>
    <row r="3241" spans="1:6" ht="60" x14ac:dyDescent="0.25">
      <c r="A3241" s="8" t="s">
        <v>125</v>
      </c>
      <c r="B3241" s="8" t="s">
        <v>132</v>
      </c>
      <c r="C3241" s="8" t="str">
        <f>IFERROR(_xlfn.XLOOKUP(TRIM(B3241),Lookup!$B$2:$B$1000,Lookup!$C$2:$C$1000),"")</f>
        <v>Hybrid</v>
      </c>
      <c r="D3241" s="8" t="str">
        <f>IFERROR(INDEX('nav master'!$C:$C, MATCH(B3241, 'nav master'!$B:$B, 0)), "")</f>
        <v>ULIF03901/09/10BalancedFd101</v>
      </c>
      <c r="E3241" s="8" t="s">
        <v>309</v>
      </c>
      <c r="F3241" s="8" t="s">
        <v>3509</v>
      </c>
    </row>
    <row r="3242" spans="1:6" ht="60" x14ac:dyDescent="0.25">
      <c r="A3242" s="8" t="s">
        <v>125</v>
      </c>
      <c r="B3242" s="8" t="s">
        <v>132</v>
      </c>
      <c r="C3242" s="8" t="str">
        <f>IFERROR(_xlfn.XLOOKUP(TRIM(B3242),Lookup!$B$2:$B$1000,Lookup!$C$2:$C$1000),"")</f>
        <v>Hybrid</v>
      </c>
      <c r="D3242" s="8" t="str">
        <f>IFERROR(INDEX('nav master'!$C:$C, MATCH(B3242, 'nav master'!$B:$B, 0)), "")</f>
        <v>ULIF03901/09/10BalancedFd101</v>
      </c>
      <c r="E3242" s="8" t="s">
        <v>311</v>
      </c>
      <c r="F3242" s="8" t="s">
        <v>3510</v>
      </c>
    </row>
    <row r="3243" spans="1:6" ht="60" x14ac:dyDescent="0.25">
      <c r="A3243" s="8" t="s">
        <v>125</v>
      </c>
      <c r="B3243" s="8" t="s">
        <v>132</v>
      </c>
      <c r="C3243" s="8" t="str">
        <f>IFERROR(_xlfn.XLOOKUP(TRIM(B3243),Lookup!$B$2:$B$1000,Lookup!$C$2:$C$1000),"")</f>
        <v>Hybrid</v>
      </c>
      <c r="D3243" s="8" t="str">
        <f>IFERROR(INDEX('nav master'!$C:$C, MATCH(B3243, 'nav master'!$B:$B, 0)), "")</f>
        <v>ULIF03901/09/10BalancedFd101</v>
      </c>
      <c r="E3243" s="8" t="s">
        <v>313</v>
      </c>
      <c r="F3243" s="8" t="s">
        <v>3511</v>
      </c>
    </row>
    <row r="3244" spans="1:6" ht="60" x14ac:dyDescent="0.25">
      <c r="A3244" s="8" t="s">
        <v>125</v>
      </c>
      <c r="B3244" s="8" t="s">
        <v>132</v>
      </c>
      <c r="C3244" s="8" t="str">
        <f>IFERROR(_xlfn.XLOOKUP(TRIM(B3244),Lookup!$B$2:$B$1000,Lookup!$C$2:$C$1000),"")</f>
        <v>Hybrid</v>
      </c>
      <c r="D3244" s="8" t="str">
        <f>IFERROR(INDEX('nav master'!$C:$C, MATCH(B3244, 'nav master'!$B:$B, 0)), "")</f>
        <v>ULIF03901/09/10BalancedFd101</v>
      </c>
      <c r="E3244" s="8" t="s">
        <v>315</v>
      </c>
      <c r="F3244" s="8" t="s">
        <v>3512</v>
      </c>
    </row>
    <row r="3245" spans="1:6" ht="60" x14ac:dyDescent="0.25">
      <c r="A3245" s="8" t="s">
        <v>125</v>
      </c>
      <c r="B3245" s="8" t="s">
        <v>132</v>
      </c>
      <c r="C3245" s="8" t="str">
        <f>IFERROR(_xlfn.XLOOKUP(TRIM(B3245),Lookup!$B$2:$B$1000,Lookup!$C$2:$C$1000),"")</f>
        <v>Hybrid</v>
      </c>
      <c r="D3245" s="8" t="str">
        <f>IFERROR(INDEX('nav master'!$C:$C, MATCH(B3245, 'nav master'!$B:$B, 0)), "")</f>
        <v>ULIF03901/09/10BalancedFd101</v>
      </c>
      <c r="E3245" s="8" t="s">
        <v>317</v>
      </c>
      <c r="F3245" s="8" t="s">
        <v>3513</v>
      </c>
    </row>
    <row r="3246" spans="1:6" ht="60" x14ac:dyDescent="0.25">
      <c r="A3246" s="8" t="s">
        <v>125</v>
      </c>
      <c r="B3246" s="8" t="s">
        <v>132</v>
      </c>
      <c r="C3246" s="8" t="str">
        <f>IFERROR(_xlfn.XLOOKUP(TRIM(B3246),Lookup!$B$2:$B$1000,Lookup!$C$2:$C$1000),"")</f>
        <v>Hybrid</v>
      </c>
      <c r="D3246" s="8" t="str">
        <f>IFERROR(INDEX('nav master'!$C:$C, MATCH(B3246, 'nav master'!$B:$B, 0)), "")</f>
        <v>ULIF03901/09/10BalancedFd101</v>
      </c>
      <c r="E3246" s="8" t="s">
        <v>319</v>
      </c>
      <c r="F3246" s="8" t="s">
        <v>3514</v>
      </c>
    </row>
    <row r="3247" spans="1:6" ht="60" x14ac:dyDescent="0.25">
      <c r="A3247" s="8" t="s">
        <v>125</v>
      </c>
      <c r="B3247" s="8" t="s">
        <v>132</v>
      </c>
      <c r="C3247" s="8" t="str">
        <f>IFERROR(_xlfn.XLOOKUP(TRIM(B3247),Lookup!$B$2:$B$1000,Lookup!$C$2:$C$1000),"")</f>
        <v>Hybrid</v>
      </c>
      <c r="D3247" s="8" t="str">
        <f>IFERROR(INDEX('nav master'!$C:$C, MATCH(B3247, 'nav master'!$B:$B, 0)), "")</f>
        <v>ULIF03901/09/10BalancedFd101</v>
      </c>
      <c r="E3247" s="8" t="s">
        <v>321</v>
      </c>
      <c r="F3247" s="8" t="s">
        <v>3515</v>
      </c>
    </row>
    <row r="3248" spans="1:6" ht="60" x14ac:dyDescent="0.25">
      <c r="A3248" s="8" t="s">
        <v>125</v>
      </c>
      <c r="B3248" s="8" t="s">
        <v>132</v>
      </c>
      <c r="C3248" s="8" t="str">
        <f>IFERROR(_xlfn.XLOOKUP(TRIM(B3248),Lookup!$B$2:$B$1000,Lookup!$C$2:$C$1000),"")</f>
        <v>Hybrid</v>
      </c>
      <c r="D3248" s="8" t="str">
        <f>IFERROR(INDEX('nav master'!$C:$C, MATCH(B3248, 'nav master'!$B:$B, 0)), "")</f>
        <v>ULIF03901/09/10BalancedFd101</v>
      </c>
      <c r="E3248" s="8" t="s">
        <v>323</v>
      </c>
      <c r="F3248" s="8" t="s">
        <v>3516</v>
      </c>
    </row>
    <row r="3249" spans="1:6" ht="60" x14ac:dyDescent="0.25">
      <c r="A3249" s="8" t="s">
        <v>125</v>
      </c>
      <c r="B3249" s="8" t="s">
        <v>132</v>
      </c>
      <c r="C3249" s="8" t="str">
        <f>IFERROR(_xlfn.XLOOKUP(TRIM(B3249),Lookup!$B$2:$B$1000,Lookup!$C$2:$C$1000),"")</f>
        <v>Hybrid</v>
      </c>
      <c r="D3249" s="8" t="str">
        <f>IFERROR(INDEX('nav master'!$C:$C, MATCH(B3249, 'nav master'!$B:$B, 0)), "")</f>
        <v>ULIF03901/09/10BalancedFd101</v>
      </c>
      <c r="E3249" s="8" t="s">
        <v>325</v>
      </c>
      <c r="F3249" s="8" t="s">
        <v>3517</v>
      </c>
    </row>
    <row r="3250" spans="1:6" ht="60" x14ac:dyDescent="0.25">
      <c r="A3250" s="8" t="s">
        <v>125</v>
      </c>
      <c r="B3250" s="8" t="s">
        <v>132</v>
      </c>
      <c r="C3250" s="8" t="str">
        <f>IFERROR(_xlfn.XLOOKUP(TRIM(B3250),Lookup!$B$2:$B$1000,Lookup!$C$2:$C$1000),"")</f>
        <v>Hybrid</v>
      </c>
      <c r="D3250" s="8" t="str">
        <f>IFERROR(INDEX('nav master'!$C:$C, MATCH(B3250, 'nav master'!$B:$B, 0)), "")</f>
        <v>ULIF03901/09/10BalancedFd101</v>
      </c>
      <c r="E3250" s="8" t="s">
        <v>327</v>
      </c>
      <c r="F3250" s="8" t="s">
        <v>3518</v>
      </c>
    </row>
    <row r="3251" spans="1:6" ht="60" x14ac:dyDescent="0.25">
      <c r="A3251" s="8" t="s">
        <v>125</v>
      </c>
      <c r="B3251" s="8" t="s">
        <v>132</v>
      </c>
      <c r="C3251" s="8" t="str">
        <f>IFERROR(_xlfn.XLOOKUP(TRIM(B3251),Lookup!$B$2:$B$1000,Lookup!$C$2:$C$1000),"")</f>
        <v>Hybrid</v>
      </c>
      <c r="D3251" s="8" t="str">
        <f>IFERROR(INDEX('nav master'!$C:$C, MATCH(B3251, 'nav master'!$B:$B, 0)), "")</f>
        <v>ULIF03901/09/10BalancedFd101</v>
      </c>
      <c r="E3251" s="8" t="s">
        <v>329</v>
      </c>
      <c r="F3251" s="8" t="s">
        <v>3519</v>
      </c>
    </row>
    <row r="3252" spans="1:6" ht="60" x14ac:dyDescent="0.25">
      <c r="A3252" s="8" t="s">
        <v>125</v>
      </c>
      <c r="B3252" s="8" t="s">
        <v>132</v>
      </c>
      <c r="C3252" s="8" t="str">
        <f>IFERROR(_xlfn.XLOOKUP(TRIM(B3252),Lookup!$B$2:$B$1000,Lookup!$C$2:$C$1000),"")</f>
        <v>Hybrid</v>
      </c>
      <c r="D3252" s="8" t="str">
        <f>IFERROR(INDEX('nav master'!$C:$C, MATCH(B3252, 'nav master'!$B:$B, 0)), "")</f>
        <v>ULIF03901/09/10BalancedFd101</v>
      </c>
      <c r="E3252" s="8" t="s">
        <v>331</v>
      </c>
      <c r="F3252" s="8" t="s">
        <v>3520</v>
      </c>
    </row>
    <row r="3253" spans="1:6" ht="60" x14ac:dyDescent="0.25">
      <c r="A3253" s="8" t="s">
        <v>125</v>
      </c>
      <c r="B3253" s="8" t="s">
        <v>132</v>
      </c>
      <c r="C3253" s="8" t="str">
        <f>IFERROR(_xlfn.XLOOKUP(TRIM(B3253),Lookup!$B$2:$B$1000,Lookup!$C$2:$C$1000),"")</f>
        <v>Hybrid</v>
      </c>
      <c r="D3253" s="8" t="str">
        <f>IFERROR(INDEX('nav master'!$C:$C, MATCH(B3253, 'nav master'!$B:$B, 0)), "")</f>
        <v>ULIF03901/09/10BalancedFd101</v>
      </c>
      <c r="E3253" s="8" t="s">
        <v>333</v>
      </c>
      <c r="F3253" s="8" t="s">
        <v>3521</v>
      </c>
    </row>
    <row r="3254" spans="1:6" ht="60" x14ac:dyDescent="0.25">
      <c r="A3254" s="8" t="s">
        <v>125</v>
      </c>
      <c r="B3254" s="8" t="s">
        <v>132</v>
      </c>
      <c r="C3254" s="8" t="str">
        <f>IFERROR(_xlfn.XLOOKUP(TRIM(B3254),Lookup!$B$2:$B$1000,Lookup!$C$2:$C$1000),"")</f>
        <v>Hybrid</v>
      </c>
      <c r="D3254" s="8" t="str">
        <f>IFERROR(INDEX('nav master'!$C:$C, MATCH(B3254, 'nav master'!$B:$B, 0)), "")</f>
        <v>ULIF03901/09/10BalancedFd101</v>
      </c>
      <c r="E3254" s="8" t="s">
        <v>335</v>
      </c>
      <c r="F3254" s="8" t="s">
        <v>3522</v>
      </c>
    </row>
    <row r="3255" spans="1:6" ht="60" x14ac:dyDescent="0.25">
      <c r="A3255" s="8" t="s">
        <v>125</v>
      </c>
      <c r="B3255" s="8" t="s">
        <v>132</v>
      </c>
      <c r="C3255" s="8" t="str">
        <f>IFERROR(_xlfn.XLOOKUP(TRIM(B3255),Lookup!$B$2:$B$1000,Lookup!$C$2:$C$1000),"")</f>
        <v>Hybrid</v>
      </c>
      <c r="D3255" s="8" t="str">
        <f>IFERROR(INDEX('nav master'!$C:$C, MATCH(B3255, 'nav master'!$B:$B, 0)), "")</f>
        <v>ULIF03901/09/10BalancedFd101</v>
      </c>
      <c r="E3255" s="8" t="s">
        <v>337</v>
      </c>
      <c r="F3255" s="8" t="s">
        <v>3523</v>
      </c>
    </row>
    <row r="3256" spans="1:6" ht="60" x14ac:dyDescent="0.25">
      <c r="A3256" s="8" t="s">
        <v>125</v>
      </c>
      <c r="B3256" s="8" t="s">
        <v>132</v>
      </c>
      <c r="C3256" s="8" t="str">
        <f>IFERROR(_xlfn.XLOOKUP(TRIM(B3256),Lookup!$B$2:$B$1000,Lookup!$C$2:$C$1000),"")</f>
        <v>Hybrid</v>
      </c>
      <c r="D3256" s="8" t="str">
        <f>IFERROR(INDEX('nav master'!$C:$C, MATCH(B3256, 'nav master'!$B:$B, 0)), "")</f>
        <v>ULIF03901/09/10BalancedFd101</v>
      </c>
      <c r="E3256" s="8" t="s">
        <v>339</v>
      </c>
      <c r="F3256" s="8" t="s">
        <v>3524</v>
      </c>
    </row>
    <row r="3257" spans="1:6" ht="60" x14ac:dyDescent="0.25">
      <c r="A3257" s="8" t="s">
        <v>125</v>
      </c>
      <c r="B3257" s="8" t="s">
        <v>132</v>
      </c>
      <c r="C3257" s="8" t="str">
        <f>IFERROR(_xlfn.XLOOKUP(TRIM(B3257),Lookup!$B$2:$B$1000,Lookup!$C$2:$C$1000),"")</f>
        <v>Hybrid</v>
      </c>
      <c r="D3257" s="8" t="str">
        <f>IFERROR(INDEX('nav master'!$C:$C, MATCH(B3257, 'nav master'!$B:$B, 0)), "")</f>
        <v>ULIF03901/09/10BalancedFd101</v>
      </c>
      <c r="E3257" s="8" t="s">
        <v>341</v>
      </c>
      <c r="F3257" s="8" t="s">
        <v>3525</v>
      </c>
    </row>
    <row r="3258" spans="1:6" ht="60" x14ac:dyDescent="0.25">
      <c r="A3258" s="8" t="s">
        <v>125</v>
      </c>
      <c r="B3258" s="8" t="s">
        <v>132</v>
      </c>
      <c r="C3258" s="8" t="str">
        <f>IFERROR(_xlfn.XLOOKUP(TRIM(B3258),Lookup!$B$2:$B$1000,Lookup!$C$2:$C$1000),"")</f>
        <v>Hybrid</v>
      </c>
      <c r="D3258" s="8" t="str">
        <f>IFERROR(INDEX('nav master'!$C:$C, MATCH(B3258, 'nav master'!$B:$B, 0)), "")</f>
        <v>ULIF03901/09/10BalancedFd101</v>
      </c>
      <c r="E3258" s="8" t="s">
        <v>343</v>
      </c>
      <c r="F3258" s="8" t="s">
        <v>3526</v>
      </c>
    </row>
    <row r="3259" spans="1:6" ht="60" x14ac:dyDescent="0.25">
      <c r="A3259" s="8" t="s">
        <v>125</v>
      </c>
      <c r="B3259" s="8" t="s">
        <v>132</v>
      </c>
      <c r="C3259" s="8" t="str">
        <f>IFERROR(_xlfn.XLOOKUP(TRIM(B3259),Lookup!$B$2:$B$1000,Lookup!$C$2:$C$1000),"")</f>
        <v>Hybrid</v>
      </c>
      <c r="D3259" s="8" t="str">
        <f>IFERROR(INDEX('nav master'!$C:$C, MATCH(B3259, 'nav master'!$B:$B, 0)), "")</f>
        <v>ULIF03901/09/10BalancedFd101</v>
      </c>
      <c r="E3259" s="8" t="s">
        <v>345</v>
      </c>
      <c r="F3259" s="8" t="s">
        <v>3527</v>
      </c>
    </row>
    <row r="3260" spans="1:6" ht="60" x14ac:dyDescent="0.25">
      <c r="A3260" s="8" t="s">
        <v>125</v>
      </c>
      <c r="B3260" s="8" t="s">
        <v>132</v>
      </c>
      <c r="C3260" s="8" t="str">
        <f>IFERROR(_xlfn.XLOOKUP(TRIM(B3260),Lookup!$B$2:$B$1000,Lookup!$C$2:$C$1000),"")</f>
        <v>Hybrid</v>
      </c>
      <c r="D3260" s="8" t="str">
        <f>IFERROR(INDEX('nav master'!$C:$C, MATCH(B3260, 'nav master'!$B:$B, 0)), "")</f>
        <v>ULIF03901/09/10BalancedFd101</v>
      </c>
      <c r="E3260" s="8" t="s">
        <v>347</v>
      </c>
      <c r="F3260" s="8" t="s">
        <v>3528</v>
      </c>
    </row>
    <row r="3261" spans="1:6" ht="60" x14ac:dyDescent="0.25">
      <c r="A3261" s="8" t="s">
        <v>125</v>
      </c>
      <c r="B3261" s="8" t="s">
        <v>132</v>
      </c>
      <c r="C3261" s="8" t="str">
        <f>IFERROR(_xlfn.XLOOKUP(TRIM(B3261),Lookup!$B$2:$B$1000,Lookup!$C$2:$C$1000),"")</f>
        <v>Hybrid</v>
      </c>
      <c r="D3261" s="8" t="str">
        <f>IFERROR(INDEX('nav master'!$C:$C, MATCH(B3261, 'nav master'!$B:$B, 0)), "")</f>
        <v>ULIF03901/09/10BalancedFd101</v>
      </c>
      <c r="E3261" s="8" t="s">
        <v>349</v>
      </c>
      <c r="F3261" s="8" t="s">
        <v>3529</v>
      </c>
    </row>
    <row r="3262" spans="1:6" ht="60" x14ac:dyDescent="0.25">
      <c r="A3262" s="8" t="s">
        <v>125</v>
      </c>
      <c r="B3262" s="8" t="s">
        <v>132</v>
      </c>
      <c r="C3262" s="8" t="str">
        <f>IFERROR(_xlfn.XLOOKUP(TRIM(B3262),Lookup!$B$2:$B$1000,Lookup!$C$2:$C$1000),"")</f>
        <v>Hybrid</v>
      </c>
      <c r="D3262" s="8" t="str">
        <f>IFERROR(INDEX('nav master'!$C:$C, MATCH(B3262, 'nav master'!$B:$B, 0)), "")</f>
        <v>ULIF03901/09/10BalancedFd101</v>
      </c>
      <c r="E3262" s="8" t="s">
        <v>351</v>
      </c>
      <c r="F3262" s="8" t="s">
        <v>3530</v>
      </c>
    </row>
    <row r="3263" spans="1:6" ht="60" x14ac:dyDescent="0.25">
      <c r="A3263" s="8" t="s">
        <v>125</v>
      </c>
      <c r="B3263" s="8" t="s">
        <v>132</v>
      </c>
      <c r="C3263" s="8" t="str">
        <f>IFERROR(_xlfn.XLOOKUP(TRIM(B3263),Lookup!$B$2:$B$1000,Lookup!$C$2:$C$1000),"")</f>
        <v>Hybrid</v>
      </c>
      <c r="D3263" s="8" t="str">
        <f>IFERROR(INDEX('nav master'!$C:$C, MATCH(B3263, 'nav master'!$B:$B, 0)), "")</f>
        <v>ULIF03901/09/10BalancedFd101</v>
      </c>
      <c r="E3263" s="8" t="s">
        <v>353</v>
      </c>
      <c r="F3263" s="8" t="s">
        <v>3531</v>
      </c>
    </row>
    <row r="3264" spans="1:6" ht="60" x14ac:dyDescent="0.25">
      <c r="A3264" s="8" t="s">
        <v>125</v>
      </c>
      <c r="B3264" s="8" t="s">
        <v>132</v>
      </c>
      <c r="C3264" s="8" t="str">
        <f>IFERROR(_xlfn.XLOOKUP(TRIM(B3264),Lookup!$B$2:$B$1000,Lookup!$C$2:$C$1000),"")</f>
        <v>Hybrid</v>
      </c>
      <c r="D3264" s="8" t="str">
        <f>IFERROR(INDEX('nav master'!$C:$C, MATCH(B3264, 'nav master'!$B:$B, 0)), "")</f>
        <v>ULIF03901/09/10BalancedFd101</v>
      </c>
      <c r="E3264" s="8" t="s">
        <v>355</v>
      </c>
      <c r="F3264" s="8" t="s">
        <v>3532</v>
      </c>
    </row>
    <row r="3265" spans="1:6" ht="60" x14ac:dyDescent="0.25">
      <c r="A3265" s="8" t="s">
        <v>125</v>
      </c>
      <c r="B3265" s="8" t="s">
        <v>132</v>
      </c>
      <c r="C3265" s="8" t="str">
        <f>IFERROR(_xlfn.XLOOKUP(TRIM(B3265),Lookup!$B$2:$B$1000,Lookup!$C$2:$C$1000),"")</f>
        <v>Hybrid</v>
      </c>
      <c r="D3265" s="8" t="str">
        <f>IFERROR(INDEX('nav master'!$C:$C, MATCH(B3265, 'nav master'!$B:$B, 0)), "")</f>
        <v>ULIF03901/09/10BalancedFd101</v>
      </c>
      <c r="E3265" s="8" t="s">
        <v>357</v>
      </c>
      <c r="F3265" s="8" t="s">
        <v>3533</v>
      </c>
    </row>
    <row r="3266" spans="1:6" ht="60" x14ac:dyDescent="0.25">
      <c r="A3266" s="8" t="s">
        <v>125</v>
      </c>
      <c r="B3266" s="8" t="s">
        <v>132</v>
      </c>
      <c r="C3266" s="8" t="str">
        <f>IFERROR(_xlfn.XLOOKUP(TRIM(B3266),Lookup!$B$2:$B$1000,Lookup!$C$2:$C$1000),"")</f>
        <v>Hybrid</v>
      </c>
      <c r="D3266" s="8" t="str">
        <f>IFERROR(INDEX('nav master'!$C:$C, MATCH(B3266, 'nav master'!$B:$B, 0)), "")</f>
        <v>ULIF03901/09/10BalancedFd101</v>
      </c>
      <c r="E3266" s="8" t="s">
        <v>359</v>
      </c>
      <c r="F3266" s="8" t="s">
        <v>921</v>
      </c>
    </row>
    <row r="3267" spans="1:6" ht="60" x14ac:dyDescent="0.25">
      <c r="A3267" s="8" t="s">
        <v>125</v>
      </c>
      <c r="B3267" s="8" t="s">
        <v>132</v>
      </c>
      <c r="C3267" s="8" t="str">
        <f>IFERROR(_xlfn.XLOOKUP(TRIM(B3267),Lookup!$B$2:$B$1000,Lookup!$C$2:$C$1000),"")</f>
        <v>Hybrid</v>
      </c>
      <c r="D3267" s="8" t="str">
        <f>IFERROR(INDEX('nav master'!$C:$C, MATCH(B3267, 'nav master'!$B:$B, 0)), "")</f>
        <v>ULIF03901/09/10BalancedFd101</v>
      </c>
      <c r="E3267" s="8" t="s">
        <v>361</v>
      </c>
      <c r="F3267" s="8" t="s">
        <v>3534</v>
      </c>
    </row>
    <row r="3268" spans="1:6" ht="60" x14ac:dyDescent="0.25">
      <c r="A3268" s="8" t="s">
        <v>125</v>
      </c>
      <c r="B3268" s="8" t="s">
        <v>132</v>
      </c>
      <c r="C3268" s="8" t="str">
        <f>IFERROR(_xlfn.XLOOKUP(TRIM(B3268),Lookup!$B$2:$B$1000,Lookup!$C$2:$C$1000),"")</f>
        <v>Hybrid</v>
      </c>
      <c r="D3268" s="8" t="str">
        <f>IFERROR(INDEX('nav master'!$C:$C, MATCH(B3268, 'nav master'!$B:$B, 0)), "")</f>
        <v>ULIF03901/09/10BalancedFd101</v>
      </c>
      <c r="E3268" s="8" t="s">
        <v>363</v>
      </c>
      <c r="F3268" s="8" t="s">
        <v>3535</v>
      </c>
    </row>
    <row r="3269" spans="1:6" ht="60" x14ac:dyDescent="0.25">
      <c r="A3269" s="8" t="s">
        <v>125</v>
      </c>
      <c r="B3269" s="8" t="s">
        <v>132</v>
      </c>
      <c r="C3269" s="8" t="str">
        <f>IFERROR(_xlfn.XLOOKUP(TRIM(B3269),Lookup!$B$2:$B$1000,Lookup!$C$2:$C$1000),"")</f>
        <v>Hybrid</v>
      </c>
      <c r="D3269" s="8" t="str">
        <f>IFERROR(INDEX('nav master'!$C:$C, MATCH(B3269, 'nav master'!$B:$B, 0)), "")</f>
        <v>ULIF03901/09/10BalancedFd101</v>
      </c>
      <c r="E3269" s="8" t="s">
        <v>365</v>
      </c>
      <c r="F3269" s="8" t="s">
        <v>3536</v>
      </c>
    </row>
    <row r="3270" spans="1:6" ht="60" x14ac:dyDescent="0.25">
      <c r="A3270" s="8" t="s">
        <v>125</v>
      </c>
      <c r="B3270" s="8" t="s">
        <v>132</v>
      </c>
      <c r="C3270" s="8" t="str">
        <f>IFERROR(_xlfn.XLOOKUP(TRIM(B3270),Lookup!$B$2:$B$1000,Lookup!$C$2:$C$1000),"")</f>
        <v>Hybrid</v>
      </c>
      <c r="D3270" s="8" t="str">
        <f>IFERROR(INDEX('nav master'!$C:$C, MATCH(B3270, 'nav master'!$B:$B, 0)), "")</f>
        <v>ULIF03901/09/10BalancedFd101</v>
      </c>
      <c r="E3270" s="8" t="s">
        <v>367</v>
      </c>
      <c r="F3270" s="8" t="s">
        <v>3537</v>
      </c>
    </row>
    <row r="3271" spans="1:6" ht="60" x14ac:dyDescent="0.25">
      <c r="A3271" s="8" t="s">
        <v>125</v>
      </c>
      <c r="B3271" s="8" t="s">
        <v>132</v>
      </c>
      <c r="C3271" s="8" t="str">
        <f>IFERROR(_xlfn.XLOOKUP(TRIM(B3271),Lookup!$B$2:$B$1000,Lookup!$C$2:$C$1000),"")</f>
        <v>Hybrid</v>
      </c>
      <c r="D3271" s="8" t="str">
        <f>IFERROR(INDEX('nav master'!$C:$C, MATCH(B3271, 'nav master'!$B:$B, 0)), "")</f>
        <v>ULIF03901/09/10BalancedFd101</v>
      </c>
      <c r="E3271" s="8" t="s">
        <v>369</v>
      </c>
      <c r="F3271" s="8" t="s">
        <v>3538</v>
      </c>
    </row>
    <row r="3272" spans="1:6" ht="60" x14ac:dyDescent="0.25">
      <c r="A3272" s="8" t="s">
        <v>125</v>
      </c>
      <c r="B3272" s="8" t="s">
        <v>132</v>
      </c>
      <c r="C3272" s="8" t="str">
        <f>IFERROR(_xlfn.XLOOKUP(TRIM(B3272),Lookup!$B$2:$B$1000,Lookup!$C$2:$C$1000),"")</f>
        <v>Hybrid</v>
      </c>
      <c r="D3272" s="8" t="str">
        <f>IFERROR(INDEX('nav master'!$C:$C, MATCH(B3272, 'nav master'!$B:$B, 0)), "")</f>
        <v>ULIF03901/09/10BalancedFd101</v>
      </c>
      <c r="E3272" s="8" t="s">
        <v>371</v>
      </c>
      <c r="F3272" s="8" t="s">
        <v>3539</v>
      </c>
    </row>
    <row r="3273" spans="1:6" ht="60" x14ac:dyDescent="0.25">
      <c r="A3273" s="8" t="s">
        <v>125</v>
      </c>
      <c r="B3273" s="8" t="s">
        <v>132</v>
      </c>
      <c r="C3273" s="8" t="str">
        <f>IFERROR(_xlfn.XLOOKUP(TRIM(B3273),Lookup!$B$2:$B$1000,Lookup!$C$2:$C$1000),"")</f>
        <v>Hybrid</v>
      </c>
      <c r="D3273" s="8" t="str">
        <f>IFERROR(INDEX('nav master'!$C:$C, MATCH(B3273, 'nav master'!$B:$B, 0)), "")</f>
        <v>ULIF03901/09/10BalancedFd101</v>
      </c>
      <c r="E3273" s="8" t="s">
        <v>373</v>
      </c>
      <c r="F3273" s="8" t="s">
        <v>3540</v>
      </c>
    </row>
    <row r="3274" spans="1:6" ht="60" x14ac:dyDescent="0.25">
      <c r="A3274" s="8" t="s">
        <v>125</v>
      </c>
      <c r="B3274" s="8" t="s">
        <v>132</v>
      </c>
      <c r="C3274" s="8" t="str">
        <f>IFERROR(_xlfn.XLOOKUP(TRIM(B3274),Lookup!$B$2:$B$1000,Lookup!$C$2:$C$1000),"")</f>
        <v>Hybrid</v>
      </c>
      <c r="D3274" s="8" t="str">
        <f>IFERROR(INDEX('nav master'!$C:$C, MATCH(B3274, 'nav master'!$B:$B, 0)), "")</f>
        <v>ULIF03901/09/10BalancedFd101</v>
      </c>
      <c r="E3274" s="8" t="s">
        <v>375</v>
      </c>
      <c r="F3274" s="8" t="s">
        <v>3541</v>
      </c>
    </row>
    <row r="3275" spans="1:6" ht="60" x14ac:dyDescent="0.25">
      <c r="A3275" s="8" t="s">
        <v>125</v>
      </c>
      <c r="B3275" s="8" t="s">
        <v>132</v>
      </c>
      <c r="C3275" s="8" t="str">
        <f>IFERROR(_xlfn.XLOOKUP(TRIM(B3275),Lookup!$B$2:$B$1000,Lookup!$C$2:$C$1000),"")</f>
        <v>Hybrid</v>
      </c>
      <c r="D3275" s="8" t="str">
        <f>IFERROR(INDEX('nav master'!$C:$C, MATCH(B3275, 'nav master'!$B:$B, 0)), "")</f>
        <v>ULIF03901/09/10BalancedFd101</v>
      </c>
      <c r="E3275" s="8" t="s">
        <v>377</v>
      </c>
      <c r="F3275" s="8" t="s">
        <v>3542</v>
      </c>
    </row>
    <row r="3276" spans="1:6" ht="60" x14ac:dyDescent="0.25">
      <c r="A3276" s="8" t="s">
        <v>125</v>
      </c>
      <c r="B3276" s="8" t="s">
        <v>132</v>
      </c>
      <c r="C3276" s="8" t="str">
        <f>IFERROR(_xlfn.XLOOKUP(TRIM(B3276),Lookup!$B$2:$B$1000,Lookup!$C$2:$C$1000),"")</f>
        <v>Hybrid</v>
      </c>
      <c r="D3276" s="8" t="str">
        <f>IFERROR(INDEX('nav master'!$C:$C, MATCH(B3276, 'nav master'!$B:$B, 0)), "")</f>
        <v>ULIF03901/09/10BalancedFd101</v>
      </c>
      <c r="E3276" s="8" t="s">
        <v>379</v>
      </c>
      <c r="F3276" s="8" t="s">
        <v>3543</v>
      </c>
    </row>
    <row r="3277" spans="1:6" ht="60" x14ac:dyDescent="0.25">
      <c r="A3277" s="8" t="s">
        <v>125</v>
      </c>
      <c r="B3277" s="8" t="s">
        <v>132</v>
      </c>
      <c r="C3277" s="8" t="str">
        <f>IFERROR(_xlfn.XLOOKUP(TRIM(B3277),Lookup!$B$2:$B$1000,Lookup!$C$2:$C$1000),"")</f>
        <v>Hybrid</v>
      </c>
      <c r="D3277" s="8" t="str">
        <f>IFERROR(INDEX('nav master'!$C:$C, MATCH(B3277, 'nav master'!$B:$B, 0)), "")</f>
        <v>ULIF03901/09/10BalancedFd101</v>
      </c>
      <c r="E3277" s="8" t="s">
        <v>381</v>
      </c>
      <c r="F3277" s="8" t="s">
        <v>3544</v>
      </c>
    </row>
    <row r="3278" spans="1:6" ht="60" x14ac:dyDescent="0.25">
      <c r="A3278" s="8" t="s">
        <v>125</v>
      </c>
      <c r="B3278" s="8" t="s">
        <v>132</v>
      </c>
      <c r="C3278" s="8" t="str">
        <f>IFERROR(_xlfn.XLOOKUP(TRIM(B3278),Lookup!$B$2:$B$1000,Lookup!$C$2:$C$1000),"")</f>
        <v>Hybrid</v>
      </c>
      <c r="D3278" s="8" t="str">
        <f>IFERROR(INDEX('nav master'!$C:$C, MATCH(B3278, 'nav master'!$B:$B, 0)), "")</f>
        <v>ULIF03901/09/10BalancedFd101</v>
      </c>
      <c r="E3278" s="8" t="s">
        <v>383</v>
      </c>
      <c r="F3278" s="8" t="s">
        <v>3545</v>
      </c>
    </row>
    <row r="3279" spans="1:6" ht="60" x14ac:dyDescent="0.25">
      <c r="A3279" s="8" t="s">
        <v>125</v>
      </c>
      <c r="B3279" s="8" t="s">
        <v>132</v>
      </c>
      <c r="C3279" s="8" t="str">
        <f>IFERROR(_xlfn.XLOOKUP(TRIM(B3279),Lookup!$B$2:$B$1000,Lookup!$C$2:$C$1000),"")</f>
        <v>Hybrid</v>
      </c>
      <c r="D3279" s="8" t="str">
        <f>IFERROR(INDEX('nav master'!$C:$C, MATCH(B3279, 'nav master'!$B:$B, 0)), "")</f>
        <v>ULIF03901/09/10BalancedFd101</v>
      </c>
      <c r="E3279" s="8" t="s">
        <v>385</v>
      </c>
      <c r="F3279" s="8" t="s">
        <v>3546</v>
      </c>
    </row>
    <row r="3280" spans="1:6" ht="60" x14ac:dyDescent="0.25">
      <c r="A3280" s="8" t="s">
        <v>125</v>
      </c>
      <c r="B3280" s="8" t="s">
        <v>132</v>
      </c>
      <c r="C3280" s="8" t="str">
        <f>IFERROR(_xlfn.XLOOKUP(TRIM(B3280),Lookup!$B$2:$B$1000,Lookup!$C$2:$C$1000),"")</f>
        <v>Hybrid</v>
      </c>
      <c r="D3280" s="8" t="str">
        <f>IFERROR(INDEX('nav master'!$C:$C, MATCH(B3280, 'nav master'!$B:$B, 0)), "")</f>
        <v>ULIF03901/09/10BalancedFd101</v>
      </c>
      <c r="E3280" s="8" t="s">
        <v>387</v>
      </c>
      <c r="F3280" s="8" t="s">
        <v>3547</v>
      </c>
    </row>
    <row r="3281" spans="1:6" ht="60" x14ac:dyDescent="0.25">
      <c r="A3281" s="8" t="s">
        <v>125</v>
      </c>
      <c r="B3281" s="8" t="s">
        <v>132</v>
      </c>
      <c r="C3281" s="8" t="str">
        <f>IFERROR(_xlfn.XLOOKUP(TRIM(B3281),Lookup!$B$2:$B$1000,Lookup!$C$2:$C$1000),"")</f>
        <v>Hybrid</v>
      </c>
      <c r="D3281" s="8" t="str">
        <f>IFERROR(INDEX('nav master'!$C:$C, MATCH(B3281, 'nav master'!$B:$B, 0)), "")</f>
        <v>ULIF03901/09/10BalancedFd101</v>
      </c>
      <c r="E3281" s="8" t="s">
        <v>389</v>
      </c>
      <c r="F3281" s="8" t="s">
        <v>3548</v>
      </c>
    </row>
    <row r="3282" spans="1:6" ht="60" x14ac:dyDescent="0.25">
      <c r="A3282" s="8" t="s">
        <v>125</v>
      </c>
      <c r="B3282" s="8" t="s">
        <v>132</v>
      </c>
      <c r="C3282" s="8" t="str">
        <f>IFERROR(_xlfn.XLOOKUP(TRIM(B3282),Lookup!$B$2:$B$1000,Lookup!$C$2:$C$1000),"")</f>
        <v>Hybrid</v>
      </c>
      <c r="D3282" s="8" t="str">
        <f>IFERROR(INDEX('nav master'!$C:$C, MATCH(B3282, 'nav master'!$B:$B, 0)), "")</f>
        <v>ULIF03901/09/10BalancedFd101</v>
      </c>
      <c r="E3282" s="8" t="s">
        <v>391</v>
      </c>
      <c r="F3282" s="8" t="s">
        <v>3549</v>
      </c>
    </row>
    <row r="3283" spans="1:6" ht="60" x14ac:dyDescent="0.25">
      <c r="A3283" s="8" t="s">
        <v>125</v>
      </c>
      <c r="B3283" s="8" t="s">
        <v>132</v>
      </c>
      <c r="C3283" s="8" t="str">
        <f>IFERROR(_xlfn.XLOOKUP(TRIM(B3283),Lookup!$B$2:$B$1000,Lookup!$C$2:$C$1000),"")</f>
        <v>Hybrid</v>
      </c>
      <c r="D3283" s="8" t="str">
        <f>IFERROR(INDEX('nav master'!$C:$C, MATCH(B3283, 'nav master'!$B:$B, 0)), "")</f>
        <v>ULIF03901/09/10BalancedFd101</v>
      </c>
      <c r="E3283" s="8" t="s">
        <v>393</v>
      </c>
      <c r="F3283" s="8" t="s">
        <v>3550</v>
      </c>
    </row>
    <row r="3284" spans="1:6" ht="60" x14ac:dyDescent="0.25">
      <c r="A3284" s="8" t="s">
        <v>125</v>
      </c>
      <c r="B3284" s="8" t="s">
        <v>132</v>
      </c>
      <c r="C3284" s="8" t="str">
        <f>IFERROR(_xlfn.XLOOKUP(TRIM(B3284),Lookup!$B$2:$B$1000,Lookup!$C$2:$C$1000),"")</f>
        <v>Hybrid</v>
      </c>
      <c r="D3284" s="8" t="str">
        <f>IFERROR(INDEX('nav master'!$C:$C, MATCH(B3284, 'nav master'!$B:$B, 0)), "")</f>
        <v>ULIF03901/09/10BalancedFd101</v>
      </c>
      <c r="E3284" s="8" t="s">
        <v>395</v>
      </c>
      <c r="F3284" s="8" t="s">
        <v>3551</v>
      </c>
    </row>
    <row r="3285" spans="1:6" ht="60" x14ac:dyDescent="0.25">
      <c r="A3285" s="8" t="s">
        <v>125</v>
      </c>
      <c r="B3285" s="8" t="s">
        <v>132</v>
      </c>
      <c r="C3285" s="8" t="str">
        <f>IFERROR(_xlfn.XLOOKUP(TRIM(B3285),Lookup!$B$2:$B$1000,Lookup!$C$2:$C$1000),"")</f>
        <v>Hybrid</v>
      </c>
      <c r="D3285" s="8" t="str">
        <f>IFERROR(INDEX('nav master'!$C:$C, MATCH(B3285, 'nav master'!$B:$B, 0)), "")</f>
        <v>ULIF03901/09/10BalancedFd101</v>
      </c>
      <c r="E3285" s="8" t="s">
        <v>397</v>
      </c>
      <c r="F3285" s="8" t="s">
        <v>3552</v>
      </c>
    </row>
    <row r="3286" spans="1:6" ht="60" x14ac:dyDescent="0.25">
      <c r="A3286" s="8" t="s">
        <v>125</v>
      </c>
      <c r="B3286" s="8" t="s">
        <v>132</v>
      </c>
      <c r="C3286" s="8" t="str">
        <f>IFERROR(_xlfn.XLOOKUP(TRIM(B3286),Lookup!$B$2:$B$1000,Lookup!$C$2:$C$1000),"")</f>
        <v>Hybrid</v>
      </c>
      <c r="D3286" s="8" t="str">
        <f>IFERROR(INDEX('nav master'!$C:$C, MATCH(B3286, 'nav master'!$B:$B, 0)), "")</f>
        <v>ULIF03901/09/10BalancedFd101</v>
      </c>
      <c r="E3286" s="8" t="s">
        <v>399</v>
      </c>
      <c r="F3286" s="8" t="s">
        <v>3553</v>
      </c>
    </row>
    <row r="3287" spans="1:6" ht="60" x14ac:dyDescent="0.25">
      <c r="A3287" s="8" t="s">
        <v>125</v>
      </c>
      <c r="B3287" s="8" t="s">
        <v>132</v>
      </c>
      <c r="C3287" s="8" t="str">
        <f>IFERROR(_xlfn.XLOOKUP(TRIM(B3287),Lookup!$B$2:$B$1000,Lookup!$C$2:$C$1000),"")</f>
        <v>Hybrid</v>
      </c>
      <c r="D3287" s="8" t="str">
        <f>IFERROR(INDEX('nav master'!$C:$C, MATCH(B3287, 'nav master'!$B:$B, 0)), "")</f>
        <v>ULIF03901/09/10BalancedFd101</v>
      </c>
      <c r="E3287" s="8" t="s">
        <v>401</v>
      </c>
      <c r="F3287" s="8" t="s">
        <v>3554</v>
      </c>
    </row>
    <row r="3288" spans="1:6" ht="60" x14ac:dyDescent="0.25">
      <c r="A3288" s="8" t="s">
        <v>125</v>
      </c>
      <c r="B3288" s="8" t="s">
        <v>132</v>
      </c>
      <c r="C3288" s="8" t="str">
        <f>IFERROR(_xlfn.XLOOKUP(TRIM(B3288),Lookup!$B$2:$B$1000,Lookup!$C$2:$C$1000),"")</f>
        <v>Hybrid</v>
      </c>
      <c r="D3288" s="8" t="str">
        <f>IFERROR(INDEX('nav master'!$C:$C, MATCH(B3288, 'nav master'!$B:$B, 0)), "")</f>
        <v>ULIF03901/09/10BalancedFd101</v>
      </c>
      <c r="E3288" s="8" t="s">
        <v>403</v>
      </c>
      <c r="F3288" s="8" t="s">
        <v>3555</v>
      </c>
    </row>
    <row r="3289" spans="1:6" ht="60" x14ac:dyDescent="0.25">
      <c r="A3289" s="8" t="s">
        <v>125</v>
      </c>
      <c r="B3289" s="8" t="s">
        <v>132</v>
      </c>
      <c r="C3289" s="8" t="str">
        <f>IFERROR(_xlfn.XLOOKUP(TRIM(B3289),Lookup!$B$2:$B$1000,Lookup!$C$2:$C$1000),"")</f>
        <v>Hybrid</v>
      </c>
      <c r="D3289" s="8" t="str">
        <f>IFERROR(INDEX('nav master'!$C:$C, MATCH(B3289, 'nav master'!$B:$B, 0)), "")</f>
        <v>ULIF03901/09/10BalancedFd101</v>
      </c>
      <c r="E3289" s="8" t="s">
        <v>405</v>
      </c>
      <c r="F3289" s="8" t="s">
        <v>3556</v>
      </c>
    </row>
    <row r="3290" spans="1:6" ht="60" x14ac:dyDescent="0.25">
      <c r="A3290" s="8" t="s">
        <v>125</v>
      </c>
      <c r="B3290" s="8" t="s">
        <v>132</v>
      </c>
      <c r="C3290" s="8" t="str">
        <f>IFERROR(_xlfn.XLOOKUP(TRIM(B3290),Lookup!$B$2:$B$1000,Lookup!$C$2:$C$1000),"")</f>
        <v>Hybrid</v>
      </c>
      <c r="D3290" s="8" t="str">
        <f>IFERROR(INDEX('nav master'!$C:$C, MATCH(B3290, 'nav master'!$B:$B, 0)), "")</f>
        <v>ULIF03901/09/10BalancedFd101</v>
      </c>
      <c r="E3290" s="8" t="s">
        <v>407</v>
      </c>
      <c r="F3290" s="8" t="s">
        <v>3557</v>
      </c>
    </row>
    <row r="3291" spans="1:6" ht="60" x14ac:dyDescent="0.25">
      <c r="A3291" s="8" t="s">
        <v>125</v>
      </c>
      <c r="B3291" s="8" t="s">
        <v>132</v>
      </c>
      <c r="C3291" s="8" t="str">
        <f>IFERROR(_xlfn.XLOOKUP(TRIM(B3291),Lookup!$B$2:$B$1000,Lookup!$C$2:$C$1000),"")</f>
        <v>Hybrid</v>
      </c>
      <c r="D3291" s="8" t="str">
        <f>IFERROR(INDEX('nav master'!$C:$C, MATCH(B3291, 'nav master'!$B:$B, 0)), "")</f>
        <v>ULIF03901/09/10BalancedFd101</v>
      </c>
      <c r="E3291" s="8" t="s">
        <v>409</v>
      </c>
      <c r="F3291" s="8" t="s">
        <v>3558</v>
      </c>
    </row>
    <row r="3292" spans="1:6" ht="60" x14ac:dyDescent="0.25">
      <c r="A3292" s="8" t="s">
        <v>125</v>
      </c>
      <c r="B3292" s="8" t="s">
        <v>132</v>
      </c>
      <c r="C3292" s="8" t="str">
        <f>IFERROR(_xlfn.XLOOKUP(TRIM(B3292),Lookup!$B$2:$B$1000,Lookup!$C$2:$C$1000),"")</f>
        <v>Hybrid</v>
      </c>
      <c r="D3292" s="8" t="str">
        <f>IFERROR(INDEX('nav master'!$C:$C, MATCH(B3292, 'nav master'!$B:$B, 0)), "")</f>
        <v>ULIF03901/09/10BalancedFd101</v>
      </c>
      <c r="E3292" s="8" t="s">
        <v>411</v>
      </c>
      <c r="F3292" s="8" t="s">
        <v>3559</v>
      </c>
    </row>
    <row r="3293" spans="1:6" ht="60" x14ac:dyDescent="0.25">
      <c r="A3293" s="8" t="s">
        <v>125</v>
      </c>
      <c r="B3293" s="8" t="s">
        <v>132</v>
      </c>
      <c r="C3293" s="8" t="str">
        <f>IFERROR(_xlfn.XLOOKUP(TRIM(B3293),Lookup!$B$2:$B$1000,Lookup!$C$2:$C$1000),"")</f>
        <v>Hybrid</v>
      </c>
      <c r="D3293" s="8" t="str">
        <f>IFERROR(INDEX('nav master'!$C:$C, MATCH(B3293, 'nav master'!$B:$B, 0)), "")</f>
        <v>ULIF03901/09/10BalancedFd101</v>
      </c>
      <c r="E3293" s="8" t="s">
        <v>413</v>
      </c>
      <c r="F3293" s="8" t="s">
        <v>3560</v>
      </c>
    </row>
    <row r="3294" spans="1:6" ht="60" x14ac:dyDescent="0.25">
      <c r="A3294" s="8" t="s">
        <v>125</v>
      </c>
      <c r="B3294" s="8" t="s">
        <v>132</v>
      </c>
      <c r="C3294" s="8" t="str">
        <f>IFERROR(_xlfn.XLOOKUP(TRIM(B3294),Lookup!$B$2:$B$1000,Lookup!$C$2:$C$1000),"")</f>
        <v>Hybrid</v>
      </c>
      <c r="D3294" s="8" t="str">
        <f>IFERROR(INDEX('nav master'!$C:$C, MATCH(B3294, 'nav master'!$B:$B, 0)), "")</f>
        <v>ULIF03901/09/10BalancedFd101</v>
      </c>
      <c r="E3294" s="8" t="s">
        <v>415</v>
      </c>
      <c r="F3294" s="8" t="s">
        <v>3561</v>
      </c>
    </row>
    <row r="3295" spans="1:6" ht="60" x14ac:dyDescent="0.25">
      <c r="A3295" s="8" t="s">
        <v>125</v>
      </c>
      <c r="B3295" s="8" t="s">
        <v>132</v>
      </c>
      <c r="C3295" s="8" t="str">
        <f>IFERROR(_xlfn.XLOOKUP(TRIM(B3295),Lookup!$B$2:$B$1000,Lookup!$C$2:$C$1000),"")</f>
        <v>Hybrid</v>
      </c>
      <c r="D3295" s="8" t="str">
        <f>IFERROR(INDEX('nav master'!$C:$C, MATCH(B3295, 'nav master'!$B:$B, 0)), "")</f>
        <v>ULIF03901/09/10BalancedFd101</v>
      </c>
      <c r="E3295" s="8" t="s">
        <v>417</v>
      </c>
      <c r="F3295" s="8" t="s">
        <v>3562</v>
      </c>
    </row>
    <row r="3296" spans="1:6" ht="60" x14ac:dyDescent="0.25">
      <c r="A3296" s="8" t="s">
        <v>125</v>
      </c>
      <c r="B3296" s="8" t="s">
        <v>132</v>
      </c>
      <c r="C3296" s="8" t="str">
        <f>IFERROR(_xlfn.XLOOKUP(TRIM(B3296),Lookup!$B$2:$B$1000,Lookup!$C$2:$C$1000),"")</f>
        <v>Hybrid</v>
      </c>
      <c r="D3296" s="8" t="str">
        <f>IFERROR(INDEX('nav master'!$C:$C, MATCH(B3296, 'nav master'!$B:$B, 0)), "")</f>
        <v>ULIF03901/09/10BalancedFd101</v>
      </c>
      <c r="E3296" s="8" t="s">
        <v>419</v>
      </c>
      <c r="F3296" s="8" t="s">
        <v>3563</v>
      </c>
    </row>
    <row r="3297" spans="1:6" ht="60" x14ac:dyDescent="0.25">
      <c r="A3297" s="8" t="s">
        <v>125</v>
      </c>
      <c r="B3297" s="8" t="s">
        <v>132</v>
      </c>
      <c r="C3297" s="8" t="str">
        <f>IFERROR(_xlfn.XLOOKUP(TRIM(B3297),Lookup!$B$2:$B$1000,Lookup!$C$2:$C$1000),"")</f>
        <v>Hybrid</v>
      </c>
      <c r="D3297" s="8" t="str">
        <f>IFERROR(INDEX('nav master'!$C:$C, MATCH(B3297, 'nav master'!$B:$B, 0)), "")</f>
        <v>ULIF03901/09/10BalancedFd101</v>
      </c>
      <c r="E3297" s="8" t="s">
        <v>421</v>
      </c>
      <c r="F3297" s="8" t="s">
        <v>3564</v>
      </c>
    </row>
    <row r="3298" spans="1:6" ht="60" x14ac:dyDescent="0.25">
      <c r="A3298" s="8" t="s">
        <v>125</v>
      </c>
      <c r="B3298" s="8" t="s">
        <v>132</v>
      </c>
      <c r="C3298" s="8" t="str">
        <f>IFERROR(_xlfn.XLOOKUP(TRIM(B3298),Lookup!$B$2:$B$1000,Lookup!$C$2:$C$1000),"")</f>
        <v>Hybrid</v>
      </c>
      <c r="D3298" s="8" t="str">
        <f>IFERROR(INDEX('nav master'!$C:$C, MATCH(B3298, 'nav master'!$B:$B, 0)), "")</f>
        <v>ULIF03901/09/10BalancedFd101</v>
      </c>
      <c r="E3298" s="8" t="s">
        <v>423</v>
      </c>
      <c r="F3298" s="8" t="s">
        <v>3565</v>
      </c>
    </row>
    <row r="3299" spans="1:6" ht="60" x14ac:dyDescent="0.25">
      <c r="A3299" s="8" t="s">
        <v>125</v>
      </c>
      <c r="B3299" s="8" t="s">
        <v>132</v>
      </c>
      <c r="C3299" s="8" t="str">
        <f>IFERROR(_xlfn.XLOOKUP(TRIM(B3299),Lookup!$B$2:$B$1000,Lookup!$C$2:$C$1000),"")</f>
        <v>Hybrid</v>
      </c>
      <c r="D3299" s="8" t="str">
        <f>IFERROR(INDEX('nav master'!$C:$C, MATCH(B3299, 'nav master'!$B:$B, 0)), "")</f>
        <v>ULIF03901/09/10BalancedFd101</v>
      </c>
      <c r="E3299" s="8" t="s">
        <v>425</v>
      </c>
      <c r="F3299" s="8" t="s">
        <v>3566</v>
      </c>
    </row>
    <row r="3300" spans="1:6" ht="60" x14ac:dyDescent="0.25">
      <c r="A3300" s="8" t="s">
        <v>125</v>
      </c>
      <c r="B3300" s="8" t="s">
        <v>132</v>
      </c>
      <c r="C3300" s="8" t="str">
        <f>IFERROR(_xlfn.XLOOKUP(TRIM(B3300),Lookup!$B$2:$B$1000,Lookup!$C$2:$C$1000),"")</f>
        <v>Hybrid</v>
      </c>
      <c r="D3300" s="8" t="str">
        <f>IFERROR(INDEX('nav master'!$C:$C, MATCH(B3300, 'nav master'!$B:$B, 0)), "")</f>
        <v>ULIF03901/09/10BalancedFd101</v>
      </c>
      <c r="E3300" s="8" t="s">
        <v>427</v>
      </c>
      <c r="F3300" s="8" t="s">
        <v>3567</v>
      </c>
    </row>
    <row r="3301" spans="1:6" ht="60" x14ac:dyDescent="0.25">
      <c r="A3301" s="8" t="s">
        <v>125</v>
      </c>
      <c r="B3301" s="8" t="s">
        <v>132</v>
      </c>
      <c r="C3301" s="8" t="str">
        <f>IFERROR(_xlfn.XLOOKUP(TRIM(B3301),Lookup!$B$2:$B$1000,Lookup!$C$2:$C$1000),"")</f>
        <v>Hybrid</v>
      </c>
      <c r="D3301" s="8" t="str">
        <f>IFERROR(INDEX('nav master'!$C:$C, MATCH(B3301, 'nav master'!$B:$B, 0)), "")</f>
        <v>ULIF03901/09/10BalancedFd101</v>
      </c>
      <c r="E3301" s="8" t="s">
        <v>429</v>
      </c>
      <c r="F3301" s="8" t="s">
        <v>3568</v>
      </c>
    </row>
    <row r="3302" spans="1:6" ht="60" x14ac:dyDescent="0.25">
      <c r="A3302" s="8" t="s">
        <v>125</v>
      </c>
      <c r="B3302" s="8" t="s">
        <v>132</v>
      </c>
      <c r="C3302" s="8" t="str">
        <f>IFERROR(_xlfn.XLOOKUP(TRIM(B3302),Lookup!$B$2:$B$1000,Lookup!$C$2:$C$1000),"")</f>
        <v>Hybrid</v>
      </c>
      <c r="D3302" s="8" t="str">
        <f>IFERROR(INDEX('nav master'!$C:$C, MATCH(B3302, 'nav master'!$B:$B, 0)), "")</f>
        <v>ULIF03901/09/10BalancedFd101</v>
      </c>
      <c r="E3302" s="8" t="s">
        <v>431</v>
      </c>
      <c r="F3302" s="8" t="s">
        <v>3569</v>
      </c>
    </row>
    <row r="3303" spans="1:6" ht="60" x14ac:dyDescent="0.25">
      <c r="A3303" s="8" t="s">
        <v>125</v>
      </c>
      <c r="B3303" s="8" t="s">
        <v>132</v>
      </c>
      <c r="C3303" s="8" t="str">
        <f>IFERROR(_xlfn.XLOOKUP(TRIM(B3303),Lookup!$B$2:$B$1000,Lookup!$C$2:$C$1000),"")</f>
        <v>Hybrid</v>
      </c>
      <c r="D3303" s="8" t="str">
        <f>IFERROR(INDEX('nav master'!$C:$C, MATCH(B3303, 'nav master'!$B:$B, 0)), "")</f>
        <v>ULIF03901/09/10BalancedFd101</v>
      </c>
      <c r="E3303" s="8" t="s">
        <v>433</v>
      </c>
      <c r="F3303" s="8" t="s">
        <v>3570</v>
      </c>
    </row>
    <row r="3304" spans="1:6" ht="60" x14ac:dyDescent="0.25">
      <c r="A3304" s="8" t="s">
        <v>125</v>
      </c>
      <c r="B3304" s="8" t="s">
        <v>132</v>
      </c>
      <c r="C3304" s="8" t="str">
        <f>IFERROR(_xlfn.XLOOKUP(TRIM(B3304),Lookup!$B$2:$B$1000,Lookup!$C$2:$C$1000),"")</f>
        <v>Hybrid</v>
      </c>
      <c r="D3304" s="8" t="str">
        <f>IFERROR(INDEX('nav master'!$C:$C, MATCH(B3304, 'nav master'!$B:$B, 0)), "")</f>
        <v>ULIF03901/09/10BalancedFd101</v>
      </c>
      <c r="E3304" s="8" t="s">
        <v>435</v>
      </c>
      <c r="F3304" s="8" t="s">
        <v>3571</v>
      </c>
    </row>
    <row r="3305" spans="1:6" ht="60" x14ac:dyDescent="0.25">
      <c r="A3305" s="8" t="s">
        <v>125</v>
      </c>
      <c r="B3305" s="8" t="s">
        <v>132</v>
      </c>
      <c r="C3305" s="8" t="str">
        <f>IFERROR(_xlfn.XLOOKUP(TRIM(B3305),Lookup!$B$2:$B$1000,Lookup!$C$2:$C$1000),"")</f>
        <v>Hybrid</v>
      </c>
      <c r="D3305" s="8" t="str">
        <f>IFERROR(INDEX('nav master'!$C:$C, MATCH(B3305, 'nav master'!$B:$B, 0)), "")</f>
        <v>ULIF03901/09/10BalancedFd101</v>
      </c>
      <c r="E3305" s="8" t="s">
        <v>437</v>
      </c>
      <c r="F3305" s="8" t="s">
        <v>3572</v>
      </c>
    </row>
    <row r="3306" spans="1:6" ht="60" x14ac:dyDescent="0.25">
      <c r="A3306" s="8" t="s">
        <v>125</v>
      </c>
      <c r="B3306" s="8" t="s">
        <v>132</v>
      </c>
      <c r="C3306" s="8" t="str">
        <f>IFERROR(_xlfn.XLOOKUP(TRIM(B3306),Lookup!$B$2:$B$1000,Lookup!$C$2:$C$1000),"")</f>
        <v>Hybrid</v>
      </c>
      <c r="D3306" s="8" t="str">
        <f>IFERROR(INDEX('nav master'!$C:$C, MATCH(B3306, 'nav master'!$B:$B, 0)), "")</f>
        <v>ULIF03901/09/10BalancedFd101</v>
      </c>
      <c r="E3306" s="8" t="s">
        <v>439</v>
      </c>
      <c r="F3306" s="8" t="s">
        <v>3573</v>
      </c>
    </row>
    <row r="3307" spans="1:6" ht="60" x14ac:dyDescent="0.25">
      <c r="A3307" s="8" t="s">
        <v>125</v>
      </c>
      <c r="B3307" s="8" t="s">
        <v>132</v>
      </c>
      <c r="C3307" s="8" t="str">
        <f>IFERROR(_xlfn.XLOOKUP(TRIM(B3307),Lookup!$B$2:$B$1000,Lookup!$C$2:$C$1000),"")</f>
        <v>Hybrid</v>
      </c>
      <c r="D3307" s="8" t="str">
        <f>IFERROR(INDEX('nav master'!$C:$C, MATCH(B3307, 'nav master'!$B:$B, 0)), "")</f>
        <v>ULIF03901/09/10BalancedFd101</v>
      </c>
      <c r="E3307" s="8" t="s">
        <v>441</v>
      </c>
      <c r="F3307" s="8" t="s">
        <v>3574</v>
      </c>
    </row>
    <row r="3308" spans="1:6" ht="60" x14ac:dyDescent="0.25">
      <c r="A3308" s="8" t="s">
        <v>125</v>
      </c>
      <c r="B3308" s="8" t="s">
        <v>132</v>
      </c>
      <c r="C3308" s="8" t="str">
        <f>IFERROR(_xlfn.XLOOKUP(TRIM(B3308),Lookup!$B$2:$B$1000,Lookup!$C$2:$C$1000),"")</f>
        <v>Hybrid</v>
      </c>
      <c r="D3308" s="8" t="str">
        <f>IFERROR(INDEX('nav master'!$C:$C, MATCH(B3308, 'nav master'!$B:$B, 0)), "")</f>
        <v>ULIF03901/09/10BalancedFd101</v>
      </c>
      <c r="E3308" s="8" t="s">
        <v>443</v>
      </c>
      <c r="F3308" s="8" t="s">
        <v>3575</v>
      </c>
    </row>
    <row r="3309" spans="1:6" ht="60" x14ac:dyDescent="0.25">
      <c r="A3309" s="8" t="s">
        <v>125</v>
      </c>
      <c r="B3309" s="8" t="s">
        <v>132</v>
      </c>
      <c r="C3309" s="8" t="str">
        <f>IFERROR(_xlfn.XLOOKUP(TRIM(B3309),Lookup!$B$2:$B$1000,Lookup!$C$2:$C$1000),"")</f>
        <v>Hybrid</v>
      </c>
      <c r="D3309" s="8" t="str">
        <f>IFERROR(INDEX('nav master'!$C:$C, MATCH(B3309, 'nav master'!$B:$B, 0)), "")</f>
        <v>ULIF03901/09/10BalancedFd101</v>
      </c>
      <c r="E3309" s="8" t="s">
        <v>445</v>
      </c>
      <c r="F3309" s="8" t="s">
        <v>3576</v>
      </c>
    </row>
    <row r="3310" spans="1:6" ht="60" x14ac:dyDescent="0.25">
      <c r="A3310" s="8" t="s">
        <v>125</v>
      </c>
      <c r="B3310" s="8" t="s">
        <v>132</v>
      </c>
      <c r="C3310" s="8" t="str">
        <f>IFERROR(_xlfn.XLOOKUP(TRIM(B3310),Lookup!$B$2:$B$1000,Lookup!$C$2:$C$1000),"")</f>
        <v>Hybrid</v>
      </c>
      <c r="D3310" s="8" t="str">
        <f>IFERROR(INDEX('nav master'!$C:$C, MATCH(B3310, 'nav master'!$B:$B, 0)), "")</f>
        <v>ULIF03901/09/10BalancedFd101</v>
      </c>
      <c r="E3310" s="8" t="s">
        <v>446</v>
      </c>
      <c r="F3310" s="8" t="s">
        <v>3577</v>
      </c>
    </row>
    <row r="3311" spans="1:6" ht="60" x14ac:dyDescent="0.25">
      <c r="A3311" s="8" t="s">
        <v>125</v>
      </c>
      <c r="B3311" s="8" t="s">
        <v>132</v>
      </c>
      <c r="C3311" s="8" t="str">
        <f>IFERROR(_xlfn.XLOOKUP(TRIM(B3311),Lookup!$B$2:$B$1000,Lookup!$C$2:$C$1000),"")</f>
        <v>Hybrid</v>
      </c>
      <c r="D3311" s="8" t="str">
        <f>IFERROR(INDEX('nav master'!$C:$C, MATCH(B3311, 'nav master'!$B:$B, 0)), "")</f>
        <v>ULIF03901/09/10BalancedFd101</v>
      </c>
      <c r="E3311" s="8" t="s">
        <v>448</v>
      </c>
      <c r="F3311" s="8" t="s">
        <v>3578</v>
      </c>
    </row>
    <row r="3312" spans="1:6" ht="60" x14ac:dyDescent="0.25">
      <c r="A3312" s="8" t="s">
        <v>125</v>
      </c>
      <c r="B3312" s="8" t="s">
        <v>132</v>
      </c>
      <c r="C3312" s="8" t="str">
        <f>IFERROR(_xlfn.XLOOKUP(TRIM(B3312),Lookup!$B$2:$B$1000,Lookup!$C$2:$C$1000),"")</f>
        <v>Hybrid</v>
      </c>
      <c r="D3312" s="8" t="str">
        <f>IFERROR(INDEX('nav master'!$C:$C, MATCH(B3312, 'nav master'!$B:$B, 0)), "")</f>
        <v>ULIF03901/09/10BalancedFd101</v>
      </c>
      <c r="E3312" s="8" t="s">
        <v>450</v>
      </c>
      <c r="F3312" s="8" t="s">
        <v>3579</v>
      </c>
    </row>
    <row r="3313" spans="1:6" ht="60" x14ac:dyDescent="0.25">
      <c r="A3313" s="8" t="s">
        <v>125</v>
      </c>
      <c r="B3313" s="8" t="s">
        <v>132</v>
      </c>
      <c r="C3313" s="8" t="str">
        <f>IFERROR(_xlfn.XLOOKUP(TRIM(B3313),Lookup!$B$2:$B$1000,Lookup!$C$2:$C$1000),"")</f>
        <v>Hybrid</v>
      </c>
      <c r="D3313" s="8" t="str">
        <f>IFERROR(INDEX('nav master'!$C:$C, MATCH(B3313, 'nav master'!$B:$B, 0)), "")</f>
        <v>ULIF03901/09/10BalancedFd101</v>
      </c>
      <c r="E3313" s="8" t="s">
        <v>452</v>
      </c>
      <c r="F3313" s="8" t="s">
        <v>3580</v>
      </c>
    </row>
    <row r="3314" spans="1:6" ht="60" x14ac:dyDescent="0.25">
      <c r="A3314" s="8" t="s">
        <v>125</v>
      </c>
      <c r="B3314" s="8" t="s">
        <v>132</v>
      </c>
      <c r="C3314" s="8" t="str">
        <f>IFERROR(_xlfn.XLOOKUP(TRIM(B3314),Lookup!$B$2:$B$1000,Lookup!$C$2:$C$1000),"")</f>
        <v>Hybrid</v>
      </c>
      <c r="D3314" s="8" t="str">
        <f>IFERROR(INDEX('nav master'!$C:$C, MATCH(B3314, 'nav master'!$B:$B, 0)), "")</f>
        <v>ULIF03901/09/10BalancedFd101</v>
      </c>
      <c r="E3314" s="8" t="s">
        <v>454</v>
      </c>
      <c r="F3314" s="8" t="s">
        <v>3581</v>
      </c>
    </row>
    <row r="3315" spans="1:6" ht="60" x14ac:dyDescent="0.25">
      <c r="A3315" s="8" t="s">
        <v>125</v>
      </c>
      <c r="B3315" s="8" t="s">
        <v>132</v>
      </c>
      <c r="C3315" s="8" t="str">
        <f>IFERROR(_xlfn.XLOOKUP(TRIM(B3315),Lookup!$B$2:$B$1000,Lookup!$C$2:$C$1000),"")</f>
        <v>Hybrid</v>
      </c>
      <c r="D3315" s="8" t="str">
        <f>IFERROR(INDEX('nav master'!$C:$C, MATCH(B3315, 'nav master'!$B:$B, 0)), "")</f>
        <v>ULIF03901/09/10BalancedFd101</v>
      </c>
      <c r="E3315" s="8" t="s">
        <v>456</v>
      </c>
      <c r="F3315" s="8" t="s">
        <v>3582</v>
      </c>
    </row>
    <row r="3316" spans="1:6" ht="60" x14ac:dyDescent="0.25">
      <c r="A3316" s="8" t="s">
        <v>125</v>
      </c>
      <c r="B3316" s="8" t="s">
        <v>132</v>
      </c>
      <c r="C3316" s="8" t="str">
        <f>IFERROR(_xlfn.XLOOKUP(TRIM(B3316),Lookup!$B$2:$B$1000,Lookup!$C$2:$C$1000),"")</f>
        <v>Hybrid</v>
      </c>
      <c r="D3316" s="8" t="str">
        <f>IFERROR(INDEX('nav master'!$C:$C, MATCH(B3316, 'nav master'!$B:$B, 0)), "")</f>
        <v>ULIF03901/09/10BalancedFd101</v>
      </c>
      <c r="E3316" s="8" t="s">
        <v>458</v>
      </c>
      <c r="F3316" s="8" t="s">
        <v>3583</v>
      </c>
    </row>
    <row r="3317" spans="1:6" ht="60" x14ac:dyDescent="0.25">
      <c r="A3317" s="8" t="s">
        <v>125</v>
      </c>
      <c r="B3317" s="8" t="s">
        <v>132</v>
      </c>
      <c r="C3317" s="8" t="str">
        <f>IFERROR(_xlfn.XLOOKUP(TRIM(B3317),Lookup!$B$2:$B$1000,Lookup!$C$2:$C$1000),"")</f>
        <v>Hybrid</v>
      </c>
      <c r="D3317" s="8" t="str">
        <f>IFERROR(INDEX('nav master'!$C:$C, MATCH(B3317, 'nav master'!$B:$B, 0)), "")</f>
        <v>ULIF03901/09/10BalancedFd101</v>
      </c>
      <c r="E3317" s="8" t="s">
        <v>460</v>
      </c>
      <c r="F3317" s="8" t="s">
        <v>3584</v>
      </c>
    </row>
    <row r="3318" spans="1:6" ht="60" x14ac:dyDescent="0.25">
      <c r="A3318" s="8" t="s">
        <v>125</v>
      </c>
      <c r="B3318" s="8" t="s">
        <v>132</v>
      </c>
      <c r="C3318" s="8" t="str">
        <f>IFERROR(_xlfn.XLOOKUP(TRIM(B3318),Lookup!$B$2:$B$1000,Lookup!$C$2:$C$1000),"")</f>
        <v>Hybrid</v>
      </c>
      <c r="D3318" s="8" t="str">
        <f>IFERROR(INDEX('nav master'!$C:$C, MATCH(B3318, 'nav master'!$B:$B, 0)), "")</f>
        <v>ULIF03901/09/10BalancedFd101</v>
      </c>
      <c r="E3318" s="8" t="s">
        <v>462</v>
      </c>
      <c r="F3318" s="8" t="s">
        <v>3585</v>
      </c>
    </row>
    <row r="3319" spans="1:6" ht="60" x14ac:dyDescent="0.25">
      <c r="A3319" s="8" t="s">
        <v>125</v>
      </c>
      <c r="B3319" s="8" t="s">
        <v>132</v>
      </c>
      <c r="C3319" s="8" t="str">
        <f>IFERROR(_xlfn.XLOOKUP(TRIM(B3319),Lookup!$B$2:$B$1000,Lookup!$C$2:$C$1000),"")</f>
        <v>Hybrid</v>
      </c>
      <c r="D3319" s="8" t="str">
        <f>IFERROR(INDEX('nav master'!$C:$C, MATCH(B3319, 'nav master'!$B:$B, 0)), "")</f>
        <v>ULIF03901/09/10BalancedFd101</v>
      </c>
      <c r="E3319" s="8" t="s">
        <v>464</v>
      </c>
      <c r="F3319" s="8" t="s">
        <v>3586</v>
      </c>
    </row>
    <row r="3320" spans="1:6" ht="60" x14ac:dyDescent="0.25">
      <c r="A3320" s="8" t="s">
        <v>125</v>
      </c>
      <c r="B3320" s="8" t="s">
        <v>132</v>
      </c>
      <c r="C3320" s="8" t="str">
        <f>IFERROR(_xlfn.XLOOKUP(TRIM(B3320),Lookup!$B$2:$B$1000,Lookup!$C$2:$C$1000),"")</f>
        <v>Hybrid</v>
      </c>
      <c r="D3320" s="8" t="str">
        <f>IFERROR(INDEX('nav master'!$C:$C, MATCH(B3320, 'nav master'!$B:$B, 0)), "")</f>
        <v>ULIF03901/09/10BalancedFd101</v>
      </c>
      <c r="E3320" s="8" t="s">
        <v>466</v>
      </c>
      <c r="F3320" s="8" t="s">
        <v>3587</v>
      </c>
    </row>
    <row r="3321" spans="1:6" ht="60" x14ac:dyDescent="0.25">
      <c r="A3321" s="8" t="s">
        <v>125</v>
      </c>
      <c r="B3321" s="8" t="s">
        <v>132</v>
      </c>
      <c r="C3321" s="8" t="str">
        <f>IFERROR(_xlfn.XLOOKUP(TRIM(B3321),Lookup!$B$2:$B$1000,Lookup!$C$2:$C$1000),"")</f>
        <v>Hybrid</v>
      </c>
      <c r="D3321" s="8" t="str">
        <f>IFERROR(INDEX('nav master'!$C:$C, MATCH(B3321, 'nav master'!$B:$B, 0)), "")</f>
        <v>ULIF03901/09/10BalancedFd101</v>
      </c>
      <c r="E3321" s="8" t="s">
        <v>468</v>
      </c>
      <c r="F3321" s="8" t="s">
        <v>3588</v>
      </c>
    </row>
    <row r="3322" spans="1:6" ht="60" x14ac:dyDescent="0.25">
      <c r="A3322" s="8" t="s">
        <v>125</v>
      </c>
      <c r="B3322" s="8" t="s">
        <v>132</v>
      </c>
      <c r="C3322" s="8" t="str">
        <f>IFERROR(_xlfn.XLOOKUP(TRIM(B3322),Lookup!$B$2:$B$1000,Lookup!$C$2:$C$1000),"")</f>
        <v>Hybrid</v>
      </c>
      <c r="D3322" s="8" t="str">
        <f>IFERROR(INDEX('nav master'!$C:$C, MATCH(B3322, 'nav master'!$B:$B, 0)), "")</f>
        <v>ULIF03901/09/10BalancedFd101</v>
      </c>
      <c r="E3322" s="8" t="s">
        <v>470</v>
      </c>
      <c r="F3322" s="8" t="s">
        <v>3589</v>
      </c>
    </row>
    <row r="3323" spans="1:6" ht="60" x14ac:dyDescent="0.25">
      <c r="A3323" s="8" t="s">
        <v>125</v>
      </c>
      <c r="B3323" s="8" t="s">
        <v>132</v>
      </c>
      <c r="C3323" s="8" t="str">
        <f>IFERROR(_xlfn.XLOOKUP(TRIM(B3323),Lookup!$B$2:$B$1000,Lookup!$C$2:$C$1000),"")</f>
        <v>Hybrid</v>
      </c>
      <c r="D3323" s="8" t="str">
        <f>IFERROR(INDEX('nav master'!$C:$C, MATCH(B3323, 'nav master'!$B:$B, 0)), "")</f>
        <v>ULIF03901/09/10BalancedFd101</v>
      </c>
      <c r="E3323" s="8" t="s">
        <v>472</v>
      </c>
      <c r="F3323" s="8" t="s">
        <v>3590</v>
      </c>
    </row>
    <row r="3324" spans="1:6" ht="60" x14ac:dyDescent="0.25">
      <c r="A3324" s="8" t="s">
        <v>125</v>
      </c>
      <c r="B3324" s="8" t="s">
        <v>132</v>
      </c>
      <c r="C3324" s="8" t="str">
        <f>IFERROR(_xlfn.XLOOKUP(TRIM(B3324),Lookup!$B$2:$B$1000,Lookup!$C$2:$C$1000),"")</f>
        <v>Hybrid</v>
      </c>
      <c r="D3324" s="8" t="str">
        <f>IFERROR(INDEX('nav master'!$C:$C, MATCH(B3324, 'nav master'!$B:$B, 0)), "")</f>
        <v>ULIF03901/09/10BalancedFd101</v>
      </c>
      <c r="E3324" s="8" t="s">
        <v>474</v>
      </c>
      <c r="F3324" s="8" t="s">
        <v>3591</v>
      </c>
    </row>
    <row r="3325" spans="1:6" ht="60" x14ac:dyDescent="0.25">
      <c r="A3325" s="8" t="s">
        <v>125</v>
      </c>
      <c r="B3325" s="8" t="s">
        <v>132</v>
      </c>
      <c r="C3325" s="8" t="str">
        <f>IFERROR(_xlfn.XLOOKUP(TRIM(B3325),Lookup!$B$2:$B$1000,Lookup!$C$2:$C$1000),"")</f>
        <v>Hybrid</v>
      </c>
      <c r="D3325" s="8" t="str">
        <f>IFERROR(INDEX('nav master'!$C:$C, MATCH(B3325, 'nav master'!$B:$B, 0)), "")</f>
        <v>ULIF03901/09/10BalancedFd101</v>
      </c>
      <c r="E3325" s="8" t="s">
        <v>476</v>
      </c>
      <c r="F3325" s="8" t="s">
        <v>3592</v>
      </c>
    </row>
    <row r="3326" spans="1:6" ht="60" x14ac:dyDescent="0.25">
      <c r="A3326" s="8" t="s">
        <v>125</v>
      </c>
      <c r="B3326" s="8" t="s">
        <v>132</v>
      </c>
      <c r="C3326" s="8" t="str">
        <f>IFERROR(_xlfn.XLOOKUP(TRIM(B3326),Lookup!$B$2:$B$1000,Lookup!$C$2:$C$1000),"")</f>
        <v>Hybrid</v>
      </c>
      <c r="D3326" s="8" t="str">
        <f>IFERROR(INDEX('nav master'!$C:$C, MATCH(B3326, 'nav master'!$B:$B, 0)), "")</f>
        <v>ULIF03901/09/10BalancedFd101</v>
      </c>
      <c r="E3326" s="8" t="s">
        <v>478</v>
      </c>
      <c r="F3326" s="8" t="s">
        <v>3593</v>
      </c>
    </row>
    <row r="3327" spans="1:6" ht="60" x14ac:dyDescent="0.25">
      <c r="A3327" s="8" t="s">
        <v>125</v>
      </c>
      <c r="B3327" s="8" t="s">
        <v>132</v>
      </c>
      <c r="C3327" s="8" t="str">
        <f>IFERROR(_xlfn.XLOOKUP(TRIM(B3327),Lookup!$B$2:$B$1000,Lookup!$C$2:$C$1000),"")</f>
        <v>Hybrid</v>
      </c>
      <c r="D3327" s="8" t="str">
        <f>IFERROR(INDEX('nav master'!$C:$C, MATCH(B3327, 'nav master'!$B:$B, 0)), "")</f>
        <v>ULIF03901/09/10BalancedFd101</v>
      </c>
      <c r="E3327" s="8" t="s">
        <v>480</v>
      </c>
      <c r="F3327" s="8" t="s">
        <v>3594</v>
      </c>
    </row>
    <row r="3328" spans="1:6" ht="60" x14ac:dyDescent="0.25">
      <c r="A3328" s="8" t="s">
        <v>125</v>
      </c>
      <c r="B3328" s="8" t="s">
        <v>132</v>
      </c>
      <c r="C3328" s="8" t="str">
        <f>IFERROR(_xlfn.XLOOKUP(TRIM(B3328),Lookup!$B$2:$B$1000,Lookup!$C$2:$C$1000),"")</f>
        <v>Hybrid</v>
      </c>
      <c r="D3328" s="8" t="str">
        <f>IFERROR(INDEX('nav master'!$C:$C, MATCH(B3328, 'nav master'!$B:$B, 0)), "")</f>
        <v>ULIF03901/09/10BalancedFd101</v>
      </c>
      <c r="E3328" s="8" t="s">
        <v>482</v>
      </c>
      <c r="F3328" s="8" t="s">
        <v>3595</v>
      </c>
    </row>
    <row r="3329" spans="1:6" ht="60" x14ac:dyDescent="0.25">
      <c r="A3329" s="8" t="s">
        <v>125</v>
      </c>
      <c r="B3329" s="8" t="s">
        <v>132</v>
      </c>
      <c r="C3329" s="8" t="str">
        <f>IFERROR(_xlfn.XLOOKUP(TRIM(B3329),Lookup!$B$2:$B$1000,Lookup!$C$2:$C$1000),"")</f>
        <v>Hybrid</v>
      </c>
      <c r="D3329" s="8" t="str">
        <f>IFERROR(INDEX('nav master'!$C:$C, MATCH(B3329, 'nav master'!$B:$B, 0)), "")</f>
        <v>ULIF03901/09/10BalancedFd101</v>
      </c>
      <c r="E3329" s="8" t="s">
        <v>484</v>
      </c>
      <c r="F3329" s="8" t="s">
        <v>3596</v>
      </c>
    </row>
    <row r="3330" spans="1:6" ht="60" x14ac:dyDescent="0.25">
      <c r="A3330" s="8" t="s">
        <v>125</v>
      </c>
      <c r="B3330" s="8" t="s">
        <v>132</v>
      </c>
      <c r="C3330" s="8" t="str">
        <f>IFERROR(_xlfn.XLOOKUP(TRIM(B3330),Lookup!$B$2:$B$1000,Lookup!$C$2:$C$1000),"")</f>
        <v>Hybrid</v>
      </c>
      <c r="D3330" s="8" t="str">
        <f>IFERROR(INDEX('nav master'!$C:$C, MATCH(B3330, 'nav master'!$B:$B, 0)), "")</f>
        <v>ULIF03901/09/10BalancedFd101</v>
      </c>
      <c r="E3330" s="8" t="s">
        <v>486</v>
      </c>
      <c r="F3330" s="8" t="s">
        <v>3597</v>
      </c>
    </row>
    <row r="3331" spans="1:6" ht="60" x14ac:dyDescent="0.25">
      <c r="A3331" s="8" t="s">
        <v>125</v>
      </c>
      <c r="B3331" s="8" t="s">
        <v>132</v>
      </c>
      <c r="C3331" s="8" t="str">
        <f>IFERROR(_xlfn.XLOOKUP(TRIM(B3331),Lookup!$B$2:$B$1000,Lookup!$C$2:$C$1000),"")</f>
        <v>Hybrid</v>
      </c>
      <c r="D3331" s="8" t="str">
        <f>IFERROR(INDEX('nav master'!$C:$C, MATCH(B3331, 'nav master'!$B:$B, 0)), "")</f>
        <v>ULIF03901/09/10BalancedFd101</v>
      </c>
      <c r="E3331" s="8" t="s">
        <v>488</v>
      </c>
      <c r="F3331" s="8" t="s">
        <v>3598</v>
      </c>
    </row>
    <row r="3332" spans="1:6" ht="60" x14ac:dyDescent="0.25">
      <c r="A3332" s="8" t="s">
        <v>125</v>
      </c>
      <c r="B3332" s="8" t="s">
        <v>132</v>
      </c>
      <c r="C3332" s="8" t="str">
        <f>IFERROR(_xlfn.XLOOKUP(TRIM(B3332),Lookup!$B$2:$B$1000,Lookup!$C$2:$C$1000),"")</f>
        <v>Hybrid</v>
      </c>
      <c r="D3332" s="8" t="str">
        <f>IFERROR(INDEX('nav master'!$C:$C, MATCH(B3332, 'nav master'!$B:$B, 0)), "")</f>
        <v>ULIF03901/09/10BalancedFd101</v>
      </c>
      <c r="E3332" s="8" t="s">
        <v>490</v>
      </c>
      <c r="F3332" s="8" t="s">
        <v>3599</v>
      </c>
    </row>
    <row r="3333" spans="1:6" ht="60" x14ac:dyDescent="0.25">
      <c r="A3333" s="8" t="s">
        <v>125</v>
      </c>
      <c r="B3333" s="8" t="s">
        <v>132</v>
      </c>
      <c r="C3333" s="8" t="str">
        <f>IFERROR(_xlfn.XLOOKUP(TRIM(B3333),Lookup!$B$2:$B$1000,Lookup!$C$2:$C$1000),"")</f>
        <v>Hybrid</v>
      </c>
      <c r="D3333" s="8" t="str">
        <f>IFERROR(INDEX('nav master'!$C:$C, MATCH(B3333, 'nav master'!$B:$B, 0)), "")</f>
        <v>ULIF03901/09/10BalancedFd101</v>
      </c>
      <c r="E3333" s="8" t="s">
        <v>492</v>
      </c>
      <c r="F3333" s="8" t="s">
        <v>3600</v>
      </c>
    </row>
    <row r="3334" spans="1:6" ht="60" x14ac:dyDescent="0.25">
      <c r="A3334" s="8" t="s">
        <v>125</v>
      </c>
      <c r="B3334" s="8" t="s">
        <v>132</v>
      </c>
      <c r="C3334" s="8" t="str">
        <f>IFERROR(_xlfn.XLOOKUP(TRIM(B3334),Lookup!$B$2:$B$1000,Lookup!$C$2:$C$1000),"")</f>
        <v>Hybrid</v>
      </c>
      <c r="D3334" s="8" t="str">
        <f>IFERROR(INDEX('nav master'!$C:$C, MATCH(B3334, 'nav master'!$B:$B, 0)), "")</f>
        <v>ULIF03901/09/10BalancedFd101</v>
      </c>
      <c r="E3334" s="8" t="s">
        <v>494</v>
      </c>
      <c r="F3334" s="8" t="s">
        <v>3601</v>
      </c>
    </row>
    <row r="3335" spans="1:6" ht="60" x14ac:dyDescent="0.25">
      <c r="A3335" s="8" t="s">
        <v>125</v>
      </c>
      <c r="B3335" s="8" t="s">
        <v>132</v>
      </c>
      <c r="C3335" s="8" t="str">
        <f>IFERROR(_xlfn.XLOOKUP(TRIM(B3335),Lookup!$B$2:$B$1000,Lookup!$C$2:$C$1000),"")</f>
        <v>Hybrid</v>
      </c>
      <c r="D3335" s="8" t="str">
        <f>IFERROR(INDEX('nav master'!$C:$C, MATCH(B3335, 'nav master'!$B:$B, 0)), "")</f>
        <v>ULIF03901/09/10BalancedFd101</v>
      </c>
      <c r="E3335" s="8" t="s">
        <v>496</v>
      </c>
      <c r="F3335" s="8" t="s">
        <v>3602</v>
      </c>
    </row>
    <row r="3336" spans="1:6" ht="60" x14ac:dyDescent="0.25">
      <c r="A3336" s="8" t="s">
        <v>125</v>
      </c>
      <c r="B3336" s="8" t="s">
        <v>132</v>
      </c>
      <c r="C3336" s="8" t="str">
        <f>IFERROR(_xlfn.XLOOKUP(TRIM(B3336),Lookup!$B$2:$B$1000,Lookup!$C$2:$C$1000),"")</f>
        <v>Hybrid</v>
      </c>
      <c r="D3336" s="8" t="str">
        <f>IFERROR(INDEX('nav master'!$C:$C, MATCH(B3336, 'nav master'!$B:$B, 0)), "")</f>
        <v>ULIF03901/09/10BalancedFd101</v>
      </c>
      <c r="E3336" s="8" t="s">
        <v>498</v>
      </c>
      <c r="F3336" s="8" t="s">
        <v>3603</v>
      </c>
    </row>
    <row r="3337" spans="1:6" ht="60" x14ac:dyDescent="0.25">
      <c r="A3337" s="8" t="s">
        <v>125</v>
      </c>
      <c r="B3337" s="8" t="s">
        <v>132</v>
      </c>
      <c r="C3337" s="8" t="str">
        <f>IFERROR(_xlfn.XLOOKUP(TRIM(B3337),Lookup!$B$2:$B$1000,Lookup!$C$2:$C$1000),"")</f>
        <v>Hybrid</v>
      </c>
      <c r="D3337" s="8" t="str">
        <f>IFERROR(INDEX('nav master'!$C:$C, MATCH(B3337, 'nav master'!$B:$B, 0)), "")</f>
        <v>ULIF03901/09/10BalancedFd101</v>
      </c>
      <c r="E3337" s="8" t="s">
        <v>500</v>
      </c>
      <c r="F3337" s="8" t="s">
        <v>3604</v>
      </c>
    </row>
    <row r="3338" spans="1:6" ht="60" x14ac:dyDescent="0.25">
      <c r="A3338" s="8" t="s">
        <v>125</v>
      </c>
      <c r="B3338" s="8" t="s">
        <v>132</v>
      </c>
      <c r="C3338" s="8" t="str">
        <f>IFERROR(_xlfn.XLOOKUP(TRIM(B3338),Lookup!$B$2:$B$1000,Lookup!$C$2:$C$1000),"")</f>
        <v>Hybrid</v>
      </c>
      <c r="D3338" s="8" t="str">
        <f>IFERROR(INDEX('nav master'!$C:$C, MATCH(B3338, 'nav master'!$B:$B, 0)), "")</f>
        <v>ULIF03901/09/10BalancedFd101</v>
      </c>
      <c r="E3338" s="8" t="s">
        <v>502</v>
      </c>
      <c r="F3338" s="8" t="s">
        <v>3605</v>
      </c>
    </row>
    <row r="3339" spans="1:6" ht="60" x14ac:dyDescent="0.25">
      <c r="A3339" s="8" t="s">
        <v>125</v>
      </c>
      <c r="B3339" s="8" t="s">
        <v>132</v>
      </c>
      <c r="C3339" s="8" t="str">
        <f>IFERROR(_xlfn.XLOOKUP(TRIM(B3339),Lookup!$B$2:$B$1000,Lookup!$C$2:$C$1000),"")</f>
        <v>Hybrid</v>
      </c>
      <c r="D3339" s="8" t="str">
        <f>IFERROR(INDEX('nav master'!$C:$C, MATCH(B3339, 'nav master'!$B:$B, 0)), "")</f>
        <v>ULIF03901/09/10BalancedFd101</v>
      </c>
      <c r="E3339" s="8" t="s">
        <v>504</v>
      </c>
      <c r="F3339" s="8" t="s">
        <v>3606</v>
      </c>
    </row>
    <row r="3340" spans="1:6" ht="60" x14ac:dyDescent="0.25">
      <c r="A3340" s="8" t="s">
        <v>125</v>
      </c>
      <c r="B3340" s="8" t="s">
        <v>132</v>
      </c>
      <c r="C3340" s="8" t="str">
        <f>IFERROR(_xlfn.XLOOKUP(TRIM(B3340),Lookup!$B$2:$B$1000,Lookup!$C$2:$C$1000),"")</f>
        <v>Hybrid</v>
      </c>
      <c r="D3340" s="8" t="str">
        <f>IFERROR(INDEX('nav master'!$C:$C, MATCH(B3340, 'nav master'!$B:$B, 0)), "")</f>
        <v>ULIF03901/09/10BalancedFd101</v>
      </c>
      <c r="E3340" s="8" t="s">
        <v>506</v>
      </c>
      <c r="F3340" s="8" t="s">
        <v>3607</v>
      </c>
    </row>
    <row r="3341" spans="1:6" ht="60" x14ac:dyDescent="0.25">
      <c r="A3341" s="8" t="s">
        <v>125</v>
      </c>
      <c r="B3341" s="8" t="s">
        <v>132</v>
      </c>
      <c r="C3341" s="8" t="str">
        <f>IFERROR(_xlfn.XLOOKUP(TRIM(B3341),Lookup!$B$2:$B$1000,Lookup!$C$2:$C$1000),"")</f>
        <v>Hybrid</v>
      </c>
      <c r="D3341" s="8" t="str">
        <f>IFERROR(INDEX('nav master'!$C:$C, MATCH(B3341, 'nav master'!$B:$B, 0)), "")</f>
        <v>ULIF03901/09/10BalancedFd101</v>
      </c>
      <c r="E3341" s="8" t="s">
        <v>508</v>
      </c>
      <c r="F3341" s="8" t="s">
        <v>3608</v>
      </c>
    </row>
    <row r="3342" spans="1:6" ht="60" x14ac:dyDescent="0.25">
      <c r="A3342" s="8" t="s">
        <v>125</v>
      </c>
      <c r="B3342" s="8" t="s">
        <v>132</v>
      </c>
      <c r="C3342" s="8" t="str">
        <f>IFERROR(_xlfn.XLOOKUP(TRIM(B3342),Lookup!$B$2:$B$1000,Lookup!$C$2:$C$1000),"")</f>
        <v>Hybrid</v>
      </c>
      <c r="D3342" s="8" t="str">
        <f>IFERROR(INDEX('nav master'!$C:$C, MATCH(B3342, 'nav master'!$B:$B, 0)), "")</f>
        <v>ULIF03901/09/10BalancedFd101</v>
      </c>
      <c r="E3342" s="8" t="s">
        <v>510</v>
      </c>
      <c r="F3342" s="8" t="s">
        <v>3609</v>
      </c>
    </row>
    <row r="3343" spans="1:6" ht="60" x14ac:dyDescent="0.25">
      <c r="A3343" s="8" t="s">
        <v>125</v>
      </c>
      <c r="B3343" s="8" t="s">
        <v>132</v>
      </c>
      <c r="C3343" s="8" t="str">
        <f>IFERROR(_xlfn.XLOOKUP(TRIM(B3343),Lookup!$B$2:$B$1000,Lookup!$C$2:$C$1000),"")</f>
        <v>Hybrid</v>
      </c>
      <c r="D3343" s="8" t="str">
        <f>IFERROR(INDEX('nav master'!$C:$C, MATCH(B3343, 'nav master'!$B:$B, 0)), "")</f>
        <v>ULIF03901/09/10BalancedFd101</v>
      </c>
      <c r="E3343" s="8" t="s">
        <v>512</v>
      </c>
      <c r="F3343" s="8" t="s">
        <v>3610</v>
      </c>
    </row>
    <row r="3344" spans="1:6" ht="60" x14ac:dyDescent="0.25">
      <c r="A3344" s="8" t="s">
        <v>125</v>
      </c>
      <c r="B3344" s="8" t="s">
        <v>132</v>
      </c>
      <c r="C3344" s="8" t="str">
        <f>IFERROR(_xlfn.XLOOKUP(TRIM(B3344),Lookup!$B$2:$B$1000,Lookup!$C$2:$C$1000),"")</f>
        <v>Hybrid</v>
      </c>
      <c r="D3344" s="8" t="str">
        <f>IFERROR(INDEX('nav master'!$C:$C, MATCH(B3344, 'nav master'!$B:$B, 0)), "")</f>
        <v>ULIF03901/09/10BalancedFd101</v>
      </c>
      <c r="E3344" s="8" t="s">
        <v>514</v>
      </c>
      <c r="F3344" s="8" t="s">
        <v>3611</v>
      </c>
    </row>
    <row r="3345" spans="1:6" ht="60" x14ac:dyDescent="0.25">
      <c r="A3345" s="8" t="s">
        <v>125</v>
      </c>
      <c r="B3345" s="8" t="s">
        <v>132</v>
      </c>
      <c r="C3345" s="8" t="str">
        <f>IFERROR(_xlfn.XLOOKUP(TRIM(B3345),Lookup!$B$2:$B$1000,Lookup!$C$2:$C$1000),"")</f>
        <v>Hybrid</v>
      </c>
      <c r="D3345" s="8" t="str">
        <f>IFERROR(INDEX('nav master'!$C:$C, MATCH(B3345, 'nav master'!$B:$B, 0)), "")</f>
        <v>ULIF03901/09/10BalancedFd101</v>
      </c>
      <c r="E3345" s="8" t="s">
        <v>516</v>
      </c>
      <c r="F3345" s="8" t="s">
        <v>3612</v>
      </c>
    </row>
    <row r="3346" spans="1:6" ht="60" x14ac:dyDescent="0.25">
      <c r="A3346" s="8" t="s">
        <v>125</v>
      </c>
      <c r="B3346" s="8" t="s">
        <v>132</v>
      </c>
      <c r="C3346" s="8" t="str">
        <f>IFERROR(_xlfn.XLOOKUP(TRIM(B3346),Lookup!$B$2:$B$1000,Lookup!$C$2:$C$1000),"")</f>
        <v>Hybrid</v>
      </c>
      <c r="D3346" s="8" t="str">
        <f>IFERROR(INDEX('nav master'!$C:$C, MATCH(B3346, 'nav master'!$B:$B, 0)), "")</f>
        <v>ULIF03901/09/10BalancedFd101</v>
      </c>
      <c r="E3346" s="8" t="s">
        <v>518</v>
      </c>
      <c r="F3346" s="8" t="s">
        <v>3613</v>
      </c>
    </row>
    <row r="3347" spans="1:6" ht="60" x14ac:dyDescent="0.25">
      <c r="A3347" s="8" t="s">
        <v>125</v>
      </c>
      <c r="B3347" s="8" t="s">
        <v>132</v>
      </c>
      <c r="C3347" s="8" t="str">
        <f>IFERROR(_xlfn.XLOOKUP(TRIM(B3347),Lookup!$B$2:$B$1000,Lookup!$C$2:$C$1000),"")</f>
        <v>Hybrid</v>
      </c>
      <c r="D3347" s="8" t="str">
        <f>IFERROR(INDEX('nav master'!$C:$C, MATCH(B3347, 'nav master'!$B:$B, 0)), "")</f>
        <v>ULIF03901/09/10BalancedFd101</v>
      </c>
      <c r="E3347" s="8" t="s">
        <v>520</v>
      </c>
      <c r="F3347" s="8" t="s">
        <v>3614</v>
      </c>
    </row>
    <row r="3348" spans="1:6" ht="60" x14ac:dyDescent="0.25">
      <c r="A3348" s="8" t="s">
        <v>125</v>
      </c>
      <c r="B3348" s="8" t="s">
        <v>132</v>
      </c>
      <c r="C3348" s="8" t="str">
        <f>IFERROR(_xlfn.XLOOKUP(TRIM(B3348),Lookup!$B$2:$B$1000,Lookup!$C$2:$C$1000),"")</f>
        <v>Hybrid</v>
      </c>
      <c r="D3348" s="8" t="str">
        <f>IFERROR(INDEX('nav master'!$C:$C, MATCH(B3348, 'nav master'!$B:$B, 0)), "")</f>
        <v>ULIF03901/09/10BalancedFd101</v>
      </c>
      <c r="E3348" s="8" t="s">
        <v>522</v>
      </c>
      <c r="F3348" s="8" t="s">
        <v>3615</v>
      </c>
    </row>
    <row r="3349" spans="1:6" ht="60" x14ac:dyDescent="0.25">
      <c r="A3349" s="8" t="s">
        <v>125</v>
      </c>
      <c r="B3349" s="8" t="s">
        <v>132</v>
      </c>
      <c r="C3349" s="8" t="str">
        <f>IFERROR(_xlfn.XLOOKUP(TRIM(B3349),Lookup!$B$2:$B$1000,Lookup!$C$2:$C$1000),"")</f>
        <v>Hybrid</v>
      </c>
      <c r="D3349" s="8" t="str">
        <f>IFERROR(INDEX('nav master'!$C:$C, MATCH(B3349, 'nav master'!$B:$B, 0)), "")</f>
        <v>ULIF03901/09/10BalancedFd101</v>
      </c>
      <c r="E3349" s="8" t="s">
        <v>524</v>
      </c>
      <c r="F3349" s="8" t="s">
        <v>3616</v>
      </c>
    </row>
    <row r="3350" spans="1:6" ht="60" x14ac:dyDescent="0.25">
      <c r="A3350" s="8" t="s">
        <v>125</v>
      </c>
      <c r="B3350" s="8" t="s">
        <v>132</v>
      </c>
      <c r="C3350" s="8" t="str">
        <f>IFERROR(_xlfn.XLOOKUP(TRIM(B3350),Lookup!$B$2:$B$1000,Lookup!$C$2:$C$1000),"")</f>
        <v>Hybrid</v>
      </c>
      <c r="D3350" s="8" t="str">
        <f>IFERROR(INDEX('nav master'!$C:$C, MATCH(B3350, 'nav master'!$B:$B, 0)), "")</f>
        <v>ULIF03901/09/10BalancedFd101</v>
      </c>
      <c r="E3350" s="8" t="s">
        <v>526</v>
      </c>
      <c r="F3350" s="8" t="s">
        <v>3617</v>
      </c>
    </row>
    <row r="3351" spans="1:6" ht="60" x14ac:dyDescent="0.25">
      <c r="A3351" s="8" t="s">
        <v>125</v>
      </c>
      <c r="B3351" s="8" t="s">
        <v>132</v>
      </c>
      <c r="C3351" s="8" t="str">
        <f>IFERROR(_xlfn.XLOOKUP(TRIM(B3351),Lookup!$B$2:$B$1000,Lookup!$C$2:$C$1000),"")</f>
        <v>Hybrid</v>
      </c>
      <c r="D3351" s="8" t="str">
        <f>IFERROR(INDEX('nav master'!$C:$C, MATCH(B3351, 'nav master'!$B:$B, 0)), "")</f>
        <v>ULIF03901/09/10BalancedFd101</v>
      </c>
      <c r="E3351" s="8" t="s">
        <v>528</v>
      </c>
      <c r="F3351" s="8" t="s">
        <v>3618</v>
      </c>
    </row>
    <row r="3352" spans="1:6" ht="60" x14ac:dyDescent="0.25">
      <c r="A3352" s="8" t="s">
        <v>125</v>
      </c>
      <c r="B3352" s="8" t="s">
        <v>132</v>
      </c>
      <c r="C3352" s="8" t="str">
        <f>IFERROR(_xlfn.XLOOKUP(TRIM(B3352),Lookup!$B$2:$B$1000,Lookup!$C$2:$C$1000),"")</f>
        <v>Hybrid</v>
      </c>
      <c r="D3352" s="8" t="str">
        <f>IFERROR(INDEX('nav master'!$C:$C, MATCH(B3352, 'nav master'!$B:$B, 0)), "")</f>
        <v>ULIF03901/09/10BalancedFd101</v>
      </c>
      <c r="E3352" s="8" t="s">
        <v>530</v>
      </c>
      <c r="F3352" s="8" t="s">
        <v>3619</v>
      </c>
    </row>
    <row r="3353" spans="1:6" ht="60" x14ac:dyDescent="0.25">
      <c r="A3353" s="8" t="s">
        <v>125</v>
      </c>
      <c r="B3353" s="8" t="s">
        <v>132</v>
      </c>
      <c r="C3353" s="8" t="str">
        <f>IFERROR(_xlfn.XLOOKUP(TRIM(B3353),Lookup!$B$2:$B$1000,Lookup!$C$2:$C$1000),"")</f>
        <v>Hybrid</v>
      </c>
      <c r="D3353" s="8" t="str">
        <f>IFERROR(INDEX('nav master'!$C:$C, MATCH(B3353, 'nav master'!$B:$B, 0)), "")</f>
        <v>ULIF03901/09/10BalancedFd101</v>
      </c>
      <c r="E3353" s="8" t="s">
        <v>532</v>
      </c>
      <c r="F3353" s="8" t="s">
        <v>3620</v>
      </c>
    </row>
    <row r="3354" spans="1:6" ht="60" x14ac:dyDescent="0.25">
      <c r="A3354" s="8" t="s">
        <v>125</v>
      </c>
      <c r="B3354" s="8" t="s">
        <v>132</v>
      </c>
      <c r="C3354" s="8" t="str">
        <f>IFERROR(_xlfn.XLOOKUP(TRIM(B3354),Lookup!$B$2:$B$1000,Lookup!$C$2:$C$1000),"")</f>
        <v>Hybrid</v>
      </c>
      <c r="D3354" s="8" t="str">
        <f>IFERROR(INDEX('nav master'!$C:$C, MATCH(B3354, 'nav master'!$B:$B, 0)), "")</f>
        <v>ULIF03901/09/10BalancedFd101</v>
      </c>
      <c r="E3354" s="8" t="s">
        <v>534</v>
      </c>
      <c r="F3354" s="8" t="s">
        <v>3621</v>
      </c>
    </row>
    <row r="3355" spans="1:6" ht="60" x14ac:dyDescent="0.25">
      <c r="A3355" s="8" t="s">
        <v>125</v>
      </c>
      <c r="B3355" s="8" t="s">
        <v>132</v>
      </c>
      <c r="C3355" s="8" t="str">
        <f>IFERROR(_xlfn.XLOOKUP(TRIM(B3355),Lookup!$B$2:$B$1000,Lookup!$C$2:$C$1000),"")</f>
        <v>Hybrid</v>
      </c>
      <c r="D3355" s="8" t="str">
        <f>IFERROR(INDEX('nav master'!$C:$C, MATCH(B3355, 'nav master'!$B:$B, 0)), "")</f>
        <v>ULIF03901/09/10BalancedFd101</v>
      </c>
      <c r="E3355" s="8" t="s">
        <v>536</v>
      </c>
      <c r="F3355" s="8" t="s">
        <v>3622</v>
      </c>
    </row>
    <row r="3356" spans="1:6" ht="60" x14ac:dyDescent="0.25">
      <c r="A3356" s="8" t="s">
        <v>125</v>
      </c>
      <c r="B3356" s="8" t="s">
        <v>132</v>
      </c>
      <c r="C3356" s="8" t="str">
        <f>IFERROR(_xlfn.XLOOKUP(TRIM(B3356),Lookup!$B$2:$B$1000,Lookup!$C$2:$C$1000),"")</f>
        <v>Hybrid</v>
      </c>
      <c r="D3356" s="8" t="str">
        <f>IFERROR(INDEX('nav master'!$C:$C, MATCH(B3356, 'nav master'!$B:$B, 0)), "")</f>
        <v>ULIF03901/09/10BalancedFd101</v>
      </c>
      <c r="E3356" s="8" t="s">
        <v>538</v>
      </c>
      <c r="F3356" s="8" t="s">
        <v>3623</v>
      </c>
    </row>
    <row r="3357" spans="1:6" ht="60" x14ac:dyDescent="0.25">
      <c r="A3357" s="8" t="s">
        <v>125</v>
      </c>
      <c r="B3357" s="8" t="s">
        <v>132</v>
      </c>
      <c r="C3357" s="8" t="str">
        <f>IFERROR(_xlfn.XLOOKUP(TRIM(B3357),Lookup!$B$2:$B$1000,Lookup!$C$2:$C$1000),"")</f>
        <v>Hybrid</v>
      </c>
      <c r="D3357" s="8" t="str">
        <f>IFERROR(INDEX('nav master'!$C:$C, MATCH(B3357, 'nav master'!$B:$B, 0)), "")</f>
        <v>ULIF03901/09/10BalancedFd101</v>
      </c>
      <c r="E3357" s="8" t="s">
        <v>540</v>
      </c>
      <c r="F3357" s="8" t="s">
        <v>3624</v>
      </c>
    </row>
    <row r="3358" spans="1:6" ht="60" x14ac:dyDescent="0.25">
      <c r="A3358" s="8" t="s">
        <v>125</v>
      </c>
      <c r="B3358" s="8" t="s">
        <v>132</v>
      </c>
      <c r="C3358" s="8" t="str">
        <f>IFERROR(_xlfn.XLOOKUP(TRIM(B3358),Lookup!$B$2:$B$1000,Lookup!$C$2:$C$1000),"")</f>
        <v>Hybrid</v>
      </c>
      <c r="D3358" s="8" t="str">
        <f>IFERROR(INDEX('nav master'!$C:$C, MATCH(B3358, 'nav master'!$B:$B, 0)), "")</f>
        <v>ULIF03901/09/10BalancedFd101</v>
      </c>
      <c r="E3358" s="8" t="s">
        <v>542</v>
      </c>
      <c r="F3358" s="8" t="s">
        <v>3625</v>
      </c>
    </row>
    <row r="3359" spans="1:6" ht="60" x14ac:dyDescent="0.25">
      <c r="A3359" s="8" t="s">
        <v>125</v>
      </c>
      <c r="B3359" s="8" t="s">
        <v>132</v>
      </c>
      <c r="C3359" s="8" t="str">
        <f>IFERROR(_xlfn.XLOOKUP(TRIM(B3359),Lookup!$B$2:$B$1000,Lookup!$C$2:$C$1000),"")</f>
        <v>Hybrid</v>
      </c>
      <c r="D3359" s="8" t="str">
        <f>IFERROR(INDEX('nav master'!$C:$C, MATCH(B3359, 'nav master'!$B:$B, 0)), "")</f>
        <v>ULIF03901/09/10BalancedFd101</v>
      </c>
      <c r="E3359" s="8" t="s">
        <v>544</v>
      </c>
      <c r="F3359" s="8" t="s">
        <v>3626</v>
      </c>
    </row>
    <row r="3360" spans="1:6" ht="60" x14ac:dyDescent="0.25">
      <c r="A3360" s="8" t="s">
        <v>125</v>
      </c>
      <c r="B3360" s="8" t="s">
        <v>132</v>
      </c>
      <c r="C3360" s="8" t="str">
        <f>IFERROR(_xlfn.XLOOKUP(TRIM(B3360),Lookup!$B$2:$B$1000,Lookup!$C$2:$C$1000),"")</f>
        <v>Hybrid</v>
      </c>
      <c r="D3360" s="8" t="str">
        <f>IFERROR(INDEX('nav master'!$C:$C, MATCH(B3360, 'nav master'!$B:$B, 0)), "")</f>
        <v>ULIF03901/09/10BalancedFd101</v>
      </c>
      <c r="E3360" s="8" t="s">
        <v>546</v>
      </c>
      <c r="F3360" s="8" t="s">
        <v>3627</v>
      </c>
    </row>
    <row r="3361" spans="1:6" ht="60" x14ac:dyDescent="0.25">
      <c r="A3361" s="8" t="s">
        <v>125</v>
      </c>
      <c r="B3361" s="8" t="s">
        <v>132</v>
      </c>
      <c r="C3361" s="8" t="str">
        <f>IFERROR(_xlfn.XLOOKUP(TRIM(B3361),Lookup!$B$2:$B$1000,Lookup!$C$2:$C$1000),"")</f>
        <v>Hybrid</v>
      </c>
      <c r="D3361" s="8" t="str">
        <f>IFERROR(INDEX('nav master'!$C:$C, MATCH(B3361, 'nav master'!$B:$B, 0)), "")</f>
        <v>ULIF03901/09/10BalancedFd101</v>
      </c>
      <c r="E3361" s="8" t="s">
        <v>548</v>
      </c>
      <c r="F3361" s="8" t="s">
        <v>3628</v>
      </c>
    </row>
    <row r="3362" spans="1:6" ht="60" x14ac:dyDescent="0.25">
      <c r="A3362" s="8" t="s">
        <v>125</v>
      </c>
      <c r="B3362" s="8" t="s">
        <v>132</v>
      </c>
      <c r="C3362" s="8" t="str">
        <f>IFERROR(_xlfn.XLOOKUP(TRIM(B3362),Lookup!$B$2:$B$1000,Lookup!$C$2:$C$1000),"")</f>
        <v>Hybrid</v>
      </c>
      <c r="D3362" s="8" t="str">
        <f>IFERROR(INDEX('nav master'!$C:$C, MATCH(B3362, 'nav master'!$B:$B, 0)), "")</f>
        <v>ULIF03901/09/10BalancedFd101</v>
      </c>
      <c r="E3362" s="8" t="s">
        <v>550</v>
      </c>
      <c r="F3362" s="8" t="s">
        <v>3629</v>
      </c>
    </row>
    <row r="3363" spans="1:6" ht="60" x14ac:dyDescent="0.25">
      <c r="A3363" s="8" t="s">
        <v>125</v>
      </c>
      <c r="B3363" s="8" t="s">
        <v>132</v>
      </c>
      <c r="C3363" s="8" t="str">
        <f>IFERROR(_xlfn.XLOOKUP(TRIM(B3363),Lookup!$B$2:$B$1000,Lookup!$C$2:$C$1000),"")</f>
        <v>Hybrid</v>
      </c>
      <c r="D3363" s="8" t="str">
        <f>IFERROR(INDEX('nav master'!$C:$C, MATCH(B3363, 'nav master'!$B:$B, 0)), "")</f>
        <v>ULIF03901/09/10BalancedFd101</v>
      </c>
      <c r="E3363" s="8" t="s">
        <v>552</v>
      </c>
      <c r="F3363" s="8" t="s">
        <v>3630</v>
      </c>
    </row>
    <row r="3364" spans="1:6" ht="60" x14ac:dyDescent="0.25">
      <c r="A3364" s="8" t="s">
        <v>125</v>
      </c>
      <c r="B3364" s="8" t="s">
        <v>132</v>
      </c>
      <c r="C3364" s="8" t="str">
        <f>IFERROR(_xlfn.XLOOKUP(TRIM(B3364),Lookup!$B$2:$B$1000,Lookup!$C$2:$C$1000),"")</f>
        <v>Hybrid</v>
      </c>
      <c r="D3364" s="8" t="str">
        <f>IFERROR(INDEX('nav master'!$C:$C, MATCH(B3364, 'nav master'!$B:$B, 0)), "")</f>
        <v>ULIF03901/09/10BalancedFd101</v>
      </c>
      <c r="E3364" s="8" t="s">
        <v>554</v>
      </c>
      <c r="F3364" s="8" t="s">
        <v>3631</v>
      </c>
    </row>
    <row r="3365" spans="1:6" ht="60" x14ac:dyDescent="0.25">
      <c r="A3365" s="8" t="s">
        <v>125</v>
      </c>
      <c r="B3365" s="8" t="s">
        <v>132</v>
      </c>
      <c r="C3365" s="8" t="str">
        <f>IFERROR(_xlfn.XLOOKUP(TRIM(B3365),Lookup!$B$2:$B$1000,Lookup!$C$2:$C$1000),"")</f>
        <v>Hybrid</v>
      </c>
      <c r="D3365" s="8" t="str">
        <f>IFERROR(INDEX('nav master'!$C:$C, MATCH(B3365, 'nav master'!$B:$B, 0)), "")</f>
        <v>ULIF03901/09/10BalancedFd101</v>
      </c>
      <c r="E3365" s="8" t="s">
        <v>556</v>
      </c>
      <c r="F3365" s="8" t="s">
        <v>3632</v>
      </c>
    </row>
    <row r="3366" spans="1:6" ht="60" x14ac:dyDescent="0.25">
      <c r="A3366" s="8" t="s">
        <v>125</v>
      </c>
      <c r="B3366" s="8" t="s">
        <v>132</v>
      </c>
      <c r="C3366" s="8" t="str">
        <f>IFERROR(_xlfn.XLOOKUP(TRIM(B3366),Lookup!$B$2:$B$1000,Lookup!$C$2:$C$1000),"")</f>
        <v>Hybrid</v>
      </c>
      <c r="D3366" s="8" t="str">
        <f>IFERROR(INDEX('nav master'!$C:$C, MATCH(B3366, 'nav master'!$B:$B, 0)), "")</f>
        <v>ULIF03901/09/10BalancedFd101</v>
      </c>
      <c r="E3366" s="8" t="s">
        <v>558</v>
      </c>
      <c r="F3366" s="8" t="s">
        <v>3633</v>
      </c>
    </row>
    <row r="3367" spans="1:6" ht="60" x14ac:dyDescent="0.25">
      <c r="A3367" s="8" t="s">
        <v>125</v>
      </c>
      <c r="B3367" s="8" t="s">
        <v>132</v>
      </c>
      <c r="C3367" s="8" t="str">
        <f>IFERROR(_xlfn.XLOOKUP(TRIM(B3367),Lookup!$B$2:$B$1000,Lookup!$C$2:$C$1000),"")</f>
        <v>Hybrid</v>
      </c>
      <c r="D3367" s="8" t="str">
        <f>IFERROR(INDEX('nav master'!$C:$C, MATCH(B3367, 'nav master'!$B:$B, 0)), "")</f>
        <v>ULIF03901/09/10BalancedFd101</v>
      </c>
      <c r="E3367" s="8" t="s">
        <v>560</v>
      </c>
      <c r="F3367" s="8" t="s">
        <v>3634</v>
      </c>
    </row>
    <row r="3368" spans="1:6" ht="60" x14ac:dyDescent="0.25">
      <c r="A3368" s="8" t="s">
        <v>125</v>
      </c>
      <c r="B3368" s="8" t="s">
        <v>132</v>
      </c>
      <c r="C3368" s="8" t="str">
        <f>IFERROR(_xlfn.XLOOKUP(TRIM(B3368),Lookup!$B$2:$B$1000,Lookup!$C$2:$C$1000),"")</f>
        <v>Hybrid</v>
      </c>
      <c r="D3368" s="8" t="str">
        <f>IFERROR(INDEX('nav master'!$C:$C, MATCH(B3368, 'nav master'!$B:$B, 0)), "")</f>
        <v>ULIF03901/09/10BalancedFd101</v>
      </c>
      <c r="E3368" s="8" t="s">
        <v>562</v>
      </c>
      <c r="F3368" s="8" t="s">
        <v>3635</v>
      </c>
    </row>
    <row r="3369" spans="1:6" ht="60" x14ac:dyDescent="0.25">
      <c r="A3369" s="8" t="s">
        <v>125</v>
      </c>
      <c r="B3369" s="8" t="s">
        <v>132</v>
      </c>
      <c r="C3369" s="8" t="str">
        <f>IFERROR(_xlfn.XLOOKUP(TRIM(B3369),Lookup!$B$2:$B$1000,Lookup!$C$2:$C$1000),"")</f>
        <v>Hybrid</v>
      </c>
      <c r="D3369" s="8" t="str">
        <f>IFERROR(INDEX('nav master'!$C:$C, MATCH(B3369, 'nav master'!$B:$B, 0)), "")</f>
        <v>ULIF03901/09/10BalancedFd101</v>
      </c>
      <c r="E3369" s="8" t="s">
        <v>564</v>
      </c>
      <c r="F3369" s="8" t="s">
        <v>3636</v>
      </c>
    </row>
    <row r="3370" spans="1:6" ht="60" x14ac:dyDescent="0.25">
      <c r="A3370" s="8" t="s">
        <v>125</v>
      </c>
      <c r="B3370" s="8" t="s">
        <v>132</v>
      </c>
      <c r="C3370" s="8" t="str">
        <f>IFERROR(_xlfn.XLOOKUP(TRIM(B3370),Lookup!$B$2:$B$1000,Lookup!$C$2:$C$1000),"")</f>
        <v>Hybrid</v>
      </c>
      <c r="D3370" s="8" t="str">
        <f>IFERROR(INDEX('nav master'!$C:$C, MATCH(B3370, 'nav master'!$B:$B, 0)), "")</f>
        <v>ULIF03901/09/10BalancedFd101</v>
      </c>
      <c r="E3370" s="8" t="s">
        <v>566</v>
      </c>
      <c r="F3370" s="8" t="s">
        <v>3637</v>
      </c>
    </row>
    <row r="3371" spans="1:6" ht="60" x14ac:dyDescent="0.25">
      <c r="A3371" s="8" t="s">
        <v>125</v>
      </c>
      <c r="B3371" s="8" t="s">
        <v>132</v>
      </c>
      <c r="C3371" s="8" t="str">
        <f>IFERROR(_xlfn.XLOOKUP(TRIM(B3371),Lookup!$B$2:$B$1000,Lookup!$C$2:$C$1000),"")</f>
        <v>Hybrid</v>
      </c>
      <c r="D3371" s="8" t="str">
        <f>IFERROR(INDEX('nav master'!$C:$C, MATCH(B3371, 'nav master'!$B:$B, 0)), "")</f>
        <v>ULIF03901/09/10BalancedFd101</v>
      </c>
      <c r="E3371" s="8" t="s">
        <v>568</v>
      </c>
      <c r="F3371" s="8" t="s">
        <v>3638</v>
      </c>
    </row>
    <row r="3372" spans="1:6" ht="60" x14ac:dyDescent="0.25">
      <c r="A3372" s="8" t="s">
        <v>125</v>
      </c>
      <c r="B3372" s="8" t="s">
        <v>132</v>
      </c>
      <c r="C3372" s="8" t="str">
        <f>IFERROR(_xlfn.XLOOKUP(TRIM(B3372),Lookup!$B$2:$B$1000,Lookup!$C$2:$C$1000),"")</f>
        <v>Hybrid</v>
      </c>
      <c r="D3372" s="8" t="str">
        <f>IFERROR(INDEX('nav master'!$C:$C, MATCH(B3372, 'nav master'!$B:$B, 0)), "")</f>
        <v>ULIF03901/09/10BalancedFd101</v>
      </c>
      <c r="E3372" s="8" t="s">
        <v>570</v>
      </c>
      <c r="F3372" s="8" t="s">
        <v>3639</v>
      </c>
    </row>
    <row r="3373" spans="1:6" ht="60" x14ac:dyDescent="0.25">
      <c r="A3373" s="8" t="s">
        <v>125</v>
      </c>
      <c r="B3373" s="8" t="s">
        <v>132</v>
      </c>
      <c r="C3373" s="8" t="str">
        <f>IFERROR(_xlfn.XLOOKUP(TRIM(B3373),Lookup!$B$2:$B$1000,Lookup!$C$2:$C$1000),"")</f>
        <v>Hybrid</v>
      </c>
      <c r="D3373" s="8" t="str">
        <f>IFERROR(INDEX('nav master'!$C:$C, MATCH(B3373, 'nav master'!$B:$B, 0)), "")</f>
        <v>ULIF03901/09/10BalancedFd101</v>
      </c>
      <c r="E3373" s="8" t="s">
        <v>572</v>
      </c>
      <c r="F3373" s="8" t="s">
        <v>3640</v>
      </c>
    </row>
    <row r="3374" spans="1:6" ht="60" x14ac:dyDescent="0.25">
      <c r="A3374" s="8" t="s">
        <v>125</v>
      </c>
      <c r="B3374" s="8" t="s">
        <v>132</v>
      </c>
      <c r="C3374" s="8" t="str">
        <f>IFERROR(_xlfn.XLOOKUP(TRIM(B3374),Lookup!$B$2:$B$1000,Lookup!$C$2:$C$1000),"")</f>
        <v>Hybrid</v>
      </c>
      <c r="D3374" s="8" t="str">
        <f>IFERROR(INDEX('nav master'!$C:$C, MATCH(B3374, 'nav master'!$B:$B, 0)), "")</f>
        <v>ULIF03901/09/10BalancedFd101</v>
      </c>
      <c r="E3374" s="8" t="s">
        <v>574</v>
      </c>
      <c r="F3374" s="8" t="s">
        <v>3641</v>
      </c>
    </row>
    <row r="3375" spans="1:6" ht="60" x14ac:dyDescent="0.25">
      <c r="A3375" s="8" t="s">
        <v>125</v>
      </c>
      <c r="B3375" s="8" t="s">
        <v>132</v>
      </c>
      <c r="C3375" s="8" t="str">
        <f>IFERROR(_xlfn.XLOOKUP(TRIM(B3375),Lookup!$B$2:$B$1000,Lookup!$C$2:$C$1000),"")</f>
        <v>Hybrid</v>
      </c>
      <c r="D3375" s="8" t="str">
        <f>IFERROR(INDEX('nav master'!$C:$C, MATCH(B3375, 'nav master'!$B:$B, 0)), "")</f>
        <v>ULIF03901/09/10BalancedFd101</v>
      </c>
      <c r="E3375" s="8" t="s">
        <v>576</v>
      </c>
      <c r="F3375" s="8" t="s">
        <v>3642</v>
      </c>
    </row>
    <row r="3376" spans="1:6" ht="60" x14ac:dyDescent="0.25">
      <c r="A3376" s="8" t="s">
        <v>125</v>
      </c>
      <c r="B3376" s="8" t="s">
        <v>132</v>
      </c>
      <c r="C3376" s="8" t="str">
        <f>IFERROR(_xlfn.XLOOKUP(TRIM(B3376),Lookup!$B$2:$B$1000,Lookup!$C$2:$C$1000),"")</f>
        <v>Hybrid</v>
      </c>
      <c r="D3376" s="8" t="str">
        <f>IFERROR(INDEX('nav master'!$C:$C, MATCH(B3376, 'nav master'!$B:$B, 0)), "")</f>
        <v>ULIF03901/09/10BalancedFd101</v>
      </c>
      <c r="E3376" s="8" t="s">
        <v>578</v>
      </c>
      <c r="F3376" s="8" t="s">
        <v>3643</v>
      </c>
    </row>
    <row r="3377" spans="1:6" ht="60" x14ac:dyDescent="0.25">
      <c r="A3377" s="8" t="s">
        <v>125</v>
      </c>
      <c r="B3377" s="8" t="s">
        <v>132</v>
      </c>
      <c r="C3377" s="8" t="str">
        <f>IFERROR(_xlfn.XLOOKUP(TRIM(B3377),Lookup!$B$2:$B$1000,Lookup!$C$2:$C$1000),"")</f>
        <v>Hybrid</v>
      </c>
      <c r="D3377" s="8" t="str">
        <f>IFERROR(INDEX('nav master'!$C:$C, MATCH(B3377, 'nav master'!$B:$B, 0)), "")</f>
        <v>ULIF03901/09/10BalancedFd101</v>
      </c>
      <c r="E3377" s="8" t="s">
        <v>580</v>
      </c>
      <c r="F3377" s="8" t="s">
        <v>3644</v>
      </c>
    </row>
    <row r="3378" spans="1:6" ht="60" x14ac:dyDescent="0.25">
      <c r="A3378" s="8" t="s">
        <v>125</v>
      </c>
      <c r="B3378" s="8" t="s">
        <v>132</v>
      </c>
      <c r="C3378" s="8" t="str">
        <f>IFERROR(_xlfn.XLOOKUP(TRIM(B3378),Lookup!$B$2:$B$1000,Lookup!$C$2:$C$1000),"")</f>
        <v>Hybrid</v>
      </c>
      <c r="D3378" s="8" t="str">
        <f>IFERROR(INDEX('nav master'!$C:$C, MATCH(B3378, 'nav master'!$B:$B, 0)), "")</f>
        <v>ULIF03901/09/10BalancedFd101</v>
      </c>
      <c r="E3378" s="8" t="s">
        <v>582</v>
      </c>
      <c r="F3378" s="8" t="s">
        <v>3645</v>
      </c>
    </row>
    <row r="3379" spans="1:6" ht="60" x14ac:dyDescent="0.25">
      <c r="A3379" s="8" t="s">
        <v>125</v>
      </c>
      <c r="B3379" s="8" t="s">
        <v>132</v>
      </c>
      <c r="C3379" s="8" t="str">
        <f>IFERROR(_xlfn.XLOOKUP(TRIM(B3379),Lookup!$B$2:$B$1000,Lookup!$C$2:$C$1000),"")</f>
        <v>Hybrid</v>
      </c>
      <c r="D3379" s="8" t="str">
        <f>IFERROR(INDEX('nav master'!$C:$C, MATCH(B3379, 'nav master'!$B:$B, 0)), "")</f>
        <v>ULIF03901/09/10BalancedFd101</v>
      </c>
      <c r="E3379" s="8" t="s">
        <v>584</v>
      </c>
      <c r="F3379" s="8" t="s">
        <v>3646</v>
      </c>
    </row>
    <row r="3380" spans="1:6" ht="60" x14ac:dyDescent="0.25">
      <c r="A3380" s="8" t="s">
        <v>125</v>
      </c>
      <c r="B3380" s="8" t="s">
        <v>132</v>
      </c>
      <c r="C3380" s="8" t="str">
        <f>IFERROR(_xlfn.XLOOKUP(TRIM(B3380),Lookup!$B$2:$B$1000,Lookup!$C$2:$C$1000),"")</f>
        <v>Hybrid</v>
      </c>
      <c r="D3380" s="8" t="str">
        <f>IFERROR(INDEX('nav master'!$C:$C, MATCH(B3380, 'nav master'!$B:$B, 0)), "")</f>
        <v>ULIF03901/09/10BalancedFd101</v>
      </c>
      <c r="E3380" s="8" t="s">
        <v>586</v>
      </c>
      <c r="F3380" s="8" t="s">
        <v>3647</v>
      </c>
    </row>
    <row r="3381" spans="1:6" ht="60" x14ac:dyDescent="0.25">
      <c r="A3381" s="8" t="s">
        <v>125</v>
      </c>
      <c r="B3381" s="8" t="s">
        <v>132</v>
      </c>
      <c r="C3381" s="8" t="str">
        <f>IFERROR(_xlfn.XLOOKUP(TRIM(B3381),Lookup!$B$2:$B$1000,Lookup!$C$2:$C$1000),"")</f>
        <v>Hybrid</v>
      </c>
      <c r="D3381" s="8" t="str">
        <f>IFERROR(INDEX('nav master'!$C:$C, MATCH(B3381, 'nav master'!$B:$B, 0)), "")</f>
        <v>ULIF03901/09/10BalancedFd101</v>
      </c>
      <c r="E3381" s="8" t="s">
        <v>588</v>
      </c>
      <c r="F3381" s="8" t="s">
        <v>3648</v>
      </c>
    </row>
    <row r="3382" spans="1:6" ht="60" x14ac:dyDescent="0.25">
      <c r="A3382" s="8" t="s">
        <v>125</v>
      </c>
      <c r="B3382" s="8" t="s">
        <v>132</v>
      </c>
      <c r="C3382" s="8" t="str">
        <f>IFERROR(_xlfn.XLOOKUP(TRIM(B3382),Lookup!$B$2:$B$1000,Lookup!$C$2:$C$1000),"")</f>
        <v>Hybrid</v>
      </c>
      <c r="D3382" s="8" t="str">
        <f>IFERROR(INDEX('nav master'!$C:$C, MATCH(B3382, 'nav master'!$B:$B, 0)), "")</f>
        <v>ULIF03901/09/10BalancedFd101</v>
      </c>
      <c r="E3382" s="8" t="s">
        <v>590</v>
      </c>
      <c r="F3382" s="8" t="s">
        <v>3649</v>
      </c>
    </row>
    <row r="3383" spans="1:6" ht="60" x14ac:dyDescent="0.25">
      <c r="A3383" s="8" t="s">
        <v>125</v>
      </c>
      <c r="B3383" s="8" t="s">
        <v>132</v>
      </c>
      <c r="C3383" s="8" t="str">
        <f>IFERROR(_xlfn.XLOOKUP(TRIM(B3383),Lookup!$B$2:$B$1000,Lookup!$C$2:$C$1000),"")</f>
        <v>Hybrid</v>
      </c>
      <c r="D3383" s="8" t="str">
        <f>IFERROR(INDEX('nav master'!$C:$C, MATCH(B3383, 'nav master'!$B:$B, 0)), "")</f>
        <v>ULIF03901/09/10BalancedFd101</v>
      </c>
      <c r="E3383" s="8" t="s">
        <v>592</v>
      </c>
      <c r="F3383" s="8" t="s">
        <v>3650</v>
      </c>
    </row>
    <row r="3384" spans="1:6" ht="60" x14ac:dyDescent="0.25">
      <c r="A3384" s="8" t="s">
        <v>125</v>
      </c>
      <c r="B3384" s="8" t="s">
        <v>132</v>
      </c>
      <c r="C3384" s="8" t="str">
        <f>IFERROR(_xlfn.XLOOKUP(TRIM(B3384),Lookup!$B$2:$B$1000,Lookup!$C$2:$C$1000),"")</f>
        <v>Hybrid</v>
      </c>
      <c r="D3384" s="8" t="str">
        <f>IFERROR(INDEX('nav master'!$C:$C, MATCH(B3384, 'nav master'!$B:$B, 0)), "")</f>
        <v>ULIF03901/09/10BalancedFd101</v>
      </c>
      <c r="E3384" s="8" t="s">
        <v>594</v>
      </c>
      <c r="F3384" s="8" t="s">
        <v>3651</v>
      </c>
    </row>
    <row r="3385" spans="1:6" ht="60" x14ac:dyDescent="0.25">
      <c r="A3385" s="8" t="s">
        <v>125</v>
      </c>
      <c r="B3385" s="8" t="s">
        <v>132</v>
      </c>
      <c r="C3385" s="8" t="str">
        <f>IFERROR(_xlfn.XLOOKUP(TRIM(B3385),Lookup!$B$2:$B$1000,Lookup!$C$2:$C$1000),"")</f>
        <v>Hybrid</v>
      </c>
      <c r="D3385" s="8" t="str">
        <f>IFERROR(INDEX('nav master'!$C:$C, MATCH(B3385, 'nav master'!$B:$B, 0)), "")</f>
        <v>ULIF03901/09/10BalancedFd101</v>
      </c>
      <c r="E3385" s="8" t="s">
        <v>596</v>
      </c>
      <c r="F3385" s="8" t="s">
        <v>3652</v>
      </c>
    </row>
    <row r="3386" spans="1:6" ht="60" x14ac:dyDescent="0.25">
      <c r="A3386" s="8" t="s">
        <v>125</v>
      </c>
      <c r="B3386" s="8" t="s">
        <v>132</v>
      </c>
      <c r="C3386" s="8" t="str">
        <f>IFERROR(_xlfn.XLOOKUP(TRIM(B3386),Lookup!$B$2:$B$1000,Lookup!$C$2:$C$1000),"")</f>
        <v>Hybrid</v>
      </c>
      <c r="D3386" s="8" t="str">
        <f>IFERROR(INDEX('nav master'!$C:$C, MATCH(B3386, 'nav master'!$B:$B, 0)), "")</f>
        <v>ULIF03901/09/10BalancedFd101</v>
      </c>
      <c r="E3386" s="8" t="s">
        <v>598</v>
      </c>
      <c r="F3386" s="8" t="s">
        <v>3653</v>
      </c>
    </row>
    <row r="3387" spans="1:6" ht="60" x14ac:dyDescent="0.25">
      <c r="A3387" s="8" t="s">
        <v>125</v>
      </c>
      <c r="B3387" s="8" t="s">
        <v>132</v>
      </c>
      <c r="C3387" s="8" t="str">
        <f>IFERROR(_xlfn.XLOOKUP(TRIM(B3387),Lookup!$B$2:$B$1000,Lookup!$C$2:$C$1000),"")</f>
        <v>Hybrid</v>
      </c>
      <c r="D3387" s="8" t="str">
        <f>IFERROR(INDEX('nav master'!$C:$C, MATCH(B3387, 'nav master'!$B:$B, 0)), "")</f>
        <v>ULIF03901/09/10BalancedFd101</v>
      </c>
      <c r="E3387" s="8" t="s">
        <v>600</v>
      </c>
      <c r="F3387" s="8" t="s">
        <v>3654</v>
      </c>
    </row>
    <row r="3388" spans="1:6" ht="60" x14ac:dyDescent="0.25">
      <c r="A3388" s="8" t="s">
        <v>125</v>
      </c>
      <c r="B3388" s="8" t="s">
        <v>132</v>
      </c>
      <c r="C3388" s="8" t="str">
        <f>IFERROR(_xlfn.XLOOKUP(TRIM(B3388),Lookup!$B$2:$B$1000,Lookup!$C$2:$C$1000),"")</f>
        <v>Hybrid</v>
      </c>
      <c r="D3388" s="8" t="str">
        <f>IFERROR(INDEX('nav master'!$C:$C, MATCH(B3388, 'nav master'!$B:$B, 0)), "")</f>
        <v>ULIF03901/09/10BalancedFd101</v>
      </c>
      <c r="E3388" s="8" t="s">
        <v>602</v>
      </c>
      <c r="F3388" s="8" t="s">
        <v>3655</v>
      </c>
    </row>
    <row r="3389" spans="1:6" ht="60" x14ac:dyDescent="0.25">
      <c r="A3389" s="8" t="s">
        <v>125</v>
      </c>
      <c r="B3389" s="8" t="s">
        <v>132</v>
      </c>
      <c r="C3389" s="8" t="str">
        <f>IFERROR(_xlfn.XLOOKUP(TRIM(B3389),Lookup!$B$2:$B$1000,Lookup!$C$2:$C$1000),"")</f>
        <v>Hybrid</v>
      </c>
      <c r="D3389" s="8" t="str">
        <f>IFERROR(INDEX('nav master'!$C:$C, MATCH(B3389, 'nav master'!$B:$B, 0)), "")</f>
        <v>ULIF03901/09/10BalancedFd101</v>
      </c>
      <c r="E3389" s="8" t="s">
        <v>604</v>
      </c>
      <c r="F3389" s="8" t="s">
        <v>3656</v>
      </c>
    </row>
    <row r="3390" spans="1:6" ht="60" x14ac:dyDescent="0.25">
      <c r="A3390" s="8" t="s">
        <v>125</v>
      </c>
      <c r="B3390" s="8" t="s">
        <v>132</v>
      </c>
      <c r="C3390" s="8" t="str">
        <f>IFERROR(_xlfn.XLOOKUP(TRIM(B3390),Lookup!$B$2:$B$1000,Lookup!$C$2:$C$1000),"")</f>
        <v>Hybrid</v>
      </c>
      <c r="D3390" s="8" t="str">
        <f>IFERROR(INDEX('nav master'!$C:$C, MATCH(B3390, 'nav master'!$B:$B, 0)), "")</f>
        <v>ULIF03901/09/10BalancedFd101</v>
      </c>
      <c r="E3390" s="8" t="s">
        <v>606</v>
      </c>
      <c r="F3390" s="8" t="s">
        <v>3657</v>
      </c>
    </row>
    <row r="3391" spans="1:6" ht="60" x14ac:dyDescent="0.25">
      <c r="A3391" s="8" t="s">
        <v>125</v>
      </c>
      <c r="B3391" s="8" t="s">
        <v>132</v>
      </c>
      <c r="C3391" s="8" t="str">
        <f>IFERROR(_xlfn.XLOOKUP(TRIM(B3391),Lookup!$B$2:$B$1000,Lookup!$C$2:$C$1000),"")</f>
        <v>Hybrid</v>
      </c>
      <c r="D3391" s="8" t="str">
        <f>IFERROR(INDEX('nav master'!$C:$C, MATCH(B3391, 'nav master'!$B:$B, 0)), "")</f>
        <v>ULIF03901/09/10BalancedFd101</v>
      </c>
      <c r="E3391" s="8" t="s">
        <v>608</v>
      </c>
      <c r="F3391" s="8" t="s">
        <v>3658</v>
      </c>
    </row>
    <row r="3392" spans="1:6" ht="60" x14ac:dyDescent="0.25">
      <c r="A3392" s="8" t="s">
        <v>125</v>
      </c>
      <c r="B3392" s="8" t="s">
        <v>132</v>
      </c>
      <c r="C3392" s="8" t="str">
        <f>IFERROR(_xlfn.XLOOKUP(TRIM(B3392),Lookup!$B$2:$B$1000,Lookup!$C$2:$C$1000),"")</f>
        <v>Hybrid</v>
      </c>
      <c r="D3392" s="8" t="str">
        <f>IFERROR(INDEX('nav master'!$C:$C, MATCH(B3392, 'nav master'!$B:$B, 0)), "")</f>
        <v>ULIF03901/09/10BalancedFd101</v>
      </c>
      <c r="E3392" s="8" t="s">
        <v>610</v>
      </c>
      <c r="F3392" s="8" t="s">
        <v>3659</v>
      </c>
    </row>
    <row r="3393" spans="1:6" ht="60" x14ac:dyDescent="0.25">
      <c r="A3393" s="8" t="s">
        <v>125</v>
      </c>
      <c r="B3393" s="8" t="s">
        <v>132</v>
      </c>
      <c r="C3393" s="8" t="str">
        <f>IFERROR(_xlfn.XLOOKUP(TRIM(B3393),Lookup!$B$2:$B$1000,Lookup!$C$2:$C$1000),"")</f>
        <v>Hybrid</v>
      </c>
      <c r="D3393" s="8" t="str">
        <f>IFERROR(INDEX('nav master'!$C:$C, MATCH(B3393, 'nav master'!$B:$B, 0)), "")</f>
        <v>ULIF03901/09/10BalancedFd101</v>
      </c>
      <c r="E3393" s="8" t="s">
        <v>612</v>
      </c>
      <c r="F3393" s="8" t="s">
        <v>3488</v>
      </c>
    </row>
    <row r="3394" spans="1:6" ht="60" x14ac:dyDescent="0.25">
      <c r="A3394" s="8" t="s">
        <v>125</v>
      </c>
      <c r="B3394" s="8" t="s">
        <v>132</v>
      </c>
      <c r="C3394" s="8" t="str">
        <f>IFERROR(_xlfn.XLOOKUP(TRIM(B3394),Lookup!$B$2:$B$1000,Lookup!$C$2:$C$1000),"")</f>
        <v>Hybrid</v>
      </c>
      <c r="D3394" s="8" t="str">
        <f>IFERROR(INDEX('nav master'!$C:$C, MATCH(B3394, 'nav master'!$B:$B, 0)), "")</f>
        <v>ULIF03901/09/10BalancedFd101</v>
      </c>
      <c r="E3394" s="8" t="s">
        <v>614</v>
      </c>
      <c r="F3394" s="8" t="s">
        <v>3660</v>
      </c>
    </row>
    <row r="3395" spans="1:6" ht="60" x14ac:dyDescent="0.25">
      <c r="A3395" s="8" t="s">
        <v>125</v>
      </c>
      <c r="B3395" s="8" t="s">
        <v>132</v>
      </c>
      <c r="C3395" s="8" t="str">
        <f>IFERROR(_xlfn.XLOOKUP(TRIM(B3395),Lookup!$B$2:$B$1000,Lookup!$C$2:$C$1000),"")</f>
        <v>Hybrid</v>
      </c>
      <c r="D3395" s="8" t="str">
        <f>IFERROR(INDEX('nav master'!$C:$C, MATCH(B3395, 'nav master'!$B:$B, 0)), "")</f>
        <v>ULIF03901/09/10BalancedFd101</v>
      </c>
      <c r="E3395" s="8" t="s">
        <v>616</v>
      </c>
      <c r="F3395" s="8" t="s">
        <v>3661</v>
      </c>
    </row>
    <row r="3396" spans="1:6" ht="60" x14ac:dyDescent="0.25">
      <c r="A3396" s="8" t="s">
        <v>125</v>
      </c>
      <c r="B3396" s="8" t="s">
        <v>132</v>
      </c>
      <c r="C3396" s="8" t="str">
        <f>IFERROR(_xlfn.XLOOKUP(TRIM(B3396),Lookup!$B$2:$B$1000,Lookup!$C$2:$C$1000),"")</f>
        <v>Hybrid</v>
      </c>
      <c r="D3396" s="8" t="str">
        <f>IFERROR(INDEX('nav master'!$C:$C, MATCH(B3396, 'nav master'!$B:$B, 0)), "")</f>
        <v>ULIF03901/09/10BalancedFd101</v>
      </c>
      <c r="E3396" s="8" t="s">
        <v>618</v>
      </c>
      <c r="F3396" s="8" t="s">
        <v>3662</v>
      </c>
    </row>
    <row r="3397" spans="1:6" ht="60" x14ac:dyDescent="0.25">
      <c r="A3397" s="8" t="s">
        <v>125</v>
      </c>
      <c r="B3397" s="8" t="s">
        <v>132</v>
      </c>
      <c r="C3397" s="8" t="str">
        <f>IFERROR(_xlfn.XLOOKUP(TRIM(B3397),Lookup!$B$2:$B$1000,Lookup!$C$2:$C$1000),"")</f>
        <v>Hybrid</v>
      </c>
      <c r="D3397" s="8" t="str">
        <f>IFERROR(INDEX('nav master'!$C:$C, MATCH(B3397, 'nav master'!$B:$B, 0)), "")</f>
        <v>ULIF03901/09/10BalancedFd101</v>
      </c>
      <c r="E3397" s="8" t="s">
        <v>620</v>
      </c>
      <c r="F3397" s="8" t="s">
        <v>3663</v>
      </c>
    </row>
    <row r="3398" spans="1:6" ht="60" x14ac:dyDescent="0.25">
      <c r="A3398" s="8" t="s">
        <v>125</v>
      </c>
      <c r="B3398" s="8" t="s">
        <v>132</v>
      </c>
      <c r="C3398" s="8" t="str">
        <f>IFERROR(_xlfn.XLOOKUP(TRIM(B3398),Lookup!$B$2:$B$1000,Lookup!$C$2:$C$1000),"")</f>
        <v>Hybrid</v>
      </c>
      <c r="D3398" s="8" t="str">
        <f>IFERROR(INDEX('nav master'!$C:$C, MATCH(B3398, 'nav master'!$B:$B, 0)), "")</f>
        <v>ULIF03901/09/10BalancedFd101</v>
      </c>
      <c r="E3398" s="8" t="s">
        <v>622</v>
      </c>
      <c r="F3398" s="8" t="s">
        <v>3664</v>
      </c>
    </row>
    <row r="3399" spans="1:6" ht="60" x14ac:dyDescent="0.25">
      <c r="A3399" s="8" t="s">
        <v>125</v>
      </c>
      <c r="B3399" s="8" t="s">
        <v>132</v>
      </c>
      <c r="C3399" s="8" t="str">
        <f>IFERROR(_xlfn.XLOOKUP(TRIM(B3399),Lookup!$B$2:$B$1000,Lookup!$C$2:$C$1000),"")</f>
        <v>Hybrid</v>
      </c>
      <c r="D3399" s="8" t="str">
        <f>IFERROR(INDEX('nav master'!$C:$C, MATCH(B3399, 'nav master'!$B:$B, 0)), "")</f>
        <v>ULIF03901/09/10BalancedFd101</v>
      </c>
      <c r="E3399" s="8" t="s">
        <v>624</v>
      </c>
      <c r="F3399" s="8" t="s">
        <v>3665</v>
      </c>
    </row>
    <row r="3400" spans="1:6" ht="60" x14ac:dyDescent="0.25">
      <c r="A3400" s="8" t="s">
        <v>125</v>
      </c>
      <c r="B3400" s="8" t="s">
        <v>132</v>
      </c>
      <c r="C3400" s="8" t="str">
        <f>IFERROR(_xlfn.XLOOKUP(TRIM(B3400),Lookup!$B$2:$B$1000,Lookup!$C$2:$C$1000),"")</f>
        <v>Hybrid</v>
      </c>
      <c r="D3400" s="8" t="str">
        <f>IFERROR(INDEX('nav master'!$C:$C, MATCH(B3400, 'nav master'!$B:$B, 0)), "")</f>
        <v>ULIF03901/09/10BalancedFd101</v>
      </c>
      <c r="E3400" s="8" t="s">
        <v>626</v>
      </c>
      <c r="F3400" s="8" t="s">
        <v>3666</v>
      </c>
    </row>
    <row r="3401" spans="1:6" ht="60" x14ac:dyDescent="0.25">
      <c r="A3401" s="8" t="s">
        <v>125</v>
      </c>
      <c r="B3401" s="8" t="s">
        <v>132</v>
      </c>
      <c r="C3401" s="8" t="str">
        <f>IFERROR(_xlfn.XLOOKUP(TRIM(B3401),Lookup!$B$2:$B$1000,Lookup!$C$2:$C$1000),"")</f>
        <v>Hybrid</v>
      </c>
      <c r="D3401" s="8" t="str">
        <f>IFERROR(INDEX('nav master'!$C:$C, MATCH(B3401, 'nav master'!$B:$B, 0)), "")</f>
        <v>ULIF03901/09/10BalancedFd101</v>
      </c>
      <c r="E3401" s="8" t="s">
        <v>628</v>
      </c>
      <c r="F3401" s="8" t="s">
        <v>3667</v>
      </c>
    </row>
    <row r="3402" spans="1:6" ht="60" x14ac:dyDescent="0.25">
      <c r="A3402" s="8" t="s">
        <v>125</v>
      </c>
      <c r="B3402" s="8" t="s">
        <v>132</v>
      </c>
      <c r="C3402" s="8" t="str">
        <f>IFERROR(_xlfn.XLOOKUP(TRIM(B3402),Lookup!$B$2:$B$1000,Lookup!$C$2:$C$1000),"")</f>
        <v>Hybrid</v>
      </c>
      <c r="D3402" s="8" t="str">
        <f>IFERROR(INDEX('nav master'!$C:$C, MATCH(B3402, 'nav master'!$B:$B, 0)), "")</f>
        <v>ULIF03901/09/10BalancedFd101</v>
      </c>
      <c r="E3402" s="8" t="s">
        <v>630</v>
      </c>
      <c r="F3402" s="8" t="s">
        <v>3668</v>
      </c>
    </row>
    <row r="3403" spans="1:6" ht="60" x14ac:dyDescent="0.25">
      <c r="A3403" s="8" t="s">
        <v>125</v>
      </c>
      <c r="B3403" s="8" t="s">
        <v>132</v>
      </c>
      <c r="C3403" s="8" t="str">
        <f>IFERROR(_xlfn.XLOOKUP(TRIM(B3403),Lookup!$B$2:$B$1000,Lookup!$C$2:$C$1000),"")</f>
        <v>Hybrid</v>
      </c>
      <c r="D3403" s="8" t="str">
        <f>IFERROR(INDEX('nav master'!$C:$C, MATCH(B3403, 'nav master'!$B:$B, 0)), "")</f>
        <v>ULIF03901/09/10BalancedFd101</v>
      </c>
      <c r="E3403" s="8" t="s">
        <v>632</v>
      </c>
      <c r="F3403" s="8" t="s">
        <v>3669</v>
      </c>
    </row>
    <row r="3404" spans="1:6" ht="60" x14ac:dyDescent="0.25">
      <c r="A3404" s="8" t="s">
        <v>125</v>
      </c>
      <c r="B3404" s="8" t="s">
        <v>132</v>
      </c>
      <c r="C3404" s="8" t="str">
        <f>IFERROR(_xlfn.XLOOKUP(TRIM(B3404),Lookup!$B$2:$B$1000,Lookup!$C$2:$C$1000),"")</f>
        <v>Hybrid</v>
      </c>
      <c r="D3404" s="8" t="str">
        <f>IFERROR(INDEX('nav master'!$C:$C, MATCH(B3404, 'nav master'!$B:$B, 0)), "")</f>
        <v>ULIF03901/09/10BalancedFd101</v>
      </c>
      <c r="E3404" s="8" t="s">
        <v>634</v>
      </c>
      <c r="F3404" s="8" t="s">
        <v>3670</v>
      </c>
    </row>
    <row r="3405" spans="1:6" ht="60" x14ac:dyDescent="0.25">
      <c r="A3405" s="8" t="s">
        <v>125</v>
      </c>
      <c r="B3405" s="8" t="s">
        <v>132</v>
      </c>
      <c r="C3405" s="8" t="str">
        <f>IFERROR(_xlfn.XLOOKUP(TRIM(B3405),Lookup!$B$2:$B$1000,Lookup!$C$2:$C$1000),"")</f>
        <v>Hybrid</v>
      </c>
      <c r="D3405" s="8" t="str">
        <f>IFERROR(INDEX('nav master'!$C:$C, MATCH(B3405, 'nav master'!$B:$B, 0)), "")</f>
        <v>ULIF03901/09/10BalancedFd101</v>
      </c>
      <c r="E3405" s="8" t="s">
        <v>636</v>
      </c>
      <c r="F3405" s="8" t="s">
        <v>3671</v>
      </c>
    </row>
    <row r="3406" spans="1:6" ht="60" x14ac:dyDescent="0.25">
      <c r="A3406" s="8" t="s">
        <v>125</v>
      </c>
      <c r="B3406" s="8" t="s">
        <v>132</v>
      </c>
      <c r="C3406" s="8" t="str">
        <f>IFERROR(_xlfn.XLOOKUP(TRIM(B3406),Lookup!$B$2:$B$1000,Lookup!$C$2:$C$1000),"")</f>
        <v>Hybrid</v>
      </c>
      <c r="D3406" s="8" t="str">
        <f>IFERROR(INDEX('nav master'!$C:$C, MATCH(B3406, 'nav master'!$B:$B, 0)), "")</f>
        <v>ULIF03901/09/10BalancedFd101</v>
      </c>
      <c r="E3406" s="8" t="s">
        <v>638</v>
      </c>
      <c r="F3406" s="8" t="s">
        <v>3672</v>
      </c>
    </row>
    <row r="3407" spans="1:6" ht="60" x14ac:dyDescent="0.25">
      <c r="A3407" s="8" t="s">
        <v>125</v>
      </c>
      <c r="B3407" s="8" t="s">
        <v>132</v>
      </c>
      <c r="C3407" s="8" t="str">
        <f>IFERROR(_xlfn.XLOOKUP(TRIM(B3407),Lookup!$B$2:$B$1000,Lookup!$C$2:$C$1000),"")</f>
        <v>Hybrid</v>
      </c>
      <c r="D3407" s="8" t="str">
        <f>IFERROR(INDEX('nav master'!$C:$C, MATCH(B3407, 'nav master'!$B:$B, 0)), "")</f>
        <v>ULIF03901/09/10BalancedFd101</v>
      </c>
      <c r="E3407" s="8" t="s">
        <v>640</v>
      </c>
      <c r="F3407" s="8" t="s">
        <v>3673</v>
      </c>
    </row>
    <row r="3408" spans="1:6" ht="60" x14ac:dyDescent="0.25">
      <c r="A3408" s="8" t="s">
        <v>125</v>
      </c>
      <c r="B3408" s="8" t="s">
        <v>132</v>
      </c>
      <c r="C3408" s="8" t="str">
        <f>IFERROR(_xlfn.XLOOKUP(TRIM(B3408),Lookup!$B$2:$B$1000,Lookup!$C$2:$C$1000),"")</f>
        <v>Hybrid</v>
      </c>
      <c r="D3408" s="8" t="str">
        <f>IFERROR(INDEX('nav master'!$C:$C, MATCH(B3408, 'nav master'!$B:$B, 0)), "")</f>
        <v>ULIF03901/09/10BalancedFd101</v>
      </c>
      <c r="E3408" s="8" t="s">
        <v>642</v>
      </c>
      <c r="F3408" s="8" t="s">
        <v>3674</v>
      </c>
    </row>
    <row r="3409" spans="1:6" ht="60" x14ac:dyDescent="0.25">
      <c r="A3409" s="8" t="s">
        <v>125</v>
      </c>
      <c r="B3409" s="8" t="s">
        <v>132</v>
      </c>
      <c r="C3409" s="8" t="str">
        <f>IFERROR(_xlfn.XLOOKUP(TRIM(B3409),Lookup!$B$2:$B$1000,Lookup!$C$2:$C$1000),"")</f>
        <v>Hybrid</v>
      </c>
      <c r="D3409" s="8" t="str">
        <f>IFERROR(INDEX('nav master'!$C:$C, MATCH(B3409, 'nav master'!$B:$B, 0)), "")</f>
        <v>ULIF03901/09/10BalancedFd101</v>
      </c>
      <c r="E3409" s="8" t="s">
        <v>644</v>
      </c>
      <c r="F3409" s="8" t="s">
        <v>3675</v>
      </c>
    </row>
    <row r="3410" spans="1:6" ht="60" x14ac:dyDescent="0.25">
      <c r="A3410" s="8" t="s">
        <v>125</v>
      </c>
      <c r="B3410" s="8" t="s">
        <v>132</v>
      </c>
      <c r="C3410" s="8" t="str">
        <f>IFERROR(_xlfn.XLOOKUP(TRIM(B3410),Lookup!$B$2:$B$1000,Lookup!$C$2:$C$1000),"")</f>
        <v>Hybrid</v>
      </c>
      <c r="D3410" s="8" t="str">
        <f>IFERROR(INDEX('nav master'!$C:$C, MATCH(B3410, 'nav master'!$B:$B, 0)), "")</f>
        <v>ULIF03901/09/10BalancedFd101</v>
      </c>
      <c r="E3410" s="8" t="s">
        <v>646</v>
      </c>
      <c r="F3410" s="8" t="s">
        <v>3676</v>
      </c>
    </row>
    <row r="3411" spans="1:6" ht="60" x14ac:dyDescent="0.25">
      <c r="A3411" s="8" t="s">
        <v>125</v>
      </c>
      <c r="B3411" s="8" t="s">
        <v>132</v>
      </c>
      <c r="C3411" s="8" t="str">
        <f>IFERROR(_xlfn.XLOOKUP(TRIM(B3411),Lookup!$B$2:$B$1000,Lookup!$C$2:$C$1000),"")</f>
        <v>Hybrid</v>
      </c>
      <c r="D3411" s="8" t="str">
        <f>IFERROR(INDEX('nav master'!$C:$C, MATCH(B3411, 'nav master'!$B:$B, 0)), "")</f>
        <v>ULIF03901/09/10BalancedFd101</v>
      </c>
      <c r="E3411" s="8" t="s">
        <v>648</v>
      </c>
      <c r="F3411" s="8" t="s">
        <v>3677</v>
      </c>
    </row>
    <row r="3412" spans="1:6" ht="60" x14ac:dyDescent="0.25">
      <c r="A3412" s="8" t="s">
        <v>125</v>
      </c>
      <c r="B3412" s="8" t="s">
        <v>132</v>
      </c>
      <c r="C3412" s="8" t="str">
        <f>IFERROR(_xlfn.XLOOKUP(TRIM(B3412),Lookup!$B$2:$B$1000,Lookup!$C$2:$C$1000),"")</f>
        <v>Hybrid</v>
      </c>
      <c r="D3412" s="8" t="str">
        <f>IFERROR(INDEX('nav master'!$C:$C, MATCH(B3412, 'nav master'!$B:$B, 0)), "")</f>
        <v>ULIF03901/09/10BalancedFd101</v>
      </c>
      <c r="E3412" s="8" t="s">
        <v>650</v>
      </c>
      <c r="F3412" s="8" t="s">
        <v>3678</v>
      </c>
    </row>
    <row r="3413" spans="1:6" ht="60" x14ac:dyDescent="0.25">
      <c r="A3413" s="8" t="s">
        <v>125</v>
      </c>
      <c r="B3413" s="8" t="s">
        <v>132</v>
      </c>
      <c r="C3413" s="8" t="str">
        <f>IFERROR(_xlfn.XLOOKUP(TRIM(B3413),Lookup!$B$2:$B$1000,Lookup!$C$2:$C$1000),"")</f>
        <v>Hybrid</v>
      </c>
      <c r="D3413" s="8" t="str">
        <f>IFERROR(INDEX('nav master'!$C:$C, MATCH(B3413, 'nav master'!$B:$B, 0)), "")</f>
        <v>ULIF03901/09/10BalancedFd101</v>
      </c>
      <c r="E3413" s="8" t="s">
        <v>652</v>
      </c>
      <c r="F3413" s="8" t="s">
        <v>3679</v>
      </c>
    </row>
    <row r="3414" spans="1:6" ht="60" x14ac:dyDescent="0.25">
      <c r="A3414" s="8" t="s">
        <v>125</v>
      </c>
      <c r="B3414" s="8" t="s">
        <v>132</v>
      </c>
      <c r="C3414" s="8" t="str">
        <f>IFERROR(_xlfn.XLOOKUP(TRIM(B3414),Lookup!$B$2:$B$1000,Lookup!$C$2:$C$1000),"")</f>
        <v>Hybrid</v>
      </c>
      <c r="D3414" s="8" t="str">
        <f>IFERROR(INDEX('nav master'!$C:$C, MATCH(B3414, 'nav master'!$B:$B, 0)), "")</f>
        <v>ULIF03901/09/10BalancedFd101</v>
      </c>
      <c r="E3414" s="8" t="s">
        <v>654</v>
      </c>
      <c r="F3414" s="8" t="s">
        <v>3680</v>
      </c>
    </row>
    <row r="3415" spans="1:6" ht="60" x14ac:dyDescent="0.25">
      <c r="A3415" s="8" t="s">
        <v>125</v>
      </c>
      <c r="B3415" s="8" t="s">
        <v>132</v>
      </c>
      <c r="C3415" s="8" t="str">
        <f>IFERROR(_xlfn.XLOOKUP(TRIM(B3415),Lookup!$B$2:$B$1000,Lookup!$C$2:$C$1000),"")</f>
        <v>Hybrid</v>
      </c>
      <c r="D3415" s="8" t="str">
        <f>IFERROR(INDEX('nav master'!$C:$C, MATCH(B3415, 'nav master'!$B:$B, 0)), "")</f>
        <v>ULIF03901/09/10BalancedFd101</v>
      </c>
      <c r="E3415" s="8" t="s">
        <v>656</v>
      </c>
      <c r="F3415" s="8" t="s">
        <v>3681</v>
      </c>
    </row>
    <row r="3416" spans="1:6" ht="60" x14ac:dyDescent="0.25">
      <c r="A3416" s="8" t="s">
        <v>125</v>
      </c>
      <c r="B3416" s="8" t="s">
        <v>132</v>
      </c>
      <c r="C3416" s="8" t="str">
        <f>IFERROR(_xlfn.XLOOKUP(TRIM(B3416),Lookup!$B$2:$B$1000,Lookup!$C$2:$C$1000),"")</f>
        <v>Hybrid</v>
      </c>
      <c r="D3416" s="8" t="str">
        <f>IFERROR(INDEX('nav master'!$C:$C, MATCH(B3416, 'nav master'!$B:$B, 0)), "")</f>
        <v>ULIF03901/09/10BalancedFd101</v>
      </c>
      <c r="E3416" s="8" t="s">
        <v>658</v>
      </c>
      <c r="F3416" s="8" t="s">
        <v>3682</v>
      </c>
    </row>
    <row r="3417" spans="1:6" ht="60" x14ac:dyDescent="0.25">
      <c r="A3417" s="8" t="s">
        <v>125</v>
      </c>
      <c r="B3417" s="8" t="s">
        <v>132</v>
      </c>
      <c r="C3417" s="8" t="str">
        <f>IFERROR(_xlfn.XLOOKUP(TRIM(B3417),Lookup!$B$2:$B$1000,Lookup!$C$2:$C$1000),"")</f>
        <v>Hybrid</v>
      </c>
      <c r="D3417" s="8" t="str">
        <f>IFERROR(INDEX('nav master'!$C:$C, MATCH(B3417, 'nav master'!$B:$B, 0)), "")</f>
        <v>ULIF03901/09/10BalancedFd101</v>
      </c>
      <c r="E3417" s="8" t="s">
        <v>660</v>
      </c>
      <c r="F3417" s="8" t="s">
        <v>3683</v>
      </c>
    </row>
    <row r="3418" spans="1:6" ht="60" x14ac:dyDescent="0.25">
      <c r="A3418" s="8" t="s">
        <v>125</v>
      </c>
      <c r="B3418" s="8" t="s">
        <v>132</v>
      </c>
      <c r="C3418" s="8" t="str">
        <f>IFERROR(_xlfn.XLOOKUP(TRIM(B3418),Lookup!$B$2:$B$1000,Lookup!$C$2:$C$1000),"")</f>
        <v>Hybrid</v>
      </c>
      <c r="D3418" s="8" t="str">
        <f>IFERROR(INDEX('nav master'!$C:$C, MATCH(B3418, 'nav master'!$B:$B, 0)), "")</f>
        <v>ULIF03901/09/10BalancedFd101</v>
      </c>
      <c r="E3418" s="8" t="s">
        <v>662</v>
      </c>
      <c r="F3418" s="8" t="s">
        <v>3684</v>
      </c>
    </row>
    <row r="3419" spans="1:6" ht="60" x14ac:dyDescent="0.25">
      <c r="A3419" s="8" t="s">
        <v>125</v>
      </c>
      <c r="B3419" s="8" t="s">
        <v>132</v>
      </c>
      <c r="C3419" s="8" t="str">
        <f>IFERROR(_xlfn.XLOOKUP(TRIM(B3419),Lookup!$B$2:$B$1000,Lookup!$C$2:$C$1000),"")</f>
        <v>Hybrid</v>
      </c>
      <c r="D3419" s="8" t="str">
        <f>IFERROR(INDEX('nav master'!$C:$C, MATCH(B3419, 'nav master'!$B:$B, 0)), "")</f>
        <v>ULIF03901/09/10BalancedFd101</v>
      </c>
      <c r="E3419" s="8" t="s">
        <v>664</v>
      </c>
      <c r="F3419" s="8" t="s">
        <v>3685</v>
      </c>
    </row>
    <row r="3420" spans="1:6" ht="60" x14ac:dyDescent="0.25">
      <c r="A3420" s="8" t="s">
        <v>125</v>
      </c>
      <c r="B3420" s="8" t="s">
        <v>132</v>
      </c>
      <c r="C3420" s="8" t="str">
        <f>IFERROR(_xlfn.XLOOKUP(TRIM(B3420),Lookup!$B$2:$B$1000,Lookup!$C$2:$C$1000),"")</f>
        <v>Hybrid</v>
      </c>
      <c r="D3420" s="8" t="str">
        <f>IFERROR(INDEX('nav master'!$C:$C, MATCH(B3420, 'nav master'!$B:$B, 0)), "")</f>
        <v>ULIF03901/09/10BalancedFd101</v>
      </c>
      <c r="E3420" s="8" t="s">
        <v>4892</v>
      </c>
      <c r="F3420" s="8" t="s">
        <v>5006</v>
      </c>
    </row>
    <row r="3421" spans="1:6" ht="60" x14ac:dyDescent="0.25">
      <c r="A3421" s="8" t="s">
        <v>125</v>
      </c>
      <c r="B3421" s="8" t="s">
        <v>132</v>
      </c>
      <c r="C3421" s="8" t="str">
        <f>IFERROR(_xlfn.XLOOKUP(TRIM(B3421),Lookup!$B$2:$B$1000,Lookup!$C$2:$C$1000),"")</f>
        <v>Hybrid</v>
      </c>
      <c r="D3421" s="8" t="str">
        <f>IFERROR(INDEX('nav master'!$C:$C, MATCH(B3421, 'nav master'!$B:$B, 0)), "")</f>
        <v>ULIF03901/09/10BalancedFd101</v>
      </c>
      <c r="E3421" s="8" t="s">
        <v>4894</v>
      </c>
      <c r="F3421" s="8" t="s">
        <v>5007</v>
      </c>
    </row>
    <row r="3422" spans="1:6" ht="60" x14ac:dyDescent="0.25">
      <c r="A3422" s="8" t="s">
        <v>125</v>
      </c>
      <c r="B3422" s="8" t="s">
        <v>132</v>
      </c>
      <c r="C3422" s="8" t="str">
        <f>IFERROR(_xlfn.XLOOKUP(TRIM(B3422),Lookup!$B$2:$B$1000,Lookup!$C$2:$C$1000),"")</f>
        <v>Hybrid</v>
      </c>
      <c r="D3422" s="8" t="str">
        <f>IFERROR(INDEX('nav master'!$C:$C, MATCH(B3422, 'nav master'!$B:$B, 0)), "")</f>
        <v>ULIF03901/09/10BalancedFd101</v>
      </c>
      <c r="E3422" s="8" t="s">
        <v>4896</v>
      </c>
      <c r="F3422" s="8" t="s">
        <v>5008</v>
      </c>
    </row>
    <row r="3423" spans="1:6" ht="60" x14ac:dyDescent="0.25">
      <c r="A3423" s="8" t="s">
        <v>125</v>
      </c>
      <c r="B3423" s="8" t="s">
        <v>132</v>
      </c>
      <c r="C3423" s="8" t="str">
        <f>IFERROR(_xlfn.XLOOKUP(TRIM(B3423),Lookup!$B$2:$B$1000,Lookup!$C$2:$C$1000),"")</f>
        <v>Hybrid</v>
      </c>
      <c r="D3423" s="8" t="str">
        <f>IFERROR(INDEX('nav master'!$C:$C, MATCH(B3423, 'nav master'!$B:$B, 0)), "")</f>
        <v>ULIF03901/09/10BalancedFd101</v>
      </c>
      <c r="E3423" s="8" t="s">
        <v>4898</v>
      </c>
      <c r="F3423" s="8" t="s">
        <v>918</v>
      </c>
    </row>
    <row r="3424" spans="1:6" ht="60" x14ac:dyDescent="0.25">
      <c r="A3424" s="8" t="s">
        <v>125</v>
      </c>
      <c r="B3424" s="8" t="s">
        <v>132</v>
      </c>
      <c r="C3424" s="8" t="str">
        <f>IFERROR(_xlfn.XLOOKUP(TRIM(B3424),Lookup!$B$2:$B$1000,Lookup!$C$2:$C$1000),"")</f>
        <v>Hybrid</v>
      </c>
      <c r="D3424" s="8" t="str">
        <f>IFERROR(INDEX('nav master'!$C:$C, MATCH(B3424, 'nav master'!$B:$B, 0)), "")</f>
        <v>ULIF03901/09/10BalancedFd101</v>
      </c>
      <c r="E3424" s="8" t="s">
        <v>4900</v>
      </c>
      <c r="F3424" s="8" t="s">
        <v>5009</v>
      </c>
    </row>
    <row r="3425" spans="1:6" ht="60" x14ac:dyDescent="0.25">
      <c r="A3425" s="8" t="s">
        <v>125</v>
      </c>
      <c r="B3425" s="8" t="s">
        <v>132</v>
      </c>
      <c r="C3425" s="8" t="str">
        <f>IFERROR(_xlfn.XLOOKUP(TRIM(B3425),Lookup!$B$2:$B$1000,Lookup!$C$2:$C$1000),"")</f>
        <v>Hybrid</v>
      </c>
      <c r="D3425" s="8" t="str">
        <f>IFERROR(INDEX('nav master'!$C:$C, MATCH(B3425, 'nav master'!$B:$B, 0)), "")</f>
        <v>ULIF03901/09/10BalancedFd101</v>
      </c>
      <c r="E3425" s="8" t="s">
        <v>4902</v>
      </c>
      <c r="F3425" s="8" t="s">
        <v>5010</v>
      </c>
    </row>
    <row r="3426" spans="1:6" ht="60" x14ac:dyDescent="0.25">
      <c r="A3426" s="8" t="s">
        <v>125</v>
      </c>
      <c r="B3426" s="8" t="s">
        <v>132</v>
      </c>
      <c r="C3426" s="8" t="str">
        <f>IFERROR(_xlfn.XLOOKUP(TRIM(B3426),Lookup!$B$2:$B$1000,Lookup!$C$2:$C$1000),"")</f>
        <v>Hybrid</v>
      </c>
      <c r="D3426" s="8" t="str">
        <f>IFERROR(INDEX('nav master'!$C:$C, MATCH(B3426, 'nav master'!$B:$B, 0)), "")</f>
        <v>ULIF03901/09/10BalancedFd101</v>
      </c>
      <c r="E3426" s="8" t="s">
        <v>4903</v>
      </c>
      <c r="F3426" s="8" t="s">
        <v>5011</v>
      </c>
    </row>
    <row r="3427" spans="1:6" ht="60" x14ac:dyDescent="0.25">
      <c r="A3427" s="8" t="s">
        <v>125</v>
      </c>
      <c r="B3427" s="8" t="s">
        <v>132</v>
      </c>
      <c r="C3427" s="8" t="str">
        <f>IFERROR(_xlfn.XLOOKUP(TRIM(B3427),Lookup!$B$2:$B$1000,Lookup!$C$2:$C$1000),"")</f>
        <v>Hybrid</v>
      </c>
      <c r="D3427" s="8" t="str">
        <f>IFERROR(INDEX('nav master'!$C:$C, MATCH(B3427, 'nav master'!$B:$B, 0)), "")</f>
        <v>ULIF03901/09/10BalancedFd101</v>
      </c>
      <c r="E3427" s="8" t="s">
        <v>4905</v>
      </c>
      <c r="F3427" s="8" t="s">
        <v>5012</v>
      </c>
    </row>
    <row r="3428" spans="1:6" ht="60" x14ac:dyDescent="0.25">
      <c r="A3428" s="8" t="s">
        <v>125</v>
      </c>
      <c r="B3428" s="8" t="s">
        <v>148</v>
      </c>
      <c r="C3428" s="8" t="str">
        <f>IFERROR(_xlfn.XLOOKUP(TRIM(B3428),Lookup!$B$2:$B$1000,Lookup!$C$2:$C$1000),"")</f>
        <v>Equity</v>
      </c>
      <c r="D3428" s="8" t="str">
        <f>IFERROR(INDEX('nav master'!$C:$C, MATCH(B3428, 'nav master'!$B:$B, 0)), "")</f>
        <v>ULIF07114/07/23FlexiCapFd101</v>
      </c>
      <c r="E3428" s="8" t="s">
        <v>189</v>
      </c>
      <c r="F3428" s="8" t="s">
        <v>3686</v>
      </c>
    </row>
    <row r="3429" spans="1:6" ht="60" x14ac:dyDescent="0.25">
      <c r="A3429" s="8" t="s">
        <v>125</v>
      </c>
      <c r="B3429" s="8" t="s">
        <v>148</v>
      </c>
      <c r="C3429" s="8" t="str">
        <f>IFERROR(_xlfn.XLOOKUP(TRIM(B3429),Lookup!$B$2:$B$1000,Lookup!$C$2:$C$1000),"")</f>
        <v>Equity</v>
      </c>
      <c r="D3429" s="8" t="str">
        <f>IFERROR(INDEX('nav master'!$C:$C, MATCH(B3429, 'nav master'!$B:$B, 0)), "")</f>
        <v>ULIF07114/07/23FlexiCapFd101</v>
      </c>
      <c r="E3429" s="8" t="s">
        <v>191</v>
      </c>
      <c r="F3429" s="8" t="s">
        <v>2326</v>
      </c>
    </row>
    <row r="3430" spans="1:6" ht="60" x14ac:dyDescent="0.25">
      <c r="A3430" s="8" t="s">
        <v>125</v>
      </c>
      <c r="B3430" s="8" t="s">
        <v>148</v>
      </c>
      <c r="C3430" s="8" t="str">
        <f>IFERROR(_xlfn.XLOOKUP(TRIM(B3430),Lookup!$B$2:$B$1000,Lookup!$C$2:$C$1000),"")</f>
        <v>Equity</v>
      </c>
      <c r="D3430" s="8" t="str">
        <f>IFERROR(INDEX('nav master'!$C:$C, MATCH(B3430, 'nav master'!$B:$B, 0)), "")</f>
        <v>ULIF07114/07/23FlexiCapFd101</v>
      </c>
      <c r="E3430" s="8" t="s">
        <v>193</v>
      </c>
      <c r="F3430" s="8" t="s">
        <v>3687</v>
      </c>
    </row>
    <row r="3431" spans="1:6" ht="60" x14ac:dyDescent="0.25">
      <c r="A3431" s="8" t="s">
        <v>125</v>
      </c>
      <c r="B3431" s="8" t="s">
        <v>148</v>
      </c>
      <c r="C3431" s="8" t="str">
        <f>IFERROR(_xlfn.XLOOKUP(TRIM(B3431),Lookup!$B$2:$B$1000,Lookup!$C$2:$C$1000),"")</f>
        <v>Equity</v>
      </c>
      <c r="D3431" s="8" t="str">
        <f>IFERROR(INDEX('nav master'!$C:$C, MATCH(B3431, 'nav master'!$B:$B, 0)), "")</f>
        <v>ULIF07114/07/23FlexiCapFd101</v>
      </c>
      <c r="E3431" s="8" t="s">
        <v>195</v>
      </c>
      <c r="F3431" s="8" t="s">
        <v>3688</v>
      </c>
    </row>
    <row r="3432" spans="1:6" ht="60" x14ac:dyDescent="0.25">
      <c r="A3432" s="8" t="s">
        <v>125</v>
      </c>
      <c r="B3432" s="8" t="s">
        <v>148</v>
      </c>
      <c r="C3432" s="8" t="str">
        <f>IFERROR(_xlfn.XLOOKUP(TRIM(B3432),Lookup!$B$2:$B$1000,Lookup!$C$2:$C$1000),"")</f>
        <v>Equity</v>
      </c>
      <c r="D3432" s="8" t="str">
        <f>IFERROR(INDEX('nav master'!$C:$C, MATCH(B3432, 'nav master'!$B:$B, 0)), "")</f>
        <v>ULIF07114/07/23FlexiCapFd101</v>
      </c>
      <c r="E3432" s="8" t="s">
        <v>197</v>
      </c>
      <c r="F3432" s="8" t="s">
        <v>3689</v>
      </c>
    </row>
    <row r="3433" spans="1:6" ht="60" x14ac:dyDescent="0.25">
      <c r="A3433" s="8" t="s">
        <v>125</v>
      </c>
      <c r="B3433" s="8" t="s">
        <v>148</v>
      </c>
      <c r="C3433" s="8" t="str">
        <f>IFERROR(_xlfn.XLOOKUP(TRIM(B3433),Lookup!$B$2:$B$1000,Lookup!$C$2:$C$1000),"")</f>
        <v>Equity</v>
      </c>
      <c r="D3433" s="8" t="str">
        <f>IFERROR(INDEX('nav master'!$C:$C, MATCH(B3433, 'nav master'!$B:$B, 0)), "")</f>
        <v>ULIF07114/07/23FlexiCapFd101</v>
      </c>
      <c r="E3433" s="8" t="s">
        <v>199</v>
      </c>
      <c r="F3433" s="8" t="s">
        <v>3690</v>
      </c>
    </row>
    <row r="3434" spans="1:6" ht="60" x14ac:dyDescent="0.25">
      <c r="A3434" s="8" t="s">
        <v>125</v>
      </c>
      <c r="B3434" s="8" t="s">
        <v>148</v>
      </c>
      <c r="C3434" s="8" t="str">
        <f>IFERROR(_xlfn.XLOOKUP(TRIM(B3434),Lookup!$B$2:$B$1000,Lookup!$C$2:$C$1000),"")</f>
        <v>Equity</v>
      </c>
      <c r="D3434" s="8" t="str">
        <f>IFERROR(INDEX('nav master'!$C:$C, MATCH(B3434, 'nav master'!$B:$B, 0)), "")</f>
        <v>ULIF07114/07/23FlexiCapFd101</v>
      </c>
      <c r="E3434" s="8" t="s">
        <v>201</v>
      </c>
      <c r="F3434" s="8" t="s">
        <v>3691</v>
      </c>
    </row>
    <row r="3435" spans="1:6" ht="60" x14ac:dyDescent="0.25">
      <c r="A3435" s="8" t="s">
        <v>125</v>
      </c>
      <c r="B3435" s="8" t="s">
        <v>148</v>
      </c>
      <c r="C3435" s="8" t="str">
        <f>IFERROR(_xlfn.XLOOKUP(TRIM(B3435),Lookup!$B$2:$B$1000,Lookup!$C$2:$C$1000),"")</f>
        <v>Equity</v>
      </c>
      <c r="D3435" s="8" t="str">
        <f>IFERROR(INDEX('nav master'!$C:$C, MATCH(B3435, 'nav master'!$B:$B, 0)), "")</f>
        <v>ULIF07114/07/23FlexiCapFd101</v>
      </c>
      <c r="E3435" s="8" t="s">
        <v>203</v>
      </c>
      <c r="F3435" s="8" t="s">
        <v>3692</v>
      </c>
    </row>
    <row r="3436" spans="1:6" ht="60" x14ac:dyDescent="0.25">
      <c r="A3436" s="8" t="s">
        <v>125</v>
      </c>
      <c r="B3436" s="8" t="s">
        <v>148</v>
      </c>
      <c r="C3436" s="8" t="str">
        <f>IFERROR(_xlfn.XLOOKUP(TRIM(B3436),Lookup!$B$2:$B$1000,Lookup!$C$2:$C$1000),"")</f>
        <v>Equity</v>
      </c>
      <c r="D3436" s="8" t="str">
        <f>IFERROR(INDEX('nav master'!$C:$C, MATCH(B3436, 'nav master'!$B:$B, 0)), "")</f>
        <v>ULIF07114/07/23FlexiCapFd101</v>
      </c>
      <c r="E3436" s="8" t="s">
        <v>205</v>
      </c>
      <c r="F3436" s="8" t="s">
        <v>3693</v>
      </c>
    </row>
    <row r="3437" spans="1:6" ht="60" x14ac:dyDescent="0.25">
      <c r="A3437" s="8" t="s">
        <v>125</v>
      </c>
      <c r="B3437" s="8" t="s">
        <v>148</v>
      </c>
      <c r="C3437" s="8" t="str">
        <f>IFERROR(_xlfn.XLOOKUP(TRIM(B3437),Lookup!$B$2:$B$1000,Lookup!$C$2:$C$1000),"")</f>
        <v>Equity</v>
      </c>
      <c r="D3437" s="8" t="str">
        <f>IFERROR(INDEX('nav master'!$C:$C, MATCH(B3437, 'nav master'!$B:$B, 0)), "")</f>
        <v>ULIF07114/07/23FlexiCapFd101</v>
      </c>
      <c r="E3437" s="8" t="s">
        <v>207</v>
      </c>
      <c r="F3437" s="8" t="s">
        <v>3694</v>
      </c>
    </row>
    <row r="3438" spans="1:6" ht="60" x14ac:dyDescent="0.25">
      <c r="A3438" s="8" t="s">
        <v>125</v>
      </c>
      <c r="B3438" s="8" t="s">
        <v>148</v>
      </c>
      <c r="C3438" s="8" t="str">
        <f>IFERROR(_xlfn.XLOOKUP(TRIM(B3438),Lookup!$B$2:$B$1000,Lookup!$C$2:$C$1000),"")</f>
        <v>Equity</v>
      </c>
      <c r="D3438" s="8" t="str">
        <f>IFERROR(INDEX('nav master'!$C:$C, MATCH(B3438, 'nav master'!$B:$B, 0)), "")</f>
        <v>ULIF07114/07/23FlexiCapFd101</v>
      </c>
      <c r="E3438" s="8" t="s">
        <v>209</v>
      </c>
      <c r="F3438" s="8" t="s">
        <v>3695</v>
      </c>
    </row>
    <row r="3439" spans="1:6" ht="60" x14ac:dyDescent="0.25">
      <c r="A3439" s="8" t="s">
        <v>125</v>
      </c>
      <c r="B3439" s="8" t="s">
        <v>148</v>
      </c>
      <c r="C3439" s="8" t="str">
        <f>IFERROR(_xlfn.XLOOKUP(TRIM(B3439),Lookup!$B$2:$B$1000,Lookup!$C$2:$C$1000),"")</f>
        <v>Equity</v>
      </c>
      <c r="D3439" s="8" t="str">
        <f>IFERROR(INDEX('nav master'!$C:$C, MATCH(B3439, 'nav master'!$B:$B, 0)), "")</f>
        <v>ULIF07114/07/23FlexiCapFd101</v>
      </c>
      <c r="E3439" s="8" t="s">
        <v>211</v>
      </c>
      <c r="F3439" s="8" t="s">
        <v>3696</v>
      </c>
    </row>
    <row r="3440" spans="1:6" ht="60" x14ac:dyDescent="0.25">
      <c r="A3440" s="8" t="s">
        <v>125</v>
      </c>
      <c r="B3440" s="8" t="s">
        <v>148</v>
      </c>
      <c r="C3440" s="8" t="str">
        <f>IFERROR(_xlfn.XLOOKUP(TRIM(B3440),Lookup!$B$2:$B$1000,Lookup!$C$2:$C$1000),"")</f>
        <v>Equity</v>
      </c>
      <c r="D3440" s="8" t="str">
        <f>IFERROR(INDEX('nav master'!$C:$C, MATCH(B3440, 'nav master'!$B:$B, 0)), "")</f>
        <v>ULIF07114/07/23FlexiCapFd101</v>
      </c>
      <c r="E3440" s="8" t="s">
        <v>213</v>
      </c>
      <c r="F3440" s="8" t="s">
        <v>3697</v>
      </c>
    </row>
    <row r="3441" spans="1:6" ht="60" x14ac:dyDescent="0.25">
      <c r="A3441" s="8" t="s">
        <v>125</v>
      </c>
      <c r="B3441" s="8" t="s">
        <v>148</v>
      </c>
      <c r="C3441" s="8" t="str">
        <f>IFERROR(_xlfn.XLOOKUP(TRIM(B3441),Lookup!$B$2:$B$1000,Lookup!$C$2:$C$1000),"")</f>
        <v>Equity</v>
      </c>
      <c r="D3441" s="8" t="str">
        <f>IFERROR(INDEX('nav master'!$C:$C, MATCH(B3441, 'nav master'!$B:$B, 0)), "")</f>
        <v>ULIF07114/07/23FlexiCapFd101</v>
      </c>
      <c r="E3441" s="8" t="s">
        <v>215</v>
      </c>
      <c r="F3441" s="8" t="s">
        <v>3698</v>
      </c>
    </row>
    <row r="3442" spans="1:6" ht="60" x14ac:dyDescent="0.25">
      <c r="A3442" s="8" t="s">
        <v>125</v>
      </c>
      <c r="B3442" s="8" t="s">
        <v>148</v>
      </c>
      <c r="C3442" s="8" t="str">
        <f>IFERROR(_xlfn.XLOOKUP(TRIM(B3442),Lookup!$B$2:$B$1000,Lookup!$C$2:$C$1000),"")</f>
        <v>Equity</v>
      </c>
      <c r="D3442" s="8" t="str">
        <f>IFERROR(INDEX('nav master'!$C:$C, MATCH(B3442, 'nav master'!$B:$B, 0)), "")</f>
        <v>ULIF07114/07/23FlexiCapFd101</v>
      </c>
      <c r="E3442" s="8" t="s">
        <v>217</v>
      </c>
      <c r="F3442" s="8" t="s">
        <v>3699</v>
      </c>
    </row>
    <row r="3443" spans="1:6" ht="60" x14ac:dyDescent="0.25">
      <c r="A3443" s="8" t="s">
        <v>125</v>
      </c>
      <c r="B3443" s="8" t="s">
        <v>148</v>
      </c>
      <c r="C3443" s="8" t="str">
        <f>IFERROR(_xlfn.XLOOKUP(TRIM(B3443),Lookup!$B$2:$B$1000,Lookup!$C$2:$C$1000),"")</f>
        <v>Equity</v>
      </c>
      <c r="D3443" s="8" t="str">
        <f>IFERROR(INDEX('nav master'!$C:$C, MATCH(B3443, 'nav master'!$B:$B, 0)), "")</f>
        <v>ULIF07114/07/23FlexiCapFd101</v>
      </c>
      <c r="E3443" s="8" t="s">
        <v>219</v>
      </c>
      <c r="F3443" s="8" t="s">
        <v>3700</v>
      </c>
    </row>
    <row r="3444" spans="1:6" ht="60" x14ac:dyDescent="0.25">
      <c r="A3444" s="8" t="s">
        <v>125</v>
      </c>
      <c r="B3444" s="8" t="s">
        <v>148</v>
      </c>
      <c r="C3444" s="8" t="str">
        <f>IFERROR(_xlfn.XLOOKUP(TRIM(B3444),Lookup!$B$2:$B$1000,Lookup!$C$2:$C$1000),"")</f>
        <v>Equity</v>
      </c>
      <c r="D3444" s="8" t="str">
        <f>IFERROR(INDEX('nav master'!$C:$C, MATCH(B3444, 'nav master'!$B:$B, 0)), "")</f>
        <v>ULIF07114/07/23FlexiCapFd101</v>
      </c>
      <c r="E3444" s="8" t="s">
        <v>221</v>
      </c>
      <c r="F3444" s="8" t="s">
        <v>3701</v>
      </c>
    </row>
    <row r="3445" spans="1:6" ht="60" x14ac:dyDescent="0.25">
      <c r="A3445" s="8" t="s">
        <v>125</v>
      </c>
      <c r="B3445" s="8" t="s">
        <v>148</v>
      </c>
      <c r="C3445" s="8" t="str">
        <f>IFERROR(_xlfn.XLOOKUP(TRIM(B3445),Lookup!$B$2:$B$1000,Lookup!$C$2:$C$1000),"")</f>
        <v>Equity</v>
      </c>
      <c r="D3445" s="8" t="str">
        <f>IFERROR(INDEX('nav master'!$C:$C, MATCH(B3445, 'nav master'!$B:$B, 0)), "")</f>
        <v>ULIF07114/07/23FlexiCapFd101</v>
      </c>
      <c r="E3445" s="8" t="s">
        <v>223</v>
      </c>
      <c r="F3445" s="8" t="s">
        <v>3702</v>
      </c>
    </row>
    <row r="3446" spans="1:6" ht="60" x14ac:dyDescent="0.25">
      <c r="A3446" s="8" t="s">
        <v>125</v>
      </c>
      <c r="B3446" s="8" t="s">
        <v>148</v>
      </c>
      <c r="C3446" s="8" t="str">
        <f>IFERROR(_xlfn.XLOOKUP(TRIM(B3446),Lookup!$B$2:$B$1000,Lookup!$C$2:$C$1000),"")</f>
        <v>Equity</v>
      </c>
      <c r="D3446" s="8" t="str">
        <f>IFERROR(INDEX('nav master'!$C:$C, MATCH(B3446, 'nav master'!$B:$B, 0)), "")</f>
        <v>ULIF07114/07/23FlexiCapFd101</v>
      </c>
      <c r="E3446" s="8" t="s">
        <v>225</v>
      </c>
      <c r="F3446" s="8" t="s">
        <v>3703</v>
      </c>
    </row>
    <row r="3447" spans="1:6" ht="60" x14ac:dyDescent="0.25">
      <c r="A3447" s="8" t="s">
        <v>125</v>
      </c>
      <c r="B3447" s="8" t="s">
        <v>148</v>
      </c>
      <c r="C3447" s="8" t="str">
        <f>IFERROR(_xlfn.XLOOKUP(TRIM(B3447),Lookup!$B$2:$B$1000,Lookup!$C$2:$C$1000),"")</f>
        <v>Equity</v>
      </c>
      <c r="D3447" s="8" t="str">
        <f>IFERROR(INDEX('nav master'!$C:$C, MATCH(B3447, 'nav master'!$B:$B, 0)), "")</f>
        <v>ULIF07114/07/23FlexiCapFd101</v>
      </c>
      <c r="E3447" s="8" t="s">
        <v>227</v>
      </c>
      <c r="F3447" s="8" t="s">
        <v>3704</v>
      </c>
    </row>
    <row r="3448" spans="1:6" ht="60" x14ac:dyDescent="0.25">
      <c r="A3448" s="8" t="s">
        <v>125</v>
      </c>
      <c r="B3448" s="8" t="s">
        <v>148</v>
      </c>
      <c r="C3448" s="8" t="str">
        <f>IFERROR(_xlfn.XLOOKUP(TRIM(B3448),Lookup!$B$2:$B$1000,Lookup!$C$2:$C$1000),"")</f>
        <v>Equity</v>
      </c>
      <c r="D3448" s="8" t="str">
        <f>IFERROR(INDEX('nav master'!$C:$C, MATCH(B3448, 'nav master'!$B:$B, 0)), "")</f>
        <v>ULIF07114/07/23FlexiCapFd101</v>
      </c>
      <c r="E3448" s="8" t="s">
        <v>229</v>
      </c>
      <c r="F3448" s="8" t="s">
        <v>3705</v>
      </c>
    </row>
    <row r="3449" spans="1:6" ht="60" x14ac:dyDescent="0.25">
      <c r="A3449" s="8" t="s">
        <v>125</v>
      </c>
      <c r="B3449" s="8" t="s">
        <v>148</v>
      </c>
      <c r="C3449" s="8" t="str">
        <f>IFERROR(_xlfn.XLOOKUP(TRIM(B3449),Lookup!$B$2:$B$1000,Lookup!$C$2:$C$1000),"")</f>
        <v>Equity</v>
      </c>
      <c r="D3449" s="8" t="str">
        <f>IFERROR(INDEX('nav master'!$C:$C, MATCH(B3449, 'nav master'!$B:$B, 0)), "")</f>
        <v>ULIF07114/07/23FlexiCapFd101</v>
      </c>
      <c r="E3449" s="8" t="s">
        <v>231</v>
      </c>
      <c r="F3449" s="8" t="s">
        <v>3706</v>
      </c>
    </row>
    <row r="3450" spans="1:6" ht="60" x14ac:dyDescent="0.25">
      <c r="A3450" s="8" t="s">
        <v>125</v>
      </c>
      <c r="B3450" s="8" t="s">
        <v>148</v>
      </c>
      <c r="C3450" s="8" t="str">
        <f>IFERROR(_xlfn.XLOOKUP(TRIM(B3450),Lookup!$B$2:$B$1000,Lookup!$C$2:$C$1000),"")</f>
        <v>Equity</v>
      </c>
      <c r="D3450" s="8" t="str">
        <f>IFERROR(INDEX('nav master'!$C:$C, MATCH(B3450, 'nav master'!$B:$B, 0)), "")</f>
        <v>ULIF07114/07/23FlexiCapFd101</v>
      </c>
      <c r="E3450" s="8" t="s">
        <v>233</v>
      </c>
      <c r="F3450" s="8" t="s">
        <v>3707</v>
      </c>
    </row>
    <row r="3451" spans="1:6" ht="60" x14ac:dyDescent="0.25">
      <c r="A3451" s="8" t="s">
        <v>125</v>
      </c>
      <c r="B3451" s="8" t="s">
        <v>148</v>
      </c>
      <c r="C3451" s="8" t="str">
        <f>IFERROR(_xlfn.XLOOKUP(TRIM(B3451),Lookup!$B$2:$B$1000,Lookup!$C$2:$C$1000),"")</f>
        <v>Equity</v>
      </c>
      <c r="D3451" s="8" t="str">
        <f>IFERROR(INDEX('nav master'!$C:$C, MATCH(B3451, 'nav master'!$B:$B, 0)), "")</f>
        <v>ULIF07114/07/23FlexiCapFd101</v>
      </c>
      <c r="E3451" s="8" t="s">
        <v>235</v>
      </c>
      <c r="F3451" s="8" t="s">
        <v>3708</v>
      </c>
    </row>
    <row r="3452" spans="1:6" ht="60" x14ac:dyDescent="0.25">
      <c r="A3452" s="8" t="s">
        <v>125</v>
      </c>
      <c r="B3452" s="8" t="s">
        <v>148</v>
      </c>
      <c r="C3452" s="8" t="str">
        <f>IFERROR(_xlfn.XLOOKUP(TRIM(B3452),Lookup!$B$2:$B$1000,Lookup!$C$2:$C$1000),"")</f>
        <v>Equity</v>
      </c>
      <c r="D3452" s="8" t="str">
        <f>IFERROR(INDEX('nav master'!$C:$C, MATCH(B3452, 'nav master'!$B:$B, 0)), "")</f>
        <v>ULIF07114/07/23FlexiCapFd101</v>
      </c>
      <c r="E3452" s="8" t="s">
        <v>237</v>
      </c>
      <c r="F3452" s="8" t="s">
        <v>3709</v>
      </c>
    </row>
    <row r="3453" spans="1:6" ht="60" x14ac:dyDescent="0.25">
      <c r="A3453" s="8" t="s">
        <v>125</v>
      </c>
      <c r="B3453" s="8" t="s">
        <v>148</v>
      </c>
      <c r="C3453" s="8" t="str">
        <f>IFERROR(_xlfn.XLOOKUP(TRIM(B3453),Lookup!$B$2:$B$1000,Lookup!$C$2:$C$1000),"")</f>
        <v>Equity</v>
      </c>
      <c r="D3453" s="8" t="str">
        <f>IFERROR(INDEX('nav master'!$C:$C, MATCH(B3453, 'nav master'!$B:$B, 0)), "")</f>
        <v>ULIF07114/07/23FlexiCapFd101</v>
      </c>
      <c r="E3453" s="8" t="s">
        <v>239</v>
      </c>
      <c r="F3453" s="8" t="s">
        <v>3710</v>
      </c>
    </row>
    <row r="3454" spans="1:6" ht="60" x14ac:dyDescent="0.25">
      <c r="A3454" s="8" t="s">
        <v>125</v>
      </c>
      <c r="B3454" s="8" t="s">
        <v>148</v>
      </c>
      <c r="C3454" s="8" t="str">
        <f>IFERROR(_xlfn.XLOOKUP(TRIM(B3454),Lookup!$B$2:$B$1000,Lookup!$C$2:$C$1000),"")</f>
        <v>Equity</v>
      </c>
      <c r="D3454" s="8" t="str">
        <f>IFERROR(INDEX('nav master'!$C:$C, MATCH(B3454, 'nav master'!$B:$B, 0)), "")</f>
        <v>ULIF07114/07/23FlexiCapFd101</v>
      </c>
      <c r="E3454" s="8" t="s">
        <v>241</v>
      </c>
      <c r="F3454" s="8" t="s">
        <v>3711</v>
      </c>
    </row>
    <row r="3455" spans="1:6" ht="60" x14ac:dyDescent="0.25">
      <c r="A3455" s="8" t="s">
        <v>125</v>
      </c>
      <c r="B3455" s="8" t="s">
        <v>148</v>
      </c>
      <c r="C3455" s="8" t="str">
        <f>IFERROR(_xlfn.XLOOKUP(TRIM(B3455),Lookup!$B$2:$B$1000,Lookup!$C$2:$C$1000),"")</f>
        <v>Equity</v>
      </c>
      <c r="D3455" s="8" t="str">
        <f>IFERROR(INDEX('nav master'!$C:$C, MATCH(B3455, 'nav master'!$B:$B, 0)), "")</f>
        <v>ULIF07114/07/23FlexiCapFd101</v>
      </c>
      <c r="E3455" s="8" t="s">
        <v>243</v>
      </c>
      <c r="F3455" s="8" t="s">
        <v>3712</v>
      </c>
    </row>
    <row r="3456" spans="1:6" ht="60" x14ac:dyDescent="0.25">
      <c r="A3456" s="8" t="s">
        <v>125</v>
      </c>
      <c r="B3456" s="8" t="s">
        <v>148</v>
      </c>
      <c r="C3456" s="8" t="str">
        <f>IFERROR(_xlfn.XLOOKUP(TRIM(B3456),Lookup!$B$2:$B$1000,Lookup!$C$2:$C$1000),"")</f>
        <v>Equity</v>
      </c>
      <c r="D3456" s="8" t="str">
        <f>IFERROR(INDEX('nav master'!$C:$C, MATCH(B3456, 'nav master'!$B:$B, 0)), "")</f>
        <v>ULIF07114/07/23FlexiCapFd101</v>
      </c>
      <c r="E3456" s="8" t="s">
        <v>245</v>
      </c>
      <c r="F3456" s="8" t="s">
        <v>3713</v>
      </c>
    </row>
    <row r="3457" spans="1:6" ht="60" x14ac:dyDescent="0.25">
      <c r="A3457" s="8" t="s">
        <v>125</v>
      </c>
      <c r="B3457" s="8" t="s">
        <v>148</v>
      </c>
      <c r="C3457" s="8" t="str">
        <f>IFERROR(_xlfn.XLOOKUP(TRIM(B3457),Lookup!$B$2:$B$1000,Lookup!$C$2:$C$1000),"")</f>
        <v>Equity</v>
      </c>
      <c r="D3457" s="8" t="str">
        <f>IFERROR(INDEX('nav master'!$C:$C, MATCH(B3457, 'nav master'!$B:$B, 0)), "")</f>
        <v>ULIF07114/07/23FlexiCapFd101</v>
      </c>
      <c r="E3457" s="8" t="s">
        <v>247</v>
      </c>
      <c r="F3457" s="8" t="s">
        <v>3714</v>
      </c>
    </row>
    <row r="3458" spans="1:6" ht="60" x14ac:dyDescent="0.25">
      <c r="A3458" s="8" t="s">
        <v>125</v>
      </c>
      <c r="B3458" s="8" t="s">
        <v>148</v>
      </c>
      <c r="C3458" s="8" t="str">
        <f>IFERROR(_xlfn.XLOOKUP(TRIM(B3458),Lookup!$B$2:$B$1000,Lookup!$C$2:$C$1000),"")</f>
        <v>Equity</v>
      </c>
      <c r="D3458" s="8" t="str">
        <f>IFERROR(INDEX('nav master'!$C:$C, MATCH(B3458, 'nav master'!$B:$B, 0)), "")</f>
        <v>ULIF07114/07/23FlexiCapFd101</v>
      </c>
      <c r="E3458" s="8" t="s">
        <v>249</v>
      </c>
      <c r="F3458" s="8" t="s">
        <v>3715</v>
      </c>
    </row>
    <row r="3459" spans="1:6" ht="60" x14ac:dyDescent="0.25">
      <c r="A3459" s="8" t="s">
        <v>125</v>
      </c>
      <c r="B3459" s="8" t="s">
        <v>148</v>
      </c>
      <c r="C3459" s="8" t="str">
        <f>IFERROR(_xlfn.XLOOKUP(TRIM(B3459),Lookup!$B$2:$B$1000,Lookup!$C$2:$C$1000),"")</f>
        <v>Equity</v>
      </c>
      <c r="D3459" s="8" t="str">
        <f>IFERROR(INDEX('nav master'!$C:$C, MATCH(B3459, 'nav master'!$B:$B, 0)), "")</f>
        <v>ULIF07114/07/23FlexiCapFd101</v>
      </c>
      <c r="E3459" s="8" t="s">
        <v>251</v>
      </c>
      <c r="F3459" s="8" t="s">
        <v>3716</v>
      </c>
    </row>
    <row r="3460" spans="1:6" ht="60" x14ac:dyDescent="0.25">
      <c r="A3460" s="8" t="s">
        <v>125</v>
      </c>
      <c r="B3460" s="8" t="s">
        <v>148</v>
      </c>
      <c r="C3460" s="8" t="str">
        <f>IFERROR(_xlfn.XLOOKUP(TRIM(B3460),Lookup!$B$2:$B$1000,Lookup!$C$2:$C$1000),"")</f>
        <v>Equity</v>
      </c>
      <c r="D3460" s="8" t="str">
        <f>IFERROR(INDEX('nav master'!$C:$C, MATCH(B3460, 'nav master'!$B:$B, 0)), "")</f>
        <v>ULIF07114/07/23FlexiCapFd101</v>
      </c>
      <c r="E3460" s="8" t="s">
        <v>253</v>
      </c>
      <c r="F3460" s="8" t="s">
        <v>3717</v>
      </c>
    </row>
    <row r="3461" spans="1:6" ht="60" x14ac:dyDescent="0.25">
      <c r="A3461" s="8" t="s">
        <v>125</v>
      </c>
      <c r="B3461" s="8" t="s">
        <v>148</v>
      </c>
      <c r="C3461" s="8" t="str">
        <f>IFERROR(_xlfn.XLOOKUP(TRIM(B3461),Lookup!$B$2:$B$1000,Lookup!$C$2:$C$1000),"")</f>
        <v>Equity</v>
      </c>
      <c r="D3461" s="8" t="str">
        <f>IFERROR(INDEX('nav master'!$C:$C, MATCH(B3461, 'nav master'!$B:$B, 0)), "")</f>
        <v>ULIF07114/07/23FlexiCapFd101</v>
      </c>
      <c r="E3461" s="8" t="s">
        <v>255</v>
      </c>
      <c r="F3461" s="8" t="s">
        <v>3718</v>
      </c>
    </row>
    <row r="3462" spans="1:6" ht="60" x14ac:dyDescent="0.25">
      <c r="A3462" s="8" t="s">
        <v>125</v>
      </c>
      <c r="B3462" s="8" t="s">
        <v>148</v>
      </c>
      <c r="C3462" s="8" t="str">
        <f>IFERROR(_xlfn.XLOOKUP(TRIM(B3462),Lookup!$B$2:$B$1000,Lookup!$C$2:$C$1000),"")</f>
        <v>Equity</v>
      </c>
      <c r="D3462" s="8" t="str">
        <f>IFERROR(INDEX('nav master'!$C:$C, MATCH(B3462, 'nav master'!$B:$B, 0)), "")</f>
        <v>ULIF07114/07/23FlexiCapFd101</v>
      </c>
      <c r="E3462" s="8" t="s">
        <v>257</v>
      </c>
      <c r="F3462" s="8" t="s">
        <v>3719</v>
      </c>
    </row>
    <row r="3463" spans="1:6" ht="60" x14ac:dyDescent="0.25">
      <c r="A3463" s="8" t="s">
        <v>125</v>
      </c>
      <c r="B3463" s="8" t="s">
        <v>148</v>
      </c>
      <c r="C3463" s="8" t="str">
        <f>IFERROR(_xlfn.XLOOKUP(TRIM(B3463),Lookup!$B$2:$B$1000,Lookup!$C$2:$C$1000),"")</f>
        <v>Equity</v>
      </c>
      <c r="D3463" s="8" t="str">
        <f>IFERROR(INDEX('nav master'!$C:$C, MATCH(B3463, 'nav master'!$B:$B, 0)), "")</f>
        <v>ULIF07114/07/23FlexiCapFd101</v>
      </c>
      <c r="E3463" s="8" t="s">
        <v>259</v>
      </c>
      <c r="F3463" s="8" t="s">
        <v>3720</v>
      </c>
    </row>
    <row r="3464" spans="1:6" ht="60" x14ac:dyDescent="0.25">
      <c r="A3464" s="8" t="s">
        <v>125</v>
      </c>
      <c r="B3464" s="8" t="s">
        <v>148</v>
      </c>
      <c r="C3464" s="8" t="str">
        <f>IFERROR(_xlfn.XLOOKUP(TRIM(B3464),Lookup!$B$2:$B$1000,Lookup!$C$2:$C$1000),"")</f>
        <v>Equity</v>
      </c>
      <c r="D3464" s="8" t="str">
        <f>IFERROR(INDEX('nav master'!$C:$C, MATCH(B3464, 'nav master'!$B:$B, 0)), "")</f>
        <v>ULIF07114/07/23FlexiCapFd101</v>
      </c>
      <c r="E3464" s="8" t="s">
        <v>261</v>
      </c>
      <c r="F3464" s="8" t="s">
        <v>3721</v>
      </c>
    </row>
    <row r="3465" spans="1:6" ht="60" x14ac:dyDescent="0.25">
      <c r="A3465" s="8" t="s">
        <v>125</v>
      </c>
      <c r="B3465" s="8" t="s">
        <v>148</v>
      </c>
      <c r="C3465" s="8" t="str">
        <f>IFERROR(_xlfn.XLOOKUP(TRIM(B3465),Lookup!$B$2:$B$1000,Lookup!$C$2:$C$1000),"")</f>
        <v>Equity</v>
      </c>
      <c r="D3465" s="8" t="str">
        <f>IFERROR(INDEX('nav master'!$C:$C, MATCH(B3465, 'nav master'!$B:$B, 0)), "")</f>
        <v>ULIF07114/07/23FlexiCapFd101</v>
      </c>
      <c r="E3465" s="8" t="s">
        <v>263</v>
      </c>
      <c r="F3465" s="8" t="s">
        <v>3722</v>
      </c>
    </row>
    <row r="3466" spans="1:6" ht="60" x14ac:dyDescent="0.25">
      <c r="A3466" s="8" t="s">
        <v>125</v>
      </c>
      <c r="B3466" s="8" t="s">
        <v>148</v>
      </c>
      <c r="C3466" s="8" t="str">
        <f>IFERROR(_xlfn.XLOOKUP(TRIM(B3466),Lookup!$B$2:$B$1000,Lookup!$C$2:$C$1000),"")</f>
        <v>Equity</v>
      </c>
      <c r="D3466" s="8" t="str">
        <f>IFERROR(INDEX('nav master'!$C:$C, MATCH(B3466, 'nav master'!$B:$B, 0)), "")</f>
        <v>ULIF07114/07/23FlexiCapFd101</v>
      </c>
      <c r="E3466" s="8" t="s">
        <v>265</v>
      </c>
      <c r="F3466" s="8" t="s">
        <v>3723</v>
      </c>
    </row>
    <row r="3467" spans="1:6" ht="60" x14ac:dyDescent="0.25">
      <c r="A3467" s="8" t="s">
        <v>125</v>
      </c>
      <c r="B3467" s="8" t="s">
        <v>148</v>
      </c>
      <c r="C3467" s="8" t="str">
        <f>IFERROR(_xlfn.XLOOKUP(TRIM(B3467),Lookup!$B$2:$B$1000,Lookup!$C$2:$C$1000),"")</f>
        <v>Equity</v>
      </c>
      <c r="D3467" s="8" t="str">
        <f>IFERROR(INDEX('nav master'!$C:$C, MATCH(B3467, 'nav master'!$B:$B, 0)), "")</f>
        <v>ULIF07114/07/23FlexiCapFd101</v>
      </c>
      <c r="E3467" s="8" t="s">
        <v>267</v>
      </c>
      <c r="F3467" s="8" t="s">
        <v>3724</v>
      </c>
    </row>
    <row r="3468" spans="1:6" ht="60" x14ac:dyDescent="0.25">
      <c r="A3468" s="8" t="s">
        <v>125</v>
      </c>
      <c r="B3468" s="8" t="s">
        <v>148</v>
      </c>
      <c r="C3468" s="8" t="str">
        <f>IFERROR(_xlfn.XLOOKUP(TRIM(B3468),Lookup!$B$2:$B$1000,Lookup!$C$2:$C$1000),"")</f>
        <v>Equity</v>
      </c>
      <c r="D3468" s="8" t="str">
        <f>IFERROR(INDEX('nav master'!$C:$C, MATCH(B3468, 'nav master'!$B:$B, 0)), "")</f>
        <v>ULIF07114/07/23FlexiCapFd101</v>
      </c>
      <c r="E3468" s="8" t="s">
        <v>269</v>
      </c>
      <c r="F3468" s="8" t="s">
        <v>3725</v>
      </c>
    </row>
    <row r="3469" spans="1:6" ht="60" x14ac:dyDescent="0.25">
      <c r="A3469" s="8" t="s">
        <v>125</v>
      </c>
      <c r="B3469" s="8" t="s">
        <v>148</v>
      </c>
      <c r="C3469" s="8" t="str">
        <f>IFERROR(_xlfn.XLOOKUP(TRIM(B3469),Lookup!$B$2:$B$1000,Lookup!$C$2:$C$1000),"")</f>
        <v>Equity</v>
      </c>
      <c r="D3469" s="8" t="str">
        <f>IFERROR(INDEX('nav master'!$C:$C, MATCH(B3469, 'nav master'!$B:$B, 0)), "")</f>
        <v>ULIF07114/07/23FlexiCapFd101</v>
      </c>
      <c r="E3469" s="8" t="s">
        <v>271</v>
      </c>
      <c r="F3469" s="8" t="s">
        <v>2545</v>
      </c>
    </row>
    <row r="3470" spans="1:6" ht="60" x14ac:dyDescent="0.25">
      <c r="A3470" s="8" t="s">
        <v>125</v>
      </c>
      <c r="B3470" s="8" t="s">
        <v>148</v>
      </c>
      <c r="C3470" s="8" t="str">
        <f>IFERROR(_xlfn.XLOOKUP(TRIM(B3470),Lookup!$B$2:$B$1000,Lookup!$C$2:$C$1000),"")</f>
        <v>Equity</v>
      </c>
      <c r="D3470" s="8" t="str">
        <f>IFERROR(INDEX('nav master'!$C:$C, MATCH(B3470, 'nav master'!$B:$B, 0)), "")</f>
        <v>ULIF07114/07/23FlexiCapFd101</v>
      </c>
      <c r="E3470" s="8" t="s">
        <v>273</v>
      </c>
      <c r="F3470" s="8" t="s">
        <v>3726</v>
      </c>
    </row>
    <row r="3471" spans="1:6" ht="60" x14ac:dyDescent="0.25">
      <c r="A3471" s="8" t="s">
        <v>125</v>
      </c>
      <c r="B3471" s="8" t="s">
        <v>148</v>
      </c>
      <c r="C3471" s="8" t="str">
        <f>IFERROR(_xlfn.XLOOKUP(TRIM(B3471),Lookup!$B$2:$B$1000,Lookup!$C$2:$C$1000),"")</f>
        <v>Equity</v>
      </c>
      <c r="D3471" s="8" t="str">
        <f>IFERROR(INDEX('nav master'!$C:$C, MATCH(B3471, 'nav master'!$B:$B, 0)), "")</f>
        <v>ULIF07114/07/23FlexiCapFd101</v>
      </c>
      <c r="E3471" s="8" t="s">
        <v>275</v>
      </c>
      <c r="F3471" s="8" t="s">
        <v>3727</v>
      </c>
    </row>
    <row r="3472" spans="1:6" ht="60" x14ac:dyDescent="0.25">
      <c r="A3472" s="8" t="s">
        <v>125</v>
      </c>
      <c r="B3472" s="8" t="s">
        <v>148</v>
      </c>
      <c r="C3472" s="8" t="str">
        <f>IFERROR(_xlfn.XLOOKUP(TRIM(B3472),Lookup!$B$2:$B$1000,Lookup!$C$2:$C$1000),"")</f>
        <v>Equity</v>
      </c>
      <c r="D3472" s="8" t="str">
        <f>IFERROR(INDEX('nav master'!$C:$C, MATCH(B3472, 'nav master'!$B:$B, 0)), "")</f>
        <v>ULIF07114/07/23FlexiCapFd101</v>
      </c>
      <c r="E3472" s="8" t="s">
        <v>277</v>
      </c>
      <c r="F3472" s="8" t="s">
        <v>3728</v>
      </c>
    </row>
    <row r="3473" spans="1:6" ht="60" x14ac:dyDescent="0.25">
      <c r="A3473" s="8" t="s">
        <v>125</v>
      </c>
      <c r="B3473" s="8" t="s">
        <v>148</v>
      </c>
      <c r="C3473" s="8" t="str">
        <f>IFERROR(_xlfn.XLOOKUP(TRIM(B3473),Lookup!$B$2:$B$1000,Lookup!$C$2:$C$1000),"")</f>
        <v>Equity</v>
      </c>
      <c r="D3473" s="8" t="str">
        <f>IFERROR(INDEX('nav master'!$C:$C, MATCH(B3473, 'nav master'!$B:$B, 0)), "")</f>
        <v>ULIF07114/07/23FlexiCapFd101</v>
      </c>
      <c r="E3473" s="8" t="s">
        <v>279</v>
      </c>
      <c r="F3473" s="8" t="s">
        <v>3729</v>
      </c>
    </row>
    <row r="3474" spans="1:6" ht="60" x14ac:dyDescent="0.25">
      <c r="A3474" s="8" t="s">
        <v>125</v>
      </c>
      <c r="B3474" s="8" t="s">
        <v>148</v>
      </c>
      <c r="C3474" s="8" t="str">
        <f>IFERROR(_xlfn.XLOOKUP(TRIM(B3474),Lookup!$B$2:$B$1000,Lookup!$C$2:$C$1000),"")</f>
        <v>Equity</v>
      </c>
      <c r="D3474" s="8" t="str">
        <f>IFERROR(INDEX('nav master'!$C:$C, MATCH(B3474, 'nav master'!$B:$B, 0)), "")</f>
        <v>ULIF07114/07/23FlexiCapFd101</v>
      </c>
      <c r="E3474" s="8" t="s">
        <v>281</v>
      </c>
      <c r="F3474" s="8" t="s">
        <v>3730</v>
      </c>
    </row>
    <row r="3475" spans="1:6" ht="60" x14ac:dyDescent="0.25">
      <c r="A3475" s="8" t="s">
        <v>125</v>
      </c>
      <c r="B3475" s="8" t="s">
        <v>148</v>
      </c>
      <c r="C3475" s="8" t="str">
        <f>IFERROR(_xlfn.XLOOKUP(TRIM(B3475),Lookup!$B$2:$B$1000,Lookup!$C$2:$C$1000),"")</f>
        <v>Equity</v>
      </c>
      <c r="D3475" s="8" t="str">
        <f>IFERROR(INDEX('nav master'!$C:$C, MATCH(B3475, 'nav master'!$B:$B, 0)), "")</f>
        <v>ULIF07114/07/23FlexiCapFd101</v>
      </c>
      <c r="E3475" s="8" t="s">
        <v>283</v>
      </c>
      <c r="F3475" s="8" t="s">
        <v>3731</v>
      </c>
    </row>
    <row r="3476" spans="1:6" ht="60" x14ac:dyDescent="0.25">
      <c r="A3476" s="8" t="s">
        <v>125</v>
      </c>
      <c r="B3476" s="8" t="s">
        <v>148</v>
      </c>
      <c r="C3476" s="8" t="str">
        <f>IFERROR(_xlfn.XLOOKUP(TRIM(B3476),Lookup!$B$2:$B$1000,Lookup!$C$2:$C$1000),"")</f>
        <v>Equity</v>
      </c>
      <c r="D3476" s="8" t="str">
        <f>IFERROR(INDEX('nav master'!$C:$C, MATCH(B3476, 'nav master'!$B:$B, 0)), "")</f>
        <v>ULIF07114/07/23FlexiCapFd101</v>
      </c>
      <c r="E3476" s="8" t="s">
        <v>285</v>
      </c>
      <c r="F3476" s="8" t="s">
        <v>3732</v>
      </c>
    </row>
    <row r="3477" spans="1:6" ht="60" x14ac:dyDescent="0.25">
      <c r="A3477" s="8" t="s">
        <v>125</v>
      </c>
      <c r="B3477" s="8" t="s">
        <v>148</v>
      </c>
      <c r="C3477" s="8" t="str">
        <f>IFERROR(_xlfn.XLOOKUP(TRIM(B3477),Lookup!$B$2:$B$1000,Lookup!$C$2:$C$1000),"")</f>
        <v>Equity</v>
      </c>
      <c r="D3477" s="8" t="str">
        <f>IFERROR(INDEX('nav master'!$C:$C, MATCH(B3477, 'nav master'!$B:$B, 0)), "")</f>
        <v>ULIF07114/07/23FlexiCapFd101</v>
      </c>
      <c r="E3477" s="8" t="s">
        <v>287</v>
      </c>
      <c r="F3477" s="8" t="s">
        <v>3733</v>
      </c>
    </row>
    <row r="3478" spans="1:6" ht="60" x14ac:dyDescent="0.25">
      <c r="A3478" s="8" t="s">
        <v>125</v>
      </c>
      <c r="B3478" s="8" t="s">
        <v>148</v>
      </c>
      <c r="C3478" s="8" t="str">
        <f>IFERROR(_xlfn.XLOOKUP(TRIM(B3478),Lookup!$B$2:$B$1000,Lookup!$C$2:$C$1000),"")</f>
        <v>Equity</v>
      </c>
      <c r="D3478" s="8" t="str">
        <f>IFERROR(INDEX('nav master'!$C:$C, MATCH(B3478, 'nav master'!$B:$B, 0)), "")</f>
        <v>ULIF07114/07/23FlexiCapFd101</v>
      </c>
      <c r="E3478" s="8" t="s">
        <v>289</v>
      </c>
      <c r="F3478" s="8" t="s">
        <v>3734</v>
      </c>
    </row>
    <row r="3479" spans="1:6" ht="60" x14ac:dyDescent="0.25">
      <c r="A3479" s="8" t="s">
        <v>125</v>
      </c>
      <c r="B3479" s="8" t="s">
        <v>148</v>
      </c>
      <c r="C3479" s="8" t="str">
        <f>IFERROR(_xlfn.XLOOKUP(TRIM(B3479),Lookup!$B$2:$B$1000,Lookup!$C$2:$C$1000),"")</f>
        <v>Equity</v>
      </c>
      <c r="D3479" s="8" t="str">
        <f>IFERROR(INDEX('nav master'!$C:$C, MATCH(B3479, 'nav master'!$B:$B, 0)), "")</f>
        <v>ULIF07114/07/23FlexiCapFd101</v>
      </c>
      <c r="E3479" s="8" t="s">
        <v>291</v>
      </c>
      <c r="F3479" s="8" t="s">
        <v>3735</v>
      </c>
    </row>
    <row r="3480" spans="1:6" ht="60" x14ac:dyDescent="0.25">
      <c r="A3480" s="8" t="s">
        <v>125</v>
      </c>
      <c r="B3480" s="8" t="s">
        <v>148</v>
      </c>
      <c r="C3480" s="8" t="str">
        <f>IFERROR(_xlfn.XLOOKUP(TRIM(B3480),Lookup!$B$2:$B$1000,Lookup!$C$2:$C$1000),"")</f>
        <v>Equity</v>
      </c>
      <c r="D3480" s="8" t="str">
        <f>IFERROR(INDEX('nav master'!$C:$C, MATCH(B3480, 'nav master'!$B:$B, 0)), "")</f>
        <v>ULIF07114/07/23FlexiCapFd101</v>
      </c>
      <c r="E3480" s="8" t="s">
        <v>293</v>
      </c>
      <c r="F3480" s="8" t="s">
        <v>3736</v>
      </c>
    </row>
    <row r="3481" spans="1:6" ht="60" x14ac:dyDescent="0.25">
      <c r="A3481" s="8" t="s">
        <v>125</v>
      </c>
      <c r="B3481" s="8" t="s">
        <v>148</v>
      </c>
      <c r="C3481" s="8" t="str">
        <f>IFERROR(_xlfn.XLOOKUP(TRIM(B3481),Lookup!$B$2:$B$1000,Lookup!$C$2:$C$1000),"")</f>
        <v>Equity</v>
      </c>
      <c r="D3481" s="8" t="str">
        <f>IFERROR(INDEX('nav master'!$C:$C, MATCH(B3481, 'nav master'!$B:$B, 0)), "")</f>
        <v>ULIF07114/07/23FlexiCapFd101</v>
      </c>
      <c r="E3481" s="8" t="s">
        <v>295</v>
      </c>
      <c r="F3481" s="8" t="s">
        <v>3737</v>
      </c>
    </row>
    <row r="3482" spans="1:6" ht="60" x14ac:dyDescent="0.25">
      <c r="A3482" s="8" t="s">
        <v>125</v>
      </c>
      <c r="B3482" s="8" t="s">
        <v>148</v>
      </c>
      <c r="C3482" s="8" t="str">
        <f>IFERROR(_xlfn.XLOOKUP(TRIM(B3482),Lookup!$B$2:$B$1000,Lookup!$C$2:$C$1000),"")</f>
        <v>Equity</v>
      </c>
      <c r="D3482" s="8" t="str">
        <f>IFERROR(INDEX('nav master'!$C:$C, MATCH(B3482, 'nav master'!$B:$B, 0)), "")</f>
        <v>ULIF07114/07/23FlexiCapFd101</v>
      </c>
      <c r="E3482" s="8" t="s">
        <v>297</v>
      </c>
      <c r="F3482" s="8" t="s">
        <v>3738</v>
      </c>
    </row>
    <row r="3483" spans="1:6" ht="60" x14ac:dyDescent="0.25">
      <c r="A3483" s="8" t="s">
        <v>125</v>
      </c>
      <c r="B3483" s="8" t="s">
        <v>148</v>
      </c>
      <c r="C3483" s="8" t="str">
        <f>IFERROR(_xlfn.XLOOKUP(TRIM(B3483),Lookup!$B$2:$B$1000,Lookup!$C$2:$C$1000),"")</f>
        <v>Equity</v>
      </c>
      <c r="D3483" s="8" t="str">
        <f>IFERROR(INDEX('nav master'!$C:$C, MATCH(B3483, 'nav master'!$B:$B, 0)), "")</f>
        <v>ULIF07114/07/23FlexiCapFd101</v>
      </c>
      <c r="E3483" s="8" t="s">
        <v>299</v>
      </c>
      <c r="F3483" s="8" t="s">
        <v>3739</v>
      </c>
    </row>
    <row r="3484" spans="1:6" ht="60" x14ac:dyDescent="0.25">
      <c r="A3484" s="8" t="s">
        <v>125</v>
      </c>
      <c r="B3484" s="8" t="s">
        <v>148</v>
      </c>
      <c r="C3484" s="8" t="str">
        <f>IFERROR(_xlfn.XLOOKUP(TRIM(B3484),Lookup!$B$2:$B$1000,Lookup!$C$2:$C$1000),"")</f>
        <v>Equity</v>
      </c>
      <c r="D3484" s="8" t="str">
        <f>IFERROR(INDEX('nav master'!$C:$C, MATCH(B3484, 'nav master'!$B:$B, 0)), "")</f>
        <v>ULIF07114/07/23FlexiCapFd101</v>
      </c>
      <c r="E3484" s="8" t="s">
        <v>301</v>
      </c>
      <c r="F3484" s="8" t="s">
        <v>3740</v>
      </c>
    </row>
    <row r="3485" spans="1:6" ht="60" x14ac:dyDescent="0.25">
      <c r="A3485" s="8" t="s">
        <v>125</v>
      </c>
      <c r="B3485" s="8" t="s">
        <v>148</v>
      </c>
      <c r="C3485" s="8" t="str">
        <f>IFERROR(_xlfn.XLOOKUP(TRIM(B3485),Lookup!$B$2:$B$1000,Lookup!$C$2:$C$1000),"")</f>
        <v>Equity</v>
      </c>
      <c r="D3485" s="8" t="str">
        <f>IFERROR(INDEX('nav master'!$C:$C, MATCH(B3485, 'nav master'!$B:$B, 0)), "")</f>
        <v>ULIF07114/07/23FlexiCapFd101</v>
      </c>
      <c r="E3485" s="8" t="s">
        <v>303</v>
      </c>
      <c r="F3485" s="8" t="s">
        <v>3741</v>
      </c>
    </row>
    <row r="3486" spans="1:6" ht="60" x14ac:dyDescent="0.25">
      <c r="A3486" s="8" t="s">
        <v>125</v>
      </c>
      <c r="B3486" s="8" t="s">
        <v>148</v>
      </c>
      <c r="C3486" s="8" t="str">
        <f>IFERROR(_xlfn.XLOOKUP(TRIM(B3486),Lookup!$B$2:$B$1000,Lookup!$C$2:$C$1000),"")</f>
        <v>Equity</v>
      </c>
      <c r="D3486" s="8" t="str">
        <f>IFERROR(INDEX('nav master'!$C:$C, MATCH(B3486, 'nav master'!$B:$B, 0)), "")</f>
        <v>ULIF07114/07/23FlexiCapFd101</v>
      </c>
      <c r="E3486" s="8" t="s">
        <v>305</v>
      </c>
      <c r="F3486" s="8" t="s">
        <v>3742</v>
      </c>
    </row>
    <row r="3487" spans="1:6" ht="60" x14ac:dyDescent="0.25">
      <c r="A3487" s="8" t="s">
        <v>125</v>
      </c>
      <c r="B3487" s="8" t="s">
        <v>148</v>
      </c>
      <c r="C3487" s="8" t="str">
        <f>IFERROR(_xlfn.XLOOKUP(TRIM(B3487),Lookup!$B$2:$B$1000,Lookup!$C$2:$C$1000),"")</f>
        <v>Equity</v>
      </c>
      <c r="D3487" s="8" t="str">
        <f>IFERROR(INDEX('nav master'!$C:$C, MATCH(B3487, 'nav master'!$B:$B, 0)), "")</f>
        <v>ULIF07114/07/23FlexiCapFd101</v>
      </c>
      <c r="E3487" s="8" t="s">
        <v>307</v>
      </c>
      <c r="F3487" s="8" t="s">
        <v>3743</v>
      </c>
    </row>
    <row r="3488" spans="1:6" ht="60" x14ac:dyDescent="0.25">
      <c r="A3488" s="8" t="s">
        <v>125</v>
      </c>
      <c r="B3488" s="8" t="s">
        <v>148</v>
      </c>
      <c r="C3488" s="8" t="str">
        <f>IFERROR(_xlfn.XLOOKUP(TRIM(B3488),Lookup!$B$2:$B$1000,Lookup!$C$2:$C$1000),"")</f>
        <v>Equity</v>
      </c>
      <c r="D3488" s="8" t="str">
        <f>IFERROR(INDEX('nav master'!$C:$C, MATCH(B3488, 'nav master'!$B:$B, 0)), "")</f>
        <v>ULIF07114/07/23FlexiCapFd101</v>
      </c>
      <c r="E3488" s="8" t="s">
        <v>309</v>
      </c>
      <c r="F3488" s="8" t="s">
        <v>3744</v>
      </c>
    </row>
    <row r="3489" spans="1:6" ht="60" x14ac:dyDescent="0.25">
      <c r="A3489" s="8" t="s">
        <v>125</v>
      </c>
      <c r="B3489" s="8" t="s">
        <v>148</v>
      </c>
      <c r="C3489" s="8" t="str">
        <f>IFERROR(_xlfn.XLOOKUP(TRIM(B3489),Lookup!$B$2:$B$1000,Lookup!$C$2:$C$1000),"")</f>
        <v>Equity</v>
      </c>
      <c r="D3489" s="8" t="str">
        <f>IFERROR(INDEX('nav master'!$C:$C, MATCH(B3489, 'nav master'!$B:$B, 0)), "")</f>
        <v>ULIF07114/07/23FlexiCapFd101</v>
      </c>
      <c r="E3489" s="8" t="s">
        <v>311</v>
      </c>
      <c r="F3489" s="8" t="s">
        <v>3745</v>
      </c>
    </row>
    <row r="3490" spans="1:6" ht="60" x14ac:dyDescent="0.25">
      <c r="A3490" s="8" t="s">
        <v>125</v>
      </c>
      <c r="B3490" s="8" t="s">
        <v>148</v>
      </c>
      <c r="C3490" s="8" t="str">
        <f>IFERROR(_xlfn.XLOOKUP(TRIM(B3490),Lookup!$B$2:$B$1000,Lookup!$C$2:$C$1000),"")</f>
        <v>Equity</v>
      </c>
      <c r="D3490" s="8" t="str">
        <f>IFERROR(INDEX('nav master'!$C:$C, MATCH(B3490, 'nav master'!$B:$B, 0)), "")</f>
        <v>ULIF07114/07/23FlexiCapFd101</v>
      </c>
      <c r="E3490" s="8" t="s">
        <v>313</v>
      </c>
      <c r="F3490" s="8" t="s">
        <v>3746</v>
      </c>
    </row>
    <row r="3491" spans="1:6" ht="60" x14ac:dyDescent="0.25">
      <c r="A3491" s="8" t="s">
        <v>125</v>
      </c>
      <c r="B3491" s="8" t="s">
        <v>148</v>
      </c>
      <c r="C3491" s="8" t="str">
        <f>IFERROR(_xlfn.XLOOKUP(TRIM(B3491),Lookup!$B$2:$B$1000,Lookup!$C$2:$C$1000),"")</f>
        <v>Equity</v>
      </c>
      <c r="D3491" s="8" t="str">
        <f>IFERROR(INDEX('nav master'!$C:$C, MATCH(B3491, 'nav master'!$B:$B, 0)), "")</f>
        <v>ULIF07114/07/23FlexiCapFd101</v>
      </c>
      <c r="E3491" s="8" t="s">
        <v>315</v>
      </c>
      <c r="F3491" s="8" t="s">
        <v>3747</v>
      </c>
    </row>
    <row r="3492" spans="1:6" ht="60" x14ac:dyDescent="0.25">
      <c r="A3492" s="8" t="s">
        <v>125</v>
      </c>
      <c r="B3492" s="8" t="s">
        <v>148</v>
      </c>
      <c r="C3492" s="8" t="str">
        <f>IFERROR(_xlfn.XLOOKUP(TRIM(B3492),Lookup!$B$2:$B$1000,Lookup!$C$2:$C$1000),"")</f>
        <v>Equity</v>
      </c>
      <c r="D3492" s="8" t="str">
        <f>IFERROR(INDEX('nav master'!$C:$C, MATCH(B3492, 'nav master'!$B:$B, 0)), "")</f>
        <v>ULIF07114/07/23FlexiCapFd101</v>
      </c>
      <c r="E3492" s="8" t="s">
        <v>317</v>
      </c>
      <c r="F3492" s="8" t="s">
        <v>3748</v>
      </c>
    </row>
    <row r="3493" spans="1:6" ht="60" x14ac:dyDescent="0.25">
      <c r="A3493" s="8" t="s">
        <v>125</v>
      </c>
      <c r="B3493" s="8" t="s">
        <v>148</v>
      </c>
      <c r="C3493" s="8" t="str">
        <f>IFERROR(_xlfn.XLOOKUP(TRIM(B3493),Lookup!$B$2:$B$1000,Lookup!$C$2:$C$1000),"")</f>
        <v>Equity</v>
      </c>
      <c r="D3493" s="8" t="str">
        <f>IFERROR(INDEX('nav master'!$C:$C, MATCH(B3493, 'nav master'!$B:$B, 0)), "")</f>
        <v>ULIF07114/07/23FlexiCapFd101</v>
      </c>
      <c r="E3493" s="8" t="s">
        <v>319</v>
      </c>
      <c r="F3493" s="8" t="s">
        <v>3749</v>
      </c>
    </row>
    <row r="3494" spans="1:6" ht="60" x14ac:dyDescent="0.25">
      <c r="A3494" s="8" t="s">
        <v>125</v>
      </c>
      <c r="B3494" s="8" t="s">
        <v>148</v>
      </c>
      <c r="C3494" s="8" t="str">
        <f>IFERROR(_xlfn.XLOOKUP(TRIM(B3494),Lookup!$B$2:$B$1000,Lookup!$C$2:$C$1000),"")</f>
        <v>Equity</v>
      </c>
      <c r="D3494" s="8" t="str">
        <f>IFERROR(INDEX('nav master'!$C:$C, MATCH(B3494, 'nav master'!$B:$B, 0)), "")</f>
        <v>ULIF07114/07/23FlexiCapFd101</v>
      </c>
      <c r="E3494" s="8" t="s">
        <v>321</v>
      </c>
      <c r="F3494" s="8" t="s">
        <v>3750</v>
      </c>
    </row>
    <row r="3495" spans="1:6" ht="60" x14ac:dyDescent="0.25">
      <c r="A3495" s="8" t="s">
        <v>125</v>
      </c>
      <c r="B3495" s="8" t="s">
        <v>148</v>
      </c>
      <c r="C3495" s="8" t="str">
        <f>IFERROR(_xlfn.XLOOKUP(TRIM(B3495),Lookup!$B$2:$B$1000,Lookup!$C$2:$C$1000),"")</f>
        <v>Equity</v>
      </c>
      <c r="D3495" s="8" t="str">
        <f>IFERROR(INDEX('nav master'!$C:$C, MATCH(B3495, 'nav master'!$B:$B, 0)), "")</f>
        <v>ULIF07114/07/23FlexiCapFd101</v>
      </c>
      <c r="E3495" s="8" t="s">
        <v>323</v>
      </c>
      <c r="F3495" s="8" t="s">
        <v>3751</v>
      </c>
    </row>
    <row r="3496" spans="1:6" ht="60" x14ac:dyDescent="0.25">
      <c r="A3496" s="8" t="s">
        <v>125</v>
      </c>
      <c r="B3496" s="8" t="s">
        <v>148</v>
      </c>
      <c r="C3496" s="8" t="str">
        <f>IFERROR(_xlfn.XLOOKUP(TRIM(B3496),Lookup!$B$2:$B$1000,Lookup!$C$2:$C$1000),"")</f>
        <v>Equity</v>
      </c>
      <c r="D3496" s="8" t="str">
        <f>IFERROR(INDEX('nav master'!$C:$C, MATCH(B3496, 'nav master'!$B:$B, 0)), "")</f>
        <v>ULIF07114/07/23FlexiCapFd101</v>
      </c>
      <c r="E3496" s="8" t="s">
        <v>325</v>
      </c>
      <c r="F3496" s="8" t="s">
        <v>3752</v>
      </c>
    </row>
    <row r="3497" spans="1:6" ht="60" x14ac:dyDescent="0.25">
      <c r="A3497" s="8" t="s">
        <v>125</v>
      </c>
      <c r="B3497" s="8" t="s">
        <v>148</v>
      </c>
      <c r="C3497" s="8" t="str">
        <f>IFERROR(_xlfn.XLOOKUP(TRIM(B3497),Lookup!$B$2:$B$1000,Lookup!$C$2:$C$1000),"")</f>
        <v>Equity</v>
      </c>
      <c r="D3497" s="8" t="str">
        <f>IFERROR(INDEX('nav master'!$C:$C, MATCH(B3497, 'nav master'!$B:$B, 0)), "")</f>
        <v>ULIF07114/07/23FlexiCapFd101</v>
      </c>
      <c r="E3497" s="8" t="s">
        <v>327</v>
      </c>
      <c r="F3497" s="8" t="s">
        <v>3753</v>
      </c>
    </row>
    <row r="3498" spans="1:6" ht="60" x14ac:dyDescent="0.25">
      <c r="A3498" s="8" t="s">
        <v>125</v>
      </c>
      <c r="B3498" s="8" t="s">
        <v>148</v>
      </c>
      <c r="C3498" s="8" t="str">
        <f>IFERROR(_xlfn.XLOOKUP(TRIM(B3498),Lookup!$B$2:$B$1000,Lookup!$C$2:$C$1000),"")</f>
        <v>Equity</v>
      </c>
      <c r="D3498" s="8" t="str">
        <f>IFERROR(INDEX('nav master'!$C:$C, MATCH(B3498, 'nav master'!$B:$B, 0)), "")</f>
        <v>ULIF07114/07/23FlexiCapFd101</v>
      </c>
      <c r="E3498" s="8" t="s">
        <v>329</v>
      </c>
      <c r="F3498" s="8" t="s">
        <v>3754</v>
      </c>
    </row>
    <row r="3499" spans="1:6" ht="60" x14ac:dyDescent="0.25">
      <c r="A3499" s="8" t="s">
        <v>125</v>
      </c>
      <c r="B3499" s="8" t="s">
        <v>148</v>
      </c>
      <c r="C3499" s="8" t="str">
        <f>IFERROR(_xlfn.XLOOKUP(TRIM(B3499),Lookup!$B$2:$B$1000,Lookup!$C$2:$C$1000),"")</f>
        <v>Equity</v>
      </c>
      <c r="D3499" s="8" t="str">
        <f>IFERROR(INDEX('nav master'!$C:$C, MATCH(B3499, 'nav master'!$B:$B, 0)), "")</f>
        <v>ULIF07114/07/23FlexiCapFd101</v>
      </c>
      <c r="E3499" s="8" t="s">
        <v>331</v>
      </c>
      <c r="F3499" s="8" t="s">
        <v>3755</v>
      </c>
    </row>
    <row r="3500" spans="1:6" ht="60" x14ac:dyDescent="0.25">
      <c r="A3500" s="8" t="s">
        <v>125</v>
      </c>
      <c r="B3500" s="8" t="s">
        <v>148</v>
      </c>
      <c r="C3500" s="8" t="str">
        <f>IFERROR(_xlfn.XLOOKUP(TRIM(B3500),Lookup!$B$2:$B$1000,Lookup!$C$2:$C$1000),"")</f>
        <v>Equity</v>
      </c>
      <c r="D3500" s="8" t="str">
        <f>IFERROR(INDEX('nav master'!$C:$C, MATCH(B3500, 'nav master'!$B:$B, 0)), "")</f>
        <v>ULIF07114/07/23FlexiCapFd101</v>
      </c>
      <c r="E3500" s="8" t="s">
        <v>333</v>
      </c>
      <c r="F3500" s="8" t="s">
        <v>3756</v>
      </c>
    </row>
    <row r="3501" spans="1:6" ht="60" x14ac:dyDescent="0.25">
      <c r="A3501" s="8" t="s">
        <v>125</v>
      </c>
      <c r="B3501" s="8" t="s">
        <v>148</v>
      </c>
      <c r="C3501" s="8" t="str">
        <f>IFERROR(_xlfn.XLOOKUP(TRIM(B3501),Lookup!$B$2:$B$1000,Lookup!$C$2:$C$1000),"")</f>
        <v>Equity</v>
      </c>
      <c r="D3501" s="8" t="str">
        <f>IFERROR(INDEX('nav master'!$C:$C, MATCH(B3501, 'nav master'!$B:$B, 0)), "")</f>
        <v>ULIF07114/07/23FlexiCapFd101</v>
      </c>
      <c r="E3501" s="8" t="s">
        <v>335</v>
      </c>
      <c r="F3501" s="8" t="s">
        <v>3757</v>
      </c>
    </row>
    <row r="3502" spans="1:6" ht="60" x14ac:dyDescent="0.25">
      <c r="A3502" s="8" t="s">
        <v>125</v>
      </c>
      <c r="B3502" s="8" t="s">
        <v>148</v>
      </c>
      <c r="C3502" s="8" t="str">
        <f>IFERROR(_xlfn.XLOOKUP(TRIM(B3502),Lookup!$B$2:$B$1000,Lookup!$C$2:$C$1000),"")</f>
        <v>Equity</v>
      </c>
      <c r="D3502" s="8" t="str">
        <f>IFERROR(INDEX('nav master'!$C:$C, MATCH(B3502, 'nav master'!$B:$B, 0)), "")</f>
        <v>ULIF07114/07/23FlexiCapFd101</v>
      </c>
      <c r="E3502" s="8" t="s">
        <v>337</v>
      </c>
      <c r="F3502" s="8" t="s">
        <v>3758</v>
      </c>
    </row>
    <row r="3503" spans="1:6" ht="60" x14ac:dyDescent="0.25">
      <c r="A3503" s="8" t="s">
        <v>125</v>
      </c>
      <c r="B3503" s="8" t="s">
        <v>148</v>
      </c>
      <c r="C3503" s="8" t="str">
        <f>IFERROR(_xlfn.XLOOKUP(TRIM(B3503),Lookup!$B$2:$B$1000,Lookup!$C$2:$C$1000),"")</f>
        <v>Equity</v>
      </c>
      <c r="D3503" s="8" t="str">
        <f>IFERROR(INDEX('nav master'!$C:$C, MATCH(B3503, 'nav master'!$B:$B, 0)), "")</f>
        <v>ULIF07114/07/23FlexiCapFd101</v>
      </c>
      <c r="E3503" s="8" t="s">
        <v>339</v>
      </c>
      <c r="F3503" s="8" t="s">
        <v>3759</v>
      </c>
    </row>
    <row r="3504" spans="1:6" ht="60" x14ac:dyDescent="0.25">
      <c r="A3504" s="8" t="s">
        <v>125</v>
      </c>
      <c r="B3504" s="8" t="s">
        <v>148</v>
      </c>
      <c r="C3504" s="8" t="str">
        <f>IFERROR(_xlfn.XLOOKUP(TRIM(B3504),Lookup!$B$2:$B$1000,Lookup!$C$2:$C$1000),"")</f>
        <v>Equity</v>
      </c>
      <c r="D3504" s="8" t="str">
        <f>IFERROR(INDEX('nav master'!$C:$C, MATCH(B3504, 'nav master'!$B:$B, 0)), "")</f>
        <v>ULIF07114/07/23FlexiCapFd101</v>
      </c>
      <c r="E3504" s="8" t="s">
        <v>341</v>
      </c>
      <c r="F3504" s="8" t="s">
        <v>3760</v>
      </c>
    </row>
    <row r="3505" spans="1:6" ht="60" x14ac:dyDescent="0.25">
      <c r="A3505" s="8" t="s">
        <v>125</v>
      </c>
      <c r="B3505" s="8" t="s">
        <v>148</v>
      </c>
      <c r="C3505" s="8" t="str">
        <f>IFERROR(_xlfn.XLOOKUP(TRIM(B3505),Lookup!$B$2:$B$1000,Lookup!$C$2:$C$1000),"")</f>
        <v>Equity</v>
      </c>
      <c r="D3505" s="8" t="str">
        <f>IFERROR(INDEX('nav master'!$C:$C, MATCH(B3505, 'nav master'!$B:$B, 0)), "")</f>
        <v>ULIF07114/07/23FlexiCapFd101</v>
      </c>
      <c r="E3505" s="8" t="s">
        <v>343</v>
      </c>
      <c r="F3505" s="8" t="s">
        <v>3761</v>
      </c>
    </row>
    <row r="3506" spans="1:6" ht="60" x14ac:dyDescent="0.25">
      <c r="A3506" s="8" t="s">
        <v>125</v>
      </c>
      <c r="B3506" s="8" t="s">
        <v>148</v>
      </c>
      <c r="C3506" s="8" t="str">
        <f>IFERROR(_xlfn.XLOOKUP(TRIM(B3506),Lookup!$B$2:$B$1000,Lookup!$C$2:$C$1000),"")</f>
        <v>Equity</v>
      </c>
      <c r="D3506" s="8" t="str">
        <f>IFERROR(INDEX('nav master'!$C:$C, MATCH(B3506, 'nav master'!$B:$B, 0)), "")</f>
        <v>ULIF07114/07/23FlexiCapFd101</v>
      </c>
      <c r="E3506" s="8" t="s">
        <v>345</v>
      </c>
      <c r="F3506" s="8" t="s">
        <v>3762</v>
      </c>
    </row>
    <row r="3507" spans="1:6" ht="60" x14ac:dyDescent="0.25">
      <c r="A3507" s="8" t="s">
        <v>125</v>
      </c>
      <c r="B3507" s="8" t="s">
        <v>148</v>
      </c>
      <c r="C3507" s="8" t="str">
        <f>IFERROR(_xlfn.XLOOKUP(TRIM(B3507),Lookup!$B$2:$B$1000,Lookup!$C$2:$C$1000),"")</f>
        <v>Equity</v>
      </c>
      <c r="D3507" s="8" t="str">
        <f>IFERROR(INDEX('nav master'!$C:$C, MATCH(B3507, 'nav master'!$B:$B, 0)), "")</f>
        <v>ULIF07114/07/23FlexiCapFd101</v>
      </c>
      <c r="E3507" s="8" t="s">
        <v>347</v>
      </c>
      <c r="F3507" s="8" t="s">
        <v>3763</v>
      </c>
    </row>
    <row r="3508" spans="1:6" ht="60" x14ac:dyDescent="0.25">
      <c r="A3508" s="8" t="s">
        <v>125</v>
      </c>
      <c r="B3508" s="8" t="s">
        <v>148</v>
      </c>
      <c r="C3508" s="8" t="str">
        <f>IFERROR(_xlfn.XLOOKUP(TRIM(B3508),Lookup!$B$2:$B$1000,Lookup!$C$2:$C$1000),"")</f>
        <v>Equity</v>
      </c>
      <c r="D3508" s="8" t="str">
        <f>IFERROR(INDEX('nav master'!$C:$C, MATCH(B3508, 'nav master'!$B:$B, 0)), "")</f>
        <v>ULIF07114/07/23FlexiCapFd101</v>
      </c>
      <c r="E3508" s="8" t="s">
        <v>349</v>
      </c>
      <c r="F3508" s="8" t="s">
        <v>3764</v>
      </c>
    </row>
    <row r="3509" spans="1:6" ht="60" x14ac:dyDescent="0.25">
      <c r="A3509" s="8" t="s">
        <v>125</v>
      </c>
      <c r="B3509" s="8" t="s">
        <v>148</v>
      </c>
      <c r="C3509" s="8" t="str">
        <f>IFERROR(_xlfn.XLOOKUP(TRIM(B3509),Lookup!$B$2:$B$1000,Lookup!$C$2:$C$1000),"")</f>
        <v>Equity</v>
      </c>
      <c r="D3509" s="8" t="str">
        <f>IFERROR(INDEX('nav master'!$C:$C, MATCH(B3509, 'nav master'!$B:$B, 0)), "")</f>
        <v>ULIF07114/07/23FlexiCapFd101</v>
      </c>
      <c r="E3509" s="8" t="s">
        <v>351</v>
      </c>
      <c r="F3509" s="8" t="s">
        <v>3765</v>
      </c>
    </row>
    <row r="3510" spans="1:6" ht="60" x14ac:dyDescent="0.25">
      <c r="A3510" s="8" t="s">
        <v>125</v>
      </c>
      <c r="B3510" s="8" t="s">
        <v>148</v>
      </c>
      <c r="C3510" s="8" t="str">
        <f>IFERROR(_xlfn.XLOOKUP(TRIM(B3510),Lookup!$B$2:$B$1000,Lookup!$C$2:$C$1000),"")</f>
        <v>Equity</v>
      </c>
      <c r="D3510" s="8" t="str">
        <f>IFERROR(INDEX('nav master'!$C:$C, MATCH(B3510, 'nav master'!$B:$B, 0)), "")</f>
        <v>ULIF07114/07/23FlexiCapFd101</v>
      </c>
      <c r="E3510" s="8" t="s">
        <v>353</v>
      </c>
      <c r="F3510" s="8" t="s">
        <v>3766</v>
      </c>
    </row>
    <row r="3511" spans="1:6" ht="60" x14ac:dyDescent="0.25">
      <c r="A3511" s="8" t="s">
        <v>125</v>
      </c>
      <c r="B3511" s="8" t="s">
        <v>148</v>
      </c>
      <c r="C3511" s="8" t="str">
        <f>IFERROR(_xlfn.XLOOKUP(TRIM(B3511),Lookup!$B$2:$B$1000,Lookup!$C$2:$C$1000),"")</f>
        <v>Equity</v>
      </c>
      <c r="D3511" s="8" t="str">
        <f>IFERROR(INDEX('nav master'!$C:$C, MATCH(B3511, 'nav master'!$B:$B, 0)), "")</f>
        <v>ULIF07114/07/23FlexiCapFd101</v>
      </c>
      <c r="E3511" s="8" t="s">
        <v>355</v>
      </c>
      <c r="F3511" s="8" t="s">
        <v>3767</v>
      </c>
    </row>
    <row r="3512" spans="1:6" ht="60" x14ac:dyDescent="0.25">
      <c r="A3512" s="8" t="s">
        <v>125</v>
      </c>
      <c r="B3512" s="8" t="s">
        <v>148</v>
      </c>
      <c r="C3512" s="8" t="str">
        <f>IFERROR(_xlfn.XLOOKUP(TRIM(B3512),Lookup!$B$2:$B$1000,Lookup!$C$2:$C$1000),"")</f>
        <v>Equity</v>
      </c>
      <c r="D3512" s="8" t="str">
        <f>IFERROR(INDEX('nav master'!$C:$C, MATCH(B3512, 'nav master'!$B:$B, 0)), "")</f>
        <v>ULIF07114/07/23FlexiCapFd101</v>
      </c>
      <c r="E3512" s="8" t="s">
        <v>357</v>
      </c>
      <c r="F3512" s="8" t="s">
        <v>3768</v>
      </c>
    </row>
    <row r="3513" spans="1:6" ht="60" x14ac:dyDescent="0.25">
      <c r="A3513" s="8" t="s">
        <v>125</v>
      </c>
      <c r="B3513" s="8" t="s">
        <v>148</v>
      </c>
      <c r="C3513" s="8" t="str">
        <f>IFERROR(_xlfn.XLOOKUP(TRIM(B3513),Lookup!$B$2:$B$1000,Lookup!$C$2:$C$1000),"")</f>
        <v>Equity</v>
      </c>
      <c r="D3513" s="8" t="str">
        <f>IFERROR(INDEX('nav master'!$C:$C, MATCH(B3513, 'nav master'!$B:$B, 0)), "")</f>
        <v>ULIF07114/07/23FlexiCapFd101</v>
      </c>
      <c r="E3513" s="8" t="s">
        <v>359</v>
      </c>
      <c r="F3513" s="8" t="s">
        <v>3769</v>
      </c>
    </row>
    <row r="3514" spans="1:6" ht="60" x14ac:dyDescent="0.25">
      <c r="A3514" s="8" t="s">
        <v>125</v>
      </c>
      <c r="B3514" s="8" t="s">
        <v>148</v>
      </c>
      <c r="C3514" s="8" t="str">
        <f>IFERROR(_xlfn.XLOOKUP(TRIM(B3514),Lookup!$B$2:$B$1000,Lookup!$C$2:$C$1000),"")</f>
        <v>Equity</v>
      </c>
      <c r="D3514" s="8" t="str">
        <f>IFERROR(INDEX('nav master'!$C:$C, MATCH(B3514, 'nav master'!$B:$B, 0)), "")</f>
        <v>ULIF07114/07/23FlexiCapFd101</v>
      </c>
      <c r="E3514" s="8" t="s">
        <v>361</v>
      </c>
      <c r="F3514" s="8" t="s">
        <v>3770</v>
      </c>
    </row>
    <row r="3515" spans="1:6" ht="60" x14ac:dyDescent="0.25">
      <c r="A3515" s="8" t="s">
        <v>125</v>
      </c>
      <c r="B3515" s="8" t="s">
        <v>148</v>
      </c>
      <c r="C3515" s="8" t="str">
        <f>IFERROR(_xlfn.XLOOKUP(TRIM(B3515),Lookup!$B$2:$B$1000,Lookup!$C$2:$C$1000),"")</f>
        <v>Equity</v>
      </c>
      <c r="D3515" s="8" t="str">
        <f>IFERROR(INDEX('nav master'!$C:$C, MATCH(B3515, 'nav master'!$B:$B, 0)), "")</f>
        <v>ULIF07114/07/23FlexiCapFd101</v>
      </c>
      <c r="E3515" s="8" t="s">
        <v>363</v>
      </c>
      <c r="F3515" s="8" t="s">
        <v>3771</v>
      </c>
    </row>
    <row r="3516" spans="1:6" ht="60" x14ac:dyDescent="0.25">
      <c r="A3516" s="8" t="s">
        <v>125</v>
      </c>
      <c r="B3516" s="8" t="s">
        <v>148</v>
      </c>
      <c r="C3516" s="8" t="str">
        <f>IFERROR(_xlfn.XLOOKUP(TRIM(B3516),Lookup!$B$2:$B$1000,Lookup!$C$2:$C$1000),"")</f>
        <v>Equity</v>
      </c>
      <c r="D3516" s="8" t="str">
        <f>IFERROR(INDEX('nav master'!$C:$C, MATCH(B3516, 'nav master'!$B:$B, 0)), "")</f>
        <v>ULIF07114/07/23FlexiCapFd101</v>
      </c>
      <c r="E3516" s="8" t="s">
        <v>365</v>
      </c>
      <c r="F3516" s="8" t="s">
        <v>3772</v>
      </c>
    </row>
    <row r="3517" spans="1:6" ht="60" x14ac:dyDescent="0.25">
      <c r="A3517" s="8" t="s">
        <v>125</v>
      </c>
      <c r="B3517" s="8" t="s">
        <v>148</v>
      </c>
      <c r="C3517" s="8" t="str">
        <f>IFERROR(_xlfn.XLOOKUP(TRIM(B3517),Lookup!$B$2:$B$1000,Lookup!$C$2:$C$1000),"")</f>
        <v>Equity</v>
      </c>
      <c r="D3517" s="8" t="str">
        <f>IFERROR(INDEX('nav master'!$C:$C, MATCH(B3517, 'nav master'!$B:$B, 0)), "")</f>
        <v>ULIF07114/07/23FlexiCapFd101</v>
      </c>
      <c r="E3517" s="8" t="s">
        <v>367</v>
      </c>
      <c r="F3517" s="8" t="s">
        <v>3773</v>
      </c>
    </row>
    <row r="3518" spans="1:6" ht="60" x14ac:dyDescent="0.25">
      <c r="A3518" s="8" t="s">
        <v>125</v>
      </c>
      <c r="B3518" s="8" t="s">
        <v>148</v>
      </c>
      <c r="C3518" s="8" t="str">
        <f>IFERROR(_xlfn.XLOOKUP(TRIM(B3518),Lookup!$B$2:$B$1000,Lookup!$C$2:$C$1000),"")</f>
        <v>Equity</v>
      </c>
      <c r="D3518" s="8" t="str">
        <f>IFERROR(INDEX('nav master'!$C:$C, MATCH(B3518, 'nav master'!$B:$B, 0)), "")</f>
        <v>ULIF07114/07/23FlexiCapFd101</v>
      </c>
      <c r="E3518" s="8" t="s">
        <v>369</v>
      </c>
      <c r="F3518" s="8" t="s">
        <v>3774</v>
      </c>
    </row>
    <row r="3519" spans="1:6" ht="60" x14ac:dyDescent="0.25">
      <c r="A3519" s="8" t="s">
        <v>125</v>
      </c>
      <c r="B3519" s="8" t="s">
        <v>148</v>
      </c>
      <c r="C3519" s="8" t="str">
        <f>IFERROR(_xlfn.XLOOKUP(TRIM(B3519),Lookup!$B$2:$B$1000,Lookup!$C$2:$C$1000),"")</f>
        <v>Equity</v>
      </c>
      <c r="D3519" s="8" t="str">
        <f>IFERROR(INDEX('nav master'!$C:$C, MATCH(B3519, 'nav master'!$B:$B, 0)), "")</f>
        <v>ULIF07114/07/23FlexiCapFd101</v>
      </c>
      <c r="E3519" s="8" t="s">
        <v>371</v>
      </c>
      <c r="F3519" s="8" t="s">
        <v>3775</v>
      </c>
    </row>
    <row r="3520" spans="1:6" ht="60" x14ac:dyDescent="0.25">
      <c r="A3520" s="8" t="s">
        <v>125</v>
      </c>
      <c r="B3520" s="8" t="s">
        <v>148</v>
      </c>
      <c r="C3520" s="8" t="str">
        <f>IFERROR(_xlfn.XLOOKUP(TRIM(B3520),Lookup!$B$2:$B$1000,Lookup!$C$2:$C$1000),"")</f>
        <v>Equity</v>
      </c>
      <c r="D3520" s="8" t="str">
        <f>IFERROR(INDEX('nav master'!$C:$C, MATCH(B3520, 'nav master'!$B:$B, 0)), "")</f>
        <v>ULIF07114/07/23FlexiCapFd101</v>
      </c>
      <c r="E3520" s="8" t="s">
        <v>373</v>
      </c>
      <c r="F3520" s="8" t="s">
        <v>3776</v>
      </c>
    </row>
    <row r="3521" spans="1:6" ht="60" x14ac:dyDescent="0.25">
      <c r="A3521" s="8" t="s">
        <v>125</v>
      </c>
      <c r="B3521" s="8" t="s">
        <v>148</v>
      </c>
      <c r="C3521" s="8" t="str">
        <f>IFERROR(_xlfn.XLOOKUP(TRIM(B3521),Lookup!$B$2:$B$1000,Lookup!$C$2:$C$1000),"")</f>
        <v>Equity</v>
      </c>
      <c r="D3521" s="8" t="str">
        <f>IFERROR(INDEX('nav master'!$C:$C, MATCH(B3521, 'nav master'!$B:$B, 0)), "")</f>
        <v>ULIF07114/07/23FlexiCapFd101</v>
      </c>
      <c r="E3521" s="8" t="s">
        <v>375</v>
      </c>
      <c r="F3521" s="8" t="s">
        <v>3777</v>
      </c>
    </row>
    <row r="3522" spans="1:6" ht="60" x14ac:dyDescent="0.25">
      <c r="A3522" s="8" t="s">
        <v>125</v>
      </c>
      <c r="B3522" s="8" t="s">
        <v>148</v>
      </c>
      <c r="C3522" s="8" t="str">
        <f>IFERROR(_xlfn.XLOOKUP(TRIM(B3522),Lookup!$B$2:$B$1000,Lookup!$C$2:$C$1000),"")</f>
        <v>Equity</v>
      </c>
      <c r="D3522" s="8" t="str">
        <f>IFERROR(INDEX('nav master'!$C:$C, MATCH(B3522, 'nav master'!$B:$B, 0)), "")</f>
        <v>ULIF07114/07/23FlexiCapFd101</v>
      </c>
      <c r="E3522" s="8" t="s">
        <v>377</v>
      </c>
      <c r="F3522" s="8" t="s">
        <v>3778</v>
      </c>
    </row>
    <row r="3523" spans="1:6" ht="60" x14ac:dyDescent="0.25">
      <c r="A3523" s="8" t="s">
        <v>125</v>
      </c>
      <c r="B3523" s="8" t="s">
        <v>148</v>
      </c>
      <c r="C3523" s="8" t="str">
        <f>IFERROR(_xlfn.XLOOKUP(TRIM(B3523),Lookup!$B$2:$B$1000,Lookup!$C$2:$C$1000),"")</f>
        <v>Equity</v>
      </c>
      <c r="D3523" s="8" t="str">
        <f>IFERROR(INDEX('nav master'!$C:$C, MATCH(B3523, 'nav master'!$B:$B, 0)), "")</f>
        <v>ULIF07114/07/23FlexiCapFd101</v>
      </c>
      <c r="E3523" s="8" t="s">
        <v>379</v>
      </c>
      <c r="F3523" s="8" t="s">
        <v>3779</v>
      </c>
    </row>
    <row r="3524" spans="1:6" ht="60" x14ac:dyDescent="0.25">
      <c r="A3524" s="8" t="s">
        <v>125</v>
      </c>
      <c r="B3524" s="8" t="s">
        <v>148</v>
      </c>
      <c r="C3524" s="8" t="str">
        <f>IFERROR(_xlfn.XLOOKUP(TRIM(B3524),Lookup!$B$2:$B$1000,Lookup!$C$2:$C$1000),"")</f>
        <v>Equity</v>
      </c>
      <c r="D3524" s="8" t="str">
        <f>IFERROR(INDEX('nav master'!$C:$C, MATCH(B3524, 'nav master'!$B:$B, 0)), "")</f>
        <v>ULIF07114/07/23FlexiCapFd101</v>
      </c>
      <c r="E3524" s="8" t="s">
        <v>381</v>
      </c>
      <c r="F3524" s="8" t="s">
        <v>3780</v>
      </c>
    </row>
    <row r="3525" spans="1:6" ht="60" x14ac:dyDescent="0.25">
      <c r="A3525" s="8" t="s">
        <v>125</v>
      </c>
      <c r="B3525" s="8" t="s">
        <v>148</v>
      </c>
      <c r="C3525" s="8" t="str">
        <f>IFERROR(_xlfn.XLOOKUP(TRIM(B3525),Lookup!$B$2:$B$1000,Lookup!$C$2:$C$1000),"")</f>
        <v>Equity</v>
      </c>
      <c r="D3525" s="8" t="str">
        <f>IFERROR(INDEX('nav master'!$C:$C, MATCH(B3525, 'nav master'!$B:$B, 0)), "")</f>
        <v>ULIF07114/07/23FlexiCapFd101</v>
      </c>
      <c r="E3525" s="8" t="s">
        <v>383</v>
      </c>
      <c r="F3525" s="8" t="s">
        <v>3781</v>
      </c>
    </row>
    <row r="3526" spans="1:6" ht="60" x14ac:dyDescent="0.25">
      <c r="A3526" s="8" t="s">
        <v>125</v>
      </c>
      <c r="B3526" s="8" t="s">
        <v>148</v>
      </c>
      <c r="C3526" s="8" t="str">
        <f>IFERROR(_xlfn.XLOOKUP(TRIM(B3526),Lookup!$B$2:$B$1000,Lookup!$C$2:$C$1000),"")</f>
        <v>Equity</v>
      </c>
      <c r="D3526" s="8" t="str">
        <f>IFERROR(INDEX('nav master'!$C:$C, MATCH(B3526, 'nav master'!$B:$B, 0)), "")</f>
        <v>ULIF07114/07/23FlexiCapFd101</v>
      </c>
      <c r="E3526" s="8" t="s">
        <v>385</v>
      </c>
      <c r="F3526" s="8" t="s">
        <v>3782</v>
      </c>
    </row>
    <row r="3527" spans="1:6" ht="60" x14ac:dyDescent="0.25">
      <c r="A3527" s="8" t="s">
        <v>125</v>
      </c>
      <c r="B3527" s="8" t="s">
        <v>148</v>
      </c>
      <c r="C3527" s="8" t="str">
        <f>IFERROR(_xlfn.XLOOKUP(TRIM(B3527),Lookup!$B$2:$B$1000,Lookup!$C$2:$C$1000),"")</f>
        <v>Equity</v>
      </c>
      <c r="D3527" s="8" t="str">
        <f>IFERROR(INDEX('nav master'!$C:$C, MATCH(B3527, 'nav master'!$B:$B, 0)), "")</f>
        <v>ULIF07114/07/23FlexiCapFd101</v>
      </c>
      <c r="E3527" s="8" t="s">
        <v>387</v>
      </c>
      <c r="F3527" s="8" t="s">
        <v>3783</v>
      </c>
    </row>
    <row r="3528" spans="1:6" ht="60" x14ac:dyDescent="0.25">
      <c r="A3528" s="8" t="s">
        <v>125</v>
      </c>
      <c r="B3528" s="8" t="s">
        <v>148</v>
      </c>
      <c r="C3528" s="8" t="str">
        <f>IFERROR(_xlfn.XLOOKUP(TRIM(B3528),Lookup!$B$2:$B$1000,Lookup!$C$2:$C$1000),"")</f>
        <v>Equity</v>
      </c>
      <c r="D3528" s="8" t="str">
        <f>IFERROR(INDEX('nav master'!$C:$C, MATCH(B3528, 'nav master'!$B:$B, 0)), "")</f>
        <v>ULIF07114/07/23FlexiCapFd101</v>
      </c>
      <c r="E3528" s="8" t="s">
        <v>389</v>
      </c>
      <c r="F3528" s="8" t="s">
        <v>3784</v>
      </c>
    </row>
    <row r="3529" spans="1:6" ht="60" x14ac:dyDescent="0.25">
      <c r="A3529" s="8" t="s">
        <v>125</v>
      </c>
      <c r="B3529" s="8" t="s">
        <v>148</v>
      </c>
      <c r="C3529" s="8" t="str">
        <f>IFERROR(_xlfn.XLOOKUP(TRIM(B3529),Lookup!$B$2:$B$1000,Lookup!$C$2:$C$1000),"")</f>
        <v>Equity</v>
      </c>
      <c r="D3529" s="8" t="str">
        <f>IFERROR(INDEX('nav master'!$C:$C, MATCH(B3529, 'nav master'!$B:$B, 0)), "")</f>
        <v>ULIF07114/07/23FlexiCapFd101</v>
      </c>
      <c r="E3529" s="8" t="s">
        <v>391</v>
      </c>
      <c r="F3529" s="8" t="s">
        <v>3785</v>
      </c>
    </row>
    <row r="3530" spans="1:6" ht="60" x14ac:dyDescent="0.25">
      <c r="A3530" s="8" t="s">
        <v>125</v>
      </c>
      <c r="B3530" s="8" t="s">
        <v>148</v>
      </c>
      <c r="C3530" s="8" t="str">
        <f>IFERROR(_xlfn.XLOOKUP(TRIM(B3530),Lookup!$B$2:$B$1000,Lookup!$C$2:$C$1000),"")</f>
        <v>Equity</v>
      </c>
      <c r="D3530" s="8" t="str">
        <f>IFERROR(INDEX('nav master'!$C:$C, MATCH(B3530, 'nav master'!$B:$B, 0)), "")</f>
        <v>ULIF07114/07/23FlexiCapFd101</v>
      </c>
      <c r="E3530" s="8" t="s">
        <v>393</v>
      </c>
      <c r="F3530" s="8" t="s">
        <v>3786</v>
      </c>
    </row>
    <row r="3531" spans="1:6" ht="60" x14ac:dyDescent="0.25">
      <c r="A3531" s="8" t="s">
        <v>125</v>
      </c>
      <c r="B3531" s="8" t="s">
        <v>148</v>
      </c>
      <c r="C3531" s="8" t="str">
        <f>IFERROR(_xlfn.XLOOKUP(TRIM(B3531),Lookup!$B$2:$B$1000,Lookup!$C$2:$C$1000),"")</f>
        <v>Equity</v>
      </c>
      <c r="D3531" s="8" t="str">
        <f>IFERROR(INDEX('nav master'!$C:$C, MATCH(B3531, 'nav master'!$B:$B, 0)), "")</f>
        <v>ULIF07114/07/23FlexiCapFd101</v>
      </c>
      <c r="E3531" s="8" t="s">
        <v>395</v>
      </c>
      <c r="F3531" s="8" t="s">
        <v>3787</v>
      </c>
    </row>
    <row r="3532" spans="1:6" ht="60" x14ac:dyDescent="0.25">
      <c r="A3532" s="8" t="s">
        <v>125</v>
      </c>
      <c r="B3532" s="8" t="s">
        <v>148</v>
      </c>
      <c r="C3532" s="8" t="str">
        <f>IFERROR(_xlfn.XLOOKUP(TRIM(B3532),Lookup!$B$2:$B$1000,Lookup!$C$2:$C$1000),"")</f>
        <v>Equity</v>
      </c>
      <c r="D3532" s="8" t="str">
        <f>IFERROR(INDEX('nav master'!$C:$C, MATCH(B3532, 'nav master'!$B:$B, 0)), "")</f>
        <v>ULIF07114/07/23FlexiCapFd101</v>
      </c>
      <c r="E3532" s="8" t="s">
        <v>397</v>
      </c>
      <c r="F3532" s="8" t="s">
        <v>3788</v>
      </c>
    </row>
    <row r="3533" spans="1:6" ht="60" x14ac:dyDescent="0.25">
      <c r="A3533" s="8" t="s">
        <v>125</v>
      </c>
      <c r="B3533" s="8" t="s">
        <v>148</v>
      </c>
      <c r="C3533" s="8" t="str">
        <f>IFERROR(_xlfn.XLOOKUP(TRIM(B3533),Lookup!$B$2:$B$1000,Lookup!$C$2:$C$1000),"")</f>
        <v>Equity</v>
      </c>
      <c r="D3533" s="8" t="str">
        <f>IFERROR(INDEX('nav master'!$C:$C, MATCH(B3533, 'nav master'!$B:$B, 0)), "")</f>
        <v>ULIF07114/07/23FlexiCapFd101</v>
      </c>
      <c r="E3533" s="8" t="s">
        <v>399</v>
      </c>
      <c r="F3533" s="8" t="s">
        <v>3789</v>
      </c>
    </row>
    <row r="3534" spans="1:6" ht="60" x14ac:dyDescent="0.25">
      <c r="A3534" s="8" t="s">
        <v>125</v>
      </c>
      <c r="B3534" s="8" t="s">
        <v>148</v>
      </c>
      <c r="C3534" s="8" t="str">
        <f>IFERROR(_xlfn.XLOOKUP(TRIM(B3534),Lookup!$B$2:$B$1000,Lookup!$C$2:$C$1000),"")</f>
        <v>Equity</v>
      </c>
      <c r="D3534" s="8" t="str">
        <f>IFERROR(INDEX('nav master'!$C:$C, MATCH(B3534, 'nav master'!$B:$B, 0)), "")</f>
        <v>ULIF07114/07/23FlexiCapFd101</v>
      </c>
      <c r="E3534" s="8" t="s">
        <v>401</v>
      </c>
      <c r="F3534" s="8" t="s">
        <v>3790</v>
      </c>
    </row>
    <row r="3535" spans="1:6" ht="60" x14ac:dyDescent="0.25">
      <c r="A3535" s="8" t="s">
        <v>125</v>
      </c>
      <c r="B3535" s="8" t="s">
        <v>148</v>
      </c>
      <c r="C3535" s="8" t="str">
        <f>IFERROR(_xlfn.XLOOKUP(TRIM(B3535),Lookup!$B$2:$B$1000,Lookup!$C$2:$C$1000),"")</f>
        <v>Equity</v>
      </c>
      <c r="D3535" s="8" t="str">
        <f>IFERROR(INDEX('nav master'!$C:$C, MATCH(B3535, 'nav master'!$B:$B, 0)), "")</f>
        <v>ULIF07114/07/23FlexiCapFd101</v>
      </c>
      <c r="E3535" s="8" t="s">
        <v>403</v>
      </c>
      <c r="F3535" s="8" t="s">
        <v>3791</v>
      </c>
    </row>
    <row r="3536" spans="1:6" ht="60" x14ac:dyDescent="0.25">
      <c r="A3536" s="8" t="s">
        <v>125</v>
      </c>
      <c r="B3536" s="8" t="s">
        <v>148</v>
      </c>
      <c r="C3536" s="8" t="str">
        <f>IFERROR(_xlfn.XLOOKUP(TRIM(B3536),Lookup!$B$2:$B$1000,Lookup!$C$2:$C$1000),"")</f>
        <v>Equity</v>
      </c>
      <c r="D3536" s="8" t="str">
        <f>IFERROR(INDEX('nav master'!$C:$C, MATCH(B3536, 'nav master'!$B:$B, 0)), "")</f>
        <v>ULIF07114/07/23FlexiCapFd101</v>
      </c>
      <c r="E3536" s="8" t="s">
        <v>405</v>
      </c>
      <c r="F3536" s="8" t="s">
        <v>3761</v>
      </c>
    </row>
    <row r="3537" spans="1:6" ht="60" x14ac:dyDescent="0.25">
      <c r="A3537" s="8" t="s">
        <v>125</v>
      </c>
      <c r="B3537" s="8" t="s">
        <v>148</v>
      </c>
      <c r="C3537" s="8" t="str">
        <f>IFERROR(_xlfn.XLOOKUP(TRIM(B3537),Lookup!$B$2:$B$1000,Lookup!$C$2:$C$1000),"")</f>
        <v>Equity</v>
      </c>
      <c r="D3537" s="8" t="str">
        <f>IFERROR(INDEX('nav master'!$C:$C, MATCH(B3537, 'nav master'!$B:$B, 0)), "")</f>
        <v>ULIF07114/07/23FlexiCapFd101</v>
      </c>
      <c r="E3537" s="8" t="s">
        <v>407</v>
      </c>
      <c r="F3537" s="8" t="s">
        <v>3792</v>
      </c>
    </row>
    <row r="3538" spans="1:6" ht="60" x14ac:dyDescent="0.25">
      <c r="A3538" s="8" t="s">
        <v>125</v>
      </c>
      <c r="B3538" s="8" t="s">
        <v>148</v>
      </c>
      <c r="C3538" s="8" t="str">
        <f>IFERROR(_xlfn.XLOOKUP(TRIM(B3538),Lookup!$B$2:$B$1000,Lookup!$C$2:$C$1000),"")</f>
        <v>Equity</v>
      </c>
      <c r="D3538" s="8" t="str">
        <f>IFERROR(INDEX('nav master'!$C:$C, MATCH(B3538, 'nav master'!$B:$B, 0)), "")</f>
        <v>ULIF07114/07/23FlexiCapFd101</v>
      </c>
      <c r="E3538" s="8" t="s">
        <v>409</v>
      </c>
      <c r="F3538" s="8" t="s">
        <v>3793</v>
      </c>
    </row>
    <row r="3539" spans="1:6" ht="60" x14ac:dyDescent="0.25">
      <c r="A3539" s="8" t="s">
        <v>125</v>
      </c>
      <c r="B3539" s="8" t="s">
        <v>148</v>
      </c>
      <c r="C3539" s="8" t="str">
        <f>IFERROR(_xlfn.XLOOKUP(TRIM(B3539),Lookup!$B$2:$B$1000,Lookup!$C$2:$C$1000),"")</f>
        <v>Equity</v>
      </c>
      <c r="D3539" s="8" t="str">
        <f>IFERROR(INDEX('nav master'!$C:$C, MATCH(B3539, 'nav master'!$B:$B, 0)), "")</f>
        <v>ULIF07114/07/23FlexiCapFd101</v>
      </c>
      <c r="E3539" s="8" t="s">
        <v>411</v>
      </c>
      <c r="F3539" s="8" t="s">
        <v>3794</v>
      </c>
    </row>
    <row r="3540" spans="1:6" ht="60" x14ac:dyDescent="0.25">
      <c r="A3540" s="8" t="s">
        <v>125</v>
      </c>
      <c r="B3540" s="8" t="s">
        <v>148</v>
      </c>
      <c r="C3540" s="8" t="str">
        <f>IFERROR(_xlfn.XLOOKUP(TRIM(B3540),Lookup!$B$2:$B$1000,Lookup!$C$2:$C$1000),"")</f>
        <v>Equity</v>
      </c>
      <c r="D3540" s="8" t="str">
        <f>IFERROR(INDEX('nav master'!$C:$C, MATCH(B3540, 'nav master'!$B:$B, 0)), "")</f>
        <v>ULIF07114/07/23FlexiCapFd101</v>
      </c>
      <c r="E3540" s="8" t="s">
        <v>413</v>
      </c>
      <c r="F3540" s="8" t="s">
        <v>3795</v>
      </c>
    </row>
    <row r="3541" spans="1:6" ht="60" x14ac:dyDescent="0.25">
      <c r="A3541" s="8" t="s">
        <v>125</v>
      </c>
      <c r="B3541" s="8" t="s">
        <v>148</v>
      </c>
      <c r="C3541" s="8" t="str">
        <f>IFERROR(_xlfn.XLOOKUP(TRIM(B3541),Lookup!$B$2:$B$1000,Lookup!$C$2:$C$1000),"")</f>
        <v>Equity</v>
      </c>
      <c r="D3541" s="8" t="str">
        <f>IFERROR(INDEX('nav master'!$C:$C, MATCH(B3541, 'nav master'!$B:$B, 0)), "")</f>
        <v>ULIF07114/07/23FlexiCapFd101</v>
      </c>
      <c r="E3541" s="8" t="s">
        <v>415</v>
      </c>
      <c r="F3541" s="8" t="s">
        <v>3796</v>
      </c>
    </row>
    <row r="3542" spans="1:6" ht="60" x14ac:dyDescent="0.25">
      <c r="A3542" s="8" t="s">
        <v>125</v>
      </c>
      <c r="B3542" s="8" t="s">
        <v>148</v>
      </c>
      <c r="C3542" s="8" t="str">
        <f>IFERROR(_xlfn.XLOOKUP(TRIM(B3542),Lookup!$B$2:$B$1000,Lookup!$C$2:$C$1000),"")</f>
        <v>Equity</v>
      </c>
      <c r="D3542" s="8" t="str">
        <f>IFERROR(INDEX('nav master'!$C:$C, MATCH(B3542, 'nav master'!$B:$B, 0)), "")</f>
        <v>ULIF07114/07/23FlexiCapFd101</v>
      </c>
      <c r="E3542" s="8" t="s">
        <v>417</v>
      </c>
      <c r="F3542" s="8" t="s">
        <v>3797</v>
      </c>
    </row>
    <row r="3543" spans="1:6" ht="60" x14ac:dyDescent="0.25">
      <c r="A3543" s="8" t="s">
        <v>125</v>
      </c>
      <c r="B3543" s="8" t="s">
        <v>148</v>
      </c>
      <c r="C3543" s="8" t="str">
        <f>IFERROR(_xlfn.XLOOKUP(TRIM(B3543),Lookup!$B$2:$B$1000,Lookup!$C$2:$C$1000),"")</f>
        <v>Equity</v>
      </c>
      <c r="D3543" s="8" t="str">
        <f>IFERROR(INDEX('nav master'!$C:$C, MATCH(B3543, 'nav master'!$B:$B, 0)), "")</f>
        <v>ULIF07114/07/23FlexiCapFd101</v>
      </c>
      <c r="E3543" s="8" t="s">
        <v>419</v>
      </c>
      <c r="F3543" s="8" t="s">
        <v>3798</v>
      </c>
    </row>
    <row r="3544" spans="1:6" ht="60" x14ac:dyDescent="0.25">
      <c r="A3544" s="8" t="s">
        <v>125</v>
      </c>
      <c r="B3544" s="8" t="s">
        <v>148</v>
      </c>
      <c r="C3544" s="8" t="str">
        <f>IFERROR(_xlfn.XLOOKUP(TRIM(B3544),Lookup!$B$2:$B$1000,Lookup!$C$2:$C$1000),"")</f>
        <v>Equity</v>
      </c>
      <c r="D3544" s="8" t="str">
        <f>IFERROR(INDEX('nav master'!$C:$C, MATCH(B3544, 'nav master'!$B:$B, 0)), "")</f>
        <v>ULIF07114/07/23FlexiCapFd101</v>
      </c>
      <c r="E3544" s="8" t="s">
        <v>421</v>
      </c>
      <c r="F3544" s="8" t="s">
        <v>3799</v>
      </c>
    </row>
    <row r="3545" spans="1:6" ht="60" x14ac:dyDescent="0.25">
      <c r="A3545" s="8" t="s">
        <v>125</v>
      </c>
      <c r="B3545" s="8" t="s">
        <v>148</v>
      </c>
      <c r="C3545" s="8" t="str">
        <f>IFERROR(_xlfn.XLOOKUP(TRIM(B3545),Lookup!$B$2:$B$1000,Lookup!$C$2:$C$1000),"")</f>
        <v>Equity</v>
      </c>
      <c r="D3545" s="8" t="str">
        <f>IFERROR(INDEX('nav master'!$C:$C, MATCH(B3545, 'nav master'!$B:$B, 0)), "")</f>
        <v>ULIF07114/07/23FlexiCapFd101</v>
      </c>
      <c r="E3545" s="8" t="s">
        <v>423</v>
      </c>
      <c r="F3545" s="8" t="s">
        <v>3800</v>
      </c>
    </row>
    <row r="3546" spans="1:6" ht="60" x14ac:dyDescent="0.25">
      <c r="A3546" s="8" t="s">
        <v>125</v>
      </c>
      <c r="B3546" s="8" t="s">
        <v>148</v>
      </c>
      <c r="C3546" s="8" t="str">
        <f>IFERROR(_xlfn.XLOOKUP(TRIM(B3546),Lookup!$B$2:$B$1000,Lookup!$C$2:$C$1000),"")</f>
        <v>Equity</v>
      </c>
      <c r="D3546" s="8" t="str">
        <f>IFERROR(INDEX('nav master'!$C:$C, MATCH(B3546, 'nav master'!$B:$B, 0)), "")</f>
        <v>ULIF07114/07/23FlexiCapFd101</v>
      </c>
      <c r="E3546" s="8" t="s">
        <v>425</v>
      </c>
      <c r="F3546" s="8" t="s">
        <v>3801</v>
      </c>
    </row>
    <row r="3547" spans="1:6" ht="60" x14ac:dyDescent="0.25">
      <c r="A3547" s="8" t="s">
        <v>125</v>
      </c>
      <c r="B3547" s="8" t="s">
        <v>148</v>
      </c>
      <c r="C3547" s="8" t="str">
        <f>IFERROR(_xlfn.XLOOKUP(TRIM(B3547),Lookup!$B$2:$B$1000,Lookup!$C$2:$C$1000),"")</f>
        <v>Equity</v>
      </c>
      <c r="D3547" s="8" t="str">
        <f>IFERROR(INDEX('nav master'!$C:$C, MATCH(B3547, 'nav master'!$B:$B, 0)), "")</f>
        <v>ULIF07114/07/23FlexiCapFd101</v>
      </c>
      <c r="E3547" s="8" t="s">
        <v>427</v>
      </c>
      <c r="F3547" s="8" t="s">
        <v>3802</v>
      </c>
    </row>
    <row r="3548" spans="1:6" ht="60" x14ac:dyDescent="0.25">
      <c r="A3548" s="8" t="s">
        <v>125</v>
      </c>
      <c r="B3548" s="8" t="s">
        <v>148</v>
      </c>
      <c r="C3548" s="8" t="str">
        <f>IFERROR(_xlfn.XLOOKUP(TRIM(B3548),Lookup!$B$2:$B$1000,Lookup!$C$2:$C$1000),"")</f>
        <v>Equity</v>
      </c>
      <c r="D3548" s="8" t="str">
        <f>IFERROR(INDEX('nav master'!$C:$C, MATCH(B3548, 'nav master'!$B:$B, 0)), "")</f>
        <v>ULIF07114/07/23FlexiCapFd101</v>
      </c>
      <c r="E3548" s="8" t="s">
        <v>429</v>
      </c>
      <c r="F3548" s="8" t="s">
        <v>3803</v>
      </c>
    </row>
    <row r="3549" spans="1:6" ht="60" x14ac:dyDescent="0.25">
      <c r="A3549" s="8" t="s">
        <v>125</v>
      </c>
      <c r="B3549" s="8" t="s">
        <v>148</v>
      </c>
      <c r="C3549" s="8" t="str">
        <f>IFERROR(_xlfn.XLOOKUP(TRIM(B3549),Lookup!$B$2:$B$1000,Lookup!$C$2:$C$1000),"")</f>
        <v>Equity</v>
      </c>
      <c r="D3549" s="8" t="str">
        <f>IFERROR(INDEX('nav master'!$C:$C, MATCH(B3549, 'nav master'!$B:$B, 0)), "")</f>
        <v>ULIF07114/07/23FlexiCapFd101</v>
      </c>
      <c r="E3549" s="8" t="s">
        <v>431</v>
      </c>
      <c r="F3549" s="8" t="s">
        <v>3804</v>
      </c>
    </row>
    <row r="3550" spans="1:6" ht="60" x14ac:dyDescent="0.25">
      <c r="A3550" s="8" t="s">
        <v>125</v>
      </c>
      <c r="B3550" s="8" t="s">
        <v>148</v>
      </c>
      <c r="C3550" s="8" t="str">
        <f>IFERROR(_xlfn.XLOOKUP(TRIM(B3550),Lookup!$B$2:$B$1000,Lookup!$C$2:$C$1000),"")</f>
        <v>Equity</v>
      </c>
      <c r="D3550" s="8" t="str">
        <f>IFERROR(INDEX('nav master'!$C:$C, MATCH(B3550, 'nav master'!$B:$B, 0)), "")</f>
        <v>ULIF07114/07/23FlexiCapFd101</v>
      </c>
      <c r="E3550" s="8" t="s">
        <v>433</v>
      </c>
      <c r="F3550" s="8" t="s">
        <v>3805</v>
      </c>
    </row>
    <row r="3551" spans="1:6" ht="60" x14ac:dyDescent="0.25">
      <c r="A3551" s="8" t="s">
        <v>125</v>
      </c>
      <c r="B3551" s="8" t="s">
        <v>148</v>
      </c>
      <c r="C3551" s="8" t="str">
        <f>IFERROR(_xlfn.XLOOKUP(TRIM(B3551),Lookup!$B$2:$B$1000,Lookup!$C$2:$C$1000),"")</f>
        <v>Equity</v>
      </c>
      <c r="D3551" s="8" t="str">
        <f>IFERROR(INDEX('nav master'!$C:$C, MATCH(B3551, 'nav master'!$B:$B, 0)), "")</f>
        <v>ULIF07114/07/23FlexiCapFd101</v>
      </c>
      <c r="E3551" s="8" t="s">
        <v>435</v>
      </c>
      <c r="F3551" s="8" t="s">
        <v>3806</v>
      </c>
    </row>
    <row r="3552" spans="1:6" ht="60" x14ac:dyDescent="0.25">
      <c r="A3552" s="8" t="s">
        <v>125</v>
      </c>
      <c r="B3552" s="8" t="s">
        <v>148</v>
      </c>
      <c r="C3552" s="8" t="str">
        <f>IFERROR(_xlfn.XLOOKUP(TRIM(B3552),Lookup!$B$2:$B$1000,Lookup!$C$2:$C$1000),"")</f>
        <v>Equity</v>
      </c>
      <c r="D3552" s="8" t="str">
        <f>IFERROR(INDEX('nav master'!$C:$C, MATCH(B3552, 'nav master'!$B:$B, 0)), "")</f>
        <v>ULIF07114/07/23FlexiCapFd101</v>
      </c>
      <c r="E3552" s="8" t="s">
        <v>437</v>
      </c>
      <c r="F3552" s="8" t="s">
        <v>3807</v>
      </c>
    </row>
    <row r="3553" spans="1:6" ht="60" x14ac:dyDescent="0.25">
      <c r="A3553" s="8" t="s">
        <v>125</v>
      </c>
      <c r="B3553" s="8" t="s">
        <v>148</v>
      </c>
      <c r="C3553" s="8" t="str">
        <f>IFERROR(_xlfn.XLOOKUP(TRIM(B3553),Lookup!$B$2:$B$1000,Lookup!$C$2:$C$1000),"")</f>
        <v>Equity</v>
      </c>
      <c r="D3553" s="8" t="str">
        <f>IFERROR(INDEX('nav master'!$C:$C, MATCH(B3553, 'nav master'!$B:$B, 0)), "")</f>
        <v>ULIF07114/07/23FlexiCapFd101</v>
      </c>
      <c r="E3553" s="8" t="s">
        <v>439</v>
      </c>
      <c r="F3553" s="8" t="s">
        <v>3808</v>
      </c>
    </row>
    <row r="3554" spans="1:6" ht="60" x14ac:dyDescent="0.25">
      <c r="A3554" s="8" t="s">
        <v>125</v>
      </c>
      <c r="B3554" s="8" t="s">
        <v>148</v>
      </c>
      <c r="C3554" s="8" t="str">
        <f>IFERROR(_xlfn.XLOOKUP(TRIM(B3554),Lookup!$B$2:$B$1000,Lookup!$C$2:$C$1000),"")</f>
        <v>Equity</v>
      </c>
      <c r="D3554" s="8" t="str">
        <f>IFERROR(INDEX('nav master'!$C:$C, MATCH(B3554, 'nav master'!$B:$B, 0)), "")</f>
        <v>ULIF07114/07/23FlexiCapFd101</v>
      </c>
      <c r="E3554" s="8" t="s">
        <v>441</v>
      </c>
      <c r="F3554" s="8" t="s">
        <v>3809</v>
      </c>
    </row>
    <row r="3555" spans="1:6" ht="60" x14ac:dyDescent="0.25">
      <c r="A3555" s="8" t="s">
        <v>125</v>
      </c>
      <c r="B3555" s="8" t="s">
        <v>148</v>
      </c>
      <c r="C3555" s="8" t="str">
        <f>IFERROR(_xlfn.XLOOKUP(TRIM(B3555),Lookup!$B$2:$B$1000,Lookup!$C$2:$C$1000),"")</f>
        <v>Equity</v>
      </c>
      <c r="D3555" s="8" t="str">
        <f>IFERROR(INDEX('nav master'!$C:$C, MATCH(B3555, 'nav master'!$B:$B, 0)), "")</f>
        <v>ULIF07114/07/23FlexiCapFd101</v>
      </c>
      <c r="E3555" s="8" t="s">
        <v>443</v>
      </c>
      <c r="F3555" s="8" t="s">
        <v>3810</v>
      </c>
    </row>
    <row r="3556" spans="1:6" ht="60" x14ac:dyDescent="0.25">
      <c r="A3556" s="8" t="s">
        <v>125</v>
      </c>
      <c r="B3556" s="8" t="s">
        <v>148</v>
      </c>
      <c r="C3556" s="8" t="str">
        <f>IFERROR(_xlfn.XLOOKUP(TRIM(B3556),Lookup!$B$2:$B$1000,Lookup!$C$2:$C$1000),"")</f>
        <v>Equity</v>
      </c>
      <c r="D3556" s="8" t="str">
        <f>IFERROR(INDEX('nav master'!$C:$C, MATCH(B3556, 'nav master'!$B:$B, 0)), "")</f>
        <v>ULIF07114/07/23FlexiCapFd101</v>
      </c>
      <c r="E3556" s="8" t="s">
        <v>445</v>
      </c>
      <c r="F3556" s="8" t="s">
        <v>3811</v>
      </c>
    </row>
    <row r="3557" spans="1:6" ht="60" x14ac:dyDescent="0.25">
      <c r="A3557" s="8" t="s">
        <v>125</v>
      </c>
      <c r="B3557" s="8" t="s">
        <v>148</v>
      </c>
      <c r="C3557" s="8" t="str">
        <f>IFERROR(_xlfn.XLOOKUP(TRIM(B3557),Lookup!$B$2:$B$1000,Lookup!$C$2:$C$1000),"")</f>
        <v>Equity</v>
      </c>
      <c r="D3557" s="8" t="str">
        <f>IFERROR(INDEX('nav master'!$C:$C, MATCH(B3557, 'nav master'!$B:$B, 0)), "")</f>
        <v>ULIF07114/07/23FlexiCapFd101</v>
      </c>
      <c r="E3557" s="8" t="s">
        <v>446</v>
      </c>
      <c r="F3557" s="8" t="s">
        <v>3812</v>
      </c>
    </row>
    <row r="3558" spans="1:6" ht="60" x14ac:dyDescent="0.25">
      <c r="A3558" s="8" t="s">
        <v>125</v>
      </c>
      <c r="B3558" s="8" t="s">
        <v>148</v>
      </c>
      <c r="C3558" s="8" t="str">
        <f>IFERROR(_xlfn.XLOOKUP(TRIM(B3558),Lookup!$B$2:$B$1000,Lookup!$C$2:$C$1000),"")</f>
        <v>Equity</v>
      </c>
      <c r="D3558" s="8" t="str">
        <f>IFERROR(INDEX('nav master'!$C:$C, MATCH(B3558, 'nav master'!$B:$B, 0)), "")</f>
        <v>ULIF07114/07/23FlexiCapFd101</v>
      </c>
      <c r="E3558" s="8" t="s">
        <v>448</v>
      </c>
      <c r="F3558" s="8" t="s">
        <v>3813</v>
      </c>
    </row>
    <row r="3559" spans="1:6" ht="60" x14ac:dyDescent="0.25">
      <c r="A3559" s="8" t="s">
        <v>125</v>
      </c>
      <c r="B3559" s="8" t="s">
        <v>148</v>
      </c>
      <c r="C3559" s="8" t="str">
        <f>IFERROR(_xlfn.XLOOKUP(TRIM(B3559),Lookup!$B$2:$B$1000,Lookup!$C$2:$C$1000),"")</f>
        <v>Equity</v>
      </c>
      <c r="D3559" s="8" t="str">
        <f>IFERROR(INDEX('nav master'!$C:$C, MATCH(B3559, 'nav master'!$B:$B, 0)), "")</f>
        <v>ULIF07114/07/23FlexiCapFd101</v>
      </c>
      <c r="E3559" s="8" t="s">
        <v>450</v>
      </c>
      <c r="F3559" s="8" t="s">
        <v>3814</v>
      </c>
    </row>
    <row r="3560" spans="1:6" ht="60" x14ac:dyDescent="0.25">
      <c r="A3560" s="8" t="s">
        <v>125</v>
      </c>
      <c r="B3560" s="8" t="s">
        <v>148</v>
      </c>
      <c r="C3560" s="8" t="str">
        <f>IFERROR(_xlfn.XLOOKUP(TRIM(B3560),Lookup!$B$2:$B$1000,Lookup!$C$2:$C$1000),"")</f>
        <v>Equity</v>
      </c>
      <c r="D3560" s="8" t="str">
        <f>IFERROR(INDEX('nav master'!$C:$C, MATCH(B3560, 'nav master'!$B:$B, 0)), "")</f>
        <v>ULIF07114/07/23FlexiCapFd101</v>
      </c>
      <c r="E3560" s="8" t="s">
        <v>452</v>
      </c>
      <c r="F3560" s="8" t="s">
        <v>3815</v>
      </c>
    </row>
    <row r="3561" spans="1:6" ht="60" x14ac:dyDescent="0.25">
      <c r="A3561" s="8" t="s">
        <v>125</v>
      </c>
      <c r="B3561" s="8" t="s">
        <v>148</v>
      </c>
      <c r="C3561" s="8" t="str">
        <f>IFERROR(_xlfn.XLOOKUP(TRIM(B3561),Lookup!$B$2:$B$1000,Lookup!$C$2:$C$1000),"")</f>
        <v>Equity</v>
      </c>
      <c r="D3561" s="8" t="str">
        <f>IFERROR(INDEX('nav master'!$C:$C, MATCH(B3561, 'nav master'!$B:$B, 0)), "")</f>
        <v>ULIF07114/07/23FlexiCapFd101</v>
      </c>
      <c r="E3561" s="8" t="s">
        <v>454</v>
      </c>
      <c r="F3561" s="8" t="s">
        <v>3816</v>
      </c>
    </row>
    <row r="3562" spans="1:6" ht="60" x14ac:dyDescent="0.25">
      <c r="A3562" s="8" t="s">
        <v>125</v>
      </c>
      <c r="B3562" s="8" t="s">
        <v>148</v>
      </c>
      <c r="C3562" s="8" t="str">
        <f>IFERROR(_xlfn.XLOOKUP(TRIM(B3562),Lookup!$B$2:$B$1000,Lookup!$C$2:$C$1000),"")</f>
        <v>Equity</v>
      </c>
      <c r="D3562" s="8" t="str">
        <f>IFERROR(INDEX('nav master'!$C:$C, MATCH(B3562, 'nav master'!$B:$B, 0)), "")</f>
        <v>ULIF07114/07/23FlexiCapFd101</v>
      </c>
      <c r="E3562" s="8" t="s">
        <v>456</v>
      </c>
      <c r="F3562" s="8" t="s">
        <v>3817</v>
      </c>
    </row>
    <row r="3563" spans="1:6" ht="60" x14ac:dyDescent="0.25">
      <c r="A3563" s="8" t="s">
        <v>125</v>
      </c>
      <c r="B3563" s="8" t="s">
        <v>148</v>
      </c>
      <c r="C3563" s="8" t="str">
        <f>IFERROR(_xlfn.XLOOKUP(TRIM(B3563),Lookup!$B$2:$B$1000,Lookup!$C$2:$C$1000),"")</f>
        <v>Equity</v>
      </c>
      <c r="D3563" s="8" t="str">
        <f>IFERROR(INDEX('nav master'!$C:$C, MATCH(B3563, 'nav master'!$B:$B, 0)), "")</f>
        <v>ULIF07114/07/23FlexiCapFd101</v>
      </c>
      <c r="E3563" s="8" t="s">
        <v>458</v>
      </c>
      <c r="F3563" s="8" t="s">
        <v>3818</v>
      </c>
    </row>
    <row r="3564" spans="1:6" ht="60" x14ac:dyDescent="0.25">
      <c r="A3564" s="8" t="s">
        <v>125</v>
      </c>
      <c r="B3564" s="8" t="s">
        <v>148</v>
      </c>
      <c r="C3564" s="8" t="str">
        <f>IFERROR(_xlfn.XLOOKUP(TRIM(B3564),Lookup!$B$2:$B$1000,Lookup!$C$2:$C$1000),"")</f>
        <v>Equity</v>
      </c>
      <c r="D3564" s="8" t="str">
        <f>IFERROR(INDEX('nav master'!$C:$C, MATCH(B3564, 'nav master'!$B:$B, 0)), "")</f>
        <v>ULIF07114/07/23FlexiCapFd101</v>
      </c>
      <c r="E3564" s="8" t="s">
        <v>460</v>
      </c>
      <c r="F3564" s="8" t="s">
        <v>3819</v>
      </c>
    </row>
    <row r="3565" spans="1:6" ht="60" x14ac:dyDescent="0.25">
      <c r="A3565" s="8" t="s">
        <v>125</v>
      </c>
      <c r="B3565" s="8" t="s">
        <v>148</v>
      </c>
      <c r="C3565" s="8" t="str">
        <f>IFERROR(_xlfn.XLOOKUP(TRIM(B3565),Lookup!$B$2:$B$1000,Lookup!$C$2:$C$1000),"")</f>
        <v>Equity</v>
      </c>
      <c r="D3565" s="8" t="str">
        <f>IFERROR(INDEX('nav master'!$C:$C, MATCH(B3565, 'nav master'!$B:$B, 0)), "")</f>
        <v>ULIF07114/07/23FlexiCapFd101</v>
      </c>
      <c r="E3565" s="8" t="s">
        <v>462</v>
      </c>
      <c r="F3565" s="8" t="s">
        <v>3820</v>
      </c>
    </row>
    <row r="3566" spans="1:6" ht="60" x14ac:dyDescent="0.25">
      <c r="A3566" s="8" t="s">
        <v>125</v>
      </c>
      <c r="B3566" s="8" t="s">
        <v>148</v>
      </c>
      <c r="C3566" s="8" t="str">
        <f>IFERROR(_xlfn.XLOOKUP(TRIM(B3566),Lookup!$B$2:$B$1000,Lookup!$C$2:$C$1000),"")</f>
        <v>Equity</v>
      </c>
      <c r="D3566" s="8" t="str">
        <f>IFERROR(INDEX('nav master'!$C:$C, MATCH(B3566, 'nav master'!$B:$B, 0)), "")</f>
        <v>ULIF07114/07/23FlexiCapFd101</v>
      </c>
      <c r="E3566" s="8" t="s">
        <v>464</v>
      </c>
      <c r="F3566" s="8" t="s">
        <v>3821</v>
      </c>
    </row>
    <row r="3567" spans="1:6" ht="60" x14ac:dyDescent="0.25">
      <c r="A3567" s="8" t="s">
        <v>125</v>
      </c>
      <c r="B3567" s="8" t="s">
        <v>148</v>
      </c>
      <c r="C3567" s="8" t="str">
        <f>IFERROR(_xlfn.XLOOKUP(TRIM(B3567),Lookup!$B$2:$B$1000,Lookup!$C$2:$C$1000),"")</f>
        <v>Equity</v>
      </c>
      <c r="D3567" s="8" t="str">
        <f>IFERROR(INDEX('nav master'!$C:$C, MATCH(B3567, 'nav master'!$B:$B, 0)), "")</f>
        <v>ULIF07114/07/23FlexiCapFd101</v>
      </c>
      <c r="E3567" s="8" t="s">
        <v>466</v>
      </c>
      <c r="F3567" s="8" t="s">
        <v>3822</v>
      </c>
    </row>
    <row r="3568" spans="1:6" ht="60" x14ac:dyDescent="0.25">
      <c r="A3568" s="8" t="s">
        <v>125</v>
      </c>
      <c r="B3568" s="8" t="s">
        <v>148</v>
      </c>
      <c r="C3568" s="8" t="str">
        <f>IFERROR(_xlfn.XLOOKUP(TRIM(B3568),Lookup!$B$2:$B$1000,Lookup!$C$2:$C$1000),"")</f>
        <v>Equity</v>
      </c>
      <c r="D3568" s="8" t="str">
        <f>IFERROR(INDEX('nav master'!$C:$C, MATCH(B3568, 'nav master'!$B:$B, 0)), "")</f>
        <v>ULIF07114/07/23FlexiCapFd101</v>
      </c>
      <c r="E3568" s="8" t="s">
        <v>468</v>
      </c>
      <c r="F3568" s="8" t="s">
        <v>3823</v>
      </c>
    </row>
    <row r="3569" spans="1:6" ht="60" x14ac:dyDescent="0.25">
      <c r="A3569" s="8" t="s">
        <v>125</v>
      </c>
      <c r="B3569" s="8" t="s">
        <v>148</v>
      </c>
      <c r="C3569" s="8" t="str">
        <f>IFERROR(_xlfn.XLOOKUP(TRIM(B3569),Lookup!$B$2:$B$1000,Lookup!$C$2:$C$1000),"")</f>
        <v>Equity</v>
      </c>
      <c r="D3569" s="8" t="str">
        <f>IFERROR(INDEX('nav master'!$C:$C, MATCH(B3569, 'nav master'!$B:$B, 0)), "")</f>
        <v>ULIF07114/07/23FlexiCapFd101</v>
      </c>
      <c r="E3569" s="8" t="s">
        <v>470</v>
      </c>
      <c r="F3569" s="8" t="s">
        <v>3824</v>
      </c>
    </row>
    <row r="3570" spans="1:6" ht="60" x14ac:dyDescent="0.25">
      <c r="A3570" s="8" t="s">
        <v>125</v>
      </c>
      <c r="B3570" s="8" t="s">
        <v>148</v>
      </c>
      <c r="C3570" s="8" t="str">
        <f>IFERROR(_xlfn.XLOOKUP(TRIM(B3570),Lookup!$B$2:$B$1000,Lookup!$C$2:$C$1000),"")</f>
        <v>Equity</v>
      </c>
      <c r="D3570" s="8" t="str">
        <f>IFERROR(INDEX('nav master'!$C:$C, MATCH(B3570, 'nav master'!$B:$B, 0)), "")</f>
        <v>ULIF07114/07/23FlexiCapFd101</v>
      </c>
      <c r="E3570" s="8" t="s">
        <v>472</v>
      </c>
      <c r="F3570" s="8" t="s">
        <v>3825</v>
      </c>
    </row>
    <row r="3571" spans="1:6" ht="60" x14ac:dyDescent="0.25">
      <c r="A3571" s="8" t="s">
        <v>125</v>
      </c>
      <c r="B3571" s="8" t="s">
        <v>148</v>
      </c>
      <c r="C3571" s="8" t="str">
        <f>IFERROR(_xlfn.XLOOKUP(TRIM(B3571),Lookup!$B$2:$B$1000,Lookup!$C$2:$C$1000),"")</f>
        <v>Equity</v>
      </c>
      <c r="D3571" s="8" t="str">
        <f>IFERROR(INDEX('nav master'!$C:$C, MATCH(B3571, 'nav master'!$B:$B, 0)), "")</f>
        <v>ULIF07114/07/23FlexiCapFd101</v>
      </c>
      <c r="E3571" s="8" t="s">
        <v>474</v>
      </c>
      <c r="F3571" s="8" t="s">
        <v>3826</v>
      </c>
    </row>
    <row r="3572" spans="1:6" ht="60" x14ac:dyDescent="0.25">
      <c r="A3572" s="8" t="s">
        <v>125</v>
      </c>
      <c r="B3572" s="8" t="s">
        <v>148</v>
      </c>
      <c r="C3572" s="8" t="str">
        <f>IFERROR(_xlfn.XLOOKUP(TRIM(B3572),Lookup!$B$2:$B$1000,Lookup!$C$2:$C$1000),"")</f>
        <v>Equity</v>
      </c>
      <c r="D3572" s="8" t="str">
        <f>IFERROR(INDEX('nav master'!$C:$C, MATCH(B3572, 'nav master'!$B:$B, 0)), "")</f>
        <v>ULIF07114/07/23FlexiCapFd101</v>
      </c>
      <c r="E3572" s="8" t="s">
        <v>476</v>
      </c>
      <c r="F3572" s="8" t="s">
        <v>3827</v>
      </c>
    </row>
    <row r="3573" spans="1:6" ht="60" x14ac:dyDescent="0.25">
      <c r="A3573" s="8" t="s">
        <v>125</v>
      </c>
      <c r="B3573" s="8" t="s">
        <v>148</v>
      </c>
      <c r="C3573" s="8" t="str">
        <f>IFERROR(_xlfn.XLOOKUP(TRIM(B3573),Lookup!$B$2:$B$1000,Lookup!$C$2:$C$1000),"")</f>
        <v>Equity</v>
      </c>
      <c r="D3573" s="8" t="str">
        <f>IFERROR(INDEX('nav master'!$C:$C, MATCH(B3573, 'nav master'!$B:$B, 0)), "")</f>
        <v>ULIF07114/07/23FlexiCapFd101</v>
      </c>
      <c r="E3573" s="8" t="s">
        <v>478</v>
      </c>
      <c r="F3573" s="8" t="s">
        <v>3828</v>
      </c>
    </row>
    <row r="3574" spans="1:6" ht="60" x14ac:dyDescent="0.25">
      <c r="A3574" s="8" t="s">
        <v>125</v>
      </c>
      <c r="B3574" s="8" t="s">
        <v>148</v>
      </c>
      <c r="C3574" s="8" t="str">
        <f>IFERROR(_xlfn.XLOOKUP(TRIM(B3574),Lookup!$B$2:$B$1000,Lookup!$C$2:$C$1000),"")</f>
        <v>Equity</v>
      </c>
      <c r="D3574" s="8" t="str">
        <f>IFERROR(INDEX('nav master'!$C:$C, MATCH(B3574, 'nav master'!$B:$B, 0)), "")</f>
        <v>ULIF07114/07/23FlexiCapFd101</v>
      </c>
      <c r="E3574" s="8" t="s">
        <v>480</v>
      </c>
      <c r="F3574" s="8" t="s">
        <v>3829</v>
      </c>
    </row>
    <row r="3575" spans="1:6" ht="60" x14ac:dyDescent="0.25">
      <c r="A3575" s="8" t="s">
        <v>125</v>
      </c>
      <c r="B3575" s="8" t="s">
        <v>148</v>
      </c>
      <c r="C3575" s="8" t="str">
        <f>IFERROR(_xlfn.XLOOKUP(TRIM(B3575),Lookup!$B$2:$B$1000,Lookup!$C$2:$C$1000),"")</f>
        <v>Equity</v>
      </c>
      <c r="D3575" s="8" t="str">
        <f>IFERROR(INDEX('nav master'!$C:$C, MATCH(B3575, 'nav master'!$B:$B, 0)), "")</f>
        <v>ULIF07114/07/23FlexiCapFd101</v>
      </c>
      <c r="E3575" s="8" t="s">
        <v>482</v>
      </c>
      <c r="F3575" s="8" t="s">
        <v>3830</v>
      </c>
    </row>
    <row r="3576" spans="1:6" ht="60" x14ac:dyDescent="0.25">
      <c r="A3576" s="8" t="s">
        <v>125</v>
      </c>
      <c r="B3576" s="8" t="s">
        <v>148</v>
      </c>
      <c r="C3576" s="8" t="str">
        <f>IFERROR(_xlfn.XLOOKUP(TRIM(B3576),Lookup!$B$2:$B$1000,Lookup!$C$2:$C$1000),"")</f>
        <v>Equity</v>
      </c>
      <c r="D3576" s="8" t="str">
        <f>IFERROR(INDEX('nav master'!$C:$C, MATCH(B3576, 'nav master'!$B:$B, 0)), "")</f>
        <v>ULIF07114/07/23FlexiCapFd101</v>
      </c>
      <c r="E3576" s="8" t="s">
        <v>484</v>
      </c>
      <c r="F3576" s="8" t="s">
        <v>3831</v>
      </c>
    </row>
    <row r="3577" spans="1:6" ht="60" x14ac:dyDescent="0.25">
      <c r="A3577" s="8" t="s">
        <v>125</v>
      </c>
      <c r="B3577" s="8" t="s">
        <v>148</v>
      </c>
      <c r="C3577" s="8" t="str">
        <f>IFERROR(_xlfn.XLOOKUP(TRIM(B3577),Lookup!$B$2:$B$1000,Lookup!$C$2:$C$1000),"")</f>
        <v>Equity</v>
      </c>
      <c r="D3577" s="8" t="str">
        <f>IFERROR(INDEX('nav master'!$C:$C, MATCH(B3577, 'nav master'!$B:$B, 0)), "")</f>
        <v>ULIF07114/07/23FlexiCapFd101</v>
      </c>
      <c r="E3577" s="8" t="s">
        <v>486</v>
      </c>
      <c r="F3577" s="8" t="s">
        <v>3832</v>
      </c>
    </row>
    <row r="3578" spans="1:6" ht="60" x14ac:dyDescent="0.25">
      <c r="A3578" s="8" t="s">
        <v>125</v>
      </c>
      <c r="B3578" s="8" t="s">
        <v>148</v>
      </c>
      <c r="C3578" s="8" t="str">
        <f>IFERROR(_xlfn.XLOOKUP(TRIM(B3578),Lookup!$B$2:$B$1000,Lookup!$C$2:$C$1000),"")</f>
        <v>Equity</v>
      </c>
      <c r="D3578" s="8" t="str">
        <f>IFERROR(INDEX('nav master'!$C:$C, MATCH(B3578, 'nav master'!$B:$B, 0)), "")</f>
        <v>ULIF07114/07/23FlexiCapFd101</v>
      </c>
      <c r="E3578" s="8" t="s">
        <v>488</v>
      </c>
      <c r="F3578" s="8" t="s">
        <v>3833</v>
      </c>
    </row>
    <row r="3579" spans="1:6" ht="60" x14ac:dyDescent="0.25">
      <c r="A3579" s="8" t="s">
        <v>125</v>
      </c>
      <c r="B3579" s="8" t="s">
        <v>148</v>
      </c>
      <c r="C3579" s="8" t="str">
        <f>IFERROR(_xlfn.XLOOKUP(TRIM(B3579),Lookup!$B$2:$B$1000,Lookup!$C$2:$C$1000),"")</f>
        <v>Equity</v>
      </c>
      <c r="D3579" s="8" t="str">
        <f>IFERROR(INDEX('nav master'!$C:$C, MATCH(B3579, 'nav master'!$B:$B, 0)), "")</f>
        <v>ULIF07114/07/23FlexiCapFd101</v>
      </c>
      <c r="E3579" s="8" t="s">
        <v>490</v>
      </c>
      <c r="F3579" s="8" t="s">
        <v>3834</v>
      </c>
    </row>
    <row r="3580" spans="1:6" ht="60" x14ac:dyDescent="0.25">
      <c r="A3580" s="8" t="s">
        <v>125</v>
      </c>
      <c r="B3580" s="8" t="s">
        <v>148</v>
      </c>
      <c r="C3580" s="8" t="str">
        <f>IFERROR(_xlfn.XLOOKUP(TRIM(B3580),Lookup!$B$2:$B$1000,Lookup!$C$2:$C$1000),"")</f>
        <v>Equity</v>
      </c>
      <c r="D3580" s="8" t="str">
        <f>IFERROR(INDEX('nav master'!$C:$C, MATCH(B3580, 'nav master'!$B:$B, 0)), "")</f>
        <v>ULIF07114/07/23FlexiCapFd101</v>
      </c>
      <c r="E3580" s="8" t="s">
        <v>492</v>
      </c>
      <c r="F3580" s="8" t="s">
        <v>3835</v>
      </c>
    </row>
    <row r="3581" spans="1:6" ht="60" x14ac:dyDescent="0.25">
      <c r="A3581" s="8" t="s">
        <v>125</v>
      </c>
      <c r="B3581" s="8" t="s">
        <v>148</v>
      </c>
      <c r="C3581" s="8" t="str">
        <f>IFERROR(_xlfn.XLOOKUP(TRIM(B3581),Lookup!$B$2:$B$1000,Lookup!$C$2:$C$1000),"")</f>
        <v>Equity</v>
      </c>
      <c r="D3581" s="8" t="str">
        <f>IFERROR(INDEX('nav master'!$C:$C, MATCH(B3581, 'nav master'!$B:$B, 0)), "")</f>
        <v>ULIF07114/07/23FlexiCapFd101</v>
      </c>
      <c r="E3581" s="8" t="s">
        <v>494</v>
      </c>
      <c r="F3581" s="8" t="s">
        <v>3836</v>
      </c>
    </row>
    <row r="3582" spans="1:6" ht="60" x14ac:dyDescent="0.25">
      <c r="A3582" s="8" t="s">
        <v>125</v>
      </c>
      <c r="B3582" s="8" t="s">
        <v>148</v>
      </c>
      <c r="C3582" s="8" t="str">
        <f>IFERROR(_xlfn.XLOOKUP(TRIM(B3582),Lookup!$B$2:$B$1000,Lookup!$C$2:$C$1000),"")</f>
        <v>Equity</v>
      </c>
      <c r="D3582" s="8" t="str">
        <f>IFERROR(INDEX('nav master'!$C:$C, MATCH(B3582, 'nav master'!$B:$B, 0)), "")</f>
        <v>ULIF07114/07/23FlexiCapFd101</v>
      </c>
      <c r="E3582" s="8" t="s">
        <v>496</v>
      </c>
      <c r="F3582" s="8" t="s">
        <v>3837</v>
      </c>
    </row>
    <row r="3583" spans="1:6" ht="60" x14ac:dyDescent="0.25">
      <c r="A3583" s="8" t="s">
        <v>125</v>
      </c>
      <c r="B3583" s="8" t="s">
        <v>148</v>
      </c>
      <c r="C3583" s="8" t="str">
        <f>IFERROR(_xlfn.XLOOKUP(TRIM(B3583),Lookup!$B$2:$B$1000,Lookup!$C$2:$C$1000),"")</f>
        <v>Equity</v>
      </c>
      <c r="D3583" s="8" t="str">
        <f>IFERROR(INDEX('nav master'!$C:$C, MATCH(B3583, 'nav master'!$B:$B, 0)), "")</f>
        <v>ULIF07114/07/23FlexiCapFd101</v>
      </c>
      <c r="E3583" s="8" t="s">
        <v>498</v>
      </c>
      <c r="F3583" s="8" t="s">
        <v>3838</v>
      </c>
    </row>
    <row r="3584" spans="1:6" ht="60" x14ac:dyDescent="0.25">
      <c r="A3584" s="8" t="s">
        <v>125</v>
      </c>
      <c r="B3584" s="8" t="s">
        <v>148</v>
      </c>
      <c r="C3584" s="8" t="str">
        <f>IFERROR(_xlfn.XLOOKUP(TRIM(B3584),Lookup!$B$2:$B$1000,Lookup!$C$2:$C$1000),"")</f>
        <v>Equity</v>
      </c>
      <c r="D3584" s="8" t="str">
        <f>IFERROR(INDEX('nav master'!$C:$C, MATCH(B3584, 'nav master'!$B:$B, 0)), "")</f>
        <v>ULIF07114/07/23FlexiCapFd101</v>
      </c>
      <c r="E3584" s="8" t="s">
        <v>500</v>
      </c>
      <c r="F3584" s="8" t="s">
        <v>3839</v>
      </c>
    </row>
    <row r="3585" spans="1:6" ht="60" x14ac:dyDescent="0.25">
      <c r="A3585" s="8" t="s">
        <v>125</v>
      </c>
      <c r="B3585" s="8" t="s">
        <v>148</v>
      </c>
      <c r="C3585" s="8" t="str">
        <f>IFERROR(_xlfn.XLOOKUP(TRIM(B3585),Lookup!$B$2:$B$1000,Lookup!$C$2:$C$1000),"")</f>
        <v>Equity</v>
      </c>
      <c r="D3585" s="8" t="str">
        <f>IFERROR(INDEX('nav master'!$C:$C, MATCH(B3585, 'nav master'!$B:$B, 0)), "")</f>
        <v>ULIF07114/07/23FlexiCapFd101</v>
      </c>
      <c r="E3585" s="8" t="s">
        <v>502</v>
      </c>
      <c r="F3585" s="8" t="s">
        <v>3840</v>
      </c>
    </row>
    <row r="3586" spans="1:6" ht="60" x14ac:dyDescent="0.25">
      <c r="A3586" s="8" t="s">
        <v>125</v>
      </c>
      <c r="B3586" s="8" t="s">
        <v>148</v>
      </c>
      <c r="C3586" s="8" t="str">
        <f>IFERROR(_xlfn.XLOOKUP(TRIM(B3586),Lookup!$B$2:$B$1000,Lookup!$C$2:$C$1000),"")</f>
        <v>Equity</v>
      </c>
      <c r="D3586" s="8" t="str">
        <f>IFERROR(INDEX('nav master'!$C:$C, MATCH(B3586, 'nav master'!$B:$B, 0)), "")</f>
        <v>ULIF07114/07/23FlexiCapFd101</v>
      </c>
      <c r="E3586" s="8" t="s">
        <v>504</v>
      </c>
      <c r="F3586" s="8" t="s">
        <v>3841</v>
      </c>
    </row>
    <row r="3587" spans="1:6" ht="60" x14ac:dyDescent="0.25">
      <c r="A3587" s="8" t="s">
        <v>125</v>
      </c>
      <c r="B3587" s="8" t="s">
        <v>148</v>
      </c>
      <c r="C3587" s="8" t="str">
        <f>IFERROR(_xlfn.XLOOKUP(TRIM(B3587),Lookup!$B$2:$B$1000,Lookup!$C$2:$C$1000),"")</f>
        <v>Equity</v>
      </c>
      <c r="D3587" s="8" t="str">
        <f>IFERROR(INDEX('nav master'!$C:$C, MATCH(B3587, 'nav master'!$B:$B, 0)), "")</f>
        <v>ULIF07114/07/23FlexiCapFd101</v>
      </c>
      <c r="E3587" s="8" t="s">
        <v>506</v>
      </c>
      <c r="F3587" s="8" t="s">
        <v>3842</v>
      </c>
    </row>
    <row r="3588" spans="1:6" ht="60" x14ac:dyDescent="0.25">
      <c r="A3588" s="8" t="s">
        <v>125</v>
      </c>
      <c r="B3588" s="8" t="s">
        <v>148</v>
      </c>
      <c r="C3588" s="8" t="str">
        <f>IFERROR(_xlfn.XLOOKUP(TRIM(B3588),Lookup!$B$2:$B$1000,Lookup!$C$2:$C$1000),"")</f>
        <v>Equity</v>
      </c>
      <c r="D3588" s="8" t="str">
        <f>IFERROR(INDEX('nav master'!$C:$C, MATCH(B3588, 'nav master'!$B:$B, 0)), "")</f>
        <v>ULIF07114/07/23FlexiCapFd101</v>
      </c>
      <c r="E3588" s="8" t="s">
        <v>508</v>
      </c>
      <c r="F3588" s="8" t="s">
        <v>3843</v>
      </c>
    </row>
    <row r="3589" spans="1:6" ht="60" x14ac:dyDescent="0.25">
      <c r="A3589" s="8" t="s">
        <v>125</v>
      </c>
      <c r="B3589" s="8" t="s">
        <v>148</v>
      </c>
      <c r="C3589" s="8" t="str">
        <f>IFERROR(_xlfn.XLOOKUP(TRIM(B3589),Lookup!$B$2:$B$1000,Lookup!$C$2:$C$1000),"")</f>
        <v>Equity</v>
      </c>
      <c r="D3589" s="8" t="str">
        <f>IFERROR(INDEX('nav master'!$C:$C, MATCH(B3589, 'nav master'!$B:$B, 0)), "")</f>
        <v>ULIF07114/07/23FlexiCapFd101</v>
      </c>
      <c r="E3589" s="8" t="s">
        <v>510</v>
      </c>
      <c r="F3589" s="8" t="s">
        <v>3844</v>
      </c>
    </row>
    <row r="3590" spans="1:6" ht="60" x14ac:dyDescent="0.25">
      <c r="A3590" s="8" t="s">
        <v>125</v>
      </c>
      <c r="B3590" s="8" t="s">
        <v>148</v>
      </c>
      <c r="C3590" s="8" t="str">
        <f>IFERROR(_xlfn.XLOOKUP(TRIM(B3590),Lookup!$B$2:$B$1000,Lookup!$C$2:$C$1000),"")</f>
        <v>Equity</v>
      </c>
      <c r="D3590" s="8" t="str">
        <f>IFERROR(INDEX('nav master'!$C:$C, MATCH(B3590, 'nav master'!$B:$B, 0)), "")</f>
        <v>ULIF07114/07/23FlexiCapFd101</v>
      </c>
      <c r="E3590" s="8" t="s">
        <v>512</v>
      </c>
      <c r="F3590" s="8" t="s">
        <v>3845</v>
      </c>
    </row>
    <row r="3591" spans="1:6" ht="60" x14ac:dyDescent="0.25">
      <c r="A3591" s="8" t="s">
        <v>125</v>
      </c>
      <c r="B3591" s="8" t="s">
        <v>148</v>
      </c>
      <c r="C3591" s="8" t="str">
        <f>IFERROR(_xlfn.XLOOKUP(TRIM(B3591),Lookup!$B$2:$B$1000,Lookup!$C$2:$C$1000),"")</f>
        <v>Equity</v>
      </c>
      <c r="D3591" s="8" t="str">
        <f>IFERROR(INDEX('nav master'!$C:$C, MATCH(B3591, 'nav master'!$B:$B, 0)), "")</f>
        <v>ULIF07114/07/23FlexiCapFd101</v>
      </c>
      <c r="E3591" s="8" t="s">
        <v>514</v>
      </c>
      <c r="F3591" s="8" t="s">
        <v>3846</v>
      </c>
    </row>
    <row r="3592" spans="1:6" ht="60" x14ac:dyDescent="0.25">
      <c r="A3592" s="8" t="s">
        <v>125</v>
      </c>
      <c r="B3592" s="8" t="s">
        <v>148</v>
      </c>
      <c r="C3592" s="8" t="str">
        <f>IFERROR(_xlfn.XLOOKUP(TRIM(B3592),Lookup!$B$2:$B$1000,Lookup!$C$2:$C$1000),"")</f>
        <v>Equity</v>
      </c>
      <c r="D3592" s="8" t="str">
        <f>IFERROR(INDEX('nav master'!$C:$C, MATCH(B3592, 'nav master'!$B:$B, 0)), "")</f>
        <v>ULIF07114/07/23FlexiCapFd101</v>
      </c>
      <c r="E3592" s="8" t="s">
        <v>516</v>
      </c>
      <c r="F3592" s="8" t="s">
        <v>3847</v>
      </c>
    </row>
    <row r="3593" spans="1:6" ht="60" x14ac:dyDescent="0.25">
      <c r="A3593" s="8" t="s">
        <v>125</v>
      </c>
      <c r="B3593" s="8" t="s">
        <v>148</v>
      </c>
      <c r="C3593" s="8" t="str">
        <f>IFERROR(_xlfn.XLOOKUP(TRIM(B3593),Lookup!$B$2:$B$1000,Lookup!$C$2:$C$1000),"")</f>
        <v>Equity</v>
      </c>
      <c r="D3593" s="8" t="str">
        <f>IFERROR(INDEX('nav master'!$C:$C, MATCH(B3593, 'nav master'!$B:$B, 0)), "")</f>
        <v>ULIF07114/07/23FlexiCapFd101</v>
      </c>
      <c r="E3593" s="8" t="s">
        <v>518</v>
      </c>
      <c r="F3593" s="8" t="s">
        <v>3848</v>
      </c>
    </row>
    <row r="3594" spans="1:6" ht="60" x14ac:dyDescent="0.25">
      <c r="A3594" s="8" t="s">
        <v>125</v>
      </c>
      <c r="B3594" s="8" t="s">
        <v>148</v>
      </c>
      <c r="C3594" s="8" t="str">
        <f>IFERROR(_xlfn.XLOOKUP(TRIM(B3594),Lookup!$B$2:$B$1000,Lookup!$C$2:$C$1000),"")</f>
        <v>Equity</v>
      </c>
      <c r="D3594" s="8" t="str">
        <f>IFERROR(INDEX('nav master'!$C:$C, MATCH(B3594, 'nav master'!$B:$B, 0)), "")</f>
        <v>ULIF07114/07/23FlexiCapFd101</v>
      </c>
      <c r="E3594" s="8" t="s">
        <v>520</v>
      </c>
      <c r="F3594" s="8" t="s">
        <v>3849</v>
      </c>
    </row>
    <row r="3595" spans="1:6" ht="60" x14ac:dyDescent="0.25">
      <c r="A3595" s="8" t="s">
        <v>125</v>
      </c>
      <c r="B3595" s="8" t="s">
        <v>148</v>
      </c>
      <c r="C3595" s="8" t="str">
        <f>IFERROR(_xlfn.XLOOKUP(TRIM(B3595),Lookup!$B$2:$B$1000,Lookup!$C$2:$C$1000),"")</f>
        <v>Equity</v>
      </c>
      <c r="D3595" s="8" t="str">
        <f>IFERROR(INDEX('nav master'!$C:$C, MATCH(B3595, 'nav master'!$B:$B, 0)), "")</f>
        <v>ULIF07114/07/23FlexiCapFd101</v>
      </c>
      <c r="E3595" s="8" t="s">
        <v>522</v>
      </c>
      <c r="F3595" s="8" t="s">
        <v>3850</v>
      </c>
    </row>
    <row r="3596" spans="1:6" ht="60" x14ac:dyDescent="0.25">
      <c r="A3596" s="8" t="s">
        <v>125</v>
      </c>
      <c r="B3596" s="8" t="s">
        <v>148</v>
      </c>
      <c r="C3596" s="8" t="str">
        <f>IFERROR(_xlfn.XLOOKUP(TRIM(B3596),Lookup!$B$2:$B$1000,Lookup!$C$2:$C$1000),"")</f>
        <v>Equity</v>
      </c>
      <c r="D3596" s="8" t="str">
        <f>IFERROR(INDEX('nav master'!$C:$C, MATCH(B3596, 'nav master'!$B:$B, 0)), "")</f>
        <v>ULIF07114/07/23FlexiCapFd101</v>
      </c>
      <c r="E3596" s="8" t="s">
        <v>524</v>
      </c>
      <c r="F3596" s="8" t="s">
        <v>3851</v>
      </c>
    </row>
    <row r="3597" spans="1:6" ht="60" x14ac:dyDescent="0.25">
      <c r="A3597" s="8" t="s">
        <v>125</v>
      </c>
      <c r="B3597" s="8" t="s">
        <v>148</v>
      </c>
      <c r="C3597" s="8" t="str">
        <f>IFERROR(_xlfn.XLOOKUP(TRIM(B3597),Lookup!$B$2:$B$1000,Lookup!$C$2:$C$1000),"")</f>
        <v>Equity</v>
      </c>
      <c r="D3597" s="8" t="str">
        <f>IFERROR(INDEX('nav master'!$C:$C, MATCH(B3597, 'nav master'!$B:$B, 0)), "")</f>
        <v>ULIF07114/07/23FlexiCapFd101</v>
      </c>
      <c r="E3597" s="8" t="s">
        <v>526</v>
      </c>
      <c r="F3597" s="8" t="s">
        <v>3852</v>
      </c>
    </row>
    <row r="3598" spans="1:6" ht="60" x14ac:dyDescent="0.25">
      <c r="A3598" s="8" t="s">
        <v>125</v>
      </c>
      <c r="B3598" s="8" t="s">
        <v>148</v>
      </c>
      <c r="C3598" s="8" t="str">
        <f>IFERROR(_xlfn.XLOOKUP(TRIM(B3598),Lookup!$B$2:$B$1000,Lookup!$C$2:$C$1000),"")</f>
        <v>Equity</v>
      </c>
      <c r="D3598" s="8" t="str">
        <f>IFERROR(INDEX('nav master'!$C:$C, MATCH(B3598, 'nav master'!$B:$B, 0)), "")</f>
        <v>ULIF07114/07/23FlexiCapFd101</v>
      </c>
      <c r="E3598" s="8" t="s">
        <v>528</v>
      </c>
      <c r="F3598" s="8" t="s">
        <v>3853</v>
      </c>
    </row>
    <row r="3599" spans="1:6" ht="60" x14ac:dyDescent="0.25">
      <c r="A3599" s="8" t="s">
        <v>125</v>
      </c>
      <c r="B3599" s="8" t="s">
        <v>148</v>
      </c>
      <c r="C3599" s="8" t="str">
        <f>IFERROR(_xlfn.XLOOKUP(TRIM(B3599),Lookup!$B$2:$B$1000,Lookup!$C$2:$C$1000),"")</f>
        <v>Equity</v>
      </c>
      <c r="D3599" s="8" t="str">
        <f>IFERROR(INDEX('nav master'!$C:$C, MATCH(B3599, 'nav master'!$B:$B, 0)), "")</f>
        <v>ULIF07114/07/23FlexiCapFd101</v>
      </c>
      <c r="E3599" s="8" t="s">
        <v>530</v>
      </c>
      <c r="F3599" s="8" t="s">
        <v>3854</v>
      </c>
    </row>
    <row r="3600" spans="1:6" ht="60" x14ac:dyDescent="0.25">
      <c r="A3600" s="8" t="s">
        <v>125</v>
      </c>
      <c r="B3600" s="8" t="s">
        <v>148</v>
      </c>
      <c r="C3600" s="8" t="str">
        <f>IFERROR(_xlfn.XLOOKUP(TRIM(B3600),Lookup!$B$2:$B$1000,Lookup!$C$2:$C$1000),"")</f>
        <v>Equity</v>
      </c>
      <c r="D3600" s="8" t="str">
        <f>IFERROR(INDEX('nav master'!$C:$C, MATCH(B3600, 'nav master'!$B:$B, 0)), "")</f>
        <v>ULIF07114/07/23FlexiCapFd101</v>
      </c>
      <c r="E3600" s="8" t="s">
        <v>532</v>
      </c>
      <c r="F3600" s="8" t="s">
        <v>3855</v>
      </c>
    </row>
    <row r="3601" spans="1:6" ht="60" x14ac:dyDescent="0.25">
      <c r="A3601" s="8" t="s">
        <v>125</v>
      </c>
      <c r="B3601" s="8" t="s">
        <v>148</v>
      </c>
      <c r="C3601" s="8" t="str">
        <f>IFERROR(_xlfn.XLOOKUP(TRIM(B3601),Lookup!$B$2:$B$1000,Lookup!$C$2:$C$1000),"")</f>
        <v>Equity</v>
      </c>
      <c r="D3601" s="8" t="str">
        <f>IFERROR(INDEX('nav master'!$C:$C, MATCH(B3601, 'nav master'!$B:$B, 0)), "")</f>
        <v>ULIF07114/07/23FlexiCapFd101</v>
      </c>
      <c r="E3601" s="8" t="s">
        <v>534</v>
      </c>
      <c r="F3601" s="8" t="s">
        <v>3856</v>
      </c>
    </row>
    <row r="3602" spans="1:6" ht="60" x14ac:dyDescent="0.25">
      <c r="A3602" s="8" t="s">
        <v>125</v>
      </c>
      <c r="B3602" s="8" t="s">
        <v>148</v>
      </c>
      <c r="C3602" s="8" t="str">
        <f>IFERROR(_xlfn.XLOOKUP(TRIM(B3602),Lookup!$B$2:$B$1000,Lookup!$C$2:$C$1000),"")</f>
        <v>Equity</v>
      </c>
      <c r="D3602" s="8" t="str">
        <f>IFERROR(INDEX('nav master'!$C:$C, MATCH(B3602, 'nav master'!$B:$B, 0)), "")</f>
        <v>ULIF07114/07/23FlexiCapFd101</v>
      </c>
      <c r="E3602" s="8" t="s">
        <v>536</v>
      </c>
      <c r="F3602" s="8" t="s">
        <v>3857</v>
      </c>
    </row>
    <row r="3603" spans="1:6" ht="60" x14ac:dyDescent="0.25">
      <c r="A3603" s="8" t="s">
        <v>125</v>
      </c>
      <c r="B3603" s="8" t="s">
        <v>148</v>
      </c>
      <c r="C3603" s="8" t="str">
        <f>IFERROR(_xlfn.XLOOKUP(TRIM(B3603),Lookup!$B$2:$B$1000,Lookup!$C$2:$C$1000),"")</f>
        <v>Equity</v>
      </c>
      <c r="D3603" s="8" t="str">
        <f>IFERROR(INDEX('nav master'!$C:$C, MATCH(B3603, 'nav master'!$B:$B, 0)), "")</f>
        <v>ULIF07114/07/23FlexiCapFd101</v>
      </c>
      <c r="E3603" s="8" t="s">
        <v>538</v>
      </c>
      <c r="F3603" s="8" t="s">
        <v>3858</v>
      </c>
    </row>
    <row r="3604" spans="1:6" ht="60" x14ac:dyDescent="0.25">
      <c r="A3604" s="8" t="s">
        <v>125</v>
      </c>
      <c r="B3604" s="8" t="s">
        <v>148</v>
      </c>
      <c r="C3604" s="8" t="str">
        <f>IFERROR(_xlfn.XLOOKUP(TRIM(B3604),Lookup!$B$2:$B$1000,Lookup!$C$2:$C$1000),"")</f>
        <v>Equity</v>
      </c>
      <c r="D3604" s="8" t="str">
        <f>IFERROR(INDEX('nav master'!$C:$C, MATCH(B3604, 'nav master'!$B:$B, 0)), "")</f>
        <v>ULIF07114/07/23FlexiCapFd101</v>
      </c>
      <c r="E3604" s="8" t="s">
        <v>540</v>
      </c>
      <c r="F3604" s="8" t="s">
        <v>3859</v>
      </c>
    </row>
    <row r="3605" spans="1:6" ht="60" x14ac:dyDescent="0.25">
      <c r="A3605" s="8" t="s">
        <v>125</v>
      </c>
      <c r="B3605" s="8" t="s">
        <v>148</v>
      </c>
      <c r="C3605" s="8" t="str">
        <f>IFERROR(_xlfn.XLOOKUP(TRIM(B3605),Lookup!$B$2:$B$1000,Lookup!$C$2:$C$1000),"")</f>
        <v>Equity</v>
      </c>
      <c r="D3605" s="8" t="str">
        <f>IFERROR(INDEX('nav master'!$C:$C, MATCH(B3605, 'nav master'!$B:$B, 0)), "")</f>
        <v>ULIF07114/07/23FlexiCapFd101</v>
      </c>
      <c r="E3605" s="8" t="s">
        <v>542</v>
      </c>
      <c r="F3605" s="8" t="s">
        <v>3860</v>
      </c>
    </row>
    <row r="3606" spans="1:6" ht="60" x14ac:dyDescent="0.25">
      <c r="A3606" s="8" t="s">
        <v>125</v>
      </c>
      <c r="B3606" s="8" t="s">
        <v>148</v>
      </c>
      <c r="C3606" s="8" t="str">
        <f>IFERROR(_xlfn.XLOOKUP(TRIM(B3606),Lookup!$B$2:$B$1000,Lookup!$C$2:$C$1000),"")</f>
        <v>Equity</v>
      </c>
      <c r="D3606" s="8" t="str">
        <f>IFERROR(INDEX('nav master'!$C:$C, MATCH(B3606, 'nav master'!$B:$B, 0)), "")</f>
        <v>ULIF07114/07/23FlexiCapFd101</v>
      </c>
      <c r="E3606" s="8" t="s">
        <v>544</v>
      </c>
      <c r="F3606" s="8" t="s">
        <v>3861</v>
      </c>
    </row>
    <row r="3607" spans="1:6" ht="60" x14ac:dyDescent="0.25">
      <c r="A3607" s="8" t="s">
        <v>125</v>
      </c>
      <c r="B3607" s="8" t="s">
        <v>148</v>
      </c>
      <c r="C3607" s="8" t="str">
        <f>IFERROR(_xlfn.XLOOKUP(TRIM(B3607),Lookup!$B$2:$B$1000,Lookup!$C$2:$C$1000),"")</f>
        <v>Equity</v>
      </c>
      <c r="D3607" s="8" t="str">
        <f>IFERROR(INDEX('nav master'!$C:$C, MATCH(B3607, 'nav master'!$B:$B, 0)), "")</f>
        <v>ULIF07114/07/23FlexiCapFd101</v>
      </c>
      <c r="E3607" s="8" t="s">
        <v>546</v>
      </c>
      <c r="F3607" s="8" t="s">
        <v>3862</v>
      </c>
    </row>
    <row r="3608" spans="1:6" ht="60" x14ac:dyDescent="0.25">
      <c r="A3608" s="8" t="s">
        <v>125</v>
      </c>
      <c r="B3608" s="8" t="s">
        <v>148</v>
      </c>
      <c r="C3608" s="8" t="str">
        <f>IFERROR(_xlfn.XLOOKUP(TRIM(B3608),Lookup!$B$2:$B$1000,Lookup!$C$2:$C$1000),"")</f>
        <v>Equity</v>
      </c>
      <c r="D3608" s="8" t="str">
        <f>IFERROR(INDEX('nav master'!$C:$C, MATCH(B3608, 'nav master'!$B:$B, 0)), "")</f>
        <v>ULIF07114/07/23FlexiCapFd101</v>
      </c>
      <c r="E3608" s="8" t="s">
        <v>548</v>
      </c>
      <c r="F3608" s="8" t="s">
        <v>3863</v>
      </c>
    </row>
    <row r="3609" spans="1:6" ht="60" x14ac:dyDescent="0.25">
      <c r="A3609" s="8" t="s">
        <v>125</v>
      </c>
      <c r="B3609" s="8" t="s">
        <v>148</v>
      </c>
      <c r="C3609" s="8" t="str">
        <f>IFERROR(_xlfn.XLOOKUP(TRIM(B3609),Lookup!$B$2:$B$1000,Lookup!$C$2:$C$1000),"")</f>
        <v>Equity</v>
      </c>
      <c r="D3609" s="8" t="str">
        <f>IFERROR(INDEX('nav master'!$C:$C, MATCH(B3609, 'nav master'!$B:$B, 0)), "")</f>
        <v>ULIF07114/07/23FlexiCapFd101</v>
      </c>
      <c r="E3609" s="8" t="s">
        <v>550</v>
      </c>
      <c r="F3609" s="8" t="s">
        <v>2403</v>
      </c>
    </row>
    <row r="3610" spans="1:6" ht="60" x14ac:dyDescent="0.25">
      <c r="A3610" s="8" t="s">
        <v>125</v>
      </c>
      <c r="B3610" s="8" t="s">
        <v>148</v>
      </c>
      <c r="C3610" s="8" t="str">
        <f>IFERROR(_xlfn.XLOOKUP(TRIM(B3610),Lookup!$B$2:$B$1000,Lookup!$C$2:$C$1000),"")</f>
        <v>Equity</v>
      </c>
      <c r="D3610" s="8" t="str">
        <f>IFERROR(INDEX('nav master'!$C:$C, MATCH(B3610, 'nav master'!$B:$B, 0)), "")</f>
        <v>ULIF07114/07/23FlexiCapFd101</v>
      </c>
      <c r="E3610" s="8" t="s">
        <v>552</v>
      </c>
      <c r="F3610" s="8" t="s">
        <v>3864</v>
      </c>
    </row>
    <row r="3611" spans="1:6" ht="60" x14ac:dyDescent="0.25">
      <c r="A3611" s="8" t="s">
        <v>125</v>
      </c>
      <c r="B3611" s="8" t="s">
        <v>148</v>
      </c>
      <c r="C3611" s="8" t="str">
        <f>IFERROR(_xlfn.XLOOKUP(TRIM(B3611),Lookup!$B$2:$B$1000,Lookup!$C$2:$C$1000),"")</f>
        <v>Equity</v>
      </c>
      <c r="D3611" s="8" t="str">
        <f>IFERROR(INDEX('nav master'!$C:$C, MATCH(B3611, 'nav master'!$B:$B, 0)), "")</f>
        <v>ULIF07114/07/23FlexiCapFd101</v>
      </c>
      <c r="E3611" s="8" t="s">
        <v>554</v>
      </c>
      <c r="F3611" s="8" t="s">
        <v>3865</v>
      </c>
    </row>
    <row r="3612" spans="1:6" ht="60" x14ac:dyDescent="0.25">
      <c r="A3612" s="8" t="s">
        <v>125</v>
      </c>
      <c r="B3612" s="8" t="s">
        <v>148</v>
      </c>
      <c r="C3612" s="8" t="str">
        <f>IFERROR(_xlfn.XLOOKUP(TRIM(B3612),Lookup!$B$2:$B$1000,Lookup!$C$2:$C$1000),"")</f>
        <v>Equity</v>
      </c>
      <c r="D3612" s="8" t="str">
        <f>IFERROR(INDEX('nav master'!$C:$C, MATCH(B3612, 'nav master'!$B:$B, 0)), "")</f>
        <v>ULIF07114/07/23FlexiCapFd101</v>
      </c>
      <c r="E3612" s="8" t="s">
        <v>556</v>
      </c>
      <c r="F3612" s="8" t="s">
        <v>3866</v>
      </c>
    </row>
    <row r="3613" spans="1:6" ht="60" x14ac:dyDescent="0.25">
      <c r="A3613" s="8" t="s">
        <v>125</v>
      </c>
      <c r="B3613" s="8" t="s">
        <v>148</v>
      </c>
      <c r="C3613" s="8" t="str">
        <f>IFERROR(_xlfn.XLOOKUP(TRIM(B3613),Lookup!$B$2:$B$1000,Lookup!$C$2:$C$1000),"")</f>
        <v>Equity</v>
      </c>
      <c r="D3613" s="8" t="str">
        <f>IFERROR(INDEX('nav master'!$C:$C, MATCH(B3613, 'nav master'!$B:$B, 0)), "")</f>
        <v>ULIF07114/07/23FlexiCapFd101</v>
      </c>
      <c r="E3613" s="8" t="s">
        <v>558</v>
      </c>
      <c r="F3613" s="8" t="s">
        <v>3867</v>
      </c>
    </row>
    <row r="3614" spans="1:6" ht="60" x14ac:dyDescent="0.25">
      <c r="A3614" s="8" t="s">
        <v>125</v>
      </c>
      <c r="B3614" s="8" t="s">
        <v>148</v>
      </c>
      <c r="C3614" s="8" t="str">
        <f>IFERROR(_xlfn.XLOOKUP(TRIM(B3614),Lookup!$B$2:$B$1000,Lookup!$C$2:$C$1000),"")</f>
        <v>Equity</v>
      </c>
      <c r="D3614" s="8" t="str">
        <f>IFERROR(INDEX('nav master'!$C:$C, MATCH(B3614, 'nav master'!$B:$B, 0)), "")</f>
        <v>ULIF07114/07/23FlexiCapFd101</v>
      </c>
      <c r="E3614" s="8" t="s">
        <v>560</v>
      </c>
      <c r="F3614" s="8" t="s">
        <v>3868</v>
      </c>
    </row>
    <row r="3615" spans="1:6" ht="60" x14ac:dyDescent="0.25">
      <c r="A3615" s="8" t="s">
        <v>125</v>
      </c>
      <c r="B3615" s="8" t="s">
        <v>148</v>
      </c>
      <c r="C3615" s="8" t="str">
        <f>IFERROR(_xlfn.XLOOKUP(TRIM(B3615),Lookup!$B$2:$B$1000,Lookup!$C$2:$C$1000),"")</f>
        <v>Equity</v>
      </c>
      <c r="D3615" s="8" t="str">
        <f>IFERROR(INDEX('nav master'!$C:$C, MATCH(B3615, 'nav master'!$B:$B, 0)), "")</f>
        <v>ULIF07114/07/23FlexiCapFd101</v>
      </c>
      <c r="E3615" s="8" t="s">
        <v>562</v>
      </c>
      <c r="F3615" s="8" t="s">
        <v>3869</v>
      </c>
    </row>
    <row r="3616" spans="1:6" ht="60" x14ac:dyDescent="0.25">
      <c r="A3616" s="8" t="s">
        <v>125</v>
      </c>
      <c r="B3616" s="8" t="s">
        <v>148</v>
      </c>
      <c r="C3616" s="8" t="str">
        <f>IFERROR(_xlfn.XLOOKUP(TRIM(B3616),Lookup!$B$2:$B$1000,Lookup!$C$2:$C$1000),"")</f>
        <v>Equity</v>
      </c>
      <c r="D3616" s="8" t="str">
        <f>IFERROR(INDEX('nav master'!$C:$C, MATCH(B3616, 'nav master'!$B:$B, 0)), "")</f>
        <v>ULIF07114/07/23FlexiCapFd101</v>
      </c>
      <c r="E3616" s="8" t="s">
        <v>564</v>
      </c>
      <c r="F3616" s="8" t="s">
        <v>3870</v>
      </c>
    </row>
    <row r="3617" spans="1:6" ht="60" x14ac:dyDescent="0.25">
      <c r="A3617" s="8" t="s">
        <v>125</v>
      </c>
      <c r="B3617" s="8" t="s">
        <v>148</v>
      </c>
      <c r="C3617" s="8" t="str">
        <f>IFERROR(_xlfn.XLOOKUP(TRIM(B3617),Lookup!$B$2:$B$1000,Lookup!$C$2:$C$1000),"")</f>
        <v>Equity</v>
      </c>
      <c r="D3617" s="8" t="str">
        <f>IFERROR(INDEX('nav master'!$C:$C, MATCH(B3617, 'nav master'!$B:$B, 0)), "")</f>
        <v>ULIF07114/07/23FlexiCapFd101</v>
      </c>
      <c r="E3617" s="8" t="s">
        <v>566</v>
      </c>
      <c r="F3617" s="8" t="s">
        <v>3871</v>
      </c>
    </row>
    <row r="3618" spans="1:6" ht="60" x14ac:dyDescent="0.25">
      <c r="A3618" s="8" t="s">
        <v>125</v>
      </c>
      <c r="B3618" s="8" t="s">
        <v>148</v>
      </c>
      <c r="C3618" s="8" t="str">
        <f>IFERROR(_xlfn.XLOOKUP(TRIM(B3618),Lookup!$B$2:$B$1000,Lookup!$C$2:$C$1000),"")</f>
        <v>Equity</v>
      </c>
      <c r="D3618" s="8" t="str">
        <f>IFERROR(INDEX('nav master'!$C:$C, MATCH(B3618, 'nav master'!$B:$B, 0)), "")</f>
        <v>ULIF07114/07/23FlexiCapFd101</v>
      </c>
      <c r="E3618" s="8" t="s">
        <v>568</v>
      </c>
      <c r="F3618" s="8" t="s">
        <v>3872</v>
      </c>
    </row>
    <row r="3619" spans="1:6" ht="60" x14ac:dyDescent="0.25">
      <c r="A3619" s="8" t="s">
        <v>125</v>
      </c>
      <c r="B3619" s="8" t="s">
        <v>148</v>
      </c>
      <c r="C3619" s="8" t="str">
        <f>IFERROR(_xlfn.XLOOKUP(TRIM(B3619),Lookup!$B$2:$B$1000,Lookup!$C$2:$C$1000),"")</f>
        <v>Equity</v>
      </c>
      <c r="D3619" s="8" t="str">
        <f>IFERROR(INDEX('nav master'!$C:$C, MATCH(B3619, 'nav master'!$B:$B, 0)), "")</f>
        <v>ULIF07114/07/23FlexiCapFd101</v>
      </c>
      <c r="E3619" s="8" t="s">
        <v>570</v>
      </c>
      <c r="F3619" s="8" t="s">
        <v>3873</v>
      </c>
    </row>
    <row r="3620" spans="1:6" ht="60" x14ac:dyDescent="0.25">
      <c r="A3620" s="8" t="s">
        <v>125</v>
      </c>
      <c r="B3620" s="8" t="s">
        <v>148</v>
      </c>
      <c r="C3620" s="8" t="str">
        <f>IFERROR(_xlfn.XLOOKUP(TRIM(B3620),Lookup!$B$2:$B$1000,Lookup!$C$2:$C$1000),"")</f>
        <v>Equity</v>
      </c>
      <c r="D3620" s="8" t="str">
        <f>IFERROR(INDEX('nav master'!$C:$C, MATCH(B3620, 'nav master'!$B:$B, 0)), "")</f>
        <v>ULIF07114/07/23FlexiCapFd101</v>
      </c>
      <c r="E3620" s="8" t="s">
        <v>572</v>
      </c>
      <c r="F3620" s="8" t="s">
        <v>3874</v>
      </c>
    </row>
    <row r="3621" spans="1:6" ht="60" x14ac:dyDescent="0.25">
      <c r="A3621" s="8" t="s">
        <v>125</v>
      </c>
      <c r="B3621" s="8" t="s">
        <v>148</v>
      </c>
      <c r="C3621" s="8" t="str">
        <f>IFERROR(_xlfn.XLOOKUP(TRIM(B3621),Lookup!$B$2:$B$1000,Lookup!$C$2:$C$1000),"")</f>
        <v>Equity</v>
      </c>
      <c r="D3621" s="8" t="str">
        <f>IFERROR(INDEX('nav master'!$C:$C, MATCH(B3621, 'nav master'!$B:$B, 0)), "")</f>
        <v>ULIF07114/07/23FlexiCapFd101</v>
      </c>
      <c r="E3621" s="8" t="s">
        <v>574</v>
      </c>
      <c r="F3621" s="8" t="s">
        <v>3875</v>
      </c>
    </row>
    <row r="3622" spans="1:6" ht="60" x14ac:dyDescent="0.25">
      <c r="A3622" s="8" t="s">
        <v>125</v>
      </c>
      <c r="B3622" s="8" t="s">
        <v>148</v>
      </c>
      <c r="C3622" s="8" t="str">
        <f>IFERROR(_xlfn.XLOOKUP(TRIM(B3622),Lookup!$B$2:$B$1000,Lookup!$C$2:$C$1000),"")</f>
        <v>Equity</v>
      </c>
      <c r="D3622" s="8" t="str">
        <f>IFERROR(INDEX('nav master'!$C:$C, MATCH(B3622, 'nav master'!$B:$B, 0)), "")</f>
        <v>ULIF07114/07/23FlexiCapFd101</v>
      </c>
      <c r="E3622" s="8" t="s">
        <v>576</v>
      </c>
      <c r="F3622" s="8" t="s">
        <v>3876</v>
      </c>
    </row>
    <row r="3623" spans="1:6" ht="60" x14ac:dyDescent="0.25">
      <c r="A3623" s="8" t="s">
        <v>125</v>
      </c>
      <c r="B3623" s="8" t="s">
        <v>148</v>
      </c>
      <c r="C3623" s="8" t="str">
        <f>IFERROR(_xlfn.XLOOKUP(TRIM(B3623),Lookup!$B$2:$B$1000,Lookup!$C$2:$C$1000),"")</f>
        <v>Equity</v>
      </c>
      <c r="D3623" s="8" t="str">
        <f>IFERROR(INDEX('nav master'!$C:$C, MATCH(B3623, 'nav master'!$B:$B, 0)), "")</f>
        <v>ULIF07114/07/23FlexiCapFd101</v>
      </c>
      <c r="E3623" s="8" t="s">
        <v>578</v>
      </c>
      <c r="F3623" s="8" t="s">
        <v>3877</v>
      </c>
    </row>
    <row r="3624" spans="1:6" ht="60" x14ac:dyDescent="0.25">
      <c r="A3624" s="8" t="s">
        <v>125</v>
      </c>
      <c r="B3624" s="8" t="s">
        <v>148</v>
      </c>
      <c r="C3624" s="8" t="str">
        <f>IFERROR(_xlfn.XLOOKUP(TRIM(B3624),Lookup!$B$2:$B$1000,Lookup!$C$2:$C$1000),"")</f>
        <v>Equity</v>
      </c>
      <c r="D3624" s="8" t="str">
        <f>IFERROR(INDEX('nav master'!$C:$C, MATCH(B3624, 'nav master'!$B:$B, 0)), "")</f>
        <v>ULIF07114/07/23FlexiCapFd101</v>
      </c>
      <c r="E3624" s="8" t="s">
        <v>580</v>
      </c>
      <c r="F3624" s="8" t="s">
        <v>3878</v>
      </c>
    </row>
    <row r="3625" spans="1:6" ht="60" x14ac:dyDescent="0.25">
      <c r="A3625" s="8" t="s">
        <v>125</v>
      </c>
      <c r="B3625" s="8" t="s">
        <v>148</v>
      </c>
      <c r="C3625" s="8" t="str">
        <f>IFERROR(_xlfn.XLOOKUP(TRIM(B3625),Lookup!$B$2:$B$1000,Lookup!$C$2:$C$1000),"")</f>
        <v>Equity</v>
      </c>
      <c r="D3625" s="8" t="str">
        <f>IFERROR(INDEX('nav master'!$C:$C, MATCH(B3625, 'nav master'!$B:$B, 0)), "")</f>
        <v>ULIF07114/07/23FlexiCapFd101</v>
      </c>
      <c r="E3625" s="8" t="s">
        <v>582</v>
      </c>
      <c r="F3625" s="8" t="s">
        <v>3879</v>
      </c>
    </row>
    <row r="3626" spans="1:6" ht="60" x14ac:dyDescent="0.25">
      <c r="A3626" s="8" t="s">
        <v>125</v>
      </c>
      <c r="B3626" s="8" t="s">
        <v>148</v>
      </c>
      <c r="C3626" s="8" t="str">
        <f>IFERROR(_xlfn.XLOOKUP(TRIM(B3626),Lookup!$B$2:$B$1000,Lookup!$C$2:$C$1000),"")</f>
        <v>Equity</v>
      </c>
      <c r="D3626" s="8" t="str">
        <f>IFERROR(INDEX('nav master'!$C:$C, MATCH(B3626, 'nav master'!$B:$B, 0)), "")</f>
        <v>ULIF07114/07/23FlexiCapFd101</v>
      </c>
      <c r="E3626" s="8" t="s">
        <v>584</v>
      </c>
      <c r="F3626" s="8" t="s">
        <v>3880</v>
      </c>
    </row>
    <row r="3627" spans="1:6" ht="60" x14ac:dyDescent="0.25">
      <c r="A3627" s="8" t="s">
        <v>125</v>
      </c>
      <c r="B3627" s="8" t="s">
        <v>148</v>
      </c>
      <c r="C3627" s="8" t="str">
        <f>IFERROR(_xlfn.XLOOKUP(TRIM(B3627),Lookup!$B$2:$B$1000,Lookup!$C$2:$C$1000),"")</f>
        <v>Equity</v>
      </c>
      <c r="D3627" s="8" t="str">
        <f>IFERROR(INDEX('nav master'!$C:$C, MATCH(B3627, 'nav master'!$B:$B, 0)), "")</f>
        <v>ULIF07114/07/23FlexiCapFd101</v>
      </c>
      <c r="E3627" s="8" t="s">
        <v>586</v>
      </c>
      <c r="F3627" s="8" t="s">
        <v>3881</v>
      </c>
    </row>
    <row r="3628" spans="1:6" ht="60" x14ac:dyDescent="0.25">
      <c r="A3628" s="8" t="s">
        <v>125</v>
      </c>
      <c r="B3628" s="8" t="s">
        <v>148</v>
      </c>
      <c r="C3628" s="8" t="str">
        <f>IFERROR(_xlfn.XLOOKUP(TRIM(B3628),Lookup!$B$2:$B$1000,Lookup!$C$2:$C$1000),"")</f>
        <v>Equity</v>
      </c>
      <c r="D3628" s="8" t="str">
        <f>IFERROR(INDEX('nav master'!$C:$C, MATCH(B3628, 'nav master'!$B:$B, 0)), "")</f>
        <v>ULIF07114/07/23FlexiCapFd101</v>
      </c>
      <c r="E3628" s="8" t="s">
        <v>588</v>
      </c>
      <c r="F3628" s="8" t="s">
        <v>3882</v>
      </c>
    </row>
    <row r="3629" spans="1:6" ht="60" x14ac:dyDescent="0.25">
      <c r="A3629" s="8" t="s">
        <v>125</v>
      </c>
      <c r="B3629" s="8" t="s">
        <v>148</v>
      </c>
      <c r="C3629" s="8" t="str">
        <f>IFERROR(_xlfn.XLOOKUP(TRIM(B3629),Lookup!$B$2:$B$1000,Lookup!$C$2:$C$1000),"")</f>
        <v>Equity</v>
      </c>
      <c r="D3629" s="8" t="str">
        <f>IFERROR(INDEX('nav master'!$C:$C, MATCH(B3629, 'nav master'!$B:$B, 0)), "")</f>
        <v>ULIF07114/07/23FlexiCapFd101</v>
      </c>
      <c r="E3629" s="8" t="s">
        <v>590</v>
      </c>
      <c r="F3629" s="8" t="s">
        <v>3883</v>
      </c>
    </row>
    <row r="3630" spans="1:6" ht="60" x14ac:dyDescent="0.25">
      <c r="A3630" s="8" t="s">
        <v>125</v>
      </c>
      <c r="B3630" s="8" t="s">
        <v>148</v>
      </c>
      <c r="C3630" s="8" t="str">
        <f>IFERROR(_xlfn.XLOOKUP(TRIM(B3630),Lookup!$B$2:$B$1000,Lookup!$C$2:$C$1000),"")</f>
        <v>Equity</v>
      </c>
      <c r="D3630" s="8" t="str">
        <f>IFERROR(INDEX('nav master'!$C:$C, MATCH(B3630, 'nav master'!$B:$B, 0)), "")</f>
        <v>ULIF07114/07/23FlexiCapFd101</v>
      </c>
      <c r="E3630" s="8" t="s">
        <v>592</v>
      </c>
      <c r="F3630" s="8" t="s">
        <v>3884</v>
      </c>
    </row>
    <row r="3631" spans="1:6" ht="60" x14ac:dyDescent="0.25">
      <c r="A3631" s="8" t="s">
        <v>125</v>
      </c>
      <c r="B3631" s="8" t="s">
        <v>148</v>
      </c>
      <c r="C3631" s="8" t="str">
        <f>IFERROR(_xlfn.XLOOKUP(TRIM(B3631),Lookup!$B$2:$B$1000,Lookup!$C$2:$C$1000),"")</f>
        <v>Equity</v>
      </c>
      <c r="D3631" s="8" t="str">
        <f>IFERROR(INDEX('nav master'!$C:$C, MATCH(B3631, 'nav master'!$B:$B, 0)), "")</f>
        <v>ULIF07114/07/23FlexiCapFd101</v>
      </c>
      <c r="E3631" s="8" t="s">
        <v>594</v>
      </c>
      <c r="F3631" s="8" t="s">
        <v>3885</v>
      </c>
    </row>
    <row r="3632" spans="1:6" ht="60" x14ac:dyDescent="0.25">
      <c r="A3632" s="8" t="s">
        <v>125</v>
      </c>
      <c r="B3632" s="8" t="s">
        <v>148</v>
      </c>
      <c r="C3632" s="8" t="str">
        <f>IFERROR(_xlfn.XLOOKUP(TRIM(B3632),Lookup!$B$2:$B$1000,Lookup!$C$2:$C$1000),"")</f>
        <v>Equity</v>
      </c>
      <c r="D3632" s="8" t="str">
        <f>IFERROR(INDEX('nav master'!$C:$C, MATCH(B3632, 'nav master'!$B:$B, 0)), "")</f>
        <v>ULIF07114/07/23FlexiCapFd101</v>
      </c>
      <c r="E3632" s="8" t="s">
        <v>596</v>
      </c>
      <c r="F3632" s="8" t="s">
        <v>3886</v>
      </c>
    </row>
    <row r="3633" spans="1:6" ht="60" x14ac:dyDescent="0.25">
      <c r="A3633" s="8" t="s">
        <v>125</v>
      </c>
      <c r="B3633" s="8" t="s">
        <v>148</v>
      </c>
      <c r="C3633" s="8" t="str">
        <f>IFERROR(_xlfn.XLOOKUP(TRIM(B3633),Lookup!$B$2:$B$1000,Lookup!$C$2:$C$1000),"")</f>
        <v>Equity</v>
      </c>
      <c r="D3633" s="8" t="str">
        <f>IFERROR(INDEX('nav master'!$C:$C, MATCH(B3633, 'nav master'!$B:$B, 0)), "")</f>
        <v>ULIF07114/07/23FlexiCapFd101</v>
      </c>
      <c r="E3633" s="8" t="s">
        <v>598</v>
      </c>
      <c r="F3633" s="8" t="s">
        <v>3887</v>
      </c>
    </row>
    <row r="3634" spans="1:6" ht="60" x14ac:dyDescent="0.25">
      <c r="A3634" s="8" t="s">
        <v>125</v>
      </c>
      <c r="B3634" s="8" t="s">
        <v>148</v>
      </c>
      <c r="C3634" s="8" t="str">
        <f>IFERROR(_xlfn.XLOOKUP(TRIM(B3634),Lookup!$B$2:$B$1000,Lookup!$C$2:$C$1000),"")</f>
        <v>Equity</v>
      </c>
      <c r="D3634" s="8" t="str">
        <f>IFERROR(INDEX('nav master'!$C:$C, MATCH(B3634, 'nav master'!$B:$B, 0)), "")</f>
        <v>ULIF07114/07/23FlexiCapFd101</v>
      </c>
      <c r="E3634" s="8" t="s">
        <v>600</v>
      </c>
      <c r="F3634" s="8" t="s">
        <v>3888</v>
      </c>
    </row>
    <row r="3635" spans="1:6" ht="60" x14ac:dyDescent="0.25">
      <c r="A3635" s="8" t="s">
        <v>125</v>
      </c>
      <c r="B3635" s="8" t="s">
        <v>148</v>
      </c>
      <c r="C3635" s="8" t="str">
        <f>IFERROR(_xlfn.XLOOKUP(TRIM(B3635),Lookup!$B$2:$B$1000,Lookup!$C$2:$C$1000),"")</f>
        <v>Equity</v>
      </c>
      <c r="D3635" s="8" t="str">
        <f>IFERROR(INDEX('nav master'!$C:$C, MATCH(B3635, 'nav master'!$B:$B, 0)), "")</f>
        <v>ULIF07114/07/23FlexiCapFd101</v>
      </c>
      <c r="E3635" s="8" t="s">
        <v>602</v>
      </c>
      <c r="F3635" s="8" t="s">
        <v>3889</v>
      </c>
    </row>
    <row r="3636" spans="1:6" ht="60" x14ac:dyDescent="0.25">
      <c r="A3636" s="8" t="s">
        <v>125</v>
      </c>
      <c r="B3636" s="8" t="s">
        <v>148</v>
      </c>
      <c r="C3636" s="8" t="str">
        <f>IFERROR(_xlfn.XLOOKUP(TRIM(B3636),Lookup!$B$2:$B$1000,Lookup!$C$2:$C$1000),"")</f>
        <v>Equity</v>
      </c>
      <c r="D3636" s="8" t="str">
        <f>IFERROR(INDEX('nav master'!$C:$C, MATCH(B3636, 'nav master'!$B:$B, 0)), "")</f>
        <v>ULIF07114/07/23FlexiCapFd101</v>
      </c>
      <c r="E3636" s="8" t="s">
        <v>604</v>
      </c>
      <c r="F3636" s="8" t="s">
        <v>3890</v>
      </c>
    </row>
    <row r="3637" spans="1:6" ht="60" x14ac:dyDescent="0.25">
      <c r="A3637" s="8" t="s">
        <v>125</v>
      </c>
      <c r="B3637" s="8" t="s">
        <v>148</v>
      </c>
      <c r="C3637" s="8" t="str">
        <f>IFERROR(_xlfn.XLOOKUP(TRIM(B3637),Lookup!$B$2:$B$1000,Lookup!$C$2:$C$1000),"")</f>
        <v>Equity</v>
      </c>
      <c r="D3637" s="8" t="str">
        <f>IFERROR(INDEX('nav master'!$C:$C, MATCH(B3637, 'nav master'!$B:$B, 0)), "")</f>
        <v>ULIF07114/07/23FlexiCapFd101</v>
      </c>
      <c r="E3637" s="8" t="s">
        <v>606</v>
      </c>
      <c r="F3637" s="8" t="s">
        <v>3891</v>
      </c>
    </row>
    <row r="3638" spans="1:6" ht="60" x14ac:dyDescent="0.25">
      <c r="A3638" s="8" t="s">
        <v>125</v>
      </c>
      <c r="B3638" s="8" t="s">
        <v>148</v>
      </c>
      <c r="C3638" s="8" t="str">
        <f>IFERROR(_xlfn.XLOOKUP(TRIM(B3638),Lookup!$B$2:$B$1000,Lookup!$C$2:$C$1000),"")</f>
        <v>Equity</v>
      </c>
      <c r="D3638" s="8" t="str">
        <f>IFERROR(INDEX('nav master'!$C:$C, MATCH(B3638, 'nav master'!$B:$B, 0)), "")</f>
        <v>ULIF07114/07/23FlexiCapFd101</v>
      </c>
      <c r="E3638" s="8" t="s">
        <v>608</v>
      </c>
      <c r="F3638" s="8" t="s">
        <v>3892</v>
      </c>
    </row>
    <row r="3639" spans="1:6" ht="60" x14ac:dyDescent="0.25">
      <c r="A3639" s="8" t="s">
        <v>125</v>
      </c>
      <c r="B3639" s="8" t="s">
        <v>148</v>
      </c>
      <c r="C3639" s="8" t="str">
        <f>IFERROR(_xlfn.XLOOKUP(TRIM(B3639),Lookup!$B$2:$B$1000,Lookup!$C$2:$C$1000),"")</f>
        <v>Equity</v>
      </c>
      <c r="D3639" s="8" t="str">
        <f>IFERROR(INDEX('nav master'!$C:$C, MATCH(B3639, 'nav master'!$B:$B, 0)), "")</f>
        <v>ULIF07114/07/23FlexiCapFd101</v>
      </c>
      <c r="E3639" s="8" t="s">
        <v>610</v>
      </c>
      <c r="F3639" s="8" t="s">
        <v>3893</v>
      </c>
    </row>
    <row r="3640" spans="1:6" ht="60" x14ac:dyDescent="0.25">
      <c r="A3640" s="8" t="s">
        <v>125</v>
      </c>
      <c r="B3640" s="8" t="s">
        <v>148</v>
      </c>
      <c r="C3640" s="8" t="str">
        <f>IFERROR(_xlfn.XLOOKUP(TRIM(B3640),Lookup!$B$2:$B$1000,Lookup!$C$2:$C$1000),"")</f>
        <v>Equity</v>
      </c>
      <c r="D3640" s="8" t="str">
        <f>IFERROR(INDEX('nav master'!$C:$C, MATCH(B3640, 'nav master'!$B:$B, 0)), "")</f>
        <v>ULIF07114/07/23FlexiCapFd101</v>
      </c>
      <c r="E3640" s="8" t="s">
        <v>612</v>
      </c>
      <c r="F3640" s="8" t="s">
        <v>3894</v>
      </c>
    </row>
    <row r="3641" spans="1:6" ht="60" x14ac:dyDescent="0.25">
      <c r="A3641" s="8" t="s">
        <v>125</v>
      </c>
      <c r="B3641" s="8" t="s">
        <v>148</v>
      </c>
      <c r="C3641" s="8" t="str">
        <f>IFERROR(_xlfn.XLOOKUP(TRIM(B3641),Lookup!$B$2:$B$1000,Lookup!$C$2:$C$1000),"")</f>
        <v>Equity</v>
      </c>
      <c r="D3641" s="8" t="str">
        <f>IFERROR(INDEX('nav master'!$C:$C, MATCH(B3641, 'nav master'!$B:$B, 0)), "")</f>
        <v>ULIF07114/07/23FlexiCapFd101</v>
      </c>
      <c r="E3641" s="8" t="s">
        <v>614</v>
      </c>
      <c r="F3641" s="8" t="s">
        <v>3895</v>
      </c>
    </row>
    <row r="3642" spans="1:6" ht="60" x14ac:dyDescent="0.25">
      <c r="A3642" s="8" t="s">
        <v>125</v>
      </c>
      <c r="B3642" s="8" t="s">
        <v>148</v>
      </c>
      <c r="C3642" s="8" t="str">
        <f>IFERROR(_xlfn.XLOOKUP(TRIM(B3642),Lookup!$B$2:$B$1000,Lookup!$C$2:$C$1000),"")</f>
        <v>Equity</v>
      </c>
      <c r="D3642" s="8" t="str">
        <f>IFERROR(INDEX('nav master'!$C:$C, MATCH(B3642, 'nav master'!$B:$B, 0)), "")</f>
        <v>ULIF07114/07/23FlexiCapFd101</v>
      </c>
      <c r="E3642" s="8" t="s">
        <v>616</v>
      </c>
      <c r="F3642" s="8" t="s">
        <v>3896</v>
      </c>
    </row>
    <row r="3643" spans="1:6" ht="60" x14ac:dyDescent="0.25">
      <c r="A3643" s="8" t="s">
        <v>125</v>
      </c>
      <c r="B3643" s="8" t="s">
        <v>148</v>
      </c>
      <c r="C3643" s="8" t="str">
        <f>IFERROR(_xlfn.XLOOKUP(TRIM(B3643),Lookup!$B$2:$B$1000,Lookup!$C$2:$C$1000),"")</f>
        <v>Equity</v>
      </c>
      <c r="D3643" s="8" t="str">
        <f>IFERROR(INDEX('nav master'!$C:$C, MATCH(B3643, 'nav master'!$B:$B, 0)), "")</f>
        <v>ULIF07114/07/23FlexiCapFd101</v>
      </c>
      <c r="E3643" s="8" t="s">
        <v>618</v>
      </c>
      <c r="F3643" s="8" t="s">
        <v>3897</v>
      </c>
    </row>
    <row r="3644" spans="1:6" ht="60" x14ac:dyDescent="0.25">
      <c r="A3644" s="8" t="s">
        <v>125</v>
      </c>
      <c r="B3644" s="8" t="s">
        <v>148</v>
      </c>
      <c r="C3644" s="8" t="str">
        <f>IFERROR(_xlfn.XLOOKUP(TRIM(B3644),Lookup!$B$2:$B$1000,Lookup!$C$2:$C$1000),"")</f>
        <v>Equity</v>
      </c>
      <c r="D3644" s="8" t="str">
        <f>IFERROR(INDEX('nav master'!$C:$C, MATCH(B3644, 'nav master'!$B:$B, 0)), "")</f>
        <v>ULIF07114/07/23FlexiCapFd101</v>
      </c>
      <c r="E3644" s="8" t="s">
        <v>620</v>
      </c>
      <c r="F3644" s="8" t="s">
        <v>3898</v>
      </c>
    </row>
    <row r="3645" spans="1:6" ht="60" x14ac:dyDescent="0.25">
      <c r="A3645" s="8" t="s">
        <v>125</v>
      </c>
      <c r="B3645" s="8" t="s">
        <v>148</v>
      </c>
      <c r="C3645" s="8" t="str">
        <f>IFERROR(_xlfn.XLOOKUP(TRIM(B3645),Lookup!$B$2:$B$1000,Lookup!$C$2:$C$1000),"")</f>
        <v>Equity</v>
      </c>
      <c r="D3645" s="8" t="str">
        <f>IFERROR(INDEX('nav master'!$C:$C, MATCH(B3645, 'nav master'!$B:$B, 0)), "")</f>
        <v>ULIF07114/07/23FlexiCapFd101</v>
      </c>
      <c r="E3645" s="8" t="s">
        <v>622</v>
      </c>
      <c r="F3645" s="8" t="s">
        <v>3899</v>
      </c>
    </row>
    <row r="3646" spans="1:6" ht="60" x14ac:dyDescent="0.25">
      <c r="A3646" s="8" t="s">
        <v>125</v>
      </c>
      <c r="B3646" s="8" t="s">
        <v>148</v>
      </c>
      <c r="C3646" s="8" t="str">
        <f>IFERROR(_xlfn.XLOOKUP(TRIM(B3646),Lookup!$B$2:$B$1000,Lookup!$C$2:$C$1000),"")</f>
        <v>Equity</v>
      </c>
      <c r="D3646" s="8" t="str">
        <f>IFERROR(INDEX('nav master'!$C:$C, MATCH(B3646, 'nav master'!$B:$B, 0)), "")</f>
        <v>ULIF07114/07/23FlexiCapFd101</v>
      </c>
      <c r="E3646" s="8" t="s">
        <v>624</v>
      </c>
      <c r="F3646" s="8" t="s">
        <v>3900</v>
      </c>
    </row>
    <row r="3647" spans="1:6" ht="60" x14ac:dyDescent="0.25">
      <c r="A3647" s="8" t="s">
        <v>125</v>
      </c>
      <c r="B3647" s="8" t="s">
        <v>148</v>
      </c>
      <c r="C3647" s="8" t="str">
        <f>IFERROR(_xlfn.XLOOKUP(TRIM(B3647),Lookup!$B$2:$B$1000,Lookup!$C$2:$C$1000),"")</f>
        <v>Equity</v>
      </c>
      <c r="D3647" s="8" t="str">
        <f>IFERROR(INDEX('nav master'!$C:$C, MATCH(B3647, 'nav master'!$B:$B, 0)), "")</f>
        <v>ULIF07114/07/23FlexiCapFd101</v>
      </c>
      <c r="E3647" s="8" t="s">
        <v>626</v>
      </c>
      <c r="F3647" s="8" t="s">
        <v>3901</v>
      </c>
    </row>
    <row r="3648" spans="1:6" ht="60" x14ac:dyDescent="0.25">
      <c r="A3648" s="8" t="s">
        <v>125</v>
      </c>
      <c r="B3648" s="8" t="s">
        <v>148</v>
      </c>
      <c r="C3648" s="8" t="str">
        <f>IFERROR(_xlfn.XLOOKUP(TRIM(B3648),Lookup!$B$2:$B$1000,Lookup!$C$2:$C$1000),"")</f>
        <v>Equity</v>
      </c>
      <c r="D3648" s="8" t="str">
        <f>IFERROR(INDEX('nav master'!$C:$C, MATCH(B3648, 'nav master'!$B:$B, 0)), "")</f>
        <v>ULIF07114/07/23FlexiCapFd101</v>
      </c>
      <c r="E3648" s="8" t="s">
        <v>628</v>
      </c>
      <c r="F3648" s="8" t="s">
        <v>3902</v>
      </c>
    </row>
    <row r="3649" spans="1:6" ht="60" x14ac:dyDescent="0.25">
      <c r="A3649" s="8" t="s">
        <v>125</v>
      </c>
      <c r="B3649" s="8" t="s">
        <v>148</v>
      </c>
      <c r="C3649" s="8" t="str">
        <f>IFERROR(_xlfn.XLOOKUP(TRIM(B3649),Lookup!$B$2:$B$1000,Lookup!$C$2:$C$1000),"")</f>
        <v>Equity</v>
      </c>
      <c r="D3649" s="8" t="str">
        <f>IFERROR(INDEX('nav master'!$C:$C, MATCH(B3649, 'nav master'!$B:$B, 0)), "")</f>
        <v>ULIF07114/07/23FlexiCapFd101</v>
      </c>
      <c r="E3649" s="8" t="s">
        <v>630</v>
      </c>
      <c r="F3649" s="8" t="s">
        <v>3903</v>
      </c>
    </row>
    <row r="3650" spans="1:6" ht="60" x14ac:dyDescent="0.25">
      <c r="A3650" s="8" t="s">
        <v>125</v>
      </c>
      <c r="B3650" s="8" t="s">
        <v>148</v>
      </c>
      <c r="C3650" s="8" t="str">
        <f>IFERROR(_xlfn.XLOOKUP(TRIM(B3650),Lookup!$B$2:$B$1000,Lookup!$C$2:$C$1000),"")</f>
        <v>Equity</v>
      </c>
      <c r="D3650" s="8" t="str">
        <f>IFERROR(INDEX('nav master'!$C:$C, MATCH(B3650, 'nav master'!$B:$B, 0)), "")</f>
        <v>ULIF07114/07/23FlexiCapFd101</v>
      </c>
      <c r="E3650" s="8" t="s">
        <v>632</v>
      </c>
      <c r="F3650" s="8" t="s">
        <v>3904</v>
      </c>
    </row>
    <row r="3651" spans="1:6" ht="60" x14ac:dyDescent="0.25">
      <c r="A3651" s="8" t="s">
        <v>125</v>
      </c>
      <c r="B3651" s="8" t="s">
        <v>148</v>
      </c>
      <c r="C3651" s="8" t="str">
        <f>IFERROR(_xlfn.XLOOKUP(TRIM(B3651),Lookup!$B$2:$B$1000,Lookup!$C$2:$C$1000),"")</f>
        <v>Equity</v>
      </c>
      <c r="D3651" s="8" t="str">
        <f>IFERROR(INDEX('nav master'!$C:$C, MATCH(B3651, 'nav master'!$B:$B, 0)), "")</f>
        <v>ULIF07114/07/23FlexiCapFd101</v>
      </c>
      <c r="E3651" s="8" t="s">
        <v>634</v>
      </c>
      <c r="F3651" s="8" t="s">
        <v>3905</v>
      </c>
    </row>
    <row r="3652" spans="1:6" ht="60" x14ac:dyDescent="0.25">
      <c r="A3652" s="8" t="s">
        <v>125</v>
      </c>
      <c r="B3652" s="8" t="s">
        <v>148</v>
      </c>
      <c r="C3652" s="8" t="str">
        <f>IFERROR(_xlfn.XLOOKUP(TRIM(B3652),Lookup!$B$2:$B$1000,Lookup!$C$2:$C$1000),"")</f>
        <v>Equity</v>
      </c>
      <c r="D3652" s="8" t="str">
        <f>IFERROR(INDEX('nav master'!$C:$C, MATCH(B3652, 'nav master'!$B:$B, 0)), "")</f>
        <v>ULIF07114/07/23FlexiCapFd101</v>
      </c>
      <c r="E3652" s="8" t="s">
        <v>636</v>
      </c>
      <c r="F3652" s="8" t="s">
        <v>3906</v>
      </c>
    </row>
    <row r="3653" spans="1:6" ht="60" x14ac:dyDescent="0.25">
      <c r="A3653" s="8" t="s">
        <v>125</v>
      </c>
      <c r="B3653" s="8" t="s">
        <v>148</v>
      </c>
      <c r="C3653" s="8" t="str">
        <f>IFERROR(_xlfn.XLOOKUP(TRIM(B3653),Lookup!$B$2:$B$1000,Lookup!$C$2:$C$1000),"")</f>
        <v>Equity</v>
      </c>
      <c r="D3653" s="8" t="str">
        <f>IFERROR(INDEX('nav master'!$C:$C, MATCH(B3653, 'nav master'!$B:$B, 0)), "")</f>
        <v>ULIF07114/07/23FlexiCapFd101</v>
      </c>
      <c r="E3653" s="8" t="s">
        <v>638</v>
      </c>
      <c r="F3653" s="8" t="s">
        <v>3907</v>
      </c>
    </row>
    <row r="3654" spans="1:6" ht="60" x14ac:dyDescent="0.25">
      <c r="A3654" s="8" t="s">
        <v>125</v>
      </c>
      <c r="B3654" s="8" t="s">
        <v>148</v>
      </c>
      <c r="C3654" s="8" t="str">
        <f>IFERROR(_xlfn.XLOOKUP(TRIM(B3654),Lookup!$B$2:$B$1000,Lookup!$C$2:$C$1000),"")</f>
        <v>Equity</v>
      </c>
      <c r="D3654" s="8" t="str">
        <f>IFERROR(INDEX('nav master'!$C:$C, MATCH(B3654, 'nav master'!$B:$B, 0)), "")</f>
        <v>ULIF07114/07/23FlexiCapFd101</v>
      </c>
      <c r="E3654" s="8" t="s">
        <v>640</v>
      </c>
      <c r="F3654" s="8" t="s">
        <v>3908</v>
      </c>
    </row>
    <row r="3655" spans="1:6" ht="60" x14ac:dyDescent="0.25">
      <c r="A3655" s="8" t="s">
        <v>125</v>
      </c>
      <c r="B3655" s="8" t="s">
        <v>148</v>
      </c>
      <c r="C3655" s="8" t="str">
        <f>IFERROR(_xlfn.XLOOKUP(TRIM(B3655),Lookup!$B$2:$B$1000,Lookup!$C$2:$C$1000),"")</f>
        <v>Equity</v>
      </c>
      <c r="D3655" s="8" t="str">
        <f>IFERROR(INDEX('nav master'!$C:$C, MATCH(B3655, 'nav master'!$B:$B, 0)), "")</f>
        <v>ULIF07114/07/23FlexiCapFd101</v>
      </c>
      <c r="E3655" s="8" t="s">
        <v>642</v>
      </c>
      <c r="F3655" s="8" t="s">
        <v>2463</v>
      </c>
    </row>
    <row r="3656" spans="1:6" ht="60" x14ac:dyDescent="0.25">
      <c r="A3656" s="8" t="s">
        <v>125</v>
      </c>
      <c r="B3656" s="8" t="s">
        <v>148</v>
      </c>
      <c r="C3656" s="8" t="str">
        <f>IFERROR(_xlfn.XLOOKUP(TRIM(B3656),Lookup!$B$2:$B$1000,Lookup!$C$2:$C$1000),"")</f>
        <v>Equity</v>
      </c>
      <c r="D3656" s="8" t="str">
        <f>IFERROR(INDEX('nav master'!$C:$C, MATCH(B3656, 'nav master'!$B:$B, 0)), "")</f>
        <v>ULIF07114/07/23FlexiCapFd101</v>
      </c>
      <c r="E3656" s="8" t="s">
        <v>644</v>
      </c>
      <c r="F3656" s="8" t="s">
        <v>3909</v>
      </c>
    </row>
    <row r="3657" spans="1:6" ht="60" x14ac:dyDescent="0.25">
      <c r="A3657" s="8" t="s">
        <v>125</v>
      </c>
      <c r="B3657" s="8" t="s">
        <v>148</v>
      </c>
      <c r="C3657" s="8" t="str">
        <f>IFERROR(_xlfn.XLOOKUP(TRIM(B3657),Lookup!$B$2:$B$1000,Lookup!$C$2:$C$1000),"")</f>
        <v>Equity</v>
      </c>
      <c r="D3657" s="8" t="str">
        <f>IFERROR(INDEX('nav master'!$C:$C, MATCH(B3657, 'nav master'!$B:$B, 0)), "")</f>
        <v>ULIF07114/07/23FlexiCapFd101</v>
      </c>
      <c r="E3657" s="8" t="s">
        <v>646</v>
      </c>
      <c r="F3657" s="8" t="s">
        <v>3910</v>
      </c>
    </row>
    <row r="3658" spans="1:6" ht="60" x14ac:dyDescent="0.25">
      <c r="A3658" s="8" t="s">
        <v>125</v>
      </c>
      <c r="B3658" s="8" t="s">
        <v>148</v>
      </c>
      <c r="C3658" s="8" t="str">
        <f>IFERROR(_xlfn.XLOOKUP(TRIM(B3658),Lookup!$B$2:$B$1000,Lookup!$C$2:$C$1000),"")</f>
        <v>Equity</v>
      </c>
      <c r="D3658" s="8" t="str">
        <f>IFERROR(INDEX('nav master'!$C:$C, MATCH(B3658, 'nav master'!$B:$B, 0)), "")</f>
        <v>ULIF07114/07/23FlexiCapFd101</v>
      </c>
      <c r="E3658" s="8" t="s">
        <v>648</v>
      </c>
      <c r="F3658" s="8" t="s">
        <v>3911</v>
      </c>
    </row>
    <row r="3659" spans="1:6" ht="60" x14ac:dyDescent="0.25">
      <c r="A3659" s="8" t="s">
        <v>125</v>
      </c>
      <c r="B3659" s="8" t="s">
        <v>148</v>
      </c>
      <c r="C3659" s="8" t="str">
        <f>IFERROR(_xlfn.XLOOKUP(TRIM(B3659),Lookup!$B$2:$B$1000,Lookup!$C$2:$C$1000),"")</f>
        <v>Equity</v>
      </c>
      <c r="D3659" s="8" t="str">
        <f>IFERROR(INDEX('nav master'!$C:$C, MATCH(B3659, 'nav master'!$B:$B, 0)), "")</f>
        <v>ULIF07114/07/23FlexiCapFd101</v>
      </c>
      <c r="E3659" s="8" t="s">
        <v>650</v>
      </c>
      <c r="F3659" s="8" t="s">
        <v>3912</v>
      </c>
    </row>
    <row r="3660" spans="1:6" ht="60" x14ac:dyDescent="0.25">
      <c r="A3660" s="8" t="s">
        <v>125</v>
      </c>
      <c r="B3660" s="8" t="s">
        <v>148</v>
      </c>
      <c r="C3660" s="8" t="str">
        <f>IFERROR(_xlfn.XLOOKUP(TRIM(B3660),Lookup!$B$2:$B$1000,Lookup!$C$2:$C$1000),"")</f>
        <v>Equity</v>
      </c>
      <c r="D3660" s="8" t="str">
        <f>IFERROR(INDEX('nav master'!$C:$C, MATCH(B3660, 'nav master'!$B:$B, 0)), "")</f>
        <v>ULIF07114/07/23FlexiCapFd101</v>
      </c>
      <c r="E3660" s="8" t="s">
        <v>652</v>
      </c>
      <c r="F3660" s="8" t="s">
        <v>3913</v>
      </c>
    </row>
    <row r="3661" spans="1:6" ht="60" x14ac:dyDescent="0.25">
      <c r="A3661" s="8" t="s">
        <v>125</v>
      </c>
      <c r="B3661" s="8" t="s">
        <v>148</v>
      </c>
      <c r="C3661" s="8" t="str">
        <f>IFERROR(_xlfn.XLOOKUP(TRIM(B3661),Lookup!$B$2:$B$1000,Lookup!$C$2:$C$1000),"")</f>
        <v>Equity</v>
      </c>
      <c r="D3661" s="8" t="str">
        <f>IFERROR(INDEX('nav master'!$C:$C, MATCH(B3661, 'nav master'!$B:$B, 0)), "")</f>
        <v>ULIF07114/07/23FlexiCapFd101</v>
      </c>
      <c r="E3661" s="8" t="s">
        <v>654</v>
      </c>
      <c r="F3661" s="8" t="s">
        <v>3914</v>
      </c>
    </row>
    <row r="3662" spans="1:6" ht="60" x14ac:dyDescent="0.25">
      <c r="A3662" s="8" t="s">
        <v>125</v>
      </c>
      <c r="B3662" s="8" t="s">
        <v>148</v>
      </c>
      <c r="C3662" s="8" t="str">
        <f>IFERROR(_xlfn.XLOOKUP(TRIM(B3662),Lookup!$B$2:$B$1000,Lookup!$C$2:$C$1000),"")</f>
        <v>Equity</v>
      </c>
      <c r="D3662" s="8" t="str">
        <f>IFERROR(INDEX('nav master'!$C:$C, MATCH(B3662, 'nav master'!$B:$B, 0)), "")</f>
        <v>ULIF07114/07/23FlexiCapFd101</v>
      </c>
      <c r="E3662" s="8" t="s">
        <v>656</v>
      </c>
      <c r="F3662" s="8" t="s">
        <v>3915</v>
      </c>
    </row>
    <row r="3663" spans="1:6" ht="60" x14ac:dyDescent="0.25">
      <c r="A3663" s="8" t="s">
        <v>125</v>
      </c>
      <c r="B3663" s="8" t="s">
        <v>148</v>
      </c>
      <c r="C3663" s="8" t="str">
        <f>IFERROR(_xlfn.XLOOKUP(TRIM(B3663),Lookup!$B$2:$B$1000,Lookup!$C$2:$C$1000),"")</f>
        <v>Equity</v>
      </c>
      <c r="D3663" s="8" t="str">
        <f>IFERROR(INDEX('nav master'!$C:$C, MATCH(B3663, 'nav master'!$B:$B, 0)), "")</f>
        <v>ULIF07114/07/23FlexiCapFd101</v>
      </c>
      <c r="E3663" s="8" t="s">
        <v>658</v>
      </c>
      <c r="F3663" s="8" t="s">
        <v>3916</v>
      </c>
    </row>
    <row r="3664" spans="1:6" ht="60" x14ac:dyDescent="0.25">
      <c r="A3664" s="8" t="s">
        <v>125</v>
      </c>
      <c r="B3664" s="8" t="s">
        <v>148</v>
      </c>
      <c r="C3664" s="8" t="str">
        <f>IFERROR(_xlfn.XLOOKUP(TRIM(B3664),Lookup!$B$2:$B$1000,Lookup!$C$2:$C$1000),"")</f>
        <v>Equity</v>
      </c>
      <c r="D3664" s="8" t="str">
        <f>IFERROR(INDEX('nav master'!$C:$C, MATCH(B3664, 'nav master'!$B:$B, 0)), "")</f>
        <v>ULIF07114/07/23FlexiCapFd101</v>
      </c>
      <c r="E3664" s="8" t="s">
        <v>660</v>
      </c>
      <c r="F3664" s="8" t="s">
        <v>3917</v>
      </c>
    </row>
    <row r="3665" spans="1:6" ht="60" x14ac:dyDescent="0.25">
      <c r="A3665" s="8" t="s">
        <v>125</v>
      </c>
      <c r="B3665" s="8" t="s">
        <v>148</v>
      </c>
      <c r="C3665" s="8" t="str">
        <f>IFERROR(_xlfn.XLOOKUP(TRIM(B3665),Lookup!$B$2:$B$1000,Lookup!$C$2:$C$1000),"")</f>
        <v>Equity</v>
      </c>
      <c r="D3665" s="8" t="str">
        <f>IFERROR(INDEX('nav master'!$C:$C, MATCH(B3665, 'nav master'!$B:$B, 0)), "")</f>
        <v>ULIF07114/07/23FlexiCapFd101</v>
      </c>
      <c r="E3665" s="8" t="s">
        <v>662</v>
      </c>
      <c r="F3665" s="8" t="s">
        <v>3918</v>
      </c>
    </row>
    <row r="3666" spans="1:6" ht="60" x14ac:dyDescent="0.25">
      <c r="A3666" s="8" t="s">
        <v>125</v>
      </c>
      <c r="B3666" s="8" t="s">
        <v>148</v>
      </c>
      <c r="C3666" s="8" t="str">
        <f>IFERROR(_xlfn.XLOOKUP(TRIM(B3666),Lookup!$B$2:$B$1000,Lookup!$C$2:$C$1000),"")</f>
        <v>Equity</v>
      </c>
      <c r="D3666" s="8" t="str">
        <f>IFERROR(INDEX('nav master'!$C:$C, MATCH(B3666, 'nav master'!$B:$B, 0)), "")</f>
        <v>ULIF07114/07/23FlexiCapFd101</v>
      </c>
      <c r="E3666" s="8" t="s">
        <v>664</v>
      </c>
      <c r="F3666" s="8" t="s">
        <v>3919</v>
      </c>
    </row>
    <row r="3667" spans="1:6" ht="60" x14ac:dyDescent="0.25">
      <c r="A3667" s="8" t="s">
        <v>125</v>
      </c>
      <c r="B3667" s="8" t="s">
        <v>148</v>
      </c>
      <c r="C3667" s="8" t="str">
        <f>IFERROR(_xlfn.XLOOKUP(TRIM(B3667),Lookup!$B$2:$B$1000,Lookup!$C$2:$C$1000),"")</f>
        <v>Equity</v>
      </c>
      <c r="D3667" s="8" t="str">
        <f>IFERROR(INDEX('nav master'!$C:$C, MATCH(B3667, 'nav master'!$B:$B, 0)), "")</f>
        <v>ULIF07114/07/23FlexiCapFd101</v>
      </c>
      <c r="E3667" s="8" t="s">
        <v>4892</v>
      </c>
      <c r="F3667" s="8" t="s">
        <v>5013</v>
      </c>
    </row>
    <row r="3668" spans="1:6" ht="60" x14ac:dyDescent="0.25">
      <c r="A3668" s="8" t="s">
        <v>125</v>
      </c>
      <c r="B3668" s="8" t="s">
        <v>148</v>
      </c>
      <c r="C3668" s="8" t="str">
        <f>IFERROR(_xlfn.XLOOKUP(TRIM(B3668),Lookup!$B$2:$B$1000,Lookup!$C$2:$C$1000),"")</f>
        <v>Equity</v>
      </c>
      <c r="D3668" s="8" t="str">
        <f>IFERROR(INDEX('nav master'!$C:$C, MATCH(B3668, 'nav master'!$B:$B, 0)), "")</f>
        <v>ULIF07114/07/23FlexiCapFd101</v>
      </c>
      <c r="E3668" s="8" t="s">
        <v>4894</v>
      </c>
      <c r="F3668" s="8" t="s">
        <v>5014</v>
      </c>
    </row>
    <row r="3669" spans="1:6" ht="60" x14ac:dyDescent="0.25">
      <c r="A3669" s="8" t="s">
        <v>125</v>
      </c>
      <c r="B3669" s="8" t="s">
        <v>148</v>
      </c>
      <c r="C3669" s="8" t="str">
        <f>IFERROR(_xlfn.XLOOKUP(TRIM(B3669),Lookup!$B$2:$B$1000,Lookup!$C$2:$C$1000),"")</f>
        <v>Equity</v>
      </c>
      <c r="D3669" s="8" t="str">
        <f>IFERROR(INDEX('nav master'!$C:$C, MATCH(B3669, 'nav master'!$B:$B, 0)), "")</f>
        <v>ULIF07114/07/23FlexiCapFd101</v>
      </c>
      <c r="E3669" s="8" t="s">
        <v>4896</v>
      </c>
      <c r="F3669" s="8" t="s">
        <v>5015</v>
      </c>
    </row>
    <row r="3670" spans="1:6" ht="60" x14ac:dyDescent="0.25">
      <c r="A3670" s="8" t="s">
        <v>125</v>
      </c>
      <c r="B3670" s="8" t="s">
        <v>148</v>
      </c>
      <c r="C3670" s="8" t="str">
        <f>IFERROR(_xlfn.XLOOKUP(TRIM(B3670),Lookup!$B$2:$B$1000,Lookup!$C$2:$C$1000),"")</f>
        <v>Equity</v>
      </c>
      <c r="D3670" s="8" t="str">
        <f>IFERROR(INDEX('nav master'!$C:$C, MATCH(B3670, 'nav master'!$B:$B, 0)), "")</f>
        <v>ULIF07114/07/23FlexiCapFd101</v>
      </c>
      <c r="E3670" s="8" t="s">
        <v>4898</v>
      </c>
      <c r="F3670" s="8" t="s">
        <v>5016</v>
      </c>
    </row>
    <row r="3671" spans="1:6" ht="60" x14ac:dyDescent="0.25">
      <c r="A3671" s="8" t="s">
        <v>125</v>
      </c>
      <c r="B3671" s="8" t="s">
        <v>148</v>
      </c>
      <c r="C3671" s="8" t="str">
        <f>IFERROR(_xlfn.XLOOKUP(TRIM(B3671),Lookup!$B$2:$B$1000,Lookup!$C$2:$C$1000),"")</f>
        <v>Equity</v>
      </c>
      <c r="D3671" s="8" t="str">
        <f>IFERROR(INDEX('nav master'!$C:$C, MATCH(B3671, 'nav master'!$B:$B, 0)), "")</f>
        <v>ULIF07114/07/23FlexiCapFd101</v>
      </c>
      <c r="E3671" s="8" t="s">
        <v>4900</v>
      </c>
      <c r="F3671" s="8" t="s">
        <v>5017</v>
      </c>
    </row>
    <row r="3672" spans="1:6" ht="60" x14ac:dyDescent="0.25">
      <c r="A3672" s="8" t="s">
        <v>125</v>
      </c>
      <c r="B3672" s="8" t="s">
        <v>148</v>
      </c>
      <c r="C3672" s="8" t="str">
        <f>IFERROR(_xlfn.XLOOKUP(TRIM(B3672),Lookup!$B$2:$B$1000,Lookup!$C$2:$C$1000),"")</f>
        <v>Equity</v>
      </c>
      <c r="D3672" s="8" t="str">
        <f>IFERROR(INDEX('nav master'!$C:$C, MATCH(B3672, 'nav master'!$B:$B, 0)), "")</f>
        <v>ULIF07114/07/23FlexiCapFd101</v>
      </c>
      <c r="E3672" s="8" t="s">
        <v>4902</v>
      </c>
      <c r="F3672" s="8" t="s">
        <v>5018</v>
      </c>
    </row>
    <row r="3673" spans="1:6" ht="60" x14ac:dyDescent="0.25">
      <c r="A3673" s="8" t="s">
        <v>125</v>
      </c>
      <c r="B3673" s="8" t="s">
        <v>148</v>
      </c>
      <c r="C3673" s="8" t="str">
        <f>IFERROR(_xlfn.XLOOKUP(TRIM(B3673),Lookup!$B$2:$B$1000,Lookup!$C$2:$C$1000),"")</f>
        <v>Equity</v>
      </c>
      <c r="D3673" s="8" t="str">
        <f>IFERROR(INDEX('nav master'!$C:$C, MATCH(B3673, 'nav master'!$B:$B, 0)), "")</f>
        <v>ULIF07114/07/23FlexiCapFd101</v>
      </c>
      <c r="E3673" s="8" t="s">
        <v>4903</v>
      </c>
      <c r="F3673" s="8" t="s">
        <v>5019</v>
      </c>
    </row>
    <row r="3674" spans="1:6" ht="60" x14ac:dyDescent="0.25">
      <c r="A3674" s="8" t="s">
        <v>125</v>
      </c>
      <c r="B3674" s="8" t="s">
        <v>148</v>
      </c>
      <c r="C3674" s="8" t="str">
        <f>IFERROR(_xlfn.XLOOKUP(TRIM(B3674),Lookup!$B$2:$B$1000,Lookup!$C$2:$C$1000),"")</f>
        <v>Equity</v>
      </c>
      <c r="D3674" s="8" t="str">
        <f>IFERROR(INDEX('nav master'!$C:$C, MATCH(B3674, 'nav master'!$B:$B, 0)), "")</f>
        <v>ULIF07114/07/23FlexiCapFd101</v>
      </c>
      <c r="E3674" s="8" t="s">
        <v>4905</v>
      </c>
      <c r="F3674" s="8" t="s">
        <v>5020</v>
      </c>
    </row>
    <row r="3675" spans="1:6" ht="60" x14ac:dyDescent="0.25">
      <c r="A3675" s="8" t="s">
        <v>125</v>
      </c>
      <c r="B3675" s="8" t="s">
        <v>150</v>
      </c>
      <c r="C3675" s="8" t="str">
        <f>IFERROR(_xlfn.XLOOKUP(TRIM(B3675),Lookup!$B$2:$B$1000,Lookup!$C$2:$C$1000),"")</f>
        <v>Equity</v>
      </c>
      <c r="D3675" s="8" t="str">
        <f>IFERROR(INDEX('nav master'!$C:$C, MATCH(B3675, 'nav master'!$B:$B, 0)), "")</f>
        <v>ULIF07317/01/24MidCpMoIdx101</v>
      </c>
      <c r="E3675" s="8" t="s">
        <v>189</v>
      </c>
      <c r="F3675" s="8" t="s">
        <v>3920</v>
      </c>
    </row>
    <row r="3676" spans="1:6" ht="60" x14ac:dyDescent="0.25">
      <c r="A3676" s="8" t="s">
        <v>125</v>
      </c>
      <c r="B3676" s="8" t="s">
        <v>150</v>
      </c>
      <c r="C3676" s="8" t="str">
        <f>IFERROR(_xlfn.XLOOKUP(TRIM(B3676),Lookup!$B$2:$B$1000,Lookup!$C$2:$C$1000),"")</f>
        <v>Equity</v>
      </c>
      <c r="D3676" s="8" t="str">
        <f>IFERROR(INDEX('nav master'!$C:$C, MATCH(B3676, 'nav master'!$B:$B, 0)), "")</f>
        <v>ULIF07317/01/24MidCpMoIdx101</v>
      </c>
      <c r="E3676" s="8" t="s">
        <v>191</v>
      </c>
      <c r="F3676" s="8" t="s">
        <v>3921</v>
      </c>
    </row>
    <row r="3677" spans="1:6" ht="60" x14ac:dyDescent="0.25">
      <c r="A3677" s="8" t="s">
        <v>125</v>
      </c>
      <c r="B3677" s="8" t="s">
        <v>150</v>
      </c>
      <c r="C3677" s="8" t="str">
        <f>IFERROR(_xlfn.XLOOKUP(TRIM(B3677),Lookup!$B$2:$B$1000,Lookup!$C$2:$C$1000),"")</f>
        <v>Equity</v>
      </c>
      <c r="D3677" s="8" t="str">
        <f>IFERROR(INDEX('nav master'!$C:$C, MATCH(B3677, 'nav master'!$B:$B, 0)), "")</f>
        <v>ULIF07317/01/24MidCpMoIdx101</v>
      </c>
      <c r="E3677" s="8" t="s">
        <v>193</v>
      </c>
      <c r="F3677" s="8" t="s">
        <v>3922</v>
      </c>
    </row>
    <row r="3678" spans="1:6" ht="60" x14ac:dyDescent="0.25">
      <c r="A3678" s="8" t="s">
        <v>125</v>
      </c>
      <c r="B3678" s="8" t="s">
        <v>150</v>
      </c>
      <c r="C3678" s="8" t="str">
        <f>IFERROR(_xlfn.XLOOKUP(TRIM(B3678),Lookup!$B$2:$B$1000,Lookup!$C$2:$C$1000),"")</f>
        <v>Equity</v>
      </c>
      <c r="D3678" s="8" t="str">
        <f>IFERROR(INDEX('nav master'!$C:$C, MATCH(B3678, 'nav master'!$B:$B, 0)), "")</f>
        <v>ULIF07317/01/24MidCpMoIdx101</v>
      </c>
      <c r="E3678" s="8" t="s">
        <v>195</v>
      </c>
      <c r="F3678" s="8" t="s">
        <v>3923</v>
      </c>
    </row>
    <row r="3679" spans="1:6" ht="60" x14ac:dyDescent="0.25">
      <c r="A3679" s="8" t="s">
        <v>125</v>
      </c>
      <c r="B3679" s="8" t="s">
        <v>150</v>
      </c>
      <c r="C3679" s="8" t="str">
        <f>IFERROR(_xlfn.XLOOKUP(TRIM(B3679),Lookup!$B$2:$B$1000,Lookup!$C$2:$C$1000),"")</f>
        <v>Equity</v>
      </c>
      <c r="D3679" s="8" t="str">
        <f>IFERROR(INDEX('nav master'!$C:$C, MATCH(B3679, 'nav master'!$B:$B, 0)), "")</f>
        <v>ULIF07317/01/24MidCpMoIdx101</v>
      </c>
      <c r="E3679" s="8" t="s">
        <v>197</v>
      </c>
      <c r="F3679" s="8" t="s">
        <v>3924</v>
      </c>
    </row>
    <row r="3680" spans="1:6" ht="60" x14ac:dyDescent="0.25">
      <c r="A3680" s="8" t="s">
        <v>125</v>
      </c>
      <c r="B3680" s="8" t="s">
        <v>150</v>
      </c>
      <c r="C3680" s="8" t="str">
        <f>IFERROR(_xlfn.XLOOKUP(TRIM(B3680),Lookup!$B$2:$B$1000,Lookup!$C$2:$C$1000),"")</f>
        <v>Equity</v>
      </c>
      <c r="D3680" s="8" t="str">
        <f>IFERROR(INDEX('nav master'!$C:$C, MATCH(B3680, 'nav master'!$B:$B, 0)), "")</f>
        <v>ULIF07317/01/24MidCpMoIdx101</v>
      </c>
      <c r="E3680" s="8" t="s">
        <v>199</v>
      </c>
      <c r="F3680" s="8" t="s">
        <v>3925</v>
      </c>
    </row>
    <row r="3681" spans="1:6" ht="60" x14ac:dyDescent="0.25">
      <c r="A3681" s="8" t="s">
        <v>125</v>
      </c>
      <c r="B3681" s="8" t="s">
        <v>150</v>
      </c>
      <c r="C3681" s="8" t="str">
        <f>IFERROR(_xlfn.XLOOKUP(TRIM(B3681),Lookup!$B$2:$B$1000,Lookup!$C$2:$C$1000),"")</f>
        <v>Equity</v>
      </c>
      <c r="D3681" s="8" t="str">
        <f>IFERROR(INDEX('nav master'!$C:$C, MATCH(B3681, 'nav master'!$B:$B, 0)), "")</f>
        <v>ULIF07317/01/24MidCpMoIdx101</v>
      </c>
      <c r="E3681" s="8" t="s">
        <v>201</v>
      </c>
      <c r="F3681" s="8" t="s">
        <v>3926</v>
      </c>
    </row>
    <row r="3682" spans="1:6" ht="60" x14ac:dyDescent="0.25">
      <c r="A3682" s="8" t="s">
        <v>125</v>
      </c>
      <c r="B3682" s="8" t="s">
        <v>150</v>
      </c>
      <c r="C3682" s="8" t="str">
        <f>IFERROR(_xlfn.XLOOKUP(TRIM(B3682),Lookup!$B$2:$B$1000,Lookup!$C$2:$C$1000),"")</f>
        <v>Equity</v>
      </c>
      <c r="D3682" s="8" t="str">
        <f>IFERROR(INDEX('nav master'!$C:$C, MATCH(B3682, 'nav master'!$B:$B, 0)), "")</f>
        <v>ULIF07317/01/24MidCpMoIdx101</v>
      </c>
      <c r="E3682" s="8" t="s">
        <v>203</v>
      </c>
      <c r="F3682" s="8" t="s">
        <v>3927</v>
      </c>
    </row>
    <row r="3683" spans="1:6" ht="60" x14ac:dyDescent="0.25">
      <c r="A3683" s="8" t="s">
        <v>125</v>
      </c>
      <c r="B3683" s="8" t="s">
        <v>150</v>
      </c>
      <c r="C3683" s="8" t="str">
        <f>IFERROR(_xlfn.XLOOKUP(TRIM(B3683),Lookup!$B$2:$B$1000,Lookup!$C$2:$C$1000),"")</f>
        <v>Equity</v>
      </c>
      <c r="D3683" s="8" t="str">
        <f>IFERROR(INDEX('nav master'!$C:$C, MATCH(B3683, 'nav master'!$B:$B, 0)), "")</f>
        <v>ULIF07317/01/24MidCpMoIdx101</v>
      </c>
      <c r="E3683" s="8" t="s">
        <v>205</v>
      </c>
      <c r="F3683" s="8" t="s">
        <v>3928</v>
      </c>
    </row>
    <row r="3684" spans="1:6" ht="60" x14ac:dyDescent="0.25">
      <c r="A3684" s="8" t="s">
        <v>125</v>
      </c>
      <c r="B3684" s="8" t="s">
        <v>150</v>
      </c>
      <c r="C3684" s="8" t="str">
        <f>IFERROR(_xlfn.XLOOKUP(TRIM(B3684),Lookup!$B$2:$B$1000,Lookup!$C$2:$C$1000),"")</f>
        <v>Equity</v>
      </c>
      <c r="D3684" s="8" t="str">
        <f>IFERROR(INDEX('nav master'!$C:$C, MATCH(B3684, 'nav master'!$B:$B, 0)), "")</f>
        <v>ULIF07317/01/24MidCpMoIdx101</v>
      </c>
      <c r="E3684" s="8" t="s">
        <v>207</v>
      </c>
      <c r="F3684" s="8" t="s">
        <v>3929</v>
      </c>
    </row>
    <row r="3685" spans="1:6" ht="60" x14ac:dyDescent="0.25">
      <c r="A3685" s="8" t="s">
        <v>125</v>
      </c>
      <c r="B3685" s="8" t="s">
        <v>150</v>
      </c>
      <c r="C3685" s="8" t="str">
        <f>IFERROR(_xlfn.XLOOKUP(TRIM(B3685),Lookup!$B$2:$B$1000,Lookup!$C$2:$C$1000),"")</f>
        <v>Equity</v>
      </c>
      <c r="D3685" s="8" t="str">
        <f>IFERROR(INDEX('nav master'!$C:$C, MATCH(B3685, 'nav master'!$B:$B, 0)), "")</f>
        <v>ULIF07317/01/24MidCpMoIdx101</v>
      </c>
      <c r="E3685" s="8" t="s">
        <v>209</v>
      </c>
      <c r="F3685" s="8" t="s">
        <v>3930</v>
      </c>
    </row>
    <row r="3686" spans="1:6" ht="60" x14ac:dyDescent="0.25">
      <c r="A3686" s="8" t="s">
        <v>125</v>
      </c>
      <c r="B3686" s="8" t="s">
        <v>150</v>
      </c>
      <c r="C3686" s="8" t="str">
        <f>IFERROR(_xlfn.XLOOKUP(TRIM(B3686),Lookup!$B$2:$B$1000,Lookup!$C$2:$C$1000),"")</f>
        <v>Equity</v>
      </c>
      <c r="D3686" s="8" t="str">
        <f>IFERROR(INDEX('nav master'!$C:$C, MATCH(B3686, 'nav master'!$B:$B, 0)), "")</f>
        <v>ULIF07317/01/24MidCpMoIdx101</v>
      </c>
      <c r="E3686" s="8" t="s">
        <v>211</v>
      </c>
      <c r="F3686" s="8" t="s">
        <v>3931</v>
      </c>
    </row>
    <row r="3687" spans="1:6" ht="60" x14ac:dyDescent="0.25">
      <c r="A3687" s="8" t="s">
        <v>125</v>
      </c>
      <c r="B3687" s="8" t="s">
        <v>150</v>
      </c>
      <c r="C3687" s="8" t="str">
        <f>IFERROR(_xlfn.XLOOKUP(TRIM(B3687),Lookup!$B$2:$B$1000,Lookup!$C$2:$C$1000),"")</f>
        <v>Equity</v>
      </c>
      <c r="D3687" s="8" t="str">
        <f>IFERROR(INDEX('nav master'!$C:$C, MATCH(B3687, 'nav master'!$B:$B, 0)), "")</f>
        <v>ULIF07317/01/24MidCpMoIdx101</v>
      </c>
      <c r="E3687" s="8" t="s">
        <v>213</v>
      </c>
      <c r="F3687" s="8" t="s">
        <v>3932</v>
      </c>
    </row>
    <row r="3688" spans="1:6" ht="60" x14ac:dyDescent="0.25">
      <c r="A3688" s="8" t="s">
        <v>125</v>
      </c>
      <c r="B3688" s="8" t="s">
        <v>150</v>
      </c>
      <c r="C3688" s="8" t="str">
        <f>IFERROR(_xlfn.XLOOKUP(TRIM(B3688),Lookup!$B$2:$B$1000,Lookup!$C$2:$C$1000),"")</f>
        <v>Equity</v>
      </c>
      <c r="D3688" s="8" t="str">
        <f>IFERROR(INDEX('nav master'!$C:$C, MATCH(B3688, 'nav master'!$B:$B, 0)), "")</f>
        <v>ULIF07317/01/24MidCpMoIdx101</v>
      </c>
      <c r="E3688" s="8" t="s">
        <v>215</v>
      </c>
      <c r="F3688" s="8" t="s">
        <v>2808</v>
      </c>
    </row>
    <row r="3689" spans="1:6" ht="60" x14ac:dyDescent="0.25">
      <c r="A3689" s="8" t="s">
        <v>125</v>
      </c>
      <c r="B3689" s="8" t="s">
        <v>150</v>
      </c>
      <c r="C3689" s="8" t="str">
        <f>IFERROR(_xlfn.XLOOKUP(TRIM(B3689),Lookup!$B$2:$B$1000,Lookup!$C$2:$C$1000),"")</f>
        <v>Equity</v>
      </c>
      <c r="D3689" s="8" t="str">
        <f>IFERROR(INDEX('nav master'!$C:$C, MATCH(B3689, 'nav master'!$B:$B, 0)), "")</f>
        <v>ULIF07317/01/24MidCpMoIdx101</v>
      </c>
      <c r="E3689" s="8" t="s">
        <v>217</v>
      </c>
      <c r="F3689" s="8" t="s">
        <v>3933</v>
      </c>
    </row>
    <row r="3690" spans="1:6" ht="60" x14ac:dyDescent="0.25">
      <c r="A3690" s="8" t="s">
        <v>125</v>
      </c>
      <c r="B3690" s="8" t="s">
        <v>150</v>
      </c>
      <c r="C3690" s="8" t="str">
        <f>IFERROR(_xlfn.XLOOKUP(TRIM(B3690),Lookup!$B$2:$B$1000,Lookup!$C$2:$C$1000),"")</f>
        <v>Equity</v>
      </c>
      <c r="D3690" s="8" t="str">
        <f>IFERROR(INDEX('nav master'!$C:$C, MATCH(B3690, 'nav master'!$B:$B, 0)), "")</f>
        <v>ULIF07317/01/24MidCpMoIdx101</v>
      </c>
      <c r="E3690" s="8" t="s">
        <v>219</v>
      </c>
      <c r="F3690" s="8" t="s">
        <v>3934</v>
      </c>
    </row>
    <row r="3691" spans="1:6" ht="60" x14ac:dyDescent="0.25">
      <c r="A3691" s="8" t="s">
        <v>125</v>
      </c>
      <c r="B3691" s="8" t="s">
        <v>150</v>
      </c>
      <c r="C3691" s="8" t="str">
        <f>IFERROR(_xlfn.XLOOKUP(TRIM(B3691),Lookup!$B$2:$B$1000,Lookup!$C$2:$C$1000),"")</f>
        <v>Equity</v>
      </c>
      <c r="D3691" s="8" t="str">
        <f>IFERROR(INDEX('nav master'!$C:$C, MATCH(B3691, 'nav master'!$B:$B, 0)), "")</f>
        <v>ULIF07317/01/24MidCpMoIdx101</v>
      </c>
      <c r="E3691" s="8" t="s">
        <v>221</v>
      </c>
      <c r="F3691" s="8" t="s">
        <v>3935</v>
      </c>
    </row>
    <row r="3692" spans="1:6" ht="60" x14ac:dyDescent="0.25">
      <c r="A3692" s="8" t="s">
        <v>125</v>
      </c>
      <c r="B3692" s="8" t="s">
        <v>150</v>
      </c>
      <c r="C3692" s="8" t="str">
        <f>IFERROR(_xlfn.XLOOKUP(TRIM(B3692),Lookup!$B$2:$B$1000,Lookup!$C$2:$C$1000),"")</f>
        <v>Equity</v>
      </c>
      <c r="D3692" s="8" t="str">
        <f>IFERROR(INDEX('nav master'!$C:$C, MATCH(B3692, 'nav master'!$B:$B, 0)), "")</f>
        <v>ULIF07317/01/24MidCpMoIdx101</v>
      </c>
      <c r="E3692" s="8" t="s">
        <v>223</v>
      </c>
      <c r="F3692" s="8" t="s">
        <v>3936</v>
      </c>
    </row>
    <row r="3693" spans="1:6" ht="60" x14ac:dyDescent="0.25">
      <c r="A3693" s="8" t="s">
        <v>125</v>
      </c>
      <c r="B3693" s="8" t="s">
        <v>150</v>
      </c>
      <c r="C3693" s="8" t="str">
        <f>IFERROR(_xlfn.XLOOKUP(TRIM(B3693),Lookup!$B$2:$B$1000,Lookup!$C$2:$C$1000),"")</f>
        <v>Equity</v>
      </c>
      <c r="D3693" s="8" t="str">
        <f>IFERROR(INDEX('nav master'!$C:$C, MATCH(B3693, 'nav master'!$B:$B, 0)), "")</f>
        <v>ULIF07317/01/24MidCpMoIdx101</v>
      </c>
      <c r="E3693" s="8" t="s">
        <v>225</v>
      </c>
      <c r="F3693" s="8" t="s">
        <v>3937</v>
      </c>
    </row>
    <row r="3694" spans="1:6" ht="60" x14ac:dyDescent="0.25">
      <c r="A3694" s="8" t="s">
        <v>125</v>
      </c>
      <c r="B3694" s="8" t="s">
        <v>150</v>
      </c>
      <c r="C3694" s="8" t="str">
        <f>IFERROR(_xlfn.XLOOKUP(TRIM(B3694),Lookup!$B$2:$B$1000,Lookup!$C$2:$C$1000),"")</f>
        <v>Equity</v>
      </c>
      <c r="D3694" s="8" t="str">
        <f>IFERROR(INDEX('nav master'!$C:$C, MATCH(B3694, 'nav master'!$B:$B, 0)), "")</f>
        <v>ULIF07317/01/24MidCpMoIdx101</v>
      </c>
      <c r="E3694" s="8" t="s">
        <v>227</v>
      </c>
      <c r="F3694" s="8" t="s">
        <v>3938</v>
      </c>
    </row>
    <row r="3695" spans="1:6" ht="60" x14ac:dyDescent="0.25">
      <c r="A3695" s="8" t="s">
        <v>125</v>
      </c>
      <c r="B3695" s="8" t="s">
        <v>150</v>
      </c>
      <c r="C3695" s="8" t="str">
        <f>IFERROR(_xlfn.XLOOKUP(TRIM(B3695),Lookup!$B$2:$B$1000,Lookup!$C$2:$C$1000),"")</f>
        <v>Equity</v>
      </c>
      <c r="D3695" s="8" t="str">
        <f>IFERROR(INDEX('nav master'!$C:$C, MATCH(B3695, 'nav master'!$B:$B, 0)), "")</f>
        <v>ULIF07317/01/24MidCpMoIdx101</v>
      </c>
      <c r="E3695" s="8" t="s">
        <v>229</v>
      </c>
      <c r="F3695" s="8" t="s">
        <v>3939</v>
      </c>
    </row>
    <row r="3696" spans="1:6" ht="60" x14ac:dyDescent="0.25">
      <c r="A3696" s="8" t="s">
        <v>125</v>
      </c>
      <c r="B3696" s="8" t="s">
        <v>150</v>
      </c>
      <c r="C3696" s="8" t="str">
        <f>IFERROR(_xlfn.XLOOKUP(TRIM(B3696),Lookup!$B$2:$B$1000,Lookup!$C$2:$C$1000),"")</f>
        <v>Equity</v>
      </c>
      <c r="D3696" s="8" t="str">
        <f>IFERROR(INDEX('nav master'!$C:$C, MATCH(B3696, 'nav master'!$B:$B, 0)), "")</f>
        <v>ULIF07317/01/24MidCpMoIdx101</v>
      </c>
      <c r="E3696" s="8" t="s">
        <v>231</v>
      </c>
      <c r="F3696" s="8" t="s">
        <v>3940</v>
      </c>
    </row>
    <row r="3697" spans="1:6" ht="60" x14ac:dyDescent="0.25">
      <c r="A3697" s="8" t="s">
        <v>125</v>
      </c>
      <c r="B3697" s="8" t="s">
        <v>150</v>
      </c>
      <c r="C3697" s="8" t="str">
        <f>IFERROR(_xlfn.XLOOKUP(TRIM(B3697),Lookup!$B$2:$B$1000,Lookup!$C$2:$C$1000),"")</f>
        <v>Equity</v>
      </c>
      <c r="D3697" s="8" t="str">
        <f>IFERROR(INDEX('nav master'!$C:$C, MATCH(B3697, 'nav master'!$B:$B, 0)), "")</f>
        <v>ULIF07317/01/24MidCpMoIdx101</v>
      </c>
      <c r="E3697" s="8" t="s">
        <v>233</v>
      </c>
      <c r="F3697" s="8" t="s">
        <v>3941</v>
      </c>
    </row>
    <row r="3698" spans="1:6" ht="60" x14ac:dyDescent="0.25">
      <c r="A3698" s="8" t="s">
        <v>125</v>
      </c>
      <c r="B3698" s="8" t="s">
        <v>150</v>
      </c>
      <c r="C3698" s="8" t="str">
        <f>IFERROR(_xlfn.XLOOKUP(TRIM(B3698),Lookup!$B$2:$B$1000,Lookup!$C$2:$C$1000),"")</f>
        <v>Equity</v>
      </c>
      <c r="D3698" s="8" t="str">
        <f>IFERROR(INDEX('nav master'!$C:$C, MATCH(B3698, 'nav master'!$B:$B, 0)), "")</f>
        <v>ULIF07317/01/24MidCpMoIdx101</v>
      </c>
      <c r="E3698" s="8" t="s">
        <v>235</v>
      </c>
      <c r="F3698" s="8" t="s">
        <v>3942</v>
      </c>
    </row>
    <row r="3699" spans="1:6" ht="60" x14ac:dyDescent="0.25">
      <c r="A3699" s="8" t="s">
        <v>125</v>
      </c>
      <c r="B3699" s="8" t="s">
        <v>150</v>
      </c>
      <c r="C3699" s="8" t="str">
        <f>IFERROR(_xlfn.XLOOKUP(TRIM(B3699),Lookup!$B$2:$B$1000,Lookup!$C$2:$C$1000),"")</f>
        <v>Equity</v>
      </c>
      <c r="D3699" s="8" t="str">
        <f>IFERROR(INDEX('nav master'!$C:$C, MATCH(B3699, 'nav master'!$B:$B, 0)), "")</f>
        <v>ULIF07317/01/24MidCpMoIdx101</v>
      </c>
      <c r="E3699" s="8" t="s">
        <v>237</v>
      </c>
      <c r="F3699" s="8" t="s">
        <v>3943</v>
      </c>
    </row>
    <row r="3700" spans="1:6" ht="60" x14ac:dyDescent="0.25">
      <c r="A3700" s="8" t="s">
        <v>125</v>
      </c>
      <c r="B3700" s="8" t="s">
        <v>150</v>
      </c>
      <c r="C3700" s="8" t="str">
        <f>IFERROR(_xlfn.XLOOKUP(TRIM(B3700),Lookup!$B$2:$B$1000,Lookup!$C$2:$C$1000),"")</f>
        <v>Equity</v>
      </c>
      <c r="D3700" s="8" t="str">
        <f>IFERROR(INDEX('nav master'!$C:$C, MATCH(B3700, 'nav master'!$B:$B, 0)), "")</f>
        <v>ULIF07317/01/24MidCpMoIdx101</v>
      </c>
      <c r="E3700" s="8" t="s">
        <v>239</v>
      </c>
      <c r="F3700" s="8" t="s">
        <v>3944</v>
      </c>
    </row>
    <row r="3701" spans="1:6" ht="60" x14ac:dyDescent="0.25">
      <c r="A3701" s="8" t="s">
        <v>125</v>
      </c>
      <c r="B3701" s="8" t="s">
        <v>150</v>
      </c>
      <c r="C3701" s="8" t="str">
        <f>IFERROR(_xlfn.XLOOKUP(TRIM(B3701),Lookup!$B$2:$B$1000,Lookup!$C$2:$C$1000),"")</f>
        <v>Equity</v>
      </c>
      <c r="D3701" s="8" t="str">
        <f>IFERROR(INDEX('nav master'!$C:$C, MATCH(B3701, 'nav master'!$B:$B, 0)), "")</f>
        <v>ULIF07317/01/24MidCpMoIdx101</v>
      </c>
      <c r="E3701" s="8" t="s">
        <v>241</v>
      </c>
      <c r="F3701" s="8" t="s">
        <v>3945</v>
      </c>
    </row>
    <row r="3702" spans="1:6" ht="60" x14ac:dyDescent="0.25">
      <c r="A3702" s="8" t="s">
        <v>125</v>
      </c>
      <c r="B3702" s="8" t="s">
        <v>150</v>
      </c>
      <c r="C3702" s="8" t="str">
        <f>IFERROR(_xlfn.XLOOKUP(TRIM(B3702),Lookup!$B$2:$B$1000,Lookup!$C$2:$C$1000),"")</f>
        <v>Equity</v>
      </c>
      <c r="D3702" s="8" t="str">
        <f>IFERROR(INDEX('nav master'!$C:$C, MATCH(B3702, 'nav master'!$B:$B, 0)), "")</f>
        <v>ULIF07317/01/24MidCpMoIdx101</v>
      </c>
      <c r="E3702" s="8" t="s">
        <v>243</v>
      </c>
      <c r="F3702" s="8" t="s">
        <v>3946</v>
      </c>
    </row>
    <row r="3703" spans="1:6" ht="60" x14ac:dyDescent="0.25">
      <c r="A3703" s="8" t="s">
        <v>125</v>
      </c>
      <c r="B3703" s="8" t="s">
        <v>150</v>
      </c>
      <c r="C3703" s="8" t="str">
        <f>IFERROR(_xlfn.XLOOKUP(TRIM(B3703),Lookup!$B$2:$B$1000,Lookup!$C$2:$C$1000),"")</f>
        <v>Equity</v>
      </c>
      <c r="D3703" s="8" t="str">
        <f>IFERROR(INDEX('nav master'!$C:$C, MATCH(B3703, 'nav master'!$B:$B, 0)), "")</f>
        <v>ULIF07317/01/24MidCpMoIdx101</v>
      </c>
      <c r="E3703" s="8" t="s">
        <v>245</v>
      </c>
      <c r="F3703" s="8" t="s">
        <v>3947</v>
      </c>
    </row>
    <row r="3704" spans="1:6" ht="60" x14ac:dyDescent="0.25">
      <c r="A3704" s="8" t="s">
        <v>125</v>
      </c>
      <c r="B3704" s="8" t="s">
        <v>150</v>
      </c>
      <c r="C3704" s="8" t="str">
        <f>IFERROR(_xlfn.XLOOKUP(TRIM(B3704),Lookup!$B$2:$B$1000,Lookup!$C$2:$C$1000),"")</f>
        <v>Equity</v>
      </c>
      <c r="D3704" s="8" t="str">
        <f>IFERROR(INDEX('nav master'!$C:$C, MATCH(B3704, 'nav master'!$B:$B, 0)), "")</f>
        <v>ULIF07317/01/24MidCpMoIdx101</v>
      </c>
      <c r="E3704" s="8" t="s">
        <v>247</v>
      </c>
      <c r="F3704" s="8" t="s">
        <v>3948</v>
      </c>
    </row>
    <row r="3705" spans="1:6" ht="60" x14ac:dyDescent="0.25">
      <c r="A3705" s="8" t="s">
        <v>125</v>
      </c>
      <c r="B3705" s="8" t="s">
        <v>150</v>
      </c>
      <c r="C3705" s="8" t="str">
        <f>IFERROR(_xlfn.XLOOKUP(TRIM(B3705),Lookup!$B$2:$B$1000,Lookup!$C$2:$C$1000),"")</f>
        <v>Equity</v>
      </c>
      <c r="D3705" s="8" t="str">
        <f>IFERROR(INDEX('nav master'!$C:$C, MATCH(B3705, 'nav master'!$B:$B, 0)), "")</f>
        <v>ULIF07317/01/24MidCpMoIdx101</v>
      </c>
      <c r="E3705" s="8" t="s">
        <v>249</v>
      </c>
      <c r="F3705" s="8" t="s">
        <v>3949</v>
      </c>
    </row>
    <row r="3706" spans="1:6" ht="60" x14ac:dyDescent="0.25">
      <c r="A3706" s="8" t="s">
        <v>125</v>
      </c>
      <c r="B3706" s="8" t="s">
        <v>150</v>
      </c>
      <c r="C3706" s="8" t="str">
        <f>IFERROR(_xlfn.XLOOKUP(TRIM(B3706),Lookup!$B$2:$B$1000,Lookup!$C$2:$C$1000),"")</f>
        <v>Equity</v>
      </c>
      <c r="D3706" s="8" t="str">
        <f>IFERROR(INDEX('nav master'!$C:$C, MATCH(B3706, 'nav master'!$B:$B, 0)), "")</f>
        <v>ULIF07317/01/24MidCpMoIdx101</v>
      </c>
      <c r="E3706" s="8" t="s">
        <v>251</v>
      </c>
      <c r="F3706" s="8" t="s">
        <v>3950</v>
      </c>
    </row>
    <row r="3707" spans="1:6" ht="60" x14ac:dyDescent="0.25">
      <c r="A3707" s="8" t="s">
        <v>125</v>
      </c>
      <c r="B3707" s="8" t="s">
        <v>150</v>
      </c>
      <c r="C3707" s="8" t="str">
        <f>IFERROR(_xlfn.XLOOKUP(TRIM(B3707),Lookup!$B$2:$B$1000,Lookup!$C$2:$C$1000),"")</f>
        <v>Equity</v>
      </c>
      <c r="D3707" s="8" t="str">
        <f>IFERROR(INDEX('nav master'!$C:$C, MATCH(B3707, 'nav master'!$B:$B, 0)), "")</f>
        <v>ULIF07317/01/24MidCpMoIdx101</v>
      </c>
      <c r="E3707" s="8" t="s">
        <v>253</v>
      </c>
      <c r="F3707" s="8" t="s">
        <v>3951</v>
      </c>
    </row>
    <row r="3708" spans="1:6" ht="60" x14ac:dyDescent="0.25">
      <c r="A3708" s="8" t="s">
        <v>125</v>
      </c>
      <c r="B3708" s="8" t="s">
        <v>150</v>
      </c>
      <c r="C3708" s="8" t="str">
        <f>IFERROR(_xlfn.XLOOKUP(TRIM(B3708),Lookup!$B$2:$B$1000,Lookup!$C$2:$C$1000),"")</f>
        <v>Equity</v>
      </c>
      <c r="D3708" s="8" t="str">
        <f>IFERROR(INDEX('nav master'!$C:$C, MATCH(B3708, 'nav master'!$B:$B, 0)), "")</f>
        <v>ULIF07317/01/24MidCpMoIdx101</v>
      </c>
      <c r="E3708" s="8" t="s">
        <v>255</v>
      </c>
      <c r="F3708" s="8" t="s">
        <v>3952</v>
      </c>
    </row>
    <row r="3709" spans="1:6" ht="60" x14ac:dyDescent="0.25">
      <c r="A3709" s="8" t="s">
        <v>125</v>
      </c>
      <c r="B3709" s="8" t="s">
        <v>150</v>
      </c>
      <c r="C3709" s="8" t="str">
        <f>IFERROR(_xlfn.XLOOKUP(TRIM(B3709),Lookup!$B$2:$B$1000,Lookup!$C$2:$C$1000),"")</f>
        <v>Equity</v>
      </c>
      <c r="D3709" s="8" t="str">
        <f>IFERROR(INDEX('nav master'!$C:$C, MATCH(B3709, 'nav master'!$B:$B, 0)), "")</f>
        <v>ULIF07317/01/24MidCpMoIdx101</v>
      </c>
      <c r="E3709" s="8" t="s">
        <v>257</v>
      </c>
      <c r="F3709" s="8" t="s">
        <v>3953</v>
      </c>
    </row>
    <row r="3710" spans="1:6" ht="60" x14ac:dyDescent="0.25">
      <c r="A3710" s="8" t="s">
        <v>125</v>
      </c>
      <c r="B3710" s="8" t="s">
        <v>150</v>
      </c>
      <c r="C3710" s="8" t="str">
        <f>IFERROR(_xlfn.XLOOKUP(TRIM(B3710),Lookup!$B$2:$B$1000,Lookup!$C$2:$C$1000),"")</f>
        <v>Equity</v>
      </c>
      <c r="D3710" s="8" t="str">
        <f>IFERROR(INDEX('nav master'!$C:$C, MATCH(B3710, 'nav master'!$B:$B, 0)), "")</f>
        <v>ULIF07317/01/24MidCpMoIdx101</v>
      </c>
      <c r="E3710" s="8" t="s">
        <v>259</v>
      </c>
      <c r="F3710" s="8" t="s">
        <v>3954</v>
      </c>
    </row>
    <row r="3711" spans="1:6" ht="60" x14ac:dyDescent="0.25">
      <c r="A3711" s="8" t="s">
        <v>125</v>
      </c>
      <c r="B3711" s="8" t="s">
        <v>150</v>
      </c>
      <c r="C3711" s="8" t="str">
        <f>IFERROR(_xlfn.XLOOKUP(TRIM(B3711),Lookup!$B$2:$B$1000,Lookup!$C$2:$C$1000),"")</f>
        <v>Equity</v>
      </c>
      <c r="D3711" s="8" t="str">
        <f>IFERROR(INDEX('nav master'!$C:$C, MATCH(B3711, 'nav master'!$B:$B, 0)), "")</f>
        <v>ULIF07317/01/24MidCpMoIdx101</v>
      </c>
      <c r="E3711" s="8" t="s">
        <v>261</v>
      </c>
      <c r="F3711" s="8" t="s">
        <v>3955</v>
      </c>
    </row>
    <row r="3712" spans="1:6" ht="60" x14ac:dyDescent="0.25">
      <c r="A3712" s="8" t="s">
        <v>125</v>
      </c>
      <c r="B3712" s="8" t="s">
        <v>150</v>
      </c>
      <c r="C3712" s="8" t="str">
        <f>IFERROR(_xlfn.XLOOKUP(TRIM(B3712),Lookup!$B$2:$B$1000,Lookup!$C$2:$C$1000),"")</f>
        <v>Equity</v>
      </c>
      <c r="D3712" s="8" t="str">
        <f>IFERROR(INDEX('nav master'!$C:$C, MATCH(B3712, 'nav master'!$B:$B, 0)), "")</f>
        <v>ULIF07317/01/24MidCpMoIdx101</v>
      </c>
      <c r="E3712" s="8" t="s">
        <v>263</v>
      </c>
      <c r="F3712" s="8" t="s">
        <v>3956</v>
      </c>
    </row>
    <row r="3713" spans="1:6" ht="60" x14ac:dyDescent="0.25">
      <c r="A3713" s="8" t="s">
        <v>125</v>
      </c>
      <c r="B3713" s="8" t="s">
        <v>150</v>
      </c>
      <c r="C3713" s="8" t="str">
        <f>IFERROR(_xlfn.XLOOKUP(TRIM(B3713),Lookup!$B$2:$B$1000,Lookup!$C$2:$C$1000),"")</f>
        <v>Equity</v>
      </c>
      <c r="D3713" s="8" t="str">
        <f>IFERROR(INDEX('nav master'!$C:$C, MATCH(B3713, 'nav master'!$B:$B, 0)), "")</f>
        <v>ULIF07317/01/24MidCpMoIdx101</v>
      </c>
      <c r="E3713" s="8" t="s">
        <v>265</v>
      </c>
      <c r="F3713" s="8" t="s">
        <v>3957</v>
      </c>
    </row>
    <row r="3714" spans="1:6" ht="60" x14ac:dyDescent="0.25">
      <c r="A3714" s="8" t="s">
        <v>125</v>
      </c>
      <c r="B3714" s="8" t="s">
        <v>150</v>
      </c>
      <c r="C3714" s="8" t="str">
        <f>IFERROR(_xlfn.XLOOKUP(TRIM(B3714),Lookup!$B$2:$B$1000,Lookup!$C$2:$C$1000),"")</f>
        <v>Equity</v>
      </c>
      <c r="D3714" s="8" t="str">
        <f>IFERROR(INDEX('nav master'!$C:$C, MATCH(B3714, 'nav master'!$B:$B, 0)), "")</f>
        <v>ULIF07317/01/24MidCpMoIdx101</v>
      </c>
      <c r="E3714" s="8" t="s">
        <v>267</v>
      </c>
      <c r="F3714" s="8" t="s">
        <v>3958</v>
      </c>
    </row>
    <row r="3715" spans="1:6" ht="60" x14ac:dyDescent="0.25">
      <c r="A3715" s="8" t="s">
        <v>125</v>
      </c>
      <c r="B3715" s="8" t="s">
        <v>150</v>
      </c>
      <c r="C3715" s="8" t="str">
        <f>IFERROR(_xlfn.XLOOKUP(TRIM(B3715),Lookup!$B$2:$B$1000,Lookup!$C$2:$C$1000),"")</f>
        <v>Equity</v>
      </c>
      <c r="D3715" s="8" t="str">
        <f>IFERROR(INDEX('nav master'!$C:$C, MATCH(B3715, 'nav master'!$B:$B, 0)), "")</f>
        <v>ULIF07317/01/24MidCpMoIdx101</v>
      </c>
      <c r="E3715" s="8" t="s">
        <v>269</v>
      </c>
      <c r="F3715" s="8" t="s">
        <v>3959</v>
      </c>
    </row>
    <row r="3716" spans="1:6" ht="60" x14ac:dyDescent="0.25">
      <c r="A3716" s="8" t="s">
        <v>125</v>
      </c>
      <c r="B3716" s="8" t="s">
        <v>150</v>
      </c>
      <c r="C3716" s="8" t="str">
        <f>IFERROR(_xlfn.XLOOKUP(TRIM(B3716),Lookup!$B$2:$B$1000,Lookup!$C$2:$C$1000),"")</f>
        <v>Equity</v>
      </c>
      <c r="D3716" s="8" t="str">
        <f>IFERROR(INDEX('nav master'!$C:$C, MATCH(B3716, 'nav master'!$B:$B, 0)), "")</f>
        <v>ULIF07317/01/24MidCpMoIdx101</v>
      </c>
      <c r="E3716" s="8" t="s">
        <v>271</v>
      </c>
      <c r="F3716" s="8" t="s">
        <v>3960</v>
      </c>
    </row>
    <row r="3717" spans="1:6" ht="60" x14ac:dyDescent="0.25">
      <c r="A3717" s="8" t="s">
        <v>125</v>
      </c>
      <c r="B3717" s="8" t="s">
        <v>150</v>
      </c>
      <c r="C3717" s="8" t="str">
        <f>IFERROR(_xlfn.XLOOKUP(TRIM(B3717),Lookup!$B$2:$B$1000,Lookup!$C$2:$C$1000),"")</f>
        <v>Equity</v>
      </c>
      <c r="D3717" s="8" t="str">
        <f>IFERROR(INDEX('nav master'!$C:$C, MATCH(B3717, 'nav master'!$B:$B, 0)), "")</f>
        <v>ULIF07317/01/24MidCpMoIdx101</v>
      </c>
      <c r="E3717" s="8" t="s">
        <v>273</v>
      </c>
      <c r="F3717" s="8" t="s">
        <v>3961</v>
      </c>
    </row>
    <row r="3718" spans="1:6" ht="60" x14ac:dyDescent="0.25">
      <c r="A3718" s="8" t="s">
        <v>125</v>
      </c>
      <c r="B3718" s="8" t="s">
        <v>150</v>
      </c>
      <c r="C3718" s="8" t="str">
        <f>IFERROR(_xlfn.XLOOKUP(TRIM(B3718),Lookup!$B$2:$B$1000,Lookup!$C$2:$C$1000),"")</f>
        <v>Equity</v>
      </c>
      <c r="D3718" s="8" t="str">
        <f>IFERROR(INDEX('nav master'!$C:$C, MATCH(B3718, 'nav master'!$B:$B, 0)), "")</f>
        <v>ULIF07317/01/24MidCpMoIdx101</v>
      </c>
      <c r="E3718" s="8" t="s">
        <v>275</v>
      </c>
      <c r="F3718" s="8" t="s">
        <v>2704</v>
      </c>
    </row>
    <row r="3719" spans="1:6" ht="60" x14ac:dyDescent="0.25">
      <c r="A3719" s="8" t="s">
        <v>125</v>
      </c>
      <c r="B3719" s="8" t="s">
        <v>150</v>
      </c>
      <c r="C3719" s="8" t="str">
        <f>IFERROR(_xlfn.XLOOKUP(TRIM(B3719),Lookup!$B$2:$B$1000,Lookup!$C$2:$C$1000),"")</f>
        <v>Equity</v>
      </c>
      <c r="D3719" s="8" t="str">
        <f>IFERROR(INDEX('nav master'!$C:$C, MATCH(B3719, 'nav master'!$B:$B, 0)), "")</f>
        <v>ULIF07317/01/24MidCpMoIdx101</v>
      </c>
      <c r="E3719" s="8" t="s">
        <v>277</v>
      </c>
      <c r="F3719" s="8" t="s">
        <v>3962</v>
      </c>
    </row>
    <row r="3720" spans="1:6" ht="60" x14ac:dyDescent="0.25">
      <c r="A3720" s="8" t="s">
        <v>125</v>
      </c>
      <c r="B3720" s="8" t="s">
        <v>150</v>
      </c>
      <c r="C3720" s="8" t="str">
        <f>IFERROR(_xlfn.XLOOKUP(TRIM(B3720),Lookup!$B$2:$B$1000,Lookup!$C$2:$C$1000),"")</f>
        <v>Equity</v>
      </c>
      <c r="D3720" s="8" t="str">
        <f>IFERROR(INDEX('nav master'!$C:$C, MATCH(B3720, 'nav master'!$B:$B, 0)), "")</f>
        <v>ULIF07317/01/24MidCpMoIdx101</v>
      </c>
      <c r="E3720" s="8" t="s">
        <v>279</v>
      </c>
      <c r="F3720" s="8" t="s">
        <v>3963</v>
      </c>
    </row>
    <row r="3721" spans="1:6" ht="60" x14ac:dyDescent="0.25">
      <c r="A3721" s="8" t="s">
        <v>125</v>
      </c>
      <c r="B3721" s="8" t="s">
        <v>150</v>
      </c>
      <c r="C3721" s="8" t="str">
        <f>IFERROR(_xlfn.XLOOKUP(TRIM(B3721),Lookup!$B$2:$B$1000,Lookup!$C$2:$C$1000),"")</f>
        <v>Equity</v>
      </c>
      <c r="D3721" s="8" t="str">
        <f>IFERROR(INDEX('nav master'!$C:$C, MATCH(B3721, 'nav master'!$B:$B, 0)), "")</f>
        <v>ULIF07317/01/24MidCpMoIdx101</v>
      </c>
      <c r="E3721" s="8" t="s">
        <v>281</v>
      </c>
      <c r="F3721" s="8" t="s">
        <v>3964</v>
      </c>
    </row>
    <row r="3722" spans="1:6" ht="60" x14ac:dyDescent="0.25">
      <c r="A3722" s="8" t="s">
        <v>125</v>
      </c>
      <c r="B3722" s="8" t="s">
        <v>150</v>
      </c>
      <c r="C3722" s="8" t="str">
        <f>IFERROR(_xlfn.XLOOKUP(TRIM(B3722),Lookup!$B$2:$B$1000,Lookup!$C$2:$C$1000),"")</f>
        <v>Equity</v>
      </c>
      <c r="D3722" s="8" t="str">
        <f>IFERROR(INDEX('nav master'!$C:$C, MATCH(B3722, 'nav master'!$B:$B, 0)), "")</f>
        <v>ULIF07317/01/24MidCpMoIdx101</v>
      </c>
      <c r="E3722" s="8" t="s">
        <v>283</v>
      </c>
      <c r="F3722" s="8" t="s">
        <v>3965</v>
      </c>
    </row>
    <row r="3723" spans="1:6" ht="60" x14ac:dyDescent="0.25">
      <c r="A3723" s="8" t="s">
        <v>125</v>
      </c>
      <c r="B3723" s="8" t="s">
        <v>150</v>
      </c>
      <c r="C3723" s="8" t="str">
        <f>IFERROR(_xlfn.XLOOKUP(TRIM(B3723),Lookup!$B$2:$B$1000,Lookup!$C$2:$C$1000),"")</f>
        <v>Equity</v>
      </c>
      <c r="D3723" s="8" t="str">
        <f>IFERROR(INDEX('nav master'!$C:$C, MATCH(B3723, 'nav master'!$B:$B, 0)), "")</f>
        <v>ULIF07317/01/24MidCpMoIdx101</v>
      </c>
      <c r="E3723" s="8" t="s">
        <v>285</v>
      </c>
      <c r="F3723" s="8" t="s">
        <v>3966</v>
      </c>
    </row>
    <row r="3724" spans="1:6" ht="60" x14ac:dyDescent="0.25">
      <c r="A3724" s="8" t="s">
        <v>125</v>
      </c>
      <c r="B3724" s="8" t="s">
        <v>150</v>
      </c>
      <c r="C3724" s="8" t="str">
        <f>IFERROR(_xlfn.XLOOKUP(TRIM(B3724),Lookup!$B$2:$B$1000,Lookup!$C$2:$C$1000),"")</f>
        <v>Equity</v>
      </c>
      <c r="D3724" s="8" t="str">
        <f>IFERROR(INDEX('nav master'!$C:$C, MATCH(B3724, 'nav master'!$B:$B, 0)), "")</f>
        <v>ULIF07317/01/24MidCpMoIdx101</v>
      </c>
      <c r="E3724" s="8" t="s">
        <v>287</v>
      </c>
      <c r="F3724" s="8" t="s">
        <v>3967</v>
      </c>
    </row>
    <row r="3725" spans="1:6" ht="60" x14ac:dyDescent="0.25">
      <c r="A3725" s="8" t="s">
        <v>125</v>
      </c>
      <c r="B3725" s="8" t="s">
        <v>150</v>
      </c>
      <c r="C3725" s="8" t="str">
        <f>IFERROR(_xlfn.XLOOKUP(TRIM(B3725),Lookup!$B$2:$B$1000,Lookup!$C$2:$C$1000),"")</f>
        <v>Equity</v>
      </c>
      <c r="D3725" s="8" t="str">
        <f>IFERROR(INDEX('nav master'!$C:$C, MATCH(B3725, 'nav master'!$B:$B, 0)), "")</f>
        <v>ULIF07317/01/24MidCpMoIdx101</v>
      </c>
      <c r="E3725" s="8" t="s">
        <v>289</v>
      </c>
      <c r="F3725" s="8" t="s">
        <v>3968</v>
      </c>
    </row>
    <row r="3726" spans="1:6" ht="60" x14ac:dyDescent="0.25">
      <c r="A3726" s="8" t="s">
        <v>125</v>
      </c>
      <c r="B3726" s="8" t="s">
        <v>150</v>
      </c>
      <c r="C3726" s="8" t="str">
        <f>IFERROR(_xlfn.XLOOKUP(TRIM(B3726),Lookup!$B$2:$B$1000,Lookup!$C$2:$C$1000),"")</f>
        <v>Equity</v>
      </c>
      <c r="D3726" s="8" t="str">
        <f>IFERROR(INDEX('nav master'!$C:$C, MATCH(B3726, 'nav master'!$B:$B, 0)), "")</f>
        <v>ULIF07317/01/24MidCpMoIdx101</v>
      </c>
      <c r="E3726" s="8" t="s">
        <v>291</v>
      </c>
      <c r="F3726" s="8" t="s">
        <v>3969</v>
      </c>
    </row>
    <row r="3727" spans="1:6" ht="60" x14ac:dyDescent="0.25">
      <c r="A3727" s="8" t="s">
        <v>125</v>
      </c>
      <c r="B3727" s="8" t="s">
        <v>150</v>
      </c>
      <c r="C3727" s="8" t="str">
        <f>IFERROR(_xlfn.XLOOKUP(TRIM(B3727),Lookup!$B$2:$B$1000,Lookup!$C$2:$C$1000),"")</f>
        <v>Equity</v>
      </c>
      <c r="D3727" s="8" t="str">
        <f>IFERROR(INDEX('nav master'!$C:$C, MATCH(B3727, 'nav master'!$B:$B, 0)), "")</f>
        <v>ULIF07317/01/24MidCpMoIdx101</v>
      </c>
      <c r="E3727" s="8" t="s">
        <v>293</v>
      </c>
      <c r="F3727" s="8" t="s">
        <v>3970</v>
      </c>
    </row>
    <row r="3728" spans="1:6" ht="60" x14ac:dyDescent="0.25">
      <c r="A3728" s="8" t="s">
        <v>125</v>
      </c>
      <c r="B3728" s="8" t="s">
        <v>150</v>
      </c>
      <c r="C3728" s="8" t="str">
        <f>IFERROR(_xlfn.XLOOKUP(TRIM(B3728),Lookup!$B$2:$B$1000,Lookup!$C$2:$C$1000),"")</f>
        <v>Equity</v>
      </c>
      <c r="D3728" s="8" t="str">
        <f>IFERROR(INDEX('nav master'!$C:$C, MATCH(B3728, 'nav master'!$B:$B, 0)), "")</f>
        <v>ULIF07317/01/24MidCpMoIdx101</v>
      </c>
      <c r="E3728" s="8" t="s">
        <v>295</v>
      </c>
      <c r="F3728" s="8" t="s">
        <v>3971</v>
      </c>
    </row>
    <row r="3729" spans="1:6" ht="60" x14ac:dyDescent="0.25">
      <c r="A3729" s="8" t="s">
        <v>125</v>
      </c>
      <c r="B3729" s="8" t="s">
        <v>150</v>
      </c>
      <c r="C3729" s="8" t="str">
        <f>IFERROR(_xlfn.XLOOKUP(TRIM(B3729),Lookup!$B$2:$B$1000,Lookup!$C$2:$C$1000),"")</f>
        <v>Equity</v>
      </c>
      <c r="D3729" s="8" t="str">
        <f>IFERROR(INDEX('nav master'!$C:$C, MATCH(B3729, 'nav master'!$B:$B, 0)), "")</f>
        <v>ULIF07317/01/24MidCpMoIdx101</v>
      </c>
      <c r="E3729" s="8" t="s">
        <v>297</v>
      </c>
      <c r="F3729" s="8" t="s">
        <v>3972</v>
      </c>
    </row>
    <row r="3730" spans="1:6" ht="60" x14ac:dyDescent="0.25">
      <c r="A3730" s="8" t="s">
        <v>125</v>
      </c>
      <c r="B3730" s="8" t="s">
        <v>150</v>
      </c>
      <c r="C3730" s="8" t="str">
        <f>IFERROR(_xlfn.XLOOKUP(TRIM(B3730),Lookup!$B$2:$B$1000,Lookup!$C$2:$C$1000),"")</f>
        <v>Equity</v>
      </c>
      <c r="D3730" s="8" t="str">
        <f>IFERROR(INDEX('nav master'!$C:$C, MATCH(B3730, 'nav master'!$B:$B, 0)), "")</f>
        <v>ULIF07317/01/24MidCpMoIdx101</v>
      </c>
      <c r="E3730" s="8" t="s">
        <v>299</v>
      </c>
      <c r="F3730" s="8" t="s">
        <v>3973</v>
      </c>
    </row>
    <row r="3731" spans="1:6" ht="60" x14ac:dyDescent="0.25">
      <c r="A3731" s="8" t="s">
        <v>125</v>
      </c>
      <c r="B3731" s="8" t="s">
        <v>150</v>
      </c>
      <c r="C3731" s="8" t="str">
        <f>IFERROR(_xlfn.XLOOKUP(TRIM(B3731),Lookup!$B$2:$B$1000,Lookup!$C$2:$C$1000),"")</f>
        <v>Equity</v>
      </c>
      <c r="D3731" s="8" t="str">
        <f>IFERROR(INDEX('nav master'!$C:$C, MATCH(B3731, 'nav master'!$B:$B, 0)), "")</f>
        <v>ULIF07317/01/24MidCpMoIdx101</v>
      </c>
      <c r="E3731" s="8" t="s">
        <v>301</v>
      </c>
      <c r="F3731" s="8" t="s">
        <v>3974</v>
      </c>
    </row>
    <row r="3732" spans="1:6" ht="60" x14ac:dyDescent="0.25">
      <c r="A3732" s="8" t="s">
        <v>125</v>
      </c>
      <c r="B3732" s="8" t="s">
        <v>150</v>
      </c>
      <c r="C3732" s="8" t="str">
        <f>IFERROR(_xlfn.XLOOKUP(TRIM(B3732),Lookup!$B$2:$B$1000,Lookup!$C$2:$C$1000),"")</f>
        <v>Equity</v>
      </c>
      <c r="D3732" s="8" t="str">
        <f>IFERROR(INDEX('nav master'!$C:$C, MATCH(B3732, 'nav master'!$B:$B, 0)), "")</f>
        <v>ULIF07317/01/24MidCpMoIdx101</v>
      </c>
      <c r="E3732" s="8" t="s">
        <v>303</v>
      </c>
      <c r="F3732" s="8" t="s">
        <v>3975</v>
      </c>
    </row>
    <row r="3733" spans="1:6" ht="60" x14ac:dyDescent="0.25">
      <c r="A3733" s="8" t="s">
        <v>125</v>
      </c>
      <c r="B3733" s="8" t="s">
        <v>150</v>
      </c>
      <c r="C3733" s="8" t="str">
        <f>IFERROR(_xlfn.XLOOKUP(TRIM(B3733),Lookup!$B$2:$B$1000,Lookup!$C$2:$C$1000),"")</f>
        <v>Equity</v>
      </c>
      <c r="D3733" s="8" t="str">
        <f>IFERROR(INDEX('nav master'!$C:$C, MATCH(B3733, 'nav master'!$B:$B, 0)), "")</f>
        <v>ULIF07317/01/24MidCpMoIdx101</v>
      </c>
      <c r="E3733" s="8" t="s">
        <v>305</v>
      </c>
      <c r="F3733" s="8" t="s">
        <v>3976</v>
      </c>
    </row>
    <row r="3734" spans="1:6" ht="60" x14ac:dyDescent="0.25">
      <c r="A3734" s="8" t="s">
        <v>125</v>
      </c>
      <c r="B3734" s="8" t="s">
        <v>150</v>
      </c>
      <c r="C3734" s="8" t="str">
        <f>IFERROR(_xlfn.XLOOKUP(TRIM(B3734),Lookup!$B$2:$B$1000,Lookup!$C$2:$C$1000),"")</f>
        <v>Equity</v>
      </c>
      <c r="D3734" s="8" t="str">
        <f>IFERROR(INDEX('nav master'!$C:$C, MATCH(B3734, 'nav master'!$B:$B, 0)), "")</f>
        <v>ULIF07317/01/24MidCpMoIdx101</v>
      </c>
      <c r="E3734" s="8" t="s">
        <v>307</v>
      </c>
      <c r="F3734" s="8" t="s">
        <v>3977</v>
      </c>
    </row>
    <row r="3735" spans="1:6" ht="60" x14ac:dyDescent="0.25">
      <c r="A3735" s="8" t="s">
        <v>125</v>
      </c>
      <c r="B3735" s="8" t="s">
        <v>150</v>
      </c>
      <c r="C3735" s="8" t="str">
        <f>IFERROR(_xlfn.XLOOKUP(TRIM(B3735),Lookup!$B$2:$B$1000,Lookup!$C$2:$C$1000),"")</f>
        <v>Equity</v>
      </c>
      <c r="D3735" s="8" t="str">
        <f>IFERROR(INDEX('nav master'!$C:$C, MATCH(B3735, 'nav master'!$B:$B, 0)), "")</f>
        <v>ULIF07317/01/24MidCpMoIdx101</v>
      </c>
      <c r="E3735" s="8" t="s">
        <v>309</v>
      </c>
      <c r="F3735" s="8" t="s">
        <v>3978</v>
      </c>
    </row>
    <row r="3736" spans="1:6" ht="60" x14ac:dyDescent="0.25">
      <c r="A3736" s="8" t="s">
        <v>125</v>
      </c>
      <c r="B3736" s="8" t="s">
        <v>150</v>
      </c>
      <c r="C3736" s="8" t="str">
        <f>IFERROR(_xlfn.XLOOKUP(TRIM(B3736),Lookup!$B$2:$B$1000,Lookup!$C$2:$C$1000),"")</f>
        <v>Equity</v>
      </c>
      <c r="D3736" s="8" t="str">
        <f>IFERROR(INDEX('nav master'!$C:$C, MATCH(B3736, 'nav master'!$B:$B, 0)), "")</f>
        <v>ULIF07317/01/24MidCpMoIdx101</v>
      </c>
      <c r="E3736" s="8" t="s">
        <v>311</v>
      </c>
      <c r="F3736" s="8" t="s">
        <v>3979</v>
      </c>
    </row>
    <row r="3737" spans="1:6" ht="60" x14ac:dyDescent="0.25">
      <c r="A3737" s="8" t="s">
        <v>125</v>
      </c>
      <c r="B3737" s="8" t="s">
        <v>150</v>
      </c>
      <c r="C3737" s="8" t="str">
        <f>IFERROR(_xlfn.XLOOKUP(TRIM(B3737),Lookup!$B$2:$B$1000,Lookup!$C$2:$C$1000),"")</f>
        <v>Equity</v>
      </c>
      <c r="D3737" s="8" t="str">
        <f>IFERROR(INDEX('nav master'!$C:$C, MATCH(B3737, 'nav master'!$B:$B, 0)), "")</f>
        <v>ULIF07317/01/24MidCpMoIdx101</v>
      </c>
      <c r="E3737" s="8" t="s">
        <v>313</v>
      </c>
      <c r="F3737" s="8" t="s">
        <v>3980</v>
      </c>
    </row>
    <row r="3738" spans="1:6" ht="60" x14ac:dyDescent="0.25">
      <c r="A3738" s="8" t="s">
        <v>125</v>
      </c>
      <c r="B3738" s="8" t="s">
        <v>150</v>
      </c>
      <c r="C3738" s="8" t="str">
        <f>IFERROR(_xlfn.XLOOKUP(TRIM(B3738),Lookup!$B$2:$B$1000,Lookup!$C$2:$C$1000),"")</f>
        <v>Equity</v>
      </c>
      <c r="D3738" s="8" t="str">
        <f>IFERROR(INDEX('nav master'!$C:$C, MATCH(B3738, 'nav master'!$B:$B, 0)), "")</f>
        <v>ULIF07317/01/24MidCpMoIdx101</v>
      </c>
      <c r="E3738" s="8" t="s">
        <v>315</v>
      </c>
      <c r="F3738" s="8" t="s">
        <v>3981</v>
      </c>
    </row>
    <row r="3739" spans="1:6" ht="60" x14ac:dyDescent="0.25">
      <c r="A3739" s="8" t="s">
        <v>125</v>
      </c>
      <c r="B3739" s="8" t="s">
        <v>150</v>
      </c>
      <c r="C3739" s="8" t="str">
        <f>IFERROR(_xlfn.XLOOKUP(TRIM(B3739),Lookup!$B$2:$B$1000,Lookup!$C$2:$C$1000),"")</f>
        <v>Equity</v>
      </c>
      <c r="D3739" s="8" t="str">
        <f>IFERROR(INDEX('nav master'!$C:$C, MATCH(B3739, 'nav master'!$B:$B, 0)), "")</f>
        <v>ULIF07317/01/24MidCpMoIdx101</v>
      </c>
      <c r="E3739" s="8" t="s">
        <v>317</v>
      </c>
      <c r="F3739" s="8" t="s">
        <v>3982</v>
      </c>
    </row>
    <row r="3740" spans="1:6" ht="60" x14ac:dyDescent="0.25">
      <c r="A3740" s="8" t="s">
        <v>125</v>
      </c>
      <c r="B3740" s="8" t="s">
        <v>150</v>
      </c>
      <c r="C3740" s="8" t="str">
        <f>IFERROR(_xlfn.XLOOKUP(TRIM(B3740),Lookup!$B$2:$B$1000,Lookup!$C$2:$C$1000),"")</f>
        <v>Equity</v>
      </c>
      <c r="D3740" s="8" t="str">
        <f>IFERROR(INDEX('nav master'!$C:$C, MATCH(B3740, 'nav master'!$B:$B, 0)), "")</f>
        <v>ULIF07317/01/24MidCpMoIdx101</v>
      </c>
      <c r="E3740" s="8" t="s">
        <v>319</v>
      </c>
      <c r="F3740" s="8" t="s">
        <v>3983</v>
      </c>
    </row>
    <row r="3741" spans="1:6" ht="60" x14ac:dyDescent="0.25">
      <c r="A3741" s="8" t="s">
        <v>125</v>
      </c>
      <c r="B3741" s="8" t="s">
        <v>150</v>
      </c>
      <c r="C3741" s="8" t="str">
        <f>IFERROR(_xlfn.XLOOKUP(TRIM(B3741),Lookup!$B$2:$B$1000,Lookup!$C$2:$C$1000),"")</f>
        <v>Equity</v>
      </c>
      <c r="D3741" s="8" t="str">
        <f>IFERROR(INDEX('nav master'!$C:$C, MATCH(B3741, 'nav master'!$B:$B, 0)), "")</f>
        <v>ULIF07317/01/24MidCpMoIdx101</v>
      </c>
      <c r="E3741" s="8" t="s">
        <v>321</v>
      </c>
      <c r="F3741" s="8" t="s">
        <v>3984</v>
      </c>
    </row>
    <row r="3742" spans="1:6" ht="60" x14ac:dyDescent="0.25">
      <c r="A3742" s="8" t="s">
        <v>125</v>
      </c>
      <c r="B3742" s="8" t="s">
        <v>150</v>
      </c>
      <c r="C3742" s="8" t="str">
        <f>IFERROR(_xlfn.XLOOKUP(TRIM(B3742),Lookup!$B$2:$B$1000,Lookup!$C$2:$C$1000),"")</f>
        <v>Equity</v>
      </c>
      <c r="D3742" s="8" t="str">
        <f>IFERROR(INDEX('nav master'!$C:$C, MATCH(B3742, 'nav master'!$B:$B, 0)), "")</f>
        <v>ULIF07317/01/24MidCpMoIdx101</v>
      </c>
      <c r="E3742" s="8" t="s">
        <v>323</v>
      </c>
      <c r="F3742" s="8" t="s">
        <v>3985</v>
      </c>
    </row>
    <row r="3743" spans="1:6" ht="60" x14ac:dyDescent="0.25">
      <c r="A3743" s="8" t="s">
        <v>125</v>
      </c>
      <c r="B3743" s="8" t="s">
        <v>150</v>
      </c>
      <c r="C3743" s="8" t="str">
        <f>IFERROR(_xlfn.XLOOKUP(TRIM(B3743),Lookup!$B$2:$B$1000,Lookup!$C$2:$C$1000),"")</f>
        <v>Equity</v>
      </c>
      <c r="D3743" s="8" t="str">
        <f>IFERROR(INDEX('nav master'!$C:$C, MATCH(B3743, 'nav master'!$B:$B, 0)), "")</f>
        <v>ULIF07317/01/24MidCpMoIdx101</v>
      </c>
      <c r="E3743" s="8" t="s">
        <v>325</v>
      </c>
      <c r="F3743" s="8" t="s">
        <v>3986</v>
      </c>
    </row>
    <row r="3744" spans="1:6" ht="60" x14ac:dyDescent="0.25">
      <c r="A3744" s="8" t="s">
        <v>125</v>
      </c>
      <c r="B3744" s="8" t="s">
        <v>150</v>
      </c>
      <c r="C3744" s="8" t="str">
        <f>IFERROR(_xlfn.XLOOKUP(TRIM(B3744),Lookup!$B$2:$B$1000,Lookup!$C$2:$C$1000),"")</f>
        <v>Equity</v>
      </c>
      <c r="D3744" s="8" t="str">
        <f>IFERROR(INDEX('nav master'!$C:$C, MATCH(B3744, 'nav master'!$B:$B, 0)), "")</f>
        <v>ULIF07317/01/24MidCpMoIdx101</v>
      </c>
      <c r="E3744" s="8" t="s">
        <v>327</v>
      </c>
      <c r="F3744" s="8" t="s">
        <v>3987</v>
      </c>
    </row>
    <row r="3745" spans="1:6" ht="60" x14ac:dyDescent="0.25">
      <c r="A3745" s="8" t="s">
        <v>125</v>
      </c>
      <c r="B3745" s="8" t="s">
        <v>150</v>
      </c>
      <c r="C3745" s="8" t="str">
        <f>IFERROR(_xlfn.XLOOKUP(TRIM(B3745),Lookup!$B$2:$B$1000,Lookup!$C$2:$C$1000),"")</f>
        <v>Equity</v>
      </c>
      <c r="D3745" s="8" t="str">
        <f>IFERROR(INDEX('nav master'!$C:$C, MATCH(B3745, 'nav master'!$B:$B, 0)), "")</f>
        <v>ULIF07317/01/24MidCpMoIdx101</v>
      </c>
      <c r="E3745" s="8" t="s">
        <v>329</v>
      </c>
      <c r="F3745" s="8" t="s">
        <v>3988</v>
      </c>
    </row>
    <row r="3746" spans="1:6" ht="60" x14ac:dyDescent="0.25">
      <c r="A3746" s="8" t="s">
        <v>125</v>
      </c>
      <c r="B3746" s="8" t="s">
        <v>150</v>
      </c>
      <c r="C3746" s="8" t="str">
        <f>IFERROR(_xlfn.XLOOKUP(TRIM(B3746),Lookup!$B$2:$B$1000,Lookup!$C$2:$C$1000),"")</f>
        <v>Equity</v>
      </c>
      <c r="D3746" s="8" t="str">
        <f>IFERROR(INDEX('nav master'!$C:$C, MATCH(B3746, 'nav master'!$B:$B, 0)), "")</f>
        <v>ULIF07317/01/24MidCpMoIdx101</v>
      </c>
      <c r="E3746" s="8" t="s">
        <v>331</v>
      </c>
      <c r="F3746" s="8" t="s">
        <v>3989</v>
      </c>
    </row>
    <row r="3747" spans="1:6" ht="60" x14ac:dyDescent="0.25">
      <c r="A3747" s="8" t="s">
        <v>125</v>
      </c>
      <c r="B3747" s="8" t="s">
        <v>150</v>
      </c>
      <c r="C3747" s="8" t="str">
        <f>IFERROR(_xlfn.XLOOKUP(TRIM(B3747),Lookup!$B$2:$B$1000,Lookup!$C$2:$C$1000),"")</f>
        <v>Equity</v>
      </c>
      <c r="D3747" s="8" t="str">
        <f>IFERROR(INDEX('nav master'!$C:$C, MATCH(B3747, 'nav master'!$B:$B, 0)), "")</f>
        <v>ULIF07317/01/24MidCpMoIdx101</v>
      </c>
      <c r="E3747" s="8" t="s">
        <v>333</v>
      </c>
      <c r="F3747" s="8" t="s">
        <v>3990</v>
      </c>
    </row>
    <row r="3748" spans="1:6" ht="60" x14ac:dyDescent="0.25">
      <c r="A3748" s="8" t="s">
        <v>125</v>
      </c>
      <c r="B3748" s="8" t="s">
        <v>150</v>
      </c>
      <c r="C3748" s="8" t="str">
        <f>IFERROR(_xlfn.XLOOKUP(TRIM(B3748),Lookup!$B$2:$B$1000,Lookup!$C$2:$C$1000),"")</f>
        <v>Equity</v>
      </c>
      <c r="D3748" s="8" t="str">
        <f>IFERROR(INDEX('nav master'!$C:$C, MATCH(B3748, 'nav master'!$B:$B, 0)), "")</f>
        <v>ULIF07317/01/24MidCpMoIdx101</v>
      </c>
      <c r="E3748" s="8" t="s">
        <v>335</v>
      </c>
      <c r="F3748" s="8" t="s">
        <v>3991</v>
      </c>
    </row>
    <row r="3749" spans="1:6" ht="60" x14ac:dyDescent="0.25">
      <c r="A3749" s="8" t="s">
        <v>125</v>
      </c>
      <c r="B3749" s="8" t="s">
        <v>150</v>
      </c>
      <c r="C3749" s="8" t="str">
        <f>IFERROR(_xlfn.XLOOKUP(TRIM(B3749),Lookup!$B$2:$B$1000,Lookup!$C$2:$C$1000),"")</f>
        <v>Equity</v>
      </c>
      <c r="D3749" s="8" t="str">
        <f>IFERROR(INDEX('nav master'!$C:$C, MATCH(B3749, 'nav master'!$B:$B, 0)), "")</f>
        <v>ULIF07317/01/24MidCpMoIdx101</v>
      </c>
      <c r="E3749" s="8" t="s">
        <v>337</v>
      </c>
      <c r="F3749" s="8" t="s">
        <v>3992</v>
      </c>
    </row>
    <row r="3750" spans="1:6" ht="60" x14ac:dyDescent="0.25">
      <c r="A3750" s="8" t="s">
        <v>125</v>
      </c>
      <c r="B3750" s="8" t="s">
        <v>150</v>
      </c>
      <c r="C3750" s="8" t="str">
        <f>IFERROR(_xlfn.XLOOKUP(TRIM(B3750),Lookup!$B$2:$B$1000,Lookup!$C$2:$C$1000),"")</f>
        <v>Equity</v>
      </c>
      <c r="D3750" s="8" t="str">
        <f>IFERROR(INDEX('nav master'!$C:$C, MATCH(B3750, 'nav master'!$B:$B, 0)), "")</f>
        <v>ULIF07317/01/24MidCpMoIdx101</v>
      </c>
      <c r="E3750" s="8" t="s">
        <v>339</v>
      </c>
      <c r="F3750" s="8" t="s">
        <v>3993</v>
      </c>
    </row>
    <row r="3751" spans="1:6" ht="60" x14ac:dyDescent="0.25">
      <c r="A3751" s="8" t="s">
        <v>125</v>
      </c>
      <c r="B3751" s="8" t="s">
        <v>150</v>
      </c>
      <c r="C3751" s="8" t="str">
        <f>IFERROR(_xlfn.XLOOKUP(TRIM(B3751),Lookup!$B$2:$B$1000,Lookup!$C$2:$C$1000),"")</f>
        <v>Equity</v>
      </c>
      <c r="D3751" s="8" t="str">
        <f>IFERROR(INDEX('nav master'!$C:$C, MATCH(B3751, 'nav master'!$B:$B, 0)), "")</f>
        <v>ULIF07317/01/24MidCpMoIdx101</v>
      </c>
      <c r="E3751" s="8" t="s">
        <v>341</v>
      </c>
      <c r="F3751" s="8" t="s">
        <v>3994</v>
      </c>
    </row>
    <row r="3752" spans="1:6" ht="60" x14ac:dyDescent="0.25">
      <c r="A3752" s="8" t="s">
        <v>125</v>
      </c>
      <c r="B3752" s="8" t="s">
        <v>150</v>
      </c>
      <c r="C3752" s="8" t="str">
        <f>IFERROR(_xlfn.XLOOKUP(TRIM(B3752),Lookup!$B$2:$B$1000,Lookup!$C$2:$C$1000),"")</f>
        <v>Equity</v>
      </c>
      <c r="D3752" s="8" t="str">
        <f>IFERROR(INDEX('nav master'!$C:$C, MATCH(B3752, 'nav master'!$B:$B, 0)), "")</f>
        <v>ULIF07317/01/24MidCpMoIdx101</v>
      </c>
      <c r="E3752" s="8" t="s">
        <v>343</v>
      </c>
      <c r="F3752" s="8" t="s">
        <v>3995</v>
      </c>
    </row>
    <row r="3753" spans="1:6" ht="60" x14ac:dyDescent="0.25">
      <c r="A3753" s="8" t="s">
        <v>125</v>
      </c>
      <c r="B3753" s="8" t="s">
        <v>150</v>
      </c>
      <c r="C3753" s="8" t="str">
        <f>IFERROR(_xlfn.XLOOKUP(TRIM(B3753),Lookup!$B$2:$B$1000,Lookup!$C$2:$C$1000),"")</f>
        <v>Equity</v>
      </c>
      <c r="D3753" s="8" t="str">
        <f>IFERROR(INDEX('nav master'!$C:$C, MATCH(B3753, 'nav master'!$B:$B, 0)), "")</f>
        <v>ULIF07317/01/24MidCpMoIdx101</v>
      </c>
      <c r="E3753" s="8" t="s">
        <v>345</v>
      </c>
      <c r="F3753" s="8" t="s">
        <v>3996</v>
      </c>
    </row>
    <row r="3754" spans="1:6" ht="60" x14ac:dyDescent="0.25">
      <c r="A3754" s="8" t="s">
        <v>125</v>
      </c>
      <c r="B3754" s="8" t="s">
        <v>150</v>
      </c>
      <c r="C3754" s="8" t="str">
        <f>IFERROR(_xlfn.XLOOKUP(TRIM(B3754),Lookup!$B$2:$B$1000,Lookup!$C$2:$C$1000),"")</f>
        <v>Equity</v>
      </c>
      <c r="D3754" s="8" t="str">
        <f>IFERROR(INDEX('nav master'!$C:$C, MATCH(B3754, 'nav master'!$B:$B, 0)), "")</f>
        <v>ULIF07317/01/24MidCpMoIdx101</v>
      </c>
      <c r="E3754" s="8" t="s">
        <v>347</v>
      </c>
      <c r="F3754" s="8" t="s">
        <v>3997</v>
      </c>
    </row>
    <row r="3755" spans="1:6" ht="60" x14ac:dyDescent="0.25">
      <c r="A3755" s="8" t="s">
        <v>125</v>
      </c>
      <c r="B3755" s="8" t="s">
        <v>150</v>
      </c>
      <c r="C3755" s="8" t="str">
        <f>IFERROR(_xlfn.XLOOKUP(TRIM(B3755),Lookup!$B$2:$B$1000,Lookup!$C$2:$C$1000),"")</f>
        <v>Equity</v>
      </c>
      <c r="D3755" s="8" t="str">
        <f>IFERROR(INDEX('nav master'!$C:$C, MATCH(B3755, 'nav master'!$B:$B, 0)), "")</f>
        <v>ULIF07317/01/24MidCpMoIdx101</v>
      </c>
      <c r="E3755" s="8" t="s">
        <v>349</v>
      </c>
      <c r="F3755" s="8" t="s">
        <v>3998</v>
      </c>
    </row>
    <row r="3756" spans="1:6" ht="60" x14ac:dyDescent="0.25">
      <c r="A3756" s="8" t="s">
        <v>125</v>
      </c>
      <c r="B3756" s="8" t="s">
        <v>150</v>
      </c>
      <c r="C3756" s="8" t="str">
        <f>IFERROR(_xlfn.XLOOKUP(TRIM(B3756),Lookup!$B$2:$B$1000,Lookup!$C$2:$C$1000),"")</f>
        <v>Equity</v>
      </c>
      <c r="D3756" s="8" t="str">
        <f>IFERROR(INDEX('nav master'!$C:$C, MATCH(B3756, 'nav master'!$B:$B, 0)), "")</f>
        <v>ULIF07317/01/24MidCpMoIdx101</v>
      </c>
      <c r="E3756" s="8" t="s">
        <v>351</v>
      </c>
      <c r="F3756" s="8" t="s">
        <v>3999</v>
      </c>
    </row>
    <row r="3757" spans="1:6" ht="60" x14ac:dyDescent="0.25">
      <c r="A3757" s="8" t="s">
        <v>125</v>
      </c>
      <c r="B3757" s="8" t="s">
        <v>150</v>
      </c>
      <c r="C3757" s="8" t="str">
        <f>IFERROR(_xlfn.XLOOKUP(TRIM(B3757),Lookup!$B$2:$B$1000,Lookup!$C$2:$C$1000),"")</f>
        <v>Equity</v>
      </c>
      <c r="D3757" s="8" t="str">
        <f>IFERROR(INDEX('nav master'!$C:$C, MATCH(B3757, 'nav master'!$B:$B, 0)), "")</f>
        <v>ULIF07317/01/24MidCpMoIdx101</v>
      </c>
      <c r="E3757" s="8" t="s">
        <v>353</v>
      </c>
      <c r="F3757" s="8" t="s">
        <v>2803</v>
      </c>
    </row>
    <row r="3758" spans="1:6" ht="60" x14ac:dyDescent="0.25">
      <c r="A3758" s="8" t="s">
        <v>125</v>
      </c>
      <c r="B3758" s="8" t="s">
        <v>150</v>
      </c>
      <c r="C3758" s="8" t="str">
        <f>IFERROR(_xlfn.XLOOKUP(TRIM(B3758),Lookup!$B$2:$B$1000,Lookup!$C$2:$C$1000),"")</f>
        <v>Equity</v>
      </c>
      <c r="D3758" s="8" t="str">
        <f>IFERROR(INDEX('nav master'!$C:$C, MATCH(B3758, 'nav master'!$B:$B, 0)), "")</f>
        <v>ULIF07317/01/24MidCpMoIdx101</v>
      </c>
      <c r="E3758" s="8" t="s">
        <v>355</v>
      </c>
      <c r="F3758" s="8" t="s">
        <v>4000</v>
      </c>
    </row>
    <row r="3759" spans="1:6" ht="60" x14ac:dyDescent="0.25">
      <c r="A3759" s="8" t="s">
        <v>125</v>
      </c>
      <c r="B3759" s="8" t="s">
        <v>150</v>
      </c>
      <c r="C3759" s="8" t="str">
        <f>IFERROR(_xlfn.XLOOKUP(TRIM(B3759),Lookup!$B$2:$B$1000,Lookup!$C$2:$C$1000),"")</f>
        <v>Equity</v>
      </c>
      <c r="D3759" s="8" t="str">
        <f>IFERROR(INDEX('nav master'!$C:$C, MATCH(B3759, 'nav master'!$B:$B, 0)), "")</f>
        <v>ULIF07317/01/24MidCpMoIdx101</v>
      </c>
      <c r="E3759" s="8" t="s">
        <v>357</v>
      </c>
      <c r="F3759" s="8" t="s">
        <v>4001</v>
      </c>
    </row>
    <row r="3760" spans="1:6" ht="60" x14ac:dyDescent="0.25">
      <c r="A3760" s="8" t="s">
        <v>125</v>
      </c>
      <c r="B3760" s="8" t="s">
        <v>150</v>
      </c>
      <c r="C3760" s="8" t="str">
        <f>IFERROR(_xlfn.XLOOKUP(TRIM(B3760),Lookup!$B$2:$B$1000,Lookup!$C$2:$C$1000),"")</f>
        <v>Equity</v>
      </c>
      <c r="D3760" s="8" t="str">
        <f>IFERROR(INDEX('nav master'!$C:$C, MATCH(B3760, 'nav master'!$B:$B, 0)), "")</f>
        <v>ULIF07317/01/24MidCpMoIdx101</v>
      </c>
      <c r="E3760" s="8" t="s">
        <v>359</v>
      </c>
      <c r="F3760" s="8" t="s">
        <v>4002</v>
      </c>
    </row>
    <row r="3761" spans="1:6" ht="60" x14ac:dyDescent="0.25">
      <c r="A3761" s="8" t="s">
        <v>125</v>
      </c>
      <c r="B3761" s="8" t="s">
        <v>150</v>
      </c>
      <c r="C3761" s="8" t="str">
        <f>IFERROR(_xlfn.XLOOKUP(TRIM(B3761),Lookup!$B$2:$B$1000,Lookup!$C$2:$C$1000),"")</f>
        <v>Equity</v>
      </c>
      <c r="D3761" s="8" t="str">
        <f>IFERROR(INDEX('nav master'!$C:$C, MATCH(B3761, 'nav master'!$B:$B, 0)), "")</f>
        <v>ULIF07317/01/24MidCpMoIdx101</v>
      </c>
      <c r="E3761" s="8" t="s">
        <v>361</v>
      </c>
      <c r="F3761" s="8" t="s">
        <v>4003</v>
      </c>
    </row>
    <row r="3762" spans="1:6" ht="60" x14ac:dyDescent="0.25">
      <c r="A3762" s="8" t="s">
        <v>125</v>
      </c>
      <c r="B3762" s="8" t="s">
        <v>150</v>
      </c>
      <c r="C3762" s="8" t="str">
        <f>IFERROR(_xlfn.XLOOKUP(TRIM(B3762),Lookup!$B$2:$B$1000,Lookup!$C$2:$C$1000),"")</f>
        <v>Equity</v>
      </c>
      <c r="D3762" s="8" t="str">
        <f>IFERROR(INDEX('nav master'!$C:$C, MATCH(B3762, 'nav master'!$B:$B, 0)), "")</f>
        <v>ULIF07317/01/24MidCpMoIdx101</v>
      </c>
      <c r="E3762" s="8" t="s">
        <v>363</v>
      </c>
      <c r="F3762" s="8" t="s">
        <v>4004</v>
      </c>
    </row>
    <row r="3763" spans="1:6" ht="60" x14ac:dyDescent="0.25">
      <c r="A3763" s="8" t="s">
        <v>125</v>
      </c>
      <c r="B3763" s="8" t="s">
        <v>150</v>
      </c>
      <c r="C3763" s="8" t="str">
        <f>IFERROR(_xlfn.XLOOKUP(TRIM(B3763),Lookup!$B$2:$B$1000,Lookup!$C$2:$C$1000),"")</f>
        <v>Equity</v>
      </c>
      <c r="D3763" s="8" t="str">
        <f>IFERROR(INDEX('nav master'!$C:$C, MATCH(B3763, 'nav master'!$B:$B, 0)), "")</f>
        <v>ULIF07317/01/24MidCpMoIdx101</v>
      </c>
      <c r="E3763" s="8" t="s">
        <v>365</v>
      </c>
      <c r="F3763" s="8" t="s">
        <v>4005</v>
      </c>
    </row>
    <row r="3764" spans="1:6" ht="60" x14ac:dyDescent="0.25">
      <c r="A3764" s="8" t="s">
        <v>125</v>
      </c>
      <c r="B3764" s="8" t="s">
        <v>150</v>
      </c>
      <c r="C3764" s="8" t="str">
        <f>IFERROR(_xlfn.XLOOKUP(TRIM(B3764),Lookup!$B$2:$B$1000,Lookup!$C$2:$C$1000),"")</f>
        <v>Equity</v>
      </c>
      <c r="D3764" s="8" t="str">
        <f>IFERROR(INDEX('nav master'!$C:$C, MATCH(B3764, 'nav master'!$B:$B, 0)), "")</f>
        <v>ULIF07317/01/24MidCpMoIdx101</v>
      </c>
      <c r="E3764" s="8" t="s">
        <v>367</v>
      </c>
      <c r="F3764" s="8" t="s">
        <v>4006</v>
      </c>
    </row>
    <row r="3765" spans="1:6" ht="60" x14ac:dyDescent="0.25">
      <c r="A3765" s="8" t="s">
        <v>125</v>
      </c>
      <c r="B3765" s="8" t="s">
        <v>150</v>
      </c>
      <c r="C3765" s="8" t="str">
        <f>IFERROR(_xlfn.XLOOKUP(TRIM(B3765),Lookup!$B$2:$B$1000,Lookup!$C$2:$C$1000),"")</f>
        <v>Equity</v>
      </c>
      <c r="D3765" s="8" t="str">
        <f>IFERROR(INDEX('nav master'!$C:$C, MATCH(B3765, 'nav master'!$B:$B, 0)), "")</f>
        <v>ULIF07317/01/24MidCpMoIdx101</v>
      </c>
      <c r="E3765" s="8" t="s">
        <v>369</v>
      </c>
      <c r="F3765" s="8" t="s">
        <v>4007</v>
      </c>
    </row>
    <row r="3766" spans="1:6" ht="60" x14ac:dyDescent="0.25">
      <c r="A3766" s="8" t="s">
        <v>125</v>
      </c>
      <c r="B3766" s="8" t="s">
        <v>150</v>
      </c>
      <c r="C3766" s="8" t="str">
        <f>IFERROR(_xlfn.XLOOKUP(TRIM(B3766),Lookup!$B$2:$B$1000,Lookup!$C$2:$C$1000),"")</f>
        <v>Equity</v>
      </c>
      <c r="D3766" s="8" t="str">
        <f>IFERROR(INDEX('nav master'!$C:$C, MATCH(B3766, 'nav master'!$B:$B, 0)), "")</f>
        <v>ULIF07317/01/24MidCpMoIdx101</v>
      </c>
      <c r="E3766" s="8" t="s">
        <v>371</v>
      </c>
      <c r="F3766" s="8" t="s">
        <v>4008</v>
      </c>
    </row>
    <row r="3767" spans="1:6" ht="60" x14ac:dyDescent="0.25">
      <c r="A3767" s="8" t="s">
        <v>125</v>
      </c>
      <c r="B3767" s="8" t="s">
        <v>150</v>
      </c>
      <c r="C3767" s="8" t="str">
        <f>IFERROR(_xlfn.XLOOKUP(TRIM(B3767),Lookup!$B$2:$B$1000,Lookup!$C$2:$C$1000),"")</f>
        <v>Equity</v>
      </c>
      <c r="D3767" s="8" t="str">
        <f>IFERROR(INDEX('nav master'!$C:$C, MATCH(B3767, 'nav master'!$B:$B, 0)), "")</f>
        <v>ULIF07317/01/24MidCpMoIdx101</v>
      </c>
      <c r="E3767" s="8" t="s">
        <v>373</v>
      </c>
      <c r="F3767" s="8" t="s">
        <v>4009</v>
      </c>
    </row>
    <row r="3768" spans="1:6" ht="60" x14ac:dyDescent="0.25">
      <c r="A3768" s="8" t="s">
        <v>125</v>
      </c>
      <c r="B3768" s="8" t="s">
        <v>150</v>
      </c>
      <c r="C3768" s="8" t="str">
        <f>IFERROR(_xlfn.XLOOKUP(TRIM(B3768),Lookup!$B$2:$B$1000,Lookup!$C$2:$C$1000),"")</f>
        <v>Equity</v>
      </c>
      <c r="D3768" s="8" t="str">
        <f>IFERROR(INDEX('nav master'!$C:$C, MATCH(B3768, 'nav master'!$B:$B, 0)), "")</f>
        <v>ULIF07317/01/24MidCpMoIdx101</v>
      </c>
      <c r="E3768" s="8" t="s">
        <v>375</v>
      </c>
      <c r="F3768" s="8" t="s">
        <v>4010</v>
      </c>
    </row>
    <row r="3769" spans="1:6" ht="60" x14ac:dyDescent="0.25">
      <c r="A3769" s="8" t="s">
        <v>125</v>
      </c>
      <c r="B3769" s="8" t="s">
        <v>150</v>
      </c>
      <c r="C3769" s="8" t="str">
        <f>IFERROR(_xlfn.XLOOKUP(TRIM(B3769),Lookup!$B$2:$B$1000,Lookup!$C$2:$C$1000),"")</f>
        <v>Equity</v>
      </c>
      <c r="D3769" s="8" t="str">
        <f>IFERROR(INDEX('nav master'!$C:$C, MATCH(B3769, 'nav master'!$B:$B, 0)), "")</f>
        <v>ULIF07317/01/24MidCpMoIdx101</v>
      </c>
      <c r="E3769" s="8" t="s">
        <v>377</v>
      </c>
      <c r="F3769" s="8" t="s">
        <v>4011</v>
      </c>
    </row>
    <row r="3770" spans="1:6" ht="60" x14ac:dyDescent="0.25">
      <c r="A3770" s="8" t="s">
        <v>125</v>
      </c>
      <c r="B3770" s="8" t="s">
        <v>150</v>
      </c>
      <c r="C3770" s="8" t="str">
        <f>IFERROR(_xlfn.XLOOKUP(TRIM(B3770),Lookup!$B$2:$B$1000,Lookup!$C$2:$C$1000),"")</f>
        <v>Equity</v>
      </c>
      <c r="D3770" s="8" t="str">
        <f>IFERROR(INDEX('nav master'!$C:$C, MATCH(B3770, 'nav master'!$B:$B, 0)), "")</f>
        <v>ULIF07317/01/24MidCpMoIdx101</v>
      </c>
      <c r="E3770" s="8" t="s">
        <v>379</v>
      </c>
      <c r="F3770" s="8" t="s">
        <v>4012</v>
      </c>
    </row>
    <row r="3771" spans="1:6" ht="60" x14ac:dyDescent="0.25">
      <c r="A3771" s="8" t="s">
        <v>125</v>
      </c>
      <c r="B3771" s="8" t="s">
        <v>150</v>
      </c>
      <c r="C3771" s="8" t="str">
        <f>IFERROR(_xlfn.XLOOKUP(TRIM(B3771),Lookup!$B$2:$B$1000,Lookup!$C$2:$C$1000),"")</f>
        <v>Equity</v>
      </c>
      <c r="D3771" s="8" t="str">
        <f>IFERROR(INDEX('nav master'!$C:$C, MATCH(B3771, 'nav master'!$B:$B, 0)), "")</f>
        <v>ULIF07317/01/24MidCpMoIdx101</v>
      </c>
      <c r="E3771" s="8" t="s">
        <v>381</v>
      </c>
      <c r="F3771" s="8" t="s">
        <v>4013</v>
      </c>
    </row>
    <row r="3772" spans="1:6" ht="60" x14ac:dyDescent="0.25">
      <c r="A3772" s="8" t="s">
        <v>125</v>
      </c>
      <c r="B3772" s="8" t="s">
        <v>150</v>
      </c>
      <c r="C3772" s="8" t="str">
        <f>IFERROR(_xlfn.XLOOKUP(TRIM(B3772),Lookup!$B$2:$B$1000,Lookup!$C$2:$C$1000),"")</f>
        <v>Equity</v>
      </c>
      <c r="D3772" s="8" t="str">
        <f>IFERROR(INDEX('nav master'!$C:$C, MATCH(B3772, 'nav master'!$B:$B, 0)), "")</f>
        <v>ULIF07317/01/24MidCpMoIdx101</v>
      </c>
      <c r="E3772" s="8" t="s">
        <v>383</v>
      </c>
      <c r="F3772" s="8" t="s">
        <v>4014</v>
      </c>
    </row>
    <row r="3773" spans="1:6" ht="60" x14ac:dyDescent="0.25">
      <c r="A3773" s="8" t="s">
        <v>125</v>
      </c>
      <c r="B3773" s="8" t="s">
        <v>150</v>
      </c>
      <c r="C3773" s="8" t="str">
        <f>IFERROR(_xlfn.XLOOKUP(TRIM(B3773),Lookup!$B$2:$B$1000,Lookup!$C$2:$C$1000),"")</f>
        <v>Equity</v>
      </c>
      <c r="D3773" s="8" t="str">
        <f>IFERROR(INDEX('nav master'!$C:$C, MATCH(B3773, 'nav master'!$B:$B, 0)), "")</f>
        <v>ULIF07317/01/24MidCpMoIdx101</v>
      </c>
      <c r="E3773" s="8" t="s">
        <v>385</v>
      </c>
      <c r="F3773" s="8" t="s">
        <v>4015</v>
      </c>
    </row>
    <row r="3774" spans="1:6" ht="60" x14ac:dyDescent="0.25">
      <c r="A3774" s="8" t="s">
        <v>125</v>
      </c>
      <c r="B3774" s="8" t="s">
        <v>150</v>
      </c>
      <c r="C3774" s="8" t="str">
        <f>IFERROR(_xlfn.XLOOKUP(TRIM(B3774),Lookup!$B$2:$B$1000,Lookup!$C$2:$C$1000),"")</f>
        <v>Equity</v>
      </c>
      <c r="D3774" s="8" t="str">
        <f>IFERROR(INDEX('nav master'!$C:$C, MATCH(B3774, 'nav master'!$B:$B, 0)), "")</f>
        <v>ULIF07317/01/24MidCpMoIdx101</v>
      </c>
      <c r="E3774" s="8" t="s">
        <v>387</v>
      </c>
      <c r="F3774" s="8" t="s">
        <v>4016</v>
      </c>
    </row>
    <row r="3775" spans="1:6" ht="60" x14ac:dyDescent="0.25">
      <c r="A3775" s="8" t="s">
        <v>125</v>
      </c>
      <c r="B3775" s="8" t="s">
        <v>150</v>
      </c>
      <c r="C3775" s="8" t="str">
        <f>IFERROR(_xlfn.XLOOKUP(TRIM(B3775),Lookup!$B$2:$B$1000,Lookup!$C$2:$C$1000),"")</f>
        <v>Equity</v>
      </c>
      <c r="D3775" s="8" t="str">
        <f>IFERROR(INDEX('nav master'!$C:$C, MATCH(B3775, 'nav master'!$B:$B, 0)), "")</f>
        <v>ULIF07317/01/24MidCpMoIdx101</v>
      </c>
      <c r="E3775" s="8" t="s">
        <v>389</v>
      </c>
      <c r="F3775" s="8" t="s">
        <v>4017</v>
      </c>
    </row>
    <row r="3776" spans="1:6" ht="60" x14ac:dyDescent="0.25">
      <c r="A3776" s="8" t="s">
        <v>125</v>
      </c>
      <c r="B3776" s="8" t="s">
        <v>150</v>
      </c>
      <c r="C3776" s="8" t="str">
        <f>IFERROR(_xlfn.XLOOKUP(TRIM(B3776),Lookup!$B$2:$B$1000,Lookup!$C$2:$C$1000),"")</f>
        <v>Equity</v>
      </c>
      <c r="D3776" s="8" t="str">
        <f>IFERROR(INDEX('nav master'!$C:$C, MATCH(B3776, 'nav master'!$B:$B, 0)), "")</f>
        <v>ULIF07317/01/24MidCpMoIdx101</v>
      </c>
      <c r="E3776" s="8" t="s">
        <v>391</v>
      </c>
      <c r="F3776" s="8" t="s">
        <v>4018</v>
      </c>
    </row>
    <row r="3777" spans="1:6" ht="60" x14ac:dyDescent="0.25">
      <c r="A3777" s="8" t="s">
        <v>125</v>
      </c>
      <c r="B3777" s="8" t="s">
        <v>150</v>
      </c>
      <c r="C3777" s="8" t="str">
        <f>IFERROR(_xlfn.XLOOKUP(TRIM(B3777),Lookup!$B$2:$B$1000,Lookup!$C$2:$C$1000),"")</f>
        <v>Equity</v>
      </c>
      <c r="D3777" s="8" t="str">
        <f>IFERROR(INDEX('nav master'!$C:$C, MATCH(B3777, 'nav master'!$B:$B, 0)), "")</f>
        <v>ULIF07317/01/24MidCpMoIdx101</v>
      </c>
      <c r="E3777" s="8" t="s">
        <v>393</v>
      </c>
      <c r="F3777" s="8" t="s">
        <v>4019</v>
      </c>
    </row>
    <row r="3778" spans="1:6" ht="60" x14ac:dyDescent="0.25">
      <c r="A3778" s="8" t="s">
        <v>125</v>
      </c>
      <c r="B3778" s="8" t="s">
        <v>150</v>
      </c>
      <c r="C3778" s="8" t="str">
        <f>IFERROR(_xlfn.XLOOKUP(TRIM(B3778),Lookup!$B$2:$B$1000,Lookup!$C$2:$C$1000),"")</f>
        <v>Equity</v>
      </c>
      <c r="D3778" s="8" t="str">
        <f>IFERROR(INDEX('nav master'!$C:$C, MATCH(B3778, 'nav master'!$B:$B, 0)), "")</f>
        <v>ULIF07317/01/24MidCpMoIdx101</v>
      </c>
      <c r="E3778" s="8" t="s">
        <v>395</v>
      </c>
      <c r="F3778" s="8" t="s">
        <v>4020</v>
      </c>
    </row>
    <row r="3779" spans="1:6" ht="60" x14ac:dyDescent="0.25">
      <c r="A3779" s="8" t="s">
        <v>125</v>
      </c>
      <c r="B3779" s="8" t="s">
        <v>150</v>
      </c>
      <c r="C3779" s="8" t="str">
        <f>IFERROR(_xlfn.XLOOKUP(TRIM(B3779),Lookup!$B$2:$B$1000,Lookup!$C$2:$C$1000),"")</f>
        <v>Equity</v>
      </c>
      <c r="D3779" s="8" t="str">
        <f>IFERROR(INDEX('nav master'!$C:$C, MATCH(B3779, 'nav master'!$B:$B, 0)), "")</f>
        <v>ULIF07317/01/24MidCpMoIdx101</v>
      </c>
      <c r="E3779" s="8" t="s">
        <v>397</v>
      </c>
      <c r="F3779" s="8" t="s">
        <v>4021</v>
      </c>
    </row>
    <row r="3780" spans="1:6" ht="60" x14ac:dyDescent="0.25">
      <c r="A3780" s="8" t="s">
        <v>125</v>
      </c>
      <c r="B3780" s="8" t="s">
        <v>150</v>
      </c>
      <c r="C3780" s="8" t="str">
        <f>IFERROR(_xlfn.XLOOKUP(TRIM(B3780),Lookup!$B$2:$B$1000,Lookup!$C$2:$C$1000),"")</f>
        <v>Equity</v>
      </c>
      <c r="D3780" s="8" t="str">
        <f>IFERROR(INDEX('nav master'!$C:$C, MATCH(B3780, 'nav master'!$B:$B, 0)), "")</f>
        <v>ULIF07317/01/24MidCpMoIdx101</v>
      </c>
      <c r="E3780" s="8" t="s">
        <v>399</v>
      </c>
      <c r="F3780" s="8" t="s">
        <v>4022</v>
      </c>
    </row>
    <row r="3781" spans="1:6" ht="60" x14ac:dyDescent="0.25">
      <c r="A3781" s="8" t="s">
        <v>125</v>
      </c>
      <c r="B3781" s="8" t="s">
        <v>150</v>
      </c>
      <c r="C3781" s="8" t="str">
        <f>IFERROR(_xlfn.XLOOKUP(TRIM(B3781),Lookup!$B$2:$B$1000,Lookup!$C$2:$C$1000),"")</f>
        <v>Equity</v>
      </c>
      <c r="D3781" s="8" t="str">
        <f>IFERROR(INDEX('nav master'!$C:$C, MATCH(B3781, 'nav master'!$B:$B, 0)), "")</f>
        <v>ULIF07317/01/24MidCpMoIdx101</v>
      </c>
      <c r="E3781" s="8" t="s">
        <v>401</v>
      </c>
      <c r="F3781" s="8" t="s">
        <v>4023</v>
      </c>
    </row>
    <row r="3782" spans="1:6" ht="60" x14ac:dyDescent="0.25">
      <c r="A3782" s="8" t="s">
        <v>125</v>
      </c>
      <c r="B3782" s="8" t="s">
        <v>150</v>
      </c>
      <c r="C3782" s="8" t="str">
        <f>IFERROR(_xlfn.XLOOKUP(TRIM(B3782),Lookup!$B$2:$B$1000,Lookup!$C$2:$C$1000),"")</f>
        <v>Equity</v>
      </c>
      <c r="D3782" s="8" t="str">
        <f>IFERROR(INDEX('nav master'!$C:$C, MATCH(B3782, 'nav master'!$B:$B, 0)), "")</f>
        <v>ULIF07317/01/24MidCpMoIdx101</v>
      </c>
      <c r="E3782" s="8" t="s">
        <v>403</v>
      </c>
      <c r="F3782" s="8" t="s">
        <v>4024</v>
      </c>
    </row>
    <row r="3783" spans="1:6" ht="60" x14ac:dyDescent="0.25">
      <c r="A3783" s="8" t="s">
        <v>125</v>
      </c>
      <c r="B3783" s="8" t="s">
        <v>150</v>
      </c>
      <c r="C3783" s="8" t="str">
        <f>IFERROR(_xlfn.XLOOKUP(TRIM(B3783),Lookup!$B$2:$B$1000,Lookup!$C$2:$C$1000),"")</f>
        <v>Equity</v>
      </c>
      <c r="D3783" s="8" t="str">
        <f>IFERROR(INDEX('nav master'!$C:$C, MATCH(B3783, 'nav master'!$B:$B, 0)), "")</f>
        <v>ULIF07317/01/24MidCpMoIdx101</v>
      </c>
      <c r="E3783" s="8" t="s">
        <v>405</v>
      </c>
      <c r="F3783" s="8" t="s">
        <v>4025</v>
      </c>
    </row>
    <row r="3784" spans="1:6" ht="60" x14ac:dyDescent="0.25">
      <c r="A3784" s="8" t="s">
        <v>125</v>
      </c>
      <c r="B3784" s="8" t="s">
        <v>150</v>
      </c>
      <c r="C3784" s="8" t="str">
        <f>IFERROR(_xlfn.XLOOKUP(TRIM(B3784),Lookup!$B$2:$B$1000,Lookup!$C$2:$C$1000),"")</f>
        <v>Equity</v>
      </c>
      <c r="D3784" s="8" t="str">
        <f>IFERROR(INDEX('nav master'!$C:$C, MATCH(B3784, 'nav master'!$B:$B, 0)), "")</f>
        <v>ULIF07317/01/24MidCpMoIdx101</v>
      </c>
      <c r="E3784" s="8" t="s">
        <v>407</v>
      </c>
      <c r="F3784" s="8" t="s">
        <v>4026</v>
      </c>
    </row>
    <row r="3785" spans="1:6" ht="60" x14ac:dyDescent="0.25">
      <c r="A3785" s="8" t="s">
        <v>125</v>
      </c>
      <c r="B3785" s="8" t="s">
        <v>150</v>
      </c>
      <c r="C3785" s="8" t="str">
        <f>IFERROR(_xlfn.XLOOKUP(TRIM(B3785),Lookup!$B$2:$B$1000,Lookup!$C$2:$C$1000),"")</f>
        <v>Equity</v>
      </c>
      <c r="D3785" s="8" t="str">
        <f>IFERROR(INDEX('nav master'!$C:$C, MATCH(B3785, 'nav master'!$B:$B, 0)), "")</f>
        <v>ULIF07317/01/24MidCpMoIdx101</v>
      </c>
      <c r="E3785" s="8" t="s">
        <v>409</v>
      </c>
      <c r="F3785" s="8" t="s">
        <v>4027</v>
      </c>
    </row>
    <row r="3786" spans="1:6" ht="60" x14ac:dyDescent="0.25">
      <c r="A3786" s="8" t="s">
        <v>125</v>
      </c>
      <c r="B3786" s="8" t="s">
        <v>150</v>
      </c>
      <c r="C3786" s="8" t="str">
        <f>IFERROR(_xlfn.XLOOKUP(TRIM(B3786),Lookup!$B$2:$B$1000,Lookup!$C$2:$C$1000),"")</f>
        <v>Equity</v>
      </c>
      <c r="D3786" s="8" t="str">
        <f>IFERROR(INDEX('nav master'!$C:$C, MATCH(B3786, 'nav master'!$B:$B, 0)), "")</f>
        <v>ULIF07317/01/24MidCpMoIdx101</v>
      </c>
      <c r="E3786" s="8" t="s">
        <v>411</v>
      </c>
      <c r="F3786" s="8" t="s">
        <v>4028</v>
      </c>
    </row>
    <row r="3787" spans="1:6" ht="60" x14ac:dyDescent="0.25">
      <c r="A3787" s="8" t="s">
        <v>125</v>
      </c>
      <c r="B3787" s="8" t="s">
        <v>150</v>
      </c>
      <c r="C3787" s="8" t="str">
        <f>IFERROR(_xlfn.XLOOKUP(TRIM(B3787),Lookup!$B$2:$B$1000,Lookup!$C$2:$C$1000),"")</f>
        <v>Equity</v>
      </c>
      <c r="D3787" s="8" t="str">
        <f>IFERROR(INDEX('nav master'!$C:$C, MATCH(B3787, 'nav master'!$B:$B, 0)), "")</f>
        <v>ULIF07317/01/24MidCpMoIdx101</v>
      </c>
      <c r="E3787" s="8" t="s">
        <v>413</v>
      </c>
      <c r="F3787" s="8" t="s">
        <v>4029</v>
      </c>
    </row>
    <row r="3788" spans="1:6" ht="60" x14ac:dyDescent="0.25">
      <c r="A3788" s="8" t="s">
        <v>125</v>
      </c>
      <c r="B3788" s="8" t="s">
        <v>150</v>
      </c>
      <c r="C3788" s="8" t="str">
        <f>IFERROR(_xlfn.XLOOKUP(TRIM(B3788),Lookup!$B$2:$B$1000,Lookup!$C$2:$C$1000),"")</f>
        <v>Equity</v>
      </c>
      <c r="D3788" s="8" t="str">
        <f>IFERROR(INDEX('nav master'!$C:$C, MATCH(B3788, 'nav master'!$B:$B, 0)), "")</f>
        <v>ULIF07317/01/24MidCpMoIdx101</v>
      </c>
      <c r="E3788" s="8" t="s">
        <v>415</v>
      </c>
      <c r="F3788" s="8" t="s">
        <v>4030</v>
      </c>
    </row>
    <row r="3789" spans="1:6" ht="60" x14ac:dyDescent="0.25">
      <c r="A3789" s="8" t="s">
        <v>125</v>
      </c>
      <c r="B3789" s="8" t="s">
        <v>150</v>
      </c>
      <c r="C3789" s="8" t="str">
        <f>IFERROR(_xlfn.XLOOKUP(TRIM(B3789),Lookup!$B$2:$B$1000,Lookup!$C$2:$C$1000),"")</f>
        <v>Equity</v>
      </c>
      <c r="D3789" s="8" t="str">
        <f>IFERROR(INDEX('nav master'!$C:$C, MATCH(B3789, 'nav master'!$B:$B, 0)), "")</f>
        <v>ULIF07317/01/24MidCpMoIdx101</v>
      </c>
      <c r="E3789" s="8" t="s">
        <v>417</v>
      </c>
      <c r="F3789" s="8" t="s">
        <v>4031</v>
      </c>
    </row>
    <row r="3790" spans="1:6" ht="60" x14ac:dyDescent="0.25">
      <c r="A3790" s="8" t="s">
        <v>125</v>
      </c>
      <c r="B3790" s="8" t="s">
        <v>150</v>
      </c>
      <c r="C3790" s="8" t="str">
        <f>IFERROR(_xlfn.XLOOKUP(TRIM(B3790),Lookup!$B$2:$B$1000,Lookup!$C$2:$C$1000),"")</f>
        <v>Equity</v>
      </c>
      <c r="D3790" s="8" t="str">
        <f>IFERROR(INDEX('nav master'!$C:$C, MATCH(B3790, 'nav master'!$B:$B, 0)), "")</f>
        <v>ULIF07317/01/24MidCpMoIdx101</v>
      </c>
      <c r="E3790" s="8" t="s">
        <v>419</v>
      </c>
      <c r="F3790" s="8" t="s">
        <v>4032</v>
      </c>
    </row>
    <row r="3791" spans="1:6" ht="60" x14ac:dyDescent="0.25">
      <c r="A3791" s="8" t="s">
        <v>125</v>
      </c>
      <c r="B3791" s="8" t="s">
        <v>150</v>
      </c>
      <c r="C3791" s="8" t="str">
        <f>IFERROR(_xlfn.XLOOKUP(TRIM(B3791),Lookup!$B$2:$B$1000,Lookup!$C$2:$C$1000),"")</f>
        <v>Equity</v>
      </c>
      <c r="D3791" s="8" t="str">
        <f>IFERROR(INDEX('nav master'!$C:$C, MATCH(B3791, 'nav master'!$B:$B, 0)), "")</f>
        <v>ULIF07317/01/24MidCpMoIdx101</v>
      </c>
      <c r="E3791" s="8" t="s">
        <v>421</v>
      </c>
      <c r="F3791" s="8" t="s">
        <v>4033</v>
      </c>
    </row>
    <row r="3792" spans="1:6" ht="60" x14ac:dyDescent="0.25">
      <c r="A3792" s="8" t="s">
        <v>125</v>
      </c>
      <c r="B3792" s="8" t="s">
        <v>150</v>
      </c>
      <c r="C3792" s="8" t="str">
        <f>IFERROR(_xlfn.XLOOKUP(TRIM(B3792),Lookup!$B$2:$B$1000,Lookup!$C$2:$C$1000),"")</f>
        <v>Equity</v>
      </c>
      <c r="D3792" s="8" t="str">
        <f>IFERROR(INDEX('nav master'!$C:$C, MATCH(B3792, 'nav master'!$B:$B, 0)), "")</f>
        <v>ULIF07317/01/24MidCpMoIdx101</v>
      </c>
      <c r="E3792" s="8" t="s">
        <v>423</v>
      </c>
      <c r="F3792" s="8" t="s">
        <v>4034</v>
      </c>
    </row>
    <row r="3793" spans="1:6" ht="60" x14ac:dyDescent="0.25">
      <c r="A3793" s="8" t="s">
        <v>125</v>
      </c>
      <c r="B3793" s="8" t="s">
        <v>150</v>
      </c>
      <c r="C3793" s="8" t="str">
        <f>IFERROR(_xlfn.XLOOKUP(TRIM(B3793),Lookup!$B$2:$B$1000,Lookup!$C$2:$C$1000),"")</f>
        <v>Equity</v>
      </c>
      <c r="D3793" s="8" t="str">
        <f>IFERROR(INDEX('nav master'!$C:$C, MATCH(B3793, 'nav master'!$B:$B, 0)), "")</f>
        <v>ULIF07317/01/24MidCpMoIdx101</v>
      </c>
      <c r="E3793" s="8" t="s">
        <v>425</v>
      </c>
      <c r="F3793" s="8" t="s">
        <v>2867</v>
      </c>
    </row>
    <row r="3794" spans="1:6" ht="60" x14ac:dyDescent="0.25">
      <c r="A3794" s="8" t="s">
        <v>125</v>
      </c>
      <c r="B3794" s="8" t="s">
        <v>150</v>
      </c>
      <c r="C3794" s="8" t="str">
        <f>IFERROR(_xlfn.XLOOKUP(TRIM(B3794),Lookup!$B$2:$B$1000,Lookup!$C$2:$C$1000),"")</f>
        <v>Equity</v>
      </c>
      <c r="D3794" s="8" t="str">
        <f>IFERROR(INDEX('nav master'!$C:$C, MATCH(B3794, 'nav master'!$B:$B, 0)), "")</f>
        <v>ULIF07317/01/24MidCpMoIdx101</v>
      </c>
      <c r="E3794" s="8" t="s">
        <v>427</v>
      </c>
      <c r="F3794" s="8" t="s">
        <v>4035</v>
      </c>
    </row>
    <row r="3795" spans="1:6" ht="60" x14ac:dyDescent="0.25">
      <c r="A3795" s="8" t="s">
        <v>125</v>
      </c>
      <c r="B3795" s="8" t="s">
        <v>150</v>
      </c>
      <c r="C3795" s="8" t="str">
        <f>IFERROR(_xlfn.XLOOKUP(TRIM(B3795),Lookup!$B$2:$B$1000,Lookup!$C$2:$C$1000),"")</f>
        <v>Equity</v>
      </c>
      <c r="D3795" s="8" t="str">
        <f>IFERROR(INDEX('nav master'!$C:$C, MATCH(B3795, 'nav master'!$B:$B, 0)), "")</f>
        <v>ULIF07317/01/24MidCpMoIdx101</v>
      </c>
      <c r="E3795" s="8" t="s">
        <v>429</v>
      </c>
      <c r="F3795" s="8" t="s">
        <v>4036</v>
      </c>
    </row>
    <row r="3796" spans="1:6" ht="60" x14ac:dyDescent="0.25">
      <c r="A3796" s="8" t="s">
        <v>125</v>
      </c>
      <c r="B3796" s="8" t="s">
        <v>150</v>
      </c>
      <c r="C3796" s="8" t="str">
        <f>IFERROR(_xlfn.XLOOKUP(TRIM(B3796),Lookup!$B$2:$B$1000,Lookup!$C$2:$C$1000),"")</f>
        <v>Equity</v>
      </c>
      <c r="D3796" s="8" t="str">
        <f>IFERROR(INDEX('nav master'!$C:$C, MATCH(B3796, 'nav master'!$B:$B, 0)), "")</f>
        <v>ULIF07317/01/24MidCpMoIdx101</v>
      </c>
      <c r="E3796" s="8" t="s">
        <v>431</v>
      </c>
      <c r="F3796" s="8" t="s">
        <v>4037</v>
      </c>
    </row>
    <row r="3797" spans="1:6" ht="60" x14ac:dyDescent="0.25">
      <c r="A3797" s="8" t="s">
        <v>125</v>
      </c>
      <c r="B3797" s="8" t="s">
        <v>150</v>
      </c>
      <c r="C3797" s="8" t="str">
        <f>IFERROR(_xlfn.XLOOKUP(TRIM(B3797),Lookup!$B$2:$B$1000,Lookup!$C$2:$C$1000),"")</f>
        <v>Equity</v>
      </c>
      <c r="D3797" s="8" t="str">
        <f>IFERROR(INDEX('nav master'!$C:$C, MATCH(B3797, 'nav master'!$B:$B, 0)), "")</f>
        <v>ULIF07317/01/24MidCpMoIdx101</v>
      </c>
      <c r="E3797" s="8" t="s">
        <v>433</v>
      </c>
      <c r="F3797" s="8" t="s">
        <v>4038</v>
      </c>
    </row>
    <row r="3798" spans="1:6" ht="60" x14ac:dyDescent="0.25">
      <c r="A3798" s="8" t="s">
        <v>125</v>
      </c>
      <c r="B3798" s="8" t="s">
        <v>150</v>
      </c>
      <c r="C3798" s="8" t="str">
        <f>IFERROR(_xlfn.XLOOKUP(TRIM(B3798),Lookup!$B$2:$B$1000,Lookup!$C$2:$C$1000),"")</f>
        <v>Equity</v>
      </c>
      <c r="D3798" s="8" t="str">
        <f>IFERROR(INDEX('nav master'!$C:$C, MATCH(B3798, 'nav master'!$B:$B, 0)), "")</f>
        <v>ULIF07317/01/24MidCpMoIdx101</v>
      </c>
      <c r="E3798" s="8" t="s">
        <v>435</v>
      </c>
      <c r="F3798" s="8" t="s">
        <v>4039</v>
      </c>
    </row>
    <row r="3799" spans="1:6" ht="60" x14ac:dyDescent="0.25">
      <c r="A3799" s="8" t="s">
        <v>125</v>
      </c>
      <c r="B3799" s="8" t="s">
        <v>150</v>
      </c>
      <c r="C3799" s="8" t="str">
        <f>IFERROR(_xlfn.XLOOKUP(TRIM(B3799),Lookup!$B$2:$B$1000,Lookup!$C$2:$C$1000),"")</f>
        <v>Equity</v>
      </c>
      <c r="D3799" s="8" t="str">
        <f>IFERROR(INDEX('nav master'!$C:$C, MATCH(B3799, 'nav master'!$B:$B, 0)), "")</f>
        <v>ULIF07317/01/24MidCpMoIdx101</v>
      </c>
      <c r="E3799" s="8" t="s">
        <v>437</v>
      </c>
      <c r="F3799" s="8" t="s">
        <v>4040</v>
      </c>
    </row>
    <row r="3800" spans="1:6" ht="60" x14ac:dyDescent="0.25">
      <c r="A3800" s="8" t="s">
        <v>125</v>
      </c>
      <c r="B3800" s="8" t="s">
        <v>150</v>
      </c>
      <c r="C3800" s="8" t="str">
        <f>IFERROR(_xlfn.XLOOKUP(TRIM(B3800),Lookup!$B$2:$B$1000,Lookup!$C$2:$C$1000),"")</f>
        <v>Equity</v>
      </c>
      <c r="D3800" s="8" t="str">
        <f>IFERROR(INDEX('nav master'!$C:$C, MATCH(B3800, 'nav master'!$B:$B, 0)), "")</f>
        <v>ULIF07317/01/24MidCpMoIdx101</v>
      </c>
      <c r="E3800" s="8" t="s">
        <v>439</v>
      </c>
      <c r="F3800" s="8" t="s">
        <v>4041</v>
      </c>
    </row>
    <row r="3801" spans="1:6" ht="60" x14ac:dyDescent="0.25">
      <c r="A3801" s="8" t="s">
        <v>125</v>
      </c>
      <c r="B3801" s="8" t="s">
        <v>150</v>
      </c>
      <c r="C3801" s="8" t="str">
        <f>IFERROR(_xlfn.XLOOKUP(TRIM(B3801),Lookup!$B$2:$B$1000,Lookup!$C$2:$C$1000),"")</f>
        <v>Equity</v>
      </c>
      <c r="D3801" s="8" t="str">
        <f>IFERROR(INDEX('nav master'!$C:$C, MATCH(B3801, 'nav master'!$B:$B, 0)), "")</f>
        <v>ULIF07317/01/24MidCpMoIdx101</v>
      </c>
      <c r="E3801" s="8" t="s">
        <v>441</v>
      </c>
      <c r="F3801" s="8" t="s">
        <v>4042</v>
      </c>
    </row>
    <row r="3802" spans="1:6" ht="60" x14ac:dyDescent="0.25">
      <c r="A3802" s="8" t="s">
        <v>125</v>
      </c>
      <c r="B3802" s="8" t="s">
        <v>150</v>
      </c>
      <c r="C3802" s="8" t="str">
        <f>IFERROR(_xlfn.XLOOKUP(TRIM(B3802),Lookup!$B$2:$B$1000,Lookup!$C$2:$C$1000),"")</f>
        <v>Equity</v>
      </c>
      <c r="D3802" s="8" t="str">
        <f>IFERROR(INDEX('nav master'!$C:$C, MATCH(B3802, 'nav master'!$B:$B, 0)), "")</f>
        <v>ULIF07317/01/24MidCpMoIdx101</v>
      </c>
      <c r="E3802" s="8" t="s">
        <v>443</v>
      </c>
      <c r="F3802" s="8" t="s">
        <v>4043</v>
      </c>
    </row>
    <row r="3803" spans="1:6" ht="60" x14ac:dyDescent="0.25">
      <c r="A3803" s="8" t="s">
        <v>125</v>
      </c>
      <c r="B3803" s="8" t="s">
        <v>150</v>
      </c>
      <c r="C3803" s="8" t="str">
        <f>IFERROR(_xlfn.XLOOKUP(TRIM(B3803),Lookup!$B$2:$B$1000,Lookup!$C$2:$C$1000),"")</f>
        <v>Equity</v>
      </c>
      <c r="D3803" s="8" t="str">
        <f>IFERROR(INDEX('nav master'!$C:$C, MATCH(B3803, 'nav master'!$B:$B, 0)), "")</f>
        <v>ULIF07317/01/24MidCpMoIdx101</v>
      </c>
      <c r="E3803" s="8" t="s">
        <v>445</v>
      </c>
      <c r="F3803" s="8" t="s">
        <v>4044</v>
      </c>
    </row>
    <row r="3804" spans="1:6" ht="60" x14ac:dyDescent="0.25">
      <c r="A3804" s="8" t="s">
        <v>125</v>
      </c>
      <c r="B3804" s="8" t="s">
        <v>150</v>
      </c>
      <c r="C3804" s="8" t="str">
        <f>IFERROR(_xlfn.XLOOKUP(TRIM(B3804),Lookup!$B$2:$B$1000,Lookup!$C$2:$C$1000),"")</f>
        <v>Equity</v>
      </c>
      <c r="D3804" s="8" t="str">
        <f>IFERROR(INDEX('nav master'!$C:$C, MATCH(B3804, 'nav master'!$B:$B, 0)), "")</f>
        <v>ULIF07317/01/24MidCpMoIdx101</v>
      </c>
      <c r="E3804" s="8" t="s">
        <v>446</v>
      </c>
      <c r="F3804" s="8" t="s">
        <v>4045</v>
      </c>
    </row>
    <row r="3805" spans="1:6" ht="60" x14ac:dyDescent="0.25">
      <c r="A3805" s="8" t="s">
        <v>125</v>
      </c>
      <c r="B3805" s="8" t="s">
        <v>150</v>
      </c>
      <c r="C3805" s="8" t="str">
        <f>IFERROR(_xlfn.XLOOKUP(TRIM(B3805),Lookup!$B$2:$B$1000,Lookup!$C$2:$C$1000),"")</f>
        <v>Equity</v>
      </c>
      <c r="D3805" s="8" t="str">
        <f>IFERROR(INDEX('nav master'!$C:$C, MATCH(B3805, 'nav master'!$B:$B, 0)), "")</f>
        <v>ULIF07317/01/24MidCpMoIdx101</v>
      </c>
      <c r="E3805" s="8" t="s">
        <v>448</v>
      </c>
      <c r="F3805" s="8" t="s">
        <v>4046</v>
      </c>
    </row>
    <row r="3806" spans="1:6" ht="60" x14ac:dyDescent="0.25">
      <c r="A3806" s="8" t="s">
        <v>125</v>
      </c>
      <c r="B3806" s="8" t="s">
        <v>150</v>
      </c>
      <c r="C3806" s="8" t="str">
        <f>IFERROR(_xlfn.XLOOKUP(TRIM(B3806),Lookup!$B$2:$B$1000,Lookup!$C$2:$C$1000),"")</f>
        <v>Equity</v>
      </c>
      <c r="D3806" s="8" t="str">
        <f>IFERROR(INDEX('nav master'!$C:$C, MATCH(B3806, 'nav master'!$B:$B, 0)), "")</f>
        <v>ULIF07317/01/24MidCpMoIdx101</v>
      </c>
      <c r="E3806" s="8" t="s">
        <v>450</v>
      </c>
      <c r="F3806" s="8" t="s">
        <v>4047</v>
      </c>
    </row>
    <row r="3807" spans="1:6" ht="60" x14ac:dyDescent="0.25">
      <c r="A3807" s="8" t="s">
        <v>125</v>
      </c>
      <c r="B3807" s="8" t="s">
        <v>150</v>
      </c>
      <c r="C3807" s="8" t="str">
        <f>IFERROR(_xlfn.XLOOKUP(TRIM(B3807),Lookup!$B$2:$B$1000,Lookup!$C$2:$C$1000),"")</f>
        <v>Equity</v>
      </c>
      <c r="D3807" s="8" t="str">
        <f>IFERROR(INDEX('nav master'!$C:$C, MATCH(B3807, 'nav master'!$B:$B, 0)), "")</f>
        <v>ULIF07317/01/24MidCpMoIdx101</v>
      </c>
      <c r="E3807" s="8" t="s">
        <v>452</v>
      </c>
      <c r="F3807" s="8" t="s">
        <v>4048</v>
      </c>
    </row>
    <row r="3808" spans="1:6" ht="60" x14ac:dyDescent="0.25">
      <c r="A3808" s="8" t="s">
        <v>125</v>
      </c>
      <c r="B3808" s="8" t="s">
        <v>150</v>
      </c>
      <c r="C3808" s="8" t="str">
        <f>IFERROR(_xlfn.XLOOKUP(TRIM(B3808),Lookup!$B$2:$B$1000,Lookup!$C$2:$C$1000),"")</f>
        <v>Equity</v>
      </c>
      <c r="D3808" s="8" t="str">
        <f>IFERROR(INDEX('nav master'!$C:$C, MATCH(B3808, 'nav master'!$B:$B, 0)), "")</f>
        <v>ULIF07317/01/24MidCpMoIdx101</v>
      </c>
      <c r="E3808" s="8" t="s">
        <v>454</v>
      </c>
      <c r="F3808" s="8" t="s">
        <v>4049</v>
      </c>
    </row>
    <row r="3809" spans="1:6" ht="60" x14ac:dyDescent="0.25">
      <c r="A3809" s="8" t="s">
        <v>125</v>
      </c>
      <c r="B3809" s="8" t="s">
        <v>150</v>
      </c>
      <c r="C3809" s="8" t="str">
        <f>IFERROR(_xlfn.XLOOKUP(TRIM(B3809),Lookup!$B$2:$B$1000,Lookup!$C$2:$C$1000),"")</f>
        <v>Equity</v>
      </c>
      <c r="D3809" s="8" t="str">
        <f>IFERROR(INDEX('nav master'!$C:$C, MATCH(B3809, 'nav master'!$B:$B, 0)), "")</f>
        <v>ULIF07317/01/24MidCpMoIdx101</v>
      </c>
      <c r="E3809" s="8" t="s">
        <v>456</v>
      </c>
      <c r="F3809" s="8" t="s">
        <v>4050</v>
      </c>
    </row>
    <row r="3810" spans="1:6" ht="60" x14ac:dyDescent="0.25">
      <c r="A3810" s="8" t="s">
        <v>125</v>
      </c>
      <c r="B3810" s="8" t="s">
        <v>150</v>
      </c>
      <c r="C3810" s="8" t="str">
        <f>IFERROR(_xlfn.XLOOKUP(TRIM(B3810),Lookup!$B$2:$B$1000,Lookup!$C$2:$C$1000),"")</f>
        <v>Equity</v>
      </c>
      <c r="D3810" s="8" t="str">
        <f>IFERROR(INDEX('nav master'!$C:$C, MATCH(B3810, 'nav master'!$B:$B, 0)), "")</f>
        <v>ULIF07317/01/24MidCpMoIdx101</v>
      </c>
      <c r="E3810" s="8" t="s">
        <v>458</v>
      </c>
      <c r="F3810" s="8" t="s">
        <v>4051</v>
      </c>
    </row>
    <row r="3811" spans="1:6" ht="60" x14ac:dyDescent="0.25">
      <c r="A3811" s="8" t="s">
        <v>125</v>
      </c>
      <c r="B3811" s="8" t="s">
        <v>150</v>
      </c>
      <c r="C3811" s="8" t="str">
        <f>IFERROR(_xlfn.XLOOKUP(TRIM(B3811),Lookup!$B$2:$B$1000,Lookup!$C$2:$C$1000),"")</f>
        <v>Equity</v>
      </c>
      <c r="D3811" s="8" t="str">
        <f>IFERROR(INDEX('nav master'!$C:$C, MATCH(B3811, 'nav master'!$B:$B, 0)), "")</f>
        <v>ULIF07317/01/24MidCpMoIdx101</v>
      </c>
      <c r="E3811" s="8" t="s">
        <v>460</v>
      </c>
      <c r="F3811" s="8" t="s">
        <v>4052</v>
      </c>
    </row>
    <row r="3812" spans="1:6" ht="60" x14ac:dyDescent="0.25">
      <c r="A3812" s="8" t="s">
        <v>125</v>
      </c>
      <c r="B3812" s="8" t="s">
        <v>150</v>
      </c>
      <c r="C3812" s="8" t="str">
        <f>IFERROR(_xlfn.XLOOKUP(TRIM(B3812),Lookup!$B$2:$B$1000,Lookup!$C$2:$C$1000),"")</f>
        <v>Equity</v>
      </c>
      <c r="D3812" s="8" t="str">
        <f>IFERROR(INDEX('nav master'!$C:$C, MATCH(B3812, 'nav master'!$B:$B, 0)), "")</f>
        <v>ULIF07317/01/24MidCpMoIdx101</v>
      </c>
      <c r="E3812" s="8" t="s">
        <v>462</v>
      </c>
      <c r="F3812" s="8" t="s">
        <v>4053</v>
      </c>
    </row>
    <row r="3813" spans="1:6" ht="60" x14ac:dyDescent="0.25">
      <c r="A3813" s="8" t="s">
        <v>125</v>
      </c>
      <c r="B3813" s="8" t="s">
        <v>150</v>
      </c>
      <c r="C3813" s="8" t="str">
        <f>IFERROR(_xlfn.XLOOKUP(TRIM(B3813),Lookup!$B$2:$B$1000,Lookup!$C$2:$C$1000),"")</f>
        <v>Equity</v>
      </c>
      <c r="D3813" s="8" t="str">
        <f>IFERROR(INDEX('nav master'!$C:$C, MATCH(B3813, 'nav master'!$B:$B, 0)), "")</f>
        <v>ULIF07317/01/24MidCpMoIdx101</v>
      </c>
      <c r="E3813" s="8" t="s">
        <v>464</v>
      </c>
      <c r="F3813" s="8" t="s">
        <v>4054</v>
      </c>
    </row>
    <row r="3814" spans="1:6" ht="60" x14ac:dyDescent="0.25">
      <c r="A3814" s="8" t="s">
        <v>125</v>
      </c>
      <c r="B3814" s="8" t="s">
        <v>150</v>
      </c>
      <c r="C3814" s="8" t="str">
        <f>IFERROR(_xlfn.XLOOKUP(TRIM(B3814),Lookup!$B$2:$B$1000,Lookup!$C$2:$C$1000),"")</f>
        <v>Equity</v>
      </c>
      <c r="D3814" s="8" t="str">
        <f>IFERROR(INDEX('nav master'!$C:$C, MATCH(B3814, 'nav master'!$B:$B, 0)), "")</f>
        <v>ULIF07317/01/24MidCpMoIdx101</v>
      </c>
      <c r="E3814" s="8" t="s">
        <v>466</v>
      </c>
      <c r="F3814" s="8" t="s">
        <v>4055</v>
      </c>
    </row>
    <row r="3815" spans="1:6" ht="60" x14ac:dyDescent="0.25">
      <c r="A3815" s="8" t="s">
        <v>125</v>
      </c>
      <c r="B3815" s="8" t="s">
        <v>150</v>
      </c>
      <c r="C3815" s="8" t="str">
        <f>IFERROR(_xlfn.XLOOKUP(TRIM(B3815),Lookup!$B$2:$B$1000,Lookup!$C$2:$C$1000),"")</f>
        <v>Equity</v>
      </c>
      <c r="D3815" s="8" t="str">
        <f>IFERROR(INDEX('nav master'!$C:$C, MATCH(B3815, 'nav master'!$B:$B, 0)), "")</f>
        <v>ULIF07317/01/24MidCpMoIdx101</v>
      </c>
      <c r="E3815" s="8" t="s">
        <v>468</v>
      </c>
      <c r="F3815" s="8" t="s">
        <v>4056</v>
      </c>
    </row>
    <row r="3816" spans="1:6" ht="60" x14ac:dyDescent="0.25">
      <c r="A3816" s="8" t="s">
        <v>125</v>
      </c>
      <c r="B3816" s="8" t="s">
        <v>150</v>
      </c>
      <c r="C3816" s="8" t="str">
        <f>IFERROR(_xlfn.XLOOKUP(TRIM(B3816),Lookup!$B$2:$B$1000,Lookup!$C$2:$C$1000),"")</f>
        <v>Equity</v>
      </c>
      <c r="D3816" s="8" t="str">
        <f>IFERROR(INDEX('nav master'!$C:$C, MATCH(B3816, 'nav master'!$B:$B, 0)), "")</f>
        <v>ULIF07317/01/24MidCpMoIdx101</v>
      </c>
      <c r="E3816" s="8" t="s">
        <v>470</v>
      </c>
      <c r="F3816" s="8" t="s">
        <v>4057</v>
      </c>
    </row>
    <row r="3817" spans="1:6" ht="60" x14ac:dyDescent="0.25">
      <c r="A3817" s="8" t="s">
        <v>125</v>
      </c>
      <c r="B3817" s="8" t="s">
        <v>150</v>
      </c>
      <c r="C3817" s="8" t="str">
        <f>IFERROR(_xlfn.XLOOKUP(TRIM(B3817),Lookup!$B$2:$B$1000,Lookup!$C$2:$C$1000),"")</f>
        <v>Equity</v>
      </c>
      <c r="D3817" s="8" t="str">
        <f>IFERROR(INDEX('nav master'!$C:$C, MATCH(B3817, 'nav master'!$B:$B, 0)), "")</f>
        <v>ULIF07317/01/24MidCpMoIdx101</v>
      </c>
      <c r="E3817" s="8" t="s">
        <v>472</v>
      </c>
      <c r="F3817" s="8" t="s">
        <v>4058</v>
      </c>
    </row>
    <row r="3818" spans="1:6" ht="60" x14ac:dyDescent="0.25">
      <c r="A3818" s="8" t="s">
        <v>125</v>
      </c>
      <c r="B3818" s="8" t="s">
        <v>150</v>
      </c>
      <c r="C3818" s="8" t="str">
        <f>IFERROR(_xlfn.XLOOKUP(TRIM(B3818),Lookup!$B$2:$B$1000,Lookup!$C$2:$C$1000),"")</f>
        <v>Equity</v>
      </c>
      <c r="D3818" s="8" t="str">
        <f>IFERROR(INDEX('nav master'!$C:$C, MATCH(B3818, 'nav master'!$B:$B, 0)), "")</f>
        <v>ULIF07317/01/24MidCpMoIdx101</v>
      </c>
      <c r="E3818" s="8" t="s">
        <v>474</v>
      </c>
      <c r="F3818" s="8" t="s">
        <v>3966</v>
      </c>
    </row>
    <row r="3819" spans="1:6" ht="60" x14ac:dyDescent="0.25">
      <c r="A3819" s="8" t="s">
        <v>125</v>
      </c>
      <c r="B3819" s="8" t="s">
        <v>150</v>
      </c>
      <c r="C3819" s="8" t="str">
        <f>IFERROR(_xlfn.XLOOKUP(TRIM(B3819),Lookup!$B$2:$B$1000,Lookup!$C$2:$C$1000),"")</f>
        <v>Equity</v>
      </c>
      <c r="D3819" s="8" t="str">
        <f>IFERROR(INDEX('nav master'!$C:$C, MATCH(B3819, 'nav master'!$B:$B, 0)), "")</f>
        <v>ULIF07317/01/24MidCpMoIdx101</v>
      </c>
      <c r="E3819" s="8" t="s">
        <v>476</v>
      </c>
      <c r="F3819" s="8" t="s">
        <v>4059</v>
      </c>
    </row>
    <row r="3820" spans="1:6" ht="60" x14ac:dyDescent="0.25">
      <c r="A3820" s="8" t="s">
        <v>125</v>
      </c>
      <c r="B3820" s="8" t="s">
        <v>150</v>
      </c>
      <c r="C3820" s="8" t="str">
        <f>IFERROR(_xlfn.XLOOKUP(TRIM(B3820),Lookup!$B$2:$B$1000,Lookup!$C$2:$C$1000),"")</f>
        <v>Equity</v>
      </c>
      <c r="D3820" s="8" t="str">
        <f>IFERROR(INDEX('nav master'!$C:$C, MATCH(B3820, 'nav master'!$B:$B, 0)), "")</f>
        <v>ULIF07317/01/24MidCpMoIdx101</v>
      </c>
      <c r="E3820" s="8" t="s">
        <v>478</v>
      </c>
      <c r="F3820" s="8" t="s">
        <v>4060</v>
      </c>
    </row>
    <row r="3821" spans="1:6" ht="60" x14ac:dyDescent="0.25">
      <c r="A3821" s="8" t="s">
        <v>125</v>
      </c>
      <c r="B3821" s="8" t="s">
        <v>150</v>
      </c>
      <c r="C3821" s="8" t="str">
        <f>IFERROR(_xlfn.XLOOKUP(TRIM(B3821),Lookup!$B$2:$B$1000,Lookup!$C$2:$C$1000),"")</f>
        <v>Equity</v>
      </c>
      <c r="D3821" s="8" t="str">
        <f>IFERROR(INDEX('nav master'!$C:$C, MATCH(B3821, 'nav master'!$B:$B, 0)), "")</f>
        <v>ULIF07317/01/24MidCpMoIdx101</v>
      </c>
      <c r="E3821" s="8" t="s">
        <v>480</v>
      </c>
      <c r="F3821" s="8" t="s">
        <v>4061</v>
      </c>
    </row>
    <row r="3822" spans="1:6" ht="60" x14ac:dyDescent="0.25">
      <c r="A3822" s="8" t="s">
        <v>125</v>
      </c>
      <c r="B3822" s="8" t="s">
        <v>150</v>
      </c>
      <c r="C3822" s="8" t="str">
        <f>IFERROR(_xlfn.XLOOKUP(TRIM(B3822),Lookup!$B$2:$B$1000,Lookup!$C$2:$C$1000),"")</f>
        <v>Equity</v>
      </c>
      <c r="D3822" s="8" t="str">
        <f>IFERROR(INDEX('nav master'!$C:$C, MATCH(B3822, 'nav master'!$B:$B, 0)), "")</f>
        <v>ULIF07317/01/24MidCpMoIdx101</v>
      </c>
      <c r="E3822" s="8" t="s">
        <v>482</v>
      </c>
      <c r="F3822" s="8" t="s">
        <v>4062</v>
      </c>
    </row>
    <row r="3823" spans="1:6" ht="60" x14ac:dyDescent="0.25">
      <c r="A3823" s="8" t="s">
        <v>125</v>
      </c>
      <c r="B3823" s="8" t="s">
        <v>150</v>
      </c>
      <c r="C3823" s="8" t="str">
        <f>IFERROR(_xlfn.XLOOKUP(TRIM(B3823),Lookup!$B$2:$B$1000,Lookup!$C$2:$C$1000),"")</f>
        <v>Equity</v>
      </c>
      <c r="D3823" s="8" t="str">
        <f>IFERROR(INDEX('nav master'!$C:$C, MATCH(B3823, 'nav master'!$B:$B, 0)), "")</f>
        <v>ULIF07317/01/24MidCpMoIdx101</v>
      </c>
      <c r="E3823" s="8" t="s">
        <v>484</v>
      </c>
      <c r="F3823" s="8" t="s">
        <v>4063</v>
      </c>
    </row>
    <row r="3824" spans="1:6" ht="60" x14ac:dyDescent="0.25">
      <c r="A3824" s="8" t="s">
        <v>125</v>
      </c>
      <c r="B3824" s="8" t="s">
        <v>150</v>
      </c>
      <c r="C3824" s="8" t="str">
        <f>IFERROR(_xlfn.XLOOKUP(TRIM(B3824),Lookup!$B$2:$B$1000,Lookup!$C$2:$C$1000),"")</f>
        <v>Equity</v>
      </c>
      <c r="D3824" s="8" t="str">
        <f>IFERROR(INDEX('nav master'!$C:$C, MATCH(B3824, 'nav master'!$B:$B, 0)), "")</f>
        <v>ULIF07317/01/24MidCpMoIdx101</v>
      </c>
      <c r="E3824" s="8" t="s">
        <v>486</v>
      </c>
      <c r="F3824" s="8" t="s">
        <v>4064</v>
      </c>
    </row>
    <row r="3825" spans="1:6" ht="60" x14ac:dyDescent="0.25">
      <c r="A3825" s="8" t="s">
        <v>125</v>
      </c>
      <c r="B3825" s="8" t="s">
        <v>150</v>
      </c>
      <c r="C3825" s="8" t="str">
        <f>IFERROR(_xlfn.XLOOKUP(TRIM(B3825),Lookup!$B$2:$B$1000,Lookup!$C$2:$C$1000),"")</f>
        <v>Equity</v>
      </c>
      <c r="D3825" s="8" t="str">
        <f>IFERROR(INDEX('nav master'!$C:$C, MATCH(B3825, 'nav master'!$B:$B, 0)), "")</f>
        <v>ULIF07317/01/24MidCpMoIdx101</v>
      </c>
      <c r="E3825" s="8" t="s">
        <v>488</v>
      </c>
      <c r="F3825" s="8" t="s">
        <v>4065</v>
      </c>
    </row>
    <row r="3826" spans="1:6" ht="60" x14ac:dyDescent="0.25">
      <c r="A3826" s="8" t="s">
        <v>125</v>
      </c>
      <c r="B3826" s="8" t="s">
        <v>150</v>
      </c>
      <c r="C3826" s="8" t="str">
        <f>IFERROR(_xlfn.XLOOKUP(TRIM(B3826),Lookup!$B$2:$B$1000,Lookup!$C$2:$C$1000),"")</f>
        <v>Equity</v>
      </c>
      <c r="D3826" s="8" t="str">
        <f>IFERROR(INDEX('nav master'!$C:$C, MATCH(B3826, 'nav master'!$B:$B, 0)), "")</f>
        <v>ULIF07317/01/24MidCpMoIdx101</v>
      </c>
      <c r="E3826" s="8" t="s">
        <v>490</v>
      </c>
      <c r="F3826" s="8" t="s">
        <v>4066</v>
      </c>
    </row>
    <row r="3827" spans="1:6" ht="60" x14ac:dyDescent="0.25">
      <c r="A3827" s="8" t="s">
        <v>125</v>
      </c>
      <c r="B3827" s="8" t="s">
        <v>150</v>
      </c>
      <c r="C3827" s="8" t="str">
        <f>IFERROR(_xlfn.XLOOKUP(TRIM(B3827),Lookup!$B$2:$B$1000,Lookup!$C$2:$C$1000),"")</f>
        <v>Equity</v>
      </c>
      <c r="D3827" s="8" t="str">
        <f>IFERROR(INDEX('nav master'!$C:$C, MATCH(B3827, 'nav master'!$B:$B, 0)), "")</f>
        <v>ULIF07317/01/24MidCpMoIdx101</v>
      </c>
      <c r="E3827" s="8" t="s">
        <v>492</v>
      </c>
      <c r="F3827" s="8" t="s">
        <v>4067</v>
      </c>
    </row>
    <row r="3828" spans="1:6" ht="60" x14ac:dyDescent="0.25">
      <c r="A3828" s="8" t="s">
        <v>125</v>
      </c>
      <c r="B3828" s="8" t="s">
        <v>150</v>
      </c>
      <c r="C3828" s="8" t="str">
        <f>IFERROR(_xlfn.XLOOKUP(TRIM(B3828),Lookup!$B$2:$B$1000,Lookup!$C$2:$C$1000),"")</f>
        <v>Equity</v>
      </c>
      <c r="D3828" s="8" t="str">
        <f>IFERROR(INDEX('nav master'!$C:$C, MATCH(B3828, 'nav master'!$B:$B, 0)), "")</f>
        <v>ULIF07317/01/24MidCpMoIdx101</v>
      </c>
      <c r="E3828" s="8" t="s">
        <v>494</v>
      </c>
      <c r="F3828" s="8" t="s">
        <v>4068</v>
      </c>
    </row>
    <row r="3829" spans="1:6" ht="60" x14ac:dyDescent="0.25">
      <c r="A3829" s="8" t="s">
        <v>125</v>
      </c>
      <c r="B3829" s="8" t="s">
        <v>150</v>
      </c>
      <c r="C3829" s="8" t="str">
        <f>IFERROR(_xlfn.XLOOKUP(TRIM(B3829),Lookup!$B$2:$B$1000,Lookup!$C$2:$C$1000),"")</f>
        <v>Equity</v>
      </c>
      <c r="D3829" s="8" t="str">
        <f>IFERROR(INDEX('nav master'!$C:$C, MATCH(B3829, 'nav master'!$B:$B, 0)), "")</f>
        <v>ULIF07317/01/24MidCpMoIdx101</v>
      </c>
      <c r="E3829" s="8" t="s">
        <v>496</v>
      </c>
      <c r="F3829" s="8" t="s">
        <v>4069</v>
      </c>
    </row>
    <row r="3830" spans="1:6" ht="60" x14ac:dyDescent="0.25">
      <c r="A3830" s="8" t="s">
        <v>125</v>
      </c>
      <c r="B3830" s="8" t="s">
        <v>150</v>
      </c>
      <c r="C3830" s="8" t="str">
        <f>IFERROR(_xlfn.XLOOKUP(TRIM(B3830),Lookup!$B$2:$B$1000,Lookup!$C$2:$C$1000),"")</f>
        <v>Equity</v>
      </c>
      <c r="D3830" s="8" t="str">
        <f>IFERROR(INDEX('nav master'!$C:$C, MATCH(B3830, 'nav master'!$B:$B, 0)), "")</f>
        <v>ULIF07317/01/24MidCpMoIdx101</v>
      </c>
      <c r="E3830" s="8" t="s">
        <v>498</v>
      </c>
      <c r="F3830" s="8" t="s">
        <v>4070</v>
      </c>
    </row>
    <row r="3831" spans="1:6" ht="60" x14ac:dyDescent="0.25">
      <c r="A3831" s="8" t="s">
        <v>125</v>
      </c>
      <c r="B3831" s="8" t="s">
        <v>150</v>
      </c>
      <c r="C3831" s="8" t="str">
        <f>IFERROR(_xlfn.XLOOKUP(TRIM(B3831),Lookup!$B$2:$B$1000,Lookup!$C$2:$C$1000),"")</f>
        <v>Equity</v>
      </c>
      <c r="D3831" s="8" t="str">
        <f>IFERROR(INDEX('nav master'!$C:$C, MATCH(B3831, 'nav master'!$B:$B, 0)), "")</f>
        <v>ULIF07317/01/24MidCpMoIdx101</v>
      </c>
      <c r="E3831" s="8" t="s">
        <v>500</v>
      </c>
      <c r="F3831" s="8" t="s">
        <v>4071</v>
      </c>
    </row>
    <row r="3832" spans="1:6" ht="60" x14ac:dyDescent="0.25">
      <c r="A3832" s="8" t="s">
        <v>125</v>
      </c>
      <c r="B3832" s="8" t="s">
        <v>150</v>
      </c>
      <c r="C3832" s="8" t="str">
        <f>IFERROR(_xlfn.XLOOKUP(TRIM(B3832),Lookup!$B$2:$B$1000,Lookup!$C$2:$C$1000),"")</f>
        <v>Equity</v>
      </c>
      <c r="D3832" s="8" t="str">
        <f>IFERROR(INDEX('nav master'!$C:$C, MATCH(B3832, 'nav master'!$B:$B, 0)), "")</f>
        <v>ULIF07317/01/24MidCpMoIdx101</v>
      </c>
      <c r="E3832" s="8" t="s">
        <v>502</v>
      </c>
      <c r="F3832" s="8" t="s">
        <v>4072</v>
      </c>
    </row>
    <row r="3833" spans="1:6" ht="60" x14ac:dyDescent="0.25">
      <c r="A3833" s="8" t="s">
        <v>125</v>
      </c>
      <c r="B3833" s="8" t="s">
        <v>150</v>
      </c>
      <c r="C3833" s="8" t="str">
        <f>IFERROR(_xlfn.XLOOKUP(TRIM(B3833),Lookup!$B$2:$B$1000,Lookup!$C$2:$C$1000),"")</f>
        <v>Equity</v>
      </c>
      <c r="D3833" s="8" t="str">
        <f>IFERROR(INDEX('nav master'!$C:$C, MATCH(B3833, 'nav master'!$B:$B, 0)), "")</f>
        <v>ULIF07317/01/24MidCpMoIdx101</v>
      </c>
      <c r="E3833" s="8" t="s">
        <v>504</v>
      </c>
      <c r="F3833" s="8" t="s">
        <v>4073</v>
      </c>
    </row>
    <row r="3834" spans="1:6" ht="60" x14ac:dyDescent="0.25">
      <c r="A3834" s="8" t="s">
        <v>125</v>
      </c>
      <c r="B3834" s="8" t="s">
        <v>150</v>
      </c>
      <c r="C3834" s="8" t="str">
        <f>IFERROR(_xlfn.XLOOKUP(TRIM(B3834),Lookup!$B$2:$B$1000,Lookup!$C$2:$C$1000),"")</f>
        <v>Equity</v>
      </c>
      <c r="D3834" s="8" t="str">
        <f>IFERROR(INDEX('nav master'!$C:$C, MATCH(B3834, 'nav master'!$B:$B, 0)), "")</f>
        <v>ULIF07317/01/24MidCpMoIdx101</v>
      </c>
      <c r="E3834" s="8" t="s">
        <v>506</v>
      </c>
      <c r="F3834" s="8" t="s">
        <v>4074</v>
      </c>
    </row>
    <row r="3835" spans="1:6" ht="60" x14ac:dyDescent="0.25">
      <c r="A3835" s="8" t="s">
        <v>125</v>
      </c>
      <c r="B3835" s="8" t="s">
        <v>150</v>
      </c>
      <c r="C3835" s="8" t="str">
        <f>IFERROR(_xlfn.XLOOKUP(TRIM(B3835),Lookup!$B$2:$B$1000,Lookup!$C$2:$C$1000),"")</f>
        <v>Equity</v>
      </c>
      <c r="D3835" s="8" t="str">
        <f>IFERROR(INDEX('nav master'!$C:$C, MATCH(B3835, 'nav master'!$B:$B, 0)), "")</f>
        <v>ULIF07317/01/24MidCpMoIdx101</v>
      </c>
      <c r="E3835" s="8" t="s">
        <v>508</v>
      </c>
      <c r="F3835" s="8" t="s">
        <v>4075</v>
      </c>
    </row>
    <row r="3836" spans="1:6" ht="60" x14ac:dyDescent="0.25">
      <c r="A3836" s="8" t="s">
        <v>125</v>
      </c>
      <c r="B3836" s="8" t="s">
        <v>150</v>
      </c>
      <c r="C3836" s="8" t="str">
        <f>IFERROR(_xlfn.XLOOKUP(TRIM(B3836),Lookup!$B$2:$B$1000,Lookup!$C$2:$C$1000),"")</f>
        <v>Equity</v>
      </c>
      <c r="D3836" s="8" t="str">
        <f>IFERROR(INDEX('nav master'!$C:$C, MATCH(B3836, 'nav master'!$B:$B, 0)), "")</f>
        <v>ULIF07317/01/24MidCpMoIdx101</v>
      </c>
      <c r="E3836" s="8" t="s">
        <v>510</v>
      </c>
      <c r="F3836" s="8" t="s">
        <v>4076</v>
      </c>
    </row>
    <row r="3837" spans="1:6" ht="60" x14ac:dyDescent="0.25">
      <c r="A3837" s="8" t="s">
        <v>125</v>
      </c>
      <c r="B3837" s="8" t="s">
        <v>150</v>
      </c>
      <c r="C3837" s="8" t="str">
        <f>IFERROR(_xlfn.XLOOKUP(TRIM(B3837),Lookup!$B$2:$B$1000,Lookup!$C$2:$C$1000),"")</f>
        <v>Equity</v>
      </c>
      <c r="D3837" s="8" t="str">
        <f>IFERROR(INDEX('nav master'!$C:$C, MATCH(B3837, 'nav master'!$B:$B, 0)), "")</f>
        <v>ULIF07317/01/24MidCpMoIdx101</v>
      </c>
      <c r="E3837" s="8" t="s">
        <v>512</v>
      </c>
      <c r="F3837" s="8" t="s">
        <v>4077</v>
      </c>
    </row>
    <row r="3838" spans="1:6" ht="60" x14ac:dyDescent="0.25">
      <c r="A3838" s="8" t="s">
        <v>125</v>
      </c>
      <c r="B3838" s="8" t="s">
        <v>150</v>
      </c>
      <c r="C3838" s="8" t="str">
        <f>IFERROR(_xlfn.XLOOKUP(TRIM(B3838),Lookup!$B$2:$B$1000,Lookup!$C$2:$C$1000),"")</f>
        <v>Equity</v>
      </c>
      <c r="D3838" s="8" t="str">
        <f>IFERROR(INDEX('nav master'!$C:$C, MATCH(B3838, 'nav master'!$B:$B, 0)), "")</f>
        <v>ULIF07317/01/24MidCpMoIdx101</v>
      </c>
      <c r="E3838" s="8" t="s">
        <v>514</v>
      </c>
      <c r="F3838" s="8" t="s">
        <v>2961</v>
      </c>
    </row>
    <row r="3839" spans="1:6" ht="60" x14ac:dyDescent="0.25">
      <c r="A3839" s="8" t="s">
        <v>125</v>
      </c>
      <c r="B3839" s="8" t="s">
        <v>150</v>
      </c>
      <c r="C3839" s="8" t="str">
        <f>IFERROR(_xlfn.XLOOKUP(TRIM(B3839),Lookup!$B$2:$B$1000,Lookup!$C$2:$C$1000),"")</f>
        <v>Equity</v>
      </c>
      <c r="D3839" s="8" t="str">
        <f>IFERROR(INDEX('nav master'!$C:$C, MATCH(B3839, 'nav master'!$B:$B, 0)), "")</f>
        <v>ULIF07317/01/24MidCpMoIdx101</v>
      </c>
      <c r="E3839" s="8" t="s">
        <v>516</v>
      </c>
      <c r="F3839" s="8" t="s">
        <v>4078</v>
      </c>
    </row>
    <row r="3840" spans="1:6" ht="60" x14ac:dyDescent="0.25">
      <c r="A3840" s="8" t="s">
        <v>125</v>
      </c>
      <c r="B3840" s="8" t="s">
        <v>150</v>
      </c>
      <c r="C3840" s="8" t="str">
        <f>IFERROR(_xlfn.XLOOKUP(TRIM(B3840),Lookup!$B$2:$B$1000,Lookup!$C$2:$C$1000),"")</f>
        <v>Equity</v>
      </c>
      <c r="D3840" s="8" t="str">
        <f>IFERROR(INDEX('nav master'!$C:$C, MATCH(B3840, 'nav master'!$B:$B, 0)), "")</f>
        <v>ULIF07317/01/24MidCpMoIdx101</v>
      </c>
      <c r="E3840" s="8" t="s">
        <v>518</v>
      </c>
      <c r="F3840" s="8" t="s">
        <v>4079</v>
      </c>
    </row>
    <row r="3841" spans="1:6" ht="60" x14ac:dyDescent="0.25">
      <c r="A3841" s="8" t="s">
        <v>125</v>
      </c>
      <c r="B3841" s="8" t="s">
        <v>150</v>
      </c>
      <c r="C3841" s="8" t="str">
        <f>IFERROR(_xlfn.XLOOKUP(TRIM(B3841),Lookup!$B$2:$B$1000,Lookup!$C$2:$C$1000),"")</f>
        <v>Equity</v>
      </c>
      <c r="D3841" s="8" t="str">
        <f>IFERROR(INDEX('nav master'!$C:$C, MATCH(B3841, 'nav master'!$B:$B, 0)), "")</f>
        <v>ULIF07317/01/24MidCpMoIdx101</v>
      </c>
      <c r="E3841" s="8" t="s">
        <v>520</v>
      </c>
      <c r="F3841" s="8" t="s">
        <v>4080</v>
      </c>
    </row>
    <row r="3842" spans="1:6" ht="60" x14ac:dyDescent="0.25">
      <c r="A3842" s="8" t="s">
        <v>125</v>
      </c>
      <c r="B3842" s="8" t="s">
        <v>150</v>
      </c>
      <c r="C3842" s="8" t="str">
        <f>IFERROR(_xlfn.XLOOKUP(TRIM(B3842),Lookup!$B$2:$B$1000,Lookup!$C$2:$C$1000),"")</f>
        <v>Equity</v>
      </c>
      <c r="D3842" s="8" t="str">
        <f>IFERROR(INDEX('nav master'!$C:$C, MATCH(B3842, 'nav master'!$B:$B, 0)), "")</f>
        <v>ULIF07317/01/24MidCpMoIdx101</v>
      </c>
      <c r="E3842" s="8" t="s">
        <v>522</v>
      </c>
      <c r="F3842" s="8" t="s">
        <v>4081</v>
      </c>
    </row>
    <row r="3843" spans="1:6" ht="60" x14ac:dyDescent="0.25">
      <c r="A3843" s="8" t="s">
        <v>125</v>
      </c>
      <c r="B3843" s="8" t="s">
        <v>150</v>
      </c>
      <c r="C3843" s="8" t="str">
        <f>IFERROR(_xlfn.XLOOKUP(TRIM(B3843),Lookup!$B$2:$B$1000,Lookup!$C$2:$C$1000),"")</f>
        <v>Equity</v>
      </c>
      <c r="D3843" s="8" t="str">
        <f>IFERROR(INDEX('nav master'!$C:$C, MATCH(B3843, 'nav master'!$B:$B, 0)), "")</f>
        <v>ULIF07317/01/24MidCpMoIdx101</v>
      </c>
      <c r="E3843" s="8" t="s">
        <v>524</v>
      </c>
      <c r="F3843" s="8" t="s">
        <v>4082</v>
      </c>
    </row>
    <row r="3844" spans="1:6" ht="60" x14ac:dyDescent="0.25">
      <c r="A3844" s="8" t="s">
        <v>125</v>
      </c>
      <c r="B3844" s="8" t="s">
        <v>150</v>
      </c>
      <c r="C3844" s="8" t="str">
        <f>IFERROR(_xlfn.XLOOKUP(TRIM(B3844),Lookup!$B$2:$B$1000,Lookup!$C$2:$C$1000),"")</f>
        <v>Equity</v>
      </c>
      <c r="D3844" s="8" t="str">
        <f>IFERROR(INDEX('nav master'!$C:$C, MATCH(B3844, 'nav master'!$B:$B, 0)), "")</f>
        <v>ULIF07317/01/24MidCpMoIdx101</v>
      </c>
      <c r="E3844" s="8" t="s">
        <v>526</v>
      </c>
      <c r="F3844" s="8" t="s">
        <v>4083</v>
      </c>
    </row>
    <row r="3845" spans="1:6" ht="60" x14ac:dyDescent="0.25">
      <c r="A3845" s="8" t="s">
        <v>125</v>
      </c>
      <c r="B3845" s="8" t="s">
        <v>150</v>
      </c>
      <c r="C3845" s="8" t="str">
        <f>IFERROR(_xlfn.XLOOKUP(TRIM(B3845),Lookup!$B$2:$B$1000,Lookup!$C$2:$C$1000),"")</f>
        <v>Equity</v>
      </c>
      <c r="D3845" s="8" t="str">
        <f>IFERROR(INDEX('nav master'!$C:$C, MATCH(B3845, 'nav master'!$B:$B, 0)), "")</f>
        <v>ULIF07317/01/24MidCpMoIdx101</v>
      </c>
      <c r="E3845" s="8" t="s">
        <v>528</v>
      </c>
      <c r="F3845" s="8" t="s">
        <v>4084</v>
      </c>
    </row>
    <row r="3846" spans="1:6" ht="60" x14ac:dyDescent="0.25">
      <c r="A3846" s="8" t="s">
        <v>125</v>
      </c>
      <c r="B3846" s="8" t="s">
        <v>150</v>
      </c>
      <c r="C3846" s="8" t="str">
        <f>IFERROR(_xlfn.XLOOKUP(TRIM(B3846),Lookup!$B$2:$B$1000,Lookup!$C$2:$C$1000),"")</f>
        <v>Equity</v>
      </c>
      <c r="D3846" s="8" t="str">
        <f>IFERROR(INDEX('nav master'!$C:$C, MATCH(B3846, 'nav master'!$B:$B, 0)), "")</f>
        <v>ULIF07317/01/24MidCpMoIdx101</v>
      </c>
      <c r="E3846" s="8" t="s">
        <v>530</v>
      </c>
      <c r="F3846" s="8" t="s">
        <v>4085</v>
      </c>
    </row>
    <row r="3847" spans="1:6" ht="60" x14ac:dyDescent="0.25">
      <c r="A3847" s="8" t="s">
        <v>125</v>
      </c>
      <c r="B3847" s="8" t="s">
        <v>150</v>
      </c>
      <c r="C3847" s="8" t="str">
        <f>IFERROR(_xlfn.XLOOKUP(TRIM(B3847),Lookup!$B$2:$B$1000,Lookup!$C$2:$C$1000),"")</f>
        <v>Equity</v>
      </c>
      <c r="D3847" s="8" t="str">
        <f>IFERROR(INDEX('nav master'!$C:$C, MATCH(B3847, 'nav master'!$B:$B, 0)), "")</f>
        <v>ULIF07317/01/24MidCpMoIdx101</v>
      </c>
      <c r="E3847" s="8" t="s">
        <v>532</v>
      </c>
      <c r="F3847" s="8" t="s">
        <v>4086</v>
      </c>
    </row>
    <row r="3848" spans="1:6" ht="60" x14ac:dyDescent="0.25">
      <c r="A3848" s="8" t="s">
        <v>125</v>
      </c>
      <c r="B3848" s="8" t="s">
        <v>150</v>
      </c>
      <c r="C3848" s="8" t="str">
        <f>IFERROR(_xlfn.XLOOKUP(TRIM(B3848),Lookup!$B$2:$B$1000,Lookup!$C$2:$C$1000),"")</f>
        <v>Equity</v>
      </c>
      <c r="D3848" s="8" t="str">
        <f>IFERROR(INDEX('nav master'!$C:$C, MATCH(B3848, 'nav master'!$B:$B, 0)), "")</f>
        <v>ULIF07317/01/24MidCpMoIdx101</v>
      </c>
      <c r="E3848" s="8" t="s">
        <v>534</v>
      </c>
      <c r="F3848" s="8" t="s">
        <v>4087</v>
      </c>
    </row>
    <row r="3849" spans="1:6" ht="60" x14ac:dyDescent="0.25">
      <c r="A3849" s="8" t="s">
        <v>125</v>
      </c>
      <c r="B3849" s="8" t="s">
        <v>150</v>
      </c>
      <c r="C3849" s="8" t="str">
        <f>IFERROR(_xlfn.XLOOKUP(TRIM(B3849),Lookup!$B$2:$B$1000,Lookup!$C$2:$C$1000),"")</f>
        <v>Equity</v>
      </c>
      <c r="D3849" s="8" t="str">
        <f>IFERROR(INDEX('nav master'!$C:$C, MATCH(B3849, 'nav master'!$B:$B, 0)), "")</f>
        <v>ULIF07317/01/24MidCpMoIdx101</v>
      </c>
      <c r="E3849" s="8" t="s">
        <v>536</v>
      </c>
      <c r="F3849" s="8" t="s">
        <v>4088</v>
      </c>
    </row>
    <row r="3850" spans="1:6" ht="60" x14ac:dyDescent="0.25">
      <c r="A3850" s="8" t="s">
        <v>125</v>
      </c>
      <c r="B3850" s="8" t="s">
        <v>150</v>
      </c>
      <c r="C3850" s="8" t="str">
        <f>IFERROR(_xlfn.XLOOKUP(TRIM(B3850),Lookup!$B$2:$B$1000,Lookup!$C$2:$C$1000),"")</f>
        <v>Equity</v>
      </c>
      <c r="D3850" s="8" t="str">
        <f>IFERROR(INDEX('nav master'!$C:$C, MATCH(B3850, 'nav master'!$B:$B, 0)), "")</f>
        <v>ULIF07317/01/24MidCpMoIdx101</v>
      </c>
      <c r="E3850" s="8" t="s">
        <v>538</v>
      </c>
      <c r="F3850" s="8" t="s">
        <v>4089</v>
      </c>
    </row>
    <row r="3851" spans="1:6" ht="60" x14ac:dyDescent="0.25">
      <c r="A3851" s="8" t="s">
        <v>125</v>
      </c>
      <c r="B3851" s="8" t="s">
        <v>150</v>
      </c>
      <c r="C3851" s="8" t="str">
        <f>IFERROR(_xlfn.XLOOKUP(TRIM(B3851),Lookup!$B$2:$B$1000,Lookup!$C$2:$C$1000),"")</f>
        <v>Equity</v>
      </c>
      <c r="D3851" s="8" t="str">
        <f>IFERROR(INDEX('nav master'!$C:$C, MATCH(B3851, 'nav master'!$B:$B, 0)), "")</f>
        <v>ULIF07317/01/24MidCpMoIdx101</v>
      </c>
      <c r="E3851" s="8" t="s">
        <v>540</v>
      </c>
      <c r="F3851" s="8" t="s">
        <v>4090</v>
      </c>
    </row>
    <row r="3852" spans="1:6" ht="60" x14ac:dyDescent="0.25">
      <c r="A3852" s="8" t="s">
        <v>125</v>
      </c>
      <c r="B3852" s="8" t="s">
        <v>150</v>
      </c>
      <c r="C3852" s="8" t="str">
        <f>IFERROR(_xlfn.XLOOKUP(TRIM(B3852),Lookup!$B$2:$B$1000,Lookup!$C$2:$C$1000),"")</f>
        <v>Equity</v>
      </c>
      <c r="D3852" s="8" t="str">
        <f>IFERROR(INDEX('nav master'!$C:$C, MATCH(B3852, 'nav master'!$B:$B, 0)), "")</f>
        <v>ULIF07317/01/24MidCpMoIdx101</v>
      </c>
      <c r="E3852" s="8" t="s">
        <v>542</v>
      </c>
      <c r="F3852" s="8" t="s">
        <v>3947</v>
      </c>
    </row>
    <row r="3853" spans="1:6" ht="60" x14ac:dyDescent="0.25">
      <c r="A3853" s="8" t="s">
        <v>125</v>
      </c>
      <c r="B3853" s="8" t="s">
        <v>150</v>
      </c>
      <c r="C3853" s="8" t="str">
        <f>IFERROR(_xlfn.XLOOKUP(TRIM(B3853),Lookup!$B$2:$B$1000,Lookup!$C$2:$C$1000),"")</f>
        <v>Equity</v>
      </c>
      <c r="D3853" s="8" t="str">
        <f>IFERROR(INDEX('nav master'!$C:$C, MATCH(B3853, 'nav master'!$B:$B, 0)), "")</f>
        <v>ULIF07317/01/24MidCpMoIdx101</v>
      </c>
      <c r="E3853" s="8" t="s">
        <v>544</v>
      </c>
      <c r="F3853" s="8" t="s">
        <v>4091</v>
      </c>
    </row>
    <row r="3854" spans="1:6" ht="60" x14ac:dyDescent="0.25">
      <c r="A3854" s="8" t="s">
        <v>125</v>
      </c>
      <c r="B3854" s="8" t="s">
        <v>150</v>
      </c>
      <c r="C3854" s="8" t="str">
        <f>IFERROR(_xlfn.XLOOKUP(TRIM(B3854),Lookup!$B$2:$B$1000,Lookup!$C$2:$C$1000),"")</f>
        <v>Equity</v>
      </c>
      <c r="D3854" s="8" t="str">
        <f>IFERROR(INDEX('nav master'!$C:$C, MATCH(B3854, 'nav master'!$B:$B, 0)), "")</f>
        <v>ULIF07317/01/24MidCpMoIdx101</v>
      </c>
      <c r="E3854" s="8" t="s">
        <v>546</v>
      </c>
      <c r="F3854" s="8" t="s">
        <v>4092</v>
      </c>
    </row>
    <row r="3855" spans="1:6" ht="60" x14ac:dyDescent="0.25">
      <c r="A3855" s="8" t="s">
        <v>125</v>
      </c>
      <c r="B3855" s="8" t="s">
        <v>150</v>
      </c>
      <c r="C3855" s="8" t="str">
        <f>IFERROR(_xlfn.XLOOKUP(TRIM(B3855),Lookup!$B$2:$B$1000,Lookup!$C$2:$C$1000),"")</f>
        <v>Equity</v>
      </c>
      <c r="D3855" s="8" t="str">
        <f>IFERROR(INDEX('nav master'!$C:$C, MATCH(B3855, 'nav master'!$B:$B, 0)), "")</f>
        <v>ULIF07317/01/24MidCpMoIdx101</v>
      </c>
      <c r="E3855" s="8" t="s">
        <v>548</v>
      </c>
      <c r="F3855" s="8" t="s">
        <v>4093</v>
      </c>
    </row>
    <row r="3856" spans="1:6" ht="60" x14ac:dyDescent="0.25">
      <c r="A3856" s="8" t="s">
        <v>125</v>
      </c>
      <c r="B3856" s="8" t="s">
        <v>150</v>
      </c>
      <c r="C3856" s="8" t="str">
        <f>IFERROR(_xlfn.XLOOKUP(TRIM(B3856),Lookup!$B$2:$B$1000,Lookup!$C$2:$C$1000),"")</f>
        <v>Equity</v>
      </c>
      <c r="D3856" s="8" t="str">
        <f>IFERROR(INDEX('nav master'!$C:$C, MATCH(B3856, 'nav master'!$B:$B, 0)), "")</f>
        <v>ULIF07317/01/24MidCpMoIdx101</v>
      </c>
      <c r="E3856" s="8" t="s">
        <v>550</v>
      </c>
      <c r="F3856" s="8" t="s">
        <v>4094</v>
      </c>
    </row>
    <row r="3857" spans="1:6" ht="60" x14ac:dyDescent="0.25">
      <c r="A3857" s="8" t="s">
        <v>125</v>
      </c>
      <c r="B3857" s="8" t="s">
        <v>150</v>
      </c>
      <c r="C3857" s="8" t="str">
        <f>IFERROR(_xlfn.XLOOKUP(TRIM(B3857),Lookup!$B$2:$B$1000,Lookup!$C$2:$C$1000),"")</f>
        <v>Equity</v>
      </c>
      <c r="D3857" s="8" t="str">
        <f>IFERROR(INDEX('nav master'!$C:$C, MATCH(B3857, 'nav master'!$B:$B, 0)), "")</f>
        <v>ULIF07317/01/24MidCpMoIdx101</v>
      </c>
      <c r="E3857" s="8" t="s">
        <v>552</v>
      </c>
      <c r="F3857" s="8" t="s">
        <v>4095</v>
      </c>
    </row>
    <row r="3858" spans="1:6" ht="60" x14ac:dyDescent="0.25">
      <c r="A3858" s="8" t="s">
        <v>125</v>
      </c>
      <c r="B3858" s="8" t="s">
        <v>150</v>
      </c>
      <c r="C3858" s="8" t="str">
        <f>IFERROR(_xlfn.XLOOKUP(TRIM(B3858),Lookup!$B$2:$B$1000,Lookup!$C$2:$C$1000),"")</f>
        <v>Equity</v>
      </c>
      <c r="D3858" s="8" t="str">
        <f>IFERROR(INDEX('nav master'!$C:$C, MATCH(B3858, 'nav master'!$B:$B, 0)), "")</f>
        <v>ULIF07317/01/24MidCpMoIdx101</v>
      </c>
      <c r="E3858" s="8" t="s">
        <v>554</v>
      </c>
      <c r="F3858" s="8" t="s">
        <v>4096</v>
      </c>
    </row>
    <row r="3859" spans="1:6" ht="60" x14ac:dyDescent="0.25">
      <c r="A3859" s="8" t="s">
        <v>125</v>
      </c>
      <c r="B3859" s="8" t="s">
        <v>150</v>
      </c>
      <c r="C3859" s="8" t="str">
        <f>IFERROR(_xlfn.XLOOKUP(TRIM(B3859),Lookup!$B$2:$B$1000,Lookup!$C$2:$C$1000),"")</f>
        <v>Equity</v>
      </c>
      <c r="D3859" s="8" t="str">
        <f>IFERROR(INDEX('nav master'!$C:$C, MATCH(B3859, 'nav master'!$B:$B, 0)), "")</f>
        <v>ULIF07317/01/24MidCpMoIdx101</v>
      </c>
      <c r="E3859" s="8" t="s">
        <v>556</v>
      </c>
      <c r="F3859" s="8" t="s">
        <v>4097</v>
      </c>
    </row>
    <row r="3860" spans="1:6" ht="60" x14ac:dyDescent="0.25">
      <c r="A3860" s="8" t="s">
        <v>125</v>
      </c>
      <c r="B3860" s="8" t="s">
        <v>150</v>
      </c>
      <c r="C3860" s="8" t="str">
        <f>IFERROR(_xlfn.XLOOKUP(TRIM(B3860),Lookup!$B$2:$B$1000,Lookup!$C$2:$C$1000),"")</f>
        <v>Equity</v>
      </c>
      <c r="D3860" s="8" t="str">
        <f>IFERROR(INDEX('nav master'!$C:$C, MATCH(B3860, 'nav master'!$B:$B, 0)), "")</f>
        <v>ULIF07317/01/24MidCpMoIdx101</v>
      </c>
      <c r="E3860" s="8" t="s">
        <v>558</v>
      </c>
      <c r="F3860" s="8" t="s">
        <v>4098</v>
      </c>
    </row>
    <row r="3861" spans="1:6" ht="60" x14ac:dyDescent="0.25">
      <c r="A3861" s="8" t="s">
        <v>125</v>
      </c>
      <c r="B3861" s="8" t="s">
        <v>150</v>
      </c>
      <c r="C3861" s="8" t="str">
        <f>IFERROR(_xlfn.XLOOKUP(TRIM(B3861),Lookup!$B$2:$B$1000,Lookup!$C$2:$C$1000),"")</f>
        <v>Equity</v>
      </c>
      <c r="D3861" s="8" t="str">
        <f>IFERROR(INDEX('nav master'!$C:$C, MATCH(B3861, 'nav master'!$B:$B, 0)), "")</f>
        <v>ULIF07317/01/24MidCpMoIdx101</v>
      </c>
      <c r="E3861" s="8" t="s">
        <v>560</v>
      </c>
      <c r="F3861" s="8" t="s">
        <v>4099</v>
      </c>
    </row>
    <row r="3862" spans="1:6" ht="60" x14ac:dyDescent="0.25">
      <c r="A3862" s="8" t="s">
        <v>125</v>
      </c>
      <c r="B3862" s="8" t="s">
        <v>150</v>
      </c>
      <c r="C3862" s="8" t="str">
        <f>IFERROR(_xlfn.XLOOKUP(TRIM(B3862),Lookup!$B$2:$B$1000,Lookup!$C$2:$C$1000),"")</f>
        <v>Equity</v>
      </c>
      <c r="D3862" s="8" t="str">
        <f>IFERROR(INDEX('nav master'!$C:$C, MATCH(B3862, 'nav master'!$B:$B, 0)), "")</f>
        <v>ULIF07317/01/24MidCpMoIdx101</v>
      </c>
      <c r="E3862" s="8" t="s">
        <v>562</v>
      </c>
      <c r="F3862" s="8" t="s">
        <v>4100</v>
      </c>
    </row>
    <row r="3863" spans="1:6" ht="60" x14ac:dyDescent="0.25">
      <c r="A3863" s="8" t="s">
        <v>125</v>
      </c>
      <c r="B3863" s="8" t="s">
        <v>150</v>
      </c>
      <c r="C3863" s="8" t="str">
        <f>IFERROR(_xlfn.XLOOKUP(TRIM(B3863),Lookup!$B$2:$B$1000,Lookup!$C$2:$C$1000),"")</f>
        <v>Equity</v>
      </c>
      <c r="D3863" s="8" t="str">
        <f>IFERROR(INDEX('nav master'!$C:$C, MATCH(B3863, 'nav master'!$B:$B, 0)), "")</f>
        <v>ULIF07317/01/24MidCpMoIdx101</v>
      </c>
      <c r="E3863" s="8" t="s">
        <v>564</v>
      </c>
      <c r="F3863" s="8" t="s">
        <v>2831</v>
      </c>
    </row>
    <row r="3864" spans="1:6" ht="60" x14ac:dyDescent="0.25">
      <c r="A3864" s="8" t="s">
        <v>125</v>
      </c>
      <c r="B3864" s="8" t="s">
        <v>150</v>
      </c>
      <c r="C3864" s="8" t="str">
        <f>IFERROR(_xlfn.XLOOKUP(TRIM(B3864),Lookup!$B$2:$B$1000,Lookup!$C$2:$C$1000),"")</f>
        <v>Equity</v>
      </c>
      <c r="D3864" s="8" t="str">
        <f>IFERROR(INDEX('nav master'!$C:$C, MATCH(B3864, 'nav master'!$B:$B, 0)), "")</f>
        <v>ULIF07317/01/24MidCpMoIdx101</v>
      </c>
      <c r="E3864" s="8" t="s">
        <v>566</v>
      </c>
      <c r="F3864" s="8" t="s">
        <v>4101</v>
      </c>
    </row>
    <row r="3865" spans="1:6" ht="60" x14ac:dyDescent="0.25">
      <c r="A3865" s="8" t="s">
        <v>125</v>
      </c>
      <c r="B3865" s="8" t="s">
        <v>150</v>
      </c>
      <c r="C3865" s="8" t="str">
        <f>IFERROR(_xlfn.XLOOKUP(TRIM(B3865),Lookup!$B$2:$B$1000,Lookup!$C$2:$C$1000),"")</f>
        <v>Equity</v>
      </c>
      <c r="D3865" s="8" t="str">
        <f>IFERROR(INDEX('nav master'!$C:$C, MATCH(B3865, 'nav master'!$B:$B, 0)), "")</f>
        <v>ULIF07317/01/24MidCpMoIdx101</v>
      </c>
      <c r="E3865" s="8" t="s">
        <v>568</v>
      </c>
      <c r="F3865" s="8" t="s">
        <v>4102</v>
      </c>
    </row>
    <row r="3866" spans="1:6" ht="60" x14ac:dyDescent="0.25">
      <c r="A3866" s="8" t="s">
        <v>125</v>
      </c>
      <c r="B3866" s="8" t="s">
        <v>150</v>
      </c>
      <c r="C3866" s="8" t="str">
        <f>IFERROR(_xlfn.XLOOKUP(TRIM(B3866),Lookup!$B$2:$B$1000,Lookup!$C$2:$C$1000),"")</f>
        <v>Equity</v>
      </c>
      <c r="D3866" s="8" t="str">
        <f>IFERROR(INDEX('nav master'!$C:$C, MATCH(B3866, 'nav master'!$B:$B, 0)), "")</f>
        <v>ULIF07317/01/24MidCpMoIdx101</v>
      </c>
      <c r="E3866" s="8" t="s">
        <v>570</v>
      </c>
      <c r="F3866" s="8" t="s">
        <v>4103</v>
      </c>
    </row>
    <row r="3867" spans="1:6" ht="60" x14ac:dyDescent="0.25">
      <c r="A3867" s="8" t="s">
        <v>125</v>
      </c>
      <c r="B3867" s="8" t="s">
        <v>150</v>
      </c>
      <c r="C3867" s="8" t="str">
        <f>IFERROR(_xlfn.XLOOKUP(TRIM(B3867),Lookup!$B$2:$B$1000,Lookup!$C$2:$C$1000),"")</f>
        <v>Equity</v>
      </c>
      <c r="D3867" s="8" t="str">
        <f>IFERROR(INDEX('nav master'!$C:$C, MATCH(B3867, 'nav master'!$B:$B, 0)), "")</f>
        <v>ULIF07317/01/24MidCpMoIdx101</v>
      </c>
      <c r="E3867" s="8" t="s">
        <v>572</v>
      </c>
      <c r="F3867" s="8" t="s">
        <v>4104</v>
      </c>
    </row>
    <row r="3868" spans="1:6" ht="60" x14ac:dyDescent="0.25">
      <c r="A3868" s="8" t="s">
        <v>125</v>
      </c>
      <c r="B3868" s="8" t="s">
        <v>150</v>
      </c>
      <c r="C3868" s="8" t="str">
        <f>IFERROR(_xlfn.XLOOKUP(TRIM(B3868),Lookup!$B$2:$B$1000,Lookup!$C$2:$C$1000),"")</f>
        <v>Equity</v>
      </c>
      <c r="D3868" s="8" t="str">
        <f>IFERROR(INDEX('nav master'!$C:$C, MATCH(B3868, 'nav master'!$B:$B, 0)), "")</f>
        <v>ULIF07317/01/24MidCpMoIdx101</v>
      </c>
      <c r="E3868" s="8" t="s">
        <v>574</v>
      </c>
      <c r="F3868" s="8" t="s">
        <v>4105</v>
      </c>
    </row>
    <row r="3869" spans="1:6" ht="60" x14ac:dyDescent="0.25">
      <c r="A3869" s="8" t="s">
        <v>125</v>
      </c>
      <c r="B3869" s="8" t="s">
        <v>150</v>
      </c>
      <c r="C3869" s="8" t="str">
        <f>IFERROR(_xlfn.XLOOKUP(TRIM(B3869),Lookup!$B$2:$B$1000,Lookup!$C$2:$C$1000),"")</f>
        <v>Equity</v>
      </c>
      <c r="D3869" s="8" t="str">
        <f>IFERROR(INDEX('nav master'!$C:$C, MATCH(B3869, 'nav master'!$B:$B, 0)), "")</f>
        <v>ULIF07317/01/24MidCpMoIdx101</v>
      </c>
      <c r="E3869" s="8" t="s">
        <v>576</v>
      </c>
      <c r="F3869" s="8" t="s">
        <v>4106</v>
      </c>
    </row>
    <row r="3870" spans="1:6" ht="60" x14ac:dyDescent="0.25">
      <c r="A3870" s="8" t="s">
        <v>125</v>
      </c>
      <c r="B3870" s="8" t="s">
        <v>150</v>
      </c>
      <c r="C3870" s="8" t="str">
        <f>IFERROR(_xlfn.XLOOKUP(TRIM(B3870),Lookup!$B$2:$B$1000,Lookup!$C$2:$C$1000),"")</f>
        <v>Equity</v>
      </c>
      <c r="D3870" s="8" t="str">
        <f>IFERROR(INDEX('nav master'!$C:$C, MATCH(B3870, 'nav master'!$B:$B, 0)), "")</f>
        <v>ULIF07317/01/24MidCpMoIdx101</v>
      </c>
      <c r="E3870" s="8" t="s">
        <v>578</v>
      </c>
      <c r="F3870" s="8" t="s">
        <v>4107</v>
      </c>
    </row>
    <row r="3871" spans="1:6" ht="60" x14ac:dyDescent="0.25">
      <c r="A3871" s="8" t="s">
        <v>125</v>
      </c>
      <c r="B3871" s="8" t="s">
        <v>150</v>
      </c>
      <c r="C3871" s="8" t="str">
        <f>IFERROR(_xlfn.XLOOKUP(TRIM(B3871),Lookup!$B$2:$B$1000,Lookup!$C$2:$C$1000),"")</f>
        <v>Equity</v>
      </c>
      <c r="D3871" s="8" t="str">
        <f>IFERROR(INDEX('nav master'!$C:$C, MATCH(B3871, 'nav master'!$B:$B, 0)), "")</f>
        <v>ULIF07317/01/24MidCpMoIdx101</v>
      </c>
      <c r="E3871" s="8" t="s">
        <v>580</v>
      </c>
      <c r="F3871" s="8" t="s">
        <v>4108</v>
      </c>
    </row>
    <row r="3872" spans="1:6" ht="60" x14ac:dyDescent="0.25">
      <c r="A3872" s="8" t="s">
        <v>125</v>
      </c>
      <c r="B3872" s="8" t="s">
        <v>150</v>
      </c>
      <c r="C3872" s="8" t="str">
        <f>IFERROR(_xlfn.XLOOKUP(TRIM(B3872),Lookup!$B$2:$B$1000,Lookup!$C$2:$C$1000),"")</f>
        <v>Equity</v>
      </c>
      <c r="D3872" s="8" t="str">
        <f>IFERROR(INDEX('nav master'!$C:$C, MATCH(B3872, 'nav master'!$B:$B, 0)), "")</f>
        <v>ULIF07317/01/24MidCpMoIdx101</v>
      </c>
      <c r="E3872" s="8" t="s">
        <v>582</v>
      </c>
      <c r="F3872" s="8" t="s">
        <v>4109</v>
      </c>
    </row>
    <row r="3873" spans="1:6" ht="60" x14ac:dyDescent="0.25">
      <c r="A3873" s="8" t="s">
        <v>125</v>
      </c>
      <c r="B3873" s="8" t="s">
        <v>150</v>
      </c>
      <c r="C3873" s="8" t="str">
        <f>IFERROR(_xlfn.XLOOKUP(TRIM(B3873),Lookup!$B$2:$B$1000,Lookup!$C$2:$C$1000),"")</f>
        <v>Equity</v>
      </c>
      <c r="D3873" s="8" t="str">
        <f>IFERROR(INDEX('nav master'!$C:$C, MATCH(B3873, 'nav master'!$B:$B, 0)), "")</f>
        <v>ULIF07317/01/24MidCpMoIdx101</v>
      </c>
      <c r="E3873" s="8" t="s">
        <v>584</v>
      </c>
      <c r="F3873" s="8" t="s">
        <v>4110</v>
      </c>
    </row>
    <row r="3874" spans="1:6" ht="60" x14ac:dyDescent="0.25">
      <c r="A3874" s="8" t="s">
        <v>125</v>
      </c>
      <c r="B3874" s="8" t="s">
        <v>150</v>
      </c>
      <c r="C3874" s="8" t="str">
        <f>IFERROR(_xlfn.XLOOKUP(TRIM(B3874),Lookup!$B$2:$B$1000,Lookup!$C$2:$C$1000),"")</f>
        <v>Equity</v>
      </c>
      <c r="D3874" s="8" t="str">
        <f>IFERROR(INDEX('nav master'!$C:$C, MATCH(B3874, 'nav master'!$B:$B, 0)), "")</f>
        <v>ULIF07317/01/24MidCpMoIdx101</v>
      </c>
      <c r="E3874" s="8" t="s">
        <v>586</v>
      </c>
      <c r="F3874" s="8" t="s">
        <v>4111</v>
      </c>
    </row>
    <row r="3875" spans="1:6" ht="60" x14ac:dyDescent="0.25">
      <c r="A3875" s="8" t="s">
        <v>125</v>
      </c>
      <c r="B3875" s="8" t="s">
        <v>150</v>
      </c>
      <c r="C3875" s="8" t="str">
        <f>IFERROR(_xlfn.XLOOKUP(TRIM(B3875),Lookup!$B$2:$B$1000,Lookup!$C$2:$C$1000),"")</f>
        <v>Equity</v>
      </c>
      <c r="D3875" s="8" t="str">
        <f>IFERROR(INDEX('nav master'!$C:$C, MATCH(B3875, 'nav master'!$B:$B, 0)), "")</f>
        <v>ULIF07317/01/24MidCpMoIdx101</v>
      </c>
      <c r="E3875" s="8" t="s">
        <v>588</v>
      </c>
      <c r="F3875" s="8" t="s">
        <v>2807</v>
      </c>
    </row>
    <row r="3876" spans="1:6" ht="60" x14ac:dyDescent="0.25">
      <c r="A3876" s="8" t="s">
        <v>125</v>
      </c>
      <c r="B3876" s="8" t="s">
        <v>150</v>
      </c>
      <c r="C3876" s="8" t="str">
        <f>IFERROR(_xlfn.XLOOKUP(TRIM(B3876),Lookup!$B$2:$B$1000,Lookup!$C$2:$C$1000),"")</f>
        <v>Equity</v>
      </c>
      <c r="D3876" s="8" t="str">
        <f>IFERROR(INDEX('nav master'!$C:$C, MATCH(B3876, 'nav master'!$B:$B, 0)), "")</f>
        <v>ULIF07317/01/24MidCpMoIdx101</v>
      </c>
      <c r="E3876" s="8" t="s">
        <v>590</v>
      </c>
      <c r="F3876" s="8" t="s">
        <v>4112</v>
      </c>
    </row>
    <row r="3877" spans="1:6" ht="60" x14ac:dyDescent="0.25">
      <c r="A3877" s="8" t="s">
        <v>125</v>
      </c>
      <c r="B3877" s="8" t="s">
        <v>150</v>
      </c>
      <c r="C3877" s="8" t="str">
        <f>IFERROR(_xlfn.XLOOKUP(TRIM(B3877),Lookup!$B$2:$B$1000,Lookup!$C$2:$C$1000),"")</f>
        <v>Equity</v>
      </c>
      <c r="D3877" s="8" t="str">
        <f>IFERROR(INDEX('nav master'!$C:$C, MATCH(B3877, 'nav master'!$B:$B, 0)), "")</f>
        <v>ULIF07317/01/24MidCpMoIdx101</v>
      </c>
      <c r="E3877" s="8" t="s">
        <v>592</v>
      </c>
      <c r="F3877" s="8" t="s">
        <v>4113</v>
      </c>
    </row>
    <row r="3878" spans="1:6" ht="60" x14ac:dyDescent="0.25">
      <c r="A3878" s="8" t="s">
        <v>125</v>
      </c>
      <c r="B3878" s="8" t="s">
        <v>150</v>
      </c>
      <c r="C3878" s="8" t="str">
        <f>IFERROR(_xlfn.XLOOKUP(TRIM(B3878),Lookup!$B$2:$B$1000,Lookup!$C$2:$C$1000),"")</f>
        <v>Equity</v>
      </c>
      <c r="D3878" s="8" t="str">
        <f>IFERROR(INDEX('nav master'!$C:$C, MATCH(B3878, 'nav master'!$B:$B, 0)), "")</f>
        <v>ULIF07317/01/24MidCpMoIdx101</v>
      </c>
      <c r="E3878" s="8" t="s">
        <v>594</v>
      </c>
      <c r="F3878" s="8" t="s">
        <v>4114</v>
      </c>
    </row>
    <row r="3879" spans="1:6" ht="60" x14ac:dyDescent="0.25">
      <c r="A3879" s="8" t="s">
        <v>125</v>
      </c>
      <c r="B3879" s="8" t="s">
        <v>150</v>
      </c>
      <c r="C3879" s="8" t="str">
        <f>IFERROR(_xlfn.XLOOKUP(TRIM(B3879),Lookup!$B$2:$B$1000,Lookup!$C$2:$C$1000),"")</f>
        <v>Equity</v>
      </c>
      <c r="D3879" s="8" t="str">
        <f>IFERROR(INDEX('nav master'!$C:$C, MATCH(B3879, 'nav master'!$B:$B, 0)), "")</f>
        <v>ULIF07317/01/24MidCpMoIdx101</v>
      </c>
      <c r="E3879" s="8" t="s">
        <v>596</v>
      </c>
      <c r="F3879" s="8" t="s">
        <v>2818</v>
      </c>
    </row>
    <row r="3880" spans="1:6" ht="60" x14ac:dyDescent="0.25">
      <c r="A3880" s="8" t="s">
        <v>125</v>
      </c>
      <c r="B3880" s="8" t="s">
        <v>150</v>
      </c>
      <c r="C3880" s="8" t="str">
        <f>IFERROR(_xlfn.XLOOKUP(TRIM(B3880),Lookup!$B$2:$B$1000,Lookup!$C$2:$C$1000),"")</f>
        <v>Equity</v>
      </c>
      <c r="D3880" s="8" t="str">
        <f>IFERROR(INDEX('nav master'!$C:$C, MATCH(B3880, 'nav master'!$B:$B, 0)), "")</f>
        <v>ULIF07317/01/24MidCpMoIdx101</v>
      </c>
      <c r="E3880" s="8" t="s">
        <v>598</v>
      </c>
      <c r="F3880" s="8" t="s">
        <v>4115</v>
      </c>
    </row>
    <row r="3881" spans="1:6" ht="60" x14ac:dyDescent="0.25">
      <c r="A3881" s="8" t="s">
        <v>125</v>
      </c>
      <c r="B3881" s="8" t="s">
        <v>150</v>
      </c>
      <c r="C3881" s="8" t="str">
        <f>IFERROR(_xlfn.XLOOKUP(TRIM(B3881),Lookup!$B$2:$B$1000,Lookup!$C$2:$C$1000),"")</f>
        <v>Equity</v>
      </c>
      <c r="D3881" s="8" t="str">
        <f>IFERROR(INDEX('nav master'!$C:$C, MATCH(B3881, 'nav master'!$B:$B, 0)), "")</f>
        <v>ULIF07317/01/24MidCpMoIdx101</v>
      </c>
      <c r="E3881" s="8" t="s">
        <v>600</v>
      </c>
      <c r="F3881" s="8" t="s">
        <v>4116</v>
      </c>
    </row>
    <row r="3882" spans="1:6" ht="60" x14ac:dyDescent="0.25">
      <c r="A3882" s="8" t="s">
        <v>125</v>
      </c>
      <c r="B3882" s="8" t="s">
        <v>150</v>
      </c>
      <c r="C3882" s="8" t="str">
        <f>IFERROR(_xlfn.XLOOKUP(TRIM(B3882),Lookup!$B$2:$B$1000,Lookup!$C$2:$C$1000),"")</f>
        <v>Equity</v>
      </c>
      <c r="D3882" s="8" t="str">
        <f>IFERROR(INDEX('nav master'!$C:$C, MATCH(B3882, 'nav master'!$B:$B, 0)), "")</f>
        <v>ULIF07317/01/24MidCpMoIdx101</v>
      </c>
      <c r="E3882" s="8" t="s">
        <v>602</v>
      </c>
      <c r="F3882" s="8" t="s">
        <v>4117</v>
      </c>
    </row>
    <row r="3883" spans="1:6" ht="60" x14ac:dyDescent="0.25">
      <c r="A3883" s="8" t="s">
        <v>125</v>
      </c>
      <c r="B3883" s="8" t="s">
        <v>150</v>
      </c>
      <c r="C3883" s="8" t="str">
        <f>IFERROR(_xlfn.XLOOKUP(TRIM(B3883),Lookup!$B$2:$B$1000,Lookup!$C$2:$C$1000),"")</f>
        <v>Equity</v>
      </c>
      <c r="D3883" s="8" t="str">
        <f>IFERROR(INDEX('nav master'!$C:$C, MATCH(B3883, 'nav master'!$B:$B, 0)), "")</f>
        <v>ULIF07317/01/24MidCpMoIdx101</v>
      </c>
      <c r="E3883" s="8" t="s">
        <v>604</v>
      </c>
      <c r="F3883" s="8" t="s">
        <v>4118</v>
      </c>
    </row>
    <row r="3884" spans="1:6" ht="60" x14ac:dyDescent="0.25">
      <c r="A3884" s="8" t="s">
        <v>125</v>
      </c>
      <c r="B3884" s="8" t="s">
        <v>150</v>
      </c>
      <c r="C3884" s="8" t="str">
        <f>IFERROR(_xlfn.XLOOKUP(TRIM(B3884),Lookup!$B$2:$B$1000,Lookup!$C$2:$C$1000),"")</f>
        <v>Equity</v>
      </c>
      <c r="D3884" s="8" t="str">
        <f>IFERROR(INDEX('nav master'!$C:$C, MATCH(B3884, 'nav master'!$B:$B, 0)), "")</f>
        <v>ULIF07317/01/24MidCpMoIdx101</v>
      </c>
      <c r="E3884" s="8" t="s">
        <v>606</v>
      </c>
      <c r="F3884" s="8" t="s">
        <v>4119</v>
      </c>
    </row>
    <row r="3885" spans="1:6" ht="60" x14ac:dyDescent="0.25">
      <c r="A3885" s="8" t="s">
        <v>125</v>
      </c>
      <c r="B3885" s="8" t="s">
        <v>150</v>
      </c>
      <c r="C3885" s="8" t="str">
        <f>IFERROR(_xlfn.XLOOKUP(TRIM(B3885),Lookup!$B$2:$B$1000,Lookup!$C$2:$C$1000),"")</f>
        <v>Equity</v>
      </c>
      <c r="D3885" s="8" t="str">
        <f>IFERROR(INDEX('nav master'!$C:$C, MATCH(B3885, 'nav master'!$B:$B, 0)), "")</f>
        <v>ULIF07317/01/24MidCpMoIdx101</v>
      </c>
      <c r="E3885" s="8" t="s">
        <v>608</v>
      </c>
      <c r="F3885" s="8" t="s">
        <v>4120</v>
      </c>
    </row>
    <row r="3886" spans="1:6" ht="60" x14ac:dyDescent="0.25">
      <c r="A3886" s="8" t="s">
        <v>125</v>
      </c>
      <c r="B3886" s="8" t="s">
        <v>150</v>
      </c>
      <c r="C3886" s="8" t="str">
        <f>IFERROR(_xlfn.XLOOKUP(TRIM(B3886),Lookup!$B$2:$B$1000,Lookup!$C$2:$C$1000),"")</f>
        <v>Equity</v>
      </c>
      <c r="D3886" s="8" t="str">
        <f>IFERROR(INDEX('nav master'!$C:$C, MATCH(B3886, 'nav master'!$B:$B, 0)), "")</f>
        <v>ULIF07317/01/24MidCpMoIdx101</v>
      </c>
      <c r="E3886" s="8" t="s">
        <v>610</v>
      </c>
      <c r="F3886" s="8" t="s">
        <v>4121</v>
      </c>
    </row>
    <row r="3887" spans="1:6" ht="60" x14ac:dyDescent="0.25">
      <c r="A3887" s="8" t="s">
        <v>125</v>
      </c>
      <c r="B3887" s="8" t="s">
        <v>150</v>
      </c>
      <c r="C3887" s="8" t="str">
        <f>IFERROR(_xlfn.XLOOKUP(TRIM(B3887),Lookup!$B$2:$B$1000,Lookup!$C$2:$C$1000),"")</f>
        <v>Equity</v>
      </c>
      <c r="D3887" s="8" t="str">
        <f>IFERROR(INDEX('nav master'!$C:$C, MATCH(B3887, 'nav master'!$B:$B, 0)), "")</f>
        <v>ULIF07317/01/24MidCpMoIdx101</v>
      </c>
      <c r="E3887" s="8" t="s">
        <v>612</v>
      </c>
      <c r="F3887" s="8" t="s">
        <v>4122</v>
      </c>
    </row>
    <row r="3888" spans="1:6" ht="60" x14ac:dyDescent="0.25">
      <c r="A3888" s="8" t="s">
        <v>125</v>
      </c>
      <c r="B3888" s="8" t="s">
        <v>150</v>
      </c>
      <c r="C3888" s="8" t="str">
        <f>IFERROR(_xlfn.XLOOKUP(TRIM(B3888),Lookup!$B$2:$B$1000,Lookup!$C$2:$C$1000),"")</f>
        <v>Equity</v>
      </c>
      <c r="D3888" s="8" t="str">
        <f>IFERROR(INDEX('nav master'!$C:$C, MATCH(B3888, 'nav master'!$B:$B, 0)), "")</f>
        <v>ULIF07317/01/24MidCpMoIdx101</v>
      </c>
      <c r="E3888" s="8" t="s">
        <v>614</v>
      </c>
      <c r="F3888" s="8" t="s">
        <v>4123</v>
      </c>
    </row>
    <row r="3889" spans="1:6" ht="60" x14ac:dyDescent="0.25">
      <c r="A3889" s="8" t="s">
        <v>125</v>
      </c>
      <c r="B3889" s="8" t="s">
        <v>150</v>
      </c>
      <c r="C3889" s="8" t="str">
        <f>IFERROR(_xlfn.XLOOKUP(TRIM(B3889),Lookup!$B$2:$B$1000,Lookup!$C$2:$C$1000),"")</f>
        <v>Equity</v>
      </c>
      <c r="D3889" s="8" t="str">
        <f>IFERROR(INDEX('nav master'!$C:$C, MATCH(B3889, 'nav master'!$B:$B, 0)), "")</f>
        <v>ULIF07317/01/24MidCpMoIdx101</v>
      </c>
      <c r="E3889" s="8" t="s">
        <v>616</v>
      </c>
      <c r="F3889" s="8" t="s">
        <v>4124</v>
      </c>
    </row>
    <row r="3890" spans="1:6" ht="60" x14ac:dyDescent="0.25">
      <c r="A3890" s="8" t="s">
        <v>125</v>
      </c>
      <c r="B3890" s="8" t="s">
        <v>150</v>
      </c>
      <c r="C3890" s="8" t="str">
        <f>IFERROR(_xlfn.XLOOKUP(TRIM(B3890),Lookup!$B$2:$B$1000,Lookup!$C$2:$C$1000),"")</f>
        <v>Equity</v>
      </c>
      <c r="D3890" s="8" t="str">
        <f>IFERROR(INDEX('nav master'!$C:$C, MATCH(B3890, 'nav master'!$B:$B, 0)), "")</f>
        <v>ULIF07317/01/24MidCpMoIdx101</v>
      </c>
      <c r="E3890" s="8" t="s">
        <v>618</v>
      </c>
      <c r="F3890" s="8" t="s">
        <v>4125</v>
      </c>
    </row>
    <row r="3891" spans="1:6" ht="60" x14ac:dyDescent="0.25">
      <c r="A3891" s="8" t="s">
        <v>125</v>
      </c>
      <c r="B3891" s="8" t="s">
        <v>150</v>
      </c>
      <c r="C3891" s="8" t="str">
        <f>IFERROR(_xlfn.XLOOKUP(TRIM(B3891),Lookup!$B$2:$B$1000,Lookup!$C$2:$C$1000),"")</f>
        <v>Equity</v>
      </c>
      <c r="D3891" s="8" t="str">
        <f>IFERROR(INDEX('nav master'!$C:$C, MATCH(B3891, 'nav master'!$B:$B, 0)), "")</f>
        <v>ULIF07317/01/24MidCpMoIdx101</v>
      </c>
      <c r="E3891" s="8" t="s">
        <v>620</v>
      </c>
      <c r="F3891" s="8" t="s">
        <v>4126</v>
      </c>
    </row>
    <row r="3892" spans="1:6" ht="60" x14ac:dyDescent="0.25">
      <c r="A3892" s="8" t="s">
        <v>125</v>
      </c>
      <c r="B3892" s="8" t="s">
        <v>150</v>
      </c>
      <c r="C3892" s="8" t="str">
        <f>IFERROR(_xlfn.XLOOKUP(TRIM(B3892),Lookup!$B$2:$B$1000,Lookup!$C$2:$C$1000),"")</f>
        <v>Equity</v>
      </c>
      <c r="D3892" s="8" t="str">
        <f>IFERROR(INDEX('nav master'!$C:$C, MATCH(B3892, 'nav master'!$B:$B, 0)), "")</f>
        <v>ULIF07317/01/24MidCpMoIdx101</v>
      </c>
      <c r="E3892" s="8" t="s">
        <v>622</v>
      </c>
      <c r="F3892" s="8" t="s">
        <v>4127</v>
      </c>
    </row>
    <row r="3893" spans="1:6" ht="60" x14ac:dyDescent="0.25">
      <c r="A3893" s="8" t="s">
        <v>125</v>
      </c>
      <c r="B3893" s="8" t="s">
        <v>150</v>
      </c>
      <c r="C3893" s="8" t="str">
        <f>IFERROR(_xlfn.XLOOKUP(TRIM(B3893),Lookup!$B$2:$B$1000,Lookup!$C$2:$C$1000),"")</f>
        <v>Equity</v>
      </c>
      <c r="D3893" s="8" t="str">
        <f>IFERROR(INDEX('nav master'!$C:$C, MATCH(B3893, 'nav master'!$B:$B, 0)), "")</f>
        <v>ULIF07317/01/24MidCpMoIdx101</v>
      </c>
      <c r="E3893" s="8" t="s">
        <v>624</v>
      </c>
      <c r="F3893" s="8" t="s">
        <v>4128</v>
      </c>
    </row>
    <row r="3894" spans="1:6" ht="60" x14ac:dyDescent="0.25">
      <c r="A3894" s="8" t="s">
        <v>125</v>
      </c>
      <c r="B3894" s="8" t="s">
        <v>150</v>
      </c>
      <c r="C3894" s="8" t="str">
        <f>IFERROR(_xlfn.XLOOKUP(TRIM(B3894),Lookup!$B$2:$B$1000,Lookup!$C$2:$C$1000),"")</f>
        <v>Equity</v>
      </c>
      <c r="D3894" s="8" t="str">
        <f>IFERROR(INDEX('nav master'!$C:$C, MATCH(B3894, 'nav master'!$B:$B, 0)), "")</f>
        <v>ULIF07317/01/24MidCpMoIdx101</v>
      </c>
      <c r="E3894" s="8" t="s">
        <v>626</v>
      </c>
      <c r="F3894" s="8" t="s">
        <v>4129</v>
      </c>
    </row>
    <row r="3895" spans="1:6" ht="60" x14ac:dyDescent="0.25">
      <c r="A3895" s="8" t="s">
        <v>125</v>
      </c>
      <c r="B3895" s="8" t="s">
        <v>150</v>
      </c>
      <c r="C3895" s="8" t="str">
        <f>IFERROR(_xlfn.XLOOKUP(TRIM(B3895),Lookup!$B$2:$B$1000,Lookup!$C$2:$C$1000),"")</f>
        <v>Equity</v>
      </c>
      <c r="D3895" s="8" t="str">
        <f>IFERROR(INDEX('nav master'!$C:$C, MATCH(B3895, 'nav master'!$B:$B, 0)), "")</f>
        <v>ULIF07317/01/24MidCpMoIdx101</v>
      </c>
      <c r="E3895" s="8" t="s">
        <v>628</v>
      </c>
      <c r="F3895" s="8" t="s">
        <v>4130</v>
      </c>
    </row>
    <row r="3896" spans="1:6" ht="60" x14ac:dyDescent="0.25">
      <c r="A3896" s="8" t="s">
        <v>125</v>
      </c>
      <c r="B3896" s="8" t="s">
        <v>150</v>
      </c>
      <c r="C3896" s="8" t="str">
        <f>IFERROR(_xlfn.XLOOKUP(TRIM(B3896),Lookup!$B$2:$B$1000,Lookup!$C$2:$C$1000),"")</f>
        <v>Equity</v>
      </c>
      <c r="D3896" s="8" t="str">
        <f>IFERROR(INDEX('nav master'!$C:$C, MATCH(B3896, 'nav master'!$B:$B, 0)), "")</f>
        <v>ULIF07317/01/24MidCpMoIdx101</v>
      </c>
      <c r="E3896" s="8" t="s">
        <v>630</v>
      </c>
      <c r="F3896" s="8" t="s">
        <v>4131</v>
      </c>
    </row>
    <row r="3897" spans="1:6" ht="60" x14ac:dyDescent="0.25">
      <c r="A3897" s="8" t="s">
        <v>125</v>
      </c>
      <c r="B3897" s="8" t="s">
        <v>150</v>
      </c>
      <c r="C3897" s="8" t="str">
        <f>IFERROR(_xlfn.XLOOKUP(TRIM(B3897),Lookup!$B$2:$B$1000,Lookup!$C$2:$C$1000),"")</f>
        <v>Equity</v>
      </c>
      <c r="D3897" s="8" t="str">
        <f>IFERROR(INDEX('nav master'!$C:$C, MATCH(B3897, 'nav master'!$B:$B, 0)), "")</f>
        <v>ULIF07317/01/24MidCpMoIdx101</v>
      </c>
      <c r="E3897" s="8" t="s">
        <v>632</v>
      </c>
      <c r="F3897" s="8" t="s">
        <v>4132</v>
      </c>
    </row>
    <row r="3898" spans="1:6" ht="60" x14ac:dyDescent="0.25">
      <c r="A3898" s="8" t="s">
        <v>125</v>
      </c>
      <c r="B3898" s="8" t="s">
        <v>150</v>
      </c>
      <c r="C3898" s="8" t="str">
        <f>IFERROR(_xlfn.XLOOKUP(TRIM(B3898),Lookup!$B$2:$B$1000,Lookup!$C$2:$C$1000),"")</f>
        <v>Equity</v>
      </c>
      <c r="D3898" s="8" t="str">
        <f>IFERROR(INDEX('nav master'!$C:$C, MATCH(B3898, 'nav master'!$B:$B, 0)), "")</f>
        <v>ULIF07317/01/24MidCpMoIdx101</v>
      </c>
      <c r="E3898" s="8" t="s">
        <v>634</v>
      </c>
      <c r="F3898" s="8" t="s">
        <v>4133</v>
      </c>
    </row>
    <row r="3899" spans="1:6" ht="60" x14ac:dyDescent="0.25">
      <c r="A3899" s="8" t="s">
        <v>125</v>
      </c>
      <c r="B3899" s="8" t="s">
        <v>150</v>
      </c>
      <c r="C3899" s="8" t="str">
        <f>IFERROR(_xlfn.XLOOKUP(TRIM(B3899),Lookup!$B$2:$B$1000,Lookup!$C$2:$C$1000),"")</f>
        <v>Equity</v>
      </c>
      <c r="D3899" s="8" t="str">
        <f>IFERROR(INDEX('nav master'!$C:$C, MATCH(B3899, 'nav master'!$B:$B, 0)), "")</f>
        <v>ULIF07317/01/24MidCpMoIdx101</v>
      </c>
      <c r="E3899" s="8" t="s">
        <v>636</v>
      </c>
      <c r="F3899" s="8" t="s">
        <v>4134</v>
      </c>
    </row>
    <row r="3900" spans="1:6" ht="60" x14ac:dyDescent="0.25">
      <c r="A3900" s="8" t="s">
        <v>125</v>
      </c>
      <c r="B3900" s="8" t="s">
        <v>150</v>
      </c>
      <c r="C3900" s="8" t="str">
        <f>IFERROR(_xlfn.XLOOKUP(TRIM(B3900),Lookup!$B$2:$B$1000,Lookup!$C$2:$C$1000),"")</f>
        <v>Equity</v>
      </c>
      <c r="D3900" s="8" t="str">
        <f>IFERROR(INDEX('nav master'!$C:$C, MATCH(B3900, 'nav master'!$B:$B, 0)), "")</f>
        <v>ULIF07317/01/24MidCpMoIdx101</v>
      </c>
      <c r="E3900" s="8" t="s">
        <v>638</v>
      </c>
      <c r="F3900" s="8" t="s">
        <v>4135</v>
      </c>
    </row>
    <row r="3901" spans="1:6" ht="60" x14ac:dyDescent="0.25">
      <c r="A3901" s="8" t="s">
        <v>125</v>
      </c>
      <c r="B3901" s="8" t="s">
        <v>150</v>
      </c>
      <c r="C3901" s="8" t="str">
        <f>IFERROR(_xlfn.XLOOKUP(TRIM(B3901),Lookup!$B$2:$B$1000,Lookup!$C$2:$C$1000),"")</f>
        <v>Equity</v>
      </c>
      <c r="D3901" s="8" t="str">
        <f>IFERROR(INDEX('nav master'!$C:$C, MATCH(B3901, 'nav master'!$B:$B, 0)), "")</f>
        <v>ULIF07317/01/24MidCpMoIdx101</v>
      </c>
      <c r="E3901" s="8" t="s">
        <v>640</v>
      </c>
      <c r="F3901" s="8" t="s">
        <v>4136</v>
      </c>
    </row>
    <row r="3902" spans="1:6" ht="60" x14ac:dyDescent="0.25">
      <c r="A3902" s="8" t="s">
        <v>125</v>
      </c>
      <c r="B3902" s="8" t="s">
        <v>150</v>
      </c>
      <c r="C3902" s="8" t="str">
        <f>IFERROR(_xlfn.XLOOKUP(TRIM(B3902),Lookup!$B$2:$B$1000,Lookup!$C$2:$C$1000),"")</f>
        <v>Equity</v>
      </c>
      <c r="D3902" s="8" t="str">
        <f>IFERROR(INDEX('nav master'!$C:$C, MATCH(B3902, 'nav master'!$B:$B, 0)), "")</f>
        <v>ULIF07317/01/24MidCpMoIdx101</v>
      </c>
      <c r="E3902" s="8" t="s">
        <v>642</v>
      </c>
      <c r="F3902" s="8" t="s">
        <v>4137</v>
      </c>
    </row>
    <row r="3903" spans="1:6" ht="60" x14ac:dyDescent="0.25">
      <c r="A3903" s="8" t="s">
        <v>125</v>
      </c>
      <c r="B3903" s="8" t="s">
        <v>150</v>
      </c>
      <c r="C3903" s="8" t="str">
        <f>IFERROR(_xlfn.XLOOKUP(TRIM(B3903),Lookup!$B$2:$B$1000,Lookup!$C$2:$C$1000),"")</f>
        <v>Equity</v>
      </c>
      <c r="D3903" s="8" t="str">
        <f>IFERROR(INDEX('nav master'!$C:$C, MATCH(B3903, 'nav master'!$B:$B, 0)), "")</f>
        <v>ULIF07317/01/24MidCpMoIdx101</v>
      </c>
      <c r="E3903" s="8" t="s">
        <v>644</v>
      </c>
      <c r="F3903" s="8" t="s">
        <v>4138</v>
      </c>
    </row>
    <row r="3904" spans="1:6" ht="60" x14ac:dyDescent="0.25">
      <c r="A3904" s="8" t="s">
        <v>125</v>
      </c>
      <c r="B3904" s="8" t="s">
        <v>150</v>
      </c>
      <c r="C3904" s="8" t="str">
        <f>IFERROR(_xlfn.XLOOKUP(TRIM(B3904),Lookup!$B$2:$B$1000,Lookup!$C$2:$C$1000),"")</f>
        <v>Equity</v>
      </c>
      <c r="D3904" s="8" t="str">
        <f>IFERROR(INDEX('nav master'!$C:$C, MATCH(B3904, 'nav master'!$B:$B, 0)), "")</f>
        <v>ULIF07317/01/24MidCpMoIdx101</v>
      </c>
      <c r="E3904" s="8" t="s">
        <v>646</v>
      </c>
      <c r="F3904" s="8" t="s">
        <v>4139</v>
      </c>
    </row>
    <row r="3905" spans="1:6" ht="60" x14ac:dyDescent="0.25">
      <c r="A3905" s="8" t="s">
        <v>125</v>
      </c>
      <c r="B3905" s="8" t="s">
        <v>150</v>
      </c>
      <c r="C3905" s="8" t="str">
        <f>IFERROR(_xlfn.XLOOKUP(TRIM(B3905),Lookup!$B$2:$B$1000,Lookup!$C$2:$C$1000),"")</f>
        <v>Equity</v>
      </c>
      <c r="D3905" s="8" t="str">
        <f>IFERROR(INDEX('nav master'!$C:$C, MATCH(B3905, 'nav master'!$B:$B, 0)), "")</f>
        <v>ULIF07317/01/24MidCpMoIdx101</v>
      </c>
      <c r="E3905" s="8" t="s">
        <v>648</v>
      </c>
      <c r="F3905" s="8" t="s">
        <v>4140</v>
      </c>
    </row>
    <row r="3906" spans="1:6" ht="60" x14ac:dyDescent="0.25">
      <c r="A3906" s="8" t="s">
        <v>125</v>
      </c>
      <c r="B3906" s="8" t="s">
        <v>150</v>
      </c>
      <c r="C3906" s="8" t="str">
        <f>IFERROR(_xlfn.XLOOKUP(TRIM(B3906),Lookup!$B$2:$B$1000,Lookup!$C$2:$C$1000),"")</f>
        <v>Equity</v>
      </c>
      <c r="D3906" s="8" t="str">
        <f>IFERROR(INDEX('nav master'!$C:$C, MATCH(B3906, 'nav master'!$B:$B, 0)), "")</f>
        <v>ULIF07317/01/24MidCpMoIdx101</v>
      </c>
      <c r="E3906" s="8" t="s">
        <v>650</v>
      </c>
      <c r="F3906" s="8" t="s">
        <v>4141</v>
      </c>
    </row>
    <row r="3907" spans="1:6" ht="60" x14ac:dyDescent="0.25">
      <c r="A3907" s="8" t="s">
        <v>125</v>
      </c>
      <c r="B3907" s="8" t="s">
        <v>150</v>
      </c>
      <c r="C3907" s="8" t="str">
        <f>IFERROR(_xlfn.XLOOKUP(TRIM(B3907),Lookup!$B$2:$B$1000,Lookup!$C$2:$C$1000),"")</f>
        <v>Equity</v>
      </c>
      <c r="D3907" s="8" t="str">
        <f>IFERROR(INDEX('nav master'!$C:$C, MATCH(B3907, 'nav master'!$B:$B, 0)), "")</f>
        <v>ULIF07317/01/24MidCpMoIdx101</v>
      </c>
      <c r="E3907" s="8" t="s">
        <v>652</v>
      </c>
      <c r="F3907" s="8" t="s">
        <v>4142</v>
      </c>
    </row>
    <row r="3908" spans="1:6" ht="60" x14ac:dyDescent="0.25">
      <c r="A3908" s="8" t="s">
        <v>125</v>
      </c>
      <c r="B3908" s="8" t="s">
        <v>150</v>
      </c>
      <c r="C3908" s="8" t="str">
        <f>IFERROR(_xlfn.XLOOKUP(TRIM(B3908),Lookup!$B$2:$B$1000,Lookup!$C$2:$C$1000),"")</f>
        <v>Equity</v>
      </c>
      <c r="D3908" s="8" t="str">
        <f>IFERROR(INDEX('nav master'!$C:$C, MATCH(B3908, 'nav master'!$B:$B, 0)), "")</f>
        <v>ULIF07317/01/24MidCpMoIdx101</v>
      </c>
      <c r="E3908" s="8" t="s">
        <v>654</v>
      </c>
      <c r="F3908" s="8" t="s">
        <v>4143</v>
      </c>
    </row>
    <row r="3909" spans="1:6" ht="60" x14ac:dyDescent="0.25">
      <c r="A3909" s="8" t="s">
        <v>125</v>
      </c>
      <c r="B3909" s="8" t="s">
        <v>150</v>
      </c>
      <c r="C3909" s="8" t="str">
        <f>IFERROR(_xlfn.XLOOKUP(TRIM(B3909),Lookup!$B$2:$B$1000,Lookup!$C$2:$C$1000),"")</f>
        <v>Equity</v>
      </c>
      <c r="D3909" s="8" t="str">
        <f>IFERROR(INDEX('nav master'!$C:$C, MATCH(B3909, 'nav master'!$B:$B, 0)), "")</f>
        <v>ULIF07317/01/24MidCpMoIdx101</v>
      </c>
      <c r="E3909" s="8" t="s">
        <v>656</v>
      </c>
      <c r="F3909" s="8" t="s">
        <v>4144</v>
      </c>
    </row>
    <row r="3910" spans="1:6" ht="60" x14ac:dyDescent="0.25">
      <c r="A3910" s="8" t="s">
        <v>125</v>
      </c>
      <c r="B3910" s="8" t="s">
        <v>150</v>
      </c>
      <c r="C3910" s="8" t="str">
        <f>IFERROR(_xlfn.XLOOKUP(TRIM(B3910),Lookup!$B$2:$B$1000,Lookup!$C$2:$C$1000),"")</f>
        <v>Equity</v>
      </c>
      <c r="D3910" s="8" t="str">
        <f>IFERROR(INDEX('nav master'!$C:$C, MATCH(B3910, 'nav master'!$B:$B, 0)), "")</f>
        <v>ULIF07317/01/24MidCpMoIdx101</v>
      </c>
      <c r="E3910" s="8" t="s">
        <v>658</v>
      </c>
      <c r="F3910" s="8" t="s">
        <v>4145</v>
      </c>
    </row>
    <row r="3911" spans="1:6" ht="60" x14ac:dyDescent="0.25">
      <c r="A3911" s="8" t="s">
        <v>125</v>
      </c>
      <c r="B3911" s="8" t="s">
        <v>150</v>
      </c>
      <c r="C3911" s="8" t="str">
        <f>IFERROR(_xlfn.XLOOKUP(TRIM(B3911),Lookup!$B$2:$B$1000,Lookup!$C$2:$C$1000),"")</f>
        <v>Equity</v>
      </c>
      <c r="D3911" s="8" t="str">
        <f>IFERROR(INDEX('nav master'!$C:$C, MATCH(B3911, 'nav master'!$B:$B, 0)), "")</f>
        <v>ULIF07317/01/24MidCpMoIdx101</v>
      </c>
      <c r="E3911" s="8" t="s">
        <v>660</v>
      </c>
      <c r="F3911" s="8" t="s">
        <v>4146</v>
      </c>
    </row>
    <row r="3912" spans="1:6" ht="60" x14ac:dyDescent="0.25">
      <c r="A3912" s="8" t="s">
        <v>125</v>
      </c>
      <c r="B3912" s="8" t="s">
        <v>150</v>
      </c>
      <c r="C3912" s="8" t="str">
        <f>IFERROR(_xlfn.XLOOKUP(TRIM(B3912),Lookup!$B$2:$B$1000,Lookup!$C$2:$C$1000),"")</f>
        <v>Equity</v>
      </c>
      <c r="D3912" s="8" t="str">
        <f>IFERROR(INDEX('nav master'!$C:$C, MATCH(B3912, 'nav master'!$B:$B, 0)), "")</f>
        <v>ULIF07317/01/24MidCpMoIdx101</v>
      </c>
      <c r="E3912" s="8" t="s">
        <v>662</v>
      </c>
      <c r="F3912" s="8" t="s">
        <v>4147</v>
      </c>
    </row>
    <row r="3913" spans="1:6" ht="60" x14ac:dyDescent="0.25">
      <c r="A3913" s="8" t="s">
        <v>125</v>
      </c>
      <c r="B3913" s="8" t="s">
        <v>150</v>
      </c>
      <c r="C3913" s="8" t="str">
        <f>IFERROR(_xlfn.XLOOKUP(TRIM(B3913),Lookup!$B$2:$B$1000,Lookup!$C$2:$C$1000),"")</f>
        <v>Equity</v>
      </c>
      <c r="D3913" s="8" t="str">
        <f>IFERROR(INDEX('nav master'!$C:$C, MATCH(B3913, 'nav master'!$B:$B, 0)), "")</f>
        <v>ULIF07317/01/24MidCpMoIdx101</v>
      </c>
      <c r="E3913" s="8" t="s">
        <v>664</v>
      </c>
      <c r="F3913" s="8" t="s">
        <v>4148</v>
      </c>
    </row>
    <row r="3914" spans="1:6" ht="60" x14ac:dyDescent="0.25">
      <c r="A3914" s="8" t="s">
        <v>125</v>
      </c>
      <c r="B3914" s="8" t="s">
        <v>150</v>
      </c>
      <c r="C3914" s="8" t="str">
        <f>IFERROR(_xlfn.XLOOKUP(TRIM(B3914),Lookup!$B$2:$B$1000,Lookup!$C$2:$C$1000),"")</f>
        <v>Equity</v>
      </c>
      <c r="D3914" s="8" t="str">
        <f>IFERROR(INDEX('nav master'!$C:$C, MATCH(B3914, 'nav master'!$B:$B, 0)), "")</f>
        <v>ULIF07317/01/24MidCpMoIdx101</v>
      </c>
      <c r="E3914" s="8" t="s">
        <v>4892</v>
      </c>
      <c r="F3914" s="8" t="s">
        <v>5021</v>
      </c>
    </row>
    <row r="3915" spans="1:6" ht="60" x14ac:dyDescent="0.25">
      <c r="A3915" s="8" t="s">
        <v>125</v>
      </c>
      <c r="B3915" s="8" t="s">
        <v>150</v>
      </c>
      <c r="C3915" s="8" t="str">
        <f>IFERROR(_xlfn.XLOOKUP(TRIM(B3915),Lookup!$B$2:$B$1000,Lookup!$C$2:$C$1000),"")</f>
        <v>Equity</v>
      </c>
      <c r="D3915" s="8" t="str">
        <f>IFERROR(INDEX('nav master'!$C:$C, MATCH(B3915, 'nav master'!$B:$B, 0)), "")</f>
        <v>ULIF07317/01/24MidCpMoIdx101</v>
      </c>
      <c r="E3915" s="8" t="s">
        <v>4894</v>
      </c>
      <c r="F3915" s="8" t="s">
        <v>5022</v>
      </c>
    </row>
    <row r="3916" spans="1:6" ht="60" x14ac:dyDescent="0.25">
      <c r="A3916" s="8" t="s">
        <v>125</v>
      </c>
      <c r="B3916" s="8" t="s">
        <v>150</v>
      </c>
      <c r="C3916" s="8" t="str">
        <f>IFERROR(_xlfn.XLOOKUP(TRIM(B3916),Lookup!$B$2:$B$1000,Lookup!$C$2:$C$1000),"")</f>
        <v>Equity</v>
      </c>
      <c r="D3916" s="8" t="str">
        <f>IFERROR(INDEX('nav master'!$C:$C, MATCH(B3916, 'nav master'!$B:$B, 0)), "")</f>
        <v>ULIF07317/01/24MidCpMoIdx101</v>
      </c>
      <c r="E3916" s="8" t="s">
        <v>4896</v>
      </c>
      <c r="F3916" s="8" t="s">
        <v>5023</v>
      </c>
    </row>
    <row r="3917" spans="1:6" ht="60" x14ac:dyDescent="0.25">
      <c r="A3917" s="8" t="s">
        <v>125</v>
      </c>
      <c r="B3917" s="8" t="s">
        <v>150</v>
      </c>
      <c r="C3917" s="8" t="str">
        <f>IFERROR(_xlfn.XLOOKUP(TRIM(B3917),Lookup!$B$2:$B$1000,Lookup!$C$2:$C$1000),"")</f>
        <v>Equity</v>
      </c>
      <c r="D3917" s="8" t="str">
        <f>IFERROR(INDEX('nav master'!$C:$C, MATCH(B3917, 'nav master'!$B:$B, 0)), "")</f>
        <v>ULIF07317/01/24MidCpMoIdx101</v>
      </c>
      <c r="E3917" s="8" t="s">
        <v>4898</v>
      </c>
      <c r="F3917" s="8" t="s">
        <v>5024</v>
      </c>
    </row>
    <row r="3918" spans="1:6" ht="60" x14ac:dyDescent="0.25">
      <c r="A3918" s="8" t="s">
        <v>125</v>
      </c>
      <c r="B3918" s="8" t="s">
        <v>150</v>
      </c>
      <c r="C3918" s="8" t="str">
        <f>IFERROR(_xlfn.XLOOKUP(TRIM(B3918),Lookup!$B$2:$B$1000,Lookup!$C$2:$C$1000),"")</f>
        <v>Equity</v>
      </c>
      <c r="D3918" s="8" t="str">
        <f>IFERROR(INDEX('nav master'!$C:$C, MATCH(B3918, 'nav master'!$B:$B, 0)), "")</f>
        <v>ULIF07317/01/24MidCpMoIdx101</v>
      </c>
      <c r="E3918" s="8" t="s">
        <v>4900</v>
      </c>
      <c r="F3918" s="8" t="s">
        <v>5025</v>
      </c>
    </row>
    <row r="3919" spans="1:6" ht="60" x14ac:dyDescent="0.25">
      <c r="A3919" s="8" t="s">
        <v>125</v>
      </c>
      <c r="B3919" s="8" t="s">
        <v>150</v>
      </c>
      <c r="C3919" s="8" t="str">
        <f>IFERROR(_xlfn.XLOOKUP(TRIM(B3919),Lookup!$B$2:$B$1000,Lookup!$C$2:$C$1000),"")</f>
        <v>Equity</v>
      </c>
      <c r="D3919" s="8" t="str">
        <f>IFERROR(INDEX('nav master'!$C:$C, MATCH(B3919, 'nav master'!$B:$B, 0)), "")</f>
        <v>ULIF07317/01/24MidCpMoIdx101</v>
      </c>
      <c r="E3919" s="8" t="s">
        <v>4902</v>
      </c>
      <c r="F3919" s="8" t="s">
        <v>5026</v>
      </c>
    </row>
    <row r="3920" spans="1:6" ht="60" x14ac:dyDescent="0.25">
      <c r="A3920" s="8" t="s">
        <v>125</v>
      </c>
      <c r="B3920" s="8" t="s">
        <v>150</v>
      </c>
      <c r="C3920" s="8" t="str">
        <f>IFERROR(_xlfn.XLOOKUP(TRIM(B3920),Lookup!$B$2:$B$1000,Lookup!$C$2:$C$1000),"")</f>
        <v>Equity</v>
      </c>
      <c r="D3920" s="8" t="str">
        <f>IFERROR(INDEX('nav master'!$C:$C, MATCH(B3920, 'nav master'!$B:$B, 0)), "")</f>
        <v>ULIF07317/01/24MidCpMoIdx101</v>
      </c>
      <c r="E3920" s="8" t="s">
        <v>4903</v>
      </c>
      <c r="F3920" s="8" t="s">
        <v>5027</v>
      </c>
    </row>
    <row r="3921" spans="1:6" ht="60" x14ac:dyDescent="0.25">
      <c r="A3921" s="8" t="s">
        <v>125</v>
      </c>
      <c r="B3921" s="8" t="s">
        <v>150</v>
      </c>
      <c r="C3921" s="8" t="str">
        <f>IFERROR(_xlfn.XLOOKUP(TRIM(B3921),Lookup!$B$2:$B$1000,Lookup!$C$2:$C$1000),"")</f>
        <v>Equity</v>
      </c>
      <c r="D3921" s="8" t="str">
        <f>IFERROR(INDEX('nav master'!$C:$C, MATCH(B3921, 'nav master'!$B:$B, 0)), "")</f>
        <v>ULIF07317/01/24MidCpMoIdx101</v>
      </c>
      <c r="E3921" s="8" t="s">
        <v>4905</v>
      </c>
      <c r="F3921" s="8" t="s">
        <v>5028</v>
      </c>
    </row>
    <row r="3922" spans="1:6" ht="60" x14ac:dyDescent="0.25">
      <c r="A3922" s="8" t="s">
        <v>125</v>
      </c>
      <c r="B3922" s="8" t="s">
        <v>141</v>
      </c>
      <c r="C3922" s="8" t="str">
        <f>IFERROR(_xlfn.XLOOKUP(TRIM(B3922),Lookup!$B$2:$B$1000,Lookup!$C$2:$C$1000),"")</f>
        <v>Debt</v>
      </c>
      <c r="D3922" s="8" t="str">
        <f>IFERROR(INDEX('nav master'!$C:$C, MATCH(B3922, 'nav master'!$B:$B, 0)), "")</f>
        <v>ULIF00102/01/04LiquidFund101</v>
      </c>
      <c r="E3922" s="8" t="s">
        <v>189</v>
      </c>
      <c r="F3922" s="8" t="s">
        <v>4149</v>
      </c>
    </row>
    <row r="3923" spans="1:6" ht="60" x14ac:dyDescent="0.25">
      <c r="A3923" s="8" t="s">
        <v>125</v>
      </c>
      <c r="B3923" s="8" t="s">
        <v>141</v>
      </c>
      <c r="C3923" s="8" t="str">
        <f>IFERROR(_xlfn.XLOOKUP(TRIM(B3923),Lookup!$B$2:$B$1000,Lookup!$C$2:$C$1000),"")</f>
        <v>Debt</v>
      </c>
      <c r="D3923" s="8" t="str">
        <f>IFERROR(INDEX('nav master'!$C:$C, MATCH(B3923, 'nav master'!$B:$B, 0)), "")</f>
        <v>ULIF00102/01/04LiquidFund101</v>
      </c>
      <c r="E3923" s="8" t="s">
        <v>191</v>
      </c>
      <c r="F3923" s="8" t="s">
        <v>4150</v>
      </c>
    </row>
    <row r="3924" spans="1:6" ht="60" x14ac:dyDescent="0.25">
      <c r="A3924" s="8" t="s">
        <v>125</v>
      </c>
      <c r="B3924" s="8" t="s">
        <v>141</v>
      </c>
      <c r="C3924" s="8" t="str">
        <f>IFERROR(_xlfn.XLOOKUP(TRIM(B3924),Lookup!$B$2:$B$1000,Lookup!$C$2:$C$1000),"")</f>
        <v>Debt</v>
      </c>
      <c r="D3924" s="8" t="str">
        <f>IFERROR(INDEX('nav master'!$C:$C, MATCH(B3924, 'nav master'!$B:$B, 0)), "")</f>
        <v>ULIF00102/01/04LiquidFund101</v>
      </c>
      <c r="E3924" s="8" t="s">
        <v>193</v>
      </c>
      <c r="F3924" s="8" t="s">
        <v>4151</v>
      </c>
    </row>
    <row r="3925" spans="1:6" ht="60" x14ac:dyDescent="0.25">
      <c r="A3925" s="8" t="s">
        <v>125</v>
      </c>
      <c r="B3925" s="8" t="s">
        <v>141</v>
      </c>
      <c r="C3925" s="8" t="str">
        <f>IFERROR(_xlfn.XLOOKUP(TRIM(B3925),Lookup!$B$2:$B$1000,Lookup!$C$2:$C$1000),"")</f>
        <v>Debt</v>
      </c>
      <c r="D3925" s="8" t="str">
        <f>IFERROR(INDEX('nav master'!$C:$C, MATCH(B3925, 'nav master'!$B:$B, 0)), "")</f>
        <v>ULIF00102/01/04LiquidFund101</v>
      </c>
      <c r="E3925" s="8" t="s">
        <v>195</v>
      </c>
      <c r="F3925" s="8" t="s">
        <v>4152</v>
      </c>
    </row>
    <row r="3926" spans="1:6" ht="60" x14ac:dyDescent="0.25">
      <c r="A3926" s="8" t="s">
        <v>125</v>
      </c>
      <c r="B3926" s="8" t="s">
        <v>141</v>
      </c>
      <c r="C3926" s="8" t="str">
        <f>IFERROR(_xlfn.XLOOKUP(TRIM(B3926),Lookup!$B$2:$B$1000,Lookup!$C$2:$C$1000),"")</f>
        <v>Debt</v>
      </c>
      <c r="D3926" s="8" t="str">
        <f>IFERROR(INDEX('nav master'!$C:$C, MATCH(B3926, 'nav master'!$B:$B, 0)), "")</f>
        <v>ULIF00102/01/04LiquidFund101</v>
      </c>
      <c r="E3926" s="8" t="s">
        <v>197</v>
      </c>
      <c r="F3926" s="8" t="s">
        <v>4153</v>
      </c>
    </row>
    <row r="3927" spans="1:6" ht="60" x14ac:dyDescent="0.25">
      <c r="A3927" s="8" t="s">
        <v>125</v>
      </c>
      <c r="B3927" s="8" t="s">
        <v>141</v>
      </c>
      <c r="C3927" s="8" t="str">
        <f>IFERROR(_xlfn.XLOOKUP(TRIM(B3927),Lookup!$B$2:$B$1000,Lookup!$C$2:$C$1000),"")</f>
        <v>Debt</v>
      </c>
      <c r="D3927" s="8" t="str">
        <f>IFERROR(INDEX('nav master'!$C:$C, MATCH(B3927, 'nav master'!$B:$B, 0)), "")</f>
        <v>ULIF00102/01/04LiquidFund101</v>
      </c>
      <c r="E3927" s="8" t="s">
        <v>199</v>
      </c>
      <c r="F3927" s="8" t="s">
        <v>4154</v>
      </c>
    </row>
    <row r="3928" spans="1:6" ht="60" x14ac:dyDescent="0.25">
      <c r="A3928" s="8" t="s">
        <v>125</v>
      </c>
      <c r="B3928" s="8" t="s">
        <v>141</v>
      </c>
      <c r="C3928" s="8" t="str">
        <f>IFERROR(_xlfn.XLOOKUP(TRIM(B3928),Lookup!$B$2:$B$1000,Lookup!$C$2:$C$1000),"")</f>
        <v>Debt</v>
      </c>
      <c r="D3928" s="8" t="str">
        <f>IFERROR(INDEX('nav master'!$C:$C, MATCH(B3928, 'nav master'!$B:$B, 0)), "")</f>
        <v>ULIF00102/01/04LiquidFund101</v>
      </c>
      <c r="E3928" s="8" t="s">
        <v>201</v>
      </c>
      <c r="F3928" s="8" t="s">
        <v>4155</v>
      </c>
    </row>
    <row r="3929" spans="1:6" ht="60" x14ac:dyDescent="0.25">
      <c r="A3929" s="8" t="s">
        <v>125</v>
      </c>
      <c r="B3929" s="8" t="s">
        <v>141</v>
      </c>
      <c r="C3929" s="8" t="str">
        <f>IFERROR(_xlfn.XLOOKUP(TRIM(B3929),Lookup!$B$2:$B$1000,Lookup!$C$2:$C$1000),"")</f>
        <v>Debt</v>
      </c>
      <c r="D3929" s="8" t="str">
        <f>IFERROR(INDEX('nav master'!$C:$C, MATCH(B3929, 'nav master'!$B:$B, 0)), "")</f>
        <v>ULIF00102/01/04LiquidFund101</v>
      </c>
      <c r="E3929" s="8" t="s">
        <v>203</v>
      </c>
      <c r="F3929" s="8" t="s">
        <v>4156</v>
      </c>
    </row>
    <row r="3930" spans="1:6" ht="60" x14ac:dyDescent="0.25">
      <c r="A3930" s="8" t="s">
        <v>125</v>
      </c>
      <c r="B3930" s="8" t="s">
        <v>141</v>
      </c>
      <c r="C3930" s="8" t="str">
        <f>IFERROR(_xlfn.XLOOKUP(TRIM(B3930),Lookup!$B$2:$B$1000,Lookup!$C$2:$C$1000),"")</f>
        <v>Debt</v>
      </c>
      <c r="D3930" s="8" t="str">
        <f>IFERROR(INDEX('nav master'!$C:$C, MATCH(B3930, 'nav master'!$B:$B, 0)), "")</f>
        <v>ULIF00102/01/04LiquidFund101</v>
      </c>
      <c r="E3930" s="8" t="s">
        <v>205</v>
      </c>
      <c r="F3930" s="8" t="s">
        <v>4157</v>
      </c>
    </row>
    <row r="3931" spans="1:6" ht="60" x14ac:dyDescent="0.25">
      <c r="A3931" s="8" t="s">
        <v>125</v>
      </c>
      <c r="B3931" s="8" t="s">
        <v>141</v>
      </c>
      <c r="C3931" s="8" t="str">
        <f>IFERROR(_xlfn.XLOOKUP(TRIM(B3931),Lookup!$B$2:$B$1000,Lookup!$C$2:$C$1000),"")</f>
        <v>Debt</v>
      </c>
      <c r="D3931" s="8" t="str">
        <f>IFERROR(INDEX('nav master'!$C:$C, MATCH(B3931, 'nav master'!$B:$B, 0)), "")</f>
        <v>ULIF00102/01/04LiquidFund101</v>
      </c>
      <c r="E3931" s="8" t="s">
        <v>207</v>
      </c>
      <c r="F3931" s="8" t="s">
        <v>4158</v>
      </c>
    </row>
    <row r="3932" spans="1:6" ht="60" x14ac:dyDescent="0.25">
      <c r="A3932" s="8" t="s">
        <v>125</v>
      </c>
      <c r="B3932" s="8" t="s">
        <v>141</v>
      </c>
      <c r="C3932" s="8" t="str">
        <f>IFERROR(_xlfn.XLOOKUP(TRIM(B3932),Lookup!$B$2:$B$1000,Lookup!$C$2:$C$1000),"")</f>
        <v>Debt</v>
      </c>
      <c r="D3932" s="8" t="str">
        <f>IFERROR(INDEX('nav master'!$C:$C, MATCH(B3932, 'nav master'!$B:$B, 0)), "")</f>
        <v>ULIF00102/01/04LiquidFund101</v>
      </c>
      <c r="E3932" s="8" t="s">
        <v>209</v>
      </c>
      <c r="F3932" s="8" t="s">
        <v>4159</v>
      </c>
    </row>
    <row r="3933" spans="1:6" ht="60" x14ac:dyDescent="0.25">
      <c r="A3933" s="8" t="s">
        <v>125</v>
      </c>
      <c r="B3933" s="8" t="s">
        <v>141</v>
      </c>
      <c r="C3933" s="8" t="str">
        <f>IFERROR(_xlfn.XLOOKUP(TRIM(B3933),Lookup!$B$2:$B$1000,Lookup!$C$2:$C$1000),"")</f>
        <v>Debt</v>
      </c>
      <c r="D3933" s="8" t="str">
        <f>IFERROR(INDEX('nav master'!$C:$C, MATCH(B3933, 'nav master'!$B:$B, 0)), "")</f>
        <v>ULIF00102/01/04LiquidFund101</v>
      </c>
      <c r="E3933" s="8" t="s">
        <v>211</v>
      </c>
      <c r="F3933" s="8" t="s">
        <v>4160</v>
      </c>
    </row>
    <row r="3934" spans="1:6" ht="60" x14ac:dyDescent="0.25">
      <c r="A3934" s="8" t="s">
        <v>125</v>
      </c>
      <c r="B3934" s="8" t="s">
        <v>141</v>
      </c>
      <c r="C3934" s="8" t="str">
        <f>IFERROR(_xlfn.XLOOKUP(TRIM(B3934),Lookup!$B$2:$B$1000,Lookup!$C$2:$C$1000),"")</f>
        <v>Debt</v>
      </c>
      <c r="D3934" s="8" t="str">
        <f>IFERROR(INDEX('nav master'!$C:$C, MATCH(B3934, 'nav master'!$B:$B, 0)), "")</f>
        <v>ULIF00102/01/04LiquidFund101</v>
      </c>
      <c r="E3934" s="8" t="s">
        <v>213</v>
      </c>
      <c r="F3934" s="8" t="s">
        <v>4161</v>
      </c>
    </row>
    <row r="3935" spans="1:6" ht="60" x14ac:dyDescent="0.25">
      <c r="A3935" s="8" t="s">
        <v>125</v>
      </c>
      <c r="B3935" s="8" t="s">
        <v>141</v>
      </c>
      <c r="C3935" s="8" t="str">
        <f>IFERROR(_xlfn.XLOOKUP(TRIM(B3935),Lookup!$B$2:$B$1000,Lookup!$C$2:$C$1000),"")</f>
        <v>Debt</v>
      </c>
      <c r="D3935" s="8" t="str">
        <f>IFERROR(INDEX('nav master'!$C:$C, MATCH(B3935, 'nav master'!$B:$B, 0)), "")</f>
        <v>ULIF00102/01/04LiquidFund101</v>
      </c>
      <c r="E3935" s="8" t="s">
        <v>215</v>
      </c>
      <c r="F3935" s="8" t="s">
        <v>4162</v>
      </c>
    </row>
    <row r="3936" spans="1:6" ht="60" x14ac:dyDescent="0.25">
      <c r="A3936" s="8" t="s">
        <v>125</v>
      </c>
      <c r="B3936" s="8" t="s">
        <v>141</v>
      </c>
      <c r="C3936" s="8" t="str">
        <f>IFERROR(_xlfn.XLOOKUP(TRIM(B3936),Lookup!$B$2:$B$1000,Lookup!$C$2:$C$1000),"")</f>
        <v>Debt</v>
      </c>
      <c r="D3936" s="8" t="str">
        <f>IFERROR(INDEX('nav master'!$C:$C, MATCH(B3936, 'nav master'!$B:$B, 0)), "")</f>
        <v>ULIF00102/01/04LiquidFund101</v>
      </c>
      <c r="E3936" s="8" t="s">
        <v>217</v>
      </c>
      <c r="F3936" s="8" t="s">
        <v>4163</v>
      </c>
    </row>
    <row r="3937" spans="1:6" ht="60" x14ac:dyDescent="0.25">
      <c r="A3937" s="8" t="s">
        <v>125</v>
      </c>
      <c r="B3937" s="8" t="s">
        <v>141</v>
      </c>
      <c r="C3937" s="8" t="str">
        <f>IFERROR(_xlfn.XLOOKUP(TRIM(B3937),Lookup!$B$2:$B$1000,Lookup!$C$2:$C$1000),"")</f>
        <v>Debt</v>
      </c>
      <c r="D3937" s="8" t="str">
        <f>IFERROR(INDEX('nav master'!$C:$C, MATCH(B3937, 'nav master'!$B:$B, 0)), "")</f>
        <v>ULIF00102/01/04LiquidFund101</v>
      </c>
      <c r="E3937" s="8" t="s">
        <v>219</v>
      </c>
      <c r="F3937" s="8" t="s">
        <v>4164</v>
      </c>
    </row>
    <row r="3938" spans="1:6" ht="60" x14ac:dyDescent="0.25">
      <c r="A3938" s="8" t="s">
        <v>125</v>
      </c>
      <c r="B3938" s="8" t="s">
        <v>141</v>
      </c>
      <c r="C3938" s="8" t="str">
        <f>IFERROR(_xlfn.XLOOKUP(TRIM(B3938),Lookup!$B$2:$B$1000,Lookup!$C$2:$C$1000),"")</f>
        <v>Debt</v>
      </c>
      <c r="D3938" s="8" t="str">
        <f>IFERROR(INDEX('nav master'!$C:$C, MATCH(B3938, 'nav master'!$B:$B, 0)), "")</f>
        <v>ULIF00102/01/04LiquidFund101</v>
      </c>
      <c r="E3938" s="8" t="s">
        <v>221</v>
      </c>
      <c r="F3938" s="8" t="s">
        <v>4165</v>
      </c>
    </row>
    <row r="3939" spans="1:6" ht="60" x14ac:dyDescent="0.25">
      <c r="A3939" s="8" t="s">
        <v>125</v>
      </c>
      <c r="B3939" s="8" t="s">
        <v>141</v>
      </c>
      <c r="C3939" s="8" t="str">
        <f>IFERROR(_xlfn.XLOOKUP(TRIM(B3939),Lookup!$B$2:$B$1000,Lookup!$C$2:$C$1000),"")</f>
        <v>Debt</v>
      </c>
      <c r="D3939" s="8" t="str">
        <f>IFERROR(INDEX('nav master'!$C:$C, MATCH(B3939, 'nav master'!$B:$B, 0)), "")</f>
        <v>ULIF00102/01/04LiquidFund101</v>
      </c>
      <c r="E3939" s="8" t="s">
        <v>223</v>
      </c>
      <c r="F3939" s="8" t="s">
        <v>4166</v>
      </c>
    </row>
    <row r="3940" spans="1:6" ht="60" x14ac:dyDescent="0.25">
      <c r="A3940" s="8" t="s">
        <v>125</v>
      </c>
      <c r="B3940" s="8" t="s">
        <v>141</v>
      </c>
      <c r="C3940" s="8" t="str">
        <f>IFERROR(_xlfn.XLOOKUP(TRIM(B3940),Lookup!$B$2:$B$1000,Lookup!$C$2:$C$1000),"")</f>
        <v>Debt</v>
      </c>
      <c r="D3940" s="8" t="str">
        <f>IFERROR(INDEX('nav master'!$C:$C, MATCH(B3940, 'nav master'!$B:$B, 0)), "")</f>
        <v>ULIF00102/01/04LiquidFund101</v>
      </c>
      <c r="E3940" s="8" t="s">
        <v>225</v>
      </c>
      <c r="F3940" s="8" t="s">
        <v>4167</v>
      </c>
    </row>
    <row r="3941" spans="1:6" ht="60" x14ac:dyDescent="0.25">
      <c r="A3941" s="8" t="s">
        <v>125</v>
      </c>
      <c r="B3941" s="8" t="s">
        <v>141</v>
      </c>
      <c r="C3941" s="8" t="str">
        <f>IFERROR(_xlfn.XLOOKUP(TRIM(B3941),Lookup!$B$2:$B$1000,Lookup!$C$2:$C$1000),"")</f>
        <v>Debt</v>
      </c>
      <c r="D3941" s="8" t="str">
        <f>IFERROR(INDEX('nav master'!$C:$C, MATCH(B3941, 'nav master'!$B:$B, 0)), "")</f>
        <v>ULIF00102/01/04LiquidFund101</v>
      </c>
      <c r="E3941" s="8" t="s">
        <v>227</v>
      </c>
      <c r="F3941" s="8" t="s">
        <v>4168</v>
      </c>
    </row>
    <row r="3942" spans="1:6" ht="60" x14ac:dyDescent="0.25">
      <c r="A3942" s="8" t="s">
        <v>125</v>
      </c>
      <c r="B3942" s="8" t="s">
        <v>141</v>
      </c>
      <c r="C3942" s="8" t="str">
        <f>IFERROR(_xlfn.XLOOKUP(TRIM(B3942),Lookup!$B$2:$B$1000,Lookup!$C$2:$C$1000),"")</f>
        <v>Debt</v>
      </c>
      <c r="D3942" s="8" t="str">
        <f>IFERROR(INDEX('nav master'!$C:$C, MATCH(B3942, 'nav master'!$B:$B, 0)), "")</f>
        <v>ULIF00102/01/04LiquidFund101</v>
      </c>
      <c r="E3942" s="8" t="s">
        <v>229</v>
      </c>
      <c r="F3942" s="8" t="s">
        <v>4169</v>
      </c>
    </row>
    <row r="3943" spans="1:6" ht="60" x14ac:dyDescent="0.25">
      <c r="A3943" s="8" t="s">
        <v>125</v>
      </c>
      <c r="B3943" s="8" t="s">
        <v>141</v>
      </c>
      <c r="C3943" s="8" t="str">
        <f>IFERROR(_xlfn.XLOOKUP(TRIM(B3943),Lookup!$B$2:$B$1000,Lookup!$C$2:$C$1000),"")</f>
        <v>Debt</v>
      </c>
      <c r="D3943" s="8" t="str">
        <f>IFERROR(INDEX('nav master'!$C:$C, MATCH(B3943, 'nav master'!$B:$B, 0)), "")</f>
        <v>ULIF00102/01/04LiquidFund101</v>
      </c>
      <c r="E3943" s="8" t="s">
        <v>231</v>
      </c>
      <c r="F3943" s="8" t="s">
        <v>4170</v>
      </c>
    </row>
    <row r="3944" spans="1:6" ht="60" x14ac:dyDescent="0.25">
      <c r="A3944" s="8" t="s">
        <v>125</v>
      </c>
      <c r="B3944" s="8" t="s">
        <v>141</v>
      </c>
      <c r="C3944" s="8" t="str">
        <f>IFERROR(_xlfn.XLOOKUP(TRIM(B3944),Lookup!$B$2:$B$1000,Lookup!$C$2:$C$1000),"")</f>
        <v>Debt</v>
      </c>
      <c r="D3944" s="8" t="str">
        <f>IFERROR(INDEX('nav master'!$C:$C, MATCH(B3944, 'nav master'!$B:$B, 0)), "")</f>
        <v>ULIF00102/01/04LiquidFund101</v>
      </c>
      <c r="E3944" s="8" t="s">
        <v>233</v>
      </c>
      <c r="F3944" s="8" t="s">
        <v>4171</v>
      </c>
    </row>
    <row r="3945" spans="1:6" ht="60" x14ac:dyDescent="0.25">
      <c r="A3945" s="8" t="s">
        <v>125</v>
      </c>
      <c r="B3945" s="8" t="s">
        <v>141</v>
      </c>
      <c r="C3945" s="8" t="str">
        <f>IFERROR(_xlfn.XLOOKUP(TRIM(B3945),Lookup!$B$2:$B$1000,Lookup!$C$2:$C$1000),"")</f>
        <v>Debt</v>
      </c>
      <c r="D3945" s="8" t="str">
        <f>IFERROR(INDEX('nav master'!$C:$C, MATCH(B3945, 'nav master'!$B:$B, 0)), "")</f>
        <v>ULIF00102/01/04LiquidFund101</v>
      </c>
      <c r="E3945" s="8" t="s">
        <v>235</v>
      </c>
      <c r="F3945" s="8" t="s">
        <v>4172</v>
      </c>
    </row>
    <row r="3946" spans="1:6" ht="60" x14ac:dyDescent="0.25">
      <c r="A3946" s="8" t="s">
        <v>125</v>
      </c>
      <c r="B3946" s="8" t="s">
        <v>141</v>
      </c>
      <c r="C3946" s="8" t="str">
        <f>IFERROR(_xlfn.XLOOKUP(TRIM(B3946),Lookup!$B$2:$B$1000,Lookup!$C$2:$C$1000),"")</f>
        <v>Debt</v>
      </c>
      <c r="D3946" s="8" t="str">
        <f>IFERROR(INDEX('nav master'!$C:$C, MATCH(B3946, 'nav master'!$B:$B, 0)), "")</f>
        <v>ULIF00102/01/04LiquidFund101</v>
      </c>
      <c r="E3946" s="8" t="s">
        <v>237</v>
      </c>
      <c r="F3946" s="8" t="s">
        <v>4173</v>
      </c>
    </row>
    <row r="3947" spans="1:6" ht="60" x14ac:dyDescent="0.25">
      <c r="A3947" s="8" t="s">
        <v>125</v>
      </c>
      <c r="B3947" s="8" t="s">
        <v>141</v>
      </c>
      <c r="C3947" s="8" t="str">
        <f>IFERROR(_xlfn.XLOOKUP(TRIM(B3947),Lookup!$B$2:$B$1000,Lookup!$C$2:$C$1000),"")</f>
        <v>Debt</v>
      </c>
      <c r="D3947" s="8" t="str">
        <f>IFERROR(INDEX('nav master'!$C:$C, MATCH(B3947, 'nav master'!$B:$B, 0)), "")</f>
        <v>ULIF00102/01/04LiquidFund101</v>
      </c>
      <c r="E3947" s="8" t="s">
        <v>239</v>
      </c>
      <c r="F3947" s="8" t="s">
        <v>4174</v>
      </c>
    </row>
    <row r="3948" spans="1:6" ht="60" x14ac:dyDescent="0.25">
      <c r="A3948" s="8" t="s">
        <v>125</v>
      </c>
      <c r="B3948" s="8" t="s">
        <v>141</v>
      </c>
      <c r="C3948" s="8" t="str">
        <f>IFERROR(_xlfn.XLOOKUP(TRIM(B3948),Lookup!$B$2:$B$1000,Lookup!$C$2:$C$1000),"")</f>
        <v>Debt</v>
      </c>
      <c r="D3948" s="8" t="str">
        <f>IFERROR(INDEX('nav master'!$C:$C, MATCH(B3948, 'nav master'!$B:$B, 0)), "")</f>
        <v>ULIF00102/01/04LiquidFund101</v>
      </c>
      <c r="E3948" s="8" t="s">
        <v>241</v>
      </c>
      <c r="F3948" s="8" t="s">
        <v>4175</v>
      </c>
    </row>
    <row r="3949" spans="1:6" ht="60" x14ac:dyDescent="0.25">
      <c r="A3949" s="8" t="s">
        <v>125</v>
      </c>
      <c r="B3949" s="8" t="s">
        <v>141</v>
      </c>
      <c r="C3949" s="8" t="str">
        <f>IFERROR(_xlfn.XLOOKUP(TRIM(B3949),Lookup!$B$2:$B$1000,Lookup!$C$2:$C$1000),"")</f>
        <v>Debt</v>
      </c>
      <c r="D3949" s="8" t="str">
        <f>IFERROR(INDEX('nav master'!$C:$C, MATCH(B3949, 'nav master'!$B:$B, 0)), "")</f>
        <v>ULIF00102/01/04LiquidFund101</v>
      </c>
      <c r="E3949" s="8" t="s">
        <v>243</v>
      </c>
      <c r="F3949" s="8" t="s">
        <v>4176</v>
      </c>
    </row>
    <row r="3950" spans="1:6" ht="60" x14ac:dyDescent="0.25">
      <c r="A3950" s="8" t="s">
        <v>125</v>
      </c>
      <c r="B3950" s="8" t="s">
        <v>141</v>
      </c>
      <c r="C3950" s="8" t="str">
        <f>IFERROR(_xlfn.XLOOKUP(TRIM(B3950),Lookup!$B$2:$B$1000,Lookup!$C$2:$C$1000),"")</f>
        <v>Debt</v>
      </c>
      <c r="D3950" s="8" t="str">
        <f>IFERROR(INDEX('nav master'!$C:$C, MATCH(B3950, 'nav master'!$B:$B, 0)), "")</f>
        <v>ULIF00102/01/04LiquidFund101</v>
      </c>
      <c r="E3950" s="8" t="s">
        <v>245</v>
      </c>
      <c r="F3950" s="8" t="s">
        <v>4177</v>
      </c>
    </row>
    <row r="3951" spans="1:6" ht="60" x14ac:dyDescent="0.25">
      <c r="A3951" s="8" t="s">
        <v>125</v>
      </c>
      <c r="B3951" s="8" t="s">
        <v>141</v>
      </c>
      <c r="C3951" s="8" t="str">
        <f>IFERROR(_xlfn.XLOOKUP(TRIM(B3951),Lookup!$B$2:$B$1000,Lookup!$C$2:$C$1000),"")</f>
        <v>Debt</v>
      </c>
      <c r="D3951" s="8" t="str">
        <f>IFERROR(INDEX('nav master'!$C:$C, MATCH(B3951, 'nav master'!$B:$B, 0)), "")</f>
        <v>ULIF00102/01/04LiquidFund101</v>
      </c>
      <c r="E3951" s="8" t="s">
        <v>247</v>
      </c>
      <c r="F3951" s="8" t="s">
        <v>4178</v>
      </c>
    </row>
    <row r="3952" spans="1:6" ht="60" x14ac:dyDescent="0.25">
      <c r="A3952" s="8" t="s">
        <v>125</v>
      </c>
      <c r="B3952" s="8" t="s">
        <v>141</v>
      </c>
      <c r="C3952" s="8" t="str">
        <f>IFERROR(_xlfn.XLOOKUP(TRIM(B3952),Lookup!$B$2:$B$1000,Lookup!$C$2:$C$1000),"")</f>
        <v>Debt</v>
      </c>
      <c r="D3952" s="8" t="str">
        <f>IFERROR(INDEX('nav master'!$C:$C, MATCH(B3952, 'nav master'!$B:$B, 0)), "")</f>
        <v>ULIF00102/01/04LiquidFund101</v>
      </c>
      <c r="E3952" s="8" t="s">
        <v>249</v>
      </c>
      <c r="F3952" s="8" t="s">
        <v>4179</v>
      </c>
    </row>
    <row r="3953" spans="1:6" ht="60" x14ac:dyDescent="0.25">
      <c r="A3953" s="8" t="s">
        <v>125</v>
      </c>
      <c r="B3953" s="8" t="s">
        <v>141</v>
      </c>
      <c r="C3953" s="8" t="str">
        <f>IFERROR(_xlfn.XLOOKUP(TRIM(B3953),Lookup!$B$2:$B$1000,Lookup!$C$2:$C$1000),"")</f>
        <v>Debt</v>
      </c>
      <c r="D3953" s="8" t="str">
        <f>IFERROR(INDEX('nav master'!$C:$C, MATCH(B3953, 'nav master'!$B:$B, 0)), "")</f>
        <v>ULIF00102/01/04LiquidFund101</v>
      </c>
      <c r="E3953" s="8" t="s">
        <v>251</v>
      </c>
      <c r="F3953" s="8" t="s">
        <v>4180</v>
      </c>
    </row>
    <row r="3954" spans="1:6" ht="60" x14ac:dyDescent="0.25">
      <c r="A3954" s="8" t="s">
        <v>125</v>
      </c>
      <c r="B3954" s="8" t="s">
        <v>141</v>
      </c>
      <c r="C3954" s="8" t="str">
        <f>IFERROR(_xlfn.XLOOKUP(TRIM(B3954),Lookup!$B$2:$B$1000,Lookup!$C$2:$C$1000),"")</f>
        <v>Debt</v>
      </c>
      <c r="D3954" s="8" t="str">
        <f>IFERROR(INDEX('nav master'!$C:$C, MATCH(B3954, 'nav master'!$B:$B, 0)), "")</f>
        <v>ULIF00102/01/04LiquidFund101</v>
      </c>
      <c r="E3954" s="8" t="s">
        <v>253</v>
      </c>
      <c r="F3954" s="8" t="s">
        <v>4181</v>
      </c>
    </row>
    <row r="3955" spans="1:6" ht="60" x14ac:dyDescent="0.25">
      <c r="A3955" s="8" t="s">
        <v>125</v>
      </c>
      <c r="B3955" s="8" t="s">
        <v>141</v>
      </c>
      <c r="C3955" s="8" t="str">
        <f>IFERROR(_xlfn.XLOOKUP(TRIM(B3955),Lookup!$B$2:$B$1000,Lookup!$C$2:$C$1000),"")</f>
        <v>Debt</v>
      </c>
      <c r="D3955" s="8" t="str">
        <f>IFERROR(INDEX('nav master'!$C:$C, MATCH(B3955, 'nav master'!$B:$B, 0)), "")</f>
        <v>ULIF00102/01/04LiquidFund101</v>
      </c>
      <c r="E3955" s="8" t="s">
        <v>255</v>
      </c>
      <c r="F3955" s="8" t="s">
        <v>4182</v>
      </c>
    </row>
    <row r="3956" spans="1:6" ht="60" x14ac:dyDescent="0.25">
      <c r="A3956" s="8" t="s">
        <v>125</v>
      </c>
      <c r="B3956" s="8" t="s">
        <v>141</v>
      </c>
      <c r="C3956" s="8" t="str">
        <f>IFERROR(_xlfn.XLOOKUP(TRIM(B3956),Lookup!$B$2:$B$1000,Lookup!$C$2:$C$1000),"")</f>
        <v>Debt</v>
      </c>
      <c r="D3956" s="8" t="str">
        <f>IFERROR(INDEX('nav master'!$C:$C, MATCH(B3956, 'nav master'!$B:$B, 0)), "")</f>
        <v>ULIF00102/01/04LiquidFund101</v>
      </c>
      <c r="E3956" s="8" t="s">
        <v>257</v>
      </c>
      <c r="F3956" s="8" t="s">
        <v>4183</v>
      </c>
    </row>
    <row r="3957" spans="1:6" ht="60" x14ac:dyDescent="0.25">
      <c r="A3957" s="8" t="s">
        <v>125</v>
      </c>
      <c r="B3957" s="8" t="s">
        <v>141</v>
      </c>
      <c r="C3957" s="8" t="str">
        <f>IFERROR(_xlfn.XLOOKUP(TRIM(B3957),Lookup!$B$2:$B$1000,Lookup!$C$2:$C$1000),"")</f>
        <v>Debt</v>
      </c>
      <c r="D3957" s="8" t="str">
        <f>IFERROR(INDEX('nav master'!$C:$C, MATCH(B3957, 'nav master'!$B:$B, 0)), "")</f>
        <v>ULIF00102/01/04LiquidFund101</v>
      </c>
      <c r="E3957" s="8" t="s">
        <v>259</v>
      </c>
      <c r="F3957" s="8" t="s">
        <v>4184</v>
      </c>
    </row>
    <row r="3958" spans="1:6" ht="60" x14ac:dyDescent="0.25">
      <c r="A3958" s="8" t="s">
        <v>125</v>
      </c>
      <c r="B3958" s="8" t="s">
        <v>141</v>
      </c>
      <c r="C3958" s="8" t="str">
        <f>IFERROR(_xlfn.XLOOKUP(TRIM(B3958),Lookup!$B$2:$B$1000,Lookup!$C$2:$C$1000),"")</f>
        <v>Debt</v>
      </c>
      <c r="D3958" s="8" t="str">
        <f>IFERROR(INDEX('nav master'!$C:$C, MATCH(B3958, 'nav master'!$B:$B, 0)), "")</f>
        <v>ULIF00102/01/04LiquidFund101</v>
      </c>
      <c r="E3958" s="8" t="s">
        <v>261</v>
      </c>
      <c r="F3958" s="8" t="s">
        <v>4185</v>
      </c>
    </row>
    <row r="3959" spans="1:6" ht="60" x14ac:dyDescent="0.25">
      <c r="A3959" s="8" t="s">
        <v>125</v>
      </c>
      <c r="B3959" s="8" t="s">
        <v>141</v>
      </c>
      <c r="C3959" s="8" t="str">
        <f>IFERROR(_xlfn.XLOOKUP(TRIM(B3959),Lookup!$B$2:$B$1000,Lookup!$C$2:$C$1000),"")</f>
        <v>Debt</v>
      </c>
      <c r="D3959" s="8" t="str">
        <f>IFERROR(INDEX('nav master'!$C:$C, MATCH(B3959, 'nav master'!$B:$B, 0)), "")</f>
        <v>ULIF00102/01/04LiquidFund101</v>
      </c>
      <c r="E3959" s="8" t="s">
        <v>263</v>
      </c>
      <c r="F3959" s="8" t="s">
        <v>4186</v>
      </c>
    </row>
    <row r="3960" spans="1:6" ht="60" x14ac:dyDescent="0.25">
      <c r="A3960" s="8" t="s">
        <v>125</v>
      </c>
      <c r="B3960" s="8" t="s">
        <v>141</v>
      </c>
      <c r="C3960" s="8" t="str">
        <f>IFERROR(_xlfn.XLOOKUP(TRIM(B3960),Lookup!$B$2:$B$1000,Lookup!$C$2:$C$1000),"")</f>
        <v>Debt</v>
      </c>
      <c r="D3960" s="8" t="str">
        <f>IFERROR(INDEX('nav master'!$C:$C, MATCH(B3960, 'nav master'!$B:$B, 0)), "")</f>
        <v>ULIF00102/01/04LiquidFund101</v>
      </c>
      <c r="E3960" s="8" t="s">
        <v>265</v>
      </c>
      <c r="F3960" s="8" t="s">
        <v>4187</v>
      </c>
    </row>
    <row r="3961" spans="1:6" ht="60" x14ac:dyDescent="0.25">
      <c r="A3961" s="8" t="s">
        <v>125</v>
      </c>
      <c r="B3961" s="8" t="s">
        <v>141</v>
      </c>
      <c r="C3961" s="8" t="str">
        <f>IFERROR(_xlfn.XLOOKUP(TRIM(B3961),Lookup!$B$2:$B$1000,Lookup!$C$2:$C$1000),"")</f>
        <v>Debt</v>
      </c>
      <c r="D3961" s="8" t="str">
        <f>IFERROR(INDEX('nav master'!$C:$C, MATCH(B3961, 'nav master'!$B:$B, 0)), "")</f>
        <v>ULIF00102/01/04LiquidFund101</v>
      </c>
      <c r="E3961" s="8" t="s">
        <v>267</v>
      </c>
      <c r="F3961" s="8" t="s">
        <v>4188</v>
      </c>
    </row>
    <row r="3962" spans="1:6" ht="60" x14ac:dyDescent="0.25">
      <c r="A3962" s="8" t="s">
        <v>125</v>
      </c>
      <c r="B3962" s="8" t="s">
        <v>141</v>
      </c>
      <c r="C3962" s="8" t="str">
        <f>IFERROR(_xlfn.XLOOKUP(TRIM(B3962),Lookup!$B$2:$B$1000,Lookup!$C$2:$C$1000),"")</f>
        <v>Debt</v>
      </c>
      <c r="D3962" s="8" t="str">
        <f>IFERROR(INDEX('nav master'!$C:$C, MATCH(B3962, 'nav master'!$B:$B, 0)), "")</f>
        <v>ULIF00102/01/04LiquidFund101</v>
      </c>
      <c r="E3962" s="8" t="s">
        <v>269</v>
      </c>
      <c r="F3962" s="8" t="s">
        <v>4189</v>
      </c>
    </row>
    <row r="3963" spans="1:6" ht="60" x14ac:dyDescent="0.25">
      <c r="A3963" s="8" t="s">
        <v>125</v>
      </c>
      <c r="B3963" s="8" t="s">
        <v>141</v>
      </c>
      <c r="C3963" s="8" t="str">
        <f>IFERROR(_xlfn.XLOOKUP(TRIM(B3963),Lookup!$B$2:$B$1000,Lookup!$C$2:$C$1000),"")</f>
        <v>Debt</v>
      </c>
      <c r="D3963" s="8" t="str">
        <f>IFERROR(INDEX('nav master'!$C:$C, MATCH(B3963, 'nav master'!$B:$B, 0)), "")</f>
        <v>ULIF00102/01/04LiquidFund101</v>
      </c>
      <c r="E3963" s="8" t="s">
        <v>271</v>
      </c>
      <c r="F3963" s="8" t="s">
        <v>4190</v>
      </c>
    </row>
    <row r="3964" spans="1:6" ht="60" x14ac:dyDescent="0.25">
      <c r="A3964" s="8" t="s">
        <v>125</v>
      </c>
      <c r="B3964" s="8" t="s">
        <v>141</v>
      </c>
      <c r="C3964" s="8" t="str">
        <f>IFERROR(_xlfn.XLOOKUP(TRIM(B3964),Lookup!$B$2:$B$1000,Lookup!$C$2:$C$1000),"")</f>
        <v>Debt</v>
      </c>
      <c r="D3964" s="8" t="str">
        <f>IFERROR(INDEX('nav master'!$C:$C, MATCH(B3964, 'nav master'!$B:$B, 0)), "")</f>
        <v>ULIF00102/01/04LiquidFund101</v>
      </c>
      <c r="E3964" s="8" t="s">
        <v>273</v>
      </c>
      <c r="F3964" s="8" t="s">
        <v>4191</v>
      </c>
    </row>
    <row r="3965" spans="1:6" ht="60" x14ac:dyDescent="0.25">
      <c r="A3965" s="8" t="s">
        <v>125</v>
      </c>
      <c r="B3965" s="8" t="s">
        <v>141</v>
      </c>
      <c r="C3965" s="8" t="str">
        <f>IFERROR(_xlfn.XLOOKUP(TRIM(B3965),Lookup!$B$2:$B$1000,Lookup!$C$2:$C$1000),"")</f>
        <v>Debt</v>
      </c>
      <c r="D3965" s="8" t="str">
        <f>IFERROR(INDEX('nav master'!$C:$C, MATCH(B3965, 'nav master'!$B:$B, 0)), "")</f>
        <v>ULIF00102/01/04LiquidFund101</v>
      </c>
      <c r="E3965" s="8" t="s">
        <v>275</v>
      </c>
      <c r="F3965" s="8" t="s">
        <v>4192</v>
      </c>
    </row>
    <row r="3966" spans="1:6" ht="60" x14ac:dyDescent="0.25">
      <c r="A3966" s="8" t="s">
        <v>125</v>
      </c>
      <c r="B3966" s="8" t="s">
        <v>141</v>
      </c>
      <c r="C3966" s="8" t="str">
        <f>IFERROR(_xlfn.XLOOKUP(TRIM(B3966),Lookup!$B$2:$B$1000,Lookup!$C$2:$C$1000),"")</f>
        <v>Debt</v>
      </c>
      <c r="D3966" s="8" t="str">
        <f>IFERROR(INDEX('nav master'!$C:$C, MATCH(B3966, 'nav master'!$B:$B, 0)), "")</f>
        <v>ULIF00102/01/04LiquidFund101</v>
      </c>
      <c r="E3966" s="8" t="s">
        <v>277</v>
      </c>
      <c r="F3966" s="8" t="s">
        <v>4193</v>
      </c>
    </row>
    <row r="3967" spans="1:6" ht="60" x14ac:dyDescent="0.25">
      <c r="A3967" s="8" t="s">
        <v>125</v>
      </c>
      <c r="B3967" s="8" t="s">
        <v>141</v>
      </c>
      <c r="C3967" s="8" t="str">
        <f>IFERROR(_xlfn.XLOOKUP(TRIM(B3967),Lookup!$B$2:$B$1000,Lookup!$C$2:$C$1000),"")</f>
        <v>Debt</v>
      </c>
      <c r="D3967" s="8" t="str">
        <f>IFERROR(INDEX('nav master'!$C:$C, MATCH(B3967, 'nav master'!$B:$B, 0)), "")</f>
        <v>ULIF00102/01/04LiquidFund101</v>
      </c>
      <c r="E3967" s="8" t="s">
        <v>279</v>
      </c>
      <c r="F3967" s="8" t="s">
        <v>4194</v>
      </c>
    </row>
    <row r="3968" spans="1:6" ht="60" x14ac:dyDescent="0.25">
      <c r="A3968" s="8" t="s">
        <v>125</v>
      </c>
      <c r="B3968" s="8" t="s">
        <v>141</v>
      </c>
      <c r="C3968" s="8" t="str">
        <f>IFERROR(_xlfn.XLOOKUP(TRIM(B3968),Lookup!$B$2:$B$1000,Lookup!$C$2:$C$1000),"")</f>
        <v>Debt</v>
      </c>
      <c r="D3968" s="8" t="str">
        <f>IFERROR(INDEX('nav master'!$C:$C, MATCH(B3968, 'nav master'!$B:$B, 0)), "")</f>
        <v>ULIF00102/01/04LiquidFund101</v>
      </c>
      <c r="E3968" s="8" t="s">
        <v>281</v>
      </c>
      <c r="F3968" s="8" t="s">
        <v>4195</v>
      </c>
    </row>
    <row r="3969" spans="1:6" ht="60" x14ac:dyDescent="0.25">
      <c r="A3969" s="8" t="s">
        <v>125</v>
      </c>
      <c r="B3969" s="8" t="s">
        <v>141</v>
      </c>
      <c r="C3969" s="8" t="str">
        <f>IFERROR(_xlfn.XLOOKUP(TRIM(B3969),Lookup!$B$2:$B$1000,Lookup!$C$2:$C$1000),"")</f>
        <v>Debt</v>
      </c>
      <c r="D3969" s="8" t="str">
        <f>IFERROR(INDEX('nav master'!$C:$C, MATCH(B3969, 'nav master'!$B:$B, 0)), "")</f>
        <v>ULIF00102/01/04LiquidFund101</v>
      </c>
      <c r="E3969" s="8" t="s">
        <v>283</v>
      </c>
      <c r="F3969" s="8" t="s">
        <v>4196</v>
      </c>
    </row>
    <row r="3970" spans="1:6" ht="60" x14ac:dyDescent="0.25">
      <c r="A3970" s="8" t="s">
        <v>125</v>
      </c>
      <c r="B3970" s="8" t="s">
        <v>141</v>
      </c>
      <c r="C3970" s="8" t="str">
        <f>IFERROR(_xlfn.XLOOKUP(TRIM(B3970),Lookup!$B$2:$B$1000,Lookup!$C$2:$C$1000),"")</f>
        <v>Debt</v>
      </c>
      <c r="D3970" s="8" t="str">
        <f>IFERROR(INDEX('nav master'!$C:$C, MATCH(B3970, 'nav master'!$B:$B, 0)), "")</f>
        <v>ULIF00102/01/04LiquidFund101</v>
      </c>
      <c r="E3970" s="8" t="s">
        <v>285</v>
      </c>
      <c r="F3970" s="8" t="s">
        <v>4197</v>
      </c>
    </row>
    <row r="3971" spans="1:6" ht="60" x14ac:dyDescent="0.25">
      <c r="A3971" s="8" t="s">
        <v>125</v>
      </c>
      <c r="B3971" s="8" t="s">
        <v>141</v>
      </c>
      <c r="C3971" s="8" t="str">
        <f>IFERROR(_xlfn.XLOOKUP(TRIM(B3971),Lookup!$B$2:$B$1000,Lookup!$C$2:$C$1000),"")</f>
        <v>Debt</v>
      </c>
      <c r="D3971" s="8" t="str">
        <f>IFERROR(INDEX('nav master'!$C:$C, MATCH(B3971, 'nav master'!$B:$B, 0)), "")</f>
        <v>ULIF00102/01/04LiquidFund101</v>
      </c>
      <c r="E3971" s="8" t="s">
        <v>287</v>
      </c>
      <c r="F3971" s="8" t="s">
        <v>4198</v>
      </c>
    </row>
    <row r="3972" spans="1:6" ht="60" x14ac:dyDescent="0.25">
      <c r="A3972" s="8" t="s">
        <v>125</v>
      </c>
      <c r="B3972" s="8" t="s">
        <v>141</v>
      </c>
      <c r="C3972" s="8" t="str">
        <f>IFERROR(_xlfn.XLOOKUP(TRIM(B3972),Lookup!$B$2:$B$1000,Lookup!$C$2:$C$1000),"")</f>
        <v>Debt</v>
      </c>
      <c r="D3972" s="8" t="str">
        <f>IFERROR(INDEX('nav master'!$C:$C, MATCH(B3972, 'nav master'!$B:$B, 0)), "")</f>
        <v>ULIF00102/01/04LiquidFund101</v>
      </c>
      <c r="E3972" s="8" t="s">
        <v>289</v>
      </c>
      <c r="F3972" s="8" t="s">
        <v>4199</v>
      </c>
    </row>
    <row r="3973" spans="1:6" ht="60" x14ac:dyDescent="0.25">
      <c r="A3973" s="8" t="s">
        <v>125</v>
      </c>
      <c r="B3973" s="8" t="s">
        <v>141</v>
      </c>
      <c r="C3973" s="8" t="str">
        <f>IFERROR(_xlfn.XLOOKUP(TRIM(B3973),Lookup!$B$2:$B$1000,Lookup!$C$2:$C$1000),"")</f>
        <v>Debt</v>
      </c>
      <c r="D3973" s="8" t="str">
        <f>IFERROR(INDEX('nav master'!$C:$C, MATCH(B3973, 'nav master'!$B:$B, 0)), "")</f>
        <v>ULIF00102/01/04LiquidFund101</v>
      </c>
      <c r="E3973" s="8" t="s">
        <v>291</v>
      </c>
      <c r="F3973" s="8" t="s">
        <v>4200</v>
      </c>
    </row>
    <row r="3974" spans="1:6" ht="60" x14ac:dyDescent="0.25">
      <c r="A3974" s="8" t="s">
        <v>125</v>
      </c>
      <c r="B3974" s="8" t="s">
        <v>141</v>
      </c>
      <c r="C3974" s="8" t="str">
        <f>IFERROR(_xlfn.XLOOKUP(TRIM(B3974),Lookup!$B$2:$B$1000,Lookup!$C$2:$C$1000),"")</f>
        <v>Debt</v>
      </c>
      <c r="D3974" s="8" t="str">
        <f>IFERROR(INDEX('nav master'!$C:$C, MATCH(B3974, 'nav master'!$B:$B, 0)), "")</f>
        <v>ULIF00102/01/04LiquidFund101</v>
      </c>
      <c r="E3974" s="8" t="s">
        <v>293</v>
      </c>
      <c r="F3974" s="8" t="s">
        <v>4201</v>
      </c>
    </row>
    <row r="3975" spans="1:6" ht="60" x14ac:dyDescent="0.25">
      <c r="A3975" s="8" t="s">
        <v>125</v>
      </c>
      <c r="B3975" s="8" t="s">
        <v>141</v>
      </c>
      <c r="C3975" s="8" t="str">
        <f>IFERROR(_xlfn.XLOOKUP(TRIM(B3975),Lookup!$B$2:$B$1000,Lookup!$C$2:$C$1000),"")</f>
        <v>Debt</v>
      </c>
      <c r="D3975" s="8" t="str">
        <f>IFERROR(INDEX('nav master'!$C:$C, MATCH(B3975, 'nav master'!$B:$B, 0)), "")</f>
        <v>ULIF00102/01/04LiquidFund101</v>
      </c>
      <c r="E3975" s="8" t="s">
        <v>295</v>
      </c>
      <c r="F3975" s="8" t="s">
        <v>4202</v>
      </c>
    </row>
    <row r="3976" spans="1:6" ht="60" x14ac:dyDescent="0.25">
      <c r="A3976" s="8" t="s">
        <v>125</v>
      </c>
      <c r="B3976" s="8" t="s">
        <v>141</v>
      </c>
      <c r="C3976" s="8" t="str">
        <f>IFERROR(_xlfn.XLOOKUP(TRIM(B3976),Lookup!$B$2:$B$1000,Lookup!$C$2:$C$1000),"")</f>
        <v>Debt</v>
      </c>
      <c r="D3976" s="8" t="str">
        <f>IFERROR(INDEX('nav master'!$C:$C, MATCH(B3976, 'nav master'!$B:$B, 0)), "")</f>
        <v>ULIF00102/01/04LiquidFund101</v>
      </c>
      <c r="E3976" s="8" t="s">
        <v>297</v>
      </c>
      <c r="F3976" s="8" t="s">
        <v>4203</v>
      </c>
    </row>
    <row r="3977" spans="1:6" ht="60" x14ac:dyDescent="0.25">
      <c r="A3977" s="8" t="s">
        <v>125</v>
      </c>
      <c r="B3977" s="8" t="s">
        <v>141</v>
      </c>
      <c r="C3977" s="8" t="str">
        <f>IFERROR(_xlfn.XLOOKUP(TRIM(B3977),Lookup!$B$2:$B$1000,Lookup!$C$2:$C$1000),"")</f>
        <v>Debt</v>
      </c>
      <c r="D3977" s="8" t="str">
        <f>IFERROR(INDEX('nav master'!$C:$C, MATCH(B3977, 'nav master'!$B:$B, 0)), "")</f>
        <v>ULIF00102/01/04LiquidFund101</v>
      </c>
      <c r="E3977" s="8" t="s">
        <v>299</v>
      </c>
      <c r="F3977" s="8" t="s">
        <v>4204</v>
      </c>
    </row>
    <row r="3978" spans="1:6" ht="60" x14ac:dyDescent="0.25">
      <c r="A3978" s="8" t="s">
        <v>125</v>
      </c>
      <c r="B3978" s="8" t="s">
        <v>141</v>
      </c>
      <c r="C3978" s="8" t="str">
        <f>IFERROR(_xlfn.XLOOKUP(TRIM(B3978),Lookup!$B$2:$B$1000,Lookup!$C$2:$C$1000),"")</f>
        <v>Debt</v>
      </c>
      <c r="D3978" s="8" t="str">
        <f>IFERROR(INDEX('nav master'!$C:$C, MATCH(B3978, 'nav master'!$B:$B, 0)), "")</f>
        <v>ULIF00102/01/04LiquidFund101</v>
      </c>
      <c r="E3978" s="8" t="s">
        <v>301</v>
      </c>
      <c r="F3978" s="8" t="s">
        <v>4205</v>
      </c>
    </row>
    <row r="3979" spans="1:6" ht="60" x14ac:dyDescent="0.25">
      <c r="A3979" s="8" t="s">
        <v>125</v>
      </c>
      <c r="B3979" s="8" t="s">
        <v>141</v>
      </c>
      <c r="C3979" s="8" t="str">
        <f>IFERROR(_xlfn.XLOOKUP(TRIM(B3979),Lookup!$B$2:$B$1000,Lookup!$C$2:$C$1000),"")</f>
        <v>Debt</v>
      </c>
      <c r="D3979" s="8" t="str">
        <f>IFERROR(INDEX('nav master'!$C:$C, MATCH(B3979, 'nav master'!$B:$B, 0)), "")</f>
        <v>ULIF00102/01/04LiquidFund101</v>
      </c>
      <c r="E3979" s="8" t="s">
        <v>303</v>
      </c>
      <c r="F3979" s="8" t="s">
        <v>4206</v>
      </c>
    </row>
    <row r="3980" spans="1:6" ht="60" x14ac:dyDescent="0.25">
      <c r="A3980" s="8" t="s">
        <v>125</v>
      </c>
      <c r="B3980" s="8" t="s">
        <v>141</v>
      </c>
      <c r="C3980" s="8" t="str">
        <f>IFERROR(_xlfn.XLOOKUP(TRIM(B3980),Lookup!$B$2:$B$1000,Lookup!$C$2:$C$1000),"")</f>
        <v>Debt</v>
      </c>
      <c r="D3980" s="8" t="str">
        <f>IFERROR(INDEX('nav master'!$C:$C, MATCH(B3980, 'nav master'!$B:$B, 0)), "")</f>
        <v>ULIF00102/01/04LiquidFund101</v>
      </c>
      <c r="E3980" s="8" t="s">
        <v>305</v>
      </c>
      <c r="F3980" s="8" t="s">
        <v>4207</v>
      </c>
    </row>
    <row r="3981" spans="1:6" ht="60" x14ac:dyDescent="0.25">
      <c r="A3981" s="8" t="s">
        <v>125</v>
      </c>
      <c r="B3981" s="8" t="s">
        <v>141</v>
      </c>
      <c r="C3981" s="8" t="str">
        <f>IFERROR(_xlfn.XLOOKUP(TRIM(B3981),Lookup!$B$2:$B$1000,Lookup!$C$2:$C$1000),"")</f>
        <v>Debt</v>
      </c>
      <c r="D3981" s="8" t="str">
        <f>IFERROR(INDEX('nav master'!$C:$C, MATCH(B3981, 'nav master'!$B:$B, 0)), "")</f>
        <v>ULIF00102/01/04LiquidFund101</v>
      </c>
      <c r="E3981" s="8" t="s">
        <v>307</v>
      </c>
      <c r="F3981" s="8" t="s">
        <v>4208</v>
      </c>
    </row>
    <row r="3982" spans="1:6" ht="60" x14ac:dyDescent="0.25">
      <c r="A3982" s="8" t="s">
        <v>125</v>
      </c>
      <c r="B3982" s="8" t="s">
        <v>141</v>
      </c>
      <c r="C3982" s="8" t="str">
        <f>IFERROR(_xlfn.XLOOKUP(TRIM(B3982),Lookup!$B$2:$B$1000,Lookup!$C$2:$C$1000),"")</f>
        <v>Debt</v>
      </c>
      <c r="D3982" s="8" t="str">
        <f>IFERROR(INDEX('nav master'!$C:$C, MATCH(B3982, 'nav master'!$B:$B, 0)), "")</f>
        <v>ULIF00102/01/04LiquidFund101</v>
      </c>
      <c r="E3982" s="8" t="s">
        <v>309</v>
      </c>
      <c r="F3982" s="8" t="s">
        <v>4209</v>
      </c>
    </row>
    <row r="3983" spans="1:6" ht="60" x14ac:dyDescent="0.25">
      <c r="A3983" s="8" t="s">
        <v>125</v>
      </c>
      <c r="B3983" s="8" t="s">
        <v>141</v>
      </c>
      <c r="C3983" s="8" t="str">
        <f>IFERROR(_xlfn.XLOOKUP(TRIM(B3983),Lookup!$B$2:$B$1000,Lookup!$C$2:$C$1000),"")</f>
        <v>Debt</v>
      </c>
      <c r="D3983" s="8" t="str">
        <f>IFERROR(INDEX('nav master'!$C:$C, MATCH(B3983, 'nav master'!$B:$B, 0)), "")</f>
        <v>ULIF00102/01/04LiquidFund101</v>
      </c>
      <c r="E3983" s="8" t="s">
        <v>311</v>
      </c>
      <c r="F3983" s="8" t="s">
        <v>4210</v>
      </c>
    </row>
    <row r="3984" spans="1:6" ht="60" x14ac:dyDescent="0.25">
      <c r="A3984" s="8" t="s">
        <v>125</v>
      </c>
      <c r="B3984" s="8" t="s">
        <v>141</v>
      </c>
      <c r="C3984" s="8" t="str">
        <f>IFERROR(_xlfn.XLOOKUP(TRIM(B3984),Lookup!$B$2:$B$1000,Lookup!$C$2:$C$1000),"")</f>
        <v>Debt</v>
      </c>
      <c r="D3984" s="8" t="str">
        <f>IFERROR(INDEX('nav master'!$C:$C, MATCH(B3984, 'nav master'!$B:$B, 0)), "")</f>
        <v>ULIF00102/01/04LiquidFund101</v>
      </c>
      <c r="E3984" s="8" t="s">
        <v>313</v>
      </c>
      <c r="F3984" s="8" t="s">
        <v>4211</v>
      </c>
    </row>
    <row r="3985" spans="1:6" ht="60" x14ac:dyDescent="0.25">
      <c r="A3985" s="8" t="s">
        <v>125</v>
      </c>
      <c r="B3985" s="8" t="s">
        <v>141</v>
      </c>
      <c r="C3985" s="8" t="str">
        <f>IFERROR(_xlfn.XLOOKUP(TRIM(B3985),Lookup!$B$2:$B$1000,Lookup!$C$2:$C$1000),"")</f>
        <v>Debt</v>
      </c>
      <c r="D3985" s="8" t="str">
        <f>IFERROR(INDEX('nav master'!$C:$C, MATCH(B3985, 'nav master'!$B:$B, 0)), "")</f>
        <v>ULIF00102/01/04LiquidFund101</v>
      </c>
      <c r="E3985" s="8" t="s">
        <v>315</v>
      </c>
      <c r="F3985" s="8" t="s">
        <v>4212</v>
      </c>
    </row>
    <row r="3986" spans="1:6" ht="60" x14ac:dyDescent="0.25">
      <c r="A3986" s="8" t="s">
        <v>125</v>
      </c>
      <c r="B3986" s="8" t="s">
        <v>141</v>
      </c>
      <c r="C3986" s="8" t="str">
        <f>IFERROR(_xlfn.XLOOKUP(TRIM(B3986),Lookup!$B$2:$B$1000,Lookup!$C$2:$C$1000),"")</f>
        <v>Debt</v>
      </c>
      <c r="D3986" s="8" t="str">
        <f>IFERROR(INDEX('nav master'!$C:$C, MATCH(B3986, 'nav master'!$B:$B, 0)), "")</f>
        <v>ULIF00102/01/04LiquidFund101</v>
      </c>
      <c r="E3986" s="8" t="s">
        <v>317</v>
      </c>
      <c r="F3986" s="8" t="s">
        <v>4213</v>
      </c>
    </row>
    <row r="3987" spans="1:6" ht="60" x14ac:dyDescent="0.25">
      <c r="A3987" s="8" t="s">
        <v>125</v>
      </c>
      <c r="B3987" s="8" t="s">
        <v>141</v>
      </c>
      <c r="C3987" s="8" t="str">
        <f>IFERROR(_xlfn.XLOOKUP(TRIM(B3987),Lookup!$B$2:$B$1000,Lookup!$C$2:$C$1000),"")</f>
        <v>Debt</v>
      </c>
      <c r="D3987" s="8" t="str">
        <f>IFERROR(INDEX('nav master'!$C:$C, MATCH(B3987, 'nav master'!$B:$B, 0)), "")</f>
        <v>ULIF00102/01/04LiquidFund101</v>
      </c>
      <c r="E3987" s="8" t="s">
        <v>319</v>
      </c>
      <c r="F3987" s="8" t="s">
        <v>4214</v>
      </c>
    </row>
    <row r="3988" spans="1:6" ht="60" x14ac:dyDescent="0.25">
      <c r="A3988" s="8" t="s">
        <v>125</v>
      </c>
      <c r="B3988" s="8" t="s">
        <v>141</v>
      </c>
      <c r="C3988" s="8" t="str">
        <f>IFERROR(_xlfn.XLOOKUP(TRIM(B3988),Lookup!$B$2:$B$1000,Lookup!$C$2:$C$1000),"")</f>
        <v>Debt</v>
      </c>
      <c r="D3988" s="8" t="str">
        <f>IFERROR(INDEX('nav master'!$C:$C, MATCH(B3988, 'nav master'!$B:$B, 0)), "")</f>
        <v>ULIF00102/01/04LiquidFund101</v>
      </c>
      <c r="E3988" s="8" t="s">
        <v>321</v>
      </c>
      <c r="F3988" s="8" t="s">
        <v>4215</v>
      </c>
    </row>
    <row r="3989" spans="1:6" ht="60" x14ac:dyDescent="0.25">
      <c r="A3989" s="8" t="s">
        <v>125</v>
      </c>
      <c r="B3989" s="8" t="s">
        <v>141</v>
      </c>
      <c r="C3989" s="8" t="str">
        <f>IFERROR(_xlfn.XLOOKUP(TRIM(B3989),Lookup!$B$2:$B$1000,Lookup!$C$2:$C$1000),"")</f>
        <v>Debt</v>
      </c>
      <c r="D3989" s="8" t="str">
        <f>IFERROR(INDEX('nav master'!$C:$C, MATCH(B3989, 'nav master'!$B:$B, 0)), "")</f>
        <v>ULIF00102/01/04LiquidFund101</v>
      </c>
      <c r="E3989" s="8" t="s">
        <v>323</v>
      </c>
      <c r="F3989" s="8" t="s">
        <v>4216</v>
      </c>
    </row>
    <row r="3990" spans="1:6" ht="60" x14ac:dyDescent="0.25">
      <c r="A3990" s="8" t="s">
        <v>125</v>
      </c>
      <c r="B3990" s="8" t="s">
        <v>141</v>
      </c>
      <c r="C3990" s="8" t="str">
        <f>IFERROR(_xlfn.XLOOKUP(TRIM(B3990),Lookup!$B$2:$B$1000,Lookup!$C$2:$C$1000),"")</f>
        <v>Debt</v>
      </c>
      <c r="D3990" s="8" t="str">
        <f>IFERROR(INDEX('nav master'!$C:$C, MATCH(B3990, 'nav master'!$B:$B, 0)), "")</f>
        <v>ULIF00102/01/04LiquidFund101</v>
      </c>
      <c r="E3990" s="8" t="s">
        <v>325</v>
      </c>
      <c r="F3990" s="8" t="s">
        <v>4217</v>
      </c>
    </row>
    <row r="3991" spans="1:6" ht="60" x14ac:dyDescent="0.25">
      <c r="A3991" s="8" t="s">
        <v>125</v>
      </c>
      <c r="B3991" s="8" t="s">
        <v>141</v>
      </c>
      <c r="C3991" s="8" t="str">
        <f>IFERROR(_xlfn.XLOOKUP(TRIM(B3991),Lookup!$B$2:$B$1000,Lookup!$C$2:$C$1000),"")</f>
        <v>Debt</v>
      </c>
      <c r="D3991" s="8" t="str">
        <f>IFERROR(INDEX('nav master'!$C:$C, MATCH(B3991, 'nav master'!$B:$B, 0)), "")</f>
        <v>ULIF00102/01/04LiquidFund101</v>
      </c>
      <c r="E3991" s="8" t="s">
        <v>327</v>
      </c>
      <c r="F3991" s="8" t="s">
        <v>4218</v>
      </c>
    </row>
    <row r="3992" spans="1:6" ht="60" x14ac:dyDescent="0.25">
      <c r="A3992" s="8" t="s">
        <v>125</v>
      </c>
      <c r="B3992" s="8" t="s">
        <v>141</v>
      </c>
      <c r="C3992" s="8" t="str">
        <f>IFERROR(_xlfn.XLOOKUP(TRIM(B3992),Lookup!$B$2:$B$1000,Lookup!$C$2:$C$1000),"")</f>
        <v>Debt</v>
      </c>
      <c r="D3992" s="8" t="str">
        <f>IFERROR(INDEX('nav master'!$C:$C, MATCH(B3992, 'nav master'!$B:$B, 0)), "")</f>
        <v>ULIF00102/01/04LiquidFund101</v>
      </c>
      <c r="E3992" s="8" t="s">
        <v>329</v>
      </c>
      <c r="F3992" s="8" t="s">
        <v>4219</v>
      </c>
    </row>
    <row r="3993" spans="1:6" ht="60" x14ac:dyDescent="0.25">
      <c r="A3993" s="8" t="s">
        <v>125</v>
      </c>
      <c r="B3993" s="8" t="s">
        <v>141</v>
      </c>
      <c r="C3993" s="8" t="str">
        <f>IFERROR(_xlfn.XLOOKUP(TRIM(B3993),Lookup!$B$2:$B$1000,Lookup!$C$2:$C$1000),"")</f>
        <v>Debt</v>
      </c>
      <c r="D3993" s="8" t="str">
        <f>IFERROR(INDEX('nav master'!$C:$C, MATCH(B3993, 'nav master'!$B:$B, 0)), "")</f>
        <v>ULIF00102/01/04LiquidFund101</v>
      </c>
      <c r="E3993" s="8" t="s">
        <v>331</v>
      </c>
      <c r="F3993" s="8" t="s">
        <v>4220</v>
      </c>
    </row>
    <row r="3994" spans="1:6" ht="60" x14ac:dyDescent="0.25">
      <c r="A3994" s="8" t="s">
        <v>125</v>
      </c>
      <c r="B3994" s="8" t="s">
        <v>141</v>
      </c>
      <c r="C3994" s="8" t="str">
        <f>IFERROR(_xlfn.XLOOKUP(TRIM(B3994),Lookup!$B$2:$B$1000,Lookup!$C$2:$C$1000),"")</f>
        <v>Debt</v>
      </c>
      <c r="D3994" s="8" t="str">
        <f>IFERROR(INDEX('nav master'!$C:$C, MATCH(B3994, 'nav master'!$B:$B, 0)), "")</f>
        <v>ULIF00102/01/04LiquidFund101</v>
      </c>
      <c r="E3994" s="8" t="s">
        <v>333</v>
      </c>
      <c r="F3994" s="8" t="s">
        <v>4221</v>
      </c>
    </row>
    <row r="3995" spans="1:6" ht="60" x14ac:dyDescent="0.25">
      <c r="A3995" s="8" t="s">
        <v>125</v>
      </c>
      <c r="B3995" s="8" t="s">
        <v>141</v>
      </c>
      <c r="C3995" s="8" t="str">
        <f>IFERROR(_xlfn.XLOOKUP(TRIM(B3995),Lookup!$B$2:$B$1000,Lookup!$C$2:$C$1000),"")</f>
        <v>Debt</v>
      </c>
      <c r="D3995" s="8" t="str">
        <f>IFERROR(INDEX('nav master'!$C:$C, MATCH(B3995, 'nav master'!$B:$B, 0)), "")</f>
        <v>ULIF00102/01/04LiquidFund101</v>
      </c>
      <c r="E3995" s="8" t="s">
        <v>335</v>
      </c>
      <c r="F3995" s="8" t="s">
        <v>4222</v>
      </c>
    </row>
    <row r="3996" spans="1:6" ht="60" x14ac:dyDescent="0.25">
      <c r="A3996" s="8" t="s">
        <v>125</v>
      </c>
      <c r="B3996" s="8" t="s">
        <v>141</v>
      </c>
      <c r="C3996" s="8" t="str">
        <f>IFERROR(_xlfn.XLOOKUP(TRIM(B3996),Lookup!$B$2:$B$1000,Lookup!$C$2:$C$1000),"")</f>
        <v>Debt</v>
      </c>
      <c r="D3996" s="8" t="str">
        <f>IFERROR(INDEX('nav master'!$C:$C, MATCH(B3996, 'nav master'!$B:$B, 0)), "")</f>
        <v>ULIF00102/01/04LiquidFund101</v>
      </c>
      <c r="E3996" s="8" t="s">
        <v>337</v>
      </c>
      <c r="F3996" s="8" t="s">
        <v>4223</v>
      </c>
    </row>
    <row r="3997" spans="1:6" ht="60" x14ac:dyDescent="0.25">
      <c r="A3997" s="8" t="s">
        <v>125</v>
      </c>
      <c r="B3997" s="8" t="s">
        <v>141</v>
      </c>
      <c r="C3997" s="8" t="str">
        <f>IFERROR(_xlfn.XLOOKUP(TRIM(B3997),Lookup!$B$2:$B$1000,Lookup!$C$2:$C$1000),"")</f>
        <v>Debt</v>
      </c>
      <c r="D3997" s="8" t="str">
        <f>IFERROR(INDEX('nav master'!$C:$C, MATCH(B3997, 'nav master'!$B:$B, 0)), "")</f>
        <v>ULIF00102/01/04LiquidFund101</v>
      </c>
      <c r="E3997" s="8" t="s">
        <v>339</v>
      </c>
      <c r="F3997" s="8" t="s">
        <v>4224</v>
      </c>
    </row>
    <row r="3998" spans="1:6" ht="60" x14ac:dyDescent="0.25">
      <c r="A3998" s="8" t="s">
        <v>125</v>
      </c>
      <c r="B3998" s="8" t="s">
        <v>141</v>
      </c>
      <c r="C3998" s="8" t="str">
        <f>IFERROR(_xlfn.XLOOKUP(TRIM(B3998),Lookup!$B$2:$B$1000,Lookup!$C$2:$C$1000),"")</f>
        <v>Debt</v>
      </c>
      <c r="D3998" s="8" t="str">
        <f>IFERROR(INDEX('nav master'!$C:$C, MATCH(B3998, 'nav master'!$B:$B, 0)), "")</f>
        <v>ULIF00102/01/04LiquidFund101</v>
      </c>
      <c r="E3998" s="8" t="s">
        <v>341</v>
      </c>
      <c r="F3998" s="8" t="s">
        <v>4225</v>
      </c>
    </row>
    <row r="3999" spans="1:6" ht="60" x14ac:dyDescent="0.25">
      <c r="A3999" s="8" t="s">
        <v>125</v>
      </c>
      <c r="B3999" s="8" t="s">
        <v>141</v>
      </c>
      <c r="C3999" s="8" t="str">
        <f>IFERROR(_xlfn.XLOOKUP(TRIM(B3999),Lookup!$B$2:$B$1000,Lookup!$C$2:$C$1000),"")</f>
        <v>Debt</v>
      </c>
      <c r="D3999" s="8" t="str">
        <f>IFERROR(INDEX('nav master'!$C:$C, MATCH(B3999, 'nav master'!$B:$B, 0)), "")</f>
        <v>ULIF00102/01/04LiquidFund101</v>
      </c>
      <c r="E3999" s="8" t="s">
        <v>343</v>
      </c>
      <c r="F3999" s="8" t="s">
        <v>4226</v>
      </c>
    </row>
    <row r="4000" spans="1:6" ht="60" x14ac:dyDescent="0.25">
      <c r="A4000" s="8" t="s">
        <v>125</v>
      </c>
      <c r="B4000" s="8" t="s">
        <v>141</v>
      </c>
      <c r="C4000" s="8" t="str">
        <f>IFERROR(_xlfn.XLOOKUP(TRIM(B4000),Lookup!$B$2:$B$1000,Lookup!$C$2:$C$1000),"")</f>
        <v>Debt</v>
      </c>
      <c r="D4000" s="8" t="str">
        <f>IFERROR(INDEX('nav master'!$C:$C, MATCH(B4000, 'nav master'!$B:$B, 0)), "")</f>
        <v>ULIF00102/01/04LiquidFund101</v>
      </c>
      <c r="E4000" s="8" t="s">
        <v>345</v>
      </c>
      <c r="F4000" s="8" t="s">
        <v>4227</v>
      </c>
    </row>
    <row r="4001" spans="1:6" ht="60" x14ac:dyDescent="0.25">
      <c r="A4001" s="8" t="s">
        <v>125</v>
      </c>
      <c r="B4001" s="8" t="s">
        <v>141</v>
      </c>
      <c r="C4001" s="8" t="str">
        <f>IFERROR(_xlfn.XLOOKUP(TRIM(B4001),Lookup!$B$2:$B$1000,Lookup!$C$2:$C$1000),"")</f>
        <v>Debt</v>
      </c>
      <c r="D4001" s="8" t="str">
        <f>IFERROR(INDEX('nav master'!$C:$C, MATCH(B4001, 'nav master'!$B:$B, 0)), "")</f>
        <v>ULIF00102/01/04LiquidFund101</v>
      </c>
      <c r="E4001" s="8" t="s">
        <v>347</v>
      </c>
      <c r="F4001" s="8" t="s">
        <v>4228</v>
      </c>
    </row>
    <row r="4002" spans="1:6" ht="60" x14ac:dyDescent="0.25">
      <c r="A4002" s="8" t="s">
        <v>125</v>
      </c>
      <c r="B4002" s="8" t="s">
        <v>141</v>
      </c>
      <c r="C4002" s="8" t="str">
        <f>IFERROR(_xlfn.XLOOKUP(TRIM(B4002),Lookup!$B$2:$B$1000,Lookup!$C$2:$C$1000),"")</f>
        <v>Debt</v>
      </c>
      <c r="D4002" s="8" t="str">
        <f>IFERROR(INDEX('nav master'!$C:$C, MATCH(B4002, 'nav master'!$B:$B, 0)), "")</f>
        <v>ULIF00102/01/04LiquidFund101</v>
      </c>
      <c r="E4002" s="8" t="s">
        <v>349</v>
      </c>
      <c r="F4002" s="8" t="s">
        <v>4229</v>
      </c>
    </row>
    <row r="4003" spans="1:6" ht="60" x14ac:dyDescent="0.25">
      <c r="A4003" s="8" t="s">
        <v>125</v>
      </c>
      <c r="B4003" s="8" t="s">
        <v>141</v>
      </c>
      <c r="C4003" s="8" t="str">
        <f>IFERROR(_xlfn.XLOOKUP(TRIM(B4003),Lookup!$B$2:$B$1000,Lookup!$C$2:$C$1000),"")</f>
        <v>Debt</v>
      </c>
      <c r="D4003" s="8" t="str">
        <f>IFERROR(INDEX('nav master'!$C:$C, MATCH(B4003, 'nav master'!$B:$B, 0)), "")</f>
        <v>ULIF00102/01/04LiquidFund101</v>
      </c>
      <c r="E4003" s="8" t="s">
        <v>351</v>
      </c>
      <c r="F4003" s="8" t="s">
        <v>4230</v>
      </c>
    </row>
    <row r="4004" spans="1:6" ht="60" x14ac:dyDescent="0.25">
      <c r="A4004" s="8" t="s">
        <v>125</v>
      </c>
      <c r="B4004" s="8" t="s">
        <v>141</v>
      </c>
      <c r="C4004" s="8" t="str">
        <f>IFERROR(_xlfn.XLOOKUP(TRIM(B4004),Lookup!$B$2:$B$1000,Lookup!$C$2:$C$1000),"")</f>
        <v>Debt</v>
      </c>
      <c r="D4004" s="8" t="str">
        <f>IFERROR(INDEX('nav master'!$C:$C, MATCH(B4004, 'nav master'!$B:$B, 0)), "")</f>
        <v>ULIF00102/01/04LiquidFund101</v>
      </c>
      <c r="E4004" s="8" t="s">
        <v>353</v>
      </c>
      <c r="F4004" s="8" t="s">
        <v>4231</v>
      </c>
    </row>
    <row r="4005" spans="1:6" ht="60" x14ac:dyDescent="0.25">
      <c r="A4005" s="8" t="s">
        <v>125</v>
      </c>
      <c r="B4005" s="8" t="s">
        <v>141</v>
      </c>
      <c r="C4005" s="8" t="str">
        <f>IFERROR(_xlfn.XLOOKUP(TRIM(B4005),Lookup!$B$2:$B$1000,Lookup!$C$2:$C$1000),"")</f>
        <v>Debt</v>
      </c>
      <c r="D4005" s="8" t="str">
        <f>IFERROR(INDEX('nav master'!$C:$C, MATCH(B4005, 'nav master'!$B:$B, 0)), "")</f>
        <v>ULIF00102/01/04LiquidFund101</v>
      </c>
      <c r="E4005" s="8" t="s">
        <v>355</v>
      </c>
      <c r="F4005" s="8" t="s">
        <v>4232</v>
      </c>
    </row>
    <row r="4006" spans="1:6" ht="60" x14ac:dyDescent="0.25">
      <c r="A4006" s="8" t="s">
        <v>125</v>
      </c>
      <c r="B4006" s="8" t="s">
        <v>141</v>
      </c>
      <c r="C4006" s="8" t="str">
        <f>IFERROR(_xlfn.XLOOKUP(TRIM(B4006),Lookup!$B$2:$B$1000,Lookup!$C$2:$C$1000),"")</f>
        <v>Debt</v>
      </c>
      <c r="D4006" s="8" t="str">
        <f>IFERROR(INDEX('nav master'!$C:$C, MATCH(B4006, 'nav master'!$B:$B, 0)), "")</f>
        <v>ULIF00102/01/04LiquidFund101</v>
      </c>
      <c r="E4006" s="8" t="s">
        <v>357</v>
      </c>
      <c r="F4006" s="8" t="s">
        <v>4233</v>
      </c>
    </row>
    <row r="4007" spans="1:6" ht="60" x14ac:dyDescent="0.25">
      <c r="A4007" s="8" t="s">
        <v>125</v>
      </c>
      <c r="B4007" s="8" t="s">
        <v>141</v>
      </c>
      <c r="C4007" s="8" t="str">
        <f>IFERROR(_xlfn.XLOOKUP(TRIM(B4007),Lookup!$B$2:$B$1000,Lookup!$C$2:$C$1000),"")</f>
        <v>Debt</v>
      </c>
      <c r="D4007" s="8" t="str">
        <f>IFERROR(INDEX('nav master'!$C:$C, MATCH(B4007, 'nav master'!$B:$B, 0)), "")</f>
        <v>ULIF00102/01/04LiquidFund101</v>
      </c>
      <c r="E4007" s="8" t="s">
        <v>359</v>
      </c>
      <c r="F4007" s="8" t="s">
        <v>4234</v>
      </c>
    </row>
    <row r="4008" spans="1:6" ht="60" x14ac:dyDescent="0.25">
      <c r="A4008" s="8" t="s">
        <v>125</v>
      </c>
      <c r="B4008" s="8" t="s">
        <v>141</v>
      </c>
      <c r="C4008" s="8" t="str">
        <f>IFERROR(_xlfn.XLOOKUP(TRIM(B4008),Lookup!$B$2:$B$1000,Lookup!$C$2:$C$1000),"")</f>
        <v>Debt</v>
      </c>
      <c r="D4008" s="8" t="str">
        <f>IFERROR(INDEX('nav master'!$C:$C, MATCH(B4008, 'nav master'!$B:$B, 0)), "")</f>
        <v>ULIF00102/01/04LiquidFund101</v>
      </c>
      <c r="E4008" s="8" t="s">
        <v>361</v>
      </c>
      <c r="F4008" s="8" t="s">
        <v>4235</v>
      </c>
    </row>
    <row r="4009" spans="1:6" ht="60" x14ac:dyDescent="0.25">
      <c r="A4009" s="8" t="s">
        <v>125</v>
      </c>
      <c r="B4009" s="8" t="s">
        <v>141</v>
      </c>
      <c r="C4009" s="8" t="str">
        <f>IFERROR(_xlfn.XLOOKUP(TRIM(B4009),Lookup!$B$2:$B$1000,Lookup!$C$2:$C$1000),"")</f>
        <v>Debt</v>
      </c>
      <c r="D4009" s="8" t="str">
        <f>IFERROR(INDEX('nav master'!$C:$C, MATCH(B4009, 'nav master'!$B:$B, 0)), "")</f>
        <v>ULIF00102/01/04LiquidFund101</v>
      </c>
      <c r="E4009" s="8" t="s">
        <v>363</v>
      </c>
      <c r="F4009" s="8" t="s">
        <v>4236</v>
      </c>
    </row>
    <row r="4010" spans="1:6" ht="60" x14ac:dyDescent="0.25">
      <c r="A4010" s="8" t="s">
        <v>125</v>
      </c>
      <c r="B4010" s="8" t="s">
        <v>141</v>
      </c>
      <c r="C4010" s="8" t="str">
        <f>IFERROR(_xlfn.XLOOKUP(TRIM(B4010),Lookup!$B$2:$B$1000,Lookup!$C$2:$C$1000),"")</f>
        <v>Debt</v>
      </c>
      <c r="D4010" s="8" t="str">
        <f>IFERROR(INDEX('nav master'!$C:$C, MATCH(B4010, 'nav master'!$B:$B, 0)), "")</f>
        <v>ULIF00102/01/04LiquidFund101</v>
      </c>
      <c r="E4010" s="8" t="s">
        <v>365</v>
      </c>
      <c r="F4010" s="8" t="s">
        <v>4237</v>
      </c>
    </row>
    <row r="4011" spans="1:6" ht="60" x14ac:dyDescent="0.25">
      <c r="A4011" s="8" t="s">
        <v>125</v>
      </c>
      <c r="B4011" s="8" t="s">
        <v>141</v>
      </c>
      <c r="C4011" s="8" t="str">
        <f>IFERROR(_xlfn.XLOOKUP(TRIM(B4011),Lookup!$B$2:$B$1000,Lookup!$C$2:$C$1000),"")</f>
        <v>Debt</v>
      </c>
      <c r="D4011" s="8" t="str">
        <f>IFERROR(INDEX('nav master'!$C:$C, MATCH(B4011, 'nav master'!$B:$B, 0)), "")</f>
        <v>ULIF00102/01/04LiquidFund101</v>
      </c>
      <c r="E4011" s="8" t="s">
        <v>367</v>
      </c>
      <c r="F4011" s="8" t="s">
        <v>4238</v>
      </c>
    </row>
    <row r="4012" spans="1:6" ht="60" x14ac:dyDescent="0.25">
      <c r="A4012" s="8" t="s">
        <v>125</v>
      </c>
      <c r="B4012" s="8" t="s">
        <v>141</v>
      </c>
      <c r="C4012" s="8" t="str">
        <f>IFERROR(_xlfn.XLOOKUP(TRIM(B4012),Lookup!$B$2:$B$1000,Lookup!$C$2:$C$1000),"")</f>
        <v>Debt</v>
      </c>
      <c r="D4012" s="8" t="str">
        <f>IFERROR(INDEX('nav master'!$C:$C, MATCH(B4012, 'nav master'!$B:$B, 0)), "")</f>
        <v>ULIF00102/01/04LiquidFund101</v>
      </c>
      <c r="E4012" s="8" t="s">
        <v>369</v>
      </c>
      <c r="F4012" s="8" t="s">
        <v>4239</v>
      </c>
    </row>
    <row r="4013" spans="1:6" ht="60" x14ac:dyDescent="0.25">
      <c r="A4013" s="8" t="s">
        <v>125</v>
      </c>
      <c r="B4013" s="8" t="s">
        <v>141</v>
      </c>
      <c r="C4013" s="8" t="str">
        <f>IFERROR(_xlfn.XLOOKUP(TRIM(B4013),Lookup!$B$2:$B$1000,Lookup!$C$2:$C$1000),"")</f>
        <v>Debt</v>
      </c>
      <c r="D4013" s="8" t="str">
        <f>IFERROR(INDEX('nav master'!$C:$C, MATCH(B4013, 'nav master'!$B:$B, 0)), "")</f>
        <v>ULIF00102/01/04LiquidFund101</v>
      </c>
      <c r="E4013" s="8" t="s">
        <v>371</v>
      </c>
      <c r="F4013" s="8" t="s">
        <v>4240</v>
      </c>
    </row>
    <row r="4014" spans="1:6" ht="60" x14ac:dyDescent="0.25">
      <c r="A4014" s="8" t="s">
        <v>125</v>
      </c>
      <c r="B4014" s="8" t="s">
        <v>141</v>
      </c>
      <c r="C4014" s="8" t="str">
        <f>IFERROR(_xlfn.XLOOKUP(TRIM(B4014),Lookup!$B$2:$B$1000,Lookup!$C$2:$C$1000),"")</f>
        <v>Debt</v>
      </c>
      <c r="D4014" s="8" t="str">
        <f>IFERROR(INDEX('nav master'!$C:$C, MATCH(B4014, 'nav master'!$B:$B, 0)), "")</f>
        <v>ULIF00102/01/04LiquidFund101</v>
      </c>
      <c r="E4014" s="8" t="s">
        <v>373</v>
      </c>
      <c r="F4014" s="8" t="s">
        <v>4241</v>
      </c>
    </row>
    <row r="4015" spans="1:6" ht="60" x14ac:dyDescent="0.25">
      <c r="A4015" s="8" t="s">
        <v>125</v>
      </c>
      <c r="B4015" s="8" t="s">
        <v>141</v>
      </c>
      <c r="C4015" s="8" t="str">
        <f>IFERROR(_xlfn.XLOOKUP(TRIM(B4015),Lookup!$B$2:$B$1000,Lookup!$C$2:$C$1000),"")</f>
        <v>Debt</v>
      </c>
      <c r="D4015" s="8" t="str">
        <f>IFERROR(INDEX('nav master'!$C:$C, MATCH(B4015, 'nav master'!$B:$B, 0)), "")</f>
        <v>ULIF00102/01/04LiquidFund101</v>
      </c>
      <c r="E4015" s="8" t="s">
        <v>375</v>
      </c>
      <c r="F4015" s="8" t="s">
        <v>4242</v>
      </c>
    </row>
    <row r="4016" spans="1:6" ht="60" x14ac:dyDescent="0.25">
      <c r="A4016" s="8" t="s">
        <v>125</v>
      </c>
      <c r="B4016" s="8" t="s">
        <v>141</v>
      </c>
      <c r="C4016" s="8" t="str">
        <f>IFERROR(_xlfn.XLOOKUP(TRIM(B4016),Lookup!$B$2:$B$1000,Lookup!$C$2:$C$1000),"")</f>
        <v>Debt</v>
      </c>
      <c r="D4016" s="8" t="str">
        <f>IFERROR(INDEX('nav master'!$C:$C, MATCH(B4016, 'nav master'!$B:$B, 0)), "")</f>
        <v>ULIF00102/01/04LiquidFund101</v>
      </c>
      <c r="E4016" s="8" t="s">
        <v>377</v>
      </c>
      <c r="F4016" s="8" t="s">
        <v>4243</v>
      </c>
    </row>
    <row r="4017" spans="1:6" ht="60" x14ac:dyDescent="0.25">
      <c r="A4017" s="8" t="s">
        <v>125</v>
      </c>
      <c r="B4017" s="8" t="s">
        <v>141</v>
      </c>
      <c r="C4017" s="8" t="str">
        <f>IFERROR(_xlfn.XLOOKUP(TRIM(B4017),Lookup!$B$2:$B$1000,Lookup!$C$2:$C$1000),"")</f>
        <v>Debt</v>
      </c>
      <c r="D4017" s="8" t="str">
        <f>IFERROR(INDEX('nav master'!$C:$C, MATCH(B4017, 'nav master'!$B:$B, 0)), "")</f>
        <v>ULIF00102/01/04LiquidFund101</v>
      </c>
      <c r="E4017" s="8" t="s">
        <v>379</v>
      </c>
      <c r="F4017" s="8" t="s">
        <v>4244</v>
      </c>
    </row>
    <row r="4018" spans="1:6" ht="60" x14ac:dyDescent="0.25">
      <c r="A4018" s="8" t="s">
        <v>125</v>
      </c>
      <c r="B4018" s="8" t="s">
        <v>141</v>
      </c>
      <c r="C4018" s="8" t="str">
        <f>IFERROR(_xlfn.XLOOKUP(TRIM(B4018),Lookup!$B$2:$B$1000,Lookup!$C$2:$C$1000),"")</f>
        <v>Debt</v>
      </c>
      <c r="D4018" s="8" t="str">
        <f>IFERROR(INDEX('nav master'!$C:$C, MATCH(B4018, 'nav master'!$B:$B, 0)), "")</f>
        <v>ULIF00102/01/04LiquidFund101</v>
      </c>
      <c r="E4018" s="8" t="s">
        <v>381</v>
      </c>
      <c r="F4018" s="8" t="s">
        <v>4245</v>
      </c>
    </row>
    <row r="4019" spans="1:6" ht="60" x14ac:dyDescent="0.25">
      <c r="A4019" s="8" t="s">
        <v>125</v>
      </c>
      <c r="B4019" s="8" t="s">
        <v>141</v>
      </c>
      <c r="C4019" s="8" t="str">
        <f>IFERROR(_xlfn.XLOOKUP(TRIM(B4019),Lookup!$B$2:$B$1000,Lookup!$C$2:$C$1000),"")</f>
        <v>Debt</v>
      </c>
      <c r="D4019" s="8" t="str">
        <f>IFERROR(INDEX('nav master'!$C:$C, MATCH(B4019, 'nav master'!$B:$B, 0)), "")</f>
        <v>ULIF00102/01/04LiquidFund101</v>
      </c>
      <c r="E4019" s="8" t="s">
        <v>383</v>
      </c>
      <c r="F4019" s="8" t="s">
        <v>4246</v>
      </c>
    </row>
    <row r="4020" spans="1:6" ht="60" x14ac:dyDescent="0.25">
      <c r="A4020" s="8" t="s">
        <v>125</v>
      </c>
      <c r="B4020" s="8" t="s">
        <v>141</v>
      </c>
      <c r="C4020" s="8" t="str">
        <f>IFERROR(_xlfn.XLOOKUP(TRIM(B4020),Lookup!$B$2:$B$1000,Lookup!$C$2:$C$1000),"")</f>
        <v>Debt</v>
      </c>
      <c r="D4020" s="8" t="str">
        <f>IFERROR(INDEX('nav master'!$C:$C, MATCH(B4020, 'nav master'!$B:$B, 0)), "")</f>
        <v>ULIF00102/01/04LiquidFund101</v>
      </c>
      <c r="E4020" s="8" t="s">
        <v>385</v>
      </c>
      <c r="F4020" s="8" t="s">
        <v>4247</v>
      </c>
    </row>
    <row r="4021" spans="1:6" ht="60" x14ac:dyDescent="0.25">
      <c r="A4021" s="8" t="s">
        <v>125</v>
      </c>
      <c r="B4021" s="8" t="s">
        <v>141</v>
      </c>
      <c r="C4021" s="8" t="str">
        <f>IFERROR(_xlfn.XLOOKUP(TRIM(B4021),Lookup!$B$2:$B$1000,Lookup!$C$2:$C$1000),"")</f>
        <v>Debt</v>
      </c>
      <c r="D4021" s="8" t="str">
        <f>IFERROR(INDEX('nav master'!$C:$C, MATCH(B4021, 'nav master'!$B:$B, 0)), "")</f>
        <v>ULIF00102/01/04LiquidFund101</v>
      </c>
      <c r="E4021" s="8" t="s">
        <v>387</v>
      </c>
      <c r="F4021" s="8" t="s">
        <v>4248</v>
      </c>
    </row>
    <row r="4022" spans="1:6" ht="60" x14ac:dyDescent="0.25">
      <c r="A4022" s="8" t="s">
        <v>125</v>
      </c>
      <c r="B4022" s="8" t="s">
        <v>141</v>
      </c>
      <c r="C4022" s="8" t="str">
        <f>IFERROR(_xlfn.XLOOKUP(TRIM(B4022),Lookup!$B$2:$B$1000,Lookup!$C$2:$C$1000),"")</f>
        <v>Debt</v>
      </c>
      <c r="D4022" s="8" t="str">
        <f>IFERROR(INDEX('nav master'!$C:$C, MATCH(B4022, 'nav master'!$B:$B, 0)), "")</f>
        <v>ULIF00102/01/04LiquidFund101</v>
      </c>
      <c r="E4022" s="8" t="s">
        <v>389</v>
      </c>
      <c r="F4022" s="8" t="s">
        <v>4249</v>
      </c>
    </row>
    <row r="4023" spans="1:6" ht="60" x14ac:dyDescent="0.25">
      <c r="A4023" s="8" t="s">
        <v>125</v>
      </c>
      <c r="B4023" s="8" t="s">
        <v>141</v>
      </c>
      <c r="C4023" s="8" t="str">
        <f>IFERROR(_xlfn.XLOOKUP(TRIM(B4023),Lookup!$B$2:$B$1000,Lookup!$C$2:$C$1000),"")</f>
        <v>Debt</v>
      </c>
      <c r="D4023" s="8" t="str">
        <f>IFERROR(INDEX('nav master'!$C:$C, MATCH(B4023, 'nav master'!$B:$B, 0)), "")</f>
        <v>ULIF00102/01/04LiquidFund101</v>
      </c>
      <c r="E4023" s="8" t="s">
        <v>391</v>
      </c>
      <c r="F4023" s="8" t="s">
        <v>4250</v>
      </c>
    </row>
    <row r="4024" spans="1:6" ht="60" x14ac:dyDescent="0.25">
      <c r="A4024" s="8" t="s">
        <v>125</v>
      </c>
      <c r="B4024" s="8" t="s">
        <v>141</v>
      </c>
      <c r="C4024" s="8" t="str">
        <f>IFERROR(_xlfn.XLOOKUP(TRIM(B4024),Lookup!$B$2:$B$1000,Lookup!$C$2:$C$1000),"")</f>
        <v>Debt</v>
      </c>
      <c r="D4024" s="8" t="str">
        <f>IFERROR(INDEX('nav master'!$C:$C, MATCH(B4024, 'nav master'!$B:$B, 0)), "")</f>
        <v>ULIF00102/01/04LiquidFund101</v>
      </c>
      <c r="E4024" s="8" t="s">
        <v>393</v>
      </c>
      <c r="F4024" s="8" t="s">
        <v>4251</v>
      </c>
    </row>
    <row r="4025" spans="1:6" ht="60" x14ac:dyDescent="0.25">
      <c r="A4025" s="8" t="s">
        <v>125</v>
      </c>
      <c r="B4025" s="8" t="s">
        <v>141</v>
      </c>
      <c r="C4025" s="8" t="str">
        <f>IFERROR(_xlfn.XLOOKUP(TRIM(B4025),Lookup!$B$2:$B$1000,Lookup!$C$2:$C$1000),"")</f>
        <v>Debt</v>
      </c>
      <c r="D4025" s="8" t="str">
        <f>IFERROR(INDEX('nav master'!$C:$C, MATCH(B4025, 'nav master'!$B:$B, 0)), "")</f>
        <v>ULIF00102/01/04LiquidFund101</v>
      </c>
      <c r="E4025" s="8" t="s">
        <v>395</v>
      </c>
      <c r="F4025" s="8" t="s">
        <v>4252</v>
      </c>
    </row>
    <row r="4026" spans="1:6" ht="60" x14ac:dyDescent="0.25">
      <c r="A4026" s="8" t="s">
        <v>125</v>
      </c>
      <c r="B4026" s="8" t="s">
        <v>141</v>
      </c>
      <c r="C4026" s="8" t="str">
        <f>IFERROR(_xlfn.XLOOKUP(TRIM(B4026),Lookup!$B$2:$B$1000,Lookup!$C$2:$C$1000),"")</f>
        <v>Debt</v>
      </c>
      <c r="D4026" s="8" t="str">
        <f>IFERROR(INDEX('nav master'!$C:$C, MATCH(B4026, 'nav master'!$B:$B, 0)), "")</f>
        <v>ULIF00102/01/04LiquidFund101</v>
      </c>
      <c r="E4026" s="8" t="s">
        <v>397</v>
      </c>
      <c r="F4026" s="8" t="s">
        <v>4253</v>
      </c>
    </row>
    <row r="4027" spans="1:6" ht="60" x14ac:dyDescent="0.25">
      <c r="A4027" s="8" t="s">
        <v>125</v>
      </c>
      <c r="B4027" s="8" t="s">
        <v>141</v>
      </c>
      <c r="C4027" s="8" t="str">
        <f>IFERROR(_xlfn.XLOOKUP(TRIM(B4027),Lookup!$B$2:$B$1000,Lookup!$C$2:$C$1000),"")</f>
        <v>Debt</v>
      </c>
      <c r="D4027" s="8" t="str">
        <f>IFERROR(INDEX('nav master'!$C:$C, MATCH(B4027, 'nav master'!$B:$B, 0)), "")</f>
        <v>ULIF00102/01/04LiquidFund101</v>
      </c>
      <c r="E4027" s="8" t="s">
        <v>399</v>
      </c>
      <c r="F4027" s="8" t="s">
        <v>4254</v>
      </c>
    </row>
    <row r="4028" spans="1:6" ht="60" x14ac:dyDescent="0.25">
      <c r="A4028" s="8" t="s">
        <v>125</v>
      </c>
      <c r="B4028" s="8" t="s">
        <v>141</v>
      </c>
      <c r="C4028" s="8" t="str">
        <f>IFERROR(_xlfn.XLOOKUP(TRIM(B4028),Lookup!$B$2:$B$1000,Lookup!$C$2:$C$1000),"")</f>
        <v>Debt</v>
      </c>
      <c r="D4028" s="8" t="str">
        <f>IFERROR(INDEX('nav master'!$C:$C, MATCH(B4028, 'nav master'!$B:$B, 0)), "")</f>
        <v>ULIF00102/01/04LiquidFund101</v>
      </c>
      <c r="E4028" s="8" t="s">
        <v>401</v>
      </c>
      <c r="F4028" s="8" t="s">
        <v>4255</v>
      </c>
    </row>
    <row r="4029" spans="1:6" ht="60" x14ac:dyDescent="0.25">
      <c r="A4029" s="8" t="s">
        <v>125</v>
      </c>
      <c r="B4029" s="8" t="s">
        <v>141</v>
      </c>
      <c r="C4029" s="8" t="str">
        <f>IFERROR(_xlfn.XLOOKUP(TRIM(B4029),Lookup!$B$2:$B$1000,Lookup!$C$2:$C$1000),"")</f>
        <v>Debt</v>
      </c>
      <c r="D4029" s="8" t="str">
        <f>IFERROR(INDEX('nav master'!$C:$C, MATCH(B4029, 'nav master'!$B:$B, 0)), "")</f>
        <v>ULIF00102/01/04LiquidFund101</v>
      </c>
      <c r="E4029" s="8" t="s">
        <v>403</v>
      </c>
      <c r="F4029" s="8" t="s">
        <v>4256</v>
      </c>
    </row>
    <row r="4030" spans="1:6" ht="60" x14ac:dyDescent="0.25">
      <c r="A4030" s="8" t="s">
        <v>125</v>
      </c>
      <c r="B4030" s="8" t="s">
        <v>141</v>
      </c>
      <c r="C4030" s="8" t="str">
        <f>IFERROR(_xlfn.XLOOKUP(TRIM(B4030),Lookup!$B$2:$B$1000,Lookup!$C$2:$C$1000),"")</f>
        <v>Debt</v>
      </c>
      <c r="D4030" s="8" t="str">
        <f>IFERROR(INDEX('nav master'!$C:$C, MATCH(B4030, 'nav master'!$B:$B, 0)), "")</f>
        <v>ULIF00102/01/04LiquidFund101</v>
      </c>
      <c r="E4030" s="8" t="s">
        <v>405</v>
      </c>
      <c r="F4030" s="8" t="s">
        <v>4257</v>
      </c>
    </row>
    <row r="4031" spans="1:6" ht="60" x14ac:dyDescent="0.25">
      <c r="A4031" s="8" t="s">
        <v>125</v>
      </c>
      <c r="B4031" s="8" t="s">
        <v>141</v>
      </c>
      <c r="C4031" s="8" t="str">
        <f>IFERROR(_xlfn.XLOOKUP(TRIM(B4031),Lookup!$B$2:$B$1000,Lookup!$C$2:$C$1000),"")</f>
        <v>Debt</v>
      </c>
      <c r="D4031" s="8" t="str">
        <f>IFERROR(INDEX('nav master'!$C:$C, MATCH(B4031, 'nav master'!$B:$B, 0)), "")</f>
        <v>ULIF00102/01/04LiquidFund101</v>
      </c>
      <c r="E4031" s="8" t="s">
        <v>407</v>
      </c>
      <c r="F4031" s="8" t="s">
        <v>4258</v>
      </c>
    </row>
    <row r="4032" spans="1:6" ht="60" x14ac:dyDescent="0.25">
      <c r="A4032" s="8" t="s">
        <v>125</v>
      </c>
      <c r="B4032" s="8" t="s">
        <v>141</v>
      </c>
      <c r="C4032" s="8" t="str">
        <f>IFERROR(_xlfn.XLOOKUP(TRIM(B4032),Lookup!$B$2:$B$1000,Lookup!$C$2:$C$1000),"")</f>
        <v>Debt</v>
      </c>
      <c r="D4032" s="8" t="str">
        <f>IFERROR(INDEX('nav master'!$C:$C, MATCH(B4032, 'nav master'!$B:$B, 0)), "")</f>
        <v>ULIF00102/01/04LiquidFund101</v>
      </c>
      <c r="E4032" s="8" t="s">
        <v>409</v>
      </c>
      <c r="F4032" s="8" t="s">
        <v>4259</v>
      </c>
    </row>
    <row r="4033" spans="1:6" ht="60" x14ac:dyDescent="0.25">
      <c r="A4033" s="8" t="s">
        <v>125</v>
      </c>
      <c r="B4033" s="8" t="s">
        <v>141</v>
      </c>
      <c r="C4033" s="8" t="str">
        <f>IFERROR(_xlfn.XLOOKUP(TRIM(B4033),Lookup!$B$2:$B$1000,Lookup!$C$2:$C$1000),"")</f>
        <v>Debt</v>
      </c>
      <c r="D4033" s="8" t="str">
        <f>IFERROR(INDEX('nav master'!$C:$C, MATCH(B4033, 'nav master'!$B:$B, 0)), "")</f>
        <v>ULIF00102/01/04LiquidFund101</v>
      </c>
      <c r="E4033" s="8" t="s">
        <v>411</v>
      </c>
      <c r="F4033" s="8" t="s">
        <v>4260</v>
      </c>
    </row>
    <row r="4034" spans="1:6" ht="60" x14ac:dyDescent="0.25">
      <c r="A4034" s="8" t="s">
        <v>125</v>
      </c>
      <c r="B4034" s="8" t="s">
        <v>141</v>
      </c>
      <c r="C4034" s="8" t="str">
        <f>IFERROR(_xlfn.XLOOKUP(TRIM(B4034),Lookup!$B$2:$B$1000,Lookup!$C$2:$C$1000),"")</f>
        <v>Debt</v>
      </c>
      <c r="D4034" s="8" t="str">
        <f>IFERROR(INDEX('nav master'!$C:$C, MATCH(B4034, 'nav master'!$B:$B, 0)), "")</f>
        <v>ULIF00102/01/04LiquidFund101</v>
      </c>
      <c r="E4034" s="8" t="s">
        <v>413</v>
      </c>
      <c r="F4034" s="8" t="s">
        <v>4261</v>
      </c>
    </row>
    <row r="4035" spans="1:6" ht="60" x14ac:dyDescent="0.25">
      <c r="A4035" s="8" t="s">
        <v>125</v>
      </c>
      <c r="B4035" s="8" t="s">
        <v>141</v>
      </c>
      <c r="C4035" s="8" t="str">
        <f>IFERROR(_xlfn.XLOOKUP(TRIM(B4035),Lookup!$B$2:$B$1000,Lookup!$C$2:$C$1000),"")</f>
        <v>Debt</v>
      </c>
      <c r="D4035" s="8" t="str">
        <f>IFERROR(INDEX('nav master'!$C:$C, MATCH(B4035, 'nav master'!$B:$B, 0)), "")</f>
        <v>ULIF00102/01/04LiquidFund101</v>
      </c>
      <c r="E4035" s="8" t="s">
        <v>415</v>
      </c>
      <c r="F4035" s="8" t="s">
        <v>4262</v>
      </c>
    </row>
    <row r="4036" spans="1:6" ht="60" x14ac:dyDescent="0.25">
      <c r="A4036" s="8" t="s">
        <v>125</v>
      </c>
      <c r="B4036" s="8" t="s">
        <v>141</v>
      </c>
      <c r="C4036" s="8" t="str">
        <f>IFERROR(_xlfn.XLOOKUP(TRIM(B4036),Lookup!$B$2:$B$1000,Lookup!$C$2:$C$1000),"")</f>
        <v>Debt</v>
      </c>
      <c r="D4036" s="8" t="str">
        <f>IFERROR(INDEX('nav master'!$C:$C, MATCH(B4036, 'nav master'!$B:$B, 0)), "")</f>
        <v>ULIF00102/01/04LiquidFund101</v>
      </c>
      <c r="E4036" s="8" t="s">
        <v>417</v>
      </c>
      <c r="F4036" s="8" t="s">
        <v>4263</v>
      </c>
    </row>
    <row r="4037" spans="1:6" ht="60" x14ac:dyDescent="0.25">
      <c r="A4037" s="8" t="s">
        <v>125</v>
      </c>
      <c r="B4037" s="8" t="s">
        <v>141</v>
      </c>
      <c r="C4037" s="8" t="str">
        <f>IFERROR(_xlfn.XLOOKUP(TRIM(B4037),Lookup!$B$2:$B$1000,Lookup!$C$2:$C$1000),"")</f>
        <v>Debt</v>
      </c>
      <c r="D4037" s="8" t="str">
        <f>IFERROR(INDEX('nav master'!$C:$C, MATCH(B4037, 'nav master'!$B:$B, 0)), "")</f>
        <v>ULIF00102/01/04LiquidFund101</v>
      </c>
      <c r="E4037" s="8" t="s">
        <v>419</v>
      </c>
      <c r="F4037" s="8" t="s">
        <v>4264</v>
      </c>
    </row>
    <row r="4038" spans="1:6" ht="60" x14ac:dyDescent="0.25">
      <c r="A4038" s="8" t="s">
        <v>125</v>
      </c>
      <c r="B4038" s="8" t="s">
        <v>141</v>
      </c>
      <c r="C4038" s="8" t="str">
        <f>IFERROR(_xlfn.XLOOKUP(TRIM(B4038),Lookup!$B$2:$B$1000,Lookup!$C$2:$C$1000),"")</f>
        <v>Debt</v>
      </c>
      <c r="D4038" s="8" t="str">
        <f>IFERROR(INDEX('nav master'!$C:$C, MATCH(B4038, 'nav master'!$B:$B, 0)), "")</f>
        <v>ULIF00102/01/04LiquidFund101</v>
      </c>
      <c r="E4038" s="8" t="s">
        <v>421</v>
      </c>
      <c r="F4038" s="8" t="s">
        <v>4265</v>
      </c>
    </row>
    <row r="4039" spans="1:6" ht="60" x14ac:dyDescent="0.25">
      <c r="A4039" s="8" t="s">
        <v>125</v>
      </c>
      <c r="B4039" s="8" t="s">
        <v>141</v>
      </c>
      <c r="C4039" s="8" t="str">
        <f>IFERROR(_xlfn.XLOOKUP(TRIM(B4039),Lookup!$B$2:$B$1000,Lookup!$C$2:$C$1000),"")</f>
        <v>Debt</v>
      </c>
      <c r="D4039" s="8" t="str">
        <f>IFERROR(INDEX('nav master'!$C:$C, MATCH(B4039, 'nav master'!$B:$B, 0)), "")</f>
        <v>ULIF00102/01/04LiquidFund101</v>
      </c>
      <c r="E4039" s="8" t="s">
        <v>423</v>
      </c>
      <c r="F4039" s="8" t="s">
        <v>4266</v>
      </c>
    </row>
    <row r="4040" spans="1:6" ht="60" x14ac:dyDescent="0.25">
      <c r="A4040" s="8" t="s">
        <v>125</v>
      </c>
      <c r="B4040" s="8" t="s">
        <v>141</v>
      </c>
      <c r="C4040" s="8" t="str">
        <f>IFERROR(_xlfn.XLOOKUP(TRIM(B4040),Lookup!$B$2:$B$1000,Lookup!$C$2:$C$1000),"")</f>
        <v>Debt</v>
      </c>
      <c r="D4040" s="8" t="str">
        <f>IFERROR(INDEX('nav master'!$C:$C, MATCH(B4040, 'nav master'!$B:$B, 0)), "")</f>
        <v>ULIF00102/01/04LiquidFund101</v>
      </c>
      <c r="E4040" s="8" t="s">
        <v>425</v>
      </c>
      <c r="F4040" s="8" t="s">
        <v>4267</v>
      </c>
    </row>
    <row r="4041" spans="1:6" ht="60" x14ac:dyDescent="0.25">
      <c r="A4041" s="8" t="s">
        <v>125</v>
      </c>
      <c r="B4041" s="8" t="s">
        <v>141</v>
      </c>
      <c r="C4041" s="8" t="str">
        <f>IFERROR(_xlfn.XLOOKUP(TRIM(B4041),Lookup!$B$2:$B$1000,Lookup!$C$2:$C$1000),"")</f>
        <v>Debt</v>
      </c>
      <c r="D4041" s="8" t="str">
        <f>IFERROR(INDEX('nav master'!$C:$C, MATCH(B4041, 'nav master'!$B:$B, 0)), "")</f>
        <v>ULIF00102/01/04LiquidFund101</v>
      </c>
      <c r="E4041" s="8" t="s">
        <v>427</v>
      </c>
      <c r="F4041" s="8" t="s">
        <v>4268</v>
      </c>
    </row>
    <row r="4042" spans="1:6" ht="60" x14ac:dyDescent="0.25">
      <c r="A4042" s="8" t="s">
        <v>125</v>
      </c>
      <c r="B4042" s="8" t="s">
        <v>141</v>
      </c>
      <c r="C4042" s="8" t="str">
        <f>IFERROR(_xlfn.XLOOKUP(TRIM(B4042),Lookup!$B$2:$B$1000,Lookup!$C$2:$C$1000),"")</f>
        <v>Debt</v>
      </c>
      <c r="D4042" s="8" t="str">
        <f>IFERROR(INDEX('nav master'!$C:$C, MATCH(B4042, 'nav master'!$B:$B, 0)), "")</f>
        <v>ULIF00102/01/04LiquidFund101</v>
      </c>
      <c r="E4042" s="8" t="s">
        <v>429</v>
      </c>
      <c r="F4042" s="8" t="s">
        <v>4269</v>
      </c>
    </row>
    <row r="4043" spans="1:6" ht="60" x14ac:dyDescent="0.25">
      <c r="A4043" s="8" t="s">
        <v>125</v>
      </c>
      <c r="B4043" s="8" t="s">
        <v>141</v>
      </c>
      <c r="C4043" s="8" t="str">
        <f>IFERROR(_xlfn.XLOOKUP(TRIM(B4043),Lookup!$B$2:$B$1000,Lookup!$C$2:$C$1000),"")</f>
        <v>Debt</v>
      </c>
      <c r="D4043" s="8" t="str">
        <f>IFERROR(INDEX('nav master'!$C:$C, MATCH(B4043, 'nav master'!$B:$B, 0)), "")</f>
        <v>ULIF00102/01/04LiquidFund101</v>
      </c>
      <c r="E4043" s="8" t="s">
        <v>431</v>
      </c>
      <c r="F4043" s="8" t="s">
        <v>4270</v>
      </c>
    </row>
    <row r="4044" spans="1:6" ht="60" x14ac:dyDescent="0.25">
      <c r="A4044" s="8" t="s">
        <v>125</v>
      </c>
      <c r="B4044" s="8" t="s">
        <v>141</v>
      </c>
      <c r="C4044" s="8" t="str">
        <f>IFERROR(_xlfn.XLOOKUP(TRIM(B4044),Lookup!$B$2:$B$1000,Lookup!$C$2:$C$1000),"")</f>
        <v>Debt</v>
      </c>
      <c r="D4044" s="8" t="str">
        <f>IFERROR(INDEX('nav master'!$C:$C, MATCH(B4044, 'nav master'!$B:$B, 0)), "")</f>
        <v>ULIF00102/01/04LiquidFund101</v>
      </c>
      <c r="E4044" s="8" t="s">
        <v>433</v>
      </c>
      <c r="F4044" s="8" t="s">
        <v>4271</v>
      </c>
    </row>
    <row r="4045" spans="1:6" ht="60" x14ac:dyDescent="0.25">
      <c r="A4045" s="8" t="s">
        <v>125</v>
      </c>
      <c r="B4045" s="8" t="s">
        <v>141</v>
      </c>
      <c r="C4045" s="8" t="str">
        <f>IFERROR(_xlfn.XLOOKUP(TRIM(B4045),Lookup!$B$2:$B$1000,Lookup!$C$2:$C$1000),"")</f>
        <v>Debt</v>
      </c>
      <c r="D4045" s="8" t="str">
        <f>IFERROR(INDEX('nav master'!$C:$C, MATCH(B4045, 'nav master'!$B:$B, 0)), "")</f>
        <v>ULIF00102/01/04LiquidFund101</v>
      </c>
      <c r="E4045" s="8" t="s">
        <v>435</v>
      </c>
      <c r="F4045" s="8" t="s">
        <v>4272</v>
      </c>
    </row>
    <row r="4046" spans="1:6" ht="60" x14ac:dyDescent="0.25">
      <c r="A4046" s="8" t="s">
        <v>125</v>
      </c>
      <c r="B4046" s="8" t="s">
        <v>141</v>
      </c>
      <c r="C4046" s="8" t="str">
        <f>IFERROR(_xlfn.XLOOKUP(TRIM(B4046),Lookup!$B$2:$B$1000,Lookup!$C$2:$C$1000),"")</f>
        <v>Debt</v>
      </c>
      <c r="D4046" s="8" t="str">
        <f>IFERROR(INDEX('nav master'!$C:$C, MATCH(B4046, 'nav master'!$B:$B, 0)), "")</f>
        <v>ULIF00102/01/04LiquidFund101</v>
      </c>
      <c r="E4046" s="8" t="s">
        <v>437</v>
      </c>
      <c r="F4046" s="8" t="s">
        <v>4273</v>
      </c>
    </row>
    <row r="4047" spans="1:6" ht="60" x14ac:dyDescent="0.25">
      <c r="A4047" s="8" t="s">
        <v>125</v>
      </c>
      <c r="B4047" s="8" t="s">
        <v>141</v>
      </c>
      <c r="C4047" s="8" t="str">
        <f>IFERROR(_xlfn.XLOOKUP(TRIM(B4047),Lookup!$B$2:$B$1000,Lookup!$C$2:$C$1000),"")</f>
        <v>Debt</v>
      </c>
      <c r="D4047" s="8" t="str">
        <f>IFERROR(INDEX('nav master'!$C:$C, MATCH(B4047, 'nav master'!$B:$B, 0)), "")</f>
        <v>ULIF00102/01/04LiquidFund101</v>
      </c>
      <c r="E4047" s="8" t="s">
        <v>439</v>
      </c>
      <c r="F4047" s="8" t="s">
        <v>4274</v>
      </c>
    </row>
    <row r="4048" spans="1:6" ht="60" x14ac:dyDescent="0.25">
      <c r="A4048" s="8" t="s">
        <v>125</v>
      </c>
      <c r="B4048" s="8" t="s">
        <v>141</v>
      </c>
      <c r="C4048" s="8" t="str">
        <f>IFERROR(_xlfn.XLOOKUP(TRIM(B4048),Lookup!$B$2:$B$1000,Lookup!$C$2:$C$1000),"")</f>
        <v>Debt</v>
      </c>
      <c r="D4048" s="8" t="str">
        <f>IFERROR(INDEX('nav master'!$C:$C, MATCH(B4048, 'nav master'!$B:$B, 0)), "")</f>
        <v>ULIF00102/01/04LiquidFund101</v>
      </c>
      <c r="E4048" s="8" t="s">
        <v>441</v>
      </c>
      <c r="F4048" s="8" t="s">
        <v>4275</v>
      </c>
    </row>
    <row r="4049" spans="1:6" ht="60" x14ac:dyDescent="0.25">
      <c r="A4049" s="8" t="s">
        <v>125</v>
      </c>
      <c r="B4049" s="8" t="s">
        <v>141</v>
      </c>
      <c r="C4049" s="8" t="str">
        <f>IFERROR(_xlfn.XLOOKUP(TRIM(B4049),Lookup!$B$2:$B$1000,Lookup!$C$2:$C$1000),"")</f>
        <v>Debt</v>
      </c>
      <c r="D4049" s="8" t="str">
        <f>IFERROR(INDEX('nav master'!$C:$C, MATCH(B4049, 'nav master'!$B:$B, 0)), "")</f>
        <v>ULIF00102/01/04LiquidFund101</v>
      </c>
      <c r="E4049" s="8" t="s">
        <v>443</v>
      </c>
      <c r="F4049" s="8" t="s">
        <v>4276</v>
      </c>
    </row>
    <row r="4050" spans="1:6" ht="60" x14ac:dyDescent="0.25">
      <c r="A4050" s="8" t="s">
        <v>125</v>
      </c>
      <c r="B4050" s="8" t="s">
        <v>141</v>
      </c>
      <c r="C4050" s="8" t="str">
        <f>IFERROR(_xlfn.XLOOKUP(TRIM(B4050),Lookup!$B$2:$B$1000,Lookup!$C$2:$C$1000),"")</f>
        <v>Debt</v>
      </c>
      <c r="D4050" s="8" t="str">
        <f>IFERROR(INDEX('nav master'!$C:$C, MATCH(B4050, 'nav master'!$B:$B, 0)), "")</f>
        <v>ULIF00102/01/04LiquidFund101</v>
      </c>
      <c r="E4050" s="8" t="s">
        <v>445</v>
      </c>
      <c r="F4050" s="8" t="s">
        <v>4277</v>
      </c>
    </row>
    <row r="4051" spans="1:6" ht="60" x14ac:dyDescent="0.25">
      <c r="A4051" s="8" t="s">
        <v>125</v>
      </c>
      <c r="B4051" s="8" t="s">
        <v>141</v>
      </c>
      <c r="C4051" s="8" t="str">
        <f>IFERROR(_xlfn.XLOOKUP(TRIM(B4051),Lookup!$B$2:$B$1000,Lookup!$C$2:$C$1000),"")</f>
        <v>Debt</v>
      </c>
      <c r="D4051" s="8" t="str">
        <f>IFERROR(INDEX('nav master'!$C:$C, MATCH(B4051, 'nav master'!$B:$B, 0)), "")</f>
        <v>ULIF00102/01/04LiquidFund101</v>
      </c>
      <c r="E4051" s="8" t="s">
        <v>446</v>
      </c>
      <c r="F4051" s="8" t="s">
        <v>4278</v>
      </c>
    </row>
    <row r="4052" spans="1:6" ht="60" x14ac:dyDescent="0.25">
      <c r="A4052" s="8" t="s">
        <v>125</v>
      </c>
      <c r="B4052" s="8" t="s">
        <v>141</v>
      </c>
      <c r="C4052" s="8" t="str">
        <f>IFERROR(_xlfn.XLOOKUP(TRIM(B4052),Lookup!$B$2:$B$1000,Lookup!$C$2:$C$1000),"")</f>
        <v>Debt</v>
      </c>
      <c r="D4052" s="8" t="str">
        <f>IFERROR(INDEX('nav master'!$C:$C, MATCH(B4052, 'nav master'!$B:$B, 0)), "")</f>
        <v>ULIF00102/01/04LiquidFund101</v>
      </c>
      <c r="E4052" s="8" t="s">
        <v>448</v>
      </c>
      <c r="F4052" s="8" t="s">
        <v>4279</v>
      </c>
    </row>
    <row r="4053" spans="1:6" ht="60" x14ac:dyDescent="0.25">
      <c r="A4053" s="8" t="s">
        <v>125</v>
      </c>
      <c r="B4053" s="8" t="s">
        <v>141</v>
      </c>
      <c r="C4053" s="8" t="str">
        <f>IFERROR(_xlfn.XLOOKUP(TRIM(B4053),Lookup!$B$2:$B$1000,Lookup!$C$2:$C$1000),"")</f>
        <v>Debt</v>
      </c>
      <c r="D4053" s="8" t="str">
        <f>IFERROR(INDEX('nav master'!$C:$C, MATCH(B4053, 'nav master'!$B:$B, 0)), "")</f>
        <v>ULIF00102/01/04LiquidFund101</v>
      </c>
      <c r="E4053" s="8" t="s">
        <v>450</v>
      </c>
      <c r="F4053" s="8" t="s">
        <v>4280</v>
      </c>
    </row>
    <row r="4054" spans="1:6" ht="60" x14ac:dyDescent="0.25">
      <c r="A4054" s="8" t="s">
        <v>125</v>
      </c>
      <c r="B4054" s="8" t="s">
        <v>141</v>
      </c>
      <c r="C4054" s="8" t="str">
        <f>IFERROR(_xlfn.XLOOKUP(TRIM(B4054),Lookup!$B$2:$B$1000,Lookup!$C$2:$C$1000),"")</f>
        <v>Debt</v>
      </c>
      <c r="D4054" s="8" t="str">
        <f>IFERROR(INDEX('nav master'!$C:$C, MATCH(B4054, 'nav master'!$B:$B, 0)), "")</f>
        <v>ULIF00102/01/04LiquidFund101</v>
      </c>
      <c r="E4054" s="8" t="s">
        <v>452</v>
      </c>
      <c r="F4054" s="8" t="s">
        <v>4281</v>
      </c>
    </row>
    <row r="4055" spans="1:6" ht="60" x14ac:dyDescent="0.25">
      <c r="A4055" s="8" t="s">
        <v>125</v>
      </c>
      <c r="B4055" s="8" t="s">
        <v>141</v>
      </c>
      <c r="C4055" s="8" t="str">
        <f>IFERROR(_xlfn.XLOOKUP(TRIM(B4055),Lookup!$B$2:$B$1000,Lookup!$C$2:$C$1000),"")</f>
        <v>Debt</v>
      </c>
      <c r="D4055" s="8" t="str">
        <f>IFERROR(INDEX('nav master'!$C:$C, MATCH(B4055, 'nav master'!$B:$B, 0)), "")</f>
        <v>ULIF00102/01/04LiquidFund101</v>
      </c>
      <c r="E4055" s="8" t="s">
        <v>454</v>
      </c>
      <c r="F4055" s="8" t="s">
        <v>4282</v>
      </c>
    </row>
    <row r="4056" spans="1:6" ht="60" x14ac:dyDescent="0.25">
      <c r="A4056" s="8" t="s">
        <v>125</v>
      </c>
      <c r="B4056" s="8" t="s">
        <v>141</v>
      </c>
      <c r="C4056" s="8" t="str">
        <f>IFERROR(_xlfn.XLOOKUP(TRIM(B4056),Lookup!$B$2:$B$1000,Lookup!$C$2:$C$1000),"")</f>
        <v>Debt</v>
      </c>
      <c r="D4056" s="8" t="str">
        <f>IFERROR(INDEX('nav master'!$C:$C, MATCH(B4056, 'nav master'!$B:$B, 0)), "")</f>
        <v>ULIF00102/01/04LiquidFund101</v>
      </c>
      <c r="E4056" s="8" t="s">
        <v>456</v>
      </c>
      <c r="F4056" s="8" t="s">
        <v>4283</v>
      </c>
    </row>
    <row r="4057" spans="1:6" ht="60" x14ac:dyDescent="0.25">
      <c r="A4057" s="8" t="s">
        <v>125</v>
      </c>
      <c r="B4057" s="8" t="s">
        <v>141</v>
      </c>
      <c r="C4057" s="8" t="str">
        <f>IFERROR(_xlfn.XLOOKUP(TRIM(B4057),Lookup!$B$2:$B$1000,Lookup!$C$2:$C$1000),"")</f>
        <v>Debt</v>
      </c>
      <c r="D4057" s="8" t="str">
        <f>IFERROR(INDEX('nav master'!$C:$C, MATCH(B4057, 'nav master'!$B:$B, 0)), "")</f>
        <v>ULIF00102/01/04LiquidFund101</v>
      </c>
      <c r="E4057" s="8" t="s">
        <v>458</v>
      </c>
      <c r="F4057" s="8" t="s">
        <v>4284</v>
      </c>
    </row>
    <row r="4058" spans="1:6" ht="60" x14ac:dyDescent="0.25">
      <c r="A4058" s="8" t="s">
        <v>125</v>
      </c>
      <c r="B4058" s="8" t="s">
        <v>141</v>
      </c>
      <c r="C4058" s="8" t="str">
        <f>IFERROR(_xlfn.XLOOKUP(TRIM(B4058),Lookup!$B$2:$B$1000,Lookup!$C$2:$C$1000),"")</f>
        <v>Debt</v>
      </c>
      <c r="D4058" s="8" t="str">
        <f>IFERROR(INDEX('nav master'!$C:$C, MATCH(B4058, 'nav master'!$B:$B, 0)), "")</f>
        <v>ULIF00102/01/04LiquidFund101</v>
      </c>
      <c r="E4058" s="8" t="s">
        <v>460</v>
      </c>
      <c r="F4058" s="8" t="s">
        <v>4285</v>
      </c>
    </row>
    <row r="4059" spans="1:6" ht="60" x14ac:dyDescent="0.25">
      <c r="A4059" s="8" t="s">
        <v>125</v>
      </c>
      <c r="B4059" s="8" t="s">
        <v>141</v>
      </c>
      <c r="C4059" s="8" t="str">
        <f>IFERROR(_xlfn.XLOOKUP(TRIM(B4059),Lookup!$B$2:$B$1000,Lookup!$C$2:$C$1000),"")</f>
        <v>Debt</v>
      </c>
      <c r="D4059" s="8" t="str">
        <f>IFERROR(INDEX('nav master'!$C:$C, MATCH(B4059, 'nav master'!$B:$B, 0)), "")</f>
        <v>ULIF00102/01/04LiquidFund101</v>
      </c>
      <c r="E4059" s="8" t="s">
        <v>462</v>
      </c>
      <c r="F4059" s="8" t="s">
        <v>4286</v>
      </c>
    </row>
    <row r="4060" spans="1:6" ht="60" x14ac:dyDescent="0.25">
      <c r="A4060" s="8" t="s">
        <v>125</v>
      </c>
      <c r="B4060" s="8" t="s">
        <v>141</v>
      </c>
      <c r="C4060" s="8" t="str">
        <f>IFERROR(_xlfn.XLOOKUP(TRIM(B4060),Lookup!$B$2:$B$1000,Lookup!$C$2:$C$1000),"")</f>
        <v>Debt</v>
      </c>
      <c r="D4060" s="8" t="str">
        <f>IFERROR(INDEX('nav master'!$C:$C, MATCH(B4060, 'nav master'!$B:$B, 0)), "")</f>
        <v>ULIF00102/01/04LiquidFund101</v>
      </c>
      <c r="E4060" s="8" t="s">
        <v>464</v>
      </c>
      <c r="F4060" s="8" t="s">
        <v>4287</v>
      </c>
    </row>
    <row r="4061" spans="1:6" ht="60" x14ac:dyDescent="0.25">
      <c r="A4061" s="8" t="s">
        <v>125</v>
      </c>
      <c r="B4061" s="8" t="s">
        <v>141</v>
      </c>
      <c r="C4061" s="8" t="str">
        <f>IFERROR(_xlfn.XLOOKUP(TRIM(B4061),Lookup!$B$2:$B$1000,Lookup!$C$2:$C$1000),"")</f>
        <v>Debt</v>
      </c>
      <c r="D4061" s="8" t="str">
        <f>IFERROR(INDEX('nav master'!$C:$C, MATCH(B4061, 'nav master'!$B:$B, 0)), "")</f>
        <v>ULIF00102/01/04LiquidFund101</v>
      </c>
      <c r="E4061" s="8" t="s">
        <v>466</v>
      </c>
      <c r="F4061" s="8" t="s">
        <v>4288</v>
      </c>
    </row>
    <row r="4062" spans="1:6" ht="60" x14ac:dyDescent="0.25">
      <c r="A4062" s="8" t="s">
        <v>125</v>
      </c>
      <c r="B4062" s="8" t="s">
        <v>141</v>
      </c>
      <c r="C4062" s="8" t="str">
        <f>IFERROR(_xlfn.XLOOKUP(TRIM(B4062),Lookup!$B$2:$B$1000,Lookup!$C$2:$C$1000),"")</f>
        <v>Debt</v>
      </c>
      <c r="D4062" s="8" t="str">
        <f>IFERROR(INDEX('nav master'!$C:$C, MATCH(B4062, 'nav master'!$B:$B, 0)), "")</f>
        <v>ULIF00102/01/04LiquidFund101</v>
      </c>
      <c r="E4062" s="8" t="s">
        <v>468</v>
      </c>
      <c r="F4062" s="8" t="s">
        <v>4289</v>
      </c>
    </row>
    <row r="4063" spans="1:6" ht="60" x14ac:dyDescent="0.25">
      <c r="A4063" s="8" t="s">
        <v>125</v>
      </c>
      <c r="B4063" s="8" t="s">
        <v>141</v>
      </c>
      <c r="C4063" s="8" t="str">
        <f>IFERROR(_xlfn.XLOOKUP(TRIM(B4063),Lookup!$B$2:$B$1000,Lookup!$C$2:$C$1000),"")</f>
        <v>Debt</v>
      </c>
      <c r="D4063" s="8" t="str">
        <f>IFERROR(INDEX('nav master'!$C:$C, MATCH(B4063, 'nav master'!$B:$B, 0)), "")</f>
        <v>ULIF00102/01/04LiquidFund101</v>
      </c>
      <c r="E4063" s="8" t="s">
        <v>470</v>
      </c>
      <c r="F4063" s="8" t="s">
        <v>4290</v>
      </c>
    </row>
    <row r="4064" spans="1:6" ht="60" x14ac:dyDescent="0.25">
      <c r="A4064" s="8" t="s">
        <v>125</v>
      </c>
      <c r="B4064" s="8" t="s">
        <v>141</v>
      </c>
      <c r="C4064" s="8" t="str">
        <f>IFERROR(_xlfn.XLOOKUP(TRIM(B4064),Lookup!$B$2:$B$1000,Lookup!$C$2:$C$1000),"")</f>
        <v>Debt</v>
      </c>
      <c r="D4064" s="8" t="str">
        <f>IFERROR(INDEX('nav master'!$C:$C, MATCH(B4064, 'nav master'!$B:$B, 0)), "")</f>
        <v>ULIF00102/01/04LiquidFund101</v>
      </c>
      <c r="E4064" s="8" t="s">
        <v>472</v>
      </c>
      <c r="F4064" s="8" t="s">
        <v>4291</v>
      </c>
    </row>
    <row r="4065" spans="1:6" ht="60" x14ac:dyDescent="0.25">
      <c r="A4065" s="8" t="s">
        <v>125</v>
      </c>
      <c r="B4065" s="8" t="s">
        <v>141</v>
      </c>
      <c r="C4065" s="8" t="str">
        <f>IFERROR(_xlfn.XLOOKUP(TRIM(B4065),Lookup!$B$2:$B$1000,Lookup!$C$2:$C$1000),"")</f>
        <v>Debt</v>
      </c>
      <c r="D4065" s="8" t="str">
        <f>IFERROR(INDEX('nav master'!$C:$C, MATCH(B4065, 'nav master'!$B:$B, 0)), "")</f>
        <v>ULIF00102/01/04LiquidFund101</v>
      </c>
      <c r="E4065" s="8" t="s">
        <v>474</v>
      </c>
      <c r="F4065" s="8" t="s">
        <v>4292</v>
      </c>
    </row>
    <row r="4066" spans="1:6" ht="60" x14ac:dyDescent="0.25">
      <c r="A4066" s="8" t="s">
        <v>125</v>
      </c>
      <c r="B4066" s="8" t="s">
        <v>141</v>
      </c>
      <c r="C4066" s="8" t="str">
        <f>IFERROR(_xlfn.XLOOKUP(TRIM(B4066),Lookup!$B$2:$B$1000,Lookup!$C$2:$C$1000),"")</f>
        <v>Debt</v>
      </c>
      <c r="D4066" s="8" t="str">
        <f>IFERROR(INDEX('nav master'!$C:$C, MATCH(B4066, 'nav master'!$B:$B, 0)), "")</f>
        <v>ULIF00102/01/04LiquidFund101</v>
      </c>
      <c r="E4066" s="8" t="s">
        <v>476</v>
      </c>
      <c r="F4066" s="8" t="s">
        <v>4293</v>
      </c>
    </row>
    <row r="4067" spans="1:6" ht="60" x14ac:dyDescent="0.25">
      <c r="A4067" s="8" t="s">
        <v>125</v>
      </c>
      <c r="B4067" s="8" t="s">
        <v>141</v>
      </c>
      <c r="C4067" s="8" t="str">
        <f>IFERROR(_xlfn.XLOOKUP(TRIM(B4067),Lookup!$B$2:$B$1000,Lookup!$C$2:$C$1000),"")</f>
        <v>Debt</v>
      </c>
      <c r="D4067" s="8" t="str">
        <f>IFERROR(INDEX('nav master'!$C:$C, MATCH(B4067, 'nav master'!$B:$B, 0)), "")</f>
        <v>ULIF00102/01/04LiquidFund101</v>
      </c>
      <c r="E4067" s="8" t="s">
        <v>478</v>
      </c>
      <c r="F4067" s="8" t="s">
        <v>4294</v>
      </c>
    </row>
    <row r="4068" spans="1:6" ht="60" x14ac:dyDescent="0.25">
      <c r="A4068" s="8" t="s">
        <v>125</v>
      </c>
      <c r="B4068" s="8" t="s">
        <v>141</v>
      </c>
      <c r="C4068" s="8" t="str">
        <f>IFERROR(_xlfn.XLOOKUP(TRIM(B4068),Lookup!$B$2:$B$1000,Lookup!$C$2:$C$1000),"")</f>
        <v>Debt</v>
      </c>
      <c r="D4068" s="8" t="str">
        <f>IFERROR(INDEX('nav master'!$C:$C, MATCH(B4068, 'nav master'!$B:$B, 0)), "")</f>
        <v>ULIF00102/01/04LiquidFund101</v>
      </c>
      <c r="E4068" s="8" t="s">
        <v>480</v>
      </c>
      <c r="F4068" s="8" t="s">
        <v>4295</v>
      </c>
    </row>
    <row r="4069" spans="1:6" ht="60" x14ac:dyDescent="0.25">
      <c r="A4069" s="8" t="s">
        <v>125</v>
      </c>
      <c r="B4069" s="8" t="s">
        <v>141</v>
      </c>
      <c r="C4069" s="8" t="str">
        <f>IFERROR(_xlfn.XLOOKUP(TRIM(B4069),Lookup!$B$2:$B$1000,Lookup!$C$2:$C$1000),"")</f>
        <v>Debt</v>
      </c>
      <c r="D4069" s="8" t="str">
        <f>IFERROR(INDEX('nav master'!$C:$C, MATCH(B4069, 'nav master'!$B:$B, 0)), "")</f>
        <v>ULIF00102/01/04LiquidFund101</v>
      </c>
      <c r="E4069" s="8" t="s">
        <v>482</v>
      </c>
      <c r="F4069" s="8" t="s">
        <v>4296</v>
      </c>
    </row>
    <row r="4070" spans="1:6" ht="60" x14ac:dyDescent="0.25">
      <c r="A4070" s="8" t="s">
        <v>125</v>
      </c>
      <c r="B4070" s="8" t="s">
        <v>141</v>
      </c>
      <c r="C4070" s="8" t="str">
        <f>IFERROR(_xlfn.XLOOKUP(TRIM(B4070),Lookup!$B$2:$B$1000,Lookup!$C$2:$C$1000),"")</f>
        <v>Debt</v>
      </c>
      <c r="D4070" s="8" t="str">
        <f>IFERROR(INDEX('nav master'!$C:$C, MATCH(B4070, 'nav master'!$B:$B, 0)), "")</f>
        <v>ULIF00102/01/04LiquidFund101</v>
      </c>
      <c r="E4070" s="8" t="s">
        <v>484</v>
      </c>
      <c r="F4070" s="8" t="s">
        <v>4297</v>
      </c>
    </row>
    <row r="4071" spans="1:6" ht="60" x14ac:dyDescent="0.25">
      <c r="A4071" s="8" t="s">
        <v>125</v>
      </c>
      <c r="B4071" s="8" t="s">
        <v>141</v>
      </c>
      <c r="C4071" s="8" t="str">
        <f>IFERROR(_xlfn.XLOOKUP(TRIM(B4071),Lookup!$B$2:$B$1000,Lookup!$C$2:$C$1000),"")</f>
        <v>Debt</v>
      </c>
      <c r="D4071" s="8" t="str">
        <f>IFERROR(INDEX('nav master'!$C:$C, MATCH(B4071, 'nav master'!$B:$B, 0)), "")</f>
        <v>ULIF00102/01/04LiquidFund101</v>
      </c>
      <c r="E4071" s="8" t="s">
        <v>486</v>
      </c>
      <c r="F4071" s="8" t="s">
        <v>4298</v>
      </c>
    </row>
    <row r="4072" spans="1:6" ht="60" x14ac:dyDescent="0.25">
      <c r="A4072" s="8" t="s">
        <v>125</v>
      </c>
      <c r="B4072" s="8" t="s">
        <v>141</v>
      </c>
      <c r="C4072" s="8" t="str">
        <f>IFERROR(_xlfn.XLOOKUP(TRIM(B4072),Lookup!$B$2:$B$1000,Lookup!$C$2:$C$1000),"")</f>
        <v>Debt</v>
      </c>
      <c r="D4072" s="8" t="str">
        <f>IFERROR(INDEX('nav master'!$C:$C, MATCH(B4072, 'nav master'!$B:$B, 0)), "")</f>
        <v>ULIF00102/01/04LiquidFund101</v>
      </c>
      <c r="E4072" s="8" t="s">
        <v>488</v>
      </c>
      <c r="F4072" s="8" t="s">
        <v>4299</v>
      </c>
    </row>
    <row r="4073" spans="1:6" ht="60" x14ac:dyDescent="0.25">
      <c r="A4073" s="8" t="s">
        <v>125</v>
      </c>
      <c r="B4073" s="8" t="s">
        <v>141</v>
      </c>
      <c r="C4073" s="8" t="str">
        <f>IFERROR(_xlfn.XLOOKUP(TRIM(B4073),Lookup!$B$2:$B$1000,Lookup!$C$2:$C$1000),"")</f>
        <v>Debt</v>
      </c>
      <c r="D4073" s="8" t="str">
        <f>IFERROR(INDEX('nav master'!$C:$C, MATCH(B4073, 'nav master'!$B:$B, 0)), "")</f>
        <v>ULIF00102/01/04LiquidFund101</v>
      </c>
      <c r="E4073" s="8" t="s">
        <v>490</v>
      </c>
      <c r="F4073" s="8" t="s">
        <v>4300</v>
      </c>
    </row>
    <row r="4074" spans="1:6" ht="60" x14ac:dyDescent="0.25">
      <c r="A4074" s="8" t="s">
        <v>125</v>
      </c>
      <c r="B4074" s="8" t="s">
        <v>141</v>
      </c>
      <c r="C4074" s="8" t="str">
        <f>IFERROR(_xlfn.XLOOKUP(TRIM(B4074),Lookup!$B$2:$B$1000,Lookup!$C$2:$C$1000),"")</f>
        <v>Debt</v>
      </c>
      <c r="D4074" s="8" t="str">
        <f>IFERROR(INDEX('nav master'!$C:$C, MATCH(B4074, 'nav master'!$B:$B, 0)), "")</f>
        <v>ULIF00102/01/04LiquidFund101</v>
      </c>
      <c r="E4074" s="8" t="s">
        <v>492</v>
      </c>
      <c r="F4074" s="8" t="s">
        <v>4301</v>
      </c>
    </row>
    <row r="4075" spans="1:6" ht="60" x14ac:dyDescent="0.25">
      <c r="A4075" s="8" t="s">
        <v>125</v>
      </c>
      <c r="B4075" s="8" t="s">
        <v>141</v>
      </c>
      <c r="C4075" s="8" t="str">
        <f>IFERROR(_xlfn.XLOOKUP(TRIM(B4075),Lookup!$B$2:$B$1000,Lookup!$C$2:$C$1000),"")</f>
        <v>Debt</v>
      </c>
      <c r="D4075" s="8" t="str">
        <f>IFERROR(INDEX('nav master'!$C:$C, MATCH(B4075, 'nav master'!$B:$B, 0)), "")</f>
        <v>ULIF00102/01/04LiquidFund101</v>
      </c>
      <c r="E4075" s="8" t="s">
        <v>494</v>
      </c>
      <c r="F4075" s="8" t="s">
        <v>4302</v>
      </c>
    </row>
    <row r="4076" spans="1:6" ht="60" x14ac:dyDescent="0.25">
      <c r="A4076" s="8" t="s">
        <v>125</v>
      </c>
      <c r="B4076" s="8" t="s">
        <v>141</v>
      </c>
      <c r="C4076" s="8" t="str">
        <f>IFERROR(_xlfn.XLOOKUP(TRIM(B4076),Lookup!$B$2:$B$1000,Lookup!$C$2:$C$1000),"")</f>
        <v>Debt</v>
      </c>
      <c r="D4076" s="8" t="str">
        <f>IFERROR(INDEX('nav master'!$C:$C, MATCH(B4076, 'nav master'!$B:$B, 0)), "")</f>
        <v>ULIF00102/01/04LiquidFund101</v>
      </c>
      <c r="E4076" s="8" t="s">
        <v>496</v>
      </c>
      <c r="F4076" s="8" t="s">
        <v>4303</v>
      </c>
    </row>
    <row r="4077" spans="1:6" ht="60" x14ac:dyDescent="0.25">
      <c r="A4077" s="8" t="s">
        <v>125</v>
      </c>
      <c r="B4077" s="8" t="s">
        <v>141</v>
      </c>
      <c r="C4077" s="8" t="str">
        <f>IFERROR(_xlfn.XLOOKUP(TRIM(B4077),Lookup!$B$2:$B$1000,Lookup!$C$2:$C$1000),"")</f>
        <v>Debt</v>
      </c>
      <c r="D4077" s="8" t="str">
        <f>IFERROR(INDEX('nav master'!$C:$C, MATCH(B4077, 'nav master'!$B:$B, 0)), "")</f>
        <v>ULIF00102/01/04LiquidFund101</v>
      </c>
      <c r="E4077" s="8" t="s">
        <v>498</v>
      </c>
      <c r="F4077" s="8" t="s">
        <v>4304</v>
      </c>
    </row>
    <row r="4078" spans="1:6" ht="60" x14ac:dyDescent="0.25">
      <c r="A4078" s="8" t="s">
        <v>125</v>
      </c>
      <c r="B4078" s="8" t="s">
        <v>141</v>
      </c>
      <c r="C4078" s="8" t="str">
        <f>IFERROR(_xlfn.XLOOKUP(TRIM(B4078),Lookup!$B$2:$B$1000,Lookup!$C$2:$C$1000),"")</f>
        <v>Debt</v>
      </c>
      <c r="D4078" s="8" t="str">
        <f>IFERROR(INDEX('nav master'!$C:$C, MATCH(B4078, 'nav master'!$B:$B, 0)), "")</f>
        <v>ULIF00102/01/04LiquidFund101</v>
      </c>
      <c r="E4078" s="8" t="s">
        <v>500</v>
      </c>
      <c r="F4078" s="8" t="s">
        <v>4305</v>
      </c>
    </row>
    <row r="4079" spans="1:6" ht="60" x14ac:dyDescent="0.25">
      <c r="A4079" s="8" t="s">
        <v>125</v>
      </c>
      <c r="B4079" s="8" t="s">
        <v>141</v>
      </c>
      <c r="C4079" s="8" t="str">
        <f>IFERROR(_xlfn.XLOOKUP(TRIM(B4079),Lookup!$B$2:$B$1000,Lookup!$C$2:$C$1000),"")</f>
        <v>Debt</v>
      </c>
      <c r="D4079" s="8" t="str">
        <f>IFERROR(INDEX('nav master'!$C:$C, MATCH(B4079, 'nav master'!$B:$B, 0)), "")</f>
        <v>ULIF00102/01/04LiquidFund101</v>
      </c>
      <c r="E4079" s="8" t="s">
        <v>502</v>
      </c>
      <c r="F4079" s="8" t="s">
        <v>4306</v>
      </c>
    </row>
    <row r="4080" spans="1:6" ht="60" x14ac:dyDescent="0.25">
      <c r="A4080" s="8" t="s">
        <v>125</v>
      </c>
      <c r="B4080" s="8" t="s">
        <v>141</v>
      </c>
      <c r="C4080" s="8" t="str">
        <f>IFERROR(_xlfn.XLOOKUP(TRIM(B4080),Lookup!$B$2:$B$1000,Lookup!$C$2:$C$1000),"")</f>
        <v>Debt</v>
      </c>
      <c r="D4080" s="8" t="str">
        <f>IFERROR(INDEX('nav master'!$C:$C, MATCH(B4080, 'nav master'!$B:$B, 0)), "")</f>
        <v>ULIF00102/01/04LiquidFund101</v>
      </c>
      <c r="E4080" s="8" t="s">
        <v>504</v>
      </c>
      <c r="F4080" s="8" t="s">
        <v>4307</v>
      </c>
    </row>
    <row r="4081" spans="1:6" ht="60" x14ac:dyDescent="0.25">
      <c r="A4081" s="8" t="s">
        <v>125</v>
      </c>
      <c r="B4081" s="8" t="s">
        <v>141</v>
      </c>
      <c r="C4081" s="8" t="str">
        <f>IFERROR(_xlfn.XLOOKUP(TRIM(B4081),Lookup!$B$2:$B$1000,Lookup!$C$2:$C$1000),"")</f>
        <v>Debt</v>
      </c>
      <c r="D4081" s="8" t="str">
        <f>IFERROR(INDEX('nav master'!$C:$C, MATCH(B4081, 'nav master'!$B:$B, 0)), "")</f>
        <v>ULIF00102/01/04LiquidFund101</v>
      </c>
      <c r="E4081" s="8" t="s">
        <v>506</v>
      </c>
      <c r="F4081" s="8" t="s">
        <v>4308</v>
      </c>
    </row>
    <row r="4082" spans="1:6" ht="60" x14ac:dyDescent="0.25">
      <c r="A4082" s="8" t="s">
        <v>125</v>
      </c>
      <c r="B4082" s="8" t="s">
        <v>141</v>
      </c>
      <c r="C4082" s="8" t="str">
        <f>IFERROR(_xlfn.XLOOKUP(TRIM(B4082),Lookup!$B$2:$B$1000,Lookup!$C$2:$C$1000),"")</f>
        <v>Debt</v>
      </c>
      <c r="D4082" s="8" t="str">
        <f>IFERROR(INDEX('nav master'!$C:$C, MATCH(B4082, 'nav master'!$B:$B, 0)), "")</f>
        <v>ULIF00102/01/04LiquidFund101</v>
      </c>
      <c r="E4082" s="8" t="s">
        <v>508</v>
      </c>
      <c r="F4082" s="8" t="s">
        <v>4309</v>
      </c>
    </row>
    <row r="4083" spans="1:6" ht="60" x14ac:dyDescent="0.25">
      <c r="A4083" s="8" t="s">
        <v>125</v>
      </c>
      <c r="B4083" s="8" t="s">
        <v>141</v>
      </c>
      <c r="C4083" s="8" t="str">
        <f>IFERROR(_xlfn.XLOOKUP(TRIM(B4083),Lookup!$B$2:$B$1000,Lookup!$C$2:$C$1000),"")</f>
        <v>Debt</v>
      </c>
      <c r="D4083" s="8" t="str">
        <f>IFERROR(INDEX('nav master'!$C:$C, MATCH(B4083, 'nav master'!$B:$B, 0)), "")</f>
        <v>ULIF00102/01/04LiquidFund101</v>
      </c>
      <c r="E4083" s="8" t="s">
        <v>510</v>
      </c>
      <c r="F4083" s="8" t="s">
        <v>4310</v>
      </c>
    </row>
    <row r="4084" spans="1:6" ht="60" x14ac:dyDescent="0.25">
      <c r="A4084" s="8" t="s">
        <v>125</v>
      </c>
      <c r="B4084" s="8" t="s">
        <v>141</v>
      </c>
      <c r="C4084" s="8" t="str">
        <f>IFERROR(_xlfn.XLOOKUP(TRIM(B4084),Lookup!$B$2:$B$1000,Lookup!$C$2:$C$1000),"")</f>
        <v>Debt</v>
      </c>
      <c r="D4084" s="8" t="str">
        <f>IFERROR(INDEX('nav master'!$C:$C, MATCH(B4084, 'nav master'!$B:$B, 0)), "")</f>
        <v>ULIF00102/01/04LiquidFund101</v>
      </c>
      <c r="E4084" s="8" t="s">
        <v>512</v>
      </c>
      <c r="F4084" s="8" t="s">
        <v>4311</v>
      </c>
    </row>
    <row r="4085" spans="1:6" ht="60" x14ac:dyDescent="0.25">
      <c r="A4085" s="8" t="s">
        <v>125</v>
      </c>
      <c r="B4085" s="8" t="s">
        <v>141</v>
      </c>
      <c r="C4085" s="8" t="str">
        <f>IFERROR(_xlfn.XLOOKUP(TRIM(B4085),Lookup!$B$2:$B$1000,Lookup!$C$2:$C$1000),"")</f>
        <v>Debt</v>
      </c>
      <c r="D4085" s="8" t="str">
        <f>IFERROR(INDEX('nav master'!$C:$C, MATCH(B4085, 'nav master'!$B:$B, 0)), "")</f>
        <v>ULIF00102/01/04LiquidFund101</v>
      </c>
      <c r="E4085" s="8" t="s">
        <v>514</v>
      </c>
      <c r="F4085" s="8" t="s">
        <v>4312</v>
      </c>
    </row>
    <row r="4086" spans="1:6" ht="60" x14ac:dyDescent="0.25">
      <c r="A4086" s="8" t="s">
        <v>125</v>
      </c>
      <c r="B4086" s="8" t="s">
        <v>141</v>
      </c>
      <c r="C4086" s="8" t="str">
        <f>IFERROR(_xlfn.XLOOKUP(TRIM(B4086),Lookup!$B$2:$B$1000,Lookup!$C$2:$C$1000),"")</f>
        <v>Debt</v>
      </c>
      <c r="D4086" s="8" t="str">
        <f>IFERROR(INDEX('nav master'!$C:$C, MATCH(B4086, 'nav master'!$B:$B, 0)), "")</f>
        <v>ULIF00102/01/04LiquidFund101</v>
      </c>
      <c r="E4086" s="8" t="s">
        <v>516</v>
      </c>
      <c r="F4086" s="8" t="s">
        <v>4313</v>
      </c>
    </row>
    <row r="4087" spans="1:6" ht="60" x14ac:dyDescent="0.25">
      <c r="A4087" s="8" t="s">
        <v>125</v>
      </c>
      <c r="B4087" s="8" t="s">
        <v>141</v>
      </c>
      <c r="C4087" s="8" t="str">
        <f>IFERROR(_xlfn.XLOOKUP(TRIM(B4087),Lookup!$B$2:$B$1000,Lookup!$C$2:$C$1000),"")</f>
        <v>Debt</v>
      </c>
      <c r="D4087" s="8" t="str">
        <f>IFERROR(INDEX('nav master'!$C:$C, MATCH(B4087, 'nav master'!$B:$B, 0)), "")</f>
        <v>ULIF00102/01/04LiquidFund101</v>
      </c>
      <c r="E4087" s="8" t="s">
        <v>518</v>
      </c>
      <c r="F4087" s="8" t="s">
        <v>4314</v>
      </c>
    </row>
    <row r="4088" spans="1:6" ht="60" x14ac:dyDescent="0.25">
      <c r="A4088" s="8" t="s">
        <v>125</v>
      </c>
      <c r="B4088" s="8" t="s">
        <v>141</v>
      </c>
      <c r="C4088" s="8" t="str">
        <f>IFERROR(_xlfn.XLOOKUP(TRIM(B4088),Lookup!$B$2:$B$1000,Lookup!$C$2:$C$1000),"")</f>
        <v>Debt</v>
      </c>
      <c r="D4088" s="8" t="str">
        <f>IFERROR(INDEX('nav master'!$C:$C, MATCH(B4088, 'nav master'!$B:$B, 0)), "")</f>
        <v>ULIF00102/01/04LiquidFund101</v>
      </c>
      <c r="E4088" s="8" t="s">
        <v>520</v>
      </c>
      <c r="F4088" s="8" t="s">
        <v>4315</v>
      </c>
    </row>
    <row r="4089" spans="1:6" ht="60" x14ac:dyDescent="0.25">
      <c r="A4089" s="8" t="s">
        <v>125</v>
      </c>
      <c r="B4089" s="8" t="s">
        <v>141</v>
      </c>
      <c r="C4089" s="8" t="str">
        <f>IFERROR(_xlfn.XLOOKUP(TRIM(B4089),Lookup!$B$2:$B$1000,Lookup!$C$2:$C$1000),"")</f>
        <v>Debt</v>
      </c>
      <c r="D4089" s="8" t="str">
        <f>IFERROR(INDEX('nav master'!$C:$C, MATCH(B4089, 'nav master'!$B:$B, 0)), "")</f>
        <v>ULIF00102/01/04LiquidFund101</v>
      </c>
      <c r="E4089" s="8" t="s">
        <v>522</v>
      </c>
      <c r="F4089" s="8" t="s">
        <v>4316</v>
      </c>
    </row>
    <row r="4090" spans="1:6" ht="60" x14ac:dyDescent="0.25">
      <c r="A4090" s="8" t="s">
        <v>125</v>
      </c>
      <c r="B4090" s="8" t="s">
        <v>141</v>
      </c>
      <c r="C4090" s="8" t="str">
        <f>IFERROR(_xlfn.XLOOKUP(TRIM(B4090),Lookup!$B$2:$B$1000,Lookup!$C$2:$C$1000),"")</f>
        <v>Debt</v>
      </c>
      <c r="D4090" s="8" t="str">
        <f>IFERROR(INDEX('nav master'!$C:$C, MATCH(B4090, 'nav master'!$B:$B, 0)), "")</f>
        <v>ULIF00102/01/04LiquidFund101</v>
      </c>
      <c r="E4090" s="8" t="s">
        <v>524</v>
      </c>
      <c r="F4090" s="8" t="s">
        <v>4317</v>
      </c>
    </row>
    <row r="4091" spans="1:6" ht="60" x14ac:dyDescent="0.25">
      <c r="A4091" s="8" t="s">
        <v>125</v>
      </c>
      <c r="B4091" s="8" t="s">
        <v>141</v>
      </c>
      <c r="C4091" s="8" t="str">
        <f>IFERROR(_xlfn.XLOOKUP(TRIM(B4091),Lookup!$B$2:$B$1000,Lookup!$C$2:$C$1000),"")</f>
        <v>Debt</v>
      </c>
      <c r="D4091" s="8" t="str">
        <f>IFERROR(INDEX('nav master'!$C:$C, MATCH(B4091, 'nav master'!$B:$B, 0)), "")</f>
        <v>ULIF00102/01/04LiquidFund101</v>
      </c>
      <c r="E4091" s="8" t="s">
        <v>526</v>
      </c>
      <c r="F4091" s="8" t="s">
        <v>4318</v>
      </c>
    </row>
    <row r="4092" spans="1:6" ht="60" x14ac:dyDescent="0.25">
      <c r="A4092" s="8" t="s">
        <v>125</v>
      </c>
      <c r="B4092" s="8" t="s">
        <v>141</v>
      </c>
      <c r="C4092" s="8" t="str">
        <f>IFERROR(_xlfn.XLOOKUP(TRIM(B4092),Lookup!$B$2:$B$1000,Lookup!$C$2:$C$1000),"")</f>
        <v>Debt</v>
      </c>
      <c r="D4092" s="8" t="str">
        <f>IFERROR(INDEX('nav master'!$C:$C, MATCH(B4092, 'nav master'!$B:$B, 0)), "")</f>
        <v>ULIF00102/01/04LiquidFund101</v>
      </c>
      <c r="E4092" s="8" t="s">
        <v>528</v>
      </c>
      <c r="F4092" s="8" t="s">
        <v>4319</v>
      </c>
    </row>
    <row r="4093" spans="1:6" ht="60" x14ac:dyDescent="0.25">
      <c r="A4093" s="8" t="s">
        <v>125</v>
      </c>
      <c r="B4093" s="8" t="s">
        <v>141</v>
      </c>
      <c r="C4093" s="8" t="str">
        <f>IFERROR(_xlfn.XLOOKUP(TRIM(B4093),Lookup!$B$2:$B$1000,Lookup!$C$2:$C$1000),"")</f>
        <v>Debt</v>
      </c>
      <c r="D4093" s="8" t="str">
        <f>IFERROR(INDEX('nav master'!$C:$C, MATCH(B4093, 'nav master'!$B:$B, 0)), "")</f>
        <v>ULIF00102/01/04LiquidFund101</v>
      </c>
      <c r="E4093" s="8" t="s">
        <v>530</v>
      </c>
      <c r="F4093" s="8" t="s">
        <v>4320</v>
      </c>
    </row>
    <row r="4094" spans="1:6" ht="60" x14ac:dyDescent="0.25">
      <c r="A4094" s="8" t="s">
        <v>125</v>
      </c>
      <c r="B4094" s="8" t="s">
        <v>141</v>
      </c>
      <c r="C4094" s="8" t="str">
        <f>IFERROR(_xlfn.XLOOKUP(TRIM(B4094),Lookup!$B$2:$B$1000,Lookup!$C$2:$C$1000),"")</f>
        <v>Debt</v>
      </c>
      <c r="D4094" s="8" t="str">
        <f>IFERROR(INDEX('nav master'!$C:$C, MATCH(B4094, 'nav master'!$B:$B, 0)), "")</f>
        <v>ULIF00102/01/04LiquidFund101</v>
      </c>
      <c r="E4094" s="8" t="s">
        <v>532</v>
      </c>
      <c r="F4094" s="8" t="s">
        <v>4321</v>
      </c>
    </row>
    <row r="4095" spans="1:6" ht="60" x14ac:dyDescent="0.25">
      <c r="A4095" s="8" t="s">
        <v>125</v>
      </c>
      <c r="B4095" s="8" t="s">
        <v>141</v>
      </c>
      <c r="C4095" s="8" t="str">
        <f>IFERROR(_xlfn.XLOOKUP(TRIM(B4095),Lookup!$B$2:$B$1000,Lookup!$C$2:$C$1000),"")</f>
        <v>Debt</v>
      </c>
      <c r="D4095" s="8" t="str">
        <f>IFERROR(INDEX('nav master'!$C:$C, MATCH(B4095, 'nav master'!$B:$B, 0)), "")</f>
        <v>ULIF00102/01/04LiquidFund101</v>
      </c>
      <c r="E4095" s="8" t="s">
        <v>534</v>
      </c>
      <c r="F4095" s="8" t="s">
        <v>4322</v>
      </c>
    </row>
    <row r="4096" spans="1:6" ht="60" x14ac:dyDescent="0.25">
      <c r="A4096" s="8" t="s">
        <v>125</v>
      </c>
      <c r="B4096" s="8" t="s">
        <v>141</v>
      </c>
      <c r="C4096" s="8" t="str">
        <f>IFERROR(_xlfn.XLOOKUP(TRIM(B4096),Lookup!$B$2:$B$1000,Lookup!$C$2:$C$1000),"")</f>
        <v>Debt</v>
      </c>
      <c r="D4096" s="8" t="str">
        <f>IFERROR(INDEX('nav master'!$C:$C, MATCH(B4096, 'nav master'!$B:$B, 0)), "")</f>
        <v>ULIF00102/01/04LiquidFund101</v>
      </c>
      <c r="E4096" s="8" t="s">
        <v>536</v>
      </c>
      <c r="F4096" s="8" t="s">
        <v>4323</v>
      </c>
    </row>
    <row r="4097" spans="1:6" ht="60" x14ac:dyDescent="0.25">
      <c r="A4097" s="8" t="s">
        <v>125</v>
      </c>
      <c r="B4097" s="8" t="s">
        <v>141</v>
      </c>
      <c r="C4097" s="8" t="str">
        <f>IFERROR(_xlfn.XLOOKUP(TRIM(B4097),Lookup!$B$2:$B$1000,Lookup!$C$2:$C$1000),"")</f>
        <v>Debt</v>
      </c>
      <c r="D4097" s="8" t="str">
        <f>IFERROR(INDEX('nav master'!$C:$C, MATCH(B4097, 'nav master'!$B:$B, 0)), "")</f>
        <v>ULIF00102/01/04LiquidFund101</v>
      </c>
      <c r="E4097" s="8" t="s">
        <v>538</v>
      </c>
      <c r="F4097" s="8" t="s">
        <v>4324</v>
      </c>
    </row>
    <row r="4098" spans="1:6" ht="60" x14ac:dyDescent="0.25">
      <c r="A4098" s="8" t="s">
        <v>125</v>
      </c>
      <c r="B4098" s="8" t="s">
        <v>141</v>
      </c>
      <c r="C4098" s="8" t="str">
        <f>IFERROR(_xlfn.XLOOKUP(TRIM(B4098),Lookup!$B$2:$B$1000,Lookup!$C$2:$C$1000),"")</f>
        <v>Debt</v>
      </c>
      <c r="D4098" s="8" t="str">
        <f>IFERROR(INDEX('nav master'!$C:$C, MATCH(B4098, 'nav master'!$B:$B, 0)), "")</f>
        <v>ULIF00102/01/04LiquidFund101</v>
      </c>
      <c r="E4098" s="8" t="s">
        <v>540</v>
      </c>
      <c r="F4098" s="8" t="s">
        <v>4325</v>
      </c>
    </row>
    <row r="4099" spans="1:6" ht="60" x14ac:dyDescent="0.25">
      <c r="A4099" s="8" t="s">
        <v>125</v>
      </c>
      <c r="B4099" s="8" t="s">
        <v>141</v>
      </c>
      <c r="C4099" s="8" t="str">
        <f>IFERROR(_xlfn.XLOOKUP(TRIM(B4099),Lookup!$B$2:$B$1000,Lookup!$C$2:$C$1000),"")</f>
        <v>Debt</v>
      </c>
      <c r="D4099" s="8" t="str">
        <f>IFERROR(INDEX('nav master'!$C:$C, MATCH(B4099, 'nav master'!$B:$B, 0)), "")</f>
        <v>ULIF00102/01/04LiquidFund101</v>
      </c>
      <c r="E4099" s="8" t="s">
        <v>542</v>
      </c>
      <c r="F4099" s="8" t="s">
        <v>4326</v>
      </c>
    </row>
    <row r="4100" spans="1:6" ht="60" x14ac:dyDescent="0.25">
      <c r="A4100" s="8" t="s">
        <v>125</v>
      </c>
      <c r="B4100" s="8" t="s">
        <v>141</v>
      </c>
      <c r="C4100" s="8" t="str">
        <f>IFERROR(_xlfn.XLOOKUP(TRIM(B4100),Lookup!$B$2:$B$1000,Lookup!$C$2:$C$1000),"")</f>
        <v>Debt</v>
      </c>
      <c r="D4100" s="8" t="str">
        <f>IFERROR(INDEX('nav master'!$C:$C, MATCH(B4100, 'nav master'!$B:$B, 0)), "")</f>
        <v>ULIF00102/01/04LiquidFund101</v>
      </c>
      <c r="E4100" s="8" t="s">
        <v>544</v>
      </c>
      <c r="F4100" s="8" t="s">
        <v>4327</v>
      </c>
    </row>
    <row r="4101" spans="1:6" ht="60" x14ac:dyDescent="0.25">
      <c r="A4101" s="8" t="s">
        <v>125</v>
      </c>
      <c r="B4101" s="8" t="s">
        <v>141</v>
      </c>
      <c r="C4101" s="8" t="str">
        <f>IFERROR(_xlfn.XLOOKUP(TRIM(B4101),Lookup!$B$2:$B$1000,Lookup!$C$2:$C$1000),"")</f>
        <v>Debt</v>
      </c>
      <c r="D4101" s="8" t="str">
        <f>IFERROR(INDEX('nav master'!$C:$C, MATCH(B4101, 'nav master'!$B:$B, 0)), "")</f>
        <v>ULIF00102/01/04LiquidFund101</v>
      </c>
      <c r="E4101" s="8" t="s">
        <v>546</v>
      </c>
      <c r="F4101" s="8" t="s">
        <v>4328</v>
      </c>
    </row>
    <row r="4102" spans="1:6" ht="60" x14ac:dyDescent="0.25">
      <c r="A4102" s="8" t="s">
        <v>125</v>
      </c>
      <c r="B4102" s="8" t="s">
        <v>141</v>
      </c>
      <c r="C4102" s="8" t="str">
        <f>IFERROR(_xlfn.XLOOKUP(TRIM(B4102),Lookup!$B$2:$B$1000,Lookup!$C$2:$C$1000),"")</f>
        <v>Debt</v>
      </c>
      <c r="D4102" s="8" t="str">
        <f>IFERROR(INDEX('nav master'!$C:$C, MATCH(B4102, 'nav master'!$B:$B, 0)), "")</f>
        <v>ULIF00102/01/04LiquidFund101</v>
      </c>
      <c r="E4102" s="8" t="s">
        <v>548</v>
      </c>
      <c r="F4102" s="8" t="s">
        <v>4329</v>
      </c>
    </row>
    <row r="4103" spans="1:6" ht="60" x14ac:dyDescent="0.25">
      <c r="A4103" s="8" t="s">
        <v>125</v>
      </c>
      <c r="B4103" s="8" t="s">
        <v>141</v>
      </c>
      <c r="C4103" s="8" t="str">
        <f>IFERROR(_xlfn.XLOOKUP(TRIM(B4103),Lookup!$B$2:$B$1000,Lookup!$C$2:$C$1000),"")</f>
        <v>Debt</v>
      </c>
      <c r="D4103" s="8" t="str">
        <f>IFERROR(INDEX('nav master'!$C:$C, MATCH(B4103, 'nav master'!$B:$B, 0)), "")</f>
        <v>ULIF00102/01/04LiquidFund101</v>
      </c>
      <c r="E4103" s="8" t="s">
        <v>550</v>
      </c>
      <c r="F4103" s="8" t="s">
        <v>4330</v>
      </c>
    </row>
    <row r="4104" spans="1:6" ht="60" x14ac:dyDescent="0.25">
      <c r="A4104" s="8" t="s">
        <v>125</v>
      </c>
      <c r="B4104" s="8" t="s">
        <v>141</v>
      </c>
      <c r="C4104" s="8" t="str">
        <f>IFERROR(_xlfn.XLOOKUP(TRIM(B4104),Lookup!$B$2:$B$1000,Lookup!$C$2:$C$1000),"")</f>
        <v>Debt</v>
      </c>
      <c r="D4104" s="8" t="str">
        <f>IFERROR(INDEX('nav master'!$C:$C, MATCH(B4104, 'nav master'!$B:$B, 0)), "")</f>
        <v>ULIF00102/01/04LiquidFund101</v>
      </c>
      <c r="E4104" s="8" t="s">
        <v>552</v>
      </c>
      <c r="F4104" s="8" t="s">
        <v>4331</v>
      </c>
    </row>
    <row r="4105" spans="1:6" ht="60" x14ac:dyDescent="0.25">
      <c r="A4105" s="8" t="s">
        <v>125</v>
      </c>
      <c r="B4105" s="8" t="s">
        <v>141</v>
      </c>
      <c r="C4105" s="8" t="str">
        <f>IFERROR(_xlfn.XLOOKUP(TRIM(B4105),Lookup!$B$2:$B$1000,Lookup!$C$2:$C$1000),"")</f>
        <v>Debt</v>
      </c>
      <c r="D4105" s="8" t="str">
        <f>IFERROR(INDEX('nav master'!$C:$C, MATCH(B4105, 'nav master'!$B:$B, 0)), "")</f>
        <v>ULIF00102/01/04LiquidFund101</v>
      </c>
      <c r="E4105" s="8" t="s">
        <v>554</v>
      </c>
      <c r="F4105" s="8" t="s">
        <v>4332</v>
      </c>
    </row>
    <row r="4106" spans="1:6" ht="60" x14ac:dyDescent="0.25">
      <c r="A4106" s="8" t="s">
        <v>125</v>
      </c>
      <c r="B4106" s="8" t="s">
        <v>141</v>
      </c>
      <c r="C4106" s="8" t="str">
        <f>IFERROR(_xlfn.XLOOKUP(TRIM(B4106),Lookup!$B$2:$B$1000,Lookup!$C$2:$C$1000),"")</f>
        <v>Debt</v>
      </c>
      <c r="D4106" s="8" t="str">
        <f>IFERROR(INDEX('nav master'!$C:$C, MATCH(B4106, 'nav master'!$B:$B, 0)), "")</f>
        <v>ULIF00102/01/04LiquidFund101</v>
      </c>
      <c r="E4106" s="8" t="s">
        <v>556</v>
      </c>
      <c r="F4106" s="8" t="s">
        <v>4333</v>
      </c>
    </row>
    <row r="4107" spans="1:6" ht="60" x14ac:dyDescent="0.25">
      <c r="A4107" s="8" t="s">
        <v>125</v>
      </c>
      <c r="B4107" s="8" t="s">
        <v>141</v>
      </c>
      <c r="C4107" s="8" t="str">
        <f>IFERROR(_xlfn.XLOOKUP(TRIM(B4107),Lookup!$B$2:$B$1000,Lookup!$C$2:$C$1000),"")</f>
        <v>Debt</v>
      </c>
      <c r="D4107" s="8" t="str">
        <f>IFERROR(INDEX('nav master'!$C:$C, MATCH(B4107, 'nav master'!$B:$B, 0)), "")</f>
        <v>ULIF00102/01/04LiquidFund101</v>
      </c>
      <c r="E4107" s="8" t="s">
        <v>558</v>
      </c>
      <c r="F4107" s="8" t="s">
        <v>4334</v>
      </c>
    </row>
    <row r="4108" spans="1:6" ht="60" x14ac:dyDescent="0.25">
      <c r="A4108" s="8" t="s">
        <v>125</v>
      </c>
      <c r="B4108" s="8" t="s">
        <v>141</v>
      </c>
      <c r="C4108" s="8" t="str">
        <f>IFERROR(_xlfn.XLOOKUP(TRIM(B4108),Lookup!$B$2:$B$1000,Lookup!$C$2:$C$1000),"")</f>
        <v>Debt</v>
      </c>
      <c r="D4108" s="8" t="str">
        <f>IFERROR(INDEX('nav master'!$C:$C, MATCH(B4108, 'nav master'!$B:$B, 0)), "")</f>
        <v>ULIF00102/01/04LiquidFund101</v>
      </c>
      <c r="E4108" s="8" t="s">
        <v>560</v>
      </c>
      <c r="F4108" s="8" t="s">
        <v>4335</v>
      </c>
    </row>
    <row r="4109" spans="1:6" ht="60" x14ac:dyDescent="0.25">
      <c r="A4109" s="8" t="s">
        <v>125</v>
      </c>
      <c r="B4109" s="8" t="s">
        <v>141</v>
      </c>
      <c r="C4109" s="8" t="str">
        <f>IFERROR(_xlfn.XLOOKUP(TRIM(B4109),Lookup!$B$2:$B$1000,Lookup!$C$2:$C$1000),"")</f>
        <v>Debt</v>
      </c>
      <c r="D4109" s="8" t="str">
        <f>IFERROR(INDEX('nav master'!$C:$C, MATCH(B4109, 'nav master'!$B:$B, 0)), "")</f>
        <v>ULIF00102/01/04LiquidFund101</v>
      </c>
      <c r="E4109" s="8" t="s">
        <v>562</v>
      </c>
      <c r="F4109" s="8" t="s">
        <v>4336</v>
      </c>
    </row>
    <row r="4110" spans="1:6" ht="60" x14ac:dyDescent="0.25">
      <c r="A4110" s="8" t="s">
        <v>125</v>
      </c>
      <c r="B4110" s="8" t="s">
        <v>141</v>
      </c>
      <c r="C4110" s="8" t="str">
        <f>IFERROR(_xlfn.XLOOKUP(TRIM(B4110),Lookup!$B$2:$B$1000,Lookup!$C$2:$C$1000),"")</f>
        <v>Debt</v>
      </c>
      <c r="D4110" s="8" t="str">
        <f>IFERROR(INDEX('nav master'!$C:$C, MATCH(B4110, 'nav master'!$B:$B, 0)), "")</f>
        <v>ULIF00102/01/04LiquidFund101</v>
      </c>
      <c r="E4110" s="8" t="s">
        <v>564</v>
      </c>
      <c r="F4110" s="8" t="s">
        <v>4337</v>
      </c>
    </row>
    <row r="4111" spans="1:6" ht="60" x14ac:dyDescent="0.25">
      <c r="A4111" s="8" t="s">
        <v>125</v>
      </c>
      <c r="B4111" s="8" t="s">
        <v>141</v>
      </c>
      <c r="C4111" s="8" t="str">
        <f>IFERROR(_xlfn.XLOOKUP(TRIM(B4111),Lookup!$B$2:$B$1000,Lookup!$C$2:$C$1000),"")</f>
        <v>Debt</v>
      </c>
      <c r="D4111" s="8" t="str">
        <f>IFERROR(INDEX('nav master'!$C:$C, MATCH(B4111, 'nav master'!$B:$B, 0)), "")</f>
        <v>ULIF00102/01/04LiquidFund101</v>
      </c>
      <c r="E4111" s="8" t="s">
        <v>566</v>
      </c>
      <c r="F4111" s="8" t="s">
        <v>4338</v>
      </c>
    </row>
    <row r="4112" spans="1:6" ht="60" x14ac:dyDescent="0.25">
      <c r="A4112" s="8" t="s">
        <v>125</v>
      </c>
      <c r="B4112" s="8" t="s">
        <v>141</v>
      </c>
      <c r="C4112" s="8" t="str">
        <f>IFERROR(_xlfn.XLOOKUP(TRIM(B4112),Lookup!$B$2:$B$1000,Lookup!$C$2:$C$1000),"")</f>
        <v>Debt</v>
      </c>
      <c r="D4112" s="8" t="str">
        <f>IFERROR(INDEX('nav master'!$C:$C, MATCH(B4112, 'nav master'!$B:$B, 0)), "")</f>
        <v>ULIF00102/01/04LiquidFund101</v>
      </c>
      <c r="E4112" s="8" t="s">
        <v>568</v>
      </c>
      <c r="F4112" s="8" t="s">
        <v>4339</v>
      </c>
    </row>
    <row r="4113" spans="1:6" ht="60" x14ac:dyDescent="0.25">
      <c r="A4113" s="8" t="s">
        <v>125</v>
      </c>
      <c r="B4113" s="8" t="s">
        <v>141</v>
      </c>
      <c r="C4113" s="8" t="str">
        <f>IFERROR(_xlfn.XLOOKUP(TRIM(B4113),Lookup!$B$2:$B$1000,Lookup!$C$2:$C$1000),"")</f>
        <v>Debt</v>
      </c>
      <c r="D4113" s="8" t="str">
        <f>IFERROR(INDEX('nav master'!$C:$C, MATCH(B4113, 'nav master'!$B:$B, 0)), "")</f>
        <v>ULIF00102/01/04LiquidFund101</v>
      </c>
      <c r="E4113" s="8" t="s">
        <v>570</v>
      </c>
      <c r="F4113" s="8" t="s">
        <v>4340</v>
      </c>
    </row>
    <row r="4114" spans="1:6" ht="60" x14ac:dyDescent="0.25">
      <c r="A4114" s="8" t="s">
        <v>125</v>
      </c>
      <c r="B4114" s="8" t="s">
        <v>141</v>
      </c>
      <c r="C4114" s="8" t="str">
        <f>IFERROR(_xlfn.XLOOKUP(TRIM(B4114),Lookup!$B$2:$B$1000,Lookup!$C$2:$C$1000),"")</f>
        <v>Debt</v>
      </c>
      <c r="D4114" s="8" t="str">
        <f>IFERROR(INDEX('nav master'!$C:$C, MATCH(B4114, 'nav master'!$B:$B, 0)), "")</f>
        <v>ULIF00102/01/04LiquidFund101</v>
      </c>
      <c r="E4114" s="8" t="s">
        <v>572</v>
      </c>
      <c r="F4114" s="8" t="s">
        <v>4341</v>
      </c>
    </row>
    <row r="4115" spans="1:6" ht="60" x14ac:dyDescent="0.25">
      <c r="A4115" s="8" t="s">
        <v>125</v>
      </c>
      <c r="B4115" s="8" t="s">
        <v>141</v>
      </c>
      <c r="C4115" s="8" t="str">
        <f>IFERROR(_xlfn.XLOOKUP(TRIM(B4115),Lookup!$B$2:$B$1000,Lookup!$C$2:$C$1000),"")</f>
        <v>Debt</v>
      </c>
      <c r="D4115" s="8" t="str">
        <f>IFERROR(INDEX('nav master'!$C:$C, MATCH(B4115, 'nav master'!$B:$B, 0)), "")</f>
        <v>ULIF00102/01/04LiquidFund101</v>
      </c>
      <c r="E4115" s="8" t="s">
        <v>574</v>
      </c>
      <c r="F4115" s="8" t="s">
        <v>4342</v>
      </c>
    </row>
    <row r="4116" spans="1:6" ht="60" x14ac:dyDescent="0.25">
      <c r="A4116" s="8" t="s">
        <v>125</v>
      </c>
      <c r="B4116" s="8" t="s">
        <v>141</v>
      </c>
      <c r="C4116" s="8" t="str">
        <f>IFERROR(_xlfn.XLOOKUP(TRIM(B4116),Lookup!$B$2:$B$1000,Lookup!$C$2:$C$1000),"")</f>
        <v>Debt</v>
      </c>
      <c r="D4116" s="8" t="str">
        <f>IFERROR(INDEX('nav master'!$C:$C, MATCH(B4116, 'nav master'!$B:$B, 0)), "")</f>
        <v>ULIF00102/01/04LiquidFund101</v>
      </c>
      <c r="E4116" s="8" t="s">
        <v>576</v>
      </c>
      <c r="F4116" s="8" t="s">
        <v>4343</v>
      </c>
    </row>
    <row r="4117" spans="1:6" ht="60" x14ac:dyDescent="0.25">
      <c r="A4117" s="8" t="s">
        <v>125</v>
      </c>
      <c r="B4117" s="8" t="s">
        <v>141</v>
      </c>
      <c r="C4117" s="8" t="str">
        <f>IFERROR(_xlfn.XLOOKUP(TRIM(B4117),Lookup!$B$2:$B$1000,Lookup!$C$2:$C$1000),"")</f>
        <v>Debt</v>
      </c>
      <c r="D4117" s="8" t="str">
        <f>IFERROR(INDEX('nav master'!$C:$C, MATCH(B4117, 'nav master'!$B:$B, 0)), "")</f>
        <v>ULIF00102/01/04LiquidFund101</v>
      </c>
      <c r="E4117" s="8" t="s">
        <v>578</v>
      </c>
      <c r="F4117" s="8" t="s">
        <v>4344</v>
      </c>
    </row>
    <row r="4118" spans="1:6" ht="60" x14ac:dyDescent="0.25">
      <c r="A4118" s="8" t="s">
        <v>125</v>
      </c>
      <c r="B4118" s="8" t="s">
        <v>141</v>
      </c>
      <c r="C4118" s="8" t="str">
        <f>IFERROR(_xlfn.XLOOKUP(TRIM(B4118),Lookup!$B$2:$B$1000,Lookup!$C$2:$C$1000),"")</f>
        <v>Debt</v>
      </c>
      <c r="D4118" s="8" t="str">
        <f>IFERROR(INDEX('nav master'!$C:$C, MATCH(B4118, 'nav master'!$B:$B, 0)), "")</f>
        <v>ULIF00102/01/04LiquidFund101</v>
      </c>
      <c r="E4118" s="8" t="s">
        <v>580</v>
      </c>
      <c r="F4118" s="8" t="s">
        <v>4345</v>
      </c>
    </row>
    <row r="4119" spans="1:6" ht="60" x14ac:dyDescent="0.25">
      <c r="A4119" s="8" t="s">
        <v>125</v>
      </c>
      <c r="B4119" s="8" t="s">
        <v>141</v>
      </c>
      <c r="C4119" s="8" t="str">
        <f>IFERROR(_xlfn.XLOOKUP(TRIM(B4119),Lookup!$B$2:$B$1000,Lookup!$C$2:$C$1000),"")</f>
        <v>Debt</v>
      </c>
      <c r="D4119" s="8" t="str">
        <f>IFERROR(INDEX('nav master'!$C:$C, MATCH(B4119, 'nav master'!$B:$B, 0)), "")</f>
        <v>ULIF00102/01/04LiquidFund101</v>
      </c>
      <c r="E4119" s="8" t="s">
        <v>582</v>
      </c>
      <c r="F4119" s="8" t="s">
        <v>4346</v>
      </c>
    </row>
    <row r="4120" spans="1:6" ht="60" x14ac:dyDescent="0.25">
      <c r="A4120" s="8" t="s">
        <v>125</v>
      </c>
      <c r="B4120" s="8" t="s">
        <v>141</v>
      </c>
      <c r="C4120" s="8" t="str">
        <f>IFERROR(_xlfn.XLOOKUP(TRIM(B4120),Lookup!$B$2:$B$1000,Lookup!$C$2:$C$1000),"")</f>
        <v>Debt</v>
      </c>
      <c r="D4120" s="8" t="str">
        <f>IFERROR(INDEX('nav master'!$C:$C, MATCH(B4120, 'nav master'!$B:$B, 0)), "")</f>
        <v>ULIF00102/01/04LiquidFund101</v>
      </c>
      <c r="E4120" s="8" t="s">
        <v>584</v>
      </c>
      <c r="F4120" s="8" t="s">
        <v>4347</v>
      </c>
    </row>
    <row r="4121" spans="1:6" ht="60" x14ac:dyDescent="0.25">
      <c r="A4121" s="8" t="s">
        <v>125</v>
      </c>
      <c r="B4121" s="8" t="s">
        <v>141</v>
      </c>
      <c r="C4121" s="8" t="str">
        <f>IFERROR(_xlfn.XLOOKUP(TRIM(B4121),Lookup!$B$2:$B$1000,Lookup!$C$2:$C$1000),"")</f>
        <v>Debt</v>
      </c>
      <c r="D4121" s="8" t="str">
        <f>IFERROR(INDEX('nav master'!$C:$C, MATCH(B4121, 'nav master'!$B:$B, 0)), "")</f>
        <v>ULIF00102/01/04LiquidFund101</v>
      </c>
      <c r="E4121" s="8" t="s">
        <v>586</v>
      </c>
      <c r="F4121" s="8" t="s">
        <v>4348</v>
      </c>
    </row>
    <row r="4122" spans="1:6" ht="60" x14ac:dyDescent="0.25">
      <c r="A4122" s="8" t="s">
        <v>125</v>
      </c>
      <c r="B4122" s="8" t="s">
        <v>141</v>
      </c>
      <c r="C4122" s="8" t="str">
        <f>IFERROR(_xlfn.XLOOKUP(TRIM(B4122),Lookup!$B$2:$B$1000,Lookup!$C$2:$C$1000),"")</f>
        <v>Debt</v>
      </c>
      <c r="D4122" s="8" t="str">
        <f>IFERROR(INDEX('nav master'!$C:$C, MATCH(B4122, 'nav master'!$B:$B, 0)), "")</f>
        <v>ULIF00102/01/04LiquidFund101</v>
      </c>
      <c r="E4122" s="8" t="s">
        <v>588</v>
      </c>
      <c r="F4122" s="8" t="s">
        <v>4349</v>
      </c>
    </row>
    <row r="4123" spans="1:6" ht="60" x14ac:dyDescent="0.25">
      <c r="A4123" s="8" t="s">
        <v>125</v>
      </c>
      <c r="B4123" s="8" t="s">
        <v>141</v>
      </c>
      <c r="C4123" s="8" t="str">
        <f>IFERROR(_xlfn.XLOOKUP(TRIM(B4123),Lookup!$B$2:$B$1000,Lookup!$C$2:$C$1000),"")</f>
        <v>Debt</v>
      </c>
      <c r="D4123" s="8" t="str">
        <f>IFERROR(INDEX('nav master'!$C:$C, MATCH(B4123, 'nav master'!$B:$B, 0)), "")</f>
        <v>ULIF00102/01/04LiquidFund101</v>
      </c>
      <c r="E4123" s="8" t="s">
        <v>590</v>
      </c>
      <c r="F4123" s="8" t="s">
        <v>4350</v>
      </c>
    </row>
    <row r="4124" spans="1:6" ht="60" x14ac:dyDescent="0.25">
      <c r="A4124" s="8" t="s">
        <v>125</v>
      </c>
      <c r="B4124" s="8" t="s">
        <v>141</v>
      </c>
      <c r="C4124" s="8" t="str">
        <f>IFERROR(_xlfn.XLOOKUP(TRIM(B4124),Lookup!$B$2:$B$1000,Lookup!$C$2:$C$1000),"")</f>
        <v>Debt</v>
      </c>
      <c r="D4124" s="8" t="str">
        <f>IFERROR(INDEX('nav master'!$C:$C, MATCH(B4124, 'nav master'!$B:$B, 0)), "")</f>
        <v>ULIF00102/01/04LiquidFund101</v>
      </c>
      <c r="E4124" s="8" t="s">
        <v>592</v>
      </c>
      <c r="F4124" s="8" t="s">
        <v>4351</v>
      </c>
    </row>
    <row r="4125" spans="1:6" ht="60" x14ac:dyDescent="0.25">
      <c r="A4125" s="8" t="s">
        <v>125</v>
      </c>
      <c r="B4125" s="8" t="s">
        <v>141</v>
      </c>
      <c r="C4125" s="8" t="str">
        <f>IFERROR(_xlfn.XLOOKUP(TRIM(B4125),Lookup!$B$2:$B$1000,Lookup!$C$2:$C$1000),"")</f>
        <v>Debt</v>
      </c>
      <c r="D4125" s="8" t="str">
        <f>IFERROR(INDEX('nav master'!$C:$C, MATCH(B4125, 'nav master'!$B:$B, 0)), "")</f>
        <v>ULIF00102/01/04LiquidFund101</v>
      </c>
      <c r="E4125" s="8" t="s">
        <v>594</v>
      </c>
      <c r="F4125" s="8" t="s">
        <v>4352</v>
      </c>
    </row>
    <row r="4126" spans="1:6" ht="60" x14ac:dyDescent="0.25">
      <c r="A4126" s="8" t="s">
        <v>125</v>
      </c>
      <c r="B4126" s="8" t="s">
        <v>141</v>
      </c>
      <c r="C4126" s="8" t="str">
        <f>IFERROR(_xlfn.XLOOKUP(TRIM(B4126),Lookup!$B$2:$B$1000,Lookup!$C$2:$C$1000),"")</f>
        <v>Debt</v>
      </c>
      <c r="D4126" s="8" t="str">
        <f>IFERROR(INDEX('nav master'!$C:$C, MATCH(B4126, 'nav master'!$B:$B, 0)), "")</f>
        <v>ULIF00102/01/04LiquidFund101</v>
      </c>
      <c r="E4126" s="8" t="s">
        <v>596</v>
      </c>
      <c r="F4126" s="8" t="s">
        <v>4353</v>
      </c>
    </row>
    <row r="4127" spans="1:6" ht="60" x14ac:dyDescent="0.25">
      <c r="A4127" s="8" t="s">
        <v>125</v>
      </c>
      <c r="B4127" s="8" t="s">
        <v>141</v>
      </c>
      <c r="C4127" s="8" t="str">
        <f>IFERROR(_xlfn.XLOOKUP(TRIM(B4127),Lookup!$B$2:$B$1000,Lookup!$C$2:$C$1000),"")</f>
        <v>Debt</v>
      </c>
      <c r="D4127" s="8" t="str">
        <f>IFERROR(INDEX('nav master'!$C:$C, MATCH(B4127, 'nav master'!$B:$B, 0)), "")</f>
        <v>ULIF00102/01/04LiquidFund101</v>
      </c>
      <c r="E4127" s="8" t="s">
        <v>598</v>
      </c>
      <c r="F4127" s="8" t="s">
        <v>4354</v>
      </c>
    </row>
    <row r="4128" spans="1:6" ht="60" x14ac:dyDescent="0.25">
      <c r="A4128" s="8" t="s">
        <v>125</v>
      </c>
      <c r="B4128" s="8" t="s">
        <v>141</v>
      </c>
      <c r="C4128" s="8" t="str">
        <f>IFERROR(_xlfn.XLOOKUP(TRIM(B4128),Lookup!$B$2:$B$1000,Lookup!$C$2:$C$1000),"")</f>
        <v>Debt</v>
      </c>
      <c r="D4128" s="8" t="str">
        <f>IFERROR(INDEX('nav master'!$C:$C, MATCH(B4128, 'nav master'!$B:$B, 0)), "")</f>
        <v>ULIF00102/01/04LiquidFund101</v>
      </c>
      <c r="E4128" s="8" t="s">
        <v>600</v>
      </c>
      <c r="F4128" s="8" t="s">
        <v>4355</v>
      </c>
    </row>
    <row r="4129" spans="1:6" ht="60" x14ac:dyDescent="0.25">
      <c r="A4129" s="8" t="s">
        <v>125</v>
      </c>
      <c r="B4129" s="8" t="s">
        <v>141</v>
      </c>
      <c r="C4129" s="8" t="str">
        <f>IFERROR(_xlfn.XLOOKUP(TRIM(B4129),Lookup!$B$2:$B$1000,Lookup!$C$2:$C$1000),"")</f>
        <v>Debt</v>
      </c>
      <c r="D4129" s="8" t="str">
        <f>IFERROR(INDEX('nav master'!$C:$C, MATCH(B4129, 'nav master'!$B:$B, 0)), "")</f>
        <v>ULIF00102/01/04LiquidFund101</v>
      </c>
      <c r="E4129" s="8" t="s">
        <v>602</v>
      </c>
      <c r="F4129" s="8" t="s">
        <v>4356</v>
      </c>
    </row>
    <row r="4130" spans="1:6" ht="60" x14ac:dyDescent="0.25">
      <c r="A4130" s="8" t="s">
        <v>125</v>
      </c>
      <c r="B4130" s="8" t="s">
        <v>141</v>
      </c>
      <c r="C4130" s="8" t="str">
        <f>IFERROR(_xlfn.XLOOKUP(TRIM(B4130),Lookup!$B$2:$B$1000,Lookup!$C$2:$C$1000),"")</f>
        <v>Debt</v>
      </c>
      <c r="D4130" s="8" t="str">
        <f>IFERROR(INDEX('nav master'!$C:$C, MATCH(B4130, 'nav master'!$B:$B, 0)), "")</f>
        <v>ULIF00102/01/04LiquidFund101</v>
      </c>
      <c r="E4130" s="8" t="s">
        <v>604</v>
      </c>
      <c r="F4130" s="8" t="s">
        <v>4357</v>
      </c>
    </row>
    <row r="4131" spans="1:6" ht="60" x14ac:dyDescent="0.25">
      <c r="A4131" s="8" t="s">
        <v>125</v>
      </c>
      <c r="B4131" s="8" t="s">
        <v>141</v>
      </c>
      <c r="C4131" s="8" t="str">
        <f>IFERROR(_xlfn.XLOOKUP(TRIM(B4131),Lookup!$B$2:$B$1000,Lookup!$C$2:$C$1000),"")</f>
        <v>Debt</v>
      </c>
      <c r="D4131" s="8" t="str">
        <f>IFERROR(INDEX('nav master'!$C:$C, MATCH(B4131, 'nav master'!$B:$B, 0)), "")</f>
        <v>ULIF00102/01/04LiquidFund101</v>
      </c>
      <c r="E4131" s="8" t="s">
        <v>606</v>
      </c>
      <c r="F4131" s="8" t="s">
        <v>4358</v>
      </c>
    </row>
    <row r="4132" spans="1:6" ht="60" x14ac:dyDescent="0.25">
      <c r="A4132" s="8" t="s">
        <v>125</v>
      </c>
      <c r="B4132" s="8" t="s">
        <v>141</v>
      </c>
      <c r="C4132" s="8" t="str">
        <f>IFERROR(_xlfn.XLOOKUP(TRIM(B4132),Lookup!$B$2:$B$1000,Lookup!$C$2:$C$1000),"")</f>
        <v>Debt</v>
      </c>
      <c r="D4132" s="8" t="str">
        <f>IFERROR(INDEX('nav master'!$C:$C, MATCH(B4132, 'nav master'!$B:$B, 0)), "")</f>
        <v>ULIF00102/01/04LiquidFund101</v>
      </c>
      <c r="E4132" s="8" t="s">
        <v>608</v>
      </c>
      <c r="F4132" s="8" t="s">
        <v>4359</v>
      </c>
    </row>
    <row r="4133" spans="1:6" ht="60" x14ac:dyDescent="0.25">
      <c r="A4133" s="8" t="s">
        <v>125</v>
      </c>
      <c r="B4133" s="8" t="s">
        <v>141</v>
      </c>
      <c r="C4133" s="8" t="str">
        <f>IFERROR(_xlfn.XLOOKUP(TRIM(B4133),Lookup!$B$2:$B$1000,Lookup!$C$2:$C$1000),"")</f>
        <v>Debt</v>
      </c>
      <c r="D4133" s="8" t="str">
        <f>IFERROR(INDEX('nav master'!$C:$C, MATCH(B4133, 'nav master'!$B:$B, 0)), "")</f>
        <v>ULIF00102/01/04LiquidFund101</v>
      </c>
      <c r="E4133" s="8" t="s">
        <v>610</v>
      </c>
      <c r="F4133" s="8" t="s">
        <v>4360</v>
      </c>
    </row>
    <row r="4134" spans="1:6" ht="60" x14ac:dyDescent="0.25">
      <c r="A4134" s="8" t="s">
        <v>125</v>
      </c>
      <c r="B4134" s="8" t="s">
        <v>141</v>
      </c>
      <c r="C4134" s="8" t="str">
        <f>IFERROR(_xlfn.XLOOKUP(TRIM(B4134),Lookup!$B$2:$B$1000,Lookup!$C$2:$C$1000),"")</f>
        <v>Debt</v>
      </c>
      <c r="D4134" s="8" t="str">
        <f>IFERROR(INDEX('nav master'!$C:$C, MATCH(B4134, 'nav master'!$B:$B, 0)), "")</f>
        <v>ULIF00102/01/04LiquidFund101</v>
      </c>
      <c r="E4134" s="8" t="s">
        <v>612</v>
      </c>
      <c r="F4134" s="8" t="s">
        <v>4361</v>
      </c>
    </row>
    <row r="4135" spans="1:6" ht="60" x14ac:dyDescent="0.25">
      <c r="A4135" s="8" t="s">
        <v>125</v>
      </c>
      <c r="B4135" s="8" t="s">
        <v>141</v>
      </c>
      <c r="C4135" s="8" t="str">
        <f>IFERROR(_xlfn.XLOOKUP(TRIM(B4135),Lookup!$B$2:$B$1000,Lookup!$C$2:$C$1000),"")</f>
        <v>Debt</v>
      </c>
      <c r="D4135" s="8" t="str">
        <f>IFERROR(INDEX('nav master'!$C:$C, MATCH(B4135, 'nav master'!$B:$B, 0)), "")</f>
        <v>ULIF00102/01/04LiquidFund101</v>
      </c>
      <c r="E4135" s="8" t="s">
        <v>614</v>
      </c>
      <c r="F4135" s="8" t="s">
        <v>4362</v>
      </c>
    </row>
    <row r="4136" spans="1:6" ht="60" x14ac:dyDescent="0.25">
      <c r="A4136" s="8" t="s">
        <v>125</v>
      </c>
      <c r="B4136" s="8" t="s">
        <v>141</v>
      </c>
      <c r="C4136" s="8" t="str">
        <f>IFERROR(_xlfn.XLOOKUP(TRIM(B4136),Lookup!$B$2:$B$1000,Lookup!$C$2:$C$1000),"")</f>
        <v>Debt</v>
      </c>
      <c r="D4136" s="8" t="str">
        <f>IFERROR(INDEX('nav master'!$C:$C, MATCH(B4136, 'nav master'!$B:$B, 0)), "")</f>
        <v>ULIF00102/01/04LiquidFund101</v>
      </c>
      <c r="E4136" s="8" t="s">
        <v>616</v>
      </c>
      <c r="F4136" s="8" t="s">
        <v>4363</v>
      </c>
    </row>
    <row r="4137" spans="1:6" ht="60" x14ac:dyDescent="0.25">
      <c r="A4137" s="8" t="s">
        <v>125</v>
      </c>
      <c r="B4137" s="8" t="s">
        <v>141</v>
      </c>
      <c r="C4137" s="8" t="str">
        <f>IFERROR(_xlfn.XLOOKUP(TRIM(B4137),Lookup!$B$2:$B$1000,Lookup!$C$2:$C$1000),"")</f>
        <v>Debt</v>
      </c>
      <c r="D4137" s="8" t="str">
        <f>IFERROR(INDEX('nav master'!$C:$C, MATCH(B4137, 'nav master'!$B:$B, 0)), "")</f>
        <v>ULIF00102/01/04LiquidFund101</v>
      </c>
      <c r="E4137" s="8" t="s">
        <v>618</v>
      </c>
      <c r="F4137" s="8" t="s">
        <v>4364</v>
      </c>
    </row>
    <row r="4138" spans="1:6" ht="60" x14ac:dyDescent="0.25">
      <c r="A4138" s="8" t="s">
        <v>125</v>
      </c>
      <c r="B4138" s="8" t="s">
        <v>141</v>
      </c>
      <c r="C4138" s="8" t="str">
        <f>IFERROR(_xlfn.XLOOKUP(TRIM(B4138),Lookup!$B$2:$B$1000,Lookup!$C$2:$C$1000),"")</f>
        <v>Debt</v>
      </c>
      <c r="D4138" s="8" t="str">
        <f>IFERROR(INDEX('nav master'!$C:$C, MATCH(B4138, 'nav master'!$B:$B, 0)), "")</f>
        <v>ULIF00102/01/04LiquidFund101</v>
      </c>
      <c r="E4138" s="8" t="s">
        <v>620</v>
      </c>
      <c r="F4138" s="8" t="s">
        <v>4365</v>
      </c>
    </row>
    <row r="4139" spans="1:6" ht="60" x14ac:dyDescent="0.25">
      <c r="A4139" s="8" t="s">
        <v>125</v>
      </c>
      <c r="B4139" s="8" t="s">
        <v>141</v>
      </c>
      <c r="C4139" s="8" t="str">
        <f>IFERROR(_xlfn.XLOOKUP(TRIM(B4139),Lookup!$B$2:$B$1000,Lookup!$C$2:$C$1000),"")</f>
        <v>Debt</v>
      </c>
      <c r="D4139" s="8" t="str">
        <f>IFERROR(INDEX('nav master'!$C:$C, MATCH(B4139, 'nav master'!$B:$B, 0)), "")</f>
        <v>ULIF00102/01/04LiquidFund101</v>
      </c>
      <c r="E4139" s="8" t="s">
        <v>622</v>
      </c>
      <c r="F4139" s="8" t="s">
        <v>4366</v>
      </c>
    </row>
    <row r="4140" spans="1:6" ht="60" x14ac:dyDescent="0.25">
      <c r="A4140" s="8" t="s">
        <v>125</v>
      </c>
      <c r="B4140" s="8" t="s">
        <v>141</v>
      </c>
      <c r="C4140" s="8" t="str">
        <f>IFERROR(_xlfn.XLOOKUP(TRIM(B4140),Lookup!$B$2:$B$1000,Lookup!$C$2:$C$1000),"")</f>
        <v>Debt</v>
      </c>
      <c r="D4140" s="8" t="str">
        <f>IFERROR(INDEX('nav master'!$C:$C, MATCH(B4140, 'nav master'!$B:$B, 0)), "")</f>
        <v>ULIF00102/01/04LiquidFund101</v>
      </c>
      <c r="E4140" s="8" t="s">
        <v>624</v>
      </c>
      <c r="F4140" s="8" t="s">
        <v>4367</v>
      </c>
    </row>
    <row r="4141" spans="1:6" ht="60" x14ac:dyDescent="0.25">
      <c r="A4141" s="8" t="s">
        <v>125</v>
      </c>
      <c r="B4141" s="8" t="s">
        <v>141</v>
      </c>
      <c r="C4141" s="8" t="str">
        <f>IFERROR(_xlfn.XLOOKUP(TRIM(B4141),Lookup!$B$2:$B$1000,Lookup!$C$2:$C$1000),"")</f>
        <v>Debt</v>
      </c>
      <c r="D4141" s="8" t="str">
        <f>IFERROR(INDEX('nav master'!$C:$C, MATCH(B4141, 'nav master'!$B:$B, 0)), "")</f>
        <v>ULIF00102/01/04LiquidFund101</v>
      </c>
      <c r="E4141" s="8" t="s">
        <v>626</v>
      </c>
      <c r="F4141" s="8" t="s">
        <v>4368</v>
      </c>
    </row>
    <row r="4142" spans="1:6" ht="60" x14ac:dyDescent="0.25">
      <c r="A4142" s="8" t="s">
        <v>125</v>
      </c>
      <c r="B4142" s="8" t="s">
        <v>141</v>
      </c>
      <c r="C4142" s="8" t="str">
        <f>IFERROR(_xlfn.XLOOKUP(TRIM(B4142),Lookup!$B$2:$B$1000,Lookup!$C$2:$C$1000),"")</f>
        <v>Debt</v>
      </c>
      <c r="D4142" s="8" t="str">
        <f>IFERROR(INDEX('nav master'!$C:$C, MATCH(B4142, 'nav master'!$B:$B, 0)), "")</f>
        <v>ULIF00102/01/04LiquidFund101</v>
      </c>
      <c r="E4142" s="8" t="s">
        <v>628</v>
      </c>
      <c r="F4142" s="8" t="s">
        <v>4369</v>
      </c>
    </row>
    <row r="4143" spans="1:6" ht="60" x14ac:dyDescent="0.25">
      <c r="A4143" s="8" t="s">
        <v>125</v>
      </c>
      <c r="B4143" s="8" t="s">
        <v>141</v>
      </c>
      <c r="C4143" s="8" t="str">
        <f>IFERROR(_xlfn.XLOOKUP(TRIM(B4143),Lookup!$B$2:$B$1000,Lookup!$C$2:$C$1000),"")</f>
        <v>Debt</v>
      </c>
      <c r="D4143" s="8" t="str">
        <f>IFERROR(INDEX('nav master'!$C:$C, MATCH(B4143, 'nav master'!$B:$B, 0)), "")</f>
        <v>ULIF00102/01/04LiquidFund101</v>
      </c>
      <c r="E4143" s="8" t="s">
        <v>630</v>
      </c>
      <c r="F4143" s="8" t="s">
        <v>4370</v>
      </c>
    </row>
    <row r="4144" spans="1:6" ht="60" x14ac:dyDescent="0.25">
      <c r="A4144" s="8" t="s">
        <v>125</v>
      </c>
      <c r="B4144" s="8" t="s">
        <v>141</v>
      </c>
      <c r="C4144" s="8" t="str">
        <f>IFERROR(_xlfn.XLOOKUP(TRIM(B4144),Lookup!$B$2:$B$1000,Lookup!$C$2:$C$1000),"")</f>
        <v>Debt</v>
      </c>
      <c r="D4144" s="8" t="str">
        <f>IFERROR(INDEX('nav master'!$C:$C, MATCH(B4144, 'nav master'!$B:$B, 0)), "")</f>
        <v>ULIF00102/01/04LiquidFund101</v>
      </c>
      <c r="E4144" s="8" t="s">
        <v>632</v>
      </c>
      <c r="F4144" s="8" t="s">
        <v>4371</v>
      </c>
    </row>
    <row r="4145" spans="1:6" ht="60" x14ac:dyDescent="0.25">
      <c r="A4145" s="8" t="s">
        <v>125</v>
      </c>
      <c r="B4145" s="8" t="s">
        <v>141</v>
      </c>
      <c r="C4145" s="8" t="str">
        <f>IFERROR(_xlfn.XLOOKUP(TRIM(B4145),Lookup!$B$2:$B$1000,Lookup!$C$2:$C$1000),"")</f>
        <v>Debt</v>
      </c>
      <c r="D4145" s="8" t="str">
        <f>IFERROR(INDEX('nav master'!$C:$C, MATCH(B4145, 'nav master'!$B:$B, 0)), "")</f>
        <v>ULIF00102/01/04LiquidFund101</v>
      </c>
      <c r="E4145" s="8" t="s">
        <v>634</v>
      </c>
      <c r="F4145" s="8" t="s">
        <v>4372</v>
      </c>
    </row>
    <row r="4146" spans="1:6" ht="60" x14ac:dyDescent="0.25">
      <c r="A4146" s="8" t="s">
        <v>125</v>
      </c>
      <c r="B4146" s="8" t="s">
        <v>141</v>
      </c>
      <c r="C4146" s="8" t="str">
        <f>IFERROR(_xlfn.XLOOKUP(TRIM(B4146),Lookup!$B$2:$B$1000,Lookup!$C$2:$C$1000),"")</f>
        <v>Debt</v>
      </c>
      <c r="D4146" s="8" t="str">
        <f>IFERROR(INDEX('nav master'!$C:$C, MATCH(B4146, 'nav master'!$B:$B, 0)), "")</f>
        <v>ULIF00102/01/04LiquidFund101</v>
      </c>
      <c r="E4146" s="8" t="s">
        <v>636</v>
      </c>
      <c r="F4146" s="8" t="s">
        <v>4373</v>
      </c>
    </row>
    <row r="4147" spans="1:6" ht="60" x14ac:dyDescent="0.25">
      <c r="A4147" s="8" t="s">
        <v>125</v>
      </c>
      <c r="B4147" s="8" t="s">
        <v>141</v>
      </c>
      <c r="C4147" s="8" t="str">
        <f>IFERROR(_xlfn.XLOOKUP(TRIM(B4147),Lookup!$B$2:$B$1000,Lookup!$C$2:$C$1000),"")</f>
        <v>Debt</v>
      </c>
      <c r="D4147" s="8" t="str">
        <f>IFERROR(INDEX('nav master'!$C:$C, MATCH(B4147, 'nav master'!$B:$B, 0)), "")</f>
        <v>ULIF00102/01/04LiquidFund101</v>
      </c>
      <c r="E4147" s="8" t="s">
        <v>638</v>
      </c>
      <c r="F4147" s="8" t="s">
        <v>4374</v>
      </c>
    </row>
    <row r="4148" spans="1:6" ht="60" x14ac:dyDescent="0.25">
      <c r="A4148" s="8" t="s">
        <v>125</v>
      </c>
      <c r="B4148" s="8" t="s">
        <v>141</v>
      </c>
      <c r="C4148" s="8" t="str">
        <f>IFERROR(_xlfn.XLOOKUP(TRIM(B4148),Lookup!$B$2:$B$1000,Lookup!$C$2:$C$1000),"")</f>
        <v>Debt</v>
      </c>
      <c r="D4148" s="8" t="str">
        <f>IFERROR(INDEX('nav master'!$C:$C, MATCH(B4148, 'nav master'!$B:$B, 0)), "")</f>
        <v>ULIF00102/01/04LiquidFund101</v>
      </c>
      <c r="E4148" s="8" t="s">
        <v>640</v>
      </c>
      <c r="F4148" s="8" t="s">
        <v>4375</v>
      </c>
    </row>
    <row r="4149" spans="1:6" ht="60" x14ac:dyDescent="0.25">
      <c r="A4149" s="8" t="s">
        <v>125</v>
      </c>
      <c r="B4149" s="8" t="s">
        <v>141</v>
      </c>
      <c r="C4149" s="8" t="str">
        <f>IFERROR(_xlfn.XLOOKUP(TRIM(B4149),Lookup!$B$2:$B$1000,Lookup!$C$2:$C$1000),"")</f>
        <v>Debt</v>
      </c>
      <c r="D4149" s="8" t="str">
        <f>IFERROR(INDEX('nav master'!$C:$C, MATCH(B4149, 'nav master'!$B:$B, 0)), "")</f>
        <v>ULIF00102/01/04LiquidFund101</v>
      </c>
      <c r="E4149" s="8" t="s">
        <v>642</v>
      </c>
      <c r="F4149" s="8" t="s">
        <v>4376</v>
      </c>
    </row>
    <row r="4150" spans="1:6" ht="60" x14ac:dyDescent="0.25">
      <c r="A4150" s="8" t="s">
        <v>125</v>
      </c>
      <c r="B4150" s="8" t="s">
        <v>141</v>
      </c>
      <c r="C4150" s="8" t="str">
        <f>IFERROR(_xlfn.XLOOKUP(TRIM(B4150),Lookup!$B$2:$B$1000,Lookup!$C$2:$C$1000),"")</f>
        <v>Debt</v>
      </c>
      <c r="D4150" s="8" t="str">
        <f>IFERROR(INDEX('nav master'!$C:$C, MATCH(B4150, 'nav master'!$B:$B, 0)), "")</f>
        <v>ULIF00102/01/04LiquidFund101</v>
      </c>
      <c r="E4150" s="8" t="s">
        <v>644</v>
      </c>
      <c r="F4150" s="8" t="s">
        <v>4377</v>
      </c>
    </row>
    <row r="4151" spans="1:6" ht="60" x14ac:dyDescent="0.25">
      <c r="A4151" s="8" t="s">
        <v>125</v>
      </c>
      <c r="B4151" s="8" t="s">
        <v>141</v>
      </c>
      <c r="C4151" s="8" t="str">
        <f>IFERROR(_xlfn.XLOOKUP(TRIM(B4151),Lookup!$B$2:$B$1000,Lookup!$C$2:$C$1000),"")</f>
        <v>Debt</v>
      </c>
      <c r="D4151" s="8" t="str">
        <f>IFERROR(INDEX('nav master'!$C:$C, MATCH(B4151, 'nav master'!$B:$B, 0)), "")</f>
        <v>ULIF00102/01/04LiquidFund101</v>
      </c>
      <c r="E4151" s="8" t="s">
        <v>646</v>
      </c>
      <c r="F4151" s="8" t="s">
        <v>4378</v>
      </c>
    </row>
    <row r="4152" spans="1:6" ht="60" x14ac:dyDescent="0.25">
      <c r="A4152" s="8" t="s">
        <v>125</v>
      </c>
      <c r="B4152" s="8" t="s">
        <v>141</v>
      </c>
      <c r="C4152" s="8" t="str">
        <f>IFERROR(_xlfn.XLOOKUP(TRIM(B4152),Lookup!$B$2:$B$1000,Lookup!$C$2:$C$1000),"")</f>
        <v>Debt</v>
      </c>
      <c r="D4152" s="8" t="str">
        <f>IFERROR(INDEX('nav master'!$C:$C, MATCH(B4152, 'nav master'!$B:$B, 0)), "")</f>
        <v>ULIF00102/01/04LiquidFund101</v>
      </c>
      <c r="E4152" s="8" t="s">
        <v>648</v>
      </c>
      <c r="F4152" s="8" t="s">
        <v>4379</v>
      </c>
    </row>
    <row r="4153" spans="1:6" ht="60" x14ac:dyDescent="0.25">
      <c r="A4153" s="8" t="s">
        <v>125</v>
      </c>
      <c r="B4153" s="8" t="s">
        <v>141</v>
      </c>
      <c r="C4153" s="8" t="str">
        <f>IFERROR(_xlfn.XLOOKUP(TRIM(B4153),Lookup!$B$2:$B$1000,Lookup!$C$2:$C$1000),"")</f>
        <v>Debt</v>
      </c>
      <c r="D4153" s="8" t="str">
        <f>IFERROR(INDEX('nav master'!$C:$C, MATCH(B4153, 'nav master'!$B:$B, 0)), "")</f>
        <v>ULIF00102/01/04LiquidFund101</v>
      </c>
      <c r="E4153" s="8" t="s">
        <v>650</v>
      </c>
      <c r="F4153" s="8" t="s">
        <v>4380</v>
      </c>
    </row>
    <row r="4154" spans="1:6" ht="60" x14ac:dyDescent="0.25">
      <c r="A4154" s="8" t="s">
        <v>125</v>
      </c>
      <c r="B4154" s="8" t="s">
        <v>141</v>
      </c>
      <c r="C4154" s="8" t="str">
        <f>IFERROR(_xlfn.XLOOKUP(TRIM(B4154),Lookup!$B$2:$B$1000,Lookup!$C$2:$C$1000),"")</f>
        <v>Debt</v>
      </c>
      <c r="D4154" s="8" t="str">
        <f>IFERROR(INDEX('nav master'!$C:$C, MATCH(B4154, 'nav master'!$B:$B, 0)), "")</f>
        <v>ULIF00102/01/04LiquidFund101</v>
      </c>
      <c r="E4154" s="8" t="s">
        <v>652</v>
      </c>
      <c r="F4154" s="8" t="s">
        <v>4381</v>
      </c>
    </row>
    <row r="4155" spans="1:6" ht="60" x14ac:dyDescent="0.25">
      <c r="A4155" s="8" t="s">
        <v>125</v>
      </c>
      <c r="B4155" s="8" t="s">
        <v>141</v>
      </c>
      <c r="C4155" s="8" t="str">
        <f>IFERROR(_xlfn.XLOOKUP(TRIM(B4155),Lookup!$B$2:$B$1000,Lookup!$C$2:$C$1000),"")</f>
        <v>Debt</v>
      </c>
      <c r="D4155" s="8" t="str">
        <f>IFERROR(INDEX('nav master'!$C:$C, MATCH(B4155, 'nav master'!$B:$B, 0)), "")</f>
        <v>ULIF00102/01/04LiquidFund101</v>
      </c>
      <c r="E4155" s="8" t="s">
        <v>654</v>
      </c>
      <c r="F4155" s="8" t="s">
        <v>4382</v>
      </c>
    </row>
    <row r="4156" spans="1:6" ht="60" x14ac:dyDescent="0.25">
      <c r="A4156" s="8" t="s">
        <v>125</v>
      </c>
      <c r="B4156" s="8" t="s">
        <v>141</v>
      </c>
      <c r="C4156" s="8" t="str">
        <f>IFERROR(_xlfn.XLOOKUP(TRIM(B4156),Lookup!$B$2:$B$1000,Lookup!$C$2:$C$1000),"")</f>
        <v>Debt</v>
      </c>
      <c r="D4156" s="8" t="str">
        <f>IFERROR(INDEX('nav master'!$C:$C, MATCH(B4156, 'nav master'!$B:$B, 0)), "")</f>
        <v>ULIF00102/01/04LiquidFund101</v>
      </c>
      <c r="E4156" s="8" t="s">
        <v>656</v>
      </c>
      <c r="F4156" s="8" t="s">
        <v>4383</v>
      </c>
    </row>
    <row r="4157" spans="1:6" ht="60" x14ac:dyDescent="0.25">
      <c r="A4157" s="8" t="s">
        <v>125</v>
      </c>
      <c r="B4157" s="8" t="s">
        <v>141</v>
      </c>
      <c r="C4157" s="8" t="str">
        <f>IFERROR(_xlfn.XLOOKUP(TRIM(B4157),Lookup!$B$2:$B$1000,Lookup!$C$2:$C$1000),"")</f>
        <v>Debt</v>
      </c>
      <c r="D4157" s="8" t="str">
        <f>IFERROR(INDEX('nav master'!$C:$C, MATCH(B4157, 'nav master'!$B:$B, 0)), "")</f>
        <v>ULIF00102/01/04LiquidFund101</v>
      </c>
      <c r="E4157" s="8" t="s">
        <v>658</v>
      </c>
      <c r="F4157" s="8" t="s">
        <v>4384</v>
      </c>
    </row>
    <row r="4158" spans="1:6" ht="60" x14ac:dyDescent="0.25">
      <c r="A4158" s="8" t="s">
        <v>125</v>
      </c>
      <c r="B4158" s="8" t="s">
        <v>141</v>
      </c>
      <c r="C4158" s="8" t="str">
        <f>IFERROR(_xlfn.XLOOKUP(TRIM(B4158),Lookup!$B$2:$B$1000,Lookup!$C$2:$C$1000),"")</f>
        <v>Debt</v>
      </c>
      <c r="D4158" s="8" t="str">
        <f>IFERROR(INDEX('nav master'!$C:$C, MATCH(B4158, 'nav master'!$B:$B, 0)), "")</f>
        <v>ULIF00102/01/04LiquidFund101</v>
      </c>
      <c r="E4158" s="8" t="s">
        <v>660</v>
      </c>
      <c r="F4158" s="8" t="s">
        <v>4385</v>
      </c>
    </row>
    <row r="4159" spans="1:6" ht="60" x14ac:dyDescent="0.25">
      <c r="A4159" s="8" t="s">
        <v>125</v>
      </c>
      <c r="B4159" s="8" t="s">
        <v>141</v>
      </c>
      <c r="C4159" s="8" t="str">
        <f>IFERROR(_xlfn.XLOOKUP(TRIM(B4159),Lookup!$B$2:$B$1000,Lookup!$C$2:$C$1000),"")</f>
        <v>Debt</v>
      </c>
      <c r="D4159" s="8" t="str">
        <f>IFERROR(INDEX('nav master'!$C:$C, MATCH(B4159, 'nav master'!$B:$B, 0)), "")</f>
        <v>ULIF00102/01/04LiquidFund101</v>
      </c>
      <c r="E4159" s="8" t="s">
        <v>662</v>
      </c>
      <c r="F4159" s="8" t="s">
        <v>4386</v>
      </c>
    </row>
    <row r="4160" spans="1:6" ht="60" x14ac:dyDescent="0.25">
      <c r="A4160" s="8" t="s">
        <v>125</v>
      </c>
      <c r="B4160" s="8" t="s">
        <v>141</v>
      </c>
      <c r="C4160" s="8" t="str">
        <f>IFERROR(_xlfn.XLOOKUP(TRIM(B4160),Lookup!$B$2:$B$1000,Lookup!$C$2:$C$1000),"")</f>
        <v>Debt</v>
      </c>
      <c r="D4160" s="8" t="str">
        <f>IFERROR(INDEX('nav master'!$C:$C, MATCH(B4160, 'nav master'!$B:$B, 0)), "")</f>
        <v>ULIF00102/01/04LiquidFund101</v>
      </c>
      <c r="E4160" s="8" t="s">
        <v>664</v>
      </c>
      <c r="F4160" s="8" t="s">
        <v>4387</v>
      </c>
    </row>
    <row r="4161" spans="1:6" ht="60" x14ac:dyDescent="0.25">
      <c r="A4161" s="8" t="s">
        <v>125</v>
      </c>
      <c r="B4161" s="8" t="s">
        <v>141</v>
      </c>
      <c r="C4161" s="8" t="str">
        <f>IFERROR(_xlfn.XLOOKUP(TRIM(B4161),Lookup!$B$2:$B$1000,Lookup!$C$2:$C$1000),"")</f>
        <v>Debt</v>
      </c>
      <c r="D4161" s="8" t="str">
        <f>IFERROR(INDEX('nav master'!$C:$C, MATCH(B4161, 'nav master'!$B:$B, 0)), "")</f>
        <v>ULIF00102/01/04LiquidFund101</v>
      </c>
      <c r="E4161" s="8" t="s">
        <v>4892</v>
      </c>
      <c r="F4161" s="8" t="s">
        <v>5029</v>
      </c>
    </row>
    <row r="4162" spans="1:6" ht="60" x14ac:dyDescent="0.25">
      <c r="A4162" s="8" t="s">
        <v>125</v>
      </c>
      <c r="B4162" s="8" t="s">
        <v>141</v>
      </c>
      <c r="C4162" s="8" t="str">
        <f>IFERROR(_xlfn.XLOOKUP(TRIM(B4162),Lookup!$B$2:$B$1000,Lookup!$C$2:$C$1000),"")</f>
        <v>Debt</v>
      </c>
      <c r="D4162" s="8" t="str">
        <f>IFERROR(INDEX('nav master'!$C:$C, MATCH(B4162, 'nav master'!$B:$B, 0)), "")</f>
        <v>ULIF00102/01/04LiquidFund101</v>
      </c>
      <c r="E4162" s="8" t="s">
        <v>4894</v>
      </c>
      <c r="F4162" s="8" t="s">
        <v>5030</v>
      </c>
    </row>
    <row r="4163" spans="1:6" ht="60" x14ac:dyDescent="0.25">
      <c r="A4163" s="8" t="s">
        <v>125</v>
      </c>
      <c r="B4163" s="8" t="s">
        <v>141</v>
      </c>
      <c r="C4163" s="8" t="str">
        <f>IFERROR(_xlfn.XLOOKUP(TRIM(B4163),Lookup!$B$2:$B$1000,Lookup!$C$2:$C$1000),"")</f>
        <v>Debt</v>
      </c>
      <c r="D4163" s="8" t="str">
        <f>IFERROR(INDEX('nav master'!$C:$C, MATCH(B4163, 'nav master'!$B:$B, 0)), "")</f>
        <v>ULIF00102/01/04LiquidFund101</v>
      </c>
      <c r="E4163" s="8" t="s">
        <v>4896</v>
      </c>
      <c r="F4163" s="8" t="s">
        <v>5031</v>
      </c>
    </row>
    <row r="4164" spans="1:6" ht="60" x14ac:dyDescent="0.25">
      <c r="A4164" s="8" t="s">
        <v>125</v>
      </c>
      <c r="B4164" s="8" t="s">
        <v>141</v>
      </c>
      <c r="C4164" s="8" t="str">
        <f>IFERROR(_xlfn.XLOOKUP(TRIM(B4164),Lookup!$B$2:$B$1000,Lookup!$C$2:$C$1000),"")</f>
        <v>Debt</v>
      </c>
      <c r="D4164" s="8" t="str">
        <f>IFERROR(INDEX('nav master'!$C:$C, MATCH(B4164, 'nav master'!$B:$B, 0)), "")</f>
        <v>ULIF00102/01/04LiquidFund101</v>
      </c>
      <c r="E4164" s="8" t="s">
        <v>4898</v>
      </c>
      <c r="F4164" s="8" t="s">
        <v>5032</v>
      </c>
    </row>
    <row r="4165" spans="1:6" ht="60" x14ac:dyDescent="0.25">
      <c r="A4165" s="8" t="s">
        <v>125</v>
      </c>
      <c r="B4165" s="8" t="s">
        <v>141</v>
      </c>
      <c r="C4165" s="8" t="str">
        <f>IFERROR(_xlfn.XLOOKUP(TRIM(B4165),Lookup!$B$2:$B$1000,Lookup!$C$2:$C$1000),"")</f>
        <v>Debt</v>
      </c>
      <c r="D4165" s="8" t="str">
        <f>IFERROR(INDEX('nav master'!$C:$C, MATCH(B4165, 'nav master'!$B:$B, 0)), "")</f>
        <v>ULIF00102/01/04LiquidFund101</v>
      </c>
      <c r="E4165" s="8" t="s">
        <v>4900</v>
      </c>
      <c r="F4165" s="8" t="s">
        <v>5033</v>
      </c>
    </row>
    <row r="4166" spans="1:6" ht="60" x14ac:dyDescent="0.25">
      <c r="A4166" s="8" t="s">
        <v>125</v>
      </c>
      <c r="B4166" s="8" t="s">
        <v>141</v>
      </c>
      <c r="C4166" s="8" t="str">
        <f>IFERROR(_xlfn.XLOOKUP(TRIM(B4166),Lookup!$B$2:$B$1000,Lookup!$C$2:$C$1000),"")</f>
        <v>Debt</v>
      </c>
      <c r="D4166" s="8" t="str">
        <f>IFERROR(INDEX('nav master'!$C:$C, MATCH(B4166, 'nav master'!$B:$B, 0)), "")</f>
        <v>ULIF00102/01/04LiquidFund101</v>
      </c>
      <c r="E4166" s="8" t="s">
        <v>4902</v>
      </c>
      <c r="F4166" s="8" t="s">
        <v>5034</v>
      </c>
    </row>
    <row r="4167" spans="1:6" ht="60" x14ac:dyDescent="0.25">
      <c r="A4167" s="8" t="s">
        <v>125</v>
      </c>
      <c r="B4167" s="8" t="s">
        <v>141</v>
      </c>
      <c r="C4167" s="8" t="str">
        <f>IFERROR(_xlfn.XLOOKUP(TRIM(B4167),Lookup!$B$2:$B$1000,Lookup!$C$2:$C$1000),"")</f>
        <v>Debt</v>
      </c>
      <c r="D4167" s="8" t="str">
        <f>IFERROR(INDEX('nav master'!$C:$C, MATCH(B4167, 'nav master'!$B:$B, 0)), "")</f>
        <v>ULIF00102/01/04LiquidFund101</v>
      </c>
      <c r="E4167" s="8" t="s">
        <v>4903</v>
      </c>
      <c r="F4167" s="8" t="s">
        <v>5035</v>
      </c>
    </row>
    <row r="4168" spans="1:6" ht="60" x14ac:dyDescent="0.25">
      <c r="A4168" s="8" t="s">
        <v>125</v>
      </c>
      <c r="B4168" s="8" t="s">
        <v>141</v>
      </c>
      <c r="C4168" s="8" t="str">
        <f>IFERROR(_xlfn.XLOOKUP(TRIM(B4168),Lookup!$B$2:$B$1000,Lookup!$C$2:$C$1000),"")</f>
        <v>Debt</v>
      </c>
      <c r="D4168" s="8" t="str">
        <f>IFERROR(INDEX('nav master'!$C:$C, MATCH(B4168, 'nav master'!$B:$B, 0)), "")</f>
        <v>ULIF00102/01/04LiquidFund101</v>
      </c>
      <c r="E4168" s="8" t="s">
        <v>4905</v>
      </c>
      <c r="F4168" s="8" t="s">
        <v>5036</v>
      </c>
    </row>
    <row r="4169" spans="1:6" ht="60" x14ac:dyDescent="0.25">
      <c r="A4169" s="8" t="s">
        <v>125</v>
      </c>
      <c r="B4169" s="8" t="s">
        <v>138</v>
      </c>
      <c r="C4169" s="8" t="str">
        <f>IFERROR(_xlfn.XLOOKUP(TRIM(B4169),Lookup!$B$2:$B$1000,Lookup!$C$2:$C$1000),"")</f>
        <v>Equity</v>
      </c>
      <c r="D4169" s="8" t="str">
        <f>IFERROR(INDEX('nav master'!$C:$C, MATCH(B4169, 'nav master'!$B:$B, 0)), "")</f>
        <v>ULIF06723/03/18EqtyAdvtFd101</v>
      </c>
      <c r="E4169" s="8" t="s">
        <v>189</v>
      </c>
      <c r="F4169" s="8" t="s">
        <v>4388</v>
      </c>
    </row>
    <row r="4170" spans="1:6" ht="60" x14ac:dyDescent="0.25">
      <c r="A4170" s="8" t="s">
        <v>125</v>
      </c>
      <c r="B4170" s="8" t="s">
        <v>138</v>
      </c>
      <c r="C4170" s="8" t="str">
        <f>IFERROR(_xlfn.XLOOKUP(TRIM(B4170),Lookup!$B$2:$B$1000,Lookup!$C$2:$C$1000),"")</f>
        <v>Equity</v>
      </c>
      <c r="D4170" s="8" t="str">
        <f>IFERROR(INDEX('nav master'!$C:$C, MATCH(B4170, 'nav master'!$B:$B, 0)), "")</f>
        <v>ULIF06723/03/18EqtyAdvtFd101</v>
      </c>
      <c r="E4170" s="8" t="s">
        <v>191</v>
      </c>
      <c r="F4170" s="8" t="s">
        <v>4389</v>
      </c>
    </row>
    <row r="4171" spans="1:6" ht="60" x14ac:dyDescent="0.25">
      <c r="A4171" s="8" t="s">
        <v>125</v>
      </c>
      <c r="B4171" s="8" t="s">
        <v>138</v>
      </c>
      <c r="C4171" s="8" t="str">
        <f>IFERROR(_xlfn.XLOOKUP(TRIM(B4171),Lookup!$B$2:$B$1000,Lookup!$C$2:$C$1000),"")</f>
        <v>Equity</v>
      </c>
      <c r="D4171" s="8" t="str">
        <f>IFERROR(INDEX('nav master'!$C:$C, MATCH(B4171, 'nav master'!$B:$B, 0)), "")</f>
        <v>ULIF06723/03/18EqtyAdvtFd101</v>
      </c>
      <c r="E4171" s="8" t="s">
        <v>193</v>
      </c>
      <c r="F4171" s="8" t="s">
        <v>4390</v>
      </c>
    </row>
    <row r="4172" spans="1:6" ht="60" x14ac:dyDescent="0.25">
      <c r="A4172" s="8" t="s">
        <v>125</v>
      </c>
      <c r="B4172" s="8" t="s">
        <v>138</v>
      </c>
      <c r="C4172" s="8" t="str">
        <f>IFERROR(_xlfn.XLOOKUP(TRIM(B4172),Lookup!$B$2:$B$1000,Lookup!$C$2:$C$1000),"")</f>
        <v>Equity</v>
      </c>
      <c r="D4172" s="8" t="str">
        <f>IFERROR(INDEX('nav master'!$C:$C, MATCH(B4172, 'nav master'!$B:$B, 0)), "")</f>
        <v>ULIF06723/03/18EqtyAdvtFd101</v>
      </c>
      <c r="E4172" s="8" t="s">
        <v>195</v>
      </c>
      <c r="F4172" s="8" t="s">
        <v>4391</v>
      </c>
    </row>
    <row r="4173" spans="1:6" ht="60" x14ac:dyDescent="0.25">
      <c r="A4173" s="8" t="s">
        <v>125</v>
      </c>
      <c r="B4173" s="8" t="s">
        <v>138</v>
      </c>
      <c r="C4173" s="8" t="str">
        <f>IFERROR(_xlfn.XLOOKUP(TRIM(B4173),Lookup!$B$2:$B$1000,Lookup!$C$2:$C$1000),"")</f>
        <v>Equity</v>
      </c>
      <c r="D4173" s="8" t="str">
        <f>IFERROR(INDEX('nav master'!$C:$C, MATCH(B4173, 'nav master'!$B:$B, 0)), "")</f>
        <v>ULIF06723/03/18EqtyAdvtFd101</v>
      </c>
      <c r="E4173" s="8" t="s">
        <v>197</v>
      </c>
      <c r="F4173" s="8" t="s">
        <v>4392</v>
      </c>
    </row>
    <row r="4174" spans="1:6" ht="60" x14ac:dyDescent="0.25">
      <c r="A4174" s="8" t="s">
        <v>125</v>
      </c>
      <c r="B4174" s="8" t="s">
        <v>138</v>
      </c>
      <c r="C4174" s="8" t="str">
        <f>IFERROR(_xlfn.XLOOKUP(TRIM(B4174),Lookup!$B$2:$B$1000,Lookup!$C$2:$C$1000),"")</f>
        <v>Equity</v>
      </c>
      <c r="D4174" s="8" t="str">
        <f>IFERROR(INDEX('nav master'!$C:$C, MATCH(B4174, 'nav master'!$B:$B, 0)), "")</f>
        <v>ULIF06723/03/18EqtyAdvtFd101</v>
      </c>
      <c r="E4174" s="8" t="s">
        <v>199</v>
      </c>
      <c r="F4174" s="8" t="s">
        <v>4393</v>
      </c>
    </row>
    <row r="4175" spans="1:6" ht="60" x14ac:dyDescent="0.25">
      <c r="A4175" s="8" t="s">
        <v>125</v>
      </c>
      <c r="B4175" s="8" t="s">
        <v>138</v>
      </c>
      <c r="C4175" s="8" t="str">
        <f>IFERROR(_xlfn.XLOOKUP(TRIM(B4175),Lookup!$B$2:$B$1000,Lookup!$C$2:$C$1000),"")</f>
        <v>Equity</v>
      </c>
      <c r="D4175" s="8" t="str">
        <f>IFERROR(INDEX('nav master'!$C:$C, MATCH(B4175, 'nav master'!$B:$B, 0)), "")</f>
        <v>ULIF06723/03/18EqtyAdvtFd101</v>
      </c>
      <c r="E4175" s="8" t="s">
        <v>201</v>
      </c>
      <c r="F4175" s="8" t="s">
        <v>4394</v>
      </c>
    </row>
    <row r="4176" spans="1:6" ht="60" x14ac:dyDescent="0.25">
      <c r="A4176" s="8" t="s">
        <v>125</v>
      </c>
      <c r="B4176" s="8" t="s">
        <v>138</v>
      </c>
      <c r="C4176" s="8" t="str">
        <f>IFERROR(_xlfn.XLOOKUP(TRIM(B4176),Lookup!$B$2:$B$1000,Lookup!$C$2:$C$1000),"")</f>
        <v>Equity</v>
      </c>
      <c r="D4176" s="8" t="str">
        <f>IFERROR(INDEX('nav master'!$C:$C, MATCH(B4176, 'nav master'!$B:$B, 0)), "")</f>
        <v>ULIF06723/03/18EqtyAdvtFd101</v>
      </c>
      <c r="E4176" s="8" t="s">
        <v>203</v>
      </c>
      <c r="F4176" s="8" t="s">
        <v>4395</v>
      </c>
    </row>
    <row r="4177" spans="1:6" ht="60" x14ac:dyDescent="0.25">
      <c r="A4177" s="8" t="s">
        <v>125</v>
      </c>
      <c r="B4177" s="8" t="s">
        <v>138</v>
      </c>
      <c r="C4177" s="8" t="str">
        <f>IFERROR(_xlfn.XLOOKUP(TRIM(B4177),Lookup!$B$2:$B$1000,Lookup!$C$2:$C$1000),"")</f>
        <v>Equity</v>
      </c>
      <c r="D4177" s="8" t="str">
        <f>IFERROR(INDEX('nav master'!$C:$C, MATCH(B4177, 'nav master'!$B:$B, 0)), "")</f>
        <v>ULIF06723/03/18EqtyAdvtFd101</v>
      </c>
      <c r="E4177" s="8" t="s">
        <v>205</v>
      </c>
      <c r="F4177" s="8" t="s">
        <v>4396</v>
      </c>
    </row>
    <row r="4178" spans="1:6" ht="60" x14ac:dyDescent="0.25">
      <c r="A4178" s="8" t="s">
        <v>125</v>
      </c>
      <c r="B4178" s="8" t="s">
        <v>138</v>
      </c>
      <c r="C4178" s="8" t="str">
        <f>IFERROR(_xlfn.XLOOKUP(TRIM(B4178),Lookup!$B$2:$B$1000,Lookup!$C$2:$C$1000),"")</f>
        <v>Equity</v>
      </c>
      <c r="D4178" s="8" t="str">
        <f>IFERROR(INDEX('nav master'!$C:$C, MATCH(B4178, 'nav master'!$B:$B, 0)), "")</f>
        <v>ULIF06723/03/18EqtyAdvtFd101</v>
      </c>
      <c r="E4178" s="8" t="s">
        <v>207</v>
      </c>
      <c r="F4178" s="8" t="s">
        <v>4397</v>
      </c>
    </row>
    <row r="4179" spans="1:6" ht="60" x14ac:dyDescent="0.25">
      <c r="A4179" s="8" t="s">
        <v>125</v>
      </c>
      <c r="B4179" s="8" t="s">
        <v>138</v>
      </c>
      <c r="C4179" s="8" t="str">
        <f>IFERROR(_xlfn.XLOOKUP(TRIM(B4179),Lookup!$B$2:$B$1000,Lookup!$C$2:$C$1000),"")</f>
        <v>Equity</v>
      </c>
      <c r="D4179" s="8" t="str">
        <f>IFERROR(INDEX('nav master'!$C:$C, MATCH(B4179, 'nav master'!$B:$B, 0)), "")</f>
        <v>ULIF06723/03/18EqtyAdvtFd101</v>
      </c>
      <c r="E4179" s="8" t="s">
        <v>209</v>
      </c>
      <c r="F4179" s="8" t="s">
        <v>4398</v>
      </c>
    </row>
    <row r="4180" spans="1:6" ht="60" x14ac:dyDescent="0.25">
      <c r="A4180" s="8" t="s">
        <v>125</v>
      </c>
      <c r="B4180" s="8" t="s">
        <v>138</v>
      </c>
      <c r="C4180" s="8" t="str">
        <f>IFERROR(_xlfn.XLOOKUP(TRIM(B4180),Lookup!$B$2:$B$1000,Lookup!$C$2:$C$1000),"")</f>
        <v>Equity</v>
      </c>
      <c r="D4180" s="8" t="str">
        <f>IFERROR(INDEX('nav master'!$C:$C, MATCH(B4180, 'nav master'!$B:$B, 0)), "")</f>
        <v>ULIF06723/03/18EqtyAdvtFd101</v>
      </c>
      <c r="E4180" s="8" t="s">
        <v>211</v>
      </c>
      <c r="F4180" s="8" t="s">
        <v>4399</v>
      </c>
    </row>
    <row r="4181" spans="1:6" ht="60" x14ac:dyDescent="0.25">
      <c r="A4181" s="8" t="s">
        <v>125</v>
      </c>
      <c r="B4181" s="8" t="s">
        <v>138</v>
      </c>
      <c r="C4181" s="8" t="str">
        <f>IFERROR(_xlfn.XLOOKUP(TRIM(B4181),Lookup!$B$2:$B$1000,Lookup!$C$2:$C$1000),"")</f>
        <v>Equity</v>
      </c>
      <c r="D4181" s="8" t="str">
        <f>IFERROR(INDEX('nav master'!$C:$C, MATCH(B4181, 'nav master'!$B:$B, 0)), "")</f>
        <v>ULIF06723/03/18EqtyAdvtFd101</v>
      </c>
      <c r="E4181" s="8" t="s">
        <v>213</v>
      </c>
      <c r="F4181" s="8" t="s">
        <v>4400</v>
      </c>
    </row>
    <row r="4182" spans="1:6" ht="60" x14ac:dyDescent="0.25">
      <c r="A4182" s="8" t="s">
        <v>125</v>
      </c>
      <c r="B4182" s="8" t="s">
        <v>138</v>
      </c>
      <c r="C4182" s="8" t="str">
        <f>IFERROR(_xlfn.XLOOKUP(TRIM(B4182),Lookup!$B$2:$B$1000,Lookup!$C$2:$C$1000),"")</f>
        <v>Equity</v>
      </c>
      <c r="D4182" s="8" t="str">
        <f>IFERROR(INDEX('nav master'!$C:$C, MATCH(B4182, 'nav master'!$B:$B, 0)), "")</f>
        <v>ULIF06723/03/18EqtyAdvtFd101</v>
      </c>
      <c r="E4182" s="8" t="s">
        <v>215</v>
      </c>
      <c r="F4182" s="8" t="s">
        <v>4401</v>
      </c>
    </row>
    <row r="4183" spans="1:6" ht="60" x14ac:dyDescent="0.25">
      <c r="A4183" s="8" t="s">
        <v>125</v>
      </c>
      <c r="B4183" s="8" t="s">
        <v>138</v>
      </c>
      <c r="C4183" s="8" t="str">
        <f>IFERROR(_xlfn.XLOOKUP(TRIM(B4183),Lookup!$B$2:$B$1000,Lookup!$C$2:$C$1000),"")</f>
        <v>Equity</v>
      </c>
      <c r="D4183" s="8" t="str">
        <f>IFERROR(INDEX('nav master'!$C:$C, MATCH(B4183, 'nav master'!$B:$B, 0)), "")</f>
        <v>ULIF06723/03/18EqtyAdvtFd101</v>
      </c>
      <c r="E4183" s="8" t="s">
        <v>217</v>
      </c>
      <c r="F4183" s="8" t="s">
        <v>4402</v>
      </c>
    </row>
    <row r="4184" spans="1:6" ht="60" x14ac:dyDescent="0.25">
      <c r="A4184" s="8" t="s">
        <v>125</v>
      </c>
      <c r="B4184" s="8" t="s">
        <v>138</v>
      </c>
      <c r="C4184" s="8" t="str">
        <f>IFERROR(_xlfn.XLOOKUP(TRIM(B4184),Lookup!$B$2:$B$1000,Lookup!$C$2:$C$1000),"")</f>
        <v>Equity</v>
      </c>
      <c r="D4184" s="8" t="str">
        <f>IFERROR(INDEX('nav master'!$C:$C, MATCH(B4184, 'nav master'!$B:$B, 0)), "")</f>
        <v>ULIF06723/03/18EqtyAdvtFd101</v>
      </c>
      <c r="E4184" s="8" t="s">
        <v>219</v>
      </c>
      <c r="F4184" s="8" t="s">
        <v>4403</v>
      </c>
    </row>
    <row r="4185" spans="1:6" ht="60" x14ac:dyDescent="0.25">
      <c r="A4185" s="8" t="s">
        <v>125</v>
      </c>
      <c r="B4185" s="8" t="s">
        <v>138</v>
      </c>
      <c r="C4185" s="8" t="str">
        <f>IFERROR(_xlfn.XLOOKUP(TRIM(B4185),Lookup!$B$2:$B$1000,Lookup!$C$2:$C$1000),"")</f>
        <v>Equity</v>
      </c>
      <c r="D4185" s="8" t="str">
        <f>IFERROR(INDEX('nav master'!$C:$C, MATCH(B4185, 'nav master'!$B:$B, 0)), "")</f>
        <v>ULIF06723/03/18EqtyAdvtFd101</v>
      </c>
      <c r="E4185" s="8" t="s">
        <v>221</v>
      </c>
      <c r="F4185" s="8" t="s">
        <v>4404</v>
      </c>
    </row>
    <row r="4186" spans="1:6" ht="60" x14ac:dyDescent="0.25">
      <c r="A4186" s="8" t="s">
        <v>125</v>
      </c>
      <c r="B4186" s="8" t="s">
        <v>138</v>
      </c>
      <c r="C4186" s="8" t="str">
        <f>IFERROR(_xlfn.XLOOKUP(TRIM(B4186),Lookup!$B$2:$B$1000,Lookup!$C$2:$C$1000),"")</f>
        <v>Equity</v>
      </c>
      <c r="D4186" s="8" t="str">
        <f>IFERROR(INDEX('nav master'!$C:$C, MATCH(B4186, 'nav master'!$B:$B, 0)), "")</f>
        <v>ULIF06723/03/18EqtyAdvtFd101</v>
      </c>
      <c r="E4186" s="8" t="s">
        <v>223</v>
      </c>
      <c r="F4186" s="8" t="s">
        <v>4405</v>
      </c>
    </row>
    <row r="4187" spans="1:6" ht="60" x14ac:dyDescent="0.25">
      <c r="A4187" s="8" t="s">
        <v>125</v>
      </c>
      <c r="B4187" s="8" t="s">
        <v>138</v>
      </c>
      <c r="C4187" s="8" t="str">
        <f>IFERROR(_xlfn.XLOOKUP(TRIM(B4187),Lookup!$B$2:$B$1000,Lookup!$C$2:$C$1000),"")</f>
        <v>Equity</v>
      </c>
      <c r="D4187" s="8" t="str">
        <f>IFERROR(INDEX('nav master'!$C:$C, MATCH(B4187, 'nav master'!$B:$B, 0)), "")</f>
        <v>ULIF06723/03/18EqtyAdvtFd101</v>
      </c>
      <c r="E4187" s="8" t="s">
        <v>225</v>
      </c>
      <c r="F4187" s="8" t="s">
        <v>4406</v>
      </c>
    </row>
    <row r="4188" spans="1:6" ht="60" x14ac:dyDescent="0.25">
      <c r="A4188" s="8" t="s">
        <v>125</v>
      </c>
      <c r="B4188" s="8" t="s">
        <v>138</v>
      </c>
      <c r="C4188" s="8" t="str">
        <f>IFERROR(_xlfn.XLOOKUP(TRIM(B4188),Lookup!$B$2:$B$1000,Lookup!$C$2:$C$1000),"")</f>
        <v>Equity</v>
      </c>
      <c r="D4188" s="8" t="str">
        <f>IFERROR(INDEX('nav master'!$C:$C, MATCH(B4188, 'nav master'!$B:$B, 0)), "")</f>
        <v>ULIF06723/03/18EqtyAdvtFd101</v>
      </c>
      <c r="E4188" s="8" t="s">
        <v>227</v>
      </c>
      <c r="F4188" s="8" t="s">
        <v>4407</v>
      </c>
    </row>
    <row r="4189" spans="1:6" ht="60" x14ac:dyDescent="0.25">
      <c r="A4189" s="8" t="s">
        <v>125</v>
      </c>
      <c r="B4189" s="8" t="s">
        <v>138</v>
      </c>
      <c r="C4189" s="8" t="str">
        <f>IFERROR(_xlfn.XLOOKUP(TRIM(B4189),Lookup!$B$2:$B$1000,Lookup!$C$2:$C$1000),"")</f>
        <v>Equity</v>
      </c>
      <c r="D4189" s="8" t="str">
        <f>IFERROR(INDEX('nav master'!$C:$C, MATCH(B4189, 'nav master'!$B:$B, 0)), "")</f>
        <v>ULIF06723/03/18EqtyAdvtFd101</v>
      </c>
      <c r="E4189" s="8" t="s">
        <v>229</v>
      </c>
      <c r="F4189" s="8" t="s">
        <v>4408</v>
      </c>
    </row>
    <row r="4190" spans="1:6" ht="60" x14ac:dyDescent="0.25">
      <c r="A4190" s="8" t="s">
        <v>125</v>
      </c>
      <c r="B4190" s="8" t="s">
        <v>138</v>
      </c>
      <c r="C4190" s="8" t="str">
        <f>IFERROR(_xlfn.XLOOKUP(TRIM(B4190),Lookup!$B$2:$B$1000,Lookup!$C$2:$C$1000),"")</f>
        <v>Equity</v>
      </c>
      <c r="D4190" s="8" t="str">
        <f>IFERROR(INDEX('nav master'!$C:$C, MATCH(B4190, 'nav master'!$B:$B, 0)), "")</f>
        <v>ULIF06723/03/18EqtyAdvtFd101</v>
      </c>
      <c r="E4190" s="8" t="s">
        <v>231</v>
      </c>
      <c r="F4190" s="8" t="s">
        <v>4409</v>
      </c>
    </row>
    <row r="4191" spans="1:6" ht="60" x14ac:dyDescent="0.25">
      <c r="A4191" s="8" t="s">
        <v>125</v>
      </c>
      <c r="B4191" s="8" t="s">
        <v>138</v>
      </c>
      <c r="C4191" s="8" t="str">
        <f>IFERROR(_xlfn.XLOOKUP(TRIM(B4191),Lookup!$B$2:$B$1000,Lookup!$C$2:$C$1000),"")</f>
        <v>Equity</v>
      </c>
      <c r="D4191" s="8" t="str">
        <f>IFERROR(INDEX('nav master'!$C:$C, MATCH(B4191, 'nav master'!$B:$B, 0)), "")</f>
        <v>ULIF06723/03/18EqtyAdvtFd101</v>
      </c>
      <c r="E4191" s="8" t="s">
        <v>233</v>
      </c>
      <c r="F4191" s="8" t="s">
        <v>4410</v>
      </c>
    </row>
    <row r="4192" spans="1:6" ht="60" x14ac:dyDescent="0.25">
      <c r="A4192" s="8" t="s">
        <v>125</v>
      </c>
      <c r="B4192" s="8" t="s">
        <v>138</v>
      </c>
      <c r="C4192" s="8" t="str">
        <f>IFERROR(_xlfn.XLOOKUP(TRIM(B4192),Lookup!$B$2:$B$1000,Lookup!$C$2:$C$1000),"")</f>
        <v>Equity</v>
      </c>
      <c r="D4192" s="8" t="str">
        <f>IFERROR(INDEX('nav master'!$C:$C, MATCH(B4192, 'nav master'!$B:$B, 0)), "")</f>
        <v>ULIF06723/03/18EqtyAdvtFd101</v>
      </c>
      <c r="E4192" s="8" t="s">
        <v>235</v>
      </c>
      <c r="F4192" s="8" t="s">
        <v>4411</v>
      </c>
    </row>
    <row r="4193" spans="1:6" ht="60" x14ac:dyDescent="0.25">
      <c r="A4193" s="8" t="s">
        <v>125</v>
      </c>
      <c r="B4193" s="8" t="s">
        <v>138</v>
      </c>
      <c r="C4193" s="8" t="str">
        <f>IFERROR(_xlfn.XLOOKUP(TRIM(B4193),Lookup!$B$2:$B$1000,Lookup!$C$2:$C$1000),"")</f>
        <v>Equity</v>
      </c>
      <c r="D4193" s="8" t="str">
        <f>IFERROR(INDEX('nav master'!$C:$C, MATCH(B4193, 'nav master'!$B:$B, 0)), "")</f>
        <v>ULIF06723/03/18EqtyAdvtFd101</v>
      </c>
      <c r="E4193" s="8" t="s">
        <v>237</v>
      </c>
      <c r="F4193" s="8" t="s">
        <v>4412</v>
      </c>
    </row>
    <row r="4194" spans="1:6" ht="60" x14ac:dyDescent="0.25">
      <c r="A4194" s="8" t="s">
        <v>125</v>
      </c>
      <c r="B4194" s="8" t="s">
        <v>138</v>
      </c>
      <c r="C4194" s="8" t="str">
        <f>IFERROR(_xlfn.XLOOKUP(TRIM(B4194),Lookup!$B$2:$B$1000,Lookup!$C$2:$C$1000),"")</f>
        <v>Equity</v>
      </c>
      <c r="D4194" s="8" t="str">
        <f>IFERROR(INDEX('nav master'!$C:$C, MATCH(B4194, 'nav master'!$B:$B, 0)), "")</f>
        <v>ULIF06723/03/18EqtyAdvtFd101</v>
      </c>
      <c r="E4194" s="8" t="s">
        <v>239</v>
      </c>
      <c r="F4194" s="8" t="s">
        <v>4413</v>
      </c>
    </row>
    <row r="4195" spans="1:6" ht="60" x14ac:dyDescent="0.25">
      <c r="A4195" s="8" t="s">
        <v>125</v>
      </c>
      <c r="B4195" s="8" t="s">
        <v>138</v>
      </c>
      <c r="C4195" s="8" t="str">
        <f>IFERROR(_xlfn.XLOOKUP(TRIM(B4195),Lookup!$B$2:$B$1000,Lookup!$C$2:$C$1000),"")</f>
        <v>Equity</v>
      </c>
      <c r="D4195" s="8" t="str">
        <f>IFERROR(INDEX('nav master'!$C:$C, MATCH(B4195, 'nav master'!$B:$B, 0)), "")</f>
        <v>ULIF06723/03/18EqtyAdvtFd101</v>
      </c>
      <c r="E4195" s="8" t="s">
        <v>241</v>
      </c>
      <c r="F4195" s="8" t="s">
        <v>4414</v>
      </c>
    </row>
    <row r="4196" spans="1:6" ht="60" x14ac:dyDescent="0.25">
      <c r="A4196" s="8" t="s">
        <v>125</v>
      </c>
      <c r="B4196" s="8" t="s">
        <v>138</v>
      </c>
      <c r="C4196" s="8" t="str">
        <f>IFERROR(_xlfn.XLOOKUP(TRIM(B4196),Lookup!$B$2:$B$1000,Lookup!$C$2:$C$1000),"")</f>
        <v>Equity</v>
      </c>
      <c r="D4196" s="8" t="str">
        <f>IFERROR(INDEX('nav master'!$C:$C, MATCH(B4196, 'nav master'!$B:$B, 0)), "")</f>
        <v>ULIF06723/03/18EqtyAdvtFd101</v>
      </c>
      <c r="E4196" s="8" t="s">
        <v>243</v>
      </c>
      <c r="F4196" s="8" t="s">
        <v>4415</v>
      </c>
    </row>
    <row r="4197" spans="1:6" ht="60" x14ac:dyDescent="0.25">
      <c r="A4197" s="8" t="s">
        <v>125</v>
      </c>
      <c r="B4197" s="8" t="s">
        <v>138</v>
      </c>
      <c r="C4197" s="8" t="str">
        <f>IFERROR(_xlfn.XLOOKUP(TRIM(B4197),Lookup!$B$2:$B$1000,Lookup!$C$2:$C$1000),"")</f>
        <v>Equity</v>
      </c>
      <c r="D4197" s="8" t="str">
        <f>IFERROR(INDEX('nav master'!$C:$C, MATCH(B4197, 'nav master'!$B:$B, 0)), "")</f>
        <v>ULIF06723/03/18EqtyAdvtFd101</v>
      </c>
      <c r="E4197" s="8" t="s">
        <v>245</v>
      </c>
      <c r="F4197" s="8" t="s">
        <v>4416</v>
      </c>
    </row>
    <row r="4198" spans="1:6" ht="60" x14ac:dyDescent="0.25">
      <c r="A4198" s="8" t="s">
        <v>125</v>
      </c>
      <c r="B4198" s="8" t="s">
        <v>138</v>
      </c>
      <c r="C4198" s="8" t="str">
        <f>IFERROR(_xlfn.XLOOKUP(TRIM(B4198),Lookup!$B$2:$B$1000,Lookup!$C$2:$C$1000),"")</f>
        <v>Equity</v>
      </c>
      <c r="D4198" s="8" t="str">
        <f>IFERROR(INDEX('nav master'!$C:$C, MATCH(B4198, 'nav master'!$B:$B, 0)), "")</f>
        <v>ULIF06723/03/18EqtyAdvtFd101</v>
      </c>
      <c r="E4198" s="8" t="s">
        <v>247</v>
      </c>
      <c r="F4198" s="8" t="s">
        <v>4417</v>
      </c>
    </row>
    <row r="4199" spans="1:6" ht="60" x14ac:dyDescent="0.25">
      <c r="A4199" s="8" t="s">
        <v>125</v>
      </c>
      <c r="B4199" s="8" t="s">
        <v>138</v>
      </c>
      <c r="C4199" s="8" t="str">
        <f>IFERROR(_xlfn.XLOOKUP(TRIM(B4199),Lookup!$B$2:$B$1000,Lookup!$C$2:$C$1000),"")</f>
        <v>Equity</v>
      </c>
      <c r="D4199" s="8" t="str">
        <f>IFERROR(INDEX('nav master'!$C:$C, MATCH(B4199, 'nav master'!$B:$B, 0)), "")</f>
        <v>ULIF06723/03/18EqtyAdvtFd101</v>
      </c>
      <c r="E4199" s="8" t="s">
        <v>249</v>
      </c>
      <c r="F4199" s="8" t="s">
        <v>4418</v>
      </c>
    </row>
    <row r="4200" spans="1:6" ht="60" x14ac:dyDescent="0.25">
      <c r="A4200" s="8" t="s">
        <v>125</v>
      </c>
      <c r="B4200" s="8" t="s">
        <v>138</v>
      </c>
      <c r="C4200" s="8" t="str">
        <f>IFERROR(_xlfn.XLOOKUP(TRIM(B4200),Lookup!$B$2:$B$1000,Lookup!$C$2:$C$1000),"")</f>
        <v>Equity</v>
      </c>
      <c r="D4200" s="8" t="str">
        <f>IFERROR(INDEX('nav master'!$C:$C, MATCH(B4200, 'nav master'!$B:$B, 0)), "")</f>
        <v>ULIF06723/03/18EqtyAdvtFd101</v>
      </c>
      <c r="E4200" s="8" t="s">
        <v>251</v>
      </c>
      <c r="F4200" s="8" t="s">
        <v>4419</v>
      </c>
    </row>
    <row r="4201" spans="1:6" ht="60" x14ac:dyDescent="0.25">
      <c r="A4201" s="8" t="s">
        <v>125</v>
      </c>
      <c r="B4201" s="8" t="s">
        <v>138</v>
      </c>
      <c r="C4201" s="8" t="str">
        <f>IFERROR(_xlfn.XLOOKUP(TRIM(B4201),Lookup!$B$2:$B$1000,Lookup!$C$2:$C$1000),"")</f>
        <v>Equity</v>
      </c>
      <c r="D4201" s="8" t="str">
        <f>IFERROR(INDEX('nav master'!$C:$C, MATCH(B4201, 'nav master'!$B:$B, 0)), "")</f>
        <v>ULIF06723/03/18EqtyAdvtFd101</v>
      </c>
      <c r="E4201" s="8" t="s">
        <v>253</v>
      </c>
      <c r="F4201" s="8" t="s">
        <v>4420</v>
      </c>
    </row>
    <row r="4202" spans="1:6" ht="60" x14ac:dyDescent="0.25">
      <c r="A4202" s="8" t="s">
        <v>125</v>
      </c>
      <c r="B4202" s="8" t="s">
        <v>138</v>
      </c>
      <c r="C4202" s="8" t="str">
        <f>IFERROR(_xlfn.XLOOKUP(TRIM(B4202),Lookup!$B$2:$B$1000,Lookup!$C$2:$C$1000),"")</f>
        <v>Equity</v>
      </c>
      <c r="D4202" s="8" t="str">
        <f>IFERROR(INDEX('nav master'!$C:$C, MATCH(B4202, 'nav master'!$B:$B, 0)), "")</f>
        <v>ULIF06723/03/18EqtyAdvtFd101</v>
      </c>
      <c r="E4202" s="8" t="s">
        <v>255</v>
      </c>
      <c r="F4202" s="8" t="s">
        <v>4421</v>
      </c>
    </row>
    <row r="4203" spans="1:6" ht="60" x14ac:dyDescent="0.25">
      <c r="A4203" s="8" t="s">
        <v>125</v>
      </c>
      <c r="B4203" s="8" t="s">
        <v>138</v>
      </c>
      <c r="C4203" s="8" t="str">
        <f>IFERROR(_xlfn.XLOOKUP(TRIM(B4203),Lookup!$B$2:$B$1000,Lookup!$C$2:$C$1000),"")</f>
        <v>Equity</v>
      </c>
      <c r="D4203" s="8" t="str">
        <f>IFERROR(INDEX('nav master'!$C:$C, MATCH(B4203, 'nav master'!$B:$B, 0)), "")</f>
        <v>ULIF06723/03/18EqtyAdvtFd101</v>
      </c>
      <c r="E4203" s="8" t="s">
        <v>257</v>
      </c>
      <c r="F4203" s="8" t="s">
        <v>4422</v>
      </c>
    </row>
    <row r="4204" spans="1:6" ht="60" x14ac:dyDescent="0.25">
      <c r="A4204" s="8" t="s">
        <v>125</v>
      </c>
      <c r="B4204" s="8" t="s">
        <v>138</v>
      </c>
      <c r="C4204" s="8" t="str">
        <f>IFERROR(_xlfn.XLOOKUP(TRIM(B4204),Lookup!$B$2:$B$1000,Lookup!$C$2:$C$1000),"")</f>
        <v>Equity</v>
      </c>
      <c r="D4204" s="8" t="str">
        <f>IFERROR(INDEX('nav master'!$C:$C, MATCH(B4204, 'nav master'!$B:$B, 0)), "")</f>
        <v>ULIF06723/03/18EqtyAdvtFd101</v>
      </c>
      <c r="E4204" s="8" t="s">
        <v>259</v>
      </c>
      <c r="F4204" s="8" t="s">
        <v>4423</v>
      </c>
    </row>
    <row r="4205" spans="1:6" ht="60" x14ac:dyDescent="0.25">
      <c r="A4205" s="8" t="s">
        <v>125</v>
      </c>
      <c r="B4205" s="8" t="s">
        <v>138</v>
      </c>
      <c r="C4205" s="8" t="str">
        <f>IFERROR(_xlfn.XLOOKUP(TRIM(B4205),Lookup!$B$2:$B$1000,Lookup!$C$2:$C$1000),"")</f>
        <v>Equity</v>
      </c>
      <c r="D4205" s="8" t="str">
        <f>IFERROR(INDEX('nav master'!$C:$C, MATCH(B4205, 'nav master'!$B:$B, 0)), "")</f>
        <v>ULIF06723/03/18EqtyAdvtFd101</v>
      </c>
      <c r="E4205" s="8" t="s">
        <v>261</v>
      </c>
      <c r="F4205" s="8" t="s">
        <v>4424</v>
      </c>
    </row>
    <row r="4206" spans="1:6" ht="60" x14ac:dyDescent="0.25">
      <c r="A4206" s="8" t="s">
        <v>125</v>
      </c>
      <c r="B4206" s="8" t="s">
        <v>138</v>
      </c>
      <c r="C4206" s="8" t="str">
        <f>IFERROR(_xlfn.XLOOKUP(TRIM(B4206),Lookup!$B$2:$B$1000,Lookup!$C$2:$C$1000),"")</f>
        <v>Equity</v>
      </c>
      <c r="D4206" s="8" t="str">
        <f>IFERROR(INDEX('nav master'!$C:$C, MATCH(B4206, 'nav master'!$B:$B, 0)), "")</f>
        <v>ULIF06723/03/18EqtyAdvtFd101</v>
      </c>
      <c r="E4206" s="8" t="s">
        <v>263</v>
      </c>
      <c r="F4206" s="8" t="s">
        <v>4425</v>
      </c>
    </row>
    <row r="4207" spans="1:6" ht="60" x14ac:dyDescent="0.25">
      <c r="A4207" s="8" t="s">
        <v>125</v>
      </c>
      <c r="B4207" s="8" t="s">
        <v>138</v>
      </c>
      <c r="C4207" s="8" t="str">
        <f>IFERROR(_xlfn.XLOOKUP(TRIM(B4207),Lookup!$B$2:$B$1000,Lookup!$C$2:$C$1000),"")</f>
        <v>Equity</v>
      </c>
      <c r="D4207" s="8" t="str">
        <f>IFERROR(INDEX('nav master'!$C:$C, MATCH(B4207, 'nav master'!$B:$B, 0)), "")</f>
        <v>ULIF06723/03/18EqtyAdvtFd101</v>
      </c>
      <c r="E4207" s="8" t="s">
        <v>265</v>
      </c>
      <c r="F4207" s="8" t="s">
        <v>4426</v>
      </c>
    </row>
    <row r="4208" spans="1:6" ht="60" x14ac:dyDescent="0.25">
      <c r="A4208" s="8" t="s">
        <v>125</v>
      </c>
      <c r="B4208" s="8" t="s">
        <v>138</v>
      </c>
      <c r="C4208" s="8" t="str">
        <f>IFERROR(_xlfn.XLOOKUP(TRIM(B4208),Lookup!$B$2:$B$1000,Lookup!$C$2:$C$1000),"")</f>
        <v>Equity</v>
      </c>
      <c r="D4208" s="8" t="str">
        <f>IFERROR(INDEX('nav master'!$C:$C, MATCH(B4208, 'nav master'!$B:$B, 0)), "")</f>
        <v>ULIF06723/03/18EqtyAdvtFd101</v>
      </c>
      <c r="E4208" s="8" t="s">
        <v>267</v>
      </c>
      <c r="F4208" s="8" t="s">
        <v>4427</v>
      </c>
    </row>
    <row r="4209" spans="1:6" ht="60" x14ac:dyDescent="0.25">
      <c r="A4209" s="8" t="s">
        <v>125</v>
      </c>
      <c r="B4209" s="8" t="s">
        <v>138</v>
      </c>
      <c r="C4209" s="8" t="str">
        <f>IFERROR(_xlfn.XLOOKUP(TRIM(B4209),Lookup!$B$2:$B$1000,Lookup!$C$2:$C$1000),"")</f>
        <v>Equity</v>
      </c>
      <c r="D4209" s="8" t="str">
        <f>IFERROR(INDEX('nav master'!$C:$C, MATCH(B4209, 'nav master'!$B:$B, 0)), "")</f>
        <v>ULIF06723/03/18EqtyAdvtFd101</v>
      </c>
      <c r="E4209" s="8" t="s">
        <v>269</v>
      </c>
      <c r="F4209" s="8" t="s">
        <v>4428</v>
      </c>
    </row>
    <row r="4210" spans="1:6" ht="60" x14ac:dyDescent="0.25">
      <c r="A4210" s="8" t="s">
        <v>125</v>
      </c>
      <c r="B4210" s="8" t="s">
        <v>138</v>
      </c>
      <c r="C4210" s="8" t="str">
        <f>IFERROR(_xlfn.XLOOKUP(TRIM(B4210),Lookup!$B$2:$B$1000,Lookup!$C$2:$C$1000),"")</f>
        <v>Equity</v>
      </c>
      <c r="D4210" s="8" t="str">
        <f>IFERROR(INDEX('nav master'!$C:$C, MATCH(B4210, 'nav master'!$B:$B, 0)), "")</f>
        <v>ULIF06723/03/18EqtyAdvtFd101</v>
      </c>
      <c r="E4210" s="8" t="s">
        <v>271</v>
      </c>
      <c r="F4210" s="8" t="s">
        <v>4429</v>
      </c>
    </row>
    <row r="4211" spans="1:6" ht="60" x14ac:dyDescent="0.25">
      <c r="A4211" s="8" t="s">
        <v>125</v>
      </c>
      <c r="B4211" s="8" t="s">
        <v>138</v>
      </c>
      <c r="C4211" s="8" t="str">
        <f>IFERROR(_xlfn.XLOOKUP(TRIM(B4211),Lookup!$B$2:$B$1000,Lookup!$C$2:$C$1000),"")</f>
        <v>Equity</v>
      </c>
      <c r="D4211" s="8" t="str">
        <f>IFERROR(INDEX('nav master'!$C:$C, MATCH(B4211, 'nav master'!$B:$B, 0)), "")</f>
        <v>ULIF06723/03/18EqtyAdvtFd101</v>
      </c>
      <c r="E4211" s="8" t="s">
        <v>273</v>
      </c>
      <c r="F4211" s="8" t="s">
        <v>4430</v>
      </c>
    </row>
    <row r="4212" spans="1:6" ht="60" x14ac:dyDescent="0.25">
      <c r="A4212" s="8" t="s">
        <v>125</v>
      </c>
      <c r="B4212" s="8" t="s">
        <v>138</v>
      </c>
      <c r="C4212" s="8" t="str">
        <f>IFERROR(_xlfn.XLOOKUP(TRIM(B4212),Lookup!$B$2:$B$1000,Lookup!$C$2:$C$1000),"")</f>
        <v>Equity</v>
      </c>
      <c r="D4212" s="8" t="str">
        <f>IFERROR(INDEX('nav master'!$C:$C, MATCH(B4212, 'nav master'!$B:$B, 0)), "")</f>
        <v>ULIF06723/03/18EqtyAdvtFd101</v>
      </c>
      <c r="E4212" s="8" t="s">
        <v>275</v>
      </c>
      <c r="F4212" s="8" t="s">
        <v>4431</v>
      </c>
    </row>
    <row r="4213" spans="1:6" ht="60" x14ac:dyDescent="0.25">
      <c r="A4213" s="8" t="s">
        <v>125</v>
      </c>
      <c r="B4213" s="8" t="s">
        <v>138</v>
      </c>
      <c r="C4213" s="8" t="str">
        <f>IFERROR(_xlfn.XLOOKUP(TRIM(B4213),Lookup!$B$2:$B$1000,Lookup!$C$2:$C$1000),"")</f>
        <v>Equity</v>
      </c>
      <c r="D4213" s="8" t="str">
        <f>IFERROR(INDEX('nav master'!$C:$C, MATCH(B4213, 'nav master'!$B:$B, 0)), "")</f>
        <v>ULIF06723/03/18EqtyAdvtFd101</v>
      </c>
      <c r="E4213" s="8" t="s">
        <v>277</v>
      </c>
      <c r="F4213" s="8" t="s">
        <v>4432</v>
      </c>
    </row>
    <row r="4214" spans="1:6" ht="60" x14ac:dyDescent="0.25">
      <c r="A4214" s="8" t="s">
        <v>125</v>
      </c>
      <c r="B4214" s="8" t="s">
        <v>138</v>
      </c>
      <c r="C4214" s="8" t="str">
        <f>IFERROR(_xlfn.XLOOKUP(TRIM(B4214),Lookup!$B$2:$B$1000,Lookup!$C$2:$C$1000),"")</f>
        <v>Equity</v>
      </c>
      <c r="D4214" s="8" t="str">
        <f>IFERROR(INDEX('nav master'!$C:$C, MATCH(B4214, 'nav master'!$B:$B, 0)), "")</f>
        <v>ULIF06723/03/18EqtyAdvtFd101</v>
      </c>
      <c r="E4214" s="8" t="s">
        <v>279</v>
      </c>
      <c r="F4214" s="8" t="s">
        <v>4433</v>
      </c>
    </row>
    <row r="4215" spans="1:6" ht="60" x14ac:dyDescent="0.25">
      <c r="A4215" s="8" t="s">
        <v>125</v>
      </c>
      <c r="B4215" s="8" t="s">
        <v>138</v>
      </c>
      <c r="C4215" s="8" t="str">
        <f>IFERROR(_xlfn.XLOOKUP(TRIM(B4215),Lookup!$B$2:$B$1000,Lookup!$C$2:$C$1000),"")</f>
        <v>Equity</v>
      </c>
      <c r="D4215" s="8" t="str">
        <f>IFERROR(INDEX('nav master'!$C:$C, MATCH(B4215, 'nav master'!$B:$B, 0)), "")</f>
        <v>ULIF06723/03/18EqtyAdvtFd101</v>
      </c>
      <c r="E4215" s="8" t="s">
        <v>281</v>
      </c>
      <c r="F4215" s="8" t="s">
        <v>4434</v>
      </c>
    </row>
    <row r="4216" spans="1:6" ht="60" x14ac:dyDescent="0.25">
      <c r="A4216" s="8" t="s">
        <v>125</v>
      </c>
      <c r="B4216" s="8" t="s">
        <v>138</v>
      </c>
      <c r="C4216" s="8" t="str">
        <f>IFERROR(_xlfn.XLOOKUP(TRIM(B4216),Lookup!$B$2:$B$1000,Lookup!$C$2:$C$1000),"")</f>
        <v>Equity</v>
      </c>
      <c r="D4216" s="8" t="str">
        <f>IFERROR(INDEX('nav master'!$C:$C, MATCH(B4216, 'nav master'!$B:$B, 0)), "")</f>
        <v>ULIF06723/03/18EqtyAdvtFd101</v>
      </c>
      <c r="E4216" s="8" t="s">
        <v>283</v>
      </c>
      <c r="F4216" s="8" t="s">
        <v>4435</v>
      </c>
    </row>
    <row r="4217" spans="1:6" ht="60" x14ac:dyDescent="0.25">
      <c r="A4217" s="8" t="s">
        <v>125</v>
      </c>
      <c r="B4217" s="8" t="s">
        <v>138</v>
      </c>
      <c r="C4217" s="8" t="str">
        <f>IFERROR(_xlfn.XLOOKUP(TRIM(B4217),Lookup!$B$2:$B$1000,Lookup!$C$2:$C$1000),"")</f>
        <v>Equity</v>
      </c>
      <c r="D4217" s="8" t="str">
        <f>IFERROR(INDEX('nav master'!$C:$C, MATCH(B4217, 'nav master'!$B:$B, 0)), "")</f>
        <v>ULIF06723/03/18EqtyAdvtFd101</v>
      </c>
      <c r="E4217" s="8" t="s">
        <v>285</v>
      </c>
      <c r="F4217" s="8" t="s">
        <v>4436</v>
      </c>
    </row>
    <row r="4218" spans="1:6" ht="60" x14ac:dyDescent="0.25">
      <c r="A4218" s="8" t="s">
        <v>125</v>
      </c>
      <c r="B4218" s="8" t="s">
        <v>138</v>
      </c>
      <c r="C4218" s="8" t="str">
        <f>IFERROR(_xlfn.XLOOKUP(TRIM(B4218),Lookup!$B$2:$B$1000,Lookup!$C$2:$C$1000),"")</f>
        <v>Equity</v>
      </c>
      <c r="D4218" s="8" t="str">
        <f>IFERROR(INDEX('nav master'!$C:$C, MATCH(B4218, 'nav master'!$B:$B, 0)), "")</f>
        <v>ULIF06723/03/18EqtyAdvtFd101</v>
      </c>
      <c r="E4218" s="8" t="s">
        <v>287</v>
      </c>
      <c r="F4218" s="8" t="s">
        <v>4437</v>
      </c>
    </row>
    <row r="4219" spans="1:6" ht="60" x14ac:dyDescent="0.25">
      <c r="A4219" s="8" t="s">
        <v>125</v>
      </c>
      <c r="B4219" s="8" t="s">
        <v>138</v>
      </c>
      <c r="C4219" s="8" t="str">
        <f>IFERROR(_xlfn.XLOOKUP(TRIM(B4219),Lookup!$B$2:$B$1000,Lookup!$C$2:$C$1000),"")</f>
        <v>Equity</v>
      </c>
      <c r="D4219" s="8" t="str">
        <f>IFERROR(INDEX('nav master'!$C:$C, MATCH(B4219, 'nav master'!$B:$B, 0)), "")</f>
        <v>ULIF06723/03/18EqtyAdvtFd101</v>
      </c>
      <c r="E4219" s="8" t="s">
        <v>289</v>
      </c>
      <c r="F4219" s="8" t="s">
        <v>4438</v>
      </c>
    </row>
    <row r="4220" spans="1:6" ht="60" x14ac:dyDescent="0.25">
      <c r="A4220" s="8" t="s">
        <v>125</v>
      </c>
      <c r="B4220" s="8" t="s">
        <v>138</v>
      </c>
      <c r="C4220" s="8" t="str">
        <f>IFERROR(_xlfn.XLOOKUP(TRIM(B4220),Lookup!$B$2:$B$1000,Lookup!$C$2:$C$1000),"")</f>
        <v>Equity</v>
      </c>
      <c r="D4220" s="8" t="str">
        <f>IFERROR(INDEX('nav master'!$C:$C, MATCH(B4220, 'nav master'!$B:$B, 0)), "")</f>
        <v>ULIF06723/03/18EqtyAdvtFd101</v>
      </c>
      <c r="E4220" s="8" t="s">
        <v>291</v>
      </c>
      <c r="F4220" s="8" t="s">
        <v>4439</v>
      </c>
    </row>
    <row r="4221" spans="1:6" ht="60" x14ac:dyDescent="0.25">
      <c r="A4221" s="8" t="s">
        <v>125</v>
      </c>
      <c r="B4221" s="8" t="s">
        <v>138</v>
      </c>
      <c r="C4221" s="8" t="str">
        <f>IFERROR(_xlfn.XLOOKUP(TRIM(B4221),Lookup!$B$2:$B$1000,Lookup!$C$2:$C$1000),"")</f>
        <v>Equity</v>
      </c>
      <c r="D4221" s="8" t="str">
        <f>IFERROR(INDEX('nav master'!$C:$C, MATCH(B4221, 'nav master'!$B:$B, 0)), "")</f>
        <v>ULIF06723/03/18EqtyAdvtFd101</v>
      </c>
      <c r="E4221" s="8" t="s">
        <v>293</v>
      </c>
      <c r="F4221" s="8" t="s">
        <v>4440</v>
      </c>
    </row>
    <row r="4222" spans="1:6" ht="60" x14ac:dyDescent="0.25">
      <c r="A4222" s="8" t="s">
        <v>125</v>
      </c>
      <c r="B4222" s="8" t="s">
        <v>138</v>
      </c>
      <c r="C4222" s="8" t="str">
        <f>IFERROR(_xlfn.XLOOKUP(TRIM(B4222),Lookup!$B$2:$B$1000,Lookup!$C$2:$C$1000),"")</f>
        <v>Equity</v>
      </c>
      <c r="D4222" s="8" t="str">
        <f>IFERROR(INDEX('nav master'!$C:$C, MATCH(B4222, 'nav master'!$B:$B, 0)), "")</f>
        <v>ULIF06723/03/18EqtyAdvtFd101</v>
      </c>
      <c r="E4222" s="8" t="s">
        <v>295</v>
      </c>
      <c r="F4222" s="8" t="s">
        <v>4441</v>
      </c>
    </row>
    <row r="4223" spans="1:6" ht="60" x14ac:dyDescent="0.25">
      <c r="A4223" s="8" t="s">
        <v>125</v>
      </c>
      <c r="B4223" s="8" t="s">
        <v>138</v>
      </c>
      <c r="C4223" s="8" t="str">
        <f>IFERROR(_xlfn.XLOOKUP(TRIM(B4223),Lookup!$B$2:$B$1000,Lookup!$C$2:$C$1000),"")</f>
        <v>Equity</v>
      </c>
      <c r="D4223" s="8" t="str">
        <f>IFERROR(INDEX('nav master'!$C:$C, MATCH(B4223, 'nav master'!$B:$B, 0)), "")</f>
        <v>ULIF06723/03/18EqtyAdvtFd101</v>
      </c>
      <c r="E4223" s="8" t="s">
        <v>297</v>
      </c>
      <c r="F4223" s="8" t="s">
        <v>4442</v>
      </c>
    </row>
    <row r="4224" spans="1:6" ht="60" x14ac:dyDescent="0.25">
      <c r="A4224" s="8" t="s">
        <v>125</v>
      </c>
      <c r="B4224" s="8" t="s">
        <v>138</v>
      </c>
      <c r="C4224" s="8" t="str">
        <f>IFERROR(_xlfn.XLOOKUP(TRIM(B4224),Lookup!$B$2:$B$1000,Lookup!$C$2:$C$1000),"")</f>
        <v>Equity</v>
      </c>
      <c r="D4224" s="8" t="str">
        <f>IFERROR(INDEX('nav master'!$C:$C, MATCH(B4224, 'nav master'!$B:$B, 0)), "")</f>
        <v>ULIF06723/03/18EqtyAdvtFd101</v>
      </c>
      <c r="E4224" s="8" t="s">
        <v>299</v>
      </c>
      <c r="F4224" s="8" t="s">
        <v>4443</v>
      </c>
    </row>
    <row r="4225" spans="1:6" ht="60" x14ac:dyDescent="0.25">
      <c r="A4225" s="8" t="s">
        <v>125</v>
      </c>
      <c r="B4225" s="8" t="s">
        <v>138</v>
      </c>
      <c r="C4225" s="8" t="str">
        <f>IFERROR(_xlfn.XLOOKUP(TRIM(B4225),Lookup!$B$2:$B$1000,Lookup!$C$2:$C$1000),"")</f>
        <v>Equity</v>
      </c>
      <c r="D4225" s="8" t="str">
        <f>IFERROR(INDEX('nav master'!$C:$C, MATCH(B4225, 'nav master'!$B:$B, 0)), "")</f>
        <v>ULIF06723/03/18EqtyAdvtFd101</v>
      </c>
      <c r="E4225" s="8" t="s">
        <v>301</v>
      </c>
      <c r="F4225" s="8" t="s">
        <v>4444</v>
      </c>
    </row>
    <row r="4226" spans="1:6" ht="60" x14ac:dyDescent="0.25">
      <c r="A4226" s="8" t="s">
        <v>125</v>
      </c>
      <c r="B4226" s="8" t="s">
        <v>138</v>
      </c>
      <c r="C4226" s="8" t="str">
        <f>IFERROR(_xlfn.XLOOKUP(TRIM(B4226),Lookup!$B$2:$B$1000,Lookup!$C$2:$C$1000),"")</f>
        <v>Equity</v>
      </c>
      <c r="D4226" s="8" t="str">
        <f>IFERROR(INDEX('nav master'!$C:$C, MATCH(B4226, 'nav master'!$B:$B, 0)), "")</f>
        <v>ULIF06723/03/18EqtyAdvtFd101</v>
      </c>
      <c r="E4226" s="8" t="s">
        <v>303</v>
      </c>
      <c r="F4226" s="8" t="s">
        <v>4445</v>
      </c>
    </row>
    <row r="4227" spans="1:6" ht="60" x14ac:dyDescent="0.25">
      <c r="A4227" s="8" t="s">
        <v>125</v>
      </c>
      <c r="B4227" s="8" t="s">
        <v>138</v>
      </c>
      <c r="C4227" s="8" t="str">
        <f>IFERROR(_xlfn.XLOOKUP(TRIM(B4227),Lookup!$B$2:$B$1000,Lookup!$C$2:$C$1000),"")</f>
        <v>Equity</v>
      </c>
      <c r="D4227" s="8" t="str">
        <f>IFERROR(INDEX('nav master'!$C:$C, MATCH(B4227, 'nav master'!$B:$B, 0)), "")</f>
        <v>ULIF06723/03/18EqtyAdvtFd101</v>
      </c>
      <c r="E4227" s="8" t="s">
        <v>305</v>
      </c>
      <c r="F4227" s="8" t="s">
        <v>4446</v>
      </c>
    </row>
    <row r="4228" spans="1:6" ht="60" x14ac:dyDescent="0.25">
      <c r="A4228" s="8" t="s">
        <v>125</v>
      </c>
      <c r="B4228" s="8" t="s">
        <v>138</v>
      </c>
      <c r="C4228" s="8" t="str">
        <f>IFERROR(_xlfn.XLOOKUP(TRIM(B4228),Lookup!$B$2:$B$1000,Lookup!$C$2:$C$1000),"")</f>
        <v>Equity</v>
      </c>
      <c r="D4228" s="8" t="str">
        <f>IFERROR(INDEX('nav master'!$C:$C, MATCH(B4228, 'nav master'!$B:$B, 0)), "")</f>
        <v>ULIF06723/03/18EqtyAdvtFd101</v>
      </c>
      <c r="E4228" s="8" t="s">
        <v>307</v>
      </c>
      <c r="F4228" s="8" t="s">
        <v>4447</v>
      </c>
    </row>
    <row r="4229" spans="1:6" ht="60" x14ac:dyDescent="0.25">
      <c r="A4229" s="8" t="s">
        <v>125</v>
      </c>
      <c r="B4229" s="8" t="s">
        <v>138</v>
      </c>
      <c r="C4229" s="8" t="str">
        <f>IFERROR(_xlfn.XLOOKUP(TRIM(B4229),Lookup!$B$2:$B$1000,Lookup!$C$2:$C$1000),"")</f>
        <v>Equity</v>
      </c>
      <c r="D4229" s="8" t="str">
        <f>IFERROR(INDEX('nav master'!$C:$C, MATCH(B4229, 'nav master'!$B:$B, 0)), "")</f>
        <v>ULIF06723/03/18EqtyAdvtFd101</v>
      </c>
      <c r="E4229" s="8" t="s">
        <v>309</v>
      </c>
      <c r="F4229" s="8" t="s">
        <v>4448</v>
      </c>
    </row>
    <row r="4230" spans="1:6" ht="60" x14ac:dyDescent="0.25">
      <c r="A4230" s="8" t="s">
        <v>125</v>
      </c>
      <c r="B4230" s="8" t="s">
        <v>138</v>
      </c>
      <c r="C4230" s="8" t="str">
        <f>IFERROR(_xlfn.XLOOKUP(TRIM(B4230),Lookup!$B$2:$B$1000,Lookup!$C$2:$C$1000),"")</f>
        <v>Equity</v>
      </c>
      <c r="D4230" s="8" t="str">
        <f>IFERROR(INDEX('nav master'!$C:$C, MATCH(B4230, 'nav master'!$B:$B, 0)), "")</f>
        <v>ULIF06723/03/18EqtyAdvtFd101</v>
      </c>
      <c r="E4230" s="8" t="s">
        <v>311</v>
      </c>
      <c r="F4230" s="8" t="s">
        <v>4449</v>
      </c>
    </row>
    <row r="4231" spans="1:6" ht="60" x14ac:dyDescent="0.25">
      <c r="A4231" s="8" t="s">
        <v>125</v>
      </c>
      <c r="B4231" s="8" t="s">
        <v>138</v>
      </c>
      <c r="C4231" s="8" t="str">
        <f>IFERROR(_xlfn.XLOOKUP(TRIM(B4231),Lookup!$B$2:$B$1000,Lookup!$C$2:$C$1000),"")</f>
        <v>Equity</v>
      </c>
      <c r="D4231" s="8" t="str">
        <f>IFERROR(INDEX('nav master'!$C:$C, MATCH(B4231, 'nav master'!$B:$B, 0)), "")</f>
        <v>ULIF06723/03/18EqtyAdvtFd101</v>
      </c>
      <c r="E4231" s="8" t="s">
        <v>313</v>
      </c>
      <c r="F4231" s="8" t="s">
        <v>4450</v>
      </c>
    </row>
    <row r="4232" spans="1:6" ht="60" x14ac:dyDescent="0.25">
      <c r="A4232" s="8" t="s">
        <v>125</v>
      </c>
      <c r="B4232" s="8" t="s">
        <v>138</v>
      </c>
      <c r="C4232" s="8" t="str">
        <f>IFERROR(_xlfn.XLOOKUP(TRIM(B4232),Lookup!$B$2:$B$1000,Lookup!$C$2:$C$1000),"")</f>
        <v>Equity</v>
      </c>
      <c r="D4232" s="8" t="str">
        <f>IFERROR(INDEX('nav master'!$C:$C, MATCH(B4232, 'nav master'!$B:$B, 0)), "")</f>
        <v>ULIF06723/03/18EqtyAdvtFd101</v>
      </c>
      <c r="E4232" s="8" t="s">
        <v>315</v>
      </c>
      <c r="F4232" s="8" t="s">
        <v>4451</v>
      </c>
    </row>
    <row r="4233" spans="1:6" ht="60" x14ac:dyDescent="0.25">
      <c r="A4233" s="8" t="s">
        <v>125</v>
      </c>
      <c r="B4233" s="8" t="s">
        <v>138</v>
      </c>
      <c r="C4233" s="8" t="str">
        <f>IFERROR(_xlfn.XLOOKUP(TRIM(B4233),Lookup!$B$2:$B$1000,Lookup!$C$2:$C$1000),"")</f>
        <v>Equity</v>
      </c>
      <c r="D4233" s="8" t="str">
        <f>IFERROR(INDEX('nav master'!$C:$C, MATCH(B4233, 'nav master'!$B:$B, 0)), "")</f>
        <v>ULIF06723/03/18EqtyAdvtFd101</v>
      </c>
      <c r="E4233" s="8" t="s">
        <v>317</v>
      </c>
      <c r="F4233" s="8" t="s">
        <v>4452</v>
      </c>
    </row>
    <row r="4234" spans="1:6" ht="60" x14ac:dyDescent="0.25">
      <c r="A4234" s="8" t="s">
        <v>125</v>
      </c>
      <c r="B4234" s="8" t="s">
        <v>138</v>
      </c>
      <c r="C4234" s="8" t="str">
        <f>IFERROR(_xlfn.XLOOKUP(TRIM(B4234),Lookup!$B$2:$B$1000,Lookup!$C$2:$C$1000),"")</f>
        <v>Equity</v>
      </c>
      <c r="D4234" s="8" t="str">
        <f>IFERROR(INDEX('nav master'!$C:$C, MATCH(B4234, 'nav master'!$B:$B, 0)), "")</f>
        <v>ULIF06723/03/18EqtyAdvtFd101</v>
      </c>
      <c r="E4234" s="8" t="s">
        <v>319</v>
      </c>
      <c r="F4234" s="8" t="s">
        <v>4453</v>
      </c>
    </row>
    <row r="4235" spans="1:6" ht="60" x14ac:dyDescent="0.25">
      <c r="A4235" s="8" t="s">
        <v>125</v>
      </c>
      <c r="B4235" s="8" t="s">
        <v>138</v>
      </c>
      <c r="C4235" s="8" t="str">
        <f>IFERROR(_xlfn.XLOOKUP(TRIM(B4235),Lookup!$B$2:$B$1000,Lookup!$C$2:$C$1000),"")</f>
        <v>Equity</v>
      </c>
      <c r="D4235" s="8" t="str">
        <f>IFERROR(INDEX('nav master'!$C:$C, MATCH(B4235, 'nav master'!$B:$B, 0)), "")</f>
        <v>ULIF06723/03/18EqtyAdvtFd101</v>
      </c>
      <c r="E4235" s="8" t="s">
        <v>321</v>
      </c>
      <c r="F4235" s="8" t="s">
        <v>4454</v>
      </c>
    </row>
    <row r="4236" spans="1:6" ht="60" x14ac:dyDescent="0.25">
      <c r="A4236" s="8" t="s">
        <v>125</v>
      </c>
      <c r="B4236" s="8" t="s">
        <v>138</v>
      </c>
      <c r="C4236" s="8" t="str">
        <f>IFERROR(_xlfn.XLOOKUP(TRIM(B4236),Lookup!$B$2:$B$1000,Lookup!$C$2:$C$1000),"")</f>
        <v>Equity</v>
      </c>
      <c r="D4236" s="8" t="str">
        <f>IFERROR(INDEX('nav master'!$C:$C, MATCH(B4236, 'nav master'!$B:$B, 0)), "")</f>
        <v>ULIF06723/03/18EqtyAdvtFd101</v>
      </c>
      <c r="E4236" s="8" t="s">
        <v>323</v>
      </c>
      <c r="F4236" s="8" t="s">
        <v>4455</v>
      </c>
    </row>
    <row r="4237" spans="1:6" ht="60" x14ac:dyDescent="0.25">
      <c r="A4237" s="8" t="s">
        <v>125</v>
      </c>
      <c r="B4237" s="8" t="s">
        <v>138</v>
      </c>
      <c r="C4237" s="8" t="str">
        <f>IFERROR(_xlfn.XLOOKUP(TRIM(B4237),Lookup!$B$2:$B$1000,Lookup!$C$2:$C$1000),"")</f>
        <v>Equity</v>
      </c>
      <c r="D4237" s="8" t="str">
        <f>IFERROR(INDEX('nav master'!$C:$C, MATCH(B4237, 'nav master'!$B:$B, 0)), "")</f>
        <v>ULIF06723/03/18EqtyAdvtFd101</v>
      </c>
      <c r="E4237" s="8" t="s">
        <v>325</v>
      </c>
      <c r="F4237" s="8" t="s">
        <v>4456</v>
      </c>
    </row>
    <row r="4238" spans="1:6" ht="60" x14ac:dyDescent="0.25">
      <c r="A4238" s="8" t="s">
        <v>125</v>
      </c>
      <c r="B4238" s="8" t="s">
        <v>138</v>
      </c>
      <c r="C4238" s="8" t="str">
        <f>IFERROR(_xlfn.XLOOKUP(TRIM(B4238),Lookup!$B$2:$B$1000,Lookup!$C$2:$C$1000),"")</f>
        <v>Equity</v>
      </c>
      <c r="D4238" s="8" t="str">
        <f>IFERROR(INDEX('nav master'!$C:$C, MATCH(B4238, 'nav master'!$B:$B, 0)), "")</f>
        <v>ULIF06723/03/18EqtyAdvtFd101</v>
      </c>
      <c r="E4238" s="8" t="s">
        <v>327</v>
      </c>
      <c r="F4238" s="8" t="s">
        <v>4457</v>
      </c>
    </row>
    <row r="4239" spans="1:6" ht="60" x14ac:dyDescent="0.25">
      <c r="A4239" s="8" t="s">
        <v>125</v>
      </c>
      <c r="B4239" s="8" t="s">
        <v>138</v>
      </c>
      <c r="C4239" s="8" t="str">
        <f>IFERROR(_xlfn.XLOOKUP(TRIM(B4239),Lookup!$B$2:$B$1000,Lookup!$C$2:$C$1000),"")</f>
        <v>Equity</v>
      </c>
      <c r="D4239" s="8" t="str">
        <f>IFERROR(INDEX('nav master'!$C:$C, MATCH(B4239, 'nav master'!$B:$B, 0)), "")</f>
        <v>ULIF06723/03/18EqtyAdvtFd101</v>
      </c>
      <c r="E4239" s="8" t="s">
        <v>329</v>
      </c>
      <c r="F4239" s="8" t="s">
        <v>4458</v>
      </c>
    </row>
    <row r="4240" spans="1:6" ht="60" x14ac:dyDescent="0.25">
      <c r="A4240" s="8" t="s">
        <v>125</v>
      </c>
      <c r="B4240" s="8" t="s">
        <v>138</v>
      </c>
      <c r="C4240" s="8" t="str">
        <f>IFERROR(_xlfn.XLOOKUP(TRIM(B4240),Lookup!$B$2:$B$1000,Lookup!$C$2:$C$1000),"")</f>
        <v>Equity</v>
      </c>
      <c r="D4240" s="8" t="str">
        <f>IFERROR(INDEX('nav master'!$C:$C, MATCH(B4240, 'nav master'!$B:$B, 0)), "")</f>
        <v>ULIF06723/03/18EqtyAdvtFd101</v>
      </c>
      <c r="E4240" s="8" t="s">
        <v>331</v>
      </c>
      <c r="F4240" s="8" t="s">
        <v>4459</v>
      </c>
    </row>
    <row r="4241" spans="1:6" ht="60" x14ac:dyDescent="0.25">
      <c r="A4241" s="8" t="s">
        <v>125</v>
      </c>
      <c r="B4241" s="8" t="s">
        <v>138</v>
      </c>
      <c r="C4241" s="8" t="str">
        <f>IFERROR(_xlfn.XLOOKUP(TRIM(B4241),Lookup!$B$2:$B$1000,Lookup!$C$2:$C$1000),"")</f>
        <v>Equity</v>
      </c>
      <c r="D4241" s="8" t="str">
        <f>IFERROR(INDEX('nav master'!$C:$C, MATCH(B4241, 'nav master'!$B:$B, 0)), "")</f>
        <v>ULIF06723/03/18EqtyAdvtFd101</v>
      </c>
      <c r="E4241" s="8" t="s">
        <v>333</v>
      </c>
      <c r="F4241" s="8" t="s">
        <v>4460</v>
      </c>
    </row>
    <row r="4242" spans="1:6" ht="60" x14ac:dyDescent="0.25">
      <c r="A4242" s="8" t="s">
        <v>125</v>
      </c>
      <c r="B4242" s="8" t="s">
        <v>138</v>
      </c>
      <c r="C4242" s="8" t="str">
        <f>IFERROR(_xlfn.XLOOKUP(TRIM(B4242),Lookup!$B$2:$B$1000,Lookup!$C$2:$C$1000),"")</f>
        <v>Equity</v>
      </c>
      <c r="D4242" s="8" t="str">
        <f>IFERROR(INDEX('nav master'!$C:$C, MATCH(B4242, 'nav master'!$B:$B, 0)), "")</f>
        <v>ULIF06723/03/18EqtyAdvtFd101</v>
      </c>
      <c r="E4242" s="8" t="s">
        <v>335</v>
      </c>
      <c r="F4242" s="8" t="s">
        <v>4461</v>
      </c>
    </row>
    <row r="4243" spans="1:6" ht="60" x14ac:dyDescent="0.25">
      <c r="A4243" s="8" t="s">
        <v>125</v>
      </c>
      <c r="B4243" s="8" t="s">
        <v>138</v>
      </c>
      <c r="C4243" s="8" t="str">
        <f>IFERROR(_xlfn.XLOOKUP(TRIM(B4243),Lookup!$B$2:$B$1000,Lookup!$C$2:$C$1000),"")</f>
        <v>Equity</v>
      </c>
      <c r="D4243" s="8" t="str">
        <f>IFERROR(INDEX('nav master'!$C:$C, MATCH(B4243, 'nav master'!$B:$B, 0)), "")</f>
        <v>ULIF06723/03/18EqtyAdvtFd101</v>
      </c>
      <c r="E4243" s="8" t="s">
        <v>337</v>
      </c>
      <c r="F4243" s="8" t="s">
        <v>4462</v>
      </c>
    </row>
    <row r="4244" spans="1:6" ht="60" x14ac:dyDescent="0.25">
      <c r="A4244" s="8" t="s">
        <v>125</v>
      </c>
      <c r="B4244" s="8" t="s">
        <v>138</v>
      </c>
      <c r="C4244" s="8" t="str">
        <f>IFERROR(_xlfn.XLOOKUP(TRIM(B4244),Lookup!$B$2:$B$1000,Lookup!$C$2:$C$1000),"")</f>
        <v>Equity</v>
      </c>
      <c r="D4244" s="8" t="str">
        <f>IFERROR(INDEX('nav master'!$C:$C, MATCH(B4244, 'nav master'!$B:$B, 0)), "")</f>
        <v>ULIF06723/03/18EqtyAdvtFd101</v>
      </c>
      <c r="E4244" s="8" t="s">
        <v>339</v>
      </c>
      <c r="F4244" s="8" t="s">
        <v>4463</v>
      </c>
    </row>
    <row r="4245" spans="1:6" ht="60" x14ac:dyDescent="0.25">
      <c r="A4245" s="8" t="s">
        <v>125</v>
      </c>
      <c r="B4245" s="8" t="s">
        <v>138</v>
      </c>
      <c r="C4245" s="8" t="str">
        <f>IFERROR(_xlfn.XLOOKUP(TRIM(B4245),Lookup!$B$2:$B$1000,Lookup!$C$2:$C$1000),"")</f>
        <v>Equity</v>
      </c>
      <c r="D4245" s="8" t="str">
        <f>IFERROR(INDEX('nav master'!$C:$C, MATCH(B4245, 'nav master'!$B:$B, 0)), "")</f>
        <v>ULIF06723/03/18EqtyAdvtFd101</v>
      </c>
      <c r="E4245" s="8" t="s">
        <v>341</v>
      </c>
      <c r="F4245" s="8" t="s">
        <v>4464</v>
      </c>
    </row>
    <row r="4246" spans="1:6" ht="60" x14ac:dyDescent="0.25">
      <c r="A4246" s="8" t="s">
        <v>125</v>
      </c>
      <c r="B4246" s="8" t="s">
        <v>138</v>
      </c>
      <c r="C4246" s="8" t="str">
        <f>IFERROR(_xlfn.XLOOKUP(TRIM(B4246),Lookup!$B$2:$B$1000,Lookup!$C$2:$C$1000),"")</f>
        <v>Equity</v>
      </c>
      <c r="D4246" s="8" t="str">
        <f>IFERROR(INDEX('nav master'!$C:$C, MATCH(B4246, 'nav master'!$B:$B, 0)), "")</f>
        <v>ULIF06723/03/18EqtyAdvtFd101</v>
      </c>
      <c r="E4246" s="8" t="s">
        <v>343</v>
      </c>
      <c r="F4246" s="8" t="s">
        <v>4465</v>
      </c>
    </row>
    <row r="4247" spans="1:6" ht="60" x14ac:dyDescent="0.25">
      <c r="A4247" s="8" t="s">
        <v>125</v>
      </c>
      <c r="B4247" s="8" t="s">
        <v>138</v>
      </c>
      <c r="C4247" s="8" t="str">
        <f>IFERROR(_xlfn.XLOOKUP(TRIM(B4247),Lookup!$B$2:$B$1000,Lookup!$C$2:$C$1000),"")</f>
        <v>Equity</v>
      </c>
      <c r="D4247" s="8" t="str">
        <f>IFERROR(INDEX('nav master'!$C:$C, MATCH(B4247, 'nav master'!$B:$B, 0)), "")</f>
        <v>ULIF06723/03/18EqtyAdvtFd101</v>
      </c>
      <c r="E4247" s="8" t="s">
        <v>345</v>
      </c>
      <c r="F4247" s="8" t="s">
        <v>4466</v>
      </c>
    </row>
    <row r="4248" spans="1:6" ht="60" x14ac:dyDescent="0.25">
      <c r="A4248" s="8" t="s">
        <v>125</v>
      </c>
      <c r="B4248" s="8" t="s">
        <v>138</v>
      </c>
      <c r="C4248" s="8" t="str">
        <f>IFERROR(_xlfn.XLOOKUP(TRIM(B4248),Lookup!$B$2:$B$1000,Lookup!$C$2:$C$1000),"")</f>
        <v>Equity</v>
      </c>
      <c r="D4248" s="8" t="str">
        <f>IFERROR(INDEX('nav master'!$C:$C, MATCH(B4248, 'nav master'!$B:$B, 0)), "")</f>
        <v>ULIF06723/03/18EqtyAdvtFd101</v>
      </c>
      <c r="E4248" s="8" t="s">
        <v>347</v>
      </c>
      <c r="F4248" s="8" t="s">
        <v>4467</v>
      </c>
    </row>
    <row r="4249" spans="1:6" ht="60" x14ac:dyDescent="0.25">
      <c r="A4249" s="8" t="s">
        <v>125</v>
      </c>
      <c r="B4249" s="8" t="s">
        <v>138</v>
      </c>
      <c r="C4249" s="8" t="str">
        <f>IFERROR(_xlfn.XLOOKUP(TRIM(B4249),Lookup!$B$2:$B$1000,Lookup!$C$2:$C$1000),"")</f>
        <v>Equity</v>
      </c>
      <c r="D4249" s="8" t="str">
        <f>IFERROR(INDEX('nav master'!$C:$C, MATCH(B4249, 'nav master'!$B:$B, 0)), "")</f>
        <v>ULIF06723/03/18EqtyAdvtFd101</v>
      </c>
      <c r="E4249" s="8" t="s">
        <v>349</v>
      </c>
      <c r="F4249" s="8" t="s">
        <v>4468</v>
      </c>
    </row>
    <row r="4250" spans="1:6" ht="60" x14ac:dyDescent="0.25">
      <c r="A4250" s="8" t="s">
        <v>125</v>
      </c>
      <c r="B4250" s="8" t="s">
        <v>138</v>
      </c>
      <c r="C4250" s="8" t="str">
        <f>IFERROR(_xlfn.XLOOKUP(TRIM(B4250),Lookup!$B$2:$B$1000,Lookup!$C$2:$C$1000),"")</f>
        <v>Equity</v>
      </c>
      <c r="D4250" s="8" t="str">
        <f>IFERROR(INDEX('nav master'!$C:$C, MATCH(B4250, 'nav master'!$B:$B, 0)), "")</f>
        <v>ULIF06723/03/18EqtyAdvtFd101</v>
      </c>
      <c r="E4250" s="8" t="s">
        <v>351</v>
      </c>
      <c r="F4250" s="8" t="s">
        <v>4469</v>
      </c>
    </row>
    <row r="4251" spans="1:6" ht="60" x14ac:dyDescent="0.25">
      <c r="A4251" s="8" t="s">
        <v>125</v>
      </c>
      <c r="B4251" s="8" t="s">
        <v>138</v>
      </c>
      <c r="C4251" s="8" t="str">
        <f>IFERROR(_xlfn.XLOOKUP(TRIM(B4251),Lookup!$B$2:$B$1000,Lookup!$C$2:$C$1000),"")</f>
        <v>Equity</v>
      </c>
      <c r="D4251" s="8" t="str">
        <f>IFERROR(INDEX('nav master'!$C:$C, MATCH(B4251, 'nav master'!$B:$B, 0)), "")</f>
        <v>ULIF06723/03/18EqtyAdvtFd101</v>
      </c>
      <c r="E4251" s="8" t="s">
        <v>353</v>
      </c>
      <c r="F4251" s="8" t="s">
        <v>4470</v>
      </c>
    </row>
    <row r="4252" spans="1:6" ht="60" x14ac:dyDescent="0.25">
      <c r="A4252" s="8" t="s">
        <v>125</v>
      </c>
      <c r="B4252" s="8" t="s">
        <v>138</v>
      </c>
      <c r="C4252" s="8" t="str">
        <f>IFERROR(_xlfn.XLOOKUP(TRIM(B4252),Lookup!$B$2:$B$1000,Lookup!$C$2:$C$1000),"")</f>
        <v>Equity</v>
      </c>
      <c r="D4252" s="8" t="str">
        <f>IFERROR(INDEX('nav master'!$C:$C, MATCH(B4252, 'nav master'!$B:$B, 0)), "")</f>
        <v>ULIF06723/03/18EqtyAdvtFd101</v>
      </c>
      <c r="E4252" s="8" t="s">
        <v>355</v>
      </c>
      <c r="F4252" s="8" t="s">
        <v>4471</v>
      </c>
    </row>
    <row r="4253" spans="1:6" ht="60" x14ac:dyDescent="0.25">
      <c r="A4253" s="8" t="s">
        <v>125</v>
      </c>
      <c r="B4253" s="8" t="s">
        <v>138</v>
      </c>
      <c r="C4253" s="8" t="str">
        <f>IFERROR(_xlfn.XLOOKUP(TRIM(B4253),Lookup!$B$2:$B$1000,Lookup!$C$2:$C$1000),"")</f>
        <v>Equity</v>
      </c>
      <c r="D4253" s="8" t="str">
        <f>IFERROR(INDEX('nav master'!$C:$C, MATCH(B4253, 'nav master'!$B:$B, 0)), "")</f>
        <v>ULIF06723/03/18EqtyAdvtFd101</v>
      </c>
      <c r="E4253" s="8" t="s">
        <v>357</v>
      </c>
      <c r="F4253" s="8" t="s">
        <v>4472</v>
      </c>
    </row>
    <row r="4254" spans="1:6" ht="60" x14ac:dyDescent="0.25">
      <c r="A4254" s="8" t="s">
        <v>125</v>
      </c>
      <c r="B4254" s="8" t="s">
        <v>138</v>
      </c>
      <c r="C4254" s="8" t="str">
        <f>IFERROR(_xlfn.XLOOKUP(TRIM(B4254),Lookup!$B$2:$B$1000,Lookup!$C$2:$C$1000),"")</f>
        <v>Equity</v>
      </c>
      <c r="D4254" s="8" t="str">
        <f>IFERROR(INDEX('nav master'!$C:$C, MATCH(B4254, 'nav master'!$B:$B, 0)), "")</f>
        <v>ULIF06723/03/18EqtyAdvtFd101</v>
      </c>
      <c r="E4254" s="8" t="s">
        <v>359</v>
      </c>
      <c r="F4254" s="8" t="s">
        <v>4473</v>
      </c>
    </row>
    <row r="4255" spans="1:6" ht="60" x14ac:dyDescent="0.25">
      <c r="A4255" s="8" t="s">
        <v>125</v>
      </c>
      <c r="B4255" s="8" t="s">
        <v>138</v>
      </c>
      <c r="C4255" s="8" t="str">
        <f>IFERROR(_xlfn.XLOOKUP(TRIM(B4255),Lookup!$B$2:$B$1000,Lookup!$C$2:$C$1000),"")</f>
        <v>Equity</v>
      </c>
      <c r="D4255" s="8" t="str">
        <f>IFERROR(INDEX('nav master'!$C:$C, MATCH(B4255, 'nav master'!$B:$B, 0)), "")</f>
        <v>ULIF06723/03/18EqtyAdvtFd101</v>
      </c>
      <c r="E4255" s="8" t="s">
        <v>361</v>
      </c>
      <c r="F4255" s="8" t="s">
        <v>4474</v>
      </c>
    </row>
    <row r="4256" spans="1:6" ht="60" x14ac:dyDescent="0.25">
      <c r="A4256" s="8" t="s">
        <v>125</v>
      </c>
      <c r="B4256" s="8" t="s">
        <v>138</v>
      </c>
      <c r="C4256" s="8" t="str">
        <f>IFERROR(_xlfn.XLOOKUP(TRIM(B4256),Lookup!$B$2:$B$1000,Lookup!$C$2:$C$1000),"")</f>
        <v>Equity</v>
      </c>
      <c r="D4256" s="8" t="str">
        <f>IFERROR(INDEX('nav master'!$C:$C, MATCH(B4256, 'nav master'!$B:$B, 0)), "")</f>
        <v>ULIF06723/03/18EqtyAdvtFd101</v>
      </c>
      <c r="E4256" s="8" t="s">
        <v>363</v>
      </c>
      <c r="F4256" s="8" t="s">
        <v>4475</v>
      </c>
    </row>
    <row r="4257" spans="1:6" ht="60" x14ac:dyDescent="0.25">
      <c r="A4257" s="8" t="s">
        <v>125</v>
      </c>
      <c r="B4257" s="8" t="s">
        <v>138</v>
      </c>
      <c r="C4257" s="8" t="str">
        <f>IFERROR(_xlfn.XLOOKUP(TRIM(B4257),Lookup!$B$2:$B$1000,Lookup!$C$2:$C$1000),"")</f>
        <v>Equity</v>
      </c>
      <c r="D4257" s="8" t="str">
        <f>IFERROR(INDEX('nav master'!$C:$C, MATCH(B4257, 'nav master'!$B:$B, 0)), "")</f>
        <v>ULIF06723/03/18EqtyAdvtFd101</v>
      </c>
      <c r="E4257" s="8" t="s">
        <v>365</v>
      </c>
      <c r="F4257" s="8" t="s">
        <v>4476</v>
      </c>
    </row>
    <row r="4258" spans="1:6" ht="60" x14ac:dyDescent="0.25">
      <c r="A4258" s="8" t="s">
        <v>125</v>
      </c>
      <c r="B4258" s="8" t="s">
        <v>138</v>
      </c>
      <c r="C4258" s="8" t="str">
        <f>IFERROR(_xlfn.XLOOKUP(TRIM(B4258),Lookup!$B$2:$B$1000,Lookup!$C$2:$C$1000),"")</f>
        <v>Equity</v>
      </c>
      <c r="D4258" s="8" t="str">
        <f>IFERROR(INDEX('nav master'!$C:$C, MATCH(B4258, 'nav master'!$B:$B, 0)), "")</f>
        <v>ULIF06723/03/18EqtyAdvtFd101</v>
      </c>
      <c r="E4258" s="8" t="s">
        <v>367</v>
      </c>
      <c r="F4258" s="8" t="s">
        <v>4477</v>
      </c>
    </row>
    <row r="4259" spans="1:6" ht="60" x14ac:dyDescent="0.25">
      <c r="A4259" s="8" t="s">
        <v>125</v>
      </c>
      <c r="B4259" s="8" t="s">
        <v>138</v>
      </c>
      <c r="C4259" s="8" t="str">
        <f>IFERROR(_xlfn.XLOOKUP(TRIM(B4259),Lookup!$B$2:$B$1000,Lookup!$C$2:$C$1000),"")</f>
        <v>Equity</v>
      </c>
      <c r="D4259" s="8" t="str">
        <f>IFERROR(INDEX('nav master'!$C:$C, MATCH(B4259, 'nav master'!$B:$B, 0)), "")</f>
        <v>ULIF06723/03/18EqtyAdvtFd101</v>
      </c>
      <c r="E4259" s="8" t="s">
        <v>369</v>
      </c>
      <c r="F4259" s="8" t="s">
        <v>4478</v>
      </c>
    </row>
    <row r="4260" spans="1:6" ht="60" x14ac:dyDescent="0.25">
      <c r="A4260" s="8" t="s">
        <v>125</v>
      </c>
      <c r="B4260" s="8" t="s">
        <v>138</v>
      </c>
      <c r="C4260" s="8" t="str">
        <f>IFERROR(_xlfn.XLOOKUP(TRIM(B4260),Lookup!$B$2:$B$1000,Lookup!$C$2:$C$1000),"")</f>
        <v>Equity</v>
      </c>
      <c r="D4260" s="8" t="str">
        <f>IFERROR(INDEX('nav master'!$C:$C, MATCH(B4260, 'nav master'!$B:$B, 0)), "")</f>
        <v>ULIF06723/03/18EqtyAdvtFd101</v>
      </c>
      <c r="E4260" s="8" t="s">
        <v>371</v>
      </c>
      <c r="F4260" s="8" t="s">
        <v>4479</v>
      </c>
    </row>
    <row r="4261" spans="1:6" ht="60" x14ac:dyDescent="0.25">
      <c r="A4261" s="8" t="s">
        <v>125</v>
      </c>
      <c r="B4261" s="8" t="s">
        <v>138</v>
      </c>
      <c r="C4261" s="8" t="str">
        <f>IFERROR(_xlfn.XLOOKUP(TRIM(B4261),Lookup!$B$2:$B$1000,Lookup!$C$2:$C$1000),"")</f>
        <v>Equity</v>
      </c>
      <c r="D4261" s="8" t="str">
        <f>IFERROR(INDEX('nav master'!$C:$C, MATCH(B4261, 'nav master'!$B:$B, 0)), "")</f>
        <v>ULIF06723/03/18EqtyAdvtFd101</v>
      </c>
      <c r="E4261" s="8" t="s">
        <v>373</v>
      </c>
      <c r="F4261" s="8" t="s">
        <v>4480</v>
      </c>
    </row>
    <row r="4262" spans="1:6" ht="60" x14ac:dyDescent="0.25">
      <c r="A4262" s="8" t="s">
        <v>125</v>
      </c>
      <c r="B4262" s="8" t="s">
        <v>138</v>
      </c>
      <c r="C4262" s="8" t="str">
        <f>IFERROR(_xlfn.XLOOKUP(TRIM(B4262),Lookup!$B$2:$B$1000,Lookup!$C$2:$C$1000),"")</f>
        <v>Equity</v>
      </c>
      <c r="D4262" s="8" t="str">
        <f>IFERROR(INDEX('nav master'!$C:$C, MATCH(B4262, 'nav master'!$B:$B, 0)), "")</f>
        <v>ULIF06723/03/18EqtyAdvtFd101</v>
      </c>
      <c r="E4262" s="8" t="s">
        <v>375</v>
      </c>
      <c r="F4262" s="8" t="s">
        <v>4481</v>
      </c>
    </row>
    <row r="4263" spans="1:6" ht="60" x14ac:dyDescent="0.25">
      <c r="A4263" s="8" t="s">
        <v>125</v>
      </c>
      <c r="B4263" s="8" t="s">
        <v>138</v>
      </c>
      <c r="C4263" s="8" t="str">
        <f>IFERROR(_xlfn.XLOOKUP(TRIM(B4263),Lookup!$B$2:$B$1000,Lookup!$C$2:$C$1000),"")</f>
        <v>Equity</v>
      </c>
      <c r="D4263" s="8" t="str">
        <f>IFERROR(INDEX('nav master'!$C:$C, MATCH(B4263, 'nav master'!$B:$B, 0)), "")</f>
        <v>ULIF06723/03/18EqtyAdvtFd101</v>
      </c>
      <c r="E4263" s="8" t="s">
        <v>377</v>
      </c>
      <c r="F4263" s="8" t="s">
        <v>4482</v>
      </c>
    </row>
    <row r="4264" spans="1:6" ht="60" x14ac:dyDescent="0.25">
      <c r="A4264" s="8" t="s">
        <v>125</v>
      </c>
      <c r="B4264" s="8" t="s">
        <v>138</v>
      </c>
      <c r="C4264" s="8" t="str">
        <f>IFERROR(_xlfn.XLOOKUP(TRIM(B4264),Lookup!$B$2:$B$1000,Lookup!$C$2:$C$1000),"")</f>
        <v>Equity</v>
      </c>
      <c r="D4264" s="8" t="str">
        <f>IFERROR(INDEX('nav master'!$C:$C, MATCH(B4264, 'nav master'!$B:$B, 0)), "")</f>
        <v>ULIF06723/03/18EqtyAdvtFd101</v>
      </c>
      <c r="E4264" s="8" t="s">
        <v>379</v>
      </c>
      <c r="F4264" s="8" t="s">
        <v>4483</v>
      </c>
    </row>
    <row r="4265" spans="1:6" ht="60" x14ac:dyDescent="0.25">
      <c r="A4265" s="8" t="s">
        <v>125</v>
      </c>
      <c r="B4265" s="8" t="s">
        <v>138</v>
      </c>
      <c r="C4265" s="8" t="str">
        <f>IFERROR(_xlfn.XLOOKUP(TRIM(B4265),Lookup!$B$2:$B$1000,Lookup!$C$2:$C$1000),"")</f>
        <v>Equity</v>
      </c>
      <c r="D4265" s="8" t="str">
        <f>IFERROR(INDEX('nav master'!$C:$C, MATCH(B4265, 'nav master'!$B:$B, 0)), "")</f>
        <v>ULIF06723/03/18EqtyAdvtFd101</v>
      </c>
      <c r="E4265" s="8" t="s">
        <v>381</v>
      </c>
      <c r="F4265" s="8" t="s">
        <v>4484</v>
      </c>
    </row>
    <row r="4266" spans="1:6" ht="60" x14ac:dyDescent="0.25">
      <c r="A4266" s="8" t="s">
        <v>125</v>
      </c>
      <c r="B4266" s="8" t="s">
        <v>138</v>
      </c>
      <c r="C4266" s="8" t="str">
        <f>IFERROR(_xlfn.XLOOKUP(TRIM(B4266),Lookup!$B$2:$B$1000,Lookup!$C$2:$C$1000),"")</f>
        <v>Equity</v>
      </c>
      <c r="D4266" s="8" t="str">
        <f>IFERROR(INDEX('nav master'!$C:$C, MATCH(B4266, 'nav master'!$B:$B, 0)), "")</f>
        <v>ULIF06723/03/18EqtyAdvtFd101</v>
      </c>
      <c r="E4266" s="8" t="s">
        <v>383</v>
      </c>
      <c r="F4266" s="8" t="s">
        <v>4485</v>
      </c>
    </row>
    <row r="4267" spans="1:6" ht="60" x14ac:dyDescent="0.25">
      <c r="A4267" s="8" t="s">
        <v>125</v>
      </c>
      <c r="B4267" s="8" t="s">
        <v>138</v>
      </c>
      <c r="C4267" s="8" t="str">
        <f>IFERROR(_xlfn.XLOOKUP(TRIM(B4267),Lookup!$B$2:$B$1000,Lookup!$C$2:$C$1000),"")</f>
        <v>Equity</v>
      </c>
      <c r="D4267" s="8" t="str">
        <f>IFERROR(INDEX('nav master'!$C:$C, MATCH(B4267, 'nav master'!$B:$B, 0)), "")</f>
        <v>ULIF06723/03/18EqtyAdvtFd101</v>
      </c>
      <c r="E4267" s="8" t="s">
        <v>385</v>
      </c>
      <c r="F4267" s="8" t="s">
        <v>4486</v>
      </c>
    </row>
    <row r="4268" spans="1:6" ht="60" x14ac:dyDescent="0.25">
      <c r="A4268" s="8" t="s">
        <v>125</v>
      </c>
      <c r="B4268" s="8" t="s">
        <v>138</v>
      </c>
      <c r="C4268" s="8" t="str">
        <f>IFERROR(_xlfn.XLOOKUP(TRIM(B4268),Lookup!$B$2:$B$1000,Lookup!$C$2:$C$1000),"")</f>
        <v>Equity</v>
      </c>
      <c r="D4268" s="8" t="str">
        <f>IFERROR(INDEX('nav master'!$C:$C, MATCH(B4268, 'nav master'!$B:$B, 0)), "")</f>
        <v>ULIF06723/03/18EqtyAdvtFd101</v>
      </c>
      <c r="E4268" s="8" t="s">
        <v>387</v>
      </c>
      <c r="F4268" s="8" t="s">
        <v>4487</v>
      </c>
    </row>
    <row r="4269" spans="1:6" ht="60" x14ac:dyDescent="0.25">
      <c r="A4269" s="8" t="s">
        <v>125</v>
      </c>
      <c r="B4269" s="8" t="s">
        <v>138</v>
      </c>
      <c r="C4269" s="8" t="str">
        <f>IFERROR(_xlfn.XLOOKUP(TRIM(B4269),Lookup!$B$2:$B$1000,Lookup!$C$2:$C$1000),"")</f>
        <v>Equity</v>
      </c>
      <c r="D4269" s="8" t="str">
        <f>IFERROR(INDEX('nav master'!$C:$C, MATCH(B4269, 'nav master'!$B:$B, 0)), "")</f>
        <v>ULIF06723/03/18EqtyAdvtFd101</v>
      </c>
      <c r="E4269" s="8" t="s">
        <v>389</v>
      </c>
      <c r="F4269" s="8" t="s">
        <v>4488</v>
      </c>
    </row>
    <row r="4270" spans="1:6" ht="60" x14ac:dyDescent="0.25">
      <c r="A4270" s="8" t="s">
        <v>125</v>
      </c>
      <c r="B4270" s="8" t="s">
        <v>138</v>
      </c>
      <c r="C4270" s="8" t="str">
        <f>IFERROR(_xlfn.XLOOKUP(TRIM(B4270),Lookup!$B$2:$B$1000,Lookup!$C$2:$C$1000),"")</f>
        <v>Equity</v>
      </c>
      <c r="D4270" s="8" t="str">
        <f>IFERROR(INDEX('nav master'!$C:$C, MATCH(B4270, 'nav master'!$B:$B, 0)), "")</f>
        <v>ULIF06723/03/18EqtyAdvtFd101</v>
      </c>
      <c r="E4270" s="8" t="s">
        <v>391</v>
      </c>
      <c r="F4270" s="8" t="s">
        <v>4489</v>
      </c>
    </row>
    <row r="4271" spans="1:6" ht="60" x14ac:dyDescent="0.25">
      <c r="A4271" s="8" t="s">
        <v>125</v>
      </c>
      <c r="B4271" s="8" t="s">
        <v>138</v>
      </c>
      <c r="C4271" s="8" t="str">
        <f>IFERROR(_xlfn.XLOOKUP(TRIM(B4271),Lookup!$B$2:$B$1000,Lookup!$C$2:$C$1000),"")</f>
        <v>Equity</v>
      </c>
      <c r="D4271" s="8" t="str">
        <f>IFERROR(INDEX('nav master'!$C:$C, MATCH(B4271, 'nav master'!$B:$B, 0)), "")</f>
        <v>ULIF06723/03/18EqtyAdvtFd101</v>
      </c>
      <c r="E4271" s="8" t="s">
        <v>393</v>
      </c>
      <c r="F4271" s="8" t="s">
        <v>4490</v>
      </c>
    </row>
    <row r="4272" spans="1:6" ht="60" x14ac:dyDescent="0.25">
      <c r="A4272" s="8" t="s">
        <v>125</v>
      </c>
      <c r="B4272" s="8" t="s">
        <v>138</v>
      </c>
      <c r="C4272" s="8" t="str">
        <f>IFERROR(_xlfn.XLOOKUP(TRIM(B4272),Lookup!$B$2:$B$1000,Lookup!$C$2:$C$1000),"")</f>
        <v>Equity</v>
      </c>
      <c r="D4272" s="8" t="str">
        <f>IFERROR(INDEX('nav master'!$C:$C, MATCH(B4272, 'nav master'!$B:$B, 0)), "")</f>
        <v>ULIF06723/03/18EqtyAdvtFd101</v>
      </c>
      <c r="E4272" s="8" t="s">
        <v>395</v>
      </c>
      <c r="F4272" s="8" t="s">
        <v>4491</v>
      </c>
    </row>
    <row r="4273" spans="1:6" ht="60" x14ac:dyDescent="0.25">
      <c r="A4273" s="8" t="s">
        <v>125</v>
      </c>
      <c r="B4273" s="8" t="s">
        <v>138</v>
      </c>
      <c r="C4273" s="8" t="str">
        <f>IFERROR(_xlfn.XLOOKUP(TRIM(B4273),Lookup!$B$2:$B$1000,Lookup!$C$2:$C$1000),"")</f>
        <v>Equity</v>
      </c>
      <c r="D4273" s="8" t="str">
        <f>IFERROR(INDEX('nav master'!$C:$C, MATCH(B4273, 'nav master'!$B:$B, 0)), "")</f>
        <v>ULIF06723/03/18EqtyAdvtFd101</v>
      </c>
      <c r="E4273" s="8" t="s">
        <v>397</v>
      </c>
      <c r="F4273" s="8" t="s">
        <v>4492</v>
      </c>
    </row>
    <row r="4274" spans="1:6" ht="60" x14ac:dyDescent="0.25">
      <c r="A4274" s="8" t="s">
        <v>125</v>
      </c>
      <c r="B4274" s="8" t="s">
        <v>138</v>
      </c>
      <c r="C4274" s="8" t="str">
        <f>IFERROR(_xlfn.XLOOKUP(TRIM(B4274),Lookup!$B$2:$B$1000,Lookup!$C$2:$C$1000),"")</f>
        <v>Equity</v>
      </c>
      <c r="D4274" s="8" t="str">
        <f>IFERROR(INDEX('nav master'!$C:$C, MATCH(B4274, 'nav master'!$B:$B, 0)), "")</f>
        <v>ULIF06723/03/18EqtyAdvtFd101</v>
      </c>
      <c r="E4274" s="8" t="s">
        <v>399</v>
      </c>
      <c r="F4274" s="8" t="s">
        <v>4493</v>
      </c>
    </row>
    <row r="4275" spans="1:6" ht="60" x14ac:dyDescent="0.25">
      <c r="A4275" s="8" t="s">
        <v>125</v>
      </c>
      <c r="B4275" s="8" t="s">
        <v>138</v>
      </c>
      <c r="C4275" s="8" t="str">
        <f>IFERROR(_xlfn.XLOOKUP(TRIM(B4275),Lookup!$B$2:$B$1000,Lookup!$C$2:$C$1000),"")</f>
        <v>Equity</v>
      </c>
      <c r="D4275" s="8" t="str">
        <f>IFERROR(INDEX('nav master'!$C:$C, MATCH(B4275, 'nav master'!$B:$B, 0)), "")</f>
        <v>ULIF06723/03/18EqtyAdvtFd101</v>
      </c>
      <c r="E4275" s="8" t="s">
        <v>401</v>
      </c>
      <c r="F4275" s="8" t="s">
        <v>4494</v>
      </c>
    </row>
    <row r="4276" spans="1:6" ht="60" x14ac:dyDescent="0.25">
      <c r="A4276" s="8" t="s">
        <v>125</v>
      </c>
      <c r="B4276" s="8" t="s">
        <v>138</v>
      </c>
      <c r="C4276" s="8" t="str">
        <f>IFERROR(_xlfn.XLOOKUP(TRIM(B4276),Lookup!$B$2:$B$1000,Lookup!$C$2:$C$1000),"")</f>
        <v>Equity</v>
      </c>
      <c r="D4276" s="8" t="str">
        <f>IFERROR(INDEX('nav master'!$C:$C, MATCH(B4276, 'nav master'!$B:$B, 0)), "")</f>
        <v>ULIF06723/03/18EqtyAdvtFd101</v>
      </c>
      <c r="E4276" s="8" t="s">
        <v>403</v>
      </c>
      <c r="F4276" s="8" t="s">
        <v>4495</v>
      </c>
    </row>
    <row r="4277" spans="1:6" ht="60" x14ac:dyDescent="0.25">
      <c r="A4277" s="8" t="s">
        <v>125</v>
      </c>
      <c r="B4277" s="8" t="s">
        <v>138</v>
      </c>
      <c r="C4277" s="8" t="str">
        <f>IFERROR(_xlfn.XLOOKUP(TRIM(B4277),Lookup!$B$2:$B$1000,Lookup!$C$2:$C$1000),"")</f>
        <v>Equity</v>
      </c>
      <c r="D4277" s="8" t="str">
        <f>IFERROR(INDEX('nav master'!$C:$C, MATCH(B4277, 'nav master'!$B:$B, 0)), "")</f>
        <v>ULIF06723/03/18EqtyAdvtFd101</v>
      </c>
      <c r="E4277" s="8" t="s">
        <v>405</v>
      </c>
      <c r="F4277" s="8" t="s">
        <v>4496</v>
      </c>
    </row>
    <row r="4278" spans="1:6" ht="60" x14ac:dyDescent="0.25">
      <c r="A4278" s="8" t="s">
        <v>125</v>
      </c>
      <c r="B4278" s="8" t="s">
        <v>138</v>
      </c>
      <c r="C4278" s="8" t="str">
        <f>IFERROR(_xlfn.XLOOKUP(TRIM(B4278),Lookup!$B$2:$B$1000,Lookup!$C$2:$C$1000),"")</f>
        <v>Equity</v>
      </c>
      <c r="D4278" s="8" t="str">
        <f>IFERROR(INDEX('nav master'!$C:$C, MATCH(B4278, 'nav master'!$B:$B, 0)), "")</f>
        <v>ULIF06723/03/18EqtyAdvtFd101</v>
      </c>
      <c r="E4278" s="8" t="s">
        <v>407</v>
      </c>
      <c r="F4278" s="8" t="s">
        <v>4497</v>
      </c>
    </row>
    <row r="4279" spans="1:6" ht="60" x14ac:dyDescent="0.25">
      <c r="A4279" s="8" t="s">
        <v>125</v>
      </c>
      <c r="B4279" s="8" t="s">
        <v>138</v>
      </c>
      <c r="C4279" s="8" t="str">
        <f>IFERROR(_xlfn.XLOOKUP(TRIM(B4279),Lookup!$B$2:$B$1000,Lookup!$C$2:$C$1000),"")</f>
        <v>Equity</v>
      </c>
      <c r="D4279" s="8" t="str">
        <f>IFERROR(INDEX('nav master'!$C:$C, MATCH(B4279, 'nav master'!$B:$B, 0)), "")</f>
        <v>ULIF06723/03/18EqtyAdvtFd101</v>
      </c>
      <c r="E4279" s="8" t="s">
        <v>409</v>
      </c>
      <c r="F4279" s="8" t="s">
        <v>4498</v>
      </c>
    </row>
    <row r="4280" spans="1:6" ht="60" x14ac:dyDescent="0.25">
      <c r="A4280" s="8" t="s">
        <v>125</v>
      </c>
      <c r="B4280" s="8" t="s">
        <v>138</v>
      </c>
      <c r="C4280" s="8" t="str">
        <f>IFERROR(_xlfn.XLOOKUP(TRIM(B4280),Lookup!$B$2:$B$1000,Lookup!$C$2:$C$1000),"")</f>
        <v>Equity</v>
      </c>
      <c r="D4280" s="8" t="str">
        <f>IFERROR(INDEX('nav master'!$C:$C, MATCH(B4280, 'nav master'!$B:$B, 0)), "")</f>
        <v>ULIF06723/03/18EqtyAdvtFd101</v>
      </c>
      <c r="E4280" s="8" t="s">
        <v>411</v>
      </c>
      <c r="F4280" s="8" t="s">
        <v>4499</v>
      </c>
    </row>
    <row r="4281" spans="1:6" ht="60" x14ac:dyDescent="0.25">
      <c r="A4281" s="8" t="s">
        <v>125</v>
      </c>
      <c r="B4281" s="8" t="s">
        <v>138</v>
      </c>
      <c r="C4281" s="8" t="str">
        <f>IFERROR(_xlfn.XLOOKUP(TRIM(B4281),Lookup!$B$2:$B$1000,Lookup!$C$2:$C$1000),"")</f>
        <v>Equity</v>
      </c>
      <c r="D4281" s="8" t="str">
        <f>IFERROR(INDEX('nav master'!$C:$C, MATCH(B4281, 'nav master'!$B:$B, 0)), "")</f>
        <v>ULIF06723/03/18EqtyAdvtFd101</v>
      </c>
      <c r="E4281" s="8" t="s">
        <v>413</v>
      </c>
      <c r="F4281" s="8" t="s">
        <v>4500</v>
      </c>
    </row>
    <row r="4282" spans="1:6" ht="60" x14ac:dyDescent="0.25">
      <c r="A4282" s="8" t="s">
        <v>125</v>
      </c>
      <c r="B4282" s="8" t="s">
        <v>138</v>
      </c>
      <c r="C4282" s="8" t="str">
        <f>IFERROR(_xlfn.XLOOKUP(TRIM(B4282),Lookup!$B$2:$B$1000,Lookup!$C$2:$C$1000),"")</f>
        <v>Equity</v>
      </c>
      <c r="D4282" s="8" t="str">
        <f>IFERROR(INDEX('nav master'!$C:$C, MATCH(B4282, 'nav master'!$B:$B, 0)), "")</f>
        <v>ULIF06723/03/18EqtyAdvtFd101</v>
      </c>
      <c r="E4282" s="8" t="s">
        <v>415</v>
      </c>
      <c r="F4282" s="8" t="s">
        <v>4501</v>
      </c>
    </row>
    <row r="4283" spans="1:6" ht="60" x14ac:dyDescent="0.25">
      <c r="A4283" s="8" t="s">
        <v>125</v>
      </c>
      <c r="B4283" s="8" t="s">
        <v>138</v>
      </c>
      <c r="C4283" s="8" t="str">
        <f>IFERROR(_xlfn.XLOOKUP(TRIM(B4283),Lookup!$B$2:$B$1000,Lookup!$C$2:$C$1000),"")</f>
        <v>Equity</v>
      </c>
      <c r="D4283" s="8" t="str">
        <f>IFERROR(INDEX('nav master'!$C:$C, MATCH(B4283, 'nav master'!$B:$B, 0)), "")</f>
        <v>ULIF06723/03/18EqtyAdvtFd101</v>
      </c>
      <c r="E4283" s="8" t="s">
        <v>417</v>
      </c>
      <c r="F4283" s="8" t="s">
        <v>4502</v>
      </c>
    </row>
    <row r="4284" spans="1:6" ht="60" x14ac:dyDescent="0.25">
      <c r="A4284" s="8" t="s">
        <v>125</v>
      </c>
      <c r="B4284" s="8" t="s">
        <v>138</v>
      </c>
      <c r="C4284" s="8" t="str">
        <f>IFERROR(_xlfn.XLOOKUP(TRIM(B4284),Lookup!$B$2:$B$1000,Lookup!$C$2:$C$1000),"")</f>
        <v>Equity</v>
      </c>
      <c r="D4284" s="8" t="str">
        <f>IFERROR(INDEX('nav master'!$C:$C, MATCH(B4284, 'nav master'!$B:$B, 0)), "")</f>
        <v>ULIF06723/03/18EqtyAdvtFd101</v>
      </c>
      <c r="E4284" s="8" t="s">
        <v>419</v>
      </c>
      <c r="F4284" s="8" t="s">
        <v>4503</v>
      </c>
    </row>
    <row r="4285" spans="1:6" ht="60" x14ac:dyDescent="0.25">
      <c r="A4285" s="8" t="s">
        <v>125</v>
      </c>
      <c r="B4285" s="8" t="s">
        <v>138</v>
      </c>
      <c r="C4285" s="8" t="str">
        <f>IFERROR(_xlfn.XLOOKUP(TRIM(B4285),Lookup!$B$2:$B$1000,Lookup!$C$2:$C$1000),"")</f>
        <v>Equity</v>
      </c>
      <c r="D4285" s="8" t="str">
        <f>IFERROR(INDEX('nav master'!$C:$C, MATCH(B4285, 'nav master'!$B:$B, 0)), "")</f>
        <v>ULIF06723/03/18EqtyAdvtFd101</v>
      </c>
      <c r="E4285" s="8" t="s">
        <v>421</v>
      </c>
      <c r="F4285" s="8" t="s">
        <v>4504</v>
      </c>
    </row>
    <row r="4286" spans="1:6" ht="60" x14ac:dyDescent="0.25">
      <c r="A4286" s="8" t="s">
        <v>125</v>
      </c>
      <c r="B4286" s="8" t="s">
        <v>138</v>
      </c>
      <c r="C4286" s="8" t="str">
        <f>IFERROR(_xlfn.XLOOKUP(TRIM(B4286),Lookup!$B$2:$B$1000,Lookup!$C$2:$C$1000),"")</f>
        <v>Equity</v>
      </c>
      <c r="D4286" s="8" t="str">
        <f>IFERROR(INDEX('nav master'!$C:$C, MATCH(B4286, 'nav master'!$B:$B, 0)), "")</f>
        <v>ULIF06723/03/18EqtyAdvtFd101</v>
      </c>
      <c r="E4286" s="8" t="s">
        <v>423</v>
      </c>
      <c r="F4286" s="8" t="s">
        <v>4505</v>
      </c>
    </row>
    <row r="4287" spans="1:6" ht="60" x14ac:dyDescent="0.25">
      <c r="A4287" s="8" t="s">
        <v>125</v>
      </c>
      <c r="B4287" s="8" t="s">
        <v>138</v>
      </c>
      <c r="C4287" s="8" t="str">
        <f>IFERROR(_xlfn.XLOOKUP(TRIM(B4287),Lookup!$B$2:$B$1000,Lookup!$C$2:$C$1000),"")</f>
        <v>Equity</v>
      </c>
      <c r="D4287" s="8" t="str">
        <f>IFERROR(INDEX('nav master'!$C:$C, MATCH(B4287, 'nav master'!$B:$B, 0)), "")</f>
        <v>ULIF06723/03/18EqtyAdvtFd101</v>
      </c>
      <c r="E4287" s="8" t="s">
        <v>425</v>
      </c>
      <c r="F4287" s="8" t="s">
        <v>4506</v>
      </c>
    </row>
    <row r="4288" spans="1:6" ht="60" x14ac:dyDescent="0.25">
      <c r="A4288" s="8" t="s">
        <v>125</v>
      </c>
      <c r="B4288" s="8" t="s">
        <v>138</v>
      </c>
      <c r="C4288" s="8" t="str">
        <f>IFERROR(_xlfn.XLOOKUP(TRIM(B4288),Lookup!$B$2:$B$1000,Lookup!$C$2:$C$1000),"")</f>
        <v>Equity</v>
      </c>
      <c r="D4288" s="8" t="str">
        <f>IFERROR(INDEX('nav master'!$C:$C, MATCH(B4288, 'nav master'!$B:$B, 0)), "")</f>
        <v>ULIF06723/03/18EqtyAdvtFd101</v>
      </c>
      <c r="E4288" s="8" t="s">
        <v>427</v>
      </c>
      <c r="F4288" s="8" t="s">
        <v>4507</v>
      </c>
    </row>
    <row r="4289" spans="1:6" ht="60" x14ac:dyDescent="0.25">
      <c r="A4289" s="8" t="s">
        <v>125</v>
      </c>
      <c r="B4289" s="8" t="s">
        <v>138</v>
      </c>
      <c r="C4289" s="8" t="str">
        <f>IFERROR(_xlfn.XLOOKUP(TRIM(B4289),Lookup!$B$2:$B$1000,Lookup!$C$2:$C$1000),"")</f>
        <v>Equity</v>
      </c>
      <c r="D4289" s="8" t="str">
        <f>IFERROR(INDEX('nav master'!$C:$C, MATCH(B4289, 'nav master'!$B:$B, 0)), "")</f>
        <v>ULIF06723/03/18EqtyAdvtFd101</v>
      </c>
      <c r="E4289" s="8" t="s">
        <v>429</v>
      </c>
      <c r="F4289" s="8" t="s">
        <v>4508</v>
      </c>
    </row>
    <row r="4290" spans="1:6" ht="60" x14ac:dyDescent="0.25">
      <c r="A4290" s="8" t="s">
        <v>125</v>
      </c>
      <c r="B4290" s="8" t="s">
        <v>138</v>
      </c>
      <c r="C4290" s="8" t="str">
        <f>IFERROR(_xlfn.XLOOKUP(TRIM(B4290),Lookup!$B$2:$B$1000,Lookup!$C$2:$C$1000),"")</f>
        <v>Equity</v>
      </c>
      <c r="D4290" s="8" t="str">
        <f>IFERROR(INDEX('nav master'!$C:$C, MATCH(B4290, 'nav master'!$B:$B, 0)), "")</f>
        <v>ULIF06723/03/18EqtyAdvtFd101</v>
      </c>
      <c r="E4290" s="8" t="s">
        <v>431</v>
      </c>
      <c r="F4290" s="8" t="s">
        <v>4509</v>
      </c>
    </row>
    <row r="4291" spans="1:6" ht="60" x14ac:dyDescent="0.25">
      <c r="A4291" s="8" t="s">
        <v>125</v>
      </c>
      <c r="B4291" s="8" t="s">
        <v>138</v>
      </c>
      <c r="C4291" s="8" t="str">
        <f>IFERROR(_xlfn.XLOOKUP(TRIM(B4291),Lookup!$B$2:$B$1000,Lookup!$C$2:$C$1000),"")</f>
        <v>Equity</v>
      </c>
      <c r="D4291" s="8" t="str">
        <f>IFERROR(INDEX('nav master'!$C:$C, MATCH(B4291, 'nav master'!$B:$B, 0)), "")</f>
        <v>ULIF06723/03/18EqtyAdvtFd101</v>
      </c>
      <c r="E4291" s="8" t="s">
        <v>433</v>
      </c>
      <c r="F4291" s="8" t="s">
        <v>4510</v>
      </c>
    </row>
    <row r="4292" spans="1:6" ht="60" x14ac:dyDescent="0.25">
      <c r="A4292" s="8" t="s">
        <v>125</v>
      </c>
      <c r="B4292" s="8" t="s">
        <v>138</v>
      </c>
      <c r="C4292" s="8" t="str">
        <f>IFERROR(_xlfn.XLOOKUP(TRIM(B4292),Lookup!$B$2:$B$1000,Lookup!$C$2:$C$1000),"")</f>
        <v>Equity</v>
      </c>
      <c r="D4292" s="8" t="str">
        <f>IFERROR(INDEX('nav master'!$C:$C, MATCH(B4292, 'nav master'!$B:$B, 0)), "")</f>
        <v>ULIF06723/03/18EqtyAdvtFd101</v>
      </c>
      <c r="E4292" s="8" t="s">
        <v>435</v>
      </c>
      <c r="F4292" s="8" t="s">
        <v>4511</v>
      </c>
    </row>
    <row r="4293" spans="1:6" ht="60" x14ac:dyDescent="0.25">
      <c r="A4293" s="8" t="s">
        <v>125</v>
      </c>
      <c r="B4293" s="8" t="s">
        <v>138</v>
      </c>
      <c r="C4293" s="8" t="str">
        <f>IFERROR(_xlfn.XLOOKUP(TRIM(B4293),Lookup!$B$2:$B$1000,Lookup!$C$2:$C$1000),"")</f>
        <v>Equity</v>
      </c>
      <c r="D4293" s="8" t="str">
        <f>IFERROR(INDEX('nav master'!$C:$C, MATCH(B4293, 'nav master'!$B:$B, 0)), "")</f>
        <v>ULIF06723/03/18EqtyAdvtFd101</v>
      </c>
      <c r="E4293" s="8" t="s">
        <v>437</v>
      </c>
      <c r="F4293" s="8" t="s">
        <v>4512</v>
      </c>
    </row>
    <row r="4294" spans="1:6" ht="60" x14ac:dyDescent="0.25">
      <c r="A4294" s="8" t="s">
        <v>125</v>
      </c>
      <c r="B4294" s="8" t="s">
        <v>138</v>
      </c>
      <c r="C4294" s="8" t="str">
        <f>IFERROR(_xlfn.XLOOKUP(TRIM(B4294),Lookup!$B$2:$B$1000,Lookup!$C$2:$C$1000),"")</f>
        <v>Equity</v>
      </c>
      <c r="D4294" s="8" t="str">
        <f>IFERROR(INDEX('nav master'!$C:$C, MATCH(B4294, 'nav master'!$B:$B, 0)), "")</f>
        <v>ULIF06723/03/18EqtyAdvtFd101</v>
      </c>
      <c r="E4294" s="8" t="s">
        <v>439</v>
      </c>
      <c r="F4294" s="8" t="s">
        <v>4513</v>
      </c>
    </row>
    <row r="4295" spans="1:6" ht="60" x14ac:dyDescent="0.25">
      <c r="A4295" s="8" t="s">
        <v>125</v>
      </c>
      <c r="B4295" s="8" t="s">
        <v>138</v>
      </c>
      <c r="C4295" s="8" t="str">
        <f>IFERROR(_xlfn.XLOOKUP(TRIM(B4295),Lookup!$B$2:$B$1000,Lookup!$C$2:$C$1000),"")</f>
        <v>Equity</v>
      </c>
      <c r="D4295" s="8" t="str">
        <f>IFERROR(INDEX('nav master'!$C:$C, MATCH(B4295, 'nav master'!$B:$B, 0)), "")</f>
        <v>ULIF06723/03/18EqtyAdvtFd101</v>
      </c>
      <c r="E4295" s="8" t="s">
        <v>441</v>
      </c>
      <c r="F4295" s="8" t="s">
        <v>4514</v>
      </c>
    </row>
    <row r="4296" spans="1:6" ht="60" x14ac:dyDescent="0.25">
      <c r="A4296" s="8" t="s">
        <v>125</v>
      </c>
      <c r="B4296" s="8" t="s">
        <v>138</v>
      </c>
      <c r="C4296" s="8" t="str">
        <f>IFERROR(_xlfn.XLOOKUP(TRIM(B4296),Lookup!$B$2:$B$1000,Lookup!$C$2:$C$1000),"")</f>
        <v>Equity</v>
      </c>
      <c r="D4296" s="8" t="str">
        <f>IFERROR(INDEX('nav master'!$C:$C, MATCH(B4296, 'nav master'!$B:$B, 0)), "")</f>
        <v>ULIF06723/03/18EqtyAdvtFd101</v>
      </c>
      <c r="E4296" s="8" t="s">
        <v>443</v>
      </c>
      <c r="F4296" s="8" t="s">
        <v>4515</v>
      </c>
    </row>
    <row r="4297" spans="1:6" ht="60" x14ac:dyDescent="0.25">
      <c r="A4297" s="8" t="s">
        <v>125</v>
      </c>
      <c r="B4297" s="8" t="s">
        <v>138</v>
      </c>
      <c r="C4297" s="8" t="str">
        <f>IFERROR(_xlfn.XLOOKUP(TRIM(B4297),Lookup!$B$2:$B$1000,Lookup!$C$2:$C$1000),"")</f>
        <v>Equity</v>
      </c>
      <c r="D4297" s="8" t="str">
        <f>IFERROR(INDEX('nav master'!$C:$C, MATCH(B4297, 'nav master'!$B:$B, 0)), "")</f>
        <v>ULIF06723/03/18EqtyAdvtFd101</v>
      </c>
      <c r="E4297" s="8" t="s">
        <v>445</v>
      </c>
      <c r="F4297" s="8" t="s">
        <v>4516</v>
      </c>
    </row>
    <row r="4298" spans="1:6" ht="60" x14ac:dyDescent="0.25">
      <c r="A4298" s="8" t="s">
        <v>125</v>
      </c>
      <c r="B4298" s="8" t="s">
        <v>138</v>
      </c>
      <c r="C4298" s="8" t="str">
        <f>IFERROR(_xlfn.XLOOKUP(TRIM(B4298),Lookup!$B$2:$B$1000,Lookup!$C$2:$C$1000),"")</f>
        <v>Equity</v>
      </c>
      <c r="D4298" s="8" t="str">
        <f>IFERROR(INDEX('nav master'!$C:$C, MATCH(B4298, 'nav master'!$B:$B, 0)), "")</f>
        <v>ULIF06723/03/18EqtyAdvtFd101</v>
      </c>
      <c r="E4298" s="8" t="s">
        <v>446</v>
      </c>
      <c r="F4298" s="8" t="s">
        <v>4517</v>
      </c>
    </row>
    <row r="4299" spans="1:6" ht="60" x14ac:dyDescent="0.25">
      <c r="A4299" s="8" t="s">
        <v>125</v>
      </c>
      <c r="B4299" s="8" t="s">
        <v>138</v>
      </c>
      <c r="C4299" s="8" t="str">
        <f>IFERROR(_xlfn.XLOOKUP(TRIM(B4299),Lookup!$B$2:$B$1000,Lookup!$C$2:$C$1000),"")</f>
        <v>Equity</v>
      </c>
      <c r="D4299" s="8" t="str">
        <f>IFERROR(INDEX('nav master'!$C:$C, MATCH(B4299, 'nav master'!$B:$B, 0)), "")</f>
        <v>ULIF06723/03/18EqtyAdvtFd101</v>
      </c>
      <c r="E4299" s="8" t="s">
        <v>448</v>
      </c>
      <c r="F4299" s="8" t="s">
        <v>4518</v>
      </c>
    </row>
    <row r="4300" spans="1:6" ht="60" x14ac:dyDescent="0.25">
      <c r="A4300" s="8" t="s">
        <v>125</v>
      </c>
      <c r="B4300" s="8" t="s">
        <v>138</v>
      </c>
      <c r="C4300" s="8" t="str">
        <f>IFERROR(_xlfn.XLOOKUP(TRIM(B4300),Lookup!$B$2:$B$1000,Lookup!$C$2:$C$1000),"")</f>
        <v>Equity</v>
      </c>
      <c r="D4300" s="8" t="str">
        <f>IFERROR(INDEX('nav master'!$C:$C, MATCH(B4300, 'nav master'!$B:$B, 0)), "")</f>
        <v>ULIF06723/03/18EqtyAdvtFd101</v>
      </c>
      <c r="E4300" s="8" t="s">
        <v>450</v>
      </c>
      <c r="F4300" s="8" t="s">
        <v>4519</v>
      </c>
    </row>
    <row r="4301" spans="1:6" ht="60" x14ac:dyDescent="0.25">
      <c r="A4301" s="8" t="s">
        <v>125</v>
      </c>
      <c r="B4301" s="8" t="s">
        <v>138</v>
      </c>
      <c r="C4301" s="8" t="str">
        <f>IFERROR(_xlfn.XLOOKUP(TRIM(B4301),Lookup!$B$2:$B$1000,Lookup!$C$2:$C$1000),"")</f>
        <v>Equity</v>
      </c>
      <c r="D4301" s="8" t="str">
        <f>IFERROR(INDEX('nav master'!$C:$C, MATCH(B4301, 'nav master'!$B:$B, 0)), "")</f>
        <v>ULIF06723/03/18EqtyAdvtFd101</v>
      </c>
      <c r="E4301" s="8" t="s">
        <v>452</v>
      </c>
      <c r="F4301" s="8" t="s">
        <v>4520</v>
      </c>
    </row>
    <row r="4302" spans="1:6" ht="60" x14ac:dyDescent="0.25">
      <c r="A4302" s="8" t="s">
        <v>125</v>
      </c>
      <c r="B4302" s="8" t="s">
        <v>138</v>
      </c>
      <c r="C4302" s="8" t="str">
        <f>IFERROR(_xlfn.XLOOKUP(TRIM(B4302),Lookup!$B$2:$B$1000,Lookup!$C$2:$C$1000),"")</f>
        <v>Equity</v>
      </c>
      <c r="D4302" s="8" t="str">
        <f>IFERROR(INDEX('nav master'!$C:$C, MATCH(B4302, 'nav master'!$B:$B, 0)), "")</f>
        <v>ULIF06723/03/18EqtyAdvtFd101</v>
      </c>
      <c r="E4302" s="8" t="s">
        <v>454</v>
      </c>
      <c r="F4302" s="8" t="s">
        <v>4521</v>
      </c>
    </row>
    <row r="4303" spans="1:6" ht="60" x14ac:dyDescent="0.25">
      <c r="A4303" s="8" t="s">
        <v>125</v>
      </c>
      <c r="B4303" s="8" t="s">
        <v>138</v>
      </c>
      <c r="C4303" s="8" t="str">
        <f>IFERROR(_xlfn.XLOOKUP(TRIM(B4303),Lookup!$B$2:$B$1000,Lookup!$C$2:$C$1000),"")</f>
        <v>Equity</v>
      </c>
      <c r="D4303" s="8" t="str">
        <f>IFERROR(INDEX('nav master'!$C:$C, MATCH(B4303, 'nav master'!$B:$B, 0)), "")</f>
        <v>ULIF06723/03/18EqtyAdvtFd101</v>
      </c>
      <c r="E4303" s="8" t="s">
        <v>456</v>
      </c>
      <c r="F4303" s="8" t="s">
        <v>4522</v>
      </c>
    </row>
    <row r="4304" spans="1:6" ht="60" x14ac:dyDescent="0.25">
      <c r="A4304" s="8" t="s">
        <v>125</v>
      </c>
      <c r="B4304" s="8" t="s">
        <v>138</v>
      </c>
      <c r="C4304" s="8" t="str">
        <f>IFERROR(_xlfn.XLOOKUP(TRIM(B4304),Lookup!$B$2:$B$1000,Lookup!$C$2:$C$1000),"")</f>
        <v>Equity</v>
      </c>
      <c r="D4304" s="8" t="str">
        <f>IFERROR(INDEX('nav master'!$C:$C, MATCH(B4304, 'nav master'!$B:$B, 0)), "")</f>
        <v>ULIF06723/03/18EqtyAdvtFd101</v>
      </c>
      <c r="E4304" s="8" t="s">
        <v>458</v>
      </c>
      <c r="F4304" s="8" t="s">
        <v>4523</v>
      </c>
    </row>
    <row r="4305" spans="1:6" ht="60" x14ac:dyDescent="0.25">
      <c r="A4305" s="8" t="s">
        <v>125</v>
      </c>
      <c r="B4305" s="8" t="s">
        <v>138</v>
      </c>
      <c r="C4305" s="8" t="str">
        <f>IFERROR(_xlfn.XLOOKUP(TRIM(B4305),Lookup!$B$2:$B$1000,Lookup!$C$2:$C$1000),"")</f>
        <v>Equity</v>
      </c>
      <c r="D4305" s="8" t="str">
        <f>IFERROR(INDEX('nav master'!$C:$C, MATCH(B4305, 'nav master'!$B:$B, 0)), "")</f>
        <v>ULIF06723/03/18EqtyAdvtFd101</v>
      </c>
      <c r="E4305" s="8" t="s">
        <v>460</v>
      </c>
      <c r="F4305" s="8" t="s">
        <v>4524</v>
      </c>
    </row>
    <row r="4306" spans="1:6" ht="60" x14ac:dyDescent="0.25">
      <c r="A4306" s="8" t="s">
        <v>125</v>
      </c>
      <c r="B4306" s="8" t="s">
        <v>138</v>
      </c>
      <c r="C4306" s="8" t="str">
        <f>IFERROR(_xlfn.XLOOKUP(TRIM(B4306),Lookup!$B$2:$B$1000,Lookup!$C$2:$C$1000),"")</f>
        <v>Equity</v>
      </c>
      <c r="D4306" s="8" t="str">
        <f>IFERROR(INDEX('nav master'!$C:$C, MATCH(B4306, 'nav master'!$B:$B, 0)), "")</f>
        <v>ULIF06723/03/18EqtyAdvtFd101</v>
      </c>
      <c r="E4306" s="8" t="s">
        <v>462</v>
      </c>
      <c r="F4306" s="8" t="s">
        <v>4525</v>
      </c>
    </row>
    <row r="4307" spans="1:6" ht="60" x14ac:dyDescent="0.25">
      <c r="A4307" s="8" t="s">
        <v>125</v>
      </c>
      <c r="B4307" s="8" t="s">
        <v>138</v>
      </c>
      <c r="C4307" s="8" t="str">
        <f>IFERROR(_xlfn.XLOOKUP(TRIM(B4307),Lookup!$B$2:$B$1000,Lookup!$C$2:$C$1000),"")</f>
        <v>Equity</v>
      </c>
      <c r="D4307" s="8" t="str">
        <f>IFERROR(INDEX('nav master'!$C:$C, MATCH(B4307, 'nav master'!$B:$B, 0)), "")</f>
        <v>ULIF06723/03/18EqtyAdvtFd101</v>
      </c>
      <c r="E4307" s="8" t="s">
        <v>464</v>
      </c>
      <c r="F4307" s="8" t="s">
        <v>4526</v>
      </c>
    </row>
    <row r="4308" spans="1:6" ht="60" x14ac:dyDescent="0.25">
      <c r="A4308" s="8" t="s">
        <v>125</v>
      </c>
      <c r="B4308" s="8" t="s">
        <v>138</v>
      </c>
      <c r="C4308" s="8" t="str">
        <f>IFERROR(_xlfn.XLOOKUP(TRIM(B4308),Lookup!$B$2:$B$1000,Lookup!$C$2:$C$1000),"")</f>
        <v>Equity</v>
      </c>
      <c r="D4308" s="8" t="str">
        <f>IFERROR(INDEX('nav master'!$C:$C, MATCH(B4308, 'nav master'!$B:$B, 0)), "")</f>
        <v>ULIF06723/03/18EqtyAdvtFd101</v>
      </c>
      <c r="E4308" s="8" t="s">
        <v>466</v>
      </c>
      <c r="F4308" s="8" t="s">
        <v>4527</v>
      </c>
    </row>
    <row r="4309" spans="1:6" ht="60" x14ac:dyDescent="0.25">
      <c r="A4309" s="8" t="s">
        <v>125</v>
      </c>
      <c r="B4309" s="8" t="s">
        <v>138</v>
      </c>
      <c r="C4309" s="8" t="str">
        <f>IFERROR(_xlfn.XLOOKUP(TRIM(B4309),Lookup!$B$2:$B$1000,Lookup!$C$2:$C$1000),"")</f>
        <v>Equity</v>
      </c>
      <c r="D4309" s="8" t="str">
        <f>IFERROR(INDEX('nav master'!$C:$C, MATCH(B4309, 'nav master'!$B:$B, 0)), "")</f>
        <v>ULIF06723/03/18EqtyAdvtFd101</v>
      </c>
      <c r="E4309" s="8" t="s">
        <v>468</v>
      </c>
      <c r="F4309" s="8" t="s">
        <v>4528</v>
      </c>
    </row>
    <row r="4310" spans="1:6" ht="60" x14ac:dyDescent="0.25">
      <c r="A4310" s="8" t="s">
        <v>125</v>
      </c>
      <c r="B4310" s="8" t="s">
        <v>138</v>
      </c>
      <c r="C4310" s="8" t="str">
        <f>IFERROR(_xlfn.XLOOKUP(TRIM(B4310),Lookup!$B$2:$B$1000,Lookup!$C$2:$C$1000),"")</f>
        <v>Equity</v>
      </c>
      <c r="D4310" s="8" t="str">
        <f>IFERROR(INDEX('nav master'!$C:$C, MATCH(B4310, 'nav master'!$B:$B, 0)), "")</f>
        <v>ULIF06723/03/18EqtyAdvtFd101</v>
      </c>
      <c r="E4310" s="8" t="s">
        <v>470</v>
      </c>
      <c r="F4310" s="8" t="s">
        <v>4529</v>
      </c>
    </row>
    <row r="4311" spans="1:6" ht="60" x14ac:dyDescent="0.25">
      <c r="A4311" s="8" t="s">
        <v>125</v>
      </c>
      <c r="B4311" s="8" t="s">
        <v>138</v>
      </c>
      <c r="C4311" s="8" t="str">
        <f>IFERROR(_xlfn.XLOOKUP(TRIM(B4311),Lookup!$B$2:$B$1000,Lookup!$C$2:$C$1000),"")</f>
        <v>Equity</v>
      </c>
      <c r="D4311" s="8" t="str">
        <f>IFERROR(INDEX('nav master'!$C:$C, MATCH(B4311, 'nav master'!$B:$B, 0)), "")</f>
        <v>ULIF06723/03/18EqtyAdvtFd101</v>
      </c>
      <c r="E4311" s="8" t="s">
        <v>472</v>
      </c>
      <c r="F4311" s="8" t="s">
        <v>4530</v>
      </c>
    </row>
    <row r="4312" spans="1:6" ht="60" x14ac:dyDescent="0.25">
      <c r="A4312" s="8" t="s">
        <v>125</v>
      </c>
      <c r="B4312" s="8" t="s">
        <v>138</v>
      </c>
      <c r="C4312" s="8" t="str">
        <f>IFERROR(_xlfn.XLOOKUP(TRIM(B4312),Lookup!$B$2:$B$1000,Lookup!$C$2:$C$1000),"")</f>
        <v>Equity</v>
      </c>
      <c r="D4312" s="8" t="str">
        <f>IFERROR(INDEX('nav master'!$C:$C, MATCH(B4312, 'nav master'!$B:$B, 0)), "")</f>
        <v>ULIF06723/03/18EqtyAdvtFd101</v>
      </c>
      <c r="E4312" s="8" t="s">
        <v>474</v>
      </c>
      <c r="F4312" s="8" t="s">
        <v>4531</v>
      </c>
    </row>
    <row r="4313" spans="1:6" ht="60" x14ac:dyDescent="0.25">
      <c r="A4313" s="8" t="s">
        <v>125</v>
      </c>
      <c r="B4313" s="8" t="s">
        <v>138</v>
      </c>
      <c r="C4313" s="8" t="str">
        <f>IFERROR(_xlfn.XLOOKUP(TRIM(B4313),Lookup!$B$2:$B$1000,Lookup!$C$2:$C$1000),"")</f>
        <v>Equity</v>
      </c>
      <c r="D4313" s="8" t="str">
        <f>IFERROR(INDEX('nav master'!$C:$C, MATCH(B4313, 'nav master'!$B:$B, 0)), "")</f>
        <v>ULIF06723/03/18EqtyAdvtFd101</v>
      </c>
      <c r="E4313" s="8" t="s">
        <v>476</v>
      </c>
      <c r="F4313" s="8" t="s">
        <v>4532</v>
      </c>
    </row>
    <row r="4314" spans="1:6" ht="60" x14ac:dyDescent="0.25">
      <c r="A4314" s="8" t="s">
        <v>125</v>
      </c>
      <c r="B4314" s="8" t="s">
        <v>138</v>
      </c>
      <c r="C4314" s="8" t="str">
        <f>IFERROR(_xlfn.XLOOKUP(TRIM(B4314),Lookup!$B$2:$B$1000,Lookup!$C$2:$C$1000),"")</f>
        <v>Equity</v>
      </c>
      <c r="D4314" s="8" t="str">
        <f>IFERROR(INDEX('nav master'!$C:$C, MATCH(B4314, 'nav master'!$B:$B, 0)), "")</f>
        <v>ULIF06723/03/18EqtyAdvtFd101</v>
      </c>
      <c r="E4314" s="8" t="s">
        <v>478</v>
      </c>
      <c r="F4314" s="8" t="s">
        <v>4533</v>
      </c>
    </row>
    <row r="4315" spans="1:6" ht="60" x14ac:dyDescent="0.25">
      <c r="A4315" s="8" t="s">
        <v>125</v>
      </c>
      <c r="B4315" s="8" t="s">
        <v>138</v>
      </c>
      <c r="C4315" s="8" t="str">
        <f>IFERROR(_xlfn.XLOOKUP(TRIM(B4315),Lookup!$B$2:$B$1000,Lookup!$C$2:$C$1000),"")</f>
        <v>Equity</v>
      </c>
      <c r="D4315" s="8" t="str">
        <f>IFERROR(INDEX('nav master'!$C:$C, MATCH(B4315, 'nav master'!$B:$B, 0)), "")</f>
        <v>ULIF06723/03/18EqtyAdvtFd101</v>
      </c>
      <c r="E4315" s="8" t="s">
        <v>480</v>
      </c>
      <c r="F4315" s="8" t="s">
        <v>4534</v>
      </c>
    </row>
    <row r="4316" spans="1:6" ht="60" x14ac:dyDescent="0.25">
      <c r="A4316" s="8" t="s">
        <v>125</v>
      </c>
      <c r="B4316" s="8" t="s">
        <v>138</v>
      </c>
      <c r="C4316" s="8" t="str">
        <f>IFERROR(_xlfn.XLOOKUP(TRIM(B4316),Lookup!$B$2:$B$1000,Lookup!$C$2:$C$1000),"")</f>
        <v>Equity</v>
      </c>
      <c r="D4316" s="8" t="str">
        <f>IFERROR(INDEX('nav master'!$C:$C, MATCH(B4316, 'nav master'!$B:$B, 0)), "")</f>
        <v>ULIF06723/03/18EqtyAdvtFd101</v>
      </c>
      <c r="E4316" s="8" t="s">
        <v>482</v>
      </c>
      <c r="F4316" s="8" t="s">
        <v>4535</v>
      </c>
    </row>
    <row r="4317" spans="1:6" ht="60" x14ac:dyDescent="0.25">
      <c r="A4317" s="8" t="s">
        <v>125</v>
      </c>
      <c r="B4317" s="8" t="s">
        <v>138</v>
      </c>
      <c r="C4317" s="8" t="str">
        <f>IFERROR(_xlfn.XLOOKUP(TRIM(B4317),Lookup!$B$2:$B$1000,Lookup!$C$2:$C$1000),"")</f>
        <v>Equity</v>
      </c>
      <c r="D4317" s="8" t="str">
        <f>IFERROR(INDEX('nav master'!$C:$C, MATCH(B4317, 'nav master'!$B:$B, 0)), "")</f>
        <v>ULIF06723/03/18EqtyAdvtFd101</v>
      </c>
      <c r="E4317" s="8" t="s">
        <v>484</v>
      </c>
      <c r="F4317" s="8" t="s">
        <v>4536</v>
      </c>
    </row>
    <row r="4318" spans="1:6" ht="60" x14ac:dyDescent="0.25">
      <c r="A4318" s="8" t="s">
        <v>125</v>
      </c>
      <c r="B4318" s="8" t="s">
        <v>138</v>
      </c>
      <c r="C4318" s="8" t="str">
        <f>IFERROR(_xlfn.XLOOKUP(TRIM(B4318),Lookup!$B$2:$B$1000,Lookup!$C$2:$C$1000),"")</f>
        <v>Equity</v>
      </c>
      <c r="D4318" s="8" t="str">
        <f>IFERROR(INDEX('nav master'!$C:$C, MATCH(B4318, 'nav master'!$B:$B, 0)), "")</f>
        <v>ULIF06723/03/18EqtyAdvtFd101</v>
      </c>
      <c r="E4318" s="8" t="s">
        <v>486</v>
      </c>
      <c r="F4318" s="8" t="s">
        <v>4537</v>
      </c>
    </row>
    <row r="4319" spans="1:6" ht="60" x14ac:dyDescent="0.25">
      <c r="A4319" s="8" t="s">
        <v>125</v>
      </c>
      <c r="B4319" s="8" t="s">
        <v>138</v>
      </c>
      <c r="C4319" s="8" t="str">
        <f>IFERROR(_xlfn.XLOOKUP(TRIM(B4319),Lookup!$B$2:$B$1000,Lookup!$C$2:$C$1000),"")</f>
        <v>Equity</v>
      </c>
      <c r="D4319" s="8" t="str">
        <f>IFERROR(INDEX('nav master'!$C:$C, MATCH(B4319, 'nav master'!$B:$B, 0)), "")</f>
        <v>ULIF06723/03/18EqtyAdvtFd101</v>
      </c>
      <c r="E4319" s="8" t="s">
        <v>488</v>
      </c>
      <c r="F4319" s="8" t="s">
        <v>4538</v>
      </c>
    </row>
    <row r="4320" spans="1:6" ht="60" x14ac:dyDescent="0.25">
      <c r="A4320" s="8" t="s">
        <v>125</v>
      </c>
      <c r="B4320" s="8" t="s">
        <v>138</v>
      </c>
      <c r="C4320" s="8" t="str">
        <f>IFERROR(_xlfn.XLOOKUP(TRIM(B4320),Lookup!$B$2:$B$1000,Lookup!$C$2:$C$1000),"")</f>
        <v>Equity</v>
      </c>
      <c r="D4320" s="8" t="str">
        <f>IFERROR(INDEX('nav master'!$C:$C, MATCH(B4320, 'nav master'!$B:$B, 0)), "")</f>
        <v>ULIF06723/03/18EqtyAdvtFd101</v>
      </c>
      <c r="E4320" s="8" t="s">
        <v>490</v>
      </c>
      <c r="F4320" s="8" t="s">
        <v>4539</v>
      </c>
    </row>
    <row r="4321" spans="1:6" ht="60" x14ac:dyDescent="0.25">
      <c r="A4321" s="8" t="s">
        <v>125</v>
      </c>
      <c r="B4321" s="8" t="s">
        <v>138</v>
      </c>
      <c r="C4321" s="8" t="str">
        <f>IFERROR(_xlfn.XLOOKUP(TRIM(B4321),Lookup!$B$2:$B$1000,Lookup!$C$2:$C$1000),"")</f>
        <v>Equity</v>
      </c>
      <c r="D4321" s="8" t="str">
        <f>IFERROR(INDEX('nav master'!$C:$C, MATCH(B4321, 'nav master'!$B:$B, 0)), "")</f>
        <v>ULIF06723/03/18EqtyAdvtFd101</v>
      </c>
      <c r="E4321" s="8" t="s">
        <v>492</v>
      </c>
      <c r="F4321" s="8" t="s">
        <v>4540</v>
      </c>
    </row>
    <row r="4322" spans="1:6" ht="60" x14ac:dyDescent="0.25">
      <c r="A4322" s="8" t="s">
        <v>125</v>
      </c>
      <c r="B4322" s="8" t="s">
        <v>138</v>
      </c>
      <c r="C4322" s="8" t="str">
        <f>IFERROR(_xlfn.XLOOKUP(TRIM(B4322),Lookup!$B$2:$B$1000,Lookup!$C$2:$C$1000),"")</f>
        <v>Equity</v>
      </c>
      <c r="D4322" s="8" t="str">
        <f>IFERROR(INDEX('nav master'!$C:$C, MATCH(B4322, 'nav master'!$B:$B, 0)), "")</f>
        <v>ULIF06723/03/18EqtyAdvtFd101</v>
      </c>
      <c r="E4322" s="8" t="s">
        <v>494</v>
      </c>
      <c r="F4322" s="8" t="s">
        <v>4541</v>
      </c>
    </row>
    <row r="4323" spans="1:6" ht="60" x14ac:dyDescent="0.25">
      <c r="A4323" s="8" t="s">
        <v>125</v>
      </c>
      <c r="B4323" s="8" t="s">
        <v>138</v>
      </c>
      <c r="C4323" s="8" t="str">
        <f>IFERROR(_xlfn.XLOOKUP(TRIM(B4323),Lookup!$B$2:$B$1000,Lookup!$C$2:$C$1000),"")</f>
        <v>Equity</v>
      </c>
      <c r="D4323" s="8" t="str">
        <f>IFERROR(INDEX('nav master'!$C:$C, MATCH(B4323, 'nav master'!$B:$B, 0)), "")</f>
        <v>ULIF06723/03/18EqtyAdvtFd101</v>
      </c>
      <c r="E4323" s="8" t="s">
        <v>496</v>
      </c>
      <c r="F4323" s="8" t="s">
        <v>4542</v>
      </c>
    </row>
    <row r="4324" spans="1:6" ht="60" x14ac:dyDescent="0.25">
      <c r="A4324" s="8" t="s">
        <v>125</v>
      </c>
      <c r="B4324" s="8" t="s">
        <v>138</v>
      </c>
      <c r="C4324" s="8" t="str">
        <f>IFERROR(_xlfn.XLOOKUP(TRIM(B4324),Lookup!$B$2:$B$1000,Lookup!$C$2:$C$1000),"")</f>
        <v>Equity</v>
      </c>
      <c r="D4324" s="8" t="str">
        <f>IFERROR(INDEX('nav master'!$C:$C, MATCH(B4324, 'nav master'!$B:$B, 0)), "")</f>
        <v>ULIF06723/03/18EqtyAdvtFd101</v>
      </c>
      <c r="E4324" s="8" t="s">
        <v>498</v>
      </c>
      <c r="F4324" s="8" t="s">
        <v>4543</v>
      </c>
    </row>
    <row r="4325" spans="1:6" ht="60" x14ac:dyDescent="0.25">
      <c r="A4325" s="8" t="s">
        <v>125</v>
      </c>
      <c r="B4325" s="8" t="s">
        <v>138</v>
      </c>
      <c r="C4325" s="8" t="str">
        <f>IFERROR(_xlfn.XLOOKUP(TRIM(B4325),Lookup!$B$2:$B$1000,Lookup!$C$2:$C$1000),"")</f>
        <v>Equity</v>
      </c>
      <c r="D4325" s="8" t="str">
        <f>IFERROR(INDEX('nav master'!$C:$C, MATCH(B4325, 'nav master'!$B:$B, 0)), "")</f>
        <v>ULIF06723/03/18EqtyAdvtFd101</v>
      </c>
      <c r="E4325" s="8" t="s">
        <v>500</v>
      </c>
      <c r="F4325" s="8" t="s">
        <v>4544</v>
      </c>
    </row>
    <row r="4326" spans="1:6" ht="60" x14ac:dyDescent="0.25">
      <c r="A4326" s="8" t="s">
        <v>125</v>
      </c>
      <c r="B4326" s="8" t="s">
        <v>138</v>
      </c>
      <c r="C4326" s="8" t="str">
        <f>IFERROR(_xlfn.XLOOKUP(TRIM(B4326),Lookup!$B$2:$B$1000,Lookup!$C$2:$C$1000),"")</f>
        <v>Equity</v>
      </c>
      <c r="D4326" s="8" t="str">
        <f>IFERROR(INDEX('nav master'!$C:$C, MATCH(B4326, 'nav master'!$B:$B, 0)), "")</f>
        <v>ULIF06723/03/18EqtyAdvtFd101</v>
      </c>
      <c r="E4326" s="8" t="s">
        <v>502</v>
      </c>
      <c r="F4326" s="8" t="s">
        <v>4545</v>
      </c>
    </row>
    <row r="4327" spans="1:6" ht="60" x14ac:dyDescent="0.25">
      <c r="A4327" s="8" t="s">
        <v>125</v>
      </c>
      <c r="B4327" s="8" t="s">
        <v>138</v>
      </c>
      <c r="C4327" s="8" t="str">
        <f>IFERROR(_xlfn.XLOOKUP(TRIM(B4327),Lookup!$B$2:$B$1000,Lookup!$C$2:$C$1000),"")</f>
        <v>Equity</v>
      </c>
      <c r="D4327" s="8" t="str">
        <f>IFERROR(INDEX('nav master'!$C:$C, MATCH(B4327, 'nav master'!$B:$B, 0)), "")</f>
        <v>ULIF06723/03/18EqtyAdvtFd101</v>
      </c>
      <c r="E4327" s="8" t="s">
        <v>504</v>
      </c>
      <c r="F4327" s="8" t="s">
        <v>4546</v>
      </c>
    </row>
    <row r="4328" spans="1:6" ht="60" x14ac:dyDescent="0.25">
      <c r="A4328" s="8" t="s">
        <v>125</v>
      </c>
      <c r="B4328" s="8" t="s">
        <v>138</v>
      </c>
      <c r="C4328" s="8" t="str">
        <f>IFERROR(_xlfn.XLOOKUP(TRIM(B4328),Lookup!$B$2:$B$1000,Lookup!$C$2:$C$1000),"")</f>
        <v>Equity</v>
      </c>
      <c r="D4328" s="8" t="str">
        <f>IFERROR(INDEX('nav master'!$C:$C, MATCH(B4328, 'nav master'!$B:$B, 0)), "")</f>
        <v>ULIF06723/03/18EqtyAdvtFd101</v>
      </c>
      <c r="E4328" s="8" t="s">
        <v>506</v>
      </c>
      <c r="F4328" s="8" t="s">
        <v>4547</v>
      </c>
    </row>
    <row r="4329" spans="1:6" ht="60" x14ac:dyDescent="0.25">
      <c r="A4329" s="8" t="s">
        <v>125</v>
      </c>
      <c r="B4329" s="8" t="s">
        <v>138</v>
      </c>
      <c r="C4329" s="8" t="str">
        <f>IFERROR(_xlfn.XLOOKUP(TRIM(B4329),Lookup!$B$2:$B$1000,Lookup!$C$2:$C$1000),"")</f>
        <v>Equity</v>
      </c>
      <c r="D4329" s="8" t="str">
        <f>IFERROR(INDEX('nav master'!$C:$C, MATCH(B4329, 'nav master'!$B:$B, 0)), "")</f>
        <v>ULIF06723/03/18EqtyAdvtFd101</v>
      </c>
      <c r="E4329" s="8" t="s">
        <v>508</v>
      </c>
      <c r="F4329" s="8" t="s">
        <v>4548</v>
      </c>
    </row>
    <row r="4330" spans="1:6" ht="60" x14ac:dyDescent="0.25">
      <c r="A4330" s="8" t="s">
        <v>125</v>
      </c>
      <c r="B4330" s="8" t="s">
        <v>138</v>
      </c>
      <c r="C4330" s="8" t="str">
        <f>IFERROR(_xlfn.XLOOKUP(TRIM(B4330),Lookup!$B$2:$B$1000,Lookup!$C$2:$C$1000),"")</f>
        <v>Equity</v>
      </c>
      <c r="D4330" s="8" t="str">
        <f>IFERROR(INDEX('nav master'!$C:$C, MATCH(B4330, 'nav master'!$B:$B, 0)), "")</f>
        <v>ULIF06723/03/18EqtyAdvtFd101</v>
      </c>
      <c r="E4330" s="8" t="s">
        <v>510</v>
      </c>
      <c r="F4330" s="8" t="s">
        <v>4549</v>
      </c>
    </row>
    <row r="4331" spans="1:6" ht="60" x14ac:dyDescent="0.25">
      <c r="A4331" s="8" t="s">
        <v>125</v>
      </c>
      <c r="B4331" s="8" t="s">
        <v>138</v>
      </c>
      <c r="C4331" s="8" t="str">
        <f>IFERROR(_xlfn.XLOOKUP(TRIM(B4331),Lookup!$B$2:$B$1000,Lookup!$C$2:$C$1000),"")</f>
        <v>Equity</v>
      </c>
      <c r="D4331" s="8" t="str">
        <f>IFERROR(INDEX('nav master'!$C:$C, MATCH(B4331, 'nav master'!$B:$B, 0)), "")</f>
        <v>ULIF06723/03/18EqtyAdvtFd101</v>
      </c>
      <c r="E4331" s="8" t="s">
        <v>512</v>
      </c>
      <c r="F4331" s="8" t="s">
        <v>4550</v>
      </c>
    </row>
    <row r="4332" spans="1:6" ht="60" x14ac:dyDescent="0.25">
      <c r="A4332" s="8" t="s">
        <v>125</v>
      </c>
      <c r="B4332" s="8" t="s">
        <v>138</v>
      </c>
      <c r="C4332" s="8" t="str">
        <f>IFERROR(_xlfn.XLOOKUP(TRIM(B4332),Lookup!$B$2:$B$1000,Lookup!$C$2:$C$1000),"")</f>
        <v>Equity</v>
      </c>
      <c r="D4332" s="8" t="str">
        <f>IFERROR(INDEX('nav master'!$C:$C, MATCH(B4332, 'nav master'!$B:$B, 0)), "")</f>
        <v>ULIF06723/03/18EqtyAdvtFd101</v>
      </c>
      <c r="E4332" s="8" t="s">
        <v>514</v>
      </c>
      <c r="F4332" s="8" t="s">
        <v>4551</v>
      </c>
    </row>
    <row r="4333" spans="1:6" ht="60" x14ac:dyDescent="0.25">
      <c r="A4333" s="8" t="s">
        <v>125</v>
      </c>
      <c r="B4333" s="8" t="s">
        <v>138</v>
      </c>
      <c r="C4333" s="8" t="str">
        <f>IFERROR(_xlfn.XLOOKUP(TRIM(B4333),Lookup!$B$2:$B$1000,Lookup!$C$2:$C$1000),"")</f>
        <v>Equity</v>
      </c>
      <c r="D4333" s="8" t="str">
        <f>IFERROR(INDEX('nav master'!$C:$C, MATCH(B4333, 'nav master'!$B:$B, 0)), "")</f>
        <v>ULIF06723/03/18EqtyAdvtFd101</v>
      </c>
      <c r="E4333" s="8" t="s">
        <v>516</v>
      </c>
      <c r="F4333" s="8" t="s">
        <v>4552</v>
      </c>
    </row>
    <row r="4334" spans="1:6" ht="60" x14ac:dyDescent="0.25">
      <c r="A4334" s="8" t="s">
        <v>125</v>
      </c>
      <c r="B4334" s="8" t="s">
        <v>138</v>
      </c>
      <c r="C4334" s="8" t="str">
        <f>IFERROR(_xlfn.XLOOKUP(TRIM(B4334),Lookup!$B$2:$B$1000,Lookup!$C$2:$C$1000),"")</f>
        <v>Equity</v>
      </c>
      <c r="D4334" s="8" t="str">
        <f>IFERROR(INDEX('nav master'!$C:$C, MATCH(B4334, 'nav master'!$B:$B, 0)), "")</f>
        <v>ULIF06723/03/18EqtyAdvtFd101</v>
      </c>
      <c r="E4334" s="8" t="s">
        <v>518</v>
      </c>
      <c r="F4334" s="8" t="s">
        <v>4553</v>
      </c>
    </row>
    <row r="4335" spans="1:6" ht="60" x14ac:dyDescent="0.25">
      <c r="A4335" s="8" t="s">
        <v>125</v>
      </c>
      <c r="B4335" s="8" t="s">
        <v>138</v>
      </c>
      <c r="C4335" s="8" t="str">
        <f>IFERROR(_xlfn.XLOOKUP(TRIM(B4335),Lookup!$B$2:$B$1000,Lookup!$C$2:$C$1000),"")</f>
        <v>Equity</v>
      </c>
      <c r="D4335" s="8" t="str">
        <f>IFERROR(INDEX('nav master'!$C:$C, MATCH(B4335, 'nav master'!$B:$B, 0)), "")</f>
        <v>ULIF06723/03/18EqtyAdvtFd101</v>
      </c>
      <c r="E4335" s="8" t="s">
        <v>520</v>
      </c>
      <c r="F4335" s="8" t="s">
        <v>4554</v>
      </c>
    </row>
    <row r="4336" spans="1:6" ht="60" x14ac:dyDescent="0.25">
      <c r="A4336" s="8" t="s">
        <v>125</v>
      </c>
      <c r="B4336" s="8" t="s">
        <v>138</v>
      </c>
      <c r="C4336" s="8" t="str">
        <f>IFERROR(_xlfn.XLOOKUP(TRIM(B4336),Lookup!$B$2:$B$1000,Lookup!$C$2:$C$1000),"")</f>
        <v>Equity</v>
      </c>
      <c r="D4336" s="8" t="str">
        <f>IFERROR(INDEX('nav master'!$C:$C, MATCH(B4336, 'nav master'!$B:$B, 0)), "")</f>
        <v>ULIF06723/03/18EqtyAdvtFd101</v>
      </c>
      <c r="E4336" s="8" t="s">
        <v>522</v>
      </c>
      <c r="F4336" s="8" t="s">
        <v>4555</v>
      </c>
    </row>
    <row r="4337" spans="1:6" ht="60" x14ac:dyDescent="0.25">
      <c r="A4337" s="8" t="s">
        <v>125</v>
      </c>
      <c r="B4337" s="8" t="s">
        <v>138</v>
      </c>
      <c r="C4337" s="8" t="str">
        <f>IFERROR(_xlfn.XLOOKUP(TRIM(B4337),Lookup!$B$2:$B$1000,Lookup!$C$2:$C$1000),"")</f>
        <v>Equity</v>
      </c>
      <c r="D4337" s="8" t="str">
        <f>IFERROR(INDEX('nav master'!$C:$C, MATCH(B4337, 'nav master'!$B:$B, 0)), "")</f>
        <v>ULIF06723/03/18EqtyAdvtFd101</v>
      </c>
      <c r="E4337" s="8" t="s">
        <v>524</v>
      </c>
      <c r="F4337" s="8" t="s">
        <v>4556</v>
      </c>
    </row>
    <row r="4338" spans="1:6" ht="60" x14ac:dyDescent="0.25">
      <c r="A4338" s="8" t="s">
        <v>125</v>
      </c>
      <c r="B4338" s="8" t="s">
        <v>138</v>
      </c>
      <c r="C4338" s="8" t="str">
        <f>IFERROR(_xlfn.XLOOKUP(TRIM(B4338),Lookup!$B$2:$B$1000,Lookup!$C$2:$C$1000),"")</f>
        <v>Equity</v>
      </c>
      <c r="D4338" s="8" t="str">
        <f>IFERROR(INDEX('nav master'!$C:$C, MATCH(B4338, 'nav master'!$B:$B, 0)), "")</f>
        <v>ULIF06723/03/18EqtyAdvtFd101</v>
      </c>
      <c r="E4338" s="8" t="s">
        <v>526</v>
      </c>
      <c r="F4338" s="8" t="s">
        <v>4557</v>
      </c>
    </row>
    <row r="4339" spans="1:6" ht="60" x14ac:dyDescent="0.25">
      <c r="A4339" s="8" t="s">
        <v>125</v>
      </c>
      <c r="B4339" s="8" t="s">
        <v>138</v>
      </c>
      <c r="C4339" s="8" t="str">
        <f>IFERROR(_xlfn.XLOOKUP(TRIM(B4339),Lookup!$B$2:$B$1000,Lookup!$C$2:$C$1000),"")</f>
        <v>Equity</v>
      </c>
      <c r="D4339" s="8" t="str">
        <f>IFERROR(INDEX('nav master'!$C:$C, MATCH(B4339, 'nav master'!$B:$B, 0)), "")</f>
        <v>ULIF06723/03/18EqtyAdvtFd101</v>
      </c>
      <c r="E4339" s="8" t="s">
        <v>528</v>
      </c>
      <c r="F4339" s="8" t="s">
        <v>4558</v>
      </c>
    </row>
    <row r="4340" spans="1:6" ht="60" x14ac:dyDescent="0.25">
      <c r="A4340" s="8" t="s">
        <v>125</v>
      </c>
      <c r="B4340" s="8" t="s">
        <v>138</v>
      </c>
      <c r="C4340" s="8" t="str">
        <f>IFERROR(_xlfn.XLOOKUP(TRIM(B4340),Lookup!$B$2:$B$1000,Lookup!$C$2:$C$1000),"")</f>
        <v>Equity</v>
      </c>
      <c r="D4340" s="8" t="str">
        <f>IFERROR(INDEX('nav master'!$C:$C, MATCH(B4340, 'nav master'!$B:$B, 0)), "")</f>
        <v>ULIF06723/03/18EqtyAdvtFd101</v>
      </c>
      <c r="E4340" s="8" t="s">
        <v>530</v>
      </c>
      <c r="F4340" s="8" t="s">
        <v>4559</v>
      </c>
    </row>
    <row r="4341" spans="1:6" ht="60" x14ac:dyDescent="0.25">
      <c r="A4341" s="8" t="s">
        <v>125</v>
      </c>
      <c r="B4341" s="8" t="s">
        <v>138</v>
      </c>
      <c r="C4341" s="8" t="str">
        <f>IFERROR(_xlfn.XLOOKUP(TRIM(B4341),Lookup!$B$2:$B$1000,Lookup!$C$2:$C$1000),"")</f>
        <v>Equity</v>
      </c>
      <c r="D4341" s="8" t="str">
        <f>IFERROR(INDEX('nav master'!$C:$C, MATCH(B4341, 'nav master'!$B:$B, 0)), "")</f>
        <v>ULIF06723/03/18EqtyAdvtFd101</v>
      </c>
      <c r="E4341" s="8" t="s">
        <v>532</v>
      </c>
      <c r="F4341" s="8" t="s">
        <v>4560</v>
      </c>
    </row>
    <row r="4342" spans="1:6" ht="60" x14ac:dyDescent="0.25">
      <c r="A4342" s="8" t="s">
        <v>125</v>
      </c>
      <c r="B4342" s="8" t="s">
        <v>138</v>
      </c>
      <c r="C4342" s="8" t="str">
        <f>IFERROR(_xlfn.XLOOKUP(TRIM(B4342),Lookup!$B$2:$B$1000,Lookup!$C$2:$C$1000),"")</f>
        <v>Equity</v>
      </c>
      <c r="D4342" s="8" t="str">
        <f>IFERROR(INDEX('nav master'!$C:$C, MATCH(B4342, 'nav master'!$B:$B, 0)), "")</f>
        <v>ULIF06723/03/18EqtyAdvtFd101</v>
      </c>
      <c r="E4342" s="8" t="s">
        <v>534</v>
      </c>
      <c r="F4342" s="8" t="s">
        <v>4561</v>
      </c>
    </row>
    <row r="4343" spans="1:6" ht="60" x14ac:dyDescent="0.25">
      <c r="A4343" s="8" t="s">
        <v>125</v>
      </c>
      <c r="B4343" s="8" t="s">
        <v>138</v>
      </c>
      <c r="C4343" s="8" t="str">
        <f>IFERROR(_xlfn.XLOOKUP(TRIM(B4343),Lookup!$B$2:$B$1000,Lookup!$C$2:$C$1000),"")</f>
        <v>Equity</v>
      </c>
      <c r="D4343" s="8" t="str">
        <f>IFERROR(INDEX('nav master'!$C:$C, MATCH(B4343, 'nav master'!$B:$B, 0)), "")</f>
        <v>ULIF06723/03/18EqtyAdvtFd101</v>
      </c>
      <c r="E4343" s="8" t="s">
        <v>536</v>
      </c>
      <c r="F4343" s="8" t="s">
        <v>4562</v>
      </c>
    </row>
    <row r="4344" spans="1:6" ht="60" x14ac:dyDescent="0.25">
      <c r="A4344" s="8" t="s">
        <v>125</v>
      </c>
      <c r="B4344" s="8" t="s">
        <v>138</v>
      </c>
      <c r="C4344" s="8" t="str">
        <f>IFERROR(_xlfn.XLOOKUP(TRIM(B4344),Lookup!$B$2:$B$1000,Lookup!$C$2:$C$1000),"")</f>
        <v>Equity</v>
      </c>
      <c r="D4344" s="8" t="str">
        <f>IFERROR(INDEX('nav master'!$C:$C, MATCH(B4344, 'nav master'!$B:$B, 0)), "")</f>
        <v>ULIF06723/03/18EqtyAdvtFd101</v>
      </c>
      <c r="E4344" s="8" t="s">
        <v>538</v>
      </c>
      <c r="F4344" s="8" t="s">
        <v>4563</v>
      </c>
    </row>
    <row r="4345" spans="1:6" ht="60" x14ac:dyDescent="0.25">
      <c r="A4345" s="8" t="s">
        <v>125</v>
      </c>
      <c r="B4345" s="8" t="s">
        <v>138</v>
      </c>
      <c r="C4345" s="8" t="str">
        <f>IFERROR(_xlfn.XLOOKUP(TRIM(B4345),Lookup!$B$2:$B$1000,Lookup!$C$2:$C$1000),"")</f>
        <v>Equity</v>
      </c>
      <c r="D4345" s="8" t="str">
        <f>IFERROR(INDEX('nav master'!$C:$C, MATCH(B4345, 'nav master'!$B:$B, 0)), "")</f>
        <v>ULIF06723/03/18EqtyAdvtFd101</v>
      </c>
      <c r="E4345" s="8" t="s">
        <v>540</v>
      </c>
      <c r="F4345" s="8" t="s">
        <v>4564</v>
      </c>
    </row>
    <row r="4346" spans="1:6" ht="60" x14ac:dyDescent="0.25">
      <c r="A4346" s="8" t="s">
        <v>125</v>
      </c>
      <c r="B4346" s="8" t="s">
        <v>138</v>
      </c>
      <c r="C4346" s="8" t="str">
        <f>IFERROR(_xlfn.XLOOKUP(TRIM(B4346),Lookup!$B$2:$B$1000,Lookup!$C$2:$C$1000),"")</f>
        <v>Equity</v>
      </c>
      <c r="D4346" s="8" t="str">
        <f>IFERROR(INDEX('nav master'!$C:$C, MATCH(B4346, 'nav master'!$B:$B, 0)), "")</f>
        <v>ULIF06723/03/18EqtyAdvtFd101</v>
      </c>
      <c r="E4346" s="8" t="s">
        <v>542</v>
      </c>
      <c r="F4346" s="8" t="s">
        <v>4565</v>
      </c>
    </row>
    <row r="4347" spans="1:6" ht="60" x14ac:dyDescent="0.25">
      <c r="A4347" s="8" t="s">
        <v>125</v>
      </c>
      <c r="B4347" s="8" t="s">
        <v>138</v>
      </c>
      <c r="C4347" s="8" t="str">
        <f>IFERROR(_xlfn.XLOOKUP(TRIM(B4347),Lookup!$B$2:$B$1000,Lookup!$C$2:$C$1000),"")</f>
        <v>Equity</v>
      </c>
      <c r="D4347" s="8" t="str">
        <f>IFERROR(INDEX('nav master'!$C:$C, MATCH(B4347, 'nav master'!$B:$B, 0)), "")</f>
        <v>ULIF06723/03/18EqtyAdvtFd101</v>
      </c>
      <c r="E4347" s="8" t="s">
        <v>544</v>
      </c>
      <c r="F4347" s="8" t="s">
        <v>4566</v>
      </c>
    </row>
    <row r="4348" spans="1:6" ht="60" x14ac:dyDescent="0.25">
      <c r="A4348" s="8" t="s">
        <v>125</v>
      </c>
      <c r="B4348" s="8" t="s">
        <v>138</v>
      </c>
      <c r="C4348" s="8" t="str">
        <f>IFERROR(_xlfn.XLOOKUP(TRIM(B4348),Lookup!$B$2:$B$1000,Lookup!$C$2:$C$1000),"")</f>
        <v>Equity</v>
      </c>
      <c r="D4348" s="8" t="str">
        <f>IFERROR(INDEX('nav master'!$C:$C, MATCH(B4348, 'nav master'!$B:$B, 0)), "")</f>
        <v>ULIF06723/03/18EqtyAdvtFd101</v>
      </c>
      <c r="E4348" s="8" t="s">
        <v>546</v>
      </c>
      <c r="F4348" s="8" t="s">
        <v>4395</v>
      </c>
    </row>
    <row r="4349" spans="1:6" ht="60" x14ac:dyDescent="0.25">
      <c r="A4349" s="8" t="s">
        <v>125</v>
      </c>
      <c r="B4349" s="8" t="s">
        <v>138</v>
      </c>
      <c r="C4349" s="8" t="str">
        <f>IFERROR(_xlfn.XLOOKUP(TRIM(B4349),Lookup!$B$2:$B$1000,Lookup!$C$2:$C$1000),"")</f>
        <v>Equity</v>
      </c>
      <c r="D4349" s="8" t="str">
        <f>IFERROR(INDEX('nav master'!$C:$C, MATCH(B4349, 'nav master'!$B:$B, 0)), "")</f>
        <v>ULIF06723/03/18EqtyAdvtFd101</v>
      </c>
      <c r="E4349" s="8" t="s">
        <v>548</v>
      </c>
      <c r="F4349" s="8" t="s">
        <v>4567</v>
      </c>
    </row>
    <row r="4350" spans="1:6" ht="60" x14ac:dyDescent="0.25">
      <c r="A4350" s="8" t="s">
        <v>125</v>
      </c>
      <c r="B4350" s="8" t="s">
        <v>138</v>
      </c>
      <c r="C4350" s="8" t="str">
        <f>IFERROR(_xlfn.XLOOKUP(TRIM(B4350),Lookup!$B$2:$B$1000,Lookup!$C$2:$C$1000),"")</f>
        <v>Equity</v>
      </c>
      <c r="D4350" s="8" t="str">
        <f>IFERROR(INDEX('nav master'!$C:$C, MATCH(B4350, 'nav master'!$B:$B, 0)), "")</f>
        <v>ULIF06723/03/18EqtyAdvtFd101</v>
      </c>
      <c r="E4350" s="8" t="s">
        <v>550</v>
      </c>
      <c r="F4350" s="8" t="s">
        <v>4568</v>
      </c>
    </row>
    <row r="4351" spans="1:6" ht="60" x14ac:dyDescent="0.25">
      <c r="A4351" s="8" t="s">
        <v>125</v>
      </c>
      <c r="B4351" s="8" t="s">
        <v>138</v>
      </c>
      <c r="C4351" s="8" t="str">
        <f>IFERROR(_xlfn.XLOOKUP(TRIM(B4351),Lookup!$B$2:$B$1000,Lookup!$C$2:$C$1000),"")</f>
        <v>Equity</v>
      </c>
      <c r="D4351" s="8" t="str">
        <f>IFERROR(INDEX('nav master'!$C:$C, MATCH(B4351, 'nav master'!$B:$B, 0)), "")</f>
        <v>ULIF06723/03/18EqtyAdvtFd101</v>
      </c>
      <c r="E4351" s="8" t="s">
        <v>552</v>
      </c>
      <c r="F4351" s="8" t="s">
        <v>4569</v>
      </c>
    </row>
    <row r="4352" spans="1:6" ht="60" x14ac:dyDescent="0.25">
      <c r="A4352" s="8" t="s">
        <v>125</v>
      </c>
      <c r="B4352" s="8" t="s">
        <v>138</v>
      </c>
      <c r="C4352" s="8" t="str">
        <f>IFERROR(_xlfn.XLOOKUP(TRIM(B4352),Lookup!$B$2:$B$1000,Lookup!$C$2:$C$1000),"")</f>
        <v>Equity</v>
      </c>
      <c r="D4352" s="8" t="str">
        <f>IFERROR(INDEX('nav master'!$C:$C, MATCH(B4352, 'nav master'!$B:$B, 0)), "")</f>
        <v>ULIF06723/03/18EqtyAdvtFd101</v>
      </c>
      <c r="E4352" s="8" t="s">
        <v>554</v>
      </c>
      <c r="F4352" s="8" t="s">
        <v>4570</v>
      </c>
    </row>
    <row r="4353" spans="1:6" ht="60" x14ac:dyDescent="0.25">
      <c r="A4353" s="8" t="s">
        <v>125</v>
      </c>
      <c r="B4353" s="8" t="s">
        <v>138</v>
      </c>
      <c r="C4353" s="8" t="str">
        <f>IFERROR(_xlfn.XLOOKUP(TRIM(B4353),Lookup!$B$2:$B$1000,Lookup!$C$2:$C$1000),"")</f>
        <v>Equity</v>
      </c>
      <c r="D4353" s="8" t="str">
        <f>IFERROR(INDEX('nav master'!$C:$C, MATCH(B4353, 'nav master'!$B:$B, 0)), "")</f>
        <v>ULIF06723/03/18EqtyAdvtFd101</v>
      </c>
      <c r="E4353" s="8" t="s">
        <v>556</v>
      </c>
      <c r="F4353" s="8" t="s">
        <v>4571</v>
      </c>
    </row>
    <row r="4354" spans="1:6" ht="60" x14ac:dyDescent="0.25">
      <c r="A4354" s="8" t="s">
        <v>125</v>
      </c>
      <c r="B4354" s="8" t="s">
        <v>138</v>
      </c>
      <c r="C4354" s="8" t="str">
        <f>IFERROR(_xlfn.XLOOKUP(TRIM(B4354),Lookup!$B$2:$B$1000,Lookup!$C$2:$C$1000),"")</f>
        <v>Equity</v>
      </c>
      <c r="D4354" s="8" t="str">
        <f>IFERROR(INDEX('nav master'!$C:$C, MATCH(B4354, 'nav master'!$B:$B, 0)), "")</f>
        <v>ULIF06723/03/18EqtyAdvtFd101</v>
      </c>
      <c r="E4354" s="8" t="s">
        <v>558</v>
      </c>
      <c r="F4354" s="8" t="s">
        <v>4572</v>
      </c>
    </row>
    <row r="4355" spans="1:6" ht="60" x14ac:dyDescent="0.25">
      <c r="A4355" s="8" t="s">
        <v>125</v>
      </c>
      <c r="B4355" s="8" t="s">
        <v>138</v>
      </c>
      <c r="C4355" s="8" t="str">
        <f>IFERROR(_xlfn.XLOOKUP(TRIM(B4355),Lookup!$B$2:$B$1000,Lookup!$C$2:$C$1000),"")</f>
        <v>Equity</v>
      </c>
      <c r="D4355" s="8" t="str">
        <f>IFERROR(INDEX('nav master'!$C:$C, MATCH(B4355, 'nav master'!$B:$B, 0)), "")</f>
        <v>ULIF06723/03/18EqtyAdvtFd101</v>
      </c>
      <c r="E4355" s="8" t="s">
        <v>560</v>
      </c>
      <c r="F4355" s="8" t="s">
        <v>4573</v>
      </c>
    </row>
    <row r="4356" spans="1:6" ht="60" x14ac:dyDescent="0.25">
      <c r="A4356" s="8" t="s">
        <v>125</v>
      </c>
      <c r="B4356" s="8" t="s">
        <v>138</v>
      </c>
      <c r="C4356" s="8" t="str">
        <f>IFERROR(_xlfn.XLOOKUP(TRIM(B4356),Lookup!$B$2:$B$1000,Lookup!$C$2:$C$1000),"")</f>
        <v>Equity</v>
      </c>
      <c r="D4356" s="8" t="str">
        <f>IFERROR(INDEX('nav master'!$C:$C, MATCH(B4356, 'nav master'!$B:$B, 0)), "")</f>
        <v>ULIF06723/03/18EqtyAdvtFd101</v>
      </c>
      <c r="E4356" s="8" t="s">
        <v>562</v>
      </c>
      <c r="F4356" s="8" t="s">
        <v>4574</v>
      </c>
    </row>
    <row r="4357" spans="1:6" ht="60" x14ac:dyDescent="0.25">
      <c r="A4357" s="8" t="s">
        <v>125</v>
      </c>
      <c r="B4357" s="8" t="s">
        <v>138</v>
      </c>
      <c r="C4357" s="8" t="str">
        <f>IFERROR(_xlfn.XLOOKUP(TRIM(B4357),Lookup!$B$2:$B$1000,Lookup!$C$2:$C$1000),"")</f>
        <v>Equity</v>
      </c>
      <c r="D4357" s="8" t="str">
        <f>IFERROR(INDEX('nav master'!$C:$C, MATCH(B4357, 'nav master'!$B:$B, 0)), "")</f>
        <v>ULIF06723/03/18EqtyAdvtFd101</v>
      </c>
      <c r="E4357" s="8" t="s">
        <v>564</v>
      </c>
      <c r="F4357" s="8" t="s">
        <v>4575</v>
      </c>
    </row>
    <row r="4358" spans="1:6" ht="60" x14ac:dyDescent="0.25">
      <c r="A4358" s="8" t="s">
        <v>125</v>
      </c>
      <c r="B4358" s="8" t="s">
        <v>138</v>
      </c>
      <c r="C4358" s="8" t="str">
        <f>IFERROR(_xlfn.XLOOKUP(TRIM(B4358),Lookup!$B$2:$B$1000,Lookup!$C$2:$C$1000),"")</f>
        <v>Equity</v>
      </c>
      <c r="D4358" s="8" t="str">
        <f>IFERROR(INDEX('nav master'!$C:$C, MATCH(B4358, 'nav master'!$B:$B, 0)), "")</f>
        <v>ULIF06723/03/18EqtyAdvtFd101</v>
      </c>
      <c r="E4358" s="8" t="s">
        <v>566</v>
      </c>
      <c r="F4358" s="8" t="s">
        <v>4576</v>
      </c>
    </row>
    <row r="4359" spans="1:6" ht="60" x14ac:dyDescent="0.25">
      <c r="A4359" s="8" t="s">
        <v>125</v>
      </c>
      <c r="B4359" s="8" t="s">
        <v>138</v>
      </c>
      <c r="C4359" s="8" t="str">
        <f>IFERROR(_xlfn.XLOOKUP(TRIM(B4359),Lookup!$B$2:$B$1000,Lookup!$C$2:$C$1000),"")</f>
        <v>Equity</v>
      </c>
      <c r="D4359" s="8" t="str">
        <f>IFERROR(INDEX('nav master'!$C:$C, MATCH(B4359, 'nav master'!$B:$B, 0)), "")</f>
        <v>ULIF06723/03/18EqtyAdvtFd101</v>
      </c>
      <c r="E4359" s="8" t="s">
        <v>568</v>
      </c>
      <c r="F4359" s="8" t="s">
        <v>4577</v>
      </c>
    </row>
    <row r="4360" spans="1:6" ht="60" x14ac:dyDescent="0.25">
      <c r="A4360" s="8" t="s">
        <v>125</v>
      </c>
      <c r="B4360" s="8" t="s">
        <v>138</v>
      </c>
      <c r="C4360" s="8" t="str">
        <f>IFERROR(_xlfn.XLOOKUP(TRIM(B4360),Lookup!$B$2:$B$1000,Lookup!$C$2:$C$1000),"")</f>
        <v>Equity</v>
      </c>
      <c r="D4360" s="8" t="str">
        <f>IFERROR(INDEX('nav master'!$C:$C, MATCH(B4360, 'nav master'!$B:$B, 0)), "")</f>
        <v>ULIF06723/03/18EqtyAdvtFd101</v>
      </c>
      <c r="E4360" s="8" t="s">
        <v>570</v>
      </c>
      <c r="F4360" s="8" t="s">
        <v>4578</v>
      </c>
    </row>
    <row r="4361" spans="1:6" ht="60" x14ac:dyDescent="0.25">
      <c r="A4361" s="8" t="s">
        <v>125</v>
      </c>
      <c r="B4361" s="8" t="s">
        <v>138</v>
      </c>
      <c r="C4361" s="8" t="str">
        <f>IFERROR(_xlfn.XLOOKUP(TRIM(B4361),Lookup!$B$2:$B$1000,Lookup!$C$2:$C$1000),"")</f>
        <v>Equity</v>
      </c>
      <c r="D4361" s="8" t="str">
        <f>IFERROR(INDEX('nav master'!$C:$C, MATCH(B4361, 'nav master'!$B:$B, 0)), "")</f>
        <v>ULIF06723/03/18EqtyAdvtFd101</v>
      </c>
      <c r="E4361" s="8" t="s">
        <v>572</v>
      </c>
      <c r="F4361" s="8" t="s">
        <v>4579</v>
      </c>
    </row>
    <row r="4362" spans="1:6" ht="60" x14ac:dyDescent="0.25">
      <c r="A4362" s="8" t="s">
        <v>125</v>
      </c>
      <c r="B4362" s="8" t="s">
        <v>138</v>
      </c>
      <c r="C4362" s="8" t="str">
        <f>IFERROR(_xlfn.XLOOKUP(TRIM(B4362),Lookup!$B$2:$B$1000,Lookup!$C$2:$C$1000),"")</f>
        <v>Equity</v>
      </c>
      <c r="D4362" s="8" t="str">
        <f>IFERROR(INDEX('nav master'!$C:$C, MATCH(B4362, 'nav master'!$B:$B, 0)), "")</f>
        <v>ULIF06723/03/18EqtyAdvtFd101</v>
      </c>
      <c r="E4362" s="8" t="s">
        <v>574</v>
      </c>
      <c r="F4362" s="8" t="s">
        <v>4580</v>
      </c>
    </row>
    <row r="4363" spans="1:6" ht="60" x14ac:dyDescent="0.25">
      <c r="A4363" s="8" t="s">
        <v>125</v>
      </c>
      <c r="B4363" s="8" t="s">
        <v>138</v>
      </c>
      <c r="C4363" s="8" t="str">
        <f>IFERROR(_xlfn.XLOOKUP(TRIM(B4363),Lookup!$B$2:$B$1000,Lookup!$C$2:$C$1000),"")</f>
        <v>Equity</v>
      </c>
      <c r="D4363" s="8" t="str">
        <f>IFERROR(INDEX('nav master'!$C:$C, MATCH(B4363, 'nav master'!$B:$B, 0)), "")</f>
        <v>ULIF06723/03/18EqtyAdvtFd101</v>
      </c>
      <c r="E4363" s="8" t="s">
        <v>576</v>
      </c>
      <c r="F4363" s="8" t="s">
        <v>4581</v>
      </c>
    </row>
    <row r="4364" spans="1:6" ht="60" x14ac:dyDescent="0.25">
      <c r="A4364" s="8" t="s">
        <v>125</v>
      </c>
      <c r="B4364" s="8" t="s">
        <v>138</v>
      </c>
      <c r="C4364" s="8" t="str">
        <f>IFERROR(_xlfn.XLOOKUP(TRIM(B4364),Lookup!$B$2:$B$1000,Lookup!$C$2:$C$1000),"")</f>
        <v>Equity</v>
      </c>
      <c r="D4364" s="8" t="str">
        <f>IFERROR(INDEX('nav master'!$C:$C, MATCH(B4364, 'nav master'!$B:$B, 0)), "")</f>
        <v>ULIF06723/03/18EqtyAdvtFd101</v>
      </c>
      <c r="E4364" s="8" t="s">
        <v>578</v>
      </c>
      <c r="F4364" s="8" t="s">
        <v>4582</v>
      </c>
    </row>
    <row r="4365" spans="1:6" ht="60" x14ac:dyDescent="0.25">
      <c r="A4365" s="8" t="s">
        <v>125</v>
      </c>
      <c r="B4365" s="8" t="s">
        <v>138</v>
      </c>
      <c r="C4365" s="8" t="str">
        <f>IFERROR(_xlfn.XLOOKUP(TRIM(B4365),Lookup!$B$2:$B$1000,Lookup!$C$2:$C$1000),"")</f>
        <v>Equity</v>
      </c>
      <c r="D4365" s="8" t="str">
        <f>IFERROR(INDEX('nav master'!$C:$C, MATCH(B4365, 'nav master'!$B:$B, 0)), "")</f>
        <v>ULIF06723/03/18EqtyAdvtFd101</v>
      </c>
      <c r="E4365" s="8" t="s">
        <v>580</v>
      </c>
      <c r="F4365" s="8" t="s">
        <v>4583</v>
      </c>
    </row>
    <row r="4366" spans="1:6" ht="60" x14ac:dyDescent="0.25">
      <c r="A4366" s="8" t="s">
        <v>125</v>
      </c>
      <c r="B4366" s="8" t="s">
        <v>138</v>
      </c>
      <c r="C4366" s="8" t="str">
        <f>IFERROR(_xlfn.XLOOKUP(TRIM(B4366),Lookup!$B$2:$B$1000,Lookup!$C$2:$C$1000),"")</f>
        <v>Equity</v>
      </c>
      <c r="D4366" s="8" t="str">
        <f>IFERROR(INDEX('nav master'!$C:$C, MATCH(B4366, 'nav master'!$B:$B, 0)), "")</f>
        <v>ULIF06723/03/18EqtyAdvtFd101</v>
      </c>
      <c r="E4366" s="8" t="s">
        <v>582</v>
      </c>
      <c r="F4366" s="8" t="s">
        <v>4584</v>
      </c>
    </row>
    <row r="4367" spans="1:6" ht="60" x14ac:dyDescent="0.25">
      <c r="A4367" s="8" t="s">
        <v>125</v>
      </c>
      <c r="B4367" s="8" t="s">
        <v>138</v>
      </c>
      <c r="C4367" s="8" t="str">
        <f>IFERROR(_xlfn.XLOOKUP(TRIM(B4367),Lookup!$B$2:$B$1000,Lookup!$C$2:$C$1000),"")</f>
        <v>Equity</v>
      </c>
      <c r="D4367" s="8" t="str">
        <f>IFERROR(INDEX('nav master'!$C:$C, MATCH(B4367, 'nav master'!$B:$B, 0)), "")</f>
        <v>ULIF06723/03/18EqtyAdvtFd101</v>
      </c>
      <c r="E4367" s="8" t="s">
        <v>584</v>
      </c>
      <c r="F4367" s="8" t="s">
        <v>4585</v>
      </c>
    </row>
    <row r="4368" spans="1:6" ht="60" x14ac:dyDescent="0.25">
      <c r="A4368" s="8" t="s">
        <v>125</v>
      </c>
      <c r="B4368" s="8" t="s">
        <v>138</v>
      </c>
      <c r="C4368" s="8" t="str">
        <f>IFERROR(_xlfn.XLOOKUP(TRIM(B4368),Lookup!$B$2:$B$1000,Lookup!$C$2:$C$1000),"")</f>
        <v>Equity</v>
      </c>
      <c r="D4368" s="8" t="str">
        <f>IFERROR(INDEX('nav master'!$C:$C, MATCH(B4368, 'nav master'!$B:$B, 0)), "")</f>
        <v>ULIF06723/03/18EqtyAdvtFd101</v>
      </c>
      <c r="E4368" s="8" t="s">
        <v>586</v>
      </c>
      <c r="F4368" s="8" t="s">
        <v>4586</v>
      </c>
    </row>
    <row r="4369" spans="1:6" ht="60" x14ac:dyDescent="0.25">
      <c r="A4369" s="8" t="s">
        <v>125</v>
      </c>
      <c r="B4369" s="8" t="s">
        <v>138</v>
      </c>
      <c r="C4369" s="8" t="str">
        <f>IFERROR(_xlfn.XLOOKUP(TRIM(B4369),Lookup!$B$2:$B$1000,Lookup!$C$2:$C$1000),"")</f>
        <v>Equity</v>
      </c>
      <c r="D4369" s="8" t="str">
        <f>IFERROR(INDEX('nav master'!$C:$C, MATCH(B4369, 'nav master'!$B:$B, 0)), "")</f>
        <v>ULIF06723/03/18EqtyAdvtFd101</v>
      </c>
      <c r="E4369" s="8" t="s">
        <v>588</v>
      </c>
      <c r="F4369" s="8" t="s">
        <v>4587</v>
      </c>
    </row>
    <row r="4370" spans="1:6" ht="60" x14ac:dyDescent="0.25">
      <c r="A4370" s="8" t="s">
        <v>125</v>
      </c>
      <c r="B4370" s="8" t="s">
        <v>138</v>
      </c>
      <c r="C4370" s="8" t="str">
        <f>IFERROR(_xlfn.XLOOKUP(TRIM(B4370),Lookup!$B$2:$B$1000,Lookup!$C$2:$C$1000),"")</f>
        <v>Equity</v>
      </c>
      <c r="D4370" s="8" t="str">
        <f>IFERROR(INDEX('nav master'!$C:$C, MATCH(B4370, 'nav master'!$B:$B, 0)), "")</f>
        <v>ULIF06723/03/18EqtyAdvtFd101</v>
      </c>
      <c r="E4370" s="8" t="s">
        <v>590</v>
      </c>
      <c r="F4370" s="8" t="s">
        <v>4588</v>
      </c>
    </row>
    <row r="4371" spans="1:6" ht="60" x14ac:dyDescent="0.25">
      <c r="A4371" s="8" t="s">
        <v>125</v>
      </c>
      <c r="B4371" s="8" t="s">
        <v>138</v>
      </c>
      <c r="C4371" s="8" t="str">
        <f>IFERROR(_xlfn.XLOOKUP(TRIM(B4371),Lookup!$B$2:$B$1000,Lookup!$C$2:$C$1000),"")</f>
        <v>Equity</v>
      </c>
      <c r="D4371" s="8" t="str">
        <f>IFERROR(INDEX('nav master'!$C:$C, MATCH(B4371, 'nav master'!$B:$B, 0)), "")</f>
        <v>ULIF06723/03/18EqtyAdvtFd101</v>
      </c>
      <c r="E4371" s="8" t="s">
        <v>592</v>
      </c>
      <c r="F4371" s="8" t="s">
        <v>4589</v>
      </c>
    </row>
    <row r="4372" spans="1:6" ht="60" x14ac:dyDescent="0.25">
      <c r="A4372" s="8" t="s">
        <v>125</v>
      </c>
      <c r="B4372" s="8" t="s">
        <v>138</v>
      </c>
      <c r="C4372" s="8" t="str">
        <f>IFERROR(_xlfn.XLOOKUP(TRIM(B4372),Lookup!$B$2:$B$1000,Lookup!$C$2:$C$1000),"")</f>
        <v>Equity</v>
      </c>
      <c r="D4372" s="8" t="str">
        <f>IFERROR(INDEX('nav master'!$C:$C, MATCH(B4372, 'nav master'!$B:$B, 0)), "")</f>
        <v>ULIF06723/03/18EqtyAdvtFd101</v>
      </c>
      <c r="E4372" s="8" t="s">
        <v>594</v>
      </c>
      <c r="F4372" s="8" t="s">
        <v>4590</v>
      </c>
    </row>
    <row r="4373" spans="1:6" ht="60" x14ac:dyDescent="0.25">
      <c r="A4373" s="8" t="s">
        <v>125</v>
      </c>
      <c r="B4373" s="8" t="s">
        <v>138</v>
      </c>
      <c r="C4373" s="8" t="str">
        <f>IFERROR(_xlfn.XLOOKUP(TRIM(B4373),Lookup!$B$2:$B$1000,Lookup!$C$2:$C$1000),"")</f>
        <v>Equity</v>
      </c>
      <c r="D4373" s="8" t="str">
        <f>IFERROR(INDEX('nav master'!$C:$C, MATCH(B4373, 'nav master'!$B:$B, 0)), "")</f>
        <v>ULIF06723/03/18EqtyAdvtFd101</v>
      </c>
      <c r="E4373" s="8" t="s">
        <v>596</v>
      </c>
      <c r="F4373" s="8" t="s">
        <v>4591</v>
      </c>
    </row>
    <row r="4374" spans="1:6" ht="60" x14ac:dyDescent="0.25">
      <c r="A4374" s="8" t="s">
        <v>125</v>
      </c>
      <c r="B4374" s="8" t="s">
        <v>138</v>
      </c>
      <c r="C4374" s="8" t="str">
        <f>IFERROR(_xlfn.XLOOKUP(TRIM(B4374),Lookup!$B$2:$B$1000,Lookup!$C$2:$C$1000),"")</f>
        <v>Equity</v>
      </c>
      <c r="D4374" s="8" t="str">
        <f>IFERROR(INDEX('nav master'!$C:$C, MATCH(B4374, 'nav master'!$B:$B, 0)), "")</f>
        <v>ULIF06723/03/18EqtyAdvtFd101</v>
      </c>
      <c r="E4374" s="8" t="s">
        <v>598</v>
      </c>
      <c r="F4374" s="8" t="s">
        <v>4592</v>
      </c>
    </row>
    <row r="4375" spans="1:6" ht="60" x14ac:dyDescent="0.25">
      <c r="A4375" s="8" t="s">
        <v>125</v>
      </c>
      <c r="B4375" s="8" t="s">
        <v>138</v>
      </c>
      <c r="C4375" s="8" t="str">
        <f>IFERROR(_xlfn.XLOOKUP(TRIM(B4375),Lookup!$B$2:$B$1000,Lookup!$C$2:$C$1000),"")</f>
        <v>Equity</v>
      </c>
      <c r="D4375" s="8" t="str">
        <f>IFERROR(INDEX('nav master'!$C:$C, MATCH(B4375, 'nav master'!$B:$B, 0)), "")</f>
        <v>ULIF06723/03/18EqtyAdvtFd101</v>
      </c>
      <c r="E4375" s="8" t="s">
        <v>600</v>
      </c>
      <c r="F4375" s="8" t="s">
        <v>4593</v>
      </c>
    </row>
    <row r="4376" spans="1:6" ht="60" x14ac:dyDescent="0.25">
      <c r="A4376" s="8" t="s">
        <v>125</v>
      </c>
      <c r="B4376" s="8" t="s">
        <v>138</v>
      </c>
      <c r="C4376" s="8" t="str">
        <f>IFERROR(_xlfn.XLOOKUP(TRIM(B4376),Lookup!$B$2:$B$1000,Lookup!$C$2:$C$1000),"")</f>
        <v>Equity</v>
      </c>
      <c r="D4376" s="8" t="str">
        <f>IFERROR(INDEX('nav master'!$C:$C, MATCH(B4376, 'nav master'!$B:$B, 0)), "")</f>
        <v>ULIF06723/03/18EqtyAdvtFd101</v>
      </c>
      <c r="E4376" s="8" t="s">
        <v>602</v>
      </c>
      <c r="F4376" s="8" t="s">
        <v>4594</v>
      </c>
    </row>
    <row r="4377" spans="1:6" ht="60" x14ac:dyDescent="0.25">
      <c r="A4377" s="8" t="s">
        <v>125</v>
      </c>
      <c r="B4377" s="8" t="s">
        <v>138</v>
      </c>
      <c r="C4377" s="8" t="str">
        <f>IFERROR(_xlfn.XLOOKUP(TRIM(B4377),Lookup!$B$2:$B$1000,Lookup!$C$2:$C$1000),"")</f>
        <v>Equity</v>
      </c>
      <c r="D4377" s="8" t="str">
        <f>IFERROR(INDEX('nav master'!$C:$C, MATCH(B4377, 'nav master'!$B:$B, 0)), "")</f>
        <v>ULIF06723/03/18EqtyAdvtFd101</v>
      </c>
      <c r="E4377" s="8" t="s">
        <v>604</v>
      </c>
      <c r="F4377" s="8" t="s">
        <v>4595</v>
      </c>
    </row>
    <row r="4378" spans="1:6" ht="60" x14ac:dyDescent="0.25">
      <c r="A4378" s="8" t="s">
        <v>125</v>
      </c>
      <c r="B4378" s="8" t="s">
        <v>138</v>
      </c>
      <c r="C4378" s="8" t="str">
        <f>IFERROR(_xlfn.XLOOKUP(TRIM(B4378),Lookup!$B$2:$B$1000,Lookup!$C$2:$C$1000),"")</f>
        <v>Equity</v>
      </c>
      <c r="D4378" s="8" t="str">
        <f>IFERROR(INDEX('nav master'!$C:$C, MATCH(B4378, 'nav master'!$B:$B, 0)), "")</f>
        <v>ULIF06723/03/18EqtyAdvtFd101</v>
      </c>
      <c r="E4378" s="8" t="s">
        <v>606</v>
      </c>
      <c r="F4378" s="8" t="s">
        <v>4596</v>
      </c>
    </row>
    <row r="4379" spans="1:6" ht="60" x14ac:dyDescent="0.25">
      <c r="A4379" s="8" t="s">
        <v>125</v>
      </c>
      <c r="B4379" s="8" t="s">
        <v>138</v>
      </c>
      <c r="C4379" s="8" t="str">
        <f>IFERROR(_xlfn.XLOOKUP(TRIM(B4379),Lookup!$B$2:$B$1000,Lookup!$C$2:$C$1000),"")</f>
        <v>Equity</v>
      </c>
      <c r="D4379" s="8" t="str">
        <f>IFERROR(INDEX('nav master'!$C:$C, MATCH(B4379, 'nav master'!$B:$B, 0)), "")</f>
        <v>ULIF06723/03/18EqtyAdvtFd101</v>
      </c>
      <c r="E4379" s="8" t="s">
        <v>608</v>
      </c>
      <c r="F4379" s="8" t="s">
        <v>4597</v>
      </c>
    </row>
    <row r="4380" spans="1:6" ht="60" x14ac:dyDescent="0.25">
      <c r="A4380" s="8" t="s">
        <v>125</v>
      </c>
      <c r="B4380" s="8" t="s">
        <v>138</v>
      </c>
      <c r="C4380" s="8" t="str">
        <f>IFERROR(_xlfn.XLOOKUP(TRIM(B4380),Lookup!$B$2:$B$1000,Lookup!$C$2:$C$1000),"")</f>
        <v>Equity</v>
      </c>
      <c r="D4380" s="8" t="str">
        <f>IFERROR(INDEX('nav master'!$C:$C, MATCH(B4380, 'nav master'!$B:$B, 0)), "")</f>
        <v>ULIF06723/03/18EqtyAdvtFd101</v>
      </c>
      <c r="E4380" s="8" t="s">
        <v>610</v>
      </c>
      <c r="F4380" s="8" t="s">
        <v>4598</v>
      </c>
    </row>
    <row r="4381" spans="1:6" ht="60" x14ac:dyDescent="0.25">
      <c r="A4381" s="8" t="s">
        <v>125</v>
      </c>
      <c r="B4381" s="8" t="s">
        <v>138</v>
      </c>
      <c r="C4381" s="8" t="str">
        <f>IFERROR(_xlfn.XLOOKUP(TRIM(B4381),Lookup!$B$2:$B$1000,Lookup!$C$2:$C$1000),"")</f>
        <v>Equity</v>
      </c>
      <c r="D4381" s="8" t="str">
        <f>IFERROR(INDEX('nav master'!$C:$C, MATCH(B4381, 'nav master'!$B:$B, 0)), "")</f>
        <v>ULIF06723/03/18EqtyAdvtFd101</v>
      </c>
      <c r="E4381" s="8" t="s">
        <v>612</v>
      </c>
      <c r="F4381" s="8" t="s">
        <v>4599</v>
      </c>
    </row>
    <row r="4382" spans="1:6" ht="60" x14ac:dyDescent="0.25">
      <c r="A4382" s="8" t="s">
        <v>125</v>
      </c>
      <c r="B4382" s="8" t="s">
        <v>138</v>
      </c>
      <c r="C4382" s="8" t="str">
        <f>IFERROR(_xlfn.XLOOKUP(TRIM(B4382),Lookup!$B$2:$B$1000,Lookup!$C$2:$C$1000),"")</f>
        <v>Equity</v>
      </c>
      <c r="D4382" s="8" t="str">
        <f>IFERROR(INDEX('nav master'!$C:$C, MATCH(B4382, 'nav master'!$B:$B, 0)), "")</f>
        <v>ULIF06723/03/18EqtyAdvtFd101</v>
      </c>
      <c r="E4382" s="8" t="s">
        <v>614</v>
      </c>
      <c r="F4382" s="8" t="s">
        <v>4600</v>
      </c>
    </row>
    <row r="4383" spans="1:6" ht="60" x14ac:dyDescent="0.25">
      <c r="A4383" s="8" t="s">
        <v>125</v>
      </c>
      <c r="B4383" s="8" t="s">
        <v>138</v>
      </c>
      <c r="C4383" s="8" t="str">
        <f>IFERROR(_xlfn.XLOOKUP(TRIM(B4383),Lookup!$B$2:$B$1000,Lookup!$C$2:$C$1000),"")</f>
        <v>Equity</v>
      </c>
      <c r="D4383" s="8" t="str">
        <f>IFERROR(INDEX('nav master'!$C:$C, MATCH(B4383, 'nav master'!$B:$B, 0)), "")</f>
        <v>ULIF06723/03/18EqtyAdvtFd101</v>
      </c>
      <c r="E4383" s="8" t="s">
        <v>616</v>
      </c>
      <c r="F4383" s="8" t="s">
        <v>4601</v>
      </c>
    </row>
    <row r="4384" spans="1:6" ht="60" x14ac:dyDescent="0.25">
      <c r="A4384" s="8" t="s">
        <v>125</v>
      </c>
      <c r="B4384" s="8" t="s">
        <v>138</v>
      </c>
      <c r="C4384" s="8" t="str">
        <f>IFERROR(_xlfn.XLOOKUP(TRIM(B4384),Lookup!$B$2:$B$1000,Lookup!$C$2:$C$1000),"")</f>
        <v>Equity</v>
      </c>
      <c r="D4384" s="8" t="str">
        <f>IFERROR(INDEX('nav master'!$C:$C, MATCH(B4384, 'nav master'!$B:$B, 0)), "")</f>
        <v>ULIF06723/03/18EqtyAdvtFd101</v>
      </c>
      <c r="E4384" s="8" t="s">
        <v>618</v>
      </c>
      <c r="F4384" s="8" t="s">
        <v>4602</v>
      </c>
    </row>
    <row r="4385" spans="1:6" ht="60" x14ac:dyDescent="0.25">
      <c r="A4385" s="8" t="s">
        <v>125</v>
      </c>
      <c r="B4385" s="8" t="s">
        <v>138</v>
      </c>
      <c r="C4385" s="8" t="str">
        <f>IFERROR(_xlfn.XLOOKUP(TRIM(B4385),Lookup!$B$2:$B$1000,Lookup!$C$2:$C$1000),"")</f>
        <v>Equity</v>
      </c>
      <c r="D4385" s="8" t="str">
        <f>IFERROR(INDEX('nav master'!$C:$C, MATCH(B4385, 'nav master'!$B:$B, 0)), "")</f>
        <v>ULIF06723/03/18EqtyAdvtFd101</v>
      </c>
      <c r="E4385" s="8" t="s">
        <v>620</v>
      </c>
      <c r="F4385" s="8" t="s">
        <v>4603</v>
      </c>
    </row>
    <row r="4386" spans="1:6" ht="60" x14ac:dyDescent="0.25">
      <c r="A4386" s="8" t="s">
        <v>125</v>
      </c>
      <c r="B4386" s="8" t="s">
        <v>138</v>
      </c>
      <c r="C4386" s="8" t="str">
        <f>IFERROR(_xlfn.XLOOKUP(TRIM(B4386),Lookup!$B$2:$B$1000,Lookup!$C$2:$C$1000),"")</f>
        <v>Equity</v>
      </c>
      <c r="D4386" s="8" t="str">
        <f>IFERROR(INDEX('nav master'!$C:$C, MATCH(B4386, 'nav master'!$B:$B, 0)), "")</f>
        <v>ULIF06723/03/18EqtyAdvtFd101</v>
      </c>
      <c r="E4386" s="8" t="s">
        <v>622</v>
      </c>
      <c r="F4386" s="8" t="s">
        <v>4604</v>
      </c>
    </row>
    <row r="4387" spans="1:6" ht="60" x14ac:dyDescent="0.25">
      <c r="A4387" s="8" t="s">
        <v>125</v>
      </c>
      <c r="B4387" s="8" t="s">
        <v>138</v>
      </c>
      <c r="C4387" s="8" t="str">
        <f>IFERROR(_xlfn.XLOOKUP(TRIM(B4387),Lookup!$B$2:$B$1000,Lookup!$C$2:$C$1000),"")</f>
        <v>Equity</v>
      </c>
      <c r="D4387" s="8" t="str">
        <f>IFERROR(INDEX('nav master'!$C:$C, MATCH(B4387, 'nav master'!$B:$B, 0)), "")</f>
        <v>ULIF06723/03/18EqtyAdvtFd101</v>
      </c>
      <c r="E4387" s="8" t="s">
        <v>624</v>
      </c>
      <c r="F4387" s="8" t="s">
        <v>4605</v>
      </c>
    </row>
    <row r="4388" spans="1:6" ht="60" x14ac:dyDescent="0.25">
      <c r="A4388" s="8" t="s">
        <v>125</v>
      </c>
      <c r="B4388" s="8" t="s">
        <v>138</v>
      </c>
      <c r="C4388" s="8" t="str">
        <f>IFERROR(_xlfn.XLOOKUP(TRIM(B4388),Lookup!$B$2:$B$1000,Lookup!$C$2:$C$1000),"")</f>
        <v>Equity</v>
      </c>
      <c r="D4388" s="8" t="str">
        <f>IFERROR(INDEX('nav master'!$C:$C, MATCH(B4388, 'nav master'!$B:$B, 0)), "")</f>
        <v>ULIF06723/03/18EqtyAdvtFd101</v>
      </c>
      <c r="E4388" s="8" t="s">
        <v>626</v>
      </c>
      <c r="F4388" s="8" t="s">
        <v>4606</v>
      </c>
    </row>
    <row r="4389" spans="1:6" ht="60" x14ac:dyDescent="0.25">
      <c r="A4389" s="8" t="s">
        <v>125</v>
      </c>
      <c r="B4389" s="8" t="s">
        <v>138</v>
      </c>
      <c r="C4389" s="8" t="str">
        <f>IFERROR(_xlfn.XLOOKUP(TRIM(B4389),Lookup!$B$2:$B$1000,Lookup!$C$2:$C$1000),"")</f>
        <v>Equity</v>
      </c>
      <c r="D4389" s="8" t="str">
        <f>IFERROR(INDEX('nav master'!$C:$C, MATCH(B4389, 'nav master'!$B:$B, 0)), "")</f>
        <v>ULIF06723/03/18EqtyAdvtFd101</v>
      </c>
      <c r="E4389" s="8" t="s">
        <v>628</v>
      </c>
      <c r="F4389" s="8" t="s">
        <v>4607</v>
      </c>
    </row>
    <row r="4390" spans="1:6" ht="60" x14ac:dyDescent="0.25">
      <c r="A4390" s="8" t="s">
        <v>125</v>
      </c>
      <c r="B4390" s="8" t="s">
        <v>138</v>
      </c>
      <c r="C4390" s="8" t="str">
        <f>IFERROR(_xlfn.XLOOKUP(TRIM(B4390),Lookup!$B$2:$B$1000,Lookup!$C$2:$C$1000),"")</f>
        <v>Equity</v>
      </c>
      <c r="D4390" s="8" t="str">
        <f>IFERROR(INDEX('nav master'!$C:$C, MATCH(B4390, 'nav master'!$B:$B, 0)), "")</f>
        <v>ULIF06723/03/18EqtyAdvtFd101</v>
      </c>
      <c r="E4390" s="8" t="s">
        <v>630</v>
      </c>
      <c r="F4390" s="8" t="s">
        <v>4608</v>
      </c>
    </row>
    <row r="4391" spans="1:6" ht="60" x14ac:dyDescent="0.25">
      <c r="A4391" s="8" t="s">
        <v>125</v>
      </c>
      <c r="B4391" s="8" t="s">
        <v>138</v>
      </c>
      <c r="C4391" s="8" t="str">
        <f>IFERROR(_xlfn.XLOOKUP(TRIM(B4391),Lookup!$B$2:$B$1000,Lookup!$C$2:$C$1000),"")</f>
        <v>Equity</v>
      </c>
      <c r="D4391" s="8" t="str">
        <f>IFERROR(INDEX('nav master'!$C:$C, MATCH(B4391, 'nav master'!$B:$B, 0)), "")</f>
        <v>ULIF06723/03/18EqtyAdvtFd101</v>
      </c>
      <c r="E4391" s="8" t="s">
        <v>632</v>
      </c>
      <c r="F4391" s="8" t="s">
        <v>4609</v>
      </c>
    </row>
    <row r="4392" spans="1:6" ht="60" x14ac:dyDescent="0.25">
      <c r="A4392" s="8" t="s">
        <v>125</v>
      </c>
      <c r="B4392" s="8" t="s">
        <v>138</v>
      </c>
      <c r="C4392" s="8" t="str">
        <f>IFERROR(_xlfn.XLOOKUP(TRIM(B4392),Lookup!$B$2:$B$1000,Lookup!$C$2:$C$1000),"")</f>
        <v>Equity</v>
      </c>
      <c r="D4392" s="8" t="str">
        <f>IFERROR(INDEX('nav master'!$C:$C, MATCH(B4392, 'nav master'!$B:$B, 0)), "")</f>
        <v>ULIF06723/03/18EqtyAdvtFd101</v>
      </c>
      <c r="E4392" s="8" t="s">
        <v>634</v>
      </c>
      <c r="F4392" s="8" t="s">
        <v>4610</v>
      </c>
    </row>
    <row r="4393" spans="1:6" ht="60" x14ac:dyDescent="0.25">
      <c r="A4393" s="8" t="s">
        <v>125</v>
      </c>
      <c r="B4393" s="8" t="s">
        <v>138</v>
      </c>
      <c r="C4393" s="8" t="str">
        <f>IFERROR(_xlfn.XLOOKUP(TRIM(B4393),Lookup!$B$2:$B$1000,Lookup!$C$2:$C$1000),"")</f>
        <v>Equity</v>
      </c>
      <c r="D4393" s="8" t="str">
        <f>IFERROR(INDEX('nav master'!$C:$C, MATCH(B4393, 'nav master'!$B:$B, 0)), "")</f>
        <v>ULIF06723/03/18EqtyAdvtFd101</v>
      </c>
      <c r="E4393" s="8" t="s">
        <v>636</v>
      </c>
      <c r="F4393" s="8" t="s">
        <v>4611</v>
      </c>
    </row>
    <row r="4394" spans="1:6" ht="60" x14ac:dyDescent="0.25">
      <c r="A4394" s="8" t="s">
        <v>125</v>
      </c>
      <c r="B4394" s="8" t="s">
        <v>138</v>
      </c>
      <c r="C4394" s="8" t="str">
        <f>IFERROR(_xlfn.XLOOKUP(TRIM(B4394),Lookup!$B$2:$B$1000,Lookup!$C$2:$C$1000),"")</f>
        <v>Equity</v>
      </c>
      <c r="D4394" s="8" t="str">
        <f>IFERROR(INDEX('nav master'!$C:$C, MATCH(B4394, 'nav master'!$B:$B, 0)), "")</f>
        <v>ULIF06723/03/18EqtyAdvtFd101</v>
      </c>
      <c r="E4394" s="8" t="s">
        <v>638</v>
      </c>
      <c r="F4394" s="8" t="s">
        <v>4612</v>
      </c>
    </row>
    <row r="4395" spans="1:6" ht="60" x14ac:dyDescent="0.25">
      <c r="A4395" s="8" t="s">
        <v>125</v>
      </c>
      <c r="B4395" s="8" t="s">
        <v>138</v>
      </c>
      <c r="C4395" s="8" t="str">
        <f>IFERROR(_xlfn.XLOOKUP(TRIM(B4395),Lookup!$B$2:$B$1000,Lookup!$C$2:$C$1000),"")</f>
        <v>Equity</v>
      </c>
      <c r="D4395" s="8" t="str">
        <f>IFERROR(INDEX('nav master'!$C:$C, MATCH(B4395, 'nav master'!$B:$B, 0)), "")</f>
        <v>ULIF06723/03/18EqtyAdvtFd101</v>
      </c>
      <c r="E4395" s="8" t="s">
        <v>640</v>
      </c>
      <c r="F4395" s="8" t="s">
        <v>4613</v>
      </c>
    </row>
    <row r="4396" spans="1:6" ht="60" x14ac:dyDescent="0.25">
      <c r="A4396" s="8" t="s">
        <v>125</v>
      </c>
      <c r="B4396" s="8" t="s">
        <v>138</v>
      </c>
      <c r="C4396" s="8" t="str">
        <f>IFERROR(_xlfn.XLOOKUP(TRIM(B4396),Lookup!$B$2:$B$1000,Lookup!$C$2:$C$1000),"")</f>
        <v>Equity</v>
      </c>
      <c r="D4396" s="8" t="str">
        <f>IFERROR(INDEX('nav master'!$C:$C, MATCH(B4396, 'nav master'!$B:$B, 0)), "")</f>
        <v>ULIF06723/03/18EqtyAdvtFd101</v>
      </c>
      <c r="E4396" s="8" t="s">
        <v>642</v>
      </c>
      <c r="F4396" s="8" t="s">
        <v>4614</v>
      </c>
    </row>
    <row r="4397" spans="1:6" ht="60" x14ac:dyDescent="0.25">
      <c r="A4397" s="8" t="s">
        <v>125</v>
      </c>
      <c r="B4397" s="8" t="s">
        <v>138</v>
      </c>
      <c r="C4397" s="8" t="str">
        <f>IFERROR(_xlfn.XLOOKUP(TRIM(B4397),Lookup!$B$2:$B$1000,Lookup!$C$2:$C$1000),"")</f>
        <v>Equity</v>
      </c>
      <c r="D4397" s="8" t="str">
        <f>IFERROR(INDEX('nav master'!$C:$C, MATCH(B4397, 'nav master'!$B:$B, 0)), "")</f>
        <v>ULIF06723/03/18EqtyAdvtFd101</v>
      </c>
      <c r="E4397" s="8" t="s">
        <v>644</v>
      </c>
      <c r="F4397" s="8" t="s">
        <v>4615</v>
      </c>
    </row>
    <row r="4398" spans="1:6" ht="60" x14ac:dyDescent="0.25">
      <c r="A4398" s="8" t="s">
        <v>125</v>
      </c>
      <c r="B4398" s="8" t="s">
        <v>138</v>
      </c>
      <c r="C4398" s="8" t="str">
        <f>IFERROR(_xlfn.XLOOKUP(TRIM(B4398),Lookup!$B$2:$B$1000,Lookup!$C$2:$C$1000),"")</f>
        <v>Equity</v>
      </c>
      <c r="D4398" s="8" t="str">
        <f>IFERROR(INDEX('nav master'!$C:$C, MATCH(B4398, 'nav master'!$B:$B, 0)), "")</f>
        <v>ULIF06723/03/18EqtyAdvtFd101</v>
      </c>
      <c r="E4398" s="8" t="s">
        <v>646</v>
      </c>
      <c r="F4398" s="8" t="s">
        <v>4616</v>
      </c>
    </row>
    <row r="4399" spans="1:6" ht="60" x14ac:dyDescent="0.25">
      <c r="A4399" s="8" t="s">
        <v>125</v>
      </c>
      <c r="B4399" s="8" t="s">
        <v>138</v>
      </c>
      <c r="C4399" s="8" t="str">
        <f>IFERROR(_xlfn.XLOOKUP(TRIM(B4399),Lookup!$B$2:$B$1000,Lookup!$C$2:$C$1000),"")</f>
        <v>Equity</v>
      </c>
      <c r="D4399" s="8" t="str">
        <f>IFERROR(INDEX('nav master'!$C:$C, MATCH(B4399, 'nav master'!$B:$B, 0)), "")</f>
        <v>ULIF06723/03/18EqtyAdvtFd101</v>
      </c>
      <c r="E4399" s="8" t="s">
        <v>648</v>
      </c>
      <c r="F4399" s="8" t="s">
        <v>4617</v>
      </c>
    </row>
    <row r="4400" spans="1:6" ht="60" x14ac:dyDescent="0.25">
      <c r="A4400" s="8" t="s">
        <v>125</v>
      </c>
      <c r="B4400" s="8" t="s">
        <v>138</v>
      </c>
      <c r="C4400" s="8" t="str">
        <f>IFERROR(_xlfn.XLOOKUP(TRIM(B4400),Lookup!$B$2:$B$1000,Lookup!$C$2:$C$1000),"")</f>
        <v>Equity</v>
      </c>
      <c r="D4400" s="8" t="str">
        <f>IFERROR(INDEX('nav master'!$C:$C, MATCH(B4400, 'nav master'!$B:$B, 0)), "")</f>
        <v>ULIF06723/03/18EqtyAdvtFd101</v>
      </c>
      <c r="E4400" s="8" t="s">
        <v>650</v>
      </c>
      <c r="F4400" s="8" t="s">
        <v>4618</v>
      </c>
    </row>
    <row r="4401" spans="1:6" ht="60" x14ac:dyDescent="0.25">
      <c r="A4401" s="8" t="s">
        <v>125</v>
      </c>
      <c r="B4401" s="8" t="s">
        <v>138</v>
      </c>
      <c r="C4401" s="8" t="str">
        <f>IFERROR(_xlfn.XLOOKUP(TRIM(B4401),Lookup!$B$2:$B$1000,Lookup!$C$2:$C$1000),"")</f>
        <v>Equity</v>
      </c>
      <c r="D4401" s="8" t="str">
        <f>IFERROR(INDEX('nav master'!$C:$C, MATCH(B4401, 'nav master'!$B:$B, 0)), "")</f>
        <v>ULIF06723/03/18EqtyAdvtFd101</v>
      </c>
      <c r="E4401" s="8" t="s">
        <v>652</v>
      </c>
      <c r="F4401" s="8" t="s">
        <v>4619</v>
      </c>
    </row>
    <row r="4402" spans="1:6" ht="60" x14ac:dyDescent="0.25">
      <c r="A4402" s="8" t="s">
        <v>125</v>
      </c>
      <c r="B4402" s="8" t="s">
        <v>138</v>
      </c>
      <c r="C4402" s="8" t="str">
        <f>IFERROR(_xlfn.XLOOKUP(TRIM(B4402),Lookup!$B$2:$B$1000,Lookup!$C$2:$C$1000),"")</f>
        <v>Equity</v>
      </c>
      <c r="D4402" s="8" t="str">
        <f>IFERROR(INDEX('nav master'!$C:$C, MATCH(B4402, 'nav master'!$B:$B, 0)), "")</f>
        <v>ULIF06723/03/18EqtyAdvtFd101</v>
      </c>
      <c r="E4402" s="8" t="s">
        <v>654</v>
      </c>
      <c r="F4402" s="8" t="s">
        <v>4620</v>
      </c>
    </row>
    <row r="4403" spans="1:6" ht="60" x14ac:dyDescent="0.25">
      <c r="A4403" s="8" t="s">
        <v>125</v>
      </c>
      <c r="B4403" s="8" t="s">
        <v>138</v>
      </c>
      <c r="C4403" s="8" t="str">
        <f>IFERROR(_xlfn.XLOOKUP(TRIM(B4403),Lookup!$B$2:$B$1000,Lookup!$C$2:$C$1000),"")</f>
        <v>Equity</v>
      </c>
      <c r="D4403" s="8" t="str">
        <f>IFERROR(INDEX('nav master'!$C:$C, MATCH(B4403, 'nav master'!$B:$B, 0)), "")</f>
        <v>ULIF06723/03/18EqtyAdvtFd101</v>
      </c>
      <c r="E4403" s="8" t="s">
        <v>656</v>
      </c>
      <c r="F4403" s="8" t="s">
        <v>4621</v>
      </c>
    </row>
    <row r="4404" spans="1:6" ht="60" x14ac:dyDescent="0.25">
      <c r="A4404" s="8" t="s">
        <v>125</v>
      </c>
      <c r="B4404" s="8" t="s">
        <v>138</v>
      </c>
      <c r="C4404" s="8" t="str">
        <f>IFERROR(_xlfn.XLOOKUP(TRIM(B4404),Lookup!$B$2:$B$1000,Lookup!$C$2:$C$1000),"")</f>
        <v>Equity</v>
      </c>
      <c r="D4404" s="8" t="str">
        <f>IFERROR(INDEX('nav master'!$C:$C, MATCH(B4404, 'nav master'!$B:$B, 0)), "")</f>
        <v>ULIF06723/03/18EqtyAdvtFd101</v>
      </c>
      <c r="E4404" s="8" t="s">
        <v>658</v>
      </c>
      <c r="F4404" s="8" t="s">
        <v>4622</v>
      </c>
    </row>
    <row r="4405" spans="1:6" ht="60" x14ac:dyDescent="0.25">
      <c r="A4405" s="8" t="s">
        <v>125</v>
      </c>
      <c r="B4405" s="8" t="s">
        <v>138</v>
      </c>
      <c r="C4405" s="8" t="str">
        <f>IFERROR(_xlfn.XLOOKUP(TRIM(B4405),Lookup!$B$2:$B$1000,Lookup!$C$2:$C$1000),"")</f>
        <v>Equity</v>
      </c>
      <c r="D4405" s="8" t="str">
        <f>IFERROR(INDEX('nav master'!$C:$C, MATCH(B4405, 'nav master'!$B:$B, 0)), "")</f>
        <v>ULIF06723/03/18EqtyAdvtFd101</v>
      </c>
      <c r="E4405" s="8" t="s">
        <v>660</v>
      </c>
      <c r="F4405" s="8" t="s">
        <v>4623</v>
      </c>
    </row>
    <row r="4406" spans="1:6" ht="60" x14ac:dyDescent="0.25">
      <c r="A4406" s="8" t="s">
        <v>125</v>
      </c>
      <c r="B4406" s="8" t="s">
        <v>138</v>
      </c>
      <c r="C4406" s="8" t="str">
        <f>IFERROR(_xlfn.XLOOKUP(TRIM(B4406),Lookup!$B$2:$B$1000,Lookup!$C$2:$C$1000),"")</f>
        <v>Equity</v>
      </c>
      <c r="D4406" s="8" t="str">
        <f>IFERROR(INDEX('nav master'!$C:$C, MATCH(B4406, 'nav master'!$B:$B, 0)), "")</f>
        <v>ULIF06723/03/18EqtyAdvtFd101</v>
      </c>
      <c r="E4406" s="8" t="s">
        <v>662</v>
      </c>
      <c r="F4406" s="8" t="s">
        <v>4624</v>
      </c>
    </row>
    <row r="4407" spans="1:6" ht="60" x14ac:dyDescent="0.25">
      <c r="A4407" s="8" t="s">
        <v>125</v>
      </c>
      <c r="B4407" s="8" t="s">
        <v>138</v>
      </c>
      <c r="C4407" s="8" t="str">
        <f>IFERROR(_xlfn.XLOOKUP(TRIM(B4407),Lookup!$B$2:$B$1000,Lookup!$C$2:$C$1000),"")</f>
        <v>Equity</v>
      </c>
      <c r="D4407" s="8" t="str">
        <f>IFERROR(INDEX('nav master'!$C:$C, MATCH(B4407, 'nav master'!$B:$B, 0)), "")</f>
        <v>ULIF06723/03/18EqtyAdvtFd101</v>
      </c>
      <c r="E4407" s="8" t="s">
        <v>664</v>
      </c>
      <c r="F4407" s="8" t="s">
        <v>4625</v>
      </c>
    </row>
    <row r="4408" spans="1:6" ht="60" x14ac:dyDescent="0.25">
      <c r="A4408" s="8" t="s">
        <v>125</v>
      </c>
      <c r="B4408" s="8" t="s">
        <v>138</v>
      </c>
      <c r="C4408" s="8" t="str">
        <f>IFERROR(_xlfn.XLOOKUP(TRIM(B4408),Lookup!$B$2:$B$1000,Lookup!$C$2:$C$1000),"")</f>
        <v>Equity</v>
      </c>
      <c r="D4408" s="8" t="str">
        <f>IFERROR(INDEX('nav master'!$C:$C, MATCH(B4408, 'nav master'!$B:$B, 0)), "")</f>
        <v>ULIF06723/03/18EqtyAdvtFd101</v>
      </c>
      <c r="E4408" s="8" t="s">
        <v>4892</v>
      </c>
      <c r="F4408" s="8" t="s">
        <v>5037</v>
      </c>
    </row>
    <row r="4409" spans="1:6" ht="60" x14ac:dyDescent="0.25">
      <c r="A4409" s="8" t="s">
        <v>125</v>
      </c>
      <c r="B4409" s="8" t="s">
        <v>138</v>
      </c>
      <c r="C4409" s="8" t="str">
        <f>IFERROR(_xlfn.XLOOKUP(TRIM(B4409),Lookup!$B$2:$B$1000,Lookup!$C$2:$C$1000),"")</f>
        <v>Equity</v>
      </c>
      <c r="D4409" s="8" t="str">
        <f>IFERROR(INDEX('nav master'!$C:$C, MATCH(B4409, 'nav master'!$B:$B, 0)), "")</f>
        <v>ULIF06723/03/18EqtyAdvtFd101</v>
      </c>
      <c r="E4409" s="8" t="s">
        <v>4894</v>
      </c>
      <c r="F4409" s="8" t="s">
        <v>5038</v>
      </c>
    </row>
    <row r="4410" spans="1:6" ht="60" x14ac:dyDescent="0.25">
      <c r="A4410" s="8" t="s">
        <v>125</v>
      </c>
      <c r="B4410" s="8" t="s">
        <v>138</v>
      </c>
      <c r="C4410" s="8" t="str">
        <f>IFERROR(_xlfn.XLOOKUP(TRIM(B4410),Lookup!$B$2:$B$1000,Lookup!$C$2:$C$1000),"")</f>
        <v>Equity</v>
      </c>
      <c r="D4410" s="8" t="str">
        <f>IFERROR(INDEX('nav master'!$C:$C, MATCH(B4410, 'nav master'!$B:$B, 0)), "")</f>
        <v>ULIF06723/03/18EqtyAdvtFd101</v>
      </c>
      <c r="E4410" s="8" t="s">
        <v>4896</v>
      </c>
      <c r="F4410" s="8" t="s">
        <v>5039</v>
      </c>
    </row>
    <row r="4411" spans="1:6" ht="60" x14ac:dyDescent="0.25">
      <c r="A4411" s="8" t="s">
        <v>125</v>
      </c>
      <c r="B4411" s="8" t="s">
        <v>138</v>
      </c>
      <c r="C4411" s="8" t="str">
        <f>IFERROR(_xlfn.XLOOKUP(TRIM(B4411),Lookup!$B$2:$B$1000,Lookup!$C$2:$C$1000),"")</f>
        <v>Equity</v>
      </c>
      <c r="D4411" s="8" t="str">
        <f>IFERROR(INDEX('nav master'!$C:$C, MATCH(B4411, 'nav master'!$B:$B, 0)), "")</f>
        <v>ULIF06723/03/18EqtyAdvtFd101</v>
      </c>
      <c r="E4411" s="8" t="s">
        <v>4898</v>
      </c>
      <c r="F4411" s="8" t="s">
        <v>5040</v>
      </c>
    </row>
    <row r="4412" spans="1:6" ht="60" x14ac:dyDescent="0.25">
      <c r="A4412" s="8" t="s">
        <v>125</v>
      </c>
      <c r="B4412" s="8" t="s">
        <v>138</v>
      </c>
      <c r="C4412" s="8" t="str">
        <f>IFERROR(_xlfn.XLOOKUP(TRIM(B4412),Lookup!$B$2:$B$1000,Lookup!$C$2:$C$1000),"")</f>
        <v>Equity</v>
      </c>
      <c r="D4412" s="8" t="str">
        <f>IFERROR(INDEX('nav master'!$C:$C, MATCH(B4412, 'nav master'!$B:$B, 0)), "")</f>
        <v>ULIF06723/03/18EqtyAdvtFd101</v>
      </c>
      <c r="E4412" s="8" t="s">
        <v>4900</v>
      </c>
      <c r="F4412" s="8" t="s">
        <v>5041</v>
      </c>
    </row>
    <row r="4413" spans="1:6" ht="60" x14ac:dyDescent="0.25">
      <c r="A4413" s="8" t="s">
        <v>125</v>
      </c>
      <c r="B4413" s="8" t="s">
        <v>138</v>
      </c>
      <c r="C4413" s="8" t="str">
        <f>IFERROR(_xlfn.XLOOKUP(TRIM(B4413),Lookup!$B$2:$B$1000,Lookup!$C$2:$C$1000),"")</f>
        <v>Equity</v>
      </c>
      <c r="D4413" s="8" t="str">
        <f>IFERROR(INDEX('nav master'!$C:$C, MATCH(B4413, 'nav master'!$B:$B, 0)), "")</f>
        <v>ULIF06723/03/18EqtyAdvtFd101</v>
      </c>
      <c r="E4413" s="8" t="s">
        <v>4902</v>
      </c>
      <c r="F4413" s="8" t="s">
        <v>5042</v>
      </c>
    </row>
    <row r="4414" spans="1:6" ht="60" x14ac:dyDescent="0.25">
      <c r="A4414" s="8" t="s">
        <v>125</v>
      </c>
      <c r="B4414" s="8" t="s">
        <v>138</v>
      </c>
      <c r="C4414" s="8" t="str">
        <f>IFERROR(_xlfn.XLOOKUP(TRIM(B4414),Lookup!$B$2:$B$1000,Lookup!$C$2:$C$1000),"")</f>
        <v>Equity</v>
      </c>
      <c r="D4414" s="8" t="str">
        <f>IFERROR(INDEX('nav master'!$C:$C, MATCH(B4414, 'nav master'!$B:$B, 0)), "")</f>
        <v>ULIF06723/03/18EqtyAdvtFd101</v>
      </c>
      <c r="E4414" s="8" t="s">
        <v>4903</v>
      </c>
      <c r="F4414" s="8" t="s">
        <v>5043</v>
      </c>
    </row>
    <row r="4415" spans="1:6" ht="60" x14ac:dyDescent="0.25">
      <c r="A4415" s="8" t="s">
        <v>125</v>
      </c>
      <c r="B4415" s="8" t="s">
        <v>138</v>
      </c>
      <c r="C4415" s="8" t="str">
        <f>IFERROR(_xlfn.XLOOKUP(TRIM(B4415),Lookup!$B$2:$B$1000,Lookup!$C$2:$C$1000),"")</f>
        <v>Equity</v>
      </c>
      <c r="D4415" s="8" t="str">
        <f>IFERROR(INDEX('nav master'!$C:$C, MATCH(B4415, 'nav master'!$B:$B, 0)), "")</f>
        <v>ULIF06723/03/18EqtyAdvtFd101</v>
      </c>
      <c r="E4415" s="8" t="s">
        <v>4905</v>
      </c>
      <c r="F4415" s="8" t="s">
        <v>5044</v>
      </c>
    </row>
    <row r="4416" spans="1:6" ht="60" x14ac:dyDescent="0.25">
      <c r="A4416" s="8" t="s">
        <v>125</v>
      </c>
      <c r="B4416" s="8" t="s">
        <v>145</v>
      </c>
      <c r="C4416" s="8" t="str">
        <f>IFERROR(_xlfn.XLOOKUP(TRIM(B4416),Lookup!$B$2:$B$1000,Lookup!$C$2:$C$1000),"")</f>
        <v>Hybrid</v>
      </c>
      <c r="D4416" s="8" t="str">
        <f>IFERROR(INDEX('nav master'!$C:$C, MATCH(B4416, 'nav master'!$B:$B, 0)), "")</f>
        <v>ULIF06914/06/19SecAdvFund101</v>
      </c>
      <c r="E4416" s="8" t="s">
        <v>189</v>
      </c>
      <c r="F4416" s="8" t="s">
        <v>4626</v>
      </c>
    </row>
    <row r="4417" spans="1:6" ht="60" x14ac:dyDescent="0.25">
      <c r="A4417" s="8" t="s">
        <v>125</v>
      </c>
      <c r="B4417" s="8" t="s">
        <v>145</v>
      </c>
      <c r="C4417" s="8" t="str">
        <f>IFERROR(_xlfn.XLOOKUP(TRIM(B4417),Lookup!$B$2:$B$1000,Lookup!$C$2:$C$1000),"")</f>
        <v>Hybrid</v>
      </c>
      <c r="D4417" s="8" t="str">
        <f>IFERROR(INDEX('nav master'!$C:$C, MATCH(B4417, 'nav master'!$B:$B, 0)), "")</f>
        <v>ULIF06914/06/19SecAdvFund101</v>
      </c>
      <c r="E4417" s="8" t="s">
        <v>191</v>
      </c>
      <c r="F4417" s="8" t="s">
        <v>4627</v>
      </c>
    </row>
    <row r="4418" spans="1:6" ht="60" x14ac:dyDescent="0.25">
      <c r="A4418" s="8" t="s">
        <v>125</v>
      </c>
      <c r="B4418" s="8" t="s">
        <v>145</v>
      </c>
      <c r="C4418" s="8" t="str">
        <f>IFERROR(_xlfn.XLOOKUP(TRIM(B4418),Lookup!$B$2:$B$1000,Lookup!$C$2:$C$1000),"")</f>
        <v>Hybrid</v>
      </c>
      <c r="D4418" s="8" t="str">
        <f>IFERROR(INDEX('nav master'!$C:$C, MATCH(B4418, 'nav master'!$B:$B, 0)), "")</f>
        <v>ULIF06914/06/19SecAdvFund101</v>
      </c>
      <c r="E4418" s="8" t="s">
        <v>193</v>
      </c>
      <c r="F4418" s="8" t="s">
        <v>4628</v>
      </c>
    </row>
    <row r="4419" spans="1:6" ht="60" x14ac:dyDescent="0.25">
      <c r="A4419" s="8" t="s">
        <v>125</v>
      </c>
      <c r="B4419" s="8" t="s">
        <v>145</v>
      </c>
      <c r="C4419" s="8" t="str">
        <f>IFERROR(_xlfn.XLOOKUP(TRIM(B4419),Lookup!$B$2:$B$1000,Lookup!$C$2:$C$1000),"")</f>
        <v>Hybrid</v>
      </c>
      <c r="D4419" s="8" t="str">
        <f>IFERROR(INDEX('nav master'!$C:$C, MATCH(B4419, 'nav master'!$B:$B, 0)), "")</f>
        <v>ULIF06914/06/19SecAdvFund101</v>
      </c>
      <c r="E4419" s="8" t="s">
        <v>195</v>
      </c>
      <c r="F4419" s="8" t="s">
        <v>4629</v>
      </c>
    </row>
    <row r="4420" spans="1:6" ht="60" x14ac:dyDescent="0.25">
      <c r="A4420" s="8" t="s">
        <v>125</v>
      </c>
      <c r="B4420" s="8" t="s">
        <v>145</v>
      </c>
      <c r="C4420" s="8" t="str">
        <f>IFERROR(_xlfn.XLOOKUP(TRIM(B4420),Lookup!$B$2:$B$1000,Lookup!$C$2:$C$1000),"")</f>
        <v>Hybrid</v>
      </c>
      <c r="D4420" s="8" t="str">
        <f>IFERROR(INDEX('nav master'!$C:$C, MATCH(B4420, 'nav master'!$B:$B, 0)), "")</f>
        <v>ULIF06914/06/19SecAdvFund101</v>
      </c>
      <c r="E4420" s="8" t="s">
        <v>197</v>
      </c>
      <c r="F4420" s="8" t="s">
        <v>4630</v>
      </c>
    </row>
    <row r="4421" spans="1:6" ht="60" x14ac:dyDescent="0.25">
      <c r="A4421" s="8" t="s">
        <v>125</v>
      </c>
      <c r="B4421" s="8" t="s">
        <v>145</v>
      </c>
      <c r="C4421" s="8" t="str">
        <f>IFERROR(_xlfn.XLOOKUP(TRIM(B4421),Lookup!$B$2:$B$1000,Lookup!$C$2:$C$1000),"")</f>
        <v>Hybrid</v>
      </c>
      <c r="D4421" s="8" t="str">
        <f>IFERROR(INDEX('nav master'!$C:$C, MATCH(B4421, 'nav master'!$B:$B, 0)), "")</f>
        <v>ULIF06914/06/19SecAdvFund101</v>
      </c>
      <c r="E4421" s="8" t="s">
        <v>199</v>
      </c>
      <c r="F4421" s="8" t="s">
        <v>4631</v>
      </c>
    </row>
    <row r="4422" spans="1:6" ht="60" x14ac:dyDescent="0.25">
      <c r="A4422" s="8" t="s">
        <v>125</v>
      </c>
      <c r="B4422" s="8" t="s">
        <v>145</v>
      </c>
      <c r="C4422" s="8" t="str">
        <f>IFERROR(_xlfn.XLOOKUP(TRIM(B4422),Lookup!$B$2:$B$1000,Lookup!$C$2:$C$1000),"")</f>
        <v>Hybrid</v>
      </c>
      <c r="D4422" s="8" t="str">
        <f>IFERROR(INDEX('nav master'!$C:$C, MATCH(B4422, 'nav master'!$B:$B, 0)), "")</f>
        <v>ULIF06914/06/19SecAdvFund101</v>
      </c>
      <c r="E4422" s="8" t="s">
        <v>201</v>
      </c>
      <c r="F4422" s="8" t="s">
        <v>4632</v>
      </c>
    </row>
    <row r="4423" spans="1:6" ht="60" x14ac:dyDescent="0.25">
      <c r="A4423" s="8" t="s">
        <v>125</v>
      </c>
      <c r="B4423" s="8" t="s">
        <v>145</v>
      </c>
      <c r="C4423" s="8" t="str">
        <f>IFERROR(_xlfn.XLOOKUP(TRIM(B4423),Lookup!$B$2:$B$1000,Lookup!$C$2:$C$1000),"")</f>
        <v>Hybrid</v>
      </c>
      <c r="D4423" s="8" t="str">
        <f>IFERROR(INDEX('nav master'!$C:$C, MATCH(B4423, 'nav master'!$B:$B, 0)), "")</f>
        <v>ULIF06914/06/19SecAdvFund101</v>
      </c>
      <c r="E4423" s="8" t="s">
        <v>203</v>
      </c>
      <c r="F4423" s="8" t="s">
        <v>4633</v>
      </c>
    </row>
    <row r="4424" spans="1:6" ht="60" x14ac:dyDescent="0.25">
      <c r="A4424" s="8" t="s">
        <v>125</v>
      </c>
      <c r="B4424" s="8" t="s">
        <v>145</v>
      </c>
      <c r="C4424" s="8" t="str">
        <f>IFERROR(_xlfn.XLOOKUP(TRIM(B4424),Lookup!$B$2:$B$1000,Lookup!$C$2:$C$1000),"")</f>
        <v>Hybrid</v>
      </c>
      <c r="D4424" s="8" t="str">
        <f>IFERROR(INDEX('nav master'!$C:$C, MATCH(B4424, 'nav master'!$B:$B, 0)), "")</f>
        <v>ULIF06914/06/19SecAdvFund101</v>
      </c>
      <c r="E4424" s="8" t="s">
        <v>205</v>
      </c>
      <c r="F4424" s="8" t="s">
        <v>4634</v>
      </c>
    </row>
    <row r="4425" spans="1:6" ht="60" x14ac:dyDescent="0.25">
      <c r="A4425" s="8" t="s">
        <v>125</v>
      </c>
      <c r="B4425" s="8" t="s">
        <v>145</v>
      </c>
      <c r="C4425" s="8" t="str">
        <f>IFERROR(_xlfn.XLOOKUP(TRIM(B4425),Lookup!$B$2:$B$1000,Lookup!$C$2:$C$1000),"")</f>
        <v>Hybrid</v>
      </c>
      <c r="D4425" s="8" t="str">
        <f>IFERROR(INDEX('nav master'!$C:$C, MATCH(B4425, 'nav master'!$B:$B, 0)), "")</f>
        <v>ULIF06914/06/19SecAdvFund101</v>
      </c>
      <c r="E4425" s="8" t="s">
        <v>207</v>
      </c>
      <c r="F4425" s="8" t="s">
        <v>4635</v>
      </c>
    </row>
    <row r="4426" spans="1:6" ht="60" x14ac:dyDescent="0.25">
      <c r="A4426" s="8" t="s">
        <v>125</v>
      </c>
      <c r="B4426" s="8" t="s">
        <v>145</v>
      </c>
      <c r="C4426" s="8" t="str">
        <f>IFERROR(_xlfn.XLOOKUP(TRIM(B4426),Lookup!$B$2:$B$1000,Lookup!$C$2:$C$1000),"")</f>
        <v>Hybrid</v>
      </c>
      <c r="D4426" s="8" t="str">
        <f>IFERROR(INDEX('nav master'!$C:$C, MATCH(B4426, 'nav master'!$B:$B, 0)), "")</f>
        <v>ULIF06914/06/19SecAdvFund101</v>
      </c>
      <c r="E4426" s="8" t="s">
        <v>209</v>
      </c>
      <c r="F4426" s="8" t="s">
        <v>4636</v>
      </c>
    </row>
    <row r="4427" spans="1:6" ht="60" x14ac:dyDescent="0.25">
      <c r="A4427" s="8" t="s">
        <v>125</v>
      </c>
      <c r="B4427" s="8" t="s">
        <v>145</v>
      </c>
      <c r="C4427" s="8" t="str">
        <f>IFERROR(_xlfn.XLOOKUP(TRIM(B4427),Lookup!$B$2:$B$1000,Lookup!$C$2:$C$1000),"")</f>
        <v>Hybrid</v>
      </c>
      <c r="D4427" s="8" t="str">
        <f>IFERROR(INDEX('nav master'!$C:$C, MATCH(B4427, 'nav master'!$B:$B, 0)), "")</f>
        <v>ULIF06914/06/19SecAdvFund101</v>
      </c>
      <c r="E4427" s="8" t="s">
        <v>211</v>
      </c>
      <c r="F4427" s="8" t="s">
        <v>4637</v>
      </c>
    </row>
    <row r="4428" spans="1:6" ht="60" x14ac:dyDescent="0.25">
      <c r="A4428" s="8" t="s">
        <v>125</v>
      </c>
      <c r="B4428" s="8" t="s">
        <v>145</v>
      </c>
      <c r="C4428" s="8" t="str">
        <f>IFERROR(_xlfn.XLOOKUP(TRIM(B4428),Lookup!$B$2:$B$1000,Lookup!$C$2:$C$1000),"")</f>
        <v>Hybrid</v>
      </c>
      <c r="D4428" s="8" t="str">
        <f>IFERROR(INDEX('nav master'!$C:$C, MATCH(B4428, 'nav master'!$B:$B, 0)), "")</f>
        <v>ULIF06914/06/19SecAdvFund101</v>
      </c>
      <c r="E4428" s="8" t="s">
        <v>213</v>
      </c>
      <c r="F4428" s="8" t="s">
        <v>4638</v>
      </c>
    </row>
    <row r="4429" spans="1:6" ht="60" x14ac:dyDescent="0.25">
      <c r="A4429" s="8" t="s">
        <v>125</v>
      </c>
      <c r="B4429" s="8" t="s">
        <v>145</v>
      </c>
      <c r="C4429" s="8" t="str">
        <f>IFERROR(_xlfn.XLOOKUP(TRIM(B4429),Lookup!$B$2:$B$1000,Lookup!$C$2:$C$1000),"")</f>
        <v>Hybrid</v>
      </c>
      <c r="D4429" s="8" t="str">
        <f>IFERROR(INDEX('nav master'!$C:$C, MATCH(B4429, 'nav master'!$B:$B, 0)), "")</f>
        <v>ULIF06914/06/19SecAdvFund101</v>
      </c>
      <c r="E4429" s="8" t="s">
        <v>215</v>
      </c>
      <c r="F4429" s="8" t="s">
        <v>4639</v>
      </c>
    </row>
    <row r="4430" spans="1:6" ht="60" x14ac:dyDescent="0.25">
      <c r="A4430" s="8" t="s">
        <v>125</v>
      </c>
      <c r="B4430" s="8" t="s">
        <v>145</v>
      </c>
      <c r="C4430" s="8" t="str">
        <f>IFERROR(_xlfn.XLOOKUP(TRIM(B4430),Lookup!$B$2:$B$1000,Lookup!$C$2:$C$1000),"")</f>
        <v>Hybrid</v>
      </c>
      <c r="D4430" s="8" t="str">
        <f>IFERROR(INDEX('nav master'!$C:$C, MATCH(B4430, 'nav master'!$B:$B, 0)), "")</f>
        <v>ULIF06914/06/19SecAdvFund101</v>
      </c>
      <c r="E4430" s="8" t="s">
        <v>217</v>
      </c>
      <c r="F4430" s="8" t="s">
        <v>4640</v>
      </c>
    </row>
    <row r="4431" spans="1:6" ht="60" x14ac:dyDescent="0.25">
      <c r="A4431" s="8" t="s">
        <v>125</v>
      </c>
      <c r="B4431" s="8" t="s">
        <v>145</v>
      </c>
      <c r="C4431" s="8" t="str">
        <f>IFERROR(_xlfn.XLOOKUP(TRIM(B4431),Lookup!$B$2:$B$1000,Lookup!$C$2:$C$1000),"")</f>
        <v>Hybrid</v>
      </c>
      <c r="D4431" s="8" t="str">
        <f>IFERROR(INDEX('nav master'!$C:$C, MATCH(B4431, 'nav master'!$B:$B, 0)), "")</f>
        <v>ULIF06914/06/19SecAdvFund101</v>
      </c>
      <c r="E4431" s="8" t="s">
        <v>219</v>
      </c>
      <c r="F4431" s="8" t="s">
        <v>4641</v>
      </c>
    </row>
    <row r="4432" spans="1:6" ht="60" x14ac:dyDescent="0.25">
      <c r="A4432" s="8" t="s">
        <v>125</v>
      </c>
      <c r="B4432" s="8" t="s">
        <v>145</v>
      </c>
      <c r="C4432" s="8" t="str">
        <f>IFERROR(_xlfn.XLOOKUP(TRIM(B4432),Lookup!$B$2:$B$1000,Lookup!$C$2:$C$1000),"")</f>
        <v>Hybrid</v>
      </c>
      <c r="D4432" s="8" t="str">
        <f>IFERROR(INDEX('nav master'!$C:$C, MATCH(B4432, 'nav master'!$B:$B, 0)), "")</f>
        <v>ULIF06914/06/19SecAdvFund101</v>
      </c>
      <c r="E4432" s="8" t="s">
        <v>221</v>
      </c>
      <c r="F4432" s="8" t="s">
        <v>4642</v>
      </c>
    </row>
    <row r="4433" spans="1:6" ht="60" x14ac:dyDescent="0.25">
      <c r="A4433" s="8" t="s">
        <v>125</v>
      </c>
      <c r="B4433" s="8" t="s">
        <v>145</v>
      </c>
      <c r="C4433" s="8" t="str">
        <f>IFERROR(_xlfn.XLOOKUP(TRIM(B4433),Lookup!$B$2:$B$1000,Lookup!$C$2:$C$1000),"")</f>
        <v>Hybrid</v>
      </c>
      <c r="D4433" s="8" t="str">
        <f>IFERROR(INDEX('nav master'!$C:$C, MATCH(B4433, 'nav master'!$B:$B, 0)), "")</f>
        <v>ULIF06914/06/19SecAdvFund101</v>
      </c>
      <c r="E4433" s="8" t="s">
        <v>223</v>
      </c>
      <c r="F4433" s="8" t="s">
        <v>4643</v>
      </c>
    </row>
    <row r="4434" spans="1:6" ht="60" x14ac:dyDescent="0.25">
      <c r="A4434" s="8" t="s">
        <v>125</v>
      </c>
      <c r="B4434" s="8" t="s">
        <v>145</v>
      </c>
      <c r="C4434" s="8" t="str">
        <f>IFERROR(_xlfn.XLOOKUP(TRIM(B4434),Lookup!$B$2:$B$1000,Lookup!$C$2:$C$1000),"")</f>
        <v>Hybrid</v>
      </c>
      <c r="D4434" s="8" t="str">
        <f>IFERROR(INDEX('nav master'!$C:$C, MATCH(B4434, 'nav master'!$B:$B, 0)), "")</f>
        <v>ULIF06914/06/19SecAdvFund101</v>
      </c>
      <c r="E4434" s="8" t="s">
        <v>225</v>
      </c>
      <c r="F4434" s="8" t="s">
        <v>4644</v>
      </c>
    </row>
    <row r="4435" spans="1:6" ht="60" x14ac:dyDescent="0.25">
      <c r="A4435" s="8" t="s">
        <v>125</v>
      </c>
      <c r="B4435" s="8" t="s">
        <v>145</v>
      </c>
      <c r="C4435" s="8" t="str">
        <f>IFERROR(_xlfn.XLOOKUP(TRIM(B4435),Lookup!$B$2:$B$1000,Lookup!$C$2:$C$1000),"")</f>
        <v>Hybrid</v>
      </c>
      <c r="D4435" s="8" t="str">
        <f>IFERROR(INDEX('nav master'!$C:$C, MATCH(B4435, 'nav master'!$B:$B, 0)), "")</f>
        <v>ULIF06914/06/19SecAdvFund101</v>
      </c>
      <c r="E4435" s="8" t="s">
        <v>227</v>
      </c>
      <c r="F4435" s="8" t="s">
        <v>4645</v>
      </c>
    </row>
    <row r="4436" spans="1:6" ht="60" x14ac:dyDescent="0.25">
      <c r="A4436" s="8" t="s">
        <v>125</v>
      </c>
      <c r="B4436" s="8" t="s">
        <v>145</v>
      </c>
      <c r="C4436" s="8" t="str">
        <f>IFERROR(_xlfn.XLOOKUP(TRIM(B4436),Lookup!$B$2:$B$1000,Lookup!$C$2:$C$1000),"")</f>
        <v>Hybrid</v>
      </c>
      <c r="D4436" s="8" t="str">
        <f>IFERROR(INDEX('nav master'!$C:$C, MATCH(B4436, 'nav master'!$B:$B, 0)), "")</f>
        <v>ULIF06914/06/19SecAdvFund101</v>
      </c>
      <c r="E4436" s="8" t="s">
        <v>229</v>
      </c>
      <c r="F4436" s="8" t="s">
        <v>4646</v>
      </c>
    </row>
    <row r="4437" spans="1:6" ht="60" x14ac:dyDescent="0.25">
      <c r="A4437" s="8" t="s">
        <v>125</v>
      </c>
      <c r="B4437" s="8" t="s">
        <v>145</v>
      </c>
      <c r="C4437" s="8" t="str">
        <f>IFERROR(_xlfn.XLOOKUP(TRIM(B4437),Lookup!$B$2:$B$1000,Lookup!$C$2:$C$1000),"")</f>
        <v>Hybrid</v>
      </c>
      <c r="D4437" s="8" t="str">
        <f>IFERROR(INDEX('nav master'!$C:$C, MATCH(B4437, 'nav master'!$B:$B, 0)), "")</f>
        <v>ULIF06914/06/19SecAdvFund101</v>
      </c>
      <c r="E4437" s="8" t="s">
        <v>231</v>
      </c>
      <c r="F4437" s="8" t="s">
        <v>4647</v>
      </c>
    </row>
    <row r="4438" spans="1:6" ht="60" x14ac:dyDescent="0.25">
      <c r="A4438" s="8" t="s">
        <v>125</v>
      </c>
      <c r="B4438" s="8" t="s">
        <v>145</v>
      </c>
      <c r="C4438" s="8" t="str">
        <f>IFERROR(_xlfn.XLOOKUP(TRIM(B4438),Lookup!$B$2:$B$1000,Lookup!$C$2:$C$1000),"")</f>
        <v>Hybrid</v>
      </c>
      <c r="D4438" s="8" t="str">
        <f>IFERROR(INDEX('nav master'!$C:$C, MATCH(B4438, 'nav master'!$B:$B, 0)), "")</f>
        <v>ULIF06914/06/19SecAdvFund101</v>
      </c>
      <c r="E4438" s="8" t="s">
        <v>233</v>
      </c>
      <c r="F4438" s="8" t="s">
        <v>4648</v>
      </c>
    </row>
    <row r="4439" spans="1:6" ht="60" x14ac:dyDescent="0.25">
      <c r="A4439" s="8" t="s">
        <v>125</v>
      </c>
      <c r="B4439" s="8" t="s">
        <v>145</v>
      </c>
      <c r="C4439" s="8" t="str">
        <f>IFERROR(_xlfn.XLOOKUP(TRIM(B4439),Lookup!$B$2:$B$1000,Lookup!$C$2:$C$1000),"")</f>
        <v>Hybrid</v>
      </c>
      <c r="D4439" s="8" t="str">
        <f>IFERROR(INDEX('nav master'!$C:$C, MATCH(B4439, 'nav master'!$B:$B, 0)), "")</f>
        <v>ULIF06914/06/19SecAdvFund101</v>
      </c>
      <c r="E4439" s="8" t="s">
        <v>235</v>
      </c>
      <c r="F4439" s="8" t="s">
        <v>4649</v>
      </c>
    </row>
    <row r="4440" spans="1:6" ht="60" x14ac:dyDescent="0.25">
      <c r="A4440" s="8" t="s">
        <v>125</v>
      </c>
      <c r="B4440" s="8" t="s">
        <v>145</v>
      </c>
      <c r="C4440" s="8" t="str">
        <f>IFERROR(_xlfn.XLOOKUP(TRIM(B4440),Lookup!$B$2:$B$1000,Lookup!$C$2:$C$1000),"")</f>
        <v>Hybrid</v>
      </c>
      <c r="D4440" s="8" t="str">
        <f>IFERROR(INDEX('nav master'!$C:$C, MATCH(B4440, 'nav master'!$B:$B, 0)), "")</f>
        <v>ULIF06914/06/19SecAdvFund101</v>
      </c>
      <c r="E4440" s="8" t="s">
        <v>237</v>
      </c>
      <c r="F4440" s="8" t="s">
        <v>4650</v>
      </c>
    </row>
    <row r="4441" spans="1:6" ht="60" x14ac:dyDescent="0.25">
      <c r="A4441" s="8" t="s">
        <v>125</v>
      </c>
      <c r="B4441" s="8" t="s">
        <v>145</v>
      </c>
      <c r="C4441" s="8" t="str">
        <f>IFERROR(_xlfn.XLOOKUP(TRIM(B4441),Lookup!$B$2:$B$1000,Lookup!$C$2:$C$1000),"")</f>
        <v>Hybrid</v>
      </c>
      <c r="D4441" s="8" t="str">
        <f>IFERROR(INDEX('nav master'!$C:$C, MATCH(B4441, 'nav master'!$B:$B, 0)), "")</f>
        <v>ULIF06914/06/19SecAdvFund101</v>
      </c>
      <c r="E4441" s="8" t="s">
        <v>239</v>
      </c>
      <c r="F4441" s="8" t="s">
        <v>4651</v>
      </c>
    </row>
    <row r="4442" spans="1:6" ht="60" x14ac:dyDescent="0.25">
      <c r="A4442" s="8" t="s">
        <v>125</v>
      </c>
      <c r="B4442" s="8" t="s">
        <v>145</v>
      </c>
      <c r="C4442" s="8" t="str">
        <f>IFERROR(_xlfn.XLOOKUP(TRIM(B4442),Lookup!$B$2:$B$1000,Lookup!$C$2:$C$1000),"")</f>
        <v>Hybrid</v>
      </c>
      <c r="D4442" s="8" t="str">
        <f>IFERROR(INDEX('nav master'!$C:$C, MATCH(B4442, 'nav master'!$B:$B, 0)), "")</f>
        <v>ULIF06914/06/19SecAdvFund101</v>
      </c>
      <c r="E4442" s="8" t="s">
        <v>241</v>
      </c>
      <c r="F4442" s="8" t="s">
        <v>4652</v>
      </c>
    </row>
    <row r="4443" spans="1:6" ht="60" x14ac:dyDescent="0.25">
      <c r="A4443" s="8" t="s">
        <v>125</v>
      </c>
      <c r="B4443" s="8" t="s">
        <v>145</v>
      </c>
      <c r="C4443" s="8" t="str">
        <f>IFERROR(_xlfn.XLOOKUP(TRIM(B4443),Lookup!$B$2:$B$1000,Lookup!$C$2:$C$1000),"")</f>
        <v>Hybrid</v>
      </c>
      <c r="D4443" s="8" t="str">
        <f>IFERROR(INDEX('nav master'!$C:$C, MATCH(B4443, 'nav master'!$B:$B, 0)), "")</f>
        <v>ULIF06914/06/19SecAdvFund101</v>
      </c>
      <c r="E4443" s="8" t="s">
        <v>243</v>
      </c>
      <c r="F4443" s="8" t="s">
        <v>4653</v>
      </c>
    </row>
    <row r="4444" spans="1:6" ht="60" x14ac:dyDescent="0.25">
      <c r="A4444" s="8" t="s">
        <v>125</v>
      </c>
      <c r="B4444" s="8" t="s">
        <v>145</v>
      </c>
      <c r="C4444" s="8" t="str">
        <f>IFERROR(_xlfn.XLOOKUP(TRIM(B4444),Lookup!$B$2:$B$1000,Lookup!$C$2:$C$1000),"")</f>
        <v>Hybrid</v>
      </c>
      <c r="D4444" s="8" t="str">
        <f>IFERROR(INDEX('nav master'!$C:$C, MATCH(B4444, 'nav master'!$B:$B, 0)), "")</f>
        <v>ULIF06914/06/19SecAdvFund101</v>
      </c>
      <c r="E4444" s="8" t="s">
        <v>245</v>
      </c>
      <c r="F4444" s="8" t="s">
        <v>4654</v>
      </c>
    </row>
    <row r="4445" spans="1:6" ht="60" x14ac:dyDescent="0.25">
      <c r="A4445" s="8" t="s">
        <v>125</v>
      </c>
      <c r="B4445" s="8" t="s">
        <v>145</v>
      </c>
      <c r="C4445" s="8" t="str">
        <f>IFERROR(_xlfn.XLOOKUP(TRIM(B4445),Lookup!$B$2:$B$1000,Lookup!$C$2:$C$1000),"")</f>
        <v>Hybrid</v>
      </c>
      <c r="D4445" s="8" t="str">
        <f>IFERROR(INDEX('nav master'!$C:$C, MATCH(B4445, 'nav master'!$B:$B, 0)), "")</f>
        <v>ULIF06914/06/19SecAdvFund101</v>
      </c>
      <c r="E4445" s="8" t="s">
        <v>247</v>
      </c>
      <c r="F4445" s="8" t="s">
        <v>4655</v>
      </c>
    </row>
    <row r="4446" spans="1:6" ht="60" x14ac:dyDescent="0.25">
      <c r="A4446" s="8" t="s">
        <v>125</v>
      </c>
      <c r="B4446" s="8" t="s">
        <v>145</v>
      </c>
      <c r="C4446" s="8" t="str">
        <f>IFERROR(_xlfn.XLOOKUP(TRIM(B4446),Lookup!$B$2:$B$1000,Lookup!$C$2:$C$1000),"")</f>
        <v>Hybrid</v>
      </c>
      <c r="D4446" s="8" t="str">
        <f>IFERROR(INDEX('nav master'!$C:$C, MATCH(B4446, 'nav master'!$B:$B, 0)), "")</f>
        <v>ULIF06914/06/19SecAdvFund101</v>
      </c>
      <c r="E4446" s="8" t="s">
        <v>249</v>
      </c>
      <c r="F4446" s="8" t="s">
        <v>4656</v>
      </c>
    </row>
    <row r="4447" spans="1:6" ht="60" x14ac:dyDescent="0.25">
      <c r="A4447" s="8" t="s">
        <v>125</v>
      </c>
      <c r="B4447" s="8" t="s">
        <v>145</v>
      </c>
      <c r="C4447" s="8" t="str">
        <f>IFERROR(_xlfn.XLOOKUP(TRIM(B4447),Lookup!$B$2:$B$1000,Lookup!$C$2:$C$1000),"")</f>
        <v>Hybrid</v>
      </c>
      <c r="D4447" s="8" t="str">
        <f>IFERROR(INDEX('nav master'!$C:$C, MATCH(B4447, 'nav master'!$B:$B, 0)), "")</f>
        <v>ULIF06914/06/19SecAdvFund101</v>
      </c>
      <c r="E4447" s="8" t="s">
        <v>251</v>
      </c>
      <c r="F4447" s="8" t="s">
        <v>4657</v>
      </c>
    </row>
    <row r="4448" spans="1:6" ht="60" x14ac:dyDescent="0.25">
      <c r="A4448" s="8" t="s">
        <v>125</v>
      </c>
      <c r="B4448" s="8" t="s">
        <v>145</v>
      </c>
      <c r="C4448" s="8" t="str">
        <f>IFERROR(_xlfn.XLOOKUP(TRIM(B4448),Lookup!$B$2:$B$1000,Lookup!$C$2:$C$1000),"")</f>
        <v>Hybrid</v>
      </c>
      <c r="D4448" s="8" t="str">
        <f>IFERROR(INDEX('nav master'!$C:$C, MATCH(B4448, 'nav master'!$B:$B, 0)), "")</f>
        <v>ULIF06914/06/19SecAdvFund101</v>
      </c>
      <c r="E4448" s="8" t="s">
        <v>253</v>
      </c>
      <c r="F4448" s="8" t="s">
        <v>4658</v>
      </c>
    </row>
    <row r="4449" spans="1:6" ht="60" x14ac:dyDescent="0.25">
      <c r="A4449" s="8" t="s">
        <v>125</v>
      </c>
      <c r="B4449" s="8" t="s">
        <v>145</v>
      </c>
      <c r="C4449" s="8" t="str">
        <f>IFERROR(_xlfn.XLOOKUP(TRIM(B4449),Lookup!$B$2:$B$1000,Lookup!$C$2:$C$1000),"")</f>
        <v>Hybrid</v>
      </c>
      <c r="D4449" s="8" t="str">
        <f>IFERROR(INDEX('nav master'!$C:$C, MATCH(B4449, 'nav master'!$B:$B, 0)), "")</f>
        <v>ULIF06914/06/19SecAdvFund101</v>
      </c>
      <c r="E4449" s="8" t="s">
        <v>255</v>
      </c>
      <c r="F4449" s="8" t="s">
        <v>4659</v>
      </c>
    </row>
    <row r="4450" spans="1:6" ht="60" x14ac:dyDescent="0.25">
      <c r="A4450" s="8" t="s">
        <v>125</v>
      </c>
      <c r="B4450" s="8" t="s">
        <v>145</v>
      </c>
      <c r="C4450" s="8" t="str">
        <f>IFERROR(_xlfn.XLOOKUP(TRIM(B4450),Lookup!$B$2:$B$1000,Lookup!$C$2:$C$1000),"")</f>
        <v>Hybrid</v>
      </c>
      <c r="D4450" s="8" t="str">
        <f>IFERROR(INDEX('nav master'!$C:$C, MATCH(B4450, 'nav master'!$B:$B, 0)), "")</f>
        <v>ULIF06914/06/19SecAdvFund101</v>
      </c>
      <c r="E4450" s="8" t="s">
        <v>257</v>
      </c>
      <c r="F4450" s="8" t="s">
        <v>4660</v>
      </c>
    </row>
    <row r="4451" spans="1:6" ht="60" x14ac:dyDescent="0.25">
      <c r="A4451" s="8" t="s">
        <v>125</v>
      </c>
      <c r="B4451" s="8" t="s">
        <v>145</v>
      </c>
      <c r="C4451" s="8" t="str">
        <f>IFERROR(_xlfn.XLOOKUP(TRIM(B4451),Lookup!$B$2:$B$1000,Lookup!$C$2:$C$1000),"")</f>
        <v>Hybrid</v>
      </c>
      <c r="D4451" s="8" t="str">
        <f>IFERROR(INDEX('nav master'!$C:$C, MATCH(B4451, 'nav master'!$B:$B, 0)), "")</f>
        <v>ULIF06914/06/19SecAdvFund101</v>
      </c>
      <c r="E4451" s="8" t="s">
        <v>259</v>
      </c>
      <c r="F4451" s="8" t="s">
        <v>4661</v>
      </c>
    </row>
    <row r="4452" spans="1:6" ht="60" x14ac:dyDescent="0.25">
      <c r="A4452" s="8" t="s">
        <v>125</v>
      </c>
      <c r="B4452" s="8" t="s">
        <v>145</v>
      </c>
      <c r="C4452" s="8" t="str">
        <f>IFERROR(_xlfn.XLOOKUP(TRIM(B4452),Lookup!$B$2:$B$1000,Lookup!$C$2:$C$1000),"")</f>
        <v>Hybrid</v>
      </c>
      <c r="D4452" s="8" t="str">
        <f>IFERROR(INDEX('nav master'!$C:$C, MATCH(B4452, 'nav master'!$B:$B, 0)), "")</f>
        <v>ULIF06914/06/19SecAdvFund101</v>
      </c>
      <c r="E4452" s="8" t="s">
        <v>261</v>
      </c>
      <c r="F4452" s="8" t="s">
        <v>4662</v>
      </c>
    </row>
    <row r="4453" spans="1:6" ht="60" x14ac:dyDescent="0.25">
      <c r="A4453" s="8" t="s">
        <v>125</v>
      </c>
      <c r="B4453" s="8" t="s">
        <v>145</v>
      </c>
      <c r="C4453" s="8" t="str">
        <f>IFERROR(_xlfn.XLOOKUP(TRIM(B4453),Lookup!$B$2:$B$1000,Lookup!$C$2:$C$1000),"")</f>
        <v>Hybrid</v>
      </c>
      <c r="D4453" s="8" t="str">
        <f>IFERROR(INDEX('nav master'!$C:$C, MATCH(B4453, 'nav master'!$B:$B, 0)), "")</f>
        <v>ULIF06914/06/19SecAdvFund101</v>
      </c>
      <c r="E4453" s="8" t="s">
        <v>263</v>
      </c>
      <c r="F4453" s="8" t="s">
        <v>4663</v>
      </c>
    </row>
    <row r="4454" spans="1:6" ht="60" x14ac:dyDescent="0.25">
      <c r="A4454" s="8" t="s">
        <v>125</v>
      </c>
      <c r="B4454" s="8" t="s">
        <v>145</v>
      </c>
      <c r="C4454" s="8" t="str">
        <f>IFERROR(_xlfn.XLOOKUP(TRIM(B4454),Lookup!$B$2:$B$1000,Lookup!$C$2:$C$1000),"")</f>
        <v>Hybrid</v>
      </c>
      <c r="D4454" s="8" t="str">
        <f>IFERROR(INDEX('nav master'!$C:$C, MATCH(B4454, 'nav master'!$B:$B, 0)), "")</f>
        <v>ULIF06914/06/19SecAdvFund101</v>
      </c>
      <c r="E4454" s="8" t="s">
        <v>265</v>
      </c>
      <c r="F4454" s="8" t="s">
        <v>4664</v>
      </c>
    </row>
    <row r="4455" spans="1:6" ht="60" x14ac:dyDescent="0.25">
      <c r="A4455" s="8" t="s">
        <v>125</v>
      </c>
      <c r="B4455" s="8" t="s">
        <v>145</v>
      </c>
      <c r="C4455" s="8" t="str">
        <f>IFERROR(_xlfn.XLOOKUP(TRIM(B4455),Lookup!$B$2:$B$1000,Lookup!$C$2:$C$1000),"")</f>
        <v>Hybrid</v>
      </c>
      <c r="D4455" s="8" t="str">
        <f>IFERROR(INDEX('nav master'!$C:$C, MATCH(B4455, 'nav master'!$B:$B, 0)), "")</f>
        <v>ULIF06914/06/19SecAdvFund101</v>
      </c>
      <c r="E4455" s="8" t="s">
        <v>267</v>
      </c>
      <c r="F4455" s="8" t="s">
        <v>4662</v>
      </c>
    </row>
    <row r="4456" spans="1:6" ht="60" x14ac:dyDescent="0.25">
      <c r="A4456" s="8" t="s">
        <v>125</v>
      </c>
      <c r="B4456" s="8" t="s">
        <v>145</v>
      </c>
      <c r="C4456" s="8" t="str">
        <f>IFERROR(_xlfn.XLOOKUP(TRIM(B4456),Lookup!$B$2:$B$1000,Lookup!$C$2:$C$1000),"")</f>
        <v>Hybrid</v>
      </c>
      <c r="D4456" s="8" t="str">
        <f>IFERROR(INDEX('nav master'!$C:$C, MATCH(B4456, 'nav master'!$B:$B, 0)), "")</f>
        <v>ULIF06914/06/19SecAdvFund101</v>
      </c>
      <c r="E4456" s="8" t="s">
        <v>269</v>
      </c>
      <c r="F4456" s="8" t="s">
        <v>4665</v>
      </c>
    </row>
    <row r="4457" spans="1:6" ht="60" x14ac:dyDescent="0.25">
      <c r="A4457" s="8" t="s">
        <v>125</v>
      </c>
      <c r="B4457" s="8" t="s">
        <v>145</v>
      </c>
      <c r="C4457" s="8" t="str">
        <f>IFERROR(_xlfn.XLOOKUP(TRIM(B4457),Lookup!$B$2:$B$1000,Lookup!$C$2:$C$1000),"")</f>
        <v>Hybrid</v>
      </c>
      <c r="D4457" s="8" t="str">
        <f>IFERROR(INDEX('nav master'!$C:$C, MATCH(B4457, 'nav master'!$B:$B, 0)), "")</f>
        <v>ULIF06914/06/19SecAdvFund101</v>
      </c>
      <c r="E4457" s="8" t="s">
        <v>271</v>
      </c>
      <c r="F4457" s="8" t="s">
        <v>4666</v>
      </c>
    </row>
    <row r="4458" spans="1:6" ht="60" x14ac:dyDescent="0.25">
      <c r="A4458" s="8" t="s">
        <v>125</v>
      </c>
      <c r="B4458" s="8" t="s">
        <v>145</v>
      </c>
      <c r="C4458" s="8" t="str">
        <f>IFERROR(_xlfn.XLOOKUP(TRIM(B4458),Lookup!$B$2:$B$1000,Lookup!$C$2:$C$1000),"")</f>
        <v>Hybrid</v>
      </c>
      <c r="D4458" s="8" t="str">
        <f>IFERROR(INDEX('nav master'!$C:$C, MATCH(B4458, 'nav master'!$B:$B, 0)), "")</f>
        <v>ULIF06914/06/19SecAdvFund101</v>
      </c>
      <c r="E4458" s="8" t="s">
        <v>273</v>
      </c>
      <c r="F4458" s="8" t="s">
        <v>4667</v>
      </c>
    </row>
    <row r="4459" spans="1:6" ht="60" x14ac:dyDescent="0.25">
      <c r="A4459" s="8" t="s">
        <v>125</v>
      </c>
      <c r="B4459" s="8" t="s">
        <v>145</v>
      </c>
      <c r="C4459" s="8" t="str">
        <f>IFERROR(_xlfn.XLOOKUP(TRIM(B4459),Lookup!$B$2:$B$1000,Lookup!$C$2:$C$1000),"")</f>
        <v>Hybrid</v>
      </c>
      <c r="D4459" s="8" t="str">
        <f>IFERROR(INDEX('nav master'!$C:$C, MATCH(B4459, 'nav master'!$B:$B, 0)), "")</f>
        <v>ULIF06914/06/19SecAdvFund101</v>
      </c>
      <c r="E4459" s="8" t="s">
        <v>275</v>
      </c>
      <c r="F4459" s="8" t="s">
        <v>2520</v>
      </c>
    </row>
    <row r="4460" spans="1:6" ht="60" x14ac:dyDescent="0.25">
      <c r="A4460" s="8" t="s">
        <v>125</v>
      </c>
      <c r="B4460" s="8" t="s">
        <v>145</v>
      </c>
      <c r="C4460" s="8" t="str">
        <f>IFERROR(_xlfn.XLOOKUP(TRIM(B4460),Lookup!$B$2:$B$1000,Lookup!$C$2:$C$1000),"")</f>
        <v>Hybrid</v>
      </c>
      <c r="D4460" s="8" t="str">
        <f>IFERROR(INDEX('nav master'!$C:$C, MATCH(B4460, 'nav master'!$B:$B, 0)), "")</f>
        <v>ULIF06914/06/19SecAdvFund101</v>
      </c>
      <c r="E4460" s="8" t="s">
        <v>277</v>
      </c>
      <c r="F4460" s="8" t="s">
        <v>4668</v>
      </c>
    </row>
    <row r="4461" spans="1:6" ht="60" x14ac:dyDescent="0.25">
      <c r="A4461" s="8" t="s">
        <v>125</v>
      </c>
      <c r="B4461" s="8" t="s">
        <v>145</v>
      </c>
      <c r="C4461" s="8" t="str">
        <f>IFERROR(_xlfn.XLOOKUP(TRIM(B4461),Lookup!$B$2:$B$1000,Lookup!$C$2:$C$1000),"")</f>
        <v>Hybrid</v>
      </c>
      <c r="D4461" s="8" t="str">
        <f>IFERROR(INDEX('nav master'!$C:$C, MATCH(B4461, 'nav master'!$B:$B, 0)), "")</f>
        <v>ULIF06914/06/19SecAdvFund101</v>
      </c>
      <c r="E4461" s="8" t="s">
        <v>279</v>
      </c>
      <c r="F4461" s="8" t="s">
        <v>4669</v>
      </c>
    </row>
    <row r="4462" spans="1:6" ht="60" x14ac:dyDescent="0.25">
      <c r="A4462" s="8" t="s">
        <v>125</v>
      </c>
      <c r="B4462" s="8" t="s">
        <v>145</v>
      </c>
      <c r="C4462" s="8" t="str">
        <f>IFERROR(_xlfn.XLOOKUP(TRIM(B4462),Lookup!$B$2:$B$1000,Lookup!$C$2:$C$1000),"")</f>
        <v>Hybrid</v>
      </c>
      <c r="D4462" s="8" t="str">
        <f>IFERROR(INDEX('nav master'!$C:$C, MATCH(B4462, 'nav master'!$B:$B, 0)), "")</f>
        <v>ULIF06914/06/19SecAdvFund101</v>
      </c>
      <c r="E4462" s="8" t="s">
        <v>281</v>
      </c>
      <c r="F4462" s="8" t="s">
        <v>4670</v>
      </c>
    </row>
    <row r="4463" spans="1:6" ht="60" x14ac:dyDescent="0.25">
      <c r="A4463" s="8" t="s">
        <v>125</v>
      </c>
      <c r="B4463" s="8" t="s">
        <v>145</v>
      </c>
      <c r="C4463" s="8" t="str">
        <f>IFERROR(_xlfn.XLOOKUP(TRIM(B4463),Lookup!$B$2:$B$1000,Lookup!$C$2:$C$1000),"")</f>
        <v>Hybrid</v>
      </c>
      <c r="D4463" s="8" t="str">
        <f>IFERROR(INDEX('nav master'!$C:$C, MATCH(B4463, 'nav master'!$B:$B, 0)), "")</f>
        <v>ULIF06914/06/19SecAdvFund101</v>
      </c>
      <c r="E4463" s="8" t="s">
        <v>283</v>
      </c>
      <c r="F4463" s="8" t="s">
        <v>4671</v>
      </c>
    </row>
    <row r="4464" spans="1:6" ht="60" x14ac:dyDescent="0.25">
      <c r="A4464" s="8" t="s">
        <v>125</v>
      </c>
      <c r="B4464" s="8" t="s">
        <v>145</v>
      </c>
      <c r="C4464" s="8" t="str">
        <f>IFERROR(_xlfn.XLOOKUP(TRIM(B4464),Lookup!$B$2:$B$1000,Lookup!$C$2:$C$1000),"")</f>
        <v>Hybrid</v>
      </c>
      <c r="D4464" s="8" t="str">
        <f>IFERROR(INDEX('nav master'!$C:$C, MATCH(B4464, 'nav master'!$B:$B, 0)), "")</f>
        <v>ULIF06914/06/19SecAdvFund101</v>
      </c>
      <c r="E4464" s="8" t="s">
        <v>285</v>
      </c>
      <c r="F4464" s="8" t="s">
        <v>4672</v>
      </c>
    </row>
    <row r="4465" spans="1:6" ht="60" x14ac:dyDescent="0.25">
      <c r="A4465" s="8" t="s">
        <v>125</v>
      </c>
      <c r="B4465" s="8" t="s">
        <v>145</v>
      </c>
      <c r="C4465" s="8" t="str">
        <f>IFERROR(_xlfn.XLOOKUP(TRIM(B4465),Lookup!$B$2:$B$1000,Lookup!$C$2:$C$1000),"")</f>
        <v>Hybrid</v>
      </c>
      <c r="D4465" s="8" t="str">
        <f>IFERROR(INDEX('nav master'!$C:$C, MATCH(B4465, 'nav master'!$B:$B, 0)), "")</f>
        <v>ULIF06914/06/19SecAdvFund101</v>
      </c>
      <c r="E4465" s="8" t="s">
        <v>287</v>
      </c>
      <c r="F4465" s="8" t="s">
        <v>4673</v>
      </c>
    </row>
    <row r="4466" spans="1:6" ht="60" x14ac:dyDescent="0.25">
      <c r="A4466" s="8" t="s">
        <v>125</v>
      </c>
      <c r="B4466" s="8" t="s">
        <v>145</v>
      </c>
      <c r="C4466" s="8" t="str">
        <f>IFERROR(_xlfn.XLOOKUP(TRIM(B4466),Lookup!$B$2:$B$1000,Lookup!$C$2:$C$1000),"")</f>
        <v>Hybrid</v>
      </c>
      <c r="D4466" s="8" t="str">
        <f>IFERROR(INDEX('nav master'!$C:$C, MATCH(B4466, 'nav master'!$B:$B, 0)), "")</f>
        <v>ULIF06914/06/19SecAdvFund101</v>
      </c>
      <c r="E4466" s="8" t="s">
        <v>289</v>
      </c>
      <c r="F4466" s="8" t="s">
        <v>4674</v>
      </c>
    </row>
    <row r="4467" spans="1:6" ht="60" x14ac:dyDescent="0.25">
      <c r="A4467" s="8" t="s">
        <v>125</v>
      </c>
      <c r="B4467" s="8" t="s">
        <v>145</v>
      </c>
      <c r="C4467" s="8" t="str">
        <f>IFERROR(_xlfn.XLOOKUP(TRIM(B4467),Lookup!$B$2:$B$1000,Lookup!$C$2:$C$1000),"")</f>
        <v>Hybrid</v>
      </c>
      <c r="D4467" s="8" t="str">
        <f>IFERROR(INDEX('nav master'!$C:$C, MATCH(B4467, 'nav master'!$B:$B, 0)), "")</f>
        <v>ULIF06914/06/19SecAdvFund101</v>
      </c>
      <c r="E4467" s="8" t="s">
        <v>291</v>
      </c>
      <c r="F4467" s="8" t="s">
        <v>4675</v>
      </c>
    </row>
    <row r="4468" spans="1:6" ht="60" x14ac:dyDescent="0.25">
      <c r="A4468" s="8" t="s">
        <v>125</v>
      </c>
      <c r="B4468" s="8" t="s">
        <v>145</v>
      </c>
      <c r="C4468" s="8" t="str">
        <f>IFERROR(_xlfn.XLOOKUP(TRIM(B4468),Lookup!$B$2:$B$1000,Lookup!$C$2:$C$1000),"")</f>
        <v>Hybrid</v>
      </c>
      <c r="D4468" s="8" t="str">
        <f>IFERROR(INDEX('nav master'!$C:$C, MATCH(B4468, 'nav master'!$B:$B, 0)), "")</f>
        <v>ULIF06914/06/19SecAdvFund101</v>
      </c>
      <c r="E4468" s="8" t="s">
        <v>293</v>
      </c>
      <c r="F4468" s="8" t="s">
        <v>4676</v>
      </c>
    </row>
    <row r="4469" spans="1:6" ht="60" x14ac:dyDescent="0.25">
      <c r="A4469" s="8" t="s">
        <v>125</v>
      </c>
      <c r="B4469" s="8" t="s">
        <v>145</v>
      </c>
      <c r="C4469" s="8" t="str">
        <f>IFERROR(_xlfn.XLOOKUP(TRIM(B4469),Lookup!$B$2:$B$1000,Lookup!$C$2:$C$1000),"")</f>
        <v>Hybrid</v>
      </c>
      <c r="D4469" s="8" t="str">
        <f>IFERROR(INDEX('nav master'!$C:$C, MATCH(B4469, 'nav master'!$B:$B, 0)), "")</f>
        <v>ULIF06914/06/19SecAdvFund101</v>
      </c>
      <c r="E4469" s="8" t="s">
        <v>295</v>
      </c>
      <c r="F4469" s="8" t="s">
        <v>4677</v>
      </c>
    </row>
    <row r="4470" spans="1:6" ht="60" x14ac:dyDescent="0.25">
      <c r="A4470" s="8" t="s">
        <v>125</v>
      </c>
      <c r="B4470" s="8" t="s">
        <v>145</v>
      </c>
      <c r="C4470" s="8" t="str">
        <f>IFERROR(_xlfn.XLOOKUP(TRIM(B4470),Lookup!$B$2:$B$1000,Lookup!$C$2:$C$1000),"")</f>
        <v>Hybrid</v>
      </c>
      <c r="D4470" s="8" t="str">
        <f>IFERROR(INDEX('nav master'!$C:$C, MATCH(B4470, 'nav master'!$B:$B, 0)), "")</f>
        <v>ULIF06914/06/19SecAdvFund101</v>
      </c>
      <c r="E4470" s="8" t="s">
        <v>297</v>
      </c>
      <c r="F4470" s="8" t="s">
        <v>4678</v>
      </c>
    </row>
    <row r="4471" spans="1:6" ht="60" x14ac:dyDescent="0.25">
      <c r="A4471" s="8" t="s">
        <v>125</v>
      </c>
      <c r="B4471" s="8" t="s">
        <v>145</v>
      </c>
      <c r="C4471" s="8" t="str">
        <f>IFERROR(_xlfn.XLOOKUP(TRIM(B4471),Lookup!$B$2:$B$1000,Lookup!$C$2:$C$1000),"")</f>
        <v>Hybrid</v>
      </c>
      <c r="D4471" s="8" t="str">
        <f>IFERROR(INDEX('nav master'!$C:$C, MATCH(B4471, 'nav master'!$B:$B, 0)), "")</f>
        <v>ULIF06914/06/19SecAdvFund101</v>
      </c>
      <c r="E4471" s="8" t="s">
        <v>299</v>
      </c>
      <c r="F4471" s="8" t="s">
        <v>4679</v>
      </c>
    </row>
    <row r="4472" spans="1:6" ht="60" x14ac:dyDescent="0.25">
      <c r="A4472" s="8" t="s">
        <v>125</v>
      </c>
      <c r="B4472" s="8" t="s">
        <v>145</v>
      </c>
      <c r="C4472" s="8" t="str">
        <f>IFERROR(_xlfn.XLOOKUP(TRIM(B4472),Lookup!$B$2:$B$1000,Lookup!$C$2:$C$1000),"")</f>
        <v>Hybrid</v>
      </c>
      <c r="D4472" s="8" t="str">
        <f>IFERROR(INDEX('nav master'!$C:$C, MATCH(B4472, 'nav master'!$B:$B, 0)), "")</f>
        <v>ULIF06914/06/19SecAdvFund101</v>
      </c>
      <c r="E4472" s="8" t="s">
        <v>301</v>
      </c>
      <c r="F4472" s="8" t="s">
        <v>4680</v>
      </c>
    </row>
    <row r="4473" spans="1:6" ht="60" x14ac:dyDescent="0.25">
      <c r="A4473" s="8" t="s">
        <v>125</v>
      </c>
      <c r="B4473" s="8" t="s">
        <v>145</v>
      </c>
      <c r="C4473" s="8" t="str">
        <f>IFERROR(_xlfn.XLOOKUP(TRIM(B4473),Lookup!$B$2:$B$1000,Lookup!$C$2:$C$1000),"")</f>
        <v>Hybrid</v>
      </c>
      <c r="D4473" s="8" t="str">
        <f>IFERROR(INDEX('nav master'!$C:$C, MATCH(B4473, 'nav master'!$B:$B, 0)), "")</f>
        <v>ULIF06914/06/19SecAdvFund101</v>
      </c>
      <c r="E4473" s="8" t="s">
        <v>303</v>
      </c>
      <c r="F4473" s="8" t="s">
        <v>4681</v>
      </c>
    </row>
    <row r="4474" spans="1:6" ht="60" x14ac:dyDescent="0.25">
      <c r="A4474" s="8" t="s">
        <v>125</v>
      </c>
      <c r="B4474" s="8" t="s">
        <v>145</v>
      </c>
      <c r="C4474" s="8" t="str">
        <f>IFERROR(_xlfn.XLOOKUP(TRIM(B4474),Lookup!$B$2:$B$1000,Lookup!$C$2:$C$1000),"")</f>
        <v>Hybrid</v>
      </c>
      <c r="D4474" s="8" t="str">
        <f>IFERROR(INDEX('nav master'!$C:$C, MATCH(B4474, 'nav master'!$B:$B, 0)), "")</f>
        <v>ULIF06914/06/19SecAdvFund101</v>
      </c>
      <c r="E4474" s="8" t="s">
        <v>305</v>
      </c>
      <c r="F4474" s="8" t="s">
        <v>4679</v>
      </c>
    </row>
    <row r="4475" spans="1:6" ht="60" x14ac:dyDescent="0.25">
      <c r="A4475" s="8" t="s">
        <v>125</v>
      </c>
      <c r="B4475" s="8" t="s">
        <v>145</v>
      </c>
      <c r="C4475" s="8" t="str">
        <f>IFERROR(_xlfn.XLOOKUP(TRIM(B4475),Lookup!$B$2:$B$1000,Lookup!$C$2:$C$1000),"")</f>
        <v>Hybrid</v>
      </c>
      <c r="D4475" s="8" t="str">
        <f>IFERROR(INDEX('nav master'!$C:$C, MATCH(B4475, 'nav master'!$B:$B, 0)), "")</f>
        <v>ULIF06914/06/19SecAdvFund101</v>
      </c>
      <c r="E4475" s="8" t="s">
        <v>307</v>
      </c>
      <c r="F4475" s="8" t="s">
        <v>4682</v>
      </c>
    </row>
    <row r="4476" spans="1:6" ht="60" x14ac:dyDescent="0.25">
      <c r="A4476" s="8" t="s">
        <v>125</v>
      </c>
      <c r="B4476" s="8" t="s">
        <v>145</v>
      </c>
      <c r="C4476" s="8" t="str">
        <f>IFERROR(_xlfn.XLOOKUP(TRIM(B4476),Lookup!$B$2:$B$1000,Lookup!$C$2:$C$1000),"")</f>
        <v>Hybrid</v>
      </c>
      <c r="D4476" s="8" t="str">
        <f>IFERROR(INDEX('nav master'!$C:$C, MATCH(B4476, 'nav master'!$B:$B, 0)), "")</f>
        <v>ULIF06914/06/19SecAdvFund101</v>
      </c>
      <c r="E4476" s="8" t="s">
        <v>309</v>
      </c>
      <c r="F4476" s="8" t="s">
        <v>4683</v>
      </c>
    </row>
    <row r="4477" spans="1:6" ht="60" x14ac:dyDescent="0.25">
      <c r="A4477" s="8" t="s">
        <v>125</v>
      </c>
      <c r="B4477" s="8" t="s">
        <v>145</v>
      </c>
      <c r="C4477" s="8" t="str">
        <f>IFERROR(_xlfn.XLOOKUP(TRIM(B4477),Lookup!$B$2:$B$1000,Lookup!$C$2:$C$1000),"")</f>
        <v>Hybrid</v>
      </c>
      <c r="D4477" s="8" t="str">
        <f>IFERROR(INDEX('nav master'!$C:$C, MATCH(B4477, 'nav master'!$B:$B, 0)), "")</f>
        <v>ULIF06914/06/19SecAdvFund101</v>
      </c>
      <c r="E4477" s="8" t="s">
        <v>311</v>
      </c>
      <c r="F4477" s="8" t="s">
        <v>4684</v>
      </c>
    </row>
    <row r="4478" spans="1:6" ht="60" x14ac:dyDescent="0.25">
      <c r="A4478" s="8" t="s">
        <v>125</v>
      </c>
      <c r="B4478" s="8" t="s">
        <v>145</v>
      </c>
      <c r="C4478" s="8" t="str">
        <f>IFERROR(_xlfn.XLOOKUP(TRIM(B4478),Lookup!$B$2:$B$1000,Lookup!$C$2:$C$1000),"")</f>
        <v>Hybrid</v>
      </c>
      <c r="D4478" s="8" t="str">
        <f>IFERROR(INDEX('nav master'!$C:$C, MATCH(B4478, 'nav master'!$B:$B, 0)), "")</f>
        <v>ULIF06914/06/19SecAdvFund101</v>
      </c>
      <c r="E4478" s="8" t="s">
        <v>313</v>
      </c>
      <c r="F4478" s="8" t="s">
        <v>4685</v>
      </c>
    </row>
    <row r="4479" spans="1:6" ht="60" x14ac:dyDescent="0.25">
      <c r="A4479" s="8" t="s">
        <v>125</v>
      </c>
      <c r="B4479" s="8" t="s">
        <v>145</v>
      </c>
      <c r="C4479" s="8" t="str">
        <f>IFERROR(_xlfn.XLOOKUP(TRIM(B4479),Lookup!$B$2:$B$1000,Lookup!$C$2:$C$1000),"")</f>
        <v>Hybrid</v>
      </c>
      <c r="D4479" s="8" t="str">
        <f>IFERROR(INDEX('nav master'!$C:$C, MATCH(B4479, 'nav master'!$B:$B, 0)), "")</f>
        <v>ULIF06914/06/19SecAdvFund101</v>
      </c>
      <c r="E4479" s="8" t="s">
        <v>315</v>
      </c>
      <c r="F4479" s="8" t="s">
        <v>4686</v>
      </c>
    </row>
    <row r="4480" spans="1:6" ht="60" x14ac:dyDescent="0.25">
      <c r="A4480" s="8" t="s">
        <v>125</v>
      </c>
      <c r="B4480" s="8" t="s">
        <v>145</v>
      </c>
      <c r="C4480" s="8" t="str">
        <f>IFERROR(_xlfn.XLOOKUP(TRIM(B4480),Lookup!$B$2:$B$1000,Lookup!$C$2:$C$1000),"")</f>
        <v>Hybrid</v>
      </c>
      <c r="D4480" s="8" t="str">
        <f>IFERROR(INDEX('nav master'!$C:$C, MATCH(B4480, 'nav master'!$B:$B, 0)), "")</f>
        <v>ULIF06914/06/19SecAdvFund101</v>
      </c>
      <c r="E4480" s="8" t="s">
        <v>317</v>
      </c>
      <c r="F4480" s="8" t="s">
        <v>4687</v>
      </c>
    </row>
    <row r="4481" spans="1:6" ht="60" x14ac:dyDescent="0.25">
      <c r="A4481" s="8" t="s">
        <v>125</v>
      </c>
      <c r="B4481" s="8" t="s">
        <v>145</v>
      </c>
      <c r="C4481" s="8" t="str">
        <f>IFERROR(_xlfn.XLOOKUP(TRIM(B4481),Lookup!$B$2:$B$1000,Lookup!$C$2:$C$1000),"")</f>
        <v>Hybrid</v>
      </c>
      <c r="D4481" s="8" t="str">
        <f>IFERROR(INDEX('nav master'!$C:$C, MATCH(B4481, 'nav master'!$B:$B, 0)), "")</f>
        <v>ULIF06914/06/19SecAdvFund101</v>
      </c>
      <c r="E4481" s="8" t="s">
        <v>319</v>
      </c>
      <c r="F4481" s="8" t="s">
        <v>4688</v>
      </c>
    </row>
    <row r="4482" spans="1:6" ht="60" x14ac:dyDescent="0.25">
      <c r="A4482" s="8" t="s">
        <v>125</v>
      </c>
      <c r="B4482" s="8" t="s">
        <v>145</v>
      </c>
      <c r="C4482" s="8" t="str">
        <f>IFERROR(_xlfn.XLOOKUP(TRIM(B4482),Lookup!$B$2:$B$1000,Lookup!$C$2:$C$1000),"")</f>
        <v>Hybrid</v>
      </c>
      <c r="D4482" s="8" t="str">
        <f>IFERROR(INDEX('nav master'!$C:$C, MATCH(B4482, 'nav master'!$B:$B, 0)), "")</f>
        <v>ULIF06914/06/19SecAdvFund101</v>
      </c>
      <c r="E4482" s="8" t="s">
        <v>321</v>
      </c>
      <c r="F4482" s="8" t="s">
        <v>4689</v>
      </c>
    </row>
    <row r="4483" spans="1:6" ht="60" x14ac:dyDescent="0.25">
      <c r="A4483" s="8" t="s">
        <v>125</v>
      </c>
      <c r="B4483" s="8" t="s">
        <v>145</v>
      </c>
      <c r="C4483" s="8" t="str">
        <f>IFERROR(_xlfn.XLOOKUP(TRIM(B4483),Lookup!$B$2:$B$1000,Lookup!$C$2:$C$1000),"")</f>
        <v>Hybrid</v>
      </c>
      <c r="D4483" s="8" t="str">
        <f>IFERROR(INDEX('nav master'!$C:$C, MATCH(B4483, 'nav master'!$B:$B, 0)), "")</f>
        <v>ULIF06914/06/19SecAdvFund101</v>
      </c>
      <c r="E4483" s="8" t="s">
        <v>323</v>
      </c>
      <c r="F4483" s="8" t="s">
        <v>4690</v>
      </c>
    </row>
    <row r="4484" spans="1:6" ht="60" x14ac:dyDescent="0.25">
      <c r="A4484" s="8" t="s">
        <v>125</v>
      </c>
      <c r="B4484" s="8" t="s">
        <v>145</v>
      </c>
      <c r="C4484" s="8" t="str">
        <f>IFERROR(_xlfn.XLOOKUP(TRIM(B4484),Lookup!$B$2:$B$1000,Lookup!$C$2:$C$1000),"")</f>
        <v>Hybrid</v>
      </c>
      <c r="D4484" s="8" t="str">
        <f>IFERROR(INDEX('nav master'!$C:$C, MATCH(B4484, 'nav master'!$B:$B, 0)), "")</f>
        <v>ULIF06914/06/19SecAdvFund101</v>
      </c>
      <c r="E4484" s="8" t="s">
        <v>325</v>
      </c>
      <c r="F4484" s="8" t="s">
        <v>4691</v>
      </c>
    </row>
    <row r="4485" spans="1:6" ht="60" x14ac:dyDescent="0.25">
      <c r="A4485" s="8" t="s">
        <v>125</v>
      </c>
      <c r="B4485" s="8" t="s">
        <v>145</v>
      </c>
      <c r="C4485" s="8" t="str">
        <f>IFERROR(_xlfn.XLOOKUP(TRIM(B4485),Lookup!$B$2:$B$1000,Lookup!$C$2:$C$1000),"")</f>
        <v>Hybrid</v>
      </c>
      <c r="D4485" s="8" t="str">
        <f>IFERROR(INDEX('nav master'!$C:$C, MATCH(B4485, 'nav master'!$B:$B, 0)), "")</f>
        <v>ULIF06914/06/19SecAdvFund101</v>
      </c>
      <c r="E4485" s="8" t="s">
        <v>327</v>
      </c>
      <c r="F4485" s="8" t="s">
        <v>4692</v>
      </c>
    </row>
    <row r="4486" spans="1:6" ht="60" x14ac:dyDescent="0.25">
      <c r="A4486" s="8" t="s">
        <v>125</v>
      </c>
      <c r="B4486" s="8" t="s">
        <v>145</v>
      </c>
      <c r="C4486" s="8" t="str">
        <f>IFERROR(_xlfn.XLOOKUP(TRIM(B4486),Lookup!$B$2:$B$1000,Lookup!$C$2:$C$1000),"")</f>
        <v>Hybrid</v>
      </c>
      <c r="D4486" s="8" t="str">
        <f>IFERROR(INDEX('nav master'!$C:$C, MATCH(B4486, 'nav master'!$B:$B, 0)), "")</f>
        <v>ULIF06914/06/19SecAdvFund101</v>
      </c>
      <c r="E4486" s="8" t="s">
        <v>329</v>
      </c>
      <c r="F4486" s="8" t="s">
        <v>4693</v>
      </c>
    </row>
    <row r="4487" spans="1:6" ht="60" x14ac:dyDescent="0.25">
      <c r="A4487" s="8" t="s">
        <v>125</v>
      </c>
      <c r="B4487" s="8" t="s">
        <v>145</v>
      </c>
      <c r="C4487" s="8" t="str">
        <f>IFERROR(_xlfn.XLOOKUP(TRIM(B4487),Lookup!$B$2:$B$1000,Lookup!$C$2:$C$1000),"")</f>
        <v>Hybrid</v>
      </c>
      <c r="D4487" s="8" t="str">
        <f>IFERROR(INDEX('nav master'!$C:$C, MATCH(B4487, 'nav master'!$B:$B, 0)), "")</f>
        <v>ULIF06914/06/19SecAdvFund101</v>
      </c>
      <c r="E4487" s="8" t="s">
        <v>331</v>
      </c>
      <c r="F4487" s="8" t="s">
        <v>4694</v>
      </c>
    </row>
    <row r="4488" spans="1:6" ht="60" x14ac:dyDescent="0.25">
      <c r="A4488" s="8" t="s">
        <v>125</v>
      </c>
      <c r="B4488" s="8" t="s">
        <v>145</v>
      </c>
      <c r="C4488" s="8" t="str">
        <f>IFERROR(_xlfn.XLOOKUP(TRIM(B4488),Lookup!$B$2:$B$1000,Lookup!$C$2:$C$1000),"")</f>
        <v>Hybrid</v>
      </c>
      <c r="D4488" s="8" t="str">
        <f>IFERROR(INDEX('nav master'!$C:$C, MATCH(B4488, 'nav master'!$B:$B, 0)), "")</f>
        <v>ULIF06914/06/19SecAdvFund101</v>
      </c>
      <c r="E4488" s="8" t="s">
        <v>333</v>
      </c>
      <c r="F4488" s="8" t="s">
        <v>4695</v>
      </c>
    </row>
    <row r="4489" spans="1:6" ht="60" x14ac:dyDescent="0.25">
      <c r="A4489" s="8" t="s">
        <v>125</v>
      </c>
      <c r="B4489" s="8" t="s">
        <v>145</v>
      </c>
      <c r="C4489" s="8" t="str">
        <f>IFERROR(_xlfn.XLOOKUP(TRIM(B4489),Lookup!$B$2:$B$1000,Lookup!$C$2:$C$1000),"")</f>
        <v>Hybrid</v>
      </c>
      <c r="D4489" s="8" t="str">
        <f>IFERROR(INDEX('nav master'!$C:$C, MATCH(B4489, 'nav master'!$B:$B, 0)), "")</f>
        <v>ULIF06914/06/19SecAdvFund101</v>
      </c>
      <c r="E4489" s="8" t="s">
        <v>335</v>
      </c>
      <c r="F4489" s="8" t="s">
        <v>4696</v>
      </c>
    </row>
    <row r="4490" spans="1:6" ht="60" x14ac:dyDescent="0.25">
      <c r="A4490" s="8" t="s">
        <v>125</v>
      </c>
      <c r="B4490" s="8" t="s">
        <v>145</v>
      </c>
      <c r="C4490" s="8" t="str">
        <f>IFERROR(_xlfn.XLOOKUP(TRIM(B4490),Lookup!$B$2:$B$1000,Lookup!$C$2:$C$1000),"")</f>
        <v>Hybrid</v>
      </c>
      <c r="D4490" s="8" t="str">
        <f>IFERROR(INDEX('nav master'!$C:$C, MATCH(B4490, 'nav master'!$B:$B, 0)), "")</f>
        <v>ULIF06914/06/19SecAdvFund101</v>
      </c>
      <c r="E4490" s="8" t="s">
        <v>337</v>
      </c>
      <c r="F4490" s="8" t="s">
        <v>4697</v>
      </c>
    </row>
    <row r="4491" spans="1:6" ht="60" x14ac:dyDescent="0.25">
      <c r="A4491" s="8" t="s">
        <v>125</v>
      </c>
      <c r="B4491" s="8" t="s">
        <v>145</v>
      </c>
      <c r="C4491" s="8" t="str">
        <f>IFERROR(_xlfn.XLOOKUP(TRIM(B4491),Lookup!$B$2:$B$1000,Lookup!$C$2:$C$1000),"")</f>
        <v>Hybrid</v>
      </c>
      <c r="D4491" s="8" t="str">
        <f>IFERROR(INDEX('nav master'!$C:$C, MATCH(B4491, 'nav master'!$B:$B, 0)), "")</f>
        <v>ULIF06914/06/19SecAdvFund101</v>
      </c>
      <c r="E4491" s="8" t="s">
        <v>339</v>
      </c>
      <c r="F4491" s="8" t="s">
        <v>4698</v>
      </c>
    </row>
    <row r="4492" spans="1:6" ht="60" x14ac:dyDescent="0.25">
      <c r="A4492" s="8" t="s">
        <v>125</v>
      </c>
      <c r="B4492" s="8" t="s">
        <v>145</v>
      </c>
      <c r="C4492" s="8" t="str">
        <f>IFERROR(_xlfn.XLOOKUP(TRIM(B4492),Lookup!$B$2:$B$1000,Lookup!$C$2:$C$1000),"")</f>
        <v>Hybrid</v>
      </c>
      <c r="D4492" s="8" t="str">
        <f>IFERROR(INDEX('nav master'!$C:$C, MATCH(B4492, 'nav master'!$B:$B, 0)), "")</f>
        <v>ULIF06914/06/19SecAdvFund101</v>
      </c>
      <c r="E4492" s="8" t="s">
        <v>341</v>
      </c>
      <c r="F4492" s="8" t="s">
        <v>4699</v>
      </c>
    </row>
    <row r="4493" spans="1:6" ht="60" x14ac:dyDescent="0.25">
      <c r="A4493" s="8" t="s">
        <v>125</v>
      </c>
      <c r="B4493" s="8" t="s">
        <v>145</v>
      </c>
      <c r="C4493" s="8" t="str">
        <f>IFERROR(_xlfn.XLOOKUP(TRIM(B4493),Lookup!$B$2:$B$1000,Lookup!$C$2:$C$1000),"")</f>
        <v>Hybrid</v>
      </c>
      <c r="D4493" s="8" t="str">
        <f>IFERROR(INDEX('nav master'!$C:$C, MATCH(B4493, 'nav master'!$B:$B, 0)), "")</f>
        <v>ULIF06914/06/19SecAdvFund101</v>
      </c>
      <c r="E4493" s="8" t="s">
        <v>343</v>
      </c>
      <c r="F4493" s="8" t="s">
        <v>4700</v>
      </c>
    </row>
    <row r="4494" spans="1:6" ht="60" x14ac:dyDescent="0.25">
      <c r="A4494" s="8" t="s">
        <v>125</v>
      </c>
      <c r="B4494" s="8" t="s">
        <v>145</v>
      </c>
      <c r="C4494" s="8" t="str">
        <f>IFERROR(_xlfn.XLOOKUP(TRIM(B4494),Lookup!$B$2:$B$1000,Lookup!$C$2:$C$1000),"")</f>
        <v>Hybrid</v>
      </c>
      <c r="D4494" s="8" t="str">
        <f>IFERROR(INDEX('nav master'!$C:$C, MATCH(B4494, 'nav master'!$B:$B, 0)), "")</f>
        <v>ULIF06914/06/19SecAdvFund101</v>
      </c>
      <c r="E4494" s="8" t="s">
        <v>345</v>
      </c>
      <c r="F4494" s="8" t="s">
        <v>4701</v>
      </c>
    </row>
    <row r="4495" spans="1:6" ht="60" x14ac:dyDescent="0.25">
      <c r="A4495" s="8" t="s">
        <v>125</v>
      </c>
      <c r="B4495" s="8" t="s">
        <v>145</v>
      </c>
      <c r="C4495" s="8" t="str">
        <f>IFERROR(_xlfn.XLOOKUP(TRIM(B4495),Lookup!$B$2:$B$1000,Lookup!$C$2:$C$1000),"")</f>
        <v>Hybrid</v>
      </c>
      <c r="D4495" s="8" t="str">
        <f>IFERROR(INDEX('nav master'!$C:$C, MATCH(B4495, 'nav master'!$B:$B, 0)), "")</f>
        <v>ULIF06914/06/19SecAdvFund101</v>
      </c>
      <c r="E4495" s="8" t="s">
        <v>347</v>
      </c>
      <c r="F4495" s="8" t="s">
        <v>4702</v>
      </c>
    </row>
    <row r="4496" spans="1:6" ht="60" x14ac:dyDescent="0.25">
      <c r="A4496" s="8" t="s">
        <v>125</v>
      </c>
      <c r="B4496" s="8" t="s">
        <v>145</v>
      </c>
      <c r="C4496" s="8" t="str">
        <f>IFERROR(_xlfn.XLOOKUP(TRIM(B4496),Lookup!$B$2:$B$1000,Lookup!$C$2:$C$1000),"")</f>
        <v>Hybrid</v>
      </c>
      <c r="D4496" s="8" t="str">
        <f>IFERROR(INDEX('nav master'!$C:$C, MATCH(B4496, 'nav master'!$B:$B, 0)), "")</f>
        <v>ULIF06914/06/19SecAdvFund101</v>
      </c>
      <c r="E4496" s="8" t="s">
        <v>349</v>
      </c>
      <c r="F4496" s="8" t="s">
        <v>4703</v>
      </c>
    </row>
    <row r="4497" spans="1:6" ht="60" x14ac:dyDescent="0.25">
      <c r="A4497" s="8" t="s">
        <v>125</v>
      </c>
      <c r="B4497" s="8" t="s">
        <v>145</v>
      </c>
      <c r="C4497" s="8" t="str">
        <f>IFERROR(_xlfn.XLOOKUP(TRIM(B4497),Lookup!$B$2:$B$1000,Lookup!$C$2:$C$1000),"")</f>
        <v>Hybrid</v>
      </c>
      <c r="D4497" s="8" t="str">
        <f>IFERROR(INDEX('nav master'!$C:$C, MATCH(B4497, 'nav master'!$B:$B, 0)), "")</f>
        <v>ULIF06914/06/19SecAdvFund101</v>
      </c>
      <c r="E4497" s="8" t="s">
        <v>351</v>
      </c>
      <c r="F4497" s="8" t="s">
        <v>4704</v>
      </c>
    </row>
    <row r="4498" spans="1:6" ht="60" x14ac:dyDescent="0.25">
      <c r="A4498" s="8" t="s">
        <v>125</v>
      </c>
      <c r="B4498" s="8" t="s">
        <v>145</v>
      </c>
      <c r="C4498" s="8" t="str">
        <f>IFERROR(_xlfn.XLOOKUP(TRIM(B4498),Lookup!$B$2:$B$1000,Lookup!$C$2:$C$1000),"")</f>
        <v>Hybrid</v>
      </c>
      <c r="D4498" s="8" t="str">
        <f>IFERROR(INDEX('nav master'!$C:$C, MATCH(B4498, 'nav master'!$B:$B, 0)), "")</f>
        <v>ULIF06914/06/19SecAdvFund101</v>
      </c>
      <c r="E4498" s="8" t="s">
        <v>353</v>
      </c>
      <c r="F4498" s="8" t="s">
        <v>4705</v>
      </c>
    </row>
    <row r="4499" spans="1:6" ht="60" x14ac:dyDescent="0.25">
      <c r="A4499" s="8" t="s">
        <v>125</v>
      </c>
      <c r="B4499" s="8" t="s">
        <v>145</v>
      </c>
      <c r="C4499" s="8" t="str">
        <f>IFERROR(_xlfn.XLOOKUP(TRIM(B4499),Lookup!$B$2:$B$1000,Lookup!$C$2:$C$1000),"")</f>
        <v>Hybrid</v>
      </c>
      <c r="D4499" s="8" t="str">
        <f>IFERROR(INDEX('nav master'!$C:$C, MATCH(B4499, 'nav master'!$B:$B, 0)), "")</f>
        <v>ULIF06914/06/19SecAdvFund101</v>
      </c>
      <c r="E4499" s="8" t="s">
        <v>355</v>
      </c>
      <c r="F4499" s="8" t="s">
        <v>4706</v>
      </c>
    </row>
    <row r="4500" spans="1:6" ht="60" x14ac:dyDescent="0.25">
      <c r="A4500" s="8" t="s">
        <v>125</v>
      </c>
      <c r="B4500" s="8" t="s">
        <v>145</v>
      </c>
      <c r="C4500" s="8" t="str">
        <f>IFERROR(_xlfn.XLOOKUP(TRIM(B4500),Lookup!$B$2:$B$1000,Lookup!$C$2:$C$1000),"")</f>
        <v>Hybrid</v>
      </c>
      <c r="D4500" s="8" t="str">
        <f>IFERROR(INDEX('nav master'!$C:$C, MATCH(B4500, 'nav master'!$B:$B, 0)), "")</f>
        <v>ULIF06914/06/19SecAdvFund101</v>
      </c>
      <c r="E4500" s="8" t="s">
        <v>357</v>
      </c>
      <c r="F4500" s="8" t="s">
        <v>4707</v>
      </c>
    </row>
    <row r="4501" spans="1:6" ht="60" x14ac:dyDescent="0.25">
      <c r="A4501" s="8" t="s">
        <v>125</v>
      </c>
      <c r="B4501" s="8" t="s">
        <v>145</v>
      </c>
      <c r="C4501" s="8" t="str">
        <f>IFERROR(_xlfn.XLOOKUP(TRIM(B4501),Lookup!$B$2:$B$1000,Lookup!$C$2:$C$1000),"")</f>
        <v>Hybrid</v>
      </c>
      <c r="D4501" s="8" t="str">
        <f>IFERROR(INDEX('nav master'!$C:$C, MATCH(B4501, 'nav master'!$B:$B, 0)), "")</f>
        <v>ULIF06914/06/19SecAdvFund101</v>
      </c>
      <c r="E4501" s="8" t="s">
        <v>359</v>
      </c>
      <c r="F4501" s="8" t="s">
        <v>4708</v>
      </c>
    </row>
    <row r="4502" spans="1:6" ht="60" x14ac:dyDescent="0.25">
      <c r="A4502" s="8" t="s">
        <v>125</v>
      </c>
      <c r="B4502" s="8" t="s">
        <v>145</v>
      </c>
      <c r="C4502" s="8" t="str">
        <f>IFERROR(_xlfn.XLOOKUP(TRIM(B4502),Lookup!$B$2:$B$1000,Lookup!$C$2:$C$1000),"")</f>
        <v>Hybrid</v>
      </c>
      <c r="D4502" s="8" t="str">
        <f>IFERROR(INDEX('nav master'!$C:$C, MATCH(B4502, 'nav master'!$B:$B, 0)), "")</f>
        <v>ULIF06914/06/19SecAdvFund101</v>
      </c>
      <c r="E4502" s="8" t="s">
        <v>361</v>
      </c>
      <c r="F4502" s="8" t="s">
        <v>4709</v>
      </c>
    </row>
    <row r="4503" spans="1:6" ht="60" x14ac:dyDescent="0.25">
      <c r="A4503" s="8" t="s">
        <v>125</v>
      </c>
      <c r="B4503" s="8" t="s">
        <v>145</v>
      </c>
      <c r="C4503" s="8" t="str">
        <f>IFERROR(_xlfn.XLOOKUP(TRIM(B4503),Lookup!$B$2:$B$1000,Lookup!$C$2:$C$1000),"")</f>
        <v>Hybrid</v>
      </c>
      <c r="D4503" s="8" t="str">
        <f>IFERROR(INDEX('nav master'!$C:$C, MATCH(B4503, 'nav master'!$B:$B, 0)), "")</f>
        <v>ULIF06914/06/19SecAdvFund101</v>
      </c>
      <c r="E4503" s="8" t="s">
        <v>363</v>
      </c>
      <c r="F4503" s="8" t="s">
        <v>4710</v>
      </c>
    </row>
    <row r="4504" spans="1:6" ht="60" x14ac:dyDescent="0.25">
      <c r="A4504" s="8" t="s">
        <v>125</v>
      </c>
      <c r="B4504" s="8" t="s">
        <v>145</v>
      </c>
      <c r="C4504" s="8" t="str">
        <f>IFERROR(_xlfn.XLOOKUP(TRIM(B4504),Lookup!$B$2:$B$1000,Lookup!$C$2:$C$1000),"")</f>
        <v>Hybrid</v>
      </c>
      <c r="D4504" s="8" t="str">
        <f>IFERROR(INDEX('nav master'!$C:$C, MATCH(B4504, 'nav master'!$B:$B, 0)), "")</f>
        <v>ULIF06914/06/19SecAdvFund101</v>
      </c>
      <c r="E4504" s="8" t="s">
        <v>365</v>
      </c>
      <c r="F4504" s="8" t="s">
        <v>4711</v>
      </c>
    </row>
    <row r="4505" spans="1:6" ht="60" x14ac:dyDescent="0.25">
      <c r="A4505" s="8" t="s">
        <v>125</v>
      </c>
      <c r="B4505" s="8" t="s">
        <v>145</v>
      </c>
      <c r="C4505" s="8" t="str">
        <f>IFERROR(_xlfn.XLOOKUP(TRIM(B4505),Lookup!$B$2:$B$1000,Lookup!$C$2:$C$1000),"")</f>
        <v>Hybrid</v>
      </c>
      <c r="D4505" s="8" t="str">
        <f>IFERROR(INDEX('nav master'!$C:$C, MATCH(B4505, 'nav master'!$B:$B, 0)), "")</f>
        <v>ULIF06914/06/19SecAdvFund101</v>
      </c>
      <c r="E4505" s="8" t="s">
        <v>367</v>
      </c>
      <c r="F4505" s="8" t="s">
        <v>4712</v>
      </c>
    </row>
    <row r="4506" spans="1:6" ht="60" x14ac:dyDescent="0.25">
      <c r="A4506" s="8" t="s">
        <v>125</v>
      </c>
      <c r="B4506" s="8" t="s">
        <v>145</v>
      </c>
      <c r="C4506" s="8" t="str">
        <f>IFERROR(_xlfn.XLOOKUP(TRIM(B4506),Lookup!$B$2:$B$1000,Lookup!$C$2:$C$1000),"")</f>
        <v>Hybrid</v>
      </c>
      <c r="D4506" s="8" t="str">
        <f>IFERROR(INDEX('nav master'!$C:$C, MATCH(B4506, 'nav master'!$B:$B, 0)), "")</f>
        <v>ULIF06914/06/19SecAdvFund101</v>
      </c>
      <c r="E4506" s="8" t="s">
        <v>369</v>
      </c>
      <c r="F4506" s="8" t="s">
        <v>4713</v>
      </c>
    </row>
    <row r="4507" spans="1:6" ht="60" x14ac:dyDescent="0.25">
      <c r="A4507" s="8" t="s">
        <v>125</v>
      </c>
      <c r="B4507" s="8" t="s">
        <v>145</v>
      </c>
      <c r="C4507" s="8" t="str">
        <f>IFERROR(_xlfn.XLOOKUP(TRIM(B4507),Lookup!$B$2:$B$1000,Lookup!$C$2:$C$1000),"")</f>
        <v>Hybrid</v>
      </c>
      <c r="D4507" s="8" t="str">
        <f>IFERROR(INDEX('nav master'!$C:$C, MATCH(B4507, 'nav master'!$B:$B, 0)), "")</f>
        <v>ULIF06914/06/19SecAdvFund101</v>
      </c>
      <c r="E4507" s="8" t="s">
        <v>371</v>
      </c>
      <c r="F4507" s="8" t="s">
        <v>4714</v>
      </c>
    </row>
    <row r="4508" spans="1:6" ht="60" x14ac:dyDescent="0.25">
      <c r="A4508" s="8" t="s">
        <v>125</v>
      </c>
      <c r="B4508" s="8" t="s">
        <v>145</v>
      </c>
      <c r="C4508" s="8" t="str">
        <f>IFERROR(_xlfn.XLOOKUP(TRIM(B4508),Lookup!$B$2:$B$1000,Lookup!$C$2:$C$1000),"")</f>
        <v>Hybrid</v>
      </c>
      <c r="D4508" s="8" t="str">
        <f>IFERROR(INDEX('nav master'!$C:$C, MATCH(B4508, 'nav master'!$B:$B, 0)), "")</f>
        <v>ULIF06914/06/19SecAdvFund101</v>
      </c>
      <c r="E4508" s="8" t="s">
        <v>373</v>
      </c>
      <c r="F4508" s="8" t="s">
        <v>4715</v>
      </c>
    </row>
    <row r="4509" spans="1:6" ht="60" x14ac:dyDescent="0.25">
      <c r="A4509" s="8" t="s">
        <v>125</v>
      </c>
      <c r="B4509" s="8" t="s">
        <v>145</v>
      </c>
      <c r="C4509" s="8" t="str">
        <f>IFERROR(_xlfn.XLOOKUP(TRIM(B4509),Lookup!$B$2:$B$1000,Lookup!$C$2:$C$1000),"")</f>
        <v>Hybrid</v>
      </c>
      <c r="D4509" s="8" t="str">
        <f>IFERROR(INDEX('nav master'!$C:$C, MATCH(B4509, 'nav master'!$B:$B, 0)), "")</f>
        <v>ULIF06914/06/19SecAdvFund101</v>
      </c>
      <c r="E4509" s="8" t="s">
        <v>375</v>
      </c>
      <c r="F4509" s="8" t="s">
        <v>4716</v>
      </c>
    </row>
    <row r="4510" spans="1:6" ht="60" x14ac:dyDescent="0.25">
      <c r="A4510" s="8" t="s">
        <v>125</v>
      </c>
      <c r="B4510" s="8" t="s">
        <v>145</v>
      </c>
      <c r="C4510" s="8" t="str">
        <f>IFERROR(_xlfn.XLOOKUP(TRIM(B4510),Lookup!$B$2:$B$1000,Lookup!$C$2:$C$1000),"")</f>
        <v>Hybrid</v>
      </c>
      <c r="D4510" s="8" t="str">
        <f>IFERROR(INDEX('nav master'!$C:$C, MATCH(B4510, 'nav master'!$B:$B, 0)), "")</f>
        <v>ULIF06914/06/19SecAdvFund101</v>
      </c>
      <c r="E4510" s="8" t="s">
        <v>377</v>
      </c>
      <c r="F4510" s="8" t="s">
        <v>4717</v>
      </c>
    </row>
    <row r="4511" spans="1:6" ht="60" x14ac:dyDescent="0.25">
      <c r="A4511" s="8" t="s">
        <v>125</v>
      </c>
      <c r="B4511" s="8" t="s">
        <v>145</v>
      </c>
      <c r="C4511" s="8" t="str">
        <f>IFERROR(_xlfn.XLOOKUP(TRIM(B4511),Lookup!$B$2:$B$1000,Lookup!$C$2:$C$1000),"")</f>
        <v>Hybrid</v>
      </c>
      <c r="D4511" s="8" t="str">
        <f>IFERROR(INDEX('nav master'!$C:$C, MATCH(B4511, 'nav master'!$B:$B, 0)), "")</f>
        <v>ULIF06914/06/19SecAdvFund101</v>
      </c>
      <c r="E4511" s="8" t="s">
        <v>379</v>
      </c>
      <c r="F4511" s="8" t="s">
        <v>4718</v>
      </c>
    </row>
    <row r="4512" spans="1:6" ht="60" x14ac:dyDescent="0.25">
      <c r="A4512" s="8" t="s">
        <v>125</v>
      </c>
      <c r="B4512" s="8" t="s">
        <v>145</v>
      </c>
      <c r="C4512" s="8" t="str">
        <f>IFERROR(_xlfn.XLOOKUP(TRIM(B4512),Lookup!$B$2:$B$1000,Lookup!$C$2:$C$1000),"")</f>
        <v>Hybrid</v>
      </c>
      <c r="D4512" s="8" t="str">
        <f>IFERROR(INDEX('nav master'!$C:$C, MATCH(B4512, 'nav master'!$B:$B, 0)), "")</f>
        <v>ULIF06914/06/19SecAdvFund101</v>
      </c>
      <c r="E4512" s="8" t="s">
        <v>381</v>
      </c>
      <c r="F4512" s="8" t="s">
        <v>4719</v>
      </c>
    </row>
    <row r="4513" spans="1:6" ht="60" x14ac:dyDescent="0.25">
      <c r="A4513" s="8" t="s">
        <v>125</v>
      </c>
      <c r="B4513" s="8" t="s">
        <v>145</v>
      </c>
      <c r="C4513" s="8" t="str">
        <f>IFERROR(_xlfn.XLOOKUP(TRIM(B4513),Lookup!$B$2:$B$1000,Lookup!$C$2:$C$1000),"")</f>
        <v>Hybrid</v>
      </c>
      <c r="D4513" s="8" t="str">
        <f>IFERROR(INDEX('nav master'!$C:$C, MATCH(B4513, 'nav master'!$B:$B, 0)), "")</f>
        <v>ULIF06914/06/19SecAdvFund101</v>
      </c>
      <c r="E4513" s="8" t="s">
        <v>383</v>
      </c>
      <c r="F4513" s="8" t="s">
        <v>4720</v>
      </c>
    </row>
    <row r="4514" spans="1:6" ht="60" x14ac:dyDescent="0.25">
      <c r="A4514" s="8" t="s">
        <v>125</v>
      </c>
      <c r="B4514" s="8" t="s">
        <v>145</v>
      </c>
      <c r="C4514" s="8" t="str">
        <f>IFERROR(_xlfn.XLOOKUP(TRIM(B4514),Lookup!$B$2:$B$1000,Lookup!$C$2:$C$1000),"")</f>
        <v>Hybrid</v>
      </c>
      <c r="D4514" s="8" t="str">
        <f>IFERROR(INDEX('nav master'!$C:$C, MATCH(B4514, 'nav master'!$B:$B, 0)), "")</f>
        <v>ULIF06914/06/19SecAdvFund101</v>
      </c>
      <c r="E4514" s="8" t="s">
        <v>385</v>
      </c>
      <c r="F4514" s="8" t="s">
        <v>4721</v>
      </c>
    </row>
    <row r="4515" spans="1:6" ht="60" x14ac:dyDescent="0.25">
      <c r="A4515" s="8" t="s">
        <v>125</v>
      </c>
      <c r="B4515" s="8" t="s">
        <v>145</v>
      </c>
      <c r="C4515" s="8" t="str">
        <f>IFERROR(_xlfn.XLOOKUP(TRIM(B4515),Lookup!$B$2:$B$1000,Lookup!$C$2:$C$1000),"")</f>
        <v>Hybrid</v>
      </c>
      <c r="D4515" s="8" t="str">
        <f>IFERROR(INDEX('nav master'!$C:$C, MATCH(B4515, 'nav master'!$B:$B, 0)), "")</f>
        <v>ULIF06914/06/19SecAdvFund101</v>
      </c>
      <c r="E4515" s="8" t="s">
        <v>387</v>
      </c>
      <c r="F4515" s="8" t="s">
        <v>2390</v>
      </c>
    </row>
    <row r="4516" spans="1:6" ht="60" x14ac:dyDescent="0.25">
      <c r="A4516" s="8" t="s">
        <v>125</v>
      </c>
      <c r="B4516" s="8" t="s">
        <v>145</v>
      </c>
      <c r="C4516" s="8" t="str">
        <f>IFERROR(_xlfn.XLOOKUP(TRIM(B4516),Lookup!$B$2:$B$1000,Lookup!$C$2:$C$1000),"")</f>
        <v>Hybrid</v>
      </c>
      <c r="D4516" s="8" t="str">
        <f>IFERROR(INDEX('nav master'!$C:$C, MATCH(B4516, 'nav master'!$B:$B, 0)), "")</f>
        <v>ULIF06914/06/19SecAdvFund101</v>
      </c>
      <c r="E4516" s="8" t="s">
        <v>389</v>
      </c>
      <c r="F4516" s="8" t="s">
        <v>2521</v>
      </c>
    </row>
    <row r="4517" spans="1:6" ht="60" x14ac:dyDescent="0.25">
      <c r="A4517" s="8" t="s">
        <v>125</v>
      </c>
      <c r="B4517" s="8" t="s">
        <v>145</v>
      </c>
      <c r="C4517" s="8" t="str">
        <f>IFERROR(_xlfn.XLOOKUP(TRIM(B4517),Lookup!$B$2:$B$1000,Lookup!$C$2:$C$1000),"")</f>
        <v>Hybrid</v>
      </c>
      <c r="D4517" s="8" t="str">
        <f>IFERROR(INDEX('nav master'!$C:$C, MATCH(B4517, 'nav master'!$B:$B, 0)), "")</f>
        <v>ULIF06914/06/19SecAdvFund101</v>
      </c>
      <c r="E4517" s="8" t="s">
        <v>391</v>
      </c>
      <c r="F4517" s="8" t="s">
        <v>4722</v>
      </c>
    </row>
    <row r="4518" spans="1:6" ht="60" x14ac:dyDescent="0.25">
      <c r="A4518" s="8" t="s">
        <v>125</v>
      </c>
      <c r="B4518" s="8" t="s">
        <v>145</v>
      </c>
      <c r="C4518" s="8" t="str">
        <f>IFERROR(_xlfn.XLOOKUP(TRIM(B4518),Lookup!$B$2:$B$1000,Lookup!$C$2:$C$1000),"")</f>
        <v>Hybrid</v>
      </c>
      <c r="D4518" s="8" t="str">
        <f>IFERROR(INDEX('nav master'!$C:$C, MATCH(B4518, 'nav master'!$B:$B, 0)), "")</f>
        <v>ULIF06914/06/19SecAdvFund101</v>
      </c>
      <c r="E4518" s="8" t="s">
        <v>393</v>
      </c>
      <c r="F4518" s="8" t="s">
        <v>4723</v>
      </c>
    </row>
    <row r="4519" spans="1:6" ht="60" x14ac:dyDescent="0.25">
      <c r="A4519" s="8" t="s">
        <v>125</v>
      </c>
      <c r="B4519" s="8" t="s">
        <v>145</v>
      </c>
      <c r="C4519" s="8" t="str">
        <f>IFERROR(_xlfn.XLOOKUP(TRIM(B4519),Lookup!$B$2:$B$1000,Lookup!$C$2:$C$1000),"")</f>
        <v>Hybrid</v>
      </c>
      <c r="D4519" s="8" t="str">
        <f>IFERROR(INDEX('nav master'!$C:$C, MATCH(B4519, 'nav master'!$B:$B, 0)), "")</f>
        <v>ULIF06914/06/19SecAdvFund101</v>
      </c>
      <c r="E4519" s="8" t="s">
        <v>395</v>
      </c>
      <c r="F4519" s="8" t="s">
        <v>4724</v>
      </c>
    </row>
    <row r="4520" spans="1:6" ht="60" x14ac:dyDescent="0.25">
      <c r="A4520" s="8" t="s">
        <v>125</v>
      </c>
      <c r="B4520" s="8" t="s">
        <v>145</v>
      </c>
      <c r="C4520" s="8" t="str">
        <f>IFERROR(_xlfn.XLOOKUP(TRIM(B4520),Lookup!$B$2:$B$1000,Lookup!$C$2:$C$1000),"")</f>
        <v>Hybrid</v>
      </c>
      <c r="D4520" s="8" t="str">
        <f>IFERROR(INDEX('nav master'!$C:$C, MATCH(B4520, 'nav master'!$B:$B, 0)), "")</f>
        <v>ULIF06914/06/19SecAdvFund101</v>
      </c>
      <c r="E4520" s="8" t="s">
        <v>397</v>
      </c>
      <c r="F4520" s="8" t="s">
        <v>4725</v>
      </c>
    </row>
    <row r="4521" spans="1:6" ht="60" x14ac:dyDescent="0.25">
      <c r="A4521" s="8" t="s">
        <v>125</v>
      </c>
      <c r="B4521" s="8" t="s">
        <v>145</v>
      </c>
      <c r="C4521" s="8" t="str">
        <f>IFERROR(_xlfn.XLOOKUP(TRIM(B4521),Lookup!$B$2:$B$1000,Lookup!$C$2:$C$1000),"")</f>
        <v>Hybrid</v>
      </c>
      <c r="D4521" s="8" t="str">
        <f>IFERROR(INDEX('nav master'!$C:$C, MATCH(B4521, 'nav master'!$B:$B, 0)), "")</f>
        <v>ULIF06914/06/19SecAdvFund101</v>
      </c>
      <c r="E4521" s="8" t="s">
        <v>399</v>
      </c>
      <c r="F4521" s="8" t="s">
        <v>4726</v>
      </c>
    </row>
    <row r="4522" spans="1:6" ht="60" x14ac:dyDescent="0.25">
      <c r="A4522" s="8" t="s">
        <v>125</v>
      </c>
      <c r="B4522" s="8" t="s">
        <v>145</v>
      </c>
      <c r="C4522" s="8" t="str">
        <f>IFERROR(_xlfn.XLOOKUP(TRIM(B4522),Lookup!$B$2:$B$1000,Lookup!$C$2:$C$1000),"")</f>
        <v>Hybrid</v>
      </c>
      <c r="D4522" s="8" t="str">
        <f>IFERROR(INDEX('nav master'!$C:$C, MATCH(B4522, 'nav master'!$B:$B, 0)), "")</f>
        <v>ULIF06914/06/19SecAdvFund101</v>
      </c>
      <c r="E4522" s="8" t="s">
        <v>401</v>
      </c>
      <c r="F4522" s="8" t="s">
        <v>4727</v>
      </c>
    </row>
    <row r="4523" spans="1:6" ht="60" x14ac:dyDescent="0.25">
      <c r="A4523" s="8" t="s">
        <v>125</v>
      </c>
      <c r="B4523" s="8" t="s">
        <v>145</v>
      </c>
      <c r="C4523" s="8" t="str">
        <f>IFERROR(_xlfn.XLOOKUP(TRIM(B4523),Lookup!$B$2:$B$1000,Lookup!$C$2:$C$1000),"")</f>
        <v>Hybrid</v>
      </c>
      <c r="D4523" s="8" t="str">
        <f>IFERROR(INDEX('nav master'!$C:$C, MATCH(B4523, 'nav master'!$B:$B, 0)), "")</f>
        <v>ULIF06914/06/19SecAdvFund101</v>
      </c>
      <c r="E4523" s="8" t="s">
        <v>403</v>
      </c>
      <c r="F4523" s="8" t="s">
        <v>4728</v>
      </c>
    </row>
    <row r="4524" spans="1:6" ht="60" x14ac:dyDescent="0.25">
      <c r="A4524" s="8" t="s">
        <v>125</v>
      </c>
      <c r="B4524" s="8" t="s">
        <v>145</v>
      </c>
      <c r="C4524" s="8" t="str">
        <f>IFERROR(_xlfn.XLOOKUP(TRIM(B4524),Lookup!$B$2:$B$1000,Lookup!$C$2:$C$1000),"")</f>
        <v>Hybrid</v>
      </c>
      <c r="D4524" s="8" t="str">
        <f>IFERROR(INDEX('nav master'!$C:$C, MATCH(B4524, 'nav master'!$B:$B, 0)), "")</f>
        <v>ULIF06914/06/19SecAdvFund101</v>
      </c>
      <c r="E4524" s="8" t="s">
        <v>405</v>
      </c>
      <c r="F4524" s="8" t="s">
        <v>4729</v>
      </c>
    </row>
    <row r="4525" spans="1:6" ht="60" x14ac:dyDescent="0.25">
      <c r="A4525" s="8" t="s">
        <v>125</v>
      </c>
      <c r="B4525" s="8" t="s">
        <v>145</v>
      </c>
      <c r="C4525" s="8" t="str">
        <f>IFERROR(_xlfn.XLOOKUP(TRIM(B4525),Lookup!$B$2:$B$1000,Lookup!$C$2:$C$1000),"")</f>
        <v>Hybrid</v>
      </c>
      <c r="D4525" s="8" t="str">
        <f>IFERROR(INDEX('nav master'!$C:$C, MATCH(B4525, 'nav master'!$B:$B, 0)), "")</f>
        <v>ULIF06914/06/19SecAdvFund101</v>
      </c>
      <c r="E4525" s="8" t="s">
        <v>407</v>
      </c>
      <c r="F4525" s="8" t="s">
        <v>4730</v>
      </c>
    </row>
    <row r="4526" spans="1:6" ht="60" x14ac:dyDescent="0.25">
      <c r="A4526" s="8" t="s">
        <v>125</v>
      </c>
      <c r="B4526" s="8" t="s">
        <v>145</v>
      </c>
      <c r="C4526" s="8" t="str">
        <f>IFERROR(_xlfn.XLOOKUP(TRIM(B4526),Lookup!$B$2:$B$1000,Lookup!$C$2:$C$1000),"")</f>
        <v>Hybrid</v>
      </c>
      <c r="D4526" s="8" t="str">
        <f>IFERROR(INDEX('nav master'!$C:$C, MATCH(B4526, 'nav master'!$B:$B, 0)), "")</f>
        <v>ULIF06914/06/19SecAdvFund101</v>
      </c>
      <c r="E4526" s="8" t="s">
        <v>409</v>
      </c>
      <c r="F4526" s="8" t="s">
        <v>4731</v>
      </c>
    </row>
    <row r="4527" spans="1:6" ht="60" x14ac:dyDescent="0.25">
      <c r="A4527" s="8" t="s">
        <v>125</v>
      </c>
      <c r="B4527" s="8" t="s">
        <v>145</v>
      </c>
      <c r="C4527" s="8" t="str">
        <f>IFERROR(_xlfn.XLOOKUP(TRIM(B4527),Lookup!$B$2:$B$1000,Lookup!$C$2:$C$1000),"")</f>
        <v>Hybrid</v>
      </c>
      <c r="D4527" s="8" t="str">
        <f>IFERROR(INDEX('nav master'!$C:$C, MATCH(B4527, 'nav master'!$B:$B, 0)), "")</f>
        <v>ULIF06914/06/19SecAdvFund101</v>
      </c>
      <c r="E4527" s="8" t="s">
        <v>411</v>
      </c>
      <c r="F4527" s="8" t="s">
        <v>4732</v>
      </c>
    </row>
    <row r="4528" spans="1:6" ht="60" x14ac:dyDescent="0.25">
      <c r="A4528" s="8" t="s">
        <v>125</v>
      </c>
      <c r="B4528" s="8" t="s">
        <v>145</v>
      </c>
      <c r="C4528" s="8" t="str">
        <f>IFERROR(_xlfn.XLOOKUP(TRIM(B4528),Lookup!$B$2:$B$1000,Lookup!$C$2:$C$1000),"")</f>
        <v>Hybrid</v>
      </c>
      <c r="D4528" s="8" t="str">
        <f>IFERROR(INDEX('nav master'!$C:$C, MATCH(B4528, 'nav master'!$B:$B, 0)), "")</f>
        <v>ULIF06914/06/19SecAdvFund101</v>
      </c>
      <c r="E4528" s="8" t="s">
        <v>413</v>
      </c>
      <c r="F4528" s="8" t="s">
        <v>4733</v>
      </c>
    </row>
    <row r="4529" spans="1:6" ht="60" x14ac:dyDescent="0.25">
      <c r="A4529" s="8" t="s">
        <v>125</v>
      </c>
      <c r="B4529" s="8" t="s">
        <v>145</v>
      </c>
      <c r="C4529" s="8" t="str">
        <f>IFERROR(_xlfn.XLOOKUP(TRIM(B4529),Lookup!$B$2:$B$1000,Lookup!$C$2:$C$1000),"")</f>
        <v>Hybrid</v>
      </c>
      <c r="D4529" s="8" t="str">
        <f>IFERROR(INDEX('nav master'!$C:$C, MATCH(B4529, 'nav master'!$B:$B, 0)), "")</f>
        <v>ULIF06914/06/19SecAdvFund101</v>
      </c>
      <c r="E4529" s="8" t="s">
        <v>415</v>
      </c>
      <c r="F4529" s="8" t="s">
        <v>4681</v>
      </c>
    </row>
    <row r="4530" spans="1:6" ht="60" x14ac:dyDescent="0.25">
      <c r="A4530" s="8" t="s">
        <v>125</v>
      </c>
      <c r="B4530" s="8" t="s">
        <v>145</v>
      </c>
      <c r="C4530" s="8" t="str">
        <f>IFERROR(_xlfn.XLOOKUP(TRIM(B4530),Lookup!$B$2:$B$1000,Lookup!$C$2:$C$1000),"")</f>
        <v>Hybrid</v>
      </c>
      <c r="D4530" s="8" t="str">
        <f>IFERROR(INDEX('nav master'!$C:$C, MATCH(B4530, 'nav master'!$B:$B, 0)), "")</f>
        <v>ULIF06914/06/19SecAdvFund101</v>
      </c>
      <c r="E4530" s="8" t="s">
        <v>417</v>
      </c>
      <c r="F4530" s="8" t="s">
        <v>4734</v>
      </c>
    </row>
    <row r="4531" spans="1:6" ht="60" x14ac:dyDescent="0.25">
      <c r="A4531" s="8" t="s">
        <v>125</v>
      </c>
      <c r="B4531" s="8" t="s">
        <v>145</v>
      </c>
      <c r="C4531" s="8" t="str">
        <f>IFERROR(_xlfn.XLOOKUP(TRIM(B4531),Lookup!$B$2:$B$1000,Lookup!$C$2:$C$1000),"")</f>
        <v>Hybrid</v>
      </c>
      <c r="D4531" s="8" t="str">
        <f>IFERROR(INDEX('nav master'!$C:$C, MATCH(B4531, 'nav master'!$B:$B, 0)), "")</f>
        <v>ULIF06914/06/19SecAdvFund101</v>
      </c>
      <c r="E4531" s="8" t="s">
        <v>419</v>
      </c>
      <c r="F4531" s="8" t="s">
        <v>4735</v>
      </c>
    </row>
    <row r="4532" spans="1:6" ht="60" x14ac:dyDescent="0.25">
      <c r="A4532" s="8" t="s">
        <v>125</v>
      </c>
      <c r="B4532" s="8" t="s">
        <v>145</v>
      </c>
      <c r="C4532" s="8" t="str">
        <f>IFERROR(_xlfn.XLOOKUP(TRIM(B4532),Lookup!$B$2:$B$1000,Lookup!$C$2:$C$1000),"")</f>
        <v>Hybrid</v>
      </c>
      <c r="D4532" s="8" t="str">
        <f>IFERROR(INDEX('nav master'!$C:$C, MATCH(B4532, 'nav master'!$B:$B, 0)), "")</f>
        <v>ULIF06914/06/19SecAdvFund101</v>
      </c>
      <c r="E4532" s="8" t="s">
        <v>421</v>
      </c>
      <c r="F4532" s="8" t="s">
        <v>4736</v>
      </c>
    </row>
    <row r="4533" spans="1:6" ht="60" x14ac:dyDescent="0.25">
      <c r="A4533" s="8" t="s">
        <v>125</v>
      </c>
      <c r="B4533" s="8" t="s">
        <v>145</v>
      </c>
      <c r="C4533" s="8" t="str">
        <f>IFERROR(_xlfn.XLOOKUP(TRIM(B4533),Lookup!$B$2:$B$1000,Lookup!$C$2:$C$1000),"")</f>
        <v>Hybrid</v>
      </c>
      <c r="D4533" s="8" t="str">
        <f>IFERROR(INDEX('nav master'!$C:$C, MATCH(B4533, 'nav master'!$B:$B, 0)), "")</f>
        <v>ULIF06914/06/19SecAdvFund101</v>
      </c>
      <c r="E4533" s="8" t="s">
        <v>423</v>
      </c>
      <c r="F4533" s="8" t="s">
        <v>4737</v>
      </c>
    </row>
    <row r="4534" spans="1:6" ht="60" x14ac:dyDescent="0.25">
      <c r="A4534" s="8" t="s">
        <v>125</v>
      </c>
      <c r="B4534" s="8" t="s">
        <v>145</v>
      </c>
      <c r="C4534" s="8" t="str">
        <f>IFERROR(_xlfn.XLOOKUP(TRIM(B4534),Lookup!$B$2:$B$1000,Lookup!$C$2:$C$1000),"")</f>
        <v>Hybrid</v>
      </c>
      <c r="D4534" s="8" t="str">
        <f>IFERROR(INDEX('nav master'!$C:$C, MATCH(B4534, 'nav master'!$B:$B, 0)), "")</f>
        <v>ULIF06914/06/19SecAdvFund101</v>
      </c>
      <c r="E4534" s="8" t="s">
        <v>425</v>
      </c>
      <c r="F4534" s="8" t="s">
        <v>4738</v>
      </c>
    </row>
    <row r="4535" spans="1:6" ht="60" x14ac:dyDescent="0.25">
      <c r="A4535" s="8" t="s">
        <v>125</v>
      </c>
      <c r="B4535" s="8" t="s">
        <v>145</v>
      </c>
      <c r="C4535" s="8" t="str">
        <f>IFERROR(_xlfn.XLOOKUP(TRIM(B4535),Lookup!$B$2:$B$1000,Lookup!$C$2:$C$1000),"")</f>
        <v>Hybrid</v>
      </c>
      <c r="D4535" s="8" t="str">
        <f>IFERROR(INDEX('nav master'!$C:$C, MATCH(B4535, 'nav master'!$B:$B, 0)), "")</f>
        <v>ULIF06914/06/19SecAdvFund101</v>
      </c>
      <c r="E4535" s="8" t="s">
        <v>427</v>
      </c>
      <c r="F4535" s="8" t="s">
        <v>4739</v>
      </c>
    </row>
    <row r="4536" spans="1:6" ht="60" x14ac:dyDescent="0.25">
      <c r="A4536" s="8" t="s">
        <v>125</v>
      </c>
      <c r="B4536" s="8" t="s">
        <v>145</v>
      </c>
      <c r="C4536" s="8" t="str">
        <f>IFERROR(_xlfn.XLOOKUP(TRIM(B4536),Lookup!$B$2:$B$1000,Lookup!$C$2:$C$1000),"")</f>
        <v>Hybrid</v>
      </c>
      <c r="D4536" s="8" t="str">
        <f>IFERROR(INDEX('nav master'!$C:$C, MATCH(B4536, 'nav master'!$B:$B, 0)), "")</f>
        <v>ULIF06914/06/19SecAdvFund101</v>
      </c>
      <c r="E4536" s="8" t="s">
        <v>429</v>
      </c>
      <c r="F4536" s="8" t="s">
        <v>4740</v>
      </c>
    </row>
    <row r="4537" spans="1:6" ht="60" x14ac:dyDescent="0.25">
      <c r="A4537" s="8" t="s">
        <v>125</v>
      </c>
      <c r="B4537" s="8" t="s">
        <v>145</v>
      </c>
      <c r="C4537" s="8" t="str">
        <f>IFERROR(_xlfn.XLOOKUP(TRIM(B4537),Lookup!$B$2:$B$1000,Lookup!$C$2:$C$1000),"")</f>
        <v>Hybrid</v>
      </c>
      <c r="D4537" s="8" t="str">
        <f>IFERROR(INDEX('nav master'!$C:$C, MATCH(B4537, 'nav master'!$B:$B, 0)), "")</f>
        <v>ULIF06914/06/19SecAdvFund101</v>
      </c>
      <c r="E4537" s="8" t="s">
        <v>431</v>
      </c>
      <c r="F4537" s="8" t="s">
        <v>4741</v>
      </c>
    </row>
    <row r="4538" spans="1:6" ht="60" x14ac:dyDescent="0.25">
      <c r="A4538" s="8" t="s">
        <v>125</v>
      </c>
      <c r="B4538" s="8" t="s">
        <v>145</v>
      </c>
      <c r="C4538" s="8" t="str">
        <f>IFERROR(_xlfn.XLOOKUP(TRIM(B4538),Lookup!$B$2:$B$1000,Lookup!$C$2:$C$1000),"")</f>
        <v>Hybrid</v>
      </c>
      <c r="D4538" s="8" t="str">
        <f>IFERROR(INDEX('nav master'!$C:$C, MATCH(B4538, 'nav master'!$B:$B, 0)), "")</f>
        <v>ULIF06914/06/19SecAdvFund101</v>
      </c>
      <c r="E4538" s="8" t="s">
        <v>433</v>
      </c>
      <c r="F4538" s="8" t="s">
        <v>4687</v>
      </c>
    </row>
    <row r="4539" spans="1:6" ht="60" x14ac:dyDescent="0.25">
      <c r="A4539" s="8" t="s">
        <v>125</v>
      </c>
      <c r="B4539" s="8" t="s">
        <v>145</v>
      </c>
      <c r="C4539" s="8" t="str">
        <f>IFERROR(_xlfn.XLOOKUP(TRIM(B4539),Lookup!$B$2:$B$1000,Lookup!$C$2:$C$1000),"")</f>
        <v>Hybrid</v>
      </c>
      <c r="D4539" s="8" t="str">
        <f>IFERROR(INDEX('nav master'!$C:$C, MATCH(B4539, 'nav master'!$B:$B, 0)), "")</f>
        <v>ULIF06914/06/19SecAdvFund101</v>
      </c>
      <c r="E4539" s="8" t="s">
        <v>435</v>
      </c>
      <c r="F4539" s="8" t="s">
        <v>4742</v>
      </c>
    </row>
    <row r="4540" spans="1:6" ht="60" x14ac:dyDescent="0.25">
      <c r="A4540" s="8" t="s">
        <v>125</v>
      </c>
      <c r="B4540" s="8" t="s">
        <v>145</v>
      </c>
      <c r="C4540" s="8" t="str">
        <f>IFERROR(_xlfn.XLOOKUP(TRIM(B4540),Lookup!$B$2:$B$1000,Lookup!$C$2:$C$1000),"")</f>
        <v>Hybrid</v>
      </c>
      <c r="D4540" s="8" t="str">
        <f>IFERROR(INDEX('nav master'!$C:$C, MATCH(B4540, 'nav master'!$B:$B, 0)), "")</f>
        <v>ULIF06914/06/19SecAdvFund101</v>
      </c>
      <c r="E4540" s="8" t="s">
        <v>437</v>
      </c>
      <c r="F4540" s="8" t="s">
        <v>4743</v>
      </c>
    </row>
    <row r="4541" spans="1:6" ht="60" x14ac:dyDescent="0.25">
      <c r="A4541" s="8" t="s">
        <v>125</v>
      </c>
      <c r="B4541" s="8" t="s">
        <v>145</v>
      </c>
      <c r="C4541" s="8" t="str">
        <f>IFERROR(_xlfn.XLOOKUP(TRIM(B4541),Lookup!$B$2:$B$1000,Lookup!$C$2:$C$1000),"")</f>
        <v>Hybrid</v>
      </c>
      <c r="D4541" s="8" t="str">
        <f>IFERROR(INDEX('nav master'!$C:$C, MATCH(B4541, 'nav master'!$B:$B, 0)), "")</f>
        <v>ULIF06914/06/19SecAdvFund101</v>
      </c>
      <c r="E4541" s="8" t="s">
        <v>439</v>
      </c>
      <c r="F4541" s="8" t="s">
        <v>4744</v>
      </c>
    </row>
    <row r="4542" spans="1:6" ht="60" x14ac:dyDescent="0.25">
      <c r="A4542" s="8" t="s">
        <v>125</v>
      </c>
      <c r="B4542" s="8" t="s">
        <v>145</v>
      </c>
      <c r="C4542" s="8" t="str">
        <f>IFERROR(_xlfn.XLOOKUP(TRIM(B4542),Lookup!$B$2:$B$1000,Lookup!$C$2:$C$1000),"")</f>
        <v>Hybrid</v>
      </c>
      <c r="D4542" s="8" t="str">
        <f>IFERROR(INDEX('nav master'!$C:$C, MATCH(B4542, 'nav master'!$B:$B, 0)), "")</f>
        <v>ULIF06914/06/19SecAdvFund101</v>
      </c>
      <c r="E4542" s="8" t="s">
        <v>441</v>
      </c>
      <c r="F4542" s="8" t="s">
        <v>4745</v>
      </c>
    </row>
    <row r="4543" spans="1:6" ht="60" x14ac:dyDescent="0.25">
      <c r="A4543" s="8" t="s">
        <v>125</v>
      </c>
      <c r="B4543" s="8" t="s">
        <v>145</v>
      </c>
      <c r="C4543" s="8" t="str">
        <f>IFERROR(_xlfn.XLOOKUP(TRIM(B4543),Lookup!$B$2:$B$1000,Lookup!$C$2:$C$1000),"")</f>
        <v>Hybrid</v>
      </c>
      <c r="D4543" s="8" t="str">
        <f>IFERROR(INDEX('nav master'!$C:$C, MATCH(B4543, 'nav master'!$B:$B, 0)), "")</f>
        <v>ULIF06914/06/19SecAdvFund101</v>
      </c>
      <c r="E4543" s="8" t="s">
        <v>443</v>
      </c>
      <c r="F4543" s="8" t="s">
        <v>4746</v>
      </c>
    </row>
    <row r="4544" spans="1:6" ht="60" x14ac:dyDescent="0.25">
      <c r="A4544" s="8" t="s">
        <v>125</v>
      </c>
      <c r="B4544" s="8" t="s">
        <v>145</v>
      </c>
      <c r="C4544" s="8" t="str">
        <f>IFERROR(_xlfn.XLOOKUP(TRIM(B4544),Lookup!$B$2:$B$1000,Lookup!$C$2:$C$1000),"")</f>
        <v>Hybrid</v>
      </c>
      <c r="D4544" s="8" t="str">
        <f>IFERROR(INDEX('nav master'!$C:$C, MATCH(B4544, 'nav master'!$B:$B, 0)), "")</f>
        <v>ULIF06914/06/19SecAdvFund101</v>
      </c>
      <c r="E4544" s="8" t="s">
        <v>445</v>
      </c>
      <c r="F4544" s="8" t="s">
        <v>4747</v>
      </c>
    </row>
    <row r="4545" spans="1:6" ht="60" x14ac:dyDescent="0.25">
      <c r="A4545" s="8" t="s">
        <v>125</v>
      </c>
      <c r="B4545" s="8" t="s">
        <v>145</v>
      </c>
      <c r="C4545" s="8" t="str">
        <f>IFERROR(_xlfn.XLOOKUP(TRIM(B4545),Lookup!$B$2:$B$1000,Lookup!$C$2:$C$1000),"")</f>
        <v>Hybrid</v>
      </c>
      <c r="D4545" s="8" t="str">
        <f>IFERROR(INDEX('nav master'!$C:$C, MATCH(B4545, 'nav master'!$B:$B, 0)), "")</f>
        <v>ULIF06914/06/19SecAdvFund101</v>
      </c>
      <c r="E4545" s="8" t="s">
        <v>446</v>
      </c>
      <c r="F4545" s="8" t="s">
        <v>4748</v>
      </c>
    </row>
    <row r="4546" spans="1:6" ht="60" x14ac:dyDescent="0.25">
      <c r="A4546" s="8" t="s">
        <v>125</v>
      </c>
      <c r="B4546" s="8" t="s">
        <v>145</v>
      </c>
      <c r="C4546" s="8" t="str">
        <f>IFERROR(_xlfn.XLOOKUP(TRIM(B4546),Lookup!$B$2:$B$1000,Lookup!$C$2:$C$1000),"")</f>
        <v>Hybrid</v>
      </c>
      <c r="D4546" s="8" t="str">
        <f>IFERROR(INDEX('nav master'!$C:$C, MATCH(B4546, 'nav master'!$B:$B, 0)), "")</f>
        <v>ULIF06914/06/19SecAdvFund101</v>
      </c>
      <c r="E4546" s="8" t="s">
        <v>448</v>
      </c>
      <c r="F4546" s="8" t="s">
        <v>4749</v>
      </c>
    </row>
    <row r="4547" spans="1:6" ht="60" x14ac:dyDescent="0.25">
      <c r="A4547" s="8" t="s">
        <v>125</v>
      </c>
      <c r="B4547" s="8" t="s">
        <v>145</v>
      </c>
      <c r="C4547" s="8" t="str">
        <f>IFERROR(_xlfn.XLOOKUP(TRIM(B4547),Lookup!$B$2:$B$1000,Lookup!$C$2:$C$1000),"")</f>
        <v>Hybrid</v>
      </c>
      <c r="D4547" s="8" t="str">
        <f>IFERROR(INDEX('nav master'!$C:$C, MATCH(B4547, 'nav master'!$B:$B, 0)), "")</f>
        <v>ULIF06914/06/19SecAdvFund101</v>
      </c>
      <c r="E4547" s="8" t="s">
        <v>450</v>
      </c>
      <c r="F4547" s="8" t="s">
        <v>4750</v>
      </c>
    </row>
    <row r="4548" spans="1:6" ht="60" x14ac:dyDescent="0.25">
      <c r="A4548" s="8" t="s">
        <v>125</v>
      </c>
      <c r="B4548" s="8" t="s">
        <v>145</v>
      </c>
      <c r="C4548" s="8" t="str">
        <f>IFERROR(_xlfn.XLOOKUP(TRIM(B4548),Lookup!$B$2:$B$1000,Lookup!$C$2:$C$1000),"")</f>
        <v>Hybrid</v>
      </c>
      <c r="D4548" s="8" t="str">
        <f>IFERROR(INDEX('nav master'!$C:$C, MATCH(B4548, 'nav master'!$B:$B, 0)), "")</f>
        <v>ULIF06914/06/19SecAdvFund101</v>
      </c>
      <c r="E4548" s="8" t="s">
        <v>452</v>
      </c>
      <c r="F4548" s="8" t="s">
        <v>4751</v>
      </c>
    </row>
    <row r="4549" spans="1:6" ht="60" x14ac:dyDescent="0.25">
      <c r="A4549" s="8" t="s">
        <v>125</v>
      </c>
      <c r="B4549" s="8" t="s">
        <v>145</v>
      </c>
      <c r="C4549" s="8" t="str">
        <f>IFERROR(_xlfn.XLOOKUP(TRIM(B4549),Lookup!$B$2:$B$1000,Lookup!$C$2:$C$1000),"")</f>
        <v>Hybrid</v>
      </c>
      <c r="D4549" s="8" t="str">
        <f>IFERROR(INDEX('nav master'!$C:$C, MATCH(B4549, 'nav master'!$B:$B, 0)), "")</f>
        <v>ULIF06914/06/19SecAdvFund101</v>
      </c>
      <c r="E4549" s="8" t="s">
        <v>454</v>
      </c>
      <c r="F4549" s="8" t="s">
        <v>4752</v>
      </c>
    </row>
    <row r="4550" spans="1:6" ht="60" x14ac:dyDescent="0.25">
      <c r="A4550" s="8" t="s">
        <v>125</v>
      </c>
      <c r="B4550" s="8" t="s">
        <v>145</v>
      </c>
      <c r="C4550" s="8" t="str">
        <f>IFERROR(_xlfn.XLOOKUP(TRIM(B4550),Lookup!$B$2:$B$1000,Lookup!$C$2:$C$1000),"")</f>
        <v>Hybrid</v>
      </c>
      <c r="D4550" s="8" t="str">
        <f>IFERROR(INDEX('nav master'!$C:$C, MATCH(B4550, 'nav master'!$B:$B, 0)), "")</f>
        <v>ULIF06914/06/19SecAdvFund101</v>
      </c>
      <c r="E4550" s="8" t="s">
        <v>456</v>
      </c>
      <c r="F4550" s="8" t="s">
        <v>2285</v>
      </c>
    </row>
    <row r="4551" spans="1:6" ht="60" x14ac:dyDescent="0.25">
      <c r="A4551" s="8" t="s">
        <v>125</v>
      </c>
      <c r="B4551" s="8" t="s">
        <v>145</v>
      </c>
      <c r="C4551" s="8" t="str">
        <f>IFERROR(_xlfn.XLOOKUP(TRIM(B4551),Lookup!$B$2:$B$1000,Lookup!$C$2:$C$1000),"")</f>
        <v>Hybrid</v>
      </c>
      <c r="D4551" s="8" t="str">
        <f>IFERROR(INDEX('nav master'!$C:$C, MATCH(B4551, 'nav master'!$B:$B, 0)), "")</f>
        <v>ULIF06914/06/19SecAdvFund101</v>
      </c>
      <c r="E4551" s="8" t="s">
        <v>458</v>
      </c>
      <c r="F4551" s="8" t="s">
        <v>4753</v>
      </c>
    </row>
    <row r="4552" spans="1:6" ht="60" x14ac:dyDescent="0.25">
      <c r="A4552" s="8" t="s">
        <v>125</v>
      </c>
      <c r="B4552" s="8" t="s">
        <v>145</v>
      </c>
      <c r="C4552" s="8" t="str">
        <f>IFERROR(_xlfn.XLOOKUP(TRIM(B4552),Lookup!$B$2:$B$1000,Lookup!$C$2:$C$1000),"")</f>
        <v>Hybrid</v>
      </c>
      <c r="D4552" s="8" t="str">
        <f>IFERROR(INDEX('nav master'!$C:$C, MATCH(B4552, 'nav master'!$B:$B, 0)), "")</f>
        <v>ULIF06914/06/19SecAdvFund101</v>
      </c>
      <c r="E4552" s="8" t="s">
        <v>460</v>
      </c>
      <c r="F4552" s="8" t="s">
        <v>4754</v>
      </c>
    </row>
    <row r="4553" spans="1:6" ht="60" x14ac:dyDescent="0.25">
      <c r="A4553" s="8" t="s">
        <v>125</v>
      </c>
      <c r="B4553" s="8" t="s">
        <v>145</v>
      </c>
      <c r="C4553" s="8" t="str">
        <f>IFERROR(_xlfn.XLOOKUP(TRIM(B4553),Lookup!$B$2:$B$1000,Lookup!$C$2:$C$1000),"")</f>
        <v>Hybrid</v>
      </c>
      <c r="D4553" s="8" t="str">
        <f>IFERROR(INDEX('nav master'!$C:$C, MATCH(B4553, 'nav master'!$B:$B, 0)), "")</f>
        <v>ULIF06914/06/19SecAdvFund101</v>
      </c>
      <c r="E4553" s="8" t="s">
        <v>462</v>
      </c>
      <c r="F4553" s="8" t="s">
        <v>4755</v>
      </c>
    </row>
    <row r="4554" spans="1:6" ht="60" x14ac:dyDescent="0.25">
      <c r="A4554" s="8" t="s">
        <v>125</v>
      </c>
      <c r="B4554" s="8" t="s">
        <v>145</v>
      </c>
      <c r="C4554" s="8" t="str">
        <f>IFERROR(_xlfn.XLOOKUP(TRIM(B4554),Lookup!$B$2:$B$1000,Lookup!$C$2:$C$1000),"")</f>
        <v>Hybrid</v>
      </c>
      <c r="D4554" s="8" t="str">
        <f>IFERROR(INDEX('nav master'!$C:$C, MATCH(B4554, 'nav master'!$B:$B, 0)), "")</f>
        <v>ULIF06914/06/19SecAdvFund101</v>
      </c>
      <c r="E4554" s="8" t="s">
        <v>464</v>
      </c>
      <c r="F4554" s="8" t="s">
        <v>4756</v>
      </c>
    </row>
    <row r="4555" spans="1:6" ht="60" x14ac:dyDescent="0.25">
      <c r="A4555" s="8" t="s">
        <v>125</v>
      </c>
      <c r="B4555" s="8" t="s">
        <v>145</v>
      </c>
      <c r="C4555" s="8" t="str">
        <f>IFERROR(_xlfn.XLOOKUP(TRIM(B4555),Lookup!$B$2:$B$1000,Lookup!$C$2:$C$1000),"")</f>
        <v>Hybrid</v>
      </c>
      <c r="D4555" s="8" t="str">
        <f>IFERROR(INDEX('nav master'!$C:$C, MATCH(B4555, 'nav master'!$B:$B, 0)), "")</f>
        <v>ULIF06914/06/19SecAdvFund101</v>
      </c>
      <c r="E4555" s="8" t="s">
        <v>466</v>
      </c>
      <c r="F4555" s="8" t="s">
        <v>4757</v>
      </c>
    </row>
    <row r="4556" spans="1:6" ht="60" x14ac:dyDescent="0.25">
      <c r="A4556" s="8" t="s">
        <v>125</v>
      </c>
      <c r="B4556" s="8" t="s">
        <v>145</v>
      </c>
      <c r="C4556" s="8" t="str">
        <f>IFERROR(_xlfn.XLOOKUP(TRIM(B4556),Lookup!$B$2:$B$1000,Lookup!$C$2:$C$1000),"")</f>
        <v>Hybrid</v>
      </c>
      <c r="D4556" s="8" t="str">
        <f>IFERROR(INDEX('nav master'!$C:$C, MATCH(B4556, 'nav master'!$B:$B, 0)), "")</f>
        <v>ULIF06914/06/19SecAdvFund101</v>
      </c>
      <c r="E4556" s="8" t="s">
        <v>468</v>
      </c>
      <c r="F4556" s="8" t="s">
        <v>4758</v>
      </c>
    </row>
    <row r="4557" spans="1:6" ht="60" x14ac:dyDescent="0.25">
      <c r="A4557" s="8" t="s">
        <v>125</v>
      </c>
      <c r="B4557" s="8" t="s">
        <v>145</v>
      </c>
      <c r="C4557" s="8" t="str">
        <f>IFERROR(_xlfn.XLOOKUP(TRIM(B4557),Lookup!$B$2:$B$1000,Lookup!$C$2:$C$1000),"")</f>
        <v>Hybrid</v>
      </c>
      <c r="D4557" s="8" t="str">
        <f>IFERROR(INDEX('nav master'!$C:$C, MATCH(B4557, 'nav master'!$B:$B, 0)), "")</f>
        <v>ULIF06914/06/19SecAdvFund101</v>
      </c>
      <c r="E4557" s="8" t="s">
        <v>470</v>
      </c>
      <c r="F4557" s="8" t="s">
        <v>4759</v>
      </c>
    </row>
    <row r="4558" spans="1:6" ht="60" x14ac:dyDescent="0.25">
      <c r="A4558" s="8" t="s">
        <v>125</v>
      </c>
      <c r="B4558" s="8" t="s">
        <v>145</v>
      </c>
      <c r="C4558" s="8" t="str">
        <f>IFERROR(_xlfn.XLOOKUP(TRIM(B4558),Lookup!$B$2:$B$1000,Lookup!$C$2:$C$1000),"")</f>
        <v>Hybrid</v>
      </c>
      <c r="D4558" s="8" t="str">
        <f>IFERROR(INDEX('nav master'!$C:$C, MATCH(B4558, 'nav master'!$B:$B, 0)), "")</f>
        <v>ULIF06914/06/19SecAdvFund101</v>
      </c>
      <c r="E4558" s="8" t="s">
        <v>472</v>
      </c>
      <c r="F4558" s="8" t="s">
        <v>4760</v>
      </c>
    </row>
    <row r="4559" spans="1:6" ht="60" x14ac:dyDescent="0.25">
      <c r="A4559" s="8" t="s">
        <v>125</v>
      </c>
      <c r="B4559" s="8" t="s">
        <v>145</v>
      </c>
      <c r="C4559" s="8" t="str">
        <f>IFERROR(_xlfn.XLOOKUP(TRIM(B4559),Lookup!$B$2:$B$1000,Lookup!$C$2:$C$1000),"")</f>
        <v>Hybrid</v>
      </c>
      <c r="D4559" s="8" t="str">
        <f>IFERROR(INDEX('nav master'!$C:$C, MATCH(B4559, 'nav master'!$B:$B, 0)), "")</f>
        <v>ULIF06914/06/19SecAdvFund101</v>
      </c>
      <c r="E4559" s="8" t="s">
        <v>474</v>
      </c>
      <c r="F4559" s="8" t="s">
        <v>4761</v>
      </c>
    </row>
    <row r="4560" spans="1:6" ht="60" x14ac:dyDescent="0.25">
      <c r="A4560" s="8" t="s">
        <v>125</v>
      </c>
      <c r="B4560" s="8" t="s">
        <v>145</v>
      </c>
      <c r="C4560" s="8" t="str">
        <f>IFERROR(_xlfn.XLOOKUP(TRIM(B4560),Lookup!$B$2:$B$1000,Lookup!$C$2:$C$1000),"")</f>
        <v>Hybrid</v>
      </c>
      <c r="D4560" s="8" t="str">
        <f>IFERROR(INDEX('nav master'!$C:$C, MATCH(B4560, 'nav master'!$B:$B, 0)), "")</f>
        <v>ULIF06914/06/19SecAdvFund101</v>
      </c>
      <c r="E4560" s="8" t="s">
        <v>476</v>
      </c>
      <c r="F4560" s="8" t="s">
        <v>2333</v>
      </c>
    </row>
    <row r="4561" spans="1:6" ht="60" x14ac:dyDescent="0.25">
      <c r="A4561" s="8" t="s">
        <v>125</v>
      </c>
      <c r="B4561" s="8" t="s">
        <v>145</v>
      </c>
      <c r="C4561" s="8" t="str">
        <f>IFERROR(_xlfn.XLOOKUP(TRIM(B4561),Lookup!$B$2:$B$1000,Lookup!$C$2:$C$1000),"")</f>
        <v>Hybrid</v>
      </c>
      <c r="D4561" s="8" t="str">
        <f>IFERROR(INDEX('nav master'!$C:$C, MATCH(B4561, 'nav master'!$B:$B, 0)), "")</f>
        <v>ULIF06914/06/19SecAdvFund101</v>
      </c>
      <c r="E4561" s="8" t="s">
        <v>478</v>
      </c>
      <c r="F4561" s="8" t="s">
        <v>4762</v>
      </c>
    </row>
    <row r="4562" spans="1:6" ht="60" x14ac:dyDescent="0.25">
      <c r="A4562" s="8" t="s">
        <v>125</v>
      </c>
      <c r="B4562" s="8" t="s">
        <v>145</v>
      </c>
      <c r="C4562" s="8" t="str">
        <f>IFERROR(_xlfn.XLOOKUP(TRIM(B4562),Lookup!$B$2:$B$1000,Lookup!$C$2:$C$1000),"")</f>
        <v>Hybrid</v>
      </c>
      <c r="D4562" s="8" t="str">
        <f>IFERROR(INDEX('nav master'!$C:$C, MATCH(B4562, 'nav master'!$B:$B, 0)), "")</f>
        <v>ULIF06914/06/19SecAdvFund101</v>
      </c>
      <c r="E4562" s="8" t="s">
        <v>480</v>
      </c>
      <c r="F4562" s="8" t="s">
        <v>4763</v>
      </c>
    </row>
    <row r="4563" spans="1:6" ht="60" x14ac:dyDescent="0.25">
      <c r="A4563" s="8" t="s">
        <v>125</v>
      </c>
      <c r="B4563" s="8" t="s">
        <v>145</v>
      </c>
      <c r="C4563" s="8" t="str">
        <f>IFERROR(_xlfn.XLOOKUP(TRIM(B4563),Lookup!$B$2:$B$1000,Lookup!$C$2:$C$1000),"")</f>
        <v>Hybrid</v>
      </c>
      <c r="D4563" s="8" t="str">
        <f>IFERROR(INDEX('nav master'!$C:$C, MATCH(B4563, 'nav master'!$B:$B, 0)), "")</f>
        <v>ULIF06914/06/19SecAdvFund101</v>
      </c>
      <c r="E4563" s="8" t="s">
        <v>482</v>
      </c>
      <c r="F4563" s="8" t="s">
        <v>4764</v>
      </c>
    </row>
    <row r="4564" spans="1:6" ht="60" x14ac:dyDescent="0.25">
      <c r="A4564" s="8" t="s">
        <v>125</v>
      </c>
      <c r="B4564" s="8" t="s">
        <v>145</v>
      </c>
      <c r="C4564" s="8" t="str">
        <f>IFERROR(_xlfn.XLOOKUP(TRIM(B4564),Lookup!$B$2:$B$1000,Lookup!$C$2:$C$1000),"")</f>
        <v>Hybrid</v>
      </c>
      <c r="D4564" s="8" t="str">
        <f>IFERROR(INDEX('nav master'!$C:$C, MATCH(B4564, 'nav master'!$B:$B, 0)), "")</f>
        <v>ULIF06914/06/19SecAdvFund101</v>
      </c>
      <c r="E4564" s="8" t="s">
        <v>484</v>
      </c>
      <c r="F4564" s="8" t="s">
        <v>4765</v>
      </c>
    </row>
    <row r="4565" spans="1:6" ht="60" x14ac:dyDescent="0.25">
      <c r="A4565" s="8" t="s">
        <v>125</v>
      </c>
      <c r="B4565" s="8" t="s">
        <v>145</v>
      </c>
      <c r="C4565" s="8" t="str">
        <f>IFERROR(_xlfn.XLOOKUP(TRIM(B4565),Lookup!$B$2:$B$1000,Lookup!$C$2:$C$1000),"")</f>
        <v>Hybrid</v>
      </c>
      <c r="D4565" s="8" t="str">
        <f>IFERROR(INDEX('nav master'!$C:$C, MATCH(B4565, 'nav master'!$B:$B, 0)), "")</f>
        <v>ULIF06914/06/19SecAdvFund101</v>
      </c>
      <c r="E4565" s="8" t="s">
        <v>486</v>
      </c>
      <c r="F4565" s="8" t="s">
        <v>4766</v>
      </c>
    </row>
    <row r="4566" spans="1:6" ht="60" x14ac:dyDescent="0.25">
      <c r="A4566" s="8" t="s">
        <v>125</v>
      </c>
      <c r="B4566" s="8" t="s">
        <v>145</v>
      </c>
      <c r="C4566" s="8" t="str">
        <f>IFERROR(_xlfn.XLOOKUP(TRIM(B4566),Lookup!$B$2:$B$1000,Lookup!$C$2:$C$1000),"")</f>
        <v>Hybrid</v>
      </c>
      <c r="D4566" s="8" t="str">
        <f>IFERROR(INDEX('nav master'!$C:$C, MATCH(B4566, 'nav master'!$B:$B, 0)), "")</f>
        <v>ULIF06914/06/19SecAdvFund101</v>
      </c>
      <c r="E4566" s="8" t="s">
        <v>488</v>
      </c>
      <c r="F4566" s="8" t="s">
        <v>4767</v>
      </c>
    </row>
    <row r="4567" spans="1:6" ht="60" x14ac:dyDescent="0.25">
      <c r="A4567" s="8" t="s">
        <v>125</v>
      </c>
      <c r="B4567" s="8" t="s">
        <v>145</v>
      </c>
      <c r="C4567" s="8" t="str">
        <f>IFERROR(_xlfn.XLOOKUP(TRIM(B4567),Lookup!$B$2:$B$1000,Lookup!$C$2:$C$1000),"")</f>
        <v>Hybrid</v>
      </c>
      <c r="D4567" s="8" t="str">
        <f>IFERROR(INDEX('nav master'!$C:$C, MATCH(B4567, 'nav master'!$B:$B, 0)), "")</f>
        <v>ULIF06914/06/19SecAdvFund101</v>
      </c>
      <c r="E4567" s="8" t="s">
        <v>490</v>
      </c>
      <c r="F4567" s="8" t="s">
        <v>4768</v>
      </c>
    </row>
    <row r="4568" spans="1:6" ht="60" x14ac:dyDescent="0.25">
      <c r="A4568" s="8" t="s">
        <v>125</v>
      </c>
      <c r="B4568" s="8" t="s">
        <v>145</v>
      </c>
      <c r="C4568" s="8" t="str">
        <f>IFERROR(_xlfn.XLOOKUP(TRIM(B4568),Lookup!$B$2:$B$1000,Lookup!$C$2:$C$1000),"")</f>
        <v>Hybrid</v>
      </c>
      <c r="D4568" s="8" t="str">
        <f>IFERROR(INDEX('nav master'!$C:$C, MATCH(B4568, 'nav master'!$B:$B, 0)), "")</f>
        <v>ULIF06914/06/19SecAdvFund101</v>
      </c>
      <c r="E4568" s="8" t="s">
        <v>492</v>
      </c>
      <c r="F4568" s="8" t="s">
        <v>2564</v>
      </c>
    </row>
    <row r="4569" spans="1:6" ht="60" x14ac:dyDescent="0.25">
      <c r="A4569" s="8" t="s">
        <v>125</v>
      </c>
      <c r="B4569" s="8" t="s">
        <v>145</v>
      </c>
      <c r="C4569" s="8" t="str">
        <f>IFERROR(_xlfn.XLOOKUP(TRIM(B4569),Lookup!$B$2:$B$1000,Lookup!$C$2:$C$1000),"")</f>
        <v>Hybrid</v>
      </c>
      <c r="D4569" s="8" t="str">
        <f>IFERROR(INDEX('nav master'!$C:$C, MATCH(B4569, 'nav master'!$B:$B, 0)), "")</f>
        <v>ULIF06914/06/19SecAdvFund101</v>
      </c>
      <c r="E4569" s="8" t="s">
        <v>494</v>
      </c>
      <c r="F4569" s="8" t="s">
        <v>4769</v>
      </c>
    </row>
    <row r="4570" spans="1:6" ht="60" x14ac:dyDescent="0.25">
      <c r="A4570" s="8" t="s">
        <v>125</v>
      </c>
      <c r="B4570" s="8" t="s">
        <v>145</v>
      </c>
      <c r="C4570" s="8" t="str">
        <f>IFERROR(_xlfn.XLOOKUP(TRIM(B4570),Lookup!$B$2:$B$1000,Lookup!$C$2:$C$1000),"")</f>
        <v>Hybrid</v>
      </c>
      <c r="D4570" s="8" t="str">
        <f>IFERROR(INDEX('nav master'!$C:$C, MATCH(B4570, 'nav master'!$B:$B, 0)), "")</f>
        <v>ULIF06914/06/19SecAdvFund101</v>
      </c>
      <c r="E4570" s="8" t="s">
        <v>496</v>
      </c>
      <c r="F4570" s="8" t="s">
        <v>4770</v>
      </c>
    </row>
    <row r="4571" spans="1:6" ht="60" x14ac:dyDescent="0.25">
      <c r="A4571" s="8" t="s">
        <v>125</v>
      </c>
      <c r="B4571" s="8" t="s">
        <v>145</v>
      </c>
      <c r="C4571" s="8" t="str">
        <f>IFERROR(_xlfn.XLOOKUP(TRIM(B4571),Lookup!$B$2:$B$1000,Lookup!$C$2:$C$1000),"")</f>
        <v>Hybrid</v>
      </c>
      <c r="D4571" s="8" t="str">
        <f>IFERROR(INDEX('nav master'!$C:$C, MATCH(B4571, 'nav master'!$B:$B, 0)), "")</f>
        <v>ULIF06914/06/19SecAdvFund101</v>
      </c>
      <c r="E4571" s="8" t="s">
        <v>498</v>
      </c>
      <c r="F4571" s="8" t="s">
        <v>4770</v>
      </c>
    </row>
    <row r="4572" spans="1:6" ht="60" x14ac:dyDescent="0.25">
      <c r="A4572" s="8" t="s">
        <v>125</v>
      </c>
      <c r="B4572" s="8" t="s">
        <v>145</v>
      </c>
      <c r="C4572" s="8" t="str">
        <f>IFERROR(_xlfn.XLOOKUP(TRIM(B4572),Lookup!$B$2:$B$1000,Lookup!$C$2:$C$1000),"")</f>
        <v>Hybrid</v>
      </c>
      <c r="D4572" s="8" t="str">
        <f>IFERROR(INDEX('nav master'!$C:$C, MATCH(B4572, 'nav master'!$B:$B, 0)), "")</f>
        <v>ULIF06914/06/19SecAdvFund101</v>
      </c>
      <c r="E4572" s="8" t="s">
        <v>500</v>
      </c>
      <c r="F4572" s="8" t="s">
        <v>4771</v>
      </c>
    </row>
    <row r="4573" spans="1:6" ht="60" x14ac:dyDescent="0.25">
      <c r="A4573" s="8" t="s">
        <v>125</v>
      </c>
      <c r="B4573" s="8" t="s">
        <v>145</v>
      </c>
      <c r="C4573" s="8" t="str">
        <f>IFERROR(_xlfn.XLOOKUP(TRIM(B4573),Lookup!$B$2:$B$1000,Lookup!$C$2:$C$1000),"")</f>
        <v>Hybrid</v>
      </c>
      <c r="D4573" s="8" t="str">
        <f>IFERROR(INDEX('nav master'!$C:$C, MATCH(B4573, 'nav master'!$B:$B, 0)), "")</f>
        <v>ULIF06914/06/19SecAdvFund101</v>
      </c>
      <c r="E4573" s="8" t="s">
        <v>502</v>
      </c>
      <c r="F4573" s="8" t="s">
        <v>4772</v>
      </c>
    </row>
    <row r="4574" spans="1:6" ht="60" x14ac:dyDescent="0.25">
      <c r="A4574" s="8" t="s">
        <v>125</v>
      </c>
      <c r="B4574" s="8" t="s">
        <v>145</v>
      </c>
      <c r="C4574" s="8" t="str">
        <f>IFERROR(_xlfn.XLOOKUP(TRIM(B4574),Lookup!$B$2:$B$1000,Lookup!$C$2:$C$1000),"")</f>
        <v>Hybrid</v>
      </c>
      <c r="D4574" s="8" t="str">
        <f>IFERROR(INDEX('nav master'!$C:$C, MATCH(B4574, 'nav master'!$B:$B, 0)), "")</f>
        <v>ULIF06914/06/19SecAdvFund101</v>
      </c>
      <c r="E4574" s="8" t="s">
        <v>504</v>
      </c>
      <c r="F4574" s="8" t="s">
        <v>4773</v>
      </c>
    </row>
    <row r="4575" spans="1:6" ht="60" x14ac:dyDescent="0.25">
      <c r="A4575" s="8" t="s">
        <v>125</v>
      </c>
      <c r="B4575" s="8" t="s">
        <v>145</v>
      </c>
      <c r="C4575" s="8" t="str">
        <f>IFERROR(_xlfn.XLOOKUP(TRIM(B4575),Lookup!$B$2:$B$1000,Lookup!$C$2:$C$1000),"")</f>
        <v>Hybrid</v>
      </c>
      <c r="D4575" s="8" t="str">
        <f>IFERROR(INDEX('nav master'!$C:$C, MATCH(B4575, 'nav master'!$B:$B, 0)), "")</f>
        <v>ULIF06914/06/19SecAdvFund101</v>
      </c>
      <c r="E4575" s="8" t="s">
        <v>506</v>
      </c>
      <c r="F4575" s="8" t="s">
        <v>4774</v>
      </c>
    </row>
    <row r="4576" spans="1:6" ht="60" x14ac:dyDescent="0.25">
      <c r="A4576" s="8" t="s">
        <v>125</v>
      </c>
      <c r="B4576" s="8" t="s">
        <v>145</v>
      </c>
      <c r="C4576" s="8" t="str">
        <f>IFERROR(_xlfn.XLOOKUP(TRIM(B4576),Lookup!$B$2:$B$1000,Lookup!$C$2:$C$1000),"")</f>
        <v>Hybrid</v>
      </c>
      <c r="D4576" s="8" t="str">
        <f>IFERROR(INDEX('nav master'!$C:$C, MATCH(B4576, 'nav master'!$B:$B, 0)), "")</f>
        <v>ULIF06914/06/19SecAdvFund101</v>
      </c>
      <c r="E4576" s="8" t="s">
        <v>508</v>
      </c>
      <c r="F4576" s="8" t="s">
        <v>4775</v>
      </c>
    </row>
    <row r="4577" spans="1:6" ht="60" x14ac:dyDescent="0.25">
      <c r="A4577" s="8" t="s">
        <v>125</v>
      </c>
      <c r="B4577" s="8" t="s">
        <v>145</v>
      </c>
      <c r="C4577" s="8" t="str">
        <f>IFERROR(_xlfn.XLOOKUP(TRIM(B4577),Lookup!$B$2:$B$1000,Lookup!$C$2:$C$1000),"")</f>
        <v>Hybrid</v>
      </c>
      <c r="D4577" s="8" t="str">
        <f>IFERROR(INDEX('nav master'!$C:$C, MATCH(B4577, 'nav master'!$B:$B, 0)), "")</f>
        <v>ULIF06914/06/19SecAdvFund101</v>
      </c>
      <c r="E4577" s="8" t="s">
        <v>510</v>
      </c>
      <c r="F4577" s="8" t="s">
        <v>4776</v>
      </c>
    </row>
    <row r="4578" spans="1:6" ht="60" x14ac:dyDescent="0.25">
      <c r="A4578" s="8" t="s">
        <v>125</v>
      </c>
      <c r="B4578" s="8" t="s">
        <v>145</v>
      </c>
      <c r="C4578" s="8" t="str">
        <f>IFERROR(_xlfn.XLOOKUP(TRIM(B4578),Lookup!$B$2:$B$1000,Lookup!$C$2:$C$1000),"")</f>
        <v>Hybrid</v>
      </c>
      <c r="D4578" s="8" t="str">
        <f>IFERROR(INDEX('nav master'!$C:$C, MATCH(B4578, 'nav master'!$B:$B, 0)), "")</f>
        <v>ULIF06914/06/19SecAdvFund101</v>
      </c>
      <c r="E4578" s="8" t="s">
        <v>512</v>
      </c>
      <c r="F4578" s="8" t="s">
        <v>2525</v>
      </c>
    </row>
    <row r="4579" spans="1:6" ht="60" x14ac:dyDescent="0.25">
      <c r="A4579" s="8" t="s">
        <v>125</v>
      </c>
      <c r="B4579" s="8" t="s">
        <v>145</v>
      </c>
      <c r="C4579" s="8" t="str">
        <f>IFERROR(_xlfn.XLOOKUP(TRIM(B4579),Lookup!$B$2:$B$1000,Lookup!$C$2:$C$1000),"")</f>
        <v>Hybrid</v>
      </c>
      <c r="D4579" s="8" t="str">
        <f>IFERROR(INDEX('nav master'!$C:$C, MATCH(B4579, 'nav master'!$B:$B, 0)), "")</f>
        <v>ULIF06914/06/19SecAdvFund101</v>
      </c>
      <c r="E4579" s="8" t="s">
        <v>514</v>
      </c>
      <c r="F4579" s="8" t="s">
        <v>4777</v>
      </c>
    </row>
    <row r="4580" spans="1:6" ht="60" x14ac:dyDescent="0.25">
      <c r="A4580" s="8" t="s">
        <v>125</v>
      </c>
      <c r="B4580" s="8" t="s">
        <v>145</v>
      </c>
      <c r="C4580" s="8" t="str">
        <f>IFERROR(_xlfn.XLOOKUP(TRIM(B4580),Lookup!$B$2:$B$1000,Lookup!$C$2:$C$1000),"")</f>
        <v>Hybrid</v>
      </c>
      <c r="D4580" s="8" t="str">
        <f>IFERROR(INDEX('nav master'!$C:$C, MATCH(B4580, 'nav master'!$B:$B, 0)), "")</f>
        <v>ULIF06914/06/19SecAdvFund101</v>
      </c>
      <c r="E4580" s="8" t="s">
        <v>516</v>
      </c>
      <c r="F4580" s="8" t="s">
        <v>4778</v>
      </c>
    </row>
    <row r="4581" spans="1:6" ht="60" x14ac:dyDescent="0.25">
      <c r="A4581" s="8" t="s">
        <v>125</v>
      </c>
      <c r="B4581" s="8" t="s">
        <v>145</v>
      </c>
      <c r="C4581" s="8" t="str">
        <f>IFERROR(_xlfn.XLOOKUP(TRIM(B4581),Lookup!$B$2:$B$1000,Lookup!$C$2:$C$1000),"")</f>
        <v>Hybrid</v>
      </c>
      <c r="D4581" s="8" t="str">
        <f>IFERROR(INDEX('nav master'!$C:$C, MATCH(B4581, 'nav master'!$B:$B, 0)), "")</f>
        <v>ULIF06914/06/19SecAdvFund101</v>
      </c>
      <c r="E4581" s="8" t="s">
        <v>518</v>
      </c>
      <c r="F4581" s="8" t="s">
        <v>4779</v>
      </c>
    </row>
    <row r="4582" spans="1:6" ht="60" x14ac:dyDescent="0.25">
      <c r="A4582" s="8" t="s">
        <v>125</v>
      </c>
      <c r="B4582" s="8" t="s">
        <v>145</v>
      </c>
      <c r="C4582" s="8" t="str">
        <f>IFERROR(_xlfn.XLOOKUP(TRIM(B4582),Lookup!$B$2:$B$1000,Lookup!$C$2:$C$1000),"")</f>
        <v>Hybrid</v>
      </c>
      <c r="D4582" s="8" t="str">
        <f>IFERROR(INDEX('nav master'!$C:$C, MATCH(B4582, 'nav master'!$B:$B, 0)), "")</f>
        <v>ULIF06914/06/19SecAdvFund101</v>
      </c>
      <c r="E4582" s="8" t="s">
        <v>520</v>
      </c>
      <c r="F4582" s="8" t="s">
        <v>4780</v>
      </c>
    </row>
    <row r="4583" spans="1:6" ht="60" x14ac:dyDescent="0.25">
      <c r="A4583" s="8" t="s">
        <v>125</v>
      </c>
      <c r="B4583" s="8" t="s">
        <v>145</v>
      </c>
      <c r="C4583" s="8" t="str">
        <f>IFERROR(_xlfn.XLOOKUP(TRIM(B4583),Lookup!$B$2:$B$1000,Lookup!$C$2:$C$1000),"")</f>
        <v>Hybrid</v>
      </c>
      <c r="D4583" s="8" t="str">
        <f>IFERROR(INDEX('nav master'!$C:$C, MATCH(B4583, 'nav master'!$B:$B, 0)), "")</f>
        <v>ULIF06914/06/19SecAdvFund101</v>
      </c>
      <c r="E4583" s="8" t="s">
        <v>522</v>
      </c>
      <c r="F4583" s="8" t="s">
        <v>4781</v>
      </c>
    </row>
    <row r="4584" spans="1:6" ht="60" x14ac:dyDescent="0.25">
      <c r="A4584" s="8" t="s">
        <v>125</v>
      </c>
      <c r="B4584" s="8" t="s">
        <v>145</v>
      </c>
      <c r="C4584" s="8" t="str">
        <f>IFERROR(_xlfn.XLOOKUP(TRIM(B4584),Lookup!$B$2:$B$1000,Lookup!$C$2:$C$1000),"")</f>
        <v>Hybrid</v>
      </c>
      <c r="D4584" s="8" t="str">
        <f>IFERROR(INDEX('nav master'!$C:$C, MATCH(B4584, 'nav master'!$B:$B, 0)), "")</f>
        <v>ULIF06914/06/19SecAdvFund101</v>
      </c>
      <c r="E4584" s="8" t="s">
        <v>524</v>
      </c>
      <c r="F4584" s="8" t="s">
        <v>4782</v>
      </c>
    </row>
    <row r="4585" spans="1:6" ht="60" x14ac:dyDescent="0.25">
      <c r="A4585" s="8" t="s">
        <v>125</v>
      </c>
      <c r="B4585" s="8" t="s">
        <v>145</v>
      </c>
      <c r="C4585" s="8" t="str">
        <f>IFERROR(_xlfn.XLOOKUP(TRIM(B4585),Lookup!$B$2:$B$1000,Lookup!$C$2:$C$1000),"")</f>
        <v>Hybrid</v>
      </c>
      <c r="D4585" s="8" t="str">
        <f>IFERROR(INDEX('nav master'!$C:$C, MATCH(B4585, 'nav master'!$B:$B, 0)), "")</f>
        <v>ULIF06914/06/19SecAdvFund101</v>
      </c>
      <c r="E4585" s="8" t="s">
        <v>526</v>
      </c>
      <c r="F4585" s="8" t="s">
        <v>4783</v>
      </c>
    </row>
    <row r="4586" spans="1:6" ht="60" x14ac:dyDescent="0.25">
      <c r="A4586" s="8" t="s">
        <v>125</v>
      </c>
      <c r="B4586" s="8" t="s">
        <v>145</v>
      </c>
      <c r="C4586" s="8" t="str">
        <f>IFERROR(_xlfn.XLOOKUP(TRIM(B4586),Lookup!$B$2:$B$1000,Lookup!$C$2:$C$1000),"")</f>
        <v>Hybrid</v>
      </c>
      <c r="D4586" s="8" t="str">
        <f>IFERROR(INDEX('nav master'!$C:$C, MATCH(B4586, 'nav master'!$B:$B, 0)), "")</f>
        <v>ULIF06914/06/19SecAdvFund101</v>
      </c>
      <c r="E4586" s="8" t="s">
        <v>528</v>
      </c>
      <c r="F4586" s="8" t="s">
        <v>4784</v>
      </c>
    </row>
    <row r="4587" spans="1:6" ht="60" x14ac:dyDescent="0.25">
      <c r="A4587" s="8" t="s">
        <v>125</v>
      </c>
      <c r="B4587" s="8" t="s">
        <v>145</v>
      </c>
      <c r="C4587" s="8" t="str">
        <f>IFERROR(_xlfn.XLOOKUP(TRIM(B4587),Lookup!$B$2:$B$1000,Lookup!$C$2:$C$1000),"")</f>
        <v>Hybrid</v>
      </c>
      <c r="D4587" s="8" t="str">
        <f>IFERROR(INDEX('nav master'!$C:$C, MATCH(B4587, 'nav master'!$B:$B, 0)), "")</f>
        <v>ULIF06914/06/19SecAdvFund101</v>
      </c>
      <c r="E4587" s="8" t="s">
        <v>530</v>
      </c>
      <c r="F4587" s="8" t="s">
        <v>4785</v>
      </c>
    </row>
    <row r="4588" spans="1:6" ht="60" x14ac:dyDescent="0.25">
      <c r="A4588" s="8" t="s">
        <v>125</v>
      </c>
      <c r="B4588" s="8" t="s">
        <v>145</v>
      </c>
      <c r="C4588" s="8" t="str">
        <f>IFERROR(_xlfn.XLOOKUP(TRIM(B4588),Lookup!$B$2:$B$1000,Lookup!$C$2:$C$1000),"")</f>
        <v>Hybrid</v>
      </c>
      <c r="D4588" s="8" t="str">
        <f>IFERROR(INDEX('nav master'!$C:$C, MATCH(B4588, 'nav master'!$B:$B, 0)), "")</f>
        <v>ULIF06914/06/19SecAdvFund101</v>
      </c>
      <c r="E4588" s="8" t="s">
        <v>532</v>
      </c>
      <c r="F4588" s="8" t="s">
        <v>2343</v>
      </c>
    </row>
    <row r="4589" spans="1:6" ht="60" x14ac:dyDescent="0.25">
      <c r="A4589" s="8" t="s">
        <v>125</v>
      </c>
      <c r="B4589" s="8" t="s">
        <v>145</v>
      </c>
      <c r="C4589" s="8" t="str">
        <f>IFERROR(_xlfn.XLOOKUP(TRIM(B4589),Lookup!$B$2:$B$1000,Lookup!$C$2:$C$1000),"")</f>
        <v>Hybrid</v>
      </c>
      <c r="D4589" s="8" t="str">
        <f>IFERROR(INDEX('nav master'!$C:$C, MATCH(B4589, 'nav master'!$B:$B, 0)), "")</f>
        <v>ULIF06914/06/19SecAdvFund101</v>
      </c>
      <c r="E4589" s="8" t="s">
        <v>534</v>
      </c>
      <c r="F4589" s="8" t="s">
        <v>4786</v>
      </c>
    </row>
    <row r="4590" spans="1:6" ht="60" x14ac:dyDescent="0.25">
      <c r="A4590" s="8" t="s">
        <v>125</v>
      </c>
      <c r="B4590" s="8" t="s">
        <v>145</v>
      </c>
      <c r="C4590" s="8" t="str">
        <f>IFERROR(_xlfn.XLOOKUP(TRIM(B4590),Lookup!$B$2:$B$1000,Lookup!$C$2:$C$1000),"")</f>
        <v>Hybrid</v>
      </c>
      <c r="D4590" s="8" t="str">
        <f>IFERROR(INDEX('nav master'!$C:$C, MATCH(B4590, 'nav master'!$B:$B, 0)), "")</f>
        <v>ULIF06914/06/19SecAdvFund101</v>
      </c>
      <c r="E4590" s="8" t="s">
        <v>536</v>
      </c>
      <c r="F4590" s="8" t="s">
        <v>4787</v>
      </c>
    </row>
    <row r="4591" spans="1:6" ht="60" x14ac:dyDescent="0.25">
      <c r="A4591" s="8" t="s">
        <v>125</v>
      </c>
      <c r="B4591" s="8" t="s">
        <v>145</v>
      </c>
      <c r="C4591" s="8" t="str">
        <f>IFERROR(_xlfn.XLOOKUP(TRIM(B4591),Lookup!$B$2:$B$1000,Lookup!$C$2:$C$1000),"")</f>
        <v>Hybrid</v>
      </c>
      <c r="D4591" s="8" t="str">
        <f>IFERROR(INDEX('nav master'!$C:$C, MATCH(B4591, 'nav master'!$B:$B, 0)), "")</f>
        <v>ULIF06914/06/19SecAdvFund101</v>
      </c>
      <c r="E4591" s="8" t="s">
        <v>538</v>
      </c>
      <c r="F4591" s="8" t="s">
        <v>4788</v>
      </c>
    </row>
    <row r="4592" spans="1:6" ht="60" x14ac:dyDescent="0.25">
      <c r="A4592" s="8" t="s">
        <v>125</v>
      </c>
      <c r="B4592" s="8" t="s">
        <v>145</v>
      </c>
      <c r="C4592" s="8" t="str">
        <f>IFERROR(_xlfn.XLOOKUP(TRIM(B4592),Lookup!$B$2:$B$1000,Lookup!$C$2:$C$1000),"")</f>
        <v>Hybrid</v>
      </c>
      <c r="D4592" s="8" t="str">
        <f>IFERROR(INDEX('nav master'!$C:$C, MATCH(B4592, 'nav master'!$B:$B, 0)), "")</f>
        <v>ULIF06914/06/19SecAdvFund101</v>
      </c>
      <c r="E4592" s="8" t="s">
        <v>540</v>
      </c>
      <c r="F4592" s="8" t="s">
        <v>2565</v>
      </c>
    </row>
    <row r="4593" spans="1:6" ht="60" x14ac:dyDescent="0.25">
      <c r="A4593" s="8" t="s">
        <v>125</v>
      </c>
      <c r="B4593" s="8" t="s">
        <v>145</v>
      </c>
      <c r="C4593" s="8" t="str">
        <f>IFERROR(_xlfn.XLOOKUP(TRIM(B4593),Lookup!$B$2:$B$1000,Lookup!$C$2:$C$1000),"")</f>
        <v>Hybrid</v>
      </c>
      <c r="D4593" s="8" t="str">
        <f>IFERROR(INDEX('nav master'!$C:$C, MATCH(B4593, 'nav master'!$B:$B, 0)), "")</f>
        <v>ULIF06914/06/19SecAdvFund101</v>
      </c>
      <c r="E4593" s="8" t="s">
        <v>542</v>
      </c>
      <c r="F4593" s="8" t="s">
        <v>4789</v>
      </c>
    </row>
    <row r="4594" spans="1:6" ht="60" x14ac:dyDescent="0.25">
      <c r="A4594" s="8" t="s">
        <v>125</v>
      </c>
      <c r="B4594" s="8" t="s">
        <v>145</v>
      </c>
      <c r="C4594" s="8" t="str">
        <f>IFERROR(_xlfn.XLOOKUP(TRIM(B4594),Lookup!$B$2:$B$1000,Lookup!$C$2:$C$1000),"")</f>
        <v>Hybrid</v>
      </c>
      <c r="D4594" s="8" t="str">
        <f>IFERROR(INDEX('nav master'!$C:$C, MATCH(B4594, 'nav master'!$B:$B, 0)), "")</f>
        <v>ULIF06914/06/19SecAdvFund101</v>
      </c>
      <c r="E4594" s="8" t="s">
        <v>544</v>
      </c>
      <c r="F4594" s="8" t="s">
        <v>4790</v>
      </c>
    </row>
    <row r="4595" spans="1:6" ht="60" x14ac:dyDescent="0.25">
      <c r="A4595" s="8" t="s">
        <v>125</v>
      </c>
      <c r="B4595" s="8" t="s">
        <v>145</v>
      </c>
      <c r="C4595" s="8" t="str">
        <f>IFERROR(_xlfn.XLOOKUP(TRIM(B4595),Lookup!$B$2:$B$1000,Lookup!$C$2:$C$1000),"")</f>
        <v>Hybrid</v>
      </c>
      <c r="D4595" s="8" t="str">
        <f>IFERROR(INDEX('nav master'!$C:$C, MATCH(B4595, 'nav master'!$B:$B, 0)), "")</f>
        <v>ULIF06914/06/19SecAdvFund101</v>
      </c>
      <c r="E4595" s="8" t="s">
        <v>546</v>
      </c>
      <c r="F4595" s="8" t="s">
        <v>4791</v>
      </c>
    </row>
    <row r="4596" spans="1:6" ht="60" x14ac:dyDescent="0.25">
      <c r="A4596" s="8" t="s">
        <v>125</v>
      </c>
      <c r="B4596" s="8" t="s">
        <v>145</v>
      </c>
      <c r="C4596" s="8" t="str">
        <f>IFERROR(_xlfn.XLOOKUP(TRIM(B4596),Lookup!$B$2:$B$1000,Lookup!$C$2:$C$1000),"")</f>
        <v>Hybrid</v>
      </c>
      <c r="D4596" s="8" t="str">
        <f>IFERROR(INDEX('nav master'!$C:$C, MATCH(B4596, 'nav master'!$B:$B, 0)), "")</f>
        <v>ULIF06914/06/19SecAdvFund101</v>
      </c>
      <c r="E4596" s="8" t="s">
        <v>548</v>
      </c>
      <c r="F4596" s="8" t="s">
        <v>4792</v>
      </c>
    </row>
    <row r="4597" spans="1:6" ht="60" x14ac:dyDescent="0.25">
      <c r="A4597" s="8" t="s">
        <v>125</v>
      </c>
      <c r="B4597" s="8" t="s">
        <v>145</v>
      </c>
      <c r="C4597" s="8" t="str">
        <f>IFERROR(_xlfn.XLOOKUP(TRIM(B4597),Lookup!$B$2:$B$1000,Lookup!$C$2:$C$1000),"")</f>
        <v>Hybrid</v>
      </c>
      <c r="D4597" s="8" t="str">
        <f>IFERROR(INDEX('nav master'!$C:$C, MATCH(B4597, 'nav master'!$B:$B, 0)), "")</f>
        <v>ULIF06914/06/19SecAdvFund101</v>
      </c>
      <c r="E4597" s="8" t="s">
        <v>550</v>
      </c>
      <c r="F4597" s="8" t="s">
        <v>4793</v>
      </c>
    </row>
    <row r="4598" spans="1:6" ht="60" x14ac:dyDescent="0.25">
      <c r="A4598" s="8" t="s">
        <v>125</v>
      </c>
      <c r="B4598" s="8" t="s">
        <v>145</v>
      </c>
      <c r="C4598" s="8" t="str">
        <f>IFERROR(_xlfn.XLOOKUP(TRIM(B4598),Lookup!$B$2:$B$1000,Lookup!$C$2:$C$1000),"")</f>
        <v>Hybrid</v>
      </c>
      <c r="D4598" s="8" t="str">
        <f>IFERROR(INDEX('nav master'!$C:$C, MATCH(B4598, 'nav master'!$B:$B, 0)), "")</f>
        <v>ULIF06914/06/19SecAdvFund101</v>
      </c>
      <c r="E4598" s="8" t="s">
        <v>552</v>
      </c>
      <c r="F4598" s="8" t="s">
        <v>4794</v>
      </c>
    </row>
    <row r="4599" spans="1:6" ht="60" x14ac:dyDescent="0.25">
      <c r="A4599" s="8" t="s">
        <v>125</v>
      </c>
      <c r="B4599" s="8" t="s">
        <v>145</v>
      </c>
      <c r="C4599" s="8" t="str">
        <f>IFERROR(_xlfn.XLOOKUP(TRIM(B4599),Lookup!$B$2:$B$1000,Lookup!$C$2:$C$1000),"")</f>
        <v>Hybrid</v>
      </c>
      <c r="D4599" s="8" t="str">
        <f>IFERROR(INDEX('nav master'!$C:$C, MATCH(B4599, 'nav master'!$B:$B, 0)), "")</f>
        <v>ULIF06914/06/19SecAdvFund101</v>
      </c>
      <c r="E4599" s="8" t="s">
        <v>554</v>
      </c>
      <c r="F4599" s="8" t="s">
        <v>4795</v>
      </c>
    </row>
    <row r="4600" spans="1:6" ht="60" x14ac:dyDescent="0.25">
      <c r="A4600" s="8" t="s">
        <v>125</v>
      </c>
      <c r="B4600" s="8" t="s">
        <v>145</v>
      </c>
      <c r="C4600" s="8" t="str">
        <f>IFERROR(_xlfn.XLOOKUP(TRIM(B4600),Lookup!$B$2:$B$1000,Lookup!$C$2:$C$1000),"")</f>
        <v>Hybrid</v>
      </c>
      <c r="D4600" s="8" t="str">
        <f>IFERROR(INDEX('nav master'!$C:$C, MATCH(B4600, 'nav master'!$B:$B, 0)), "")</f>
        <v>ULIF06914/06/19SecAdvFund101</v>
      </c>
      <c r="E4600" s="8" t="s">
        <v>556</v>
      </c>
      <c r="F4600" s="8" t="s">
        <v>4796</v>
      </c>
    </row>
    <row r="4601" spans="1:6" ht="60" x14ac:dyDescent="0.25">
      <c r="A4601" s="8" t="s">
        <v>125</v>
      </c>
      <c r="B4601" s="8" t="s">
        <v>145</v>
      </c>
      <c r="C4601" s="8" t="str">
        <f>IFERROR(_xlfn.XLOOKUP(TRIM(B4601),Lookup!$B$2:$B$1000,Lookup!$C$2:$C$1000),"")</f>
        <v>Hybrid</v>
      </c>
      <c r="D4601" s="8" t="str">
        <f>IFERROR(INDEX('nav master'!$C:$C, MATCH(B4601, 'nav master'!$B:$B, 0)), "")</f>
        <v>ULIF06914/06/19SecAdvFund101</v>
      </c>
      <c r="E4601" s="8" t="s">
        <v>558</v>
      </c>
      <c r="F4601" s="8" t="s">
        <v>4797</v>
      </c>
    </row>
    <row r="4602" spans="1:6" ht="60" x14ac:dyDescent="0.25">
      <c r="A4602" s="8" t="s">
        <v>125</v>
      </c>
      <c r="B4602" s="8" t="s">
        <v>145</v>
      </c>
      <c r="C4602" s="8" t="str">
        <f>IFERROR(_xlfn.XLOOKUP(TRIM(B4602),Lookup!$B$2:$B$1000,Lookup!$C$2:$C$1000),"")</f>
        <v>Hybrid</v>
      </c>
      <c r="D4602" s="8" t="str">
        <f>IFERROR(INDEX('nav master'!$C:$C, MATCH(B4602, 'nav master'!$B:$B, 0)), "")</f>
        <v>ULIF06914/06/19SecAdvFund101</v>
      </c>
      <c r="E4602" s="8" t="s">
        <v>560</v>
      </c>
      <c r="F4602" s="8" t="s">
        <v>2389</v>
      </c>
    </row>
    <row r="4603" spans="1:6" ht="60" x14ac:dyDescent="0.25">
      <c r="A4603" s="8" t="s">
        <v>125</v>
      </c>
      <c r="B4603" s="8" t="s">
        <v>145</v>
      </c>
      <c r="C4603" s="8" t="str">
        <f>IFERROR(_xlfn.XLOOKUP(TRIM(B4603),Lookup!$B$2:$B$1000,Lookup!$C$2:$C$1000),"")</f>
        <v>Hybrid</v>
      </c>
      <c r="D4603" s="8" t="str">
        <f>IFERROR(INDEX('nav master'!$C:$C, MATCH(B4603, 'nav master'!$B:$B, 0)), "")</f>
        <v>ULIF06914/06/19SecAdvFund101</v>
      </c>
      <c r="E4603" s="8" t="s">
        <v>562</v>
      </c>
      <c r="F4603" s="8" t="s">
        <v>4798</v>
      </c>
    </row>
    <row r="4604" spans="1:6" ht="60" x14ac:dyDescent="0.25">
      <c r="A4604" s="8" t="s">
        <v>125</v>
      </c>
      <c r="B4604" s="8" t="s">
        <v>145</v>
      </c>
      <c r="C4604" s="8" t="str">
        <f>IFERROR(_xlfn.XLOOKUP(TRIM(B4604),Lookup!$B$2:$B$1000,Lookup!$C$2:$C$1000),"")</f>
        <v>Hybrid</v>
      </c>
      <c r="D4604" s="8" t="str">
        <f>IFERROR(INDEX('nav master'!$C:$C, MATCH(B4604, 'nav master'!$B:$B, 0)), "")</f>
        <v>ULIF06914/06/19SecAdvFund101</v>
      </c>
      <c r="E4604" s="8" t="s">
        <v>564</v>
      </c>
      <c r="F4604" s="8" t="s">
        <v>4799</v>
      </c>
    </row>
    <row r="4605" spans="1:6" ht="60" x14ac:dyDescent="0.25">
      <c r="A4605" s="8" t="s">
        <v>125</v>
      </c>
      <c r="B4605" s="8" t="s">
        <v>145</v>
      </c>
      <c r="C4605" s="8" t="str">
        <f>IFERROR(_xlfn.XLOOKUP(TRIM(B4605),Lookup!$B$2:$B$1000,Lookup!$C$2:$C$1000),"")</f>
        <v>Hybrid</v>
      </c>
      <c r="D4605" s="8" t="str">
        <f>IFERROR(INDEX('nav master'!$C:$C, MATCH(B4605, 'nav master'!$B:$B, 0)), "")</f>
        <v>ULIF06914/06/19SecAdvFund101</v>
      </c>
      <c r="E4605" s="8" t="s">
        <v>566</v>
      </c>
      <c r="F4605" s="8" t="s">
        <v>4800</v>
      </c>
    </row>
    <row r="4606" spans="1:6" ht="60" x14ac:dyDescent="0.25">
      <c r="A4606" s="8" t="s">
        <v>125</v>
      </c>
      <c r="B4606" s="8" t="s">
        <v>145</v>
      </c>
      <c r="C4606" s="8" t="str">
        <f>IFERROR(_xlfn.XLOOKUP(TRIM(B4606),Lookup!$B$2:$B$1000,Lookup!$C$2:$C$1000),"")</f>
        <v>Hybrid</v>
      </c>
      <c r="D4606" s="8" t="str">
        <f>IFERROR(INDEX('nav master'!$C:$C, MATCH(B4606, 'nav master'!$B:$B, 0)), "")</f>
        <v>ULIF06914/06/19SecAdvFund101</v>
      </c>
      <c r="E4606" s="8" t="s">
        <v>568</v>
      </c>
      <c r="F4606" s="8" t="s">
        <v>4801</v>
      </c>
    </row>
    <row r="4607" spans="1:6" ht="60" x14ac:dyDescent="0.25">
      <c r="A4607" s="8" t="s">
        <v>125</v>
      </c>
      <c r="B4607" s="8" t="s">
        <v>145</v>
      </c>
      <c r="C4607" s="8" t="str">
        <f>IFERROR(_xlfn.XLOOKUP(TRIM(B4607),Lookup!$B$2:$B$1000,Lookup!$C$2:$C$1000),"")</f>
        <v>Hybrid</v>
      </c>
      <c r="D4607" s="8" t="str">
        <f>IFERROR(INDEX('nav master'!$C:$C, MATCH(B4607, 'nav master'!$B:$B, 0)), "")</f>
        <v>ULIF06914/06/19SecAdvFund101</v>
      </c>
      <c r="E4607" s="8" t="s">
        <v>570</v>
      </c>
      <c r="F4607" s="8" t="s">
        <v>4802</v>
      </c>
    </row>
    <row r="4608" spans="1:6" ht="60" x14ac:dyDescent="0.25">
      <c r="A4608" s="8" t="s">
        <v>125</v>
      </c>
      <c r="B4608" s="8" t="s">
        <v>145</v>
      </c>
      <c r="C4608" s="8" t="str">
        <f>IFERROR(_xlfn.XLOOKUP(TRIM(B4608),Lookup!$B$2:$B$1000,Lookup!$C$2:$C$1000),"")</f>
        <v>Hybrid</v>
      </c>
      <c r="D4608" s="8" t="str">
        <f>IFERROR(INDEX('nav master'!$C:$C, MATCH(B4608, 'nav master'!$B:$B, 0)), "")</f>
        <v>ULIF06914/06/19SecAdvFund101</v>
      </c>
      <c r="E4608" s="8" t="s">
        <v>572</v>
      </c>
      <c r="F4608" s="8" t="s">
        <v>3880</v>
      </c>
    </row>
    <row r="4609" spans="1:6" ht="60" x14ac:dyDescent="0.25">
      <c r="A4609" s="8" t="s">
        <v>125</v>
      </c>
      <c r="B4609" s="8" t="s">
        <v>145</v>
      </c>
      <c r="C4609" s="8" t="str">
        <f>IFERROR(_xlfn.XLOOKUP(TRIM(B4609),Lookup!$B$2:$B$1000,Lookup!$C$2:$C$1000),"")</f>
        <v>Hybrid</v>
      </c>
      <c r="D4609" s="8" t="str">
        <f>IFERROR(INDEX('nav master'!$C:$C, MATCH(B4609, 'nav master'!$B:$B, 0)), "")</f>
        <v>ULIF06914/06/19SecAdvFund101</v>
      </c>
      <c r="E4609" s="8" t="s">
        <v>574</v>
      </c>
      <c r="F4609" s="8" t="s">
        <v>4803</v>
      </c>
    </row>
    <row r="4610" spans="1:6" ht="60" x14ac:dyDescent="0.25">
      <c r="A4610" s="8" t="s">
        <v>125</v>
      </c>
      <c r="B4610" s="8" t="s">
        <v>145</v>
      </c>
      <c r="C4610" s="8" t="str">
        <f>IFERROR(_xlfn.XLOOKUP(TRIM(B4610),Lookup!$B$2:$B$1000,Lookup!$C$2:$C$1000),"")</f>
        <v>Hybrid</v>
      </c>
      <c r="D4610" s="8" t="str">
        <f>IFERROR(INDEX('nav master'!$C:$C, MATCH(B4610, 'nav master'!$B:$B, 0)), "")</f>
        <v>ULIF06914/06/19SecAdvFund101</v>
      </c>
      <c r="E4610" s="8" t="s">
        <v>576</v>
      </c>
      <c r="F4610" s="8" t="s">
        <v>4804</v>
      </c>
    </row>
    <row r="4611" spans="1:6" ht="60" x14ac:dyDescent="0.25">
      <c r="A4611" s="8" t="s">
        <v>125</v>
      </c>
      <c r="B4611" s="8" t="s">
        <v>145</v>
      </c>
      <c r="C4611" s="8" t="str">
        <f>IFERROR(_xlfn.XLOOKUP(TRIM(B4611),Lookup!$B$2:$B$1000,Lookup!$C$2:$C$1000),"")</f>
        <v>Hybrid</v>
      </c>
      <c r="D4611" s="8" t="str">
        <f>IFERROR(INDEX('nav master'!$C:$C, MATCH(B4611, 'nav master'!$B:$B, 0)), "")</f>
        <v>ULIF06914/06/19SecAdvFund101</v>
      </c>
      <c r="E4611" s="8" t="s">
        <v>578</v>
      </c>
      <c r="F4611" s="8" t="s">
        <v>4805</v>
      </c>
    </row>
    <row r="4612" spans="1:6" ht="60" x14ac:dyDescent="0.25">
      <c r="A4612" s="8" t="s">
        <v>125</v>
      </c>
      <c r="B4612" s="8" t="s">
        <v>145</v>
      </c>
      <c r="C4612" s="8" t="str">
        <f>IFERROR(_xlfn.XLOOKUP(TRIM(B4612),Lookup!$B$2:$B$1000,Lookup!$C$2:$C$1000),"")</f>
        <v>Hybrid</v>
      </c>
      <c r="D4612" s="8" t="str">
        <f>IFERROR(INDEX('nav master'!$C:$C, MATCH(B4612, 'nav master'!$B:$B, 0)), "")</f>
        <v>ULIF06914/06/19SecAdvFund101</v>
      </c>
      <c r="E4612" s="8" t="s">
        <v>580</v>
      </c>
      <c r="F4612" s="8" t="s">
        <v>4735</v>
      </c>
    </row>
    <row r="4613" spans="1:6" ht="60" x14ac:dyDescent="0.25">
      <c r="A4613" s="8" t="s">
        <v>125</v>
      </c>
      <c r="B4613" s="8" t="s">
        <v>145</v>
      </c>
      <c r="C4613" s="8" t="str">
        <f>IFERROR(_xlfn.XLOOKUP(TRIM(B4613),Lookup!$B$2:$B$1000,Lookup!$C$2:$C$1000),"")</f>
        <v>Hybrid</v>
      </c>
      <c r="D4613" s="8" t="str">
        <f>IFERROR(INDEX('nav master'!$C:$C, MATCH(B4613, 'nav master'!$B:$B, 0)), "")</f>
        <v>ULIF06914/06/19SecAdvFund101</v>
      </c>
      <c r="E4613" s="8" t="s">
        <v>582</v>
      </c>
      <c r="F4613" s="8" t="s">
        <v>4806</v>
      </c>
    </row>
    <row r="4614" spans="1:6" ht="60" x14ac:dyDescent="0.25">
      <c r="A4614" s="8" t="s">
        <v>125</v>
      </c>
      <c r="B4614" s="8" t="s">
        <v>145</v>
      </c>
      <c r="C4614" s="8" t="str">
        <f>IFERROR(_xlfn.XLOOKUP(TRIM(B4614),Lookup!$B$2:$B$1000,Lookup!$C$2:$C$1000),"")</f>
        <v>Hybrid</v>
      </c>
      <c r="D4614" s="8" t="str">
        <f>IFERROR(INDEX('nav master'!$C:$C, MATCH(B4614, 'nav master'!$B:$B, 0)), "")</f>
        <v>ULIF06914/06/19SecAdvFund101</v>
      </c>
      <c r="E4614" s="8" t="s">
        <v>584</v>
      </c>
      <c r="F4614" s="8" t="s">
        <v>4807</v>
      </c>
    </row>
    <row r="4615" spans="1:6" ht="60" x14ac:dyDescent="0.25">
      <c r="A4615" s="8" t="s">
        <v>125</v>
      </c>
      <c r="B4615" s="8" t="s">
        <v>145</v>
      </c>
      <c r="C4615" s="8" t="str">
        <f>IFERROR(_xlfn.XLOOKUP(TRIM(B4615),Lookup!$B$2:$B$1000,Lookup!$C$2:$C$1000),"")</f>
        <v>Hybrid</v>
      </c>
      <c r="D4615" s="8" t="str">
        <f>IFERROR(INDEX('nav master'!$C:$C, MATCH(B4615, 'nav master'!$B:$B, 0)), "")</f>
        <v>ULIF06914/06/19SecAdvFund101</v>
      </c>
      <c r="E4615" s="8" t="s">
        <v>586</v>
      </c>
      <c r="F4615" s="8" t="s">
        <v>4808</v>
      </c>
    </row>
    <row r="4616" spans="1:6" ht="60" x14ac:dyDescent="0.25">
      <c r="A4616" s="8" t="s">
        <v>125</v>
      </c>
      <c r="B4616" s="8" t="s">
        <v>145</v>
      </c>
      <c r="C4616" s="8" t="str">
        <f>IFERROR(_xlfn.XLOOKUP(TRIM(B4616),Lookup!$B$2:$B$1000,Lookup!$C$2:$C$1000),"")</f>
        <v>Hybrid</v>
      </c>
      <c r="D4616" s="8" t="str">
        <f>IFERROR(INDEX('nav master'!$C:$C, MATCH(B4616, 'nav master'!$B:$B, 0)), "")</f>
        <v>ULIF06914/06/19SecAdvFund101</v>
      </c>
      <c r="E4616" s="8" t="s">
        <v>588</v>
      </c>
      <c r="F4616" s="8" t="s">
        <v>4809</v>
      </c>
    </row>
    <row r="4617" spans="1:6" ht="60" x14ac:dyDescent="0.25">
      <c r="A4617" s="8" t="s">
        <v>125</v>
      </c>
      <c r="B4617" s="8" t="s">
        <v>145</v>
      </c>
      <c r="C4617" s="8" t="str">
        <f>IFERROR(_xlfn.XLOOKUP(TRIM(B4617),Lookup!$B$2:$B$1000,Lookup!$C$2:$C$1000),"")</f>
        <v>Hybrid</v>
      </c>
      <c r="D4617" s="8" t="str">
        <f>IFERROR(INDEX('nav master'!$C:$C, MATCH(B4617, 'nav master'!$B:$B, 0)), "")</f>
        <v>ULIF06914/06/19SecAdvFund101</v>
      </c>
      <c r="E4617" s="8" t="s">
        <v>590</v>
      </c>
      <c r="F4617" s="8" t="s">
        <v>4810</v>
      </c>
    </row>
    <row r="4618" spans="1:6" ht="60" x14ac:dyDescent="0.25">
      <c r="A4618" s="8" t="s">
        <v>125</v>
      </c>
      <c r="B4618" s="8" t="s">
        <v>145</v>
      </c>
      <c r="C4618" s="8" t="str">
        <f>IFERROR(_xlfn.XLOOKUP(TRIM(B4618),Lookup!$B$2:$B$1000,Lookup!$C$2:$C$1000),"")</f>
        <v>Hybrid</v>
      </c>
      <c r="D4618" s="8" t="str">
        <f>IFERROR(INDEX('nav master'!$C:$C, MATCH(B4618, 'nav master'!$B:$B, 0)), "")</f>
        <v>ULIF06914/06/19SecAdvFund101</v>
      </c>
      <c r="E4618" s="8" t="s">
        <v>592</v>
      </c>
      <c r="F4618" s="8" t="s">
        <v>4811</v>
      </c>
    </row>
    <row r="4619" spans="1:6" ht="60" x14ac:dyDescent="0.25">
      <c r="A4619" s="8" t="s">
        <v>125</v>
      </c>
      <c r="B4619" s="8" t="s">
        <v>145</v>
      </c>
      <c r="C4619" s="8" t="str">
        <f>IFERROR(_xlfn.XLOOKUP(TRIM(B4619),Lookup!$B$2:$B$1000,Lookup!$C$2:$C$1000),"")</f>
        <v>Hybrid</v>
      </c>
      <c r="D4619" s="8" t="str">
        <f>IFERROR(INDEX('nav master'!$C:$C, MATCH(B4619, 'nav master'!$B:$B, 0)), "")</f>
        <v>ULIF06914/06/19SecAdvFund101</v>
      </c>
      <c r="E4619" s="8" t="s">
        <v>594</v>
      </c>
      <c r="F4619" s="8" t="s">
        <v>4706</v>
      </c>
    </row>
    <row r="4620" spans="1:6" ht="60" x14ac:dyDescent="0.25">
      <c r="A4620" s="8" t="s">
        <v>125</v>
      </c>
      <c r="B4620" s="8" t="s">
        <v>145</v>
      </c>
      <c r="C4620" s="8" t="str">
        <f>IFERROR(_xlfn.XLOOKUP(TRIM(B4620),Lookup!$B$2:$B$1000,Lookup!$C$2:$C$1000),"")</f>
        <v>Hybrid</v>
      </c>
      <c r="D4620" s="8" t="str">
        <f>IFERROR(INDEX('nav master'!$C:$C, MATCH(B4620, 'nav master'!$B:$B, 0)), "")</f>
        <v>ULIF06914/06/19SecAdvFund101</v>
      </c>
      <c r="E4620" s="8" t="s">
        <v>596</v>
      </c>
      <c r="F4620" s="8" t="s">
        <v>4812</v>
      </c>
    </row>
    <row r="4621" spans="1:6" ht="60" x14ac:dyDescent="0.25">
      <c r="A4621" s="8" t="s">
        <v>125</v>
      </c>
      <c r="B4621" s="8" t="s">
        <v>145</v>
      </c>
      <c r="C4621" s="8" t="str">
        <f>IFERROR(_xlfn.XLOOKUP(TRIM(B4621),Lookup!$B$2:$B$1000,Lookup!$C$2:$C$1000),"")</f>
        <v>Hybrid</v>
      </c>
      <c r="D4621" s="8" t="str">
        <f>IFERROR(INDEX('nav master'!$C:$C, MATCH(B4621, 'nav master'!$B:$B, 0)), "")</f>
        <v>ULIF06914/06/19SecAdvFund101</v>
      </c>
      <c r="E4621" s="8" t="s">
        <v>598</v>
      </c>
      <c r="F4621" s="8" t="s">
        <v>4813</v>
      </c>
    </row>
    <row r="4622" spans="1:6" ht="60" x14ac:dyDescent="0.25">
      <c r="A4622" s="8" t="s">
        <v>125</v>
      </c>
      <c r="B4622" s="8" t="s">
        <v>145</v>
      </c>
      <c r="C4622" s="8" t="str">
        <f>IFERROR(_xlfn.XLOOKUP(TRIM(B4622),Lookup!$B$2:$B$1000,Lookup!$C$2:$C$1000),"")</f>
        <v>Hybrid</v>
      </c>
      <c r="D4622" s="8" t="str">
        <f>IFERROR(INDEX('nav master'!$C:$C, MATCH(B4622, 'nav master'!$B:$B, 0)), "")</f>
        <v>ULIF06914/06/19SecAdvFund101</v>
      </c>
      <c r="E4622" s="8" t="s">
        <v>600</v>
      </c>
      <c r="F4622" s="8" t="s">
        <v>4814</v>
      </c>
    </row>
    <row r="4623" spans="1:6" ht="60" x14ac:dyDescent="0.25">
      <c r="A4623" s="8" t="s">
        <v>125</v>
      </c>
      <c r="B4623" s="8" t="s">
        <v>145</v>
      </c>
      <c r="C4623" s="8" t="str">
        <f>IFERROR(_xlfn.XLOOKUP(TRIM(B4623),Lookup!$B$2:$B$1000,Lookup!$C$2:$C$1000),"")</f>
        <v>Hybrid</v>
      </c>
      <c r="D4623" s="8" t="str">
        <f>IFERROR(INDEX('nav master'!$C:$C, MATCH(B4623, 'nav master'!$B:$B, 0)), "")</f>
        <v>ULIF06914/06/19SecAdvFund101</v>
      </c>
      <c r="E4623" s="8" t="s">
        <v>602</v>
      </c>
      <c r="F4623" s="8" t="s">
        <v>4815</v>
      </c>
    </row>
    <row r="4624" spans="1:6" ht="60" x14ac:dyDescent="0.25">
      <c r="A4624" s="8" t="s">
        <v>125</v>
      </c>
      <c r="B4624" s="8" t="s">
        <v>145</v>
      </c>
      <c r="C4624" s="8" t="str">
        <f>IFERROR(_xlfn.XLOOKUP(TRIM(B4624),Lookup!$B$2:$B$1000,Lookup!$C$2:$C$1000),"")</f>
        <v>Hybrid</v>
      </c>
      <c r="D4624" s="8" t="str">
        <f>IFERROR(INDEX('nav master'!$C:$C, MATCH(B4624, 'nav master'!$B:$B, 0)), "")</f>
        <v>ULIF06914/06/19SecAdvFund101</v>
      </c>
      <c r="E4624" s="8" t="s">
        <v>604</v>
      </c>
      <c r="F4624" s="8" t="s">
        <v>4816</v>
      </c>
    </row>
    <row r="4625" spans="1:6" ht="60" x14ac:dyDescent="0.25">
      <c r="A4625" s="8" t="s">
        <v>125</v>
      </c>
      <c r="B4625" s="8" t="s">
        <v>145</v>
      </c>
      <c r="C4625" s="8" t="str">
        <f>IFERROR(_xlfn.XLOOKUP(TRIM(B4625),Lookup!$B$2:$B$1000,Lookup!$C$2:$C$1000),"")</f>
        <v>Hybrid</v>
      </c>
      <c r="D4625" s="8" t="str">
        <f>IFERROR(INDEX('nav master'!$C:$C, MATCH(B4625, 'nav master'!$B:$B, 0)), "")</f>
        <v>ULIF06914/06/19SecAdvFund101</v>
      </c>
      <c r="E4625" s="8" t="s">
        <v>606</v>
      </c>
      <c r="F4625" s="8" t="s">
        <v>4817</v>
      </c>
    </row>
    <row r="4626" spans="1:6" ht="60" x14ac:dyDescent="0.25">
      <c r="A4626" s="8" t="s">
        <v>125</v>
      </c>
      <c r="B4626" s="8" t="s">
        <v>145</v>
      </c>
      <c r="C4626" s="8" t="str">
        <f>IFERROR(_xlfn.XLOOKUP(TRIM(B4626),Lookup!$B$2:$B$1000,Lookup!$C$2:$C$1000),"")</f>
        <v>Hybrid</v>
      </c>
      <c r="D4626" s="8" t="str">
        <f>IFERROR(INDEX('nav master'!$C:$C, MATCH(B4626, 'nav master'!$B:$B, 0)), "")</f>
        <v>ULIF06914/06/19SecAdvFund101</v>
      </c>
      <c r="E4626" s="8" t="s">
        <v>608</v>
      </c>
      <c r="F4626" s="8" t="s">
        <v>4818</v>
      </c>
    </row>
    <row r="4627" spans="1:6" ht="60" x14ac:dyDescent="0.25">
      <c r="A4627" s="8" t="s">
        <v>125</v>
      </c>
      <c r="B4627" s="8" t="s">
        <v>145</v>
      </c>
      <c r="C4627" s="8" t="str">
        <f>IFERROR(_xlfn.XLOOKUP(TRIM(B4627),Lookup!$B$2:$B$1000,Lookup!$C$2:$C$1000),"")</f>
        <v>Hybrid</v>
      </c>
      <c r="D4627" s="8" t="str">
        <f>IFERROR(INDEX('nav master'!$C:$C, MATCH(B4627, 'nav master'!$B:$B, 0)), "")</f>
        <v>ULIF06914/06/19SecAdvFund101</v>
      </c>
      <c r="E4627" s="8" t="s">
        <v>610</v>
      </c>
      <c r="F4627" s="8" t="s">
        <v>4819</v>
      </c>
    </row>
    <row r="4628" spans="1:6" ht="60" x14ac:dyDescent="0.25">
      <c r="A4628" s="8" t="s">
        <v>125</v>
      </c>
      <c r="B4628" s="8" t="s">
        <v>145</v>
      </c>
      <c r="C4628" s="8" t="str">
        <f>IFERROR(_xlfn.XLOOKUP(TRIM(B4628),Lookup!$B$2:$B$1000,Lookup!$C$2:$C$1000),"")</f>
        <v>Hybrid</v>
      </c>
      <c r="D4628" s="8" t="str">
        <f>IFERROR(INDEX('nav master'!$C:$C, MATCH(B4628, 'nav master'!$B:$B, 0)), "")</f>
        <v>ULIF06914/06/19SecAdvFund101</v>
      </c>
      <c r="E4628" s="8" t="s">
        <v>612</v>
      </c>
      <c r="F4628" s="8" t="s">
        <v>2562</v>
      </c>
    </row>
    <row r="4629" spans="1:6" ht="60" x14ac:dyDescent="0.25">
      <c r="A4629" s="8" t="s">
        <v>125</v>
      </c>
      <c r="B4629" s="8" t="s">
        <v>145</v>
      </c>
      <c r="C4629" s="8" t="str">
        <f>IFERROR(_xlfn.XLOOKUP(TRIM(B4629),Lookup!$B$2:$B$1000,Lookup!$C$2:$C$1000),"")</f>
        <v>Hybrid</v>
      </c>
      <c r="D4629" s="8" t="str">
        <f>IFERROR(INDEX('nav master'!$C:$C, MATCH(B4629, 'nav master'!$B:$B, 0)), "")</f>
        <v>ULIF06914/06/19SecAdvFund101</v>
      </c>
      <c r="E4629" s="8" t="s">
        <v>614</v>
      </c>
      <c r="F4629" s="8" t="s">
        <v>4820</v>
      </c>
    </row>
    <row r="4630" spans="1:6" ht="60" x14ac:dyDescent="0.25">
      <c r="A4630" s="8" t="s">
        <v>125</v>
      </c>
      <c r="B4630" s="8" t="s">
        <v>145</v>
      </c>
      <c r="C4630" s="8" t="str">
        <f>IFERROR(_xlfn.XLOOKUP(TRIM(B4630),Lookup!$B$2:$B$1000,Lookup!$C$2:$C$1000),"")</f>
        <v>Hybrid</v>
      </c>
      <c r="D4630" s="8" t="str">
        <f>IFERROR(INDEX('nav master'!$C:$C, MATCH(B4630, 'nav master'!$B:$B, 0)), "")</f>
        <v>ULIF06914/06/19SecAdvFund101</v>
      </c>
      <c r="E4630" s="8" t="s">
        <v>616</v>
      </c>
      <c r="F4630" s="8" t="s">
        <v>4821</v>
      </c>
    </row>
    <row r="4631" spans="1:6" ht="60" x14ac:dyDescent="0.25">
      <c r="A4631" s="8" t="s">
        <v>125</v>
      </c>
      <c r="B4631" s="8" t="s">
        <v>145</v>
      </c>
      <c r="C4631" s="8" t="str">
        <f>IFERROR(_xlfn.XLOOKUP(TRIM(B4631),Lookup!$B$2:$B$1000,Lookup!$C$2:$C$1000),"")</f>
        <v>Hybrid</v>
      </c>
      <c r="D4631" s="8" t="str">
        <f>IFERROR(INDEX('nav master'!$C:$C, MATCH(B4631, 'nav master'!$B:$B, 0)), "")</f>
        <v>ULIF06914/06/19SecAdvFund101</v>
      </c>
      <c r="E4631" s="8" t="s">
        <v>618</v>
      </c>
      <c r="F4631" s="8" t="s">
        <v>4822</v>
      </c>
    </row>
    <row r="4632" spans="1:6" ht="60" x14ac:dyDescent="0.25">
      <c r="A4632" s="8" t="s">
        <v>125</v>
      </c>
      <c r="B4632" s="8" t="s">
        <v>145</v>
      </c>
      <c r="C4632" s="8" t="str">
        <f>IFERROR(_xlfn.XLOOKUP(TRIM(B4632),Lookup!$B$2:$B$1000,Lookup!$C$2:$C$1000),"")</f>
        <v>Hybrid</v>
      </c>
      <c r="D4632" s="8" t="str">
        <f>IFERROR(INDEX('nav master'!$C:$C, MATCH(B4632, 'nav master'!$B:$B, 0)), "")</f>
        <v>ULIF06914/06/19SecAdvFund101</v>
      </c>
      <c r="E4632" s="8" t="s">
        <v>620</v>
      </c>
      <c r="F4632" s="8" t="s">
        <v>3901</v>
      </c>
    </row>
    <row r="4633" spans="1:6" ht="60" x14ac:dyDescent="0.25">
      <c r="A4633" s="8" t="s">
        <v>125</v>
      </c>
      <c r="B4633" s="8" t="s">
        <v>145</v>
      </c>
      <c r="C4633" s="8" t="str">
        <f>IFERROR(_xlfn.XLOOKUP(TRIM(B4633),Lookup!$B$2:$B$1000,Lookup!$C$2:$C$1000),"")</f>
        <v>Hybrid</v>
      </c>
      <c r="D4633" s="8" t="str">
        <f>IFERROR(INDEX('nav master'!$C:$C, MATCH(B4633, 'nav master'!$B:$B, 0)), "")</f>
        <v>ULIF06914/06/19SecAdvFund101</v>
      </c>
      <c r="E4633" s="8" t="s">
        <v>622</v>
      </c>
      <c r="F4633" s="8" t="s">
        <v>4823</v>
      </c>
    </row>
    <row r="4634" spans="1:6" ht="60" x14ac:dyDescent="0.25">
      <c r="A4634" s="8" t="s">
        <v>125</v>
      </c>
      <c r="B4634" s="8" t="s">
        <v>145</v>
      </c>
      <c r="C4634" s="8" t="str">
        <f>IFERROR(_xlfn.XLOOKUP(TRIM(B4634),Lookup!$B$2:$B$1000,Lookup!$C$2:$C$1000),"")</f>
        <v>Hybrid</v>
      </c>
      <c r="D4634" s="8" t="str">
        <f>IFERROR(INDEX('nav master'!$C:$C, MATCH(B4634, 'nav master'!$B:$B, 0)), "")</f>
        <v>ULIF06914/06/19SecAdvFund101</v>
      </c>
      <c r="E4634" s="8" t="s">
        <v>624</v>
      </c>
      <c r="F4634" s="8" t="s">
        <v>4824</v>
      </c>
    </row>
    <row r="4635" spans="1:6" ht="60" x14ac:dyDescent="0.25">
      <c r="A4635" s="8" t="s">
        <v>125</v>
      </c>
      <c r="B4635" s="8" t="s">
        <v>145</v>
      </c>
      <c r="C4635" s="8" t="str">
        <f>IFERROR(_xlfn.XLOOKUP(TRIM(B4635),Lookup!$B$2:$B$1000,Lookup!$C$2:$C$1000),"")</f>
        <v>Hybrid</v>
      </c>
      <c r="D4635" s="8" t="str">
        <f>IFERROR(INDEX('nav master'!$C:$C, MATCH(B4635, 'nav master'!$B:$B, 0)), "")</f>
        <v>ULIF06914/06/19SecAdvFund101</v>
      </c>
      <c r="E4635" s="8" t="s">
        <v>626</v>
      </c>
      <c r="F4635" s="8" t="s">
        <v>4825</v>
      </c>
    </row>
    <row r="4636" spans="1:6" ht="60" x14ac:dyDescent="0.25">
      <c r="A4636" s="8" t="s">
        <v>125</v>
      </c>
      <c r="B4636" s="8" t="s">
        <v>145</v>
      </c>
      <c r="C4636" s="8" t="str">
        <f>IFERROR(_xlfn.XLOOKUP(TRIM(B4636),Lookup!$B$2:$B$1000,Lookup!$C$2:$C$1000),"")</f>
        <v>Hybrid</v>
      </c>
      <c r="D4636" s="8" t="str">
        <f>IFERROR(INDEX('nav master'!$C:$C, MATCH(B4636, 'nav master'!$B:$B, 0)), "")</f>
        <v>ULIF06914/06/19SecAdvFund101</v>
      </c>
      <c r="E4636" s="8" t="s">
        <v>628</v>
      </c>
      <c r="F4636" s="8" t="s">
        <v>4826</v>
      </c>
    </row>
    <row r="4637" spans="1:6" ht="60" x14ac:dyDescent="0.25">
      <c r="A4637" s="8" t="s">
        <v>125</v>
      </c>
      <c r="B4637" s="8" t="s">
        <v>145</v>
      </c>
      <c r="C4637" s="8" t="str">
        <f>IFERROR(_xlfn.XLOOKUP(TRIM(B4637),Lookup!$B$2:$B$1000,Lookup!$C$2:$C$1000),"")</f>
        <v>Hybrid</v>
      </c>
      <c r="D4637" s="8" t="str">
        <f>IFERROR(INDEX('nav master'!$C:$C, MATCH(B4637, 'nav master'!$B:$B, 0)), "")</f>
        <v>ULIF06914/06/19SecAdvFund101</v>
      </c>
      <c r="E4637" s="8" t="s">
        <v>630</v>
      </c>
      <c r="F4637" s="8" t="s">
        <v>4827</v>
      </c>
    </row>
    <row r="4638" spans="1:6" ht="60" x14ac:dyDescent="0.25">
      <c r="A4638" s="8" t="s">
        <v>125</v>
      </c>
      <c r="B4638" s="8" t="s">
        <v>145</v>
      </c>
      <c r="C4638" s="8" t="str">
        <f>IFERROR(_xlfn.XLOOKUP(TRIM(B4638),Lookup!$B$2:$B$1000,Lookup!$C$2:$C$1000),"")</f>
        <v>Hybrid</v>
      </c>
      <c r="D4638" s="8" t="str">
        <f>IFERROR(INDEX('nav master'!$C:$C, MATCH(B4638, 'nav master'!$B:$B, 0)), "")</f>
        <v>ULIF06914/06/19SecAdvFund101</v>
      </c>
      <c r="E4638" s="8" t="s">
        <v>632</v>
      </c>
      <c r="F4638" s="8" t="s">
        <v>4828</v>
      </c>
    </row>
    <row r="4639" spans="1:6" ht="60" x14ac:dyDescent="0.25">
      <c r="A4639" s="8" t="s">
        <v>125</v>
      </c>
      <c r="B4639" s="8" t="s">
        <v>145</v>
      </c>
      <c r="C4639" s="8" t="str">
        <f>IFERROR(_xlfn.XLOOKUP(TRIM(B4639),Lookup!$B$2:$B$1000,Lookup!$C$2:$C$1000),"")</f>
        <v>Hybrid</v>
      </c>
      <c r="D4639" s="8" t="str">
        <f>IFERROR(INDEX('nav master'!$C:$C, MATCH(B4639, 'nav master'!$B:$B, 0)), "")</f>
        <v>ULIF06914/06/19SecAdvFund101</v>
      </c>
      <c r="E4639" s="8" t="s">
        <v>634</v>
      </c>
      <c r="F4639" s="8" t="s">
        <v>4829</v>
      </c>
    </row>
    <row r="4640" spans="1:6" ht="60" x14ac:dyDescent="0.25">
      <c r="A4640" s="8" t="s">
        <v>125</v>
      </c>
      <c r="B4640" s="8" t="s">
        <v>145</v>
      </c>
      <c r="C4640" s="8" t="str">
        <f>IFERROR(_xlfn.XLOOKUP(TRIM(B4640),Lookup!$B$2:$B$1000,Lookup!$C$2:$C$1000),"")</f>
        <v>Hybrid</v>
      </c>
      <c r="D4640" s="8" t="str">
        <f>IFERROR(INDEX('nav master'!$C:$C, MATCH(B4640, 'nav master'!$B:$B, 0)), "")</f>
        <v>ULIF06914/06/19SecAdvFund101</v>
      </c>
      <c r="E4640" s="8" t="s">
        <v>636</v>
      </c>
      <c r="F4640" s="8" t="s">
        <v>4830</v>
      </c>
    </row>
    <row r="4641" spans="1:6" ht="60" x14ac:dyDescent="0.25">
      <c r="A4641" s="8" t="s">
        <v>125</v>
      </c>
      <c r="B4641" s="8" t="s">
        <v>145</v>
      </c>
      <c r="C4641" s="8" t="str">
        <f>IFERROR(_xlfn.XLOOKUP(TRIM(B4641),Lookup!$B$2:$B$1000,Lookup!$C$2:$C$1000),"")</f>
        <v>Hybrid</v>
      </c>
      <c r="D4641" s="8" t="str">
        <f>IFERROR(INDEX('nav master'!$C:$C, MATCH(B4641, 'nav master'!$B:$B, 0)), "")</f>
        <v>ULIF06914/06/19SecAdvFund101</v>
      </c>
      <c r="E4641" s="8" t="s">
        <v>638</v>
      </c>
      <c r="F4641" s="8" t="s">
        <v>4831</v>
      </c>
    </row>
    <row r="4642" spans="1:6" ht="60" x14ac:dyDescent="0.25">
      <c r="A4642" s="8" t="s">
        <v>125</v>
      </c>
      <c r="B4642" s="8" t="s">
        <v>145</v>
      </c>
      <c r="C4642" s="8" t="str">
        <f>IFERROR(_xlfn.XLOOKUP(TRIM(B4642),Lookup!$B$2:$B$1000,Lookup!$C$2:$C$1000),"")</f>
        <v>Hybrid</v>
      </c>
      <c r="D4642" s="8" t="str">
        <f>IFERROR(INDEX('nav master'!$C:$C, MATCH(B4642, 'nav master'!$B:$B, 0)), "")</f>
        <v>ULIF06914/06/19SecAdvFund101</v>
      </c>
      <c r="E4642" s="8" t="s">
        <v>640</v>
      </c>
      <c r="F4642" s="8" t="s">
        <v>4832</v>
      </c>
    </row>
    <row r="4643" spans="1:6" ht="60" x14ac:dyDescent="0.25">
      <c r="A4643" s="8" t="s">
        <v>125</v>
      </c>
      <c r="B4643" s="8" t="s">
        <v>145</v>
      </c>
      <c r="C4643" s="8" t="str">
        <f>IFERROR(_xlfn.XLOOKUP(TRIM(B4643),Lookup!$B$2:$B$1000,Lookup!$C$2:$C$1000),"")</f>
        <v>Hybrid</v>
      </c>
      <c r="D4643" s="8" t="str">
        <f>IFERROR(INDEX('nav master'!$C:$C, MATCH(B4643, 'nav master'!$B:$B, 0)), "")</f>
        <v>ULIF06914/06/19SecAdvFund101</v>
      </c>
      <c r="E4643" s="8" t="s">
        <v>642</v>
      </c>
      <c r="F4643" s="8" t="s">
        <v>4833</v>
      </c>
    </row>
    <row r="4644" spans="1:6" ht="60" x14ac:dyDescent="0.25">
      <c r="A4644" s="8" t="s">
        <v>125</v>
      </c>
      <c r="B4644" s="8" t="s">
        <v>145</v>
      </c>
      <c r="C4644" s="8" t="str">
        <f>IFERROR(_xlfn.XLOOKUP(TRIM(B4644),Lookup!$B$2:$B$1000,Lookup!$C$2:$C$1000),"")</f>
        <v>Hybrid</v>
      </c>
      <c r="D4644" s="8" t="str">
        <f>IFERROR(INDEX('nav master'!$C:$C, MATCH(B4644, 'nav master'!$B:$B, 0)), "")</f>
        <v>ULIF06914/06/19SecAdvFund101</v>
      </c>
      <c r="E4644" s="8" t="s">
        <v>644</v>
      </c>
      <c r="F4644" s="8" t="s">
        <v>4834</v>
      </c>
    </row>
    <row r="4645" spans="1:6" ht="60" x14ac:dyDescent="0.25">
      <c r="A4645" s="8" t="s">
        <v>125</v>
      </c>
      <c r="B4645" s="8" t="s">
        <v>145</v>
      </c>
      <c r="C4645" s="8" t="str">
        <f>IFERROR(_xlfn.XLOOKUP(TRIM(B4645),Lookup!$B$2:$B$1000,Lookup!$C$2:$C$1000),"")</f>
        <v>Hybrid</v>
      </c>
      <c r="D4645" s="8" t="str">
        <f>IFERROR(INDEX('nav master'!$C:$C, MATCH(B4645, 'nav master'!$B:$B, 0)), "")</f>
        <v>ULIF06914/06/19SecAdvFund101</v>
      </c>
      <c r="E4645" s="8" t="s">
        <v>646</v>
      </c>
      <c r="F4645" s="8" t="s">
        <v>4835</v>
      </c>
    </row>
    <row r="4646" spans="1:6" ht="60" x14ac:dyDescent="0.25">
      <c r="A4646" s="8" t="s">
        <v>125</v>
      </c>
      <c r="B4646" s="8" t="s">
        <v>145</v>
      </c>
      <c r="C4646" s="8" t="str">
        <f>IFERROR(_xlfn.XLOOKUP(TRIM(B4646),Lookup!$B$2:$B$1000,Lookup!$C$2:$C$1000),"")</f>
        <v>Hybrid</v>
      </c>
      <c r="D4646" s="8" t="str">
        <f>IFERROR(INDEX('nav master'!$C:$C, MATCH(B4646, 'nav master'!$B:$B, 0)), "")</f>
        <v>ULIF06914/06/19SecAdvFund101</v>
      </c>
      <c r="E4646" s="8" t="s">
        <v>648</v>
      </c>
      <c r="F4646" s="8" t="s">
        <v>4836</v>
      </c>
    </row>
    <row r="4647" spans="1:6" ht="60" x14ac:dyDescent="0.25">
      <c r="A4647" s="8" t="s">
        <v>125</v>
      </c>
      <c r="B4647" s="8" t="s">
        <v>145</v>
      </c>
      <c r="C4647" s="8" t="str">
        <f>IFERROR(_xlfn.XLOOKUP(TRIM(B4647),Lookup!$B$2:$B$1000,Lookup!$C$2:$C$1000),"")</f>
        <v>Hybrid</v>
      </c>
      <c r="D4647" s="8" t="str">
        <f>IFERROR(INDEX('nav master'!$C:$C, MATCH(B4647, 'nav master'!$B:$B, 0)), "")</f>
        <v>ULIF06914/06/19SecAdvFund101</v>
      </c>
      <c r="E4647" s="8" t="s">
        <v>650</v>
      </c>
      <c r="F4647" s="8" t="s">
        <v>4837</v>
      </c>
    </row>
    <row r="4648" spans="1:6" ht="60" x14ac:dyDescent="0.25">
      <c r="A4648" s="8" t="s">
        <v>125</v>
      </c>
      <c r="B4648" s="8" t="s">
        <v>145</v>
      </c>
      <c r="C4648" s="8" t="str">
        <f>IFERROR(_xlfn.XLOOKUP(TRIM(B4648),Lookup!$B$2:$B$1000,Lookup!$C$2:$C$1000),"")</f>
        <v>Hybrid</v>
      </c>
      <c r="D4648" s="8" t="str">
        <f>IFERROR(INDEX('nav master'!$C:$C, MATCH(B4648, 'nav master'!$B:$B, 0)), "")</f>
        <v>ULIF06914/06/19SecAdvFund101</v>
      </c>
      <c r="E4648" s="8" t="s">
        <v>652</v>
      </c>
      <c r="F4648" s="8" t="s">
        <v>4830</v>
      </c>
    </row>
    <row r="4649" spans="1:6" ht="60" x14ac:dyDescent="0.25">
      <c r="A4649" s="8" t="s">
        <v>125</v>
      </c>
      <c r="B4649" s="8" t="s">
        <v>145</v>
      </c>
      <c r="C4649" s="8" t="str">
        <f>IFERROR(_xlfn.XLOOKUP(TRIM(B4649),Lookup!$B$2:$B$1000,Lookup!$C$2:$C$1000),"")</f>
        <v>Hybrid</v>
      </c>
      <c r="D4649" s="8" t="str">
        <f>IFERROR(INDEX('nav master'!$C:$C, MATCH(B4649, 'nav master'!$B:$B, 0)), "")</f>
        <v>ULIF06914/06/19SecAdvFund101</v>
      </c>
      <c r="E4649" s="8" t="s">
        <v>654</v>
      </c>
      <c r="F4649" s="8" t="s">
        <v>4838</v>
      </c>
    </row>
    <row r="4650" spans="1:6" ht="60" x14ac:dyDescent="0.25">
      <c r="A4650" s="8" t="s">
        <v>125</v>
      </c>
      <c r="B4650" s="8" t="s">
        <v>145</v>
      </c>
      <c r="C4650" s="8" t="str">
        <f>IFERROR(_xlfn.XLOOKUP(TRIM(B4650),Lookup!$B$2:$B$1000,Lookup!$C$2:$C$1000),"")</f>
        <v>Hybrid</v>
      </c>
      <c r="D4650" s="8" t="str">
        <f>IFERROR(INDEX('nav master'!$C:$C, MATCH(B4650, 'nav master'!$B:$B, 0)), "")</f>
        <v>ULIF06914/06/19SecAdvFund101</v>
      </c>
      <c r="E4650" s="8" t="s">
        <v>656</v>
      </c>
      <c r="F4650" s="8" t="s">
        <v>4839</v>
      </c>
    </row>
    <row r="4651" spans="1:6" ht="60" x14ac:dyDescent="0.25">
      <c r="A4651" s="8" t="s">
        <v>125</v>
      </c>
      <c r="B4651" s="8" t="s">
        <v>145</v>
      </c>
      <c r="C4651" s="8" t="str">
        <f>IFERROR(_xlfn.XLOOKUP(TRIM(B4651),Lookup!$B$2:$B$1000,Lookup!$C$2:$C$1000),"")</f>
        <v>Hybrid</v>
      </c>
      <c r="D4651" s="8" t="str">
        <f>IFERROR(INDEX('nav master'!$C:$C, MATCH(B4651, 'nav master'!$B:$B, 0)), "")</f>
        <v>ULIF06914/06/19SecAdvFund101</v>
      </c>
      <c r="E4651" s="8" t="s">
        <v>658</v>
      </c>
      <c r="F4651" s="8" t="s">
        <v>4840</v>
      </c>
    </row>
    <row r="4652" spans="1:6" ht="60" x14ac:dyDescent="0.25">
      <c r="A4652" s="8" t="s">
        <v>125</v>
      </c>
      <c r="B4652" s="8" t="s">
        <v>145</v>
      </c>
      <c r="C4652" s="8" t="str">
        <f>IFERROR(_xlfn.XLOOKUP(TRIM(B4652),Lookup!$B$2:$B$1000,Lookup!$C$2:$C$1000),"")</f>
        <v>Hybrid</v>
      </c>
      <c r="D4652" s="8" t="str">
        <f>IFERROR(INDEX('nav master'!$C:$C, MATCH(B4652, 'nav master'!$B:$B, 0)), "")</f>
        <v>ULIF06914/06/19SecAdvFund101</v>
      </c>
      <c r="E4652" s="8" t="s">
        <v>660</v>
      </c>
      <c r="F4652" s="8" t="s">
        <v>4841</v>
      </c>
    </row>
    <row r="4653" spans="1:6" ht="60" x14ac:dyDescent="0.25">
      <c r="A4653" s="8" t="s">
        <v>125</v>
      </c>
      <c r="B4653" s="8" t="s">
        <v>145</v>
      </c>
      <c r="C4653" s="8" t="str">
        <f>IFERROR(_xlfn.XLOOKUP(TRIM(B4653),Lookup!$B$2:$B$1000,Lookup!$C$2:$C$1000),"")</f>
        <v>Hybrid</v>
      </c>
      <c r="D4653" s="8" t="str">
        <f>IFERROR(INDEX('nav master'!$C:$C, MATCH(B4653, 'nav master'!$B:$B, 0)), "")</f>
        <v>ULIF06914/06/19SecAdvFund101</v>
      </c>
      <c r="E4653" s="8" t="s">
        <v>662</v>
      </c>
      <c r="F4653" s="8" t="s">
        <v>4842</v>
      </c>
    </row>
    <row r="4654" spans="1:6" ht="60" x14ac:dyDescent="0.25">
      <c r="A4654" s="8" t="s">
        <v>125</v>
      </c>
      <c r="B4654" s="8" t="s">
        <v>145</v>
      </c>
      <c r="C4654" s="8" t="str">
        <f>IFERROR(_xlfn.XLOOKUP(TRIM(B4654),Lookup!$B$2:$B$1000,Lookup!$C$2:$C$1000),"")</f>
        <v>Hybrid</v>
      </c>
      <c r="D4654" s="8" t="str">
        <f>IFERROR(INDEX('nav master'!$C:$C, MATCH(B4654, 'nav master'!$B:$B, 0)), "")</f>
        <v>ULIF06914/06/19SecAdvFund101</v>
      </c>
      <c r="E4654" s="8" t="s">
        <v>664</v>
      </c>
      <c r="F4654" s="8" t="s">
        <v>4843</v>
      </c>
    </row>
    <row r="4655" spans="1:6" ht="60" x14ac:dyDescent="0.25">
      <c r="A4655" s="8" t="s">
        <v>125</v>
      </c>
      <c r="B4655" s="8" t="s">
        <v>145</v>
      </c>
      <c r="C4655" s="8" t="str">
        <f>IFERROR(_xlfn.XLOOKUP(TRIM(B4655),Lookup!$B$2:$B$1000,Lookup!$C$2:$C$1000),"")</f>
        <v>Hybrid</v>
      </c>
      <c r="D4655" s="8" t="str">
        <f>IFERROR(INDEX('nav master'!$C:$C, MATCH(B4655, 'nav master'!$B:$B, 0)), "")</f>
        <v>ULIF06914/06/19SecAdvFund101</v>
      </c>
      <c r="E4655" s="8" t="s">
        <v>4892</v>
      </c>
      <c r="F4655" s="8" t="s">
        <v>3870</v>
      </c>
    </row>
    <row r="4656" spans="1:6" ht="60" x14ac:dyDescent="0.25">
      <c r="A4656" s="8" t="s">
        <v>125</v>
      </c>
      <c r="B4656" s="8" t="s">
        <v>145</v>
      </c>
      <c r="C4656" s="8" t="str">
        <f>IFERROR(_xlfn.XLOOKUP(TRIM(B4656),Lookup!$B$2:$B$1000,Lookup!$C$2:$C$1000),"")</f>
        <v>Hybrid</v>
      </c>
      <c r="D4656" s="8" t="str">
        <f>IFERROR(INDEX('nav master'!$C:$C, MATCH(B4656, 'nav master'!$B:$B, 0)), "")</f>
        <v>ULIF06914/06/19SecAdvFund101</v>
      </c>
      <c r="E4656" s="8" t="s">
        <v>4894</v>
      </c>
      <c r="F4656" s="8" t="s">
        <v>5045</v>
      </c>
    </row>
    <row r="4657" spans="1:6" ht="60" x14ac:dyDescent="0.25">
      <c r="A4657" s="8" t="s">
        <v>125</v>
      </c>
      <c r="B4657" s="8" t="s">
        <v>145</v>
      </c>
      <c r="C4657" s="8" t="str">
        <f>IFERROR(_xlfn.XLOOKUP(TRIM(B4657),Lookup!$B$2:$B$1000,Lookup!$C$2:$C$1000),"")</f>
        <v>Hybrid</v>
      </c>
      <c r="D4657" s="8" t="str">
        <f>IFERROR(INDEX('nav master'!$C:$C, MATCH(B4657, 'nav master'!$B:$B, 0)), "")</f>
        <v>ULIF06914/06/19SecAdvFund101</v>
      </c>
      <c r="E4657" s="8" t="s">
        <v>4896</v>
      </c>
      <c r="F4657" s="8" t="s">
        <v>5046</v>
      </c>
    </row>
    <row r="4658" spans="1:6" ht="60" x14ac:dyDescent="0.25">
      <c r="A4658" s="8" t="s">
        <v>125</v>
      </c>
      <c r="B4658" s="8" t="s">
        <v>145</v>
      </c>
      <c r="C4658" s="8" t="str">
        <f>IFERROR(_xlfn.XLOOKUP(TRIM(B4658),Lookup!$B$2:$B$1000,Lookup!$C$2:$C$1000),"")</f>
        <v>Hybrid</v>
      </c>
      <c r="D4658" s="8" t="str">
        <f>IFERROR(INDEX('nav master'!$C:$C, MATCH(B4658, 'nav master'!$B:$B, 0)), "")</f>
        <v>ULIF06914/06/19SecAdvFund101</v>
      </c>
      <c r="E4658" s="8" t="s">
        <v>4898</v>
      </c>
      <c r="F4658" s="8" t="s">
        <v>5047</v>
      </c>
    </row>
    <row r="4659" spans="1:6" ht="60" x14ac:dyDescent="0.25">
      <c r="A4659" s="8" t="s">
        <v>125</v>
      </c>
      <c r="B4659" s="8" t="s">
        <v>145</v>
      </c>
      <c r="C4659" s="8" t="str">
        <f>IFERROR(_xlfn.XLOOKUP(TRIM(B4659),Lookup!$B$2:$B$1000,Lookup!$C$2:$C$1000),"")</f>
        <v>Hybrid</v>
      </c>
      <c r="D4659" s="8" t="str">
        <f>IFERROR(INDEX('nav master'!$C:$C, MATCH(B4659, 'nav master'!$B:$B, 0)), "")</f>
        <v>ULIF06914/06/19SecAdvFund101</v>
      </c>
      <c r="E4659" s="8" t="s">
        <v>4900</v>
      </c>
      <c r="F4659" s="8" t="s">
        <v>5048</v>
      </c>
    </row>
    <row r="4660" spans="1:6" ht="60" x14ac:dyDescent="0.25">
      <c r="A4660" s="8" t="s">
        <v>125</v>
      </c>
      <c r="B4660" s="8" t="s">
        <v>145</v>
      </c>
      <c r="C4660" s="8" t="str">
        <f>IFERROR(_xlfn.XLOOKUP(TRIM(B4660),Lookup!$B$2:$B$1000,Lookup!$C$2:$C$1000),"")</f>
        <v>Hybrid</v>
      </c>
      <c r="D4660" s="8" t="str">
        <f>IFERROR(INDEX('nav master'!$C:$C, MATCH(B4660, 'nav master'!$B:$B, 0)), "")</f>
        <v>ULIF06914/06/19SecAdvFund101</v>
      </c>
      <c r="E4660" s="8" t="s">
        <v>4902</v>
      </c>
      <c r="F4660" s="8" t="s">
        <v>5049</v>
      </c>
    </row>
    <row r="4661" spans="1:6" ht="60" x14ac:dyDescent="0.25">
      <c r="A4661" s="8" t="s">
        <v>125</v>
      </c>
      <c r="B4661" s="8" t="s">
        <v>145</v>
      </c>
      <c r="C4661" s="8" t="str">
        <f>IFERROR(_xlfn.XLOOKUP(TRIM(B4661),Lookup!$B$2:$B$1000,Lookup!$C$2:$C$1000),"")</f>
        <v>Hybrid</v>
      </c>
      <c r="D4661" s="8" t="str">
        <f>IFERROR(INDEX('nav master'!$C:$C, MATCH(B4661, 'nav master'!$B:$B, 0)), "")</f>
        <v>ULIF06914/06/19SecAdvFund101</v>
      </c>
      <c r="E4661" s="8" t="s">
        <v>4903</v>
      </c>
      <c r="F4661" s="8" t="s">
        <v>5050</v>
      </c>
    </row>
    <row r="4662" spans="1:6" ht="60" x14ac:dyDescent="0.25">
      <c r="A4662" s="8" t="s">
        <v>125</v>
      </c>
      <c r="B4662" s="8" t="s">
        <v>145</v>
      </c>
      <c r="C4662" s="8" t="str">
        <f>IFERROR(_xlfn.XLOOKUP(TRIM(B4662),Lookup!$B$2:$B$1000,Lookup!$C$2:$C$1000),"")</f>
        <v>Hybrid</v>
      </c>
      <c r="D4662" s="8" t="str">
        <f>IFERROR(INDEX('nav master'!$C:$C, MATCH(B4662, 'nav master'!$B:$B, 0)), "")</f>
        <v>ULIF06914/06/19SecAdvFund101</v>
      </c>
      <c r="E4662" s="8" t="s">
        <v>4905</v>
      </c>
      <c r="F4662" s="8" t="s">
        <v>5051</v>
      </c>
    </row>
    <row r="4663" spans="1:6" ht="60" x14ac:dyDescent="0.25">
      <c r="A4663" s="8" t="s">
        <v>125</v>
      </c>
      <c r="B4663" s="8" t="s">
        <v>4865</v>
      </c>
      <c r="C4663" s="8" t="str">
        <f>IFERROR(_xlfn.XLOOKUP(TRIM(B4663),Lookup!$B$2:$B$1000,Lookup!$C$2:$C$1000),"")</f>
        <v>Equity</v>
      </c>
      <c r="D4663" s="8" t="str">
        <f>IFERROR(INDEX('nav master'!$C:$C, MATCH(B4663, 'nav master'!$B:$B, 0)), "")</f>
        <v/>
      </c>
      <c r="E4663" s="8" t="s">
        <v>616</v>
      </c>
      <c r="F4663" s="8" t="s">
        <v>5052</v>
      </c>
    </row>
    <row r="4664" spans="1:6" ht="60" x14ac:dyDescent="0.25">
      <c r="A4664" s="8" t="s">
        <v>125</v>
      </c>
      <c r="B4664" s="8" t="s">
        <v>4865</v>
      </c>
      <c r="C4664" s="8" t="str">
        <f>IFERROR(_xlfn.XLOOKUP(TRIM(B4664),Lookup!$B$2:$B$1000,Lookup!$C$2:$C$1000),"")</f>
        <v>Equity</v>
      </c>
      <c r="D4664" s="8" t="str">
        <f>IFERROR(INDEX('nav master'!$C:$C, MATCH(B4664, 'nav master'!$B:$B, 0)), "")</f>
        <v/>
      </c>
      <c r="E4664" s="8" t="s">
        <v>618</v>
      </c>
      <c r="F4664" s="8" t="s">
        <v>5053</v>
      </c>
    </row>
    <row r="4665" spans="1:6" ht="60" x14ac:dyDescent="0.25">
      <c r="A4665" s="8" t="s">
        <v>125</v>
      </c>
      <c r="B4665" s="8" t="s">
        <v>4865</v>
      </c>
      <c r="C4665" s="8" t="str">
        <f>IFERROR(_xlfn.XLOOKUP(TRIM(B4665),Lookup!$B$2:$B$1000,Lookup!$C$2:$C$1000),"")</f>
        <v>Equity</v>
      </c>
      <c r="D4665" s="8" t="str">
        <f>IFERROR(INDEX('nav master'!$C:$C, MATCH(B4665, 'nav master'!$B:$B, 0)), "")</f>
        <v/>
      </c>
      <c r="E4665" s="8" t="s">
        <v>620</v>
      </c>
      <c r="F4665" s="8" t="s">
        <v>1624</v>
      </c>
    </row>
    <row r="4666" spans="1:6" ht="60" x14ac:dyDescent="0.25">
      <c r="A4666" s="8" t="s">
        <v>125</v>
      </c>
      <c r="B4666" s="8" t="s">
        <v>4865</v>
      </c>
      <c r="C4666" s="8" t="str">
        <f>IFERROR(_xlfn.XLOOKUP(TRIM(B4666),Lookup!$B$2:$B$1000,Lookup!$C$2:$C$1000),"")</f>
        <v>Equity</v>
      </c>
      <c r="D4666" s="8" t="str">
        <f>IFERROR(INDEX('nav master'!$C:$C, MATCH(B4666, 'nav master'!$B:$B, 0)), "")</f>
        <v/>
      </c>
      <c r="E4666" s="8" t="s">
        <v>622</v>
      </c>
      <c r="F4666" s="8" t="s">
        <v>5054</v>
      </c>
    </row>
    <row r="4667" spans="1:6" ht="60" x14ac:dyDescent="0.25">
      <c r="A4667" s="8" t="s">
        <v>125</v>
      </c>
      <c r="B4667" s="8" t="s">
        <v>4865</v>
      </c>
      <c r="C4667" s="8" t="str">
        <f>IFERROR(_xlfn.XLOOKUP(TRIM(B4667),Lookup!$B$2:$B$1000,Lookup!$C$2:$C$1000),"")</f>
        <v>Equity</v>
      </c>
      <c r="D4667" s="8" t="str">
        <f>IFERROR(INDEX('nav master'!$C:$C, MATCH(B4667, 'nav master'!$B:$B, 0)), "")</f>
        <v/>
      </c>
      <c r="E4667" s="8" t="s">
        <v>624</v>
      </c>
      <c r="F4667" s="8" t="s">
        <v>5052</v>
      </c>
    </row>
    <row r="4668" spans="1:6" ht="60" x14ac:dyDescent="0.25">
      <c r="A4668" s="8" t="s">
        <v>125</v>
      </c>
      <c r="B4668" s="8" t="s">
        <v>4865</v>
      </c>
      <c r="C4668" s="8" t="str">
        <f>IFERROR(_xlfn.XLOOKUP(TRIM(B4668),Lookup!$B$2:$B$1000,Lookup!$C$2:$C$1000),"")</f>
        <v>Equity</v>
      </c>
      <c r="D4668" s="8" t="str">
        <f>IFERROR(INDEX('nav master'!$C:$C, MATCH(B4668, 'nav master'!$B:$B, 0)), "")</f>
        <v/>
      </c>
      <c r="E4668" s="8" t="s">
        <v>626</v>
      </c>
      <c r="F4668" s="8" t="s">
        <v>5055</v>
      </c>
    </row>
    <row r="4669" spans="1:6" ht="60" x14ac:dyDescent="0.25">
      <c r="A4669" s="8" t="s">
        <v>125</v>
      </c>
      <c r="B4669" s="8" t="s">
        <v>4865</v>
      </c>
      <c r="C4669" s="8" t="str">
        <f>IFERROR(_xlfn.XLOOKUP(TRIM(B4669),Lookup!$B$2:$B$1000,Lookup!$C$2:$C$1000),"")</f>
        <v>Equity</v>
      </c>
      <c r="D4669" s="8" t="str">
        <f>IFERROR(INDEX('nav master'!$C:$C, MATCH(B4669, 'nav master'!$B:$B, 0)), "")</f>
        <v/>
      </c>
      <c r="E4669" s="8" t="s">
        <v>628</v>
      </c>
      <c r="F4669" s="8" t="s">
        <v>3019</v>
      </c>
    </row>
    <row r="4670" spans="1:6" ht="60" x14ac:dyDescent="0.25">
      <c r="A4670" s="8" t="s">
        <v>125</v>
      </c>
      <c r="B4670" s="8" t="s">
        <v>4865</v>
      </c>
      <c r="C4670" s="8" t="str">
        <f>IFERROR(_xlfn.XLOOKUP(TRIM(B4670),Lookup!$B$2:$B$1000,Lookup!$C$2:$C$1000),"")</f>
        <v>Equity</v>
      </c>
      <c r="D4670" s="8" t="str">
        <f>IFERROR(INDEX('nav master'!$C:$C, MATCH(B4670, 'nav master'!$B:$B, 0)), "")</f>
        <v/>
      </c>
      <c r="E4670" s="8" t="s">
        <v>630</v>
      </c>
      <c r="F4670" s="8" t="s">
        <v>3008</v>
      </c>
    </row>
    <row r="4671" spans="1:6" ht="60" x14ac:dyDescent="0.25">
      <c r="A4671" s="8" t="s">
        <v>125</v>
      </c>
      <c r="B4671" s="8" t="s">
        <v>4865</v>
      </c>
      <c r="C4671" s="8" t="str">
        <f>IFERROR(_xlfn.XLOOKUP(TRIM(B4671),Lookup!$B$2:$B$1000,Lookup!$C$2:$C$1000),"")</f>
        <v>Equity</v>
      </c>
      <c r="D4671" s="8" t="str">
        <f>IFERROR(INDEX('nav master'!$C:$C, MATCH(B4671, 'nav master'!$B:$B, 0)), "")</f>
        <v/>
      </c>
      <c r="E4671" s="8" t="s">
        <v>632</v>
      </c>
      <c r="F4671" s="8" t="s">
        <v>5056</v>
      </c>
    </row>
    <row r="4672" spans="1:6" ht="60" x14ac:dyDescent="0.25">
      <c r="A4672" s="8" t="s">
        <v>125</v>
      </c>
      <c r="B4672" s="8" t="s">
        <v>4865</v>
      </c>
      <c r="C4672" s="8" t="str">
        <f>IFERROR(_xlfn.XLOOKUP(TRIM(B4672),Lookup!$B$2:$B$1000,Lookup!$C$2:$C$1000),"")</f>
        <v>Equity</v>
      </c>
      <c r="D4672" s="8" t="str">
        <f>IFERROR(INDEX('nav master'!$C:$C, MATCH(B4672, 'nav master'!$B:$B, 0)), "")</f>
        <v/>
      </c>
      <c r="E4672" s="8" t="s">
        <v>634</v>
      </c>
      <c r="F4672" s="8" t="s">
        <v>5057</v>
      </c>
    </row>
    <row r="4673" spans="1:6" ht="60" x14ac:dyDescent="0.25">
      <c r="A4673" s="8" t="s">
        <v>125</v>
      </c>
      <c r="B4673" s="8" t="s">
        <v>4865</v>
      </c>
      <c r="C4673" s="8" t="str">
        <f>IFERROR(_xlfn.XLOOKUP(TRIM(B4673),Lookup!$B$2:$B$1000,Lookup!$C$2:$C$1000),"")</f>
        <v>Equity</v>
      </c>
      <c r="D4673" s="8" t="str">
        <f>IFERROR(INDEX('nav master'!$C:$C, MATCH(B4673, 'nav master'!$B:$B, 0)), "")</f>
        <v/>
      </c>
      <c r="E4673" s="8" t="s">
        <v>636</v>
      </c>
      <c r="F4673" s="8" t="s">
        <v>5058</v>
      </c>
    </row>
    <row r="4674" spans="1:6" ht="60" x14ac:dyDescent="0.25">
      <c r="A4674" s="8" t="s">
        <v>125</v>
      </c>
      <c r="B4674" s="8" t="s">
        <v>4865</v>
      </c>
      <c r="C4674" s="8" t="str">
        <f>IFERROR(_xlfn.XLOOKUP(TRIM(B4674),Lookup!$B$2:$B$1000,Lookup!$C$2:$C$1000),"")</f>
        <v>Equity</v>
      </c>
      <c r="D4674" s="8" t="str">
        <f>IFERROR(INDEX('nav master'!$C:$C, MATCH(B4674, 'nav master'!$B:$B, 0)), "")</f>
        <v/>
      </c>
      <c r="E4674" s="8" t="s">
        <v>638</v>
      </c>
      <c r="F4674" s="8" t="s">
        <v>5059</v>
      </c>
    </row>
    <row r="4675" spans="1:6" ht="60" x14ac:dyDescent="0.25">
      <c r="A4675" s="8" t="s">
        <v>125</v>
      </c>
      <c r="B4675" s="8" t="s">
        <v>4865</v>
      </c>
      <c r="C4675" s="8" t="str">
        <f>IFERROR(_xlfn.XLOOKUP(TRIM(B4675),Lookup!$B$2:$B$1000,Lookup!$C$2:$C$1000),"")</f>
        <v>Equity</v>
      </c>
      <c r="D4675" s="8" t="str">
        <f>IFERROR(INDEX('nav master'!$C:$C, MATCH(B4675, 'nav master'!$B:$B, 0)), "")</f>
        <v/>
      </c>
      <c r="E4675" s="8" t="s">
        <v>640</v>
      </c>
      <c r="F4675" s="8" t="s">
        <v>5060</v>
      </c>
    </row>
    <row r="4676" spans="1:6" ht="60" x14ac:dyDescent="0.25">
      <c r="A4676" s="8" t="s">
        <v>125</v>
      </c>
      <c r="B4676" s="8" t="s">
        <v>4865</v>
      </c>
      <c r="C4676" s="8" t="str">
        <f>IFERROR(_xlfn.XLOOKUP(TRIM(B4676),Lookup!$B$2:$B$1000,Lookup!$C$2:$C$1000),"")</f>
        <v>Equity</v>
      </c>
      <c r="D4676" s="8" t="str">
        <f>IFERROR(INDEX('nav master'!$C:$C, MATCH(B4676, 'nav master'!$B:$B, 0)), "")</f>
        <v/>
      </c>
      <c r="E4676" s="8" t="s">
        <v>642</v>
      </c>
      <c r="F4676" s="8" t="s">
        <v>5061</v>
      </c>
    </row>
    <row r="4677" spans="1:6" ht="60" x14ac:dyDescent="0.25">
      <c r="A4677" s="8" t="s">
        <v>125</v>
      </c>
      <c r="B4677" s="8" t="s">
        <v>4865</v>
      </c>
      <c r="C4677" s="8" t="str">
        <f>IFERROR(_xlfn.XLOOKUP(TRIM(B4677),Lookup!$B$2:$B$1000,Lookup!$C$2:$C$1000),"")</f>
        <v>Equity</v>
      </c>
      <c r="D4677" s="8" t="str">
        <f>IFERROR(INDEX('nav master'!$C:$C, MATCH(B4677, 'nav master'!$B:$B, 0)), "")</f>
        <v/>
      </c>
      <c r="E4677" s="8" t="s">
        <v>644</v>
      </c>
      <c r="F4677" s="8" t="s">
        <v>5062</v>
      </c>
    </row>
    <row r="4678" spans="1:6" ht="60" x14ac:dyDescent="0.25">
      <c r="A4678" s="8" t="s">
        <v>125</v>
      </c>
      <c r="B4678" s="8" t="s">
        <v>4865</v>
      </c>
      <c r="C4678" s="8" t="str">
        <f>IFERROR(_xlfn.XLOOKUP(TRIM(B4678),Lookup!$B$2:$B$1000,Lookup!$C$2:$C$1000),"")</f>
        <v>Equity</v>
      </c>
      <c r="D4678" s="8" t="str">
        <f>IFERROR(INDEX('nav master'!$C:$C, MATCH(B4678, 'nav master'!$B:$B, 0)), "")</f>
        <v/>
      </c>
      <c r="E4678" s="8" t="s">
        <v>646</v>
      </c>
      <c r="F4678" s="8" t="s">
        <v>5063</v>
      </c>
    </row>
    <row r="4679" spans="1:6" ht="60" x14ac:dyDescent="0.25">
      <c r="A4679" s="8" t="s">
        <v>125</v>
      </c>
      <c r="B4679" s="8" t="s">
        <v>4865</v>
      </c>
      <c r="C4679" s="8" t="str">
        <f>IFERROR(_xlfn.XLOOKUP(TRIM(B4679),Lookup!$B$2:$B$1000,Lookup!$C$2:$C$1000),"")</f>
        <v>Equity</v>
      </c>
      <c r="D4679" s="8" t="str">
        <f>IFERROR(INDEX('nav master'!$C:$C, MATCH(B4679, 'nav master'!$B:$B, 0)), "")</f>
        <v/>
      </c>
      <c r="E4679" s="8" t="s">
        <v>648</v>
      </c>
      <c r="F4679" s="8" t="s">
        <v>5064</v>
      </c>
    </row>
    <row r="4680" spans="1:6" ht="60" x14ac:dyDescent="0.25">
      <c r="A4680" s="8" t="s">
        <v>125</v>
      </c>
      <c r="B4680" s="8" t="s">
        <v>4865</v>
      </c>
      <c r="C4680" s="8" t="str">
        <f>IFERROR(_xlfn.XLOOKUP(TRIM(B4680),Lookup!$B$2:$B$1000,Lookup!$C$2:$C$1000),"")</f>
        <v>Equity</v>
      </c>
      <c r="D4680" s="8" t="str">
        <f>IFERROR(INDEX('nav master'!$C:$C, MATCH(B4680, 'nav master'!$B:$B, 0)), "")</f>
        <v/>
      </c>
      <c r="E4680" s="8" t="s">
        <v>650</v>
      </c>
      <c r="F4680" s="8" t="s">
        <v>5065</v>
      </c>
    </row>
    <row r="4681" spans="1:6" ht="60" x14ac:dyDescent="0.25">
      <c r="A4681" s="8" t="s">
        <v>125</v>
      </c>
      <c r="B4681" s="8" t="s">
        <v>4865</v>
      </c>
      <c r="C4681" s="8" t="str">
        <f>IFERROR(_xlfn.XLOOKUP(TRIM(B4681),Lookup!$B$2:$B$1000,Lookup!$C$2:$C$1000),"")</f>
        <v>Equity</v>
      </c>
      <c r="D4681" s="8" t="str">
        <f>IFERROR(INDEX('nav master'!$C:$C, MATCH(B4681, 'nav master'!$B:$B, 0)), "")</f>
        <v/>
      </c>
      <c r="E4681" s="8" t="s">
        <v>652</v>
      </c>
      <c r="F4681" s="8" t="s">
        <v>5066</v>
      </c>
    </row>
    <row r="4682" spans="1:6" ht="60" x14ac:dyDescent="0.25">
      <c r="A4682" s="8" t="s">
        <v>125</v>
      </c>
      <c r="B4682" s="8" t="s">
        <v>4865</v>
      </c>
      <c r="C4682" s="8" t="str">
        <f>IFERROR(_xlfn.XLOOKUP(TRIM(B4682),Lookup!$B$2:$B$1000,Lookup!$C$2:$C$1000),"")</f>
        <v>Equity</v>
      </c>
      <c r="D4682" s="8" t="str">
        <f>IFERROR(INDEX('nav master'!$C:$C, MATCH(B4682, 'nav master'!$B:$B, 0)), "")</f>
        <v/>
      </c>
      <c r="E4682" s="8" t="s">
        <v>654</v>
      </c>
      <c r="F4682" s="8" t="s">
        <v>3044</v>
      </c>
    </row>
    <row r="4683" spans="1:6" ht="60" x14ac:dyDescent="0.25">
      <c r="A4683" s="8" t="s">
        <v>125</v>
      </c>
      <c r="B4683" s="8" t="s">
        <v>4865</v>
      </c>
      <c r="C4683" s="8" t="str">
        <f>IFERROR(_xlfn.XLOOKUP(TRIM(B4683),Lookup!$B$2:$B$1000,Lookup!$C$2:$C$1000),"")</f>
        <v>Equity</v>
      </c>
      <c r="D4683" s="8" t="str">
        <f>IFERROR(INDEX('nav master'!$C:$C, MATCH(B4683, 'nav master'!$B:$B, 0)), "")</f>
        <v/>
      </c>
      <c r="E4683" s="8" t="s">
        <v>656</v>
      </c>
      <c r="F4683" s="8" t="s">
        <v>5067</v>
      </c>
    </row>
    <row r="4684" spans="1:6" ht="60" x14ac:dyDescent="0.25">
      <c r="A4684" s="8" t="s">
        <v>125</v>
      </c>
      <c r="B4684" s="8" t="s">
        <v>4865</v>
      </c>
      <c r="C4684" s="8" t="str">
        <f>IFERROR(_xlfn.XLOOKUP(TRIM(B4684),Lookup!$B$2:$B$1000,Lookup!$C$2:$C$1000),"")</f>
        <v>Equity</v>
      </c>
      <c r="D4684" s="8" t="str">
        <f>IFERROR(INDEX('nav master'!$C:$C, MATCH(B4684, 'nav master'!$B:$B, 0)), "")</f>
        <v/>
      </c>
      <c r="E4684" s="8" t="s">
        <v>658</v>
      </c>
      <c r="F4684" s="8" t="s">
        <v>5068</v>
      </c>
    </row>
    <row r="4685" spans="1:6" ht="60" x14ac:dyDescent="0.25">
      <c r="A4685" s="8" t="s">
        <v>125</v>
      </c>
      <c r="B4685" s="8" t="s">
        <v>4865</v>
      </c>
      <c r="C4685" s="8" t="str">
        <f>IFERROR(_xlfn.XLOOKUP(TRIM(B4685),Lookup!$B$2:$B$1000,Lookup!$C$2:$C$1000),"")</f>
        <v>Equity</v>
      </c>
      <c r="D4685" s="8" t="str">
        <f>IFERROR(INDEX('nav master'!$C:$C, MATCH(B4685, 'nav master'!$B:$B, 0)), "")</f>
        <v/>
      </c>
      <c r="E4685" s="8" t="s">
        <v>660</v>
      </c>
      <c r="F4685" s="8" t="s">
        <v>5069</v>
      </c>
    </row>
    <row r="4686" spans="1:6" ht="60" x14ac:dyDescent="0.25">
      <c r="A4686" s="8" t="s">
        <v>125</v>
      </c>
      <c r="B4686" s="8" t="s">
        <v>4865</v>
      </c>
      <c r="C4686" s="8" t="str">
        <f>IFERROR(_xlfn.XLOOKUP(TRIM(B4686),Lookup!$B$2:$B$1000,Lookup!$C$2:$C$1000),"")</f>
        <v>Equity</v>
      </c>
      <c r="D4686" s="8" t="str">
        <f>IFERROR(INDEX('nav master'!$C:$C, MATCH(B4686, 'nav master'!$B:$B, 0)), "")</f>
        <v/>
      </c>
      <c r="E4686" s="8" t="s">
        <v>662</v>
      </c>
      <c r="F4686" s="8" t="s">
        <v>5070</v>
      </c>
    </row>
    <row r="4687" spans="1:6" ht="60" x14ac:dyDescent="0.25">
      <c r="A4687" s="8" t="s">
        <v>125</v>
      </c>
      <c r="B4687" s="8" t="s">
        <v>4865</v>
      </c>
      <c r="C4687" s="8" t="str">
        <f>IFERROR(_xlfn.XLOOKUP(TRIM(B4687),Lookup!$B$2:$B$1000,Lookup!$C$2:$C$1000),"")</f>
        <v>Equity</v>
      </c>
      <c r="D4687" s="8" t="str">
        <f>IFERROR(INDEX('nav master'!$C:$C, MATCH(B4687, 'nav master'!$B:$B, 0)), "")</f>
        <v/>
      </c>
      <c r="E4687" s="8" t="s">
        <v>664</v>
      </c>
      <c r="F4687" s="8" t="s">
        <v>5071</v>
      </c>
    </row>
    <row r="4688" spans="1:6" ht="60" x14ac:dyDescent="0.25">
      <c r="A4688" s="8" t="s">
        <v>125</v>
      </c>
      <c r="B4688" s="8" t="s">
        <v>4865</v>
      </c>
      <c r="C4688" s="8" t="str">
        <f>IFERROR(_xlfn.XLOOKUP(TRIM(B4688),Lookup!$B$2:$B$1000,Lookup!$C$2:$C$1000),"")</f>
        <v>Equity</v>
      </c>
      <c r="D4688" s="8" t="str">
        <f>IFERROR(INDEX('nav master'!$C:$C, MATCH(B4688, 'nav master'!$B:$B, 0)), "")</f>
        <v/>
      </c>
      <c r="E4688" s="8" t="s">
        <v>4892</v>
      </c>
      <c r="F4688" s="8" t="s">
        <v>5072</v>
      </c>
    </row>
    <row r="4689" spans="1:6" ht="60" x14ac:dyDescent="0.25">
      <c r="A4689" s="8" t="s">
        <v>125</v>
      </c>
      <c r="B4689" s="8" t="s">
        <v>4865</v>
      </c>
      <c r="C4689" s="8" t="str">
        <f>IFERROR(_xlfn.XLOOKUP(TRIM(B4689),Lookup!$B$2:$B$1000,Lookup!$C$2:$C$1000),"")</f>
        <v>Equity</v>
      </c>
      <c r="D4689" s="8" t="str">
        <f>IFERROR(INDEX('nav master'!$C:$C, MATCH(B4689, 'nav master'!$B:$B, 0)), "")</f>
        <v/>
      </c>
      <c r="E4689" s="8" t="s">
        <v>4894</v>
      </c>
      <c r="F4689" s="8" t="s">
        <v>5073</v>
      </c>
    </row>
    <row r="4690" spans="1:6" ht="60" x14ac:dyDescent="0.25">
      <c r="A4690" s="8" t="s">
        <v>125</v>
      </c>
      <c r="B4690" s="8" t="s">
        <v>4865</v>
      </c>
      <c r="C4690" s="8" t="str">
        <f>IFERROR(_xlfn.XLOOKUP(TRIM(B4690),Lookup!$B$2:$B$1000,Lookup!$C$2:$C$1000),"")</f>
        <v>Equity</v>
      </c>
      <c r="D4690" s="8" t="str">
        <f>IFERROR(INDEX('nav master'!$C:$C, MATCH(B4690, 'nav master'!$B:$B, 0)), "")</f>
        <v/>
      </c>
      <c r="E4690" s="8" t="s">
        <v>4896</v>
      </c>
      <c r="F4690" s="8" t="s">
        <v>5074</v>
      </c>
    </row>
    <row r="4691" spans="1:6" ht="60" x14ac:dyDescent="0.25">
      <c r="A4691" s="8" t="s">
        <v>125</v>
      </c>
      <c r="B4691" s="8" t="s">
        <v>4865</v>
      </c>
      <c r="C4691" s="8" t="str">
        <f>IFERROR(_xlfn.XLOOKUP(TRIM(B4691),Lookup!$B$2:$B$1000,Lookup!$C$2:$C$1000),"")</f>
        <v>Equity</v>
      </c>
      <c r="D4691" s="8" t="str">
        <f>IFERROR(INDEX('nav master'!$C:$C, MATCH(B4691, 'nav master'!$B:$B, 0)), "")</f>
        <v/>
      </c>
      <c r="E4691" s="8" t="s">
        <v>4898</v>
      </c>
      <c r="F4691" s="8" t="s">
        <v>5075</v>
      </c>
    </row>
    <row r="4692" spans="1:6" ht="60" x14ac:dyDescent="0.25">
      <c r="A4692" s="8" t="s">
        <v>125</v>
      </c>
      <c r="B4692" s="8" t="s">
        <v>4865</v>
      </c>
      <c r="C4692" s="8" t="str">
        <f>IFERROR(_xlfn.XLOOKUP(TRIM(B4692),Lookup!$B$2:$B$1000,Lookup!$C$2:$C$1000),"")</f>
        <v>Equity</v>
      </c>
      <c r="D4692" s="8" t="str">
        <f>IFERROR(INDEX('nav master'!$C:$C, MATCH(B4692, 'nav master'!$B:$B, 0)), "")</f>
        <v/>
      </c>
      <c r="E4692" s="8" t="s">
        <v>4900</v>
      </c>
      <c r="F4692" s="8" t="s">
        <v>5076</v>
      </c>
    </row>
    <row r="4693" spans="1:6" ht="60" x14ac:dyDescent="0.25">
      <c r="A4693" s="8" t="s">
        <v>125</v>
      </c>
      <c r="B4693" s="8" t="s">
        <v>4865</v>
      </c>
      <c r="C4693" s="8" t="str">
        <f>IFERROR(_xlfn.XLOOKUP(TRIM(B4693),Lookup!$B$2:$B$1000,Lookup!$C$2:$C$1000),"")</f>
        <v>Equity</v>
      </c>
      <c r="D4693" s="8" t="str">
        <f>IFERROR(INDEX('nav master'!$C:$C, MATCH(B4693, 'nav master'!$B:$B, 0)), "")</f>
        <v/>
      </c>
      <c r="E4693" s="8" t="s">
        <v>4902</v>
      </c>
      <c r="F4693" s="8" t="s">
        <v>5077</v>
      </c>
    </row>
    <row r="4694" spans="1:6" ht="60" x14ac:dyDescent="0.25">
      <c r="A4694" s="8" t="s">
        <v>125</v>
      </c>
      <c r="B4694" s="8" t="s">
        <v>4865</v>
      </c>
      <c r="C4694" s="8" t="str">
        <f>IFERROR(_xlfn.XLOOKUP(TRIM(B4694),Lookup!$B$2:$B$1000,Lookup!$C$2:$C$1000),"")</f>
        <v>Equity</v>
      </c>
      <c r="D4694" s="8" t="str">
        <f>IFERROR(INDEX('nav master'!$C:$C, MATCH(B4694, 'nav master'!$B:$B, 0)), "")</f>
        <v/>
      </c>
      <c r="E4694" s="8" t="s">
        <v>4903</v>
      </c>
      <c r="F4694" s="8" t="s">
        <v>5078</v>
      </c>
    </row>
    <row r="4695" spans="1:6" ht="60" x14ac:dyDescent="0.25">
      <c r="A4695" s="8" t="s">
        <v>125</v>
      </c>
      <c r="B4695" s="8" t="s">
        <v>4865</v>
      </c>
      <c r="C4695" s="8" t="str">
        <f>IFERROR(_xlfn.XLOOKUP(TRIM(B4695),Lookup!$B$2:$B$1000,Lookup!$C$2:$C$1000),"")</f>
        <v>Equity</v>
      </c>
      <c r="D4695" s="8" t="str">
        <f>IFERROR(INDEX('nav master'!$C:$C, MATCH(B4695, 'nav master'!$B:$B, 0)), "")</f>
        <v/>
      </c>
      <c r="E4695" s="8" t="s">
        <v>4905</v>
      </c>
      <c r="F4695" s="8" t="s">
        <v>5079</v>
      </c>
    </row>
    <row r="4696" spans="1:6" ht="75" x14ac:dyDescent="0.25">
      <c r="A4696" s="8" t="s">
        <v>125</v>
      </c>
      <c r="B4696" s="8" t="s">
        <v>161</v>
      </c>
      <c r="C4696" s="8" t="str">
        <f>IFERROR(_xlfn.XLOOKUP(TRIM(B4696),Lookup!$B$2:$B$1000,Lookup!$C$2:$C$1000),"")</f>
        <v>Equity</v>
      </c>
      <c r="D4696" s="8" t="str">
        <f>IFERROR(INDEX('nav master'!$C:$C, MATCH(B4696, 'nav master'!$B:$B, 0)), "")</f>
        <v>ULIF08421/11/25InCnsmAdFd101</v>
      </c>
      <c r="E4696" s="8" t="s">
        <v>359</v>
      </c>
      <c r="F4696" s="8" t="s">
        <v>1603</v>
      </c>
    </row>
    <row r="4697" spans="1:6" ht="75" x14ac:dyDescent="0.25">
      <c r="A4697" s="8" t="s">
        <v>125</v>
      </c>
      <c r="B4697" s="8" t="s">
        <v>161</v>
      </c>
      <c r="C4697" s="8" t="str">
        <f>IFERROR(_xlfn.XLOOKUP(TRIM(B4697),Lookup!$B$2:$B$1000,Lookup!$C$2:$C$1000),"")</f>
        <v>Equity</v>
      </c>
      <c r="D4697" s="8" t="str">
        <f>IFERROR(INDEX('nav master'!$C:$C, MATCH(B4697, 'nav master'!$B:$B, 0)), "")</f>
        <v>ULIF08421/11/25InCnsmAdFd101</v>
      </c>
      <c r="E4697" s="8" t="s">
        <v>361</v>
      </c>
      <c r="F4697" s="8" t="s">
        <v>1604</v>
      </c>
    </row>
    <row r="4698" spans="1:6" ht="75" x14ac:dyDescent="0.25">
      <c r="A4698" s="8" t="s">
        <v>125</v>
      </c>
      <c r="B4698" s="8" t="s">
        <v>161</v>
      </c>
      <c r="C4698" s="8" t="str">
        <f>IFERROR(_xlfn.XLOOKUP(TRIM(B4698),Lookup!$B$2:$B$1000,Lookup!$C$2:$C$1000),"")</f>
        <v>Equity</v>
      </c>
      <c r="D4698" s="8" t="str">
        <f>IFERROR(INDEX('nav master'!$C:$C, MATCH(B4698, 'nav master'!$B:$B, 0)), "")</f>
        <v>ULIF08421/11/25InCnsmAdFd101</v>
      </c>
      <c r="E4698" s="8" t="s">
        <v>363</v>
      </c>
      <c r="F4698" s="8" t="s">
        <v>1605</v>
      </c>
    </row>
    <row r="4699" spans="1:6" ht="75" x14ac:dyDescent="0.25">
      <c r="A4699" s="8" t="s">
        <v>125</v>
      </c>
      <c r="B4699" s="8" t="s">
        <v>161</v>
      </c>
      <c r="C4699" s="8" t="str">
        <f>IFERROR(_xlfn.XLOOKUP(TRIM(B4699),Lookup!$B$2:$B$1000,Lookup!$C$2:$C$1000),"")</f>
        <v>Equity</v>
      </c>
      <c r="D4699" s="8" t="str">
        <f>IFERROR(INDEX('nav master'!$C:$C, MATCH(B4699, 'nav master'!$B:$B, 0)), "")</f>
        <v>ULIF08421/11/25InCnsmAdFd101</v>
      </c>
      <c r="E4699" s="8" t="s">
        <v>365</v>
      </c>
      <c r="F4699" s="8" t="s">
        <v>1606</v>
      </c>
    </row>
    <row r="4700" spans="1:6" ht="75" x14ac:dyDescent="0.25">
      <c r="A4700" s="8" t="s">
        <v>125</v>
      </c>
      <c r="B4700" s="8" t="s">
        <v>161</v>
      </c>
      <c r="C4700" s="8" t="str">
        <f>IFERROR(_xlfn.XLOOKUP(TRIM(B4700),Lookup!$B$2:$B$1000,Lookup!$C$2:$C$1000),"")</f>
        <v>Equity</v>
      </c>
      <c r="D4700" s="8" t="str">
        <f>IFERROR(INDEX('nav master'!$C:$C, MATCH(B4700, 'nav master'!$B:$B, 0)), "")</f>
        <v>ULIF08421/11/25InCnsmAdFd101</v>
      </c>
      <c r="E4700" s="8" t="s">
        <v>367</v>
      </c>
      <c r="F4700" s="8" t="s">
        <v>1607</v>
      </c>
    </row>
    <row r="4701" spans="1:6" ht="75" x14ac:dyDescent="0.25">
      <c r="A4701" s="8" t="s">
        <v>125</v>
      </c>
      <c r="B4701" s="8" t="s">
        <v>161</v>
      </c>
      <c r="C4701" s="8" t="str">
        <f>IFERROR(_xlfn.XLOOKUP(TRIM(B4701),Lookup!$B$2:$B$1000,Lookup!$C$2:$C$1000),"")</f>
        <v>Equity</v>
      </c>
      <c r="D4701" s="8" t="str">
        <f>IFERROR(INDEX('nav master'!$C:$C, MATCH(B4701, 'nav master'!$B:$B, 0)), "")</f>
        <v>ULIF08421/11/25InCnsmAdFd101</v>
      </c>
      <c r="E4701" s="8" t="s">
        <v>369</v>
      </c>
      <c r="F4701" s="8" t="s">
        <v>1608</v>
      </c>
    </row>
    <row r="4702" spans="1:6" ht="75" x14ac:dyDescent="0.25">
      <c r="A4702" s="8" t="s">
        <v>125</v>
      </c>
      <c r="B4702" s="8" t="s">
        <v>161</v>
      </c>
      <c r="C4702" s="8" t="str">
        <f>IFERROR(_xlfn.XLOOKUP(TRIM(B4702),Lookup!$B$2:$B$1000,Lookup!$C$2:$C$1000),"")</f>
        <v>Equity</v>
      </c>
      <c r="D4702" s="8" t="str">
        <f>IFERROR(INDEX('nav master'!$C:$C, MATCH(B4702, 'nav master'!$B:$B, 0)), "")</f>
        <v>ULIF08421/11/25InCnsmAdFd101</v>
      </c>
      <c r="E4702" s="8" t="s">
        <v>371</v>
      </c>
      <c r="F4702" s="8" t="s">
        <v>1609</v>
      </c>
    </row>
    <row r="4703" spans="1:6" ht="75" x14ac:dyDescent="0.25">
      <c r="A4703" s="8" t="s">
        <v>125</v>
      </c>
      <c r="B4703" s="8" t="s">
        <v>161</v>
      </c>
      <c r="C4703" s="8" t="str">
        <f>IFERROR(_xlfn.XLOOKUP(TRIM(B4703),Lookup!$B$2:$B$1000,Lookup!$C$2:$C$1000),"")</f>
        <v>Equity</v>
      </c>
      <c r="D4703" s="8" t="str">
        <f>IFERROR(INDEX('nav master'!$C:$C, MATCH(B4703, 'nav master'!$B:$B, 0)), "")</f>
        <v>ULIF08421/11/25InCnsmAdFd101</v>
      </c>
      <c r="E4703" s="8" t="s">
        <v>373</v>
      </c>
      <c r="F4703" s="8" t="s">
        <v>1610</v>
      </c>
    </row>
    <row r="4704" spans="1:6" ht="75" x14ac:dyDescent="0.25">
      <c r="A4704" s="8" t="s">
        <v>125</v>
      </c>
      <c r="B4704" s="8" t="s">
        <v>161</v>
      </c>
      <c r="C4704" s="8" t="str">
        <f>IFERROR(_xlfn.XLOOKUP(TRIM(B4704),Lookup!$B$2:$B$1000,Lookup!$C$2:$C$1000),"")</f>
        <v>Equity</v>
      </c>
      <c r="D4704" s="8" t="str">
        <f>IFERROR(INDEX('nav master'!$C:$C, MATCH(B4704, 'nav master'!$B:$B, 0)), "")</f>
        <v>ULIF08421/11/25InCnsmAdFd101</v>
      </c>
      <c r="E4704" s="8" t="s">
        <v>375</v>
      </c>
      <c r="F4704" s="8" t="s">
        <v>1611</v>
      </c>
    </row>
    <row r="4705" spans="1:6" ht="75" x14ac:dyDescent="0.25">
      <c r="A4705" s="8" t="s">
        <v>125</v>
      </c>
      <c r="B4705" s="8" t="s">
        <v>161</v>
      </c>
      <c r="C4705" s="8" t="str">
        <f>IFERROR(_xlfn.XLOOKUP(TRIM(B4705),Lookup!$B$2:$B$1000,Lookup!$C$2:$C$1000),"")</f>
        <v>Equity</v>
      </c>
      <c r="D4705" s="8" t="str">
        <f>IFERROR(INDEX('nav master'!$C:$C, MATCH(B4705, 'nav master'!$B:$B, 0)), "")</f>
        <v>ULIF08421/11/25InCnsmAdFd101</v>
      </c>
      <c r="E4705" s="8" t="s">
        <v>377</v>
      </c>
      <c r="F4705" s="8" t="s">
        <v>1612</v>
      </c>
    </row>
    <row r="4706" spans="1:6" ht="75" x14ac:dyDescent="0.25">
      <c r="A4706" s="8" t="s">
        <v>125</v>
      </c>
      <c r="B4706" s="8" t="s">
        <v>161</v>
      </c>
      <c r="C4706" s="8" t="str">
        <f>IFERROR(_xlfn.XLOOKUP(TRIM(B4706),Lookup!$B$2:$B$1000,Lookup!$C$2:$C$1000),"")</f>
        <v>Equity</v>
      </c>
      <c r="D4706" s="8" t="str">
        <f>IFERROR(INDEX('nav master'!$C:$C, MATCH(B4706, 'nav master'!$B:$B, 0)), "")</f>
        <v>ULIF08421/11/25InCnsmAdFd101</v>
      </c>
      <c r="E4706" s="8" t="s">
        <v>379</v>
      </c>
      <c r="F4706" s="8" t="s">
        <v>1613</v>
      </c>
    </row>
    <row r="4707" spans="1:6" ht="75" x14ac:dyDescent="0.25">
      <c r="A4707" s="8" t="s">
        <v>125</v>
      </c>
      <c r="B4707" s="8" t="s">
        <v>161</v>
      </c>
      <c r="C4707" s="8" t="str">
        <f>IFERROR(_xlfn.XLOOKUP(TRIM(B4707),Lookup!$B$2:$B$1000,Lookup!$C$2:$C$1000),"")</f>
        <v>Equity</v>
      </c>
      <c r="D4707" s="8" t="str">
        <f>IFERROR(INDEX('nav master'!$C:$C, MATCH(B4707, 'nav master'!$B:$B, 0)), "")</f>
        <v>ULIF08421/11/25InCnsmAdFd101</v>
      </c>
      <c r="E4707" s="8" t="s">
        <v>381</v>
      </c>
      <c r="F4707" s="8" t="s">
        <v>1614</v>
      </c>
    </row>
    <row r="4708" spans="1:6" ht="75" x14ac:dyDescent="0.25">
      <c r="A4708" s="8" t="s">
        <v>125</v>
      </c>
      <c r="B4708" s="8" t="s">
        <v>161</v>
      </c>
      <c r="C4708" s="8" t="str">
        <f>IFERROR(_xlfn.XLOOKUP(TRIM(B4708),Lookup!$B$2:$B$1000,Lookup!$C$2:$C$1000),"")</f>
        <v>Equity</v>
      </c>
      <c r="D4708" s="8" t="str">
        <f>IFERROR(INDEX('nav master'!$C:$C, MATCH(B4708, 'nav master'!$B:$B, 0)), "")</f>
        <v>ULIF08421/11/25InCnsmAdFd101</v>
      </c>
      <c r="E4708" s="8" t="s">
        <v>383</v>
      </c>
      <c r="F4708" s="8" t="s">
        <v>1615</v>
      </c>
    </row>
    <row r="4709" spans="1:6" ht="75" x14ac:dyDescent="0.25">
      <c r="A4709" s="8" t="s">
        <v>125</v>
      </c>
      <c r="B4709" s="8" t="s">
        <v>161</v>
      </c>
      <c r="C4709" s="8" t="str">
        <f>IFERROR(_xlfn.XLOOKUP(TRIM(B4709),Lookup!$B$2:$B$1000,Lookup!$C$2:$C$1000),"")</f>
        <v>Equity</v>
      </c>
      <c r="D4709" s="8" t="str">
        <f>IFERROR(INDEX('nav master'!$C:$C, MATCH(B4709, 'nav master'!$B:$B, 0)), "")</f>
        <v>ULIF08421/11/25InCnsmAdFd101</v>
      </c>
      <c r="E4709" s="8" t="s">
        <v>385</v>
      </c>
      <c r="F4709" s="8" t="s">
        <v>1616</v>
      </c>
    </row>
    <row r="4710" spans="1:6" ht="75" x14ac:dyDescent="0.25">
      <c r="A4710" s="8" t="s">
        <v>125</v>
      </c>
      <c r="B4710" s="8" t="s">
        <v>161</v>
      </c>
      <c r="C4710" s="8" t="str">
        <f>IFERROR(_xlfn.XLOOKUP(TRIM(B4710),Lookup!$B$2:$B$1000,Lookup!$C$2:$C$1000),"")</f>
        <v>Equity</v>
      </c>
      <c r="D4710" s="8" t="str">
        <f>IFERROR(INDEX('nav master'!$C:$C, MATCH(B4710, 'nav master'!$B:$B, 0)), "")</f>
        <v>ULIF08421/11/25InCnsmAdFd101</v>
      </c>
      <c r="E4710" s="8" t="s">
        <v>387</v>
      </c>
      <c r="F4710" s="8" t="s">
        <v>1617</v>
      </c>
    </row>
    <row r="4711" spans="1:6" ht="75" x14ac:dyDescent="0.25">
      <c r="A4711" s="8" t="s">
        <v>125</v>
      </c>
      <c r="B4711" s="8" t="s">
        <v>161</v>
      </c>
      <c r="C4711" s="8" t="str">
        <f>IFERROR(_xlfn.XLOOKUP(TRIM(B4711),Lookup!$B$2:$B$1000,Lookup!$C$2:$C$1000),"")</f>
        <v>Equity</v>
      </c>
      <c r="D4711" s="8" t="str">
        <f>IFERROR(INDEX('nav master'!$C:$C, MATCH(B4711, 'nav master'!$B:$B, 0)), "")</f>
        <v>ULIF08421/11/25InCnsmAdFd101</v>
      </c>
      <c r="E4711" s="8" t="s">
        <v>389</v>
      </c>
      <c r="F4711" s="8" t="s">
        <v>1618</v>
      </c>
    </row>
    <row r="4712" spans="1:6" ht="75" x14ac:dyDescent="0.25">
      <c r="A4712" s="8" t="s">
        <v>125</v>
      </c>
      <c r="B4712" s="8" t="s">
        <v>161</v>
      </c>
      <c r="C4712" s="8" t="str">
        <f>IFERROR(_xlfn.XLOOKUP(TRIM(B4712),Lookup!$B$2:$B$1000,Lookup!$C$2:$C$1000),"")</f>
        <v>Equity</v>
      </c>
      <c r="D4712" s="8" t="str">
        <f>IFERROR(INDEX('nav master'!$C:$C, MATCH(B4712, 'nav master'!$B:$B, 0)), "")</f>
        <v>ULIF08421/11/25InCnsmAdFd101</v>
      </c>
      <c r="E4712" s="8" t="s">
        <v>391</v>
      </c>
      <c r="F4712" s="8" t="s">
        <v>1619</v>
      </c>
    </row>
    <row r="4713" spans="1:6" ht="75" x14ac:dyDescent="0.25">
      <c r="A4713" s="8" t="s">
        <v>125</v>
      </c>
      <c r="B4713" s="8" t="s">
        <v>161</v>
      </c>
      <c r="C4713" s="8" t="str">
        <f>IFERROR(_xlfn.XLOOKUP(TRIM(B4713),Lookup!$B$2:$B$1000,Lookup!$C$2:$C$1000),"")</f>
        <v>Equity</v>
      </c>
      <c r="D4713" s="8" t="str">
        <f>IFERROR(INDEX('nav master'!$C:$C, MATCH(B4713, 'nav master'!$B:$B, 0)), "")</f>
        <v>ULIF08421/11/25InCnsmAdFd101</v>
      </c>
      <c r="E4713" s="8" t="s">
        <v>393</v>
      </c>
      <c r="F4713" s="8" t="s">
        <v>1620</v>
      </c>
    </row>
    <row r="4714" spans="1:6" ht="75" x14ac:dyDescent="0.25">
      <c r="A4714" s="8" t="s">
        <v>125</v>
      </c>
      <c r="B4714" s="8" t="s">
        <v>161</v>
      </c>
      <c r="C4714" s="8" t="str">
        <f>IFERROR(_xlfn.XLOOKUP(TRIM(B4714),Lookup!$B$2:$B$1000,Lookup!$C$2:$C$1000),"")</f>
        <v>Equity</v>
      </c>
      <c r="D4714" s="8" t="str">
        <f>IFERROR(INDEX('nav master'!$C:$C, MATCH(B4714, 'nav master'!$B:$B, 0)), "")</f>
        <v>ULIF08421/11/25InCnsmAdFd101</v>
      </c>
      <c r="E4714" s="8" t="s">
        <v>395</v>
      </c>
      <c r="F4714" s="8" t="s">
        <v>1621</v>
      </c>
    </row>
    <row r="4715" spans="1:6" ht="75" x14ac:dyDescent="0.25">
      <c r="A4715" s="8" t="s">
        <v>125</v>
      </c>
      <c r="B4715" s="8" t="s">
        <v>161</v>
      </c>
      <c r="C4715" s="8" t="str">
        <f>IFERROR(_xlfn.XLOOKUP(TRIM(B4715),Lookup!$B$2:$B$1000,Lookup!$C$2:$C$1000),"")</f>
        <v>Equity</v>
      </c>
      <c r="D4715" s="8" t="str">
        <f>IFERROR(INDEX('nav master'!$C:$C, MATCH(B4715, 'nav master'!$B:$B, 0)), "")</f>
        <v>ULIF08421/11/25InCnsmAdFd101</v>
      </c>
      <c r="E4715" s="8" t="s">
        <v>397</v>
      </c>
      <c r="F4715" s="8" t="s">
        <v>1622</v>
      </c>
    </row>
    <row r="4716" spans="1:6" ht="75" x14ac:dyDescent="0.25">
      <c r="A4716" s="8" t="s">
        <v>125</v>
      </c>
      <c r="B4716" s="8" t="s">
        <v>161</v>
      </c>
      <c r="C4716" s="8" t="str">
        <f>IFERROR(_xlfn.XLOOKUP(TRIM(B4716),Lookup!$B$2:$B$1000,Lookup!$C$2:$C$1000),"")</f>
        <v>Equity</v>
      </c>
      <c r="D4716" s="8" t="str">
        <f>IFERROR(INDEX('nav master'!$C:$C, MATCH(B4716, 'nav master'!$B:$B, 0)), "")</f>
        <v>ULIF08421/11/25InCnsmAdFd101</v>
      </c>
      <c r="E4716" s="8" t="s">
        <v>399</v>
      </c>
      <c r="F4716" s="8" t="s">
        <v>1623</v>
      </c>
    </row>
    <row r="4717" spans="1:6" ht="75" x14ac:dyDescent="0.25">
      <c r="A4717" s="8" t="s">
        <v>125</v>
      </c>
      <c r="B4717" s="8" t="s">
        <v>161</v>
      </c>
      <c r="C4717" s="8" t="str">
        <f>IFERROR(_xlfn.XLOOKUP(TRIM(B4717),Lookup!$B$2:$B$1000,Lookup!$C$2:$C$1000),"")</f>
        <v>Equity</v>
      </c>
      <c r="D4717" s="8" t="str">
        <f>IFERROR(INDEX('nav master'!$C:$C, MATCH(B4717, 'nav master'!$B:$B, 0)), "")</f>
        <v>ULIF08421/11/25InCnsmAdFd101</v>
      </c>
      <c r="E4717" s="8" t="s">
        <v>401</v>
      </c>
      <c r="F4717" s="8" t="s">
        <v>1624</v>
      </c>
    </row>
    <row r="4718" spans="1:6" ht="75" x14ac:dyDescent="0.25">
      <c r="A4718" s="8" t="s">
        <v>125</v>
      </c>
      <c r="B4718" s="8" t="s">
        <v>161</v>
      </c>
      <c r="C4718" s="8" t="str">
        <f>IFERROR(_xlfn.XLOOKUP(TRIM(B4718),Lookup!$B$2:$B$1000,Lookup!$C$2:$C$1000),"")</f>
        <v>Equity</v>
      </c>
      <c r="D4718" s="8" t="str">
        <f>IFERROR(INDEX('nav master'!$C:$C, MATCH(B4718, 'nav master'!$B:$B, 0)), "")</f>
        <v>ULIF08421/11/25InCnsmAdFd101</v>
      </c>
      <c r="E4718" s="8" t="s">
        <v>403</v>
      </c>
      <c r="F4718" s="8" t="s">
        <v>1625</v>
      </c>
    </row>
    <row r="4719" spans="1:6" ht="75" x14ac:dyDescent="0.25">
      <c r="A4719" s="8" t="s">
        <v>125</v>
      </c>
      <c r="B4719" s="8" t="s">
        <v>161</v>
      </c>
      <c r="C4719" s="8" t="str">
        <f>IFERROR(_xlfn.XLOOKUP(TRIM(B4719),Lookup!$B$2:$B$1000,Lookup!$C$2:$C$1000),"")</f>
        <v>Equity</v>
      </c>
      <c r="D4719" s="8" t="str">
        <f>IFERROR(INDEX('nav master'!$C:$C, MATCH(B4719, 'nav master'!$B:$B, 0)), "")</f>
        <v>ULIF08421/11/25InCnsmAdFd101</v>
      </c>
      <c r="E4719" s="8" t="s">
        <v>405</v>
      </c>
      <c r="F4719" s="8" t="s">
        <v>1626</v>
      </c>
    </row>
    <row r="4720" spans="1:6" ht="75" x14ac:dyDescent="0.25">
      <c r="A4720" s="8" t="s">
        <v>125</v>
      </c>
      <c r="B4720" s="8" t="s">
        <v>161</v>
      </c>
      <c r="C4720" s="8" t="str">
        <f>IFERROR(_xlfn.XLOOKUP(TRIM(B4720),Lookup!$B$2:$B$1000,Lookup!$C$2:$C$1000),"")</f>
        <v>Equity</v>
      </c>
      <c r="D4720" s="8" t="str">
        <f>IFERROR(INDEX('nav master'!$C:$C, MATCH(B4720, 'nav master'!$B:$B, 0)), "")</f>
        <v>ULIF08421/11/25InCnsmAdFd101</v>
      </c>
      <c r="E4720" s="8" t="s">
        <v>407</v>
      </c>
      <c r="F4720" s="8" t="s">
        <v>1627</v>
      </c>
    </row>
    <row r="4721" spans="1:6" ht="75" x14ac:dyDescent="0.25">
      <c r="A4721" s="8" t="s">
        <v>125</v>
      </c>
      <c r="B4721" s="8" t="s">
        <v>161</v>
      </c>
      <c r="C4721" s="8" t="str">
        <f>IFERROR(_xlfn.XLOOKUP(TRIM(B4721),Lookup!$B$2:$B$1000,Lookup!$C$2:$C$1000),"")</f>
        <v>Equity</v>
      </c>
      <c r="D4721" s="8" t="str">
        <f>IFERROR(INDEX('nav master'!$C:$C, MATCH(B4721, 'nav master'!$B:$B, 0)), "")</f>
        <v>ULIF08421/11/25InCnsmAdFd101</v>
      </c>
      <c r="E4721" s="8" t="s">
        <v>409</v>
      </c>
      <c r="F4721" s="8" t="s">
        <v>1628</v>
      </c>
    </row>
    <row r="4722" spans="1:6" ht="75" x14ac:dyDescent="0.25">
      <c r="A4722" s="8" t="s">
        <v>125</v>
      </c>
      <c r="B4722" s="8" t="s">
        <v>161</v>
      </c>
      <c r="C4722" s="8" t="str">
        <f>IFERROR(_xlfn.XLOOKUP(TRIM(B4722),Lookup!$B$2:$B$1000,Lookup!$C$2:$C$1000),"")</f>
        <v>Equity</v>
      </c>
      <c r="D4722" s="8" t="str">
        <f>IFERROR(INDEX('nav master'!$C:$C, MATCH(B4722, 'nav master'!$B:$B, 0)), "")</f>
        <v>ULIF08421/11/25InCnsmAdFd101</v>
      </c>
      <c r="E4722" s="8" t="s">
        <v>411</v>
      </c>
      <c r="F4722" s="8" t="s">
        <v>1629</v>
      </c>
    </row>
    <row r="4723" spans="1:6" ht="75" x14ac:dyDescent="0.25">
      <c r="A4723" s="8" t="s">
        <v>125</v>
      </c>
      <c r="B4723" s="8" t="s">
        <v>161</v>
      </c>
      <c r="C4723" s="8" t="str">
        <f>IFERROR(_xlfn.XLOOKUP(TRIM(B4723),Lookup!$B$2:$B$1000,Lookup!$C$2:$C$1000),"")</f>
        <v>Equity</v>
      </c>
      <c r="D4723" s="8" t="str">
        <f>IFERROR(INDEX('nav master'!$C:$C, MATCH(B4723, 'nav master'!$B:$B, 0)), "")</f>
        <v>ULIF08421/11/25InCnsmAdFd101</v>
      </c>
      <c r="E4723" s="8" t="s">
        <v>413</v>
      </c>
      <c r="F4723" s="8" t="s">
        <v>1630</v>
      </c>
    </row>
    <row r="4724" spans="1:6" ht="75" x14ac:dyDescent="0.25">
      <c r="A4724" s="8" t="s">
        <v>125</v>
      </c>
      <c r="B4724" s="8" t="s">
        <v>161</v>
      </c>
      <c r="C4724" s="8" t="str">
        <f>IFERROR(_xlfn.XLOOKUP(TRIM(B4724),Lookup!$B$2:$B$1000,Lookup!$C$2:$C$1000),"")</f>
        <v>Equity</v>
      </c>
      <c r="D4724" s="8" t="str">
        <f>IFERROR(INDEX('nav master'!$C:$C, MATCH(B4724, 'nav master'!$B:$B, 0)), "")</f>
        <v>ULIF08421/11/25InCnsmAdFd101</v>
      </c>
      <c r="E4724" s="8" t="s">
        <v>415</v>
      </c>
      <c r="F4724" s="8" t="s">
        <v>1631</v>
      </c>
    </row>
    <row r="4725" spans="1:6" ht="75" x14ac:dyDescent="0.25">
      <c r="A4725" s="8" t="s">
        <v>125</v>
      </c>
      <c r="B4725" s="8" t="s">
        <v>161</v>
      </c>
      <c r="C4725" s="8" t="str">
        <f>IFERROR(_xlfn.XLOOKUP(TRIM(B4725),Lookup!$B$2:$B$1000,Lookup!$C$2:$C$1000),"")</f>
        <v>Equity</v>
      </c>
      <c r="D4725" s="8" t="str">
        <f>IFERROR(INDEX('nav master'!$C:$C, MATCH(B4725, 'nav master'!$B:$B, 0)), "")</f>
        <v>ULIF08421/11/25InCnsmAdFd101</v>
      </c>
      <c r="E4725" s="8" t="s">
        <v>417</v>
      </c>
      <c r="F4725" s="8" t="s">
        <v>1632</v>
      </c>
    </row>
    <row r="4726" spans="1:6" ht="75" x14ac:dyDescent="0.25">
      <c r="A4726" s="8" t="s">
        <v>125</v>
      </c>
      <c r="B4726" s="8" t="s">
        <v>161</v>
      </c>
      <c r="C4726" s="8" t="str">
        <f>IFERROR(_xlfn.XLOOKUP(TRIM(B4726),Lookup!$B$2:$B$1000,Lookup!$C$2:$C$1000),"")</f>
        <v>Equity</v>
      </c>
      <c r="D4726" s="8" t="str">
        <f>IFERROR(INDEX('nav master'!$C:$C, MATCH(B4726, 'nav master'!$B:$B, 0)), "")</f>
        <v>ULIF08421/11/25InCnsmAdFd101</v>
      </c>
      <c r="E4726" s="8" t="s">
        <v>419</v>
      </c>
      <c r="F4726" s="8" t="s">
        <v>1633</v>
      </c>
    </row>
    <row r="4727" spans="1:6" ht="75" x14ac:dyDescent="0.25">
      <c r="A4727" s="8" t="s">
        <v>125</v>
      </c>
      <c r="B4727" s="8" t="s">
        <v>161</v>
      </c>
      <c r="C4727" s="8" t="str">
        <f>IFERROR(_xlfn.XLOOKUP(TRIM(B4727),Lookup!$B$2:$B$1000,Lookup!$C$2:$C$1000),"")</f>
        <v>Equity</v>
      </c>
      <c r="D4727" s="8" t="str">
        <f>IFERROR(INDEX('nav master'!$C:$C, MATCH(B4727, 'nav master'!$B:$B, 0)), "")</f>
        <v>ULIF08421/11/25InCnsmAdFd101</v>
      </c>
      <c r="E4727" s="8" t="s">
        <v>421</v>
      </c>
      <c r="F4727" s="8" t="s">
        <v>1634</v>
      </c>
    </row>
    <row r="4728" spans="1:6" ht="75" x14ac:dyDescent="0.25">
      <c r="A4728" s="8" t="s">
        <v>125</v>
      </c>
      <c r="B4728" s="8" t="s">
        <v>161</v>
      </c>
      <c r="C4728" s="8" t="str">
        <f>IFERROR(_xlfn.XLOOKUP(TRIM(B4728),Lookup!$B$2:$B$1000,Lookup!$C$2:$C$1000),"")</f>
        <v>Equity</v>
      </c>
      <c r="D4728" s="8" t="str">
        <f>IFERROR(INDEX('nav master'!$C:$C, MATCH(B4728, 'nav master'!$B:$B, 0)), "")</f>
        <v>ULIF08421/11/25InCnsmAdFd101</v>
      </c>
      <c r="E4728" s="8" t="s">
        <v>423</v>
      </c>
      <c r="F4728" s="8" t="s">
        <v>1635</v>
      </c>
    </row>
    <row r="4729" spans="1:6" ht="75" x14ac:dyDescent="0.25">
      <c r="A4729" s="8" t="s">
        <v>125</v>
      </c>
      <c r="B4729" s="8" t="s">
        <v>161</v>
      </c>
      <c r="C4729" s="8" t="str">
        <f>IFERROR(_xlfn.XLOOKUP(TRIM(B4729),Lookup!$B$2:$B$1000,Lookup!$C$2:$C$1000),"")</f>
        <v>Equity</v>
      </c>
      <c r="D4729" s="8" t="str">
        <f>IFERROR(INDEX('nav master'!$C:$C, MATCH(B4729, 'nav master'!$B:$B, 0)), "")</f>
        <v>ULIF08421/11/25InCnsmAdFd101</v>
      </c>
      <c r="E4729" s="8" t="s">
        <v>425</v>
      </c>
      <c r="F4729" s="8" t="s">
        <v>1636</v>
      </c>
    </row>
    <row r="4730" spans="1:6" ht="75" x14ac:dyDescent="0.25">
      <c r="A4730" s="8" t="s">
        <v>125</v>
      </c>
      <c r="B4730" s="8" t="s">
        <v>161</v>
      </c>
      <c r="C4730" s="8" t="str">
        <f>IFERROR(_xlfn.XLOOKUP(TRIM(B4730),Lookup!$B$2:$B$1000,Lookup!$C$2:$C$1000),"")</f>
        <v>Equity</v>
      </c>
      <c r="D4730" s="8" t="str">
        <f>IFERROR(INDEX('nav master'!$C:$C, MATCH(B4730, 'nav master'!$B:$B, 0)), "")</f>
        <v>ULIF08421/11/25InCnsmAdFd101</v>
      </c>
      <c r="E4730" s="8" t="s">
        <v>427</v>
      </c>
      <c r="F4730" s="8" t="s">
        <v>1637</v>
      </c>
    </row>
    <row r="4731" spans="1:6" ht="75" x14ac:dyDescent="0.25">
      <c r="A4731" s="8" t="s">
        <v>125</v>
      </c>
      <c r="B4731" s="8" t="s">
        <v>161</v>
      </c>
      <c r="C4731" s="8" t="str">
        <f>IFERROR(_xlfn.XLOOKUP(TRIM(B4731),Lookup!$B$2:$B$1000,Lookup!$C$2:$C$1000),"")</f>
        <v>Equity</v>
      </c>
      <c r="D4731" s="8" t="str">
        <f>IFERROR(INDEX('nav master'!$C:$C, MATCH(B4731, 'nav master'!$B:$B, 0)), "")</f>
        <v>ULIF08421/11/25InCnsmAdFd101</v>
      </c>
      <c r="E4731" s="8" t="s">
        <v>429</v>
      </c>
      <c r="F4731" s="8" t="s">
        <v>1638</v>
      </c>
    </row>
    <row r="4732" spans="1:6" ht="75" x14ac:dyDescent="0.25">
      <c r="A4732" s="8" t="s">
        <v>125</v>
      </c>
      <c r="B4732" s="8" t="s">
        <v>161</v>
      </c>
      <c r="C4732" s="8" t="str">
        <f>IFERROR(_xlfn.XLOOKUP(TRIM(B4732),Lookup!$B$2:$B$1000,Lookup!$C$2:$C$1000),"")</f>
        <v>Equity</v>
      </c>
      <c r="D4732" s="8" t="str">
        <f>IFERROR(INDEX('nav master'!$C:$C, MATCH(B4732, 'nav master'!$B:$B, 0)), "")</f>
        <v>ULIF08421/11/25InCnsmAdFd101</v>
      </c>
      <c r="E4732" s="8" t="s">
        <v>431</v>
      </c>
      <c r="F4732" s="8" t="s">
        <v>1639</v>
      </c>
    </row>
    <row r="4733" spans="1:6" ht="75" x14ac:dyDescent="0.25">
      <c r="A4733" s="8" t="s">
        <v>125</v>
      </c>
      <c r="B4733" s="8" t="s">
        <v>161</v>
      </c>
      <c r="C4733" s="8" t="str">
        <f>IFERROR(_xlfn.XLOOKUP(TRIM(B4733),Lookup!$B$2:$B$1000,Lookup!$C$2:$C$1000),"")</f>
        <v>Equity</v>
      </c>
      <c r="D4733" s="8" t="str">
        <f>IFERROR(INDEX('nav master'!$C:$C, MATCH(B4733, 'nav master'!$B:$B, 0)), "")</f>
        <v>ULIF08421/11/25InCnsmAdFd101</v>
      </c>
      <c r="E4733" s="8" t="s">
        <v>433</v>
      </c>
      <c r="F4733" s="8" t="s">
        <v>1640</v>
      </c>
    </row>
    <row r="4734" spans="1:6" ht="75" x14ac:dyDescent="0.25">
      <c r="A4734" s="8" t="s">
        <v>125</v>
      </c>
      <c r="B4734" s="8" t="s">
        <v>161</v>
      </c>
      <c r="C4734" s="8" t="str">
        <f>IFERROR(_xlfn.XLOOKUP(TRIM(B4734),Lookup!$B$2:$B$1000,Lookup!$C$2:$C$1000),"")</f>
        <v>Equity</v>
      </c>
      <c r="D4734" s="8" t="str">
        <f>IFERROR(INDEX('nav master'!$C:$C, MATCH(B4734, 'nav master'!$B:$B, 0)), "")</f>
        <v>ULIF08421/11/25InCnsmAdFd101</v>
      </c>
      <c r="E4734" s="8" t="s">
        <v>435</v>
      </c>
      <c r="F4734" s="8" t="s">
        <v>1641</v>
      </c>
    </row>
    <row r="4735" spans="1:6" ht="75" x14ac:dyDescent="0.25">
      <c r="A4735" s="8" t="s">
        <v>125</v>
      </c>
      <c r="B4735" s="8" t="s">
        <v>161</v>
      </c>
      <c r="C4735" s="8" t="str">
        <f>IFERROR(_xlfn.XLOOKUP(TRIM(B4735),Lookup!$B$2:$B$1000,Lookup!$C$2:$C$1000),"")</f>
        <v>Equity</v>
      </c>
      <c r="D4735" s="8" t="str">
        <f>IFERROR(INDEX('nav master'!$C:$C, MATCH(B4735, 'nav master'!$B:$B, 0)), "")</f>
        <v>ULIF08421/11/25InCnsmAdFd101</v>
      </c>
      <c r="E4735" s="8" t="s">
        <v>437</v>
      </c>
      <c r="F4735" s="8" t="s">
        <v>1642</v>
      </c>
    </row>
    <row r="4736" spans="1:6" ht="75" x14ac:dyDescent="0.25">
      <c r="A4736" s="8" t="s">
        <v>125</v>
      </c>
      <c r="B4736" s="8" t="s">
        <v>161</v>
      </c>
      <c r="C4736" s="8" t="str">
        <f>IFERROR(_xlfn.XLOOKUP(TRIM(B4736),Lookup!$B$2:$B$1000,Lookup!$C$2:$C$1000),"")</f>
        <v>Equity</v>
      </c>
      <c r="D4736" s="8" t="str">
        <f>IFERROR(INDEX('nav master'!$C:$C, MATCH(B4736, 'nav master'!$B:$B, 0)), "")</f>
        <v>ULIF08421/11/25InCnsmAdFd101</v>
      </c>
      <c r="E4736" s="8" t="s">
        <v>439</v>
      </c>
      <c r="F4736" s="8" t="s">
        <v>1643</v>
      </c>
    </row>
    <row r="4737" spans="1:6" ht="75" x14ac:dyDescent="0.25">
      <c r="A4737" s="8" t="s">
        <v>125</v>
      </c>
      <c r="B4737" s="8" t="s">
        <v>161</v>
      </c>
      <c r="C4737" s="8" t="str">
        <f>IFERROR(_xlfn.XLOOKUP(TRIM(B4737),Lookup!$B$2:$B$1000,Lookup!$C$2:$C$1000),"")</f>
        <v>Equity</v>
      </c>
      <c r="D4737" s="8" t="str">
        <f>IFERROR(INDEX('nav master'!$C:$C, MATCH(B4737, 'nav master'!$B:$B, 0)), "")</f>
        <v>ULIF08421/11/25InCnsmAdFd101</v>
      </c>
      <c r="E4737" s="8" t="s">
        <v>441</v>
      </c>
      <c r="F4737" s="8" t="s">
        <v>1644</v>
      </c>
    </row>
    <row r="4738" spans="1:6" ht="75" x14ac:dyDescent="0.25">
      <c r="A4738" s="8" t="s">
        <v>125</v>
      </c>
      <c r="B4738" s="8" t="s">
        <v>161</v>
      </c>
      <c r="C4738" s="8" t="str">
        <f>IFERROR(_xlfn.XLOOKUP(TRIM(B4738),Lookup!$B$2:$B$1000,Lookup!$C$2:$C$1000),"")</f>
        <v>Equity</v>
      </c>
      <c r="D4738" s="8" t="str">
        <f>IFERROR(INDEX('nav master'!$C:$C, MATCH(B4738, 'nav master'!$B:$B, 0)), "")</f>
        <v>ULIF08421/11/25InCnsmAdFd101</v>
      </c>
      <c r="E4738" s="8" t="s">
        <v>443</v>
      </c>
      <c r="F4738" s="8" t="s">
        <v>1645</v>
      </c>
    </row>
    <row r="4739" spans="1:6" ht="75" x14ac:dyDescent="0.25">
      <c r="A4739" s="8" t="s">
        <v>125</v>
      </c>
      <c r="B4739" s="8" t="s">
        <v>161</v>
      </c>
      <c r="C4739" s="8" t="str">
        <f>IFERROR(_xlfn.XLOOKUP(TRIM(B4739),Lookup!$B$2:$B$1000,Lookup!$C$2:$C$1000),"")</f>
        <v>Equity</v>
      </c>
      <c r="D4739" s="8" t="str">
        <f>IFERROR(INDEX('nav master'!$C:$C, MATCH(B4739, 'nav master'!$B:$B, 0)), "")</f>
        <v>ULIF08421/11/25InCnsmAdFd101</v>
      </c>
      <c r="E4739" s="8" t="s">
        <v>445</v>
      </c>
      <c r="F4739" s="8" t="s">
        <v>1646</v>
      </c>
    </row>
    <row r="4740" spans="1:6" ht="75" x14ac:dyDescent="0.25">
      <c r="A4740" s="8" t="s">
        <v>125</v>
      </c>
      <c r="B4740" s="8" t="s">
        <v>161</v>
      </c>
      <c r="C4740" s="8" t="str">
        <f>IFERROR(_xlfn.XLOOKUP(TRIM(B4740),Lookup!$B$2:$B$1000,Lookup!$C$2:$C$1000),"")</f>
        <v>Equity</v>
      </c>
      <c r="D4740" s="8" t="str">
        <f>IFERROR(INDEX('nav master'!$C:$C, MATCH(B4740, 'nav master'!$B:$B, 0)), "")</f>
        <v>ULIF08421/11/25InCnsmAdFd101</v>
      </c>
      <c r="E4740" s="8" t="s">
        <v>446</v>
      </c>
      <c r="F4740" s="8" t="s">
        <v>1647</v>
      </c>
    </row>
    <row r="4741" spans="1:6" ht="75" x14ac:dyDescent="0.25">
      <c r="A4741" s="8" t="s">
        <v>125</v>
      </c>
      <c r="B4741" s="8" t="s">
        <v>161</v>
      </c>
      <c r="C4741" s="8" t="str">
        <f>IFERROR(_xlfn.XLOOKUP(TRIM(B4741),Lookup!$B$2:$B$1000,Lookup!$C$2:$C$1000),"")</f>
        <v>Equity</v>
      </c>
      <c r="D4741" s="8" t="str">
        <f>IFERROR(INDEX('nav master'!$C:$C, MATCH(B4741, 'nav master'!$B:$B, 0)), "")</f>
        <v>ULIF08421/11/25InCnsmAdFd101</v>
      </c>
      <c r="E4741" s="8" t="s">
        <v>448</v>
      </c>
      <c r="F4741" s="8" t="s">
        <v>1648</v>
      </c>
    </row>
    <row r="4742" spans="1:6" ht="75" x14ac:dyDescent="0.25">
      <c r="A4742" s="8" t="s">
        <v>125</v>
      </c>
      <c r="B4742" s="8" t="s">
        <v>161</v>
      </c>
      <c r="C4742" s="8" t="str">
        <f>IFERROR(_xlfn.XLOOKUP(TRIM(B4742),Lookup!$B$2:$B$1000,Lookup!$C$2:$C$1000),"")</f>
        <v>Equity</v>
      </c>
      <c r="D4742" s="8" t="str">
        <f>IFERROR(INDEX('nav master'!$C:$C, MATCH(B4742, 'nav master'!$B:$B, 0)), "")</f>
        <v>ULIF08421/11/25InCnsmAdFd101</v>
      </c>
      <c r="E4742" s="8" t="s">
        <v>450</v>
      </c>
      <c r="F4742" s="8" t="s">
        <v>1649</v>
      </c>
    </row>
    <row r="4743" spans="1:6" ht="75" x14ac:dyDescent="0.25">
      <c r="A4743" s="8" t="s">
        <v>125</v>
      </c>
      <c r="B4743" s="8" t="s">
        <v>161</v>
      </c>
      <c r="C4743" s="8" t="str">
        <f>IFERROR(_xlfn.XLOOKUP(TRIM(B4743),Lookup!$B$2:$B$1000,Lookup!$C$2:$C$1000),"")</f>
        <v>Equity</v>
      </c>
      <c r="D4743" s="8" t="str">
        <f>IFERROR(INDEX('nav master'!$C:$C, MATCH(B4743, 'nav master'!$B:$B, 0)), "")</f>
        <v>ULIF08421/11/25InCnsmAdFd101</v>
      </c>
      <c r="E4743" s="8" t="s">
        <v>452</v>
      </c>
      <c r="F4743" s="8" t="s">
        <v>1650</v>
      </c>
    </row>
    <row r="4744" spans="1:6" ht="75" x14ac:dyDescent="0.25">
      <c r="A4744" s="8" t="s">
        <v>125</v>
      </c>
      <c r="B4744" s="8" t="s">
        <v>161</v>
      </c>
      <c r="C4744" s="8" t="str">
        <f>IFERROR(_xlfn.XLOOKUP(TRIM(B4744),Lookup!$B$2:$B$1000,Lookup!$C$2:$C$1000),"")</f>
        <v>Equity</v>
      </c>
      <c r="D4744" s="8" t="str">
        <f>IFERROR(INDEX('nav master'!$C:$C, MATCH(B4744, 'nav master'!$B:$B, 0)), "")</f>
        <v>ULIF08421/11/25InCnsmAdFd101</v>
      </c>
      <c r="E4744" s="8" t="s">
        <v>454</v>
      </c>
      <c r="F4744" s="8" t="s">
        <v>1651</v>
      </c>
    </row>
    <row r="4745" spans="1:6" ht="75" x14ac:dyDescent="0.25">
      <c r="A4745" s="8" t="s">
        <v>125</v>
      </c>
      <c r="B4745" s="8" t="s">
        <v>161</v>
      </c>
      <c r="C4745" s="8" t="str">
        <f>IFERROR(_xlfn.XLOOKUP(TRIM(B4745),Lookup!$B$2:$B$1000,Lookup!$C$2:$C$1000),"")</f>
        <v>Equity</v>
      </c>
      <c r="D4745" s="8" t="str">
        <f>IFERROR(INDEX('nav master'!$C:$C, MATCH(B4745, 'nav master'!$B:$B, 0)), "")</f>
        <v>ULIF08421/11/25InCnsmAdFd101</v>
      </c>
      <c r="E4745" s="8" t="s">
        <v>456</v>
      </c>
      <c r="F4745" s="8" t="s">
        <v>1652</v>
      </c>
    </row>
    <row r="4746" spans="1:6" ht="75" x14ac:dyDescent="0.25">
      <c r="A4746" s="8" t="s">
        <v>125</v>
      </c>
      <c r="B4746" s="8" t="s">
        <v>161</v>
      </c>
      <c r="C4746" s="8" t="str">
        <f>IFERROR(_xlfn.XLOOKUP(TRIM(B4746),Lookup!$B$2:$B$1000,Lookup!$C$2:$C$1000),"")</f>
        <v>Equity</v>
      </c>
      <c r="D4746" s="8" t="str">
        <f>IFERROR(INDEX('nav master'!$C:$C, MATCH(B4746, 'nav master'!$B:$B, 0)), "")</f>
        <v>ULIF08421/11/25InCnsmAdFd101</v>
      </c>
      <c r="E4746" s="8" t="s">
        <v>458</v>
      </c>
      <c r="F4746" s="8" t="s">
        <v>1653</v>
      </c>
    </row>
    <row r="4747" spans="1:6" ht="75" x14ac:dyDescent="0.25">
      <c r="A4747" s="8" t="s">
        <v>125</v>
      </c>
      <c r="B4747" s="8" t="s">
        <v>161</v>
      </c>
      <c r="C4747" s="8" t="str">
        <f>IFERROR(_xlfn.XLOOKUP(TRIM(B4747),Lookup!$B$2:$B$1000,Lookup!$C$2:$C$1000),"")</f>
        <v>Equity</v>
      </c>
      <c r="D4747" s="8" t="str">
        <f>IFERROR(INDEX('nav master'!$C:$C, MATCH(B4747, 'nav master'!$B:$B, 0)), "")</f>
        <v>ULIF08421/11/25InCnsmAdFd101</v>
      </c>
      <c r="E4747" s="8" t="s">
        <v>460</v>
      </c>
      <c r="F4747" s="8" t="s">
        <v>1654</v>
      </c>
    </row>
    <row r="4748" spans="1:6" ht="75" x14ac:dyDescent="0.25">
      <c r="A4748" s="8" t="s">
        <v>125</v>
      </c>
      <c r="B4748" s="8" t="s">
        <v>161</v>
      </c>
      <c r="C4748" s="8" t="str">
        <f>IFERROR(_xlfn.XLOOKUP(TRIM(B4748),Lookup!$B$2:$B$1000,Lookup!$C$2:$C$1000),"")</f>
        <v>Equity</v>
      </c>
      <c r="D4748" s="8" t="str">
        <f>IFERROR(INDEX('nav master'!$C:$C, MATCH(B4748, 'nav master'!$B:$B, 0)), "")</f>
        <v>ULIF08421/11/25InCnsmAdFd101</v>
      </c>
      <c r="E4748" s="8" t="s">
        <v>462</v>
      </c>
      <c r="F4748" s="8" t="s">
        <v>1655</v>
      </c>
    </row>
    <row r="4749" spans="1:6" ht="75" x14ac:dyDescent="0.25">
      <c r="A4749" s="8" t="s">
        <v>125</v>
      </c>
      <c r="B4749" s="8" t="s">
        <v>161</v>
      </c>
      <c r="C4749" s="8" t="str">
        <f>IFERROR(_xlfn.XLOOKUP(TRIM(B4749),Lookup!$B$2:$B$1000,Lookup!$C$2:$C$1000),"")</f>
        <v>Equity</v>
      </c>
      <c r="D4749" s="8" t="str">
        <f>IFERROR(INDEX('nav master'!$C:$C, MATCH(B4749, 'nav master'!$B:$B, 0)), "")</f>
        <v>ULIF08421/11/25InCnsmAdFd101</v>
      </c>
      <c r="E4749" s="8" t="s">
        <v>464</v>
      </c>
      <c r="F4749" s="8" t="s">
        <v>1656</v>
      </c>
    </row>
    <row r="4750" spans="1:6" ht="75" x14ac:dyDescent="0.25">
      <c r="A4750" s="8" t="s">
        <v>125</v>
      </c>
      <c r="B4750" s="8" t="s">
        <v>161</v>
      </c>
      <c r="C4750" s="8" t="str">
        <f>IFERROR(_xlfn.XLOOKUP(TRIM(B4750),Lookup!$B$2:$B$1000,Lookup!$C$2:$C$1000),"")</f>
        <v>Equity</v>
      </c>
      <c r="D4750" s="8" t="str">
        <f>IFERROR(INDEX('nav master'!$C:$C, MATCH(B4750, 'nav master'!$B:$B, 0)), "")</f>
        <v>ULIF08421/11/25InCnsmAdFd101</v>
      </c>
      <c r="E4750" s="8" t="s">
        <v>466</v>
      </c>
      <c r="F4750" s="8" t="s">
        <v>1657</v>
      </c>
    </row>
    <row r="4751" spans="1:6" ht="75" x14ac:dyDescent="0.25">
      <c r="A4751" s="8" t="s">
        <v>125</v>
      </c>
      <c r="B4751" s="8" t="s">
        <v>161</v>
      </c>
      <c r="C4751" s="8" t="str">
        <f>IFERROR(_xlfn.XLOOKUP(TRIM(B4751),Lookup!$B$2:$B$1000,Lookup!$C$2:$C$1000),"")</f>
        <v>Equity</v>
      </c>
      <c r="D4751" s="8" t="str">
        <f>IFERROR(INDEX('nav master'!$C:$C, MATCH(B4751, 'nav master'!$B:$B, 0)), "")</f>
        <v>ULIF08421/11/25InCnsmAdFd101</v>
      </c>
      <c r="E4751" s="8" t="s">
        <v>468</v>
      </c>
      <c r="F4751" s="8" t="s">
        <v>1658</v>
      </c>
    </row>
    <row r="4752" spans="1:6" ht="75" x14ac:dyDescent="0.25">
      <c r="A4752" s="8" t="s">
        <v>125</v>
      </c>
      <c r="B4752" s="8" t="s">
        <v>161</v>
      </c>
      <c r="C4752" s="8" t="str">
        <f>IFERROR(_xlfn.XLOOKUP(TRIM(B4752),Lookup!$B$2:$B$1000,Lookup!$C$2:$C$1000),"")</f>
        <v>Equity</v>
      </c>
      <c r="D4752" s="8" t="str">
        <f>IFERROR(INDEX('nav master'!$C:$C, MATCH(B4752, 'nav master'!$B:$B, 0)), "")</f>
        <v>ULIF08421/11/25InCnsmAdFd101</v>
      </c>
      <c r="E4752" s="8" t="s">
        <v>470</v>
      </c>
      <c r="F4752" s="8" t="s">
        <v>1659</v>
      </c>
    </row>
    <row r="4753" spans="1:6" ht="75" x14ac:dyDescent="0.25">
      <c r="A4753" s="8" t="s">
        <v>125</v>
      </c>
      <c r="B4753" s="8" t="s">
        <v>161</v>
      </c>
      <c r="C4753" s="8" t="str">
        <f>IFERROR(_xlfn.XLOOKUP(TRIM(B4753),Lookup!$B$2:$B$1000,Lookup!$C$2:$C$1000),"")</f>
        <v>Equity</v>
      </c>
      <c r="D4753" s="8" t="str">
        <f>IFERROR(INDEX('nav master'!$C:$C, MATCH(B4753, 'nav master'!$B:$B, 0)), "")</f>
        <v>ULIF08421/11/25InCnsmAdFd101</v>
      </c>
      <c r="E4753" s="8" t="s">
        <v>472</v>
      </c>
      <c r="F4753" s="8" t="s">
        <v>1660</v>
      </c>
    </row>
    <row r="4754" spans="1:6" ht="75" x14ac:dyDescent="0.25">
      <c r="A4754" s="8" t="s">
        <v>125</v>
      </c>
      <c r="B4754" s="8" t="s">
        <v>161</v>
      </c>
      <c r="C4754" s="8" t="str">
        <f>IFERROR(_xlfn.XLOOKUP(TRIM(B4754),Lookup!$B$2:$B$1000,Lookup!$C$2:$C$1000),"")</f>
        <v>Equity</v>
      </c>
      <c r="D4754" s="8" t="str">
        <f>IFERROR(INDEX('nav master'!$C:$C, MATCH(B4754, 'nav master'!$B:$B, 0)), "")</f>
        <v>ULIF08421/11/25InCnsmAdFd101</v>
      </c>
      <c r="E4754" s="8" t="s">
        <v>474</v>
      </c>
      <c r="F4754" s="8" t="s">
        <v>1661</v>
      </c>
    </row>
    <row r="4755" spans="1:6" ht="75" x14ac:dyDescent="0.25">
      <c r="A4755" s="8" t="s">
        <v>125</v>
      </c>
      <c r="B4755" s="8" t="s">
        <v>161</v>
      </c>
      <c r="C4755" s="8" t="str">
        <f>IFERROR(_xlfn.XLOOKUP(TRIM(B4755),Lookup!$B$2:$B$1000,Lookup!$C$2:$C$1000),"")</f>
        <v>Equity</v>
      </c>
      <c r="D4755" s="8" t="str">
        <f>IFERROR(INDEX('nav master'!$C:$C, MATCH(B4755, 'nav master'!$B:$B, 0)), "")</f>
        <v>ULIF08421/11/25InCnsmAdFd101</v>
      </c>
      <c r="E4755" s="8" t="s">
        <v>476</v>
      </c>
      <c r="F4755" s="8" t="s">
        <v>1662</v>
      </c>
    </row>
    <row r="4756" spans="1:6" ht="75" x14ac:dyDescent="0.25">
      <c r="A4756" s="8" t="s">
        <v>125</v>
      </c>
      <c r="B4756" s="8" t="s">
        <v>161</v>
      </c>
      <c r="C4756" s="8" t="str">
        <f>IFERROR(_xlfn.XLOOKUP(TRIM(B4756),Lookup!$B$2:$B$1000,Lookup!$C$2:$C$1000),"")</f>
        <v>Equity</v>
      </c>
      <c r="D4756" s="8" t="str">
        <f>IFERROR(INDEX('nav master'!$C:$C, MATCH(B4756, 'nav master'!$B:$B, 0)), "")</f>
        <v>ULIF08421/11/25InCnsmAdFd101</v>
      </c>
      <c r="E4756" s="8" t="s">
        <v>478</v>
      </c>
      <c r="F4756" s="8" t="s">
        <v>1663</v>
      </c>
    </row>
    <row r="4757" spans="1:6" ht="75" x14ac:dyDescent="0.25">
      <c r="A4757" s="8" t="s">
        <v>125</v>
      </c>
      <c r="B4757" s="8" t="s">
        <v>161</v>
      </c>
      <c r="C4757" s="8" t="str">
        <f>IFERROR(_xlfn.XLOOKUP(TRIM(B4757),Lookup!$B$2:$B$1000,Lookup!$C$2:$C$1000),"")</f>
        <v>Equity</v>
      </c>
      <c r="D4757" s="8" t="str">
        <f>IFERROR(INDEX('nav master'!$C:$C, MATCH(B4757, 'nav master'!$B:$B, 0)), "")</f>
        <v>ULIF08421/11/25InCnsmAdFd101</v>
      </c>
      <c r="E4757" s="8" t="s">
        <v>480</v>
      </c>
      <c r="F4757" s="8" t="s">
        <v>1664</v>
      </c>
    </row>
    <row r="4758" spans="1:6" ht="75" x14ac:dyDescent="0.25">
      <c r="A4758" s="8" t="s">
        <v>125</v>
      </c>
      <c r="B4758" s="8" t="s">
        <v>161</v>
      </c>
      <c r="C4758" s="8" t="str">
        <f>IFERROR(_xlfn.XLOOKUP(TRIM(B4758),Lookup!$B$2:$B$1000,Lookup!$C$2:$C$1000),"")</f>
        <v>Equity</v>
      </c>
      <c r="D4758" s="8" t="str">
        <f>IFERROR(INDEX('nav master'!$C:$C, MATCH(B4758, 'nav master'!$B:$B, 0)), "")</f>
        <v>ULIF08421/11/25InCnsmAdFd101</v>
      </c>
      <c r="E4758" s="8" t="s">
        <v>482</v>
      </c>
      <c r="F4758" s="8" t="s">
        <v>1665</v>
      </c>
    </row>
    <row r="4759" spans="1:6" ht="75" x14ac:dyDescent="0.25">
      <c r="A4759" s="8" t="s">
        <v>125</v>
      </c>
      <c r="B4759" s="8" t="s">
        <v>161</v>
      </c>
      <c r="C4759" s="8" t="str">
        <f>IFERROR(_xlfn.XLOOKUP(TRIM(B4759),Lookup!$B$2:$B$1000,Lookup!$C$2:$C$1000),"")</f>
        <v>Equity</v>
      </c>
      <c r="D4759" s="8" t="str">
        <f>IFERROR(INDEX('nav master'!$C:$C, MATCH(B4759, 'nav master'!$B:$B, 0)), "")</f>
        <v>ULIF08421/11/25InCnsmAdFd101</v>
      </c>
      <c r="E4759" s="8" t="s">
        <v>484</v>
      </c>
      <c r="F4759" s="8" t="s">
        <v>1666</v>
      </c>
    </row>
    <row r="4760" spans="1:6" ht="75" x14ac:dyDescent="0.25">
      <c r="A4760" s="8" t="s">
        <v>125</v>
      </c>
      <c r="B4760" s="8" t="s">
        <v>161</v>
      </c>
      <c r="C4760" s="8" t="str">
        <f>IFERROR(_xlfn.XLOOKUP(TRIM(B4760),Lookup!$B$2:$B$1000,Lookup!$C$2:$C$1000),"")</f>
        <v>Equity</v>
      </c>
      <c r="D4760" s="8" t="str">
        <f>IFERROR(INDEX('nav master'!$C:$C, MATCH(B4760, 'nav master'!$B:$B, 0)), "")</f>
        <v>ULIF08421/11/25InCnsmAdFd101</v>
      </c>
      <c r="E4760" s="8" t="s">
        <v>486</v>
      </c>
      <c r="F4760" s="8" t="s">
        <v>1667</v>
      </c>
    </row>
    <row r="4761" spans="1:6" ht="75" x14ac:dyDescent="0.25">
      <c r="A4761" s="8" t="s">
        <v>125</v>
      </c>
      <c r="B4761" s="8" t="s">
        <v>161</v>
      </c>
      <c r="C4761" s="8" t="str">
        <f>IFERROR(_xlfn.XLOOKUP(TRIM(B4761),Lookup!$B$2:$B$1000,Lookup!$C$2:$C$1000),"")</f>
        <v>Equity</v>
      </c>
      <c r="D4761" s="8" t="str">
        <f>IFERROR(INDEX('nav master'!$C:$C, MATCH(B4761, 'nav master'!$B:$B, 0)), "")</f>
        <v>ULIF08421/11/25InCnsmAdFd101</v>
      </c>
      <c r="E4761" s="8" t="s">
        <v>488</v>
      </c>
      <c r="F4761" s="8" t="s">
        <v>1668</v>
      </c>
    </row>
    <row r="4762" spans="1:6" ht="75" x14ac:dyDescent="0.25">
      <c r="A4762" s="8" t="s">
        <v>125</v>
      </c>
      <c r="B4762" s="8" t="s">
        <v>161</v>
      </c>
      <c r="C4762" s="8" t="str">
        <f>IFERROR(_xlfn.XLOOKUP(TRIM(B4762),Lookup!$B$2:$B$1000,Lookup!$C$2:$C$1000),"")</f>
        <v>Equity</v>
      </c>
      <c r="D4762" s="8" t="str">
        <f>IFERROR(INDEX('nav master'!$C:$C, MATCH(B4762, 'nav master'!$B:$B, 0)), "")</f>
        <v>ULIF08421/11/25InCnsmAdFd101</v>
      </c>
      <c r="E4762" s="8" t="s">
        <v>490</v>
      </c>
      <c r="F4762" s="8" t="s">
        <v>1669</v>
      </c>
    </row>
    <row r="4763" spans="1:6" ht="75" x14ac:dyDescent="0.25">
      <c r="A4763" s="8" t="s">
        <v>125</v>
      </c>
      <c r="B4763" s="8" t="s">
        <v>161</v>
      </c>
      <c r="C4763" s="8" t="str">
        <f>IFERROR(_xlfn.XLOOKUP(TRIM(B4763),Lookup!$B$2:$B$1000,Lookup!$C$2:$C$1000),"")</f>
        <v>Equity</v>
      </c>
      <c r="D4763" s="8" t="str">
        <f>IFERROR(INDEX('nav master'!$C:$C, MATCH(B4763, 'nav master'!$B:$B, 0)), "")</f>
        <v>ULIF08421/11/25InCnsmAdFd101</v>
      </c>
      <c r="E4763" s="8" t="s">
        <v>492</v>
      </c>
      <c r="F4763" s="8" t="s">
        <v>1670</v>
      </c>
    </row>
    <row r="4764" spans="1:6" ht="75" x14ac:dyDescent="0.25">
      <c r="A4764" s="8" t="s">
        <v>125</v>
      </c>
      <c r="B4764" s="8" t="s">
        <v>161</v>
      </c>
      <c r="C4764" s="8" t="str">
        <f>IFERROR(_xlfn.XLOOKUP(TRIM(B4764),Lookup!$B$2:$B$1000,Lookup!$C$2:$C$1000),"")</f>
        <v>Equity</v>
      </c>
      <c r="D4764" s="8" t="str">
        <f>IFERROR(INDEX('nav master'!$C:$C, MATCH(B4764, 'nav master'!$B:$B, 0)), "")</f>
        <v>ULIF08421/11/25InCnsmAdFd101</v>
      </c>
      <c r="E4764" s="8" t="s">
        <v>494</v>
      </c>
      <c r="F4764" s="8" t="s">
        <v>1671</v>
      </c>
    </row>
    <row r="4765" spans="1:6" ht="75" x14ac:dyDescent="0.25">
      <c r="A4765" s="8" t="s">
        <v>125</v>
      </c>
      <c r="B4765" s="8" t="s">
        <v>161</v>
      </c>
      <c r="C4765" s="8" t="str">
        <f>IFERROR(_xlfn.XLOOKUP(TRIM(B4765),Lookup!$B$2:$B$1000,Lookup!$C$2:$C$1000),"")</f>
        <v>Equity</v>
      </c>
      <c r="D4765" s="8" t="str">
        <f>IFERROR(INDEX('nav master'!$C:$C, MATCH(B4765, 'nav master'!$B:$B, 0)), "")</f>
        <v>ULIF08421/11/25InCnsmAdFd101</v>
      </c>
      <c r="E4765" s="8" t="s">
        <v>496</v>
      </c>
      <c r="F4765" s="8" t="s">
        <v>1672</v>
      </c>
    </row>
    <row r="4766" spans="1:6" ht="75" x14ac:dyDescent="0.25">
      <c r="A4766" s="8" t="s">
        <v>125</v>
      </c>
      <c r="B4766" s="8" t="s">
        <v>161</v>
      </c>
      <c r="C4766" s="8" t="str">
        <f>IFERROR(_xlfn.XLOOKUP(TRIM(B4766),Lookup!$B$2:$B$1000,Lookup!$C$2:$C$1000),"")</f>
        <v>Equity</v>
      </c>
      <c r="D4766" s="8" t="str">
        <f>IFERROR(INDEX('nav master'!$C:$C, MATCH(B4766, 'nav master'!$B:$B, 0)), "")</f>
        <v>ULIF08421/11/25InCnsmAdFd101</v>
      </c>
      <c r="E4766" s="8" t="s">
        <v>498</v>
      </c>
      <c r="F4766" s="8" t="s">
        <v>1673</v>
      </c>
    </row>
    <row r="4767" spans="1:6" ht="75" x14ac:dyDescent="0.25">
      <c r="A4767" s="8" t="s">
        <v>125</v>
      </c>
      <c r="B4767" s="8" t="s">
        <v>161</v>
      </c>
      <c r="C4767" s="8" t="str">
        <f>IFERROR(_xlfn.XLOOKUP(TRIM(B4767),Lookup!$B$2:$B$1000,Lookup!$C$2:$C$1000),"")</f>
        <v>Equity</v>
      </c>
      <c r="D4767" s="8" t="str">
        <f>IFERROR(INDEX('nav master'!$C:$C, MATCH(B4767, 'nav master'!$B:$B, 0)), "")</f>
        <v>ULIF08421/11/25InCnsmAdFd101</v>
      </c>
      <c r="E4767" s="8" t="s">
        <v>500</v>
      </c>
      <c r="F4767" s="8" t="s">
        <v>1674</v>
      </c>
    </row>
    <row r="4768" spans="1:6" ht="75" x14ac:dyDescent="0.25">
      <c r="A4768" s="8" t="s">
        <v>125</v>
      </c>
      <c r="B4768" s="8" t="s">
        <v>161</v>
      </c>
      <c r="C4768" s="8" t="str">
        <f>IFERROR(_xlfn.XLOOKUP(TRIM(B4768),Lookup!$B$2:$B$1000,Lookup!$C$2:$C$1000),"")</f>
        <v>Equity</v>
      </c>
      <c r="D4768" s="8" t="str">
        <f>IFERROR(INDEX('nav master'!$C:$C, MATCH(B4768, 'nav master'!$B:$B, 0)), "")</f>
        <v>ULIF08421/11/25InCnsmAdFd101</v>
      </c>
      <c r="E4768" s="8" t="s">
        <v>502</v>
      </c>
      <c r="F4768" s="8" t="s">
        <v>1675</v>
      </c>
    </row>
    <row r="4769" spans="1:6" ht="75" x14ac:dyDescent="0.25">
      <c r="A4769" s="8" t="s">
        <v>125</v>
      </c>
      <c r="B4769" s="8" t="s">
        <v>161</v>
      </c>
      <c r="C4769" s="8" t="str">
        <f>IFERROR(_xlfn.XLOOKUP(TRIM(B4769),Lookup!$B$2:$B$1000,Lookup!$C$2:$C$1000),"")</f>
        <v>Equity</v>
      </c>
      <c r="D4769" s="8" t="str">
        <f>IFERROR(INDEX('nav master'!$C:$C, MATCH(B4769, 'nav master'!$B:$B, 0)), "")</f>
        <v>ULIF08421/11/25InCnsmAdFd101</v>
      </c>
      <c r="E4769" s="8" t="s">
        <v>504</v>
      </c>
      <c r="F4769" s="8" t="s">
        <v>1676</v>
      </c>
    </row>
    <row r="4770" spans="1:6" ht="75" x14ac:dyDescent="0.25">
      <c r="A4770" s="8" t="s">
        <v>125</v>
      </c>
      <c r="B4770" s="8" t="s">
        <v>161</v>
      </c>
      <c r="C4770" s="8" t="str">
        <f>IFERROR(_xlfn.XLOOKUP(TRIM(B4770),Lookup!$B$2:$B$1000,Lookup!$C$2:$C$1000),"")</f>
        <v>Equity</v>
      </c>
      <c r="D4770" s="8" t="str">
        <f>IFERROR(INDEX('nav master'!$C:$C, MATCH(B4770, 'nav master'!$B:$B, 0)), "")</f>
        <v>ULIF08421/11/25InCnsmAdFd101</v>
      </c>
      <c r="E4770" s="8" t="s">
        <v>506</v>
      </c>
      <c r="F4770" s="8" t="s">
        <v>1677</v>
      </c>
    </row>
    <row r="4771" spans="1:6" ht="75" x14ac:dyDescent="0.25">
      <c r="A4771" s="8" t="s">
        <v>125</v>
      </c>
      <c r="B4771" s="8" t="s">
        <v>161</v>
      </c>
      <c r="C4771" s="8" t="str">
        <f>IFERROR(_xlfn.XLOOKUP(TRIM(B4771),Lookup!$B$2:$B$1000,Lookup!$C$2:$C$1000),"")</f>
        <v>Equity</v>
      </c>
      <c r="D4771" s="8" t="str">
        <f>IFERROR(INDEX('nav master'!$C:$C, MATCH(B4771, 'nav master'!$B:$B, 0)), "")</f>
        <v>ULIF08421/11/25InCnsmAdFd101</v>
      </c>
      <c r="E4771" s="8" t="s">
        <v>508</v>
      </c>
      <c r="F4771" s="8" t="s">
        <v>1678</v>
      </c>
    </row>
    <row r="4772" spans="1:6" ht="75" x14ac:dyDescent="0.25">
      <c r="A4772" s="8" t="s">
        <v>125</v>
      </c>
      <c r="B4772" s="8" t="s">
        <v>161</v>
      </c>
      <c r="C4772" s="8" t="str">
        <f>IFERROR(_xlfn.XLOOKUP(TRIM(B4772),Lookup!$B$2:$B$1000,Lookup!$C$2:$C$1000),"")</f>
        <v>Equity</v>
      </c>
      <c r="D4772" s="8" t="str">
        <f>IFERROR(INDEX('nav master'!$C:$C, MATCH(B4772, 'nav master'!$B:$B, 0)), "")</f>
        <v>ULIF08421/11/25InCnsmAdFd101</v>
      </c>
      <c r="E4772" s="8" t="s">
        <v>510</v>
      </c>
      <c r="F4772" s="8" t="s">
        <v>1679</v>
      </c>
    </row>
    <row r="4773" spans="1:6" ht="75" x14ac:dyDescent="0.25">
      <c r="A4773" s="8" t="s">
        <v>125</v>
      </c>
      <c r="B4773" s="8" t="s">
        <v>161</v>
      </c>
      <c r="C4773" s="8" t="str">
        <f>IFERROR(_xlfn.XLOOKUP(TRIM(B4773),Lookup!$B$2:$B$1000,Lookup!$C$2:$C$1000),"")</f>
        <v>Equity</v>
      </c>
      <c r="D4773" s="8" t="str">
        <f>IFERROR(INDEX('nav master'!$C:$C, MATCH(B4773, 'nav master'!$B:$B, 0)), "")</f>
        <v>ULIF08421/11/25InCnsmAdFd101</v>
      </c>
      <c r="E4773" s="8" t="s">
        <v>512</v>
      </c>
      <c r="F4773" s="8" t="s">
        <v>1141</v>
      </c>
    </row>
    <row r="4774" spans="1:6" ht="75" x14ac:dyDescent="0.25">
      <c r="A4774" s="8" t="s">
        <v>125</v>
      </c>
      <c r="B4774" s="8" t="s">
        <v>161</v>
      </c>
      <c r="C4774" s="8" t="str">
        <f>IFERROR(_xlfn.XLOOKUP(TRIM(B4774),Lookup!$B$2:$B$1000,Lookup!$C$2:$C$1000),"")</f>
        <v>Equity</v>
      </c>
      <c r="D4774" s="8" t="str">
        <f>IFERROR(INDEX('nav master'!$C:$C, MATCH(B4774, 'nav master'!$B:$B, 0)), "")</f>
        <v>ULIF08421/11/25InCnsmAdFd101</v>
      </c>
      <c r="E4774" s="8" t="s">
        <v>514</v>
      </c>
      <c r="F4774" s="8" t="s">
        <v>1680</v>
      </c>
    </row>
    <row r="4775" spans="1:6" ht="75" x14ac:dyDescent="0.25">
      <c r="A4775" s="8" t="s">
        <v>125</v>
      </c>
      <c r="B4775" s="8" t="s">
        <v>161</v>
      </c>
      <c r="C4775" s="8" t="str">
        <f>IFERROR(_xlfn.XLOOKUP(TRIM(B4775),Lookup!$B$2:$B$1000,Lookup!$C$2:$C$1000),"")</f>
        <v>Equity</v>
      </c>
      <c r="D4775" s="8" t="str">
        <f>IFERROR(INDEX('nav master'!$C:$C, MATCH(B4775, 'nav master'!$B:$B, 0)), "")</f>
        <v>ULIF08421/11/25InCnsmAdFd101</v>
      </c>
      <c r="E4775" s="8" t="s">
        <v>516</v>
      </c>
      <c r="F4775" s="8" t="s">
        <v>1681</v>
      </c>
    </row>
    <row r="4776" spans="1:6" ht="75" x14ac:dyDescent="0.25">
      <c r="A4776" s="8" t="s">
        <v>125</v>
      </c>
      <c r="B4776" s="8" t="s">
        <v>161</v>
      </c>
      <c r="C4776" s="8" t="str">
        <f>IFERROR(_xlfn.XLOOKUP(TRIM(B4776),Lookup!$B$2:$B$1000,Lookup!$C$2:$C$1000),"")</f>
        <v>Equity</v>
      </c>
      <c r="D4776" s="8" t="str">
        <f>IFERROR(INDEX('nav master'!$C:$C, MATCH(B4776, 'nav master'!$B:$B, 0)), "")</f>
        <v>ULIF08421/11/25InCnsmAdFd101</v>
      </c>
      <c r="E4776" s="8" t="s">
        <v>518</v>
      </c>
      <c r="F4776" s="8" t="s">
        <v>1682</v>
      </c>
    </row>
    <row r="4777" spans="1:6" ht="75" x14ac:dyDescent="0.25">
      <c r="A4777" s="8" t="s">
        <v>125</v>
      </c>
      <c r="B4777" s="8" t="s">
        <v>161</v>
      </c>
      <c r="C4777" s="8" t="str">
        <f>IFERROR(_xlfn.XLOOKUP(TRIM(B4777),Lookup!$B$2:$B$1000,Lookup!$C$2:$C$1000),"")</f>
        <v>Equity</v>
      </c>
      <c r="D4777" s="8" t="str">
        <f>IFERROR(INDEX('nav master'!$C:$C, MATCH(B4777, 'nav master'!$B:$B, 0)), "")</f>
        <v>ULIF08421/11/25InCnsmAdFd101</v>
      </c>
      <c r="E4777" s="8" t="s">
        <v>520</v>
      </c>
      <c r="F4777" s="8" t="s">
        <v>1683</v>
      </c>
    </row>
    <row r="4778" spans="1:6" ht="75" x14ac:dyDescent="0.25">
      <c r="A4778" s="8" t="s">
        <v>125</v>
      </c>
      <c r="B4778" s="8" t="s">
        <v>161</v>
      </c>
      <c r="C4778" s="8" t="str">
        <f>IFERROR(_xlfn.XLOOKUP(TRIM(B4778),Lookup!$B$2:$B$1000,Lookup!$C$2:$C$1000),"")</f>
        <v>Equity</v>
      </c>
      <c r="D4778" s="8" t="str">
        <f>IFERROR(INDEX('nav master'!$C:$C, MATCH(B4778, 'nav master'!$B:$B, 0)), "")</f>
        <v>ULIF08421/11/25InCnsmAdFd101</v>
      </c>
      <c r="E4778" s="8" t="s">
        <v>522</v>
      </c>
      <c r="F4778" s="8" t="s">
        <v>1684</v>
      </c>
    </row>
    <row r="4779" spans="1:6" ht="75" x14ac:dyDescent="0.25">
      <c r="A4779" s="8" t="s">
        <v>125</v>
      </c>
      <c r="B4779" s="8" t="s">
        <v>161</v>
      </c>
      <c r="C4779" s="8" t="str">
        <f>IFERROR(_xlfn.XLOOKUP(TRIM(B4779),Lookup!$B$2:$B$1000,Lookup!$C$2:$C$1000),"")</f>
        <v>Equity</v>
      </c>
      <c r="D4779" s="8" t="str">
        <f>IFERROR(INDEX('nav master'!$C:$C, MATCH(B4779, 'nav master'!$B:$B, 0)), "")</f>
        <v>ULIF08421/11/25InCnsmAdFd101</v>
      </c>
      <c r="E4779" s="8" t="s">
        <v>524</v>
      </c>
      <c r="F4779" s="8" t="s">
        <v>1685</v>
      </c>
    </row>
    <row r="4780" spans="1:6" ht="75" x14ac:dyDescent="0.25">
      <c r="A4780" s="8" t="s">
        <v>125</v>
      </c>
      <c r="B4780" s="8" t="s">
        <v>161</v>
      </c>
      <c r="C4780" s="8" t="str">
        <f>IFERROR(_xlfn.XLOOKUP(TRIM(B4780),Lookup!$B$2:$B$1000,Lookup!$C$2:$C$1000),"")</f>
        <v>Equity</v>
      </c>
      <c r="D4780" s="8" t="str">
        <f>IFERROR(INDEX('nav master'!$C:$C, MATCH(B4780, 'nav master'!$B:$B, 0)), "")</f>
        <v>ULIF08421/11/25InCnsmAdFd101</v>
      </c>
      <c r="E4780" s="8" t="s">
        <v>526</v>
      </c>
      <c r="F4780" s="8" t="s">
        <v>1686</v>
      </c>
    </row>
    <row r="4781" spans="1:6" ht="75" x14ac:dyDescent="0.25">
      <c r="A4781" s="8" t="s">
        <v>125</v>
      </c>
      <c r="B4781" s="8" t="s">
        <v>161</v>
      </c>
      <c r="C4781" s="8" t="str">
        <f>IFERROR(_xlfn.XLOOKUP(TRIM(B4781),Lookup!$B$2:$B$1000,Lookup!$C$2:$C$1000),"")</f>
        <v>Equity</v>
      </c>
      <c r="D4781" s="8" t="str">
        <f>IFERROR(INDEX('nav master'!$C:$C, MATCH(B4781, 'nav master'!$B:$B, 0)), "")</f>
        <v>ULIF08421/11/25InCnsmAdFd101</v>
      </c>
      <c r="E4781" s="8" t="s">
        <v>528</v>
      </c>
      <c r="F4781" s="8" t="s">
        <v>1687</v>
      </c>
    </row>
    <row r="4782" spans="1:6" ht="75" x14ac:dyDescent="0.25">
      <c r="A4782" s="8" t="s">
        <v>125</v>
      </c>
      <c r="B4782" s="8" t="s">
        <v>161</v>
      </c>
      <c r="C4782" s="8" t="str">
        <f>IFERROR(_xlfn.XLOOKUP(TRIM(B4782),Lookup!$B$2:$B$1000,Lookup!$C$2:$C$1000),"")</f>
        <v>Equity</v>
      </c>
      <c r="D4782" s="8" t="str">
        <f>IFERROR(INDEX('nav master'!$C:$C, MATCH(B4782, 'nav master'!$B:$B, 0)), "")</f>
        <v>ULIF08421/11/25InCnsmAdFd101</v>
      </c>
      <c r="E4782" s="8" t="s">
        <v>530</v>
      </c>
      <c r="F4782" s="8" t="s">
        <v>1688</v>
      </c>
    </row>
    <row r="4783" spans="1:6" ht="75" x14ac:dyDescent="0.25">
      <c r="A4783" s="8" t="s">
        <v>125</v>
      </c>
      <c r="B4783" s="8" t="s">
        <v>161</v>
      </c>
      <c r="C4783" s="8" t="str">
        <f>IFERROR(_xlfn.XLOOKUP(TRIM(B4783),Lookup!$B$2:$B$1000,Lookup!$C$2:$C$1000),"")</f>
        <v>Equity</v>
      </c>
      <c r="D4783" s="8" t="str">
        <f>IFERROR(INDEX('nav master'!$C:$C, MATCH(B4783, 'nav master'!$B:$B, 0)), "")</f>
        <v>ULIF08421/11/25InCnsmAdFd101</v>
      </c>
      <c r="E4783" s="8" t="s">
        <v>532</v>
      </c>
      <c r="F4783" s="8" t="s">
        <v>1689</v>
      </c>
    </row>
    <row r="4784" spans="1:6" ht="75" x14ac:dyDescent="0.25">
      <c r="A4784" s="8" t="s">
        <v>125</v>
      </c>
      <c r="B4784" s="8" t="s">
        <v>161</v>
      </c>
      <c r="C4784" s="8" t="str">
        <f>IFERROR(_xlfn.XLOOKUP(TRIM(B4784),Lookup!$B$2:$B$1000,Lookup!$C$2:$C$1000),"")</f>
        <v>Equity</v>
      </c>
      <c r="D4784" s="8" t="str">
        <f>IFERROR(INDEX('nav master'!$C:$C, MATCH(B4784, 'nav master'!$B:$B, 0)), "")</f>
        <v>ULIF08421/11/25InCnsmAdFd101</v>
      </c>
      <c r="E4784" s="8" t="s">
        <v>534</v>
      </c>
      <c r="F4784" s="8" t="s">
        <v>1690</v>
      </c>
    </row>
    <row r="4785" spans="1:6" ht="75" x14ac:dyDescent="0.25">
      <c r="A4785" s="8" t="s">
        <v>125</v>
      </c>
      <c r="B4785" s="8" t="s">
        <v>161</v>
      </c>
      <c r="C4785" s="8" t="str">
        <f>IFERROR(_xlfn.XLOOKUP(TRIM(B4785),Lookup!$B$2:$B$1000,Lookup!$C$2:$C$1000),"")</f>
        <v>Equity</v>
      </c>
      <c r="D4785" s="8" t="str">
        <f>IFERROR(INDEX('nav master'!$C:$C, MATCH(B4785, 'nav master'!$B:$B, 0)), "")</f>
        <v>ULIF08421/11/25InCnsmAdFd101</v>
      </c>
      <c r="E4785" s="8" t="s">
        <v>536</v>
      </c>
      <c r="F4785" s="8" t="s">
        <v>1691</v>
      </c>
    </row>
    <row r="4786" spans="1:6" ht="75" x14ac:dyDescent="0.25">
      <c r="A4786" s="8" t="s">
        <v>125</v>
      </c>
      <c r="B4786" s="8" t="s">
        <v>161</v>
      </c>
      <c r="C4786" s="8" t="str">
        <f>IFERROR(_xlfn.XLOOKUP(TRIM(B4786),Lookup!$B$2:$B$1000,Lookup!$C$2:$C$1000),"")</f>
        <v>Equity</v>
      </c>
      <c r="D4786" s="8" t="str">
        <f>IFERROR(INDEX('nav master'!$C:$C, MATCH(B4786, 'nav master'!$B:$B, 0)), "")</f>
        <v>ULIF08421/11/25InCnsmAdFd101</v>
      </c>
      <c r="E4786" s="8" t="s">
        <v>538</v>
      </c>
      <c r="F4786" s="8" t="s">
        <v>1692</v>
      </c>
    </row>
    <row r="4787" spans="1:6" ht="75" x14ac:dyDescent="0.25">
      <c r="A4787" s="8" t="s">
        <v>125</v>
      </c>
      <c r="B4787" s="8" t="s">
        <v>161</v>
      </c>
      <c r="C4787" s="8" t="str">
        <f>IFERROR(_xlfn.XLOOKUP(TRIM(B4787),Lookup!$B$2:$B$1000,Lookup!$C$2:$C$1000),"")</f>
        <v>Equity</v>
      </c>
      <c r="D4787" s="8" t="str">
        <f>IFERROR(INDEX('nav master'!$C:$C, MATCH(B4787, 'nav master'!$B:$B, 0)), "")</f>
        <v>ULIF08421/11/25InCnsmAdFd101</v>
      </c>
      <c r="E4787" s="8" t="s">
        <v>540</v>
      </c>
      <c r="F4787" s="8" t="s">
        <v>1693</v>
      </c>
    </row>
    <row r="4788" spans="1:6" ht="75" x14ac:dyDescent="0.25">
      <c r="A4788" s="8" t="s">
        <v>125</v>
      </c>
      <c r="B4788" s="8" t="s">
        <v>161</v>
      </c>
      <c r="C4788" s="8" t="str">
        <f>IFERROR(_xlfn.XLOOKUP(TRIM(B4788),Lookup!$B$2:$B$1000,Lookup!$C$2:$C$1000),"")</f>
        <v>Equity</v>
      </c>
      <c r="D4788" s="8" t="str">
        <f>IFERROR(INDEX('nav master'!$C:$C, MATCH(B4788, 'nav master'!$B:$B, 0)), "")</f>
        <v>ULIF08421/11/25InCnsmAdFd101</v>
      </c>
      <c r="E4788" s="8" t="s">
        <v>542</v>
      </c>
      <c r="F4788" s="8" t="s">
        <v>1694</v>
      </c>
    </row>
    <row r="4789" spans="1:6" ht="75" x14ac:dyDescent="0.25">
      <c r="A4789" s="8" t="s">
        <v>125</v>
      </c>
      <c r="B4789" s="8" t="s">
        <v>161</v>
      </c>
      <c r="C4789" s="8" t="str">
        <f>IFERROR(_xlfn.XLOOKUP(TRIM(B4789),Lookup!$B$2:$B$1000,Lookup!$C$2:$C$1000),"")</f>
        <v>Equity</v>
      </c>
      <c r="D4789" s="8" t="str">
        <f>IFERROR(INDEX('nav master'!$C:$C, MATCH(B4789, 'nav master'!$B:$B, 0)), "")</f>
        <v>ULIF08421/11/25InCnsmAdFd101</v>
      </c>
      <c r="E4789" s="8" t="s">
        <v>544</v>
      </c>
      <c r="F4789" s="8" t="s">
        <v>1695</v>
      </c>
    </row>
    <row r="4790" spans="1:6" ht="75" x14ac:dyDescent="0.25">
      <c r="A4790" s="8" t="s">
        <v>125</v>
      </c>
      <c r="B4790" s="8" t="s">
        <v>161</v>
      </c>
      <c r="C4790" s="8" t="str">
        <f>IFERROR(_xlfn.XLOOKUP(TRIM(B4790),Lookup!$B$2:$B$1000,Lookup!$C$2:$C$1000),"")</f>
        <v>Equity</v>
      </c>
      <c r="D4790" s="8" t="str">
        <f>IFERROR(INDEX('nav master'!$C:$C, MATCH(B4790, 'nav master'!$B:$B, 0)), "")</f>
        <v>ULIF08421/11/25InCnsmAdFd101</v>
      </c>
      <c r="E4790" s="8" t="s">
        <v>546</v>
      </c>
      <c r="F4790" s="8" t="s">
        <v>1696</v>
      </c>
    </row>
    <row r="4791" spans="1:6" ht="75" x14ac:dyDescent="0.25">
      <c r="A4791" s="8" t="s">
        <v>125</v>
      </c>
      <c r="B4791" s="8" t="s">
        <v>161</v>
      </c>
      <c r="C4791" s="8" t="str">
        <f>IFERROR(_xlfn.XLOOKUP(TRIM(B4791),Lookup!$B$2:$B$1000,Lookup!$C$2:$C$1000),"")</f>
        <v>Equity</v>
      </c>
      <c r="D4791" s="8" t="str">
        <f>IFERROR(INDEX('nav master'!$C:$C, MATCH(B4791, 'nav master'!$B:$B, 0)), "")</f>
        <v>ULIF08421/11/25InCnsmAdFd101</v>
      </c>
      <c r="E4791" s="8" t="s">
        <v>548</v>
      </c>
      <c r="F4791" s="8" t="s">
        <v>1697</v>
      </c>
    </row>
    <row r="4792" spans="1:6" ht="75" x14ac:dyDescent="0.25">
      <c r="A4792" s="8" t="s">
        <v>125</v>
      </c>
      <c r="B4792" s="8" t="s">
        <v>161</v>
      </c>
      <c r="C4792" s="8" t="str">
        <f>IFERROR(_xlfn.XLOOKUP(TRIM(B4792),Lookup!$B$2:$B$1000,Lookup!$C$2:$C$1000),"")</f>
        <v>Equity</v>
      </c>
      <c r="D4792" s="8" t="str">
        <f>IFERROR(INDEX('nav master'!$C:$C, MATCH(B4792, 'nav master'!$B:$B, 0)), "")</f>
        <v>ULIF08421/11/25InCnsmAdFd101</v>
      </c>
      <c r="E4792" s="8" t="s">
        <v>550</v>
      </c>
      <c r="F4792" s="8" t="s">
        <v>1698</v>
      </c>
    </row>
    <row r="4793" spans="1:6" ht="75" x14ac:dyDescent="0.25">
      <c r="A4793" s="8" t="s">
        <v>125</v>
      </c>
      <c r="B4793" s="8" t="s">
        <v>161</v>
      </c>
      <c r="C4793" s="8" t="str">
        <f>IFERROR(_xlfn.XLOOKUP(TRIM(B4793),Lookup!$B$2:$B$1000,Lookup!$C$2:$C$1000),"")</f>
        <v>Equity</v>
      </c>
      <c r="D4793" s="8" t="str">
        <f>IFERROR(INDEX('nav master'!$C:$C, MATCH(B4793, 'nav master'!$B:$B, 0)), "")</f>
        <v>ULIF08421/11/25InCnsmAdFd101</v>
      </c>
      <c r="E4793" s="8" t="s">
        <v>552</v>
      </c>
      <c r="F4793" s="8" t="s">
        <v>1699</v>
      </c>
    </row>
    <row r="4794" spans="1:6" ht="75" x14ac:dyDescent="0.25">
      <c r="A4794" s="8" t="s">
        <v>125</v>
      </c>
      <c r="B4794" s="8" t="s">
        <v>161</v>
      </c>
      <c r="C4794" s="8" t="str">
        <f>IFERROR(_xlfn.XLOOKUP(TRIM(B4794),Lookup!$B$2:$B$1000,Lookup!$C$2:$C$1000),"")</f>
        <v>Equity</v>
      </c>
      <c r="D4794" s="8" t="str">
        <f>IFERROR(INDEX('nav master'!$C:$C, MATCH(B4794, 'nav master'!$B:$B, 0)), "")</f>
        <v>ULIF08421/11/25InCnsmAdFd101</v>
      </c>
      <c r="E4794" s="8" t="s">
        <v>554</v>
      </c>
      <c r="F4794" s="8" t="s">
        <v>1700</v>
      </c>
    </row>
    <row r="4795" spans="1:6" ht="75" x14ac:dyDescent="0.25">
      <c r="A4795" s="8" t="s">
        <v>125</v>
      </c>
      <c r="B4795" s="8" t="s">
        <v>161</v>
      </c>
      <c r="C4795" s="8" t="str">
        <f>IFERROR(_xlfn.XLOOKUP(TRIM(B4795),Lookup!$B$2:$B$1000,Lookup!$C$2:$C$1000),"")</f>
        <v>Equity</v>
      </c>
      <c r="D4795" s="8" t="str">
        <f>IFERROR(INDEX('nav master'!$C:$C, MATCH(B4795, 'nav master'!$B:$B, 0)), "")</f>
        <v>ULIF08421/11/25InCnsmAdFd101</v>
      </c>
      <c r="E4795" s="8" t="s">
        <v>556</v>
      </c>
      <c r="F4795" s="8" t="s">
        <v>1701</v>
      </c>
    </row>
    <row r="4796" spans="1:6" ht="75" x14ac:dyDescent="0.25">
      <c r="A4796" s="8" t="s">
        <v>125</v>
      </c>
      <c r="B4796" s="8" t="s">
        <v>161</v>
      </c>
      <c r="C4796" s="8" t="str">
        <f>IFERROR(_xlfn.XLOOKUP(TRIM(B4796),Lookup!$B$2:$B$1000,Lookup!$C$2:$C$1000),"")</f>
        <v>Equity</v>
      </c>
      <c r="D4796" s="8" t="str">
        <f>IFERROR(INDEX('nav master'!$C:$C, MATCH(B4796, 'nav master'!$B:$B, 0)), "")</f>
        <v>ULIF08421/11/25InCnsmAdFd101</v>
      </c>
      <c r="E4796" s="8" t="s">
        <v>558</v>
      </c>
      <c r="F4796" s="8" t="s">
        <v>1702</v>
      </c>
    </row>
    <row r="4797" spans="1:6" ht="75" x14ac:dyDescent="0.25">
      <c r="A4797" s="8" t="s">
        <v>125</v>
      </c>
      <c r="B4797" s="8" t="s">
        <v>161</v>
      </c>
      <c r="C4797" s="8" t="str">
        <f>IFERROR(_xlfn.XLOOKUP(TRIM(B4797),Lookup!$B$2:$B$1000,Lookup!$C$2:$C$1000),"")</f>
        <v>Equity</v>
      </c>
      <c r="D4797" s="8" t="str">
        <f>IFERROR(INDEX('nav master'!$C:$C, MATCH(B4797, 'nav master'!$B:$B, 0)), "")</f>
        <v>ULIF08421/11/25InCnsmAdFd101</v>
      </c>
      <c r="E4797" s="8" t="s">
        <v>560</v>
      </c>
      <c r="F4797" s="8" t="s">
        <v>1703</v>
      </c>
    </row>
    <row r="4798" spans="1:6" ht="75" x14ac:dyDescent="0.25">
      <c r="A4798" s="8" t="s">
        <v>125</v>
      </c>
      <c r="B4798" s="8" t="s">
        <v>161</v>
      </c>
      <c r="C4798" s="8" t="str">
        <f>IFERROR(_xlfn.XLOOKUP(TRIM(B4798),Lookup!$B$2:$B$1000,Lookup!$C$2:$C$1000),"")</f>
        <v>Equity</v>
      </c>
      <c r="D4798" s="8" t="str">
        <f>IFERROR(INDEX('nav master'!$C:$C, MATCH(B4798, 'nav master'!$B:$B, 0)), "")</f>
        <v>ULIF08421/11/25InCnsmAdFd101</v>
      </c>
      <c r="E4798" s="8" t="s">
        <v>562</v>
      </c>
      <c r="F4798" s="8" t="s">
        <v>1704</v>
      </c>
    </row>
    <row r="4799" spans="1:6" ht="75" x14ac:dyDescent="0.25">
      <c r="A4799" s="8" t="s">
        <v>125</v>
      </c>
      <c r="B4799" s="8" t="s">
        <v>161</v>
      </c>
      <c r="C4799" s="8" t="str">
        <f>IFERROR(_xlfn.XLOOKUP(TRIM(B4799),Lookup!$B$2:$B$1000,Lookup!$C$2:$C$1000),"")</f>
        <v>Equity</v>
      </c>
      <c r="D4799" s="8" t="str">
        <f>IFERROR(INDEX('nav master'!$C:$C, MATCH(B4799, 'nav master'!$B:$B, 0)), "")</f>
        <v>ULIF08421/11/25InCnsmAdFd101</v>
      </c>
      <c r="E4799" s="8" t="s">
        <v>564</v>
      </c>
      <c r="F4799" s="8" t="s">
        <v>1705</v>
      </c>
    </row>
    <row r="4800" spans="1:6" ht="75" x14ac:dyDescent="0.25">
      <c r="A4800" s="8" t="s">
        <v>125</v>
      </c>
      <c r="B4800" s="8" t="s">
        <v>161</v>
      </c>
      <c r="C4800" s="8" t="str">
        <f>IFERROR(_xlfn.XLOOKUP(TRIM(B4800),Lookup!$B$2:$B$1000,Lookup!$C$2:$C$1000),"")</f>
        <v>Equity</v>
      </c>
      <c r="D4800" s="8" t="str">
        <f>IFERROR(INDEX('nav master'!$C:$C, MATCH(B4800, 'nav master'!$B:$B, 0)), "")</f>
        <v>ULIF08421/11/25InCnsmAdFd101</v>
      </c>
      <c r="E4800" s="8" t="s">
        <v>566</v>
      </c>
      <c r="F4800" s="8" t="s">
        <v>1706</v>
      </c>
    </row>
    <row r="4801" spans="1:6" ht="75" x14ac:dyDescent="0.25">
      <c r="A4801" s="8" t="s">
        <v>125</v>
      </c>
      <c r="B4801" s="8" t="s">
        <v>161</v>
      </c>
      <c r="C4801" s="8" t="str">
        <f>IFERROR(_xlfn.XLOOKUP(TRIM(B4801),Lookup!$B$2:$B$1000,Lookup!$C$2:$C$1000),"")</f>
        <v>Equity</v>
      </c>
      <c r="D4801" s="8" t="str">
        <f>IFERROR(INDEX('nav master'!$C:$C, MATCH(B4801, 'nav master'!$B:$B, 0)), "")</f>
        <v>ULIF08421/11/25InCnsmAdFd101</v>
      </c>
      <c r="E4801" s="8" t="s">
        <v>568</v>
      </c>
      <c r="F4801" s="8" t="s">
        <v>1707</v>
      </c>
    </row>
    <row r="4802" spans="1:6" ht="75" x14ac:dyDescent="0.25">
      <c r="A4802" s="8" t="s">
        <v>125</v>
      </c>
      <c r="B4802" s="8" t="s">
        <v>161</v>
      </c>
      <c r="C4802" s="8" t="str">
        <f>IFERROR(_xlfn.XLOOKUP(TRIM(B4802),Lookup!$B$2:$B$1000,Lookup!$C$2:$C$1000),"")</f>
        <v>Equity</v>
      </c>
      <c r="D4802" s="8" t="str">
        <f>IFERROR(INDEX('nav master'!$C:$C, MATCH(B4802, 'nav master'!$B:$B, 0)), "")</f>
        <v>ULIF08421/11/25InCnsmAdFd101</v>
      </c>
      <c r="E4802" s="8" t="s">
        <v>570</v>
      </c>
      <c r="F4802" s="8" t="s">
        <v>1708</v>
      </c>
    </row>
    <row r="4803" spans="1:6" ht="75" x14ac:dyDescent="0.25">
      <c r="A4803" s="8" t="s">
        <v>125</v>
      </c>
      <c r="B4803" s="8" t="s">
        <v>161</v>
      </c>
      <c r="C4803" s="8" t="str">
        <f>IFERROR(_xlfn.XLOOKUP(TRIM(B4803),Lookup!$B$2:$B$1000,Lookup!$C$2:$C$1000),"")</f>
        <v>Equity</v>
      </c>
      <c r="D4803" s="8" t="str">
        <f>IFERROR(INDEX('nav master'!$C:$C, MATCH(B4803, 'nav master'!$B:$B, 0)), "")</f>
        <v>ULIF08421/11/25InCnsmAdFd101</v>
      </c>
      <c r="E4803" s="8" t="s">
        <v>572</v>
      </c>
      <c r="F4803" s="8" t="s">
        <v>1709</v>
      </c>
    </row>
    <row r="4804" spans="1:6" ht="75" x14ac:dyDescent="0.25">
      <c r="A4804" s="8" t="s">
        <v>125</v>
      </c>
      <c r="B4804" s="8" t="s">
        <v>161</v>
      </c>
      <c r="C4804" s="8" t="str">
        <f>IFERROR(_xlfn.XLOOKUP(TRIM(B4804),Lookup!$B$2:$B$1000,Lookup!$C$2:$C$1000),"")</f>
        <v>Equity</v>
      </c>
      <c r="D4804" s="8" t="str">
        <f>IFERROR(INDEX('nav master'!$C:$C, MATCH(B4804, 'nav master'!$B:$B, 0)), "")</f>
        <v>ULIF08421/11/25InCnsmAdFd101</v>
      </c>
      <c r="E4804" s="8" t="s">
        <v>574</v>
      </c>
      <c r="F4804" s="8" t="s">
        <v>1710</v>
      </c>
    </row>
    <row r="4805" spans="1:6" ht="75" x14ac:dyDescent="0.25">
      <c r="A4805" s="8" t="s">
        <v>125</v>
      </c>
      <c r="B4805" s="8" t="s">
        <v>161</v>
      </c>
      <c r="C4805" s="8" t="str">
        <f>IFERROR(_xlfn.XLOOKUP(TRIM(B4805),Lookup!$B$2:$B$1000,Lookup!$C$2:$C$1000),"")</f>
        <v>Equity</v>
      </c>
      <c r="D4805" s="8" t="str">
        <f>IFERROR(INDEX('nav master'!$C:$C, MATCH(B4805, 'nav master'!$B:$B, 0)), "")</f>
        <v>ULIF08421/11/25InCnsmAdFd101</v>
      </c>
      <c r="E4805" s="8" t="s">
        <v>576</v>
      </c>
      <c r="F4805" s="8" t="s">
        <v>1711</v>
      </c>
    </row>
    <row r="4806" spans="1:6" ht="75" x14ac:dyDescent="0.25">
      <c r="A4806" s="8" t="s">
        <v>125</v>
      </c>
      <c r="B4806" s="8" t="s">
        <v>161</v>
      </c>
      <c r="C4806" s="8" t="str">
        <f>IFERROR(_xlfn.XLOOKUP(TRIM(B4806),Lookup!$B$2:$B$1000,Lookup!$C$2:$C$1000),"")</f>
        <v>Equity</v>
      </c>
      <c r="D4806" s="8" t="str">
        <f>IFERROR(INDEX('nav master'!$C:$C, MATCH(B4806, 'nav master'!$B:$B, 0)), "")</f>
        <v>ULIF08421/11/25InCnsmAdFd101</v>
      </c>
      <c r="E4806" s="8" t="s">
        <v>578</v>
      </c>
      <c r="F4806" s="8" t="s">
        <v>1712</v>
      </c>
    </row>
    <row r="4807" spans="1:6" ht="75" x14ac:dyDescent="0.25">
      <c r="A4807" s="8" t="s">
        <v>125</v>
      </c>
      <c r="B4807" s="8" t="s">
        <v>161</v>
      </c>
      <c r="C4807" s="8" t="str">
        <f>IFERROR(_xlfn.XLOOKUP(TRIM(B4807),Lookup!$B$2:$B$1000,Lookup!$C$2:$C$1000),"")</f>
        <v>Equity</v>
      </c>
      <c r="D4807" s="8" t="str">
        <f>IFERROR(INDEX('nav master'!$C:$C, MATCH(B4807, 'nav master'!$B:$B, 0)), "")</f>
        <v>ULIF08421/11/25InCnsmAdFd101</v>
      </c>
      <c r="E4807" s="8" t="s">
        <v>580</v>
      </c>
      <c r="F4807" s="8" t="s">
        <v>1713</v>
      </c>
    </row>
    <row r="4808" spans="1:6" ht="75" x14ac:dyDescent="0.25">
      <c r="A4808" s="8" t="s">
        <v>125</v>
      </c>
      <c r="B4808" s="8" t="s">
        <v>161</v>
      </c>
      <c r="C4808" s="8" t="str">
        <f>IFERROR(_xlfn.XLOOKUP(TRIM(B4808),Lookup!$B$2:$B$1000,Lookup!$C$2:$C$1000),"")</f>
        <v>Equity</v>
      </c>
      <c r="D4808" s="8" t="str">
        <f>IFERROR(INDEX('nav master'!$C:$C, MATCH(B4808, 'nav master'!$B:$B, 0)), "")</f>
        <v>ULIF08421/11/25InCnsmAdFd101</v>
      </c>
      <c r="E4808" s="8" t="s">
        <v>582</v>
      </c>
      <c r="F4808" s="8" t="s">
        <v>1714</v>
      </c>
    </row>
    <row r="4809" spans="1:6" ht="75" x14ac:dyDescent="0.25">
      <c r="A4809" s="8" t="s">
        <v>125</v>
      </c>
      <c r="B4809" s="8" t="s">
        <v>161</v>
      </c>
      <c r="C4809" s="8" t="str">
        <f>IFERROR(_xlfn.XLOOKUP(TRIM(B4809),Lookup!$B$2:$B$1000,Lookup!$C$2:$C$1000),"")</f>
        <v>Equity</v>
      </c>
      <c r="D4809" s="8" t="str">
        <f>IFERROR(INDEX('nav master'!$C:$C, MATCH(B4809, 'nav master'!$B:$B, 0)), "")</f>
        <v>ULIF08421/11/25InCnsmAdFd101</v>
      </c>
      <c r="E4809" s="8" t="s">
        <v>584</v>
      </c>
      <c r="F4809" s="8" t="s">
        <v>1715</v>
      </c>
    </row>
    <row r="4810" spans="1:6" ht="75" x14ac:dyDescent="0.25">
      <c r="A4810" s="8" t="s">
        <v>125</v>
      </c>
      <c r="B4810" s="8" t="s">
        <v>161</v>
      </c>
      <c r="C4810" s="8" t="str">
        <f>IFERROR(_xlfn.XLOOKUP(TRIM(B4810),Lookup!$B$2:$B$1000,Lookup!$C$2:$C$1000),"")</f>
        <v>Equity</v>
      </c>
      <c r="D4810" s="8" t="str">
        <f>IFERROR(INDEX('nav master'!$C:$C, MATCH(B4810, 'nav master'!$B:$B, 0)), "")</f>
        <v>ULIF08421/11/25InCnsmAdFd101</v>
      </c>
      <c r="E4810" s="8" t="s">
        <v>586</v>
      </c>
      <c r="F4810" s="8" t="s">
        <v>1716</v>
      </c>
    </row>
    <row r="4811" spans="1:6" ht="75" x14ac:dyDescent="0.25">
      <c r="A4811" s="8" t="s">
        <v>125</v>
      </c>
      <c r="B4811" s="8" t="s">
        <v>161</v>
      </c>
      <c r="C4811" s="8" t="str">
        <f>IFERROR(_xlfn.XLOOKUP(TRIM(B4811),Lookup!$B$2:$B$1000,Lookup!$C$2:$C$1000),"")</f>
        <v>Equity</v>
      </c>
      <c r="D4811" s="8" t="str">
        <f>IFERROR(INDEX('nav master'!$C:$C, MATCH(B4811, 'nav master'!$B:$B, 0)), "")</f>
        <v>ULIF08421/11/25InCnsmAdFd101</v>
      </c>
      <c r="E4811" s="8" t="s">
        <v>588</v>
      </c>
      <c r="F4811" s="8" t="s">
        <v>1717</v>
      </c>
    </row>
    <row r="4812" spans="1:6" ht="75" x14ac:dyDescent="0.25">
      <c r="A4812" s="8" t="s">
        <v>125</v>
      </c>
      <c r="B4812" s="8" t="s">
        <v>161</v>
      </c>
      <c r="C4812" s="8" t="str">
        <f>IFERROR(_xlfn.XLOOKUP(TRIM(B4812),Lookup!$B$2:$B$1000,Lookup!$C$2:$C$1000),"")</f>
        <v>Equity</v>
      </c>
      <c r="D4812" s="8" t="str">
        <f>IFERROR(INDEX('nav master'!$C:$C, MATCH(B4812, 'nav master'!$B:$B, 0)), "")</f>
        <v>ULIF08421/11/25InCnsmAdFd101</v>
      </c>
      <c r="E4812" s="8" t="s">
        <v>590</v>
      </c>
      <c r="F4812" s="8" t="s">
        <v>1718</v>
      </c>
    </row>
    <row r="4813" spans="1:6" ht="75" x14ac:dyDescent="0.25">
      <c r="A4813" s="8" t="s">
        <v>125</v>
      </c>
      <c r="B4813" s="8" t="s">
        <v>161</v>
      </c>
      <c r="C4813" s="8" t="str">
        <f>IFERROR(_xlfn.XLOOKUP(TRIM(B4813),Lookup!$B$2:$B$1000,Lookup!$C$2:$C$1000),"")</f>
        <v>Equity</v>
      </c>
      <c r="D4813" s="8" t="str">
        <f>IFERROR(INDEX('nav master'!$C:$C, MATCH(B4813, 'nav master'!$B:$B, 0)), "")</f>
        <v>ULIF08421/11/25InCnsmAdFd101</v>
      </c>
      <c r="E4813" s="8" t="s">
        <v>592</v>
      </c>
      <c r="F4813" s="8" t="s">
        <v>1719</v>
      </c>
    </row>
    <row r="4814" spans="1:6" ht="75" x14ac:dyDescent="0.25">
      <c r="A4814" s="8" t="s">
        <v>125</v>
      </c>
      <c r="B4814" s="8" t="s">
        <v>161</v>
      </c>
      <c r="C4814" s="8" t="str">
        <f>IFERROR(_xlfn.XLOOKUP(TRIM(B4814),Lookup!$B$2:$B$1000,Lookup!$C$2:$C$1000),"")</f>
        <v>Equity</v>
      </c>
      <c r="D4814" s="8" t="str">
        <f>IFERROR(INDEX('nav master'!$C:$C, MATCH(B4814, 'nav master'!$B:$B, 0)), "")</f>
        <v>ULIF08421/11/25InCnsmAdFd101</v>
      </c>
      <c r="E4814" s="8" t="s">
        <v>594</v>
      </c>
      <c r="F4814" s="8" t="s">
        <v>1720</v>
      </c>
    </row>
    <row r="4815" spans="1:6" ht="75" x14ac:dyDescent="0.25">
      <c r="A4815" s="8" t="s">
        <v>125</v>
      </c>
      <c r="B4815" s="8" t="s">
        <v>161</v>
      </c>
      <c r="C4815" s="8" t="str">
        <f>IFERROR(_xlfn.XLOOKUP(TRIM(B4815),Lookup!$B$2:$B$1000,Lookup!$C$2:$C$1000),"")</f>
        <v>Equity</v>
      </c>
      <c r="D4815" s="8" t="str">
        <f>IFERROR(INDEX('nav master'!$C:$C, MATCH(B4815, 'nav master'!$B:$B, 0)), "")</f>
        <v>ULIF08421/11/25InCnsmAdFd101</v>
      </c>
      <c r="E4815" s="8" t="s">
        <v>596</v>
      </c>
      <c r="F4815" s="8" t="s">
        <v>1721</v>
      </c>
    </row>
    <row r="4816" spans="1:6" ht="75" x14ac:dyDescent="0.25">
      <c r="A4816" s="8" t="s">
        <v>125</v>
      </c>
      <c r="B4816" s="8" t="s">
        <v>161</v>
      </c>
      <c r="C4816" s="8" t="str">
        <f>IFERROR(_xlfn.XLOOKUP(TRIM(B4816),Lookup!$B$2:$B$1000,Lookup!$C$2:$C$1000),"")</f>
        <v>Equity</v>
      </c>
      <c r="D4816" s="8" t="str">
        <f>IFERROR(INDEX('nav master'!$C:$C, MATCH(B4816, 'nav master'!$B:$B, 0)), "")</f>
        <v>ULIF08421/11/25InCnsmAdFd101</v>
      </c>
      <c r="E4816" s="8" t="s">
        <v>598</v>
      </c>
      <c r="F4816" s="8" t="s">
        <v>1722</v>
      </c>
    </row>
    <row r="4817" spans="1:6" ht="75" x14ac:dyDescent="0.25">
      <c r="A4817" s="8" t="s">
        <v>125</v>
      </c>
      <c r="B4817" s="8" t="s">
        <v>161</v>
      </c>
      <c r="C4817" s="8" t="str">
        <f>IFERROR(_xlfn.XLOOKUP(TRIM(B4817),Lookup!$B$2:$B$1000,Lookup!$C$2:$C$1000),"")</f>
        <v>Equity</v>
      </c>
      <c r="D4817" s="8" t="str">
        <f>IFERROR(INDEX('nav master'!$C:$C, MATCH(B4817, 'nav master'!$B:$B, 0)), "")</f>
        <v>ULIF08421/11/25InCnsmAdFd101</v>
      </c>
      <c r="E4817" s="8" t="s">
        <v>600</v>
      </c>
      <c r="F4817" s="8" t="s">
        <v>1723</v>
      </c>
    </row>
    <row r="4818" spans="1:6" ht="75" x14ac:dyDescent="0.25">
      <c r="A4818" s="8" t="s">
        <v>125</v>
      </c>
      <c r="B4818" s="8" t="s">
        <v>161</v>
      </c>
      <c r="C4818" s="8" t="str">
        <f>IFERROR(_xlfn.XLOOKUP(TRIM(B4818),Lookup!$B$2:$B$1000,Lookup!$C$2:$C$1000),"")</f>
        <v>Equity</v>
      </c>
      <c r="D4818" s="8" t="str">
        <f>IFERROR(INDEX('nav master'!$C:$C, MATCH(B4818, 'nav master'!$B:$B, 0)), "")</f>
        <v>ULIF08421/11/25InCnsmAdFd101</v>
      </c>
      <c r="E4818" s="8" t="s">
        <v>602</v>
      </c>
      <c r="F4818" s="8" t="s">
        <v>1724</v>
      </c>
    </row>
    <row r="4819" spans="1:6" ht="75" x14ac:dyDescent="0.25">
      <c r="A4819" s="8" t="s">
        <v>125</v>
      </c>
      <c r="B4819" s="8" t="s">
        <v>161</v>
      </c>
      <c r="C4819" s="8" t="str">
        <f>IFERROR(_xlfn.XLOOKUP(TRIM(B4819),Lookup!$B$2:$B$1000,Lookup!$C$2:$C$1000),"")</f>
        <v>Equity</v>
      </c>
      <c r="D4819" s="8" t="str">
        <f>IFERROR(INDEX('nav master'!$C:$C, MATCH(B4819, 'nav master'!$B:$B, 0)), "")</f>
        <v>ULIF08421/11/25InCnsmAdFd101</v>
      </c>
      <c r="E4819" s="8" t="s">
        <v>604</v>
      </c>
      <c r="F4819" s="8" t="s">
        <v>1725</v>
      </c>
    </row>
    <row r="4820" spans="1:6" ht="75" x14ac:dyDescent="0.25">
      <c r="A4820" s="8" t="s">
        <v>125</v>
      </c>
      <c r="B4820" s="8" t="s">
        <v>161</v>
      </c>
      <c r="C4820" s="8" t="str">
        <f>IFERROR(_xlfn.XLOOKUP(TRIM(B4820),Lookup!$B$2:$B$1000,Lookup!$C$2:$C$1000),"")</f>
        <v>Equity</v>
      </c>
      <c r="D4820" s="8" t="str">
        <f>IFERROR(INDEX('nav master'!$C:$C, MATCH(B4820, 'nav master'!$B:$B, 0)), "")</f>
        <v>ULIF08421/11/25InCnsmAdFd101</v>
      </c>
      <c r="E4820" s="8" t="s">
        <v>606</v>
      </c>
      <c r="F4820" s="8" t="s">
        <v>1726</v>
      </c>
    </row>
    <row r="4821" spans="1:6" ht="75" x14ac:dyDescent="0.25">
      <c r="A4821" s="8" t="s">
        <v>125</v>
      </c>
      <c r="B4821" s="8" t="s">
        <v>161</v>
      </c>
      <c r="C4821" s="8" t="str">
        <f>IFERROR(_xlfn.XLOOKUP(TRIM(B4821),Lookup!$B$2:$B$1000,Lookup!$C$2:$C$1000),"")</f>
        <v>Equity</v>
      </c>
      <c r="D4821" s="8" t="str">
        <f>IFERROR(INDEX('nav master'!$C:$C, MATCH(B4821, 'nav master'!$B:$B, 0)), "")</f>
        <v>ULIF08421/11/25InCnsmAdFd101</v>
      </c>
      <c r="E4821" s="8" t="s">
        <v>608</v>
      </c>
      <c r="F4821" s="8" t="s">
        <v>1727</v>
      </c>
    </row>
    <row r="4822" spans="1:6" ht="75" x14ac:dyDescent="0.25">
      <c r="A4822" s="8" t="s">
        <v>125</v>
      </c>
      <c r="B4822" s="8" t="s">
        <v>161</v>
      </c>
      <c r="C4822" s="8" t="str">
        <f>IFERROR(_xlfn.XLOOKUP(TRIM(B4822),Lookup!$B$2:$B$1000,Lookup!$C$2:$C$1000),"")</f>
        <v>Equity</v>
      </c>
      <c r="D4822" s="8" t="str">
        <f>IFERROR(INDEX('nav master'!$C:$C, MATCH(B4822, 'nav master'!$B:$B, 0)), "")</f>
        <v>ULIF08421/11/25InCnsmAdFd101</v>
      </c>
      <c r="E4822" s="8" t="s">
        <v>610</v>
      </c>
      <c r="F4822" s="8" t="s">
        <v>1728</v>
      </c>
    </row>
    <row r="4823" spans="1:6" ht="75" x14ac:dyDescent="0.25">
      <c r="A4823" s="8" t="s">
        <v>125</v>
      </c>
      <c r="B4823" s="8" t="s">
        <v>161</v>
      </c>
      <c r="C4823" s="8" t="str">
        <f>IFERROR(_xlfn.XLOOKUP(TRIM(B4823),Lookup!$B$2:$B$1000,Lookup!$C$2:$C$1000),"")</f>
        <v>Equity</v>
      </c>
      <c r="D4823" s="8" t="str">
        <f>IFERROR(INDEX('nav master'!$C:$C, MATCH(B4823, 'nav master'!$B:$B, 0)), "")</f>
        <v>ULIF08421/11/25InCnsmAdFd101</v>
      </c>
      <c r="E4823" s="8" t="s">
        <v>612</v>
      </c>
      <c r="F4823" s="8" t="s">
        <v>1729</v>
      </c>
    </row>
    <row r="4824" spans="1:6" ht="75" x14ac:dyDescent="0.25">
      <c r="A4824" s="8" t="s">
        <v>125</v>
      </c>
      <c r="B4824" s="8" t="s">
        <v>161</v>
      </c>
      <c r="C4824" s="8" t="str">
        <f>IFERROR(_xlfn.XLOOKUP(TRIM(B4824),Lookup!$B$2:$B$1000,Lookup!$C$2:$C$1000),"")</f>
        <v>Equity</v>
      </c>
      <c r="D4824" s="8" t="str">
        <f>IFERROR(INDEX('nav master'!$C:$C, MATCH(B4824, 'nav master'!$B:$B, 0)), "")</f>
        <v>ULIF08421/11/25InCnsmAdFd101</v>
      </c>
      <c r="E4824" s="8" t="s">
        <v>614</v>
      </c>
      <c r="F4824" s="8" t="s">
        <v>1730</v>
      </c>
    </row>
    <row r="4825" spans="1:6" ht="75" x14ac:dyDescent="0.25">
      <c r="A4825" s="8" t="s">
        <v>125</v>
      </c>
      <c r="B4825" s="8" t="s">
        <v>161</v>
      </c>
      <c r="C4825" s="8" t="str">
        <f>IFERROR(_xlfn.XLOOKUP(TRIM(B4825),Lookup!$B$2:$B$1000,Lookup!$C$2:$C$1000),"")</f>
        <v>Equity</v>
      </c>
      <c r="D4825" s="8" t="str">
        <f>IFERROR(INDEX('nav master'!$C:$C, MATCH(B4825, 'nav master'!$B:$B, 0)), "")</f>
        <v>ULIF08421/11/25InCnsmAdFd101</v>
      </c>
      <c r="E4825" s="8" t="s">
        <v>616</v>
      </c>
      <c r="F4825" s="8" t="s">
        <v>1731</v>
      </c>
    </row>
    <row r="4826" spans="1:6" ht="75" x14ac:dyDescent="0.25">
      <c r="A4826" s="8" t="s">
        <v>125</v>
      </c>
      <c r="B4826" s="8" t="s">
        <v>161</v>
      </c>
      <c r="C4826" s="8" t="str">
        <f>IFERROR(_xlfn.XLOOKUP(TRIM(B4826),Lookup!$B$2:$B$1000,Lookup!$C$2:$C$1000),"")</f>
        <v>Equity</v>
      </c>
      <c r="D4826" s="8" t="str">
        <f>IFERROR(INDEX('nav master'!$C:$C, MATCH(B4826, 'nav master'!$B:$B, 0)), "")</f>
        <v>ULIF08421/11/25InCnsmAdFd101</v>
      </c>
      <c r="E4826" s="8" t="s">
        <v>618</v>
      </c>
      <c r="F4826" s="8" t="s">
        <v>1732</v>
      </c>
    </row>
    <row r="4827" spans="1:6" ht="75" x14ac:dyDescent="0.25">
      <c r="A4827" s="8" t="s">
        <v>125</v>
      </c>
      <c r="B4827" s="8" t="s">
        <v>161</v>
      </c>
      <c r="C4827" s="8" t="str">
        <f>IFERROR(_xlfn.XLOOKUP(TRIM(B4827),Lookup!$B$2:$B$1000,Lookup!$C$2:$C$1000),"")</f>
        <v>Equity</v>
      </c>
      <c r="D4827" s="8" t="str">
        <f>IFERROR(INDEX('nav master'!$C:$C, MATCH(B4827, 'nav master'!$B:$B, 0)), "")</f>
        <v>ULIF08421/11/25InCnsmAdFd101</v>
      </c>
      <c r="E4827" s="8" t="s">
        <v>620</v>
      </c>
      <c r="F4827" s="8" t="s">
        <v>1733</v>
      </c>
    </row>
    <row r="4828" spans="1:6" ht="75" x14ac:dyDescent="0.25">
      <c r="A4828" s="8" t="s">
        <v>125</v>
      </c>
      <c r="B4828" s="8" t="s">
        <v>161</v>
      </c>
      <c r="C4828" s="8" t="str">
        <f>IFERROR(_xlfn.XLOOKUP(TRIM(B4828),Lookup!$B$2:$B$1000,Lookup!$C$2:$C$1000),"")</f>
        <v>Equity</v>
      </c>
      <c r="D4828" s="8" t="str">
        <f>IFERROR(INDEX('nav master'!$C:$C, MATCH(B4828, 'nav master'!$B:$B, 0)), "")</f>
        <v>ULIF08421/11/25InCnsmAdFd101</v>
      </c>
      <c r="E4828" s="8" t="s">
        <v>622</v>
      </c>
      <c r="F4828" s="8" t="s">
        <v>1734</v>
      </c>
    </row>
    <row r="4829" spans="1:6" ht="75" x14ac:dyDescent="0.25">
      <c r="A4829" s="8" t="s">
        <v>125</v>
      </c>
      <c r="B4829" s="8" t="s">
        <v>161</v>
      </c>
      <c r="C4829" s="8" t="str">
        <f>IFERROR(_xlfn.XLOOKUP(TRIM(B4829),Lookup!$B$2:$B$1000,Lookup!$C$2:$C$1000),"")</f>
        <v>Equity</v>
      </c>
      <c r="D4829" s="8" t="str">
        <f>IFERROR(INDEX('nav master'!$C:$C, MATCH(B4829, 'nav master'!$B:$B, 0)), "")</f>
        <v>ULIF08421/11/25InCnsmAdFd101</v>
      </c>
      <c r="E4829" s="8" t="s">
        <v>624</v>
      </c>
      <c r="F4829" s="8" t="s">
        <v>1735</v>
      </c>
    </row>
    <row r="4830" spans="1:6" ht="75" x14ac:dyDescent="0.25">
      <c r="A4830" s="8" t="s">
        <v>125</v>
      </c>
      <c r="B4830" s="8" t="s">
        <v>161</v>
      </c>
      <c r="C4830" s="8" t="str">
        <f>IFERROR(_xlfn.XLOOKUP(TRIM(B4830),Lookup!$B$2:$B$1000,Lookup!$C$2:$C$1000),"")</f>
        <v>Equity</v>
      </c>
      <c r="D4830" s="8" t="str">
        <f>IFERROR(INDEX('nav master'!$C:$C, MATCH(B4830, 'nav master'!$B:$B, 0)), "")</f>
        <v>ULIF08421/11/25InCnsmAdFd101</v>
      </c>
      <c r="E4830" s="8" t="s">
        <v>626</v>
      </c>
      <c r="F4830" s="8" t="s">
        <v>1736</v>
      </c>
    </row>
    <row r="4831" spans="1:6" ht="75" x14ac:dyDescent="0.25">
      <c r="A4831" s="8" t="s">
        <v>125</v>
      </c>
      <c r="B4831" s="8" t="s">
        <v>161</v>
      </c>
      <c r="C4831" s="8" t="str">
        <f>IFERROR(_xlfn.XLOOKUP(TRIM(B4831),Lookup!$B$2:$B$1000,Lookup!$C$2:$C$1000),"")</f>
        <v>Equity</v>
      </c>
      <c r="D4831" s="8" t="str">
        <f>IFERROR(INDEX('nav master'!$C:$C, MATCH(B4831, 'nav master'!$B:$B, 0)), "")</f>
        <v>ULIF08421/11/25InCnsmAdFd101</v>
      </c>
      <c r="E4831" s="8" t="s">
        <v>628</v>
      </c>
      <c r="F4831" s="8" t="s">
        <v>1737</v>
      </c>
    </row>
    <row r="4832" spans="1:6" ht="75" x14ac:dyDescent="0.25">
      <c r="A4832" s="8" t="s">
        <v>125</v>
      </c>
      <c r="B4832" s="8" t="s">
        <v>161</v>
      </c>
      <c r="C4832" s="8" t="str">
        <f>IFERROR(_xlfn.XLOOKUP(TRIM(B4832),Lookup!$B$2:$B$1000,Lookup!$C$2:$C$1000),"")</f>
        <v>Equity</v>
      </c>
      <c r="D4832" s="8" t="str">
        <f>IFERROR(INDEX('nav master'!$C:$C, MATCH(B4832, 'nav master'!$B:$B, 0)), "")</f>
        <v>ULIF08421/11/25InCnsmAdFd101</v>
      </c>
      <c r="E4832" s="8" t="s">
        <v>630</v>
      </c>
      <c r="F4832" s="8" t="s">
        <v>1738</v>
      </c>
    </row>
    <row r="4833" spans="1:6" ht="75" x14ac:dyDescent="0.25">
      <c r="A4833" s="8" t="s">
        <v>125</v>
      </c>
      <c r="B4833" s="8" t="s">
        <v>161</v>
      </c>
      <c r="C4833" s="8" t="str">
        <f>IFERROR(_xlfn.XLOOKUP(TRIM(B4833),Lookup!$B$2:$B$1000,Lookup!$C$2:$C$1000),"")</f>
        <v>Equity</v>
      </c>
      <c r="D4833" s="8" t="str">
        <f>IFERROR(INDEX('nav master'!$C:$C, MATCH(B4833, 'nav master'!$B:$B, 0)), "")</f>
        <v>ULIF08421/11/25InCnsmAdFd101</v>
      </c>
      <c r="E4833" s="8" t="s">
        <v>632</v>
      </c>
      <c r="F4833" s="8" t="s">
        <v>1739</v>
      </c>
    </row>
    <row r="4834" spans="1:6" ht="75" x14ac:dyDescent="0.25">
      <c r="A4834" s="8" t="s">
        <v>125</v>
      </c>
      <c r="B4834" s="8" t="s">
        <v>161</v>
      </c>
      <c r="C4834" s="8" t="str">
        <f>IFERROR(_xlfn.XLOOKUP(TRIM(B4834),Lookup!$B$2:$B$1000,Lookup!$C$2:$C$1000),"")</f>
        <v>Equity</v>
      </c>
      <c r="D4834" s="8" t="str">
        <f>IFERROR(INDEX('nav master'!$C:$C, MATCH(B4834, 'nav master'!$B:$B, 0)), "")</f>
        <v>ULIF08421/11/25InCnsmAdFd101</v>
      </c>
      <c r="E4834" s="8" t="s">
        <v>634</v>
      </c>
      <c r="F4834" s="8" t="s">
        <v>1740</v>
      </c>
    </row>
    <row r="4835" spans="1:6" ht="75" x14ac:dyDescent="0.25">
      <c r="A4835" s="8" t="s">
        <v>125</v>
      </c>
      <c r="B4835" s="8" t="s">
        <v>161</v>
      </c>
      <c r="C4835" s="8" t="str">
        <f>IFERROR(_xlfn.XLOOKUP(TRIM(B4835),Lookup!$B$2:$B$1000,Lookup!$C$2:$C$1000),"")</f>
        <v>Equity</v>
      </c>
      <c r="D4835" s="8" t="str">
        <f>IFERROR(INDEX('nav master'!$C:$C, MATCH(B4835, 'nav master'!$B:$B, 0)), "")</f>
        <v>ULIF08421/11/25InCnsmAdFd101</v>
      </c>
      <c r="E4835" s="8" t="s">
        <v>636</v>
      </c>
      <c r="F4835" s="8" t="s">
        <v>1741</v>
      </c>
    </row>
    <row r="4836" spans="1:6" ht="75" x14ac:dyDescent="0.25">
      <c r="A4836" s="8" t="s">
        <v>125</v>
      </c>
      <c r="B4836" s="8" t="s">
        <v>161</v>
      </c>
      <c r="C4836" s="8" t="str">
        <f>IFERROR(_xlfn.XLOOKUP(TRIM(B4836),Lookup!$B$2:$B$1000,Lookup!$C$2:$C$1000),"")</f>
        <v>Equity</v>
      </c>
      <c r="D4836" s="8" t="str">
        <f>IFERROR(INDEX('nav master'!$C:$C, MATCH(B4836, 'nav master'!$B:$B, 0)), "")</f>
        <v>ULIF08421/11/25InCnsmAdFd101</v>
      </c>
      <c r="E4836" s="8" t="s">
        <v>638</v>
      </c>
      <c r="F4836" s="8" t="s">
        <v>1742</v>
      </c>
    </row>
    <row r="4837" spans="1:6" ht="75" x14ac:dyDescent="0.25">
      <c r="A4837" s="8" t="s">
        <v>125</v>
      </c>
      <c r="B4837" s="8" t="s">
        <v>161</v>
      </c>
      <c r="C4837" s="8" t="str">
        <f>IFERROR(_xlfn.XLOOKUP(TRIM(B4837),Lookup!$B$2:$B$1000,Lookup!$C$2:$C$1000),"")</f>
        <v>Equity</v>
      </c>
      <c r="D4837" s="8" t="str">
        <f>IFERROR(INDEX('nav master'!$C:$C, MATCH(B4837, 'nav master'!$B:$B, 0)), "")</f>
        <v>ULIF08421/11/25InCnsmAdFd101</v>
      </c>
      <c r="E4837" s="8" t="s">
        <v>640</v>
      </c>
      <c r="F4837" s="8" t="s">
        <v>1743</v>
      </c>
    </row>
    <row r="4838" spans="1:6" ht="75" x14ac:dyDescent="0.25">
      <c r="A4838" s="8" t="s">
        <v>125</v>
      </c>
      <c r="B4838" s="8" t="s">
        <v>161</v>
      </c>
      <c r="C4838" s="8" t="str">
        <f>IFERROR(_xlfn.XLOOKUP(TRIM(B4838),Lookup!$B$2:$B$1000,Lookup!$C$2:$C$1000),"")</f>
        <v>Equity</v>
      </c>
      <c r="D4838" s="8" t="str">
        <f>IFERROR(INDEX('nav master'!$C:$C, MATCH(B4838, 'nav master'!$B:$B, 0)), "")</f>
        <v>ULIF08421/11/25InCnsmAdFd101</v>
      </c>
      <c r="E4838" s="8" t="s">
        <v>642</v>
      </c>
      <c r="F4838" s="8" t="s">
        <v>1744</v>
      </c>
    </row>
    <row r="4839" spans="1:6" ht="75" x14ac:dyDescent="0.25">
      <c r="A4839" s="8" t="s">
        <v>125</v>
      </c>
      <c r="B4839" s="8" t="s">
        <v>161</v>
      </c>
      <c r="C4839" s="8" t="str">
        <f>IFERROR(_xlfn.XLOOKUP(TRIM(B4839),Lookup!$B$2:$B$1000,Lookup!$C$2:$C$1000),"")</f>
        <v>Equity</v>
      </c>
      <c r="D4839" s="8" t="str">
        <f>IFERROR(INDEX('nav master'!$C:$C, MATCH(B4839, 'nav master'!$B:$B, 0)), "")</f>
        <v>ULIF08421/11/25InCnsmAdFd101</v>
      </c>
      <c r="E4839" s="8" t="s">
        <v>644</v>
      </c>
      <c r="F4839" s="8" t="s">
        <v>1745</v>
      </c>
    </row>
    <row r="4840" spans="1:6" ht="75" x14ac:dyDescent="0.25">
      <c r="A4840" s="8" t="s">
        <v>125</v>
      </c>
      <c r="B4840" s="8" t="s">
        <v>161</v>
      </c>
      <c r="C4840" s="8" t="str">
        <f>IFERROR(_xlfn.XLOOKUP(TRIM(B4840),Lookup!$B$2:$B$1000,Lookup!$C$2:$C$1000),"")</f>
        <v>Equity</v>
      </c>
      <c r="D4840" s="8" t="str">
        <f>IFERROR(INDEX('nav master'!$C:$C, MATCH(B4840, 'nav master'!$B:$B, 0)), "")</f>
        <v>ULIF08421/11/25InCnsmAdFd101</v>
      </c>
      <c r="E4840" s="8" t="s">
        <v>646</v>
      </c>
      <c r="F4840" s="8" t="s">
        <v>1746</v>
      </c>
    </row>
    <row r="4841" spans="1:6" ht="75" x14ac:dyDescent="0.25">
      <c r="A4841" s="8" t="s">
        <v>125</v>
      </c>
      <c r="B4841" s="8" t="s">
        <v>161</v>
      </c>
      <c r="C4841" s="8" t="str">
        <f>IFERROR(_xlfn.XLOOKUP(TRIM(B4841),Lookup!$B$2:$B$1000,Lookup!$C$2:$C$1000),"")</f>
        <v>Equity</v>
      </c>
      <c r="D4841" s="8" t="str">
        <f>IFERROR(INDEX('nav master'!$C:$C, MATCH(B4841, 'nav master'!$B:$B, 0)), "")</f>
        <v>ULIF08421/11/25InCnsmAdFd101</v>
      </c>
      <c r="E4841" s="8" t="s">
        <v>648</v>
      </c>
      <c r="F4841" s="8" t="s">
        <v>1747</v>
      </c>
    </row>
    <row r="4842" spans="1:6" ht="75" x14ac:dyDescent="0.25">
      <c r="A4842" s="8" t="s">
        <v>125</v>
      </c>
      <c r="B4842" s="8" t="s">
        <v>161</v>
      </c>
      <c r="C4842" s="8" t="str">
        <f>IFERROR(_xlfn.XLOOKUP(TRIM(B4842),Lookup!$B$2:$B$1000,Lookup!$C$2:$C$1000),"")</f>
        <v>Equity</v>
      </c>
      <c r="D4842" s="8" t="str">
        <f>IFERROR(INDEX('nav master'!$C:$C, MATCH(B4842, 'nav master'!$B:$B, 0)), "")</f>
        <v>ULIF08421/11/25InCnsmAdFd101</v>
      </c>
      <c r="E4842" s="8" t="s">
        <v>650</v>
      </c>
      <c r="F4842" s="8" t="s">
        <v>1748</v>
      </c>
    </row>
    <row r="4843" spans="1:6" ht="75" x14ac:dyDescent="0.25">
      <c r="A4843" s="8" t="s">
        <v>125</v>
      </c>
      <c r="B4843" s="8" t="s">
        <v>161</v>
      </c>
      <c r="C4843" s="8" t="str">
        <f>IFERROR(_xlfn.XLOOKUP(TRIM(B4843),Lookup!$B$2:$B$1000,Lookup!$C$2:$C$1000),"")</f>
        <v>Equity</v>
      </c>
      <c r="D4843" s="8" t="str">
        <f>IFERROR(INDEX('nav master'!$C:$C, MATCH(B4843, 'nav master'!$B:$B, 0)), "")</f>
        <v>ULIF08421/11/25InCnsmAdFd101</v>
      </c>
      <c r="E4843" s="8" t="s">
        <v>652</v>
      </c>
      <c r="F4843" s="8" t="s">
        <v>1749</v>
      </c>
    </row>
    <row r="4844" spans="1:6" ht="75" x14ac:dyDescent="0.25">
      <c r="A4844" s="8" t="s">
        <v>125</v>
      </c>
      <c r="B4844" s="8" t="s">
        <v>161</v>
      </c>
      <c r="C4844" s="8" t="str">
        <f>IFERROR(_xlfn.XLOOKUP(TRIM(B4844),Lookup!$B$2:$B$1000,Lookup!$C$2:$C$1000),"")</f>
        <v>Equity</v>
      </c>
      <c r="D4844" s="8" t="str">
        <f>IFERROR(INDEX('nav master'!$C:$C, MATCH(B4844, 'nav master'!$B:$B, 0)), "")</f>
        <v>ULIF08421/11/25InCnsmAdFd101</v>
      </c>
      <c r="E4844" s="8" t="s">
        <v>654</v>
      </c>
      <c r="F4844" s="8" t="s">
        <v>1750</v>
      </c>
    </row>
    <row r="4845" spans="1:6" ht="75" x14ac:dyDescent="0.25">
      <c r="A4845" s="8" t="s">
        <v>125</v>
      </c>
      <c r="B4845" s="8" t="s">
        <v>161</v>
      </c>
      <c r="C4845" s="8" t="str">
        <f>IFERROR(_xlfn.XLOOKUP(TRIM(B4845),Lookup!$B$2:$B$1000,Lookup!$C$2:$C$1000),"")</f>
        <v>Equity</v>
      </c>
      <c r="D4845" s="8" t="str">
        <f>IFERROR(INDEX('nav master'!$C:$C, MATCH(B4845, 'nav master'!$B:$B, 0)), "")</f>
        <v>ULIF08421/11/25InCnsmAdFd101</v>
      </c>
      <c r="E4845" s="8" t="s">
        <v>656</v>
      </c>
      <c r="F4845" s="8" t="s">
        <v>1751</v>
      </c>
    </row>
    <row r="4846" spans="1:6" ht="75" x14ac:dyDescent="0.25">
      <c r="A4846" s="8" t="s">
        <v>125</v>
      </c>
      <c r="B4846" s="8" t="s">
        <v>161</v>
      </c>
      <c r="C4846" s="8" t="str">
        <f>IFERROR(_xlfn.XLOOKUP(TRIM(B4846),Lookup!$B$2:$B$1000,Lookup!$C$2:$C$1000),"")</f>
        <v>Equity</v>
      </c>
      <c r="D4846" s="8" t="str">
        <f>IFERROR(INDEX('nav master'!$C:$C, MATCH(B4846, 'nav master'!$B:$B, 0)), "")</f>
        <v>ULIF08421/11/25InCnsmAdFd101</v>
      </c>
      <c r="E4846" s="8" t="s">
        <v>658</v>
      </c>
      <c r="F4846" s="8" t="s">
        <v>1752</v>
      </c>
    </row>
    <row r="4847" spans="1:6" ht="75" x14ac:dyDescent="0.25">
      <c r="A4847" s="8" t="s">
        <v>125</v>
      </c>
      <c r="B4847" s="8" t="s">
        <v>161</v>
      </c>
      <c r="C4847" s="8" t="str">
        <f>IFERROR(_xlfn.XLOOKUP(TRIM(B4847),Lookup!$B$2:$B$1000,Lookup!$C$2:$C$1000),"")</f>
        <v>Equity</v>
      </c>
      <c r="D4847" s="8" t="str">
        <f>IFERROR(INDEX('nav master'!$C:$C, MATCH(B4847, 'nav master'!$B:$B, 0)), "")</f>
        <v>ULIF08421/11/25InCnsmAdFd101</v>
      </c>
      <c r="E4847" s="8" t="s">
        <v>660</v>
      </c>
      <c r="F4847" s="8" t="s">
        <v>1753</v>
      </c>
    </row>
    <row r="4848" spans="1:6" ht="75" x14ac:dyDescent="0.25">
      <c r="A4848" s="8" t="s">
        <v>125</v>
      </c>
      <c r="B4848" s="8" t="s">
        <v>161</v>
      </c>
      <c r="C4848" s="8" t="str">
        <f>IFERROR(_xlfn.XLOOKUP(TRIM(B4848),Lookup!$B$2:$B$1000,Lookup!$C$2:$C$1000),"")</f>
        <v>Equity</v>
      </c>
      <c r="D4848" s="8" t="str">
        <f>IFERROR(INDEX('nav master'!$C:$C, MATCH(B4848, 'nav master'!$B:$B, 0)), "")</f>
        <v>ULIF08421/11/25InCnsmAdFd101</v>
      </c>
      <c r="E4848" s="8" t="s">
        <v>662</v>
      </c>
      <c r="F4848" s="8" t="s">
        <v>1754</v>
      </c>
    </row>
    <row r="4849" spans="1:6" ht="75" x14ac:dyDescent="0.25">
      <c r="A4849" s="8" t="s">
        <v>125</v>
      </c>
      <c r="B4849" s="8" t="s">
        <v>161</v>
      </c>
      <c r="C4849" s="8" t="str">
        <f>IFERROR(_xlfn.XLOOKUP(TRIM(B4849),Lookup!$B$2:$B$1000,Lookup!$C$2:$C$1000),"")</f>
        <v>Equity</v>
      </c>
      <c r="D4849" s="8" t="str">
        <f>IFERROR(INDEX('nav master'!$C:$C, MATCH(B4849, 'nav master'!$B:$B, 0)), "")</f>
        <v>ULIF08421/11/25InCnsmAdFd101</v>
      </c>
      <c r="E4849" s="8" t="s">
        <v>664</v>
      </c>
      <c r="F4849" s="8" t="s">
        <v>1755</v>
      </c>
    </row>
    <row r="4850" spans="1:6" ht="75" x14ac:dyDescent="0.25">
      <c r="A4850" s="8" t="s">
        <v>125</v>
      </c>
      <c r="B4850" s="8" t="s">
        <v>161</v>
      </c>
      <c r="C4850" s="8" t="str">
        <f>IFERROR(_xlfn.XLOOKUP(TRIM(B4850),Lookup!$B$2:$B$1000,Lookup!$C$2:$C$1000),"")</f>
        <v>Equity</v>
      </c>
      <c r="D4850" s="8" t="str">
        <f>IFERROR(INDEX('nav master'!$C:$C, MATCH(B4850, 'nav master'!$B:$B, 0)), "")</f>
        <v>ULIF08421/11/25InCnsmAdFd101</v>
      </c>
      <c r="E4850" s="8" t="s">
        <v>4892</v>
      </c>
      <c r="F4850" s="8" t="s">
        <v>4937</v>
      </c>
    </row>
    <row r="4851" spans="1:6" ht="75" x14ac:dyDescent="0.25">
      <c r="A4851" s="8" t="s">
        <v>125</v>
      </c>
      <c r="B4851" s="8" t="s">
        <v>161</v>
      </c>
      <c r="C4851" s="8" t="str">
        <f>IFERROR(_xlfn.XLOOKUP(TRIM(B4851),Lookup!$B$2:$B$1000,Lookup!$C$2:$C$1000),"")</f>
        <v>Equity</v>
      </c>
      <c r="D4851" s="8" t="str">
        <f>IFERROR(INDEX('nav master'!$C:$C, MATCH(B4851, 'nav master'!$B:$B, 0)), "")</f>
        <v>ULIF08421/11/25InCnsmAdFd101</v>
      </c>
      <c r="E4851" s="8" t="s">
        <v>4894</v>
      </c>
      <c r="F4851" s="8" t="s">
        <v>4938</v>
      </c>
    </row>
    <row r="4852" spans="1:6" ht="75" x14ac:dyDescent="0.25">
      <c r="A4852" s="8" t="s">
        <v>125</v>
      </c>
      <c r="B4852" s="8" t="s">
        <v>161</v>
      </c>
      <c r="C4852" s="8" t="str">
        <f>IFERROR(_xlfn.XLOOKUP(TRIM(B4852),Lookup!$B$2:$B$1000,Lookup!$C$2:$C$1000),"")</f>
        <v>Equity</v>
      </c>
      <c r="D4852" s="8" t="str">
        <f>IFERROR(INDEX('nav master'!$C:$C, MATCH(B4852, 'nav master'!$B:$B, 0)), "")</f>
        <v>ULIF08421/11/25InCnsmAdFd101</v>
      </c>
      <c r="E4852" s="8" t="s">
        <v>4896</v>
      </c>
      <c r="F4852" s="8" t="s">
        <v>4939</v>
      </c>
    </row>
    <row r="4853" spans="1:6" ht="75" x14ac:dyDescent="0.25">
      <c r="A4853" s="8" t="s">
        <v>125</v>
      </c>
      <c r="B4853" s="8" t="s">
        <v>161</v>
      </c>
      <c r="C4853" s="8" t="str">
        <f>IFERROR(_xlfn.XLOOKUP(TRIM(B4853),Lookup!$B$2:$B$1000,Lookup!$C$2:$C$1000),"")</f>
        <v>Equity</v>
      </c>
      <c r="D4853" s="8" t="str">
        <f>IFERROR(INDEX('nav master'!$C:$C, MATCH(B4853, 'nav master'!$B:$B, 0)), "")</f>
        <v>ULIF08421/11/25InCnsmAdFd101</v>
      </c>
      <c r="E4853" s="8" t="s">
        <v>4898</v>
      </c>
      <c r="F4853" s="8" t="s">
        <v>4940</v>
      </c>
    </row>
    <row r="4854" spans="1:6" ht="75" x14ac:dyDescent="0.25">
      <c r="A4854" s="8" t="s">
        <v>125</v>
      </c>
      <c r="B4854" s="8" t="s">
        <v>161</v>
      </c>
      <c r="C4854" s="8" t="str">
        <f>IFERROR(_xlfn.XLOOKUP(TRIM(B4854),Lookup!$B$2:$B$1000,Lookup!$C$2:$C$1000),"")</f>
        <v>Equity</v>
      </c>
      <c r="D4854" s="8" t="str">
        <f>IFERROR(INDEX('nav master'!$C:$C, MATCH(B4854, 'nav master'!$B:$B, 0)), "")</f>
        <v>ULIF08421/11/25InCnsmAdFd101</v>
      </c>
      <c r="E4854" s="8" t="s">
        <v>4900</v>
      </c>
      <c r="F4854" s="8" t="s">
        <v>4941</v>
      </c>
    </row>
    <row r="4855" spans="1:6" ht="75" x14ac:dyDescent="0.25">
      <c r="A4855" s="8" t="s">
        <v>125</v>
      </c>
      <c r="B4855" s="8" t="s">
        <v>161</v>
      </c>
      <c r="C4855" s="8" t="str">
        <f>IFERROR(_xlfn.XLOOKUP(TRIM(B4855),Lookup!$B$2:$B$1000,Lookup!$C$2:$C$1000),"")</f>
        <v>Equity</v>
      </c>
      <c r="D4855" s="8" t="str">
        <f>IFERROR(INDEX('nav master'!$C:$C, MATCH(B4855, 'nav master'!$B:$B, 0)), "")</f>
        <v>ULIF08421/11/25InCnsmAdFd101</v>
      </c>
      <c r="E4855" s="8" t="s">
        <v>4902</v>
      </c>
      <c r="F4855" s="8" t="s">
        <v>4942</v>
      </c>
    </row>
    <row r="4856" spans="1:6" ht="75" x14ac:dyDescent="0.25">
      <c r="A4856" s="8" t="s">
        <v>125</v>
      </c>
      <c r="B4856" s="8" t="s">
        <v>161</v>
      </c>
      <c r="C4856" s="8" t="str">
        <f>IFERROR(_xlfn.XLOOKUP(TRIM(B4856),Lookup!$B$2:$B$1000,Lookup!$C$2:$C$1000),"")</f>
        <v>Equity</v>
      </c>
      <c r="D4856" s="8" t="str">
        <f>IFERROR(INDEX('nav master'!$C:$C, MATCH(B4856, 'nav master'!$B:$B, 0)), "")</f>
        <v>ULIF08421/11/25InCnsmAdFd101</v>
      </c>
      <c r="E4856" s="8" t="s">
        <v>4903</v>
      </c>
      <c r="F4856" s="8" t="s">
        <v>4943</v>
      </c>
    </row>
    <row r="4857" spans="1:6" ht="75" x14ac:dyDescent="0.25">
      <c r="A4857" s="8" t="s">
        <v>125</v>
      </c>
      <c r="B4857" s="8" t="s">
        <v>161</v>
      </c>
      <c r="C4857" s="8" t="str">
        <f>IFERROR(_xlfn.XLOOKUP(TRIM(B4857),Lookup!$B$2:$B$1000,Lookup!$C$2:$C$1000),"")</f>
        <v>Equity</v>
      </c>
      <c r="D4857" s="8" t="str">
        <f>IFERROR(INDEX('nav master'!$C:$C, MATCH(B4857, 'nav master'!$B:$B, 0)), "")</f>
        <v>ULIF08421/11/25InCnsmAdFd101</v>
      </c>
      <c r="E4857" s="8" t="s">
        <v>4905</v>
      </c>
      <c r="F4857" s="8" t="s">
        <v>4944</v>
      </c>
    </row>
    <row r="4858" spans="1:6" ht="60" x14ac:dyDescent="0.25">
      <c r="A4858" s="8" t="s">
        <v>125</v>
      </c>
      <c r="B4858" s="8" t="s">
        <v>157</v>
      </c>
      <c r="C4858" s="8" t="str">
        <f>IFERROR(_xlfn.XLOOKUP(TRIM(B4858),Lookup!$B$2:$B$1000,Lookup!$C$2:$C$1000),"")</f>
        <v>Equity</v>
      </c>
      <c r="D4858" s="8" t="str">
        <f>IFERROR(INDEX('nav master'!$C:$C, MATCH(B4858, 'nav master'!$B:$B, 0)), "")</f>
        <v>ULIF07828/02/25Alpha300Fd101</v>
      </c>
      <c r="E4858" s="8" t="s">
        <v>189</v>
      </c>
      <c r="F4858" s="8" t="s">
        <v>2939</v>
      </c>
    </row>
    <row r="4859" spans="1:6" ht="60" x14ac:dyDescent="0.25">
      <c r="A4859" s="8" t="s">
        <v>125</v>
      </c>
      <c r="B4859" s="8" t="s">
        <v>157</v>
      </c>
      <c r="C4859" s="8" t="str">
        <f>IFERROR(_xlfn.XLOOKUP(TRIM(B4859),Lookup!$B$2:$B$1000,Lookup!$C$2:$C$1000),"")</f>
        <v>Equity</v>
      </c>
      <c r="D4859" s="8" t="str">
        <f>IFERROR(INDEX('nav master'!$C:$C, MATCH(B4859, 'nav master'!$B:$B, 0)), "")</f>
        <v>ULIF07828/02/25Alpha300Fd101</v>
      </c>
      <c r="E4859" s="8" t="s">
        <v>191</v>
      </c>
      <c r="F4859" s="8" t="s">
        <v>2940</v>
      </c>
    </row>
    <row r="4860" spans="1:6" ht="60" x14ac:dyDescent="0.25">
      <c r="A4860" s="8" t="s">
        <v>125</v>
      </c>
      <c r="B4860" s="8" t="s">
        <v>157</v>
      </c>
      <c r="C4860" s="8" t="str">
        <f>IFERROR(_xlfn.XLOOKUP(TRIM(B4860),Lookup!$B$2:$B$1000,Lookup!$C$2:$C$1000),"")</f>
        <v>Equity</v>
      </c>
      <c r="D4860" s="8" t="str">
        <f>IFERROR(INDEX('nav master'!$C:$C, MATCH(B4860, 'nav master'!$B:$B, 0)), "")</f>
        <v>ULIF07828/02/25Alpha300Fd101</v>
      </c>
      <c r="E4860" s="8" t="s">
        <v>193</v>
      </c>
      <c r="F4860" s="8" t="s">
        <v>2941</v>
      </c>
    </row>
    <row r="4861" spans="1:6" ht="60" x14ac:dyDescent="0.25">
      <c r="A4861" s="8" t="s">
        <v>125</v>
      </c>
      <c r="B4861" s="8" t="s">
        <v>157</v>
      </c>
      <c r="C4861" s="8" t="str">
        <f>IFERROR(_xlfn.XLOOKUP(TRIM(B4861),Lookup!$B$2:$B$1000,Lookup!$C$2:$C$1000),"")</f>
        <v>Equity</v>
      </c>
      <c r="D4861" s="8" t="str">
        <f>IFERROR(INDEX('nav master'!$C:$C, MATCH(B4861, 'nav master'!$B:$B, 0)), "")</f>
        <v>ULIF07828/02/25Alpha300Fd101</v>
      </c>
      <c r="E4861" s="8" t="s">
        <v>195</v>
      </c>
      <c r="F4861" s="8" t="s">
        <v>2942</v>
      </c>
    </row>
    <row r="4862" spans="1:6" ht="60" x14ac:dyDescent="0.25">
      <c r="A4862" s="8" t="s">
        <v>125</v>
      </c>
      <c r="B4862" s="8" t="s">
        <v>157</v>
      </c>
      <c r="C4862" s="8" t="str">
        <f>IFERROR(_xlfn.XLOOKUP(TRIM(B4862),Lookup!$B$2:$B$1000,Lookup!$C$2:$C$1000),"")</f>
        <v>Equity</v>
      </c>
      <c r="D4862" s="8" t="str">
        <f>IFERROR(INDEX('nav master'!$C:$C, MATCH(B4862, 'nav master'!$B:$B, 0)), "")</f>
        <v>ULIF07828/02/25Alpha300Fd101</v>
      </c>
      <c r="E4862" s="8" t="s">
        <v>197</v>
      </c>
      <c r="F4862" s="8" t="s">
        <v>2943</v>
      </c>
    </row>
    <row r="4863" spans="1:6" ht="60" x14ac:dyDescent="0.25">
      <c r="A4863" s="8" t="s">
        <v>125</v>
      </c>
      <c r="B4863" s="8" t="s">
        <v>157</v>
      </c>
      <c r="C4863" s="8" t="str">
        <f>IFERROR(_xlfn.XLOOKUP(TRIM(B4863),Lookup!$B$2:$B$1000,Lookup!$C$2:$C$1000),"")</f>
        <v>Equity</v>
      </c>
      <c r="D4863" s="8" t="str">
        <f>IFERROR(INDEX('nav master'!$C:$C, MATCH(B4863, 'nav master'!$B:$B, 0)), "")</f>
        <v>ULIF07828/02/25Alpha300Fd101</v>
      </c>
      <c r="E4863" s="8" t="s">
        <v>199</v>
      </c>
      <c r="F4863" s="8" t="s">
        <v>2944</v>
      </c>
    </row>
    <row r="4864" spans="1:6" ht="60" x14ac:dyDescent="0.25">
      <c r="A4864" s="8" t="s">
        <v>125</v>
      </c>
      <c r="B4864" s="8" t="s">
        <v>157</v>
      </c>
      <c r="C4864" s="8" t="str">
        <f>IFERROR(_xlfn.XLOOKUP(TRIM(B4864),Lookup!$B$2:$B$1000,Lookup!$C$2:$C$1000),"")</f>
        <v>Equity</v>
      </c>
      <c r="D4864" s="8" t="str">
        <f>IFERROR(INDEX('nav master'!$C:$C, MATCH(B4864, 'nav master'!$B:$B, 0)), "")</f>
        <v>ULIF07828/02/25Alpha300Fd101</v>
      </c>
      <c r="E4864" s="8" t="s">
        <v>201</v>
      </c>
      <c r="F4864" s="8" t="s">
        <v>2945</v>
      </c>
    </row>
    <row r="4865" spans="1:6" ht="60" x14ac:dyDescent="0.25">
      <c r="A4865" s="8" t="s">
        <v>125</v>
      </c>
      <c r="B4865" s="8" t="s">
        <v>157</v>
      </c>
      <c r="C4865" s="8" t="str">
        <f>IFERROR(_xlfn.XLOOKUP(TRIM(B4865),Lookup!$B$2:$B$1000,Lookup!$C$2:$C$1000),"")</f>
        <v>Equity</v>
      </c>
      <c r="D4865" s="8" t="str">
        <f>IFERROR(INDEX('nav master'!$C:$C, MATCH(B4865, 'nav master'!$B:$B, 0)), "")</f>
        <v>ULIF07828/02/25Alpha300Fd101</v>
      </c>
      <c r="E4865" s="8" t="s">
        <v>203</v>
      </c>
      <c r="F4865" s="8" t="s">
        <v>2946</v>
      </c>
    </row>
    <row r="4866" spans="1:6" ht="60" x14ac:dyDescent="0.25">
      <c r="A4866" s="8" t="s">
        <v>125</v>
      </c>
      <c r="B4866" s="8" t="s">
        <v>157</v>
      </c>
      <c r="C4866" s="8" t="str">
        <f>IFERROR(_xlfn.XLOOKUP(TRIM(B4866),Lookup!$B$2:$B$1000,Lookup!$C$2:$C$1000),"")</f>
        <v>Equity</v>
      </c>
      <c r="D4866" s="8" t="str">
        <f>IFERROR(INDEX('nav master'!$C:$C, MATCH(B4866, 'nav master'!$B:$B, 0)), "")</f>
        <v>ULIF07828/02/25Alpha300Fd101</v>
      </c>
      <c r="E4866" s="8" t="s">
        <v>205</v>
      </c>
      <c r="F4866" s="8" t="s">
        <v>2947</v>
      </c>
    </row>
    <row r="4867" spans="1:6" ht="60" x14ac:dyDescent="0.25">
      <c r="A4867" s="8" t="s">
        <v>125</v>
      </c>
      <c r="B4867" s="8" t="s">
        <v>157</v>
      </c>
      <c r="C4867" s="8" t="str">
        <f>IFERROR(_xlfn.XLOOKUP(TRIM(B4867),Lookup!$B$2:$B$1000,Lookup!$C$2:$C$1000),"")</f>
        <v>Equity</v>
      </c>
      <c r="D4867" s="8" t="str">
        <f>IFERROR(INDEX('nav master'!$C:$C, MATCH(B4867, 'nav master'!$B:$B, 0)), "")</f>
        <v>ULIF07828/02/25Alpha300Fd101</v>
      </c>
      <c r="E4867" s="8" t="s">
        <v>207</v>
      </c>
      <c r="F4867" s="8" t="s">
        <v>2948</v>
      </c>
    </row>
    <row r="4868" spans="1:6" ht="60" x14ac:dyDescent="0.25">
      <c r="A4868" s="8" t="s">
        <v>125</v>
      </c>
      <c r="B4868" s="8" t="s">
        <v>157</v>
      </c>
      <c r="C4868" s="8" t="str">
        <f>IFERROR(_xlfn.XLOOKUP(TRIM(B4868),Lookup!$B$2:$B$1000,Lookup!$C$2:$C$1000),"")</f>
        <v>Equity</v>
      </c>
      <c r="D4868" s="8" t="str">
        <f>IFERROR(INDEX('nav master'!$C:$C, MATCH(B4868, 'nav master'!$B:$B, 0)), "")</f>
        <v>ULIF07828/02/25Alpha300Fd101</v>
      </c>
      <c r="E4868" s="8" t="s">
        <v>209</v>
      </c>
      <c r="F4868" s="8" t="s">
        <v>2949</v>
      </c>
    </row>
    <row r="4869" spans="1:6" ht="60" x14ac:dyDescent="0.25">
      <c r="A4869" s="8" t="s">
        <v>125</v>
      </c>
      <c r="B4869" s="8" t="s">
        <v>157</v>
      </c>
      <c r="C4869" s="8" t="str">
        <f>IFERROR(_xlfn.XLOOKUP(TRIM(B4869),Lookup!$B$2:$B$1000,Lookup!$C$2:$C$1000),"")</f>
        <v>Equity</v>
      </c>
      <c r="D4869" s="8" t="str">
        <f>IFERROR(INDEX('nav master'!$C:$C, MATCH(B4869, 'nav master'!$B:$B, 0)), "")</f>
        <v>ULIF07828/02/25Alpha300Fd101</v>
      </c>
      <c r="E4869" s="8" t="s">
        <v>211</v>
      </c>
      <c r="F4869" s="8" t="s">
        <v>2950</v>
      </c>
    </row>
    <row r="4870" spans="1:6" ht="60" x14ac:dyDescent="0.25">
      <c r="A4870" s="8" t="s">
        <v>125</v>
      </c>
      <c r="B4870" s="8" t="s">
        <v>157</v>
      </c>
      <c r="C4870" s="8" t="str">
        <f>IFERROR(_xlfn.XLOOKUP(TRIM(B4870),Lookup!$B$2:$B$1000,Lookup!$C$2:$C$1000),"")</f>
        <v>Equity</v>
      </c>
      <c r="D4870" s="8" t="str">
        <f>IFERROR(INDEX('nav master'!$C:$C, MATCH(B4870, 'nav master'!$B:$B, 0)), "")</f>
        <v>ULIF07828/02/25Alpha300Fd101</v>
      </c>
      <c r="E4870" s="8" t="s">
        <v>213</v>
      </c>
      <c r="F4870" s="8" t="s">
        <v>2951</v>
      </c>
    </row>
    <row r="4871" spans="1:6" ht="60" x14ac:dyDescent="0.25">
      <c r="A4871" s="8" t="s">
        <v>125</v>
      </c>
      <c r="B4871" s="8" t="s">
        <v>157</v>
      </c>
      <c r="C4871" s="8" t="str">
        <f>IFERROR(_xlfn.XLOOKUP(TRIM(B4871),Lookup!$B$2:$B$1000,Lookup!$C$2:$C$1000),"")</f>
        <v>Equity</v>
      </c>
      <c r="D4871" s="8" t="str">
        <f>IFERROR(INDEX('nav master'!$C:$C, MATCH(B4871, 'nav master'!$B:$B, 0)), "")</f>
        <v>ULIF07828/02/25Alpha300Fd101</v>
      </c>
      <c r="E4871" s="8" t="s">
        <v>215</v>
      </c>
      <c r="F4871" s="8" t="s">
        <v>2952</v>
      </c>
    </row>
    <row r="4872" spans="1:6" ht="60" x14ac:dyDescent="0.25">
      <c r="A4872" s="8" t="s">
        <v>125</v>
      </c>
      <c r="B4872" s="8" t="s">
        <v>157</v>
      </c>
      <c r="C4872" s="8" t="str">
        <f>IFERROR(_xlfn.XLOOKUP(TRIM(B4872),Lookup!$B$2:$B$1000,Lookup!$C$2:$C$1000),"")</f>
        <v>Equity</v>
      </c>
      <c r="D4872" s="8" t="str">
        <f>IFERROR(INDEX('nav master'!$C:$C, MATCH(B4872, 'nav master'!$B:$B, 0)), "")</f>
        <v>ULIF07828/02/25Alpha300Fd101</v>
      </c>
      <c r="E4872" s="8" t="s">
        <v>217</v>
      </c>
      <c r="F4872" s="8" t="s">
        <v>2953</v>
      </c>
    </row>
    <row r="4873" spans="1:6" ht="60" x14ac:dyDescent="0.25">
      <c r="A4873" s="8" t="s">
        <v>125</v>
      </c>
      <c r="B4873" s="8" t="s">
        <v>157</v>
      </c>
      <c r="C4873" s="8" t="str">
        <f>IFERROR(_xlfn.XLOOKUP(TRIM(B4873),Lookup!$B$2:$B$1000,Lookup!$C$2:$C$1000),"")</f>
        <v>Equity</v>
      </c>
      <c r="D4873" s="8" t="str">
        <f>IFERROR(INDEX('nav master'!$C:$C, MATCH(B4873, 'nav master'!$B:$B, 0)), "")</f>
        <v>ULIF07828/02/25Alpha300Fd101</v>
      </c>
      <c r="E4873" s="8" t="s">
        <v>219</v>
      </c>
      <c r="F4873" s="8" t="s">
        <v>2954</v>
      </c>
    </row>
    <row r="4874" spans="1:6" ht="60" x14ac:dyDescent="0.25">
      <c r="A4874" s="8" t="s">
        <v>125</v>
      </c>
      <c r="B4874" s="8" t="s">
        <v>157</v>
      </c>
      <c r="C4874" s="8" t="str">
        <f>IFERROR(_xlfn.XLOOKUP(TRIM(B4874),Lookup!$B$2:$B$1000,Lookup!$C$2:$C$1000),"")</f>
        <v>Equity</v>
      </c>
      <c r="D4874" s="8" t="str">
        <f>IFERROR(INDEX('nav master'!$C:$C, MATCH(B4874, 'nav master'!$B:$B, 0)), "")</f>
        <v>ULIF07828/02/25Alpha300Fd101</v>
      </c>
      <c r="E4874" s="8" t="s">
        <v>221</v>
      </c>
      <c r="F4874" s="8" t="s">
        <v>2955</v>
      </c>
    </row>
    <row r="4875" spans="1:6" ht="60" x14ac:dyDescent="0.25">
      <c r="A4875" s="8" t="s">
        <v>125</v>
      </c>
      <c r="B4875" s="8" t="s">
        <v>157</v>
      </c>
      <c r="C4875" s="8" t="str">
        <f>IFERROR(_xlfn.XLOOKUP(TRIM(B4875),Lookup!$B$2:$B$1000,Lookup!$C$2:$C$1000),"")</f>
        <v>Equity</v>
      </c>
      <c r="D4875" s="8" t="str">
        <f>IFERROR(INDEX('nav master'!$C:$C, MATCH(B4875, 'nav master'!$B:$B, 0)), "")</f>
        <v>ULIF07828/02/25Alpha300Fd101</v>
      </c>
      <c r="E4875" s="8" t="s">
        <v>223</v>
      </c>
      <c r="F4875" s="8" t="s">
        <v>2956</v>
      </c>
    </row>
    <row r="4876" spans="1:6" ht="60" x14ac:dyDescent="0.25">
      <c r="A4876" s="8" t="s">
        <v>125</v>
      </c>
      <c r="B4876" s="8" t="s">
        <v>157</v>
      </c>
      <c r="C4876" s="8" t="str">
        <f>IFERROR(_xlfn.XLOOKUP(TRIM(B4876),Lookup!$B$2:$B$1000,Lookup!$C$2:$C$1000),"")</f>
        <v>Equity</v>
      </c>
      <c r="D4876" s="8" t="str">
        <f>IFERROR(INDEX('nav master'!$C:$C, MATCH(B4876, 'nav master'!$B:$B, 0)), "")</f>
        <v>ULIF07828/02/25Alpha300Fd101</v>
      </c>
      <c r="E4876" s="8" t="s">
        <v>225</v>
      </c>
      <c r="F4876" s="8" t="s">
        <v>2957</v>
      </c>
    </row>
    <row r="4877" spans="1:6" ht="60" x14ac:dyDescent="0.25">
      <c r="A4877" s="8" t="s">
        <v>125</v>
      </c>
      <c r="B4877" s="8" t="s">
        <v>157</v>
      </c>
      <c r="C4877" s="8" t="str">
        <f>IFERROR(_xlfn.XLOOKUP(TRIM(B4877),Lookup!$B$2:$B$1000,Lookup!$C$2:$C$1000),"")</f>
        <v>Equity</v>
      </c>
      <c r="D4877" s="8" t="str">
        <f>IFERROR(INDEX('nav master'!$C:$C, MATCH(B4877, 'nav master'!$B:$B, 0)), "")</f>
        <v>ULIF07828/02/25Alpha300Fd101</v>
      </c>
      <c r="E4877" s="8" t="s">
        <v>227</v>
      </c>
      <c r="F4877" s="8" t="s">
        <v>2958</v>
      </c>
    </row>
    <row r="4878" spans="1:6" ht="60" x14ac:dyDescent="0.25">
      <c r="A4878" s="8" t="s">
        <v>125</v>
      </c>
      <c r="B4878" s="8" t="s">
        <v>157</v>
      </c>
      <c r="C4878" s="8" t="str">
        <f>IFERROR(_xlfn.XLOOKUP(TRIM(B4878),Lookup!$B$2:$B$1000,Lookup!$C$2:$C$1000),"")</f>
        <v>Equity</v>
      </c>
      <c r="D4878" s="8" t="str">
        <f>IFERROR(INDEX('nav master'!$C:$C, MATCH(B4878, 'nav master'!$B:$B, 0)), "")</f>
        <v>ULIF07828/02/25Alpha300Fd101</v>
      </c>
      <c r="E4878" s="8" t="s">
        <v>229</v>
      </c>
      <c r="F4878" s="8" t="s">
        <v>2959</v>
      </c>
    </row>
    <row r="4879" spans="1:6" ht="60" x14ac:dyDescent="0.25">
      <c r="A4879" s="8" t="s">
        <v>125</v>
      </c>
      <c r="B4879" s="8" t="s">
        <v>157</v>
      </c>
      <c r="C4879" s="8" t="str">
        <f>IFERROR(_xlfn.XLOOKUP(TRIM(B4879),Lookup!$B$2:$B$1000,Lookup!$C$2:$C$1000),"")</f>
        <v>Equity</v>
      </c>
      <c r="D4879" s="8" t="str">
        <f>IFERROR(INDEX('nav master'!$C:$C, MATCH(B4879, 'nav master'!$B:$B, 0)), "")</f>
        <v>ULIF07828/02/25Alpha300Fd101</v>
      </c>
      <c r="E4879" s="8" t="s">
        <v>231</v>
      </c>
      <c r="F4879" s="8" t="s">
        <v>2960</v>
      </c>
    </row>
    <row r="4880" spans="1:6" ht="60" x14ac:dyDescent="0.25">
      <c r="A4880" s="8" t="s">
        <v>125</v>
      </c>
      <c r="B4880" s="8" t="s">
        <v>157</v>
      </c>
      <c r="C4880" s="8" t="str">
        <f>IFERROR(_xlfn.XLOOKUP(TRIM(B4880),Lookup!$B$2:$B$1000,Lookup!$C$2:$C$1000),"")</f>
        <v>Equity</v>
      </c>
      <c r="D4880" s="8" t="str">
        <f>IFERROR(INDEX('nav master'!$C:$C, MATCH(B4880, 'nav master'!$B:$B, 0)), "")</f>
        <v>ULIF07828/02/25Alpha300Fd101</v>
      </c>
      <c r="E4880" s="8" t="s">
        <v>233</v>
      </c>
      <c r="F4880" s="8" t="s">
        <v>2961</v>
      </c>
    </row>
    <row r="4881" spans="1:6" ht="60" x14ac:dyDescent="0.25">
      <c r="A4881" s="8" t="s">
        <v>125</v>
      </c>
      <c r="B4881" s="8" t="s">
        <v>157</v>
      </c>
      <c r="C4881" s="8" t="str">
        <f>IFERROR(_xlfn.XLOOKUP(TRIM(B4881),Lookup!$B$2:$B$1000,Lookup!$C$2:$C$1000),"")</f>
        <v>Equity</v>
      </c>
      <c r="D4881" s="8" t="str">
        <f>IFERROR(INDEX('nav master'!$C:$C, MATCH(B4881, 'nav master'!$B:$B, 0)), "")</f>
        <v>ULIF07828/02/25Alpha300Fd101</v>
      </c>
      <c r="E4881" s="8" t="s">
        <v>235</v>
      </c>
      <c r="F4881" s="8" t="s">
        <v>2962</v>
      </c>
    </row>
    <row r="4882" spans="1:6" ht="60" x14ac:dyDescent="0.25">
      <c r="A4882" s="8" t="s">
        <v>125</v>
      </c>
      <c r="B4882" s="8" t="s">
        <v>157</v>
      </c>
      <c r="C4882" s="8" t="str">
        <f>IFERROR(_xlfn.XLOOKUP(TRIM(B4882),Lookup!$B$2:$B$1000,Lookup!$C$2:$C$1000),"")</f>
        <v>Equity</v>
      </c>
      <c r="D4882" s="8" t="str">
        <f>IFERROR(INDEX('nav master'!$C:$C, MATCH(B4882, 'nav master'!$B:$B, 0)), "")</f>
        <v>ULIF07828/02/25Alpha300Fd101</v>
      </c>
      <c r="E4882" s="8" t="s">
        <v>237</v>
      </c>
      <c r="F4882" s="8" t="s">
        <v>2963</v>
      </c>
    </row>
    <row r="4883" spans="1:6" ht="60" x14ac:dyDescent="0.25">
      <c r="A4883" s="8" t="s">
        <v>125</v>
      </c>
      <c r="B4883" s="8" t="s">
        <v>157</v>
      </c>
      <c r="C4883" s="8" t="str">
        <f>IFERROR(_xlfn.XLOOKUP(TRIM(B4883),Lookup!$B$2:$B$1000,Lookup!$C$2:$C$1000),"")</f>
        <v>Equity</v>
      </c>
      <c r="D4883" s="8" t="str">
        <f>IFERROR(INDEX('nav master'!$C:$C, MATCH(B4883, 'nav master'!$B:$B, 0)), "")</f>
        <v>ULIF07828/02/25Alpha300Fd101</v>
      </c>
      <c r="E4883" s="8" t="s">
        <v>239</v>
      </c>
      <c r="F4883" s="8" t="s">
        <v>2964</v>
      </c>
    </row>
    <row r="4884" spans="1:6" ht="60" x14ac:dyDescent="0.25">
      <c r="A4884" s="8" t="s">
        <v>125</v>
      </c>
      <c r="B4884" s="8" t="s">
        <v>157</v>
      </c>
      <c r="C4884" s="8" t="str">
        <f>IFERROR(_xlfn.XLOOKUP(TRIM(B4884),Lookup!$B$2:$B$1000,Lookup!$C$2:$C$1000),"")</f>
        <v>Equity</v>
      </c>
      <c r="D4884" s="8" t="str">
        <f>IFERROR(INDEX('nav master'!$C:$C, MATCH(B4884, 'nav master'!$B:$B, 0)), "")</f>
        <v>ULIF07828/02/25Alpha300Fd101</v>
      </c>
      <c r="E4884" s="8" t="s">
        <v>241</v>
      </c>
      <c r="F4884" s="8" t="s">
        <v>2965</v>
      </c>
    </row>
    <row r="4885" spans="1:6" ht="60" x14ac:dyDescent="0.25">
      <c r="A4885" s="8" t="s">
        <v>125</v>
      </c>
      <c r="B4885" s="8" t="s">
        <v>157</v>
      </c>
      <c r="C4885" s="8" t="str">
        <f>IFERROR(_xlfn.XLOOKUP(TRIM(B4885),Lookup!$B$2:$B$1000,Lookup!$C$2:$C$1000),"")</f>
        <v>Equity</v>
      </c>
      <c r="D4885" s="8" t="str">
        <f>IFERROR(INDEX('nav master'!$C:$C, MATCH(B4885, 'nav master'!$B:$B, 0)), "")</f>
        <v>ULIF07828/02/25Alpha300Fd101</v>
      </c>
      <c r="E4885" s="8" t="s">
        <v>243</v>
      </c>
      <c r="F4885" s="8" t="s">
        <v>2966</v>
      </c>
    </row>
    <row r="4886" spans="1:6" ht="60" x14ac:dyDescent="0.25">
      <c r="A4886" s="8" t="s">
        <v>125</v>
      </c>
      <c r="B4886" s="8" t="s">
        <v>157</v>
      </c>
      <c r="C4886" s="8" t="str">
        <f>IFERROR(_xlfn.XLOOKUP(TRIM(B4886),Lookup!$B$2:$B$1000,Lookup!$C$2:$C$1000),"")</f>
        <v>Equity</v>
      </c>
      <c r="D4886" s="8" t="str">
        <f>IFERROR(INDEX('nav master'!$C:$C, MATCH(B4886, 'nav master'!$B:$B, 0)), "")</f>
        <v>ULIF07828/02/25Alpha300Fd101</v>
      </c>
      <c r="E4886" s="8" t="s">
        <v>245</v>
      </c>
      <c r="F4886" s="8" t="s">
        <v>2967</v>
      </c>
    </row>
    <row r="4887" spans="1:6" ht="60" x14ac:dyDescent="0.25">
      <c r="A4887" s="8" t="s">
        <v>125</v>
      </c>
      <c r="B4887" s="8" t="s">
        <v>157</v>
      </c>
      <c r="C4887" s="8" t="str">
        <f>IFERROR(_xlfn.XLOOKUP(TRIM(B4887),Lookup!$B$2:$B$1000,Lookup!$C$2:$C$1000),"")</f>
        <v>Equity</v>
      </c>
      <c r="D4887" s="8" t="str">
        <f>IFERROR(INDEX('nav master'!$C:$C, MATCH(B4887, 'nav master'!$B:$B, 0)), "")</f>
        <v>ULIF07828/02/25Alpha300Fd101</v>
      </c>
      <c r="E4887" s="8" t="s">
        <v>247</v>
      </c>
      <c r="F4887" s="8" t="s">
        <v>2968</v>
      </c>
    </row>
    <row r="4888" spans="1:6" ht="60" x14ac:dyDescent="0.25">
      <c r="A4888" s="8" t="s">
        <v>125</v>
      </c>
      <c r="B4888" s="8" t="s">
        <v>157</v>
      </c>
      <c r="C4888" s="8" t="str">
        <f>IFERROR(_xlfn.XLOOKUP(TRIM(B4888),Lookup!$B$2:$B$1000,Lookup!$C$2:$C$1000),"")</f>
        <v>Equity</v>
      </c>
      <c r="D4888" s="8" t="str">
        <f>IFERROR(INDEX('nav master'!$C:$C, MATCH(B4888, 'nav master'!$B:$B, 0)), "")</f>
        <v>ULIF07828/02/25Alpha300Fd101</v>
      </c>
      <c r="E4888" s="8" t="s">
        <v>249</v>
      </c>
      <c r="F4888" s="8" t="s">
        <v>2969</v>
      </c>
    </row>
    <row r="4889" spans="1:6" ht="60" x14ac:dyDescent="0.25">
      <c r="A4889" s="8" t="s">
        <v>125</v>
      </c>
      <c r="B4889" s="8" t="s">
        <v>157</v>
      </c>
      <c r="C4889" s="8" t="str">
        <f>IFERROR(_xlfn.XLOOKUP(TRIM(B4889),Lookup!$B$2:$B$1000,Lookup!$C$2:$C$1000),"")</f>
        <v>Equity</v>
      </c>
      <c r="D4889" s="8" t="str">
        <f>IFERROR(INDEX('nav master'!$C:$C, MATCH(B4889, 'nav master'!$B:$B, 0)), "")</f>
        <v>ULIF07828/02/25Alpha300Fd101</v>
      </c>
      <c r="E4889" s="8" t="s">
        <v>251</v>
      </c>
      <c r="F4889" s="8" t="s">
        <v>2970</v>
      </c>
    </row>
    <row r="4890" spans="1:6" ht="60" x14ac:dyDescent="0.25">
      <c r="A4890" s="8" t="s">
        <v>125</v>
      </c>
      <c r="B4890" s="8" t="s">
        <v>157</v>
      </c>
      <c r="C4890" s="8" t="str">
        <f>IFERROR(_xlfn.XLOOKUP(TRIM(B4890),Lookup!$B$2:$B$1000,Lookup!$C$2:$C$1000),"")</f>
        <v>Equity</v>
      </c>
      <c r="D4890" s="8" t="str">
        <f>IFERROR(INDEX('nav master'!$C:$C, MATCH(B4890, 'nav master'!$B:$B, 0)), "")</f>
        <v>ULIF07828/02/25Alpha300Fd101</v>
      </c>
      <c r="E4890" s="8" t="s">
        <v>253</v>
      </c>
      <c r="F4890" s="8" t="s">
        <v>2971</v>
      </c>
    </row>
    <row r="4891" spans="1:6" ht="60" x14ac:dyDescent="0.25">
      <c r="A4891" s="8" t="s">
        <v>125</v>
      </c>
      <c r="B4891" s="8" t="s">
        <v>157</v>
      </c>
      <c r="C4891" s="8" t="str">
        <f>IFERROR(_xlfn.XLOOKUP(TRIM(B4891),Lookup!$B$2:$B$1000,Lookup!$C$2:$C$1000),"")</f>
        <v>Equity</v>
      </c>
      <c r="D4891" s="8" t="str">
        <f>IFERROR(INDEX('nav master'!$C:$C, MATCH(B4891, 'nav master'!$B:$B, 0)), "")</f>
        <v>ULIF07828/02/25Alpha300Fd101</v>
      </c>
      <c r="E4891" s="8" t="s">
        <v>255</v>
      </c>
      <c r="F4891" s="8" t="s">
        <v>2972</v>
      </c>
    </row>
    <row r="4892" spans="1:6" ht="60" x14ac:dyDescent="0.25">
      <c r="A4892" s="8" t="s">
        <v>125</v>
      </c>
      <c r="B4892" s="8" t="s">
        <v>157</v>
      </c>
      <c r="C4892" s="8" t="str">
        <f>IFERROR(_xlfn.XLOOKUP(TRIM(B4892),Lookup!$B$2:$B$1000,Lookup!$C$2:$C$1000),"")</f>
        <v>Equity</v>
      </c>
      <c r="D4892" s="8" t="str">
        <f>IFERROR(INDEX('nav master'!$C:$C, MATCH(B4892, 'nav master'!$B:$B, 0)), "")</f>
        <v>ULIF07828/02/25Alpha300Fd101</v>
      </c>
      <c r="E4892" s="8" t="s">
        <v>257</v>
      </c>
      <c r="F4892" s="8" t="s">
        <v>2973</v>
      </c>
    </row>
    <row r="4893" spans="1:6" ht="60" x14ac:dyDescent="0.25">
      <c r="A4893" s="8" t="s">
        <v>125</v>
      </c>
      <c r="B4893" s="8" t="s">
        <v>157</v>
      </c>
      <c r="C4893" s="8" t="str">
        <f>IFERROR(_xlfn.XLOOKUP(TRIM(B4893),Lookup!$B$2:$B$1000,Lookup!$C$2:$C$1000),"")</f>
        <v>Equity</v>
      </c>
      <c r="D4893" s="8" t="str">
        <f>IFERROR(INDEX('nav master'!$C:$C, MATCH(B4893, 'nav master'!$B:$B, 0)), "")</f>
        <v>ULIF07828/02/25Alpha300Fd101</v>
      </c>
      <c r="E4893" s="8" t="s">
        <v>259</v>
      </c>
      <c r="F4893" s="8" t="s">
        <v>2974</v>
      </c>
    </row>
    <row r="4894" spans="1:6" ht="60" x14ac:dyDescent="0.25">
      <c r="A4894" s="8" t="s">
        <v>125</v>
      </c>
      <c r="B4894" s="8" t="s">
        <v>157</v>
      </c>
      <c r="C4894" s="8" t="str">
        <f>IFERROR(_xlfn.XLOOKUP(TRIM(B4894),Lookup!$B$2:$B$1000,Lookup!$C$2:$C$1000),"")</f>
        <v>Equity</v>
      </c>
      <c r="D4894" s="8" t="str">
        <f>IFERROR(INDEX('nav master'!$C:$C, MATCH(B4894, 'nav master'!$B:$B, 0)), "")</f>
        <v>ULIF07828/02/25Alpha300Fd101</v>
      </c>
      <c r="E4894" s="8" t="s">
        <v>261</v>
      </c>
      <c r="F4894" s="8" t="s">
        <v>2975</v>
      </c>
    </row>
    <row r="4895" spans="1:6" ht="60" x14ac:dyDescent="0.25">
      <c r="A4895" s="8" t="s">
        <v>125</v>
      </c>
      <c r="B4895" s="8" t="s">
        <v>157</v>
      </c>
      <c r="C4895" s="8" t="str">
        <f>IFERROR(_xlfn.XLOOKUP(TRIM(B4895),Lookup!$B$2:$B$1000,Lookup!$C$2:$C$1000),"")</f>
        <v>Equity</v>
      </c>
      <c r="D4895" s="8" t="str">
        <f>IFERROR(INDEX('nav master'!$C:$C, MATCH(B4895, 'nav master'!$B:$B, 0)), "")</f>
        <v>ULIF07828/02/25Alpha300Fd101</v>
      </c>
      <c r="E4895" s="8" t="s">
        <v>263</v>
      </c>
      <c r="F4895" s="8" t="s">
        <v>2976</v>
      </c>
    </row>
    <row r="4896" spans="1:6" ht="60" x14ac:dyDescent="0.25">
      <c r="A4896" s="8" t="s">
        <v>125</v>
      </c>
      <c r="B4896" s="8" t="s">
        <v>157</v>
      </c>
      <c r="C4896" s="8" t="str">
        <f>IFERROR(_xlfn.XLOOKUP(TRIM(B4896),Lookup!$B$2:$B$1000,Lookup!$C$2:$C$1000),"")</f>
        <v>Equity</v>
      </c>
      <c r="D4896" s="8" t="str">
        <f>IFERROR(INDEX('nav master'!$C:$C, MATCH(B4896, 'nav master'!$B:$B, 0)), "")</f>
        <v>ULIF07828/02/25Alpha300Fd101</v>
      </c>
      <c r="E4896" s="8" t="s">
        <v>265</v>
      </c>
      <c r="F4896" s="8" t="s">
        <v>2977</v>
      </c>
    </row>
    <row r="4897" spans="1:6" ht="60" x14ac:dyDescent="0.25">
      <c r="A4897" s="8" t="s">
        <v>125</v>
      </c>
      <c r="B4897" s="8" t="s">
        <v>157</v>
      </c>
      <c r="C4897" s="8" t="str">
        <f>IFERROR(_xlfn.XLOOKUP(TRIM(B4897),Lookup!$B$2:$B$1000,Lookup!$C$2:$C$1000),"")</f>
        <v>Equity</v>
      </c>
      <c r="D4897" s="8" t="str">
        <f>IFERROR(INDEX('nav master'!$C:$C, MATCH(B4897, 'nav master'!$B:$B, 0)), "")</f>
        <v>ULIF07828/02/25Alpha300Fd101</v>
      </c>
      <c r="E4897" s="8" t="s">
        <v>267</v>
      </c>
      <c r="F4897" s="8" t="s">
        <v>2978</v>
      </c>
    </row>
    <row r="4898" spans="1:6" ht="60" x14ac:dyDescent="0.25">
      <c r="A4898" s="8" t="s">
        <v>125</v>
      </c>
      <c r="B4898" s="8" t="s">
        <v>157</v>
      </c>
      <c r="C4898" s="8" t="str">
        <f>IFERROR(_xlfn.XLOOKUP(TRIM(B4898),Lookup!$B$2:$B$1000,Lookup!$C$2:$C$1000),"")</f>
        <v>Equity</v>
      </c>
      <c r="D4898" s="8" t="str">
        <f>IFERROR(INDEX('nav master'!$C:$C, MATCH(B4898, 'nav master'!$B:$B, 0)), "")</f>
        <v>ULIF07828/02/25Alpha300Fd101</v>
      </c>
      <c r="E4898" s="8" t="s">
        <v>269</v>
      </c>
      <c r="F4898" s="8" t="s">
        <v>2979</v>
      </c>
    </row>
    <row r="4899" spans="1:6" ht="60" x14ac:dyDescent="0.25">
      <c r="A4899" s="8" t="s">
        <v>125</v>
      </c>
      <c r="B4899" s="8" t="s">
        <v>157</v>
      </c>
      <c r="C4899" s="8" t="str">
        <f>IFERROR(_xlfn.XLOOKUP(TRIM(B4899),Lookup!$B$2:$B$1000,Lookup!$C$2:$C$1000),"")</f>
        <v>Equity</v>
      </c>
      <c r="D4899" s="8" t="str">
        <f>IFERROR(INDEX('nav master'!$C:$C, MATCH(B4899, 'nav master'!$B:$B, 0)), "")</f>
        <v>ULIF07828/02/25Alpha300Fd101</v>
      </c>
      <c r="E4899" s="8" t="s">
        <v>271</v>
      </c>
      <c r="F4899" s="8" t="s">
        <v>2980</v>
      </c>
    </row>
    <row r="4900" spans="1:6" ht="60" x14ac:dyDescent="0.25">
      <c r="A4900" s="8" t="s">
        <v>125</v>
      </c>
      <c r="B4900" s="8" t="s">
        <v>157</v>
      </c>
      <c r="C4900" s="8" t="str">
        <f>IFERROR(_xlfn.XLOOKUP(TRIM(B4900),Lookup!$B$2:$B$1000,Lookup!$C$2:$C$1000),"")</f>
        <v>Equity</v>
      </c>
      <c r="D4900" s="8" t="str">
        <f>IFERROR(INDEX('nav master'!$C:$C, MATCH(B4900, 'nav master'!$B:$B, 0)), "")</f>
        <v>ULIF07828/02/25Alpha300Fd101</v>
      </c>
      <c r="E4900" s="8" t="s">
        <v>273</v>
      </c>
      <c r="F4900" s="8" t="s">
        <v>2981</v>
      </c>
    </row>
    <row r="4901" spans="1:6" ht="60" x14ac:dyDescent="0.25">
      <c r="A4901" s="8" t="s">
        <v>125</v>
      </c>
      <c r="B4901" s="8" t="s">
        <v>157</v>
      </c>
      <c r="C4901" s="8" t="str">
        <f>IFERROR(_xlfn.XLOOKUP(TRIM(B4901),Lookup!$B$2:$B$1000,Lookup!$C$2:$C$1000),"")</f>
        <v>Equity</v>
      </c>
      <c r="D4901" s="8" t="str">
        <f>IFERROR(INDEX('nav master'!$C:$C, MATCH(B4901, 'nav master'!$B:$B, 0)), "")</f>
        <v>ULIF07828/02/25Alpha300Fd101</v>
      </c>
      <c r="E4901" s="8" t="s">
        <v>275</v>
      </c>
      <c r="F4901" s="8" t="s">
        <v>2982</v>
      </c>
    </row>
    <row r="4902" spans="1:6" ht="60" x14ac:dyDescent="0.25">
      <c r="A4902" s="8" t="s">
        <v>125</v>
      </c>
      <c r="B4902" s="8" t="s">
        <v>157</v>
      </c>
      <c r="C4902" s="8" t="str">
        <f>IFERROR(_xlfn.XLOOKUP(TRIM(B4902),Lookup!$B$2:$B$1000,Lookup!$C$2:$C$1000),"")</f>
        <v>Equity</v>
      </c>
      <c r="D4902" s="8" t="str">
        <f>IFERROR(INDEX('nav master'!$C:$C, MATCH(B4902, 'nav master'!$B:$B, 0)), "")</f>
        <v>ULIF07828/02/25Alpha300Fd101</v>
      </c>
      <c r="E4902" s="8" t="s">
        <v>277</v>
      </c>
      <c r="F4902" s="8" t="s">
        <v>2983</v>
      </c>
    </row>
    <row r="4903" spans="1:6" ht="60" x14ac:dyDescent="0.25">
      <c r="A4903" s="8" t="s">
        <v>125</v>
      </c>
      <c r="B4903" s="8" t="s">
        <v>157</v>
      </c>
      <c r="C4903" s="8" t="str">
        <f>IFERROR(_xlfn.XLOOKUP(TRIM(B4903),Lookup!$B$2:$B$1000,Lookup!$C$2:$C$1000),"")</f>
        <v>Equity</v>
      </c>
      <c r="D4903" s="8" t="str">
        <f>IFERROR(INDEX('nav master'!$C:$C, MATCH(B4903, 'nav master'!$B:$B, 0)), "")</f>
        <v>ULIF07828/02/25Alpha300Fd101</v>
      </c>
      <c r="E4903" s="8" t="s">
        <v>279</v>
      </c>
      <c r="F4903" s="8" t="s">
        <v>2984</v>
      </c>
    </row>
    <row r="4904" spans="1:6" ht="60" x14ac:dyDescent="0.25">
      <c r="A4904" s="8" t="s">
        <v>125</v>
      </c>
      <c r="B4904" s="8" t="s">
        <v>157</v>
      </c>
      <c r="C4904" s="8" t="str">
        <f>IFERROR(_xlfn.XLOOKUP(TRIM(B4904),Lookup!$B$2:$B$1000,Lookup!$C$2:$C$1000),"")</f>
        <v>Equity</v>
      </c>
      <c r="D4904" s="8" t="str">
        <f>IFERROR(INDEX('nav master'!$C:$C, MATCH(B4904, 'nav master'!$B:$B, 0)), "")</f>
        <v>ULIF07828/02/25Alpha300Fd101</v>
      </c>
      <c r="E4904" s="8" t="s">
        <v>281</v>
      </c>
      <c r="F4904" s="8" t="s">
        <v>2985</v>
      </c>
    </row>
    <row r="4905" spans="1:6" ht="60" x14ac:dyDescent="0.25">
      <c r="A4905" s="8" t="s">
        <v>125</v>
      </c>
      <c r="B4905" s="8" t="s">
        <v>157</v>
      </c>
      <c r="C4905" s="8" t="str">
        <f>IFERROR(_xlfn.XLOOKUP(TRIM(B4905),Lookup!$B$2:$B$1000,Lookup!$C$2:$C$1000),"")</f>
        <v>Equity</v>
      </c>
      <c r="D4905" s="8" t="str">
        <f>IFERROR(INDEX('nav master'!$C:$C, MATCH(B4905, 'nav master'!$B:$B, 0)), "")</f>
        <v>ULIF07828/02/25Alpha300Fd101</v>
      </c>
      <c r="E4905" s="8" t="s">
        <v>283</v>
      </c>
      <c r="F4905" s="8" t="s">
        <v>2986</v>
      </c>
    </row>
    <row r="4906" spans="1:6" ht="60" x14ac:dyDescent="0.25">
      <c r="A4906" s="8" t="s">
        <v>125</v>
      </c>
      <c r="B4906" s="8" t="s">
        <v>157</v>
      </c>
      <c r="C4906" s="8" t="str">
        <f>IFERROR(_xlfn.XLOOKUP(TRIM(B4906),Lookup!$B$2:$B$1000,Lookup!$C$2:$C$1000),"")</f>
        <v>Equity</v>
      </c>
      <c r="D4906" s="8" t="str">
        <f>IFERROR(INDEX('nav master'!$C:$C, MATCH(B4906, 'nav master'!$B:$B, 0)), "")</f>
        <v>ULIF07828/02/25Alpha300Fd101</v>
      </c>
      <c r="E4906" s="8" t="s">
        <v>285</v>
      </c>
      <c r="F4906" s="8" t="s">
        <v>2987</v>
      </c>
    </row>
    <row r="4907" spans="1:6" ht="60" x14ac:dyDescent="0.25">
      <c r="A4907" s="8" t="s">
        <v>125</v>
      </c>
      <c r="B4907" s="8" t="s">
        <v>157</v>
      </c>
      <c r="C4907" s="8" t="str">
        <f>IFERROR(_xlfn.XLOOKUP(TRIM(B4907),Lookup!$B$2:$B$1000,Lookup!$C$2:$C$1000),"")</f>
        <v>Equity</v>
      </c>
      <c r="D4907" s="8" t="str">
        <f>IFERROR(INDEX('nav master'!$C:$C, MATCH(B4907, 'nav master'!$B:$B, 0)), "")</f>
        <v>ULIF07828/02/25Alpha300Fd101</v>
      </c>
      <c r="E4907" s="8" t="s">
        <v>287</v>
      </c>
      <c r="F4907" s="8" t="s">
        <v>2988</v>
      </c>
    </row>
    <row r="4908" spans="1:6" ht="60" x14ac:dyDescent="0.25">
      <c r="A4908" s="8" t="s">
        <v>125</v>
      </c>
      <c r="B4908" s="8" t="s">
        <v>157</v>
      </c>
      <c r="C4908" s="8" t="str">
        <f>IFERROR(_xlfn.XLOOKUP(TRIM(B4908),Lookup!$B$2:$B$1000,Lookup!$C$2:$C$1000),"")</f>
        <v>Equity</v>
      </c>
      <c r="D4908" s="8" t="str">
        <f>IFERROR(INDEX('nav master'!$C:$C, MATCH(B4908, 'nav master'!$B:$B, 0)), "")</f>
        <v>ULIF07828/02/25Alpha300Fd101</v>
      </c>
      <c r="E4908" s="8" t="s">
        <v>289</v>
      </c>
      <c r="F4908" s="8" t="s">
        <v>2989</v>
      </c>
    </row>
    <row r="4909" spans="1:6" ht="60" x14ac:dyDescent="0.25">
      <c r="A4909" s="8" t="s">
        <v>125</v>
      </c>
      <c r="B4909" s="8" t="s">
        <v>157</v>
      </c>
      <c r="C4909" s="8" t="str">
        <f>IFERROR(_xlfn.XLOOKUP(TRIM(B4909),Lookup!$B$2:$B$1000,Lookup!$C$2:$C$1000),"")</f>
        <v>Equity</v>
      </c>
      <c r="D4909" s="8" t="str">
        <f>IFERROR(INDEX('nav master'!$C:$C, MATCH(B4909, 'nav master'!$B:$B, 0)), "")</f>
        <v>ULIF07828/02/25Alpha300Fd101</v>
      </c>
      <c r="E4909" s="8" t="s">
        <v>291</v>
      </c>
      <c r="F4909" s="8" t="s">
        <v>2990</v>
      </c>
    </row>
    <row r="4910" spans="1:6" ht="60" x14ac:dyDescent="0.25">
      <c r="A4910" s="8" t="s">
        <v>125</v>
      </c>
      <c r="B4910" s="8" t="s">
        <v>157</v>
      </c>
      <c r="C4910" s="8" t="str">
        <f>IFERROR(_xlfn.XLOOKUP(TRIM(B4910),Lookup!$B$2:$B$1000,Lookup!$C$2:$C$1000),"")</f>
        <v>Equity</v>
      </c>
      <c r="D4910" s="8" t="str">
        <f>IFERROR(INDEX('nav master'!$C:$C, MATCH(B4910, 'nav master'!$B:$B, 0)), "")</f>
        <v>ULIF07828/02/25Alpha300Fd101</v>
      </c>
      <c r="E4910" s="8" t="s">
        <v>293</v>
      </c>
      <c r="F4910" s="8" t="s">
        <v>2991</v>
      </c>
    </row>
    <row r="4911" spans="1:6" ht="60" x14ac:dyDescent="0.25">
      <c r="A4911" s="8" t="s">
        <v>125</v>
      </c>
      <c r="B4911" s="8" t="s">
        <v>157</v>
      </c>
      <c r="C4911" s="8" t="str">
        <f>IFERROR(_xlfn.XLOOKUP(TRIM(B4911),Lookup!$B$2:$B$1000,Lookup!$C$2:$C$1000),"")</f>
        <v>Equity</v>
      </c>
      <c r="D4911" s="8" t="str">
        <f>IFERROR(INDEX('nav master'!$C:$C, MATCH(B4911, 'nav master'!$B:$B, 0)), "")</f>
        <v>ULIF07828/02/25Alpha300Fd101</v>
      </c>
      <c r="E4911" s="8" t="s">
        <v>295</v>
      </c>
      <c r="F4911" s="8" t="s">
        <v>2992</v>
      </c>
    </row>
    <row r="4912" spans="1:6" ht="60" x14ac:dyDescent="0.25">
      <c r="A4912" s="8" t="s">
        <v>125</v>
      </c>
      <c r="B4912" s="8" t="s">
        <v>157</v>
      </c>
      <c r="C4912" s="8" t="str">
        <f>IFERROR(_xlfn.XLOOKUP(TRIM(B4912),Lookup!$B$2:$B$1000,Lookup!$C$2:$C$1000),"")</f>
        <v>Equity</v>
      </c>
      <c r="D4912" s="8" t="str">
        <f>IFERROR(INDEX('nav master'!$C:$C, MATCH(B4912, 'nav master'!$B:$B, 0)), "")</f>
        <v>ULIF07828/02/25Alpha300Fd101</v>
      </c>
      <c r="E4912" s="8" t="s">
        <v>297</v>
      </c>
      <c r="F4912" s="8" t="s">
        <v>2993</v>
      </c>
    </row>
    <row r="4913" spans="1:6" ht="60" x14ac:dyDescent="0.25">
      <c r="A4913" s="8" t="s">
        <v>125</v>
      </c>
      <c r="B4913" s="8" t="s">
        <v>157</v>
      </c>
      <c r="C4913" s="8" t="str">
        <f>IFERROR(_xlfn.XLOOKUP(TRIM(B4913),Lookup!$B$2:$B$1000,Lookup!$C$2:$C$1000),"")</f>
        <v>Equity</v>
      </c>
      <c r="D4913" s="8" t="str">
        <f>IFERROR(INDEX('nav master'!$C:$C, MATCH(B4913, 'nav master'!$B:$B, 0)), "")</f>
        <v>ULIF07828/02/25Alpha300Fd101</v>
      </c>
      <c r="E4913" s="8" t="s">
        <v>299</v>
      </c>
      <c r="F4913" s="8" t="s">
        <v>2994</v>
      </c>
    </row>
    <row r="4914" spans="1:6" ht="60" x14ac:dyDescent="0.25">
      <c r="A4914" s="8" t="s">
        <v>125</v>
      </c>
      <c r="B4914" s="8" t="s">
        <v>157</v>
      </c>
      <c r="C4914" s="8" t="str">
        <f>IFERROR(_xlfn.XLOOKUP(TRIM(B4914),Lookup!$B$2:$B$1000,Lookup!$C$2:$C$1000),"")</f>
        <v>Equity</v>
      </c>
      <c r="D4914" s="8" t="str">
        <f>IFERROR(INDEX('nav master'!$C:$C, MATCH(B4914, 'nav master'!$B:$B, 0)), "")</f>
        <v>ULIF07828/02/25Alpha300Fd101</v>
      </c>
      <c r="E4914" s="8" t="s">
        <v>301</v>
      </c>
      <c r="F4914" s="8" t="s">
        <v>2995</v>
      </c>
    </row>
    <row r="4915" spans="1:6" ht="60" x14ac:dyDescent="0.25">
      <c r="A4915" s="8" t="s">
        <v>125</v>
      </c>
      <c r="B4915" s="8" t="s">
        <v>157</v>
      </c>
      <c r="C4915" s="8" t="str">
        <f>IFERROR(_xlfn.XLOOKUP(TRIM(B4915),Lookup!$B$2:$B$1000,Lookup!$C$2:$C$1000),"")</f>
        <v>Equity</v>
      </c>
      <c r="D4915" s="8" t="str">
        <f>IFERROR(INDEX('nav master'!$C:$C, MATCH(B4915, 'nav master'!$B:$B, 0)), "")</f>
        <v>ULIF07828/02/25Alpha300Fd101</v>
      </c>
      <c r="E4915" s="8" t="s">
        <v>303</v>
      </c>
      <c r="F4915" s="8" t="s">
        <v>2996</v>
      </c>
    </row>
    <row r="4916" spans="1:6" ht="60" x14ac:dyDescent="0.25">
      <c r="A4916" s="8" t="s">
        <v>125</v>
      </c>
      <c r="B4916" s="8" t="s">
        <v>157</v>
      </c>
      <c r="C4916" s="8" t="str">
        <f>IFERROR(_xlfn.XLOOKUP(TRIM(B4916),Lookup!$B$2:$B$1000,Lookup!$C$2:$C$1000),"")</f>
        <v>Equity</v>
      </c>
      <c r="D4916" s="8" t="str">
        <f>IFERROR(INDEX('nav master'!$C:$C, MATCH(B4916, 'nav master'!$B:$B, 0)), "")</f>
        <v>ULIF07828/02/25Alpha300Fd101</v>
      </c>
      <c r="E4916" s="8" t="s">
        <v>305</v>
      </c>
      <c r="F4916" s="8" t="s">
        <v>2997</v>
      </c>
    </row>
    <row r="4917" spans="1:6" ht="60" x14ac:dyDescent="0.25">
      <c r="A4917" s="8" t="s">
        <v>125</v>
      </c>
      <c r="B4917" s="8" t="s">
        <v>157</v>
      </c>
      <c r="C4917" s="8" t="str">
        <f>IFERROR(_xlfn.XLOOKUP(TRIM(B4917),Lookup!$B$2:$B$1000,Lookup!$C$2:$C$1000),"")</f>
        <v>Equity</v>
      </c>
      <c r="D4917" s="8" t="str">
        <f>IFERROR(INDEX('nav master'!$C:$C, MATCH(B4917, 'nav master'!$B:$B, 0)), "")</f>
        <v>ULIF07828/02/25Alpha300Fd101</v>
      </c>
      <c r="E4917" s="8" t="s">
        <v>307</v>
      </c>
      <c r="F4917" s="8" t="s">
        <v>2998</v>
      </c>
    </row>
    <row r="4918" spans="1:6" ht="60" x14ac:dyDescent="0.25">
      <c r="A4918" s="8" t="s">
        <v>125</v>
      </c>
      <c r="B4918" s="8" t="s">
        <v>157</v>
      </c>
      <c r="C4918" s="8" t="str">
        <f>IFERROR(_xlfn.XLOOKUP(TRIM(B4918),Lookup!$B$2:$B$1000,Lookup!$C$2:$C$1000),"")</f>
        <v>Equity</v>
      </c>
      <c r="D4918" s="8" t="str">
        <f>IFERROR(INDEX('nav master'!$C:$C, MATCH(B4918, 'nav master'!$B:$B, 0)), "")</f>
        <v>ULIF07828/02/25Alpha300Fd101</v>
      </c>
      <c r="E4918" s="8" t="s">
        <v>309</v>
      </c>
      <c r="F4918" s="8" t="s">
        <v>2999</v>
      </c>
    </row>
    <row r="4919" spans="1:6" ht="60" x14ac:dyDescent="0.25">
      <c r="A4919" s="8" t="s">
        <v>125</v>
      </c>
      <c r="B4919" s="8" t="s">
        <v>157</v>
      </c>
      <c r="C4919" s="8" t="str">
        <f>IFERROR(_xlfn.XLOOKUP(TRIM(B4919),Lookup!$B$2:$B$1000,Lookup!$C$2:$C$1000),"")</f>
        <v>Equity</v>
      </c>
      <c r="D4919" s="8" t="str">
        <f>IFERROR(INDEX('nav master'!$C:$C, MATCH(B4919, 'nav master'!$B:$B, 0)), "")</f>
        <v>ULIF07828/02/25Alpha300Fd101</v>
      </c>
      <c r="E4919" s="8" t="s">
        <v>311</v>
      </c>
      <c r="F4919" s="8" t="s">
        <v>3000</v>
      </c>
    </row>
    <row r="4920" spans="1:6" ht="60" x14ac:dyDescent="0.25">
      <c r="A4920" s="8" t="s">
        <v>125</v>
      </c>
      <c r="B4920" s="8" t="s">
        <v>157</v>
      </c>
      <c r="C4920" s="8" t="str">
        <f>IFERROR(_xlfn.XLOOKUP(TRIM(B4920),Lookup!$B$2:$B$1000,Lookup!$C$2:$C$1000),"")</f>
        <v>Equity</v>
      </c>
      <c r="D4920" s="8" t="str">
        <f>IFERROR(INDEX('nav master'!$C:$C, MATCH(B4920, 'nav master'!$B:$B, 0)), "")</f>
        <v>ULIF07828/02/25Alpha300Fd101</v>
      </c>
      <c r="E4920" s="8" t="s">
        <v>313</v>
      </c>
      <c r="F4920" s="8" t="s">
        <v>3001</v>
      </c>
    </row>
    <row r="4921" spans="1:6" ht="60" x14ac:dyDescent="0.25">
      <c r="A4921" s="8" t="s">
        <v>125</v>
      </c>
      <c r="B4921" s="8" t="s">
        <v>157</v>
      </c>
      <c r="C4921" s="8" t="str">
        <f>IFERROR(_xlfn.XLOOKUP(TRIM(B4921),Lookup!$B$2:$B$1000,Lookup!$C$2:$C$1000),"")</f>
        <v>Equity</v>
      </c>
      <c r="D4921" s="8" t="str">
        <f>IFERROR(INDEX('nav master'!$C:$C, MATCH(B4921, 'nav master'!$B:$B, 0)), "")</f>
        <v>ULIF07828/02/25Alpha300Fd101</v>
      </c>
      <c r="E4921" s="8" t="s">
        <v>315</v>
      </c>
      <c r="F4921" s="8" t="s">
        <v>3002</v>
      </c>
    </row>
    <row r="4922" spans="1:6" ht="60" x14ac:dyDescent="0.25">
      <c r="A4922" s="8" t="s">
        <v>125</v>
      </c>
      <c r="B4922" s="8" t="s">
        <v>157</v>
      </c>
      <c r="C4922" s="8" t="str">
        <f>IFERROR(_xlfn.XLOOKUP(TRIM(B4922),Lookup!$B$2:$B$1000,Lookup!$C$2:$C$1000),"")</f>
        <v>Equity</v>
      </c>
      <c r="D4922" s="8" t="str">
        <f>IFERROR(INDEX('nav master'!$C:$C, MATCH(B4922, 'nav master'!$B:$B, 0)), "")</f>
        <v>ULIF07828/02/25Alpha300Fd101</v>
      </c>
      <c r="E4922" s="8" t="s">
        <v>317</v>
      </c>
      <c r="F4922" s="8" t="s">
        <v>3003</v>
      </c>
    </row>
    <row r="4923" spans="1:6" ht="60" x14ac:dyDescent="0.25">
      <c r="A4923" s="8" t="s">
        <v>125</v>
      </c>
      <c r="B4923" s="8" t="s">
        <v>157</v>
      </c>
      <c r="C4923" s="8" t="str">
        <f>IFERROR(_xlfn.XLOOKUP(TRIM(B4923),Lookup!$B$2:$B$1000,Lookup!$C$2:$C$1000),"")</f>
        <v>Equity</v>
      </c>
      <c r="D4923" s="8" t="str">
        <f>IFERROR(INDEX('nav master'!$C:$C, MATCH(B4923, 'nav master'!$B:$B, 0)), "")</f>
        <v>ULIF07828/02/25Alpha300Fd101</v>
      </c>
      <c r="E4923" s="8" t="s">
        <v>319</v>
      </c>
      <c r="F4923" s="8" t="s">
        <v>3004</v>
      </c>
    </row>
    <row r="4924" spans="1:6" ht="60" x14ac:dyDescent="0.25">
      <c r="A4924" s="8" t="s">
        <v>125</v>
      </c>
      <c r="B4924" s="8" t="s">
        <v>157</v>
      </c>
      <c r="C4924" s="8" t="str">
        <f>IFERROR(_xlfn.XLOOKUP(TRIM(B4924),Lookup!$B$2:$B$1000,Lookup!$C$2:$C$1000),"")</f>
        <v>Equity</v>
      </c>
      <c r="D4924" s="8" t="str">
        <f>IFERROR(INDEX('nav master'!$C:$C, MATCH(B4924, 'nav master'!$B:$B, 0)), "")</f>
        <v>ULIF07828/02/25Alpha300Fd101</v>
      </c>
      <c r="E4924" s="8" t="s">
        <v>321</v>
      </c>
      <c r="F4924" s="8" t="s">
        <v>3005</v>
      </c>
    </row>
    <row r="4925" spans="1:6" ht="60" x14ac:dyDescent="0.25">
      <c r="A4925" s="8" t="s">
        <v>125</v>
      </c>
      <c r="B4925" s="8" t="s">
        <v>157</v>
      </c>
      <c r="C4925" s="8" t="str">
        <f>IFERROR(_xlfn.XLOOKUP(TRIM(B4925),Lookup!$B$2:$B$1000,Lookup!$C$2:$C$1000),"")</f>
        <v>Equity</v>
      </c>
      <c r="D4925" s="8" t="str">
        <f>IFERROR(INDEX('nav master'!$C:$C, MATCH(B4925, 'nav master'!$B:$B, 0)), "")</f>
        <v>ULIF07828/02/25Alpha300Fd101</v>
      </c>
      <c r="E4925" s="8" t="s">
        <v>323</v>
      </c>
      <c r="F4925" s="8" t="s">
        <v>3006</v>
      </c>
    </row>
    <row r="4926" spans="1:6" ht="60" x14ac:dyDescent="0.25">
      <c r="A4926" s="8" t="s">
        <v>125</v>
      </c>
      <c r="B4926" s="8" t="s">
        <v>157</v>
      </c>
      <c r="C4926" s="8" t="str">
        <f>IFERROR(_xlfn.XLOOKUP(TRIM(B4926),Lookup!$B$2:$B$1000,Lookup!$C$2:$C$1000),"")</f>
        <v>Equity</v>
      </c>
      <c r="D4926" s="8" t="str">
        <f>IFERROR(INDEX('nav master'!$C:$C, MATCH(B4926, 'nav master'!$B:$B, 0)), "")</f>
        <v>ULIF07828/02/25Alpha300Fd101</v>
      </c>
      <c r="E4926" s="8" t="s">
        <v>325</v>
      </c>
      <c r="F4926" s="8" t="s">
        <v>3007</v>
      </c>
    </row>
    <row r="4927" spans="1:6" ht="60" x14ac:dyDescent="0.25">
      <c r="A4927" s="8" t="s">
        <v>125</v>
      </c>
      <c r="B4927" s="8" t="s">
        <v>157</v>
      </c>
      <c r="C4927" s="8" t="str">
        <f>IFERROR(_xlfn.XLOOKUP(TRIM(B4927),Lookup!$B$2:$B$1000,Lookup!$C$2:$C$1000),"")</f>
        <v>Equity</v>
      </c>
      <c r="D4927" s="8" t="str">
        <f>IFERROR(INDEX('nav master'!$C:$C, MATCH(B4927, 'nav master'!$B:$B, 0)), "")</f>
        <v>ULIF07828/02/25Alpha300Fd101</v>
      </c>
      <c r="E4927" s="8" t="s">
        <v>327</v>
      </c>
      <c r="F4927" s="8" t="s">
        <v>3008</v>
      </c>
    </row>
    <row r="4928" spans="1:6" ht="60" x14ac:dyDescent="0.25">
      <c r="A4928" s="8" t="s">
        <v>125</v>
      </c>
      <c r="B4928" s="8" t="s">
        <v>157</v>
      </c>
      <c r="C4928" s="8" t="str">
        <f>IFERROR(_xlfn.XLOOKUP(TRIM(B4928),Lookup!$B$2:$B$1000,Lookup!$C$2:$C$1000),"")</f>
        <v>Equity</v>
      </c>
      <c r="D4928" s="8" t="str">
        <f>IFERROR(INDEX('nav master'!$C:$C, MATCH(B4928, 'nav master'!$B:$B, 0)), "")</f>
        <v>ULIF07828/02/25Alpha300Fd101</v>
      </c>
      <c r="E4928" s="8" t="s">
        <v>329</v>
      </c>
      <c r="F4928" s="8" t="s">
        <v>3009</v>
      </c>
    </row>
    <row r="4929" spans="1:6" ht="60" x14ac:dyDescent="0.25">
      <c r="A4929" s="8" t="s">
        <v>125</v>
      </c>
      <c r="B4929" s="8" t="s">
        <v>157</v>
      </c>
      <c r="C4929" s="8" t="str">
        <f>IFERROR(_xlfn.XLOOKUP(TRIM(B4929),Lookup!$B$2:$B$1000,Lookup!$C$2:$C$1000),"")</f>
        <v>Equity</v>
      </c>
      <c r="D4929" s="8" t="str">
        <f>IFERROR(INDEX('nav master'!$C:$C, MATCH(B4929, 'nav master'!$B:$B, 0)), "")</f>
        <v>ULIF07828/02/25Alpha300Fd101</v>
      </c>
      <c r="E4929" s="8" t="s">
        <v>331</v>
      </c>
      <c r="F4929" s="8" t="s">
        <v>3010</v>
      </c>
    </row>
    <row r="4930" spans="1:6" ht="60" x14ac:dyDescent="0.25">
      <c r="A4930" s="8" t="s">
        <v>125</v>
      </c>
      <c r="B4930" s="8" t="s">
        <v>157</v>
      </c>
      <c r="C4930" s="8" t="str">
        <f>IFERROR(_xlfn.XLOOKUP(TRIM(B4930),Lookup!$B$2:$B$1000,Lookup!$C$2:$C$1000),"")</f>
        <v>Equity</v>
      </c>
      <c r="D4930" s="8" t="str">
        <f>IFERROR(INDEX('nav master'!$C:$C, MATCH(B4930, 'nav master'!$B:$B, 0)), "")</f>
        <v>ULIF07828/02/25Alpha300Fd101</v>
      </c>
      <c r="E4930" s="8" t="s">
        <v>333</v>
      </c>
      <c r="F4930" s="8" t="s">
        <v>3011</v>
      </c>
    </row>
    <row r="4931" spans="1:6" ht="60" x14ac:dyDescent="0.25">
      <c r="A4931" s="8" t="s">
        <v>125</v>
      </c>
      <c r="B4931" s="8" t="s">
        <v>157</v>
      </c>
      <c r="C4931" s="8" t="str">
        <f>IFERROR(_xlfn.XLOOKUP(TRIM(B4931),Lookup!$B$2:$B$1000,Lookup!$C$2:$C$1000),"")</f>
        <v>Equity</v>
      </c>
      <c r="D4931" s="8" t="str">
        <f>IFERROR(INDEX('nav master'!$C:$C, MATCH(B4931, 'nav master'!$B:$B, 0)), "")</f>
        <v>ULIF07828/02/25Alpha300Fd101</v>
      </c>
      <c r="E4931" s="8" t="s">
        <v>335</v>
      </c>
      <c r="F4931" s="8" t="s">
        <v>3012</v>
      </c>
    </row>
    <row r="4932" spans="1:6" ht="60" x14ac:dyDescent="0.25">
      <c r="A4932" s="8" t="s">
        <v>125</v>
      </c>
      <c r="B4932" s="8" t="s">
        <v>157</v>
      </c>
      <c r="C4932" s="8" t="str">
        <f>IFERROR(_xlfn.XLOOKUP(TRIM(B4932),Lookup!$B$2:$B$1000,Lookup!$C$2:$C$1000),"")</f>
        <v>Equity</v>
      </c>
      <c r="D4932" s="8" t="str">
        <f>IFERROR(INDEX('nav master'!$C:$C, MATCH(B4932, 'nav master'!$B:$B, 0)), "")</f>
        <v>ULIF07828/02/25Alpha300Fd101</v>
      </c>
      <c r="E4932" s="8" t="s">
        <v>337</v>
      </c>
      <c r="F4932" s="8" t="s">
        <v>3013</v>
      </c>
    </row>
    <row r="4933" spans="1:6" ht="60" x14ac:dyDescent="0.25">
      <c r="A4933" s="8" t="s">
        <v>125</v>
      </c>
      <c r="B4933" s="8" t="s">
        <v>157</v>
      </c>
      <c r="C4933" s="8" t="str">
        <f>IFERROR(_xlfn.XLOOKUP(TRIM(B4933),Lookup!$B$2:$B$1000,Lookup!$C$2:$C$1000),"")</f>
        <v>Equity</v>
      </c>
      <c r="D4933" s="8" t="str">
        <f>IFERROR(INDEX('nav master'!$C:$C, MATCH(B4933, 'nav master'!$B:$B, 0)), "")</f>
        <v>ULIF07828/02/25Alpha300Fd101</v>
      </c>
      <c r="E4933" s="8" t="s">
        <v>339</v>
      </c>
      <c r="F4933" s="8" t="s">
        <v>3014</v>
      </c>
    </row>
    <row r="4934" spans="1:6" ht="60" x14ac:dyDescent="0.25">
      <c r="A4934" s="8" t="s">
        <v>125</v>
      </c>
      <c r="B4934" s="8" t="s">
        <v>157</v>
      </c>
      <c r="C4934" s="8" t="str">
        <f>IFERROR(_xlfn.XLOOKUP(TRIM(B4934),Lookup!$B$2:$B$1000,Lookup!$C$2:$C$1000),"")</f>
        <v>Equity</v>
      </c>
      <c r="D4934" s="8" t="str">
        <f>IFERROR(INDEX('nav master'!$C:$C, MATCH(B4934, 'nav master'!$B:$B, 0)), "")</f>
        <v>ULIF07828/02/25Alpha300Fd101</v>
      </c>
      <c r="E4934" s="8" t="s">
        <v>341</v>
      </c>
      <c r="F4934" s="8" t="s">
        <v>3015</v>
      </c>
    </row>
    <row r="4935" spans="1:6" ht="60" x14ac:dyDescent="0.25">
      <c r="A4935" s="8" t="s">
        <v>125</v>
      </c>
      <c r="B4935" s="8" t="s">
        <v>157</v>
      </c>
      <c r="C4935" s="8" t="str">
        <f>IFERROR(_xlfn.XLOOKUP(TRIM(B4935),Lookup!$B$2:$B$1000,Lookup!$C$2:$C$1000),"")</f>
        <v>Equity</v>
      </c>
      <c r="D4935" s="8" t="str">
        <f>IFERROR(INDEX('nav master'!$C:$C, MATCH(B4935, 'nav master'!$B:$B, 0)), "")</f>
        <v>ULIF07828/02/25Alpha300Fd101</v>
      </c>
      <c r="E4935" s="8" t="s">
        <v>343</v>
      </c>
      <c r="F4935" s="8" t="s">
        <v>3016</v>
      </c>
    </row>
    <row r="4936" spans="1:6" ht="60" x14ac:dyDescent="0.25">
      <c r="A4936" s="8" t="s">
        <v>125</v>
      </c>
      <c r="B4936" s="8" t="s">
        <v>157</v>
      </c>
      <c r="C4936" s="8" t="str">
        <f>IFERROR(_xlfn.XLOOKUP(TRIM(B4936),Lookup!$B$2:$B$1000,Lookup!$C$2:$C$1000),"")</f>
        <v>Equity</v>
      </c>
      <c r="D4936" s="8" t="str">
        <f>IFERROR(INDEX('nav master'!$C:$C, MATCH(B4936, 'nav master'!$B:$B, 0)), "")</f>
        <v>ULIF07828/02/25Alpha300Fd101</v>
      </c>
      <c r="E4936" s="8" t="s">
        <v>345</v>
      </c>
      <c r="F4936" s="8" t="s">
        <v>3017</v>
      </c>
    </row>
    <row r="4937" spans="1:6" ht="60" x14ac:dyDescent="0.25">
      <c r="A4937" s="8" t="s">
        <v>125</v>
      </c>
      <c r="B4937" s="8" t="s">
        <v>157</v>
      </c>
      <c r="C4937" s="8" t="str">
        <f>IFERROR(_xlfn.XLOOKUP(TRIM(B4937),Lookup!$B$2:$B$1000,Lookup!$C$2:$C$1000),"")</f>
        <v>Equity</v>
      </c>
      <c r="D4937" s="8" t="str">
        <f>IFERROR(INDEX('nav master'!$C:$C, MATCH(B4937, 'nav master'!$B:$B, 0)), "")</f>
        <v>ULIF07828/02/25Alpha300Fd101</v>
      </c>
      <c r="E4937" s="8" t="s">
        <v>347</v>
      </c>
      <c r="F4937" s="8" t="s">
        <v>3018</v>
      </c>
    </row>
    <row r="4938" spans="1:6" ht="60" x14ac:dyDescent="0.25">
      <c r="A4938" s="8" t="s">
        <v>125</v>
      </c>
      <c r="B4938" s="8" t="s">
        <v>157</v>
      </c>
      <c r="C4938" s="8" t="str">
        <f>IFERROR(_xlfn.XLOOKUP(TRIM(B4938),Lookup!$B$2:$B$1000,Lookup!$C$2:$C$1000),"")</f>
        <v>Equity</v>
      </c>
      <c r="D4938" s="8" t="str">
        <f>IFERROR(INDEX('nav master'!$C:$C, MATCH(B4938, 'nav master'!$B:$B, 0)), "")</f>
        <v>ULIF07828/02/25Alpha300Fd101</v>
      </c>
      <c r="E4938" s="8" t="s">
        <v>349</v>
      </c>
      <c r="F4938" s="8" t="s">
        <v>3019</v>
      </c>
    </row>
    <row r="4939" spans="1:6" ht="60" x14ac:dyDescent="0.25">
      <c r="A4939" s="8" t="s">
        <v>125</v>
      </c>
      <c r="B4939" s="8" t="s">
        <v>157</v>
      </c>
      <c r="C4939" s="8" t="str">
        <f>IFERROR(_xlfn.XLOOKUP(TRIM(B4939),Lookup!$B$2:$B$1000,Lookup!$C$2:$C$1000),"")</f>
        <v>Equity</v>
      </c>
      <c r="D4939" s="8" t="str">
        <f>IFERROR(INDEX('nav master'!$C:$C, MATCH(B4939, 'nav master'!$B:$B, 0)), "")</f>
        <v>ULIF07828/02/25Alpha300Fd101</v>
      </c>
      <c r="E4939" s="8" t="s">
        <v>351</v>
      </c>
      <c r="F4939" s="8" t="s">
        <v>3020</v>
      </c>
    </row>
    <row r="4940" spans="1:6" ht="60" x14ac:dyDescent="0.25">
      <c r="A4940" s="8" t="s">
        <v>125</v>
      </c>
      <c r="B4940" s="8" t="s">
        <v>157</v>
      </c>
      <c r="C4940" s="8" t="str">
        <f>IFERROR(_xlfn.XLOOKUP(TRIM(B4940),Lookup!$B$2:$B$1000,Lookup!$C$2:$C$1000),"")</f>
        <v>Equity</v>
      </c>
      <c r="D4940" s="8" t="str">
        <f>IFERROR(INDEX('nav master'!$C:$C, MATCH(B4940, 'nav master'!$B:$B, 0)), "")</f>
        <v>ULIF07828/02/25Alpha300Fd101</v>
      </c>
      <c r="E4940" s="8" t="s">
        <v>353</v>
      </c>
      <c r="F4940" s="8" t="s">
        <v>3021</v>
      </c>
    </row>
    <row r="4941" spans="1:6" ht="60" x14ac:dyDescent="0.25">
      <c r="A4941" s="8" t="s">
        <v>125</v>
      </c>
      <c r="B4941" s="8" t="s">
        <v>157</v>
      </c>
      <c r="C4941" s="8" t="str">
        <f>IFERROR(_xlfn.XLOOKUP(TRIM(B4941),Lookup!$B$2:$B$1000,Lookup!$C$2:$C$1000),"")</f>
        <v>Equity</v>
      </c>
      <c r="D4941" s="8" t="str">
        <f>IFERROR(INDEX('nav master'!$C:$C, MATCH(B4941, 'nav master'!$B:$B, 0)), "")</f>
        <v>ULIF07828/02/25Alpha300Fd101</v>
      </c>
      <c r="E4941" s="8" t="s">
        <v>355</v>
      </c>
      <c r="F4941" s="8" t="s">
        <v>3022</v>
      </c>
    </row>
    <row r="4942" spans="1:6" ht="60" x14ac:dyDescent="0.25">
      <c r="A4942" s="8" t="s">
        <v>125</v>
      </c>
      <c r="B4942" s="8" t="s">
        <v>157</v>
      </c>
      <c r="C4942" s="8" t="str">
        <f>IFERROR(_xlfn.XLOOKUP(TRIM(B4942),Lookup!$B$2:$B$1000,Lookup!$C$2:$C$1000),"")</f>
        <v>Equity</v>
      </c>
      <c r="D4942" s="8" t="str">
        <f>IFERROR(INDEX('nav master'!$C:$C, MATCH(B4942, 'nav master'!$B:$B, 0)), "")</f>
        <v>ULIF07828/02/25Alpha300Fd101</v>
      </c>
      <c r="E4942" s="8" t="s">
        <v>357</v>
      </c>
      <c r="F4942" s="8" t="s">
        <v>3023</v>
      </c>
    </row>
    <row r="4943" spans="1:6" ht="60" x14ac:dyDescent="0.25">
      <c r="A4943" s="8" t="s">
        <v>125</v>
      </c>
      <c r="B4943" s="8" t="s">
        <v>157</v>
      </c>
      <c r="C4943" s="8" t="str">
        <f>IFERROR(_xlfn.XLOOKUP(TRIM(B4943),Lookup!$B$2:$B$1000,Lookup!$C$2:$C$1000),"")</f>
        <v>Equity</v>
      </c>
      <c r="D4943" s="8" t="str">
        <f>IFERROR(INDEX('nav master'!$C:$C, MATCH(B4943, 'nav master'!$B:$B, 0)), "")</f>
        <v>ULIF07828/02/25Alpha300Fd101</v>
      </c>
      <c r="E4943" s="8" t="s">
        <v>359</v>
      </c>
      <c r="F4943" s="8" t="s">
        <v>3024</v>
      </c>
    </row>
    <row r="4944" spans="1:6" ht="60" x14ac:dyDescent="0.25">
      <c r="A4944" s="8" t="s">
        <v>125</v>
      </c>
      <c r="B4944" s="8" t="s">
        <v>157</v>
      </c>
      <c r="C4944" s="8" t="str">
        <f>IFERROR(_xlfn.XLOOKUP(TRIM(B4944),Lookup!$B$2:$B$1000,Lookup!$C$2:$C$1000),"")</f>
        <v>Equity</v>
      </c>
      <c r="D4944" s="8" t="str">
        <f>IFERROR(INDEX('nav master'!$C:$C, MATCH(B4944, 'nav master'!$B:$B, 0)), "")</f>
        <v>ULIF07828/02/25Alpha300Fd101</v>
      </c>
      <c r="E4944" s="8" t="s">
        <v>361</v>
      </c>
      <c r="F4944" s="8" t="s">
        <v>3025</v>
      </c>
    </row>
    <row r="4945" spans="1:6" ht="60" x14ac:dyDescent="0.25">
      <c r="A4945" s="8" t="s">
        <v>125</v>
      </c>
      <c r="B4945" s="8" t="s">
        <v>157</v>
      </c>
      <c r="C4945" s="8" t="str">
        <f>IFERROR(_xlfn.XLOOKUP(TRIM(B4945),Lookup!$B$2:$B$1000,Lookup!$C$2:$C$1000),"")</f>
        <v>Equity</v>
      </c>
      <c r="D4945" s="8" t="str">
        <f>IFERROR(INDEX('nav master'!$C:$C, MATCH(B4945, 'nav master'!$B:$B, 0)), "")</f>
        <v>ULIF07828/02/25Alpha300Fd101</v>
      </c>
      <c r="E4945" s="8" t="s">
        <v>363</v>
      </c>
      <c r="F4945" s="8" t="s">
        <v>3026</v>
      </c>
    </row>
    <row r="4946" spans="1:6" ht="60" x14ac:dyDescent="0.25">
      <c r="A4946" s="8" t="s">
        <v>125</v>
      </c>
      <c r="B4946" s="8" t="s">
        <v>157</v>
      </c>
      <c r="C4946" s="8" t="str">
        <f>IFERROR(_xlfn.XLOOKUP(TRIM(B4946),Lookup!$B$2:$B$1000,Lookup!$C$2:$C$1000),"")</f>
        <v>Equity</v>
      </c>
      <c r="D4946" s="8" t="str">
        <f>IFERROR(INDEX('nav master'!$C:$C, MATCH(B4946, 'nav master'!$B:$B, 0)), "")</f>
        <v>ULIF07828/02/25Alpha300Fd101</v>
      </c>
      <c r="E4946" s="8" t="s">
        <v>365</v>
      </c>
      <c r="F4946" s="8" t="s">
        <v>3027</v>
      </c>
    </row>
    <row r="4947" spans="1:6" ht="60" x14ac:dyDescent="0.25">
      <c r="A4947" s="8" t="s">
        <v>125</v>
      </c>
      <c r="B4947" s="8" t="s">
        <v>157</v>
      </c>
      <c r="C4947" s="8" t="str">
        <f>IFERROR(_xlfn.XLOOKUP(TRIM(B4947),Lookup!$B$2:$B$1000,Lookup!$C$2:$C$1000),"")</f>
        <v>Equity</v>
      </c>
      <c r="D4947" s="8" t="str">
        <f>IFERROR(INDEX('nav master'!$C:$C, MATCH(B4947, 'nav master'!$B:$B, 0)), "")</f>
        <v>ULIF07828/02/25Alpha300Fd101</v>
      </c>
      <c r="E4947" s="8" t="s">
        <v>367</v>
      </c>
      <c r="F4947" s="8" t="s">
        <v>3028</v>
      </c>
    </row>
    <row r="4948" spans="1:6" ht="60" x14ac:dyDescent="0.25">
      <c r="A4948" s="8" t="s">
        <v>125</v>
      </c>
      <c r="B4948" s="8" t="s">
        <v>157</v>
      </c>
      <c r="C4948" s="8" t="str">
        <f>IFERROR(_xlfn.XLOOKUP(TRIM(B4948),Lookup!$B$2:$B$1000,Lookup!$C$2:$C$1000),"")</f>
        <v>Equity</v>
      </c>
      <c r="D4948" s="8" t="str">
        <f>IFERROR(INDEX('nav master'!$C:$C, MATCH(B4948, 'nav master'!$B:$B, 0)), "")</f>
        <v>ULIF07828/02/25Alpha300Fd101</v>
      </c>
      <c r="E4948" s="8" t="s">
        <v>369</v>
      </c>
      <c r="F4948" s="8" t="s">
        <v>3029</v>
      </c>
    </row>
    <row r="4949" spans="1:6" ht="60" x14ac:dyDescent="0.25">
      <c r="A4949" s="8" t="s">
        <v>125</v>
      </c>
      <c r="B4949" s="8" t="s">
        <v>157</v>
      </c>
      <c r="C4949" s="8" t="str">
        <f>IFERROR(_xlfn.XLOOKUP(TRIM(B4949),Lookup!$B$2:$B$1000,Lookup!$C$2:$C$1000),"")</f>
        <v>Equity</v>
      </c>
      <c r="D4949" s="8" t="str">
        <f>IFERROR(INDEX('nav master'!$C:$C, MATCH(B4949, 'nav master'!$B:$B, 0)), "")</f>
        <v>ULIF07828/02/25Alpha300Fd101</v>
      </c>
      <c r="E4949" s="8" t="s">
        <v>371</v>
      </c>
      <c r="F4949" s="8" t="s">
        <v>3030</v>
      </c>
    </row>
    <row r="4950" spans="1:6" ht="60" x14ac:dyDescent="0.25">
      <c r="A4950" s="8" t="s">
        <v>125</v>
      </c>
      <c r="B4950" s="8" t="s">
        <v>157</v>
      </c>
      <c r="C4950" s="8" t="str">
        <f>IFERROR(_xlfn.XLOOKUP(TRIM(B4950),Lookup!$B$2:$B$1000,Lookup!$C$2:$C$1000),"")</f>
        <v>Equity</v>
      </c>
      <c r="D4950" s="8" t="str">
        <f>IFERROR(INDEX('nav master'!$C:$C, MATCH(B4950, 'nav master'!$B:$B, 0)), "")</f>
        <v>ULIF07828/02/25Alpha300Fd101</v>
      </c>
      <c r="E4950" s="8" t="s">
        <v>373</v>
      </c>
      <c r="F4950" s="8" t="s">
        <v>3031</v>
      </c>
    </row>
    <row r="4951" spans="1:6" ht="60" x14ac:dyDescent="0.25">
      <c r="A4951" s="8" t="s">
        <v>125</v>
      </c>
      <c r="B4951" s="8" t="s">
        <v>157</v>
      </c>
      <c r="C4951" s="8" t="str">
        <f>IFERROR(_xlfn.XLOOKUP(TRIM(B4951),Lookup!$B$2:$B$1000,Lookup!$C$2:$C$1000),"")</f>
        <v>Equity</v>
      </c>
      <c r="D4951" s="8" t="str">
        <f>IFERROR(INDEX('nav master'!$C:$C, MATCH(B4951, 'nav master'!$B:$B, 0)), "")</f>
        <v>ULIF07828/02/25Alpha300Fd101</v>
      </c>
      <c r="E4951" s="8" t="s">
        <v>375</v>
      </c>
      <c r="F4951" s="8" t="s">
        <v>3032</v>
      </c>
    </row>
    <row r="4952" spans="1:6" ht="60" x14ac:dyDescent="0.25">
      <c r="A4952" s="8" t="s">
        <v>125</v>
      </c>
      <c r="B4952" s="8" t="s">
        <v>157</v>
      </c>
      <c r="C4952" s="8" t="str">
        <f>IFERROR(_xlfn.XLOOKUP(TRIM(B4952),Lookup!$B$2:$B$1000,Lookup!$C$2:$C$1000),"")</f>
        <v>Equity</v>
      </c>
      <c r="D4952" s="8" t="str">
        <f>IFERROR(INDEX('nav master'!$C:$C, MATCH(B4952, 'nav master'!$B:$B, 0)), "")</f>
        <v>ULIF07828/02/25Alpha300Fd101</v>
      </c>
      <c r="E4952" s="8" t="s">
        <v>377</v>
      </c>
      <c r="F4952" s="8" t="s">
        <v>2982</v>
      </c>
    </row>
    <row r="4953" spans="1:6" ht="60" x14ac:dyDescent="0.25">
      <c r="A4953" s="8" t="s">
        <v>125</v>
      </c>
      <c r="B4953" s="8" t="s">
        <v>157</v>
      </c>
      <c r="C4953" s="8" t="str">
        <f>IFERROR(_xlfn.XLOOKUP(TRIM(B4953),Lookup!$B$2:$B$1000,Lookup!$C$2:$C$1000),"")</f>
        <v>Equity</v>
      </c>
      <c r="D4953" s="8" t="str">
        <f>IFERROR(INDEX('nav master'!$C:$C, MATCH(B4953, 'nav master'!$B:$B, 0)), "")</f>
        <v>ULIF07828/02/25Alpha300Fd101</v>
      </c>
      <c r="E4953" s="8" t="s">
        <v>379</v>
      </c>
      <c r="F4953" s="8" t="s">
        <v>3033</v>
      </c>
    </row>
    <row r="4954" spans="1:6" ht="60" x14ac:dyDescent="0.25">
      <c r="A4954" s="8" t="s">
        <v>125</v>
      </c>
      <c r="B4954" s="8" t="s">
        <v>157</v>
      </c>
      <c r="C4954" s="8" t="str">
        <f>IFERROR(_xlfn.XLOOKUP(TRIM(B4954),Lookup!$B$2:$B$1000,Lookup!$C$2:$C$1000),"")</f>
        <v>Equity</v>
      </c>
      <c r="D4954" s="8" t="str">
        <f>IFERROR(INDEX('nav master'!$C:$C, MATCH(B4954, 'nav master'!$B:$B, 0)), "")</f>
        <v>ULIF07828/02/25Alpha300Fd101</v>
      </c>
      <c r="E4954" s="8" t="s">
        <v>381</v>
      </c>
      <c r="F4954" s="8" t="s">
        <v>3034</v>
      </c>
    </row>
    <row r="4955" spans="1:6" ht="60" x14ac:dyDescent="0.25">
      <c r="A4955" s="8" t="s">
        <v>125</v>
      </c>
      <c r="B4955" s="8" t="s">
        <v>157</v>
      </c>
      <c r="C4955" s="8" t="str">
        <f>IFERROR(_xlfn.XLOOKUP(TRIM(B4955),Lookup!$B$2:$B$1000,Lookup!$C$2:$C$1000),"")</f>
        <v>Equity</v>
      </c>
      <c r="D4955" s="8" t="str">
        <f>IFERROR(INDEX('nav master'!$C:$C, MATCH(B4955, 'nav master'!$B:$B, 0)), "")</f>
        <v>ULIF07828/02/25Alpha300Fd101</v>
      </c>
      <c r="E4955" s="8" t="s">
        <v>383</v>
      </c>
      <c r="F4955" s="8" t="s">
        <v>3035</v>
      </c>
    </row>
    <row r="4956" spans="1:6" ht="60" x14ac:dyDescent="0.25">
      <c r="A4956" s="8" t="s">
        <v>125</v>
      </c>
      <c r="B4956" s="8" t="s">
        <v>157</v>
      </c>
      <c r="C4956" s="8" t="str">
        <f>IFERROR(_xlfn.XLOOKUP(TRIM(B4956),Lookup!$B$2:$B$1000,Lookup!$C$2:$C$1000),"")</f>
        <v>Equity</v>
      </c>
      <c r="D4956" s="8" t="str">
        <f>IFERROR(INDEX('nav master'!$C:$C, MATCH(B4956, 'nav master'!$B:$B, 0)), "")</f>
        <v>ULIF07828/02/25Alpha300Fd101</v>
      </c>
      <c r="E4956" s="8" t="s">
        <v>385</v>
      </c>
      <c r="F4956" s="8" t="s">
        <v>3036</v>
      </c>
    </row>
    <row r="4957" spans="1:6" ht="60" x14ac:dyDescent="0.25">
      <c r="A4957" s="8" t="s">
        <v>125</v>
      </c>
      <c r="B4957" s="8" t="s">
        <v>157</v>
      </c>
      <c r="C4957" s="8" t="str">
        <f>IFERROR(_xlfn.XLOOKUP(TRIM(B4957),Lookup!$B$2:$B$1000,Lookup!$C$2:$C$1000),"")</f>
        <v>Equity</v>
      </c>
      <c r="D4957" s="8" t="str">
        <f>IFERROR(INDEX('nav master'!$C:$C, MATCH(B4957, 'nav master'!$B:$B, 0)), "")</f>
        <v>ULIF07828/02/25Alpha300Fd101</v>
      </c>
      <c r="E4957" s="8" t="s">
        <v>387</v>
      </c>
      <c r="F4957" s="8" t="s">
        <v>3037</v>
      </c>
    </row>
    <row r="4958" spans="1:6" ht="60" x14ac:dyDescent="0.25">
      <c r="A4958" s="8" t="s">
        <v>125</v>
      </c>
      <c r="B4958" s="8" t="s">
        <v>157</v>
      </c>
      <c r="C4958" s="8" t="str">
        <f>IFERROR(_xlfn.XLOOKUP(TRIM(B4958),Lookup!$B$2:$B$1000,Lookup!$C$2:$C$1000),"")</f>
        <v>Equity</v>
      </c>
      <c r="D4958" s="8" t="str">
        <f>IFERROR(INDEX('nav master'!$C:$C, MATCH(B4958, 'nav master'!$B:$B, 0)), "")</f>
        <v>ULIF07828/02/25Alpha300Fd101</v>
      </c>
      <c r="E4958" s="8" t="s">
        <v>389</v>
      </c>
      <c r="F4958" s="8" t="s">
        <v>3038</v>
      </c>
    </row>
    <row r="4959" spans="1:6" ht="60" x14ac:dyDescent="0.25">
      <c r="A4959" s="8" t="s">
        <v>125</v>
      </c>
      <c r="B4959" s="8" t="s">
        <v>157</v>
      </c>
      <c r="C4959" s="8" t="str">
        <f>IFERROR(_xlfn.XLOOKUP(TRIM(B4959),Lookup!$B$2:$B$1000,Lookup!$C$2:$C$1000),"")</f>
        <v>Equity</v>
      </c>
      <c r="D4959" s="8" t="str">
        <f>IFERROR(INDEX('nav master'!$C:$C, MATCH(B4959, 'nav master'!$B:$B, 0)), "")</f>
        <v>ULIF07828/02/25Alpha300Fd101</v>
      </c>
      <c r="E4959" s="8" t="s">
        <v>391</v>
      </c>
      <c r="F4959" s="8" t="s">
        <v>3039</v>
      </c>
    </row>
    <row r="4960" spans="1:6" ht="60" x14ac:dyDescent="0.25">
      <c r="A4960" s="8" t="s">
        <v>125</v>
      </c>
      <c r="B4960" s="8" t="s">
        <v>157</v>
      </c>
      <c r="C4960" s="8" t="str">
        <f>IFERROR(_xlfn.XLOOKUP(TRIM(B4960),Lookup!$B$2:$B$1000,Lookup!$C$2:$C$1000),"")</f>
        <v>Equity</v>
      </c>
      <c r="D4960" s="8" t="str">
        <f>IFERROR(INDEX('nav master'!$C:$C, MATCH(B4960, 'nav master'!$B:$B, 0)), "")</f>
        <v>ULIF07828/02/25Alpha300Fd101</v>
      </c>
      <c r="E4960" s="8" t="s">
        <v>393</v>
      </c>
      <c r="F4960" s="8" t="s">
        <v>3040</v>
      </c>
    </row>
    <row r="4961" spans="1:6" ht="60" x14ac:dyDescent="0.25">
      <c r="A4961" s="8" t="s">
        <v>125</v>
      </c>
      <c r="B4961" s="8" t="s">
        <v>157</v>
      </c>
      <c r="C4961" s="8" t="str">
        <f>IFERROR(_xlfn.XLOOKUP(TRIM(B4961),Lookup!$B$2:$B$1000,Lookup!$C$2:$C$1000),"")</f>
        <v>Equity</v>
      </c>
      <c r="D4961" s="8" t="str">
        <f>IFERROR(INDEX('nav master'!$C:$C, MATCH(B4961, 'nav master'!$B:$B, 0)), "")</f>
        <v>ULIF07828/02/25Alpha300Fd101</v>
      </c>
      <c r="E4961" s="8" t="s">
        <v>395</v>
      </c>
      <c r="F4961" s="8" t="s">
        <v>3041</v>
      </c>
    </row>
    <row r="4962" spans="1:6" ht="60" x14ac:dyDescent="0.25">
      <c r="A4962" s="8" t="s">
        <v>125</v>
      </c>
      <c r="B4962" s="8" t="s">
        <v>157</v>
      </c>
      <c r="C4962" s="8" t="str">
        <f>IFERROR(_xlfn.XLOOKUP(TRIM(B4962),Lookup!$B$2:$B$1000,Lookup!$C$2:$C$1000),"")</f>
        <v>Equity</v>
      </c>
      <c r="D4962" s="8" t="str">
        <f>IFERROR(INDEX('nav master'!$C:$C, MATCH(B4962, 'nav master'!$B:$B, 0)), "")</f>
        <v>ULIF07828/02/25Alpha300Fd101</v>
      </c>
      <c r="E4962" s="8" t="s">
        <v>397</v>
      </c>
      <c r="F4962" s="8" t="s">
        <v>3042</v>
      </c>
    </row>
    <row r="4963" spans="1:6" ht="60" x14ac:dyDescent="0.25">
      <c r="A4963" s="8" t="s">
        <v>125</v>
      </c>
      <c r="B4963" s="8" t="s">
        <v>157</v>
      </c>
      <c r="C4963" s="8" t="str">
        <f>IFERROR(_xlfn.XLOOKUP(TRIM(B4963),Lookup!$B$2:$B$1000,Lookup!$C$2:$C$1000),"")</f>
        <v>Equity</v>
      </c>
      <c r="D4963" s="8" t="str">
        <f>IFERROR(INDEX('nav master'!$C:$C, MATCH(B4963, 'nav master'!$B:$B, 0)), "")</f>
        <v>ULIF07828/02/25Alpha300Fd101</v>
      </c>
      <c r="E4963" s="8" t="s">
        <v>399</v>
      </c>
      <c r="F4963" s="8" t="s">
        <v>3043</v>
      </c>
    </row>
    <row r="4964" spans="1:6" ht="60" x14ac:dyDescent="0.25">
      <c r="A4964" s="8" t="s">
        <v>125</v>
      </c>
      <c r="B4964" s="8" t="s">
        <v>157</v>
      </c>
      <c r="C4964" s="8" t="str">
        <f>IFERROR(_xlfn.XLOOKUP(TRIM(B4964),Lookup!$B$2:$B$1000,Lookup!$C$2:$C$1000),"")</f>
        <v>Equity</v>
      </c>
      <c r="D4964" s="8" t="str">
        <f>IFERROR(INDEX('nav master'!$C:$C, MATCH(B4964, 'nav master'!$B:$B, 0)), "")</f>
        <v>ULIF07828/02/25Alpha300Fd101</v>
      </c>
      <c r="E4964" s="8" t="s">
        <v>401</v>
      </c>
      <c r="F4964" s="8" t="s">
        <v>3044</v>
      </c>
    </row>
    <row r="4965" spans="1:6" ht="60" x14ac:dyDescent="0.25">
      <c r="A4965" s="8" t="s">
        <v>125</v>
      </c>
      <c r="B4965" s="8" t="s">
        <v>157</v>
      </c>
      <c r="C4965" s="8" t="str">
        <f>IFERROR(_xlfn.XLOOKUP(TRIM(B4965),Lookup!$B$2:$B$1000,Lookup!$C$2:$C$1000),"")</f>
        <v>Equity</v>
      </c>
      <c r="D4965" s="8" t="str">
        <f>IFERROR(INDEX('nav master'!$C:$C, MATCH(B4965, 'nav master'!$B:$B, 0)), "")</f>
        <v>ULIF07828/02/25Alpha300Fd101</v>
      </c>
      <c r="E4965" s="8" t="s">
        <v>403</v>
      </c>
      <c r="F4965" s="8" t="s">
        <v>3045</v>
      </c>
    </row>
    <row r="4966" spans="1:6" ht="60" x14ac:dyDescent="0.25">
      <c r="A4966" s="8" t="s">
        <v>125</v>
      </c>
      <c r="B4966" s="8" t="s">
        <v>157</v>
      </c>
      <c r="C4966" s="8" t="str">
        <f>IFERROR(_xlfn.XLOOKUP(TRIM(B4966),Lookup!$B$2:$B$1000,Lookup!$C$2:$C$1000),"")</f>
        <v>Equity</v>
      </c>
      <c r="D4966" s="8" t="str">
        <f>IFERROR(INDEX('nav master'!$C:$C, MATCH(B4966, 'nav master'!$B:$B, 0)), "")</f>
        <v>ULIF07828/02/25Alpha300Fd101</v>
      </c>
      <c r="E4966" s="8" t="s">
        <v>405</v>
      </c>
      <c r="F4966" s="8" t="s">
        <v>3046</v>
      </c>
    </row>
    <row r="4967" spans="1:6" ht="60" x14ac:dyDescent="0.25">
      <c r="A4967" s="8" t="s">
        <v>125</v>
      </c>
      <c r="B4967" s="8" t="s">
        <v>157</v>
      </c>
      <c r="C4967" s="8" t="str">
        <f>IFERROR(_xlfn.XLOOKUP(TRIM(B4967),Lookup!$B$2:$B$1000,Lookup!$C$2:$C$1000),"")</f>
        <v>Equity</v>
      </c>
      <c r="D4967" s="8" t="str">
        <f>IFERROR(INDEX('nav master'!$C:$C, MATCH(B4967, 'nav master'!$B:$B, 0)), "")</f>
        <v>ULIF07828/02/25Alpha300Fd101</v>
      </c>
      <c r="E4967" s="8" t="s">
        <v>407</v>
      </c>
      <c r="F4967" s="8" t="s">
        <v>3047</v>
      </c>
    </row>
    <row r="4968" spans="1:6" ht="60" x14ac:dyDescent="0.25">
      <c r="A4968" s="8" t="s">
        <v>125</v>
      </c>
      <c r="B4968" s="8" t="s">
        <v>157</v>
      </c>
      <c r="C4968" s="8" t="str">
        <f>IFERROR(_xlfn.XLOOKUP(TRIM(B4968),Lookup!$B$2:$B$1000,Lookup!$C$2:$C$1000),"")</f>
        <v>Equity</v>
      </c>
      <c r="D4968" s="8" t="str">
        <f>IFERROR(INDEX('nav master'!$C:$C, MATCH(B4968, 'nav master'!$B:$B, 0)), "")</f>
        <v>ULIF07828/02/25Alpha300Fd101</v>
      </c>
      <c r="E4968" s="8" t="s">
        <v>409</v>
      </c>
      <c r="F4968" s="8" t="s">
        <v>3048</v>
      </c>
    </row>
    <row r="4969" spans="1:6" ht="60" x14ac:dyDescent="0.25">
      <c r="A4969" s="8" t="s">
        <v>125</v>
      </c>
      <c r="B4969" s="8" t="s">
        <v>157</v>
      </c>
      <c r="C4969" s="8" t="str">
        <f>IFERROR(_xlfn.XLOOKUP(TRIM(B4969),Lookup!$B$2:$B$1000,Lookup!$C$2:$C$1000),"")</f>
        <v>Equity</v>
      </c>
      <c r="D4969" s="8" t="str">
        <f>IFERROR(INDEX('nav master'!$C:$C, MATCH(B4969, 'nav master'!$B:$B, 0)), "")</f>
        <v>ULIF07828/02/25Alpha300Fd101</v>
      </c>
      <c r="E4969" s="8" t="s">
        <v>411</v>
      </c>
      <c r="F4969" s="8" t="s">
        <v>3049</v>
      </c>
    </row>
    <row r="4970" spans="1:6" ht="60" x14ac:dyDescent="0.25">
      <c r="A4970" s="8" t="s">
        <v>125</v>
      </c>
      <c r="B4970" s="8" t="s">
        <v>157</v>
      </c>
      <c r="C4970" s="8" t="str">
        <f>IFERROR(_xlfn.XLOOKUP(TRIM(B4970),Lookup!$B$2:$B$1000,Lookup!$C$2:$C$1000),"")</f>
        <v>Equity</v>
      </c>
      <c r="D4970" s="8" t="str">
        <f>IFERROR(INDEX('nav master'!$C:$C, MATCH(B4970, 'nav master'!$B:$B, 0)), "")</f>
        <v>ULIF07828/02/25Alpha300Fd101</v>
      </c>
      <c r="E4970" s="8" t="s">
        <v>413</v>
      </c>
      <c r="F4970" s="8" t="s">
        <v>3050</v>
      </c>
    </row>
    <row r="4971" spans="1:6" ht="60" x14ac:dyDescent="0.25">
      <c r="A4971" s="8" t="s">
        <v>125</v>
      </c>
      <c r="B4971" s="8" t="s">
        <v>157</v>
      </c>
      <c r="C4971" s="8" t="str">
        <f>IFERROR(_xlfn.XLOOKUP(TRIM(B4971),Lookup!$B$2:$B$1000,Lookup!$C$2:$C$1000),"")</f>
        <v>Equity</v>
      </c>
      <c r="D4971" s="8" t="str">
        <f>IFERROR(INDEX('nav master'!$C:$C, MATCH(B4971, 'nav master'!$B:$B, 0)), "")</f>
        <v>ULIF07828/02/25Alpha300Fd101</v>
      </c>
      <c r="E4971" s="8" t="s">
        <v>415</v>
      </c>
      <c r="F4971" s="8" t="s">
        <v>3051</v>
      </c>
    </row>
    <row r="4972" spans="1:6" ht="60" x14ac:dyDescent="0.25">
      <c r="A4972" s="8" t="s">
        <v>125</v>
      </c>
      <c r="B4972" s="8" t="s">
        <v>157</v>
      </c>
      <c r="C4972" s="8" t="str">
        <f>IFERROR(_xlfn.XLOOKUP(TRIM(B4972),Lookup!$B$2:$B$1000,Lookup!$C$2:$C$1000),"")</f>
        <v>Equity</v>
      </c>
      <c r="D4972" s="8" t="str">
        <f>IFERROR(INDEX('nav master'!$C:$C, MATCH(B4972, 'nav master'!$B:$B, 0)), "")</f>
        <v>ULIF07828/02/25Alpha300Fd101</v>
      </c>
      <c r="E4972" s="8" t="s">
        <v>417</v>
      </c>
      <c r="F4972" s="8" t="s">
        <v>3052</v>
      </c>
    </row>
    <row r="4973" spans="1:6" ht="60" x14ac:dyDescent="0.25">
      <c r="A4973" s="8" t="s">
        <v>125</v>
      </c>
      <c r="B4973" s="8" t="s">
        <v>157</v>
      </c>
      <c r="C4973" s="8" t="str">
        <f>IFERROR(_xlfn.XLOOKUP(TRIM(B4973),Lookup!$B$2:$B$1000,Lookup!$C$2:$C$1000),"")</f>
        <v>Equity</v>
      </c>
      <c r="D4973" s="8" t="str">
        <f>IFERROR(INDEX('nav master'!$C:$C, MATCH(B4973, 'nav master'!$B:$B, 0)), "")</f>
        <v>ULIF07828/02/25Alpha300Fd101</v>
      </c>
      <c r="E4973" s="8" t="s">
        <v>419</v>
      </c>
      <c r="F4973" s="8" t="s">
        <v>3053</v>
      </c>
    </row>
    <row r="4974" spans="1:6" ht="60" x14ac:dyDescent="0.25">
      <c r="A4974" s="8" t="s">
        <v>125</v>
      </c>
      <c r="B4974" s="8" t="s">
        <v>157</v>
      </c>
      <c r="C4974" s="8" t="str">
        <f>IFERROR(_xlfn.XLOOKUP(TRIM(B4974),Lookup!$B$2:$B$1000,Lookup!$C$2:$C$1000),"")</f>
        <v>Equity</v>
      </c>
      <c r="D4974" s="8" t="str">
        <f>IFERROR(INDEX('nav master'!$C:$C, MATCH(B4974, 'nav master'!$B:$B, 0)), "")</f>
        <v>ULIF07828/02/25Alpha300Fd101</v>
      </c>
      <c r="E4974" s="8" t="s">
        <v>421</v>
      </c>
      <c r="F4974" s="8" t="s">
        <v>3054</v>
      </c>
    </row>
    <row r="4975" spans="1:6" ht="60" x14ac:dyDescent="0.25">
      <c r="A4975" s="8" t="s">
        <v>125</v>
      </c>
      <c r="B4975" s="8" t="s">
        <v>157</v>
      </c>
      <c r="C4975" s="8" t="str">
        <f>IFERROR(_xlfn.XLOOKUP(TRIM(B4975),Lookup!$B$2:$B$1000,Lookup!$C$2:$C$1000),"")</f>
        <v>Equity</v>
      </c>
      <c r="D4975" s="8" t="str">
        <f>IFERROR(INDEX('nav master'!$C:$C, MATCH(B4975, 'nav master'!$B:$B, 0)), "")</f>
        <v>ULIF07828/02/25Alpha300Fd101</v>
      </c>
      <c r="E4975" s="8" t="s">
        <v>423</v>
      </c>
      <c r="F4975" s="8" t="s">
        <v>3055</v>
      </c>
    </row>
    <row r="4976" spans="1:6" ht="60" x14ac:dyDescent="0.25">
      <c r="A4976" s="8" t="s">
        <v>125</v>
      </c>
      <c r="B4976" s="8" t="s">
        <v>157</v>
      </c>
      <c r="C4976" s="8" t="str">
        <f>IFERROR(_xlfn.XLOOKUP(TRIM(B4976),Lookup!$B$2:$B$1000,Lookup!$C$2:$C$1000),"")</f>
        <v>Equity</v>
      </c>
      <c r="D4976" s="8" t="str">
        <f>IFERROR(INDEX('nav master'!$C:$C, MATCH(B4976, 'nav master'!$B:$B, 0)), "")</f>
        <v>ULIF07828/02/25Alpha300Fd101</v>
      </c>
      <c r="E4976" s="8" t="s">
        <v>425</v>
      </c>
      <c r="F4976" s="8" t="s">
        <v>3056</v>
      </c>
    </row>
    <row r="4977" spans="1:6" ht="60" x14ac:dyDescent="0.25">
      <c r="A4977" s="8" t="s">
        <v>125</v>
      </c>
      <c r="B4977" s="8" t="s">
        <v>157</v>
      </c>
      <c r="C4977" s="8" t="str">
        <f>IFERROR(_xlfn.XLOOKUP(TRIM(B4977),Lookup!$B$2:$B$1000,Lookup!$C$2:$C$1000),"")</f>
        <v>Equity</v>
      </c>
      <c r="D4977" s="8" t="str">
        <f>IFERROR(INDEX('nav master'!$C:$C, MATCH(B4977, 'nav master'!$B:$B, 0)), "")</f>
        <v>ULIF07828/02/25Alpha300Fd101</v>
      </c>
      <c r="E4977" s="8" t="s">
        <v>427</v>
      </c>
      <c r="F4977" s="8" t="s">
        <v>3057</v>
      </c>
    </row>
    <row r="4978" spans="1:6" ht="60" x14ac:dyDescent="0.25">
      <c r="A4978" s="8" t="s">
        <v>125</v>
      </c>
      <c r="B4978" s="8" t="s">
        <v>157</v>
      </c>
      <c r="C4978" s="8" t="str">
        <f>IFERROR(_xlfn.XLOOKUP(TRIM(B4978),Lookup!$B$2:$B$1000,Lookup!$C$2:$C$1000),"")</f>
        <v>Equity</v>
      </c>
      <c r="D4978" s="8" t="str">
        <f>IFERROR(INDEX('nav master'!$C:$C, MATCH(B4978, 'nav master'!$B:$B, 0)), "")</f>
        <v>ULIF07828/02/25Alpha300Fd101</v>
      </c>
      <c r="E4978" s="8" t="s">
        <v>429</v>
      </c>
      <c r="F4978" s="8" t="s">
        <v>3058</v>
      </c>
    </row>
    <row r="4979" spans="1:6" ht="60" x14ac:dyDescent="0.25">
      <c r="A4979" s="8" t="s">
        <v>125</v>
      </c>
      <c r="B4979" s="8" t="s">
        <v>157</v>
      </c>
      <c r="C4979" s="8" t="str">
        <f>IFERROR(_xlfn.XLOOKUP(TRIM(B4979),Lookup!$B$2:$B$1000,Lookup!$C$2:$C$1000),"")</f>
        <v>Equity</v>
      </c>
      <c r="D4979" s="8" t="str">
        <f>IFERROR(INDEX('nav master'!$C:$C, MATCH(B4979, 'nav master'!$B:$B, 0)), "")</f>
        <v>ULIF07828/02/25Alpha300Fd101</v>
      </c>
      <c r="E4979" s="8" t="s">
        <v>431</v>
      </c>
      <c r="F4979" s="8" t="s">
        <v>3059</v>
      </c>
    </row>
    <row r="4980" spans="1:6" ht="60" x14ac:dyDescent="0.25">
      <c r="A4980" s="8" t="s">
        <v>125</v>
      </c>
      <c r="B4980" s="8" t="s">
        <v>157</v>
      </c>
      <c r="C4980" s="8" t="str">
        <f>IFERROR(_xlfn.XLOOKUP(TRIM(B4980),Lookup!$B$2:$B$1000,Lookup!$C$2:$C$1000),"")</f>
        <v>Equity</v>
      </c>
      <c r="D4980" s="8" t="str">
        <f>IFERROR(INDEX('nav master'!$C:$C, MATCH(B4980, 'nav master'!$B:$B, 0)), "")</f>
        <v>ULIF07828/02/25Alpha300Fd101</v>
      </c>
      <c r="E4980" s="8" t="s">
        <v>433</v>
      </c>
      <c r="F4980" s="8" t="s">
        <v>3060</v>
      </c>
    </row>
    <row r="4981" spans="1:6" ht="60" x14ac:dyDescent="0.25">
      <c r="A4981" s="8" t="s">
        <v>125</v>
      </c>
      <c r="B4981" s="8" t="s">
        <v>157</v>
      </c>
      <c r="C4981" s="8" t="str">
        <f>IFERROR(_xlfn.XLOOKUP(TRIM(B4981),Lookup!$B$2:$B$1000,Lookup!$C$2:$C$1000),"")</f>
        <v>Equity</v>
      </c>
      <c r="D4981" s="8" t="str">
        <f>IFERROR(INDEX('nav master'!$C:$C, MATCH(B4981, 'nav master'!$B:$B, 0)), "")</f>
        <v>ULIF07828/02/25Alpha300Fd101</v>
      </c>
      <c r="E4981" s="8" t="s">
        <v>435</v>
      </c>
      <c r="F4981" s="8" t="s">
        <v>3061</v>
      </c>
    </row>
    <row r="4982" spans="1:6" ht="60" x14ac:dyDescent="0.25">
      <c r="A4982" s="8" t="s">
        <v>125</v>
      </c>
      <c r="B4982" s="8" t="s">
        <v>157</v>
      </c>
      <c r="C4982" s="8" t="str">
        <f>IFERROR(_xlfn.XLOOKUP(TRIM(B4982),Lookup!$B$2:$B$1000,Lookup!$C$2:$C$1000),"")</f>
        <v>Equity</v>
      </c>
      <c r="D4982" s="8" t="str">
        <f>IFERROR(INDEX('nav master'!$C:$C, MATCH(B4982, 'nav master'!$B:$B, 0)), "")</f>
        <v>ULIF07828/02/25Alpha300Fd101</v>
      </c>
      <c r="E4982" s="8" t="s">
        <v>437</v>
      </c>
      <c r="F4982" s="8" t="s">
        <v>3062</v>
      </c>
    </row>
    <row r="4983" spans="1:6" ht="60" x14ac:dyDescent="0.25">
      <c r="A4983" s="8" t="s">
        <v>125</v>
      </c>
      <c r="B4983" s="8" t="s">
        <v>157</v>
      </c>
      <c r="C4983" s="8" t="str">
        <f>IFERROR(_xlfn.XLOOKUP(TRIM(B4983),Lookup!$B$2:$B$1000,Lookup!$C$2:$C$1000),"")</f>
        <v>Equity</v>
      </c>
      <c r="D4983" s="8" t="str">
        <f>IFERROR(INDEX('nav master'!$C:$C, MATCH(B4983, 'nav master'!$B:$B, 0)), "")</f>
        <v>ULIF07828/02/25Alpha300Fd101</v>
      </c>
      <c r="E4983" s="8" t="s">
        <v>439</v>
      </c>
      <c r="F4983" s="8" t="s">
        <v>3063</v>
      </c>
    </row>
    <row r="4984" spans="1:6" ht="60" x14ac:dyDescent="0.25">
      <c r="A4984" s="8" t="s">
        <v>125</v>
      </c>
      <c r="B4984" s="8" t="s">
        <v>157</v>
      </c>
      <c r="C4984" s="8" t="str">
        <f>IFERROR(_xlfn.XLOOKUP(TRIM(B4984),Lookup!$B$2:$B$1000,Lookup!$C$2:$C$1000),"")</f>
        <v>Equity</v>
      </c>
      <c r="D4984" s="8" t="str">
        <f>IFERROR(INDEX('nav master'!$C:$C, MATCH(B4984, 'nav master'!$B:$B, 0)), "")</f>
        <v>ULIF07828/02/25Alpha300Fd101</v>
      </c>
      <c r="E4984" s="8" t="s">
        <v>441</v>
      </c>
      <c r="F4984" s="8" t="s">
        <v>3064</v>
      </c>
    </row>
    <row r="4985" spans="1:6" ht="60" x14ac:dyDescent="0.25">
      <c r="A4985" s="8" t="s">
        <v>125</v>
      </c>
      <c r="B4985" s="8" t="s">
        <v>157</v>
      </c>
      <c r="C4985" s="8" t="str">
        <f>IFERROR(_xlfn.XLOOKUP(TRIM(B4985),Lookup!$B$2:$B$1000,Lookup!$C$2:$C$1000),"")</f>
        <v>Equity</v>
      </c>
      <c r="D4985" s="8" t="str">
        <f>IFERROR(INDEX('nav master'!$C:$C, MATCH(B4985, 'nav master'!$B:$B, 0)), "")</f>
        <v>ULIF07828/02/25Alpha300Fd101</v>
      </c>
      <c r="E4985" s="8" t="s">
        <v>443</v>
      </c>
      <c r="F4985" s="8" t="s">
        <v>3065</v>
      </c>
    </row>
    <row r="4986" spans="1:6" ht="60" x14ac:dyDescent="0.25">
      <c r="A4986" s="8" t="s">
        <v>125</v>
      </c>
      <c r="B4986" s="8" t="s">
        <v>157</v>
      </c>
      <c r="C4986" s="8" t="str">
        <f>IFERROR(_xlfn.XLOOKUP(TRIM(B4986),Lookup!$B$2:$B$1000,Lookup!$C$2:$C$1000),"")</f>
        <v>Equity</v>
      </c>
      <c r="D4986" s="8" t="str">
        <f>IFERROR(INDEX('nav master'!$C:$C, MATCH(B4986, 'nav master'!$B:$B, 0)), "")</f>
        <v>ULIF07828/02/25Alpha300Fd101</v>
      </c>
      <c r="E4986" s="8" t="s">
        <v>445</v>
      </c>
      <c r="F4986" s="8" t="s">
        <v>3066</v>
      </c>
    </row>
    <row r="4987" spans="1:6" ht="60" x14ac:dyDescent="0.25">
      <c r="A4987" s="8" t="s">
        <v>125</v>
      </c>
      <c r="B4987" s="8" t="s">
        <v>157</v>
      </c>
      <c r="C4987" s="8" t="str">
        <f>IFERROR(_xlfn.XLOOKUP(TRIM(B4987),Lookup!$B$2:$B$1000,Lookup!$C$2:$C$1000),"")</f>
        <v>Equity</v>
      </c>
      <c r="D4987" s="8" t="str">
        <f>IFERROR(INDEX('nav master'!$C:$C, MATCH(B4987, 'nav master'!$B:$B, 0)), "")</f>
        <v>ULIF07828/02/25Alpha300Fd101</v>
      </c>
      <c r="E4987" s="8" t="s">
        <v>446</v>
      </c>
      <c r="F4987" s="8" t="s">
        <v>3067</v>
      </c>
    </row>
    <row r="4988" spans="1:6" ht="60" x14ac:dyDescent="0.25">
      <c r="A4988" s="8" t="s">
        <v>125</v>
      </c>
      <c r="B4988" s="8" t="s">
        <v>157</v>
      </c>
      <c r="C4988" s="8" t="str">
        <f>IFERROR(_xlfn.XLOOKUP(TRIM(B4988),Lookup!$B$2:$B$1000,Lookup!$C$2:$C$1000),"")</f>
        <v>Equity</v>
      </c>
      <c r="D4988" s="8" t="str">
        <f>IFERROR(INDEX('nav master'!$C:$C, MATCH(B4988, 'nav master'!$B:$B, 0)), "")</f>
        <v>ULIF07828/02/25Alpha300Fd101</v>
      </c>
      <c r="E4988" s="8" t="s">
        <v>448</v>
      </c>
      <c r="F4988" s="8" t="s">
        <v>3068</v>
      </c>
    </row>
    <row r="4989" spans="1:6" ht="60" x14ac:dyDescent="0.25">
      <c r="A4989" s="8" t="s">
        <v>125</v>
      </c>
      <c r="B4989" s="8" t="s">
        <v>157</v>
      </c>
      <c r="C4989" s="8" t="str">
        <f>IFERROR(_xlfn.XLOOKUP(TRIM(B4989),Lookup!$B$2:$B$1000,Lookup!$C$2:$C$1000),"")</f>
        <v>Equity</v>
      </c>
      <c r="D4989" s="8" t="str">
        <f>IFERROR(INDEX('nav master'!$C:$C, MATCH(B4989, 'nav master'!$B:$B, 0)), "")</f>
        <v>ULIF07828/02/25Alpha300Fd101</v>
      </c>
      <c r="E4989" s="8" t="s">
        <v>450</v>
      </c>
      <c r="F4989" s="8" t="s">
        <v>3069</v>
      </c>
    </row>
    <row r="4990" spans="1:6" ht="60" x14ac:dyDescent="0.25">
      <c r="A4990" s="8" t="s">
        <v>125</v>
      </c>
      <c r="B4990" s="8" t="s">
        <v>157</v>
      </c>
      <c r="C4990" s="8" t="str">
        <f>IFERROR(_xlfn.XLOOKUP(TRIM(B4990),Lookup!$B$2:$B$1000,Lookup!$C$2:$C$1000),"")</f>
        <v>Equity</v>
      </c>
      <c r="D4990" s="8" t="str">
        <f>IFERROR(INDEX('nav master'!$C:$C, MATCH(B4990, 'nav master'!$B:$B, 0)), "")</f>
        <v>ULIF07828/02/25Alpha300Fd101</v>
      </c>
      <c r="E4990" s="8" t="s">
        <v>452</v>
      </c>
      <c r="F4990" s="8" t="s">
        <v>3070</v>
      </c>
    </row>
    <row r="4991" spans="1:6" ht="60" x14ac:dyDescent="0.25">
      <c r="A4991" s="8" t="s">
        <v>125</v>
      </c>
      <c r="B4991" s="8" t="s">
        <v>157</v>
      </c>
      <c r="C4991" s="8" t="str">
        <f>IFERROR(_xlfn.XLOOKUP(TRIM(B4991),Lookup!$B$2:$B$1000,Lookup!$C$2:$C$1000),"")</f>
        <v>Equity</v>
      </c>
      <c r="D4991" s="8" t="str">
        <f>IFERROR(INDEX('nav master'!$C:$C, MATCH(B4991, 'nav master'!$B:$B, 0)), "")</f>
        <v>ULIF07828/02/25Alpha300Fd101</v>
      </c>
      <c r="E4991" s="8" t="s">
        <v>454</v>
      </c>
      <c r="F4991" s="8" t="s">
        <v>3071</v>
      </c>
    </row>
    <row r="4992" spans="1:6" ht="60" x14ac:dyDescent="0.25">
      <c r="A4992" s="8" t="s">
        <v>125</v>
      </c>
      <c r="B4992" s="8" t="s">
        <v>157</v>
      </c>
      <c r="C4992" s="8" t="str">
        <f>IFERROR(_xlfn.XLOOKUP(TRIM(B4992),Lookup!$B$2:$B$1000,Lookup!$C$2:$C$1000),"")</f>
        <v>Equity</v>
      </c>
      <c r="D4992" s="8" t="str">
        <f>IFERROR(INDEX('nav master'!$C:$C, MATCH(B4992, 'nav master'!$B:$B, 0)), "")</f>
        <v>ULIF07828/02/25Alpha300Fd101</v>
      </c>
      <c r="E4992" s="8" t="s">
        <v>456</v>
      </c>
      <c r="F4992" s="8" t="s">
        <v>3072</v>
      </c>
    </row>
    <row r="4993" spans="1:6" ht="60" x14ac:dyDescent="0.25">
      <c r="A4993" s="8" t="s">
        <v>125</v>
      </c>
      <c r="B4993" s="8" t="s">
        <v>157</v>
      </c>
      <c r="C4993" s="8" t="str">
        <f>IFERROR(_xlfn.XLOOKUP(TRIM(B4993),Lookup!$B$2:$B$1000,Lookup!$C$2:$C$1000),"")</f>
        <v>Equity</v>
      </c>
      <c r="D4993" s="8" t="str">
        <f>IFERROR(INDEX('nav master'!$C:$C, MATCH(B4993, 'nav master'!$B:$B, 0)), "")</f>
        <v>ULIF07828/02/25Alpha300Fd101</v>
      </c>
      <c r="E4993" s="8" t="s">
        <v>458</v>
      </c>
      <c r="F4993" s="8" t="s">
        <v>3073</v>
      </c>
    </row>
    <row r="4994" spans="1:6" ht="60" x14ac:dyDescent="0.25">
      <c r="A4994" s="8" t="s">
        <v>125</v>
      </c>
      <c r="B4994" s="8" t="s">
        <v>157</v>
      </c>
      <c r="C4994" s="8" t="str">
        <f>IFERROR(_xlfn.XLOOKUP(TRIM(B4994),Lookup!$B$2:$B$1000,Lookup!$C$2:$C$1000),"")</f>
        <v>Equity</v>
      </c>
      <c r="D4994" s="8" t="str">
        <f>IFERROR(INDEX('nav master'!$C:$C, MATCH(B4994, 'nav master'!$B:$B, 0)), "")</f>
        <v>ULIF07828/02/25Alpha300Fd101</v>
      </c>
      <c r="E4994" s="8" t="s">
        <v>460</v>
      </c>
      <c r="F4994" s="8" t="s">
        <v>3074</v>
      </c>
    </row>
    <row r="4995" spans="1:6" ht="60" x14ac:dyDescent="0.25">
      <c r="A4995" s="8" t="s">
        <v>125</v>
      </c>
      <c r="B4995" s="8" t="s">
        <v>157</v>
      </c>
      <c r="C4995" s="8" t="str">
        <f>IFERROR(_xlfn.XLOOKUP(TRIM(B4995),Lookup!$B$2:$B$1000,Lookup!$C$2:$C$1000),"")</f>
        <v>Equity</v>
      </c>
      <c r="D4995" s="8" t="str">
        <f>IFERROR(INDEX('nav master'!$C:$C, MATCH(B4995, 'nav master'!$B:$B, 0)), "")</f>
        <v>ULIF07828/02/25Alpha300Fd101</v>
      </c>
      <c r="E4995" s="8" t="s">
        <v>462</v>
      </c>
      <c r="F4995" s="8" t="s">
        <v>3075</v>
      </c>
    </row>
    <row r="4996" spans="1:6" ht="60" x14ac:dyDescent="0.25">
      <c r="A4996" s="8" t="s">
        <v>125</v>
      </c>
      <c r="B4996" s="8" t="s">
        <v>157</v>
      </c>
      <c r="C4996" s="8" t="str">
        <f>IFERROR(_xlfn.XLOOKUP(TRIM(B4996),Lookup!$B$2:$B$1000,Lookup!$C$2:$C$1000),"")</f>
        <v>Equity</v>
      </c>
      <c r="D4996" s="8" t="str">
        <f>IFERROR(INDEX('nav master'!$C:$C, MATCH(B4996, 'nav master'!$B:$B, 0)), "")</f>
        <v>ULIF07828/02/25Alpha300Fd101</v>
      </c>
      <c r="E4996" s="8" t="s">
        <v>464</v>
      </c>
      <c r="F4996" s="8" t="s">
        <v>3076</v>
      </c>
    </row>
    <row r="4997" spans="1:6" ht="60" x14ac:dyDescent="0.25">
      <c r="A4997" s="8" t="s">
        <v>125</v>
      </c>
      <c r="B4997" s="8" t="s">
        <v>157</v>
      </c>
      <c r="C4997" s="8" t="str">
        <f>IFERROR(_xlfn.XLOOKUP(TRIM(B4997),Lookup!$B$2:$B$1000,Lookup!$C$2:$C$1000),"")</f>
        <v>Equity</v>
      </c>
      <c r="D4997" s="8" t="str">
        <f>IFERROR(INDEX('nav master'!$C:$C, MATCH(B4997, 'nav master'!$B:$B, 0)), "")</f>
        <v>ULIF07828/02/25Alpha300Fd101</v>
      </c>
      <c r="E4997" s="8" t="s">
        <v>466</v>
      </c>
      <c r="F4997" s="8" t="s">
        <v>3077</v>
      </c>
    </row>
    <row r="4998" spans="1:6" ht="60" x14ac:dyDescent="0.25">
      <c r="A4998" s="8" t="s">
        <v>125</v>
      </c>
      <c r="B4998" s="8" t="s">
        <v>157</v>
      </c>
      <c r="C4998" s="8" t="str">
        <f>IFERROR(_xlfn.XLOOKUP(TRIM(B4998),Lookup!$B$2:$B$1000,Lookup!$C$2:$C$1000),"")</f>
        <v>Equity</v>
      </c>
      <c r="D4998" s="8" t="str">
        <f>IFERROR(INDEX('nav master'!$C:$C, MATCH(B4998, 'nav master'!$B:$B, 0)), "")</f>
        <v>ULIF07828/02/25Alpha300Fd101</v>
      </c>
      <c r="E4998" s="8" t="s">
        <v>468</v>
      </c>
      <c r="F4998" s="8" t="s">
        <v>3078</v>
      </c>
    </row>
    <row r="4999" spans="1:6" ht="60" x14ac:dyDescent="0.25">
      <c r="A4999" s="8" t="s">
        <v>125</v>
      </c>
      <c r="B4999" s="8" t="s">
        <v>157</v>
      </c>
      <c r="C4999" s="8" t="str">
        <f>IFERROR(_xlfn.XLOOKUP(TRIM(B4999),Lookup!$B$2:$B$1000,Lookup!$C$2:$C$1000),"")</f>
        <v>Equity</v>
      </c>
      <c r="D4999" s="8" t="str">
        <f>IFERROR(INDEX('nav master'!$C:$C, MATCH(B4999, 'nav master'!$B:$B, 0)), "")</f>
        <v>ULIF07828/02/25Alpha300Fd101</v>
      </c>
      <c r="E4999" s="8" t="s">
        <v>470</v>
      </c>
      <c r="F4999" s="8" t="s">
        <v>3079</v>
      </c>
    </row>
    <row r="5000" spans="1:6" ht="60" x14ac:dyDescent="0.25">
      <c r="A5000" s="8" t="s">
        <v>125</v>
      </c>
      <c r="B5000" s="8" t="s">
        <v>157</v>
      </c>
      <c r="C5000" s="8" t="str">
        <f>IFERROR(_xlfn.XLOOKUP(TRIM(B5000),Lookup!$B$2:$B$1000,Lookup!$C$2:$C$1000),"")</f>
        <v>Equity</v>
      </c>
      <c r="D5000" s="8" t="str">
        <f>IFERROR(INDEX('nav master'!$C:$C, MATCH(B5000, 'nav master'!$B:$B, 0)), "")</f>
        <v>ULIF07828/02/25Alpha300Fd101</v>
      </c>
      <c r="E5000" s="8" t="s">
        <v>472</v>
      </c>
      <c r="F5000" s="8" t="s">
        <v>3080</v>
      </c>
    </row>
    <row r="5001" spans="1:6" ht="60" x14ac:dyDescent="0.25">
      <c r="A5001" s="8" t="s">
        <v>125</v>
      </c>
      <c r="B5001" s="8" t="s">
        <v>157</v>
      </c>
      <c r="C5001" s="8" t="str">
        <f>IFERROR(_xlfn.XLOOKUP(TRIM(B5001),Lookup!$B$2:$B$1000,Lookup!$C$2:$C$1000),"")</f>
        <v>Equity</v>
      </c>
      <c r="D5001" s="8" t="str">
        <f>IFERROR(INDEX('nav master'!$C:$C, MATCH(B5001, 'nav master'!$B:$B, 0)), "")</f>
        <v>ULIF07828/02/25Alpha300Fd101</v>
      </c>
      <c r="E5001" s="8" t="s">
        <v>474</v>
      </c>
      <c r="F5001" s="8" t="s">
        <v>3081</v>
      </c>
    </row>
    <row r="5002" spans="1:6" ht="60" x14ac:dyDescent="0.25">
      <c r="A5002" s="8" t="s">
        <v>125</v>
      </c>
      <c r="B5002" s="8" t="s">
        <v>157</v>
      </c>
      <c r="C5002" s="8" t="str">
        <f>IFERROR(_xlfn.XLOOKUP(TRIM(B5002),Lookup!$B$2:$B$1000,Lookup!$C$2:$C$1000),"")</f>
        <v>Equity</v>
      </c>
      <c r="D5002" s="8" t="str">
        <f>IFERROR(INDEX('nav master'!$C:$C, MATCH(B5002, 'nav master'!$B:$B, 0)), "")</f>
        <v>ULIF07828/02/25Alpha300Fd101</v>
      </c>
      <c r="E5002" s="8" t="s">
        <v>476</v>
      </c>
      <c r="F5002" s="8" t="s">
        <v>3082</v>
      </c>
    </row>
    <row r="5003" spans="1:6" ht="60" x14ac:dyDescent="0.25">
      <c r="A5003" s="8" t="s">
        <v>125</v>
      </c>
      <c r="B5003" s="8" t="s">
        <v>157</v>
      </c>
      <c r="C5003" s="8" t="str">
        <f>IFERROR(_xlfn.XLOOKUP(TRIM(B5003),Lookup!$B$2:$B$1000,Lookup!$C$2:$C$1000),"")</f>
        <v>Equity</v>
      </c>
      <c r="D5003" s="8" t="str">
        <f>IFERROR(INDEX('nav master'!$C:$C, MATCH(B5003, 'nav master'!$B:$B, 0)), "")</f>
        <v>ULIF07828/02/25Alpha300Fd101</v>
      </c>
      <c r="E5003" s="8" t="s">
        <v>478</v>
      </c>
      <c r="F5003" s="8" t="s">
        <v>3083</v>
      </c>
    </row>
    <row r="5004" spans="1:6" ht="60" x14ac:dyDescent="0.25">
      <c r="A5004" s="8" t="s">
        <v>125</v>
      </c>
      <c r="B5004" s="8" t="s">
        <v>157</v>
      </c>
      <c r="C5004" s="8" t="str">
        <f>IFERROR(_xlfn.XLOOKUP(TRIM(B5004),Lookup!$B$2:$B$1000,Lookup!$C$2:$C$1000),"")</f>
        <v>Equity</v>
      </c>
      <c r="D5004" s="8" t="str">
        <f>IFERROR(INDEX('nav master'!$C:$C, MATCH(B5004, 'nav master'!$B:$B, 0)), "")</f>
        <v>ULIF07828/02/25Alpha300Fd101</v>
      </c>
      <c r="E5004" s="8" t="s">
        <v>480</v>
      </c>
      <c r="F5004" s="8" t="s">
        <v>3084</v>
      </c>
    </row>
    <row r="5005" spans="1:6" ht="60" x14ac:dyDescent="0.25">
      <c r="A5005" s="8" t="s">
        <v>125</v>
      </c>
      <c r="B5005" s="8" t="s">
        <v>157</v>
      </c>
      <c r="C5005" s="8" t="str">
        <f>IFERROR(_xlfn.XLOOKUP(TRIM(B5005),Lookup!$B$2:$B$1000,Lookup!$C$2:$C$1000),"")</f>
        <v>Equity</v>
      </c>
      <c r="D5005" s="8" t="str">
        <f>IFERROR(INDEX('nav master'!$C:$C, MATCH(B5005, 'nav master'!$B:$B, 0)), "")</f>
        <v>ULIF07828/02/25Alpha300Fd101</v>
      </c>
      <c r="E5005" s="8" t="s">
        <v>482</v>
      </c>
      <c r="F5005" s="8" t="s">
        <v>3085</v>
      </c>
    </row>
    <row r="5006" spans="1:6" ht="60" x14ac:dyDescent="0.25">
      <c r="A5006" s="8" t="s">
        <v>125</v>
      </c>
      <c r="B5006" s="8" t="s">
        <v>157</v>
      </c>
      <c r="C5006" s="8" t="str">
        <f>IFERROR(_xlfn.XLOOKUP(TRIM(B5006),Lookup!$B$2:$B$1000,Lookup!$C$2:$C$1000),"")</f>
        <v>Equity</v>
      </c>
      <c r="D5006" s="8" t="str">
        <f>IFERROR(INDEX('nav master'!$C:$C, MATCH(B5006, 'nav master'!$B:$B, 0)), "")</f>
        <v>ULIF07828/02/25Alpha300Fd101</v>
      </c>
      <c r="E5006" s="8" t="s">
        <v>484</v>
      </c>
      <c r="F5006" s="8" t="s">
        <v>3086</v>
      </c>
    </row>
    <row r="5007" spans="1:6" ht="60" x14ac:dyDescent="0.25">
      <c r="A5007" s="8" t="s">
        <v>125</v>
      </c>
      <c r="B5007" s="8" t="s">
        <v>157</v>
      </c>
      <c r="C5007" s="8" t="str">
        <f>IFERROR(_xlfn.XLOOKUP(TRIM(B5007),Lookup!$B$2:$B$1000,Lookup!$C$2:$C$1000),"")</f>
        <v>Equity</v>
      </c>
      <c r="D5007" s="8" t="str">
        <f>IFERROR(INDEX('nav master'!$C:$C, MATCH(B5007, 'nav master'!$B:$B, 0)), "")</f>
        <v>ULIF07828/02/25Alpha300Fd101</v>
      </c>
      <c r="E5007" s="8" t="s">
        <v>486</v>
      </c>
      <c r="F5007" s="8" t="s">
        <v>3087</v>
      </c>
    </row>
    <row r="5008" spans="1:6" ht="60" x14ac:dyDescent="0.25">
      <c r="A5008" s="8" t="s">
        <v>125</v>
      </c>
      <c r="B5008" s="8" t="s">
        <v>157</v>
      </c>
      <c r="C5008" s="8" t="str">
        <f>IFERROR(_xlfn.XLOOKUP(TRIM(B5008),Lookup!$B$2:$B$1000,Lookup!$C$2:$C$1000),"")</f>
        <v>Equity</v>
      </c>
      <c r="D5008" s="8" t="str">
        <f>IFERROR(INDEX('nav master'!$C:$C, MATCH(B5008, 'nav master'!$B:$B, 0)), "")</f>
        <v>ULIF07828/02/25Alpha300Fd101</v>
      </c>
      <c r="E5008" s="8" t="s">
        <v>488</v>
      </c>
      <c r="F5008" s="8" t="s">
        <v>3088</v>
      </c>
    </row>
    <row r="5009" spans="1:6" ht="60" x14ac:dyDescent="0.25">
      <c r="A5009" s="8" t="s">
        <v>125</v>
      </c>
      <c r="B5009" s="8" t="s">
        <v>157</v>
      </c>
      <c r="C5009" s="8" t="str">
        <f>IFERROR(_xlfn.XLOOKUP(TRIM(B5009),Lookup!$B$2:$B$1000,Lookup!$C$2:$C$1000),"")</f>
        <v>Equity</v>
      </c>
      <c r="D5009" s="8" t="str">
        <f>IFERROR(INDEX('nav master'!$C:$C, MATCH(B5009, 'nav master'!$B:$B, 0)), "")</f>
        <v>ULIF07828/02/25Alpha300Fd101</v>
      </c>
      <c r="E5009" s="8" t="s">
        <v>490</v>
      </c>
      <c r="F5009" s="8" t="s">
        <v>3089</v>
      </c>
    </row>
    <row r="5010" spans="1:6" ht="60" x14ac:dyDescent="0.25">
      <c r="A5010" s="8" t="s">
        <v>125</v>
      </c>
      <c r="B5010" s="8" t="s">
        <v>157</v>
      </c>
      <c r="C5010" s="8" t="str">
        <f>IFERROR(_xlfn.XLOOKUP(TRIM(B5010),Lookup!$B$2:$B$1000,Lookup!$C$2:$C$1000),"")</f>
        <v>Equity</v>
      </c>
      <c r="D5010" s="8" t="str">
        <f>IFERROR(INDEX('nav master'!$C:$C, MATCH(B5010, 'nav master'!$B:$B, 0)), "")</f>
        <v>ULIF07828/02/25Alpha300Fd101</v>
      </c>
      <c r="E5010" s="8" t="s">
        <v>492</v>
      </c>
      <c r="F5010" s="8" t="s">
        <v>3090</v>
      </c>
    </row>
    <row r="5011" spans="1:6" ht="60" x14ac:dyDescent="0.25">
      <c r="A5011" s="8" t="s">
        <v>125</v>
      </c>
      <c r="B5011" s="8" t="s">
        <v>157</v>
      </c>
      <c r="C5011" s="8" t="str">
        <f>IFERROR(_xlfn.XLOOKUP(TRIM(B5011),Lookup!$B$2:$B$1000,Lookup!$C$2:$C$1000),"")</f>
        <v>Equity</v>
      </c>
      <c r="D5011" s="8" t="str">
        <f>IFERROR(INDEX('nav master'!$C:$C, MATCH(B5011, 'nav master'!$B:$B, 0)), "")</f>
        <v>ULIF07828/02/25Alpha300Fd101</v>
      </c>
      <c r="E5011" s="8" t="s">
        <v>494</v>
      </c>
      <c r="F5011" s="8" t="s">
        <v>3091</v>
      </c>
    </row>
    <row r="5012" spans="1:6" ht="60" x14ac:dyDescent="0.25">
      <c r="A5012" s="8" t="s">
        <v>125</v>
      </c>
      <c r="B5012" s="8" t="s">
        <v>157</v>
      </c>
      <c r="C5012" s="8" t="str">
        <f>IFERROR(_xlfn.XLOOKUP(TRIM(B5012),Lookup!$B$2:$B$1000,Lookup!$C$2:$C$1000),"")</f>
        <v>Equity</v>
      </c>
      <c r="D5012" s="8" t="str">
        <f>IFERROR(INDEX('nav master'!$C:$C, MATCH(B5012, 'nav master'!$B:$B, 0)), "")</f>
        <v>ULIF07828/02/25Alpha300Fd101</v>
      </c>
      <c r="E5012" s="8" t="s">
        <v>496</v>
      </c>
      <c r="F5012" s="8" t="s">
        <v>3092</v>
      </c>
    </row>
    <row r="5013" spans="1:6" ht="60" x14ac:dyDescent="0.25">
      <c r="A5013" s="8" t="s">
        <v>125</v>
      </c>
      <c r="B5013" s="8" t="s">
        <v>157</v>
      </c>
      <c r="C5013" s="8" t="str">
        <f>IFERROR(_xlfn.XLOOKUP(TRIM(B5013),Lookup!$B$2:$B$1000,Lookup!$C$2:$C$1000),"")</f>
        <v>Equity</v>
      </c>
      <c r="D5013" s="8" t="str">
        <f>IFERROR(INDEX('nav master'!$C:$C, MATCH(B5013, 'nav master'!$B:$B, 0)), "")</f>
        <v>ULIF07828/02/25Alpha300Fd101</v>
      </c>
      <c r="E5013" s="8" t="s">
        <v>498</v>
      </c>
      <c r="F5013" s="8" t="s">
        <v>3093</v>
      </c>
    </row>
    <row r="5014" spans="1:6" ht="60" x14ac:dyDescent="0.25">
      <c r="A5014" s="8" t="s">
        <v>125</v>
      </c>
      <c r="B5014" s="8" t="s">
        <v>157</v>
      </c>
      <c r="C5014" s="8" t="str">
        <f>IFERROR(_xlfn.XLOOKUP(TRIM(B5014),Lookup!$B$2:$B$1000,Lookup!$C$2:$C$1000),"")</f>
        <v>Equity</v>
      </c>
      <c r="D5014" s="8" t="str">
        <f>IFERROR(INDEX('nav master'!$C:$C, MATCH(B5014, 'nav master'!$B:$B, 0)), "")</f>
        <v>ULIF07828/02/25Alpha300Fd101</v>
      </c>
      <c r="E5014" s="8" t="s">
        <v>500</v>
      </c>
      <c r="F5014" s="8" t="s">
        <v>3094</v>
      </c>
    </row>
    <row r="5015" spans="1:6" ht="60" x14ac:dyDescent="0.25">
      <c r="A5015" s="8" t="s">
        <v>125</v>
      </c>
      <c r="B5015" s="8" t="s">
        <v>157</v>
      </c>
      <c r="C5015" s="8" t="str">
        <f>IFERROR(_xlfn.XLOOKUP(TRIM(B5015),Lookup!$B$2:$B$1000,Lookup!$C$2:$C$1000),"")</f>
        <v>Equity</v>
      </c>
      <c r="D5015" s="8" t="str">
        <f>IFERROR(INDEX('nav master'!$C:$C, MATCH(B5015, 'nav master'!$B:$B, 0)), "")</f>
        <v>ULIF07828/02/25Alpha300Fd101</v>
      </c>
      <c r="E5015" s="8" t="s">
        <v>502</v>
      </c>
      <c r="F5015" s="8" t="s">
        <v>3095</v>
      </c>
    </row>
    <row r="5016" spans="1:6" ht="60" x14ac:dyDescent="0.25">
      <c r="A5016" s="8" t="s">
        <v>125</v>
      </c>
      <c r="B5016" s="8" t="s">
        <v>157</v>
      </c>
      <c r="C5016" s="8" t="str">
        <f>IFERROR(_xlfn.XLOOKUP(TRIM(B5016),Lookup!$B$2:$B$1000,Lookup!$C$2:$C$1000),"")</f>
        <v>Equity</v>
      </c>
      <c r="D5016" s="8" t="str">
        <f>IFERROR(INDEX('nav master'!$C:$C, MATCH(B5016, 'nav master'!$B:$B, 0)), "")</f>
        <v>ULIF07828/02/25Alpha300Fd101</v>
      </c>
      <c r="E5016" s="8" t="s">
        <v>504</v>
      </c>
      <c r="F5016" s="8" t="s">
        <v>1179</v>
      </c>
    </row>
    <row r="5017" spans="1:6" ht="60" x14ac:dyDescent="0.25">
      <c r="A5017" s="8" t="s">
        <v>125</v>
      </c>
      <c r="B5017" s="8" t="s">
        <v>157</v>
      </c>
      <c r="C5017" s="8" t="str">
        <f>IFERROR(_xlfn.XLOOKUP(TRIM(B5017),Lookup!$B$2:$B$1000,Lookup!$C$2:$C$1000),"")</f>
        <v>Equity</v>
      </c>
      <c r="D5017" s="8" t="str">
        <f>IFERROR(INDEX('nav master'!$C:$C, MATCH(B5017, 'nav master'!$B:$B, 0)), "")</f>
        <v>ULIF07828/02/25Alpha300Fd101</v>
      </c>
      <c r="E5017" s="8" t="s">
        <v>506</v>
      </c>
      <c r="F5017" s="8" t="s">
        <v>3096</v>
      </c>
    </row>
    <row r="5018" spans="1:6" ht="60" x14ac:dyDescent="0.25">
      <c r="A5018" s="8" t="s">
        <v>125</v>
      </c>
      <c r="B5018" s="8" t="s">
        <v>157</v>
      </c>
      <c r="C5018" s="8" t="str">
        <f>IFERROR(_xlfn.XLOOKUP(TRIM(B5018),Lookup!$B$2:$B$1000,Lookup!$C$2:$C$1000),"")</f>
        <v>Equity</v>
      </c>
      <c r="D5018" s="8" t="str">
        <f>IFERROR(INDEX('nav master'!$C:$C, MATCH(B5018, 'nav master'!$B:$B, 0)), "")</f>
        <v>ULIF07828/02/25Alpha300Fd101</v>
      </c>
      <c r="E5018" s="8" t="s">
        <v>508</v>
      </c>
      <c r="F5018" s="8" t="s">
        <v>1455</v>
      </c>
    </row>
    <row r="5019" spans="1:6" ht="60" x14ac:dyDescent="0.25">
      <c r="A5019" s="8" t="s">
        <v>125</v>
      </c>
      <c r="B5019" s="8" t="s">
        <v>157</v>
      </c>
      <c r="C5019" s="8" t="str">
        <f>IFERROR(_xlfn.XLOOKUP(TRIM(B5019),Lookup!$B$2:$B$1000,Lookup!$C$2:$C$1000),"")</f>
        <v>Equity</v>
      </c>
      <c r="D5019" s="8" t="str">
        <f>IFERROR(INDEX('nav master'!$C:$C, MATCH(B5019, 'nav master'!$B:$B, 0)), "")</f>
        <v>ULIF07828/02/25Alpha300Fd101</v>
      </c>
      <c r="E5019" s="8" t="s">
        <v>510</v>
      </c>
      <c r="F5019" s="8" t="s">
        <v>3097</v>
      </c>
    </row>
    <row r="5020" spans="1:6" ht="60" x14ac:dyDescent="0.25">
      <c r="A5020" s="8" t="s">
        <v>125</v>
      </c>
      <c r="B5020" s="8" t="s">
        <v>157</v>
      </c>
      <c r="C5020" s="8" t="str">
        <f>IFERROR(_xlfn.XLOOKUP(TRIM(B5020),Lookup!$B$2:$B$1000,Lookup!$C$2:$C$1000),"")</f>
        <v>Equity</v>
      </c>
      <c r="D5020" s="8" t="str">
        <f>IFERROR(INDEX('nav master'!$C:$C, MATCH(B5020, 'nav master'!$B:$B, 0)), "")</f>
        <v>ULIF07828/02/25Alpha300Fd101</v>
      </c>
      <c r="E5020" s="8" t="s">
        <v>512</v>
      </c>
      <c r="F5020" s="8" t="s">
        <v>3098</v>
      </c>
    </row>
    <row r="5021" spans="1:6" ht="60" x14ac:dyDescent="0.25">
      <c r="A5021" s="8" t="s">
        <v>125</v>
      </c>
      <c r="B5021" s="8" t="s">
        <v>157</v>
      </c>
      <c r="C5021" s="8" t="str">
        <f>IFERROR(_xlfn.XLOOKUP(TRIM(B5021),Lookup!$B$2:$B$1000,Lookup!$C$2:$C$1000),"")</f>
        <v>Equity</v>
      </c>
      <c r="D5021" s="8" t="str">
        <f>IFERROR(INDEX('nav master'!$C:$C, MATCH(B5021, 'nav master'!$B:$B, 0)), "")</f>
        <v>ULIF07828/02/25Alpha300Fd101</v>
      </c>
      <c r="E5021" s="8" t="s">
        <v>514</v>
      </c>
      <c r="F5021" s="8" t="s">
        <v>3099</v>
      </c>
    </row>
    <row r="5022" spans="1:6" ht="60" x14ac:dyDescent="0.25">
      <c r="A5022" s="8" t="s">
        <v>125</v>
      </c>
      <c r="B5022" s="8" t="s">
        <v>157</v>
      </c>
      <c r="C5022" s="8" t="str">
        <f>IFERROR(_xlfn.XLOOKUP(TRIM(B5022),Lookup!$B$2:$B$1000,Lookup!$C$2:$C$1000),"")</f>
        <v>Equity</v>
      </c>
      <c r="D5022" s="8" t="str">
        <f>IFERROR(INDEX('nav master'!$C:$C, MATCH(B5022, 'nav master'!$B:$B, 0)), "")</f>
        <v>ULIF07828/02/25Alpha300Fd101</v>
      </c>
      <c r="E5022" s="8" t="s">
        <v>516</v>
      </c>
      <c r="F5022" s="8" t="s">
        <v>3100</v>
      </c>
    </row>
    <row r="5023" spans="1:6" ht="60" x14ac:dyDescent="0.25">
      <c r="A5023" s="8" t="s">
        <v>125</v>
      </c>
      <c r="B5023" s="8" t="s">
        <v>157</v>
      </c>
      <c r="C5023" s="8" t="str">
        <f>IFERROR(_xlfn.XLOOKUP(TRIM(B5023),Lookup!$B$2:$B$1000,Lookup!$C$2:$C$1000),"")</f>
        <v>Equity</v>
      </c>
      <c r="D5023" s="8" t="str">
        <f>IFERROR(INDEX('nav master'!$C:$C, MATCH(B5023, 'nav master'!$B:$B, 0)), "")</f>
        <v>ULIF07828/02/25Alpha300Fd101</v>
      </c>
      <c r="E5023" s="8" t="s">
        <v>518</v>
      </c>
      <c r="F5023" s="8" t="s">
        <v>3101</v>
      </c>
    </row>
    <row r="5024" spans="1:6" ht="60" x14ac:dyDescent="0.25">
      <c r="A5024" s="8" t="s">
        <v>125</v>
      </c>
      <c r="B5024" s="8" t="s">
        <v>157</v>
      </c>
      <c r="C5024" s="8" t="str">
        <f>IFERROR(_xlfn.XLOOKUP(TRIM(B5024),Lookup!$B$2:$B$1000,Lookup!$C$2:$C$1000),"")</f>
        <v>Equity</v>
      </c>
      <c r="D5024" s="8" t="str">
        <f>IFERROR(INDEX('nav master'!$C:$C, MATCH(B5024, 'nav master'!$B:$B, 0)), "")</f>
        <v>ULIF07828/02/25Alpha300Fd101</v>
      </c>
      <c r="E5024" s="8" t="s">
        <v>520</v>
      </c>
      <c r="F5024" s="8" t="s">
        <v>3102</v>
      </c>
    </row>
    <row r="5025" spans="1:6" ht="60" x14ac:dyDescent="0.25">
      <c r="A5025" s="8" t="s">
        <v>125</v>
      </c>
      <c r="B5025" s="8" t="s">
        <v>157</v>
      </c>
      <c r="C5025" s="8" t="str">
        <f>IFERROR(_xlfn.XLOOKUP(TRIM(B5025),Lookup!$B$2:$B$1000,Lookup!$C$2:$C$1000),"")</f>
        <v>Equity</v>
      </c>
      <c r="D5025" s="8" t="str">
        <f>IFERROR(INDEX('nav master'!$C:$C, MATCH(B5025, 'nav master'!$B:$B, 0)), "")</f>
        <v>ULIF07828/02/25Alpha300Fd101</v>
      </c>
      <c r="E5025" s="8" t="s">
        <v>522</v>
      </c>
      <c r="F5025" s="8" t="s">
        <v>3103</v>
      </c>
    </row>
    <row r="5026" spans="1:6" ht="60" x14ac:dyDescent="0.25">
      <c r="A5026" s="8" t="s">
        <v>125</v>
      </c>
      <c r="B5026" s="8" t="s">
        <v>157</v>
      </c>
      <c r="C5026" s="8" t="str">
        <f>IFERROR(_xlfn.XLOOKUP(TRIM(B5026),Lookup!$B$2:$B$1000,Lookup!$C$2:$C$1000),"")</f>
        <v>Equity</v>
      </c>
      <c r="D5026" s="8" t="str">
        <f>IFERROR(INDEX('nav master'!$C:$C, MATCH(B5026, 'nav master'!$B:$B, 0)), "")</f>
        <v>ULIF07828/02/25Alpha300Fd101</v>
      </c>
      <c r="E5026" s="8" t="s">
        <v>524</v>
      </c>
      <c r="F5026" s="8" t="s">
        <v>3104</v>
      </c>
    </row>
    <row r="5027" spans="1:6" ht="60" x14ac:dyDescent="0.25">
      <c r="A5027" s="8" t="s">
        <v>125</v>
      </c>
      <c r="B5027" s="8" t="s">
        <v>157</v>
      </c>
      <c r="C5027" s="8" t="str">
        <f>IFERROR(_xlfn.XLOOKUP(TRIM(B5027),Lookup!$B$2:$B$1000,Lookup!$C$2:$C$1000),"")</f>
        <v>Equity</v>
      </c>
      <c r="D5027" s="8" t="str">
        <f>IFERROR(INDEX('nav master'!$C:$C, MATCH(B5027, 'nav master'!$B:$B, 0)), "")</f>
        <v>ULIF07828/02/25Alpha300Fd101</v>
      </c>
      <c r="E5027" s="8" t="s">
        <v>526</v>
      </c>
      <c r="F5027" s="8" t="s">
        <v>3105</v>
      </c>
    </row>
    <row r="5028" spans="1:6" ht="60" x14ac:dyDescent="0.25">
      <c r="A5028" s="8" t="s">
        <v>125</v>
      </c>
      <c r="B5028" s="8" t="s">
        <v>157</v>
      </c>
      <c r="C5028" s="8" t="str">
        <f>IFERROR(_xlfn.XLOOKUP(TRIM(B5028),Lookup!$B$2:$B$1000,Lookup!$C$2:$C$1000),"")</f>
        <v>Equity</v>
      </c>
      <c r="D5028" s="8" t="str">
        <f>IFERROR(INDEX('nav master'!$C:$C, MATCH(B5028, 'nav master'!$B:$B, 0)), "")</f>
        <v>ULIF07828/02/25Alpha300Fd101</v>
      </c>
      <c r="E5028" s="8" t="s">
        <v>528</v>
      </c>
      <c r="F5028" s="8" t="s">
        <v>3032</v>
      </c>
    </row>
    <row r="5029" spans="1:6" ht="60" x14ac:dyDescent="0.25">
      <c r="A5029" s="8" t="s">
        <v>125</v>
      </c>
      <c r="B5029" s="8" t="s">
        <v>157</v>
      </c>
      <c r="C5029" s="8" t="str">
        <f>IFERROR(_xlfn.XLOOKUP(TRIM(B5029),Lookup!$B$2:$B$1000,Lookup!$C$2:$C$1000),"")</f>
        <v>Equity</v>
      </c>
      <c r="D5029" s="8" t="str">
        <f>IFERROR(INDEX('nav master'!$C:$C, MATCH(B5029, 'nav master'!$B:$B, 0)), "")</f>
        <v>ULIF07828/02/25Alpha300Fd101</v>
      </c>
      <c r="E5029" s="8" t="s">
        <v>530</v>
      </c>
      <c r="F5029" s="8" t="s">
        <v>3106</v>
      </c>
    </row>
    <row r="5030" spans="1:6" ht="60" x14ac:dyDescent="0.25">
      <c r="A5030" s="8" t="s">
        <v>125</v>
      </c>
      <c r="B5030" s="8" t="s">
        <v>157</v>
      </c>
      <c r="C5030" s="8" t="str">
        <f>IFERROR(_xlfn.XLOOKUP(TRIM(B5030),Lookup!$B$2:$B$1000,Lookup!$C$2:$C$1000),"")</f>
        <v>Equity</v>
      </c>
      <c r="D5030" s="8" t="str">
        <f>IFERROR(INDEX('nav master'!$C:$C, MATCH(B5030, 'nav master'!$B:$B, 0)), "")</f>
        <v>ULIF07828/02/25Alpha300Fd101</v>
      </c>
      <c r="E5030" s="8" t="s">
        <v>532</v>
      </c>
      <c r="F5030" s="8" t="s">
        <v>3107</v>
      </c>
    </row>
    <row r="5031" spans="1:6" ht="60" x14ac:dyDescent="0.25">
      <c r="A5031" s="8" t="s">
        <v>125</v>
      </c>
      <c r="B5031" s="8" t="s">
        <v>157</v>
      </c>
      <c r="C5031" s="8" t="str">
        <f>IFERROR(_xlfn.XLOOKUP(TRIM(B5031),Lookup!$B$2:$B$1000,Lookup!$C$2:$C$1000),"")</f>
        <v>Equity</v>
      </c>
      <c r="D5031" s="8" t="str">
        <f>IFERROR(INDEX('nav master'!$C:$C, MATCH(B5031, 'nav master'!$B:$B, 0)), "")</f>
        <v>ULIF07828/02/25Alpha300Fd101</v>
      </c>
      <c r="E5031" s="8" t="s">
        <v>534</v>
      </c>
      <c r="F5031" s="8" t="s">
        <v>3108</v>
      </c>
    </row>
    <row r="5032" spans="1:6" ht="60" x14ac:dyDescent="0.25">
      <c r="A5032" s="8" t="s">
        <v>125</v>
      </c>
      <c r="B5032" s="8" t="s">
        <v>157</v>
      </c>
      <c r="C5032" s="8" t="str">
        <f>IFERROR(_xlfn.XLOOKUP(TRIM(B5032),Lookup!$B$2:$B$1000,Lookup!$C$2:$C$1000),"")</f>
        <v>Equity</v>
      </c>
      <c r="D5032" s="8" t="str">
        <f>IFERROR(INDEX('nav master'!$C:$C, MATCH(B5032, 'nav master'!$B:$B, 0)), "")</f>
        <v>ULIF07828/02/25Alpha300Fd101</v>
      </c>
      <c r="E5032" s="8" t="s">
        <v>536</v>
      </c>
      <c r="F5032" s="8" t="s">
        <v>3109</v>
      </c>
    </row>
    <row r="5033" spans="1:6" ht="60" x14ac:dyDescent="0.25">
      <c r="A5033" s="8" t="s">
        <v>125</v>
      </c>
      <c r="B5033" s="8" t="s">
        <v>157</v>
      </c>
      <c r="C5033" s="8" t="str">
        <f>IFERROR(_xlfn.XLOOKUP(TRIM(B5033),Lookup!$B$2:$B$1000,Lookup!$C$2:$C$1000),"")</f>
        <v>Equity</v>
      </c>
      <c r="D5033" s="8" t="str">
        <f>IFERROR(INDEX('nav master'!$C:$C, MATCH(B5033, 'nav master'!$B:$B, 0)), "")</f>
        <v>ULIF07828/02/25Alpha300Fd101</v>
      </c>
      <c r="E5033" s="8" t="s">
        <v>538</v>
      </c>
      <c r="F5033" s="8" t="s">
        <v>3110</v>
      </c>
    </row>
    <row r="5034" spans="1:6" ht="60" x14ac:dyDescent="0.25">
      <c r="A5034" s="8" t="s">
        <v>125</v>
      </c>
      <c r="B5034" s="8" t="s">
        <v>157</v>
      </c>
      <c r="C5034" s="8" t="str">
        <f>IFERROR(_xlfn.XLOOKUP(TRIM(B5034),Lookup!$B$2:$B$1000,Lookup!$C$2:$C$1000),"")</f>
        <v>Equity</v>
      </c>
      <c r="D5034" s="8" t="str">
        <f>IFERROR(INDEX('nav master'!$C:$C, MATCH(B5034, 'nav master'!$B:$B, 0)), "")</f>
        <v>ULIF07828/02/25Alpha300Fd101</v>
      </c>
      <c r="E5034" s="8" t="s">
        <v>540</v>
      </c>
      <c r="F5034" s="8" t="s">
        <v>3111</v>
      </c>
    </row>
    <row r="5035" spans="1:6" ht="60" x14ac:dyDescent="0.25">
      <c r="A5035" s="8" t="s">
        <v>125</v>
      </c>
      <c r="B5035" s="8" t="s">
        <v>157</v>
      </c>
      <c r="C5035" s="8" t="str">
        <f>IFERROR(_xlfn.XLOOKUP(TRIM(B5035),Lookup!$B$2:$B$1000,Lookup!$C$2:$C$1000),"")</f>
        <v>Equity</v>
      </c>
      <c r="D5035" s="8" t="str">
        <f>IFERROR(INDEX('nav master'!$C:$C, MATCH(B5035, 'nav master'!$B:$B, 0)), "")</f>
        <v>ULIF07828/02/25Alpha300Fd101</v>
      </c>
      <c r="E5035" s="8" t="s">
        <v>542</v>
      </c>
      <c r="F5035" s="8" t="s">
        <v>3112</v>
      </c>
    </row>
    <row r="5036" spans="1:6" ht="60" x14ac:dyDescent="0.25">
      <c r="A5036" s="8" t="s">
        <v>125</v>
      </c>
      <c r="B5036" s="8" t="s">
        <v>157</v>
      </c>
      <c r="C5036" s="8" t="str">
        <f>IFERROR(_xlfn.XLOOKUP(TRIM(B5036),Lookup!$B$2:$B$1000,Lookup!$C$2:$C$1000),"")</f>
        <v>Equity</v>
      </c>
      <c r="D5036" s="8" t="str">
        <f>IFERROR(INDEX('nav master'!$C:$C, MATCH(B5036, 'nav master'!$B:$B, 0)), "")</f>
        <v>ULIF07828/02/25Alpha300Fd101</v>
      </c>
      <c r="E5036" s="8" t="s">
        <v>544</v>
      </c>
      <c r="F5036" s="8" t="s">
        <v>3113</v>
      </c>
    </row>
    <row r="5037" spans="1:6" ht="60" x14ac:dyDescent="0.25">
      <c r="A5037" s="8" t="s">
        <v>125</v>
      </c>
      <c r="B5037" s="8" t="s">
        <v>157</v>
      </c>
      <c r="C5037" s="8" t="str">
        <f>IFERROR(_xlfn.XLOOKUP(TRIM(B5037),Lookup!$B$2:$B$1000,Lookup!$C$2:$C$1000),"")</f>
        <v>Equity</v>
      </c>
      <c r="D5037" s="8" t="str">
        <f>IFERROR(INDEX('nav master'!$C:$C, MATCH(B5037, 'nav master'!$B:$B, 0)), "")</f>
        <v>ULIF07828/02/25Alpha300Fd101</v>
      </c>
      <c r="E5037" s="8" t="s">
        <v>546</v>
      </c>
      <c r="F5037" s="8" t="s">
        <v>3114</v>
      </c>
    </row>
    <row r="5038" spans="1:6" ht="60" x14ac:dyDescent="0.25">
      <c r="A5038" s="8" t="s">
        <v>125</v>
      </c>
      <c r="B5038" s="8" t="s">
        <v>157</v>
      </c>
      <c r="C5038" s="8" t="str">
        <f>IFERROR(_xlfn.XLOOKUP(TRIM(B5038),Lookup!$B$2:$B$1000,Lookup!$C$2:$C$1000),"")</f>
        <v>Equity</v>
      </c>
      <c r="D5038" s="8" t="str">
        <f>IFERROR(INDEX('nav master'!$C:$C, MATCH(B5038, 'nav master'!$B:$B, 0)), "")</f>
        <v>ULIF07828/02/25Alpha300Fd101</v>
      </c>
      <c r="E5038" s="8" t="s">
        <v>548</v>
      </c>
      <c r="F5038" s="8" t="s">
        <v>3115</v>
      </c>
    </row>
    <row r="5039" spans="1:6" ht="60" x14ac:dyDescent="0.25">
      <c r="A5039" s="8" t="s">
        <v>125</v>
      </c>
      <c r="B5039" s="8" t="s">
        <v>157</v>
      </c>
      <c r="C5039" s="8" t="str">
        <f>IFERROR(_xlfn.XLOOKUP(TRIM(B5039),Lookup!$B$2:$B$1000,Lookup!$C$2:$C$1000),"")</f>
        <v>Equity</v>
      </c>
      <c r="D5039" s="8" t="str">
        <f>IFERROR(INDEX('nav master'!$C:$C, MATCH(B5039, 'nav master'!$B:$B, 0)), "")</f>
        <v>ULIF07828/02/25Alpha300Fd101</v>
      </c>
      <c r="E5039" s="8" t="s">
        <v>550</v>
      </c>
      <c r="F5039" s="8" t="s">
        <v>3116</v>
      </c>
    </row>
    <row r="5040" spans="1:6" ht="60" x14ac:dyDescent="0.25">
      <c r="A5040" s="8" t="s">
        <v>125</v>
      </c>
      <c r="B5040" s="8" t="s">
        <v>157</v>
      </c>
      <c r="C5040" s="8" t="str">
        <f>IFERROR(_xlfn.XLOOKUP(TRIM(B5040),Lookup!$B$2:$B$1000,Lookup!$C$2:$C$1000),"")</f>
        <v>Equity</v>
      </c>
      <c r="D5040" s="8" t="str">
        <f>IFERROR(INDEX('nav master'!$C:$C, MATCH(B5040, 'nav master'!$B:$B, 0)), "")</f>
        <v>ULIF07828/02/25Alpha300Fd101</v>
      </c>
      <c r="E5040" s="8" t="s">
        <v>552</v>
      </c>
      <c r="F5040" s="8" t="s">
        <v>3117</v>
      </c>
    </row>
    <row r="5041" spans="1:6" ht="60" x14ac:dyDescent="0.25">
      <c r="A5041" s="8" t="s">
        <v>125</v>
      </c>
      <c r="B5041" s="8" t="s">
        <v>157</v>
      </c>
      <c r="C5041" s="8" t="str">
        <f>IFERROR(_xlfn.XLOOKUP(TRIM(B5041),Lookup!$B$2:$B$1000,Lookup!$C$2:$C$1000),"")</f>
        <v>Equity</v>
      </c>
      <c r="D5041" s="8" t="str">
        <f>IFERROR(INDEX('nav master'!$C:$C, MATCH(B5041, 'nav master'!$B:$B, 0)), "")</f>
        <v>ULIF07828/02/25Alpha300Fd101</v>
      </c>
      <c r="E5041" s="8" t="s">
        <v>554</v>
      </c>
      <c r="F5041" s="8" t="s">
        <v>3118</v>
      </c>
    </row>
    <row r="5042" spans="1:6" ht="60" x14ac:dyDescent="0.25">
      <c r="A5042" s="8" t="s">
        <v>125</v>
      </c>
      <c r="B5042" s="8" t="s">
        <v>157</v>
      </c>
      <c r="C5042" s="8" t="str">
        <f>IFERROR(_xlfn.XLOOKUP(TRIM(B5042),Lookup!$B$2:$B$1000,Lookup!$C$2:$C$1000),"")</f>
        <v>Equity</v>
      </c>
      <c r="D5042" s="8" t="str">
        <f>IFERROR(INDEX('nav master'!$C:$C, MATCH(B5042, 'nav master'!$B:$B, 0)), "")</f>
        <v>ULIF07828/02/25Alpha300Fd101</v>
      </c>
      <c r="E5042" s="8" t="s">
        <v>556</v>
      </c>
      <c r="F5042" s="8" t="s">
        <v>3119</v>
      </c>
    </row>
    <row r="5043" spans="1:6" ht="60" x14ac:dyDescent="0.25">
      <c r="A5043" s="8" t="s">
        <v>125</v>
      </c>
      <c r="B5043" s="8" t="s">
        <v>157</v>
      </c>
      <c r="C5043" s="8" t="str">
        <f>IFERROR(_xlfn.XLOOKUP(TRIM(B5043),Lookup!$B$2:$B$1000,Lookup!$C$2:$C$1000),"")</f>
        <v>Equity</v>
      </c>
      <c r="D5043" s="8" t="str">
        <f>IFERROR(INDEX('nav master'!$C:$C, MATCH(B5043, 'nav master'!$B:$B, 0)), "")</f>
        <v>ULIF07828/02/25Alpha300Fd101</v>
      </c>
      <c r="E5043" s="8" t="s">
        <v>558</v>
      </c>
      <c r="F5043" s="8" t="s">
        <v>3120</v>
      </c>
    </row>
    <row r="5044" spans="1:6" ht="60" x14ac:dyDescent="0.25">
      <c r="A5044" s="8" t="s">
        <v>125</v>
      </c>
      <c r="B5044" s="8" t="s">
        <v>157</v>
      </c>
      <c r="C5044" s="8" t="str">
        <f>IFERROR(_xlfn.XLOOKUP(TRIM(B5044),Lookup!$B$2:$B$1000,Lookup!$C$2:$C$1000),"")</f>
        <v>Equity</v>
      </c>
      <c r="D5044" s="8" t="str">
        <f>IFERROR(INDEX('nav master'!$C:$C, MATCH(B5044, 'nav master'!$B:$B, 0)), "")</f>
        <v>ULIF07828/02/25Alpha300Fd101</v>
      </c>
      <c r="E5044" s="8" t="s">
        <v>560</v>
      </c>
      <c r="F5044" s="8" t="s">
        <v>3121</v>
      </c>
    </row>
    <row r="5045" spans="1:6" ht="60" x14ac:dyDescent="0.25">
      <c r="A5045" s="8" t="s">
        <v>125</v>
      </c>
      <c r="B5045" s="8" t="s">
        <v>157</v>
      </c>
      <c r="C5045" s="8" t="str">
        <f>IFERROR(_xlfn.XLOOKUP(TRIM(B5045),Lookup!$B$2:$B$1000,Lookup!$C$2:$C$1000),"")</f>
        <v>Equity</v>
      </c>
      <c r="D5045" s="8" t="str">
        <f>IFERROR(INDEX('nav master'!$C:$C, MATCH(B5045, 'nav master'!$B:$B, 0)), "")</f>
        <v>ULIF07828/02/25Alpha300Fd101</v>
      </c>
      <c r="E5045" s="8" t="s">
        <v>562</v>
      </c>
      <c r="F5045" s="8" t="s">
        <v>3122</v>
      </c>
    </row>
    <row r="5046" spans="1:6" ht="60" x14ac:dyDescent="0.25">
      <c r="A5046" s="8" t="s">
        <v>125</v>
      </c>
      <c r="B5046" s="8" t="s">
        <v>157</v>
      </c>
      <c r="C5046" s="8" t="str">
        <f>IFERROR(_xlfn.XLOOKUP(TRIM(B5046),Lookup!$B$2:$B$1000,Lookup!$C$2:$C$1000),"")</f>
        <v>Equity</v>
      </c>
      <c r="D5046" s="8" t="str">
        <f>IFERROR(INDEX('nav master'!$C:$C, MATCH(B5046, 'nav master'!$B:$B, 0)), "")</f>
        <v>ULIF07828/02/25Alpha300Fd101</v>
      </c>
      <c r="E5046" s="8" t="s">
        <v>564</v>
      </c>
      <c r="F5046" s="8" t="s">
        <v>3123</v>
      </c>
    </row>
    <row r="5047" spans="1:6" ht="60" x14ac:dyDescent="0.25">
      <c r="A5047" s="8" t="s">
        <v>125</v>
      </c>
      <c r="B5047" s="8" t="s">
        <v>157</v>
      </c>
      <c r="C5047" s="8" t="str">
        <f>IFERROR(_xlfn.XLOOKUP(TRIM(B5047),Lookup!$B$2:$B$1000,Lookup!$C$2:$C$1000),"")</f>
        <v>Equity</v>
      </c>
      <c r="D5047" s="8" t="str">
        <f>IFERROR(INDEX('nav master'!$C:$C, MATCH(B5047, 'nav master'!$B:$B, 0)), "")</f>
        <v>ULIF07828/02/25Alpha300Fd101</v>
      </c>
      <c r="E5047" s="8" t="s">
        <v>566</v>
      </c>
      <c r="F5047" s="8" t="s">
        <v>3124</v>
      </c>
    </row>
    <row r="5048" spans="1:6" ht="60" x14ac:dyDescent="0.25">
      <c r="A5048" s="8" t="s">
        <v>125</v>
      </c>
      <c r="B5048" s="8" t="s">
        <v>157</v>
      </c>
      <c r="C5048" s="8" t="str">
        <f>IFERROR(_xlfn.XLOOKUP(TRIM(B5048),Lookup!$B$2:$B$1000,Lookup!$C$2:$C$1000),"")</f>
        <v>Equity</v>
      </c>
      <c r="D5048" s="8" t="str">
        <f>IFERROR(INDEX('nav master'!$C:$C, MATCH(B5048, 'nav master'!$B:$B, 0)), "")</f>
        <v>ULIF07828/02/25Alpha300Fd101</v>
      </c>
      <c r="E5048" s="8" t="s">
        <v>568</v>
      </c>
      <c r="F5048" s="8" t="s">
        <v>3125</v>
      </c>
    </row>
    <row r="5049" spans="1:6" ht="60" x14ac:dyDescent="0.25">
      <c r="A5049" s="8" t="s">
        <v>125</v>
      </c>
      <c r="B5049" s="8" t="s">
        <v>157</v>
      </c>
      <c r="C5049" s="8" t="str">
        <f>IFERROR(_xlfn.XLOOKUP(TRIM(B5049),Lookup!$B$2:$B$1000,Lookup!$C$2:$C$1000),"")</f>
        <v>Equity</v>
      </c>
      <c r="D5049" s="8" t="str">
        <f>IFERROR(INDEX('nav master'!$C:$C, MATCH(B5049, 'nav master'!$B:$B, 0)), "")</f>
        <v>ULIF07828/02/25Alpha300Fd101</v>
      </c>
      <c r="E5049" s="8" t="s">
        <v>570</v>
      </c>
      <c r="F5049" s="8" t="s">
        <v>3126</v>
      </c>
    </row>
    <row r="5050" spans="1:6" ht="60" x14ac:dyDescent="0.25">
      <c r="A5050" s="8" t="s">
        <v>125</v>
      </c>
      <c r="B5050" s="8" t="s">
        <v>157</v>
      </c>
      <c r="C5050" s="8" t="str">
        <f>IFERROR(_xlfn.XLOOKUP(TRIM(B5050),Lookup!$B$2:$B$1000,Lookup!$C$2:$C$1000),"")</f>
        <v>Equity</v>
      </c>
      <c r="D5050" s="8" t="str">
        <f>IFERROR(INDEX('nav master'!$C:$C, MATCH(B5050, 'nav master'!$B:$B, 0)), "")</f>
        <v>ULIF07828/02/25Alpha300Fd101</v>
      </c>
      <c r="E5050" s="8" t="s">
        <v>572</v>
      </c>
      <c r="F5050" s="8" t="s">
        <v>3127</v>
      </c>
    </row>
    <row r="5051" spans="1:6" ht="60" x14ac:dyDescent="0.25">
      <c r="A5051" s="8" t="s">
        <v>125</v>
      </c>
      <c r="B5051" s="8" t="s">
        <v>157</v>
      </c>
      <c r="C5051" s="8" t="str">
        <f>IFERROR(_xlfn.XLOOKUP(TRIM(B5051),Lookup!$B$2:$B$1000,Lookup!$C$2:$C$1000),"")</f>
        <v>Equity</v>
      </c>
      <c r="D5051" s="8" t="str">
        <f>IFERROR(INDEX('nav master'!$C:$C, MATCH(B5051, 'nav master'!$B:$B, 0)), "")</f>
        <v>ULIF07828/02/25Alpha300Fd101</v>
      </c>
      <c r="E5051" s="8" t="s">
        <v>574</v>
      </c>
      <c r="F5051" s="8" t="s">
        <v>3128</v>
      </c>
    </row>
    <row r="5052" spans="1:6" ht="60" x14ac:dyDescent="0.25">
      <c r="A5052" s="8" t="s">
        <v>125</v>
      </c>
      <c r="B5052" s="8" t="s">
        <v>157</v>
      </c>
      <c r="C5052" s="8" t="str">
        <f>IFERROR(_xlfn.XLOOKUP(TRIM(B5052),Lookup!$B$2:$B$1000,Lookup!$C$2:$C$1000),"")</f>
        <v>Equity</v>
      </c>
      <c r="D5052" s="8" t="str">
        <f>IFERROR(INDEX('nav master'!$C:$C, MATCH(B5052, 'nav master'!$B:$B, 0)), "")</f>
        <v>ULIF07828/02/25Alpha300Fd101</v>
      </c>
      <c r="E5052" s="8" t="s">
        <v>576</v>
      </c>
      <c r="F5052" s="8" t="s">
        <v>3129</v>
      </c>
    </row>
    <row r="5053" spans="1:6" ht="60" x14ac:dyDescent="0.25">
      <c r="A5053" s="8" t="s">
        <v>125</v>
      </c>
      <c r="B5053" s="8" t="s">
        <v>157</v>
      </c>
      <c r="C5053" s="8" t="str">
        <f>IFERROR(_xlfn.XLOOKUP(TRIM(B5053),Lookup!$B$2:$B$1000,Lookup!$C$2:$C$1000),"")</f>
        <v>Equity</v>
      </c>
      <c r="D5053" s="8" t="str">
        <f>IFERROR(INDEX('nav master'!$C:$C, MATCH(B5053, 'nav master'!$B:$B, 0)), "")</f>
        <v>ULIF07828/02/25Alpha300Fd101</v>
      </c>
      <c r="E5053" s="8" t="s">
        <v>578</v>
      </c>
      <c r="F5053" s="8" t="s">
        <v>3130</v>
      </c>
    </row>
    <row r="5054" spans="1:6" ht="60" x14ac:dyDescent="0.25">
      <c r="A5054" s="8" t="s">
        <v>125</v>
      </c>
      <c r="B5054" s="8" t="s">
        <v>157</v>
      </c>
      <c r="C5054" s="8" t="str">
        <f>IFERROR(_xlfn.XLOOKUP(TRIM(B5054),Lookup!$B$2:$B$1000,Lookup!$C$2:$C$1000),"")</f>
        <v>Equity</v>
      </c>
      <c r="D5054" s="8" t="str">
        <f>IFERROR(INDEX('nav master'!$C:$C, MATCH(B5054, 'nav master'!$B:$B, 0)), "")</f>
        <v>ULIF07828/02/25Alpha300Fd101</v>
      </c>
      <c r="E5054" s="8" t="s">
        <v>580</v>
      </c>
      <c r="F5054" s="8" t="s">
        <v>3131</v>
      </c>
    </row>
    <row r="5055" spans="1:6" ht="60" x14ac:dyDescent="0.25">
      <c r="A5055" s="8" t="s">
        <v>125</v>
      </c>
      <c r="B5055" s="8" t="s">
        <v>157</v>
      </c>
      <c r="C5055" s="8" t="str">
        <f>IFERROR(_xlfn.XLOOKUP(TRIM(B5055),Lookup!$B$2:$B$1000,Lookup!$C$2:$C$1000),"")</f>
        <v>Equity</v>
      </c>
      <c r="D5055" s="8" t="str">
        <f>IFERROR(INDEX('nav master'!$C:$C, MATCH(B5055, 'nav master'!$B:$B, 0)), "")</f>
        <v>ULIF07828/02/25Alpha300Fd101</v>
      </c>
      <c r="E5055" s="8" t="s">
        <v>582</v>
      </c>
      <c r="F5055" s="8" t="s">
        <v>3132</v>
      </c>
    </row>
    <row r="5056" spans="1:6" ht="60" x14ac:dyDescent="0.25">
      <c r="A5056" s="8" t="s">
        <v>125</v>
      </c>
      <c r="B5056" s="8" t="s">
        <v>157</v>
      </c>
      <c r="C5056" s="8" t="str">
        <f>IFERROR(_xlfn.XLOOKUP(TRIM(B5056),Lookup!$B$2:$B$1000,Lookup!$C$2:$C$1000),"")</f>
        <v>Equity</v>
      </c>
      <c r="D5056" s="8" t="str">
        <f>IFERROR(INDEX('nav master'!$C:$C, MATCH(B5056, 'nav master'!$B:$B, 0)), "")</f>
        <v>ULIF07828/02/25Alpha300Fd101</v>
      </c>
      <c r="E5056" s="8" t="s">
        <v>584</v>
      </c>
      <c r="F5056" s="8" t="s">
        <v>3133</v>
      </c>
    </row>
    <row r="5057" spans="1:6" ht="60" x14ac:dyDescent="0.25">
      <c r="A5057" s="8" t="s">
        <v>125</v>
      </c>
      <c r="B5057" s="8" t="s">
        <v>157</v>
      </c>
      <c r="C5057" s="8" t="str">
        <f>IFERROR(_xlfn.XLOOKUP(TRIM(B5057),Lookup!$B$2:$B$1000,Lookup!$C$2:$C$1000),"")</f>
        <v>Equity</v>
      </c>
      <c r="D5057" s="8" t="str">
        <f>IFERROR(INDEX('nav master'!$C:$C, MATCH(B5057, 'nav master'!$B:$B, 0)), "")</f>
        <v>ULIF07828/02/25Alpha300Fd101</v>
      </c>
      <c r="E5057" s="8" t="s">
        <v>586</v>
      </c>
      <c r="F5057" s="8" t="s">
        <v>3134</v>
      </c>
    </row>
    <row r="5058" spans="1:6" ht="60" x14ac:dyDescent="0.25">
      <c r="A5058" s="8" t="s">
        <v>125</v>
      </c>
      <c r="B5058" s="8" t="s">
        <v>157</v>
      </c>
      <c r="C5058" s="8" t="str">
        <f>IFERROR(_xlfn.XLOOKUP(TRIM(B5058),Lookup!$B$2:$B$1000,Lookup!$C$2:$C$1000),"")</f>
        <v>Equity</v>
      </c>
      <c r="D5058" s="8" t="str">
        <f>IFERROR(INDEX('nav master'!$C:$C, MATCH(B5058, 'nav master'!$B:$B, 0)), "")</f>
        <v>ULIF07828/02/25Alpha300Fd101</v>
      </c>
      <c r="E5058" s="8" t="s">
        <v>588</v>
      </c>
      <c r="F5058" s="8" t="s">
        <v>3135</v>
      </c>
    </row>
    <row r="5059" spans="1:6" ht="60" x14ac:dyDescent="0.25">
      <c r="A5059" s="8" t="s">
        <v>125</v>
      </c>
      <c r="B5059" s="8" t="s">
        <v>157</v>
      </c>
      <c r="C5059" s="8" t="str">
        <f>IFERROR(_xlfn.XLOOKUP(TRIM(B5059),Lookup!$B$2:$B$1000,Lookup!$C$2:$C$1000),"")</f>
        <v>Equity</v>
      </c>
      <c r="D5059" s="8" t="str">
        <f>IFERROR(INDEX('nav master'!$C:$C, MATCH(B5059, 'nav master'!$B:$B, 0)), "")</f>
        <v>ULIF07828/02/25Alpha300Fd101</v>
      </c>
      <c r="E5059" s="8" t="s">
        <v>590</v>
      </c>
      <c r="F5059" s="8" t="s">
        <v>3136</v>
      </c>
    </row>
    <row r="5060" spans="1:6" ht="60" x14ac:dyDescent="0.25">
      <c r="A5060" s="8" t="s">
        <v>125</v>
      </c>
      <c r="B5060" s="8" t="s">
        <v>157</v>
      </c>
      <c r="C5060" s="8" t="str">
        <f>IFERROR(_xlfn.XLOOKUP(TRIM(B5060),Lookup!$B$2:$B$1000,Lookup!$C$2:$C$1000),"")</f>
        <v>Equity</v>
      </c>
      <c r="D5060" s="8" t="str">
        <f>IFERROR(INDEX('nav master'!$C:$C, MATCH(B5060, 'nav master'!$B:$B, 0)), "")</f>
        <v>ULIF07828/02/25Alpha300Fd101</v>
      </c>
      <c r="E5060" s="8" t="s">
        <v>592</v>
      </c>
      <c r="F5060" s="8" t="s">
        <v>3137</v>
      </c>
    </row>
    <row r="5061" spans="1:6" ht="60" x14ac:dyDescent="0.25">
      <c r="A5061" s="8" t="s">
        <v>125</v>
      </c>
      <c r="B5061" s="8" t="s">
        <v>157</v>
      </c>
      <c r="C5061" s="8" t="str">
        <f>IFERROR(_xlfn.XLOOKUP(TRIM(B5061),Lookup!$B$2:$B$1000,Lookup!$C$2:$C$1000),"")</f>
        <v>Equity</v>
      </c>
      <c r="D5061" s="8" t="str">
        <f>IFERROR(INDEX('nav master'!$C:$C, MATCH(B5061, 'nav master'!$B:$B, 0)), "")</f>
        <v>ULIF07828/02/25Alpha300Fd101</v>
      </c>
      <c r="E5061" s="8" t="s">
        <v>594</v>
      </c>
      <c r="F5061" s="8" t="s">
        <v>3138</v>
      </c>
    </row>
    <row r="5062" spans="1:6" ht="60" x14ac:dyDescent="0.25">
      <c r="A5062" s="8" t="s">
        <v>125</v>
      </c>
      <c r="B5062" s="8" t="s">
        <v>157</v>
      </c>
      <c r="C5062" s="8" t="str">
        <f>IFERROR(_xlfn.XLOOKUP(TRIM(B5062),Lookup!$B$2:$B$1000,Lookup!$C$2:$C$1000),"")</f>
        <v>Equity</v>
      </c>
      <c r="D5062" s="8" t="str">
        <f>IFERROR(INDEX('nav master'!$C:$C, MATCH(B5062, 'nav master'!$B:$B, 0)), "")</f>
        <v>ULIF07828/02/25Alpha300Fd101</v>
      </c>
      <c r="E5062" s="8" t="s">
        <v>596</v>
      </c>
      <c r="F5062" s="8" t="s">
        <v>3139</v>
      </c>
    </row>
    <row r="5063" spans="1:6" ht="60" x14ac:dyDescent="0.25">
      <c r="A5063" s="8" t="s">
        <v>125</v>
      </c>
      <c r="B5063" s="8" t="s">
        <v>157</v>
      </c>
      <c r="C5063" s="8" t="str">
        <f>IFERROR(_xlfn.XLOOKUP(TRIM(B5063),Lookup!$B$2:$B$1000,Lookup!$C$2:$C$1000),"")</f>
        <v>Equity</v>
      </c>
      <c r="D5063" s="8" t="str">
        <f>IFERROR(INDEX('nav master'!$C:$C, MATCH(B5063, 'nav master'!$B:$B, 0)), "")</f>
        <v>ULIF07828/02/25Alpha300Fd101</v>
      </c>
      <c r="E5063" s="8" t="s">
        <v>598</v>
      </c>
      <c r="F5063" s="8" t="s">
        <v>3140</v>
      </c>
    </row>
    <row r="5064" spans="1:6" ht="60" x14ac:dyDescent="0.25">
      <c r="A5064" s="8" t="s">
        <v>125</v>
      </c>
      <c r="B5064" s="8" t="s">
        <v>157</v>
      </c>
      <c r="C5064" s="8" t="str">
        <f>IFERROR(_xlfn.XLOOKUP(TRIM(B5064),Lookup!$B$2:$B$1000,Lookup!$C$2:$C$1000),"")</f>
        <v>Equity</v>
      </c>
      <c r="D5064" s="8" t="str">
        <f>IFERROR(INDEX('nav master'!$C:$C, MATCH(B5064, 'nav master'!$B:$B, 0)), "")</f>
        <v>ULIF07828/02/25Alpha300Fd101</v>
      </c>
      <c r="E5064" s="8" t="s">
        <v>600</v>
      </c>
      <c r="F5064" s="8" t="s">
        <v>3141</v>
      </c>
    </row>
    <row r="5065" spans="1:6" ht="60" x14ac:dyDescent="0.25">
      <c r="A5065" s="8" t="s">
        <v>125</v>
      </c>
      <c r="B5065" s="8" t="s">
        <v>157</v>
      </c>
      <c r="C5065" s="8" t="str">
        <f>IFERROR(_xlfn.XLOOKUP(TRIM(B5065),Lookup!$B$2:$B$1000,Lookup!$C$2:$C$1000),"")</f>
        <v>Equity</v>
      </c>
      <c r="D5065" s="8" t="str">
        <f>IFERROR(INDEX('nav master'!$C:$C, MATCH(B5065, 'nav master'!$B:$B, 0)), "")</f>
        <v>ULIF07828/02/25Alpha300Fd101</v>
      </c>
      <c r="E5065" s="8" t="s">
        <v>602</v>
      </c>
      <c r="F5065" s="8" t="s">
        <v>3142</v>
      </c>
    </row>
    <row r="5066" spans="1:6" ht="60" x14ac:dyDescent="0.25">
      <c r="A5066" s="8" t="s">
        <v>125</v>
      </c>
      <c r="B5066" s="8" t="s">
        <v>157</v>
      </c>
      <c r="C5066" s="8" t="str">
        <f>IFERROR(_xlfn.XLOOKUP(TRIM(B5066),Lookup!$B$2:$B$1000,Lookup!$C$2:$C$1000),"")</f>
        <v>Equity</v>
      </c>
      <c r="D5066" s="8" t="str">
        <f>IFERROR(INDEX('nav master'!$C:$C, MATCH(B5066, 'nav master'!$B:$B, 0)), "")</f>
        <v>ULIF07828/02/25Alpha300Fd101</v>
      </c>
      <c r="E5066" s="8" t="s">
        <v>604</v>
      </c>
      <c r="F5066" s="8" t="s">
        <v>3143</v>
      </c>
    </row>
    <row r="5067" spans="1:6" ht="60" x14ac:dyDescent="0.25">
      <c r="A5067" s="8" t="s">
        <v>125</v>
      </c>
      <c r="B5067" s="8" t="s">
        <v>157</v>
      </c>
      <c r="C5067" s="8" t="str">
        <f>IFERROR(_xlfn.XLOOKUP(TRIM(B5067),Lookup!$B$2:$B$1000,Lookup!$C$2:$C$1000),"")</f>
        <v>Equity</v>
      </c>
      <c r="D5067" s="8" t="str">
        <f>IFERROR(INDEX('nav master'!$C:$C, MATCH(B5067, 'nav master'!$B:$B, 0)), "")</f>
        <v>ULIF07828/02/25Alpha300Fd101</v>
      </c>
      <c r="E5067" s="8" t="s">
        <v>606</v>
      </c>
      <c r="F5067" s="8" t="s">
        <v>3144</v>
      </c>
    </row>
    <row r="5068" spans="1:6" ht="60" x14ac:dyDescent="0.25">
      <c r="A5068" s="8" t="s">
        <v>125</v>
      </c>
      <c r="B5068" s="8" t="s">
        <v>157</v>
      </c>
      <c r="C5068" s="8" t="str">
        <f>IFERROR(_xlfn.XLOOKUP(TRIM(B5068),Lookup!$B$2:$B$1000,Lookup!$C$2:$C$1000),"")</f>
        <v>Equity</v>
      </c>
      <c r="D5068" s="8" t="str">
        <f>IFERROR(INDEX('nav master'!$C:$C, MATCH(B5068, 'nav master'!$B:$B, 0)), "")</f>
        <v>ULIF07828/02/25Alpha300Fd101</v>
      </c>
      <c r="E5068" s="8" t="s">
        <v>608</v>
      </c>
      <c r="F5068" s="8" t="s">
        <v>3145</v>
      </c>
    </row>
    <row r="5069" spans="1:6" ht="60" x14ac:dyDescent="0.25">
      <c r="A5069" s="8" t="s">
        <v>125</v>
      </c>
      <c r="B5069" s="8" t="s">
        <v>157</v>
      </c>
      <c r="C5069" s="8" t="str">
        <f>IFERROR(_xlfn.XLOOKUP(TRIM(B5069),Lookup!$B$2:$B$1000,Lookup!$C$2:$C$1000),"")</f>
        <v>Equity</v>
      </c>
      <c r="D5069" s="8" t="str">
        <f>IFERROR(INDEX('nav master'!$C:$C, MATCH(B5069, 'nav master'!$B:$B, 0)), "")</f>
        <v>ULIF07828/02/25Alpha300Fd101</v>
      </c>
      <c r="E5069" s="8" t="s">
        <v>610</v>
      </c>
      <c r="F5069" s="8" t="s">
        <v>3146</v>
      </c>
    </row>
    <row r="5070" spans="1:6" ht="60" x14ac:dyDescent="0.25">
      <c r="A5070" s="8" t="s">
        <v>125</v>
      </c>
      <c r="B5070" s="8" t="s">
        <v>157</v>
      </c>
      <c r="C5070" s="8" t="str">
        <f>IFERROR(_xlfn.XLOOKUP(TRIM(B5070),Lookup!$B$2:$B$1000,Lookup!$C$2:$C$1000),"")</f>
        <v>Equity</v>
      </c>
      <c r="D5070" s="8" t="str">
        <f>IFERROR(INDEX('nav master'!$C:$C, MATCH(B5070, 'nav master'!$B:$B, 0)), "")</f>
        <v>ULIF07828/02/25Alpha300Fd101</v>
      </c>
      <c r="E5070" s="8" t="s">
        <v>612</v>
      </c>
      <c r="F5070" s="8" t="s">
        <v>3147</v>
      </c>
    </row>
    <row r="5071" spans="1:6" ht="60" x14ac:dyDescent="0.25">
      <c r="A5071" s="8" t="s">
        <v>125</v>
      </c>
      <c r="B5071" s="8" t="s">
        <v>157</v>
      </c>
      <c r="C5071" s="8" t="str">
        <f>IFERROR(_xlfn.XLOOKUP(TRIM(B5071),Lookup!$B$2:$B$1000,Lookup!$C$2:$C$1000),"")</f>
        <v>Equity</v>
      </c>
      <c r="D5071" s="8" t="str">
        <f>IFERROR(INDEX('nav master'!$C:$C, MATCH(B5071, 'nav master'!$B:$B, 0)), "")</f>
        <v>ULIF07828/02/25Alpha300Fd101</v>
      </c>
      <c r="E5071" s="8" t="s">
        <v>614</v>
      </c>
      <c r="F5071" s="8" t="s">
        <v>3148</v>
      </c>
    </row>
    <row r="5072" spans="1:6" ht="60" x14ac:dyDescent="0.25">
      <c r="A5072" s="8" t="s">
        <v>125</v>
      </c>
      <c r="B5072" s="8" t="s">
        <v>157</v>
      </c>
      <c r="C5072" s="8" t="str">
        <f>IFERROR(_xlfn.XLOOKUP(TRIM(B5072),Lookup!$B$2:$B$1000,Lookup!$C$2:$C$1000),"")</f>
        <v>Equity</v>
      </c>
      <c r="D5072" s="8" t="str">
        <f>IFERROR(INDEX('nav master'!$C:$C, MATCH(B5072, 'nav master'!$B:$B, 0)), "")</f>
        <v>ULIF07828/02/25Alpha300Fd101</v>
      </c>
      <c r="E5072" s="8" t="s">
        <v>616</v>
      </c>
      <c r="F5072" s="8" t="s">
        <v>3149</v>
      </c>
    </row>
    <row r="5073" spans="1:6" ht="60" x14ac:dyDescent="0.25">
      <c r="A5073" s="8" t="s">
        <v>125</v>
      </c>
      <c r="B5073" s="8" t="s">
        <v>157</v>
      </c>
      <c r="C5073" s="8" t="str">
        <f>IFERROR(_xlfn.XLOOKUP(TRIM(B5073),Lookup!$B$2:$B$1000,Lookup!$C$2:$C$1000),"")</f>
        <v>Equity</v>
      </c>
      <c r="D5073" s="8" t="str">
        <f>IFERROR(INDEX('nav master'!$C:$C, MATCH(B5073, 'nav master'!$B:$B, 0)), "")</f>
        <v>ULIF07828/02/25Alpha300Fd101</v>
      </c>
      <c r="E5073" s="8" t="s">
        <v>618</v>
      </c>
      <c r="F5073" s="8" t="s">
        <v>3150</v>
      </c>
    </row>
    <row r="5074" spans="1:6" ht="60" x14ac:dyDescent="0.25">
      <c r="A5074" s="8" t="s">
        <v>125</v>
      </c>
      <c r="B5074" s="8" t="s">
        <v>157</v>
      </c>
      <c r="C5074" s="8" t="str">
        <f>IFERROR(_xlfn.XLOOKUP(TRIM(B5074),Lookup!$B$2:$B$1000,Lookup!$C$2:$C$1000),"")</f>
        <v>Equity</v>
      </c>
      <c r="D5074" s="8" t="str">
        <f>IFERROR(INDEX('nav master'!$C:$C, MATCH(B5074, 'nav master'!$B:$B, 0)), "")</f>
        <v>ULIF07828/02/25Alpha300Fd101</v>
      </c>
      <c r="E5074" s="8" t="s">
        <v>620</v>
      </c>
      <c r="F5074" s="8" t="s">
        <v>3151</v>
      </c>
    </row>
    <row r="5075" spans="1:6" ht="60" x14ac:dyDescent="0.25">
      <c r="A5075" s="8" t="s">
        <v>125</v>
      </c>
      <c r="B5075" s="8" t="s">
        <v>157</v>
      </c>
      <c r="C5075" s="8" t="str">
        <f>IFERROR(_xlfn.XLOOKUP(TRIM(B5075),Lookup!$B$2:$B$1000,Lookup!$C$2:$C$1000),"")</f>
        <v>Equity</v>
      </c>
      <c r="D5075" s="8" t="str">
        <f>IFERROR(INDEX('nav master'!$C:$C, MATCH(B5075, 'nav master'!$B:$B, 0)), "")</f>
        <v>ULIF07828/02/25Alpha300Fd101</v>
      </c>
      <c r="E5075" s="8" t="s">
        <v>622</v>
      </c>
      <c r="F5075" s="8" t="s">
        <v>3152</v>
      </c>
    </row>
    <row r="5076" spans="1:6" ht="60" x14ac:dyDescent="0.25">
      <c r="A5076" s="8" t="s">
        <v>125</v>
      </c>
      <c r="B5076" s="8" t="s">
        <v>157</v>
      </c>
      <c r="C5076" s="8" t="str">
        <f>IFERROR(_xlfn.XLOOKUP(TRIM(B5076),Lookup!$B$2:$B$1000,Lookup!$C$2:$C$1000),"")</f>
        <v>Equity</v>
      </c>
      <c r="D5076" s="8" t="str">
        <f>IFERROR(INDEX('nav master'!$C:$C, MATCH(B5076, 'nav master'!$B:$B, 0)), "")</f>
        <v>ULIF07828/02/25Alpha300Fd101</v>
      </c>
      <c r="E5076" s="8" t="s">
        <v>624</v>
      </c>
      <c r="F5076" s="8" t="s">
        <v>3153</v>
      </c>
    </row>
    <row r="5077" spans="1:6" ht="60" x14ac:dyDescent="0.25">
      <c r="A5077" s="8" t="s">
        <v>125</v>
      </c>
      <c r="B5077" s="8" t="s">
        <v>157</v>
      </c>
      <c r="C5077" s="8" t="str">
        <f>IFERROR(_xlfn.XLOOKUP(TRIM(B5077),Lookup!$B$2:$B$1000,Lookup!$C$2:$C$1000),"")</f>
        <v>Equity</v>
      </c>
      <c r="D5077" s="8" t="str">
        <f>IFERROR(INDEX('nav master'!$C:$C, MATCH(B5077, 'nav master'!$B:$B, 0)), "")</f>
        <v>ULIF07828/02/25Alpha300Fd101</v>
      </c>
      <c r="E5077" s="8" t="s">
        <v>626</v>
      </c>
      <c r="F5077" s="8" t="s">
        <v>3154</v>
      </c>
    </row>
    <row r="5078" spans="1:6" ht="60" x14ac:dyDescent="0.25">
      <c r="A5078" s="8" t="s">
        <v>125</v>
      </c>
      <c r="B5078" s="8" t="s">
        <v>157</v>
      </c>
      <c r="C5078" s="8" t="str">
        <f>IFERROR(_xlfn.XLOOKUP(TRIM(B5078),Lookup!$B$2:$B$1000,Lookup!$C$2:$C$1000),"")</f>
        <v>Equity</v>
      </c>
      <c r="D5078" s="8" t="str">
        <f>IFERROR(INDEX('nav master'!$C:$C, MATCH(B5078, 'nav master'!$B:$B, 0)), "")</f>
        <v>ULIF07828/02/25Alpha300Fd101</v>
      </c>
      <c r="E5078" s="8" t="s">
        <v>628</v>
      </c>
      <c r="F5078" s="8" t="s">
        <v>3155</v>
      </c>
    </row>
    <row r="5079" spans="1:6" ht="60" x14ac:dyDescent="0.25">
      <c r="A5079" s="8" t="s">
        <v>125</v>
      </c>
      <c r="B5079" s="8" t="s">
        <v>157</v>
      </c>
      <c r="C5079" s="8" t="str">
        <f>IFERROR(_xlfn.XLOOKUP(TRIM(B5079),Lookup!$B$2:$B$1000,Lookup!$C$2:$C$1000),"")</f>
        <v>Equity</v>
      </c>
      <c r="D5079" s="8" t="str">
        <f>IFERROR(INDEX('nav master'!$C:$C, MATCH(B5079, 'nav master'!$B:$B, 0)), "")</f>
        <v>ULIF07828/02/25Alpha300Fd101</v>
      </c>
      <c r="E5079" s="8" t="s">
        <v>630</v>
      </c>
      <c r="F5079" s="8" t="s">
        <v>3156</v>
      </c>
    </row>
    <row r="5080" spans="1:6" ht="60" x14ac:dyDescent="0.25">
      <c r="A5080" s="8" t="s">
        <v>125</v>
      </c>
      <c r="B5080" s="8" t="s">
        <v>157</v>
      </c>
      <c r="C5080" s="8" t="str">
        <f>IFERROR(_xlfn.XLOOKUP(TRIM(B5080),Lookup!$B$2:$B$1000,Lookup!$C$2:$C$1000),"")</f>
        <v>Equity</v>
      </c>
      <c r="D5080" s="8" t="str">
        <f>IFERROR(INDEX('nav master'!$C:$C, MATCH(B5080, 'nav master'!$B:$B, 0)), "")</f>
        <v>ULIF07828/02/25Alpha300Fd101</v>
      </c>
      <c r="E5080" s="8" t="s">
        <v>632</v>
      </c>
      <c r="F5080" s="8" t="s">
        <v>3157</v>
      </c>
    </row>
    <row r="5081" spans="1:6" ht="60" x14ac:dyDescent="0.25">
      <c r="A5081" s="8" t="s">
        <v>125</v>
      </c>
      <c r="B5081" s="8" t="s">
        <v>157</v>
      </c>
      <c r="C5081" s="8" t="str">
        <f>IFERROR(_xlfn.XLOOKUP(TRIM(B5081),Lookup!$B$2:$B$1000,Lookup!$C$2:$C$1000),"")</f>
        <v>Equity</v>
      </c>
      <c r="D5081" s="8" t="str">
        <f>IFERROR(INDEX('nav master'!$C:$C, MATCH(B5081, 'nav master'!$B:$B, 0)), "")</f>
        <v>ULIF07828/02/25Alpha300Fd101</v>
      </c>
      <c r="E5081" s="8" t="s">
        <v>634</v>
      </c>
      <c r="F5081" s="8" t="s">
        <v>3158</v>
      </c>
    </row>
    <row r="5082" spans="1:6" ht="60" x14ac:dyDescent="0.25">
      <c r="A5082" s="8" t="s">
        <v>125</v>
      </c>
      <c r="B5082" s="8" t="s">
        <v>157</v>
      </c>
      <c r="C5082" s="8" t="str">
        <f>IFERROR(_xlfn.XLOOKUP(TRIM(B5082),Lookup!$B$2:$B$1000,Lookup!$C$2:$C$1000),"")</f>
        <v>Equity</v>
      </c>
      <c r="D5082" s="8" t="str">
        <f>IFERROR(INDEX('nav master'!$C:$C, MATCH(B5082, 'nav master'!$B:$B, 0)), "")</f>
        <v>ULIF07828/02/25Alpha300Fd101</v>
      </c>
      <c r="E5082" s="8" t="s">
        <v>636</v>
      </c>
      <c r="F5082" s="8" t="s">
        <v>3159</v>
      </c>
    </row>
    <row r="5083" spans="1:6" ht="60" x14ac:dyDescent="0.25">
      <c r="A5083" s="8" t="s">
        <v>125</v>
      </c>
      <c r="B5083" s="8" t="s">
        <v>157</v>
      </c>
      <c r="C5083" s="8" t="str">
        <f>IFERROR(_xlfn.XLOOKUP(TRIM(B5083),Lookup!$B$2:$B$1000,Lookup!$C$2:$C$1000),"")</f>
        <v>Equity</v>
      </c>
      <c r="D5083" s="8" t="str">
        <f>IFERROR(INDEX('nav master'!$C:$C, MATCH(B5083, 'nav master'!$B:$B, 0)), "")</f>
        <v>ULIF07828/02/25Alpha300Fd101</v>
      </c>
      <c r="E5083" s="8" t="s">
        <v>638</v>
      </c>
      <c r="F5083" s="8" t="s">
        <v>3160</v>
      </c>
    </row>
    <row r="5084" spans="1:6" ht="60" x14ac:dyDescent="0.25">
      <c r="A5084" s="8" t="s">
        <v>125</v>
      </c>
      <c r="B5084" s="8" t="s">
        <v>157</v>
      </c>
      <c r="C5084" s="8" t="str">
        <f>IFERROR(_xlfn.XLOOKUP(TRIM(B5084),Lookup!$B$2:$B$1000,Lookup!$C$2:$C$1000),"")</f>
        <v>Equity</v>
      </c>
      <c r="D5084" s="8" t="str">
        <f>IFERROR(INDEX('nav master'!$C:$C, MATCH(B5084, 'nav master'!$B:$B, 0)), "")</f>
        <v>ULIF07828/02/25Alpha300Fd101</v>
      </c>
      <c r="E5084" s="8" t="s">
        <v>640</v>
      </c>
      <c r="F5084" s="8" t="s">
        <v>3161</v>
      </c>
    </row>
    <row r="5085" spans="1:6" ht="60" x14ac:dyDescent="0.25">
      <c r="A5085" s="8" t="s">
        <v>125</v>
      </c>
      <c r="B5085" s="8" t="s">
        <v>157</v>
      </c>
      <c r="C5085" s="8" t="str">
        <f>IFERROR(_xlfn.XLOOKUP(TRIM(B5085),Lookup!$B$2:$B$1000,Lookup!$C$2:$C$1000),"")</f>
        <v>Equity</v>
      </c>
      <c r="D5085" s="8" t="str">
        <f>IFERROR(INDEX('nav master'!$C:$C, MATCH(B5085, 'nav master'!$B:$B, 0)), "")</f>
        <v>ULIF07828/02/25Alpha300Fd101</v>
      </c>
      <c r="E5085" s="8" t="s">
        <v>642</v>
      </c>
      <c r="F5085" s="8" t="s">
        <v>3162</v>
      </c>
    </row>
    <row r="5086" spans="1:6" ht="60" x14ac:dyDescent="0.25">
      <c r="A5086" s="8" t="s">
        <v>125</v>
      </c>
      <c r="B5086" s="8" t="s">
        <v>157</v>
      </c>
      <c r="C5086" s="8" t="str">
        <f>IFERROR(_xlfn.XLOOKUP(TRIM(B5086),Lookup!$B$2:$B$1000,Lookup!$C$2:$C$1000),"")</f>
        <v>Equity</v>
      </c>
      <c r="D5086" s="8" t="str">
        <f>IFERROR(INDEX('nav master'!$C:$C, MATCH(B5086, 'nav master'!$B:$B, 0)), "")</f>
        <v>ULIF07828/02/25Alpha300Fd101</v>
      </c>
      <c r="E5086" s="8" t="s">
        <v>644</v>
      </c>
      <c r="F5086" s="8" t="s">
        <v>3163</v>
      </c>
    </row>
    <row r="5087" spans="1:6" ht="60" x14ac:dyDescent="0.25">
      <c r="A5087" s="8" t="s">
        <v>125</v>
      </c>
      <c r="B5087" s="8" t="s">
        <v>157</v>
      </c>
      <c r="C5087" s="8" t="str">
        <f>IFERROR(_xlfn.XLOOKUP(TRIM(B5087),Lookup!$B$2:$B$1000,Lookup!$C$2:$C$1000),"")</f>
        <v>Equity</v>
      </c>
      <c r="D5087" s="8" t="str">
        <f>IFERROR(INDEX('nav master'!$C:$C, MATCH(B5087, 'nav master'!$B:$B, 0)), "")</f>
        <v>ULIF07828/02/25Alpha300Fd101</v>
      </c>
      <c r="E5087" s="8" t="s">
        <v>646</v>
      </c>
      <c r="F5087" s="8" t="s">
        <v>3123</v>
      </c>
    </row>
    <row r="5088" spans="1:6" ht="60" x14ac:dyDescent="0.25">
      <c r="A5088" s="8" t="s">
        <v>125</v>
      </c>
      <c r="B5088" s="8" t="s">
        <v>157</v>
      </c>
      <c r="C5088" s="8" t="str">
        <f>IFERROR(_xlfn.XLOOKUP(TRIM(B5088),Lookup!$B$2:$B$1000,Lookup!$C$2:$C$1000),"")</f>
        <v>Equity</v>
      </c>
      <c r="D5088" s="8" t="str">
        <f>IFERROR(INDEX('nav master'!$C:$C, MATCH(B5088, 'nav master'!$B:$B, 0)), "")</f>
        <v>ULIF07828/02/25Alpha300Fd101</v>
      </c>
      <c r="E5088" s="8" t="s">
        <v>648</v>
      </c>
      <c r="F5088" s="8" t="s">
        <v>3164</v>
      </c>
    </row>
    <row r="5089" spans="1:6" ht="60" x14ac:dyDescent="0.25">
      <c r="A5089" s="8" t="s">
        <v>125</v>
      </c>
      <c r="B5089" s="8" t="s">
        <v>157</v>
      </c>
      <c r="C5089" s="8" t="str">
        <f>IFERROR(_xlfn.XLOOKUP(TRIM(B5089),Lookup!$B$2:$B$1000,Lookup!$C$2:$C$1000),"")</f>
        <v>Equity</v>
      </c>
      <c r="D5089" s="8" t="str">
        <f>IFERROR(INDEX('nav master'!$C:$C, MATCH(B5089, 'nav master'!$B:$B, 0)), "")</f>
        <v>ULIF07828/02/25Alpha300Fd101</v>
      </c>
      <c r="E5089" s="8" t="s">
        <v>650</v>
      </c>
      <c r="F5089" s="8" t="s">
        <v>3165</v>
      </c>
    </row>
    <row r="5090" spans="1:6" ht="60" x14ac:dyDescent="0.25">
      <c r="A5090" s="8" t="s">
        <v>125</v>
      </c>
      <c r="B5090" s="8" t="s">
        <v>157</v>
      </c>
      <c r="C5090" s="8" t="str">
        <f>IFERROR(_xlfn.XLOOKUP(TRIM(B5090),Lookup!$B$2:$B$1000,Lookup!$C$2:$C$1000),"")</f>
        <v>Equity</v>
      </c>
      <c r="D5090" s="8" t="str">
        <f>IFERROR(INDEX('nav master'!$C:$C, MATCH(B5090, 'nav master'!$B:$B, 0)), "")</f>
        <v>ULIF07828/02/25Alpha300Fd101</v>
      </c>
      <c r="E5090" s="8" t="s">
        <v>652</v>
      </c>
      <c r="F5090" s="8" t="s">
        <v>3166</v>
      </c>
    </row>
    <row r="5091" spans="1:6" ht="60" x14ac:dyDescent="0.25">
      <c r="A5091" s="8" t="s">
        <v>125</v>
      </c>
      <c r="B5091" s="8" t="s">
        <v>157</v>
      </c>
      <c r="C5091" s="8" t="str">
        <f>IFERROR(_xlfn.XLOOKUP(TRIM(B5091),Lookup!$B$2:$B$1000,Lookup!$C$2:$C$1000),"")</f>
        <v>Equity</v>
      </c>
      <c r="D5091" s="8" t="str">
        <f>IFERROR(INDEX('nav master'!$C:$C, MATCH(B5091, 'nav master'!$B:$B, 0)), "")</f>
        <v>ULIF07828/02/25Alpha300Fd101</v>
      </c>
      <c r="E5091" s="8" t="s">
        <v>654</v>
      </c>
      <c r="F5091" s="8" t="s">
        <v>3167</v>
      </c>
    </row>
    <row r="5092" spans="1:6" ht="60" x14ac:dyDescent="0.25">
      <c r="A5092" s="8" t="s">
        <v>125</v>
      </c>
      <c r="B5092" s="8" t="s">
        <v>157</v>
      </c>
      <c r="C5092" s="8" t="str">
        <f>IFERROR(_xlfn.XLOOKUP(TRIM(B5092),Lookup!$B$2:$B$1000,Lookup!$C$2:$C$1000),"")</f>
        <v>Equity</v>
      </c>
      <c r="D5092" s="8" t="str">
        <f>IFERROR(INDEX('nav master'!$C:$C, MATCH(B5092, 'nav master'!$B:$B, 0)), "")</f>
        <v>ULIF07828/02/25Alpha300Fd101</v>
      </c>
      <c r="E5092" s="8" t="s">
        <v>656</v>
      </c>
      <c r="F5092" s="8" t="s">
        <v>3168</v>
      </c>
    </row>
    <row r="5093" spans="1:6" ht="60" x14ac:dyDescent="0.25">
      <c r="A5093" s="8" t="s">
        <v>125</v>
      </c>
      <c r="B5093" s="8" t="s">
        <v>157</v>
      </c>
      <c r="C5093" s="8" t="str">
        <f>IFERROR(_xlfn.XLOOKUP(TRIM(B5093),Lookup!$B$2:$B$1000,Lookup!$C$2:$C$1000),"")</f>
        <v>Equity</v>
      </c>
      <c r="D5093" s="8" t="str">
        <f>IFERROR(INDEX('nav master'!$C:$C, MATCH(B5093, 'nav master'!$B:$B, 0)), "")</f>
        <v>ULIF07828/02/25Alpha300Fd101</v>
      </c>
      <c r="E5093" s="8" t="s">
        <v>658</v>
      </c>
      <c r="F5093" s="8" t="s">
        <v>3169</v>
      </c>
    </row>
    <row r="5094" spans="1:6" ht="60" x14ac:dyDescent="0.25">
      <c r="A5094" s="8" t="s">
        <v>125</v>
      </c>
      <c r="B5094" s="8" t="s">
        <v>157</v>
      </c>
      <c r="C5094" s="8" t="str">
        <f>IFERROR(_xlfn.XLOOKUP(TRIM(B5094),Lookup!$B$2:$B$1000,Lookup!$C$2:$C$1000),"")</f>
        <v>Equity</v>
      </c>
      <c r="D5094" s="8" t="str">
        <f>IFERROR(INDEX('nav master'!$C:$C, MATCH(B5094, 'nav master'!$B:$B, 0)), "")</f>
        <v>ULIF07828/02/25Alpha300Fd101</v>
      </c>
      <c r="E5094" s="8" t="s">
        <v>660</v>
      </c>
      <c r="F5094" s="8" t="s">
        <v>3170</v>
      </c>
    </row>
    <row r="5095" spans="1:6" ht="60" x14ac:dyDescent="0.25">
      <c r="A5095" s="8" t="s">
        <v>125</v>
      </c>
      <c r="B5095" s="8" t="s">
        <v>157</v>
      </c>
      <c r="C5095" s="8" t="str">
        <f>IFERROR(_xlfn.XLOOKUP(TRIM(B5095),Lookup!$B$2:$B$1000,Lookup!$C$2:$C$1000),"")</f>
        <v>Equity</v>
      </c>
      <c r="D5095" s="8" t="str">
        <f>IFERROR(INDEX('nav master'!$C:$C, MATCH(B5095, 'nav master'!$B:$B, 0)), "")</f>
        <v>ULIF07828/02/25Alpha300Fd101</v>
      </c>
      <c r="E5095" s="8" t="s">
        <v>662</v>
      </c>
      <c r="F5095" s="8" t="s">
        <v>3171</v>
      </c>
    </row>
    <row r="5096" spans="1:6" ht="60" x14ac:dyDescent="0.25">
      <c r="A5096" s="8" t="s">
        <v>125</v>
      </c>
      <c r="B5096" s="8" t="s">
        <v>157</v>
      </c>
      <c r="C5096" s="8" t="str">
        <f>IFERROR(_xlfn.XLOOKUP(TRIM(B5096),Lookup!$B$2:$B$1000,Lookup!$C$2:$C$1000),"")</f>
        <v>Equity</v>
      </c>
      <c r="D5096" s="8" t="str">
        <f>IFERROR(INDEX('nav master'!$C:$C, MATCH(B5096, 'nav master'!$B:$B, 0)), "")</f>
        <v>ULIF07828/02/25Alpha300Fd101</v>
      </c>
      <c r="E5096" s="8" t="s">
        <v>664</v>
      </c>
      <c r="F5096" s="8" t="s">
        <v>3172</v>
      </c>
    </row>
    <row r="5097" spans="1:6" ht="60" x14ac:dyDescent="0.25">
      <c r="A5097" s="8" t="s">
        <v>125</v>
      </c>
      <c r="B5097" s="8" t="s">
        <v>157</v>
      </c>
      <c r="C5097" s="8" t="str">
        <f>IFERROR(_xlfn.XLOOKUP(TRIM(B5097),Lookup!$B$2:$B$1000,Lookup!$C$2:$C$1000),"")</f>
        <v>Equity</v>
      </c>
      <c r="D5097" s="8" t="str">
        <f>IFERROR(INDEX('nav master'!$C:$C, MATCH(B5097, 'nav master'!$B:$B, 0)), "")</f>
        <v>ULIF07828/02/25Alpha300Fd101</v>
      </c>
      <c r="E5097" s="8" t="s">
        <v>4892</v>
      </c>
      <c r="F5097" s="8" t="s">
        <v>4984</v>
      </c>
    </row>
    <row r="5098" spans="1:6" ht="60" x14ac:dyDescent="0.25">
      <c r="A5098" s="8" t="s">
        <v>125</v>
      </c>
      <c r="B5098" s="8" t="s">
        <v>157</v>
      </c>
      <c r="C5098" s="8" t="str">
        <f>IFERROR(_xlfn.XLOOKUP(TRIM(B5098),Lookup!$B$2:$B$1000,Lookup!$C$2:$C$1000),"")</f>
        <v>Equity</v>
      </c>
      <c r="D5098" s="8" t="str">
        <f>IFERROR(INDEX('nav master'!$C:$C, MATCH(B5098, 'nav master'!$B:$B, 0)), "")</f>
        <v>ULIF07828/02/25Alpha300Fd101</v>
      </c>
      <c r="E5098" s="8" t="s">
        <v>4894</v>
      </c>
      <c r="F5098" s="8" t="s">
        <v>4985</v>
      </c>
    </row>
    <row r="5099" spans="1:6" ht="60" x14ac:dyDescent="0.25">
      <c r="A5099" s="8" t="s">
        <v>125</v>
      </c>
      <c r="B5099" s="8" t="s">
        <v>157</v>
      </c>
      <c r="C5099" s="8" t="str">
        <f>IFERROR(_xlfn.XLOOKUP(TRIM(B5099),Lookup!$B$2:$B$1000,Lookup!$C$2:$C$1000),"")</f>
        <v>Equity</v>
      </c>
      <c r="D5099" s="8" t="str">
        <f>IFERROR(INDEX('nav master'!$C:$C, MATCH(B5099, 'nav master'!$B:$B, 0)), "")</f>
        <v>ULIF07828/02/25Alpha300Fd101</v>
      </c>
      <c r="E5099" s="8" t="s">
        <v>4896</v>
      </c>
      <c r="F5099" s="8" t="s">
        <v>4986</v>
      </c>
    </row>
    <row r="5100" spans="1:6" ht="60" x14ac:dyDescent="0.25">
      <c r="A5100" s="8" t="s">
        <v>125</v>
      </c>
      <c r="B5100" s="8" t="s">
        <v>157</v>
      </c>
      <c r="C5100" s="8" t="str">
        <f>IFERROR(_xlfn.XLOOKUP(TRIM(B5100),Lookup!$B$2:$B$1000,Lookup!$C$2:$C$1000),"")</f>
        <v>Equity</v>
      </c>
      <c r="D5100" s="8" t="str">
        <f>IFERROR(INDEX('nav master'!$C:$C, MATCH(B5100, 'nav master'!$B:$B, 0)), "")</f>
        <v>ULIF07828/02/25Alpha300Fd101</v>
      </c>
      <c r="E5100" s="8" t="s">
        <v>4898</v>
      </c>
      <c r="F5100" s="8" t="s">
        <v>4987</v>
      </c>
    </row>
    <row r="5101" spans="1:6" ht="60" x14ac:dyDescent="0.25">
      <c r="A5101" s="8" t="s">
        <v>125</v>
      </c>
      <c r="B5101" s="8" t="s">
        <v>157</v>
      </c>
      <c r="C5101" s="8" t="str">
        <f>IFERROR(_xlfn.XLOOKUP(TRIM(B5101),Lookup!$B$2:$B$1000,Lookup!$C$2:$C$1000),"")</f>
        <v>Equity</v>
      </c>
      <c r="D5101" s="8" t="str">
        <f>IFERROR(INDEX('nav master'!$C:$C, MATCH(B5101, 'nav master'!$B:$B, 0)), "")</f>
        <v>ULIF07828/02/25Alpha300Fd101</v>
      </c>
      <c r="E5101" s="8" t="s">
        <v>4900</v>
      </c>
      <c r="F5101" s="8" t="s">
        <v>4988</v>
      </c>
    </row>
    <row r="5102" spans="1:6" ht="60" x14ac:dyDescent="0.25">
      <c r="A5102" s="8" t="s">
        <v>125</v>
      </c>
      <c r="B5102" s="8" t="s">
        <v>157</v>
      </c>
      <c r="C5102" s="8" t="str">
        <f>IFERROR(_xlfn.XLOOKUP(TRIM(B5102),Lookup!$B$2:$B$1000,Lookup!$C$2:$C$1000),"")</f>
        <v>Equity</v>
      </c>
      <c r="D5102" s="8" t="str">
        <f>IFERROR(INDEX('nav master'!$C:$C, MATCH(B5102, 'nav master'!$B:$B, 0)), "")</f>
        <v>ULIF07828/02/25Alpha300Fd101</v>
      </c>
      <c r="E5102" s="8" t="s">
        <v>4902</v>
      </c>
      <c r="F5102" s="8" t="s">
        <v>4989</v>
      </c>
    </row>
    <row r="5103" spans="1:6" ht="60" x14ac:dyDescent="0.25">
      <c r="A5103" s="8" t="s">
        <v>125</v>
      </c>
      <c r="B5103" s="8" t="s">
        <v>157</v>
      </c>
      <c r="C5103" s="8" t="str">
        <f>IFERROR(_xlfn.XLOOKUP(TRIM(B5103),Lookup!$B$2:$B$1000,Lookup!$C$2:$C$1000),"")</f>
        <v>Equity</v>
      </c>
      <c r="D5103" s="8" t="str">
        <f>IFERROR(INDEX('nav master'!$C:$C, MATCH(B5103, 'nav master'!$B:$B, 0)), "")</f>
        <v>ULIF07828/02/25Alpha300Fd101</v>
      </c>
      <c r="E5103" s="8" t="s">
        <v>4903</v>
      </c>
      <c r="F5103" s="8" t="s">
        <v>4990</v>
      </c>
    </row>
    <row r="5104" spans="1:6" ht="60" x14ac:dyDescent="0.25">
      <c r="A5104" s="8" t="s">
        <v>125</v>
      </c>
      <c r="B5104" s="8" t="s">
        <v>157</v>
      </c>
      <c r="C5104" s="8" t="str">
        <f>IFERROR(_xlfn.XLOOKUP(TRIM(B5104),Lookup!$B$2:$B$1000,Lookup!$C$2:$C$1000),"")</f>
        <v>Equity</v>
      </c>
      <c r="D5104" s="8" t="str">
        <f>IFERROR(INDEX('nav master'!$C:$C, MATCH(B5104, 'nav master'!$B:$B, 0)), "")</f>
        <v>ULIF07828/02/25Alpha300Fd101</v>
      </c>
      <c r="E5104" s="8" t="s">
        <v>4905</v>
      </c>
      <c r="F5104" s="8" t="s">
        <v>4991</v>
      </c>
    </row>
    <row r="5105" spans="1:6" ht="60" x14ac:dyDescent="0.25">
      <c r="A5105" s="8" t="s">
        <v>125</v>
      </c>
      <c r="B5105" s="8" t="s">
        <v>159</v>
      </c>
      <c r="C5105" s="8" t="str">
        <f>IFERROR(_xlfn.XLOOKUP(TRIM(B5105),Lookup!$B$2:$B$1000,Lookup!$C$2:$C$1000),"")</f>
        <v>Equity</v>
      </c>
      <c r="D5105" s="8" t="str">
        <f>IFERROR(INDEX('nav master'!$C:$C, MATCH(B5105, 'nav master'!$B:$B, 0)), "")</f>
        <v>ULIF08219/09/25TopMF500Fd101</v>
      </c>
      <c r="E5105" s="8" t="s">
        <v>271</v>
      </c>
      <c r="F5105" s="8" t="s">
        <v>1603</v>
      </c>
    </row>
    <row r="5106" spans="1:6" ht="60" x14ac:dyDescent="0.25">
      <c r="A5106" s="8" t="s">
        <v>125</v>
      </c>
      <c r="B5106" s="8" t="s">
        <v>159</v>
      </c>
      <c r="C5106" s="8" t="str">
        <f>IFERROR(_xlfn.XLOOKUP(TRIM(B5106),Lookup!$B$2:$B$1000,Lookup!$C$2:$C$1000),"")</f>
        <v>Equity</v>
      </c>
      <c r="D5106" s="8" t="str">
        <f>IFERROR(INDEX('nav master'!$C:$C, MATCH(B5106, 'nav master'!$B:$B, 0)), "")</f>
        <v>ULIF08219/09/25TopMF500Fd101</v>
      </c>
      <c r="E5106" s="8" t="s">
        <v>273</v>
      </c>
      <c r="F5106" s="8" t="s">
        <v>3173</v>
      </c>
    </row>
    <row r="5107" spans="1:6" ht="60" x14ac:dyDescent="0.25">
      <c r="A5107" s="8" t="s">
        <v>125</v>
      </c>
      <c r="B5107" s="8" t="s">
        <v>159</v>
      </c>
      <c r="C5107" s="8" t="str">
        <f>IFERROR(_xlfn.XLOOKUP(TRIM(B5107),Lookup!$B$2:$B$1000,Lookup!$C$2:$C$1000),"")</f>
        <v>Equity</v>
      </c>
      <c r="D5107" s="8" t="str">
        <f>IFERROR(INDEX('nav master'!$C:$C, MATCH(B5107, 'nav master'!$B:$B, 0)), "")</f>
        <v>ULIF08219/09/25TopMF500Fd101</v>
      </c>
      <c r="E5107" s="8" t="s">
        <v>275</v>
      </c>
      <c r="F5107" s="8" t="s">
        <v>3174</v>
      </c>
    </row>
    <row r="5108" spans="1:6" ht="60" x14ac:dyDescent="0.25">
      <c r="A5108" s="8" t="s">
        <v>125</v>
      </c>
      <c r="B5108" s="8" t="s">
        <v>159</v>
      </c>
      <c r="C5108" s="8" t="str">
        <f>IFERROR(_xlfn.XLOOKUP(TRIM(B5108),Lookup!$B$2:$B$1000,Lookup!$C$2:$C$1000),"")</f>
        <v>Equity</v>
      </c>
      <c r="D5108" s="8" t="str">
        <f>IFERROR(INDEX('nav master'!$C:$C, MATCH(B5108, 'nav master'!$B:$B, 0)), "")</f>
        <v>ULIF08219/09/25TopMF500Fd101</v>
      </c>
      <c r="E5108" s="8" t="s">
        <v>277</v>
      </c>
      <c r="F5108" s="8" t="s">
        <v>3175</v>
      </c>
    </row>
    <row r="5109" spans="1:6" ht="60" x14ac:dyDescent="0.25">
      <c r="A5109" s="8" t="s">
        <v>125</v>
      </c>
      <c r="B5109" s="8" t="s">
        <v>159</v>
      </c>
      <c r="C5109" s="8" t="str">
        <f>IFERROR(_xlfn.XLOOKUP(TRIM(B5109),Lookup!$B$2:$B$1000,Lookup!$C$2:$C$1000),"")</f>
        <v>Equity</v>
      </c>
      <c r="D5109" s="8" t="str">
        <f>IFERROR(INDEX('nav master'!$C:$C, MATCH(B5109, 'nav master'!$B:$B, 0)), "")</f>
        <v>ULIF08219/09/25TopMF500Fd101</v>
      </c>
      <c r="E5109" s="8" t="s">
        <v>279</v>
      </c>
      <c r="F5109" s="8" t="s">
        <v>3176</v>
      </c>
    </row>
    <row r="5110" spans="1:6" ht="60" x14ac:dyDescent="0.25">
      <c r="A5110" s="8" t="s">
        <v>125</v>
      </c>
      <c r="B5110" s="8" t="s">
        <v>159</v>
      </c>
      <c r="C5110" s="8" t="str">
        <f>IFERROR(_xlfn.XLOOKUP(TRIM(B5110),Lookup!$B$2:$B$1000,Lookup!$C$2:$C$1000),"")</f>
        <v>Equity</v>
      </c>
      <c r="D5110" s="8" t="str">
        <f>IFERROR(INDEX('nav master'!$C:$C, MATCH(B5110, 'nav master'!$B:$B, 0)), "")</f>
        <v>ULIF08219/09/25TopMF500Fd101</v>
      </c>
      <c r="E5110" s="8" t="s">
        <v>281</v>
      </c>
      <c r="F5110" s="8" t="s">
        <v>3177</v>
      </c>
    </row>
    <row r="5111" spans="1:6" ht="60" x14ac:dyDescent="0.25">
      <c r="A5111" s="8" t="s">
        <v>125</v>
      </c>
      <c r="B5111" s="8" t="s">
        <v>159</v>
      </c>
      <c r="C5111" s="8" t="str">
        <f>IFERROR(_xlfn.XLOOKUP(TRIM(B5111),Lookup!$B$2:$B$1000,Lookup!$C$2:$C$1000),"")</f>
        <v>Equity</v>
      </c>
      <c r="D5111" s="8" t="str">
        <f>IFERROR(INDEX('nav master'!$C:$C, MATCH(B5111, 'nav master'!$B:$B, 0)), "")</f>
        <v>ULIF08219/09/25TopMF500Fd101</v>
      </c>
      <c r="E5111" s="8" t="s">
        <v>283</v>
      </c>
      <c r="F5111" s="8" t="s">
        <v>3178</v>
      </c>
    </row>
    <row r="5112" spans="1:6" ht="60" x14ac:dyDescent="0.25">
      <c r="A5112" s="8" t="s">
        <v>125</v>
      </c>
      <c r="B5112" s="8" t="s">
        <v>159</v>
      </c>
      <c r="C5112" s="8" t="str">
        <f>IFERROR(_xlfn.XLOOKUP(TRIM(B5112),Lookup!$B$2:$B$1000,Lookup!$C$2:$C$1000),"")</f>
        <v>Equity</v>
      </c>
      <c r="D5112" s="8" t="str">
        <f>IFERROR(INDEX('nav master'!$C:$C, MATCH(B5112, 'nav master'!$B:$B, 0)), "")</f>
        <v>ULIF08219/09/25TopMF500Fd101</v>
      </c>
      <c r="E5112" s="8" t="s">
        <v>285</v>
      </c>
      <c r="F5112" s="8" t="s">
        <v>3179</v>
      </c>
    </row>
    <row r="5113" spans="1:6" ht="60" x14ac:dyDescent="0.25">
      <c r="A5113" s="8" t="s">
        <v>125</v>
      </c>
      <c r="B5113" s="8" t="s">
        <v>159</v>
      </c>
      <c r="C5113" s="8" t="str">
        <f>IFERROR(_xlfn.XLOOKUP(TRIM(B5113),Lookup!$B$2:$B$1000,Lookup!$C$2:$C$1000),"")</f>
        <v>Equity</v>
      </c>
      <c r="D5113" s="8" t="str">
        <f>IFERROR(INDEX('nav master'!$C:$C, MATCH(B5113, 'nav master'!$B:$B, 0)), "")</f>
        <v>ULIF08219/09/25TopMF500Fd101</v>
      </c>
      <c r="E5113" s="8" t="s">
        <v>287</v>
      </c>
      <c r="F5113" s="8" t="s">
        <v>3180</v>
      </c>
    </row>
    <row r="5114" spans="1:6" ht="60" x14ac:dyDescent="0.25">
      <c r="A5114" s="8" t="s">
        <v>125</v>
      </c>
      <c r="B5114" s="8" t="s">
        <v>159</v>
      </c>
      <c r="C5114" s="8" t="str">
        <f>IFERROR(_xlfn.XLOOKUP(TRIM(B5114),Lookup!$B$2:$B$1000,Lookup!$C$2:$C$1000),"")</f>
        <v>Equity</v>
      </c>
      <c r="D5114" s="8" t="str">
        <f>IFERROR(INDEX('nav master'!$C:$C, MATCH(B5114, 'nav master'!$B:$B, 0)), "")</f>
        <v>ULIF08219/09/25TopMF500Fd101</v>
      </c>
      <c r="E5114" s="8" t="s">
        <v>289</v>
      </c>
      <c r="F5114" s="8" t="s">
        <v>3181</v>
      </c>
    </row>
    <row r="5115" spans="1:6" ht="60" x14ac:dyDescent="0.25">
      <c r="A5115" s="8" t="s">
        <v>125</v>
      </c>
      <c r="B5115" s="8" t="s">
        <v>159</v>
      </c>
      <c r="C5115" s="8" t="str">
        <f>IFERROR(_xlfn.XLOOKUP(TRIM(B5115),Lookup!$B$2:$B$1000,Lookup!$C$2:$C$1000),"")</f>
        <v>Equity</v>
      </c>
      <c r="D5115" s="8" t="str">
        <f>IFERROR(INDEX('nav master'!$C:$C, MATCH(B5115, 'nav master'!$B:$B, 0)), "")</f>
        <v>ULIF08219/09/25TopMF500Fd101</v>
      </c>
      <c r="E5115" s="8" t="s">
        <v>291</v>
      </c>
      <c r="F5115" s="8" t="s">
        <v>3182</v>
      </c>
    </row>
    <row r="5116" spans="1:6" ht="60" x14ac:dyDescent="0.25">
      <c r="A5116" s="8" t="s">
        <v>125</v>
      </c>
      <c r="B5116" s="8" t="s">
        <v>159</v>
      </c>
      <c r="C5116" s="8" t="str">
        <f>IFERROR(_xlfn.XLOOKUP(TRIM(B5116),Lookup!$B$2:$B$1000,Lookup!$C$2:$C$1000),"")</f>
        <v>Equity</v>
      </c>
      <c r="D5116" s="8" t="str">
        <f>IFERROR(INDEX('nav master'!$C:$C, MATCH(B5116, 'nav master'!$B:$B, 0)), "")</f>
        <v>ULIF08219/09/25TopMF500Fd101</v>
      </c>
      <c r="E5116" s="8" t="s">
        <v>293</v>
      </c>
      <c r="F5116" s="8" t="s">
        <v>3183</v>
      </c>
    </row>
    <row r="5117" spans="1:6" ht="60" x14ac:dyDescent="0.25">
      <c r="A5117" s="8" t="s">
        <v>125</v>
      </c>
      <c r="B5117" s="8" t="s">
        <v>159</v>
      </c>
      <c r="C5117" s="8" t="str">
        <f>IFERROR(_xlfn.XLOOKUP(TRIM(B5117),Lookup!$B$2:$B$1000,Lookup!$C$2:$C$1000),"")</f>
        <v>Equity</v>
      </c>
      <c r="D5117" s="8" t="str">
        <f>IFERROR(INDEX('nav master'!$C:$C, MATCH(B5117, 'nav master'!$B:$B, 0)), "")</f>
        <v>ULIF08219/09/25TopMF500Fd101</v>
      </c>
      <c r="E5117" s="8" t="s">
        <v>295</v>
      </c>
      <c r="F5117" s="8" t="s">
        <v>3184</v>
      </c>
    </row>
    <row r="5118" spans="1:6" ht="60" x14ac:dyDescent="0.25">
      <c r="A5118" s="8" t="s">
        <v>125</v>
      </c>
      <c r="B5118" s="8" t="s">
        <v>159</v>
      </c>
      <c r="C5118" s="8" t="str">
        <f>IFERROR(_xlfn.XLOOKUP(TRIM(B5118),Lookup!$B$2:$B$1000,Lookup!$C$2:$C$1000),"")</f>
        <v>Equity</v>
      </c>
      <c r="D5118" s="8" t="str">
        <f>IFERROR(INDEX('nav master'!$C:$C, MATCH(B5118, 'nav master'!$B:$B, 0)), "")</f>
        <v>ULIF08219/09/25TopMF500Fd101</v>
      </c>
      <c r="E5118" s="8" t="s">
        <v>297</v>
      </c>
      <c r="F5118" s="8" t="s">
        <v>3185</v>
      </c>
    </row>
    <row r="5119" spans="1:6" ht="60" x14ac:dyDescent="0.25">
      <c r="A5119" s="8" t="s">
        <v>125</v>
      </c>
      <c r="B5119" s="8" t="s">
        <v>159</v>
      </c>
      <c r="C5119" s="8" t="str">
        <f>IFERROR(_xlfn.XLOOKUP(TRIM(B5119),Lookup!$B$2:$B$1000,Lookup!$C$2:$C$1000),"")</f>
        <v>Equity</v>
      </c>
      <c r="D5119" s="8" t="str">
        <f>IFERROR(INDEX('nav master'!$C:$C, MATCH(B5119, 'nav master'!$B:$B, 0)), "")</f>
        <v>ULIF08219/09/25TopMF500Fd101</v>
      </c>
      <c r="E5119" s="8" t="s">
        <v>299</v>
      </c>
      <c r="F5119" s="8" t="s">
        <v>3186</v>
      </c>
    </row>
    <row r="5120" spans="1:6" ht="60" x14ac:dyDescent="0.25">
      <c r="A5120" s="8" t="s">
        <v>125</v>
      </c>
      <c r="B5120" s="8" t="s">
        <v>159</v>
      </c>
      <c r="C5120" s="8" t="str">
        <f>IFERROR(_xlfn.XLOOKUP(TRIM(B5120),Lookup!$B$2:$B$1000,Lookup!$C$2:$C$1000),"")</f>
        <v>Equity</v>
      </c>
      <c r="D5120" s="8" t="str">
        <f>IFERROR(INDEX('nav master'!$C:$C, MATCH(B5120, 'nav master'!$B:$B, 0)), "")</f>
        <v>ULIF08219/09/25TopMF500Fd101</v>
      </c>
      <c r="E5120" s="8" t="s">
        <v>301</v>
      </c>
      <c r="F5120" s="8" t="s">
        <v>3187</v>
      </c>
    </row>
    <row r="5121" spans="1:6" ht="60" x14ac:dyDescent="0.25">
      <c r="A5121" s="8" t="s">
        <v>125</v>
      </c>
      <c r="B5121" s="8" t="s">
        <v>159</v>
      </c>
      <c r="C5121" s="8" t="str">
        <f>IFERROR(_xlfn.XLOOKUP(TRIM(B5121),Lookup!$B$2:$B$1000,Lookup!$C$2:$C$1000),"")</f>
        <v>Equity</v>
      </c>
      <c r="D5121" s="8" t="str">
        <f>IFERROR(INDEX('nav master'!$C:$C, MATCH(B5121, 'nav master'!$B:$B, 0)), "")</f>
        <v>ULIF08219/09/25TopMF500Fd101</v>
      </c>
      <c r="E5121" s="8" t="s">
        <v>303</v>
      </c>
      <c r="F5121" s="8" t="s">
        <v>3188</v>
      </c>
    </row>
    <row r="5122" spans="1:6" ht="60" x14ac:dyDescent="0.25">
      <c r="A5122" s="8" t="s">
        <v>125</v>
      </c>
      <c r="B5122" s="8" t="s">
        <v>159</v>
      </c>
      <c r="C5122" s="8" t="str">
        <f>IFERROR(_xlfn.XLOOKUP(TRIM(B5122),Lookup!$B$2:$B$1000,Lookup!$C$2:$C$1000),"")</f>
        <v>Equity</v>
      </c>
      <c r="D5122" s="8" t="str">
        <f>IFERROR(INDEX('nav master'!$C:$C, MATCH(B5122, 'nav master'!$B:$B, 0)), "")</f>
        <v>ULIF08219/09/25TopMF500Fd101</v>
      </c>
      <c r="E5122" s="8" t="s">
        <v>305</v>
      </c>
      <c r="F5122" s="8" t="s">
        <v>3189</v>
      </c>
    </row>
    <row r="5123" spans="1:6" ht="60" x14ac:dyDescent="0.25">
      <c r="A5123" s="8" t="s">
        <v>125</v>
      </c>
      <c r="B5123" s="8" t="s">
        <v>159</v>
      </c>
      <c r="C5123" s="8" t="str">
        <f>IFERROR(_xlfn.XLOOKUP(TRIM(B5123),Lookup!$B$2:$B$1000,Lookup!$C$2:$C$1000),"")</f>
        <v>Equity</v>
      </c>
      <c r="D5123" s="8" t="str">
        <f>IFERROR(INDEX('nav master'!$C:$C, MATCH(B5123, 'nav master'!$B:$B, 0)), "")</f>
        <v>ULIF08219/09/25TopMF500Fd101</v>
      </c>
      <c r="E5123" s="8" t="s">
        <v>307</v>
      </c>
      <c r="F5123" s="8" t="s">
        <v>3190</v>
      </c>
    </row>
    <row r="5124" spans="1:6" ht="60" x14ac:dyDescent="0.25">
      <c r="A5124" s="8" t="s">
        <v>125</v>
      </c>
      <c r="B5124" s="8" t="s">
        <v>159</v>
      </c>
      <c r="C5124" s="8" t="str">
        <f>IFERROR(_xlfn.XLOOKUP(TRIM(B5124),Lookup!$B$2:$B$1000,Lookup!$C$2:$C$1000),"")</f>
        <v>Equity</v>
      </c>
      <c r="D5124" s="8" t="str">
        <f>IFERROR(INDEX('nav master'!$C:$C, MATCH(B5124, 'nav master'!$B:$B, 0)), "")</f>
        <v>ULIF08219/09/25TopMF500Fd101</v>
      </c>
      <c r="E5124" s="8" t="s">
        <v>309</v>
      </c>
      <c r="F5124" s="8" t="s">
        <v>3191</v>
      </c>
    </row>
    <row r="5125" spans="1:6" ht="60" x14ac:dyDescent="0.25">
      <c r="A5125" s="8" t="s">
        <v>125</v>
      </c>
      <c r="B5125" s="8" t="s">
        <v>159</v>
      </c>
      <c r="C5125" s="8" t="str">
        <f>IFERROR(_xlfn.XLOOKUP(TRIM(B5125),Lookup!$B$2:$B$1000,Lookup!$C$2:$C$1000),"")</f>
        <v>Equity</v>
      </c>
      <c r="D5125" s="8" t="str">
        <f>IFERROR(INDEX('nav master'!$C:$C, MATCH(B5125, 'nav master'!$B:$B, 0)), "")</f>
        <v>ULIF08219/09/25TopMF500Fd101</v>
      </c>
      <c r="E5125" s="8" t="s">
        <v>311</v>
      </c>
      <c r="F5125" s="8" t="s">
        <v>3192</v>
      </c>
    </row>
    <row r="5126" spans="1:6" ht="60" x14ac:dyDescent="0.25">
      <c r="A5126" s="8" t="s">
        <v>125</v>
      </c>
      <c r="B5126" s="8" t="s">
        <v>159</v>
      </c>
      <c r="C5126" s="8" t="str">
        <f>IFERROR(_xlfn.XLOOKUP(TRIM(B5126),Lookup!$B$2:$B$1000,Lookup!$C$2:$C$1000),"")</f>
        <v>Equity</v>
      </c>
      <c r="D5126" s="8" t="str">
        <f>IFERROR(INDEX('nav master'!$C:$C, MATCH(B5126, 'nav master'!$B:$B, 0)), "")</f>
        <v>ULIF08219/09/25TopMF500Fd101</v>
      </c>
      <c r="E5126" s="8" t="s">
        <v>313</v>
      </c>
      <c r="F5126" s="8" t="s">
        <v>3193</v>
      </c>
    </row>
    <row r="5127" spans="1:6" ht="60" x14ac:dyDescent="0.25">
      <c r="A5127" s="8" t="s">
        <v>125</v>
      </c>
      <c r="B5127" s="8" t="s">
        <v>159</v>
      </c>
      <c r="C5127" s="8" t="str">
        <f>IFERROR(_xlfn.XLOOKUP(TRIM(B5127),Lookup!$B$2:$B$1000,Lookup!$C$2:$C$1000),"")</f>
        <v>Equity</v>
      </c>
      <c r="D5127" s="8" t="str">
        <f>IFERROR(INDEX('nav master'!$C:$C, MATCH(B5127, 'nav master'!$B:$B, 0)), "")</f>
        <v>ULIF08219/09/25TopMF500Fd101</v>
      </c>
      <c r="E5127" s="8" t="s">
        <v>315</v>
      </c>
      <c r="F5127" s="8" t="s">
        <v>3194</v>
      </c>
    </row>
    <row r="5128" spans="1:6" ht="60" x14ac:dyDescent="0.25">
      <c r="A5128" s="8" t="s">
        <v>125</v>
      </c>
      <c r="B5128" s="8" t="s">
        <v>159</v>
      </c>
      <c r="C5128" s="8" t="str">
        <f>IFERROR(_xlfn.XLOOKUP(TRIM(B5128),Lookup!$B$2:$B$1000,Lookup!$C$2:$C$1000),"")</f>
        <v>Equity</v>
      </c>
      <c r="D5128" s="8" t="str">
        <f>IFERROR(INDEX('nav master'!$C:$C, MATCH(B5128, 'nav master'!$B:$B, 0)), "")</f>
        <v>ULIF08219/09/25TopMF500Fd101</v>
      </c>
      <c r="E5128" s="8" t="s">
        <v>317</v>
      </c>
      <c r="F5128" s="8" t="s">
        <v>3195</v>
      </c>
    </row>
    <row r="5129" spans="1:6" ht="60" x14ac:dyDescent="0.25">
      <c r="A5129" s="8" t="s">
        <v>125</v>
      </c>
      <c r="B5129" s="8" t="s">
        <v>159</v>
      </c>
      <c r="C5129" s="8" t="str">
        <f>IFERROR(_xlfn.XLOOKUP(TRIM(B5129),Lookup!$B$2:$B$1000,Lookup!$C$2:$C$1000),"")</f>
        <v>Equity</v>
      </c>
      <c r="D5129" s="8" t="str">
        <f>IFERROR(INDEX('nav master'!$C:$C, MATCH(B5129, 'nav master'!$B:$B, 0)), "")</f>
        <v>ULIF08219/09/25TopMF500Fd101</v>
      </c>
      <c r="E5129" s="8" t="s">
        <v>319</v>
      </c>
      <c r="F5129" s="8" t="s">
        <v>2851</v>
      </c>
    </row>
    <row r="5130" spans="1:6" ht="60" x14ac:dyDescent="0.25">
      <c r="A5130" s="8" t="s">
        <v>125</v>
      </c>
      <c r="B5130" s="8" t="s">
        <v>159</v>
      </c>
      <c r="C5130" s="8" t="str">
        <f>IFERROR(_xlfn.XLOOKUP(TRIM(B5130),Lookup!$B$2:$B$1000,Lookup!$C$2:$C$1000),"")</f>
        <v>Equity</v>
      </c>
      <c r="D5130" s="8" t="str">
        <f>IFERROR(INDEX('nav master'!$C:$C, MATCH(B5130, 'nav master'!$B:$B, 0)), "")</f>
        <v>ULIF08219/09/25TopMF500Fd101</v>
      </c>
      <c r="E5130" s="8" t="s">
        <v>321</v>
      </c>
      <c r="F5130" s="8" t="s">
        <v>3196</v>
      </c>
    </row>
    <row r="5131" spans="1:6" ht="60" x14ac:dyDescent="0.25">
      <c r="A5131" s="8" t="s">
        <v>125</v>
      </c>
      <c r="B5131" s="8" t="s">
        <v>159</v>
      </c>
      <c r="C5131" s="8" t="str">
        <f>IFERROR(_xlfn.XLOOKUP(TRIM(B5131),Lookup!$B$2:$B$1000,Lookup!$C$2:$C$1000),"")</f>
        <v>Equity</v>
      </c>
      <c r="D5131" s="8" t="str">
        <f>IFERROR(INDEX('nav master'!$C:$C, MATCH(B5131, 'nav master'!$B:$B, 0)), "")</f>
        <v>ULIF08219/09/25TopMF500Fd101</v>
      </c>
      <c r="E5131" s="8" t="s">
        <v>323</v>
      </c>
      <c r="F5131" s="8" t="s">
        <v>3197</v>
      </c>
    </row>
    <row r="5132" spans="1:6" ht="60" x14ac:dyDescent="0.25">
      <c r="A5132" s="8" t="s">
        <v>125</v>
      </c>
      <c r="B5132" s="8" t="s">
        <v>159</v>
      </c>
      <c r="C5132" s="8" t="str">
        <f>IFERROR(_xlfn.XLOOKUP(TRIM(B5132),Lookup!$B$2:$B$1000,Lookup!$C$2:$C$1000),"")</f>
        <v>Equity</v>
      </c>
      <c r="D5132" s="8" t="str">
        <f>IFERROR(INDEX('nav master'!$C:$C, MATCH(B5132, 'nav master'!$B:$B, 0)), "")</f>
        <v>ULIF08219/09/25TopMF500Fd101</v>
      </c>
      <c r="E5132" s="8" t="s">
        <v>325</v>
      </c>
      <c r="F5132" s="8" t="s">
        <v>3198</v>
      </c>
    </row>
    <row r="5133" spans="1:6" ht="60" x14ac:dyDescent="0.25">
      <c r="A5133" s="8" t="s">
        <v>125</v>
      </c>
      <c r="B5133" s="8" t="s">
        <v>159</v>
      </c>
      <c r="C5133" s="8" t="str">
        <f>IFERROR(_xlfn.XLOOKUP(TRIM(B5133),Lookup!$B$2:$B$1000,Lookup!$C$2:$C$1000),"")</f>
        <v>Equity</v>
      </c>
      <c r="D5133" s="8" t="str">
        <f>IFERROR(INDEX('nav master'!$C:$C, MATCH(B5133, 'nav master'!$B:$B, 0)), "")</f>
        <v>ULIF08219/09/25TopMF500Fd101</v>
      </c>
      <c r="E5133" s="8" t="s">
        <v>327</v>
      </c>
      <c r="F5133" s="8" t="s">
        <v>3199</v>
      </c>
    </row>
    <row r="5134" spans="1:6" ht="60" x14ac:dyDescent="0.25">
      <c r="A5134" s="8" t="s">
        <v>125</v>
      </c>
      <c r="B5134" s="8" t="s">
        <v>159</v>
      </c>
      <c r="C5134" s="8" t="str">
        <f>IFERROR(_xlfn.XLOOKUP(TRIM(B5134),Lookup!$B$2:$B$1000,Lookup!$C$2:$C$1000),"")</f>
        <v>Equity</v>
      </c>
      <c r="D5134" s="8" t="str">
        <f>IFERROR(INDEX('nav master'!$C:$C, MATCH(B5134, 'nav master'!$B:$B, 0)), "")</f>
        <v>ULIF08219/09/25TopMF500Fd101</v>
      </c>
      <c r="E5134" s="8" t="s">
        <v>329</v>
      </c>
      <c r="F5134" s="8" t="s">
        <v>3200</v>
      </c>
    </row>
    <row r="5135" spans="1:6" ht="60" x14ac:dyDescent="0.25">
      <c r="A5135" s="8" t="s">
        <v>125</v>
      </c>
      <c r="B5135" s="8" t="s">
        <v>159</v>
      </c>
      <c r="C5135" s="8" t="str">
        <f>IFERROR(_xlfn.XLOOKUP(TRIM(B5135),Lookup!$B$2:$B$1000,Lookup!$C$2:$C$1000),"")</f>
        <v>Equity</v>
      </c>
      <c r="D5135" s="8" t="str">
        <f>IFERROR(INDEX('nav master'!$C:$C, MATCH(B5135, 'nav master'!$B:$B, 0)), "")</f>
        <v>ULIF08219/09/25TopMF500Fd101</v>
      </c>
      <c r="E5135" s="8" t="s">
        <v>331</v>
      </c>
      <c r="F5135" s="8" t="s">
        <v>3201</v>
      </c>
    </row>
    <row r="5136" spans="1:6" ht="60" x14ac:dyDescent="0.25">
      <c r="A5136" s="8" t="s">
        <v>125</v>
      </c>
      <c r="B5136" s="8" t="s">
        <v>159</v>
      </c>
      <c r="C5136" s="8" t="str">
        <f>IFERROR(_xlfn.XLOOKUP(TRIM(B5136),Lookup!$B$2:$B$1000,Lookup!$C$2:$C$1000),"")</f>
        <v>Equity</v>
      </c>
      <c r="D5136" s="8" t="str">
        <f>IFERROR(INDEX('nav master'!$C:$C, MATCH(B5136, 'nav master'!$B:$B, 0)), "")</f>
        <v>ULIF08219/09/25TopMF500Fd101</v>
      </c>
      <c r="E5136" s="8" t="s">
        <v>333</v>
      </c>
      <c r="F5136" s="8" t="s">
        <v>3202</v>
      </c>
    </row>
    <row r="5137" spans="1:6" ht="60" x14ac:dyDescent="0.25">
      <c r="A5137" s="8" t="s">
        <v>125</v>
      </c>
      <c r="B5137" s="8" t="s">
        <v>159</v>
      </c>
      <c r="C5137" s="8" t="str">
        <f>IFERROR(_xlfn.XLOOKUP(TRIM(B5137),Lookup!$B$2:$B$1000,Lookup!$C$2:$C$1000),"")</f>
        <v>Equity</v>
      </c>
      <c r="D5137" s="8" t="str">
        <f>IFERROR(INDEX('nav master'!$C:$C, MATCH(B5137, 'nav master'!$B:$B, 0)), "")</f>
        <v>ULIF08219/09/25TopMF500Fd101</v>
      </c>
      <c r="E5137" s="8" t="s">
        <v>335</v>
      </c>
      <c r="F5137" s="8" t="s">
        <v>3203</v>
      </c>
    </row>
    <row r="5138" spans="1:6" ht="60" x14ac:dyDescent="0.25">
      <c r="A5138" s="8" t="s">
        <v>125</v>
      </c>
      <c r="B5138" s="8" t="s">
        <v>159</v>
      </c>
      <c r="C5138" s="8" t="str">
        <f>IFERROR(_xlfn.XLOOKUP(TRIM(B5138),Lookup!$B$2:$B$1000,Lookup!$C$2:$C$1000),"")</f>
        <v>Equity</v>
      </c>
      <c r="D5138" s="8" t="str">
        <f>IFERROR(INDEX('nav master'!$C:$C, MATCH(B5138, 'nav master'!$B:$B, 0)), "")</f>
        <v>ULIF08219/09/25TopMF500Fd101</v>
      </c>
      <c r="E5138" s="8" t="s">
        <v>337</v>
      </c>
      <c r="F5138" s="8" t="s">
        <v>3204</v>
      </c>
    </row>
    <row r="5139" spans="1:6" ht="60" x14ac:dyDescent="0.25">
      <c r="A5139" s="8" t="s">
        <v>125</v>
      </c>
      <c r="B5139" s="8" t="s">
        <v>159</v>
      </c>
      <c r="C5139" s="8" t="str">
        <f>IFERROR(_xlfn.XLOOKUP(TRIM(B5139),Lookup!$B$2:$B$1000,Lookup!$C$2:$C$1000),"")</f>
        <v>Equity</v>
      </c>
      <c r="D5139" s="8" t="str">
        <f>IFERROR(INDEX('nav master'!$C:$C, MATCH(B5139, 'nav master'!$B:$B, 0)), "")</f>
        <v>ULIF08219/09/25TopMF500Fd101</v>
      </c>
      <c r="E5139" s="8" t="s">
        <v>339</v>
      </c>
      <c r="F5139" s="8" t="s">
        <v>3205</v>
      </c>
    </row>
    <row r="5140" spans="1:6" ht="60" x14ac:dyDescent="0.25">
      <c r="A5140" s="8" t="s">
        <v>125</v>
      </c>
      <c r="B5140" s="8" t="s">
        <v>159</v>
      </c>
      <c r="C5140" s="8" t="str">
        <f>IFERROR(_xlfn.XLOOKUP(TRIM(B5140),Lookup!$B$2:$B$1000,Lookup!$C$2:$C$1000),"")</f>
        <v>Equity</v>
      </c>
      <c r="D5140" s="8" t="str">
        <f>IFERROR(INDEX('nav master'!$C:$C, MATCH(B5140, 'nav master'!$B:$B, 0)), "")</f>
        <v>ULIF08219/09/25TopMF500Fd101</v>
      </c>
      <c r="E5140" s="8" t="s">
        <v>341</v>
      </c>
      <c r="F5140" s="8" t="s">
        <v>3206</v>
      </c>
    </row>
    <row r="5141" spans="1:6" ht="60" x14ac:dyDescent="0.25">
      <c r="A5141" s="8" t="s">
        <v>125</v>
      </c>
      <c r="B5141" s="8" t="s">
        <v>159</v>
      </c>
      <c r="C5141" s="8" t="str">
        <f>IFERROR(_xlfn.XLOOKUP(TRIM(B5141),Lookup!$B$2:$B$1000,Lookup!$C$2:$C$1000),"")</f>
        <v>Equity</v>
      </c>
      <c r="D5141" s="8" t="str">
        <f>IFERROR(INDEX('nav master'!$C:$C, MATCH(B5141, 'nav master'!$B:$B, 0)), "")</f>
        <v>ULIF08219/09/25TopMF500Fd101</v>
      </c>
      <c r="E5141" s="8" t="s">
        <v>343</v>
      </c>
      <c r="F5141" s="8" t="s">
        <v>3207</v>
      </c>
    </row>
    <row r="5142" spans="1:6" ht="60" x14ac:dyDescent="0.25">
      <c r="A5142" s="8" t="s">
        <v>125</v>
      </c>
      <c r="B5142" s="8" t="s">
        <v>159</v>
      </c>
      <c r="C5142" s="8" t="str">
        <f>IFERROR(_xlfn.XLOOKUP(TRIM(B5142),Lookup!$B$2:$B$1000,Lookup!$C$2:$C$1000),"")</f>
        <v>Equity</v>
      </c>
      <c r="D5142" s="8" t="str">
        <f>IFERROR(INDEX('nav master'!$C:$C, MATCH(B5142, 'nav master'!$B:$B, 0)), "")</f>
        <v>ULIF08219/09/25TopMF500Fd101</v>
      </c>
      <c r="E5142" s="8" t="s">
        <v>345</v>
      </c>
      <c r="F5142" s="8" t="s">
        <v>3208</v>
      </c>
    </row>
    <row r="5143" spans="1:6" ht="60" x14ac:dyDescent="0.25">
      <c r="A5143" s="8" t="s">
        <v>125</v>
      </c>
      <c r="B5143" s="8" t="s">
        <v>159</v>
      </c>
      <c r="C5143" s="8" t="str">
        <f>IFERROR(_xlfn.XLOOKUP(TRIM(B5143),Lookup!$B$2:$B$1000,Lookup!$C$2:$C$1000),"")</f>
        <v>Equity</v>
      </c>
      <c r="D5143" s="8" t="str">
        <f>IFERROR(INDEX('nav master'!$C:$C, MATCH(B5143, 'nav master'!$B:$B, 0)), "")</f>
        <v>ULIF08219/09/25TopMF500Fd101</v>
      </c>
      <c r="E5143" s="8" t="s">
        <v>347</v>
      </c>
      <c r="F5143" s="8" t="s">
        <v>3209</v>
      </c>
    </row>
    <row r="5144" spans="1:6" ht="60" x14ac:dyDescent="0.25">
      <c r="A5144" s="8" t="s">
        <v>125</v>
      </c>
      <c r="B5144" s="8" t="s">
        <v>159</v>
      </c>
      <c r="C5144" s="8" t="str">
        <f>IFERROR(_xlfn.XLOOKUP(TRIM(B5144),Lookup!$B$2:$B$1000,Lookup!$C$2:$C$1000),"")</f>
        <v>Equity</v>
      </c>
      <c r="D5144" s="8" t="str">
        <f>IFERROR(INDEX('nav master'!$C:$C, MATCH(B5144, 'nav master'!$B:$B, 0)), "")</f>
        <v>ULIF08219/09/25TopMF500Fd101</v>
      </c>
      <c r="E5144" s="8" t="s">
        <v>349</v>
      </c>
      <c r="F5144" s="8" t="s">
        <v>3210</v>
      </c>
    </row>
    <row r="5145" spans="1:6" ht="60" x14ac:dyDescent="0.25">
      <c r="A5145" s="8" t="s">
        <v>125</v>
      </c>
      <c r="B5145" s="8" t="s">
        <v>159</v>
      </c>
      <c r="C5145" s="8" t="str">
        <f>IFERROR(_xlfn.XLOOKUP(TRIM(B5145),Lookup!$B$2:$B$1000,Lookup!$C$2:$C$1000),"")</f>
        <v>Equity</v>
      </c>
      <c r="D5145" s="8" t="str">
        <f>IFERROR(INDEX('nav master'!$C:$C, MATCH(B5145, 'nav master'!$B:$B, 0)), "")</f>
        <v>ULIF08219/09/25TopMF500Fd101</v>
      </c>
      <c r="E5145" s="8" t="s">
        <v>351</v>
      </c>
      <c r="F5145" s="8" t="s">
        <v>3211</v>
      </c>
    </row>
    <row r="5146" spans="1:6" ht="60" x14ac:dyDescent="0.25">
      <c r="A5146" s="8" t="s">
        <v>125</v>
      </c>
      <c r="B5146" s="8" t="s">
        <v>159</v>
      </c>
      <c r="C5146" s="8" t="str">
        <f>IFERROR(_xlfn.XLOOKUP(TRIM(B5146),Lookup!$B$2:$B$1000,Lookup!$C$2:$C$1000),"")</f>
        <v>Equity</v>
      </c>
      <c r="D5146" s="8" t="str">
        <f>IFERROR(INDEX('nav master'!$C:$C, MATCH(B5146, 'nav master'!$B:$B, 0)), "")</f>
        <v>ULIF08219/09/25TopMF500Fd101</v>
      </c>
      <c r="E5146" s="8" t="s">
        <v>353</v>
      </c>
      <c r="F5146" s="8" t="s">
        <v>3212</v>
      </c>
    </row>
    <row r="5147" spans="1:6" ht="60" x14ac:dyDescent="0.25">
      <c r="A5147" s="8" t="s">
        <v>125</v>
      </c>
      <c r="B5147" s="8" t="s">
        <v>159</v>
      </c>
      <c r="C5147" s="8" t="str">
        <f>IFERROR(_xlfn.XLOOKUP(TRIM(B5147),Lookup!$B$2:$B$1000,Lookup!$C$2:$C$1000),"")</f>
        <v>Equity</v>
      </c>
      <c r="D5147" s="8" t="str">
        <f>IFERROR(INDEX('nav master'!$C:$C, MATCH(B5147, 'nav master'!$B:$B, 0)), "")</f>
        <v>ULIF08219/09/25TopMF500Fd101</v>
      </c>
      <c r="E5147" s="8" t="s">
        <v>355</v>
      </c>
      <c r="F5147" s="8" t="s">
        <v>3213</v>
      </c>
    </row>
    <row r="5148" spans="1:6" ht="60" x14ac:dyDescent="0.25">
      <c r="A5148" s="8" t="s">
        <v>125</v>
      </c>
      <c r="B5148" s="8" t="s">
        <v>159</v>
      </c>
      <c r="C5148" s="8" t="str">
        <f>IFERROR(_xlfn.XLOOKUP(TRIM(B5148),Lookup!$B$2:$B$1000,Lookup!$C$2:$C$1000),"")</f>
        <v>Equity</v>
      </c>
      <c r="D5148" s="8" t="str">
        <f>IFERROR(INDEX('nav master'!$C:$C, MATCH(B5148, 'nav master'!$B:$B, 0)), "")</f>
        <v>ULIF08219/09/25TopMF500Fd101</v>
      </c>
      <c r="E5148" s="8" t="s">
        <v>357</v>
      </c>
      <c r="F5148" s="8" t="s">
        <v>3214</v>
      </c>
    </row>
    <row r="5149" spans="1:6" ht="60" x14ac:dyDescent="0.25">
      <c r="A5149" s="8" t="s">
        <v>125</v>
      </c>
      <c r="B5149" s="8" t="s">
        <v>159</v>
      </c>
      <c r="C5149" s="8" t="str">
        <f>IFERROR(_xlfn.XLOOKUP(TRIM(B5149),Lookup!$B$2:$B$1000,Lookup!$C$2:$C$1000),"")</f>
        <v>Equity</v>
      </c>
      <c r="D5149" s="8" t="str">
        <f>IFERROR(INDEX('nav master'!$C:$C, MATCH(B5149, 'nav master'!$B:$B, 0)), "")</f>
        <v>ULIF08219/09/25TopMF500Fd101</v>
      </c>
      <c r="E5149" s="8" t="s">
        <v>359</v>
      </c>
      <c r="F5149" s="8" t="s">
        <v>3215</v>
      </c>
    </row>
    <row r="5150" spans="1:6" ht="60" x14ac:dyDescent="0.25">
      <c r="A5150" s="8" t="s">
        <v>125</v>
      </c>
      <c r="B5150" s="8" t="s">
        <v>159</v>
      </c>
      <c r="C5150" s="8" t="str">
        <f>IFERROR(_xlfn.XLOOKUP(TRIM(B5150),Lookup!$B$2:$B$1000,Lookup!$C$2:$C$1000),"")</f>
        <v>Equity</v>
      </c>
      <c r="D5150" s="8" t="str">
        <f>IFERROR(INDEX('nav master'!$C:$C, MATCH(B5150, 'nav master'!$B:$B, 0)), "")</f>
        <v>ULIF08219/09/25TopMF500Fd101</v>
      </c>
      <c r="E5150" s="8" t="s">
        <v>361</v>
      </c>
      <c r="F5150" s="8" t="s">
        <v>3216</v>
      </c>
    </row>
    <row r="5151" spans="1:6" ht="60" x14ac:dyDescent="0.25">
      <c r="A5151" s="8" t="s">
        <v>125</v>
      </c>
      <c r="B5151" s="8" t="s">
        <v>159</v>
      </c>
      <c r="C5151" s="8" t="str">
        <f>IFERROR(_xlfn.XLOOKUP(TRIM(B5151),Lookup!$B$2:$B$1000,Lookup!$C$2:$C$1000),"")</f>
        <v>Equity</v>
      </c>
      <c r="D5151" s="8" t="str">
        <f>IFERROR(INDEX('nav master'!$C:$C, MATCH(B5151, 'nav master'!$B:$B, 0)), "")</f>
        <v>ULIF08219/09/25TopMF500Fd101</v>
      </c>
      <c r="E5151" s="8" t="s">
        <v>363</v>
      </c>
      <c r="F5151" s="8" t="s">
        <v>3217</v>
      </c>
    </row>
    <row r="5152" spans="1:6" ht="60" x14ac:dyDescent="0.25">
      <c r="A5152" s="8" t="s">
        <v>125</v>
      </c>
      <c r="B5152" s="8" t="s">
        <v>159</v>
      </c>
      <c r="C5152" s="8" t="str">
        <f>IFERROR(_xlfn.XLOOKUP(TRIM(B5152),Lookup!$B$2:$B$1000,Lookup!$C$2:$C$1000),"")</f>
        <v>Equity</v>
      </c>
      <c r="D5152" s="8" t="str">
        <f>IFERROR(INDEX('nav master'!$C:$C, MATCH(B5152, 'nav master'!$B:$B, 0)), "")</f>
        <v>ULIF08219/09/25TopMF500Fd101</v>
      </c>
      <c r="E5152" s="8" t="s">
        <v>365</v>
      </c>
      <c r="F5152" s="8" t="s">
        <v>3218</v>
      </c>
    </row>
    <row r="5153" spans="1:6" ht="60" x14ac:dyDescent="0.25">
      <c r="A5153" s="8" t="s">
        <v>125</v>
      </c>
      <c r="B5153" s="8" t="s">
        <v>159</v>
      </c>
      <c r="C5153" s="8" t="str">
        <f>IFERROR(_xlfn.XLOOKUP(TRIM(B5153),Lookup!$B$2:$B$1000,Lookup!$C$2:$C$1000),"")</f>
        <v>Equity</v>
      </c>
      <c r="D5153" s="8" t="str">
        <f>IFERROR(INDEX('nav master'!$C:$C, MATCH(B5153, 'nav master'!$B:$B, 0)), "")</f>
        <v>ULIF08219/09/25TopMF500Fd101</v>
      </c>
      <c r="E5153" s="8" t="s">
        <v>367</v>
      </c>
      <c r="F5153" s="8" t="s">
        <v>3219</v>
      </c>
    </row>
    <row r="5154" spans="1:6" ht="60" x14ac:dyDescent="0.25">
      <c r="A5154" s="8" t="s">
        <v>125</v>
      </c>
      <c r="B5154" s="8" t="s">
        <v>159</v>
      </c>
      <c r="C5154" s="8" t="str">
        <f>IFERROR(_xlfn.XLOOKUP(TRIM(B5154),Lookup!$B$2:$B$1000,Lookup!$C$2:$C$1000),"")</f>
        <v>Equity</v>
      </c>
      <c r="D5154" s="8" t="str">
        <f>IFERROR(INDEX('nav master'!$C:$C, MATCH(B5154, 'nav master'!$B:$B, 0)), "")</f>
        <v>ULIF08219/09/25TopMF500Fd101</v>
      </c>
      <c r="E5154" s="8" t="s">
        <v>369</v>
      </c>
      <c r="F5154" s="8" t="s">
        <v>3220</v>
      </c>
    </row>
    <row r="5155" spans="1:6" ht="60" x14ac:dyDescent="0.25">
      <c r="A5155" s="8" t="s">
        <v>125</v>
      </c>
      <c r="B5155" s="8" t="s">
        <v>159</v>
      </c>
      <c r="C5155" s="8" t="str">
        <f>IFERROR(_xlfn.XLOOKUP(TRIM(B5155),Lookup!$B$2:$B$1000,Lookup!$C$2:$C$1000),"")</f>
        <v>Equity</v>
      </c>
      <c r="D5155" s="8" t="str">
        <f>IFERROR(INDEX('nav master'!$C:$C, MATCH(B5155, 'nav master'!$B:$B, 0)), "")</f>
        <v>ULIF08219/09/25TopMF500Fd101</v>
      </c>
      <c r="E5155" s="8" t="s">
        <v>371</v>
      </c>
      <c r="F5155" s="8" t="s">
        <v>3221</v>
      </c>
    </row>
    <row r="5156" spans="1:6" ht="60" x14ac:dyDescent="0.25">
      <c r="A5156" s="8" t="s">
        <v>125</v>
      </c>
      <c r="B5156" s="8" t="s">
        <v>159</v>
      </c>
      <c r="C5156" s="8" t="str">
        <f>IFERROR(_xlfn.XLOOKUP(TRIM(B5156),Lookup!$B$2:$B$1000,Lookup!$C$2:$C$1000),"")</f>
        <v>Equity</v>
      </c>
      <c r="D5156" s="8" t="str">
        <f>IFERROR(INDEX('nav master'!$C:$C, MATCH(B5156, 'nav master'!$B:$B, 0)), "")</f>
        <v>ULIF08219/09/25TopMF500Fd101</v>
      </c>
      <c r="E5156" s="8" t="s">
        <v>373</v>
      </c>
      <c r="F5156" s="8" t="s">
        <v>3222</v>
      </c>
    </row>
    <row r="5157" spans="1:6" ht="60" x14ac:dyDescent="0.25">
      <c r="A5157" s="8" t="s">
        <v>125</v>
      </c>
      <c r="B5157" s="8" t="s">
        <v>159</v>
      </c>
      <c r="C5157" s="8" t="str">
        <f>IFERROR(_xlfn.XLOOKUP(TRIM(B5157),Lookup!$B$2:$B$1000,Lookup!$C$2:$C$1000),"")</f>
        <v>Equity</v>
      </c>
      <c r="D5157" s="8" t="str">
        <f>IFERROR(INDEX('nav master'!$C:$C, MATCH(B5157, 'nav master'!$B:$B, 0)), "")</f>
        <v>ULIF08219/09/25TopMF500Fd101</v>
      </c>
      <c r="E5157" s="8" t="s">
        <v>375</v>
      </c>
      <c r="F5157" s="8" t="s">
        <v>3223</v>
      </c>
    </row>
    <row r="5158" spans="1:6" ht="60" x14ac:dyDescent="0.25">
      <c r="A5158" s="8" t="s">
        <v>125</v>
      </c>
      <c r="B5158" s="8" t="s">
        <v>159</v>
      </c>
      <c r="C5158" s="8" t="str">
        <f>IFERROR(_xlfn.XLOOKUP(TRIM(B5158),Lookup!$B$2:$B$1000,Lookup!$C$2:$C$1000),"")</f>
        <v>Equity</v>
      </c>
      <c r="D5158" s="8" t="str">
        <f>IFERROR(INDEX('nav master'!$C:$C, MATCH(B5158, 'nav master'!$B:$B, 0)), "")</f>
        <v>ULIF08219/09/25TopMF500Fd101</v>
      </c>
      <c r="E5158" s="8" t="s">
        <v>377</v>
      </c>
      <c r="F5158" s="8" t="s">
        <v>3224</v>
      </c>
    </row>
    <row r="5159" spans="1:6" ht="60" x14ac:dyDescent="0.25">
      <c r="A5159" s="8" t="s">
        <v>125</v>
      </c>
      <c r="B5159" s="8" t="s">
        <v>159</v>
      </c>
      <c r="C5159" s="8" t="str">
        <f>IFERROR(_xlfn.XLOOKUP(TRIM(B5159),Lookup!$B$2:$B$1000,Lookup!$C$2:$C$1000),"")</f>
        <v>Equity</v>
      </c>
      <c r="D5159" s="8" t="str">
        <f>IFERROR(INDEX('nav master'!$C:$C, MATCH(B5159, 'nav master'!$B:$B, 0)), "")</f>
        <v>ULIF08219/09/25TopMF500Fd101</v>
      </c>
      <c r="E5159" s="8" t="s">
        <v>379</v>
      </c>
      <c r="F5159" s="8" t="s">
        <v>3225</v>
      </c>
    </row>
    <row r="5160" spans="1:6" ht="60" x14ac:dyDescent="0.25">
      <c r="A5160" s="8" t="s">
        <v>125</v>
      </c>
      <c r="B5160" s="8" t="s">
        <v>159</v>
      </c>
      <c r="C5160" s="8" t="str">
        <f>IFERROR(_xlfn.XLOOKUP(TRIM(B5160),Lookup!$B$2:$B$1000,Lookup!$C$2:$C$1000),"")</f>
        <v>Equity</v>
      </c>
      <c r="D5160" s="8" t="str">
        <f>IFERROR(INDEX('nav master'!$C:$C, MATCH(B5160, 'nav master'!$B:$B, 0)), "")</f>
        <v>ULIF08219/09/25TopMF500Fd101</v>
      </c>
      <c r="E5160" s="8" t="s">
        <v>381</v>
      </c>
      <c r="F5160" s="8" t="s">
        <v>3226</v>
      </c>
    </row>
    <row r="5161" spans="1:6" ht="60" x14ac:dyDescent="0.25">
      <c r="A5161" s="8" t="s">
        <v>125</v>
      </c>
      <c r="B5161" s="8" t="s">
        <v>159</v>
      </c>
      <c r="C5161" s="8" t="str">
        <f>IFERROR(_xlfn.XLOOKUP(TRIM(B5161),Lookup!$B$2:$B$1000,Lookup!$C$2:$C$1000),"")</f>
        <v>Equity</v>
      </c>
      <c r="D5161" s="8" t="str">
        <f>IFERROR(INDEX('nav master'!$C:$C, MATCH(B5161, 'nav master'!$B:$B, 0)), "")</f>
        <v>ULIF08219/09/25TopMF500Fd101</v>
      </c>
      <c r="E5161" s="8" t="s">
        <v>383</v>
      </c>
      <c r="F5161" s="8" t="s">
        <v>3227</v>
      </c>
    </row>
    <row r="5162" spans="1:6" ht="60" x14ac:dyDescent="0.25">
      <c r="A5162" s="8" t="s">
        <v>125</v>
      </c>
      <c r="B5162" s="8" t="s">
        <v>159</v>
      </c>
      <c r="C5162" s="8" t="str">
        <f>IFERROR(_xlfn.XLOOKUP(TRIM(B5162),Lookup!$B$2:$B$1000,Lookup!$C$2:$C$1000),"")</f>
        <v>Equity</v>
      </c>
      <c r="D5162" s="8" t="str">
        <f>IFERROR(INDEX('nav master'!$C:$C, MATCH(B5162, 'nav master'!$B:$B, 0)), "")</f>
        <v>ULIF08219/09/25TopMF500Fd101</v>
      </c>
      <c r="E5162" s="8" t="s">
        <v>385</v>
      </c>
      <c r="F5162" s="8" t="s">
        <v>3228</v>
      </c>
    </row>
    <row r="5163" spans="1:6" ht="60" x14ac:dyDescent="0.25">
      <c r="A5163" s="8" t="s">
        <v>125</v>
      </c>
      <c r="B5163" s="8" t="s">
        <v>159</v>
      </c>
      <c r="C5163" s="8" t="str">
        <f>IFERROR(_xlfn.XLOOKUP(TRIM(B5163),Lookup!$B$2:$B$1000,Lookup!$C$2:$C$1000),"")</f>
        <v>Equity</v>
      </c>
      <c r="D5163" s="8" t="str">
        <f>IFERROR(INDEX('nav master'!$C:$C, MATCH(B5163, 'nav master'!$B:$B, 0)), "")</f>
        <v>ULIF08219/09/25TopMF500Fd101</v>
      </c>
      <c r="E5163" s="8" t="s">
        <v>387</v>
      </c>
      <c r="F5163" s="8" t="s">
        <v>3229</v>
      </c>
    </row>
    <row r="5164" spans="1:6" ht="60" x14ac:dyDescent="0.25">
      <c r="A5164" s="8" t="s">
        <v>125</v>
      </c>
      <c r="B5164" s="8" t="s">
        <v>159</v>
      </c>
      <c r="C5164" s="8" t="str">
        <f>IFERROR(_xlfn.XLOOKUP(TRIM(B5164),Lookup!$B$2:$B$1000,Lookup!$C$2:$C$1000),"")</f>
        <v>Equity</v>
      </c>
      <c r="D5164" s="8" t="str">
        <f>IFERROR(INDEX('nav master'!$C:$C, MATCH(B5164, 'nav master'!$B:$B, 0)), "")</f>
        <v>ULIF08219/09/25TopMF500Fd101</v>
      </c>
      <c r="E5164" s="8" t="s">
        <v>389</v>
      </c>
      <c r="F5164" s="8" t="s">
        <v>3230</v>
      </c>
    </row>
    <row r="5165" spans="1:6" ht="60" x14ac:dyDescent="0.25">
      <c r="A5165" s="8" t="s">
        <v>125</v>
      </c>
      <c r="B5165" s="8" t="s">
        <v>159</v>
      </c>
      <c r="C5165" s="8" t="str">
        <f>IFERROR(_xlfn.XLOOKUP(TRIM(B5165),Lookup!$B$2:$B$1000,Lookup!$C$2:$C$1000),"")</f>
        <v>Equity</v>
      </c>
      <c r="D5165" s="8" t="str">
        <f>IFERROR(INDEX('nav master'!$C:$C, MATCH(B5165, 'nav master'!$B:$B, 0)), "")</f>
        <v>ULIF08219/09/25TopMF500Fd101</v>
      </c>
      <c r="E5165" s="8" t="s">
        <v>391</v>
      </c>
      <c r="F5165" s="8" t="s">
        <v>3231</v>
      </c>
    </row>
    <row r="5166" spans="1:6" ht="60" x14ac:dyDescent="0.25">
      <c r="A5166" s="8" t="s">
        <v>125</v>
      </c>
      <c r="B5166" s="8" t="s">
        <v>159</v>
      </c>
      <c r="C5166" s="8" t="str">
        <f>IFERROR(_xlfn.XLOOKUP(TRIM(B5166),Lookup!$B$2:$B$1000,Lookup!$C$2:$C$1000),"")</f>
        <v>Equity</v>
      </c>
      <c r="D5166" s="8" t="str">
        <f>IFERROR(INDEX('nav master'!$C:$C, MATCH(B5166, 'nav master'!$B:$B, 0)), "")</f>
        <v>ULIF08219/09/25TopMF500Fd101</v>
      </c>
      <c r="E5166" s="8" t="s">
        <v>393</v>
      </c>
      <c r="F5166" s="8" t="s">
        <v>3232</v>
      </c>
    </row>
    <row r="5167" spans="1:6" ht="60" x14ac:dyDescent="0.25">
      <c r="A5167" s="8" t="s">
        <v>125</v>
      </c>
      <c r="B5167" s="8" t="s">
        <v>159</v>
      </c>
      <c r="C5167" s="8" t="str">
        <f>IFERROR(_xlfn.XLOOKUP(TRIM(B5167),Lookup!$B$2:$B$1000,Lookup!$C$2:$C$1000),"")</f>
        <v>Equity</v>
      </c>
      <c r="D5167" s="8" t="str">
        <f>IFERROR(INDEX('nav master'!$C:$C, MATCH(B5167, 'nav master'!$B:$B, 0)), "")</f>
        <v>ULIF08219/09/25TopMF500Fd101</v>
      </c>
      <c r="E5167" s="8" t="s">
        <v>395</v>
      </c>
      <c r="F5167" s="8" t="s">
        <v>3233</v>
      </c>
    </row>
    <row r="5168" spans="1:6" ht="60" x14ac:dyDescent="0.25">
      <c r="A5168" s="8" t="s">
        <v>125</v>
      </c>
      <c r="B5168" s="8" t="s">
        <v>159</v>
      </c>
      <c r="C5168" s="8" t="str">
        <f>IFERROR(_xlfn.XLOOKUP(TRIM(B5168),Lookup!$B$2:$B$1000,Lookup!$C$2:$C$1000),"")</f>
        <v>Equity</v>
      </c>
      <c r="D5168" s="8" t="str">
        <f>IFERROR(INDEX('nav master'!$C:$C, MATCH(B5168, 'nav master'!$B:$B, 0)), "")</f>
        <v>ULIF08219/09/25TopMF500Fd101</v>
      </c>
      <c r="E5168" s="8" t="s">
        <v>397</v>
      </c>
      <c r="F5168" s="8" t="s">
        <v>3234</v>
      </c>
    </row>
    <row r="5169" spans="1:6" ht="60" x14ac:dyDescent="0.25">
      <c r="A5169" s="8" t="s">
        <v>125</v>
      </c>
      <c r="B5169" s="8" t="s">
        <v>159</v>
      </c>
      <c r="C5169" s="8" t="str">
        <f>IFERROR(_xlfn.XLOOKUP(TRIM(B5169),Lookup!$B$2:$B$1000,Lookup!$C$2:$C$1000),"")</f>
        <v>Equity</v>
      </c>
      <c r="D5169" s="8" t="str">
        <f>IFERROR(INDEX('nav master'!$C:$C, MATCH(B5169, 'nav master'!$B:$B, 0)), "")</f>
        <v>ULIF08219/09/25TopMF500Fd101</v>
      </c>
      <c r="E5169" s="8" t="s">
        <v>399</v>
      </c>
      <c r="F5169" s="8" t="s">
        <v>3235</v>
      </c>
    </row>
    <row r="5170" spans="1:6" ht="60" x14ac:dyDescent="0.25">
      <c r="A5170" s="8" t="s">
        <v>125</v>
      </c>
      <c r="B5170" s="8" t="s">
        <v>159</v>
      </c>
      <c r="C5170" s="8" t="str">
        <f>IFERROR(_xlfn.XLOOKUP(TRIM(B5170),Lookup!$B$2:$B$1000,Lookup!$C$2:$C$1000),"")</f>
        <v>Equity</v>
      </c>
      <c r="D5170" s="8" t="str">
        <f>IFERROR(INDEX('nav master'!$C:$C, MATCH(B5170, 'nav master'!$B:$B, 0)), "")</f>
        <v>ULIF08219/09/25TopMF500Fd101</v>
      </c>
      <c r="E5170" s="8" t="s">
        <v>401</v>
      </c>
      <c r="F5170" s="8" t="s">
        <v>3236</v>
      </c>
    </row>
    <row r="5171" spans="1:6" ht="60" x14ac:dyDescent="0.25">
      <c r="A5171" s="8" t="s">
        <v>125</v>
      </c>
      <c r="B5171" s="8" t="s">
        <v>159</v>
      </c>
      <c r="C5171" s="8" t="str">
        <f>IFERROR(_xlfn.XLOOKUP(TRIM(B5171),Lookup!$B$2:$B$1000,Lookup!$C$2:$C$1000),"")</f>
        <v>Equity</v>
      </c>
      <c r="D5171" s="8" t="str">
        <f>IFERROR(INDEX('nav master'!$C:$C, MATCH(B5171, 'nav master'!$B:$B, 0)), "")</f>
        <v>ULIF08219/09/25TopMF500Fd101</v>
      </c>
      <c r="E5171" s="8" t="s">
        <v>403</v>
      </c>
      <c r="F5171" s="8" t="s">
        <v>3237</v>
      </c>
    </row>
    <row r="5172" spans="1:6" ht="60" x14ac:dyDescent="0.25">
      <c r="A5172" s="8" t="s">
        <v>125</v>
      </c>
      <c r="B5172" s="8" t="s">
        <v>159</v>
      </c>
      <c r="C5172" s="8" t="str">
        <f>IFERROR(_xlfn.XLOOKUP(TRIM(B5172),Lookup!$B$2:$B$1000,Lookup!$C$2:$C$1000),"")</f>
        <v>Equity</v>
      </c>
      <c r="D5172" s="8" t="str">
        <f>IFERROR(INDEX('nav master'!$C:$C, MATCH(B5172, 'nav master'!$B:$B, 0)), "")</f>
        <v>ULIF08219/09/25TopMF500Fd101</v>
      </c>
      <c r="E5172" s="8" t="s">
        <v>405</v>
      </c>
      <c r="F5172" s="8" t="s">
        <v>3238</v>
      </c>
    </row>
    <row r="5173" spans="1:6" ht="60" x14ac:dyDescent="0.25">
      <c r="A5173" s="8" t="s">
        <v>125</v>
      </c>
      <c r="B5173" s="8" t="s">
        <v>159</v>
      </c>
      <c r="C5173" s="8" t="str">
        <f>IFERROR(_xlfn.XLOOKUP(TRIM(B5173),Lookup!$B$2:$B$1000,Lookup!$C$2:$C$1000),"")</f>
        <v>Equity</v>
      </c>
      <c r="D5173" s="8" t="str">
        <f>IFERROR(INDEX('nav master'!$C:$C, MATCH(B5173, 'nav master'!$B:$B, 0)), "")</f>
        <v>ULIF08219/09/25TopMF500Fd101</v>
      </c>
      <c r="E5173" s="8" t="s">
        <v>407</v>
      </c>
      <c r="F5173" s="8" t="s">
        <v>3239</v>
      </c>
    </row>
    <row r="5174" spans="1:6" ht="60" x14ac:dyDescent="0.25">
      <c r="A5174" s="8" t="s">
        <v>125</v>
      </c>
      <c r="B5174" s="8" t="s">
        <v>159</v>
      </c>
      <c r="C5174" s="8" t="str">
        <f>IFERROR(_xlfn.XLOOKUP(TRIM(B5174),Lookup!$B$2:$B$1000,Lookup!$C$2:$C$1000),"")</f>
        <v>Equity</v>
      </c>
      <c r="D5174" s="8" t="str">
        <f>IFERROR(INDEX('nav master'!$C:$C, MATCH(B5174, 'nav master'!$B:$B, 0)), "")</f>
        <v>ULIF08219/09/25TopMF500Fd101</v>
      </c>
      <c r="E5174" s="8" t="s">
        <v>409</v>
      </c>
      <c r="F5174" s="8" t="s">
        <v>3240</v>
      </c>
    </row>
    <row r="5175" spans="1:6" ht="60" x14ac:dyDescent="0.25">
      <c r="A5175" s="8" t="s">
        <v>125</v>
      </c>
      <c r="B5175" s="8" t="s">
        <v>159</v>
      </c>
      <c r="C5175" s="8" t="str">
        <f>IFERROR(_xlfn.XLOOKUP(TRIM(B5175),Lookup!$B$2:$B$1000,Lookup!$C$2:$C$1000),"")</f>
        <v>Equity</v>
      </c>
      <c r="D5175" s="8" t="str">
        <f>IFERROR(INDEX('nav master'!$C:$C, MATCH(B5175, 'nav master'!$B:$B, 0)), "")</f>
        <v>ULIF08219/09/25TopMF500Fd101</v>
      </c>
      <c r="E5175" s="8" t="s">
        <v>411</v>
      </c>
      <c r="F5175" s="8" t="s">
        <v>3241</v>
      </c>
    </row>
    <row r="5176" spans="1:6" ht="60" x14ac:dyDescent="0.25">
      <c r="A5176" s="8" t="s">
        <v>125</v>
      </c>
      <c r="B5176" s="8" t="s">
        <v>159</v>
      </c>
      <c r="C5176" s="8" t="str">
        <f>IFERROR(_xlfn.XLOOKUP(TRIM(B5176),Lookup!$B$2:$B$1000,Lookup!$C$2:$C$1000),"")</f>
        <v>Equity</v>
      </c>
      <c r="D5176" s="8" t="str">
        <f>IFERROR(INDEX('nav master'!$C:$C, MATCH(B5176, 'nav master'!$B:$B, 0)), "")</f>
        <v>ULIF08219/09/25TopMF500Fd101</v>
      </c>
      <c r="E5176" s="8" t="s">
        <v>413</v>
      </c>
      <c r="F5176" s="8" t="s">
        <v>3242</v>
      </c>
    </row>
    <row r="5177" spans="1:6" ht="60" x14ac:dyDescent="0.25">
      <c r="A5177" s="8" t="s">
        <v>125</v>
      </c>
      <c r="B5177" s="8" t="s">
        <v>159</v>
      </c>
      <c r="C5177" s="8" t="str">
        <f>IFERROR(_xlfn.XLOOKUP(TRIM(B5177),Lookup!$B$2:$B$1000,Lookup!$C$2:$C$1000),"")</f>
        <v>Equity</v>
      </c>
      <c r="D5177" s="8" t="str">
        <f>IFERROR(INDEX('nav master'!$C:$C, MATCH(B5177, 'nav master'!$B:$B, 0)), "")</f>
        <v>ULIF08219/09/25TopMF500Fd101</v>
      </c>
      <c r="E5177" s="8" t="s">
        <v>415</v>
      </c>
      <c r="F5177" s="8" t="s">
        <v>3243</v>
      </c>
    </row>
    <row r="5178" spans="1:6" ht="60" x14ac:dyDescent="0.25">
      <c r="A5178" s="8" t="s">
        <v>125</v>
      </c>
      <c r="B5178" s="8" t="s">
        <v>159</v>
      </c>
      <c r="C5178" s="8" t="str">
        <f>IFERROR(_xlfn.XLOOKUP(TRIM(B5178),Lookup!$B$2:$B$1000,Lookup!$C$2:$C$1000),"")</f>
        <v>Equity</v>
      </c>
      <c r="D5178" s="8" t="str">
        <f>IFERROR(INDEX('nav master'!$C:$C, MATCH(B5178, 'nav master'!$B:$B, 0)), "")</f>
        <v>ULIF08219/09/25TopMF500Fd101</v>
      </c>
      <c r="E5178" s="8" t="s">
        <v>417</v>
      </c>
      <c r="F5178" s="8" t="s">
        <v>3244</v>
      </c>
    </row>
    <row r="5179" spans="1:6" ht="60" x14ac:dyDescent="0.25">
      <c r="A5179" s="8" t="s">
        <v>125</v>
      </c>
      <c r="B5179" s="8" t="s">
        <v>159</v>
      </c>
      <c r="C5179" s="8" t="str">
        <f>IFERROR(_xlfn.XLOOKUP(TRIM(B5179),Lookup!$B$2:$B$1000,Lookup!$C$2:$C$1000),"")</f>
        <v>Equity</v>
      </c>
      <c r="D5179" s="8" t="str">
        <f>IFERROR(INDEX('nav master'!$C:$C, MATCH(B5179, 'nav master'!$B:$B, 0)), "")</f>
        <v>ULIF08219/09/25TopMF500Fd101</v>
      </c>
      <c r="E5179" s="8" t="s">
        <v>419</v>
      </c>
      <c r="F5179" s="8" t="s">
        <v>3245</v>
      </c>
    </row>
    <row r="5180" spans="1:6" ht="60" x14ac:dyDescent="0.25">
      <c r="A5180" s="8" t="s">
        <v>125</v>
      </c>
      <c r="B5180" s="8" t="s">
        <v>159</v>
      </c>
      <c r="C5180" s="8" t="str">
        <f>IFERROR(_xlfn.XLOOKUP(TRIM(B5180),Lookup!$B$2:$B$1000,Lookup!$C$2:$C$1000),"")</f>
        <v>Equity</v>
      </c>
      <c r="D5180" s="8" t="str">
        <f>IFERROR(INDEX('nav master'!$C:$C, MATCH(B5180, 'nav master'!$B:$B, 0)), "")</f>
        <v>ULIF08219/09/25TopMF500Fd101</v>
      </c>
      <c r="E5180" s="8" t="s">
        <v>421</v>
      </c>
      <c r="F5180" s="8" t="s">
        <v>3246</v>
      </c>
    </row>
    <row r="5181" spans="1:6" ht="60" x14ac:dyDescent="0.25">
      <c r="A5181" s="8" t="s">
        <v>125</v>
      </c>
      <c r="B5181" s="8" t="s">
        <v>159</v>
      </c>
      <c r="C5181" s="8" t="str">
        <f>IFERROR(_xlfn.XLOOKUP(TRIM(B5181),Lookup!$B$2:$B$1000,Lookup!$C$2:$C$1000),"")</f>
        <v>Equity</v>
      </c>
      <c r="D5181" s="8" t="str">
        <f>IFERROR(INDEX('nav master'!$C:$C, MATCH(B5181, 'nav master'!$B:$B, 0)), "")</f>
        <v>ULIF08219/09/25TopMF500Fd101</v>
      </c>
      <c r="E5181" s="8" t="s">
        <v>423</v>
      </c>
      <c r="F5181" s="8" t="s">
        <v>3247</v>
      </c>
    </row>
    <row r="5182" spans="1:6" ht="60" x14ac:dyDescent="0.25">
      <c r="A5182" s="8" t="s">
        <v>125</v>
      </c>
      <c r="B5182" s="8" t="s">
        <v>159</v>
      </c>
      <c r="C5182" s="8" t="str">
        <f>IFERROR(_xlfn.XLOOKUP(TRIM(B5182),Lookup!$B$2:$B$1000,Lookup!$C$2:$C$1000),"")</f>
        <v>Equity</v>
      </c>
      <c r="D5182" s="8" t="str">
        <f>IFERROR(INDEX('nav master'!$C:$C, MATCH(B5182, 'nav master'!$B:$B, 0)), "")</f>
        <v>ULIF08219/09/25TopMF500Fd101</v>
      </c>
      <c r="E5182" s="8" t="s">
        <v>425</v>
      </c>
      <c r="F5182" s="8" t="s">
        <v>3248</v>
      </c>
    </row>
    <row r="5183" spans="1:6" ht="60" x14ac:dyDescent="0.25">
      <c r="A5183" s="8" t="s">
        <v>125</v>
      </c>
      <c r="B5183" s="8" t="s">
        <v>159</v>
      </c>
      <c r="C5183" s="8" t="str">
        <f>IFERROR(_xlfn.XLOOKUP(TRIM(B5183),Lookup!$B$2:$B$1000,Lookup!$C$2:$C$1000),"")</f>
        <v>Equity</v>
      </c>
      <c r="D5183" s="8" t="str">
        <f>IFERROR(INDEX('nav master'!$C:$C, MATCH(B5183, 'nav master'!$B:$B, 0)), "")</f>
        <v>ULIF08219/09/25TopMF500Fd101</v>
      </c>
      <c r="E5183" s="8" t="s">
        <v>427</v>
      </c>
      <c r="F5183" s="8" t="s">
        <v>3249</v>
      </c>
    </row>
    <row r="5184" spans="1:6" ht="60" x14ac:dyDescent="0.25">
      <c r="A5184" s="8" t="s">
        <v>125</v>
      </c>
      <c r="B5184" s="8" t="s">
        <v>159</v>
      </c>
      <c r="C5184" s="8" t="str">
        <f>IFERROR(_xlfn.XLOOKUP(TRIM(B5184),Lookup!$B$2:$B$1000,Lookup!$C$2:$C$1000),"")</f>
        <v>Equity</v>
      </c>
      <c r="D5184" s="8" t="str">
        <f>IFERROR(INDEX('nav master'!$C:$C, MATCH(B5184, 'nav master'!$B:$B, 0)), "")</f>
        <v>ULIF08219/09/25TopMF500Fd101</v>
      </c>
      <c r="E5184" s="8" t="s">
        <v>429</v>
      </c>
      <c r="F5184" s="8" t="s">
        <v>3250</v>
      </c>
    </row>
    <row r="5185" spans="1:6" ht="60" x14ac:dyDescent="0.25">
      <c r="A5185" s="8" t="s">
        <v>125</v>
      </c>
      <c r="B5185" s="8" t="s">
        <v>159</v>
      </c>
      <c r="C5185" s="8" t="str">
        <f>IFERROR(_xlfn.XLOOKUP(TRIM(B5185),Lookup!$B$2:$B$1000,Lookup!$C$2:$C$1000),"")</f>
        <v>Equity</v>
      </c>
      <c r="D5185" s="8" t="str">
        <f>IFERROR(INDEX('nav master'!$C:$C, MATCH(B5185, 'nav master'!$B:$B, 0)), "")</f>
        <v>ULIF08219/09/25TopMF500Fd101</v>
      </c>
      <c r="E5185" s="8" t="s">
        <v>431</v>
      </c>
      <c r="F5185" s="8" t="s">
        <v>3251</v>
      </c>
    </row>
    <row r="5186" spans="1:6" ht="60" x14ac:dyDescent="0.25">
      <c r="A5186" s="8" t="s">
        <v>125</v>
      </c>
      <c r="B5186" s="8" t="s">
        <v>159</v>
      </c>
      <c r="C5186" s="8" t="str">
        <f>IFERROR(_xlfn.XLOOKUP(TRIM(B5186),Lookup!$B$2:$B$1000,Lookup!$C$2:$C$1000),"")</f>
        <v>Equity</v>
      </c>
      <c r="D5186" s="8" t="str">
        <f>IFERROR(INDEX('nav master'!$C:$C, MATCH(B5186, 'nav master'!$B:$B, 0)), "")</f>
        <v>ULIF08219/09/25TopMF500Fd101</v>
      </c>
      <c r="E5186" s="8" t="s">
        <v>433</v>
      </c>
      <c r="F5186" s="8" t="s">
        <v>3252</v>
      </c>
    </row>
    <row r="5187" spans="1:6" ht="60" x14ac:dyDescent="0.25">
      <c r="A5187" s="8" t="s">
        <v>125</v>
      </c>
      <c r="B5187" s="8" t="s">
        <v>159</v>
      </c>
      <c r="C5187" s="8" t="str">
        <f>IFERROR(_xlfn.XLOOKUP(TRIM(B5187),Lookup!$B$2:$B$1000,Lookup!$C$2:$C$1000),"")</f>
        <v>Equity</v>
      </c>
      <c r="D5187" s="8" t="str">
        <f>IFERROR(INDEX('nav master'!$C:$C, MATCH(B5187, 'nav master'!$B:$B, 0)), "")</f>
        <v>ULIF08219/09/25TopMF500Fd101</v>
      </c>
      <c r="E5187" s="8" t="s">
        <v>435</v>
      </c>
      <c r="F5187" s="8" t="s">
        <v>3253</v>
      </c>
    </row>
    <row r="5188" spans="1:6" ht="60" x14ac:dyDescent="0.25">
      <c r="A5188" s="8" t="s">
        <v>125</v>
      </c>
      <c r="B5188" s="8" t="s">
        <v>159</v>
      </c>
      <c r="C5188" s="8" t="str">
        <f>IFERROR(_xlfn.XLOOKUP(TRIM(B5188),Lookup!$B$2:$B$1000,Lookup!$C$2:$C$1000),"")</f>
        <v>Equity</v>
      </c>
      <c r="D5188" s="8" t="str">
        <f>IFERROR(INDEX('nav master'!$C:$C, MATCH(B5188, 'nav master'!$B:$B, 0)), "")</f>
        <v>ULIF08219/09/25TopMF500Fd101</v>
      </c>
      <c r="E5188" s="8" t="s">
        <v>437</v>
      </c>
      <c r="F5188" s="8" t="s">
        <v>3254</v>
      </c>
    </row>
    <row r="5189" spans="1:6" ht="60" x14ac:dyDescent="0.25">
      <c r="A5189" s="8" t="s">
        <v>125</v>
      </c>
      <c r="B5189" s="8" t="s">
        <v>159</v>
      </c>
      <c r="C5189" s="8" t="str">
        <f>IFERROR(_xlfn.XLOOKUP(TRIM(B5189),Lookup!$B$2:$B$1000,Lookup!$C$2:$C$1000),"")</f>
        <v>Equity</v>
      </c>
      <c r="D5189" s="8" t="str">
        <f>IFERROR(INDEX('nav master'!$C:$C, MATCH(B5189, 'nav master'!$B:$B, 0)), "")</f>
        <v>ULIF08219/09/25TopMF500Fd101</v>
      </c>
      <c r="E5189" s="8" t="s">
        <v>439</v>
      </c>
      <c r="F5189" s="8" t="s">
        <v>3255</v>
      </c>
    </row>
    <row r="5190" spans="1:6" ht="60" x14ac:dyDescent="0.25">
      <c r="A5190" s="8" t="s">
        <v>125</v>
      </c>
      <c r="B5190" s="8" t="s">
        <v>159</v>
      </c>
      <c r="C5190" s="8" t="str">
        <f>IFERROR(_xlfn.XLOOKUP(TRIM(B5190),Lookup!$B$2:$B$1000,Lookup!$C$2:$C$1000),"")</f>
        <v>Equity</v>
      </c>
      <c r="D5190" s="8" t="str">
        <f>IFERROR(INDEX('nav master'!$C:$C, MATCH(B5190, 'nav master'!$B:$B, 0)), "")</f>
        <v>ULIF08219/09/25TopMF500Fd101</v>
      </c>
      <c r="E5190" s="8" t="s">
        <v>441</v>
      </c>
      <c r="F5190" s="8" t="s">
        <v>3256</v>
      </c>
    </row>
    <row r="5191" spans="1:6" ht="60" x14ac:dyDescent="0.25">
      <c r="A5191" s="8" t="s">
        <v>125</v>
      </c>
      <c r="B5191" s="8" t="s">
        <v>159</v>
      </c>
      <c r="C5191" s="8" t="str">
        <f>IFERROR(_xlfn.XLOOKUP(TRIM(B5191),Lookup!$B$2:$B$1000,Lookup!$C$2:$C$1000),"")</f>
        <v>Equity</v>
      </c>
      <c r="D5191" s="8" t="str">
        <f>IFERROR(INDEX('nav master'!$C:$C, MATCH(B5191, 'nav master'!$B:$B, 0)), "")</f>
        <v>ULIF08219/09/25TopMF500Fd101</v>
      </c>
      <c r="E5191" s="8" t="s">
        <v>443</v>
      </c>
      <c r="F5191" s="8" t="s">
        <v>3257</v>
      </c>
    </row>
    <row r="5192" spans="1:6" ht="60" x14ac:dyDescent="0.25">
      <c r="A5192" s="8" t="s">
        <v>125</v>
      </c>
      <c r="B5192" s="8" t="s">
        <v>159</v>
      </c>
      <c r="C5192" s="8" t="str">
        <f>IFERROR(_xlfn.XLOOKUP(TRIM(B5192),Lookup!$B$2:$B$1000,Lookup!$C$2:$C$1000),"")</f>
        <v>Equity</v>
      </c>
      <c r="D5192" s="8" t="str">
        <f>IFERROR(INDEX('nav master'!$C:$C, MATCH(B5192, 'nav master'!$B:$B, 0)), "")</f>
        <v>ULIF08219/09/25TopMF500Fd101</v>
      </c>
      <c r="E5192" s="8" t="s">
        <v>445</v>
      </c>
      <c r="F5192" s="8" t="s">
        <v>3258</v>
      </c>
    </row>
    <row r="5193" spans="1:6" ht="60" x14ac:dyDescent="0.25">
      <c r="A5193" s="8" t="s">
        <v>125</v>
      </c>
      <c r="B5193" s="8" t="s">
        <v>159</v>
      </c>
      <c r="C5193" s="8" t="str">
        <f>IFERROR(_xlfn.XLOOKUP(TRIM(B5193),Lookup!$B$2:$B$1000,Lookup!$C$2:$C$1000),"")</f>
        <v>Equity</v>
      </c>
      <c r="D5193" s="8" t="str">
        <f>IFERROR(INDEX('nav master'!$C:$C, MATCH(B5193, 'nav master'!$B:$B, 0)), "")</f>
        <v>ULIF08219/09/25TopMF500Fd101</v>
      </c>
      <c r="E5193" s="8" t="s">
        <v>446</v>
      </c>
      <c r="F5193" s="8" t="s">
        <v>3259</v>
      </c>
    </row>
    <row r="5194" spans="1:6" ht="60" x14ac:dyDescent="0.25">
      <c r="A5194" s="8" t="s">
        <v>125</v>
      </c>
      <c r="B5194" s="8" t="s">
        <v>159</v>
      </c>
      <c r="C5194" s="8" t="str">
        <f>IFERROR(_xlfn.XLOOKUP(TRIM(B5194),Lookup!$B$2:$B$1000,Lookup!$C$2:$C$1000),"")</f>
        <v>Equity</v>
      </c>
      <c r="D5194" s="8" t="str">
        <f>IFERROR(INDEX('nav master'!$C:$C, MATCH(B5194, 'nav master'!$B:$B, 0)), "")</f>
        <v>ULIF08219/09/25TopMF500Fd101</v>
      </c>
      <c r="E5194" s="8" t="s">
        <v>448</v>
      </c>
      <c r="F5194" s="8" t="s">
        <v>3260</v>
      </c>
    </row>
    <row r="5195" spans="1:6" ht="60" x14ac:dyDescent="0.25">
      <c r="A5195" s="8" t="s">
        <v>125</v>
      </c>
      <c r="B5195" s="8" t="s">
        <v>159</v>
      </c>
      <c r="C5195" s="8" t="str">
        <f>IFERROR(_xlfn.XLOOKUP(TRIM(B5195),Lookup!$B$2:$B$1000,Lookup!$C$2:$C$1000),"")</f>
        <v>Equity</v>
      </c>
      <c r="D5195" s="8" t="str">
        <f>IFERROR(INDEX('nav master'!$C:$C, MATCH(B5195, 'nav master'!$B:$B, 0)), "")</f>
        <v>ULIF08219/09/25TopMF500Fd101</v>
      </c>
      <c r="E5195" s="8" t="s">
        <v>450</v>
      </c>
      <c r="F5195" s="8" t="s">
        <v>3261</v>
      </c>
    </row>
    <row r="5196" spans="1:6" ht="60" x14ac:dyDescent="0.25">
      <c r="A5196" s="8" t="s">
        <v>125</v>
      </c>
      <c r="B5196" s="8" t="s">
        <v>159</v>
      </c>
      <c r="C5196" s="8" t="str">
        <f>IFERROR(_xlfn.XLOOKUP(TRIM(B5196),Lookup!$B$2:$B$1000,Lookup!$C$2:$C$1000),"")</f>
        <v>Equity</v>
      </c>
      <c r="D5196" s="8" t="str">
        <f>IFERROR(INDEX('nav master'!$C:$C, MATCH(B5196, 'nav master'!$B:$B, 0)), "")</f>
        <v>ULIF08219/09/25TopMF500Fd101</v>
      </c>
      <c r="E5196" s="8" t="s">
        <v>452</v>
      </c>
      <c r="F5196" s="8" t="s">
        <v>3262</v>
      </c>
    </row>
    <row r="5197" spans="1:6" ht="60" x14ac:dyDescent="0.25">
      <c r="A5197" s="8" t="s">
        <v>125</v>
      </c>
      <c r="B5197" s="8" t="s">
        <v>159</v>
      </c>
      <c r="C5197" s="8" t="str">
        <f>IFERROR(_xlfn.XLOOKUP(TRIM(B5197),Lookup!$B$2:$B$1000,Lookup!$C$2:$C$1000),"")</f>
        <v>Equity</v>
      </c>
      <c r="D5197" s="8" t="str">
        <f>IFERROR(INDEX('nav master'!$C:$C, MATCH(B5197, 'nav master'!$B:$B, 0)), "")</f>
        <v>ULIF08219/09/25TopMF500Fd101</v>
      </c>
      <c r="E5197" s="8" t="s">
        <v>454</v>
      </c>
      <c r="F5197" s="8" t="s">
        <v>3263</v>
      </c>
    </row>
    <row r="5198" spans="1:6" ht="60" x14ac:dyDescent="0.25">
      <c r="A5198" s="8" t="s">
        <v>125</v>
      </c>
      <c r="B5198" s="8" t="s">
        <v>159</v>
      </c>
      <c r="C5198" s="8" t="str">
        <f>IFERROR(_xlfn.XLOOKUP(TRIM(B5198),Lookup!$B$2:$B$1000,Lookup!$C$2:$C$1000),"")</f>
        <v>Equity</v>
      </c>
      <c r="D5198" s="8" t="str">
        <f>IFERROR(INDEX('nav master'!$C:$C, MATCH(B5198, 'nav master'!$B:$B, 0)), "")</f>
        <v>ULIF08219/09/25TopMF500Fd101</v>
      </c>
      <c r="E5198" s="8" t="s">
        <v>456</v>
      </c>
      <c r="F5198" s="8" t="s">
        <v>3264</v>
      </c>
    </row>
    <row r="5199" spans="1:6" ht="60" x14ac:dyDescent="0.25">
      <c r="A5199" s="8" t="s">
        <v>125</v>
      </c>
      <c r="B5199" s="8" t="s">
        <v>159</v>
      </c>
      <c r="C5199" s="8" t="str">
        <f>IFERROR(_xlfn.XLOOKUP(TRIM(B5199),Lookup!$B$2:$B$1000,Lookup!$C$2:$C$1000),"")</f>
        <v>Equity</v>
      </c>
      <c r="D5199" s="8" t="str">
        <f>IFERROR(INDEX('nav master'!$C:$C, MATCH(B5199, 'nav master'!$B:$B, 0)), "")</f>
        <v>ULIF08219/09/25TopMF500Fd101</v>
      </c>
      <c r="E5199" s="8" t="s">
        <v>458</v>
      </c>
      <c r="F5199" s="8" t="s">
        <v>3265</v>
      </c>
    </row>
    <row r="5200" spans="1:6" ht="60" x14ac:dyDescent="0.25">
      <c r="A5200" s="8" t="s">
        <v>125</v>
      </c>
      <c r="B5200" s="8" t="s">
        <v>159</v>
      </c>
      <c r="C5200" s="8" t="str">
        <f>IFERROR(_xlfn.XLOOKUP(TRIM(B5200),Lookup!$B$2:$B$1000,Lookup!$C$2:$C$1000),"")</f>
        <v>Equity</v>
      </c>
      <c r="D5200" s="8" t="str">
        <f>IFERROR(INDEX('nav master'!$C:$C, MATCH(B5200, 'nav master'!$B:$B, 0)), "")</f>
        <v>ULIF08219/09/25TopMF500Fd101</v>
      </c>
      <c r="E5200" s="8" t="s">
        <v>460</v>
      </c>
      <c r="F5200" s="8" t="s">
        <v>3266</v>
      </c>
    </row>
    <row r="5201" spans="1:6" ht="60" x14ac:dyDescent="0.25">
      <c r="A5201" s="8" t="s">
        <v>125</v>
      </c>
      <c r="B5201" s="8" t="s">
        <v>159</v>
      </c>
      <c r="C5201" s="8" t="str">
        <f>IFERROR(_xlfn.XLOOKUP(TRIM(B5201),Lookup!$B$2:$B$1000,Lookup!$C$2:$C$1000),"")</f>
        <v>Equity</v>
      </c>
      <c r="D5201" s="8" t="str">
        <f>IFERROR(INDEX('nav master'!$C:$C, MATCH(B5201, 'nav master'!$B:$B, 0)), "")</f>
        <v>ULIF08219/09/25TopMF500Fd101</v>
      </c>
      <c r="E5201" s="8" t="s">
        <v>462</v>
      </c>
      <c r="F5201" s="8" t="s">
        <v>3267</v>
      </c>
    </row>
    <row r="5202" spans="1:6" ht="60" x14ac:dyDescent="0.25">
      <c r="A5202" s="8" t="s">
        <v>125</v>
      </c>
      <c r="B5202" s="8" t="s">
        <v>159</v>
      </c>
      <c r="C5202" s="8" t="str">
        <f>IFERROR(_xlfn.XLOOKUP(TRIM(B5202),Lookup!$B$2:$B$1000,Lookup!$C$2:$C$1000),"")</f>
        <v>Equity</v>
      </c>
      <c r="D5202" s="8" t="str">
        <f>IFERROR(INDEX('nav master'!$C:$C, MATCH(B5202, 'nav master'!$B:$B, 0)), "")</f>
        <v>ULIF08219/09/25TopMF500Fd101</v>
      </c>
      <c r="E5202" s="8" t="s">
        <v>464</v>
      </c>
      <c r="F5202" s="8" t="s">
        <v>3268</v>
      </c>
    </row>
    <row r="5203" spans="1:6" ht="60" x14ac:dyDescent="0.25">
      <c r="A5203" s="8" t="s">
        <v>125</v>
      </c>
      <c r="B5203" s="8" t="s">
        <v>159</v>
      </c>
      <c r="C5203" s="8" t="str">
        <f>IFERROR(_xlfn.XLOOKUP(TRIM(B5203),Lookup!$B$2:$B$1000,Lookup!$C$2:$C$1000),"")</f>
        <v>Equity</v>
      </c>
      <c r="D5203" s="8" t="str">
        <f>IFERROR(INDEX('nav master'!$C:$C, MATCH(B5203, 'nav master'!$B:$B, 0)), "")</f>
        <v>ULIF08219/09/25TopMF500Fd101</v>
      </c>
      <c r="E5203" s="8" t="s">
        <v>466</v>
      </c>
      <c r="F5203" s="8" t="s">
        <v>3269</v>
      </c>
    </row>
    <row r="5204" spans="1:6" ht="60" x14ac:dyDescent="0.25">
      <c r="A5204" s="8" t="s">
        <v>125</v>
      </c>
      <c r="B5204" s="8" t="s">
        <v>159</v>
      </c>
      <c r="C5204" s="8" t="str">
        <f>IFERROR(_xlfn.XLOOKUP(TRIM(B5204),Lookup!$B$2:$B$1000,Lookup!$C$2:$C$1000),"")</f>
        <v>Equity</v>
      </c>
      <c r="D5204" s="8" t="str">
        <f>IFERROR(INDEX('nav master'!$C:$C, MATCH(B5204, 'nav master'!$B:$B, 0)), "")</f>
        <v>ULIF08219/09/25TopMF500Fd101</v>
      </c>
      <c r="E5204" s="8" t="s">
        <v>468</v>
      </c>
      <c r="F5204" s="8" t="s">
        <v>3270</v>
      </c>
    </row>
    <row r="5205" spans="1:6" ht="60" x14ac:dyDescent="0.25">
      <c r="A5205" s="8" t="s">
        <v>125</v>
      </c>
      <c r="B5205" s="8" t="s">
        <v>159</v>
      </c>
      <c r="C5205" s="8" t="str">
        <f>IFERROR(_xlfn.XLOOKUP(TRIM(B5205),Lookup!$B$2:$B$1000,Lookup!$C$2:$C$1000),"")</f>
        <v>Equity</v>
      </c>
      <c r="D5205" s="8" t="str">
        <f>IFERROR(INDEX('nav master'!$C:$C, MATCH(B5205, 'nav master'!$B:$B, 0)), "")</f>
        <v>ULIF08219/09/25TopMF500Fd101</v>
      </c>
      <c r="E5205" s="8" t="s">
        <v>470</v>
      </c>
      <c r="F5205" s="8" t="s">
        <v>3271</v>
      </c>
    </row>
    <row r="5206" spans="1:6" ht="60" x14ac:dyDescent="0.25">
      <c r="A5206" s="8" t="s">
        <v>125</v>
      </c>
      <c r="B5206" s="8" t="s">
        <v>159</v>
      </c>
      <c r="C5206" s="8" t="str">
        <f>IFERROR(_xlfn.XLOOKUP(TRIM(B5206),Lookup!$B$2:$B$1000,Lookup!$C$2:$C$1000),"")</f>
        <v>Equity</v>
      </c>
      <c r="D5206" s="8" t="str">
        <f>IFERROR(INDEX('nav master'!$C:$C, MATCH(B5206, 'nav master'!$B:$B, 0)), "")</f>
        <v>ULIF08219/09/25TopMF500Fd101</v>
      </c>
      <c r="E5206" s="8" t="s">
        <v>472</v>
      </c>
      <c r="F5206" s="8" t="s">
        <v>3272</v>
      </c>
    </row>
    <row r="5207" spans="1:6" ht="60" x14ac:dyDescent="0.25">
      <c r="A5207" s="8" t="s">
        <v>125</v>
      </c>
      <c r="B5207" s="8" t="s">
        <v>159</v>
      </c>
      <c r="C5207" s="8" t="str">
        <f>IFERROR(_xlfn.XLOOKUP(TRIM(B5207),Lookup!$B$2:$B$1000,Lookup!$C$2:$C$1000),"")</f>
        <v>Equity</v>
      </c>
      <c r="D5207" s="8" t="str">
        <f>IFERROR(INDEX('nav master'!$C:$C, MATCH(B5207, 'nav master'!$B:$B, 0)), "")</f>
        <v>ULIF08219/09/25TopMF500Fd101</v>
      </c>
      <c r="E5207" s="8" t="s">
        <v>474</v>
      </c>
      <c r="F5207" s="8" t="s">
        <v>3273</v>
      </c>
    </row>
    <row r="5208" spans="1:6" ht="60" x14ac:dyDescent="0.25">
      <c r="A5208" s="8" t="s">
        <v>125</v>
      </c>
      <c r="B5208" s="8" t="s">
        <v>159</v>
      </c>
      <c r="C5208" s="8" t="str">
        <f>IFERROR(_xlfn.XLOOKUP(TRIM(B5208),Lookup!$B$2:$B$1000,Lookup!$C$2:$C$1000),"")</f>
        <v>Equity</v>
      </c>
      <c r="D5208" s="8" t="str">
        <f>IFERROR(INDEX('nav master'!$C:$C, MATCH(B5208, 'nav master'!$B:$B, 0)), "")</f>
        <v>ULIF08219/09/25TopMF500Fd101</v>
      </c>
      <c r="E5208" s="8" t="s">
        <v>476</v>
      </c>
      <c r="F5208" s="8" t="s">
        <v>3274</v>
      </c>
    </row>
    <row r="5209" spans="1:6" ht="60" x14ac:dyDescent="0.25">
      <c r="A5209" s="8" t="s">
        <v>125</v>
      </c>
      <c r="B5209" s="8" t="s">
        <v>159</v>
      </c>
      <c r="C5209" s="8" t="str">
        <f>IFERROR(_xlfn.XLOOKUP(TRIM(B5209),Lookup!$B$2:$B$1000,Lookup!$C$2:$C$1000),"")</f>
        <v>Equity</v>
      </c>
      <c r="D5209" s="8" t="str">
        <f>IFERROR(INDEX('nav master'!$C:$C, MATCH(B5209, 'nav master'!$B:$B, 0)), "")</f>
        <v>ULIF08219/09/25TopMF500Fd101</v>
      </c>
      <c r="E5209" s="8" t="s">
        <v>478</v>
      </c>
      <c r="F5209" s="8" t="s">
        <v>3275</v>
      </c>
    </row>
    <row r="5210" spans="1:6" ht="60" x14ac:dyDescent="0.25">
      <c r="A5210" s="8" t="s">
        <v>125</v>
      </c>
      <c r="B5210" s="8" t="s">
        <v>159</v>
      </c>
      <c r="C5210" s="8" t="str">
        <f>IFERROR(_xlfn.XLOOKUP(TRIM(B5210),Lookup!$B$2:$B$1000,Lookup!$C$2:$C$1000),"")</f>
        <v>Equity</v>
      </c>
      <c r="D5210" s="8" t="str">
        <f>IFERROR(INDEX('nav master'!$C:$C, MATCH(B5210, 'nav master'!$B:$B, 0)), "")</f>
        <v>ULIF08219/09/25TopMF500Fd101</v>
      </c>
      <c r="E5210" s="8" t="s">
        <v>480</v>
      </c>
      <c r="F5210" s="8" t="s">
        <v>3276</v>
      </c>
    </row>
    <row r="5211" spans="1:6" ht="60" x14ac:dyDescent="0.25">
      <c r="A5211" s="8" t="s">
        <v>125</v>
      </c>
      <c r="B5211" s="8" t="s">
        <v>159</v>
      </c>
      <c r="C5211" s="8" t="str">
        <f>IFERROR(_xlfn.XLOOKUP(TRIM(B5211),Lookup!$B$2:$B$1000,Lookup!$C$2:$C$1000),"")</f>
        <v>Equity</v>
      </c>
      <c r="D5211" s="8" t="str">
        <f>IFERROR(INDEX('nav master'!$C:$C, MATCH(B5211, 'nav master'!$B:$B, 0)), "")</f>
        <v>ULIF08219/09/25TopMF500Fd101</v>
      </c>
      <c r="E5211" s="8" t="s">
        <v>482</v>
      </c>
      <c r="F5211" s="8" t="s">
        <v>3277</v>
      </c>
    </row>
    <row r="5212" spans="1:6" ht="60" x14ac:dyDescent="0.25">
      <c r="A5212" s="8" t="s">
        <v>125</v>
      </c>
      <c r="B5212" s="8" t="s">
        <v>159</v>
      </c>
      <c r="C5212" s="8" t="str">
        <f>IFERROR(_xlfn.XLOOKUP(TRIM(B5212),Lookup!$B$2:$B$1000,Lookup!$C$2:$C$1000),"")</f>
        <v>Equity</v>
      </c>
      <c r="D5212" s="8" t="str">
        <f>IFERROR(INDEX('nav master'!$C:$C, MATCH(B5212, 'nav master'!$B:$B, 0)), "")</f>
        <v>ULIF08219/09/25TopMF500Fd101</v>
      </c>
      <c r="E5212" s="8" t="s">
        <v>484</v>
      </c>
      <c r="F5212" s="8" t="s">
        <v>3278</v>
      </c>
    </row>
    <row r="5213" spans="1:6" ht="60" x14ac:dyDescent="0.25">
      <c r="A5213" s="8" t="s">
        <v>125</v>
      </c>
      <c r="B5213" s="8" t="s">
        <v>159</v>
      </c>
      <c r="C5213" s="8" t="str">
        <f>IFERROR(_xlfn.XLOOKUP(TRIM(B5213),Lookup!$B$2:$B$1000,Lookup!$C$2:$C$1000),"")</f>
        <v>Equity</v>
      </c>
      <c r="D5213" s="8" t="str">
        <f>IFERROR(INDEX('nav master'!$C:$C, MATCH(B5213, 'nav master'!$B:$B, 0)), "")</f>
        <v>ULIF08219/09/25TopMF500Fd101</v>
      </c>
      <c r="E5213" s="8" t="s">
        <v>486</v>
      </c>
      <c r="F5213" s="8" t="s">
        <v>3279</v>
      </c>
    </row>
    <row r="5214" spans="1:6" ht="60" x14ac:dyDescent="0.25">
      <c r="A5214" s="8" t="s">
        <v>125</v>
      </c>
      <c r="B5214" s="8" t="s">
        <v>159</v>
      </c>
      <c r="C5214" s="8" t="str">
        <f>IFERROR(_xlfn.XLOOKUP(TRIM(B5214),Lookup!$B$2:$B$1000,Lookup!$C$2:$C$1000),"")</f>
        <v>Equity</v>
      </c>
      <c r="D5214" s="8" t="str">
        <f>IFERROR(INDEX('nav master'!$C:$C, MATCH(B5214, 'nav master'!$B:$B, 0)), "")</f>
        <v>ULIF08219/09/25TopMF500Fd101</v>
      </c>
      <c r="E5214" s="8" t="s">
        <v>488</v>
      </c>
      <c r="F5214" s="8" t="s">
        <v>3280</v>
      </c>
    </row>
    <row r="5215" spans="1:6" ht="60" x14ac:dyDescent="0.25">
      <c r="A5215" s="8" t="s">
        <v>125</v>
      </c>
      <c r="B5215" s="8" t="s">
        <v>159</v>
      </c>
      <c r="C5215" s="8" t="str">
        <f>IFERROR(_xlfn.XLOOKUP(TRIM(B5215),Lookup!$B$2:$B$1000,Lookup!$C$2:$C$1000),"")</f>
        <v>Equity</v>
      </c>
      <c r="D5215" s="8" t="str">
        <f>IFERROR(INDEX('nav master'!$C:$C, MATCH(B5215, 'nav master'!$B:$B, 0)), "")</f>
        <v>ULIF08219/09/25TopMF500Fd101</v>
      </c>
      <c r="E5215" s="8" t="s">
        <v>490</v>
      </c>
      <c r="F5215" s="8" t="s">
        <v>3281</v>
      </c>
    </row>
    <row r="5216" spans="1:6" ht="60" x14ac:dyDescent="0.25">
      <c r="A5216" s="8" t="s">
        <v>125</v>
      </c>
      <c r="B5216" s="8" t="s">
        <v>159</v>
      </c>
      <c r="C5216" s="8" t="str">
        <f>IFERROR(_xlfn.XLOOKUP(TRIM(B5216),Lookup!$B$2:$B$1000,Lookup!$C$2:$C$1000),"")</f>
        <v>Equity</v>
      </c>
      <c r="D5216" s="8" t="str">
        <f>IFERROR(INDEX('nav master'!$C:$C, MATCH(B5216, 'nav master'!$B:$B, 0)), "")</f>
        <v>ULIF08219/09/25TopMF500Fd101</v>
      </c>
      <c r="E5216" s="8" t="s">
        <v>492</v>
      </c>
      <c r="F5216" s="8" t="s">
        <v>3282</v>
      </c>
    </row>
    <row r="5217" spans="1:6" ht="60" x14ac:dyDescent="0.25">
      <c r="A5217" s="8" t="s">
        <v>125</v>
      </c>
      <c r="B5217" s="8" t="s">
        <v>159</v>
      </c>
      <c r="C5217" s="8" t="str">
        <f>IFERROR(_xlfn.XLOOKUP(TRIM(B5217),Lookup!$B$2:$B$1000,Lookup!$C$2:$C$1000),"")</f>
        <v>Equity</v>
      </c>
      <c r="D5217" s="8" t="str">
        <f>IFERROR(INDEX('nav master'!$C:$C, MATCH(B5217, 'nav master'!$B:$B, 0)), "")</f>
        <v>ULIF08219/09/25TopMF500Fd101</v>
      </c>
      <c r="E5217" s="8" t="s">
        <v>494</v>
      </c>
      <c r="F5217" s="8" t="s">
        <v>3283</v>
      </c>
    </row>
    <row r="5218" spans="1:6" ht="60" x14ac:dyDescent="0.25">
      <c r="A5218" s="8" t="s">
        <v>125</v>
      </c>
      <c r="B5218" s="8" t="s">
        <v>159</v>
      </c>
      <c r="C5218" s="8" t="str">
        <f>IFERROR(_xlfn.XLOOKUP(TRIM(B5218),Lookup!$B$2:$B$1000,Lookup!$C$2:$C$1000),"")</f>
        <v>Equity</v>
      </c>
      <c r="D5218" s="8" t="str">
        <f>IFERROR(INDEX('nav master'!$C:$C, MATCH(B5218, 'nav master'!$B:$B, 0)), "")</f>
        <v>ULIF08219/09/25TopMF500Fd101</v>
      </c>
      <c r="E5218" s="8" t="s">
        <v>496</v>
      </c>
      <c r="F5218" s="8" t="s">
        <v>3284</v>
      </c>
    </row>
    <row r="5219" spans="1:6" ht="60" x14ac:dyDescent="0.25">
      <c r="A5219" s="8" t="s">
        <v>125</v>
      </c>
      <c r="B5219" s="8" t="s">
        <v>159</v>
      </c>
      <c r="C5219" s="8" t="str">
        <f>IFERROR(_xlfn.XLOOKUP(TRIM(B5219),Lookup!$B$2:$B$1000,Lookup!$C$2:$C$1000),"")</f>
        <v>Equity</v>
      </c>
      <c r="D5219" s="8" t="str">
        <f>IFERROR(INDEX('nav master'!$C:$C, MATCH(B5219, 'nav master'!$B:$B, 0)), "")</f>
        <v>ULIF08219/09/25TopMF500Fd101</v>
      </c>
      <c r="E5219" s="8" t="s">
        <v>498</v>
      </c>
      <c r="F5219" s="8" t="s">
        <v>3285</v>
      </c>
    </row>
    <row r="5220" spans="1:6" ht="60" x14ac:dyDescent="0.25">
      <c r="A5220" s="8" t="s">
        <v>125</v>
      </c>
      <c r="B5220" s="8" t="s">
        <v>159</v>
      </c>
      <c r="C5220" s="8" t="str">
        <f>IFERROR(_xlfn.XLOOKUP(TRIM(B5220),Lookup!$B$2:$B$1000,Lookup!$C$2:$C$1000),"")</f>
        <v>Equity</v>
      </c>
      <c r="D5220" s="8" t="str">
        <f>IFERROR(INDEX('nav master'!$C:$C, MATCH(B5220, 'nav master'!$B:$B, 0)), "")</f>
        <v>ULIF08219/09/25TopMF500Fd101</v>
      </c>
      <c r="E5220" s="8" t="s">
        <v>500</v>
      </c>
      <c r="F5220" s="8" t="s">
        <v>3286</v>
      </c>
    </row>
    <row r="5221" spans="1:6" ht="60" x14ac:dyDescent="0.25">
      <c r="A5221" s="8" t="s">
        <v>125</v>
      </c>
      <c r="B5221" s="8" t="s">
        <v>159</v>
      </c>
      <c r="C5221" s="8" t="str">
        <f>IFERROR(_xlfn.XLOOKUP(TRIM(B5221),Lookup!$B$2:$B$1000,Lookup!$C$2:$C$1000),"")</f>
        <v>Equity</v>
      </c>
      <c r="D5221" s="8" t="str">
        <f>IFERROR(INDEX('nav master'!$C:$C, MATCH(B5221, 'nav master'!$B:$B, 0)), "")</f>
        <v>ULIF08219/09/25TopMF500Fd101</v>
      </c>
      <c r="E5221" s="8" t="s">
        <v>502</v>
      </c>
      <c r="F5221" s="8" t="s">
        <v>3287</v>
      </c>
    </row>
    <row r="5222" spans="1:6" ht="60" x14ac:dyDescent="0.25">
      <c r="A5222" s="8" t="s">
        <v>125</v>
      </c>
      <c r="B5222" s="8" t="s">
        <v>159</v>
      </c>
      <c r="C5222" s="8" t="str">
        <f>IFERROR(_xlfn.XLOOKUP(TRIM(B5222),Lookup!$B$2:$B$1000,Lookup!$C$2:$C$1000),"")</f>
        <v>Equity</v>
      </c>
      <c r="D5222" s="8" t="str">
        <f>IFERROR(INDEX('nav master'!$C:$C, MATCH(B5222, 'nav master'!$B:$B, 0)), "")</f>
        <v>ULIF08219/09/25TopMF500Fd101</v>
      </c>
      <c r="E5222" s="8" t="s">
        <v>504</v>
      </c>
      <c r="F5222" s="8" t="s">
        <v>3288</v>
      </c>
    </row>
    <row r="5223" spans="1:6" ht="60" x14ac:dyDescent="0.25">
      <c r="A5223" s="8" t="s">
        <v>125</v>
      </c>
      <c r="B5223" s="8" t="s">
        <v>159</v>
      </c>
      <c r="C5223" s="8" t="str">
        <f>IFERROR(_xlfn.XLOOKUP(TRIM(B5223),Lookup!$B$2:$B$1000,Lookup!$C$2:$C$1000),"")</f>
        <v>Equity</v>
      </c>
      <c r="D5223" s="8" t="str">
        <f>IFERROR(INDEX('nav master'!$C:$C, MATCH(B5223, 'nav master'!$B:$B, 0)), "")</f>
        <v>ULIF08219/09/25TopMF500Fd101</v>
      </c>
      <c r="E5223" s="8" t="s">
        <v>506</v>
      </c>
      <c r="F5223" s="8" t="s">
        <v>3289</v>
      </c>
    </row>
    <row r="5224" spans="1:6" ht="60" x14ac:dyDescent="0.25">
      <c r="A5224" s="8" t="s">
        <v>125</v>
      </c>
      <c r="B5224" s="8" t="s">
        <v>159</v>
      </c>
      <c r="C5224" s="8" t="str">
        <f>IFERROR(_xlfn.XLOOKUP(TRIM(B5224),Lookup!$B$2:$B$1000,Lookup!$C$2:$C$1000),"")</f>
        <v>Equity</v>
      </c>
      <c r="D5224" s="8" t="str">
        <f>IFERROR(INDEX('nav master'!$C:$C, MATCH(B5224, 'nav master'!$B:$B, 0)), "")</f>
        <v>ULIF08219/09/25TopMF500Fd101</v>
      </c>
      <c r="E5224" s="8" t="s">
        <v>508</v>
      </c>
      <c r="F5224" s="8" t="s">
        <v>3290</v>
      </c>
    </row>
    <row r="5225" spans="1:6" ht="60" x14ac:dyDescent="0.25">
      <c r="A5225" s="8" t="s">
        <v>125</v>
      </c>
      <c r="B5225" s="8" t="s">
        <v>159</v>
      </c>
      <c r="C5225" s="8" t="str">
        <f>IFERROR(_xlfn.XLOOKUP(TRIM(B5225),Lookup!$B$2:$B$1000,Lookup!$C$2:$C$1000),"")</f>
        <v>Equity</v>
      </c>
      <c r="D5225" s="8" t="str">
        <f>IFERROR(INDEX('nav master'!$C:$C, MATCH(B5225, 'nav master'!$B:$B, 0)), "")</f>
        <v>ULIF08219/09/25TopMF500Fd101</v>
      </c>
      <c r="E5225" s="8" t="s">
        <v>510</v>
      </c>
      <c r="F5225" s="8" t="s">
        <v>3291</v>
      </c>
    </row>
    <row r="5226" spans="1:6" ht="60" x14ac:dyDescent="0.25">
      <c r="A5226" s="8" t="s">
        <v>125</v>
      </c>
      <c r="B5226" s="8" t="s">
        <v>159</v>
      </c>
      <c r="C5226" s="8" t="str">
        <f>IFERROR(_xlfn.XLOOKUP(TRIM(B5226),Lookup!$B$2:$B$1000,Lookup!$C$2:$C$1000),"")</f>
        <v>Equity</v>
      </c>
      <c r="D5226" s="8" t="str">
        <f>IFERROR(INDEX('nav master'!$C:$C, MATCH(B5226, 'nav master'!$B:$B, 0)), "")</f>
        <v>ULIF08219/09/25TopMF500Fd101</v>
      </c>
      <c r="E5226" s="8" t="s">
        <v>512</v>
      </c>
      <c r="F5226" s="8" t="s">
        <v>3292</v>
      </c>
    </row>
    <row r="5227" spans="1:6" ht="60" x14ac:dyDescent="0.25">
      <c r="A5227" s="8" t="s">
        <v>125</v>
      </c>
      <c r="B5227" s="8" t="s">
        <v>159</v>
      </c>
      <c r="C5227" s="8" t="str">
        <f>IFERROR(_xlfn.XLOOKUP(TRIM(B5227),Lookup!$B$2:$B$1000,Lookup!$C$2:$C$1000),"")</f>
        <v>Equity</v>
      </c>
      <c r="D5227" s="8" t="str">
        <f>IFERROR(INDEX('nav master'!$C:$C, MATCH(B5227, 'nav master'!$B:$B, 0)), "")</f>
        <v>ULIF08219/09/25TopMF500Fd101</v>
      </c>
      <c r="E5227" s="8" t="s">
        <v>514</v>
      </c>
      <c r="F5227" s="8" t="s">
        <v>3293</v>
      </c>
    </row>
    <row r="5228" spans="1:6" ht="60" x14ac:dyDescent="0.25">
      <c r="A5228" s="8" t="s">
        <v>125</v>
      </c>
      <c r="B5228" s="8" t="s">
        <v>159</v>
      </c>
      <c r="C5228" s="8" t="str">
        <f>IFERROR(_xlfn.XLOOKUP(TRIM(B5228),Lookup!$B$2:$B$1000,Lookup!$C$2:$C$1000),"")</f>
        <v>Equity</v>
      </c>
      <c r="D5228" s="8" t="str">
        <f>IFERROR(INDEX('nav master'!$C:$C, MATCH(B5228, 'nav master'!$B:$B, 0)), "")</f>
        <v>ULIF08219/09/25TopMF500Fd101</v>
      </c>
      <c r="E5228" s="8" t="s">
        <v>516</v>
      </c>
      <c r="F5228" s="8" t="s">
        <v>3294</v>
      </c>
    </row>
    <row r="5229" spans="1:6" ht="60" x14ac:dyDescent="0.25">
      <c r="A5229" s="8" t="s">
        <v>125</v>
      </c>
      <c r="B5229" s="8" t="s">
        <v>159</v>
      </c>
      <c r="C5229" s="8" t="str">
        <f>IFERROR(_xlfn.XLOOKUP(TRIM(B5229),Lookup!$B$2:$B$1000,Lookup!$C$2:$C$1000),"")</f>
        <v>Equity</v>
      </c>
      <c r="D5229" s="8" t="str">
        <f>IFERROR(INDEX('nav master'!$C:$C, MATCH(B5229, 'nav master'!$B:$B, 0)), "")</f>
        <v>ULIF08219/09/25TopMF500Fd101</v>
      </c>
      <c r="E5229" s="8" t="s">
        <v>518</v>
      </c>
      <c r="F5229" s="8" t="s">
        <v>3295</v>
      </c>
    </row>
    <row r="5230" spans="1:6" ht="60" x14ac:dyDescent="0.25">
      <c r="A5230" s="8" t="s">
        <v>125</v>
      </c>
      <c r="B5230" s="8" t="s">
        <v>159</v>
      </c>
      <c r="C5230" s="8" t="str">
        <f>IFERROR(_xlfn.XLOOKUP(TRIM(B5230),Lookup!$B$2:$B$1000,Lookup!$C$2:$C$1000),"")</f>
        <v>Equity</v>
      </c>
      <c r="D5230" s="8" t="str">
        <f>IFERROR(INDEX('nav master'!$C:$C, MATCH(B5230, 'nav master'!$B:$B, 0)), "")</f>
        <v>ULIF08219/09/25TopMF500Fd101</v>
      </c>
      <c r="E5230" s="8" t="s">
        <v>520</v>
      </c>
      <c r="F5230" s="8" t="s">
        <v>3296</v>
      </c>
    </row>
    <row r="5231" spans="1:6" ht="60" x14ac:dyDescent="0.25">
      <c r="A5231" s="8" t="s">
        <v>125</v>
      </c>
      <c r="B5231" s="8" t="s">
        <v>159</v>
      </c>
      <c r="C5231" s="8" t="str">
        <f>IFERROR(_xlfn.XLOOKUP(TRIM(B5231),Lookup!$B$2:$B$1000,Lookup!$C$2:$C$1000),"")</f>
        <v>Equity</v>
      </c>
      <c r="D5231" s="8" t="str">
        <f>IFERROR(INDEX('nav master'!$C:$C, MATCH(B5231, 'nav master'!$B:$B, 0)), "")</f>
        <v>ULIF08219/09/25TopMF500Fd101</v>
      </c>
      <c r="E5231" s="8" t="s">
        <v>522</v>
      </c>
      <c r="F5231" s="8" t="s">
        <v>3297</v>
      </c>
    </row>
    <row r="5232" spans="1:6" ht="60" x14ac:dyDescent="0.25">
      <c r="A5232" s="8" t="s">
        <v>125</v>
      </c>
      <c r="B5232" s="8" t="s">
        <v>159</v>
      </c>
      <c r="C5232" s="8" t="str">
        <f>IFERROR(_xlfn.XLOOKUP(TRIM(B5232),Lookup!$B$2:$B$1000,Lookup!$C$2:$C$1000),"")</f>
        <v>Equity</v>
      </c>
      <c r="D5232" s="8" t="str">
        <f>IFERROR(INDEX('nav master'!$C:$C, MATCH(B5232, 'nav master'!$B:$B, 0)), "")</f>
        <v>ULIF08219/09/25TopMF500Fd101</v>
      </c>
      <c r="E5232" s="8" t="s">
        <v>524</v>
      </c>
      <c r="F5232" s="8" t="s">
        <v>3298</v>
      </c>
    </row>
    <row r="5233" spans="1:6" ht="60" x14ac:dyDescent="0.25">
      <c r="A5233" s="8" t="s">
        <v>125</v>
      </c>
      <c r="B5233" s="8" t="s">
        <v>159</v>
      </c>
      <c r="C5233" s="8" t="str">
        <f>IFERROR(_xlfn.XLOOKUP(TRIM(B5233),Lookup!$B$2:$B$1000,Lookup!$C$2:$C$1000),"")</f>
        <v>Equity</v>
      </c>
      <c r="D5233" s="8" t="str">
        <f>IFERROR(INDEX('nav master'!$C:$C, MATCH(B5233, 'nav master'!$B:$B, 0)), "")</f>
        <v>ULIF08219/09/25TopMF500Fd101</v>
      </c>
      <c r="E5233" s="8" t="s">
        <v>526</v>
      </c>
      <c r="F5233" s="8" t="s">
        <v>3299</v>
      </c>
    </row>
    <row r="5234" spans="1:6" ht="60" x14ac:dyDescent="0.25">
      <c r="A5234" s="8" t="s">
        <v>125</v>
      </c>
      <c r="B5234" s="8" t="s">
        <v>159</v>
      </c>
      <c r="C5234" s="8" t="str">
        <f>IFERROR(_xlfn.XLOOKUP(TRIM(B5234),Lookup!$B$2:$B$1000,Lookup!$C$2:$C$1000),"")</f>
        <v>Equity</v>
      </c>
      <c r="D5234" s="8" t="str">
        <f>IFERROR(INDEX('nav master'!$C:$C, MATCH(B5234, 'nav master'!$B:$B, 0)), "")</f>
        <v>ULIF08219/09/25TopMF500Fd101</v>
      </c>
      <c r="E5234" s="8" t="s">
        <v>528</v>
      </c>
      <c r="F5234" s="8" t="s">
        <v>3300</v>
      </c>
    </row>
    <row r="5235" spans="1:6" ht="60" x14ac:dyDescent="0.25">
      <c r="A5235" s="8" t="s">
        <v>125</v>
      </c>
      <c r="B5235" s="8" t="s">
        <v>159</v>
      </c>
      <c r="C5235" s="8" t="str">
        <f>IFERROR(_xlfn.XLOOKUP(TRIM(B5235),Lookup!$B$2:$B$1000,Lookup!$C$2:$C$1000),"")</f>
        <v>Equity</v>
      </c>
      <c r="D5235" s="8" t="str">
        <f>IFERROR(INDEX('nav master'!$C:$C, MATCH(B5235, 'nav master'!$B:$B, 0)), "")</f>
        <v>ULIF08219/09/25TopMF500Fd101</v>
      </c>
      <c r="E5235" s="8" t="s">
        <v>530</v>
      </c>
      <c r="F5235" s="8" t="s">
        <v>3301</v>
      </c>
    </row>
    <row r="5236" spans="1:6" ht="60" x14ac:dyDescent="0.25">
      <c r="A5236" s="8" t="s">
        <v>125</v>
      </c>
      <c r="B5236" s="8" t="s">
        <v>159</v>
      </c>
      <c r="C5236" s="8" t="str">
        <f>IFERROR(_xlfn.XLOOKUP(TRIM(B5236),Lookup!$B$2:$B$1000,Lookup!$C$2:$C$1000),"")</f>
        <v>Equity</v>
      </c>
      <c r="D5236" s="8" t="str">
        <f>IFERROR(INDEX('nav master'!$C:$C, MATCH(B5236, 'nav master'!$B:$B, 0)), "")</f>
        <v>ULIF08219/09/25TopMF500Fd101</v>
      </c>
      <c r="E5236" s="8" t="s">
        <v>532</v>
      </c>
      <c r="F5236" s="8" t="s">
        <v>3302</v>
      </c>
    </row>
    <row r="5237" spans="1:6" ht="60" x14ac:dyDescent="0.25">
      <c r="A5237" s="8" t="s">
        <v>125</v>
      </c>
      <c r="B5237" s="8" t="s">
        <v>159</v>
      </c>
      <c r="C5237" s="8" t="str">
        <f>IFERROR(_xlfn.XLOOKUP(TRIM(B5237),Lookup!$B$2:$B$1000,Lookup!$C$2:$C$1000),"")</f>
        <v>Equity</v>
      </c>
      <c r="D5237" s="8" t="str">
        <f>IFERROR(INDEX('nav master'!$C:$C, MATCH(B5237, 'nav master'!$B:$B, 0)), "")</f>
        <v>ULIF08219/09/25TopMF500Fd101</v>
      </c>
      <c r="E5237" s="8" t="s">
        <v>534</v>
      </c>
      <c r="F5237" s="8" t="s">
        <v>3303</v>
      </c>
    </row>
    <row r="5238" spans="1:6" ht="60" x14ac:dyDescent="0.25">
      <c r="A5238" s="8" t="s">
        <v>125</v>
      </c>
      <c r="B5238" s="8" t="s">
        <v>159</v>
      </c>
      <c r="C5238" s="8" t="str">
        <f>IFERROR(_xlfn.XLOOKUP(TRIM(B5238),Lookup!$B$2:$B$1000,Lookup!$C$2:$C$1000),"")</f>
        <v>Equity</v>
      </c>
      <c r="D5238" s="8" t="str">
        <f>IFERROR(INDEX('nav master'!$C:$C, MATCH(B5238, 'nav master'!$B:$B, 0)), "")</f>
        <v>ULIF08219/09/25TopMF500Fd101</v>
      </c>
      <c r="E5238" s="8" t="s">
        <v>536</v>
      </c>
      <c r="F5238" s="8" t="s">
        <v>3304</v>
      </c>
    </row>
    <row r="5239" spans="1:6" ht="60" x14ac:dyDescent="0.25">
      <c r="A5239" s="8" t="s">
        <v>125</v>
      </c>
      <c r="B5239" s="8" t="s">
        <v>159</v>
      </c>
      <c r="C5239" s="8" t="str">
        <f>IFERROR(_xlfn.XLOOKUP(TRIM(B5239),Lookup!$B$2:$B$1000,Lookup!$C$2:$C$1000),"")</f>
        <v>Equity</v>
      </c>
      <c r="D5239" s="8" t="str">
        <f>IFERROR(INDEX('nav master'!$C:$C, MATCH(B5239, 'nav master'!$B:$B, 0)), "")</f>
        <v>ULIF08219/09/25TopMF500Fd101</v>
      </c>
      <c r="E5239" s="8" t="s">
        <v>538</v>
      </c>
      <c r="F5239" s="8" t="s">
        <v>3305</v>
      </c>
    </row>
    <row r="5240" spans="1:6" ht="60" x14ac:dyDescent="0.25">
      <c r="A5240" s="8" t="s">
        <v>125</v>
      </c>
      <c r="B5240" s="8" t="s">
        <v>159</v>
      </c>
      <c r="C5240" s="8" t="str">
        <f>IFERROR(_xlfn.XLOOKUP(TRIM(B5240),Lookup!$B$2:$B$1000,Lookup!$C$2:$C$1000),"")</f>
        <v>Equity</v>
      </c>
      <c r="D5240" s="8" t="str">
        <f>IFERROR(INDEX('nav master'!$C:$C, MATCH(B5240, 'nav master'!$B:$B, 0)), "")</f>
        <v>ULIF08219/09/25TopMF500Fd101</v>
      </c>
      <c r="E5240" s="8" t="s">
        <v>540</v>
      </c>
      <c r="F5240" s="8" t="s">
        <v>3306</v>
      </c>
    </row>
    <row r="5241" spans="1:6" ht="60" x14ac:dyDescent="0.25">
      <c r="A5241" s="8" t="s">
        <v>125</v>
      </c>
      <c r="B5241" s="8" t="s">
        <v>159</v>
      </c>
      <c r="C5241" s="8" t="str">
        <f>IFERROR(_xlfn.XLOOKUP(TRIM(B5241),Lookup!$B$2:$B$1000,Lookup!$C$2:$C$1000),"")</f>
        <v>Equity</v>
      </c>
      <c r="D5241" s="8" t="str">
        <f>IFERROR(INDEX('nav master'!$C:$C, MATCH(B5241, 'nav master'!$B:$B, 0)), "")</f>
        <v>ULIF08219/09/25TopMF500Fd101</v>
      </c>
      <c r="E5241" s="8" t="s">
        <v>542</v>
      </c>
      <c r="F5241" s="8" t="s">
        <v>3307</v>
      </c>
    </row>
    <row r="5242" spans="1:6" ht="60" x14ac:dyDescent="0.25">
      <c r="A5242" s="8" t="s">
        <v>125</v>
      </c>
      <c r="B5242" s="8" t="s">
        <v>159</v>
      </c>
      <c r="C5242" s="8" t="str">
        <f>IFERROR(_xlfn.XLOOKUP(TRIM(B5242),Lookup!$B$2:$B$1000,Lookup!$C$2:$C$1000),"")</f>
        <v>Equity</v>
      </c>
      <c r="D5242" s="8" t="str">
        <f>IFERROR(INDEX('nav master'!$C:$C, MATCH(B5242, 'nav master'!$B:$B, 0)), "")</f>
        <v>ULIF08219/09/25TopMF500Fd101</v>
      </c>
      <c r="E5242" s="8" t="s">
        <v>544</v>
      </c>
      <c r="F5242" s="8" t="s">
        <v>3308</v>
      </c>
    </row>
    <row r="5243" spans="1:6" ht="60" x14ac:dyDescent="0.25">
      <c r="A5243" s="8" t="s">
        <v>125</v>
      </c>
      <c r="B5243" s="8" t="s">
        <v>159</v>
      </c>
      <c r="C5243" s="8" t="str">
        <f>IFERROR(_xlfn.XLOOKUP(TRIM(B5243),Lookup!$B$2:$B$1000,Lookup!$C$2:$C$1000),"")</f>
        <v>Equity</v>
      </c>
      <c r="D5243" s="8" t="str">
        <f>IFERROR(INDEX('nav master'!$C:$C, MATCH(B5243, 'nav master'!$B:$B, 0)), "")</f>
        <v>ULIF08219/09/25TopMF500Fd101</v>
      </c>
      <c r="E5243" s="8" t="s">
        <v>546</v>
      </c>
      <c r="F5243" s="8" t="s">
        <v>2973</v>
      </c>
    </row>
    <row r="5244" spans="1:6" ht="60" x14ac:dyDescent="0.25">
      <c r="A5244" s="8" t="s">
        <v>125</v>
      </c>
      <c r="B5244" s="8" t="s">
        <v>159</v>
      </c>
      <c r="C5244" s="8" t="str">
        <f>IFERROR(_xlfn.XLOOKUP(TRIM(B5244),Lookup!$B$2:$B$1000,Lookup!$C$2:$C$1000),"")</f>
        <v>Equity</v>
      </c>
      <c r="D5244" s="8" t="str">
        <f>IFERROR(INDEX('nav master'!$C:$C, MATCH(B5244, 'nav master'!$B:$B, 0)), "")</f>
        <v>ULIF08219/09/25TopMF500Fd101</v>
      </c>
      <c r="E5244" s="8" t="s">
        <v>548</v>
      </c>
      <c r="F5244" s="8" t="s">
        <v>3309</v>
      </c>
    </row>
    <row r="5245" spans="1:6" ht="60" x14ac:dyDescent="0.25">
      <c r="A5245" s="8" t="s">
        <v>125</v>
      </c>
      <c r="B5245" s="8" t="s">
        <v>159</v>
      </c>
      <c r="C5245" s="8" t="str">
        <f>IFERROR(_xlfn.XLOOKUP(TRIM(B5245),Lookup!$B$2:$B$1000,Lookup!$C$2:$C$1000),"")</f>
        <v>Equity</v>
      </c>
      <c r="D5245" s="8" t="str">
        <f>IFERROR(INDEX('nav master'!$C:$C, MATCH(B5245, 'nav master'!$B:$B, 0)), "")</f>
        <v>ULIF08219/09/25TopMF500Fd101</v>
      </c>
      <c r="E5245" s="8" t="s">
        <v>550</v>
      </c>
      <c r="F5245" s="8" t="s">
        <v>3310</v>
      </c>
    </row>
    <row r="5246" spans="1:6" ht="60" x14ac:dyDescent="0.25">
      <c r="A5246" s="8" t="s">
        <v>125</v>
      </c>
      <c r="B5246" s="8" t="s">
        <v>159</v>
      </c>
      <c r="C5246" s="8" t="str">
        <f>IFERROR(_xlfn.XLOOKUP(TRIM(B5246),Lookup!$B$2:$B$1000,Lookup!$C$2:$C$1000),"")</f>
        <v>Equity</v>
      </c>
      <c r="D5246" s="8" t="str">
        <f>IFERROR(INDEX('nav master'!$C:$C, MATCH(B5246, 'nav master'!$B:$B, 0)), "")</f>
        <v>ULIF08219/09/25TopMF500Fd101</v>
      </c>
      <c r="E5246" s="8" t="s">
        <v>552</v>
      </c>
      <c r="F5246" s="8" t="s">
        <v>3311</v>
      </c>
    </row>
    <row r="5247" spans="1:6" ht="60" x14ac:dyDescent="0.25">
      <c r="A5247" s="8" t="s">
        <v>125</v>
      </c>
      <c r="B5247" s="8" t="s">
        <v>159</v>
      </c>
      <c r="C5247" s="8" t="str">
        <f>IFERROR(_xlfn.XLOOKUP(TRIM(B5247),Lookup!$B$2:$B$1000,Lookup!$C$2:$C$1000),"")</f>
        <v>Equity</v>
      </c>
      <c r="D5247" s="8" t="str">
        <f>IFERROR(INDEX('nav master'!$C:$C, MATCH(B5247, 'nav master'!$B:$B, 0)), "")</f>
        <v>ULIF08219/09/25TopMF500Fd101</v>
      </c>
      <c r="E5247" s="8" t="s">
        <v>554</v>
      </c>
      <c r="F5247" s="8" t="s">
        <v>3312</v>
      </c>
    </row>
    <row r="5248" spans="1:6" ht="60" x14ac:dyDescent="0.25">
      <c r="A5248" s="8" t="s">
        <v>125</v>
      </c>
      <c r="B5248" s="8" t="s">
        <v>159</v>
      </c>
      <c r="C5248" s="8" t="str">
        <f>IFERROR(_xlfn.XLOOKUP(TRIM(B5248),Lookup!$B$2:$B$1000,Lookup!$C$2:$C$1000),"")</f>
        <v>Equity</v>
      </c>
      <c r="D5248" s="8" t="str">
        <f>IFERROR(INDEX('nav master'!$C:$C, MATCH(B5248, 'nav master'!$B:$B, 0)), "")</f>
        <v>ULIF08219/09/25TopMF500Fd101</v>
      </c>
      <c r="E5248" s="8" t="s">
        <v>556</v>
      </c>
      <c r="F5248" s="8" t="s">
        <v>3313</v>
      </c>
    </row>
    <row r="5249" spans="1:6" ht="60" x14ac:dyDescent="0.25">
      <c r="A5249" s="8" t="s">
        <v>125</v>
      </c>
      <c r="B5249" s="8" t="s">
        <v>159</v>
      </c>
      <c r="C5249" s="8" t="str">
        <f>IFERROR(_xlfn.XLOOKUP(TRIM(B5249),Lookup!$B$2:$B$1000,Lookup!$C$2:$C$1000),"")</f>
        <v>Equity</v>
      </c>
      <c r="D5249" s="8" t="str">
        <f>IFERROR(INDEX('nav master'!$C:$C, MATCH(B5249, 'nav master'!$B:$B, 0)), "")</f>
        <v>ULIF08219/09/25TopMF500Fd101</v>
      </c>
      <c r="E5249" s="8" t="s">
        <v>558</v>
      </c>
      <c r="F5249" s="8" t="s">
        <v>3314</v>
      </c>
    </row>
    <row r="5250" spans="1:6" ht="60" x14ac:dyDescent="0.25">
      <c r="A5250" s="8" t="s">
        <v>125</v>
      </c>
      <c r="B5250" s="8" t="s">
        <v>159</v>
      </c>
      <c r="C5250" s="8" t="str">
        <f>IFERROR(_xlfn.XLOOKUP(TRIM(B5250),Lookup!$B$2:$B$1000,Lookup!$C$2:$C$1000),"")</f>
        <v>Equity</v>
      </c>
      <c r="D5250" s="8" t="str">
        <f>IFERROR(INDEX('nav master'!$C:$C, MATCH(B5250, 'nav master'!$B:$B, 0)), "")</f>
        <v>ULIF08219/09/25TopMF500Fd101</v>
      </c>
      <c r="E5250" s="8" t="s">
        <v>560</v>
      </c>
      <c r="F5250" s="8" t="s">
        <v>3315</v>
      </c>
    </row>
    <row r="5251" spans="1:6" ht="60" x14ac:dyDescent="0.25">
      <c r="A5251" s="8" t="s">
        <v>125</v>
      </c>
      <c r="B5251" s="8" t="s">
        <v>159</v>
      </c>
      <c r="C5251" s="8" t="str">
        <f>IFERROR(_xlfn.XLOOKUP(TRIM(B5251),Lookup!$B$2:$B$1000,Lookup!$C$2:$C$1000),"")</f>
        <v>Equity</v>
      </c>
      <c r="D5251" s="8" t="str">
        <f>IFERROR(INDEX('nav master'!$C:$C, MATCH(B5251, 'nav master'!$B:$B, 0)), "")</f>
        <v>ULIF08219/09/25TopMF500Fd101</v>
      </c>
      <c r="E5251" s="8" t="s">
        <v>562</v>
      </c>
      <c r="F5251" s="8" t="s">
        <v>3316</v>
      </c>
    </row>
    <row r="5252" spans="1:6" ht="60" x14ac:dyDescent="0.25">
      <c r="A5252" s="8" t="s">
        <v>125</v>
      </c>
      <c r="B5252" s="8" t="s">
        <v>159</v>
      </c>
      <c r="C5252" s="8" t="str">
        <f>IFERROR(_xlfn.XLOOKUP(TRIM(B5252),Lookup!$B$2:$B$1000,Lookup!$C$2:$C$1000),"")</f>
        <v>Equity</v>
      </c>
      <c r="D5252" s="8" t="str">
        <f>IFERROR(INDEX('nav master'!$C:$C, MATCH(B5252, 'nav master'!$B:$B, 0)), "")</f>
        <v>ULIF08219/09/25TopMF500Fd101</v>
      </c>
      <c r="E5252" s="8" t="s">
        <v>564</v>
      </c>
      <c r="F5252" s="8" t="s">
        <v>3317</v>
      </c>
    </row>
    <row r="5253" spans="1:6" ht="60" x14ac:dyDescent="0.25">
      <c r="A5253" s="8" t="s">
        <v>125</v>
      </c>
      <c r="B5253" s="8" t="s">
        <v>159</v>
      </c>
      <c r="C5253" s="8" t="str">
        <f>IFERROR(_xlfn.XLOOKUP(TRIM(B5253),Lookup!$B$2:$B$1000,Lookup!$C$2:$C$1000),"")</f>
        <v>Equity</v>
      </c>
      <c r="D5253" s="8" t="str">
        <f>IFERROR(INDEX('nav master'!$C:$C, MATCH(B5253, 'nav master'!$B:$B, 0)), "")</f>
        <v>ULIF08219/09/25TopMF500Fd101</v>
      </c>
      <c r="E5253" s="8" t="s">
        <v>566</v>
      </c>
      <c r="F5253" s="8" t="s">
        <v>3318</v>
      </c>
    </row>
    <row r="5254" spans="1:6" ht="60" x14ac:dyDescent="0.25">
      <c r="A5254" s="8" t="s">
        <v>125</v>
      </c>
      <c r="B5254" s="8" t="s">
        <v>159</v>
      </c>
      <c r="C5254" s="8" t="str">
        <f>IFERROR(_xlfn.XLOOKUP(TRIM(B5254),Lookup!$B$2:$B$1000,Lookup!$C$2:$C$1000),"")</f>
        <v>Equity</v>
      </c>
      <c r="D5254" s="8" t="str">
        <f>IFERROR(INDEX('nav master'!$C:$C, MATCH(B5254, 'nav master'!$B:$B, 0)), "")</f>
        <v>ULIF08219/09/25TopMF500Fd101</v>
      </c>
      <c r="E5254" s="8" t="s">
        <v>568</v>
      </c>
      <c r="F5254" s="8" t="s">
        <v>3319</v>
      </c>
    </row>
    <row r="5255" spans="1:6" ht="60" x14ac:dyDescent="0.25">
      <c r="A5255" s="8" t="s">
        <v>125</v>
      </c>
      <c r="B5255" s="8" t="s">
        <v>159</v>
      </c>
      <c r="C5255" s="8" t="str">
        <f>IFERROR(_xlfn.XLOOKUP(TRIM(B5255),Lookup!$B$2:$B$1000,Lookup!$C$2:$C$1000),"")</f>
        <v>Equity</v>
      </c>
      <c r="D5255" s="8" t="str">
        <f>IFERROR(INDEX('nav master'!$C:$C, MATCH(B5255, 'nav master'!$B:$B, 0)), "")</f>
        <v>ULIF08219/09/25TopMF500Fd101</v>
      </c>
      <c r="E5255" s="8" t="s">
        <v>570</v>
      </c>
      <c r="F5255" s="8" t="s">
        <v>3320</v>
      </c>
    </row>
    <row r="5256" spans="1:6" ht="60" x14ac:dyDescent="0.25">
      <c r="A5256" s="8" t="s">
        <v>125</v>
      </c>
      <c r="B5256" s="8" t="s">
        <v>159</v>
      </c>
      <c r="C5256" s="8" t="str">
        <f>IFERROR(_xlfn.XLOOKUP(TRIM(B5256),Lookup!$B$2:$B$1000,Lookup!$C$2:$C$1000),"")</f>
        <v>Equity</v>
      </c>
      <c r="D5256" s="8" t="str">
        <f>IFERROR(INDEX('nav master'!$C:$C, MATCH(B5256, 'nav master'!$B:$B, 0)), "")</f>
        <v>ULIF08219/09/25TopMF500Fd101</v>
      </c>
      <c r="E5256" s="8" t="s">
        <v>572</v>
      </c>
      <c r="F5256" s="8" t="s">
        <v>3321</v>
      </c>
    </row>
    <row r="5257" spans="1:6" ht="60" x14ac:dyDescent="0.25">
      <c r="A5257" s="8" t="s">
        <v>125</v>
      </c>
      <c r="B5257" s="8" t="s">
        <v>159</v>
      </c>
      <c r="C5257" s="8" t="str">
        <f>IFERROR(_xlfn.XLOOKUP(TRIM(B5257),Lookup!$B$2:$B$1000,Lookup!$C$2:$C$1000),"")</f>
        <v>Equity</v>
      </c>
      <c r="D5257" s="8" t="str">
        <f>IFERROR(INDEX('nav master'!$C:$C, MATCH(B5257, 'nav master'!$B:$B, 0)), "")</f>
        <v>ULIF08219/09/25TopMF500Fd101</v>
      </c>
      <c r="E5257" s="8" t="s">
        <v>574</v>
      </c>
      <c r="F5257" s="8" t="s">
        <v>3322</v>
      </c>
    </row>
    <row r="5258" spans="1:6" ht="60" x14ac:dyDescent="0.25">
      <c r="A5258" s="8" t="s">
        <v>125</v>
      </c>
      <c r="B5258" s="8" t="s">
        <v>159</v>
      </c>
      <c r="C5258" s="8" t="str">
        <f>IFERROR(_xlfn.XLOOKUP(TRIM(B5258),Lookup!$B$2:$B$1000,Lookup!$C$2:$C$1000),"")</f>
        <v>Equity</v>
      </c>
      <c r="D5258" s="8" t="str">
        <f>IFERROR(INDEX('nav master'!$C:$C, MATCH(B5258, 'nav master'!$B:$B, 0)), "")</f>
        <v>ULIF08219/09/25TopMF500Fd101</v>
      </c>
      <c r="E5258" s="8" t="s">
        <v>576</v>
      </c>
      <c r="F5258" s="8" t="s">
        <v>3323</v>
      </c>
    </row>
    <row r="5259" spans="1:6" ht="60" x14ac:dyDescent="0.25">
      <c r="A5259" s="8" t="s">
        <v>125</v>
      </c>
      <c r="B5259" s="8" t="s">
        <v>159</v>
      </c>
      <c r="C5259" s="8" t="str">
        <f>IFERROR(_xlfn.XLOOKUP(TRIM(B5259),Lookup!$B$2:$B$1000,Lookup!$C$2:$C$1000),"")</f>
        <v>Equity</v>
      </c>
      <c r="D5259" s="8" t="str">
        <f>IFERROR(INDEX('nav master'!$C:$C, MATCH(B5259, 'nav master'!$B:$B, 0)), "")</f>
        <v>ULIF08219/09/25TopMF500Fd101</v>
      </c>
      <c r="E5259" s="8" t="s">
        <v>578</v>
      </c>
      <c r="F5259" s="8" t="s">
        <v>3324</v>
      </c>
    </row>
    <row r="5260" spans="1:6" ht="60" x14ac:dyDescent="0.25">
      <c r="A5260" s="8" t="s">
        <v>125</v>
      </c>
      <c r="B5260" s="8" t="s">
        <v>159</v>
      </c>
      <c r="C5260" s="8" t="str">
        <f>IFERROR(_xlfn.XLOOKUP(TRIM(B5260),Lookup!$B$2:$B$1000,Lookup!$C$2:$C$1000),"")</f>
        <v>Equity</v>
      </c>
      <c r="D5260" s="8" t="str">
        <f>IFERROR(INDEX('nav master'!$C:$C, MATCH(B5260, 'nav master'!$B:$B, 0)), "")</f>
        <v>ULIF08219/09/25TopMF500Fd101</v>
      </c>
      <c r="E5260" s="8" t="s">
        <v>580</v>
      </c>
      <c r="F5260" s="8" t="s">
        <v>3325</v>
      </c>
    </row>
    <row r="5261" spans="1:6" ht="60" x14ac:dyDescent="0.25">
      <c r="A5261" s="8" t="s">
        <v>125</v>
      </c>
      <c r="B5261" s="8" t="s">
        <v>159</v>
      </c>
      <c r="C5261" s="8" t="str">
        <f>IFERROR(_xlfn.XLOOKUP(TRIM(B5261),Lookup!$B$2:$B$1000,Lookup!$C$2:$C$1000),"")</f>
        <v>Equity</v>
      </c>
      <c r="D5261" s="8" t="str">
        <f>IFERROR(INDEX('nav master'!$C:$C, MATCH(B5261, 'nav master'!$B:$B, 0)), "")</f>
        <v>ULIF08219/09/25TopMF500Fd101</v>
      </c>
      <c r="E5261" s="8" t="s">
        <v>582</v>
      </c>
      <c r="F5261" s="8" t="s">
        <v>3326</v>
      </c>
    </row>
    <row r="5262" spans="1:6" ht="60" x14ac:dyDescent="0.25">
      <c r="A5262" s="8" t="s">
        <v>125</v>
      </c>
      <c r="B5262" s="8" t="s">
        <v>159</v>
      </c>
      <c r="C5262" s="8" t="str">
        <f>IFERROR(_xlfn.XLOOKUP(TRIM(B5262),Lookup!$B$2:$B$1000,Lookup!$C$2:$C$1000),"")</f>
        <v>Equity</v>
      </c>
      <c r="D5262" s="8" t="str">
        <f>IFERROR(INDEX('nav master'!$C:$C, MATCH(B5262, 'nav master'!$B:$B, 0)), "")</f>
        <v>ULIF08219/09/25TopMF500Fd101</v>
      </c>
      <c r="E5262" s="8" t="s">
        <v>584</v>
      </c>
      <c r="F5262" s="8" t="s">
        <v>3327</v>
      </c>
    </row>
    <row r="5263" spans="1:6" ht="60" x14ac:dyDescent="0.25">
      <c r="A5263" s="8" t="s">
        <v>125</v>
      </c>
      <c r="B5263" s="8" t="s">
        <v>159</v>
      </c>
      <c r="C5263" s="8" t="str">
        <f>IFERROR(_xlfn.XLOOKUP(TRIM(B5263),Lookup!$B$2:$B$1000,Lookup!$C$2:$C$1000),"")</f>
        <v>Equity</v>
      </c>
      <c r="D5263" s="8" t="str">
        <f>IFERROR(INDEX('nav master'!$C:$C, MATCH(B5263, 'nav master'!$B:$B, 0)), "")</f>
        <v>ULIF08219/09/25TopMF500Fd101</v>
      </c>
      <c r="E5263" s="8" t="s">
        <v>586</v>
      </c>
      <c r="F5263" s="8" t="s">
        <v>3328</v>
      </c>
    </row>
    <row r="5264" spans="1:6" ht="60" x14ac:dyDescent="0.25">
      <c r="A5264" s="8" t="s">
        <v>125</v>
      </c>
      <c r="B5264" s="8" t="s">
        <v>159</v>
      </c>
      <c r="C5264" s="8" t="str">
        <f>IFERROR(_xlfn.XLOOKUP(TRIM(B5264),Lookup!$B$2:$B$1000,Lookup!$C$2:$C$1000),"")</f>
        <v>Equity</v>
      </c>
      <c r="D5264" s="8" t="str">
        <f>IFERROR(INDEX('nav master'!$C:$C, MATCH(B5264, 'nav master'!$B:$B, 0)), "")</f>
        <v>ULIF08219/09/25TopMF500Fd101</v>
      </c>
      <c r="E5264" s="8" t="s">
        <v>588</v>
      </c>
      <c r="F5264" s="8" t="s">
        <v>3329</v>
      </c>
    </row>
    <row r="5265" spans="1:6" ht="60" x14ac:dyDescent="0.25">
      <c r="A5265" s="8" t="s">
        <v>125</v>
      </c>
      <c r="B5265" s="8" t="s">
        <v>159</v>
      </c>
      <c r="C5265" s="8" t="str">
        <f>IFERROR(_xlfn.XLOOKUP(TRIM(B5265),Lookup!$B$2:$B$1000,Lookup!$C$2:$C$1000),"")</f>
        <v>Equity</v>
      </c>
      <c r="D5265" s="8" t="str">
        <f>IFERROR(INDEX('nav master'!$C:$C, MATCH(B5265, 'nav master'!$B:$B, 0)), "")</f>
        <v>ULIF08219/09/25TopMF500Fd101</v>
      </c>
      <c r="E5265" s="8" t="s">
        <v>590</v>
      </c>
      <c r="F5265" s="8" t="s">
        <v>1610</v>
      </c>
    </row>
    <row r="5266" spans="1:6" ht="60" x14ac:dyDescent="0.25">
      <c r="A5266" s="8" t="s">
        <v>125</v>
      </c>
      <c r="B5266" s="8" t="s">
        <v>159</v>
      </c>
      <c r="C5266" s="8" t="str">
        <f>IFERROR(_xlfn.XLOOKUP(TRIM(B5266),Lookup!$B$2:$B$1000,Lookup!$C$2:$C$1000),"")</f>
        <v>Equity</v>
      </c>
      <c r="D5266" s="8" t="str">
        <f>IFERROR(INDEX('nav master'!$C:$C, MATCH(B5266, 'nav master'!$B:$B, 0)), "")</f>
        <v>ULIF08219/09/25TopMF500Fd101</v>
      </c>
      <c r="E5266" s="8" t="s">
        <v>592</v>
      </c>
      <c r="F5266" s="8" t="s">
        <v>3330</v>
      </c>
    </row>
    <row r="5267" spans="1:6" ht="60" x14ac:dyDescent="0.25">
      <c r="A5267" s="8" t="s">
        <v>125</v>
      </c>
      <c r="B5267" s="8" t="s">
        <v>159</v>
      </c>
      <c r="C5267" s="8" t="str">
        <f>IFERROR(_xlfn.XLOOKUP(TRIM(B5267),Lookup!$B$2:$B$1000,Lookup!$C$2:$C$1000),"")</f>
        <v>Equity</v>
      </c>
      <c r="D5267" s="8" t="str">
        <f>IFERROR(INDEX('nav master'!$C:$C, MATCH(B5267, 'nav master'!$B:$B, 0)), "")</f>
        <v>ULIF08219/09/25TopMF500Fd101</v>
      </c>
      <c r="E5267" s="8" t="s">
        <v>594</v>
      </c>
      <c r="F5267" s="8" t="s">
        <v>3331</v>
      </c>
    </row>
    <row r="5268" spans="1:6" ht="60" x14ac:dyDescent="0.25">
      <c r="A5268" s="8" t="s">
        <v>125</v>
      </c>
      <c r="B5268" s="8" t="s">
        <v>159</v>
      </c>
      <c r="C5268" s="8" t="str">
        <f>IFERROR(_xlfn.XLOOKUP(TRIM(B5268),Lookup!$B$2:$B$1000,Lookup!$C$2:$C$1000),"")</f>
        <v>Equity</v>
      </c>
      <c r="D5268" s="8" t="str">
        <f>IFERROR(INDEX('nav master'!$C:$C, MATCH(B5268, 'nav master'!$B:$B, 0)), "")</f>
        <v>ULIF08219/09/25TopMF500Fd101</v>
      </c>
      <c r="E5268" s="8" t="s">
        <v>596</v>
      </c>
      <c r="F5268" s="8" t="s">
        <v>3332</v>
      </c>
    </row>
    <row r="5269" spans="1:6" ht="60" x14ac:dyDescent="0.25">
      <c r="A5269" s="8" t="s">
        <v>125</v>
      </c>
      <c r="B5269" s="8" t="s">
        <v>159</v>
      </c>
      <c r="C5269" s="8" t="str">
        <f>IFERROR(_xlfn.XLOOKUP(TRIM(B5269),Lookup!$B$2:$B$1000,Lookup!$C$2:$C$1000),"")</f>
        <v>Equity</v>
      </c>
      <c r="D5269" s="8" t="str">
        <f>IFERROR(INDEX('nav master'!$C:$C, MATCH(B5269, 'nav master'!$B:$B, 0)), "")</f>
        <v>ULIF08219/09/25TopMF500Fd101</v>
      </c>
      <c r="E5269" s="8" t="s">
        <v>598</v>
      </c>
      <c r="F5269" s="8" t="s">
        <v>3333</v>
      </c>
    </row>
    <row r="5270" spans="1:6" ht="60" x14ac:dyDescent="0.25">
      <c r="A5270" s="8" t="s">
        <v>125</v>
      </c>
      <c r="B5270" s="8" t="s">
        <v>159</v>
      </c>
      <c r="C5270" s="8" t="str">
        <f>IFERROR(_xlfn.XLOOKUP(TRIM(B5270),Lookup!$B$2:$B$1000,Lookup!$C$2:$C$1000),"")</f>
        <v>Equity</v>
      </c>
      <c r="D5270" s="8" t="str">
        <f>IFERROR(INDEX('nav master'!$C:$C, MATCH(B5270, 'nav master'!$B:$B, 0)), "")</f>
        <v>ULIF08219/09/25TopMF500Fd101</v>
      </c>
      <c r="E5270" s="8" t="s">
        <v>600</v>
      </c>
      <c r="F5270" s="8" t="s">
        <v>3334</v>
      </c>
    </row>
    <row r="5271" spans="1:6" ht="60" x14ac:dyDescent="0.25">
      <c r="A5271" s="8" t="s">
        <v>125</v>
      </c>
      <c r="B5271" s="8" t="s">
        <v>159</v>
      </c>
      <c r="C5271" s="8" t="str">
        <f>IFERROR(_xlfn.XLOOKUP(TRIM(B5271),Lookup!$B$2:$B$1000,Lookup!$C$2:$C$1000),"")</f>
        <v>Equity</v>
      </c>
      <c r="D5271" s="8" t="str">
        <f>IFERROR(INDEX('nav master'!$C:$C, MATCH(B5271, 'nav master'!$B:$B, 0)), "")</f>
        <v>ULIF08219/09/25TopMF500Fd101</v>
      </c>
      <c r="E5271" s="8" t="s">
        <v>602</v>
      </c>
      <c r="F5271" s="8" t="s">
        <v>3335</v>
      </c>
    </row>
    <row r="5272" spans="1:6" ht="60" x14ac:dyDescent="0.25">
      <c r="A5272" s="8" t="s">
        <v>125</v>
      </c>
      <c r="B5272" s="8" t="s">
        <v>159</v>
      </c>
      <c r="C5272" s="8" t="str">
        <f>IFERROR(_xlfn.XLOOKUP(TRIM(B5272),Lookup!$B$2:$B$1000,Lookup!$C$2:$C$1000),"")</f>
        <v>Equity</v>
      </c>
      <c r="D5272" s="8" t="str">
        <f>IFERROR(INDEX('nav master'!$C:$C, MATCH(B5272, 'nav master'!$B:$B, 0)), "")</f>
        <v>ULIF08219/09/25TopMF500Fd101</v>
      </c>
      <c r="E5272" s="8" t="s">
        <v>604</v>
      </c>
      <c r="F5272" s="8" t="s">
        <v>3336</v>
      </c>
    </row>
    <row r="5273" spans="1:6" ht="60" x14ac:dyDescent="0.25">
      <c r="A5273" s="8" t="s">
        <v>125</v>
      </c>
      <c r="B5273" s="8" t="s">
        <v>159</v>
      </c>
      <c r="C5273" s="8" t="str">
        <f>IFERROR(_xlfn.XLOOKUP(TRIM(B5273),Lookup!$B$2:$B$1000,Lookup!$C$2:$C$1000),"")</f>
        <v>Equity</v>
      </c>
      <c r="D5273" s="8" t="str">
        <f>IFERROR(INDEX('nav master'!$C:$C, MATCH(B5273, 'nav master'!$B:$B, 0)), "")</f>
        <v>ULIF08219/09/25TopMF500Fd101</v>
      </c>
      <c r="E5273" s="8" t="s">
        <v>606</v>
      </c>
      <c r="F5273" s="8" t="s">
        <v>3337</v>
      </c>
    </row>
    <row r="5274" spans="1:6" ht="60" x14ac:dyDescent="0.25">
      <c r="A5274" s="8" t="s">
        <v>125</v>
      </c>
      <c r="B5274" s="8" t="s">
        <v>159</v>
      </c>
      <c r="C5274" s="8" t="str">
        <f>IFERROR(_xlfn.XLOOKUP(TRIM(B5274),Lookup!$B$2:$B$1000,Lookup!$C$2:$C$1000),"")</f>
        <v>Equity</v>
      </c>
      <c r="D5274" s="8" t="str">
        <f>IFERROR(INDEX('nav master'!$C:$C, MATCH(B5274, 'nav master'!$B:$B, 0)), "")</f>
        <v>ULIF08219/09/25TopMF500Fd101</v>
      </c>
      <c r="E5274" s="8" t="s">
        <v>608</v>
      </c>
      <c r="F5274" s="8" t="s">
        <v>3338</v>
      </c>
    </row>
    <row r="5275" spans="1:6" ht="60" x14ac:dyDescent="0.25">
      <c r="A5275" s="8" t="s">
        <v>125</v>
      </c>
      <c r="B5275" s="8" t="s">
        <v>159</v>
      </c>
      <c r="C5275" s="8" t="str">
        <f>IFERROR(_xlfn.XLOOKUP(TRIM(B5275),Lookup!$B$2:$B$1000,Lookup!$C$2:$C$1000),"")</f>
        <v>Equity</v>
      </c>
      <c r="D5275" s="8" t="str">
        <f>IFERROR(INDEX('nav master'!$C:$C, MATCH(B5275, 'nav master'!$B:$B, 0)), "")</f>
        <v>ULIF08219/09/25TopMF500Fd101</v>
      </c>
      <c r="E5275" s="8" t="s">
        <v>610</v>
      </c>
      <c r="F5275" s="8" t="s">
        <v>3339</v>
      </c>
    </row>
    <row r="5276" spans="1:6" ht="60" x14ac:dyDescent="0.25">
      <c r="A5276" s="8" t="s">
        <v>125</v>
      </c>
      <c r="B5276" s="8" t="s">
        <v>159</v>
      </c>
      <c r="C5276" s="8" t="str">
        <f>IFERROR(_xlfn.XLOOKUP(TRIM(B5276),Lookup!$B$2:$B$1000,Lookup!$C$2:$C$1000),"")</f>
        <v>Equity</v>
      </c>
      <c r="D5276" s="8" t="str">
        <f>IFERROR(INDEX('nav master'!$C:$C, MATCH(B5276, 'nav master'!$B:$B, 0)), "")</f>
        <v>ULIF08219/09/25TopMF500Fd101</v>
      </c>
      <c r="E5276" s="8" t="s">
        <v>612</v>
      </c>
      <c r="F5276" s="8" t="s">
        <v>3340</v>
      </c>
    </row>
    <row r="5277" spans="1:6" ht="60" x14ac:dyDescent="0.25">
      <c r="A5277" s="8" t="s">
        <v>125</v>
      </c>
      <c r="B5277" s="8" t="s">
        <v>159</v>
      </c>
      <c r="C5277" s="8" t="str">
        <f>IFERROR(_xlfn.XLOOKUP(TRIM(B5277),Lookup!$B$2:$B$1000,Lookup!$C$2:$C$1000),"")</f>
        <v>Equity</v>
      </c>
      <c r="D5277" s="8" t="str">
        <f>IFERROR(INDEX('nav master'!$C:$C, MATCH(B5277, 'nav master'!$B:$B, 0)), "")</f>
        <v>ULIF08219/09/25TopMF500Fd101</v>
      </c>
      <c r="E5277" s="8" t="s">
        <v>614</v>
      </c>
      <c r="F5277" s="8" t="s">
        <v>3341</v>
      </c>
    </row>
    <row r="5278" spans="1:6" ht="60" x14ac:dyDescent="0.25">
      <c r="A5278" s="8" t="s">
        <v>125</v>
      </c>
      <c r="B5278" s="8" t="s">
        <v>159</v>
      </c>
      <c r="C5278" s="8" t="str">
        <f>IFERROR(_xlfn.XLOOKUP(TRIM(B5278),Lookup!$B$2:$B$1000,Lookup!$C$2:$C$1000),"")</f>
        <v>Equity</v>
      </c>
      <c r="D5278" s="8" t="str">
        <f>IFERROR(INDEX('nav master'!$C:$C, MATCH(B5278, 'nav master'!$B:$B, 0)), "")</f>
        <v>ULIF08219/09/25TopMF500Fd101</v>
      </c>
      <c r="E5278" s="8" t="s">
        <v>616</v>
      </c>
      <c r="F5278" s="8" t="s">
        <v>3342</v>
      </c>
    </row>
    <row r="5279" spans="1:6" ht="60" x14ac:dyDescent="0.25">
      <c r="A5279" s="8" t="s">
        <v>125</v>
      </c>
      <c r="B5279" s="8" t="s">
        <v>159</v>
      </c>
      <c r="C5279" s="8" t="str">
        <f>IFERROR(_xlfn.XLOOKUP(TRIM(B5279),Lookup!$B$2:$B$1000,Lookup!$C$2:$C$1000),"")</f>
        <v>Equity</v>
      </c>
      <c r="D5279" s="8" t="str">
        <f>IFERROR(INDEX('nav master'!$C:$C, MATCH(B5279, 'nav master'!$B:$B, 0)), "")</f>
        <v>ULIF08219/09/25TopMF500Fd101</v>
      </c>
      <c r="E5279" s="8" t="s">
        <v>618</v>
      </c>
      <c r="F5279" s="8" t="s">
        <v>3343</v>
      </c>
    </row>
    <row r="5280" spans="1:6" ht="60" x14ac:dyDescent="0.25">
      <c r="A5280" s="8" t="s">
        <v>125</v>
      </c>
      <c r="B5280" s="8" t="s">
        <v>159</v>
      </c>
      <c r="C5280" s="8" t="str">
        <f>IFERROR(_xlfn.XLOOKUP(TRIM(B5280),Lookup!$B$2:$B$1000,Lookup!$C$2:$C$1000),"")</f>
        <v>Equity</v>
      </c>
      <c r="D5280" s="8" t="str">
        <f>IFERROR(INDEX('nav master'!$C:$C, MATCH(B5280, 'nav master'!$B:$B, 0)), "")</f>
        <v>ULIF08219/09/25TopMF500Fd101</v>
      </c>
      <c r="E5280" s="8" t="s">
        <v>620</v>
      </c>
      <c r="F5280" s="8" t="s">
        <v>3344</v>
      </c>
    </row>
    <row r="5281" spans="1:6" ht="60" x14ac:dyDescent="0.25">
      <c r="A5281" s="8" t="s">
        <v>125</v>
      </c>
      <c r="B5281" s="8" t="s">
        <v>159</v>
      </c>
      <c r="C5281" s="8" t="str">
        <f>IFERROR(_xlfn.XLOOKUP(TRIM(B5281),Lookup!$B$2:$B$1000,Lookup!$C$2:$C$1000),"")</f>
        <v>Equity</v>
      </c>
      <c r="D5281" s="8" t="str">
        <f>IFERROR(INDEX('nav master'!$C:$C, MATCH(B5281, 'nav master'!$B:$B, 0)), "")</f>
        <v>ULIF08219/09/25TopMF500Fd101</v>
      </c>
      <c r="E5281" s="8" t="s">
        <v>622</v>
      </c>
      <c r="F5281" s="8" t="s">
        <v>3345</v>
      </c>
    </row>
    <row r="5282" spans="1:6" ht="60" x14ac:dyDescent="0.25">
      <c r="A5282" s="8" t="s">
        <v>125</v>
      </c>
      <c r="B5282" s="8" t="s">
        <v>159</v>
      </c>
      <c r="C5282" s="8" t="str">
        <f>IFERROR(_xlfn.XLOOKUP(TRIM(B5282),Lookup!$B$2:$B$1000,Lookup!$C$2:$C$1000),"")</f>
        <v>Equity</v>
      </c>
      <c r="D5282" s="8" t="str">
        <f>IFERROR(INDEX('nav master'!$C:$C, MATCH(B5282, 'nav master'!$B:$B, 0)), "")</f>
        <v>ULIF08219/09/25TopMF500Fd101</v>
      </c>
      <c r="E5282" s="8" t="s">
        <v>624</v>
      </c>
      <c r="F5282" s="8" t="s">
        <v>3346</v>
      </c>
    </row>
    <row r="5283" spans="1:6" ht="60" x14ac:dyDescent="0.25">
      <c r="A5283" s="8" t="s">
        <v>125</v>
      </c>
      <c r="B5283" s="8" t="s">
        <v>159</v>
      </c>
      <c r="C5283" s="8" t="str">
        <f>IFERROR(_xlfn.XLOOKUP(TRIM(B5283),Lookup!$B$2:$B$1000,Lookup!$C$2:$C$1000),"")</f>
        <v>Equity</v>
      </c>
      <c r="D5283" s="8" t="str">
        <f>IFERROR(INDEX('nav master'!$C:$C, MATCH(B5283, 'nav master'!$B:$B, 0)), "")</f>
        <v>ULIF08219/09/25TopMF500Fd101</v>
      </c>
      <c r="E5283" s="8" t="s">
        <v>626</v>
      </c>
      <c r="F5283" s="8" t="s">
        <v>3347</v>
      </c>
    </row>
    <row r="5284" spans="1:6" ht="60" x14ac:dyDescent="0.25">
      <c r="A5284" s="8" t="s">
        <v>125</v>
      </c>
      <c r="B5284" s="8" t="s">
        <v>159</v>
      </c>
      <c r="C5284" s="8" t="str">
        <f>IFERROR(_xlfn.XLOOKUP(TRIM(B5284),Lookup!$B$2:$B$1000,Lookup!$C$2:$C$1000),"")</f>
        <v>Equity</v>
      </c>
      <c r="D5284" s="8" t="str">
        <f>IFERROR(INDEX('nav master'!$C:$C, MATCH(B5284, 'nav master'!$B:$B, 0)), "")</f>
        <v>ULIF08219/09/25TopMF500Fd101</v>
      </c>
      <c r="E5284" s="8" t="s">
        <v>628</v>
      </c>
      <c r="F5284" s="8" t="s">
        <v>3348</v>
      </c>
    </row>
    <row r="5285" spans="1:6" ht="60" x14ac:dyDescent="0.25">
      <c r="A5285" s="8" t="s">
        <v>125</v>
      </c>
      <c r="B5285" s="8" t="s">
        <v>159</v>
      </c>
      <c r="C5285" s="8" t="str">
        <f>IFERROR(_xlfn.XLOOKUP(TRIM(B5285),Lookup!$B$2:$B$1000,Lookup!$C$2:$C$1000),"")</f>
        <v>Equity</v>
      </c>
      <c r="D5285" s="8" t="str">
        <f>IFERROR(INDEX('nav master'!$C:$C, MATCH(B5285, 'nav master'!$B:$B, 0)), "")</f>
        <v>ULIF08219/09/25TopMF500Fd101</v>
      </c>
      <c r="E5285" s="8" t="s">
        <v>630</v>
      </c>
      <c r="F5285" s="8" t="s">
        <v>3349</v>
      </c>
    </row>
    <row r="5286" spans="1:6" ht="60" x14ac:dyDescent="0.25">
      <c r="A5286" s="8" t="s">
        <v>125</v>
      </c>
      <c r="B5286" s="8" t="s">
        <v>159</v>
      </c>
      <c r="C5286" s="8" t="str">
        <f>IFERROR(_xlfn.XLOOKUP(TRIM(B5286),Lookup!$B$2:$B$1000,Lookup!$C$2:$C$1000),"")</f>
        <v>Equity</v>
      </c>
      <c r="D5286" s="8" t="str">
        <f>IFERROR(INDEX('nav master'!$C:$C, MATCH(B5286, 'nav master'!$B:$B, 0)), "")</f>
        <v>ULIF08219/09/25TopMF500Fd101</v>
      </c>
      <c r="E5286" s="8" t="s">
        <v>632</v>
      </c>
      <c r="F5286" s="8" t="s">
        <v>3350</v>
      </c>
    </row>
    <row r="5287" spans="1:6" ht="60" x14ac:dyDescent="0.25">
      <c r="A5287" s="8" t="s">
        <v>125</v>
      </c>
      <c r="B5287" s="8" t="s">
        <v>159</v>
      </c>
      <c r="C5287" s="8" t="str">
        <f>IFERROR(_xlfn.XLOOKUP(TRIM(B5287),Lookup!$B$2:$B$1000,Lookup!$C$2:$C$1000),"")</f>
        <v>Equity</v>
      </c>
      <c r="D5287" s="8" t="str">
        <f>IFERROR(INDEX('nav master'!$C:$C, MATCH(B5287, 'nav master'!$B:$B, 0)), "")</f>
        <v>ULIF08219/09/25TopMF500Fd101</v>
      </c>
      <c r="E5287" s="8" t="s">
        <v>634</v>
      </c>
      <c r="F5287" s="8" t="s">
        <v>3351</v>
      </c>
    </row>
    <row r="5288" spans="1:6" ht="60" x14ac:dyDescent="0.25">
      <c r="A5288" s="8" t="s">
        <v>125</v>
      </c>
      <c r="B5288" s="8" t="s">
        <v>159</v>
      </c>
      <c r="C5288" s="8" t="str">
        <f>IFERROR(_xlfn.XLOOKUP(TRIM(B5288),Lookup!$B$2:$B$1000,Lookup!$C$2:$C$1000),"")</f>
        <v>Equity</v>
      </c>
      <c r="D5288" s="8" t="str">
        <f>IFERROR(INDEX('nav master'!$C:$C, MATCH(B5288, 'nav master'!$B:$B, 0)), "")</f>
        <v>ULIF08219/09/25TopMF500Fd101</v>
      </c>
      <c r="E5288" s="8" t="s">
        <v>636</v>
      </c>
      <c r="F5288" s="8" t="s">
        <v>3352</v>
      </c>
    </row>
    <row r="5289" spans="1:6" ht="60" x14ac:dyDescent="0.25">
      <c r="A5289" s="8" t="s">
        <v>125</v>
      </c>
      <c r="B5289" s="8" t="s">
        <v>159</v>
      </c>
      <c r="C5289" s="8" t="str">
        <f>IFERROR(_xlfn.XLOOKUP(TRIM(B5289),Lookup!$B$2:$B$1000,Lookup!$C$2:$C$1000),"")</f>
        <v>Equity</v>
      </c>
      <c r="D5289" s="8" t="str">
        <f>IFERROR(INDEX('nav master'!$C:$C, MATCH(B5289, 'nav master'!$B:$B, 0)), "")</f>
        <v>ULIF08219/09/25TopMF500Fd101</v>
      </c>
      <c r="E5289" s="8" t="s">
        <v>638</v>
      </c>
      <c r="F5289" s="8" t="s">
        <v>3353</v>
      </c>
    </row>
    <row r="5290" spans="1:6" ht="60" x14ac:dyDescent="0.25">
      <c r="A5290" s="8" t="s">
        <v>125</v>
      </c>
      <c r="B5290" s="8" t="s">
        <v>159</v>
      </c>
      <c r="C5290" s="8" t="str">
        <f>IFERROR(_xlfn.XLOOKUP(TRIM(B5290),Lookup!$B$2:$B$1000,Lookup!$C$2:$C$1000),"")</f>
        <v>Equity</v>
      </c>
      <c r="D5290" s="8" t="str">
        <f>IFERROR(INDEX('nav master'!$C:$C, MATCH(B5290, 'nav master'!$B:$B, 0)), "")</f>
        <v>ULIF08219/09/25TopMF500Fd101</v>
      </c>
      <c r="E5290" s="8" t="s">
        <v>640</v>
      </c>
      <c r="F5290" s="8" t="s">
        <v>3354</v>
      </c>
    </row>
    <row r="5291" spans="1:6" ht="60" x14ac:dyDescent="0.25">
      <c r="A5291" s="8" t="s">
        <v>125</v>
      </c>
      <c r="B5291" s="8" t="s">
        <v>159</v>
      </c>
      <c r="C5291" s="8" t="str">
        <f>IFERROR(_xlfn.XLOOKUP(TRIM(B5291),Lookup!$B$2:$B$1000,Lookup!$C$2:$C$1000),"")</f>
        <v>Equity</v>
      </c>
      <c r="D5291" s="8" t="str">
        <f>IFERROR(INDEX('nav master'!$C:$C, MATCH(B5291, 'nav master'!$B:$B, 0)), "")</f>
        <v>ULIF08219/09/25TopMF500Fd101</v>
      </c>
      <c r="E5291" s="8" t="s">
        <v>642</v>
      </c>
      <c r="F5291" s="8" t="s">
        <v>3355</v>
      </c>
    </row>
    <row r="5292" spans="1:6" ht="60" x14ac:dyDescent="0.25">
      <c r="A5292" s="8" t="s">
        <v>125</v>
      </c>
      <c r="B5292" s="8" t="s">
        <v>159</v>
      </c>
      <c r="C5292" s="8" t="str">
        <f>IFERROR(_xlfn.XLOOKUP(TRIM(B5292),Lookup!$B$2:$B$1000,Lookup!$C$2:$C$1000),"")</f>
        <v>Equity</v>
      </c>
      <c r="D5292" s="8" t="str">
        <f>IFERROR(INDEX('nav master'!$C:$C, MATCH(B5292, 'nav master'!$B:$B, 0)), "")</f>
        <v>ULIF08219/09/25TopMF500Fd101</v>
      </c>
      <c r="E5292" s="8" t="s">
        <v>644</v>
      </c>
      <c r="F5292" s="8" t="s">
        <v>3356</v>
      </c>
    </row>
    <row r="5293" spans="1:6" ht="60" x14ac:dyDescent="0.25">
      <c r="A5293" s="8" t="s">
        <v>125</v>
      </c>
      <c r="B5293" s="8" t="s">
        <v>159</v>
      </c>
      <c r="C5293" s="8" t="str">
        <f>IFERROR(_xlfn.XLOOKUP(TRIM(B5293),Lookup!$B$2:$B$1000,Lookup!$C$2:$C$1000),"")</f>
        <v>Equity</v>
      </c>
      <c r="D5293" s="8" t="str">
        <f>IFERROR(INDEX('nav master'!$C:$C, MATCH(B5293, 'nav master'!$B:$B, 0)), "")</f>
        <v>ULIF08219/09/25TopMF500Fd101</v>
      </c>
      <c r="E5293" s="8" t="s">
        <v>646</v>
      </c>
      <c r="F5293" s="8" t="s">
        <v>3357</v>
      </c>
    </row>
    <row r="5294" spans="1:6" ht="60" x14ac:dyDescent="0.25">
      <c r="A5294" s="8" t="s">
        <v>125</v>
      </c>
      <c r="B5294" s="8" t="s">
        <v>159</v>
      </c>
      <c r="C5294" s="8" t="str">
        <f>IFERROR(_xlfn.XLOOKUP(TRIM(B5294),Lookup!$B$2:$B$1000,Lookup!$C$2:$C$1000),"")</f>
        <v>Equity</v>
      </c>
      <c r="D5294" s="8" t="str">
        <f>IFERROR(INDEX('nav master'!$C:$C, MATCH(B5294, 'nav master'!$B:$B, 0)), "")</f>
        <v>ULIF08219/09/25TopMF500Fd101</v>
      </c>
      <c r="E5294" s="8" t="s">
        <v>648</v>
      </c>
      <c r="F5294" s="8" t="s">
        <v>3358</v>
      </c>
    </row>
    <row r="5295" spans="1:6" ht="60" x14ac:dyDescent="0.25">
      <c r="A5295" s="8" t="s">
        <v>125</v>
      </c>
      <c r="B5295" s="8" t="s">
        <v>159</v>
      </c>
      <c r="C5295" s="8" t="str">
        <f>IFERROR(_xlfn.XLOOKUP(TRIM(B5295),Lookup!$B$2:$B$1000,Lookup!$C$2:$C$1000),"")</f>
        <v>Equity</v>
      </c>
      <c r="D5295" s="8" t="str">
        <f>IFERROR(INDEX('nav master'!$C:$C, MATCH(B5295, 'nav master'!$B:$B, 0)), "")</f>
        <v>ULIF08219/09/25TopMF500Fd101</v>
      </c>
      <c r="E5295" s="8" t="s">
        <v>650</v>
      </c>
      <c r="F5295" s="8" t="s">
        <v>3353</v>
      </c>
    </row>
    <row r="5296" spans="1:6" ht="60" x14ac:dyDescent="0.25">
      <c r="A5296" s="8" t="s">
        <v>125</v>
      </c>
      <c r="B5296" s="8" t="s">
        <v>159</v>
      </c>
      <c r="C5296" s="8" t="str">
        <f>IFERROR(_xlfn.XLOOKUP(TRIM(B5296),Lookup!$B$2:$B$1000,Lookup!$C$2:$C$1000),"")</f>
        <v>Equity</v>
      </c>
      <c r="D5296" s="8" t="str">
        <f>IFERROR(INDEX('nav master'!$C:$C, MATCH(B5296, 'nav master'!$B:$B, 0)), "")</f>
        <v>ULIF08219/09/25TopMF500Fd101</v>
      </c>
      <c r="E5296" s="8" t="s">
        <v>652</v>
      </c>
      <c r="F5296" s="8" t="s">
        <v>3359</v>
      </c>
    </row>
    <row r="5297" spans="1:6" ht="60" x14ac:dyDescent="0.25">
      <c r="A5297" s="8" t="s">
        <v>125</v>
      </c>
      <c r="B5297" s="8" t="s">
        <v>159</v>
      </c>
      <c r="C5297" s="8" t="str">
        <f>IFERROR(_xlfn.XLOOKUP(TRIM(B5297),Lookup!$B$2:$B$1000,Lookup!$C$2:$C$1000),"")</f>
        <v>Equity</v>
      </c>
      <c r="D5297" s="8" t="str">
        <f>IFERROR(INDEX('nav master'!$C:$C, MATCH(B5297, 'nav master'!$B:$B, 0)), "")</f>
        <v>ULIF08219/09/25TopMF500Fd101</v>
      </c>
      <c r="E5297" s="8" t="s">
        <v>654</v>
      </c>
      <c r="F5297" s="8" t="s">
        <v>3360</v>
      </c>
    </row>
    <row r="5298" spans="1:6" ht="60" x14ac:dyDescent="0.25">
      <c r="A5298" s="8" t="s">
        <v>125</v>
      </c>
      <c r="B5298" s="8" t="s">
        <v>159</v>
      </c>
      <c r="C5298" s="8" t="str">
        <f>IFERROR(_xlfn.XLOOKUP(TRIM(B5298),Lookup!$B$2:$B$1000,Lookup!$C$2:$C$1000),"")</f>
        <v>Equity</v>
      </c>
      <c r="D5298" s="8" t="str">
        <f>IFERROR(INDEX('nav master'!$C:$C, MATCH(B5298, 'nav master'!$B:$B, 0)), "")</f>
        <v>ULIF08219/09/25TopMF500Fd101</v>
      </c>
      <c r="E5298" s="8" t="s">
        <v>656</v>
      </c>
      <c r="F5298" s="8" t="s">
        <v>3361</v>
      </c>
    </row>
    <row r="5299" spans="1:6" ht="60" x14ac:dyDescent="0.25">
      <c r="A5299" s="8" t="s">
        <v>125</v>
      </c>
      <c r="B5299" s="8" t="s">
        <v>159</v>
      </c>
      <c r="C5299" s="8" t="str">
        <f>IFERROR(_xlfn.XLOOKUP(TRIM(B5299),Lookup!$B$2:$B$1000,Lookup!$C$2:$C$1000),"")</f>
        <v>Equity</v>
      </c>
      <c r="D5299" s="8" t="str">
        <f>IFERROR(INDEX('nav master'!$C:$C, MATCH(B5299, 'nav master'!$B:$B, 0)), "")</f>
        <v>ULIF08219/09/25TopMF500Fd101</v>
      </c>
      <c r="E5299" s="8" t="s">
        <v>658</v>
      </c>
      <c r="F5299" s="8" t="s">
        <v>1649</v>
      </c>
    </row>
    <row r="5300" spans="1:6" ht="60" x14ac:dyDescent="0.25">
      <c r="A5300" s="8" t="s">
        <v>125</v>
      </c>
      <c r="B5300" s="8" t="s">
        <v>159</v>
      </c>
      <c r="C5300" s="8" t="str">
        <f>IFERROR(_xlfn.XLOOKUP(TRIM(B5300),Lookup!$B$2:$B$1000,Lookup!$C$2:$C$1000),"")</f>
        <v>Equity</v>
      </c>
      <c r="D5300" s="8" t="str">
        <f>IFERROR(INDEX('nav master'!$C:$C, MATCH(B5300, 'nav master'!$B:$B, 0)), "")</f>
        <v>ULIF08219/09/25TopMF500Fd101</v>
      </c>
      <c r="E5300" s="8" t="s">
        <v>660</v>
      </c>
      <c r="F5300" s="8" t="s">
        <v>3362</v>
      </c>
    </row>
    <row r="5301" spans="1:6" ht="60" x14ac:dyDescent="0.25">
      <c r="A5301" s="8" t="s">
        <v>125</v>
      </c>
      <c r="B5301" s="8" t="s">
        <v>159</v>
      </c>
      <c r="C5301" s="8" t="str">
        <f>IFERROR(_xlfn.XLOOKUP(TRIM(B5301),Lookup!$B$2:$B$1000,Lookup!$C$2:$C$1000),"")</f>
        <v>Equity</v>
      </c>
      <c r="D5301" s="8" t="str">
        <f>IFERROR(INDEX('nav master'!$C:$C, MATCH(B5301, 'nav master'!$B:$B, 0)), "")</f>
        <v>ULIF08219/09/25TopMF500Fd101</v>
      </c>
      <c r="E5301" s="8" t="s">
        <v>662</v>
      </c>
      <c r="F5301" s="8" t="s">
        <v>3363</v>
      </c>
    </row>
    <row r="5302" spans="1:6" ht="60" x14ac:dyDescent="0.25">
      <c r="A5302" s="8" t="s">
        <v>125</v>
      </c>
      <c r="B5302" s="8" t="s">
        <v>159</v>
      </c>
      <c r="C5302" s="8" t="str">
        <f>IFERROR(_xlfn.XLOOKUP(TRIM(B5302),Lookup!$B$2:$B$1000,Lookup!$C$2:$C$1000),"")</f>
        <v>Equity</v>
      </c>
      <c r="D5302" s="8" t="str">
        <f>IFERROR(INDEX('nav master'!$C:$C, MATCH(B5302, 'nav master'!$B:$B, 0)), "")</f>
        <v>ULIF08219/09/25TopMF500Fd101</v>
      </c>
      <c r="E5302" s="8" t="s">
        <v>664</v>
      </c>
      <c r="F5302" s="8" t="s">
        <v>3364</v>
      </c>
    </row>
    <row r="5303" spans="1:6" ht="60" x14ac:dyDescent="0.25">
      <c r="A5303" s="8" t="s">
        <v>125</v>
      </c>
      <c r="B5303" s="8" t="s">
        <v>159</v>
      </c>
      <c r="C5303" s="8" t="str">
        <f>IFERROR(_xlfn.XLOOKUP(TRIM(B5303),Lookup!$B$2:$B$1000,Lookup!$C$2:$C$1000),"")</f>
        <v>Equity</v>
      </c>
      <c r="D5303" s="8" t="str">
        <f>IFERROR(INDEX('nav master'!$C:$C, MATCH(B5303, 'nav master'!$B:$B, 0)), "")</f>
        <v>ULIF08219/09/25TopMF500Fd101</v>
      </c>
      <c r="E5303" s="8" t="s">
        <v>4892</v>
      </c>
      <c r="F5303" s="8" t="s">
        <v>4992</v>
      </c>
    </row>
    <row r="5304" spans="1:6" ht="60" x14ac:dyDescent="0.25">
      <c r="A5304" s="8" t="s">
        <v>125</v>
      </c>
      <c r="B5304" s="8" t="s">
        <v>159</v>
      </c>
      <c r="C5304" s="8" t="str">
        <f>IFERROR(_xlfn.XLOOKUP(TRIM(B5304),Lookup!$B$2:$B$1000,Lookup!$C$2:$C$1000),"")</f>
        <v>Equity</v>
      </c>
      <c r="D5304" s="8" t="str">
        <f>IFERROR(INDEX('nav master'!$C:$C, MATCH(B5304, 'nav master'!$B:$B, 0)), "")</f>
        <v>ULIF08219/09/25TopMF500Fd101</v>
      </c>
      <c r="E5304" s="8" t="s">
        <v>4894</v>
      </c>
      <c r="F5304" s="8" t="s">
        <v>4993</v>
      </c>
    </row>
    <row r="5305" spans="1:6" ht="60" x14ac:dyDescent="0.25">
      <c r="A5305" s="8" t="s">
        <v>125</v>
      </c>
      <c r="B5305" s="8" t="s">
        <v>159</v>
      </c>
      <c r="C5305" s="8" t="str">
        <f>IFERROR(_xlfn.XLOOKUP(TRIM(B5305),Lookup!$B$2:$B$1000,Lookup!$C$2:$C$1000),"")</f>
        <v>Equity</v>
      </c>
      <c r="D5305" s="8" t="str">
        <f>IFERROR(INDEX('nav master'!$C:$C, MATCH(B5305, 'nav master'!$B:$B, 0)), "")</f>
        <v>ULIF08219/09/25TopMF500Fd101</v>
      </c>
      <c r="E5305" s="8" t="s">
        <v>4896</v>
      </c>
      <c r="F5305" s="8" t="s">
        <v>2991</v>
      </c>
    </row>
    <row r="5306" spans="1:6" ht="60" x14ac:dyDescent="0.25">
      <c r="A5306" s="8" t="s">
        <v>125</v>
      </c>
      <c r="B5306" s="8" t="s">
        <v>159</v>
      </c>
      <c r="C5306" s="8" t="str">
        <f>IFERROR(_xlfn.XLOOKUP(TRIM(B5306),Lookup!$B$2:$B$1000,Lookup!$C$2:$C$1000),"")</f>
        <v>Equity</v>
      </c>
      <c r="D5306" s="8" t="str">
        <f>IFERROR(INDEX('nav master'!$C:$C, MATCH(B5306, 'nav master'!$B:$B, 0)), "")</f>
        <v>ULIF08219/09/25TopMF500Fd101</v>
      </c>
      <c r="E5306" s="8" t="s">
        <v>4898</v>
      </c>
      <c r="F5306" s="8" t="s">
        <v>4994</v>
      </c>
    </row>
    <row r="5307" spans="1:6" ht="60" x14ac:dyDescent="0.25">
      <c r="A5307" s="8" t="s">
        <v>125</v>
      </c>
      <c r="B5307" s="8" t="s">
        <v>159</v>
      </c>
      <c r="C5307" s="8" t="str">
        <f>IFERROR(_xlfn.XLOOKUP(TRIM(B5307),Lookup!$B$2:$B$1000,Lookup!$C$2:$C$1000),"")</f>
        <v>Equity</v>
      </c>
      <c r="D5307" s="8" t="str">
        <f>IFERROR(INDEX('nav master'!$C:$C, MATCH(B5307, 'nav master'!$B:$B, 0)), "")</f>
        <v>ULIF08219/09/25TopMF500Fd101</v>
      </c>
      <c r="E5307" s="8" t="s">
        <v>4900</v>
      </c>
      <c r="F5307" s="8" t="s">
        <v>4995</v>
      </c>
    </row>
    <row r="5308" spans="1:6" ht="60" x14ac:dyDescent="0.25">
      <c r="A5308" s="8" t="s">
        <v>125</v>
      </c>
      <c r="B5308" s="8" t="s">
        <v>159</v>
      </c>
      <c r="C5308" s="8" t="str">
        <f>IFERROR(_xlfn.XLOOKUP(TRIM(B5308),Lookup!$B$2:$B$1000,Lookup!$C$2:$C$1000),"")</f>
        <v>Equity</v>
      </c>
      <c r="D5308" s="8" t="str">
        <f>IFERROR(INDEX('nav master'!$C:$C, MATCH(B5308, 'nav master'!$B:$B, 0)), "")</f>
        <v>ULIF08219/09/25TopMF500Fd101</v>
      </c>
      <c r="E5308" s="8" t="s">
        <v>4902</v>
      </c>
      <c r="F5308" s="8" t="s">
        <v>4996</v>
      </c>
    </row>
    <row r="5309" spans="1:6" ht="60" x14ac:dyDescent="0.25">
      <c r="A5309" s="8" t="s">
        <v>125</v>
      </c>
      <c r="B5309" s="8" t="s">
        <v>159</v>
      </c>
      <c r="C5309" s="8" t="str">
        <f>IFERROR(_xlfn.XLOOKUP(TRIM(B5309),Lookup!$B$2:$B$1000,Lookup!$C$2:$C$1000),"")</f>
        <v>Equity</v>
      </c>
      <c r="D5309" s="8" t="str">
        <f>IFERROR(INDEX('nav master'!$C:$C, MATCH(B5309, 'nav master'!$B:$B, 0)), "")</f>
        <v>ULIF08219/09/25TopMF500Fd101</v>
      </c>
      <c r="E5309" s="8" t="s">
        <v>4903</v>
      </c>
      <c r="F5309" s="8" t="s">
        <v>2938</v>
      </c>
    </row>
    <row r="5310" spans="1:6" ht="60" x14ac:dyDescent="0.25">
      <c r="A5310" s="8" t="s">
        <v>125</v>
      </c>
      <c r="B5310" s="8" t="s">
        <v>159</v>
      </c>
      <c r="C5310" s="8" t="str">
        <f>IFERROR(_xlfn.XLOOKUP(TRIM(B5310),Lookup!$B$2:$B$1000,Lookup!$C$2:$C$1000),"")</f>
        <v>Equity</v>
      </c>
      <c r="D5310" s="8" t="str">
        <f>IFERROR(INDEX('nav master'!$C:$C, MATCH(B5310, 'nav master'!$B:$B, 0)), "")</f>
        <v>ULIF08219/09/25TopMF500Fd101</v>
      </c>
      <c r="E5310" s="8" t="s">
        <v>4905</v>
      </c>
      <c r="F5310" s="8" t="s">
        <v>4997</v>
      </c>
    </row>
    <row r="5311" spans="1:6" ht="90" x14ac:dyDescent="0.25">
      <c r="A5311" s="8" t="s">
        <v>125</v>
      </c>
      <c r="B5311" s="8" t="s">
        <v>163</v>
      </c>
      <c r="C5311" s="8" t="str">
        <f>IFERROR(_xlfn.XLOOKUP(TRIM(B5311),Lookup!$B$2:$B$1000,Lookup!$C$2:$C$1000),"")</f>
        <v>Equity</v>
      </c>
      <c r="D5311" s="8" t="str">
        <f>IFERROR(INDEX('nav master'!$C:$C, MATCH(B5311, 'nav master'!$B:$B, 0)), "")</f>
        <v>ULIF08602/03/26InSctrLdrFd101</v>
      </c>
      <c r="E5311" s="8" t="s">
        <v>494</v>
      </c>
      <c r="F5311" s="8" t="s">
        <v>1603</v>
      </c>
    </row>
    <row r="5312" spans="1:6" ht="90" x14ac:dyDescent="0.25">
      <c r="A5312" s="8" t="s">
        <v>125</v>
      </c>
      <c r="B5312" s="8" t="s">
        <v>163</v>
      </c>
      <c r="C5312" s="8" t="str">
        <f>IFERROR(_xlfn.XLOOKUP(TRIM(B5312),Lookup!$B$2:$B$1000,Lookup!$C$2:$C$1000),"")</f>
        <v>Equity</v>
      </c>
      <c r="D5312" s="8" t="str">
        <f>IFERROR(INDEX('nav master'!$C:$C, MATCH(B5312, 'nav master'!$B:$B, 0)), "")</f>
        <v>ULIF08602/03/26InSctrLdrFd101</v>
      </c>
      <c r="E5312" s="8" t="s">
        <v>496</v>
      </c>
      <c r="F5312" s="8" t="s">
        <v>3365</v>
      </c>
    </row>
    <row r="5313" spans="1:6" ht="90" x14ac:dyDescent="0.25">
      <c r="A5313" s="8" t="s">
        <v>125</v>
      </c>
      <c r="B5313" s="8" t="s">
        <v>163</v>
      </c>
      <c r="C5313" s="8" t="str">
        <f>IFERROR(_xlfn.XLOOKUP(TRIM(B5313),Lookup!$B$2:$B$1000,Lookup!$C$2:$C$1000),"")</f>
        <v>Equity</v>
      </c>
      <c r="D5313" s="8" t="str">
        <f>IFERROR(INDEX('nav master'!$C:$C, MATCH(B5313, 'nav master'!$B:$B, 0)), "")</f>
        <v>ULIF08602/03/26InSctrLdrFd101</v>
      </c>
      <c r="E5313" s="8" t="s">
        <v>498</v>
      </c>
      <c r="F5313" s="8" t="s">
        <v>3366</v>
      </c>
    </row>
    <row r="5314" spans="1:6" ht="90" x14ac:dyDescent="0.25">
      <c r="A5314" s="8" t="s">
        <v>125</v>
      </c>
      <c r="B5314" s="8" t="s">
        <v>163</v>
      </c>
      <c r="C5314" s="8" t="str">
        <f>IFERROR(_xlfn.XLOOKUP(TRIM(B5314),Lookup!$B$2:$B$1000,Lookup!$C$2:$C$1000),"")</f>
        <v>Equity</v>
      </c>
      <c r="D5314" s="8" t="str">
        <f>IFERROR(INDEX('nav master'!$C:$C, MATCH(B5314, 'nav master'!$B:$B, 0)), "")</f>
        <v>ULIF08602/03/26InSctrLdrFd101</v>
      </c>
      <c r="E5314" s="8" t="s">
        <v>500</v>
      </c>
      <c r="F5314" s="8" t="s">
        <v>2972</v>
      </c>
    </row>
    <row r="5315" spans="1:6" ht="90" x14ac:dyDescent="0.25">
      <c r="A5315" s="8" t="s">
        <v>125</v>
      </c>
      <c r="B5315" s="8" t="s">
        <v>163</v>
      </c>
      <c r="C5315" s="8" t="str">
        <f>IFERROR(_xlfn.XLOOKUP(TRIM(B5315),Lookup!$B$2:$B$1000,Lookup!$C$2:$C$1000),"")</f>
        <v>Equity</v>
      </c>
      <c r="D5315" s="8" t="str">
        <f>IFERROR(INDEX('nav master'!$C:$C, MATCH(B5315, 'nav master'!$B:$B, 0)), "")</f>
        <v>ULIF08602/03/26InSctrLdrFd101</v>
      </c>
      <c r="E5315" s="8" t="s">
        <v>502</v>
      </c>
      <c r="F5315" s="8" t="s">
        <v>3367</v>
      </c>
    </row>
    <row r="5316" spans="1:6" ht="90" x14ac:dyDescent="0.25">
      <c r="A5316" s="8" t="s">
        <v>125</v>
      </c>
      <c r="B5316" s="8" t="s">
        <v>163</v>
      </c>
      <c r="C5316" s="8" t="str">
        <f>IFERROR(_xlfn.XLOOKUP(TRIM(B5316),Lookup!$B$2:$B$1000,Lookup!$C$2:$C$1000),"")</f>
        <v>Equity</v>
      </c>
      <c r="D5316" s="8" t="str">
        <f>IFERROR(INDEX('nav master'!$C:$C, MATCH(B5316, 'nav master'!$B:$B, 0)), "")</f>
        <v>ULIF08602/03/26InSctrLdrFd101</v>
      </c>
      <c r="E5316" s="8" t="s">
        <v>504</v>
      </c>
      <c r="F5316" s="8" t="s">
        <v>3368</v>
      </c>
    </row>
    <row r="5317" spans="1:6" ht="90" x14ac:dyDescent="0.25">
      <c r="A5317" s="8" t="s">
        <v>125</v>
      </c>
      <c r="B5317" s="8" t="s">
        <v>163</v>
      </c>
      <c r="C5317" s="8" t="str">
        <f>IFERROR(_xlfn.XLOOKUP(TRIM(B5317),Lookup!$B$2:$B$1000,Lookup!$C$2:$C$1000),"")</f>
        <v>Equity</v>
      </c>
      <c r="D5317" s="8" t="str">
        <f>IFERROR(INDEX('nav master'!$C:$C, MATCH(B5317, 'nav master'!$B:$B, 0)), "")</f>
        <v>ULIF08602/03/26InSctrLdrFd101</v>
      </c>
      <c r="E5317" s="8" t="s">
        <v>506</v>
      </c>
      <c r="F5317" s="8" t="s">
        <v>3369</v>
      </c>
    </row>
    <row r="5318" spans="1:6" ht="90" x14ac:dyDescent="0.25">
      <c r="A5318" s="8" t="s">
        <v>125</v>
      </c>
      <c r="B5318" s="8" t="s">
        <v>163</v>
      </c>
      <c r="C5318" s="8" t="str">
        <f>IFERROR(_xlfn.XLOOKUP(TRIM(B5318),Lookup!$B$2:$B$1000,Lookup!$C$2:$C$1000),"")</f>
        <v>Equity</v>
      </c>
      <c r="D5318" s="8" t="str">
        <f>IFERROR(INDEX('nav master'!$C:$C, MATCH(B5318, 'nav master'!$B:$B, 0)), "")</f>
        <v>ULIF08602/03/26InSctrLdrFd101</v>
      </c>
      <c r="E5318" s="8" t="s">
        <v>508</v>
      </c>
      <c r="F5318" s="8" t="s">
        <v>3370</v>
      </c>
    </row>
    <row r="5319" spans="1:6" ht="90" x14ac:dyDescent="0.25">
      <c r="A5319" s="8" t="s">
        <v>125</v>
      </c>
      <c r="B5319" s="8" t="s">
        <v>163</v>
      </c>
      <c r="C5319" s="8" t="str">
        <f>IFERROR(_xlfn.XLOOKUP(TRIM(B5319),Lookup!$B$2:$B$1000,Lookup!$C$2:$C$1000),"")</f>
        <v>Equity</v>
      </c>
      <c r="D5319" s="8" t="str">
        <f>IFERROR(INDEX('nav master'!$C:$C, MATCH(B5319, 'nav master'!$B:$B, 0)), "")</f>
        <v>ULIF08602/03/26InSctrLdrFd101</v>
      </c>
      <c r="E5319" s="8" t="s">
        <v>510</v>
      </c>
      <c r="F5319" s="8" t="s">
        <v>3371</v>
      </c>
    </row>
    <row r="5320" spans="1:6" ht="90" x14ac:dyDescent="0.25">
      <c r="A5320" s="8" t="s">
        <v>125</v>
      </c>
      <c r="B5320" s="8" t="s">
        <v>163</v>
      </c>
      <c r="C5320" s="8" t="str">
        <f>IFERROR(_xlfn.XLOOKUP(TRIM(B5320),Lookup!$B$2:$B$1000,Lookup!$C$2:$C$1000),"")</f>
        <v>Equity</v>
      </c>
      <c r="D5320" s="8" t="str">
        <f>IFERROR(INDEX('nav master'!$C:$C, MATCH(B5320, 'nav master'!$B:$B, 0)), "")</f>
        <v>ULIF08602/03/26InSctrLdrFd101</v>
      </c>
      <c r="E5320" s="8" t="s">
        <v>512</v>
      </c>
      <c r="F5320" s="8" t="s">
        <v>3372</v>
      </c>
    </row>
    <row r="5321" spans="1:6" ht="90" x14ac:dyDescent="0.25">
      <c r="A5321" s="8" t="s">
        <v>125</v>
      </c>
      <c r="B5321" s="8" t="s">
        <v>163</v>
      </c>
      <c r="C5321" s="8" t="str">
        <f>IFERROR(_xlfn.XLOOKUP(TRIM(B5321),Lookup!$B$2:$B$1000,Lookup!$C$2:$C$1000),"")</f>
        <v>Equity</v>
      </c>
      <c r="D5321" s="8" t="str">
        <f>IFERROR(INDEX('nav master'!$C:$C, MATCH(B5321, 'nav master'!$B:$B, 0)), "")</f>
        <v>ULIF08602/03/26InSctrLdrFd101</v>
      </c>
      <c r="E5321" s="8" t="s">
        <v>514</v>
      </c>
      <c r="F5321" s="8" t="s">
        <v>3373</v>
      </c>
    </row>
    <row r="5322" spans="1:6" ht="90" x14ac:dyDescent="0.25">
      <c r="A5322" s="8" t="s">
        <v>125</v>
      </c>
      <c r="B5322" s="8" t="s">
        <v>163</v>
      </c>
      <c r="C5322" s="8" t="str">
        <f>IFERROR(_xlfn.XLOOKUP(TRIM(B5322),Lookup!$B$2:$B$1000,Lookup!$C$2:$C$1000),"")</f>
        <v>Equity</v>
      </c>
      <c r="D5322" s="8" t="str">
        <f>IFERROR(INDEX('nav master'!$C:$C, MATCH(B5322, 'nav master'!$B:$B, 0)), "")</f>
        <v>ULIF08602/03/26InSctrLdrFd101</v>
      </c>
      <c r="E5322" s="8" t="s">
        <v>516</v>
      </c>
      <c r="F5322" s="8" t="s">
        <v>3374</v>
      </c>
    </row>
    <row r="5323" spans="1:6" ht="90" x14ac:dyDescent="0.25">
      <c r="A5323" s="8" t="s">
        <v>125</v>
      </c>
      <c r="B5323" s="8" t="s">
        <v>163</v>
      </c>
      <c r="C5323" s="8" t="str">
        <f>IFERROR(_xlfn.XLOOKUP(TRIM(B5323),Lookup!$B$2:$B$1000,Lookup!$C$2:$C$1000),"")</f>
        <v>Equity</v>
      </c>
      <c r="D5323" s="8" t="str">
        <f>IFERROR(INDEX('nav master'!$C:$C, MATCH(B5323, 'nav master'!$B:$B, 0)), "")</f>
        <v>ULIF08602/03/26InSctrLdrFd101</v>
      </c>
      <c r="E5323" s="8" t="s">
        <v>518</v>
      </c>
      <c r="F5323" s="8" t="s">
        <v>3375</v>
      </c>
    </row>
    <row r="5324" spans="1:6" ht="90" x14ac:dyDescent="0.25">
      <c r="A5324" s="8" t="s">
        <v>125</v>
      </c>
      <c r="B5324" s="8" t="s">
        <v>163</v>
      </c>
      <c r="C5324" s="8" t="str">
        <f>IFERROR(_xlfn.XLOOKUP(TRIM(B5324),Lookup!$B$2:$B$1000,Lookup!$C$2:$C$1000),"")</f>
        <v>Equity</v>
      </c>
      <c r="D5324" s="8" t="str">
        <f>IFERROR(INDEX('nav master'!$C:$C, MATCH(B5324, 'nav master'!$B:$B, 0)), "")</f>
        <v>ULIF08602/03/26InSctrLdrFd101</v>
      </c>
      <c r="E5324" s="8" t="s">
        <v>520</v>
      </c>
      <c r="F5324" s="8" t="s">
        <v>3376</v>
      </c>
    </row>
    <row r="5325" spans="1:6" ht="90" x14ac:dyDescent="0.25">
      <c r="A5325" s="8" t="s">
        <v>125</v>
      </c>
      <c r="B5325" s="8" t="s">
        <v>163</v>
      </c>
      <c r="C5325" s="8" t="str">
        <f>IFERROR(_xlfn.XLOOKUP(TRIM(B5325),Lookup!$B$2:$B$1000,Lookup!$C$2:$C$1000),"")</f>
        <v>Equity</v>
      </c>
      <c r="D5325" s="8" t="str">
        <f>IFERROR(INDEX('nav master'!$C:$C, MATCH(B5325, 'nav master'!$B:$B, 0)), "")</f>
        <v>ULIF08602/03/26InSctrLdrFd101</v>
      </c>
      <c r="E5325" s="8" t="s">
        <v>522</v>
      </c>
      <c r="F5325" s="8" t="s">
        <v>3377</v>
      </c>
    </row>
    <row r="5326" spans="1:6" ht="90" x14ac:dyDescent="0.25">
      <c r="A5326" s="8" t="s">
        <v>125</v>
      </c>
      <c r="B5326" s="8" t="s">
        <v>163</v>
      </c>
      <c r="C5326" s="8" t="str">
        <f>IFERROR(_xlfn.XLOOKUP(TRIM(B5326),Lookup!$B$2:$B$1000,Lookup!$C$2:$C$1000),"")</f>
        <v>Equity</v>
      </c>
      <c r="D5326" s="8" t="str">
        <f>IFERROR(INDEX('nav master'!$C:$C, MATCH(B5326, 'nav master'!$B:$B, 0)), "")</f>
        <v>ULIF08602/03/26InSctrLdrFd101</v>
      </c>
      <c r="E5326" s="8" t="s">
        <v>524</v>
      </c>
      <c r="F5326" s="8" t="s">
        <v>3378</v>
      </c>
    </row>
    <row r="5327" spans="1:6" ht="90" x14ac:dyDescent="0.25">
      <c r="A5327" s="8" t="s">
        <v>125</v>
      </c>
      <c r="B5327" s="8" t="s">
        <v>163</v>
      </c>
      <c r="C5327" s="8" t="str">
        <f>IFERROR(_xlfn.XLOOKUP(TRIM(B5327),Lookup!$B$2:$B$1000,Lookup!$C$2:$C$1000),"")</f>
        <v>Equity</v>
      </c>
      <c r="D5327" s="8" t="str">
        <f>IFERROR(INDEX('nav master'!$C:$C, MATCH(B5327, 'nav master'!$B:$B, 0)), "")</f>
        <v>ULIF08602/03/26InSctrLdrFd101</v>
      </c>
      <c r="E5327" s="8" t="s">
        <v>526</v>
      </c>
      <c r="F5327" s="8" t="s">
        <v>3379</v>
      </c>
    </row>
    <row r="5328" spans="1:6" ht="90" x14ac:dyDescent="0.25">
      <c r="A5328" s="8" t="s">
        <v>125</v>
      </c>
      <c r="B5328" s="8" t="s">
        <v>163</v>
      </c>
      <c r="C5328" s="8" t="str">
        <f>IFERROR(_xlfn.XLOOKUP(TRIM(B5328),Lookup!$B$2:$B$1000,Lookup!$C$2:$C$1000),"")</f>
        <v>Equity</v>
      </c>
      <c r="D5328" s="8" t="str">
        <f>IFERROR(INDEX('nav master'!$C:$C, MATCH(B5328, 'nav master'!$B:$B, 0)), "")</f>
        <v>ULIF08602/03/26InSctrLdrFd101</v>
      </c>
      <c r="E5328" s="8" t="s">
        <v>528</v>
      </c>
      <c r="F5328" s="8" t="s">
        <v>3380</v>
      </c>
    </row>
    <row r="5329" spans="1:6" ht="90" x14ac:dyDescent="0.25">
      <c r="A5329" s="8" t="s">
        <v>125</v>
      </c>
      <c r="B5329" s="8" t="s">
        <v>163</v>
      </c>
      <c r="C5329" s="8" t="str">
        <f>IFERROR(_xlfn.XLOOKUP(TRIM(B5329),Lookup!$B$2:$B$1000,Lookup!$C$2:$C$1000),"")</f>
        <v>Equity</v>
      </c>
      <c r="D5329" s="8" t="str">
        <f>IFERROR(INDEX('nav master'!$C:$C, MATCH(B5329, 'nav master'!$B:$B, 0)), "")</f>
        <v>ULIF08602/03/26InSctrLdrFd101</v>
      </c>
      <c r="E5329" s="8" t="s">
        <v>530</v>
      </c>
      <c r="F5329" s="8" t="s">
        <v>3381</v>
      </c>
    </row>
    <row r="5330" spans="1:6" ht="90" x14ac:dyDescent="0.25">
      <c r="A5330" s="8" t="s">
        <v>125</v>
      </c>
      <c r="B5330" s="8" t="s">
        <v>163</v>
      </c>
      <c r="C5330" s="8" t="str">
        <f>IFERROR(_xlfn.XLOOKUP(TRIM(B5330),Lookup!$B$2:$B$1000,Lookup!$C$2:$C$1000),"")</f>
        <v>Equity</v>
      </c>
      <c r="D5330" s="8" t="str">
        <f>IFERROR(INDEX('nav master'!$C:$C, MATCH(B5330, 'nav master'!$B:$B, 0)), "")</f>
        <v>ULIF08602/03/26InSctrLdrFd101</v>
      </c>
      <c r="E5330" s="8" t="s">
        <v>532</v>
      </c>
      <c r="F5330" s="8" t="s">
        <v>3382</v>
      </c>
    </row>
    <row r="5331" spans="1:6" ht="90" x14ac:dyDescent="0.25">
      <c r="A5331" s="8" t="s">
        <v>125</v>
      </c>
      <c r="B5331" s="8" t="s">
        <v>163</v>
      </c>
      <c r="C5331" s="8" t="str">
        <f>IFERROR(_xlfn.XLOOKUP(TRIM(B5331),Lookup!$B$2:$B$1000,Lookup!$C$2:$C$1000),"")</f>
        <v>Equity</v>
      </c>
      <c r="D5331" s="8" t="str">
        <f>IFERROR(INDEX('nav master'!$C:$C, MATCH(B5331, 'nav master'!$B:$B, 0)), "")</f>
        <v>ULIF08602/03/26InSctrLdrFd101</v>
      </c>
      <c r="E5331" s="8" t="s">
        <v>534</v>
      </c>
      <c r="F5331" s="8" t="s">
        <v>3383</v>
      </c>
    </row>
    <row r="5332" spans="1:6" ht="90" x14ac:dyDescent="0.25">
      <c r="A5332" s="8" t="s">
        <v>125</v>
      </c>
      <c r="B5332" s="8" t="s">
        <v>163</v>
      </c>
      <c r="C5332" s="8" t="str">
        <f>IFERROR(_xlfn.XLOOKUP(TRIM(B5332),Lookup!$B$2:$B$1000,Lookup!$C$2:$C$1000),"")</f>
        <v>Equity</v>
      </c>
      <c r="D5332" s="8" t="str">
        <f>IFERROR(INDEX('nav master'!$C:$C, MATCH(B5332, 'nav master'!$B:$B, 0)), "")</f>
        <v>ULIF08602/03/26InSctrLdrFd101</v>
      </c>
      <c r="E5332" s="8" t="s">
        <v>536</v>
      </c>
      <c r="F5332" s="8" t="s">
        <v>3384</v>
      </c>
    </row>
    <row r="5333" spans="1:6" ht="90" x14ac:dyDescent="0.25">
      <c r="A5333" s="8" t="s">
        <v>125</v>
      </c>
      <c r="B5333" s="8" t="s">
        <v>163</v>
      </c>
      <c r="C5333" s="8" t="str">
        <f>IFERROR(_xlfn.XLOOKUP(TRIM(B5333),Lookup!$B$2:$B$1000,Lookup!$C$2:$C$1000),"")</f>
        <v>Equity</v>
      </c>
      <c r="D5333" s="8" t="str">
        <f>IFERROR(INDEX('nav master'!$C:$C, MATCH(B5333, 'nav master'!$B:$B, 0)), "")</f>
        <v>ULIF08602/03/26InSctrLdrFd101</v>
      </c>
      <c r="E5333" s="8" t="s">
        <v>538</v>
      </c>
      <c r="F5333" s="8" t="s">
        <v>3385</v>
      </c>
    </row>
    <row r="5334" spans="1:6" ht="90" x14ac:dyDescent="0.25">
      <c r="A5334" s="8" t="s">
        <v>125</v>
      </c>
      <c r="B5334" s="8" t="s">
        <v>163</v>
      </c>
      <c r="C5334" s="8" t="str">
        <f>IFERROR(_xlfn.XLOOKUP(TRIM(B5334),Lookup!$B$2:$B$1000,Lookup!$C$2:$C$1000),"")</f>
        <v>Equity</v>
      </c>
      <c r="D5334" s="8" t="str">
        <f>IFERROR(INDEX('nav master'!$C:$C, MATCH(B5334, 'nav master'!$B:$B, 0)), "")</f>
        <v>ULIF08602/03/26InSctrLdrFd101</v>
      </c>
      <c r="E5334" s="8" t="s">
        <v>540</v>
      </c>
      <c r="F5334" s="8" t="s">
        <v>3386</v>
      </c>
    </row>
    <row r="5335" spans="1:6" ht="90" x14ac:dyDescent="0.25">
      <c r="A5335" s="8" t="s">
        <v>125</v>
      </c>
      <c r="B5335" s="8" t="s">
        <v>163</v>
      </c>
      <c r="C5335" s="8" t="str">
        <f>IFERROR(_xlfn.XLOOKUP(TRIM(B5335),Lookup!$B$2:$B$1000,Lookup!$C$2:$C$1000),"")</f>
        <v>Equity</v>
      </c>
      <c r="D5335" s="8" t="str">
        <f>IFERROR(INDEX('nav master'!$C:$C, MATCH(B5335, 'nav master'!$B:$B, 0)), "")</f>
        <v>ULIF08602/03/26InSctrLdrFd101</v>
      </c>
      <c r="E5335" s="8" t="s">
        <v>542</v>
      </c>
      <c r="F5335" s="8" t="s">
        <v>3387</v>
      </c>
    </row>
    <row r="5336" spans="1:6" ht="90" x14ac:dyDescent="0.25">
      <c r="A5336" s="8" t="s">
        <v>125</v>
      </c>
      <c r="B5336" s="8" t="s">
        <v>163</v>
      </c>
      <c r="C5336" s="8" t="str">
        <f>IFERROR(_xlfn.XLOOKUP(TRIM(B5336),Lookup!$B$2:$B$1000,Lookup!$C$2:$C$1000),"")</f>
        <v>Equity</v>
      </c>
      <c r="D5336" s="8" t="str">
        <f>IFERROR(INDEX('nav master'!$C:$C, MATCH(B5336, 'nav master'!$B:$B, 0)), "")</f>
        <v>ULIF08602/03/26InSctrLdrFd101</v>
      </c>
      <c r="E5336" s="8" t="s">
        <v>544</v>
      </c>
      <c r="F5336" s="8" t="s">
        <v>3388</v>
      </c>
    </row>
    <row r="5337" spans="1:6" ht="90" x14ac:dyDescent="0.25">
      <c r="A5337" s="8" t="s">
        <v>125</v>
      </c>
      <c r="B5337" s="8" t="s">
        <v>163</v>
      </c>
      <c r="C5337" s="8" t="str">
        <f>IFERROR(_xlfn.XLOOKUP(TRIM(B5337),Lookup!$B$2:$B$1000,Lookup!$C$2:$C$1000),"")</f>
        <v>Equity</v>
      </c>
      <c r="D5337" s="8" t="str">
        <f>IFERROR(INDEX('nav master'!$C:$C, MATCH(B5337, 'nav master'!$B:$B, 0)), "")</f>
        <v>ULIF08602/03/26InSctrLdrFd101</v>
      </c>
      <c r="E5337" s="8" t="s">
        <v>546</v>
      </c>
      <c r="F5337" s="8" t="s">
        <v>3389</v>
      </c>
    </row>
    <row r="5338" spans="1:6" ht="90" x14ac:dyDescent="0.25">
      <c r="A5338" s="8" t="s">
        <v>125</v>
      </c>
      <c r="B5338" s="8" t="s">
        <v>163</v>
      </c>
      <c r="C5338" s="8" t="str">
        <f>IFERROR(_xlfn.XLOOKUP(TRIM(B5338),Lookup!$B$2:$B$1000,Lookup!$C$2:$C$1000),"")</f>
        <v>Equity</v>
      </c>
      <c r="D5338" s="8" t="str">
        <f>IFERROR(INDEX('nav master'!$C:$C, MATCH(B5338, 'nav master'!$B:$B, 0)), "")</f>
        <v>ULIF08602/03/26InSctrLdrFd101</v>
      </c>
      <c r="E5338" s="8" t="s">
        <v>548</v>
      </c>
      <c r="F5338" s="8" t="s">
        <v>3390</v>
      </c>
    </row>
    <row r="5339" spans="1:6" ht="90" x14ac:dyDescent="0.25">
      <c r="A5339" s="8" t="s">
        <v>125</v>
      </c>
      <c r="B5339" s="8" t="s">
        <v>163</v>
      </c>
      <c r="C5339" s="8" t="str">
        <f>IFERROR(_xlfn.XLOOKUP(TRIM(B5339),Lookup!$B$2:$B$1000,Lookup!$C$2:$C$1000),"")</f>
        <v>Equity</v>
      </c>
      <c r="D5339" s="8" t="str">
        <f>IFERROR(INDEX('nav master'!$C:$C, MATCH(B5339, 'nav master'!$B:$B, 0)), "")</f>
        <v>ULIF08602/03/26InSctrLdrFd101</v>
      </c>
      <c r="E5339" s="8" t="s">
        <v>550</v>
      </c>
      <c r="F5339" s="8" t="s">
        <v>3391</v>
      </c>
    </row>
    <row r="5340" spans="1:6" ht="90" x14ac:dyDescent="0.25">
      <c r="A5340" s="8" t="s">
        <v>125</v>
      </c>
      <c r="B5340" s="8" t="s">
        <v>163</v>
      </c>
      <c r="C5340" s="8" t="str">
        <f>IFERROR(_xlfn.XLOOKUP(TRIM(B5340),Lookup!$B$2:$B$1000,Lookup!$C$2:$C$1000),"")</f>
        <v>Equity</v>
      </c>
      <c r="D5340" s="8" t="str">
        <f>IFERROR(INDEX('nav master'!$C:$C, MATCH(B5340, 'nav master'!$B:$B, 0)), "")</f>
        <v>ULIF08602/03/26InSctrLdrFd101</v>
      </c>
      <c r="E5340" s="8" t="s">
        <v>552</v>
      </c>
      <c r="F5340" s="8" t="s">
        <v>3392</v>
      </c>
    </row>
    <row r="5341" spans="1:6" ht="90" x14ac:dyDescent="0.25">
      <c r="A5341" s="8" t="s">
        <v>125</v>
      </c>
      <c r="B5341" s="8" t="s">
        <v>163</v>
      </c>
      <c r="C5341" s="8" t="str">
        <f>IFERROR(_xlfn.XLOOKUP(TRIM(B5341),Lookup!$B$2:$B$1000,Lookup!$C$2:$C$1000),"")</f>
        <v>Equity</v>
      </c>
      <c r="D5341" s="8" t="str">
        <f>IFERROR(INDEX('nav master'!$C:$C, MATCH(B5341, 'nav master'!$B:$B, 0)), "")</f>
        <v>ULIF08602/03/26InSctrLdrFd101</v>
      </c>
      <c r="E5341" s="8" t="s">
        <v>554</v>
      </c>
      <c r="F5341" s="8" t="s">
        <v>3393</v>
      </c>
    </row>
    <row r="5342" spans="1:6" ht="90" x14ac:dyDescent="0.25">
      <c r="A5342" s="8" t="s">
        <v>125</v>
      </c>
      <c r="B5342" s="8" t="s">
        <v>163</v>
      </c>
      <c r="C5342" s="8" t="str">
        <f>IFERROR(_xlfn.XLOOKUP(TRIM(B5342),Lookup!$B$2:$B$1000,Lookup!$C$2:$C$1000),"")</f>
        <v>Equity</v>
      </c>
      <c r="D5342" s="8" t="str">
        <f>IFERROR(INDEX('nav master'!$C:$C, MATCH(B5342, 'nav master'!$B:$B, 0)), "")</f>
        <v>ULIF08602/03/26InSctrLdrFd101</v>
      </c>
      <c r="E5342" s="8" t="s">
        <v>556</v>
      </c>
      <c r="F5342" s="8" t="s">
        <v>3394</v>
      </c>
    </row>
    <row r="5343" spans="1:6" ht="90" x14ac:dyDescent="0.25">
      <c r="A5343" s="8" t="s">
        <v>125</v>
      </c>
      <c r="B5343" s="8" t="s">
        <v>163</v>
      </c>
      <c r="C5343" s="8" t="str">
        <f>IFERROR(_xlfn.XLOOKUP(TRIM(B5343),Lookup!$B$2:$B$1000,Lookup!$C$2:$C$1000),"")</f>
        <v>Equity</v>
      </c>
      <c r="D5343" s="8" t="str">
        <f>IFERROR(INDEX('nav master'!$C:$C, MATCH(B5343, 'nav master'!$B:$B, 0)), "")</f>
        <v>ULIF08602/03/26InSctrLdrFd101</v>
      </c>
      <c r="E5343" s="8" t="s">
        <v>558</v>
      </c>
      <c r="F5343" s="8" t="s">
        <v>3395</v>
      </c>
    </row>
    <row r="5344" spans="1:6" ht="90" x14ac:dyDescent="0.25">
      <c r="A5344" s="8" t="s">
        <v>125</v>
      </c>
      <c r="B5344" s="8" t="s">
        <v>163</v>
      </c>
      <c r="C5344" s="8" t="str">
        <f>IFERROR(_xlfn.XLOOKUP(TRIM(B5344),Lookup!$B$2:$B$1000,Lookup!$C$2:$C$1000),"")</f>
        <v>Equity</v>
      </c>
      <c r="D5344" s="8" t="str">
        <f>IFERROR(INDEX('nav master'!$C:$C, MATCH(B5344, 'nav master'!$B:$B, 0)), "")</f>
        <v>ULIF08602/03/26InSctrLdrFd101</v>
      </c>
      <c r="E5344" s="8" t="s">
        <v>560</v>
      </c>
      <c r="F5344" s="8" t="s">
        <v>3396</v>
      </c>
    </row>
    <row r="5345" spans="1:6" ht="90" x14ac:dyDescent="0.25">
      <c r="A5345" s="8" t="s">
        <v>125</v>
      </c>
      <c r="B5345" s="8" t="s">
        <v>163</v>
      </c>
      <c r="C5345" s="8" t="str">
        <f>IFERROR(_xlfn.XLOOKUP(TRIM(B5345),Lookup!$B$2:$B$1000,Lookup!$C$2:$C$1000),"")</f>
        <v>Equity</v>
      </c>
      <c r="D5345" s="8" t="str">
        <f>IFERROR(INDEX('nav master'!$C:$C, MATCH(B5345, 'nav master'!$B:$B, 0)), "")</f>
        <v>ULIF08602/03/26InSctrLdrFd101</v>
      </c>
      <c r="E5345" s="8" t="s">
        <v>562</v>
      </c>
      <c r="F5345" s="8" t="s">
        <v>3397</v>
      </c>
    </row>
    <row r="5346" spans="1:6" ht="90" x14ac:dyDescent="0.25">
      <c r="A5346" s="8" t="s">
        <v>125</v>
      </c>
      <c r="B5346" s="8" t="s">
        <v>163</v>
      </c>
      <c r="C5346" s="8" t="str">
        <f>IFERROR(_xlfn.XLOOKUP(TRIM(B5346),Lookup!$B$2:$B$1000,Lookup!$C$2:$C$1000),"")</f>
        <v>Equity</v>
      </c>
      <c r="D5346" s="8" t="str">
        <f>IFERROR(INDEX('nav master'!$C:$C, MATCH(B5346, 'nav master'!$B:$B, 0)), "")</f>
        <v>ULIF08602/03/26InSctrLdrFd101</v>
      </c>
      <c r="E5346" s="8" t="s">
        <v>564</v>
      </c>
      <c r="F5346" s="8" t="s">
        <v>3398</v>
      </c>
    </row>
    <row r="5347" spans="1:6" ht="90" x14ac:dyDescent="0.25">
      <c r="A5347" s="8" t="s">
        <v>125</v>
      </c>
      <c r="B5347" s="8" t="s">
        <v>163</v>
      </c>
      <c r="C5347" s="8" t="str">
        <f>IFERROR(_xlfn.XLOOKUP(TRIM(B5347),Lookup!$B$2:$B$1000,Lookup!$C$2:$C$1000),"")</f>
        <v>Equity</v>
      </c>
      <c r="D5347" s="8" t="str">
        <f>IFERROR(INDEX('nav master'!$C:$C, MATCH(B5347, 'nav master'!$B:$B, 0)), "")</f>
        <v>ULIF08602/03/26InSctrLdrFd101</v>
      </c>
      <c r="E5347" s="8" t="s">
        <v>566</v>
      </c>
      <c r="F5347" s="8" t="s">
        <v>3399</v>
      </c>
    </row>
    <row r="5348" spans="1:6" ht="90" x14ac:dyDescent="0.25">
      <c r="A5348" s="8" t="s">
        <v>125</v>
      </c>
      <c r="B5348" s="8" t="s">
        <v>163</v>
      </c>
      <c r="C5348" s="8" t="str">
        <f>IFERROR(_xlfn.XLOOKUP(TRIM(B5348),Lookup!$B$2:$B$1000,Lookup!$C$2:$C$1000),"")</f>
        <v>Equity</v>
      </c>
      <c r="D5348" s="8" t="str">
        <f>IFERROR(INDEX('nav master'!$C:$C, MATCH(B5348, 'nav master'!$B:$B, 0)), "")</f>
        <v>ULIF08602/03/26InSctrLdrFd101</v>
      </c>
      <c r="E5348" s="8" t="s">
        <v>568</v>
      </c>
      <c r="F5348" s="8" t="s">
        <v>3400</v>
      </c>
    </row>
    <row r="5349" spans="1:6" ht="90" x14ac:dyDescent="0.25">
      <c r="A5349" s="8" t="s">
        <v>125</v>
      </c>
      <c r="B5349" s="8" t="s">
        <v>163</v>
      </c>
      <c r="C5349" s="8" t="str">
        <f>IFERROR(_xlfn.XLOOKUP(TRIM(B5349),Lookup!$B$2:$B$1000,Lookup!$C$2:$C$1000),"")</f>
        <v>Equity</v>
      </c>
      <c r="D5349" s="8" t="str">
        <f>IFERROR(INDEX('nav master'!$C:$C, MATCH(B5349, 'nav master'!$B:$B, 0)), "")</f>
        <v>ULIF08602/03/26InSctrLdrFd101</v>
      </c>
      <c r="E5349" s="8" t="s">
        <v>570</v>
      </c>
      <c r="F5349" s="8" t="s">
        <v>3401</v>
      </c>
    </row>
    <row r="5350" spans="1:6" ht="90" x14ac:dyDescent="0.25">
      <c r="A5350" s="8" t="s">
        <v>125</v>
      </c>
      <c r="B5350" s="8" t="s">
        <v>163</v>
      </c>
      <c r="C5350" s="8" t="str">
        <f>IFERROR(_xlfn.XLOOKUP(TRIM(B5350),Lookup!$B$2:$B$1000,Lookup!$C$2:$C$1000),"")</f>
        <v>Equity</v>
      </c>
      <c r="D5350" s="8" t="str">
        <f>IFERROR(INDEX('nav master'!$C:$C, MATCH(B5350, 'nav master'!$B:$B, 0)), "")</f>
        <v>ULIF08602/03/26InSctrLdrFd101</v>
      </c>
      <c r="E5350" s="8" t="s">
        <v>572</v>
      </c>
      <c r="F5350" s="8" t="s">
        <v>3402</v>
      </c>
    </row>
    <row r="5351" spans="1:6" ht="90" x14ac:dyDescent="0.25">
      <c r="A5351" s="8" t="s">
        <v>125</v>
      </c>
      <c r="B5351" s="8" t="s">
        <v>163</v>
      </c>
      <c r="C5351" s="8" t="str">
        <f>IFERROR(_xlfn.XLOOKUP(TRIM(B5351),Lookup!$B$2:$B$1000,Lookup!$C$2:$C$1000),"")</f>
        <v>Equity</v>
      </c>
      <c r="D5351" s="8" t="str">
        <f>IFERROR(INDEX('nav master'!$C:$C, MATCH(B5351, 'nav master'!$B:$B, 0)), "")</f>
        <v>ULIF08602/03/26InSctrLdrFd101</v>
      </c>
      <c r="E5351" s="8" t="s">
        <v>574</v>
      </c>
      <c r="F5351" s="8" t="s">
        <v>3403</v>
      </c>
    </row>
    <row r="5352" spans="1:6" ht="90" x14ac:dyDescent="0.25">
      <c r="A5352" s="8" t="s">
        <v>125</v>
      </c>
      <c r="B5352" s="8" t="s">
        <v>163</v>
      </c>
      <c r="C5352" s="8" t="str">
        <f>IFERROR(_xlfn.XLOOKUP(TRIM(B5352),Lookup!$B$2:$B$1000,Lookup!$C$2:$C$1000),"")</f>
        <v>Equity</v>
      </c>
      <c r="D5352" s="8" t="str">
        <f>IFERROR(INDEX('nav master'!$C:$C, MATCH(B5352, 'nav master'!$B:$B, 0)), "")</f>
        <v>ULIF08602/03/26InSctrLdrFd101</v>
      </c>
      <c r="E5352" s="8" t="s">
        <v>576</v>
      </c>
      <c r="F5352" s="8" t="s">
        <v>3404</v>
      </c>
    </row>
    <row r="5353" spans="1:6" ht="90" x14ac:dyDescent="0.25">
      <c r="A5353" s="8" t="s">
        <v>125</v>
      </c>
      <c r="B5353" s="8" t="s">
        <v>163</v>
      </c>
      <c r="C5353" s="8" t="str">
        <f>IFERROR(_xlfn.XLOOKUP(TRIM(B5353),Lookup!$B$2:$B$1000,Lookup!$C$2:$C$1000),"")</f>
        <v>Equity</v>
      </c>
      <c r="D5353" s="8" t="str">
        <f>IFERROR(INDEX('nav master'!$C:$C, MATCH(B5353, 'nav master'!$B:$B, 0)), "")</f>
        <v>ULIF08602/03/26InSctrLdrFd101</v>
      </c>
      <c r="E5353" s="8" t="s">
        <v>578</v>
      </c>
      <c r="F5353" s="8" t="s">
        <v>3405</v>
      </c>
    </row>
    <row r="5354" spans="1:6" ht="90" x14ac:dyDescent="0.25">
      <c r="A5354" s="8" t="s">
        <v>125</v>
      </c>
      <c r="B5354" s="8" t="s">
        <v>163</v>
      </c>
      <c r="C5354" s="8" t="str">
        <f>IFERROR(_xlfn.XLOOKUP(TRIM(B5354),Lookup!$B$2:$B$1000,Lookup!$C$2:$C$1000),"")</f>
        <v>Equity</v>
      </c>
      <c r="D5354" s="8" t="str">
        <f>IFERROR(INDEX('nav master'!$C:$C, MATCH(B5354, 'nav master'!$B:$B, 0)), "")</f>
        <v>ULIF08602/03/26InSctrLdrFd101</v>
      </c>
      <c r="E5354" s="8" t="s">
        <v>580</v>
      </c>
      <c r="F5354" s="8" t="s">
        <v>3406</v>
      </c>
    </row>
    <row r="5355" spans="1:6" ht="90" x14ac:dyDescent="0.25">
      <c r="A5355" s="8" t="s">
        <v>125</v>
      </c>
      <c r="B5355" s="8" t="s">
        <v>163</v>
      </c>
      <c r="C5355" s="8" t="str">
        <f>IFERROR(_xlfn.XLOOKUP(TRIM(B5355),Lookup!$B$2:$B$1000,Lookup!$C$2:$C$1000),"")</f>
        <v>Equity</v>
      </c>
      <c r="D5355" s="8" t="str">
        <f>IFERROR(INDEX('nav master'!$C:$C, MATCH(B5355, 'nav master'!$B:$B, 0)), "")</f>
        <v>ULIF08602/03/26InSctrLdrFd101</v>
      </c>
      <c r="E5355" s="8" t="s">
        <v>582</v>
      </c>
      <c r="F5355" s="8" t="s">
        <v>3407</v>
      </c>
    </row>
    <row r="5356" spans="1:6" ht="90" x14ac:dyDescent="0.25">
      <c r="A5356" s="8" t="s">
        <v>125</v>
      </c>
      <c r="B5356" s="8" t="s">
        <v>163</v>
      </c>
      <c r="C5356" s="8" t="str">
        <f>IFERROR(_xlfn.XLOOKUP(TRIM(B5356),Lookup!$B$2:$B$1000,Lookup!$C$2:$C$1000),"")</f>
        <v>Equity</v>
      </c>
      <c r="D5356" s="8" t="str">
        <f>IFERROR(INDEX('nav master'!$C:$C, MATCH(B5356, 'nav master'!$B:$B, 0)), "")</f>
        <v>ULIF08602/03/26InSctrLdrFd101</v>
      </c>
      <c r="E5356" s="8" t="s">
        <v>584</v>
      </c>
      <c r="F5356" s="8" t="s">
        <v>3408</v>
      </c>
    </row>
    <row r="5357" spans="1:6" ht="90" x14ac:dyDescent="0.25">
      <c r="A5357" s="8" t="s">
        <v>125</v>
      </c>
      <c r="B5357" s="8" t="s">
        <v>163</v>
      </c>
      <c r="C5357" s="8" t="str">
        <f>IFERROR(_xlfn.XLOOKUP(TRIM(B5357),Lookup!$B$2:$B$1000,Lookup!$C$2:$C$1000),"")</f>
        <v>Equity</v>
      </c>
      <c r="D5357" s="8" t="str">
        <f>IFERROR(INDEX('nav master'!$C:$C, MATCH(B5357, 'nav master'!$B:$B, 0)), "")</f>
        <v>ULIF08602/03/26InSctrLdrFd101</v>
      </c>
      <c r="E5357" s="8" t="s">
        <v>586</v>
      </c>
      <c r="F5357" s="8" t="s">
        <v>3409</v>
      </c>
    </row>
    <row r="5358" spans="1:6" ht="90" x14ac:dyDescent="0.25">
      <c r="A5358" s="8" t="s">
        <v>125</v>
      </c>
      <c r="B5358" s="8" t="s">
        <v>163</v>
      </c>
      <c r="C5358" s="8" t="str">
        <f>IFERROR(_xlfn.XLOOKUP(TRIM(B5358),Lookup!$B$2:$B$1000,Lookup!$C$2:$C$1000),"")</f>
        <v>Equity</v>
      </c>
      <c r="D5358" s="8" t="str">
        <f>IFERROR(INDEX('nav master'!$C:$C, MATCH(B5358, 'nav master'!$B:$B, 0)), "")</f>
        <v>ULIF08602/03/26InSctrLdrFd101</v>
      </c>
      <c r="E5358" s="8" t="s">
        <v>588</v>
      </c>
      <c r="F5358" s="8" t="s">
        <v>3410</v>
      </c>
    </row>
    <row r="5359" spans="1:6" ht="90" x14ac:dyDescent="0.25">
      <c r="A5359" s="8" t="s">
        <v>125</v>
      </c>
      <c r="B5359" s="8" t="s">
        <v>163</v>
      </c>
      <c r="C5359" s="8" t="str">
        <f>IFERROR(_xlfn.XLOOKUP(TRIM(B5359),Lookup!$B$2:$B$1000,Lookup!$C$2:$C$1000),"")</f>
        <v>Equity</v>
      </c>
      <c r="D5359" s="8" t="str">
        <f>IFERROR(INDEX('nav master'!$C:$C, MATCH(B5359, 'nav master'!$B:$B, 0)), "")</f>
        <v>ULIF08602/03/26InSctrLdrFd101</v>
      </c>
      <c r="E5359" s="8" t="s">
        <v>590</v>
      </c>
      <c r="F5359" s="8" t="s">
        <v>3411</v>
      </c>
    </row>
    <row r="5360" spans="1:6" ht="90" x14ac:dyDescent="0.25">
      <c r="A5360" s="8" t="s">
        <v>125</v>
      </c>
      <c r="B5360" s="8" t="s">
        <v>163</v>
      </c>
      <c r="C5360" s="8" t="str">
        <f>IFERROR(_xlfn.XLOOKUP(TRIM(B5360),Lookup!$B$2:$B$1000,Lookup!$C$2:$C$1000),"")</f>
        <v>Equity</v>
      </c>
      <c r="D5360" s="8" t="str">
        <f>IFERROR(INDEX('nav master'!$C:$C, MATCH(B5360, 'nav master'!$B:$B, 0)), "")</f>
        <v>ULIF08602/03/26InSctrLdrFd101</v>
      </c>
      <c r="E5360" s="8" t="s">
        <v>592</v>
      </c>
      <c r="F5360" s="8" t="s">
        <v>3412</v>
      </c>
    </row>
    <row r="5361" spans="1:6" ht="90" x14ac:dyDescent="0.25">
      <c r="A5361" s="8" t="s">
        <v>125</v>
      </c>
      <c r="B5361" s="8" t="s">
        <v>163</v>
      </c>
      <c r="C5361" s="8" t="str">
        <f>IFERROR(_xlfn.XLOOKUP(TRIM(B5361),Lookup!$B$2:$B$1000,Lookup!$C$2:$C$1000),"")</f>
        <v>Equity</v>
      </c>
      <c r="D5361" s="8" t="str">
        <f>IFERROR(INDEX('nav master'!$C:$C, MATCH(B5361, 'nav master'!$B:$B, 0)), "")</f>
        <v>ULIF08602/03/26InSctrLdrFd101</v>
      </c>
      <c r="E5361" s="8" t="s">
        <v>594</v>
      </c>
      <c r="F5361" s="8" t="s">
        <v>3413</v>
      </c>
    </row>
    <row r="5362" spans="1:6" ht="90" x14ac:dyDescent="0.25">
      <c r="A5362" s="8" t="s">
        <v>125</v>
      </c>
      <c r="B5362" s="8" t="s">
        <v>163</v>
      </c>
      <c r="C5362" s="8" t="str">
        <f>IFERROR(_xlfn.XLOOKUP(TRIM(B5362),Lookup!$B$2:$B$1000,Lookup!$C$2:$C$1000),"")</f>
        <v>Equity</v>
      </c>
      <c r="D5362" s="8" t="str">
        <f>IFERROR(INDEX('nav master'!$C:$C, MATCH(B5362, 'nav master'!$B:$B, 0)), "")</f>
        <v>ULIF08602/03/26InSctrLdrFd101</v>
      </c>
      <c r="E5362" s="8" t="s">
        <v>596</v>
      </c>
      <c r="F5362" s="8" t="s">
        <v>3414</v>
      </c>
    </row>
    <row r="5363" spans="1:6" ht="90" x14ac:dyDescent="0.25">
      <c r="A5363" s="8" t="s">
        <v>125</v>
      </c>
      <c r="B5363" s="8" t="s">
        <v>163</v>
      </c>
      <c r="C5363" s="8" t="str">
        <f>IFERROR(_xlfn.XLOOKUP(TRIM(B5363),Lookup!$B$2:$B$1000,Lookup!$C$2:$C$1000),"")</f>
        <v>Equity</v>
      </c>
      <c r="D5363" s="8" t="str">
        <f>IFERROR(INDEX('nav master'!$C:$C, MATCH(B5363, 'nav master'!$B:$B, 0)), "")</f>
        <v>ULIF08602/03/26InSctrLdrFd101</v>
      </c>
      <c r="E5363" s="8" t="s">
        <v>598</v>
      </c>
      <c r="F5363" s="8" t="s">
        <v>3415</v>
      </c>
    </row>
    <row r="5364" spans="1:6" ht="90" x14ac:dyDescent="0.25">
      <c r="A5364" s="8" t="s">
        <v>125</v>
      </c>
      <c r="B5364" s="8" t="s">
        <v>163</v>
      </c>
      <c r="C5364" s="8" t="str">
        <f>IFERROR(_xlfn.XLOOKUP(TRIM(B5364),Lookup!$B$2:$B$1000,Lookup!$C$2:$C$1000),"")</f>
        <v>Equity</v>
      </c>
      <c r="D5364" s="8" t="str">
        <f>IFERROR(INDEX('nav master'!$C:$C, MATCH(B5364, 'nav master'!$B:$B, 0)), "")</f>
        <v>ULIF08602/03/26InSctrLdrFd101</v>
      </c>
      <c r="E5364" s="8" t="s">
        <v>600</v>
      </c>
      <c r="F5364" s="8" t="s">
        <v>3416</v>
      </c>
    </row>
    <row r="5365" spans="1:6" ht="90" x14ac:dyDescent="0.25">
      <c r="A5365" s="8" t="s">
        <v>125</v>
      </c>
      <c r="B5365" s="8" t="s">
        <v>163</v>
      </c>
      <c r="C5365" s="8" t="str">
        <f>IFERROR(_xlfn.XLOOKUP(TRIM(B5365),Lookup!$B$2:$B$1000,Lookup!$C$2:$C$1000),"")</f>
        <v>Equity</v>
      </c>
      <c r="D5365" s="8" t="str">
        <f>IFERROR(INDEX('nav master'!$C:$C, MATCH(B5365, 'nav master'!$B:$B, 0)), "")</f>
        <v>ULIF08602/03/26InSctrLdrFd101</v>
      </c>
      <c r="E5365" s="8" t="s">
        <v>602</v>
      </c>
      <c r="F5365" s="8" t="s">
        <v>3417</v>
      </c>
    </row>
    <row r="5366" spans="1:6" ht="90" x14ac:dyDescent="0.25">
      <c r="A5366" s="8" t="s">
        <v>125</v>
      </c>
      <c r="B5366" s="8" t="s">
        <v>163</v>
      </c>
      <c r="C5366" s="8" t="str">
        <f>IFERROR(_xlfn.XLOOKUP(TRIM(B5366),Lookup!$B$2:$B$1000,Lookup!$C$2:$C$1000),"")</f>
        <v>Equity</v>
      </c>
      <c r="D5366" s="8" t="str">
        <f>IFERROR(INDEX('nav master'!$C:$C, MATCH(B5366, 'nav master'!$B:$B, 0)), "")</f>
        <v>ULIF08602/03/26InSctrLdrFd101</v>
      </c>
      <c r="E5366" s="8" t="s">
        <v>604</v>
      </c>
      <c r="F5366" s="8" t="s">
        <v>3418</v>
      </c>
    </row>
    <row r="5367" spans="1:6" ht="90" x14ac:dyDescent="0.25">
      <c r="A5367" s="8" t="s">
        <v>125</v>
      </c>
      <c r="B5367" s="8" t="s">
        <v>163</v>
      </c>
      <c r="C5367" s="8" t="str">
        <f>IFERROR(_xlfn.XLOOKUP(TRIM(B5367),Lookup!$B$2:$B$1000,Lookup!$C$2:$C$1000),"")</f>
        <v>Equity</v>
      </c>
      <c r="D5367" s="8" t="str">
        <f>IFERROR(INDEX('nav master'!$C:$C, MATCH(B5367, 'nav master'!$B:$B, 0)), "")</f>
        <v>ULIF08602/03/26InSctrLdrFd101</v>
      </c>
      <c r="E5367" s="8" t="s">
        <v>606</v>
      </c>
      <c r="F5367" s="8" t="s">
        <v>3419</v>
      </c>
    </row>
    <row r="5368" spans="1:6" ht="90" x14ac:dyDescent="0.25">
      <c r="A5368" s="8" t="s">
        <v>125</v>
      </c>
      <c r="B5368" s="8" t="s">
        <v>163</v>
      </c>
      <c r="C5368" s="8" t="str">
        <f>IFERROR(_xlfn.XLOOKUP(TRIM(B5368),Lookup!$B$2:$B$1000,Lookup!$C$2:$C$1000),"")</f>
        <v>Equity</v>
      </c>
      <c r="D5368" s="8" t="str">
        <f>IFERROR(INDEX('nav master'!$C:$C, MATCH(B5368, 'nav master'!$B:$B, 0)), "")</f>
        <v>ULIF08602/03/26InSctrLdrFd101</v>
      </c>
      <c r="E5368" s="8" t="s">
        <v>608</v>
      </c>
      <c r="F5368" s="8" t="s">
        <v>3420</v>
      </c>
    </row>
    <row r="5369" spans="1:6" ht="90" x14ac:dyDescent="0.25">
      <c r="A5369" s="8" t="s">
        <v>125</v>
      </c>
      <c r="B5369" s="8" t="s">
        <v>163</v>
      </c>
      <c r="C5369" s="8" t="str">
        <f>IFERROR(_xlfn.XLOOKUP(TRIM(B5369),Lookup!$B$2:$B$1000,Lookup!$C$2:$C$1000),"")</f>
        <v>Equity</v>
      </c>
      <c r="D5369" s="8" t="str">
        <f>IFERROR(INDEX('nav master'!$C:$C, MATCH(B5369, 'nav master'!$B:$B, 0)), "")</f>
        <v>ULIF08602/03/26InSctrLdrFd101</v>
      </c>
      <c r="E5369" s="8" t="s">
        <v>610</v>
      </c>
      <c r="F5369" s="8" t="s">
        <v>3421</v>
      </c>
    </row>
    <row r="5370" spans="1:6" ht="90" x14ac:dyDescent="0.25">
      <c r="A5370" s="8" t="s">
        <v>125</v>
      </c>
      <c r="B5370" s="8" t="s">
        <v>163</v>
      </c>
      <c r="C5370" s="8" t="str">
        <f>IFERROR(_xlfn.XLOOKUP(TRIM(B5370),Lookup!$B$2:$B$1000,Lookup!$C$2:$C$1000),"")</f>
        <v>Equity</v>
      </c>
      <c r="D5370" s="8" t="str">
        <f>IFERROR(INDEX('nav master'!$C:$C, MATCH(B5370, 'nav master'!$B:$B, 0)), "")</f>
        <v>ULIF08602/03/26InSctrLdrFd101</v>
      </c>
      <c r="E5370" s="8" t="s">
        <v>612</v>
      </c>
      <c r="F5370" s="8" t="s">
        <v>3422</v>
      </c>
    </row>
    <row r="5371" spans="1:6" ht="90" x14ac:dyDescent="0.25">
      <c r="A5371" s="8" t="s">
        <v>125</v>
      </c>
      <c r="B5371" s="8" t="s">
        <v>163</v>
      </c>
      <c r="C5371" s="8" t="str">
        <f>IFERROR(_xlfn.XLOOKUP(TRIM(B5371),Lookup!$B$2:$B$1000,Lookup!$C$2:$C$1000),"")</f>
        <v>Equity</v>
      </c>
      <c r="D5371" s="8" t="str">
        <f>IFERROR(INDEX('nav master'!$C:$C, MATCH(B5371, 'nav master'!$B:$B, 0)), "")</f>
        <v>ULIF08602/03/26InSctrLdrFd101</v>
      </c>
      <c r="E5371" s="8" t="s">
        <v>614</v>
      </c>
      <c r="F5371" s="8" t="s">
        <v>3423</v>
      </c>
    </row>
    <row r="5372" spans="1:6" ht="90" x14ac:dyDescent="0.25">
      <c r="A5372" s="8" t="s">
        <v>125</v>
      </c>
      <c r="B5372" s="8" t="s">
        <v>163</v>
      </c>
      <c r="C5372" s="8" t="str">
        <f>IFERROR(_xlfn.XLOOKUP(TRIM(B5372),Lookup!$B$2:$B$1000,Lookup!$C$2:$C$1000),"")</f>
        <v>Equity</v>
      </c>
      <c r="D5372" s="8" t="str">
        <f>IFERROR(INDEX('nav master'!$C:$C, MATCH(B5372, 'nav master'!$B:$B, 0)), "")</f>
        <v>ULIF08602/03/26InSctrLdrFd101</v>
      </c>
      <c r="E5372" s="8" t="s">
        <v>616</v>
      </c>
      <c r="F5372" s="8" t="s">
        <v>3424</v>
      </c>
    </row>
    <row r="5373" spans="1:6" ht="90" x14ac:dyDescent="0.25">
      <c r="A5373" s="8" t="s">
        <v>125</v>
      </c>
      <c r="B5373" s="8" t="s">
        <v>163</v>
      </c>
      <c r="C5373" s="8" t="str">
        <f>IFERROR(_xlfn.XLOOKUP(TRIM(B5373),Lookup!$B$2:$B$1000,Lookup!$C$2:$C$1000),"")</f>
        <v>Equity</v>
      </c>
      <c r="D5373" s="8" t="str">
        <f>IFERROR(INDEX('nav master'!$C:$C, MATCH(B5373, 'nav master'!$B:$B, 0)), "")</f>
        <v>ULIF08602/03/26InSctrLdrFd101</v>
      </c>
      <c r="E5373" s="8" t="s">
        <v>618</v>
      </c>
      <c r="F5373" s="8" t="s">
        <v>3425</v>
      </c>
    </row>
    <row r="5374" spans="1:6" ht="90" x14ac:dyDescent="0.25">
      <c r="A5374" s="8" t="s">
        <v>125</v>
      </c>
      <c r="B5374" s="8" t="s">
        <v>163</v>
      </c>
      <c r="C5374" s="8" t="str">
        <f>IFERROR(_xlfn.XLOOKUP(TRIM(B5374),Lookup!$B$2:$B$1000,Lookup!$C$2:$C$1000),"")</f>
        <v>Equity</v>
      </c>
      <c r="D5374" s="8" t="str">
        <f>IFERROR(INDEX('nav master'!$C:$C, MATCH(B5374, 'nav master'!$B:$B, 0)), "")</f>
        <v>ULIF08602/03/26InSctrLdrFd101</v>
      </c>
      <c r="E5374" s="8" t="s">
        <v>620</v>
      </c>
      <c r="F5374" s="8" t="s">
        <v>3426</v>
      </c>
    </row>
    <row r="5375" spans="1:6" ht="90" x14ac:dyDescent="0.25">
      <c r="A5375" s="8" t="s">
        <v>125</v>
      </c>
      <c r="B5375" s="8" t="s">
        <v>163</v>
      </c>
      <c r="C5375" s="8" t="str">
        <f>IFERROR(_xlfn.XLOOKUP(TRIM(B5375),Lookup!$B$2:$B$1000,Lookup!$C$2:$C$1000),"")</f>
        <v>Equity</v>
      </c>
      <c r="D5375" s="8" t="str">
        <f>IFERROR(INDEX('nav master'!$C:$C, MATCH(B5375, 'nav master'!$B:$B, 0)), "")</f>
        <v>ULIF08602/03/26InSctrLdrFd101</v>
      </c>
      <c r="E5375" s="8" t="s">
        <v>622</v>
      </c>
      <c r="F5375" s="8" t="s">
        <v>3427</v>
      </c>
    </row>
    <row r="5376" spans="1:6" ht="90" x14ac:dyDescent="0.25">
      <c r="A5376" s="8" t="s">
        <v>125</v>
      </c>
      <c r="B5376" s="8" t="s">
        <v>163</v>
      </c>
      <c r="C5376" s="8" t="str">
        <f>IFERROR(_xlfn.XLOOKUP(TRIM(B5376),Lookup!$B$2:$B$1000,Lookup!$C$2:$C$1000),"")</f>
        <v>Equity</v>
      </c>
      <c r="D5376" s="8" t="str">
        <f>IFERROR(INDEX('nav master'!$C:$C, MATCH(B5376, 'nav master'!$B:$B, 0)), "")</f>
        <v>ULIF08602/03/26InSctrLdrFd101</v>
      </c>
      <c r="E5376" s="8" t="s">
        <v>624</v>
      </c>
      <c r="F5376" s="8" t="s">
        <v>3428</v>
      </c>
    </row>
    <row r="5377" spans="1:6" ht="90" x14ac:dyDescent="0.25">
      <c r="A5377" s="8" t="s">
        <v>125</v>
      </c>
      <c r="B5377" s="8" t="s">
        <v>163</v>
      </c>
      <c r="C5377" s="8" t="str">
        <f>IFERROR(_xlfn.XLOOKUP(TRIM(B5377),Lookup!$B$2:$B$1000,Lookup!$C$2:$C$1000),"")</f>
        <v>Equity</v>
      </c>
      <c r="D5377" s="8" t="str">
        <f>IFERROR(INDEX('nav master'!$C:$C, MATCH(B5377, 'nav master'!$B:$B, 0)), "")</f>
        <v>ULIF08602/03/26InSctrLdrFd101</v>
      </c>
      <c r="E5377" s="8" t="s">
        <v>626</v>
      </c>
      <c r="F5377" s="8" t="s">
        <v>3429</v>
      </c>
    </row>
    <row r="5378" spans="1:6" ht="90" x14ac:dyDescent="0.25">
      <c r="A5378" s="8" t="s">
        <v>125</v>
      </c>
      <c r="B5378" s="8" t="s">
        <v>163</v>
      </c>
      <c r="C5378" s="8" t="str">
        <f>IFERROR(_xlfn.XLOOKUP(TRIM(B5378),Lookup!$B$2:$B$1000,Lookup!$C$2:$C$1000),"")</f>
        <v>Equity</v>
      </c>
      <c r="D5378" s="8" t="str">
        <f>IFERROR(INDEX('nav master'!$C:$C, MATCH(B5378, 'nav master'!$B:$B, 0)), "")</f>
        <v>ULIF08602/03/26InSctrLdrFd101</v>
      </c>
      <c r="E5378" s="8" t="s">
        <v>628</v>
      </c>
      <c r="F5378" s="8" t="s">
        <v>3430</v>
      </c>
    </row>
    <row r="5379" spans="1:6" ht="90" x14ac:dyDescent="0.25">
      <c r="A5379" s="8" t="s">
        <v>125</v>
      </c>
      <c r="B5379" s="8" t="s">
        <v>163</v>
      </c>
      <c r="C5379" s="8" t="str">
        <f>IFERROR(_xlfn.XLOOKUP(TRIM(B5379),Lookup!$B$2:$B$1000,Lookup!$C$2:$C$1000),"")</f>
        <v>Equity</v>
      </c>
      <c r="D5379" s="8" t="str">
        <f>IFERROR(INDEX('nav master'!$C:$C, MATCH(B5379, 'nav master'!$B:$B, 0)), "")</f>
        <v>ULIF08602/03/26InSctrLdrFd101</v>
      </c>
      <c r="E5379" s="8" t="s">
        <v>630</v>
      </c>
      <c r="F5379" s="8" t="s">
        <v>3431</v>
      </c>
    </row>
    <row r="5380" spans="1:6" ht="90" x14ac:dyDescent="0.25">
      <c r="A5380" s="8" t="s">
        <v>125</v>
      </c>
      <c r="B5380" s="8" t="s">
        <v>163</v>
      </c>
      <c r="C5380" s="8" t="str">
        <f>IFERROR(_xlfn.XLOOKUP(TRIM(B5380),Lookup!$B$2:$B$1000,Lookup!$C$2:$C$1000),"")</f>
        <v>Equity</v>
      </c>
      <c r="D5380" s="8" t="str">
        <f>IFERROR(INDEX('nav master'!$C:$C, MATCH(B5380, 'nav master'!$B:$B, 0)), "")</f>
        <v>ULIF08602/03/26InSctrLdrFd101</v>
      </c>
      <c r="E5380" s="8" t="s">
        <v>632</v>
      </c>
      <c r="F5380" s="8" t="s">
        <v>3432</v>
      </c>
    </row>
    <row r="5381" spans="1:6" ht="90" x14ac:dyDescent="0.25">
      <c r="A5381" s="8" t="s">
        <v>125</v>
      </c>
      <c r="B5381" s="8" t="s">
        <v>163</v>
      </c>
      <c r="C5381" s="8" t="str">
        <f>IFERROR(_xlfn.XLOOKUP(TRIM(B5381),Lookup!$B$2:$B$1000,Lookup!$C$2:$C$1000),"")</f>
        <v>Equity</v>
      </c>
      <c r="D5381" s="8" t="str">
        <f>IFERROR(INDEX('nav master'!$C:$C, MATCH(B5381, 'nav master'!$B:$B, 0)), "")</f>
        <v>ULIF08602/03/26InSctrLdrFd101</v>
      </c>
      <c r="E5381" s="8" t="s">
        <v>634</v>
      </c>
      <c r="F5381" s="8" t="s">
        <v>3433</v>
      </c>
    </row>
    <row r="5382" spans="1:6" ht="90" x14ac:dyDescent="0.25">
      <c r="A5382" s="8" t="s">
        <v>125</v>
      </c>
      <c r="B5382" s="8" t="s">
        <v>163</v>
      </c>
      <c r="C5382" s="8" t="str">
        <f>IFERROR(_xlfn.XLOOKUP(TRIM(B5382),Lookup!$B$2:$B$1000,Lookup!$C$2:$C$1000),"")</f>
        <v>Equity</v>
      </c>
      <c r="D5382" s="8" t="str">
        <f>IFERROR(INDEX('nav master'!$C:$C, MATCH(B5382, 'nav master'!$B:$B, 0)), "")</f>
        <v>ULIF08602/03/26InSctrLdrFd101</v>
      </c>
      <c r="E5382" s="8" t="s">
        <v>636</v>
      </c>
      <c r="F5382" s="8" t="s">
        <v>3434</v>
      </c>
    </row>
    <row r="5383" spans="1:6" ht="90" x14ac:dyDescent="0.25">
      <c r="A5383" s="8" t="s">
        <v>125</v>
      </c>
      <c r="B5383" s="8" t="s">
        <v>163</v>
      </c>
      <c r="C5383" s="8" t="str">
        <f>IFERROR(_xlfn.XLOOKUP(TRIM(B5383),Lookup!$B$2:$B$1000,Lookup!$C$2:$C$1000),"")</f>
        <v>Equity</v>
      </c>
      <c r="D5383" s="8" t="str">
        <f>IFERROR(INDEX('nav master'!$C:$C, MATCH(B5383, 'nav master'!$B:$B, 0)), "")</f>
        <v>ULIF08602/03/26InSctrLdrFd101</v>
      </c>
      <c r="E5383" s="8" t="s">
        <v>638</v>
      </c>
      <c r="F5383" s="8" t="s">
        <v>3435</v>
      </c>
    </row>
    <row r="5384" spans="1:6" ht="90" x14ac:dyDescent="0.25">
      <c r="A5384" s="8" t="s">
        <v>125</v>
      </c>
      <c r="B5384" s="8" t="s">
        <v>163</v>
      </c>
      <c r="C5384" s="8" t="str">
        <f>IFERROR(_xlfn.XLOOKUP(TRIM(B5384),Lookup!$B$2:$B$1000,Lookup!$C$2:$C$1000),"")</f>
        <v>Equity</v>
      </c>
      <c r="D5384" s="8" t="str">
        <f>IFERROR(INDEX('nav master'!$C:$C, MATCH(B5384, 'nav master'!$B:$B, 0)), "")</f>
        <v>ULIF08602/03/26InSctrLdrFd101</v>
      </c>
      <c r="E5384" s="8" t="s">
        <v>640</v>
      </c>
      <c r="F5384" s="8" t="s">
        <v>3436</v>
      </c>
    </row>
    <row r="5385" spans="1:6" ht="90" x14ac:dyDescent="0.25">
      <c r="A5385" s="8" t="s">
        <v>125</v>
      </c>
      <c r="B5385" s="8" t="s">
        <v>163</v>
      </c>
      <c r="C5385" s="8" t="str">
        <f>IFERROR(_xlfn.XLOOKUP(TRIM(B5385),Lookup!$B$2:$B$1000,Lookup!$C$2:$C$1000),"")</f>
        <v>Equity</v>
      </c>
      <c r="D5385" s="8" t="str">
        <f>IFERROR(INDEX('nav master'!$C:$C, MATCH(B5385, 'nav master'!$B:$B, 0)), "")</f>
        <v>ULIF08602/03/26InSctrLdrFd101</v>
      </c>
      <c r="E5385" s="8" t="s">
        <v>642</v>
      </c>
      <c r="F5385" s="8" t="s">
        <v>3437</v>
      </c>
    </row>
    <row r="5386" spans="1:6" ht="90" x14ac:dyDescent="0.25">
      <c r="A5386" s="8" t="s">
        <v>125</v>
      </c>
      <c r="B5386" s="8" t="s">
        <v>163</v>
      </c>
      <c r="C5386" s="8" t="str">
        <f>IFERROR(_xlfn.XLOOKUP(TRIM(B5386),Lookup!$B$2:$B$1000,Lookup!$C$2:$C$1000),"")</f>
        <v>Equity</v>
      </c>
      <c r="D5386" s="8" t="str">
        <f>IFERROR(INDEX('nav master'!$C:$C, MATCH(B5386, 'nav master'!$B:$B, 0)), "")</f>
        <v>ULIF08602/03/26InSctrLdrFd101</v>
      </c>
      <c r="E5386" s="8" t="s">
        <v>644</v>
      </c>
      <c r="F5386" s="8" t="s">
        <v>3438</v>
      </c>
    </row>
    <row r="5387" spans="1:6" ht="90" x14ac:dyDescent="0.25">
      <c r="A5387" s="8" t="s">
        <v>125</v>
      </c>
      <c r="B5387" s="8" t="s">
        <v>163</v>
      </c>
      <c r="C5387" s="8" t="str">
        <f>IFERROR(_xlfn.XLOOKUP(TRIM(B5387),Lookup!$B$2:$B$1000,Lookup!$C$2:$C$1000),"")</f>
        <v>Equity</v>
      </c>
      <c r="D5387" s="8" t="str">
        <f>IFERROR(INDEX('nav master'!$C:$C, MATCH(B5387, 'nav master'!$B:$B, 0)), "")</f>
        <v>ULIF08602/03/26InSctrLdrFd101</v>
      </c>
      <c r="E5387" s="8" t="s">
        <v>646</v>
      </c>
      <c r="F5387" s="8" t="s">
        <v>3439</v>
      </c>
    </row>
    <row r="5388" spans="1:6" ht="90" x14ac:dyDescent="0.25">
      <c r="A5388" s="8" t="s">
        <v>125</v>
      </c>
      <c r="B5388" s="8" t="s">
        <v>163</v>
      </c>
      <c r="C5388" s="8" t="str">
        <f>IFERROR(_xlfn.XLOOKUP(TRIM(B5388),Lookup!$B$2:$B$1000,Lookup!$C$2:$C$1000),"")</f>
        <v>Equity</v>
      </c>
      <c r="D5388" s="8" t="str">
        <f>IFERROR(INDEX('nav master'!$C:$C, MATCH(B5388, 'nav master'!$B:$B, 0)), "")</f>
        <v>ULIF08602/03/26InSctrLdrFd101</v>
      </c>
      <c r="E5388" s="8" t="s">
        <v>648</v>
      </c>
      <c r="F5388" s="8" t="s">
        <v>3440</v>
      </c>
    </row>
    <row r="5389" spans="1:6" ht="90" x14ac:dyDescent="0.25">
      <c r="A5389" s="8" t="s">
        <v>125</v>
      </c>
      <c r="B5389" s="8" t="s">
        <v>163</v>
      </c>
      <c r="C5389" s="8" t="str">
        <f>IFERROR(_xlfn.XLOOKUP(TRIM(B5389),Lookup!$B$2:$B$1000,Lookup!$C$2:$C$1000),"")</f>
        <v>Equity</v>
      </c>
      <c r="D5389" s="8" t="str">
        <f>IFERROR(INDEX('nav master'!$C:$C, MATCH(B5389, 'nav master'!$B:$B, 0)), "")</f>
        <v>ULIF08602/03/26InSctrLdrFd101</v>
      </c>
      <c r="E5389" s="8" t="s">
        <v>650</v>
      </c>
      <c r="F5389" s="8" t="s">
        <v>3441</v>
      </c>
    </row>
    <row r="5390" spans="1:6" ht="90" x14ac:dyDescent="0.25">
      <c r="A5390" s="8" t="s">
        <v>125</v>
      </c>
      <c r="B5390" s="8" t="s">
        <v>163</v>
      </c>
      <c r="C5390" s="8" t="str">
        <f>IFERROR(_xlfn.XLOOKUP(TRIM(B5390),Lookup!$B$2:$B$1000,Lookup!$C$2:$C$1000),"")</f>
        <v>Equity</v>
      </c>
      <c r="D5390" s="8" t="str">
        <f>IFERROR(INDEX('nav master'!$C:$C, MATCH(B5390, 'nav master'!$B:$B, 0)), "")</f>
        <v>ULIF08602/03/26InSctrLdrFd101</v>
      </c>
      <c r="E5390" s="8" t="s">
        <v>652</v>
      </c>
      <c r="F5390" s="8" t="s">
        <v>3442</v>
      </c>
    </row>
    <row r="5391" spans="1:6" ht="90" x14ac:dyDescent="0.25">
      <c r="A5391" s="8" t="s">
        <v>125</v>
      </c>
      <c r="B5391" s="8" t="s">
        <v>163</v>
      </c>
      <c r="C5391" s="8" t="str">
        <f>IFERROR(_xlfn.XLOOKUP(TRIM(B5391),Lookup!$B$2:$B$1000,Lookup!$C$2:$C$1000),"")</f>
        <v>Equity</v>
      </c>
      <c r="D5391" s="8" t="str">
        <f>IFERROR(INDEX('nav master'!$C:$C, MATCH(B5391, 'nav master'!$B:$B, 0)), "")</f>
        <v>ULIF08602/03/26InSctrLdrFd101</v>
      </c>
      <c r="E5391" s="8" t="s">
        <v>654</v>
      </c>
      <c r="F5391" s="8" t="s">
        <v>3443</v>
      </c>
    </row>
    <row r="5392" spans="1:6" ht="90" x14ac:dyDescent="0.25">
      <c r="A5392" s="8" t="s">
        <v>125</v>
      </c>
      <c r="B5392" s="8" t="s">
        <v>163</v>
      </c>
      <c r="C5392" s="8" t="str">
        <f>IFERROR(_xlfn.XLOOKUP(TRIM(B5392),Lookup!$B$2:$B$1000,Lookup!$C$2:$C$1000),"")</f>
        <v>Equity</v>
      </c>
      <c r="D5392" s="8" t="str">
        <f>IFERROR(INDEX('nav master'!$C:$C, MATCH(B5392, 'nav master'!$B:$B, 0)), "")</f>
        <v>ULIF08602/03/26InSctrLdrFd101</v>
      </c>
      <c r="E5392" s="8" t="s">
        <v>656</v>
      </c>
      <c r="F5392" s="8" t="s">
        <v>3444</v>
      </c>
    </row>
    <row r="5393" spans="1:6" ht="90" x14ac:dyDescent="0.25">
      <c r="A5393" s="8" t="s">
        <v>125</v>
      </c>
      <c r="B5393" s="8" t="s">
        <v>163</v>
      </c>
      <c r="C5393" s="8" t="str">
        <f>IFERROR(_xlfn.XLOOKUP(TRIM(B5393),Lookup!$B$2:$B$1000,Lookup!$C$2:$C$1000),"")</f>
        <v>Equity</v>
      </c>
      <c r="D5393" s="8" t="str">
        <f>IFERROR(INDEX('nav master'!$C:$C, MATCH(B5393, 'nav master'!$B:$B, 0)), "")</f>
        <v>ULIF08602/03/26InSctrLdrFd101</v>
      </c>
      <c r="E5393" s="8" t="s">
        <v>658</v>
      </c>
      <c r="F5393" s="8" t="s">
        <v>3445</v>
      </c>
    </row>
    <row r="5394" spans="1:6" ht="90" x14ac:dyDescent="0.25">
      <c r="A5394" s="8" t="s">
        <v>125</v>
      </c>
      <c r="B5394" s="8" t="s">
        <v>163</v>
      </c>
      <c r="C5394" s="8" t="str">
        <f>IFERROR(_xlfn.XLOOKUP(TRIM(B5394),Lookup!$B$2:$B$1000,Lookup!$C$2:$C$1000),"")</f>
        <v>Equity</v>
      </c>
      <c r="D5394" s="8" t="str">
        <f>IFERROR(INDEX('nav master'!$C:$C, MATCH(B5394, 'nav master'!$B:$B, 0)), "")</f>
        <v>ULIF08602/03/26InSctrLdrFd101</v>
      </c>
      <c r="E5394" s="8" t="s">
        <v>660</v>
      </c>
      <c r="F5394" s="8" t="s">
        <v>3446</v>
      </c>
    </row>
    <row r="5395" spans="1:6" ht="90" x14ac:dyDescent="0.25">
      <c r="A5395" s="8" t="s">
        <v>125</v>
      </c>
      <c r="B5395" s="8" t="s">
        <v>163</v>
      </c>
      <c r="C5395" s="8" t="str">
        <f>IFERROR(_xlfn.XLOOKUP(TRIM(B5395),Lookup!$B$2:$B$1000,Lookup!$C$2:$C$1000),"")</f>
        <v>Equity</v>
      </c>
      <c r="D5395" s="8" t="str">
        <f>IFERROR(INDEX('nav master'!$C:$C, MATCH(B5395, 'nav master'!$B:$B, 0)), "")</f>
        <v>ULIF08602/03/26InSctrLdrFd101</v>
      </c>
      <c r="E5395" s="8" t="s">
        <v>662</v>
      </c>
      <c r="F5395" s="8" t="s">
        <v>3447</v>
      </c>
    </row>
    <row r="5396" spans="1:6" ht="90" x14ac:dyDescent="0.25">
      <c r="A5396" s="8" t="s">
        <v>125</v>
      </c>
      <c r="B5396" s="8" t="s">
        <v>163</v>
      </c>
      <c r="C5396" s="8" t="str">
        <f>IFERROR(_xlfn.XLOOKUP(TRIM(B5396),Lookup!$B$2:$B$1000,Lookup!$C$2:$C$1000),"")</f>
        <v>Equity</v>
      </c>
      <c r="D5396" s="8" t="str">
        <f>IFERROR(INDEX('nav master'!$C:$C, MATCH(B5396, 'nav master'!$B:$B, 0)), "")</f>
        <v>ULIF08602/03/26InSctrLdrFd101</v>
      </c>
      <c r="E5396" s="8" t="s">
        <v>664</v>
      </c>
      <c r="F5396" s="8" t="s">
        <v>3448</v>
      </c>
    </row>
    <row r="5397" spans="1:6" ht="90" x14ac:dyDescent="0.25">
      <c r="A5397" s="8" t="s">
        <v>125</v>
      </c>
      <c r="B5397" s="8" t="s">
        <v>163</v>
      </c>
      <c r="C5397" s="8" t="str">
        <f>IFERROR(_xlfn.XLOOKUP(TRIM(B5397),Lookup!$B$2:$B$1000,Lookup!$C$2:$C$1000),"")</f>
        <v>Equity</v>
      </c>
      <c r="D5397" s="8" t="str">
        <f>IFERROR(INDEX('nav master'!$C:$C, MATCH(B5397, 'nav master'!$B:$B, 0)), "")</f>
        <v>ULIF08602/03/26InSctrLdrFd101</v>
      </c>
      <c r="E5397" s="8" t="s">
        <v>4892</v>
      </c>
      <c r="F5397" s="8" t="s">
        <v>4998</v>
      </c>
    </row>
    <row r="5398" spans="1:6" ht="90" x14ac:dyDescent="0.25">
      <c r="A5398" s="8" t="s">
        <v>125</v>
      </c>
      <c r="B5398" s="8" t="s">
        <v>163</v>
      </c>
      <c r="C5398" s="8" t="str">
        <f>IFERROR(_xlfn.XLOOKUP(TRIM(B5398),Lookup!$B$2:$B$1000,Lookup!$C$2:$C$1000),"")</f>
        <v>Equity</v>
      </c>
      <c r="D5398" s="8" t="str">
        <f>IFERROR(INDEX('nav master'!$C:$C, MATCH(B5398, 'nav master'!$B:$B, 0)), "")</f>
        <v>ULIF08602/03/26InSctrLdrFd101</v>
      </c>
      <c r="E5398" s="8" t="s">
        <v>4894</v>
      </c>
      <c r="F5398" s="8" t="s">
        <v>4999</v>
      </c>
    </row>
    <row r="5399" spans="1:6" ht="90" x14ac:dyDescent="0.25">
      <c r="A5399" s="8" t="s">
        <v>125</v>
      </c>
      <c r="B5399" s="8" t="s">
        <v>163</v>
      </c>
      <c r="C5399" s="8" t="str">
        <f>IFERROR(_xlfn.XLOOKUP(TRIM(B5399),Lookup!$B$2:$B$1000,Lookup!$C$2:$C$1000),"")</f>
        <v>Equity</v>
      </c>
      <c r="D5399" s="8" t="str">
        <f>IFERROR(INDEX('nav master'!$C:$C, MATCH(B5399, 'nav master'!$B:$B, 0)), "")</f>
        <v>ULIF08602/03/26InSctrLdrFd101</v>
      </c>
      <c r="E5399" s="8" t="s">
        <v>4896</v>
      </c>
      <c r="F5399" s="8" t="s">
        <v>5000</v>
      </c>
    </row>
    <row r="5400" spans="1:6" ht="90" x14ac:dyDescent="0.25">
      <c r="A5400" s="8" t="s">
        <v>125</v>
      </c>
      <c r="B5400" s="8" t="s">
        <v>163</v>
      </c>
      <c r="C5400" s="8" t="str">
        <f>IFERROR(_xlfn.XLOOKUP(TRIM(B5400),Lookup!$B$2:$B$1000,Lookup!$C$2:$C$1000),"")</f>
        <v>Equity</v>
      </c>
      <c r="D5400" s="8" t="str">
        <f>IFERROR(INDEX('nav master'!$C:$C, MATCH(B5400, 'nav master'!$B:$B, 0)), "")</f>
        <v>ULIF08602/03/26InSctrLdrFd101</v>
      </c>
      <c r="E5400" s="8" t="s">
        <v>4898</v>
      </c>
      <c r="F5400" s="8" t="s">
        <v>5001</v>
      </c>
    </row>
    <row r="5401" spans="1:6" ht="90" x14ac:dyDescent="0.25">
      <c r="A5401" s="8" t="s">
        <v>125</v>
      </c>
      <c r="B5401" s="8" t="s">
        <v>163</v>
      </c>
      <c r="C5401" s="8" t="str">
        <f>IFERROR(_xlfn.XLOOKUP(TRIM(B5401),Lookup!$B$2:$B$1000,Lookup!$C$2:$C$1000),"")</f>
        <v>Equity</v>
      </c>
      <c r="D5401" s="8" t="str">
        <f>IFERROR(INDEX('nav master'!$C:$C, MATCH(B5401, 'nav master'!$B:$B, 0)), "")</f>
        <v>ULIF08602/03/26InSctrLdrFd101</v>
      </c>
      <c r="E5401" s="8" t="s">
        <v>4900</v>
      </c>
      <c r="F5401" s="8" t="s">
        <v>5002</v>
      </c>
    </row>
    <row r="5402" spans="1:6" ht="90" x14ac:dyDescent="0.25">
      <c r="A5402" s="8" t="s">
        <v>125</v>
      </c>
      <c r="B5402" s="8" t="s">
        <v>163</v>
      </c>
      <c r="C5402" s="8" t="str">
        <f>IFERROR(_xlfn.XLOOKUP(TRIM(B5402),Lookup!$B$2:$B$1000,Lookup!$C$2:$C$1000),"")</f>
        <v>Equity</v>
      </c>
      <c r="D5402" s="8" t="str">
        <f>IFERROR(INDEX('nav master'!$C:$C, MATCH(B5402, 'nav master'!$B:$B, 0)), "")</f>
        <v>ULIF08602/03/26InSctrLdrFd101</v>
      </c>
      <c r="E5402" s="8" t="s">
        <v>4902</v>
      </c>
      <c r="F5402" s="8" t="s">
        <v>5003</v>
      </c>
    </row>
    <row r="5403" spans="1:6" ht="90" x14ac:dyDescent="0.25">
      <c r="A5403" s="8" t="s">
        <v>125</v>
      </c>
      <c r="B5403" s="8" t="s">
        <v>163</v>
      </c>
      <c r="C5403" s="8" t="str">
        <f>IFERROR(_xlfn.XLOOKUP(TRIM(B5403),Lookup!$B$2:$B$1000,Lookup!$C$2:$C$1000),"")</f>
        <v>Equity</v>
      </c>
      <c r="D5403" s="8" t="str">
        <f>IFERROR(INDEX('nav master'!$C:$C, MATCH(B5403, 'nav master'!$B:$B, 0)), "")</f>
        <v>ULIF08602/03/26InSctrLdrFd101</v>
      </c>
      <c r="E5403" s="8" t="s">
        <v>4903</v>
      </c>
      <c r="F5403" s="8" t="s">
        <v>5004</v>
      </c>
    </row>
    <row r="5404" spans="1:6" ht="90" x14ac:dyDescent="0.25">
      <c r="A5404" s="8" t="s">
        <v>125</v>
      </c>
      <c r="B5404" s="8" t="s">
        <v>163</v>
      </c>
      <c r="C5404" s="8" t="str">
        <f>IFERROR(_xlfn.XLOOKUP(TRIM(B5404),Lookup!$B$2:$B$1000,Lookup!$C$2:$C$1000),"")</f>
        <v>Equity</v>
      </c>
      <c r="D5404" s="8" t="str">
        <f>IFERROR(INDEX('nav master'!$C:$C, MATCH(B5404, 'nav master'!$B:$B, 0)), "")</f>
        <v>ULIF08602/03/26InSctrLdrFd101</v>
      </c>
      <c r="E5404" s="8" t="s">
        <v>4905</v>
      </c>
      <c r="F5404" s="8" t="s">
        <v>5005</v>
      </c>
    </row>
    <row r="5405" spans="1:6" ht="45" x14ac:dyDescent="0.25">
      <c r="A5405" s="8" t="s">
        <v>125</v>
      </c>
      <c r="B5405" s="8" t="s">
        <v>4868</v>
      </c>
      <c r="C5405" s="8" t="str">
        <f>IFERROR(_xlfn.XLOOKUP(TRIM(B5405),Lookup!$B$2:$B$1000,Lookup!$C$2:$C$1000),"")</f>
        <v>Equity</v>
      </c>
      <c r="D5405" s="8" t="str">
        <f>IFERROR(INDEX('nav master'!$C:$C, MATCH(B5405, 'nav master'!$B:$B, 0)), "")</f>
        <v/>
      </c>
      <c r="E5405" s="8" t="s">
        <v>189</v>
      </c>
      <c r="F5405" s="8" t="s">
        <v>5080</v>
      </c>
    </row>
    <row r="5406" spans="1:6" ht="45" x14ac:dyDescent="0.25">
      <c r="A5406" s="8" t="s">
        <v>125</v>
      </c>
      <c r="B5406" s="8" t="s">
        <v>4868</v>
      </c>
      <c r="C5406" s="8" t="str">
        <f>IFERROR(_xlfn.XLOOKUP(TRIM(B5406),Lookup!$B$2:$B$1000,Lookup!$C$2:$C$1000),"")</f>
        <v>Equity</v>
      </c>
      <c r="D5406" s="8" t="str">
        <f>IFERROR(INDEX('nav master'!$C:$C, MATCH(B5406, 'nav master'!$B:$B, 0)), "")</f>
        <v/>
      </c>
      <c r="E5406" s="8" t="s">
        <v>191</v>
      </c>
      <c r="F5406" s="8" t="s">
        <v>5081</v>
      </c>
    </row>
    <row r="5407" spans="1:6" ht="45" x14ac:dyDescent="0.25">
      <c r="A5407" s="8" t="s">
        <v>125</v>
      </c>
      <c r="B5407" s="8" t="s">
        <v>4868</v>
      </c>
      <c r="C5407" s="8" t="str">
        <f>IFERROR(_xlfn.XLOOKUP(TRIM(B5407),Lookup!$B$2:$B$1000,Lookup!$C$2:$C$1000),"")</f>
        <v>Equity</v>
      </c>
      <c r="D5407" s="8" t="str">
        <f>IFERROR(INDEX('nav master'!$C:$C, MATCH(B5407, 'nav master'!$B:$B, 0)), "")</f>
        <v/>
      </c>
      <c r="E5407" s="8" t="s">
        <v>193</v>
      </c>
      <c r="F5407" s="8" t="s">
        <v>5082</v>
      </c>
    </row>
    <row r="5408" spans="1:6" ht="45" x14ac:dyDescent="0.25">
      <c r="A5408" s="8" t="s">
        <v>125</v>
      </c>
      <c r="B5408" s="8" t="s">
        <v>4868</v>
      </c>
      <c r="C5408" s="8" t="str">
        <f>IFERROR(_xlfn.XLOOKUP(TRIM(B5408),Lookup!$B$2:$B$1000,Lookup!$C$2:$C$1000),"")</f>
        <v>Equity</v>
      </c>
      <c r="D5408" s="8" t="str">
        <f>IFERROR(INDEX('nav master'!$C:$C, MATCH(B5408, 'nav master'!$B:$B, 0)), "")</f>
        <v/>
      </c>
      <c r="E5408" s="8" t="s">
        <v>195</v>
      </c>
      <c r="F5408" s="8" t="s">
        <v>5083</v>
      </c>
    </row>
    <row r="5409" spans="1:6" ht="45" x14ac:dyDescent="0.25">
      <c r="A5409" s="8" t="s">
        <v>125</v>
      </c>
      <c r="B5409" s="8" t="s">
        <v>4868</v>
      </c>
      <c r="C5409" s="8" t="str">
        <f>IFERROR(_xlfn.XLOOKUP(TRIM(B5409),Lookup!$B$2:$B$1000,Lookup!$C$2:$C$1000),"")</f>
        <v>Equity</v>
      </c>
      <c r="D5409" s="8" t="str">
        <f>IFERROR(INDEX('nav master'!$C:$C, MATCH(B5409, 'nav master'!$B:$B, 0)), "")</f>
        <v/>
      </c>
      <c r="E5409" s="8" t="s">
        <v>197</v>
      </c>
      <c r="F5409" s="8" t="s">
        <v>5084</v>
      </c>
    </row>
    <row r="5410" spans="1:6" ht="45" x14ac:dyDescent="0.25">
      <c r="A5410" s="8" t="s">
        <v>125</v>
      </c>
      <c r="B5410" s="8" t="s">
        <v>4868</v>
      </c>
      <c r="C5410" s="8" t="str">
        <f>IFERROR(_xlfn.XLOOKUP(TRIM(B5410),Lookup!$B$2:$B$1000,Lookup!$C$2:$C$1000),"")</f>
        <v>Equity</v>
      </c>
      <c r="D5410" s="8" t="str">
        <f>IFERROR(INDEX('nav master'!$C:$C, MATCH(B5410, 'nav master'!$B:$B, 0)), "")</f>
        <v/>
      </c>
      <c r="E5410" s="8" t="s">
        <v>199</v>
      </c>
      <c r="F5410" s="8" t="s">
        <v>5085</v>
      </c>
    </row>
    <row r="5411" spans="1:6" ht="45" x14ac:dyDescent="0.25">
      <c r="A5411" s="8" t="s">
        <v>125</v>
      </c>
      <c r="B5411" s="8" t="s">
        <v>4868</v>
      </c>
      <c r="C5411" s="8" t="str">
        <f>IFERROR(_xlfn.XLOOKUP(TRIM(B5411),Lookup!$B$2:$B$1000,Lookup!$C$2:$C$1000),"")</f>
        <v>Equity</v>
      </c>
      <c r="D5411" s="8" t="str">
        <f>IFERROR(INDEX('nav master'!$C:$C, MATCH(B5411, 'nav master'!$B:$B, 0)), "")</f>
        <v/>
      </c>
      <c r="E5411" s="8" t="s">
        <v>201</v>
      </c>
      <c r="F5411" s="8" t="s">
        <v>5086</v>
      </c>
    </row>
    <row r="5412" spans="1:6" ht="45" x14ac:dyDescent="0.25">
      <c r="A5412" s="8" t="s">
        <v>125</v>
      </c>
      <c r="B5412" s="8" t="s">
        <v>4868</v>
      </c>
      <c r="C5412" s="8" t="str">
        <f>IFERROR(_xlfn.XLOOKUP(TRIM(B5412),Lookup!$B$2:$B$1000,Lookup!$C$2:$C$1000),"")</f>
        <v>Equity</v>
      </c>
      <c r="D5412" s="8" t="str">
        <f>IFERROR(INDEX('nav master'!$C:$C, MATCH(B5412, 'nav master'!$B:$B, 0)), "")</f>
        <v/>
      </c>
      <c r="E5412" s="8" t="s">
        <v>203</v>
      </c>
      <c r="F5412" s="8" t="s">
        <v>5087</v>
      </c>
    </row>
    <row r="5413" spans="1:6" ht="45" x14ac:dyDescent="0.25">
      <c r="A5413" s="8" t="s">
        <v>125</v>
      </c>
      <c r="B5413" s="8" t="s">
        <v>4868</v>
      </c>
      <c r="C5413" s="8" t="str">
        <f>IFERROR(_xlfn.XLOOKUP(TRIM(B5413),Lookup!$B$2:$B$1000,Lookup!$C$2:$C$1000),"")</f>
        <v>Equity</v>
      </c>
      <c r="D5413" s="8" t="str">
        <f>IFERROR(INDEX('nav master'!$C:$C, MATCH(B5413, 'nav master'!$B:$B, 0)), "")</f>
        <v/>
      </c>
      <c r="E5413" s="8" t="s">
        <v>205</v>
      </c>
      <c r="F5413" s="8" t="s">
        <v>5088</v>
      </c>
    </row>
    <row r="5414" spans="1:6" ht="45" x14ac:dyDescent="0.25">
      <c r="A5414" s="8" t="s">
        <v>125</v>
      </c>
      <c r="B5414" s="8" t="s">
        <v>4868</v>
      </c>
      <c r="C5414" s="8" t="str">
        <f>IFERROR(_xlfn.XLOOKUP(TRIM(B5414),Lookup!$B$2:$B$1000,Lookup!$C$2:$C$1000),"")</f>
        <v>Equity</v>
      </c>
      <c r="D5414" s="8" t="str">
        <f>IFERROR(INDEX('nav master'!$C:$C, MATCH(B5414, 'nav master'!$B:$B, 0)), "")</f>
        <v/>
      </c>
      <c r="E5414" s="8" t="s">
        <v>207</v>
      </c>
      <c r="F5414" s="8" t="s">
        <v>5089</v>
      </c>
    </row>
    <row r="5415" spans="1:6" ht="45" x14ac:dyDescent="0.25">
      <c r="A5415" s="8" t="s">
        <v>125</v>
      </c>
      <c r="B5415" s="8" t="s">
        <v>4868</v>
      </c>
      <c r="C5415" s="8" t="str">
        <f>IFERROR(_xlfn.XLOOKUP(TRIM(B5415),Lookup!$B$2:$B$1000,Lookup!$C$2:$C$1000),"")</f>
        <v>Equity</v>
      </c>
      <c r="D5415" s="8" t="str">
        <f>IFERROR(INDEX('nav master'!$C:$C, MATCH(B5415, 'nav master'!$B:$B, 0)), "")</f>
        <v/>
      </c>
      <c r="E5415" s="8" t="s">
        <v>209</v>
      </c>
      <c r="F5415" s="8" t="s">
        <v>5090</v>
      </c>
    </row>
    <row r="5416" spans="1:6" ht="45" x14ac:dyDescent="0.25">
      <c r="A5416" s="8" t="s">
        <v>125</v>
      </c>
      <c r="B5416" s="8" t="s">
        <v>4868</v>
      </c>
      <c r="C5416" s="8" t="str">
        <f>IFERROR(_xlfn.XLOOKUP(TRIM(B5416),Lookup!$B$2:$B$1000,Lookup!$C$2:$C$1000),"")</f>
        <v>Equity</v>
      </c>
      <c r="D5416" s="8" t="str">
        <f>IFERROR(INDEX('nav master'!$C:$C, MATCH(B5416, 'nav master'!$B:$B, 0)), "")</f>
        <v/>
      </c>
      <c r="E5416" s="8" t="s">
        <v>211</v>
      </c>
      <c r="F5416" s="8" t="s">
        <v>5091</v>
      </c>
    </row>
    <row r="5417" spans="1:6" ht="45" x14ac:dyDescent="0.25">
      <c r="A5417" s="8" t="s">
        <v>125</v>
      </c>
      <c r="B5417" s="8" t="s">
        <v>4868</v>
      </c>
      <c r="C5417" s="8" t="str">
        <f>IFERROR(_xlfn.XLOOKUP(TRIM(B5417),Lookup!$B$2:$B$1000,Lookup!$C$2:$C$1000),"")</f>
        <v>Equity</v>
      </c>
      <c r="D5417" s="8" t="str">
        <f>IFERROR(INDEX('nav master'!$C:$C, MATCH(B5417, 'nav master'!$B:$B, 0)), "")</f>
        <v/>
      </c>
      <c r="E5417" s="8" t="s">
        <v>213</v>
      </c>
      <c r="F5417" s="8" t="s">
        <v>5092</v>
      </c>
    </row>
    <row r="5418" spans="1:6" ht="45" x14ac:dyDescent="0.25">
      <c r="A5418" s="8" t="s">
        <v>125</v>
      </c>
      <c r="B5418" s="8" t="s">
        <v>4868</v>
      </c>
      <c r="C5418" s="8" t="str">
        <f>IFERROR(_xlfn.XLOOKUP(TRIM(B5418),Lookup!$B$2:$B$1000,Lookup!$C$2:$C$1000),"")</f>
        <v>Equity</v>
      </c>
      <c r="D5418" s="8" t="str">
        <f>IFERROR(INDEX('nav master'!$C:$C, MATCH(B5418, 'nav master'!$B:$B, 0)), "")</f>
        <v/>
      </c>
      <c r="E5418" s="8" t="s">
        <v>215</v>
      </c>
      <c r="F5418" s="8" t="s">
        <v>5093</v>
      </c>
    </row>
    <row r="5419" spans="1:6" ht="45" x14ac:dyDescent="0.25">
      <c r="A5419" s="8" t="s">
        <v>125</v>
      </c>
      <c r="B5419" s="8" t="s">
        <v>4868</v>
      </c>
      <c r="C5419" s="8" t="str">
        <f>IFERROR(_xlfn.XLOOKUP(TRIM(B5419),Lookup!$B$2:$B$1000,Lookup!$C$2:$C$1000),"")</f>
        <v>Equity</v>
      </c>
      <c r="D5419" s="8" t="str">
        <f>IFERROR(INDEX('nav master'!$C:$C, MATCH(B5419, 'nav master'!$B:$B, 0)), "")</f>
        <v/>
      </c>
      <c r="E5419" s="8" t="s">
        <v>217</v>
      </c>
      <c r="F5419" s="8" t="s">
        <v>5094</v>
      </c>
    </row>
    <row r="5420" spans="1:6" ht="45" x14ac:dyDescent="0.25">
      <c r="A5420" s="8" t="s">
        <v>125</v>
      </c>
      <c r="B5420" s="8" t="s">
        <v>4868</v>
      </c>
      <c r="C5420" s="8" t="str">
        <f>IFERROR(_xlfn.XLOOKUP(TRIM(B5420),Lookup!$B$2:$B$1000,Lookup!$C$2:$C$1000),"")</f>
        <v>Equity</v>
      </c>
      <c r="D5420" s="8" t="str">
        <f>IFERROR(INDEX('nav master'!$C:$C, MATCH(B5420, 'nav master'!$B:$B, 0)), "")</f>
        <v/>
      </c>
      <c r="E5420" s="8" t="s">
        <v>219</v>
      </c>
      <c r="F5420" s="8" t="s">
        <v>5095</v>
      </c>
    </row>
    <row r="5421" spans="1:6" ht="45" x14ac:dyDescent="0.25">
      <c r="A5421" s="8" t="s">
        <v>125</v>
      </c>
      <c r="B5421" s="8" t="s">
        <v>4868</v>
      </c>
      <c r="C5421" s="8" t="str">
        <f>IFERROR(_xlfn.XLOOKUP(TRIM(B5421),Lookup!$B$2:$B$1000,Lookup!$C$2:$C$1000),"")</f>
        <v>Equity</v>
      </c>
      <c r="D5421" s="8" t="str">
        <f>IFERROR(INDEX('nav master'!$C:$C, MATCH(B5421, 'nav master'!$B:$B, 0)), "")</f>
        <v/>
      </c>
      <c r="E5421" s="8" t="s">
        <v>221</v>
      </c>
      <c r="F5421" s="8" t="s">
        <v>5096</v>
      </c>
    </row>
    <row r="5422" spans="1:6" ht="45" x14ac:dyDescent="0.25">
      <c r="A5422" s="8" t="s">
        <v>125</v>
      </c>
      <c r="B5422" s="8" t="s">
        <v>4868</v>
      </c>
      <c r="C5422" s="8" t="str">
        <f>IFERROR(_xlfn.XLOOKUP(TRIM(B5422),Lookup!$B$2:$B$1000,Lookup!$C$2:$C$1000),"")</f>
        <v>Equity</v>
      </c>
      <c r="D5422" s="8" t="str">
        <f>IFERROR(INDEX('nav master'!$C:$C, MATCH(B5422, 'nav master'!$B:$B, 0)), "")</f>
        <v/>
      </c>
      <c r="E5422" s="8" t="s">
        <v>223</v>
      </c>
      <c r="F5422" s="8" t="s">
        <v>5097</v>
      </c>
    </row>
    <row r="5423" spans="1:6" ht="45" x14ac:dyDescent="0.25">
      <c r="A5423" s="8" t="s">
        <v>125</v>
      </c>
      <c r="B5423" s="8" t="s">
        <v>4868</v>
      </c>
      <c r="C5423" s="8" t="str">
        <f>IFERROR(_xlfn.XLOOKUP(TRIM(B5423),Lookup!$B$2:$B$1000,Lookup!$C$2:$C$1000),"")</f>
        <v>Equity</v>
      </c>
      <c r="D5423" s="8" t="str">
        <f>IFERROR(INDEX('nav master'!$C:$C, MATCH(B5423, 'nav master'!$B:$B, 0)), "")</f>
        <v/>
      </c>
      <c r="E5423" s="8" t="s">
        <v>225</v>
      </c>
      <c r="F5423" s="8" t="s">
        <v>5098</v>
      </c>
    </row>
    <row r="5424" spans="1:6" ht="45" x14ac:dyDescent="0.25">
      <c r="A5424" s="8" t="s">
        <v>125</v>
      </c>
      <c r="B5424" s="8" t="s">
        <v>4868</v>
      </c>
      <c r="C5424" s="8" t="str">
        <f>IFERROR(_xlfn.XLOOKUP(TRIM(B5424),Lookup!$B$2:$B$1000,Lookup!$C$2:$C$1000),"")</f>
        <v>Equity</v>
      </c>
      <c r="D5424" s="8" t="str">
        <f>IFERROR(INDEX('nav master'!$C:$C, MATCH(B5424, 'nav master'!$B:$B, 0)), "")</f>
        <v/>
      </c>
      <c r="E5424" s="8" t="s">
        <v>227</v>
      </c>
      <c r="F5424" s="8" t="s">
        <v>5099</v>
      </c>
    </row>
    <row r="5425" spans="1:6" ht="45" x14ac:dyDescent="0.25">
      <c r="A5425" s="8" t="s">
        <v>125</v>
      </c>
      <c r="B5425" s="8" t="s">
        <v>4868</v>
      </c>
      <c r="C5425" s="8" t="str">
        <f>IFERROR(_xlfn.XLOOKUP(TRIM(B5425),Lookup!$B$2:$B$1000,Lookup!$C$2:$C$1000),"")</f>
        <v>Equity</v>
      </c>
      <c r="D5425" s="8" t="str">
        <f>IFERROR(INDEX('nav master'!$C:$C, MATCH(B5425, 'nav master'!$B:$B, 0)), "")</f>
        <v/>
      </c>
      <c r="E5425" s="8" t="s">
        <v>229</v>
      </c>
      <c r="F5425" s="8" t="s">
        <v>5100</v>
      </c>
    </row>
    <row r="5426" spans="1:6" ht="45" x14ac:dyDescent="0.25">
      <c r="A5426" s="8" t="s">
        <v>125</v>
      </c>
      <c r="B5426" s="8" t="s">
        <v>4868</v>
      </c>
      <c r="C5426" s="8" t="str">
        <f>IFERROR(_xlfn.XLOOKUP(TRIM(B5426),Lookup!$B$2:$B$1000,Lookup!$C$2:$C$1000),"")</f>
        <v>Equity</v>
      </c>
      <c r="D5426" s="8" t="str">
        <f>IFERROR(INDEX('nav master'!$C:$C, MATCH(B5426, 'nav master'!$B:$B, 0)), "")</f>
        <v/>
      </c>
      <c r="E5426" s="8" t="s">
        <v>231</v>
      </c>
      <c r="F5426" s="8" t="s">
        <v>5101</v>
      </c>
    </row>
    <row r="5427" spans="1:6" ht="45" x14ac:dyDescent="0.25">
      <c r="A5427" s="8" t="s">
        <v>125</v>
      </c>
      <c r="B5427" s="8" t="s">
        <v>4868</v>
      </c>
      <c r="C5427" s="8" t="str">
        <f>IFERROR(_xlfn.XLOOKUP(TRIM(B5427),Lookup!$B$2:$B$1000,Lookup!$C$2:$C$1000),"")</f>
        <v>Equity</v>
      </c>
      <c r="D5427" s="8" t="str">
        <f>IFERROR(INDEX('nav master'!$C:$C, MATCH(B5427, 'nav master'!$B:$B, 0)), "")</f>
        <v/>
      </c>
      <c r="E5427" s="8" t="s">
        <v>233</v>
      </c>
      <c r="F5427" s="8" t="s">
        <v>5102</v>
      </c>
    </row>
    <row r="5428" spans="1:6" ht="45" x14ac:dyDescent="0.25">
      <c r="A5428" s="8" t="s">
        <v>125</v>
      </c>
      <c r="B5428" s="8" t="s">
        <v>4868</v>
      </c>
      <c r="C5428" s="8" t="str">
        <f>IFERROR(_xlfn.XLOOKUP(TRIM(B5428),Lookup!$B$2:$B$1000,Lookup!$C$2:$C$1000),"")</f>
        <v>Equity</v>
      </c>
      <c r="D5428" s="8" t="str">
        <f>IFERROR(INDEX('nav master'!$C:$C, MATCH(B5428, 'nav master'!$B:$B, 0)), "")</f>
        <v/>
      </c>
      <c r="E5428" s="8" t="s">
        <v>235</v>
      </c>
      <c r="F5428" s="8" t="s">
        <v>5103</v>
      </c>
    </row>
    <row r="5429" spans="1:6" ht="45" x14ac:dyDescent="0.25">
      <c r="A5429" s="8" t="s">
        <v>125</v>
      </c>
      <c r="B5429" s="8" t="s">
        <v>4868</v>
      </c>
      <c r="C5429" s="8" t="str">
        <f>IFERROR(_xlfn.XLOOKUP(TRIM(B5429),Lookup!$B$2:$B$1000,Lookup!$C$2:$C$1000),"")</f>
        <v>Equity</v>
      </c>
      <c r="D5429" s="8" t="str">
        <f>IFERROR(INDEX('nav master'!$C:$C, MATCH(B5429, 'nav master'!$B:$B, 0)), "")</f>
        <v/>
      </c>
      <c r="E5429" s="8" t="s">
        <v>237</v>
      </c>
      <c r="F5429" s="8" t="s">
        <v>5104</v>
      </c>
    </row>
    <row r="5430" spans="1:6" ht="45" x14ac:dyDescent="0.25">
      <c r="A5430" s="8" t="s">
        <v>125</v>
      </c>
      <c r="B5430" s="8" t="s">
        <v>4868</v>
      </c>
      <c r="C5430" s="8" t="str">
        <f>IFERROR(_xlfn.XLOOKUP(TRIM(B5430),Lookup!$B$2:$B$1000,Lookup!$C$2:$C$1000),"")</f>
        <v>Equity</v>
      </c>
      <c r="D5430" s="8" t="str">
        <f>IFERROR(INDEX('nav master'!$C:$C, MATCH(B5430, 'nav master'!$B:$B, 0)), "")</f>
        <v/>
      </c>
      <c r="E5430" s="8" t="s">
        <v>239</v>
      </c>
      <c r="F5430" s="8" t="s">
        <v>5105</v>
      </c>
    </row>
    <row r="5431" spans="1:6" ht="45" x14ac:dyDescent="0.25">
      <c r="A5431" s="8" t="s">
        <v>125</v>
      </c>
      <c r="B5431" s="8" t="s">
        <v>4868</v>
      </c>
      <c r="C5431" s="8" t="str">
        <f>IFERROR(_xlfn.XLOOKUP(TRIM(B5431),Lookup!$B$2:$B$1000,Lookup!$C$2:$C$1000),"")</f>
        <v>Equity</v>
      </c>
      <c r="D5431" s="8" t="str">
        <f>IFERROR(INDEX('nav master'!$C:$C, MATCH(B5431, 'nav master'!$B:$B, 0)), "")</f>
        <v/>
      </c>
      <c r="E5431" s="8" t="s">
        <v>241</v>
      </c>
      <c r="F5431" s="8" t="s">
        <v>5106</v>
      </c>
    </row>
    <row r="5432" spans="1:6" ht="45" x14ac:dyDescent="0.25">
      <c r="A5432" s="8" t="s">
        <v>125</v>
      </c>
      <c r="B5432" s="8" t="s">
        <v>4868</v>
      </c>
      <c r="C5432" s="8" t="str">
        <f>IFERROR(_xlfn.XLOOKUP(TRIM(B5432),Lookup!$B$2:$B$1000,Lookup!$C$2:$C$1000),"")</f>
        <v>Equity</v>
      </c>
      <c r="D5432" s="8" t="str">
        <f>IFERROR(INDEX('nav master'!$C:$C, MATCH(B5432, 'nav master'!$B:$B, 0)), "")</f>
        <v/>
      </c>
      <c r="E5432" s="8" t="s">
        <v>243</v>
      </c>
      <c r="F5432" s="8" t="s">
        <v>5107</v>
      </c>
    </row>
    <row r="5433" spans="1:6" ht="45" x14ac:dyDescent="0.25">
      <c r="A5433" s="8" t="s">
        <v>125</v>
      </c>
      <c r="B5433" s="8" t="s">
        <v>4868</v>
      </c>
      <c r="C5433" s="8" t="str">
        <f>IFERROR(_xlfn.XLOOKUP(TRIM(B5433),Lookup!$B$2:$B$1000,Lookup!$C$2:$C$1000),"")</f>
        <v>Equity</v>
      </c>
      <c r="D5433" s="8" t="str">
        <f>IFERROR(INDEX('nav master'!$C:$C, MATCH(B5433, 'nav master'!$B:$B, 0)), "")</f>
        <v/>
      </c>
      <c r="E5433" s="8" t="s">
        <v>245</v>
      </c>
      <c r="F5433" s="8" t="s">
        <v>5108</v>
      </c>
    </row>
    <row r="5434" spans="1:6" ht="45" x14ac:dyDescent="0.25">
      <c r="A5434" s="8" t="s">
        <v>125</v>
      </c>
      <c r="B5434" s="8" t="s">
        <v>4868</v>
      </c>
      <c r="C5434" s="8" t="str">
        <f>IFERROR(_xlfn.XLOOKUP(TRIM(B5434),Lookup!$B$2:$B$1000,Lookup!$C$2:$C$1000),"")</f>
        <v>Equity</v>
      </c>
      <c r="D5434" s="8" t="str">
        <f>IFERROR(INDEX('nav master'!$C:$C, MATCH(B5434, 'nav master'!$B:$B, 0)), "")</f>
        <v/>
      </c>
      <c r="E5434" s="8" t="s">
        <v>247</v>
      </c>
      <c r="F5434" s="8" t="s">
        <v>5109</v>
      </c>
    </row>
    <row r="5435" spans="1:6" ht="45" x14ac:dyDescent="0.25">
      <c r="A5435" s="8" t="s">
        <v>125</v>
      </c>
      <c r="B5435" s="8" t="s">
        <v>4868</v>
      </c>
      <c r="C5435" s="8" t="str">
        <f>IFERROR(_xlfn.XLOOKUP(TRIM(B5435),Lookup!$B$2:$B$1000,Lookup!$C$2:$C$1000),"")</f>
        <v>Equity</v>
      </c>
      <c r="D5435" s="8" t="str">
        <f>IFERROR(INDEX('nav master'!$C:$C, MATCH(B5435, 'nav master'!$B:$B, 0)), "")</f>
        <v/>
      </c>
      <c r="E5435" s="8" t="s">
        <v>249</v>
      </c>
      <c r="F5435" s="8" t="s">
        <v>5110</v>
      </c>
    </row>
    <row r="5436" spans="1:6" ht="45" x14ac:dyDescent="0.25">
      <c r="A5436" s="8" t="s">
        <v>125</v>
      </c>
      <c r="B5436" s="8" t="s">
        <v>4868</v>
      </c>
      <c r="C5436" s="8" t="str">
        <f>IFERROR(_xlfn.XLOOKUP(TRIM(B5436),Lookup!$B$2:$B$1000,Lookup!$C$2:$C$1000),"")</f>
        <v>Equity</v>
      </c>
      <c r="D5436" s="8" t="str">
        <f>IFERROR(INDEX('nav master'!$C:$C, MATCH(B5436, 'nav master'!$B:$B, 0)), "")</f>
        <v/>
      </c>
      <c r="E5436" s="8" t="s">
        <v>251</v>
      </c>
      <c r="F5436" s="8" t="s">
        <v>5111</v>
      </c>
    </row>
    <row r="5437" spans="1:6" ht="45" x14ac:dyDescent="0.25">
      <c r="A5437" s="8" t="s">
        <v>125</v>
      </c>
      <c r="B5437" s="8" t="s">
        <v>4868</v>
      </c>
      <c r="C5437" s="8" t="str">
        <f>IFERROR(_xlfn.XLOOKUP(TRIM(B5437),Lookup!$B$2:$B$1000,Lookup!$C$2:$C$1000),"")</f>
        <v>Equity</v>
      </c>
      <c r="D5437" s="8" t="str">
        <f>IFERROR(INDEX('nav master'!$C:$C, MATCH(B5437, 'nav master'!$B:$B, 0)), "")</f>
        <v/>
      </c>
      <c r="E5437" s="8" t="s">
        <v>253</v>
      </c>
      <c r="F5437" s="8" t="s">
        <v>5112</v>
      </c>
    </row>
    <row r="5438" spans="1:6" ht="45" x14ac:dyDescent="0.25">
      <c r="A5438" s="8" t="s">
        <v>125</v>
      </c>
      <c r="B5438" s="8" t="s">
        <v>4868</v>
      </c>
      <c r="C5438" s="8" t="str">
        <f>IFERROR(_xlfn.XLOOKUP(TRIM(B5438),Lookup!$B$2:$B$1000,Lookup!$C$2:$C$1000),"")</f>
        <v>Equity</v>
      </c>
      <c r="D5438" s="8" t="str">
        <f>IFERROR(INDEX('nav master'!$C:$C, MATCH(B5438, 'nav master'!$B:$B, 0)), "")</f>
        <v/>
      </c>
      <c r="E5438" s="8" t="s">
        <v>255</v>
      </c>
      <c r="F5438" s="8" t="s">
        <v>5113</v>
      </c>
    </row>
    <row r="5439" spans="1:6" ht="45" x14ac:dyDescent="0.25">
      <c r="A5439" s="8" t="s">
        <v>125</v>
      </c>
      <c r="B5439" s="8" t="s">
        <v>4868</v>
      </c>
      <c r="C5439" s="8" t="str">
        <f>IFERROR(_xlfn.XLOOKUP(TRIM(B5439),Lookup!$B$2:$B$1000,Lookup!$C$2:$C$1000),"")</f>
        <v>Equity</v>
      </c>
      <c r="D5439" s="8" t="str">
        <f>IFERROR(INDEX('nav master'!$C:$C, MATCH(B5439, 'nav master'!$B:$B, 0)), "")</f>
        <v/>
      </c>
      <c r="E5439" s="8" t="s">
        <v>257</v>
      </c>
      <c r="F5439" s="8" t="s">
        <v>5114</v>
      </c>
    </row>
    <row r="5440" spans="1:6" ht="45" x14ac:dyDescent="0.25">
      <c r="A5440" s="8" t="s">
        <v>125</v>
      </c>
      <c r="B5440" s="8" t="s">
        <v>4868</v>
      </c>
      <c r="C5440" s="8" t="str">
        <f>IFERROR(_xlfn.XLOOKUP(TRIM(B5440),Lookup!$B$2:$B$1000,Lookup!$C$2:$C$1000),"")</f>
        <v>Equity</v>
      </c>
      <c r="D5440" s="8" t="str">
        <f>IFERROR(INDEX('nav master'!$C:$C, MATCH(B5440, 'nav master'!$B:$B, 0)), "")</f>
        <v/>
      </c>
      <c r="E5440" s="8" t="s">
        <v>259</v>
      </c>
      <c r="F5440" s="8" t="s">
        <v>5115</v>
      </c>
    </row>
    <row r="5441" spans="1:6" ht="45" x14ac:dyDescent="0.25">
      <c r="A5441" s="8" t="s">
        <v>125</v>
      </c>
      <c r="B5441" s="8" t="s">
        <v>4868</v>
      </c>
      <c r="C5441" s="8" t="str">
        <f>IFERROR(_xlfn.XLOOKUP(TRIM(B5441),Lookup!$B$2:$B$1000,Lookup!$C$2:$C$1000),"")</f>
        <v>Equity</v>
      </c>
      <c r="D5441" s="8" t="str">
        <f>IFERROR(INDEX('nav master'!$C:$C, MATCH(B5441, 'nav master'!$B:$B, 0)), "")</f>
        <v/>
      </c>
      <c r="E5441" s="8" t="s">
        <v>261</v>
      </c>
      <c r="F5441" s="8" t="s">
        <v>5116</v>
      </c>
    </row>
    <row r="5442" spans="1:6" ht="45" x14ac:dyDescent="0.25">
      <c r="A5442" s="8" t="s">
        <v>125</v>
      </c>
      <c r="B5442" s="8" t="s">
        <v>4868</v>
      </c>
      <c r="C5442" s="8" t="str">
        <f>IFERROR(_xlfn.XLOOKUP(TRIM(B5442),Lookup!$B$2:$B$1000,Lookup!$C$2:$C$1000),"")</f>
        <v>Equity</v>
      </c>
      <c r="D5442" s="8" t="str">
        <f>IFERROR(INDEX('nav master'!$C:$C, MATCH(B5442, 'nav master'!$B:$B, 0)), "")</f>
        <v/>
      </c>
      <c r="E5442" s="8" t="s">
        <v>263</v>
      </c>
      <c r="F5442" s="8" t="s">
        <v>5117</v>
      </c>
    </row>
    <row r="5443" spans="1:6" ht="45" x14ac:dyDescent="0.25">
      <c r="A5443" s="8" t="s">
        <v>125</v>
      </c>
      <c r="B5443" s="8" t="s">
        <v>4868</v>
      </c>
      <c r="C5443" s="8" t="str">
        <f>IFERROR(_xlfn.XLOOKUP(TRIM(B5443),Lookup!$B$2:$B$1000,Lookup!$C$2:$C$1000),"")</f>
        <v>Equity</v>
      </c>
      <c r="D5443" s="8" t="str">
        <f>IFERROR(INDEX('nav master'!$C:$C, MATCH(B5443, 'nav master'!$B:$B, 0)), "")</f>
        <v/>
      </c>
      <c r="E5443" s="8" t="s">
        <v>265</v>
      </c>
      <c r="F5443" s="8" t="s">
        <v>5118</v>
      </c>
    </row>
    <row r="5444" spans="1:6" ht="45" x14ac:dyDescent="0.25">
      <c r="A5444" s="8" t="s">
        <v>125</v>
      </c>
      <c r="B5444" s="8" t="s">
        <v>4868</v>
      </c>
      <c r="C5444" s="8" t="str">
        <f>IFERROR(_xlfn.XLOOKUP(TRIM(B5444),Lookup!$B$2:$B$1000,Lookup!$C$2:$C$1000),"")</f>
        <v>Equity</v>
      </c>
      <c r="D5444" s="8" t="str">
        <f>IFERROR(INDEX('nav master'!$C:$C, MATCH(B5444, 'nav master'!$B:$B, 0)), "")</f>
        <v/>
      </c>
      <c r="E5444" s="8" t="s">
        <v>267</v>
      </c>
      <c r="F5444" s="8" t="s">
        <v>5119</v>
      </c>
    </row>
    <row r="5445" spans="1:6" ht="45" x14ac:dyDescent="0.25">
      <c r="A5445" s="8" t="s">
        <v>125</v>
      </c>
      <c r="B5445" s="8" t="s">
        <v>4868</v>
      </c>
      <c r="C5445" s="8" t="str">
        <f>IFERROR(_xlfn.XLOOKUP(TRIM(B5445),Lookup!$B$2:$B$1000,Lookup!$C$2:$C$1000),"")</f>
        <v>Equity</v>
      </c>
      <c r="D5445" s="8" t="str">
        <f>IFERROR(INDEX('nav master'!$C:$C, MATCH(B5445, 'nav master'!$B:$B, 0)), "")</f>
        <v/>
      </c>
      <c r="E5445" s="8" t="s">
        <v>269</v>
      </c>
      <c r="F5445" s="8" t="s">
        <v>5120</v>
      </c>
    </row>
    <row r="5446" spans="1:6" ht="45" x14ac:dyDescent="0.25">
      <c r="A5446" s="8" t="s">
        <v>125</v>
      </c>
      <c r="B5446" s="8" t="s">
        <v>4868</v>
      </c>
      <c r="C5446" s="8" t="str">
        <f>IFERROR(_xlfn.XLOOKUP(TRIM(B5446),Lookup!$B$2:$B$1000,Lookup!$C$2:$C$1000),"")</f>
        <v>Equity</v>
      </c>
      <c r="D5446" s="8" t="str">
        <f>IFERROR(INDEX('nav master'!$C:$C, MATCH(B5446, 'nav master'!$B:$B, 0)), "")</f>
        <v/>
      </c>
      <c r="E5446" s="8" t="s">
        <v>271</v>
      </c>
      <c r="F5446" s="8" t="s">
        <v>5121</v>
      </c>
    </row>
    <row r="5447" spans="1:6" ht="45" x14ac:dyDescent="0.25">
      <c r="A5447" s="8" t="s">
        <v>125</v>
      </c>
      <c r="B5447" s="8" t="s">
        <v>4868</v>
      </c>
      <c r="C5447" s="8" t="str">
        <f>IFERROR(_xlfn.XLOOKUP(TRIM(B5447),Lookup!$B$2:$B$1000,Lookup!$C$2:$C$1000),"")</f>
        <v>Equity</v>
      </c>
      <c r="D5447" s="8" t="str">
        <f>IFERROR(INDEX('nav master'!$C:$C, MATCH(B5447, 'nav master'!$B:$B, 0)), "")</f>
        <v/>
      </c>
      <c r="E5447" s="8" t="s">
        <v>273</v>
      </c>
      <c r="F5447" s="8" t="s">
        <v>5122</v>
      </c>
    </row>
    <row r="5448" spans="1:6" ht="45" x14ac:dyDescent="0.25">
      <c r="A5448" s="8" t="s">
        <v>125</v>
      </c>
      <c r="B5448" s="8" t="s">
        <v>4868</v>
      </c>
      <c r="C5448" s="8" t="str">
        <f>IFERROR(_xlfn.XLOOKUP(TRIM(B5448),Lookup!$B$2:$B$1000,Lookup!$C$2:$C$1000),"")</f>
        <v>Equity</v>
      </c>
      <c r="D5448" s="8" t="str">
        <f>IFERROR(INDEX('nav master'!$C:$C, MATCH(B5448, 'nav master'!$B:$B, 0)), "")</f>
        <v/>
      </c>
      <c r="E5448" s="8" t="s">
        <v>275</v>
      </c>
      <c r="F5448" s="8" t="s">
        <v>5123</v>
      </c>
    </row>
    <row r="5449" spans="1:6" ht="45" x14ac:dyDescent="0.25">
      <c r="A5449" s="8" t="s">
        <v>125</v>
      </c>
      <c r="B5449" s="8" t="s">
        <v>4868</v>
      </c>
      <c r="C5449" s="8" t="str">
        <f>IFERROR(_xlfn.XLOOKUP(TRIM(B5449),Lookup!$B$2:$B$1000,Lookup!$C$2:$C$1000),"")</f>
        <v>Equity</v>
      </c>
      <c r="D5449" s="8" t="str">
        <f>IFERROR(INDEX('nav master'!$C:$C, MATCH(B5449, 'nav master'!$B:$B, 0)), "")</f>
        <v/>
      </c>
      <c r="E5449" s="8" t="s">
        <v>277</v>
      </c>
      <c r="F5449" s="8" t="s">
        <v>5124</v>
      </c>
    </row>
    <row r="5450" spans="1:6" ht="45" x14ac:dyDescent="0.25">
      <c r="A5450" s="8" t="s">
        <v>125</v>
      </c>
      <c r="B5450" s="8" t="s">
        <v>4868</v>
      </c>
      <c r="C5450" s="8" t="str">
        <f>IFERROR(_xlfn.XLOOKUP(TRIM(B5450),Lookup!$B$2:$B$1000,Lookup!$C$2:$C$1000),"")</f>
        <v>Equity</v>
      </c>
      <c r="D5450" s="8" t="str">
        <f>IFERROR(INDEX('nav master'!$C:$C, MATCH(B5450, 'nav master'!$B:$B, 0)), "")</f>
        <v/>
      </c>
      <c r="E5450" s="8" t="s">
        <v>279</v>
      </c>
      <c r="F5450" s="8" t="s">
        <v>5125</v>
      </c>
    </row>
    <row r="5451" spans="1:6" ht="45" x14ac:dyDescent="0.25">
      <c r="A5451" s="8" t="s">
        <v>125</v>
      </c>
      <c r="B5451" s="8" t="s">
        <v>4868</v>
      </c>
      <c r="C5451" s="8" t="str">
        <f>IFERROR(_xlfn.XLOOKUP(TRIM(B5451),Lookup!$B$2:$B$1000,Lookup!$C$2:$C$1000),"")</f>
        <v>Equity</v>
      </c>
      <c r="D5451" s="8" t="str">
        <f>IFERROR(INDEX('nav master'!$C:$C, MATCH(B5451, 'nav master'!$B:$B, 0)), "")</f>
        <v/>
      </c>
      <c r="E5451" s="8" t="s">
        <v>281</v>
      </c>
      <c r="F5451" s="8" t="s">
        <v>5126</v>
      </c>
    </row>
    <row r="5452" spans="1:6" ht="45" x14ac:dyDescent="0.25">
      <c r="A5452" s="8" t="s">
        <v>125</v>
      </c>
      <c r="B5452" s="8" t="s">
        <v>4868</v>
      </c>
      <c r="C5452" s="8" t="str">
        <f>IFERROR(_xlfn.XLOOKUP(TRIM(B5452),Lookup!$B$2:$B$1000,Lookup!$C$2:$C$1000),"")</f>
        <v>Equity</v>
      </c>
      <c r="D5452" s="8" t="str">
        <f>IFERROR(INDEX('nav master'!$C:$C, MATCH(B5452, 'nav master'!$B:$B, 0)), "")</f>
        <v/>
      </c>
      <c r="E5452" s="8" t="s">
        <v>283</v>
      </c>
      <c r="F5452" s="8" t="s">
        <v>5127</v>
      </c>
    </row>
    <row r="5453" spans="1:6" ht="45" x14ac:dyDescent="0.25">
      <c r="A5453" s="8" t="s">
        <v>125</v>
      </c>
      <c r="B5453" s="8" t="s">
        <v>4868</v>
      </c>
      <c r="C5453" s="8" t="str">
        <f>IFERROR(_xlfn.XLOOKUP(TRIM(B5453),Lookup!$B$2:$B$1000,Lookup!$C$2:$C$1000),"")</f>
        <v>Equity</v>
      </c>
      <c r="D5453" s="8" t="str">
        <f>IFERROR(INDEX('nav master'!$C:$C, MATCH(B5453, 'nav master'!$B:$B, 0)), "")</f>
        <v/>
      </c>
      <c r="E5453" s="8" t="s">
        <v>285</v>
      </c>
      <c r="F5453" s="8" t="s">
        <v>5128</v>
      </c>
    </row>
    <row r="5454" spans="1:6" ht="45" x14ac:dyDescent="0.25">
      <c r="A5454" s="8" t="s">
        <v>125</v>
      </c>
      <c r="B5454" s="8" t="s">
        <v>4868</v>
      </c>
      <c r="C5454" s="8" t="str">
        <f>IFERROR(_xlfn.XLOOKUP(TRIM(B5454),Lookup!$B$2:$B$1000,Lookup!$C$2:$C$1000),"")</f>
        <v>Equity</v>
      </c>
      <c r="D5454" s="8" t="str">
        <f>IFERROR(INDEX('nav master'!$C:$C, MATCH(B5454, 'nav master'!$B:$B, 0)), "")</f>
        <v/>
      </c>
      <c r="E5454" s="8" t="s">
        <v>287</v>
      </c>
      <c r="F5454" s="8" t="s">
        <v>5129</v>
      </c>
    </row>
    <row r="5455" spans="1:6" ht="45" x14ac:dyDescent="0.25">
      <c r="A5455" s="8" t="s">
        <v>125</v>
      </c>
      <c r="B5455" s="8" t="s">
        <v>4868</v>
      </c>
      <c r="C5455" s="8" t="str">
        <f>IFERROR(_xlfn.XLOOKUP(TRIM(B5455),Lookup!$B$2:$B$1000,Lookup!$C$2:$C$1000),"")</f>
        <v>Equity</v>
      </c>
      <c r="D5455" s="8" t="str">
        <f>IFERROR(INDEX('nav master'!$C:$C, MATCH(B5455, 'nav master'!$B:$B, 0)), "")</f>
        <v/>
      </c>
      <c r="E5455" s="8" t="s">
        <v>289</v>
      </c>
      <c r="F5455" s="8" t="s">
        <v>5130</v>
      </c>
    </row>
    <row r="5456" spans="1:6" ht="45" x14ac:dyDescent="0.25">
      <c r="A5456" s="8" t="s">
        <v>125</v>
      </c>
      <c r="B5456" s="8" t="s">
        <v>4868</v>
      </c>
      <c r="C5456" s="8" t="str">
        <f>IFERROR(_xlfn.XLOOKUP(TRIM(B5456),Lookup!$B$2:$B$1000,Lookup!$C$2:$C$1000),"")</f>
        <v>Equity</v>
      </c>
      <c r="D5456" s="8" t="str">
        <f>IFERROR(INDEX('nav master'!$C:$C, MATCH(B5456, 'nav master'!$B:$B, 0)), "")</f>
        <v/>
      </c>
      <c r="E5456" s="8" t="s">
        <v>291</v>
      </c>
      <c r="F5456" s="8" t="s">
        <v>5131</v>
      </c>
    </row>
    <row r="5457" spans="1:6" ht="45" x14ac:dyDescent="0.25">
      <c r="A5457" s="8" t="s">
        <v>125</v>
      </c>
      <c r="B5457" s="8" t="s">
        <v>4868</v>
      </c>
      <c r="C5457" s="8" t="str">
        <f>IFERROR(_xlfn.XLOOKUP(TRIM(B5457),Lookup!$B$2:$B$1000,Lookup!$C$2:$C$1000),"")</f>
        <v>Equity</v>
      </c>
      <c r="D5457" s="8" t="str">
        <f>IFERROR(INDEX('nav master'!$C:$C, MATCH(B5457, 'nav master'!$B:$B, 0)), "")</f>
        <v/>
      </c>
      <c r="E5457" s="8" t="s">
        <v>293</v>
      </c>
      <c r="F5457" s="8" t="s">
        <v>5132</v>
      </c>
    </row>
    <row r="5458" spans="1:6" ht="45" x14ac:dyDescent="0.25">
      <c r="A5458" s="8" t="s">
        <v>125</v>
      </c>
      <c r="B5458" s="8" t="s">
        <v>4868</v>
      </c>
      <c r="C5458" s="8" t="str">
        <f>IFERROR(_xlfn.XLOOKUP(TRIM(B5458),Lookup!$B$2:$B$1000,Lookup!$C$2:$C$1000),"")</f>
        <v>Equity</v>
      </c>
      <c r="D5458" s="8" t="str">
        <f>IFERROR(INDEX('nav master'!$C:$C, MATCH(B5458, 'nav master'!$B:$B, 0)), "")</f>
        <v/>
      </c>
      <c r="E5458" s="8" t="s">
        <v>295</v>
      </c>
      <c r="F5458" s="8" t="s">
        <v>5133</v>
      </c>
    </row>
    <row r="5459" spans="1:6" ht="45" x14ac:dyDescent="0.25">
      <c r="A5459" s="8" t="s">
        <v>125</v>
      </c>
      <c r="B5459" s="8" t="s">
        <v>4868</v>
      </c>
      <c r="C5459" s="8" t="str">
        <f>IFERROR(_xlfn.XLOOKUP(TRIM(B5459),Lookup!$B$2:$B$1000,Lookup!$C$2:$C$1000),"")</f>
        <v>Equity</v>
      </c>
      <c r="D5459" s="8" t="str">
        <f>IFERROR(INDEX('nav master'!$C:$C, MATCH(B5459, 'nav master'!$B:$B, 0)), "")</f>
        <v/>
      </c>
      <c r="E5459" s="8" t="s">
        <v>297</v>
      </c>
      <c r="F5459" s="8" t="s">
        <v>5134</v>
      </c>
    </row>
    <row r="5460" spans="1:6" ht="45" x14ac:dyDescent="0.25">
      <c r="A5460" s="8" t="s">
        <v>125</v>
      </c>
      <c r="B5460" s="8" t="s">
        <v>4868</v>
      </c>
      <c r="C5460" s="8" t="str">
        <f>IFERROR(_xlfn.XLOOKUP(TRIM(B5460),Lookup!$B$2:$B$1000,Lookup!$C$2:$C$1000),"")</f>
        <v>Equity</v>
      </c>
      <c r="D5460" s="8" t="str">
        <f>IFERROR(INDEX('nav master'!$C:$C, MATCH(B5460, 'nav master'!$B:$B, 0)), "")</f>
        <v/>
      </c>
      <c r="E5460" s="8" t="s">
        <v>299</v>
      </c>
      <c r="F5460" s="8" t="s">
        <v>5135</v>
      </c>
    </row>
    <row r="5461" spans="1:6" ht="45" x14ac:dyDescent="0.25">
      <c r="A5461" s="8" t="s">
        <v>125</v>
      </c>
      <c r="B5461" s="8" t="s">
        <v>4868</v>
      </c>
      <c r="C5461" s="8" t="str">
        <f>IFERROR(_xlfn.XLOOKUP(TRIM(B5461),Lookup!$B$2:$B$1000,Lookup!$C$2:$C$1000),"")</f>
        <v>Equity</v>
      </c>
      <c r="D5461" s="8" t="str">
        <f>IFERROR(INDEX('nav master'!$C:$C, MATCH(B5461, 'nav master'!$B:$B, 0)), "")</f>
        <v/>
      </c>
      <c r="E5461" s="8" t="s">
        <v>301</v>
      </c>
      <c r="F5461" s="8" t="s">
        <v>5136</v>
      </c>
    </row>
    <row r="5462" spans="1:6" ht="45" x14ac:dyDescent="0.25">
      <c r="A5462" s="8" t="s">
        <v>125</v>
      </c>
      <c r="B5462" s="8" t="s">
        <v>4868</v>
      </c>
      <c r="C5462" s="8" t="str">
        <f>IFERROR(_xlfn.XLOOKUP(TRIM(B5462),Lookup!$B$2:$B$1000,Lookup!$C$2:$C$1000),"")</f>
        <v>Equity</v>
      </c>
      <c r="D5462" s="8" t="str">
        <f>IFERROR(INDEX('nav master'!$C:$C, MATCH(B5462, 'nav master'!$B:$B, 0)), "")</f>
        <v/>
      </c>
      <c r="E5462" s="8" t="s">
        <v>303</v>
      </c>
      <c r="F5462" s="8" t="s">
        <v>5137</v>
      </c>
    </row>
    <row r="5463" spans="1:6" ht="45" x14ac:dyDescent="0.25">
      <c r="A5463" s="8" t="s">
        <v>125</v>
      </c>
      <c r="B5463" s="8" t="s">
        <v>4868</v>
      </c>
      <c r="C5463" s="8" t="str">
        <f>IFERROR(_xlfn.XLOOKUP(TRIM(B5463),Lookup!$B$2:$B$1000,Lookup!$C$2:$C$1000),"")</f>
        <v>Equity</v>
      </c>
      <c r="D5463" s="8" t="str">
        <f>IFERROR(INDEX('nav master'!$C:$C, MATCH(B5463, 'nav master'!$B:$B, 0)), "")</f>
        <v/>
      </c>
      <c r="E5463" s="8" t="s">
        <v>305</v>
      </c>
      <c r="F5463" s="8" t="s">
        <v>5138</v>
      </c>
    </row>
    <row r="5464" spans="1:6" ht="45" x14ac:dyDescent="0.25">
      <c r="A5464" s="8" t="s">
        <v>125</v>
      </c>
      <c r="B5464" s="8" t="s">
        <v>4868</v>
      </c>
      <c r="C5464" s="8" t="str">
        <f>IFERROR(_xlfn.XLOOKUP(TRIM(B5464),Lookup!$B$2:$B$1000,Lookup!$C$2:$C$1000),"")</f>
        <v>Equity</v>
      </c>
      <c r="D5464" s="8" t="str">
        <f>IFERROR(INDEX('nav master'!$C:$C, MATCH(B5464, 'nav master'!$B:$B, 0)), "")</f>
        <v/>
      </c>
      <c r="E5464" s="8" t="s">
        <v>307</v>
      </c>
      <c r="F5464" s="8" t="s">
        <v>5139</v>
      </c>
    </row>
    <row r="5465" spans="1:6" ht="45" x14ac:dyDescent="0.25">
      <c r="A5465" s="8" t="s">
        <v>125</v>
      </c>
      <c r="B5465" s="8" t="s">
        <v>4868</v>
      </c>
      <c r="C5465" s="8" t="str">
        <f>IFERROR(_xlfn.XLOOKUP(TRIM(B5465),Lookup!$B$2:$B$1000,Lookup!$C$2:$C$1000),"")</f>
        <v>Equity</v>
      </c>
      <c r="D5465" s="8" t="str">
        <f>IFERROR(INDEX('nav master'!$C:$C, MATCH(B5465, 'nav master'!$B:$B, 0)), "")</f>
        <v/>
      </c>
      <c r="E5465" s="8" t="s">
        <v>309</v>
      </c>
      <c r="F5465" s="8" t="s">
        <v>5140</v>
      </c>
    </row>
    <row r="5466" spans="1:6" ht="45" x14ac:dyDescent="0.25">
      <c r="A5466" s="8" t="s">
        <v>125</v>
      </c>
      <c r="B5466" s="8" t="s">
        <v>4868</v>
      </c>
      <c r="C5466" s="8" t="str">
        <f>IFERROR(_xlfn.XLOOKUP(TRIM(B5466),Lookup!$B$2:$B$1000,Lookup!$C$2:$C$1000),"")</f>
        <v>Equity</v>
      </c>
      <c r="D5466" s="8" t="str">
        <f>IFERROR(INDEX('nav master'!$C:$C, MATCH(B5466, 'nav master'!$B:$B, 0)), "")</f>
        <v/>
      </c>
      <c r="E5466" s="8" t="s">
        <v>311</v>
      </c>
      <c r="F5466" s="8" t="s">
        <v>5141</v>
      </c>
    </row>
    <row r="5467" spans="1:6" ht="45" x14ac:dyDescent="0.25">
      <c r="A5467" s="8" t="s">
        <v>125</v>
      </c>
      <c r="B5467" s="8" t="s">
        <v>4868</v>
      </c>
      <c r="C5467" s="8" t="str">
        <f>IFERROR(_xlfn.XLOOKUP(TRIM(B5467),Lookup!$B$2:$B$1000,Lookup!$C$2:$C$1000),"")</f>
        <v>Equity</v>
      </c>
      <c r="D5467" s="8" t="str">
        <f>IFERROR(INDEX('nav master'!$C:$C, MATCH(B5467, 'nav master'!$B:$B, 0)), "")</f>
        <v/>
      </c>
      <c r="E5467" s="8" t="s">
        <v>313</v>
      </c>
      <c r="F5467" s="8" t="s">
        <v>5142</v>
      </c>
    </row>
    <row r="5468" spans="1:6" ht="45" x14ac:dyDescent="0.25">
      <c r="A5468" s="8" t="s">
        <v>125</v>
      </c>
      <c r="B5468" s="8" t="s">
        <v>4868</v>
      </c>
      <c r="C5468" s="8" t="str">
        <f>IFERROR(_xlfn.XLOOKUP(TRIM(B5468),Lookup!$B$2:$B$1000,Lookup!$C$2:$C$1000),"")</f>
        <v>Equity</v>
      </c>
      <c r="D5468" s="8" t="str">
        <f>IFERROR(INDEX('nav master'!$C:$C, MATCH(B5468, 'nav master'!$B:$B, 0)), "")</f>
        <v/>
      </c>
      <c r="E5468" s="8" t="s">
        <v>315</v>
      </c>
      <c r="F5468" s="8" t="s">
        <v>5143</v>
      </c>
    </row>
    <row r="5469" spans="1:6" ht="45" x14ac:dyDescent="0.25">
      <c r="A5469" s="8" t="s">
        <v>125</v>
      </c>
      <c r="B5469" s="8" t="s">
        <v>4868</v>
      </c>
      <c r="C5469" s="8" t="str">
        <f>IFERROR(_xlfn.XLOOKUP(TRIM(B5469),Lookup!$B$2:$B$1000,Lookup!$C$2:$C$1000),"")</f>
        <v>Equity</v>
      </c>
      <c r="D5469" s="8" t="str">
        <f>IFERROR(INDEX('nav master'!$C:$C, MATCH(B5469, 'nav master'!$B:$B, 0)), "")</f>
        <v/>
      </c>
      <c r="E5469" s="8" t="s">
        <v>317</v>
      </c>
      <c r="F5469" s="8" t="s">
        <v>5144</v>
      </c>
    </row>
    <row r="5470" spans="1:6" ht="45" x14ac:dyDescent="0.25">
      <c r="A5470" s="8" t="s">
        <v>125</v>
      </c>
      <c r="B5470" s="8" t="s">
        <v>4868</v>
      </c>
      <c r="C5470" s="8" t="str">
        <f>IFERROR(_xlfn.XLOOKUP(TRIM(B5470),Lookup!$B$2:$B$1000,Lookup!$C$2:$C$1000),"")</f>
        <v>Equity</v>
      </c>
      <c r="D5470" s="8" t="str">
        <f>IFERROR(INDEX('nav master'!$C:$C, MATCH(B5470, 'nav master'!$B:$B, 0)), "")</f>
        <v/>
      </c>
      <c r="E5470" s="8" t="s">
        <v>319</v>
      </c>
      <c r="F5470" s="8" t="s">
        <v>5145</v>
      </c>
    </row>
    <row r="5471" spans="1:6" ht="45" x14ac:dyDescent="0.25">
      <c r="A5471" s="8" t="s">
        <v>125</v>
      </c>
      <c r="B5471" s="8" t="s">
        <v>4868</v>
      </c>
      <c r="C5471" s="8" t="str">
        <f>IFERROR(_xlfn.XLOOKUP(TRIM(B5471),Lookup!$B$2:$B$1000,Lookup!$C$2:$C$1000),"")</f>
        <v>Equity</v>
      </c>
      <c r="D5471" s="8" t="str">
        <f>IFERROR(INDEX('nav master'!$C:$C, MATCH(B5471, 'nav master'!$B:$B, 0)), "")</f>
        <v/>
      </c>
      <c r="E5471" s="8" t="s">
        <v>321</v>
      </c>
      <c r="F5471" s="8" t="s">
        <v>5146</v>
      </c>
    </row>
    <row r="5472" spans="1:6" ht="45" x14ac:dyDescent="0.25">
      <c r="A5472" s="8" t="s">
        <v>125</v>
      </c>
      <c r="B5472" s="8" t="s">
        <v>4868</v>
      </c>
      <c r="C5472" s="8" t="str">
        <f>IFERROR(_xlfn.XLOOKUP(TRIM(B5472),Lookup!$B$2:$B$1000,Lookup!$C$2:$C$1000),"")</f>
        <v>Equity</v>
      </c>
      <c r="D5472" s="8" t="str">
        <f>IFERROR(INDEX('nav master'!$C:$C, MATCH(B5472, 'nav master'!$B:$B, 0)), "")</f>
        <v/>
      </c>
      <c r="E5472" s="8" t="s">
        <v>323</v>
      </c>
      <c r="F5472" s="8" t="s">
        <v>5147</v>
      </c>
    </row>
    <row r="5473" spans="1:6" ht="45" x14ac:dyDescent="0.25">
      <c r="A5473" s="8" t="s">
        <v>125</v>
      </c>
      <c r="B5473" s="8" t="s">
        <v>4868</v>
      </c>
      <c r="C5473" s="8" t="str">
        <f>IFERROR(_xlfn.XLOOKUP(TRIM(B5473),Lookup!$B$2:$B$1000,Lookup!$C$2:$C$1000),"")</f>
        <v>Equity</v>
      </c>
      <c r="D5473" s="8" t="str">
        <f>IFERROR(INDEX('nav master'!$C:$C, MATCH(B5473, 'nav master'!$B:$B, 0)), "")</f>
        <v/>
      </c>
      <c r="E5473" s="8" t="s">
        <v>325</v>
      </c>
      <c r="F5473" s="8" t="s">
        <v>5148</v>
      </c>
    </row>
    <row r="5474" spans="1:6" ht="45" x14ac:dyDescent="0.25">
      <c r="A5474" s="8" t="s">
        <v>125</v>
      </c>
      <c r="B5474" s="8" t="s">
        <v>4868</v>
      </c>
      <c r="C5474" s="8" t="str">
        <f>IFERROR(_xlfn.XLOOKUP(TRIM(B5474),Lookup!$B$2:$B$1000,Lookup!$C$2:$C$1000),"")</f>
        <v>Equity</v>
      </c>
      <c r="D5474" s="8" t="str">
        <f>IFERROR(INDEX('nav master'!$C:$C, MATCH(B5474, 'nav master'!$B:$B, 0)), "")</f>
        <v/>
      </c>
      <c r="E5474" s="8" t="s">
        <v>327</v>
      </c>
      <c r="F5474" s="8" t="s">
        <v>5149</v>
      </c>
    </row>
    <row r="5475" spans="1:6" ht="45" x14ac:dyDescent="0.25">
      <c r="A5475" s="8" t="s">
        <v>125</v>
      </c>
      <c r="B5475" s="8" t="s">
        <v>4868</v>
      </c>
      <c r="C5475" s="8" t="str">
        <f>IFERROR(_xlfn.XLOOKUP(TRIM(B5475),Lookup!$B$2:$B$1000,Lookup!$C$2:$C$1000),"")</f>
        <v>Equity</v>
      </c>
      <c r="D5475" s="8" t="str">
        <f>IFERROR(INDEX('nav master'!$C:$C, MATCH(B5475, 'nav master'!$B:$B, 0)), "")</f>
        <v/>
      </c>
      <c r="E5475" s="8" t="s">
        <v>329</v>
      </c>
      <c r="F5475" s="8" t="s">
        <v>5150</v>
      </c>
    </row>
    <row r="5476" spans="1:6" ht="45" x14ac:dyDescent="0.25">
      <c r="A5476" s="8" t="s">
        <v>125</v>
      </c>
      <c r="B5476" s="8" t="s">
        <v>4868</v>
      </c>
      <c r="C5476" s="8" t="str">
        <f>IFERROR(_xlfn.XLOOKUP(TRIM(B5476),Lookup!$B$2:$B$1000,Lookup!$C$2:$C$1000),"")</f>
        <v>Equity</v>
      </c>
      <c r="D5476" s="8" t="str">
        <f>IFERROR(INDEX('nav master'!$C:$C, MATCH(B5476, 'nav master'!$B:$B, 0)), "")</f>
        <v/>
      </c>
      <c r="E5476" s="8" t="s">
        <v>331</v>
      </c>
      <c r="F5476" s="8" t="s">
        <v>5151</v>
      </c>
    </row>
    <row r="5477" spans="1:6" ht="45" x14ac:dyDescent="0.25">
      <c r="A5477" s="8" t="s">
        <v>125</v>
      </c>
      <c r="B5477" s="8" t="s">
        <v>4868</v>
      </c>
      <c r="C5477" s="8" t="str">
        <f>IFERROR(_xlfn.XLOOKUP(TRIM(B5477),Lookup!$B$2:$B$1000,Lookup!$C$2:$C$1000),"")</f>
        <v>Equity</v>
      </c>
      <c r="D5477" s="8" t="str">
        <f>IFERROR(INDEX('nav master'!$C:$C, MATCH(B5477, 'nav master'!$B:$B, 0)), "")</f>
        <v/>
      </c>
      <c r="E5477" s="8" t="s">
        <v>333</v>
      </c>
      <c r="F5477" s="8" t="s">
        <v>5152</v>
      </c>
    </row>
    <row r="5478" spans="1:6" ht="45" x14ac:dyDescent="0.25">
      <c r="A5478" s="8" t="s">
        <v>125</v>
      </c>
      <c r="B5478" s="8" t="s">
        <v>4868</v>
      </c>
      <c r="C5478" s="8" t="str">
        <f>IFERROR(_xlfn.XLOOKUP(TRIM(B5478),Lookup!$B$2:$B$1000,Lookup!$C$2:$C$1000),"")</f>
        <v>Equity</v>
      </c>
      <c r="D5478" s="8" t="str">
        <f>IFERROR(INDEX('nav master'!$C:$C, MATCH(B5478, 'nav master'!$B:$B, 0)), "")</f>
        <v/>
      </c>
      <c r="E5478" s="8" t="s">
        <v>335</v>
      </c>
      <c r="F5478" s="8" t="s">
        <v>5153</v>
      </c>
    </row>
    <row r="5479" spans="1:6" ht="45" x14ac:dyDescent="0.25">
      <c r="A5479" s="8" t="s">
        <v>125</v>
      </c>
      <c r="B5479" s="8" t="s">
        <v>4868</v>
      </c>
      <c r="C5479" s="8" t="str">
        <f>IFERROR(_xlfn.XLOOKUP(TRIM(B5479),Lookup!$B$2:$B$1000,Lookup!$C$2:$C$1000),"")</f>
        <v>Equity</v>
      </c>
      <c r="D5479" s="8" t="str">
        <f>IFERROR(INDEX('nav master'!$C:$C, MATCH(B5479, 'nav master'!$B:$B, 0)), "")</f>
        <v/>
      </c>
      <c r="E5479" s="8" t="s">
        <v>337</v>
      </c>
      <c r="F5479" s="8" t="s">
        <v>5154</v>
      </c>
    </row>
    <row r="5480" spans="1:6" ht="45" x14ac:dyDescent="0.25">
      <c r="A5480" s="8" t="s">
        <v>125</v>
      </c>
      <c r="B5480" s="8" t="s">
        <v>4868</v>
      </c>
      <c r="C5480" s="8" t="str">
        <f>IFERROR(_xlfn.XLOOKUP(TRIM(B5480),Lookup!$B$2:$B$1000,Lookup!$C$2:$C$1000),"")</f>
        <v>Equity</v>
      </c>
      <c r="D5480" s="8" t="str">
        <f>IFERROR(INDEX('nav master'!$C:$C, MATCH(B5480, 'nav master'!$B:$B, 0)), "")</f>
        <v/>
      </c>
      <c r="E5480" s="8" t="s">
        <v>339</v>
      </c>
      <c r="F5480" s="8" t="s">
        <v>5155</v>
      </c>
    </row>
    <row r="5481" spans="1:6" ht="45" x14ac:dyDescent="0.25">
      <c r="A5481" s="8" t="s">
        <v>125</v>
      </c>
      <c r="B5481" s="8" t="s">
        <v>4868</v>
      </c>
      <c r="C5481" s="8" t="str">
        <f>IFERROR(_xlfn.XLOOKUP(TRIM(B5481),Lookup!$B$2:$B$1000,Lookup!$C$2:$C$1000),"")</f>
        <v>Equity</v>
      </c>
      <c r="D5481" s="8" t="str">
        <f>IFERROR(INDEX('nav master'!$C:$C, MATCH(B5481, 'nav master'!$B:$B, 0)), "")</f>
        <v/>
      </c>
      <c r="E5481" s="8" t="s">
        <v>341</v>
      </c>
      <c r="F5481" s="8" t="s">
        <v>5156</v>
      </c>
    </row>
    <row r="5482" spans="1:6" ht="45" x14ac:dyDescent="0.25">
      <c r="A5482" s="8" t="s">
        <v>125</v>
      </c>
      <c r="B5482" s="8" t="s">
        <v>4868</v>
      </c>
      <c r="C5482" s="8" t="str">
        <f>IFERROR(_xlfn.XLOOKUP(TRIM(B5482),Lookup!$B$2:$B$1000,Lookup!$C$2:$C$1000),"")</f>
        <v>Equity</v>
      </c>
      <c r="D5482" s="8" t="str">
        <f>IFERROR(INDEX('nav master'!$C:$C, MATCH(B5482, 'nav master'!$B:$B, 0)), "")</f>
        <v/>
      </c>
      <c r="E5482" s="8" t="s">
        <v>343</v>
      </c>
      <c r="F5482" s="8" t="s">
        <v>5157</v>
      </c>
    </row>
    <row r="5483" spans="1:6" ht="45" x14ac:dyDescent="0.25">
      <c r="A5483" s="8" t="s">
        <v>125</v>
      </c>
      <c r="B5483" s="8" t="s">
        <v>4868</v>
      </c>
      <c r="C5483" s="8" t="str">
        <f>IFERROR(_xlfn.XLOOKUP(TRIM(B5483),Lookup!$B$2:$B$1000,Lookup!$C$2:$C$1000),"")</f>
        <v>Equity</v>
      </c>
      <c r="D5483" s="8" t="str">
        <f>IFERROR(INDEX('nav master'!$C:$C, MATCH(B5483, 'nav master'!$B:$B, 0)), "")</f>
        <v/>
      </c>
      <c r="E5483" s="8" t="s">
        <v>345</v>
      </c>
      <c r="F5483" s="8" t="s">
        <v>5158</v>
      </c>
    </row>
    <row r="5484" spans="1:6" ht="45" x14ac:dyDescent="0.25">
      <c r="A5484" s="8" t="s">
        <v>125</v>
      </c>
      <c r="B5484" s="8" t="s">
        <v>4868</v>
      </c>
      <c r="C5484" s="8" t="str">
        <f>IFERROR(_xlfn.XLOOKUP(TRIM(B5484),Lookup!$B$2:$B$1000,Lookup!$C$2:$C$1000),"")</f>
        <v>Equity</v>
      </c>
      <c r="D5484" s="8" t="str">
        <f>IFERROR(INDEX('nav master'!$C:$C, MATCH(B5484, 'nav master'!$B:$B, 0)), "")</f>
        <v/>
      </c>
      <c r="E5484" s="8" t="s">
        <v>347</v>
      </c>
      <c r="F5484" s="8" t="s">
        <v>5159</v>
      </c>
    </row>
    <row r="5485" spans="1:6" ht="45" x14ac:dyDescent="0.25">
      <c r="A5485" s="8" t="s">
        <v>125</v>
      </c>
      <c r="B5485" s="8" t="s">
        <v>4868</v>
      </c>
      <c r="C5485" s="8" t="str">
        <f>IFERROR(_xlfn.XLOOKUP(TRIM(B5485),Lookup!$B$2:$B$1000,Lookup!$C$2:$C$1000),"")</f>
        <v>Equity</v>
      </c>
      <c r="D5485" s="8" t="str">
        <f>IFERROR(INDEX('nav master'!$C:$C, MATCH(B5485, 'nav master'!$B:$B, 0)), "")</f>
        <v/>
      </c>
      <c r="E5485" s="8" t="s">
        <v>349</v>
      </c>
      <c r="F5485" s="8" t="s">
        <v>5160</v>
      </c>
    </row>
    <row r="5486" spans="1:6" ht="45" x14ac:dyDescent="0.25">
      <c r="A5486" s="8" t="s">
        <v>125</v>
      </c>
      <c r="B5486" s="8" t="s">
        <v>4868</v>
      </c>
      <c r="C5486" s="8" t="str">
        <f>IFERROR(_xlfn.XLOOKUP(TRIM(B5486),Lookup!$B$2:$B$1000,Lookup!$C$2:$C$1000),"")</f>
        <v>Equity</v>
      </c>
      <c r="D5486" s="8" t="str">
        <f>IFERROR(INDEX('nav master'!$C:$C, MATCH(B5486, 'nav master'!$B:$B, 0)), "")</f>
        <v/>
      </c>
      <c r="E5486" s="8" t="s">
        <v>351</v>
      </c>
      <c r="F5486" s="8" t="s">
        <v>5161</v>
      </c>
    </row>
    <row r="5487" spans="1:6" ht="45" x14ac:dyDescent="0.25">
      <c r="A5487" s="8" t="s">
        <v>125</v>
      </c>
      <c r="B5487" s="8" t="s">
        <v>4868</v>
      </c>
      <c r="C5487" s="8" t="str">
        <f>IFERROR(_xlfn.XLOOKUP(TRIM(B5487),Lookup!$B$2:$B$1000,Lookup!$C$2:$C$1000),"")</f>
        <v>Equity</v>
      </c>
      <c r="D5487" s="8" t="str">
        <f>IFERROR(INDEX('nav master'!$C:$C, MATCH(B5487, 'nav master'!$B:$B, 0)), "")</f>
        <v/>
      </c>
      <c r="E5487" s="8" t="s">
        <v>353</v>
      </c>
      <c r="F5487" s="8" t="s">
        <v>5162</v>
      </c>
    </row>
    <row r="5488" spans="1:6" ht="45" x14ac:dyDescent="0.25">
      <c r="A5488" s="8" t="s">
        <v>125</v>
      </c>
      <c r="B5488" s="8" t="s">
        <v>4868</v>
      </c>
      <c r="C5488" s="8" t="str">
        <f>IFERROR(_xlfn.XLOOKUP(TRIM(B5488),Lookup!$B$2:$B$1000,Lookup!$C$2:$C$1000),"")</f>
        <v>Equity</v>
      </c>
      <c r="D5488" s="8" t="str">
        <f>IFERROR(INDEX('nav master'!$C:$C, MATCH(B5488, 'nav master'!$B:$B, 0)), "")</f>
        <v/>
      </c>
      <c r="E5488" s="8" t="s">
        <v>355</v>
      </c>
      <c r="F5488" s="8" t="s">
        <v>5163</v>
      </c>
    </row>
    <row r="5489" spans="1:6" ht="45" x14ac:dyDescent="0.25">
      <c r="A5489" s="8" t="s">
        <v>125</v>
      </c>
      <c r="B5489" s="8" t="s">
        <v>4868</v>
      </c>
      <c r="C5489" s="8" t="str">
        <f>IFERROR(_xlfn.XLOOKUP(TRIM(B5489),Lookup!$B$2:$B$1000,Lookup!$C$2:$C$1000),"")</f>
        <v>Equity</v>
      </c>
      <c r="D5489" s="8" t="str">
        <f>IFERROR(INDEX('nav master'!$C:$C, MATCH(B5489, 'nav master'!$B:$B, 0)), "")</f>
        <v/>
      </c>
      <c r="E5489" s="8" t="s">
        <v>357</v>
      </c>
      <c r="F5489" s="8" t="s">
        <v>5164</v>
      </c>
    </row>
    <row r="5490" spans="1:6" ht="45" x14ac:dyDescent="0.25">
      <c r="A5490" s="8" t="s">
        <v>125</v>
      </c>
      <c r="B5490" s="8" t="s">
        <v>4868</v>
      </c>
      <c r="C5490" s="8" t="str">
        <f>IFERROR(_xlfn.XLOOKUP(TRIM(B5490),Lookup!$B$2:$B$1000,Lookup!$C$2:$C$1000),"")</f>
        <v>Equity</v>
      </c>
      <c r="D5490" s="8" t="str">
        <f>IFERROR(INDEX('nav master'!$C:$C, MATCH(B5490, 'nav master'!$B:$B, 0)), "")</f>
        <v/>
      </c>
      <c r="E5490" s="8" t="s">
        <v>359</v>
      </c>
      <c r="F5490" s="8" t="s">
        <v>5165</v>
      </c>
    </row>
    <row r="5491" spans="1:6" ht="45" x14ac:dyDescent="0.25">
      <c r="A5491" s="8" t="s">
        <v>125</v>
      </c>
      <c r="B5491" s="8" t="s">
        <v>4868</v>
      </c>
      <c r="C5491" s="8" t="str">
        <f>IFERROR(_xlfn.XLOOKUP(TRIM(B5491),Lookup!$B$2:$B$1000,Lookup!$C$2:$C$1000),"")</f>
        <v>Equity</v>
      </c>
      <c r="D5491" s="8" t="str">
        <f>IFERROR(INDEX('nav master'!$C:$C, MATCH(B5491, 'nav master'!$B:$B, 0)), "")</f>
        <v/>
      </c>
      <c r="E5491" s="8" t="s">
        <v>361</v>
      </c>
      <c r="F5491" s="8" t="s">
        <v>5166</v>
      </c>
    </row>
    <row r="5492" spans="1:6" ht="45" x14ac:dyDescent="0.25">
      <c r="A5492" s="8" t="s">
        <v>125</v>
      </c>
      <c r="B5492" s="8" t="s">
        <v>4868</v>
      </c>
      <c r="C5492" s="8" t="str">
        <f>IFERROR(_xlfn.XLOOKUP(TRIM(B5492),Lookup!$B$2:$B$1000,Lookup!$C$2:$C$1000),"")</f>
        <v>Equity</v>
      </c>
      <c r="D5492" s="8" t="str">
        <f>IFERROR(INDEX('nav master'!$C:$C, MATCH(B5492, 'nav master'!$B:$B, 0)), "")</f>
        <v/>
      </c>
      <c r="E5492" s="8" t="s">
        <v>363</v>
      </c>
      <c r="F5492" s="8" t="s">
        <v>5167</v>
      </c>
    </row>
    <row r="5493" spans="1:6" ht="45" x14ac:dyDescent="0.25">
      <c r="A5493" s="8" t="s">
        <v>125</v>
      </c>
      <c r="B5493" s="8" t="s">
        <v>4868</v>
      </c>
      <c r="C5493" s="8" t="str">
        <f>IFERROR(_xlfn.XLOOKUP(TRIM(B5493),Lookup!$B$2:$B$1000,Lookup!$C$2:$C$1000),"")</f>
        <v>Equity</v>
      </c>
      <c r="D5493" s="8" t="str">
        <f>IFERROR(INDEX('nav master'!$C:$C, MATCH(B5493, 'nav master'!$B:$B, 0)), "")</f>
        <v/>
      </c>
      <c r="E5493" s="8" t="s">
        <v>365</v>
      </c>
      <c r="F5493" s="8" t="s">
        <v>5168</v>
      </c>
    </row>
    <row r="5494" spans="1:6" ht="45" x14ac:dyDescent="0.25">
      <c r="A5494" s="8" t="s">
        <v>125</v>
      </c>
      <c r="B5494" s="8" t="s">
        <v>4868</v>
      </c>
      <c r="C5494" s="8" t="str">
        <f>IFERROR(_xlfn.XLOOKUP(TRIM(B5494),Lookup!$B$2:$B$1000,Lookup!$C$2:$C$1000),"")</f>
        <v>Equity</v>
      </c>
      <c r="D5494" s="8" t="str">
        <f>IFERROR(INDEX('nav master'!$C:$C, MATCH(B5494, 'nav master'!$B:$B, 0)), "")</f>
        <v/>
      </c>
      <c r="E5494" s="8" t="s">
        <v>367</v>
      </c>
      <c r="F5494" s="8" t="s">
        <v>5169</v>
      </c>
    </row>
    <row r="5495" spans="1:6" ht="45" x14ac:dyDescent="0.25">
      <c r="A5495" s="8" t="s">
        <v>125</v>
      </c>
      <c r="B5495" s="8" t="s">
        <v>4868</v>
      </c>
      <c r="C5495" s="8" t="str">
        <f>IFERROR(_xlfn.XLOOKUP(TRIM(B5495),Lookup!$B$2:$B$1000,Lookup!$C$2:$C$1000),"")</f>
        <v>Equity</v>
      </c>
      <c r="D5495" s="8" t="str">
        <f>IFERROR(INDEX('nav master'!$C:$C, MATCH(B5495, 'nav master'!$B:$B, 0)), "")</f>
        <v/>
      </c>
      <c r="E5495" s="8" t="s">
        <v>369</v>
      </c>
      <c r="F5495" s="8" t="s">
        <v>5170</v>
      </c>
    </row>
    <row r="5496" spans="1:6" ht="45" x14ac:dyDescent="0.25">
      <c r="A5496" s="8" t="s">
        <v>125</v>
      </c>
      <c r="B5496" s="8" t="s">
        <v>4868</v>
      </c>
      <c r="C5496" s="8" t="str">
        <f>IFERROR(_xlfn.XLOOKUP(TRIM(B5496),Lookup!$B$2:$B$1000,Lookup!$C$2:$C$1000),"")</f>
        <v>Equity</v>
      </c>
      <c r="D5496" s="8" t="str">
        <f>IFERROR(INDEX('nav master'!$C:$C, MATCH(B5496, 'nav master'!$B:$B, 0)), "")</f>
        <v/>
      </c>
      <c r="E5496" s="8" t="s">
        <v>371</v>
      </c>
      <c r="F5496" s="8" t="s">
        <v>5171</v>
      </c>
    </row>
    <row r="5497" spans="1:6" ht="45" x14ac:dyDescent="0.25">
      <c r="A5497" s="8" t="s">
        <v>125</v>
      </c>
      <c r="B5497" s="8" t="s">
        <v>4868</v>
      </c>
      <c r="C5497" s="8" t="str">
        <f>IFERROR(_xlfn.XLOOKUP(TRIM(B5497),Lookup!$B$2:$B$1000,Lookup!$C$2:$C$1000),"")</f>
        <v>Equity</v>
      </c>
      <c r="D5497" s="8" t="str">
        <f>IFERROR(INDEX('nav master'!$C:$C, MATCH(B5497, 'nav master'!$B:$B, 0)), "")</f>
        <v/>
      </c>
      <c r="E5497" s="8" t="s">
        <v>373</v>
      </c>
      <c r="F5497" s="8" t="s">
        <v>5172</v>
      </c>
    </row>
    <row r="5498" spans="1:6" ht="45" x14ac:dyDescent="0.25">
      <c r="A5498" s="8" t="s">
        <v>125</v>
      </c>
      <c r="B5498" s="8" t="s">
        <v>4868</v>
      </c>
      <c r="C5498" s="8" t="str">
        <f>IFERROR(_xlfn.XLOOKUP(TRIM(B5498),Lookup!$B$2:$B$1000,Lookup!$C$2:$C$1000),"")</f>
        <v>Equity</v>
      </c>
      <c r="D5498" s="8" t="str">
        <f>IFERROR(INDEX('nav master'!$C:$C, MATCH(B5498, 'nav master'!$B:$B, 0)), "")</f>
        <v/>
      </c>
      <c r="E5498" s="8" t="s">
        <v>375</v>
      </c>
      <c r="F5498" s="8" t="s">
        <v>5173</v>
      </c>
    </row>
    <row r="5499" spans="1:6" ht="45" x14ac:dyDescent="0.25">
      <c r="A5499" s="8" t="s">
        <v>125</v>
      </c>
      <c r="B5499" s="8" t="s">
        <v>4868</v>
      </c>
      <c r="C5499" s="8" t="str">
        <f>IFERROR(_xlfn.XLOOKUP(TRIM(B5499),Lookup!$B$2:$B$1000,Lookup!$C$2:$C$1000),"")</f>
        <v>Equity</v>
      </c>
      <c r="D5499" s="8" t="str">
        <f>IFERROR(INDEX('nav master'!$C:$C, MATCH(B5499, 'nav master'!$B:$B, 0)), "")</f>
        <v/>
      </c>
      <c r="E5499" s="8" t="s">
        <v>377</v>
      </c>
      <c r="F5499" s="8" t="s">
        <v>5174</v>
      </c>
    </row>
    <row r="5500" spans="1:6" ht="45" x14ac:dyDescent="0.25">
      <c r="A5500" s="8" t="s">
        <v>125</v>
      </c>
      <c r="B5500" s="8" t="s">
        <v>4868</v>
      </c>
      <c r="C5500" s="8" t="str">
        <f>IFERROR(_xlfn.XLOOKUP(TRIM(B5500),Lookup!$B$2:$B$1000,Lookup!$C$2:$C$1000),"")</f>
        <v>Equity</v>
      </c>
      <c r="D5500" s="8" t="str">
        <f>IFERROR(INDEX('nav master'!$C:$C, MATCH(B5500, 'nav master'!$B:$B, 0)), "")</f>
        <v/>
      </c>
      <c r="E5500" s="8" t="s">
        <v>379</v>
      </c>
      <c r="F5500" s="8" t="s">
        <v>5175</v>
      </c>
    </row>
    <row r="5501" spans="1:6" ht="45" x14ac:dyDescent="0.25">
      <c r="A5501" s="8" t="s">
        <v>125</v>
      </c>
      <c r="B5501" s="8" t="s">
        <v>4868</v>
      </c>
      <c r="C5501" s="8" t="str">
        <f>IFERROR(_xlfn.XLOOKUP(TRIM(B5501),Lookup!$B$2:$B$1000,Lookup!$C$2:$C$1000),"")</f>
        <v>Equity</v>
      </c>
      <c r="D5501" s="8" t="str">
        <f>IFERROR(INDEX('nav master'!$C:$C, MATCH(B5501, 'nav master'!$B:$B, 0)), "")</f>
        <v/>
      </c>
      <c r="E5501" s="8" t="s">
        <v>381</v>
      </c>
      <c r="F5501" s="8" t="s">
        <v>5176</v>
      </c>
    </row>
    <row r="5502" spans="1:6" ht="45" x14ac:dyDescent="0.25">
      <c r="A5502" s="8" t="s">
        <v>125</v>
      </c>
      <c r="B5502" s="8" t="s">
        <v>4868</v>
      </c>
      <c r="C5502" s="8" t="str">
        <f>IFERROR(_xlfn.XLOOKUP(TRIM(B5502),Lookup!$B$2:$B$1000,Lookup!$C$2:$C$1000),"")</f>
        <v>Equity</v>
      </c>
      <c r="D5502" s="8" t="str">
        <f>IFERROR(INDEX('nav master'!$C:$C, MATCH(B5502, 'nav master'!$B:$B, 0)), "")</f>
        <v/>
      </c>
      <c r="E5502" s="8" t="s">
        <v>383</v>
      </c>
      <c r="F5502" s="8" t="s">
        <v>5177</v>
      </c>
    </row>
    <row r="5503" spans="1:6" ht="45" x14ac:dyDescent="0.25">
      <c r="A5503" s="8" t="s">
        <v>125</v>
      </c>
      <c r="B5503" s="8" t="s">
        <v>4868</v>
      </c>
      <c r="C5503" s="8" t="str">
        <f>IFERROR(_xlfn.XLOOKUP(TRIM(B5503),Lookup!$B$2:$B$1000,Lookup!$C$2:$C$1000),"")</f>
        <v>Equity</v>
      </c>
      <c r="D5503" s="8" t="str">
        <f>IFERROR(INDEX('nav master'!$C:$C, MATCH(B5503, 'nav master'!$B:$B, 0)), "")</f>
        <v/>
      </c>
      <c r="E5503" s="8" t="s">
        <v>385</v>
      </c>
      <c r="F5503" s="8" t="s">
        <v>5178</v>
      </c>
    </row>
    <row r="5504" spans="1:6" ht="45" x14ac:dyDescent="0.25">
      <c r="A5504" s="8" t="s">
        <v>125</v>
      </c>
      <c r="B5504" s="8" t="s">
        <v>4868</v>
      </c>
      <c r="C5504" s="8" t="str">
        <f>IFERROR(_xlfn.XLOOKUP(TRIM(B5504),Lookup!$B$2:$B$1000,Lookup!$C$2:$C$1000),"")</f>
        <v>Equity</v>
      </c>
      <c r="D5504" s="8" t="str">
        <f>IFERROR(INDEX('nav master'!$C:$C, MATCH(B5504, 'nav master'!$B:$B, 0)), "")</f>
        <v/>
      </c>
      <c r="E5504" s="8" t="s">
        <v>387</v>
      </c>
      <c r="F5504" s="8" t="s">
        <v>5179</v>
      </c>
    </row>
    <row r="5505" spans="1:6" ht="45" x14ac:dyDescent="0.25">
      <c r="A5505" s="8" t="s">
        <v>125</v>
      </c>
      <c r="B5505" s="8" t="s">
        <v>4868</v>
      </c>
      <c r="C5505" s="8" t="str">
        <f>IFERROR(_xlfn.XLOOKUP(TRIM(B5505),Lookup!$B$2:$B$1000,Lookup!$C$2:$C$1000),"")</f>
        <v>Equity</v>
      </c>
      <c r="D5505" s="8" t="str">
        <f>IFERROR(INDEX('nav master'!$C:$C, MATCH(B5505, 'nav master'!$B:$B, 0)), "")</f>
        <v/>
      </c>
      <c r="E5505" s="8" t="s">
        <v>389</v>
      </c>
      <c r="F5505" s="8" t="s">
        <v>5180</v>
      </c>
    </row>
    <row r="5506" spans="1:6" ht="45" x14ac:dyDescent="0.25">
      <c r="A5506" s="8" t="s">
        <v>125</v>
      </c>
      <c r="B5506" s="8" t="s">
        <v>4868</v>
      </c>
      <c r="C5506" s="8" t="str">
        <f>IFERROR(_xlfn.XLOOKUP(TRIM(B5506),Lookup!$B$2:$B$1000,Lookup!$C$2:$C$1000),"")</f>
        <v>Equity</v>
      </c>
      <c r="D5506" s="8" t="str">
        <f>IFERROR(INDEX('nav master'!$C:$C, MATCH(B5506, 'nav master'!$B:$B, 0)), "")</f>
        <v/>
      </c>
      <c r="E5506" s="8" t="s">
        <v>391</v>
      </c>
      <c r="F5506" s="8" t="s">
        <v>5181</v>
      </c>
    </row>
    <row r="5507" spans="1:6" ht="45" x14ac:dyDescent="0.25">
      <c r="A5507" s="8" t="s">
        <v>125</v>
      </c>
      <c r="B5507" s="8" t="s">
        <v>4868</v>
      </c>
      <c r="C5507" s="8" t="str">
        <f>IFERROR(_xlfn.XLOOKUP(TRIM(B5507),Lookup!$B$2:$B$1000,Lookup!$C$2:$C$1000),"")</f>
        <v>Equity</v>
      </c>
      <c r="D5507" s="8" t="str">
        <f>IFERROR(INDEX('nav master'!$C:$C, MATCH(B5507, 'nav master'!$B:$B, 0)), "")</f>
        <v/>
      </c>
      <c r="E5507" s="8" t="s">
        <v>393</v>
      </c>
      <c r="F5507" s="8" t="s">
        <v>5182</v>
      </c>
    </row>
    <row r="5508" spans="1:6" ht="45" x14ac:dyDescent="0.25">
      <c r="A5508" s="8" t="s">
        <v>125</v>
      </c>
      <c r="B5508" s="8" t="s">
        <v>4868</v>
      </c>
      <c r="C5508" s="8" t="str">
        <f>IFERROR(_xlfn.XLOOKUP(TRIM(B5508),Lookup!$B$2:$B$1000,Lookup!$C$2:$C$1000),"")</f>
        <v>Equity</v>
      </c>
      <c r="D5508" s="8" t="str">
        <f>IFERROR(INDEX('nav master'!$C:$C, MATCH(B5508, 'nav master'!$B:$B, 0)), "")</f>
        <v/>
      </c>
      <c r="E5508" s="8" t="s">
        <v>395</v>
      </c>
      <c r="F5508" s="8" t="s">
        <v>5183</v>
      </c>
    </row>
    <row r="5509" spans="1:6" ht="45" x14ac:dyDescent="0.25">
      <c r="A5509" s="8" t="s">
        <v>125</v>
      </c>
      <c r="B5509" s="8" t="s">
        <v>4868</v>
      </c>
      <c r="C5509" s="8" t="str">
        <f>IFERROR(_xlfn.XLOOKUP(TRIM(B5509),Lookup!$B$2:$B$1000,Lookup!$C$2:$C$1000),"")</f>
        <v>Equity</v>
      </c>
      <c r="D5509" s="8" t="str">
        <f>IFERROR(INDEX('nav master'!$C:$C, MATCH(B5509, 'nav master'!$B:$B, 0)), "")</f>
        <v/>
      </c>
      <c r="E5509" s="8" t="s">
        <v>397</v>
      </c>
      <c r="F5509" s="8" t="s">
        <v>5184</v>
      </c>
    </row>
    <row r="5510" spans="1:6" ht="45" x14ac:dyDescent="0.25">
      <c r="A5510" s="8" t="s">
        <v>125</v>
      </c>
      <c r="B5510" s="8" t="s">
        <v>4868</v>
      </c>
      <c r="C5510" s="8" t="str">
        <f>IFERROR(_xlfn.XLOOKUP(TRIM(B5510),Lookup!$B$2:$B$1000,Lookup!$C$2:$C$1000),"")</f>
        <v>Equity</v>
      </c>
      <c r="D5510" s="8" t="str">
        <f>IFERROR(INDEX('nav master'!$C:$C, MATCH(B5510, 'nav master'!$B:$B, 0)), "")</f>
        <v/>
      </c>
      <c r="E5510" s="8" t="s">
        <v>399</v>
      </c>
      <c r="F5510" s="8" t="s">
        <v>5185</v>
      </c>
    </row>
    <row r="5511" spans="1:6" ht="45" x14ac:dyDescent="0.25">
      <c r="A5511" s="8" t="s">
        <v>125</v>
      </c>
      <c r="B5511" s="8" t="s">
        <v>4868</v>
      </c>
      <c r="C5511" s="8" t="str">
        <f>IFERROR(_xlfn.XLOOKUP(TRIM(B5511),Lookup!$B$2:$B$1000,Lookup!$C$2:$C$1000),"")</f>
        <v>Equity</v>
      </c>
      <c r="D5511" s="8" t="str">
        <f>IFERROR(INDEX('nav master'!$C:$C, MATCH(B5511, 'nav master'!$B:$B, 0)), "")</f>
        <v/>
      </c>
      <c r="E5511" s="8" t="s">
        <v>401</v>
      </c>
      <c r="F5511" s="8" t="s">
        <v>5186</v>
      </c>
    </row>
    <row r="5512" spans="1:6" ht="45" x14ac:dyDescent="0.25">
      <c r="A5512" s="8" t="s">
        <v>125</v>
      </c>
      <c r="B5512" s="8" t="s">
        <v>4868</v>
      </c>
      <c r="C5512" s="8" t="str">
        <f>IFERROR(_xlfn.XLOOKUP(TRIM(B5512),Lookup!$B$2:$B$1000,Lookup!$C$2:$C$1000),"")</f>
        <v>Equity</v>
      </c>
      <c r="D5512" s="8" t="str">
        <f>IFERROR(INDEX('nav master'!$C:$C, MATCH(B5512, 'nav master'!$B:$B, 0)), "")</f>
        <v/>
      </c>
      <c r="E5512" s="8" t="s">
        <v>403</v>
      </c>
      <c r="F5512" s="8" t="s">
        <v>5187</v>
      </c>
    </row>
    <row r="5513" spans="1:6" ht="45" x14ac:dyDescent="0.25">
      <c r="A5513" s="8" t="s">
        <v>125</v>
      </c>
      <c r="B5513" s="8" t="s">
        <v>4868</v>
      </c>
      <c r="C5513" s="8" t="str">
        <f>IFERROR(_xlfn.XLOOKUP(TRIM(B5513),Lookup!$B$2:$B$1000,Lookup!$C$2:$C$1000),"")</f>
        <v>Equity</v>
      </c>
      <c r="D5513" s="8" t="str">
        <f>IFERROR(INDEX('nav master'!$C:$C, MATCH(B5513, 'nav master'!$B:$B, 0)), "")</f>
        <v/>
      </c>
      <c r="E5513" s="8" t="s">
        <v>405</v>
      </c>
      <c r="F5513" s="8" t="s">
        <v>5188</v>
      </c>
    </row>
    <row r="5514" spans="1:6" ht="45" x14ac:dyDescent="0.25">
      <c r="A5514" s="8" t="s">
        <v>125</v>
      </c>
      <c r="B5514" s="8" t="s">
        <v>4868</v>
      </c>
      <c r="C5514" s="8" t="str">
        <f>IFERROR(_xlfn.XLOOKUP(TRIM(B5514),Lookup!$B$2:$B$1000,Lookup!$C$2:$C$1000),"")</f>
        <v>Equity</v>
      </c>
      <c r="D5514" s="8" t="str">
        <f>IFERROR(INDEX('nav master'!$C:$C, MATCH(B5514, 'nav master'!$B:$B, 0)), "")</f>
        <v/>
      </c>
      <c r="E5514" s="8" t="s">
        <v>407</v>
      </c>
      <c r="F5514" s="8" t="s">
        <v>5189</v>
      </c>
    </row>
    <row r="5515" spans="1:6" ht="45" x14ac:dyDescent="0.25">
      <c r="A5515" s="8" t="s">
        <v>125</v>
      </c>
      <c r="B5515" s="8" t="s">
        <v>4868</v>
      </c>
      <c r="C5515" s="8" t="str">
        <f>IFERROR(_xlfn.XLOOKUP(TRIM(B5515),Lookup!$B$2:$B$1000,Lookup!$C$2:$C$1000),"")</f>
        <v>Equity</v>
      </c>
      <c r="D5515" s="8" t="str">
        <f>IFERROR(INDEX('nav master'!$C:$C, MATCH(B5515, 'nav master'!$B:$B, 0)), "")</f>
        <v/>
      </c>
      <c r="E5515" s="8" t="s">
        <v>409</v>
      </c>
      <c r="F5515" s="8" t="s">
        <v>5190</v>
      </c>
    </row>
    <row r="5516" spans="1:6" ht="45" x14ac:dyDescent="0.25">
      <c r="A5516" s="8" t="s">
        <v>125</v>
      </c>
      <c r="B5516" s="8" t="s">
        <v>4868</v>
      </c>
      <c r="C5516" s="8" t="str">
        <f>IFERROR(_xlfn.XLOOKUP(TRIM(B5516),Lookup!$B$2:$B$1000,Lookup!$C$2:$C$1000),"")</f>
        <v>Equity</v>
      </c>
      <c r="D5516" s="8" t="str">
        <f>IFERROR(INDEX('nav master'!$C:$C, MATCH(B5516, 'nav master'!$B:$B, 0)), "")</f>
        <v/>
      </c>
      <c r="E5516" s="8" t="s">
        <v>411</v>
      </c>
      <c r="F5516" s="8" t="s">
        <v>5191</v>
      </c>
    </row>
    <row r="5517" spans="1:6" ht="45" x14ac:dyDescent="0.25">
      <c r="A5517" s="8" t="s">
        <v>125</v>
      </c>
      <c r="B5517" s="8" t="s">
        <v>4868</v>
      </c>
      <c r="C5517" s="8" t="str">
        <f>IFERROR(_xlfn.XLOOKUP(TRIM(B5517),Lookup!$B$2:$B$1000,Lookup!$C$2:$C$1000),"")</f>
        <v>Equity</v>
      </c>
      <c r="D5517" s="8" t="str">
        <f>IFERROR(INDEX('nav master'!$C:$C, MATCH(B5517, 'nav master'!$B:$B, 0)), "")</f>
        <v/>
      </c>
      <c r="E5517" s="8" t="s">
        <v>413</v>
      </c>
      <c r="F5517" s="8" t="s">
        <v>5192</v>
      </c>
    </row>
    <row r="5518" spans="1:6" ht="45" x14ac:dyDescent="0.25">
      <c r="A5518" s="8" t="s">
        <v>125</v>
      </c>
      <c r="B5518" s="8" t="s">
        <v>4868</v>
      </c>
      <c r="C5518" s="8" t="str">
        <f>IFERROR(_xlfn.XLOOKUP(TRIM(B5518),Lookup!$B$2:$B$1000,Lookup!$C$2:$C$1000),"")</f>
        <v>Equity</v>
      </c>
      <c r="D5518" s="8" t="str">
        <f>IFERROR(INDEX('nav master'!$C:$C, MATCH(B5518, 'nav master'!$B:$B, 0)), "")</f>
        <v/>
      </c>
      <c r="E5518" s="8" t="s">
        <v>415</v>
      </c>
      <c r="F5518" s="8" t="s">
        <v>5193</v>
      </c>
    </row>
    <row r="5519" spans="1:6" ht="45" x14ac:dyDescent="0.25">
      <c r="A5519" s="8" t="s">
        <v>125</v>
      </c>
      <c r="B5519" s="8" t="s">
        <v>4868</v>
      </c>
      <c r="C5519" s="8" t="str">
        <f>IFERROR(_xlfn.XLOOKUP(TRIM(B5519),Lookup!$B$2:$B$1000,Lookup!$C$2:$C$1000),"")</f>
        <v>Equity</v>
      </c>
      <c r="D5519" s="8" t="str">
        <f>IFERROR(INDEX('nav master'!$C:$C, MATCH(B5519, 'nav master'!$B:$B, 0)), "")</f>
        <v/>
      </c>
      <c r="E5519" s="8" t="s">
        <v>417</v>
      </c>
      <c r="F5519" s="8" t="s">
        <v>5194</v>
      </c>
    </row>
    <row r="5520" spans="1:6" ht="45" x14ac:dyDescent="0.25">
      <c r="A5520" s="8" t="s">
        <v>125</v>
      </c>
      <c r="B5520" s="8" t="s">
        <v>4868</v>
      </c>
      <c r="C5520" s="8" t="str">
        <f>IFERROR(_xlfn.XLOOKUP(TRIM(B5520),Lookup!$B$2:$B$1000,Lookup!$C$2:$C$1000),"")</f>
        <v>Equity</v>
      </c>
      <c r="D5520" s="8" t="str">
        <f>IFERROR(INDEX('nav master'!$C:$C, MATCH(B5520, 'nav master'!$B:$B, 0)), "")</f>
        <v/>
      </c>
      <c r="E5520" s="8" t="s">
        <v>419</v>
      </c>
      <c r="F5520" s="8" t="s">
        <v>5195</v>
      </c>
    </row>
    <row r="5521" spans="1:6" ht="45" x14ac:dyDescent="0.25">
      <c r="A5521" s="8" t="s">
        <v>125</v>
      </c>
      <c r="B5521" s="8" t="s">
        <v>4868</v>
      </c>
      <c r="C5521" s="8" t="str">
        <f>IFERROR(_xlfn.XLOOKUP(TRIM(B5521),Lookup!$B$2:$B$1000,Lookup!$C$2:$C$1000),"")</f>
        <v>Equity</v>
      </c>
      <c r="D5521" s="8" t="str">
        <f>IFERROR(INDEX('nav master'!$C:$C, MATCH(B5521, 'nav master'!$B:$B, 0)), "")</f>
        <v/>
      </c>
      <c r="E5521" s="8" t="s">
        <v>421</v>
      </c>
      <c r="F5521" s="8" t="s">
        <v>5196</v>
      </c>
    </row>
    <row r="5522" spans="1:6" ht="45" x14ac:dyDescent="0.25">
      <c r="A5522" s="8" t="s">
        <v>125</v>
      </c>
      <c r="B5522" s="8" t="s">
        <v>4868</v>
      </c>
      <c r="C5522" s="8" t="str">
        <f>IFERROR(_xlfn.XLOOKUP(TRIM(B5522),Lookup!$B$2:$B$1000,Lookup!$C$2:$C$1000),"")</f>
        <v>Equity</v>
      </c>
      <c r="D5522" s="8" t="str">
        <f>IFERROR(INDEX('nav master'!$C:$C, MATCH(B5522, 'nav master'!$B:$B, 0)), "")</f>
        <v/>
      </c>
      <c r="E5522" s="8" t="s">
        <v>423</v>
      </c>
      <c r="F5522" s="8" t="s">
        <v>5197</v>
      </c>
    </row>
    <row r="5523" spans="1:6" ht="45" x14ac:dyDescent="0.25">
      <c r="A5523" s="8" t="s">
        <v>125</v>
      </c>
      <c r="B5523" s="8" t="s">
        <v>4868</v>
      </c>
      <c r="C5523" s="8" t="str">
        <f>IFERROR(_xlfn.XLOOKUP(TRIM(B5523),Lookup!$B$2:$B$1000,Lookup!$C$2:$C$1000),"")</f>
        <v>Equity</v>
      </c>
      <c r="D5523" s="8" t="str">
        <f>IFERROR(INDEX('nav master'!$C:$C, MATCH(B5523, 'nav master'!$B:$B, 0)), "")</f>
        <v/>
      </c>
      <c r="E5523" s="8" t="s">
        <v>425</v>
      </c>
      <c r="F5523" s="8" t="s">
        <v>5198</v>
      </c>
    </row>
    <row r="5524" spans="1:6" ht="45" x14ac:dyDescent="0.25">
      <c r="A5524" s="8" t="s">
        <v>125</v>
      </c>
      <c r="B5524" s="8" t="s">
        <v>4868</v>
      </c>
      <c r="C5524" s="8" t="str">
        <f>IFERROR(_xlfn.XLOOKUP(TRIM(B5524),Lookup!$B$2:$B$1000,Lookup!$C$2:$C$1000),"")</f>
        <v>Equity</v>
      </c>
      <c r="D5524" s="8" t="str">
        <f>IFERROR(INDEX('nav master'!$C:$C, MATCH(B5524, 'nav master'!$B:$B, 0)), "")</f>
        <v/>
      </c>
      <c r="E5524" s="8" t="s">
        <v>427</v>
      </c>
      <c r="F5524" s="8" t="s">
        <v>5199</v>
      </c>
    </row>
    <row r="5525" spans="1:6" ht="45" x14ac:dyDescent="0.25">
      <c r="A5525" s="8" t="s">
        <v>125</v>
      </c>
      <c r="B5525" s="8" t="s">
        <v>4868</v>
      </c>
      <c r="C5525" s="8" t="str">
        <f>IFERROR(_xlfn.XLOOKUP(TRIM(B5525),Lookup!$B$2:$B$1000,Lookup!$C$2:$C$1000),"")</f>
        <v>Equity</v>
      </c>
      <c r="D5525" s="8" t="str">
        <f>IFERROR(INDEX('nav master'!$C:$C, MATCH(B5525, 'nav master'!$B:$B, 0)), "")</f>
        <v/>
      </c>
      <c r="E5525" s="8" t="s">
        <v>429</v>
      </c>
      <c r="F5525" s="8" t="s">
        <v>5200</v>
      </c>
    </row>
    <row r="5526" spans="1:6" ht="45" x14ac:dyDescent="0.25">
      <c r="A5526" s="8" t="s">
        <v>125</v>
      </c>
      <c r="B5526" s="8" t="s">
        <v>4868</v>
      </c>
      <c r="C5526" s="8" t="str">
        <f>IFERROR(_xlfn.XLOOKUP(TRIM(B5526),Lookup!$B$2:$B$1000,Lookup!$C$2:$C$1000),"")</f>
        <v>Equity</v>
      </c>
      <c r="D5526" s="8" t="str">
        <f>IFERROR(INDEX('nav master'!$C:$C, MATCH(B5526, 'nav master'!$B:$B, 0)), "")</f>
        <v/>
      </c>
      <c r="E5526" s="8" t="s">
        <v>431</v>
      </c>
      <c r="F5526" s="8" t="s">
        <v>5201</v>
      </c>
    </row>
    <row r="5527" spans="1:6" ht="45" x14ac:dyDescent="0.25">
      <c r="A5527" s="8" t="s">
        <v>125</v>
      </c>
      <c r="B5527" s="8" t="s">
        <v>4868</v>
      </c>
      <c r="C5527" s="8" t="str">
        <f>IFERROR(_xlfn.XLOOKUP(TRIM(B5527),Lookup!$B$2:$B$1000,Lookup!$C$2:$C$1000),"")</f>
        <v>Equity</v>
      </c>
      <c r="D5527" s="8" t="str">
        <f>IFERROR(INDEX('nav master'!$C:$C, MATCH(B5527, 'nav master'!$B:$B, 0)), "")</f>
        <v/>
      </c>
      <c r="E5527" s="8" t="s">
        <v>433</v>
      </c>
      <c r="F5527" s="8" t="s">
        <v>5202</v>
      </c>
    </row>
    <row r="5528" spans="1:6" ht="45" x14ac:dyDescent="0.25">
      <c r="A5528" s="8" t="s">
        <v>125</v>
      </c>
      <c r="B5528" s="8" t="s">
        <v>4868</v>
      </c>
      <c r="C5528" s="8" t="str">
        <f>IFERROR(_xlfn.XLOOKUP(TRIM(B5528),Lookup!$B$2:$B$1000,Lookup!$C$2:$C$1000),"")</f>
        <v>Equity</v>
      </c>
      <c r="D5528" s="8" t="str">
        <f>IFERROR(INDEX('nav master'!$C:$C, MATCH(B5528, 'nav master'!$B:$B, 0)), "")</f>
        <v/>
      </c>
      <c r="E5528" s="8" t="s">
        <v>435</v>
      </c>
      <c r="F5528" s="8" t="s">
        <v>5203</v>
      </c>
    </row>
    <row r="5529" spans="1:6" ht="45" x14ac:dyDescent="0.25">
      <c r="A5529" s="8" t="s">
        <v>125</v>
      </c>
      <c r="B5529" s="8" t="s">
        <v>4868</v>
      </c>
      <c r="C5529" s="8" t="str">
        <f>IFERROR(_xlfn.XLOOKUP(TRIM(B5529),Lookup!$B$2:$B$1000,Lookup!$C$2:$C$1000),"")</f>
        <v>Equity</v>
      </c>
      <c r="D5529" s="8" t="str">
        <f>IFERROR(INDEX('nav master'!$C:$C, MATCH(B5529, 'nav master'!$B:$B, 0)), "")</f>
        <v/>
      </c>
      <c r="E5529" s="8" t="s">
        <v>437</v>
      </c>
      <c r="F5529" s="8" t="s">
        <v>5204</v>
      </c>
    </row>
    <row r="5530" spans="1:6" ht="45" x14ac:dyDescent="0.25">
      <c r="A5530" s="8" t="s">
        <v>125</v>
      </c>
      <c r="B5530" s="8" t="s">
        <v>4868</v>
      </c>
      <c r="C5530" s="8" t="str">
        <f>IFERROR(_xlfn.XLOOKUP(TRIM(B5530),Lookup!$B$2:$B$1000,Lookup!$C$2:$C$1000),"")</f>
        <v>Equity</v>
      </c>
      <c r="D5530" s="8" t="str">
        <f>IFERROR(INDEX('nav master'!$C:$C, MATCH(B5530, 'nav master'!$B:$B, 0)), "")</f>
        <v/>
      </c>
      <c r="E5530" s="8" t="s">
        <v>439</v>
      </c>
      <c r="F5530" s="8" t="s">
        <v>5205</v>
      </c>
    </row>
    <row r="5531" spans="1:6" ht="45" x14ac:dyDescent="0.25">
      <c r="A5531" s="8" t="s">
        <v>125</v>
      </c>
      <c r="B5531" s="8" t="s">
        <v>4868</v>
      </c>
      <c r="C5531" s="8" t="str">
        <f>IFERROR(_xlfn.XLOOKUP(TRIM(B5531),Lookup!$B$2:$B$1000,Lookup!$C$2:$C$1000),"")</f>
        <v>Equity</v>
      </c>
      <c r="D5531" s="8" t="str">
        <f>IFERROR(INDEX('nav master'!$C:$C, MATCH(B5531, 'nav master'!$B:$B, 0)), "")</f>
        <v/>
      </c>
      <c r="E5531" s="8" t="s">
        <v>441</v>
      </c>
      <c r="F5531" s="8" t="s">
        <v>5206</v>
      </c>
    </row>
    <row r="5532" spans="1:6" ht="45" x14ac:dyDescent="0.25">
      <c r="A5532" s="8" t="s">
        <v>125</v>
      </c>
      <c r="B5532" s="8" t="s">
        <v>4868</v>
      </c>
      <c r="C5532" s="8" t="str">
        <f>IFERROR(_xlfn.XLOOKUP(TRIM(B5532),Lookup!$B$2:$B$1000,Lookup!$C$2:$C$1000),"")</f>
        <v>Equity</v>
      </c>
      <c r="D5532" s="8" t="str">
        <f>IFERROR(INDEX('nav master'!$C:$C, MATCH(B5532, 'nav master'!$B:$B, 0)), "")</f>
        <v/>
      </c>
      <c r="E5532" s="8" t="s">
        <v>443</v>
      </c>
      <c r="F5532" s="8" t="s">
        <v>5207</v>
      </c>
    </row>
    <row r="5533" spans="1:6" ht="45" x14ac:dyDescent="0.25">
      <c r="A5533" s="8" t="s">
        <v>125</v>
      </c>
      <c r="B5533" s="8" t="s">
        <v>4868</v>
      </c>
      <c r="C5533" s="8" t="str">
        <f>IFERROR(_xlfn.XLOOKUP(TRIM(B5533),Lookup!$B$2:$B$1000,Lookup!$C$2:$C$1000),"")</f>
        <v>Equity</v>
      </c>
      <c r="D5533" s="8" t="str">
        <f>IFERROR(INDEX('nav master'!$C:$C, MATCH(B5533, 'nav master'!$B:$B, 0)), "")</f>
        <v/>
      </c>
      <c r="E5533" s="8" t="s">
        <v>445</v>
      </c>
      <c r="F5533" s="8" t="s">
        <v>5208</v>
      </c>
    </row>
    <row r="5534" spans="1:6" ht="45" x14ac:dyDescent="0.25">
      <c r="A5534" s="8" t="s">
        <v>125</v>
      </c>
      <c r="B5534" s="8" t="s">
        <v>4868</v>
      </c>
      <c r="C5534" s="8" t="str">
        <f>IFERROR(_xlfn.XLOOKUP(TRIM(B5534),Lookup!$B$2:$B$1000,Lookup!$C$2:$C$1000),"")</f>
        <v>Equity</v>
      </c>
      <c r="D5534" s="8" t="str">
        <f>IFERROR(INDEX('nav master'!$C:$C, MATCH(B5534, 'nav master'!$B:$B, 0)), "")</f>
        <v/>
      </c>
      <c r="E5534" s="8" t="s">
        <v>446</v>
      </c>
      <c r="F5534" s="8" t="s">
        <v>5209</v>
      </c>
    </row>
    <row r="5535" spans="1:6" ht="45" x14ac:dyDescent="0.25">
      <c r="A5535" s="8" t="s">
        <v>125</v>
      </c>
      <c r="B5535" s="8" t="s">
        <v>4868</v>
      </c>
      <c r="C5535" s="8" t="str">
        <f>IFERROR(_xlfn.XLOOKUP(TRIM(B5535),Lookup!$B$2:$B$1000,Lookup!$C$2:$C$1000),"")</f>
        <v>Equity</v>
      </c>
      <c r="D5535" s="8" t="str">
        <f>IFERROR(INDEX('nav master'!$C:$C, MATCH(B5535, 'nav master'!$B:$B, 0)), "")</f>
        <v/>
      </c>
      <c r="E5535" s="8" t="s">
        <v>448</v>
      </c>
      <c r="F5535" s="8" t="s">
        <v>5210</v>
      </c>
    </row>
    <row r="5536" spans="1:6" ht="45" x14ac:dyDescent="0.25">
      <c r="A5536" s="8" t="s">
        <v>125</v>
      </c>
      <c r="B5536" s="8" t="s">
        <v>4868</v>
      </c>
      <c r="C5536" s="8" t="str">
        <f>IFERROR(_xlfn.XLOOKUP(TRIM(B5536),Lookup!$B$2:$B$1000,Lookup!$C$2:$C$1000),"")</f>
        <v>Equity</v>
      </c>
      <c r="D5536" s="8" t="str">
        <f>IFERROR(INDEX('nav master'!$C:$C, MATCH(B5536, 'nav master'!$B:$B, 0)), "")</f>
        <v/>
      </c>
      <c r="E5536" s="8" t="s">
        <v>450</v>
      </c>
      <c r="F5536" s="8" t="s">
        <v>5211</v>
      </c>
    </row>
    <row r="5537" spans="1:6" ht="45" x14ac:dyDescent="0.25">
      <c r="A5537" s="8" t="s">
        <v>125</v>
      </c>
      <c r="B5537" s="8" t="s">
        <v>4868</v>
      </c>
      <c r="C5537" s="8" t="str">
        <f>IFERROR(_xlfn.XLOOKUP(TRIM(B5537),Lookup!$B$2:$B$1000,Lookup!$C$2:$C$1000),"")</f>
        <v>Equity</v>
      </c>
      <c r="D5537" s="8" t="str">
        <f>IFERROR(INDEX('nav master'!$C:$C, MATCH(B5537, 'nav master'!$B:$B, 0)), "")</f>
        <v/>
      </c>
      <c r="E5537" s="8" t="s">
        <v>452</v>
      </c>
      <c r="F5537" s="8" t="s">
        <v>5212</v>
      </c>
    </row>
    <row r="5538" spans="1:6" ht="45" x14ac:dyDescent="0.25">
      <c r="A5538" s="8" t="s">
        <v>125</v>
      </c>
      <c r="B5538" s="8" t="s">
        <v>4868</v>
      </c>
      <c r="C5538" s="8" t="str">
        <f>IFERROR(_xlfn.XLOOKUP(TRIM(B5538),Lookup!$B$2:$B$1000,Lookup!$C$2:$C$1000),"")</f>
        <v>Equity</v>
      </c>
      <c r="D5538" s="8" t="str">
        <f>IFERROR(INDEX('nav master'!$C:$C, MATCH(B5538, 'nav master'!$B:$B, 0)), "")</f>
        <v/>
      </c>
      <c r="E5538" s="8" t="s">
        <v>454</v>
      </c>
      <c r="F5538" s="8" t="s">
        <v>5213</v>
      </c>
    </row>
    <row r="5539" spans="1:6" ht="45" x14ac:dyDescent="0.25">
      <c r="A5539" s="8" t="s">
        <v>125</v>
      </c>
      <c r="B5539" s="8" t="s">
        <v>4868</v>
      </c>
      <c r="C5539" s="8" t="str">
        <f>IFERROR(_xlfn.XLOOKUP(TRIM(B5539),Lookup!$B$2:$B$1000,Lookup!$C$2:$C$1000),"")</f>
        <v>Equity</v>
      </c>
      <c r="D5539" s="8" t="str">
        <f>IFERROR(INDEX('nav master'!$C:$C, MATCH(B5539, 'nav master'!$B:$B, 0)), "")</f>
        <v/>
      </c>
      <c r="E5539" s="8" t="s">
        <v>456</v>
      </c>
      <c r="F5539" s="8" t="s">
        <v>5214</v>
      </c>
    </row>
    <row r="5540" spans="1:6" ht="45" x14ac:dyDescent="0.25">
      <c r="A5540" s="8" t="s">
        <v>125</v>
      </c>
      <c r="B5540" s="8" t="s">
        <v>4868</v>
      </c>
      <c r="C5540" s="8" t="str">
        <f>IFERROR(_xlfn.XLOOKUP(TRIM(B5540),Lookup!$B$2:$B$1000,Lookup!$C$2:$C$1000),"")</f>
        <v>Equity</v>
      </c>
      <c r="D5540" s="8" t="str">
        <f>IFERROR(INDEX('nav master'!$C:$C, MATCH(B5540, 'nav master'!$B:$B, 0)), "")</f>
        <v/>
      </c>
      <c r="E5540" s="8" t="s">
        <v>458</v>
      </c>
      <c r="F5540" s="8" t="s">
        <v>5215</v>
      </c>
    </row>
    <row r="5541" spans="1:6" ht="45" x14ac:dyDescent="0.25">
      <c r="A5541" s="8" t="s">
        <v>125</v>
      </c>
      <c r="B5541" s="8" t="s">
        <v>4868</v>
      </c>
      <c r="C5541" s="8" t="str">
        <f>IFERROR(_xlfn.XLOOKUP(TRIM(B5541),Lookup!$B$2:$B$1000,Lookup!$C$2:$C$1000),"")</f>
        <v>Equity</v>
      </c>
      <c r="D5541" s="8" t="str">
        <f>IFERROR(INDEX('nav master'!$C:$C, MATCH(B5541, 'nav master'!$B:$B, 0)), "")</f>
        <v/>
      </c>
      <c r="E5541" s="8" t="s">
        <v>460</v>
      </c>
      <c r="F5541" s="8" t="s">
        <v>5216</v>
      </c>
    </row>
    <row r="5542" spans="1:6" ht="45" x14ac:dyDescent="0.25">
      <c r="A5542" s="8" t="s">
        <v>125</v>
      </c>
      <c r="B5542" s="8" t="s">
        <v>4868</v>
      </c>
      <c r="C5542" s="8" t="str">
        <f>IFERROR(_xlfn.XLOOKUP(TRIM(B5542),Lookup!$B$2:$B$1000,Lookup!$C$2:$C$1000),"")</f>
        <v>Equity</v>
      </c>
      <c r="D5542" s="8" t="str">
        <f>IFERROR(INDEX('nav master'!$C:$C, MATCH(B5542, 'nav master'!$B:$B, 0)), "")</f>
        <v/>
      </c>
      <c r="E5542" s="8" t="s">
        <v>462</v>
      </c>
      <c r="F5542" s="8" t="s">
        <v>5217</v>
      </c>
    </row>
    <row r="5543" spans="1:6" ht="45" x14ac:dyDescent="0.25">
      <c r="A5543" s="8" t="s">
        <v>125</v>
      </c>
      <c r="B5543" s="8" t="s">
        <v>4868</v>
      </c>
      <c r="C5543" s="8" t="str">
        <f>IFERROR(_xlfn.XLOOKUP(TRIM(B5543),Lookup!$B$2:$B$1000,Lookup!$C$2:$C$1000),"")</f>
        <v>Equity</v>
      </c>
      <c r="D5543" s="8" t="str">
        <f>IFERROR(INDEX('nav master'!$C:$C, MATCH(B5543, 'nav master'!$B:$B, 0)), "")</f>
        <v/>
      </c>
      <c r="E5543" s="8" t="s">
        <v>464</v>
      </c>
      <c r="F5543" s="8" t="s">
        <v>5218</v>
      </c>
    </row>
    <row r="5544" spans="1:6" ht="45" x14ac:dyDescent="0.25">
      <c r="A5544" s="8" t="s">
        <v>125</v>
      </c>
      <c r="B5544" s="8" t="s">
        <v>4868</v>
      </c>
      <c r="C5544" s="8" t="str">
        <f>IFERROR(_xlfn.XLOOKUP(TRIM(B5544),Lookup!$B$2:$B$1000,Lookup!$C$2:$C$1000),"")</f>
        <v>Equity</v>
      </c>
      <c r="D5544" s="8" t="str">
        <f>IFERROR(INDEX('nav master'!$C:$C, MATCH(B5544, 'nav master'!$B:$B, 0)), "")</f>
        <v/>
      </c>
      <c r="E5544" s="8" t="s">
        <v>466</v>
      </c>
      <c r="F5544" s="8" t="s">
        <v>5219</v>
      </c>
    </row>
    <row r="5545" spans="1:6" ht="45" x14ac:dyDescent="0.25">
      <c r="A5545" s="8" t="s">
        <v>125</v>
      </c>
      <c r="B5545" s="8" t="s">
        <v>4868</v>
      </c>
      <c r="C5545" s="8" t="str">
        <f>IFERROR(_xlfn.XLOOKUP(TRIM(B5545),Lookup!$B$2:$B$1000,Lookup!$C$2:$C$1000),"")</f>
        <v>Equity</v>
      </c>
      <c r="D5545" s="8" t="str">
        <f>IFERROR(INDEX('nav master'!$C:$C, MATCH(B5545, 'nav master'!$B:$B, 0)), "")</f>
        <v/>
      </c>
      <c r="E5545" s="8" t="s">
        <v>468</v>
      </c>
      <c r="F5545" s="8" t="s">
        <v>5220</v>
      </c>
    </row>
    <row r="5546" spans="1:6" ht="45" x14ac:dyDescent="0.25">
      <c r="A5546" s="8" t="s">
        <v>125</v>
      </c>
      <c r="B5546" s="8" t="s">
        <v>4868</v>
      </c>
      <c r="C5546" s="8" t="str">
        <f>IFERROR(_xlfn.XLOOKUP(TRIM(B5546),Lookup!$B$2:$B$1000,Lookup!$C$2:$C$1000),"")</f>
        <v>Equity</v>
      </c>
      <c r="D5546" s="8" t="str">
        <f>IFERROR(INDEX('nav master'!$C:$C, MATCH(B5546, 'nav master'!$B:$B, 0)), "")</f>
        <v/>
      </c>
      <c r="E5546" s="8" t="s">
        <v>470</v>
      </c>
      <c r="F5546" s="8" t="s">
        <v>5221</v>
      </c>
    </row>
    <row r="5547" spans="1:6" ht="45" x14ac:dyDescent="0.25">
      <c r="A5547" s="8" t="s">
        <v>125</v>
      </c>
      <c r="B5547" s="8" t="s">
        <v>4868</v>
      </c>
      <c r="C5547" s="8" t="str">
        <f>IFERROR(_xlfn.XLOOKUP(TRIM(B5547),Lookup!$B$2:$B$1000,Lookup!$C$2:$C$1000),"")</f>
        <v>Equity</v>
      </c>
      <c r="D5547" s="8" t="str">
        <f>IFERROR(INDEX('nav master'!$C:$C, MATCH(B5547, 'nav master'!$B:$B, 0)), "")</f>
        <v/>
      </c>
      <c r="E5547" s="8" t="s">
        <v>472</v>
      </c>
      <c r="F5547" s="8" t="s">
        <v>5222</v>
      </c>
    </row>
    <row r="5548" spans="1:6" ht="45" x14ac:dyDescent="0.25">
      <c r="A5548" s="8" t="s">
        <v>125</v>
      </c>
      <c r="B5548" s="8" t="s">
        <v>4868</v>
      </c>
      <c r="C5548" s="8" t="str">
        <f>IFERROR(_xlfn.XLOOKUP(TRIM(B5548),Lookup!$B$2:$B$1000,Lookup!$C$2:$C$1000),"")</f>
        <v>Equity</v>
      </c>
      <c r="D5548" s="8" t="str">
        <f>IFERROR(INDEX('nav master'!$C:$C, MATCH(B5548, 'nav master'!$B:$B, 0)), "")</f>
        <v/>
      </c>
      <c r="E5548" s="8" t="s">
        <v>474</v>
      </c>
      <c r="F5548" s="8" t="s">
        <v>5223</v>
      </c>
    </row>
    <row r="5549" spans="1:6" ht="45" x14ac:dyDescent="0.25">
      <c r="A5549" s="8" t="s">
        <v>125</v>
      </c>
      <c r="B5549" s="8" t="s">
        <v>4868</v>
      </c>
      <c r="C5549" s="8" t="str">
        <f>IFERROR(_xlfn.XLOOKUP(TRIM(B5549),Lookup!$B$2:$B$1000,Lookup!$C$2:$C$1000),"")</f>
        <v>Equity</v>
      </c>
      <c r="D5549" s="8" t="str">
        <f>IFERROR(INDEX('nav master'!$C:$C, MATCH(B5549, 'nav master'!$B:$B, 0)), "")</f>
        <v/>
      </c>
      <c r="E5549" s="8" t="s">
        <v>476</v>
      </c>
      <c r="F5549" s="8" t="s">
        <v>5224</v>
      </c>
    </row>
    <row r="5550" spans="1:6" ht="45" x14ac:dyDescent="0.25">
      <c r="A5550" s="8" t="s">
        <v>125</v>
      </c>
      <c r="B5550" s="8" t="s">
        <v>4868</v>
      </c>
      <c r="C5550" s="8" t="str">
        <f>IFERROR(_xlfn.XLOOKUP(TRIM(B5550),Lookup!$B$2:$B$1000,Lookup!$C$2:$C$1000),"")</f>
        <v>Equity</v>
      </c>
      <c r="D5550" s="8" t="str">
        <f>IFERROR(INDEX('nav master'!$C:$C, MATCH(B5550, 'nav master'!$B:$B, 0)), "")</f>
        <v/>
      </c>
      <c r="E5550" s="8" t="s">
        <v>478</v>
      </c>
      <c r="F5550" s="8" t="s">
        <v>5225</v>
      </c>
    </row>
    <row r="5551" spans="1:6" ht="45" x14ac:dyDescent="0.25">
      <c r="A5551" s="8" t="s">
        <v>125</v>
      </c>
      <c r="B5551" s="8" t="s">
        <v>4868</v>
      </c>
      <c r="C5551" s="8" t="str">
        <f>IFERROR(_xlfn.XLOOKUP(TRIM(B5551),Lookup!$B$2:$B$1000,Lookup!$C$2:$C$1000),"")</f>
        <v>Equity</v>
      </c>
      <c r="D5551" s="8" t="str">
        <f>IFERROR(INDEX('nav master'!$C:$C, MATCH(B5551, 'nav master'!$B:$B, 0)), "")</f>
        <v/>
      </c>
      <c r="E5551" s="8" t="s">
        <v>480</v>
      </c>
      <c r="F5551" s="8" t="s">
        <v>5226</v>
      </c>
    </row>
    <row r="5552" spans="1:6" ht="45" x14ac:dyDescent="0.25">
      <c r="A5552" s="8" t="s">
        <v>125</v>
      </c>
      <c r="B5552" s="8" t="s">
        <v>4868</v>
      </c>
      <c r="C5552" s="8" t="str">
        <f>IFERROR(_xlfn.XLOOKUP(TRIM(B5552),Lookup!$B$2:$B$1000,Lookup!$C$2:$C$1000),"")</f>
        <v>Equity</v>
      </c>
      <c r="D5552" s="8" t="str">
        <f>IFERROR(INDEX('nav master'!$C:$C, MATCH(B5552, 'nav master'!$B:$B, 0)), "")</f>
        <v/>
      </c>
      <c r="E5552" s="8" t="s">
        <v>482</v>
      </c>
      <c r="F5552" s="8" t="s">
        <v>5227</v>
      </c>
    </row>
    <row r="5553" spans="1:6" ht="45" x14ac:dyDescent="0.25">
      <c r="A5553" s="8" t="s">
        <v>125</v>
      </c>
      <c r="B5553" s="8" t="s">
        <v>4868</v>
      </c>
      <c r="C5553" s="8" t="str">
        <f>IFERROR(_xlfn.XLOOKUP(TRIM(B5553),Lookup!$B$2:$B$1000,Lookup!$C$2:$C$1000),"")</f>
        <v>Equity</v>
      </c>
      <c r="D5553" s="8" t="str">
        <f>IFERROR(INDEX('nav master'!$C:$C, MATCH(B5553, 'nav master'!$B:$B, 0)), "")</f>
        <v/>
      </c>
      <c r="E5553" s="8" t="s">
        <v>484</v>
      </c>
      <c r="F5553" s="8" t="s">
        <v>5228</v>
      </c>
    </row>
    <row r="5554" spans="1:6" ht="45" x14ac:dyDescent="0.25">
      <c r="A5554" s="8" t="s">
        <v>125</v>
      </c>
      <c r="B5554" s="8" t="s">
        <v>4868</v>
      </c>
      <c r="C5554" s="8" t="str">
        <f>IFERROR(_xlfn.XLOOKUP(TRIM(B5554),Lookup!$B$2:$B$1000,Lookup!$C$2:$C$1000),"")</f>
        <v>Equity</v>
      </c>
      <c r="D5554" s="8" t="str">
        <f>IFERROR(INDEX('nav master'!$C:$C, MATCH(B5554, 'nav master'!$B:$B, 0)), "")</f>
        <v/>
      </c>
      <c r="E5554" s="8" t="s">
        <v>486</v>
      </c>
      <c r="F5554" s="8" t="s">
        <v>5229</v>
      </c>
    </row>
    <row r="5555" spans="1:6" ht="45" x14ac:dyDescent="0.25">
      <c r="A5555" s="8" t="s">
        <v>125</v>
      </c>
      <c r="B5555" s="8" t="s">
        <v>4868</v>
      </c>
      <c r="C5555" s="8" t="str">
        <f>IFERROR(_xlfn.XLOOKUP(TRIM(B5555),Lookup!$B$2:$B$1000,Lookup!$C$2:$C$1000),"")</f>
        <v>Equity</v>
      </c>
      <c r="D5555" s="8" t="str">
        <f>IFERROR(INDEX('nav master'!$C:$C, MATCH(B5555, 'nav master'!$B:$B, 0)), "")</f>
        <v/>
      </c>
      <c r="E5555" s="8" t="s">
        <v>488</v>
      </c>
      <c r="F5555" s="8" t="s">
        <v>5230</v>
      </c>
    </row>
    <row r="5556" spans="1:6" ht="45" x14ac:dyDescent="0.25">
      <c r="A5556" s="8" t="s">
        <v>125</v>
      </c>
      <c r="B5556" s="8" t="s">
        <v>4868</v>
      </c>
      <c r="C5556" s="8" t="str">
        <f>IFERROR(_xlfn.XLOOKUP(TRIM(B5556),Lookup!$B$2:$B$1000,Lookup!$C$2:$C$1000),"")</f>
        <v>Equity</v>
      </c>
      <c r="D5556" s="8" t="str">
        <f>IFERROR(INDEX('nav master'!$C:$C, MATCH(B5556, 'nav master'!$B:$B, 0)), "")</f>
        <v/>
      </c>
      <c r="E5556" s="8" t="s">
        <v>490</v>
      </c>
      <c r="F5556" s="8" t="s">
        <v>5231</v>
      </c>
    </row>
    <row r="5557" spans="1:6" ht="45" x14ac:dyDescent="0.25">
      <c r="A5557" s="8" t="s">
        <v>125</v>
      </c>
      <c r="B5557" s="8" t="s">
        <v>4868</v>
      </c>
      <c r="C5557" s="8" t="str">
        <f>IFERROR(_xlfn.XLOOKUP(TRIM(B5557),Lookup!$B$2:$B$1000,Lookup!$C$2:$C$1000),"")</f>
        <v>Equity</v>
      </c>
      <c r="D5557" s="8" t="str">
        <f>IFERROR(INDEX('nav master'!$C:$C, MATCH(B5557, 'nav master'!$B:$B, 0)), "")</f>
        <v/>
      </c>
      <c r="E5557" s="8" t="s">
        <v>492</v>
      </c>
      <c r="F5557" s="8" t="s">
        <v>5232</v>
      </c>
    </row>
    <row r="5558" spans="1:6" ht="45" x14ac:dyDescent="0.25">
      <c r="A5558" s="8" t="s">
        <v>125</v>
      </c>
      <c r="B5558" s="8" t="s">
        <v>4868</v>
      </c>
      <c r="C5558" s="8" t="str">
        <f>IFERROR(_xlfn.XLOOKUP(TRIM(B5558),Lookup!$B$2:$B$1000,Lookup!$C$2:$C$1000),"")</f>
        <v>Equity</v>
      </c>
      <c r="D5558" s="8" t="str">
        <f>IFERROR(INDEX('nav master'!$C:$C, MATCH(B5558, 'nav master'!$B:$B, 0)), "")</f>
        <v/>
      </c>
      <c r="E5558" s="8" t="s">
        <v>494</v>
      </c>
      <c r="F5558" s="8" t="s">
        <v>5233</v>
      </c>
    </row>
    <row r="5559" spans="1:6" ht="45" x14ac:dyDescent="0.25">
      <c r="A5559" s="8" t="s">
        <v>125</v>
      </c>
      <c r="B5559" s="8" t="s">
        <v>4868</v>
      </c>
      <c r="C5559" s="8" t="str">
        <f>IFERROR(_xlfn.XLOOKUP(TRIM(B5559),Lookup!$B$2:$B$1000,Lookup!$C$2:$C$1000),"")</f>
        <v>Equity</v>
      </c>
      <c r="D5559" s="8" t="str">
        <f>IFERROR(INDEX('nav master'!$C:$C, MATCH(B5559, 'nav master'!$B:$B, 0)), "")</f>
        <v/>
      </c>
      <c r="E5559" s="8" t="s">
        <v>496</v>
      </c>
      <c r="F5559" s="8" t="s">
        <v>5234</v>
      </c>
    </row>
    <row r="5560" spans="1:6" ht="45" x14ac:dyDescent="0.25">
      <c r="A5560" s="8" t="s">
        <v>125</v>
      </c>
      <c r="B5560" s="8" t="s">
        <v>4868</v>
      </c>
      <c r="C5560" s="8" t="str">
        <f>IFERROR(_xlfn.XLOOKUP(TRIM(B5560),Lookup!$B$2:$B$1000,Lookup!$C$2:$C$1000),"")</f>
        <v>Equity</v>
      </c>
      <c r="D5560" s="8" t="str">
        <f>IFERROR(INDEX('nav master'!$C:$C, MATCH(B5560, 'nav master'!$B:$B, 0)), "")</f>
        <v/>
      </c>
      <c r="E5560" s="8" t="s">
        <v>498</v>
      </c>
      <c r="F5560" s="8" t="s">
        <v>5235</v>
      </c>
    </row>
    <row r="5561" spans="1:6" ht="45" x14ac:dyDescent="0.25">
      <c r="A5561" s="8" t="s">
        <v>125</v>
      </c>
      <c r="B5561" s="8" t="s">
        <v>4868</v>
      </c>
      <c r="C5561" s="8" t="str">
        <f>IFERROR(_xlfn.XLOOKUP(TRIM(B5561),Lookup!$B$2:$B$1000,Lookup!$C$2:$C$1000),"")</f>
        <v>Equity</v>
      </c>
      <c r="D5561" s="8" t="str">
        <f>IFERROR(INDEX('nav master'!$C:$C, MATCH(B5561, 'nav master'!$B:$B, 0)), "")</f>
        <v/>
      </c>
      <c r="E5561" s="8" t="s">
        <v>500</v>
      </c>
      <c r="F5561" s="8" t="s">
        <v>5236</v>
      </c>
    </row>
    <row r="5562" spans="1:6" ht="45" x14ac:dyDescent="0.25">
      <c r="A5562" s="8" t="s">
        <v>125</v>
      </c>
      <c r="B5562" s="8" t="s">
        <v>4868</v>
      </c>
      <c r="C5562" s="8" t="str">
        <f>IFERROR(_xlfn.XLOOKUP(TRIM(B5562),Lookup!$B$2:$B$1000,Lookup!$C$2:$C$1000),"")</f>
        <v>Equity</v>
      </c>
      <c r="D5562" s="8" t="str">
        <f>IFERROR(INDEX('nav master'!$C:$C, MATCH(B5562, 'nav master'!$B:$B, 0)), "")</f>
        <v/>
      </c>
      <c r="E5562" s="8" t="s">
        <v>502</v>
      </c>
      <c r="F5562" s="8" t="s">
        <v>5237</v>
      </c>
    </row>
    <row r="5563" spans="1:6" ht="45" x14ac:dyDescent="0.25">
      <c r="A5563" s="8" t="s">
        <v>125</v>
      </c>
      <c r="B5563" s="8" t="s">
        <v>4868</v>
      </c>
      <c r="C5563" s="8" t="str">
        <f>IFERROR(_xlfn.XLOOKUP(TRIM(B5563),Lookup!$B$2:$B$1000,Lookup!$C$2:$C$1000),"")</f>
        <v>Equity</v>
      </c>
      <c r="D5563" s="8" t="str">
        <f>IFERROR(INDEX('nav master'!$C:$C, MATCH(B5563, 'nav master'!$B:$B, 0)), "")</f>
        <v/>
      </c>
      <c r="E5563" s="8" t="s">
        <v>504</v>
      </c>
      <c r="F5563" s="8" t="s">
        <v>5238</v>
      </c>
    </row>
    <row r="5564" spans="1:6" ht="45" x14ac:dyDescent="0.25">
      <c r="A5564" s="8" t="s">
        <v>125</v>
      </c>
      <c r="B5564" s="8" t="s">
        <v>4868</v>
      </c>
      <c r="C5564" s="8" t="str">
        <f>IFERROR(_xlfn.XLOOKUP(TRIM(B5564),Lookup!$B$2:$B$1000,Lookup!$C$2:$C$1000),"")</f>
        <v>Equity</v>
      </c>
      <c r="D5564" s="8" t="str">
        <f>IFERROR(INDEX('nav master'!$C:$C, MATCH(B5564, 'nav master'!$B:$B, 0)), "")</f>
        <v/>
      </c>
      <c r="E5564" s="8" t="s">
        <v>506</v>
      </c>
      <c r="F5564" s="8" t="s">
        <v>5239</v>
      </c>
    </row>
    <row r="5565" spans="1:6" ht="45" x14ac:dyDescent="0.25">
      <c r="A5565" s="8" t="s">
        <v>125</v>
      </c>
      <c r="B5565" s="8" t="s">
        <v>4868</v>
      </c>
      <c r="C5565" s="8" t="str">
        <f>IFERROR(_xlfn.XLOOKUP(TRIM(B5565),Lookup!$B$2:$B$1000,Lookup!$C$2:$C$1000),"")</f>
        <v>Equity</v>
      </c>
      <c r="D5565" s="8" t="str">
        <f>IFERROR(INDEX('nav master'!$C:$C, MATCH(B5565, 'nav master'!$B:$B, 0)), "")</f>
        <v/>
      </c>
      <c r="E5565" s="8" t="s">
        <v>508</v>
      </c>
      <c r="F5565" s="8" t="s">
        <v>5240</v>
      </c>
    </row>
    <row r="5566" spans="1:6" ht="45" x14ac:dyDescent="0.25">
      <c r="A5566" s="8" t="s">
        <v>125</v>
      </c>
      <c r="B5566" s="8" t="s">
        <v>4868</v>
      </c>
      <c r="C5566" s="8" t="str">
        <f>IFERROR(_xlfn.XLOOKUP(TRIM(B5566),Lookup!$B$2:$B$1000,Lookup!$C$2:$C$1000),"")</f>
        <v>Equity</v>
      </c>
      <c r="D5566" s="8" t="str">
        <f>IFERROR(INDEX('nav master'!$C:$C, MATCH(B5566, 'nav master'!$B:$B, 0)), "")</f>
        <v/>
      </c>
      <c r="E5566" s="8" t="s">
        <v>510</v>
      </c>
      <c r="F5566" s="8" t="s">
        <v>5241</v>
      </c>
    </row>
    <row r="5567" spans="1:6" ht="45" x14ac:dyDescent="0.25">
      <c r="A5567" s="8" t="s">
        <v>125</v>
      </c>
      <c r="B5567" s="8" t="s">
        <v>4868</v>
      </c>
      <c r="C5567" s="8" t="str">
        <f>IFERROR(_xlfn.XLOOKUP(TRIM(B5567),Lookup!$B$2:$B$1000,Lookup!$C$2:$C$1000),"")</f>
        <v>Equity</v>
      </c>
      <c r="D5567" s="8" t="str">
        <f>IFERROR(INDEX('nav master'!$C:$C, MATCH(B5567, 'nav master'!$B:$B, 0)), "")</f>
        <v/>
      </c>
      <c r="E5567" s="8" t="s">
        <v>512</v>
      </c>
      <c r="F5567" s="8" t="s">
        <v>5242</v>
      </c>
    </row>
    <row r="5568" spans="1:6" ht="45" x14ac:dyDescent="0.25">
      <c r="A5568" s="8" t="s">
        <v>125</v>
      </c>
      <c r="B5568" s="8" t="s">
        <v>4868</v>
      </c>
      <c r="C5568" s="8" t="str">
        <f>IFERROR(_xlfn.XLOOKUP(TRIM(B5568),Lookup!$B$2:$B$1000,Lookup!$C$2:$C$1000),"")</f>
        <v>Equity</v>
      </c>
      <c r="D5568" s="8" t="str">
        <f>IFERROR(INDEX('nav master'!$C:$C, MATCH(B5568, 'nav master'!$B:$B, 0)), "")</f>
        <v/>
      </c>
      <c r="E5568" s="8" t="s">
        <v>514</v>
      </c>
      <c r="F5568" s="8" t="s">
        <v>5243</v>
      </c>
    </row>
    <row r="5569" spans="1:6" ht="45" x14ac:dyDescent="0.25">
      <c r="A5569" s="8" t="s">
        <v>125</v>
      </c>
      <c r="B5569" s="8" t="s">
        <v>4868</v>
      </c>
      <c r="C5569" s="8" t="str">
        <f>IFERROR(_xlfn.XLOOKUP(TRIM(B5569),Lookup!$B$2:$B$1000,Lookup!$C$2:$C$1000),"")</f>
        <v>Equity</v>
      </c>
      <c r="D5569" s="8" t="str">
        <f>IFERROR(INDEX('nav master'!$C:$C, MATCH(B5569, 'nav master'!$B:$B, 0)), "")</f>
        <v/>
      </c>
      <c r="E5569" s="8" t="s">
        <v>516</v>
      </c>
      <c r="F5569" s="8" t="s">
        <v>5244</v>
      </c>
    </row>
    <row r="5570" spans="1:6" ht="45" x14ac:dyDescent="0.25">
      <c r="A5570" s="8" t="s">
        <v>125</v>
      </c>
      <c r="B5570" s="8" t="s">
        <v>4868</v>
      </c>
      <c r="C5570" s="8" t="str">
        <f>IFERROR(_xlfn.XLOOKUP(TRIM(B5570),Lookup!$B$2:$B$1000,Lookup!$C$2:$C$1000),"")</f>
        <v>Equity</v>
      </c>
      <c r="D5570" s="8" t="str">
        <f>IFERROR(INDEX('nav master'!$C:$C, MATCH(B5570, 'nav master'!$B:$B, 0)), "")</f>
        <v/>
      </c>
      <c r="E5570" s="8" t="s">
        <v>518</v>
      </c>
      <c r="F5570" s="8" t="s">
        <v>5245</v>
      </c>
    </row>
    <row r="5571" spans="1:6" ht="45" x14ac:dyDescent="0.25">
      <c r="A5571" s="8" t="s">
        <v>125</v>
      </c>
      <c r="B5571" s="8" t="s">
        <v>4868</v>
      </c>
      <c r="C5571" s="8" t="str">
        <f>IFERROR(_xlfn.XLOOKUP(TRIM(B5571),Lookup!$B$2:$B$1000,Lookup!$C$2:$C$1000),"")</f>
        <v>Equity</v>
      </c>
      <c r="D5571" s="8" t="str">
        <f>IFERROR(INDEX('nav master'!$C:$C, MATCH(B5571, 'nav master'!$B:$B, 0)), "")</f>
        <v/>
      </c>
      <c r="E5571" s="8" t="s">
        <v>520</v>
      </c>
      <c r="F5571" s="8" t="s">
        <v>5246</v>
      </c>
    </row>
    <row r="5572" spans="1:6" ht="45" x14ac:dyDescent="0.25">
      <c r="A5572" s="8" t="s">
        <v>125</v>
      </c>
      <c r="B5572" s="8" t="s">
        <v>4868</v>
      </c>
      <c r="C5572" s="8" t="str">
        <f>IFERROR(_xlfn.XLOOKUP(TRIM(B5572),Lookup!$B$2:$B$1000,Lookup!$C$2:$C$1000),"")</f>
        <v>Equity</v>
      </c>
      <c r="D5572" s="8" t="str">
        <f>IFERROR(INDEX('nav master'!$C:$C, MATCH(B5572, 'nav master'!$B:$B, 0)), "")</f>
        <v/>
      </c>
      <c r="E5572" s="8" t="s">
        <v>522</v>
      </c>
      <c r="F5572" s="8" t="s">
        <v>5247</v>
      </c>
    </row>
    <row r="5573" spans="1:6" ht="45" x14ac:dyDescent="0.25">
      <c r="A5573" s="8" t="s">
        <v>125</v>
      </c>
      <c r="B5573" s="8" t="s">
        <v>4868</v>
      </c>
      <c r="C5573" s="8" t="str">
        <f>IFERROR(_xlfn.XLOOKUP(TRIM(B5573),Lookup!$B$2:$B$1000,Lookup!$C$2:$C$1000),"")</f>
        <v>Equity</v>
      </c>
      <c r="D5573" s="8" t="str">
        <f>IFERROR(INDEX('nav master'!$C:$C, MATCH(B5573, 'nav master'!$B:$B, 0)), "")</f>
        <v/>
      </c>
      <c r="E5573" s="8" t="s">
        <v>524</v>
      </c>
      <c r="F5573" s="8" t="s">
        <v>5248</v>
      </c>
    </row>
    <row r="5574" spans="1:6" ht="45" x14ac:dyDescent="0.25">
      <c r="A5574" s="8" t="s">
        <v>125</v>
      </c>
      <c r="B5574" s="8" t="s">
        <v>4868</v>
      </c>
      <c r="C5574" s="8" t="str">
        <f>IFERROR(_xlfn.XLOOKUP(TRIM(B5574),Lookup!$B$2:$B$1000,Lookup!$C$2:$C$1000),"")</f>
        <v>Equity</v>
      </c>
      <c r="D5574" s="8" t="str">
        <f>IFERROR(INDEX('nav master'!$C:$C, MATCH(B5574, 'nav master'!$B:$B, 0)), "")</f>
        <v/>
      </c>
      <c r="E5574" s="8" t="s">
        <v>526</v>
      </c>
      <c r="F5574" s="8" t="s">
        <v>5249</v>
      </c>
    </row>
    <row r="5575" spans="1:6" ht="45" x14ac:dyDescent="0.25">
      <c r="A5575" s="8" t="s">
        <v>125</v>
      </c>
      <c r="B5575" s="8" t="s">
        <v>4868</v>
      </c>
      <c r="C5575" s="8" t="str">
        <f>IFERROR(_xlfn.XLOOKUP(TRIM(B5575),Lookup!$B$2:$B$1000,Lookup!$C$2:$C$1000),"")</f>
        <v>Equity</v>
      </c>
      <c r="D5575" s="8" t="str">
        <f>IFERROR(INDEX('nav master'!$C:$C, MATCH(B5575, 'nav master'!$B:$B, 0)), "")</f>
        <v/>
      </c>
      <c r="E5575" s="8" t="s">
        <v>528</v>
      </c>
      <c r="F5575" s="8" t="s">
        <v>5250</v>
      </c>
    </row>
    <row r="5576" spans="1:6" ht="45" x14ac:dyDescent="0.25">
      <c r="A5576" s="8" t="s">
        <v>125</v>
      </c>
      <c r="B5576" s="8" t="s">
        <v>4868</v>
      </c>
      <c r="C5576" s="8" t="str">
        <f>IFERROR(_xlfn.XLOOKUP(TRIM(B5576),Lookup!$B$2:$B$1000,Lookup!$C$2:$C$1000),"")</f>
        <v>Equity</v>
      </c>
      <c r="D5576" s="8" t="str">
        <f>IFERROR(INDEX('nav master'!$C:$C, MATCH(B5576, 'nav master'!$B:$B, 0)), "")</f>
        <v/>
      </c>
      <c r="E5576" s="8" t="s">
        <v>530</v>
      </c>
      <c r="F5576" s="8" t="s">
        <v>5251</v>
      </c>
    </row>
    <row r="5577" spans="1:6" ht="45" x14ac:dyDescent="0.25">
      <c r="A5577" s="8" t="s">
        <v>125</v>
      </c>
      <c r="B5577" s="8" t="s">
        <v>4868</v>
      </c>
      <c r="C5577" s="8" t="str">
        <f>IFERROR(_xlfn.XLOOKUP(TRIM(B5577),Lookup!$B$2:$B$1000,Lookup!$C$2:$C$1000),"")</f>
        <v>Equity</v>
      </c>
      <c r="D5577" s="8" t="str">
        <f>IFERROR(INDEX('nav master'!$C:$C, MATCH(B5577, 'nav master'!$B:$B, 0)), "")</f>
        <v/>
      </c>
      <c r="E5577" s="8" t="s">
        <v>532</v>
      </c>
      <c r="F5577" s="8" t="s">
        <v>5252</v>
      </c>
    </row>
    <row r="5578" spans="1:6" ht="45" x14ac:dyDescent="0.25">
      <c r="A5578" s="8" t="s">
        <v>125</v>
      </c>
      <c r="B5578" s="8" t="s">
        <v>4868</v>
      </c>
      <c r="C5578" s="8" t="str">
        <f>IFERROR(_xlfn.XLOOKUP(TRIM(B5578),Lookup!$B$2:$B$1000,Lookup!$C$2:$C$1000),"")</f>
        <v>Equity</v>
      </c>
      <c r="D5578" s="8" t="str">
        <f>IFERROR(INDEX('nav master'!$C:$C, MATCH(B5578, 'nav master'!$B:$B, 0)), "")</f>
        <v/>
      </c>
      <c r="E5578" s="8" t="s">
        <v>534</v>
      </c>
      <c r="F5578" s="8" t="s">
        <v>5253</v>
      </c>
    </row>
    <row r="5579" spans="1:6" ht="45" x14ac:dyDescent="0.25">
      <c r="A5579" s="8" t="s">
        <v>125</v>
      </c>
      <c r="B5579" s="8" t="s">
        <v>4868</v>
      </c>
      <c r="C5579" s="8" t="str">
        <f>IFERROR(_xlfn.XLOOKUP(TRIM(B5579),Lookup!$B$2:$B$1000,Lookup!$C$2:$C$1000),"")</f>
        <v>Equity</v>
      </c>
      <c r="D5579" s="8" t="str">
        <f>IFERROR(INDEX('nav master'!$C:$C, MATCH(B5579, 'nav master'!$B:$B, 0)), "")</f>
        <v/>
      </c>
      <c r="E5579" s="8" t="s">
        <v>536</v>
      </c>
      <c r="F5579" s="8" t="s">
        <v>5254</v>
      </c>
    </row>
    <row r="5580" spans="1:6" ht="45" x14ac:dyDescent="0.25">
      <c r="A5580" s="8" t="s">
        <v>125</v>
      </c>
      <c r="B5580" s="8" t="s">
        <v>4868</v>
      </c>
      <c r="C5580" s="8" t="str">
        <f>IFERROR(_xlfn.XLOOKUP(TRIM(B5580),Lookup!$B$2:$B$1000,Lookup!$C$2:$C$1000),"")</f>
        <v>Equity</v>
      </c>
      <c r="D5580" s="8" t="str">
        <f>IFERROR(INDEX('nav master'!$C:$C, MATCH(B5580, 'nav master'!$B:$B, 0)), "")</f>
        <v/>
      </c>
      <c r="E5580" s="8" t="s">
        <v>538</v>
      </c>
      <c r="F5580" s="8" t="s">
        <v>5255</v>
      </c>
    </row>
    <row r="5581" spans="1:6" ht="45" x14ac:dyDescent="0.25">
      <c r="A5581" s="8" t="s">
        <v>125</v>
      </c>
      <c r="B5581" s="8" t="s">
        <v>4868</v>
      </c>
      <c r="C5581" s="8" t="str">
        <f>IFERROR(_xlfn.XLOOKUP(TRIM(B5581),Lookup!$B$2:$B$1000,Lookup!$C$2:$C$1000),"")</f>
        <v>Equity</v>
      </c>
      <c r="D5581" s="8" t="str">
        <f>IFERROR(INDEX('nav master'!$C:$C, MATCH(B5581, 'nav master'!$B:$B, 0)), "")</f>
        <v/>
      </c>
      <c r="E5581" s="8" t="s">
        <v>540</v>
      </c>
      <c r="F5581" s="8" t="s">
        <v>5256</v>
      </c>
    </row>
    <row r="5582" spans="1:6" ht="45" x14ac:dyDescent="0.25">
      <c r="A5582" s="8" t="s">
        <v>125</v>
      </c>
      <c r="B5582" s="8" t="s">
        <v>4868</v>
      </c>
      <c r="C5582" s="8" t="str">
        <f>IFERROR(_xlfn.XLOOKUP(TRIM(B5582),Lookup!$B$2:$B$1000,Lookup!$C$2:$C$1000),"")</f>
        <v>Equity</v>
      </c>
      <c r="D5582" s="8" t="str">
        <f>IFERROR(INDEX('nav master'!$C:$C, MATCH(B5582, 'nav master'!$B:$B, 0)), "")</f>
        <v/>
      </c>
      <c r="E5582" s="8" t="s">
        <v>542</v>
      </c>
      <c r="F5582" s="8" t="s">
        <v>5257</v>
      </c>
    </row>
    <row r="5583" spans="1:6" ht="45" x14ac:dyDescent="0.25">
      <c r="A5583" s="8" t="s">
        <v>125</v>
      </c>
      <c r="B5583" s="8" t="s">
        <v>4868</v>
      </c>
      <c r="C5583" s="8" t="str">
        <f>IFERROR(_xlfn.XLOOKUP(TRIM(B5583),Lookup!$B$2:$B$1000,Lookup!$C$2:$C$1000),"")</f>
        <v>Equity</v>
      </c>
      <c r="D5583" s="8" t="str">
        <f>IFERROR(INDEX('nav master'!$C:$C, MATCH(B5583, 'nav master'!$B:$B, 0)), "")</f>
        <v/>
      </c>
      <c r="E5583" s="8" t="s">
        <v>544</v>
      </c>
      <c r="F5583" s="8" t="s">
        <v>5258</v>
      </c>
    </row>
    <row r="5584" spans="1:6" ht="45" x14ac:dyDescent="0.25">
      <c r="A5584" s="8" t="s">
        <v>125</v>
      </c>
      <c r="B5584" s="8" t="s">
        <v>4868</v>
      </c>
      <c r="C5584" s="8" t="str">
        <f>IFERROR(_xlfn.XLOOKUP(TRIM(B5584),Lookup!$B$2:$B$1000,Lookup!$C$2:$C$1000),"")</f>
        <v>Equity</v>
      </c>
      <c r="D5584" s="8" t="str">
        <f>IFERROR(INDEX('nav master'!$C:$C, MATCH(B5584, 'nav master'!$B:$B, 0)), "")</f>
        <v/>
      </c>
      <c r="E5584" s="8" t="s">
        <v>546</v>
      </c>
      <c r="F5584" s="8" t="s">
        <v>5259</v>
      </c>
    </row>
    <row r="5585" spans="1:6" ht="45" x14ac:dyDescent="0.25">
      <c r="A5585" s="8" t="s">
        <v>125</v>
      </c>
      <c r="B5585" s="8" t="s">
        <v>4868</v>
      </c>
      <c r="C5585" s="8" t="str">
        <f>IFERROR(_xlfn.XLOOKUP(TRIM(B5585),Lookup!$B$2:$B$1000,Lookup!$C$2:$C$1000),"")</f>
        <v>Equity</v>
      </c>
      <c r="D5585" s="8" t="str">
        <f>IFERROR(INDEX('nav master'!$C:$C, MATCH(B5585, 'nav master'!$B:$B, 0)), "")</f>
        <v/>
      </c>
      <c r="E5585" s="8" t="s">
        <v>548</v>
      </c>
      <c r="F5585" s="8" t="s">
        <v>5260</v>
      </c>
    </row>
    <row r="5586" spans="1:6" ht="45" x14ac:dyDescent="0.25">
      <c r="A5586" s="8" t="s">
        <v>125</v>
      </c>
      <c r="B5586" s="8" t="s">
        <v>4868</v>
      </c>
      <c r="C5586" s="8" t="str">
        <f>IFERROR(_xlfn.XLOOKUP(TRIM(B5586),Lookup!$B$2:$B$1000,Lookup!$C$2:$C$1000),"")</f>
        <v>Equity</v>
      </c>
      <c r="D5586" s="8" t="str">
        <f>IFERROR(INDEX('nav master'!$C:$C, MATCH(B5586, 'nav master'!$B:$B, 0)), "")</f>
        <v/>
      </c>
      <c r="E5586" s="8" t="s">
        <v>550</v>
      </c>
      <c r="F5586" s="8" t="s">
        <v>5261</v>
      </c>
    </row>
    <row r="5587" spans="1:6" ht="45" x14ac:dyDescent="0.25">
      <c r="A5587" s="8" t="s">
        <v>125</v>
      </c>
      <c r="B5587" s="8" t="s">
        <v>4868</v>
      </c>
      <c r="C5587" s="8" t="str">
        <f>IFERROR(_xlfn.XLOOKUP(TRIM(B5587),Lookup!$B$2:$B$1000,Lookup!$C$2:$C$1000),"")</f>
        <v>Equity</v>
      </c>
      <c r="D5587" s="8" t="str">
        <f>IFERROR(INDEX('nav master'!$C:$C, MATCH(B5587, 'nav master'!$B:$B, 0)), "")</f>
        <v/>
      </c>
      <c r="E5587" s="8" t="s">
        <v>552</v>
      </c>
      <c r="F5587" s="8" t="s">
        <v>5262</v>
      </c>
    </row>
    <row r="5588" spans="1:6" ht="45" x14ac:dyDescent="0.25">
      <c r="A5588" s="8" t="s">
        <v>125</v>
      </c>
      <c r="B5588" s="8" t="s">
        <v>4868</v>
      </c>
      <c r="C5588" s="8" t="str">
        <f>IFERROR(_xlfn.XLOOKUP(TRIM(B5588),Lookup!$B$2:$B$1000,Lookup!$C$2:$C$1000),"")</f>
        <v>Equity</v>
      </c>
      <c r="D5588" s="8" t="str">
        <f>IFERROR(INDEX('nav master'!$C:$C, MATCH(B5588, 'nav master'!$B:$B, 0)), "")</f>
        <v/>
      </c>
      <c r="E5588" s="8" t="s">
        <v>554</v>
      </c>
      <c r="F5588" s="8" t="s">
        <v>5263</v>
      </c>
    </row>
    <row r="5589" spans="1:6" ht="45" x14ac:dyDescent="0.25">
      <c r="A5589" s="8" t="s">
        <v>125</v>
      </c>
      <c r="B5589" s="8" t="s">
        <v>4868</v>
      </c>
      <c r="C5589" s="8" t="str">
        <f>IFERROR(_xlfn.XLOOKUP(TRIM(B5589),Lookup!$B$2:$B$1000,Lookup!$C$2:$C$1000),"")</f>
        <v>Equity</v>
      </c>
      <c r="D5589" s="8" t="str">
        <f>IFERROR(INDEX('nav master'!$C:$C, MATCH(B5589, 'nav master'!$B:$B, 0)), "")</f>
        <v/>
      </c>
      <c r="E5589" s="8" t="s">
        <v>556</v>
      </c>
      <c r="F5589" s="8" t="s">
        <v>5264</v>
      </c>
    </row>
    <row r="5590" spans="1:6" ht="45" x14ac:dyDescent="0.25">
      <c r="A5590" s="8" t="s">
        <v>125</v>
      </c>
      <c r="B5590" s="8" t="s">
        <v>4868</v>
      </c>
      <c r="C5590" s="8" t="str">
        <f>IFERROR(_xlfn.XLOOKUP(TRIM(B5590),Lookup!$B$2:$B$1000,Lookup!$C$2:$C$1000),"")</f>
        <v>Equity</v>
      </c>
      <c r="D5590" s="8" t="str">
        <f>IFERROR(INDEX('nav master'!$C:$C, MATCH(B5590, 'nav master'!$B:$B, 0)), "")</f>
        <v/>
      </c>
      <c r="E5590" s="8" t="s">
        <v>558</v>
      </c>
      <c r="F5590" s="8" t="s">
        <v>5265</v>
      </c>
    </row>
    <row r="5591" spans="1:6" ht="45" x14ac:dyDescent="0.25">
      <c r="A5591" s="8" t="s">
        <v>125</v>
      </c>
      <c r="B5591" s="8" t="s">
        <v>4868</v>
      </c>
      <c r="C5591" s="8" t="str">
        <f>IFERROR(_xlfn.XLOOKUP(TRIM(B5591),Lookup!$B$2:$B$1000,Lookup!$C$2:$C$1000),"")</f>
        <v>Equity</v>
      </c>
      <c r="D5591" s="8" t="str">
        <f>IFERROR(INDEX('nav master'!$C:$C, MATCH(B5591, 'nav master'!$B:$B, 0)), "")</f>
        <v/>
      </c>
      <c r="E5591" s="8" t="s">
        <v>560</v>
      </c>
      <c r="F5591" s="8" t="s">
        <v>5266</v>
      </c>
    </row>
    <row r="5592" spans="1:6" ht="45" x14ac:dyDescent="0.25">
      <c r="A5592" s="8" t="s">
        <v>125</v>
      </c>
      <c r="B5592" s="8" t="s">
        <v>4868</v>
      </c>
      <c r="C5592" s="8" t="str">
        <f>IFERROR(_xlfn.XLOOKUP(TRIM(B5592),Lookup!$B$2:$B$1000,Lookup!$C$2:$C$1000),"")</f>
        <v>Equity</v>
      </c>
      <c r="D5592" s="8" t="str">
        <f>IFERROR(INDEX('nav master'!$C:$C, MATCH(B5592, 'nav master'!$B:$B, 0)), "")</f>
        <v/>
      </c>
      <c r="E5592" s="8" t="s">
        <v>562</v>
      </c>
      <c r="F5592" s="8" t="s">
        <v>5267</v>
      </c>
    </row>
    <row r="5593" spans="1:6" ht="45" x14ac:dyDescent="0.25">
      <c r="A5593" s="8" t="s">
        <v>125</v>
      </c>
      <c r="B5593" s="8" t="s">
        <v>4868</v>
      </c>
      <c r="C5593" s="8" t="str">
        <f>IFERROR(_xlfn.XLOOKUP(TRIM(B5593),Lookup!$B$2:$B$1000,Lookup!$C$2:$C$1000),"")</f>
        <v>Equity</v>
      </c>
      <c r="D5593" s="8" t="str">
        <f>IFERROR(INDEX('nav master'!$C:$C, MATCH(B5593, 'nav master'!$B:$B, 0)), "")</f>
        <v/>
      </c>
      <c r="E5593" s="8" t="s">
        <v>564</v>
      </c>
      <c r="F5593" s="8" t="s">
        <v>5268</v>
      </c>
    </row>
    <row r="5594" spans="1:6" ht="45" x14ac:dyDescent="0.25">
      <c r="A5594" s="8" t="s">
        <v>125</v>
      </c>
      <c r="B5594" s="8" t="s">
        <v>4868</v>
      </c>
      <c r="C5594" s="8" t="str">
        <f>IFERROR(_xlfn.XLOOKUP(TRIM(B5594),Lookup!$B$2:$B$1000,Lookup!$C$2:$C$1000),"")</f>
        <v>Equity</v>
      </c>
      <c r="D5594" s="8" t="str">
        <f>IFERROR(INDEX('nav master'!$C:$C, MATCH(B5594, 'nav master'!$B:$B, 0)), "")</f>
        <v/>
      </c>
      <c r="E5594" s="8" t="s">
        <v>566</v>
      </c>
      <c r="F5594" s="8" t="s">
        <v>5269</v>
      </c>
    </row>
    <row r="5595" spans="1:6" ht="45" x14ac:dyDescent="0.25">
      <c r="A5595" s="8" t="s">
        <v>125</v>
      </c>
      <c r="B5595" s="8" t="s">
        <v>4868</v>
      </c>
      <c r="C5595" s="8" t="str">
        <f>IFERROR(_xlfn.XLOOKUP(TRIM(B5595),Lookup!$B$2:$B$1000,Lookup!$C$2:$C$1000),"")</f>
        <v>Equity</v>
      </c>
      <c r="D5595" s="8" t="str">
        <f>IFERROR(INDEX('nav master'!$C:$C, MATCH(B5595, 'nav master'!$B:$B, 0)), "")</f>
        <v/>
      </c>
      <c r="E5595" s="8" t="s">
        <v>568</v>
      </c>
      <c r="F5595" s="8" t="s">
        <v>5270</v>
      </c>
    </row>
    <row r="5596" spans="1:6" ht="45" x14ac:dyDescent="0.25">
      <c r="A5596" s="8" t="s">
        <v>125</v>
      </c>
      <c r="B5596" s="8" t="s">
        <v>4868</v>
      </c>
      <c r="C5596" s="8" t="str">
        <f>IFERROR(_xlfn.XLOOKUP(TRIM(B5596),Lookup!$B$2:$B$1000,Lookup!$C$2:$C$1000),"")</f>
        <v>Equity</v>
      </c>
      <c r="D5596" s="8" t="str">
        <f>IFERROR(INDEX('nav master'!$C:$C, MATCH(B5596, 'nav master'!$B:$B, 0)), "")</f>
        <v/>
      </c>
      <c r="E5596" s="8" t="s">
        <v>570</v>
      </c>
      <c r="F5596" s="8" t="s">
        <v>5271</v>
      </c>
    </row>
    <row r="5597" spans="1:6" ht="45" x14ac:dyDescent="0.25">
      <c r="A5597" s="8" t="s">
        <v>125</v>
      </c>
      <c r="B5597" s="8" t="s">
        <v>4868</v>
      </c>
      <c r="C5597" s="8" t="str">
        <f>IFERROR(_xlfn.XLOOKUP(TRIM(B5597),Lookup!$B$2:$B$1000,Lookup!$C$2:$C$1000),"")</f>
        <v>Equity</v>
      </c>
      <c r="D5597" s="8" t="str">
        <f>IFERROR(INDEX('nav master'!$C:$C, MATCH(B5597, 'nav master'!$B:$B, 0)), "")</f>
        <v/>
      </c>
      <c r="E5597" s="8" t="s">
        <v>572</v>
      </c>
      <c r="F5597" s="8" t="s">
        <v>5272</v>
      </c>
    </row>
    <row r="5598" spans="1:6" ht="45" x14ac:dyDescent="0.25">
      <c r="A5598" s="8" t="s">
        <v>125</v>
      </c>
      <c r="B5598" s="8" t="s">
        <v>4868</v>
      </c>
      <c r="C5598" s="8" t="str">
        <f>IFERROR(_xlfn.XLOOKUP(TRIM(B5598),Lookup!$B$2:$B$1000,Lookup!$C$2:$C$1000),"")</f>
        <v>Equity</v>
      </c>
      <c r="D5598" s="8" t="str">
        <f>IFERROR(INDEX('nav master'!$C:$C, MATCH(B5598, 'nav master'!$B:$B, 0)), "")</f>
        <v/>
      </c>
      <c r="E5598" s="8" t="s">
        <v>574</v>
      </c>
      <c r="F5598" s="8" t="s">
        <v>5273</v>
      </c>
    </row>
    <row r="5599" spans="1:6" ht="45" x14ac:dyDescent="0.25">
      <c r="A5599" s="8" t="s">
        <v>125</v>
      </c>
      <c r="B5599" s="8" t="s">
        <v>4868</v>
      </c>
      <c r="C5599" s="8" t="str">
        <f>IFERROR(_xlfn.XLOOKUP(TRIM(B5599),Lookup!$B$2:$B$1000,Lookup!$C$2:$C$1000),"")</f>
        <v>Equity</v>
      </c>
      <c r="D5599" s="8" t="str">
        <f>IFERROR(INDEX('nav master'!$C:$C, MATCH(B5599, 'nav master'!$B:$B, 0)), "")</f>
        <v/>
      </c>
      <c r="E5599" s="8" t="s">
        <v>576</v>
      </c>
      <c r="F5599" s="8" t="s">
        <v>5274</v>
      </c>
    </row>
    <row r="5600" spans="1:6" ht="45" x14ac:dyDescent="0.25">
      <c r="A5600" s="8" t="s">
        <v>125</v>
      </c>
      <c r="B5600" s="8" t="s">
        <v>4868</v>
      </c>
      <c r="C5600" s="8" t="str">
        <f>IFERROR(_xlfn.XLOOKUP(TRIM(B5600),Lookup!$B$2:$B$1000,Lookup!$C$2:$C$1000),"")</f>
        <v>Equity</v>
      </c>
      <c r="D5600" s="8" t="str">
        <f>IFERROR(INDEX('nav master'!$C:$C, MATCH(B5600, 'nav master'!$B:$B, 0)), "")</f>
        <v/>
      </c>
      <c r="E5600" s="8" t="s">
        <v>578</v>
      </c>
      <c r="F5600" s="8" t="s">
        <v>5275</v>
      </c>
    </row>
    <row r="5601" spans="1:6" ht="45" x14ac:dyDescent="0.25">
      <c r="A5601" s="8" t="s">
        <v>125</v>
      </c>
      <c r="B5601" s="8" t="s">
        <v>4868</v>
      </c>
      <c r="C5601" s="8" t="str">
        <f>IFERROR(_xlfn.XLOOKUP(TRIM(B5601),Lookup!$B$2:$B$1000,Lookup!$C$2:$C$1000),"")</f>
        <v>Equity</v>
      </c>
      <c r="D5601" s="8" t="str">
        <f>IFERROR(INDEX('nav master'!$C:$C, MATCH(B5601, 'nav master'!$B:$B, 0)), "")</f>
        <v/>
      </c>
      <c r="E5601" s="8" t="s">
        <v>580</v>
      </c>
      <c r="F5601" s="8" t="s">
        <v>5276</v>
      </c>
    </row>
    <row r="5602" spans="1:6" ht="45" x14ac:dyDescent="0.25">
      <c r="A5602" s="8" t="s">
        <v>125</v>
      </c>
      <c r="B5602" s="8" t="s">
        <v>4868</v>
      </c>
      <c r="C5602" s="8" t="str">
        <f>IFERROR(_xlfn.XLOOKUP(TRIM(B5602),Lookup!$B$2:$B$1000,Lookup!$C$2:$C$1000),"")</f>
        <v>Equity</v>
      </c>
      <c r="D5602" s="8" t="str">
        <f>IFERROR(INDEX('nav master'!$C:$C, MATCH(B5602, 'nav master'!$B:$B, 0)), "")</f>
        <v/>
      </c>
      <c r="E5602" s="8" t="s">
        <v>582</v>
      </c>
      <c r="F5602" s="8" t="s">
        <v>5277</v>
      </c>
    </row>
    <row r="5603" spans="1:6" ht="45" x14ac:dyDescent="0.25">
      <c r="A5603" s="8" t="s">
        <v>125</v>
      </c>
      <c r="B5603" s="8" t="s">
        <v>4868</v>
      </c>
      <c r="C5603" s="8" t="str">
        <f>IFERROR(_xlfn.XLOOKUP(TRIM(B5603),Lookup!$B$2:$B$1000,Lookup!$C$2:$C$1000),"")</f>
        <v>Equity</v>
      </c>
      <c r="D5603" s="8" t="str">
        <f>IFERROR(INDEX('nav master'!$C:$C, MATCH(B5603, 'nav master'!$B:$B, 0)), "")</f>
        <v/>
      </c>
      <c r="E5603" s="8" t="s">
        <v>584</v>
      </c>
      <c r="F5603" s="8" t="s">
        <v>5278</v>
      </c>
    </row>
    <row r="5604" spans="1:6" ht="45" x14ac:dyDescent="0.25">
      <c r="A5604" s="8" t="s">
        <v>125</v>
      </c>
      <c r="B5604" s="8" t="s">
        <v>4868</v>
      </c>
      <c r="C5604" s="8" t="str">
        <f>IFERROR(_xlfn.XLOOKUP(TRIM(B5604),Lookup!$B$2:$B$1000,Lookup!$C$2:$C$1000),"")</f>
        <v>Equity</v>
      </c>
      <c r="D5604" s="8" t="str">
        <f>IFERROR(INDEX('nav master'!$C:$C, MATCH(B5604, 'nav master'!$B:$B, 0)), "")</f>
        <v/>
      </c>
      <c r="E5604" s="8" t="s">
        <v>586</v>
      </c>
      <c r="F5604" s="8" t="s">
        <v>5279</v>
      </c>
    </row>
    <row r="5605" spans="1:6" ht="45" x14ac:dyDescent="0.25">
      <c r="A5605" s="8" t="s">
        <v>125</v>
      </c>
      <c r="B5605" s="8" t="s">
        <v>4868</v>
      </c>
      <c r="C5605" s="8" t="str">
        <f>IFERROR(_xlfn.XLOOKUP(TRIM(B5605),Lookup!$B$2:$B$1000,Lookup!$C$2:$C$1000),"")</f>
        <v>Equity</v>
      </c>
      <c r="D5605" s="8" t="str">
        <f>IFERROR(INDEX('nav master'!$C:$C, MATCH(B5605, 'nav master'!$B:$B, 0)), "")</f>
        <v/>
      </c>
      <c r="E5605" s="8" t="s">
        <v>588</v>
      </c>
      <c r="F5605" s="8" t="s">
        <v>5280</v>
      </c>
    </row>
    <row r="5606" spans="1:6" ht="45" x14ac:dyDescent="0.25">
      <c r="A5606" s="8" t="s">
        <v>125</v>
      </c>
      <c r="B5606" s="8" t="s">
        <v>4868</v>
      </c>
      <c r="C5606" s="8" t="str">
        <f>IFERROR(_xlfn.XLOOKUP(TRIM(B5606),Lookup!$B$2:$B$1000,Lookup!$C$2:$C$1000),"")</f>
        <v>Equity</v>
      </c>
      <c r="D5606" s="8" t="str">
        <f>IFERROR(INDEX('nav master'!$C:$C, MATCH(B5606, 'nav master'!$B:$B, 0)), "")</f>
        <v/>
      </c>
      <c r="E5606" s="8" t="s">
        <v>590</v>
      </c>
      <c r="F5606" s="8" t="s">
        <v>5281</v>
      </c>
    </row>
    <row r="5607" spans="1:6" ht="45" x14ac:dyDescent="0.25">
      <c r="A5607" s="8" t="s">
        <v>125</v>
      </c>
      <c r="B5607" s="8" t="s">
        <v>4868</v>
      </c>
      <c r="C5607" s="8" t="str">
        <f>IFERROR(_xlfn.XLOOKUP(TRIM(B5607),Lookup!$B$2:$B$1000,Lookup!$C$2:$C$1000),"")</f>
        <v>Equity</v>
      </c>
      <c r="D5607" s="8" t="str">
        <f>IFERROR(INDEX('nav master'!$C:$C, MATCH(B5607, 'nav master'!$B:$B, 0)), "")</f>
        <v/>
      </c>
      <c r="E5607" s="8" t="s">
        <v>592</v>
      </c>
      <c r="F5607" s="8" t="s">
        <v>5282</v>
      </c>
    </row>
    <row r="5608" spans="1:6" ht="45" x14ac:dyDescent="0.25">
      <c r="A5608" s="8" t="s">
        <v>125</v>
      </c>
      <c r="B5608" s="8" t="s">
        <v>4868</v>
      </c>
      <c r="C5608" s="8" t="str">
        <f>IFERROR(_xlfn.XLOOKUP(TRIM(B5608),Lookup!$B$2:$B$1000,Lookup!$C$2:$C$1000),"")</f>
        <v>Equity</v>
      </c>
      <c r="D5608" s="8" t="str">
        <f>IFERROR(INDEX('nav master'!$C:$C, MATCH(B5608, 'nav master'!$B:$B, 0)), "")</f>
        <v/>
      </c>
      <c r="E5608" s="8" t="s">
        <v>594</v>
      </c>
      <c r="F5608" s="8" t="s">
        <v>5283</v>
      </c>
    </row>
    <row r="5609" spans="1:6" ht="45" x14ac:dyDescent="0.25">
      <c r="A5609" s="8" t="s">
        <v>125</v>
      </c>
      <c r="B5609" s="8" t="s">
        <v>4868</v>
      </c>
      <c r="C5609" s="8" t="str">
        <f>IFERROR(_xlfn.XLOOKUP(TRIM(B5609),Lookup!$B$2:$B$1000,Lookup!$C$2:$C$1000),"")</f>
        <v>Equity</v>
      </c>
      <c r="D5609" s="8" t="str">
        <f>IFERROR(INDEX('nav master'!$C:$C, MATCH(B5609, 'nav master'!$B:$B, 0)), "")</f>
        <v/>
      </c>
      <c r="E5609" s="8" t="s">
        <v>596</v>
      </c>
      <c r="F5609" s="8" t="s">
        <v>5284</v>
      </c>
    </row>
    <row r="5610" spans="1:6" ht="45" x14ac:dyDescent="0.25">
      <c r="A5610" s="8" t="s">
        <v>125</v>
      </c>
      <c r="B5610" s="8" t="s">
        <v>4868</v>
      </c>
      <c r="C5610" s="8" t="str">
        <f>IFERROR(_xlfn.XLOOKUP(TRIM(B5610),Lookup!$B$2:$B$1000,Lookup!$C$2:$C$1000),"")</f>
        <v>Equity</v>
      </c>
      <c r="D5610" s="8" t="str">
        <f>IFERROR(INDEX('nav master'!$C:$C, MATCH(B5610, 'nav master'!$B:$B, 0)), "")</f>
        <v/>
      </c>
      <c r="E5610" s="8" t="s">
        <v>598</v>
      </c>
      <c r="F5610" s="8" t="s">
        <v>5285</v>
      </c>
    </row>
    <row r="5611" spans="1:6" ht="45" x14ac:dyDescent="0.25">
      <c r="A5611" s="8" t="s">
        <v>125</v>
      </c>
      <c r="B5611" s="8" t="s">
        <v>4868</v>
      </c>
      <c r="C5611" s="8" t="str">
        <f>IFERROR(_xlfn.XLOOKUP(TRIM(B5611),Lookup!$B$2:$B$1000,Lookup!$C$2:$C$1000),"")</f>
        <v>Equity</v>
      </c>
      <c r="D5611" s="8" t="str">
        <f>IFERROR(INDEX('nav master'!$C:$C, MATCH(B5611, 'nav master'!$B:$B, 0)), "")</f>
        <v/>
      </c>
      <c r="E5611" s="8" t="s">
        <v>600</v>
      </c>
      <c r="F5611" s="8" t="s">
        <v>5286</v>
      </c>
    </row>
    <row r="5612" spans="1:6" ht="45" x14ac:dyDescent="0.25">
      <c r="A5612" s="8" t="s">
        <v>125</v>
      </c>
      <c r="B5612" s="8" t="s">
        <v>4868</v>
      </c>
      <c r="C5612" s="8" t="str">
        <f>IFERROR(_xlfn.XLOOKUP(TRIM(B5612),Lookup!$B$2:$B$1000,Lookup!$C$2:$C$1000),"")</f>
        <v>Equity</v>
      </c>
      <c r="D5612" s="8" t="str">
        <f>IFERROR(INDEX('nav master'!$C:$C, MATCH(B5612, 'nav master'!$B:$B, 0)), "")</f>
        <v/>
      </c>
      <c r="E5612" s="8" t="s">
        <v>602</v>
      </c>
      <c r="F5612" s="8" t="s">
        <v>5287</v>
      </c>
    </row>
    <row r="5613" spans="1:6" ht="45" x14ac:dyDescent="0.25">
      <c r="A5613" s="8" t="s">
        <v>125</v>
      </c>
      <c r="B5613" s="8" t="s">
        <v>4868</v>
      </c>
      <c r="C5613" s="8" t="str">
        <f>IFERROR(_xlfn.XLOOKUP(TRIM(B5613),Lookup!$B$2:$B$1000,Lookup!$C$2:$C$1000),"")</f>
        <v>Equity</v>
      </c>
      <c r="D5613" s="8" t="str">
        <f>IFERROR(INDEX('nav master'!$C:$C, MATCH(B5613, 'nav master'!$B:$B, 0)), "")</f>
        <v/>
      </c>
      <c r="E5613" s="8" t="s">
        <v>604</v>
      </c>
      <c r="F5613" s="8" t="s">
        <v>5288</v>
      </c>
    </row>
    <row r="5614" spans="1:6" ht="45" x14ac:dyDescent="0.25">
      <c r="A5614" s="8" t="s">
        <v>125</v>
      </c>
      <c r="B5614" s="8" t="s">
        <v>4868</v>
      </c>
      <c r="C5614" s="8" t="str">
        <f>IFERROR(_xlfn.XLOOKUP(TRIM(B5614),Lookup!$B$2:$B$1000,Lookup!$C$2:$C$1000),"")</f>
        <v>Equity</v>
      </c>
      <c r="D5614" s="8" t="str">
        <f>IFERROR(INDEX('nav master'!$C:$C, MATCH(B5614, 'nav master'!$B:$B, 0)), "")</f>
        <v/>
      </c>
      <c r="E5614" s="8" t="s">
        <v>606</v>
      </c>
      <c r="F5614" s="8" t="s">
        <v>5289</v>
      </c>
    </row>
    <row r="5615" spans="1:6" ht="45" x14ac:dyDescent="0.25">
      <c r="A5615" s="8" t="s">
        <v>125</v>
      </c>
      <c r="B5615" s="8" t="s">
        <v>4868</v>
      </c>
      <c r="C5615" s="8" t="str">
        <f>IFERROR(_xlfn.XLOOKUP(TRIM(B5615),Lookup!$B$2:$B$1000,Lookup!$C$2:$C$1000),"")</f>
        <v>Equity</v>
      </c>
      <c r="D5615" s="8" t="str">
        <f>IFERROR(INDEX('nav master'!$C:$C, MATCH(B5615, 'nav master'!$B:$B, 0)), "")</f>
        <v/>
      </c>
      <c r="E5615" s="8" t="s">
        <v>608</v>
      </c>
      <c r="F5615" s="8" t="s">
        <v>5290</v>
      </c>
    </row>
    <row r="5616" spans="1:6" ht="45" x14ac:dyDescent="0.25">
      <c r="A5616" s="8" t="s">
        <v>125</v>
      </c>
      <c r="B5616" s="8" t="s">
        <v>4868</v>
      </c>
      <c r="C5616" s="8" t="str">
        <f>IFERROR(_xlfn.XLOOKUP(TRIM(B5616),Lookup!$B$2:$B$1000,Lookup!$C$2:$C$1000),"")</f>
        <v>Equity</v>
      </c>
      <c r="D5616" s="8" t="str">
        <f>IFERROR(INDEX('nav master'!$C:$C, MATCH(B5616, 'nav master'!$B:$B, 0)), "")</f>
        <v/>
      </c>
      <c r="E5616" s="8" t="s">
        <v>610</v>
      </c>
      <c r="F5616" s="8" t="s">
        <v>5291</v>
      </c>
    </row>
    <row r="5617" spans="1:6" ht="45" x14ac:dyDescent="0.25">
      <c r="A5617" s="8" t="s">
        <v>125</v>
      </c>
      <c r="B5617" s="8" t="s">
        <v>4868</v>
      </c>
      <c r="C5617" s="8" t="str">
        <f>IFERROR(_xlfn.XLOOKUP(TRIM(B5617),Lookup!$B$2:$B$1000,Lookup!$C$2:$C$1000),"")</f>
        <v>Equity</v>
      </c>
      <c r="D5617" s="8" t="str">
        <f>IFERROR(INDEX('nav master'!$C:$C, MATCH(B5617, 'nav master'!$B:$B, 0)), "")</f>
        <v/>
      </c>
      <c r="E5617" s="8" t="s">
        <v>612</v>
      </c>
      <c r="F5617" s="8" t="s">
        <v>5292</v>
      </c>
    </row>
    <row r="5618" spans="1:6" ht="45" x14ac:dyDescent="0.25">
      <c r="A5618" s="8" t="s">
        <v>125</v>
      </c>
      <c r="B5618" s="8" t="s">
        <v>4868</v>
      </c>
      <c r="C5618" s="8" t="str">
        <f>IFERROR(_xlfn.XLOOKUP(TRIM(B5618),Lookup!$B$2:$B$1000,Lookup!$C$2:$C$1000),"")</f>
        <v>Equity</v>
      </c>
      <c r="D5618" s="8" t="str">
        <f>IFERROR(INDEX('nav master'!$C:$C, MATCH(B5618, 'nav master'!$B:$B, 0)), "")</f>
        <v/>
      </c>
      <c r="E5618" s="8" t="s">
        <v>614</v>
      </c>
      <c r="F5618" s="8" t="s">
        <v>5293</v>
      </c>
    </row>
    <row r="5619" spans="1:6" ht="45" x14ac:dyDescent="0.25">
      <c r="A5619" s="8" t="s">
        <v>125</v>
      </c>
      <c r="B5619" s="8" t="s">
        <v>4868</v>
      </c>
      <c r="C5619" s="8" t="str">
        <f>IFERROR(_xlfn.XLOOKUP(TRIM(B5619),Lookup!$B$2:$B$1000,Lookup!$C$2:$C$1000),"")</f>
        <v>Equity</v>
      </c>
      <c r="D5619" s="8" t="str">
        <f>IFERROR(INDEX('nav master'!$C:$C, MATCH(B5619, 'nav master'!$B:$B, 0)), "")</f>
        <v/>
      </c>
      <c r="E5619" s="8" t="s">
        <v>616</v>
      </c>
      <c r="F5619" s="8" t="s">
        <v>5294</v>
      </c>
    </row>
    <row r="5620" spans="1:6" ht="45" x14ac:dyDescent="0.25">
      <c r="A5620" s="8" t="s">
        <v>125</v>
      </c>
      <c r="B5620" s="8" t="s">
        <v>4868</v>
      </c>
      <c r="C5620" s="8" t="str">
        <f>IFERROR(_xlfn.XLOOKUP(TRIM(B5620),Lookup!$B$2:$B$1000,Lookup!$C$2:$C$1000),"")</f>
        <v>Equity</v>
      </c>
      <c r="D5620" s="8" t="str">
        <f>IFERROR(INDEX('nav master'!$C:$C, MATCH(B5620, 'nav master'!$B:$B, 0)), "")</f>
        <v/>
      </c>
      <c r="E5620" s="8" t="s">
        <v>618</v>
      </c>
      <c r="F5620" s="8" t="s">
        <v>5295</v>
      </c>
    </row>
    <row r="5621" spans="1:6" ht="45" x14ac:dyDescent="0.25">
      <c r="A5621" s="8" t="s">
        <v>125</v>
      </c>
      <c r="B5621" s="8" t="s">
        <v>4868</v>
      </c>
      <c r="C5621" s="8" t="str">
        <f>IFERROR(_xlfn.XLOOKUP(TRIM(B5621),Lookup!$B$2:$B$1000,Lookup!$C$2:$C$1000),"")</f>
        <v>Equity</v>
      </c>
      <c r="D5621" s="8" t="str">
        <f>IFERROR(INDEX('nav master'!$C:$C, MATCH(B5621, 'nav master'!$B:$B, 0)), "")</f>
        <v/>
      </c>
      <c r="E5621" s="8" t="s">
        <v>620</v>
      </c>
      <c r="F5621" s="8" t="s">
        <v>5296</v>
      </c>
    </row>
    <row r="5622" spans="1:6" ht="45" x14ac:dyDescent="0.25">
      <c r="A5622" s="8" t="s">
        <v>125</v>
      </c>
      <c r="B5622" s="8" t="s">
        <v>4868</v>
      </c>
      <c r="C5622" s="8" t="str">
        <f>IFERROR(_xlfn.XLOOKUP(TRIM(B5622),Lookup!$B$2:$B$1000,Lookup!$C$2:$C$1000),"")</f>
        <v>Equity</v>
      </c>
      <c r="D5622" s="8" t="str">
        <f>IFERROR(INDEX('nav master'!$C:$C, MATCH(B5622, 'nav master'!$B:$B, 0)), "")</f>
        <v/>
      </c>
      <c r="E5622" s="8" t="s">
        <v>622</v>
      </c>
      <c r="F5622" s="8" t="s">
        <v>5297</v>
      </c>
    </row>
    <row r="5623" spans="1:6" ht="45" x14ac:dyDescent="0.25">
      <c r="A5623" s="8" t="s">
        <v>125</v>
      </c>
      <c r="B5623" s="8" t="s">
        <v>4868</v>
      </c>
      <c r="C5623" s="8" t="str">
        <f>IFERROR(_xlfn.XLOOKUP(TRIM(B5623),Lookup!$B$2:$B$1000,Lookup!$C$2:$C$1000),"")</f>
        <v>Equity</v>
      </c>
      <c r="D5623" s="8" t="str">
        <f>IFERROR(INDEX('nav master'!$C:$C, MATCH(B5623, 'nav master'!$B:$B, 0)), "")</f>
        <v/>
      </c>
      <c r="E5623" s="8" t="s">
        <v>624</v>
      </c>
      <c r="F5623" s="8" t="s">
        <v>5298</v>
      </c>
    </row>
    <row r="5624" spans="1:6" ht="45" x14ac:dyDescent="0.25">
      <c r="A5624" s="8" t="s">
        <v>125</v>
      </c>
      <c r="B5624" s="8" t="s">
        <v>4868</v>
      </c>
      <c r="C5624" s="8" t="str">
        <f>IFERROR(_xlfn.XLOOKUP(TRIM(B5624),Lookup!$B$2:$B$1000,Lookup!$C$2:$C$1000),"")</f>
        <v>Equity</v>
      </c>
      <c r="D5624" s="8" t="str">
        <f>IFERROR(INDEX('nav master'!$C:$C, MATCH(B5624, 'nav master'!$B:$B, 0)), "")</f>
        <v/>
      </c>
      <c r="E5624" s="8" t="s">
        <v>626</v>
      </c>
      <c r="F5624" s="8" t="s">
        <v>5299</v>
      </c>
    </row>
    <row r="5625" spans="1:6" ht="45" x14ac:dyDescent="0.25">
      <c r="A5625" s="8" t="s">
        <v>125</v>
      </c>
      <c r="B5625" s="8" t="s">
        <v>4868</v>
      </c>
      <c r="C5625" s="8" t="str">
        <f>IFERROR(_xlfn.XLOOKUP(TRIM(B5625),Lookup!$B$2:$B$1000,Lookup!$C$2:$C$1000),"")</f>
        <v>Equity</v>
      </c>
      <c r="D5625" s="8" t="str">
        <f>IFERROR(INDEX('nav master'!$C:$C, MATCH(B5625, 'nav master'!$B:$B, 0)), "")</f>
        <v/>
      </c>
      <c r="E5625" s="8" t="s">
        <v>628</v>
      </c>
      <c r="F5625" s="8" t="s">
        <v>5300</v>
      </c>
    </row>
    <row r="5626" spans="1:6" ht="45" x14ac:dyDescent="0.25">
      <c r="A5626" s="8" t="s">
        <v>125</v>
      </c>
      <c r="B5626" s="8" t="s">
        <v>4868</v>
      </c>
      <c r="C5626" s="8" t="str">
        <f>IFERROR(_xlfn.XLOOKUP(TRIM(B5626),Lookup!$B$2:$B$1000,Lookup!$C$2:$C$1000),"")</f>
        <v>Equity</v>
      </c>
      <c r="D5626" s="8" t="str">
        <f>IFERROR(INDEX('nav master'!$C:$C, MATCH(B5626, 'nav master'!$B:$B, 0)), "")</f>
        <v/>
      </c>
      <c r="E5626" s="8" t="s">
        <v>630</v>
      </c>
      <c r="F5626" s="8" t="s">
        <v>5301</v>
      </c>
    </row>
    <row r="5627" spans="1:6" ht="45" x14ac:dyDescent="0.25">
      <c r="A5627" s="8" t="s">
        <v>125</v>
      </c>
      <c r="B5627" s="8" t="s">
        <v>4868</v>
      </c>
      <c r="C5627" s="8" t="str">
        <f>IFERROR(_xlfn.XLOOKUP(TRIM(B5627),Lookup!$B$2:$B$1000,Lookup!$C$2:$C$1000),"")</f>
        <v>Equity</v>
      </c>
      <c r="D5627" s="8" t="str">
        <f>IFERROR(INDEX('nav master'!$C:$C, MATCH(B5627, 'nav master'!$B:$B, 0)), "")</f>
        <v/>
      </c>
      <c r="E5627" s="8" t="s">
        <v>632</v>
      </c>
      <c r="F5627" s="8" t="s">
        <v>5302</v>
      </c>
    </row>
    <row r="5628" spans="1:6" ht="45" x14ac:dyDescent="0.25">
      <c r="A5628" s="8" t="s">
        <v>125</v>
      </c>
      <c r="B5628" s="8" t="s">
        <v>4868</v>
      </c>
      <c r="C5628" s="8" t="str">
        <f>IFERROR(_xlfn.XLOOKUP(TRIM(B5628),Lookup!$B$2:$B$1000,Lookup!$C$2:$C$1000),"")</f>
        <v>Equity</v>
      </c>
      <c r="D5628" s="8" t="str">
        <f>IFERROR(INDEX('nav master'!$C:$C, MATCH(B5628, 'nav master'!$B:$B, 0)), "")</f>
        <v/>
      </c>
      <c r="E5628" s="8" t="s">
        <v>634</v>
      </c>
      <c r="F5628" s="8" t="s">
        <v>5303</v>
      </c>
    </row>
    <row r="5629" spans="1:6" ht="45" x14ac:dyDescent="0.25">
      <c r="A5629" s="8" t="s">
        <v>125</v>
      </c>
      <c r="B5629" s="8" t="s">
        <v>4868</v>
      </c>
      <c r="C5629" s="8" t="str">
        <f>IFERROR(_xlfn.XLOOKUP(TRIM(B5629),Lookup!$B$2:$B$1000,Lookup!$C$2:$C$1000),"")</f>
        <v>Equity</v>
      </c>
      <c r="D5629" s="8" t="str">
        <f>IFERROR(INDEX('nav master'!$C:$C, MATCH(B5629, 'nav master'!$B:$B, 0)), "")</f>
        <v/>
      </c>
      <c r="E5629" s="8" t="s">
        <v>636</v>
      </c>
      <c r="F5629" s="8" t="s">
        <v>5304</v>
      </c>
    </row>
    <row r="5630" spans="1:6" ht="45" x14ac:dyDescent="0.25">
      <c r="A5630" s="8" t="s">
        <v>125</v>
      </c>
      <c r="B5630" s="8" t="s">
        <v>4868</v>
      </c>
      <c r="C5630" s="8" t="str">
        <f>IFERROR(_xlfn.XLOOKUP(TRIM(B5630),Lookup!$B$2:$B$1000,Lookup!$C$2:$C$1000),"")</f>
        <v>Equity</v>
      </c>
      <c r="D5630" s="8" t="str">
        <f>IFERROR(INDEX('nav master'!$C:$C, MATCH(B5630, 'nav master'!$B:$B, 0)), "")</f>
        <v/>
      </c>
      <c r="E5630" s="8" t="s">
        <v>638</v>
      </c>
      <c r="F5630" s="8" t="s">
        <v>5305</v>
      </c>
    </row>
    <row r="5631" spans="1:6" ht="45" x14ac:dyDescent="0.25">
      <c r="A5631" s="8" t="s">
        <v>125</v>
      </c>
      <c r="B5631" s="8" t="s">
        <v>4868</v>
      </c>
      <c r="C5631" s="8" t="str">
        <f>IFERROR(_xlfn.XLOOKUP(TRIM(B5631),Lookup!$B$2:$B$1000,Lookup!$C$2:$C$1000),"")</f>
        <v>Equity</v>
      </c>
      <c r="D5631" s="8" t="str">
        <f>IFERROR(INDEX('nav master'!$C:$C, MATCH(B5631, 'nav master'!$B:$B, 0)), "")</f>
        <v/>
      </c>
      <c r="E5631" s="8" t="s">
        <v>640</v>
      </c>
      <c r="F5631" s="8" t="s">
        <v>5306</v>
      </c>
    </row>
    <row r="5632" spans="1:6" ht="45" x14ac:dyDescent="0.25">
      <c r="A5632" s="8" t="s">
        <v>125</v>
      </c>
      <c r="B5632" s="8" t="s">
        <v>4868</v>
      </c>
      <c r="C5632" s="8" t="str">
        <f>IFERROR(_xlfn.XLOOKUP(TRIM(B5632),Lookup!$B$2:$B$1000,Lookup!$C$2:$C$1000),"")</f>
        <v>Equity</v>
      </c>
      <c r="D5632" s="8" t="str">
        <f>IFERROR(INDEX('nav master'!$C:$C, MATCH(B5632, 'nav master'!$B:$B, 0)), "")</f>
        <v/>
      </c>
      <c r="E5632" s="8" t="s">
        <v>642</v>
      </c>
      <c r="F5632" s="8" t="s">
        <v>5307</v>
      </c>
    </row>
    <row r="5633" spans="1:6" ht="45" x14ac:dyDescent="0.25">
      <c r="A5633" s="8" t="s">
        <v>125</v>
      </c>
      <c r="B5633" s="8" t="s">
        <v>4868</v>
      </c>
      <c r="C5633" s="8" t="str">
        <f>IFERROR(_xlfn.XLOOKUP(TRIM(B5633),Lookup!$B$2:$B$1000,Lookup!$C$2:$C$1000),"")</f>
        <v>Equity</v>
      </c>
      <c r="D5633" s="8" t="str">
        <f>IFERROR(INDEX('nav master'!$C:$C, MATCH(B5633, 'nav master'!$B:$B, 0)), "")</f>
        <v/>
      </c>
      <c r="E5633" s="8" t="s">
        <v>644</v>
      </c>
      <c r="F5633" s="8" t="s">
        <v>5308</v>
      </c>
    </row>
    <row r="5634" spans="1:6" ht="45" x14ac:dyDescent="0.25">
      <c r="A5634" s="8" t="s">
        <v>125</v>
      </c>
      <c r="B5634" s="8" t="s">
        <v>4868</v>
      </c>
      <c r="C5634" s="8" t="str">
        <f>IFERROR(_xlfn.XLOOKUP(TRIM(B5634),Lookup!$B$2:$B$1000,Lookup!$C$2:$C$1000),"")</f>
        <v>Equity</v>
      </c>
      <c r="D5634" s="8" t="str">
        <f>IFERROR(INDEX('nav master'!$C:$C, MATCH(B5634, 'nav master'!$B:$B, 0)), "")</f>
        <v/>
      </c>
      <c r="E5634" s="8" t="s">
        <v>646</v>
      </c>
      <c r="F5634" s="8" t="s">
        <v>5309</v>
      </c>
    </row>
    <row r="5635" spans="1:6" ht="45" x14ac:dyDescent="0.25">
      <c r="A5635" s="8" t="s">
        <v>125</v>
      </c>
      <c r="B5635" s="8" t="s">
        <v>4868</v>
      </c>
      <c r="C5635" s="8" t="str">
        <f>IFERROR(_xlfn.XLOOKUP(TRIM(B5635),Lookup!$B$2:$B$1000,Lookup!$C$2:$C$1000),"")</f>
        <v>Equity</v>
      </c>
      <c r="D5635" s="8" t="str">
        <f>IFERROR(INDEX('nav master'!$C:$C, MATCH(B5635, 'nav master'!$B:$B, 0)), "")</f>
        <v/>
      </c>
      <c r="E5635" s="8" t="s">
        <v>648</v>
      </c>
      <c r="F5635" s="8" t="s">
        <v>5310</v>
      </c>
    </row>
    <row r="5636" spans="1:6" ht="45" x14ac:dyDescent="0.25">
      <c r="A5636" s="8" t="s">
        <v>125</v>
      </c>
      <c r="B5636" s="8" t="s">
        <v>4868</v>
      </c>
      <c r="C5636" s="8" t="str">
        <f>IFERROR(_xlfn.XLOOKUP(TRIM(B5636),Lookup!$B$2:$B$1000,Lookup!$C$2:$C$1000),"")</f>
        <v>Equity</v>
      </c>
      <c r="D5636" s="8" t="str">
        <f>IFERROR(INDEX('nav master'!$C:$C, MATCH(B5636, 'nav master'!$B:$B, 0)), "")</f>
        <v/>
      </c>
      <c r="E5636" s="8" t="s">
        <v>650</v>
      </c>
      <c r="F5636" s="8" t="s">
        <v>5311</v>
      </c>
    </row>
    <row r="5637" spans="1:6" ht="45" x14ac:dyDescent="0.25">
      <c r="A5637" s="8" t="s">
        <v>125</v>
      </c>
      <c r="B5637" s="8" t="s">
        <v>4868</v>
      </c>
      <c r="C5637" s="8" t="str">
        <f>IFERROR(_xlfn.XLOOKUP(TRIM(B5637),Lookup!$B$2:$B$1000,Lookup!$C$2:$C$1000),"")</f>
        <v>Equity</v>
      </c>
      <c r="D5637" s="8" t="str">
        <f>IFERROR(INDEX('nav master'!$C:$C, MATCH(B5637, 'nav master'!$B:$B, 0)), "")</f>
        <v/>
      </c>
      <c r="E5637" s="8" t="s">
        <v>652</v>
      </c>
      <c r="F5637" s="8" t="s">
        <v>5312</v>
      </c>
    </row>
    <row r="5638" spans="1:6" ht="45" x14ac:dyDescent="0.25">
      <c r="A5638" s="8" t="s">
        <v>125</v>
      </c>
      <c r="B5638" s="8" t="s">
        <v>4868</v>
      </c>
      <c r="C5638" s="8" t="str">
        <f>IFERROR(_xlfn.XLOOKUP(TRIM(B5638),Lookup!$B$2:$B$1000,Lookup!$C$2:$C$1000),"")</f>
        <v>Equity</v>
      </c>
      <c r="D5638" s="8" t="str">
        <f>IFERROR(INDEX('nav master'!$C:$C, MATCH(B5638, 'nav master'!$B:$B, 0)), "")</f>
        <v/>
      </c>
      <c r="E5638" s="8" t="s">
        <v>654</v>
      </c>
      <c r="F5638" s="8" t="s">
        <v>5313</v>
      </c>
    </row>
    <row r="5639" spans="1:6" ht="45" x14ac:dyDescent="0.25">
      <c r="A5639" s="8" t="s">
        <v>125</v>
      </c>
      <c r="B5639" s="8" t="s">
        <v>4868</v>
      </c>
      <c r="C5639" s="8" t="str">
        <f>IFERROR(_xlfn.XLOOKUP(TRIM(B5639),Lookup!$B$2:$B$1000,Lookup!$C$2:$C$1000),"")</f>
        <v>Equity</v>
      </c>
      <c r="D5639" s="8" t="str">
        <f>IFERROR(INDEX('nav master'!$C:$C, MATCH(B5639, 'nav master'!$B:$B, 0)), "")</f>
        <v/>
      </c>
      <c r="E5639" s="8" t="s">
        <v>656</v>
      </c>
      <c r="F5639" s="8" t="s">
        <v>5314</v>
      </c>
    </row>
    <row r="5640" spans="1:6" ht="45" x14ac:dyDescent="0.25">
      <c r="A5640" s="8" t="s">
        <v>125</v>
      </c>
      <c r="B5640" s="8" t="s">
        <v>4868</v>
      </c>
      <c r="C5640" s="8" t="str">
        <f>IFERROR(_xlfn.XLOOKUP(TRIM(B5640),Lookup!$B$2:$B$1000,Lookup!$C$2:$C$1000),"")</f>
        <v>Equity</v>
      </c>
      <c r="D5640" s="8" t="str">
        <f>IFERROR(INDEX('nav master'!$C:$C, MATCH(B5640, 'nav master'!$B:$B, 0)), "")</f>
        <v/>
      </c>
      <c r="E5640" s="8" t="s">
        <v>658</v>
      </c>
      <c r="F5640" s="8" t="s">
        <v>5315</v>
      </c>
    </row>
    <row r="5641" spans="1:6" ht="45" x14ac:dyDescent="0.25">
      <c r="A5641" s="8" t="s">
        <v>125</v>
      </c>
      <c r="B5641" s="8" t="s">
        <v>4868</v>
      </c>
      <c r="C5641" s="8" t="str">
        <f>IFERROR(_xlfn.XLOOKUP(TRIM(B5641),Lookup!$B$2:$B$1000,Lookup!$C$2:$C$1000),"")</f>
        <v>Equity</v>
      </c>
      <c r="D5641" s="8" t="str">
        <f>IFERROR(INDEX('nav master'!$C:$C, MATCH(B5641, 'nav master'!$B:$B, 0)), "")</f>
        <v/>
      </c>
      <c r="E5641" s="8" t="s">
        <v>660</v>
      </c>
      <c r="F5641" s="8" t="s">
        <v>5316</v>
      </c>
    </row>
    <row r="5642" spans="1:6" ht="45" x14ac:dyDescent="0.25">
      <c r="A5642" s="8" t="s">
        <v>125</v>
      </c>
      <c r="B5642" s="8" t="s">
        <v>4868</v>
      </c>
      <c r="C5642" s="8" t="str">
        <f>IFERROR(_xlfn.XLOOKUP(TRIM(B5642),Lookup!$B$2:$B$1000,Lookup!$C$2:$C$1000),"")</f>
        <v>Equity</v>
      </c>
      <c r="D5642" s="8" t="str">
        <f>IFERROR(INDEX('nav master'!$C:$C, MATCH(B5642, 'nav master'!$B:$B, 0)), "")</f>
        <v/>
      </c>
      <c r="E5642" s="8" t="s">
        <v>662</v>
      </c>
      <c r="F5642" s="8" t="s">
        <v>5317</v>
      </c>
    </row>
    <row r="5643" spans="1:6" ht="45" x14ac:dyDescent="0.25">
      <c r="A5643" s="8" t="s">
        <v>125</v>
      </c>
      <c r="B5643" s="8" t="s">
        <v>4868</v>
      </c>
      <c r="C5643" s="8" t="str">
        <f>IFERROR(_xlfn.XLOOKUP(TRIM(B5643),Lookup!$B$2:$B$1000,Lookup!$C$2:$C$1000),"")</f>
        <v>Equity</v>
      </c>
      <c r="D5643" s="8" t="str">
        <f>IFERROR(INDEX('nav master'!$C:$C, MATCH(B5643, 'nav master'!$B:$B, 0)), "")</f>
        <v/>
      </c>
      <c r="E5643" s="8" t="s">
        <v>664</v>
      </c>
      <c r="F5643" s="8" t="s">
        <v>5318</v>
      </c>
    </row>
    <row r="5644" spans="1:6" ht="45" x14ac:dyDescent="0.25">
      <c r="A5644" s="8" t="s">
        <v>125</v>
      </c>
      <c r="B5644" s="8" t="s">
        <v>4868</v>
      </c>
      <c r="C5644" s="8" t="str">
        <f>IFERROR(_xlfn.XLOOKUP(TRIM(B5644),Lookup!$B$2:$B$1000,Lookup!$C$2:$C$1000),"")</f>
        <v>Equity</v>
      </c>
      <c r="D5644" s="8" t="str">
        <f>IFERROR(INDEX('nav master'!$C:$C, MATCH(B5644, 'nav master'!$B:$B, 0)), "")</f>
        <v/>
      </c>
      <c r="E5644" s="8" t="s">
        <v>4892</v>
      </c>
      <c r="F5644" s="8" t="s">
        <v>5319</v>
      </c>
    </row>
    <row r="5645" spans="1:6" ht="45" x14ac:dyDescent="0.25">
      <c r="A5645" s="8" t="s">
        <v>125</v>
      </c>
      <c r="B5645" s="8" t="s">
        <v>4868</v>
      </c>
      <c r="C5645" s="8" t="str">
        <f>IFERROR(_xlfn.XLOOKUP(TRIM(B5645),Lookup!$B$2:$B$1000,Lookup!$C$2:$C$1000),"")</f>
        <v>Equity</v>
      </c>
      <c r="D5645" s="8" t="str">
        <f>IFERROR(INDEX('nav master'!$C:$C, MATCH(B5645, 'nav master'!$B:$B, 0)), "")</f>
        <v/>
      </c>
      <c r="E5645" s="8" t="s">
        <v>4894</v>
      </c>
      <c r="F5645" s="8" t="s">
        <v>5320</v>
      </c>
    </row>
    <row r="5646" spans="1:6" ht="45" x14ac:dyDescent="0.25">
      <c r="A5646" s="8" t="s">
        <v>125</v>
      </c>
      <c r="B5646" s="8" t="s">
        <v>4868</v>
      </c>
      <c r="C5646" s="8" t="str">
        <f>IFERROR(_xlfn.XLOOKUP(TRIM(B5646),Lookup!$B$2:$B$1000,Lookup!$C$2:$C$1000),"")</f>
        <v>Equity</v>
      </c>
      <c r="D5646" s="8" t="str">
        <f>IFERROR(INDEX('nav master'!$C:$C, MATCH(B5646, 'nav master'!$B:$B, 0)), "")</f>
        <v/>
      </c>
      <c r="E5646" s="8" t="s">
        <v>4896</v>
      </c>
      <c r="F5646" s="8" t="s">
        <v>5321</v>
      </c>
    </row>
    <row r="5647" spans="1:6" ht="45" x14ac:dyDescent="0.25">
      <c r="A5647" s="8" t="s">
        <v>125</v>
      </c>
      <c r="B5647" s="8" t="s">
        <v>4868</v>
      </c>
      <c r="C5647" s="8" t="str">
        <f>IFERROR(_xlfn.XLOOKUP(TRIM(B5647),Lookup!$B$2:$B$1000,Lookup!$C$2:$C$1000),"")</f>
        <v>Equity</v>
      </c>
      <c r="D5647" s="8" t="str">
        <f>IFERROR(INDEX('nav master'!$C:$C, MATCH(B5647, 'nav master'!$B:$B, 0)), "")</f>
        <v/>
      </c>
      <c r="E5647" s="8" t="s">
        <v>4898</v>
      </c>
      <c r="F5647" s="8" t="s">
        <v>5322</v>
      </c>
    </row>
    <row r="5648" spans="1:6" ht="45" x14ac:dyDescent="0.25">
      <c r="A5648" s="8" t="s">
        <v>125</v>
      </c>
      <c r="B5648" s="8" t="s">
        <v>4868</v>
      </c>
      <c r="C5648" s="8" t="str">
        <f>IFERROR(_xlfn.XLOOKUP(TRIM(B5648),Lookup!$B$2:$B$1000,Lookup!$C$2:$C$1000),"")</f>
        <v>Equity</v>
      </c>
      <c r="D5648" s="8" t="str">
        <f>IFERROR(INDEX('nav master'!$C:$C, MATCH(B5648, 'nav master'!$B:$B, 0)), "")</f>
        <v/>
      </c>
      <c r="E5648" s="8" t="s">
        <v>4900</v>
      </c>
      <c r="F5648" s="8" t="s">
        <v>5323</v>
      </c>
    </row>
    <row r="5649" spans="1:6" ht="45" x14ac:dyDescent="0.25">
      <c r="A5649" s="8" t="s">
        <v>125</v>
      </c>
      <c r="B5649" s="8" t="s">
        <v>4868</v>
      </c>
      <c r="C5649" s="8" t="str">
        <f>IFERROR(_xlfn.XLOOKUP(TRIM(B5649),Lookup!$B$2:$B$1000,Lookup!$C$2:$C$1000),"")</f>
        <v>Equity</v>
      </c>
      <c r="D5649" s="8" t="str">
        <f>IFERROR(INDEX('nav master'!$C:$C, MATCH(B5649, 'nav master'!$B:$B, 0)), "")</f>
        <v/>
      </c>
      <c r="E5649" s="8" t="s">
        <v>4902</v>
      </c>
      <c r="F5649" s="8" t="s">
        <v>5324</v>
      </c>
    </row>
    <row r="5650" spans="1:6" ht="45" x14ac:dyDescent="0.25">
      <c r="A5650" s="8" t="s">
        <v>125</v>
      </c>
      <c r="B5650" s="8" t="s">
        <v>4868</v>
      </c>
      <c r="C5650" s="8" t="str">
        <f>IFERROR(_xlfn.XLOOKUP(TRIM(B5650),Lookup!$B$2:$B$1000,Lookup!$C$2:$C$1000),"")</f>
        <v>Equity</v>
      </c>
      <c r="D5650" s="8" t="str">
        <f>IFERROR(INDEX('nav master'!$C:$C, MATCH(B5650, 'nav master'!$B:$B, 0)), "")</f>
        <v/>
      </c>
      <c r="E5650" s="8" t="s">
        <v>4903</v>
      </c>
      <c r="F5650" s="8" t="s">
        <v>5325</v>
      </c>
    </row>
    <row r="5651" spans="1:6" ht="45" x14ac:dyDescent="0.25">
      <c r="A5651" s="8" t="s">
        <v>125</v>
      </c>
      <c r="B5651" s="8" t="s">
        <v>4868</v>
      </c>
      <c r="C5651" s="8" t="str">
        <f>IFERROR(_xlfn.XLOOKUP(TRIM(B5651),Lookup!$B$2:$B$1000,Lookup!$C$2:$C$1000),"")</f>
        <v>Equity</v>
      </c>
      <c r="D5651" s="8" t="str">
        <f>IFERROR(INDEX('nav master'!$C:$C, MATCH(B5651, 'nav master'!$B:$B, 0)), "")</f>
        <v/>
      </c>
      <c r="E5651" s="8" t="s">
        <v>4905</v>
      </c>
      <c r="F5651" s="8" t="s">
        <v>5326</v>
      </c>
    </row>
    <row r="5652" spans="1:6" ht="60" x14ac:dyDescent="0.25">
      <c r="A5652" s="8" t="s">
        <v>125</v>
      </c>
      <c r="B5652" s="8" t="s">
        <v>126</v>
      </c>
      <c r="C5652" s="8" t="str">
        <f>IFERROR(_xlfn.XLOOKUP(TRIM(B5652),Lookup!$B$2:$B$1000,Lookup!$C$2:$C$1000),"")</f>
        <v>Equity</v>
      </c>
      <c r="D5652" s="8" t="str">
        <f>IFERROR(INDEX('nav master'!$C:$C, MATCH(B5652, 'nav master'!$B:$B, 0)), "")</f>
        <v>ULIF05501/08/13DivrEqtyFd101</v>
      </c>
      <c r="E5652" s="8" t="s">
        <v>189</v>
      </c>
      <c r="F5652" s="8" t="s">
        <v>190</v>
      </c>
    </row>
    <row r="5653" spans="1:6" ht="60" x14ac:dyDescent="0.25">
      <c r="A5653" s="8" t="s">
        <v>125</v>
      </c>
      <c r="B5653" s="8" t="s">
        <v>126</v>
      </c>
      <c r="C5653" s="8" t="str">
        <f>IFERROR(_xlfn.XLOOKUP(TRIM(B5653),Lookup!$B$2:$B$1000,Lookup!$C$2:$C$1000),"")</f>
        <v>Equity</v>
      </c>
      <c r="D5653" s="8" t="str">
        <f>IFERROR(INDEX('nav master'!$C:$C, MATCH(B5653, 'nav master'!$B:$B, 0)), "")</f>
        <v>ULIF05501/08/13DivrEqtyFd101</v>
      </c>
      <c r="E5653" s="8" t="s">
        <v>191</v>
      </c>
      <c r="F5653" s="8" t="s">
        <v>192</v>
      </c>
    </row>
    <row r="5654" spans="1:6" ht="60" x14ac:dyDescent="0.25">
      <c r="A5654" s="8" t="s">
        <v>125</v>
      </c>
      <c r="B5654" s="8" t="s">
        <v>126</v>
      </c>
      <c r="C5654" s="8" t="str">
        <f>IFERROR(_xlfn.XLOOKUP(TRIM(B5654),Lookup!$B$2:$B$1000,Lookup!$C$2:$C$1000),"")</f>
        <v>Equity</v>
      </c>
      <c r="D5654" s="8" t="str">
        <f>IFERROR(INDEX('nav master'!$C:$C, MATCH(B5654, 'nav master'!$B:$B, 0)), "")</f>
        <v>ULIF05501/08/13DivrEqtyFd101</v>
      </c>
      <c r="E5654" s="8" t="s">
        <v>193</v>
      </c>
      <c r="F5654" s="8" t="s">
        <v>194</v>
      </c>
    </row>
    <row r="5655" spans="1:6" ht="60" x14ac:dyDescent="0.25">
      <c r="A5655" s="8" t="s">
        <v>125</v>
      </c>
      <c r="B5655" s="8" t="s">
        <v>126</v>
      </c>
      <c r="C5655" s="8" t="str">
        <f>IFERROR(_xlfn.XLOOKUP(TRIM(B5655),Lookup!$B$2:$B$1000,Lookup!$C$2:$C$1000),"")</f>
        <v>Equity</v>
      </c>
      <c r="D5655" s="8" t="str">
        <f>IFERROR(INDEX('nav master'!$C:$C, MATCH(B5655, 'nav master'!$B:$B, 0)), "")</f>
        <v>ULIF05501/08/13DivrEqtyFd101</v>
      </c>
      <c r="E5655" s="8" t="s">
        <v>195</v>
      </c>
      <c r="F5655" s="8" t="s">
        <v>196</v>
      </c>
    </row>
    <row r="5656" spans="1:6" ht="60" x14ac:dyDescent="0.25">
      <c r="A5656" s="8" t="s">
        <v>125</v>
      </c>
      <c r="B5656" s="8" t="s">
        <v>126</v>
      </c>
      <c r="C5656" s="8" t="str">
        <f>IFERROR(_xlfn.XLOOKUP(TRIM(B5656),Lookup!$B$2:$B$1000,Lookup!$C$2:$C$1000),"")</f>
        <v>Equity</v>
      </c>
      <c r="D5656" s="8" t="str">
        <f>IFERROR(INDEX('nav master'!$C:$C, MATCH(B5656, 'nav master'!$B:$B, 0)), "")</f>
        <v>ULIF05501/08/13DivrEqtyFd101</v>
      </c>
      <c r="E5656" s="8" t="s">
        <v>197</v>
      </c>
      <c r="F5656" s="8" t="s">
        <v>198</v>
      </c>
    </row>
    <row r="5657" spans="1:6" ht="60" x14ac:dyDescent="0.25">
      <c r="A5657" s="8" t="s">
        <v>125</v>
      </c>
      <c r="B5657" s="8" t="s">
        <v>126</v>
      </c>
      <c r="C5657" s="8" t="str">
        <f>IFERROR(_xlfn.XLOOKUP(TRIM(B5657),Lookup!$B$2:$B$1000,Lookup!$C$2:$C$1000),"")</f>
        <v>Equity</v>
      </c>
      <c r="D5657" s="8" t="str">
        <f>IFERROR(INDEX('nav master'!$C:$C, MATCH(B5657, 'nav master'!$B:$B, 0)), "")</f>
        <v>ULIF05501/08/13DivrEqtyFd101</v>
      </c>
      <c r="E5657" s="8" t="s">
        <v>199</v>
      </c>
      <c r="F5657" s="8" t="s">
        <v>200</v>
      </c>
    </row>
    <row r="5658" spans="1:6" ht="60" x14ac:dyDescent="0.25">
      <c r="A5658" s="8" t="s">
        <v>125</v>
      </c>
      <c r="B5658" s="8" t="s">
        <v>126</v>
      </c>
      <c r="C5658" s="8" t="str">
        <f>IFERROR(_xlfn.XLOOKUP(TRIM(B5658),Lookup!$B$2:$B$1000,Lookup!$C$2:$C$1000),"")</f>
        <v>Equity</v>
      </c>
      <c r="D5658" s="8" t="str">
        <f>IFERROR(INDEX('nav master'!$C:$C, MATCH(B5658, 'nav master'!$B:$B, 0)), "")</f>
        <v>ULIF05501/08/13DivrEqtyFd101</v>
      </c>
      <c r="E5658" s="8" t="s">
        <v>201</v>
      </c>
      <c r="F5658" s="8" t="s">
        <v>202</v>
      </c>
    </row>
    <row r="5659" spans="1:6" ht="60" x14ac:dyDescent="0.25">
      <c r="A5659" s="8" t="s">
        <v>125</v>
      </c>
      <c r="B5659" s="8" t="s">
        <v>126</v>
      </c>
      <c r="C5659" s="8" t="str">
        <f>IFERROR(_xlfn.XLOOKUP(TRIM(B5659),Lookup!$B$2:$B$1000,Lookup!$C$2:$C$1000),"")</f>
        <v>Equity</v>
      </c>
      <c r="D5659" s="8" t="str">
        <f>IFERROR(INDEX('nav master'!$C:$C, MATCH(B5659, 'nav master'!$B:$B, 0)), "")</f>
        <v>ULIF05501/08/13DivrEqtyFd101</v>
      </c>
      <c r="E5659" s="8" t="s">
        <v>203</v>
      </c>
      <c r="F5659" s="8" t="s">
        <v>204</v>
      </c>
    </row>
    <row r="5660" spans="1:6" ht="60" x14ac:dyDescent="0.25">
      <c r="A5660" s="8" t="s">
        <v>125</v>
      </c>
      <c r="B5660" s="8" t="s">
        <v>126</v>
      </c>
      <c r="C5660" s="8" t="str">
        <f>IFERROR(_xlfn.XLOOKUP(TRIM(B5660),Lookup!$B$2:$B$1000,Lookup!$C$2:$C$1000),"")</f>
        <v>Equity</v>
      </c>
      <c r="D5660" s="8" t="str">
        <f>IFERROR(INDEX('nav master'!$C:$C, MATCH(B5660, 'nav master'!$B:$B, 0)), "")</f>
        <v>ULIF05501/08/13DivrEqtyFd101</v>
      </c>
      <c r="E5660" s="8" t="s">
        <v>205</v>
      </c>
      <c r="F5660" s="8" t="s">
        <v>206</v>
      </c>
    </row>
    <row r="5661" spans="1:6" ht="60" x14ac:dyDescent="0.25">
      <c r="A5661" s="8" t="s">
        <v>125</v>
      </c>
      <c r="B5661" s="8" t="s">
        <v>126</v>
      </c>
      <c r="C5661" s="8" t="str">
        <f>IFERROR(_xlfn.XLOOKUP(TRIM(B5661),Lookup!$B$2:$B$1000,Lookup!$C$2:$C$1000),"")</f>
        <v>Equity</v>
      </c>
      <c r="D5661" s="8" t="str">
        <f>IFERROR(INDEX('nav master'!$C:$C, MATCH(B5661, 'nav master'!$B:$B, 0)), "")</f>
        <v>ULIF05501/08/13DivrEqtyFd101</v>
      </c>
      <c r="E5661" s="8" t="s">
        <v>207</v>
      </c>
      <c r="F5661" s="8" t="s">
        <v>208</v>
      </c>
    </row>
    <row r="5662" spans="1:6" ht="60" x14ac:dyDescent="0.25">
      <c r="A5662" s="8" t="s">
        <v>125</v>
      </c>
      <c r="B5662" s="8" t="s">
        <v>126</v>
      </c>
      <c r="C5662" s="8" t="str">
        <f>IFERROR(_xlfn.XLOOKUP(TRIM(B5662),Lookup!$B$2:$B$1000,Lookup!$C$2:$C$1000),"")</f>
        <v>Equity</v>
      </c>
      <c r="D5662" s="8" t="str">
        <f>IFERROR(INDEX('nav master'!$C:$C, MATCH(B5662, 'nav master'!$B:$B, 0)), "")</f>
        <v>ULIF05501/08/13DivrEqtyFd101</v>
      </c>
      <c r="E5662" s="8" t="s">
        <v>209</v>
      </c>
      <c r="F5662" s="8" t="s">
        <v>210</v>
      </c>
    </row>
    <row r="5663" spans="1:6" ht="60" x14ac:dyDescent="0.25">
      <c r="A5663" s="8" t="s">
        <v>125</v>
      </c>
      <c r="B5663" s="8" t="s">
        <v>126</v>
      </c>
      <c r="C5663" s="8" t="str">
        <f>IFERROR(_xlfn.XLOOKUP(TRIM(B5663),Lookup!$B$2:$B$1000,Lookup!$C$2:$C$1000),"")</f>
        <v>Equity</v>
      </c>
      <c r="D5663" s="8" t="str">
        <f>IFERROR(INDEX('nav master'!$C:$C, MATCH(B5663, 'nav master'!$B:$B, 0)), "")</f>
        <v>ULIF05501/08/13DivrEqtyFd101</v>
      </c>
      <c r="E5663" s="8" t="s">
        <v>211</v>
      </c>
      <c r="F5663" s="8" t="s">
        <v>212</v>
      </c>
    </row>
    <row r="5664" spans="1:6" ht="60" x14ac:dyDescent="0.25">
      <c r="A5664" s="8" t="s">
        <v>125</v>
      </c>
      <c r="B5664" s="8" t="s">
        <v>126</v>
      </c>
      <c r="C5664" s="8" t="str">
        <f>IFERROR(_xlfn.XLOOKUP(TRIM(B5664),Lookup!$B$2:$B$1000,Lookup!$C$2:$C$1000),"")</f>
        <v>Equity</v>
      </c>
      <c r="D5664" s="8" t="str">
        <f>IFERROR(INDEX('nav master'!$C:$C, MATCH(B5664, 'nav master'!$B:$B, 0)), "")</f>
        <v>ULIF05501/08/13DivrEqtyFd101</v>
      </c>
      <c r="E5664" s="8" t="s">
        <v>213</v>
      </c>
      <c r="F5664" s="8" t="s">
        <v>214</v>
      </c>
    </row>
    <row r="5665" spans="1:6" ht="60" x14ac:dyDescent="0.25">
      <c r="A5665" s="8" t="s">
        <v>125</v>
      </c>
      <c r="B5665" s="8" t="s">
        <v>126</v>
      </c>
      <c r="C5665" s="8" t="str">
        <f>IFERROR(_xlfn.XLOOKUP(TRIM(B5665),Lookup!$B$2:$B$1000,Lookup!$C$2:$C$1000),"")</f>
        <v>Equity</v>
      </c>
      <c r="D5665" s="8" t="str">
        <f>IFERROR(INDEX('nav master'!$C:$C, MATCH(B5665, 'nav master'!$B:$B, 0)), "")</f>
        <v>ULIF05501/08/13DivrEqtyFd101</v>
      </c>
      <c r="E5665" s="8" t="s">
        <v>215</v>
      </c>
      <c r="F5665" s="8" t="s">
        <v>216</v>
      </c>
    </row>
    <row r="5666" spans="1:6" ht="60" x14ac:dyDescent="0.25">
      <c r="A5666" s="8" t="s">
        <v>125</v>
      </c>
      <c r="B5666" s="8" t="s">
        <v>126</v>
      </c>
      <c r="C5666" s="8" t="str">
        <f>IFERROR(_xlfn.XLOOKUP(TRIM(B5666),Lookup!$B$2:$B$1000,Lookup!$C$2:$C$1000),"")</f>
        <v>Equity</v>
      </c>
      <c r="D5666" s="8" t="str">
        <f>IFERROR(INDEX('nav master'!$C:$C, MATCH(B5666, 'nav master'!$B:$B, 0)), "")</f>
        <v>ULIF05501/08/13DivrEqtyFd101</v>
      </c>
      <c r="E5666" s="8" t="s">
        <v>217</v>
      </c>
      <c r="F5666" s="8" t="s">
        <v>218</v>
      </c>
    </row>
    <row r="5667" spans="1:6" ht="60" x14ac:dyDescent="0.25">
      <c r="A5667" s="8" t="s">
        <v>125</v>
      </c>
      <c r="B5667" s="8" t="s">
        <v>126</v>
      </c>
      <c r="C5667" s="8" t="str">
        <f>IFERROR(_xlfn.XLOOKUP(TRIM(B5667),Lookup!$B$2:$B$1000,Lookup!$C$2:$C$1000),"")</f>
        <v>Equity</v>
      </c>
      <c r="D5667" s="8" t="str">
        <f>IFERROR(INDEX('nav master'!$C:$C, MATCH(B5667, 'nav master'!$B:$B, 0)), "")</f>
        <v>ULIF05501/08/13DivrEqtyFd101</v>
      </c>
      <c r="E5667" s="8" t="s">
        <v>219</v>
      </c>
      <c r="F5667" s="8" t="s">
        <v>220</v>
      </c>
    </row>
    <row r="5668" spans="1:6" ht="60" x14ac:dyDescent="0.25">
      <c r="A5668" s="8" t="s">
        <v>125</v>
      </c>
      <c r="B5668" s="8" t="s">
        <v>126</v>
      </c>
      <c r="C5668" s="8" t="str">
        <f>IFERROR(_xlfn.XLOOKUP(TRIM(B5668),Lookup!$B$2:$B$1000,Lookup!$C$2:$C$1000),"")</f>
        <v>Equity</v>
      </c>
      <c r="D5668" s="8" t="str">
        <f>IFERROR(INDEX('nav master'!$C:$C, MATCH(B5668, 'nav master'!$B:$B, 0)), "")</f>
        <v>ULIF05501/08/13DivrEqtyFd101</v>
      </c>
      <c r="E5668" s="8" t="s">
        <v>221</v>
      </c>
      <c r="F5668" s="8" t="s">
        <v>222</v>
      </c>
    </row>
    <row r="5669" spans="1:6" ht="60" x14ac:dyDescent="0.25">
      <c r="A5669" s="8" t="s">
        <v>125</v>
      </c>
      <c r="B5669" s="8" t="s">
        <v>126</v>
      </c>
      <c r="C5669" s="8" t="str">
        <f>IFERROR(_xlfn.XLOOKUP(TRIM(B5669),Lookup!$B$2:$B$1000,Lookup!$C$2:$C$1000),"")</f>
        <v>Equity</v>
      </c>
      <c r="D5669" s="8" t="str">
        <f>IFERROR(INDEX('nav master'!$C:$C, MATCH(B5669, 'nav master'!$B:$B, 0)), "")</f>
        <v>ULIF05501/08/13DivrEqtyFd101</v>
      </c>
      <c r="E5669" s="8" t="s">
        <v>223</v>
      </c>
      <c r="F5669" s="8" t="s">
        <v>224</v>
      </c>
    </row>
    <row r="5670" spans="1:6" ht="60" x14ac:dyDescent="0.25">
      <c r="A5670" s="8" t="s">
        <v>125</v>
      </c>
      <c r="B5670" s="8" t="s">
        <v>126</v>
      </c>
      <c r="C5670" s="8" t="str">
        <f>IFERROR(_xlfn.XLOOKUP(TRIM(B5670),Lookup!$B$2:$B$1000,Lookup!$C$2:$C$1000),"")</f>
        <v>Equity</v>
      </c>
      <c r="D5670" s="8" t="str">
        <f>IFERROR(INDEX('nav master'!$C:$C, MATCH(B5670, 'nav master'!$B:$B, 0)), "")</f>
        <v>ULIF05501/08/13DivrEqtyFd101</v>
      </c>
      <c r="E5670" s="8" t="s">
        <v>225</v>
      </c>
      <c r="F5670" s="8" t="s">
        <v>226</v>
      </c>
    </row>
    <row r="5671" spans="1:6" ht="60" x14ac:dyDescent="0.25">
      <c r="A5671" s="8" t="s">
        <v>125</v>
      </c>
      <c r="B5671" s="8" t="s">
        <v>126</v>
      </c>
      <c r="C5671" s="8" t="str">
        <f>IFERROR(_xlfn.XLOOKUP(TRIM(B5671),Lookup!$B$2:$B$1000,Lookup!$C$2:$C$1000),"")</f>
        <v>Equity</v>
      </c>
      <c r="D5671" s="8" t="str">
        <f>IFERROR(INDEX('nav master'!$C:$C, MATCH(B5671, 'nav master'!$B:$B, 0)), "")</f>
        <v>ULIF05501/08/13DivrEqtyFd101</v>
      </c>
      <c r="E5671" s="8" t="s">
        <v>227</v>
      </c>
      <c r="F5671" s="8" t="s">
        <v>228</v>
      </c>
    </row>
    <row r="5672" spans="1:6" ht="60" x14ac:dyDescent="0.25">
      <c r="A5672" s="8" t="s">
        <v>125</v>
      </c>
      <c r="B5672" s="8" t="s">
        <v>126</v>
      </c>
      <c r="C5672" s="8" t="str">
        <f>IFERROR(_xlfn.XLOOKUP(TRIM(B5672),Lookup!$B$2:$B$1000,Lookup!$C$2:$C$1000),"")</f>
        <v>Equity</v>
      </c>
      <c r="D5672" s="8" t="str">
        <f>IFERROR(INDEX('nav master'!$C:$C, MATCH(B5672, 'nav master'!$B:$B, 0)), "")</f>
        <v>ULIF05501/08/13DivrEqtyFd101</v>
      </c>
      <c r="E5672" s="8" t="s">
        <v>229</v>
      </c>
      <c r="F5672" s="8" t="s">
        <v>230</v>
      </c>
    </row>
    <row r="5673" spans="1:6" ht="60" x14ac:dyDescent="0.25">
      <c r="A5673" s="8" t="s">
        <v>125</v>
      </c>
      <c r="B5673" s="8" t="s">
        <v>126</v>
      </c>
      <c r="C5673" s="8" t="str">
        <f>IFERROR(_xlfn.XLOOKUP(TRIM(B5673),Lookup!$B$2:$B$1000,Lookup!$C$2:$C$1000),"")</f>
        <v>Equity</v>
      </c>
      <c r="D5673" s="8" t="str">
        <f>IFERROR(INDEX('nav master'!$C:$C, MATCH(B5673, 'nav master'!$B:$B, 0)), "")</f>
        <v>ULIF05501/08/13DivrEqtyFd101</v>
      </c>
      <c r="E5673" s="8" t="s">
        <v>231</v>
      </c>
      <c r="F5673" s="8" t="s">
        <v>232</v>
      </c>
    </row>
    <row r="5674" spans="1:6" ht="60" x14ac:dyDescent="0.25">
      <c r="A5674" s="8" t="s">
        <v>125</v>
      </c>
      <c r="B5674" s="8" t="s">
        <v>126</v>
      </c>
      <c r="C5674" s="8" t="str">
        <f>IFERROR(_xlfn.XLOOKUP(TRIM(B5674),Lookup!$B$2:$B$1000,Lookup!$C$2:$C$1000),"")</f>
        <v>Equity</v>
      </c>
      <c r="D5674" s="8" t="str">
        <f>IFERROR(INDEX('nav master'!$C:$C, MATCH(B5674, 'nav master'!$B:$B, 0)), "")</f>
        <v>ULIF05501/08/13DivrEqtyFd101</v>
      </c>
      <c r="E5674" s="8" t="s">
        <v>233</v>
      </c>
      <c r="F5674" s="8" t="s">
        <v>234</v>
      </c>
    </row>
    <row r="5675" spans="1:6" ht="60" x14ac:dyDescent="0.25">
      <c r="A5675" s="8" t="s">
        <v>125</v>
      </c>
      <c r="B5675" s="8" t="s">
        <v>126</v>
      </c>
      <c r="C5675" s="8" t="str">
        <f>IFERROR(_xlfn.XLOOKUP(TRIM(B5675),Lookup!$B$2:$B$1000,Lookup!$C$2:$C$1000),"")</f>
        <v>Equity</v>
      </c>
      <c r="D5675" s="8" t="str">
        <f>IFERROR(INDEX('nav master'!$C:$C, MATCH(B5675, 'nav master'!$B:$B, 0)), "")</f>
        <v>ULIF05501/08/13DivrEqtyFd101</v>
      </c>
      <c r="E5675" s="8" t="s">
        <v>235</v>
      </c>
      <c r="F5675" s="8" t="s">
        <v>236</v>
      </c>
    </row>
    <row r="5676" spans="1:6" ht="60" x14ac:dyDescent="0.25">
      <c r="A5676" s="8" t="s">
        <v>125</v>
      </c>
      <c r="B5676" s="8" t="s">
        <v>126</v>
      </c>
      <c r="C5676" s="8" t="str">
        <f>IFERROR(_xlfn.XLOOKUP(TRIM(B5676),Lookup!$B$2:$B$1000,Lookup!$C$2:$C$1000),"")</f>
        <v>Equity</v>
      </c>
      <c r="D5676" s="8" t="str">
        <f>IFERROR(INDEX('nav master'!$C:$C, MATCH(B5676, 'nav master'!$B:$B, 0)), "")</f>
        <v>ULIF05501/08/13DivrEqtyFd101</v>
      </c>
      <c r="E5676" s="8" t="s">
        <v>237</v>
      </c>
      <c r="F5676" s="8" t="s">
        <v>238</v>
      </c>
    </row>
    <row r="5677" spans="1:6" ht="60" x14ac:dyDescent="0.25">
      <c r="A5677" s="8" t="s">
        <v>125</v>
      </c>
      <c r="B5677" s="8" t="s">
        <v>126</v>
      </c>
      <c r="C5677" s="8" t="str">
        <f>IFERROR(_xlfn.XLOOKUP(TRIM(B5677),Lookup!$B$2:$B$1000,Lookup!$C$2:$C$1000),"")</f>
        <v>Equity</v>
      </c>
      <c r="D5677" s="8" t="str">
        <f>IFERROR(INDEX('nav master'!$C:$C, MATCH(B5677, 'nav master'!$B:$B, 0)), "")</f>
        <v>ULIF05501/08/13DivrEqtyFd101</v>
      </c>
      <c r="E5677" s="8" t="s">
        <v>239</v>
      </c>
      <c r="F5677" s="8" t="s">
        <v>240</v>
      </c>
    </row>
    <row r="5678" spans="1:6" ht="60" x14ac:dyDescent="0.25">
      <c r="A5678" s="8" t="s">
        <v>125</v>
      </c>
      <c r="B5678" s="8" t="s">
        <v>126</v>
      </c>
      <c r="C5678" s="8" t="str">
        <f>IFERROR(_xlfn.XLOOKUP(TRIM(B5678),Lookup!$B$2:$B$1000,Lookup!$C$2:$C$1000),"")</f>
        <v>Equity</v>
      </c>
      <c r="D5678" s="8" t="str">
        <f>IFERROR(INDEX('nav master'!$C:$C, MATCH(B5678, 'nav master'!$B:$B, 0)), "")</f>
        <v>ULIF05501/08/13DivrEqtyFd101</v>
      </c>
      <c r="E5678" s="8" t="s">
        <v>241</v>
      </c>
      <c r="F5678" s="8" t="s">
        <v>242</v>
      </c>
    </row>
    <row r="5679" spans="1:6" ht="60" x14ac:dyDescent="0.25">
      <c r="A5679" s="8" t="s">
        <v>125</v>
      </c>
      <c r="B5679" s="8" t="s">
        <v>126</v>
      </c>
      <c r="C5679" s="8" t="str">
        <f>IFERROR(_xlfn.XLOOKUP(TRIM(B5679),Lookup!$B$2:$B$1000,Lookup!$C$2:$C$1000),"")</f>
        <v>Equity</v>
      </c>
      <c r="D5679" s="8" t="str">
        <f>IFERROR(INDEX('nav master'!$C:$C, MATCH(B5679, 'nav master'!$B:$B, 0)), "")</f>
        <v>ULIF05501/08/13DivrEqtyFd101</v>
      </c>
      <c r="E5679" s="8" t="s">
        <v>243</v>
      </c>
      <c r="F5679" s="8" t="s">
        <v>244</v>
      </c>
    </row>
    <row r="5680" spans="1:6" ht="60" x14ac:dyDescent="0.25">
      <c r="A5680" s="8" t="s">
        <v>125</v>
      </c>
      <c r="B5680" s="8" t="s">
        <v>126</v>
      </c>
      <c r="C5680" s="8" t="str">
        <f>IFERROR(_xlfn.XLOOKUP(TRIM(B5680),Lookup!$B$2:$B$1000,Lookup!$C$2:$C$1000),"")</f>
        <v>Equity</v>
      </c>
      <c r="D5680" s="8" t="str">
        <f>IFERROR(INDEX('nav master'!$C:$C, MATCH(B5680, 'nav master'!$B:$B, 0)), "")</f>
        <v>ULIF05501/08/13DivrEqtyFd101</v>
      </c>
      <c r="E5680" s="8" t="s">
        <v>245</v>
      </c>
      <c r="F5680" s="8" t="s">
        <v>246</v>
      </c>
    </row>
    <row r="5681" spans="1:6" ht="60" x14ac:dyDescent="0.25">
      <c r="A5681" s="8" t="s">
        <v>125</v>
      </c>
      <c r="B5681" s="8" t="s">
        <v>126</v>
      </c>
      <c r="C5681" s="8" t="str">
        <f>IFERROR(_xlfn.XLOOKUP(TRIM(B5681),Lookup!$B$2:$B$1000,Lookup!$C$2:$C$1000),"")</f>
        <v>Equity</v>
      </c>
      <c r="D5681" s="8" t="str">
        <f>IFERROR(INDEX('nav master'!$C:$C, MATCH(B5681, 'nav master'!$B:$B, 0)), "")</f>
        <v>ULIF05501/08/13DivrEqtyFd101</v>
      </c>
      <c r="E5681" s="8" t="s">
        <v>247</v>
      </c>
      <c r="F5681" s="8" t="s">
        <v>248</v>
      </c>
    </row>
    <row r="5682" spans="1:6" ht="60" x14ac:dyDescent="0.25">
      <c r="A5682" s="8" t="s">
        <v>125</v>
      </c>
      <c r="B5682" s="8" t="s">
        <v>126</v>
      </c>
      <c r="C5682" s="8" t="str">
        <f>IFERROR(_xlfn.XLOOKUP(TRIM(B5682),Lookup!$B$2:$B$1000,Lookup!$C$2:$C$1000),"")</f>
        <v>Equity</v>
      </c>
      <c r="D5682" s="8" t="str">
        <f>IFERROR(INDEX('nav master'!$C:$C, MATCH(B5682, 'nav master'!$B:$B, 0)), "")</f>
        <v>ULIF05501/08/13DivrEqtyFd101</v>
      </c>
      <c r="E5682" s="8" t="s">
        <v>249</v>
      </c>
      <c r="F5682" s="8" t="s">
        <v>250</v>
      </c>
    </row>
    <row r="5683" spans="1:6" ht="60" x14ac:dyDescent="0.25">
      <c r="A5683" s="8" t="s">
        <v>125</v>
      </c>
      <c r="B5683" s="8" t="s">
        <v>126</v>
      </c>
      <c r="C5683" s="8" t="str">
        <f>IFERROR(_xlfn.XLOOKUP(TRIM(B5683),Lookup!$B$2:$B$1000,Lookup!$C$2:$C$1000),"")</f>
        <v>Equity</v>
      </c>
      <c r="D5683" s="8" t="str">
        <f>IFERROR(INDEX('nav master'!$C:$C, MATCH(B5683, 'nav master'!$B:$B, 0)), "")</f>
        <v>ULIF05501/08/13DivrEqtyFd101</v>
      </c>
      <c r="E5683" s="8" t="s">
        <v>251</v>
      </c>
      <c r="F5683" s="8" t="s">
        <v>252</v>
      </c>
    </row>
    <row r="5684" spans="1:6" ht="60" x14ac:dyDescent="0.25">
      <c r="A5684" s="8" t="s">
        <v>125</v>
      </c>
      <c r="B5684" s="8" t="s">
        <v>126</v>
      </c>
      <c r="C5684" s="8" t="str">
        <f>IFERROR(_xlfn.XLOOKUP(TRIM(B5684),Lookup!$B$2:$B$1000,Lookup!$C$2:$C$1000),"")</f>
        <v>Equity</v>
      </c>
      <c r="D5684" s="8" t="str">
        <f>IFERROR(INDEX('nav master'!$C:$C, MATCH(B5684, 'nav master'!$B:$B, 0)), "")</f>
        <v>ULIF05501/08/13DivrEqtyFd101</v>
      </c>
      <c r="E5684" s="8" t="s">
        <v>253</v>
      </c>
      <c r="F5684" s="8" t="s">
        <v>254</v>
      </c>
    </row>
    <row r="5685" spans="1:6" ht="60" x14ac:dyDescent="0.25">
      <c r="A5685" s="8" t="s">
        <v>125</v>
      </c>
      <c r="B5685" s="8" t="s">
        <v>126</v>
      </c>
      <c r="C5685" s="8" t="str">
        <f>IFERROR(_xlfn.XLOOKUP(TRIM(B5685),Lookup!$B$2:$B$1000,Lookup!$C$2:$C$1000),"")</f>
        <v>Equity</v>
      </c>
      <c r="D5685" s="8" t="str">
        <f>IFERROR(INDEX('nav master'!$C:$C, MATCH(B5685, 'nav master'!$B:$B, 0)), "")</f>
        <v>ULIF05501/08/13DivrEqtyFd101</v>
      </c>
      <c r="E5685" s="8" t="s">
        <v>255</v>
      </c>
      <c r="F5685" s="8" t="s">
        <v>256</v>
      </c>
    </row>
    <row r="5686" spans="1:6" ht="60" x14ac:dyDescent="0.25">
      <c r="A5686" s="8" t="s">
        <v>125</v>
      </c>
      <c r="B5686" s="8" t="s">
        <v>126</v>
      </c>
      <c r="C5686" s="8" t="str">
        <f>IFERROR(_xlfn.XLOOKUP(TRIM(B5686),Lookup!$B$2:$B$1000,Lookup!$C$2:$C$1000),"")</f>
        <v>Equity</v>
      </c>
      <c r="D5686" s="8" t="str">
        <f>IFERROR(INDEX('nav master'!$C:$C, MATCH(B5686, 'nav master'!$B:$B, 0)), "")</f>
        <v>ULIF05501/08/13DivrEqtyFd101</v>
      </c>
      <c r="E5686" s="8" t="s">
        <v>257</v>
      </c>
      <c r="F5686" s="8" t="s">
        <v>258</v>
      </c>
    </row>
    <row r="5687" spans="1:6" ht="60" x14ac:dyDescent="0.25">
      <c r="A5687" s="8" t="s">
        <v>125</v>
      </c>
      <c r="B5687" s="8" t="s">
        <v>126</v>
      </c>
      <c r="C5687" s="8" t="str">
        <f>IFERROR(_xlfn.XLOOKUP(TRIM(B5687),Lookup!$B$2:$B$1000,Lookup!$C$2:$C$1000),"")</f>
        <v>Equity</v>
      </c>
      <c r="D5687" s="8" t="str">
        <f>IFERROR(INDEX('nav master'!$C:$C, MATCH(B5687, 'nav master'!$B:$B, 0)), "")</f>
        <v>ULIF05501/08/13DivrEqtyFd101</v>
      </c>
      <c r="E5687" s="8" t="s">
        <v>259</v>
      </c>
      <c r="F5687" s="8" t="s">
        <v>260</v>
      </c>
    </row>
    <row r="5688" spans="1:6" ht="60" x14ac:dyDescent="0.25">
      <c r="A5688" s="8" t="s">
        <v>125</v>
      </c>
      <c r="B5688" s="8" t="s">
        <v>126</v>
      </c>
      <c r="C5688" s="8" t="str">
        <f>IFERROR(_xlfn.XLOOKUP(TRIM(B5688),Lookup!$B$2:$B$1000,Lookup!$C$2:$C$1000),"")</f>
        <v>Equity</v>
      </c>
      <c r="D5688" s="8" t="str">
        <f>IFERROR(INDEX('nav master'!$C:$C, MATCH(B5688, 'nav master'!$B:$B, 0)), "")</f>
        <v>ULIF05501/08/13DivrEqtyFd101</v>
      </c>
      <c r="E5688" s="8" t="s">
        <v>261</v>
      </c>
      <c r="F5688" s="8" t="s">
        <v>262</v>
      </c>
    </row>
    <row r="5689" spans="1:6" ht="60" x14ac:dyDescent="0.25">
      <c r="A5689" s="8" t="s">
        <v>125</v>
      </c>
      <c r="B5689" s="8" t="s">
        <v>126</v>
      </c>
      <c r="C5689" s="8" t="str">
        <f>IFERROR(_xlfn.XLOOKUP(TRIM(B5689),Lookup!$B$2:$B$1000,Lookup!$C$2:$C$1000),"")</f>
        <v>Equity</v>
      </c>
      <c r="D5689" s="8" t="str">
        <f>IFERROR(INDEX('nav master'!$C:$C, MATCH(B5689, 'nav master'!$B:$B, 0)), "")</f>
        <v>ULIF05501/08/13DivrEqtyFd101</v>
      </c>
      <c r="E5689" s="8" t="s">
        <v>263</v>
      </c>
      <c r="F5689" s="8" t="s">
        <v>264</v>
      </c>
    </row>
    <row r="5690" spans="1:6" ht="60" x14ac:dyDescent="0.25">
      <c r="A5690" s="8" t="s">
        <v>125</v>
      </c>
      <c r="B5690" s="8" t="s">
        <v>126</v>
      </c>
      <c r="C5690" s="8" t="str">
        <f>IFERROR(_xlfn.XLOOKUP(TRIM(B5690),Lookup!$B$2:$B$1000,Lookup!$C$2:$C$1000),"")</f>
        <v>Equity</v>
      </c>
      <c r="D5690" s="8" t="str">
        <f>IFERROR(INDEX('nav master'!$C:$C, MATCH(B5690, 'nav master'!$B:$B, 0)), "")</f>
        <v>ULIF05501/08/13DivrEqtyFd101</v>
      </c>
      <c r="E5690" s="8" t="s">
        <v>265</v>
      </c>
      <c r="F5690" s="8" t="s">
        <v>266</v>
      </c>
    </row>
    <row r="5691" spans="1:6" ht="60" x14ac:dyDescent="0.25">
      <c r="A5691" s="8" t="s">
        <v>125</v>
      </c>
      <c r="B5691" s="8" t="s">
        <v>126</v>
      </c>
      <c r="C5691" s="8" t="str">
        <f>IFERROR(_xlfn.XLOOKUP(TRIM(B5691),Lookup!$B$2:$B$1000,Lookup!$C$2:$C$1000),"")</f>
        <v>Equity</v>
      </c>
      <c r="D5691" s="8" t="str">
        <f>IFERROR(INDEX('nav master'!$C:$C, MATCH(B5691, 'nav master'!$B:$B, 0)), "")</f>
        <v>ULIF05501/08/13DivrEqtyFd101</v>
      </c>
      <c r="E5691" s="8" t="s">
        <v>267</v>
      </c>
      <c r="F5691" s="8" t="s">
        <v>268</v>
      </c>
    </row>
    <row r="5692" spans="1:6" ht="60" x14ac:dyDescent="0.25">
      <c r="A5692" s="8" t="s">
        <v>125</v>
      </c>
      <c r="B5692" s="8" t="s">
        <v>126</v>
      </c>
      <c r="C5692" s="8" t="str">
        <f>IFERROR(_xlfn.XLOOKUP(TRIM(B5692),Lookup!$B$2:$B$1000,Lookup!$C$2:$C$1000),"")</f>
        <v>Equity</v>
      </c>
      <c r="D5692" s="8" t="str">
        <f>IFERROR(INDEX('nav master'!$C:$C, MATCH(B5692, 'nav master'!$B:$B, 0)), "")</f>
        <v>ULIF05501/08/13DivrEqtyFd101</v>
      </c>
      <c r="E5692" s="8" t="s">
        <v>269</v>
      </c>
      <c r="F5692" s="8" t="s">
        <v>270</v>
      </c>
    </row>
    <row r="5693" spans="1:6" ht="60" x14ac:dyDescent="0.25">
      <c r="A5693" s="8" t="s">
        <v>125</v>
      </c>
      <c r="B5693" s="8" t="s">
        <v>126</v>
      </c>
      <c r="C5693" s="8" t="str">
        <f>IFERROR(_xlfn.XLOOKUP(TRIM(B5693),Lookup!$B$2:$B$1000,Lookup!$C$2:$C$1000),"")</f>
        <v>Equity</v>
      </c>
      <c r="D5693" s="8" t="str">
        <f>IFERROR(INDEX('nav master'!$C:$C, MATCH(B5693, 'nav master'!$B:$B, 0)), "")</f>
        <v>ULIF05501/08/13DivrEqtyFd101</v>
      </c>
      <c r="E5693" s="8" t="s">
        <v>271</v>
      </c>
      <c r="F5693" s="8" t="s">
        <v>272</v>
      </c>
    </row>
    <row r="5694" spans="1:6" ht="60" x14ac:dyDescent="0.25">
      <c r="A5694" s="8" t="s">
        <v>125</v>
      </c>
      <c r="B5694" s="8" t="s">
        <v>126</v>
      </c>
      <c r="C5694" s="8" t="str">
        <f>IFERROR(_xlfn.XLOOKUP(TRIM(B5694),Lookup!$B$2:$B$1000,Lookup!$C$2:$C$1000),"")</f>
        <v>Equity</v>
      </c>
      <c r="D5694" s="8" t="str">
        <f>IFERROR(INDEX('nav master'!$C:$C, MATCH(B5694, 'nav master'!$B:$B, 0)), "")</f>
        <v>ULIF05501/08/13DivrEqtyFd101</v>
      </c>
      <c r="E5694" s="8" t="s">
        <v>273</v>
      </c>
      <c r="F5694" s="8" t="s">
        <v>274</v>
      </c>
    </row>
    <row r="5695" spans="1:6" ht="60" x14ac:dyDescent="0.25">
      <c r="A5695" s="8" t="s">
        <v>125</v>
      </c>
      <c r="B5695" s="8" t="s">
        <v>126</v>
      </c>
      <c r="C5695" s="8" t="str">
        <f>IFERROR(_xlfn.XLOOKUP(TRIM(B5695),Lookup!$B$2:$B$1000,Lookup!$C$2:$C$1000),"")</f>
        <v>Equity</v>
      </c>
      <c r="D5695" s="8" t="str">
        <f>IFERROR(INDEX('nav master'!$C:$C, MATCH(B5695, 'nav master'!$B:$B, 0)), "")</f>
        <v>ULIF05501/08/13DivrEqtyFd101</v>
      </c>
      <c r="E5695" s="8" t="s">
        <v>275</v>
      </c>
      <c r="F5695" s="8" t="s">
        <v>276</v>
      </c>
    </row>
    <row r="5696" spans="1:6" ht="60" x14ac:dyDescent="0.25">
      <c r="A5696" s="8" t="s">
        <v>125</v>
      </c>
      <c r="B5696" s="8" t="s">
        <v>126</v>
      </c>
      <c r="C5696" s="8" t="str">
        <f>IFERROR(_xlfn.XLOOKUP(TRIM(B5696),Lookup!$B$2:$B$1000,Lookup!$C$2:$C$1000),"")</f>
        <v>Equity</v>
      </c>
      <c r="D5696" s="8" t="str">
        <f>IFERROR(INDEX('nav master'!$C:$C, MATCH(B5696, 'nav master'!$B:$B, 0)), "")</f>
        <v>ULIF05501/08/13DivrEqtyFd101</v>
      </c>
      <c r="E5696" s="8" t="s">
        <v>277</v>
      </c>
      <c r="F5696" s="8" t="s">
        <v>278</v>
      </c>
    </row>
    <row r="5697" spans="1:6" ht="60" x14ac:dyDescent="0.25">
      <c r="A5697" s="8" t="s">
        <v>125</v>
      </c>
      <c r="B5697" s="8" t="s">
        <v>126</v>
      </c>
      <c r="C5697" s="8" t="str">
        <f>IFERROR(_xlfn.XLOOKUP(TRIM(B5697),Lookup!$B$2:$B$1000,Lookup!$C$2:$C$1000),"")</f>
        <v>Equity</v>
      </c>
      <c r="D5697" s="8" t="str">
        <f>IFERROR(INDEX('nav master'!$C:$C, MATCH(B5697, 'nav master'!$B:$B, 0)), "")</f>
        <v>ULIF05501/08/13DivrEqtyFd101</v>
      </c>
      <c r="E5697" s="8" t="s">
        <v>279</v>
      </c>
      <c r="F5697" s="8" t="s">
        <v>280</v>
      </c>
    </row>
    <row r="5698" spans="1:6" ht="60" x14ac:dyDescent="0.25">
      <c r="A5698" s="8" t="s">
        <v>125</v>
      </c>
      <c r="B5698" s="8" t="s">
        <v>126</v>
      </c>
      <c r="C5698" s="8" t="str">
        <f>IFERROR(_xlfn.XLOOKUP(TRIM(B5698),Lookup!$B$2:$B$1000,Lookup!$C$2:$C$1000),"")</f>
        <v>Equity</v>
      </c>
      <c r="D5698" s="8" t="str">
        <f>IFERROR(INDEX('nav master'!$C:$C, MATCH(B5698, 'nav master'!$B:$B, 0)), "")</f>
        <v>ULIF05501/08/13DivrEqtyFd101</v>
      </c>
      <c r="E5698" s="8" t="s">
        <v>281</v>
      </c>
      <c r="F5698" s="8" t="s">
        <v>282</v>
      </c>
    </row>
    <row r="5699" spans="1:6" ht="60" x14ac:dyDescent="0.25">
      <c r="A5699" s="8" t="s">
        <v>125</v>
      </c>
      <c r="B5699" s="8" t="s">
        <v>126</v>
      </c>
      <c r="C5699" s="8" t="str">
        <f>IFERROR(_xlfn.XLOOKUP(TRIM(B5699),Lookup!$B$2:$B$1000,Lookup!$C$2:$C$1000),"")</f>
        <v>Equity</v>
      </c>
      <c r="D5699" s="8" t="str">
        <f>IFERROR(INDEX('nav master'!$C:$C, MATCH(B5699, 'nav master'!$B:$B, 0)), "")</f>
        <v>ULIF05501/08/13DivrEqtyFd101</v>
      </c>
      <c r="E5699" s="8" t="s">
        <v>283</v>
      </c>
      <c r="F5699" s="8" t="s">
        <v>284</v>
      </c>
    </row>
    <row r="5700" spans="1:6" ht="60" x14ac:dyDescent="0.25">
      <c r="A5700" s="8" t="s">
        <v>125</v>
      </c>
      <c r="B5700" s="8" t="s">
        <v>126</v>
      </c>
      <c r="C5700" s="8" t="str">
        <f>IFERROR(_xlfn.XLOOKUP(TRIM(B5700),Lookup!$B$2:$B$1000,Lookup!$C$2:$C$1000),"")</f>
        <v>Equity</v>
      </c>
      <c r="D5700" s="8" t="str">
        <f>IFERROR(INDEX('nav master'!$C:$C, MATCH(B5700, 'nav master'!$B:$B, 0)), "")</f>
        <v>ULIF05501/08/13DivrEqtyFd101</v>
      </c>
      <c r="E5700" s="8" t="s">
        <v>285</v>
      </c>
      <c r="F5700" s="8" t="s">
        <v>286</v>
      </c>
    </row>
    <row r="5701" spans="1:6" ht="60" x14ac:dyDescent="0.25">
      <c r="A5701" s="8" t="s">
        <v>125</v>
      </c>
      <c r="B5701" s="8" t="s">
        <v>126</v>
      </c>
      <c r="C5701" s="8" t="str">
        <f>IFERROR(_xlfn.XLOOKUP(TRIM(B5701),Lookup!$B$2:$B$1000,Lookup!$C$2:$C$1000),"")</f>
        <v>Equity</v>
      </c>
      <c r="D5701" s="8" t="str">
        <f>IFERROR(INDEX('nav master'!$C:$C, MATCH(B5701, 'nav master'!$B:$B, 0)), "")</f>
        <v>ULIF05501/08/13DivrEqtyFd101</v>
      </c>
      <c r="E5701" s="8" t="s">
        <v>287</v>
      </c>
      <c r="F5701" s="8" t="s">
        <v>288</v>
      </c>
    </row>
    <row r="5702" spans="1:6" ht="60" x14ac:dyDescent="0.25">
      <c r="A5702" s="8" t="s">
        <v>125</v>
      </c>
      <c r="B5702" s="8" t="s">
        <v>126</v>
      </c>
      <c r="C5702" s="8" t="str">
        <f>IFERROR(_xlfn.XLOOKUP(TRIM(B5702),Lookup!$B$2:$B$1000,Lookup!$C$2:$C$1000),"")</f>
        <v>Equity</v>
      </c>
      <c r="D5702" s="8" t="str">
        <f>IFERROR(INDEX('nav master'!$C:$C, MATCH(B5702, 'nav master'!$B:$B, 0)), "")</f>
        <v>ULIF05501/08/13DivrEqtyFd101</v>
      </c>
      <c r="E5702" s="8" t="s">
        <v>289</v>
      </c>
      <c r="F5702" s="8" t="s">
        <v>290</v>
      </c>
    </row>
    <row r="5703" spans="1:6" ht="60" x14ac:dyDescent="0.25">
      <c r="A5703" s="8" t="s">
        <v>125</v>
      </c>
      <c r="B5703" s="8" t="s">
        <v>126</v>
      </c>
      <c r="C5703" s="8" t="str">
        <f>IFERROR(_xlfn.XLOOKUP(TRIM(B5703),Lookup!$B$2:$B$1000,Lookup!$C$2:$C$1000),"")</f>
        <v>Equity</v>
      </c>
      <c r="D5703" s="8" t="str">
        <f>IFERROR(INDEX('nav master'!$C:$C, MATCH(B5703, 'nav master'!$B:$B, 0)), "")</f>
        <v>ULIF05501/08/13DivrEqtyFd101</v>
      </c>
      <c r="E5703" s="8" t="s">
        <v>291</v>
      </c>
      <c r="F5703" s="8" t="s">
        <v>292</v>
      </c>
    </row>
    <row r="5704" spans="1:6" ht="60" x14ac:dyDescent="0.25">
      <c r="A5704" s="8" t="s">
        <v>125</v>
      </c>
      <c r="B5704" s="8" t="s">
        <v>126</v>
      </c>
      <c r="C5704" s="8" t="str">
        <f>IFERROR(_xlfn.XLOOKUP(TRIM(B5704),Lookup!$B$2:$B$1000,Lookup!$C$2:$C$1000),"")</f>
        <v>Equity</v>
      </c>
      <c r="D5704" s="8" t="str">
        <f>IFERROR(INDEX('nav master'!$C:$C, MATCH(B5704, 'nav master'!$B:$B, 0)), "")</f>
        <v>ULIF05501/08/13DivrEqtyFd101</v>
      </c>
      <c r="E5704" s="8" t="s">
        <v>293</v>
      </c>
      <c r="F5704" s="8" t="s">
        <v>294</v>
      </c>
    </row>
    <row r="5705" spans="1:6" ht="60" x14ac:dyDescent="0.25">
      <c r="A5705" s="8" t="s">
        <v>125</v>
      </c>
      <c r="B5705" s="8" t="s">
        <v>126</v>
      </c>
      <c r="C5705" s="8" t="str">
        <f>IFERROR(_xlfn.XLOOKUP(TRIM(B5705),Lookup!$B$2:$B$1000,Lookup!$C$2:$C$1000),"")</f>
        <v>Equity</v>
      </c>
      <c r="D5705" s="8" t="str">
        <f>IFERROR(INDEX('nav master'!$C:$C, MATCH(B5705, 'nav master'!$B:$B, 0)), "")</f>
        <v>ULIF05501/08/13DivrEqtyFd101</v>
      </c>
      <c r="E5705" s="8" t="s">
        <v>295</v>
      </c>
      <c r="F5705" s="8" t="s">
        <v>296</v>
      </c>
    </row>
    <row r="5706" spans="1:6" ht="60" x14ac:dyDescent="0.25">
      <c r="A5706" s="8" t="s">
        <v>125</v>
      </c>
      <c r="B5706" s="8" t="s">
        <v>126</v>
      </c>
      <c r="C5706" s="8" t="str">
        <f>IFERROR(_xlfn.XLOOKUP(TRIM(B5706),Lookup!$B$2:$B$1000,Lookup!$C$2:$C$1000),"")</f>
        <v>Equity</v>
      </c>
      <c r="D5706" s="8" t="str">
        <f>IFERROR(INDEX('nav master'!$C:$C, MATCH(B5706, 'nav master'!$B:$B, 0)), "")</f>
        <v>ULIF05501/08/13DivrEqtyFd101</v>
      </c>
      <c r="E5706" s="8" t="s">
        <v>297</v>
      </c>
      <c r="F5706" s="8" t="s">
        <v>298</v>
      </c>
    </row>
    <row r="5707" spans="1:6" ht="60" x14ac:dyDescent="0.25">
      <c r="A5707" s="8" t="s">
        <v>125</v>
      </c>
      <c r="B5707" s="8" t="s">
        <v>126</v>
      </c>
      <c r="C5707" s="8" t="str">
        <f>IFERROR(_xlfn.XLOOKUP(TRIM(B5707),Lookup!$B$2:$B$1000,Lookup!$C$2:$C$1000),"")</f>
        <v>Equity</v>
      </c>
      <c r="D5707" s="8" t="str">
        <f>IFERROR(INDEX('nav master'!$C:$C, MATCH(B5707, 'nav master'!$B:$B, 0)), "")</f>
        <v>ULIF05501/08/13DivrEqtyFd101</v>
      </c>
      <c r="E5707" s="8" t="s">
        <v>299</v>
      </c>
      <c r="F5707" s="8" t="s">
        <v>300</v>
      </c>
    </row>
    <row r="5708" spans="1:6" ht="60" x14ac:dyDescent="0.25">
      <c r="A5708" s="8" t="s">
        <v>125</v>
      </c>
      <c r="B5708" s="8" t="s">
        <v>126</v>
      </c>
      <c r="C5708" s="8" t="str">
        <f>IFERROR(_xlfn.XLOOKUP(TRIM(B5708),Lookup!$B$2:$B$1000,Lookup!$C$2:$C$1000),"")</f>
        <v>Equity</v>
      </c>
      <c r="D5708" s="8" t="str">
        <f>IFERROR(INDEX('nav master'!$C:$C, MATCH(B5708, 'nav master'!$B:$B, 0)), "")</f>
        <v>ULIF05501/08/13DivrEqtyFd101</v>
      </c>
      <c r="E5708" s="8" t="s">
        <v>301</v>
      </c>
      <c r="F5708" s="8" t="s">
        <v>302</v>
      </c>
    </row>
    <row r="5709" spans="1:6" ht="60" x14ac:dyDescent="0.25">
      <c r="A5709" s="8" t="s">
        <v>125</v>
      </c>
      <c r="B5709" s="8" t="s">
        <v>126</v>
      </c>
      <c r="C5709" s="8" t="str">
        <f>IFERROR(_xlfn.XLOOKUP(TRIM(B5709),Lookup!$B$2:$B$1000,Lookup!$C$2:$C$1000),"")</f>
        <v>Equity</v>
      </c>
      <c r="D5709" s="8" t="str">
        <f>IFERROR(INDEX('nav master'!$C:$C, MATCH(B5709, 'nav master'!$B:$B, 0)), "")</f>
        <v>ULIF05501/08/13DivrEqtyFd101</v>
      </c>
      <c r="E5709" s="8" t="s">
        <v>303</v>
      </c>
      <c r="F5709" s="8" t="s">
        <v>304</v>
      </c>
    </row>
    <row r="5710" spans="1:6" ht="60" x14ac:dyDescent="0.25">
      <c r="A5710" s="8" t="s">
        <v>125</v>
      </c>
      <c r="B5710" s="8" t="s">
        <v>126</v>
      </c>
      <c r="C5710" s="8" t="str">
        <f>IFERROR(_xlfn.XLOOKUP(TRIM(B5710),Lookup!$B$2:$B$1000,Lookup!$C$2:$C$1000),"")</f>
        <v>Equity</v>
      </c>
      <c r="D5710" s="8" t="str">
        <f>IFERROR(INDEX('nav master'!$C:$C, MATCH(B5710, 'nav master'!$B:$B, 0)), "")</f>
        <v>ULIF05501/08/13DivrEqtyFd101</v>
      </c>
      <c r="E5710" s="8" t="s">
        <v>305</v>
      </c>
      <c r="F5710" s="8" t="s">
        <v>306</v>
      </c>
    </row>
    <row r="5711" spans="1:6" ht="60" x14ac:dyDescent="0.25">
      <c r="A5711" s="8" t="s">
        <v>125</v>
      </c>
      <c r="B5711" s="8" t="s">
        <v>126</v>
      </c>
      <c r="C5711" s="8" t="str">
        <f>IFERROR(_xlfn.XLOOKUP(TRIM(B5711),Lookup!$B$2:$B$1000,Lookup!$C$2:$C$1000),"")</f>
        <v>Equity</v>
      </c>
      <c r="D5711" s="8" t="str">
        <f>IFERROR(INDEX('nav master'!$C:$C, MATCH(B5711, 'nav master'!$B:$B, 0)), "")</f>
        <v>ULIF05501/08/13DivrEqtyFd101</v>
      </c>
      <c r="E5711" s="8" t="s">
        <v>307</v>
      </c>
      <c r="F5711" s="8" t="s">
        <v>308</v>
      </c>
    </row>
    <row r="5712" spans="1:6" ht="60" x14ac:dyDescent="0.25">
      <c r="A5712" s="8" t="s">
        <v>125</v>
      </c>
      <c r="B5712" s="8" t="s">
        <v>126</v>
      </c>
      <c r="C5712" s="8" t="str">
        <f>IFERROR(_xlfn.XLOOKUP(TRIM(B5712),Lookup!$B$2:$B$1000,Lookup!$C$2:$C$1000),"")</f>
        <v>Equity</v>
      </c>
      <c r="D5712" s="8" t="str">
        <f>IFERROR(INDEX('nav master'!$C:$C, MATCH(B5712, 'nav master'!$B:$B, 0)), "")</f>
        <v>ULIF05501/08/13DivrEqtyFd101</v>
      </c>
      <c r="E5712" s="8" t="s">
        <v>309</v>
      </c>
      <c r="F5712" s="8" t="s">
        <v>310</v>
      </c>
    </row>
    <row r="5713" spans="1:6" ht="60" x14ac:dyDescent="0.25">
      <c r="A5713" s="8" t="s">
        <v>125</v>
      </c>
      <c r="B5713" s="8" t="s">
        <v>126</v>
      </c>
      <c r="C5713" s="8" t="str">
        <f>IFERROR(_xlfn.XLOOKUP(TRIM(B5713),Lookup!$B$2:$B$1000,Lookup!$C$2:$C$1000),"")</f>
        <v>Equity</v>
      </c>
      <c r="D5713" s="8" t="str">
        <f>IFERROR(INDEX('nav master'!$C:$C, MATCH(B5713, 'nav master'!$B:$B, 0)), "")</f>
        <v>ULIF05501/08/13DivrEqtyFd101</v>
      </c>
      <c r="E5713" s="8" t="s">
        <v>311</v>
      </c>
      <c r="F5713" s="8" t="s">
        <v>312</v>
      </c>
    </row>
    <row r="5714" spans="1:6" ht="60" x14ac:dyDescent="0.25">
      <c r="A5714" s="8" t="s">
        <v>125</v>
      </c>
      <c r="B5714" s="8" t="s">
        <v>126</v>
      </c>
      <c r="C5714" s="8" t="str">
        <f>IFERROR(_xlfn.XLOOKUP(TRIM(B5714),Lookup!$B$2:$B$1000,Lookup!$C$2:$C$1000),"")</f>
        <v>Equity</v>
      </c>
      <c r="D5714" s="8" t="str">
        <f>IFERROR(INDEX('nav master'!$C:$C, MATCH(B5714, 'nav master'!$B:$B, 0)), "")</f>
        <v>ULIF05501/08/13DivrEqtyFd101</v>
      </c>
      <c r="E5714" s="8" t="s">
        <v>313</v>
      </c>
      <c r="F5714" s="8" t="s">
        <v>314</v>
      </c>
    </row>
    <row r="5715" spans="1:6" ht="60" x14ac:dyDescent="0.25">
      <c r="A5715" s="8" t="s">
        <v>125</v>
      </c>
      <c r="B5715" s="8" t="s">
        <v>126</v>
      </c>
      <c r="C5715" s="8" t="str">
        <f>IFERROR(_xlfn.XLOOKUP(TRIM(B5715),Lookup!$B$2:$B$1000,Lookup!$C$2:$C$1000),"")</f>
        <v>Equity</v>
      </c>
      <c r="D5715" s="8" t="str">
        <f>IFERROR(INDEX('nav master'!$C:$C, MATCH(B5715, 'nav master'!$B:$B, 0)), "")</f>
        <v>ULIF05501/08/13DivrEqtyFd101</v>
      </c>
      <c r="E5715" s="8" t="s">
        <v>315</v>
      </c>
      <c r="F5715" s="8" t="s">
        <v>316</v>
      </c>
    </row>
    <row r="5716" spans="1:6" ht="60" x14ac:dyDescent="0.25">
      <c r="A5716" s="8" t="s">
        <v>125</v>
      </c>
      <c r="B5716" s="8" t="s">
        <v>126</v>
      </c>
      <c r="C5716" s="8" t="str">
        <f>IFERROR(_xlfn.XLOOKUP(TRIM(B5716),Lookup!$B$2:$B$1000,Lookup!$C$2:$C$1000),"")</f>
        <v>Equity</v>
      </c>
      <c r="D5716" s="8" t="str">
        <f>IFERROR(INDEX('nav master'!$C:$C, MATCH(B5716, 'nav master'!$B:$B, 0)), "")</f>
        <v>ULIF05501/08/13DivrEqtyFd101</v>
      </c>
      <c r="E5716" s="8" t="s">
        <v>317</v>
      </c>
      <c r="F5716" s="8" t="s">
        <v>318</v>
      </c>
    </row>
    <row r="5717" spans="1:6" ht="60" x14ac:dyDescent="0.25">
      <c r="A5717" s="8" t="s">
        <v>125</v>
      </c>
      <c r="B5717" s="8" t="s">
        <v>126</v>
      </c>
      <c r="C5717" s="8" t="str">
        <f>IFERROR(_xlfn.XLOOKUP(TRIM(B5717),Lookup!$B$2:$B$1000,Lookup!$C$2:$C$1000),"")</f>
        <v>Equity</v>
      </c>
      <c r="D5717" s="8" t="str">
        <f>IFERROR(INDEX('nav master'!$C:$C, MATCH(B5717, 'nav master'!$B:$B, 0)), "")</f>
        <v>ULIF05501/08/13DivrEqtyFd101</v>
      </c>
      <c r="E5717" s="8" t="s">
        <v>319</v>
      </c>
      <c r="F5717" s="8" t="s">
        <v>320</v>
      </c>
    </row>
    <row r="5718" spans="1:6" ht="60" x14ac:dyDescent="0.25">
      <c r="A5718" s="8" t="s">
        <v>125</v>
      </c>
      <c r="B5718" s="8" t="s">
        <v>126</v>
      </c>
      <c r="C5718" s="8" t="str">
        <f>IFERROR(_xlfn.XLOOKUP(TRIM(B5718),Lookup!$B$2:$B$1000,Lookup!$C$2:$C$1000),"")</f>
        <v>Equity</v>
      </c>
      <c r="D5718" s="8" t="str">
        <f>IFERROR(INDEX('nav master'!$C:$C, MATCH(B5718, 'nav master'!$B:$B, 0)), "")</f>
        <v>ULIF05501/08/13DivrEqtyFd101</v>
      </c>
      <c r="E5718" s="8" t="s">
        <v>321</v>
      </c>
      <c r="F5718" s="8" t="s">
        <v>322</v>
      </c>
    </row>
    <row r="5719" spans="1:6" ht="60" x14ac:dyDescent="0.25">
      <c r="A5719" s="8" t="s">
        <v>125</v>
      </c>
      <c r="B5719" s="8" t="s">
        <v>126</v>
      </c>
      <c r="C5719" s="8" t="str">
        <f>IFERROR(_xlfn.XLOOKUP(TRIM(B5719),Lookup!$B$2:$B$1000,Lookup!$C$2:$C$1000),"")</f>
        <v>Equity</v>
      </c>
      <c r="D5719" s="8" t="str">
        <f>IFERROR(INDEX('nav master'!$C:$C, MATCH(B5719, 'nav master'!$B:$B, 0)), "")</f>
        <v>ULIF05501/08/13DivrEqtyFd101</v>
      </c>
      <c r="E5719" s="8" t="s">
        <v>323</v>
      </c>
      <c r="F5719" s="8" t="s">
        <v>324</v>
      </c>
    </row>
    <row r="5720" spans="1:6" ht="60" x14ac:dyDescent="0.25">
      <c r="A5720" s="8" t="s">
        <v>125</v>
      </c>
      <c r="B5720" s="8" t="s">
        <v>126</v>
      </c>
      <c r="C5720" s="8" t="str">
        <f>IFERROR(_xlfn.XLOOKUP(TRIM(B5720),Lookup!$B$2:$B$1000,Lookup!$C$2:$C$1000),"")</f>
        <v>Equity</v>
      </c>
      <c r="D5720" s="8" t="str">
        <f>IFERROR(INDEX('nav master'!$C:$C, MATCH(B5720, 'nav master'!$B:$B, 0)), "")</f>
        <v>ULIF05501/08/13DivrEqtyFd101</v>
      </c>
      <c r="E5720" s="8" t="s">
        <v>325</v>
      </c>
      <c r="F5720" s="8" t="s">
        <v>326</v>
      </c>
    </row>
    <row r="5721" spans="1:6" ht="60" x14ac:dyDescent="0.25">
      <c r="A5721" s="8" t="s">
        <v>125</v>
      </c>
      <c r="B5721" s="8" t="s">
        <v>126</v>
      </c>
      <c r="C5721" s="8" t="str">
        <f>IFERROR(_xlfn.XLOOKUP(TRIM(B5721),Lookup!$B$2:$B$1000,Lookup!$C$2:$C$1000),"")</f>
        <v>Equity</v>
      </c>
      <c r="D5721" s="8" t="str">
        <f>IFERROR(INDEX('nav master'!$C:$C, MATCH(B5721, 'nav master'!$B:$B, 0)), "")</f>
        <v>ULIF05501/08/13DivrEqtyFd101</v>
      </c>
      <c r="E5721" s="8" t="s">
        <v>327</v>
      </c>
      <c r="F5721" s="8" t="s">
        <v>328</v>
      </c>
    </row>
    <row r="5722" spans="1:6" ht="60" x14ac:dyDescent="0.25">
      <c r="A5722" s="8" t="s">
        <v>125</v>
      </c>
      <c r="B5722" s="8" t="s">
        <v>126</v>
      </c>
      <c r="C5722" s="8" t="str">
        <f>IFERROR(_xlfn.XLOOKUP(TRIM(B5722),Lookup!$B$2:$B$1000,Lookup!$C$2:$C$1000),"")</f>
        <v>Equity</v>
      </c>
      <c r="D5722" s="8" t="str">
        <f>IFERROR(INDEX('nav master'!$C:$C, MATCH(B5722, 'nav master'!$B:$B, 0)), "")</f>
        <v>ULIF05501/08/13DivrEqtyFd101</v>
      </c>
      <c r="E5722" s="8" t="s">
        <v>329</v>
      </c>
      <c r="F5722" s="8" t="s">
        <v>330</v>
      </c>
    </row>
    <row r="5723" spans="1:6" ht="60" x14ac:dyDescent="0.25">
      <c r="A5723" s="8" t="s">
        <v>125</v>
      </c>
      <c r="B5723" s="8" t="s">
        <v>126</v>
      </c>
      <c r="C5723" s="8" t="str">
        <f>IFERROR(_xlfn.XLOOKUP(TRIM(B5723),Lookup!$B$2:$B$1000,Lookup!$C$2:$C$1000),"")</f>
        <v>Equity</v>
      </c>
      <c r="D5723" s="8" t="str">
        <f>IFERROR(INDEX('nav master'!$C:$C, MATCH(B5723, 'nav master'!$B:$B, 0)), "")</f>
        <v>ULIF05501/08/13DivrEqtyFd101</v>
      </c>
      <c r="E5723" s="8" t="s">
        <v>331</v>
      </c>
      <c r="F5723" s="8" t="s">
        <v>332</v>
      </c>
    </row>
    <row r="5724" spans="1:6" ht="60" x14ac:dyDescent="0.25">
      <c r="A5724" s="8" t="s">
        <v>125</v>
      </c>
      <c r="B5724" s="8" t="s">
        <v>126</v>
      </c>
      <c r="C5724" s="8" t="str">
        <f>IFERROR(_xlfn.XLOOKUP(TRIM(B5724),Lookup!$B$2:$B$1000,Lookup!$C$2:$C$1000),"")</f>
        <v>Equity</v>
      </c>
      <c r="D5724" s="8" t="str">
        <f>IFERROR(INDEX('nav master'!$C:$C, MATCH(B5724, 'nav master'!$B:$B, 0)), "")</f>
        <v>ULIF05501/08/13DivrEqtyFd101</v>
      </c>
      <c r="E5724" s="8" t="s">
        <v>333</v>
      </c>
      <c r="F5724" s="8" t="s">
        <v>334</v>
      </c>
    </row>
    <row r="5725" spans="1:6" ht="60" x14ac:dyDescent="0.25">
      <c r="A5725" s="8" t="s">
        <v>125</v>
      </c>
      <c r="B5725" s="8" t="s">
        <v>126</v>
      </c>
      <c r="C5725" s="8" t="str">
        <f>IFERROR(_xlfn.XLOOKUP(TRIM(B5725),Lookup!$B$2:$B$1000,Lookup!$C$2:$C$1000),"")</f>
        <v>Equity</v>
      </c>
      <c r="D5725" s="8" t="str">
        <f>IFERROR(INDEX('nav master'!$C:$C, MATCH(B5725, 'nav master'!$B:$B, 0)), "")</f>
        <v>ULIF05501/08/13DivrEqtyFd101</v>
      </c>
      <c r="E5725" s="8" t="s">
        <v>335</v>
      </c>
      <c r="F5725" s="8" t="s">
        <v>336</v>
      </c>
    </row>
    <row r="5726" spans="1:6" ht="60" x14ac:dyDescent="0.25">
      <c r="A5726" s="8" t="s">
        <v>125</v>
      </c>
      <c r="B5726" s="8" t="s">
        <v>126</v>
      </c>
      <c r="C5726" s="8" t="str">
        <f>IFERROR(_xlfn.XLOOKUP(TRIM(B5726),Lookup!$B$2:$B$1000,Lookup!$C$2:$C$1000),"")</f>
        <v>Equity</v>
      </c>
      <c r="D5726" s="8" t="str">
        <f>IFERROR(INDEX('nav master'!$C:$C, MATCH(B5726, 'nav master'!$B:$B, 0)), "")</f>
        <v>ULIF05501/08/13DivrEqtyFd101</v>
      </c>
      <c r="E5726" s="8" t="s">
        <v>337</v>
      </c>
      <c r="F5726" s="8" t="s">
        <v>338</v>
      </c>
    </row>
    <row r="5727" spans="1:6" ht="60" x14ac:dyDescent="0.25">
      <c r="A5727" s="8" t="s">
        <v>125</v>
      </c>
      <c r="B5727" s="8" t="s">
        <v>126</v>
      </c>
      <c r="C5727" s="8" t="str">
        <f>IFERROR(_xlfn.XLOOKUP(TRIM(B5727),Lookup!$B$2:$B$1000,Lookup!$C$2:$C$1000),"")</f>
        <v>Equity</v>
      </c>
      <c r="D5727" s="8" t="str">
        <f>IFERROR(INDEX('nav master'!$C:$C, MATCH(B5727, 'nav master'!$B:$B, 0)), "")</f>
        <v>ULIF05501/08/13DivrEqtyFd101</v>
      </c>
      <c r="E5727" s="8" t="s">
        <v>339</v>
      </c>
      <c r="F5727" s="8" t="s">
        <v>340</v>
      </c>
    </row>
    <row r="5728" spans="1:6" ht="60" x14ac:dyDescent="0.25">
      <c r="A5728" s="8" t="s">
        <v>125</v>
      </c>
      <c r="B5728" s="8" t="s">
        <v>126</v>
      </c>
      <c r="C5728" s="8" t="str">
        <f>IFERROR(_xlfn.XLOOKUP(TRIM(B5728),Lookup!$B$2:$B$1000,Lookup!$C$2:$C$1000),"")</f>
        <v>Equity</v>
      </c>
      <c r="D5728" s="8" t="str">
        <f>IFERROR(INDEX('nav master'!$C:$C, MATCH(B5728, 'nav master'!$B:$B, 0)), "")</f>
        <v>ULIF05501/08/13DivrEqtyFd101</v>
      </c>
      <c r="E5728" s="8" t="s">
        <v>341</v>
      </c>
      <c r="F5728" s="8" t="s">
        <v>342</v>
      </c>
    </row>
    <row r="5729" spans="1:6" ht="60" x14ac:dyDescent="0.25">
      <c r="A5729" s="8" t="s">
        <v>125</v>
      </c>
      <c r="B5729" s="8" t="s">
        <v>126</v>
      </c>
      <c r="C5729" s="8" t="str">
        <f>IFERROR(_xlfn.XLOOKUP(TRIM(B5729),Lookup!$B$2:$B$1000,Lookup!$C$2:$C$1000),"")</f>
        <v>Equity</v>
      </c>
      <c r="D5729" s="8" t="str">
        <f>IFERROR(INDEX('nav master'!$C:$C, MATCH(B5729, 'nav master'!$B:$B, 0)), "")</f>
        <v>ULIF05501/08/13DivrEqtyFd101</v>
      </c>
      <c r="E5729" s="8" t="s">
        <v>343</v>
      </c>
      <c r="F5729" s="8" t="s">
        <v>344</v>
      </c>
    </row>
    <row r="5730" spans="1:6" ht="60" x14ac:dyDescent="0.25">
      <c r="A5730" s="8" t="s">
        <v>125</v>
      </c>
      <c r="B5730" s="8" t="s">
        <v>126</v>
      </c>
      <c r="C5730" s="8" t="str">
        <f>IFERROR(_xlfn.XLOOKUP(TRIM(B5730),Lookup!$B$2:$B$1000,Lookup!$C$2:$C$1000),"")</f>
        <v>Equity</v>
      </c>
      <c r="D5730" s="8" t="str">
        <f>IFERROR(INDEX('nav master'!$C:$C, MATCH(B5730, 'nav master'!$B:$B, 0)), "")</f>
        <v>ULIF05501/08/13DivrEqtyFd101</v>
      </c>
      <c r="E5730" s="8" t="s">
        <v>345</v>
      </c>
      <c r="F5730" s="8" t="s">
        <v>346</v>
      </c>
    </row>
    <row r="5731" spans="1:6" ht="60" x14ac:dyDescent="0.25">
      <c r="A5731" s="8" t="s">
        <v>125</v>
      </c>
      <c r="B5731" s="8" t="s">
        <v>126</v>
      </c>
      <c r="C5731" s="8" t="str">
        <f>IFERROR(_xlfn.XLOOKUP(TRIM(B5731),Lookup!$B$2:$B$1000,Lookup!$C$2:$C$1000),"")</f>
        <v>Equity</v>
      </c>
      <c r="D5731" s="8" t="str">
        <f>IFERROR(INDEX('nav master'!$C:$C, MATCH(B5731, 'nav master'!$B:$B, 0)), "")</f>
        <v>ULIF05501/08/13DivrEqtyFd101</v>
      </c>
      <c r="E5731" s="8" t="s">
        <v>347</v>
      </c>
      <c r="F5731" s="8" t="s">
        <v>348</v>
      </c>
    </row>
    <row r="5732" spans="1:6" ht="60" x14ac:dyDescent="0.25">
      <c r="A5732" s="8" t="s">
        <v>125</v>
      </c>
      <c r="B5732" s="8" t="s">
        <v>126</v>
      </c>
      <c r="C5732" s="8" t="str">
        <f>IFERROR(_xlfn.XLOOKUP(TRIM(B5732),Lookup!$B$2:$B$1000,Lookup!$C$2:$C$1000),"")</f>
        <v>Equity</v>
      </c>
      <c r="D5732" s="8" t="str">
        <f>IFERROR(INDEX('nav master'!$C:$C, MATCH(B5732, 'nav master'!$B:$B, 0)), "")</f>
        <v>ULIF05501/08/13DivrEqtyFd101</v>
      </c>
      <c r="E5732" s="8" t="s">
        <v>349</v>
      </c>
      <c r="F5732" s="8" t="s">
        <v>350</v>
      </c>
    </row>
    <row r="5733" spans="1:6" ht="60" x14ac:dyDescent="0.25">
      <c r="A5733" s="8" t="s">
        <v>125</v>
      </c>
      <c r="B5733" s="8" t="s">
        <v>126</v>
      </c>
      <c r="C5733" s="8" t="str">
        <f>IFERROR(_xlfn.XLOOKUP(TRIM(B5733),Lookup!$B$2:$B$1000,Lookup!$C$2:$C$1000),"")</f>
        <v>Equity</v>
      </c>
      <c r="D5733" s="8" t="str">
        <f>IFERROR(INDEX('nav master'!$C:$C, MATCH(B5733, 'nav master'!$B:$B, 0)), "")</f>
        <v>ULIF05501/08/13DivrEqtyFd101</v>
      </c>
      <c r="E5733" s="8" t="s">
        <v>351</v>
      </c>
      <c r="F5733" s="8" t="s">
        <v>352</v>
      </c>
    </row>
    <row r="5734" spans="1:6" ht="60" x14ac:dyDescent="0.25">
      <c r="A5734" s="8" t="s">
        <v>125</v>
      </c>
      <c r="B5734" s="8" t="s">
        <v>126</v>
      </c>
      <c r="C5734" s="8" t="str">
        <f>IFERROR(_xlfn.XLOOKUP(TRIM(B5734),Lookup!$B$2:$B$1000,Lookup!$C$2:$C$1000),"")</f>
        <v>Equity</v>
      </c>
      <c r="D5734" s="8" t="str">
        <f>IFERROR(INDEX('nav master'!$C:$C, MATCH(B5734, 'nav master'!$B:$B, 0)), "")</f>
        <v>ULIF05501/08/13DivrEqtyFd101</v>
      </c>
      <c r="E5734" s="8" t="s">
        <v>353</v>
      </c>
      <c r="F5734" s="8" t="s">
        <v>354</v>
      </c>
    </row>
    <row r="5735" spans="1:6" ht="60" x14ac:dyDescent="0.25">
      <c r="A5735" s="8" t="s">
        <v>125</v>
      </c>
      <c r="B5735" s="8" t="s">
        <v>126</v>
      </c>
      <c r="C5735" s="8" t="str">
        <f>IFERROR(_xlfn.XLOOKUP(TRIM(B5735),Lookup!$B$2:$B$1000,Lookup!$C$2:$C$1000),"")</f>
        <v>Equity</v>
      </c>
      <c r="D5735" s="8" t="str">
        <f>IFERROR(INDEX('nav master'!$C:$C, MATCH(B5735, 'nav master'!$B:$B, 0)), "")</f>
        <v>ULIF05501/08/13DivrEqtyFd101</v>
      </c>
      <c r="E5735" s="8" t="s">
        <v>355</v>
      </c>
      <c r="F5735" s="8" t="s">
        <v>356</v>
      </c>
    </row>
    <row r="5736" spans="1:6" ht="60" x14ac:dyDescent="0.25">
      <c r="A5736" s="8" t="s">
        <v>125</v>
      </c>
      <c r="B5736" s="8" t="s">
        <v>126</v>
      </c>
      <c r="C5736" s="8" t="str">
        <f>IFERROR(_xlfn.XLOOKUP(TRIM(B5736),Lookup!$B$2:$B$1000,Lookup!$C$2:$C$1000),"")</f>
        <v>Equity</v>
      </c>
      <c r="D5736" s="8" t="str">
        <f>IFERROR(INDEX('nav master'!$C:$C, MATCH(B5736, 'nav master'!$B:$B, 0)), "")</f>
        <v>ULIF05501/08/13DivrEqtyFd101</v>
      </c>
      <c r="E5736" s="8" t="s">
        <v>357</v>
      </c>
      <c r="F5736" s="8" t="s">
        <v>358</v>
      </c>
    </row>
    <row r="5737" spans="1:6" ht="60" x14ac:dyDescent="0.25">
      <c r="A5737" s="8" t="s">
        <v>125</v>
      </c>
      <c r="B5737" s="8" t="s">
        <v>126</v>
      </c>
      <c r="C5737" s="8" t="str">
        <f>IFERROR(_xlfn.XLOOKUP(TRIM(B5737),Lookup!$B$2:$B$1000,Lookup!$C$2:$C$1000),"")</f>
        <v>Equity</v>
      </c>
      <c r="D5737" s="8" t="str">
        <f>IFERROR(INDEX('nav master'!$C:$C, MATCH(B5737, 'nav master'!$B:$B, 0)), "")</f>
        <v>ULIF05501/08/13DivrEqtyFd101</v>
      </c>
      <c r="E5737" s="8" t="s">
        <v>359</v>
      </c>
      <c r="F5737" s="8" t="s">
        <v>360</v>
      </c>
    </row>
    <row r="5738" spans="1:6" ht="60" x14ac:dyDescent="0.25">
      <c r="A5738" s="8" t="s">
        <v>125</v>
      </c>
      <c r="B5738" s="8" t="s">
        <v>126</v>
      </c>
      <c r="C5738" s="8" t="str">
        <f>IFERROR(_xlfn.XLOOKUP(TRIM(B5738),Lookup!$B$2:$B$1000,Lookup!$C$2:$C$1000),"")</f>
        <v>Equity</v>
      </c>
      <c r="D5738" s="8" t="str">
        <f>IFERROR(INDEX('nav master'!$C:$C, MATCH(B5738, 'nav master'!$B:$B, 0)), "")</f>
        <v>ULIF05501/08/13DivrEqtyFd101</v>
      </c>
      <c r="E5738" s="8" t="s">
        <v>361</v>
      </c>
      <c r="F5738" s="8" t="s">
        <v>362</v>
      </c>
    </row>
    <row r="5739" spans="1:6" ht="60" x14ac:dyDescent="0.25">
      <c r="A5739" s="8" t="s">
        <v>125</v>
      </c>
      <c r="B5739" s="8" t="s">
        <v>126</v>
      </c>
      <c r="C5739" s="8" t="str">
        <f>IFERROR(_xlfn.XLOOKUP(TRIM(B5739),Lookup!$B$2:$B$1000,Lookup!$C$2:$C$1000),"")</f>
        <v>Equity</v>
      </c>
      <c r="D5739" s="8" t="str">
        <f>IFERROR(INDEX('nav master'!$C:$C, MATCH(B5739, 'nav master'!$B:$B, 0)), "")</f>
        <v>ULIF05501/08/13DivrEqtyFd101</v>
      </c>
      <c r="E5739" s="8" t="s">
        <v>363</v>
      </c>
      <c r="F5739" s="8" t="s">
        <v>364</v>
      </c>
    </row>
    <row r="5740" spans="1:6" ht="60" x14ac:dyDescent="0.25">
      <c r="A5740" s="8" t="s">
        <v>125</v>
      </c>
      <c r="B5740" s="8" t="s">
        <v>126</v>
      </c>
      <c r="C5740" s="8" t="str">
        <f>IFERROR(_xlfn.XLOOKUP(TRIM(B5740),Lookup!$B$2:$B$1000,Lookup!$C$2:$C$1000),"")</f>
        <v>Equity</v>
      </c>
      <c r="D5740" s="8" t="str">
        <f>IFERROR(INDEX('nav master'!$C:$C, MATCH(B5740, 'nav master'!$B:$B, 0)), "")</f>
        <v>ULIF05501/08/13DivrEqtyFd101</v>
      </c>
      <c r="E5740" s="8" t="s">
        <v>365</v>
      </c>
      <c r="F5740" s="8" t="s">
        <v>366</v>
      </c>
    </row>
    <row r="5741" spans="1:6" ht="60" x14ac:dyDescent="0.25">
      <c r="A5741" s="8" t="s">
        <v>125</v>
      </c>
      <c r="B5741" s="8" t="s">
        <v>126</v>
      </c>
      <c r="C5741" s="8" t="str">
        <f>IFERROR(_xlfn.XLOOKUP(TRIM(B5741),Lookup!$B$2:$B$1000,Lookup!$C$2:$C$1000),"")</f>
        <v>Equity</v>
      </c>
      <c r="D5741" s="8" t="str">
        <f>IFERROR(INDEX('nav master'!$C:$C, MATCH(B5741, 'nav master'!$B:$B, 0)), "")</f>
        <v>ULIF05501/08/13DivrEqtyFd101</v>
      </c>
      <c r="E5741" s="8" t="s">
        <v>367</v>
      </c>
      <c r="F5741" s="8" t="s">
        <v>368</v>
      </c>
    </row>
    <row r="5742" spans="1:6" ht="60" x14ac:dyDescent="0.25">
      <c r="A5742" s="8" t="s">
        <v>125</v>
      </c>
      <c r="B5742" s="8" t="s">
        <v>126</v>
      </c>
      <c r="C5742" s="8" t="str">
        <f>IFERROR(_xlfn.XLOOKUP(TRIM(B5742),Lookup!$B$2:$B$1000,Lookup!$C$2:$C$1000),"")</f>
        <v>Equity</v>
      </c>
      <c r="D5742" s="8" t="str">
        <f>IFERROR(INDEX('nav master'!$C:$C, MATCH(B5742, 'nav master'!$B:$B, 0)), "")</f>
        <v>ULIF05501/08/13DivrEqtyFd101</v>
      </c>
      <c r="E5742" s="8" t="s">
        <v>369</v>
      </c>
      <c r="F5742" s="8" t="s">
        <v>370</v>
      </c>
    </row>
    <row r="5743" spans="1:6" ht="60" x14ac:dyDescent="0.25">
      <c r="A5743" s="8" t="s">
        <v>125</v>
      </c>
      <c r="B5743" s="8" t="s">
        <v>126</v>
      </c>
      <c r="C5743" s="8" t="str">
        <f>IFERROR(_xlfn.XLOOKUP(TRIM(B5743),Lookup!$B$2:$B$1000,Lookup!$C$2:$C$1000),"")</f>
        <v>Equity</v>
      </c>
      <c r="D5743" s="8" t="str">
        <f>IFERROR(INDEX('nav master'!$C:$C, MATCH(B5743, 'nav master'!$B:$B, 0)), "")</f>
        <v>ULIF05501/08/13DivrEqtyFd101</v>
      </c>
      <c r="E5743" s="8" t="s">
        <v>371</v>
      </c>
      <c r="F5743" s="8" t="s">
        <v>372</v>
      </c>
    </row>
    <row r="5744" spans="1:6" ht="60" x14ac:dyDescent="0.25">
      <c r="A5744" s="8" t="s">
        <v>125</v>
      </c>
      <c r="B5744" s="8" t="s">
        <v>126</v>
      </c>
      <c r="C5744" s="8" t="str">
        <f>IFERROR(_xlfn.XLOOKUP(TRIM(B5744),Lookup!$B$2:$B$1000,Lookup!$C$2:$C$1000),"")</f>
        <v>Equity</v>
      </c>
      <c r="D5744" s="8" t="str">
        <f>IFERROR(INDEX('nav master'!$C:$C, MATCH(B5744, 'nav master'!$B:$B, 0)), "")</f>
        <v>ULIF05501/08/13DivrEqtyFd101</v>
      </c>
      <c r="E5744" s="8" t="s">
        <v>373</v>
      </c>
      <c r="F5744" s="8" t="s">
        <v>374</v>
      </c>
    </row>
    <row r="5745" spans="1:6" ht="60" x14ac:dyDescent="0.25">
      <c r="A5745" s="8" t="s">
        <v>125</v>
      </c>
      <c r="B5745" s="8" t="s">
        <v>126</v>
      </c>
      <c r="C5745" s="8" t="str">
        <f>IFERROR(_xlfn.XLOOKUP(TRIM(B5745),Lookup!$B$2:$B$1000,Lookup!$C$2:$C$1000),"")</f>
        <v>Equity</v>
      </c>
      <c r="D5745" s="8" t="str">
        <f>IFERROR(INDEX('nav master'!$C:$C, MATCH(B5745, 'nav master'!$B:$B, 0)), "")</f>
        <v>ULIF05501/08/13DivrEqtyFd101</v>
      </c>
      <c r="E5745" s="8" t="s">
        <v>375</v>
      </c>
      <c r="F5745" s="8" t="s">
        <v>376</v>
      </c>
    </row>
    <row r="5746" spans="1:6" ht="60" x14ac:dyDescent="0.25">
      <c r="A5746" s="8" t="s">
        <v>125</v>
      </c>
      <c r="B5746" s="8" t="s">
        <v>126</v>
      </c>
      <c r="C5746" s="8" t="str">
        <f>IFERROR(_xlfn.XLOOKUP(TRIM(B5746),Lookup!$B$2:$B$1000,Lookup!$C$2:$C$1000),"")</f>
        <v>Equity</v>
      </c>
      <c r="D5746" s="8" t="str">
        <f>IFERROR(INDEX('nav master'!$C:$C, MATCH(B5746, 'nav master'!$B:$B, 0)), "")</f>
        <v>ULIF05501/08/13DivrEqtyFd101</v>
      </c>
      <c r="E5746" s="8" t="s">
        <v>377</v>
      </c>
      <c r="F5746" s="8" t="s">
        <v>378</v>
      </c>
    </row>
    <row r="5747" spans="1:6" ht="60" x14ac:dyDescent="0.25">
      <c r="A5747" s="8" t="s">
        <v>125</v>
      </c>
      <c r="B5747" s="8" t="s">
        <v>126</v>
      </c>
      <c r="C5747" s="8" t="str">
        <f>IFERROR(_xlfn.XLOOKUP(TRIM(B5747),Lookup!$B$2:$B$1000,Lookup!$C$2:$C$1000),"")</f>
        <v>Equity</v>
      </c>
      <c r="D5747" s="8" t="str">
        <f>IFERROR(INDEX('nav master'!$C:$C, MATCH(B5747, 'nav master'!$B:$B, 0)), "")</f>
        <v>ULIF05501/08/13DivrEqtyFd101</v>
      </c>
      <c r="E5747" s="8" t="s">
        <v>379</v>
      </c>
      <c r="F5747" s="8" t="s">
        <v>380</v>
      </c>
    </row>
    <row r="5748" spans="1:6" ht="60" x14ac:dyDescent="0.25">
      <c r="A5748" s="8" t="s">
        <v>125</v>
      </c>
      <c r="B5748" s="8" t="s">
        <v>126</v>
      </c>
      <c r="C5748" s="8" t="str">
        <f>IFERROR(_xlfn.XLOOKUP(TRIM(B5748),Lookup!$B$2:$B$1000,Lookup!$C$2:$C$1000),"")</f>
        <v>Equity</v>
      </c>
      <c r="D5748" s="8" t="str">
        <f>IFERROR(INDEX('nav master'!$C:$C, MATCH(B5748, 'nav master'!$B:$B, 0)), "")</f>
        <v>ULIF05501/08/13DivrEqtyFd101</v>
      </c>
      <c r="E5748" s="8" t="s">
        <v>381</v>
      </c>
      <c r="F5748" s="8" t="s">
        <v>382</v>
      </c>
    </row>
    <row r="5749" spans="1:6" ht="60" x14ac:dyDescent="0.25">
      <c r="A5749" s="8" t="s">
        <v>125</v>
      </c>
      <c r="B5749" s="8" t="s">
        <v>126</v>
      </c>
      <c r="C5749" s="8" t="str">
        <f>IFERROR(_xlfn.XLOOKUP(TRIM(B5749),Lookup!$B$2:$B$1000,Lookup!$C$2:$C$1000),"")</f>
        <v>Equity</v>
      </c>
      <c r="D5749" s="8" t="str">
        <f>IFERROR(INDEX('nav master'!$C:$C, MATCH(B5749, 'nav master'!$B:$B, 0)), "")</f>
        <v>ULIF05501/08/13DivrEqtyFd101</v>
      </c>
      <c r="E5749" s="8" t="s">
        <v>383</v>
      </c>
      <c r="F5749" s="8" t="s">
        <v>384</v>
      </c>
    </row>
    <row r="5750" spans="1:6" ht="60" x14ac:dyDescent="0.25">
      <c r="A5750" s="8" t="s">
        <v>125</v>
      </c>
      <c r="B5750" s="8" t="s">
        <v>126</v>
      </c>
      <c r="C5750" s="8" t="str">
        <f>IFERROR(_xlfn.XLOOKUP(TRIM(B5750),Lookup!$B$2:$B$1000,Lookup!$C$2:$C$1000),"")</f>
        <v>Equity</v>
      </c>
      <c r="D5750" s="8" t="str">
        <f>IFERROR(INDEX('nav master'!$C:$C, MATCH(B5750, 'nav master'!$B:$B, 0)), "")</f>
        <v>ULIF05501/08/13DivrEqtyFd101</v>
      </c>
      <c r="E5750" s="8" t="s">
        <v>385</v>
      </c>
      <c r="F5750" s="8" t="s">
        <v>386</v>
      </c>
    </row>
    <row r="5751" spans="1:6" ht="60" x14ac:dyDescent="0.25">
      <c r="A5751" s="8" t="s">
        <v>125</v>
      </c>
      <c r="B5751" s="8" t="s">
        <v>126</v>
      </c>
      <c r="C5751" s="8" t="str">
        <f>IFERROR(_xlfn.XLOOKUP(TRIM(B5751),Lookup!$B$2:$B$1000,Lookup!$C$2:$C$1000),"")</f>
        <v>Equity</v>
      </c>
      <c r="D5751" s="8" t="str">
        <f>IFERROR(INDEX('nav master'!$C:$C, MATCH(B5751, 'nav master'!$B:$B, 0)), "")</f>
        <v>ULIF05501/08/13DivrEqtyFd101</v>
      </c>
      <c r="E5751" s="8" t="s">
        <v>387</v>
      </c>
      <c r="F5751" s="8" t="s">
        <v>388</v>
      </c>
    </row>
    <row r="5752" spans="1:6" ht="60" x14ac:dyDescent="0.25">
      <c r="A5752" s="8" t="s">
        <v>125</v>
      </c>
      <c r="B5752" s="8" t="s">
        <v>126</v>
      </c>
      <c r="C5752" s="8" t="str">
        <f>IFERROR(_xlfn.XLOOKUP(TRIM(B5752),Lookup!$B$2:$B$1000,Lookup!$C$2:$C$1000),"")</f>
        <v>Equity</v>
      </c>
      <c r="D5752" s="8" t="str">
        <f>IFERROR(INDEX('nav master'!$C:$C, MATCH(B5752, 'nav master'!$B:$B, 0)), "")</f>
        <v>ULIF05501/08/13DivrEqtyFd101</v>
      </c>
      <c r="E5752" s="8" t="s">
        <v>389</v>
      </c>
      <c r="F5752" s="8" t="s">
        <v>390</v>
      </c>
    </row>
    <row r="5753" spans="1:6" ht="60" x14ac:dyDescent="0.25">
      <c r="A5753" s="8" t="s">
        <v>125</v>
      </c>
      <c r="B5753" s="8" t="s">
        <v>126</v>
      </c>
      <c r="C5753" s="8" t="str">
        <f>IFERROR(_xlfn.XLOOKUP(TRIM(B5753),Lookup!$B$2:$B$1000,Lookup!$C$2:$C$1000),"")</f>
        <v>Equity</v>
      </c>
      <c r="D5753" s="8" t="str">
        <f>IFERROR(INDEX('nav master'!$C:$C, MATCH(B5753, 'nav master'!$B:$B, 0)), "")</f>
        <v>ULIF05501/08/13DivrEqtyFd101</v>
      </c>
      <c r="E5753" s="8" t="s">
        <v>391</v>
      </c>
      <c r="F5753" s="8" t="s">
        <v>392</v>
      </c>
    </row>
    <row r="5754" spans="1:6" ht="60" x14ac:dyDescent="0.25">
      <c r="A5754" s="8" t="s">
        <v>125</v>
      </c>
      <c r="B5754" s="8" t="s">
        <v>126</v>
      </c>
      <c r="C5754" s="8" t="str">
        <f>IFERROR(_xlfn.XLOOKUP(TRIM(B5754),Lookup!$B$2:$B$1000,Lookup!$C$2:$C$1000),"")</f>
        <v>Equity</v>
      </c>
      <c r="D5754" s="8" t="str">
        <f>IFERROR(INDEX('nav master'!$C:$C, MATCH(B5754, 'nav master'!$B:$B, 0)), "")</f>
        <v>ULIF05501/08/13DivrEqtyFd101</v>
      </c>
      <c r="E5754" s="8" t="s">
        <v>393</v>
      </c>
      <c r="F5754" s="8" t="s">
        <v>394</v>
      </c>
    </row>
    <row r="5755" spans="1:6" ht="60" x14ac:dyDescent="0.25">
      <c r="A5755" s="8" t="s">
        <v>125</v>
      </c>
      <c r="B5755" s="8" t="s">
        <v>126</v>
      </c>
      <c r="C5755" s="8" t="str">
        <f>IFERROR(_xlfn.XLOOKUP(TRIM(B5755),Lookup!$B$2:$B$1000,Lookup!$C$2:$C$1000),"")</f>
        <v>Equity</v>
      </c>
      <c r="D5755" s="8" t="str">
        <f>IFERROR(INDEX('nav master'!$C:$C, MATCH(B5755, 'nav master'!$B:$B, 0)), "")</f>
        <v>ULIF05501/08/13DivrEqtyFd101</v>
      </c>
      <c r="E5755" s="8" t="s">
        <v>395</v>
      </c>
      <c r="F5755" s="8" t="s">
        <v>396</v>
      </c>
    </row>
    <row r="5756" spans="1:6" ht="60" x14ac:dyDescent="0.25">
      <c r="A5756" s="8" t="s">
        <v>125</v>
      </c>
      <c r="B5756" s="8" t="s">
        <v>126</v>
      </c>
      <c r="C5756" s="8" t="str">
        <f>IFERROR(_xlfn.XLOOKUP(TRIM(B5756),Lookup!$B$2:$B$1000,Lookup!$C$2:$C$1000),"")</f>
        <v>Equity</v>
      </c>
      <c r="D5756" s="8" t="str">
        <f>IFERROR(INDEX('nav master'!$C:$C, MATCH(B5756, 'nav master'!$B:$B, 0)), "")</f>
        <v>ULIF05501/08/13DivrEqtyFd101</v>
      </c>
      <c r="E5756" s="8" t="s">
        <v>397</v>
      </c>
      <c r="F5756" s="8" t="s">
        <v>398</v>
      </c>
    </row>
    <row r="5757" spans="1:6" ht="60" x14ac:dyDescent="0.25">
      <c r="A5757" s="8" t="s">
        <v>125</v>
      </c>
      <c r="B5757" s="8" t="s">
        <v>126</v>
      </c>
      <c r="C5757" s="8" t="str">
        <f>IFERROR(_xlfn.XLOOKUP(TRIM(B5757),Lookup!$B$2:$B$1000,Lookup!$C$2:$C$1000),"")</f>
        <v>Equity</v>
      </c>
      <c r="D5757" s="8" t="str">
        <f>IFERROR(INDEX('nav master'!$C:$C, MATCH(B5757, 'nav master'!$B:$B, 0)), "")</f>
        <v>ULIF05501/08/13DivrEqtyFd101</v>
      </c>
      <c r="E5757" s="8" t="s">
        <v>399</v>
      </c>
      <c r="F5757" s="8" t="s">
        <v>400</v>
      </c>
    </row>
    <row r="5758" spans="1:6" ht="60" x14ac:dyDescent="0.25">
      <c r="A5758" s="8" t="s">
        <v>125</v>
      </c>
      <c r="B5758" s="8" t="s">
        <v>126</v>
      </c>
      <c r="C5758" s="8" t="str">
        <f>IFERROR(_xlfn.XLOOKUP(TRIM(B5758),Lookup!$B$2:$B$1000,Lookup!$C$2:$C$1000),"")</f>
        <v>Equity</v>
      </c>
      <c r="D5758" s="8" t="str">
        <f>IFERROR(INDEX('nav master'!$C:$C, MATCH(B5758, 'nav master'!$B:$B, 0)), "")</f>
        <v>ULIF05501/08/13DivrEqtyFd101</v>
      </c>
      <c r="E5758" s="8" t="s">
        <v>401</v>
      </c>
      <c r="F5758" s="8" t="s">
        <v>402</v>
      </c>
    </row>
    <row r="5759" spans="1:6" ht="60" x14ac:dyDescent="0.25">
      <c r="A5759" s="8" t="s">
        <v>125</v>
      </c>
      <c r="B5759" s="8" t="s">
        <v>126</v>
      </c>
      <c r="C5759" s="8" t="str">
        <f>IFERROR(_xlfn.XLOOKUP(TRIM(B5759),Lookup!$B$2:$B$1000,Lookup!$C$2:$C$1000),"")</f>
        <v>Equity</v>
      </c>
      <c r="D5759" s="8" t="str">
        <f>IFERROR(INDEX('nav master'!$C:$C, MATCH(B5759, 'nav master'!$B:$B, 0)), "")</f>
        <v>ULIF05501/08/13DivrEqtyFd101</v>
      </c>
      <c r="E5759" s="8" t="s">
        <v>403</v>
      </c>
      <c r="F5759" s="8" t="s">
        <v>404</v>
      </c>
    </row>
    <row r="5760" spans="1:6" ht="60" x14ac:dyDescent="0.25">
      <c r="A5760" s="8" t="s">
        <v>125</v>
      </c>
      <c r="B5760" s="8" t="s">
        <v>126</v>
      </c>
      <c r="C5760" s="8" t="str">
        <f>IFERROR(_xlfn.XLOOKUP(TRIM(B5760),Lookup!$B$2:$B$1000,Lookup!$C$2:$C$1000),"")</f>
        <v>Equity</v>
      </c>
      <c r="D5760" s="8" t="str">
        <f>IFERROR(INDEX('nav master'!$C:$C, MATCH(B5760, 'nav master'!$B:$B, 0)), "")</f>
        <v>ULIF05501/08/13DivrEqtyFd101</v>
      </c>
      <c r="E5760" s="8" t="s">
        <v>405</v>
      </c>
      <c r="F5760" s="8" t="s">
        <v>406</v>
      </c>
    </row>
    <row r="5761" spans="1:6" ht="60" x14ac:dyDescent="0.25">
      <c r="A5761" s="8" t="s">
        <v>125</v>
      </c>
      <c r="B5761" s="8" t="s">
        <v>126</v>
      </c>
      <c r="C5761" s="8" t="str">
        <f>IFERROR(_xlfn.XLOOKUP(TRIM(B5761),Lookup!$B$2:$B$1000,Lookup!$C$2:$C$1000),"")</f>
        <v>Equity</v>
      </c>
      <c r="D5761" s="8" t="str">
        <f>IFERROR(INDEX('nav master'!$C:$C, MATCH(B5761, 'nav master'!$B:$B, 0)), "")</f>
        <v>ULIF05501/08/13DivrEqtyFd101</v>
      </c>
      <c r="E5761" s="8" t="s">
        <v>407</v>
      </c>
      <c r="F5761" s="8" t="s">
        <v>408</v>
      </c>
    </row>
    <row r="5762" spans="1:6" ht="60" x14ac:dyDescent="0.25">
      <c r="A5762" s="8" t="s">
        <v>125</v>
      </c>
      <c r="B5762" s="8" t="s">
        <v>126</v>
      </c>
      <c r="C5762" s="8" t="str">
        <f>IFERROR(_xlfn.XLOOKUP(TRIM(B5762),Lookup!$B$2:$B$1000,Lookup!$C$2:$C$1000),"")</f>
        <v>Equity</v>
      </c>
      <c r="D5762" s="8" t="str">
        <f>IFERROR(INDEX('nav master'!$C:$C, MATCH(B5762, 'nav master'!$B:$B, 0)), "")</f>
        <v>ULIF05501/08/13DivrEqtyFd101</v>
      </c>
      <c r="E5762" s="8" t="s">
        <v>409</v>
      </c>
      <c r="F5762" s="8" t="s">
        <v>410</v>
      </c>
    </row>
    <row r="5763" spans="1:6" ht="60" x14ac:dyDescent="0.25">
      <c r="A5763" s="8" t="s">
        <v>125</v>
      </c>
      <c r="B5763" s="8" t="s">
        <v>126</v>
      </c>
      <c r="C5763" s="8" t="str">
        <f>IFERROR(_xlfn.XLOOKUP(TRIM(B5763),Lookup!$B$2:$B$1000,Lookup!$C$2:$C$1000),"")</f>
        <v>Equity</v>
      </c>
      <c r="D5763" s="8" t="str">
        <f>IFERROR(INDEX('nav master'!$C:$C, MATCH(B5763, 'nav master'!$B:$B, 0)), "")</f>
        <v>ULIF05501/08/13DivrEqtyFd101</v>
      </c>
      <c r="E5763" s="8" t="s">
        <v>411</v>
      </c>
      <c r="F5763" s="8" t="s">
        <v>412</v>
      </c>
    </row>
    <row r="5764" spans="1:6" ht="60" x14ac:dyDescent="0.25">
      <c r="A5764" s="8" t="s">
        <v>125</v>
      </c>
      <c r="B5764" s="8" t="s">
        <v>126</v>
      </c>
      <c r="C5764" s="8" t="str">
        <f>IFERROR(_xlfn.XLOOKUP(TRIM(B5764),Lookup!$B$2:$B$1000,Lookup!$C$2:$C$1000),"")</f>
        <v>Equity</v>
      </c>
      <c r="D5764" s="8" t="str">
        <f>IFERROR(INDEX('nav master'!$C:$C, MATCH(B5764, 'nav master'!$B:$B, 0)), "")</f>
        <v>ULIF05501/08/13DivrEqtyFd101</v>
      </c>
      <c r="E5764" s="8" t="s">
        <v>413</v>
      </c>
      <c r="F5764" s="8" t="s">
        <v>414</v>
      </c>
    </row>
    <row r="5765" spans="1:6" ht="60" x14ac:dyDescent="0.25">
      <c r="A5765" s="8" t="s">
        <v>125</v>
      </c>
      <c r="B5765" s="8" t="s">
        <v>126</v>
      </c>
      <c r="C5765" s="8" t="str">
        <f>IFERROR(_xlfn.XLOOKUP(TRIM(B5765),Lookup!$B$2:$B$1000,Lookup!$C$2:$C$1000),"")</f>
        <v>Equity</v>
      </c>
      <c r="D5765" s="8" t="str">
        <f>IFERROR(INDEX('nav master'!$C:$C, MATCH(B5765, 'nav master'!$B:$B, 0)), "")</f>
        <v>ULIF05501/08/13DivrEqtyFd101</v>
      </c>
      <c r="E5765" s="8" t="s">
        <v>415</v>
      </c>
      <c r="F5765" s="8" t="s">
        <v>416</v>
      </c>
    </row>
    <row r="5766" spans="1:6" ht="60" x14ac:dyDescent="0.25">
      <c r="A5766" s="8" t="s">
        <v>125</v>
      </c>
      <c r="B5766" s="8" t="s">
        <v>126</v>
      </c>
      <c r="C5766" s="8" t="str">
        <f>IFERROR(_xlfn.XLOOKUP(TRIM(B5766),Lookup!$B$2:$B$1000,Lookup!$C$2:$C$1000),"")</f>
        <v>Equity</v>
      </c>
      <c r="D5766" s="8" t="str">
        <f>IFERROR(INDEX('nav master'!$C:$C, MATCH(B5766, 'nav master'!$B:$B, 0)), "")</f>
        <v>ULIF05501/08/13DivrEqtyFd101</v>
      </c>
      <c r="E5766" s="8" t="s">
        <v>417</v>
      </c>
      <c r="F5766" s="8" t="s">
        <v>418</v>
      </c>
    </row>
    <row r="5767" spans="1:6" ht="60" x14ac:dyDescent="0.25">
      <c r="A5767" s="8" t="s">
        <v>125</v>
      </c>
      <c r="B5767" s="8" t="s">
        <v>126</v>
      </c>
      <c r="C5767" s="8" t="str">
        <f>IFERROR(_xlfn.XLOOKUP(TRIM(B5767),Lookup!$B$2:$B$1000,Lookup!$C$2:$C$1000),"")</f>
        <v>Equity</v>
      </c>
      <c r="D5767" s="8" t="str">
        <f>IFERROR(INDEX('nav master'!$C:$C, MATCH(B5767, 'nav master'!$B:$B, 0)), "")</f>
        <v>ULIF05501/08/13DivrEqtyFd101</v>
      </c>
      <c r="E5767" s="8" t="s">
        <v>419</v>
      </c>
      <c r="F5767" s="8" t="s">
        <v>420</v>
      </c>
    </row>
    <row r="5768" spans="1:6" ht="60" x14ac:dyDescent="0.25">
      <c r="A5768" s="8" t="s">
        <v>125</v>
      </c>
      <c r="B5768" s="8" t="s">
        <v>126</v>
      </c>
      <c r="C5768" s="8" t="str">
        <f>IFERROR(_xlfn.XLOOKUP(TRIM(B5768),Lookup!$B$2:$B$1000,Lookup!$C$2:$C$1000),"")</f>
        <v>Equity</v>
      </c>
      <c r="D5768" s="8" t="str">
        <f>IFERROR(INDEX('nav master'!$C:$C, MATCH(B5768, 'nav master'!$B:$B, 0)), "")</f>
        <v>ULIF05501/08/13DivrEqtyFd101</v>
      </c>
      <c r="E5768" s="8" t="s">
        <v>421</v>
      </c>
      <c r="F5768" s="8" t="s">
        <v>422</v>
      </c>
    </row>
    <row r="5769" spans="1:6" ht="60" x14ac:dyDescent="0.25">
      <c r="A5769" s="8" t="s">
        <v>125</v>
      </c>
      <c r="B5769" s="8" t="s">
        <v>126</v>
      </c>
      <c r="C5769" s="8" t="str">
        <f>IFERROR(_xlfn.XLOOKUP(TRIM(B5769),Lookup!$B$2:$B$1000,Lookup!$C$2:$C$1000),"")</f>
        <v>Equity</v>
      </c>
      <c r="D5769" s="8" t="str">
        <f>IFERROR(INDEX('nav master'!$C:$C, MATCH(B5769, 'nav master'!$B:$B, 0)), "")</f>
        <v>ULIF05501/08/13DivrEqtyFd101</v>
      </c>
      <c r="E5769" s="8" t="s">
        <v>423</v>
      </c>
      <c r="F5769" s="8" t="s">
        <v>424</v>
      </c>
    </row>
    <row r="5770" spans="1:6" ht="60" x14ac:dyDescent="0.25">
      <c r="A5770" s="8" t="s">
        <v>125</v>
      </c>
      <c r="B5770" s="8" t="s">
        <v>126</v>
      </c>
      <c r="C5770" s="8" t="str">
        <f>IFERROR(_xlfn.XLOOKUP(TRIM(B5770),Lookup!$B$2:$B$1000,Lookup!$C$2:$C$1000),"")</f>
        <v>Equity</v>
      </c>
      <c r="D5770" s="8" t="str">
        <f>IFERROR(INDEX('nav master'!$C:$C, MATCH(B5770, 'nav master'!$B:$B, 0)), "")</f>
        <v>ULIF05501/08/13DivrEqtyFd101</v>
      </c>
      <c r="E5770" s="8" t="s">
        <v>425</v>
      </c>
      <c r="F5770" s="8" t="s">
        <v>426</v>
      </c>
    </row>
    <row r="5771" spans="1:6" ht="60" x14ac:dyDescent="0.25">
      <c r="A5771" s="8" t="s">
        <v>125</v>
      </c>
      <c r="B5771" s="8" t="s">
        <v>126</v>
      </c>
      <c r="C5771" s="8" t="str">
        <f>IFERROR(_xlfn.XLOOKUP(TRIM(B5771),Lookup!$B$2:$B$1000,Lookup!$C$2:$C$1000),"")</f>
        <v>Equity</v>
      </c>
      <c r="D5771" s="8" t="str">
        <f>IFERROR(INDEX('nav master'!$C:$C, MATCH(B5771, 'nav master'!$B:$B, 0)), "")</f>
        <v>ULIF05501/08/13DivrEqtyFd101</v>
      </c>
      <c r="E5771" s="8" t="s">
        <v>427</v>
      </c>
      <c r="F5771" s="8" t="s">
        <v>428</v>
      </c>
    </row>
    <row r="5772" spans="1:6" ht="60" x14ac:dyDescent="0.25">
      <c r="A5772" s="8" t="s">
        <v>125</v>
      </c>
      <c r="B5772" s="8" t="s">
        <v>126</v>
      </c>
      <c r="C5772" s="8" t="str">
        <f>IFERROR(_xlfn.XLOOKUP(TRIM(B5772),Lookup!$B$2:$B$1000,Lookup!$C$2:$C$1000),"")</f>
        <v>Equity</v>
      </c>
      <c r="D5772" s="8" t="str">
        <f>IFERROR(INDEX('nav master'!$C:$C, MATCH(B5772, 'nav master'!$B:$B, 0)), "")</f>
        <v>ULIF05501/08/13DivrEqtyFd101</v>
      </c>
      <c r="E5772" s="8" t="s">
        <v>429</v>
      </c>
      <c r="F5772" s="8" t="s">
        <v>430</v>
      </c>
    </row>
    <row r="5773" spans="1:6" ht="60" x14ac:dyDescent="0.25">
      <c r="A5773" s="8" t="s">
        <v>125</v>
      </c>
      <c r="B5773" s="8" t="s">
        <v>126</v>
      </c>
      <c r="C5773" s="8" t="str">
        <f>IFERROR(_xlfn.XLOOKUP(TRIM(B5773),Lookup!$B$2:$B$1000,Lookup!$C$2:$C$1000),"")</f>
        <v>Equity</v>
      </c>
      <c r="D5773" s="8" t="str">
        <f>IFERROR(INDEX('nav master'!$C:$C, MATCH(B5773, 'nav master'!$B:$B, 0)), "")</f>
        <v>ULIF05501/08/13DivrEqtyFd101</v>
      </c>
      <c r="E5773" s="8" t="s">
        <v>431</v>
      </c>
      <c r="F5773" s="8" t="s">
        <v>432</v>
      </c>
    </row>
    <row r="5774" spans="1:6" ht="60" x14ac:dyDescent="0.25">
      <c r="A5774" s="8" t="s">
        <v>125</v>
      </c>
      <c r="B5774" s="8" t="s">
        <v>126</v>
      </c>
      <c r="C5774" s="8" t="str">
        <f>IFERROR(_xlfn.XLOOKUP(TRIM(B5774),Lookup!$B$2:$B$1000,Lookup!$C$2:$C$1000),"")</f>
        <v>Equity</v>
      </c>
      <c r="D5774" s="8" t="str">
        <f>IFERROR(INDEX('nav master'!$C:$C, MATCH(B5774, 'nav master'!$B:$B, 0)), "")</f>
        <v>ULIF05501/08/13DivrEqtyFd101</v>
      </c>
      <c r="E5774" s="8" t="s">
        <v>433</v>
      </c>
      <c r="F5774" s="8" t="s">
        <v>434</v>
      </c>
    </row>
    <row r="5775" spans="1:6" ht="60" x14ac:dyDescent="0.25">
      <c r="A5775" s="8" t="s">
        <v>125</v>
      </c>
      <c r="B5775" s="8" t="s">
        <v>126</v>
      </c>
      <c r="C5775" s="8" t="str">
        <f>IFERROR(_xlfn.XLOOKUP(TRIM(B5775),Lookup!$B$2:$B$1000,Lookup!$C$2:$C$1000),"")</f>
        <v>Equity</v>
      </c>
      <c r="D5775" s="8" t="str">
        <f>IFERROR(INDEX('nav master'!$C:$C, MATCH(B5775, 'nav master'!$B:$B, 0)), "")</f>
        <v>ULIF05501/08/13DivrEqtyFd101</v>
      </c>
      <c r="E5775" s="8" t="s">
        <v>435</v>
      </c>
      <c r="F5775" s="8" t="s">
        <v>436</v>
      </c>
    </row>
    <row r="5776" spans="1:6" ht="60" x14ac:dyDescent="0.25">
      <c r="A5776" s="8" t="s">
        <v>125</v>
      </c>
      <c r="B5776" s="8" t="s">
        <v>126</v>
      </c>
      <c r="C5776" s="8" t="str">
        <f>IFERROR(_xlfn.XLOOKUP(TRIM(B5776),Lookup!$B$2:$B$1000,Lookup!$C$2:$C$1000),"")</f>
        <v>Equity</v>
      </c>
      <c r="D5776" s="8" t="str">
        <f>IFERROR(INDEX('nav master'!$C:$C, MATCH(B5776, 'nav master'!$B:$B, 0)), "")</f>
        <v>ULIF05501/08/13DivrEqtyFd101</v>
      </c>
      <c r="E5776" s="8" t="s">
        <v>437</v>
      </c>
      <c r="F5776" s="8" t="s">
        <v>438</v>
      </c>
    </row>
    <row r="5777" spans="1:6" ht="60" x14ac:dyDescent="0.25">
      <c r="A5777" s="8" t="s">
        <v>125</v>
      </c>
      <c r="B5777" s="8" t="s">
        <v>126</v>
      </c>
      <c r="C5777" s="8" t="str">
        <f>IFERROR(_xlfn.XLOOKUP(TRIM(B5777),Lookup!$B$2:$B$1000,Lookup!$C$2:$C$1000),"")</f>
        <v>Equity</v>
      </c>
      <c r="D5777" s="8" t="str">
        <f>IFERROR(INDEX('nav master'!$C:$C, MATCH(B5777, 'nav master'!$B:$B, 0)), "")</f>
        <v>ULIF05501/08/13DivrEqtyFd101</v>
      </c>
      <c r="E5777" s="8" t="s">
        <v>439</v>
      </c>
      <c r="F5777" s="8" t="s">
        <v>440</v>
      </c>
    </row>
    <row r="5778" spans="1:6" ht="60" x14ac:dyDescent="0.25">
      <c r="A5778" s="8" t="s">
        <v>125</v>
      </c>
      <c r="B5778" s="8" t="s">
        <v>126</v>
      </c>
      <c r="C5778" s="8" t="str">
        <f>IFERROR(_xlfn.XLOOKUP(TRIM(B5778),Lookup!$B$2:$B$1000,Lookup!$C$2:$C$1000),"")</f>
        <v>Equity</v>
      </c>
      <c r="D5778" s="8" t="str">
        <f>IFERROR(INDEX('nav master'!$C:$C, MATCH(B5778, 'nav master'!$B:$B, 0)), "")</f>
        <v>ULIF05501/08/13DivrEqtyFd101</v>
      </c>
      <c r="E5778" s="8" t="s">
        <v>441</v>
      </c>
      <c r="F5778" s="8" t="s">
        <v>442</v>
      </c>
    </row>
    <row r="5779" spans="1:6" ht="60" x14ac:dyDescent="0.25">
      <c r="A5779" s="8" t="s">
        <v>125</v>
      </c>
      <c r="B5779" s="8" t="s">
        <v>126</v>
      </c>
      <c r="C5779" s="8" t="str">
        <f>IFERROR(_xlfn.XLOOKUP(TRIM(B5779),Lookup!$B$2:$B$1000,Lookup!$C$2:$C$1000),"")</f>
        <v>Equity</v>
      </c>
      <c r="D5779" s="8" t="str">
        <f>IFERROR(INDEX('nav master'!$C:$C, MATCH(B5779, 'nav master'!$B:$B, 0)), "")</f>
        <v>ULIF05501/08/13DivrEqtyFd101</v>
      </c>
      <c r="E5779" s="8" t="s">
        <v>443</v>
      </c>
      <c r="F5779" s="8" t="s">
        <v>444</v>
      </c>
    </row>
    <row r="5780" spans="1:6" ht="60" x14ac:dyDescent="0.25">
      <c r="A5780" s="8" t="s">
        <v>125</v>
      </c>
      <c r="B5780" s="8" t="s">
        <v>126</v>
      </c>
      <c r="C5780" s="8" t="str">
        <f>IFERROR(_xlfn.XLOOKUP(TRIM(B5780),Lookup!$B$2:$B$1000,Lookup!$C$2:$C$1000),"")</f>
        <v>Equity</v>
      </c>
      <c r="D5780" s="8" t="str">
        <f>IFERROR(INDEX('nav master'!$C:$C, MATCH(B5780, 'nav master'!$B:$B, 0)), "")</f>
        <v>ULIF05501/08/13DivrEqtyFd101</v>
      </c>
      <c r="E5780" s="8" t="s">
        <v>445</v>
      </c>
      <c r="F5780" s="8" t="s">
        <v>342</v>
      </c>
    </row>
    <row r="5781" spans="1:6" ht="60" x14ac:dyDescent="0.25">
      <c r="A5781" s="8" t="s">
        <v>125</v>
      </c>
      <c r="B5781" s="8" t="s">
        <v>126</v>
      </c>
      <c r="C5781" s="8" t="str">
        <f>IFERROR(_xlfn.XLOOKUP(TRIM(B5781),Lookup!$B$2:$B$1000,Lookup!$C$2:$C$1000),"")</f>
        <v>Equity</v>
      </c>
      <c r="D5781" s="8" t="str">
        <f>IFERROR(INDEX('nav master'!$C:$C, MATCH(B5781, 'nav master'!$B:$B, 0)), "")</f>
        <v>ULIF05501/08/13DivrEqtyFd101</v>
      </c>
      <c r="E5781" s="8" t="s">
        <v>446</v>
      </c>
      <c r="F5781" s="8" t="s">
        <v>447</v>
      </c>
    </row>
    <row r="5782" spans="1:6" ht="60" x14ac:dyDescent="0.25">
      <c r="A5782" s="8" t="s">
        <v>125</v>
      </c>
      <c r="B5782" s="8" t="s">
        <v>126</v>
      </c>
      <c r="C5782" s="8" t="str">
        <f>IFERROR(_xlfn.XLOOKUP(TRIM(B5782),Lookup!$B$2:$B$1000,Lookup!$C$2:$C$1000),"")</f>
        <v>Equity</v>
      </c>
      <c r="D5782" s="8" t="str">
        <f>IFERROR(INDEX('nav master'!$C:$C, MATCH(B5782, 'nav master'!$B:$B, 0)), "")</f>
        <v>ULIF05501/08/13DivrEqtyFd101</v>
      </c>
      <c r="E5782" s="8" t="s">
        <v>448</v>
      </c>
      <c r="F5782" s="8" t="s">
        <v>449</v>
      </c>
    </row>
    <row r="5783" spans="1:6" ht="60" x14ac:dyDescent="0.25">
      <c r="A5783" s="8" t="s">
        <v>125</v>
      </c>
      <c r="B5783" s="8" t="s">
        <v>126</v>
      </c>
      <c r="C5783" s="8" t="str">
        <f>IFERROR(_xlfn.XLOOKUP(TRIM(B5783),Lookup!$B$2:$B$1000,Lookup!$C$2:$C$1000),"")</f>
        <v>Equity</v>
      </c>
      <c r="D5783" s="8" t="str">
        <f>IFERROR(INDEX('nav master'!$C:$C, MATCH(B5783, 'nav master'!$B:$B, 0)), "")</f>
        <v>ULIF05501/08/13DivrEqtyFd101</v>
      </c>
      <c r="E5783" s="8" t="s">
        <v>450</v>
      </c>
      <c r="F5783" s="8" t="s">
        <v>451</v>
      </c>
    </row>
    <row r="5784" spans="1:6" ht="60" x14ac:dyDescent="0.25">
      <c r="A5784" s="8" t="s">
        <v>125</v>
      </c>
      <c r="B5784" s="8" t="s">
        <v>126</v>
      </c>
      <c r="C5784" s="8" t="str">
        <f>IFERROR(_xlfn.XLOOKUP(TRIM(B5784),Lookup!$B$2:$B$1000,Lookup!$C$2:$C$1000),"")</f>
        <v>Equity</v>
      </c>
      <c r="D5784" s="8" t="str">
        <f>IFERROR(INDEX('nav master'!$C:$C, MATCH(B5784, 'nav master'!$B:$B, 0)), "")</f>
        <v>ULIF05501/08/13DivrEqtyFd101</v>
      </c>
      <c r="E5784" s="8" t="s">
        <v>452</v>
      </c>
      <c r="F5784" s="8" t="s">
        <v>453</v>
      </c>
    </row>
    <row r="5785" spans="1:6" ht="60" x14ac:dyDescent="0.25">
      <c r="A5785" s="8" t="s">
        <v>125</v>
      </c>
      <c r="B5785" s="8" t="s">
        <v>126</v>
      </c>
      <c r="C5785" s="8" t="str">
        <f>IFERROR(_xlfn.XLOOKUP(TRIM(B5785),Lookup!$B$2:$B$1000,Lookup!$C$2:$C$1000),"")</f>
        <v>Equity</v>
      </c>
      <c r="D5785" s="8" t="str">
        <f>IFERROR(INDEX('nav master'!$C:$C, MATCH(B5785, 'nav master'!$B:$B, 0)), "")</f>
        <v>ULIF05501/08/13DivrEqtyFd101</v>
      </c>
      <c r="E5785" s="8" t="s">
        <v>454</v>
      </c>
      <c r="F5785" s="8" t="s">
        <v>455</v>
      </c>
    </row>
    <row r="5786" spans="1:6" ht="60" x14ac:dyDescent="0.25">
      <c r="A5786" s="8" t="s">
        <v>125</v>
      </c>
      <c r="B5786" s="8" t="s">
        <v>126</v>
      </c>
      <c r="C5786" s="8" t="str">
        <f>IFERROR(_xlfn.XLOOKUP(TRIM(B5786),Lookup!$B$2:$B$1000,Lookup!$C$2:$C$1000),"")</f>
        <v>Equity</v>
      </c>
      <c r="D5786" s="8" t="str">
        <f>IFERROR(INDEX('nav master'!$C:$C, MATCH(B5786, 'nav master'!$B:$B, 0)), "")</f>
        <v>ULIF05501/08/13DivrEqtyFd101</v>
      </c>
      <c r="E5786" s="8" t="s">
        <v>456</v>
      </c>
      <c r="F5786" s="8" t="s">
        <v>457</v>
      </c>
    </row>
    <row r="5787" spans="1:6" ht="60" x14ac:dyDescent="0.25">
      <c r="A5787" s="8" t="s">
        <v>125</v>
      </c>
      <c r="B5787" s="8" t="s">
        <v>126</v>
      </c>
      <c r="C5787" s="8" t="str">
        <f>IFERROR(_xlfn.XLOOKUP(TRIM(B5787),Lookup!$B$2:$B$1000,Lookup!$C$2:$C$1000),"")</f>
        <v>Equity</v>
      </c>
      <c r="D5787" s="8" t="str">
        <f>IFERROR(INDEX('nav master'!$C:$C, MATCH(B5787, 'nav master'!$B:$B, 0)), "")</f>
        <v>ULIF05501/08/13DivrEqtyFd101</v>
      </c>
      <c r="E5787" s="8" t="s">
        <v>458</v>
      </c>
      <c r="F5787" s="8" t="s">
        <v>459</v>
      </c>
    </row>
    <row r="5788" spans="1:6" ht="60" x14ac:dyDescent="0.25">
      <c r="A5788" s="8" t="s">
        <v>125</v>
      </c>
      <c r="B5788" s="8" t="s">
        <v>126</v>
      </c>
      <c r="C5788" s="8" t="str">
        <f>IFERROR(_xlfn.XLOOKUP(TRIM(B5788),Lookup!$B$2:$B$1000,Lookup!$C$2:$C$1000),"")</f>
        <v>Equity</v>
      </c>
      <c r="D5788" s="8" t="str">
        <f>IFERROR(INDEX('nav master'!$C:$C, MATCH(B5788, 'nav master'!$B:$B, 0)), "")</f>
        <v>ULIF05501/08/13DivrEqtyFd101</v>
      </c>
      <c r="E5788" s="8" t="s">
        <v>460</v>
      </c>
      <c r="F5788" s="8" t="s">
        <v>461</v>
      </c>
    </row>
    <row r="5789" spans="1:6" ht="60" x14ac:dyDescent="0.25">
      <c r="A5789" s="8" t="s">
        <v>125</v>
      </c>
      <c r="B5789" s="8" t="s">
        <v>126</v>
      </c>
      <c r="C5789" s="8" t="str">
        <f>IFERROR(_xlfn.XLOOKUP(TRIM(B5789),Lookup!$B$2:$B$1000,Lookup!$C$2:$C$1000),"")</f>
        <v>Equity</v>
      </c>
      <c r="D5789" s="8" t="str">
        <f>IFERROR(INDEX('nav master'!$C:$C, MATCH(B5789, 'nav master'!$B:$B, 0)), "")</f>
        <v>ULIF05501/08/13DivrEqtyFd101</v>
      </c>
      <c r="E5789" s="8" t="s">
        <v>462</v>
      </c>
      <c r="F5789" s="8" t="s">
        <v>463</v>
      </c>
    </row>
    <row r="5790" spans="1:6" ht="60" x14ac:dyDescent="0.25">
      <c r="A5790" s="8" t="s">
        <v>125</v>
      </c>
      <c r="B5790" s="8" t="s">
        <v>126</v>
      </c>
      <c r="C5790" s="8" t="str">
        <f>IFERROR(_xlfn.XLOOKUP(TRIM(B5790),Lookup!$B$2:$B$1000,Lookup!$C$2:$C$1000),"")</f>
        <v>Equity</v>
      </c>
      <c r="D5790" s="8" t="str">
        <f>IFERROR(INDEX('nav master'!$C:$C, MATCH(B5790, 'nav master'!$B:$B, 0)), "")</f>
        <v>ULIF05501/08/13DivrEqtyFd101</v>
      </c>
      <c r="E5790" s="8" t="s">
        <v>464</v>
      </c>
      <c r="F5790" s="8" t="s">
        <v>465</v>
      </c>
    </row>
    <row r="5791" spans="1:6" ht="60" x14ac:dyDescent="0.25">
      <c r="A5791" s="8" t="s">
        <v>125</v>
      </c>
      <c r="B5791" s="8" t="s">
        <v>126</v>
      </c>
      <c r="C5791" s="8" t="str">
        <f>IFERROR(_xlfn.XLOOKUP(TRIM(B5791),Lookup!$B$2:$B$1000,Lookup!$C$2:$C$1000),"")</f>
        <v>Equity</v>
      </c>
      <c r="D5791" s="8" t="str">
        <f>IFERROR(INDEX('nav master'!$C:$C, MATCH(B5791, 'nav master'!$B:$B, 0)), "")</f>
        <v>ULIF05501/08/13DivrEqtyFd101</v>
      </c>
      <c r="E5791" s="8" t="s">
        <v>466</v>
      </c>
      <c r="F5791" s="8" t="s">
        <v>467</v>
      </c>
    </row>
    <row r="5792" spans="1:6" ht="60" x14ac:dyDescent="0.25">
      <c r="A5792" s="8" t="s">
        <v>125</v>
      </c>
      <c r="B5792" s="8" t="s">
        <v>126</v>
      </c>
      <c r="C5792" s="8" t="str">
        <f>IFERROR(_xlfn.XLOOKUP(TRIM(B5792),Lookup!$B$2:$B$1000,Lookup!$C$2:$C$1000),"")</f>
        <v>Equity</v>
      </c>
      <c r="D5792" s="8" t="str">
        <f>IFERROR(INDEX('nav master'!$C:$C, MATCH(B5792, 'nav master'!$B:$B, 0)), "")</f>
        <v>ULIF05501/08/13DivrEqtyFd101</v>
      </c>
      <c r="E5792" s="8" t="s">
        <v>468</v>
      </c>
      <c r="F5792" s="8" t="s">
        <v>469</v>
      </c>
    </row>
    <row r="5793" spans="1:6" ht="60" x14ac:dyDescent="0.25">
      <c r="A5793" s="8" t="s">
        <v>125</v>
      </c>
      <c r="B5793" s="8" t="s">
        <v>126</v>
      </c>
      <c r="C5793" s="8" t="str">
        <f>IFERROR(_xlfn.XLOOKUP(TRIM(B5793),Lookup!$B$2:$B$1000,Lookup!$C$2:$C$1000),"")</f>
        <v>Equity</v>
      </c>
      <c r="D5793" s="8" t="str">
        <f>IFERROR(INDEX('nav master'!$C:$C, MATCH(B5793, 'nav master'!$B:$B, 0)), "")</f>
        <v>ULIF05501/08/13DivrEqtyFd101</v>
      </c>
      <c r="E5793" s="8" t="s">
        <v>470</v>
      </c>
      <c r="F5793" s="8" t="s">
        <v>471</v>
      </c>
    </row>
    <row r="5794" spans="1:6" ht="60" x14ac:dyDescent="0.25">
      <c r="A5794" s="8" t="s">
        <v>125</v>
      </c>
      <c r="B5794" s="8" t="s">
        <v>126</v>
      </c>
      <c r="C5794" s="8" t="str">
        <f>IFERROR(_xlfn.XLOOKUP(TRIM(B5794),Lookup!$B$2:$B$1000,Lookup!$C$2:$C$1000),"")</f>
        <v>Equity</v>
      </c>
      <c r="D5794" s="8" t="str">
        <f>IFERROR(INDEX('nav master'!$C:$C, MATCH(B5794, 'nav master'!$B:$B, 0)), "")</f>
        <v>ULIF05501/08/13DivrEqtyFd101</v>
      </c>
      <c r="E5794" s="8" t="s">
        <v>472</v>
      </c>
      <c r="F5794" s="8" t="s">
        <v>473</v>
      </c>
    </row>
    <row r="5795" spans="1:6" ht="60" x14ac:dyDescent="0.25">
      <c r="A5795" s="8" t="s">
        <v>125</v>
      </c>
      <c r="B5795" s="8" t="s">
        <v>126</v>
      </c>
      <c r="C5795" s="8" t="str">
        <f>IFERROR(_xlfn.XLOOKUP(TRIM(B5795),Lookup!$B$2:$B$1000,Lookup!$C$2:$C$1000),"")</f>
        <v>Equity</v>
      </c>
      <c r="D5795" s="8" t="str">
        <f>IFERROR(INDEX('nav master'!$C:$C, MATCH(B5795, 'nav master'!$B:$B, 0)), "")</f>
        <v>ULIF05501/08/13DivrEqtyFd101</v>
      </c>
      <c r="E5795" s="8" t="s">
        <v>474</v>
      </c>
      <c r="F5795" s="8" t="s">
        <v>475</v>
      </c>
    </row>
    <row r="5796" spans="1:6" ht="60" x14ac:dyDescent="0.25">
      <c r="A5796" s="8" t="s">
        <v>125</v>
      </c>
      <c r="B5796" s="8" t="s">
        <v>126</v>
      </c>
      <c r="C5796" s="8" t="str">
        <f>IFERROR(_xlfn.XLOOKUP(TRIM(B5796),Lookup!$B$2:$B$1000,Lookup!$C$2:$C$1000),"")</f>
        <v>Equity</v>
      </c>
      <c r="D5796" s="8" t="str">
        <f>IFERROR(INDEX('nav master'!$C:$C, MATCH(B5796, 'nav master'!$B:$B, 0)), "")</f>
        <v>ULIF05501/08/13DivrEqtyFd101</v>
      </c>
      <c r="E5796" s="8" t="s">
        <v>476</v>
      </c>
      <c r="F5796" s="8" t="s">
        <v>477</v>
      </c>
    </row>
    <row r="5797" spans="1:6" ht="60" x14ac:dyDescent="0.25">
      <c r="A5797" s="8" t="s">
        <v>125</v>
      </c>
      <c r="B5797" s="8" t="s">
        <v>126</v>
      </c>
      <c r="C5797" s="8" t="str">
        <f>IFERROR(_xlfn.XLOOKUP(TRIM(B5797),Lookup!$B$2:$B$1000,Lookup!$C$2:$C$1000),"")</f>
        <v>Equity</v>
      </c>
      <c r="D5797" s="8" t="str">
        <f>IFERROR(INDEX('nav master'!$C:$C, MATCH(B5797, 'nav master'!$B:$B, 0)), "")</f>
        <v>ULIF05501/08/13DivrEqtyFd101</v>
      </c>
      <c r="E5797" s="8" t="s">
        <v>478</v>
      </c>
      <c r="F5797" s="8" t="s">
        <v>479</v>
      </c>
    </row>
    <row r="5798" spans="1:6" ht="60" x14ac:dyDescent="0.25">
      <c r="A5798" s="8" t="s">
        <v>125</v>
      </c>
      <c r="B5798" s="8" t="s">
        <v>126</v>
      </c>
      <c r="C5798" s="8" t="str">
        <f>IFERROR(_xlfn.XLOOKUP(TRIM(B5798),Lookup!$B$2:$B$1000,Lookup!$C$2:$C$1000),"")</f>
        <v>Equity</v>
      </c>
      <c r="D5798" s="8" t="str">
        <f>IFERROR(INDEX('nav master'!$C:$C, MATCH(B5798, 'nav master'!$B:$B, 0)), "")</f>
        <v>ULIF05501/08/13DivrEqtyFd101</v>
      </c>
      <c r="E5798" s="8" t="s">
        <v>480</v>
      </c>
      <c r="F5798" s="8" t="s">
        <v>481</v>
      </c>
    </row>
    <row r="5799" spans="1:6" ht="60" x14ac:dyDescent="0.25">
      <c r="A5799" s="8" t="s">
        <v>125</v>
      </c>
      <c r="B5799" s="8" t="s">
        <v>126</v>
      </c>
      <c r="C5799" s="8" t="str">
        <f>IFERROR(_xlfn.XLOOKUP(TRIM(B5799),Lookup!$B$2:$B$1000,Lookup!$C$2:$C$1000),"")</f>
        <v>Equity</v>
      </c>
      <c r="D5799" s="8" t="str">
        <f>IFERROR(INDEX('nav master'!$C:$C, MATCH(B5799, 'nav master'!$B:$B, 0)), "")</f>
        <v>ULIF05501/08/13DivrEqtyFd101</v>
      </c>
      <c r="E5799" s="8" t="s">
        <v>482</v>
      </c>
      <c r="F5799" s="8" t="s">
        <v>483</v>
      </c>
    </row>
    <row r="5800" spans="1:6" ht="60" x14ac:dyDescent="0.25">
      <c r="A5800" s="8" t="s">
        <v>125</v>
      </c>
      <c r="B5800" s="8" t="s">
        <v>126</v>
      </c>
      <c r="C5800" s="8" t="str">
        <f>IFERROR(_xlfn.XLOOKUP(TRIM(B5800),Lookup!$B$2:$B$1000,Lookup!$C$2:$C$1000),"")</f>
        <v>Equity</v>
      </c>
      <c r="D5800" s="8" t="str">
        <f>IFERROR(INDEX('nav master'!$C:$C, MATCH(B5800, 'nav master'!$B:$B, 0)), "")</f>
        <v>ULIF05501/08/13DivrEqtyFd101</v>
      </c>
      <c r="E5800" s="8" t="s">
        <v>484</v>
      </c>
      <c r="F5800" s="8" t="s">
        <v>485</v>
      </c>
    </row>
    <row r="5801" spans="1:6" ht="60" x14ac:dyDescent="0.25">
      <c r="A5801" s="8" t="s">
        <v>125</v>
      </c>
      <c r="B5801" s="8" t="s">
        <v>126</v>
      </c>
      <c r="C5801" s="8" t="str">
        <f>IFERROR(_xlfn.XLOOKUP(TRIM(B5801),Lookup!$B$2:$B$1000,Lookup!$C$2:$C$1000),"")</f>
        <v>Equity</v>
      </c>
      <c r="D5801" s="8" t="str">
        <f>IFERROR(INDEX('nav master'!$C:$C, MATCH(B5801, 'nav master'!$B:$B, 0)), "")</f>
        <v>ULIF05501/08/13DivrEqtyFd101</v>
      </c>
      <c r="E5801" s="8" t="s">
        <v>486</v>
      </c>
      <c r="F5801" s="8" t="s">
        <v>487</v>
      </c>
    </row>
    <row r="5802" spans="1:6" ht="60" x14ac:dyDescent="0.25">
      <c r="A5802" s="8" t="s">
        <v>125</v>
      </c>
      <c r="B5802" s="8" t="s">
        <v>126</v>
      </c>
      <c r="C5802" s="8" t="str">
        <f>IFERROR(_xlfn.XLOOKUP(TRIM(B5802),Lookup!$B$2:$B$1000,Lookup!$C$2:$C$1000),"")</f>
        <v>Equity</v>
      </c>
      <c r="D5802" s="8" t="str">
        <f>IFERROR(INDEX('nav master'!$C:$C, MATCH(B5802, 'nav master'!$B:$B, 0)), "")</f>
        <v>ULIF05501/08/13DivrEqtyFd101</v>
      </c>
      <c r="E5802" s="8" t="s">
        <v>488</v>
      </c>
      <c r="F5802" s="8" t="s">
        <v>489</v>
      </c>
    </row>
    <row r="5803" spans="1:6" ht="60" x14ac:dyDescent="0.25">
      <c r="A5803" s="8" t="s">
        <v>125</v>
      </c>
      <c r="B5803" s="8" t="s">
        <v>126</v>
      </c>
      <c r="C5803" s="8" t="str">
        <f>IFERROR(_xlfn.XLOOKUP(TRIM(B5803),Lookup!$B$2:$B$1000,Lookup!$C$2:$C$1000),"")</f>
        <v>Equity</v>
      </c>
      <c r="D5803" s="8" t="str">
        <f>IFERROR(INDEX('nav master'!$C:$C, MATCH(B5803, 'nav master'!$B:$B, 0)), "")</f>
        <v>ULIF05501/08/13DivrEqtyFd101</v>
      </c>
      <c r="E5803" s="8" t="s">
        <v>490</v>
      </c>
      <c r="F5803" s="8" t="s">
        <v>491</v>
      </c>
    </row>
    <row r="5804" spans="1:6" ht="60" x14ac:dyDescent="0.25">
      <c r="A5804" s="8" t="s">
        <v>125</v>
      </c>
      <c r="B5804" s="8" t="s">
        <v>126</v>
      </c>
      <c r="C5804" s="8" t="str">
        <f>IFERROR(_xlfn.XLOOKUP(TRIM(B5804),Lookup!$B$2:$B$1000,Lookup!$C$2:$C$1000),"")</f>
        <v>Equity</v>
      </c>
      <c r="D5804" s="8" t="str">
        <f>IFERROR(INDEX('nav master'!$C:$C, MATCH(B5804, 'nav master'!$B:$B, 0)), "")</f>
        <v>ULIF05501/08/13DivrEqtyFd101</v>
      </c>
      <c r="E5804" s="8" t="s">
        <v>492</v>
      </c>
      <c r="F5804" s="8" t="s">
        <v>493</v>
      </c>
    </row>
    <row r="5805" spans="1:6" ht="60" x14ac:dyDescent="0.25">
      <c r="A5805" s="8" t="s">
        <v>125</v>
      </c>
      <c r="B5805" s="8" t="s">
        <v>126</v>
      </c>
      <c r="C5805" s="8" t="str">
        <f>IFERROR(_xlfn.XLOOKUP(TRIM(B5805),Lookup!$B$2:$B$1000,Lookup!$C$2:$C$1000),"")</f>
        <v>Equity</v>
      </c>
      <c r="D5805" s="8" t="str">
        <f>IFERROR(INDEX('nav master'!$C:$C, MATCH(B5805, 'nav master'!$B:$B, 0)), "")</f>
        <v>ULIF05501/08/13DivrEqtyFd101</v>
      </c>
      <c r="E5805" s="8" t="s">
        <v>494</v>
      </c>
      <c r="F5805" s="8" t="s">
        <v>495</v>
      </c>
    </row>
    <row r="5806" spans="1:6" ht="60" x14ac:dyDescent="0.25">
      <c r="A5806" s="8" t="s">
        <v>125</v>
      </c>
      <c r="B5806" s="8" t="s">
        <v>126</v>
      </c>
      <c r="C5806" s="8" t="str">
        <f>IFERROR(_xlfn.XLOOKUP(TRIM(B5806),Lookup!$B$2:$B$1000,Lookup!$C$2:$C$1000),"")</f>
        <v>Equity</v>
      </c>
      <c r="D5806" s="8" t="str">
        <f>IFERROR(INDEX('nav master'!$C:$C, MATCH(B5806, 'nav master'!$B:$B, 0)), "")</f>
        <v>ULIF05501/08/13DivrEqtyFd101</v>
      </c>
      <c r="E5806" s="8" t="s">
        <v>496</v>
      </c>
      <c r="F5806" s="8" t="s">
        <v>497</v>
      </c>
    </row>
    <row r="5807" spans="1:6" ht="60" x14ac:dyDescent="0.25">
      <c r="A5807" s="8" t="s">
        <v>125</v>
      </c>
      <c r="B5807" s="8" t="s">
        <v>126</v>
      </c>
      <c r="C5807" s="8" t="str">
        <f>IFERROR(_xlfn.XLOOKUP(TRIM(B5807),Lookup!$B$2:$B$1000,Lookup!$C$2:$C$1000),"")</f>
        <v>Equity</v>
      </c>
      <c r="D5807" s="8" t="str">
        <f>IFERROR(INDEX('nav master'!$C:$C, MATCH(B5807, 'nav master'!$B:$B, 0)), "")</f>
        <v>ULIF05501/08/13DivrEqtyFd101</v>
      </c>
      <c r="E5807" s="8" t="s">
        <v>498</v>
      </c>
      <c r="F5807" s="8" t="s">
        <v>499</v>
      </c>
    </row>
    <row r="5808" spans="1:6" ht="60" x14ac:dyDescent="0.25">
      <c r="A5808" s="8" t="s">
        <v>125</v>
      </c>
      <c r="B5808" s="8" t="s">
        <v>126</v>
      </c>
      <c r="C5808" s="8" t="str">
        <f>IFERROR(_xlfn.XLOOKUP(TRIM(B5808),Lookup!$B$2:$B$1000,Lookup!$C$2:$C$1000),"")</f>
        <v>Equity</v>
      </c>
      <c r="D5808" s="8" t="str">
        <f>IFERROR(INDEX('nav master'!$C:$C, MATCH(B5808, 'nav master'!$B:$B, 0)), "")</f>
        <v>ULIF05501/08/13DivrEqtyFd101</v>
      </c>
      <c r="E5808" s="8" t="s">
        <v>500</v>
      </c>
      <c r="F5808" s="8" t="s">
        <v>501</v>
      </c>
    </row>
    <row r="5809" spans="1:6" ht="60" x14ac:dyDescent="0.25">
      <c r="A5809" s="8" t="s">
        <v>125</v>
      </c>
      <c r="B5809" s="8" t="s">
        <v>126</v>
      </c>
      <c r="C5809" s="8" t="str">
        <f>IFERROR(_xlfn.XLOOKUP(TRIM(B5809),Lookup!$B$2:$B$1000,Lookup!$C$2:$C$1000),"")</f>
        <v>Equity</v>
      </c>
      <c r="D5809" s="8" t="str">
        <f>IFERROR(INDEX('nav master'!$C:$C, MATCH(B5809, 'nav master'!$B:$B, 0)), "")</f>
        <v>ULIF05501/08/13DivrEqtyFd101</v>
      </c>
      <c r="E5809" s="8" t="s">
        <v>502</v>
      </c>
      <c r="F5809" s="8" t="s">
        <v>503</v>
      </c>
    </row>
    <row r="5810" spans="1:6" ht="60" x14ac:dyDescent="0.25">
      <c r="A5810" s="8" t="s">
        <v>125</v>
      </c>
      <c r="B5810" s="8" t="s">
        <v>126</v>
      </c>
      <c r="C5810" s="8" t="str">
        <f>IFERROR(_xlfn.XLOOKUP(TRIM(B5810),Lookup!$B$2:$B$1000,Lookup!$C$2:$C$1000),"")</f>
        <v>Equity</v>
      </c>
      <c r="D5810" s="8" t="str">
        <f>IFERROR(INDEX('nav master'!$C:$C, MATCH(B5810, 'nav master'!$B:$B, 0)), "")</f>
        <v>ULIF05501/08/13DivrEqtyFd101</v>
      </c>
      <c r="E5810" s="8" t="s">
        <v>504</v>
      </c>
      <c r="F5810" s="8" t="s">
        <v>505</v>
      </c>
    </row>
    <row r="5811" spans="1:6" ht="60" x14ac:dyDescent="0.25">
      <c r="A5811" s="8" t="s">
        <v>125</v>
      </c>
      <c r="B5811" s="8" t="s">
        <v>126</v>
      </c>
      <c r="C5811" s="8" t="str">
        <f>IFERROR(_xlfn.XLOOKUP(TRIM(B5811),Lookup!$B$2:$B$1000,Lookup!$C$2:$C$1000),"")</f>
        <v>Equity</v>
      </c>
      <c r="D5811" s="8" t="str">
        <f>IFERROR(INDEX('nav master'!$C:$C, MATCH(B5811, 'nav master'!$B:$B, 0)), "")</f>
        <v>ULIF05501/08/13DivrEqtyFd101</v>
      </c>
      <c r="E5811" s="8" t="s">
        <v>506</v>
      </c>
      <c r="F5811" s="8" t="s">
        <v>507</v>
      </c>
    </row>
    <row r="5812" spans="1:6" ht="60" x14ac:dyDescent="0.25">
      <c r="A5812" s="8" t="s">
        <v>125</v>
      </c>
      <c r="B5812" s="8" t="s">
        <v>126</v>
      </c>
      <c r="C5812" s="8" t="str">
        <f>IFERROR(_xlfn.XLOOKUP(TRIM(B5812),Lookup!$B$2:$B$1000,Lookup!$C$2:$C$1000),"")</f>
        <v>Equity</v>
      </c>
      <c r="D5812" s="8" t="str">
        <f>IFERROR(INDEX('nav master'!$C:$C, MATCH(B5812, 'nav master'!$B:$B, 0)), "")</f>
        <v>ULIF05501/08/13DivrEqtyFd101</v>
      </c>
      <c r="E5812" s="8" t="s">
        <v>508</v>
      </c>
      <c r="F5812" s="8" t="s">
        <v>509</v>
      </c>
    </row>
    <row r="5813" spans="1:6" ht="60" x14ac:dyDescent="0.25">
      <c r="A5813" s="8" t="s">
        <v>125</v>
      </c>
      <c r="B5813" s="8" t="s">
        <v>126</v>
      </c>
      <c r="C5813" s="8" t="str">
        <f>IFERROR(_xlfn.XLOOKUP(TRIM(B5813),Lookup!$B$2:$B$1000,Lookup!$C$2:$C$1000),"")</f>
        <v>Equity</v>
      </c>
      <c r="D5813" s="8" t="str">
        <f>IFERROR(INDEX('nav master'!$C:$C, MATCH(B5813, 'nav master'!$B:$B, 0)), "")</f>
        <v>ULIF05501/08/13DivrEqtyFd101</v>
      </c>
      <c r="E5813" s="8" t="s">
        <v>510</v>
      </c>
      <c r="F5813" s="8" t="s">
        <v>511</v>
      </c>
    </row>
    <row r="5814" spans="1:6" ht="60" x14ac:dyDescent="0.25">
      <c r="A5814" s="8" t="s">
        <v>125</v>
      </c>
      <c r="B5814" s="8" t="s">
        <v>126</v>
      </c>
      <c r="C5814" s="8" t="str">
        <f>IFERROR(_xlfn.XLOOKUP(TRIM(B5814),Lookup!$B$2:$B$1000,Lookup!$C$2:$C$1000),"")</f>
        <v>Equity</v>
      </c>
      <c r="D5814" s="8" t="str">
        <f>IFERROR(INDEX('nav master'!$C:$C, MATCH(B5814, 'nav master'!$B:$B, 0)), "")</f>
        <v>ULIF05501/08/13DivrEqtyFd101</v>
      </c>
      <c r="E5814" s="8" t="s">
        <v>512</v>
      </c>
      <c r="F5814" s="8" t="s">
        <v>513</v>
      </c>
    </row>
    <row r="5815" spans="1:6" ht="60" x14ac:dyDescent="0.25">
      <c r="A5815" s="8" t="s">
        <v>125</v>
      </c>
      <c r="B5815" s="8" t="s">
        <v>126</v>
      </c>
      <c r="C5815" s="8" t="str">
        <f>IFERROR(_xlfn.XLOOKUP(TRIM(B5815),Lookup!$B$2:$B$1000,Lookup!$C$2:$C$1000),"")</f>
        <v>Equity</v>
      </c>
      <c r="D5815" s="8" t="str">
        <f>IFERROR(INDEX('nav master'!$C:$C, MATCH(B5815, 'nav master'!$B:$B, 0)), "")</f>
        <v>ULIF05501/08/13DivrEqtyFd101</v>
      </c>
      <c r="E5815" s="8" t="s">
        <v>514</v>
      </c>
      <c r="F5815" s="8" t="s">
        <v>515</v>
      </c>
    </row>
    <row r="5816" spans="1:6" ht="60" x14ac:dyDescent="0.25">
      <c r="A5816" s="8" t="s">
        <v>125</v>
      </c>
      <c r="B5816" s="8" t="s">
        <v>126</v>
      </c>
      <c r="C5816" s="8" t="str">
        <f>IFERROR(_xlfn.XLOOKUP(TRIM(B5816),Lookup!$B$2:$B$1000,Lookup!$C$2:$C$1000),"")</f>
        <v>Equity</v>
      </c>
      <c r="D5816" s="8" t="str">
        <f>IFERROR(INDEX('nav master'!$C:$C, MATCH(B5816, 'nav master'!$B:$B, 0)), "")</f>
        <v>ULIF05501/08/13DivrEqtyFd101</v>
      </c>
      <c r="E5816" s="8" t="s">
        <v>516</v>
      </c>
      <c r="F5816" s="8" t="s">
        <v>517</v>
      </c>
    </row>
    <row r="5817" spans="1:6" ht="60" x14ac:dyDescent="0.25">
      <c r="A5817" s="8" t="s">
        <v>125</v>
      </c>
      <c r="B5817" s="8" t="s">
        <v>126</v>
      </c>
      <c r="C5817" s="8" t="str">
        <f>IFERROR(_xlfn.XLOOKUP(TRIM(B5817),Lookup!$B$2:$B$1000,Lookup!$C$2:$C$1000),"")</f>
        <v>Equity</v>
      </c>
      <c r="D5817" s="8" t="str">
        <f>IFERROR(INDEX('nav master'!$C:$C, MATCH(B5817, 'nav master'!$B:$B, 0)), "")</f>
        <v>ULIF05501/08/13DivrEqtyFd101</v>
      </c>
      <c r="E5817" s="8" t="s">
        <v>518</v>
      </c>
      <c r="F5817" s="8" t="s">
        <v>519</v>
      </c>
    </row>
    <row r="5818" spans="1:6" ht="60" x14ac:dyDescent="0.25">
      <c r="A5818" s="8" t="s">
        <v>125</v>
      </c>
      <c r="B5818" s="8" t="s">
        <v>126</v>
      </c>
      <c r="C5818" s="8" t="str">
        <f>IFERROR(_xlfn.XLOOKUP(TRIM(B5818),Lookup!$B$2:$B$1000,Lookup!$C$2:$C$1000),"")</f>
        <v>Equity</v>
      </c>
      <c r="D5818" s="8" t="str">
        <f>IFERROR(INDEX('nav master'!$C:$C, MATCH(B5818, 'nav master'!$B:$B, 0)), "")</f>
        <v>ULIF05501/08/13DivrEqtyFd101</v>
      </c>
      <c r="E5818" s="8" t="s">
        <v>520</v>
      </c>
      <c r="F5818" s="8" t="s">
        <v>521</v>
      </c>
    </row>
    <row r="5819" spans="1:6" ht="60" x14ac:dyDescent="0.25">
      <c r="A5819" s="8" t="s">
        <v>125</v>
      </c>
      <c r="B5819" s="8" t="s">
        <v>126</v>
      </c>
      <c r="C5819" s="8" t="str">
        <f>IFERROR(_xlfn.XLOOKUP(TRIM(B5819),Lookup!$B$2:$B$1000,Lookup!$C$2:$C$1000),"")</f>
        <v>Equity</v>
      </c>
      <c r="D5819" s="8" t="str">
        <f>IFERROR(INDEX('nav master'!$C:$C, MATCH(B5819, 'nav master'!$B:$B, 0)), "")</f>
        <v>ULIF05501/08/13DivrEqtyFd101</v>
      </c>
      <c r="E5819" s="8" t="s">
        <v>522</v>
      </c>
      <c r="F5819" s="8" t="s">
        <v>523</v>
      </c>
    </row>
    <row r="5820" spans="1:6" ht="60" x14ac:dyDescent="0.25">
      <c r="A5820" s="8" t="s">
        <v>125</v>
      </c>
      <c r="B5820" s="8" t="s">
        <v>126</v>
      </c>
      <c r="C5820" s="8" t="str">
        <f>IFERROR(_xlfn.XLOOKUP(TRIM(B5820),Lookup!$B$2:$B$1000,Lookup!$C$2:$C$1000),"")</f>
        <v>Equity</v>
      </c>
      <c r="D5820" s="8" t="str">
        <f>IFERROR(INDEX('nav master'!$C:$C, MATCH(B5820, 'nav master'!$B:$B, 0)), "")</f>
        <v>ULIF05501/08/13DivrEqtyFd101</v>
      </c>
      <c r="E5820" s="8" t="s">
        <v>524</v>
      </c>
      <c r="F5820" s="8" t="s">
        <v>525</v>
      </c>
    </row>
    <row r="5821" spans="1:6" ht="60" x14ac:dyDescent="0.25">
      <c r="A5821" s="8" t="s">
        <v>125</v>
      </c>
      <c r="B5821" s="8" t="s">
        <v>126</v>
      </c>
      <c r="C5821" s="8" t="str">
        <f>IFERROR(_xlfn.XLOOKUP(TRIM(B5821),Lookup!$B$2:$B$1000,Lookup!$C$2:$C$1000),"")</f>
        <v>Equity</v>
      </c>
      <c r="D5821" s="8" t="str">
        <f>IFERROR(INDEX('nav master'!$C:$C, MATCH(B5821, 'nav master'!$B:$B, 0)), "")</f>
        <v>ULIF05501/08/13DivrEqtyFd101</v>
      </c>
      <c r="E5821" s="8" t="s">
        <v>526</v>
      </c>
      <c r="F5821" s="8" t="s">
        <v>527</v>
      </c>
    </row>
    <row r="5822" spans="1:6" ht="60" x14ac:dyDescent="0.25">
      <c r="A5822" s="8" t="s">
        <v>125</v>
      </c>
      <c r="B5822" s="8" t="s">
        <v>126</v>
      </c>
      <c r="C5822" s="8" t="str">
        <f>IFERROR(_xlfn.XLOOKUP(TRIM(B5822),Lookup!$B$2:$B$1000,Lookup!$C$2:$C$1000),"")</f>
        <v>Equity</v>
      </c>
      <c r="D5822" s="8" t="str">
        <f>IFERROR(INDEX('nav master'!$C:$C, MATCH(B5822, 'nav master'!$B:$B, 0)), "")</f>
        <v>ULIF05501/08/13DivrEqtyFd101</v>
      </c>
      <c r="E5822" s="8" t="s">
        <v>528</v>
      </c>
      <c r="F5822" s="8" t="s">
        <v>529</v>
      </c>
    </row>
    <row r="5823" spans="1:6" ht="60" x14ac:dyDescent="0.25">
      <c r="A5823" s="8" t="s">
        <v>125</v>
      </c>
      <c r="B5823" s="8" t="s">
        <v>126</v>
      </c>
      <c r="C5823" s="8" t="str">
        <f>IFERROR(_xlfn.XLOOKUP(TRIM(B5823),Lookup!$B$2:$B$1000,Lookup!$C$2:$C$1000),"")</f>
        <v>Equity</v>
      </c>
      <c r="D5823" s="8" t="str">
        <f>IFERROR(INDEX('nav master'!$C:$C, MATCH(B5823, 'nav master'!$B:$B, 0)), "")</f>
        <v>ULIF05501/08/13DivrEqtyFd101</v>
      </c>
      <c r="E5823" s="8" t="s">
        <v>530</v>
      </c>
      <c r="F5823" s="8" t="s">
        <v>531</v>
      </c>
    </row>
    <row r="5824" spans="1:6" ht="60" x14ac:dyDescent="0.25">
      <c r="A5824" s="8" t="s">
        <v>125</v>
      </c>
      <c r="B5824" s="8" t="s">
        <v>126</v>
      </c>
      <c r="C5824" s="8" t="str">
        <f>IFERROR(_xlfn.XLOOKUP(TRIM(B5824),Lookup!$B$2:$B$1000,Lookup!$C$2:$C$1000),"")</f>
        <v>Equity</v>
      </c>
      <c r="D5824" s="8" t="str">
        <f>IFERROR(INDEX('nav master'!$C:$C, MATCH(B5824, 'nav master'!$B:$B, 0)), "")</f>
        <v>ULIF05501/08/13DivrEqtyFd101</v>
      </c>
      <c r="E5824" s="8" t="s">
        <v>532</v>
      </c>
      <c r="F5824" s="8" t="s">
        <v>533</v>
      </c>
    </row>
    <row r="5825" spans="1:6" ht="60" x14ac:dyDescent="0.25">
      <c r="A5825" s="8" t="s">
        <v>125</v>
      </c>
      <c r="B5825" s="8" t="s">
        <v>126</v>
      </c>
      <c r="C5825" s="8" t="str">
        <f>IFERROR(_xlfn.XLOOKUP(TRIM(B5825),Lookup!$B$2:$B$1000,Lookup!$C$2:$C$1000),"")</f>
        <v>Equity</v>
      </c>
      <c r="D5825" s="8" t="str">
        <f>IFERROR(INDEX('nav master'!$C:$C, MATCH(B5825, 'nav master'!$B:$B, 0)), "")</f>
        <v>ULIF05501/08/13DivrEqtyFd101</v>
      </c>
      <c r="E5825" s="8" t="s">
        <v>534</v>
      </c>
      <c r="F5825" s="8" t="s">
        <v>535</v>
      </c>
    </row>
    <row r="5826" spans="1:6" ht="60" x14ac:dyDescent="0.25">
      <c r="A5826" s="8" t="s">
        <v>125</v>
      </c>
      <c r="B5826" s="8" t="s">
        <v>126</v>
      </c>
      <c r="C5826" s="8" t="str">
        <f>IFERROR(_xlfn.XLOOKUP(TRIM(B5826),Lookup!$B$2:$B$1000,Lookup!$C$2:$C$1000),"")</f>
        <v>Equity</v>
      </c>
      <c r="D5826" s="8" t="str">
        <f>IFERROR(INDEX('nav master'!$C:$C, MATCH(B5826, 'nav master'!$B:$B, 0)), "")</f>
        <v>ULIF05501/08/13DivrEqtyFd101</v>
      </c>
      <c r="E5826" s="8" t="s">
        <v>536</v>
      </c>
      <c r="F5826" s="8" t="s">
        <v>537</v>
      </c>
    </row>
    <row r="5827" spans="1:6" ht="60" x14ac:dyDescent="0.25">
      <c r="A5827" s="8" t="s">
        <v>125</v>
      </c>
      <c r="B5827" s="8" t="s">
        <v>126</v>
      </c>
      <c r="C5827" s="8" t="str">
        <f>IFERROR(_xlfn.XLOOKUP(TRIM(B5827),Lookup!$B$2:$B$1000,Lookup!$C$2:$C$1000),"")</f>
        <v>Equity</v>
      </c>
      <c r="D5827" s="8" t="str">
        <f>IFERROR(INDEX('nav master'!$C:$C, MATCH(B5827, 'nav master'!$B:$B, 0)), "")</f>
        <v>ULIF05501/08/13DivrEqtyFd101</v>
      </c>
      <c r="E5827" s="8" t="s">
        <v>538</v>
      </c>
      <c r="F5827" s="8" t="s">
        <v>539</v>
      </c>
    </row>
    <row r="5828" spans="1:6" ht="60" x14ac:dyDescent="0.25">
      <c r="A5828" s="8" t="s">
        <v>125</v>
      </c>
      <c r="B5828" s="8" t="s">
        <v>126</v>
      </c>
      <c r="C5828" s="8" t="str">
        <f>IFERROR(_xlfn.XLOOKUP(TRIM(B5828),Lookup!$B$2:$B$1000,Lookup!$C$2:$C$1000),"")</f>
        <v>Equity</v>
      </c>
      <c r="D5828" s="8" t="str">
        <f>IFERROR(INDEX('nav master'!$C:$C, MATCH(B5828, 'nav master'!$B:$B, 0)), "")</f>
        <v>ULIF05501/08/13DivrEqtyFd101</v>
      </c>
      <c r="E5828" s="8" t="s">
        <v>540</v>
      </c>
      <c r="F5828" s="8" t="s">
        <v>541</v>
      </c>
    </row>
    <row r="5829" spans="1:6" ht="60" x14ac:dyDescent="0.25">
      <c r="A5829" s="8" t="s">
        <v>125</v>
      </c>
      <c r="B5829" s="8" t="s">
        <v>126</v>
      </c>
      <c r="C5829" s="8" t="str">
        <f>IFERROR(_xlfn.XLOOKUP(TRIM(B5829),Lookup!$B$2:$B$1000,Lookup!$C$2:$C$1000),"")</f>
        <v>Equity</v>
      </c>
      <c r="D5829" s="8" t="str">
        <f>IFERROR(INDEX('nav master'!$C:$C, MATCH(B5829, 'nav master'!$B:$B, 0)), "")</f>
        <v>ULIF05501/08/13DivrEqtyFd101</v>
      </c>
      <c r="E5829" s="8" t="s">
        <v>542</v>
      </c>
      <c r="F5829" s="8" t="s">
        <v>543</v>
      </c>
    </row>
    <row r="5830" spans="1:6" ht="60" x14ac:dyDescent="0.25">
      <c r="A5830" s="8" t="s">
        <v>125</v>
      </c>
      <c r="B5830" s="8" t="s">
        <v>126</v>
      </c>
      <c r="C5830" s="8" t="str">
        <f>IFERROR(_xlfn.XLOOKUP(TRIM(B5830),Lookup!$B$2:$B$1000,Lookup!$C$2:$C$1000),"")</f>
        <v>Equity</v>
      </c>
      <c r="D5830" s="8" t="str">
        <f>IFERROR(INDEX('nav master'!$C:$C, MATCH(B5830, 'nav master'!$B:$B, 0)), "")</f>
        <v>ULIF05501/08/13DivrEqtyFd101</v>
      </c>
      <c r="E5830" s="8" t="s">
        <v>544</v>
      </c>
      <c r="F5830" s="8" t="s">
        <v>545</v>
      </c>
    </row>
    <row r="5831" spans="1:6" ht="60" x14ac:dyDescent="0.25">
      <c r="A5831" s="8" t="s">
        <v>125</v>
      </c>
      <c r="B5831" s="8" t="s">
        <v>126</v>
      </c>
      <c r="C5831" s="8" t="str">
        <f>IFERROR(_xlfn.XLOOKUP(TRIM(B5831),Lookup!$B$2:$B$1000,Lookup!$C$2:$C$1000),"")</f>
        <v>Equity</v>
      </c>
      <c r="D5831" s="8" t="str">
        <f>IFERROR(INDEX('nav master'!$C:$C, MATCH(B5831, 'nav master'!$B:$B, 0)), "")</f>
        <v>ULIF05501/08/13DivrEqtyFd101</v>
      </c>
      <c r="E5831" s="8" t="s">
        <v>546</v>
      </c>
      <c r="F5831" s="8" t="s">
        <v>547</v>
      </c>
    </row>
    <row r="5832" spans="1:6" ht="60" x14ac:dyDescent="0.25">
      <c r="A5832" s="8" t="s">
        <v>125</v>
      </c>
      <c r="B5832" s="8" t="s">
        <v>126</v>
      </c>
      <c r="C5832" s="8" t="str">
        <f>IFERROR(_xlfn.XLOOKUP(TRIM(B5832),Lookup!$B$2:$B$1000,Lookup!$C$2:$C$1000),"")</f>
        <v>Equity</v>
      </c>
      <c r="D5832" s="8" t="str">
        <f>IFERROR(INDEX('nav master'!$C:$C, MATCH(B5832, 'nav master'!$B:$B, 0)), "")</f>
        <v>ULIF05501/08/13DivrEqtyFd101</v>
      </c>
      <c r="E5832" s="8" t="s">
        <v>548</v>
      </c>
      <c r="F5832" s="8" t="s">
        <v>549</v>
      </c>
    </row>
    <row r="5833" spans="1:6" ht="60" x14ac:dyDescent="0.25">
      <c r="A5833" s="8" t="s">
        <v>125</v>
      </c>
      <c r="B5833" s="8" t="s">
        <v>126</v>
      </c>
      <c r="C5833" s="8" t="str">
        <f>IFERROR(_xlfn.XLOOKUP(TRIM(B5833),Lookup!$B$2:$B$1000,Lookup!$C$2:$C$1000),"")</f>
        <v>Equity</v>
      </c>
      <c r="D5833" s="8" t="str">
        <f>IFERROR(INDEX('nav master'!$C:$C, MATCH(B5833, 'nav master'!$B:$B, 0)), "")</f>
        <v>ULIF05501/08/13DivrEqtyFd101</v>
      </c>
      <c r="E5833" s="8" t="s">
        <v>550</v>
      </c>
      <c r="F5833" s="8" t="s">
        <v>551</v>
      </c>
    </row>
    <row r="5834" spans="1:6" ht="60" x14ac:dyDescent="0.25">
      <c r="A5834" s="8" t="s">
        <v>125</v>
      </c>
      <c r="B5834" s="8" t="s">
        <v>126</v>
      </c>
      <c r="C5834" s="8" t="str">
        <f>IFERROR(_xlfn.XLOOKUP(TRIM(B5834),Lookup!$B$2:$B$1000,Lookup!$C$2:$C$1000),"")</f>
        <v>Equity</v>
      </c>
      <c r="D5834" s="8" t="str">
        <f>IFERROR(INDEX('nav master'!$C:$C, MATCH(B5834, 'nav master'!$B:$B, 0)), "")</f>
        <v>ULIF05501/08/13DivrEqtyFd101</v>
      </c>
      <c r="E5834" s="8" t="s">
        <v>552</v>
      </c>
      <c r="F5834" s="8" t="s">
        <v>553</v>
      </c>
    </row>
    <row r="5835" spans="1:6" ht="60" x14ac:dyDescent="0.25">
      <c r="A5835" s="8" t="s">
        <v>125</v>
      </c>
      <c r="B5835" s="8" t="s">
        <v>126</v>
      </c>
      <c r="C5835" s="8" t="str">
        <f>IFERROR(_xlfn.XLOOKUP(TRIM(B5835),Lookup!$B$2:$B$1000,Lookup!$C$2:$C$1000),"")</f>
        <v>Equity</v>
      </c>
      <c r="D5835" s="8" t="str">
        <f>IFERROR(INDEX('nav master'!$C:$C, MATCH(B5835, 'nav master'!$B:$B, 0)), "")</f>
        <v>ULIF05501/08/13DivrEqtyFd101</v>
      </c>
      <c r="E5835" s="8" t="s">
        <v>554</v>
      </c>
      <c r="F5835" s="8" t="s">
        <v>555</v>
      </c>
    </row>
    <row r="5836" spans="1:6" ht="60" x14ac:dyDescent="0.25">
      <c r="A5836" s="8" t="s">
        <v>125</v>
      </c>
      <c r="B5836" s="8" t="s">
        <v>126</v>
      </c>
      <c r="C5836" s="8" t="str">
        <f>IFERROR(_xlfn.XLOOKUP(TRIM(B5836),Lookup!$B$2:$B$1000,Lookup!$C$2:$C$1000),"")</f>
        <v>Equity</v>
      </c>
      <c r="D5836" s="8" t="str">
        <f>IFERROR(INDEX('nav master'!$C:$C, MATCH(B5836, 'nav master'!$B:$B, 0)), "")</f>
        <v>ULIF05501/08/13DivrEqtyFd101</v>
      </c>
      <c r="E5836" s="8" t="s">
        <v>556</v>
      </c>
      <c r="F5836" s="8" t="s">
        <v>557</v>
      </c>
    </row>
    <row r="5837" spans="1:6" ht="60" x14ac:dyDescent="0.25">
      <c r="A5837" s="8" t="s">
        <v>125</v>
      </c>
      <c r="B5837" s="8" t="s">
        <v>126</v>
      </c>
      <c r="C5837" s="8" t="str">
        <f>IFERROR(_xlfn.XLOOKUP(TRIM(B5837),Lookup!$B$2:$B$1000,Lookup!$C$2:$C$1000),"")</f>
        <v>Equity</v>
      </c>
      <c r="D5837" s="8" t="str">
        <f>IFERROR(INDEX('nav master'!$C:$C, MATCH(B5837, 'nav master'!$B:$B, 0)), "")</f>
        <v>ULIF05501/08/13DivrEqtyFd101</v>
      </c>
      <c r="E5837" s="8" t="s">
        <v>558</v>
      </c>
      <c r="F5837" s="8" t="s">
        <v>559</v>
      </c>
    </row>
    <row r="5838" spans="1:6" ht="60" x14ac:dyDescent="0.25">
      <c r="A5838" s="8" t="s">
        <v>125</v>
      </c>
      <c r="B5838" s="8" t="s">
        <v>126</v>
      </c>
      <c r="C5838" s="8" t="str">
        <f>IFERROR(_xlfn.XLOOKUP(TRIM(B5838),Lookup!$B$2:$B$1000,Lookup!$C$2:$C$1000),"")</f>
        <v>Equity</v>
      </c>
      <c r="D5838" s="8" t="str">
        <f>IFERROR(INDEX('nav master'!$C:$C, MATCH(B5838, 'nav master'!$B:$B, 0)), "")</f>
        <v>ULIF05501/08/13DivrEqtyFd101</v>
      </c>
      <c r="E5838" s="8" t="s">
        <v>560</v>
      </c>
      <c r="F5838" s="8" t="s">
        <v>561</v>
      </c>
    </row>
    <row r="5839" spans="1:6" ht="60" x14ac:dyDescent="0.25">
      <c r="A5839" s="8" t="s">
        <v>125</v>
      </c>
      <c r="B5839" s="8" t="s">
        <v>126</v>
      </c>
      <c r="C5839" s="8" t="str">
        <f>IFERROR(_xlfn.XLOOKUP(TRIM(B5839),Lookup!$B$2:$B$1000,Lookup!$C$2:$C$1000),"")</f>
        <v>Equity</v>
      </c>
      <c r="D5839" s="8" t="str">
        <f>IFERROR(INDEX('nav master'!$C:$C, MATCH(B5839, 'nav master'!$B:$B, 0)), "")</f>
        <v>ULIF05501/08/13DivrEqtyFd101</v>
      </c>
      <c r="E5839" s="8" t="s">
        <v>562</v>
      </c>
      <c r="F5839" s="8" t="s">
        <v>563</v>
      </c>
    </row>
    <row r="5840" spans="1:6" ht="60" x14ac:dyDescent="0.25">
      <c r="A5840" s="8" t="s">
        <v>125</v>
      </c>
      <c r="B5840" s="8" t="s">
        <v>126</v>
      </c>
      <c r="C5840" s="8" t="str">
        <f>IFERROR(_xlfn.XLOOKUP(TRIM(B5840),Lookup!$B$2:$B$1000,Lookup!$C$2:$C$1000),"")</f>
        <v>Equity</v>
      </c>
      <c r="D5840" s="8" t="str">
        <f>IFERROR(INDEX('nav master'!$C:$C, MATCH(B5840, 'nav master'!$B:$B, 0)), "")</f>
        <v>ULIF05501/08/13DivrEqtyFd101</v>
      </c>
      <c r="E5840" s="8" t="s">
        <v>564</v>
      </c>
      <c r="F5840" s="8" t="s">
        <v>565</v>
      </c>
    </row>
    <row r="5841" spans="1:6" ht="60" x14ac:dyDescent="0.25">
      <c r="A5841" s="8" t="s">
        <v>125</v>
      </c>
      <c r="B5841" s="8" t="s">
        <v>126</v>
      </c>
      <c r="C5841" s="8" t="str">
        <f>IFERROR(_xlfn.XLOOKUP(TRIM(B5841),Lookup!$B$2:$B$1000,Lookup!$C$2:$C$1000),"")</f>
        <v>Equity</v>
      </c>
      <c r="D5841" s="8" t="str">
        <f>IFERROR(INDEX('nav master'!$C:$C, MATCH(B5841, 'nav master'!$B:$B, 0)), "")</f>
        <v>ULIF05501/08/13DivrEqtyFd101</v>
      </c>
      <c r="E5841" s="8" t="s">
        <v>566</v>
      </c>
      <c r="F5841" s="8" t="s">
        <v>567</v>
      </c>
    </row>
    <row r="5842" spans="1:6" ht="60" x14ac:dyDescent="0.25">
      <c r="A5842" s="8" t="s">
        <v>125</v>
      </c>
      <c r="B5842" s="8" t="s">
        <v>126</v>
      </c>
      <c r="C5842" s="8" t="str">
        <f>IFERROR(_xlfn.XLOOKUP(TRIM(B5842),Lookup!$B$2:$B$1000,Lookup!$C$2:$C$1000),"")</f>
        <v>Equity</v>
      </c>
      <c r="D5842" s="8" t="str">
        <f>IFERROR(INDEX('nav master'!$C:$C, MATCH(B5842, 'nav master'!$B:$B, 0)), "")</f>
        <v>ULIF05501/08/13DivrEqtyFd101</v>
      </c>
      <c r="E5842" s="8" t="s">
        <v>568</v>
      </c>
      <c r="F5842" s="8" t="s">
        <v>569</v>
      </c>
    </row>
    <row r="5843" spans="1:6" ht="60" x14ac:dyDescent="0.25">
      <c r="A5843" s="8" t="s">
        <v>125</v>
      </c>
      <c r="B5843" s="8" t="s">
        <v>126</v>
      </c>
      <c r="C5843" s="8" t="str">
        <f>IFERROR(_xlfn.XLOOKUP(TRIM(B5843),Lookup!$B$2:$B$1000,Lookup!$C$2:$C$1000),"")</f>
        <v>Equity</v>
      </c>
      <c r="D5843" s="8" t="str">
        <f>IFERROR(INDEX('nav master'!$C:$C, MATCH(B5843, 'nav master'!$B:$B, 0)), "")</f>
        <v>ULIF05501/08/13DivrEqtyFd101</v>
      </c>
      <c r="E5843" s="8" t="s">
        <v>570</v>
      </c>
      <c r="F5843" s="8" t="s">
        <v>571</v>
      </c>
    </row>
    <row r="5844" spans="1:6" ht="60" x14ac:dyDescent="0.25">
      <c r="A5844" s="8" t="s">
        <v>125</v>
      </c>
      <c r="B5844" s="8" t="s">
        <v>126</v>
      </c>
      <c r="C5844" s="8" t="str">
        <f>IFERROR(_xlfn.XLOOKUP(TRIM(B5844),Lookup!$B$2:$B$1000,Lookup!$C$2:$C$1000),"")</f>
        <v>Equity</v>
      </c>
      <c r="D5844" s="8" t="str">
        <f>IFERROR(INDEX('nav master'!$C:$C, MATCH(B5844, 'nav master'!$B:$B, 0)), "")</f>
        <v>ULIF05501/08/13DivrEqtyFd101</v>
      </c>
      <c r="E5844" s="8" t="s">
        <v>572</v>
      </c>
      <c r="F5844" s="8" t="s">
        <v>573</v>
      </c>
    </row>
    <row r="5845" spans="1:6" ht="60" x14ac:dyDescent="0.25">
      <c r="A5845" s="8" t="s">
        <v>125</v>
      </c>
      <c r="B5845" s="8" t="s">
        <v>126</v>
      </c>
      <c r="C5845" s="8" t="str">
        <f>IFERROR(_xlfn.XLOOKUP(TRIM(B5845),Lookup!$B$2:$B$1000,Lookup!$C$2:$C$1000),"")</f>
        <v>Equity</v>
      </c>
      <c r="D5845" s="8" t="str">
        <f>IFERROR(INDEX('nav master'!$C:$C, MATCH(B5845, 'nav master'!$B:$B, 0)), "")</f>
        <v>ULIF05501/08/13DivrEqtyFd101</v>
      </c>
      <c r="E5845" s="8" t="s">
        <v>574</v>
      </c>
      <c r="F5845" s="8" t="s">
        <v>575</v>
      </c>
    </row>
    <row r="5846" spans="1:6" ht="60" x14ac:dyDescent="0.25">
      <c r="A5846" s="8" t="s">
        <v>125</v>
      </c>
      <c r="B5846" s="8" t="s">
        <v>126</v>
      </c>
      <c r="C5846" s="8" t="str">
        <f>IFERROR(_xlfn.XLOOKUP(TRIM(B5846),Lookup!$B$2:$B$1000,Lookup!$C$2:$C$1000),"")</f>
        <v>Equity</v>
      </c>
      <c r="D5846" s="8" t="str">
        <f>IFERROR(INDEX('nav master'!$C:$C, MATCH(B5846, 'nav master'!$B:$B, 0)), "")</f>
        <v>ULIF05501/08/13DivrEqtyFd101</v>
      </c>
      <c r="E5846" s="8" t="s">
        <v>576</v>
      </c>
      <c r="F5846" s="8" t="s">
        <v>577</v>
      </c>
    </row>
    <row r="5847" spans="1:6" ht="60" x14ac:dyDescent="0.25">
      <c r="A5847" s="8" t="s">
        <v>125</v>
      </c>
      <c r="B5847" s="8" t="s">
        <v>126</v>
      </c>
      <c r="C5847" s="8" t="str">
        <f>IFERROR(_xlfn.XLOOKUP(TRIM(B5847),Lookup!$B$2:$B$1000,Lookup!$C$2:$C$1000),"")</f>
        <v>Equity</v>
      </c>
      <c r="D5847" s="8" t="str">
        <f>IFERROR(INDEX('nav master'!$C:$C, MATCH(B5847, 'nav master'!$B:$B, 0)), "")</f>
        <v>ULIF05501/08/13DivrEqtyFd101</v>
      </c>
      <c r="E5847" s="8" t="s">
        <v>578</v>
      </c>
      <c r="F5847" s="8" t="s">
        <v>579</v>
      </c>
    </row>
    <row r="5848" spans="1:6" ht="60" x14ac:dyDescent="0.25">
      <c r="A5848" s="8" t="s">
        <v>125</v>
      </c>
      <c r="B5848" s="8" t="s">
        <v>126</v>
      </c>
      <c r="C5848" s="8" t="str">
        <f>IFERROR(_xlfn.XLOOKUP(TRIM(B5848),Lookup!$B$2:$B$1000,Lookup!$C$2:$C$1000),"")</f>
        <v>Equity</v>
      </c>
      <c r="D5848" s="8" t="str">
        <f>IFERROR(INDEX('nav master'!$C:$C, MATCH(B5848, 'nav master'!$B:$B, 0)), "")</f>
        <v>ULIF05501/08/13DivrEqtyFd101</v>
      </c>
      <c r="E5848" s="8" t="s">
        <v>580</v>
      </c>
      <c r="F5848" s="8" t="s">
        <v>581</v>
      </c>
    </row>
    <row r="5849" spans="1:6" ht="60" x14ac:dyDescent="0.25">
      <c r="A5849" s="8" t="s">
        <v>125</v>
      </c>
      <c r="B5849" s="8" t="s">
        <v>126</v>
      </c>
      <c r="C5849" s="8" t="str">
        <f>IFERROR(_xlfn.XLOOKUP(TRIM(B5849),Lookup!$B$2:$B$1000,Lookup!$C$2:$C$1000),"")</f>
        <v>Equity</v>
      </c>
      <c r="D5849" s="8" t="str">
        <f>IFERROR(INDEX('nav master'!$C:$C, MATCH(B5849, 'nav master'!$B:$B, 0)), "")</f>
        <v>ULIF05501/08/13DivrEqtyFd101</v>
      </c>
      <c r="E5849" s="8" t="s">
        <v>582</v>
      </c>
      <c r="F5849" s="8" t="s">
        <v>583</v>
      </c>
    </row>
    <row r="5850" spans="1:6" ht="60" x14ac:dyDescent="0.25">
      <c r="A5850" s="8" t="s">
        <v>125</v>
      </c>
      <c r="B5850" s="8" t="s">
        <v>126</v>
      </c>
      <c r="C5850" s="8" t="str">
        <f>IFERROR(_xlfn.XLOOKUP(TRIM(B5850),Lookup!$B$2:$B$1000,Lookup!$C$2:$C$1000),"")</f>
        <v>Equity</v>
      </c>
      <c r="D5850" s="8" t="str">
        <f>IFERROR(INDEX('nav master'!$C:$C, MATCH(B5850, 'nav master'!$B:$B, 0)), "")</f>
        <v>ULIF05501/08/13DivrEqtyFd101</v>
      </c>
      <c r="E5850" s="8" t="s">
        <v>584</v>
      </c>
      <c r="F5850" s="8" t="s">
        <v>585</v>
      </c>
    </row>
    <row r="5851" spans="1:6" ht="60" x14ac:dyDescent="0.25">
      <c r="A5851" s="8" t="s">
        <v>125</v>
      </c>
      <c r="B5851" s="8" t="s">
        <v>126</v>
      </c>
      <c r="C5851" s="8" t="str">
        <f>IFERROR(_xlfn.XLOOKUP(TRIM(B5851),Lookup!$B$2:$B$1000,Lookup!$C$2:$C$1000),"")</f>
        <v>Equity</v>
      </c>
      <c r="D5851" s="8" t="str">
        <f>IFERROR(INDEX('nav master'!$C:$C, MATCH(B5851, 'nav master'!$B:$B, 0)), "")</f>
        <v>ULIF05501/08/13DivrEqtyFd101</v>
      </c>
      <c r="E5851" s="8" t="s">
        <v>586</v>
      </c>
      <c r="F5851" s="8" t="s">
        <v>587</v>
      </c>
    </row>
    <row r="5852" spans="1:6" ht="60" x14ac:dyDescent="0.25">
      <c r="A5852" s="8" t="s">
        <v>125</v>
      </c>
      <c r="B5852" s="8" t="s">
        <v>126</v>
      </c>
      <c r="C5852" s="8" t="str">
        <f>IFERROR(_xlfn.XLOOKUP(TRIM(B5852),Lookup!$B$2:$B$1000,Lookup!$C$2:$C$1000),"")</f>
        <v>Equity</v>
      </c>
      <c r="D5852" s="8" t="str">
        <f>IFERROR(INDEX('nav master'!$C:$C, MATCH(B5852, 'nav master'!$B:$B, 0)), "")</f>
        <v>ULIF05501/08/13DivrEqtyFd101</v>
      </c>
      <c r="E5852" s="8" t="s">
        <v>588</v>
      </c>
      <c r="F5852" s="8" t="s">
        <v>589</v>
      </c>
    </row>
    <row r="5853" spans="1:6" ht="60" x14ac:dyDescent="0.25">
      <c r="A5853" s="8" t="s">
        <v>125</v>
      </c>
      <c r="B5853" s="8" t="s">
        <v>126</v>
      </c>
      <c r="C5853" s="8" t="str">
        <f>IFERROR(_xlfn.XLOOKUP(TRIM(B5853),Lookup!$B$2:$B$1000,Lookup!$C$2:$C$1000),"")</f>
        <v>Equity</v>
      </c>
      <c r="D5853" s="8" t="str">
        <f>IFERROR(INDEX('nav master'!$C:$C, MATCH(B5853, 'nav master'!$B:$B, 0)), "")</f>
        <v>ULIF05501/08/13DivrEqtyFd101</v>
      </c>
      <c r="E5853" s="8" t="s">
        <v>590</v>
      </c>
      <c r="F5853" s="8" t="s">
        <v>591</v>
      </c>
    </row>
    <row r="5854" spans="1:6" ht="60" x14ac:dyDescent="0.25">
      <c r="A5854" s="8" t="s">
        <v>125</v>
      </c>
      <c r="B5854" s="8" t="s">
        <v>126</v>
      </c>
      <c r="C5854" s="8" t="str">
        <f>IFERROR(_xlfn.XLOOKUP(TRIM(B5854),Lookup!$B$2:$B$1000,Lookup!$C$2:$C$1000),"")</f>
        <v>Equity</v>
      </c>
      <c r="D5854" s="8" t="str">
        <f>IFERROR(INDEX('nav master'!$C:$C, MATCH(B5854, 'nav master'!$B:$B, 0)), "")</f>
        <v>ULIF05501/08/13DivrEqtyFd101</v>
      </c>
      <c r="E5854" s="8" t="s">
        <v>592</v>
      </c>
      <c r="F5854" s="8" t="s">
        <v>593</v>
      </c>
    </row>
    <row r="5855" spans="1:6" ht="60" x14ac:dyDescent="0.25">
      <c r="A5855" s="8" t="s">
        <v>125</v>
      </c>
      <c r="B5855" s="8" t="s">
        <v>126</v>
      </c>
      <c r="C5855" s="8" t="str">
        <f>IFERROR(_xlfn.XLOOKUP(TRIM(B5855),Lookup!$B$2:$B$1000,Lookup!$C$2:$C$1000),"")</f>
        <v>Equity</v>
      </c>
      <c r="D5855" s="8" t="str">
        <f>IFERROR(INDEX('nav master'!$C:$C, MATCH(B5855, 'nav master'!$B:$B, 0)), "")</f>
        <v>ULIF05501/08/13DivrEqtyFd101</v>
      </c>
      <c r="E5855" s="8" t="s">
        <v>594</v>
      </c>
      <c r="F5855" s="8" t="s">
        <v>595</v>
      </c>
    </row>
    <row r="5856" spans="1:6" ht="60" x14ac:dyDescent="0.25">
      <c r="A5856" s="8" t="s">
        <v>125</v>
      </c>
      <c r="B5856" s="8" t="s">
        <v>126</v>
      </c>
      <c r="C5856" s="8" t="str">
        <f>IFERROR(_xlfn.XLOOKUP(TRIM(B5856),Lookup!$B$2:$B$1000,Lookup!$C$2:$C$1000),"")</f>
        <v>Equity</v>
      </c>
      <c r="D5856" s="8" t="str">
        <f>IFERROR(INDEX('nav master'!$C:$C, MATCH(B5856, 'nav master'!$B:$B, 0)), "")</f>
        <v>ULIF05501/08/13DivrEqtyFd101</v>
      </c>
      <c r="E5856" s="8" t="s">
        <v>596</v>
      </c>
      <c r="F5856" s="8" t="s">
        <v>597</v>
      </c>
    </row>
    <row r="5857" spans="1:6" ht="60" x14ac:dyDescent="0.25">
      <c r="A5857" s="8" t="s">
        <v>125</v>
      </c>
      <c r="B5857" s="8" t="s">
        <v>126</v>
      </c>
      <c r="C5857" s="8" t="str">
        <f>IFERROR(_xlfn.XLOOKUP(TRIM(B5857),Lookup!$B$2:$B$1000,Lookup!$C$2:$C$1000),"")</f>
        <v>Equity</v>
      </c>
      <c r="D5857" s="8" t="str">
        <f>IFERROR(INDEX('nav master'!$C:$C, MATCH(B5857, 'nav master'!$B:$B, 0)), "")</f>
        <v>ULIF05501/08/13DivrEqtyFd101</v>
      </c>
      <c r="E5857" s="8" t="s">
        <v>598</v>
      </c>
      <c r="F5857" s="8" t="s">
        <v>599</v>
      </c>
    </row>
    <row r="5858" spans="1:6" ht="60" x14ac:dyDescent="0.25">
      <c r="A5858" s="8" t="s">
        <v>125</v>
      </c>
      <c r="B5858" s="8" t="s">
        <v>126</v>
      </c>
      <c r="C5858" s="8" t="str">
        <f>IFERROR(_xlfn.XLOOKUP(TRIM(B5858),Lookup!$B$2:$B$1000,Lookup!$C$2:$C$1000),"")</f>
        <v>Equity</v>
      </c>
      <c r="D5858" s="8" t="str">
        <f>IFERROR(INDEX('nav master'!$C:$C, MATCH(B5858, 'nav master'!$B:$B, 0)), "")</f>
        <v>ULIF05501/08/13DivrEqtyFd101</v>
      </c>
      <c r="E5858" s="8" t="s">
        <v>600</v>
      </c>
      <c r="F5858" s="8" t="s">
        <v>601</v>
      </c>
    </row>
    <row r="5859" spans="1:6" ht="60" x14ac:dyDescent="0.25">
      <c r="A5859" s="8" t="s">
        <v>125</v>
      </c>
      <c r="B5859" s="8" t="s">
        <v>126</v>
      </c>
      <c r="C5859" s="8" t="str">
        <f>IFERROR(_xlfn.XLOOKUP(TRIM(B5859),Lookup!$B$2:$B$1000,Lookup!$C$2:$C$1000),"")</f>
        <v>Equity</v>
      </c>
      <c r="D5859" s="8" t="str">
        <f>IFERROR(INDEX('nav master'!$C:$C, MATCH(B5859, 'nav master'!$B:$B, 0)), "")</f>
        <v>ULIF05501/08/13DivrEqtyFd101</v>
      </c>
      <c r="E5859" s="8" t="s">
        <v>602</v>
      </c>
      <c r="F5859" s="8" t="s">
        <v>603</v>
      </c>
    </row>
    <row r="5860" spans="1:6" ht="60" x14ac:dyDescent="0.25">
      <c r="A5860" s="8" t="s">
        <v>125</v>
      </c>
      <c r="B5860" s="8" t="s">
        <v>126</v>
      </c>
      <c r="C5860" s="8" t="str">
        <f>IFERROR(_xlfn.XLOOKUP(TRIM(B5860),Lookup!$B$2:$B$1000,Lookup!$C$2:$C$1000),"")</f>
        <v>Equity</v>
      </c>
      <c r="D5860" s="8" t="str">
        <f>IFERROR(INDEX('nav master'!$C:$C, MATCH(B5860, 'nav master'!$B:$B, 0)), "")</f>
        <v>ULIF05501/08/13DivrEqtyFd101</v>
      </c>
      <c r="E5860" s="8" t="s">
        <v>604</v>
      </c>
      <c r="F5860" s="8" t="s">
        <v>605</v>
      </c>
    </row>
    <row r="5861" spans="1:6" ht="60" x14ac:dyDescent="0.25">
      <c r="A5861" s="8" t="s">
        <v>125</v>
      </c>
      <c r="B5861" s="8" t="s">
        <v>126</v>
      </c>
      <c r="C5861" s="8" t="str">
        <f>IFERROR(_xlfn.XLOOKUP(TRIM(B5861),Lookup!$B$2:$B$1000,Lookup!$C$2:$C$1000),"")</f>
        <v>Equity</v>
      </c>
      <c r="D5861" s="8" t="str">
        <f>IFERROR(INDEX('nav master'!$C:$C, MATCH(B5861, 'nav master'!$B:$B, 0)), "")</f>
        <v>ULIF05501/08/13DivrEqtyFd101</v>
      </c>
      <c r="E5861" s="8" t="s">
        <v>606</v>
      </c>
      <c r="F5861" s="8" t="s">
        <v>607</v>
      </c>
    </row>
    <row r="5862" spans="1:6" ht="60" x14ac:dyDescent="0.25">
      <c r="A5862" s="8" t="s">
        <v>125</v>
      </c>
      <c r="B5862" s="8" t="s">
        <v>126</v>
      </c>
      <c r="C5862" s="8" t="str">
        <f>IFERROR(_xlfn.XLOOKUP(TRIM(B5862),Lookup!$B$2:$B$1000,Lookup!$C$2:$C$1000),"")</f>
        <v>Equity</v>
      </c>
      <c r="D5862" s="8" t="str">
        <f>IFERROR(INDEX('nav master'!$C:$C, MATCH(B5862, 'nav master'!$B:$B, 0)), "")</f>
        <v>ULIF05501/08/13DivrEqtyFd101</v>
      </c>
      <c r="E5862" s="8" t="s">
        <v>608</v>
      </c>
      <c r="F5862" s="8" t="s">
        <v>609</v>
      </c>
    </row>
    <row r="5863" spans="1:6" ht="60" x14ac:dyDescent="0.25">
      <c r="A5863" s="8" t="s">
        <v>125</v>
      </c>
      <c r="B5863" s="8" t="s">
        <v>126</v>
      </c>
      <c r="C5863" s="8" t="str">
        <f>IFERROR(_xlfn.XLOOKUP(TRIM(B5863),Lookup!$B$2:$B$1000,Lookup!$C$2:$C$1000),"")</f>
        <v>Equity</v>
      </c>
      <c r="D5863" s="8" t="str">
        <f>IFERROR(INDEX('nav master'!$C:$C, MATCH(B5863, 'nav master'!$B:$B, 0)), "")</f>
        <v>ULIF05501/08/13DivrEqtyFd101</v>
      </c>
      <c r="E5863" s="8" t="s">
        <v>610</v>
      </c>
      <c r="F5863" s="8" t="s">
        <v>611</v>
      </c>
    </row>
    <row r="5864" spans="1:6" ht="60" x14ac:dyDescent="0.25">
      <c r="A5864" s="8" t="s">
        <v>125</v>
      </c>
      <c r="B5864" s="8" t="s">
        <v>126</v>
      </c>
      <c r="C5864" s="8" t="str">
        <f>IFERROR(_xlfn.XLOOKUP(TRIM(B5864),Lookup!$B$2:$B$1000,Lookup!$C$2:$C$1000),"")</f>
        <v>Equity</v>
      </c>
      <c r="D5864" s="8" t="str">
        <f>IFERROR(INDEX('nav master'!$C:$C, MATCH(B5864, 'nav master'!$B:$B, 0)), "")</f>
        <v>ULIF05501/08/13DivrEqtyFd101</v>
      </c>
      <c r="E5864" s="8" t="s">
        <v>612</v>
      </c>
      <c r="F5864" s="8" t="s">
        <v>613</v>
      </c>
    </row>
    <row r="5865" spans="1:6" ht="60" x14ac:dyDescent="0.25">
      <c r="A5865" s="8" t="s">
        <v>125</v>
      </c>
      <c r="B5865" s="8" t="s">
        <v>126</v>
      </c>
      <c r="C5865" s="8" t="str">
        <f>IFERROR(_xlfn.XLOOKUP(TRIM(B5865),Lookup!$B$2:$B$1000,Lookup!$C$2:$C$1000),"")</f>
        <v>Equity</v>
      </c>
      <c r="D5865" s="8" t="str">
        <f>IFERROR(INDEX('nav master'!$C:$C, MATCH(B5865, 'nav master'!$B:$B, 0)), "")</f>
        <v>ULIF05501/08/13DivrEqtyFd101</v>
      </c>
      <c r="E5865" s="8" t="s">
        <v>614</v>
      </c>
      <c r="F5865" s="8" t="s">
        <v>615</v>
      </c>
    </row>
    <row r="5866" spans="1:6" ht="60" x14ac:dyDescent="0.25">
      <c r="A5866" s="8" t="s">
        <v>125</v>
      </c>
      <c r="B5866" s="8" t="s">
        <v>126</v>
      </c>
      <c r="C5866" s="8" t="str">
        <f>IFERROR(_xlfn.XLOOKUP(TRIM(B5866),Lookup!$B$2:$B$1000,Lookup!$C$2:$C$1000),"")</f>
        <v>Equity</v>
      </c>
      <c r="D5866" s="8" t="str">
        <f>IFERROR(INDEX('nav master'!$C:$C, MATCH(B5866, 'nav master'!$B:$B, 0)), "")</f>
        <v>ULIF05501/08/13DivrEqtyFd101</v>
      </c>
      <c r="E5866" s="8" t="s">
        <v>616</v>
      </c>
      <c r="F5866" s="8" t="s">
        <v>617</v>
      </c>
    </row>
    <row r="5867" spans="1:6" ht="60" x14ac:dyDescent="0.25">
      <c r="A5867" s="8" t="s">
        <v>125</v>
      </c>
      <c r="B5867" s="8" t="s">
        <v>126</v>
      </c>
      <c r="C5867" s="8" t="str">
        <f>IFERROR(_xlfn.XLOOKUP(TRIM(B5867),Lookup!$B$2:$B$1000,Lookup!$C$2:$C$1000),"")</f>
        <v>Equity</v>
      </c>
      <c r="D5867" s="8" t="str">
        <f>IFERROR(INDEX('nav master'!$C:$C, MATCH(B5867, 'nav master'!$B:$B, 0)), "")</f>
        <v>ULIF05501/08/13DivrEqtyFd101</v>
      </c>
      <c r="E5867" s="8" t="s">
        <v>618</v>
      </c>
      <c r="F5867" s="8" t="s">
        <v>619</v>
      </c>
    </row>
    <row r="5868" spans="1:6" ht="60" x14ac:dyDescent="0.25">
      <c r="A5868" s="8" t="s">
        <v>125</v>
      </c>
      <c r="B5868" s="8" t="s">
        <v>126</v>
      </c>
      <c r="C5868" s="8" t="str">
        <f>IFERROR(_xlfn.XLOOKUP(TRIM(B5868),Lookup!$B$2:$B$1000,Lookup!$C$2:$C$1000),"")</f>
        <v>Equity</v>
      </c>
      <c r="D5868" s="8" t="str">
        <f>IFERROR(INDEX('nav master'!$C:$C, MATCH(B5868, 'nav master'!$B:$B, 0)), "")</f>
        <v>ULIF05501/08/13DivrEqtyFd101</v>
      </c>
      <c r="E5868" s="8" t="s">
        <v>620</v>
      </c>
      <c r="F5868" s="8" t="s">
        <v>621</v>
      </c>
    </row>
    <row r="5869" spans="1:6" ht="60" x14ac:dyDescent="0.25">
      <c r="A5869" s="8" t="s">
        <v>125</v>
      </c>
      <c r="B5869" s="8" t="s">
        <v>126</v>
      </c>
      <c r="C5869" s="8" t="str">
        <f>IFERROR(_xlfn.XLOOKUP(TRIM(B5869),Lookup!$B$2:$B$1000,Lookup!$C$2:$C$1000),"")</f>
        <v>Equity</v>
      </c>
      <c r="D5869" s="8" t="str">
        <f>IFERROR(INDEX('nav master'!$C:$C, MATCH(B5869, 'nav master'!$B:$B, 0)), "")</f>
        <v>ULIF05501/08/13DivrEqtyFd101</v>
      </c>
      <c r="E5869" s="8" t="s">
        <v>622</v>
      </c>
      <c r="F5869" s="8" t="s">
        <v>623</v>
      </c>
    </row>
    <row r="5870" spans="1:6" ht="60" x14ac:dyDescent="0.25">
      <c r="A5870" s="8" t="s">
        <v>125</v>
      </c>
      <c r="B5870" s="8" t="s">
        <v>126</v>
      </c>
      <c r="C5870" s="8" t="str">
        <f>IFERROR(_xlfn.XLOOKUP(TRIM(B5870),Lookup!$B$2:$B$1000,Lookup!$C$2:$C$1000),"")</f>
        <v>Equity</v>
      </c>
      <c r="D5870" s="8" t="str">
        <f>IFERROR(INDEX('nav master'!$C:$C, MATCH(B5870, 'nav master'!$B:$B, 0)), "")</f>
        <v>ULIF05501/08/13DivrEqtyFd101</v>
      </c>
      <c r="E5870" s="8" t="s">
        <v>624</v>
      </c>
      <c r="F5870" s="8" t="s">
        <v>625</v>
      </c>
    </row>
    <row r="5871" spans="1:6" ht="60" x14ac:dyDescent="0.25">
      <c r="A5871" s="8" t="s">
        <v>125</v>
      </c>
      <c r="B5871" s="8" t="s">
        <v>126</v>
      </c>
      <c r="C5871" s="8" t="str">
        <f>IFERROR(_xlfn.XLOOKUP(TRIM(B5871),Lookup!$B$2:$B$1000,Lookup!$C$2:$C$1000),"")</f>
        <v>Equity</v>
      </c>
      <c r="D5871" s="8" t="str">
        <f>IFERROR(INDEX('nav master'!$C:$C, MATCH(B5871, 'nav master'!$B:$B, 0)), "")</f>
        <v>ULIF05501/08/13DivrEqtyFd101</v>
      </c>
      <c r="E5871" s="8" t="s">
        <v>626</v>
      </c>
      <c r="F5871" s="8" t="s">
        <v>627</v>
      </c>
    </row>
    <row r="5872" spans="1:6" ht="60" x14ac:dyDescent="0.25">
      <c r="A5872" s="8" t="s">
        <v>125</v>
      </c>
      <c r="B5872" s="8" t="s">
        <v>126</v>
      </c>
      <c r="C5872" s="8" t="str">
        <f>IFERROR(_xlfn.XLOOKUP(TRIM(B5872),Lookup!$B$2:$B$1000,Lookup!$C$2:$C$1000),"")</f>
        <v>Equity</v>
      </c>
      <c r="D5872" s="8" t="str">
        <f>IFERROR(INDEX('nav master'!$C:$C, MATCH(B5872, 'nav master'!$B:$B, 0)), "")</f>
        <v>ULIF05501/08/13DivrEqtyFd101</v>
      </c>
      <c r="E5872" s="8" t="s">
        <v>628</v>
      </c>
      <c r="F5872" s="8" t="s">
        <v>629</v>
      </c>
    </row>
    <row r="5873" spans="1:6" ht="60" x14ac:dyDescent="0.25">
      <c r="A5873" s="8" t="s">
        <v>125</v>
      </c>
      <c r="B5873" s="8" t="s">
        <v>126</v>
      </c>
      <c r="C5873" s="8" t="str">
        <f>IFERROR(_xlfn.XLOOKUP(TRIM(B5873),Lookup!$B$2:$B$1000,Lookup!$C$2:$C$1000),"")</f>
        <v>Equity</v>
      </c>
      <c r="D5873" s="8" t="str">
        <f>IFERROR(INDEX('nav master'!$C:$C, MATCH(B5873, 'nav master'!$B:$B, 0)), "")</f>
        <v>ULIF05501/08/13DivrEqtyFd101</v>
      </c>
      <c r="E5873" s="8" t="s">
        <v>630</v>
      </c>
      <c r="F5873" s="8" t="s">
        <v>631</v>
      </c>
    </row>
    <row r="5874" spans="1:6" ht="60" x14ac:dyDescent="0.25">
      <c r="A5874" s="8" t="s">
        <v>125</v>
      </c>
      <c r="B5874" s="8" t="s">
        <v>126</v>
      </c>
      <c r="C5874" s="8" t="str">
        <f>IFERROR(_xlfn.XLOOKUP(TRIM(B5874),Lookup!$B$2:$B$1000,Lookup!$C$2:$C$1000),"")</f>
        <v>Equity</v>
      </c>
      <c r="D5874" s="8" t="str">
        <f>IFERROR(INDEX('nav master'!$C:$C, MATCH(B5874, 'nav master'!$B:$B, 0)), "")</f>
        <v>ULIF05501/08/13DivrEqtyFd101</v>
      </c>
      <c r="E5874" s="8" t="s">
        <v>632</v>
      </c>
      <c r="F5874" s="8" t="s">
        <v>633</v>
      </c>
    </row>
    <row r="5875" spans="1:6" ht="60" x14ac:dyDescent="0.25">
      <c r="A5875" s="8" t="s">
        <v>125</v>
      </c>
      <c r="B5875" s="8" t="s">
        <v>126</v>
      </c>
      <c r="C5875" s="8" t="str">
        <f>IFERROR(_xlfn.XLOOKUP(TRIM(B5875),Lookup!$B$2:$B$1000,Lookup!$C$2:$C$1000),"")</f>
        <v>Equity</v>
      </c>
      <c r="D5875" s="8" t="str">
        <f>IFERROR(INDEX('nav master'!$C:$C, MATCH(B5875, 'nav master'!$B:$B, 0)), "")</f>
        <v>ULIF05501/08/13DivrEqtyFd101</v>
      </c>
      <c r="E5875" s="8" t="s">
        <v>634</v>
      </c>
      <c r="F5875" s="8" t="s">
        <v>635</v>
      </c>
    </row>
    <row r="5876" spans="1:6" ht="60" x14ac:dyDescent="0.25">
      <c r="A5876" s="8" t="s">
        <v>125</v>
      </c>
      <c r="B5876" s="8" t="s">
        <v>126</v>
      </c>
      <c r="C5876" s="8" t="str">
        <f>IFERROR(_xlfn.XLOOKUP(TRIM(B5876),Lookup!$B$2:$B$1000,Lookup!$C$2:$C$1000),"")</f>
        <v>Equity</v>
      </c>
      <c r="D5876" s="8" t="str">
        <f>IFERROR(INDEX('nav master'!$C:$C, MATCH(B5876, 'nav master'!$B:$B, 0)), "")</f>
        <v>ULIF05501/08/13DivrEqtyFd101</v>
      </c>
      <c r="E5876" s="8" t="s">
        <v>636</v>
      </c>
      <c r="F5876" s="8" t="s">
        <v>637</v>
      </c>
    </row>
    <row r="5877" spans="1:6" ht="60" x14ac:dyDescent="0.25">
      <c r="A5877" s="8" t="s">
        <v>125</v>
      </c>
      <c r="B5877" s="8" t="s">
        <v>126</v>
      </c>
      <c r="C5877" s="8" t="str">
        <f>IFERROR(_xlfn.XLOOKUP(TRIM(B5877),Lookup!$B$2:$B$1000,Lookup!$C$2:$C$1000),"")</f>
        <v>Equity</v>
      </c>
      <c r="D5877" s="8" t="str">
        <f>IFERROR(INDEX('nav master'!$C:$C, MATCH(B5877, 'nav master'!$B:$B, 0)), "")</f>
        <v>ULIF05501/08/13DivrEqtyFd101</v>
      </c>
      <c r="E5877" s="8" t="s">
        <v>638</v>
      </c>
      <c r="F5877" s="8" t="s">
        <v>639</v>
      </c>
    </row>
    <row r="5878" spans="1:6" ht="60" x14ac:dyDescent="0.25">
      <c r="A5878" s="8" t="s">
        <v>125</v>
      </c>
      <c r="B5878" s="8" t="s">
        <v>126</v>
      </c>
      <c r="C5878" s="8" t="str">
        <f>IFERROR(_xlfn.XLOOKUP(TRIM(B5878),Lookup!$B$2:$B$1000,Lookup!$C$2:$C$1000),"")</f>
        <v>Equity</v>
      </c>
      <c r="D5878" s="8" t="str">
        <f>IFERROR(INDEX('nav master'!$C:$C, MATCH(B5878, 'nav master'!$B:$B, 0)), "")</f>
        <v>ULIF05501/08/13DivrEqtyFd101</v>
      </c>
      <c r="E5878" s="8" t="s">
        <v>640</v>
      </c>
      <c r="F5878" s="8" t="s">
        <v>641</v>
      </c>
    </row>
    <row r="5879" spans="1:6" ht="60" x14ac:dyDescent="0.25">
      <c r="A5879" s="8" t="s">
        <v>125</v>
      </c>
      <c r="B5879" s="8" t="s">
        <v>126</v>
      </c>
      <c r="C5879" s="8" t="str">
        <f>IFERROR(_xlfn.XLOOKUP(TRIM(B5879),Lookup!$B$2:$B$1000,Lookup!$C$2:$C$1000),"")</f>
        <v>Equity</v>
      </c>
      <c r="D5879" s="8" t="str">
        <f>IFERROR(INDEX('nav master'!$C:$C, MATCH(B5879, 'nav master'!$B:$B, 0)), "")</f>
        <v>ULIF05501/08/13DivrEqtyFd101</v>
      </c>
      <c r="E5879" s="8" t="s">
        <v>642</v>
      </c>
      <c r="F5879" s="8" t="s">
        <v>643</v>
      </c>
    </row>
    <row r="5880" spans="1:6" ht="60" x14ac:dyDescent="0.25">
      <c r="A5880" s="8" t="s">
        <v>125</v>
      </c>
      <c r="B5880" s="8" t="s">
        <v>126</v>
      </c>
      <c r="C5880" s="8" t="str">
        <f>IFERROR(_xlfn.XLOOKUP(TRIM(B5880),Lookup!$B$2:$B$1000,Lookup!$C$2:$C$1000),"")</f>
        <v>Equity</v>
      </c>
      <c r="D5880" s="8" t="str">
        <f>IFERROR(INDEX('nav master'!$C:$C, MATCH(B5880, 'nav master'!$B:$B, 0)), "")</f>
        <v>ULIF05501/08/13DivrEqtyFd101</v>
      </c>
      <c r="E5880" s="8" t="s">
        <v>644</v>
      </c>
      <c r="F5880" s="8" t="s">
        <v>645</v>
      </c>
    </row>
    <row r="5881" spans="1:6" ht="60" x14ac:dyDescent="0.25">
      <c r="A5881" s="8" t="s">
        <v>125</v>
      </c>
      <c r="B5881" s="8" t="s">
        <v>126</v>
      </c>
      <c r="C5881" s="8" t="str">
        <f>IFERROR(_xlfn.XLOOKUP(TRIM(B5881),Lookup!$B$2:$B$1000,Lookup!$C$2:$C$1000),"")</f>
        <v>Equity</v>
      </c>
      <c r="D5881" s="8" t="str">
        <f>IFERROR(INDEX('nav master'!$C:$C, MATCH(B5881, 'nav master'!$B:$B, 0)), "")</f>
        <v>ULIF05501/08/13DivrEqtyFd101</v>
      </c>
      <c r="E5881" s="8" t="s">
        <v>646</v>
      </c>
      <c r="F5881" s="8" t="s">
        <v>647</v>
      </c>
    </row>
    <row r="5882" spans="1:6" ht="60" x14ac:dyDescent="0.25">
      <c r="A5882" s="8" t="s">
        <v>125</v>
      </c>
      <c r="B5882" s="8" t="s">
        <v>126</v>
      </c>
      <c r="C5882" s="8" t="str">
        <f>IFERROR(_xlfn.XLOOKUP(TRIM(B5882),Lookup!$B$2:$B$1000,Lookup!$C$2:$C$1000),"")</f>
        <v>Equity</v>
      </c>
      <c r="D5882" s="8" t="str">
        <f>IFERROR(INDEX('nav master'!$C:$C, MATCH(B5882, 'nav master'!$B:$B, 0)), "")</f>
        <v>ULIF05501/08/13DivrEqtyFd101</v>
      </c>
      <c r="E5882" s="8" t="s">
        <v>648</v>
      </c>
      <c r="F5882" s="8" t="s">
        <v>649</v>
      </c>
    </row>
    <row r="5883" spans="1:6" ht="60" x14ac:dyDescent="0.25">
      <c r="A5883" s="8" t="s">
        <v>125</v>
      </c>
      <c r="B5883" s="8" t="s">
        <v>126</v>
      </c>
      <c r="C5883" s="8" t="str">
        <f>IFERROR(_xlfn.XLOOKUP(TRIM(B5883),Lookup!$B$2:$B$1000,Lookup!$C$2:$C$1000),"")</f>
        <v>Equity</v>
      </c>
      <c r="D5883" s="8" t="str">
        <f>IFERROR(INDEX('nav master'!$C:$C, MATCH(B5883, 'nav master'!$B:$B, 0)), "")</f>
        <v>ULIF05501/08/13DivrEqtyFd101</v>
      </c>
      <c r="E5883" s="8" t="s">
        <v>650</v>
      </c>
      <c r="F5883" s="8" t="s">
        <v>651</v>
      </c>
    </row>
    <row r="5884" spans="1:6" ht="60" x14ac:dyDescent="0.25">
      <c r="A5884" s="8" t="s">
        <v>125</v>
      </c>
      <c r="B5884" s="8" t="s">
        <v>126</v>
      </c>
      <c r="C5884" s="8" t="str">
        <f>IFERROR(_xlfn.XLOOKUP(TRIM(B5884),Lookup!$B$2:$B$1000,Lookup!$C$2:$C$1000),"")</f>
        <v>Equity</v>
      </c>
      <c r="D5884" s="8" t="str">
        <f>IFERROR(INDEX('nav master'!$C:$C, MATCH(B5884, 'nav master'!$B:$B, 0)), "")</f>
        <v>ULIF05501/08/13DivrEqtyFd101</v>
      </c>
      <c r="E5884" s="8" t="s">
        <v>652</v>
      </c>
      <c r="F5884" s="8" t="s">
        <v>653</v>
      </c>
    </row>
    <row r="5885" spans="1:6" ht="60" x14ac:dyDescent="0.25">
      <c r="A5885" s="8" t="s">
        <v>125</v>
      </c>
      <c r="B5885" s="8" t="s">
        <v>126</v>
      </c>
      <c r="C5885" s="8" t="str">
        <f>IFERROR(_xlfn.XLOOKUP(TRIM(B5885),Lookup!$B$2:$B$1000,Lookup!$C$2:$C$1000),"")</f>
        <v>Equity</v>
      </c>
      <c r="D5885" s="8" t="str">
        <f>IFERROR(INDEX('nav master'!$C:$C, MATCH(B5885, 'nav master'!$B:$B, 0)), "")</f>
        <v>ULIF05501/08/13DivrEqtyFd101</v>
      </c>
      <c r="E5885" s="8" t="s">
        <v>654</v>
      </c>
      <c r="F5885" s="8" t="s">
        <v>655</v>
      </c>
    </row>
    <row r="5886" spans="1:6" ht="60" x14ac:dyDescent="0.25">
      <c r="A5886" s="8" t="s">
        <v>125</v>
      </c>
      <c r="B5886" s="8" t="s">
        <v>126</v>
      </c>
      <c r="C5886" s="8" t="str">
        <f>IFERROR(_xlfn.XLOOKUP(TRIM(B5886),Lookup!$B$2:$B$1000,Lookup!$C$2:$C$1000),"")</f>
        <v>Equity</v>
      </c>
      <c r="D5886" s="8" t="str">
        <f>IFERROR(INDEX('nav master'!$C:$C, MATCH(B5886, 'nav master'!$B:$B, 0)), "")</f>
        <v>ULIF05501/08/13DivrEqtyFd101</v>
      </c>
      <c r="E5886" s="8" t="s">
        <v>656</v>
      </c>
      <c r="F5886" s="8" t="s">
        <v>657</v>
      </c>
    </row>
    <row r="5887" spans="1:6" ht="60" x14ac:dyDescent="0.25">
      <c r="A5887" s="8" t="s">
        <v>125</v>
      </c>
      <c r="B5887" s="8" t="s">
        <v>126</v>
      </c>
      <c r="C5887" s="8" t="str">
        <f>IFERROR(_xlfn.XLOOKUP(TRIM(B5887),Lookup!$B$2:$B$1000,Lookup!$C$2:$C$1000),"")</f>
        <v>Equity</v>
      </c>
      <c r="D5887" s="8" t="str">
        <f>IFERROR(INDEX('nav master'!$C:$C, MATCH(B5887, 'nav master'!$B:$B, 0)), "")</f>
        <v>ULIF05501/08/13DivrEqtyFd101</v>
      </c>
      <c r="E5887" s="8" t="s">
        <v>658</v>
      </c>
      <c r="F5887" s="8" t="s">
        <v>659</v>
      </c>
    </row>
    <row r="5888" spans="1:6" ht="60" x14ac:dyDescent="0.25">
      <c r="A5888" s="8" t="s">
        <v>125</v>
      </c>
      <c r="B5888" s="8" t="s">
        <v>126</v>
      </c>
      <c r="C5888" s="8" t="str">
        <f>IFERROR(_xlfn.XLOOKUP(TRIM(B5888),Lookup!$B$2:$B$1000,Lookup!$C$2:$C$1000),"")</f>
        <v>Equity</v>
      </c>
      <c r="D5888" s="8" t="str">
        <f>IFERROR(INDEX('nav master'!$C:$C, MATCH(B5888, 'nav master'!$B:$B, 0)), "")</f>
        <v>ULIF05501/08/13DivrEqtyFd101</v>
      </c>
      <c r="E5888" s="8" t="s">
        <v>660</v>
      </c>
      <c r="F5888" s="8" t="s">
        <v>661</v>
      </c>
    </row>
    <row r="5889" spans="1:6" ht="60" x14ac:dyDescent="0.25">
      <c r="A5889" s="8" t="s">
        <v>125</v>
      </c>
      <c r="B5889" s="8" t="s">
        <v>126</v>
      </c>
      <c r="C5889" s="8" t="str">
        <f>IFERROR(_xlfn.XLOOKUP(TRIM(B5889),Lookup!$B$2:$B$1000,Lookup!$C$2:$C$1000),"")</f>
        <v>Equity</v>
      </c>
      <c r="D5889" s="8" t="str">
        <f>IFERROR(INDEX('nav master'!$C:$C, MATCH(B5889, 'nav master'!$B:$B, 0)), "")</f>
        <v>ULIF05501/08/13DivrEqtyFd101</v>
      </c>
      <c r="E5889" s="8" t="s">
        <v>662</v>
      </c>
      <c r="F5889" s="8" t="s">
        <v>663</v>
      </c>
    </row>
    <row r="5890" spans="1:6" ht="60" x14ac:dyDescent="0.25">
      <c r="A5890" s="8" t="s">
        <v>125</v>
      </c>
      <c r="B5890" s="8" t="s">
        <v>126</v>
      </c>
      <c r="C5890" s="8" t="str">
        <f>IFERROR(_xlfn.XLOOKUP(TRIM(B5890),Lookup!$B$2:$B$1000,Lookup!$C$2:$C$1000),"")</f>
        <v>Equity</v>
      </c>
      <c r="D5890" s="8" t="str">
        <f>IFERROR(INDEX('nav master'!$C:$C, MATCH(B5890, 'nav master'!$B:$B, 0)), "")</f>
        <v>ULIF05501/08/13DivrEqtyFd101</v>
      </c>
      <c r="E5890" s="8" t="s">
        <v>664</v>
      </c>
      <c r="F5890" s="8" t="s">
        <v>665</v>
      </c>
    </row>
    <row r="5891" spans="1:6" ht="60" x14ac:dyDescent="0.25">
      <c r="A5891" s="8" t="s">
        <v>125</v>
      </c>
      <c r="B5891" s="8" t="s">
        <v>126</v>
      </c>
      <c r="C5891" s="8" t="str">
        <f>IFERROR(_xlfn.XLOOKUP(TRIM(B5891),Lookup!$B$2:$B$1000,Lookup!$C$2:$C$1000),"")</f>
        <v>Equity</v>
      </c>
      <c r="D5891" s="8" t="str">
        <f>IFERROR(INDEX('nav master'!$C:$C, MATCH(B5891, 'nav master'!$B:$B, 0)), "")</f>
        <v>ULIF05501/08/13DivrEqtyFd101</v>
      </c>
      <c r="E5891" s="8" t="s">
        <v>4892</v>
      </c>
      <c r="F5891" s="8" t="s">
        <v>4893</v>
      </c>
    </row>
    <row r="5892" spans="1:6" ht="60" x14ac:dyDescent="0.25">
      <c r="A5892" s="8" t="s">
        <v>125</v>
      </c>
      <c r="B5892" s="8" t="s">
        <v>126</v>
      </c>
      <c r="C5892" s="8" t="str">
        <f>IFERROR(_xlfn.XLOOKUP(TRIM(B5892),Lookup!$B$2:$B$1000,Lookup!$C$2:$C$1000),"")</f>
        <v>Equity</v>
      </c>
      <c r="D5892" s="8" t="str">
        <f>IFERROR(INDEX('nav master'!$C:$C, MATCH(B5892, 'nav master'!$B:$B, 0)), "")</f>
        <v>ULIF05501/08/13DivrEqtyFd101</v>
      </c>
      <c r="E5892" s="8" t="s">
        <v>4894</v>
      </c>
      <c r="F5892" s="8" t="s">
        <v>4895</v>
      </c>
    </row>
    <row r="5893" spans="1:6" ht="60" x14ac:dyDescent="0.25">
      <c r="A5893" s="8" t="s">
        <v>125</v>
      </c>
      <c r="B5893" s="8" t="s">
        <v>126</v>
      </c>
      <c r="C5893" s="8" t="str">
        <f>IFERROR(_xlfn.XLOOKUP(TRIM(B5893),Lookup!$B$2:$B$1000,Lookup!$C$2:$C$1000),"")</f>
        <v>Equity</v>
      </c>
      <c r="D5893" s="8" t="str">
        <f>IFERROR(INDEX('nav master'!$C:$C, MATCH(B5893, 'nav master'!$B:$B, 0)), "")</f>
        <v>ULIF05501/08/13DivrEqtyFd101</v>
      </c>
      <c r="E5893" s="8" t="s">
        <v>4896</v>
      </c>
      <c r="F5893" s="8" t="s">
        <v>4897</v>
      </c>
    </row>
    <row r="5894" spans="1:6" ht="60" x14ac:dyDescent="0.25">
      <c r="A5894" s="8" t="s">
        <v>125</v>
      </c>
      <c r="B5894" s="8" t="s">
        <v>126</v>
      </c>
      <c r="C5894" s="8" t="str">
        <f>IFERROR(_xlfn.XLOOKUP(TRIM(B5894),Lookup!$B$2:$B$1000,Lookup!$C$2:$C$1000),"")</f>
        <v>Equity</v>
      </c>
      <c r="D5894" s="8" t="str">
        <f>IFERROR(INDEX('nav master'!$C:$C, MATCH(B5894, 'nav master'!$B:$B, 0)), "")</f>
        <v>ULIF05501/08/13DivrEqtyFd101</v>
      </c>
      <c r="E5894" s="8" t="s">
        <v>4898</v>
      </c>
      <c r="F5894" s="8" t="s">
        <v>4899</v>
      </c>
    </row>
    <row r="5895" spans="1:6" ht="60" x14ac:dyDescent="0.25">
      <c r="A5895" s="8" t="s">
        <v>125</v>
      </c>
      <c r="B5895" s="8" t="s">
        <v>126</v>
      </c>
      <c r="C5895" s="8" t="str">
        <f>IFERROR(_xlfn.XLOOKUP(TRIM(B5895),Lookup!$B$2:$B$1000,Lookup!$C$2:$C$1000),"")</f>
        <v>Equity</v>
      </c>
      <c r="D5895" s="8" t="str">
        <f>IFERROR(INDEX('nav master'!$C:$C, MATCH(B5895, 'nav master'!$B:$B, 0)), "")</f>
        <v>ULIF05501/08/13DivrEqtyFd101</v>
      </c>
      <c r="E5895" s="8" t="s">
        <v>4900</v>
      </c>
      <c r="F5895" s="8" t="s">
        <v>4901</v>
      </c>
    </row>
    <row r="5896" spans="1:6" ht="60" x14ac:dyDescent="0.25">
      <c r="A5896" s="8" t="s">
        <v>125</v>
      </c>
      <c r="B5896" s="8" t="s">
        <v>126</v>
      </c>
      <c r="C5896" s="8" t="str">
        <f>IFERROR(_xlfn.XLOOKUP(TRIM(B5896),Lookup!$B$2:$B$1000,Lookup!$C$2:$C$1000),"")</f>
        <v>Equity</v>
      </c>
      <c r="D5896" s="8" t="str">
        <f>IFERROR(INDEX('nav master'!$C:$C, MATCH(B5896, 'nav master'!$B:$B, 0)), "")</f>
        <v>ULIF05501/08/13DivrEqtyFd101</v>
      </c>
      <c r="E5896" s="8" t="s">
        <v>4902</v>
      </c>
      <c r="F5896" s="8" t="s">
        <v>3531</v>
      </c>
    </row>
    <row r="5897" spans="1:6" ht="60" x14ac:dyDescent="0.25">
      <c r="A5897" s="8" t="s">
        <v>125</v>
      </c>
      <c r="B5897" s="8" t="s">
        <v>126</v>
      </c>
      <c r="C5897" s="8" t="str">
        <f>IFERROR(_xlfn.XLOOKUP(TRIM(B5897),Lookup!$B$2:$B$1000,Lookup!$C$2:$C$1000),"")</f>
        <v>Equity</v>
      </c>
      <c r="D5897" s="8" t="str">
        <f>IFERROR(INDEX('nav master'!$C:$C, MATCH(B5897, 'nav master'!$B:$B, 0)), "")</f>
        <v>ULIF05501/08/13DivrEqtyFd101</v>
      </c>
      <c r="E5897" s="8" t="s">
        <v>4903</v>
      </c>
      <c r="F5897" s="8" t="s">
        <v>4904</v>
      </c>
    </row>
    <row r="5898" spans="1:6" ht="60" x14ac:dyDescent="0.25">
      <c r="A5898" s="8" t="s">
        <v>125</v>
      </c>
      <c r="B5898" s="8" t="s">
        <v>126</v>
      </c>
      <c r="C5898" s="8" t="str">
        <f>IFERROR(_xlfn.XLOOKUP(TRIM(B5898),Lookup!$B$2:$B$1000,Lookup!$C$2:$C$1000),"")</f>
        <v>Equity</v>
      </c>
      <c r="D5898" s="8" t="str">
        <f>IFERROR(INDEX('nav master'!$C:$C, MATCH(B5898, 'nav master'!$B:$B, 0)), "")</f>
        <v>ULIF05501/08/13DivrEqtyFd101</v>
      </c>
      <c r="E5898" s="8" t="s">
        <v>4905</v>
      </c>
      <c r="F5898" s="8" t="s">
        <v>4906</v>
      </c>
    </row>
    <row r="5899" spans="1:6" ht="60" x14ac:dyDescent="0.25">
      <c r="A5899" s="8" t="s">
        <v>125</v>
      </c>
      <c r="B5899" s="8" t="s">
        <v>134</v>
      </c>
      <c r="C5899" s="8" t="str">
        <f>IFERROR(_xlfn.XLOOKUP(TRIM(B5899),Lookup!$B$2:$B$1000,Lookup!$C$2:$C$1000),"")</f>
        <v>Debt</v>
      </c>
      <c r="D5899" s="8" t="str">
        <f>IFERROR(INDEX('nav master'!$C:$C, MATCH(B5899, 'nav master'!$B:$B, 0)), "")</f>
        <v>ULIF05601/08/13BondFunds101</v>
      </c>
      <c r="E5899" s="8" t="s">
        <v>189</v>
      </c>
      <c r="F5899" s="8" t="s">
        <v>666</v>
      </c>
    </row>
    <row r="5900" spans="1:6" ht="60" x14ac:dyDescent="0.25">
      <c r="A5900" s="8" t="s">
        <v>125</v>
      </c>
      <c r="B5900" s="8" t="s">
        <v>134</v>
      </c>
      <c r="C5900" s="8" t="str">
        <f>IFERROR(_xlfn.XLOOKUP(TRIM(B5900),Lookup!$B$2:$B$1000,Lookup!$C$2:$C$1000),"")</f>
        <v>Debt</v>
      </c>
      <c r="D5900" s="8" t="str">
        <f>IFERROR(INDEX('nav master'!$C:$C, MATCH(B5900, 'nav master'!$B:$B, 0)), "")</f>
        <v>ULIF05601/08/13BondFunds101</v>
      </c>
      <c r="E5900" s="8" t="s">
        <v>191</v>
      </c>
      <c r="F5900" s="8" t="s">
        <v>667</v>
      </c>
    </row>
    <row r="5901" spans="1:6" ht="60" x14ac:dyDescent="0.25">
      <c r="A5901" s="8" t="s">
        <v>125</v>
      </c>
      <c r="B5901" s="8" t="s">
        <v>134</v>
      </c>
      <c r="C5901" s="8" t="str">
        <f>IFERROR(_xlfn.XLOOKUP(TRIM(B5901),Lookup!$B$2:$B$1000,Lookup!$C$2:$C$1000),"")</f>
        <v>Debt</v>
      </c>
      <c r="D5901" s="8" t="str">
        <f>IFERROR(INDEX('nav master'!$C:$C, MATCH(B5901, 'nav master'!$B:$B, 0)), "")</f>
        <v>ULIF05601/08/13BondFunds101</v>
      </c>
      <c r="E5901" s="8" t="s">
        <v>193</v>
      </c>
      <c r="F5901" s="8" t="s">
        <v>668</v>
      </c>
    </row>
    <row r="5902" spans="1:6" ht="60" x14ac:dyDescent="0.25">
      <c r="A5902" s="8" t="s">
        <v>125</v>
      </c>
      <c r="B5902" s="8" t="s">
        <v>134</v>
      </c>
      <c r="C5902" s="8" t="str">
        <f>IFERROR(_xlfn.XLOOKUP(TRIM(B5902),Lookup!$B$2:$B$1000,Lookup!$C$2:$C$1000),"")</f>
        <v>Debt</v>
      </c>
      <c r="D5902" s="8" t="str">
        <f>IFERROR(INDEX('nav master'!$C:$C, MATCH(B5902, 'nav master'!$B:$B, 0)), "")</f>
        <v>ULIF05601/08/13BondFunds101</v>
      </c>
      <c r="E5902" s="8" t="s">
        <v>195</v>
      </c>
      <c r="F5902" s="8" t="s">
        <v>669</v>
      </c>
    </row>
    <row r="5903" spans="1:6" ht="60" x14ac:dyDescent="0.25">
      <c r="A5903" s="8" t="s">
        <v>125</v>
      </c>
      <c r="B5903" s="8" t="s">
        <v>134</v>
      </c>
      <c r="C5903" s="8" t="str">
        <f>IFERROR(_xlfn.XLOOKUP(TRIM(B5903),Lookup!$B$2:$B$1000,Lookup!$C$2:$C$1000),"")</f>
        <v>Debt</v>
      </c>
      <c r="D5903" s="8" t="str">
        <f>IFERROR(INDEX('nav master'!$C:$C, MATCH(B5903, 'nav master'!$B:$B, 0)), "")</f>
        <v>ULIF05601/08/13BondFunds101</v>
      </c>
      <c r="E5903" s="8" t="s">
        <v>197</v>
      </c>
      <c r="F5903" s="8" t="s">
        <v>670</v>
      </c>
    </row>
    <row r="5904" spans="1:6" ht="60" x14ac:dyDescent="0.25">
      <c r="A5904" s="8" t="s">
        <v>125</v>
      </c>
      <c r="B5904" s="8" t="s">
        <v>134</v>
      </c>
      <c r="C5904" s="8" t="str">
        <f>IFERROR(_xlfn.XLOOKUP(TRIM(B5904),Lookup!$B$2:$B$1000,Lookup!$C$2:$C$1000),"")</f>
        <v>Debt</v>
      </c>
      <c r="D5904" s="8" t="str">
        <f>IFERROR(INDEX('nav master'!$C:$C, MATCH(B5904, 'nav master'!$B:$B, 0)), "")</f>
        <v>ULIF05601/08/13BondFunds101</v>
      </c>
      <c r="E5904" s="8" t="s">
        <v>199</v>
      </c>
      <c r="F5904" s="8" t="s">
        <v>671</v>
      </c>
    </row>
    <row r="5905" spans="1:6" ht="60" x14ac:dyDescent="0.25">
      <c r="A5905" s="8" t="s">
        <v>125</v>
      </c>
      <c r="B5905" s="8" t="s">
        <v>134</v>
      </c>
      <c r="C5905" s="8" t="str">
        <f>IFERROR(_xlfn.XLOOKUP(TRIM(B5905),Lookup!$B$2:$B$1000,Lookup!$C$2:$C$1000),"")</f>
        <v>Debt</v>
      </c>
      <c r="D5905" s="8" t="str">
        <f>IFERROR(INDEX('nav master'!$C:$C, MATCH(B5905, 'nav master'!$B:$B, 0)), "")</f>
        <v>ULIF05601/08/13BondFunds101</v>
      </c>
      <c r="E5905" s="8" t="s">
        <v>201</v>
      </c>
      <c r="F5905" s="8" t="s">
        <v>672</v>
      </c>
    </row>
    <row r="5906" spans="1:6" ht="60" x14ac:dyDescent="0.25">
      <c r="A5906" s="8" t="s">
        <v>125</v>
      </c>
      <c r="B5906" s="8" t="s">
        <v>134</v>
      </c>
      <c r="C5906" s="8" t="str">
        <f>IFERROR(_xlfn.XLOOKUP(TRIM(B5906),Lookup!$B$2:$B$1000,Lookup!$C$2:$C$1000),"")</f>
        <v>Debt</v>
      </c>
      <c r="D5906" s="8" t="str">
        <f>IFERROR(INDEX('nav master'!$C:$C, MATCH(B5906, 'nav master'!$B:$B, 0)), "")</f>
        <v>ULIF05601/08/13BondFunds101</v>
      </c>
      <c r="E5906" s="8" t="s">
        <v>203</v>
      </c>
      <c r="F5906" s="8" t="s">
        <v>673</v>
      </c>
    </row>
    <row r="5907" spans="1:6" ht="60" x14ac:dyDescent="0.25">
      <c r="A5907" s="8" t="s">
        <v>125</v>
      </c>
      <c r="B5907" s="8" t="s">
        <v>134</v>
      </c>
      <c r="C5907" s="8" t="str">
        <f>IFERROR(_xlfn.XLOOKUP(TRIM(B5907),Lookup!$B$2:$B$1000,Lookup!$C$2:$C$1000),"")</f>
        <v>Debt</v>
      </c>
      <c r="D5907" s="8" t="str">
        <f>IFERROR(INDEX('nav master'!$C:$C, MATCH(B5907, 'nav master'!$B:$B, 0)), "")</f>
        <v>ULIF05601/08/13BondFunds101</v>
      </c>
      <c r="E5907" s="8" t="s">
        <v>205</v>
      </c>
      <c r="F5907" s="8" t="s">
        <v>674</v>
      </c>
    </row>
    <row r="5908" spans="1:6" ht="60" x14ac:dyDescent="0.25">
      <c r="A5908" s="8" t="s">
        <v>125</v>
      </c>
      <c r="B5908" s="8" t="s">
        <v>134</v>
      </c>
      <c r="C5908" s="8" t="str">
        <f>IFERROR(_xlfn.XLOOKUP(TRIM(B5908),Lookup!$B$2:$B$1000,Lookup!$C$2:$C$1000),"")</f>
        <v>Debt</v>
      </c>
      <c r="D5908" s="8" t="str">
        <f>IFERROR(INDEX('nav master'!$C:$C, MATCH(B5908, 'nav master'!$B:$B, 0)), "")</f>
        <v>ULIF05601/08/13BondFunds101</v>
      </c>
      <c r="E5908" s="8" t="s">
        <v>207</v>
      </c>
      <c r="F5908" s="8" t="s">
        <v>675</v>
      </c>
    </row>
    <row r="5909" spans="1:6" ht="60" x14ac:dyDescent="0.25">
      <c r="A5909" s="8" t="s">
        <v>125</v>
      </c>
      <c r="B5909" s="8" t="s">
        <v>134</v>
      </c>
      <c r="C5909" s="8" t="str">
        <f>IFERROR(_xlfn.XLOOKUP(TRIM(B5909),Lookup!$B$2:$B$1000,Lookup!$C$2:$C$1000),"")</f>
        <v>Debt</v>
      </c>
      <c r="D5909" s="8" t="str">
        <f>IFERROR(INDEX('nav master'!$C:$C, MATCH(B5909, 'nav master'!$B:$B, 0)), "")</f>
        <v>ULIF05601/08/13BondFunds101</v>
      </c>
      <c r="E5909" s="8" t="s">
        <v>209</v>
      </c>
      <c r="F5909" s="8" t="s">
        <v>676</v>
      </c>
    </row>
    <row r="5910" spans="1:6" ht="60" x14ac:dyDescent="0.25">
      <c r="A5910" s="8" t="s">
        <v>125</v>
      </c>
      <c r="B5910" s="8" t="s">
        <v>134</v>
      </c>
      <c r="C5910" s="8" t="str">
        <f>IFERROR(_xlfn.XLOOKUP(TRIM(B5910),Lookup!$B$2:$B$1000,Lookup!$C$2:$C$1000),"")</f>
        <v>Debt</v>
      </c>
      <c r="D5910" s="8" t="str">
        <f>IFERROR(INDEX('nav master'!$C:$C, MATCH(B5910, 'nav master'!$B:$B, 0)), "")</f>
        <v>ULIF05601/08/13BondFunds101</v>
      </c>
      <c r="E5910" s="8" t="s">
        <v>211</v>
      </c>
      <c r="F5910" s="8" t="s">
        <v>677</v>
      </c>
    </row>
    <row r="5911" spans="1:6" ht="60" x14ac:dyDescent="0.25">
      <c r="A5911" s="8" t="s">
        <v>125</v>
      </c>
      <c r="B5911" s="8" t="s">
        <v>134</v>
      </c>
      <c r="C5911" s="8" t="str">
        <f>IFERROR(_xlfn.XLOOKUP(TRIM(B5911),Lookup!$B$2:$B$1000,Lookup!$C$2:$C$1000),"")</f>
        <v>Debt</v>
      </c>
      <c r="D5911" s="8" t="str">
        <f>IFERROR(INDEX('nav master'!$C:$C, MATCH(B5911, 'nav master'!$B:$B, 0)), "")</f>
        <v>ULIF05601/08/13BondFunds101</v>
      </c>
      <c r="E5911" s="8" t="s">
        <v>213</v>
      </c>
      <c r="F5911" s="8" t="s">
        <v>678</v>
      </c>
    </row>
    <row r="5912" spans="1:6" ht="60" x14ac:dyDescent="0.25">
      <c r="A5912" s="8" t="s">
        <v>125</v>
      </c>
      <c r="B5912" s="8" t="s">
        <v>134</v>
      </c>
      <c r="C5912" s="8" t="str">
        <f>IFERROR(_xlfn.XLOOKUP(TRIM(B5912),Lookup!$B$2:$B$1000,Lookup!$C$2:$C$1000),"")</f>
        <v>Debt</v>
      </c>
      <c r="D5912" s="8" t="str">
        <f>IFERROR(INDEX('nav master'!$C:$C, MATCH(B5912, 'nav master'!$B:$B, 0)), "")</f>
        <v>ULIF05601/08/13BondFunds101</v>
      </c>
      <c r="E5912" s="8" t="s">
        <v>215</v>
      </c>
      <c r="F5912" s="8" t="s">
        <v>679</v>
      </c>
    </row>
    <row r="5913" spans="1:6" ht="60" x14ac:dyDescent="0.25">
      <c r="A5913" s="8" t="s">
        <v>125</v>
      </c>
      <c r="B5913" s="8" t="s">
        <v>134</v>
      </c>
      <c r="C5913" s="8" t="str">
        <f>IFERROR(_xlfn.XLOOKUP(TRIM(B5913),Lookup!$B$2:$B$1000,Lookup!$C$2:$C$1000),"")</f>
        <v>Debt</v>
      </c>
      <c r="D5913" s="8" t="str">
        <f>IFERROR(INDEX('nav master'!$C:$C, MATCH(B5913, 'nav master'!$B:$B, 0)), "")</f>
        <v>ULIF05601/08/13BondFunds101</v>
      </c>
      <c r="E5913" s="8" t="s">
        <v>217</v>
      </c>
      <c r="F5913" s="8" t="s">
        <v>680</v>
      </c>
    </row>
    <row r="5914" spans="1:6" ht="60" x14ac:dyDescent="0.25">
      <c r="A5914" s="8" t="s">
        <v>125</v>
      </c>
      <c r="B5914" s="8" t="s">
        <v>134</v>
      </c>
      <c r="C5914" s="8" t="str">
        <f>IFERROR(_xlfn.XLOOKUP(TRIM(B5914),Lookup!$B$2:$B$1000,Lookup!$C$2:$C$1000),"")</f>
        <v>Debt</v>
      </c>
      <c r="D5914" s="8" t="str">
        <f>IFERROR(INDEX('nav master'!$C:$C, MATCH(B5914, 'nav master'!$B:$B, 0)), "")</f>
        <v>ULIF05601/08/13BondFunds101</v>
      </c>
      <c r="E5914" s="8" t="s">
        <v>219</v>
      </c>
      <c r="F5914" s="8" t="s">
        <v>681</v>
      </c>
    </row>
    <row r="5915" spans="1:6" ht="60" x14ac:dyDescent="0.25">
      <c r="A5915" s="8" t="s">
        <v>125</v>
      </c>
      <c r="B5915" s="8" t="s">
        <v>134</v>
      </c>
      <c r="C5915" s="8" t="str">
        <f>IFERROR(_xlfn.XLOOKUP(TRIM(B5915),Lookup!$B$2:$B$1000,Lookup!$C$2:$C$1000),"")</f>
        <v>Debt</v>
      </c>
      <c r="D5915" s="8" t="str">
        <f>IFERROR(INDEX('nav master'!$C:$C, MATCH(B5915, 'nav master'!$B:$B, 0)), "")</f>
        <v>ULIF05601/08/13BondFunds101</v>
      </c>
      <c r="E5915" s="8" t="s">
        <v>221</v>
      </c>
      <c r="F5915" s="8" t="s">
        <v>682</v>
      </c>
    </row>
    <row r="5916" spans="1:6" ht="60" x14ac:dyDescent="0.25">
      <c r="A5916" s="8" t="s">
        <v>125</v>
      </c>
      <c r="B5916" s="8" t="s">
        <v>134</v>
      </c>
      <c r="C5916" s="8" t="str">
        <f>IFERROR(_xlfn.XLOOKUP(TRIM(B5916),Lookup!$B$2:$B$1000,Lookup!$C$2:$C$1000),"")</f>
        <v>Debt</v>
      </c>
      <c r="D5916" s="8" t="str">
        <f>IFERROR(INDEX('nav master'!$C:$C, MATCH(B5916, 'nav master'!$B:$B, 0)), "")</f>
        <v>ULIF05601/08/13BondFunds101</v>
      </c>
      <c r="E5916" s="8" t="s">
        <v>223</v>
      </c>
      <c r="F5916" s="8" t="s">
        <v>683</v>
      </c>
    </row>
    <row r="5917" spans="1:6" ht="60" x14ac:dyDescent="0.25">
      <c r="A5917" s="8" t="s">
        <v>125</v>
      </c>
      <c r="B5917" s="8" t="s">
        <v>134</v>
      </c>
      <c r="C5917" s="8" t="str">
        <f>IFERROR(_xlfn.XLOOKUP(TRIM(B5917),Lookup!$B$2:$B$1000,Lookup!$C$2:$C$1000),"")</f>
        <v>Debt</v>
      </c>
      <c r="D5917" s="8" t="str">
        <f>IFERROR(INDEX('nav master'!$C:$C, MATCH(B5917, 'nav master'!$B:$B, 0)), "")</f>
        <v>ULIF05601/08/13BondFunds101</v>
      </c>
      <c r="E5917" s="8" t="s">
        <v>225</v>
      </c>
      <c r="F5917" s="8" t="s">
        <v>684</v>
      </c>
    </row>
    <row r="5918" spans="1:6" ht="60" x14ac:dyDescent="0.25">
      <c r="A5918" s="8" t="s">
        <v>125</v>
      </c>
      <c r="B5918" s="8" t="s">
        <v>134</v>
      </c>
      <c r="C5918" s="8" t="str">
        <f>IFERROR(_xlfn.XLOOKUP(TRIM(B5918),Lookup!$B$2:$B$1000,Lookup!$C$2:$C$1000),"")</f>
        <v>Debt</v>
      </c>
      <c r="D5918" s="8" t="str">
        <f>IFERROR(INDEX('nav master'!$C:$C, MATCH(B5918, 'nav master'!$B:$B, 0)), "")</f>
        <v>ULIF05601/08/13BondFunds101</v>
      </c>
      <c r="E5918" s="8" t="s">
        <v>227</v>
      </c>
      <c r="F5918" s="8" t="s">
        <v>685</v>
      </c>
    </row>
    <row r="5919" spans="1:6" ht="60" x14ac:dyDescent="0.25">
      <c r="A5919" s="8" t="s">
        <v>125</v>
      </c>
      <c r="B5919" s="8" t="s">
        <v>134</v>
      </c>
      <c r="C5919" s="8" t="str">
        <f>IFERROR(_xlfn.XLOOKUP(TRIM(B5919),Lookup!$B$2:$B$1000,Lookup!$C$2:$C$1000),"")</f>
        <v>Debt</v>
      </c>
      <c r="D5919" s="8" t="str">
        <f>IFERROR(INDEX('nav master'!$C:$C, MATCH(B5919, 'nav master'!$B:$B, 0)), "")</f>
        <v>ULIF05601/08/13BondFunds101</v>
      </c>
      <c r="E5919" s="8" t="s">
        <v>229</v>
      </c>
      <c r="F5919" s="8" t="s">
        <v>686</v>
      </c>
    </row>
    <row r="5920" spans="1:6" ht="60" x14ac:dyDescent="0.25">
      <c r="A5920" s="8" t="s">
        <v>125</v>
      </c>
      <c r="B5920" s="8" t="s">
        <v>134</v>
      </c>
      <c r="C5920" s="8" t="str">
        <f>IFERROR(_xlfn.XLOOKUP(TRIM(B5920),Lookup!$B$2:$B$1000,Lookup!$C$2:$C$1000),"")</f>
        <v>Debt</v>
      </c>
      <c r="D5920" s="8" t="str">
        <f>IFERROR(INDEX('nav master'!$C:$C, MATCH(B5920, 'nav master'!$B:$B, 0)), "")</f>
        <v>ULIF05601/08/13BondFunds101</v>
      </c>
      <c r="E5920" s="8" t="s">
        <v>231</v>
      </c>
      <c r="F5920" s="8" t="s">
        <v>687</v>
      </c>
    </row>
    <row r="5921" spans="1:6" ht="60" x14ac:dyDescent="0.25">
      <c r="A5921" s="8" t="s">
        <v>125</v>
      </c>
      <c r="B5921" s="8" t="s">
        <v>134</v>
      </c>
      <c r="C5921" s="8" t="str">
        <f>IFERROR(_xlfn.XLOOKUP(TRIM(B5921),Lookup!$B$2:$B$1000,Lookup!$C$2:$C$1000),"")</f>
        <v>Debt</v>
      </c>
      <c r="D5921" s="8" t="str">
        <f>IFERROR(INDEX('nav master'!$C:$C, MATCH(B5921, 'nav master'!$B:$B, 0)), "")</f>
        <v>ULIF05601/08/13BondFunds101</v>
      </c>
      <c r="E5921" s="8" t="s">
        <v>233</v>
      </c>
      <c r="F5921" s="8" t="s">
        <v>688</v>
      </c>
    </row>
    <row r="5922" spans="1:6" ht="60" x14ac:dyDescent="0.25">
      <c r="A5922" s="8" t="s">
        <v>125</v>
      </c>
      <c r="B5922" s="8" t="s">
        <v>134</v>
      </c>
      <c r="C5922" s="8" t="str">
        <f>IFERROR(_xlfn.XLOOKUP(TRIM(B5922),Lookup!$B$2:$B$1000,Lookup!$C$2:$C$1000),"")</f>
        <v>Debt</v>
      </c>
      <c r="D5922" s="8" t="str">
        <f>IFERROR(INDEX('nav master'!$C:$C, MATCH(B5922, 'nav master'!$B:$B, 0)), "")</f>
        <v>ULIF05601/08/13BondFunds101</v>
      </c>
      <c r="E5922" s="8" t="s">
        <v>235</v>
      </c>
      <c r="F5922" s="8" t="s">
        <v>689</v>
      </c>
    </row>
    <row r="5923" spans="1:6" ht="60" x14ac:dyDescent="0.25">
      <c r="A5923" s="8" t="s">
        <v>125</v>
      </c>
      <c r="B5923" s="8" t="s">
        <v>134</v>
      </c>
      <c r="C5923" s="8" t="str">
        <f>IFERROR(_xlfn.XLOOKUP(TRIM(B5923),Lookup!$B$2:$B$1000,Lookup!$C$2:$C$1000),"")</f>
        <v>Debt</v>
      </c>
      <c r="D5923" s="8" t="str">
        <f>IFERROR(INDEX('nav master'!$C:$C, MATCH(B5923, 'nav master'!$B:$B, 0)), "")</f>
        <v>ULIF05601/08/13BondFunds101</v>
      </c>
      <c r="E5923" s="8" t="s">
        <v>237</v>
      </c>
      <c r="F5923" s="8" t="s">
        <v>690</v>
      </c>
    </row>
    <row r="5924" spans="1:6" ht="60" x14ac:dyDescent="0.25">
      <c r="A5924" s="8" t="s">
        <v>125</v>
      </c>
      <c r="B5924" s="8" t="s">
        <v>134</v>
      </c>
      <c r="C5924" s="8" t="str">
        <f>IFERROR(_xlfn.XLOOKUP(TRIM(B5924),Lookup!$B$2:$B$1000,Lookup!$C$2:$C$1000),"")</f>
        <v>Debt</v>
      </c>
      <c r="D5924" s="8" t="str">
        <f>IFERROR(INDEX('nav master'!$C:$C, MATCH(B5924, 'nav master'!$B:$B, 0)), "")</f>
        <v>ULIF05601/08/13BondFunds101</v>
      </c>
      <c r="E5924" s="8" t="s">
        <v>239</v>
      </c>
      <c r="F5924" s="8" t="s">
        <v>691</v>
      </c>
    </row>
    <row r="5925" spans="1:6" ht="60" x14ac:dyDescent="0.25">
      <c r="A5925" s="8" t="s">
        <v>125</v>
      </c>
      <c r="B5925" s="8" t="s">
        <v>134</v>
      </c>
      <c r="C5925" s="8" t="str">
        <f>IFERROR(_xlfn.XLOOKUP(TRIM(B5925),Lookup!$B$2:$B$1000,Lookup!$C$2:$C$1000),"")</f>
        <v>Debt</v>
      </c>
      <c r="D5925" s="8" t="str">
        <f>IFERROR(INDEX('nav master'!$C:$C, MATCH(B5925, 'nav master'!$B:$B, 0)), "")</f>
        <v>ULIF05601/08/13BondFunds101</v>
      </c>
      <c r="E5925" s="8" t="s">
        <v>241</v>
      </c>
      <c r="F5925" s="8" t="s">
        <v>692</v>
      </c>
    </row>
    <row r="5926" spans="1:6" ht="60" x14ac:dyDescent="0.25">
      <c r="A5926" s="8" t="s">
        <v>125</v>
      </c>
      <c r="B5926" s="8" t="s">
        <v>134</v>
      </c>
      <c r="C5926" s="8" t="str">
        <f>IFERROR(_xlfn.XLOOKUP(TRIM(B5926),Lookup!$B$2:$B$1000,Lookup!$C$2:$C$1000),"")</f>
        <v>Debt</v>
      </c>
      <c r="D5926" s="8" t="str">
        <f>IFERROR(INDEX('nav master'!$C:$C, MATCH(B5926, 'nav master'!$B:$B, 0)), "")</f>
        <v>ULIF05601/08/13BondFunds101</v>
      </c>
      <c r="E5926" s="8" t="s">
        <v>243</v>
      </c>
      <c r="F5926" s="8" t="s">
        <v>693</v>
      </c>
    </row>
    <row r="5927" spans="1:6" ht="60" x14ac:dyDescent="0.25">
      <c r="A5927" s="8" t="s">
        <v>125</v>
      </c>
      <c r="B5927" s="8" t="s">
        <v>134</v>
      </c>
      <c r="C5927" s="8" t="str">
        <f>IFERROR(_xlfn.XLOOKUP(TRIM(B5927),Lookup!$B$2:$B$1000,Lookup!$C$2:$C$1000),"")</f>
        <v>Debt</v>
      </c>
      <c r="D5927" s="8" t="str">
        <f>IFERROR(INDEX('nav master'!$C:$C, MATCH(B5927, 'nav master'!$B:$B, 0)), "")</f>
        <v>ULIF05601/08/13BondFunds101</v>
      </c>
      <c r="E5927" s="8" t="s">
        <v>245</v>
      </c>
      <c r="F5927" s="8" t="s">
        <v>694</v>
      </c>
    </row>
    <row r="5928" spans="1:6" ht="60" x14ac:dyDescent="0.25">
      <c r="A5928" s="8" t="s">
        <v>125</v>
      </c>
      <c r="B5928" s="8" t="s">
        <v>134</v>
      </c>
      <c r="C5928" s="8" t="str">
        <f>IFERROR(_xlfn.XLOOKUP(TRIM(B5928),Lookup!$B$2:$B$1000,Lookup!$C$2:$C$1000),"")</f>
        <v>Debt</v>
      </c>
      <c r="D5928" s="8" t="str">
        <f>IFERROR(INDEX('nav master'!$C:$C, MATCH(B5928, 'nav master'!$B:$B, 0)), "")</f>
        <v>ULIF05601/08/13BondFunds101</v>
      </c>
      <c r="E5928" s="8" t="s">
        <v>247</v>
      </c>
      <c r="F5928" s="8" t="s">
        <v>695</v>
      </c>
    </row>
    <row r="5929" spans="1:6" ht="60" x14ac:dyDescent="0.25">
      <c r="A5929" s="8" t="s">
        <v>125</v>
      </c>
      <c r="B5929" s="8" t="s">
        <v>134</v>
      </c>
      <c r="C5929" s="8" t="str">
        <f>IFERROR(_xlfn.XLOOKUP(TRIM(B5929),Lookup!$B$2:$B$1000,Lookup!$C$2:$C$1000),"")</f>
        <v>Debt</v>
      </c>
      <c r="D5929" s="8" t="str">
        <f>IFERROR(INDEX('nav master'!$C:$C, MATCH(B5929, 'nav master'!$B:$B, 0)), "")</f>
        <v>ULIF05601/08/13BondFunds101</v>
      </c>
      <c r="E5929" s="8" t="s">
        <v>249</v>
      </c>
      <c r="F5929" s="8" t="s">
        <v>696</v>
      </c>
    </row>
    <row r="5930" spans="1:6" ht="60" x14ac:dyDescent="0.25">
      <c r="A5930" s="8" t="s">
        <v>125</v>
      </c>
      <c r="B5930" s="8" t="s">
        <v>134</v>
      </c>
      <c r="C5930" s="8" t="str">
        <f>IFERROR(_xlfn.XLOOKUP(TRIM(B5930),Lookup!$B$2:$B$1000,Lookup!$C$2:$C$1000),"")</f>
        <v>Debt</v>
      </c>
      <c r="D5930" s="8" t="str">
        <f>IFERROR(INDEX('nav master'!$C:$C, MATCH(B5930, 'nav master'!$B:$B, 0)), "")</f>
        <v>ULIF05601/08/13BondFunds101</v>
      </c>
      <c r="E5930" s="8" t="s">
        <v>251</v>
      </c>
      <c r="F5930" s="8" t="s">
        <v>697</v>
      </c>
    </row>
    <row r="5931" spans="1:6" ht="60" x14ac:dyDescent="0.25">
      <c r="A5931" s="8" t="s">
        <v>125</v>
      </c>
      <c r="B5931" s="8" t="s">
        <v>134</v>
      </c>
      <c r="C5931" s="8" t="str">
        <f>IFERROR(_xlfn.XLOOKUP(TRIM(B5931),Lookup!$B$2:$B$1000,Lookup!$C$2:$C$1000),"")</f>
        <v>Debt</v>
      </c>
      <c r="D5931" s="8" t="str">
        <f>IFERROR(INDEX('nav master'!$C:$C, MATCH(B5931, 'nav master'!$B:$B, 0)), "")</f>
        <v>ULIF05601/08/13BondFunds101</v>
      </c>
      <c r="E5931" s="8" t="s">
        <v>253</v>
      </c>
      <c r="F5931" s="8" t="s">
        <v>698</v>
      </c>
    </row>
    <row r="5932" spans="1:6" ht="60" x14ac:dyDescent="0.25">
      <c r="A5932" s="8" t="s">
        <v>125</v>
      </c>
      <c r="B5932" s="8" t="s">
        <v>134</v>
      </c>
      <c r="C5932" s="8" t="str">
        <f>IFERROR(_xlfn.XLOOKUP(TRIM(B5932),Lookup!$B$2:$B$1000,Lookup!$C$2:$C$1000),"")</f>
        <v>Debt</v>
      </c>
      <c r="D5932" s="8" t="str">
        <f>IFERROR(INDEX('nav master'!$C:$C, MATCH(B5932, 'nav master'!$B:$B, 0)), "")</f>
        <v>ULIF05601/08/13BondFunds101</v>
      </c>
      <c r="E5932" s="8" t="s">
        <v>255</v>
      </c>
      <c r="F5932" s="8" t="s">
        <v>699</v>
      </c>
    </row>
    <row r="5933" spans="1:6" ht="60" x14ac:dyDescent="0.25">
      <c r="A5933" s="8" t="s">
        <v>125</v>
      </c>
      <c r="B5933" s="8" t="s">
        <v>134</v>
      </c>
      <c r="C5933" s="8" t="str">
        <f>IFERROR(_xlfn.XLOOKUP(TRIM(B5933),Lookup!$B$2:$B$1000,Lookup!$C$2:$C$1000),"")</f>
        <v>Debt</v>
      </c>
      <c r="D5933" s="8" t="str">
        <f>IFERROR(INDEX('nav master'!$C:$C, MATCH(B5933, 'nav master'!$B:$B, 0)), "")</f>
        <v>ULIF05601/08/13BondFunds101</v>
      </c>
      <c r="E5933" s="8" t="s">
        <v>257</v>
      </c>
      <c r="F5933" s="8" t="s">
        <v>700</v>
      </c>
    </row>
    <row r="5934" spans="1:6" ht="60" x14ac:dyDescent="0.25">
      <c r="A5934" s="8" t="s">
        <v>125</v>
      </c>
      <c r="B5934" s="8" t="s">
        <v>134</v>
      </c>
      <c r="C5934" s="8" t="str">
        <f>IFERROR(_xlfn.XLOOKUP(TRIM(B5934),Lookup!$B$2:$B$1000,Lookup!$C$2:$C$1000),"")</f>
        <v>Debt</v>
      </c>
      <c r="D5934" s="8" t="str">
        <f>IFERROR(INDEX('nav master'!$C:$C, MATCH(B5934, 'nav master'!$B:$B, 0)), "")</f>
        <v>ULIF05601/08/13BondFunds101</v>
      </c>
      <c r="E5934" s="8" t="s">
        <v>259</v>
      </c>
      <c r="F5934" s="8" t="s">
        <v>701</v>
      </c>
    </row>
    <row r="5935" spans="1:6" ht="60" x14ac:dyDescent="0.25">
      <c r="A5935" s="8" t="s">
        <v>125</v>
      </c>
      <c r="B5935" s="8" t="s">
        <v>134</v>
      </c>
      <c r="C5935" s="8" t="str">
        <f>IFERROR(_xlfn.XLOOKUP(TRIM(B5935),Lookup!$B$2:$B$1000,Lookup!$C$2:$C$1000),"")</f>
        <v>Debt</v>
      </c>
      <c r="D5935" s="8" t="str">
        <f>IFERROR(INDEX('nav master'!$C:$C, MATCH(B5935, 'nav master'!$B:$B, 0)), "")</f>
        <v>ULIF05601/08/13BondFunds101</v>
      </c>
      <c r="E5935" s="8" t="s">
        <v>261</v>
      </c>
      <c r="F5935" s="8" t="s">
        <v>702</v>
      </c>
    </row>
    <row r="5936" spans="1:6" ht="60" x14ac:dyDescent="0.25">
      <c r="A5936" s="8" t="s">
        <v>125</v>
      </c>
      <c r="B5936" s="8" t="s">
        <v>134</v>
      </c>
      <c r="C5936" s="8" t="str">
        <f>IFERROR(_xlfn.XLOOKUP(TRIM(B5936),Lookup!$B$2:$B$1000,Lookup!$C$2:$C$1000),"")</f>
        <v>Debt</v>
      </c>
      <c r="D5936" s="8" t="str">
        <f>IFERROR(INDEX('nav master'!$C:$C, MATCH(B5936, 'nav master'!$B:$B, 0)), "")</f>
        <v>ULIF05601/08/13BondFunds101</v>
      </c>
      <c r="E5936" s="8" t="s">
        <v>263</v>
      </c>
      <c r="F5936" s="8" t="s">
        <v>703</v>
      </c>
    </row>
    <row r="5937" spans="1:6" ht="60" x14ac:dyDescent="0.25">
      <c r="A5937" s="8" t="s">
        <v>125</v>
      </c>
      <c r="B5937" s="8" t="s">
        <v>134</v>
      </c>
      <c r="C5937" s="8" t="str">
        <f>IFERROR(_xlfn.XLOOKUP(TRIM(B5937),Lookup!$B$2:$B$1000,Lookup!$C$2:$C$1000),"")</f>
        <v>Debt</v>
      </c>
      <c r="D5937" s="8" t="str">
        <f>IFERROR(INDEX('nav master'!$C:$C, MATCH(B5937, 'nav master'!$B:$B, 0)), "")</f>
        <v>ULIF05601/08/13BondFunds101</v>
      </c>
      <c r="E5937" s="8" t="s">
        <v>265</v>
      </c>
      <c r="F5937" s="8" t="s">
        <v>704</v>
      </c>
    </row>
    <row r="5938" spans="1:6" ht="60" x14ac:dyDescent="0.25">
      <c r="A5938" s="8" t="s">
        <v>125</v>
      </c>
      <c r="B5938" s="8" t="s">
        <v>134</v>
      </c>
      <c r="C5938" s="8" t="str">
        <f>IFERROR(_xlfn.XLOOKUP(TRIM(B5938),Lookup!$B$2:$B$1000,Lookup!$C$2:$C$1000),"")</f>
        <v>Debt</v>
      </c>
      <c r="D5938" s="8" t="str">
        <f>IFERROR(INDEX('nav master'!$C:$C, MATCH(B5938, 'nav master'!$B:$B, 0)), "")</f>
        <v>ULIF05601/08/13BondFunds101</v>
      </c>
      <c r="E5938" s="8" t="s">
        <v>267</v>
      </c>
      <c r="F5938" s="8" t="s">
        <v>705</v>
      </c>
    </row>
    <row r="5939" spans="1:6" ht="60" x14ac:dyDescent="0.25">
      <c r="A5939" s="8" t="s">
        <v>125</v>
      </c>
      <c r="B5939" s="8" t="s">
        <v>134</v>
      </c>
      <c r="C5939" s="8" t="str">
        <f>IFERROR(_xlfn.XLOOKUP(TRIM(B5939),Lookup!$B$2:$B$1000,Lookup!$C$2:$C$1000),"")</f>
        <v>Debt</v>
      </c>
      <c r="D5939" s="8" t="str">
        <f>IFERROR(INDEX('nav master'!$C:$C, MATCH(B5939, 'nav master'!$B:$B, 0)), "")</f>
        <v>ULIF05601/08/13BondFunds101</v>
      </c>
      <c r="E5939" s="8" t="s">
        <v>269</v>
      </c>
      <c r="F5939" s="8" t="s">
        <v>706</v>
      </c>
    </row>
    <row r="5940" spans="1:6" ht="60" x14ac:dyDescent="0.25">
      <c r="A5940" s="8" t="s">
        <v>125</v>
      </c>
      <c r="B5940" s="8" t="s">
        <v>134</v>
      </c>
      <c r="C5940" s="8" t="str">
        <f>IFERROR(_xlfn.XLOOKUP(TRIM(B5940),Lookup!$B$2:$B$1000,Lookup!$C$2:$C$1000),"")</f>
        <v>Debt</v>
      </c>
      <c r="D5940" s="8" t="str">
        <f>IFERROR(INDEX('nav master'!$C:$C, MATCH(B5940, 'nav master'!$B:$B, 0)), "")</f>
        <v>ULIF05601/08/13BondFunds101</v>
      </c>
      <c r="E5940" s="8" t="s">
        <v>271</v>
      </c>
      <c r="F5940" s="8" t="s">
        <v>707</v>
      </c>
    </row>
    <row r="5941" spans="1:6" ht="60" x14ac:dyDescent="0.25">
      <c r="A5941" s="8" t="s">
        <v>125</v>
      </c>
      <c r="B5941" s="8" t="s">
        <v>134</v>
      </c>
      <c r="C5941" s="8" t="str">
        <f>IFERROR(_xlfn.XLOOKUP(TRIM(B5941),Lookup!$B$2:$B$1000,Lookup!$C$2:$C$1000),"")</f>
        <v>Debt</v>
      </c>
      <c r="D5941" s="8" t="str">
        <f>IFERROR(INDEX('nav master'!$C:$C, MATCH(B5941, 'nav master'!$B:$B, 0)), "")</f>
        <v>ULIF05601/08/13BondFunds101</v>
      </c>
      <c r="E5941" s="8" t="s">
        <v>273</v>
      </c>
      <c r="F5941" s="8" t="s">
        <v>708</v>
      </c>
    </row>
    <row r="5942" spans="1:6" ht="60" x14ac:dyDescent="0.25">
      <c r="A5942" s="8" t="s">
        <v>125</v>
      </c>
      <c r="B5942" s="8" t="s">
        <v>134</v>
      </c>
      <c r="C5942" s="8" t="str">
        <f>IFERROR(_xlfn.XLOOKUP(TRIM(B5942),Lookup!$B$2:$B$1000,Lookup!$C$2:$C$1000),"")</f>
        <v>Debt</v>
      </c>
      <c r="D5942" s="8" t="str">
        <f>IFERROR(INDEX('nav master'!$C:$C, MATCH(B5942, 'nav master'!$B:$B, 0)), "")</f>
        <v>ULIF05601/08/13BondFunds101</v>
      </c>
      <c r="E5942" s="8" t="s">
        <v>275</v>
      </c>
      <c r="F5942" s="8" t="s">
        <v>709</v>
      </c>
    </row>
    <row r="5943" spans="1:6" ht="60" x14ac:dyDescent="0.25">
      <c r="A5943" s="8" t="s">
        <v>125</v>
      </c>
      <c r="B5943" s="8" t="s">
        <v>134</v>
      </c>
      <c r="C5943" s="8" t="str">
        <f>IFERROR(_xlfn.XLOOKUP(TRIM(B5943),Lookup!$B$2:$B$1000,Lookup!$C$2:$C$1000),"")</f>
        <v>Debt</v>
      </c>
      <c r="D5943" s="8" t="str">
        <f>IFERROR(INDEX('nav master'!$C:$C, MATCH(B5943, 'nav master'!$B:$B, 0)), "")</f>
        <v>ULIF05601/08/13BondFunds101</v>
      </c>
      <c r="E5943" s="8" t="s">
        <v>277</v>
      </c>
      <c r="F5943" s="8" t="s">
        <v>710</v>
      </c>
    </row>
    <row r="5944" spans="1:6" ht="60" x14ac:dyDescent="0.25">
      <c r="A5944" s="8" t="s">
        <v>125</v>
      </c>
      <c r="B5944" s="8" t="s">
        <v>134</v>
      </c>
      <c r="C5944" s="8" t="str">
        <f>IFERROR(_xlfn.XLOOKUP(TRIM(B5944),Lookup!$B$2:$B$1000,Lookup!$C$2:$C$1000),"")</f>
        <v>Debt</v>
      </c>
      <c r="D5944" s="8" t="str">
        <f>IFERROR(INDEX('nav master'!$C:$C, MATCH(B5944, 'nav master'!$B:$B, 0)), "")</f>
        <v>ULIF05601/08/13BondFunds101</v>
      </c>
      <c r="E5944" s="8" t="s">
        <v>279</v>
      </c>
      <c r="F5944" s="8" t="s">
        <v>711</v>
      </c>
    </row>
    <row r="5945" spans="1:6" ht="60" x14ac:dyDescent="0.25">
      <c r="A5945" s="8" t="s">
        <v>125</v>
      </c>
      <c r="B5945" s="8" t="s">
        <v>134</v>
      </c>
      <c r="C5945" s="8" t="str">
        <f>IFERROR(_xlfn.XLOOKUP(TRIM(B5945),Lookup!$B$2:$B$1000,Lookup!$C$2:$C$1000),"")</f>
        <v>Debt</v>
      </c>
      <c r="D5945" s="8" t="str">
        <f>IFERROR(INDEX('nav master'!$C:$C, MATCH(B5945, 'nav master'!$B:$B, 0)), "")</f>
        <v>ULIF05601/08/13BondFunds101</v>
      </c>
      <c r="E5945" s="8" t="s">
        <v>281</v>
      </c>
      <c r="F5945" s="8" t="s">
        <v>712</v>
      </c>
    </row>
    <row r="5946" spans="1:6" ht="60" x14ac:dyDescent="0.25">
      <c r="A5946" s="8" t="s">
        <v>125</v>
      </c>
      <c r="B5946" s="8" t="s">
        <v>134</v>
      </c>
      <c r="C5946" s="8" t="str">
        <f>IFERROR(_xlfn.XLOOKUP(TRIM(B5946),Lookup!$B$2:$B$1000,Lookup!$C$2:$C$1000),"")</f>
        <v>Debt</v>
      </c>
      <c r="D5946" s="8" t="str">
        <f>IFERROR(INDEX('nav master'!$C:$C, MATCH(B5946, 'nav master'!$B:$B, 0)), "")</f>
        <v>ULIF05601/08/13BondFunds101</v>
      </c>
      <c r="E5946" s="8" t="s">
        <v>283</v>
      </c>
      <c r="F5946" s="8" t="s">
        <v>713</v>
      </c>
    </row>
    <row r="5947" spans="1:6" ht="60" x14ac:dyDescent="0.25">
      <c r="A5947" s="8" t="s">
        <v>125</v>
      </c>
      <c r="B5947" s="8" t="s">
        <v>134</v>
      </c>
      <c r="C5947" s="8" t="str">
        <f>IFERROR(_xlfn.XLOOKUP(TRIM(B5947),Lookup!$B$2:$B$1000,Lookup!$C$2:$C$1000),"")</f>
        <v>Debt</v>
      </c>
      <c r="D5947" s="8" t="str">
        <f>IFERROR(INDEX('nav master'!$C:$C, MATCH(B5947, 'nav master'!$B:$B, 0)), "")</f>
        <v>ULIF05601/08/13BondFunds101</v>
      </c>
      <c r="E5947" s="8" t="s">
        <v>285</v>
      </c>
      <c r="F5947" s="8" t="s">
        <v>714</v>
      </c>
    </row>
    <row r="5948" spans="1:6" ht="60" x14ac:dyDescent="0.25">
      <c r="A5948" s="8" t="s">
        <v>125</v>
      </c>
      <c r="B5948" s="8" t="s">
        <v>134</v>
      </c>
      <c r="C5948" s="8" t="str">
        <f>IFERROR(_xlfn.XLOOKUP(TRIM(B5948),Lookup!$B$2:$B$1000,Lookup!$C$2:$C$1000),"")</f>
        <v>Debt</v>
      </c>
      <c r="D5948" s="8" t="str">
        <f>IFERROR(INDEX('nav master'!$C:$C, MATCH(B5948, 'nav master'!$B:$B, 0)), "")</f>
        <v>ULIF05601/08/13BondFunds101</v>
      </c>
      <c r="E5948" s="8" t="s">
        <v>287</v>
      </c>
      <c r="F5948" s="8" t="s">
        <v>715</v>
      </c>
    </row>
    <row r="5949" spans="1:6" ht="60" x14ac:dyDescent="0.25">
      <c r="A5949" s="8" t="s">
        <v>125</v>
      </c>
      <c r="B5949" s="8" t="s">
        <v>134</v>
      </c>
      <c r="C5949" s="8" t="str">
        <f>IFERROR(_xlfn.XLOOKUP(TRIM(B5949),Lookup!$B$2:$B$1000,Lookup!$C$2:$C$1000),"")</f>
        <v>Debt</v>
      </c>
      <c r="D5949" s="8" t="str">
        <f>IFERROR(INDEX('nav master'!$C:$C, MATCH(B5949, 'nav master'!$B:$B, 0)), "")</f>
        <v>ULIF05601/08/13BondFunds101</v>
      </c>
      <c r="E5949" s="8" t="s">
        <v>289</v>
      </c>
      <c r="F5949" s="8" t="s">
        <v>716</v>
      </c>
    </row>
    <row r="5950" spans="1:6" ht="60" x14ac:dyDescent="0.25">
      <c r="A5950" s="8" t="s">
        <v>125</v>
      </c>
      <c r="B5950" s="8" t="s">
        <v>134</v>
      </c>
      <c r="C5950" s="8" t="str">
        <f>IFERROR(_xlfn.XLOOKUP(TRIM(B5950),Lookup!$B$2:$B$1000,Lookup!$C$2:$C$1000),"")</f>
        <v>Debt</v>
      </c>
      <c r="D5950" s="8" t="str">
        <f>IFERROR(INDEX('nav master'!$C:$C, MATCH(B5950, 'nav master'!$B:$B, 0)), "")</f>
        <v>ULIF05601/08/13BondFunds101</v>
      </c>
      <c r="E5950" s="8" t="s">
        <v>291</v>
      </c>
      <c r="F5950" s="8" t="s">
        <v>717</v>
      </c>
    </row>
    <row r="5951" spans="1:6" ht="60" x14ac:dyDescent="0.25">
      <c r="A5951" s="8" t="s">
        <v>125</v>
      </c>
      <c r="B5951" s="8" t="s">
        <v>134</v>
      </c>
      <c r="C5951" s="8" t="str">
        <f>IFERROR(_xlfn.XLOOKUP(TRIM(B5951),Lookup!$B$2:$B$1000,Lookup!$C$2:$C$1000),"")</f>
        <v>Debt</v>
      </c>
      <c r="D5951" s="8" t="str">
        <f>IFERROR(INDEX('nav master'!$C:$C, MATCH(B5951, 'nav master'!$B:$B, 0)), "")</f>
        <v>ULIF05601/08/13BondFunds101</v>
      </c>
      <c r="E5951" s="8" t="s">
        <v>293</v>
      </c>
      <c r="F5951" s="8" t="s">
        <v>718</v>
      </c>
    </row>
    <row r="5952" spans="1:6" ht="60" x14ac:dyDescent="0.25">
      <c r="A5952" s="8" t="s">
        <v>125</v>
      </c>
      <c r="B5952" s="8" t="s">
        <v>134</v>
      </c>
      <c r="C5952" s="8" t="str">
        <f>IFERROR(_xlfn.XLOOKUP(TRIM(B5952),Lookup!$B$2:$B$1000,Lookup!$C$2:$C$1000),"")</f>
        <v>Debt</v>
      </c>
      <c r="D5952" s="8" t="str">
        <f>IFERROR(INDEX('nav master'!$C:$C, MATCH(B5952, 'nav master'!$B:$B, 0)), "")</f>
        <v>ULIF05601/08/13BondFunds101</v>
      </c>
      <c r="E5952" s="8" t="s">
        <v>295</v>
      </c>
      <c r="F5952" s="8" t="s">
        <v>719</v>
      </c>
    </row>
    <row r="5953" spans="1:6" ht="60" x14ac:dyDescent="0.25">
      <c r="A5953" s="8" t="s">
        <v>125</v>
      </c>
      <c r="B5953" s="8" t="s">
        <v>134</v>
      </c>
      <c r="C5953" s="8" t="str">
        <f>IFERROR(_xlfn.XLOOKUP(TRIM(B5953),Lookup!$B$2:$B$1000,Lookup!$C$2:$C$1000),"")</f>
        <v>Debt</v>
      </c>
      <c r="D5953" s="8" t="str">
        <f>IFERROR(INDEX('nav master'!$C:$C, MATCH(B5953, 'nav master'!$B:$B, 0)), "")</f>
        <v>ULIF05601/08/13BondFunds101</v>
      </c>
      <c r="E5953" s="8" t="s">
        <v>297</v>
      </c>
      <c r="F5953" s="8" t="s">
        <v>720</v>
      </c>
    </row>
    <row r="5954" spans="1:6" ht="60" x14ac:dyDescent="0.25">
      <c r="A5954" s="8" t="s">
        <v>125</v>
      </c>
      <c r="B5954" s="8" t="s">
        <v>134</v>
      </c>
      <c r="C5954" s="8" t="str">
        <f>IFERROR(_xlfn.XLOOKUP(TRIM(B5954),Lookup!$B$2:$B$1000,Lookup!$C$2:$C$1000),"")</f>
        <v>Debt</v>
      </c>
      <c r="D5954" s="8" t="str">
        <f>IFERROR(INDEX('nav master'!$C:$C, MATCH(B5954, 'nav master'!$B:$B, 0)), "")</f>
        <v>ULIF05601/08/13BondFunds101</v>
      </c>
      <c r="E5954" s="8" t="s">
        <v>299</v>
      </c>
      <c r="F5954" s="8" t="s">
        <v>721</v>
      </c>
    </row>
    <row r="5955" spans="1:6" ht="60" x14ac:dyDescent="0.25">
      <c r="A5955" s="8" t="s">
        <v>125</v>
      </c>
      <c r="B5955" s="8" t="s">
        <v>134</v>
      </c>
      <c r="C5955" s="8" t="str">
        <f>IFERROR(_xlfn.XLOOKUP(TRIM(B5955),Lookup!$B$2:$B$1000,Lookup!$C$2:$C$1000),"")</f>
        <v>Debt</v>
      </c>
      <c r="D5955" s="8" t="str">
        <f>IFERROR(INDEX('nav master'!$C:$C, MATCH(B5955, 'nav master'!$B:$B, 0)), "")</f>
        <v>ULIF05601/08/13BondFunds101</v>
      </c>
      <c r="E5955" s="8" t="s">
        <v>301</v>
      </c>
      <c r="F5955" s="8" t="s">
        <v>722</v>
      </c>
    </row>
    <row r="5956" spans="1:6" ht="60" x14ac:dyDescent="0.25">
      <c r="A5956" s="8" t="s">
        <v>125</v>
      </c>
      <c r="B5956" s="8" t="s">
        <v>134</v>
      </c>
      <c r="C5956" s="8" t="str">
        <f>IFERROR(_xlfn.XLOOKUP(TRIM(B5956),Lookup!$B$2:$B$1000,Lookup!$C$2:$C$1000),"")</f>
        <v>Debt</v>
      </c>
      <c r="D5956" s="8" t="str">
        <f>IFERROR(INDEX('nav master'!$C:$C, MATCH(B5956, 'nav master'!$B:$B, 0)), "")</f>
        <v>ULIF05601/08/13BondFunds101</v>
      </c>
      <c r="E5956" s="8" t="s">
        <v>303</v>
      </c>
      <c r="F5956" s="8" t="s">
        <v>723</v>
      </c>
    </row>
    <row r="5957" spans="1:6" ht="60" x14ac:dyDescent="0.25">
      <c r="A5957" s="8" t="s">
        <v>125</v>
      </c>
      <c r="B5957" s="8" t="s">
        <v>134</v>
      </c>
      <c r="C5957" s="8" t="str">
        <f>IFERROR(_xlfn.XLOOKUP(TRIM(B5957),Lookup!$B$2:$B$1000,Lookup!$C$2:$C$1000),"")</f>
        <v>Debt</v>
      </c>
      <c r="D5957" s="8" t="str">
        <f>IFERROR(INDEX('nav master'!$C:$C, MATCH(B5957, 'nav master'!$B:$B, 0)), "")</f>
        <v>ULIF05601/08/13BondFunds101</v>
      </c>
      <c r="E5957" s="8" t="s">
        <v>305</v>
      </c>
      <c r="F5957" s="8" t="s">
        <v>724</v>
      </c>
    </row>
    <row r="5958" spans="1:6" ht="60" x14ac:dyDescent="0.25">
      <c r="A5958" s="8" t="s">
        <v>125</v>
      </c>
      <c r="B5958" s="8" t="s">
        <v>134</v>
      </c>
      <c r="C5958" s="8" t="str">
        <f>IFERROR(_xlfn.XLOOKUP(TRIM(B5958),Lookup!$B$2:$B$1000,Lookup!$C$2:$C$1000),"")</f>
        <v>Debt</v>
      </c>
      <c r="D5958" s="8" t="str">
        <f>IFERROR(INDEX('nav master'!$C:$C, MATCH(B5958, 'nav master'!$B:$B, 0)), "")</f>
        <v>ULIF05601/08/13BondFunds101</v>
      </c>
      <c r="E5958" s="8" t="s">
        <v>307</v>
      </c>
      <c r="F5958" s="8" t="s">
        <v>725</v>
      </c>
    </row>
    <row r="5959" spans="1:6" ht="60" x14ac:dyDescent="0.25">
      <c r="A5959" s="8" t="s">
        <v>125</v>
      </c>
      <c r="B5959" s="8" t="s">
        <v>134</v>
      </c>
      <c r="C5959" s="8" t="str">
        <f>IFERROR(_xlfn.XLOOKUP(TRIM(B5959),Lookup!$B$2:$B$1000,Lookup!$C$2:$C$1000),"")</f>
        <v>Debt</v>
      </c>
      <c r="D5959" s="8" t="str">
        <f>IFERROR(INDEX('nav master'!$C:$C, MATCH(B5959, 'nav master'!$B:$B, 0)), "")</f>
        <v>ULIF05601/08/13BondFunds101</v>
      </c>
      <c r="E5959" s="8" t="s">
        <v>309</v>
      </c>
      <c r="F5959" s="8" t="s">
        <v>726</v>
      </c>
    </row>
    <row r="5960" spans="1:6" ht="60" x14ac:dyDescent="0.25">
      <c r="A5960" s="8" t="s">
        <v>125</v>
      </c>
      <c r="B5960" s="8" t="s">
        <v>134</v>
      </c>
      <c r="C5960" s="8" t="str">
        <f>IFERROR(_xlfn.XLOOKUP(TRIM(B5960),Lookup!$B$2:$B$1000,Lookup!$C$2:$C$1000),"")</f>
        <v>Debt</v>
      </c>
      <c r="D5960" s="8" t="str">
        <f>IFERROR(INDEX('nav master'!$C:$C, MATCH(B5960, 'nav master'!$B:$B, 0)), "")</f>
        <v>ULIF05601/08/13BondFunds101</v>
      </c>
      <c r="E5960" s="8" t="s">
        <v>311</v>
      </c>
      <c r="F5960" s="8" t="s">
        <v>727</v>
      </c>
    </row>
    <row r="5961" spans="1:6" ht="60" x14ac:dyDescent="0.25">
      <c r="A5961" s="8" t="s">
        <v>125</v>
      </c>
      <c r="B5961" s="8" t="s">
        <v>134</v>
      </c>
      <c r="C5961" s="8" t="str">
        <f>IFERROR(_xlfn.XLOOKUP(TRIM(B5961),Lookup!$B$2:$B$1000,Lookup!$C$2:$C$1000),"")</f>
        <v>Debt</v>
      </c>
      <c r="D5961" s="8" t="str">
        <f>IFERROR(INDEX('nav master'!$C:$C, MATCH(B5961, 'nav master'!$B:$B, 0)), "")</f>
        <v>ULIF05601/08/13BondFunds101</v>
      </c>
      <c r="E5961" s="8" t="s">
        <v>313</v>
      </c>
      <c r="F5961" s="8" t="s">
        <v>728</v>
      </c>
    </row>
    <row r="5962" spans="1:6" ht="60" x14ac:dyDescent="0.25">
      <c r="A5962" s="8" t="s">
        <v>125</v>
      </c>
      <c r="B5962" s="8" t="s">
        <v>134</v>
      </c>
      <c r="C5962" s="8" t="str">
        <f>IFERROR(_xlfn.XLOOKUP(TRIM(B5962),Lookup!$B$2:$B$1000,Lookup!$C$2:$C$1000),"")</f>
        <v>Debt</v>
      </c>
      <c r="D5962" s="8" t="str">
        <f>IFERROR(INDEX('nav master'!$C:$C, MATCH(B5962, 'nav master'!$B:$B, 0)), "")</f>
        <v>ULIF05601/08/13BondFunds101</v>
      </c>
      <c r="E5962" s="8" t="s">
        <v>315</v>
      </c>
      <c r="F5962" s="8" t="s">
        <v>729</v>
      </c>
    </row>
    <row r="5963" spans="1:6" ht="60" x14ac:dyDescent="0.25">
      <c r="A5963" s="8" t="s">
        <v>125</v>
      </c>
      <c r="B5963" s="8" t="s">
        <v>134</v>
      </c>
      <c r="C5963" s="8" t="str">
        <f>IFERROR(_xlfn.XLOOKUP(TRIM(B5963),Lookup!$B$2:$B$1000,Lookup!$C$2:$C$1000),"")</f>
        <v>Debt</v>
      </c>
      <c r="D5963" s="8" t="str">
        <f>IFERROR(INDEX('nav master'!$C:$C, MATCH(B5963, 'nav master'!$B:$B, 0)), "")</f>
        <v>ULIF05601/08/13BondFunds101</v>
      </c>
      <c r="E5963" s="8" t="s">
        <v>317</v>
      </c>
      <c r="F5963" s="8" t="s">
        <v>730</v>
      </c>
    </row>
    <row r="5964" spans="1:6" ht="60" x14ac:dyDescent="0.25">
      <c r="A5964" s="8" t="s">
        <v>125</v>
      </c>
      <c r="B5964" s="8" t="s">
        <v>134</v>
      </c>
      <c r="C5964" s="8" t="str">
        <f>IFERROR(_xlfn.XLOOKUP(TRIM(B5964),Lookup!$B$2:$B$1000,Lookup!$C$2:$C$1000),"")</f>
        <v>Debt</v>
      </c>
      <c r="D5964" s="8" t="str">
        <f>IFERROR(INDEX('nav master'!$C:$C, MATCH(B5964, 'nav master'!$B:$B, 0)), "")</f>
        <v>ULIF05601/08/13BondFunds101</v>
      </c>
      <c r="E5964" s="8" t="s">
        <v>319</v>
      </c>
      <c r="F5964" s="8" t="s">
        <v>731</v>
      </c>
    </row>
    <row r="5965" spans="1:6" ht="60" x14ac:dyDescent="0.25">
      <c r="A5965" s="8" t="s">
        <v>125</v>
      </c>
      <c r="B5965" s="8" t="s">
        <v>134</v>
      </c>
      <c r="C5965" s="8" t="str">
        <f>IFERROR(_xlfn.XLOOKUP(TRIM(B5965),Lookup!$B$2:$B$1000,Lookup!$C$2:$C$1000),"")</f>
        <v>Debt</v>
      </c>
      <c r="D5965" s="8" t="str">
        <f>IFERROR(INDEX('nav master'!$C:$C, MATCH(B5965, 'nav master'!$B:$B, 0)), "")</f>
        <v>ULIF05601/08/13BondFunds101</v>
      </c>
      <c r="E5965" s="8" t="s">
        <v>321</v>
      </c>
      <c r="F5965" s="8" t="s">
        <v>732</v>
      </c>
    </row>
    <row r="5966" spans="1:6" ht="60" x14ac:dyDescent="0.25">
      <c r="A5966" s="8" t="s">
        <v>125</v>
      </c>
      <c r="B5966" s="8" t="s">
        <v>134</v>
      </c>
      <c r="C5966" s="8" t="str">
        <f>IFERROR(_xlfn.XLOOKUP(TRIM(B5966),Lookup!$B$2:$B$1000,Lookup!$C$2:$C$1000),"")</f>
        <v>Debt</v>
      </c>
      <c r="D5966" s="8" t="str">
        <f>IFERROR(INDEX('nav master'!$C:$C, MATCH(B5966, 'nav master'!$B:$B, 0)), "")</f>
        <v>ULIF05601/08/13BondFunds101</v>
      </c>
      <c r="E5966" s="8" t="s">
        <v>323</v>
      </c>
      <c r="F5966" s="8" t="s">
        <v>733</v>
      </c>
    </row>
    <row r="5967" spans="1:6" ht="60" x14ac:dyDescent="0.25">
      <c r="A5967" s="8" t="s">
        <v>125</v>
      </c>
      <c r="B5967" s="8" t="s">
        <v>134</v>
      </c>
      <c r="C5967" s="8" t="str">
        <f>IFERROR(_xlfn.XLOOKUP(TRIM(B5967),Lookup!$B$2:$B$1000,Lookup!$C$2:$C$1000),"")</f>
        <v>Debt</v>
      </c>
      <c r="D5967" s="8" t="str">
        <f>IFERROR(INDEX('nav master'!$C:$C, MATCH(B5967, 'nav master'!$B:$B, 0)), "")</f>
        <v>ULIF05601/08/13BondFunds101</v>
      </c>
      <c r="E5967" s="8" t="s">
        <v>325</v>
      </c>
      <c r="F5967" s="8" t="s">
        <v>733</v>
      </c>
    </row>
    <row r="5968" spans="1:6" ht="60" x14ac:dyDescent="0.25">
      <c r="A5968" s="8" t="s">
        <v>125</v>
      </c>
      <c r="B5968" s="8" t="s">
        <v>134</v>
      </c>
      <c r="C5968" s="8" t="str">
        <f>IFERROR(_xlfn.XLOOKUP(TRIM(B5968),Lookup!$B$2:$B$1000,Lookup!$C$2:$C$1000),"")</f>
        <v>Debt</v>
      </c>
      <c r="D5968" s="8" t="str">
        <f>IFERROR(INDEX('nav master'!$C:$C, MATCH(B5968, 'nav master'!$B:$B, 0)), "")</f>
        <v>ULIF05601/08/13BondFunds101</v>
      </c>
      <c r="E5968" s="8" t="s">
        <v>327</v>
      </c>
      <c r="F5968" s="8" t="s">
        <v>734</v>
      </c>
    </row>
    <row r="5969" spans="1:6" ht="60" x14ac:dyDescent="0.25">
      <c r="A5969" s="8" t="s">
        <v>125</v>
      </c>
      <c r="B5969" s="8" t="s">
        <v>134</v>
      </c>
      <c r="C5969" s="8" t="str">
        <f>IFERROR(_xlfn.XLOOKUP(TRIM(B5969),Lookup!$B$2:$B$1000,Lookup!$C$2:$C$1000),"")</f>
        <v>Debt</v>
      </c>
      <c r="D5969" s="8" t="str">
        <f>IFERROR(INDEX('nav master'!$C:$C, MATCH(B5969, 'nav master'!$B:$B, 0)), "")</f>
        <v>ULIF05601/08/13BondFunds101</v>
      </c>
      <c r="E5969" s="8" t="s">
        <v>329</v>
      </c>
      <c r="F5969" s="8" t="s">
        <v>735</v>
      </c>
    </row>
    <row r="5970" spans="1:6" ht="60" x14ac:dyDescent="0.25">
      <c r="A5970" s="8" t="s">
        <v>125</v>
      </c>
      <c r="B5970" s="8" t="s">
        <v>134</v>
      </c>
      <c r="C5970" s="8" t="str">
        <f>IFERROR(_xlfn.XLOOKUP(TRIM(B5970),Lookup!$B$2:$B$1000,Lookup!$C$2:$C$1000),"")</f>
        <v>Debt</v>
      </c>
      <c r="D5970" s="8" t="str">
        <f>IFERROR(INDEX('nav master'!$C:$C, MATCH(B5970, 'nav master'!$B:$B, 0)), "")</f>
        <v>ULIF05601/08/13BondFunds101</v>
      </c>
      <c r="E5970" s="8" t="s">
        <v>331</v>
      </c>
      <c r="F5970" s="8" t="s">
        <v>736</v>
      </c>
    </row>
    <row r="5971" spans="1:6" ht="60" x14ac:dyDescent="0.25">
      <c r="A5971" s="8" t="s">
        <v>125</v>
      </c>
      <c r="B5971" s="8" t="s">
        <v>134</v>
      </c>
      <c r="C5971" s="8" t="str">
        <f>IFERROR(_xlfn.XLOOKUP(TRIM(B5971),Lookup!$B$2:$B$1000,Lookup!$C$2:$C$1000),"")</f>
        <v>Debt</v>
      </c>
      <c r="D5971" s="8" t="str">
        <f>IFERROR(INDEX('nav master'!$C:$C, MATCH(B5971, 'nav master'!$B:$B, 0)), "")</f>
        <v>ULIF05601/08/13BondFunds101</v>
      </c>
      <c r="E5971" s="8" t="s">
        <v>333</v>
      </c>
      <c r="F5971" s="8" t="s">
        <v>737</v>
      </c>
    </row>
    <row r="5972" spans="1:6" ht="60" x14ac:dyDescent="0.25">
      <c r="A5972" s="8" t="s">
        <v>125</v>
      </c>
      <c r="B5972" s="8" t="s">
        <v>134</v>
      </c>
      <c r="C5972" s="8" t="str">
        <f>IFERROR(_xlfn.XLOOKUP(TRIM(B5972),Lookup!$B$2:$B$1000,Lookup!$C$2:$C$1000),"")</f>
        <v>Debt</v>
      </c>
      <c r="D5972" s="8" t="str">
        <f>IFERROR(INDEX('nav master'!$C:$C, MATCH(B5972, 'nav master'!$B:$B, 0)), "")</f>
        <v>ULIF05601/08/13BondFunds101</v>
      </c>
      <c r="E5972" s="8" t="s">
        <v>335</v>
      </c>
      <c r="F5972" s="8" t="s">
        <v>738</v>
      </c>
    </row>
    <row r="5973" spans="1:6" ht="60" x14ac:dyDescent="0.25">
      <c r="A5973" s="8" t="s">
        <v>125</v>
      </c>
      <c r="B5973" s="8" t="s">
        <v>134</v>
      </c>
      <c r="C5973" s="8" t="str">
        <f>IFERROR(_xlfn.XLOOKUP(TRIM(B5973),Lookup!$B$2:$B$1000,Lookup!$C$2:$C$1000),"")</f>
        <v>Debt</v>
      </c>
      <c r="D5973" s="8" t="str">
        <f>IFERROR(INDEX('nav master'!$C:$C, MATCH(B5973, 'nav master'!$B:$B, 0)), "")</f>
        <v>ULIF05601/08/13BondFunds101</v>
      </c>
      <c r="E5973" s="8" t="s">
        <v>337</v>
      </c>
      <c r="F5973" s="8" t="s">
        <v>739</v>
      </c>
    </row>
    <row r="5974" spans="1:6" ht="60" x14ac:dyDescent="0.25">
      <c r="A5974" s="8" t="s">
        <v>125</v>
      </c>
      <c r="B5974" s="8" t="s">
        <v>134</v>
      </c>
      <c r="C5974" s="8" t="str">
        <f>IFERROR(_xlfn.XLOOKUP(TRIM(B5974),Lookup!$B$2:$B$1000,Lookup!$C$2:$C$1000),"")</f>
        <v>Debt</v>
      </c>
      <c r="D5974" s="8" t="str">
        <f>IFERROR(INDEX('nav master'!$C:$C, MATCH(B5974, 'nav master'!$B:$B, 0)), "")</f>
        <v>ULIF05601/08/13BondFunds101</v>
      </c>
      <c r="E5974" s="8" t="s">
        <v>339</v>
      </c>
      <c r="F5974" s="8" t="s">
        <v>740</v>
      </c>
    </row>
    <row r="5975" spans="1:6" ht="60" x14ac:dyDescent="0.25">
      <c r="A5975" s="8" t="s">
        <v>125</v>
      </c>
      <c r="B5975" s="8" t="s">
        <v>134</v>
      </c>
      <c r="C5975" s="8" t="str">
        <f>IFERROR(_xlfn.XLOOKUP(TRIM(B5975),Lookup!$B$2:$B$1000,Lookup!$C$2:$C$1000),"")</f>
        <v>Debt</v>
      </c>
      <c r="D5975" s="8" t="str">
        <f>IFERROR(INDEX('nav master'!$C:$C, MATCH(B5975, 'nav master'!$B:$B, 0)), "")</f>
        <v>ULIF05601/08/13BondFunds101</v>
      </c>
      <c r="E5975" s="8" t="s">
        <v>341</v>
      </c>
      <c r="F5975" s="8" t="s">
        <v>741</v>
      </c>
    </row>
    <row r="5976" spans="1:6" ht="60" x14ac:dyDescent="0.25">
      <c r="A5976" s="8" t="s">
        <v>125</v>
      </c>
      <c r="B5976" s="8" t="s">
        <v>134</v>
      </c>
      <c r="C5976" s="8" t="str">
        <f>IFERROR(_xlfn.XLOOKUP(TRIM(B5976),Lookup!$B$2:$B$1000,Lookup!$C$2:$C$1000),"")</f>
        <v>Debt</v>
      </c>
      <c r="D5976" s="8" t="str">
        <f>IFERROR(INDEX('nav master'!$C:$C, MATCH(B5976, 'nav master'!$B:$B, 0)), "")</f>
        <v>ULIF05601/08/13BondFunds101</v>
      </c>
      <c r="E5976" s="8" t="s">
        <v>343</v>
      </c>
      <c r="F5976" s="8" t="s">
        <v>742</v>
      </c>
    </row>
    <row r="5977" spans="1:6" ht="60" x14ac:dyDescent="0.25">
      <c r="A5977" s="8" t="s">
        <v>125</v>
      </c>
      <c r="B5977" s="8" t="s">
        <v>134</v>
      </c>
      <c r="C5977" s="8" t="str">
        <f>IFERROR(_xlfn.XLOOKUP(TRIM(B5977),Lookup!$B$2:$B$1000,Lookup!$C$2:$C$1000),"")</f>
        <v>Debt</v>
      </c>
      <c r="D5977" s="8" t="str">
        <f>IFERROR(INDEX('nav master'!$C:$C, MATCH(B5977, 'nav master'!$B:$B, 0)), "")</f>
        <v>ULIF05601/08/13BondFunds101</v>
      </c>
      <c r="E5977" s="8" t="s">
        <v>345</v>
      </c>
      <c r="F5977" s="8" t="s">
        <v>743</v>
      </c>
    </row>
    <row r="5978" spans="1:6" ht="60" x14ac:dyDescent="0.25">
      <c r="A5978" s="8" t="s">
        <v>125</v>
      </c>
      <c r="B5978" s="8" t="s">
        <v>134</v>
      </c>
      <c r="C5978" s="8" t="str">
        <f>IFERROR(_xlfn.XLOOKUP(TRIM(B5978),Lookup!$B$2:$B$1000,Lookup!$C$2:$C$1000),"")</f>
        <v>Debt</v>
      </c>
      <c r="D5978" s="8" t="str">
        <f>IFERROR(INDEX('nav master'!$C:$C, MATCH(B5978, 'nav master'!$B:$B, 0)), "")</f>
        <v>ULIF05601/08/13BondFunds101</v>
      </c>
      <c r="E5978" s="8" t="s">
        <v>347</v>
      </c>
      <c r="F5978" s="8" t="s">
        <v>744</v>
      </c>
    </row>
    <row r="5979" spans="1:6" ht="60" x14ac:dyDescent="0.25">
      <c r="A5979" s="8" t="s">
        <v>125</v>
      </c>
      <c r="B5979" s="8" t="s">
        <v>134</v>
      </c>
      <c r="C5979" s="8" t="str">
        <f>IFERROR(_xlfn.XLOOKUP(TRIM(B5979),Lookup!$B$2:$B$1000,Lookup!$C$2:$C$1000),"")</f>
        <v>Debt</v>
      </c>
      <c r="D5979" s="8" t="str">
        <f>IFERROR(INDEX('nav master'!$C:$C, MATCH(B5979, 'nav master'!$B:$B, 0)), "")</f>
        <v>ULIF05601/08/13BondFunds101</v>
      </c>
      <c r="E5979" s="8" t="s">
        <v>349</v>
      </c>
      <c r="F5979" s="8" t="s">
        <v>745</v>
      </c>
    </row>
    <row r="5980" spans="1:6" ht="60" x14ac:dyDescent="0.25">
      <c r="A5980" s="8" t="s">
        <v>125</v>
      </c>
      <c r="B5980" s="8" t="s">
        <v>134</v>
      </c>
      <c r="C5980" s="8" t="str">
        <f>IFERROR(_xlfn.XLOOKUP(TRIM(B5980),Lookup!$B$2:$B$1000,Lookup!$C$2:$C$1000),"")</f>
        <v>Debt</v>
      </c>
      <c r="D5980" s="8" t="str">
        <f>IFERROR(INDEX('nav master'!$C:$C, MATCH(B5980, 'nav master'!$B:$B, 0)), "")</f>
        <v>ULIF05601/08/13BondFunds101</v>
      </c>
      <c r="E5980" s="8" t="s">
        <v>351</v>
      </c>
      <c r="F5980" s="8" t="s">
        <v>746</v>
      </c>
    </row>
    <row r="5981" spans="1:6" ht="60" x14ac:dyDescent="0.25">
      <c r="A5981" s="8" t="s">
        <v>125</v>
      </c>
      <c r="B5981" s="8" t="s">
        <v>134</v>
      </c>
      <c r="C5981" s="8" t="str">
        <f>IFERROR(_xlfn.XLOOKUP(TRIM(B5981),Lookup!$B$2:$B$1000,Lookup!$C$2:$C$1000),"")</f>
        <v>Debt</v>
      </c>
      <c r="D5981" s="8" t="str">
        <f>IFERROR(INDEX('nav master'!$C:$C, MATCH(B5981, 'nav master'!$B:$B, 0)), "")</f>
        <v>ULIF05601/08/13BondFunds101</v>
      </c>
      <c r="E5981" s="8" t="s">
        <v>353</v>
      </c>
      <c r="F5981" s="8" t="s">
        <v>747</v>
      </c>
    </row>
    <row r="5982" spans="1:6" ht="60" x14ac:dyDescent="0.25">
      <c r="A5982" s="8" t="s">
        <v>125</v>
      </c>
      <c r="B5982" s="8" t="s">
        <v>134</v>
      </c>
      <c r="C5982" s="8" t="str">
        <f>IFERROR(_xlfn.XLOOKUP(TRIM(B5982),Lookup!$B$2:$B$1000,Lookup!$C$2:$C$1000),"")</f>
        <v>Debt</v>
      </c>
      <c r="D5982" s="8" t="str">
        <f>IFERROR(INDEX('nav master'!$C:$C, MATCH(B5982, 'nav master'!$B:$B, 0)), "")</f>
        <v>ULIF05601/08/13BondFunds101</v>
      </c>
      <c r="E5982" s="8" t="s">
        <v>355</v>
      </c>
      <c r="F5982" s="8" t="s">
        <v>748</v>
      </c>
    </row>
    <row r="5983" spans="1:6" ht="60" x14ac:dyDescent="0.25">
      <c r="A5983" s="8" t="s">
        <v>125</v>
      </c>
      <c r="B5983" s="8" t="s">
        <v>134</v>
      </c>
      <c r="C5983" s="8" t="str">
        <f>IFERROR(_xlfn.XLOOKUP(TRIM(B5983),Lookup!$B$2:$B$1000,Lookup!$C$2:$C$1000),"")</f>
        <v>Debt</v>
      </c>
      <c r="D5983" s="8" t="str">
        <f>IFERROR(INDEX('nav master'!$C:$C, MATCH(B5983, 'nav master'!$B:$B, 0)), "")</f>
        <v>ULIF05601/08/13BondFunds101</v>
      </c>
      <c r="E5983" s="8" t="s">
        <v>357</v>
      </c>
      <c r="F5983" s="8" t="s">
        <v>749</v>
      </c>
    </row>
    <row r="5984" spans="1:6" ht="60" x14ac:dyDescent="0.25">
      <c r="A5984" s="8" t="s">
        <v>125</v>
      </c>
      <c r="B5984" s="8" t="s">
        <v>134</v>
      </c>
      <c r="C5984" s="8" t="str">
        <f>IFERROR(_xlfn.XLOOKUP(TRIM(B5984),Lookup!$B$2:$B$1000,Lookup!$C$2:$C$1000),"")</f>
        <v>Debt</v>
      </c>
      <c r="D5984" s="8" t="str">
        <f>IFERROR(INDEX('nav master'!$C:$C, MATCH(B5984, 'nav master'!$B:$B, 0)), "")</f>
        <v>ULIF05601/08/13BondFunds101</v>
      </c>
      <c r="E5984" s="8" t="s">
        <v>359</v>
      </c>
      <c r="F5984" s="8" t="s">
        <v>750</v>
      </c>
    </row>
    <row r="5985" spans="1:6" ht="60" x14ac:dyDescent="0.25">
      <c r="A5985" s="8" t="s">
        <v>125</v>
      </c>
      <c r="B5985" s="8" t="s">
        <v>134</v>
      </c>
      <c r="C5985" s="8" t="str">
        <f>IFERROR(_xlfn.XLOOKUP(TRIM(B5985),Lookup!$B$2:$B$1000,Lookup!$C$2:$C$1000),"")</f>
        <v>Debt</v>
      </c>
      <c r="D5985" s="8" t="str">
        <f>IFERROR(INDEX('nav master'!$C:$C, MATCH(B5985, 'nav master'!$B:$B, 0)), "")</f>
        <v>ULIF05601/08/13BondFunds101</v>
      </c>
      <c r="E5985" s="8" t="s">
        <v>361</v>
      </c>
      <c r="F5985" s="8" t="s">
        <v>751</v>
      </c>
    </row>
    <row r="5986" spans="1:6" ht="60" x14ac:dyDescent="0.25">
      <c r="A5986" s="8" t="s">
        <v>125</v>
      </c>
      <c r="B5986" s="8" t="s">
        <v>134</v>
      </c>
      <c r="C5986" s="8" t="str">
        <f>IFERROR(_xlfn.XLOOKUP(TRIM(B5986),Lookup!$B$2:$B$1000,Lookup!$C$2:$C$1000),"")</f>
        <v>Debt</v>
      </c>
      <c r="D5986" s="8" t="str">
        <f>IFERROR(INDEX('nav master'!$C:$C, MATCH(B5986, 'nav master'!$B:$B, 0)), "")</f>
        <v>ULIF05601/08/13BondFunds101</v>
      </c>
      <c r="E5986" s="8" t="s">
        <v>363</v>
      </c>
      <c r="F5986" s="8" t="s">
        <v>752</v>
      </c>
    </row>
    <row r="5987" spans="1:6" ht="60" x14ac:dyDescent="0.25">
      <c r="A5987" s="8" t="s">
        <v>125</v>
      </c>
      <c r="B5987" s="8" t="s">
        <v>134</v>
      </c>
      <c r="C5987" s="8" t="str">
        <f>IFERROR(_xlfn.XLOOKUP(TRIM(B5987),Lookup!$B$2:$B$1000,Lookup!$C$2:$C$1000),"")</f>
        <v>Debt</v>
      </c>
      <c r="D5987" s="8" t="str">
        <f>IFERROR(INDEX('nav master'!$C:$C, MATCH(B5987, 'nav master'!$B:$B, 0)), "")</f>
        <v>ULIF05601/08/13BondFunds101</v>
      </c>
      <c r="E5987" s="8" t="s">
        <v>365</v>
      </c>
      <c r="F5987" s="8" t="s">
        <v>753</v>
      </c>
    </row>
    <row r="5988" spans="1:6" ht="60" x14ac:dyDescent="0.25">
      <c r="A5988" s="8" t="s">
        <v>125</v>
      </c>
      <c r="B5988" s="8" t="s">
        <v>134</v>
      </c>
      <c r="C5988" s="8" t="str">
        <f>IFERROR(_xlfn.XLOOKUP(TRIM(B5988),Lookup!$B$2:$B$1000,Lookup!$C$2:$C$1000),"")</f>
        <v>Debt</v>
      </c>
      <c r="D5988" s="8" t="str">
        <f>IFERROR(INDEX('nav master'!$C:$C, MATCH(B5988, 'nav master'!$B:$B, 0)), "")</f>
        <v>ULIF05601/08/13BondFunds101</v>
      </c>
      <c r="E5988" s="8" t="s">
        <v>367</v>
      </c>
      <c r="F5988" s="8" t="s">
        <v>754</v>
      </c>
    </row>
    <row r="5989" spans="1:6" ht="60" x14ac:dyDescent="0.25">
      <c r="A5989" s="8" t="s">
        <v>125</v>
      </c>
      <c r="B5989" s="8" t="s">
        <v>134</v>
      </c>
      <c r="C5989" s="8" t="str">
        <f>IFERROR(_xlfn.XLOOKUP(TRIM(B5989),Lookup!$B$2:$B$1000,Lookup!$C$2:$C$1000),"")</f>
        <v>Debt</v>
      </c>
      <c r="D5989" s="8" t="str">
        <f>IFERROR(INDEX('nav master'!$C:$C, MATCH(B5989, 'nav master'!$B:$B, 0)), "")</f>
        <v>ULIF05601/08/13BondFunds101</v>
      </c>
      <c r="E5989" s="8" t="s">
        <v>369</v>
      </c>
      <c r="F5989" s="8" t="s">
        <v>755</v>
      </c>
    </row>
    <row r="5990" spans="1:6" ht="60" x14ac:dyDescent="0.25">
      <c r="A5990" s="8" t="s">
        <v>125</v>
      </c>
      <c r="B5990" s="8" t="s">
        <v>134</v>
      </c>
      <c r="C5990" s="8" t="str">
        <f>IFERROR(_xlfn.XLOOKUP(TRIM(B5990),Lookup!$B$2:$B$1000,Lookup!$C$2:$C$1000),"")</f>
        <v>Debt</v>
      </c>
      <c r="D5990" s="8" t="str">
        <f>IFERROR(INDEX('nav master'!$C:$C, MATCH(B5990, 'nav master'!$B:$B, 0)), "")</f>
        <v>ULIF05601/08/13BondFunds101</v>
      </c>
      <c r="E5990" s="8" t="s">
        <v>371</v>
      </c>
      <c r="F5990" s="8" t="s">
        <v>756</v>
      </c>
    </row>
    <row r="5991" spans="1:6" ht="60" x14ac:dyDescent="0.25">
      <c r="A5991" s="8" t="s">
        <v>125</v>
      </c>
      <c r="B5991" s="8" t="s">
        <v>134</v>
      </c>
      <c r="C5991" s="8" t="str">
        <f>IFERROR(_xlfn.XLOOKUP(TRIM(B5991),Lookup!$B$2:$B$1000,Lookup!$C$2:$C$1000),"")</f>
        <v>Debt</v>
      </c>
      <c r="D5991" s="8" t="str">
        <f>IFERROR(INDEX('nav master'!$C:$C, MATCH(B5991, 'nav master'!$B:$B, 0)), "")</f>
        <v>ULIF05601/08/13BondFunds101</v>
      </c>
      <c r="E5991" s="8" t="s">
        <v>373</v>
      </c>
      <c r="F5991" s="8" t="s">
        <v>757</v>
      </c>
    </row>
    <row r="5992" spans="1:6" ht="60" x14ac:dyDescent="0.25">
      <c r="A5992" s="8" t="s">
        <v>125</v>
      </c>
      <c r="B5992" s="8" t="s">
        <v>134</v>
      </c>
      <c r="C5992" s="8" t="str">
        <f>IFERROR(_xlfn.XLOOKUP(TRIM(B5992),Lookup!$B$2:$B$1000,Lookup!$C$2:$C$1000),"")</f>
        <v>Debt</v>
      </c>
      <c r="D5992" s="8" t="str">
        <f>IFERROR(INDEX('nav master'!$C:$C, MATCH(B5992, 'nav master'!$B:$B, 0)), "")</f>
        <v>ULIF05601/08/13BondFunds101</v>
      </c>
      <c r="E5992" s="8" t="s">
        <v>375</v>
      </c>
      <c r="F5992" s="8" t="s">
        <v>758</v>
      </c>
    </row>
    <row r="5993" spans="1:6" ht="60" x14ac:dyDescent="0.25">
      <c r="A5993" s="8" t="s">
        <v>125</v>
      </c>
      <c r="B5993" s="8" t="s">
        <v>134</v>
      </c>
      <c r="C5993" s="8" t="str">
        <f>IFERROR(_xlfn.XLOOKUP(TRIM(B5993),Lookup!$B$2:$B$1000,Lookup!$C$2:$C$1000),"")</f>
        <v>Debt</v>
      </c>
      <c r="D5993" s="8" t="str">
        <f>IFERROR(INDEX('nav master'!$C:$C, MATCH(B5993, 'nav master'!$B:$B, 0)), "")</f>
        <v>ULIF05601/08/13BondFunds101</v>
      </c>
      <c r="E5993" s="8" t="s">
        <v>377</v>
      </c>
      <c r="F5993" s="8" t="s">
        <v>759</v>
      </c>
    </row>
    <row r="5994" spans="1:6" ht="60" x14ac:dyDescent="0.25">
      <c r="A5994" s="8" t="s">
        <v>125</v>
      </c>
      <c r="B5994" s="8" t="s">
        <v>134</v>
      </c>
      <c r="C5994" s="8" t="str">
        <f>IFERROR(_xlfn.XLOOKUP(TRIM(B5994),Lookup!$B$2:$B$1000,Lookup!$C$2:$C$1000),"")</f>
        <v>Debt</v>
      </c>
      <c r="D5994" s="8" t="str">
        <f>IFERROR(INDEX('nav master'!$C:$C, MATCH(B5994, 'nav master'!$B:$B, 0)), "")</f>
        <v>ULIF05601/08/13BondFunds101</v>
      </c>
      <c r="E5994" s="8" t="s">
        <v>379</v>
      </c>
      <c r="F5994" s="8" t="s">
        <v>760</v>
      </c>
    </row>
    <row r="5995" spans="1:6" ht="60" x14ac:dyDescent="0.25">
      <c r="A5995" s="8" t="s">
        <v>125</v>
      </c>
      <c r="B5995" s="8" t="s">
        <v>134</v>
      </c>
      <c r="C5995" s="8" t="str">
        <f>IFERROR(_xlfn.XLOOKUP(TRIM(B5995),Lookup!$B$2:$B$1000,Lookup!$C$2:$C$1000),"")</f>
        <v>Debt</v>
      </c>
      <c r="D5995" s="8" t="str">
        <f>IFERROR(INDEX('nav master'!$C:$C, MATCH(B5995, 'nav master'!$B:$B, 0)), "")</f>
        <v>ULIF05601/08/13BondFunds101</v>
      </c>
      <c r="E5995" s="8" t="s">
        <v>381</v>
      </c>
      <c r="F5995" s="8" t="s">
        <v>761</v>
      </c>
    </row>
    <row r="5996" spans="1:6" ht="60" x14ac:dyDescent="0.25">
      <c r="A5996" s="8" t="s">
        <v>125</v>
      </c>
      <c r="B5996" s="8" t="s">
        <v>134</v>
      </c>
      <c r="C5996" s="8" t="str">
        <f>IFERROR(_xlfn.XLOOKUP(TRIM(B5996),Lookup!$B$2:$B$1000,Lookup!$C$2:$C$1000),"")</f>
        <v>Debt</v>
      </c>
      <c r="D5996" s="8" t="str">
        <f>IFERROR(INDEX('nav master'!$C:$C, MATCH(B5996, 'nav master'!$B:$B, 0)), "")</f>
        <v>ULIF05601/08/13BondFunds101</v>
      </c>
      <c r="E5996" s="8" t="s">
        <v>383</v>
      </c>
      <c r="F5996" s="8" t="s">
        <v>762</v>
      </c>
    </row>
    <row r="5997" spans="1:6" ht="60" x14ac:dyDescent="0.25">
      <c r="A5997" s="8" t="s">
        <v>125</v>
      </c>
      <c r="B5997" s="8" t="s">
        <v>134</v>
      </c>
      <c r="C5997" s="8" t="str">
        <f>IFERROR(_xlfn.XLOOKUP(TRIM(B5997),Lookup!$B$2:$B$1000,Lookup!$C$2:$C$1000),"")</f>
        <v>Debt</v>
      </c>
      <c r="D5997" s="8" t="str">
        <f>IFERROR(INDEX('nav master'!$C:$C, MATCH(B5997, 'nav master'!$B:$B, 0)), "")</f>
        <v>ULIF05601/08/13BondFunds101</v>
      </c>
      <c r="E5997" s="8" t="s">
        <v>385</v>
      </c>
      <c r="F5997" s="8" t="s">
        <v>763</v>
      </c>
    </row>
    <row r="5998" spans="1:6" ht="60" x14ac:dyDescent="0.25">
      <c r="A5998" s="8" t="s">
        <v>125</v>
      </c>
      <c r="B5998" s="8" t="s">
        <v>134</v>
      </c>
      <c r="C5998" s="8" t="str">
        <f>IFERROR(_xlfn.XLOOKUP(TRIM(B5998),Lookup!$B$2:$B$1000,Lookup!$C$2:$C$1000),"")</f>
        <v>Debt</v>
      </c>
      <c r="D5998" s="8" t="str">
        <f>IFERROR(INDEX('nav master'!$C:$C, MATCH(B5998, 'nav master'!$B:$B, 0)), "")</f>
        <v>ULIF05601/08/13BondFunds101</v>
      </c>
      <c r="E5998" s="8" t="s">
        <v>387</v>
      </c>
      <c r="F5998" s="8" t="s">
        <v>764</v>
      </c>
    </row>
    <row r="5999" spans="1:6" ht="60" x14ac:dyDescent="0.25">
      <c r="A5999" s="8" t="s">
        <v>125</v>
      </c>
      <c r="B5999" s="8" t="s">
        <v>134</v>
      </c>
      <c r="C5999" s="8" t="str">
        <f>IFERROR(_xlfn.XLOOKUP(TRIM(B5999),Lookup!$B$2:$B$1000,Lookup!$C$2:$C$1000),"")</f>
        <v>Debt</v>
      </c>
      <c r="D5999" s="8" t="str">
        <f>IFERROR(INDEX('nav master'!$C:$C, MATCH(B5999, 'nav master'!$B:$B, 0)), "")</f>
        <v>ULIF05601/08/13BondFunds101</v>
      </c>
      <c r="E5999" s="8" t="s">
        <v>389</v>
      </c>
      <c r="F5999" s="8" t="s">
        <v>749</v>
      </c>
    </row>
    <row r="6000" spans="1:6" ht="60" x14ac:dyDescent="0.25">
      <c r="A6000" s="8" t="s">
        <v>125</v>
      </c>
      <c r="B6000" s="8" t="s">
        <v>134</v>
      </c>
      <c r="C6000" s="8" t="str">
        <f>IFERROR(_xlfn.XLOOKUP(TRIM(B6000),Lookup!$B$2:$B$1000,Lookup!$C$2:$C$1000),"")</f>
        <v>Debt</v>
      </c>
      <c r="D6000" s="8" t="str">
        <f>IFERROR(INDEX('nav master'!$C:$C, MATCH(B6000, 'nav master'!$B:$B, 0)), "")</f>
        <v>ULIF05601/08/13BondFunds101</v>
      </c>
      <c r="E6000" s="8" t="s">
        <v>391</v>
      </c>
      <c r="F6000" s="8" t="s">
        <v>765</v>
      </c>
    </row>
    <row r="6001" spans="1:6" ht="60" x14ac:dyDescent="0.25">
      <c r="A6001" s="8" t="s">
        <v>125</v>
      </c>
      <c r="B6001" s="8" t="s">
        <v>134</v>
      </c>
      <c r="C6001" s="8" t="str">
        <f>IFERROR(_xlfn.XLOOKUP(TRIM(B6001),Lookup!$B$2:$B$1000,Lookup!$C$2:$C$1000),"")</f>
        <v>Debt</v>
      </c>
      <c r="D6001" s="8" t="str">
        <f>IFERROR(INDEX('nav master'!$C:$C, MATCH(B6001, 'nav master'!$B:$B, 0)), "")</f>
        <v>ULIF05601/08/13BondFunds101</v>
      </c>
      <c r="E6001" s="8" t="s">
        <v>393</v>
      </c>
      <c r="F6001" s="8" t="s">
        <v>766</v>
      </c>
    </row>
    <row r="6002" spans="1:6" ht="60" x14ac:dyDescent="0.25">
      <c r="A6002" s="8" t="s">
        <v>125</v>
      </c>
      <c r="B6002" s="8" t="s">
        <v>134</v>
      </c>
      <c r="C6002" s="8" t="str">
        <f>IFERROR(_xlfn.XLOOKUP(TRIM(B6002),Lookup!$B$2:$B$1000,Lookup!$C$2:$C$1000),"")</f>
        <v>Debt</v>
      </c>
      <c r="D6002" s="8" t="str">
        <f>IFERROR(INDEX('nav master'!$C:$C, MATCH(B6002, 'nav master'!$B:$B, 0)), "")</f>
        <v>ULIF05601/08/13BondFunds101</v>
      </c>
      <c r="E6002" s="8" t="s">
        <v>395</v>
      </c>
      <c r="F6002" s="8" t="s">
        <v>767</v>
      </c>
    </row>
    <row r="6003" spans="1:6" ht="60" x14ac:dyDescent="0.25">
      <c r="A6003" s="8" t="s">
        <v>125</v>
      </c>
      <c r="B6003" s="8" t="s">
        <v>134</v>
      </c>
      <c r="C6003" s="8" t="str">
        <f>IFERROR(_xlfn.XLOOKUP(TRIM(B6003),Lookup!$B$2:$B$1000,Lookup!$C$2:$C$1000),"")</f>
        <v>Debt</v>
      </c>
      <c r="D6003" s="8" t="str">
        <f>IFERROR(INDEX('nav master'!$C:$C, MATCH(B6003, 'nav master'!$B:$B, 0)), "")</f>
        <v>ULIF05601/08/13BondFunds101</v>
      </c>
      <c r="E6003" s="8" t="s">
        <v>397</v>
      </c>
      <c r="F6003" s="8" t="s">
        <v>768</v>
      </c>
    </row>
    <row r="6004" spans="1:6" ht="60" x14ac:dyDescent="0.25">
      <c r="A6004" s="8" t="s">
        <v>125</v>
      </c>
      <c r="B6004" s="8" t="s">
        <v>134</v>
      </c>
      <c r="C6004" s="8" t="str">
        <f>IFERROR(_xlfn.XLOOKUP(TRIM(B6004),Lookup!$B$2:$B$1000,Lookup!$C$2:$C$1000),"")</f>
        <v>Debt</v>
      </c>
      <c r="D6004" s="8" t="str">
        <f>IFERROR(INDEX('nav master'!$C:$C, MATCH(B6004, 'nav master'!$B:$B, 0)), "")</f>
        <v>ULIF05601/08/13BondFunds101</v>
      </c>
      <c r="E6004" s="8" t="s">
        <v>399</v>
      </c>
      <c r="F6004" s="8" t="s">
        <v>769</v>
      </c>
    </row>
    <row r="6005" spans="1:6" ht="60" x14ac:dyDescent="0.25">
      <c r="A6005" s="8" t="s">
        <v>125</v>
      </c>
      <c r="B6005" s="8" t="s">
        <v>134</v>
      </c>
      <c r="C6005" s="8" t="str">
        <f>IFERROR(_xlfn.XLOOKUP(TRIM(B6005),Lookup!$B$2:$B$1000,Lookup!$C$2:$C$1000),"")</f>
        <v>Debt</v>
      </c>
      <c r="D6005" s="8" t="str">
        <f>IFERROR(INDEX('nav master'!$C:$C, MATCH(B6005, 'nav master'!$B:$B, 0)), "")</f>
        <v>ULIF05601/08/13BondFunds101</v>
      </c>
      <c r="E6005" s="8" t="s">
        <v>401</v>
      </c>
      <c r="F6005" s="8" t="s">
        <v>770</v>
      </c>
    </row>
    <row r="6006" spans="1:6" ht="60" x14ac:dyDescent="0.25">
      <c r="A6006" s="8" t="s">
        <v>125</v>
      </c>
      <c r="B6006" s="8" t="s">
        <v>134</v>
      </c>
      <c r="C6006" s="8" t="str">
        <f>IFERROR(_xlfn.XLOOKUP(TRIM(B6006),Lookup!$B$2:$B$1000,Lookup!$C$2:$C$1000),"")</f>
        <v>Debt</v>
      </c>
      <c r="D6006" s="8" t="str">
        <f>IFERROR(INDEX('nav master'!$C:$C, MATCH(B6006, 'nav master'!$B:$B, 0)), "")</f>
        <v>ULIF05601/08/13BondFunds101</v>
      </c>
      <c r="E6006" s="8" t="s">
        <v>403</v>
      </c>
      <c r="F6006" s="8" t="s">
        <v>771</v>
      </c>
    </row>
    <row r="6007" spans="1:6" ht="60" x14ac:dyDescent="0.25">
      <c r="A6007" s="8" t="s">
        <v>125</v>
      </c>
      <c r="B6007" s="8" t="s">
        <v>134</v>
      </c>
      <c r="C6007" s="8" t="str">
        <f>IFERROR(_xlfn.XLOOKUP(TRIM(B6007),Lookup!$B$2:$B$1000,Lookup!$C$2:$C$1000),"")</f>
        <v>Debt</v>
      </c>
      <c r="D6007" s="8" t="str">
        <f>IFERROR(INDEX('nav master'!$C:$C, MATCH(B6007, 'nav master'!$B:$B, 0)), "")</f>
        <v>ULIF05601/08/13BondFunds101</v>
      </c>
      <c r="E6007" s="8" t="s">
        <v>405</v>
      </c>
      <c r="F6007" s="8" t="s">
        <v>772</v>
      </c>
    </row>
    <row r="6008" spans="1:6" ht="60" x14ac:dyDescent="0.25">
      <c r="A6008" s="8" t="s">
        <v>125</v>
      </c>
      <c r="B6008" s="8" t="s">
        <v>134</v>
      </c>
      <c r="C6008" s="8" t="str">
        <f>IFERROR(_xlfn.XLOOKUP(TRIM(B6008),Lookup!$B$2:$B$1000,Lookup!$C$2:$C$1000),"")</f>
        <v>Debt</v>
      </c>
      <c r="D6008" s="8" t="str">
        <f>IFERROR(INDEX('nav master'!$C:$C, MATCH(B6008, 'nav master'!$B:$B, 0)), "")</f>
        <v>ULIF05601/08/13BondFunds101</v>
      </c>
      <c r="E6008" s="8" t="s">
        <v>407</v>
      </c>
      <c r="F6008" s="8" t="s">
        <v>773</v>
      </c>
    </row>
    <row r="6009" spans="1:6" ht="60" x14ac:dyDescent="0.25">
      <c r="A6009" s="8" t="s">
        <v>125</v>
      </c>
      <c r="B6009" s="8" t="s">
        <v>134</v>
      </c>
      <c r="C6009" s="8" t="str">
        <f>IFERROR(_xlfn.XLOOKUP(TRIM(B6009),Lookup!$B$2:$B$1000,Lookup!$C$2:$C$1000),"")</f>
        <v>Debt</v>
      </c>
      <c r="D6009" s="8" t="str">
        <f>IFERROR(INDEX('nav master'!$C:$C, MATCH(B6009, 'nav master'!$B:$B, 0)), "")</f>
        <v>ULIF05601/08/13BondFunds101</v>
      </c>
      <c r="E6009" s="8" t="s">
        <v>409</v>
      </c>
      <c r="F6009" s="8" t="s">
        <v>774</v>
      </c>
    </row>
    <row r="6010" spans="1:6" ht="60" x14ac:dyDescent="0.25">
      <c r="A6010" s="8" t="s">
        <v>125</v>
      </c>
      <c r="B6010" s="8" t="s">
        <v>134</v>
      </c>
      <c r="C6010" s="8" t="str">
        <f>IFERROR(_xlfn.XLOOKUP(TRIM(B6010),Lookup!$B$2:$B$1000,Lookup!$C$2:$C$1000),"")</f>
        <v>Debt</v>
      </c>
      <c r="D6010" s="8" t="str">
        <f>IFERROR(INDEX('nav master'!$C:$C, MATCH(B6010, 'nav master'!$B:$B, 0)), "")</f>
        <v>ULIF05601/08/13BondFunds101</v>
      </c>
      <c r="E6010" s="8" t="s">
        <v>411</v>
      </c>
      <c r="F6010" s="8" t="s">
        <v>775</v>
      </c>
    </row>
    <row r="6011" spans="1:6" ht="60" x14ac:dyDescent="0.25">
      <c r="A6011" s="8" t="s">
        <v>125</v>
      </c>
      <c r="B6011" s="8" t="s">
        <v>134</v>
      </c>
      <c r="C6011" s="8" t="str">
        <f>IFERROR(_xlfn.XLOOKUP(TRIM(B6011),Lookup!$B$2:$B$1000,Lookup!$C$2:$C$1000),"")</f>
        <v>Debt</v>
      </c>
      <c r="D6011" s="8" t="str">
        <f>IFERROR(INDEX('nav master'!$C:$C, MATCH(B6011, 'nav master'!$B:$B, 0)), "")</f>
        <v>ULIF05601/08/13BondFunds101</v>
      </c>
      <c r="E6011" s="8" t="s">
        <v>413</v>
      </c>
      <c r="F6011" s="8" t="s">
        <v>711</v>
      </c>
    </row>
    <row r="6012" spans="1:6" ht="60" x14ac:dyDescent="0.25">
      <c r="A6012" s="8" t="s">
        <v>125</v>
      </c>
      <c r="B6012" s="8" t="s">
        <v>134</v>
      </c>
      <c r="C6012" s="8" t="str">
        <f>IFERROR(_xlfn.XLOOKUP(TRIM(B6012),Lookup!$B$2:$B$1000,Lookup!$C$2:$C$1000),"")</f>
        <v>Debt</v>
      </c>
      <c r="D6012" s="8" t="str">
        <f>IFERROR(INDEX('nav master'!$C:$C, MATCH(B6012, 'nav master'!$B:$B, 0)), "")</f>
        <v>ULIF05601/08/13BondFunds101</v>
      </c>
      <c r="E6012" s="8" t="s">
        <v>415</v>
      </c>
      <c r="F6012" s="8" t="s">
        <v>776</v>
      </c>
    </row>
    <row r="6013" spans="1:6" ht="60" x14ac:dyDescent="0.25">
      <c r="A6013" s="8" t="s">
        <v>125</v>
      </c>
      <c r="B6013" s="8" t="s">
        <v>134</v>
      </c>
      <c r="C6013" s="8" t="str">
        <f>IFERROR(_xlfn.XLOOKUP(TRIM(B6013),Lookup!$B$2:$B$1000,Lookup!$C$2:$C$1000),"")</f>
        <v>Debt</v>
      </c>
      <c r="D6013" s="8" t="str">
        <f>IFERROR(INDEX('nav master'!$C:$C, MATCH(B6013, 'nav master'!$B:$B, 0)), "")</f>
        <v>ULIF05601/08/13BondFunds101</v>
      </c>
      <c r="E6013" s="8" t="s">
        <v>417</v>
      </c>
      <c r="F6013" s="8" t="s">
        <v>777</v>
      </c>
    </row>
    <row r="6014" spans="1:6" ht="60" x14ac:dyDescent="0.25">
      <c r="A6014" s="8" t="s">
        <v>125</v>
      </c>
      <c r="B6014" s="8" t="s">
        <v>134</v>
      </c>
      <c r="C6014" s="8" t="str">
        <f>IFERROR(_xlfn.XLOOKUP(TRIM(B6014),Lookup!$B$2:$B$1000,Lookup!$C$2:$C$1000),"")</f>
        <v>Debt</v>
      </c>
      <c r="D6014" s="8" t="str">
        <f>IFERROR(INDEX('nav master'!$C:$C, MATCH(B6014, 'nav master'!$B:$B, 0)), "")</f>
        <v>ULIF05601/08/13BondFunds101</v>
      </c>
      <c r="E6014" s="8" t="s">
        <v>419</v>
      </c>
      <c r="F6014" s="8" t="s">
        <v>778</v>
      </c>
    </row>
    <row r="6015" spans="1:6" ht="60" x14ac:dyDescent="0.25">
      <c r="A6015" s="8" t="s">
        <v>125</v>
      </c>
      <c r="B6015" s="8" t="s">
        <v>134</v>
      </c>
      <c r="C6015" s="8" t="str">
        <f>IFERROR(_xlfn.XLOOKUP(TRIM(B6015),Lookup!$B$2:$B$1000,Lookup!$C$2:$C$1000),"")</f>
        <v>Debt</v>
      </c>
      <c r="D6015" s="8" t="str">
        <f>IFERROR(INDEX('nav master'!$C:$C, MATCH(B6015, 'nav master'!$B:$B, 0)), "")</f>
        <v>ULIF05601/08/13BondFunds101</v>
      </c>
      <c r="E6015" s="8" t="s">
        <v>421</v>
      </c>
      <c r="F6015" s="8" t="s">
        <v>779</v>
      </c>
    </row>
    <row r="6016" spans="1:6" ht="60" x14ac:dyDescent="0.25">
      <c r="A6016" s="8" t="s">
        <v>125</v>
      </c>
      <c r="B6016" s="8" t="s">
        <v>134</v>
      </c>
      <c r="C6016" s="8" t="str">
        <f>IFERROR(_xlfn.XLOOKUP(TRIM(B6016),Lookup!$B$2:$B$1000,Lookup!$C$2:$C$1000),"")</f>
        <v>Debt</v>
      </c>
      <c r="D6016" s="8" t="str">
        <f>IFERROR(INDEX('nav master'!$C:$C, MATCH(B6016, 'nav master'!$B:$B, 0)), "")</f>
        <v>ULIF05601/08/13BondFunds101</v>
      </c>
      <c r="E6016" s="8" t="s">
        <v>423</v>
      </c>
      <c r="F6016" s="8" t="s">
        <v>780</v>
      </c>
    </row>
    <row r="6017" spans="1:6" ht="60" x14ac:dyDescent="0.25">
      <c r="A6017" s="8" t="s">
        <v>125</v>
      </c>
      <c r="B6017" s="8" t="s">
        <v>134</v>
      </c>
      <c r="C6017" s="8" t="str">
        <f>IFERROR(_xlfn.XLOOKUP(TRIM(B6017),Lookup!$B$2:$B$1000,Lookup!$C$2:$C$1000),"")</f>
        <v>Debt</v>
      </c>
      <c r="D6017" s="8" t="str">
        <f>IFERROR(INDEX('nav master'!$C:$C, MATCH(B6017, 'nav master'!$B:$B, 0)), "")</f>
        <v>ULIF05601/08/13BondFunds101</v>
      </c>
      <c r="E6017" s="8" t="s">
        <v>425</v>
      </c>
      <c r="F6017" s="8" t="s">
        <v>781</v>
      </c>
    </row>
    <row r="6018" spans="1:6" ht="60" x14ac:dyDescent="0.25">
      <c r="A6018" s="8" t="s">
        <v>125</v>
      </c>
      <c r="B6018" s="8" t="s">
        <v>134</v>
      </c>
      <c r="C6018" s="8" t="str">
        <f>IFERROR(_xlfn.XLOOKUP(TRIM(B6018),Lookup!$B$2:$B$1000,Lookup!$C$2:$C$1000),"")</f>
        <v>Debt</v>
      </c>
      <c r="D6018" s="8" t="str">
        <f>IFERROR(INDEX('nav master'!$C:$C, MATCH(B6018, 'nav master'!$B:$B, 0)), "")</f>
        <v>ULIF05601/08/13BondFunds101</v>
      </c>
      <c r="E6018" s="8" t="s">
        <v>427</v>
      </c>
      <c r="F6018" s="8" t="s">
        <v>782</v>
      </c>
    </row>
    <row r="6019" spans="1:6" ht="60" x14ac:dyDescent="0.25">
      <c r="A6019" s="8" t="s">
        <v>125</v>
      </c>
      <c r="B6019" s="8" t="s">
        <v>134</v>
      </c>
      <c r="C6019" s="8" t="str">
        <f>IFERROR(_xlfn.XLOOKUP(TRIM(B6019),Lookup!$B$2:$B$1000,Lookup!$C$2:$C$1000),"")</f>
        <v>Debt</v>
      </c>
      <c r="D6019" s="8" t="str">
        <f>IFERROR(INDEX('nav master'!$C:$C, MATCH(B6019, 'nav master'!$B:$B, 0)), "")</f>
        <v>ULIF05601/08/13BondFunds101</v>
      </c>
      <c r="E6019" s="8" t="s">
        <v>429</v>
      </c>
      <c r="F6019" s="8" t="s">
        <v>783</v>
      </c>
    </row>
    <row r="6020" spans="1:6" ht="60" x14ac:dyDescent="0.25">
      <c r="A6020" s="8" t="s">
        <v>125</v>
      </c>
      <c r="B6020" s="8" t="s">
        <v>134</v>
      </c>
      <c r="C6020" s="8" t="str">
        <f>IFERROR(_xlfn.XLOOKUP(TRIM(B6020),Lookup!$B$2:$B$1000,Lookup!$C$2:$C$1000),"")</f>
        <v>Debt</v>
      </c>
      <c r="D6020" s="8" t="str">
        <f>IFERROR(INDEX('nav master'!$C:$C, MATCH(B6020, 'nav master'!$B:$B, 0)), "")</f>
        <v>ULIF05601/08/13BondFunds101</v>
      </c>
      <c r="E6020" s="8" t="s">
        <v>431</v>
      </c>
      <c r="F6020" s="8" t="s">
        <v>668</v>
      </c>
    </row>
    <row r="6021" spans="1:6" ht="60" x14ac:dyDescent="0.25">
      <c r="A6021" s="8" t="s">
        <v>125</v>
      </c>
      <c r="B6021" s="8" t="s">
        <v>134</v>
      </c>
      <c r="C6021" s="8" t="str">
        <f>IFERROR(_xlfn.XLOOKUP(TRIM(B6021),Lookup!$B$2:$B$1000,Lookup!$C$2:$C$1000),"")</f>
        <v>Debt</v>
      </c>
      <c r="D6021" s="8" t="str">
        <f>IFERROR(INDEX('nav master'!$C:$C, MATCH(B6021, 'nav master'!$B:$B, 0)), "")</f>
        <v>ULIF05601/08/13BondFunds101</v>
      </c>
      <c r="E6021" s="8" t="s">
        <v>433</v>
      </c>
      <c r="F6021" s="8" t="s">
        <v>784</v>
      </c>
    </row>
    <row r="6022" spans="1:6" ht="60" x14ac:dyDescent="0.25">
      <c r="A6022" s="8" t="s">
        <v>125</v>
      </c>
      <c r="B6022" s="8" t="s">
        <v>134</v>
      </c>
      <c r="C6022" s="8" t="str">
        <f>IFERROR(_xlfn.XLOOKUP(TRIM(B6022),Lookup!$B$2:$B$1000,Lookup!$C$2:$C$1000),"")</f>
        <v>Debt</v>
      </c>
      <c r="D6022" s="8" t="str">
        <f>IFERROR(INDEX('nav master'!$C:$C, MATCH(B6022, 'nav master'!$B:$B, 0)), "")</f>
        <v>ULIF05601/08/13BondFunds101</v>
      </c>
      <c r="E6022" s="8" t="s">
        <v>435</v>
      </c>
      <c r="F6022" s="8" t="s">
        <v>785</v>
      </c>
    </row>
    <row r="6023" spans="1:6" ht="60" x14ac:dyDescent="0.25">
      <c r="A6023" s="8" t="s">
        <v>125</v>
      </c>
      <c r="B6023" s="8" t="s">
        <v>134</v>
      </c>
      <c r="C6023" s="8" t="str">
        <f>IFERROR(_xlfn.XLOOKUP(TRIM(B6023),Lookup!$B$2:$B$1000,Lookup!$C$2:$C$1000),"")</f>
        <v>Debt</v>
      </c>
      <c r="D6023" s="8" t="str">
        <f>IFERROR(INDEX('nav master'!$C:$C, MATCH(B6023, 'nav master'!$B:$B, 0)), "")</f>
        <v>ULIF05601/08/13BondFunds101</v>
      </c>
      <c r="E6023" s="8" t="s">
        <v>437</v>
      </c>
      <c r="F6023" s="8" t="s">
        <v>786</v>
      </c>
    </row>
    <row r="6024" spans="1:6" ht="60" x14ac:dyDescent="0.25">
      <c r="A6024" s="8" t="s">
        <v>125</v>
      </c>
      <c r="B6024" s="8" t="s">
        <v>134</v>
      </c>
      <c r="C6024" s="8" t="str">
        <f>IFERROR(_xlfn.XLOOKUP(TRIM(B6024),Lookup!$B$2:$B$1000,Lookup!$C$2:$C$1000),"")</f>
        <v>Debt</v>
      </c>
      <c r="D6024" s="8" t="str">
        <f>IFERROR(INDEX('nav master'!$C:$C, MATCH(B6024, 'nav master'!$B:$B, 0)), "")</f>
        <v>ULIF05601/08/13BondFunds101</v>
      </c>
      <c r="E6024" s="8" t="s">
        <v>439</v>
      </c>
      <c r="F6024" s="8" t="s">
        <v>787</v>
      </c>
    </row>
    <row r="6025" spans="1:6" ht="60" x14ac:dyDescent="0.25">
      <c r="A6025" s="8" t="s">
        <v>125</v>
      </c>
      <c r="B6025" s="8" t="s">
        <v>134</v>
      </c>
      <c r="C6025" s="8" t="str">
        <f>IFERROR(_xlfn.XLOOKUP(TRIM(B6025),Lookup!$B$2:$B$1000,Lookup!$C$2:$C$1000),"")</f>
        <v>Debt</v>
      </c>
      <c r="D6025" s="8" t="str">
        <f>IFERROR(INDEX('nav master'!$C:$C, MATCH(B6025, 'nav master'!$B:$B, 0)), "")</f>
        <v>ULIF05601/08/13BondFunds101</v>
      </c>
      <c r="E6025" s="8" t="s">
        <v>441</v>
      </c>
      <c r="F6025" s="8" t="s">
        <v>788</v>
      </c>
    </row>
    <row r="6026" spans="1:6" ht="60" x14ac:dyDescent="0.25">
      <c r="A6026" s="8" t="s">
        <v>125</v>
      </c>
      <c r="B6026" s="8" t="s">
        <v>134</v>
      </c>
      <c r="C6026" s="8" t="str">
        <f>IFERROR(_xlfn.XLOOKUP(TRIM(B6026),Lookup!$B$2:$B$1000,Lookup!$C$2:$C$1000),"")</f>
        <v>Debt</v>
      </c>
      <c r="D6026" s="8" t="str">
        <f>IFERROR(INDEX('nav master'!$C:$C, MATCH(B6026, 'nav master'!$B:$B, 0)), "")</f>
        <v>ULIF05601/08/13BondFunds101</v>
      </c>
      <c r="E6026" s="8" t="s">
        <v>443</v>
      </c>
      <c r="F6026" s="8" t="s">
        <v>789</v>
      </c>
    </row>
    <row r="6027" spans="1:6" ht="60" x14ac:dyDescent="0.25">
      <c r="A6027" s="8" t="s">
        <v>125</v>
      </c>
      <c r="B6027" s="8" t="s">
        <v>134</v>
      </c>
      <c r="C6027" s="8" t="str">
        <f>IFERROR(_xlfn.XLOOKUP(TRIM(B6027),Lookup!$B$2:$B$1000,Lookup!$C$2:$C$1000),"")</f>
        <v>Debt</v>
      </c>
      <c r="D6027" s="8" t="str">
        <f>IFERROR(INDEX('nav master'!$C:$C, MATCH(B6027, 'nav master'!$B:$B, 0)), "")</f>
        <v>ULIF05601/08/13BondFunds101</v>
      </c>
      <c r="E6027" s="8" t="s">
        <v>445</v>
      </c>
      <c r="F6027" s="8" t="s">
        <v>790</v>
      </c>
    </row>
    <row r="6028" spans="1:6" ht="60" x14ac:dyDescent="0.25">
      <c r="A6028" s="8" t="s">
        <v>125</v>
      </c>
      <c r="B6028" s="8" t="s">
        <v>134</v>
      </c>
      <c r="C6028" s="8" t="str">
        <f>IFERROR(_xlfn.XLOOKUP(TRIM(B6028),Lookup!$B$2:$B$1000,Lookup!$C$2:$C$1000),"")</f>
        <v>Debt</v>
      </c>
      <c r="D6028" s="8" t="str">
        <f>IFERROR(INDEX('nav master'!$C:$C, MATCH(B6028, 'nav master'!$B:$B, 0)), "")</f>
        <v>ULIF05601/08/13BondFunds101</v>
      </c>
      <c r="E6028" s="8" t="s">
        <v>446</v>
      </c>
      <c r="F6028" s="8" t="s">
        <v>791</v>
      </c>
    </row>
    <row r="6029" spans="1:6" ht="60" x14ac:dyDescent="0.25">
      <c r="A6029" s="8" t="s">
        <v>125</v>
      </c>
      <c r="B6029" s="8" t="s">
        <v>134</v>
      </c>
      <c r="C6029" s="8" t="str">
        <f>IFERROR(_xlfn.XLOOKUP(TRIM(B6029),Lookup!$B$2:$B$1000,Lookup!$C$2:$C$1000),"")</f>
        <v>Debt</v>
      </c>
      <c r="D6029" s="8" t="str">
        <f>IFERROR(INDEX('nav master'!$C:$C, MATCH(B6029, 'nav master'!$B:$B, 0)), "")</f>
        <v>ULIF05601/08/13BondFunds101</v>
      </c>
      <c r="E6029" s="8" t="s">
        <v>448</v>
      </c>
      <c r="F6029" s="8" t="s">
        <v>792</v>
      </c>
    </row>
    <row r="6030" spans="1:6" ht="60" x14ac:dyDescent="0.25">
      <c r="A6030" s="8" t="s">
        <v>125</v>
      </c>
      <c r="B6030" s="8" t="s">
        <v>134</v>
      </c>
      <c r="C6030" s="8" t="str">
        <f>IFERROR(_xlfn.XLOOKUP(TRIM(B6030),Lookup!$B$2:$B$1000,Lookup!$C$2:$C$1000),"")</f>
        <v>Debt</v>
      </c>
      <c r="D6030" s="8" t="str">
        <f>IFERROR(INDEX('nav master'!$C:$C, MATCH(B6030, 'nav master'!$B:$B, 0)), "")</f>
        <v>ULIF05601/08/13BondFunds101</v>
      </c>
      <c r="E6030" s="8" t="s">
        <v>450</v>
      </c>
      <c r="F6030" s="8" t="s">
        <v>793</v>
      </c>
    </row>
    <row r="6031" spans="1:6" ht="60" x14ac:dyDescent="0.25">
      <c r="A6031" s="8" t="s">
        <v>125</v>
      </c>
      <c r="B6031" s="8" t="s">
        <v>134</v>
      </c>
      <c r="C6031" s="8" t="str">
        <f>IFERROR(_xlfn.XLOOKUP(TRIM(B6031),Lookup!$B$2:$B$1000,Lookup!$C$2:$C$1000),"")</f>
        <v>Debt</v>
      </c>
      <c r="D6031" s="8" t="str">
        <f>IFERROR(INDEX('nav master'!$C:$C, MATCH(B6031, 'nav master'!$B:$B, 0)), "")</f>
        <v>ULIF05601/08/13BondFunds101</v>
      </c>
      <c r="E6031" s="8" t="s">
        <v>452</v>
      </c>
      <c r="F6031" s="8" t="s">
        <v>794</v>
      </c>
    </row>
    <row r="6032" spans="1:6" ht="60" x14ac:dyDescent="0.25">
      <c r="A6032" s="8" t="s">
        <v>125</v>
      </c>
      <c r="B6032" s="8" t="s">
        <v>134</v>
      </c>
      <c r="C6032" s="8" t="str">
        <f>IFERROR(_xlfn.XLOOKUP(TRIM(B6032),Lookup!$B$2:$B$1000,Lookup!$C$2:$C$1000),"")</f>
        <v>Debt</v>
      </c>
      <c r="D6032" s="8" t="str">
        <f>IFERROR(INDEX('nav master'!$C:$C, MATCH(B6032, 'nav master'!$B:$B, 0)), "")</f>
        <v>ULIF05601/08/13BondFunds101</v>
      </c>
      <c r="E6032" s="8" t="s">
        <v>454</v>
      </c>
      <c r="F6032" s="8" t="s">
        <v>795</v>
      </c>
    </row>
    <row r="6033" spans="1:6" ht="60" x14ac:dyDescent="0.25">
      <c r="A6033" s="8" t="s">
        <v>125</v>
      </c>
      <c r="B6033" s="8" t="s">
        <v>134</v>
      </c>
      <c r="C6033" s="8" t="str">
        <f>IFERROR(_xlfn.XLOOKUP(TRIM(B6033),Lookup!$B$2:$B$1000,Lookup!$C$2:$C$1000),"")</f>
        <v>Debt</v>
      </c>
      <c r="D6033" s="8" t="str">
        <f>IFERROR(INDEX('nav master'!$C:$C, MATCH(B6033, 'nav master'!$B:$B, 0)), "")</f>
        <v>ULIF05601/08/13BondFunds101</v>
      </c>
      <c r="E6033" s="8" t="s">
        <v>456</v>
      </c>
      <c r="F6033" s="8" t="s">
        <v>796</v>
      </c>
    </row>
    <row r="6034" spans="1:6" ht="60" x14ac:dyDescent="0.25">
      <c r="A6034" s="8" t="s">
        <v>125</v>
      </c>
      <c r="B6034" s="8" t="s">
        <v>134</v>
      </c>
      <c r="C6034" s="8" t="str">
        <f>IFERROR(_xlfn.XLOOKUP(TRIM(B6034),Lookup!$B$2:$B$1000,Lookup!$C$2:$C$1000),"")</f>
        <v>Debt</v>
      </c>
      <c r="D6034" s="8" t="str">
        <f>IFERROR(INDEX('nav master'!$C:$C, MATCH(B6034, 'nav master'!$B:$B, 0)), "")</f>
        <v>ULIF05601/08/13BondFunds101</v>
      </c>
      <c r="E6034" s="8" t="s">
        <v>458</v>
      </c>
      <c r="F6034" s="8" t="s">
        <v>797</v>
      </c>
    </row>
    <row r="6035" spans="1:6" ht="60" x14ac:dyDescent="0.25">
      <c r="A6035" s="8" t="s">
        <v>125</v>
      </c>
      <c r="B6035" s="8" t="s">
        <v>134</v>
      </c>
      <c r="C6035" s="8" t="str">
        <f>IFERROR(_xlfn.XLOOKUP(TRIM(B6035),Lookup!$B$2:$B$1000,Lookup!$C$2:$C$1000),"")</f>
        <v>Debt</v>
      </c>
      <c r="D6035" s="8" t="str">
        <f>IFERROR(INDEX('nav master'!$C:$C, MATCH(B6035, 'nav master'!$B:$B, 0)), "")</f>
        <v>ULIF05601/08/13BondFunds101</v>
      </c>
      <c r="E6035" s="8" t="s">
        <v>460</v>
      </c>
      <c r="F6035" s="8" t="s">
        <v>798</v>
      </c>
    </row>
    <row r="6036" spans="1:6" ht="60" x14ac:dyDescent="0.25">
      <c r="A6036" s="8" t="s">
        <v>125</v>
      </c>
      <c r="B6036" s="8" t="s">
        <v>134</v>
      </c>
      <c r="C6036" s="8" t="str">
        <f>IFERROR(_xlfn.XLOOKUP(TRIM(B6036),Lookup!$B$2:$B$1000,Lookup!$C$2:$C$1000),"")</f>
        <v>Debt</v>
      </c>
      <c r="D6036" s="8" t="str">
        <f>IFERROR(INDEX('nav master'!$C:$C, MATCH(B6036, 'nav master'!$B:$B, 0)), "")</f>
        <v>ULIF05601/08/13BondFunds101</v>
      </c>
      <c r="E6036" s="8" t="s">
        <v>462</v>
      </c>
      <c r="F6036" s="8" t="s">
        <v>799</v>
      </c>
    </row>
    <row r="6037" spans="1:6" ht="60" x14ac:dyDescent="0.25">
      <c r="A6037" s="8" t="s">
        <v>125</v>
      </c>
      <c r="B6037" s="8" t="s">
        <v>134</v>
      </c>
      <c r="C6037" s="8" t="str">
        <f>IFERROR(_xlfn.XLOOKUP(TRIM(B6037),Lookup!$B$2:$B$1000,Lookup!$C$2:$C$1000),"")</f>
        <v>Debt</v>
      </c>
      <c r="D6037" s="8" t="str">
        <f>IFERROR(INDEX('nav master'!$C:$C, MATCH(B6037, 'nav master'!$B:$B, 0)), "")</f>
        <v>ULIF05601/08/13BondFunds101</v>
      </c>
      <c r="E6037" s="8" t="s">
        <v>464</v>
      </c>
      <c r="F6037" s="8" t="s">
        <v>800</v>
      </c>
    </row>
    <row r="6038" spans="1:6" ht="60" x14ac:dyDescent="0.25">
      <c r="A6038" s="8" t="s">
        <v>125</v>
      </c>
      <c r="B6038" s="8" t="s">
        <v>134</v>
      </c>
      <c r="C6038" s="8" t="str">
        <f>IFERROR(_xlfn.XLOOKUP(TRIM(B6038),Lookup!$B$2:$B$1000,Lookup!$C$2:$C$1000),"")</f>
        <v>Debt</v>
      </c>
      <c r="D6038" s="8" t="str">
        <f>IFERROR(INDEX('nav master'!$C:$C, MATCH(B6038, 'nav master'!$B:$B, 0)), "")</f>
        <v>ULIF05601/08/13BondFunds101</v>
      </c>
      <c r="E6038" s="8" t="s">
        <v>466</v>
      </c>
      <c r="F6038" s="8" t="s">
        <v>801</v>
      </c>
    </row>
    <row r="6039" spans="1:6" ht="60" x14ac:dyDescent="0.25">
      <c r="A6039" s="8" t="s">
        <v>125</v>
      </c>
      <c r="B6039" s="8" t="s">
        <v>134</v>
      </c>
      <c r="C6039" s="8" t="str">
        <f>IFERROR(_xlfn.XLOOKUP(TRIM(B6039),Lookup!$B$2:$B$1000,Lookup!$C$2:$C$1000),"")</f>
        <v>Debt</v>
      </c>
      <c r="D6039" s="8" t="str">
        <f>IFERROR(INDEX('nav master'!$C:$C, MATCH(B6039, 'nav master'!$B:$B, 0)), "")</f>
        <v>ULIF05601/08/13BondFunds101</v>
      </c>
      <c r="E6039" s="8" t="s">
        <v>468</v>
      </c>
      <c r="F6039" s="8" t="s">
        <v>802</v>
      </c>
    </row>
    <row r="6040" spans="1:6" ht="60" x14ac:dyDescent="0.25">
      <c r="A6040" s="8" t="s">
        <v>125</v>
      </c>
      <c r="B6040" s="8" t="s">
        <v>134</v>
      </c>
      <c r="C6040" s="8" t="str">
        <f>IFERROR(_xlfn.XLOOKUP(TRIM(B6040),Lookup!$B$2:$B$1000,Lookup!$C$2:$C$1000),"")</f>
        <v>Debt</v>
      </c>
      <c r="D6040" s="8" t="str">
        <f>IFERROR(INDEX('nav master'!$C:$C, MATCH(B6040, 'nav master'!$B:$B, 0)), "")</f>
        <v>ULIF05601/08/13BondFunds101</v>
      </c>
      <c r="E6040" s="8" t="s">
        <v>470</v>
      </c>
      <c r="F6040" s="8" t="s">
        <v>803</v>
      </c>
    </row>
    <row r="6041" spans="1:6" ht="60" x14ac:dyDescent="0.25">
      <c r="A6041" s="8" t="s">
        <v>125</v>
      </c>
      <c r="B6041" s="8" t="s">
        <v>134</v>
      </c>
      <c r="C6041" s="8" t="str">
        <f>IFERROR(_xlfn.XLOOKUP(TRIM(B6041),Lookup!$B$2:$B$1000,Lookup!$C$2:$C$1000),"")</f>
        <v>Debt</v>
      </c>
      <c r="D6041" s="8" t="str">
        <f>IFERROR(INDEX('nav master'!$C:$C, MATCH(B6041, 'nav master'!$B:$B, 0)), "")</f>
        <v>ULIF05601/08/13BondFunds101</v>
      </c>
      <c r="E6041" s="8" t="s">
        <v>472</v>
      </c>
      <c r="F6041" s="8" t="s">
        <v>804</v>
      </c>
    </row>
    <row r="6042" spans="1:6" ht="60" x14ac:dyDescent="0.25">
      <c r="A6042" s="8" t="s">
        <v>125</v>
      </c>
      <c r="B6042" s="8" t="s">
        <v>134</v>
      </c>
      <c r="C6042" s="8" t="str">
        <f>IFERROR(_xlfn.XLOOKUP(TRIM(B6042),Lookup!$B$2:$B$1000,Lookup!$C$2:$C$1000),"")</f>
        <v>Debt</v>
      </c>
      <c r="D6042" s="8" t="str">
        <f>IFERROR(INDEX('nav master'!$C:$C, MATCH(B6042, 'nav master'!$B:$B, 0)), "")</f>
        <v>ULIF05601/08/13BondFunds101</v>
      </c>
      <c r="E6042" s="8" t="s">
        <v>474</v>
      </c>
      <c r="F6042" s="8" t="s">
        <v>805</v>
      </c>
    </row>
    <row r="6043" spans="1:6" ht="60" x14ac:dyDescent="0.25">
      <c r="A6043" s="8" t="s">
        <v>125</v>
      </c>
      <c r="B6043" s="8" t="s">
        <v>134</v>
      </c>
      <c r="C6043" s="8" t="str">
        <f>IFERROR(_xlfn.XLOOKUP(TRIM(B6043),Lookup!$B$2:$B$1000,Lookup!$C$2:$C$1000),"")</f>
        <v>Debt</v>
      </c>
      <c r="D6043" s="8" t="str">
        <f>IFERROR(INDEX('nav master'!$C:$C, MATCH(B6043, 'nav master'!$B:$B, 0)), "")</f>
        <v>ULIF05601/08/13BondFunds101</v>
      </c>
      <c r="E6043" s="8" t="s">
        <v>476</v>
      </c>
      <c r="F6043" s="8" t="s">
        <v>806</v>
      </c>
    </row>
    <row r="6044" spans="1:6" ht="60" x14ac:dyDescent="0.25">
      <c r="A6044" s="8" t="s">
        <v>125</v>
      </c>
      <c r="B6044" s="8" t="s">
        <v>134</v>
      </c>
      <c r="C6044" s="8" t="str">
        <f>IFERROR(_xlfn.XLOOKUP(TRIM(B6044),Lookup!$B$2:$B$1000,Lookup!$C$2:$C$1000),"")</f>
        <v>Debt</v>
      </c>
      <c r="D6044" s="8" t="str">
        <f>IFERROR(INDEX('nav master'!$C:$C, MATCH(B6044, 'nav master'!$B:$B, 0)), "")</f>
        <v>ULIF05601/08/13BondFunds101</v>
      </c>
      <c r="E6044" s="8" t="s">
        <v>478</v>
      </c>
      <c r="F6044" s="8" t="s">
        <v>807</v>
      </c>
    </row>
    <row r="6045" spans="1:6" ht="60" x14ac:dyDescent="0.25">
      <c r="A6045" s="8" t="s">
        <v>125</v>
      </c>
      <c r="B6045" s="8" t="s">
        <v>134</v>
      </c>
      <c r="C6045" s="8" t="str">
        <f>IFERROR(_xlfn.XLOOKUP(TRIM(B6045),Lookup!$B$2:$B$1000,Lookup!$C$2:$C$1000),"")</f>
        <v>Debt</v>
      </c>
      <c r="D6045" s="8" t="str">
        <f>IFERROR(INDEX('nav master'!$C:$C, MATCH(B6045, 'nav master'!$B:$B, 0)), "")</f>
        <v>ULIF05601/08/13BondFunds101</v>
      </c>
      <c r="E6045" s="8" t="s">
        <v>480</v>
      </c>
      <c r="F6045" s="8" t="s">
        <v>808</v>
      </c>
    </row>
    <row r="6046" spans="1:6" ht="60" x14ac:dyDescent="0.25">
      <c r="A6046" s="8" t="s">
        <v>125</v>
      </c>
      <c r="B6046" s="8" t="s">
        <v>134</v>
      </c>
      <c r="C6046" s="8" t="str">
        <f>IFERROR(_xlfn.XLOOKUP(TRIM(B6046),Lookup!$B$2:$B$1000,Lookup!$C$2:$C$1000),"")</f>
        <v>Debt</v>
      </c>
      <c r="D6046" s="8" t="str">
        <f>IFERROR(INDEX('nav master'!$C:$C, MATCH(B6046, 'nav master'!$B:$B, 0)), "")</f>
        <v>ULIF05601/08/13BondFunds101</v>
      </c>
      <c r="E6046" s="8" t="s">
        <v>482</v>
      </c>
      <c r="F6046" s="8" t="s">
        <v>809</v>
      </c>
    </row>
    <row r="6047" spans="1:6" ht="60" x14ac:dyDescent="0.25">
      <c r="A6047" s="8" t="s">
        <v>125</v>
      </c>
      <c r="B6047" s="8" t="s">
        <v>134</v>
      </c>
      <c r="C6047" s="8" t="str">
        <f>IFERROR(_xlfn.XLOOKUP(TRIM(B6047),Lookup!$B$2:$B$1000,Lookup!$C$2:$C$1000),"")</f>
        <v>Debt</v>
      </c>
      <c r="D6047" s="8" t="str">
        <f>IFERROR(INDEX('nav master'!$C:$C, MATCH(B6047, 'nav master'!$B:$B, 0)), "")</f>
        <v>ULIF05601/08/13BondFunds101</v>
      </c>
      <c r="E6047" s="8" t="s">
        <v>484</v>
      </c>
      <c r="F6047" s="8" t="s">
        <v>810</v>
      </c>
    </row>
    <row r="6048" spans="1:6" ht="60" x14ac:dyDescent="0.25">
      <c r="A6048" s="8" t="s">
        <v>125</v>
      </c>
      <c r="B6048" s="8" t="s">
        <v>134</v>
      </c>
      <c r="C6048" s="8" t="str">
        <f>IFERROR(_xlfn.XLOOKUP(TRIM(B6048),Lookup!$B$2:$B$1000,Lookup!$C$2:$C$1000),"")</f>
        <v>Debt</v>
      </c>
      <c r="D6048" s="8" t="str">
        <f>IFERROR(INDEX('nav master'!$C:$C, MATCH(B6048, 'nav master'!$B:$B, 0)), "")</f>
        <v>ULIF05601/08/13BondFunds101</v>
      </c>
      <c r="E6048" s="8" t="s">
        <v>486</v>
      </c>
      <c r="F6048" s="8" t="s">
        <v>811</v>
      </c>
    </row>
    <row r="6049" spans="1:6" ht="60" x14ac:dyDescent="0.25">
      <c r="A6049" s="8" t="s">
        <v>125</v>
      </c>
      <c r="B6049" s="8" t="s">
        <v>134</v>
      </c>
      <c r="C6049" s="8" t="str">
        <f>IFERROR(_xlfn.XLOOKUP(TRIM(B6049),Lookup!$B$2:$B$1000,Lookup!$C$2:$C$1000),"")</f>
        <v>Debt</v>
      </c>
      <c r="D6049" s="8" t="str">
        <f>IFERROR(INDEX('nav master'!$C:$C, MATCH(B6049, 'nav master'!$B:$B, 0)), "")</f>
        <v>ULIF05601/08/13BondFunds101</v>
      </c>
      <c r="E6049" s="8" t="s">
        <v>488</v>
      </c>
      <c r="F6049" s="8" t="s">
        <v>812</v>
      </c>
    </row>
    <row r="6050" spans="1:6" ht="60" x14ac:dyDescent="0.25">
      <c r="A6050" s="8" t="s">
        <v>125</v>
      </c>
      <c r="B6050" s="8" t="s">
        <v>134</v>
      </c>
      <c r="C6050" s="8" t="str">
        <f>IFERROR(_xlfn.XLOOKUP(TRIM(B6050),Lookup!$B$2:$B$1000,Lookup!$C$2:$C$1000),"")</f>
        <v>Debt</v>
      </c>
      <c r="D6050" s="8" t="str">
        <f>IFERROR(INDEX('nav master'!$C:$C, MATCH(B6050, 'nav master'!$B:$B, 0)), "")</f>
        <v>ULIF05601/08/13BondFunds101</v>
      </c>
      <c r="E6050" s="8" t="s">
        <v>490</v>
      </c>
      <c r="F6050" s="8" t="s">
        <v>813</v>
      </c>
    </row>
    <row r="6051" spans="1:6" ht="60" x14ac:dyDescent="0.25">
      <c r="A6051" s="8" t="s">
        <v>125</v>
      </c>
      <c r="B6051" s="8" t="s">
        <v>134</v>
      </c>
      <c r="C6051" s="8" t="str">
        <f>IFERROR(_xlfn.XLOOKUP(TRIM(B6051),Lookup!$B$2:$B$1000,Lookup!$C$2:$C$1000),"")</f>
        <v>Debt</v>
      </c>
      <c r="D6051" s="8" t="str">
        <f>IFERROR(INDEX('nav master'!$C:$C, MATCH(B6051, 'nav master'!$B:$B, 0)), "")</f>
        <v>ULIF05601/08/13BondFunds101</v>
      </c>
      <c r="E6051" s="8" t="s">
        <v>492</v>
      </c>
      <c r="F6051" s="8" t="s">
        <v>814</v>
      </c>
    </row>
    <row r="6052" spans="1:6" ht="60" x14ac:dyDescent="0.25">
      <c r="A6052" s="8" t="s">
        <v>125</v>
      </c>
      <c r="B6052" s="8" t="s">
        <v>134</v>
      </c>
      <c r="C6052" s="8" t="str">
        <f>IFERROR(_xlfn.XLOOKUP(TRIM(B6052),Lookup!$B$2:$B$1000,Lookup!$C$2:$C$1000),"")</f>
        <v>Debt</v>
      </c>
      <c r="D6052" s="8" t="str">
        <f>IFERROR(INDEX('nav master'!$C:$C, MATCH(B6052, 'nav master'!$B:$B, 0)), "")</f>
        <v>ULIF05601/08/13BondFunds101</v>
      </c>
      <c r="E6052" s="8" t="s">
        <v>494</v>
      </c>
      <c r="F6052" s="8" t="s">
        <v>815</v>
      </c>
    </row>
    <row r="6053" spans="1:6" ht="60" x14ac:dyDescent="0.25">
      <c r="A6053" s="8" t="s">
        <v>125</v>
      </c>
      <c r="B6053" s="8" t="s">
        <v>134</v>
      </c>
      <c r="C6053" s="8" t="str">
        <f>IFERROR(_xlfn.XLOOKUP(TRIM(B6053),Lookup!$B$2:$B$1000,Lookup!$C$2:$C$1000),"")</f>
        <v>Debt</v>
      </c>
      <c r="D6053" s="8" t="str">
        <f>IFERROR(INDEX('nav master'!$C:$C, MATCH(B6053, 'nav master'!$B:$B, 0)), "")</f>
        <v>ULIF05601/08/13BondFunds101</v>
      </c>
      <c r="E6053" s="8" t="s">
        <v>496</v>
      </c>
      <c r="F6053" s="8" t="s">
        <v>816</v>
      </c>
    </row>
    <row r="6054" spans="1:6" ht="60" x14ac:dyDescent="0.25">
      <c r="A6054" s="8" t="s">
        <v>125</v>
      </c>
      <c r="B6054" s="8" t="s">
        <v>134</v>
      </c>
      <c r="C6054" s="8" t="str">
        <f>IFERROR(_xlfn.XLOOKUP(TRIM(B6054),Lookup!$B$2:$B$1000,Lookup!$C$2:$C$1000),"")</f>
        <v>Debt</v>
      </c>
      <c r="D6054" s="8" t="str">
        <f>IFERROR(INDEX('nav master'!$C:$C, MATCH(B6054, 'nav master'!$B:$B, 0)), "")</f>
        <v>ULIF05601/08/13BondFunds101</v>
      </c>
      <c r="E6054" s="8" t="s">
        <v>498</v>
      </c>
      <c r="F6054" s="8" t="s">
        <v>817</v>
      </c>
    </row>
    <row r="6055" spans="1:6" ht="60" x14ac:dyDescent="0.25">
      <c r="A6055" s="8" t="s">
        <v>125</v>
      </c>
      <c r="B6055" s="8" t="s">
        <v>134</v>
      </c>
      <c r="C6055" s="8" t="str">
        <f>IFERROR(_xlfn.XLOOKUP(TRIM(B6055),Lookup!$B$2:$B$1000,Lookup!$C$2:$C$1000),"")</f>
        <v>Debt</v>
      </c>
      <c r="D6055" s="8" t="str">
        <f>IFERROR(INDEX('nav master'!$C:$C, MATCH(B6055, 'nav master'!$B:$B, 0)), "")</f>
        <v>ULIF05601/08/13BondFunds101</v>
      </c>
      <c r="E6055" s="8" t="s">
        <v>500</v>
      </c>
      <c r="F6055" s="8" t="s">
        <v>818</v>
      </c>
    </row>
    <row r="6056" spans="1:6" ht="60" x14ac:dyDescent="0.25">
      <c r="A6056" s="8" t="s">
        <v>125</v>
      </c>
      <c r="B6056" s="8" t="s">
        <v>134</v>
      </c>
      <c r="C6056" s="8" t="str">
        <f>IFERROR(_xlfn.XLOOKUP(TRIM(B6056),Lookup!$B$2:$B$1000,Lookup!$C$2:$C$1000),"")</f>
        <v>Debt</v>
      </c>
      <c r="D6056" s="8" t="str">
        <f>IFERROR(INDEX('nav master'!$C:$C, MATCH(B6056, 'nav master'!$B:$B, 0)), "")</f>
        <v>ULIF05601/08/13BondFunds101</v>
      </c>
      <c r="E6056" s="8" t="s">
        <v>502</v>
      </c>
      <c r="F6056" s="8" t="s">
        <v>819</v>
      </c>
    </row>
    <row r="6057" spans="1:6" ht="60" x14ac:dyDescent="0.25">
      <c r="A6057" s="8" t="s">
        <v>125</v>
      </c>
      <c r="B6057" s="8" t="s">
        <v>134</v>
      </c>
      <c r="C6057" s="8" t="str">
        <f>IFERROR(_xlfn.XLOOKUP(TRIM(B6057),Lookup!$B$2:$B$1000,Lookup!$C$2:$C$1000),"")</f>
        <v>Debt</v>
      </c>
      <c r="D6057" s="8" t="str">
        <f>IFERROR(INDEX('nav master'!$C:$C, MATCH(B6057, 'nav master'!$B:$B, 0)), "")</f>
        <v>ULIF05601/08/13BondFunds101</v>
      </c>
      <c r="E6057" s="8" t="s">
        <v>504</v>
      </c>
      <c r="F6057" s="8" t="s">
        <v>820</v>
      </c>
    </row>
    <row r="6058" spans="1:6" ht="60" x14ac:dyDescent="0.25">
      <c r="A6058" s="8" t="s">
        <v>125</v>
      </c>
      <c r="B6058" s="8" t="s">
        <v>134</v>
      </c>
      <c r="C6058" s="8" t="str">
        <f>IFERROR(_xlfn.XLOOKUP(TRIM(B6058),Lookup!$B$2:$B$1000,Lookup!$C$2:$C$1000),"")</f>
        <v>Debt</v>
      </c>
      <c r="D6058" s="8" t="str">
        <f>IFERROR(INDEX('nav master'!$C:$C, MATCH(B6058, 'nav master'!$B:$B, 0)), "")</f>
        <v>ULIF05601/08/13BondFunds101</v>
      </c>
      <c r="E6058" s="8" t="s">
        <v>506</v>
      </c>
      <c r="F6058" s="8" t="s">
        <v>821</v>
      </c>
    </row>
    <row r="6059" spans="1:6" ht="60" x14ac:dyDescent="0.25">
      <c r="A6059" s="8" t="s">
        <v>125</v>
      </c>
      <c r="B6059" s="8" t="s">
        <v>134</v>
      </c>
      <c r="C6059" s="8" t="str">
        <f>IFERROR(_xlfn.XLOOKUP(TRIM(B6059),Lookup!$B$2:$B$1000,Lookup!$C$2:$C$1000),"")</f>
        <v>Debt</v>
      </c>
      <c r="D6059" s="8" t="str">
        <f>IFERROR(INDEX('nav master'!$C:$C, MATCH(B6059, 'nav master'!$B:$B, 0)), "")</f>
        <v>ULIF05601/08/13BondFunds101</v>
      </c>
      <c r="E6059" s="8" t="s">
        <v>508</v>
      </c>
      <c r="F6059" s="8" t="s">
        <v>822</v>
      </c>
    </row>
    <row r="6060" spans="1:6" ht="60" x14ac:dyDescent="0.25">
      <c r="A6060" s="8" t="s">
        <v>125</v>
      </c>
      <c r="B6060" s="8" t="s">
        <v>134</v>
      </c>
      <c r="C6060" s="8" t="str">
        <f>IFERROR(_xlfn.XLOOKUP(TRIM(B6060),Lookup!$B$2:$B$1000,Lookup!$C$2:$C$1000),"")</f>
        <v>Debt</v>
      </c>
      <c r="D6060" s="8" t="str">
        <f>IFERROR(INDEX('nav master'!$C:$C, MATCH(B6060, 'nav master'!$B:$B, 0)), "")</f>
        <v>ULIF05601/08/13BondFunds101</v>
      </c>
      <c r="E6060" s="8" t="s">
        <v>510</v>
      </c>
      <c r="F6060" s="8" t="s">
        <v>823</v>
      </c>
    </row>
    <row r="6061" spans="1:6" ht="60" x14ac:dyDescent="0.25">
      <c r="A6061" s="8" t="s">
        <v>125</v>
      </c>
      <c r="B6061" s="8" t="s">
        <v>134</v>
      </c>
      <c r="C6061" s="8" t="str">
        <f>IFERROR(_xlfn.XLOOKUP(TRIM(B6061),Lookup!$B$2:$B$1000,Lookup!$C$2:$C$1000),"")</f>
        <v>Debt</v>
      </c>
      <c r="D6061" s="8" t="str">
        <f>IFERROR(INDEX('nav master'!$C:$C, MATCH(B6061, 'nav master'!$B:$B, 0)), "")</f>
        <v>ULIF05601/08/13BondFunds101</v>
      </c>
      <c r="E6061" s="8" t="s">
        <v>512</v>
      </c>
      <c r="F6061" s="8" t="s">
        <v>824</v>
      </c>
    </row>
    <row r="6062" spans="1:6" ht="60" x14ac:dyDescent="0.25">
      <c r="A6062" s="8" t="s">
        <v>125</v>
      </c>
      <c r="B6062" s="8" t="s">
        <v>134</v>
      </c>
      <c r="C6062" s="8" t="str">
        <f>IFERROR(_xlfn.XLOOKUP(TRIM(B6062),Lookup!$B$2:$B$1000,Lookup!$C$2:$C$1000),"")</f>
        <v>Debt</v>
      </c>
      <c r="D6062" s="8" t="str">
        <f>IFERROR(INDEX('nav master'!$C:$C, MATCH(B6062, 'nav master'!$B:$B, 0)), "")</f>
        <v>ULIF05601/08/13BondFunds101</v>
      </c>
      <c r="E6062" s="8" t="s">
        <v>514</v>
      </c>
      <c r="F6062" s="8" t="s">
        <v>825</v>
      </c>
    </row>
    <row r="6063" spans="1:6" ht="60" x14ac:dyDescent="0.25">
      <c r="A6063" s="8" t="s">
        <v>125</v>
      </c>
      <c r="B6063" s="8" t="s">
        <v>134</v>
      </c>
      <c r="C6063" s="8" t="str">
        <f>IFERROR(_xlfn.XLOOKUP(TRIM(B6063),Lookup!$B$2:$B$1000,Lookup!$C$2:$C$1000),"")</f>
        <v>Debt</v>
      </c>
      <c r="D6063" s="8" t="str">
        <f>IFERROR(INDEX('nav master'!$C:$C, MATCH(B6063, 'nav master'!$B:$B, 0)), "")</f>
        <v>ULIF05601/08/13BondFunds101</v>
      </c>
      <c r="E6063" s="8" t="s">
        <v>516</v>
      </c>
      <c r="F6063" s="8" t="s">
        <v>826</v>
      </c>
    </row>
    <row r="6064" spans="1:6" ht="60" x14ac:dyDescent="0.25">
      <c r="A6064" s="8" t="s">
        <v>125</v>
      </c>
      <c r="B6064" s="8" t="s">
        <v>134</v>
      </c>
      <c r="C6064" s="8" t="str">
        <f>IFERROR(_xlfn.XLOOKUP(TRIM(B6064),Lookup!$B$2:$B$1000,Lookup!$C$2:$C$1000),"")</f>
        <v>Debt</v>
      </c>
      <c r="D6064" s="8" t="str">
        <f>IFERROR(INDEX('nav master'!$C:$C, MATCH(B6064, 'nav master'!$B:$B, 0)), "")</f>
        <v>ULIF05601/08/13BondFunds101</v>
      </c>
      <c r="E6064" s="8" t="s">
        <v>518</v>
      </c>
      <c r="F6064" s="8" t="s">
        <v>827</v>
      </c>
    </row>
    <row r="6065" spans="1:6" ht="60" x14ac:dyDescent="0.25">
      <c r="A6065" s="8" t="s">
        <v>125</v>
      </c>
      <c r="B6065" s="8" t="s">
        <v>134</v>
      </c>
      <c r="C6065" s="8" t="str">
        <f>IFERROR(_xlfn.XLOOKUP(TRIM(B6065),Lookup!$B$2:$B$1000,Lookup!$C$2:$C$1000),"")</f>
        <v>Debt</v>
      </c>
      <c r="D6065" s="8" t="str">
        <f>IFERROR(INDEX('nav master'!$C:$C, MATCH(B6065, 'nav master'!$B:$B, 0)), "")</f>
        <v>ULIF05601/08/13BondFunds101</v>
      </c>
      <c r="E6065" s="8" t="s">
        <v>520</v>
      </c>
      <c r="F6065" s="8" t="s">
        <v>828</v>
      </c>
    </row>
    <row r="6066" spans="1:6" ht="60" x14ac:dyDescent="0.25">
      <c r="A6066" s="8" t="s">
        <v>125</v>
      </c>
      <c r="B6066" s="8" t="s">
        <v>134</v>
      </c>
      <c r="C6066" s="8" t="str">
        <f>IFERROR(_xlfn.XLOOKUP(TRIM(B6066),Lookup!$B$2:$B$1000,Lookup!$C$2:$C$1000),"")</f>
        <v>Debt</v>
      </c>
      <c r="D6066" s="8" t="str">
        <f>IFERROR(INDEX('nav master'!$C:$C, MATCH(B6066, 'nav master'!$B:$B, 0)), "")</f>
        <v>ULIF05601/08/13BondFunds101</v>
      </c>
      <c r="E6066" s="8" t="s">
        <v>522</v>
      </c>
      <c r="F6066" s="8" t="s">
        <v>829</v>
      </c>
    </row>
    <row r="6067" spans="1:6" ht="60" x14ac:dyDescent="0.25">
      <c r="A6067" s="8" t="s">
        <v>125</v>
      </c>
      <c r="B6067" s="8" t="s">
        <v>134</v>
      </c>
      <c r="C6067" s="8" t="str">
        <f>IFERROR(_xlfn.XLOOKUP(TRIM(B6067),Lookup!$B$2:$B$1000,Lookup!$C$2:$C$1000),"")</f>
        <v>Debt</v>
      </c>
      <c r="D6067" s="8" t="str">
        <f>IFERROR(INDEX('nav master'!$C:$C, MATCH(B6067, 'nav master'!$B:$B, 0)), "")</f>
        <v>ULIF05601/08/13BondFunds101</v>
      </c>
      <c r="E6067" s="8" t="s">
        <v>524</v>
      </c>
      <c r="F6067" s="8" t="s">
        <v>830</v>
      </c>
    </row>
    <row r="6068" spans="1:6" ht="60" x14ac:dyDescent="0.25">
      <c r="A6068" s="8" t="s">
        <v>125</v>
      </c>
      <c r="B6068" s="8" t="s">
        <v>134</v>
      </c>
      <c r="C6068" s="8" t="str">
        <f>IFERROR(_xlfn.XLOOKUP(TRIM(B6068),Lookup!$B$2:$B$1000,Lookup!$C$2:$C$1000),"")</f>
        <v>Debt</v>
      </c>
      <c r="D6068" s="8" t="str">
        <f>IFERROR(INDEX('nav master'!$C:$C, MATCH(B6068, 'nav master'!$B:$B, 0)), "")</f>
        <v>ULIF05601/08/13BondFunds101</v>
      </c>
      <c r="E6068" s="8" t="s">
        <v>526</v>
      </c>
      <c r="F6068" s="8" t="s">
        <v>831</v>
      </c>
    </row>
    <row r="6069" spans="1:6" ht="60" x14ac:dyDescent="0.25">
      <c r="A6069" s="8" t="s">
        <v>125</v>
      </c>
      <c r="B6069" s="8" t="s">
        <v>134</v>
      </c>
      <c r="C6069" s="8" t="str">
        <f>IFERROR(_xlfn.XLOOKUP(TRIM(B6069),Lookup!$B$2:$B$1000,Lookup!$C$2:$C$1000),"")</f>
        <v>Debt</v>
      </c>
      <c r="D6069" s="8" t="str">
        <f>IFERROR(INDEX('nav master'!$C:$C, MATCH(B6069, 'nav master'!$B:$B, 0)), "")</f>
        <v>ULIF05601/08/13BondFunds101</v>
      </c>
      <c r="E6069" s="8" t="s">
        <v>528</v>
      </c>
      <c r="F6069" s="8" t="s">
        <v>832</v>
      </c>
    </row>
    <row r="6070" spans="1:6" ht="60" x14ac:dyDescent="0.25">
      <c r="A6070" s="8" t="s">
        <v>125</v>
      </c>
      <c r="B6070" s="8" t="s">
        <v>134</v>
      </c>
      <c r="C6070" s="8" t="str">
        <f>IFERROR(_xlfn.XLOOKUP(TRIM(B6070),Lookup!$B$2:$B$1000,Lookup!$C$2:$C$1000),"")</f>
        <v>Debt</v>
      </c>
      <c r="D6070" s="8" t="str">
        <f>IFERROR(INDEX('nav master'!$C:$C, MATCH(B6070, 'nav master'!$B:$B, 0)), "")</f>
        <v>ULIF05601/08/13BondFunds101</v>
      </c>
      <c r="E6070" s="8" t="s">
        <v>530</v>
      </c>
      <c r="F6070" s="8" t="s">
        <v>833</v>
      </c>
    </row>
    <row r="6071" spans="1:6" ht="60" x14ac:dyDescent="0.25">
      <c r="A6071" s="8" t="s">
        <v>125</v>
      </c>
      <c r="B6071" s="8" t="s">
        <v>134</v>
      </c>
      <c r="C6071" s="8" t="str">
        <f>IFERROR(_xlfn.XLOOKUP(TRIM(B6071),Lookup!$B$2:$B$1000,Lookup!$C$2:$C$1000),"")</f>
        <v>Debt</v>
      </c>
      <c r="D6071" s="8" t="str">
        <f>IFERROR(INDEX('nav master'!$C:$C, MATCH(B6071, 'nav master'!$B:$B, 0)), "")</f>
        <v>ULIF05601/08/13BondFunds101</v>
      </c>
      <c r="E6071" s="8" t="s">
        <v>532</v>
      </c>
      <c r="F6071" s="8" t="s">
        <v>834</v>
      </c>
    </row>
    <row r="6072" spans="1:6" ht="60" x14ac:dyDescent="0.25">
      <c r="A6072" s="8" t="s">
        <v>125</v>
      </c>
      <c r="B6072" s="8" t="s">
        <v>134</v>
      </c>
      <c r="C6072" s="8" t="str">
        <f>IFERROR(_xlfn.XLOOKUP(TRIM(B6072),Lookup!$B$2:$B$1000,Lookup!$C$2:$C$1000),"")</f>
        <v>Debt</v>
      </c>
      <c r="D6072" s="8" t="str">
        <f>IFERROR(INDEX('nav master'!$C:$C, MATCH(B6072, 'nav master'!$B:$B, 0)), "")</f>
        <v>ULIF05601/08/13BondFunds101</v>
      </c>
      <c r="E6072" s="8" t="s">
        <v>534</v>
      </c>
      <c r="F6072" s="8" t="s">
        <v>835</v>
      </c>
    </row>
    <row r="6073" spans="1:6" ht="60" x14ac:dyDescent="0.25">
      <c r="A6073" s="8" t="s">
        <v>125</v>
      </c>
      <c r="B6073" s="8" t="s">
        <v>134</v>
      </c>
      <c r="C6073" s="8" t="str">
        <f>IFERROR(_xlfn.XLOOKUP(TRIM(B6073),Lookup!$B$2:$B$1000,Lookup!$C$2:$C$1000),"")</f>
        <v>Debt</v>
      </c>
      <c r="D6073" s="8" t="str">
        <f>IFERROR(INDEX('nav master'!$C:$C, MATCH(B6073, 'nav master'!$B:$B, 0)), "")</f>
        <v>ULIF05601/08/13BondFunds101</v>
      </c>
      <c r="E6073" s="8" t="s">
        <v>536</v>
      </c>
      <c r="F6073" s="8" t="s">
        <v>836</v>
      </c>
    </row>
    <row r="6074" spans="1:6" ht="60" x14ac:dyDescent="0.25">
      <c r="A6074" s="8" t="s">
        <v>125</v>
      </c>
      <c r="B6074" s="8" t="s">
        <v>134</v>
      </c>
      <c r="C6074" s="8" t="str">
        <f>IFERROR(_xlfn.XLOOKUP(TRIM(B6074),Lookup!$B$2:$B$1000,Lookup!$C$2:$C$1000),"")</f>
        <v>Debt</v>
      </c>
      <c r="D6074" s="8" t="str">
        <f>IFERROR(INDEX('nav master'!$C:$C, MATCH(B6074, 'nav master'!$B:$B, 0)), "")</f>
        <v>ULIF05601/08/13BondFunds101</v>
      </c>
      <c r="E6074" s="8" t="s">
        <v>538</v>
      </c>
      <c r="F6074" s="8" t="s">
        <v>837</v>
      </c>
    </row>
    <row r="6075" spans="1:6" ht="60" x14ac:dyDescent="0.25">
      <c r="A6075" s="8" t="s">
        <v>125</v>
      </c>
      <c r="B6075" s="8" t="s">
        <v>134</v>
      </c>
      <c r="C6075" s="8" t="str">
        <f>IFERROR(_xlfn.XLOOKUP(TRIM(B6075),Lookup!$B$2:$B$1000,Lookup!$C$2:$C$1000),"")</f>
        <v>Debt</v>
      </c>
      <c r="D6075" s="8" t="str">
        <f>IFERROR(INDEX('nav master'!$C:$C, MATCH(B6075, 'nav master'!$B:$B, 0)), "")</f>
        <v>ULIF05601/08/13BondFunds101</v>
      </c>
      <c r="E6075" s="8" t="s">
        <v>540</v>
      </c>
      <c r="F6075" s="8" t="s">
        <v>838</v>
      </c>
    </row>
    <row r="6076" spans="1:6" ht="60" x14ac:dyDescent="0.25">
      <c r="A6076" s="8" t="s">
        <v>125</v>
      </c>
      <c r="B6076" s="8" t="s">
        <v>134</v>
      </c>
      <c r="C6076" s="8" t="str">
        <f>IFERROR(_xlfn.XLOOKUP(TRIM(B6076),Lookup!$B$2:$B$1000,Lookup!$C$2:$C$1000),"")</f>
        <v>Debt</v>
      </c>
      <c r="D6076" s="8" t="str">
        <f>IFERROR(INDEX('nav master'!$C:$C, MATCH(B6076, 'nav master'!$B:$B, 0)), "")</f>
        <v>ULIF05601/08/13BondFunds101</v>
      </c>
      <c r="E6076" s="8" t="s">
        <v>542</v>
      </c>
      <c r="F6076" s="8" t="s">
        <v>839</v>
      </c>
    </row>
    <row r="6077" spans="1:6" ht="60" x14ac:dyDescent="0.25">
      <c r="A6077" s="8" t="s">
        <v>125</v>
      </c>
      <c r="B6077" s="8" t="s">
        <v>134</v>
      </c>
      <c r="C6077" s="8" t="str">
        <f>IFERROR(_xlfn.XLOOKUP(TRIM(B6077),Lookup!$B$2:$B$1000,Lookup!$C$2:$C$1000),"")</f>
        <v>Debt</v>
      </c>
      <c r="D6077" s="8" t="str">
        <f>IFERROR(INDEX('nav master'!$C:$C, MATCH(B6077, 'nav master'!$B:$B, 0)), "")</f>
        <v>ULIF05601/08/13BondFunds101</v>
      </c>
      <c r="E6077" s="8" t="s">
        <v>544</v>
      </c>
      <c r="F6077" s="8" t="s">
        <v>840</v>
      </c>
    </row>
    <row r="6078" spans="1:6" ht="60" x14ac:dyDescent="0.25">
      <c r="A6078" s="8" t="s">
        <v>125</v>
      </c>
      <c r="B6078" s="8" t="s">
        <v>134</v>
      </c>
      <c r="C6078" s="8" t="str">
        <f>IFERROR(_xlfn.XLOOKUP(TRIM(B6078),Lookup!$B$2:$B$1000,Lookup!$C$2:$C$1000),"")</f>
        <v>Debt</v>
      </c>
      <c r="D6078" s="8" t="str">
        <f>IFERROR(INDEX('nav master'!$C:$C, MATCH(B6078, 'nav master'!$B:$B, 0)), "")</f>
        <v>ULIF05601/08/13BondFunds101</v>
      </c>
      <c r="E6078" s="8" t="s">
        <v>546</v>
      </c>
      <c r="F6078" s="8" t="s">
        <v>841</v>
      </c>
    </row>
    <row r="6079" spans="1:6" ht="60" x14ac:dyDescent="0.25">
      <c r="A6079" s="8" t="s">
        <v>125</v>
      </c>
      <c r="B6079" s="8" t="s">
        <v>134</v>
      </c>
      <c r="C6079" s="8" t="str">
        <f>IFERROR(_xlfn.XLOOKUP(TRIM(B6079),Lookup!$B$2:$B$1000,Lookup!$C$2:$C$1000),"")</f>
        <v>Debt</v>
      </c>
      <c r="D6079" s="8" t="str">
        <f>IFERROR(INDEX('nav master'!$C:$C, MATCH(B6079, 'nav master'!$B:$B, 0)), "")</f>
        <v>ULIF05601/08/13BondFunds101</v>
      </c>
      <c r="E6079" s="8" t="s">
        <v>548</v>
      </c>
      <c r="F6079" s="8" t="s">
        <v>842</v>
      </c>
    </row>
    <row r="6080" spans="1:6" ht="60" x14ac:dyDescent="0.25">
      <c r="A6080" s="8" t="s">
        <v>125</v>
      </c>
      <c r="B6080" s="8" t="s">
        <v>134</v>
      </c>
      <c r="C6080" s="8" t="str">
        <f>IFERROR(_xlfn.XLOOKUP(TRIM(B6080),Lookup!$B$2:$B$1000,Lookup!$C$2:$C$1000),"")</f>
        <v>Debt</v>
      </c>
      <c r="D6080" s="8" t="str">
        <f>IFERROR(INDEX('nav master'!$C:$C, MATCH(B6080, 'nav master'!$B:$B, 0)), "")</f>
        <v>ULIF05601/08/13BondFunds101</v>
      </c>
      <c r="E6080" s="8" t="s">
        <v>550</v>
      </c>
      <c r="F6080" s="8" t="s">
        <v>773</v>
      </c>
    </row>
    <row r="6081" spans="1:6" ht="60" x14ac:dyDescent="0.25">
      <c r="A6081" s="8" t="s">
        <v>125</v>
      </c>
      <c r="B6081" s="8" t="s">
        <v>134</v>
      </c>
      <c r="C6081" s="8" t="str">
        <f>IFERROR(_xlfn.XLOOKUP(TRIM(B6081),Lookup!$B$2:$B$1000,Lookup!$C$2:$C$1000),"")</f>
        <v>Debt</v>
      </c>
      <c r="D6081" s="8" t="str">
        <f>IFERROR(INDEX('nav master'!$C:$C, MATCH(B6081, 'nav master'!$B:$B, 0)), "")</f>
        <v>ULIF05601/08/13BondFunds101</v>
      </c>
      <c r="E6081" s="8" t="s">
        <v>552</v>
      </c>
      <c r="F6081" s="8" t="s">
        <v>843</v>
      </c>
    </row>
    <row r="6082" spans="1:6" ht="60" x14ac:dyDescent="0.25">
      <c r="A6082" s="8" t="s">
        <v>125</v>
      </c>
      <c r="B6082" s="8" t="s">
        <v>134</v>
      </c>
      <c r="C6082" s="8" t="str">
        <f>IFERROR(_xlfn.XLOOKUP(TRIM(B6082),Lookup!$B$2:$B$1000,Lookup!$C$2:$C$1000),"")</f>
        <v>Debt</v>
      </c>
      <c r="D6082" s="8" t="str">
        <f>IFERROR(INDEX('nav master'!$C:$C, MATCH(B6082, 'nav master'!$B:$B, 0)), "")</f>
        <v>ULIF05601/08/13BondFunds101</v>
      </c>
      <c r="E6082" s="8" t="s">
        <v>554</v>
      </c>
      <c r="F6082" s="8" t="s">
        <v>844</v>
      </c>
    </row>
    <row r="6083" spans="1:6" ht="60" x14ac:dyDescent="0.25">
      <c r="A6083" s="8" t="s">
        <v>125</v>
      </c>
      <c r="B6083" s="8" t="s">
        <v>134</v>
      </c>
      <c r="C6083" s="8" t="str">
        <f>IFERROR(_xlfn.XLOOKUP(TRIM(B6083),Lookup!$B$2:$B$1000,Lookup!$C$2:$C$1000),"")</f>
        <v>Debt</v>
      </c>
      <c r="D6083" s="8" t="str">
        <f>IFERROR(INDEX('nav master'!$C:$C, MATCH(B6083, 'nav master'!$B:$B, 0)), "")</f>
        <v>ULIF05601/08/13BondFunds101</v>
      </c>
      <c r="E6083" s="8" t="s">
        <v>556</v>
      </c>
      <c r="F6083" s="8" t="s">
        <v>845</v>
      </c>
    </row>
    <row r="6084" spans="1:6" ht="60" x14ac:dyDescent="0.25">
      <c r="A6084" s="8" t="s">
        <v>125</v>
      </c>
      <c r="B6084" s="8" t="s">
        <v>134</v>
      </c>
      <c r="C6084" s="8" t="str">
        <f>IFERROR(_xlfn.XLOOKUP(TRIM(B6084),Lookup!$B$2:$B$1000,Lookup!$C$2:$C$1000),"")</f>
        <v>Debt</v>
      </c>
      <c r="D6084" s="8" t="str">
        <f>IFERROR(INDEX('nav master'!$C:$C, MATCH(B6084, 'nav master'!$B:$B, 0)), "")</f>
        <v>ULIF05601/08/13BondFunds101</v>
      </c>
      <c r="E6084" s="8" t="s">
        <v>558</v>
      </c>
      <c r="F6084" s="8" t="s">
        <v>846</v>
      </c>
    </row>
    <row r="6085" spans="1:6" ht="60" x14ac:dyDescent="0.25">
      <c r="A6085" s="8" t="s">
        <v>125</v>
      </c>
      <c r="B6085" s="8" t="s">
        <v>134</v>
      </c>
      <c r="C6085" s="8" t="str">
        <f>IFERROR(_xlfn.XLOOKUP(TRIM(B6085),Lookup!$B$2:$B$1000,Lookup!$C$2:$C$1000),"")</f>
        <v>Debt</v>
      </c>
      <c r="D6085" s="8" t="str">
        <f>IFERROR(INDEX('nav master'!$C:$C, MATCH(B6085, 'nav master'!$B:$B, 0)), "")</f>
        <v>ULIF05601/08/13BondFunds101</v>
      </c>
      <c r="E6085" s="8" t="s">
        <v>560</v>
      </c>
      <c r="F6085" s="8" t="s">
        <v>847</v>
      </c>
    </row>
    <row r="6086" spans="1:6" ht="60" x14ac:dyDescent="0.25">
      <c r="A6086" s="8" t="s">
        <v>125</v>
      </c>
      <c r="B6086" s="8" t="s">
        <v>134</v>
      </c>
      <c r="C6086" s="8" t="str">
        <f>IFERROR(_xlfn.XLOOKUP(TRIM(B6086),Lookup!$B$2:$B$1000,Lookup!$C$2:$C$1000),"")</f>
        <v>Debt</v>
      </c>
      <c r="D6086" s="8" t="str">
        <f>IFERROR(INDEX('nav master'!$C:$C, MATCH(B6086, 'nav master'!$B:$B, 0)), "")</f>
        <v>ULIF05601/08/13BondFunds101</v>
      </c>
      <c r="E6086" s="8" t="s">
        <v>562</v>
      </c>
      <c r="F6086" s="8" t="s">
        <v>848</v>
      </c>
    </row>
    <row r="6087" spans="1:6" ht="60" x14ac:dyDescent="0.25">
      <c r="A6087" s="8" t="s">
        <v>125</v>
      </c>
      <c r="B6087" s="8" t="s">
        <v>134</v>
      </c>
      <c r="C6087" s="8" t="str">
        <f>IFERROR(_xlfn.XLOOKUP(TRIM(B6087),Lookup!$B$2:$B$1000,Lookup!$C$2:$C$1000),"")</f>
        <v>Debt</v>
      </c>
      <c r="D6087" s="8" t="str">
        <f>IFERROR(INDEX('nav master'!$C:$C, MATCH(B6087, 'nav master'!$B:$B, 0)), "")</f>
        <v>ULIF05601/08/13BondFunds101</v>
      </c>
      <c r="E6087" s="8" t="s">
        <v>564</v>
      </c>
      <c r="F6087" s="8" t="s">
        <v>849</v>
      </c>
    </row>
    <row r="6088" spans="1:6" ht="60" x14ac:dyDescent="0.25">
      <c r="A6088" s="8" t="s">
        <v>125</v>
      </c>
      <c r="B6088" s="8" t="s">
        <v>134</v>
      </c>
      <c r="C6088" s="8" t="str">
        <f>IFERROR(_xlfn.XLOOKUP(TRIM(B6088),Lookup!$B$2:$B$1000,Lookup!$C$2:$C$1000),"")</f>
        <v>Debt</v>
      </c>
      <c r="D6088" s="8" t="str">
        <f>IFERROR(INDEX('nav master'!$C:$C, MATCH(B6088, 'nav master'!$B:$B, 0)), "")</f>
        <v>ULIF05601/08/13BondFunds101</v>
      </c>
      <c r="E6088" s="8" t="s">
        <v>566</v>
      </c>
      <c r="F6088" s="8" t="s">
        <v>850</v>
      </c>
    </row>
    <row r="6089" spans="1:6" ht="60" x14ac:dyDescent="0.25">
      <c r="A6089" s="8" t="s">
        <v>125</v>
      </c>
      <c r="B6089" s="8" t="s">
        <v>134</v>
      </c>
      <c r="C6089" s="8" t="str">
        <f>IFERROR(_xlfn.XLOOKUP(TRIM(B6089),Lookup!$B$2:$B$1000,Lookup!$C$2:$C$1000),"")</f>
        <v>Debt</v>
      </c>
      <c r="D6089" s="8" t="str">
        <f>IFERROR(INDEX('nav master'!$C:$C, MATCH(B6089, 'nav master'!$B:$B, 0)), "")</f>
        <v>ULIF05601/08/13BondFunds101</v>
      </c>
      <c r="E6089" s="8" t="s">
        <v>568</v>
      </c>
      <c r="F6089" s="8" t="s">
        <v>851</v>
      </c>
    </row>
    <row r="6090" spans="1:6" ht="60" x14ac:dyDescent="0.25">
      <c r="A6090" s="8" t="s">
        <v>125</v>
      </c>
      <c r="B6090" s="8" t="s">
        <v>134</v>
      </c>
      <c r="C6090" s="8" t="str">
        <f>IFERROR(_xlfn.XLOOKUP(TRIM(B6090),Lookup!$B$2:$B$1000,Lookup!$C$2:$C$1000),"")</f>
        <v>Debt</v>
      </c>
      <c r="D6090" s="8" t="str">
        <f>IFERROR(INDEX('nav master'!$C:$C, MATCH(B6090, 'nav master'!$B:$B, 0)), "")</f>
        <v>ULIF05601/08/13BondFunds101</v>
      </c>
      <c r="E6090" s="8" t="s">
        <v>570</v>
      </c>
      <c r="F6090" s="8" t="s">
        <v>852</v>
      </c>
    </row>
    <row r="6091" spans="1:6" ht="60" x14ac:dyDescent="0.25">
      <c r="A6091" s="8" t="s">
        <v>125</v>
      </c>
      <c r="B6091" s="8" t="s">
        <v>134</v>
      </c>
      <c r="C6091" s="8" t="str">
        <f>IFERROR(_xlfn.XLOOKUP(TRIM(B6091),Lookup!$B$2:$B$1000,Lookup!$C$2:$C$1000),"")</f>
        <v>Debt</v>
      </c>
      <c r="D6091" s="8" t="str">
        <f>IFERROR(INDEX('nav master'!$C:$C, MATCH(B6091, 'nav master'!$B:$B, 0)), "")</f>
        <v>ULIF05601/08/13BondFunds101</v>
      </c>
      <c r="E6091" s="8" t="s">
        <v>572</v>
      </c>
      <c r="F6091" s="8" t="s">
        <v>853</v>
      </c>
    </row>
    <row r="6092" spans="1:6" ht="60" x14ac:dyDescent="0.25">
      <c r="A6092" s="8" t="s">
        <v>125</v>
      </c>
      <c r="B6092" s="8" t="s">
        <v>134</v>
      </c>
      <c r="C6092" s="8" t="str">
        <f>IFERROR(_xlfn.XLOOKUP(TRIM(B6092),Lookup!$B$2:$B$1000,Lookup!$C$2:$C$1000),"")</f>
        <v>Debt</v>
      </c>
      <c r="D6092" s="8" t="str">
        <f>IFERROR(INDEX('nav master'!$C:$C, MATCH(B6092, 'nav master'!$B:$B, 0)), "")</f>
        <v>ULIF05601/08/13BondFunds101</v>
      </c>
      <c r="E6092" s="8" t="s">
        <v>574</v>
      </c>
      <c r="F6092" s="8" t="s">
        <v>854</v>
      </c>
    </row>
    <row r="6093" spans="1:6" ht="60" x14ac:dyDescent="0.25">
      <c r="A6093" s="8" t="s">
        <v>125</v>
      </c>
      <c r="B6093" s="8" t="s">
        <v>134</v>
      </c>
      <c r="C6093" s="8" t="str">
        <f>IFERROR(_xlfn.XLOOKUP(TRIM(B6093),Lookup!$B$2:$B$1000,Lookup!$C$2:$C$1000),"")</f>
        <v>Debt</v>
      </c>
      <c r="D6093" s="8" t="str">
        <f>IFERROR(INDEX('nav master'!$C:$C, MATCH(B6093, 'nav master'!$B:$B, 0)), "")</f>
        <v>ULIF05601/08/13BondFunds101</v>
      </c>
      <c r="E6093" s="8" t="s">
        <v>576</v>
      </c>
      <c r="F6093" s="8" t="s">
        <v>855</v>
      </c>
    </row>
    <row r="6094" spans="1:6" ht="60" x14ac:dyDescent="0.25">
      <c r="A6094" s="8" t="s">
        <v>125</v>
      </c>
      <c r="B6094" s="8" t="s">
        <v>134</v>
      </c>
      <c r="C6094" s="8" t="str">
        <f>IFERROR(_xlfn.XLOOKUP(TRIM(B6094),Lookup!$B$2:$B$1000,Lookup!$C$2:$C$1000),"")</f>
        <v>Debt</v>
      </c>
      <c r="D6094" s="8" t="str">
        <f>IFERROR(INDEX('nav master'!$C:$C, MATCH(B6094, 'nav master'!$B:$B, 0)), "")</f>
        <v>ULIF05601/08/13BondFunds101</v>
      </c>
      <c r="E6094" s="8" t="s">
        <v>578</v>
      </c>
      <c r="F6094" s="8" t="s">
        <v>856</v>
      </c>
    </row>
    <row r="6095" spans="1:6" ht="60" x14ac:dyDescent="0.25">
      <c r="A6095" s="8" t="s">
        <v>125</v>
      </c>
      <c r="B6095" s="8" t="s">
        <v>134</v>
      </c>
      <c r="C6095" s="8" t="str">
        <f>IFERROR(_xlfn.XLOOKUP(TRIM(B6095),Lookup!$B$2:$B$1000,Lookup!$C$2:$C$1000),"")</f>
        <v>Debt</v>
      </c>
      <c r="D6095" s="8" t="str">
        <f>IFERROR(INDEX('nav master'!$C:$C, MATCH(B6095, 'nav master'!$B:$B, 0)), "")</f>
        <v>ULIF05601/08/13BondFunds101</v>
      </c>
      <c r="E6095" s="8" t="s">
        <v>580</v>
      </c>
      <c r="F6095" s="8" t="s">
        <v>857</v>
      </c>
    </row>
    <row r="6096" spans="1:6" ht="60" x14ac:dyDescent="0.25">
      <c r="A6096" s="8" t="s">
        <v>125</v>
      </c>
      <c r="B6096" s="8" t="s">
        <v>134</v>
      </c>
      <c r="C6096" s="8" t="str">
        <f>IFERROR(_xlfn.XLOOKUP(TRIM(B6096),Lookup!$B$2:$B$1000,Lookup!$C$2:$C$1000),"")</f>
        <v>Debt</v>
      </c>
      <c r="D6096" s="8" t="str">
        <f>IFERROR(INDEX('nav master'!$C:$C, MATCH(B6096, 'nav master'!$B:$B, 0)), "")</f>
        <v>ULIF05601/08/13BondFunds101</v>
      </c>
      <c r="E6096" s="8" t="s">
        <v>582</v>
      </c>
      <c r="F6096" s="8" t="s">
        <v>858</v>
      </c>
    </row>
    <row r="6097" spans="1:6" ht="60" x14ac:dyDescent="0.25">
      <c r="A6097" s="8" t="s">
        <v>125</v>
      </c>
      <c r="B6097" s="8" t="s">
        <v>134</v>
      </c>
      <c r="C6097" s="8" t="str">
        <f>IFERROR(_xlfn.XLOOKUP(TRIM(B6097),Lookup!$B$2:$B$1000,Lookup!$C$2:$C$1000),"")</f>
        <v>Debt</v>
      </c>
      <c r="D6097" s="8" t="str">
        <f>IFERROR(INDEX('nav master'!$C:$C, MATCH(B6097, 'nav master'!$B:$B, 0)), "")</f>
        <v>ULIF05601/08/13BondFunds101</v>
      </c>
      <c r="E6097" s="8" t="s">
        <v>584</v>
      </c>
      <c r="F6097" s="8" t="s">
        <v>859</v>
      </c>
    </row>
    <row r="6098" spans="1:6" ht="60" x14ac:dyDescent="0.25">
      <c r="A6098" s="8" t="s">
        <v>125</v>
      </c>
      <c r="B6098" s="8" t="s">
        <v>134</v>
      </c>
      <c r="C6098" s="8" t="str">
        <f>IFERROR(_xlfn.XLOOKUP(TRIM(B6098),Lookup!$B$2:$B$1000,Lookup!$C$2:$C$1000),"")</f>
        <v>Debt</v>
      </c>
      <c r="D6098" s="8" t="str">
        <f>IFERROR(INDEX('nav master'!$C:$C, MATCH(B6098, 'nav master'!$B:$B, 0)), "")</f>
        <v>ULIF05601/08/13BondFunds101</v>
      </c>
      <c r="E6098" s="8" t="s">
        <v>586</v>
      </c>
      <c r="F6098" s="8" t="s">
        <v>860</v>
      </c>
    </row>
    <row r="6099" spans="1:6" ht="60" x14ac:dyDescent="0.25">
      <c r="A6099" s="8" t="s">
        <v>125</v>
      </c>
      <c r="B6099" s="8" t="s">
        <v>134</v>
      </c>
      <c r="C6099" s="8" t="str">
        <f>IFERROR(_xlfn.XLOOKUP(TRIM(B6099),Lookup!$B$2:$B$1000,Lookup!$C$2:$C$1000),"")</f>
        <v>Debt</v>
      </c>
      <c r="D6099" s="8" t="str">
        <f>IFERROR(INDEX('nav master'!$C:$C, MATCH(B6099, 'nav master'!$B:$B, 0)), "")</f>
        <v>ULIF05601/08/13BondFunds101</v>
      </c>
      <c r="E6099" s="8" t="s">
        <v>588</v>
      </c>
      <c r="F6099" s="8" t="s">
        <v>861</v>
      </c>
    </row>
    <row r="6100" spans="1:6" ht="60" x14ac:dyDescent="0.25">
      <c r="A6100" s="8" t="s">
        <v>125</v>
      </c>
      <c r="B6100" s="8" t="s">
        <v>134</v>
      </c>
      <c r="C6100" s="8" t="str">
        <f>IFERROR(_xlfn.XLOOKUP(TRIM(B6100),Lookup!$B$2:$B$1000,Lookup!$C$2:$C$1000),"")</f>
        <v>Debt</v>
      </c>
      <c r="D6100" s="8" t="str">
        <f>IFERROR(INDEX('nav master'!$C:$C, MATCH(B6100, 'nav master'!$B:$B, 0)), "")</f>
        <v>ULIF05601/08/13BondFunds101</v>
      </c>
      <c r="E6100" s="8" t="s">
        <v>590</v>
      </c>
      <c r="F6100" s="8" t="s">
        <v>862</v>
      </c>
    </row>
    <row r="6101" spans="1:6" ht="60" x14ac:dyDescent="0.25">
      <c r="A6101" s="8" t="s">
        <v>125</v>
      </c>
      <c r="B6101" s="8" t="s">
        <v>134</v>
      </c>
      <c r="C6101" s="8" t="str">
        <f>IFERROR(_xlfn.XLOOKUP(TRIM(B6101),Lookup!$B$2:$B$1000,Lookup!$C$2:$C$1000),"")</f>
        <v>Debt</v>
      </c>
      <c r="D6101" s="8" t="str">
        <f>IFERROR(INDEX('nav master'!$C:$C, MATCH(B6101, 'nav master'!$B:$B, 0)), "")</f>
        <v>ULIF05601/08/13BondFunds101</v>
      </c>
      <c r="E6101" s="8" t="s">
        <v>592</v>
      </c>
      <c r="F6101" s="8" t="s">
        <v>863</v>
      </c>
    </row>
    <row r="6102" spans="1:6" ht="60" x14ac:dyDescent="0.25">
      <c r="A6102" s="8" t="s">
        <v>125</v>
      </c>
      <c r="B6102" s="8" t="s">
        <v>134</v>
      </c>
      <c r="C6102" s="8" t="str">
        <f>IFERROR(_xlfn.XLOOKUP(TRIM(B6102),Lookup!$B$2:$B$1000,Lookup!$C$2:$C$1000),"")</f>
        <v>Debt</v>
      </c>
      <c r="D6102" s="8" t="str">
        <f>IFERROR(INDEX('nav master'!$C:$C, MATCH(B6102, 'nav master'!$B:$B, 0)), "")</f>
        <v>ULIF05601/08/13BondFunds101</v>
      </c>
      <c r="E6102" s="8" t="s">
        <v>594</v>
      </c>
      <c r="F6102" s="8" t="s">
        <v>864</v>
      </c>
    </row>
    <row r="6103" spans="1:6" ht="60" x14ac:dyDescent="0.25">
      <c r="A6103" s="8" t="s">
        <v>125</v>
      </c>
      <c r="B6103" s="8" t="s">
        <v>134</v>
      </c>
      <c r="C6103" s="8" t="str">
        <f>IFERROR(_xlfn.XLOOKUP(TRIM(B6103),Lookup!$B$2:$B$1000,Lookup!$C$2:$C$1000),"")</f>
        <v>Debt</v>
      </c>
      <c r="D6103" s="8" t="str">
        <f>IFERROR(INDEX('nav master'!$C:$C, MATCH(B6103, 'nav master'!$B:$B, 0)), "")</f>
        <v>ULIF05601/08/13BondFunds101</v>
      </c>
      <c r="E6103" s="8" t="s">
        <v>596</v>
      </c>
      <c r="F6103" s="8" t="s">
        <v>759</v>
      </c>
    </row>
    <row r="6104" spans="1:6" ht="60" x14ac:dyDescent="0.25">
      <c r="A6104" s="8" t="s">
        <v>125</v>
      </c>
      <c r="B6104" s="8" t="s">
        <v>134</v>
      </c>
      <c r="C6104" s="8" t="str">
        <f>IFERROR(_xlfn.XLOOKUP(TRIM(B6104),Lookup!$B$2:$B$1000,Lookup!$C$2:$C$1000),"")</f>
        <v>Debt</v>
      </c>
      <c r="D6104" s="8" t="str">
        <f>IFERROR(INDEX('nav master'!$C:$C, MATCH(B6104, 'nav master'!$B:$B, 0)), "")</f>
        <v>ULIF05601/08/13BondFunds101</v>
      </c>
      <c r="E6104" s="8" t="s">
        <v>598</v>
      </c>
      <c r="F6104" s="8" t="s">
        <v>865</v>
      </c>
    </row>
    <row r="6105" spans="1:6" ht="60" x14ac:dyDescent="0.25">
      <c r="A6105" s="8" t="s">
        <v>125</v>
      </c>
      <c r="B6105" s="8" t="s">
        <v>134</v>
      </c>
      <c r="C6105" s="8" t="str">
        <f>IFERROR(_xlfn.XLOOKUP(TRIM(B6105),Lookup!$B$2:$B$1000,Lookup!$C$2:$C$1000),"")</f>
        <v>Debt</v>
      </c>
      <c r="D6105" s="8" t="str">
        <f>IFERROR(INDEX('nav master'!$C:$C, MATCH(B6105, 'nav master'!$B:$B, 0)), "")</f>
        <v>ULIF05601/08/13BondFunds101</v>
      </c>
      <c r="E6105" s="8" t="s">
        <v>600</v>
      </c>
      <c r="F6105" s="8" t="s">
        <v>866</v>
      </c>
    </row>
    <row r="6106" spans="1:6" ht="60" x14ac:dyDescent="0.25">
      <c r="A6106" s="8" t="s">
        <v>125</v>
      </c>
      <c r="B6106" s="8" t="s">
        <v>134</v>
      </c>
      <c r="C6106" s="8" t="str">
        <f>IFERROR(_xlfn.XLOOKUP(TRIM(B6106),Lookup!$B$2:$B$1000,Lookup!$C$2:$C$1000),"")</f>
        <v>Debt</v>
      </c>
      <c r="D6106" s="8" t="str">
        <f>IFERROR(INDEX('nav master'!$C:$C, MATCH(B6106, 'nav master'!$B:$B, 0)), "")</f>
        <v>ULIF05601/08/13BondFunds101</v>
      </c>
      <c r="E6106" s="8" t="s">
        <v>602</v>
      </c>
      <c r="F6106" s="8" t="s">
        <v>867</v>
      </c>
    </row>
    <row r="6107" spans="1:6" ht="60" x14ac:dyDescent="0.25">
      <c r="A6107" s="8" t="s">
        <v>125</v>
      </c>
      <c r="B6107" s="8" t="s">
        <v>134</v>
      </c>
      <c r="C6107" s="8" t="str">
        <f>IFERROR(_xlfn.XLOOKUP(TRIM(B6107),Lookup!$B$2:$B$1000,Lookup!$C$2:$C$1000),"")</f>
        <v>Debt</v>
      </c>
      <c r="D6107" s="8" t="str">
        <f>IFERROR(INDEX('nav master'!$C:$C, MATCH(B6107, 'nav master'!$B:$B, 0)), "")</f>
        <v>ULIF05601/08/13BondFunds101</v>
      </c>
      <c r="E6107" s="8" t="s">
        <v>604</v>
      </c>
      <c r="F6107" s="8" t="s">
        <v>868</v>
      </c>
    </row>
    <row r="6108" spans="1:6" ht="60" x14ac:dyDescent="0.25">
      <c r="A6108" s="8" t="s">
        <v>125</v>
      </c>
      <c r="B6108" s="8" t="s">
        <v>134</v>
      </c>
      <c r="C6108" s="8" t="str">
        <f>IFERROR(_xlfn.XLOOKUP(TRIM(B6108),Lookup!$B$2:$B$1000,Lookup!$C$2:$C$1000),"")</f>
        <v>Debt</v>
      </c>
      <c r="D6108" s="8" t="str">
        <f>IFERROR(INDEX('nav master'!$C:$C, MATCH(B6108, 'nav master'!$B:$B, 0)), "")</f>
        <v>ULIF05601/08/13BondFunds101</v>
      </c>
      <c r="E6108" s="8" t="s">
        <v>606</v>
      </c>
      <c r="F6108" s="8" t="s">
        <v>869</v>
      </c>
    </row>
    <row r="6109" spans="1:6" ht="60" x14ac:dyDescent="0.25">
      <c r="A6109" s="8" t="s">
        <v>125</v>
      </c>
      <c r="B6109" s="8" t="s">
        <v>134</v>
      </c>
      <c r="C6109" s="8" t="str">
        <f>IFERROR(_xlfn.XLOOKUP(TRIM(B6109),Lookup!$B$2:$B$1000,Lookup!$C$2:$C$1000),"")</f>
        <v>Debt</v>
      </c>
      <c r="D6109" s="8" t="str">
        <f>IFERROR(INDEX('nav master'!$C:$C, MATCH(B6109, 'nav master'!$B:$B, 0)), "")</f>
        <v>ULIF05601/08/13BondFunds101</v>
      </c>
      <c r="E6109" s="8" t="s">
        <v>608</v>
      </c>
      <c r="F6109" s="8" t="s">
        <v>870</v>
      </c>
    </row>
    <row r="6110" spans="1:6" ht="60" x14ac:dyDescent="0.25">
      <c r="A6110" s="8" t="s">
        <v>125</v>
      </c>
      <c r="B6110" s="8" t="s">
        <v>134</v>
      </c>
      <c r="C6110" s="8" t="str">
        <f>IFERROR(_xlfn.XLOOKUP(TRIM(B6110),Lookup!$B$2:$B$1000,Lookup!$C$2:$C$1000),"")</f>
        <v>Debt</v>
      </c>
      <c r="D6110" s="8" t="str">
        <f>IFERROR(INDEX('nav master'!$C:$C, MATCH(B6110, 'nav master'!$B:$B, 0)), "")</f>
        <v>ULIF05601/08/13BondFunds101</v>
      </c>
      <c r="E6110" s="8" t="s">
        <v>610</v>
      </c>
      <c r="F6110" s="8" t="s">
        <v>871</v>
      </c>
    </row>
    <row r="6111" spans="1:6" ht="60" x14ac:dyDescent="0.25">
      <c r="A6111" s="8" t="s">
        <v>125</v>
      </c>
      <c r="B6111" s="8" t="s">
        <v>134</v>
      </c>
      <c r="C6111" s="8" t="str">
        <f>IFERROR(_xlfn.XLOOKUP(TRIM(B6111),Lookup!$B$2:$B$1000,Lookup!$C$2:$C$1000),"")</f>
        <v>Debt</v>
      </c>
      <c r="D6111" s="8" t="str">
        <f>IFERROR(INDEX('nav master'!$C:$C, MATCH(B6111, 'nav master'!$B:$B, 0)), "")</f>
        <v>ULIF05601/08/13BondFunds101</v>
      </c>
      <c r="E6111" s="8" t="s">
        <v>612</v>
      </c>
      <c r="F6111" s="8" t="s">
        <v>872</v>
      </c>
    </row>
    <row r="6112" spans="1:6" ht="60" x14ac:dyDescent="0.25">
      <c r="A6112" s="8" t="s">
        <v>125</v>
      </c>
      <c r="B6112" s="8" t="s">
        <v>134</v>
      </c>
      <c r="C6112" s="8" t="str">
        <f>IFERROR(_xlfn.XLOOKUP(TRIM(B6112),Lookup!$B$2:$B$1000,Lookup!$C$2:$C$1000),"")</f>
        <v>Debt</v>
      </c>
      <c r="D6112" s="8" t="str">
        <f>IFERROR(INDEX('nav master'!$C:$C, MATCH(B6112, 'nav master'!$B:$B, 0)), "")</f>
        <v>ULIF05601/08/13BondFunds101</v>
      </c>
      <c r="E6112" s="8" t="s">
        <v>614</v>
      </c>
      <c r="F6112" s="8" t="s">
        <v>873</v>
      </c>
    </row>
    <row r="6113" spans="1:6" ht="60" x14ac:dyDescent="0.25">
      <c r="A6113" s="8" t="s">
        <v>125</v>
      </c>
      <c r="B6113" s="8" t="s">
        <v>134</v>
      </c>
      <c r="C6113" s="8" t="str">
        <f>IFERROR(_xlfn.XLOOKUP(TRIM(B6113),Lookup!$B$2:$B$1000,Lookup!$C$2:$C$1000),"")</f>
        <v>Debt</v>
      </c>
      <c r="D6113" s="8" t="str">
        <f>IFERROR(INDEX('nav master'!$C:$C, MATCH(B6113, 'nav master'!$B:$B, 0)), "")</f>
        <v>ULIF05601/08/13BondFunds101</v>
      </c>
      <c r="E6113" s="8" t="s">
        <v>616</v>
      </c>
      <c r="F6113" s="8" t="s">
        <v>874</v>
      </c>
    </row>
    <row r="6114" spans="1:6" ht="60" x14ac:dyDescent="0.25">
      <c r="A6114" s="8" t="s">
        <v>125</v>
      </c>
      <c r="B6114" s="8" t="s">
        <v>134</v>
      </c>
      <c r="C6114" s="8" t="str">
        <f>IFERROR(_xlfn.XLOOKUP(TRIM(B6114),Lookup!$B$2:$B$1000,Lookup!$C$2:$C$1000),"")</f>
        <v>Debt</v>
      </c>
      <c r="D6114" s="8" t="str">
        <f>IFERROR(INDEX('nav master'!$C:$C, MATCH(B6114, 'nav master'!$B:$B, 0)), "")</f>
        <v>ULIF05601/08/13BondFunds101</v>
      </c>
      <c r="E6114" s="8" t="s">
        <v>618</v>
      </c>
      <c r="F6114" s="8" t="s">
        <v>875</v>
      </c>
    </row>
    <row r="6115" spans="1:6" ht="60" x14ac:dyDescent="0.25">
      <c r="A6115" s="8" t="s">
        <v>125</v>
      </c>
      <c r="B6115" s="8" t="s">
        <v>134</v>
      </c>
      <c r="C6115" s="8" t="str">
        <f>IFERROR(_xlfn.XLOOKUP(TRIM(B6115),Lookup!$B$2:$B$1000,Lookup!$C$2:$C$1000),"")</f>
        <v>Debt</v>
      </c>
      <c r="D6115" s="8" t="str">
        <f>IFERROR(INDEX('nav master'!$C:$C, MATCH(B6115, 'nav master'!$B:$B, 0)), "")</f>
        <v>ULIF05601/08/13BondFunds101</v>
      </c>
      <c r="E6115" s="8" t="s">
        <v>620</v>
      </c>
      <c r="F6115" s="8" t="s">
        <v>876</v>
      </c>
    </row>
    <row r="6116" spans="1:6" ht="60" x14ac:dyDescent="0.25">
      <c r="A6116" s="8" t="s">
        <v>125</v>
      </c>
      <c r="B6116" s="8" t="s">
        <v>134</v>
      </c>
      <c r="C6116" s="8" t="str">
        <f>IFERROR(_xlfn.XLOOKUP(TRIM(B6116),Lookup!$B$2:$B$1000,Lookup!$C$2:$C$1000),"")</f>
        <v>Debt</v>
      </c>
      <c r="D6116" s="8" t="str">
        <f>IFERROR(INDEX('nav master'!$C:$C, MATCH(B6116, 'nav master'!$B:$B, 0)), "")</f>
        <v>ULIF05601/08/13BondFunds101</v>
      </c>
      <c r="E6116" s="8" t="s">
        <v>622</v>
      </c>
      <c r="F6116" s="8" t="s">
        <v>877</v>
      </c>
    </row>
    <row r="6117" spans="1:6" ht="60" x14ac:dyDescent="0.25">
      <c r="A6117" s="8" t="s">
        <v>125</v>
      </c>
      <c r="B6117" s="8" t="s">
        <v>134</v>
      </c>
      <c r="C6117" s="8" t="str">
        <f>IFERROR(_xlfn.XLOOKUP(TRIM(B6117),Lookup!$B$2:$B$1000,Lookup!$C$2:$C$1000),"")</f>
        <v>Debt</v>
      </c>
      <c r="D6117" s="8" t="str">
        <f>IFERROR(INDEX('nav master'!$C:$C, MATCH(B6117, 'nav master'!$B:$B, 0)), "")</f>
        <v>ULIF05601/08/13BondFunds101</v>
      </c>
      <c r="E6117" s="8" t="s">
        <v>624</v>
      </c>
      <c r="F6117" s="8" t="s">
        <v>878</v>
      </c>
    </row>
    <row r="6118" spans="1:6" ht="60" x14ac:dyDescent="0.25">
      <c r="A6118" s="8" t="s">
        <v>125</v>
      </c>
      <c r="B6118" s="8" t="s">
        <v>134</v>
      </c>
      <c r="C6118" s="8" t="str">
        <f>IFERROR(_xlfn.XLOOKUP(TRIM(B6118),Lookup!$B$2:$B$1000,Lookup!$C$2:$C$1000),"")</f>
        <v>Debt</v>
      </c>
      <c r="D6118" s="8" t="str">
        <f>IFERROR(INDEX('nav master'!$C:$C, MATCH(B6118, 'nav master'!$B:$B, 0)), "")</f>
        <v>ULIF05601/08/13BondFunds101</v>
      </c>
      <c r="E6118" s="8" t="s">
        <v>626</v>
      </c>
      <c r="F6118" s="8" t="s">
        <v>879</v>
      </c>
    </row>
    <row r="6119" spans="1:6" ht="60" x14ac:dyDescent="0.25">
      <c r="A6119" s="8" t="s">
        <v>125</v>
      </c>
      <c r="B6119" s="8" t="s">
        <v>134</v>
      </c>
      <c r="C6119" s="8" t="str">
        <f>IFERROR(_xlfn.XLOOKUP(TRIM(B6119),Lookup!$B$2:$B$1000,Lookup!$C$2:$C$1000),"")</f>
        <v>Debt</v>
      </c>
      <c r="D6119" s="8" t="str">
        <f>IFERROR(INDEX('nav master'!$C:$C, MATCH(B6119, 'nav master'!$B:$B, 0)), "")</f>
        <v>ULIF05601/08/13BondFunds101</v>
      </c>
      <c r="E6119" s="8" t="s">
        <v>628</v>
      </c>
      <c r="F6119" s="8" t="s">
        <v>880</v>
      </c>
    </row>
    <row r="6120" spans="1:6" ht="60" x14ac:dyDescent="0.25">
      <c r="A6120" s="8" t="s">
        <v>125</v>
      </c>
      <c r="B6120" s="8" t="s">
        <v>134</v>
      </c>
      <c r="C6120" s="8" t="str">
        <f>IFERROR(_xlfn.XLOOKUP(TRIM(B6120),Lookup!$B$2:$B$1000,Lookup!$C$2:$C$1000),"")</f>
        <v>Debt</v>
      </c>
      <c r="D6120" s="8" t="str">
        <f>IFERROR(INDEX('nav master'!$C:$C, MATCH(B6120, 'nav master'!$B:$B, 0)), "")</f>
        <v>ULIF05601/08/13BondFunds101</v>
      </c>
      <c r="E6120" s="8" t="s">
        <v>630</v>
      </c>
      <c r="F6120" s="8" t="s">
        <v>881</v>
      </c>
    </row>
    <row r="6121" spans="1:6" ht="60" x14ac:dyDescent="0.25">
      <c r="A6121" s="8" t="s">
        <v>125</v>
      </c>
      <c r="B6121" s="8" t="s">
        <v>134</v>
      </c>
      <c r="C6121" s="8" t="str">
        <f>IFERROR(_xlfn.XLOOKUP(TRIM(B6121),Lookup!$B$2:$B$1000,Lookup!$C$2:$C$1000),"")</f>
        <v>Debt</v>
      </c>
      <c r="D6121" s="8" t="str">
        <f>IFERROR(INDEX('nav master'!$C:$C, MATCH(B6121, 'nav master'!$B:$B, 0)), "")</f>
        <v>ULIF05601/08/13BondFunds101</v>
      </c>
      <c r="E6121" s="8" t="s">
        <v>632</v>
      </c>
      <c r="F6121" s="8" t="s">
        <v>882</v>
      </c>
    </row>
    <row r="6122" spans="1:6" ht="60" x14ac:dyDescent="0.25">
      <c r="A6122" s="8" t="s">
        <v>125</v>
      </c>
      <c r="B6122" s="8" t="s">
        <v>134</v>
      </c>
      <c r="C6122" s="8" t="str">
        <f>IFERROR(_xlfn.XLOOKUP(TRIM(B6122),Lookup!$B$2:$B$1000,Lookup!$C$2:$C$1000),"")</f>
        <v>Debt</v>
      </c>
      <c r="D6122" s="8" t="str">
        <f>IFERROR(INDEX('nav master'!$C:$C, MATCH(B6122, 'nav master'!$B:$B, 0)), "")</f>
        <v>ULIF05601/08/13BondFunds101</v>
      </c>
      <c r="E6122" s="8" t="s">
        <v>634</v>
      </c>
      <c r="F6122" s="8" t="s">
        <v>883</v>
      </c>
    </row>
    <row r="6123" spans="1:6" ht="60" x14ac:dyDescent="0.25">
      <c r="A6123" s="8" t="s">
        <v>125</v>
      </c>
      <c r="B6123" s="8" t="s">
        <v>134</v>
      </c>
      <c r="C6123" s="8" t="str">
        <f>IFERROR(_xlfn.XLOOKUP(TRIM(B6123),Lookup!$B$2:$B$1000,Lookup!$C$2:$C$1000),"")</f>
        <v>Debt</v>
      </c>
      <c r="D6123" s="8" t="str">
        <f>IFERROR(INDEX('nav master'!$C:$C, MATCH(B6123, 'nav master'!$B:$B, 0)), "")</f>
        <v>ULIF05601/08/13BondFunds101</v>
      </c>
      <c r="E6123" s="8" t="s">
        <v>636</v>
      </c>
      <c r="F6123" s="8" t="s">
        <v>884</v>
      </c>
    </row>
    <row r="6124" spans="1:6" ht="60" x14ac:dyDescent="0.25">
      <c r="A6124" s="8" t="s">
        <v>125</v>
      </c>
      <c r="B6124" s="8" t="s">
        <v>134</v>
      </c>
      <c r="C6124" s="8" t="str">
        <f>IFERROR(_xlfn.XLOOKUP(TRIM(B6124),Lookup!$B$2:$B$1000,Lookup!$C$2:$C$1000),"")</f>
        <v>Debt</v>
      </c>
      <c r="D6124" s="8" t="str">
        <f>IFERROR(INDEX('nav master'!$C:$C, MATCH(B6124, 'nav master'!$B:$B, 0)), "")</f>
        <v>ULIF05601/08/13BondFunds101</v>
      </c>
      <c r="E6124" s="8" t="s">
        <v>638</v>
      </c>
      <c r="F6124" s="8" t="s">
        <v>885</v>
      </c>
    </row>
    <row r="6125" spans="1:6" ht="60" x14ac:dyDescent="0.25">
      <c r="A6125" s="8" t="s">
        <v>125</v>
      </c>
      <c r="B6125" s="8" t="s">
        <v>134</v>
      </c>
      <c r="C6125" s="8" t="str">
        <f>IFERROR(_xlfn.XLOOKUP(TRIM(B6125),Lookup!$B$2:$B$1000,Lookup!$C$2:$C$1000),"")</f>
        <v>Debt</v>
      </c>
      <c r="D6125" s="8" t="str">
        <f>IFERROR(INDEX('nav master'!$C:$C, MATCH(B6125, 'nav master'!$B:$B, 0)), "")</f>
        <v>ULIF05601/08/13BondFunds101</v>
      </c>
      <c r="E6125" s="8" t="s">
        <v>640</v>
      </c>
      <c r="F6125" s="8" t="s">
        <v>886</v>
      </c>
    </row>
    <row r="6126" spans="1:6" ht="60" x14ac:dyDescent="0.25">
      <c r="A6126" s="8" t="s">
        <v>125</v>
      </c>
      <c r="B6126" s="8" t="s">
        <v>134</v>
      </c>
      <c r="C6126" s="8" t="str">
        <f>IFERROR(_xlfn.XLOOKUP(TRIM(B6126),Lookup!$B$2:$B$1000,Lookup!$C$2:$C$1000),"")</f>
        <v>Debt</v>
      </c>
      <c r="D6126" s="8" t="str">
        <f>IFERROR(INDEX('nav master'!$C:$C, MATCH(B6126, 'nav master'!$B:$B, 0)), "")</f>
        <v>ULIF05601/08/13BondFunds101</v>
      </c>
      <c r="E6126" s="8" t="s">
        <v>642</v>
      </c>
      <c r="F6126" s="8" t="s">
        <v>887</v>
      </c>
    </row>
    <row r="6127" spans="1:6" ht="60" x14ac:dyDescent="0.25">
      <c r="A6127" s="8" t="s">
        <v>125</v>
      </c>
      <c r="B6127" s="8" t="s">
        <v>134</v>
      </c>
      <c r="C6127" s="8" t="str">
        <f>IFERROR(_xlfn.XLOOKUP(TRIM(B6127),Lookup!$B$2:$B$1000,Lookup!$C$2:$C$1000),"")</f>
        <v>Debt</v>
      </c>
      <c r="D6127" s="8" t="str">
        <f>IFERROR(INDEX('nav master'!$C:$C, MATCH(B6127, 'nav master'!$B:$B, 0)), "")</f>
        <v>ULIF05601/08/13BondFunds101</v>
      </c>
      <c r="E6127" s="8" t="s">
        <v>644</v>
      </c>
      <c r="F6127" s="8" t="s">
        <v>888</v>
      </c>
    </row>
    <row r="6128" spans="1:6" ht="60" x14ac:dyDescent="0.25">
      <c r="A6128" s="8" t="s">
        <v>125</v>
      </c>
      <c r="B6128" s="8" t="s">
        <v>134</v>
      </c>
      <c r="C6128" s="8" t="str">
        <f>IFERROR(_xlfn.XLOOKUP(TRIM(B6128),Lookup!$B$2:$B$1000,Lookup!$C$2:$C$1000),"")</f>
        <v>Debt</v>
      </c>
      <c r="D6128" s="8" t="str">
        <f>IFERROR(INDEX('nav master'!$C:$C, MATCH(B6128, 'nav master'!$B:$B, 0)), "")</f>
        <v>ULIF05601/08/13BondFunds101</v>
      </c>
      <c r="E6128" s="8" t="s">
        <v>646</v>
      </c>
      <c r="F6128" s="8" t="s">
        <v>889</v>
      </c>
    </row>
    <row r="6129" spans="1:6" ht="60" x14ac:dyDescent="0.25">
      <c r="A6129" s="8" t="s">
        <v>125</v>
      </c>
      <c r="B6129" s="8" t="s">
        <v>134</v>
      </c>
      <c r="C6129" s="8" t="str">
        <f>IFERROR(_xlfn.XLOOKUP(TRIM(B6129),Lookup!$B$2:$B$1000,Lookup!$C$2:$C$1000),"")</f>
        <v>Debt</v>
      </c>
      <c r="D6129" s="8" t="str">
        <f>IFERROR(INDEX('nav master'!$C:$C, MATCH(B6129, 'nav master'!$B:$B, 0)), "")</f>
        <v>ULIF05601/08/13BondFunds101</v>
      </c>
      <c r="E6129" s="8" t="s">
        <v>648</v>
      </c>
      <c r="F6129" s="8" t="s">
        <v>890</v>
      </c>
    </row>
    <row r="6130" spans="1:6" ht="60" x14ac:dyDescent="0.25">
      <c r="A6130" s="8" t="s">
        <v>125</v>
      </c>
      <c r="B6130" s="8" t="s">
        <v>134</v>
      </c>
      <c r="C6130" s="8" t="str">
        <f>IFERROR(_xlfn.XLOOKUP(TRIM(B6130),Lookup!$B$2:$B$1000,Lookup!$C$2:$C$1000),"")</f>
        <v>Debt</v>
      </c>
      <c r="D6130" s="8" t="str">
        <f>IFERROR(INDEX('nav master'!$C:$C, MATCH(B6130, 'nav master'!$B:$B, 0)), "")</f>
        <v>ULIF05601/08/13BondFunds101</v>
      </c>
      <c r="E6130" s="8" t="s">
        <v>650</v>
      </c>
      <c r="F6130" s="8" t="s">
        <v>891</v>
      </c>
    </row>
    <row r="6131" spans="1:6" ht="60" x14ac:dyDescent="0.25">
      <c r="A6131" s="8" t="s">
        <v>125</v>
      </c>
      <c r="B6131" s="8" t="s">
        <v>134</v>
      </c>
      <c r="C6131" s="8" t="str">
        <f>IFERROR(_xlfn.XLOOKUP(TRIM(B6131),Lookup!$B$2:$B$1000,Lookup!$C$2:$C$1000),"")</f>
        <v>Debt</v>
      </c>
      <c r="D6131" s="8" t="str">
        <f>IFERROR(INDEX('nav master'!$C:$C, MATCH(B6131, 'nav master'!$B:$B, 0)), "")</f>
        <v>ULIF05601/08/13BondFunds101</v>
      </c>
      <c r="E6131" s="8" t="s">
        <v>652</v>
      </c>
      <c r="F6131" s="8" t="s">
        <v>892</v>
      </c>
    </row>
    <row r="6132" spans="1:6" ht="60" x14ac:dyDescent="0.25">
      <c r="A6132" s="8" t="s">
        <v>125</v>
      </c>
      <c r="B6132" s="8" t="s">
        <v>134</v>
      </c>
      <c r="C6132" s="8" t="str">
        <f>IFERROR(_xlfn.XLOOKUP(TRIM(B6132),Lookup!$B$2:$B$1000,Lookup!$C$2:$C$1000),"")</f>
        <v>Debt</v>
      </c>
      <c r="D6132" s="8" t="str">
        <f>IFERROR(INDEX('nav master'!$C:$C, MATCH(B6132, 'nav master'!$B:$B, 0)), "")</f>
        <v>ULIF05601/08/13BondFunds101</v>
      </c>
      <c r="E6132" s="8" t="s">
        <v>654</v>
      </c>
      <c r="F6132" s="8" t="s">
        <v>893</v>
      </c>
    </row>
    <row r="6133" spans="1:6" ht="60" x14ac:dyDescent="0.25">
      <c r="A6133" s="8" t="s">
        <v>125</v>
      </c>
      <c r="B6133" s="8" t="s">
        <v>134</v>
      </c>
      <c r="C6133" s="8" t="str">
        <f>IFERROR(_xlfn.XLOOKUP(TRIM(B6133),Lookup!$B$2:$B$1000,Lookup!$C$2:$C$1000),"")</f>
        <v>Debt</v>
      </c>
      <c r="D6133" s="8" t="str">
        <f>IFERROR(INDEX('nav master'!$C:$C, MATCH(B6133, 'nav master'!$B:$B, 0)), "")</f>
        <v>ULIF05601/08/13BondFunds101</v>
      </c>
      <c r="E6133" s="8" t="s">
        <v>656</v>
      </c>
      <c r="F6133" s="8" t="s">
        <v>894</v>
      </c>
    </row>
    <row r="6134" spans="1:6" ht="60" x14ac:dyDescent="0.25">
      <c r="A6134" s="8" t="s">
        <v>125</v>
      </c>
      <c r="B6134" s="8" t="s">
        <v>134</v>
      </c>
      <c r="C6134" s="8" t="str">
        <f>IFERROR(_xlfn.XLOOKUP(TRIM(B6134),Lookup!$B$2:$B$1000,Lookup!$C$2:$C$1000),"")</f>
        <v>Debt</v>
      </c>
      <c r="D6134" s="8" t="str">
        <f>IFERROR(INDEX('nav master'!$C:$C, MATCH(B6134, 'nav master'!$B:$B, 0)), "")</f>
        <v>ULIF05601/08/13BondFunds101</v>
      </c>
      <c r="E6134" s="8" t="s">
        <v>658</v>
      </c>
      <c r="F6134" s="8" t="s">
        <v>895</v>
      </c>
    </row>
    <row r="6135" spans="1:6" ht="60" x14ac:dyDescent="0.25">
      <c r="A6135" s="8" t="s">
        <v>125</v>
      </c>
      <c r="B6135" s="8" t="s">
        <v>134</v>
      </c>
      <c r="C6135" s="8" t="str">
        <f>IFERROR(_xlfn.XLOOKUP(TRIM(B6135),Lookup!$B$2:$B$1000,Lookup!$C$2:$C$1000),"")</f>
        <v>Debt</v>
      </c>
      <c r="D6135" s="8" t="str">
        <f>IFERROR(INDEX('nav master'!$C:$C, MATCH(B6135, 'nav master'!$B:$B, 0)), "")</f>
        <v>ULIF05601/08/13BondFunds101</v>
      </c>
      <c r="E6135" s="8" t="s">
        <v>660</v>
      </c>
      <c r="F6135" s="8" t="s">
        <v>896</v>
      </c>
    </row>
    <row r="6136" spans="1:6" ht="60" x14ac:dyDescent="0.25">
      <c r="A6136" s="8" t="s">
        <v>125</v>
      </c>
      <c r="B6136" s="8" t="s">
        <v>134</v>
      </c>
      <c r="C6136" s="8" t="str">
        <f>IFERROR(_xlfn.XLOOKUP(TRIM(B6136),Lookup!$B$2:$B$1000,Lookup!$C$2:$C$1000),"")</f>
        <v>Debt</v>
      </c>
      <c r="D6136" s="8" t="str">
        <f>IFERROR(INDEX('nav master'!$C:$C, MATCH(B6136, 'nav master'!$B:$B, 0)), "")</f>
        <v>ULIF05601/08/13BondFunds101</v>
      </c>
      <c r="E6136" s="8" t="s">
        <v>662</v>
      </c>
      <c r="F6136" s="8" t="s">
        <v>897</v>
      </c>
    </row>
    <row r="6137" spans="1:6" ht="60" x14ac:dyDescent="0.25">
      <c r="A6137" s="8" t="s">
        <v>125</v>
      </c>
      <c r="B6137" s="8" t="s">
        <v>134</v>
      </c>
      <c r="C6137" s="8" t="str">
        <f>IFERROR(_xlfn.XLOOKUP(TRIM(B6137),Lookup!$B$2:$B$1000,Lookup!$C$2:$C$1000),"")</f>
        <v>Debt</v>
      </c>
      <c r="D6137" s="8" t="str">
        <f>IFERROR(INDEX('nav master'!$C:$C, MATCH(B6137, 'nav master'!$B:$B, 0)), "")</f>
        <v>ULIF05601/08/13BondFunds101</v>
      </c>
      <c r="E6137" s="8" t="s">
        <v>664</v>
      </c>
      <c r="F6137" s="8" t="s">
        <v>898</v>
      </c>
    </row>
    <row r="6138" spans="1:6" ht="60" x14ac:dyDescent="0.25">
      <c r="A6138" s="8" t="s">
        <v>125</v>
      </c>
      <c r="B6138" s="8" t="s">
        <v>134</v>
      </c>
      <c r="C6138" s="8" t="str">
        <f>IFERROR(_xlfn.XLOOKUP(TRIM(B6138),Lookup!$B$2:$B$1000,Lookup!$C$2:$C$1000),"")</f>
        <v>Debt</v>
      </c>
      <c r="D6138" s="8" t="str">
        <f>IFERROR(INDEX('nav master'!$C:$C, MATCH(B6138, 'nav master'!$B:$B, 0)), "")</f>
        <v>ULIF05601/08/13BondFunds101</v>
      </c>
      <c r="E6138" s="8" t="s">
        <v>4892</v>
      </c>
      <c r="F6138" s="8" t="s">
        <v>4907</v>
      </c>
    </row>
    <row r="6139" spans="1:6" ht="60" x14ac:dyDescent="0.25">
      <c r="A6139" s="8" t="s">
        <v>125</v>
      </c>
      <c r="B6139" s="8" t="s">
        <v>134</v>
      </c>
      <c r="C6139" s="8" t="str">
        <f>IFERROR(_xlfn.XLOOKUP(TRIM(B6139),Lookup!$B$2:$B$1000,Lookup!$C$2:$C$1000),"")</f>
        <v>Debt</v>
      </c>
      <c r="D6139" s="8" t="str">
        <f>IFERROR(INDEX('nav master'!$C:$C, MATCH(B6139, 'nav master'!$B:$B, 0)), "")</f>
        <v>ULIF05601/08/13BondFunds101</v>
      </c>
      <c r="E6139" s="8" t="s">
        <v>4894</v>
      </c>
      <c r="F6139" s="8" t="s">
        <v>4908</v>
      </c>
    </row>
    <row r="6140" spans="1:6" ht="60" x14ac:dyDescent="0.25">
      <c r="A6140" s="8" t="s">
        <v>125</v>
      </c>
      <c r="B6140" s="8" t="s">
        <v>134</v>
      </c>
      <c r="C6140" s="8" t="str">
        <f>IFERROR(_xlfn.XLOOKUP(TRIM(B6140),Lookup!$B$2:$B$1000,Lookup!$C$2:$C$1000),"")</f>
        <v>Debt</v>
      </c>
      <c r="D6140" s="8" t="str">
        <f>IFERROR(INDEX('nav master'!$C:$C, MATCH(B6140, 'nav master'!$B:$B, 0)), "")</f>
        <v>ULIF05601/08/13BondFunds101</v>
      </c>
      <c r="E6140" s="8" t="s">
        <v>4896</v>
      </c>
      <c r="F6140" s="8" t="s">
        <v>4909</v>
      </c>
    </row>
    <row r="6141" spans="1:6" ht="60" x14ac:dyDescent="0.25">
      <c r="A6141" s="8" t="s">
        <v>125</v>
      </c>
      <c r="B6141" s="8" t="s">
        <v>134</v>
      </c>
      <c r="C6141" s="8" t="str">
        <f>IFERROR(_xlfn.XLOOKUP(TRIM(B6141),Lookup!$B$2:$B$1000,Lookup!$C$2:$C$1000),"")</f>
        <v>Debt</v>
      </c>
      <c r="D6141" s="8" t="str">
        <f>IFERROR(INDEX('nav master'!$C:$C, MATCH(B6141, 'nav master'!$B:$B, 0)), "")</f>
        <v>ULIF05601/08/13BondFunds101</v>
      </c>
      <c r="E6141" s="8" t="s">
        <v>4898</v>
      </c>
      <c r="F6141" s="8" t="s">
        <v>4910</v>
      </c>
    </row>
    <row r="6142" spans="1:6" ht="60" x14ac:dyDescent="0.25">
      <c r="A6142" s="8" t="s">
        <v>125</v>
      </c>
      <c r="B6142" s="8" t="s">
        <v>134</v>
      </c>
      <c r="C6142" s="8" t="str">
        <f>IFERROR(_xlfn.XLOOKUP(TRIM(B6142),Lookup!$B$2:$B$1000,Lookup!$C$2:$C$1000),"")</f>
        <v>Debt</v>
      </c>
      <c r="D6142" s="8" t="str">
        <f>IFERROR(INDEX('nav master'!$C:$C, MATCH(B6142, 'nav master'!$B:$B, 0)), "")</f>
        <v>ULIF05601/08/13BondFunds101</v>
      </c>
      <c r="E6142" s="8" t="s">
        <v>4900</v>
      </c>
      <c r="F6142" s="8" t="s">
        <v>4911</v>
      </c>
    </row>
    <row r="6143" spans="1:6" ht="60" x14ac:dyDescent="0.25">
      <c r="A6143" s="8" t="s">
        <v>125</v>
      </c>
      <c r="B6143" s="8" t="s">
        <v>134</v>
      </c>
      <c r="C6143" s="8" t="str">
        <f>IFERROR(_xlfn.XLOOKUP(TRIM(B6143),Lookup!$B$2:$B$1000,Lookup!$C$2:$C$1000),"")</f>
        <v>Debt</v>
      </c>
      <c r="D6143" s="8" t="str">
        <f>IFERROR(INDEX('nav master'!$C:$C, MATCH(B6143, 'nav master'!$B:$B, 0)), "")</f>
        <v>ULIF05601/08/13BondFunds101</v>
      </c>
      <c r="E6143" s="8" t="s">
        <v>4902</v>
      </c>
      <c r="F6143" s="8" t="s">
        <v>4912</v>
      </c>
    </row>
    <row r="6144" spans="1:6" ht="60" x14ac:dyDescent="0.25">
      <c r="A6144" s="8" t="s">
        <v>125</v>
      </c>
      <c r="B6144" s="8" t="s">
        <v>134</v>
      </c>
      <c r="C6144" s="8" t="str">
        <f>IFERROR(_xlfn.XLOOKUP(TRIM(B6144),Lookup!$B$2:$B$1000,Lookup!$C$2:$C$1000),"")</f>
        <v>Debt</v>
      </c>
      <c r="D6144" s="8" t="str">
        <f>IFERROR(INDEX('nav master'!$C:$C, MATCH(B6144, 'nav master'!$B:$B, 0)), "")</f>
        <v>ULIF05601/08/13BondFunds101</v>
      </c>
      <c r="E6144" s="8" t="s">
        <v>4903</v>
      </c>
      <c r="F6144" s="8" t="s">
        <v>4913</v>
      </c>
    </row>
    <row r="6145" spans="1:6" ht="60" x14ac:dyDescent="0.25">
      <c r="A6145" s="8" t="s">
        <v>125</v>
      </c>
      <c r="B6145" s="8" t="s">
        <v>134</v>
      </c>
      <c r="C6145" s="8" t="str">
        <f>IFERROR(_xlfn.XLOOKUP(TRIM(B6145),Lookup!$B$2:$B$1000,Lookup!$C$2:$C$1000),"")</f>
        <v>Debt</v>
      </c>
      <c r="D6145" s="8" t="str">
        <f>IFERROR(INDEX('nav master'!$C:$C, MATCH(B6145, 'nav master'!$B:$B, 0)), "")</f>
        <v>ULIF05601/08/13BondFunds101</v>
      </c>
      <c r="E6145" s="8" t="s">
        <v>4905</v>
      </c>
      <c r="F6145" s="8" t="s">
        <v>4914</v>
      </c>
    </row>
    <row r="6146" spans="1:6" ht="60" x14ac:dyDescent="0.25">
      <c r="A6146" s="8" t="s">
        <v>125</v>
      </c>
      <c r="B6146" s="8" t="s">
        <v>136</v>
      </c>
      <c r="C6146" s="8" t="str">
        <f>IFERROR(_xlfn.XLOOKUP(TRIM(B6146),Lookup!$B$2:$B$1000,Lookup!$C$2:$C$1000),"")</f>
        <v>Equity</v>
      </c>
      <c r="D6146" s="8" t="str">
        <f>IFERROR(INDEX('nav master'!$C:$C, MATCH(B6146, 'nav master'!$B:$B, 0)), "")</f>
        <v>ULIF06618/01/18DiscvryFnd101</v>
      </c>
      <c r="E6146" s="8" t="s">
        <v>189</v>
      </c>
      <c r="F6146" s="8" t="s">
        <v>899</v>
      </c>
    </row>
    <row r="6147" spans="1:6" ht="60" x14ac:dyDescent="0.25">
      <c r="A6147" s="8" t="s">
        <v>125</v>
      </c>
      <c r="B6147" s="8" t="s">
        <v>136</v>
      </c>
      <c r="C6147" s="8" t="str">
        <f>IFERROR(_xlfn.XLOOKUP(TRIM(B6147),Lookup!$B$2:$B$1000,Lookup!$C$2:$C$1000),"")</f>
        <v>Equity</v>
      </c>
      <c r="D6147" s="8" t="str">
        <f>IFERROR(INDEX('nav master'!$C:$C, MATCH(B6147, 'nav master'!$B:$B, 0)), "")</f>
        <v>ULIF06618/01/18DiscvryFnd101</v>
      </c>
      <c r="E6147" s="8" t="s">
        <v>191</v>
      </c>
      <c r="F6147" s="8" t="s">
        <v>900</v>
      </c>
    </row>
    <row r="6148" spans="1:6" ht="60" x14ac:dyDescent="0.25">
      <c r="A6148" s="8" t="s">
        <v>125</v>
      </c>
      <c r="B6148" s="8" t="s">
        <v>136</v>
      </c>
      <c r="C6148" s="8" t="str">
        <f>IFERROR(_xlfn.XLOOKUP(TRIM(B6148),Lookup!$B$2:$B$1000,Lookup!$C$2:$C$1000),"")</f>
        <v>Equity</v>
      </c>
      <c r="D6148" s="8" t="str">
        <f>IFERROR(INDEX('nav master'!$C:$C, MATCH(B6148, 'nav master'!$B:$B, 0)), "")</f>
        <v>ULIF06618/01/18DiscvryFnd101</v>
      </c>
      <c r="E6148" s="8" t="s">
        <v>193</v>
      </c>
      <c r="F6148" s="8" t="s">
        <v>901</v>
      </c>
    </row>
    <row r="6149" spans="1:6" ht="60" x14ac:dyDescent="0.25">
      <c r="A6149" s="8" t="s">
        <v>125</v>
      </c>
      <c r="B6149" s="8" t="s">
        <v>136</v>
      </c>
      <c r="C6149" s="8" t="str">
        <f>IFERROR(_xlfn.XLOOKUP(TRIM(B6149),Lookup!$B$2:$B$1000,Lookup!$C$2:$C$1000),"")</f>
        <v>Equity</v>
      </c>
      <c r="D6149" s="8" t="str">
        <f>IFERROR(INDEX('nav master'!$C:$C, MATCH(B6149, 'nav master'!$B:$B, 0)), "")</f>
        <v>ULIF06618/01/18DiscvryFnd101</v>
      </c>
      <c r="E6149" s="8" t="s">
        <v>195</v>
      </c>
      <c r="F6149" s="8" t="s">
        <v>902</v>
      </c>
    </row>
    <row r="6150" spans="1:6" ht="60" x14ac:dyDescent="0.25">
      <c r="A6150" s="8" t="s">
        <v>125</v>
      </c>
      <c r="B6150" s="8" t="s">
        <v>136</v>
      </c>
      <c r="C6150" s="8" t="str">
        <f>IFERROR(_xlfn.XLOOKUP(TRIM(B6150),Lookup!$B$2:$B$1000,Lookup!$C$2:$C$1000),"")</f>
        <v>Equity</v>
      </c>
      <c r="D6150" s="8" t="str">
        <f>IFERROR(INDEX('nav master'!$C:$C, MATCH(B6150, 'nav master'!$B:$B, 0)), "")</f>
        <v>ULIF06618/01/18DiscvryFnd101</v>
      </c>
      <c r="E6150" s="8" t="s">
        <v>197</v>
      </c>
      <c r="F6150" s="8" t="s">
        <v>903</v>
      </c>
    </row>
    <row r="6151" spans="1:6" ht="60" x14ac:dyDescent="0.25">
      <c r="A6151" s="8" t="s">
        <v>125</v>
      </c>
      <c r="B6151" s="8" t="s">
        <v>136</v>
      </c>
      <c r="C6151" s="8" t="str">
        <f>IFERROR(_xlfn.XLOOKUP(TRIM(B6151),Lookup!$B$2:$B$1000,Lookup!$C$2:$C$1000),"")</f>
        <v>Equity</v>
      </c>
      <c r="D6151" s="8" t="str">
        <f>IFERROR(INDEX('nav master'!$C:$C, MATCH(B6151, 'nav master'!$B:$B, 0)), "")</f>
        <v>ULIF06618/01/18DiscvryFnd101</v>
      </c>
      <c r="E6151" s="8" t="s">
        <v>199</v>
      </c>
      <c r="F6151" s="8" t="s">
        <v>904</v>
      </c>
    </row>
    <row r="6152" spans="1:6" ht="60" x14ac:dyDescent="0.25">
      <c r="A6152" s="8" t="s">
        <v>125</v>
      </c>
      <c r="B6152" s="8" t="s">
        <v>136</v>
      </c>
      <c r="C6152" s="8" t="str">
        <f>IFERROR(_xlfn.XLOOKUP(TRIM(B6152),Lookup!$B$2:$B$1000,Lookup!$C$2:$C$1000),"")</f>
        <v>Equity</v>
      </c>
      <c r="D6152" s="8" t="str">
        <f>IFERROR(INDEX('nav master'!$C:$C, MATCH(B6152, 'nav master'!$B:$B, 0)), "")</f>
        <v>ULIF06618/01/18DiscvryFnd101</v>
      </c>
      <c r="E6152" s="8" t="s">
        <v>201</v>
      </c>
      <c r="F6152" s="8" t="s">
        <v>905</v>
      </c>
    </row>
    <row r="6153" spans="1:6" ht="60" x14ac:dyDescent="0.25">
      <c r="A6153" s="8" t="s">
        <v>125</v>
      </c>
      <c r="B6153" s="8" t="s">
        <v>136</v>
      </c>
      <c r="C6153" s="8" t="str">
        <f>IFERROR(_xlfn.XLOOKUP(TRIM(B6153),Lookup!$B$2:$B$1000,Lookup!$C$2:$C$1000),"")</f>
        <v>Equity</v>
      </c>
      <c r="D6153" s="8" t="str">
        <f>IFERROR(INDEX('nav master'!$C:$C, MATCH(B6153, 'nav master'!$B:$B, 0)), "")</f>
        <v>ULIF06618/01/18DiscvryFnd101</v>
      </c>
      <c r="E6153" s="8" t="s">
        <v>203</v>
      </c>
      <c r="F6153" s="8" t="s">
        <v>906</v>
      </c>
    </row>
    <row r="6154" spans="1:6" ht="60" x14ac:dyDescent="0.25">
      <c r="A6154" s="8" t="s">
        <v>125</v>
      </c>
      <c r="B6154" s="8" t="s">
        <v>136</v>
      </c>
      <c r="C6154" s="8" t="str">
        <f>IFERROR(_xlfn.XLOOKUP(TRIM(B6154),Lookup!$B$2:$B$1000,Lookup!$C$2:$C$1000),"")</f>
        <v>Equity</v>
      </c>
      <c r="D6154" s="8" t="str">
        <f>IFERROR(INDEX('nav master'!$C:$C, MATCH(B6154, 'nav master'!$B:$B, 0)), "")</f>
        <v>ULIF06618/01/18DiscvryFnd101</v>
      </c>
      <c r="E6154" s="8" t="s">
        <v>205</v>
      </c>
      <c r="F6154" s="8" t="s">
        <v>907</v>
      </c>
    </row>
    <row r="6155" spans="1:6" ht="60" x14ac:dyDescent="0.25">
      <c r="A6155" s="8" t="s">
        <v>125</v>
      </c>
      <c r="B6155" s="8" t="s">
        <v>136</v>
      </c>
      <c r="C6155" s="8" t="str">
        <f>IFERROR(_xlfn.XLOOKUP(TRIM(B6155),Lookup!$B$2:$B$1000,Lookup!$C$2:$C$1000),"")</f>
        <v>Equity</v>
      </c>
      <c r="D6155" s="8" t="str">
        <f>IFERROR(INDEX('nav master'!$C:$C, MATCH(B6155, 'nav master'!$B:$B, 0)), "")</f>
        <v>ULIF06618/01/18DiscvryFnd101</v>
      </c>
      <c r="E6155" s="8" t="s">
        <v>207</v>
      </c>
      <c r="F6155" s="8" t="s">
        <v>908</v>
      </c>
    </row>
    <row r="6156" spans="1:6" ht="60" x14ac:dyDescent="0.25">
      <c r="A6156" s="8" t="s">
        <v>125</v>
      </c>
      <c r="B6156" s="8" t="s">
        <v>136</v>
      </c>
      <c r="C6156" s="8" t="str">
        <f>IFERROR(_xlfn.XLOOKUP(TRIM(B6156),Lookup!$B$2:$B$1000,Lookup!$C$2:$C$1000),"")</f>
        <v>Equity</v>
      </c>
      <c r="D6156" s="8" t="str">
        <f>IFERROR(INDEX('nav master'!$C:$C, MATCH(B6156, 'nav master'!$B:$B, 0)), "")</f>
        <v>ULIF06618/01/18DiscvryFnd101</v>
      </c>
      <c r="E6156" s="8" t="s">
        <v>209</v>
      </c>
      <c r="F6156" s="8" t="s">
        <v>909</v>
      </c>
    </row>
    <row r="6157" spans="1:6" ht="60" x14ac:dyDescent="0.25">
      <c r="A6157" s="8" t="s">
        <v>125</v>
      </c>
      <c r="B6157" s="8" t="s">
        <v>136</v>
      </c>
      <c r="C6157" s="8" t="str">
        <f>IFERROR(_xlfn.XLOOKUP(TRIM(B6157),Lookup!$B$2:$B$1000,Lookup!$C$2:$C$1000),"")</f>
        <v>Equity</v>
      </c>
      <c r="D6157" s="8" t="str">
        <f>IFERROR(INDEX('nav master'!$C:$C, MATCH(B6157, 'nav master'!$B:$B, 0)), "")</f>
        <v>ULIF06618/01/18DiscvryFnd101</v>
      </c>
      <c r="E6157" s="8" t="s">
        <v>211</v>
      </c>
      <c r="F6157" s="8" t="s">
        <v>910</v>
      </c>
    </row>
    <row r="6158" spans="1:6" ht="60" x14ac:dyDescent="0.25">
      <c r="A6158" s="8" t="s">
        <v>125</v>
      </c>
      <c r="B6158" s="8" t="s">
        <v>136</v>
      </c>
      <c r="C6158" s="8" t="str">
        <f>IFERROR(_xlfn.XLOOKUP(TRIM(B6158),Lookup!$B$2:$B$1000,Lookup!$C$2:$C$1000),"")</f>
        <v>Equity</v>
      </c>
      <c r="D6158" s="8" t="str">
        <f>IFERROR(INDEX('nav master'!$C:$C, MATCH(B6158, 'nav master'!$B:$B, 0)), "")</f>
        <v>ULIF06618/01/18DiscvryFnd101</v>
      </c>
      <c r="E6158" s="8" t="s">
        <v>213</v>
      </c>
      <c r="F6158" s="8" t="s">
        <v>911</v>
      </c>
    </row>
    <row r="6159" spans="1:6" ht="60" x14ac:dyDescent="0.25">
      <c r="A6159" s="8" t="s">
        <v>125</v>
      </c>
      <c r="B6159" s="8" t="s">
        <v>136</v>
      </c>
      <c r="C6159" s="8" t="str">
        <f>IFERROR(_xlfn.XLOOKUP(TRIM(B6159),Lookup!$B$2:$B$1000,Lookup!$C$2:$C$1000),"")</f>
        <v>Equity</v>
      </c>
      <c r="D6159" s="8" t="str">
        <f>IFERROR(INDEX('nav master'!$C:$C, MATCH(B6159, 'nav master'!$B:$B, 0)), "")</f>
        <v>ULIF06618/01/18DiscvryFnd101</v>
      </c>
      <c r="E6159" s="8" t="s">
        <v>215</v>
      </c>
      <c r="F6159" s="8" t="s">
        <v>912</v>
      </c>
    </row>
    <row r="6160" spans="1:6" ht="60" x14ac:dyDescent="0.25">
      <c r="A6160" s="8" t="s">
        <v>125</v>
      </c>
      <c r="B6160" s="8" t="s">
        <v>136</v>
      </c>
      <c r="C6160" s="8" t="str">
        <f>IFERROR(_xlfn.XLOOKUP(TRIM(B6160),Lookup!$B$2:$B$1000,Lookup!$C$2:$C$1000),"")</f>
        <v>Equity</v>
      </c>
      <c r="D6160" s="8" t="str">
        <f>IFERROR(INDEX('nav master'!$C:$C, MATCH(B6160, 'nav master'!$B:$B, 0)), "")</f>
        <v>ULIF06618/01/18DiscvryFnd101</v>
      </c>
      <c r="E6160" s="8" t="s">
        <v>217</v>
      </c>
      <c r="F6160" s="8" t="s">
        <v>913</v>
      </c>
    </row>
    <row r="6161" spans="1:6" ht="60" x14ac:dyDescent="0.25">
      <c r="A6161" s="8" t="s">
        <v>125</v>
      </c>
      <c r="B6161" s="8" t="s">
        <v>136</v>
      </c>
      <c r="C6161" s="8" t="str">
        <f>IFERROR(_xlfn.XLOOKUP(TRIM(B6161),Lookup!$B$2:$B$1000,Lookup!$C$2:$C$1000),"")</f>
        <v>Equity</v>
      </c>
      <c r="D6161" s="8" t="str">
        <f>IFERROR(INDEX('nav master'!$C:$C, MATCH(B6161, 'nav master'!$B:$B, 0)), "")</f>
        <v>ULIF06618/01/18DiscvryFnd101</v>
      </c>
      <c r="E6161" s="8" t="s">
        <v>219</v>
      </c>
      <c r="F6161" s="8" t="s">
        <v>914</v>
      </c>
    </row>
    <row r="6162" spans="1:6" ht="60" x14ac:dyDescent="0.25">
      <c r="A6162" s="8" t="s">
        <v>125</v>
      </c>
      <c r="B6162" s="8" t="s">
        <v>136</v>
      </c>
      <c r="C6162" s="8" t="str">
        <f>IFERROR(_xlfn.XLOOKUP(TRIM(B6162),Lookup!$B$2:$B$1000,Lookup!$C$2:$C$1000),"")</f>
        <v>Equity</v>
      </c>
      <c r="D6162" s="8" t="str">
        <f>IFERROR(INDEX('nav master'!$C:$C, MATCH(B6162, 'nav master'!$B:$B, 0)), "")</f>
        <v>ULIF06618/01/18DiscvryFnd101</v>
      </c>
      <c r="E6162" s="8" t="s">
        <v>221</v>
      </c>
      <c r="F6162" s="8" t="s">
        <v>915</v>
      </c>
    </row>
    <row r="6163" spans="1:6" ht="60" x14ac:dyDescent="0.25">
      <c r="A6163" s="8" t="s">
        <v>125</v>
      </c>
      <c r="B6163" s="8" t="s">
        <v>136</v>
      </c>
      <c r="C6163" s="8" t="str">
        <f>IFERROR(_xlfn.XLOOKUP(TRIM(B6163),Lookup!$B$2:$B$1000,Lookup!$C$2:$C$1000),"")</f>
        <v>Equity</v>
      </c>
      <c r="D6163" s="8" t="str">
        <f>IFERROR(INDEX('nav master'!$C:$C, MATCH(B6163, 'nav master'!$B:$B, 0)), "")</f>
        <v>ULIF06618/01/18DiscvryFnd101</v>
      </c>
      <c r="E6163" s="8" t="s">
        <v>223</v>
      </c>
      <c r="F6163" s="8" t="s">
        <v>916</v>
      </c>
    </row>
    <row r="6164" spans="1:6" ht="60" x14ac:dyDescent="0.25">
      <c r="A6164" s="8" t="s">
        <v>125</v>
      </c>
      <c r="B6164" s="8" t="s">
        <v>136</v>
      </c>
      <c r="C6164" s="8" t="str">
        <f>IFERROR(_xlfn.XLOOKUP(TRIM(B6164),Lookup!$B$2:$B$1000,Lookup!$C$2:$C$1000),"")</f>
        <v>Equity</v>
      </c>
      <c r="D6164" s="8" t="str">
        <f>IFERROR(INDEX('nav master'!$C:$C, MATCH(B6164, 'nav master'!$B:$B, 0)), "")</f>
        <v>ULIF06618/01/18DiscvryFnd101</v>
      </c>
      <c r="E6164" s="8" t="s">
        <v>225</v>
      </c>
      <c r="F6164" s="8" t="s">
        <v>917</v>
      </c>
    </row>
    <row r="6165" spans="1:6" ht="60" x14ac:dyDescent="0.25">
      <c r="A6165" s="8" t="s">
        <v>125</v>
      </c>
      <c r="B6165" s="8" t="s">
        <v>136</v>
      </c>
      <c r="C6165" s="8" t="str">
        <f>IFERROR(_xlfn.XLOOKUP(TRIM(B6165),Lookup!$B$2:$B$1000,Lookup!$C$2:$C$1000),"")</f>
        <v>Equity</v>
      </c>
      <c r="D6165" s="8" t="str">
        <f>IFERROR(INDEX('nav master'!$C:$C, MATCH(B6165, 'nav master'!$B:$B, 0)), "")</f>
        <v>ULIF06618/01/18DiscvryFnd101</v>
      </c>
      <c r="E6165" s="8" t="s">
        <v>227</v>
      </c>
      <c r="F6165" s="8" t="s">
        <v>918</v>
      </c>
    </row>
    <row r="6166" spans="1:6" ht="60" x14ac:dyDescent="0.25">
      <c r="A6166" s="8" t="s">
        <v>125</v>
      </c>
      <c r="B6166" s="8" t="s">
        <v>136</v>
      </c>
      <c r="C6166" s="8" t="str">
        <f>IFERROR(_xlfn.XLOOKUP(TRIM(B6166),Lookup!$B$2:$B$1000,Lookup!$C$2:$C$1000),"")</f>
        <v>Equity</v>
      </c>
      <c r="D6166" s="8" t="str">
        <f>IFERROR(INDEX('nav master'!$C:$C, MATCH(B6166, 'nav master'!$B:$B, 0)), "")</f>
        <v>ULIF06618/01/18DiscvryFnd101</v>
      </c>
      <c r="E6166" s="8" t="s">
        <v>229</v>
      </c>
      <c r="F6166" s="8" t="s">
        <v>919</v>
      </c>
    </row>
    <row r="6167" spans="1:6" ht="60" x14ac:dyDescent="0.25">
      <c r="A6167" s="8" t="s">
        <v>125</v>
      </c>
      <c r="B6167" s="8" t="s">
        <v>136</v>
      </c>
      <c r="C6167" s="8" t="str">
        <f>IFERROR(_xlfn.XLOOKUP(TRIM(B6167),Lookup!$B$2:$B$1000,Lookup!$C$2:$C$1000),"")</f>
        <v>Equity</v>
      </c>
      <c r="D6167" s="8" t="str">
        <f>IFERROR(INDEX('nav master'!$C:$C, MATCH(B6167, 'nav master'!$B:$B, 0)), "")</f>
        <v>ULIF06618/01/18DiscvryFnd101</v>
      </c>
      <c r="E6167" s="8" t="s">
        <v>231</v>
      </c>
      <c r="F6167" s="8" t="s">
        <v>920</v>
      </c>
    </row>
    <row r="6168" spans="1:6" ht="60" x14ac:dyDescent="0.25">
      <c r="A6168" s="8" t="s">
        <v>125</v>
      </c>
      <c r="B6168" s="8" t="s">
        <v>136</v>
      </c>
      <c r="C6168" s="8" t="str">
        <f>IFERROR(_xlfn.XLOOKUP(TRIM(B6168),Lookup!$B$2:$B$1000,Lookup!$C$2:$C$1000),"")</f>
        <v>Equity</v>
      </c>
      <c r="D6168" s="8" t="str">
        <f>IFERROR(INDEX('nav master'!$C:$C, MATCH(B6168, 'nav master'!$B:$B, 0)), "")</f>
        <v>ULIF06618/01/18DiscvryFnd101</v>
      </c>
      <c r="E6168" s="8" t="s">
        <v>233</v>
      </c>
      <c r="F6168" s="8" t="s">
        <v>921</v>
      </c>
    </row>
    <row r="6169" spans="1:6" ht="60" x14ac:dyDescent="0.25">
      <c r="A6169" s="8" t="s">
        <v>125</v>
      </c>
      <c r="B6169" s="8" t="s">
        <v>136</v>
      </c>
      <c r="C6169" s="8" t="str">
        <f>IFERROR(_xlfn.XLOOKUP(TRIM(B6169),Lookup!$B$2:$B$1000,Lookup!$C$2:$C$1000),"")</f>
        <v>Equity</v>
      </c>
      <c r="D6169" s="8" t="str">
        <f>IFERROR(INDEX('nav master'!$C:$C, MATCH(B6169, 'nav master'!$B:$B, 0)), "")</f>
        <v>ULIF06618/01/18DiscvryFnd101</v>
      </c>
      <c r="E6169" s="8" t="s">
        <v>235</v>
      </c>
      <c r="F6169" s="8" t="s">
        <v>922</v>
      </c>
    </row>
    <row r="6170" spans="1:6" ht="60" x14ac:dyDescent="0.25">
      <c r="A6170" s="8" t="s">
        <v>125</v>
      </c>
      <c r="B6170" s="8" t="s">
        <v>136</v>
      </c>
      <c r="C6170" s="8" t="str">
        <f>IFERROR(_xlfn.XLOOKUP(TRIM(B6170),Lookup!$B$2:$B$1000,Lookup!$C$2:$C$1000),"")</f>
        <v>Equity</v>
      </c>
      <c r="D6170" s="8" t="str">
        <f>IFERROR(INDEX('nav master'!$C:$C, MATCH(B6170, 'nav master'!$B:$B, 0)), "")</f>
        <v>ULIF06618/01/18DiscvryFnd101</v>
      </c>
      <c r="E6170" s="8" t="s">
        <v>237</v>
      </c>
      <c r="F6170" s="8" t="s">
        <v>923</v>
      </c>
    </row>
    <row r="6171" spans="1:6" ht="60" x14ac:dyDescent="0.25">
      <c r="A6171" s="8" t="s">
        <v>125</v>
      </c>
      <c r="B6171" s="8" t="s">
        <v>136</v>
      </c>
      <c r="C6171" s="8" t="str">
        <f>IFERROR(_xlfn.XLOOKUP(TRIM(B6171),Lookup!$B$2:$B$1000,Lookup!$C$2:$C$1000),"")</f>
        <v>Equity</v>
      </c>
      <c r="D6171" s="8" t="str">
        <f>IFERROR(INDEX('nav master'!$C:$C, MATCH(B6171, 'nav master'!$B:$B, 0)), "")</f>
        <v>ULIF06618/01/18DiscvryFnd101</v>
      </c>
      <c r="E6171" s="8" t="s">
        <v>239</v>
      </c>
      <c r="F6171" s="8" t="s">
        <v>924</v>
      </c>
    </row>
    <row r="6172" spans="1:6" ht="60" x14ac:dyDescent="0.25">
      <c r="A6172" s="8" t="s">
        <v>125</v>
      </c>
      <c r="B6172" s="8" t="s">
        <v>136</v>
      </c>
      <c r="C6172" s="8" t="str">
        <f>IFERROR(_xlfn.XLOOKUP(TRIM(B6172),Lookup!$B$2:$B$1000,Lookup!$C$2:$C$1000),"")</f>
        <v>Equity</v>
      </c>
      <c r="D6172" s="8" t="str">
        <f>IFERROR(INDEX('nav master'!$C:$C, MATCH(B6172, 'nav master'!$B:$B, 0)), "")</f>
        <v>ULIF06618/01/18DiscvryFnd101</v>
      </c>
      <c r="E6172" s="8" t="s">
        <v>241</v>
      </c>
      <c r="F6172" s="8" t="s">
        <v>921</v>
      </c>
    </row>
    <row r="6173" spans="1:6" ht="60" x14ac:dyDescent="0.25">
      <c r="A6173" s="8" t="s">
        <v>125</v>
      </c>
      <c r="B6173" s="8" t="s">
        <v>136</v>
      </c>
      <c r="C6173" s="8" t="str">
        <f>IFERROR(_xlfn.XLOOKUP(TRIM(B6173),Lookup!$B$2:$B$1000,Lookup!$C$2:$C$1000),"")</f>
        <v>Equity</v>
      </c>
      <c r="D6173" s="8" t="str">
        <f>IFERROR(INDEX('nav master'!$C:$C, MATCH(B6173, 'nav master'!$B:$B, 0)), "")</f>
        <v>ULIF06618/01/18DiscvryFnd101</v>
      </c>
      <c r="E6173" s="8" t="s">
        <v>243</v>
      </c>
      <c r="F6173" s="8" t="s">
        <v>925</v>
      </c>
    </row>
    <row r="6174" spans="1:6" ht="60" x14ac:dyDescent="0.25">
      <c r="A6174" s="8" t="s">
        <v>125</v>
      </c>
      <c r="B6174" s="8" t="s">
        <v>136</v>
      </c>
      <c r="C6174" s="8" t="str">
        <f>IFERROR(_xlfn.XLOOKUP(TRIM(B6174),Lookup!$B$2:$B$1000,Lookup!$C$2:$C$1000),"")</f>
        <v>Equity</v>
      </c>
      <c r="D6174" s="8" t="str">
        <f>IFERROR(INDEX('nav master'!$C:$C, MATCH(B6174, 'nav master'!$B:$B, 0)), "")</f>
        <v>ULIF06618/01/18DiscvryFnd101</v>
      </c>
      <c r="E6174" s="8" t="s">
        <v>245</v>
      </c>
      <c r="F6174" s="8" t="s">
        <v>926</v>
      </c>
    </row>
    <row r="6175" spans="1:6" ht="60" x14ac:dyDescent="0.25">
      <c r="A6175" s="8" t="s">
        <v>125</v>
      </c>
      <c r="B6175" s="8" t="s">
        <v>136</v>
      </c>
      <c r="C6175" s="8" t="str">
        <f>IFERROR(_xlfn.XLOOKUP(TRIM(B6175),Lookup!$B$2:$B$1000,Lookup!$C$2:$C$1000),"")</f>
        <v>Equity</v>
      </c>
      <c r="D6175" s="8" t="str">
        <f>IFERROR(INDEX('nav master'!$C:$C, MATCH(B6175, 'nav master'!$B:$B, 0)), "")</f>
        <v>ULIF06618/01/18DiscvryFnd101</v>
      </c>
      <c r="E6175" s="8" t="s">
        <v>247</v>
      </c>
      <c r="F6175" s="8" t="s">
        <v>927</v>
      </c>
    </row>
    <row r="6176" spans="1:6" ht="60" x14ac:dyDescent="0.25">
      <c r="A6176" s="8" t="s">
        <v>125</v>
      </c>
      <c r="B6176" s="8" t="s">
        <v>136</v>
      </c>
      <c r="C6176" s="8" t="str">
        <f>IFERROR(_xlfn.XLOOKUP(TRIM(B6176),Lookup!$B$2:$B$1000,Lookup!$C$2:$C$1000),"")</f>
        <v>Equity</v>
      </c>
      <c r="D6176" s="8" t="str">
        <f>IFERROR(INDEX('nav master'!$C:$C, MATCH(B6176, 'nav master'!$B:$B, 0)), "")</f>
        <v>ULIF06618/01/18DiscvryFnd101</v>
      </c>
      <c r="E6176" s="8" t="s">
        <v>249</v>
      </c>
      <c r="F6176" s="8" t="s">
        <v>928</v>
      </c>
    </row>
    <row r="6177" spans="1:6" ht="60" x14ac:dyDescent="0.25">
      <c r="A6177" s="8" t="s">
        <v>125</v>
      </c>
      <c r="B6177" s="8" t="s">
        <v>136</v>
      </c>
      <c r="C6177" s="8" t="str">
        <f>IFERROR(_xlfn.XLOOKUP(TRIM(B6177),Lookup!$B$2:$B$1000,Lookup!$C$2:$C$1000),"")</f>
        <v>Equity</v>
      </c>
      <c r="D6177" s="8" t="str">
        <f>IFERROR(INDEX('nav master'!$C:$C, MATCH(B6177, 'nav master'!$B:$B, 0)), "")</f>
        <v>ULIF06618/01/18DiscvryFnd101</v>
      </c>
      <c r="E6177" s="8" t="s">
        <v>251</v>
      </c>
      <c r="F6177" s="8" t="s">
        <v>929</v>
      </c>
    </row>
    <row r="6178" spans="1:6" ht="60" x14ac:dyDescent="0.25">
      <c r="A6178" s="8" t="s">
        <v>125</v>
      </c>
      <c r="B6178" s="8" t="s">
        <v>136</v>
      </c>
      <c r="C6178" s="8" t="str">
        <f>IFERROR(_xlfn.XLOOKUP(TRIM(B6178),Lookup!$B$2:$B$1000,Lookup!$C$2:$C$1000),"")</f>
        <v>Equity</v>
      </c>
      <c r="D6178" s="8" t="str">
        <f>IFERROR(INDEX('nav master'!$C:$C, MATCH(B6178, 'nav master'!$B:$B, 0)), "")</f>
        <v>ULIF06618/01/18DiscvryFnd101</v>
      </c>
      <c r="E6178" s="8" t="s">
        <v>253</v>
      </c>
      <c r="F6178" s="8" t="s">
        <v>930</v>
      </c>
    </row>
    <row r="6179" spans="1:6" ht="60" x14ac:dyDescent="0.25">
      <c r="A6179" s="8" t="s">
        <v>125</v>
      </c>
      <c r="B6179" s="8" t="s">
        <v>136</v>
      </c>
      <c r="C6179" s="8" t="str">
        <f>IFERROR(_xlfn.XLOOKUP(TRIM(B6179),Lookup!$B$2:$B$1000,Lookup!$C$2:$C$1000),"")</f>
        <v>Equity</v>
      </c>
      <c r="D6179" s="8" t="str">
        <f>IFERROR(INDEX('nav master'!$C:$C, MATCH(B6179, 'nav master'!$B:$B, 0)), "")</f>
        <v>ULIF06618/01/18DiscvryFnd101</v>
      </c>
      <c r="E6179" s="8" t="s">
        <v>255</v>
      </c>
      <c r="F6179" s="8" t="s">
        <v>931</v>
      </c>
    </row>
    <row r="6180" spans="1:6" ht="60" x14ac:dyDescent="0.25">
      <c r="A6180" s="8" t="s">
        <v>125</v>
      </c>
      <c r="B6180" s="8" t="s">
        <v>136</v>
      </c>
      <c r="C6180" s="8" t="str">
        <f>IFERROR(_xlfn.XLOOKUP(TRIM(B6180),Lookup!$B$2:$B$1000,Lookup!$C$2:$C$1000),"")</f>
        <v>Equity</v>
      </c>
      <c r="D6180" s="8" t="str">
        <f>IFERROR(INDEX('nav master'!$C:$C, MATCH(B6180, 'nav master'!$B:$B, 0)), "")</f>
        <v>ULIF06618/01/18DiscvryFnd101</v>
      </c>
      <c r="E6180" s="8" t="s">
        <v>257</v>
      </c>
      <c r="F6180" s="8" t="s">
        <v>932</v>
      </c>
    </row>
    <row r="6181" spans="1:6" ht="60" x14ac:dyDescent="0.25">
      <c r="A6181" s="8" t="s">
        <v>125</v>
      </c>
      <c r="B6181" s="8" t="s">
        <v>136</v>
      </c>
      <c r="C6181" s="8" t="str">
        <f>IFERROR(_xlfn.XLOOKUP(TRIM(B6181),Lookup!$B$2:$B$1000,Lookup!$C$2:$C$1000),"")</f>
        <v>Equity</v>
      </c>
      <c r="D6181" s="8" t="str">
        <f>IFERROR(INDEX('nav master'!$C:$C, MATCH(B6181, 'nav master'!$B:$B, 0)), "")</f>
        <v>ULIF06618/01/18DiscvryFnd101</v>
      </c>
      <c r="E6181" s="8" t="s">
        <v>259</v>
      </c>
      <c r="F6181" s="8" t="s">
        <v>933</v>
      </c>
    </row>
    <row r="6182" spans="1:6" ht="60" x14ac:dyDescent="0.25">
      <c r="A6182" s="8" t="s">
        <v>125</v>
      </c>
      <c r="B6182" s="8" t="s">
        <v>136</v>
      </c>
      <c r="C6182" s="8" t="str">
        <f>IFERROR(_xlfn.XLOOKUP(TRIM(B6182),Lookup!$B$2:$B$1000,Lookup!$C$2:$C$1000),"")</f>
        <v>Equity</v>
      </c>
      <c r="D6182" s="8" t="str">
        <f>IFERROR(INDEX('nav master'!$C:$C, MATCH(B6182, 'nav master'!$B:$B, 0)), "")</f>
        <v>ULIF06618/01/18DiscvryFnd101</v>
      </c>
      <c r="E6182" s="8" t="s">
        <v>261</v>
      </c>
      <c r="F6182" s="8" t="s">
        <v>934</v>
      </c>
    </row>
    <row r="6183" spans="1:6" ht="60" x14ac:dyDescent="0.25">
      <c r="A6183" s="8" t="s">
        <v>125</v>
      </c>
      <c r="B6183" s="8" t="s">
        <v>136</v>
      </c>
      <c r="C6183" s="8" t="str">
        <f>IFERROR(_xlfn.XLOOKUP(TRIM(B6183),Lookup!$B$2:$B$1000,Lookup!$C$2:$C$1000),"")</f>
        <v>Equity</v>
      </c>
      <c r="D6183" s="8" t="str">
        <f>IFERROR(INDEX('nav master'!$C:$C, MATCH(B6183, 'nav master'!$B:$B, 0)), "")</f>
        <v>ULIF06618/01/18DiscvryFnd101</v>
      </c>
      <c r="E6183" s="8" t="s">
        <v>263</v>
      </c>
      <c r="F6183" s="8" t="s">
        <v>935</v>
      </c>
    </row>
    <row r="6184" spans="1:6" ht="60" x14ac:dyDescent="0.25">
      <c r="A6184" s="8" t="s">
        <v>125</v>
      </c>
      <c r="B6184" s="8" t="s">
        <v>136</v>
      </c>
      <c r="C6184" s="8" t="str">
        <f>IFERROR(_xlfn.XLOOKUP(TRIM(B6184),Lookup!$B$2:$B$1000,Lookup!$C$2:$C$1000),"")</f>
        <v>Equity</v>
      </c>
      <c r="D6184" s="8" t="str">
        <f>IFERROR(INDEX('nav master'!$C:$C, MATCH(B6184, 'nav master'!$B:$B, 0)), "")</f>
        <v>ULIF06618/01/18DiscvryFnd101</v>
      </c>
      <c r="E6184" s="8" t="s">
        <v>265</v>
      </c>
      <c r="F6184" s="8" t="s">
        <v>936</v>
      </c>
    </row>
    <row r="6185" spans="1:6" ht="60" x14ac:dyDescent="0.25">
      <c r="A6185" s="8" t="s">
        <v>125</v>
      </c>
      <c r="B6185" s="8" t="s">
        <v>136</v>
      </c>
      <c r="C6185" s="8" t="str">
        <f>IFERROR(_xlfn.XLOOKUP(TRIM(B6185),Lookup!$B$2:$B$1000,Lookup!$C$2:$C$1000),"")</f>
        <v>Equity</v>
      </c>
      <c r="D6185" s="8" t="str">
        <f>IFERROR(INDEX('nav master'!$C:$C, MATCH(B6185, 'nav master'!$B:$B, 0)), "")</f>
        <v>ULIF06618/01/18DiscvryFnd101</v>
      </c>
      <c r="E6185" s="8" t="s">
        <v>267</v>
      </c>
      <c r="F6185" s="8" t="s">
        <v>937</v>
      </c>
    </row>
    <row r="6186" spans="1:6" ht="60" x14ac:dyDescent="0.25">
      <c r="A6186" s="8" t="s">
        <v>125</v>
      </c>
      <c r="B6186" s="8" t="s">
        <v>136</v>
      </c>
      <c r="C6186" s="8" t="str">
        <f>IFERROR(_xlfn.XLOOKUP(TRIM(B6186),Lookup!$B$2:$B$1000,Lookup!$C$2:$C$1000),"")</f>
        <v>Equity</v>
      </c>
      <c r="D6186" s="8" t="str">
        <f>IFERROR(INDEX('nav master'!$C:$C, MATCH(B6186, 'nav master'!$B:$B, 0)), "")</f>
        <v>ULIF06618/01/18DiscvryFnd101</v>
      </c>
      <c r="E6186" s="8" t="s">
        <v>269</v>
      </c>
      <c r="F6186" s="8" t="s">
        <v>938</v>
      </c>
    </row>
    <row r="6187" spans="1:6" ht="60" x14ac:dyDescent="0.25">
      <c r="A6187" s="8" t="s">
        <v>125</v>
      </c>
      <c r="B6187" s="8" t="s">
        <v>136</v>
      </c>
      <c r="C6187" s="8" t="str">
        <f>IFERROR(_xlfn.XLOOKUP(TRIM(B6187),Lookup!$B$2:$B$1000,Lookup!$C$2:$C$1000),"")</f>
        <v>Equity</v>
      </c>
      <c r="D6187" s="8" t="str">
        <f>IFERROR(INDEX('nav master'!$C:$C, MATCH(B6187, 'nav master'!$B:$B, 0)), "")</f>
        <v>ULIF06618/01/18DiscvryFnd101</v>
      </c>
      <c r="E6187" s="8" t="s">
        <v>271</v>
      </c>
      <c r="F6187" s="8" t="s">
        <v>939</v>
      </c>
    </row>
    <row r="6188" spans="1:6" ht="60" x14ac:dyDescent="0.25">
      <c r="A6188" s="8" t="s">
        <v>125</v>
      </c>
      <c r="B6188" s="8" t="s">
        <v>136</v>
      </c>
      <c r="C6188" s="8" t="str">
        <f>IFERROR(_xlfn.XLOOKUP(TRIM(B6188),Lookup!$B$2:$B$1000,Lookup!$C$2:$C$1000),"")</f>
        <v>Equity</v>
      </c>
      <c r="D6188" s="8" t="str">
        <f>IFERROR(INDEX('nav master'!$C:$C, MATCH(B6188, 'nav master'!$B:$B, 0)), "")</f>
        <v>ULIF06618/01/18DiscvryFnd101</v>
      </c>
      <c r="E6188" s="8" t="s">
        <v>273</v>
      </c>
      <c r="F6188" s="8" t="s">
        <v>940</v>
      </c>
    </row>
    <row r="6189" spans="1:6" ht="60" x14ac:dyDescent="0.25">
      <c r="A6189" s="8" t="s">
        <v>125</v>
      </c>
      <c r="B6189" s="8" t="s">
        <v>136</v>
      </c>
      <c r="C6189" s="8" t="str">
        <f>IFERROR(_xlfn.XLOOKUP(TRIM(B6189),Lookup!$B$2:$B$1000,Lookup!$C$2:$C$1000),"")</f>
        <v>Equity</v>
      </c>
      <c r="D6189" s="8" t="str">
        <f>IFERROR(INDEX('nav master'!$C:$C, MATCH(B6189, 'nav master'!$B:$B, 0)), "")</f>
        <v>ULIF06618/01/18DiscvryFnd101</v>
      </c>
      <c r="E6189" s="8" t="s">
        <v>275</v>
      </c>
      <c r="F6189" s="8" t="s">
        <v>194</v>
      </c>
    </row>
    <row r="6190" spans="1:6" ht="60" x14ac:dyDescent="0.25">
      <c r="A6190" s="8" t="s">
        <v>125</v>
      </c>
      <c r="B6190" s="8" t="s">
        <v>136</v>
      </c>
      <c r="C6190" s="8" t="str">
        <f>IFERROR(_xlfn.XLOOKUP(TRIM(B6190),Lookup!$B$2:$B$1000,Lookup!$C$2:$C$1000),"")</f>
        <v>Equity</v>
      </c>
      <c r="D6190" s="8" t="str">
        <f>IFERROR(INDEX('nav master'!$C:$C, MATCH(B6190, 'nav master'!$B:$B, 0)), "")</f>
        <v>ULIF06618/01/18DiscvryFnd101</v>
      </c>
      <c r="E6190" s="8" t="s">
        <v>277</v>
      </c>
      <c r="F6190" s="8" t="s">
        <v>941</v>
      </c>
    </row>
    <row r="6191" spans="1:6" ht="60" x14ac:dyDescent="0.25">
      <c r="A6191" s="8" t="s">
        <v>125</v>
      </c>
      <c r="B6191" s="8" t="s">
        <v>136</v>
      </c>
      <c r="C6191" s="8" t="str">
        <f>IFERROR(_xlfn.XLOOKUP(TRIM(B6191),Lookup!$B$2:$B$1000,Lookup!$C$2:$C$1000),"")</f>
        <v>Equity</v>
      </c>
      <c r="D6191" s="8" t="str">
        <f>IFERROR(INDEX('nav master'!$C:$C, MATCH(B6191, 'nav master'!$B:$B, 0)), "")</f>
        <v>ULIF06618/01/18DiscvryFnd101</v>
      </c>
      <c r="E6191" s="8" t="s">
        <v>279</v>
      </c>
      <c r="F6191" s="8" t="s">
        <v>942</v>
      </c>
    </row>
    <row r="6192" spans="1:6" ht="60" x14ac:dyDescent="0.25">
      <c r="A6192" s="8" t="s">
        <v>125</v>
      </c>
      <c r="B6192" s="8" t="s">
        <v>136</v>
      </c>
      <c r="C6192" s="8" t="str">
        <f>IFERROR(_xlfn.XLOOKUP(TRIM(B6192),Lookup!$B$2:$B$1000,Lookup!$C$2:$C$1000),"")</f>
        <v>Equity</v>
      </c>
      <c r="D6192" s="8" t="str">
        <f>IFERROR(INDEX('nav master'!$C:$C, MATCH(B6192, 'nav master'!$B:$B, 0)), "")</f>
        <v>ULIF06618/01/18DiscvryFnd101</v>
      </c>
      <c r="E6192" s="8" t="s">
        <v>281</v>
      </c>
      <c r="F6192" s="8" t="s">
        <v>943</v>
      </c>
    </row>
    <row r="6193" spans="1:6" ht="60" x14ac:dyDescent="0.25">
      <c r="A6193" s="8" t="s">
        <v>125</v>
      </c>
      <c r="B6193" s="8" t="s">
        <v>136</v>
      </c>
      <c r="C6193" s="8" t="str">
        <f>IFERROR(_xlfn.XLOOKUP(TRIM(B6193),Lookup!$B$2:$B$1000,Lookup!$C$2:$C$1000),"")</f>
        <v>Equity</v>
      </c>
      <c r="D6193" s="8" t="str">
        <f>IFERROR(INDEX('nav master'!$C:$C, MATCH(B6193, 'nav master'!$B:$B, 0)), "")</f>
        <v>ULIF06618/01/18DiscvryFnd101</v>
      </c>
      <c r="E6193" s="8" t="s">
        <v>283</v>
      </c>
      <c r="F6193" s="8" t="s">
        <v>944</v>
      </c>
    </row>
    <row r="6194" spans="1:6" ht="60" x14ac:dyDescent="0.25">
      <c r="A6194" s="8" t="s">
        <v>125</v>
      </c>
      <c r="B6194" s="8" t="s">
        <v>136</v>
      </c>
      <c r="C6194" s="8" t="str">
        <f>IFERROR(_xlfn.XLOOKUP(TRIM(B6194),Lookup!$B$2:$B$1000,Lookup!$C$2:$C$1000),"")</f>
        <v>Equity</v>
      </c>
      <c r="D6194" s="8" t="str">
        <f>IFERROR(INDEX('nav master'!$C:$C, MATCH(B6194, 'nav master'!$B:$B, 0)), "")</f>
        <v>ULIF06618/01/18DiscvryFnd101</v>
      </c>
      <c r="E6194" s="8" t="s">
        <v>285</v>
      </c>
      <c r="F6194" s="8" t="s">
        <v>945</v>
      </c>
    </row>
    <row r="6195" spans="1:6" ht="60" x14ac:dyDescent="0.25">
      <c r="A6195" s="8" t="s">
        <v>125</v>
      </c>
      <c r="B6195" s="8" t="s">
        <v>136</v>
      </c>
      <c r="C6195" s="8" t="str">
        <f>IFERROR(_xlfn.XLOOKUP(TRIM(B6195),Lookup!$B$2:$B$1000,Lookup!$C$2:$C$1000),"")</f>
        <v>Equity</v>
      </c>
      <c r="D6195" s="8" t="str">
        <f>IFERROR(INDEX('nav master'!$C:$C, MATCH(B6195, 'nav master'!$B:$B, 0)), "")</f>
        <v>ULIF06618/01/18DiscvryFnd101</v>
      </c>
      <c r="E6195" s="8" t="s">
        <v>287</v>
      </c>
      <c r="F6195" s="8" t="s">
        <v>946</v>
      </c>
    </row>
    <row r="6196" spans="1:6" ht="60" x14ac:dyDescent="0.25">
      <c r="A6196" s="8" t="s">
        <v>125</v>
      </c>
      <c r="B6196" s="8" t="s">
        <v>136</v>
      </c>
      <c r="C6196" s="8" t="str">
        <f>IFERROR(_xlfn.XLOOKUP(TRIM(B6196),Lookup!$B$2:$B$1000,Lookup!$C$2:$C$1000),"")</f>
        <v>Equity</v>
      </c>
      <c r="D6196" s="8" t="str">
        <f>IFERROR(INDEX('nav master'!$C:$C, MATCH(B6196, 'nav master'!$B:$B, 0)), "")</f>
        <v>ULIF06618/01/18DiscvryFnd101</v>
      </c>
      <c r="E6196" s="8" t="s">
        <v>289</v>
      </c>
      <c r="F6196" s="8" t="s">
        <v>947</v>
      </c>
    </row>
    <row r="6197" spans="1:6" ht="60" x14ac:dyDescent="0.25">
      <c r="A6197" s="8" t="s">
        <v>125</v>
      </c>
      <c r="B6197" s="8" t="s">
        <v>136</v>
      </c>
      <c r="C6197" s="8" t="str">
        <f>IFERROR(_xlfn.XLOOKUP(TRIM(B6197),Lookup!$B$2:$B$1000,Lookup!$C$2:$C$1000),"")</f>
        <v>Equity</v>
      </c>
      <c r="D6197" s="8" t="str">
        <f>IFERROR(INDEX('nav master'!$C:$C, MATCH(B6197, 'nav master'!$B:$B, 0)), "")</f>
        <v>ULIF06618/01/18DiscvryFnd101</v>
      </c>
      <c r="E6197" s="8" t="s">
        <v>291</v>
      </c>
      <c r="F6197" s="8" t="s">
        <v>948</v>
      </c>
    </row>
    <row r="6198" spans="1:6" ht="60" x14ac:dyDescent="0.25">
      <c r="A6198" s="8" t="s">
        <v>125</v>
      </c>
      <c r="B6198" s="8" t="s">
        <v>136</v>
      </c>
      <c r="C6198" s="8" t="str">
        <f>IFERROR(_xlfn.XLOOKUP(TRIM(B6198),Lookup!$B$2:$B$1000,Lookup!$C$2:$C$1000),"")</f>
        <v>Equity</v>
      </c>
      <c r="D6198" s="8" t="str">
        <f>IFERROR(INDEX('nav master'!$C:$C, MATCH(B6198, 'nav master'!$B:$B, 0)), "")</f>
        <v>ULIF06618/01/18DiscvryFnd101</v>
      </c>
      <c r="E6198" s="8" t="s">
        <v>293</v>
      </c>
      <c r="F6198" s="8" t="s">
        <v>949</v>
      </c>
    </row>
    <row r="6199" spans="1:6" ht="60" x14ac:dyDescent="0.25">
      <c r="A6199" s="8" t="s">
        <v>125</v>
      </c>
      <c r="B6199" s="8" t="s">
        <v>136</v>
      </c>
      <c r="C6199" s="8" t="str">
        <f>IFERROR(_xlfn.XLOOKUP(TRIM(B6199),Lookup!$B$2:$B$1000,Lookup!$C$2:$C$1000),"")</f>
        <v>Equity</v>
      </c>
      <c r="D6199" s="8" t="str">
        <f>IFERROR(INDEX('nav master'!$C:$C, MATCH(B6199, 'nav master'!$B:$B, 0)), "")</f>
        <v>ULIF06618/01/18DiscvryFnd101</v>
      </c>
      <c r="E6199" s="8" t="s">
        <v>295</v>
      </c>
      <c r="F6199" s="8" t="s">
        <v>950</v>
      </c>
    </row>
    <row r="6200" spans="1:6" ht="60" x14ac:dyDescent="0.25">
      <c r="A6200" s="8" t="s">
        <v>125</v>
      </c>
      <c r="B6200" s="8" t="s">
        <v>136</v>
      </c>
      <c r="C6200" s="8" t="str">
        <f>IFERROR(_xlfn.XLOOKUP(TRIM(B6200),Lookup!$B$2:$B$1000,Lookup!$C$2:$C$1000),"")</f>
        <v>Equity</v>
      </c>
      <c r="D6200" s="8" t="str">
        <f>IFERROR(INDEX('nav master'!$C:$C, MATCH(B6200, 'nav master'!$B:$B, 0)), "")</f>
        <v>ULIF06618/01/18DiscvryFnd101</v>
      </c>
      <c r="E6200" s="8" t="s">
        <v>297</v>
      </c>
      <c r="F6200" s="8" t="s">
        <v>951</v>
      </c>
    </row>
    <row r="6201" spans="1:6" ht="60" x14ac:dyDescent="0.25">
      <c r="A6201" s="8" t="s">
        <v>125</v>
      </c>
      <c r="B6201" s="8" t="s">
        <v>136</v>
      </c>
      <c r="C6201" s="8" t="str">
        <f>IFERROR(_xlfn.XLOOKUP(TRIM(B6201),Lookup!$B$2:$B$1000,Lookup!$C$2:$C$1000),"")</f>
        <v>Equity</v>
      </c>
      <c r="D6201" s="8" t="str">
        <f>IFERROR(INDEX('nav master'!$C:$C, MATCH(B6201, 'nav master'!$B:$B, 0)), "")</f>
        <v>ULIF06618/01/18DiscvryFnd101</v>
      </c>
      <c r="E6201" s="8" t="s">
        <v>299</v>
      </c>
      <c r="F6201" s="8" t="s">
        <v>952</v>
      </c>
    </row>
    <row r="6202" spans="1:6" ht="60" x14ac:dyDescent="0.25">
      <c r="A6202" s="8" t="s">
        <v>125</v>
      </c>
      <c r="B6202" s="8" t="s">
        <v>136</v>
      </c>
      <c r="C6202" s="8" t="str">
        <f>IFERROR(_xlfn.XLOOKUP(TRIM(B6202),Lookup!$B$2:$B$1000,Lookup!$C$2:$C$1000),"")</f>
        <v>Equity</v>
      </c>
      <c r="D6202" s="8" t="str">
        <f>IFERROR(INDEX('nav master'!$C:$C, MATCH(B6202, 'nav master'!$B:$B, 0)), "")</f>
        <v>ULIF06618/01/18DiscvryFnd101</v>
      </c>
      <c r="E6202" s="8" t="s">
        <v>301</v>
      </c>
      <c r="F6202" s="8" t="s">
        <v>953</v>
      </c>
    </row>
    <row r="6203" spans="1:6" ht="60" x14ac:dyDescent="0.25">
      <c r="A6203" s="8" t="s">
        <v>125</v>
      </c>
      <c r="B6203" s="8" t="s">
        <v>136</v>
      </c>
      <c r="C6203" s="8" t="str">
        <f>IFERROR(_xlfn.XLOOKUP(TRIM(B6203),Lookup!$B$2:$B$1000,Lookup!$C$2:$C$1000),"")</f>
        <v>Equity</v>
      </c>
      <c r="D6203" s="8" t="str">
        <f>IFERROR(INDEX('nav master'!$C:$C, MATCH(B6203, 'nav master'!$B:$B, 0)), "")</f>
        <v>ULIF06618/01/18DiscvryFnd101</v>
      </c>
      <c r="E6203" s="8" t="s">
        <v>303</v>
      </c>
      <c r="F6203" s="8" t="s">
        <v>954</v>
      </c>
    </row>
    <row r="6204" spans="1:6" ht="60" x14ac:dyDescent="0.25">
      <c r="A6204" s="8" t="s">
        <v>125</v>
      </c>
      <c r="B6204" s="8" t="s">
        <v>136</v>
      </c>
      <c r="C6204" s="8" t="str">
        <f>IFERROR(_xlfn.XLOOKUP(TRIM(B6204),Lookup!$B$2:$B$1000,Lookup!$C$2:$C$1000),"")</f>
        <v>Equity</v>
      </c>
      <c r="D6204" s="8" t="str">
        <f>IFERROR(INDEX('nav master'!$C:$C, MATCH(B6204, 'nav master'!$B:$B, 0)), "")</f>
        <v>ULIF06618/01/18DiscvryFnd101</v>
      </c>
      <c r="E6204" s="8" t="s">
        <v>305</v>
      </c>
      <c r="F6204" s="8" t="s">
        <v>955</v>
      </c>
    </row>
    <row r="6205" spans="1:6" ht="60" x14ac:dyDescent="0.25">
      <c r="A6205" s="8" t="s">
        <v>125</v>
      </c>
      <c r="B6205" s="8" t="s">
        <v>136</v>
      </c>
      <c r="C6205" s="8" t="str">
        <f>IFERROR(_xlfn.XLOOKUP(TRIM(B6205),Lookup!$B$2:$B$1000,Lookup!$C$2:$C$1000),"")</f>
        <v>Equity</v>
      </c>
      <c r="D6205" s="8" t="str">
        <f>IFERROR(INDEX('nav master'!$C:$C, MATCH(B6205, 'nav master'!$B:$B, 0)), "")</f>
        <v>ULIF06618/01/18DiscvryFnd101</v>
      </c>
      <c r="E6205" s="8" t="s">
        <v>307</v>
      </c>
      <c r="F6205" s="8" t="s">
        <v>956</v>
      </c>
    </row>
    <row r="6206" spans="1:6" ht="60" x14ac:dyDescent="0.25">
      <c r="A6206" s="8" t="s">
        <v>125</v>
      </c>
      <c r="B6206" s="8" t="s">
        <v>136</v>
      </c>
      <c r="C6206" s="8" t="str">
        <f>IFERROR(_xlfn.XLOOKUP(TRIM(B6206),Lookup!$B$2:$B$1000,Lookup!$C$2:$C$1000),"")</f>
        <v>Equity</v>
      </c>
      <c r="D6206" s="8" t="str">
        <f>IFERROR(INDEX('nav master'!$C:$C, MATCH(B6206, 'nav master'!$B:$B, 0)), "")</f>
        <v>ULIF06618/01/18DiscvryFnd101</v>
      </c>
      <c r="E6206" s="8" t="s">
        <v>309</v>
      </c>
      <c r="F6206" s="8" t="s">
        <v>957</v>
      </c>
    </row>
    <row r="6207" spans="1:6" ht="60" x14ac:dyDescent="0.25">
      <c r="A6207" s="8" t="s">
        <v>125</v>
      </c>
      <c r="B6207" s="8" t="s">
        <v>136</v>
      </c>
      <c r="C6207" s="8" t="str">
        <f>IFERROR(_xlfn.XLOOKUP(TRIM(B6207),Lookup!$B$2:$B$1000,Lookup!$C$2:$C$1000),"")</f>
        <v>Equity</v>
      </c>
      <c r="D6207" s="8" t="str">
        <f>IFERROR(INDEX('nav master'!$C:$C, MATCH(B6207, 'nav master'!$B:$B, 0)), "")</f>
        <v>ULIF06618/01/18DiscvryFnd101</v>
      </c>
      <c r="E6207" s="8" t="s">
        <v>311</v>
      </c>
      <c r="F6207" s="8" t="s">
        <v>958</v>
      </c>
    </row>
    <row r="6208" spans="1:6" ht="60" x14ac:dyDescent="0.25">
      <c r="A6208" s="8" t="s">
        <v>125</v>
      </c>
      <c r="B6208" s="8" t="s">
        <v>136</v>
      </c>
      <c r="C6208" s="8" t="str">
        <f>IFERROR(_xlfn.XLOOKUP(TRIM(B6208),Lookup!$B$2:$B$1000,Lookup!$C$2:$C$1000),"")</f>
        <v>Equity</v>
      </c>
      <c r="D6208" s="8" t="str">
        <f>IFERROR(INDEX('nav master'!$C:$C, MATCH(B6208, 'nav master'!$B:$B, 0)), "")</f>
        <v>ULIF06618/01/18DiscvryFnd101</v>
      </c>
      <c r="E6208" s="8" t="s">
        <v>313</v>
      </c>
      <c r="F6208" s="8" t="s">
        <v>959</v>
      </c>
    </row>
    <row r="6209" spans="1:6" ht="60" x14ac:dyDescent="0.25">
      <c r="A6209" s="8" t="s">
        <v>125</v>
      </c>
      <c r="B6209" s="8" t="s">
        <v>136</v>
      </c>
      <c r="C6209" s="8" t="str">
        <f>IFERROR(_xlfn.XLOOKUP(TRIM(B6209),Lookup!$B$2:$B$1000,Lookup!$C$2:$C$1000),"")</f>
        <v>Equity</v>
      </c>
      <c r="D6209" s="8" t="str">
        <f>IFERROR(INDEX('nav master'!$C:$C, MATCH(B6209, 'nav master'!$B:$B, 0)), "")</f>
        <v>ULIF06618/01/18DiscvryFnd101</v>
      </c>
      <c r="E6209" s="8" t="s">
        <v>315</v>
      </c>
      <c r="F6209" s="8" t="s">
        <v>960</v>
      </c>
    </row>
    <row r="6210" spans="1:6" ht="60" x14ac:dyDescent="0.25">
      <c r="A6210" s="8" t="s">
        <v>125</v>
      </c>
      <c r="B6210" s="8" t="s">
        <v>136</v>
      </c>
      <c r="C6210" s="8" t="str">
        <f>IFERROR(_xlfn.XLOOKUP(TRIM(B6210),Lookup!$B$2:$B$1000,Lookup!$C$2:$C$1000),"")</f>
        <v>Equity</v>
      </c>
      <c r="D6210" s="8" t="str">
        <f>IFERROR(INDEX('nav master'!$C:$C, MATCH(B6210, 'nav master'!$B:$B, 0)), "")</f>
        <v>ULIF06618/01/18DiscvryFnd101</v>
      </c>
      <c r="E6210" s="8" t="s">
        <v>317</v>
      </c>
      <c r="F6210" s="8" t="s">
        <v>961</v>
      </c>
    </row>
    <row r="6211" spans="1:6" ht="60" x14ac:dyDescent="0.25">
      <c r="A6211" s="8" t="s">
        <v>125</v>
      </c>
      <c r="B6211" s="8" t="s">
        <v>136</v>
      </c>
      <c r="C6211" s="8" t="str">
        <f>IFERROR(_xlfn.XLOOKUP(TRIM(B6211),Lookup!$B$2:$B$1000,Lookup!$C$2:$C$1000),"")</f>
        <v>Equity</v>
      </c>
      <c r="D6211" s="8" t="str">
        <f>IFERROR(INDEX('nav master'!$C:$C, MATCH(B6211, 'nav master'!$B:$B, 0)), "")</f>
        <v>ULIF06618/01/18DiscvryFnd101</v>
      </c>
      <c r="E6211" s="8" t="s">
        <v>319</v>
      </c>
      <c r="F6211" s="8" t="s">
        <v>962</v>
      </c>
    </row>
    <row r="6212" spans="1:6" ht="60" x14ac:dyDescent="0.25">
      <c r="A6212" s="8" t="s">
        <v>125</v>
      </c>
      <c r="B6212" s="8" t="s">
        <v>136</v>
      </c>
      <c r="C6212" s="8" t="str">
        <f>IFERROR(_xlfn.XLOOKUP(TRIM(B6212),Lookup!$B$2:$B$1000,Lookup!$C$2:$C$1000),"")</f>
        <v>Equity</v>
      </c>
      <c r="D6212" s="8" t="str">
        <f>IFERROR(INDEX('nav master'!$C:$C, MATCH(B6212, 'nav master'!$B:$B, 0)), "")</f>
        <v>ULIF06618/01/18DiscvryFnd101</v>
      </c>
      <c r="E6212" s="8" t="s">
        <v>321</v>
      </c>
      <c r="F6212" s="8" t="s">
        <v>963</v>
      </c>
    </row>
    <row r="6213" spans="1:6" ht="60" x14ac:dyDescent="0.25">
      <c r="A6213" s="8" t="s">
        <v>125</v>
      </c>
      <c r="B6213" s="8" t="s">
        <v>136</v>
      </c>
      <c r="C6213" s="8" t="str">
        <f>IFERROR(_xlfn.XLOOKUP(TRIM(B6213),Lookup!$B$2:$B$1000,Lookup!$C$2:$C$1000),"")</f>
        <v>Equity</v>
      </c>
      <c r="D6213" s="8" t="str">
        <f>IFERROR(INDEX('nav master'!$C:$C, MATCH(B6213, 'nav master'!$B:$B, 0)), "")</f>
        <v>ULIF06618/01/18DiscvryFnd101</v>
      </c>
      <c r="E6213" s="8" t="s">
        <v>323</v>
      </c>
      <c r="F6213" s="8" t="s">
        <v>964</v>
      </c>
    </row>
    <row r="6214" spans="1:6" ht="60" x14ac:dyDescent="0.25">
      <c r="A6214" s="8" t="s">
        <v>125</v>
      </c>
      <c r="B6214" s="8" t="s">
        <v>136</v>
      </c>
      <c r="C6214" s="8" t="str">
        <f>IFERROR(_xlfn.XLOOKUP(TRIM(B6214),Lookup!$B$2:$B$1000,Lookup!$C$2:$C$1000),"")</f>
        <v>Equity</v>
      </c>
      <c r="D6214" s="8" t="str">
        <f>IFERROR(INDEX('nav master'!$C:$C, MATCH(B6214, 'nav master'!$B:$B, 0)), "")</f>
        <v>ULIF06618/01/18DiscvryFnd101</v>
      </c>
      <c r="E6214" s="8" t="s">
        <v>325</v>
      </c>
      <c r="F6214" s="8" t="s">
        <v>965</v>
      </c>
    </row>
    <row r="6215" spans="1:6" ht="60" x14ac:dyDescent="0.25">
      <c r="A6215" s="8" t="s">
        <v>125</v>
      </c>
      <c r="B6215" s="8" t="s">
        <v>136</v>
      </c>
      <c r="C6215" s="8" t="str">
        <f>IFERROR(_xlfn.XLOOKUP(TRIM(B6215),Lookup!$B$2:$B$1000,Lookup!$C$2:$C$1000),"")</f>
        <v>Equity</v>
      </c>
      <c r="D6215" s="8" t="str">
        <f>IFERROR(INDEX('nav master'!$C:$C, MATCH(B6215, 'nav master'!$B:$B, 0)), "")</f>
        <v>ULIF06618/01/18DiscvryFnd101</v>
      </c>
      <c r="E6215" s="8" t="s">
        <v>327</v>
      </c>
      <c r="F6215" s="8" t="s">
        <v>966</v>
      </c>
    </row>
    <row r="6216" spans="1:6" ht="60" x14ac:dyDescent="0.25">
      <c r="A6216" s="8" t="s">
        <v>125</v>
      </c>
      <c r="B6216" s="8" t="s">
        <v>136</v>
      </c>
      <c r="C6216" s="8" t="str">
        <f>IFERROR(_xlfn.XLOOKUP(TRIM(B6216),Lookup!$B$2:$B$1000,Lookup!$C$2:$C$1000),"")</f>
        <v>Equity</v>
      </c>
      <c r="D6216" s="8" t="str">
        <f>IFERROR(INDEX('nav master'!$C:$C, MATCH(B6216, 'nav master'!$B:$B, 0)), "")</f>
        <v>ULIF06618/01/18DiscvryFnd101</v>
      </c>
      <c r="E6216" s="8" t="s">
        <v>329</v>
      </c>
      <c r="F6216" s="8" t="s">
        <v>967</v>
      </c>
    </row>
    <row r="6217" spans="1:6" ht="60" x14ac:dyDescent="0.25">
      <c r="A6217" s="8" t="s">
        <v>125</v>
      </c>
      <c r="B6217" s="8" t="s">
        <v>136</v>
      </c>
      <c r="C6217" s="8" t="str">
        <f>IFERROR(_xlfn.XLOOKUP(TRIM(B6217),Lookup!$B$2:$B$1000,Lookup!$C$2:$C$1000),"")</f>
        <v>Equity</v>
      </c>
      <c r="D6217" s="8" t="str">
        <f>IFERROR(INDEX('nav master'!$C:$C, MATCH(B6217, 'nav master'!$B:$B, 0)), "")</f>
        <v>ULIF06618/01/18DiscvryFnd101</v>
      </c>
      <c r="E6217" s="8" t="s">
        <v>331</v>
      </c>
      <c r="F6217" s="8" t="s">
        <v>968</v>
      </c>
    </row>
    <row r="6218" spans="1:6" ht="60" x14ac:dyDescent="0.25">
      <c r="A6218" s="8" t="s">
        <v>125</v>
      </c>
      <c r="B6218" s="8" t="s">
        <v>136</v>
      </c>
      <c r="C6218" s="8" t="str">
        <f>IFERROR(_xlfn.XLOOKUP(TRIM(B6218),Lookup!$B$2:$B$1000,Lookup!$C$2:$C$1000),"")</f>
        <v>Equity</v>
      </c>
      <c r="D6218" s="8" t="str">
        <f>IFERROR(INDEX('nav master'!$C:$C, MATCH(B6218, 'nav master'!$B:$B, 0)), "")</f>
        <v>ULIF06618/01/18DiscvryFnd101</v>
      </c>
      <c r="E6218" s="8" t="s">
        <v>333</v>
      </c>
      <c r="F6218" s="8" t="s">
        <v>969</v>
      </c>
    </row>
    <row r="6219" spans="1:6" ht="60" x14ac:dyDescent="0.25">
      <c r="A6219" s="8" t="s">
        <v>125</v>
      </c>
      <c r="B6219" s="8" t="s">
        <v>136</v>
      </c>
      <c r="C6219" s="8" t="str">
        <f>IFERROR(_xlfn.XLOOKUP(TRIM(B6219),Lookup!$B$2:$B$1000,Lookup!$C$2:$C$1000),"")</f>
        <v>Equity</v>
      </c>
      <c r="D6219" s="8" t="str">
        <f>IFERROR(INDEX('nav master'!$C:$C, MATCH(B6219, 'nav master'!$B:$B, 0)), "")</f>
        <v>ULIF06618/01/18DiscvryFnd101</v>
      </c>
      <c r="E6219" s="8" t="s">
        <v>335</v>
      </c>
      <c r="F6219" s="8" t="s">
        <v>970</v>
      </c>
    </row>
    <row r="6220" spans="1:6" ht="60" x14ac:dyDescent="0.25">
      <c r="A6220" s="8" t="s">
        <v>125</v>
      </c>
      <c r="B6220" s="8" t="s">
        <v>136</v>
      </c>
      <c r="C6220" s="8" t="str">
        <f>IFERROR(_xlfn.XLOOKUP(TRIM(B6220),Lookup!$B$2:$B$1000,Lookup!$C$2:$C$1000),"")</f>
        <v>Equity</v>
      </c>
      <c r="D6220" s="8" t="str">
        <f>IFERROR(INDEX('nav master'!$C:$C, MATCH(B6220, 'nav master'!$B:$B, 0)), "")</f>
        <v>ULIF06618/01/18DiscvryFnd101</v>
      </c>
      <c r="E6220" s="8" t="s">
        <v>337</v>
      </c>
      <c r="F6220" s="8" t="s">
        <v>971</v>
      </c>
    </row>
    <row r="6221" spans="1:6" ht="60" x14ac:dyDescent="0.25">
      <c r="A6221" s="8" t="s">
        <v>125</v>
      </c>
      <c r="B6221" s="8" t="s">
        <v>136</v>
      </c>
      <c r="C6221" s="8" t="str">
        <f>IFERROR(_xlfn.XLOOKUP(TRIM(B6221),Lookup!$B$2:$B$1000,Lookup!$C$2:$C$1000),"")</f>
        <v>Equity</v>
      </c>
      <c r="D6221" s="8" t="str">
        <f>IFERROR(INDEX('nav master'!$C:$C, MATCH(B6221, 'nav master'!$B:$B, 0)), "")</f>
        <v>ULIF06618/01/18DiscvryFnd101</v>
      </c>
      <c r="E6221" s="8" t="s">
        <v>339</v>
      </c>
      <c r="F6221" s="8" t="s">
        <v>972</v>
      </c>
    </row>
    <row r="6222" spans="1:6" ht="60" x14ac:dyDescent="0.25">
      <c r="A6222" s="8" t="s">
        <v>125</v>
      </c>
      <c r="B6222" s="8" t="s">
        <v>136</v>
      </c>
      <c r="C6222" s="8" t="str">
        <f>IFERROR(_xlfn.XLOOKUP(TRIM(B6222),Lookup!$B$2:$B$1000,Lookup!$C$2:$C$1000),"")</f>
        <v>Equity</v>
      </c>
      <c r="D6222" s="8" t="str">
        <f>IFERROR(INDEX('nav master'!$C:$C, MATCH(B6222, 'nav master'!$B:$B, 0)), "")</f>
        <v>ULIF06618/01/18DiscvryFnd101</v>
      </c>
      <c r="E6222" s="8" t="s">
        <v>341</v>
      </c>
      <c r="F6222" s="8" t="s">
        <v>973</v>
      </c>
    </row>
    <row r="6223" spans="1:6" ht="60" x14ac:dyDescent="0.25">
      <c r="A6223" s="8" t="s">
        <v>125</v>
      </c>
      <c r="B6223" s="8" t="s">
        <v>136</v>
      </c>
      <c r="C6223" s="8" t="str">
        <f>IFERROR(_xlfn.XLOOKUP(TRIM(B6223),Lookup!$B$2:$B$1000,Lookup!$C$2:$C$1000),"")</f>
        <v>Equity</v>
      </c>
      <c r="D6223" s="8" t="str">
        <f>IFERROR(INDEX('nav master'!$C:$C, MATCH(B6223, 'nav master'!$B:$B, 0)), "")</f>
        <v>ULIF06618/01/18DiscvryFnd101</v>
      </c>
      <c r="E6223" s="8" t="s">
        <v>343</v>
      </c>
      <c r="F6223" s="8" t="s">
        <v>974</v>
      </c>
    </row>
    <row r="6224" spans="1:6" ht="60" x14ac:dyDescent="0.25">
      <c r="A6224" s="8" t="s">
        <v>125</v>
      </c>
      <c r="B6224" s="8" t="s">
        <v>136</v>
      </c>
      <c r="C6224" s="8" t="str">
        <f>IFERROR(_xlfn.XLOOKUP(TRIM(B6224),Lookup!$B$2:$B$1000,Lookup!$C$2:$C$1000),"")</f>
        <v>Equity</v>
      </c>
      <c r="D6224" s="8" t="str">
        <f>IFERROR(INDEX('nav master'!$C:$C, MATCH(B6224, 'nav master'!$B:$B, 0)), "")</f>
        <v>ULIF06618/01/18DiscvryFnd101</v>
      </c>
      <c r="E6224" s="8" t="s">
        <v>345</v>
      </c>
      <c r="F6224" s="8" t="s">
        <v>975</v>
      </c>
    </row>
    <row r="6225" spans="1:6" ht="60" x14ac:dyDescent="0.25">
      <c r="A6225" s="8" t="s">
        <v>125</v>
      </c>
      <c r="B6225" s="8" t="s">
        <v>136</v>
      </c>
      <c r="C6225" s="8" t="str">
        <f>IFERROR(_xlfn.XLOOKUP(TRIM(B6225),Lookup!$B$2:$B$1000,Lookup!$C$2:$C$1000),"")</f>
        <v>Equity</v>
      </c>
      <c r="D6225" s="8" t="str">
        <f>IFERROR(INDEX('nav master'!$C:$C, MATCH(B6225, 'nav master'!$B:$B, 0)), "")</f>
        <v>ULIF06618/01/18DiscvryFnd101</v>
      </c>
      <c r="E6225" s="8" t="s">
        <v>347</v>
      </c>
      <c r="F6225" s="8" t="s">
        <v>976</v>
      </c>
    </row>
    <row r="6226" spans="1:6" ht="60" x14ac:dyDescent="0.25">
      <c r="A6226" s="8" t="s">
        <v>125</v>
      </c>
      <c r="B6226" s="8" t="s">
        <v>136</v>
      </c>
      <c r="C6226" s="8" t="str">
        <f>IFERROR(_xlfn.XLOOKUP(TRIM(B6226),Lookup!$B$2:$B$1000,Lookup!$C$2:$C$1000),"")</f>
        <v>Equity</v>
      </c>
      <c r="D6226" s="8" t="str">
        <f>IFERROR(INDEX('nav master'!$C:$C, MATCH(B6226, 'nav master'!$B:$B, 0)), "")</f>
        <v>ULIF06618/01/18DiscvryFnd101</v>
      </c>
      <c r="E6226" s="8" t="s">
        <v>349</v>
      </c>
      <c r="F6226" s="8" t="s">
        <v>977</v>
      </c>
    </row>
    <row r="6227" spans="1:6" ht="60" x14ac:dyDescent="0.25">
      <c r="A6227" s="8" t="s">
        <v>125</v>
      </c>
      <c r="B6227" s="8" t="s">
        <v>136</v>
      </c>
      <c r="C6227" s="8" t="str">
        <f>IFERROR(_xlfn.XLOOKUP(TRIM(B6227),Lookup!$B$2:$B$1000,Lookup!$C$2:$C$1000),"")</f>
        <v>Equity</v>
      </c>
      <c r="D6227" s="8" t="str">
        <f>IFERROR(INDEX('nav master'!$C:$C, MATCH(B6227, 'nav master'!$B:$B, 0)), "")</f>
        <v>ULIF06618/01/18DiscvryFnd101</v>
      </c>
      <c r="E6227" s="8" t="s">
        <v>351</v>
      </c>
      <c r="F6227" s="8" t="s">
        <v>978</v>
      </c>
    </row>
    <row r="6228" spans="1:6" ht="60" x14ac:dyDescent="0.25">
      <c r="A6228" s="8" t="s">
        <v>125</v>
      </c>
      <c r="B6228" s="8" t="s">
        <v>136</v>
      </c>
      <c r="C6228" s="8" t="str">
        <f>IFERROR(_xlfn.XLOOKUP(TRIM(B6228),Lookup!$B$2:$B$1000,Lookup!$C$2:$C$1000),"")</f>
        <v>Equity</v>
      </c>
      <c r="D6228" s="8" t="str">
        <f>IFERROR(INDEX('nav master'!$C:$C, MATCH(B6228, 'nav master'!$B:$B, 0)), "")</f>
        <v>ULIF06618/01/18DiscvryFnd101</v>
      </c>
      <c r="E6228" s="8" t="s">
        <v>353</v>
      </c>
      <c r="F6228" s="8" t="s">
        <v>979</v>
      </c>
    </row>
    <row r="6229" spans="1:6" ht="60" x14ac:dyDescent="0.25">
      <c r="A6229" s="8" t="s">
        <v>125</v>
      </c>
      <c r="B6229" s="8" t="s">
        <v>136</v>
      </c>
      <c r="C6229" s="8" t="str">
        <f>IFERROR(_xlfn.XLOOKUP(TRIM(B6229),Lookup!$B$2:$B$1000,Lookup!$C$2:$C$1000),"")</f>
        <v>Equity</v>
      </c>
      <c r="D6229" s="8" t="str">
        <f>IFERROR(INDEX('nav master'!$C:$C, MATCH(B6229, 'nav master'!$B:$B, 0)), "")</f>
        <v>ULIF06618/01/18DiscvryFnd101</v>
      </c>
      <c r="E6229" s="8" t="s">
        <v>355</v>
      </c>
      <c r="F6229" s="8" t="s">
        <v>980</v>
      </c>
    </row>
    <row r="6230" spans="1:6" ht="60" x14ac:dyDescent="0.25">
      <c r="A6230" s="8" t="s">
        <v>125</v>
      </c>
      <c r="B6230" s="8" t="s">
        <v>136</v>
      </c>
      <c r="C6230" s="8" t="str">
        <f>IFERROR(_xlfn.XLOOKUP(TRIM(B6230),Lookup!$B$2:$B$1000,Lookup!$C$2:$C$1000),"")</f>
        <v>Equity</v>
      </c>
      <c r="D6230" s="8" t="str">
        <f>IFERROR(INDEX('nav master'!$C:$C, MATCH(B6230, 'nav master'!$B:$B, 0)), "")</f>
        <v>ULIF06618/01/18DiscvryFnd101</v>
      </c>
      <c r="E6230" s="8" t="s">
        <v>357</v>
      </c>
      <c r="F6230" s="8" t="s">
        <v>981</v>
      </c>
    </row>
    <row r="6231" spans="1:6" ht="60" x14ac:dyDescent="0.25">
      <c r="A6231" s="8" t="s">
        <v>125</v>
      </c>
      <c r="B6231" s="8" t="s">
        <v>136</v>
      </c>
      <c r="C6231" s="8" t="str">
        <f>IFERROR(_xlfn.XLOOKUP(TRIM(B6231),Lookup!$B$2:$B$1000,Lookup!$C$2:$C$1000),"")</f>
        <v>Equity</v>
      </c>
      <c r="D6231" s="8" t="str">
        <f>IFERROR(INDEX('nav master'!$C:$C, MATCH(B6231, 'nav master'!$B:$B, 0)), "")</f>
        <v>ULIF06618/01/18DiscvryFnd101</v>
      </c>
      <c r="E6231" s="8" t="s">
        <v>359</v>
      </c>
      <c r="F6231" s="8" t="s">
        <v>982</v>
      </c>
    </row>
    <row r="6232" spans="1:6" ht="60" x14ac:dyDescent="0.25">
      <c r="A6232" s="8" t="s">
        <v>125</v>
      </c>
      <c r="B6232" s="8" t="s">
        <v>136</v>
      </c>
      <c r="C6232" s="8" t="str">
        <f>IFERROR(_xlfn.XLOOKUP(TRIM(B6232),Lookup!$B$2:$B$1000,Lookup!$C$2:$C$1000),"")</f>
        <v>Equity</v>
      </c>
      <c r="D6232" s="8" t="str">
        <f>IFERROR(INDEX('nav master'!$C:$C, MATCH(B6232, 'nav master'!$B:$B, 0)), "")</f>
        <v>ULIF06618/01/18DiscvryFnd101</v>
      </c>
      <c r="E6232" s="8" t="s">
        <v>361</v>
      </c>
      <c r="F6232" s="8" t="s">
        <v>983</v>
      </c>
    </row>
    <row r="6233" spans="1:6" ht="60" x14ac:dyDescent="0.25">
      <c r="A6233" s="8" t="s">
        <v>125</v>
      </c>
      <c r="B6233" s="8" t="s">
        <v>136</v>
      </c>
      <c r="C6233" s="8" t="str">
        <f>IFERROR(_xlfn.XLOOKUP(TRIM(B6233),Lookup!$B$2:$B$1000,Lookup!$C$2:$C$1000),"")</f>
        <v>Equity</v>
      </c>
      <c r="D6233" s="8" t="str">
        <f>IFERROR(INDEX('nav master'!$C:$C, MATCH(B6233, 'nav master'!$B:$B, 0)), "")</f>
        <v>ULIF06618/01/18DiscvryFnd101</v>
      </c>
      <c r="E6233" s="8" t="s">
        <v>363</v>
      </c>
      <c r="F6233" s="8" t="s">
        <v>984</v>
      </c>
    </row>
    <row r="6234" spans="1:6" ht="60" x14ac:dyDescent="0.25">
      <c r="A6234" s="8" t="s">
        <v>125</v>
      </c>
      <c r="B6234" s="8" t="s">
        <v>136</v>
      </c>
      <c r="C6234" s="8" t="str">
        <f>IFERROR(_xlfn.XLOOKUP(TRIM(B6234),Lookup!$B$2:$B$1000,Lookup!$C$2:$C$1000),"")</f>
        <v>Equity</v>
      </c>
      <c r="D6234" s="8" t="str">
        <f>IFERROR(INDEX('nav master'!$C:$C, MATCH(B6234, 'nav master'!$B:$B, 0)), "")</f>
        <v>ULIF06618/01/18DiscvryFnd101</v>
      </c>
      <c r="E6234" s="8" t="s">
        <v>365</v>
      </c>
      <c r="F6234" s="8" t="s">
        <v>985</v>
      </c>
    </row>
    <row r="6235" spans="1:6" ht="60" x14ac:dyDescent="0.25">
      <c r="A6235" s="8" t="s">
        <v>125</v>
      </c>
      <c r="B6235" s="8" t="s">
        <v>136</v>
      </c>
      <c r="C6235" s="8" t="str">
        <f>IFERROR(_xlfn.XLOOKUP(TRIM(B6235),Lookup!$B$2:$B$1000,Lookup!$C$2:$C$1000),"")</f>
        <v>Equity</v>
      </c>
      <c r="D6235" s="8" t="str">
        <f>IFERROR(INDEX('nav master'!$C:$C, MATCH(B6235, 'nav master'!$B:$B, 0)), "")</f>
        <v>ULIF06618/01/18DiscvryFnd101</v>
      </c>
      <c r="E6235" s="8" t="s">
        <v>367</v>
      </c>
      <c r="F6235" s="8" t="s">
        <v>986</v>
      </c>
    </row>
    <row r="6236" spans="1:6" ht="60" x14ac:dyDescent="0.25">
      <c r="A6236" s="8" t="s">
        <v>125</v>
      </c>
      <c r="B6236" s="8" t="s">
        <v>136</v>
      </c>
      <c r="C6236" s="8" t="str">
        <f>IFERROR(_xlfn.XLOOKUP(TRIM(B6236),Lookup!$B$2:$B$1000,Lookup!$C$2:$C$1000),"")</f>
        <v>Equity</v>
      </c>
      <c r="D6236" s="8" t="str">
        <f>IFERROR(INDEX('nav master'!$C:$C, MATCH(B6236, 'nav master'!$B:$B, 0)), "")</f>
        <v>ULIF06618/01/18DiscvryFnd101</v>
      </c>
      <c r="E6236" s="8" t="s">
        <v>369</v>
      </c>
      <c r="F6236" s="8" t="s">
        <v>987</v>
      </c>
    </row>
    <row r="6237" spans="1:6" ht="60" x14ac:dyDescent="0.25">
      <c r="A6237" s="8" t="s">
        <v>125</v>
      </c>
      <c r="B6237" s="8" t="s">
        <v>136</v>
      </c>
      <c r="C6237" s="8" t="str">
        <f>IFERROR(_xlfn.XLOOKUP(TRIM(B6237),Lookup!$B$2:$B$1000,Lookup!$C$2:$C$1000),"")</f>
        <v>Equity</v>
      </c>
      <c r="D6237" s="8" t="str">
        <f>IFERROR(INDEX('nav master'!$C:$C, MATCH(B6237, 'nav master'!$B:$B, 0)), "")</f>
        <v>ULIF06618/01/18DiscvryFnd101</v>
      </c>
      <c r="E6237" s="8" t="s">
        <v>371</v>
      </c>
      <c r="F6237" s="8" t="s">
        <v>988</v>
      </c>
    </row>
    <row r="6238" spans="1:6" ht="60" x14ac:dyDescent="0.25">
      <c r="A6238" s="8" t="s">
        <v>125</v>
      </c>
      <c r="B6238" s="8" t="s">
        <v>136</v>
      </c>
      <c r="C6238" s="8" t="str">
        <f>IFERROR(_xlfn.XLOOKUP(TRIM(B6238),Lookup!$B$2:$B$1000,Lookup!$C$2:$C$1000),"")</f>
        <v>Equity</v>
      </c>
      <c r="D6238" s="8" t="str">
        <f>IFERROR(INDEX('nav master'!$C:$C, MATCH(B6238, 'nav master'!$B:$B, 0)), "")</f>
        <v>ULIF06618/01/18DiscvryFnd101</v>
      </c>
      <c r="E6238" s="8" t="s">
        <v>373</v>
      </c>
      <c r="F6238" s="8" t="s">
        <v>989</v>
      </c>
    </row>
    <row r="6239" spans="1:6" ht="60" x14ac:dyDescent="0.25">
      <c r="A6239" s="8" t="s">
        <v>125</v>
      </c>
      <c r="B6239" s="8" t="s">
        <v>136</v>
      </c>
      <c r="C6239" s="8" t="str">
        <f>IFERROR(_xlfn.XLOOKUP(TRIM(B6239),Lookup!$B$2:$B$1000,Lookup!$C$2:$C$1000),"")</f>
        <v>Equity</v>
      </c>
      <c r="D6239" s="8" t="str">
        <f>IFERROR(INDEX('nav master'!$C:$C, MATCH(B6239, 'nav master'!$B:$B, 0)), "")</f>
        <v>ULIF06618/01/18DiscvryFnd101</v>
      </c>
      <c r="E6239" s="8" t="s">
        <v>375</v>
      </c>
      <c r="F6239" s="8" t="s">
        <v>990</v>
      </c>
    </row>
    <row r="6240" spans="1:6" ht="60" x14ac:dyDescent="0.25">
      <c r="A6240" s="8" t="s">
        <v>125</v>
      </c>
      <c r="B6240" s="8" t="s">
        <v>136</v>
      </c>
      <c r="C6240" s="8" t="str">
        <f>IFERROR(_xlfn.XLOOKUP(TRIM(B6240),Lookup!$B$2:$B$1000,Lookup!$C$2:$C$1000),"")</f>
        <v>Equity</v>
      </c>
      <c r="D6240" s="8" t="str">
        <f>IFERROR(INDEX('nav master'!$C:$C, MATCH(B6240, 'nav master'!$B:$B, 0)), "")</f>
        <v>ULIF06618/01/18DiscvryFnd101</v>
      </c>
      <c r="E6240" s="8" t="s">
        <v>377</v>
      </c>
      <c r="F6240" s="8" t="s">
        <v>991</v>
      </c>
    </row>
    <row r="6241" spans="1:6" ht="60" x14ac:dyDescent="0.25">
      <c r="A6241" s="8" t="s">
        <v>125</v>
      </c>
      <c r="B6241" s="8" t="s">
        <v>136</v>
      </c>
      <c r="C6241" s="8" t="str">
        <f>IFERROR(_xlfn.XLOOKUP(TRIM(B6241),Lookup!$B$2:$B$1000,Lookup!$C$2:$C$1000),"")</f>
        <v>Equity</v>
      </c>
      <c r="D6241" s="8" t="str">
        <f>IFERROR(INDEX('nav master'!$C:$C, MATCH(B6241, 'nav master'!$B:$B, 0)), "")</f>
        <v>ULIF06618/01/18DiscvryFnd101</v>
      </c>
      <c r="E6241" s="8" t="s">
        <v>379</v>
      </c>
      <c r="F6241" s="8" t="s">
        <v>992</v>
      </c>
    </row>
    <row r="6242" spans="1:6" ht="60" x14ac:dyDescent="0.25">
      <c r="A6242" s="8" t="s">
        <v>125</v>
      </c>
      <c r="B6242" s="8" t="s">
        <v>136</v>
      </c>
      <c r="C6242" s="8" t="str">
        <f>IFERROR(_xlfn.XLOOKUP(TRIM(B6242),Lookup!$B$2:$B$1000,Lookup!$C$2:$C$1000),"")</f>
        <v>Equity</v>
      </c>
      <c r="D6242" s="8" t="str">
        <f>IFERROR(INDEX('nav master'!$C:$C, MATCH(B6242, 'nav master'!$B:$B, 0)), "")</f>
        <v>ULIF06618/01/18DiscvryFnd101</v>
      </c>
      <c r="E6242" s="8" t="s">
        <v>381</v>
      </c>
      <c r="F6242" s="8" t="s">
        <v>993</v>
      </c>
    </row>
    <row r="6243" spans="1:6" ht="60" x14ac:dyDescent="0.25">
      <c r="A6243" s="8" t="s">
        <v>125</v>
      </c>
      <c r="B6243" s="8" t="s">
        <v>136</v>
      </c>
      <c r="C6243" s="8" t="str">
        <f>IFERROR(_xlfn.XLOOKUP(TRIM(B6243),Lookup!$B$2:$B$1000,Lookup!$C$2:$C$1000),"")</f>
        <v>Equity</v>
      </c>
      <c r="D6243" s="8" t="str">
        <f>IFERROR(INDEX('nav master'!$C:$C, MATCH(B6243, 'nav master'!$B:$B, 0)), "")</f>
        <v>ULIF06618/01/18DiscvryFnd101</v>
      </c>
      <c r="E6243" s="8" t="s">
        <v>383</v>
      </c>
      <c r="F6243" s="8" t="s">
        <v>994</v>
      </c>
    </row>
    <row r="6244" spans="1:6" ht="60" x14ac:dyDescent="0.25">
      <c r="A6244" s="8" t="s">
        <v>125</v>
      </c>
      <c r="B6244" s="8" t="s">
        <v>136</v>
      </c>
      <c r="C6244" s="8" t="str">
        <f>IFERROR(_xlfn.XLOOKUP(TRIM(B6244),Lookup!$B$2:$B$1000,Lookup!$C$2:$C$1000),"")</f>
        <v>Equity</v>
      </c>
      <c r="D6244" s="8" t="str">
        <f>IFERROR(INDEX('nav master'!$C:$C, MATCH(B6244, 'nav master'!$B:$B, 0)), "")</f>
        <v>ULIF06618/01/18DiscvryFnd101</v>
      </c>
      <c r="E6244" s="8" t="s">
        <v>385</v>
      </c>
      <c r="F6244" s="8" t="s">
        <v>995</v>
      </c>
    </row>
    <row r="6245" spans="1:6" ht="60" x14ac:dyDescent="0.25">
      <c r="A6245" s="8" t="s">
        <v>125</v>
      </c>
      <c r="B6245" s="8" t="s">
        <v>136</v>
      </c>
      <c r="C6245" s="8" t="str">
        <f>IFERROR(_xlfn.XLOOKUP(TRIM(B6245),Lookup!$B$2:$B$1000,Lookup!$C$2:$C$1000),"")</f>
        <v>Equity</v>
      </c>
      <c r="D6245" s="8" t="str">
        <f>IFERROR(INDEX('nav master'!$C:$C, MATCH(B6245, 'nav master'!$B:$B, 0)), "")</f>
        <v>ULIF06618/01/18DiscvryFnd101</v>
      </c>
      <c r="E6245" s="8" t="s">
        <v>387</v>
      </c>
      <c r="F6245" s="8" t="s">
        <v>996</v>
      </c>
    </row>
    <row r="6246" spans="1:6" ht="60" x14ac:dyDescent="0.25">
      <c r="A6246" s="8" t="s">
        <v>125</v>
      </c>
      <c r="B6246" s="8" t="s">
        <v>136</v>
      </c>
      <c r="C6246" s="8" t="str">
        <f>IFERROR(_xlfn.XLOOKUP(TRIM(B6246),Lookup!$B$2:$B$1000,Lookup!$C$2:$C$1000),"")</f>
        <v>Equity</v>
      </c>
      <c r="D6246" s="8" t="str">
        <f>IFERROR(INDEX('nav master'!$C:$C, MATCH(B6246, 'nav master'!$B:$B, 0)), "")</f>
        <v>ULIF06618/01/18DiscvryFnd101</v>
      </c>
      <c r="E6246" s="8" t="s">
        <v>389</v>
      </c>
      <c r="F6246" s="8" t="s">
        <v>997</v>
      </c>
    </row>
    <row r="6247" spans="1:6" ht="60" x14ac:dyDescent="0.25">
      <c r="A6247" s="8" t="s">
        <v>125</v>
      </c>
      <c r="B6247" s="8" t="s">
        <v>136</v>
      </c>
      <c r="C6247" s="8" t="str">
        <f>IFERROR(_xlfn.XLOOKUP(TRIM(B6247),Lookup!$B$2:$B$1000,Lookup!$C$2:$C$1000),"")</f>
        <v>Equity</v>
      </c>
      <c r="D6247" s="8" t="str">
        <f>IFERROR(INDEX('nav master'!$C:$C, MATCH(B6247, 'nav master'!$B:$B, 0)), "")</f>
        <v>ULIF06618/01/18DiscvryFnd101</v>
      </c>
      <c r="E6247" s="8" t="s">
        <v>391</v>
      </c>
      <c r="F6247" s="8" t="s">
        <v>998</v>
      </c>
    </row>
    <row r="6248" spans="1:6" ht="60" x14ac:dyDescent="0.25">
      <c r="A6248" s="8" t="s">
        <v>125</v>
      </c>
      <c r="B6248" s="8" t="s">
        <v>136</v>
      </c>
      <c r="C6248" s="8" t="str">
        <f>IFERROR(_xlfn.XLOOKUP(TRIM(B6248),Lookup!$B$2:$B$1000,Lookup!$C$2:$C$1000),"")</f>
        <v>Equity</v>
      </c>
      <c r="D6248" s="8" t="str">
        <f>IFERROR(INDEX('nav master'!$C:$C, MATCH(B6248, 'nav master'!$B:$B, 0)), "")</f>
        <v>ULIF06618/01/18DiscvryFnd101</v>
      </c>
      <c r="E6248" s="8" t="s">
        <v>393</v>
      </c>
      <c r="F6248" s="8" t="s">
        <v>999</v>
      </c>
    </row>
    <row r="6249" spans="1:6" ht="60" x14ac:dyDescent="0.25">
      <c r="A6249" s="8" t="s">
        <v>125</v>
      </c>
      <c r="B6249" s="8" t="s">
        <v>136</v>
      </c>
      <c r="C6249" s="8" t="str">
        <f>IFERROR(_xlfn.XLOOKUP(TRIM(B6249),Lookup!$B$2:$B$1000,Lookup!$C$2:$C$1000),"")</f>
        <v>Equity</v>
      </c>
      <c r="D6249" s="8" t="str">
        <f>IFERROR(INDEX('nav master'!$C:$C, MATCH(B6249, 'nav master'!$B:$B, 0)), "")</f>
        <v>ULIF06618/01/18DiscvryFnd101</v>
      </c>
      <c r="E6249" s="8" t="s">
        <v>395</v>
      </c>
      <c r="F6249" s="8" t="s">
        <v>1000</v>
      </c>
    </row>
    <row r="6250" spans="1:6" ht="60" x14ac:dyDescent="0.25">
      <c r="A6250" s="8" t="s">
        <v>125</v>
      </c>
      <c r="B6250" s="8" t="s">
        <v>136</v>
      </c>
      <c r="C6250" s="8" t="str">
        <f>IFERROR(_xlfn.XLOOKUP(TRIM(B6250),Lookup!$B$2:$B$1000,Lookup!$C$2:$C$1000),"")</f>
        <v>Equity</v>
      </c>
      <c r="D6250" s="8" t="str">
        <f>IFERROR(INDEX('nav master'!$C:$C, MATCH(B6250, 'nav master'!$B:$B, 0)), "")</f>
        <v>ULIF06618/01/18DiscvryFnd101</v>
      </c>
      <c r="E6250" s="8" t="s">
        <v>397</v>
      </c>
      <c r="F6250" s="8" t="s">
        <v>1001</v>
      </c>
    </row>
    <row r="6251" spans="1:6" ht="60" x14ac:dyDescent="0.25">
      <c r="A6251" s="8" t="s">
        <v>125</v>
      </c>
      <c r="B6251" s="8" t="s">
        <v>136</v>
      </c>
      <c r="C6251" s="8" t="str">
        <f>IFERROR(_xlfn.XLOOKUP(TRIM(B6251),Lookup!$B$2:$B$1000,Lookup!$C$2:$C$1000),"")</f>
        <v>Equity</v>
      </c>
      <c r="D6251" s="8" t="str">
        <f>IFERROR(INDEX('nav master'!$C:$C, MATCH(B6251, 'nav master'!$B:$B, 0)), "")</f>
        <v>ULIF06618/01/18DiscvryFnd101</v>
      </c>
      <c r="E6251" s="8" t="s">
        <v>399</v>
      </c>
      <c r="F6251" s="8" t="s">
        <v>1002</v>
      </c>
    </row>
    <row r="6252" spans="1:6" ht="60" x14ac:dyDescent="0.25">
      <c r="A6252" s="8" t="s">
        <v>125</v>
      </c>
      <c r="B6252" s="8" t="s">
        <v>136</v>
      </c>
      <c r="C6252" s="8" t="str">
        <f>IFERROR(_xlfn.XLOOKUP(TRIM(B6252),Lookup!$B$2:$B$1000,Lookup!$C$2:$C$1000),"")</f>
        <v>Equity</v>
      </c>
      <c r="D6252" s="8" t="str">
        <f>IFERROR(INDEX('nav master'!$C:$C, MATCH(B6252, 'nav master'!$B:$B, 0)), "")</f>
        <v>ULIF06618/01/18DiscvryFnd101</v>
      </c>
      <c r="E6252" s="8" t="s">
        <v>401</v>
      </c>
      <c r="F6252" s="8" t="s">
        <v>1003</v>
      </c>
    </row>
    <row r="6253" spans="1:6" ht="60" x14ac:dyDescent="0.25">
      <c r="A6253" s="8" t="s">
        <v>125</v>
      </c>
      <c r="B6253" s="8" t="s">
        <v>136</v>
      </c>
      <c r="C6253" s="8" t="str">
        <f>IFERROR(_xlfn.XLOOKUP(TRIM(B6253),Lookup!$B$2:$B$1000,Lookup!$C$2:$C$1000),"")</f>
        <v>Equity</v>
      </c>
      <c r="D6253" s="8" t="str">
        <f>IFERROR(INDEX('nav master'!$C:$C, MATCH(B6253, 'nav master'!$B:$B, 0)), "")</f>
        <v>ULIF06618/01/18DiscvryFnd101</v>
      </c>
      <c r="E6253" s="8" t="s">
        <v>403</v>
      </c>
      <c r="F6253" s="8" t="s">
        <v>1004</v>
      </c>
    </row>
    <row r="6254" spans="1:6" ht="60" x14ac:dyDescent="0.25">
      <c r="A6254" s="8" t="s">
        <v>125</v>
      </c>
      <c r="B6254" s="8" t="s">
        <v>136</v>
      </c>
      <c r="C6254" s="8" t="str">
        <f>IFERROR(_xlfn.XLOOKUP(TRIM(B6254),Lookup!$B$2:$B$1000,Lookup!$C$2:$C$1000),"")</f>
        <v>Equity</v>
      </c>
      <c r="D6254" s="8" t="str">
        <f>IFERROR(INDEX('nav master'!$C:$C, MATCH(B6254, 'nav master'!$B:$B, 0)), "")</f>
        <v>ULIF06618/01/18DiscvryFnd101</v>
      </c>
      <c r="E6254" s="8" t="s">
        <v>405</v>
      </c>
      <c r="F6254" s="8" t="s">
        <v>1005</v>
      </c>
    </row>
    <row r="6255" spans="1:6" ht="60" x14ac:dyDescent="0.25">
      <c r="A6255" s="8" t="s">
        <v>125</v>
      </c>
      <c r="B6255" s="8" t="s">
        <v>136</v>
      </c>
      <c r="C6255" s="8" t="str">
        <f>IFERROR(_xlfn.XLOOKUP(TRIM(B6255),Lookup!$B$2:$B$1000,Lookup!$C$2:$C$1000),"")</f>
        <v>Equity</v>
      </c>
      <c r="D6255" s="8" t="str">
        <f>IFERROR(INDEX('nav master'!$C:$C, MATCH(B6255, 'nav master'!$B:$B, 0)), "")</f>
        <v>ULIF06618/01/18DiscvryFnd101</v>
      </c>
      <c r="E6255" s="8" t="s">
        <v>407</v>
      </c>
      <c r="F6255" s="8" t="s">
        <v>1006</v>
      </c>
    </row>
    <row r="6256" spans="1:6" ht="60" x14ac:dyDescent="0.25">
      <c r="A6256" s="8" t="s">
        <v>125</v>
      </c>
      <c r="B6256" s="8" t="s">
        <v>136</v>
      </c>
      <c r="C6256" s="8" t="str">
        <f>IFERROR(_xlfn.XLOOKUP(TRIM(B6256),Lookup!$B$2:$B$1000,Lookup!$C$2:$C$1000),"")</f>
        <v>Equity</v>
      </c>
      <c r="D6256" s="8" t="str">
        <f>IFERROR(INDEX('nav master'!$C:$C, MATCH(B6256, 'nav master'!$B:$B, 0)), "")</f>
        <v>ULIF06618/01/18DiscvryFnd101</v>
      </c>
      <c r="E6256" s="8" t="s">
        <v>409</v>
      </c>
      <c r="F6256" s="8" t="s">
        <v>1007</v>
      </c>
    </row>
    <row r="6257" spans="1:6" ht="60" x14ac:dyDescent="0.25">
      <c r="A6257" s="8" t="s">
        <v>125</v>
      </c>
      <c r="B6257" s="8" t="s">
        <v>136</v>
      </c>
      <c r="C6257" s="8" t="str">
        <f>IFERROR(_xlfn.XLOOKUP(TRIM(B6257),Lookup!$B$2:$B$1000,Lookup!$C$2:$C$1000),"")</f>
        <v>Equity</v>
      </c>
      <c r="D6257" s="8" t="str">
        <f>IFERROR(INDEX('nav master'!$C:$C, MATCH(B6257, 'nav master'!$B:$B, 0)), "")</f>
        <v>ULIF06618/01/18DiscvryFnd101</v>
      </c>
      <c r="E6257" s="8" t="s">
        <v>411</v>
      </c>
      <c r="F6257" s="8" t="s">
        <v>1008</v>
      </c>
    </row>
    <row r="6258" spans="1:6" ht="60" x14ac:dyDescent="0.25">
      <c r="A6258" s="8" t="s">
        <v>125</v>
      </c>
      <c r="B6258" s="8" t="s">
        <v>136</v>
      </c>
      <c r="C6258" s="8" t="str">
        <f>IFERROR(_xlfn.XLOOKUP(TRIM(B6258),Lookup!$B$2:$B$1000,Lookup!$C$2:$C$1000),"")</f>
        <v>Equity</v>
      </c>
      <c r="D6258" s="8" t="str">
        <f>IFERROR(INDEX('nav master'!$C:$C, MATCH(B6258, 'nav master'!$B:$B, 0)), "")</f>
        <v>ULIF06618/01/18DiscvryFnd101</v>
      </c>
      <c r="E6258" s="8" t="s">
        <v>413</v>
      </c>
      <c r="F6258" s="8" t="s">
        <v>1009</v>
      </c>
    </row>
    <row r="6259" spans="1:6" ht="60" x14ac:dyDescent="0.25">
      <c r="A6259" s="8" t="s">
        <v>125</v>
      </c>
      <c r="B6259" s="8" t="s">
        <v>136</v>
      </c>
      <c r="C6259" s="8" t="str">
        <f>IFERROR(_xlfn.XLOOKUP(TRIM(B6259),Lookup!$B$2:$B$1000,Lookup!$C$2:$C$1000),"")</f>
        <v>Equity</v>
      </c>
      <c r="D6259" s="8" t="str">
        <f>IFERROR(INDEX('nav master'!$C:$C, MATCH(B6259, 'nav master'!$B:$B, 0)), "")</f>
        <v>ULIF06618/01/18DiscvryFnd101</v>
      </c>
      <c r="E6259" s="8" t="s">
        <v>415</v>
      </c>
      <c r="F6259" s="8" t="s">
        <v>1010</v>
      </c>
    </row>
    <row r="6260" spans="1:6" ht="60" x14ac:dyDescent="0.25">
      <c r="A6260" s="8" t="s">
        <v>125</v>
      </c>
      <c r="B6260" s="8" t="s">
        <v>136</v>
      </c>
      <c r="C6260" s="8" t="str">
        <f>IFERROR(_xlfn.XLOOKUP(TRIM(B6260),Lookup!$B$2:$B$1000,Lookup!$C$2:$C$1000),"")</f>
        <v>Equity</v>
      </c>
      <c r="D6260" s="8" t="str">
        <f>IFERROR(INDEX('nav master'!$C:$C, MATCH(B6260, 'nav master'!$B:$B, 0)), "")</f>
        <v>ULIF06618/01/18DiscvryFnd101</v>
      </c>
      <c r="E6260" s="8" t="s">
        <v>417</v>
      </c>
      <c r="F6260" s="8" t="s">
        <v>1011</v>
      </c>
    </row>
    <row r="6261" spans="1:6" ht="60" x14ac:dyDescent="0.25">
      <c r="A6261" s="8" t="s">
        <v>125</v>
      </c>
      <c r="B6261" s="8" t="s">
        <v>136</v>
      </c>
      <c r="C6261" s="8" t="str">
        <f>IFERROR(_xlfn.XLOOKUP(TRIM(B6261),Lookup!$B$2:$B$1000,Lookup!$C$2:$C$1000),"")</f>
        <v>Equity</v>
      </c>
      <c r="D6261" s="8" t="str">
        <f>IFERROR(INDEX('nav master'!$C:$C, MATCH(B6261, 'nav master'!$B:$B, 0)), "")</f>
        <v>ULIF06618/01/18DiscvryFnd101</v>
      </c>
      <c r="E6261" s="8" t="s">
        <v>419</v>
      </c>
      <c r="F6261" s="8" t="s">
        <v>1012</v>
      </c>
    </row>
    <row r="6262" spans="1:6" ht="60" x14ac:dyDescent="0.25">
      <c r="A6262" s="8" t="s">
        <v>125</v>
      </c>
      <c r="B6262" s="8" t="s">
        <v>136</v>
      </c>
      <c r="C6262" s="8" t="str">
        <f>IFERROR(_xlfn.XLOOKUP(TRIM(B6262),Lookup!$B$2:$B$1000,Lookup!$C$2:$C$1000),"")</f>
        <v>Equity</v>
      </c>
      <c r="D6262" s="8" t="str">
        <f>IFERROR(INDEX('nav master'!$C:$C, MATCH(B6262, 'nav master'!$B:$B, 0)), "")</f>
        <v>ULIF06618/01/18DiscvryFnd101</v>
      </c>
      <c r="E6262" s="8" t="s">
        <v>421</v>
      </c>
      <c r="F6262" s="8" t="s">
        <v>1013</v>
      </c>
    </row>
    <row r="6263" spans="1:6" ht="60" x14ac:dyDescent="0.25">
      <c r="A6263" s="8" t="s">
        <v>125</v>
      </c>
      <c r="B6263" s="8" t="s">
        <v>136</v>
      </c>
      <c r="C6263" s="8" t="str">
        <f>IFERROR(_xlfn.XLOOKUP(TRIM(B6263),Lookup!$B$2:$B$1000,Lookup!$C$2:$C$1000),"")</f>
        <v>Equity</v>
      </c>
      <c r="D6263" s="8" t="str">
        <f>IFERROR(INDEX('nav master'!$C:$C, MATCH(B6263, 'nav master'!$B:$B, 0)), "")</f>
        <v>ULIF06618/01/18DiscvryFnd101</v>
      </c>
      <c r="E6263" s="8" t="s">
        <v>423</v>
      </c>
      <c r="F6263" s="8" t="s">
        <v>1014</v>
      </c>
    </row>
    <row r="6264" spans="1:6" ht="60" x14ac:dyDescent="0.25">
      <c r="A6264" s="8" t="s">
        <v>125</v>
      </c>
      <c r="B6264" s="8" t="s">
        <v>136</v>
      </c>
      <c r="C6264" s="8" t="str">
        <f>IFERROR(_xlfn.XLOOKUP(TRIM(B6264),Lookup!$B$2:$B$1000,Lookup!$C$2:$C$1000),"")</f>
        <v>Equity</v>
      </c>
      <c r="D6264" s="8" t="str">
        <f>IFERROR(INDEX('nav master'!$C:$C, MATCH(B6264, 'nav master'!$B:$B, 0)), "")</f>
        <v>ULIF06618/01/18DiscvryFnd101</v>
      </c>
      <c r="E6264" s="8" t="s">
        <v>425</v>
      </c>
      <c r="F6264" s="8" t="s">
        <v>1015</v>
      </c>
    </row>
    <row r="6265" spans="1:6" ht="60" x14ac:dyDescent="0.25">
      <c r="A6265" s="8" t="s">
        <v>125</v>
      </c>
      <c r="B6265" s="8" t="s">
        <v>136</v>
      </c>
      <c r="C6265" s="8" t="str">
        <f>IFERROR(_xlfn.XLOOKUP(TRIM(B6265),Lookup!$B$2:$B$1000,Lookup!$C$2:$C$1000),"")</f>
        <v>Equity</v>
      </c>
      <c r="D6265" s="8" t="str">
        <f>IFERROR(INDEX('nav master'!$C:$C, MATCH(B6265, 'nav master'!$B:$B, 0)), "")</f>
        <v>ULIF06618/01/18DiscvryFnd101</v>
      </c>
      <c r="E6265" s="8" t="s">
        <v>427</v>
      </c>
      <c r="F6265" s="8" t="s">
        <v>1016</v>
      </c>
    </row>
    <row r="6266" spans="1:6" ht="60" x14ac:dyDescent="0.25">
      <c r="A6266" s="8" t="s">
        <v>125</v>
      </c>
      <c r="B6266" s="8" t="s">
        <v>136</v>
      </c>
      <c r="C6266" s="8" t="str">
        <f>IFERROR(_xlfn.XLOOKUP(TRIM(B6266),Lookup!$B$2:$B$1000,Lookup!$C$2:$C$1000),"")</f>
        <v>Equity</v>
      </c>
      <c r="D6266" s="8" t="str">
        <f>IFERROR(INDEX('nav master'!$C:$C, MATCH(B6266, 'nav master'!$B:$B, 0)), "")</f>
        <v>ULIF06618/01/18DiscvryFnd101</v>
      </c>
      <c r="E6266" s="8" t="s">
        <v>429</v>
      </c>
      <c r="F6266" s="8" t="s">
        <v>1017</v>
      </c>
    </row>
    <row r="6267" spans="1:6" ht="60" x14ac:dyDescent="0.25">
      <c r="A6267" s="8" t="s">
        <v>125</v>
      </c>
      <c r="B6267" s="8" t="s">
        <v>136</v>
      </c>
      <c r="C6267" s="8" t="str">
        <f>IFERROR(_xlfn.XLOOKUP(TRIM(B6267),Lookup!$B$2:$B$1000,Lookup!$C$2:$C$1000),"")</f>
        <v>Equity</v>
      </c>
      <c r="D6267" s="8" t="str">
        <f>IFERROR(INDEX('nav master'!$C:$C, MATCH(B6267, 'nav master'!$B:$B, 0)), "")</f>
        <v>ULIF06618/01/18DiscvryFnd101</v>
      </c>
      <c r="E6267" s="8" t="s">
        <v>431</v>
      </c>
      <c r="F6267" s="8" t="s">
        <v>1018</v>
      </c>
    </row>
    <row r="6268" spans="1:6" ht="60" x14ac:dyDescent="0.25">
      <c r="A6268" s="8" t="s">
        <v>125</v>
      </c>
      <c r="B6268" s="8" t="s">
        <v>136</v>
      </c>
      <c r="C6268" s="8" t="str">
        <f>IFERROR(_xlfn.XLOOKUP(TRIM(B6268),Lookup!$B$2:$B$1000,Lookup!$C$2:$C$1000),"")</f>
        <v>Equity</v>
      </c>
      <c r="D6268" s="8" t="str">
        <f>IFERROR(INDEX('nav master'!$C:$C, MATCH(B6268, 'nav master'!$B:$B, 0)), "")</f>
        <v>ULIF06618/01/18DiscvryFnd101</v>
      </c>
      <c r="E6268" s="8" t="s">
        <v>433</v>
      </c>
      <c r="F6268" s="8" t="s">
        <v>1019</v>
      </c>
    </row>
    <row r="6269" spans="1:6" ht="60" x14ac:dyDescent="0.25">
      <c r="A6269" s="8" t="s">
        <v>125</v>
      </c>
      <c r="B6269" s="8" t="s">
        <v>136</v>
      </c>
      <c r="C6269" s="8" t="str">
        <f>IFERROR(_xlfn.XLOOKUP(TRIM(B6269),Lookup!$B$2:$B$1000,Lookup!$C$2:$C$1000),"")</f>
        <v>Equity</v>
      </c>
      <c r="D6269" s="8" t="str">
        <f>IFERROR(INDEX('nav master'!$C:$C, MATCH(B6269, 'nav master'!$B:$B, 0)), "")</f>
        <v>ULIF06618/01/18DiscvryFnd101</v>
      </c>
      <c r="E6269" s="8" t="s">
        <v>435</v>
      </c>
      <c r="F6269" s="8" t="s">
        <v>1020</v>
      </c>
    </row>
    <row r="6270" spans="1:6" ht="60" x14ac:dyDescent="0.25">
      <c r="A6270" s="8" t="s">
        <v>125</v>
      </c>
      <c r="B6270" s="8" t="s">
        <v>136</v>
      </c>
      <c r="C6270" s="8" t="str">
        <f>IFERROR(_xlfn.XLOOKUP(TRIM(B6270),Lookup!$B$2:$B$1000,Lookup!$C$2:$C$1000),"")</f>
        <v>Equity</v>
      </c>
      <c r="D6270" s="8" t="str">
        <f>IFERROR(INDEX('nav master'!$C:$C, MATCH(B6270, 'nav master'!$B:$B, 0)), "")</f>
        <v>ULIF06618/01/18DiscvryFnd101</v>
      </c>
      <c r="E6270" s="8" t="s">
        <v>437</v>
      </c>
      <c r="F6270" s="8" t="s">
        <v>1021</v>
      </c>
    </row>
    <row r="6271" spans="1:6" ht="60" x14ac:dyDescent="0.25">
      <c r="A6271" s="8" t="s">
        <v>125</v>
      </c>
      <c r="B6271" s="8" t="s">
        <v>136</v>
      </c>
      <c r="C6271" s="8" t="str">
        <f>IFERROR(_xlfn.XLOOKUP(TRIM(B6271),Lookup!$B$2:$B$1000,Lookup!$C$2:$C$1000),"")</f>
        <v>Equity</v>
      </c>
      <c r="D6271" s="8" t="str">
        <f>IFERROR(INDEX('nav master'!$C:$C, MATCH(B6271, 'nav master'!$B:$B, 0)), "")</f>
        <v>ULIF06618/01/18DiscvryFnd101</v>
      </c>
      <c r="E6271" s="8" t="s">
        <v>439</v>
      </c>
      <c r="F6271" s="8" t="s">
        <v>1022</v>
      </c>
    </row>
    <row r="6272" spans="1:6" ht="60" x14ac:dyDescent="0.25">
      <c r="A6272" s="8" t="s">
        <v>125</v>
      </c>
      <c r="B6272" s="8" t="s">
        <v>136</v>
      </c>
      <c r="C6272" s="8" t="str">
        <f>IFERROR(_xlfn.XLOOKUP(TRIM(B6272),Lookup!$B$2:$B$1000,Lookup!$C$2:$C$1000),"")</f>
        <v>Equity</v>
      </c>
      <c r="D6272" s="8" t="str">
        <f>IFERROR(INDEX('nav master'!$C:$C, MATCH(B6272, 'nav master'!$B:$B, 0)), "")</f>
        <v>ULIF06618/01/18DiscvryFnd101</v>
      </c>
      <c r="E6272" s="8" t="s">
        <v>441</v>
      </c>
      <c r="F6272" s="8" t="s">
        <v>1023</v>
      </c>
    </row>
    <row r="6273" spans="1:6" ht="60" x14ac:dyDescent="0.25">
      <c r="A6273" s="8" t="s">
        <v>125</v>
      </c>
      <c r="B6273" s="8" t="s">
        <v>136</v>
      </c>
      <c r="C6273" s="8" t="str">
        <f>IFERROR(_xlfn.XLOOKUP(TRIM(B6273),Lookup!$B$2:$B$1000,Lookup!$C$2:$C$1000),"")</f>
        <v>Equity</v>
      </c>
      <c r="D6273" s="8" t="str">
        <f>IFERROR(INDEX('nav master'!$C:$C, MATCH(B6273, 'nav master'!$B:$B, 0)), "")</f>
        <v>ULIF06618/01/18DiscvryFnd101</v>
      </c>
      <c r="E6273" s="8" t="s">
        <v>443</v>
      </c>
      <c r="F6273" s="8" t="s">
        <v>1024</v>
      </c>
    </row>
    <row r="6274" spans="1:6" ht="60" x14ac:dyDescent="0.25">
      <c r="A6274" s="8" t="s">
        <v>125</v>
      </c>
      <c r="B6274" s="8" t="s">
        <v>136</v>
      </c>
      <c r="C6274" s="8" t="str">
        <f>IFERROR(_xlfn.XLOOKUP(TRIM(B6274),Lookup!$B$2:$B$1000,Lookup!$C$2:$C$1000),"")</f>
        <v>Equity</v>
      </c>
      <c r="D6274" s="8" t="str">
        <f>IFERROR(INDEX('nav master'!$C:$C, MATCH(B6274, 'nav master'!$B:$B, 0)), "")</f>
        <v>ULIF06618/01/18DiscvryFnd101</v>
      </c>
      <c r="E6274" s="8" t="s">
        <v>445</v>
      </c>
      <c r="F6274" s="8" t="s">
        <v>1025</v>
      </c>
    </row>
    <row r="6275" spans="1:6" ht="60" x14ac:dyDescent="0.25">
      <c r="A6275" s="8" t="s">
        <v>125</v>
      </c>
      <c r="B6275" s="8" t="s">
        <v>136</v>
      </c>
      <c r="C6275" s="8" t="str">
        <f>IFERROR(_xlfn.XLOOKUP(TRIM(B6275),Lookup!$B$2:$B$1000,Lookup!$C$2:$C$1000),"")</f>
        <v>Equity</v>
      </c>
      <c r="D6275" s="8" t="str">
        <f>IFERROR(INDEX('nav master'!$C:$C, MATCH(B6275, 'nav master'!$B:$B, 0)), "")</f>
        <v>ULIF06618/01/18DiscvryFnd101</v>
      </c>
      <c r="E6275" s="8" t="s">
        <v>446</v>
      </c>
      <c r="F6275" s="8" t="s">
        <v>1026</v>
      </c>
    </row>
    <row r="6276" spans="1:6" ht="60" x14ac:dyDescent="0.25">
      <c r="A6276" s="8" t="s">
        <v>125</v>
      </c>
      <c r="B6276" s="8" t="s">
        <v>136</v>
      </c>
      <c r="C6276" s="8" t="str">
        <f>IFERROR(_xlfn.XLOOKUP(TRIM(B6276),Lookup!$B$2:$B$1000,Lookup!$C$2:$C$1000),"")</f>
        <v>Equity</v>
      </c>
      <c r="D6276" s="8" t="str">
        <f>IFERROR(INDEX('nav master'!$C:$C, MATCH(B6276, 'nav master'!$B:$B, 0)), "")</f>
        <v>ULIF06618/01/18DiscvryFnd101</v>
      </c>
      <c r="E6276" s="8" t="s">
        <v>448</v>
      </c>
      <c r="F6276" s="8" t="s">
        <v>1027</v>
      </c>
    </row>
    <row r="6277" spans="1:6" ht="60" x14ac:dyDescent="0.25">
      <c r="A6277" s="8" t="s">
        <v>125</v>
      </c>
      <c r="B6277" s="8" t="s">
        <v>136</v>
      </c>
      <c r="C6277" s="8" t="str">
        <f>IFERROR(_xlfn.XLOOKUP(TRIM(B6277),Lookup!$B$2:$B$1000,Lookup!$C$2:$C$1000),"")</f>
        <v>Equity</v>
      </c>
      <c r="D6277" s="8" t="str">
        <f>IFERROR(INDEX('nav master'!$C:$C, MATCH(B6277, 'nav master'!$B:$B, 0)), "")</f>
        <v>ULIF06618/01/18DiscvryFnd101</v>
      </c>
      <c r="E6277" s="8" t="s">
        <v>450</v>
      </c>
      <c r="F6277" s="8" t="s">
        <v>1028</v>
      </c>
    </row>
    <row r="6278" spans="1:6" ht="60" x14ac:dyDescent="0.25">
      <c r="A6278" s="8" t="s">
        <v>125</v>
      </c>
      <c r="B6278" s="8" t="s">
        <v>136</v>
      </c>
      <c r="C6278" s="8" t="str">
        <f>IFERROR(_xlfn.XLOOKUP(TRIM(B6278),Lookup!$B$2:$B$1000,Lookup!$C$2:$C$1000),"")</f>
        <v>Equity</v>
      </c>
      <c r="D6278" s="8" t="str">
        <f>IFERROR(INDEX('nav master'!$C:$C, MATCH(B6278, 'nav master'!$B:$B, 0)), "")</f>
        <v>ULIF06618/01/18DiscvryFnd101</v>
      </c>
      <c r="E6278" s="8" t="s">
        <v>452</v>
      </c>
      <c r="F6278" s="8" t="s">
        <v>1029</v>
      </c>
    </row>
    <row r="6279" spans="1:6" ht="60" x14ac:dyDescent="0.25">
      <c r="A6279" s="8" t="s">
        <v>125</v>
      </c>
      <c r="B6279" s="8" t="s">
        <v>136</v>
      </c>
      <c r="C6279" s="8" t="str">
        <f>IFERROR(_xlfn.XLOOKUP(TRIM(B6279),Lookup!$B$2:$B$1000,Lookup!$C$2:$C$1000),"")</f>
        <v>Equity</v>
      </c>
      <c r="D6279" s="8" t="str">
        <f>IFERROR(INDEX('nav master'!$C:$C, MATCH(B6279, 'nav master'!$B:$B, 0)), "")</f>
        <v>ULIF06618/01/18DiscvryFnd101</v>
      </c>
      <c r="E6279" s="8" t="s">
        <v>454</v>
      </c>
      <c r="F6279" s="8" t="s">
        <v>1030</v>
      </c>
    </row>
    <row r="6280" spans="1:6" ht="60" x14ac:dyDescent="0.25">
      <c r="A6280" s="8" t="s">
        <v>125</v>
      </c>
      <c r="B6280" s="8" t="s">
        <v>136</v>
      </c>
      <c r="C6280" s="8" t="str">
        <f>IFERROR(_xlfn.XLOOKUP(TRIM(B6280),Lookup!$B$2:$B$1000,Lookup!$C$2:$C$1000),"")</f>
        <v>Equity</v>
      </c>
      <c r="D6280" s="8" t="str">
        <f>IFERROR(INDEX('nav master'!$C:$C, MATCH(B6280, 'nav master'!$B:$B, 0)), "")</f>
        <v>ULIF06618/01/18DiscvryFnd101</v>
      </c>
      <c r="E6280" s="8" t="s">
        <v>456</v>
      </c>
      <c r="F6280" s="8" t="s">
        <v>1031</v>
      </c>
    </row>
    <row r="6281" spans="1:6" ht="60" x14ac:dyDescent="0.25">
      <c r="A6281" s="8" t="s">
        <v>125</v>
      </c>
      <c r="B6281" s="8" t="s">
        <v>136</v>
      </c>
      <c r="C6281" s="8" t="str">
        <f>IFERROR(_xlfn.XLOOKUP(TRIM(B6281),Lookup!$B$2:$B$1000,Lookup!$C$2:$C$1000),"")</f>
        <v>Equity</v>
      </c>
      <c r="D6281" s="8" t="str">
        <f>IFERROR(INDEX('nav master'!$C:$C, MATCH(B6281, 'nav master'!$B:$B, 0)), "")</f>
        <v>ULIF06618/01/18DiscvryFnd101</v>
      </c>
      <c r="E6281" s="8" t="s">
        <v>458</v>
      </c>
      <c r="F6281" s="8" t="s">
        <v>1032</v>
      </c>
    </row>
    <row r="6282" spans="1:6" ht="60" x14ac:dyDescent="0.25">
      <c r="A6282" s="8" t="s">
        <v>125</v>
      </c>
      <c r="B6282" s="8" t="s">
        <v>136</v>
      </c>
      <c r="C6282" s="8" t="str">
        <f>IFERROR(_xlfn.XLOOKUP(TRIM(B6282),Lookup!$B$2:$B$1000,Lookup!$C$2:$C$1000),"")</f>
        <v>Equity</v>
      </c>
      <c r="D6282" s="8" t="str">
        <f>IFERROR(INDEX('nav master'!$C:$C, MATCH(B6282, 'nav master'!$B:$B, 0)), "")</f>
        <v>ULIF06618/01/18DiscvryFnd101</v>
      </c>
      <c r="E6282" s="8" t="s">
        <v>460</v>
      </c>
      <c r="F6282" s="8" t="s">
        <v>1033</v>
      </c>
    </row>
    <row r="6283" spans="1:6" ht="60" x14ac:dyDescent="0.25">
      <c r="A6283" s="8" t="s">
        <v>125</v>
      </c>
      <c r="B6283" s="8" t="s">
        <v>136</v>
      </c>
      <c r="C6283" s="8" t="str">
        <f>IFERROR(_xlfn.XLOOKUP(TRIM(B6283),Lookup!$B$2:$B$1000,Lookup!$C$2:$C$1000),"")</f>
        <v>Equity</v>
      </c>
      <c r="D6283" s="8" t="str">
        <f>IFERROR(INDEX('nav master'!$C:$C, MATCH(B6283, 'nav master'!$B:$B, 0)), "")</f>
        <v>ULIF06618/01/18DiscvryFnd101</v>
      </c>
      <c r="E6283" s="8" t="s">
        <v>462</v>
      </c>
      <c r="F6283" s="8" t="s">
        <v>1034</v>
      </c>
    </row>
    <row r="6284" spans="1:6" ht="60" x14ac:dyDescent="0.25">
      <c r="A6284" s="8" t="s">
        <v>125</v>
      </c>
      <c r="B6284" s="8" t="s">
        <v>136</v>
      </c>
      <c r="C6284" s="8" t="str">
        <f>IFERROR(_xlfn.XLOOKUP(TRIM(B6284),Lookup!$B$2:$B$1000,Lookup!$C$2:$C$1000),"")</f>
        <v>Equity</v>
      </c>
      <c r="D6284" s="8" t="str">
        <f>IFERROR(INDEX('nav master'!$C:$C, MATCH(B6284, 'nav master'!$B:$B, 0)), "")</f>
        <v>ULIF06618/01/18DiscvryFnd101</v>
      </c>
      <c r="E6284" s="8" t="s">
        <v>464</v>
      </c>
      <c r="F6284" s="8" t="s">
        <v>1035</v>
      </c>
    </row>
    <row r="6285" spans="1:6" ht="60" x14ac:dyDescent="0.25">
      <c r="A6285" s="8" t="s">
        <v>125</v>
      </c>
      <c r="B6285" s="8" t="s">
        <v>136</v>
      </c>
      <c r="C6285" s="8" t="str">
        <f>IFERROR(_xlfn.XLOOKUP(TRIM(B6285),Lookup!$B$2:$B$1000,Lookup!$C$2:$C$1000),"")</f>
        <v>Equity</v>
      </c>
      <c r="D6285" s="8" t="str">
        <f>IFERROR(INDEX('nav master'!$C:$C, MATCH(B6285, 'nav master'!$B:$B, 0)), "")</f>
        <v>ULIF06618/01/18DiscvryFnd101</v>
      </c>
      <c r="E6285" s="8" t="s">
        <v>466</v>
      </c>
      <c r="F6285" s="8" t="s">
        <v>1036</v>
      </c>
    </row>
    <row r="6286" spans="1:6" ht="60" x14ac:dyDescent="0.25">
      <c r="A6286" s="8" t="s">
        <v>125</v>
      </c>
      <c r="B6286" s="8" t="s">
        <v>136</v>
      </c>
      <c r="C6286" s="8" t="str">
        <f>IFERROR(_xlfn.XLOOKUP(TRIM(B6286),Lookup!$B$2:$B$1000,Lookup!$C$2:$C$1000),"")</f>
        <v>Equity</v>
      </c>
      <c r="D6286" s="8" t="str">
        <f>IFERROR(INDEX('nav master'!$C:$C, MATCH(B6286, 'nav master'!$B:$B, 0)), "")</f>
        <v>ULIF06618/01/18DiscvryFnd101</v>
      </c>
      <c r="E6286" s="8" t="s">
        <v>468</v>
      </c>
      <c r="F6286" s="8" t="s">
        <v>1037</v>
      </c>
    </row>
    <row r="6287" spans="1:6" ht="60" x14ac:dyDescent="0.25">
      <c r="A6287" s="8" t="s">
        <v>125</v>
      </c>
      <c r="B6287" s="8" t="s">
        <v>136</v>
      </c>
      <c r="C6287" s="8" t="str">
        <f>IFERROR(_xlfn.XLOOKUP(TRIM(B6287),Lookup!$B$2:$B$1000,Lookup!$C$2:$C$1000),"")</f>
        <v>Equity</v>
      </c>
      <c r="D6287" s="8" t="str">
        <f>IFERROR(INDEX('nav master'!$C:$C, MATCH(B6287, 'nav master'!$B:$B, 0)), "")</f>
        <v>ULIF06618/01/18DiscvryFnd101</v>
      </c>
      <c r="E6287" s="8" t="s">
        <v>470</v>
      </c>
      <c r="F6287" s="8" t="s">
        <v>1038</v>
      </c>
    </row>
    <row r="6288" spans="1:6" ht="60" x14ac:dyDescent="0.25">
      <c r="A6288" s="8" t="s">
        <v>125</v>
      </c>
      <c r="B6288" s="8" t="s">
        <v>136</v>
      </c>
      <c r="C6288" s="8" t="str">
        <f>IFERROR(_xlfn.XLOOKUP(TRIM(B6288),Lookup!$B$2:$B$1000,Lookup!$C$2:$C$1000),"")</f>
        <v>Equity</v>
      </c>
      <c r="D6288" s="8" t="str">
        <f>IFERROR(INDEX('nav master'!$C:$C, MATCH(B6288, 'nav master'!$B:$B, 0)), "")</f>
        <v>ULIF06618/01/18DiscvryFnd101</v>
      </c>
      <c r="E6288" s="8" t="s">
        <v>472</v>
      </c>
      <c r="F6288" s="8" t="s">
        <v>1039</v>
      </c>
    </row>
    <row r="6289" spans="1:6" ht="60" x14ac:dyDescent="0.25">
      <c r="A6289" s="8" t="s">
        <v>125</v>
      </c>
      <c r="B6289" s="8" t="s">
        <v>136</v>
      </c>
      <c r="C6289" s="8" t="str">
        <f>IFERROR(_xlfn.XLOOKUP(TRIM(B6289),Lookup!$B$2:$B$1000,Lookup!$C$2:$C$1000),"")</f>
        <v>Equity</v>
      </c>
      <c r="D6289" s="8" t="str">
        <f>IFERROR(INDEX('nav master'!$C:$C, MATCH(B6289, 'nav master'!$B:$B, 0)), "")</f>
        <v>ULIF06618/01/18DiscvryFnd101</v>
      </c>
      <c r="E6289" s="8" t="s">
        <v>474</v>
      </c>
      <c r="F6289" s="8" t="s">
        <v>1040</v>
      </c>
    </row>
    <row r="6290" spans="1:6" ht="60" x14ac:dyDescent="0.25">
      <c r="A6290" s="8" t="s">
        <v>125</v>
      </c>
      <c r="B6290" s="8" t="s">
        <v>136</v>
      </c>
      <c r="C6290" s="8" t="str">
        <f>IFERROR(_xlfn.XLOOKUP(TRIM(B6290),Lookup!$B$2:$B$1000,Lookup!$C$2:$C$1000),"")</f>
        <v>Equity</v>
      </c>
      <c r="D6290" s="8" t="str">
        <f>IFERROR(INDEX('nav master'!$C:$C, MATCH(B6290, 'nav master'!$B:$B, 0)), "")</f>
        <v>ULIF06618/01/18DiscvryFnd101</v>
      </c>
      <c r="E6290" s="8" t="s">
        <v>476</v>
      </c>
      <c r="F6290" s="8" t="s">
        <v>1041</v>
      </c>
    </row>
    <row r="6291" spans="1:6" ht="60" x14ac:dyDescent="0.25">
      <c r="A6291" s="8" t="s">
        <v>125</v>
      </c>
      <c r="B6291" s="8" t="s">
        <v>136</v>
      </c>
      <c r="C6291" s="8" t="str">
        <f>IFERROR(_xlfn.XLOOKUP(TRIM(B6291),Lookup!$B$2:$B$1000,Lookup!$C$2:$C$1000),"")</f>
        <v>Equity</v>
      </c>
      <c r="D6291" s="8" t="str">
        <f>IFERROR(INDEX('nav master'!$C:$C, MATCH(B6291, 'nav master'!$B:$B, 0)), "")</f>
        <v>ULIF06618/01/18DiscvryFnd101</v>
      </c>
      <c r="E6291" s="8" t="s">
        <v>478</v>
      </c>
      <c r="F6291" s="8" t="s">
        <v>1042</v>
      </c>
    </row>
    <row r="6292" spans="1:6" ht="60" x14ac:dyDescent="0.25">
      <c r="A6292" s="8" t="s">
        <v>125</v>
      </c>
      <c r="B6292" s="8" t="s">
        <v>136</v>
      </c>
      <c r="C6292" s="8" t="str">
        <f>IFERROR(_xlfn.XLOOKUP(TRIM(B6292),Lookup!$B$2:$B$1000,Lookup!$C$2:$C$1000),"")</f>
        <v>Equity</v>
      </c>
      <c r="D6292" s="8" t="str">
        <f>IFERROR(INDEX('nav master'!$C:$C, MATCH(B6292, 'nav master'!$B:$B, 0)), "")</f>
        <v>ULIF06618/01/18DiscvryFnd101</v>
      </c>
      <c r="E6292" s="8" t="s">
        <v>480</v>
      </c>
      <c r="F6292" s="8" t="s">
        <v>1043</v>
      </c>
    </row>
    <row r="6293" spans="1:6" ht="60" x14ac:dyDescent="0.25">
      <c r="A6293" s="8" t="s">
        <v>125</v>
      </c>
      <c r="B6293" s="8" t="s">
        <v>136</v>
      </c>
      <c r="C6293" s="8" t="str">
        <f>IFERROR(_xlfn.XLOOKUP(TRIM(B6293),Lookup!$B$2:$B$1000,Lookup!$C$2:$C$1000),"")</f>
        <v>Equity</v>
      </c>
      <c r="D6293" s="8" t="str">
        <f>IFERROR(INDEX('nav master'!$C:$C, MATCH(B6293, 'nav master'!$B:$B, 0)), "")</f>
        <v>ULIF06618/01/18DiscvryFnd101</v>
      </c>
      <c r="E6293" s="8" t="s">
        <v>482</v>
      </c>
      <c r="F6293" s="8" t="s">
        <v>1044</v>
      </c>
    </row>
    <row r="6294" spans="1:6" ht="60" x14ac:dyDescent="0.25">
      <c r="A6294" s="8" t="s">
        <v>125</v>
      </c>
      <c r="B6294" s="8" t="s">
        <v>136</v>
      </c>
      <c r="C6294" s="8" t="str">
        <f>IFERROR(_xlfn.XLOOKUP(TRIM(B6294),Lookup!$B$2:$B$1000,Lookup!$C$2:$C$1000),"")</f>
        <v>Equity</v>
      </c>
      <c r="D6294" s="8" t="str">
        <f>IFERROR(INDEX('nav master'!$C:$C, MATCH(B6294, 'nav master'!$B:$B, 0)), "")</f>
        <v>ULIF06618/01/18DiscvryFnd101</v>
      </c>
      <c r="E6294" s="8" t="s">
        <v>484</v>
      </c>
      <c r="F6294" s="8" t="s">
        <v>1045</v>
      </c>
    </row>
    <row r="6295" spans="1:6" ht="60" x14ac:dyDescent="0.25">
      <c r="A6295" s="8" t="s">
        <v>125</v>
      </c>
      <c r="B6295" s="8" t="s">
        <v>136</v>
      </c>
      <c r="C6295" s="8" t="str">
        <f>IFERROR(_xlfn.XLOOKUP(TRIM(B6295),Lookup!$B$2:$B$1000,Lookup!$C$2:$C$1000),"")</f>
        <v>Equity</v>
      </c>
      <c r="D6295" s="8" t="str">
        <f>IFERROR(INDEX('nav master'!$C:$C, MATCH(B6295, 'nav master'!$B:$B, 0)), "")</f>
        <v>ULIF06618/01/18DiscvryFnd101</v>
      </c>
      <c r="E6295" s="8" t="s">
        <v>486</v>
      </c>
      <c r="F6295" s="8" t="s">
        <v>1046</v>
      </c>
    </row>
    <row r="6296" spans="1:6" ht="60" x14ac:dyDescent="0.25">
      <c r="A6296" s="8" t="s">
        <v>125</v>
      </c>
      <c r="B6296" s="8" t="s">
        <v>136</v>
      </c>
      <c r="C6296" s="8" t="str">
        <f>IFERROR(_xlfn.XLOOKUP(TRIM(B6296),Lookup!$B$2:$B$1000,Lookup!$C$2:$C$1000),"")</f>
        <v>Equity</v>
      </c>
      <c r="D6296" s="8" t="str">
        <f>IFERROR(INDEX('nav master'!$C:$C, MATCH(B6296, 'nav master'!$B:$B, 0)), "")</f>
        <v>ULIF06618/01/18DiscvryFnd101</v>
      </c>
      <c r="E6296" s="8" t="s">
        <v>488</v>
      </c>
      <c r="F6296" s="8" t="s">
        <v>1047</v>
      </c>
    </row>
    <row r="6297" spans="1:6" ht="60" x14ac:dyDescent="0.25">
      <c r="A6297" s="8" t="s">
        <v>125</v>
      </c>
      <c r="B6297" s="8" t="s">
        <v>136</v>
      </c>
      <c r="C6297" s="8" t="str">
        <f>IFERROR(_xlfn.XLOOKUP(TRIM(B6297),Lookup!$B$2:$B$1000,Lookup!$C$2:$C$1000),"")</f>
        <v>Equity</v>
      </c>
      <c r="D6297" s="8" t="str">
        <f>IFERROR(INDEX('nav master'!$C:$C, MATCH(B6297, 'nav master'!$B:$B, 0)), "")</f>
        <v>ULIF06618/01/18DiscvryFnd101</v>
      </c>
      <c r="E6297" s="8" t="s">
        <v>490</v>
      </c>
      <c r="F6297" s="8" t="s">
        <v>559</v>
      </c>
    </row>
    <row r="6298" spans="1:6" ht="60" x14ac:dyDescent="0.25">
      <c r="A6298" s="8" t="s">
        <v>125</v>
      </c>
      <c r="B6298" s="8" t="s">
        <v>136</v>
      </c>
      <c r="C6298" s="8" t="str">
        <f>IFERROR(_xlfn.XLOOKUP(TRIM(B6298),Lookup!$B$2:$B$1000,Lookup!$C$2:$C$1000),"")</f>
        <v>Equity</v>
      </c>
      <c r="D6298" s="8" t="str">
        <f>IFERROR(INDEX('nav master'!$C:$C, MATCH(B6298, 'nav master'!$B:$B, 0)), "")</f>
        <v>ULIF06618/01/18DiscvryFnd101</v>
      </c>
      <c r="E6298" s="8" t="s">
        <v>492</v>
      </c>
      <c r="F6298" s="8" t="s">
        <v>1048</v>
      </c>
    </row>
    <row r="6299" spans="1:6" ht="60" x14ac:dyDescent="0.25">
      <c r="A6299" s="8" t="s">
        <v>125</v>
      </c>
      <c r="B6299" s="8" t="s">
        <v>136</v>
      </c>
      <c r="C6299" s="8" t="str">
        <f>IFERROR(_xlfn.XLOOKUP(TRIM(B6299),Lookup!$B$2:$B$1000,Lookup!$C$2:$C$1000),"")</f>
        <v>Equity</v>
      </c>
      <c r="D6299" s="8" t="str">
        <f>IFERROR(INDEX('nav master'!$C:$C, MATCH(B6299, 'nav master'!$B:$B, 0)), "")</f>
        <v>ULIF06618/01/18DiscvryFnd101</v>
      </c>
      <c r="E6299" s="8" t="s">
        <v>494</v>
      </c>
      <c r="F6299" s="8" t="s">
        <v>1049</v>
      </c>
    </row>
    <row r="6300" spans="1:6" ht="60" x14ac:dyDescent="0.25">
      <c r="A6300" s="8" t="s">
        <v>125</v>
      </c>
      <c r="B6300" s="8" t="s">
        <v>136</v>
      </c>
      <c r="C6300" s="8" t="str">
        <f>IFERROR(_xlfn.XLOOKUP(TRIM(B6300),Lookup!$B$2:$B$1000,Lookup!$C$2:$C$1000),"")</f>
        <v>Equity</v>
      </c>
      <c r="D6300" s="8" t="str">
        <f>IFERROR(INDEX('nav master'!$C:$C, MATCH(B6300, 'nav master'!$B:$B, 0)), "")</f>
        <v>ULIF06618/01/18DiscvryFnd101</v>
      </c>
      <c r="E6300" s="8" t="s">
        <v>496</v>
      </c>
      <c r="F6300" s="8" t="s">
        <v>1050</v>
      </c>
    </row>
    <row r="6301" spans="1:6" ht="60" x14ac:dyDescent="0.25">
      <c r="A6301" s="8" t="s">
        <v>125</v>
      </c>
      <c r="B6301" s="8" t="s">
        <v>136</v>
      </c>
      <c r="C6301" s="8" t="str">
        <f>IFERROR(_xlfn.XLOOKUP(TRIM(B6301),Lookup!$B$2:$B$1000,Lookup!$C$2:$C$1000),"")</f>
        <v>Equity</v>
      </c>
      <c r="D6301" s="8" t="str">
        <f>IFERROR(INDEX('nav master'!$C:$C, MATCH(B6301, 'nav master'!$B:$B, 0)), "")</f>
        <v>ULIF06618/01/18DiscvryFnd101</v>
      </c>
      <c r="E6301" s="8" t="s">
        <v>498</v>
      </c>
      <c r="F6301" s="8" t="s">
        <v>1051</v>
      </c>
    </row>
    <row r="6302" spans="1:6" ht="60" x14ac:dyDescent="0.25">
      <c r="A6302" s="8" t="s">
        <v>125</v>
      </c>
      <c r="B6302" s="8" t="s">
        <v>136</v>
      </c>
      <c r="C6302" s="8" t="str">
        <f>IFERROR(_xlfn.XLOOKUP(TRIM(B6302),Lookup!$B$2:$B$1000,Lookup!$C$2:$C$1000),"")</f>
        <v>Equity</v>
      </c>
      <c r="D6302" s="8" t="str">
        <f>IFERROR(INDEX('nav master'!$C:$C, MATCH(B6302, 'nav master'!$B:$B, 0)), "")</f>
        <v>ULIF06618/01/18DiscvryFnd101</v>
      </c>
      <c r="E6302" s="8" t="s">
        <v>500</v>
      </c>
      <c r="F6302" s="8" t="s">
        <v>1052</v>
      </c>
    </row>
    <row r="6303" spans="1:6" ht="60" x14ac:dyDescent="0.25">
      <c r="A6303" s="8" t="s">
        <v>125</v>
      </c>
      <c r="B6303" s="8" t="s">
        <v>136</v>
      </c>
      <c r="C6303" s="8" t="str">
        <f>IFERROR(_xlfn.XLOOKUP(TRIM(B6303),Lookup!$B$2:$B$1000,Lookup!$C$2:$C$1000),"")</f>
        <v>Equity</v>
      </c>
      <c r="D6303" s="8" t="str">
        <f>IFERROR(INDEX('nav master'!$C:$C, MATCH(B6303, 'nav master'!$B:$B, 0)), "")</f>
        <v>ULIF06618/01/18DiscvryFnd101</v>
      </c>
      <c r="E6303" s="8" t="s">
        <v>502</v>
      </c>
      <c r="F6303" s="8" t="s">
        <v>1053</v>
      </c>
    </row>
    <row r="6304" spans="1:6" ht="60" x14ac:dyDescent="0.25">
      <c r="A6304" s="8" t="s">
        <v>125</v>
      </c>
      <c r="B6304" s="8" t="s">
        <v>136</v>
      </c>
      <c r="C6304" s="8" t="str">
        <f>IFERROR(_xlfn.XLOOKUP(TRIM(B6304),Lookup!$B$2:$B$1000,Lookup!$C$2:$C$1000),"")</f>
        <v>Equity</v>
      </c>
      <c r="D6304" s="8" t="str">
        <f>IFERROR(INDEX('nav master'!$C:$C, MATCH(B6304, 'nav master'!$B:$B, 0)), "")</f>
        <v>ULIF06618/01/18DiscvryFnd101</v>
      </c>
      <c r="E6304" s="8" t="s">
        <v>504</v>
      </c>
      <c r="F6304" s="8" t="s">
        <v>1054</v>
      </c>
    </row>
    <row r="6305" spans="1:6" ht="60" x14ac:dyDescent="0.25">
      <c r="A6305" s="8" t="s">
        <v>125</v>
      </c>
      <c r="B6305" s="8" t="s">
        <v>136</v>
      </c>
      <c r="C6305" s="8" t="str">
        <f>IFERROR(_xlfn.XLOOKUP(TRIM(B6305),Lookup!$B$2:$B$1000,Lookup!$C$2:$C$1000),"")</f>
        <v>Equity</v>
      </c>
      <c r="D6305" s="8" t="str">
        <f>IFERROR(INDEX('nav master'!$C:$C, MATCH(B6305, 'nav master'!$B:$B, 0)), "")</f>
        <v>ULIF06618/01/18DiscvryFnd101</v>
      </c>
      <c r="E6305" s="8" t="s">
        <v>506</v>
      </c>
      <c r="F6305" s="8" t="s">
        <v>1055</v>
      </c>
    </row>
    <row r="6306" spans="1:6" ht="60" x14ac:dyDescent="0.25">
      <c r="A6306" s="8" t="s">
        <v>125</v>
      </c>
      <c r="B6306" s="8" t="s">
        <v>136</v>
      </c>
      <c r="C6306" s="8" t="str">
        <f>IFERROR(_xlfn.XLOOKUP(TRIM(B6306),Lookup!$B$2:$B$1000,Lookup!$C$2:$C$1000),"")</f>
        <v>Equity</v>
      </c>
      <c r="D6306" s="8" t="str">
        <f>IFERROR(INDEX('nav master'!$C:$C, MATCH(B6306, 'nav master'!$B:$B, 0)), "")</f>
        <v>ULIF06618/01/18DiscvryFnd101</v>
      </c>
      <c r="E6306" s="8" t="s">
        <v>508</v>
      </c>
      <c r="F6306" s="8" t="s">
        <v>1056</v>
      </c>
    </row>
    <row r="6307" spans="1:6" ht="60" x14ac:dyDescent="0.25">
      <c r="A6307" s="8" t="s">
        <v>125</v>
      </c>
      <c r="B6307" s="8" t="s">
        <v>136</v>
      </c>
      <c r="C6307" s="8" t="str">
        <f>IFERROR(_xlfn.XLOOKUP(TRIM(B6307),Lookup!$B$2:$B$1000,Lookup!$C$2:$C$1000),"")</f>
        <v>Equity</v>
      </c>
      <c r="D6307" s="8" t="str">
        <f>IFERROR(INDEX('nav master'!$C:$C, MATCH(B6307, 'nav master'!$B:$B, 0)), "")</f>
        <v>ULIF06618/01/18DiscvryFnd101</v>
      </c>
      <c r="E6307" s="8" t="s">
        <v>510</v>
      </c>
      <c r="F6307" s="8" t="s">
        <v>1057</v>
      </c>
    </row>
    <row r="6308" spans="1:6" ht="60" x14ac:dyDescent="0.25">
      <c r="A6308" s="8" t="s">
        <v>125</v>
      </c>
      <c r="B6308" s="8" t="s">
        <v>136</v>
      </c>
      <c r="C6308" s="8" t="str">
        <f>IFERROR(_xlfn.XLOOKUP(TRIM(B6308),Lookup!$B$2:$B$1000,Lookup!$C$2:$C$1000),"")</f>
        <v>Equity</v>
      </c>
      <c r="D6308" s="8" t="str">
        <f>IFERROR(INDEX('nav master'!$C:$C, MATCH(B6308, 'nav master'!$B:$B, 0)), "")</f>
        <v>ULIF06618/01/18DiscvryFnd101</v>
      </c>
      <c r="E6308" s="8" t="s">
        <v>512</v>
      </c>
      <c r="F6308" s="8" t="s">
        <v>1058</v>
      </c>
    </row>
    <row r="6309" spans="1:6" ht="60" x14ac:dyDescent="0.25">
      <c r="A6309" s="8" t="s">
        <v>125</v>
      </c>
      <c r="B6309" s="8" t="s">
        <v>136</v>
      </c>
      <c r="C6309" s="8" t="str">
        <f>IFERROR(_xlfn.XLOOKUP(TRIM(B6309),Lookup!$B$2:$B$1000,Lookup!$C$2:$C$1000),"")</f>
        <v>Equity</v>
      </c>
      <c r="D6309" s="8" t="str">
        <f>IFERROR(INDEX('nav master'!$C:$C, MATCH(B6309, 'nav master'!$B:$B, 0)), "")</f>
        <v>ULIF06618/01/18DiscvryFnd101</v>
      </c>
      <c r="E6309" s="8" t="s">
        <v>514</v>
      </c>
      <c r="F6309" s="8" t="s">
        <v>1059</v>
      </c>
    </row>
    <row r="6310" spans="1:6" ht="60" x14ac:dyDescent="0.25">
      <c r="A6310" s="8" t="s">
        <v>125</v>
      </c>
      <c r="B6310" s="8" t="s">
        <v>136</v>
      </c>
      <c r="C6310" s="8" t="str">
        <f>IFERROR(_xlfn.XLOOKUP(TRIM(B6310),Lookup!$B$2:$B$1000,Lookup!$C$2:$C$1000),"")</f>
        <v>Equity</v>
      </c>
      <c r="D6310" s="8" t="str">
        <f>IFERROR(INDEX('nav master'!$C:$C, MATCH(B6310, 'nav master'!$B:$B, 0)), "")</f>
        <v>ULIF06618/01/18DiscvryFnd101</v>
      </c>
      <c r="E6310" s="8" t="s">
        <v>516</v>
      </c>
      <c r="F6310" s="8" t="s">
        <v>1060</v>
      </c>
    </row>
    <row r="6311" spans="1:6" ht="60" x14ac:dyDescent="0.25">
      <c r="A6311" s="8" t="s">
        <v>125</v>
      </c>
      <c r="B6311" s="8" t="s">
        <v>136</v>
      </c>
      <c r="C6311" s="8" t="str">
        <f>IFERROR(_xlfn.XLOOKUP(TRIM(B6311),Lookup!$B$2:$B$1000,Lookup!$C$2:$C$1000),"")</f>
        <v>Equity</v>
      </c>
      <c r="D6311" s="8" t="str">
        <f>IFERROR(INDEX('nav master'!$C:$C, MATCH(B6311, 'nav master'!$B:$B, 0)), "")</f>
        <v>ULIF06618/01/18DiscvryFnd101</v>
      </c>
      <c r="E6311" s="8" t="s">
        <v>518</v>
      </c>
      <c r="F6311" s="8" t="s">
        <v>1061</v>
      </c>
    </row>
    <row r="6312" spans="1:6" ht="60" x14ac:dyDescent="0.25">
      <c r="A6312" s="8" t="s">
        <v>125</v>
      </c>
      <c r="B6312" s="8" t="s">
        <v>136</v>
      </c>
      <c r="C6312" s="8" t="str">
        <f>IFERROR(_xlfn.XLOOKUP(TRIM(B6312),Lookup!$B$2:$B$1000,Lookup!$C$2:$C$1000),"")</f>
        <v>Equity</v>
      </c>
      <c r="D6312" s="8" t="str">
        <f>IFERROR(INDEX('nav master'!$C:$C, MATCH(B6312, 'nav master'!$B:$B, 0)), "")</f>
        <v>ULIF06618/01/18DiscvryFnd101</v>
      </c>
      <c r="E6312" s="8" t="s">
        <v>520</v>
      </c>
      <c r="F6312" s="8" t="s">
        <v>1062</v>
      </c>
    </row>
    <row r="6313" spans="1:6" ht="60" x14ac:dyDescent="0.25">
      <c r="A6313" s="8" t="s">
        <v>125</v>
      </c>
      <c r="B6313" s="8" t="s">
        <v>136</v>
      </c>
      <c r="C6313" s="8" t="str">
        <f>IFERROR(_xlfn.XLOOKUP(TRIM(B6313),Lookup!$B$2:$B$1000,Lookup!$C$2:$C$1000),"")</f>
        <v>Equity</v>
      </c>
      <c r="D6313" s="8" t="str">
        <f>IFERROR(INDEX('nav master'!$C:$C, MATCH(B6313, 'nav master'!$B:$B, 0)), "")</f>
        <v>ULIF06618/01/18DiscvryFnd101</v>
      </c>
      <c r="E6313" s="8" t="s">
        <v>522</v>
      </c>
      <c r="F6313" s="8" t="s">
        <v>1063</v>
      </c>
    </row>
    <row r="6314" spans="1:6" ht="60" x14ac:dyDescent="0.25">
      <c r="A6314" s="8" t="s">
        <v>125</v>
      </c>
      <c r="B6314" s="8" t="s">
        <v>136</v>
      </c>
      <c r="C6314" s="8" t="str">
        <f>IFERROR(_xlfn.XLOOKUP(TRIM(B6314),Lookup!$B$2:$B$1000,Lookup!$C$2:$C$1000),"")</f>
        <v>Equity</v>
      </c>
      <c r="D6314" s="8" t="str">
        <f>IFERROR(INDEX('nav master'!$C:$C, MATCH(B6314, 'nav master'!$B:$B, 0)), "")</f>
        <v>ULIF06618/01/18DiscvryFnd101</v>
      </c>
      <c r="E6314" s="8" t="s">
        <v>524</v>
      </c>
      <c r="F6314" s="8" t="s">
        <v>1064</v>
      </c>
    </row>
    <row r="6315" spans="1:6" ht="60" x14ac:dyDescent="0.25">
      <c r="A6315" s="8" t="s">
        <v>125</v>
      </c>
      <c r="B6315" s="8" t="s">
        <v>136</v>
      </c>
      <c r="C6315" s="8" t="str">
        <f>IFERROR(_xlfn.XLOOKUP(TRIM(B6315),Lookup!$B$2:$B$1000,Lookup!$C$2:$C$1000),"")</f>
        <v>Equity</v>
      </c>
      <c r="D6315" s="8" t="str">
        <f>IFERROR(INDEX('nav master'!$C:$C, MATCH(B6315, 'nav master'!$B:$B, 0)), "")</f>
        <v>ULIF06618/01/18DiscvryFnd101</v>
      </c>
      <c r="E6315" s="8" t="s">
        <v>526</v>
      </c>
      <c r="F6315" s="8" t="s">
        <v>1065</v>
      </c>
    </row>
    <row r="6316" spans="1:6" ht="60" x14ac:dyDescent="0.25">
      <c r="A6316" s="8" t="s">
        <v>125</v>
      </c>
      <c r="B6316" s="8" t="s">
        <v>136</v>
      </c>
      <c r="C6316" s="8" t="str">
        <f>IFERROR(_xlfn.XLOOKUP(TRIM(B6316),Lookup!$B$2:$B$1000,Lookup!$C$2:$C$1000),"")</f>
        <v>Equity</v>
      </c>
      <c r="D6316" s="8" t="str">
        <f>IFERROR(INDEX('nav master'!$C:$C, MATCH(B6316, 'nav master'!$B:$B, 0)), "")</f>
        <v>ULIF06618/01/18DiscvryFnd101</v>
      </c>
      <c r="E6316" s="8" t="s">
        <v>528</v>
      </c>
      <c r="F6316" s="8" t="s">
        <v>1066</v>
      </c>
    </row>
    <row r="6317" spans="1:6" ht="60" x14ac:dyDescent="0.25">
      <c r="A6317" s="8" t="s">
        <v>125</v>
      </c>
      <c r="B6317" s="8" t="s">
        <v>136</v>
      </c>
      <c r="C6317" s="8" t="str">
        <f>IFERROR(_xlfn.XLOOKUP(TRIM(B6317),Lookup!$B$2:$B$1000,Lookup!$C$2:$C$1000),"")</f>
        <v>Equity</v>
      </c>
      <c r="D6317" s="8" t="str">
        <f>IFERROR(INDEX('nav master'!$C:$C, MATCH(B6317, 'nav master'!$B:$B, 0)), "")</f>
        <v>ULIF06618/01/18DiscvryFnd101</v>
      </c>
      <c r="E6317" s="8" t="s">
        <v>530</v>
      </c>
      <c r="F6317" s="8" t="s">
        <v>1067</v>
      </c>
    </row>
    <row r="6318" spans="1:6" ht="60" x14ac:dyDescent="0.25">
      <c r="A6318" s="8" t="s">
        <v>125</v>
      </c>
      <c r="B6318" s="8" t="s">
        <v>136</v>
      </c>
      <c r="C6318" s="8" t="str">
        <f>IFERROR(_xlfn.XLOOKUP(TRIM(B6318),Lookup!$B$2:$B$1000,Lookup!$C$2:$C$1000),"")</f>
        <v>Equity</v>
      </c>
      <c r="D6318" s="8" t="str">
        <f>IFERROR(INDEX('nav master'!$C:$C, MATCH(B6318, 'nav master'!$B:$B, 0)), "")</f>
        <v>ULIF06618/01/18DiscvryFnd101</v>
      </c>
      <c r="E6318" s="8" t="s">
        <v>532</v>
      </c>
      <c r="F6318" s="8" t="s">
        <v>1068</v>
      </c>
    </row>
    <row r="6319" spans="1:6" ht="60" x14ac:dyDescent="0.25">
      <c r="A6319" s="8" t="s">
        <v>125</v>
      </c>
      <c r="B6319" s="8" t="s">
        <v>136</v>
      </c>
      <c r="C6319" s="8" t="str">
        <f>IFERROR(_xlfn.XLOOKUP(TRIM(B6319),Lookup!$B$2:$B$1000,Lookup!$C$2:$C$1000),"")</f>
        <v>Equity</v>
      </c>
      <c r="D6319" s="8" t="str">
        <f>IFERROR(INDEX('nav master'!$C:$C, MATCH(B6319, 'nav master'!$B:$B, 0)), "")</f>
        <v>ULIF06618/01/18DiscvryFnd101</v>
      </c>
      <c r="E6319" s="8" t="s">
        <v>534</v>
      </c>
      <c r="F6319" s="8" t="s">
        <v>1069</v>
      </c>
    </row>
    <row r="6320" spans="1:6" ht="60" x14ac:dyDescent="0.25">
      <c r="A6320" s="8" t="s">
        <v>125</v>
      </c>
      <c r="B6320" s="8" t="s">
        <v>136</v>
      </c>
      <c r="C6320" s="8" t="str">
        <f>IFERROR(_xlfn.XLOOKUP(TRIM(B6320),Lookup!$B$2:$B$1000,Lookup!$C$2:$C$1000),"")</f>
        <v>Equity</v>
      </c>
      <c r="D6320" s="8" t="str">
        <f>IFERROR(INDEX('nav master'!$C:$C, MATCH(B6320, 'nav master'!$B:$B, 0)), "")</f>
        <v>ULIF06618/01/18DiscvryFnd101</v>
      </c>
      <c r="E6320" s="8" t="s">
        <v>536</v>
      </c>
      <c r="F6320" s="8" t="s">
        <v>1070</v>
      </c>
    </row>
    <row r="6321" spans="1:6" ht="60" x14ac:dyDescent="0.25">
      <c r="A6321" s="8" t="s">
        <v>125</v>
      </c>
      <c r="B6321" s="8" t="s">
        <v>136</v>
      </c>
      <c r="C6321" s="8" t="str">
        <f>IFERROR(_xlfn.XLOOKUP(TRIM(B6321),Lookup!$B$2:$B$1000,Lookup!$C$2:$C$1000),"")</f>
        <v>Equity</v>
      </c>
      <c r="D6321" s="8" t="str">
        <f>IFERROR(INDEX('nav master'!$C:$C, MATCH(B6321, 'nav master'!$B:$B, 0)), "")</f>
        <v>ULIF06618/01/18DiscvryFnd101</v>
      </c>
      <c r="E6321" s="8" t="s">
        <v>538</v>
      </c>
      <c r="F6321" s="8" t="s">
        <v>1071</v>
      </c>
    </row>
    <row r="6322" spans="1:6" ht="60" x14ac:dyDescent="0.25">
      <c r="A6322" s="8" t="s">
        <v>125</v>
      </c>
      <c r="B6322" s="8" t="s">
        <v>136</v>
      </c>
      <c r="C6322" s="8" t="str">
        <f>IFERROR(_xlfn.XLOOKUP(TRIM(B6322),Lookup!$B$2:$B$1000,Lookup!$C$2:$C$1000),"")</f>
        <v>Equity</v>
      </c>
      <c r="D6322" s="8" t="str">
        <f>IFERROR(INDEX('nav master'!$C:$C, MATCH(B6322, 'nav master'!$B:$B, 0)), "")</f>
        <v>ULIF06618/01/18DiscvryFnd101</v>
      </c>
      <c r="E6322" s="8" t="s">
        <v>540</v>
      </c>
      <c r="F6322" s="8" t="s">
        <v>1072</v>
      </c>
    </row>
    <row r="6323" spans="1:6" ht="60" x14ac:dyDescent="0.25">
      <c r="A6323" s="8" t="s">
        <v>125</v>
      </c>
      <c r="B6323" s="8" t="s">
        <v>136</v>
      </c>
      <c r="C6323" s="8" t="str">
        <f>IFERROR(_xlfn.XLOOKUP(TRIM(B6323),Lookup!$B$2:$B$1000,Lookup!$C$2:$C$1000),"")</f>
        <v>Equity</v>
      </c>
      <c r="D6323" s="8" t="str">
        <f>IFERROR(INDEX('nav master'!$C:$C, MATCH(B6323, 'nav master'!$B:$B, 0)), "")</f>
        <v>ULIF06618/01/18DiscvryFnd101</v>
      </c>
      <c r="E6323" s="8" t="s">
        <v>542</v>
      </c>
      <c r="F6323" s="8" t="s">
        <v>1073</v>
      </c>
    </row>
    <row r="6324" spans="1:6" ht="60" x14ac:dyDescent="0.25">
      <c r="A6324" s="8" t="s">
        <v>125</v>
      </c>
      <c r="B6324" s="8" t="s">
        <v>136</v>
      </c>
      <c r="C6324" s="8" t="str">
        <f>IFERROR(_xlfn.XLOOKUP(TRIM(B6324),Lookup!$B$2:$B$1000,Lookup!$C$2:$C$1000),"")</f>
        <v>Equity</v>
      </c>
      <c r="D6324" s="8" t="str">
        <f>IFERROR(INDEX('nav master'!$C:$C, MATCH(B6324, 'nav master'!$B:$B, 0)), "")</f>
        <v>ULIF06618/01/18DiscvryFnd101</v>
      </c>
      <c r="E6324" s="8" t="s">
        <v>544</v>
      </c>
      <c r="F6324" s="8" t="s">
        <v>1074</v>
      </c>
    </row>
    <row r="6325" spans="1:6" ht="60" x14ac:dyDescent="0.25">
      <c r="A6325" s="8" t="s">
        <v>125</v>
      </c>
      <c r="B6325" s="8" t="s">
        <v>136</v>
      </c>
      <c r="C6325" s="8" t="str">
        <f>IFERROR(_xlfn.XLOOKUP(TRIM(B6325),Lookup!$B$2:$B$1000,Lookup!$C$2:$C$1000),"")</f>
        <v>Equity</v>
      </c>
      <c r="D6325" s="8" t="str">
        <f>IFERROR(INDEX('nav master'!$C:$C, MATCH(B6325, 'nav master'!$B:$B, 0)), "")</f>
        <v>ULIF06618/01/18DiscvryFnd101</v>
      </c>
      <c r="E6325" s="8" t="s">
        <v>546</v>
      </c>
      <c r="F6325" s="8" t="s">
        <v>1075</v>
      </c>
    </row>
    <row r="6326" spans="1:6" ht="60" x14ac:dyDescent="0.25">
      <c r="A6326" s="8" t="s">
        <v>125</v>
      </c>
      <c r="B6326" s="8" t="s">
        <v>136</v>
      </c>
      <c r="C6326" s="8" t="str">
        <f>IFERROR(_xlfn.XLOOKUP(TRIM(B6326),Lookup!$B$2:$B$1000,Lookup!$C$2:$C$1000),"")</f>
        <v>Equity</v>
      </c>
      <c r="D6326" s="8" t="str">
        <f>IFERROR(INDEX('nav master'!$C:$C, MATCH(B6326, 'nav master'!$B:$B, 0)), "")</f>
        <v>ULIF06618/01/18DiscvryFnd101</v>
      </c>
      <c r="E6326" s="8" t="s">
        <v>548</v>
      </c>
      <c r="F6326" s="8" t="s">
        <v>1076</v>
      </c>
    </row>
    <row r="6327" spans="1:6" ht="60" x14ac:dyDescent="0.25">
      <c r="A6327" s="8" t="s">
        <v>125</v>
      </c>
      <c r="B6327" s="8" t="s">
        <v>136</v>
      </c>
      <c r="C6327" s="8" t="str">
        <f>IFERROR(_xlfn.XLOOKUP(TRIM(B6327),Lookup!$B$2:$B$1000,Lookup!$C$2:$C$1000),"")</f>
        <v>Equity</v>
      </c>
      <c r="D6327" s="8" t="str">
        <f>IFERROR(INDEX('nav master'!$C:$C, MATCH(B6327, 'nav master'!$B:$B, 0)), "")</f>
        <v>ULIF06618/01/18DiscvryFnd101</v>
      </c>
      <c r="E6327" s="8" t="s">
        <v>550</v>
      </c>
      <c r="F6327" s="8" t="s">
        <v>1077</v>
      </c>
    </row>
    <row r="6328" spans="1:6" ht="60" x14ac:dyDescent="0.25">
      <c r="A6328" s="8" t="s">
        <v>125</v>
      </c>
      <c r="B6328" s="8" t="s">
        <v>136</v>
      </c>
      <c r="C6328" s="8" t="str">
        <f>IFERROR(_xlfn.XLOOKUP(TRIM(B6328),Lookup!$B$2:$B$1000,Lookup!$C$2:$C$1000),"")</f>
        <v>Equity</v>
      </c>
      <c r="D6328" s="8" t="str">
        <f>IFERROR(INDEX('nav master'!$C:$C, MATCH(B6328, 'nav master'!$B:$B, 0)), "")</f>
        <v>ULIF06618/01/18DiscvryFnd101</v>
      </c>
      <c r="E6328" s="8" t="s">
        <v>552</v>
      </c>
      <c r="F6328" s="8" t="s">
        <v>1078</v>
      </c>
    </row>
    <row r="6329" spans="1:6" ht="60" x14ac:dyDescent="0.25">
      <c r="A6329" s="8" t="s">
        <v>125</v>
      </c>
      <c r="B6329" s="8" t="s">
        <v>136</v>
      </c>
      <c r="C6329" s="8" t="str">
        <f>IFERROR(_xlfn.XLOOKUP(TRIM(B6329),Lookup!$B$2:$B$1000,Lookup!$C$2:$C$1000),"")</f>
        <v>Equity</v>
      </c>
      <c r="D6329" s="8" t="str">
        <f>IFERROR(INDEX('nav master'!$C:$C, MATCH(B6329, 'nav master'!$B:$B, 0)), "")</f>
        <v>ULIF06618/01/18DiscvryFnd101</v>
      </c>
      <c r="E6329" s="8" t="s">
        <v>554</v>
      </c>
      <c r="F6329" s="8" t="s">
        <v>1079</v>
      </c>
    </row>
    <row r="6330" spans="1:6" ht="60" x14ac:dyDescent="0.25">
      <c r="A6330" s="8" t="s">
        <v>125</v>
      </c>
      <c r="B6330" s="8" t="s">
        <v>136</v>
      </c>
      <c r="C6330" s="8" t="str">
        <f>IFERROR(_xlfn.XLOOKUP(TRIM(B6330),Lookup!$B$2:$B$1000,Lookup!$C$2:$C$1000),"")</f>
        <v>Equity</v>
      </c>
      <c r="D6330" s="8" t="str">
        <f>IFERROR(INDEX('nav master'!$C:$C, MATCH(B6330, 'nav master'!$B:$B, 0)), "")</f>
        <v>ULIF06618/01/18DiscvryFnd101</v>
      </c>
      <c r="E6330" s="8" t="s">
        <v>556</v>
      </c>
      <c r="F6330" s="8" t="s">
        <v>1080</v>
      </c>
    </row>
    <row r="6331" spans="1:6" ht="60" x14ac:dyDescent="0.25">
      <c r="A6331" s="8" t="s">
        <v>125</v>
      </c>
      <c r="B6331" s="8" t="s">
        <v>136</v>
      </c>
      <c r="C6331" s="8" t="str">
        <f>IFERROR(_xlfn.XLOOKUP(TRIM(B6331),Lookup!$B$2:$B$1000,Lookup!$C$2:$C$1000),"")</f>
        <v>Equity</v>
      </c>
      <c r="D6331" s="8" t="str">
        <f>IFERROR(INDEX('nav master'!$C:$C, MATCH(B6331, 'nav master'!$B:$B, 0)), "")</f>
        <v>ULIF06618/01/18DiscvryFnd101</v>
      </c>
      <c r="E6331" s="8" t="s">
        <v>558</v>
      </c>
      <c r="F6331" s="8" t="s">
        <v>1081</v>
      </c>
    </row>
    <row r="6332" spans="1:6" ht="60" x14ac:dyDescent="0.25">
      <c r="A6332" s="8" t="s">
        <v>125</v>
      </c>
      <c r="B6332" s="8" t="s">
        <v>136</v>
      </c>
      <c r="C6332" s="8" t="str">
        <f>IFERROR(_xlfn.XLOOKUP(TRIM(B6332),Lookup!$B$2:$B$1000,Lookup!$C$2:$C$1000),"")</f>
        <v>Equity</v>
      </c>
      <c r="D6332" s="8" t="str">
        <f>IFERROR(INDEX('nav master'!$C:$C, MATCH(B6332, 'nav master'!$B:$B, 0)), "")</f>
        <v>ULIF06618/01/18DiscvryFnd101</v>
      </c>
      <c r="E6332" s="8" t="s">
        <v>560</v>
      </c>
      <c r="F6332" s="8" t="s">
        <v>1082</v>
      </c>
    </row>
    <row r="6333" spans="1:6" ht="60" x14ac:dyDescent="0.25">
      <c r="A6333" s="8" t="s">
        <v>125</v>
      </c>
      <c r="B6333" s="8" t="s">
        <v>136</v>
      </c>
      <c r="C6333" s="8" t="str">
        <f>IFERROR(_xlfn.XLOOKUP(TRIM(B6333),Lookup!$B$2:$B$1000,Lookup!$C$2:$C$1000),"")</f>
        <v>Equity</v>
      </c>
      <c r="D6333" s="8" t="str">
        <f>IFERROR(INDEX('nav master'!$C:$C, MATCH(B6333, 'nav master'!$B:$B, 0)), "")</f>
        <v>ULIF06618/01/18DiscvryFnd101</v>
      </c>
      <c r="E6333" s="8" t="s">
        <v>562</v>
      </c>
      <c r="F6333" s="8" t="s">
        <v>1083</v>
      </c>
    </row>
    <row r="6334" spans="1:6" ht="60" x14ac:dyDescent="0.25">
      <c r="A6334" s="8" t="s">
        <v>125</v>
      </c>
      <c r="B6334" s="8" t="s">
        <v>136</v>
      </c>
      <c r="C6334" s="8" t="str">
        <f>IFERROR(_xlfn.XLOOKUP(TRIM(B6334),Lookup!$B$2:$B$1000,Lookup!$C$2:$C$1000),"")</f>
        <v>Equity</v>
      </c>
      <c r="D6334" s="8" t="str">
        <f>IFERROR(INDEX('nav master'!$C:$C, MATCH(B6334, 'nav master'!$B:$B, 0)), "")</f>
        <v>ULIF06618/01/18DiscvryFnd101</v>
      </c>
      <c r="E6334" s="8" t="s">
        <v>564</v>
      </c>
      <c r="F6334" s="8" t="s">
        <v>1084</v>
      </c>
    </row>
    <row r="6335" spans="1:6" ht="60" x14ac:dyDescent="0.25">
      <c r="A6335" s="8" t="s">
        <v>125</v>
      </c>
      <c r="B6335" s="8" t="s">
        <v>136</v>
      </c>
      <c r="C6335" s="8" t="str">
        <f>IFERROR(_xlfn.XLOOKUP(TRIM(B6335),Lookup!$B$2:$B$1000,Lookup!$C$2:$C$1000),"")</f>
        <v>Equity</v>
      </c>
      <c r="D6335" s="8" t="str">
        <f>IFERROR(INDEX('nav master'!$C:$C, MATCH(B6335, 'nav master'!$B:$B, 0)), "")</f>
        <v>ULIF06618/01/18DiscvryFnd101</v>
      </c>
      <c r="E6335" s="8" t="s">
        <v>566</v>
      </c>
      <c r="F6335" s="8" t="s">
        <v>1085</v>
      </c>
    </row>
    <row r="6336" spans="1:6" ht="60" x14ac:dyDescent="0.25">
      <c r="A6336" s="8" t="s">
        <v>125</v>
      </c>
      <c r="B6336" s="8" t="s">
        <v>136</v>
      </c>
      <c r="C6336" s="8" t="str">
        <f>IFERROR(_xlfn.XLOOKUP(TRIM(B6336),Lookup!$B$2:$B$1000,Lookup!$C$2:$C$1000),"")</f>
        <v>Equity</v>
      </c>
      <c r="D6336" s="8" t="str">
        <f>IFERROR(INDEX('nav master'!$C:$C, MATCH(B6336, 'nav master'!$B:$B, 0)), "")</f>
        <v>ULIF06618/01/18DiscvryFnd101</v>
      </c>
      <c r="E6336" s="8" t="s">
        <v>568</v>
      </c>
      <c r="F6336" s="8" t="s">
        <v>1086</v>
      </c>
    </row>
    <row r="6337" spans="1:6" ht="60" x14ac:dyDescent="0.25">
      <c r="A6337" s="8" t="s">
        <v>125</v>
      </c>
      <c r="B6337" s="8" t="s">
        <v>136</v>
      </c>
      <c r="C6337" s="8" t="str">
        <f>IFERROR(_xlfn.XLOOKUP(TRIM(B6337),Lookup!$B$2:$B$1000,Lookup!$C$2:$C$1000),"")</f>
        <v>Equity</v>
      </c>
      <c r="D6337" s="8" t="str">
        <f>IFERROR(INDEX('nav master'!$C:$C, MATCH(B6337, 'nav master'!$B:$B, 0)), "")</f>
        <v>ULIF06618/01/18DiscvryFnd101</v>
      </c>
      <c r="E6337" s="8" t="s">
        <v>570</v>
      </c>
      <c r="F6337" s="8" t="s">
        <v>1087</v>
      </c>
    </row>
    <row r="6338" spans="1:6" ht="60" x14ac:dyDescent="0.25">
      <c r="A6338" s="8" t="s">
        <v>125</v>
      </c>
      <c r="B6338" s="8" t="s">
        <v>136</v>
      </c>
      <c r="C6338" s="8" t="str">
        <f>IFERROR(_xlfn.XLOOKUP(TRIM(B6338),Lookup!$B$2:$B$1000,Lookup!$C$2:$C$1000),"")</f>
        <v>Equity</v>
      </c>
      <c r="D6338" s="8" t="str">
        <f>IFERROR(INDEX('nav master'!$C:$C, MATCH(B6338, 'nav master'!$B:$B, 0)), "")</f>
        <v>ULIF06618/01/18DiscvryFnd101</v>
      </c>
      <c r="E6338" s="8" t="s">
        <v>572</v>
      </c>
      <c r="F6338" s="8" t="s">
        <v>1088</v>
      </c>
    </row>
    <row r="6339" spans="1:6" ht="60" x14ac:dyDescent="0.25">
      <c r="A6339" s="8" t="s">
        <v>125</v>
      </c>
      <c r="B6339" s="8" t="s">
        <v>136</v>
      </c>
      <c r="C6339" s="8" t="str">
        <f>IFERROR(_xlfn.XLOOKUP(TRIM(B6339),Lookup!$B$2:$B$1000,Lookup!$C$2:$C$1000),"")</f>
        <v>Equity</v>
      </c>
      <c r="D6339" s="8" t="str">
        <f>IFERROR(INDEX('nav master'!$C:$C, MATCH(B6339, 'nav master'!$B:$B, 0)), "")</f>
        <v>ULIF06618/01/18DiscvryFnd101</v>
      </c>
      <c r="E6339" s="8" t="s">
        <v>574</v>
      </c>
      <c r="F6339" s="8" t="s">
        <v>1089</v>
      </c>
    </row>
    <row r="6340" spans="1:6" ht="60" x14ac:dyDescent="0.25">
      <c r="A6340" s="8" t="s">
        <v>125</v>
      </c>
      <c r="B6340" s="8" t="s">
        <v>136</v>
      </c>
      <c r="C6340" s="8" t="str">
        <f>IFERROR(_xlfn.XLOOKUP(TRIM(B6340),Lookup!$B$2:$B$1000,Lookup!$C$2:$C$1000),"")</f>
        <v>Equity</v>
      </c>
      <c r="D6340" s="8" t="str">
        <f>IFERROR(INDEX('nav master'!$C:$C, MATCH(B6340, 'nav master'!$B:$B, 0)), "")</f>
        <v>ULIF06618/01/18DiscvryFnd101</v>
      </c>
      <c r="E6340" s="8" t="s">
        <v>576</v>
      </c>
      <c r="F6340" s="8" t="s">
        <v>1090</v>
      </c>
    </row>
    <row r="6341" spans="1:6" ht="60" x14ac:dyDescent="0.25">
      <c r="A6341" s="8" t="s">
        <v>125</v>
      </c>
      <c r="B6341" s="8" t="s">
        <v>136</v>
      </c>
      <c r="C6341" s="8" t="str">
        <f>IFERROR(_xlfn.XLOOKUP(TRIM(B6341),Lookup!$B$2:$B$1000,Lookup!$C$2:$C$1000),"")</f>
        <v>Equity</v>
      </c>
      <c r="D6341" s="8" t="str">
        <f>IFERROR(INDEX('nav master'!$C:$C, MATCH(B6341, 'nav master'!$B:$B, 0)), "")</f>
        <v>ULIF06618/01/18DiscvryFnd101</v>
      </c>
      <c r="E6341" s="8" t="s">
        <v>578</v>
      </c>
      <c r="F6341" s="8" t="s">
        <v>1091</v>
      </c>
    </row>
    <row r="6342" spans="1:6" ht="60" x14ac:dyDescent="0.25">
      <c r="A6342" s="8" t="s">
        <v>125</v>
      </c>
      <c r="B6342" s="8" t="s">
        <v>136</v>
      </c>
      <c r="C6342" s="8" t="str">
        <f>IFERROR(_xlfn.XLOOKUP(TRIM(B6342),Lookup!$B$2:$B$1000,Lookup!$C$2:$C$1000),"")</f>
        <v>Equity</v>
      </c>
      <c r="D6342" s="8" t="str">
        <f>IFERROR(INDEX('nav master'!$C:$C, MATCH(B6342, 'nav master'!$B:$B, 0)), "")</f>
        <v>ULIF06618/01/18DiscvryFnd101</v>
      </c>
      <c r="E6342" s="8" t="s">
        <v>580</v>
      </c>
      <c r="F6342" s="8" t="s">
        <v>1092</v>
      </c>
    </row>
    <row r="6343" spans="1:6" ht="60" x14ac:dyDescent="0.25">
      <c r="A6343" s="8" t="s">
        <v>125</v>
      </c>
      <c r="B6343" s="8" t="s">
        <v>136</v>
      </c>
      <c r="C6343" s="8" t="str">
        <f>IFERROR(_xlfn.XLOOKUP(TRIM(B6343),Lookup!$B$2:$B$1000,Lookup!$C$2:$C$1000),"")</f>
        <v>Equity</v>
      </c>
      <c r="D6343" s="8" t="str">
        <f>IFERROR(INDEX('nav master'!$C:$C, MATCH(B6343, 'nav master'!$B:$B, 0)), "")</f>
        <v>ULIF06618/01/18DiscvryFnd101</v>
      </c>
      <c r="E6343" s="8" t="s">
        <v>582</v>
      </c>
      <c r="F6343" s="8" t="s">
        <v>1093</v>
      </c>
    </row>
    <row r="6344" spans="1:6" ht="60" x14ac:dyDescent="0.25">
      <c r="A6344" s="8" t="s">
        <v>125</v>
      </c>
      <c r="B6344" s="8" t="s">
        <v>136</v>
      </c>
      <c r="C6344" s="8" t="str">
        <f>IFERROR(_xlfn.XLOOKUP(TRIM(B6344),Lookup!$B$2:$B$1000,Lookup!$C$2:$C$1000),"")</f>
        <v>Equity</v>
      </c>
      <c r="D6344" s="8" t="str">
        <f>IFERROR(INDEX('nav master'!$C:$C, MATCH(B6344, 'nav master'!$B:$B, 0)), "")</f>
        <v>ULIF06618/01/18DiscvryFnd101</v>
      </c>
      <c r="E6344" s="8" t="s">
        <v>584</v>
      </c>
      <c r="F6344" s="8" t="s">
        <v>1094</v>
      </c>
    </row>
    <row r="6345" spans="1:6" ht="60" x14ac:dyDescent="0.25">
      <c r="A6345" s="8" t="s">
        <v>125</v>
      </c>
      <c r="B6345" s="8" t="s">
        <v>136</v>
      </c>
      <c r="C6345" s="8" t="str">
        <f>IFERROR(_xlfn.XLOOKUP(TRIM(B6345),Lookup!$B$2:$B$1000,Lookup!$C$2:$C$1000),"")</f>
        <v>Equity</v>
      </c>
      <c r="D6345" s="8" t="str">
        <f>IFERROR(INDEX('nav master'!$C:$C, MATCH(B6345, 'nav master'!$B:$B, 0)), "")</f>
        <v>ULIF06618/01/18DiscvryFnd101</v>
      </c>
      <c r="E6345" s="8" t="s">
        <v>586</v>
      </c>
      <c r="F6345" s="8" t="s">
        <v>1095</v>
      </c>
    </row>
    <row r="6346" spans="1:6" ht="60" x14ac:dyDescent="0.25">
      <c r="A6346" s="8" t="s">
        <v>125</v>
      </c>
      <c r="B6346" s="8" t="s">
        <v>136</v>
      </c>
      <c r="C6346" s="8" t="str">
        <f>IFERROR(_xlfn.XLOOKUP(TRIM(B6346),Lookup!$B$2:$B$1000,Lookup!$C$2:$C$1000),"")</f>
        <v>Equity</v>
      </c>
      <c r="D6346" s="8" t="str">
        <f>IFERROR(INDEX('nav master'!$C:$C, MATCH(B6346, 'nav master'!$B:$B, 0)), "")</f>
        <v>ULIF06618/01/18DiscvryFnd101</v>
      </c>
      <c r="E6346" s="8" t="s">
        <v>588</v>
      </c>
      <c r="F6346" s="8" t="s">
        <v>1096</v>
      </c>
    </row>
    <row r="6347" spans="1:6" ht="60" x14ac:dyDescent="0.25">
      <c r="A6347" s="8" t="s">
        <v>125</v>
      </c>
      <c r="B6347" s="8" t="s">
        <v>136</v>
      </c>
      <c r="C6347" s="8" t="str">
        <f>IFERROR(_xlfn.XLOOKUP(TRIM(B6347),Lookup!$B$2:$B$1000,Lookup!$C$2:$C$1000),"")</f>
        <v>Equity</v>
      </c>
      <c r="D6347" s="8" t="str">
        <f>IFERROR(INDEX('nav master'!$C:$C, MATCH(B6347, 'nav master'!$B:$B, 0)), "")</f>
        <v>ULIF06618/01/18DiscvryFnd101</v>
      </c>
      <c r="E6347" s="8" t="s">
        <v>590</v>
      </c>
      <c r="F6347" s="8" t="s">
        <v>1097</v>
      </c>
    </row>
    <row r="6348" spans="1:6" ht="60" x14ac:dyDescent="0.25">
      <c r="A6348" s="8" t="s">
        <v>125</v>
      </c>
      <c r="B6348" s="8" t="s">
        <v>136</v>
      </c>
      <c r="C6348" s="8" t="str">
        <f>IFERROR(_xlfn.XLOOKUP(TRIM(B6348),Lookup!$B$2:$B$1000,Lookup!$C$2:$C$1000),"")</f>
        <v>Equity</v>
      </c>
      <c r="D6348" s="8" t="str">
        <f>IFERROR(INDEX('nav master'!$C:$C, MATCH(B6348, 'nav master'!$B:$B, 0)), "")</f>
        <v>ULIF06618/01/18DiscvryFnd101</v>
      </c>
      <c r="E6348" s="8" t="s">
        <v>592</v>
      </c>
      <c r="F6348" s="8" t="s">
        <v>1098</v>
      </c>
    </row>
    <row r="6349" spans="1:6" ht="60" x14ac:dyDescent="0.25">
      <c r="A6349" s="8" t="s">
        <v>125</v>
      </c>
      <c r="B6349" s="8" t="s">
        <v>136</v>
      </c>
      <c r="C6349" s="8" t="str">
        <f>IFERROR(_xlfn.XLOOKUP(TRIM(B6349),Lookup!$B$2:$B$1000,Lookup!$C$2:$C$1000),"")</f>
        <v>Equity</v>
      </c>
      <c r="D6349" s="8" t="str">
        <f>IFERROR(INDEX('nav master'!$C:$C, MATCH(B6349, 'nav master'!$B:$B, 0)), "")</f>
        <v>ULIF06618/01/18DiscvryFnd101</v>
      </c>
      <c r="E6349" s="8" t="s">
        <v>594</v>
      </c>
      <c r="F6349" s="8" t="s">
        <v>1099</v>
      </c>
    </row>
    <row r="6350" spans="1:6" ht="60" x14ac:dyDescent="0.25">
      <c r="A6350" s="8" t="s">
        <v>125</v>
      </c>
      <c r="B6350" s="8" t="s">
        <v>136</v>
      </c>
      <c r="C6350" s="8" t="str">
        <f>IFERROR(_xlfn.XLOOKUP(TRIM(B6350),Lookup!$B$2:$B$1000,Lookup!$C$2:$C$1000),"")</f>
        <v>Equity</v>
      </c>
      <c r="D6350" s="8" t="str">
        <f>IFERROR(INDEX('nav master'!$C:$C, MATCH(B6350, 'nav master'!$B:$B, 0)), "")</f>
        <v>ULIF06618/01/18DiscvryFnd101</v>
      </c>
      <c r="E6350" s="8" t="s">
        <v>596</v>
      </c>
      <c r="F6350" s="8" t="s">
        <v>1100</v>
      </c>
    </row>
    <row r="6351" spans="1:6" ht="60" x14ac:dyDescent="0.25">
      <c r="A6351" s="8" t="s">
        <v>125</v>
      </c>
      <c r="B6351" s="8" t="s">
        <v>136</v>
      </c>
      <c r="C6351" s="8" t="str">
        <f>IFERROR(_xlfn.XLOOKUP(TRIM(B6351),Lookup!$B$2:$B$1000,Lookup!$C$2:$C$1000),"")</f>
        <v>Equity</v>
      </c>
      <c r="D6351" s="8" t="str">
        <f>IFERROR(INDEX('nav master'!$C:$C, MATCH(B6351, 'nav master'!$B:$B, 0)), "")</f>
        <v>ULIF06618/01/18DiscvryFnd101</v>
      </c>
      <c r="E6351" s="8" t="s">
        <v>598</v>
      </c>
      <c r="F6351" s="8" t="s">
        <v>1101</v>
      </c>
    </row>
    <row r="6352" spans="1:6" ht="60" x14ac:dyDescent="0.25">
      <c r="A6352" s="8" t="s">
        <v>125</v>
      </c>
      <c r="B6352" s="8" t="s">
        <v>136</v>
      </c>
      <c r="C6352" s="8" t="str">
        <f>IFERROR(_xlfn.XLOOKUP(TRIM(B6352),Lookup!$B$2:$B$1000,Lookup!$C$2:$C$1000),"")</f>
        <v>Equity</v>
      </c>
      <c r="D6352" s="8" t="str">
        <f>IFERROR(INDEX('nav master'!$C:$C, MATCH(B6352, 'nav master'!$B:$B, 0)), "")</f>
        <v>ULIF06618/01/18DiscvryFnd101</v>
      </c>
      <c r="E6352" s="8" t="s">
        <v>600</v>
      </c>
      <c r="F6352" s="8" t="s">
        <v>1102</v>
      </c>
    </row>
    <row r="6353" spans="1:6" ht="60" x14ac:dyDescent="0.25">
      <c r="A6353" s="8" t="s">
        <v>125</v>
      </c>
      <c r="B6353" s="8" t="s">
        <v>136</v>
      </c>
      <c r="C6353" s="8" t="str">
        <f>IFERROR(_xlfn.XLOOKUP(TRIM(B6353),Lookup!$B$2:$B$1000,Lookup!$C$2:$C$1000),"")</f>
        <v>Equity</v>
      </c>
      <c r="D6353" s="8" t="str">
        <f>IFERROR(INDEX('nav master'!$C:$C, MATCH(B6353, 'nav master'!$B:$B, 0)), "")</f>
        <v>ULIF06618/01/18DiscvryFnd101</v>
      </c>
      <c r="E6353" s="8" t="s">
        <v>602</v>
      </c>
      <c r="F6353" s="8" t="s">
        <v>1103</v>
      </c>
    </row>
    <row r="6354" spans="1:6" ht="60" x14ac:dyDescent="0.25">
      <c r="A6354" s="8" t="s">
        <v>125</v>
      </c>
      <c r="B6354" s="8" t="s">
        <v>136</v>
      </c>
      <c r="C6354" s="8" t="str">
        <f>IFERROR(_xlfn.XLOOKUP(TRIM(B6354),Lookup!$B$2:$B$1000,Lookup!$C$2:$C$1000),"")</f>
        <v>Equity</v>
      </c>
      <c r="D6354" s="8" t="str">
        <f>IFERROR(INDEX('nav master'!$C:$C, MATCH(B6354, 'nav master'!$B:$B, 0)), "")</f>
        <v>ULIF06618/01/18DiscvryFnd101</v>
      </c>
      <c r="E6354" s="8" t="s">
        <v>604</v>
      </c>
      <c r="F6354" s="8" t="s">
        <v>1104</v>
      </c>
    </row>
    <row r="6355" spans="1:6" ht="60" x14ac:dyDescent="0.25">
      <c r="A6355" s="8" t="s">
        <v>125</v>
      </c>
      <c r="B6355" s="8" t="s">
        <v>136</v>
      </c>
      <c r="C6355" s="8" t="str">
        <f>IFERROR(_xlfn.XLOOKUP(TRIM(B6355),Lookup!$B$2:$B$1000,Lookup!$C$2:$C$1000),"")</f>
        <v>Equity</v>
      </c>
      <c r="D6355" s="8" t="str">
        <f>IFERROR(INDEX('nav master'!$C:$C, MATCH(B6355, 'nav master'!$B:$B, 0)), "")</f>
        <v>ULIF06618/01/18DiscvryFnd101</v>
      </c>
      <c r="E6355" s="8" t="s">
        <v>606</v>
      </c>
      <c r="F6355" s="8" t="s">
        <v>1105</v>
      </c>
    </row>
    <row r="6356" spans="1:6" ht="60" x14ac:dyDescent="0.25">
      <c r="A6356" s="8" t="s">
        <v>125</v>
      </c>
      <c r="B6356" s="8" t="s">
        <v>136</v>
      </c>
      <c r="C6356" s="8" t="str">
        <f>IFERROR(_xlfn.XLOOKUP(TRIM(B6356),Lookup!$B$2:$B$1000,Lookup!$C$2:$C$1000),"")</f>
        <v>Equity</v>
      </c>
      <c r="D6356" s="8" t="str">
        <f>IFERROR(INDEX('nav master'!$C:$C, MATCH(B6356, 'nav master'!$B:$B, 0)), "")</f>
        <v>ULIF06618/01/18DiscvryFnd101</v>
      </c>
      <c r="E6356" s="8" t="s">
        <v>608</v>
      </c>
      <c r="F6356" s="8" t="s">
        <v>1106</v>
      </c>
    </row>
    <row r="6357" spans="1:6" ht="60" x14ac:dyDescent="0.25">
      <c r="A6357" s="8" t="s">
        <v>125</v>
      </c>
      <c r="B6357" s="8" t="s">
        <v>136</v>
      </c>
      <c r="C6357" s="8" t="str">
        <f>IFERROR(_xlfn.XLOOKUP(TRIM(B6357),Lookup!$B$2:$B$1000,Lookup!$C$2:$C$1000),"")</f>
        <v>Equity</v>
      </c>
      <c r="D6357" s="8" t="str">
        <f>IFERROR(INDEX('nav master'!$C:$C, MATCH(B6357, 'nav master'!$B:$B, 0)), "")</f>
        <v>ULIF06618/01/18DiscvryFnd101</v>
      </c>
      <c r="E6357" s="8" t="s">
        <v>610</v>
      </c>
      <c r="F6357" s="8" t="s">
        <v>1107</v>
      </c>
    </row>
    <row r="6358" spans="1:6" ht="60" x14ac:dyDescent="0.25">
      <c r="A6358" s="8" t="s">
        <v>125</v>
      </c>
      <c r="B6358" s="8" t="s">
        <v>136</v>
      </c>
      <c r="C6358" s="8" t="str">
        <f>IFERROR(_xlfn.XLOOKUP(TRIM(B6358),Lookup!$B$2:$B$1000,Lookup!$C$2:$C$1000),"")</f>
        <v>Equity</v>
      </c>
      <c r="D6358" s="8" t="str">
        <f>IFERROR(INDEX('nav master'!$C:$C, MATCH(B6358, 'nav master'!$B:$B, 0)), "")</f>
        <v>ULIF06618/01/18DiscvryFnd101</v>
      </c>
      <c r="E6358" s="8" t="s">
        <v>612</v>
      </c>
      <c r="F6358" s="8" t="s">
        <v>1108</v>
      </c>
    </row>
    <row r="6359" spans="1:6" ht="60" x14ac:dyDescent="0.25">
      <c r="A6359" s="8" t="s">
        <v>125</v>
      </c>
      <c r="B6359" s="8" t="s">
        <v>136</v>
      </c>
      <c r="C6359" s="8" t="str">
        <f>IFERROR(_xlfn.XLOOKUP(TRIM(B6359),Lookup!$B$2:$B$1000,Lookup!$C$2:$C$1000),"")</f>
        <v>Equity</v>
      </c>
      <c r="D6359" s="8" t="str">
        <f>IFERROR(INDEX('nav master'!$C:$C, MATCH(B6359, 'nav master'!$B:$B, 0)), "")</f>
        <v>ULIF06618/01/18DiscvryFnd101</v>
      </c>
      <c r="E6359" s="8" t="s">
        <v>614</v>
      </c>
      <c r="F6359" s="8" t="s">
        <v>1109</v>
      </c>
    </row>
    <row r="6360" spans="1:6" ht="60" x14ac:dyDescent="0.25">
      <c r="A6360" s="8" t="s">
        <v>125</v>
      </c>
      <c r="B6360" s="8" t="s">
        <v>136</v>
      </c>
      <c r="C6360" s="8" t="str">
        <f>IFERROR(_xlfn.XLOOKUP(TRIM(B6360),Lookup!$B$2:$B$1000,Lookup!$C$2:$C$1000),"")</f>
        <v>Equity</v>
      </c>
      <c r="D6360" s="8" t="str">
        <f>IFERROR(INDEX('nav master'!$C:$C, MATCH(B6360, 'nav master'!$B:$B, 0)), "")</f>
        <v>ULIF06618/01/18DiscvryFnd101</v>
      </c>
      <c r="E6360" s="8" t="s">
        <v>616</v>
      </c>
      <c r="F6360" s="8" t="s">
        <v>1110</v>
      </c>
    </row>
    <row r="6361" spans="1:6" ht="60" x14ac:dyDescent="0.25">
      <c r="A6361" s="8" t="s">
        <v>125</v>
      </c>
      <c r="B6361" s="8" t="s">
        <v>136</v>
      </c>
      <c r="C6361" s="8" t="str">
        <f>IFERROR(_xlfn.XLOOKUP(TRIM(B6361),Lookup!$B$2:$B$1000,Lookup!$C$2:$C$1000),"")</f>
        <v>Equity</v>
      </c>
      <c r="D6361" s="8" t="str">
        <f>IFERROR(INDEX('nav master'!$C:$C, MATCH(B6361, 'nav master'!$B:$B, 0)), "")</f>
        <v>ULIF06618/01/18DiscvryFnd101</v>
      </c>
      <c r="E6361" s="8" t="s">
        <v>618</v>
      </c>
      <c r="F6361" s="8" t="s">
        <v>1111</v>
      </c>
    </row>
    <row r="6362" spans="1:6" ht="60" x14ac:dyDescent="0.25">
      <c r="A6362" s="8" t="s">
        <v>125</v>
      </c>
      <c r="B6362" s="8" t="s">
        <v>136</v>
      </c>
      <c r="C6362" s="8" t="str">
        <f>IFERROR(_xlfn.XLOOKUP(TRIM(B6362),Lookup!$B$2:$B$1000,Lookup!$C$2:$C$1000),"")</f>
        <v>Equity</v>
      </c>
      <c r="D6362" s="8" t="str">
        <f>IFERROR(INDEX('nav master'!$C:$C, MATCH(B6362, 'nav master'!$B:$B, 0)), "")</f>
        <v>ULIF06618/01/18DiscvryFnd101</v>
      </c>
      <c r="E6362" s="8" t="s">
        <v>620</v>
      </c>
      <c r="F6362" s="8" t="s">
        <v>1112</v>
      </c>
    </row>
    <row r="6363" spans="1:6" ht="60" x14ac:dyDescent="0.25">
      <c r="A6363" s="8" t="s">
        <v>125</v>
      </c>
      <c r="B6363" s="8" t="s">
        <v>136</v>
      </c>
      <c r="C6363" s="8" t="str">
        <f>IFERROR(_xlfn.XLOOKUP(TRIM(B6363),Lookup!$B$2:$B$1000,Lookup!$C$2:$C$1000),"")</f>
        <v>Equity</v>
      </c>
      <c r="D6363" s="8" t="str">
        <f>IFERROR(INDEX('nav master'!$C:$C, MATCH(B6363, 'nav master'!$B:$B, 0)), "")</f>
        <v>ULIF06618/01/18DiscvryFnd101</v>
      </c>
      <c r="E6363" s="8" t="s">
        <v>622</v>
      </c>
      <c r="F6363" s="8" t="s">
        <v>1113</v>
      </c>
    </row>
    <row r="6364" spans="1:6" ht="60" x14ac:dyDescent="0.25">
      <c r="A6364" s="8" t="s">
        <v>125</v>
      </c>
      <c r="B6364" s="8" t="s">
        <v>136</v>
      </c>
      <c r="C6364" s="8" t="str">
        <f>IFERROR(_xlfn.XLOOKUP(TRIM(B6364),Lookup!$B$2:$B$1000,Lookup!$C$2:$C$1000),"")</f>
        <v>Equity</v>
      </c>
      <c r="D6364" s="8" t="str">
        <f>IFERROR(INDEX('nav master'!$C:$C, MATCH(B6364, 'nav master'!$B:$B, 0)), "")</f>
        <v>ULIF06618/01/18DiscvryFnd101</v>
      </c>
      <c r="E6364" s="8" t="s">
        <v>624</v>
      </c>
      <c r="F6364" s="8" t="s">
        <v>1114</v>
      </c>
    </row>
    <row r="6365" spans="1:6" ht="60" x14ac:dyDescent="0.25">
      <c r="A6365" s="8" t="s">
        <v>125</v>
      </c>
      <c r="B6365" s="8" t="s">
        <v>136</v>
      </c>
      <c r="C6365" s="8" t="str">
        <f>IFERROR(_xlfn.XLOOKUP(TRIM(B6365),Lookup!$B$2:$B$1000,Lookup!$C$2:$C$1000),"")</f>
        <v>Equity</v>
      </c>
      <c r="D6365" s="8" t="str">
        <f>IFERROR(INDEX('nav master'!$C:$C, MATCH(B6365, 'nav master'!$B:$B, 0)), "")</f>
        <v>ULIF06618/01/18DiscvryFnd101</v>
      </c>
      <c r="E6365" s="8" t="s">
        <v>626</v>
      </c>
      <c r="F6365" s="8" t="s">
        <v>1115</v>
      </c>
    </row>
    <row r="6366" spans="1:6" ht="60" x14ac:dyDescent="0.25">
      <c r="A6366" s="8" t="s">
        <v>125</v>
      </c>
      <c r="B6366" s="8" t="s">
        <v>136</v>
      </c>
      <c r="C6366" s="8" t="str">
        <f>IFERROR(_xlfn.XLOOKUP(TRIM(B6366),Lookup!$B$2:$B$1000,Lookup!$C$2:$C$1000),"")</f>
        <v>Equity</v>
      </c>
      <c r="D6366" s="8" t="str">
        <f>IFERROR(INDEX('nav master'!$C:$C, MATCH(B6366, 'nav master'!$B:$B, 0)), "")</f>
        <v>ULIF06618/01/18DiscvryFnd101</v>
      </c>
      <c r="E6366" s="8" t="s">
        <v>628</v>
      </c>
      <c r="F6366" s="8" t="s">
        <v>1116</v>
      </c>
    </row>
    <row r="6367" spans="1:6" ht="60" x14ac:dyDescent="0.25">
      <c r="A6367" s="8" t="s">
        <v>125</v>
      </c>
      <c r="B6367" s="8" t="s">
        <v>136</v>
      </c>
      <c r="C6367" s="8" t="str">
        <f>IFERROR(_xlfn.XLOOKUP(TRIM(B6367),Lookup!$B$2:$B$1000,Lookup!$C$2:$C$1000),"")</f>
        <v>Equity</v>
      </c>
      <c r="D6367" s="8" t="str">
        <f>IFERROR(INDEX('nav master'!$C:$C, MATCH(B6367, 'nav master'!$B:$B, 0)), "")</f>
        <v>ULIF06618/01/18DiscvryFnd101</v>
      </c>
      <c r="E6367" s="8" t="s">
        <v>630</v>
      </c>
      <c r="F6367" s="8" t="s">
        <v>1117</v>
      </c>
    </row>
    <row r="6368" spans="1:6" ht="60" x14ac:dyDescent="0.25">
      <c r="A6368" s="8" t="s">
        <v>125</v>
      </c>
      <c r="B6368" s="8" t="s">
        <v>136</v>
      </c>
      <c r="C6368" s="8" t="str">
        <f>IFERROR(_xlfn.XLOOKUP(TRIM(B6368),Lookup!$B$2:$B$1000,Lookup!$C$2:$C$1000),"")</f>
        <v>Equity</v>
      </c>
      <c r="D6368" s="8" t="str">
        <f>IFERROR(INDEX('nav master'!$C:$C, MATCH(B6368, 'nav master'!$B:$B, 0)), "")</f>
        <v>ULIF06618/01/18DiscvryFnd101</v>
      </c>
      <c r="E6368" s="8" t="s">
        <v>632</v>
      </c>
      <c r="F6368" s="8" t="s">
        <v>1118</v>
      </c>
    </row>
    <row r="6369" spans="1:6" ht="60" x14ac:dyDescent="0.25">
      <c r="A6369" s="8" t="s">
        <v>125</v>
      </c>
      <c r="B6369" s="8" t="s">
        <v>136</v>
      </c>
      <c r="C6369" s="8" t="str">
        <f>IFERROR(_xlfn.XLOOKUP(TRIM(B6369),Lookup!$B$2:$B$1000,Lookup!$C$2:$C$1000),"")</f>
        <v>Equity</v>
      </c>
      <c r="D6369" s="8" t="str">
        <f>IFERROR(INDEX('nav master'!$C:$C, MATCH(B6369, 'nav master'!$B:$B, 0)), "")</f>
        <v>ULIF06618/01/18DiscvryFnd101</v>
      </c>
      <c r="E6369" s="8" t="s">
        <v>634</v>
      </c>
      <c r="F6369" s="8" t="s">
        <v>1119</v>
      </c>
    </row>
    <row r="6370" spans="1:6" ht="60" x14ac:dyDescent="0.25">
      <c r="A6370" s="8" t="s">
        <v>125</v>
      </c>
      <c r="B6370" s="8" t="s">
        <v>136</v>
      </c>
      <c r="C6370" s="8" t="str">
        <f>IFERROR(_xlfn.XLOOKUP(TRIM(B6370),Lookup!$B$2:$B$1000,Lookup!$C$2:$C$1000),"")</f>
        <v>Equity</v>
      </c>
      <c r="D6370" s="8" t="str">
        <f>IFERROR(INDEX('nav master'!$C:$C, MATCH(B6370, 'nav master'!$B:$B, 0)), "")</f>
        <v>ULIF06618/01/18DiscvryFnd101</v>
      </c>
      <c r="E6370" s="8" t="s">
        <v>636</v>
      </c>
      <c r="F6370" s="8" t="s">
        <v>1120</v>
      </c>
    </row>
    <row r="6371" spans="1:6" ht="60" x14ac:dyDescent="0.25">
      <c r="A6371" s="8" t="s">
        <v>125</v>
      </c>
      <c r="B6371" s="8" t="s">
        <v>136</v>
      </c>
      <c r="C6371" s="8" t="str">
        <f>IFERROR(_xlfn.XLOOKUP(TRIM(B6371),Lookup!$B$2:$B$1000,Lookup!$C$2:$C$1000),"")</f>
        <v>Equity</v>
      </c>
      <c r="D6371" s="8" t="str">
        <f>IFERROR(INDEX('nav master'!$C:$C, MATCH(B6371, 'nav master'!$B:$B, 0)), "")</f>
        <v>ULIF06618/01/18DiscvryFnd101</v>
      </c>
      <c r="E6371" s="8" t="s">
        <v>638</v>
      </c>
      <c r="F6371" s="8" t="s">
        <v>1121</v>
      </c>
    </row>
    <row r="6372" spans="1:6" ht="60" x14ac:dyDescent="0.25">
      <c r="A6372" s="8" t="s">
        <v>125</v>
      </c>
      <c r="B6372" s="8" t="s">
        <v>136</v>
      </c>
      <c r="C6372" s="8" t="str">
        <f>IFERROR(_xlfn.XLOOKUP(TRIM(B6372),Lookup!$B$2:$B$1000,Lookup!$C$2:$C$1000),"")</f>
        <v>Equity</v>
      </c>
      <c r="D6372" s="8" t="str">
        <f>IFERROR(INDEX('nav master'!$C:$C, MATCH(B6372, 'nav master'!$B:$B, 0)), "")</f>
        <v>ULIF06618/01/18DiscvryFnd101</v>
      </c>
      <c r="E6372" s="8" t="s">
        <v>640</v>
      </c>
      <c r="F6372" s="8" t="s">
        <v>1122</v>
      </c>
    </row>
    <row r="6373" spans="1:6" ht="60" x14ac:dyDescent="0.25">
      <c r="A6373" s="8" t="s">
        <v>125</v>
      </c>
      <c r="B6373" s="8" t="s">
        <v>136</v>
      </c>
      <c r="C6373" s="8" t="str">
        <f>IFERROR(_xlfn.XLOOKUP(TRIM(B6373),Lookup!$B$2:$B$1000,Lookup!$C$2:$C$1000),"")</f>
        <v>Equity</v>
      </c>
      <c r="D6373" s="8" t="str">
        <f>IFERROR(INDEX('nav master'!$C:$C, MATCH(B6373, 'nav master'!$B:$B, 0)), "")</f>
        <v>ULIF06618/01/18DiscvryFnd101</v>
      </c>
      <c r="E6373" s="8" t="s">
        <v>642</v>
      </c>
      <c r="F6373" s="8" t="s">
        <v>1123</v>
      </c>
    </row>
    <row r="6374" spans="1:6" ht="60" x14ac:dyDescent="0.25">
      <c r="A6374" s="8" t="s">
        <v>125</v>
      </c>
      <c r="B6374" s="8" t="s">
        <v>136</v>
      </c>
      <c r="C6374" s="8" t="str">
        <f>IFERROR(_xlfn.XLOOKUP(TRIM(B6374),Lookup!$B$2:$B$1000,Lookup!$C$2:$C$1000),"")</f>
        <v>Equity</v>
      </c>
      <c r="D6374" s="8" t="str">
        <f>IFERROR(INDEX('nav master'!$C:$C, MATCH(B6374, 'nav master'!$B:$B, 0)), "")</f>
        <v>ULIF06618/01/18DiscvryFnd101</v>
      </c>
      <c r="E6374" s="8" t="s">
        <v>644</v>
      </c>
      <c r="F6374" s="8" t="s">
        <v>1124</v>
      </c>
    </row>
    <row r="6375" spans="1:6" ht="60" x14ac:dyDescent="0.25">
      <c r="A6375" s="8" t="s">
        <v>125</v>
      </c>
      <c r="B6375" s="8" t="s">
        <v>136</v>
      </c>
      <c r="C6375" s="8" t="str">
        <f>IFERROR(_xlfn.XLOOKUP(TRIM(B6375),Lookup!$B$2:$B$1000,Lookup!$C$2:$C$1000),"")</f>
        <v>Equity</v>
      </c>
      <c r="D6375" s="8" t="str">
        <f>IFERROR(INDEX('nav master'!$C:$C, MATCH(B6375, 'nav master'!$B:$B, 0)), "")</f>
        <v>ULIF06618/01/18DiscvryFnd101</v>
      </c>
      <c r="E6375" s="8" t="s">
        <v>646</v>
      </c>
      <c r="F6375" s="8" t="s">
        <v>1125</v>
      </c>
    </row>
    <row r="6376" spans="1:6" ht="60" x14ac:dyDescent="0.25">
      <c r="A6376" s="8" t="s">
        <v>125</v>
      </c>
      <c r="B6376" s="8" t="s">
        <v>136</v>
      </c>
      <c r="C6376" s="8" t="str">
        <f>IFERROR(_xlfn.XLOOKUP(TRIM(B6376),Lookup!$B$2:$B$1000,Lookup!$C$2:$C$1000),"")</f>
        <v>Equity</v>
      </c>
      <c r="D6376" s="8" t="str">
        <f>IFERROR(INDEX('nav master'!$C:$C, MATCH(B6376, 'nav master'!$B:$B, 0)), "")</f>
        <v>ULIF06618/01/18DiscvryFnd101</v>
      </c>
      <c r="E6376" s="8" t="s">
        <v>648</v>
      </c>
      <c r="F6376" s="8" t="s">
        <v>1126</v>
      </c>
    </row>
    <row r="6377" spans="1:6" ht="60" x14ac:dyDescent="0.25">
      <c r="A6377" s="8" t="s">
        <v>125</v>
      </c>
      <c r="B6377" s="8" t="s">
        <v>136</v>
      </c>
      <c r="C6377" s="8" t="str">
        <f>IFERROR(_xlfn.XLOOKUP(TRIM(B6377),Lookup!$B$2:$B$1000,Lookup!$C$2:$C$1000),"")</f>
        <v>Equity</v>
      </c>
      <c r="D6377" s="8" t="str">
        <f>IFERROR(INDEX('nav master'!$C:$C, MATCH(B6377, 'nav master'!$B:$B, 0)), "")</f>
        <v>ULIF06618/01/18DiscvryFnd101</v>
      </c>
      <c r="E6377" s="8" t="s">
        <v>650</v>
      </c>
      <c r="F6377" s="8" t="s">
        <v>1127</v>
      </c>
    </row>
    <row r="6378" spans="1:6" ht="60" x14ac:dyDescent="0.25">
      <c r="A6378" s="8" t="s">
        <v>125</v>
      </c>
      <c r="B6378" s="8" t="s">
        <v>136</v>
      </c>
      <c r="C6378" s="8" t="str">
        <f>IFERROR(_xlfn.XLOOKUP(TRIM(B6378),Lookup!$B$2:$B$1000,Lookup!$C$2:$C$1000),"")</f>
        <v>Equity</v>
      </c>
      <c r="D6378" s="8" t="str">
        <f>IFERROR(INDEX('nav master'!$C:$C, MATCH(B6378, 'nav master'!$B:$B, 0)), "")</f>
        <v>ULIF06618/01/18DiscvryFnd101</v>
      </c>
      <c r="E6378" s="8" t="s">
        <v>652</v>
      </c>
      <c r="F6378" s="8" t="s">
        <v>1128</v>
      </c>
    </row>
    <row r="6379" spans="1:6" ht="60" x14ac:dyDescent="0.25">
      <c r="A6379" s="8" t="s">
        <v>125</v>
      </c>
      <c r="B6379" s="8" t="s">
        <v>136</v>
      </c>
      <c r="C6379" s="8" t="str">
        <f>IFERROR(_xlfn.XLOOKUP(TRIM(B6379),Lookup!$B$2:$B$1000,Lookup!$C$2:$C$1000),"")</f>
        <v>Equity</v>
      </c>
      <c r="D6379" s="8" t="str">
        <f>IFERROR(INDEX('nav master'!$C:$C, MATCH(B6379, 'nav master'!$B:$B, 0)), "")</f>
        <v>ULIF06618/01/18DiscvryFnd101</v>
      </c>
      <c r="E6379" s="8" t="s">
        <v>654</v>
      </c>
      <c r="F6379" s="8" t="s">
        <v>1129</v>
      </c>
    </row>
    <row r="6380" spans="1:6" ht="60" x14ac:dyDescent="0.25">
      <c r="A6380" s="8" t="s">
        <v>125</v>
      </c>
      <c r="B6380" s="8" t="s">
        <v>136</v>
      </c>
      <c r="C6380" s="8" t="str">
        <f>IFERROR(_xlfn.XLOOKUP(TRIM(B6380),Lookup!$B$2:$B$1000,Lookup!$C$2:$C$1000),"")</f>
        <v>Equity</v>
      </c>
      <c r="D6380" s="8" t="str">
        <f>IFERROR(INDEX('nav master'!$C:$C, MATCH(B6380, 'nav master'!$B:$B, 0)), "")</f>
        <v>ULIF06618/01/18DiscvryFnd101</v>
      </c>
      <c r="E6380" s="8" t="s">
        <v>656</v>
      </c>
      <c r="F6380" s="8" t="s">
        <v>1130</v>
      </c>
    </row>
    <row r="6381" spans="1:6" ht="60" x14ac:dyDescent="0.25">
      <c r="A6381" s="8" t="s">
        <v>125</v>
      </c>
      <c r="B6381" s="8" t="s">
        <v>136</v>
      </c>
      <c r="C6381" s="8" t="str">
        <f>IFERROR(_xlfn.XLOOKUP(TRIM(B6381),Lookup!$B$2:$B$1000,Lookup!$C$2:$C$1000),"")</f>
        <v>Equity</v>
      </c>
      <c r="D6381" s="8" t="str">
        <f>IFERROR(INDEX('nav master'!$C:$C, MATCH(B6381, 'nav master'!$B:$B, 0)), "")</f>
        <v>ULIF06618/01/18DiscvryFnd101</v>
      </c>
      <c r="E6381" s="8" t="s">
        <v>658</v>
      </c>
      <c r="F6381" s="8" t="s">
        <v>1131</v>
      </c>
    </row>
    <row r="6382" spans="1:6" ht="60" x14ac:dyDescent="0.25">
      <c r="A6382" s="8" t="s">
        <v>125</v>
      </c>
      <c r="B6382" s="8" t="s">
        <v>136</v>
      </c>
      <c r="C6382" s="8" t="str">
        <f>IFERROR(_xlfn.XLOOKUP(TRIM(B6382),Lookup!$B$2:$B$1000,Lookup!$C$2:$C$1000),"")</f>
        <v>Equity</v>
      </c>
      <c r="D6382" s="8" t="str">
        <f>IFERROR(INDEX('nav master'!$C:$C, MATCH(B6382, 'nav master'!$B:$B, 0)), "")</f>
        <v>ULIF06618/01/18DiscvryFnd101</v>
      </c>
      <c r="E6382" s="8" t="s">
        <v>660</v>
      </c>
      <c r="F6382" s="8" t="s">
        <v>1132</v>
      </c>
    </row>
    <row r="6383" spans="1:6" ht="60" x14ac:dyDescent="0.25">
      <c r="A6383" s="8" t="s">
        <v>125</v>
      </c>
      <c r="B6383" s="8" t="s">
        <v>136</v>
      </c>
      <c r="C6383" s="8" t="str">
        <f>IFERROR(_xlfn.XLOOKUP(TRIM(B6383),Lookup!$B$2:$B$1000,Lookup!$C$2:$C$1000),"")</f>
        <v>Equity</v>
      </c>
      <c r="D6383" s="8" t="str">
        <f>IFERROR(INDEX('nav master'!$C:$C, MATCH(B6383, 'nav master'!$B:$B, 0)), "")</f>
        <v>ULIF06618/01/18DiscvryFnd101</v>
      </c>
      <c r="E6383" s="8" t="s">
        <v>662</v>
      </c>
      <c r="F6383" s="8" t="s">
        <v>1133</v>
      </c>
    </row>
    <row r="6384" spans="1:6" ht="60" x14ac:dyDescent="0.25">
      <c r="A6384" s="8" t="s">
        <v>125</v>
      </c>
      <c r="B6384" s="8" t="s">
        <v>136</v>
      </c>
      <c r="C6384" s="8" t="str">
        <f>IFERROR(_xlfn.XLOOKUP(TRIM(B6384),Lookup!$B$2:$B$1000,Lookup!$C$2:$C$1000),"")</f>
        <v>Equity</v>
      </c>
      <c r="D6384" s="8" t="str">
        <f>IFERROR(INDEX('nav master'!$C:$C, MATCH(B6384, 'nav master'!$B:$B, 0)), "")</f>
        <v>ULIF06618/01/18DiscvryFnd101</v>
      </c>
      <c r="E6384" s="8" t="s">
        <v>664</v>
      </c>
      <c r="F6384" s="8" t="s">
        <v>1134</v>
      </c>
    </row>
    <row r="6385" spans="1:6" ht="60" x14ac:dyDescent="0.25">
      <c r="A6385" s="8" t="s">
        <v>125</v>
      </c>
      <c r="B6385" s="8" t="s">
        <v>136</v>
      </c>
      <c r="C6385" s="8" t="str">
        <f>IFERROR(_xlfn.XLOOKUP(TRIM(B6385),Lookup!$B$2:$B$1000,Lookup!$C$2:$C$1000),"")</f>
        <v>Equity</v>
      </c>
      <c r="D6385" s="8" t="str">
        <f>IFERROR(INDEX('nav master'!$C:$C, MATCH(B6385, 'nav master'!$B:$B, 0)), "")</f>
        <v>ULIF06618/01/18DiscvryFnd101</v>
      </c>
      <c r="E6385" s="8" t="s">
        <v>4892</v>
      </c>
      <c r="F6385" s="8" t="s">
        <v>4915</v>
      </c>
    </row>
    <row r="6386" spans="1:6" ht="60" x14ac:dyDescent="0.25">
      <c r="A6386" s="8" t="s">
        <v>125</v>
      </c>
      <c r="B6386" s="8" t="s">
        <v>136</v>
      </c>
      <c r="C6386" s="8" t="str">
        <f>IFERROR(_xlfn.XLOOKUP(TRIM(B6386),Lookup!$B$2:$B$1000,Lookup!$C$2:$C$1000),"")</f>
        <v>Equity</v>
      </c>
      <c r="D6386" s="8" t="str">
        <f>IFERROR(INDEX('nav master'!$C:$C, MATCH(B6386, 'nav master'!$B:$B, 0)), "")</f>
        <v>ULIF06618/01/18DiscvryFnd101</v>
      </c>
      <c r="E6386" s="8" t="s">
        <v>4894</v>
      </c>
      <c r="F6386" s="8" t="s">
        <v>4916</v>
      </c>
    </row>
    <row r="6387" spans="1:6" ht="60" x14ac:dyDescent="0.25">
      <c r="A6387" s="8" t="s">
        <v>125</v>
      </c>
      <c r="B6387" s="8" t="s">
        <v>136</v>
      </c>
      <c r="C6387" s="8" t="str">
        <f>IFERROR(_xlfn.XLOOKUP(TRIM(B6387),Lookup!$B$2:$B$1000,Lookup!$C$2:$C$1000),"")</f>
        <v>Equity</v>
      </c>
      <c r="D6387" s="8" t="str">
        <f>IFERROR(INDEX('nav master'!$C:$C, MATCH(B6387, 'nav master'!$B:$B, 0)), "")</f>
        <v>ULIF06618/01/18DiscvryFnd101</v>
      </c>
      <c r="E6387" s="8" t="s">
        <v>4896</v>
      </c>
      <c r="F6387" s="8" t="s">
        <v>4917</v>
      </c>
    </row>
    <row r="6388" spans="1:6" ht="60" x14ac:dyDescent="0.25">
      <c r="A6388" s="8" t="s">
        <v>125</v>
      </c>
      <c r="B6388" s="8" t="s">
        <v>136</v>
      </c>
      <c r="C6388" s="8" t="str">
        <f>IFERROR(_xlfn.XLOOKUP(TRIM(B6388),Lookup!$B$2:$B$1000,Lookup!$C$2:$C$1000),"")</f>
        <v>Equity</v>
      </c>
      <c r="D6388" s="8" t="str">
        <f>IFERROR(INDEX('nav master'!$C:$C, MATCH(B6388, 'nav master'!$B:$B, 0)), "")</f>
        <v>ULIF06618/01/18DiscvryFnd101</v>
      </c>
      <c r="E6388" s="8" t="s">
        <v>4898</v>
      </c>
      <c r="F6388" s="8" t="s">
        <v>4918</v>
      </c>
    </row>
    <row r="6389" spans="1:6" ht="60" x14ac:dyDescent="0.25">
      <c r="A6389" s="8" t="s">
        <v>125</v>
      </c>
      <c r="B6389" s="8" t="s">
        <v>136</v>
      </c>
      <c r="C6389" s="8" t="str">
        <f>IFERROR(_xlfn.XLOOKUP(TRIM(B6389),Lookup!$B$2:$B$1000,Lookup!$C$2:$C$1000),"")</f>
        <v>Equity</v>
      </c>
      <c r="D6389" s="8" t="str">
        <f>IFERROR(INDEX('nav master'!$C:$C, MATCH(B6389, 'nav master'!$B:$B, 0)), "")</f>
        <v>ULIF06618/01/18DiscvryFnd101</v>
      </c>
      <c r="E6389" s="8" t="s">
        <v>4900</v>
      </c>
      <c r="F6389" s="8" t="s">
        <v>4919</v>
      </c>
    </row>
    <row r="6390" spans="1:6" ht="60" x14ac:dyDescent="0.25">
      <c r="A6390" s="8" t="s">
        <v>125</v>
      </c>
      <c r="B6390" s="8" t="s">
        <v>136</v>
      </c>
      <c r="C6390" s="8" t="str">
        <f>IFERROR(_xlfn.XLOOKUP(TRIM(B6390),Lookup!$B$2:$B$1000,Lookup!$C$2:$C$1000),"")</f>
        <v>Equity</v>
      </c>
      <c r="D6390" s="8" t="str">
        <f>IFERROR(INDEX('nav master'!$C:$C, MATCH(B6390, 'nav master'!$B:$B, 0)), "")</f>
        <v>ULIF06618/01/18DiscvryFnd101</v>
      </c>
      <c r="E6390" s="8" t="s">
        <v>4902</v>
      </c>
      <c r="F6390" s="8" t="s">
        <v>4920</v>
      </c>
    </row>
    <row r="6391" spans="1:6" ht="60" x14ac:dyDescent="0.25">
      <c r="A6391" s="8" t="s">
        <v>125</v>
      </c>
      <c r="B6391" s="8" t="s">
        <v>136</v>
      </c>
      <c r="C6391" s="8" t="str">
        <f>IFERROR(_xlfn.XLOOKUP(TRIM(B6391),Lookup!$B$2:$B$1000,Lookup!$C$2:$C$1000),"")</f>
        <v>Equity</v>
      </c>
      <c r="D6391" s="8" t="str">
        <f>IFERROR(INDEX('nav master'!$C:$C, MATCH(B6391, 'nav master'!$B:$B, 0)), "")</f>
        <v>ULIF06618/01/18DiscvryFnd101</v>
      </c>
      <c r="E6391" s="8" t="s">
        <v>4903</v>
      </c>
      <c r="F6391" s="8" t="s">
        <v>4921</v>
      </c>
    </row>
    <row r="6392" spans="1:6" ht="60" x14ac:dyDescent="0.25">
      <c r="A6392" s="8" t="s">
        <v>125</v>
      </c>
      <c r="B6392" s="8" t="s">
        <v>136</v>
      </c>
      <c r="C6392" s="8" t="str">
        <f>IFERROR(_xlfn.XLOOKUP(TRIM(B6392),Lookup!$B$2:$B$1000,Lookup!$C$2:$C$1000),"")</f>
        <v>Equity</v>
      </c>
      <c r="D6392" s="8" t="str">
        <f>IFERROR(INDEX('nav master'!$C:$C, MATCH(B6392, 'nav master'!$B:$B, 0)), "")</f>
        <v>ULIF06618/01/18DiscvryFnd101</v>
      </c>
      <c r="E6392" s="8" t="s">
        <v>4905</v>
      </c>
      <c r="F6392" s="8" t="s">
        <v>4922</v>
      </c>
    </row>
    <row r="6393" spans="1:6" ht="75" x14ac:dyDescent="0.25">
      <c r="A6393" s="8" t="s">
        <v>125</v>
      </c>
      <c r="B6393" s="8" t="s">
        <v>161</v>
      </c>
      <c r="C6393" s="8" t="str">
        <f>IFERROR(_xlfn.XLOOKUP(TRIM(B6393),Lookup!$B$2:$B$1000,Lookup!$C$2:$C$1000),"")</f>
        <v>Equity</v>
      </c>
      <c r="D6393" s="8" t="str">
        <f>IFERROR(INDEX('nav master'!$C:$C, MATCH(B6393, 'nav master'!$B:$B, 0)), "")</f>
        <v>ULIF08421/11/25InCnsmAdFd101</v>
      </c>
      <c r="E6393" s="8" t="s">
        <v>359</v>
      </c>
      <c r="F6393" s="8" t="s">
        <v>1603</v>
      </c>
    </row>
    <row r="6394" spans="1:6" ht="75" x14ac:dyDescent="0.25">
      <c r="A6394" s="8" t="s">
        <v>125</v>
      </c>
      <c r="B6394" s="8" t="s">
        <v>161</v>
      </c>
      <c r="C6394" s="8" t="str">
        <f>IFERROR(_xlfn.XLOOKUP(TRIM(B6394),Lookup!$B$2:$B$1000,Lookup!$C$2:$C$1000),"")</f>
        <v>Equity</v>
      </c>
      <c r="D6394" s="8" t="str">
        <f>IFERROR(INDEX('nav master'!$C:$C, MATCH(B6394, 'nav master'!$B:$B, 0)), "")</f>
        <v>ULIF08421/11/25InCnsmAdFd101</v>
      </c>
      <c r="E6394" s="8" t="s">
        <v>361</v>
      </c>
      <c r="F6394" s="8" t="s">
        <v>1604</v>
      </c>
    </row>
    <row r="6395" spans="1:6" ht="75" x14ac:dyDescent="0.25">
      <c r="A6395" s="8" t="s">
        <v>125</v>
      </c>
      <c r="B6395" s="8" t="s">
        <v>161</v>
      </c>
      <c r="C6395" s="8" t="str">
        <f>IFERROR(_xlfn.XLOOKUP(TRIM(B6395),Lookup!$B$2:$B$1000,Lookup!$C$2:$C$1000),"")</f>
        <v>Equity</v>
      </c>
      <c r="D6395" s="8" t="str">
        <f>IFERROR(INDEX('nav master'!$C:$C, MATCH(B6395, 'nav master'!$B:$B, 0)), "")</f>
        <v>ULIF08421/11/25InCnsmAdFd101</v>
      </c>
      <c r="E6395" s="8" t="s">
        <v>363</v>
      </c>
      <c r="F6395" s="8" t="s">
        <v>1605</v>
      </c>
    </row>
    <row r="6396" spans="1:6" ht="75" x14ac:dyDescent="0.25">
      <c r="A6396" s="8" t="s">
        <v>125</v>
      </c>
      <c r="B6396" s="8" t="s">
        <v>161</v>
      </c>
      <c r="C6396" s="8" t="str">
        <f>IFERROR(_xlfn.XLOOKUP(TRIM(B6396),Lookup!$B$2:$B$1000,Lookup!$C$2:$C$1000),"")</f>
        <v>Equity</v>
      </c>
      <c r="D6396" s="8" t="str">
        <f>IFERROR(INDEX('nav master'!$C:$C, MATCH(B6396, 'nav master'!$B:$B, 0)), "")</f>
        <v>ULIF08421/11/25InCnsmAdFd101</v>
      </c>
      <c r="E6396" s="8" t="s">
        <v>365</v>
      </c>
      <c r="F6396" s="8" t="s">
        <v>1606</v>
      </c>
    </row>
    <row r="6397" spans="1:6" ht="75" x14ac:dyDescent="0.25">
      <c r="A6397" s="8" t="s">
        <v>125</v>
      </c>
      <c r="B6397" s="8" t="s">
        <v>161</v>
      </c>
      <c r="C6397" s="8" t="str">
        <f>IFERROR(_xlfn.XLOOKUP(TRIM(B6397),Lookup!$B$2:$B$1000,Lookup!$C$2:$C$1000),"")</f>
        <v>Equity</v>
      </c>
      <c r="D6397" s="8" t="str">
        <f>IFERROR(INDEX('nav master'!$C:$C, MATCH(B6397, 'nav master'!$B:$B, 0)), "")</f>
        <v>ULIF08421/11/25InCnsmAdFd101</v>
      </c>
      <c r="E6397" s="8" t="s">
        <v>367</v>
      </c>
      <c r="F6397" s="8" t="s">
        <v>1607</v>
      </c>
    </row>
    <row r="6398" spans="1:6" ht="75" x14ac:dyDescent="0.25">
      <c r="A6398" s="8" t="s">
        <v>125</v>
      </c>
      <c r="B6398" s="8" t="s">
        <v>161</v>
      </c>
      <c r="C6398" s="8" t="str">
        <f>IFERROR(_xlfn.XLOOKUP(TRIM(B6398),Lookup!$B$2:$B$1000,Lookup!$C$2:$C$1000),"")</f>
        <v>Equity</v>
      </c>
      <c r="D6398" s="8" t="str">
        <f>IFERROR(INDEX('nav master'!$C:$C, MATCH(B6398, 'nav master'!$B:$B, 0)), "")</f>
        <v>ULIF08421/11/25InCnsmAdFd101</v>
      </c>
      <c r="E6398" s="8" t="s">
        <v>369</v>
      </c>
      <c r="F6398" s="8" t="s">
        <v>1608</v>
      </c>
    </row>
    <row r="6399" spans="1:6" ht="75" x14ac:dyDescent="0.25">
      <c r="A6399" s="8" t="s">
        <v>125</v>
      </c>
      <c r="B6399" s="8" t="s">
        <v>161</v>
      </c>
      <c r="C6399" s="8" t="str">
        <f>IFERROR(_xlfn.XLOOKUP(TRIM(B6399),Lookup!$B$2:$B$1000,Lookup!$C$2:$C$1000),"")</f>
        <v>Equity</v>
      </c>
      <c r="D6399" s="8" t="str">
        <f>IFERROR(INDEX('nav master'!$C:$C, MATCH(B6399, 'nav master'!$B:$B, 0)), "")</f>
        <v>ULIF08421/11/25InCnsmAdFd101</v>
      </c>
      <c r="E6399" s="8" t="s">
        <v>371</v>
      </c>
      <c r="F6399" s="8" t="s">
        <v>1609</v>
      </c>
    </row>
    <row r="6400" spans="1:6" ht="75" x14ac:dyDescent="0.25">
      <c r="A6400" s="8" t="s">
        <v>125</v>
      </c>
      <c r="B6400" s="8" t="s">
        <v>161</v>
      </c>
      <c r="C6400" s="8" t="str">
        <f>IFERROR(_xlfn.XLOOKUP(TRIM(B6400),Lookup!$B$2:$B$1000,Lookup!$C$2:$C$1000),"")</f>
        <v>Equity</v>
      </c>
      <c r="D6400" s="8" t="str">
        <f>IFERROR(INDEX('nav master'!$C:$C, MATCH(B6400, 'nav master'!$B:$B, 0)), "")</f>
        <v>ULIF08421/11/25InCnsmAdFd101</v>
      </c>
      <c r="E6400" s="8" t="s">
        <v>373</v>
      </c>
      <c r="F6400" s="8" t="s">
        <v>1610</v>
      </c>
    </row>
    <row r="6401" spans="1:6" ht="75" x14ac:dyDescent="0.25">
      <c r="A6401" s="8" t="s">
        <v>125</v>
      </c>
      <c r="B6401" s="8" t="s">
        <v>161</v>
      </c>
      <c r="C6401" s="8" t="str">
        <f>IFERROR(_xlfn.XLOOKUP(TRIM(B6401),Lookup!$B$2:$B$1000,Lookup!$C$2:$C$1000),"")</f>
        <v>Equity</v>
      </c>
      <c r="D6401" s="8" t="str">
        <f>IFERROR(INDEX('nav master'!$C:$C, MATCH(B6401, 'nav master'!$B:$B, 0)), "")</f>
        <v>ULIF08421/11/25InCnsmAdFd101</v>
      </c>
      <c r="E6401" s="8" t="s">
        <v>375</v>
      </c>
      <c r="F6401" s="8" t="s">
        <v>1611</v>
      </c>
    </row>
    <row r="6402" spans="1:6" ht="75" x14ac:dyDescent="0.25">
      <c r="A6402" s="8" t="s">
        <v>125</v>
      </c>
      <c r="B6402" s="8" t="s">
        <v>161</v>
      </c>
      <c r="C6402" s="8" t="str">
        <f>IFERROR(_xlfn.XLOOKUP(TRIM(B6402),Lookup!$B$2:$B$1000,Lookup!$C$2:$C$1000),"")</f>
        <v>Equity</v>
      </c>
      <c r="D6402" s="8" t="str">
        <f>IFERROR(INDEX('nav master'!$C:$C, MATCH(B6402, 'nav master'!$B:$B, 0)), "")</f>
        <v>ULIF08421/11/25InCnsmAdFd101</v>
      </c>
      <c r="E6402" s="8" t="s">
        <v>377</v>
      </c>
      <c r="F6402" s="8" t="s">
        <v>1612</v>
      </c>
    </row>
    <row r="6403" spans="1:6" ht="75" x14ac:dyDescent="0.25">
      <c r="A6403" s="8" t="s">
        <v>125</v>
      </c>
      <c r="B6403" s="8" t="s">
        <v>161</v>
      </c>
      <c r="C6403" s="8" t="str">
        <f>IFERROR(_xlfn.XLOOKUP(TRIM(B6403),Lookup!$B$2:$B$1000,Lookup!$C$2:$C$1000),"")</f>
        <v>Equity</v>
      </c>
      <c r="D6403" s="8" t="str">
        <f>IFERROR(INDEX('nav master'!$C:$C, MATCH(B6403, 'nav master'!$B:$B, 0)), "")</f>
        <v>ULIF08421/11/25InCnsmAdFd101</v>
      </c>
      <c r="E6403" s="8" t="s">
        <v>379</v>
      </c>
      <c r="F6403" s="8" t="s">
        <v>1613</v>
      </c>
    </row>
    <row r="6404" spans="1:6" ht="75" x14ac:dyDescent="0.25">
      <c r="A6404" s="8" t="s">
        <v>125</v>
      </c>
      <c r="B6404" s="8" t="s">
        <v>161</v>
      </c>
      <c r="C6404" s="8" t="str">
        <f>IFERROR(_xlfn.XLOOKUP(TRIM(B6404),Lookup!$B$2:$B$1000,Lookup!$C$2:$C$1000),"")</f>
        <v>Equity</v>
      </c>
      <c r="D6404" s="8" t="str">
        <f>IFERROR(INDEX('nav master'!$C:$C, MATCH(B6404, 'nav master'!$B:$B, 0)), "")</f>
        <v>ULIF08421/11/25InCnsmAdFd101</v>
      </c>
      <c r="E6404" s="8" t="s">
        <v>381</v>
      </c>
      <c r="F6404" s="8" t="s">
        <v>1614</v>
      </c>
    </row>
    <row r="6405" spans="1:6" ht="75" x14ac:dyDescent="0.25">
      <c r="A6405" s="8" t="s">
        <v>125</v>
      </c>
      <c r="B6405" s="8" t="s">
        <v>161</v>
      </c>
      <c r="C6405" s="8" t="str">
        <f>IFERROR(_xlfn.XLOOKUP(TRIM(B6405),Lookup!$B$2:$B$1000,Lookup!$C$2:$C$1000),"")</f>
        <v>Equity</v>
      </c>
      <c r="D6405" s="8" t="str">
        <f>IFERROR(INDEX('nav master'!$C:$C, MATCH(B6405, 'nav master'!$B:$B, 0)), "")</f>
        <v>ULIF08421/11/25InCnsmAdFd101</v>
      </c>
      <c r="E6405" s="8" t="s">
        <v>383</v>
      </c>
      <c r="F6405" s="8" t="s">
        <v>1615</v>
      </c>
    </row>
    <row r="6406" spans="1:6" ht="75" x14ac:dyDescent="0.25">
      <c r="A6406" s="8" t="s">
        <v>125</v>
      </c>
      <c r="B6406" s="8" t="s">
        <v>161</v>
      </c>
      <c r="C6406" s="8" t="str">
        <f>IFERROR(_xlfn.XLOOKUP(TRIM(B6406),Lookup!$B$2:$B$1000,Lookup!$C$2:$C$1000),"")</f>
        <v>Equity</v>
      </c>
      <c r="D6406" s="8" t="str">
        <f>IFERROR(INDEX('nav master'!$C:$C, MATCH(B6406, 'nav master'!$B:$B, 0)), "")</f>
        <v>ULIF08421/11/25InCnsmAdFd101</v>
      </c>
      <c r="E6406" s="8" t="s">
        <v>385</v>
      </c>
      <c r="F6406" s="8" t="s">
        <v>1616</v>
      </c>
    </row>
    <row r="6407" spans="1:6" ht="75" x14ac:dyDescent="0.25">
      <c r="A6407" s="8" t="s">
        <v>125</v>
      </c>
      <c r="B6407" s="8" t="s">
        <v>161</v>
      </c>
      <c r="C6407" s="8" t="str">
        <f>IFERROR(_xlfn.XLOOKUP(TRIM(B6407),Lookup!$B$2:$B$1000,Lookup!$C$2:$C$1000),"")</f>
        <v>Equity</v>
      </c>
      <c r="D6407" s="8" t="str">
        <f>IFERROR(INDEX('nav master'!$C:$C, MATCH(B6407, 'nav master'!$B:$B, 0)), "")</f>
        <v>ULIF08421/11/25InCnsmAdFd101</v>
      </c>
      <c r="E6407" s="8" t="s">
        <v>387</v>
      </c>
      <c r="F6407" s="8" t="s">
        <v>1617</v>
      </c>
    </row>
    <row r="6408" spans="1:6" ht="75" x14ac:dyDescent="0.25">
      <c r="A6408" s="8" t="s">
        <v>125</v>
      </c>
      <c r="B6408" s="8" t="s">
        <v>161</v>
      </c>
      <c r="C6408" s="8" t="str">
        <f>IFERROR(_xlfn.XLOOKUP(TRIM(B6408),Lookup!$B$2:$B$1000,Lookup!$C$2:$C$1000),"")</f>
        <v>Equity</v>
      </c>
      <c r="D6408" s="8" t="str">
        <f>IFERROR(INDEX('nav master'!$C:$C, MATCH(B6408, 'nav master'!$B:$B, 0)), "")</f>
        <v>ULIF08421/11/25InCnsmAdFd101</v>
      </c>
      <c r="E6408" s="8" t="s">
        <v>389</v>
      </c>
      <c r="F6408" s="8" t="s">
        <v>1618</v>
      </c>
    </row>
    <row r="6409" spans="1:6" ht="75" x14ac:dyDescent="0.25">
      <c r="A6409" s="8" t="s">
        <v>125</v>
      </c>
      <c r="B6409" s="8" t="s">
        <v>161</v>
      </c>
      <c r="C6409" s="8" t="str">
        <f>IFERROR(_xlfn.XLOOKUP(TRIM(B6409),Lookup!$B$2:$B$1000,Lookup!$C$2:$C$1000),"")</f>
        <v>Equity</v>
      </c>
      <c r="D6409" s="8" t="str">
        <f>IFERROR(INDEX('nav master'!$C:$C, MATCH(B6409, 'nav master'!$B:$B, 0)), "")</f>
        <v>ULIF08421/11/25InCnsmAdFd101</v>
      </c>
      <c r="E6409" s="8" t="s">
        <v>391</v>
      </c>
      <c r="F6409" s="8" t="s">
        <v>1619</v>
      </c>
    </row>
    <row r="6410" spans="1:6" ht="75" x14ac:dyDescent="0.25">
      <c r="A6410" s="8" t="s">
        <v>125</v>
      </c>
      <c r="B6410" s="8" t="s">
        <v>161</v>
      </c>
      <c r="C6410" s="8" t="str">
        <f>IFERROR(_xlfn.XLOOKUP(TRIM(B6410),Lookup!$B$2:$B$1000,Lookup!$C$2:$C$1000),"")</f>
        <v>Equity</v>
      </c>
      <c r="D6410" s="8" t="str">
        <f>IFERROR(INDEX('nav master'!$C:$C, MATCH(B6410, 'nav master'!$B:$B, 0)), "")</f>
        <v>ULIF08421/11/25InCnsmAdFd101</v>
      </c>
      <c r="E6410" s="8" t="s">
        <v>393</v>
      </c>
      <c r="F6410" s="8" t="s">
        <v>1620</v>
      </c>
    </row>
    <row r="6411" spans="1:6" ht="75" x14ac:dyDescent="0.25">
      <c r="A6411" s="8" t="s">
        <v>125</v>
      </c>
      <c r="B6411" s="8" t="s">
        <v>161</v>
      </c>
      <c r="C6411" s="8" t="str">
        <f>IFERROR(_xlfn.XLOOKUP(TRIM(B6411),Lookup!$B$2:$B$1000,Lookup!$C$2:$C$1000),"")</f>
        <v>Equity</v>
      </c>
      <c r="D6411" s="8" t="str">
        <f>IFERROR(INDEX('nav master'!$C:$C, MATCH(B6411, 'nav master'!$B:$B, 0)), "")</f>
        <v>ULIF08421/11/25InCnsmAdFd101</v>
      </c>
      <c r="E6411" s="8" t="s">
        <v>395</v>
      </c>
      <c r="F6411" s="8" t="s">
        <v>1621</v>
      </c>
    </row>
    <row r="6412" spans="1:6" ht="75" x14ac:dyDescent="0.25">
      <c r="A6412" s="8" t="s">
        <v>125</v>
      </c>
      <c r="B6412" s="8" t="s">
        <v>161</v>
      </c>
      <c r="C6412" s="8" t="str">
        <f>IFERROR(_xlfn.XLOOKUP(TRIM(B6412),Lookup!$B$2:$B$1000,Lookup!$C$2:$C$1000),"")</f>
        <v>Equity</v>
      </c>
      <c r="D6412" s="8" t="str">
        <f>IFERROR(INDEX('nav master'!$C:$C, MATCH(B6412, 'nav master'!$B:$B, 0)), "")</f>
        <v>ULIF08421/11/25InCnsmAdFd101</v>
      </c>
      <c r="E6412" s="8" t="s">
        <v>397</v>
      </c>
      <c r="F6412" s="8" t="s">
        <v>1622</v>
      </c>
    </row>
    <row r="6413" spans="1:6" ht="75" x14ac:dyDescent="0.25">
      <c r="A6413" s="8" t="s">
        <v>125</v>
      </c>
      <c r="B6413" s="8" t="s">
        <v>161</v>
      </c>
      <c r="C6413" s="8" t="str">
        <f>IFERROR(_xlfn.XLOOKUP(TRIM(B6413),Lookup!$B$2:$B$1000,Lookup!$C$2:$C$1000),"")</f>
        <v>Equity</v>
      </c>
      <c r="D6413" s="8" t="str">
        <f>IFERROR(INDEX('nav master'!$C:$C, MATCH(B6413, 'nav master'!$B:$B, 0)), "")</f>
        <v>ULIF08421/11/25InCnsmAdFd101</v>
      </c>
      <c r="E6413" s="8" t="s">
        <v>399</v>
      </c>
      <c r="F6413" s="8" t="s">
        <v>1623</v>
      </c>
    </row>
    <row r="6414" spans="1:6" ht="75" x14ac:dyDescent="0.25">
      <c r="A6414" s="8" t="s">
        <v>125</v>
      </c>
      <c r="B6414" s="8" t="s">
        <v>161</v>
      </c>
      <c r="C6414" s="8" t="str">
        <f>IFERROR(_xlfn.XLOOKUP(TRIM(B6414),Lookup!$B$2:$B$1000,Lookup!$C$2:$C$1000),"")</f>
        <v>Equity</v>
      </c>
      <c r="D6414" s="8" t="str">
        <f>IFERROR(INDEX('nav master'!$C:$C, MATCH(B6414, 'nav master'!$B:$B, 0)), "")</f>
        <v>ULIF08421/11/25InCnsmAdFd101</v>
      </c>
      <c r="E6414" s="8" t="s">
        <v>401</v>
      </c>
      <c r="F6414" s="8" t="s">
        <v>1624</v>
      </c>
    </row>
    <row r="6415" spans="1:6" ht="75" x14ac:dyDescent="0.25">
      <c r="A6415" s="8" t="s">
        <v>125</v>
      </c>
      <c r="B6415" s="8" t="s">
        <v>161</v>
      </c>
      <c r="C6415" s="8" t="str">
        <f>IFERROR(_xlfn.XLOOKUP(TRIM(B6415),Lookup!$B$2:$B$1000,Lookup!$C$2:$C$1000),"")</f>
        <v>Equity</v>
      </c>
      <c r="D6415" s="8" t="str">
        <f>IFERROR(INDEX('nav master'!$C:$C, MATCH(B6415, 'nav master'!$B:$B, 0)), "")</f>
        <v>ULIF08421/11/25InCnsmAdFd101</v>
      </c>
      <c r="E6415" s="8" t="s">
        <v>403</v>
      </c>
      <c r="F6415" s="8" t="s">
        <v>1625</v>
      </c>
    </row>
    <row r="6416" spans="1:6" ht="75" x14ac:dyDescent="0.25">
      <c r="A6416" s="8" t="s">
        <v>125</v>
      </c>
      <c r="B6416" s="8" t="s">
        <v>161</v>
      </c>
      <c r="C6416" s="8" t="str">
        <f>IFERROR(_xlfn.XLOOKUP(TRIM(B6416),Lookup!$B$2:$B$1000,Lookup!$C$2:$C$1000),"")</f>
        <v>Equity</v>
      </c>
      <c r="D6416" s="8" t="str">
        <f>IFERROR(INDEX('nav master'!$C:$C, MATCH(B6416, 'nav master'!$B:$B, 0)), "")</f>
        <v>ULIF08421/11/25InCnsmAdFd101</v>
      </c>
      <c r="E6416" s="8" t="s">
        <v>405</v>
      </c>
      <c r="F6416" s="8" t="s">
        <v>1626</v>
      </c>
    </row>
    <row r="6417" spans="1:6" ht="75" x14ac:dyDescent="0.25">
      <c r="A6417" s="8" t="s">
        <v>125</v>
      </c>
      <c r="B6417" s="8" t="s">
        <v>161</v>
      </c>
      <c r="C6417" s="8" t="str">
        <f>IFERROR(_xlfn.XLOOKUP(TRIM(B6417),Lookup!$B$2:$B$1000,Lookup!$C$2:$C$1000),"")</f>
        <v>Equity</v>
      </c>
      <c r="D6417" s="8" t="str">
        <f>IFERROR(INDEX('nav master'!$C:$C, MATCH(B6417, 'nav master'!$B:$B, 0)), "")</f>
        <v>ULIF08421/11/25InCnsmAdFd101</v>
      </c>
      <c r="E6417" s="8" t="s">
        <v>407</v>
      </c>
      <c r="F6417" s="8" t="s">
        <v>1627</v>
      </c>
    </row>
    <row r="6418" spans="1:6" ht="75" x14ac:dyDescent="0.25">
      <c r="A6418" s="8" t="s">
        <v>125</v>
      </c>
      <c r="B6418" s="8" t="s">
        <v>161</v>
      </c>
      <c r="C6418" s="8" t="str">
        <f>IFERROR(_xlfn.XLOOKUP(TRIM(B6418),Lookup!$B$2:$B$1000,Lookup!$C$2:$C$1000),"")</f>
        <v>Equity</v>
      </c>
      <c r="D6418" s="8" t="str">
        <f>IFERROR(INDEX('nav master'!$C:$C, MATCH(B6418, 'nav master'!$B:$B, 0)), "")</f>
        <v>ULIF08421/11/25InCnsmAdFd101</v>
      </c>
      <c r="E6418" s="8" t="s">
        <v>409</v>
      </c>
      <c r="F6418" s="8" t="s">
        <v>1628</v>
      </c>
    </row>
    <row r="6419" spans="1:6" ht="75" x14ac:dyDescent="0.25">
      <c r="A6419" s="8" t="s">
        <v>125</v>
      </c>
      <c r="B6419" s="8" t="s">
        <v>161</v>
      </c>
      <c r="C6419" s="8" t="str">
        <f>IFERROR(_xlfn.XLOOKUP(TRIM(B6419),Lookup!$B$2:$B$1000,Lookup!$C$2:$C$1000),"")</f>
        <v>Equity</v>
      </c>
      <c r="D6419" s="8" t="str">
        <f>IFERROR(INDEX('nav master'!$C:$C, MATCH(B6419, 'nav master'!$B:$B, 0)), "")</f>
        <v>ULIF08421/11/25InCnsmAdFd101</v>
      </c>
      <c r="E6419" s="8" t="s">
        <v>411</v>
      </c>
      <c r="F6419" s="8" t="s">
        <v>1629</v>
      </c>
    </row>
    <row r="6420" spans="1:6" ht="75" x14ac:dyDescent="0.25">
      <c r="A6420" s="8" t="s">
        <v>125</v>
      </c>
      <c r="B6420" s="8" t="s">
        <v>161</v>
      </c>
      <c r="C6420" s="8" t="str">
        <f>IFERROR(_xlfn.XLOOKUP(TRIM(B6420),Lookup!$B$2:$B$1000,Lookup!$C$2:$C$1000),"")</f>
        <v>Equity</v>
      </c>
      <c r="D6420" s="8" t="str">
        <f>IFERROR(INDEX('nav master'!$C:$C, MATCH(B6420, 'nav master'!$B:$B, 0)), "")</f>
        <v>ULIF08421/11/25InCnsmAdFd101</v>
      </c>
      <c r="E6420" s="8" t="s">
        <v>413</v>
      </c>
      <c r="F6420" s="8" t="s">
        <v>1630</v>
      </c>
    </row>
    <row r="6421" spans="1:6" ht="75" x14ac:dyDescent="0.25">
      <c r="A6421" s="8" t="s">
        <v>125</v>
      </c>
      <c r="B6421" s="8" t="s">
        <v>161</v>
      </c>
      <c r="C6421" s="8" t="str">
        <f>IFERROR(_xlfn.XLOOKUP(TRIM(B6421),Lookup!$B$2:$B$1000,Lookup!$C$2:$C$1000),"")</f>
        <v>Equity</v>
      </c>
      <c r="D6421" s="8" t="str">
        <f>IFERROR(INDEX('nav master'!$C:$C, MATCH(B6421, 'nav master'!$B:$B, 0)), "")</f>
        <v>ULIF08421/11/25InCnsmAdFd101</v>
      </c>
      <c r="E6421" s="8" t="s">
        <v>415</v>
      </c>
      <c r="F6421" s="8" t="s">
        <v>1631</v>
      </c>
    </row>
    <row r="6422" spans="1:6" ht="75" x14ac:dyDescent="0.25">
      <c r="A6422" s="8" t="s">
        <v>125</v>
      </c>
      <c r="B6422" s="8" t="s">
        <v>161</v>
      </c>
      <c r="C6422" s="8" t="str">
        <f>IFERROR(_xlfn.XLOOKUP(TRIM(B6422),Lookup!$B$2:$B$1000,Lookup!$C$2:$C$1000),"")</f>
        <v>Equity</v>
      </c>
      <c r="D6422" s="8" t="str">
        <f>IFERROR(INDEX('nav master'!$C:$C, MATCH(B6422, 'nav master'!$B:$B, 0)), "")</f>
        <v>ULIF08421/11/25InCnsmAdFd101</v>
      </c>
      <c r="E6422" s="8" t="s">
        <v>417</v>
      </c>
      <c r="F6422" s="8" t="s">
        <v>1632</v>
      </c>
    </row>
    <row r="6423" spans="1:6" ht="75" x14ac:dyDescent="0.25">
      <c r="A6423" s="8" t="s">
        <v>125</v>
      </c>
      <c r="B6423" s="8" t="s">
        <v>161</v>
      </c>
      <c r="C6423" s="8" t="str">
        <f>IFERROR(_xlfn.XLOOKUP(TRIM(B6423),Lookup!$B$2:$B$1000,Lookup!$C$2:$C$1000),"")</f>
        <v>Equity</v>
      </c>
      <c r="D6423" s="8" t="str">
        <f>IFERROR(INDEX('nav master'!$C:$C, MATCH(B6423, 'nav master'!$B:$B, 0)), "")</f>
        <v>ULIF08421/11/25InCnsmAdFd101</v>
      </c>
      <c r="E6423" s="8" t="s">
        <v>419</v>
      </c>
      <c r="F6423" s="8" t="s">
        <v>1633</v>
      </c>
    </row>
    <row r="6424" spans="1:6" ht="75" x14ac:dyDescent="0.25">
      <c r="A6424" s="8" t="s">
        <v>125</v>
      </c>
      <c r="B6424" s="8" t="s">
        <v>161</v>
      </c>
      <c r="C6424" s="8" t="str">
        <f>IFERROR(_xlfn.XLOOKUP(TRIM(B6424),Lookup!$B$2:$B$1000,Lookup!$C$2:$C$1000),"")</f>
        <v>Equity</v>
      </c>
      <c r="D6424" s="8" t="str">
        <f>IFERROR(INDEX('nav master'!$C:$C, MATCH(B6424, 'nav master'!$B:$B, 0)), "")</f>
        <v>ULIF08421/11/25InCnsmAdFd101</v>
      </c>
      <c r="E6424" s="8" t="s">
        <v>421</v>
      </c>
      <c r="F6424" s="8" t="s">
        <v>1634</v>
      </c>
    </row>
    <row r="6425" spans="1:6" ht="75" x14ac:dyDescent="0.25">
      <c r="A6425" s="8" t="s">
        <v>125</v>
      </c>
      <c r="B6425" s="8" t="s">
        <v>161</v>
      </c>
      <c r="C6425" s="8" t="str">
        <f>IFERROR(_xlfn.XLOOKUP(TRIM(B6425),Lookup!$B$2:$B$1000,Lookup!$C$2:$C$1000),"")</f>
        <v>Equity</v>
      </c>
      <c r="D6425" s="8" t="str">
        <f>IFERROR(INDEX('nav master'!$C:$C, MATCH(B6425, 'nav master'!$B:$B, 0)), "")</f>
        <v>ULIF08421/11/25InCnsmAdFd101</v>
      </c>
      <c r="E6425" s="8" t="s">
        <v>423</v>
      </c>
      <c r="F6425" s="8" t="s">
        <v>1635</v>
      </c>
    </row>
    <row r="6426" spans="1:6" ht="75" x14ac:dyDescent="0.25">
      <c r="A6426" s="8" t="s">
        <v>125</v>
      </c>
      <c r="B6426" s="8" t="s">
        <v>161</v>
      </c>
      <c r="C6426" s="8" t="str">
        <f>IFERROR(_xlfn.XLOOKUP(TRIM(B6426),Lookup!$B$2:$B$1000,Lookup!$C$2:$C$1000),"")</f>
        <v>Equity</v>
      </c>
      <c r="D6426" s="8" t="str">
        <f>IFERROR(INDEX('nav master'!$C:$C, MATCH(B6426, 'nav master'!$B:$B, 0)), "")</f>
        <v>ULIF08421/11/25InCnsmAdFd101</v>
      </c>
      <c r="E6426" s="8" t="s">
        <v>425</v>
      </c>
      <c r="F6426" s="8" t="s">
        <v>1636</v>
      </c>
    </row>
    <row r="6427" spans="1:6" ht="75" x14ac:dyDescent="0.25">
      <c r="A6427" s="8" t="s">
        <v>125</v>
      </c>
      <c r="B6427" s="8" t="s">
        <v>161</v>
      </c>
      <c r="C6427" s="8" t="str">
        <f>IFERROR(_xlfn.XLOOKUP(TRIM(B6427),Lookup!$B$2:$B$1000,Lookup!$C$2:$C$1000),"")</f>
        <v>Equity</v>
      </c>
      <c r="D6427" s="8" t="str">
        <f>IFERROR(INDEX('nav master'!$C:$C, MATCH(B6427, 'nav master'!$B:$B, 0)), "")</f>
        <v>ULIF08421/11/25InCnsmAdFd101</v>
      </c>
      <c r="E6427" s="8" t="s">
        <v>427</v>
      </c>
      <c r="F6427" s="8" t="s">
        <v>1637</v>
      </c>
    </row>
    <row r="6428" spans="1:6" ht="75" x14ac:dyDescent="0.25">
      <c r="A6428" s="8" t="s">
        <v>125</v>
      </c>
      <c r="B6428" s="8" t="s">
        <v>161</v>
      </c>
      <c r="C6428" s="8" t="str">
        <f>IFERROR(_xlfn.XLOOKUP(TRIM(B6428),Lookup!$B$2:$B$1000,Lookup!$C$2:$C$1000),"")</f>
        <v>Equity</v>
      </c>
      <c r="D6428" s="8" t="str">
        <f>IFERROR(INDEX('nav master'!$C:$C, MATCH(B6428, 'nav master'!$B:$B, 0)), "")</f>
        <v>ULIF08421/11/25InCnsmAdFd101</v>
      </c>
      <c r="E6428" s="8" t="s">
        <v>429</v>
      </c>
      <c r="F6428" s="8" t="s">
        <v>1638</v>
      </c>
    </row>
    <row r="6429" spans="1:6" ht="75" x14ac:dyDescent="0.25">
      <c r="A6429" s="8" t="s">
        <v>125</v>
      </c>
      <c r="B6429" s="8" t="s">
        <v>161</v>
      </c>
      <c r="C6429" s="8" t="str">
        <f>IFERROR(_xlfn.XLOOKUP(TRIM(B6429),Lookup!$B$2:$B$1000,Lookup!$C$2:$C$1000),"")</f>
        <v>Equity</v>
      </c>
      <c r="D6429" s="8" t="str">
        <f>IFERROR(INDEX('nav master'!$C:$C, MATCH(B6429, 'nav master'!$B:$B, 0)), "")</f>
        <v>ULIF08421/11/25InCnsmAdFd101</v>
      </c>
      <c r="E6429" s="8" t="s">
        <v>431</v>
      </c>
      <c r="F6429" s="8" t="s">
        <v>1639</v>
      </c>
    </row>
    <row r="6430" spans="1:6" ht="75" x14ac:dyDescent="0.25">
      <c r="A6430" s="8" t="s">
        <v>125</v>
      </c>
      <c r="B6430" s="8" t="s">
        <v>161</v>
      </c>
      <c r="C6430" s="8" t="str">
        <f>IFERROR(_xlfn.XLOOKUP(TRIM(B6430),Lookup!$B$2:$B$1000,Lookup!$C$2:$C$1000),"")</f>
        <v>Equity</v>
      </c>
      <c r="D6430" s="8" t="str">
        <f>IFERROR(INDEX('nav master'!$C:$C, MATCH(B6430, 'nav master'!$B:$B, 0)), "")</f>
        <v>ULIF08421/11/25InCnsmAdFd101</v>
      </c>
      <c r="E6430" s="8" t="s">
        <v>433</v>
      </c>
      <c r="F6430" s="8" t="s">
        <v>1640</v>
      </c>
    </row>
    <row r="6431" spans="1:6" ht="75" x14ac:dyDescent="0.25">
      <c r="A6431" s="8" t="s">
        <v>125</v>
      </c>
      <c r="B6431" s="8" t="s">
        <v>161</v>
      </c>
      <c r="C6431" s="8" t="str">
        <f>IFERROR(_xlfn.XLOOKUP(TRIM(B6431),Lookup!$B$2:$B$1000,Lookup!$C$2:$C$1000),"")</f>
        <v>Equity</v>
      </c>
      <c r="D6431" s="8" t="str">
        <f>IFERROR(INDEX('nav master'!$C:$C, MATCH(B6431, 'nav master'!$B:$B, 0)), "")</f>
        <v>ULIF08421/11/25InCnsmAdFd101</v>
      </c>
      <c r="E6431" s="8" t="s">
        <v>435</v>
      </c>
      <c r="F6431" s="8" t="s">
        <v>1641</v>
      </c>
    </row>
    <row r="6432" spans="1:6" ht="75" x14ac:dyDescent="0.25">
      <c r="A6432" s="8" t="s">
        <v>125</v>
      </c>
      <c r="B6432" s="8" t="s">
        <v>161</v>
      </c>
      <c r="C6432" s="8" t="str">
        <f>IFERROR(_xlfn.XLOOKUP(TRIM(B6432),Lookup!$B$2:$B$1000,Lookup!$C$2:$C$1000),"")</f>
        <v>Equity</v>
      </c>
      <c r="D6432" s="8" t="str">
        <f>IFERROR(INDEX('nav master'!$C:$C, MATCH(B6432, 'nav master'!$B:$B, 0)), "")</f>
        <v>ULIF08421/11/25InCnsmAdFd101</v>
      </c>
      <c r="E6432" s="8" t="s">
        <v>437</v>
      </c>
      <c r="F6432" s="8" t="s">
        <v>1642</v>
      </c>
    </row>
    <row r="6433" spans="1:6" ht="75" x14ac:dyDescent="0.25">
      <c r="A6433" s="8" t="s">
        <v>125</v>
      </c>
      <c r="B6433" s="8" t="s">
        <v>161</v>
      </c>
      <c r="C6433" s="8" t="str">
        <f>IFERROR(_xlfn.XLOOKUP(TRIM(B6433),Lookup!$B$2:$B$1000,Lookup!$C$2:$C$1000),"")</f>
        <v>Equity</v>
      </c>
      <c r="D6433" s="8" t="str">
        <f>IFERROR(INDEX('nav master'!$C:$C, MATCH(B6433, 'nav master'!$B:$B, 0)), "")</f>
        <v>ULIF08421/11/25InCnsmAdFd101</v>
      </c>
      <c r="E6433" s="8" t="s">
        <v>439</v>
      </c>
      <c r="F6433" s="8" t="s">
        <v>1643</v>
      </c>
    </row>
    <row r="6434" spans="1:6" ht="75" x14ac:dyDescent="0.25">
      <c r="A6434" s="8" t="s">
        <v>125</v>
      </c>
      <c r="B6434" s="8" t="s">
        <v>161</v>
      </c>
      <c r="C6434" s="8" t="str">
        <f>IFERROR(_xlfn.XLOOKUP(TRIM(B6434),Lookup!$B$2:$B$1000,Lookup!$C$2:$C$1000),"")</f>
        <v>Equity</v>
      </c>
      <c r="D6434" s="8" t="str">
        <f>IFERROR(INDEX('nav master'!$C:$C, MATCH(B6434, 'nav master'!$B:$B, 0)), "")</f>
        <v>ULIF08421/11/25InCnsmAdFd101</v>
      </c>
      <c r="E6434" s="8" t="s">
        <v>441</v>
      </c>
      <c r="F6434" s="8" t="s">
        <v>1644</v>
      </c>
    </row>
    <row r="6435" spans="1:6" ht="75" x14ac:dyDescent="0.25">
      <c r="A6435" s="8" t="s">
        <v>125</v>
      </c>
      <c r="B6435" s="8" t="s">
        <v>161</v>
      </c>
      <c r="C6435" s="8" t="str">
        <f>IFERROR(_xlfn.XLOOKUP(TRIM(B6435),Lookup!$B$2:$B$1000,Lookup!$C$2:$C$1000),"")</f>
        <v>Equity</v>
      </c>
      <c r="D6435" s="8" t="str">
        <f>IFERROR(INDEX('nav master'!$C:$C, MATCH(B6435, 'nav master'!$B:$B, 0)), "")</f>
        <v>ULIF08421/11/25InCnsmAdFd101</v>
      </c>
      <c r="E6435" s="8" t="s">
        <v>443</v>
      </c>
      <c r="F6435" s="8" t="s">
        <v>1645</v>
      </c>
    </row>
    <row r="6436" spans="1:6" ht="75" x14ac:dyDescent="0.25">
      <c r="A6436" s="8" t="s">
        <v>125</v>
      </c>
      <c r="B6436" s="8" t="s">
        <v>161</v>
      </c>
      <c r="C6436" s="8" t="str">
        <f>IFERROR(_xlfn.XLOOKUP(TRIM(B6436),Lookup!$B$2:$B$1000,Lookup!$C$2:$C$1000),"")</f>
        <v>Equity</v>
      </c>
      <c r="D6436" s="8" t="str">
        <f>IFERROR(INDEX('nav master'!$C:$C, MATCH(B6436, 'nav master'!$B:$B, 0)), "")</f>
        <v>ULIF08421/11/25InCnsmAdFd101</v>
      </c>
      <c r="E6436" s="8" t="s">
        <v>445</v>
      </c>
      <c r="F6436" s="8" t="s">
        <v>1646</v>
      </c>
    </row>
    <row r="6437" spans="1:6" ht="75" x14ac:dyDescent="0.25">
      <c r="A6437" s="8" t="s">
        <v>125</v>
      </c>
      <c r="B6437" s="8" t="s">
        <v>161</v>
      </c>
      <c r="C6437" s="8" t="str">
        <f>IFERROR(_xlfn.XLOOKUP(TRIM(B6437),Lookup!$B$2:$B$1000,Lookup!$C$2:$C$1000),"")</f>
        <v>Equity</v>
      </c>
      <c r="D6437" s="8" t="str">
        <f>IFERROR(INDEX('nav master'!$C:$C, MATCH(B6437, 'nav master'!$B:$B, 0)), "")</f>
        <v>ULIF08421/11/25InCnsmAdFd101</v>
      </c>
      <c r="E6437" s="8" t="s">
        <v>446</v>
      </c>
      <c r="F6437" s="8" t="s">
        <v>1647</v>
      </c>
    </row>
    <row r="6438" spans="1:6" ht="75" x14ac:dyDescent="0.25">
      <c r="A6438" s="8" t="s">
        <v>125</v>
      </c>
      <c r="B6438" s="8" t="s">
        <v>161</v>
      </c>
      <c r="C6438" s="8" t="str">
        <f>IFERROR(_xlfn.XLOOKUP(TRIM(B6438),Lookup!$B$2:$B$1000,Lookup!$C$2:$C$1000),"")</f>
        <v>Equity</v>
      </c>
      <c r="D6438" s="8" t="str">
        <f>IFERROR(INDEX('nav master'!$C:$C, MATCH(B6438, 'nav master'!$B:$B, 0)), "")</f>
        <v>ULIF08421/11/25InCnsmAdFd101</v>
      </c>
      <c r="E6438" s="8" t="s">
        <v>448</v>
      </c>
      <c r="F6438" s="8" t="s">
        <v>1648</v>
      </c>
    </row>
    <row r="6439" spans="1:6" ht="75" x14ac:dyDescent="0.25">
      <c r="A6439" s="8" t="s">
        <v>125</v>
      </c>
      <c r="B6439" s="8" t="s">
        <v>161</v>
      </c>
      <c r="C6439" s="8" t="str">
        <f>IFERROR(_xlfn.XLOOKUP(TRIM(B6439),Lookup!$B$2:$B$1000,Lookup!$C$2:$C$1000),"")</f>
        <v>Equity</v>
      </c>
      <c r="D6439" s="8" t="str">
        <f>IFERROR(INDEX('nav master'!$C:$C, MATCH(B6439, 'nav master'!$B:$B, 0)), "")</f>
        <v>ULIF08421/11/25InCnsmAdFd101</v>
      </c>
      <c r="E6439" s="8" t="s">
        <v>450</v>
      </c>
      <c r="F6439" s="8" t="s">
        <v>1649</v>
      </c>
    </row>
    <row r="6440" spans="1:6" ht="75" x14ac:dyDescent="0.25">
      <c r="A6440" s="8" t="s">
        <v>125</v>
      </c>
      <c r="B6440" s="8" t="s">
        <v>161</v>
      </c>
      <c r="C6440" s="8" t="str">
        <f>IFERROR(_xlfn.XLOOKUP(TRIM(B6440),Lookup!$B$2:$B$1000,Lookup!$C$2:$C$1000),"")</f>
        <v>Equity</v>
      </c>
      <c r="D6440" s="8" t="str">
        <f>IFERROR(INDEX('nav master'!$C:$C, MATCH(B6440, 'nav master'!$B:$B, 0)), "")</f>
        <v>ULIF08421/11/25InCnsmAdFd101</v>
      </c>
      <c r="E6440" s="8" t="s">
        <v>452</v>
      </c>
      <c r="F6440" s="8" t="s">
        <v>1650</v>
      </c>
    </row>
    <row r="6441" spans="1:6" ht="75" x14ac:dyDescent="0.25">
      <c r="A6441" s="8" t="s">
        <v>125</v>
      </c>
      <c r="B6441" s="8" t="s">
        <v>161</v>
      </c>
      <c r="C6441" s="8" t="str">
        <f>IFERROR(_xlfn.XLOOKUP(TRIM(B6441),Lookup!$B$2:$B$1000,Lookup!$C$2:$C$1000),"")</f>
        <v>Equity</v>
      </c>
      <c r="D6441" s="8" t="str">
        <f>IFERROR(INDEX('nav master'!$C:$C, MATCH(B6441, 'nav master'!$B:$B, 0)), "")</f>
        <v>ULIF08421/11/25InCnsmAdFd101</v>
      </c>
      <c r="E6441" s="8" t="s">
        <v>454</v>
      </c>
      <c r="F6441" s="8" t="s">
        <v>1651</v>
      </c>
    </row>
    <row r="6442" spans="1:6" ht="75" x14ac:dyDescent="0.25">
      <c r="A6442" s="8" t="s">
        <v>125</v>
      </c>
      <c r="B6442" s="8" t="s">
        <v>161</v>
      </c>
      <c r="C6442" s="8" t="str">
        <f>IFERROR(_xlfn.XLOOKUP(TRIM(B6442),Lookup!$B$2:$B$1000,Lookup!$C$2:$C$1000),"")</f>
        <v>Equity</v>
      </c>
      <c r="D6442" s="8" t="str">
        <f>IFERROR(INDEX('nav master'!$C:$C, MATCH(B6442, 'nav master'!$B:$B, 0)), "")</f>
        <v>ULIF08421/11/25InCnsmAdFd101</v>
      </c>
      <c r="E6442" s="8" t="s">
        <v>456</v>
      </c>
      <c r="F6442" s="8" t="s">
        <v>1652</v>
      </c>
    </row>
    <row r="6443" spans="1:6" ht="75" x14ac:dyDescent="0.25">
      <c r="A6443" s="8" t="s">
        <v>125</v>
      </c>
      <c r="B6443" s="8" t="s">
        <v>161</v>
      </c>
      <c r="C6443" s="8" t="str">
        <f>IFERROR(_xlfn.XLOOKUP(TRIM(B6443),Lookup!$B$2:$B$1000,Lookup!$C$2:$C$1000),"")</f>
        <v>Equity</v>
      </c>
      <c r="D6443" s="8" t="str">
        <f>IFERROR(INDEX('nav master'!$C:$C, MATCH(B6443, 'nav master'!$B:$B, 0)), "")</f>
        <v>ULIF08421/11/25InCnsmAdFd101</v>
      </c>
      <c r="E6443" s="8" t="s">
        <v>458</v>
      </c>
      <c r="F6443" s="8" t="s">
        <v>1653</v>
      </c>
    </row>
    <row r="6444" spans="1:6" ht="75" x14ac:dyDescent="0.25">
      <c r="A6444" s="8" t="s">
        <v>125</v>
      </c>
      <c r="B6444" s="8" t="s">
        <v>161</v>
      </c>
      <c r="C6444" s="8" t="str">
        <f>IFERROR(_xlfn.XLOOKUP(TRIM(B6444),Lookup!$B$2:$B$1000,Lookup!$C$2:$C$1000),"")</f>
        <v>Equity</v>
      </c>
      <c r="D6444" s="8" t="str">
        <f>IFERROR(INDEX('nav master'!$C:$C, MATCH(B6444, 'nav master'!$B:$B, 0)), "")</f>
        <v>ULIF08421/11/25InCnsmAdFd101</v>
      </c>
      <c r="E6444" s="8" t="s">
        <v>460</v>
      </c>
      <c r="F6444" s="8" t="s">
        <v>1654</v>
      </c>
    </row>
    <row r="6445" spans="1:6" ht="75" x14ac:dyDescent="0.25">
      <c r="A6445" s="8" t="s">
        <v>125</v>
      </c>
      <c r="B6445" s="8" t="s">
        <v>161</v>
      </c>
      <c r="C6445" s="8" t="str">
        <f>IFERROR(_xlfn.XLOOKUP(TRIM(B6445),Lookup!$B$2:$B$1000,Lookup!$C$2:$C$1000),"")</f>
        <v>Equity</v>
      </c>
      <c r="D6445" s="8" t="str">
        <f>IFERROR(INDEX('nav master'!$C:$C, MATCH(B6445, 'nav master'!$B:$B, 0)), "")</f>
        <v>ULIF08421/11/25InCnsmAdFd101</v>
      </c>
      <c r="E6445" s="8" t="s">
        <v>462</v>
      </c>
      <c r="F6445" s="8" t="s">
        <v>1655</v>
      </c>
    </row>
    <row r="6446" spans="1:6" ht="75" x14ac:dyDescent="0.25">
      <c r="A6446" s="8" t="s">
        <v>125</v>
      </c>
      <c r="B6446" s="8" t="s">
        <v>161</v>
      </c>
      <c r="C6446" s="8" t="str">
        <f>IFERROR(_xlfn.XLOOKUP(TRIM(B6446),Lookup!$B$2:$B$1000,Lookup!$C$2:$C$1000),"")</f>
        <v>Equity</v>
      </c>
      <c r="D6446" s="8" t="str">
        <f>IFERROR(INDEX('nav master'!$C:$C, MATCH(B6446, 'nav master'!$B:$B, 0)), "")</f>
        <v>ULIF08421/11/25InCnsmAdFd101</v>
      </c>
      <c r="E6446" s="8" t="s">
        <v>464</v>
      </c>
      <c r="F6446" s="8" t="s">
        <v>1656</v>
      </c>
    </row>
    <row r="6447" spans="1:6" ht="75" x14ac:dyDescent="0.25">
      <c r="A6447" s="8" t="s">
        <v>125</v>
      </c>
      <c r="B6447" s="8" t="s">
        <v>161</v>
      </c>
      <c r="C6447" s="8" t="str">
        <f>IFERROR(_xlfn.XLOOKUP(TRIM(B6447),Lookup!$B$2:$B$1000,Lookup!$C$2:$C$1000),"")</f>
        <v>Equity</v>
      </c>
      <c r="D6447" s="8" t="str">
        <f>IFERROR(INDEX('nav master'!$C:$C, MATCH(B6447, 'nav master'!$B:$B, 0)), "")</f>
        <v>ULIF08421/11/25InCnsmAdFd101</v>
      </c>
      <c r="E6447" s="8" t="s">
        <v>466</v>
      </c>
      <c r="F6447" s="8" t="s">
        <v>1657</v>
      </c>
    </row>
    <row r="6448" spans="1:6" ht="75" x14ac:dyDescent="0.25">
      <c r="A6448" s="8" t="s">
        <v>125</v>
      </c>
      <c r="B6448" s="8" t="s">
        <v>161</v>
      </c>
      <c r="C6448" s="8" t="str">
        <f>IFERROR(_xlfn.XLOOKUP(TRIM(B6448),Lookup!$B$2:$B$1000,Lookup!$C$2:$C$1000),"")</f>
        <v>Equity</v>
      </c>
      <c r="D6448" s="8" t="str">
        <f>IFERROR(INDEX('nav master'!$C:$C, MATCH(B6448, 'nav master'!$B:$B, 0)), "")</f>
        <v>ULIF08421/11/25InCnsmAdFd101</v>
      </c>
      <c r="E6448" s="8" t="s">
        <v>468</v>
      </c>
      <c r="F6448" s="8" t="s">
        <v>1658</v>
      </c>
    </row>
    <row r="6449" spans="1:6" ht="75" x14ac:dyDescent="0.25">
      <c r="A6449" s="8" t="s">
        <v>125</v>
      </c>
      <c r="B6449" s="8" t="s">
        <v>161</v>
      </c>
      <c r="C6449" s="8" t="str">
        <f>IFERROR(_xlfn.XLOOKUP(TRIM(B6449),Lookup!$B$2:$B$1000,Lookup!$C$2:$C$1000),"")</f>
        <v>Equity</v>
      </c>
      <c r="D6449" s="8" t="str">
        <f>IFERROR(INDEX('nav master'!$C:$C, MATCH(B6449, 'nav master'!$B:$B, 0)), "")</f>
        <v>ULIF08421/11/25InCnsmAdFd101</v>
      </c>
      <c r="E6449" s="8" t="s">
        <v>470</v>
      </c>
      <c r="F6449" s="8" t="s">
        <v>1659</v>
      </c>
    </row>
    <row r="6450" spans="1:6" ht="75" x14ac:dyDescent="0.25">
      <c r="A6450" s="8" t="s">
        <v>125</v>
      </c>
      <c r="B6450" s="8" t="s">
        <v>161</v>
      </c>
      <c r="C6450" s="8" t="str">
        <f>IFERROR(_xlfn.XLOOKUP(TRIM(B6450),Lookup!$B$2:$B$1000,Lookup!$C$2:$C$1000),"")</f>
        <v>Equity</v>
      </c>
      <c r="D6450" s="8" t="str">
        <f>IFERROR(INDEX('nav master'!$C:$C, MATCH(B6450, 'nav master'!$B:$B, 0)), "")</f>
        <v>ULIF08421/11/25InCnsmAdFd101</v>
      </c>
      <c r="E6450" s="8" t="s">
        <v>472</v>
      </c>
      <c r="F6450" s="8" t="s">
        <v>1660</v>
      </c>
    </row>
    <row r="6451" spans="1:6" ht="75" x14ac:dyDescent="0.25">
      <c r="A6451" s="8" t="s">
        <v>125</v>
      </c>
      <c r="B6451" s="8" t="s">
        <v>161</v>
      </c>
      <c r="C6451" s="8" t="str">
        <f>IFERROR(_xlfn.XLOOKUP(TRIM(B6451),Lookup!$B$2:$B$1000,Lookup!$C$2:$C$1000),"")</f>
        <v>Equity</v>
      </c>
      <c r="D6451" s="8" t="str">
        <f>IFERROR(INDEX('nav master'!$C:$C, MATCH(B6451, 'nav master'!$B:$B, 0)), "")</f>
        <v>ULIF08421/11/25InCnsmAdFd101</v>
      </c>
      <c r="E6451" s="8" t="s">
        <v>474</v>
      </c>
      <c r="F6451" s="8" t="s">
        <v>1661</v>
      </c>
    </row>
    <row r="6452" spans="1:6" ht="75" x14ac:dyDescent="0.25">
      <c r="A6452" s="8" t="s">
        <v>125</v>
      </c>
      <c r="B6452" s="8" t="s">
        <v>161</v>
      </c>
      <c r="C6452" s="8" t="str">
        <f>IFERROR(_xlfn.XLOOKUP(TRIM(B6452),Lookup!$B$2:$B$1000,Lookup!$C$2:$C$1000),"")</f>
        <v>Equity</v>
      </c>
      <c r="D6452" s="8" t="str">
        <f>IFERROR(INDEX('nav master'!$C:$C, MATCH(B6452, 'nav master'!$B:$B, 0)), "")</f>
        <v>ULIF08421/11/25InCnsmAdFd101</v>
      </c>
      <c r="E6452" s="8" t="s">
        <v>476</v>
      </c>
      <c r="F6452" s="8" t="s">
        <v>1662</v>
      </c>
    </row>
    <row r="6453" spans="1:6" ht="75" x14ac:dyDescent="0.25">
      <c r="A6453" s="8" t="s">
        <v>125</v>
      </c>
      <c r="B6453" s="8" t="s">
        <v>161</v>
      </c>
      <c r="C6453" s="8" t="str">
        <f>IFERROR(_xlfn.XLOOKUP(TRIM(B6453),Lookup!$B$2:$B$1000,Lookup!$C$2:$C$1000),"")</f>
        <v>Equity</v>
      </c>
      <c r="D6453" s="8" t="str">
        <f>IFERROR(INDEX('nav master'!$C:$C, MATCH(B6453, 'nav master'!$B:$B, 0)), "")</f>
        <v>ULIF08421/11/25InCnsmAdFd101</v>
      </c>
      <c r="E6453" s="8" t="s">
        <v>478</v>
      </c>
      <c r="F6453" s="8" t="s">
        <v>1663</v>
      </c>
    </row>
    <row r="6454" spans="1:6" ht="75" x14ac:dyDescent="0.25">
      <c r="A6454" s="8" t="s">
        <v>125</v>
      </c>
      <c r="B6454" s="8" t="s">
        <v>161</v>
      </c>
      <c r="C6454" s="8" t="str">
        <f>IFERROR(_xlfn.XLOOKUP(TRIM(B6454),Lookup!$B$2:$B$1000,Lookup!$C$2:$C$1000),"")</f>
        <v>Equity</v>
      </c>
      <c r="D6454" s="8" t="str">
        <f>IFERROR(INDEX('nav master'!$C:$C, MATCH(B6454, 'nav master'!$B:$B, 0)), "")</f>
        <v>ULIF08421/11/25InCnsmAdFd101</v>
      </c>
      <c r="E6454" s="8" t="s">
        <v>480</v>
      </c>
      <c r="F6454" s="8" t="s">
        <v>1664</v>
      </c>
    </row>
    <row r="6455" spans="1:6" ht="75" x14ac:dyDescent="0.25">
      <c r="A6455" s="8" t="s">
        <v>125</v>
      </c>
      <c r="B6455" s="8" t="s">
        <v>161</v>
      </c>
      <c r="C6455" s="8" t="str">
        <f>IFERROR(_xlfn.XLOOKUP(TRIM(B6455),Lookup!$B$2:$B$1000,Lookup!$C$2:$C$1000),"")</f>
        <v>Equity</v>
      </c>
      <c r="D6455" s="8" t="str">
        <f>IFERROR(INDEX('nav master'!$C:$C, MATCH(B6455, 'nav master'!$B:$B, 0)), "")</f>
        <v>ULIF08421/11/25InCnsmAdFd101</v>
      </c>
      <c r="E6455" s="8" t="s">
        <v>482</v>
      </c>
      <c r="F6455" s="8" t="s">
        <v>1665</v>
      </c>
    </row>
    <row r="6456" spans="1:6" ht="75" x14ac:dyDescent="0.25">
      <c r="A6456" s="8" t="s">
        <v>125</v>
      </c>
      <c r="B6456" s="8" t="s">
        <v>161</v>
      </c>
      <c r="C6456" s="8" t="str">
        <f>IFERROR(_xlfn.XLOOKUP(TRIM(B6456),Lookup!$B$2:$B$1000,Lookup!$C$2:$C$1000),"")</f>
        <v>Equity</v>
      </c>
      <c r="D6456" s="8" t="str">
        <f>IFERROR(INDEX('nav master'!$C:$C, MATCH(B6456, 'nav master'!$B:$B, 0)), "")</f>
        <v>ULIF08421/11/25InCnsmAdFd101</v>
      </c>
      <c r="E6456" s="8" t="s">
        <v>484</v>
      </c>
      <c r="F6456" s="8" t="s">
        <v>1666</v>
      </c>
    </row>
    <row r="6457" spans="1:6" ht="75" x14ac:dyDescent="0.25">
      <c r="A6457" s="8" t="s">
        <v>125</v>
      </c>
      <c r="B6457" s="8" t="s">
        <v>161</v>
      </c>
      <c r="C6457" s="8" t="str">
        <f>IFERROR(_xlfn.XLOOKUP(TRIM(B6457),Lookup!$B$2:$B$1000,Lookup!$C$2:$C$1000),"")</f>
        <v>Equity</v>
      </c>
      <c r="D6457" s="8" t="str">
        <f>IFERROR(INDEX('nav master'!$C:$C, MATCH(B6457, 'nav master'!$B:$B, 0)), "")</f>
        <v>ULIF08421/11/25InCnsmAdFd101</v>
      </c>
      <c r="E6457" s="8" t="s">
        <v>486</v>
      </c>
      <c r="F6457" s="8" t="s">
        <v>1667</v>
      </c>
    </row>
    <row r="6458" spans="1:6" ht="75" x14ac:dyDescent="0.25">
      <c r="A6458" s="8" t="s">
        <v>125</v>
      </c>
      <c r="B6458" s="8" t="s">
        <v>161</v>
      </c>
      <c r="C6458" s="8" t="str">
        <f>IFERROR(_xlfn.XLOOKUP(TRIM(B6458),Lookup!$B$2:$B$1000,Lookup!$C$2:$C$1000),"")</f>
        <v>Equity</v>
      </c>
      <c r="D6458" s="8" t="str">
        <f>IFERROR(INDEX('nav master'!$C:$C, MATCH(B6458, 'nav master'!$B:$B, 0)), "")</f>
        <v>ULIF08421/11/25InCnsmAdFd101</v>
      </c>
      <c r="E6458" s="8" t="s">
        <v>488</v>
      </c>
      <c r="F6458" s="8" t="s">
        <v>1668</v>
      </c>
    </row>
    <row r="6459" spans="1:6" ht="75" x14ac:dyDescent="0.25">
      <c r="A6459" s="8" t="s">
        <v>125</v>
      </c>
      <c r="B6459" s="8" t="s">
        <v>161</v>
      </c>
      <c r="C6459" s="8" t="str">
        <f>IFERROR(_xlfn.XLOOKUP(TRIM(B6459),Lookup!$B$2:$B$1000,Lookup!$C$2:$C$1000),"")</f>
        <v>Equity</v>
      </c>
      <c r="D6459" s="8" t="str">
        <f>IFERROR(INDEX('nav master'!$C:$C, MATCH(B6459, 'nav master'!$B:$B, 0)), "")</f>
        <v>ULIF08421/11/25InCnsmAdFd101</v>
      </c>
      <c r="E6459" s="8" t="s">
        <v>490</v>
      </c>
      <c r="F6459" s="8" t="s">
        <v>1669</v>
      </c>
    </row>
    <row r="6460" spans="1:6" ht="75" x14ac:dyDescent="0.25">
      <c r="A6460" s="8" t="s">
        <v>125</v>
      </c>
      <c r="B6460" s="8" t="s">
        <v>161</v>
      </c>
      <c r="C6460" s="8" t="str">
        <f>IFERROR(_xlfn.XLOOKUP(TRIM(B6460),Lookup!$B$2:$B$1000,Lookup!$C$2:$C$1000),"")</f>
        <v>Equity</v>
      </c>
      <c r="D6460" s="8" t="str">
        <f>IFERROR(INDEX('nav master'!$C:$C, MATCH(B6460, 'nav master'!$B:$B, 0)), "")</f>
        <v>ULIF08421/11/25InCnsmAdFd101</v>
      </c>
      <c r="E6460" s="8" t="s">
        <v>492</v>
      </c>
      <c r="F6460" s="8" t="s">
        <v>1670</v>
      </c>
    </row>
    <row r="6461" spans="1:6" ht="75" x14ac:dyDescent="0.25">
      <c r="A6461" s="8" t="s">
        <v>125</v>
      </c>
      <c r="B6461" s="8" t="s">
        <v>161</v>
      </c>
      <c r="C6461" s="8" t="str">
        <f>IFERROR(_xlfn.XLOOKUP(TRIM(B6461),Lookup!$B$2:$B$1000,Lookup!$C$2:$C$1000),"")</f>
        <v>Equity</v>
      </c>
      <c r="D6461" s="8" t="str">
        <f>IFERROR(INDEX('nav master'!$C:$C, MATCH(B6461, 'nav master'!$B:$B, 0)), "")</f>
        <v>ULIF08421/11/25InCnsmAdFd101</v>
      </c>
      <c r="E6461" s="8" t="s">
        <v>494</v>
      </c>
      <c r="F6461" s="8" t="s">
        <v>1671</v>
      </c>
    </row>
    <row r="6462" spans="1:6" ht="75" x14ac:dyDescent="0.25">
      <c r="A6462" s="8" t="s">
        <v>125</v>
      </c>
      <c r="B6462" s="8" t="s">
        <v>161</v>
      </c>
      <c r="C6462" s="8" t="str">
        <f>IFERROR(_xlfn.XLOOKUP(TRIM(B6462),Lookup!$B$2:$B$1000,Lookup!$C$2:$C$1000),"")</f>
        <v>Equity</v>
      </c>
      <c r="D6462" s="8" t="str">
        <f>IFERROR(INDEX('nav master'!$C:$C, MATCH(B6462, 'nav master'!$B:$B, 0)), "")</f>
        <v>ULIF08421/11/25InCnsmAdFd101</v>
      </c>
      <c r="E6462" s="8" t="s">
        <v>496</v>
      </c>
      <c r="F6462" s="8" t="s">
        <v>1672</v>
      </c>
    </row>
    <row r="6463" spans="1:6" ht="75" x14ac:dyDescent="0.25">
      <c r="A6463" s="8" t="s">
        <v>125</v>
      </c>
      <c r="B6463" s="8" t="s">
        <v>161</v>
      </c>
      <c r="C6463" s="8" t="str">
        <f>IFERROR(_xlfn.XLOOKUP(TRIM(B6463),Lookup!$B$2:$B$1000,Lookup!$C$2:$C$1000),"")</f>
        <v>Equity</v>
      </c>
      <c r="D6463" s="8" t="str">
        <f>IFERROR(INDEX('nav master'!$C:$C, MATCH(B6463, 'nav master'!$B:$B, 0)), "")</f>
        <v>ULIF08421/11/25InCnsmAdFd101</v>
      </c>
      <c r="E6463" s="8" t="s">
        <v>498</v>
      </c>
      <c r="F6463" s="8" t="s">
        <v>1673</v>
      </c>
    </row>
    <row r="6464" spans="1:6" ht="75" x14ac:dyDescent="0.25">
      <c r="A6464" s="8" t="s">
        <v>125</v>
      </c>
      <c r="B6464" s="8" t="s">
        <v>161</v>
      </c>
      <c r="C6464" s="8" t="str">
        <f>IFERROR(_xlfn.XLOOKUP(TRIM(B6464),Lookup!$B$2:$B$1000,Lookup!$C$2:$C$1000),"")</f>
        <v>Equity</v>
      </c>
      <c r="D6464" s="8" t="str">
        <f>IFERROR(INDEX('nav master'!$C:$C, MATCH(B6464, 'nav master'!$B:$B, 0)), "")</f>
        <v>ULIF08421/11/25InCnsmAdFd101</v>
      </c>
      <c r="E6464" s="8" t="s">
        <v>500</v>
      </c>
      <c r="F6464" s="8" t="s">
        <v>1674</v>
      </c>
    </row>
    <row r="6465" spans="1:6" ht="75" x14ac:dyDescent="0.25">
      <c r="A6465" s="8" t="s">
        <v>125</v>
      </c>
      <c r="B6465" s="8" t="s">
        <v>161</v>
      </c>
      <c r="C6465" s="8" t="str">
        <f>IFERROR(_xlfn.XLOOKUP(TRIM(B6465),Lookup!$B$2:$B$1000,Lookup!$C$2:$C$1000),"")</f>
        <v>Equity</v>
      </c>
      <c r="D6465" s="8" t="str">
        <f>IFERROR(INDEX('nav master'!$C:$C, MATCH(B6465, 'nav master'!$B:$B, 0)), "")</f>
        <v>ULIF08421/11/25InCnsmAdFd101</v>
      </c>
      <c r="E6465" s="8" t="s">
        <v>502</v>
      </c>
      <c r="F6465" s="8" t="s">
        <v>1675</v>
      </c>
    </row>
    <row r="6466" spans="1:6" ht="75" x14ac:dyDescent="0.25">
      <c r="A6466" s="8" t="s">
        <v>125</v>
      </c>
      <c r="B6466" s="8" t="s">
        <v>161</v>
      </c>
      <c r="C6466" s="8" t="str">
        <f>IFERROR(_xlfn.XLOOKUP(TRIM(B6466),Lookup!$B$2:$B$1000,Lookup!$C$2:$C$1000),"")</f>
        <v>Equity</v>
      </c>
      <c r="D6466" s="8" t="str">
        <f>IFERROR(INDEX('nav master'!$C:$C, MATCH(B6466, 'nav master'!$B:$B, 0)), "")</f>
        <v>ULIF08421/11/25InCnsmAdFd101</v>
      </c>
      <c r="E6466" s="8" t="s">
        <v>504</v>
      </c>
      <c r="F6466" s="8" t="s">
        <v>1676</v>
      </c>
    </row>
    <row r="6467" spans="1:6" ht="75" x14ac:dyDescent="0.25">
      <c r="A6467" s="8" t="s">
        <v>125</v>
      </c>
      <c r="B6467" s="8" t="s">
        <v>161</v>
      </c>
      <c r="C6467" s="8" t="str">
        <f>IFERROR(_xlfn.XLOOKUP(TRIM(B6467),Lookup!$B$2:$B$1000,Lookup!$C$2:$C$1000),"")</f>
        <v>Equity</v>
      </c>
      <c r="D6467" s="8" t="str">
        <f>IFERROR(INDEX('nav master'!$C:$C, MATCH(B6467, 'nav master'!$B:$B, 0)), "")</f>
        <v>ULIF08421/11/25InCnsmAdFd101</v>
      </c>
      <c r="E6467" s="8" t="s">
        <v>506</v>
      </c>
      <c r="F6467" s="8" t="s">
        <v>1677</v>
      </c>
    </row>
    <row r="6468" spans="1:6" ht="75" x14ac:dyDescent="0.25">
      <c r="A6468" s="8" t="s">
        <v>125</v>
      </c>
      <c r="B6468" s="8" t="s">
        <v>161</v>
      </c>
      <c r="C6468" s="8" t="str">
        <f>IFERROR(_xlfn.XLOOKUP(TRIM(B6468),Lookup!$B$2:$B$1000,Lookup!$C$2:$C$1000),"")</f>
        <v>Equity</v>
      </c>
      <c r="D6468" s="8" t="str">
        <f>IFERROR(INDEX('nav master'!$C:$C, MATCH(B6468, 'nav master'!$B:$B, 0)), "")</f>
        <v>ULIF08421/11/25InCnsmAdFd101</v>
      </c>
      <c r="E6468" s="8" t="s">
        <v>508</v>
      </c>
      <c r="F6468" s="8" t="s">
        <v>1678</v>
      </c>
    </row>
    <row r="6469" spans="1:6" ht="75" x14ac:dyDescent="0.25">
      <c r="A6469" s="8" t="s">
        <v>125</v>
      </c>
      <c r="B6469" s="8" t="s">
        <v>161</v>
      </c>
      <c r="C6469" s="8" t="str">
        <f>IFERROR(_xlfn.XLOOKUP(TRIM(B6469),Lookup!$B$2:$B$1000,Lookup!$C$2:$C$1000),"")</f>
        <v>Equity</v>
      </c>
      <c r="D6469" s="8" t="str">
        <f>IFERROR(INDEX('nav master'!$C:$C, MATCH(B6469, 'nav master'!$B:$B, 0)), "")</f>
        <v>ULIF08421/11/25InCnsmAdFd101</v>
      </c>
      <c r="E6469" s="8" t="s">
        <v>510</v>
      </c>
      <c r="F6469" s="8" t="s">
        <v>1679</v>
      </c>
    </row>
    <row r="6470" spans="1:6" ht="75" x14ac:dyDescent="0.25">
      <c r="A6470" s="8" t="s">
        <v>125</v>
      </c>
      <c r="B6470" s="8" t="s">
        <v>161</v>
      </c>
      <c r="C6470" s="8" t="str">
        <f>IFERROR(_xlfn.XLOOKUP(TRIM(B6470),Lookup!$B$2:$B$1000,Lookup!$C$2:$C$1000),"")</f>
        <v>Equity</v>
      </c>
      <c r="D6470" s="8" t="str">
        <f>IFERROR(INDEX('nav master'!$C:$C, MATCH(B6470, 'nav master'!$B:$B, 0)), "")</f>
        <v>ULIF08421/11/25InCnsmAdFd101</v>
      </c>
      <c r="E6470" s="8" t="s">
        <v>512</v>
      </c>
      <c r="F6470" s="8" t="s">
        <v>1141</v>
      </c>
    </row>
    <row r="6471" spans="1:6" ht="75" x14ac:dyDescent="0.25">
      <c r="A6471" s="8" t="s">
        <v>125</v>
      </c>
      <c r="B6471" s="8" t="s">
        <v>161</v>
      </c>
      <c r="C6471" s="8" t="str">
        <f>IFERROR(_xlfn.XLOOKUP(TRIM(B6471),Lookup!$B$2:$B$1000,Lookup!$C$2:$C$1000),"")</f>
        <v>Equity</v>
      </c>
      <c r="D6471" s="8" t="str">
        <f>IFERROR(INDEX('nav master'!$C:$C, MATCH(B6471, 'nav master'!$B:$B, 0)), "")</f>
        <v>ULIF08421/11/25InCnsmAdFd101</v>
      </c>
      <c r="E6471" s="8" t="s">
        <v>514</v>
      </c>
      <c r="F6471" s="8" t="s">
        <v>1680</v>
      </c>
    </row>
    <row r="6472" spans="1:6" ht="75" x14ac:dyDescent="0.25">
      <c r="A6472" s="8" t="s">
        <v>125</v>
      </c>
      <c r="B6472" s="8" t="s">
        <v>161</v>
      </c>
      <c r="C6472" s="8" t="str">
        <f>IFERROR(_xlfn.XLOOKUP(TRIM(B6472),Lookup!$B$2:$B$1000,Lookup!$C$2:$C$1000),"")</f>
        <v>Equity</v>
      </c>
      <c r="D6472" s="8" t="str">
        <f>IFERROR(INDEX('nav master'!$C:$C, MATCH(B6472, 'nav master'!$B:$B, 0)), "")</f>
        <v>ULIF08421/11/25InCnsmAdFd101</v>
      </c>
      <c r="E6472" s="8" t="s">
        <v>516</v>
      </c>
      <c r="F6472" s="8" t="s">
        <v>1681</v>
      </c>
    </row>
    <row r="6473" spans="1:6" ht="75" x14ac:dyDescent="0.25">
      <c r="A6473" s="8" t="s">
        <v>125</v>
      </c>
      <c r="B6473" s="8" t="s">
        <v>161</v>
      </c>
      <c r="C6473" s="8" t="str">
        <f>IFERROR(_xlfn.XLOOKUP(TRIM(B6473),Lookup!$B$2:$B$1000,Lookup!$C$2:$C$1000),"")</f>
        <v>Equity</v>
      </c>
      <c r="D6473" s="8" t="str">
        <f>IFERROR(INDEX('nav master'!$C:$C, MATCH(B6473, 'nav master'!$B:$B, 0)), "")</f>
        <v>ULIF08421/11/25InCnsmAdFd101</v>
      </c>
      <c r="E6473" s="8" t="s">
        <v>518</v>
      </c>
      <c r="F6473" s="8" t="s">
        <v>1682</v>
      </c>
    </row>
    <row r="6474" spans="1:6" ht="75" x14ac:dyDescent="0.25">
      <c r="A6474" s="8" t="s">
        <v>125</v>
      </c>
      <c r="B6474" s="8" t="s">
        <v>161</v>
      </c>
      <c r="C6474" s="8" t="str">
        <f>IFERROR(_xlfn.XLOOKUP(TRIM(B6474),Lookup!$B$2:$B$1000,Lookup!$C$2:$C$1000),"")</f>
        <v>Equity</v>
      </c>
      <c r="D6474" s="8" t="str">
        <f>IFERROR(INDEX('nav master'!$C:$C, MATCH(B6474, 'nav master'!$B:$B, 0)), "")</f>
        <v>ULIF08421/11/25InCnsmAdFd101</v>
      </c>
      <c r="E6474" s="8" t="s">
        <v>520</v>
      </c>
      <c r="F6474" s="8" t="s">
        <v>1683</v>
      </c>
    </row>
    <row r="6475" spans="1:6" ht="75" x14ac:dyDescent="0.25">
      <c r="A6475" s="8" t="s">
        <v>125</v>
      </c>
      <c r="B6475" s="8" t="s">
        <v>161</v>
      </c>
      <c r="C6475" s="8" t="str">
        <f>IFERROR(_xlfn.XLOOKUP(TRIM(B6475),Lookup!$B$2:$B$1000,Lookup!$C$2:$C$1000),"")</f>
        <v>Equity</v>
      </c>
      <c r="D6475" s="8" t="str">
        <f>IFERROR(INDEX('nav master'!$C:$C, MATCH(B6475, 'nav master'!$B:$B, 0)), "")</f>
        <v>ULIF08421/11/25InCnsmAdFd101</v>
      </c>
      <c r="E6475" s="8" t="s">
        <v>522</v>
      </c>
      <c r="F6475" s="8" t="s">
        <v>1684</v>
      </c>
    </row>
    <row r="6476" spans="1:6" ht="75" x14ac:dyDescent="0.25">
      <c r="A6476" s="8" t="s">
        <v>125</v>
      </c>
      <c r="B6476" s="8" t="s">
        <v>161</v>
      </c>
      <c r="C6476" s="8" t="str">
        <f>IFERROR(_xlfn.XLOOKUP(TRIM(B6476),Lookup!$B$2:$B$1000,Lookup!$C$2:$C$1000),"")</f>
        <v>Equity</v>
      </c>
      <c r="D6476" s="8" t="str">
        <f>IFERROR(INDEX('nav master'!$C:$C, MATCH(B6476, 'nav master'!$B:$B, 0)), "")</f>
        <v>ULIF08421/11/25InCnsmAdFd101</v>
      </c>
      <c r="E6476" s="8" t="s">
        <v>524</v>
      </c>
      <c r="F6476" s="8" t="s">
        <v>1685</v>
      </c>
    </row>
    <row r="6477" spans="1:6" ht="75" x14ac:dyDescent="0.25">
      <c r="A6477" s="8" t="s">
        <v>125</v>
      </c>
      <c r="B6477" s="8" t="s">
        <v>161</v>
      </c>
      <c r="C6477" s="8" t="str">
        <f>IFERROR(_xlfn.XLOOKUP(TRIM(B6477),Lookup!$B$2:$B$1000,Lookup!$C$2:$C$1000),"")</f>
        <v>Equity</v>
      </c>
      <c r="D6477" s="8" t="str">
        <f>IFERROR(INDEX('nav master'!$C:$C, MATCH(B6477, 'nav master'!$B:$B, 0)), "")</f>
        <v>ULIF08421/11/25InCnsmAdFd101</v>
      </c>
      <c r="E6477" s="8" t="s">
        <v>526</v>
      </c>
      <c r="F6477" s="8" t="s">
        <v>1686</v>
      </c>
    </row>
    <row r="6478" spans="1:6" ht="75" x14ac:dyDescent="0.25">
      <c r="A6478" s="8" t="s">
        <v>125</v>
      </c>
      <c r="B6478" s="8" t="s">
        <v>161</v>
      </c>
      <c r="C6478" s="8" t="str">
        <f>IFERROR(_xlfn.XLOOKUP(TRIM(B6478),Lookup!$B$2:$B$1000,Lookup!$C$2:$C$1000),"")</f>
        <v>Equity</v>
      </c>
      <c r="D6478" s="8" t="str">
        <f>IFERROR(INDEX('nav master'!$C:$C, MATCH(B6478, 'nav master'!$B:$B, 0)), "")</f>
        <v>ULIF08421/11/25InCnsmAdFd101</v>
      </c>
      <c r="E6478" s="8" t="s">
        <v>528</v>
      </c>
      <c r="F6478" s="8" t="s">
        <v>1687</v>
      </c>
    </row>
    <row r="6479" spans="1:6" ht="75" x14ac:dyDescent="0.25">
      <c r="A6479" s="8" t="s">
        <v>125</v>
      </c>
      <c r="B6479" s="8" t="s">
        <v>161</v>
      </c>
      <c r="C6479" s="8" t="str">
        <f>IFERROR(_xlfn.XLOOKUP(TRIM(B6479),Lookup!$B$2:$B$1000,Lookup!$C$2:$C$1000),"")</f>
        <v>Equity</v>
      </c>
      <c r="D6479" s="8" t="str">
        <f>IFERROR(INDEX('nav master'!$C:$C, MATCH(B6479, 'nav master'!$B:$B, 0)), "")</f>
        <v>ULIF08421/11/25InCnsmAdFd101</v>
      </c>
      <c r="E6479" s="8" t="s">
        <v>530</v>
      </c>
      <c r="F6479" s="8" t="s">
        <v>1688</v>
      </c>
    </row>
    <row r="6480" spans="1:6" ht="75" x14ac:dyDescent="0.25">
      <c r="A6480" s="8" t="s">
        <v>125</v>
      </c>
      <c r="B6480" s="8" t="s">
        <v>161</v>
      </c>
      <c r="C6480" s="8" t="str">
        <f>IFERROR(_xlfn.XLOOKUP(TRIM(B6480),Lookup!$B$2:$B$1000,Lookup!$C$2:$C$1000),"")</f>
        <v>Equity</v>
      </c>
      <c r="D6480" s="8" t="str">
        <f>IFERROR(INDEX('nav master'!$C:$C, MATCH(B6480, 'nav master'!$B:$B, 0)), "")</f>
        <v>ULIF08421/11/25InCnsmAdFd101</v>
      </c>
      <c r="E6480" s="8" t="s">
        <v>532</v>
      </c>
      <c r="F6480" s="8" t="s">
        <v>1689</v>
      </c>
    </row>
    <row r="6481" spans="1:6" ht="75" x14ac:dyDescent="0.25">
      <c r="A6481" s="8" t="s">
        <v>125</v>
      </c>
      <c r="B6481" s="8" t="s">
        <v>161</v>
      </c>
      <c r="C6481" s="8" t="str">
        <f>IFERROR(_xlfn.XLOOKUP(TRIM(B6481),Lookup!$B$2:$B$1000,Lookup!$C$2:$C$1000),"")</f>
        <v>Equity</v>
      </c>
      <c r="D6481" s="8" t="str">
        <f>IFERROR(INDEX('nav master'!$C:$C, MATCH(B6481, 'nav master'!$B:$B, 0)), "")</f>
        <v>ULIF08421/11/25InCnsmAdFd101</v>
      </c>
      <c r="E6481" s="8" t="s">
        <v>534</v>
      </c>
      <c r="F6481" s="8" t="s">
        <v>1690</v>
      </c>
    </row>
    <row r="6482" spans="1:6" ht="75" x14ac:dyDescent="0.25">
      <c r="A6482" s="8" t="s">
        <v>125</v>
      </c>
      <c r="B6482" s="8" t="s">
        <v>161</v>
      </c>
      <c r="C6482" s="8" t="str">
        <f>IFERROR(_xlfn.XLOOKUP(TRIM(B6482),Lookup!$B$2:$B$1000,Lookup!$C$2:$C$1000),"")</f>
        <v>Equity</v>
      </c>
      <c r="D6482" s="8" t="str">
        <f>IFERROR(INDEX('nav master'!$C:$C, MATCH(B6482, 'nav master'!$B:$B, 0)), "")</f>
        <v>ULIF08421/11/25InCnsmAdFd101</v>
      </c>
      <c r="E6482" s="8" t="s">
        <v>536</v>
      </c>
      <c r="F6482" s="8" t="s">
        <v>1691</v>
      </c>
    </row>
    <row r="6483" spans="1:6" ht="75" x14ac:dyDescent="0.25">
      <c r="A6483" s="8" t="s">
        <v>125</v>
      </c>
      <c r="B6483" s="8" t="s">
        <v>161</v>
      </c>
      <c r="C6483" s="8" t="str">
        <f>IFERROR(_xlfn.XLOOKUP(TRIM(B6483),Lookup!$B$2:$B$1000,Lookup!$C$2:$C$1000),"")</f>
        <v>Equity</v>
      </c>
      <c r="D6483" s="8" t="str">
        <f>IFERROR(INDEX('nav master'!$C:$C, MATCH(B6483, 'nav master'!$B:$B, 0)), "")</f>
        <v>ULIF08421/11/25InCnsmAdFd101</v>
      </c>
      <c r="E6483" s="8" t="s">
        <v>538</v>
      </c>
      <c r="F6483" s="8" t="s">
        <v>1692</v>
      </c>
    </row>
    <row r="6484" spans="1:6" ht="75" x14ac:dyDescent="0.25">
      <c r="A6484" s="8" t="s">
        <v>125</v>
      </c>
      <c r="B6484" s="8" t="s">
        <v>161</v>
      </c>
      <c r="C6484" s="8" t="str">
        <f>IFERROR(_xlfn.XLOOKUP(TRIM(B6484),Lookup!$B$2:$B$1000,Lookup!$C$2:$C$1000),"")</f>
        <v>Equity</v>
      </c>
      <c r="D6484" s="8" t="str">
        <f>IFERROR(INDEX('nav master'!$C:$C, MATCH(B6484, 'nav master'!$B:$B, 0)), "")</f>
        <v>ULIF08421/11/25InCnsmAdFd101</v>
      </c>
      <c r="E6484" s="8" t="s">
        <v>540</v>
      </c>
      <c r="F6484" s="8" t="s">
        <v>1693</v>
      </c>
    </row>
    <row r="6485" spans="1:6" ht="75" x14ac:dyDescent="0.25">
      <c r="A6485" s="8" t="s">
        <v>125</v>
      </c>
      <c r="B6485" s="8" t="s">
        <v>161</v>
      </c>
      <c r="C6485" s="8" t="str">
        <f>IFERROR(_xlfn.XLOOKUP(TRIM(B6485),Lookup!$B$2:$B$1000,Lookup!$C$2:$C$1000),"")</f>
        <v>Equity</v>
      </c>
      <c r="D6485" s="8" t="str">
        <f>IFERROR(INDEX('nav master'!$C:$C, MATCH(B6485, 'nav master'!$B:$B, 0)), "")</f>
        <v>ULIF08421/11/25InCnsmAdFd101</v>
      </c>
      <c r="E6485" s="8" t="s">
        <v>542</v>
      </c>
      <c r="F6485" s="8" t="s">
        <v>1694</v>
      </c>
    </row>
    <row r="6486" spans="1:6" ht="75" x14ac:dyDescent="0.25">
      <c r="A6486" s="8" t="s">
        <v>125</v>
      </c>
      <c r="B6486" s="8" t="s">
        <v>161</v>
      </c>
      <c r="C6486" s="8" t="str">
        <f>IFERROR(_xlfn.XLOOKUP(TRIM(B6486),Lookup!$B$2:$B$1000,Lookup!$C$2:$C$1000),"")</f>
        <v>Equity</v>
      </c>
      <c r="D6486" s="8" t="str">
        <f>IFERROR(INDEX('nav master'!$C:$C, MATCH(B6486, 'nav master'!$B:$B, 0)), "")</f>
        <v>ULIF08421/11/25InCnsmAdFd101</v>
      </c>
      <c r="E6486" s="8" t="s">
        <v>544</v>
      </c>
      <c r="F6486" s="8" t="s">
        <v>1695</v>
      </c>
    </row>
    <row r="6487" spans="1:6" ht="75" x14ac:dyDescent="0.25">
      <c r="A6487" s="8" t="s">
        <v>125</v>
      </c>
      <c r="B6487" s="8" t="s">
        <v>161</v>
      </c>
      <c r="C6487" s="8" t="str">
        <f>IFERROR(_xlfn.XLOOKUP(TRIM(B6487),Lookup!$B$2:$B$1000,Lookup!$C$2:$C$1000),"")</f>
        <v>Equity</v>
      </c>
      <c r="D6487" s="8" t="str">
        <f>IFERROR(INDEX('nav master'!$C:$C, MATCH(B6487, 'nav master'!$B:$B, 0)), "")</f>
        <v>ULIF08421/11/25InCnsmAdFd101</v>
      </c>
      <c r="E6487" s="8" t="s">
        <v>546</v>
      </c>
      <c r="F6487" s="8" t="s">
        <v>1696</v>
      </c>
    </row>
    <row r="6488" spans="1:6" ht="75" x14ac:dyDescent="0.25">
      <c r="A6488" s="8" t="s">
        <v>125</v>
      </c>
      <c r="B6488" s="8" t="s">
        <v>161</v>
      </c>
      <c r="C6488" s="8" t="str">
        <f>IFERROR(_xlfn.XLOOKUP(TRIM(B6488),Lookup!$B$2:$B$1000,Lookup!$C$2:$C$1000),"")</f>
        <v>Equity</v>
      </c>
      <c r="D6488" s="8" t="str">
        <f>IFERROR(INDEX('nav master'!$C:$C, MATCH(B6488, 'nav master'!$B:$B, 0)), "")</f>
        <v>ULIF08421/11/25InCnsmAdFd101</v>
      </c>
      <c r="E6488" s="8" t="s">
        <v>548</v>
      </c>
      <c r="F6488" s="8" t="s">
        <v>1697</v>
      </c>
    </row>
    <row r="6489" spans="1:6" ht="75" x14ac:dyDescent="0.25">
      <c r="A6489" s="8" t="s">
        <v>125</v>
      </c>
      <c r="B6489" s="8" t="s">
        <v>161</v>
      </c>
      <c r="C6489" s="8" t="str">
        <f>IFERROR(_xlfn.XLOOKUP(TRIM(B6489),Lookup!$B$2:$B$1000,Lookup!$C$2:$C$1000),"")</f>
        <v>Equity</v>
      </c>
      <c r="D6489" s="8" t="str">
        <f>IFERROR(INDEX('nav master'!$C:$C, MATCH(B6489, 'nav master'!$B:$B, 0)), "")</f>
        <v>ULIF08421/11/25InCnsmAdFd101</v>
      </c>
      <c r="E6489" s="8" t="s">
        <v>550</v>
      </c>
      <c r="F6489" s="8" t="s">
        <v>1698</v>
      </c>
    </row>
    <row r="6490" spans="1:6" ht="75" x14ac:dyDescent="0.25">
      <c r="A6490" s="8" t="s">
        <v>125</v>
      </c>
      <c r="B6490" s="8" t="s">
        <v>161</v>
      </c>
      <c r="C6490" s="8" t="str">
        <f>IFERROR(_xlfn.XLOOKUP(TRIM(B6490),Lookup!$B$2:$B$1000,Lookup!$C$2:$C$1000),"")</f>
        <v>Equity</v>
      </c>
      <c r="D6490" s="8" t="str">
        <f>IFERROR(INDEX('nav master'!$C:$C, MATCH(B6490, 'nav master'!$B:$B, 0)), "")</f>
        <v>ULIF08421/11/25InCnsmAdFd101</v>
      </c>
      <c r="E6490" s="8" t="s">
        <v>552</v>
      </c>
      <c r="F6490" s="8" t="s">
        <v>1699</v>
      </c>
    </row>
    <row r="6491" spans="1:6" ht="75" x14ac:dyDescent="0.25">
      <c r="A6491" s="8" t="s">
        <v>125</v>
      </c>
      <c r="B6491" s="8" t="s">
        <v>161</v>
      </c>
      <c r="C6491" s="8" t="str">
        <f>IFERROR(_xlfn.XLOOKUP(TRIM(B6491),Lookup!$B$2:$B$1000,Lookup!$C$2:$C$1000),"")</f>
        <v>Equity</v>
      </c>
      <c r="D6491" s="8" t="str">
        <f>IFERROR(INDEX('nav master'!$C:$C, MATCH(B6491, 'nav master'!$B:$B, 0)), "")</f>
        <v>ULIF08421/11/25InCnsmAdFd101</v>
      </c>
      <c r="E6491" s="8" t="s">
        <v>554</v>
      </c>
      <c r="F6491" s="8" t="s">
        <v>1700</v>
      </c>
    </row>
    <row r="6492" spans="1:6" ht="75" x14ac:dyDescent="0.25">
      <c r="A6492" s="8" t="s">
        <v>125</v>
      </c>
      <c r="B6492" s="8" t="s">
        <v>161</v>
      </c>
      <c r="C6492" s="8" t="str">
        <f>IFERROR(_xlfn.XLOOKUP(TRIM(B6492),Lookup!$B$2:$B$1000,Lookup!$C$2:$C$1000),"")</f>
        <v>Equity</v>
      </c>
      <c r="D6492" s="8" t="str">
        <f>IFERROR(INDEX('nav master'!$C:$C, MATCH(B6492, 'nav master'!$B:$B, 0)), "")</f>
        <v>ULIF08421/11/25InCnsmAdFd101</v>
      </c>
      <c r="E6492" s="8" t="s">
        <v>556</v>
      </c>
      <c r="F6492" s="8" t="s">
        <v>1701</v>
      </c>
    </row>
    <row r="6493" spans="1:6" ht="75" x14ac:dyDescent="0.25">
      <c r="A6493" s="8" t="s">
        <v>125</v>
      </c>
      <c r="B6493" s="8" t="s">
        <v>161</v>
      </c>
      <c r="C6493" s="8" t="str">
        <f>IFERROR(_xlfn.XLOOKUP(TRIM(B6493),Lookup!$B$2:$B$1000,Lookup!$C$2:$C$1000),"")</f>
        <v>Equity</v>
      </c>
      <c r="D6493" s="8" t="str">
        <f>IFERROR(INDEX('nav master'!$C:$C, MATCH(B6493, 'nav master'!$B:$B, 0)), "")</f>
        <v>ULIF08421/11/25InCnsmAdFd101</v>
      </c>
      <c r="E6493" s="8" t="s">
        <v>558</v>
      </c>
      <c r="F6493" s="8" t="s">
        <v>1702</v>
      </c>
    </row>
    <row r="6494" spans="1:6" ht="75" x14ac:dyDescent="0.25">
      <c r="A6494" s="8" t="s">
        <v>125</v>
      </c>
      <c r="B6494" s="8" t="s">
        <v>161</v>
      </c>
      <c r="C6494" s="8" t="str">
        <f>IFERROR(_xlfn.XLOOKUP(TRIM(B6494),Lookup!$B$2:$B$1000,Lookup!$C$2:$C$1000),"")</f>
        <v>Equity</v>
      </c>
      <c r="D6494" s="8" t="str">
        <f>IFERROR(INDEX('nav master'!$C:$C, MATCH(B6494, 'nav master'!$B:$B, 0)), "")</f>
        <v>ULIF08421/11/25InCnsmAdFd101</v>
      </c>
      <c r="E6494" s="8" t="s">
        <v>560</v>
      </c>
      <c r="F6494" s="8" t="s">
        <v>1703</v>
      </c>
    </row>
    <row r="6495" spans="1:6" ht="75" x14ac:dyDescent="0.25">
      <c r="A6495" s="8" t="s">
        <v>125</v>
      </c>
      <c r="B6495" s="8" t="s">
        <v>161</v>
      </c>
      <c r="C6495" s="8" t="str">
        <f>IFERROR(_xlfn.XLOOKUP(TRIM(B6495),Lookup!$B$2:$B$1000,Lookup!$C$2:$C$1000),"")</f>
        <v>Equity</v>
      </c>
      <c r="D6495" s="8" t="str">
        <f>IFERROR(INDEX('nav master'!$C:$C, MATCH(B6495, 'nav master'!$B:$B, 0)), "")</f>
        <v>ULIF08421/11/25InCnsmAdFd101</v>
      </c>
      <c r="E6495" s="8" t="s">
        <v>562</v>
      </c>
      <c r="F6495" s="8" t="s">
        <v>1704</v>
      </c>
    </row>
    <row r="6496" spans="1:6" ht="75" x14ac:dyDescent="0.25">
      <c r="A6496" s="8" t="s">
        <v>125</v>
      </c>
      <c r="B6496" s="8" t="s">
        <v>161</v>
      </c>
      <c r="C6496" s="8" t="str">
        <f>IFERROR(_xlfn.XLOOKUP(TRIM(B6496),Lookup!$B$2:$B$1000,Lookup!$C$2:$C$1000),"")</f>
        <v>Equity</v>
      </c>
      <c r="D6496" s="8" t="str">
        <f>IFERROR(INDEX('nav master'!$C:$C, MATCH(B6496, 'nav master'!$B:$B, 0)), "")</f>
        <v>ULIF08421/11/25InCnsmAdFd101</v>
      </c>
      <c r="E6496" s="8" t="s">
        <v>564</v>
      </c>
      <c r="F6496" s="8" t="s">
        <v>1705</v>
      </c>
    </row>
    <row r="6497" spans="1:6" ht="75" x14ac:dyDescent="0.25">
      <c r="A6497" s="8" t="s">
        <v>125</v>
      </c>
      <c r="B6497" s="8" t="s">
        <v>161</v>
      </c>
      <c r="C6497" s="8" t="str">
        <f>IFERROR(_xlfn.XLOOKUP(TRIM(B6497),Lookup!$B$2:$B$1000,Lookup!$C$2:$C$1000),"")</f>
        <v>Equity</v>
      </c>
      <c r="D6497" s="8" t="str">
        <f>IFERROR(INDEX('nav master'!$C:$C, MATCH(B6497, 'nav master'!$B:$B, 0)), "")</f>
        <v>ULIF08421/11/25InCnsmAdFd101</v>
      </c>
      <c r="E6497" s="8" t="s">
        <v>566</v>
      </c>
      <c r="F6497" s="8" t="s">
        <v>1706</v>
      </c>
    </row>
    <row r="6498" spans="1:6" ht="75" x14ac:dyDescent="0.25">
      <c r="A6498" s="8" t="s">
        <v>125</v>
      </c>
      <c r="B6498" s="8" t="s">
        <v>161</v>
      </c>
      <c r="C6498" s="8" t="str">
        <f>IFERROR(_xlfn.XLOOKUP(TRIM(B6498),Lookup!$B$2:$B$1000,Lookup!$C$2:$C$1000),"")</f>
        <v>Equity</v>
      </c>
      <c r="D6498" s="8" t="str">
        <f>IFERROR(INDEX('nav master'!$C:$C, MATCH(B6498, 'nav master'!$B:$B, 0)), "")</f>
        <v>ULIF08421/11/25InCnsmAdFd101</v>
      </c>
      <c r="E6498" s="8" t="s">
        <v>568</v>
      </c>
      <c r="F6498" s="8" t="s">
        <v>1707</v>
      </c>
    </row>
    <row r="6499" spans="1:6" ht="75" x14ac:dyDescent="0.25">
      <c r="A6499" s="8" t="s">
        <v>125</v>
      </c>
      <c r="B6499" s="8" t="s">
        <v>161</v>
      </c>
      <c r="C6499" s="8" t="str">
        <f>IFERROR(_xlfn.XLOOKUP(TRIM(B6499),Lookup!$B$2:$B$1000,Lookup!$C$2:$C$1000),"")</f>
        <v>Equity</v>
      </c>
      <c r="D6499" s="8" t="str">
        <f>IFERROR(INDEX('nav master'!$C:$C, MATCH(B6499, 'nav master'!$B:$B, 0)), "")</f>
        <v>ULIF08421/11/25InCnsmAdFd101</v>
      </c>
      <c r="E6499" s="8" t="s">
        <v>570</v>
      </c>
      <c r="F6499" s="8" t="s">
        <v>1708</v>
      </c>
    </row>
    <row r="6500" spans="1:6" ht="75" x14ac:dyDescent="0.25">
      <c r="A6500" s="8" t="s">
        <v>125</v>
      </c>
      <c r="B6500" s="8" t="s">
        <v>161</v>
      </c>
      <c r="C6500" s="8" t="str">
        <f>IFERROR(_xlfn.XLOOKUP(TRIM(B6500),Lookup!$B$2:$B$1000,Lookup!$C$2:$C$1000),"")</f>
        <v>Equity</v>
      </c>
      <c r="D6500" s="8" t="str">
        <f>IFERROR(INDEX('nav master'!$C:$C, MATCH(B6500, 'nav master'!$B:$B, 0)), "")</f>
        <v>ULIF08421/11/25InCnsmAdFd101</v>
      </c>
      <c r="E6500" s="8" t="s">
        <v>572</v>
      </c>
      <c r="F6500" s="8" t="s">
        <v>1709</v>
      </c>
    </row>
    <row r="6501" spans="1:6" ht="75" x14ac:dyDescent="0.25">
      <c r="A6501" s="8" t="s">
        <v>125</v>
      </c>
      <c r="B6501" s="8" t="s">
        <v>161</v>
      </c>
      <c r="C6501" s="8" t="str">
        <f>IFERROR(_xlfn.XLOOKUP(TRIM(B6501),Lookup!$B$2:$B$1000,Lookup!$C$2:$C$1000),"")</f>
        <v>Equity</v>
      </c>
      <c r="D6501" s="8" t="str">
        <f>IFERROR(INDEX('nav master'!$C:$C, MATCH(B6501, 'nav master'!$B:$B, 0)), "")</f>
        <v>ULIF08421/11/25InCnsmAdFd101</v>
      </c>
      <c r="E6501" s="8" t="s">
        <v>574</v>
      </c>
      <c r="F6501" s="8" t="s">
        <v>1710</v>
      </c>
    </row>
    <row r="6502" spans="1:6" ht="75" x14ac:dyDescent="0.25">
      <c r="A6502" s="8" t="s">
        <v>125</v>
      </c>
      <c r="B6502" s="8" t="s">
        <v>161</v>
      </c>
      <c r="C6502" s="8" t="str">
        <f>IFERROR(_xlfn.XLOOKUP(TRIM(B6502),Lookup!$B$2:$B$1000,Lookup!$C$2:$C$1000),"")</f>
        <v>Equity</v>
      </c>
      <c r="D6502" s="8" t="str">
        <f>IFERROR(INDEX('nav master'!$C:$C, MATCH(B6502, 'nav master'!$B:$B, 0)), "")</f>
        <v>ULIF08421/11/25InCnsmAdFd101</v>
      </c>
      <c r="E6502" s="8" t="s">
        <v>576</v>
      </c>
      <c r="F6502" s="8" t="s">
        <v>1711</v>
      </c>
    </row>
    <row r="6503" spans="1:6" ht="75" x14ac:dyDescent="0.25">
      <c r="A6503" s="8" t="s">
        <v>125</v>
      </c>
      <c r="B6503" s="8" t="s">
        <v>161</v>
      </c>
      <c r="C6503" s="8" t="str">
        <f>IFERROR(_xlfn.XLOOKUP(TRIM(B6503),Lookup!$B$2:$B$1000,Lookup!$C$2:$C$1000),"")</f>
        <v>Equity</v>
      </c>
      <c r="D6503" s="8" t="str">
        <f>IFERROR(INDEX('nav master'!$C:$C, MATCH(B6503, 'nav master'!$B:$B, 0)), "")</f>
        <v>ULIF08421/11/25InCnsmAdFd101</v>
      </c>
      <c r="E6503" s="8" t="s">
        <v>578</v>
      </c>
      <c r="F6503" s="8" t="s">
        <v>1712</v>
      </c>
    </row>
    <row r="6504" spans="1:6" ht="75" x14ac:dyDescent="0.25">
      <c r="A6504" s="8" t="s">
        <v>125</v>
      </c>
      <c r="B6504" s="8" t="s">
        <v>161</v>
      </c>
      <c r="C6504" s="8" t="str">
        <f>IFERROR(_xlfn.XLOOKUP(TRIM(B6504),Lookup!$B$2:$B$1000,Lookup!$C$2:$C$1000),"")</f>
        <v>Equity</v>
      </c>
      <c r="D6504" s="8" t="str">
        <f>IFERROR(INDEX('nav master'!$C:$C, MATCH(B6504, 'nav master'!$B:$B, 0)), "")</f>
        <v>ULIF08421/11/25InCnsmAdFd101</v>
      </c>
      <c r="E6504" s="8" t="s">
        <v>580</v>
      </c>
      <c r="F6504" s="8" t="s">
        <v>1713</v>
      </c>
    </row>
    <row r="6505" spans="1:6" ht="75" x14ac:dyDescent="0.25">
      <c r="A6505" s="8" t="s">
        <v>125</v>
      </c>
      <c r="B6505" s="8" t="s">
        <v>161</v>
      </c>
      <c r="C6505" s="8" t="str">
        <f>IFERROR(_xlfn.XLOOKUP(TRIM(B6505),Lookup!$B$2:$B$1000,Lookup!$C$2:$C$1000),"")</f>
        <v>Equity</v>
      </c>
      <c r="D6505" s="8" t="str">
        <f>IFERROR(INDEX('nav master'!$C:$C, MATCH(B6505, 'nav master'!$B:$B, 0)), "")</f>
        <v>ULIF08421/11/25InCnsmAdFd101</v>
      </c>
      <c r="E6505" s="8" t="s">
        <v>582</v>
      </c>
      <c r="F6505" s="8" t="s">
        <v>1714</v>
      </c>
    </row>
    <row r="6506" spans="1:6" ht="75" x14ac:dyDescent="0.25">
      <c r="A6506" s="8" t="s">
        <v>125</v>
      </c>
      <c r="B6506" s="8" t="s">
        <v>161</v>
      </c>
      <c r="C6506" s="8" t="str">
        <f>IFERROR(_xlfn.XLOOKUP(TRIM(B6506),Lookup!$B$2:$B$1000,Lookup!$C$2:$C$1000),"")</f>
        <v>Equity</v>
      </c>
      <c r="D6506" s="8" t="str">
        <f>IFERROR(INDEX('nav master'!$C:$C, MATCH(B6506, 'nav master'!$B:$B, 0)), "")</f>
        <v>ULIF08421/11/25InCnsmAdFd101</v>
      </c>
      <c r="E6506" s="8" t="s">
        <v>584</v>
      </c>
      <c r="F6506" s="8" t="s">
        <v>1715</v>
      </c>
    </row>
    <row r="6507" spans="1:6" ht="75" x14ac:dyDescent="0.25">
      <c r="A6507" s="8" t="s">
        <v>125</v>
      </c>
      <c r="B6507" s="8" t="s">
        <v>161</v>
      </c>
      <c r="C6507" s="8" t="str">
        <f>IFERROR(_xlfn.XLOOKUP(TRIM(B6507),Lookup!$B$2:$B$1000,Lookup!$C$2:$C$1000),"")</f>
        <v>Equity</v>
      </c>
      <c r="D6507" s="8" t="str">
        <f>IFERROR(INDEX('nav master'!$C:$C, MATCH(B6507, 'nav master'!$B:$B, 0)), "")</f>
        <v>ULIF08421/11/25InCnsmAdFd101</v>
      </c>
      <c r="E6507" s="8" t="s">
        <v>586</v>
      </c>
      <c r="F6507" s="8" t="s">
        <v>1716</v>
      </c>
    </row>
    <row r="6508" spans="1:6" ht="75" x14ac:dyDescent="0.25">
      <c r="A6508" s="8" t="s">
        <v>125</v>
      </c>
      <c r="B6508" s="8" t="s">
        <v>161</v>
      </c>
      <c r="C6508" s="8" t="str">
        <f>IFERROR(_xlfn.XLOOKUP(TRIM(B6508),Lookup!$B$2:$B$1000,Lookup!$C$2:$C$1000),"")</f>
        <v>Equity</v>
      </c>
      <c r="D6508" s="8" t="str">
        <f>IFERROR(INDEX('nav master'!$C:$C, MATCH(B6508, 'nav master'!$B:$B, 0)), "")</f>
        <v>ULIF08421/11/25InCnsmAdFd101</v>
      </c>
      <c r="E6508" s="8" t="s">
        <v>588</v>
      </c>
      <c r="F6508" s="8" t="s">
        <v>1717</v>
      </c>
    </row>
    <row r="6509" spans="1:6" ht="75" x14ac:dyDescent="0.25">
      <c r="A6509" s="8" t="s">
        <v>125</v>
      </c>
      <c r="B6509" s="8" t="s">
        <v>161</v>
      </c>
      <c r="C6509" s="8" t="str">
        <f>IFERROR(_xlfn.XLOOKUP(TRIM(B6509),Lookup!$B$2:$B$1000,Lookup!$C$2:$C$1000),"")</f>
        <v>Equity</v>
      </c>
      <c r="D6509" s="8" t="str">
        <f>IFERROR(INDEX('nav master'!$C:$C, MATCH(B6509, 'nav master'!$B:$B, 0)), "")</f>
        <v>ULIF08421/11/25InCnsmAdFd101</v>
      </c>
      <c r="E6509" s="8" t="s">
        <v>590</v>
      </c>
      <c r="F6509" s="8" t="s">
        <v>1718</v>
      </c>
    </row>
    <row r="6510" spans="1:6" ht="75" x14ac:dyDescent="0.25">
      <c r="A6510" s="8" t="s">
        <v>125</v>
      </c>
      <c r="B6510" s="8" t="s">
        <v>161</v>
      </c>
      <c r="C6510" s="8" t="str">
        <f>IFERROR(_xlfn.XLOOKUP(TRIM(B6510),Lookup!$B$2:$B$1000,Lookup!$C$2:$C$1000),"")</f>
        <v>Equity</v>
      </c>
      <c r="D6510" s="8" t="str">
        <f>IFERROR(INDEX('nav master'!$C:$C, MATCH(B6510, 'nav master'!$B:$B, 0)), "")</f>
        <v>ULIF08421/11/25InCnsmAdFd101</v>
      </c>
      <c r="E6510" s="8" t="s">
        <v>592</v>
      </c>
      <c r="F6510" s="8" t="s">
        <v>1719</v>
      </c>
    </row>
    <row r="6511" spans="1:6" ht="75" x14ac:dyDescent="0.25">
      <c r="A6511" s="8" t="s">
        <v>125</v>
      </c>
      <c r="B6511" s="8" t="s">
        <v>161</v>
      </c>
      <c r="C6511" s="8" t="str">
        <f>IFERROR(_xlfn.XLOOKUP(TRIM(B6511),Lookup!$B$2:$B$1000,Lookup!$C$2:$C$1000),"")</f>
        <v>Equity</v>
      </c>
      <c r="D6511" s="8" t="str">
        <f>IFERROR(INDEX('nav master'!$C:$C, MATCH(B6511, 'nav master'!$B:$B, 0)), "")</f>
        <v>ULIF08421/11/25InCnsmAdFd101</v>
      </c>
      <c r="E6511" s="8" t="s">
        <v>594</v>
      </c>
      <c r="F6511" s="8" t="s">
        <v>1720</v>
      </c>
    </row>
    <row r="6512" spans="1:6" ht="75" x14ac:dyDescent="0.25">
      <c r="A6512" s="8" t="s">
        <v>125</v>
      </c>
      <c r="B6512" s="8" t="s">
        <v>161</v>
      </c>
      <c r="C6512" s="8" t="str">
        <f>IFERROR(_xlfn.XLOOKUP(TRIM(B6512),Lookup!$B$2:$B$1000,Lookup!$C$2:$C$1000),"")</f>
        <v>Equity</v>
      </c>
      <c r="D6512" s="8" t="str">
        <f>IFERROR(INDEX('nav master'!$C:$C, MATCH(B6512, 'nav master'!$B:$B, 0)), "")</f>
        <v>ULIF08421/11/25InCnsmAdFd101</v>
      </c>
      <c r="E6512" s="8" t="s">
        <v>596</v>
      </c>
      <c r="F6512" s="8" t="s">
        <v>1721</v>
      </c>
    </row>
    <row r="6513" spans="1:6" ht="75" x14ac:dyDescent="0.25">
      <c r="A6513" s="8" t="s">
        <v>125</v>
      </c>
      <c r="B6513" s="8" t="s">
        <v>161</v>
      </c>
      <c r="C6513" s="8" t="str">
        <f>IFERROR(_xlfn.XLOOKUP(TRIM(B6513),Lookup!$B$2:$B$1000,Lookup!$C$2:$C$1000),"")</f>
        <v>Equity</v>
      </c>
      <c r="D6513" s="8" t="str">
        <f>IFERROR(INDEX('nav master'!$C:$C, MATCH(B6513, 'nav master'!$B:$B, 0)), "")</f>
        <v>ULIF08421/11/25InCnsmAdFd101</v>
      </c>
      <c r="E6513" s="8" t="s">
        <v>598</v>
      </c>
      <c r="F6513" s="8" t="s">
        <v>1722</v>
      </c>
    </row>
    <row r="6514" spans="1:6" ht="75" x14ac:dyDescent="0.25">
      <c r="A6514" s="8" t="s">
        <v>125</v>
      </c>
      <c r="B6514" s="8" t="s">
        <v>161</v>
      </c>
      <c r="C6514" s="8" t="str">
        <f>IFERROR(_xlfn.XLOOKUP(TRIM(B6514),Lookup!$B$2:$B$1000,Lookup!$C$2:$C$1000),"")</f>
        <v>Equity</v>
      </c>
      <c r="D6514" s="8" t="str">
        <f>IFERROR(INDEX('nav master'!$C:$C, MATCH(B6514, 'nav master'!$B:$B, 0)), "")</f>
        <v>ULIF08421/11/25InCnsmAdFd101</v>
      </c>
      <c r="E6514" s="8" t="s">
        <v>600</v>
      </c>
      <c r="F6514" s="8" t="s">
        <v>1723</v>
      </c>
    </row>
    <row r="6515" spans="1:6" ht="75" x14ac:dyDescent="0.25">
      <c r="A6515" s="8" t="s">
        <v>125</v>
      </c>
      <c r="B6515" s="8" t="s">
        <v>161</v>
      </c>
      <c r="C6515" s="8" t="str">
        <f>IFERROR(_xlfn.XLOOKUP(TRIM(B6515),Lookup!$B$2:$B$1000,Lookup!$C$2:$C$1000),"")</f>
        <v>Equity</v>
      </c>
      <c r="D6515" s="8" t="str">
        <f>IFERROR(INDEX('nav master'!$C:$C, MATCH(B6515, 'nav master'!$B:$B, 0)), "")</f>
        <v>ULIF08421/11/25InCnsmAdFd101</v>
      </c>
      <c r="E6515" s="8" t="s">
        <v>602</v>
      </c>
      <c r="F6515" s="8" t="s">
        <v>1724</v>
      </c>
    </row>
    <row r="6516" spans="1:6" ht="75" x14ac:dyDescent="0.25">
      <c r="A6516" s="8" t="s">
        <v>125</v>
      </c>
      <c r="B6516" s="8" t="s">
        <v>161</v>
      </c>
      <c r="C6516" s="8" t="str">
        <f>IFERROR(_xlfn.XLOOKUP(TRIM(B6516),Lookup!$B$2:$B$1000,Lookup!$C$2:$C$1000),"")</f>
        <v>Equity</v>
      </c>
      <c r="D6516" s="8" t="str">
        <f>IFERROR(INDEX('nav master'!$C:$C, MATCH(B6516, 'nav master'!$B:$B, 0)), "")</f>
        <v>ULIF08421/11/25InCnsmAdFd101</v>
      </c>
      <c r="E6516" s="8" t="s">
        <v>604</v>
      </c>
      <c r="F6516" s="8" t="s">
        <v>1725</v>
      </c>
    </row>
    <row r="6517" spans="1:6" ht="75" x14ac:dyDescent="0.25">
      <c r="A6517" s="8" t="s">
        <v>125</v>
      </c>
      <c r="B6517" s="8" t="s">
        <v>161</v>
      </c>
      <c r="C6517" s="8" t="str">
        <f>IFERROR(_xlfn.XLOOKUP(TRIM(B6517),Lookup!$B$2:$B$1000,Lookup!$C$2:$C$1000),"")</f>
        <v>Equity</v>
      </c>
      <c r="D6517" s="8" t="str">
        <f>IFERROR(INDEX('nav master'!$C:$C, MATCH(B6517, 'nav master'!$B:$B, 0)), "")</f>
        <v>ULIF08421/11/25InCnsmAdFd101</v>
      </c>
      <c r="E6517" s="8" t="s">
        <v>606</v>
      </c>
      <c r="F6517" s="8" t="s">
        <v>1726</v>
      </c>
    </row>
    <row r="6518" spans="1:6" ht="75" x14ac:dyDescent="0.25">
      <c r="A6518" s="8" t="s">
        <v>125</v>
      </c>
      <c r="B6518" s="8" t="s">
        <v>161</v>
      </c>
      <c r="C6518" s="8" t="str">
        <f>IFERROR(_xlfn.XLOOKUP(TRIM(B6518),Lookup!$B$2:$B$1000,Lookup!$C$2:$C$1000),"")</f>
        <v>Equity</v>
      </c>
      <c r="D6518" s="8" t="str">
        <f>IFERROR(INDEX('nav master'!$C:$C, MATCH(B6518, 'nav master'!$B:$B, 0)), "")</f>
        <v>ULIF08421/11/25InCnsmAdFd101</v>
      </c>
      <c r="E6518" s="8" t="s">
        <v>608</v>
      </c>
      <c r="F6518" s="8" t="s">
        <v>1727</v>
      </c>
    </row>
    <row r="6519" spans="1:6" ht="75" x14ac:dyDescent="0.25">
      <c r="A6519" s="8" t="s">
        <v>125</v>
      </c>
      <c r="B6519" s="8" t="s">
        <v>161</v>
      </c>
      <c r="C6519" s="8" t="str">
        <f>IFERROR(_xlfn.XLOOKUP(TRIM(B6519),Lookup!$B$2:$B$1000,Lookup!$C$2:$C$1000),"")</f>
        <v>Equity</v>
      </c>
      <c r="D6519" s="8" t="str">
        <f>IFERROR(INDEX('nav master'!$C:$C, MATCH(B6519, 'nav master'!$B:$B, 0)), "")</f>
        <v>ULIF08421/11/25InCnsmAdFd101</v>
      </c>
      <c r="E6519" s="8" t="s">
        <v>610</v>
      </c>
      <c r="F6519" s="8" t="s">
        <v>1728</v>
      </c>
    </row>
    <row r="6520" spans="1:6" ht="75" x14ac:dyDescent="0.25">
      <c r="A6520" s="8" t="s">
        <v>125</v>
      </c>
      <c r="B6520" s="8" t="s">
        <v>161</v>
      </c>
      <c r="C6520" s="8" t="str">
        <f>IFERROR(_xlfn.XLOOKUP(TRIM(B6520),Lookup!$B$2:$B$1000,Lookup!$C$2:$C$1000),"")</f>
        <v>Equity</v>
      </c>
      <c r="D6520" s="8" t="str">
        <f>IFERROR(INDEX('nav master'!$C:$C, MATCH(B6520, 'nav master'!$B:$B, 0)), "")</f>
        <v>ULIF08421/11/25InCnsmAdFd101</v>
      </c>
      <c r="E6520" s="8" t="s">
        <v>612</v>
      </c>
      <c r="F6520" s="8" t="s">
        <v>1729</v>
      </c>
    </row>
    <row r="6521" spans="1:6" ht="75" x14ac:dyDescent="0.25">
      <c r="A6521" s="8" t="s">
        <v>125</v>
      </c>
      <c r="B6521" s="8" t="s">
        <v>161</v>
      </c>
      <c r="C6521" s="8" t="str">
        <f>IFERROR(_xlfn.XLOOKUP(TRIM(B6521),Lookup!$B$2:$B$1000,Lookup!$C$2:$C$1000),"")</f>
        <v>Equity</v>
      </c>
      <c r="D6521" s="8" t="str">
        <f>IFERROR(INDEX('nav master'!$C:$C, MATCH(B6521, 'nav master'!$B:$B, 0)), "")</f>
        <v>ULIF08421/11/25InCnsmAdFd101</v>
      </c>
      <c r="E6521" s="8" t="s">
        <v>614</v>
      </c>
      <c r="F6521" s="8" t="s">
        <v>1730</v>
      </c>
    </row>
    <row r="6522" spans="1:6" ht="75" x14ac:dyDescent="0.25">
      <c r="A6522" s="8" t="s">
        <v>125</v>
      </c>
      <c r="B6522" s="8" t="s">
        <v>161</v>
      </c>
      <c r="C6522" s="8" t="str">
        <f>IFERROR(_xlfn.XLOOKUP(TRIM(B6522),Lookup!$B$2:$B$1000,Lookup!$C$2:$C$1000),"")</f>
        <v>Equity</v>
      </c>
      <c r="D6522" s="8" t="str">
        <f>IFERROR(INDEX('nav master'!$C:$C, MATCH(B6522, 'nav master'!$B:$B, 0)), "")</f>
        <v>ULIF08421/11/25InCnsmAdFd101</v>
      </c>
      <c r="E6522" s="8" t="s">
        <v>616</v>
      </c>
      <c r="F6522" s="8" t="s">
        <v>1731</v>
      </c>
    </row>
    <row r="6523" spans="1:6" ht="75" x14ac:dyDescent="0.25">
      <c r="A6523" s="8" t="s">
        <v>125</v>
      </c>
      <c r="B6523" s="8" t="s">
        <v>161</v>
      </c>
      <c r="C6523" s="8" t="str">
        <f>IFERROR(_xlfn.XLOOKUP(TRIM(B6523),Lookup!$B$2:$B$1000,Lookup!$C$2:$C$1000),"")</f>
        <v>Equity</v>
      </c>
      <c r="D6523" s="8" t="str">
        <f>IFERROR(INDEX('nav master'!$C:$C, MATCH(B6523, 'nav master'!$B:$B, 0)), "")</f>
        <v>ULIF08421/11/25InCnsmAdFd101</v>
      </c>
      <c r="E6523" s="8" t="s">
        <v>618</v>
      </c>
      <c r="F6523" s="8" t="s">
        <v>1732</v>
      </c>
    </row>
    <row r="6524" spans="1:6" ht="75" x14ac:dyDescent="0.25">
      <c r="A6524" s="8" t="s">
        <v>125</v>
      </c>
      <c r="B6524" s="8" t="s">
        <v>161</v>
      </c>
      <c r="C6524" s="8" t="str">
        <f>IFERROR(_xlfn.XLOOKUP(TRIM(B6524),Lookup!$B$2:$B$1000,Lookup!$C$2:$C$1000),"")</f>
        <v>Equity</v>
      </c>
      <c r="D6524" s="8" t="str">
        <f>IFERROR(INDEX('nav master'!$C:$C, MATCH(B6524, 'nav master'!$B:$B, 0)), "")</f>
        <v>ULIF08421/11/25InCnsmAdFd101</v>
      </c>
      <c r="E6524" s="8" t="s">
        <v>620</v>
      </c>
      <c r="F6524" s="8" t="s">
        <v>1733</v>
      </c>
    </row>
    <row r="6525" spans="1:6" ht="75" x14ac:dyDescent="0.25">
      <c r="A6525" s="8" t="s">
        <v>125</v>
      </c>
      <c r="B6525" s="8" t="s">
        <v>161</v>
      </c>
      <c r="C6525" s="8" t="str">
        <f>IFERROR(_xlfn.XLOOKUP(TRIM(B6525),Lookup!$B$2:$B$1000,Lookup!$C$2:$C$1000),"")</f>
        <v>Equity</v>
      </c>
      <c r="D6525" s="8" t="str">
        <f>IFERROR(INDEX('nav master'!$C:$C, MATCH(B6525, 'nav master'!$B:$B, 0)), "")</f>
        <v>ULIF08421/11/25InCnsmAdFd101</v>
      </c>
      <c r="E6525" s="8" t="s">
        <v>622</v>
      </c>
      <c r="F6525" s="8" t="s">
        <v>1734</v>
      </c>
    </row>
    <row r="6526" spans="1:6" ht="75" x14ac:dyDescent="0.25">
      <c r="A6526" s="8" t="s">
        <v>125</v>
      </c>
      <c r="B6526" s="8" t="s">
        <v>161</v>
      </c>
      <c r="C6526" s="8" t="str">
        <f>IFERROR(_xlfn.XLOOKUP(TRIM(B6526),Lookup!$B$2:$B$1000,Lookup!$C$2:$C$1000),"")</f>
        <v>Equity</v>
      </c>
      <c r="D6526" s="8" t="str">
        <f>IFERROR(INDEX('nav master'!$C:$C, MATCH(B6526, 'nav master'!$B:$B, 0)), "")</f>
        <v>ULIF08421/11/25InCnsmAdFd101</v>
      </c>
      <c r="E6526" s="8" t="s">
        <v>624</v>
      </c>
      <c r="F6526" s="8" t="s">
        <v>1735</v>
      </c>
    </row>
    <row r="6527" spans="1:6" ht="75" x14ac:dyDescent="0.25">
      <c r="A6527" s="8" t="s">
        <v>125</v>
      </c>
      <c r="B6527" s="8" t="s">
        <v>161</v>
      </c>
      <c r="C6527" s="8" t="str">
        <f>IFERROR(_xlfn.XLOOKUP(TRIM(B6527),Lookup!$B$2:$B$1000,Lookup!$C$2:$C$1000),"")</f>
        <v>Equity</v>
      </c>
      <c r="D6527" s="8" t="str">
        <f>IFERROR(INDEX('nav master'!$C:$C, MATCH(B6527, 'nav master'!$B:$B, 0)), "")</f>
        <v>ULIF08421/11/25InCnsmAdFd101</v>
      </c>
      <c r="E6527" s="8" t="s">
        <v>626</v>
      </c>
      <c r="F6527" s="8" t="s">
        <v>1736</v>
      </c>
    </row>
    <row r="6528" spans="1:6" ht="75" x14ac:dyDescent="0.25">
      <c r="A6528" s="8" t="s">
        <v>125</v>
      </c>
      <c r="B6528" s="8" t="s">
        <v>161</v>
      </c>
      <c r="C6528" s="8" t="str">
        <f>IFERROR(_xlfn.XLOOKUP(TRIM(B6528),Lookup!$B$2:$B$1000,Lookup!$C$2:$C$1000),"")</f>
        <v>Equity</v>
      </c>
      <c r="D6528" s="8" t="str">
        <f>IFERROR(INDEX('nav master'!$C:$C, MATCH(B6528, 'nav master'!$B:$B, 0)), "")</f>
        <v>ULIF08421/11/25InCnsmAdFd101</v>
      </c>
      <c r="E6528" s="8" t="s">
        <v>628</v>
      </c>
      <c r="F6528" s="8" t="s">
        <v>1737</v>
      </c>
    </row>
    <row r="6529" spans="1:6" ht="75" x14ac:dyDescent="0.25">
      <c r="A6529" s="8" t="s">
        <v>125</v>
      </c>
      <c r="B6529" s="8" t="s">
        <v>161</v>
      </c>
      <c r="C6529" s="8" t="str">
        <f>IFERROR(_xlfn.XLOOKUP(TRIM(B6529),Lookup!$B$2:$B$1000,Lookup!$C$2:$C$1000),"")</f>
        <v>Equity</v>
      </c>
      <c r="D6529" s="8" t="str">
        <f>IFERROR(INDEX('nav master'!$C:$C, MATCH(B6529, 'nav master'!$B:$B, 0)), "")</f>
        <v>ULIF08421/11/25InCnsmAdFd101</v>
      </c>
      <c r="E6529" s="8" t="s">
        <v>630</v>
      </c>
      <c r="F6529" s="8" t="s">
        <v>1738</v>
      </c>
    </row>
    <row r="6530" spans="1:6" ht="75" x14ac:dyDescent="0.25">
      <c r="A6530" s="8" t="s">
        <v>125</v>
      </c>
      <c r="B6530" s="8" t="s">
        <v>161</v>
      </c>
      <c r="C6530" s="8" t="str">
        <f>IFERROR(_xlfn.XLOOKUP(TRIM(B6530),Lookup!$B$2:$B$1000,Lookup!$C$2:$C$1000),"")</f>
        <v>Equity</v>
      </c>
      <c r="D6530" s="8" t="str">
        <f>IFERROR(INDEX('nav master'!$C:$C, MATCH(B6530, 'nav master'!$B:$B, 0)), "")</f>
        <v>ULIF08421/11/25InCnsmAdFd101</v>
      </c>
      <c r="E6530" s="8" t="s">
        <v>632</v>
      </c>
      <c r="F6530" s="8" t="s">
        <v>1739</v>
      </c>
    </row>
    <row r="6531" spans="1:6" ht="75" x14ac:dyDescent="0.25">
      <c r="A6531" s="8" t="s">
        <v>125</v>
      </c>
      <c r="B6531" s="8" t="s">
        <v>161</v>
      </c>
      <c r="C6531" s="8" t="str">
        <f>IFERROR(_xlfn.XLOOKUP(TRIM(B6531),Lookup!$B$2:$B$1000,Lookup!$C$2:$C$1000),"")</f>
        <v>Equity</v>
      </c>
      <c r="D6531" s="8" t="str">
        <f>IFERROR(INDEX('nav master'!$C:$C, MATCH(B6531, 'nav master'!$B:$B, 0)), "")</f>
        <v>ULIF08421/11/25InCnsmAdFd101</v>
      </c>
      <c r="E6531" s="8" t="s">
        <v>634</v>
      </c>
      <c r="F6531" s="8" t="s">
        <v>1740</v>
      </c>
    </row>
    <row r="6532" spans="1:6" ht="75" x14ac:dyDescent="0.25">
      <c r="A6532" s="8" t="s">
        <v>125</v>
      </c>
      <c r="B6532" s="8" t="s">
        <v>161</v>
      </c>
      <c r="C6532" s="8" t="str">
        <f>IFERROR(_xlfn.XLOOKUP(TRIM(B6532),Lookup!$B$2:$B$1000,Lookup!$C$2:$C$1000),"")</f>
        <v>Equity</v>
      </c>
      <c r="D6532" s="8" t="str">
        <f>IFERROR(INDEX('nav master'!$C:$C, MATCH(B6532, 'nav master'!$B:$B, 0)), "")</f>
        <v>ULIF08421/11/25InCnsmAdFd101</v>
      </c>
      <c r="E6532" s="8" t="s">
        <v>636</v>
      </c>
      <c r="F6532" s="8" t="s">
        <v>1741</v>
      </c>
    </row>
    <row r="6533" spans="1:6" ht="75" x14ac:dyDescent="0.25">
      <c r="A6533" s="8" t="s">
        <v>125</v>
      </c>
      <c r="B6533" s="8" t="s">
        <v>161</v>
      </c>
      <c r="C6533" s="8" t="str">
        <f>IFERROR(_xlfn.XLOOKUP(TRIM(B6533),Lookup!$B$2:$B$1000,Lookup!$C$2:$C$1000),"")</f>
        <v>Equity</v>
      </c>
      <c r="D6533" s="8" t="str">
        <f>IFERROR(INDEX('nav master'!$C:$C, MATCH(B6533, 'nav master'!$B:$B, 0)), "")</f>
        <v>ULIF08421/11/25InCnsmAdFd101</v>
      </c>
      <c r="E6533" s="8" t="s">
        <v>638</v>
      </c>
      <c r="F6533" s="8" t="s">
        <v>1742</v>
      </c>
    </row>
    <row r="6534" spans="1:6" ht="75" x14ac:dyDescent="0.25">
      <c r="A6534" s="8" t="s">
        <v>125</v>
      </c>
      <c r="B6534" s="8" t="s">
        <v>161</v>
      </c>
      <c r="C6534" s="8" t="str">
        <f>IFERROR(_xlfn.XLOOKUP(TRIM(B6534),Lookup!$B$2:$B$1000,Lookup!$C$2:$C$1000),"")</f>
        <v>Equity</v>
      </c>
      <c r="D6534" s="8" t="str">
        <f>IFERROR(INDEX('nav master'!$C:$C, MATCH(B6534, 'nav master'!$B:$B, 0)), "")</f>
        <v>ULIF08421/11/25InCnsmAdFd101</v>
      </c>
      <c r="E6534" s="8" t="s">
        <v>640</v>
      </c>
      <c r="F6534" s="8" t="s">
        <v>1743</v>
      </c>
    </row>
    <row r="6535" spans="1:6" ht="75" x14ac:dyDescent="0.25">
      <c r="A6535" s="8" t="s">
        <v>125</v>
      </c>
      <c r="B6535" s="8" t="s">
        <v>161</v>
      </c>
      <c r="C6535" s="8" t="str">
        <f>IFERROR(_xlfn.XLOOKUP(TRIM(B6535),Lookup!$B$2:$B$1000,Lookup!$C$2:$C$1000),"")</f>
        <v>Equity</v>
      </c>
      <c r="D6535" s="8" t="str">
        <f>IFERROR(INDEX('nav master'!$C:$C, MATCH(B6535, 'nav master'!$B:$B, 0)), "")</f>
        <v>ULIF08421/11/25InCnsmAdFd101</v>
      </c>
      <c r="E6535" s="8" t="s">
        <v>642</v>
      </c>
      <c r="F6535" s="8" t="s">
        <v>1744</v>
      </c>
    </row>
    <row r="6536" spans="1:6" ht="75" x14ac:dyDescent="0.25">
      <c r="A6536" s="8" t="s">
        <v>125</v>
      </c>
      <c r="B6536" s="8" t="s">
        <v>161</v>
      </c>
      <c r="C6536" s="8" t="str">
        <f>IFERROR(_xlfn.XLOOKUP(TRIM(B6536),Lookup!$B$2:$B$1000,Lookup!$C$2:$C$1000),"")</f>
        <v>Equity</v>
      </c>
      <c r="D6536" s="8" t="str">
        <f>IFERROR(INDEX('nav master'!$C:$C, MATCH(B6536, 'nav master'!$B:$B, 0)), "")</f>
        <v>ULIF08421/11/25InCnsmAdFd101</v>
      </c>
      <c r="E6536" s="8" t="s">
        <v>644</v>
      </c>
      <c r="F6536" s="8" t="s">
        <v>1745</v>
      </c>
    </row>
    <row r="6537" spans="1:6" ht="75" x14ac:dyDescent="0.25">
      <c r="A6537" s="8" t="s">
        <v>125</v>
      </c>
      <c r="B6537" s="8" t="s">
        <v>161</v>
      </c>
      <c r="C6537" s="8" t="str">
        <f>IFERROR(_xlfn.XLOOKUP(TRIM(B6537),Lookup!$B$2:$B$1000,Lookup!$C$2:$C$1000),"")</f>
        <v>Equity</v>
      </c>
      <c r="D6537" s="8" t="str">
        <f>IFERROR(INDEX('nav master'!$C:$C, MATCH(B6537, 'nav master'!$B:$B, 0)), "")</f>
        <v>ULIF08421/11/25InCnsmAdFd101</v>
      </c>
      <c r="E6537" s="8" t="s">
        <v>646</v>
      </c>
      <c r="F6537" s="8" t="s">
        <v>1746</v>
      </c>
    </row>
    <row r="6538" spans="1:6" ht="75" x14ac:dyDescent="0.25">
      <c r="A6538" s="8" t="s">
        <v>125</v>
      </c>
      <c r="B6538" s="8" t="s">
        <v>161</v>
      </c>
      <c r="C6538" s="8" t="str">
        <f>IFERROR(_xlfn.XLOOKUP(TRIM(B6538),Lookup!$B$2:$B$1000,Lookup!$C$2:$C$1000),"")</f>
        <v>Equity</v>
      </c>
      <c r="D6538" s="8" t="str">
        <f>IFERROR(INDEX('nav master'!$C:$C, MATCH(B6538, 'nav master'!$B:$B, 0)), "")</f>
        <v>ULIF08421/11/25InCnsmAdFd101</v>
      </c>
      <c r="E6538" s="8" t="s">
        <v>648</v>
      </c>
      <c r="F6538" s="8" t="s">
        <v>1747</v>
      </c>
    </row>
    <row r="6539" spans="1:6" ht="75" x14ac:dyDescent="0.25">
      <c r="A6539" s="8" t="s">
        <v>125</v>
      </c>
      <c r="B6539" s="8" t="s">
        <v>161</v>
      </c>
      <c r="C6539" s="8" t="str">
        <f>IFERROR(_xlfn.XLOOKUP(TRIM(B6539),Lookup!$B$2:$B$1000,Lookup!$C$2:$C$1000),"")</f>
        <v>Equity</v>
      </c>
      <c r="D6539" s="8" t="str">
        <f>IFERROR(INDEX('nav master'!$C:$C, MATCH(B6539, 'nav master'!$B:$B, 0)), "")</f>
        <v>ULIF08421/11/25InCnsmAdFd101</v>
      </c>
      <c r="E6539" s="8" t="s">
        <v>650</v>
      </c>
      <c r="F6539" s="8" t="s">
        <v>1748</v>
      </c>
    </row>
    <row r="6540" spans="1:6" ht="75" x14ac:dyDescent="0.25">
      <c r="A6540" s="8" t="s">
        <v>125</v>
      </c>
      <c r="B6540" s="8" t="s">
        <v>161</v>
      </c>
      <c r="C6540" s="8" t="str">
        <f>IFERROR(_xlfn.XLOOKUP(TRIM(B6540),Lookup!$B$2:$B$1000,Lookup!$C$2:$C$1000),"")</f>
        <v>Equity</v>
      </c>
      <c r="D6540" s="8" t="str">
        <f>IFERROR(INDEX('nav master'!$C:$C, MATCH(B6540, 'nav master'!$B:$B, 0)), "")</f>
        <v>ULIF08421/11/25InCnsmAdFd101</v>
      </c>
      <c r="E6540" s="8" t="s">
        <v>652</v>
      </c>
      <c r="F6540" s="8" t="s">
        <v>1749</v>
      </c>
    </row>
    <row r="6541" spans="1:6" ht="75" x14ac:dyDescent="0.25">
      <c r="A6541" s="8" t="s">
        <v>125</v>
      </c>
      <c r="B6541" s="8" t="s">
        <v>161</v>
      </c>
      <c r="C6541" s="8" t="str">
        <f>IFERROR(_xlfn.XLOOKUP(TRIM(B6541),Lookup!$B$2:$B$1000,Lookup!$C$2:$C$1000),"")</f>
        <v>Equity</v>
      </c>
      <c r="D6541" s="8" t="str">
        <f>IFERROR(INDEX('nav master'!$C:$C, MATCH(B6541, 'nav master'!$B:$B, 0)), "")</f>
        <v>ULIF08421/11/25InCnsmAdFd101</v>
      </c>
      <c r="E6541" s="8" t="s">
        <v>654</v>
      </c>
      <c r="F6541" s="8" t="s">
        <v>1750</v>
      </c>
    </row>
    <row r="6542" spans="1:6" ht="75" x14ac:dyDescent="0.25">
      <c r="A6542" s="8" t="s">
        <v>125</v>
      </c>
      <c r="B6542" s="8" t="s">
        <v>161</v>
      </c>
      <c r="C6542" s="8" t="str">
        <f>IFERROR(_xlfn.XLOOKUP(TRIM(B6542),Lookup!$B$2:$B$1000,Lookup!$C$2:$C$1000),"")</f>
        <v>Equity</v>
      </c>
      <c r="D6542" s="8" t="str">
        <f>IFERROR(INDEX('nav master'!$C:$C, MATCH(B6542, 'nav master'!$B:$B, 0)), "")</f>
        <v>ULIF08421/11/25InCnsmAdFd101</v>
      </c>
      <c r="E6542" s="8" t="s">
        <v>656</v>
      </c>
      <c r="F6542" s="8" t="s">
        <v>1751</v>
      </c>
    </row>
    <row r="6543" spans="1:6" ht="75" x14ac:dyDescent="0.25">
      <c r="A6543" s="8" t="s">
        <v>125</v>
      </c>
      <c r="B6543" s="8" t="s">
        <v>161</v>
      </c>
      <c r="C6543" s="8" t="str">
        <f>IFERROR(_xlfn.XLOOKUP(TRIM(B6543),Lookup!$B$2:$B$1000,Lookup!$C$2:$C$1000),"")</f>
        <v>Equity</v>
      </c>
      <c r="D6543" s="8" t="str">
        <f>IFERROR(INDEX('nav master'!$C:$C, MATCH(B6543, 'nav master'!$B:$B, 0)), "")</f>
        <v>ULIF08421/11/25InCnsmAdFd101</v>
      </c>
      <c r="E6543" s="8" t="s">
        <v>658</v>
      </c>
      <c r="F6543" s="8" t="s">
        <v>1752</v>
      </c>
    </row>
    <row r="6544" spans="1:6" ht="75" x14ac:dyDescent="0.25">
      <c r="A6544" s="8" t="s">
        <v>125</v>
      </c>
      <c r="B6544" s="8" t="s">
        <v>161</v>
      </c>
      <c r="C6544" s="8" t="str">
        <f>IFERROR(_xlfn.XLOOKUP(TRIM(B6544),Lookup!$B$2:$B$1000,Lookup!$C$2:$C$1000),"")</f>
        <v>Equity</v>
      </c>
      <c r="D6544" s="8" t="str">
        <f>IFERROR(INDEX('nav master'!$C:$C, MATCH(B6544, 'nav master'!$B:$B, 0)), "")</f>
        <v>ULIF08421/11/25InCnsmAdFd101</v>
      </c>
      <c r="E6544" s="8" t="s">
        <v>660</v>
      </c>
      <c r="F6544" s="8" t="s">
        <v>1753</v>
      </c>
    </row>
    <row r="6545" spans="1:6" ht="75" x14ac:dyDescent="0.25">
      <c r="A6545" s="8" t="s">
        <v>125</v>
      </c>
      <c r="B6545" s="8" t="s">
        <v>161</v>
      </c>
      <c r="C6545" s="8" t="str">
        <f>IFERROR(_xlfn.XLOOKUP(TRIM(B6545),Lookup!$B$2:$B$1000,Lookup!$C$2:$C$1000),"")</f>
        <v>Equity</v>
      </c>
      <c r="D6545" s="8" t="str">
        <f>IFERROR(INDEX('nav master'!$C:$C, MATCH(B6545, 'nav master'!$B:$B, 0)), "")</f>
        <v>ULIF08421/11/25InCnsmAdFd101</v>
      </c>
      <c r="E6545" s="8" t="s">
        <v>662</v>
      </c>
      <c r="F6545" s="8" t="s">
        <v>1754</v>
      </c>
    </row>
    <row r="6546" spans="1:6" ht="75" x14ac:dyDescent="0.25">
      <c r="A6546" s="8" t="s">
        <v>125</v>
      </c>
      <c r="B6546" s="8" t="s">
        <v>161</v>
      </c>
      <c r="C6546" s="8" t="str">
        <f>IFERROR(_xlfn.XLOOKUP(TRIM(B6546),Lookup!$B$2:$B$1000,Lookup!$C$2:$C$1000),"")</f>
        <v>Equity</v>
      </c>
      <c r="D6546" s="8" t="str">
        <f>IFERROR(INDEX('nav master'!$C:$C, MATCH(B6546, 'nav master'!$B:$B, 0)), "")</f>
        <v>ULIF08421/11/25InCnsmAdFd101</v>
      </c>
      <c r="E6546" s="8" t="s">
        <v>664</v>
      </c>
      <c r="F6546" s="8" t="s">
        <v>1755</v>
      </c>
    </row>
    <row r="6547" spans="1:6" ht="75" x14ac:dyDescent="0.25">
      <c r="A6547" s="8" t="s">
        <v>125</v>
      </c>
      <c r="B6547" s="8" t="s">
        <v>161</v>
      </c>
      <c r="C6547" s="8" t="str">
        <f>IFERROR(_xlfn.XLOOKUP(TRIM(B6547),Lookup!$B$2:$B$1000,Lookup!$C$2:$C$1000),"")</f>
        <v>Equity</v>
      </c>
      <c r="D6547" s="8" t="str">
        <f>IFERROR(INDEX('nav master'!$C:$C, MATCH(B6547, 'nav master'!$B:$B, 0)), "")</f>
        <v>ULIF08421/11/25InCnsmAdFd101</v>
      </c>
      <c r="E6547" s="8" t="s">
        <v>4892</v>
      </c>
      <c r="F6547" s="8" t="s">
        <v>4937</v>
      </c>
    </row>
    <row r="6548" spans="1:6" ht="75" x14ac:dyDescent="0.25">
      <c r="A6548" s="8" t="s">
        <v>125</v>
      </c>
      <c r="B6548" s="8" t="s">
        <v>161</v>
      </c>
      <c r="C6548" s="8" t="str">
        <f>IFERROR(_xlfn.XLOOKUP(TRIM(B6548),Lookup!$B$2:$B$1000,Lookup!$C$2:$C$1000),"")</f>
        <v>Equity</v>
      </c>
      <c r="D6548" s="8" t="str">
        <f>IFERROR(INDEX('nav master'!$C:$C, MATCH(B6548, 'nav master'!$B:$B, 0)), "")</f>
        <v>ULIF08421/11/25InCnsmAdFd101</v>
      </c>
      <c r="E6548" s="8" t="s">
        <v>4894</v>
      </c>
      <c r="F6548" s="8" t="s">
        <v>4938</v>
      </c>
    </row>
    <row r="6549" spans="1:6" ht="75" x14ac:dyDescent="0.25">
      <c r="A6549" s="8" t="s">
        <v>125</v>
      </c>
      <c r="B6549" s="8" t="s">
        <v>161</v>
      </c>
      <c r="C6549" s="8" t="str">
        <f>IFERROR(_xlfn.XLOOKUP(TRIM(B6549),Lookup!$B$2:$B$1000,Lookup!$C$2:$C$1000),"")</f>
        <v>Equity</v>
      </c>
      <c r="D6549" s="8" t="str">
        <f>IFERROR(INDEX('nav master'!$C:$C, MATCH(B6549, 'nav master'!$B:$B, 0)), "")</f>
        <v>ULIF08421/11/25InCnsmAdFd101</v>
      </c>
      <c r="E6549" s="8" t="s">
        <v>4896</v>
      </c>
      <c r="F6549" s="8" t="s">
        <v>4939</v>
      </c>
    </row>
    <row r="6550" spans="1:6" ht="75" x14ac:dyDescent="0.25">
      <c r="A6550" s="8" t="s">
        <v>125</v>
      </c>
      <c r="B6550" s="8" t="s">
        <v>161</v>
      </c>
      <c r="C6550" s="8" t="str">
        <f>IFERROR(_xlfn.XLOOKUP(TRIM(B6550),Lookup!$B$2:$B$1000,Lookup!$C$2:$C$1000),"")</f>
        <v>Equity</v>
      </c>
      <c r="D6550" s="8" t="str">
        <f>IFERROR(INDEX('nav master'!$C:$C, MATCH(B6550, 'nav master'!$B:$B, 0)), "")</f>
        <v>ULIF08421/11/25InCnsmAdFd101</v>
      </c>
      <c r="E6550" s="8" t="s">
        <v>4898</v>
      </c>
      <c r="F6550" s="8" t="s">
        <v>4940</v>
      </c>
    </row>
    <row r="6551" spans="1:6" ht="75" x14ac:dyDescent="0.25">
      <c r="A6551" s="8" t="s">
        <v>125</v>
      </c>
      <c r="B6551" s="8" t="s">
        <v>161</v>
      </c>
      <c r="C6551" s="8" t="str">
        <f>IFERROR(_xlfn.XLOOKUP(TRIM(B6551),Lookup!$B$2:$B$1000,Lookup!$C$2:$C$1000),"")</f>
        <v>Equity</v>
      </c>
      <c r="D6551" s="8" t="str">
        <f>IFERROR(INDEX('nav master'!$C:$C, MATCH(B6551, 'nav master'!$B:$B, 0)), "")</f>
        <v>ULIF08421/11/25InCnsmAdFd101</v>
      </c>
      <c r="E6551" s="8" t="s">
        <v>4900</v>
      </c>
      <c r="F6551" s="8" t="s">
        <v>4941</v>
      </c>
    </row>
    <row r="6552" spans="1:6" ht="75" x14ac:dyDescent="0.25">
      <c r="A6552" s="8" t="s">
        <v>125</v>
      </c>
      <c r="B6552" s="8" t="s">
        <v>161</v>
      </c>
      <c r="C6552" s="8" t="str">
        <f>IFERROR(_xlfn.XLOOKUP(TRIM(B6552),Lookup!$B$2:$B$1000,Lookup!$C$2:$C$1000),"")</f>
        <v>Equity</v>
      </c>
      <c r="D6552" s="8" t="str">
        <f>IFERROR(INDEX('nav master'!$C:$C, MATCH(B6552, 'nav master'!$B:$B, 0)), "")</f>
        <v>ULIF08421/11/25InCnsmAdFd101</v>
      </c>
      <c r="E6552" s="8" t="s">
        <v>4902</v>
      </c>
      <c r="F6552" s="8" t="s">
        <v>4942</v>
      </c>
    </row>
    <row r="6553" spans="1:6" ht="75" x14ac:dyDescent="0.25">
      <c r="A6553" s="8" t="s">
        <v>125</v>
      </c>
      <c r="B6553" s="8" t="s">
        <v>161</v>
      </c>
      <c r="C6553" s="8" t="str">
        <f>IFERROR(_xlfn.XLOOKUP(TRIM(B6553),Lookup!$B$2:$B$1000,Lookup!$C$2:$C$1000),"")</f>
        <v>Equity</v>
      </c>
      <c r="D6553" s="8" t="str">
        <f>IFERROR(INDEX('nav master'!$C:$C, MATCH(B6553, 'nav master'!$B:$B, 0)), "")</f>
        <v>ULIF08421/11/25InCnsmAdFd101</v>
      </c>
      <c r="E6553" s="8" t="s">
        <v>4903</v>
      </c>
      <c r="F6553" s="8" t="s">
        <v>4943</v>
      </c>
    </row>
    <row r="6554" spans="1:6" ht="75" x14ac:dyDescent="0.25">
      <c r="A6554" s="8" t="s">
        <v>125</v>
      </c>
      <c r="B6554" s="8" t="s">
        <v>161</v>
      </c>
      <c r="C6554" s="8" t="str">
        <f>IFERROR(_xlfn.XLOOKUP(TRIM(B6554),Lookup!$B$2:$B$1000,Lookup!$C$2:$C$1000),"")</f>
        <v>Equity</v>
      </c>
      <c r="D6554" s="8" t="str">
        <f>IFERROR(INDEX('nav master'!$C:$C, MATCH(B6554, 'nav master'!$B:$B, 0)), "")</f>
        <v>ULIF08421/11/25InCnsmAdFd101</v>
      </c>
      <c r="E6554" s="8" t="s">
        <v>4905</v>
      </c>
      <c r="F6554" s="8" t="s">
        <v>4944</v>
      </c>
    </row>
    <row r="6555" spans="1:6" ht="60" x14ac:dyDescent="0.25">
      <c r="A6555" s="8" t="s">
        <v>125</v>
      </c>
      <c r="B6555" s="8" t="s">
        <v>130</v>
      </c>
      <c r="C6555" s="8" t="str">
        <f>IFERROR(_xlfn.XLOOKUP(TRIM(B6555),Lookup!$B$2:$B$1000,Lookup!$C$2:$C$1000),"")</f>
        <v>Equity</v>
      </c>
      <c r="D6555" s="8" t="str">
        <f>IFERROR(INDEX('nav master'!$C:$C, MATCH(B6555, 'nav master'!$B:$B, 0)), "")</f>
        <v>ULIF03501/01/10BlueChipFd101</v>
      </c>
      <c r="E6555" s="8" t="s">
        <v>189</v>
      </c>
      <c r="F6555" s="8" t="s">
        <v>1756</v>
      </c>
    </row>
    <row r="6556" spans="1:6" ht="60" x14ac:dyDescent="0.25">
      <c r="A6556" s="8" t="s">
        <v>125</v>
      </c>
      <c r="B6556" s="8" t="s">
        <v>130</v>
      </c>
      <c r="C6556" s="8" t="str">
        <f>IFERROR(_xlfn.XLOOKUP(TRIM(B6556),Lookup!$B$2:$B$1000,Lookup!$C$2:$C$1000),"")</f>
        <v>Equity</v>
      </c>
      <c r="D6556" s="8" t="str">
        <f>IFERROR(INDEX('nav master'!$C:$C, MATCH(B6556, 'nav master'!$B:$B, 0)), "")</f>
        <v>ULIF03501/01/10BlueChipFd101</v>
      </c>
      <c r="E6556" s="8" t="s">
        <v>191</v>
      </c>
      <c r="F6556" s="8" t="s">
        <v>1757</v>
      </c>
    </row>
    <row r="6557" spans="1:6" ht="60" x14ac:dyDescent="0.25">
      <c r="A6557" s="8" t="s">
        <v>125</v>
      </c>
      <c r="B6557" s="8" t="s">
        <v>130</v>
      </c>
      <c r="C6557" s="8" t="str">
        <f>IFERROR(_xlfn.XLOOKUP(TRIM(B6557),Lookup!$B$2:$B$1000,Lookup!$C$2:$C$1000),"")</f>
        <v>Equity</v>
      </c>
      <c r="D6557" s="8" t="str">
        <f>IFERROR(INDEX('nav master'!$C:$C, MATCH(B6557, 'nav master'!$B:$B, 0)), "")</f>
        <v>ULIF03501/01/10BlueChipFd101</v>
      </c>
      <c r="E6557" s="8" t="s">
        <v>193</v>
      </c>
      <c r="F6557" s="8" t="s">
        <v>1758</v>
      </c>
    </row>
    <row r="6558" spans="1:6" ht="60" x14ac:dyDescent="0.25">
      <c r="A6558" s="8" t="s">
        <v>125</v>
      </c>
      <c r="B6558" s="8" t="s">
        <v>130</v>
      </c>
      <c r="C6558" s="8" t="str">
        <f>IFERROR(_xlfn.XLOOKUP(TRIM(B6558),Lookup!$B$2:$B$1000,Lookup!$C$2:$C$1000),"")</f>
        <v>Equity</v>
      </c>
      <c r="D6558" s="8" t="str">
        <f>IFERROR(INDEX('nav master'!$C:$C, MATCH(B6558, 'nav master'!$B:$B, 0)), "")</f>
        <v>ULIF03501/01/10BlueChipFd101</v>
      </c>
      <c r="E6558" s="8" t="s">
        <v>195</v>
      </c>
      <c r="F6558" s="8" t="s">
        <v>1759</v>
      </c>
    </row>
    <row r="6559" spans="1:6" ht="60" x14ac:dyDescent="0.25">
      <c r="A6559" s="8" t="s">
        <v>125</v>
      </c>
      <c r="B6559" s="8" t="s">
        <v>130</v>
      </c>
      <c r="C6559" s="8" t="str">
        <f>IFERROR(_xlfn.XLOOKUP(TRIM(B6559),Lookup!$B$2:$B$1000,Lookup!$C$2:$C$1000),"")</f>
        <v>Equity</v>
      </c>
      <c r="D6559" s="8" t="str">
        <f>IFERROR(INDEX('nav master'!$C:$C, MATCH(B6559, 'nav master'!$B:$B, 0)), "")</f>
        <v>ULIF03501/01/10BlueChipFd101</v>
      </c>
      <c r="E6559" s="8" t="s">
        <v>197</v>
      </c>
      <c r="F6559" s="8" t="s">
        <v>1760</v>
      </c>
    </row>
    <row r="6560" spans="1:6" ht="60" x14ac:dyDescent="0.25">
      <c r="A6560" s="8" t="s">
        <v>125</v>
      </c>
      <c r="B6560" s="8" t="s">
        <v>130</v>
      </c>
      <c r="C6560" s="8" t="str">
        <f>IFERROR(_xlfn.XLOOKUP(TRIM(B6560),Lookup!$B$2:$B$1000,Lookup!$C$2:$C$1000),"")</f>
        <v>Equity</v>
      </c>
      <c r="D6560" s="8" t="str">
        <f>IFERROR(INDEX('nav master'!$C:$C, MATCH(B6560, 'nav master'!$B:$B, 0)), "")</f>
        <v>ULIF03501/01/10BlueChipFd101</v>
      </c>
      <c r="E6560" s="8" t="s">
        <v>199</v>
      </c>
      <c r="F6560" s="8" t="s">
        <v>1761</v>
      </c>
    </row>
    <row r="6561" spans="1:6" ht="60" x14ac:dyDescent="0.25">
      <c r="A6561" s="8" t="s">
        <v>125</v>
      </c>
      <c r="B6561" s="8" t="s">
        <v>130</v>
      </c>
      <c r="C6561" s="8" t="str">
        <f>IFERROR(_xlfn.XLOOKUP(TRIM(B6561),Lookup!$B$2:$B$1000,Lookup!$C$2:$C$1000),"")</f>
        <v>Equity</v>
      </c>
      <c r="D6561" s="8" t="str">
        <f>IFERROR(INDEX('nav master'!$C:$C, MATCH(B6561, 'nav master'!$B:$B, 0)), "")</f>
        <v>ULIF03501/01/10BlueChipFd101</v>
      </c>
      <c r="E6561" s="8" t="s">
        <v>201</v>
      </c>
      <c r="F6561" s="8" t="s">
        <v>1762</v>
      </c>
    </row>
    <row r="6562" spans="1:6" ht="60" x14ac:dyDescent="0.25">
      <c r="A6562" s="8" t="s">
        <v>125</v>
      </c>
      <c r="B6562" s="8" t="s">
        <v>130</v>
      </c>
      <c r="C6562" s="8" t="str">
        <f>IFERROR(_xlfn.XLOOKUP(TRIM(B6562),Lookup!$B$2:$B$1000,Lookup!$C$2:$C$1000),"")</f>
        <v>Equity</v>
      </c>
      <c r="D6562" s="8" t="str">
        <f>IFERROR(INDEX('nav master'!$C:$C, MATCH(B6562, 'nav master'!$B:$B, 0)), "")</f>
        <v>ULIF03501/01/10BlueChipFd101</v>
      </c>
      <c r="E6562" s="8" t="s">
        <v>203</v>
      </c>
      <c r="F6562" s="8" t="s">
        <v>1763</v>
      </c>
    </row>
    <row r="6563" spans="1:6" ht="60" x14ac:dyDescent="0.25">
      <c r="A6563" s="8" t="s">
        <v>125</v>
      </c>
      <c r="B6563" s="8" t="s">
        <v>130</v>
      </c>
      <c r="C6563" s="8" t="str">
        <f>IFERROR(_xlfn.XLOOKUP(TRIM(B6563),Lookup!$B$2:$B$1000,Lookup!$C$2:$C$1000),"")</f>
        <v>Equity</v>
      </c>
      <c r="D6563" s="8" t="str">
        <f>IFERROR(INDEX('nav master'!$C:$C, MATCH(B6563, 'nav master'!$B:$B, 0)), "")</f>
        <v>ULIF03501/01/10BlueChipFd101</v>
      </c>
      <c r="E6563" s="8" t="s">
        <v>205</v>
      </c>
      <c r="F6563" s="8" t="s">
        <v>1764</v>
      </c>
    </row>
    <row r="6564" spans="1:6" ht="60" x14ac:dyDescent="0.25">
      <c r="A6564" s="8" t="s">
        <v>125</v>
      </c>
      <c r="B6564" s="8" t="s">
        <v>130</v>
      </c>
      <c r="C6564" s="8" t="str">
        <f>IFERROR(_xlfn.XLOOKUP(TRIM(B6564),Lookup!$B$2:$B$1000,Lookup!$C$2:$C$1000),"")</f>
        <v>Equity</v>
      </c>
      <c r="D6564" s="8" t="str">
        <f>IFERROR(INDEX('nav master'!$C:$C, MATCH(B6564, 'nav master'!$B:$B, 0)), "")</f>
        <v>ULIF03501/01/10BlueChipFd101</v>
      </c>
      <c r="E6564" s="8" t="s">
        <v>207</v>
      </c>
      <c r="F6564" s="8" t="s">
        <v>1765</v>
      </c>
    </row>
    <row r="6565" spans="1:6" ht="60" x14ac:dyDescent="0.25">
      <c r="A6565" s="8" t="s">
        <v>125</v>
      </c>
      <c r="B6565" s="8" t="s">
        <v>130</v>
      </c>
      <c r="C6565" s="8" t="str">
        <f>IFERROR(_xlfn.XLOOKUP(TRIM(B6565),Lookup!$B$2:$B$1000,Lookup!$C$2:$C$1000),"")</f>
        <v>Equity</v>
      </c>
      <c r="D6565" s="8" t="str">
        <f>IFERROR(INDEX('nav master'!$C:$C, MATCH(B6565, 'nav master'!$B:$B, 0)), "")</f>
        <v>ULIF03501/01/10BlueChipFd101</v>
      </c>
      <c r="E6565" s="8" t="s">
        <v>209</v>
      </c>
      <c r="F6565" s="8" t="s">
        <v>1766</v>
      </c>
    </row>
    <row r="6566" spans="1:6" ht="60" x14ac:dyDescent="0.25">
      <c r="A6566" s="8" t="s">
        <v>125</v>
      </c>
      <c r="B6566" s="8" t="s">
        <v>130</v>
      </c>
      <c r="C6566" s="8" t="str">
        <f>IFERROR(_xlfn.XLOOKUP(TRIM(B6566),Lookup!$B$2:$B$1000,Lookup!$C$2:$C$1000),"")</f>
        <v>Equity</v>
      </c>
      <c r="D6566" s="8" t="str">
        <f>IFERROR(INDEX('nav master'!$C:$C, MATCH(B6566, 'nav master'!$B:$B, 0)), "")</f>
        <v>ULIF03501/01/10BlueChipFd101</v>
      </c>
      <c r="E6566" s="8" t="s">
        <v>211</v>
      </c>
      <c r="F6566" s="8" t="s">
        <v>1767</v>
      </c>
    </row>
    <row r="6567" spans="1:6" ht="60" x14ac:dyDescent="0.25">
      <c r="A6567" s="8" t="s">
        <v>125</v>
      </c>
      <c r="B6567" s="8" t="s">
        <v>130</v>
      </c>
      <c r="C6567" s="8" t="str">
        <f>IFERROR(_xlfn.XLOOKUP(TRIM(B6567),Lookup!$B$2:$B$1000,Lookup!$C$2:$C$1000),"")</f>
        <v>Equity</v>
      </c>
      <c r="D6567" s="8" t="str">
        <f>IFERROR(INDEX('nav master'!$C:$C, MATCH(B6567, 'nav master'!$B:$B, 0)), "")</f>
        <v>ULIF03501/01/10BlueChipFd101</v>
      </c>
      <c r="E6567" s="8" t="s">
        <v>213</v>
      </c>
      <c r="F6567" s="8" t="s">
        <v>1768</v>
      </c>
    </row>
    <row r="6568" spans="1:6" ht="60" x14ac:dyDescent="0.25">
      <c r="A6568" s="8" t="s">
        <v>125</v>
      </c>
      <c r="B6568" s="8" t="s">
        <v>130</v>
      </c>
      <c r="C6568" s="8" t="str">
        <f>IFERROR(_xlfn.XLOOKUP(TRIM(B6568),Lookup!$B$2:$B$1000,Lookup!$C$2:$C$1000),"")</f>
        <v>Equity</v>
      </c>
      <c r="D6568" s="8" t="str">
        <f>IFERROR(INDEX('nav master'!$C:$C, MATCH(B6568, 'nav master'!$B:$B, 0)), "")</f>
        <v>ULIF03501/01/10BlueChipFd101</v>
      </c>
      <c r="E6568" s="8" t="s">
        <v>215</v>
      </c>
      <c r="F6568" s="8" t="s">
        <v>1769</v>
      </c>
    </row>
    <row r="6569" spans="1:6" ht="60" x14ac:dyDescent="0.25">
      <c r="A6569" s="8" t="s">
        <v>125</v>
      </c>
      <c r="B6569" s="8" t="s">
        <v>130</v>
      </c>
      <c r="C6569" s="8" t="str">
        <f>IFERROR(_xlfn.XLOOKUP(TRIM(B6569),Lookup!$B$2:$B$1000,Lookup!$C$2:$C$1000),"")</f>
        <v>Equity</v>
      </c>
      <c r="D6569" s="8" t="str">
        <f>IFERROR(INDEX('nav master'!$C:$C, MATCH(B6569, 'nav master'!$B:$B, 0)), "")</f>
        <v>ULIF03501/01/10BlueChipFd101</v>
      </c>
      <c r="E6569" s="8" t="s">
        <v>217</v>
      </c>
      <c r="F6569" s="8" t="s">
        <v>1770</v>
      </c>
    </row>
    <row r="6570" spans="1:6" ht="60" x14ac:dyDescent="0.25">
      <c r="A6570" s="8" t="s">
        <v>125</v>
      </c>
      <c r="B6570" s="8" t="s">
        <v>130</v>
      </c>
      <c r="C6570" s="8" t="str">
        <f>IFERROR(_xlfn.XLOOKUP(TRIM(B6570),Lookup!$B$2:$B$1000,Lookup!$C$2:$C$1000),"")</f>
        <v>Equity</v>
      </c>
      <c r="D6570" s="8" t="str">
        <f>IFERROR(INDEX('nav master'!$C:$C, MATCH(B6570, 'nav master'!$B:$B, 0)), "")</f>
        <v>ULIF03501/01/10BlueChipFd101</v>
      </c>
      <c r="E6570" s="8" t="s">
        <v>219</v>
      </c>
      <c r="F6570" s="8" t="s">
        <v>1771</v>
      </c>
    </row>
    <row r="6571" spans="1:6" ht="60" x14ac:dyDescent="0.25">
      <c r="A6571" s="8" t="s">
        <v>125</v>
      </c>
      <c r="B6571" s="8" t="s">
        <v>130</v>
      </c>
      <c r="C6571" s="8" t="str">
        <f>IFERROR(_xlfn.XLOOKUP(TRIM(B6571),Lookup!$B$2:$B$1000,Lookup!$C$2:$C$1000),"")</f>
        <v>Equity</v>
      </c>
      <c r="D6571" s="8" t="str">
        <f>IFERROR(INDEX('nav master'!$C:$C, MATCH(B6571, 'nav master'!$B:$B, 0)), "")</f>
        <v>ULIF03501/01/10BlueChipFd101</v>
      </c>
      <c r="E6571" s="8" t="s">
        <v>221</v>
      </c>
      <c r="F6571" s="8" t="s">
        <v>1772</v>
      </c>
    </row>
    <row r="6572" spans="1:6" ht="60" x14ac:dyDescent="0.25">
      <c r="A6572" s="8" t="s">
        <v>125</v>
      </c>
      <c r="B6572" s="8" t="s">
        <v>130</v>
      </c>
      <c r="C6572" s="8" t="str">
        <f>IFERROR(_xlfn.XLOOKUP(TRIM(B6572),Lookup!$B$2:$B$1000,Lookup!$C$2:$C$1000),"")</f>
        <v>Equity</v>
      </c>
      <c r="D6572" s="8" t="str">
        <f>IFERROR(INDEX('nav master'!$C:$C, MATCH(B6572, 'nav master'!$B:$B, 0)), "")</f>
        <v>ULIF03501/01/10BlueChipFd101</v>
      </c>
      <c r="E6572" s="8" t="s">
        <v>223</v>
      </c>
      <c r="F6572" s="8" t="s">
        <v>1773</v>
      </c>
    </row>
    <row r="6573" spans="1:6" ht="60" x14ac:dyDescent="0.25">
      <c r="A6573" s="8" t="s">
        <v>125</v>
      </c>
      <c r="B6573" s="8" t="s">
        <v>130</v>
      </c>
      <c r="C6573" s="8" t="str">
        <f>IFERROR(_xlfn.XLOOKUP(TRIM(B6573),Lookup!$B$2:$B$1000,Lookup!$C$2:$C$1000),"")</f>
        <v>Equity</v>
      </c>
      <c r="D6573" s="8" t="str">
        <f>IFERROR(INDEX('nav master'!$C:$C, MATCH(B6573, 'nav master'!$B:$B, 0)), "")</f>
        <v>ULIF03501/01/10BlueChipFd101</v>
      </c>
      <c r="E6573" s="8" t="s">
        <v>225</v>
      </c>
      <c r="F6573" s="8" t="s">
        <v>1774</v>
      </c>
    </row>
    <row r="6574" spans="1:6" ht="60" x14ac:dyDescent="0.25">
      <c r="A6574" s="8" t="s">
        <v>125</v>
      </c>
      <c r="B6574" s="8" t="s">
        <v>130</v>
      </c>
      <c r="C6574" s="8" t="str">
        <f>IFERROR(_xlfn.XLOOKUP(TRIM(B6574),Lookup!$B$2:$B$1000,Lookup!$C$2:$C$1000),"")</f>
        <v>Equity</v>
      </c>
      <c r="D6574" s="8" t="str">
        <f>IFERROR(INDEX('nav master'!$C:$C, MATCH(B6574, 'nav master'!$B:$B, 0)), "")</f>
        <v>ULIF03501/01/10BlueChipFd101</v>
      </c>
      <c r="E6574" s="8" t="s">
        <v>227</v>
      </c>
      <c r="F6574" s="8" t="s">
        <v>1775</v>
      </c>
    </row>
    <row r="6575" spans="1:6" ht="60" x14ac:dyDescent="0.25">
      <c r="A6575" s="8" t="s">
        <v>125</v>
      </c>
      <c r="B6575" s="8" t="s">
        <v>130</v>
      </c>
      <c r="C6575" s="8" t="str">
        <f>IFERROR(_xlfn.XLOOKUP(TRIM(B6575),Lookup!$B$2:$B$1000,Lookup!$C$2:$C$1000),"")</f>
        <v>Equity</v>
      </c>
      <c r="D6575" s="8" t="str">
        <f>IFERROR(INDEX('nav master'!$C:$C, MATCH(B6575, 'nav master'!$B:$B, 0)), "")</f>
        <v>ULIF03501/01/10BlueChipFd101</v>
      </c>
      <c r="E6575" s="8" t="s">
        <v>229</v>
      </c>
      <c r="F6575" s="8" t="s">
        <v>1776</v>
      </c>
    </row>
    <row r="6576" spans="1:6" ht="60" x14ac:dyDescent="0.25">
      <c r="A6576" s="8" t="s">
        <v>125</v>
      </c>
      <c r="B6576" s="8" t="s">
        <v>130</v>
      </c>
      <c r="C6576" s="8" t="str">
        <f>IFERROR(_xlfn.XLOOKUP(TRIM(B6576),Lookup!$B$2:$B$1000,Lookup!$C$2:$C$1000),"")</f>
        <v>Equity</v>
      </c>
      <c r="D6576" s="8" t="str">
        <f>IFERROR(INDEX('nav master'!$C:$C, MATCH(B6576, 'nav master'!$B:$B, 0)), "")</f>
        <v>ULIF03501/01/10BlueChipFd101</v>
      </c>
      <c r="E6576" s="8" t="s">
        <v>231</v>
      </c>
      <c r="F6576" s="8" t="s">
        <v>1777</v>
      </c>
    </row>
    <row r="6577" spans="1:6" ht="60" x14ac:dyDescent="0.25">
      <c r="A6577" s="8" t="s">
        <v>125</v>
      </c>
      <c r="B6577" s="8" t="s">
        <v>130</v>
      </c>
      <c r="C6577" s="8" t="str">
        <f>IFERROR(_xlfn.XLOOKUP(TRIM(B6577),Lookup!$B$2:$B$1000,Lookup!$C$2:$C$1000),"")</f>
        <v>Equity</v>
      </c>
      <c r="D6577" s="8" t="str">
        <f>IFERROR(INDEX('nav master'!$C:$C, MATCH(B6577, 'nav master'!$B:$B, 0)), "")</f>
        <v>ULIF03501/01/10BlueChipFd101</v>
      </c>
      <c r="E6577" s="8" t="s">
        <v>233</v>
      </c>
      <c r="F6577" s="8" t="s">
        <v>1778</v>
      </c>
    </row>
    <row r="6578" spans="1:6" ht="60" x14ac:dyDescent="0.25">
      <c r="A6578" s="8" t="s">
        <v>125</v>
      </c>
      <c r="B6578" s="8" t="s">
        <v>130</v>
      </c>
      <c r="C6578" s="8" t="str">
        <f>IFERROR(_xlfn.XLOOKUP(TRIM(B6578),Lookup!$B$2:$B$1000,Lookup!$C$2:$C$1000),"")</f>
        <v>Equity</v>
      </c>
      <c r="D6578" s="8" t="str">
        <f>IFERROR(INDEX('nav master'!$C:$C, MATCH(B6578, 'nav master'!$B:$B, 0)), "")</f>
        <v>ULIF03501/01/10BlueChipFd101</v>
      </c>
      <c r="E6578" s="8" t="s">
        <v>235</v>
      </c>
      <c r="F6578" s="8" t="s">
        <v>1779</v>
      </c>
    </row>
    <row r="6579" spans="1:6" ht="60" x14ac:dyDescent="0.25">
      <c r="A6579" s="8" t="s">
        <v>125</v>
      </c>
      <c r="B6579" s="8" t="s">
        <v>130</v>
      </c>
      <c r="C6579" s="8" t="str">
        <f>IFERROR(_xlfn.XLOOKUP(TRIM(B6579),Lookup!$B$2:$B$1000,Lookup!$C$2:$C$1000),"")</f>
        <v>Equity</v>
      </c>
      <c r="D6579" s="8" t="str">
        <f>IFERROR(INDEX('nav master'!$C:$C, MATCH(B6579, 'nav master'!$B:$B, 0)), "")</f>
        <v>ULIF03501/01/10BlueChipFd101</v>
      </c>
      <c r="E6579" s="8" t="s">
        <v>237</v>
      </c>
      <c r="F6579" s="8" t="s">
        <v>1780</v>
      </c>
    </row>
    <row r="6580" spans="1:6" ht="60" x14ac:dyDescent="0.25">
      <c r="A6580" s="8" t="s">
        <v>125</v>
      </c>
      <c r="B6580" s="8" t="s">
        <v>130</v>
      </c>
      <c r="C6580" s="8" t="str">
        <f>IFERROR(_xlfn.XLOOKUP(TRIM(B6580),Lookup!$B$2:$B$1000,Lookup!$C$2:$C$1000),"")</f>
        <v>Equity</v>
      </c>
      <c r="D6580" s="8" t="str">
        <f>IFERROR(INDEX('nav master'!$C:$C, MATCH(B6580, 'nav master'!$B:$B, 0)), "")</f>
        <v>ULIF03501/01/10BlueChipFd101</v>
      </c>
      <c r="E6580" s="8" t="s">
        <v>239</v>
      </c>
      <c r="F6580" s="8" t="s">
        <v>1781</v>
      </c>
    </row>
    <row r="6581" spans="1:6" ht="60" x14ac:dyDescent="0.25">
      <c r="A6581" s="8" t="s">
        <v>125</v>
      </c>
      <c r="B6581" s="8" t="s">
        <v>130</v>
      </c>
      <c r="C6581" s="8" t="str">
        <f>IFERROR(_xlfn.XLOOKUP(TRIM(B6581),Lookup!$B$2:$B$1000,Lookup!$C$2:$C$1000),"")</f>
        <v>Equity</v>
      </c>
      <c r="D6581" s="8" t="str">
        <f>IFERROR(INDEX('nav master'!$C:$C, MATCH(B6581, 'nav master'!$B:$B, 0)), "")</f>
        <v>ULIF03501/01/10BlueChipFd101</v>
      </c>
      <c r="E6581" s="8" t="s">
        <v>241</v>
      </c>
      <c r="F6581" s="8" t="s">
        <v>1782</v>
      </c>
    </row>
    <row r="6582" spans="1:6" ht="60" x14ac:dyDescent="0.25">
      <c r="A6582" s="8" t="s">
        <v>125</v>
      </c>
      <c r="B6582" s="8" t="s">
        <v>130</v>
      </c>
      <c r="C6582" s="8" t="str">
        <f>IFERROR(_xlfn.XLOOKUP(TRIM(B6582),Lookup!$B$2:$B$1000,Lookup!$C$2:$C$1000),"")</f>
        <v>Equity</v>
      </c>
      <c r="D6582" s="8" t="str">
        <f>IFERROR(INDEX('nav master'!$C:$C, MATCH(B6582, 'nav master'!$B:$B, 0)), "")</f>
        <v>ULIF03501/01/10BlueChipFd101</v>
      </c>
      <c r="E6582" s="8" t="s">
        <v>243</v>
      </c>
      <c r="F6582" s="8" t="s">
        <v>1783</v>
      </c>
    </row>
    <row r="6583" spans="1:6" ht="60" x14ac:dyDescent="0.25">
      <c r="A6583" s="8" t="s">
        <v>125</v>
      </c>
      <c r="B6583" s="8" t="s">
        <v>130</v>
      </c>
      <c r="C6583" s="8" t="str">
        <f>IFERROR(_xlfn.XLOOKUP(TRIM(B6583),Lookup!$B$2:$B$1000,Lookup!$C$2:$C$1000),"")</f>
        <v>Equity</v>
      </c>
      <c r="D6583" s="8" t="str">
        <f>IFERROR(INDEX('nav master'!$C:$C, MATCH(B6583, 'nav master'!$B:$B, 0)), "")</f>
        <v>ULIF03501/01/10BlueChipFd101</v>
      </c>
      <c r="E6583" s="8" t="s">
        <v>245</v>
      </c>
      <c r="F6583" s="8" t="s">
        <v>1784</v>
      </c>
    </row>
    <row r="6584" spans="1:6" ht="60" x14ac:dyDescent="0.25">
      <c r="A6584" s="8" t="s">
        <v>125</v>
      </c>
      <c r="B6584" s="8" t="s">
        <v>130</v>
      </c>
      <c r="C6584" s="8" t="str">
        <f>IFERROR(_xlfn.XLOOKUP(TRIM(B6584),Lookup!$B$2:$B$1000,Lookup!$C$2:$C$1000),"")</f>
        <v>Equity</v>
      </c>
      <c r="D6584" s="8" t="str">
        <f>IFERROR(INDEX('nav master'!$C:$C, MATCH(B6584, 'nav master'!$B:$B, 0)), "")</f>
        <v>ULIF03501/01/10BlueChipFd101</v>
      </c>
      <c r="E6584" s="8" t="s">
        <v>247</v>
      </c>
      <c r="F6584" s="8" t="s">
        <v>1785</v>
      </c>
    </row>
    <row r="6585" spans="1:6" ht="60" x14ac:dyDescent="0.25">
      <c r="A6585" s="8" t="s">
        <v>125</v>
      </c>
      <c r="B6585" s="8" t="s">
        <v>130</v>
      </c>
      <c r="C6585" s="8" t="str">
        <f>IFERROR(_xlfn.XLOOKUP(TRIM(B6585),Lookup!$B$2:$B$1000,Lookup!$C$2:$C$1000),"")</f>
        <v>Equity</v>
      </c>
      <c r="D6585" s="8" t="str">
        <f>IFERROR(INDEX('nav master'!$C:$C, MATCH(B6585, 'nav master'!$B:$B, 0)), "")</f>
        <v>ULIF03501/01/10BlueChipFd101</v>
      </c>
      <c r="E6585" s="8" t="s">
        <v>249</v>
      </c>
      <c r="F6585" s="8" t="s">
        <v>1786</v>
      </c>
    </row>
    <row r="6586" spans="1:6" ht="60" x14ac:dyDescent="0.25">
      <c r="A6586" s="8" t="s">
        <v>125</v>
      </c>
      <c r="B6586" s="8" t="s">
        <v>130</v>
      </c>
      <c r="C6586" s="8" t="str">
        <f>IFERROR(_xlfn.XLOOKUP(TRIM(B6586),Lookup!$B$2:$B$1000,Lookup!$C$2:$C$1000),"")</f>
        <v>Equity</v>
      </c>
      <c r="D6586" s="8" t="str">
        <f>IFERROR(INDEX('nav master'!$C:$C, MATCH(B6586, 'nav master'!$B:$B, 0)), "")</f>
        <v>ULIF03501/01/10BlueChipFd101</v>
      </c>
      <c r="E6586" s="8" t="s">
        <v>251</v>
      </c>
      <c r="F6586" s="8" t="s">
        <v>1787</v>
      </c>
    </row>
    <row r="6587" spans="1:6" ht="60" x14ac:dyDescent="0.25">
      <c r="A6587" s="8" t="s">
        <v>125</v>
      </c>
      <c r="B6587" s="8" t="s">
        <v>130</v>
      </c>
      <c r="C6587" s="8" t="str">
        <f>IFERROR(_xlfn.XLOOKUP(TRIM(B6587),Lookup!$B$2:$B$1000,Lookup!$C$2:$C$1000),"")</f>
        <v>Equity</v>
      </c>
      <c r="D6587" s="8" t="str">
        <f>IFERROR(INDEX('nav master'!$C:$C, MATCH(B6587, 'nav master'!$B:$B, 0)), "")</f>
        <v>ULIF03501/01/10BlueChipFd101</v>
      </c>
      <c r="E6587" s="8" t="s">
        <v>253</v>
      </c>
      <c r="F6587" s="8" t="s">
        <v>1788</v>
      </c>
    </row>
    <row r="6588" spans="1:6" ht="60" x14ac:dyDescent="0.25">
      <c r="A6588" s="8" t="s">
        <v>125</v>
      </c>
      <c r="B6588" s="8" t="s">
        <v>130</v>
      </c>
      <c r="C6588" s="8" t="str">
        <f>IFERROR(_xlfn.XLOOKUP(TRIM(B6588),Lookup!$B$2:$B$1000,Lookup!$C$2:$C$1000),"")</f>
        <v>Equity</v>
      </c>
      <c r="D6588" s="8" t="str">
        <f>IFERROR(INDEX('nav master'!$C:$C, MATCH(B6588, 'nav master'!$B:$B, 0)), "")</f>
        <v>ULIF03501/01/10BlueChipFd101</v>
      </c>
      <c r="E6588" s="8" t="s">
        <v>255</v>
      </c>
      <c r="F6588" s="8" t="s">
        <v>1789</v>
      </c>
    </row>
    <row r="6589" spans="1:6" ht="60" x14ac:dyDescent="0.25">
      <c r="A6589" s="8" t="s">
        <v>125</v>
      </c>
      <c r="B6589" s="8" t="s">
        <v>130</v>
      </c>
      <c r="C6589" s="8" t="str">
        <f>IFERROR(_xlfn.XLOOKUP(TRIM(B6589),Lookup!$B$2:$B$1000,Lookup!$C$2:$C$1000),"")</f>
        <v>Equity</v>
      </c>
      <c r="D6589" s="8" t="str">
        <f>IFERROR(INDEX('nav master'!$C:$C, MATCH(B6589, 'nav master'!$B:$B, 0)), "")</f>
        <v>ULIF03501/01/10BlueChipFd101</v>
      </c>
      <c r="E6589" s="8" t="s">
        <v>257</v>
      </c>
      <c r="F6589" s="8" t="s">
        <v>1790</v>
      </c>
    </row>
    <row r="6590" spans="1:6" ht="60" x14ac:dyDescent="0.25">
      <c r="A6590" s="8" t="s">
        <v>125</v>
      </c>
      <c r="B6590" s="8" t="s">
        <v>130</v>
      </c>
      <c r="C6590" s="8" t="str">
        <f>IFERROR(_xlfn.XLOOKUP(TRIM(B6590),Lookup!$B$2:$B$1000,Lookup!$C$2:$C$1000),"")</f>
        <v>Equity</v>
      </c>
      <c r="D6590" s="8" t="str">
        <f>IFERROR(INDEX('nav master'!$C:$C, MATCH(B6590, 'nav master'!$B:$B, 0)), "")</f>
        <v>ULIF03501/01/10BlueChipFd101</v>
      </c>
      <c r="E6590" s="8" t="s">
        <v>259</v>
      </c>
      <c r="F6590" s="8" t="s">
        <v>1791</v>
      </c>
    </row>
    <row r="6591" spans="1:6" ht="60" x14ac:dyDescent="0.25">
      <c r="A6591" s="8" t="s">
        <v>125</v>
      </c>
      <c r="B6591" s="8" t="s">
        <v>130</v>
      </c>
      <c r="C6591" s="8" t="str">
        <f>IFERROR(_xlfn.XLOOKUP(TRIM(B6591),Lookup!$B$2:$B$1000,Lookup!$C$2:$C$1000),"")</f>
        <v>Equity</v>
      </c>
      <c r="D6591" s="8" t="str">
        <f>IFERROR(INDEX('nav master'!$C:$C, MATCH(B6591, 'nav master'!$B:$B, 0)), "")</f>
        <v>ULIF03501/01/10BlueChipFd101</v>
      </c>
      <c r="E6591" s="8" t="s">
        <v>261</v>
      </c>
      <c r="F6591" s="8" t="s">
        <v>1792</v>
      </c>
    </row>
    <row r="6592" spans="1:6" ht="60" x14ac:dyDescent="0.25">
      <c r="A6592" s="8" t="s">
        <v>125</v>
      </c>
      <c r="B6592" s="8" t="s">
        <v>130</v>
      </c>
      <c r="C6592" s="8" t="str">
        <f>IFERROR(_xlfn.XLOOKUP(TRIM(B6592),Lookup!$B$2:$B$1000,Lookup!$C$2:$C$1000),"")</f>
        <v>Equity</v>
      </c>
      <c r="D6592" s="8" t="str">
        <f>IFERROR(INDEX('nav master'!$C:$C, MATCH(B6592, 'nav master'!$B:$B, 0)), "")</f>
        <v>ULIF03501/01/10BlueChipFd101</v>
      </c>
      <c r="E6592" s="8" t="s">
        <v>263</v>
      </c>
      <c r="F6592" s="8" t="s">
        <v>1793</v>
      </c>
    </row>
    <row r="6593" spans="1:6" ht="60" x14ac:dyDescent="0.25">
      <c r="A6593" s="8" t="s">
        <v>125</v>
      </c>
      <c r="B6593" s="8" t="s">
        <v>130</v>
      </c>
      <c r="C6593" s="8" t="str">
        <f>IFERROR(_xlfn.XLOOKUP(TRIM(B6593),Lookup!$B$2:$B$1000,Lookup!$C$2:$C$1000),"")</f>
        <v>Equity</v>
      </c>
      <c r="D6593" s="8" t="str">
        <f>IFERROR(INDEX('nav master'!$C:$C, MATCH(B6593, 'nav master'!$B:$B, 0)), "")</f>
        <v>ULIF03501/01/10BlueChipFd101</v>
      </c>
      <c r="E6593" s="8" t="s">
        <v>265</v>
      </c>
      <c r="F6593" s="8" t="s">
        <v>1794</v>
      </c>
    </row>
    <row r="6594" spans="1:6" ht="60" x14ac:dyDescent="0.25">
      <c r="A6594" s="8" t="s">
        <v>125</v>
      </c>
      <c r="B6594" s="8" t="s">
        <v>130</v>
      </c>
      <c r="C6594" s="8" t="str">
        <f>IFERROR(_xlfn.XLOOKUP(TRIM(B6594),Lookup!$B$2:$B$1000,Lookup!$C$2:$C$1000),"")</f>
        <v>Equity</v>
      </c>
      <c r="D6594" s="8" t="str">
        <f>IFERROR(INDEX('nav master'!$C:$C, MATCH(B6594, 'nav master'!$B:$B, 0)), "")</f>
        <v>ULIF03501/01/10BlueChipFd101</v>
      </c>
      <c r="E6594" s="8" t="s">
        <v>267</v>
      </c>
      <c r="F6594" s="8" t="s">
        <v>1795</v>
      </c>
    </row>
    <row r="6595" spans="1:6" ht="60" x14ac:dyDescent="0.25">
      <c r="A6595" s="8" t="s">
        <v>125</v>
      </c>
      <c r="B6595" s="8" t="s">
        <v>130</v>
      </c>
      <c r="C6595" s="8" t="str">
        <f>IFERROR(_xlfn.XLOOKUP(TRIM(B6595),Lookup!$B$2:$B$1000,Lookup!$C$2:$C$1000),"")</f>
        <v>Equity</v>
      </c>
      <c r="D6595" s="8" t="str">
        <f>IFERROR(INDEX('nav master'!$C:$C, MATCH(B6595, 'nav master'!$B:$B, 0)), "")</f>
        <v>ULIF03501/01/10BlueChipFd101</v>
      </c>
      <c r="E6595" s="8" t="s">
        <v>269</v>
      </c>
      <c r="F6595" s="8" t="s">
        <v>1796</v>
      </c>
    </row>
    <row r="6596" spans="1:6" ht="60" x14ac:dyDescent="0.25">
      <c r="A6596" s="8" t="s">
        <v>125</v>
      </c>
      <c r="B6596" s="8" t="s">
        <v>130</v>
      </c>
      <c r="C6596" s="8" t="str">
        <f>IFERROR(_xlfn.XLOOKUP(TRIM(B6596),Lookup!$B$2:$B$1000,Lookup!$C$2:$C$1000),"")</f>
        <v>Equity</v>
      </c>
      <c r="D6596" s="8" t="str">
        <f>IFERROR(INDEX('nav master'!$C:$C, MATCH(B6596, 'nav master'!$B:$B, 0)), "")</f>
        <v>ULIF03501/01/10BlueChipFd101</v>
      </c>
      <c r="E6596" s="8" t="s">
        <v>271</v>
      </c>
      <c r="F6596" s="8" t="s">
        <v>1797</v>
      </c>
    </row>
    <row r="6597" spans="1:6" ht="60" x14ac:dyDescent="0.25">
      <c r="A6597" s="8" t="s">
        <v>125</v>
      </c>
      <c r="B6597" s="8" t="s">
        <v>130</v>
      </c>
      <c r="C6597" s="8" t="str">
        <f>IFERROR(_xlfn.XLOOKUP(TRIM(B6597),Lookup!$B$2:$B$1000,Lookup!$C$2:$C$1000),"")</f>
        <v>Equity</v>
      </c>
      <c r="D6597" s="8" t="str">
        <f>IFERROR(INDEX('nav master'!$C:$C, MATCH(B6597, 'nav master'!$B:$B, 0)), "")</f>
        <v>ULIF03501/01/10BlueChipFd101</v>
      </c>
      <c r="E6597" s="8" t="s">
        <v>273</v>
      </c>
      <c r="F6597" s="8" t="s">
        <v>1798</v>
      </c>
    </row>
    <row r="6598" spans="1:6" ht="60" x14ac:dyDescent="0.25">
      <c r="A6598" s="8" t="s">
        <v>125</v>
      </c>
      <c r="B6598" s="8" t="s">
        <v>130</v>
      </c>
      <c r="C6598" s="8" t="str">
        <f>IFERROR(_xlfn.XLOOKUP(TRIM(B6598),Lookup!$B$2:$B$1000,Lookup!$C$2:$C$1000),"")</f>
        <v>Equity</v>
      </c>
      <c r="D6598" s="8" t="str">
        <f>IFERROR(INDEX('nav master'!$C:$C, MATCH(B6598, 'nav master'!$B:$B, 0)), "")</f>
        <v>ULIF03501/01/10BlueChipFd101</v>
      </c>
      <c r="E6598" s="8" t="s">
        <v>275</v>
      </c>
      <c r="F6598" s="8" t="s">
        <v>1799</v>
      </c>
    </row>
    <row r="6599" spans="1:6" ht="60" x14ac:dyDescent="0.25">
      <c r="A6599" s="8" t="s">
        <v>125</v>
      </c>
      <c r="B6599" s="8" t="s">
        <v>130</v>
      </c>
      <c r="C6599" s="8" t="str">
        <f>IFERROR(_xlfn.XLOOKUP(TRIM(B6599),Lookup!$B$2:$B$1000,Lookup!$C$2:$C$1000),"")</f>
        <v>Equity</v>
      </c>
      <c r="D6599" s="8" t="str">
        <f>IFERROR(INDEX('nav master'!$C:$C, MATCH(B6599, 'nav master'!$B:$B, 0)), "")</f>
        <v>ULIF03501/01/10BlueChipFd101</v>
      </c>
      <c r="E6599" s="8" t="s">
        <v>277</v>
      </c>
      <c r="F6599" s="8" t="s">
        <v>1800</v>
      </c>
    </row>
    <row r="6600" spans="1:6" ht="60" x14ac:dyDescent="0.25">
      <c r="A6600" s="8" t="s">
        <v>125</v>
      </c>
      <c r="B6600" s="8" t="s">
        <v>130</v>
      </c>
      <c r="C6600" s="8" t="str">
        <f>IFERROR(_xlfn.XLOOKUP(TRIM(B6600),Lookup!$B$2:$B$1000,Lookup!$C$2:$C$1000),"")</f>
        <v>Equity</v>
      </c>
      <c r="D6600" s="8" t="str">
        <f>IFERROR(INDEX('nav master'!$C:$C, MATCH(B6600, 'nav master'!$B:$B, 0)), "")</f>
        <v>ULIF03501/01/10BlueChipFd101</v>
      </c>
      <c r="E6600" s="8" t="s">
        <v>279</v>
      </c>
      <c r="F6600" s="8" t="s">
        <v>1801</v>
      </c>
    </row>
    <row r="6601" spans="1:6" ht="60" x14ac:dyDescent="0.25">
      <c r="A6601" s="8" t="s">
        <v>125</v>
      </c>
      <c r="B6601" s="8" t="s">
        <v>130</v>
      </c>
      <c r="C6601" s="8" t="str">
        <f>IFERROR(_xlfn.XLOOKUP(TRIM(B6601),Lookup!$B$2:$B$1000,Lookup!$C$2:$C$1000),"")</f>
        <v>Equity</v>
      </c>
      <c r="D6601" s="8" t="str">
        <f>IFERROR(INDEX('nav master'!$C:$C, MATCH(B6601, 'nav master'!$B:$B, 0)), "")</f>
        <v>ULIF03501/01/10BlueChipFd101</v>
      </c>
      <c r="E6601" s="8" t="s">
        <v>281</v>
      </c>
      <c r="F6601" s="8" t="s">
        <v>1802</v>
      </c>
    </row>
    <row r="6602" spans="1:6" ht="60" x14ac:dyDescent="0.25">
      <c r="A6602" s="8" t="s">
        <v>125</v>
      </c>
      <c r="B6602" s="8" t="s">
        <v>130</v>
      </c>
      <c r="C6602" s="8" t="str">
        <f>IFERROR(_xlfn.XLOOKUP(TRIM(B6602),Lookup!$B$2:$B$1000,Lookup!$C$2:$C$1000),"")</f>
        <v>Equity</v>
      </c>
      <c r="D6602" s="8" t="str">
        <f>IFERROR(INDEX('nav master'!$C:$C, MATCH(B6602, 'nav master'!$B:$B, 0)), "")</f>
        <v>ULIF03501/01/10BlueChipFd101</v>
      </c>
      <c r="E6602" s="8" t="s">
        <v>283</v>
      </c>
      <c r="F6602" s="8" t="s">
        <v>1803</v>
      </c>
    </row>
    <row r="6603" spans="1:6" ht="60" x14ac:dyDescent="0.25">
      <c r="A6603" s="8" t="s">
        <v>125</v>
      </c>
      <c r="B6603" s="8" t="s">
        <v>130</v>
      </c>
      <c r="C6603" s="8" t="str">
        <f>IFERROR(_xlfn.XLOOKUP(TRIM(B6603),Lookup!$B$2:$B$1000,Lookup!$C$2:$C$1000),"")</f>
        <v>Equity</v>
      </c>
      <c r="D6603" s="8" t="str">
        <f>IFERROR(INDEX('nav master'!$C:$C, MATCH(B6603, 'nav master'!$B:$B, 0)), "")</f>
        <v>ULIF03501/01/10BlueChipFd101</v>
      </c>
      <c r="E6603" s="8" t="s">
        <v>285</v>
      </c>
      <c r="F6603" s="8" t="s">
        <v>1804</v>
      </c>
    </row>
    <row r="6604" spans="1:6" ht="60" x14ac:dyDescent="0.25">
      <c r="A6604" s="8" t="s">
        <v>125</v>
      </c>
      <c r="B6604" s="8" t="s">
        <v>130</v>
      </c>
      <c r="C6604" s="8" t="str">
        <f>IFERROR(_xlfn.XLOOKUP(TRIM(B6604),Lookup!$B$2:$B$1000,Lookup!$C$2:$C$1000),"")</f>
        <v>Equity</v>
      </c>
      <c r="D6604" s="8" t="str">
        <f>IFERROR(INDEX('nav master'!$C:$C, MATCH(B6604, 'nav master'!$B:$B, 0)), "")</f>
        <v>ULIF03501/01/10BlueChipFd101</v>
      </c>
      <c r="E6604" s="8" t="s">
        <v>287</v>
      </c>
      <c r="F6604" s="8" t="s">
        <v>1805</v>
      </c>
    </row>
    <row r="6605" spans="1:6" ht="60" x14ac:dyDescent="0.25">
      <c r="A6605" s="8" t="s">
        <v>125</v>
      </c>
      <c r="B6605" s="8" t="s">
        <v>130</v>
      </c>
      <c r="C6605" s="8" t="str">
        <f>IFERROR(_xlfn.XLOOKUP(TRIM(B6605),Lookup!$B$2:$B$1000,Lookup!$C$2:$C$1000),"")</f>
        <v>Equity</v>
      </c>
      <c r="D6605" s="8" t="str">
        <f>IFERROR(INDEX('nav master'!$C:$C, MATCH(B6605, 'nav master'!$B:$B, 0)), "")</f>
        <v>ULIF03501/01/10BlueChipFd101</v>
      </c>
      <c r="E6605" s="8" t="s">
        <v>289</v>
      </c>
      <c r="F6605" s="8" t="s">
        <v>1806</v>
      </c>
    </row>
    <row r="6606" spans="1:6" ht="60" x14ac:dyDescent="0.25">
      <c r="A6606" s="8" t="s">
        <v>125</v>
      </c>
      <c r="B6606" s="8" t="s">
        <v>130</v>
      </c>
      <c r="C6606" s="8" t="str">
        <f>IFERROR(_xlfn.XLOOKUP(TRIM(B6606),Lookup!$B$2:$B$1000,Lookup!$C$2:$C$1000),"")</f>
        <v>Equity</v>
      </c>
      <c r="D6606" s="8" t="str">
        <f>IFERROR(INDEX('nav master'!$C:$C, MATCH(B6606, 'nav master'!$B:$B, 0)), "")</f>
        <v>ULIF03501/01/10BlueChipFd101</v>
      </c>
      <c r="E6606" s="8" t="s">
        <v>291</v>
      </c>
      <c r="F6606" s="8" t="s">
        <v>1807</v>
      </c>
    </row>
    <row r="6607" spans="1:6" ht="60" x14ac:dyDescent="0.25">
      <c r="A6607" s="8" t="s">
        <v>125</v>
      </c>
      <c r="B6607" s="8" t="s">
        <v>130</v>
      </c>
      <c r="C6607" s="8" t="str">
        <f>IFERROR(_xlfn.XLOOKUP(TRIM(B6607),Lookup!$B$2:$B$1000,Lookup!$C$2:$C$1000),"")</f>
        <v>Equity</v>
      </c>
      <c r="D6607" s="8" t="str">
        <f>IFERROR(INDEX('nav master'!$C:$C, MATCH(B6607, 'nav master'!$B:$B, 0)), "")</f>
        <v>ULIF03501/01/10BlueChipFd101</v>
      </c>
      <c r="E6607" s="8" t="s">
        <v>293</v>
      </c>
      <c r="F6607" s="8" t="s">
        <v>1808</v>
      </c>
    </row>
    <row r="6608" spans="1:6" ht="60" x14ac:dyDescent="0.25">
      <c r="A6608" s="8" t="s">
        <v>125</v>
      </c>
      <c r="B6608" s="8" t="s">
        <v>130</v>
      </c>
      <c r="C6608" s="8" t="str">
        <f>IFERROR(_xlfn.XLOOKUP(TRIM(B6608),Lookup!$B$2:$B$1000,Lookup!$C$2:$C$1000),"")</f>
        <v>Equity</v>
      </c>
      <c r="D6608" s="8" t="str">
        <f>IFERROR(INDEX('nav master'!$C:$C, MATCH(B6608, 'nav master'!$B:$B, 0)), "")</f>
        <v>ULIF03501/01/10BlueChipFd101</v>
      </c>
      <c r="E6608" s="8" t="s">
        <v>295</v>
      </c>
      <c r="F6608" s="8" t="s">
        <v>1809</v>
      </c>
    </row>
    <row r="6609" spans="1:6" ht="60" x14ac:dyDescent="0.25">
      <c r="A6609" s="8" t="s">
        <v>125</v>
      </c>
      <c r="B6609" s="8" t="s">
        <v>130</v>
      </c>
      <c r="C6609" s="8" t="str">
        <f>IFERROR(_xlfn.XLOOKUP(TRIM(B6609),Lookup!$B$2:$B$1000,Lookup!$C$2:$C$1000),"")</f>
        <v>Equity</v>
      </c>
      <c r="D6609" s="8" t="str">
        <f>IFERROR(INDEX('nav master'!$C:$C, MATCH(B6609, 'nav master'!$B:$B, 0)), "")</f>
        <v>ULIF03501/01/10BlueChipFd101</v>
      </c>
      <c r="E6609" s="8" t="s">
        <v>297</v>
      </c>
      <c r="F6609" s="8" t="s">
        <v>1810</v>
      </c>
    </row>
    <row r="6610" spans="1:6" ht="60" x14ac:dyDescent="0.25">
      <c r="A6610" s="8" t="s">
        <v>125</v>
      </c>
      <c r="B6610" s="8" t="s">
        <v>130</v>
      </c>
      <c r="C6610" s="8" t="str">
        <f>IFERROR(_xlfn.XLOOKUP(TRIM(B6610),Lookup!$B$2:$B$1000,Lookup!$C$2:$C$1000),"")</f>
        <v>Equity</v>
      </c>
      <c r="D6610" s="8" t="str">
        <f>IFERROR(INDEX('nav master'!$C:$C, MATCH(B6610, 'nav master'!$B:$B, 0)), "")</f>
        <v>ULIF03501/01/10BlueChipFd101</v>
      </c>
      <c r="E6610" s="8" t="s">
        <v>299</v>
      </c>
      <c r="F6610" s="8" t="s">
        <v>1811</v>
      </c>
    </row>
    <row r="6611" spans="1:6" ht="60" x14ac:dyDescent="0.25">
      <c r="A6611" s="8" t="s">
        <v>125</v>
      </c>
      <c r="B6611" s="8" t="s">
        <v>130</v>
      </c>
      <c r="C6611" s="8" t="str">
        <f>IFERROR(_xlfn.XLOOKUP(TRIM(B6611),Lookup!$B$2:$B$1000,Lookup!$C$2:$C$1000),"")</f>
        <v>Equity</v>
      </c>
      <c r="D6611" s="8" t="str">
        <f>IFERROR(INDEX('nav master'!$C:$C, MATCH(B6611, 'nav master'!$B:$B, 0)), "")</f>
        <v>ULIF03501/01/10BlueChipFd101</v>
      </c>
      <c r="E6611" s="8" t="s">
        <v>301</v>
      </c>
      <c r="F6611" s="8" t="s">
        <v>1812</v>
      </c>
    </row>
    <row r="6612" spans="1:6" ht="60" x14ac:dyDescent="0.25">
      <c r="A6612" s="8" t="s">
        <v>125</v>
      </c>
      <c r="B6612" s="8" t="s">
        <v>130</v>
      </c>
      <c r="C6612" s="8" t="str">
        <f>IFERROR(_xlfn.XLOOKUP(TRIM(B6612),Lookup!$B$2:$B$1000,Lookup!$C$2:$C$1000),"")</f>
        <v>Equity</v>
      </c>
      <c r="D6612" s="8" t="str">
        <f>IFERROR(INDEX('nav master'!$C:$C, MATCH(B6612, 'nav master'!$B:$B, 0)), "")</f>
        <v>ULIF03501/01/10BlueChipFd101</v>
      </c>
      <c r="E6612" s="8" t="s">
        <v>303</v>
      </c>
      <c r="F6612" s="8" t="s">
        <v>1813</v>
      </c>
    </row>
    <row r="6613" spans="1:6" ht="60" x14ac:dyDescent="0.25">
      <c r="A6613" s="8" t="s">
        <v>125</v>
      </c>
      <c r="B6613" s="8" t="s">
        <v>130</v>
      </c>
      <c r="C6613" s="8" t="str">
        <f>IFERROR(_xlfn.XLOOKUP(TRIM(B6613),Lookup!$B$2:$B$1000,Lookup!$C$2:$C$1000),"")</f>
        <v>Equity</v>
      </c>
      <c r="D6613" s="8" t="str">
        <f>IFERROR(INDEX('nav master'!$C:$C, MATCH(B6613, 'nav master'!$B:$B, 0)), "")</f>
        <v>ULIF03501/01/10BlueChipFd101</v>
      </c>
      <c r="E6613" s="8" t="s">
        <v>305</v>
      </c>
      <c r="F6613" s="8" t="s">
        <v>1814</v>
      </c>
    </row>
    <row r="6614" spans="1:6" ht="60" x14ac:dyDescent="0.25">
      <c r="A6614" s="8" t="s">
        <v>125</v>
      </c>
      <c r="B6614" s="8" t="s">
        <v>130</v>
      </c>
      <c r="C6614" s="8" t="str">
        <f>IFERROR(_xlfn.XLOOKUP(TRIM(B6614),Lookup!$B$2:$B$1000,Lookup!$C$2:$C$1000),"")</f>
        <v>Equity</v>
      </c>
      <c r="D6614" s="8" t="str">
        <f>IFERROR(INDEX('nav master'!$C:$C, MATCH(B6614, 'nav master'!$B:$B, 0)), "")</f>
        <v>ULIF03501/01/10BlueChipFd101</v>
      </c>
      <c r="E6614" s="8" t="s">
        <v>307</v>
      </c>
      <c r="F6614" s="8" t="s">
        <v>1815</v>
      </c>
    </row>
    <row r="6615" spans="1:6" ht="60" x14ac:dyDescent="0.25">
      <c r="A6615" s="8" t="s">
        <v>125</v>
      </c>
      <c r="B6615" s="8" t="s">
        <v>130</v>
      </c>
      <c r="C6615" s="8" t="str">
        <f>IFERROR(_xlfn.XLOOKUP(TRIM(B6615),Lookup!$B$2:$B$1000,Lookup!$C$2:$C$1000),"")</f>
        <v>Equity</v>
      </c>
      <c r="D6615" s="8" t="str">
        <f>IFERROR(INDEX('nav master'!$C:$C, MATCH(B6615, 'nav master'!$B:$B, 0)), "")</f>
        <v>ULIF03501/01/10BlueChipFd101</v>
      </c>
      <c r="E6615" s="8" t="s">
        <v>309</v>
      </c>
      <c r="F6615" s="8" t="s">
        <v>1816</v>
      </c>
    </row>
    <row r="6616" spans="1:6" ht="60" x14ac:dyDescent="0.25">
      <c r="A6616" s="8" t="s">
        <v>125</v>
      </c>
      <c r="B6616" s="8" t="s">
        <v>130</v>
      </c>
      <c r="C6616" s="8" t="str">
        <f>IFERROR(_xlfn.XLOOKUP(TRIM(B6616),Lookup!$B$2:$B$1000,Lookup!$C$2:$C$1000),"")</f>
        <v>Equity</v>
      </c>
      <c r="D6616" s="8" t="str">
        <f>IFERROR(INDEX('nav master'!$C:$C, MATCH(B6616, 'nav master'!$B:$B, 0)), "")</f>
        <v>ULIF03501/01/10BlueChipFd101</v>
      </c>
      <c r="E6616" s="8" t="s">
        <v>311</v>
      </c>
      <c r="F6616" s="8" t="s">
        <v>1817</v>
      </c>
    </row>
    <row r="6617" spans="1:6" ht="60" x14ac:dyDescent="0.25">
      <c r="A6617" s="8" t="s">
        <v>125</v>
      </c>
      <c r="B6617" s="8" t="s">
        <v>130</v>
      </c>
      <c r="C6617" s="8" t="str">
        <f>IFERROR(_xlfn.XLOOKUP(TRIM(B6617),Lookup!$B$2:$B$1000,Lookup!$C$2:$C$1000),"")</f>
        <v>Equity</v>
      </c>
      <c r="D6617" s="8" t="str">
        <f>IFERROR(INDEX('nav master'!$C:$C, MATCH(B6617, 'nav master'!$B:$B, 0)), "")</f>
        <v>ULIF03501/01/10BlueChipFd101</v>
      </c>
      <c r="E6617" s="8" t="s">
        <v>313</v>
      </c>
      <c r="F6617" s="8" t="s">
        <v>1818</v>
      </c>
    </row>
    <row r="6618" spans="1:6" ht="60" x14ac:dyDescent="0.25">
      <c r="A6618" s="8" t="s">
        <v>125</v>
      </c>
      <c r="B6618" s="8" t="s">
        <v>130</v>
      </c>
      <c r="C6618" s="8" t="str">
        <f>IFERROR(_xlfn.XLOOKUP(TRIM(B6618),Lookup!$B$2:$B$1000,Lookup!$C$2:$C$1000),"")</f>
        <v>Equity</v>
      </c>
      <c r="D6618" s="8" t="str">
        <f>IFERROR(INDEX('nav master'!$C:$C, MATCH(B6618, 'nav master'!$B:$B, 0)), "")</f>
        <v>ULIF03501/01/10BlueChipFd101</v>
      </c>
      <c r="E6618" s="8" t="s">
        <v>315</v>
      </c>
      <c r="F6618" s="8" t="s">
        <v>1819</v>
      </c>
    </row>
    <row r="6619" spans="1:6" ht="60" x14ac:dyDescent="0.25">
      <c r="A6619" s="8" t="s">
        <v>125</v>
      </c>
      <c r="B6619" s="8" t="s">
        <v>130</v>
      </c>
      <c r="C6619" s="8" t="str">
        <f>IFERROR(_xlfn.XLOOKUP(TRIM(B6619),Lookup!$B$2:$B$1000,Lookup!$C$2:$C$1000),"")</f>
        <v>Equity</v>
      </c>
      <c r="D6619" s="8" t="str">
        <f>IFERROR(INDEX('nav master'!$C:$C, MATCH(B6619, 'nav master'!$B:$B, 0)), "")</f>
        <v>ULIF03501/01/10BlueChipFd101</v>
      </c>
      <c r="E6619" s="8" t="s">
        <v>317</v>
      </c>
      <c r="F6619" s="8" t="s">
        <v>1820</v>
      </c>
    </row>
    <row r="6620" spans="1:6" ht="60" x14ac:dyDescent="0.25">
      <c r="A6620" s="8" t="s">
        <v>125</v>
      </c>
      <c r="B6620" s="8" t="s">
        <v>130</v>
      </c>
      <c r="C6620" s="8" t="str">
        <f>IFERROR(_xlfn.XLOOKUP(TRIM(B6620),Lookup!$B$2:$B$1000,Lookup!$C$2:$C$1000),"")</f>
        <v>Equity</v>
      </c>
      <c r="D6620" s="8" t="str">
        <f>IFERROR(INDEX('nav master'!$C:$C, MATCH(B6620, 'nav master'!$B:$B, 0)), "")</f>
        <v>ULIF03501/01/10BlueChipFd101</v>
      </c>
      <c r="E6620" s="8" t="s">
        <v>319</v>
      </c>
      <c r="F6620" s="8" t="s">
        <v>1821</v>
      </c>
    </row>
    <row r="6621" spans="1:6" ht="60" x14ac:dyDescent="0.25">
      <c r="A6621" s="8" t="s">
        <v>125</v>
      </c>
      <c r="B6621" s="8" t="s">
        <v>130</v>
      </c>
      <c r="C6621" s="8" t="str">
        <f>IFERROR(_xlfn.XLOOKUP(TRIM(B6621),Lookup!$B$2:$B$1000,Lookup!$C$2:$C$1000),"")</f>
        <v>Equity</v>
      </c>
      <c r="D6621" s="8" t="str">
        <f>IFERROR(INDEX('nav master'!$C:$C, MATCH(B6621, 'nav master'!$B:$B, 0)), "")</f>
        <v>ULIF03501/01/10BlueChipFd101</v>
      </c>
      <c r="E6621" s="8" t="s">
        <v>321</v>
      </c>
      <c r="F6621" s="8" t="s">
        <v>1822</v>
      </c>
    </row>
    <row r="6622" spans="1:6" ht="60" x14ac:dyDescent="0.25">
      <c r="A6622" s="8" t="s">
        <v>125</v>
      </c>
      <c r="B6622" s="8" t="s">
        <v>130</v>
      </c>
      <c r="C6622" s="8" t="str">
        <f>IFERROR(_xlfn.XLOOKUP(TRIM(B6622),Lookup!$B$2:$B$1000,Lookup!$C$2:$C$1000),"")</f>
        <v>Equity</v>
      </c>
      <c r="D6622" s="8" t="str">
        <f>IFERROR(INDEX('nav master'!$C:$C, MATCH(B6622, 'nav master'!$B:$B, 0)), "")</f>
        <v>ULIF03501/01/10BlueChipFd101</v>
      </c>
      <c r="E6622" s="8" t="s">
        <v>323</v>
      </c>
      <c r="F6622" s="8" t="s">
        <v>1823</v>
      </c>
    </row>
    <row r="6623" spans="1:6" ht="60" x14ac:dyDescent="0.25">
      <c r="A6623" s="8" t="s">
        <v>125</v>
      </c>
      <c r="B6623" s="8" t="s">
        <v>130</v>
      </c>
      <c r="C6623" s="8" t="str">
        <f>IFERROR(_xlfn.XLOOKUP(TRIM(B6623),Lookup!$B$2:$B$1000,Lookup!$C$2:$C$1000),"")</f>
        <v>Equity</v>
      </c>
      <c r="D6623" s="8" t="str">
        <f>IFERROR(INDEX('nav master'!$C:$C, MATCH(B6623, 'nav master'!$B:$B, 0)), "")</f>
        <v>ULIF03501/01/10BlueChipFd101</v>
      </c>
      <c r="E6623" s="8" t="s">
        <v>325</v>
      </c>
      <c r="F6623" s="8" t="s">
        <v>1824</v>
      </c>
    </row>
    <row r="6624" spans="1:6" ht="60" x14ac:dyDescent="0.25">
      <c r="A6624" s="8" t="s">
        <v>125</v>
      </c>
      <c r="B6624" s="8" t="s">
        <v>130</v>
      </c>
      <c r="C6624" s="8" t="str">
        <f>IFERROR(_xlfn.XLOOKUP(TRIM(B6624),Lookup!$B$2:$B$1000,Lookup!$C$2:$C$1000),"")</f>
        <v>Equity</v>
      </c>
      <c r="D6624" s="8" t="str">
        <f>IFERROR(INDEX('nav master'!$C:$C, MATCH(B6624, 'nav master'!$B:$B, 0)), "")</f>
        <v>ULIF03501/01/10BlueChipFd101</v>
      </c>
      <c r="E6624" s="8" t="s">
        <v>327</v>
      </c>
      <c r="F6624" s="8" t="s">
        <v>1825</v>
      </c>
    </row>
    <row r="6625" spans="1:6" ht="60" x14ac:dyDescent="0.25">
      <c r="A6625" s="8" t="s">
        <v>125</v>
      </c>
      <c r="B6625" s="8" t="s">
        <v>130</v>
      </c>
      <c r="C6625" s="8" t="str">
        <f>IFERROR(_xlfn.XLOOKUP(TRIM(B6625),Lookup!$B$2:$B$1000,Lookup!$C$2:$C$1000),"")</f>
        <v>Equity</v>
      </c>
      <c r="D6625" s="8" t="str">
        <f>IFERROR(INDEX('nav master'!$C:$C, MATCH(B6625, 'nav master'!$B:$B, 0)), "")</f>
        <v>ULIF03501/01/10BlueChipFd101</v>
      </c>
      <c r="E6625" s="8" t="s">
        <v>329</v>
      </c>
      <c r="F6625" s="8" t="s">
        <v>1826</v>
      </c>
    </row>
    <row r="6626" spans="1:6" ht="60" x14ac:dyDescent="0.25">
      <c r="A6626" s="8" t="s">
        <v>125</v>
      </c>
      <c r="B6626" s="8" t="s">
        <v>130</v>
      </c>
      <c r="C6626" s="8" t="str">
        <f>IFERROR(_xlfn.XLOOKUP(TRIM(B6626),Lookup!$B$2:$B$1000,Lookup!$C$2:$C$1000),"")</f>
        <v>Equity</v>
      </c>
      <c r="D6626" s="8" t="str">
        <f>IFERROR(INDEX('nav master'!$C:$C, MATCH(B6626, 'nav master'!$B:$B, 0)), "")</f>
        <v>ULIF03501/01/10BlueChipFd101</v>
      </c>
      <c r="E6626" s="8" t="s">
        <v>331</v>
      </c>
      <c r="F6626" s="8" t="s">
        <v>1827</v>
      </c>
    </row>
    <row r="6627" spans="1:6" ht="60" x14ac:dyDescent="0.25">
      <c r="A6627" s="8" t="s">
        <v>125</v>
      </c>
      <c r="B6627" s="8" t="s">
        <v>130</v>
      </c>
      <c r="C6627" s="8" t="str">
        <f>IFERROR(_xlfn.XLOOKUP(TRIM(B6627),Lookup!$B$2:$B$1000,Lookup!$C$2:$C$1000),"")</f>
        <v>Equity</v>
      </c>
      <c r="D6627" s="8" t="str">
        <f>IFERROR(INDEX('nav master'!$C:$C, MATCH(B6627, 'nav master'!$B:$B, 0)), "")</f>
        <v>ULIF03501/01/10BlueChipFd101</v>
      </c>
      <c r="E6627" s="8" t="s">
        <v>333</v>
      </c>
      <c r="F6627" s="8" t="s">
        <v>1828</v>
      </c>
    </row>
    <row r="6628" spans="1:6" ht="60" x14ac:dyDescent="0.25">
      <c r="A6628" s="8" t="s">
        <v>125</v>
      </c>
      <c r="B6628" s="8" t="s">
        <v>130</v>
      </c>
      <c r="C6628" s="8" t="str">
        <f>IFERROR(_xlfn.XLOOKUP(TRIM(B6628),Lookup!$B$2:$B$1000,Lookup!$C$2:$C$1000),"")</f>
        <v>Equity</v>
      </c>
      <c r="D6628" s="8" t="str">
        <f>IFERROR(INDEX('nav master'!$C:$C, MATCH(B6628, 'nav master'!$B:$B, 0)), "")</f>
        <v>ULIF03501/01/10BlueChipFd101</v>
      </c>
      <c r="E6628" s="8" t="s">
        <v>335</v>
      </c>
      <c r="F6628" s="8" t="s">
        <v>1829</v>
      </c>
    </row>
    <row r="6629" spans="1:6" ht="60" x14ac:dyDescent="0.25">
      <c r="A6629" s="8" t="s">
        <v>125</v>
      </c>
      <c r="B6629" s="8" t="s">
        <v>130</v>
      </c>
      <c r="C6629" s="8" t="str">
        <f>IFERROR(_xlfn.XLOOKUP(TRIM(B6629),Lookup!$B$2:$B$1000,Lookup!$C$2:$C$1000),"")</f>
        <v>Equity</v>
      </c>
      <c r="D6629" s="8" t="str">
        <f>IFERROR(INDEX('nav master'!$C:$C, MATCH(B6629, 'nav master'!$B:$B, 0)), "")</f>
        <v>ULIF03501/01/10BlueChipFd101</v>
      </c>
      <c r="E6629" s="8" t="s">
        <v>337</v>
      </c>
      <c r="F6629" s="8" t="s">
        <v>1830</v>
      </c>
    </row>
    <row r="6630" spans="1:6" ht="60" x14ac:dyDescent="0.25">
      <c r="A6630" s="8" t="s">
        <v>125</v>
      </c>
      <c r="B6630" s="8" t="s">
        <v>130</v>
      </c>
      <c r="C6630" s="8" t="str">
        <f>IFERROR(_xlfn.XLOOKUP(TRIM(B6630),Lookup!$B$2:$B$1000,Lookup!$C$2:$C$1000),"")</f>
        <v>Equity</v>
      </c>
      <c r="D6630" s="8" t="str">
        <f>IFERROR(INDEX('nav master'!$C:$C, MATCH(B6630, 'nav master'!$B:$B, 0)), "")</f>
        <v>ULIF03501/01/10BlueChipFd101</v>
      </c>
      <c r="E6630" s="8" t="s">
        <v>339</v>
      </c>
      <c r="F6630" s="8" t="s">
        <v>1831</v>
      </c>
    </row>
    <row r="6631" spans="1:6" ht="60" x14ac:dyDescent="0.25">
      <c r="A6631" s="8" t="s">
        <v>125</v>
      </c>
      <c r="B6631" s="8" t="s">
        <v>130</v>
      </c>
      <c r="C6631" s="8" t="str">
        <f>IFERROR(_xlfn.XLOOKUP(TRIM(B6631),Lookup!$B$2:$B$1000,Lookup!$C$2:$C$1000),"")</f>
        <v>Equity</v>
      </c>
      <c r="D6631" s="8" t="str">
        <f>IFERROR(INDEX('nav master'!$C:$C, MATCH(B6631, 'nav master'!$B:$B, 0)), "")</f>
        <v>ULIF03501/01/10BlueChipFd101</v>
      </c>
      <c r="E6631" s="8" t="s">
        <v>341</v>
      </c>
      <c r="F6631" s="8" t="s">
        <v>1832</v>
      </c>
    </row>
    <row r="6632" spans="1:6" ht="60" x14ac:dyDescent="0.25">
      <c r="A6632" s="8" t="s">
        <v>125</v>
      </c>
      <c r="B6632" s="8" t="s">
        <v>130</v>
      </c>
      <c r="C6632" s="8" t="str">
        <f>IFERROR(_xlfn.XLOOKUP(TRIM(B6632),Lookup!$B$2:$B$1000,Lookup!$C$2:$C$1000),"")</f>
        <v>Equity</v>
      </c>
      <c r="D6632" s="8" t="str">
        <f>IFERROR(INDEX('nav master'!$C:$C, MATCH(B6632, 'nav master'!$B:$B, 0)), "")</f>
        <v>ULIF03501/01/10BlueChipFd101</v>
      </c>
      <c r="E6632" s="8" t="s">
        <v>343</v>
      </c>
      <c r="F6632" s="8" t="s">
        <v>1833</v>
      </c>
    </row>
    <row r="6633" spans="1:6" ht="60" x14ac:dyDescent="0.25">
      <c r="A6633" s="8" t="s">
        <v>125</v>
      </c>
      <c r="B6633" s="8" t="s">
        <v>130</v>
      </c>
      <c r="C6633" s="8" t="str">
        <f>IFERROR(_xlfn.XLOOKUP(TRIM(B6633),Lookup!$B$2:$B$1000,Lookup!$C$2:$C$1000),"")</f>
        <v>Equity</v>
      </c>
      <c r="D6633" s="8" t="str">
        <f>IFERROR(INDEX('nav master'!$C:$C, MATCH(B6633, 'nav master'!$B:$B, 0)), "")</f>
        <v>ULIF03501/01/10BlueChipFd101</v>
      </c>
      <c r="E6633" s="8" t="s">
        <v>345</v>
      </c>
      <c r="F6633" s="8" t="s">
        <v>1834</v>
      </c>
    </row>
    <row r="6634" spans="1:6" ht="60" x14ac:dyDescent="0.25">
      <c r="A6634" s="8" t="s">
        <v>125</v>
      </c>
      <c r="B6634" s="8" t="s">
        <v>130</v>
      </c>
      <c r="C6634" s="8" t="str">
        <f>IFERROR(_xlfn.XLOOKUP(TRIM(B6634),Lookup!$B$2:$B$1000,Lookup!$C$2:$C$1000),"")</f>
        <v>Equity</v>
      </c>
      <c r="D6634" s="8" t="str">
        <f>IFERROR(INDEX('nav master'!$C:$C, MATCH(B6634, 'nav master'!$B:$B, 0)), "")</f>
        <v>ULIF03501/01/10BlueChipFd101</v>
      </c>
      <c r="E6634" s="8" t="s">
        <v>347</v>
      </c>
      <c r="F6634" s="8" t="s">
        <v>1835</v>
      </c>
    </row>
    <row r="6635" spans="1:6" ht="60" x14ac:dyDescent="0.25">
      <c r="A6635" s="8" t="s">
        <v>125</v>
      </c>
      <c r="B6635" s="8" t="s">
        <v>130</v>
      </c>
      <c r="C6635" s="8" t="str">
        <f>IFERROR(_xlfn.XLOOKUP(TRIM(B6635),Lookup!$B$2:$B$1000,Lookup!$C$2:$C$1000),"")</f>
        <v>Equity</v>
      </c>
      <c r="D6635" s="8" t="str">
        <f>IFERROR(INDEX('nav master'!$C:$C, MATCH(B6635, 'nav master'!$B:$B, 0)), "")</f>
        <v>ULIF03501/01/10BlueChipFd101</v>
      </c>
      <c r="E6635" s="8" t="s">
        <v>349</v>
      </c>
      <c r="F6635" s="8" t="s">
        <v>1836</v>
      </c>
    </row>
    <row r="6636" spans="1:6" ht="60" x14ac:dyDescent="0.25">
      <c r="A6636" s="8" t="s">
        <v>125</v>
      </c>
      <c r="B6636" s="8" t="s">
        <v>130</v>
      </c>
      <c r="C6636" s="8" t="str">
        <f>IFERROR(_xlfn.XLOOKUP(TRIM(B6636),Lookup!$B$2:$B$1000,Lookup!$C$2:$C$1000),"")</f>
        <v>Equity</v>
      </c>
      <c r="D6636" s="8" t="str">
        <f>IFERROR(INDEX('nav master'!$C:$C, MATCH(B6636, 'nav master'!$B:$B, 0)), "")</f>
        <v>ULIF03501/01/10BlueChipFd101</v>
      </c>
      <c r="E6636" s="8" t="s">
        <v>351</v>
      </c>
      <c r="F6636" s="8" t="s">
        <v>1837</v>
      </c>
    </row>
    <row r="6637" spans="1:6" ht="60" x14ac:dyDescent="0.25">
      <c r="A6637" s="8" t="s">
        <v>125</v>
      </c>
      <c r="B6637" s="8" t="s">
        <v>130</v>
      </c>
      <c r="C6637" s="8" t="str">
        <f>IFERROR(_xlfn.XLOOKUP(TRIM(B6637),Lookup!$B$2:$B$1000,Lookup!$C$2:$C$1000),"")</f>
        <v>Equity</v>
      </c>
      <c r="D6637" s="8" t="str">
        <f>IFERROR(INDEX('nav master'!$C:$C, MATCH(B6637, 'nav master'!$B:$B, 0)), "")</f>
        <v>ULIF03501/01/10BlueChipFd101</v>
      </c>
      <c r="E6637" s="8" t="s">
        <v>353</v>
      </c>
      <c r="F6637" s="8" t="s">
        <v>1838</v>
      </c>
    </row>
    <row r="6638" spans="1:6" ht="60" x14ac:dyDescent="0.25">
      <c r="A6638" s="8" t="s">
        <v>125</v>
      </c>
      <c r="B6638" s="8" t="s">
        <v>130</v>
      </c>
      <c r="C6638" s="8" t="str">
        <f>IFERROR(_xlfn.XLOOKUP(TRIM(B6638),Lookup!$B$2:$B$1000,Lookup!$C$2:$C$1000),"")</f>
        <v>Equity</v>
      </c>
      <c r="D6638" s="8" t="str">
        <f>IFERROR(INDEX('nav master'!$C:$C, MATCH(B6638, 'nav master'!$B:$B, 0)), "")</f>
        <v>ULIF03501/01/10BlueChipFd101</v>
      </c>
      <c r="E6638" s="8" t="s">
        <v>355</v>
      </c>
      <c r="F6638" s="8" t="s">
        <v>1839</v>
      </c>
    </row>
    <row r="6639" spans="1:6" ht="60" x14ac:dyDescent="0.25">
      <c r="A6639" s="8" t="s">
        <v>125</v>
      </c>
      <c r="B6639" s="8" t="s">
        <v>130</v>
      </c>
      <c r="C6639" s="8" t="str">
        <f>IFERROR(_xlfn.XLOOKUP(TRIM(B6639),Lookup!$B$2:$B$1000,Lookup!$C$2:$C$1000),"")</f>
        <v>Equity</v>
      </c>
      <c r="D6639" s="8" t="str">
        <f>IFERROR(INDEX('nav master'!$C:$C, MATCH(B6639, 'nav master'!$B:$B, 0)), "")</f>
        <v>ULIF03501/01/10BlueChipFd101</v>
      </c>
      <c r="E6639" s="8" t="s">
        <v>357</v>
      </c>
      <c r="F6639" s="8" t="s">
        <v>1840</v>
      </c>
    </row>
    <row r="6640" spans="1:6" ht="60" x14ac:dyDescent="0.25">
      <c r="A6640" s="8" t="s">
        <v>125</v>
      </c>
      <c r="B6640" s="8" t="s">
        <v>130</v>
      </c>
      <c r="C6640" s="8" t="str">
        <f>IFERROR(_xlfn.XLOOKUP(TRIM(B6640),Lookup!$B$2:$B$1000,Lookup!$C$2:$C$1000),"")</f>
        <v>Equity</v>
      </c>
      <c r="D6640" s="8" t="str">
        <f>IFERROR(INDEX('nav master'!$C:$C, MATCH(B6640, 'nav master'!$B:$B, 0)), "")</f>
        <v>ULIF03501/01/10BlueChipFd101</v>
      </c>
      <c r="E6640" s="8" t="s">
        <v>359</v>
      </c>
      <c r="F6640" s="8" t="s">
        <v>1841</v>
      </c>
    </row>
    <row r="6641" spans="1:6" ht="60" x14ac:dyDescent="0.25">
      <c r="A6641" s="8" t="s">
        <v>125</v>
      </c>
      <c r="B6641" s="8" t="s">
        <v>130</v>
      </c>
      <c r="C6641" s="8" t="str">
        <f>IFERROR(_xlfn.XLOOKUP(TRIM(B6641),Lookup!$B$2:$B$1000,Lookup!$C$2:$C$1000),"")</f>
        <v>Equity</v>
      </c>
      <c r="D6641" s="8" t="str">
        <f>IFERROR(INDEX('nav master'!$C:$C, MATCH(B6641, 'nav master'!$B:$B, 0)), "")</f>
        <v>ULIF03501/01/10BlueChipFd101</v>
      </c>
      <c r="E6641" s="8" t="s">
        <v>361</v>
      </c>
      <c r="F6641" s="8" t="s">
        <v>1842</v>
      </c>
    </row>
    <row r="6642" spans="1:6" ht="60" x14ac:dyDescent="0.25">
      <c r="A6642" s="8" t="s">
        <v>125</v>
      </c>
      <c r="B6642" s="8" t="s">
        <v>130</v>
      </c>
      <c r="C6642" s="8" t="str">
        <f>IFERROR(_xlfn.XLOOKUP(TRIM(B6642),Lookup!$B$2:$B$1000,Lookup!$C$2:$C$1000),"")</f>
        <v>Equity</v>
      </c>
      <c r="D6642" s="8" t="str">
        <f>IFERROR(INDEX('nav master'!$C:$C, MATCH(B6642, 'nav master'!$B:$B, 0)), "")</f>
        <v>ULIF03501/01/10BlueChipFd101</v>
      </c>
      <c r="E6642" s="8" t="s">
        <v>363</v>
      </c>
      <c r="F6642" s="8" t="s">
        <v>1843</v>
      </c>
    </row>
    <row r="6643" spans="1:6" ht="60" x14ac:dyDescent="0.25">
      <c r="A6643" s="8" t="s">
        <v>125</v>
      </c>
      <c r="B6643" s="8" t="s">
        <v>130</v>
      </c>
      <c r="C6643" s="8" t="str">
        <f>IFERROR(_xlfn.XLOOKUP(TRIM(B6643),Lookup!$B$2:$B$1000,Lookup!$C$2:$C$1000),"")</f>
        <v>Equity</v>
      </c>
      <c r="D6643" s="8" t="str">
        <f>IFERROR(INDEX('nav master'!$C:$C, MATCH(B6643, 'nav master'!$B:$B, 0)), "")</f>
        <v>ULIF03501/01/10BlueChipFd101</v>
      </c>
      <c r="E6643" s="8" t="s">
        <v>365</v>
      </c>
      <c r="F6643" s="8" t="s">
        <v>1844</v>
      </c>
    </row>
    <row r="6644" spans="1:6" ht="60" x14ac:dyDescent="0.25">
      <c r="A6644" s="8" t="s">
        <v>125</v>
      </c>
      <c r="B6644" s="8" t="s">
        <v>130</v>
      </c>
      <c r="C6644" s="8" t="str">
        <f>IFERROR(_xlfn.XLOOKUP(TRIM(B6644),Lookup!$B$2:$B$1000,Lookup!$C$2:$C$1000),"")</f>
        <v>Equity</v>
      </c>
      <c r="D6644" s="8" t="str">
        <f>IFERROR(INDEX('nav master'!$C:$C, MATCH(B6644, 'nav master'!$B:$B, 0)), "")</f>
        <v>ULIF03501/01/10BlueChipFd101</v>
      </c>
      <c r="E6644" s="8" t="s">
        <v>367</v>
      </c>
      <c r="F6644" s="8" t="s">
        <v>1845</v>
      </c>
    </row>
    <row r="6645" spans="1:6" ht="60" x14ac:dyDescent="0.25">
      <c r="A6645" s="8" t="s">
        <v>125</v>
      </c>
      <c r="B6645" s="8" t="s">
        <v>130</v>
      </c>
      <c r="C6645" s="8" t="str">
        <f>IFERROR(_xlfn.XLOOKUP(TRIM(B6645),Lookup!$B$2:$B$1000,Lookup!$C$2:$C$1000),"")</f>
        <v>Equity</v>
      </c>
      <c r="D6645" s="8" t="str">
        <f>IFERROR(INDEX('nav master'!$C:$C, MATCH(B6645, 'nav master'!$B:$B, 0)), "")</f>
        <v>ULIF03501/01/10BlueChipFd101</v>
      </c>
      <c r="E6645" s="8" t="s">
        <v>369</v>
      </c>
      <c r="F6645" s="8" t="s">
        <v>1846</v>
      </c>
    </row>
    <row r="6646" spans="1:6" ht="60" x14ac:dyDescent="0.25">
      <c r="A6646" s="8" t="s">
        <v>125</v>
      </c>
      <c r="B6646" s="8" t="s">
        <v>130</v>
      </c>
      <c r="C6646" s="8" t="str">
        <f>IFERROR(_xlfn.XLOOKUP(TRIM(B6646),Lookup!$B$2:$B$1000,Lookup!$C$2:$C$1000),"")</f>
        <v>Equity</v>
      </c>
      <c r="D6646" s="8" t="str">
        <f>IFERROR(INDEX('nav master'!$C:$C, MATCH(B6646, 'nav master'!$B:$B, 0)), "")</f>
        <v>ULIF03501/01/10BlueChipFd101</v>
      </c>
      <c r="E6646" s="8" t="s">
        <v>371</v>
      </c>
      <c r="F6646" s="8" t="s">
        <v>1847</v>
      </c>
    </row>
    <row r="6647" spans="1:6" ht="60" x14ac:dyDescent="0.25">
      <c r="A6647" s="8" t="s">
        <v>125</v>
      </c>
      <c r="B6647" s="8" t="s">
        <v>130</v>
      </c>
      <c r="C6647" s="8" t="str">
        <f>IFERROR(_xlfn.XLOOKUP(TRIM(B6647),Lookup!$B$2:$B$1000,Lookup!$C$2:$C$1000),"")</f>
        <v>Equity</v>
      </c>
      <c r="D6647" s="8" t="str">
        <f>IFERROR(INDEX('nav master'!$C:$C, MATCH(B6647, 'nav master'!$B:$B, 0)), "")</f>
        <v>ULIF03501/01/10BlueChipFd101</v>
      </c>
      <c r="E6647" s="8" t="s">
        <v>373</v>
      </c>
      <c r="F6647" s="8" t="s">
        <v>1848</v>
      </c>
    </row>
    <row r="6648" spans="1:6" ht="60" x14ac:dyDescent="0.25">
      <c r="A6648" s="8" t="s">
        <v>125</v>
      </c>
      <c r="B6648" s="8" t="s">
        <v>130</v>
      </c>
      <c r="C6648" s="8" t="str">
        <f>IFERROR(_xlfn.XLOOKUP(TRIM(B6648),Lookup!$B$2:$B$1000,Lookup!$C$2:$C$1000),"")</f>
        <v>Equity</v>
      </c>
      <c r="D6648" s="8" t="str">
        <f>IFERROR(INDEX('nav master'!$C:$C, MATCH(B6648, 'nav master'!$B:$B, 0)), "")</f>
        <v>ULIF03501/01/10BlueChipFd101</v>
      </c>
      <c r="E6648" s="8" t="s">
        <v>375</v>
      </c>
      <c r="F6648" s="8" t="s">
        <v>1849</v>
      </c>
    </row>
    <row r="6649" spans="1:6" ht="60" x14ac:dyDescent="0.25">
      <c r="A6649" s="8" t="s">
        <v>125</v>
      </c>
      <c r="B6649" s="8" t="s">
        <v>130</v>
      </c>
      <c r="C6649" s="8" t="str">
        <f>IFERROR(_xlfn.XLOOKUP(TRIM(B6649),Lookup!$B$2:$B$1000,Lookup!$C$2:$C$1000),"")</f>
        <v>Equity</v>
      </c>
      <c r="D6649" s="8" t="str">
        <f>IFERROR(INDEX('nav master'!$C:$C, MATCH(B6649, 'nav master'!$B:$B, 0)), "")</f>
        <v>ULIF03501/01/10BlueChipFd101</v>
      </c>
      <c r="E6649" s="8" t="s">
        <v>377</v>
      </c>
      <c r="F6649" s="8" t="s">
        <v>1850</v>
      </c>
    </row>
    <row r="6650" spans="1:6" ht="60" x14ac:dyDescent="0.25">
      <c r="A6650" s="8" t="s">
        <v>125</v>
      </c>
      <c r="B6650" s="8" t="s">
        <v>130</v>
      </c>
      <c r="C6650" s="8" t="str">
        <f>IFERROR(_xlfn.XLOOKUP(TRIM(B6650),Lookup!$B$2:$B$1000,Lookup!$C$2:$C$1000),"")</f>
        <v>Equity</v>
      </c>
      <c r="D6650" s="8" t="str">
        <f>IFERROR(INDEX('nav master'!$C:$C, MATCH(B6650, 'nav master'!$B:$B, 0)), "")</f>
        <v>ULIF03501/01/10BlueChipFd101</v>
      </c>
      <c r="E6650" s="8" t="s">
        <v>379</v>
      </c>
      <c r="F6650" s="8" t="s">
        <v>1851</v>
      </c>
    </row>
    <row r="6651" spans="1:6" ht="60" x14ac:dyDescent="0.25">
      <c r="A6651" s="8" t="s">
        <v>125</v>
      </c>
      <c r="B6651" s="8" t="s">
        <v>130</v>
      </c>
      <c r="C6651" s="8" t="str">
        <f>IFERROR(_xlfn.XLOOKUP(TRIM(B6651),Lookup!$B$2:$B$1000,Lookup!$C$2:$C$1000),"")</f>
        <v>Equity</v>
      </c>
      <c r="D6651" s="8" t="str">
        <f>IFERROR(INDEX('nav master'!$C:$C, MATCH(B6651, 'nav master'!$B:$B, 0)), "")</f>
        <v>ULIF03501/01/10BlueChipFd101</v>
      </c>
      <c r="E6651" s="8" t="s">
        <v>381</v>
      </c>
      <c r="F6651" s="8" t="s">
        <v>1852</v>
      </c>
    </row>
    <row r="6652" spans="1:6" ht="60" x14ac:dyDescent="0.25">
      <c r="A6652" s="8" t="s">
        <v>125</v>
      </c>
      <c r="B6652" s="8" t="s">
        <v>130</v>
      </c>
      <c r="C6652" s="8" t="str">
        <f>IFERROR(_xlfn.XLOOKUP(TRIM(B6652),Lookup!$B$2:$B$1000,Lookup!$C$2:$C$1000),"")</f>
        <v>Equity</v>
      </c>
      <c r="D6652" s="8" t="str">
        <f>IFERROR(INDEX('nav master'!$C:$C, MATCH(B6652, 'nav master'!$B:$B, 0)), "")</f>
        <v>ULIF03501/01/10BlueChipFd101</v>
      </c>
      <c r="E6652" s="8" t="s">
        <v>383</v>
      </c>
      <c r="F6652" s="8" t="s">
        <v>1853</v>
      </c>
    </row>
    <row r="6653" spans="1:6" ht="60" x14ac:dyDescent="0.25">
      <c r="A6653" s="8" t="s">
        <v>125</v>
      </c>
      <c r="B6653" s="8" t="s">
        <v>130</v>
      </c>
      <c r="C6653" s="8" t="str">
        <f>IFERROR(_xlfn.XLOOKUP(TRIM(B6653),Lookup!$B$2:$B$1000,Lookup!$C$2:$C$1000),"")</f>
        <v>Equity</v>
      </c>
      <c r="D6653" s="8" t="str">
        <f>IFERROR(INDEX('nav master'!$C:$C, MATCH(B6653, 'nav master'!$B:$B, 0)), "")</f>
        <v>ULIF03501/01/10BlueChipFd101</v>
      </c>
      <c r="E6653" s="8" t="s">
        <v>385</v>
      </c>
      <c r="F6653" s="8" t="s">
        <v>1854</v>
      </c>
    </row>
    <row r="6654" spans="1:6" ht="60" x14ac:dyDescent="0.25">
      <c r="A6654" s="8" t="s">
        <v>125</v>
      </c>
      <c r="B6654" s="8" t="s">
        <v>130</v>
      </c>
      <c r="C6654" s="8" t="str">
        <f>IFERROR(_xlfn.XLOOKUP(TRIM(B6654),Lookup!$B$2:$B$1000,Lookup!$C$2:$C$1000),"")</f>
        <v>Equity</v>
      </c>
      <c r="D6654" s="8" t="str">
        <f>IFERROR(INDEX('nav master'!$C:$C, MATCH(B6654, 'nav master'!$B:$B, 0)), "")</f>
        <v>ULIF03501/01/10BlueChipFd101</v>
      </c>
      <c r="E6654" s="8" t="s">
        <v>387</v>
      </c>
      <c r="F6654" s="8" t="s">
        <v>1855</v>
      </c>
    </row>
    <row r="6655" spans="1:6" ht="60" x14ac:dyDescent="0.25">
      <c r="A6655" s="8" t="s">
        <v>125</v>
      </c>
      <c r="B6655" s="8" t="s">
        <v>130</v>
      </c>
      <c r="C6655" s="8" t="str">
        <f>IFERROR(_xlfn.XLOOKUP(TRIM(B6655),Lookup!$B$2:$B$1000,Lookup!$C$2:$C$1000),"")</f>
        <v>Equity</v>
      </c>
      <c r="D6655" s="8" t="str">
        <f>IFERROR(INDEX('nav master'!$C:$C, MATCH(B6655, 'nav master'!$B:$B, 0)), "")</f>
        <v>ULIF03501/01/10BlueChipFd101</v>
      </c>
      <c r="E6655" s="8" t="s">
        <v>389</v>
      </c>
      <c r="F6655" s="8" t="s">
        <v>1856</v>
      </c>
    </row>
    <row r="6656" spans="1:6" ht="60" x14ac:dyDescent="0.25">
      <c r="A6656" s="8" t="s">
        <v>125</v>
      </c>
      <c r="B6656" s="8" t="s">
        <v>130</v>
      </c>
      <c r="C6656" s="8" t="str">
        <f>IFERROR(_xlfn.XLOOKUP(TRIM(B6656),Lookup!$B$2:$B$1000,Lookup!$C$2:$C$1000),"")</f>
        <v>Equity</v>
      </c>
      <c r="D6656" s="8" t="str">
        <f>IFERROR(INDEX('nav master'!$C:$C, MATCH(B6656, 'nav master'!$B:$B, 0)), "")</f>
        <v>ULIF03501/01/10BlueChipFd101</v>
      </c>
      <c r="E6656" s="8" t="s">
        <v>391</v>
      </c>
      <c r="F6656" s="8" t="s">
        <v>1857</v>
      </c>
    </row>
    <row r="6657" spans="1:6" ht="60" x14ac:dyDescent="0.25">
      <c r="A6657" s="8" t="s">
        <v>125</v>
      </c>
      <c r="B6657" s="8" t="s">
        <v>130</v>
      </c>
      <c r="C6657" s="8" t="str">
        <f>IFERROR(_xlfn.XLOOKUP(TRIM(B6657),Lookup!$B$2:$B$1000,Lookup!$C$2:$C$1000),"")</f>
        <v>Equity</v>
      </c>
      <c r="D6657" s="8" t="str">
        <f>IFERROR(INDEX('nav master'!$C:$C, MATCH(B6657, 'nav master'!$B:$B, 0)), "")</f>
        <v>ULIF03501/01/10BlueChipFd101</v>
      </c>
      <c r="E6657" s="8" t="s">
        <v>393</v>
      </c>
      <c r="F6657" s="8" t="s">
        <v>1858</v>
      </c>
    </row>
    <row r="6658" spans="1:6" ht="60" x14ac:dyDescent="0.25">
      <c r="A6658" s="8" t="s">
        <v>125</v>
      </c>
      <c r="B6658" s="8" t="s">
        <v>130</v>
      </c>
      <c r="C6658" s="8" t="str">
        <f>IFERROR(_xlfn.XLOOKUP(TRIM(B6658),Lookup!$B$2:$B$1000,Lookup!$C$2:$C$1000),"")</f>
        <v>Equity</v>
      </c>
      <c r="D6658" s="8" t="str">
        <f>IFERROR(INDEX('nav master'!$C:$C, MATCH(B6658, 'nav master'!$B:$B, 0)), "")</f>
        <v>ULIF03501/01/10BlueChipFd101</v>
      </c>
      <c r="E6658" s="8" t="s">
        <v>395</v>
      </c>
      <c r="F6658" s="8" t="s">
        <v>1859</v>
      </c>
    </row>
    <row r="6659" spans="1:6" ht="60" x14ac:dyDescent="0.25">
      <c r="A6659" s="8" t="s">
        <v>125</v>
      </c>
      <c r="B6659" s="8" t="s">
        <v>130</v>
      </c>
      <c r="C6659" s="8" t="str">
        <f>IFERROR(_xlfn.XLOOKUP(TRIM(B6659),Lookup!$B$2:$B$1000,Lookup!$C$2:$C$1000),"")</f>
        <v>Equity</v>
      </c>
      <c r="D6659" s="8" t="str">
        <f>IFERROR(INDEX('nav master'!$C:$C, MATCH(B6659, 'nav master'!$B:$B, 0)), "")</f>
        <v>ULIF03501/01/10BlueChipFd101</v>
      </c>
      <c r="E6659" s="8" t="s">
        <v>397</v>
      </c>
      <c r="F6659" s="8" t="s">
        <v>1860</v>
      </c>
    </row>
    <row r="6660" spans="1:6" ht="60" x14ac:dyDescent="0.25">
      <c r="A6660" s="8" t="s">
        <v>125</v>
      </c>
      <c r="B6660" s="8" t="s">
        <v>130</v>
      </c>
      <c r="C6660" s="8" t="str">
        <f>IFERROR(_xlfn.XLOOKUP(TRIM(B6660),Lookup!$B$2:$B$1000,Lookup!$C$2:$C$1000),"")</f>
        <v>Equity</v>
      </c>
      <c r="D6660" s="8" t="str">
        <f>IFERROR(INDEX('nav master'!$C:$C, MATCH(B6660, 'nav master'!$B:$B, 0)), "")</f>
        <v>ULIF03501/01/10BlueChipFd101</v>
      </c>
      <c r="E6660" s="8" t="s">
        <v>399</v>
      </c>
      <c r="F6660" s="8" t="s">
        <v>1861</v>
      </c>
    </row>
    <row r="6661" spans="1:6" ht="60" x14ac:dyDescent="0.25">
      <c r="A6661" s="8" t="s">
        <v>125</v>
      </c>
      <c r="B6661" s="8" t="s">
        <v>130</v>
      </c>
      <c r="C6661" s="8" t="str">
        <f>IFERROR(_xlfn.XLOOKUP(TRIM(B6661),Lookup!$B$2:$B$1000,Lookup!$C$2:$C$1000),"")</f>
        <v>Equity</v>
      </c>
      <c r="D6661" s="8" t="str">
        <f>IFERROR(INDEX('nav master'!$C:$C, MATCH(B6661, 'nav master'!$B:$B, 0)), "")</f>
        <v>ULIF03501/01/10BlueChipFd101</v>
      </c>
      <c r="E6661" s="8" t="s">
        <v>401</v>
      </c>
      <c r="F6661" s="8" t="s">
        <v>1862</v>
      </c>
    </row>
    <row r="6662" spans="1:6" ht="60" x14ac:dyDescent="0.25">
      <c r="A6662" s="8" t="s">
        <v>125</v>
      </c>
      <c r="B6662" s="8" t="s">
        <v>130</v>
      </c>
      <c r="C6662" s="8" t="str">
        <f>IFERROR(_xlfn.XLOOKUP(TRIM(B6662),Lookup!$B$2:$B$1000,Lookup!$C$2:$C$1000),"")</f>
        <v>Equity</v>
      </c>
      <c r="D6662" s="8" t="str">
        <f>IFERROR(INDEX('nav master'!$C:$C, MATCH(B6662, 'nav master'!$B:$B, 0)), "")</f>
        <v>ULIF03501/01/10BlueChipFd101</v>
      </c>
      <c r="E6662" s="8" t="s">
        <v>403</v>
      </c>
      <c r="F6662" s="8" t="s">
        <v>1863</v>
      </c>
    </row>
    <row r="6663" spans="1:6" ht="60" x14ac:dyDescent="0.25">
      <c r="A6663" s="8" t="s">
        <v>125</v>
      </c>
      <c r="B6663" s="8" t="s">
        <v>130</v>
      </c>
      <c r="C6663" s="8" t="str">
        <f>IFERROR(_xlfn.XLOOKUP(TRIM(B6663),Lookup!$B$2:$B$1000,Lookup!$C$2:$C$1000),"")</f>
        <v>Equity</v>
      </c>
      <c r="D6663" s="8" t="str">
        <f>IFERROR(INDEX('nav master'!$C:$C, MATCH(B6663, 'nav master'!$B:$B, 0)), "")</f>
        <v>ULIF03501/01/10BlueChipFd101</v>
      </c>
      <c r="E6663" s="8" t="s">
        <v>405</v>
      </c>
      <c r="F6663" s="8" t="s">
        <v>1864</v>
      </c>
    </row>
    <row r="6664" spans="1:6" ht="60" x14ac:dyDescent="0.25">
      <c r="A6664" s="8" t="s">
        <v>125</v>
      </c>
      <c r="B6664" s="8" t="s">
        <v>130</v>
      </c>
      <c r="C6664" s="8" t="str">
        <f>IFERROR(_xlfn.XLOOKUP(TRIM(B6664),Lookup!$B$2:$B$1000,Lookup!$C$2:$C$1000),"")</f>
        <v>Equity</v>
      </c>
      <c r="D6664" s="8" t="str">
        <f>IFERROR(INDEX('nav master'!$C:$C, MATCH(B6664, 'nav master'!$B:$B, 0)), "")</f>
        <v>ULIF03501/01/10BlueChipFd101</v>
      </c>
      <c r="E6664" s="8" t="s">
        <v>407</v>
      </c>
      <c r="F6664" s="8" t="s">
        <v>1865</v>
      </c>
    </row>
    <row r="6665" spans="1:6" ht="60" x14ac:dyDescent="0.25">
      <c r="A6665" s="8" t="s">
        <v>125</v>
      </c>
      <c r="B6665" s="8" t="s">
        <v>130</v>
      </c>
      <c r="C6665" s="8" t="str">
        <f>IFERROR(_xlfn.XLOOKUP(TRIM(B6665),Lookup!$B$2:$B$1000,Lookup!$C$2:$C$1000),"")</f>
        <v>Equity</v>
      </c>
      <c r="D6665" s="8" t="str">
        <f>IFERROR(INDEX('nav master'!$C:$C, MATCH(B6665, 'nav master'!$B:$B, 0)), "")</f>
        <v>ULIF03501/01/10BlueChipFd101</v>
      </c>
      <c r="E6665" s="8" t="s">
        <v>409</v>
      </c>
      <c r="F6665" s="8" t="s">
        <v>1866</v>
      </c>
    </row>
    <row r="6666" spans="1:6" ht="60" x14ac:dyDescent="0.25">
      <c r="A6666" s="8" t="s">
        <v>125</v>
      </c>
      <c r="B6666" s="8" t="s">
        <v>130</v>
      </c>
      <c r="C6666" s="8" t="str">
        <f>IFERROR(_xlfn.XLOOKUP(TRIM(B6666),Lookup!$B$2:$B$1000,Lookup!$C$2:$C$1000),"")</f>
        <v>Equity</v>
      </c>
      <c r="D6666" s="8" t="str">
        <f>IFERROR(INDEX('nav master'!$C:$C, MATCH(B6666, 'nav master'!$B:$B, 0)), "")</f>
        <v>ULIF03501/01/10BlueChipFd101</v>
      </c>
      <c r="E6666" s="8" t="s">
        <v>411</v>
      </c>
      <c r="F6666" s="8" t="s">
        <v>1867</v>
      </c>
    </row>
    <row r="6667" spans="1:6" ht="60" x14ac:dyDescent="0.25">
      <c r="A6667" s="8" t="s">
        <v>125</v>
      </c>
      <c r="B6667" s="8" t="s">
        <v>130</v>
      </c>
      <c r="C6667" s="8" t="str">
        <f>IFERROR(_xlfn.XLOOKUP(TRIM(B6667),Lookup!$B$2:$B$1000,Lookup!$C$2:$C$1000),"")</f>
        <v>Equity</v>
      </c>
      <c r="D6667" s="8" t="str">
        <f>IFERROR(INDEX('nav master'!$C:$C, MATCH(B6667, 'nav master'!$B:$B, 0)), "")</f>
        <v>ULIF03501/01/10BlueChipFd101</v>
      </c>
      <c r="E6667" s="8" t="s">
        <v>413</v>
      </c>
      <c r="F6667" s="8" t="s">
        <v>1868</v>
      </c>
    </row>
    <row r="6668" spans="1:6" ht="60" x14ac:dyDescent="0.25">
      <c r="A6668" s="8" t="s">
        <v>125</v>
      </c>
      <c r="B6668" s="8" t="s">
        <v>130</v>
      </c>
      <c r="C6668" s="8" t="str">
        <f>IFERROR(_xlfn.XLOOKUP(TRIM(B6668),Lookup!$B$2:$B$1000,Lookup!$C$2:$C$1000),"")</f>
        <v>Equity</v>
      </c>
      <c r="D6668" s="8" t="str">
        <f>IFERROR(INDEX('nav master'!$C:$C, MATCH(B6668, 'nav master'!$B:$B, 0)), "")</f>
        <v>ULIF03501/01/10BlueChipFd101</v>
      </c>
      <c r="E6668" s="8" t="s">
        <v>415</v>
      </c>
      <c r="F6668" s="8" t="s">
        <v>1869</v>
      </c>
    </row>
    <row r="6669" spans="1:6" ht="60" x14ac:dyDescent="0.25">
      <c r="A6669" s="8" t="s">
        <v>125</v>
      </c>
      <c r="B6669" s="8" t="s">
        <v>130</v>
      </c>
      <c r="C6669" s="8" t="str">
        <f>IFERROR(_xlfn.XLOOKUP(TRIM(B6669),Lookup!$B$2:$B$1000,Lookup!$C$2:$C$1000),"")</f>
        <v>Equity</v>
      </c>
      <c r="D6669" s="8" t="str">
        <f>IFERROR(INDEX('nav master'!$C:$C, MATCH(B6669, 'nav master'!$B:$B, 0)), "")</f>
        <v>ULIF03501/01/10BlueChipFd101</v>
      </c>
      <c r="E6669" s="8" t="s">
        <v>417</v>
      </c>
      <c r="F6669" s="8" t="s">
        <v>1870</v>
      </c>
    </row>
    <row r="6670" spans="1:6" ht="60" x14ac:dyDescent="0.25">
      <c r="A6670" s="8" t="s">
        <v>125</v>
      </c>
      <c r="B6670" s="8" t="s">
        <v>130</v>
      </c>
      <c r="C6670" s="8" t="str">
        <f>IFERROR(_xlfn.XLOOKUP(TRIM(B6670),Lookup!$B$2:$B$1000,Lookup!$C$2:$C$1000),"")</f>
        <v>Equity</v>
      </c>
      <c r="D6670" s="8" t="str">
        <f>IFERROR(INDEX('nav master'!$C:$C, MATCH(B6670, 'nav master'!$B:$B, 0)), "")</f>
        <v>ULIF03501/01/10BlueChipFd101</v>
      </c>
      <c r="E6670" s="8" t="s">
        <v>419</v>
      </c>
      <c r="F6670" s="8" t="s">
        <v>1871</v>
      </c>
    </row>
    <row r="6671" spans="1:6" ht="60" x14ac:dyDescent="0.25">
      <c r="A6671" s="8" t="s">
        <v>125</v>
      </c>
      <c r="B6671" s="8" t="s">
        <v>130</v>
      </c>
      <c r="C6671" s="8" t="str">
        <f>IFERROR(_xlfn.XLOOKUP(TRIM(B6671),Lookup!$B$2:$B$1000,Lookup!$C$2:$C$1000),"")</f>
        <v>Equity</v>
      </c>
      <c r="D6671" s="8" t="str">
        <f>IFERROR(INDEX('nav master'!$C:$C, MATCH(B6671, 'nav master'!$B:$B, 0)), "")</f>
        <v>ULIF03501/01/10BlueChipFd101</v>
      </c>
      <c r="E6671" s="8" t="s">
        <v>421</v>
      </c>
      <c r="F6671" s="8" t="s">
        <v>1872</v>
      </c>
    </row>
    <row r="6672" spans="1:6" ht="60" x14ac:dyDescent="0.25">
      <c r="A6672" s="8" t="s">
        <v>125</v>
      </c>
      <c r="B6672" s="8" t="s">
        <v>130</v>
      </c>
      <c r="C6672" s="8" t="str">
        <f>IFERROR(_xlfn.XLOOKUP(TRIM(B6672),Lookup!$B$2:$B$1000,Lookup!$C$2:$C$1000),"")</f>
        <v>Equity</v>
      </c>
      <c r="D6672" s="8" t="str">
        <f>IFERROR(INDEX('nav master'!$C:$C, MATCH(B6672, 'nav master'!$B:$B, 0)), "")</f>
        <v>ULIF03501/01/10BlueChipFd101</v>
      </c>
      <c r="E6672" s="8" t="s">
        <v>423</v>
      </c>
      <c r="F6672" s="8" t="s">
        <v>1873</v>
      </c>
    </row>
    <row r="6673" spans="1:6" ht="60" x14ac:dyDescent="0.25">
      <c r="A6673" s="8" t="s">
        <v>125</v>
      </c>
      <c r="B6673" s="8" t="s">
        <v>130</v>
      </c>
      <c r="C6673" s="8" t="str">
        <f>IFERROR(_xlfn.XLOOKUP(TRIM(B6673),Lookup!$B$2:$B$1000,Lookup!$C$2:$C$1000),"")</f>
        <v>Equity</v>
      </c>
      <c r="D6673" s="8" t="str">
        <f>IFERROR(INDEX('nav master'!$C:$C, MATCH(B6673, 'nav master'!$B:$B, 0)), "")</f>
        <v>ULIF03501/01/10BlueChipFd101</v>
      </c>
      <c r="E6673" s="8" t="s">
        <v>425</v>
      </c>
      <c r="F6673" s="8" t="s">
        <v>1874</v>
      </c>
    </row>
    <row r="6674" spans="1:6" ht="60" x14ac:dyDescent="0.25">
      <c r="A6674" s="8" t="s">
        <v>125</v>
      </c>
      <c r="B6674" s="8" t="s">
        <v>130</v>
      </c>
      <c r="C6674" s="8" t="str">
        <f>IFERROR(_xlfn.XLOOKUP(TRIM(B6674),Lookup!$B$2:$B$1000,Lookup!$C$2:$C$1000),"")</f>
        <v>Equity</v>
      </c>
      <c r="D6674" s="8" t="str">
        <f>IFERROR(INDEX('nav master'!$C:$C, MATCH(B6674, 'nav master'!$B:$B, 0)), "")</f>
        <v>ULIF03501/01/10BlueChipFd101</v>
      </c>
      <c r="E6674" s="8" t="s">
        <v>427</v>
      </c>
      <c r="F6674" s="8" t="s">
        <v>1875</v>
      </c>
    </row>
    <row r="6675" spans="1:6" ht="60" x14ac:dyDescent="0.25">
      <c r="A6675" s="8" t="s">
        <v>125</v>
      </c>
      <c r="B6675" s="8" t="s">
        <v>130</v>
      </c>
      <c r="C6675" s="8" t="str">
        <f>IFERROR(_xlfn.XLOOKUP(TRIM(B6675),Lookup!$B$2:$B$1000,Lookup!$C$2:$C$1000),"")</f>
        <v>Equity</v>
      </c>
      <c r="D6675" s="8" t="str">
        <f>IFERROR(INDEX('nav master'!$C:$C, MATCH(B6675, 'nav master'!$B:$B, 0)), "")</f>
        <v>ULIF03501/01/10BlueChipFd101</v>
      </c>
      <c r="E6675" s="8" t="s">
        <v>429</v>
      </c>
      <c r="F6675" s="8" t="s">
        <v>1876</v>
      </c>
    </row>
    <row r="6676" spans="1:6" ht="60" x14ac:dyDescent="0.25">
      <c r="A6676" s="8" t="s">
        <v>125</v>
      </c>
      <c r="B6676" s="8" t="s">
        <v>130</v>
      </c>
      <c r="C6676" s="8" t="str">
        <f>IFERROR(_xlfn.XLOOKUP(TRIM(B6676),Lookup!$B$2:$B$1000,Lookup!$C$2:$C$1000),"")</f>
        <v>Equity</v>
      </c>
      <c r="D6676" s="8" t="str">
        <f>IFERROR(INDEX('nav master'!$C:$C, MATCH(B6676, 'nav master'!$B:$B, 0)), "")</f>
        <v>ULIF03501/01/10BlueChipFd101</v>
      </c>
      <c r="E6676" s="8" t="s">
        <v>431</v>
      </c>
      <c r="F6676" s="8" t="s">
        <v>1877</v>
      </c>
    </row>
    <row r="6677" spans="1:6" ht="60" x14ac:dyDescent="0.25">
      <c r="A6677" s="8" t="s">
        <v>125</v>
      </c>
      <c r="B6677" s="8" t="s">
        <v>130</v>
      </c>
      <c r="C6677" s="8" t="str">
        <f>IFERROR(_xlfn.XLOOKUP(TRIM(B6677),Lookup!$B$2:$B$1000,Lookup!$C$2:$C$1000),"")</f>
        <v>Equity</v>
      </c>
      <c r="D6677" s="8" t="str">
        <f>IFERROR(INDEX('nav master'!$C:$C, MATCH(B6677, 'nav master'!$B:$B, 0)), "")</f>
        <v>ULIF03501/01/10BlueChipFd101</v>
      </c>
      <c r="E6677" s="8" t="s">
        <v>433</v>
      </c>
      <c r="F6677" s="8" t="s">
        <v>1878</v>
      </c>
    </row>
    <row r="6678" spans="1:6" ht="60" x14ac:dyDescent="0.25">
      <c r="A6678" s="8" t="s">
        <v>125</v>
      </c>
      <c r="B6678" s="8" t="s">
        <v>130</v>
      </c>
      <c r="C6678" s="8" t="str">
        <f>IFERROR(_xlfn.XLOOKUP(TRIM(B6678),Lookup!$B$2:$B$1000,Lookup!$C$2:$C$1000),"")</f>
        <v>Equity</v>
      </c>
      <c r="D6678" s="8" t="str">
        <f>IFERROR(INDEX('nav master'!$C:$C, MATCH(B6678, 'nav master'!$B:$B, 0)), "")</f>
        <v>ULIF03501/01/10BlueChipFd101</v>
      </c>
      <c r="E6678" s="8" t="s">
        <v>435</v>
      </c>
      <c r="F6678" s="8" t="s">
        <v>1879</v>
      </c>
    </row>
    <row r="6679" spans="1:6" ht="60" x14ac:dyDescent="0.25">
      <c r="A6679" s="8" t="s">
        <v>125</v>
      </c>
      <c r="B6679" s="8" t="s">
        <v>130</v>
      </c>
      <c r="C6679" s="8" t="str">
        <f>IFERROR(_xlfn.XLOOKUP(TRIM(B6679),Lookup!$B$2:$B$1000,Lookup!$C$2:$C$1000),"")</f>
        <v>Equity</v>
      </c>
      <c r="D6679" s="8" t="str">
        <f>IFERROR(INDEX('nav master'!$C:$C, MATCH(B6679, 'nav master'!$B:$B, 0)), "")</f>
        <v>ULIF03501/01/10BlueChipFd101</v>
      </c>
      <c r="E6679" s="8" t="s">
        <v>437</v>
      </c>
      <c r="F6679" s="8" t="s">
        <v>1880</v>
      </c>
    </row>
    <row r="6680" spans="1:6" ht="60" x14ac:dyDescent="0.25">
      <c r="A6680" s="8" t="s">
        <v>125</v>
      </c>
      <c r="B6680" s="8" t="s">
        <v>130</v>
      </c>
      <c r="C6680" s="8" t="str">
        <f>IFERROR(_xlfn.XLOOKUP(TRIM(B6680),Lookup!$B$2:$B$1000,Lookup!$C$2:$C$1000),"")</f>
        <v>Equity</v>
      </c>
      <c r="D6680" s="8" t="str">
        <f>IFERROR(INDEX('nav master'!$C:$C, MATCH(B6680, 'nav master'!$B:$B, 0)), "")</f>
        <v>ULIF03501/01/10BlueChipFd101</v>
      </c>
      <c r="E6680" s="8" t="s">
        <v>439</v>
      </c>
      <c r="F6680" s="8" t="s">
        <v>1881</v>
      </c>
    </row>
    <row r="6681" spans="1:6" ht="60" x14ac:dyDescent="0.25">
      <c r="A6681" s="8" t="s">
        <v>125</v>
      </c>
      <c r="B6681" s="8" t="s">
        <v>130</v>
      </c>
      <c r="C6681" s="8" t="str">
        <f>IFERROR(_xlfn.XLOOKUP(TRIM(B6681),Lookup!$B$2:$B$1000,Lookup!$C$2:$C$1000),"")</f>
        <v>Equity</v>
      </c>
      <c r="D6681" s="8" t="str">
        <f>IFERROR(INDEX('nav master'!$C:$C, MATCH(B6681, 'nav master'!$B:$B, 0)), "")</f>
        <v>ULIF03501/01/10BlueChipFd101</v>
      </c>
      <c r="E6681" s="8" t="s">
        <v>441</v>
      </c>
      <c r="F6681" s="8" t="s">
        <v>1882</v>
      </c>
    </row>
    <row r="6682" spans="1:6" ht="60" x14ac:dyDescent="0.25">
      <c r="A6682" s="8" t="s">
        <v>125</v>
      </c>
      <c r="B6682" s="8" t="s">
        <v>130</v>
      </c>
      <c r="C6682" s="8" t="str">
        <f>IFERROR(_xlfn.XLOOKUP(TRIM(B6682),Lookup!$B$2:$B$1000,Lookup!$C$2:$C$1000),"")</f>
        <v>Equity</v>
      </c>
      <c r="D6682" s="8" t="str">
        <f>IFERROR(INDEX('nav master'!$C:$C, MATCH(B6682, 'nav master'!$B:$B, 0)), "")</f>
        <v>ULIF03501/01/10BlueChipFd101</v>
      </c>
      <c r="E6682" s="8" t="s">
        <v>443</v>
      </c>
      <c r="F6682" s="8" t="s">
        <v>1883</v>
      </c>
    </row>
    <row r="6683" spans="1:6" ht="60" x14ac:dyDescent="0.25">
      <c r="A6683" s="8" t="s">
        <v>125</v>
      </c>
      <c r="B6683" s="8" t="s">
        <v>130</v>
      </c>
      <c r="C6683" s="8" t="str">
        <f>IFERROR(_xlfn.XLOOKUP(TRIM(B6683),Lookup!$B$2:$B$1000,Lookup!$C$2:$C$1000),"")</f>
        <v>Equity</v>
      </c>
      <c r="D6683" s="8" t="str">
        <f>IFERROR(INDEX('nav master'!$C:$C, MATCH(B6683, 'nav master'!$B:$B, 0)), "")</f>
        <v>ULIF03501/01/10BlueChipFd101</v>
      </c>
      <c r="E6683" s="8" t="s">
        <v>445</v>
      </c>
      <c r="F6683" s="8" t="s">
        <v>1884</v>
      </c>
    </row>
    <row r="6684" spans="1:6" ht="60" x14ac:dyDescent="0.25">
      <c r="A6684" s="8" t="s">
        <v>125</v>
      </c>
      <c r="B6684" s="8" t="s">
        <v>130</v>
      </c>
      <c r="C6684" s="8" t="str">
        <f>IFERROR(_xlfn.XLOOKUP(TRIM(B6684),Lookup!$B$2:$B$1000,Lookup!$C$2:$C$1000),"")</f>
        <v>Equity</v>
      </c>
      <c r="D6684" s="8" t="str">
        <f>IFERROR(INDEX('nav master'!$C:$C, MATCH(B6684, 'nav master'!$B:$B, 0)), "")</f>
        <v>ULIF03501/01/10BlueChipFd101</v>
      </c>
      <c r="E6684" s="8" t="s">
        <v>446</v>
      </c>
      <c r="F6684" s="8" t="s">
        <v>1885</v>
      </c>
    </row>
    <row r="6685" spans="1:6" ht="60" x14ac:dyDescent="0.25">
      <c r="A6685" s="8" t="s">
        <v>125</v>
      </c>
      <c r="B6685" s="8" t="s">
        <v>130</v>
      </c>
      <c r="C6685" s="8" t="str">
        <f>IFERROR(_xlfn.XLOOKUP(TRIM(B6685),Lookup!$B$2:$B$1000,Lookup!$C$2:$C$1000),"")</f>
        <v>Equity</v>
      </c>
      <c r="D6685" s="8" t="str">
        <f>IFERROR(INDEX('nav master'!$C:$C, MATCH(B6685, 'nav master'!$B:$B, 0)), "")</f>
        <v>ULIF03501/01/10BlueChipFd101</v>
      </c>
      <c r="E6685" s="8" t="s">
        <v>448</v>
      </c>
      <c r="F6685" s="8" t="s">
        <v>1886</v>
      </c>
    </row>
    <row r="6686" spans="1:6" ht="60" x14ac:dyDescent="0.25">
      <c r="A6686" s="8" t="s">
        <v>125</v>
      </c>
      <c r="B6686" s="8" t="s">
        <v>130</v>
      </c>
      <c r="C6686" s="8" t="str">
        <f>IFERROR(_xlfn.XLOOKUP(TRIM(B6686),Lookup!$B$2:$B$1000,Lookup!$C$2:$C$1000),"")</f>
        <v>Equity</v>
      </c>
      <c r="D6686" s="8" t="str">
        <f>IFERROR(INDEX('nav master'!$C:$C, MATCH(B6686, 'nav master'!$B:$B, 0)), "")</f>
        <v>ULIF03501/01/10BlueChipFd101</v>
      </c>
      <c r="E6686" s="8" t="s">
        <v>450</v>
      </c>
      <c r="F6686" s="8" t="s">
        <v>1887</v>
      </c>
    </row>
    <row r="6687" spans="1:6" ht="60" x14ac:dyDescent="0.25">
      <c r="A6687" s="8" t="s">
        <v>125</v>
      </c>
      <c r="B6687" s="8" t="s">
        <v>130</v>
      </c>
      <c r="C6687" s="8" t="str">
        <f>IFERROR(_xlfn.XLOOKUP(TRIM(B6687),Lookup!$B$2:$B$1000,Lookup!$C$2:$C$1000),"")</f>
        <v>Equity</v>
      </c>
      <c r="D6687" s="8" t="str">
        <f>IFERROR(INDEX('nav master'!$C:$C, MATCH(B6687, 'nav master'!$B:$B, 0)), "")</f>
        <v>ULIF03501/01/10BlueChipFd101</v>
      </c>
      <c r="E6687" s="8" t="s">
        <v>452</v>
      </c>
      <c r="F6687" s="8" t="s">
        <v>1888</v>
      </c>
    </row>
    <row r="6688" spans="1:6" ht="60" x14ac:dyDescent="0.25">
      <c r="A6688" s="8" t="s">
        <v>125</v>
      </c>
      <c r="B6688" s="8" t="s">
        <v>130</v>
      </c>
      <c r="C6688" s="8" t="str">
        <f>IFERROR(_xlfn.XLOOKUP(TRIM(B6688),Lookup!$B$2:$B$1000,Lookup!$C$2:$C$1000),"")</f>
        <v>Equity</v>
      </c>
      <c r="D6688" s="8" t="str">
        <f>IFERROR(INDEX('nav master'!$C:$C, MATCH(B6688, 'nav master'!$B:$B, 0)), "")</f>
        <v>ULIF03501/01/10BlueChipFd101</v>
      </c>
      <c r="E6688" s="8" t="s">
        <v>454</v>
      </c>
      <c r="F6688" s="8" t="s">
        <v>1889</v>
      </c>
    </row>
    <row r="6689" spans="1:6" ht="60" x14ac:dyDescent="0.25">
      <c r="A6689" s="8" t="s">
        <v>125</v>
      </c>
      <c r="B6689" s="8" t="s">
        <v>130</v>
      </c>
      <c r="C6689" s="8" t="str">
        <f>IFERROR(_xlfn.XLOOKUP(TRIM(B6689),Lookup!$B$2:$B$1000,Lookup!$C$2:$C$1000),"")</f>
        <v>Equity</v>
      </c>
      <c r="D6689" s="8" t="str">
        <f>IFERROR(INDEX('nav master'!$C:$C, MATCH(B6689, 'nav master'!$B:$B, 0)), "")</f>
        <v>ULIF03501/01/10BlueChipFd101</v>
      </c>
      <c r="E6689" s="8" t="s">
        <v>456</v>
      </c>
      <c r="F6689" s="8" t="s">
        <v>1890</v>
      </c>
    </row>
    <row r="6690" spans="1:6" ht="60" x14ac:dyDescent="0.25">
      <c r="A6690" s="8" t="s">
        <v>125</v>
      </c>
      <c r="B6690" s="8" t="s">
        <v>130</v>
      </c>
      <c r="C6690" s="8" t="str">
        <f>IFERROR(_xlfn.XLOOKUP(TRIM(B6690),Lookup!$B$2:$B$1000,Lookup!$C$2:$C$1000),"")</f>
        <v>Equity</v>
      </c>
      <c r="D6690" s="8" t="str">
        <f>IFERROR(INDEX('nav master'!$C:$C, MATCH(B6690, 'nav master'!$B:$B, 0)), "")</f>
        <v>ULIF03501/01/10BlueChipFd101</v>
      </c>
      <c r="E6690" s="8" t="s">
        <v>458</v>
      </c>
      <c r="F6690" s="8" t="s">
        <v>1891</v>
      </c>
    </row>
    <row r="6691" spans="1:6" ht="60" x14ac:dyDescent="0.25">
      <c r="A6691" s="8" t="s">
        <v>125</v>
      </c>
      <c r="B6691" s="8" t="s">
        <v>130</v>
      </c>
      <c r="C6691" s="8" t="str">
        <f>IFERROR(_xlfn.XLOOKUP(TRIM(B6691),Lookup!$B$2:$B$1000,Lookup!$C$2:$C$1000),"")</f>
        <v>Equity</v>
      </c>
      <c r="D6691" s="8" t="str">
        <f>IFERROR(INDEX('nav master'!$C:$C, MATCH(B6691, 'nav master'!$B:$B, 0)), "")</f>
        <v>ULIF03501/01/10BlueChipFd101</v>
      </c>
      <c r="E6691" s="8" t="s">
        <v>460</v>
      </c>
      <c r="F6691" s="8" t="s">
        <v>1892</v>
      </c>
    </row>
    <row r="6692" spans="1:6" ht="60" x14ac:dyDescent="0.25">
      <c r="A6692" s="8" t="s">
        <v>125</v>
      </c>
      <c r="B6692" s="8" t="s">
        <v>130</v>
      </c>
      <c r="C6692" s="8" t="str">
        <f>IFERROR(_xlfn.XLOOKUP(TRIM(B6692),Lookup!$B$2:$B$1000,Lookup!$C$2:$C$1000),"")</f>
        <v>Equity</v>
      </c>
      <c r="D6692" s="8" t="str">
        <f>IFERROR(INDEX('nav master'!$C:$C, MATCH(B6692, 'nav master'!$B:$B, 0)), "")</f>
        <v>ULIF03501/01/10BlueChipFd101</v>
      </c>
      <c r="E6692" s="8" t="s">
        <v>462</v>
      </c>
      <c r="F6692" s="8" t="s">
        <v>1893</v>
      </c>
    </row>
    <row r="6693" spans="1:6" ht="60" x14ac:dyDescent="0.25">
      <c r="A6693" s="8" t="s">
        <v>125</v>
      </c>
      <c r="B6693" s="8" t="s">
        <v>130</v>
      </c>
      <c r="C6693" s="8" t="str">
        <f>IFERROR(_xlfn.XLOOKUP(TRIM(B6693),Lookup!$B$2:$B$1000,Lookup!$C$2:$C$1000),"")</f>
        <v>Equity</v>
      </c>
      <c r="D6693" s="8" t="str">
        <f>IFERROR(INDEX('nav master'!$C:$C, MATCH(B6693, 'nav master'!$B:$B, 0)), "")</f>
        <v>ULIF03501/01/10BlueChipFd101</v>
      </c>
      <c r="E6693" s="8" t="s">
        <v>464</v>
      </c>
      <c r="F6693" s="8" t="s">
        <v>1894</v>
      </c>
    </row>
    <row r="6694" spans="1:6" ht="60" x14ac:dyDescent="0.25">
      <c r="A6694" s="8" t="s">
        <v>125</v>
      </c>
      <c r="B6694" s="8" t="s">
        <v>130</v>
      </c>
      <c r="C6694" s="8" t="str">
        <f>IFERROR(_xlfn.XLOOKUP(TRIM(B6694),Lookup!$B$2:$B$1000,Lookup!$C$2:$C$1000),"")</f>
        <v>Equity</v>
      </c>
      <c r="D6694" s="8" t="str">
        <f>IFERROR(INDEX('nav master'!$C:$C, MATCH(B6694, 'nav master'!$B:$B, 0)), "")</f>
        <v>ULIF03501/01/10BlueChipFd101</v>
      </c>
      <c r="E6694" s="8" t="s">
        <v>466</v>
      </c>
      <c r="F6694" s="8" t="s">
        <v>1895</v>
      </c>
    </row>
    <row r="6695" spans="1:6" ht="60" x14ac:dyDescent="0.25">
      <c r="A6695" s="8" t="s">
        <v>125</v>
      </c>
      <c r="B6695" s="8" t="s">
        <v>130</v>
      </c>
      <c r="C6695" s="8" t="str">
        <f>IFERROR(_xlfn.XLOOKUP(TRIM(B6695),Lookup!$B$2:$B$1000,Lookup!$C$2:$C$1000),"")</f>
        <v>Equity</v>
      </c>
      <c r="D6695" s="8" t="str">
        <f>IFERROR(INDEX('nav master'!$C:$C, MATCH(B6695, 'nav master'!$B:$B, 0)), "")</f>
        <v>ULIF03501/01/10BlueChipFd101</v>
      </c>
      <c r="E6695" s="8" t="s">
        <v>468</v>
      </c>
      <c r="F6695" s="8" t="s">
        <v>1896</v>
      </c>
    </row>
    <row r="6696" spans="1:6" ht="60" x14ac:dyDescent="0.25">
      <c r="A6696" s="8" t="s">
        <v>125</v>
      </c>
      <c r="B6696" s="8" t="s">
        <v>130</v>
      </c>
      <c r="C6696" s="8" t="str">
        <f>IFERROR(_xlfn.XLOOKUP(TRIM(B6696),Lookup!$B$2:$B$1000,Lookup!$C$2:$C$1000),"")</f>
        <v>Equity</v>
      </c>
      <c r="D6696" s="8" t="str">
        <f>IFERROR(INDEX('nav master'!$C:$C, MATCH(B6696, 'nav master'!$B:$B, 0)), "")</f>
        <v>ULIF03501/01/10BlueChipFd101</v>
      </c>
      <c r="E6696" s="8" t="s">
        <v>470</v>
      </c>
      <c r="F6696" s="8" t="s">
        <v>1897</v>
      </c>
    </row>
    <row r="6697" spans="1:6" ht="60" x14ac:dyDescent="0.25">
      <c r="A6697" s="8" t="s">
        <v>125</v>
      </c>
      <c r="B6697" s="8" t="s">
        <v>130</v>
      </c>
      <c r="C6697" s="8" t="str">
        <f>IFERROR(_xlfn.XLOOKUP(TRIM(B6697),Lookup!$B$2:$B$1000,Lookup!$C$2:$C$1000),"")</f>
        <v>Equity</v>
      </c>
      <c r="D6697" s="8" t="str">
        <f>IFERROR(INDEX('nav master'!$C:$C, MATCH(B6697, 'nav master'!$B:$B, 0)), "")</f>
        <v>ULIF03501/01/10BlueChipFd101</v>
      </c>
      <c r="E6697" s="8" t="s">
        <v>472</v>
      </c>
      <c r="F6697" s="8" t="s">
        <v>1898</v>
      </c>
    </row>
    <row r="6698" spans="1:6" ht="60" x14ac:dyDescent="0.25">
      <c r="A6698" s="8" t="s">
        <v>125</v>
      </c>
      <c r="B6698" s="8" t="s">
        <v>130</v>
      </c>
      <c r="C6698" s="8" t="str">
        <f>IFERROR(_xlfn.XLOOKUP(TRIM(B6698),Lookup!$B$2:$B$1000,Lookup!$C$2:$C$1000),"")</f>
        <v>Equity</v>
      </c>
      <c r="D6698" s="8" t="str">
        <f>IFERROR(INDEX('nav master'!$C:$C, MATCH(B6698, 'nav master'!$B:$B, 0)), "")</f>
        <v>ULIF03501/01/10BlueChipFd101</v>
      </c>
      <c r="E6698" s="8" t="s">
        <v>474</v>
      </c>
      <c r="F6698" s="8" t="s">
        <v>1899</v>
      </c>
    </row>
    <row r="6699" spans="1:6" ht="60" x14ac:dyDescent="0.25">
      <c r="A6699" s="8" t="s">
        <v>125</v>
      </c>
      <c r="B6699" s="8" t="s">
        <v>130</v>
      </c>
      <c r="C6699" s="8" t="str">
        <f>IFERROR(_xlfn.XLOOKUP(TRIM(B6699),Lookup!$B$2:$B$1000,Lookup!$C$2:$C$1000),"")</f>
        <v>Equity</v>
      </c>
      <c r="D6699" s="8" t="str">
        <f>IFERROR(INDEX('nav master'!$C:$C, MATCH(B6699, 'nav master'!$B:$B, 0)), "")</f>
        <v>ULIF03501/01/10BlueChipFd101</v>
      </c>
      <c r="E6699" s="8" t="s">
        <v>476</v>
      </c>
      <c r="F6699" s="8" t="s">
        <v>1900</v>
      </c>
    </row>
    <row r="6700" spans="1:6" ht="60" x14ac:dyDescent="0.25">
      <c r="A6700" s="8" t="s">
        <v>125</v>
      </c>
      <c r="B6700" s="8" t="s">
        <v>130</v>
      </c>
      <c r="C6700" s="8" t="str">
        <f>IFERROR(_xlfn.XLOOKUP(TRIM(B6700),Lookup!$B$2:$B$1000,Lookup!$C$2:$C$1000),"")</f>
        <v>Equity</v>
      </c>
      <c r="D6700" s="8" t="str">
        <f>IFERROR(INDEX('nav master'!$C:$C, MATCH(B6700, 'nav master'!$B:$B, 0)), "")</f>
        <v>ULIF03501/01/10BlueChipFd101</v>
      </c>
      <c r="E6700" s="8" t="s">
        <v>478</v>
      </c>
      <c r="F6700" s="8" t="s">
        <v>1901</v>
      </c>
    </row>
    <row r="6701" spans="1:6" ht="60" x14ac:dyDescent="0.25">
      <c r="A6701" s="8" t="s">
        <v>125</v>
      </c>
      <c r="B6701" s="8" t="s">
        <v>130</v>
      </c>
      <c r="C6701" s="8" t="str">
        <f>IFERROR(_xlfn.XLOOKUP(TRIM(B6701),Lookup!$B$2:$B$1000,Lookup!$C$2:$C$1000),"")</f>
        <v>Equity</v>
      </c>
      <c r="D6701" s="8" t="str">
        <f>IFERROR(INDEX('nav master'!$C:$C, MATCH(B6701, 'nav master'!$B:$B, 0)), "")</f>
        <v>ULIF03501/01/10BlueChipFd101</v>
      </c>
      <c r="E6701" s="8" t="s">
        <v>480</v>
      </c>
      <c r="F6701" s="8" t="s">
        <v>1902</v>
      </c>
    </row>
    <row r="6702" spans="1:6" ht="60" x14ac:dyDescent="0.25">
      <c r="A6702" s="8" t="s">
        <v>125</v>
      </c>
      <c r="B6702" s="8" t="s">
        <v>130</v>
      </c>
      <c r="C6702" s="8" t="str">
        <f>IFERROR(_xlfn.XLOOKUP(TRIM(B6702),Lookup!$B$2:$B$1000,Lookup!$C$2:$C$1000),"")</f>
        <v>Equity</v>
      </c>
      <c r="D6702" s="8" t="str">
        <f>IFERROR(INDEX('nav master'!$C:$C, MATCH(B6702, 'nav master'!$B:$B, 0)), "")</f>
        <v>ULIF03501/01/10BlueChipFd101</v>
      </c>
      <c r="E6702" s="8" t="s">
        <v>482</v>
      </c>
      <c r="F6702" s="8" t="s">
        <v>1903</v>
      </c>
    </row>
    <row r="6703" spans="1:6" ht="60" x14ac:dyDescent="0.25">
      <c r="A6703" s="8" t="s">
        <v>125</v>
      </c>
      <c r="B6703" s="8" t="s">
        <v>130</v>
      </c>
      <c r="C6703" s="8" t="str">
        <f>IFERROR(_xlfn.XLOOKUP(TRIM(B6703),Lookup!$B$2:$B$1000,Lookup!$C$2:$C$1000),"")</f>
        <v>Equity</v>
      </c>
      <c r="D6703" s="8" t="str">
        <f>IFERROR(INDEX('nav master'!$C:$C, MATCH(B6703, 'nav master'!$B:$B, 0)), "")</f>
        <v>ULIF03501/01/10BlueChipFd101</v>
      </c>
      <c r="E6703" s="8" t="s">
        <v>484</v>
      </c>
      <c r="F6703" s="8" t="s">
        <v>1904</v>
      </c>
    </row>
    <row r="6704" spans="1:6" ht="60" x14ac:dyDescent="0.25">
      <c r="A6704" s="8" t="s">
        <v>125</v>
      </c>
      <c r="B6704" s="8" t="s">
        <v>130</v>
      </c>
      <c r="C6704" s="8" t="str">
        <f>IFERROR(_xlfn.XLOOKUP(TRIM(B6704),Lookup!$B$2:$B$1000,Lookup!$C$2:$C$1000),"")</f>
        <v>Equity</v>
      </c>
      <c r="D6704" s="8" t="str">
        <f>IFERROR(INDEX('nav master'!$C:$C, MATCH(B6704, 'nav master'!$B:$B, 0)), "")</f>
        <v>ULIF03501/01/10BlueChipFd101</v>
      </c>
      <c r="E6704" s="8" t="s">
        <v>486</v>
      </c>
      <c r="F6704" s="8" t="s">
        <v>1905</v>
      </c>
    </row>
    <row r="6705" spans="1:6" ht="60" x14ac:dyDescent="0.25">
      <c r="A6705" s="8" t="s">
        <v>125</v>
      </c>
      <c r="B6705" s="8" t="s">
        <v>130</v>
      </c>
      <c r="C6705" s="8" t="str">
        <f>IFERROR(_xlfn.XLOOKUP(TRIM(B6705),Lookup!$B$2:$B$1000,Lookup!$C$2:$C$1000),"")</f>
        <v>Equity</v>
      </c>
      <c r="D6705" s="8" t="str">
        <f>IFERROR(INDEX('nav master'!$C:$C, MATCH(B6705, 'nav master'!$B:$B, 0)), "")</f>
        <v>ULIF03501/01/10BlueChipFd101</v>
      </c>
      <c r="E6705" s="8" t="s">
        <v>488</v>
      </c>
      <c r="F6705" s="8" t="s">
        <v>1906</v>
      </c>
    </row>
    <row r="6706" spans="1:6" ht="60" x14ac:dyDescent="0.25">
      <c r="A6706" s="8" t="s">
        <v>125</v>
      </c>
      <c r="B6706" s="8" t="s">
        <v>130</v>
      </c>
      <c r="C6706" s="8" t="str">
        <f>IFERROR(_xlfn.XLOOKUP(TRIM(B6706),Lookup!$B$2:$B$1000,Lookup!$C$2:$C$1000),"")</f>
        <v>Equity</v>
      </c>
      <c r="D6706" s="8" t="str">
        <f>IFERROR(INDEX('nav master'!$C:$C, MATCH(B6706, 'nav master'!$B:$B, 0)), "")</f>
        <v>ULIF03501/01/10BlueChipFd101</v>
      </c>
      <c r="E6706" s="8" t="s">
        <v>490</v>
      </c>
      <c r="F6706" s="8" t="s">
        <v>1907</v>
      </c>
    </row>
    <row r="6707" spans="1:6" ht="60" x14ac:dyDescent="0.25">
      <c r="A6707" s="8" t="s">
        <v>125</v>
      </c>
      <c r="B6707" s="8" t="s">
        <v>130</v>
      </c>
      <c r="C6707" s="8" t="str">
        <f>IFERROR(_xlfn.XLOOKUP(TRIM(B6707),Lookup!$B$2:$B$1000,Lookup!$C$2:$C$1000),"")</f>
        <v>Equity</v>
      </c>
      <c r="D6707" s="8" t="str">
        <f>IFERROR(INDEX('nav master'!$C:$C, MATCH(B6707, 'nav master'!$B:$B, 0)), "")</f>
        <v>ULIF03501/01/10BlueChipFd101</v>
      </c>
      <c r="E6707" s="8" t="s">
        <v>492</v>
      </c>
      <c r="F6707" s="8" t="s">
        <v>1908</v>
      </c>
    </row>
    <row r="6708" spans="1:6" ht="60" x14ac:dyDescent="0.25">
      <c r="A6708" s="8" t="s">
        <v>125</v>
      </c>
      <c r="B6708" s="8" t="s">
        <v>130</v>
      </c>
      <c r="C6708" s="8" t="str">
        <f>IFERROR(_xlfn.XLOOKUP(TRIM(B6708),Lookup!$B$2:$B$1000,Lookup!$C$2:$C$1000),"")</f>
        <v>Equity</v>
      </c>
      <c r="D6708" s="8" t="str">
        <f>IFERROR(INDEX('nav master'!$C:$C, MATCH(B6708, 'nav master'!$B:$B, 0)), "")</f>
        <v>ULIF03501/01/10BlueChipFd101</v>
      </c>
      <c r="E6708" s="8" t="s">
        <v>494</v>
      </c>
      <c r="F6708" s="8" t="s">
        <v>1909</v>
      </c>
    </row>
    <row r="6709" spans="1:6" ht="60" x14ac:dyDescent="0.25">
      <c r="A6709" s="8" t="s">
        <v>125</v>
      </c>
      <c r="B6709" s="8" t="s">
        <v>130</v>
      </c>
      <c r="C6709" s="8" t="str">
        <f>IFERROR(_xlfn.XLOOKUP(TRIM(B6709),Lookup!$B$2:$B$1000,Lookup!$C$2:$C$1000),"")</f>
        <v>Equity</v>
      </c>
      <c r="D6709" s="8" t="str">
        <f>IFERROR(INDEX('nav master'!$C:$C, MATCH(B6709, 'nav master'!$B:$B, 0)), "")</f>
        <v>ULIF03501/01/10BlueChipFd101</v>
      </c>
      <c r="E6709" s="8" t="s">
        <v>496</v>
      </c>
      <c r="F6709" s="8" t="s">
        <v>1910</v>
      </c>
    </row>
    <row r="6710" spans="1:6" ht="60" x14ac:dyDescent="0.25">
      <c r="A6710" s="8" t="s">
        <v>125</v>
      </c>
      <c r="B6710" s="8" t="s">
        <v>130</v>
      </c>
      <c r="C6710" s="8" t="str">
        <f>IFERROR(_xlfn.XLOOKUP(TRIM(B6710),Lookup!$B$2:$B$1000,Lookup!$C$2:$C$1000),"")</f>
        <v>Equity</v>
      </c>
      <c r="D6710" s="8" t="str">
        <f>IFERROR(INDEX('nav master'!$C:$C, MATCH(B6710, 'nav master'!$B:$B, 0)), "")</f>
        <v>ULIF03501/01/10BlueChipFd101</v>
      </c>
      <c r="E6710" s="8" t="s">
        <v>498</v>
      </c>
      <c r="F6710" s="8" t="s">
        <v>1911</v>
      </c>
    </row>
    <row r="6711" spans="1:6" ht="60" x14ac:dyDescent="0.25">
      <c r="A6711" s="8" t="s">
        <v>125</v>
      </c>
      <c r="B6711" s="8" t="s">
        <v>130</v>
      </c>
      <c r="C6711" s="8" t="str">
        <f>IFERROR(_xlfn.XLOOKUP(TRIM(B6711),Lookup!$B$2:$B$1000,Lookup!$C$2:$C$1000),"")</f>
        <v>Equity</v>
      </c>
      <c r="D6711" s="8" t="str">
        <f>IFERROR(INDEX('nav master'!$C:$C, MATCH(B6711, 'nav master'!$B:$B, 0)), "")</f>
        <v>ULIF03501/01/10BlueChipFd101</v>
      </c>
      <c r="E6711" s="8" t="s">
        <v>500</v>
      </c>
      <c r="F6711" s="8" t="s">
        <v>1912</v>
      </c>
    </row>
    <row r="6712" spans="1:6" ht="60" x14ac:dyDescent="0.25">
      <c r="A6712" s="8" t="s">
        <v>125</v>
      </c>
      <c r="B6712" s="8" t="s">
        <v>130</v>
      </c>
      <c r="C6712" s="8" t="str">
        <f>IFERROR(_xlfn.XLOOKUP(TRIM(B6712),Lookup!$B$2:$B$1000,Lookup!$C$2:$C$1000),"")</f>
        <v>Equity</v>
      </c>
      <c r="D6712" s="8" t="str">
        <f>IFERROR(INDEX('nav master'!$C:$C, MATCH(B6712, 'nav master'!$B:$B, 0)), "")</f>
        <v>ULIF03501/01/10BlueChipFd101</v>
      </c>
      <c r="E6712" s="8" t="s">
        <v>502</v>
      </c>
      <c r="F6712" s="8" t="s">
        <v>1913</v>
      </c>
    </row>
    <row r="6713" spans="1:6" ht="60" x14ac:dyDescent="0.25">
      <c r="A6713" s="8" t="s">
        <v>125</v>
      </c>
      <c r="B6713" s="8" t="s">
        <v>130</v>
      </c>
      <c r="C6713" s="8" t="str">
        <f>IFERROR(_xlfn.XLOOKUP(TRIM(B6713),Lookup!$B$2:$B$1000,Lookup!$C$2:$C$1000),"")</f>
        <v>Equity</v>
      </c>
      <c r="D6713" s="8" t="str">
        <f>IFERROR(INDEX('nav master'!$C:$C, MATCH(B6713, 'nav master'!$B:$B, 0)), "")</f>
        <v>ULIF03501/01/10BlueChipFd101</v>
      </c>
      <c r="E6713" s="8" t="s">
        <v>504</v>
      </c>
      <c r="F6713" s="8" t="s">
        <v>1914</v>
      </c>
    </row>
    <row r="6714" spans="1:6" ht="60" x14ac:dyDescent="0.25">
      <c r="A6714" s="8" t="s">
        <v>125</v>
      </c>
      <c r="B6714" s="8" t="s">
        <v>130</v>
      </c>
      <c r="C6714" s="8" t="str">
        <f>IFERROR(_xlfn.XLOOKUP(TRIM(B6714),Lookup!$B$2:$B$1000,Lookup!$C$2:$C$1000),"")</f>
        <v>Equity</v>
      </c>
      <c r="D6714" s="8" t="str">
        <f>IFERROR(INDEX('nav master'!$C:$C, MATCH(B6714, 'nav master'!$B:$B, 0)), "")</f>
        <v>ULIF03501/01/10BlueChipFd101</v>
      </c>
      <c r="E6714" s="8" t="s">
        <v>506</v>
      </c>
      <c r="F6714" s="8" t="s">
        <v>1915</v>
      </c>
    </row>
    <row r="6715" spans="1:6" ht="60" x14ac:dyDescent="0.25">
      <c r="A6715" s="8" t="s">
        <v>125</v>
      </c>
      <c r="B6715" s="8" t="s">
        <v>130</v>
      </c>
      <c r="C6715" s="8" t="str">
        <f>IFERROR(_xlfn.XLOOKUP(TRIM(B6715),Lookup!$B$2:$B$1000,Lookup!$C$2:$C$1000),"")</f>
        <v>Equity</v>
      </c>
      <c r="D6715" s="8" t="str">
        <f>IFERROR(INDEX('nav master'!$C:$C, MATCH(B6715, 'nav master'!$B:$B, 0)), "")</f>
        <v>ULIF03501/01/10BlueChipFd101</v>
      </c>
      <c r="E6715" s="8" t="s">
        <v>508</v>
      </c>
      <c r="F6715" s="8" t="s">
        <v>1916</v>
      </c>
    </row>
    <row r="6716" spans="1:6" ht="60" x14ac:dyDescent="0.25">
      <c r="A6716" s="8" t="s">
        <v>125</v>
      </c>
      <c r="B6716" s="8" t="s">
        <v>130</v>
      </c>
      <c r="C6716" s="8" t="str">
        <f>IFERROR(_xlfn.XLOOKUP(TRIM(B6716),Lookup!$B$2:$B$1000,Lookup!$C$2:$C$1000),"")</f>
        <v>Equity</v>
      </c>
      <c r="D6716" s="8" t="str">
        <f>IFERROR(INDEX('nav master'!$C:$C, MATCH(B6716, 'nav master'!$B:$B, 0)), "")</f>
        <v>ULIF03501/01/10BlueChipFd101</v>
      </c>
      <c r="E6716" s="8" t="s">
        <v>510</v>
      </c>
      <c r="F6716" s="8" t="s">
        <v>1917</v>
      </c>
    </row>
    <row r="6717" spans="1:6" ht="60" x14ac:dyDescent="0.25">
      <c r="A6717" s="8" t="s">
        <v>125</v>
      </c>
      <c r="B6717" s="8" t="s">
        <v>130</v>
      </c>
      <c r="C6717" s="8" t="str">
        <f>IFERROR(_xlfn.XLOOKUP(TRIM(B6717),Lookup!$B$2:$B$1000,Lookup!$C$2:$C$1000),"")</f>
        <v>Equity</v>
      </c>
      <c r="D6717" s="8" t="str">
        <f>IFERROR(INDEX('nav master'!$C:$C, MATCH(B6717, 'nav master'!$B:$B, 0)), "")</f>
        <v>ULIF03501/01/10BlueChipFd101</v>
      </c>
      <c r="E6717" s="8" t="s">
        <v>512</v>
      </c>
      <c r="F6717" s="8" t="s">
        <v>1918</v>
      </c>
    </row>
    <row r="6718" spans="1:6" ht="60" x14ac:dyDescent="0.25">
      <c r="A6718" s="8" t="s">
        <v>125</v>
      </c>
      <c r="B6718" s="8" t="s">
        <v>130</v>
      </c>
      <c r="C6718" s="8" t="str">
        <f>IFERROR(_xlfn.XLOOKUP(TRIM(B6718),Lookup!$B$2:$B$1000,Lookup!$C$2:$C$1000),"")</f>
        <v>Equity</v>
      </c>
      <c r="D6718" s="8" t="str">
        <f>IFERROR(INDEX('nav master'!$C:$C, MATCH(B6718, 'nav master'!$B:$B, 0)), "")</f>
        <v>ULIF03501/01/10BlueChipFd101</v>
      </c>
      <c r="E6718" s="8" t="s">
        <v>514</v>
      </c>
      <c r="F6718" s="8" t="s">
        <v>1919</v>
      </c>
    </row>
    <row r="6719" spans="1:6" ht="60" x14ac:dyDescent="0.25">
      <c r="A6719" s="8" t="s">
        <v>125</v>
      </c>
      <c r="B6719" s="8" t="s">
        <v>130</v>
      </c>
      <c r="C6719" s="8" t="str">
        <f>IFERROR(_xlfn.XLOOKUP(TRIM(B6719),Lookup!$B$2:$B$1000,Lookup!$C$2:$C$1000),"")</f>
        <v>Equity</v>
      </c>
      <c r="D6719" s="8" t="str">
        <f>IFERROR(INDEX('nav master'!$C:$C, MATCH(B6719, 'nav master'!$B:$B, 0)), "")</f>
        <v>ULIF03501/01/10BlueChipFd101</v>
      </c>
      <c r="E6719" s="8" t="s">
        <v>516</v>
      </c>
      <c r="F6719" s="8" t="s">
        <v>1920</v>
      </c>
    </row>
    <row r="6720" spans="1:6" ht="60" x14ac:dyDescent="0.25">
      <c r="A6720" s="8" t="s">
        <v>125</v>
      </c>
      <c r="B6720" s="8" t="s">
        <v>130</v>
      </c>
      <c r="C6720" s="8" t="str">
        <f>IFERROR(_xlfn.XLOOKUP(TRIM(B6720),Lookup!$B$2:$B$1000,Lookup!$C$2:$C$1000),"")</f>
        <v>Equity</v>
      </c>
      <c r="D6720" s="8" t="str">
        <f>IFERROR(INDEX('nav master'!$C:$C, MATCH(B6720, 'nav master'!$B:$B, 0)), "")</f>
        <v>ULIF03501/01/10BlueChipFd101</v>
      </c>
      <c r="E6720" s="8" t="s">
        <v>518</v>
      </c>
      <c r="F6720" s="8" t="s">
        <v>1921</v>
      </c>
    </row>
    <row r="6721" spans="1:6" ht="60" x14ac:dyDescent="0.25">
      <c r="A6721" s="8" t="s">
        <v>125</v>
      </c>
      <c r="B6721" s="8" t="s">
        <v>130</v>
      </c>
      <c r="C6721" s="8" t="str">
        <f>IFERROR(_xlfn.XLOOKUP(TRIM(B6721),Lookup!$B$2:$B$1000,Lookup!$C$2:$C$1000),"")</f>
        <v>Equity</v>
      </c>
      <c r="D6721" s="8" t="str">
        <f>IFERROR(INDEX('nav master'!$C:$C, MATCH(B6721, 'nav master'!$B:$B, 0)), "")</f>
        <v>ULIF03501/01/10BlueChipFd101</v>
      </c>
      <c r="E6721" s="8" t="s">
        <v>520</v>
      </c>
      <c r="F6721" s="8" t="s">
        <v>1922</v>
      </c>
    </row>
    <row r="6722" spans="1:6" ht="60" x14ac:dyDescent="0.25">
      <c r="A6722" s="8" t="s">
        <v>125</v>
      </c>
      <c r="B6722" s="8" t="s">
        <v>130</v>
      </c>
      <c r="C6722" s="8" t="str">
        <f>IFERROR(_xlfn.XLOOKUP(TRIM(B6722),Lookup!$B$2:$B$1000,Lookup!$C$2:$C$1000),"")</f>
        <v>Equity</v>
      </c>
      <c r="D6722" s="8" t="str">
        <f>IFERROR(INDEX('nav master'!$C:$C, MATCH(B6722, 'nav master'!$B:$B, 0)), "")</f>
        <v>ULIF03501/01/10BlueChipFd101</v>
      </c>
      <c r="E6722" s="8" t="s">
        <v>522</v>
      </c>
      <c r="F6722" s="8" t="s">
        <v>1923</v>
      </c>
    </row>
    <row r="6723" spans="1:6" ht="60" x14ac:dyDescent="0.25">
      <c r="A6723" s="8" t="s">
        <v>125</v>
      </c>
      <c r="B6723" s="8" t="s">
        <v>130</v>
      </c>
      <c r="C6723" s="8" t="str">
        <f>IFERROR(_xlfn.XLOOKUP(TRIM(B6723),Lookup!$B$2:$B$1000,Lookup!$C$2:$C$1000),"")</f>
        <v>Equity</v>
      </c>
      <c r="D6723" s="8" t="str">
        <f>IFERROR(INDEX('nav master'!$C:$C, MATCH(B6723, 'nav master'!$B:$B, 0)), "")</f>
        <v>ULIF03501/01/10BlueChipFd101</v>
      </c>
      <c r="E6723" s="8" t="s">
        <v>524</v>
      </c>
      <c r="F6723" s="8" t="s">
        <v>1924</v>
      </c>
    </row>
    <row r="6724" spans="1:6" ht="60" x14ac:dyDescent="0.25">
      <c r="A6724" s="8" t="s">
        <v>125</v>
      </c>
      <c r="B6724" s="8" t="s">
        <v>130</v>
      </c>
      <c r="C6724" s="8" t="str">
        <f>IFERROR(_xlfn.XLOOKUP(TRIM(B6724),Lookup!$B$2:$B$1000,Lookup!$C$2:$C$1000),"")</f>
        <v>Equity</v>
      </c>
      <c r="D6724" s="8" t="str">
        <f>IFERROR(INDEX('nav master'!$C:$C, MATCH(B6724, 'nav master'!$B:$B, 0)), "")</f>
        <v>ULIF03501/01/10BlueChipFd101</v>
      </c>
      <c r="E6724" s="8" t="s">
        <v>526</v>
      </c>
      <c r="F6724" s="8" t="s">
        <v>1925</v>
      </c>
    </row>
    <row r="6725" spans="1:6" ht="60" x14ac:dyDescent="0.25">
      <c r="A6725" s="8" t="s">
        <v>125</v>
      </c>
      <c r="B6725" s="8" t="s">
        <v>130</v>
      </c>
      <c r="C6725" s="8" t="str">
        <f>IFERROR(_xlfn.XLOOKUP(TRIM(B6725),Lookup!$B$2:$B$1000,Lookup!$C$2:$C$1000),"")</f>
        <v>Equity</v>
      </c>
      <c r="D6725" s="8" t="str">
        <f>IFERROR(INDEX('nav master'!$C:$C, MATCH(B6725, 'nav master'!$B:$B, 0)), "")</f>
        <v>ULIF03501/01/10BlueChipFd101</v>
      </c>
      <c r="E6725" s="8" t="s">
        <v>528</v>
      </c>
      <c r="F6725" s="8" t="s">
        <v>1926</v>
      </c>
    </row>
    <row r="6726" spans="1:6" ht="60" x14ac:dyDescent="0.25">
      <c r="A6726" s="8" t="s">
        <v>125</v>
      </c>
      <c r="B6726" s="8" t="s">
        <v>130</v>
      </c>
      <c r="C6726" s="8" t="str">
        <f>IFERROR(_xlfn.XLOOKUP(TRIM(B6726),Lookup!$B$2:$B$1000,Lookup!$C$2:$C$1000),"")</f>
        <v>Equity</v>
      </c>
      <c r="D6726" s="8" t="str">
        <f>IFERROR(INDEX('nav master'!$C:$C, MATCH(B6726, 'nav master'!$B:$B, 0)), "")</f>
        <v>ULIF03501/01/10BlueChipFd101</v>
      </c>
      <c r="E6726" s="8" t="s">
        <v>530</v>
      </c>
      <c r="F6726" s="8" t="s">
        <v>1927</v>
      </c>
    </row>
    <row r="6727" spans="1:6" ht="60" x14ac:dyDescent="0.25">
      <c r="A6727" s="8" t="s">
        <v>125</v>
      </c>
      <c r="B6727" s="8" t="s">
        <v>130</v>
      </c>
      <c r="C6727" s="8" t="str">
        <f>IFERROR(_xlfn.XLOOKUP(TRIM(B6727),Lookup!$B$2:$B$1000,Lookup!$C$2:$C$1000),"")</f>
        <v>Equity</v>
      </c>
      <c r="D6727" s="8" t="str">
        <f>IFERROR(INDEX('nav master'!$C:$C, MATCH(B6727, 'nav master'!$B:$B, 0)), "")</f>
        <v>ULIF03501/01/10BlueChipFd101</v>
      </c>
      <c r="E6727" s="8" t="s">
        <v>532</v>
      </c>
      <c r="F6727" s="8" t="s">
        <v>1928</v>
      </c>
    </row>
    <row r="6728" spans="1:6" ht="60" x14ac:dyDescent="0.25">
      <c r="A6728" s="8" t="s">
        <v>125</v>
      </c>
      <c r="B6728" s="8" t="s">
        <v>130</v>
      </c>
      <c r="C6728" s="8" t="str">
        <f>IFERROR(_xlfn.XLOOKUP(TRIM(B6728),Lookup!$B$2:$B$1000,Lookup!$C$2:$C$1000),"")</f>
        <v>Equity</v>
      </c>
      <c r="D6728" s="8" t="str">
        <f>IFERROR(INDEX('nav master'!$C:$C, MATCH(B6728, 'nav master'!$B:$B, 0)), "")</f>
        <v>ULIF03501/01/10BlueChipFd101</v>
      </c>
      <c r="E6728" s="8" t="s">
        <v>534</v>
      </c>
      <c r="F6728" s="8" t="s">
        <v>1929</v>
      </c>
    </row>
    <row r="6729" spans="1:6" ht="60" x14ac:dyDescent="0.25">
      <c r="A6729" s="8" t="s">
        <v>125</v>
      </c>
      <c r="B6729" s="8" t="s">
        <v>130</v>
      </c>
      <c r="C6729" s="8" t="str">
        <f>IFERROR(_xlfn.XLOOKUP(TRIM(B6729),Lookup!$B$2:$B$1000,Lookup!$C$2:$C$1000),"")</f>
        <v>Equity</v>
      </c>
      <c r="D6729" s="8" t="str">
        <f>IFERROR(INDEX('nav master'!$C:$C, MATCH(B6729, 'nav master'!$B:$B, 0)), "")</f>
        <v>ULIF03501/01/10BlueChipFd101</v>
      </c>
      <c r="E6729" s="8" t="s">
        <v>536</v>
      </c>
      <c r="F6729" s="8" t="s">
        <v>1930</v>
      </c>
    </row>
    <row r="6730" spans="1:6" ht="60" x14ac:dyDescent="0.25">
      <c r="A6730" s="8" t="s">
        <v>125</v>
      </c>
      <c r="B6730" s="8" t="s">
        <v>130</v>
      </c>
      <c r="C6730" s="8" t="str">
        <f>IFERROR(_xlfn.XLOOKUP(TRIM(B6730),Lookup!$B$2:$B$1000,Lookup!$C$2:$C$1000),"")</f>
        <v>Equity</v>
      </c>
      <c r="D6730" s="8" t="str">
        <f>IFERROR(INDEX('nav master'!$C:$C, MATCH(B6730, 'nav master'!$B:$B, 0)), "")</f>
        <v>ULIF03501/01/10BlueChipFd101</v>
      </c>
      <c r="E6730" s="8" t="s">
        <v>538</v>
      </c>
      <c r="F6730" s="8" t="s">
        <v>1931</v>
      </c>
    </row>
    <row r="6731" spans="1:6" ht="60" x14ac:dyDescent="0.25">
      <c r="A6731" s="8" t="s">
        <v>125</v>
      </c>
      <c r="B6731" s="8" t="s">
        <v>130</v>
      </c>
      <c r="C6731" s="8" t="str">
        <f>IFERROR(_xlfn.XLOOKUP(TRIM(B6731),Lookup!$B$2:$B$1000,Lookup!$C$2:$C$1000),"")</f>
        <v>Equity</v>
      </c>
      <c r="D6731" s="8" t="str">
        <f>IFERROR(INDEX('nav master'!$C:$C, MATCH(B6731, 'nav master'!$B:$B, 0)), "")</f>
        <v>ULIF03501/01/10BlueChipFd101</v>
      </c>
      <c r="E6731" s="8" t="s">
        <v>540</v>
      </c>
      <c r="F6731" s="8" t="s">
        <v>1932</v>
      </c>
    </row>
    <row r="6732" spans="1:6" ht="60" x14ac:dyDescent="0.25">
      <c r="A6732" s="8" t="s">
        <v>125</v>
      </c>
      <c r="B6732" s="8" t="s">
        <v>130</v>
      </c>
      <c r="C6732" s="8" t="str">
        <f>IFERROR(_xlfn.XLOOKUP(TRIM(B6732),Lookup!$B$2:$B$1000,Lookup!$C$2:$C$1000),"")</f>
        <v>Equity</v>
      </c>
      <c r="D6732" s="8" t="str">
        <f>IFERROR(INDEX('nav master'!$C:$C, MATCH(B6732, 'nav master'!$B:$B, 0)), "")</f>
        <v>ULIF03501/01/10BlueChipFd101</v>
      </c>
      <c r="E6732" s="8" t="s">
        <v>542</v>
      </c>
      <c r="F6732" s="8" t="s">
        <v>1933</v>
      </c>
    </row>
    <row r="6733" spans="1:6" ht="60" x14ac:dyDescent="0.25">
      <c r="A6733" s="8" t="s">
        <v>125</v>
      </c>
      <c r="B6733" s="8" t="s">
        <v>130</v>
      </c>
      <c r="C6733" s="8" t="str">
        <f>IFERROR(_xlfn.XLOOKUP(TRIM(B6733),Lookup!$B$2:$B$1000,Lookup!$C$2:$C$1000),"")</f>
        <v>Equity</v>
      </c>
      <c r="D6733" s="8" t="str">
        <f>IFERROR(INDEX('nav master'!$C:$C, MATCH(B6733, 'nav master'!$B:$B, 0)), "")</f>
        <v>ULIF03501/01/10BlueChipFd101</v>
      </c>
      <c r="E6733" s="8" t="s">
        <v>544</v>
      </c>
      <c r="F6733" s="8" t="s">
        <v>1934</v>
      </c>
    </row>
    <row r="6734" spans="1:6" ht="60" x14ac:dyDescent="0.25">
      <c r="A6734" s="8" t="s">
        <v>125</v>
      </c>
      <c r="B6734" s="8" t="s">
        <v>130</v>
      </c>
      <c r="C6734" s="8" t="str">
        <f>IFERROR(_xlfn.XLOOKUP(TRIM(B6734),Lookup!$B$2:$B$1000,Lookup!$C$2:$C$1000),"")</f>
        <v>Equity</v>
      </c>
      <c r="D6734" s="8" t="str">
        <f>IFERROR(INDEX('nav master'!$C:$C, MATCH(B6734, 'nav master'!$B:$B, 0)), "")</f>
        <v>ULIF03501/01/10BlueChipFd101</v>
      </c>
      <c r="E6734" s="8" t="s">
        <v>546</v>
      </c>
      <c r="F6734" s="8" t="s">
        <v>1935</v>
      </c>
    </row>
    <row r="6735" spans="1:6" ht="60" x14ac:dyDescent="0.25">
      <c r="A6735" s="8" t="s">
        <v>125</v>
      </c>
      <c r="B6735" s="8" t="s">
        <v>130</v>
      </c>
      <c r="C6735" s="8" t="str">
        <f>IFERROR(_xlfn.XLOOKUP(TRIM(B6735),Lookup!$B$2:$B$1000,Lookup!$C$2:$C$1000),"")</f>
        <v>Equity</v>
      </c>
      <c r="D6735" s="8" t="str">
        <f>IFERROR(INDEX('nav master'!$C:$C, MATCH(B6735, 'nav master'!$B:$B, 0)), "")</f>
        <v>ULIF03501/01/10BlueChipFd101</v>
      </c>
      <c r="E6735" s="8" t="s">
        <v>548</v>
      </c>
      <c r="F6735" s="8" t="s">
        <v>1936</v>
      </c>
    </row>
    <row r="6736" spans="1:6" ht="60" x14ac:dyDescent="0.25">
      <c r="A6736" s="8" t="s">
        <v>125</v>
      </c>
      <c r="B6736" s="8" t="s">
        <v>130</v>
      </c>
      <c r="C6736" s="8" t="str">
        <f>IFERROR(_xlfn.XLOOKUP(TRIM(B6736),Lookup!$B$2:$B$1000,Lookup!$C$2:$C$1000),"")</f>
        <v>Equity</v>
      </c>
      <c r="D6736" s="8" t="str">
        <f>IFERROR(INDEX('nav master'!$C:$C, MATCH(B6736, 'nav master'!$B:$B, 0)), "")</f>
        <v>ULIF03501/01/10BlueChipFd101</v>
      </c>
      <c r="E6736" s="8" t="s">
        <v>550</v>
      </c>
      <c r="F6736" s="8" t="s">
        <v>1937</v>
      </c>
    </row>
    <row r="6737" spans="1:6" ht="60" x14ac:dyDescent="0.25">
      <c r="A6737" s="8" t="s">
        <v>125</v>
      </c>
      <c r="B6737" s="8" t="s">
        <v>130</v>
      </c>
      <c r="C6737" s="8" t="str">
        <f>IFERROR(_xlfn.XLOOKUP(TRIM(B6737),Lookup!$B$2:$B$1000,Lookup!$C$2:$C$1000),"")</f>
        <v>Equity</v>
      </c>
      <c r="D6737" s="8" t="str">
        <f>IFERROR(INDEX('nav master'!$C:$C, MATCH(B6737, 'nav master'!$B:$B, 0)), "")</f>
        <v>ULIF03501/01/10BlueChipFd101</v>
      </c>
      <c r="E6737" s="8" t="s">
        <v>552</v>
      </c>
      <c r="F6737" s="8" t="s">
        <v>1938</v>
      </c>
    </row>
    <row r="6738" spans="1:6" ht="60" x14ac:dyDescent="0.25">
      <c r="A6738" s="8" t="s">
        <v>125</v>
      </c>
      <c r="B6738" s="8" t="s">
        <v>130</v>
      </c>
      <c r="C6738" s="8" t="str">
        <f>IFERROR(_xlfn.XLOOKUP(TRIM(B6738),Lookup!$B$2:$B$1000,Lookup!$C$2:$C$1000),"")</f>
        <v>Equity</v>
      </c>
      <c r="D6738" s="8" t="str">
        <f>IFERROR(INDEX('nav master'!$C:$C, MATCH(B6738, 'nav master'!$B:$B, 0)), "")</f>
        <v>ULIF03501/01/10BlueChipFd101</v>
      </c>
      <c r="E6738" s="8" t="s">
        <v>554</v>
      </c>
      <c r="F6738" s="8" t="s">
        <v>1939</v>
      </c>
    </row>
    <row r="6739" spans="1:6" ht="60" x14ac:dyDescent="0.25">
      <c r="A6739" s="8" t="s">
        <v>125</v>
      </c>
      <c r="B6739" s="8" t="s">
        <v>130</v>
      </c>
      <c r="C6739" s="8" t="str">
        <f>IFERROR(_xlfn.XLOOKUP(TRIM(B6739),Lookup!$B$2:$B$1000,Lookup!$C$2:$C$1000),"")</f>
        <v>Equity</v>
      </c>
      <c r="D6739" s="8" t="str">
        <f>IFERROR(INDEX('nav master'!$C:$C, MATCH(B6739, 'nav master'!$B:$B, 0)), "")</f>
        <v>ULIF03501/01/10BlueChipFd101</v>
      </c>
      <c r="E6739" s="8" t="s">
        <v>556</v>
      </c>
      <c r="F6739" s="8" t="s">
        <v>1940</v>
      </c>
    </row>
    <row r="6740" spans="1:6" ht="60" x14ac:dyDescent="0.25">
      <c r="A6740" s="8" t="s">
        <v>125</v>
      </c>
      <c r="B6740" s="8" t="s">
        <v>130</v>
      </c>
      <c r="C6740" s="8" t="str">
        <f>IFERROR(_xlfn.XLOOKUP(TRIM(B6740),Lookup!$B$2:$B$1000,Lookup!$C$2:$C$1000),"")</f>
        <v>Equity</v>
      </c>
      <c r="D6740" s="8" t="str">
        <f>IFERROR(INDEX('nav master'!$C:$C, MATCH(B6740, 'nav master'!$B:$B, 0)), "")</f>
        <v>ULIF03501/01/10BlueChipFd101</v>
      </c>
      <c r="E6740" s="8" t="s">
        <v>558</v>
      </c>
      <c r="F6740" s="8" t="s">
        <v>1941</v>
      </c>
    </row>
    <row r="6741" spans="1:6" ht="60" x14ac:dyDescent="0.25">
      <c r="A6741" s="8" t="s">
        <v>125</v>
      </c>
      <c r="B6741" s="8" t="s">
        <v>130</v>
      </c>
      <c r="C6741" s="8" t="str">
        <f>IFERROR(_xlfn.XLOOKUP(TRIM(B6741),Lookup!$B$2:$B$1000,Lookup!$C$2:$C$1000),"")</f>
        <v>Equity</v>
      </c>
      <c r="D6741" s="8" t="str">
        <f>IFERROR(INDEX('nav master'!$C:$C, MATCH(B6741, 'nav master'!$B:$B, 0)), "")</f>
        <v>ULIF03501/01/10BlueChipFd101</v>
      </c>
      <c r="E6741" s="8" t="s">
        <v>560</v>
      </c>
      <c r="F6741" s="8" t="s">
        <v>1942</v>
      </c>
    </row>
    <row r="6742" spans="1:6" ht="60" x14ac:dyDescent="0.25">
      <c r="A6742" s="8" t="s">
        <v>125</v>
      </c>
      <c r="B6742" s="8" t="s">
        <v>130</v>
      </c>
      <c r="C6742" s="8" t="str">
        <f>IFERROR(_xlfn.XLOOKUP(TRIM(B6742),Lookup!$B$2:$B$1000,Lookup!$C$2:$C$1000),"")</f>
        <v>Equity</v>
      </c>
      <c r="D6742" s="8" t="str">
        <f>IFERROR(INDEX('nav master'!$C:$C, MATCH(B6742, 'nav master'!$B:$B, 0)), "")</f>
        <v>ULIF03501/01/10BlueChipFd101</v>
      </c>
      <c r="E6742" s="8" t="s">
        <v>562</v>
      </c>
      <c r="F6742" s="8" t="s">
        <v>1943</v>
      </c>
    </row>
    <row r="6743" spans="1:6" ht="60" x14ac:dyDescent="0.25">
      <c r="A6743" s="8" t="s">
        <v>125</v>
      </c>
      <c r="B6743" s="8" t="s">
        <v>130</v>
      </c>
      <c r="C6743" s="8" t="str">
        <f>IFERROR(_xlfn.XLOOKUP(TRIM(B6743),Lookup!$B$2:$B$1000,Lookup!$C$2:$C$1000),"")</f>
        <v>Equity</v>
      </c>
      <c r="D6743" s="8" t="str">
        <f>IFERROR(INDEX('nav master'!$C:$C, MATCH(B6743, 'nav master'!$B:$B, 0)), "")</f>
        <v>ULIF03501/01/10BlueChipFd101</v>
      </c>
      <c r="E6743" s="8" t="s">
        <v>564</v>
      </c>
      <c r="F6743" s="8" t="s">
        <v>1944</v>
      </c>
    </row>
    <row r="6744" spans="1:6" ht="60" x14ac:dyDescent="0.25">
      <c r="A6744" s="8" t="s">
        <v>125</v>
      </c>
      <c r="B6744" s="8" t="s">
        <v>130</v>
      </c>
      <c r="C6744" s="8" t="str">
        <f>IFERROR(_xlfn.XLOOKUP(TRIM(B6744),Lookup!$B$2:$B$1000,Lookup!$C$2:$C$1000),"")</f>
        <v>Equity</v>
      </c>
      <c r="D6744" s="8" t="str">
        <f>IFERROR(INDEX('nav master'!$C:$C, MATCH(B6744, 'nav master'!$B:$B, 0)), "")</f>
        <v>ULIF03501/01/10BlueChipFd101</v>
      </c>
      <c r="E6744" s="8" t="s">
        <v>566</v>
      </c>
      <c r="F6744" s="8" t="s">
        <v>1945</v>
      </c>
    </row>
    <row r="6745" spans="1:6" ht="60" x14ac:dyDescent="0.25">
      <c r="A6745" s="8" t="s">
        <v>125</v>
      </c>
      <c r="B6745" s="8" t="s">
        <v>130</v>
      </c>
      <c r="C6745" s="8" t="str">
        <f>IFERROR(_xlfn.XLOOKUP(TRIM(B6745),Lookup!$B$2:$B$1000,Lookup!$C$2:$C$1000),"")</f>
        <v>Equity</v>
      </c>
      <c r="D6745" s="8" t="str">
        <f>IFERROR(INDEX('nav master'!$C:$C, MATCH(B6745, 'nav master'!$B:$B, 0)), "")</f>
        <v>ULIF03501/01/10BlueChipFd101</v>
      </c>
      <c r="E6745" s="8" t="s">
        <v>568</v>
      </c>
      <c r="F6745" s="8" t="s">
        <v>1946</v>
      </c>
    </row>
    <row r="6746" spans="1:6" ht="60" x14ac:dyDescent="0.25">
      <c r="A6746" s="8" t="s">
        <v>125</v>
      </c>
      <c r="B6746" s="8" t="s">
        <v>130</v>
      </c>
      <c r="C6746" s="8" t="str">
        <f>IFERROR(_xlfn.XLOOKUP(TRIM(B6746),Lookup!$B$2:$B$1000,Lookup!$C$2:$C$1000),"")</f>
        <v>Equity</v>
      </c>
      <c r="D6746" s="8" t="str">
        <f>IFERROR(INDEX('nav master'!$C:$C, MATCH(B6746, 'nav master'!$B:$B, 0)), "")</f>
        <v>ULIF03501/01/10BlueChipFd101</v>
      </c>
      <c r="E6746" s="8" t="s">
        <v>570</v>
      </c>
      <c r="F6746" s="8" t="s">
        <v>1947</v>
      </c>
    </row>
    <row r="6747" spans="1:6" ht="60" x14ac:dyDescent="0.25">
      <c r="A6747" s="8" t="s">
        <v>125</v>
      </c>
      <c r="B6747" s="8" t="s">
        <v>130</v>
      </c>
      <c r="C6747" s="8" t="str">
        <f>IFERROR(_xlfn.XLOOKUP(TRIM(B6747),Lookup!$B$2:$B$1000,Lookup!$C$2:$C$1000),"")</f>
        <v>Equity</v>
      </c>
      <c r="D6747" s="8" t="str">
        <f>IFERROR(INDEX('nav master'!$C:$C, MATCH(B6747, 'nav master'!$B:$B, 0)), "")</f>
        <v>ULIF03501/01/10BlueChipFd101</v>
      </c>
      <c r="E6747" s="8" t="s">
        <v>572</v>
      </c>
      <c r="F6747" s="8" t="s">
        <v>1948</v>
      </c>
    </row>
    <row r="6748" spans="1:6" ht="60" x14ac:dyDescent="0.25">
      <c r="A6748" s="8" t="s">
        <v>125</v>
      </c>
      <c r="B6748" s="8" t="s">
        <v>130</v>
      </c>
      <c r="C6748" s="8" t="str">
        <f>IFERROR(_xlfn.XLOOKUP(TRIM(B6748),Lookup!$B$2:$B$1000,Lookup!$C$2:$C$1000),"")</f>
        <v>Equity</v>
      </c>
      <c r="D6748" s="8" t="str">
        <f>IFERROR(INDEX('nav master'!$C:$C, MATCH(B6748, 'nav master'!$B:$B, 0)), "")</f>
        <v>ULIF03501/01/10BlueChipFd101</v>
      </c>
      <c r="E6748" s="8" t="s">
        <v>574</v>
      </c>
      <c r="F6748" s="8" t="s">
        <v>1949</v>
      </c>
    </row>
    <row r="6749" spans="1:6" ht="60" x14ac:dyDescent="0.25">
      <c r="A6749" s="8" t="s">
        <v>125</v>
      </c>
      <c r="B6749" s="8" t="s">
        <v>130</v>
      </c>
      <c r="C6749" s="8" t="str">
        <f>IFERROR(_xlfn.XLOOKUP(TRIM(B6749),Lookup!$B$2:$B$1000,Lookup!$C$2:$C$1000),"")</f>
        <v>Equity</v>
      </c>
      <c r="D6749" s="8" t="str">
        <f>IFERROR(INDEX('nav master'!$C:$C, MATCH(B6749, 'nav master'!$B:$B, 0)), "")</f>
        <v>ULIF03501/01/10BlueChipFd101</v>
      </c>
      <c r="E6749" s="8" t="s">
        <v>576</v>
      </c>
      <c r="F6749" s="8" t="s">
        <v>1950</v>
      </c>
    </row>
    <row r="6750" spans="1:6" ht="60" x14ac:dyDescent="0.25">
      <c r="A6750" s="8" t="s">
        <v>125</v>
      </c>
      <c r="B6750" s="8" t="s">
        <v>130</v>
      </c>
      <c r="C6750" s="8" t="str">
        <f>IFERROR(_xlfn.XLOOKUP(TRIM(B6750),Lookup!$B$2:$B$1000,Lookup!$C$2:$C$1000),"")</f>
        <v>Equity</v>
      </c>
      <c r="D6750" s="8" t="str">
        <f>IFERROR(INDEX('nav master'!$C:$C, MATCH(B6750, 'nav master'!$B:$B, 0)), "")</f>
        <v>ULIF03501/01/10BlueChipFd101</v>
      </c>
      <c r="E6750" s="8" t="s">
        <v>578</v>
      </c>
      <c r="F6750" s="8" t="s">
        <v>1951</v>
      </c>
    </row>
    <row r="6751" spans="1:6" ht="60" x14ac:dyDescent="0.25">
      <c r="A6751" s="8" t="s">
        <v>125</v>
      </c>
      <c r="B6751" s="8" t="s">
        <v>130</v>
      </c>
      <c r="C6751" s="8" t="str">
        <f>IFERROR(_xlfn.XLOOKUP(TRIM(B6751),Lookup!$B$2:$B$1000,Lookup!$C$2:$C$1000),"")</f>
        <v>Equity</v>
      </c>
      <c r="D6751" s="8" t="str">
        <f>IFERROR(INDEX('nav master'!$C:$C, MATCH(B6751, 'nav master'!$B:$B, 0)), "")</f>
        <v>ULIF03501/01/10BlueChipFd101</v>
      </c>
      <c r="E6751" s="8" t="s">
        <v>580</v>
      </c>
      <c r="F6751" s="8" t="s">
        <v>1952</v>
      </c>
    </row>
    <row r="6752" spans="1:6" ht="60" x14ac:dyDescent="0.25">
      <c r="A6752" s="8" t="s">
        <v>125</v>
      </c>
      <c r="B6752" s="8" t="s">
        <v>130</v>
      </c>
      <c r="C6752" s="8" t="str">
        <f>IFERROR(_xlfn.XLOOKUP(TRIM(B6752),Lookup!$B$2:$B$1000,Lookup!$C$2:$C$1000),"")</f>
        <v>Equity</v>
      </c>
      <c r="D6752" s="8" t="str">
        <f>IFERROR(INDEX('nav master'!$C:$C, MATCH(B6752, 'nav master'!$B:$B, 0)), "")</f>
        <v>ULIF03501/01/10BlueChipFd101</v>
      </c>
      <c r="E6752" s="8" t="s">
        <v>582</v>
      </c>
      <c r="F6752" s="8" t="s">
        <v>1953</v>
      </c>
    </row>
    <row r="6753" spans="1:6" ht="60" x14ac:dyDescent="0.25">
      <c r="A6753" s="8" t="s">
        <v>125</v>
      </c>
      <c r="B6753" s="8" t="s">
        <v>130</v>
      </c>
      <c r="C6753" s="8" t="str">
        <f>IFERROR(_xlfn.XLOOKUP(TRIM(B6753),Lookup!$B$2:$B$1000,Lookup!$C$2:$C$1000),"")</f>
        <v>Equity</v>
      </c>
      <c r="D6753" s="8" t="str">
        <f>IFERROR(INDEX('nav master'!$C:$C, MATCH(B6753, 'nav master'!$B:$B, 0)), "")</f>
        <v>ULIF03501/01/10BlueChipFd101</v>
      </c>
      <c r="E6753" s="8" t="s">
        <v>584</v>
      </c>
      <c r="F6753" s="8" t="s">
        <v>1954</v>
      </c>
    </row>
    <row r="6754" spans="1:6" ht="60" x14ac:dyDescent="0.25">
      <c r="A6754" s="8" t="s">
        <v>125</v>
      </c>
      <c r="B6754" s="8" t="s">
        <v>130</v>
      </c>
      <c r="C6754" s="8" t="str">
        <f>IFERROR(_xlfn.XLOOKUP(TRIM(B6754),Lookup!$B$2:$B$1000,Lookup!$C$2:$C$1000),"")</f>
        <v>Equity</v>
      </c>
      <c r="D6754" s="8" t="str">
        <f>IFERROR(INDEX('nav master'!$C:$C, MATCH(B6754, 'nav master'!$B:$B, 0)), "")</f>
        <v>ULIF03501/01/10BlueChipFd101</v>
      </c>
      <c r="E6754" s="8" t="s">
        <v>586</v>
      </c>
      <c r="F6754" s="8" t="s">
        <v>1955</v>
      </c>
    </row>
    <row r="6755" spans="1:6" ht="60" x14ac:dyDescent="0.25">
      <c r="A6755" s="8" t="s">
        <v>125</v>
      </c>
      <c r="B6755" s="8" t="s">
        <v>130</v>
      </c>
      <c r="C6755" s="8" t="str">
        <f>IFERROR(_xlfn.XLOOKUP(TRIM(B6755),Lookup!$B$2:$B$1000,Lookup!$C$2:$C$1000),"")</f>
        <v>Equity</v>
      </c>
      <c r="D6755" s="8" t="str">
        <f>IFERROR(INDEX('nav master'!$C:$C, MATCH(B6755, 'nav master'!$B:$B, 0)), "")</f>
        <v>ULIF03501/01/10BlueChipFd101</v>
      </c>
      <c r="E6755" s="8" t="s">
        <v>588</v>
      </c>
      <c r="F6755" s="8" t="s">
        <v>1956</v>
      </c>
    </row>
    <row r="6756" spans="1:6" ht="60" x14ac:dyDescent="0.25">
      <c r="A6756" s="8" t="s">
        <v>125</v>
      </c>
      <c r="B6756" s="8" t="s">
        <v>130</v>
      </c>
      <c r="C6756" s="8" t="str">
        <f>IFERROR(_xlfn.XLOOKUP(TRIM(B6756),Lookup!$B$2:$B$1000,Lookup!$C$2:$C$1000),"")</f>
        <v>Equity</v>
      </c>
      <c r="D6756" s="8" t="str">
        <f>IFERROR(INDEX('nav master'!$C:$C, MATCH(B6756, 'nav master'!$B:$B, 0)), "")</f>
        <v>ULIF03501/01/10BlueChipFd101</v>
      </c>
      <c r="E6756" s="8" t="s">
        <v>590</v>
      </c>
      <c r="F6756" s="8" t="s">
        <v>1957</v>
      </c>
    </row>
    <row r="6757" spans="1:6" ht="60" x14ac:dyDescent="0.25">
      <c r="A6757" s="8" t="s">
        <v>125</v>
      </c>
      <c r="B6757" s="8" t="s">
        <v>130</v>
      </c>
      <c r="C6757" s="8" t="str">
        <f>IFERROR(_xlfn.XLOOKUP(TRIM(B6757),Lookup!$B$2:$B$1000,Lookup!$C$2:$C$1000),"")</f>
        <v>Equity</v>
      </c>
      <c r="D6757" s="8" t="str">
        <f>IFERROR(INDEX('nav master'!$C:$C, MATCH(B6757, 'nav master'!$B:$B, 0)), "")</f>
        <v>ULIF03501/01/10BlueChipFd101</v>
      </c>
      <c r="E6757" s="8" t="s">
        <v>592</v>
      </c>
      <c r="F6757" s="8" t="s">
        <v>1958</v>
      </c>
    </row>
    <row r="6758" spans="1:6" ht="60" x14ac:dyDescent="0.25">
      <c r="A6758" s="8" t="s">
        <v>125</v>
      </c>
      <c r="B6758" s="8" t="s">
        <v>130</v>
      </c>
      <c r="C6758" s="8" t="str">
        <f>IFERROR(_xlfn.XLOOKUP(TRIM(B6758),Lookup!$B$2:$B$1000,Lookup!$C$2:$C$1000),"")</f>
        <v>Equity</v>
      </c>
      <c r="D6758" s="8" t="str">
        <f>IFERROR(INDEX('nav master'!$C:$C, MATCH(B6758, 'nav master'!$B:$B, 0)), "")</f>
        <v>ULIF03501/01/10BlueChipFd101</v>
      </c>
      <c r="E6758" s="8" t="s">
        <v>594</v>
      </c>
      <c r="F6758" s="8" t="s">
        <v>1959</v>
      </c>
    </row>
    <row r="6759" spans="1:6" ht="60" x14ac:dyDescent="0.25">
      <c r="A6759" s="8" t="s">
        <v>125</v>
      </c>
      <c r="B6759" s="8" t="s">
        <v>130</v>
      </c>
      <c r="C6759" s="8" t="str">
        <f>IFERROR(_xlfn.XLOOKUP(TRIM(B6759),Lookup!$B$2:$B$1000,Lookup!$C$2:$C$1000),"")</f>
        <v>Equity</v>
      </c>
      <c r="D6759" s="8" t="str">
        <f>IFERROR(INDEX('nav master'!$C:$C, MATCH(B6759, 'nav master'!$B:$B, 0)), "")</f>
        <v>ULIF03501/01/10BlueChipFd101</v>
      </c>
      <c r="E6759" s="8" t="s">
        <v>596</v>
      </c>
      <c r="F6759" s="8" t="s">
        <v>1960</v>
      </c>
    </row>
    <row r="6760" spans="1:6" ht="60" x14ac:dyDescent="0.25">
      <c r="A6760" s="8" t="s">
        <v>125</v>
      </c>
      <c r="B6760" s="8" t="s">
        <v>130</v>
      </c>
      <c r="C6760" s="8" t="str">
        <f>IFERROR(_xlfn.XLOOKUP(TRIM(B6760),Lookup!$B$2:$B$1000,Lookup!$C$2:$C$1000),"")</f>
        <v>Equity</v>
      </c>
      <c r="D6760" s="8" t="str">
        <f>IFERROR(INDEX('nav master'!$C:$C, MATCH(B6760, 'nav master'!$B:$B, 0)), "")</f>
        <v>ULIF03501/01/10BlueChipFd101</v>
      </c>
      <c r="E6760" s="8" t="s">
        <v>598</v>
      </c>
      <c r="F6760" s="8" t="s">
        <v>1961</v>
      </c>
    </row>
    <row r="6761" spans="1:6" ht="60" x14ac:dyDescent="0.25">
      <c r="A6761" s="8" t="s">
        <v>125</v>
      </c>
      <c r="B6761" s="8" t="s">
        <v>130</v>
      </c>
      <c r="C6761" s="8" t="str">
        <f>IFERROR(_xlfn.XLOOKUP(TRIM(B6761),Lookup!$B$2:$B$1000,Lookup!$C$2:$C$1000),"")</f>
        <v>Equity</v>
      </c>
      <c r="D6761" s="8" t="str">
        <f>IFERROR(INDEX('nav master'!$C:$C, MATCH(B6761, 'nav master'!$B:$B, 0)), "")</f>
        <v>ULIF03501/01/10BlueChipFd101</v>
      </c>
      <c r="E6761" s="8" t="s">
        <v>600</v>
      </c>
      <c r="F6761" s="8" t="s">
        <v>1962</v>
      </c>
    </row>
    <row r="6762" spans="1:6" ht="60" x14ac:dyDescent="0.25">
      <c r="A6762" s="8" t="s">
        <v>125</v>
      </c>
      <c r="B6762" s="8" t="s">
        <v>130</v>
      </c>
      <c r="C6762" s="8" t="str">
        <f>IFERROR(_xlfn.XLOOKUP(TRIM(B6762),Lookup!$B$2:$B$1000,Lookup!$C$2:$C$1000),"")</f>
        <v>Equity</v>
      </c>
      <c r="D6762" s="8" t="str">
        <f>IFERROR(INDEX('nav master'!$C:$C, MATCH(B6762, 'nav master'!$B:$B, 0)), "")</f>
        <v>ULIF03501/01/10BlueChipFd101</v>
      </c>
      <c r="E6762" s="8" t="s">
        <v>602</v>
      </c>
      <c r="F6762" s="8" t="s">
        <v>1963</v>
      </c>
    </row>
    <row r="6763" spans="1:6" ht="60" x14ac:dyDescent="0.25">
      <c r="A6763" s="8" t="s">
        <v>125</v>
      </c>
      <c r="B6763" s="8" t="s">
        <v>130</v>
      </c>
      <c r="C6763" s="8" t="str">
        <f>IFERROR(_xlfn.XLOOKUP(TRIM(B6763),Lookup!$B$2:$B$1000,Lookup!$C$2:$C$1000),"")</f>
        <v>Equity</v>
      </c>
      <c r="D6763" s="8" t="str">
        <f>IFERROR(INDEX('nav master'!$C:$C, MATCH(B6763, 'nav master'!$B:$B, 0)), "")</f>
        <v>ULIF03501/01/10BlueChipFd101</v>
      </c>
      <c r="E6763" s="8" t="s">
        <v>604</v>
      </c>
      <c r="F6763" s="8" t="s">
        <v>1964</v>
      </c>
    </row>
    <row r="6764" spans="1:6" ht="60" x14ac:dyDescent="0.25">
      <c r="A6764" s="8" t="s">
        <v>125</v>
      </c>
      <c r="B6764" s="8" t="s">
        <v>130</v>
      </c>
      <c r="C6764" s="8" t="str">
        <f>IFERROR(_xlfn.XLOOKUP(TRIM(B6764),Lookup!$B$2:$B$1000,Lookup!$C$2:$C$1000),"")</f>
        <v>Equity</v>
      </c>
      <c r="D6764" s="8" t="str">
        <f>IFERROR(INDEX('nav master'!$C:$C, MATCH(B6764, 'nav master'!$B:$B, 0)), "")</f>
        <v>ULIF03501/01/10BlueChipFd101</v>
      </c>
      <c r="E6764" s="8" t="s">
        <v>606</v>
      </c>
      <c r="F6764" s="8" t="s">
        <v>1965</v>
      </c>
    </row>
    <row r="6765" spans="1:6" ht="60" x14ac:dyDescent="0.25">
      <c r="A6765" s="8" t="s">
        <v>125</v>
      </c>
      <c r="B6765" s="8" t="s">
        <v>130</v>
      </c>
      <c r="C6765" s="8" t="str">
        <f>IFERROR(_xlfn.XLOOKUP(TRIM(B6765),Lookup!$B$2:$B$1000,Lookup!$C$2:$C$1000),"")</f>
        <v>Equity</v>
      </c>
      <c r="D6765" s="8" t="str">
        <f>IFERROR(INDEX('nav master'!$C:$C, MATCH(B6765, 'nav master'!$B:$B, 0)), "")</f>
        <v>ULIF03501/01/10BlueChipFd101</v>
      </c>
      <c r="E6765" s="8" t="s">
        <v>608</v>
      </c>
      <c r="F6765" s="8" t="s">
        <v>1966</v>
      </c>
    </row>
    <row r="6766" spans="1:6" ht="60" x14ac:dyDescent="0.25">
      <c r="A6766" s="8" t="s">
        <v>125</v>
      </c>
      <c r="B6766" s="8" t="s">
        <v>130</v>
      </c>
      <c r="C6766" s="8" t="str">
        <f>IFERROR(_xlfn.XLOOKUP(TRIM(B6766),Lookup!$B$2:$B$1000,Lookup!$C$2:$C$1000),"")</f>
        <v>Equity</v>
      </c>
      <c r="D6766" s="8" t="str">
        <f>IFERROR(INDEX('nav master'!$C:$C, MATCH(B6766, 'nav master'!$B:$B, 0)), "")</f>
        <v>ULIF03501/01/10BlueChipFd101</v>
      </c>
      <c r="E6766" s="8" t="s">
        <v>610</v>
      </c>
      <c r="F6766" s="8" t="s">
        <v>1967</v>
      </c>
    </row>
    <row r="6767" spans="1:6" ht="60" x14ac:dyDescent="0.25">
      <c r="A6767" s="8" t="s">
        <v>125</v>
      </c>
      <c r="B6767" s="8" t="s">
        <v>130</v>
      </c>
      <c r="C6767" s="8" t="str">
        <f>IFERROR(_xlfn.XLOOKUP(TRIM(B6767),Lookup!$B$2:$B$1000,Lookup!$C$2:$C$1000),"")</f>
        <v>Equity</v>
      </c>
      <c r="D6767" s="8" t="str">
        <f>IFERROR(INDEX('nav master'!$C:$C, MATCH(B6767, 'nav master'!$B:$B, 0)), "")</f>
        <v>ULIF03501/01/10BlueChipFd101</v>
      </c>
      <c r="E6767" s="8" t="s">
        <v>612</v>
      </c>
      <c r="F6767" s="8" t="s">
        <v>1968</v>
      </c>
    </row>
    <row r="6768" spans="1:6" ht="60" x14ac:dyDescent="0.25">
      <c r="A6768" s="8" t="s">
        <v>125</v>
      </c>
      <c r="B6768" s="8" t="s">
        <v>130</v>
      </c>
      <c r="C6768" s="8" t="str">
        <f>IFERROR(_xlfn.XLOOKUP(TRIM(B6768),Lookup!$B$2:$B$1000,Lookup!$C$2:$C$1000),"")</f>
        <v>Equity</v>
      </c>
      <c r="D6768" s="8" t="str">
        <f>IFERROR(INDEX('nav master'!$C:$C, MATCH(B6768, 'nav master'!$B:$B, 0)), "")</f>
        <v>ULIF03501/01/10BlueChipFd101</v>
      </c>
      <c r="E6768" s="8" t="s">
        <v>614</v>
      </c>
      <c r="F6768" s="8" t="s">
        <v>1969</v>
      </c>
    </row>
    <row r="6769" spans="1:6" ht="60" x14ac:dyDescent="0.25">
      <c r="A6769" s="8" t="s">
        <v>125</v>
      </c>
      <c r="B6769" s="8" t="s">
        <v>130</v>
      </c>
      <c r="C6769" s="8" t="str">
        <f>IFERROR(_xlfn.XLOOKUP(TRIM(B6769),Lookup!$B$2:$B$1000,Lookup!$C$2:$C$1000),"")</f>
        <v>Equity</v>
      </c>
      <c r="D6769" s="8" t="str">
        <f>IFERROR(INDEX('nav master'!$C:$C, MATCH(B6769, 'nav master'!$B:$B, 0)), "")</f>
        <v>ULIF03501/01/10BlueChipFd101</v>
      </c>
      <c r="E6769" s="8" t="s">
        <v>616</v>
      </c>
      <c r="F6769" s="8" t="s">
        <v>1970</v>
      </c>
    </row>
    <row r="6770" spans="1:6" ht="60" x14ac:dyDescent="0.25">
      <c r="A6770" s="8" t="s">
        <v>125</v>
      </c>
      <c r="B6770" s="8" t="s">
        <v>130</v>
      </c>
      <c r="C6770" s="8" t="str">
        <f>IFERROR(_xlfn.XLOOKUP(TRIM(B6770),Lookup!$B$2:$B$1000,Lookup!$C$2:$C$1000),"")</f>
        <v>Equity</v>
      </c>
      <c r="D6770" s="8" t="str">
        <f>IFERROR(INDEX('nav master'!$C:$C, MATCH(B6770, 'nav master'!$B:$B, 0)), "")</f>
        <v>ULIF03501/01/10BlueChipFd101</v>
      </c>
      <c r="E6770" s="8" t="s">
        <v>618</v>
      </c>
      <c r="F6770" s="8" t="s">
        <v>1971</v>
      </c>
    </row>
    <row r="6771" spans="1:6" ht="60" x14ac:dyDescent="0.25">
      <c r="A6771" s="8" t="s">
        <v>125</v>
      </c>
      <c r="B6771" s="8" t="s">
        <v>130</v>
      </c>
      <c r="C6771" s="8" t="str">
        <f>IFERROR(_xlfn.XLOOKUP(TRIM(B6771),Lookup!$B$2:$B$1000,Lookup!$C$2:$C$1000),"")</f>
        <v>Equity</v>
      </c>
      <c r="D6771" s="8" t="str">
        <f>IFERROR(INDEX('nav master'!$C:$C, MATCH(B6771, 'nav master'!$B:$B, 0)), "")</f>
        <v>ULIF03501/01/10BlueChipFd101</v>
      </c>
      <c r="E6771" s="8" t="s">
        <v>620</v>
      </c>
      <c r="F6771" s="8" t="s">
        <v>1972</v>
      </c>
    </row>
    <row r="6772" spans="1:6" ht="60" x14ac:dyDescent="0.25">
      <c r="A6772" s="8" t="s">
        <v>125</v>
      </c>
      <c r="B6772" s="8" t="s">
        <v>130</v>
      </c>
      <c r="C6772" s="8" t="str">
        <f>IFERROR(_xlfn.XLOOKUP(TRIM(B6772),Lookup!$B$2:$B$1000,Lookup!$C$2:$C$1000),"")</f>
        <v>Equity</v>
      </c>
      <c r="D6772" s="8" t="str">
        <f>IFERROR(INDEX('nav master'!$C:$C, MATCH(B6772, 'nav master'!$B:$B, 0)), "")</f>
        <v>ULIF03501/01/10BlueChipFd101</v>
      </c>
      <c r="E6772" s="8" t="s">
        <v>622</v>
      </c>
      <c r="F6772" s="8" t="s">
        <v>1973</v>
      </c>
    </row>
    <row r="6773" spans="1:6" ht="60" x14ac:dyDescent="0.25">
      <c r="A6773" s="8" t="s">
        <v>125</v>
      </c>
      <c r="B6773" s="8" t="s">
        <v>130</v>
      </c>
      <c r="C6773" s="8" t="str">
        <f>IFERROR(_xlfn.XLOOKUP(TRIM(B6773),Lookup!$B$2:$B$1000,Lookup!$C$2:$C$1000),"")</f>
        <v>Equity</v>
      </c>
      <c r="D6773" s="8" t="str">
        <f>IFERROR(INDEX('nav master'!$C:$C, MATCH(B6773, 'nav master'!$B:$B, 0)), "")</f>
        <v>ULIF03501/01/10BlueChipFd101</v>
      </c>
      <c r="E6773" s="8" t="s">
        <v>624</v>
      </c>
      <c r="F6773" s="8" t="s">
        <v>1974</v>
      </c>
    </row>
    <row r="6774" spans="1:6" ht="60" x14ac:dyDescent="0.25">
      <c r="A6774" s="8" t="s">
        <v>125</v>
      </c>
      <c r="B6774" s="8" t="s">
        <v>130</v>
      </c>
      <c r="C6774" s="8" t="str">
        <f>IFERROR(_xlfn.XLOOKUP(TRIM(B6774),Lookup!$B$2:$B$1000,Lookup!$C$2:$C$1000),"")</f>
        <v>Equity</v>
      </c>
      <c r="D6774" s="8" t="str">
        <f>IFERROR(INDEX('nav master'!$C:$C, MATCH(B6774, 'nav master'!$B:$B, 0)), "")</f>
        <v>ULIF03501/01/10BlueChipFd101</v>
      </c>
      <c r="E6774" s="8" t="s">
        <v>626</v>
      </c>
      <c r="F6774" s="8" t="s">
        <v>1975</v>
      </c>
    </row>
    <row r="6775" spans="1:6" ht="60" x14ac:dyDescent="0.25">
      <c r="A6775" s="8" t="s">
        <v>125</v>
      </c>
      <c r="B6775" s="8" t="s">
        <v>130</v>
      </c>
      <c r="C6775" s="8" t="str">
        <f>IFERROR(_xlfn.XLOOKUP(TRIM(B6775),Lookup!$B$2:$B$1000,Lookup!$C$2:$C$1000),"")</f>
        <v>Equity</v>
      </c>
      <c r="D6775" s="8" t="str">
        <f>IFERROR(INDEX('nav master'!$C:$C, MATCH(B6775, 'nav master'!$B:$B, 0)), "")</f>
        <v>ULIF03501/01/10BlueChipFd101</v>
      </c>
      <c r="E6775" s="8" t="s">
        <v>628</v>
      </c>
      <c r="F6775" s="8" t="s">
        <v>1976</v>
      </c>
    </row>
    <row r="6776" spans="1:6" ht="60" x14ac:dyDescent="0.25">
      <c r="A6776" s="8" t="s">
        <v>125</v>
      </c>
      <c r="B6776" s="8" t="s">
        <v>130</v>
      </c>
      <c r="C6776" s="8" t="str">
        <f>IFERROR(_xlfn.XLOOKUP(TRIM(B6776),Lookup!$B$2:$B$1000,Lookup!$C$2:$C$1000),"")</f>
        <v>Equity</v>
      </c>
      <c r="D6776" s="8" t="str">
        <f>IFERROR(INDEX('nav master'!$C:$C, MATCH(B6776, 'nav master'!$B:$B, 0)), "")</f>
        <v>ULIF03501/01/10BlueChipFd101</v>
      </c>
      <c r="E6776" s="8" t="s">
        <v>630</v>
      </c>
      <c r="F6776" s="8" t="s">
        <v>1977</v>
      </c>
    </row>
    <row r="6777" spans="1:6" ht="60" x14ac:dyDescent="0.25">
      <c r="A6777" s="8" t="s">
        <v>125</v>
      </c>
      <c r="B6777" s="8" t="s">
        <v>130</v>
      </c>
      <c r="C6777" s="8" t="str">
        <f>IFERROR(_xlfn.XLOOKUP(TRIM(B6777),Lookup!$B$2:$B$1000,Lookup!$C$2:$C$1000),"")</f>
        <v>Equity</v>
      </c>
      <c r="D6777" s="8" t="str">
        <f>IFERROR(INDEX('nav master'!$C:$C, MATCH(B6777, 'nav master'!$B:$B, 0)), "")</f>
        <v>ULIF03501/01/10BlueChipFd101</v>
      </c>
      <c r="E6777" s="8" t="s">
        <v>632</v>
      </c>
      <c r="F6777" s="8" t="s">
        <v>1978</v>
      </c>
    </row>
    <row r="6778" spans="1:6" ht="60" x14ac:dyDescent="0.25">
      <c r="A6778" s="8" t="s">
        <v>125</v>
      </c>
      <c r="B6778" s="8" t="s">
        <v>130</v>
      </c>
      <c r="C6778" s="8" t="str">
        <f>IFERROR(_xlfn.XLOOKUP(TRIM(B6778),Lookup!$B$2:$B$1000,Lookup!$C$2:$C$1000),"")</f>
        <v>Equity</v>
      </c>
      <c r="D6778" s="8" t="str">
        <f>IFERROR(INDEX('nav master'!$C:$C, MATCH(B6778, 'nav master'!$B:$B, 0)), "")</f>
        <v>ULIF03501/01/10BlueChipFd101</v>
      </c>
      <c r="E6778" s="8" t="s">
        <v>634</v>
      </c>
      <c r="F6778" s="8" t="s">
        <v>1979</v>
      </c>
    </row>
    <row r="6779" spans="1:6" ht="60" x14ac:dyDescent="0.25">
      <c r="A6779" s="8" t="s">
        <v>125</v>
      </c>
      <c r="B6779" s="8" t="s">
        <v>130</v>
      </c>
      <c r="C6779" s="8" t="str">
        <f>IFERROR(_xlfn.XLOOKUP(TRIM(B6779),Lookup!$B$2:$B$1000,Lookup!$C$2:$C$1000),"")</f>
        <v>Equity</v>
      </c>
      <c r="D6779" s="8" t="str">
        <f>IFERROR(INDEX('nav master'!$C:$C, MATCH(B6779, 'nav master'!$B:$B, 0)), "")</f>
        <v>ULIF03501/01/10BlueChipFd101</v>
      </c>
      <c r="E6779" s="8" t="s">
        <v>636</v>
      </c>
      <c r="F6779" s="8" t="s">
        <v>1980</v>
      </c>
    </row>
    <row r="6780" spans="1:6" ht="60" x14ac:dyDescent="0.25">
      <c r="A6780" s="8" t="s">
        <v>125</v>
      </c>
      <c r="B6780" s="8" t="s">
        <v>130</v>
      </c>
      <c r="C6780" s="8" t="str">
        <f>IFERROR(_xlfn.XLOOKUP(TRIM(B6780),Lookup!$B$2:$B$1000,Lookup!$C$2:$C$1000),"")</f>
        <v>Equity</v>
      </c>
      <c r="D6780" s="8" t="str">
        <f>IFERROR(INDEX('nav master'!$C:$C, MATCH(B6780, 'nav master'!$B:$B, 0)), "")</f>
        <v>ULIF03501/01/10BlueChipFd101</v>
      </c>
      <c r="E6780" s="8" t="s">
        <v>638</v>
      </c>
      <c r="F6780" s="8" t="s">
        <v>1981</v>
      </c>
    </row>
    <row r="6781" spans="1:6" ht="60" x14ac:dyDescent="0.25">
      <c r="A6781" s="8" t="s">
        <v>125</v>
      </c>
      <c r="B6781" s="8" t="s">
        <v>130</v>
      </c>
      <c r="C6781" s="8" t="str">
        <f>IFERROR(_xlfn.XLOOKUP(TRIM(B6781),Lookup!$B$2:$B$1000,Lookup!$C$2:$C$1000),"")</f>
        <v>Equity</v>
      </c>
      <c r="D6781" s="8" t="str">
        <f>IFERROR(INDEX('nav master'!$C:$C, MATCH(B6781, 'nav master'!$B:$B, 0)), "")</f>
        <v>ULIF03501/01/10BlueChipFd101</v>
      </c>
      <c r="E6781" s="8" t="s">
        <v>640</v>
      </c>
      <c r="F6781" s="8" t="s">
        <v>1982</v>
      </c>
    </row>
    <row r="6782" spans="1:6" ht="60" x14ac:dyDescent="0.25">
      <c r="A6782" s="8" t="s">
        <v>125</v>
      </c>
      <c r="B6782" s="8" t="s">
        <v>130</v>
      </c>
      <c r="C6782" s="8" t="str">
        <f>IFERROR(_xlfn.XLOOKUP(TRIM(B6782),Lookup!$B$2:$B$1000,Lookup!$C$2:$C$1000),"")</f>
        <v>Equity</v>
      </c>
      <c r="D6782" s="8" t="str">
        <f>IFERROR(INDEX('nav master'!$C:$C, MATCH(B6782, 'nav master'!$B:$B, 0)), "")</f>
        <v>ULIF03501/01/10BlueChipFd101</v>
      </c>
      <c r="E6782" s="8" t="s">
        <v>642</v>
      </c>
      <c r="F6782" s="8" t="s">
        <v>1983</v>
      </c>
    </row>
    <row r="6783" spans="1:6" ht="60" x14ac:dyDescent="0.25">
      <c r="A6783" s="8" t="s">
        <v>125</v>
      </c>
      <c r="B6783" s="8" t="s">
        <v>130</v>
      </c>
      <c r="C6783" s="8" t="str">
        <f>IFERROR(_xlfn.XLOOKUP(TRIM(B6783),Lookup!$B$2:$B$1000,Lookup!$C$2:$C$1000),"")</f>
        <v>Equity</v>
      </c>
      <c r="D6783" s="8" t="str">
        <f>IFERROR(INDEX('nav master'!$C:$C, MATCH(B6783, 'nav master'!$B:$B, 0)), "")</f>
        <v>ULIF03501/01/10BlueChipFd101</v>
      </c>
      <c r="E6783" s="8" t="s">
        <v>644</v>
      </c>
      <c r="F6783" s="8" t="s">
        <v>1984</v>
      </c>
    </row>
    <row r="6784" spans="1:6" ht="60" x14ac:dyDescent="0.25">
      <c r="A6784" s="8" t="s">
        <v>125</v>
      </c>
      <c r="B6784" s="8" t="s">
        <v>130</v>
      </c>
      <c r="C6784" s="8" t="str">
        <f>IFERROR(_xlfn.XLOOKUP(TRIM(B6784),Lookup!$B$2:$B$1000,Lookup!$C$2:$C$1000),"")</f>
        <v>Equity</v>
      </c>
      <c r="D6784" s="8" t="str">
        <f>IFERROR(INDEX('nav master'!$C:$C, MATCH(B6784, 'nav master'!$B:$B, 0)), "")</f>
        <v>ULIF03501/01/10BlueChipFd101</v>
      </c>
      <c r="E6784" s="8" t="s">
        <v>646</v>
      </c>
      <c r="F6784" s="8" t="s">
        <v>1985</v>
      </c>
    </row>
    <row r="6785" spans="1:6" ht="60" x14ac:dyDescent="0.25">
      <c r="A6785" s="8" t="s">
        <v>125</v>
      </c>
      <c r="B6785" s="8" t="s">
        <v>130</v>
      </c>
      <c r="C6785" s="8" t="str">
        <f>IFERROR(_xlfn.XLOOKUP(TRIM(B6785),Lookup!$B$2:$B$1000,Lookup!$C$2:$C$1000),"")</f>
        <v>Equity</v>
      </c>
      <c r="D6785" s="8" t="str">
        <f>IFERROR(INDEX('nav master'!$C:$C, MATCH(B6785, 'nav master'!$B:$B, 0)), "")</f>
        <v>ULIF03501/01/10BlueChipFd101</v>
      </c>
      <c r="E6785" s="8" t="s">
        <v>648</v>
      </c>
      <c r="F6785" s="8" t="s">
        <v>1986</v>
      </c>
    </row>
    <row r="6786" spans="1:6" ht="60" x14ac:dyDescent="0.25">
      <c r="A6786" s="8" t="s">
        <v>125</v>
      </c>
      <c r="B6786" s="8" t="s">
        <v>130</v>
      </c>
      <c r="C6786" s="8" t="str">
        <f>IFERROR(_xlfn.XLOOKUP(TRIM(B6786),Lookup!$B$2:$B$1000,Lookup!$C$2:$C$1000),"")</f>
        <v>Equity</v>
      </c>
      <c r="D6786" s="8" t="str">
        <f>IFERROR(INDEX('nav master'!$C:$C, MATCH(B6786, 'nav master'!$B:$B, 0)), "")</f>
        <v>ULIF03501/01/10BlueChipFd101</v>
      </c>
      <c r="E6786" s="8" t="s">
        <v>650</v>
      </c>
      <c r="F6786" s="8" t="s">
        <v>1987</v>
      </c>
    </row>
    <row r="6787" spans="1:6" ht="60" x14ac:dyDescent="0.25">
      <c r="A6787" s="8" t="s">
        <v>125</v>
      </c>
      <c r="B6787" s="8" t="s">
        <v>130</v>
      </c>
      <c r="C6787" s="8" t="str">
        <f>IFERROR(_xlfn.XLOOKUP(TRIM(B6787),Lookup!$B$2:$B$1000,Lookup!$C$2:$C$1000),"")</f>
        <v>Equity</v>
      </c>
      <c r="D6787" s="8" t="str">
        <f>IFERROR(INDEX('nav master'!$C:$C, MATCH(B6787, 'nav master'!$B:$B, 0)), "")</f>
        <v>ULIF03501/01/10BlueChipFd101</v>
      </c>
      <c r="E6787" s="8" t="s">
        <v>652</v>
      </c>
      <c r="F6787" s="8" t="s">
        <v>1988</v>
      </c>
    </row>
    <row r="6788" spans="1:6" ht="60" x14ac:dyDescent="0.25">
      <c r="A6788" s="8" t="s">
        <v>125</v>
      </c>
      <c r="B6788" s="8" t="s">
        <v>130</v>
      </c>
      <c r="C6788" s="8" t="str">
        <f>IFERROR(_xlfn.XLOOKUP(TRIM(B6788),Lookup!$B$2:$B$1000,Lookup!$C$2:$C$1000),"")</f>
        <v>Equity</v>
      </c>
      <c r="D6788" s="8" t="str">
        <f>IFERROR(INDEX('nav master'!$C:$C, MATCH(B6788, 'nav master'!$B:$B, 0)), "")</f>
        <v>ULIF03501/01/10BlueChipFd101</v>
      </c>
      <c r="E6788" s="8" t="s">
        <v>654</v>
      </c>
      <c r="F6788" s="8" t="s">
        <v>1989</v>
      </c>
    </row>
    <row r="6789" spans="1:6" ht="60" x14ac:dyDescent="0.25">
      <c r="A6789" s="8" t="s">
        <v>125</v>
      </c>
      <c r="B6789" s="8" t="s">
        <v>130</v>
      </c>
      <c r="C6789" s="8" t="str">
        <f>IFERROR(_xlfn.XLOOKUP(TRIM(B6789),Lookup!$B$2:$B$1000,Lookup!$C$2:$C$1000),"")</f>
        <v>Equity</v>
      </c>
      <c r="D6789" s="8" t="str">
        <f>IFERROR(INDEX('nav master'!$C:$C, MATCH(B6789, 'nav master'!$B:$B, 0)), "")</f>
        <v>ULIF03501/01/10BlueChipFd101</v>
      </c>
      <c r="E6789" s="8" t="s">
        <v>656</v>
      </c>
      <c r="F6789" s="8" t="s">
        <v>1990</v>
      </c>
    </row>
    <row r="6790" spans="1:6" ht="60" x14ac:dyDescent="0.25">
      <c r="A6790" s="8" t="s">
        <v>125</v>
      </c>
      <c r="B6790" s="8" t="s">
        <v>130</v>
      </c>
      <c r="C6790" s="8" t="str">
        <f>IFERROR(_xlfn.XLOOKUP(TRIM(B6790),Lookup!$B$2:$B$1000,Lookup!$C$2:$C$1000),"")</f>
        <v>Equity</v>
      </c>
      <c r="D6790" s="8" t="str">
        <f>IFERROR(INDEX('nav master'!$C:$C, MATCH(B6790, 'nav master'!$B:$B, 0)), "")</f>
        <v>ULIF03501/01/10BlueChipFd101</v>
      </c>
      <c r="E6790" s="8" t="s">
        <v>658</v>
      </c>
      <c r="F6790" s="8" t="s">
        <v>1991</v>
      </c>
    </row>
    <row r="6791" spans="1:6" ht="60" x14ac:dyDescent="0.25">
      <c r="A6791" s="8" t="s">
        <v>125</v>
      </c>
      <c r="B6791" s="8" t="s">
        <v>130</v>
      </c>
      <c r="C6791" s="8" t="str">
        <f>IFERROR(_xlfn.XLOOKUP(TRIM(B6791),Lookup!$B$2:$B$1000,Lookup!$C$2:$C$1000),"")</f>
        <v>Equity</v>
      </c>
      <c r="D6791" s="8" t="str">
        <f>IFERROR(INDEX('nav master'!$C:$C, MATCH(B6791, 'nav master'!$B:$B, 0)), "")</f>
        <v>ULIF03501/01/10BlueChipFd101</v>
      </c>
      <c r="E6791" s="8" t="s">
        <v>660</v>
      </c>
      <c r="F6791" s="8" t="s">
        <v>1992</v>
      </c>
    </row>
    <row r="6792" spans="1:6" ht="60" x14ac:dyDescent="0.25">
      <c r="A6792" s="8" t="s">
        <v>125</v>
      </c>
      <c r="B6792" s="8" t="s">
        <v>130</v>
      </c>
      <c r="C6792" s="8" t="str">
        <f>IFERROR(_xlfn.XLOOKUP(TRIM(B6792),Lookup!$B$2:$B$1000,Lookup!$C$2:$C$1000),"")</f>
        <v>Equity</v>
      </c>
      <c r="D6792" s="8" t="str">
        <f>IFERROR(INDEX('nav master'!$C:$C, MATCH(B6792, 'nav master'!$B:$B, 0)), "")</f>
        <v>ULIF03501/01/10BlueChipFd101</v>
      </c>
      <c r="E6792" s="8" t="s">
        <v>662</v>
      </c>
      <c r="F6792" s="8" t="s">
        <v>1993</v>
      </c>
    </row>
    <row r="6793" spans="1:6" ht="60" x14ac:dyDescent="0.25">
      <c r="A6793" s="8" t="s">
        <v>125</v>
      </c>
      <c r="B6793" s="8" t="s">
        <v>130</v>
      </c>
      <c r="C6793" s="8" t="str">
        <f>IFERROR(_xlfn.XLOOKUP(TRIM(B6793),Lookup!$B$2:$B$1000,Lookup!$C$2:$C$1000),"")</f>
        <v>Equity</v>
      </c>
      <c r="D6793" s="8" t="str">
        <f>IFERROR(INDEX('nav master'!$C:$C, MATCH(B6793, 'nav master'!$B:$B, 0)), "")</f>
        <v>ULIF03501/01/10BlueChipFd101</v>
      </c>
      <c r="E6793" s="8" t="s">
        <v>664</v>
      </c>
      <c r="F6793" s="8" t="s">
        <v>1994</v>
      </c>
    </row>
    <row r="6794" spans="1:6" ht="60" x14ac:dyDescent="0.25">
      <c r="A6794" s="8" t="s">
        <v>125</v>
      </c>
      <c r="B6794" s="8" t="s">
        <v>130</v>
      </c>
      <c r="C6794" s="8" t="str">
        <f>IFERROR(_xlfn.XLOOKUP(TRIM(B6794),Lookup!$B$2:$B$1000,Lookup!$C$2:$C$1000),"")</f>
        <v>Equity</v>
      </c>
      <c r="D6794" s="8" t="str">
        <f>IFERROR(INDEX('nav master'!$C:$C, MATCH(B6794, 'nav master'!$B:$B, 0)), "")</f>
        <v>ULIF03501/01/10BlueChipFd101</v>
      </c>
      <c r="E6794" s="8" t="s">
        <v>4892</v>
      </c>
      <c r="F6794" s="8" t="s">
        <v>4945</v>
      </c>
    </row>
    <row r="6795" spans="1:6" ht="60" x14ac:dyDescent="0.25">
      <c r="A6795" s="8" t="s">
        <v>125</v>
      </c>
      <c r="B6795" s="8" t="s">
        <v>130</v>
      </c>
      <c r="C6795" s="8" t="str">
        <f>IFERROR(_xlfn.XLOOKUP(TRIM(B6795),Lookup!$B$2:$B$1000,Lookup!$C$2:$C$1000),"")</f>
        <v>Equity</v>
      </c>
      <c r="D6795" s="8" t="str">
        <f>IFERROR(INDEX('nav master'!$C:$C, MATCH(B6795, 'nav master'!$B:$B, 0)), "")</f>
        <v>ULIF03501/01/10BlueChipFd101</v>
      </c>
      <c r="E6795" s="8" t="s">
        <v>4894</v>
      </c>
      <c r="F6795" s="8" t="s">
        <v>4946</v>
      </c>
    </row>
    <row r="6796" spans="1:6" ht="60" x14ac:dyDescent="0.25">
      <c r="A6796" s="8" t="s">
        <v>125</v>
      </c>
      <c r="B6796" s="8" t="s">
        <v>130</v>
      </c>
      <c r="C6796" s="8" t="str">
        <f>IFERROR(_xlfn.XLOOKUP(TRIM(B6796),Lookup!$B$2:$B$1000,Lookup!$C$2:$C$1000),"")</f>
        <v>Equity</v>
      </c>
      <c r="D6796" s="8" t="str">
        <f>IFERROR(INDEX('nav master'!$C:$C, MATCH(B6796, 'nav master'!$B:$B, 0)), "")</f>
        <v>ULIF03501/01/10BlueChipFd101</v>
      </c>
      <c r="E6796" s="8" t="s">
        <v>4896</v>
      </c>
      <c r="F6796" s="8" t="s">
        <v>4947</v>
      </c>
    </row>
    <row r="6797" spans="1:6" ht="60" x14ac:dyDescent="0.25">
      <c r="A6797" s="8" t="s">
        <v>125</v>
      </c>
      <c r="B6797" s="8" t="s">
        <v>130</v>
      </c>
      <c r="C6797" s="8" t="str">
        <f>IFERROR(_xlfn.XLOOKUP(TRIM(B6797),Lookup!$B$2:$B$1000,Lookup!$C$2:$C$1000),"")</f>
        <v>Equity</v>
      </c>
      <c r="D6797" s="8" t="str">
        <f>IFERROR(INDEX('nav master'!$C:$C, MATCH(B6797, 'nav master'!$B:$B, 0)), "")</f>
        <v>ULIF03501/01/10BlueChipFd101</v>
      </c>
      <c r="E6797" s="8" t="s">
        <v>4898</v>
      </c>
      <c r="F6797" s="8" t="s">
        <v>4948</v>
      </c>
    </row>
    <row r="6798" spans="1:6" ht="60" x14ac:dyDescent="0.25">
      <c r="A6798" s="8" t="s">
        <v>125</v>
      </c>
      <c r="B6798" s="8" t="s">
        <v>130</v>
      </c>
      <c r="C6798" s="8" t="str">
        <f>IFERROR(_xlfn.XLOOKUP(TRIM(B6798),Lookup!$B$2:$B$1000,Lookup!$C$2:$C$1000),"")</f>
        <v>Equity</v>
      </c>
      <c r="D6798" s="8" t="str">
        <f>IFERROR(INDEX('nav master'!$C:$C, MATCH(B6798, 'nav master'!$B:$B, 0)), "")</f>
        <v>ULIF03501/01/10BlueChipFd101</v>
      </c>
      <c r="E6798" s="8" t="s">
        <v>4900</v>
      </c>
      <c r="F6798" s="8" t="s">
        <v>4949</v>
      </c>
    </row>
    <row r="6799" spans="1:6" ht="60" x14ac:dyDescent="0.25">
      <c r="A6799" s="8" t="s">
        <v>125</v>
      </c>
      <c r="B6799" s="8" t="s">
        <v>130</v>
      </c>
      <c r="C6799" s="8" t="str">
        <f>IFERROR(_xlfn.XLOOKUP(TRIM(B6799),Lookup!$B$2:$B$1000,Lookup!$C$2:$C$1000),"")</f>
        <v>Equity</v>
      </c>
      <c r="D6799" s="8" t="str">
        <f>IFERROR(INDEX('nav master'!$C:$C, MATCH(B6799, 'nav master'!$B:$B, 0)), "")</f>
        <v>ULIF03501/01/10BlueChipFd101</v>
      </c>
      <c r="E6799" s="8" t="s">
        <v>4902</v>
      </c>
      <c r="F6799" s="8" t="s">
        <v>1928</v>
      </c>
    </row>
    <row r="6800" spans="1:6" ht="60" x14ac:dyDescent="0.25">
      <c r="A6800" s="8" t="s">
        <v>125</v>
      </c>
      <c r="B6800" s="8" t="s">
        <v>130</v>
      </c>
      <c r="C6800" s="8" t="str">
        <f>IFERROR(_xlfn.XLOOKUP(TRIM(B6800),Lookup!$B$2:$B$1000,Lookup!$C$2:$C$1000),"")</f>
        <v>Equity</v>
      </c>
      <c r="D6800" s="8" t="str">
        <f>IFERROR(INDEX('nav master'!$C:$C, MATCH(B6800, 'nav master'!$B:$B, 0)), "")</f>
        <v>ULIF03501/01/10BlueChipFd101</v>
      </c>
      <c r="E6800" s="8" t="s">
        <v>4903</v>
      </c>
      <c r="F6800" s="8" t="s">
        <v>4950</v>
      </c>
    </row>
    <row r="6801" spans="1:6" ht="60" x14ac:dyDescent="0.25">
      <c r="A6801" s="8" t="s">
        <v>125</v>
      </c>
      <c r="B6801" s="8" t="s">
        <v>130</v>
      </c>
      <c r="C6801" s="8" t="str">
        <f>IFERROR(_xlfn.XLOOKUP(TRIM(B6801),Lookup!$B$2:$B$1000,Lookup!$C$2:$C$1000),"")</f>
        <v>Equity</v>
      </c>
      <c r="D6801" s="8" t="str">
        <f>IFERROR(INDEX('nav master'!$C:$C, MATCH(B6801, 'nav master'!$B:$B, 0)), "")</f>
        <v>ULIF03501/01/10BlueChipFd101</v>
      </c>
      <c r="E6801" s="8" t="s">
        <v>4905</v>
      </c>
      <c r="F6801" s="8" t="s">
        <v>4951</v>
      </c>
    </row>
    <row r="6802" spans="1:6" ht="60" x14ac:dyDescent="0.25">
      <c r="A6802" s="8" t="s">
        <v>125</v>
      </c>
      <c r="B6802" s="8" t="s">
        <v>40</v>
      </c>
      <c r="C6802" s="8" t="str">
        <f>IFERROR(_xlfn.XLOOKUP(TRIM(B6802),Lookup!$B$2:$B$1000,Lookup!$C$2:$C$1000),"")</f>
        <v>Equity</v>
      </c>
      <c r="D6802" s="8" t="str">
        <f>IFERROR(INDEX('nav master'!$C:$C, MATCH(B6802, 'nav master'!$B:$B, 0)), "")</f>
        <v>ULIF 086 24/11/09 LOpport 105</v>
      </c>
      <c r="E6802" s="8" t="s">
        <v>189</v>
      </c>
      <c r="F6802" s="8" t="s">
        <v>1995</v>
      </c>
    </row>
    <row r="6803" spans="1:6" ht="60" x14ac:dyDescent="0.25">
      <c r="A6803" s="8" t="s">
        <v>125</v>
      </c>
      <c r="B6803" s="8" t="s">
        <v>40</v>
      </c>
      <c r="C6803" s="8" t="str">
        <f>IFERROR(_xlfn.XLOOKUP(TRIM(B6803),Lookup!$B$2:$B$1000,Lookup!$C$2:$C$1000),"")</f>
        <v>Equity</v>
      </c>
      <c r="D6803" s="8" t="str">
        <f>IFERROR(INDEX('nav master'!$C:$C, MATCH(B6803, 'nav master'!$B:$B, 0)), "")</f>
        <v>ULIF 086 24/11/09 LOpport 105</v>
      </c>
      <c r="E6803" s="8" t="s">
        <v>191</v>
      </c>
      <c r="F6803" s="8" t="s">
        <v>1996</v>
      </c>
    </row>
    <row r="6804" spans="1:6" ht="60" x14ac:dyDescent="0.25">
      <c r="A6804" s="8" t="s">
        <v>125</v>
      </c>
      <c r="B6804" s="8" t="s">
        <v>40</v>
      </c>
      <c r="C6804" s="8" t="str">
        <f>IFERROR(_xlfn.XLOOKUP(TRIM(B6804),Lookup!$B$2:$B$1000,Lookup!$C$2:$C$1000),"")</f>
        <v>Equity</v>
      </c>
      <c r="D6804" s="8" t="str">
        <f>IFERROR(INDEX('nav master'!$C:$C, MATCH(B6804, 'nav master'!$B:$B, 0)), "")</f>
        <v>ULIF 086 24/11/09 LOpport 105</v>
      </c>
      <c r="E6804" s="8" t="s">
        <v>193</v>
      </c>
      <c r="F6804" s="8" t="s">
        <v>1997</v>
      </c>
    </row>
    <row r="6805" spans="1:6" ht="60" x14ac:dyDescent="0.25">
      <c r="A6805" s="8" t="s">
        <v>125</v>
      </c>
      <c r="B6805" s="8" t="s">
        <v>40</v>
      </c>
      <c r="C6805" s="8" t="str">
        <f>IFERROR(_xlfn.XLOOKUP(TRIM(B6805),Lookup!$B$2:$B$1000,Lookup!$C$2:$C$1000),"")</f>
        <v>Equity</v>
      </c>
      <c r="D6805" s="8" t="str">
        <f>IFERROR(INDEX('nav master'!$C:$C, MATCH(B6805, 'nav master'!$B:$B, 0)), "")</f>
        <v>ULIF 086 24/11/09 LOpport 105</v>
      </c>
      <c r="E6805" s="8" t="s">
        <v>195</v>
      </c>
      <c r="F6805" s="8" t="s">
        <v>1998</v>
      </c>
    </row>
    <row r="6806" spans="1:6" ht="60" x14ac:dyDescent="0.25">
      <c r="A6806" s="8" t="s">
        <v>125</v>
      </c>
      <c r="B6806" s="8" t="s">
        <v>40</v>
      </c>
      <c r="C6806" s="8" t="str">
        <f>IFERROR(_xlfn.XLOOKUP(TRIM(B6806),Lookup!$B$2:$B$1000,Lookup!$C$2:$C$1000),"")</f>
        <v>Equity</v>
      </c>
      <c r="D6806" s="8" t="str">
        <f>IFERROR(INDEX('nav master'!$C:$C, MATCH(B6806, 'nav master'!$B:$B, 0)), "")</f>
        <v>ULIF 086 24/11/09 LOpport 105</v>
      </c>
      <c r="E6806" s="8" t="s">
        <v>197</v>
      </c>
      <c r="F6806" s="8" t="s">
        <v>1999</v>
      </c>
    </row>
    <row r="6807" spans="1:6" ht="60" x14ac:dyDescent="0.25">
      <c r="A6807" s="8" t="s">
        <v>125</v>
      </c>
      <c r="B6807" s="8" t="s">
        <v>40</v>
      </c>
      <c r="C6807" s="8" t="str">
        <f>IFERROR(_xlfn.XLOOKUP(TRIM(B6807),Lookup!$B$2:$B$1000,Lookup!$C$2:$C$1000),"")</f>
        <v>Equity</v>
      </c>
      <c r="D6807" s="8" t="str">
        <f>IFERROR(INDEX('nav master'!$C:$C, MATCH(B6807, 'nav master'!$B:$B, 0)), "")</f>
        <v>ULIF 086 24/11/09 LOpport 105</v>
      </c>
      <c r="E6807" s="8" t="s">
        <v>199</v>
      </c>
      <c r="F6807" s="8" t="s">
        <v>2000</v>
      </c>
    </row>
    <row r="6808" spans="1:6" ht="60" x14ac:dyDescent="0.25">
      <c r="A6808" s="8" t="s">
        <v>125</v>
      </c>
      <c r="B6808" s="8" t="s">
        <v>40</v>
      </c>
      <c r="C6808" s="8" t="str">
        <f>IFERROR(_xlfn.XLOOKUP(TRIM(B6808),Lookup!$B$2:$B$1000,Lookup!$C$2:$C$1000),"")</f>
        <v>Equity</v>
      </c>
      <c r="D6808" s="8" t="str">
        <f>IFERROR(INDEX('nav master'!$C:$C, MATCH(B6808, 'nav master'!$B:$B, 0)), "")</f>
        <v>ULIF 086 24/11/09 LOpport 105</v>
      </c>
      <c r="E6808" s="8" t="s">
        <v>201</v>
      </c>
      <c r="F6808" s="8" t="s">
        <v>2001</v>
      </c>
    </row>
    <row r="6809" spans="1:6" ht="60" x14ac:dyDescent="0.25">
      <c r="A6809" s="8" t="s">
        <v>125</v>
      </c>
      <c r="B6809" s="8" t="s">
        <v>40</v>
      </c>
      <c r="C6809" s="8" t="str">
        <f>IFERROR(_xlfn.XLOOKUP(TRIM(B6809),Lookup!$B$2:$B$1000,Lookup!$C$2:$C$1000),"")</f>
        <v>Equity</v>
      </c>
      <c r="D6809" s="8" t="str">
        <f>IFERROR(INDEX('nav master'!$C:$C, MATCH(B6809, 'nav master'!$B:$B, 0)), "")</f>
        <v>ULIF 086 24/11/09 LOpport 105</v>
      </c>
      <c r="E6809" s="8" t="s">
        <v>203</v>
      </c>
      <c r="F6809" s="8" t="s">
        <v>2002</v>
      </c>
    </row>
    <row r="6810" spans="1:6" ht="60" x14ac:dyDescent="0.25">
      <c r="A6810" s="8" t="s">
        <v>125</v>
      </c>
      <c r="B6810" s="8" t="s">
        <v>40</v>
      </c>
      <c r="C6810" s="8" t="str">
        <f>IFERROR(_xlfn.XLOOKUP(TRIM(B6810),Lookup!$B$2:$B$1000,Lookup!$C$2:$C$1000),"")</f>
        <v>Equity</v>
      </c>
      <c r="D6810" s="8" t="str">
        <f>IFERROR(INDEX('nav master'!$C:$C, MATCH(B6810, 'nav master'!$B:$B, 0)), "")</f>
        <v>ULIF 086 24/11/09 LOpport 105</v>
      </c>
      <c r="E6810" s="8" t="s">
        <v>205</v>
      </c>
      <c r="F6810" s="8" t="s">
        <v>2003</v>
      </c>
    </row>
    <row r="6811" spans="1:6" ht="60" x14ac:dyDescent="0.25">
      <c r="A6811" s="8" t="s">
        <v>125</v>
      </c>
      <c r="B6811" s="8" t="s">
        <v>40</v>
      </c>
      <c r="C6811" s="8" t="str">
        <f>IFERROR(_xlfn.XLOOKUP(TRIM(B6811),Lookup!$B$2:$B$1000,Lookup!$C$2:$C$1000),"")</f>
        <v>Equity</v>
      </c>
      <c r="D6811" s="8" t="str">
        <f>IFERROR(INDEX('nav master'!$C:$C, MATCH(B6811, 'nav master'!$B:$B, 0)), "")</f>
        <v>ULIF 086 24/11/09 LOpport 105</v>
      </c>
      <c r="E6811" s="8" t="s">
        <v>207</v>
      </c>
      <c r="F6811" s="8" t="s">
        <v>2004</v>
      </c>
    </row>
    <row r="6812" spans="1:6" ht="60" x14ac:dyDescent="0.25">
      <c r="A6812" s="8" t="s">
        <v>125</v>
      </c>
      <c r="B6812" s="8" t="s">
        <v>40</v>
      </c>
      <c r="C6812" s="8" t="str">
        <f>IFERROR(_xlfn.XLOOKUP(TRIM(B6812),Lookup!$B$2:$B$1000,Lookup!$C$2:$C$1000),"")</f>
        <v>Equity</v>
      </c>
      <c r="D6812" s="8" t="str">
        <f>IFERROR(INDEX('nav master'!$C:$C, MATCH(B6812, 'nav master'!$B:$B, 0)), "")</f>
        <v>ULIF 086 24/11/09 LOpport 105</v>
      </c>
      <c r="E6812" s="8" t="s">
        <v>209</v>
      </c>
      <c r="F6812" s="8" t="s">
        <v>2005</v>
      </c>
    </row>
    <row r="6813" spans="1:6" ht="60" x14ac:dyDescent="0.25">
      <c r="A6813" s="8" t="s">
        <v>125</v>
      </c>
      <c r="B6813" s="8" t="s">
        <v>40</v>
      </c>
      <c r="C6813" s="8" t="str">
        <f>IFERROR(_xlfn.XLOOKUP(TRIM(B6813),Lookup!$B$2:$B$1000,Lookup!$C$2:$C$1000),"")</f>
        <v>Equity</v>
      </c>
      <c r="D6813" s="8" t="str">
        <f>IFERROR(INDEX('nav master'!$C:$C, MATCH(B6813, 'nav master'!$B:$B, 0)), "")</f>
        <v>ULIF 086 24/11/09 LOpport 105</v>
      </c>
      <c r="E6813" s="8" t="s">
        <v>211</v>
      </c>
      <c r="F6813" s="8" t="s">
        <v>2006</v>
      </c>
    </row>
    <row r="6814" spans="1:6" ht="60" x14ac:dyDescent="0.25">
      <c r="A6814" s="8" t="s">
        <v>125</v>
      </c>
      <c r="B6814" s="8" t="s">
        <v>40</v>
      </c>
      <c r="C6814" s="8" t="str">
        <f>IFERROR(_xlfn.XLOOKUP(TRIM(B6814),Lookup!$B$2:$B$1000,Lookup!$C$2:$C$1000),"")</f>
        <v>Equity</v>
      </c>
      <c r="D6814" s="8" t="str">
        <f>IFERROR(INDEX('nav master'!$C:$C, MATCH(B6814, 'nav master'!$B:$B, 0)), "")</f>
        <v>ULIF 086 24/11/09 LOpport 105</v>
      </c>
      <c r="E6814" s="8" t="s">
        <v>213</v>
      </c>
      <c r="F6814" s="8" t="s">
        <v>2007</v>
      </c>
    </row>
    <row r="6815" spans="1:6" ht="60" x14ac:dyDescent="0.25">
      <c r="A6815" s="8" t="s">
        <v>125</v>
      </c>
      <c r="B6815" s="8" t="s">
        <v>40</v>
      </c>
      <c r="C6815" s="8" t="str">
        <f>IFERROR(_xlfn.XLOOKUP(TRIM(B6815),Lookup!$B$2:$B$1000,Lookup!$C$2:$C$1000),"")</f>
        <v>Equity</v>
      </c>
      <c r="D6815" s="8" t="str">
        <f>IFERROR(INDEX('nav master'!$C:$C, MATCH(B6815, 'nav master'!$B:$B, 0)), "")</f>
        <v>ULIF 086 24/11/09 LOpport 105</v>
      </c>
      <c r="E6815" s="8" t="s">
        <v>215</v>
      </c>
      <c r="F6815" s="8" t="s">
        <v>2008</v>
      </c>
    </row>
    <row r="6816" spans="1:6" ht="60" x14ac:dyDescent="0.25">
      <c r="A6816" s="8" t="s">
        <v>125</v>
      </c>
      <c r="B6816" s="8" t="s">
        <v>40</v>
      </c>
      <c r="C6816" s="8" t="str">
        <f>IFERROR(_xlfn.XLOOKUP(TRIM(B6816),Lookup!$B$2:$B$1000,Lookup!$C$2:$C$1000),"")</f>
        <v>Equity</v>
      </c>
      <c r="D6816" s="8" t="str">
        <f>IFERROR(INDEX('nav master'!$C:$C, MATCH(B6816, 'nav master'!$B:$B, 0)), "")</f>
        <v>ULIF 086 24/11/09 LOpport 105</v>
      </c>
      <c r="E6816" s="8" t="s">
        <v>217</v>
      </c>
      <c r="F6816" s="8" t="s">
        <v>2009</v>
      </c>
    </row>
    <row r="6817" spans="1:6" ht="60" x14ac:dyDescent="0.25">
      <c r="A6817" s="8" t="s">
        <v>125</v>
      </c>
      <c r="B6817" s="8" t="s">
        <v>40</v>
      </c>
      <c r="C6817" s="8" t="str">
        <f>IFERROR(_xlfn.XLOOKUP(TRIM(B6817),Lookup!$B$2:$B$1000,Lookup!$C$2:$C$1000),"")</f>
        <v>Equity</v>
      </c>
      <c r="D6817" s="8" t="str">
        <f>IFERROR(INDEX('nav master'!$C:$C, MATCH(B6817, 'nav master'!$B:$B, 0)), "")</f>
        <v>ULIF 086 24/11/09 LOpport 105</v>
      </c>
      <c r="E6817" s="8" t="s">
        <v>219</v>
      </c>
      <c r="F6817" s="8" t="s">
        <v>2010</v>
      </c>
    </row>
    <row r="6818" spans="1:6" ht="60" x14ac:dyDescent="0.25">
      <c r="A6818" s="8" t="s">
        <v>125</v>
      </c>
      <c r="B6818" s="8" t="s">
        <v>40</v>
      </c>
      <c r="C6818" s="8" t="str">
        <f>IFERROR(_xlfn.XLOOKUP(TRIM(B6818),Lookup!$B$2:$B$1000,Lookup!$C$2:$C$1000),"")</f>
        <v>Equity</v>
      </c>
      <c r="D6818" s="8" t="str">
        <f>IFERROR(INDEX('nav master'!$C:$C, MATCH(B6818, 'nav master'!$B:$B, 0)), "")</f>
        <v>ULIF 086 24/11/09 LOpport 105</v>
      </c>
      <c r="E6818" s="8" t="s">
        <v>221</v>
      </c>
      <c r="F6818" s="8" t="s">
        <v>2011</v>
      </c>
    </row>
    <row r="6819" spans="1:6" ht="60" x14ac:dyDescent="0.25">
      <c r="A6819" s="8" t="s">
        <v>125</v>
      </c>
      <c r="B6819" s="8" t="s">
        <v>40</v>
      </c>
      <c r="C6819" s="8" t="str">
        <f>IFERROR(_xlfn.XLOOKUP(TRIM(B6819),Lookup!$B$2:$B$1000,Lookup!$C$2:$C$1000),"")</f>
        <v>Equity</v>
      </c>
      <c r="D6819" s="8" t="str">
        <f>IFERROR(INDEX('nav master'!$C:$C, MATCH(B6819, 'nav master'!$B:$B, 0)), "")</f>
        <v>ULIF 086 24/11/09 LOpport 105</v>
      </c>
      <c r="E6819" s="8" t="s">
        <v>223</v>
      </c>
      <c r="F6819" s="8" t="s">
        <v>2012</v>
      </c>
    </row>
    <row r="6820" spans="1:6" ht="60" x14ac:dyDescent="0.25">
      <c r="A6820" s="8" t="s">
        <v>125</v>
      </c>
      <c r="B6820" s="8" t="s">
        <v>40</v>
      </c>
      <c r="C6820" s="8" t="str">
        <f>IFERROR(_xlfn.XLOOKUP(TRIM(B6820),Lookup!$B$2:$B$1000,Lookup!$C$2:$C$1000),"")</f>
        <v>Equity</v>
      </c>
      <c r="D6820" s="8" t="str">
        <f>IFERROR(INDEX('nav master'!$C:$C, MATCH(B6820, 'nav master'!$B:$B, 0)), "")</f>
        <v>ULIF 086 24/11/09 LOpport 105</v>
      </c>
      <c r="E6820" s="8" t="s">
        <v>225</v>
      </c>
      <c r="F6820" s="8" t="s">
        <v>2013</v>
      </c>
    </row>
    <row r="6821" spans="1:6" ht="60" x14ac:dyDescent="0.25">
      <c r="A6821" s="8" t="s">
        <v>125</v>
      </c>
      <c r="B6821" s="8" t="s">
        <v>40</v>
      </c>
      <c r="C6821" s="8" t="str">
        <f>IFERROR(_xlfn.XLOOKUP(TRIM(B6821),Lookup!$B$2:$B$1000,Lookup!$C$2:$C$1000),"")</f>
        <v>Equity</v>
      </c>
      <c r="D6821" s="8" t="str">
        <f>IFERROR(INDEX('nav master'!$C:$C, MATCH(B6821, 'nav master'!$B:$B, 0)), "")</f>
        <v>ULIF 086 24/11/09 LOpport 105</v>
      </c>
      <c r="E6821" s="8" t="s">
        <v>227</v>
      </c>
      <c r="F6821" s="8" t="s">
        <v>2014</v>
      </c>
    </row>
    <row r="6822" spans="1:6" ht="60" x14ac:dyDescent="0.25">
      <c r="A6822" s="8" t="s">
        <v>125</v>
      </c>
      <c r="B6822" s="8" t="s">
        <v>40</v>
      </c>
      <c r="C6822" s="8" t="str">
        <f>IFERROR(_xlfn.XLOOKUP(TRIM(B6822),Lookup!$B$2:$B$1000,Lookup!$C$2:$C$1000),"")</f>
        <v>Equity</v>
      </c>
      <c r="D6822" s="8" t="str">
        <f>IFERROR(INDEX('nav master'!$C:$C, MATCH(B6822, 'nav master'!$B:$B, 0)), "")</f>
        <v>ULIF 086 24/11/09 LOpport 105</v>
      </c>
      <c r="E6822" s="8" t="s">
        <v>229</v>
      </c>
      <c r="F6822" s="8" t="s">
        <v>2015</v>
      </c>
    </row>
    <row r="6823" spans="1:6" ht="60" x14ac:dyDescent="0.25">
      <c r="A6823" s="8" t="s">
        <v>125</v>
      </c>
      <c r="B6823" s="8" t="s">
        <v>40</v>
      </c>
      <c r="C6823" s="8" t="str">
        <f>IFERROR(_xlfn.XLOOKUP(TRIM(B6823),Lookup!$B$2:$B$1000,Lookup!$C$2:$C$1000),"")</f>
        <v>Equity</v>
      </c>
      <c r="D6823" s="8" t="str">
        <f>IFERROR(INDEX('nav master'!$C:$C, MATCH(B6823, 'nav master'!$B:$B, 0)), "")</f>
        <v>ULIF 086 24/11/09 LOpport 105</v>
      </c>
      <c r="E6823" s="8" t="s">
        <v>231</v>
      </c>
      <c r="F6823" s="8" t="s">
        <v>2016</v>
      </c>
    </row>
    <row r="6824" spans="1:6" ht="60" x14ac:dyDescent="0.25">
      <c r="A6824" s="8" t="s">
        <v>125</v>
      </c>
      <c r="B6824" s="8" t="s">
        <v>40</v>
      </c>
      <c r="C6824" s="8" t="str">
        <f>IFERROR(_xlfn.XLOOKUP(TRIM(B6824),Lookup!$B$2:$B$1000,Lookup!$C$2:$C$1000),"")</f>
        <v>Equity</v>
      </c>
      <c r="D6824" s="8" t="str">
        <f>IFERROR(INDEX('nav master'!$C:$C, MATCH(B6824, 'nav master'!$B:$B, 0)), "")</f>
        <v>ULIF 086 24/11/09 LOpport 105</v>
      </c>
      <c r="E6824" s="8" t="s">
        <v>233</v>
      </c>
      <c r="F6824" s="8" t="s">
        <v>2017</v>
      </c>
    </row>
    <row r="6825" spans="1:6" ht="60" x14ac:dyDescent="0.25">
      <c r="A6825" s="8" t="s">
        <v>125</v>
      </c>
      <c r="B6825" s="8" t="s">
        <v>40</v>
      </c>
      <c r="C6825" s="8" t="str">
        <f>IFERROR(_xlfn.XLOOKUP(TRIM(B6825),Lookup!$B$2:$B$1000,Lookup!$C$2:$C$1000),"")</f>
        <v>Equity</v>
      </c>
      <c r="D6825" s="8" t="str">
        <f>IFERROR(INDEX('nav master'!$C:$C, MATCH(B6825, 'nav master'!$B:$B, 0)), "")</f>
        <v>ULIF 086 24/11/09 LOpport 105</v>
      </c>
      <c r="E6825" s="8" t="s">
        <v>235</v>
      </c>
      <c r="F6825" s="8" t="s">
        <v>2018</v>
      </c>
    </row>
    <row r="6826" spans="1:6" ht="60" x14ac:dyDescent="0.25">
      <c r="A6826" s="8" t="s">
        <v>125</v>
      </c>
      <c r="B6826" s="8" t="s">
        <v>40</v>
      </c>
      <c r="C6826" s="8" t="str">
        <f>IFERROR(_xlfn.XLOOKUP(TRIM(B6826),Lookup!$B$2:$B$1000,Lookup!$C$2:$C$1000),"")</f>
        <v>Equity</v>
      </c>
      <c r="D6826" s="8" t="str">
        <f>IFERROR(INDEX('nav master'!$C:$C, MATCH(B6826, 'nav master'!$B:$B, 0)), "")</f>
        <v>ULIF 086 24/11/09 LOpport 105</v>
      </c>
      <c r="E6826" s="8" t="s">
        <v>237</v>
      </c>
      <c r="F6826" s="8" t="s">
        <v>2019</v>
      </c>
    </row>
    <row r="6827" spans="1:6" ht="60" x14ac:dyDescent="0.25">
      <c r="A6827" s="8" t="s">
        <v>125</v>
      </c>
      <c r="B6827" s="8" t="s">
        <v>40</v>
      </c>
      <c r="C6827" s="8" t="str">
        <f>IFERROR(_xlfn.XLOOKUP(TRIM(B6827),Lookup!$B$2:$B$1000,Lookup!$C$2:$C$1000),"")</f>
        <v>Equity</v>
      </c>
      <c r="D6827" s="8" t="str">
        <f>IFERROR(INDEX('nav master'!$C:$C, MATCH(B6827, 'nav master'!$B:$B, 0)), "")</f>
        <v>ULIF 086 24/11/09 LOpport 105</v>
      </c>
      <c r="E6827" s="8" t="s">
        <v>239</v>
      </c>
      <c r="F6827" s="8" t="s">
        <v>2020</v>
      </c>
    </row>
    <row r="6828" spans="1:6" ht="60" x14ac:dyDescent="0.25">
      <c r="A6828" s="8" t="s">
        <v>125</v>
      </c>
      <c r="B6828" s="8" t="s">
        <v>40</v>
      </c>
      <c r="C6828" s="8" t="str">
        <f>IFERROR(_xlfn.XLOOKUP(TRIM(B6828),Lookup!$B$2:$B$1000,Lookup!$C$2:$C$1000),"")</f>
        <v>Equity</v>
      </c>
      <c r="D6828" s="8" t="str">
        <f>IFERROR(INDEX('nav master'!$C:$C, MATCH(B6828, 'nav master'!$B:$B, 0)), "")</f>
        <v>ULIF 086 24/11/09 LOpport 105</v>
      </c>
      <c r="E6828" s="8" t="s">
        <v>241</v>
      </c>
      <c r="F6828" s="8" t="s">
        <v>2021</v>
      </c>
    </row>
    <row r="6829" spans="1:6" ht="60" x14ac:dyDescent="0.25">
      <c r="A6829" s="8" t="s">
        <v>125</v>
      </c>
      <c r="B6829" s="8" t="s">
        <v>40</v>
      </c>
      <c r="C6829" s="8" t="str">
        <f>IFERROR(_xlfn.XLOOKUP(TRIM(B6829),Lookup!$B$2:$B$1000,Lookup!$C$2:$C$1000),"")</f>
        <v>Equity</v>
      </c>
      <c r="D6829" s="8" t="str">
        <f>IFERROR(INDEX('nav master'!$C:$C, MATCH(B6829, 'nav master'!$B:$B, 0)), "")</f>
        <v>ULIF 086 24/11/09 LOpport 105</v>
      </c>
      <c r="E6829" s="8" t="s">
        <v>243</v>
      </c>
      <c r="F6829" s="8" t="s">
        <v>2022</v>
      </c>
    </row>
    <row r="6830" spans="1:6" ht="60" x14ac:dyDescent="0.25">
      <c r="A6830" s="8" t="s">
        <v>125</v>
      </c>
      <c r="B6830" s="8" t="s">
        <v>40</v>
      </c>
      <c r="C6830" s="8" t="str">
        <f>IFERROR(_xlfn.XLOOKUP(TRIM(B6830),Lookup!$B$2:$B$1000,Lookup!$C$2:$C$1000),"")</f>
        <v>Equity</v>
      </c>
      <c r="D6830" s="8" t="str">
        <f>IFERROR(INDEX('nav master'!$C:$C, MATCH(B6830, 'nav master'!$B:$B, 0)), "")</f>
        <v>ULIF 086 24/11/09 LOpport 105</v>
      </c>
      <c r="E6830" s="8" t="s">
        <v>245</v>
      </c>
      <c r="F6830" s="8" t="s">
        <v>2023</v>
      </c>
    </row>
    <row r="6831" spans="1:6" ht="60" x14ac:dyDescent="0.25">
      <c r="A6831" s="8" t="s">
        <v>125</v>
      </c>
      <c r="B6831" s="8" t="s">
        <v>40</v>
      </c>
      <c r="C6831" s="8" t="str">
        <f>IFERROR(_xlfn.XLOOKUP(TRIM(B6831),Lookup!$B$2:$B$1000,Lookup!$C$2:$C$1000),"")</f>
        <v>Equity</v>
      </c>
      <c r="D6831" s="8" t="str">
        <f>IFERROR(INDEX('nav master'!$C:$C, MATCH(B6831, 'nav master'!$B:$B, 0)), "")</f>
        <v>ULIF 086 24/11/09 LOpport 105</v>
      </c>
      <c r="E6831" s="8" t="s">
        <v>247</v>
      </c>
      <c r="F6831" s="8" t="s">
        <v>2024</v>
      </c>
    </row>
    <row r="6832" spans="1:6" ht="60" x14ac:dyDescent="0.25">
      <c r="A6832" s="8" t="s">
        <v>125</v>
      </c>
      <c r="B6832" s="8" t="s">
        <v>40</v>
      </c>
      <c r="C6832" s="8" t="str">
        <f>IFERROR(_xlfn.XLOOKUP(TRIM(B6832),Lookup!$B$2:$B$1000,Lookup!$C$2:$C$1000),"")</f>
        <v>Equity</v>
      </c>
      <c r="D6832" s="8" t="str">
        <f>IFERROR(INDEX('nav master'!$C:$C, MATCH(B6832, 'nav master'!$B:$B, 0)), "")</f>
        <v>ULIF 086 24/11/09 LOpport 105</v>
      </c>
      <c r="E6832" s="8" t="s">
        <v>249</v>
      </c>
      <c r="F6832" s="8" t="s">
        <v>2025</v>
      </c>
    </row>
    <row r="6833" spans="1:6" ht="60" x14ac:dyDescent="0.25">
      <c r="A6833" s="8" t="s">
        <v>125</v>
      </c>
      <c r="B6833" s="8" t="s">
        <v>40</v>
      </c>
      <c r="C6833" s="8" t="str">
        <f>IFERROR(_xlfn.XLOOKUP(TRIM(B6833),Lookup!$B$2:$B$1000,Lookup!$C$2:$C$1000),"")</f>
        <v>Equity</v>
      </c>
      <c r="D6833" s="8" t="str">
        <f>IFERROR(INDEX('nav master'!$C:$C, MATCH(B6833, 'nav master'!$B:$B, 0)), "")</f>
        <v>ULIF 086 24/11/09 LOpport 105</v>
      </c>
      <c r="E6833" s="8" t="s">
        <v>251</v>
      </c>
      <c r="F6833" s="8" t="s">
        <v>2026</v>
      </c>
    </row>
    <row r="6834" spans="1:6" ht="60" x14ac:dyDescent="0.25">
      <c r="A6834" s="8" t="s">
        <v>125</v>
      </c>
      <c r="B6834" s="8" t="s">
        <v>40</v>
      </c>
      <c r="C6834" s="8" t="str">
        <f>IFERROR(_xlfn.XLOOKUP(TRIM(B6834),Lookup!$B$2:$B$1000,Lookup!$C$2:$C$1000),"")</f>
        <v>Equity</v>
      </c>
      <c r="D6834" s="8" t="str">
        <f>IFERROR(INDEX('nav master'!$C:$C, MATCH(B6834, 'nav master'!$B:$B, 0)), "")</f>
        <v>ULIF 086 24/11/09 LOpport 105</v>
      </c>
      <c r="E6834" s="8" t="s">
        <v>253</v>
      </c>
      <c r="F6834" s="8" t="s">
        <v>2027</v>
      </c>
    </row>
    <row r="6835" spans="1:6" ht="60" x14ac:dyDescent="0.25">
      <c r="A6835" s="8" t="s">
        <v>125</v>
      </c>
      <c r="B6835" s="8" t="s">
        <v>40</v>
      </c>
      <c r="C6835" s="8" t="str">
        <f>IFERROR(_xlfn.XLOOKUP(TRIM(B6835),Lookup!$B$2:$B$1000,Lookup!$C$2:$C$1000),"")</f>
        <v>Equity</v>
      </c>
      <c r="D6835" s="8" t="str">
        <f>IFERROR(INDEX('nav master'!$C:$C, MATCH(B6835, 'nav master'!$B:$B, 0)), "")</f>
        <v>ULIF 086 24/11/09 LOpport 105</v>
      </c>
      <c r="E6835" s="8" t="s">
        <v>255</v>
      </c>
      <c r="F6835" s="8" t="s">
        <v>2028</v>
      </c>
    </row>
    <row r="6836" spans="1:6" ht="60" x14ac:dyDescent="0.25">
      <c r="A6836" s="8" t="s">
        <v>125</v>
      </c>
      <c r="B6836" s="8" t="s">
        <v>40</v>
      </c>
      <c r="C6836" s="8" t="str">
        <f>IFERROR(_xlfn.XLOOKUP(TRIM(B6836),Lookup!$B$2:$B$1000,Lookup!$C$2:$C$1000),"")</f>
        <v>Equity</v>
      </c>
      <c r="D6836" s="8" t="str">
        <f>IFERROR(INDEX('nav master'!$C:$C, MATCH(B6836, 'nav master'!$B:$B, 0)), "")</f>
        <v>ULIF 086 24/11/09 LOpport 105</v>
      </c>
      <c r="E6836" s="8" t="s">
        <v>257</v>
      </c>
      <c r="F6836" s="8" t="s">
        <v>2029</v>
      </c>
    </row>
    <row r="6837" spans="1:6" ht="60" x14ac:dyDescent="0.25">
      <c r="A6837" s="8" t="s">
        <v>125</v>
      </c>
      <c r="B6837" s="8" t="s">
        <v>40</v>
      </c>
      <c r="C6837" s="8" t="str">
        <f>IFERROR(_xlfn.XLOOKUP(TRIM(B6837),Lookup!$B$2:$B$1000,Lookup!$C$2:$C$1000),"")</f>
        <v>Equity</v>
      </c>
      <c r="D6837" s="8" t="str">
        <f>IFERROR(INDEX('nav master'!$C:$C, MATCH(B6837, 'nav master'!$B:$B, 0)), "")</f>
        <v>ULIF 086 24/11/09 LOpport 105</v>
      </c>
      <c r="E6837" s="8" t="s">
        <v>259</v>
      </c>
      <c r="F6837" s="8" t="s">
        <v>2030</v>
      </c>
    </row>
    <row r="6838" spans="1:6" ht="60" x14ac:dyDescent="0.25">
      <c r="A6838" s="8" t="s">
        <v>125</v>
      </c>
      <c r="B6838" s="8" t="s">
        <v>40</v>
      </c>
      <c r="C6838" s="8" t="str">
        <f>IFERROR(_xlfn.XLOOKUP(TRIM(B6838),Lookup!$B$2:$B$1000,Lookup!$C$2:$C$1000),"")</f>
        <v>Equity</v>
      </c>
      <c r="D6838" s="8" t="str">
        <f>IFERROR(INDEX('nav master'!$C:$C, MATCH(B6838, 'nav master'!$B:$B, 0)), "")</f>
        <v>ULIF 086 24/11/09 LOpport 105</v>
      </c>
      <c r="E6838" s="8" t="s">
        <v>261</v>
      </c>
      <c r="F6838" s="8" t="s">
        <v>2031</v>
      </c>
    </row>
    <row r="6839" spans="1:6" ht="60" x14ac:dyDescent="0.25">
      <c r="A6839" s="8" t="s">
        <v>125</v>
      </c>
      <c r="B6839" s="8" t="s">
        <v>40</v>
      </c>
      <c r="C6839" s="8" t="str">
        <f>IFERROR(_xlfn.XLOOKUP(TRIM(B6839),Lookup!$B$2:$B$1000,Lookup!$C$2:$C$1000),"")</f>
        <v>Equity</v>
      </c>
      <c r="D6839" s="8" t="str">
        <f>IFERROR(INDEX('nav master'!$C:$C, MATCH(B6839, 'nav master'!$B:$B, 0)), "")</f>
        <v>ULIF 086 24/11/09 LOpport 105</v>
      </c>
      <c r="E6839" s="8" t="s">
        <v>263</v>
      </c>
      <c r="F6839" s="8" t="s">
        <v>2032</v>
      </c>
    </row>
    <row r="6840" spans="1:6" ht="60" x14ac:dyDescent="0.25">
      <c r="A6840" s="8" t="s">
        <v>125</v>
      </c>
      <c r="B6840" s="8" t="s">
        <v>40</v>
      </c>
      <c r="C6840" s="8" t="str">
        <f>IFERROR(_xlfn.XLOOKUP(TRIM(B6840),Lookup!$B$2:$B$1000,Lookup!$C$2:$C$1000),"")</f>
        <v>Equity</v>
      </c>
      <c r="D6840" s="8" t="str">
        <f>IFERROR(INDEX('nav master'!$C:$C, MATCH(B6840, 'nav master'!$B:$B, 0)), "")</f>
        <v>ULIF 086 24/11/09 LOpport 105</v>
      </c>
      <c r="E6840" s="8" t="s">
        <v>265</v>
      </c>
      <c r="F6840" s="8" t="s">
        <v>2033</v>
      </c>
    </row>
    <row r="6841" spans="1:6" ht="60" x14ac:dyDescent="0.25">
      <c r="A6841" s="8" t="s">
        <v>125</v>
      </c>
      <c r="B6841" s="8" t="s">
        <v>40</v>
      </c>
      <c r="C6841" s="8" t="str">
        <f>IFERROR(_xlfn.XLOOKUP(TRIM(B6841),Lookup!$B$2:$B$1000,Lookup!$C$2:$C$1000),"")</f>
        <v>Equity</v>
      </c>
      <c r="D6841" s="8" t="str">
        <f>IFERROR(INDEX('nav master'!$C:$C, MATCH(B6841, 'nav master'!$B:$B, 0)), "")</f>
        <v>ULIF 086 24/11/09 LOpport 105</v>
      </c>
      <c r="E6841" s="8" t="s">
        <v>267</v>
      </c>
      <c r="F6841" s="8" t="s">
        <v>2034</v>
      </c>
    </row>
    <row r="6842" spans="1:6" ht="60" x14ac:dyDescent="0.25">
      <c r="A6842" s="8" t="s">
        <v>125</v>
      </c>
      <c r="B6842" s="8" t="s">
        <v>40</v>
      </c>
      <c r="C6842" s="8" t="str">
        <f>IFERROR(_xlfn.XLOOKUP(TRIM(B6842),Lookup!$B$2:$B$1000,Lookup!$C$2:$C$1000),"")</f>
        <v>Equity</v>
      </c>
      <c r="D6842" s="8" t="str">
        <f>IFERROR(INDEX('nav master'!$C:$C, MATCH(B6842, 'nav master'!$B:$B, 0)), "")</f>
        <v>ULIF 086 24/11/09 LOpport 105</v>
      </c>
      <c r="E6842" s="8" t="s">
        <v>269</v>
      </c>
      <c r="F6842" s="8" t="s">
        <v>2035</v>
      </c>
    </row>
    <row r="6843" spans="1:6" ht="60" x14ac:dyDescent="0.25">
      <c r="A6843" s="8" t="s">
        <v>125</v>
      </c>
      <c r="B6843" s="8" t="s">
        <v>40</v>
      </c>
      <c r="C6843" s="8" t="str">
        <f>IFERROR(_xlfn.XLOOKUP(TRIM(B6843),Lookup!$B$2:$B$1000,Lookup!$C$2:$C$1000),"")</f>
        <v>Equity</v>
      </c>
      <c r="D6843" s="8" t="str">
        <f>IFERROR(INDEX('nav master'!$C:$C, MATCH(B6843, 'nav master'!$B:$B, 0)), "")</f>
        <v>ULIF 086 24/11/09 LOpport 105</v>
      </c>
      <c r="E6843" s="8" t="s">
        <v>271</v>
      </c>
      <c r="F6843" s="8" t="s">
        <v>2036</v>
      </c>
    </row>
    <row r="6844" spans="1:6" ht="60" x14ac:dyDescent="0.25">
      <c r="A6844" s="8" t="s">
        <v>125</v>
      </c>
      <c r="B6844" s="8" t="s">
        <v>40</v>
      </c>
      <c r="C6844" s="8" t="str">
        <f>IFERROR(_xlfn.XLOOKUP(TRIM(B6844),Lookup!$B$2:$B$1000,Lookup!$C$2:$C$1000),"")</f>
        <v>Equity</v>
      </c>
      <c r="D6844" s="8" t="str">
        <f>IFERROR(INDEX('nav master'!$C:$C, MATCH(B6844, 'nav master'!$B:$B, 0)), "")</f>
        <v>ULIF 086 24/11/09 LOpport 105</v>
      </c>
      <c r="E6844" s="8" t="s">
        <v>273</v>
      </c>
      <c r="F6844" s="8" t="s">
        <v>2037</v>
      </c>
    </row>
    <row r="6845" spans="1:6" ht="60" x14ac:dyDescent="0.25">
      <c r="A6845" s="8" t="s">
        <v>125</v>
      </c>
      <c r="B6845" s="8" t="s">
        <v>40</v>
      </c>
      <c r="C6845" s="8" t="str">
        <f>IFERROR(_xlfn.XLOOKUP(TRIM(B6845),Lookup!$B$2:$B$1000,Lookup!$C$2:$C$1000),"")</f>
        <v>Equity</v>
      </c>
      <c r="D6845" s="8" t="str">
        <f>IFERROR(INDEX('nav master'!$C:$C, MATCH(B6845, 'nav master'!$B:$B, 0)), "")</f>
        <v>ULIF 086 24/11/09 LOpport 105</v>
      </c>
      <c r="E6845" s="8" t="s">
        <v>275</v>
      </c>
      <c r="F6845" s="8" t="s">
        <v>2038</v>
      </c>
    </row>
    <row r="6846" spans="1:6" ht="60" x14ac:dyDescent="0.25">
      <c r="A6846" s="8" t="s">
        <v>125</v>
      </c>
      <c r="B6846" s="8" t="s">
        <v>40</v>
      </c>
      <c r="C6846" s="8" t="str">
        <f>IFERROR(_xlfn.XLOOKUP(TRIM(B6846),Lookup!$B$2:$B$1000,Lookup!$C$2:$C$1000),"")</f>
        <v>Equity</v>
      </c>
      <c r="D6846" s="8" t="str">
        <f>IFERROR(INDEX('nav master'!$C:$C, MATCH(B6846, 'nav master'!$B:$B, 0)), "")</f>
        <v>ULIF 086 24/11/09 LOpport 105</v>
      </c>
      <c r="E6846" s="8" t="s">
        <v>277</v>
      </c>
      <c r="F6846" s="8" t="s">
        <v>2039</v>
      </c>
    </row>
    <row r="6847" spans="1:6" ht="60" x14ac:dyDescent="0.25">
      <c r="A6847" s="8" t="s">
        <v>125</v>
      </c>
      <c r="B6847" s="8" t="s">
        <v>40</v>
      </c>
      <c r="C6847" s="8" t="str">
        <f>IFERROR(_xlfn.XLOOKUP(TRIM(B6847),Lookup!$B$2:$B$1000,Lookup!$C$2:$C$1000),"")</f>
        <v>Equity</v>
      </c>
      <c r="D6847" s="8" t="str">
        <f>IFERROR(INDEX('nav master'!$C:$C, MATCH(B6847, 'nav master'!$B:$B, 0)), "")</f>
        <v>ULIF 086 24/11/09 LOpport 105</v>
      </c>
      <c r="E6847" s="8" t="s">
        <v>279</v>
      </c>
      <c r="F6847" s="8" t="s">
        <v>2040</v>
      </c>
    </row>
    <row r="6848" spans="1:6" ht="60" x14ac:dyDescent="0.25">
      <c r="A6848" s="8" t="s">
        <v>125</v>
      </c>
      <c r="B6848" s="8" t="s">
        <v>40</v>
      </c>
      <c r="C6848" s="8" t="str">
        <f>IFERROR(_xlfn.XLOOKUP(TRIM(B6848),Lookup!$B$2:$B$1000,Lookup!$C$2:$C$1000),"")</f>
        <v>Equity</v>
      </c>
      <c r="D6848" s="8" t="str">
        <f>IFERROR(INDEX('nav master'!$C:$C, MATCH(B6848, 'nav master'!$B:$B, 0)), "")</f>
        <v>ULIF 086 24/11/09 LOpport 105</v>
      </c>
      <c r="E6848" s="8" t="s">
        <v>281</v>
      </c>
      <c r="F6848" s="8" t="s">
        <v>2041</v>
      </c>
    </row>
    <row r="6849" spans="1:6" ht="60" x14ac:dyDescent="0.25">
      <c r="A6849" s="8" t="s">
        <v>125</v>
      </c>
      <c r="B6849" s="8" t="s">
        <v>40</v>
      </c>
      <c r="C6849" s="8" t="str">
        <f>IFERROR(_xlfn.XLOOKUP(TRIM(B6849),Lookup!$B$2:$B$1000,Lookup!$C$2:$C$1000),"")</f>
        <v>Equity</v>
      </c>
      <c r="D6849" s="8" t="str">
        <f>IFERROR(INDEX('nav master'!$C:$C, MATCH(B6849, 'nav master'!$B:$B, 0)), "")</f>
        <v>ULIF 086 24/11/09 LOpport 105</v>
      </c>
      <c r="E6849" s="8" t="s">
        <v>283</v>
      </c>
      <c r="F6849" s="8" t="s">
        <v>2042</v>
      </c>
    </row>
    <row r="6850" spans="1:6" ht="60" x14ac:dyDescent="0.25">
      <c r="A6850" s="8" t="s">
        <v>125</v>
      </c>
      <c r="B6850" s="8" t="s">
        <v>40</v>
      </c>
      <c r="C6850" s="8" t="str">
        <f>IFERROR(_xlfn.XLOOKUP(TRIM(B6850),Lookup!$B$2:$B$1000,Lookup!$C$2:$C$1000),"")</f>
        <v>Equity</v>
      </c>
      <c r="D6850" s="8" t="str">
        <f>IFERROR(INDEX('nav master'!$C:$C, MATCH(B6850, 'nav master'!$B:$B, 0)), "")</f>
        <v>ULIF 086 24/11/09 LOpport 105</v>
      </c>
      <c r="E6850" s="8" t="s">
        <v>285</v>
      </c>
      <c r="F6850" s="8" t="s">
        <v>2043</v>
      </c>
    </row>
    <row r="6851" spans="1:6" ht="60" x14ac:dyDescent="0.25">
      <c r="A6851" s="8" t="s">
        <v>125</v>
      </c>
      <c r="B6851" s="8" t="s">
        <v>40</v>
      </c>
      <c r="C6851" s="8" t="str">
        <f>IFERROR(_xlfn.XLOOKUP(TRIM(B6851),Lookup!$B$2:$B$1000,Lookup!$C$2:$C$1000),"")</f>
        <v>Equity</v>
      </c>
      <c r="D6851" s="8" t="str">
        <f>IFERROR(INDEX('nav master'!$C:$C, MATCH(B6851, 'nav master'!$B:$B, 0)), "")</f>
        <v>ULIF 086 24/11/09 LOpport 105</v>
      </c>
      <c r="E6851" s="8" t="s">
        <v>287</v>
      </c>
      <c r="F6851" s="8" t="s">
        <v>2044</v>
      </c>
    </row>
    <row r="6852" spans="1:6" ht="60" x14ac:dyDescent="0.25">
      <c r="A6852" s="8" t="s">
        <v>125</v>
      </c>
      <c r="B6852" s="8" t="s">
        <v>40</v>
      </c>
      <c r="C6852" s="8" t="str">
        <f>IFERROR(_xlfn.XLOOKUP(TRIM(B6852),Lookup!$B$2:$B$1000,Lookup!$C$2:$C$1000),"")</f>
        <v>Equity</v>
      </c>
      <c r="D6852" s="8" t="str">
        <f>IFERROR(INDEX('nav master'!$C:$C, MATCH(B6852, 'nav master'!$B:$B, 0)), "")</f>
        <v>ULIF 086 24/11/09 LOpport 105</v>
      </c>
      <c r="E6852" s="8" t="s">
        <v>289</v>
      </c>
      <c r="F6852" s="8" t="s">
        <v>2045</v>
      </c>
    </row>
    <row r="6853" spans="1:6" ht="60" x14ac:dyDescent="0.25">
      <c r="A6853" s="8" t="s">
        <v>125</v>
      </c>
      <c r="B6853" s="8" t="s">
        <v>40</v>
      </c>
      <c r="C6853" s="8" t="str">
        <f>IFERROR(_xlfn.XLOOKUP(TRIM(B6853),Lookup!$B$2:$B$1000,Lookup!$C$2:$C$1000),"")</f>
        <v>Equity</v>
      </c>
      <c r="D6853" s="8" t="str">
        <f>IFERROR(INDEX('nav master'!$C:$C, MATCH(B6853, 'nav master'!$B:$B, 0)), "")</f>
        <v>ULIF 086 24/11/09 LOpport 105</v>
      </c>
      <c r="E6853" s="8" t="s">
        <v>291</v>
      </c>
      <c r="F6853" s="8" t="s">
        <v>2046</v>
      </c>
    </row>
    <row r="6854" spans="1:6" ht="60" x14ac:dyDescent="0.25">
      <c r="A6854" s="8" t="s">
        <v>125</v>
      </c>
      <c r="B6854" s="8" t="s">
        <v>40</v>
      </c>
      <c r="C6854" s="8" t="str">
        <f>IFERROR(_xlfn.XLOOKUP(TRIM(B6854),Lookup!$B$2:$B$1000,Lookup!$C$2:$C$1000),"")</f>
        <v>Equity</v>
      </c>
      <c r="D6854" s="8" t="str">
        <f>IFERROR(INDEX('nav master'!$C:$C, MATCH(B6854, 'nav master'!$B:$B, 0)), "")</f>
        <v>ULIF 086 24/11/09 LOpport 105</v>
      </c>
      <c r="E6854" s="8" t="s">
        <v>293</v>
      </c>
      <c r="F6854" s="8" t="s">
        <v>2047</v>
      </c>
    </row>
    <row r="6855" spans="1:6" ht="60" x14ac:dyDescent="0.25">
      <c r="A6855" s="8" t="s">
        <v>125</v>
      </c>
      <c r="B6855" s="8" t="s">
        <v>40</v>
      </c>
      <c r="C6855" s="8" t="str">
        <f>IFERROR(_xlfn.XLOOKUP(TRIM(B6855),Lookup!$B$2:$B$1000,Lookup!$C$2:$C$1000),"")</f>
        <v>Equity</v>
      </c>
      <c r="D6855" s="8" t="str">
        <f>IFERROR(INDEX('nav master'!$C:$C, MATCH(B6855, 'nav master'!$B:$B, 0)), "")</f>
        <v>ULIF 086 24/11/09 LOpport 105</v>
      </c>
      <c r="E6855" s="8" t="s">
        <v>295</v>
      </c>
      <c r="F6855" s="8" t="s">
        <v>2048</v>
      </c>
    </row>
    <row r="6856" spans="1:6" ht="60" x14ac:dyDescent="0.25">
      <c r="A6856" s="8" t="s">
        <v>125</v>
      </c>
      <c r="B6856" s="8" t="s">
        <v>40</v>
      </c>
      <c r="C6856" s="8" t="str">
        <f>IFERROR(_xlfn.XLOOKUP(TRIM(B6856),Lookup!$B$2:$B$1000,Lookup!$C$2:$C$1000),"")</f>
        <v>Equity</v>
      </c>
      <c r="D6856" s="8" t="str">
        <f>IFERROR(INDEX('nav master'!$C:$C, MATCH(B6856, 'nav master'!$B:$B, 0)), "")</f>
        <v>ULIF 086 24/11/09 LOpport 105</v>
      </c>
      <c r="E6856" s="8" t="s">
        <v>297</v>
      </c>
      <c r="F6856" s="8" t="s">
        <v>2049</v>
      </c>
    </row>
    <row r="6857" spans="1:6" ht="60" x14ac:dyDescent="0.25">
      <c r="A6857" s="8" t="s">
        <v>125</v>
      </c>
      <c r="B6857" s="8" t="s">
        <v>40</v>
      </c>
      <c r="C6857" s="8" t="str">
        <f>IFERROR(_xlfn.XLOOKUP(TRIM(B6857),Lookup!$B$2:$B$1000,Lookup!$C$2:$C$1000),"")</f>
        <v>Equity</v>
      </c>
      <c r="D6857" s="8" t="str">
        <f>IFERROR(INDEX('nav master'!$C:$C, MATCH(B6857, 'nav master'!$B:$B, 0)), "")</f>
        <v>ULIF 086 24/11/09 LOpport 105</v>
      </c>
      <c r="E6857" s="8" t="s">
        <v>299</v>
      </c>
      <c r="F6857" s="8" t="s">
        <v>2050</v>
      </c>
    </row>
    <row r="6858" spans="1:6" ht="60" x14ac:dyDescent="0.25">
      <c r="A6858" s="8" t="s">
        <v>125</v>
      </c>
      <c r="B6858" s="8" t="s">
        <v>40</v>
      </c>
      <c r="C6858" s="8" t="str">
        <f>IFERROR(_xlfn.XLOOKUP(TRIM(B6858),Lookup!$B$2:$B$1000,Lookup!$C$2:$C$1000),"")</f>
        <v>Equity</v>
      </c>
      <c r="D6858" s="8" t="str">
        <f>IFERROR(INDEX('nav master'!$C:$C, MATCH(B6858, 'nav master'!$B:$B, 0)), "")</f>
        <v>ULIF 086 24/11/09 LOpport 105</v>
      </c>
      <c r="E6858" s="8" t="s">
        <v>301</v>
      </c>
      <c r="F6858" s="8" t="s">
        <v>2051</v>
      </c>
    </row>
    <row r="6859" spans="1:6" ht="60" x14ac:dyDescent="0.25">
      <c r="A6859" s="8" t="s">
        <v>125</v>
      </c>
      <c r="B6859" s="8" t="s">
        <v>40</v>
      </c>
      <c r="C6859" s="8" t="str">
        <f>IFERROR(_xlfn.XLOOKUP(TRIM(B6859),Lookup!$B$2:$B$1000,Lookup!$C$2:$C$1000),"")</f>
        <v>Equity</v>
      </c>
      <c r="D6859" s="8" t="str">
        <f>IFERROR(INDEX('nav master'!$C:$C, MATCH(B6859, 'nav master'!$B:$B, 0)), "")</f>
        <v>ULIF 086 24/11/09 LOpport 105</v>
      </c>
      <c r="E6859" s="8" t="s">
        <v>303</v>
      </c>
      <c r="F6859" s="8" t="s">
        <v>2052</v>
      </c>
    </row>
    <row r="6860" spans="1:6" ht="60" x14ac:dyDescent="0.25">
      <c r="A6860" s="8" t="s">
        <v>125</v>
      </c>
      <c r="B6860" s="8" t="s">
        <v>40</v>
      </c>
      <c r="C6860" s="8" t="str">
        <f>IFERROR(_xlfn.XLOOKUP(TRIM(B6860),Lookup!$B$2:$B$1000,Lookup!$C$2:$C$1000),"")</f>
        <v>Equity</v>
      </c>
      <c r="D6860" s="8" t="str">
        <f>IFERROR(INDEX('nav master'!$C:$C, MATCH(B6860, 'nav master'!$B:$B, 0)), "")</f>
        <v>ULIF 086 24/11/09 LOpport 105</v>
      </c>
      <c r="E6860" s="8" t="s">
        <v>305</v>
      </c>
      <c r="F6860" s="8" t="s">
        <v>2053</v>
      </c>
    </row>
    <row r="6861" spans="1:6" ht="60" x14ac:dyDescent="0.25">
      <c r="A6861" s="8" t="s">
        <v>125</v>
      </c>
      <c r="B6861" s="8" t="s">
        <v>40</v>
      </c>
      <c r="C6861" s="8" t="str">
        <f>IFERROR(_xlfn.XLOOKUP(TRIM(B6861),Lookup!$B$2:$B$1000,Lookup!$C$2:$C$1000),"")</f>
        <v>Equity</v>
      </c>
      <c r="D6861" s="8" t="str">
        <f>IFERROR(INDEX('nav master'!$C:$C, MATCH(B6861, 'nav master'!$B:$B, 0)), "")</f>
        <v>ULIF 086 24/11/09 LOpport 105</v>
      </c>
      <c r="E6861" s="8" t="s">
        <v>307</v>
      </c>
      <c r="F6861" s="8" t="s">
        <v>2054</v>
      </c>
    </row>
    <row r="6862" spans="1:6" ht="60" x14ac:dyDescent="0.25">
      <c r="A6862" s="8" t="s">
        <v>125</v>
      </c>
      <c r="B6862" s="8" t="s">
        <v>40</v>
      </c>
      <c r="C6862" s="8" t="str">
        <f>IFERROR(_xlfn.XLOOKUP(TRIM(B6862),Lookup!$B$2:$B$1000,Lookup!$C$2:$C$1000),"")</f>
        <v>Equity</v>
      </c>
      <c r="D6862" s="8" t="str">
        <f>IFERROR(INDEX('nav master'!$C:$C, MATCH(B6862, 'nav master'!$B:$B, 0)), "")</f>
        <v>ULIF 086 24/11/09 LOpport 105</v>
      </c>
      <c r="E6862" s="8" t="s">
        <v>309</v>
      </c>
      <c r="F6862" s="8" t="s">
        <v>2055</v>
      </c>
    </row>
    <row r="6863" spans="1:6" ht="60" x14ac:dyDescent="0.25">
      <c r="A6863" s="8" t="s">
        <v>125</v>
      </c>
      <c r="B6863" s="8" t="s">
        <v>40</v>
      </c>
      <c r="C6863" s="8" t="str">
        <f>IFERROR(_xlfn.XLOOKUP(TRIM(B6863),Lookup!$B$2:$B$1000,Lookup!$C$2:$C$1000),"")</f>
        <v>Equity</v>
      </c>
      <c r="D6863" s="8" t="str">
        <f>IFERROR(INDEX('nav master'!$C:$C, MATCH(B6863, 'nav master'!$B:$B, 0)), "")</f>
        <v>ULIF 086 24/11/09 LOpport 105</v>
      </c>
      <c r="E6863" s="8" t="s">
        <v>311</v>
      </c>
      <c r="F6863" s="8" t="s">
        <v>2056</v>
      </c>
    </row>
    <row r="6864" spans="1:6" ht="60" x14ac:dyDescent="0.25">
      <c r="A6864" s="8" t="s">
        <v>125</v>
      </c>
      <c r="B6864" s="8" t="s">
        <v>40</v>
      </c>
      <c r="C6864" s="8" t="str">
        <f>IFERROR(_xlfn.XLOOKUP(TRIM(B6864),Lookup!$B$2:$B$1000,Lookup!$C$2:$C$1000),"")</f>
        <v>Equity</v>
      </c>
      <c r="D6864" s="8" t="str">
        <f>IFERROR(INDEX('nav master'!$C:$C, MATCH(B6864, 'nav master'!$B:$B, 0)), "")</f>
        <v>ULIF 086 24/11/09 LOpport 105</v>
      </c>
      <c r="E6864" s="8" t="s">
        <v>313</v>
      </c>
      <c r="F6864" s="8" t="s">
        <v>2057</v>
      </c>
    </row>
    <row r="6865" spans="1:6" ht="60" x14ac:dyDescent="0.25">
      <c r="A6865" s="8" t="s">
        <v>125</v>
      </c>
      <c r="B6865" s="8" t="s">
        <v>40</v>
      </c>
      <c r="C6865" s="8" t="str">
        <f>IFERROR(_xlfn.XLOOKUP(TRIM(B6865),Lookup!$B$2:$B$1000,Lookup!$C$2:$C$1000),"")</f>
        <v>Equity</v>
      </c>
      <c r="D6865" s="8" t="str">
        <f>IFERROR(INDEX('nav master'!$C:$C, MATCH(B6865, 'nav master'!$B:$B, 0)), "")</f>
        <v>ULIF 086 24/11/09 LOpport 105</v>
      </c>
      <c r="E6865" s="8" t="s">
        <v>315</v>
      </c>
      <c r="F6865" s="8" t="s">
        <v>2058</v>
      </c>
    </row>
    <row r="6866" spans="1:6" ht="60" x14ac:dyDescent="0.25">
      <c r="A6866" s="8" t="s">
        <v>125</v>
      </c>
      <c r="B6866" s="8" t="s">
        <v>40</v>
      </c>
      <c r="C6866" s="8" t="str">
        <f>IFERROR(_xlfn.XLOOKUP(TRIM(B6866),Lookup!$B$2:$B$1000,Lookup!$C$2:$C$1000),"")</f>
        <v>Equity</v>
      </c>
      <c r="D6866" s="8" t="str">
        <f>IFERROR(INDEX('nav master'!$C:$C, MATCH(B6866, 'nav master'!$B:$B, 0)), "")</f>
        <v>ULIF 086 24/11/09 LOpport 105</v>
      </c>
      <c r="E6866" s="8" t="s">
        <v>317</v>
      </c>
      <c r="F6866" s="8" t="s">
        <v>2059</v>
      </c>
    </row>
    <row r="6867" spans="1:6" ht="60" x14ac:dyDescent="0.25">
      <c r="A6867" s="8" t="s">
        <v>125</v>
      </c>
      <c r="B6867" s="8" t="s">
        <v>40</v>
      </c>
      <c r="C6867" s="8" t="str">
        <f>IFERROR(_xlfn.XLOOKUP(TRIM(B6867),Lookup!$B$2:$B$1000,Lookup!$C$2:$C$1000),"")</f>
        <v>Equity</v>
      </c>
      <c r="D6867" s="8" t="str">
        <f>IFERROR(INDEX('nav master'!$C:$C, MATCH(B6867, 'nav master'!$B:$B, 0)), "")</f>
        <v>ULIF 086 24/11/09 LOpport 105</v>
      </c>
      <c r="E6867" s="8" t="s">
        <v>319</v>
      </c>
      <c r="F6867" s="8" t="s">
        <v>2060</v>
      </c>
    </row>
    <row r="6868" spans="1:6" ht="60" x14ac:dyDescent="0.25">
      <c r="A6868" s="8" t="s">
        <v>125</v>
      </c>
      <c r="B6868" s="8" t="s">
        <v>40</v>
      </c>
      <c r="C6868" s="8" t="str">
        <f>IFERROR(_xlfn.XLOOKUP(TRIM(B6868),Lookup!$B$2:$B$1000,Lookup!$C$2:$C$1000),"")</f>
        <v>Equity</v>
      </c>
      <c r="D6868" s="8" t="str">
        <f>IFERROR(INDEX('nav master'!$C:$C, MATCH(B6868, 'nav master'!$B:$B, 0)), "")</f>
        <v>ULIF 086 24/11/09 LOpport 105</v>
      </c>
      <c r="E6868" s="8" t="s">
        <v>321</v>
      </c>
      <c r="F6868" s="8" t="s">
        <v>2061</v>
      </c>
    </row>
    <row r="6869" spans="1:6" ht="60" x14ac:dyDescent="0.25">
      <c r="A6869" s="8" t="s">
        <v>125</v>
      </c>
      <c r="B6869" s="8" t="s">
        <v>40</v>
      </c>
      <c r="C6869" s="8" t="str">
        <f>IFERROR(_xlfn.XLOOKUP(TRIM(B6869),Lookup!$B$2:$B$1000,Lookup!$C$2:$C$1000),"")</f>
        <v>Equity</v>
      </c>
      <c r="D6869" s="8" t="str">
        <f>IFERROR(INDEX('nav master'!$C:$C, MATCH(B6869, 'nav master'!$B:$B, 0)), "")</f>
        <v>ULIF 086 24/11/09 LOpport 105</v>
      </c>
      <c r="E6869" s="8" t="s">
        <v>323</v>
      </c>
      <c r="F6869" s="8" t="s">
        <v>2062</v>
      </c>
    </row>
    <row r="6870" spans="1:6" ht="60" x14ac:dyDescent="0.25">
      <c r="A6870" s="8" t="s">
        <v>125</v>
      </c>
      <c r="B6870" s="8" t="s">
        <v>40</v>
      </c>
      <c r="C6870" s="8" t="str">
        <f>IFERROR(_xlfn.XLOOKUP(TRIM(B6870),Lookup!$B$2:$B$1000,Lookup!$C$2:$C$1000),"")</f>
        <v>Equity</v>
      </c>
      <c r="D6870" s="8" t="str">
        <f>IFERROR(INDEX('nav master'!$C:$C, MATCH(B6870, 'nav master'!$B:$B, 0)), "")</f>
        <v>ULIF 086 24/11/09 LOpport 105</v>
      </c>
      <c r="E6870" s="8" t="s">
        <v>325</v>
      </c>
      <c r="F6870" s="8" t="s">
        <v>2063</v>
      </c>
    </row>
    <row r="6871" spans="1:6" ht="60" x14ac:dyDescent="0.25">
      <c r="A6871" s="8" t="s">
        <v>125</v>
      </c>
      <c r="B6871" s="8" t="s">
        <v>40</v>
      </c>
      <c r="C6871" s="8" t="str">
        <f>IFERROR(_xlfn.XLOOKUP(TRIM(B6871),Lookup!$B$2:$B$1000,Lookup!$C$2:$C$1000),"")</f>
        <v>Equity</v>
      </c>
      <c r="D6871" s="8" t="str">
        <f>IFERROR(INDEX('nav master'!$C:$C, MATCH(B6871, 'nav master'!$B:$B, 0)), "")</f>
        <v>ULIF 086 24/11/09 LOpport 105</v>
      </c>
      <c r="E6871" s="8" t="s">
        <v>327</v>
      </c>
      <c r="F6871" s="8" t="s">
        <v>2064</v>
      </c>
    </row>
    <row r="6872" spans="1:6" ht="60" x14ac:dyDescent="0.25">
      <c r="A6872" s="8" t="s">
        <v>125</v>
      </c>
      <c r="B6872" s="8" t="s">
        <v>40</v>
      </c>
      <c r="C6872" s="8" t="str">
        <f>IFERROR(_xlfn.XLOOKUP(TRIM(B6872),Lookup!$B$2:$B$1000,Lookup!$C$2:$C$1000),"")</f>
        <v>Equity</v>
      </c>
      <c r="D6872" s="8" t="str">
        <f>IFERROR(INDEX('nav master'!$C:$C, MATCH(B6872, 'nav master'!$B:$B, 0)), "")</f>
        <v>ULIF 086 24/11/09 LOpport 105</v>
      </c>
      <c r="E6872" s="8" t="s">
        <v>329</v>
      </c>
      <c r="F6872" s="8" t="s">
        <v>2065</v>
      </c>
    </row>
    <row r="6873" spans="1:6" ht="60" x14ac:dyDescent="0.25">
      <c r="A6873" s="8" t="s">
        <v>125</v>
      </c>
      <c r="B6873" s="8" t="s">
        <v>40</v>
      </c>
      <c r="C6873" s="8" t="str">
        <f>IFERROR(_xlfn.XLOOKUP(TRIM(B6873),Lookup!$B$2:$B$1000,Lookup!$C$2:$C$1000),"")</f>
        <v>Equity</v>
      </c>
      <c r="D6873" s="8" t="str">
        <f>IFERROR(INDEX('nav master'!$C:$C, MATCH(B6873, 'nav master'!$B:$B, 0)), "")</f>
        <v>ULIF 086 24/11/09 LOpport 105</v>
      </c>
      <c r="E6873" s="8" t="s">
        <v>331</v>
      </c>
      <c r="F6873" s="8" t="s">
        <v>2066</v>
      </c>
    </row>
    <row r="6874" spans="1:6" ht="60" x14ac:dyDescent="0.25">
      <c r="A6874" s="8" t="s">
        <v>125</v>
      </c>
      <c r="B6874" s="8" t="s">
        <v>40</v>
      </c>
      <c r="C6874" s="8" t="str">
        <f>IFERROR(_xlfn.XLOOKUP(TRIM(B6874),Lookup!$B$2:$B$1000,Lookup!$C$2:$C$1000),"")</f>
        <v>Equity</v>
      </c>
      <c r="D6874" s="8" t="str">
        <f>IFERROR(INDEX('nav master'!$C:$C, MATCH(B6874, 'nav master'!$B:$B, 0)), "")</f>
        <v>ULIF 086 24/11/09 LOpport 105</v>
      </c>
      <c r="E6874" s="8" t="s">
        <v>333</v>
      </c>
      <c r="F6874" s="8" t="s">
        <v>2067</v>
      </c>
    </row>
    <row r="6875" spans="1:6" ht="60" x14ac:dyDescent="0.25">
      <c r="A6875" s="8" t="s">
        <v>125</v>
      </c>
      <c r="B6875" s="8" t="s">
        <v>40</v>
      </c>
      <c r="C6875" s="8" t="str">
        <f>IFERROR(_xlfn.XLOOKUP(TRIM(B6875),Lookup!$B$2:$B$1000,Lookup!$C$2:$C$1000),"")</f>
        <v>Equity</v>
      </c>
      <c r="D6875" s="8" t="str">
        <f>IFERROR(INDEX('nav master'!$C:$C, MATCH(B6875, 'nav master'!$B:$B, 0)), "")</f>
        <v>ULIF 086 24/11/09 LOpport 105</v>
      </c>
      <c r="E6875" s="8" t="s">
        <v>335</v>
      </c>
      <c r="F6875" s="8" t="s">
        <v>2068</v>
      </c>
    </row>
    <row r="6876" spans="1:6" ht="60" x14ac:dyDescent="0.25">
      <c r="A6876" s="8" t="s">
        <v>125</v>
      </c>
      <c r="B6876" s="8" t="s">
        <v>40</v>
      </c>
      <c r="C6876" s="8" t="str">
        <f>IFERROR(_xlfn.XLOOKUP(TRIM(B6876),Lookup!$B$2:$B$1000,Lookup!$C$2:$C$1000),"")</f>
        <v>Equity</v>
      </c>
      <c r="D6876" s="8" t="str">
        <f>IFERROR(INDEX('nav master'!$C:$C, MATCH(B6876, 'nav master'!$B:$B, 0)), "")</f>
        <v>ULIF 086 24/11/09 LOpport 105</v>
      </c>
      <c r="E6876" s="8" t="s">
        <v>337</v>
      </c>
      <c r="F6876" s="8" t="s">
        <v>2069</v>
      </c>
    </row>
    <row r="6877" spans="1:6" ht="60" x14ac:dyDescent="0.25">
      <c r="A6877" s="8" t="s">
        <v>125</v>
      </c>
      <c r="B6877" s="8" t="s">
        <v>40</v>
      </c>
      <c r="C6877" s="8" t="str">
        <f>IFERROR(_xlfn.XLOOKUP(TRIM(B6877),Lookup!$B$2:$B$1000,Lookup!$C$2:$C$1000),"")</f>
        <v>Equity</v>
      </c>
      <c r="D6877" s="8" t="str">
        <f>IFERROR(INDEX('nav master'!$C:$C, MATCH(B6877, 'nav master'!$B:$B, 0)), "")</f>
        <v>ULIF 086 24/11/09 LOpport 105</v>
      </c>
      <c r="E6877" s="8" t="s">
        <v>339</v>
      </c>
      <c r="F6877" s="8" t="s">
        <v>2070</v>
      </c>
    </row>
    <row r="6878" spans="1:6" ht="60" x14ac:dyDescent="0.25">
      <c r="A6878" s="8" t="s">
        <v>125</v>
      </c>
      <c r="B6878" s="8" t="s">
        <v>40</v>
      </c>
      <c r="C6878" s="8" t="str">
        <f>IFERROR(_xlfn.XLOOKUP(TRIM(B6878),Lookup!$B$2:$B$1000,Lookup!$C$2:$C$1000),"")</f>
        <v>Equity</v>
      </c>
      <c r="D6878" s="8" t="str">
        <f>IFERROR(INDEX('nav master'!$C:$C, MATCH(B6878, 'nav master'!$B:$B, 0)), "")</f>
        <v>ULIF 086 24/11/09 LOpport 105</v>
      </c>
      <c r="E6878" s="8" t="s">
        <v>341</v>
      </c>
      <c r="F6878" s="8" t="s">
        <v>2071</v>
      </c>
    </row>
    <row r="6879" spans="1:6" ht="60" x14ac:dyDescent="0.25">
      <c r="A6879" s="8" t="s">
        <v>125</v>
      </c>
      <c r="B6879" s="8" t="s">
        <v>40</v>
      </c>
      <c r="C6879" s="8" t="str">
        <f>IFERROR(_xlfn.XLOOKUP(TRIM(B6879),Lookup!$B$2:$B$1000,Lookup!$C$2:$C$1000),"")</f>
        <v>Equity</v>
      </c>
      <c r="D6879" s="8" t="str">
        <f>IFERROR(INDEX('nav master'!$C:$C, MATCH(B6879, 'nav master'!$B:$B, 0)), "")</f>
        <v>ULIF 086 24/11/09 LOpport 105</v>
      </c>
      <c r="E6879" s="8" t="s">
        <v>343</v>
      </c>
      <c r="F6879" s="8" t="s">
        <v>2072</v>
      </c>
    </row>
    <row r="6880" spans="1:6" ht="60" x14ac:dyDescent="0.25">
      <c r="A6880" s="8" t="s">
        <v>125</v>
      </c>
      <c r="B6880" s="8" t="s">
        <v>40</v>
      </c>
      <c r="C6880" s="8" t="str">
        <f>IFERROR(_xlfn.XLOOKUP(TRIM(B6880),Lookup!$B$2:$B$1000,Lookup!$C$2:$C$1000),"")</f>
        <v>Equity</v>
      </c>
      <c r="D6880" s="8" t="str">
        <f>IFERROR(INDEX('nav master'!$C:$C, MATCH(B6880, 'nav master'!$B:$B, 0)), "")</f>
        <v>ULIF 086 24/11/09 LOpport 105</v>
      </c>
      <c r="E6880" s="8" t="s">
        <v>345</v>
      </c>
      <c r="F6880" s="8" t="s">
        <v>2073</v>
      </c>
    </row>
    <row r="6881" spans="1:6" ht="60" x14ac:dyDescent="0.25">
      <c r="A6881" s="8" t="s">
        <v>125</v>
      </c>
      <c r="B6881" s="8" t="s">
        <v>40</v>
      </c>
      <c r="C6881" s="8" t="str">
        <f>IFERROR(_xlfn.XLOOKUP(TRIM(B6881),Lookup!$B$2:$B$1000,Lookup!$C$2:$C$1000),"")</f>
        <v>Equity</v>
      </c>
      <c r="D6881" s="8" t="str">
        <f>IFERROR(INDEX('nav master'!$C:$C, MATCH(B6881, 'nav master'!$B:$B, 0)), "")</f>
        <v>ULIF 086 24/11/09 LOpport 105</v>
      </c>
      <c r="E6881" s="8" t="s">
        <v>347</v>
      </c>
      <c r="F6881" s="8" t="s">
        <v>2074</v>
      </c>
    </row>
    <row r="6882" spans="1:6" ht="60" x14ac:dyDescent="0.25">
      <c r="A6882" s="8" t="s">
        <v>125</v>
      </c>
      <c r="B6882" s="8" t="s">
        <v>40</v>
      </c>
      <c r="C6882" s="8" t="str">
        <f>IFERROR(_xlfn.XLOOKUP(TRIM(B6882),Lookup!$B$2:$B$1000,Lookup!$C$2:$C$1000),"")</f>
        <v>Equity</v>
      </c>
      <c r="D6882" s="8" t="str">
        <f>IFERROR(INDEX('nav master'!$C:$C, MATCH(B6882, 'nav master'!$B:$B, 0)), "")</f>
        <v>ULIF 086 24/11/09 LOpport 105</v>
      </c>
      <c r="E6882" s="8" t="s">
        <v>349</v>
      </c>
      <c r="F6882" s="8" t="s">
        <v>2075</v>
      </c>
    </row>
    <row r="6883" spans="1:6" ht="60" x14ac:dyDescent="0.25">
      <c r="A6883" s="8" t="s">
        <v>125</v>
      </c>
      <c r="B6883" s="8" t="s">
        <v>40</v>
      </c>
      <c r="C6883" s="8" t="str">
        <f>IFERROR(_xlfn.XLOOKUP(TRIM(B6883),Lookup!$B$2:$B$1000,Lookup!$C$2:$C$1000),"")</f>
        <v>Equity</v>
      </c>
      <c r="D6883" s="8" t="str">
        <f>IFERROR(INDEX('nav master'!$C:$C, MATCH(B6883, 'nav master'!$B:$B, 0)), "")</f>
        <v>ULIF 086 24/11/09 LOpport 105</v>
      </c>
      <c r="E6883" s="8" t="s">
        <v>351</v>
      </c>
      <c r="F6883" s="8" t="s">
        <v>2076</v>
      </c>
    </row>
    <row r="6884" spans="1:6" ht="60" x14ac:dyDescent="0.25">
      <c r="A6884" s="8" t="s">
        <v>125</v>
      </c>
      <c r="B6884" s="8" t="s">
        <v>40</v>
      </c>
      <c r="C6884" s="8" t="str">
        <f>IFERROR(_xlfn.XLOOKUP(TRIM(B6884),Lookup!$B$2:$B$1000,Lookup!$C$2:$C$1000),"")</f>
        <v>Equity</v>
      </c>
      <c r="D6884" s="8" t="str">
        <f>IFERROR(INDEX('nav master'!$C:$C, MATCH(B6884, 'nav master'!$B:$B, 0)), "")</f>
        <v>ULIF 086 24/11/09 LOpport 105</v>
      </c>
      <c r="E6884" s="8" t="s">
        <v>353</v>
      </c>
      <c r="F6884" s="8" t="s">
        <v>2077</v>
      </c>
    </row>
    <row r="6885" spans="1:6" ht="60" x14ac:dyDescent="0.25">
      <c r="A6885" s="8" t="s">
        <v>125</v>
      </c>
      <c r="B6885" s="8" t="s">
        <v>40</v>
      </c>
      <c r="C6885" s="8" t="str">
        <f>IFERROR(_xlfn.XLOOKUP(TRIM(B6885),Lookup!$B$2:$B$1000,Lookup!$C$2:$C$1000),"")</f>
        <v>Equity</v>
      </c>
      <c r="D6885" s="8" t="str">
        <f>IFERROR(INDEX('nav master'!$C:$C, MATCH(B6885, 'nav master'!$B:$B, 0)), "")</f>
        <v>ULIF 086 24/11/09 LOpport 105</v>
      </c>
      <c r="E6885" s="8" t="s">
        <v>355</v>
      </c>
      <c r="F6885" s="8" t="s">
        <v>2078</v>
      </c>
    </row>
    <row r="6886" spans="1:6" ht="60" x14ac:dyDescent="0.25">
      <c r="A6886" s="8" t="s">
        <v>125</v>
      </c>
      <c r="B6886" s="8" t="s">
        <v>40</v>
      </c>
      <c r="C6886" s="8" t="str">
        <f>IFERROR(_xlfn.XLOOKUP(TRIM(B6886),Lookup!$B$2:$B$1000,Lookup!$C$2:$C$1000),"")</f>
        <v>Equity</v>
      </c>
      <c r="D6886" s="8" t="str">
        <f>IFERROR(INDEX('nav master'!$C:$C, MATCH(B6886, 'nav master'!$B:$B, 0)), "")</f>
        <v>ULIF 086 24/11/09 LOpport 105</v>
      </c>
      <c r="E6886" s="8" t="s">
        <v>357</v>
      </c>
      <c r="F6886" s="8" t="s">
        <v>2079</v>
      </c>
    </row>
    <row r="6887" spans="1:6" ht="60" x14ac:dyDescent="0.25">
      <c r="A6887" s="8" t="s">
        <v>125</v>
      </c>
      <c r="B6887" s="8" t="s">
        <v>40</v>
      </c>
      <c r="C6887" s="8" t="str">
        <f>IFERROR(_xlfn.XLOOKUP(TRIM(B6887),Lookup!$B$2:$B$1000,Lookup!$C$2:$C$1000),"")</f>
        <v>Equity</v>
      </c>
      <c r="D6887" s="8" t="str">
        <f>IFERROR(INDEX('nav master'!$C:$C, MATCH(B6887, 'nav master'!$B:$B, 0)), "")</f>
        <v>ULIF 086 24/11/09 LOpport 105</v>
      </c>
      <c r="E6887" s="8" t="s">
        <v>359</v>
      </c>
      <c r="F6887" s="8" t="s">
        <v>2080</v>
      </c>
    </row>
    <row r="6888" spans="1:6" ht="60" x14ac:dyDescent="0.25">
      <c r="A6888" s="8" t="s">
        <v>125</v>
      </c>
      <c r="B6888" s="8" t="s">
        <v>40</v>
      </c>
      <c r="C6888" s="8" t="str">
        <f>IFERROR(_xlfn.XLOOKUP(TRIM(B6888),Lookup!$B$2:$B$1000,Lookup!$C$2:$C$1000),"")</f>
        <v>Equity</v>
      </c>
      <c r="D6888" s="8" t="str">
        <f>IFERROR(INDEX('nav master'!$C:$C, MATCH(B6888, 'nav master'!$B:$B, 0)), "")</f>
        <v>ULIF 086 24/11/09 LOpport 105</v>
      </c>
      <c r="E6888" s="8" t="s">
        <v>361</v>
      </c>
      <c r="F6888" s="8" t="s">
        <v>2081</v>
      </c>
    </row>
    <row r="6889" spans="1:6" ht="60" x14ac:dyDescent="0.25">
      <c r="A6889" s="8" t="s">
        <v>125</v>
      </c>
      <c r="B6889" s="8" t="s">
        <v>40</v>
      </c>
      <c r="C6889" s="8" t="str">
        <f>IFERROR(_xlfn.XLOOKUP(TRIM(B6889),Lookup!$B$2:$B$1000,Lookup!$C$2:$C$1000),"")</f>
        <v>Equity</v>
      </c>
      <c r="D6889" s="8" t="str">
        <f>IFERROR(INDEX('nav master'!$C:$C, MATCH(B6889, 'nav master'!$B:$B, 0)), "")</f>
        <v>ULIF 086 24/11/09 LOpport 105</v>
      </c>
      <c r="E6889" s="8" t="s">
        <v>363</v>
      </c>
      <c r="F6889" s="8" t="s">
        <v>2082</v>
      </c>
    </row>
    <row r="6890" spans="1:6" ht="60" x14ac:dyDescent="0.25">
      <c r="A6890" s="8" t="s">
        <v>125</v>
      </c>
      <c r="B6890" s="8" t="s">
        <v>40</v>
      </c>
      <c r="C6890" s="8" t="str">
        <f>IFERROR(_xlfn.XLOOKUP(TRIM(B6890),Lookup!$B$2:$B$1000,Lookup!$C$2:$C$1000),"")</f>
        <v>Equity</v>
      </c>
      <c r="D6890" s="8" t="str">
        <f>IFERROR(INDEX('nav master'!$C:$C, MATCH(B6890, 'nav master'!$B:$B, 0)), "")</f>
        <v>ULIF 086 24/11/09 LOpport 105</v>
      </c>
      <c r="E6890" s="8" t="s">
        <v>365</v>
      </c>
      <c r="F6890" s="8" t="s">
        <v>2083</v>
      </c>
    </row>
    <row r="6891" spans="1:6" ht="60" x14ac:dyDescent="0.25">
      <c r="A6891" s="8" t="s">
        <v>125</v>
      </c>
      <c r="B6891" s="8" t="s">
        <v>40</v>
      </c>
      <c r="C6891" s="8" t="str">
        <f>IFERROR(_xlfn.XLOOKUP(TRIM(B6891),Lookup!$B$2:$B$1000,Lookup!$C$2:$C$1000),"")</f>
        <v>Equity</v>
      </c>
      <c r="D6891" s="8" t="str">
        <f>IFERROR(INDEX('nav master'!$C:$C, MATCH(B6891, 'nav master'!$B:$B, 0)), "")</f>
        <v>ULIF 086 24/11/09 LOpport 105</v>
      </c>
      <c r="E6891" s="8" t="s">
        <v>367</v>
      </c>
      <c r="F6891" s="8" t="s">
        <v>2084</v>
      </c>
    </row>
    <row r="6892" spans="1:6" ht="60" x14ac:dyDescent="0.25">
      <c r="A6892" s="8" t="s">
        <v>125</v>
      </c>
      <c r="B6892" s="8" t="s">
        <v>40</v>
      </c>
      <c r="C6892" s="8" t="str">
        <f>IFERROR(_xlfn.XLOOKUP(TRIM(B6892),Lookup!$B$2:$B$1000,Lookup!$C$2:$C$1000),"")</f>
        <v>Equity</v>
      </c>
      <c r="D6892" s="8" t="str">
        <f>IFERROR(INDEX('nav master'!$C:$C, MATCH(B6892, 'nav master'!$B:$B, 0)), "")</f>
        <v>ULIF 086 24/11/09 LOpport 105</v>
      </c>
      <c r="E6892" s="8" t="s">
        <v>369</v>
      </c>
      <c r="F6892" s="8" t="s">
        <v>2085</v>
      </c>
    </row>
    <row r="6893" spans="1:6" ht="60" x14ac:dyDescent="0.25">
      <c r="A6893" s="8" t="s">
        <v>125</v>
      </c>
      <c r="B6893" s="8" t="s">
        <v>40</v>
      </c>
      <c r="C6893" s="8" t="str">
        <f>IFERROR(_xlfn.XLOOKUP(TRIM(B6893),Lookup!$B$2:$B$1000,Lookup!$C$2:$C$1000),"")</f>
        <v>Equity</v>
      </c>
      <c r="D6893" s="8" t="str">
        <f>IFERROR(INDEX('nav master'!$C:$C, MATCH(B6893, 'nav master'!$B:$B, 0)), "")</f>
        <v>ULIF 086 24/11/09 LOpport 105</v>
      </c>
      <c r="E6893" s="8" t="s">
        <v>371</v>
      </c>
      <c r="F6893" s="8" t="s">
        <v>2086</v>
      </c>
    </row>
    <row r="6894" spans="1:6" ht="60" x14ac:dyDescent="0.25">
      <c r="A6894" s="8" t="s">
        <v>125</v>
      </c>
      <c r="B6894" s="8" t="s">
        <v>40</v>
      </c>
      <c r="C6894" s="8" t="str">
        <f>IFERROR(_xlfn.XLOOKUP(TRIM(B6894),Lookup!$B$2:$B$1000,Lookup!$C$2:$C$1000),"")</f>
        <v>Equity</v>
      </c>
      <c r="D6894" s="8" t="str">
        <f>IFERROR(INDEX('nav master'!$C:$C, MATCH(B6894, 'nav master'!$B:$B, 0)), "")</f>
        <v>ULIF 086 24/11/09 LOpport 105</v>
      </c>
      <c r="E6894" s="8" t="s">
        <v>373</v>
      </c>
      <c r="F6894" s="8" t="s">
        <v>2087</v>
      </c>
    </row>
    <row r="6895" spans="1:6" ht="60" x14ac:dyDescent="0.25">
      <c r="A6895" s="8" t="s">
        <v>125</v>
      </c>
      <c r="B6895" s="8" t="s">
        <v>40</v>
      </c>
      <c r="C6895" s="8" t="str">
        <f>IFERROR(_xlfn.XLOOKUP(TRIM(B6895),Lookup!$B$2:$B$1000,Lookup!$C$2:$C$1000),"")</f>
        <v>Equity</v>
      </c>
      <c r="D6895" s="8" t="str">
        <f>IFERROR(INDEX('nav master'!$C:$C, MATCH(B6895, 'nav master'!$B:$B, 0)), "")</f>
        <v>ULIF 086 24/11/09 LOpport 105</v>
      </c>
      <c r="E6895" s="8" t="s">
        <v>375</v>
      </c>
      <c r="F6895" s="8" t="s">
        <v>2088</v>
      </c>
    </row>
    <row r="6896" spans="1:6" ht="60" x14ac:dyDescent="0.25">
      <c r="A6896" s="8" t="s">
        <v>125</v>
      </c>
      <c r="B6896" s="8" t="s">
        <v>40</v>
      </c>
      <c r="C6896" s="8" t="str">
        <f>IFERROR(_xlfn.XLOOKUP(TRIM(B6896),Lookup!$B$2:$B$1000,Lookup!$C$2:$C$1000),"")</f>
        <v>Equity</v>
      </c>
      <c r="D6896" s="8" t="str">
        <f>IFERROR(INDEX('nav master'!$C:$C, MATCH(B6896, 'nav master'!$B:$B, 0)), "")</f>
        <v>ULIF 086 24/11/09 LOpport 105</v>
      </c>
      <c r="E6896" s="8" t="s">
        <v>377</v>
      </c>
      <c r="F6896" s="8" t="s">
        <v>2089</v>
      </c>
    </row>
    <row r="6897" spans="1:6" ht="60" x14ac:dyDescent="0.25">
      <c r="A6897" s="8" t="s">
        <v>125</v>
      </c>
      <c r="B6897" s="8" t="s">
        <v>40</v>
      </c>
      <c r="C6897" s="8" t="str">
        <f>IFERROR(_xlfn.XLOOKUP(TRIM(B6897),Lookup!$B$2:$B$1000,Lookup!$C$2:$C$1000),"")</f>
        <v>Equity</v>
      </c>
      <c r="D6897" s="8" t="str">
        <f>IFERROR(INDEX('nav master'!$C:$C, MATCH(B6897, 'nav master'!$B:$B, 0)), "")</f>
        <v>ULIF 086 24/11/09 LOpport 105</v>
      </c>
      <c r="E6897" s="8" t="s">
        <v>379</v>
      </c>
      <c r="F6897" s="8" t="s">
        <v>2090</v>
      </c>
    </row>
    <row r="6898" spans="1:6" ht="60" x14ac:dyDescent="0.25">
      <c r="A6898" s="8" t="s">
        <v>125</v>
      </c>
      <c r="B6898" s="8" t="s">
        <v>40</v>
      </c>
      <c r="C6898" s="8" t="str">
        <f>IFERROR(_xlfn.XLOOKUP(TRIM(B6898),Lookup!$B$2:$B$1000,Lookup!$C$2:$C$1000),"")</f>
        <v>Equity</v>
      </c>
      <c r="D6898" s="8" t="str">
        <f>IFERROR(INDEX('nav master'!$C:$C, MATCH(B6898, 'nav master'!$B:$B, 0)), "")</f>
        <v>ULIF 086 24/11/09 LOpport 105</v>
      </c>
      <c r="E6898" s="8" t="s">
        <v>381</v>
      </c>
      <c r="F6898" s="8" t="s">
        <v>2091</v>
      </c>
    </row>
    <row r="6899" spans="1:6" ht="60" x14ac:dyDescent="0.25">
      <c r="A6899" s="8" t="s">
        <v>125</v>
      </c>
      <c r="B6899" s="8" t="s">
        <v>40</v>
      </c>
      <c r="C6899" s="8" t="str">
        <f>IFERROR(_xlfn.XLOOKUP(TRIM(B6899),Lookup!$B$2:$B$1000,Lookup!$C$2:$C$1000),"")</f>
        <v>Equity</v>
      </c>
      <c r="D6899" s="8" t="str">
        <f>IFERROR(INDEX('nav master'!$C:$C, MATCH(B6899, 'nav master'!$B:$B, 0)), "")</f>
        <v>ULIF 086 24/11/09 LOpport 105</v>
      </c>
      <c r="E6899" s="8" t="s">
        <v>383</v>
      </c>
      <c r="F6899" s="8" t="s">
        <v>2092</v>
      </c>
    </row>
    <row r="6900" spans="1:6" ht="60" x14ac:dyDescent="0.25">
      <c r="A6900" s="8" t="s">
        <v>125</v>
      </c>
      <c r="B6900" s="8" t="s">
        <v>40</v>
      </c>
      <c r="C6900" s="8" t="str">
        <f>IFERROR(_xlfn.XLOOKUP(TRIM(B6900),Lookup!$B$2:$B$1000,Lookup!$C$2:$C$1000),"")</f>
        <v>Equity</v>
      </c>
      <c r="D6900" s="8" t="str">
        <f>IFERROR(INDEX('nav master'!$C:$C, MATCH(B6900, 'nav master'!$B:$B, 0)), "")</f>
        <v>ULIF 086 24/11/09 LOpport 105</v>
      </c>
      <c r="E6900" s="8" t="s">
        <v>385</v>
      </c>
      <c r="F6900" s="8" t="s">
        <v>2093</v>
      </c>
    </row>
    <row r="6901" spans="1:6" ht="60" x14ac:dyDescent="0.25">
      <c r="A6901" s="8" t="s">
        <v>125</v>
      </c>
      <c r="B6901" s="8" t="s">
        <v>40</v>
      </c>
      <c r="C6901" s="8" t="str">
        <f>IFERROR(_xlfn.XLOOKUP(TRIM(B6901),Lookup!$B$2:$B$1000,Lookup!$C$2:$C$1000),"")</f>
        <v>Equity</v>
      </c>
      <c r="D6901" s="8" t="str">
        <f>IFERROR(INDEX('nav master'!$C:$C, MATCH(B6901, 'nav master'!$B:$B, 0)), "")</f>
        <v>ULIF 086 24/11/09 LOpport 105</v>
      </c>
      <c r="E6901" s="8" t="s">
        <v>387</v>
      </c>
      <c r="F6901" s="8" t="s">
        <v>2094</v>
      </c>
    </row>
    <row r="6902" spans="1:6" ht="60" x14ac:dyDescent="0.25">
      <c r="A6902" s="8" t="s">
        <v>125</v>
      </c>
      <c r="B6902" s="8" t="s">
        <v>40</v>
      </c>
      <c r="C6902" s="8" t="str">
        <f>IFERROR(_xlfn.XLOOKUP(TRIM(B6902),Lookup!$B$2:$B$1000,Lookup!$C$2:$C$1000),"")</f>
        <v>Equity</v>
      </c>
      <c r="D6902" s="8" t="str">
        <f>IFERROR(INDEX('nav master'!$C:$C, MATCH(B6902, 'nav master'!$B:$B, 0)), "")</f>
        <v>ULIF 086 24/11/09 LOpport 105</v>
      </c>
      <c r="E6902" s="8" t="s">
        <v>389</v>
      </c>
      <c r="F6902" s="8" t="s">
        <v>2095</v>
      </c>
    </row>
    <row r="6903" spans="1:6" ht="60" x14ac:dyDescent="0.25">
      <c r="A6903" s="8" t="s">
        <v>125</v>
      </c>
      <c r="B6903" s="8" t="s">
        <v>40</v>
      </c>
      <c r="C6903" s="8" t="str">
        <f>IFERROR(_xlfn.XLOOKUP(TRIM(B6903),Lookup!$B$2:$B$1000,Lookup!$C$2:$C$1000),"")</f>
        <v>Equity</v>
      </c>
      <c r="D6903" s="8" t="str">
        <f>IFERROR(INDEX('nav master'!$C:$C, MATCH(B6903, 'nav master'!$B:$B, 0)), "")</f>
        <v>ULIF 086 24/11/09 LOpport 105</v>
      </c>
      <c r="E6903" s="8" t="s">
        <v>391</v>
      </c>
      <c r="F6903" s="8" t="s">
        <v>2096</v>
      </c>
    </row>
    <row r="6904" spans="1:6" ht="60" x14ac:dyDescent="0.25">
      <c r="A6904" s="8" t="s">
        <v>125</v>
      </c>
      <c r="B6904" s="8" t="s">
        <v>40</v>
      </c>
      <c r="C6904" s="8" t="str">
        <f>IFERROR(_xlfn.XLOOKUP(TRIM(B6904),Lookup!$B$2:$B$1000,Lookup!$C$2:$C$1000),"")</f>
        <v>Equity</v>
      </c>
      <c r="D6904" s="8" t="str">
        <f>IFERROR(INDEX('nav master'!$C:$C, MATCH(B6904, 'nav master'!$B:$B, 0)), "")</f>
        <v>ULIF 086 24/11/09 LOpport 105</v>
      </c>
      <c r="E6904" s="8" t="s">
        <v>393</v>
      </c>
      <c r="F6904" s="8" t="s">
        <v>2097</v>
      </c>
    </row>
    <row r="6905" spans="1:6" ht="60" x14ac:dyDescent="0.25">
      <c r="A6905" s="8" t="s">
        <v>125</v>
      </c>
      <c r="B6905" s="8" t="s">
        <v>40</v>
      </c>
      <c r="C6905" s="8" t="str">
        <f>IFERROR(_xlfn.XLOOKUP(TRIM(B6905),Lookup!$B$2:$B$1000,Lookup!$C$2:$C$1000),"")</f>
        <v>Equity</v>
      </c>
      <c r="D6905" s="8" t="str">
        <f>IFERROR(INDEX('nav master'!$C:$C, MATCH(B6905, 'nav master'!$B:$B, 0)), "")</f>
        <v>ULIF 086 24/11/09 LOpport 105</v>
      </c>
      <c r="E6905" s="8" t="s">
        <v>395</v>
      </c>
      <c r="F6905" s="8" t="s">
        <v>2098</v>
      </c>
    </row>
    <row r="6906" spans="1:6" ht="60" x14ac:dyDescent="0.25">
      <c r="A6906" s="8" t="s">
        <v>125</v>
      </c>
      <c r="B6906" s="8" t="s">
        <v>40</v>
      </c>
      <c r="C6906" s="8" t="str">
        <f>IFERROR(_xlfn.XLOOKUP(TRIM(B6906),Lookup!$B$2:$B$1000,Lookup!$C$2:$C$1000),"")</f>
        <v>Equity</v>
      </c>
      <c r="D6906" s="8" t="str">
        <f>IFERROR(INDEX('nav master'!$C:$C, MATCH(B6906, 'nav master'!$B:$B, 0)), "")</f>
        <v>ULIF 086 24/11/09 LOpport 105</v>
      </c>
      <c r="E6906" s="8" t="s">
        <v>397</v>
      </c>
      <c r="F6906" s="8" t="s">
        <v>2099</v>
      </c>
    </row>
    <row r="6907" spans="1:6" ht="60" x14ac:dyDescent="0.25">
      <c r="A6907" s="8" t="s">
        <v>125</v>
      </c>
      <c r="B6907" s="8" t="s">
        <v>40</v>
      </c>
      <c r="C6907" s="8" t="str">
        <f>IFERROR(_xlfn.XLOOKUP(TRIM(B6907),Lookup!$B$2:$B$1000,Lookup!$C$2:$C$1000),"")</f>
        <v>Equity</v>
      </c>
      <c r="D6907" s="8" t="str">
        <f>IFERROR(INDEX('nav master'!$C:$C, MATCH(B6907, 'nav master'!$B:$B, 0)), "")</f>
        <v>ULIF 086 24/11/09 LOpport 105</v>
      </c>
      <c r="E6907" s="8" t="s">
        <v>399</v>
      </c>
      <c r="F6907" s="8" t="s">
        <v>2100</v>
      </c>
    </row>
    <row r="6908" spans="1:6" ht="60" x14ac:dyDescent="0.25">
      <c r="A6908" s="8" t="s">
        <v>125</v>
      </c>
      <c r="B6908" s="8" t="s">
        <v>40</v>
      </c>
      <c r="C6908" s="8" t="str">
        <f>IFERROR(_xlfn.XLOOKUP(TRIM(B6908),Lookup!$B$2:$B$1000,Lookup!$C$2:$C$1000),"")</f>
        <v>Equity</v>
      </c>
      <c r="D6908" s="8" t="str">
        <f>IFERROR(INDEX('nav master'!$C:$C, MATCH(B6908, 'nav master'!$B:$B, 0)), "")</f>
        <v>ULIF 086 24/11/09 LOpport 105</v>
      </c>
      <c r="E6908" s="8" t="s">
        <v>401</v>
      </c>
      <c r="F6908" s="8" t="s">
        <v>2101</v>
      </c>
    </row>
    <row r="6909" spans="1:6" ht="60" x14ac:dyDescent="0.25">
      <c r="A6909" s="8" t="s">
        <v>125</v>
      </c>
      <c r="B6909" s="8" t="s">
        <v>40</v>
      </c>
      <c r="C6909" s="8" t="str">
        <f>IFERROR(_xlfn.XLOOKUP(TRIM(B6909),Lookup!$B$2:$B$1000,Lookup!$C$2:$C$1000),"")</f>
        <v>Equity</v>
      </c>
      <c r="D6909" s="8" t="str">
        <f>IFERROR(INDEX('nav master'!$C:$C, MATCH(B6909, 'nav master'!$B:$B, 0)), "")</f>
        <v>ULIF 086 24/11/09 LOpport 105</v>
      </c>
      <c r="E6909" s="8" t="s">
        <v>403</v>
      </c>
      <c r="F6909" s="8" t="s">
        <v>2102</v>
      </c>
    </row>
    <row r="6910" spans="1:6" ht="60" x14ac:dyDescent="0.25">
      <c r="A6910" s="8" t="s">
        <v>125</v>
      </c>
      <c r="B6910" s="8" t="s">
        <v>40</v>
      </c>
      <c r="C6910" s="8" t="str">
        <f>IFERROR(_xlfn.XLOOKUP(TRIM(B6910),Lookup!$B$2:$B$1000,Lookup!$C$2:$C$1000),"")</f>
        <v>Equity</v>
      </c>
      <c r="D6910" s="8" t="str">
        <f>IFERROR(INDEX('nav master'!$C:$C, MATCH(B6910, 'nav master'!$B:$B, 0)), "")</f>
        <v>ULIF 086 24/11/09 LOpport 105</v>
      </c>
      <c r="E6910" s="8" t="s">
        <v>405</v>
      </c>
      <c r="F6910" s="8" t="s">
        <v>2103</v>
      </c>
    </row>
    <row r="6911" spans="1:6" ht="60" x14ac:dyDescent="0.25">
      <c r="A6911" s="8" t="s">
        <v>125</v>
      </c>
      <c r="B6911" s="8" t="s">
        <v>40</v>
      </c>
      <c r="C6911" s="8" t="str">
        <f>IFERROR(_xlfn.XLOOKUP(TRIM(B6911),Lookup!$B$2:$B$1000,Lookup!$C$2:$C$1000),"")</f>
        <v>Equity</v>
      </c>
      <c r="D6911" s="8" t="str">
        <f>IFERROR(INDEX('nav master'!$C:$C, MATCH(B6911, 'nav master'!$B:$B, 0)), "")</f>
        <v>ULIF 086 24/11/09 LOpport 105</v>
      </c>
      <c r="E6911" s="8" t="s">
        <v>407</v>
      </c>
      <c r="F6911" s="8" t="s">
        <v>2104</v>
      </c>
    </row>
    <row r="6912" spans="1:6" ht="60" x14ac:dyDescent="0.25">
      <c r="A6912" s="8" t="s">
        <v>125</v>
      </c>
      <c r="B6912" s="8" t="s">
        <v>40</v>
      </c>
      <c r="C6912" s="8" t="str">
        <f>IFERROR(_xlfn.XLOOKUP(TRIM(B6912),Lookup!$B$2:$B$1000,Lookup!$C$2:$C$1000),"")</f>
        <v>Equity</v>
      </c>
      <c r="D6912" s="8" t="str">
        <f>IFERROR(INDEX('nav master'!$C:$C, MATCH(B6912, 'nav master'!$B:$B, 0)), "")</f>
        <v>ULIF 086 24/11/09 LOpport 105</v>
      </c>
      <c r="E6912" s="8" t="s">
        <v>409</v>
      </c>
      <c r="F6912" s="8" t="s">
        <v>2105</v>
      </c>
    </row>
    <row r="6913" spans="1:6" ht="60" x14ac:dyDescent="0.25">
      <c r="A6913" s="8" t="s">
        <v>125</v>
      </c>
      <c r="B6913" s="8" t="s">
        <v>40</v>
      </c>
      <c r="C6913" s="8" t="str">
        <f>IFERROR(_xlfn.XLOOKUP(TRIM(B6913),Lookup!$B$2:$B$1000,Lookup!$C$2:$C$1000),"")</f>
        <v>Equity</v>
      </c>
      <c r="D6913" s="8" t="str">
        <f>IFERROR(INDEX('nav master'!$C:$C, MATCH(B6913, 'nav master'!$B:$B, 0)), "")</f>
        <v>ULIF 086 24/11/09 LOpport 105</v>
      </c>
      <c r="E6913" s="8" t="s">
        <v>411</v>
      </c>
      <c r="F6913" s="8" t="s">
        <v>2106</v>
      </c>
    </row>
    <row r="6914" spans="1:6" ht="60" x14ac:dyDescent="0.25">
      <c r="A6914" s="8" t="s">
        <v>125</v>
      </c>
      <c r="B6914" s="8" t="s">
        <v>40</v>
      </c>
      <c r="C6914" s="8" t="str">
        <f>IFERROR(_xlfn.XLOOKUP(TRIM(B6914),Lookup!$B$2:$B$1000,Lookup!$C$2:$C$1000),"")</f>
        <v>Equity</v>
      </c>
      <c r="D6914" s="8" t="str">
        <f>IFERROR(INDEX('nav master'!$C:$C, MATCH(B6914, 'nav master'!$B:$B, 0)), "")</f>
        <v>ULIF 086 24/11/09 LOpport 105</v>
      </c>
      <c r="E6914" s="8" t="s">
        <v>413</v>
      </c>
      <c r="F6914" s="8" t="s">
        <v>2107</v>
      </c>
    </row>
    <row r="6915" spans="1:6" ht="60" x14ac:dyDescent="0.25">
      <c r="A6915" s="8" t="s">
        <v>125</v>
      </c>
      <c r="B6915" s="8" t="s">
        <v>40</v>
      </c>
      <c r="C6915" s="8" t="str">
        <f>IFERROR(_xlfn.XLOOKUP(TRIM(B6915),Lookup!$B$2:$B$1000,Lookup!$C$2:$C$1000),"")</f>
        <v>Equity</v>
      </c>
      <c r="D6915" s="8" t="str">
        <f>IFERROR(INDEX('nav master'!$C:$C, MATCH(B6915, 'nav master'!$B:$B, 0)), "")</f>
        <v>ULIF 086 24/11/09 LOpport 105</v>
      </c>
      <c r="E6915" s="8" t="s">
        <v>415</v>
      </c>
      <c r="F6915" s="8" t="s">
        <v>2108</v>
      </c>
    </row>
    <row r="6916" spans="1:6" ht="60" x14ac:dyDescent="0.25">
      <c r="A6916" s="8" t="s">
        <v>125</v>
      </c>
      <c r="B6916" s="8" t="s">
        <v>40</v>
      </c>
      <c r="C6916" s="8" t="str">
        <f>IFERROR(_xlfn.XLOOKUP(TRIM(B6916),Lookup!$B$2:$B$1000,Lookup!$C$2:$C$1000),"")</f>
        <v>Equity</v>
      </c>
      <c r="D6916" s="8" t="str">
        <f>IFERROR(INDEX('nav master'!$C:$C, MATCH(B6916, 'nav master'!$B:$B, 0)), "")</f>
        <v>ULIF 086 24/11/09 LOpport 105</v>
      </c>
      <c r="E6916" s="8" t="s">
        <v>417</v>
      </c>
      <c r="F6916" s="8" t="s">
        <v>2109</v>
      </c>
    </row>
    <row r="6917" spans="1:6" ht="60" x14ac:dyDescent="0.25">
      <c r="A6917" s="8" t="s">
        <v>125</v>
      </c>
      <c r="B6917" s="8" t="s">
        <v>40</v>
      </c>
      <c r="C6917" s="8" t="str">
        <f>IFERROR(_xlfn.XLOOKUP(TRIM(B6917),Lookup!$B$2:$B$1000,Lookup!$C$2:$C$1000),"")</f>
        <v>Equity</v>
      </c>
      <c r="D6917" s="8" t="str">
        <f>IFERROR(INDEX('nav master'!$C:$C, MATCH(B6917, 'nav master'!$B:$B, 0)), "")</f>
        <v>ULIF 086 24/11/09 LOpport 105</v>
      </c>
      <c r="E6917" s="8" t="s">
        <v>419</v>
      </c>
      <c r="F6917" s="8" t="s">
        <v>2110</v>
      </c>
    </row>
    <row r="6918" spans="1:6" ht="60" x14ac:dyDescent="0.25">
      <c r="A6918" s="8" t="s">
        <v>125</v>
      </c>
      <c r="B6918" s="8" t="s">
        <v>40</v>
      </c>
      <c r="C6918" s="8" t="str">
        <f>IFERROR(_xlfn.XLOOKUP(TRIM(B6918),Lookup!$B$2:$B$1000,Lookup!$C$2:$C$1000),"")</f>
        <v>Equity</v>
      </c>
      <c r="D6918" s="8" t="str">
        <f>IFERROR(INDEX('nav master'!$C:$C, MATCH(B6918, 'nav master'!$B:$B, 0)), "")</f>
        <v>ULIF 086 24/11/09 LOpport 105</v>
      </c>
      <c r="E6918" s="8" t="s">
        <v>421</v>
      </c>
      <c r="F6918" s="8" t="s">
        <v>2111</v>
      </c>
    </row>
    <row r="6919" spans="1:6" ht="60" x14ac:dyDescent="0.25">
      <c r="A6919" s="8" t="s">
        <v>125</v>
      </c>
      <c r="B6919" s="8" t="s">
        <v>40</v>
      </c>
      <c r="C6919" s="8" t="str">
        <f>IFERROR(_xlfn.XLOOKUP(TRIM(B6919),Lookup!$B$2:$B$1000,Lookup!$C$2:$C$1000),"")</f>
        <v>Equity</v>
      </c>
      <c r="D6919" s="8" t="str">
        <f>IFERROR(INDEX('nav master'!$C:$C, MATCH(B6919, 'nav master'!$B:$B, 0)), "")</f>
        <v>ULIF 086 24/11/09 LOpport 105</v>
      </c>
      <c r="E6919" s="8" t="s">
        <v>423</v>
      </c>
      <c r="F6919" s="8" t="s">
        <v>2112</v>
      </c>
    </row>
    <row r="6920" spans="1:6" ht="60" x14ac:dyDescent="0.25">
      <c r="A6920" s="8" t="s">
        <v>125</v>
      </c>
      <c r="B6920" s="8" t="s">
        <v>40</v>
      </c>
      <c r="C6920" s="8" t="str">
        <f>IFERROR(_xlfn.XLOOKUP(TRIM(B6920),Lookup!$B$2:$B$1000,Lookup!$C$2:$C$1000),"")</f>
        <v>Equity</v>
      </c>
      <c r="D6920" s="8" t="str">
        <f>IFERROR(INDEX('nav master'!$C:$C, MATCH(B6920, 'nav master'!$B:$B, 0)), "")</f>
        <v>ULIF 086 24/11/09 LOpport 105</v>
      </c>
      <c r="E6920" s="8" t="s">
        <v>425</v>
      </c>
      <c r="F6920" s="8" t="s">
        <v>2113</v>
      </c>
    </row>
    <row r="6921" spans="1:6" ht="60" x14ac:dyDescent="0.25">
      <c r="A6921" s="8" t="s">
        <v>125</v>
      </c>
      <c r="B6921" s="8" t="s">
        <v>40</v>
      </c>
      <c r="C6921" s="8" t="str">
        <f>IFERROR(_xlfn.XLOOKUP(TRIM(B6921),Lookup!$B$2:$B$1000,Lookup!$C$2:$C$1000),"")</f>
        <v>Equity</v>
      </c>
      <c r="D6921" s="8" t="str">
        <f>IFERROR(INDEX('nav master'!$C:$C, MATCH(B6921, 'nav master'!$B:$B, 0)), "")</f>
        <v>ULIF 086 24/11/09 LOpport 105</v>
      </c>
      <c r="E6921" s="8" t="s">
        <v>427</v>
      </c>
      <c r="F6921" s="8" t="s">
        <v>2114</v>
      </c>
    </row>
    <row r="6922" spans="1:6" ht="60" x14ac:dyDescent="0.25">
      <c r="A6922" s="8" t="s">
        <v>125</v>
      </c>
      <c r="B6922" s="8" t="s">
        <v>40</v>
      </c>
      <c r="C6922" s="8" t="str">
        <f>IFERROR(_xlfn.XLOOKUP(TRIM(B6922),Lookup!$B$2:$B$1000,Lookup!$C$2:$C$1000),"")</f>
        <v>Equity</v>
      </c>
      <c r="D6922" s="8" t="str">
        <f>IFERROR(INDEX('nav master'!$C:$C, MATCH(B6922, 'nav master'!$B:$B, 0)), "")</f>
        <v>ULIF 086 24/11/09 LOpport 105</v>
      </c>
      <c r="E6922" s="8" t="s">
        <v>429</v>
      </c>
      <c r="F6922" s="8" t="s">
        <v>2115</v>
      </c>
    </row>
    <row r="6923" spans="1:6" ht="60" x14ac:dyDescent="0.25">
      <c r="A6923" s="8" t="s">
        <v>125</v>
      </c>
      <c r="B6923" s="8" t="s">
        <v>40</v>
      </c>
      <c r="C6923" s="8" t="str">
        <f>IFERROR(_xlfn.XLOOKUP(TRIM(B6923),Lookup!$B$2:$B$1000,Lookup!$C$2:$C$1000),"")</f>
        <v>Equity</v>
      </c>
      <c r="D6923" s="8" t="str">
        <f>IFERROR(INDEX('nav master'!$C:$C, MATCH(B6923, 'nav master'!$B:$B, 0)), "")</f>
        <v>ULIF 086 24/11/09 LOpport 105</v>
      </c>
      <c r="E6923" s="8" t="s">
        <v>431</v>
      </c>
      <c r="F6923" s="8" t="s">
        <v>2116</v>
      </c>
    </row>
    <row r="6924" spans="1:6" ht="60" x14ac:dyDescent="0.25">
      <c r="A6924" s="8" t="s">
        <v>125</v>
      </c>
      <c r="B6924" s="8" t="s">
        <v>40</v>
      </c>
      <c r="C6924" s="8" t="str">
        <f>IFERROR(_xlfn.XLOOKUP(TRIM(B6924),Lookup!$B$2:$B$1000,Lookup!$C$2:$C$1000),"")</f>
        <v>Equity</v>
      </c>
      <c r="D6924" s="8" t="str">
        <f>IFERROR(INDEX('nav master'!$C:$C, MATCH(B6924, 'nav master'!$B:$B, 0)), "")</f>
        <v>ULIF 086 24/11/09 LOpport 105</v>
      </c>
      <c r="E6924" s="8" t="s">
        <v>433</v>
      </c>
      <c r="F6924" s="8" t="s">
        <v>2117</v>
      </c>
    </row>
    <row r="6925" spans="1:6" ht="60" x14ac:dyDescent="0.25">
      <c r="A6925" s="8" t="s">
        <v>125</v>
      </c>
      <c r="B6925" s="8" t="s">
        <v>40</v>
      </c>
      <c r="C6925" s="8" t="str">
        <f>IFERROR(_xlfn.XLOOKUP(TRIM(B6925),Lookup!$B$2:$B$1000,Lookup!$C$2:$C$1000),"")</f>
        <v>Equity</v>
      </c>
      <c r="D6925" s="8" t="str">
        <f>IFERROR(INDEX('nav master'!$C:$C, MATCH(B6925, 'nav master'!$B:$B, 0)), "")</f>
        <v>ULIF 086 24/11/09 LOpport 105</v>
      </c>
      <c r="E6925" s="8" t="s">
        <v>435</v>
      </c>
      <c r="F6925" s="8" t="s">
        <v>2118</v>
      </c>
    </row>
    <row r="6926" spans="1:6" ht="60" x14ac:dyDescent="0.25">
      <c r="A6926" s="8" t="s">
        <v>125</v>
      </c>
      <c r="B6926" s="8" t="s">
        <v>40</v>
      </c>
      <c r="C6926" s="8" t="str">
        <f>IFERROR(_xlfn.XLOOKUP(TRIM(B6926),Lookup!$B$2:$B$1000,Lookup!$C$2:$C$1000),"")</f>
        <v>Equity</v>
      </c>
      <c r="D6926" s="8" t="str">
        <f>IFERROR(INDEX('nav master'!$C:$C, MATCH(B6926, 'nav master'!$B:$B, 0)), "")</f>
        <v>ULIF 086 24/11/09 LOpport 105</v>
      </c>
      <c r="E6926" s="8" t="s">
        <v>437</v>
      </c>
      <c r="F6926" s="8" t="s">
        <v>2119</v>
      </c>
    </row>
    <row r="6927" spans="1:6" ht="60" x14ac:dyDescent="0.25">
      <c r="A6927" s="8" t="s">
        <v>125</v>
      </c>
      <c r="B6927" s="8" t="s">
        <v>40</v>
      </c>
      <c r="C6927" s="8" t="str">
        <f>IFERROR(_xlfn.XLOOKUP(TRIM(B6927),Lookup!$B$2:$B$1000,Lookup!$C$2:$C$1000),"")</f>
        <v>Equity</v>
      </c>
      <c r="D6927" s="8" t="str">
        <f>IFERROR(INDEX('nav master'!$C:$C, MATCH(B6927, 'nav master'!$B:$B, 0)), "")</f>
        <v>ULIF 086 24/11/09 LOpport 105</v>
      </c>
      <c r="E6927" s="8" t="s">
        <v>439</v>
      </c>
      <c r="F6927" s="8" t="s">
        <v>2120</v>
      </c>
    </row>
    <row r="6928" spans="1:6" ht="60" x14ac:dyDescent="0.25">
      <c r="A6928" s="8" t="s">
        <v>125</v>
      </c>
      <c r="B6928" s="8" t="s">
        <v>40</v>
      </c>
      <c r="C6928" s="8" t="str">
        <f>IFERROR(_xlfn.XLOOKUP(TRIM(B6928),Lookup!$B$2:$B$1000,Lookup!$C$2:$C$1000),"")</f>
        <v>Equity</v>
      </c>
      <c r="D6928" s="8" t="str">
        <f>IFERROR(INDEX('nav master'!$C:$C, MATCH(B6928, 'nav master'!$B:$B, 0)), "")</f>
        <v>ULIF 086 24/11/09 LOpport 105</v>
      </c>
      <c r="E6928" s="8" t="s">
        <v>441</v>
      </c>
      <c r="F6928" s="8" t="s">
        <v>2121</v>
      </c>
    </row>
    <row r="6929" spans="1:6" ht="60" x14ac:dyDescent="0.25">
      <c r="A6929" s="8" t="s">
        <v>125</v>
      </c>
      <c r="B6929" s="8" t="s">
        <v>40</v>
      </c>
      <c r="C6929" s="8" t="str">
        <f>IFERROR(_xlfn.XLOOKUP(TRIM(B6929),Lookup!$B$2:$B$1000,Lookup!$C$2:$C$1000),"")</f>
        <v>Equity</v>
      </c>
      <c r="D6929" s="8" t="str">
        <f>IFERROR(INDEX('nav master'!$C:$C, MATCH(B6929, 'nav master'!$B:$B, 0)), "")</f>
        <v>ULIF 086 24/11/09 LOpport 105</v>
      </c>
      <c r="E6929" s="8" t="s">
        <v>443</v>
      </c>
      <c r="F6929" s="8" t="s">
        <v>2122</v>
      </c>
    </row>
    <row r="6930" spans="1:6" ht="60" x14ac:dyDescent="0.25">
      <c r="A6930" s="8" t="s">
        <v>125</v>
      </c>
      <c r="B6930" s="8" t="s">
        <v>40</v>
      </c>
      <c r="C6930" s="8" t="str">
        <f>IFERROR(_xlfn.XLOOKUP(TRIM(B6930),Lookup!$B$2:$B$1000,Lookup!$C$2:$C$1000),"")</f>
        <v>Equity</v>
      </c>
      <c r="D6930" s="8" t="str">
        <f>IFERROR(INDEX('nav master'!$C:$C, MATCH(B6930, 'nav master'!$B:$B, 0)), "")</f>
        <v>ULIF 086 24/11/09 LOpport 105</v>
      </c>
      <c r="E6930" s="8" t="s">
        <v>445</v>
      </c>
      <c r="F6930" s="8" t="s">
        <v>2123</v>
      </c>
    </row>
    <row r="6931" spans="1:6" ht="60" x14ac:dyDescent="0.25">
      <c r="A6931" s="8" t="s">
        <v>125</v>
      </c>
      <c r="B6931" s="8" t="s">
        <v>40</v>
      </c>
      <c r="C6931" s="8" t="str">
        <f>IFERROR(_xlfn.XLOOKUP(TRIM(B6931),Lookup!$B$2:$B$1000,Lookup!$C$2:$C$1000),"")</f>
        <v>Equity</v>
      </c>
      <c r="D6931" s="8" t="str">
        <f>IFERROR(INDEX('nav master'!$C:$C, MATCH(B6931, 'nav master'!$B:$B, 0)), "")</f>
        <v>ULIF 086 24/11/09 LOpport 105</v>
      </c>
      <c r="E6931" s="8" t="s">
        <v>446</v>
      </c>
      <c r="F6931" s="8" t="s">
        <v>2124</v>
      </c>
    </row>
    <row r="6932" spans="1:6" ht="60" x14ac:dyDescent="0.25">
      <c r="A6932" s="8" t="s">
        <v>125</v>
      </c>
      <c r="B6932" s="8" t="s">
        <v>40</v>
      </c>
      <c r="C6932" s="8" t="str">
        <f>IFERROR(_xlfn.XLOOKUP(TRIM(B6932),Lookup!$B$2:$B$1000,Lookup!$C$2:$C$1000),"")</f>
        <v>Equity</v>
      </c>
      <c r="D6932" s="8" t="str">
        <f>IFERROR(INDEX('nav master'!$C:$C, MATCH(B6932, 'nav master'!$B:$B, 0)), "")</f>
        <v>ULIF 086 24/11/09 LOpport 105</v>
      </c>
      <c r="E6932" s="8" t="s">
        <v>448</v>
      </c>
      <c r="F6932" s="8" t="s">
        <v>2125</v>
      </c>
    </row>
    <row r="6933" spans="1:6" ht="60" x14ac:dyDescent="0.25">
      <c r="A6933" s="8" t="s">
        <v>125</v>
      </c>
      <c r="B6933" s="8" t="s">
        <v>40</v>
      </c>
      <c r="C6933" s="8" t="str">
        <f>IFERROR(_xlfn.XLOOKUP(TRIM(B6933),Lookup!$B$2:$B$1000,Lookup!$C$2:$C$1000),"")</f>
        <v>Equity</v>
      </c>
      <c r="D6933" s="8" t="str">
        <f>IFERROR(INDEX('nav master'!$C:$C, MATCH(B6933, 'nav master'!$B:$B, 0)), "")</f>
        <v>ULIF 086 24/11/09 LOpport 105</v>
      </c>
      <c r="E6933" s="8" t="s">
        <v>450</v>
      </c>
      <c r="F6933" s="8" t="s">
        <v>2126</v>
      </c>
    </row>
    <row r="6934" spans="1:6" ht="60" x14ac:dyDescent="0.25">
      <c r="A6934" s="8" t="s">
        <v>125</v>
      </c>
      <c r="B6934" s="8" t="s">
        <v>40</v>
      </c>
      <c r="C6934" s="8" t="str">
        <f>IFERROR(_xlfn.XLOOKUP(TRIM(B6934),Lookup!$B$2:$B$1000,Lookup!$C$2:$C$1000),"")</f>
        <v>Equity</v>
      </c>
      <c r="D6934" s="8" t="str">
        <f>IFERROR(INDEX('nav master'!$C:$C, MATCH(B6934, 'nav master'!$B:$B, 0)), "")</f>
        <v>ULIF 086 24/11/09 LOpport 105</v>
      </c>
      <c r="E6934" s="8" t="s">
        <v>452</v>
      </c>
      <c r="F6934" s="8" t="s">
        <v>2127</v>
      </c>
    </row>
    <row r="6935" spans="1:6" ht="60" x14ac:dyDescent="0.25">
      <c r="A6935" s="8" t="s">
        <v>125</v>
      </c>
      <c r="B6935" s="8" t="s">
        <v>40</v>
      </c>
      <c r="C6935" s="8" t="str">
        <f>IFERROR(_xlfn.XLOOKUP(TRIM(B6935),Lookup!$B$2:$B$1000,Lookup!$C$2:$C$1000),"")</f>
        <v>Equity</v>
      </c>
      <c r="D6935" s="8" t="str">
        <f>IFERROR(INDEX('nav master'!$C:$C, MATCH(B6935, 'nav master'!$B:$B, 0)), "")</f>
        <v>ULIF 086 24/11/09 LOpport 105</v>
      </c>
      <c r="E6935" s="8" t="s">
        <v>454</v>
      </c>
      <c r="F6935" s="8" t="s">
        <v>2128</v>
      </c>
    </row>
    <row r="6936" spans="1:6" ht="60" x14ac:dyDescent="0.25">
      <c r="A6936" s="8" t="s">
        <v>125</v>
      </c>
      <c r="B6936" s="8" t="s">
        <v>40</v>
      </c>
      <c r="C6936" s="8" t="str">
        <f>IFERROR(_xlfn.XLOOKUP(TRIM(B6936),Lookup!$B$2:$B$1000,Lookup!$C$2:$C$1000),"")</f>
        <v>Equity</v>
      </c>
      <c r="D6936" s="8" t="str">
        <f>IFERROR(INDEX('nav master'!$C:$C, MATCH(B6936, 'nav master'!$B:$B, 0)), "")</f>
        <v>ULIF 086 24/11/09 LOpport 105</v>
      </c>
      <c r="E6936" s="8" t="s">
        <v>456</v>
      </c>
      <c r="F6936" s="8" t="s">
        <v>2129</v>
      </c>
    </row>
    <row r="6937" spans="1:6" ht="60" x14ac:dyDescent="0.25">
      <c r="A6937" s="8" t="s">
        <v>125</v>
      </c>
      <c r="B6937" s="8" t="s">
        <v>40</v>
      </c>
      <c r="C6937" s="8" t="str">
        <f>IFERROR(_xlfn.XLOOKUP(TRIM(B6937),Lookup!$B$2:$B$1000,Lookup!$C$2:$C$1000),"")</f>
        <v>Equity</v>
      </c>
      <c r="D6937" s="8" t="str">
        <f>IFERROR(INDEX('nav master'!$C:$C, MATCH(B6937, 'nav master'!$B:$B, 0)), "")</f>
        <v>ULIF 086 24/11/09 LOpport 105</v>
      </c>
      <c r="E6937" s="8" t="s">
        <v>458</v>
      </c>
      <c r="F6937" s="8" t="s">
        <v>2130</v>
      </c>
    </row>
    <row r="6938" spans="1:6" ht="60" x14ac:dyDescent="0.25">
      <c r="A6938" s="8" t="s">
        <v>125</v>
      </c>
      <c r="B6938" s="8" t="s">
        <v>40</v>
      </c>
      <c r="C6938" s="8" t="str">
        <f>IFERROR(_xlfn.XLOOKUP(TRIM(B6938),Lookup!$B$2:$B$1000,Lookup!$C$2:$C$1000),"")</f>
        <v>Equity</v>
      </c>
      <c r="D6938" s="8" t="str">
        <f>IFERROR(INDEX('nav master'!$C:$C, MATCH(B6938, 'nav master'!$B:$B, 0)), "")</f>
        <v>ULIF 086 24/11/09 LOpport 105</v>
      </c>
      <c r="E6938" s="8" t="s">
        <v>460</v>
      </c>
      <c r="F6938" s="8" t="s">
        <v>2131</v>
      </c>
    </row>
    <row r="6939" spans="1:6" ht="60" x14ac:dyDescent="0.25">
      <c r="A6939" s="8" t="s">
        <v>125</v>
      </c>
      <c r="B6939" s="8" t="s">
        <v>40</v>
      </c>
      <c r="C6939" s="8" t="str">
        <f>IFERROR(_xlfn.XLOOKUP(TRIM(B6939),Lookup!$B$2:$B$1000,Lookup!$C$2:$C$1000),"")</f>
        <v>Equity</v>
      </c>
      <c r="D6939" s="8" t="str">
        <f>IFERROR(INDEX('nav master'!$C:$C, MATCH(B6939, 'nav master'!$B:$B, 0)), "")</f>
        <v>ULIF 086 24/11/09 LOpport 105</v>
      </c>
      <c r="E6939" s="8" t="s">
        <v>462</v>
      </c>
      <c r="F6939" s="8" t="s">
        <v>2132</v>
      </c>
    </row>
    <row r="6940" spans="1:6" ht="60" x14ac:dyDescent="0.25">
      <c r="A6940" s="8" t="s">
        <v>125</v>
      </c>
      <c r="B6940" s="8" t="s">
        <v>40</v>
      </c>
      <c r="C6940" s="8" t="str">
        <f>IFERROR(_xlfn.XLOOKUP(TRIM(B6940),Lookup!$B$2:$B$1000,Lookup!$C$2:$C$1000),"")</f>
        <v>Equity</v>
      </c>
      <c r="D6940" s="8" t="str">
        <f>IFERROR(INDEX('nav master'!$C:$C, MATCH(B6940, 'nav master'!$B:$B, 0)), "")</f>
        <v>ULIF 086 24/11/09 LOpport 105</v>
      </c>
      <c r="E6940" s="8" t="s">
        <v>464</v>
      </c>
      <c r="F6940" s="8" t="s">
        <v>2133</v>
      </c>
    </row>
    <row r="6941" spans="1:6" ht="60" x14ac:dyDescent="0.25">
      <c r="A6941" s="8" t="s">
        <v>125</v>
      </c>
      <c r="B6941" s="8" t="s">
        <v>40</v>
      </c>
      <c r="C6941" s="8" t="str">
        <f>IFERROR(_xlfn.XLOOKUP(TRIM(B6941),Lookup!$B$2:$B$1000,Lookup!$C$2:$C$1000),"")</f>
        <v>Equity</v>
      </c>
      <c r="D6941" s="8" t="str">
        <f>IFERROR(INDEX('nav master'!$C:$C, MATCH(B6941, 'nav master'!$B:$B, 0)), "")</f>
        <v>ULIF 086 24/11/09 LOpport 105</v>
      </c>
      <c r="E6941" s="8" t="s">
        <v>466</v>
      </c>
      <c r="F6941" s="8" t="s">
        <v>2134</v>
      </c>
    </row>
    <row r="6942" spans="1:6" ht="60" x14ac:dyDescent="0.25">
      <c r="A6942" s="8" t="s">
        <v>125</v>
      </c>
      <c r="B6942" s="8" t="s">
        <v>40</v>
      </c>
      <c r="C6942" s="8" t="str">
        <f>IFERROR(_xlfn.XLOOKUP(TRIM(B6942),Lookup!$B$2:$B$1000,Lookup!$C$2:$C$1000),"")</f>
        <v>Equity</v>
      </c>
      <c r="D6942" s="8" t="str">
        <f>IFERROR(INDEX('nav master'!$C:$C, MATCH(B6942, 'nav master'!$B:$B, 0)), "")</f>
        <v>ULIF 086 24/11/09 LOpport 105</v>
      </c>
      <c r="E6942" s="8" t="s">
        <v>468</v>
      </c>
      <c r="F6942" s="8" t="s">
        <v>2135</v>
      </c>
    </row>
    <row r="6943" spans="1:6" ht="60" x14ac:dyDescent="0.25">
      <c r="A6943" s="8" t="s">
        <v>125</v>
      </c>
      <c r="B6943" s="8" t="s">
        <v>40</v>
      </c>
      <c r="C6943" s="8" t="str">
        <f>IFERROR(_xlfn.XLOOKUP(TRIM(B6943),Lookup!$B$2:$B$1000,Lookup!$C$2:$C$1000),"")</f>
        <v>Equity</v>
      </c>
      <c r="D6943" s="8" t="str">
        <f>IFERROR(INDEX('nav master'!$C:$C, MATCH(B6943, 'nav master'!$B:$B, 0)), "")</f>
        <v>ULIF 086 24/11/09 LOpport 105</v>
      </c>
      <c r="E6943" s="8" t="s">
        <v>470</v>
      </c>
      <c r="F6943" s="8" t="s">
        <v>2136</v>
      </c>
    </row>
    <row r="6944" spans="1:6" ht="60" x14ac:dyDescent="0.25">
      <c r="A6944" s="8" t="s">
        <v>125</v>
      </c>
      <c r="B6944" s="8" t="s">
        <v>40</v>
      </c>
      <c r="C6944" s="8" t="str">
        <f>IFERROR(_xlfn.XLOOKUP(TRIM(B6944),Lookup!$B$2:$B$1000,Lookup!$C$2:$C$1000),"")</f>
        <v>Equity</v>
      </c>
      <c r="D6944" s="8" t="str">
        <f>IFERROR(INDEX('nav master'!$C:$C, MATCH(B6944, 'nav master'!$B:$B, 0)), "")</f>
        <v>ULIF 086 24/11/09 LOpport 105</v>
      </c>
      <c r="E6944" s="8" t="s">
        <v>472</v>
      </c>
      <c r="F6944" s="8" t="s">
        <v>2137</v>
      </c>
    </row>
    <row r="6945" spans="1:6" ht="60" x14ac:dyDescent="0.25">
      <c r="A6945" s="8" t="s">
        <v>125</v>
      </c>
      <c r="B6945" s="8" t="s">
        <v>40</v>
      </c>
      <c r="C6945" s="8" t="str">
        <f>IFERROR(_xlfn.XLOOKUP(TRIM(B6945),Lookup!$B$2:$B$1000,Lookup!$C$2:$C$1000),"")</f>
        <v>Equity</v>
      </c>
      <c r="D6945" s="8" t="str">
        <f>IFERROR(INDEX('nav master'!$C:$C, MATCH(B6945, 'nav master'!$B:$B, 0)), "")</f>
        <v>ULIF 086 24/11/09 LOpport 105</v>
      </c>
      <c r="E6945" s="8" t="s">
        <v>474</v>
      </c>
      <c r="F6945" s="8" t="s">
        <v>2138</v>
      </c>
    </row>
    <row r="6946" spans="1:6" ht="60" x14ac:dyDescent="0.25">
      <c r="A6946" s="8" t="s">
        <v>125</v>
      </c>
      <c r="B6946" s="8" t="s">
        <v>40</v>
      </c>
      <c r="C6946" s="8" t="str">
        <f>IFERROR(_xlfn.XLOOKUP(TRIM(B6946),Lookup!$B$2:$B$1000,Lookup!$C$2:$C$1000),"")</f>
        <v>Equity</v>
      </c>
      <c r="D6946" s="8" t="str">
        <f>IFERROR(INDEX('nav master'!$C:$C, MATCH(B6946, 'nav master'!$B:$B, 0)), "")</f>
        <v>ULIF 086 24/11/09 LOpport 105</v>
      </c>
      <c r="E6946" s="8" t="s">
        <v>476</v>
      </c>
      <c r="F6946" s="8" t="s">
        <v>2139</v>
      </c>
    </row>
    <row r="6947" spans="1:6" ht="60" x14ac:dyDescent="0.25">
      <c r="A6947" s="8" t="s">
        <v>125</v>
      </c>
      <c r="B6947" s="8" t="s">
        <v>40</v>
      </c>
      <c r="C6947" s="8" t="str">
        <f>IFERROR(_xlfn.XLOOKUP(TRIM(B6947),Lookup!$B$2:$B$1000,Lookup!$C$2:$C$1000),"")</f>
        <v>Equity</v>
      </c>
      <c r="D6947" s="8" t="str">
        <f>IFERROR(INDEX('nav master'!$C:$C, MATCH(B6947, 'nav master'!$B:$B, 0)), "")</f>
        <v>ULIF 086 24/11/09 LOpport 105</v>
      </c>
      <c r="E6947" s="8" t="s">
        <v>478</v>
      </c>
      <c r="F6947" s="8" t="s">
        <v>2140</v>
      </c>
    </row>
    <row r="6948" spans="1:6" ht="60" x14ac:dyDescent="0.25">
      <c r="A6948" s="8" t="s">
        <v>125</v>
      </c>
      <c r="B6948" s="8" t="s">
        <v>40</v>
      </c>
      <c r="C6948" s="8" t="str">
        <f>IFERROR(_xlfn.XLOOKUP(TRIM(B6948),Lookup!$B$2:$B$1000,Lookup!$C$2:$C$1000),"")</f>
        <v>Equity</v>
      </c>
      <c r="D6948" s="8" t="str">
        <f>IFERROR(INDEX('nav master'!$C:$C, MATCH(B6948, 'nav master'!$B:$B, 0)), "")</f>
        <v>ULIF 086 24/11/09 LOpport 105</v>
      </c>
      <c r="E6948" s="8" t="s">
        <v>480</v>
      </c>
      <c r="F6948" s="8" t="s">
        <v>2141</v>
      </c>
    </row>
    <row r="6949" spans="1:6" ht="60" x14ac:dyDescent="0.25">
      <c r="A6949" s="8" t="s">
        <v>125</v>
      </c>
      <c r="B6949" s="8" t="s">
        <v>40</v>
      </c>
      <c r="C6949" s="8" t="str">
        <f>IFERROR(_xlfn.XLOOKUP(TRIM(B6949),Lookup!$B$2:$B$1000,Lookup!$C$2:$C$1000),"")</f>
        <v>Equity</v>
      </c>
      <c r="D6949" s="8" t="str">
        <f>IFERROR(INDEX('nav master'!$C:$C, MATCH(B6949, 'nav master'!$B:$B, 0)), "")</f>
        <v>ULIF 086 24/11/09 LOpport 105</v>
      </c>
      <c r="E6949" s="8" t="s">
        <v>482</v>
      </c>
      <c r="F6949" s="8" t="s">
        <v>2142</v>
      </c>
    </row>
    <row r="6950" spans="1:6" ht="60" x14ac:dyDescent="0.25">
      <c r="A6950" s="8" t="s">
        <v>125</v>
      </c>
      <c r="B6950" s="8" t="s">
        <v>40</v>
      </c>
      <c r="C6950" s="8" t="str">
        <f>IFERROR(_xlfn.XLOOKUP(TRIM(B6950),Lookup!$B$2:$B$1000,Lookup!$C$2:$C$1000),"")</f>
        <v>Equity</v>
      </c>
      <c r="D6950" s="8" t="str">
        <f>IFERROR(INDEX('nav master'!$C:$C, MATCH(B6950, 'nav master'!$B:$B, 0)), "")</f>
        <v>ULIF 086 24/11/09 LOpport 105</v>
      </c>
      <c r="E6950" s="8" t="s">
        <v>484</v>
      </c>
      <c r="F6950" s="8" t="s">
        <v>2143</v>
      </c>
    </row>
    <row r="6951" spans="1:6" ht="60" x14ac:dyDescent="0.25">
      <c r="A6951" s="8" t="s">
        <v>125</v>
      </c>
      <c r="B6951" s="8" t="s">
        <v>40</v>
      </c>
      <c r="C6951" s="8" t="str">
        <f>IFERROR(_xlfn.XLOOKUP(TRIM(B6951),Lookup!$B$2:$B$1000,Lookup!$C$2:$C$1000),"")</f>
        <v>Equity</v>
      </c>
      <c r="D6951" s="8" t="str">
        <f>IFERROR(INDEX('nav master'!$C:$C, MATCH(B6951, 'nav master'!$B:$B, 0)), "")</f>
        <v>ULIF 086 24/11/09 LOpport 105</v>
      </c>
      <c r="E6951" s="8" t="s">
        <v>486</v>
      </c>
      <c r="F6951" s="8" t="s">
        <v>2144</v>
      </c>
    </row>
    <row r="6952" spans="1:6" ht="60" x14ac:dyDescent="0.25">
      <c r="A6952" s="8" t="s">
        <v>125</v>
      </c>
      <c r="B6952" s="8" t="s">
        <v>40</v>
      </c>
      <c r="C6952" s="8" t="str">
        <f>IFERROR(_xlfn.XLOOKUP(TRIM(B6952),Lookup!$B$2:$B$1000,Lookup!$C$2:$C$1000),"")</f>
        <v>Equity</v>
      </c>
      <c r="D6952" s="8" t="str">
        <f>IFERROR(INDEX('nav master'!$C:$C, MATCH(B6952, 'nav master'!$B:$B, 0)), "")</f>
        <v>ULIF 086 24/11/09 LOpport 105</v>
      </c>
      <c r="E6952" s="8" t="s">
        <v>488</v>
      </c>
      <c r="F6952" s="8" t="s">
        <v>2145</v>
      </c>
    </row>
    <row r="6953" spans="1:6" ht="60" x14ac:dyDescent="0.25">
      <c r="A6953" s="8" t="s">
        <v>125</v>
      </c>
      <c r="B6953" s="8" t="s">
        <v>40</v>
      </c>
      <c r="C6953" s="8" t="str">
        <f>IFERROR(_xlfn.XLOOKUP(TRIM(B6953),Lookup!$B$2:$B$1000,Lookup!$C$2:$C$1000),"")</f>
        <v>Equity</v>
      </c>
      <c r="D6953" s="8" t="str">
        <f>IFERROR(INDEX('nav master'!$C:$C, MATCH(B6953, 'nav master'!$B:$B, 0)), "")</f>
        <v>ULIF 086 24/11/09 LOpport 105</v>
      </c>
      <c r="E6953" s="8" t="s">
        <v>490</v>
      </c>
      <c r="F6953" s="8" t="s">
        <v>2146</v>
      </c>
    </row>
    <row r="6954" spans="1:6" ht="60" x14ac:dyDescent="0.25">
      <c r="A6954" s="8" t="s">
        <v>125</v>
      </c>
      <c r="B6954" s="8" t="s">
        <v>40</v>
      </c>
      <c r="C6954" s="8" t="str">
        <f>IFERROR(_xlfn.XLOOKUP(TRIM(B6954),Lookup!$B$2:$B$1000,Lookup!$C$2:$C$1000),"")</f>
        <v>Equity</v>
      </c>
      <c r="D6954" s="8" t="str">
        <f>IFERROR(INDEX('nav master'!$C:$C, MATCH(B6954, 'nav master'!$B:$B, 0)), "")</f>
        <v>ULIF 086 24/11/09 LOpport 105</v>
      </c>
      <c r="E6954" s="8" t="s">
        <v>492</v>
      </c>
      <c r="F6954" s="8" t="s">
        <v>2147</v>
      </c>
    </row>
    <row r="6955" spans="1:6" ht="60" x14ac:dyDescent="0.25">
      <c r="A6955" s="8" t="s">
        <v>125</v>
      </c>
      <c r="B6955" s="8" t="s">
        <v>40</v>
      </c>
      <c r="C6955" s="8" t="str">
        <f>IFERROR(_xlfn.XLOOKUP(TRIM(B6955),Lookup!$B$2:$B$1000,Lookup!$C$2:$C$1000),"")</f>
        <v>Equity</v>
      </c>
      <c r="D6955" s="8" t="str">
        <f>IFERROR(INDEX('nav master'!$C:$C, MATCH(B6955, 'nav master'!$B:$B, 0)), "")</f>
        <v>ULIF 086 24/11/09 LOpport 105</v>
      </c>
      <c r="E6955" s="8" t="s">
        <v>494</v>
      </c>
      <c r="F6955" s="8" t="s">
        <v>2148</v>
      </c>
    </row>
    <row r="6956" spans="1:6" ht="60" x14ac:dyDescent="0.25">
      <c r="A6956" s="8" t="s">
        <v>125</v>
      </c>
      <c r="B6956" s="8" t="s">
        <v>40</v>
      </c>
      <c r="C6956" s="8" t="str">
        <f>IFERROR(_xlfn.XLOOKUP(TRIM(B6956),Lookup!$B$2:$B$1000,Lookup!$C$2:$C$1000),"")</f>
        <v>Equity</v>
      </c>
      <c r="D6956" s="8" t="str">
        <f>IFERROR(INDEX('nav master'!$C:$C, MATCH(B6956, 'nav master'!$B:$B, 0)), "")</f>
        <v>ULIF 086 24/11/09 LOpport 105</v>
      </c>
      <c r="E6956" s="8" t="s">
        <v>496</v>
      </c>
      <c r="F6956" s="8" t="s">
        <v>2149</v>
      </c>
    </row>
    <row r="6957" spans="1:6" ht="60" x14ac:dyDescent="0.25">
      <c r="A6957" s="8" t="s">
        <v>125</v>
      </c>
      <c r="B6957" s="8" t="s">
        <v>40</v>
      </c>
      <c r="C6957" s="8" t="str">
        <f>IFERROR(_xlfn.XLOOKUP(TRIM(B6957),Lookup!$B$2:$B$1000,Lookup!$C$2:$C$1000),"")</f>
        <v>Equity</v>
      </c>
      <c r="D6957" s="8" t="str">
        <f>IFERROR(INDEX('nav master'!$C:$C, MATCH(B6957, 'nav master'!$B:$B, 0)), "")</f>
        <v>ULIF 086 24/11/09 LOpport 105</v>
      </c>
      <c r="E6957" s="8" t="s">
        <v>498</v>
      </c>
      <c r="F6957" s="8" t="s">
        <v>2150</v>
      </c>
    </row>
    <row r="6958" spans="1:6" ht="60" x14ac:dyDescent="0.25">
      <c r="A6958" s="8" t="s">
        <v>125</v>
      </c>
      <c r="B6958" s="8" t="s">
        <v>40</v>
      </c>
      <c r="C6958" s="8" t="str">
        <f>IFERROR(_xlfn.XLOOKUP(TRIM(B6958),Lookup!$B$2:$B$1000,Lookup!$C$2:$C$1000),"")</f>
        <v>Equity</v>
      </c>
      <c r="D6958" s="8" t="str">
        <f>IFERROR(INDEX('nav master'!$C:$C, MATCH(B6958, 'nav master'!$B:$B, 0)), "")</f>
        <v>ULIF 086 24/11/09 LOpport 105</v>
      </c>
      <c r="E6958" s="8" t="s">
        <v>500</v>
      </c>
      <c r="F6958" s="8" t="s">
        <v>2151</v>
      </c>
    </row>
    <row r="6959" spans="1:6" ht="60" x14ac:dyDescent="0.25">
      <c r="A6959" s="8" t="s">
        <v>125</v>
      </c>
      <c r="B6959" s="8" t="s">
        <v>40</v>
      </c>
      <c r="C6959" s="8" t="str">
        <f>IFERROR(_xlfn.XLOOKUP(TRIM(B6959),Lookup!$B$2:$B$1000,Lookup!$C$2:$C$1000),"")</f>
        <v>Equity</v>
      </c>
      <c r="D6959" s="8" t="str">
        <f>IFERROR(INDEX('nav master'!$C:$C, MATCH(B6959, 'nav master'!$B:$B, 0)), "")</f>
        <v>ULIF 086 24/11/09 LOpport 105</v>
      </c>
      <c r="E6959" s="8" t="s">
        <v>502</v>
      </c>
      <c r="F6959" s="8" t="s">
        <v>2152</v>
      </c>
    </row>
    <row r="6960" spans="1:6" ht="60" x14ac:dyDescent="0.25">
      <c r="A6960" s="8" t="s">
        <v>125</v>
      </c>
      <c r="B6960" s="8" t="s">
        <v>40</v>
      </c>
      <c r="C6960" s="8" t="str">
        <f>IFERROR(_xlfn.XLOOKUP(TRIM(B6960),Lookup!$B$2:$B$1000,Lookup!$C$2:$C$1000),"")</f>
        <v>Equity</v>
      </c>
      <c r="D6960" s="8" t="str">
        <f>IFERROR(INDEX('nav master'!$C:$C, MATCH(B6960, 'nav master'!$B:$B, 0)), "")</f>
        <v>ULIF 086 24/11/09 LOpport 105</v>
      </c>
      <c r="E6960" s="8" t="s">
        <v>504</v>
      </c>
      <c r="F6960" s="8" t="s">
        <v>2153</v>
      </c>
    </row>
    <row r="6961" spans="1:6" ht="60" x14ac:dyDescent="0.25">
      <c r="A6961" s="8" t="s">
        <v>125</v>
      </c>
      <c r="B6961" s="8" t="s">
        <v>40</v>
      </c>
      <c r="C6961" s="8" t="str">
        <f>IFERROR(_xlfn.XLOOKUP(TRIM(B6961),Lookup!$B$2:$B$1000,Lookup!$C$2:$C$1000),"")</f>
        <v>Equity</v>
      </c>
      <c r="D6961" s="8" t="str">
        <f>IFERROR(INDEX('nav master'!$C:$C, MATCH(B6961, 'nav master'!$B:$B, 0)), "")</f>
        <v>ULIF 086 24/11/09 LOpport 105</v>
      </c>
      <c r="E6961" s="8" t="s">
        <v>506</v>
      </c>
      <c r="F6961" s="8" t="s">
        <v>2154</v>
      </c>
    </row>
    <row r="6962" spans="1:6" ht="60" x14ac:dyDescent="0.25">
      <c r="A6962" s="8" t="s">
        <v>125</v>
      </c>
      <c r="B6962" s="8" t="s">
        <v>40</v>
      </c>
      <c r="C6962" s="8" t="str">
        <f>IFERROR(_xlfn.XLOOKUP(TRIM(B6962),Lookup!$B$2:$B$1000,Lookup!$C$2:$C$1000),"")</f>
        <v>Equity</v>
      </c>
      <c r="D6962" s="8" t="str">
        <f>IFERROR(INDEX('nav master'!$C:$C, MATCH(B6962, 'nav master'!$B:$B, 0)), "")</f>
        <v>ULIF 086 24/11/09 LOpport 105</v>
      </c>
      <c r="E6962" s="8" t="s">
        <v>508</v>
      </c>
      <c r="F6962" s="8" t="s">
        <v>2155</v>
      </c>
    </row>
    <row r="6963" spans="1:6" ht="60" x14ac:dyDescent="0.25">
      <c r="A6963" s="8" t="s">
        <v>125</v>
      </c>
      <c r="B6963" s="8" t="s">
        <v>40</v>
      </c>
      <c r="C6963" s="8" t="str">
        <f>IFERROR(_xlfn.XLOOKUP(TRIM(B6963),Lookup!$B$2:$B$1000,Lookup!$C$2:$C$1000),"")</f>
        <v>Equity</v>
      </c>
      <c r="D6963" s="8" t="str">
        <f>IFERROR(INDEX('nav master'!$C:$C, MATCH(B6963, 'nav master'!$B:$B, 0)), "")</f>
        <v>ULIF 086 24/11/09 LOpport 105</v>
      </c>
      <c r="E6963" s="8" t="s">
        <v>510</v>
      </c>
      <c r="F6963" s="8" t="s">
        <v>2156</v>
      </c>
    </row>
    <row r="6964" spans="1:6" ht="60" x14ac:dyDescent="0.25">
      <c r="A6964" s="8" t="s">
        <v>125</v>
      </c>
      <c r="B6964" s="8" t="s">
        <v>40</v>
      </c>
      <c r="C6964" s="8" t="str">
        <f>IFERROR(_xlfn.XLOOKUP(TRIM(B6964),Lookup!$B$2:$B$1000,Lookup!$C$2:$C$1000),"")</f>
        <v>Equity</v>
      </c>
      <c r="D6964" s="8" t="str">
        <f>IFERROR(INDEX('nav master'!$C:$C, MATCH(B6964, 'nav master'!$B:$B, 0)), "")</f>
        <v>ULIF 086 24/11/09 LOpport 105</v>
      </c>
      <c r="E6964" s="8" t="s">
        <v>512</v>
      </c>
      <c r="F6964" s="8" t="s">
        <v>2157</v>
      </c>
    </row>
    <row r="6965" spans="1:6" ht="60" x14ac:dyDescent="0.25">
      <c r="A6965" s="8" t="s">
        <v>125</v>
      </c>
      <c r="B6965" s="8" t="s">
        <v>40</v>
      </c>
      <c r="C6965" s="8" t="str">
        <f>IFERROR(_xlfn.XLOOKUP(TRIM(B6965),Lookup!$B$2:$B$1000,Lookup!$C$2:$C$1000),"")</f>
        <v>Equity</v>
      </c>
      <c r="D6965" s="8" t="str">
        <f>IFERROR(INDEX('nav master'!$C:$C, MATCH(B6965, 'nav master'!$B:$B, 0)), "")</f>
        <v>ULIF 086 24/11/09 LOpport 105</v>
      </c>
      <c r="E6965" s="8" t="s">
        <v>514</v>
      </c>
      <c r="F6965" s="8" t="s">
        <v>2158</v>
      </c>
    </row>
    <row r="6966" spans="1:6" ht="60" x14ac:dyDescent="0.25">
      <c r="A6966" s="8" t="s">
        <v>125</v>
      </c>
      <c r="B6966" s="8" t="s">
        <v>40</v>
      </c>
      <c r="C6966" s="8" t="str">
        <f>IFERROR(_xlfn.XLOOKUP(TRIM(B6966),Lookup!$B$2:$B$1000,Lookup!$C$2:$C$1000),"")</f>
        <v>Equity</v>
      </c>
      <c r="D6966" s="8" t="str">
        <f>IFERROR(INDEX('nav master'!$C:$C, MATCH(B6966, 'nav master'!$B:$B, 0)), "")</f>
        <v>ULIF 086 24/11/09 LOpport 105</v>
      </c>
      <c r="E6966" s="8" t="s">
        <v>516</v>
      </c>
      <c r="F6966" s="8" t="s">
        <v>2159</v>
      </c>
    </row>
    <row r="6967" spans="1:6" ht="60" x14ac:dyDescent="0.25">
      <c r="A6967" s="8" t="s">
        <v>125</v>
      </c>
      <c r="B6967" s="8" t="s">
        <v>40</v>
      </c>
      <c r="C6967" s="8" t="str">
        <f>IFERROR(_xlfn.XLOOKUP(TRIM(B6967),Lookup!$B$2:$B$1000,Lookup!$C$2:$C$1000),"")</f>
        <v>Equity</v>
      </c>
      <c r="D6967" s="8" t="str">
        <f>IFERROR(INDEX('nav master'!$C:$C, MATCH(B6967, 'nav master'!$B:$B, 0)), "")</f>
        <v>ULIF 086 24/11/09 LOpport 105</v>
      </c>
      <c r="E6967" s="8" t="s">
        <v>518</v>
      </c>
      <c r="F6967" s="8" t="s">
        <v>2160</v>
      </c>
    </row>
    <row r="6968" spans="1:6" ht="60" x14ac:dyDescent="0.25">
      <c r="A6968" s="8" t="s">
        <v>125</v>
      </c>
      <c r="B6968" s="8" t="s">
        <v>40</v>
      </c>
      <c r="C6968" s="8" t="str">
        <f>IFERROR(_xlfn.XLOOKUP(TRIM(B6968),Lookup!$B$2:$B$1000,Lookup!$C$2:$C$1000),"")</f>
        <v>Equity</v>
      </c>
      <c r="D6968" s="8" t="str">
        <f>IFERROR(INDEX('nav master'!$C:$C, MATCH(B6968, 'nav master'!$B:$B, 0)), "")</f>
        <v>ULIF 086 24/11/09 LOpport 105</v>
      </c>
      <c r="E6968" s="8" t="s">
        <v>520</v>
      </c>
      <c r="F6968" s="8" t="s">
        <v>2161</v>
      </c>
    </row>
    <row r="6969" spans="1:6" ht="60" x14ac:dyDescent="0.25">
      <c r="A6969" s="8" t="s">
        <v>125</v>
      </c>
      <c r="B6969" s="8" t="s">
        <v>40</v>
      </c>
      <c r="C6969" s="8" t="str">
        <f>IFERROR(_xlfn.XLOOKUP(TRIM(B6969),Lookup!$B$2:$B$1000,Lookup!$C$2:$C$1000),"")</f>
        <v>Equity</v>
      </c>
      <c r="D6969" s="8" t="str">
        <f>IFERROR(INDEX('nav master'!$C:$C, MATCH(B6969, 'nav master'!$B:$B, 0)), "")</f>
        <v>ULIF 086 24/11/09 LOpport 105</v>
      </c>
      <c r="E6969" s="8" t="s">
        <v>522</v>
      </c>
      <c r="F6969" s="8" t="s">
        <v>2162</v>
      </c>
    </row>
    <row r="6970" spans="1:6" ht="60" x14ac:dyDescent="0.25">
      <c r="A6970" s="8" t="s">
        <v>125</v>
      </c>
      <c r="B6970" s="8" t="s">
        <v>40</v>
      </c>
      <c r="C6970" s="8" t="str">
        <f>IFERROR(_xlfn.XLOOKUP(TRIM(B6970),Lookup!$B$2:$B$1000,Lookup!$C$2:$C$1000),"")</f>
        <v>Equity</v>
      </c>
      <c r="D6970" s="8" t="str">
        <f>IFERROR(INDEX('nav master'!$C:$C, MATCH(B6970, 'nav master'!$B:$B, 0)), "")</f>
        <v>ULIF 086 24/11/09 LOpport 105</v>
      </c>
      <c r="E6970" s="8" t="s">
        <v>524</v>
      </c>
      <c r="F6970" s="8" t="s">
        <v>2163</v>
      </c>
    </row>
    <row r="6971" spans="1:6" ht="60" x14ac:dyDescent="0.25">
      <c r="A6971" s="8" t="s">
        <v>125</v>
      </c>
      <c r="B6971" s="8" t="s">
        <v>40</v>
      </c>
      <c r="C6971" s="8" t="str">
        <f>IFERROR(_xlfn.XLOOKUP(TRIM(B6971),Lookup!$B$2:$B$1000,Lookup!$C$2:$C$1000),"")</f>
        <v>Equity</v>
      </c>
      <c r="D6971" s="8" t="str">
        <f>IFERROR(INDEX('nav master'!$C:$C, MATCH(B6971, 'nav master'!$B:$B, 0)), "")</f>
        <v>ULIF 086 24/11/09 LOpport 105</v>
      </c>
      <c r="E6971" s="8" t="s">
        <v>526</v>
      </c>
      <c r="F6971" s="8" t="s">
        <v>2164</v>
      </c>
    </row>
    <row r="6972" spans="1:6" ht="60" x14ac:dyDescent="0.25">
      <c r="A6972" s="8" t="s">
        <v>125</v>
      </c>
      <c r="B6972" s="8" t="s">
        <v>40</v>
      </c>
      <c r="C6972" s="8" t="str">
        <f>IFERROR(_xlfn.XLOOKUP(TRIM(B6972),Lookup!$B$2:$B$1000,Lookup!$C$2:$C$1000),"")</f>
        <v>Equity</v>
      </c>
      <c r="D6972" s="8" t="str">
        <f>IFERROR(INDEX('nav master'!$C:$C, MATCH(B6972, 'nav master'!$B:$B, 0)), "")</f>
        <v>ULIF 086 24/11/09 LOpport 105</v>
      </c>
      <c r="E6972" s="8" t="s">
        <v>528</v>
      </c>
      <c r="F6972" s="8" t="s">
        <v>2165</v>
      </c>
    </row>
    <row r="6973" spans="1:6" ht="60" x14ac:dyDescent="0.25">
      <c r="A6973" s="8" t="s">
        <v>125</v>
      </c>
      <c r="B6973" s="8" t="s">
        <v>40</v>
      </c>
      <c r="C6973" s="8" t="str">
        <f>IFERROR(_xlfn.XLOOKUP(TRIM(B6973),Lookup!$B$2:$B$1000,Lookup!$C$2:$C$1000),"")</f>
        <v>Equity</v>
      </c>
      <c r="D6973" s="8" t="str">
        <f>IFERROR(INDEX('nav master'!$C:$C, MATCH(B6973, 'nav master'!$B:$B, 0)), "")</f>
        <v>ULIF 086 24/11/09 LOpport 105</v>
      </c>
      <c r="E6973" s="8" t="s">
        <v>530</v>
      </c>
      <c r="F6973" s="8" t="s">
        <v>2166</v>
      </c>
    </row>
    <row r="6974" spans="1:6" ht="60" x14ac:dyDescent="0.25">
      <c r="A6974" s="8" t="s">
        <v>125</v>
      </c>
      <c r="B6974" s="8" t="s">
        <v>40</v>
      </c>
      <c r="C6974" s="8" t="str">
        <f>IFERROR(_xlfn.XLOOKUP(TRIM(B6974),Lookup!$B$2:$B$1000,Lookup!$C$2:$C$1000),"")</f>
        <v>Equity</v>
      </c>
      <c r="D6974" s="8" t="str">
        <f>IFERROR(INDEX('nav master'!$C:$C, MATCH(B6974, 'nav master'!$B:$B, 0)), "")</f>
        <v>ULIF 086 24/11/09 LOpport 105</v>
      </c>
      <c r="E6974" s="8" t="s">
        <v>532</v>
      </c>
      <c r="F6974" s="8" t="s">
        <v>2167</v>
      </c>
    </row>
    <row r="6975" spans="1:6" ht="60" x14ac:dyDescent="0.25">
      <c r="A6975" s="8" t="s">
        <v>125</v>
      </c>
      <c r="B6975" s="8" t="s">
        <v>40</v>
      </c>
      <c r="C6975" s="8" t="str">
        <f>IFERROR(_xlfn.XLOOKUP(TRIM(B6975),Lookup!$B$2:$B$1000,Lookup!$C$2:$C$1000),"")</f>
        <v>Equity</v>
      </c>
      <c r="D6975" s="8" t="str">
        <f>IFERROR(INDEX('nav master'!$C:$C, MATCH(B6975, 'nav master'!$B:$B, 0)), "")</f>
        <v>ULIF 086 24/11/09 LOpport 105</v>
      </c>
      <c r="E6975" s="8" t="s">
        <v>534</v>
      </c>
      <c r="F6975" s="8" t="s">
        <v>2168</v>
      </c>
    </row>
    <row r="6976" spans="1:6" ht="60" x14ac:dyDescent="0.25">
      <c r="A6976" s="8" t="s">
        <v>125</v>
      </c>
      <c r="B6976" s="8" t="s">
        <v>40</v>
      </c>
      <c r="C6976" s="8" t="str">
        <f>IFERROR(_xlfn.XLOOKUP(TRIM(B6976),Lookup!$B$2:$B$1000,Lookup!$C$2:$C$1000),"")</f>
        <v>Equity</v>
      </c>
      <c r="D6976" s="8" t="str">
        <f>IFERROR(INDEX('nav master'!$C:$C, MATCH(B6976, 'nav master'!$B:$B, 0)), "")</f>
        <v>ULIF 086 24/11/09 LOpport 105</v>
      </c>
      <c r="E6976" s="8" t="s">
        <v>536</v>
      </c>
      <c r="F6976" s="8" t="s">
        <v>2169</v>
      </c>
    </row>
    <row r="6977" spans="1:6" ht="60" x14ac:dyDescent="0.25">
      <c r="A6977" s="8" t="s">
        <v>125</v>
      </c>
      <c r="B6977" s="8" t="s">
        <v>40</v>
      </c>
      <c r="C6977" s="8" t="str">
        <f>IFERROR(_xlfn.XLOOKUP(TRIM(B6977),Lookup!$B$2:$B$1000,Lookup!$C$2:$C$1000),"")</f>
        <v>Equity</v>
      </c>
      <c r="D6977" s="8" t="str">
        <f>IFERROR(INDEX('nav master'!$C:$C, MATCH(B6977, 'nav master'!$B:$B, 0)), "")</f>
        <v>ULIF 086 24/11/09 LOpport 105</v>
      </c>
      <c r="E6977" s="8" t="s">
        <v>538</v>
      </c>
      <c r="F6977" s="8" t="s">
        <v>2170</v>
      </c>
    </row>
    <row r="6978" spans="1:6" ht="60" x14ac:dyDescent="0.25">
      <c r="A6978" s="8" t="s">
        <v>125</v>
      </c>
      <c r="B6978" s="8" t="s">
        <v>40</v>
      </c>
      <c r="C6978" s="8" t="str">
        <f>IFERROR(_xlfn.XLOOKUP(TRIM(B6978),Lookup!$B$2:$B$1000,Lookup!$C$2:$C$1000),"")</f>
        <v>Equity</v>
      </c>
      <c r="D6978" s="8" t="str">
        <f>IFERROR(INDEX('nav master'!$C:$C, MATCH(B6978, 'nav master'!$B:$B, 0)), "")</f>
        <v>ULIF 086 24/11/09 LOpport 105</v>
      </c>
      <c r="E6978" s="8" t="s">
        <v>540</v>
      </c>
      <c r="F6978" s="8" t="s">
        <v>2171</v>
      </c>
    </row>
    <row r="6979" spans="1:6" ht="60" x14ac:dyDescent="0.25">
      <c r="A6979" s="8" t="s">
        <v>125</v>
      </c>
      <c r="B6979" s="8" t="s">
        <v>40</v>
      </c>
      <c r="C6979" s="8" t="str">
        <f>IFERROR(_xlfn.XLOOKUP(TRIM(B6979),Lookup!$B$2:$B$1000,Lookup!$C$2:$C$1000),"")</f>
        <v>Equity</v>
      </c>
      <c r="D6979" s="8" t="str">
        <f>IFERROR(INDEX('nav master'!$C:$C, MATCH(B6979, 'nav master'!$B:$B, 0)), "")</f>
        <v>ULIF 086 24/11/09 LOpport 105</v>
      </c>
      <c r="E6979" s="8" t="s">
        <v>542</v>
      </c>
      <c r="F6979" s="8" t="s">
        <v>2172</v>
      </c>
    </row>
    <row r="6980" spans="1:6" ht="60" x14ac:dyDescent="0.25">
      <c r="A6980" s="8" t="s">
        <v>125</v>
      </c>
      <c r="B6980" s="8" t="s">
        <v>40</v>
      </c>
      <c r="C6980" s="8" t="str">
        <f>IFERROR(_xlfn.XLOOKUP(TRIM(B6980),Lookup!$B$2:$B$1000,Lookup!$C$2:$C$1000),"")</f>
        <v>Equity</v>
      </c>
      <c r="D6980" s="8" t="str">
        <f>IFERROR(INDEX('nav master'!$C:$C, MATCH(B6980, 'nav master'!$B:$B, 0)), "")</f>
        <v>ULIF 086 24/11/09 LOpport 105</v>
      </c>
      <c r="E6980" s="8" t="s">
        <v>544</v>
      </c>
      <c r="F6980" s="8" t="s">
        <v>2173</v>
      </c>
    </row>
    <row r="6981" spans="1:6" ht="60" x14ac:dyDescent="0.25">
      <c r="A6981" s="8" t="s">
        <v>125</v>
      </c>
      <c r="B6981" s="8" t="s">
        <v>40</v>
      </c>
      <c r="C6981" s="8" t="str">
        <f>IFERROR(_xlfn.XLOOKUP(TRIM(B6981),Lookup!$B$2:$B$1000,Lookup!$C$2:$C$1000),"")</f>
        <v>Equity</v>
      </c>
      <c r="D6981" s="8" t="str">
        <f>IFERROR(INDEX('nav master'!$C:$C, MATCH(B6981, 'nav master'!$B:$B, 0)), "")</f>
        <v>ULIF 086 24/11/09 LOpport 105</v>
      </c>
      <c r="E6981" s="8" t="s">
        <v>546</v>
      </c>
      <c r="F6981" s="8" t="s">
        <v>2174</v>
      </c>
    </row>
    <row r="6982" spans="1:6" ht="60" x14ac:dyDescent="0.25">
      <c r="A6982" s="8" t="s">
        <v>125</v>
      </c>
      <c r="B6982" s="8" t="s">
        <v>40</v>
      </c>
      <c r="C6982" s="8" t="str">
        <f>IFERROR(_xlfn.XLOOKUP(TRIM(B6982),Lookup!$B$2:$B$1000,Lookup!$C$2:$C$1000),"")</f>
        <v>Equity</v>
      </c>
      <c r="D6982" s="8" t="str">
        <f>IFERROR(INDEX('nav master'!$C:$C, MATCH(B6982, 'nav master'!$B:$B, 0)), "")</f>
        <v>ULIF 086 24/11/09 LOpport 105</v>
      </c>
      <c r="E6982" s="8" t="s">
        <v>548</v>
      </c>
      <c r="F6982" s="8" t="s">
        <v>2175</v>
      </c>
    </row>
    <row r="6983" spans="1:6" ht="60" x14ac:dyDescent="0.25">
      <c r="A6983" s="8" t="s">
        <v>125</v>
      </c>
      <c r="B6983" s="8" t="s">
        <v>40</v>
      </c>
      <c r="C6983" s="8" t="str">
        <f>IFERROR(_xlfn.XLOOKUP(TRIM(B6983),Lookup!$B$2:$B$1000,Lookup!$C$2:$C$1000),"")</f>
        <v>Equity</v>
      </c>
      <c r="D6983" s="8" t="str">
        <f>IFERROR(INDEX('nav master'!$C:$C, MATCH(B6983, 'nav master'!$B:$B, 0)), "")</f>
        <v>ULIF 086 24/11/09 LOpport 105</v>
      </c>
      <c r="E6983" s="8" t="s">
        <v>550</v>
      </c>
      <c r="F6983" s="8" t="s">
        <v>2176</v>
      </c>
    </row>
    <row r="6984" spans="1:6" ht="60" x14ac:dyDescent="0.25">
      <c r="A6984" s="8" t="s">
        <v>125</v>
      </c>
      <c r="B6984" s="8" t="s">
        <v>40</v>
      </c>
      <c r="C6984" s="8" t="str">
        <f>IFERROR(_xlfn.XLOOKUP(TRIM(B6984),Lookup!$B$2:$B$1000,Lookup!$C$2:$C$1000),"")</f>
        <v>Equity</v>
      </c>
      <c r="D6984" s="8" t="str">
        <f>IFERROR(INDEX('nav master'!$C:$C, MATCH(B6984, 'nav master'!$B:$B, 0)), "")</f>
        <v>ULIF 086 24/11/09 LOpport 105</v>
      </c>
      <c r="E6984" s="8" t="s">
        <v>552</v>
      </c>
      <c r="F6984" s="8" t="s">
        <v>2177</v>
      </c>
    </row>
    <row r="6985" spans="1:6" ht="60" x14ac:dyDescent="0.25">
      <c r="A6985" s="8" t="s">
        <v>125</v>
      </c>
      <c r="B6985" s="8" t="s">
        <v>40</v>
      </c>
      <c r="C6985" s="8" t="str">
        <f>IFERROR(_xlfn.XLOOKUP(TRIM(B6985),Lookup!$B$2:$B$1000,Lookup!$C$2:$C$1000),"")</f>
        <v>Equity</v>
      </c>
      <c r="D6985" s="8" t="str">
        <f>IFERROR(INDEX('nav master'!$C:$C, MATCH(B6985, 'nav master'!$B:$B, 0)), "")</f>
        <v>ULIF 086 24/11/09 LOpport 105</v>
      </c>
      <c r="E6985" s="8" t="s">
        <v>554</v>
      </c>
      <c r="F6985" s="8" t="s">
        <v>2178</v>
      </c>
    </row>
    <row r="6986" spans="1:6" ht="60" x14ac:dyDescent="0.25">
      <c r="A6986" s="8" t="s">
        <v>125</v>
      </c>
      <c r="B6986" s="8" t="s">
        <v>40</v>
      </c>
      <c r="C6986" s="8" t="str">
        <f>IFERROR(_xlfn.XLOOKUP(TRIM(B6986),Lookup!$B$2:$B$1000,Lookup!$C$2:$C$1000),"")</f>
        <v>Equity</v>
      </c>
      <c r="D6986" s="8" t="str">
        <f>IFERROR(INDEX('nav master'!$C:$C, MATCH(B6986, 'nav master'!$B:$B, 0)), "")</f>
        <v>ULIF 086 24/11/09 LOpport 105</v>
      </c>
      <c r="E6986" s="8" t="s">
        <v>556</v>
      </c>
      <c r="F6986" s="8" t="s">
        <v>2179</v>
      </c>
    </row>
    <row r="6987" spans="1:6" ht="60" x14ac:dyDescent="0.25">
      <c r="A6987" s="8" t="s">
        <v>125</v>
      </c>
      <c r="B6987" s="8" t="s">
        <v>40</v>
      </c>
      <c r="C6987" s="8" t="str">
        <f>IFERROR(_xlfn.XLOOKUP(TRIM(B6987),Lookup!$B$2:$B$1000,Lookup!$C$2:$C$1000),"")</f>
        <v>Equity</v>
      </c>
      <c r="D6987" s="8" t="str">
        <f>IFERROR(INDEX('nav master'!$C:$C, MATCH(B6987, 'nav master'!$B:$B, 0)), "")</f>
        <v>ULIF 086 24/11/09 LOpport 105</v>
      </c>
      <c r="E6987" s="8" t="s">
        <v>558</v>
      </c>
      <c r="F6987" s="8" t="s">
        <v>2180</v>
      </c>
    </row>
    <row r="6988" spans="1:6" ht="60" x14ac:dyDescent="0.25">
      <c r="A6988" s="8" t="s">
        <v>125</v>
      </c>
      <c r="B6988" s="8" t="s">
        <v>40</v>
      </c>
      <c r="C6988" s="8" t="str">
        <f>IFERROR(_xlfn.XLOOKUP(TRIM(B6988),Lookup!$B$2:$B$1000,Lookup!$C$2:$C$1000),"")</f>
        <v>Equity</v>
      </c>
      <c r="D6988" s="8" t="str">
        <f>IFERROR(INDEX('nav master'!$C:$C, MATCH(B6988, 'nav master'!$B:$B, 0)), "")</f>
        <v>ULIF 086 24/11/09 LOpport 105</v>
      </c>
      <c r="E6988" s="8" t="s">
        <v>560</v>
      </c>
      <c r="F6988" s="8" t="s">
        <v>2181</v>
      </c>
    </row>
    <row r="6989" spans="1:6" ht="60" x14ac:dyDescent="0.25">
      <c r="A6989" s="8" t="s">
        <v>125</v>
      </c>
      <c r="B6989" s="8" t="s">
        <v>40</v>
      </c>
      <c r="C6989" s="8" t="str">
        <f>IFERROR(_xlfn.XLOOKUP(TRIM(B6989),Lookup!$B$2:$B$1000,Lookup!$C$2:$C$1000),"")</f>
        <v>Equity</v>
      </c>
      <c r="D6989" s="8" t="str">
        <f>IFERROR(INDEX('nav master'!$C:$C, MATCH(B6989, 'nav master'!$B:$B, 0)), "")</f>
        <v>ULIF 086 24/11/09 LOpport 105</v>
      </c>
      <c r="E6989" s="8" t="s">
        <v>562</v>
      </c>
      <c r="F6989" s="8" t="s">
        <v>2182</v>
      </c>
    </row>
    <row r="6990" spans="1:6" ht="60" x14ac:dyDescent="0.25">
      <c r="A6990" s="8" t="s">
        <v>125</v>
      </c>
      <c r="B6990" s="8" t="s">
        <v>40</v>
      </c>
      <c r="C6990" s="8" t="str">
        <f>IFERROR(_xlfn.XLOOKUP(TRIM(B6990),Lookup!$B$2:$B$1000,Lookup!$C$2:$C$1000),"")</f>
        <v>Equity</v>
      </c>
      <c r="D6990" s="8" t="str">
        <f>IFERROR(INDEX('nav master'!$C:$C, MATCH(B6990, 'nav master'!$B:$B, 0)), "")</f>
        <v>ULIF 086 24/11/09 LOpport 105</v>
      </c>
      <c r="E6990" s="8" t="s">
        <v>564</v>
      </c>
      <c r="F6990" s="8" t="s">
        <v>2183</v>
      </c>
    </row>
    <row r="6991" spans="1:6" ht="60" x14ac:dyDescent="0.25">
      <c r="A6991" s="8" t="s">
        <v>125</v>
      </c>
      <c r="B6991" s="8" t="s">
        <v>40</v>
      </c>
      <c r="C6991" s="8" t="str">
        <f>IFERROR(_xlfn.XLOOKUP(TRIM(B6991),Lookup!$B$2:$B$1000,Lookup!$C$2:$C$1000),"")</f>
        <v>Equity</v>
      </c>
      <c r="D6991" s="8" t="str">
        <f>IFERROR(INDEX('nav master'!$C:$C, MATCH(B6991, 'nav master'!$B:$B, 0)), "")</f>
        <v>ULIF 086 24/11/09 LOpport 105</v>
      </c>
      <c r="E6991" s="8" t="s">
        <v>566</v>
      </c>
      <c r="F6991" s="8" t="s">
        <v>2184</v>
      </c>
    </row>
    <row r="6992" spans="1:6" ht="60" x14ac:dyDescent="0.25">
      <c r="A6992" s="8" t="s">
        <v>125</v>
      </c>
      <c r="B6992" s="8" t="s">
        <v>40</v>
      </c>
      <c r="C6992" s="8" t="str">
        <f>IFERROR(_xlfn.XLOOKUP(TRIM(B6992),Lookup!$B$2:$B$1000,Lookup!$C$2:$C$1000),"")</f>
        <v>Equity</v>
      </c>
      <c r="D6992" s="8" t="str">
        <f>IFERROR(INDEX('nav master'!$C:$C, MATCH(B6992, 'nav master'!$B:$B, 0)), "")</f>
        <v>ULIF 086 24/11/09 LOpport 105</v>
      </c>
      <c r="E6992" s="8" t="s">
        <v>568</v>
      </c>
      <c r="F6992" s="8" t="s">
        <v>2185</v>
      </c>
    </row>
    <row r="6993" spans="1:6" ht="60" x14ac:dyDescent="0.25">
      <c r="A6993" s="8" t="s">
        <v>125</v>
      </c>
      <c r="B6993" s="8" t="s">
        <v>40</v>
      </c>
      <c r="C6993" s="8" t="str">
        <f>IFERROR(_xlfn.XLOOKUP(TRIM(B6993),Lookup!$B$2:$B$1000,Lookup!$C$2:$C$1000),"")</f>
        <v>Equity</v>
      </c>
      <c r="D6993" s="8" t="str">
        <f>IFERROR(INDEX('nav master'!$C:$C, MATCH(B6993, 'nav master'!$B:$B, 0)), "")</f>
        <v>ULIF 086 24/11/09 LOpport 105</v>
      </c>
      <c r="E6993" s="8" t="s">
        <v>570</v>
      </c>
      <c r="F6993" s="8" t="s">
        <v>2186</v>
      </c>
    </row>
    <row r="6994" spans="1:6" ht="60" x14ac:dyDescent="0.25">
      <c r="A6994" s="8" t="s">
        <v>125</v>
      </c>
      <c r="B6994" s="8" t="s">
        <v>40</v>
      </c>
      <c r="C6994" s="8" t="str">
        <f>IFERROR(_xlfn.XLOOKUP(TRIM(B6994),Lookup!$B$2:$B$1000,Lookup!$C$2:$C$1000),"")</f>
        <v>Equity</v>
      </c>
      <c r="D6994" s="8" t="str">
        <f>IFERROR(INDEX('nav master'!$C:$C, MATCH(B6994, 'nav master'!$B:$B, 0)), "")</f>
        <v>ULIF 086 24/11/09 LOpport 105</v>
      </c>
      <c r="E6994" s="8" t="s">
        <v>572</v>
      </c>
      <c r="F6994" s="8" t="s">
        <v>2187</v>
      </c>
    </row>
    <row r="6995" spans="1:6" ht="60" x14ac:dyDescent="0.25">
      <c r="A6995" s="8" t="s">
        <v>125</v>
      </c>
      <c r="B6995" s="8" t="s">
        <v>40</v>
      </c>
      <c r="C6995" s="8" t="str">
        <f>IFERROR(_xlfn.XLOOKUP(TRIM(B6995),Lookup!$B$2:$B$1000,Lookup!$C$2:$C$1000),"")</f>
        <v>Equity</v>
      </c>
      <c r="D6995" s="8" t="str">
        <f>IFERROR(INDEX('nav master'!$C:$C, MATCH(B6995, 'nav master'!$B:$B, 0)), "")</f>
        <v>ULIF 086 24/11/09 LOpport 105</v>
      </c>
      <c r="E6995" s="8" t="s">
        <v>574</v>
      </c>
      <c r="F6995" s="8" t="s">
        <v>2188</v>
      </c>
    </row>
    <row r="6996" spans="1:6" ht="60" x14ac:dyDescent="0.25">
      <c r="A6996" s="8" t="s">
        <v>125</v>
      </c>
      <c r="B6996" s="8" t="s">
        <v>40</v>
      </c>
      <c r="C6996" s="8" t="str">
        <f>IFERROR(_xlfn.XLOOKUP(TRIM(B6996),Lookup!$B$2:$B$1000,Lookup!$C$2:$C$1000),"")</f>
        <v>Equity</v>
      </c>
      <c r="D6996" s="8" t="str">
        <f>IFERROR(INDEX('nav master'!$C:$C, MATCH(B6996, 'nav master'!$B:$B, 0)), "")</f>
        <v>ULIF 086 24/11/09 LOpport 105</v>
      </c>
      <c r="E6996" s="8" t="s">
        <v>576</v>
      </c>
      <c r="F6996" s="8" t="s">
        <v>2189</v>
      </c>
    </row>
    <row r="6997" spans="1:6" ht="60" x14ac:dyDescent="0.25">
      <c r="A6997" s="8" t="s">
        <v>125</v>
      </c>
      <c r="B6997" s="8" t="s">
        <v>40</v>
      </c>
      <c r="C6997" s="8" t="str">
        <f>IFERROR(_xlfn.XLOOKUP(TRIM(B6997),Lookup!$B$2:$B$1000,Lookup!$C$2:$C$1000),"")</f>
        <v>Equity</v>
      </c>
      <c r="D6997" s="8" t="str">
        <f>IFERROR(INDEX('nav master'!$C:$C, MATCH(B6997, 'nav master'!$B:$B, 0)), "")</f>
        <v>ULIF 086 24/11/09 LOpport 105</v>
      </c>
      <c r="E6997" s="8" t="s">
        <v>578</v>
      </c>
      <c r="F6997" s="8" t="s">
        <v>2190</v>
      </c>
    </row>
    <row r="6998" spans="1:6" ht="60" x14ac:dyDescent="0.25">
      <c r="A6998" s="8" t="s">
        <v>125</v>
      </c>
      <c r="B6998" s="8" t="s">
        <v>40</v>
      </c>
      <c r="C6998" s="8" t="str">
        <f>IFERROR(_xlfn.XLOOKUP(TRIM(B6998),Lookup!$B$2:$B$1000,Lookup!$C$2:$C$1000),"")</f>
        <v>Equity</v>
      </c>
      <c r="D6998" s="8" t="str">
        <f>IFERROR(INDEX('nav master'!$C:$C, MATCH(B6998, 'nav master'!$B:$B, 0)), "")</f>
        <v>ULIF 086 24/11/09 LOpport 105</v>
      </c>
      <c r="E6998" s="8" t="s">
        <v>580</v>
      </c>
      <c r="F6998" s="8" t="s">
        <v>2191</v>
      </c>
    </row>
    <row r="6999" spans="1:6" ht="60" x14ac:dyDescent="0.25">
      <c r="A6999" s="8" t="s">
        <v>125</v>
      </c>
      <c r="B6999" s="8" t="s">
        <v>40</v>
      </c>
      <c r="C6999" s="8" t="str">
        <f>IFERROR(_xlfn.XLOOKUP(TRIM(B6999),Lookup!$B$2:$B$1000,Lookup!$C$2:$C$1000),"")</f>
        <v>Equity</v>
      </c>
      <c r="D6999" s="8" t="str">
        <f>IFERROR(INDEX('nav master'!$C:$C, MATCH(B6999, 'nav master'!$B:$B, 0)), "")</f>
        <v>ULIF 086 24/11/09 LOpport 105</v>
      </c>
      <c r="E6999" s="8" t="s">
        <v>582</v>
      </c>
      <c r="F6999" s="8" t="s">
        <v>2192</v>
      </c>
    </row>
    <row r="7000" spans="1:6" ht="60" x14ac:dyDescent="0.25">
      <c r="A7000" s="8" t="s">
        <v>125</v>
      </c>
      <c r="B7000" s="8" t="s">
        <v>40</v>
      </c>
      <c r="C7000" s="8" t="str">
        <f>IFERROR(_xlfn.XLOOKUP(TRIM(B7000),Lookup!$B$2:$B$1000,Lookup!$C$2:$C$1000),"")</f>
        <v>Equity</v>
      </c>
      <c r="D7000" s="8" t="str">
        <f>IFERROR(INDEX('nav master'!$C:$C, MATCH(B7000, 'nav master'!$B:$B, 0)), "")</f>
        <v>ULIF 086 24/11/09 LOpport 105</v>
      </c>
      <c r="E7000" s="8" t="s">
        <v>584</v>
      </c>
      <c r="F7000" s="8" t="s">
        <v>2193</v>
      </c>
    </row>
    <row r="7001" spans="1:6" ht="60" x14ac:dyDescent="0.25">
      <c r="A7001" s="8" t="s">
        <v>125</v>
      </c>
      <c r="B7001" s="8" t="s">
        <v>40</v>
      </c>
      <c r="C7001" s="8" t="str">
        <f>IFERROR(_xlfn.XLOOKUP(TRIM(B7001),Lookup!$B$2:$B$1000,Lookup!$C$2:$C$1000),"")</f>
        <v>Equity</v>
      </c>
      <c r="D7001" s="8" t="str">
        <f>IFERROR(INDEX('nav master'!$C:$C, MATCH(B7001, 'nav master'!$B:$B, 0)), "")</f>
        <v>ULIF 086 24/11/09 LOpport 105</v>
      </c>
      <c r="E7001" s="8" t="s">
        <v>586</v>
      </c>
      <c r="F7001" s="8" t="s">
        <v>2194</v>
      </c>
    </row>
    <row r="7002" spans="1:6" ht="60" x14ac:dyDescent="0.25">
      <c r="A7002" s="8" t="s">
        <v>125</v>
      </c>
      <c r="B7002" s="8" t="s">
        <v>40</v>
      </c>
      <c r="C7002" s="8" t="str">
        <f>IFERROR(_xlfn.XLOOKUP(TRIM(B7002),Lookup!$B$2:$B$1000,Lookup!$C$2:$C$1000),"")</f>
        <v>Equity</v>
      </c>
      <c r="D7002" s="8" t="str">
        <f>IFERROR(INDEX('nav master'!$C:$C, MATCH(B7002, 'nav master'!$B:$B, 0)), "")</f>
        <v>ULIF 086 24/11/09 LOpport 105</v>
      </c>
      <c r="E7002" s="8" t="s">
        <v>588</v>
      </c>
      <c r="F7002" s="8" t="s">
        <v>2195</v>
      </c>
    </row>
    <row r="7003" spans="1:6" ht="60" x14ac:dyDescent="0.25">
      <c r="A7003" s="8" t="s">
        <v>125</v>
      </c>
      <c r="B7003" s="8" t="s">
        <v>40</v>
      </c>
      <c r="C7003" s="8" t="str">
        <f>IFERROR(_xlfn.XLOOKUP(TRIM(B7003),Lookup!$B$2:$B$1000,Lookup!$C$2:$C$1000),"")</f>
        <v>Equity</v>
      </c>
      <c r="D7003" s="8" t="str">
        <f>IFERROR(INDEX('nav master'!$C:$C, MATCH(B7003, 'nav master'!$B:$B, 0)), "")</f>
        <v>ULIF 086 24/11/09 LOpport 105</v>
      </c>
      <c r="E7003" s="8" t="s">
        <v>590</v>
      </c>
      <c r="F7003" s="8" t="s">
        <v>2196</v>
      </c>
    </row>
    <row r="7004" spans="1:6" ht="60" x14ac:dyDescent="0.25">
      <c r="A7004" s="8" t="s">
        <v>125</v>
      </c>
      <c r="B7004" s="8" t="s">
        <v>40</v>
      </c>
      <c r="C7004" s="8" t="str">
        <f>IFERROR(_xlfn.XLOOKUP(TRIM(B7004),Lookup!$B$2:$B$1000,Lookup!$C$2:$C$1000),"")</f>
        <v>Equity</v>
      </c>
      <c r="D7004" s="8" t="str">
        <f>IFERROR(INDEX('nav master'!$C:$C, MATCH(B7004, 'nav master'!$B:$B, 0)), "")</f>
        <v>ULIF 086 24/11/09 LOpport 105</v>
      </c>
      <c r="E7004" s="8" t="s">
        <v>592</v>
      </c>
      <c r="F7004" s="8" t="s">
        <v>2197</v>
      </c>
    </row>
    <row r="7005" spans="1:6" ht="60" x14ac:dyDescent="0.25">
      <c r="A7005" s="8" t="s">
        <v>125</v>
      </c>
      <c r="B7005" s="8" t="s">
        <v>40</v>
      </c>
      <c r="C7005" s="8" t="str">
        <f>IFERROR(_xlfn.XLOOKUP(TRIM(B7005),Lookup!$B$2:$B$1000,Lookup!$C$2:$C$1000),"")</f>
        <v>Equity</v>
      </c>
      <c r="D7005" s="8" t="str">
        <f>IFERROR(INDEX('nav master'!$C:$C, MATCH(B7005, 'nav master'!$B:$B, 0)), "")</f>
        <v>ULIF 086 24/11/09 LOpport 105</v>
      </c>
      <c r="E7005" s="8" t="s">
        <v>594</v>
      </c>
      <c r="F7005" s="8" t="s">
        <v>2198</v>
      </c>
    </row>
    <row r="7006" spans="1:6" ht="60" x14ac:dyDescent="0.25">
      <c r="A7006" s="8" t="s">
        <v>125</v>
      </c>
      <c r="B7006" s="8" t="s">
        <v>40</v>
      </c>
      <c r="C7006" s="8" t="str">
        <f>IFERROR(_xlfn.XLOOKUP(TRIM(B7006),Lookup!$B$2:$B$1000,Lookup!$C$2:$C$1000),"")</f>
        <v>Equity</v>
      </c>
      <c r="D7006" s="8" t="str">
        <f>IFERROR(INDEX('nav master'!$C:$C, MATCH(B7006, 'nav master'!$B:$B, 0)), "")</f>
        <v>ULIF 086 24/11/09 LOpport 105</v>
      </c>
      <c r="E7006" s="8" t="s">
        <v>596</v>
      </c>
      <c r="F7006" s="8" t="s">
        <v>2199</v>
      </c>
    </row>
    <row r="7007" spans="1:6" ht="60" x14ac:dyDescent="0.25">
      <c r="A7007" s="8" t="s">
        <v>125</v>
      </c>
      <c r="B7007" s="8" t="s">
        <v>40</v>
      </c>
      <c r="C7007" s="8" t="str">
        <f>IFERROR(_xlfn.XLOOKUP(TRIM(B7007),Lookup!$B$2:$B$1000,Lookup!$C$2:$C$1000),"")</f>
        <v>Equity</v>
      </c>
      <c r="D7007" s="8" t="str">
        <f>IFERROR(INDEX('nav master'!$C:$C, MATCH(B7007, 'nav master'!$B:$B, 0)), "")</f>
        <v>ULIF 086 24/11/09 LOpport 105</v>
      </c>
      <c r="E7007" s="8" t="s">
        <v>598</v>
      </c>
      <c r="F7007" s="8" t="s">
        <v>2200</v>
      </c>
    </row>
    <row r="7008" spans="1:6" ht="60" x14ac:dyDescent="0.25">
      <c r="A7008" s="8" t="s">
        <v>125</v>
      </c>
      <c r="B7008" s="8" t="s">
        <v>40</v>
      </c>
      <c r="C7008" s="8" t="str">
        <f>IFERROR(_xlfn.XLOOKUP(TRIM(B7008),Lookup!$B$2:$B$1000,Lookup!$C$2:$C$1000),"")</f>
        <v>Equity</v>
      </c>
      <c r="D7008" s="8" t="str">
        <f>IFERROR(INDEX('nav master'!$C:$C, MATCH(B7008, 'nav master'!$B:$B, 0)), "")</f>
        <v>ULIF 086 24/11/09 LOpport 105</v>
      </c>
      <c r="E7008" s="8" t="s">
        <v>600</v>
      </c>
      <c r="F7008" s="8" t="s">
        <v>2201</v>
      </c>
    </row>
    <row r="7009" spans="1:6" ht="60" x14ac:dyDescent="0.25">
      <c r="A7009" s="8" t="s">
        <v>125</v>
      </c>
      <c r="B7009" s="8" t="s">
        <v>40</v>
      </c>
      <c r="C7009" s="8" t="str">
        <f>IFERROR(_xlfn.XLOOKUP(TRIM(B7009),Lookup!$B$2:$B$1000,Lookup!$C$2:$C$1000),"")</f>
        <v>Equity</v>
      </c>
      <c r="D7009" s="8" t="str">
        <f>IFERROR(INDEX('nav master'!$C:$C, MATCH(B7009, 'nav master'!$B:$B, 0)), "")</f>
        <v>ULIF 086 24/11/09 LOpport 105</v>
      </c>
      <c r="E7009" s="8" t="s">
        <v>602</v>
      </c>
      <c r="F7009" s="8" t="s">
        <v>2202</v>
      </c>
    </row>
    <row r="7010" spans="1:6" ht="60" x14ac:dyDescent="0.25">
      <c r="A7010" s="8" t="s">
        <v>125</v>
      </c>
      <c r="B7010" s="8" t="s">
        <v>40</v>
      </c>
      <c r="C7010" s="8" t="str">
        <f>IFERROR(_xlfn.XLOOKUP(TRIM(B7010),Lookup!$B$2:$B$1000,Lookup!$C$2:$C$1000),"")</f>
        <v>Equity</v>
      </c>
      <c r="D7010" s="8" t="str">
        <f>IFERROR(INDEX('nav master'!$C:$C, MATCH(B7010, 'nav master'!$B:$B, 0)), "")</f>
        <v>ULIF 086 24/11/09 LOpport 105</v>
      </c>
      <c r="E7010" s="8" t="s">
        <v>604</v>
      </c>
      <c r="F7010" s="8" t="s">
        <v>2203</v>
      </c>
    </row>
    <row r="7011" spans="1:6" ht="60" x14ac:dyDescent="0.25">
      <c r="A7011" s="8" t="s">
        <v>125</v>
      </c>
      <c r="B7011" s="8" t="s">
        <v>40</v>
      </c>
      <c r="C7011" s="8" t="str">
        <f>IFERROR(_xlfn.XLOOKUP(TRIM(B7011),Lookup!$B$2:$B$1000,Lookup!$C$2:$C$1000),"")</f>
        <v>Equity</v>
      </c>
      <c r="D7011" s="8" t="str">
        <f>IFERROR(INDEX('nav master'!$C:$C, MATCH(B7011, 'nav master'!$B:$B, 0)), "")</f>
        <v>ULIF 086 24/11/09 LOpport 105</v>
      </c>
      <c r="E7011" s="8" t="s">
        <v>606</v>
      </c>
      <c r="F7011" s="8" t="s">
        <v>2204</v>
      </c>
    </row>
    <row r="7012" spans="1:6" ht="60" x14ac:dyDescent="0.25">
      <c r="A7012" s="8" t="s">
        <v>125</v>
      </c>
      <c r="B7012" s="8" t="s">
        <v>40</v>
      </c>
      <c r="C7012" s="8" t="str">
        <f>IFERROR(_xlfn.XLOOKUP(TRIM(B7012),Lookup!$B$2:$B$1000,Lookup!$C$2:$C$1000),"")</f>
        <v>Equity</v>
      </c>
      <c r="D7012" s="8" t="str">
        <f>IFERROR(INDEX('nav master'!$C:$C, MATCH(B7012, 'nav master'!$B:$B, 0)), "")</f>
        <v>ULIF 086 24/11/09 LOpport 105</v>
      </c>
      <c r="E7012" s="8" t="s">
        <v>608</v>
      </c>
      <c r="F7012" s="8" t="s">
        <v>2205</v>
      </c>
    </row>
    <row r="7013" spans="1:6" ht="60" x14ac:dyDescent="0.25">
      <c r="A7013" s="8" t="s">
        <v>125</v>
      </c>
      <c r="B7013" s="8" t="s">
        <v>40</v>
      </c>
      <c r="C7013" s="8" t="str">
        <f>IFERROR(_xlfn.XLOOKUP(TRIM(B7013),Lookup!$B$2:$B$1000,Lookup!$C$2:$C$1000),"")</f>
        <v>Equity</v>
      </c>
      <c r="D7013" s="8" t="str">
        <f>IFERROR(INDEX('nav master'!$C:$C, MATCH(B7013, 'nav master'!$B:$B, 0)), "")</f>
        <v>ULIF 086 24/11/09 LOpport 105</v>
      </c>
      <c r="E7013" s="8" t="s">
        <v>610</v>
      </c>
      <c r="F7013" s="8" t="s">
        <v>2206</v>
      </c>
    </row>
    <row r="7014" spans="1:6" ht="60" x14ac:dyDescent="0.25">
      <c r="A7014" s="8" t="s">
        <v>125</v>
      </c>
      <c r="B7014" s="8" t="s">
        <v>40</v>
      </c>
      <c r="C7014" s="8" t="str">
        <f>IFERROR(_xlfn.XLOOKUP(TRIM(B7014),Lookup!$B$2:$B$1000,Lookup!$C$2:$C$1000),"")</f>
        <v>Equity</v>
      </c>
      <c r="D7014" s="8" t="str">
        <f>IFERROR(INDEX('nav master'!$C:$C, MATCH(B7014, 'nav master'!$B:$B, 0)), "")</f>
        <v>ULIF 086 24/11/09 LOpport 105</v>
      </c>
      <c r="E7014" s="8" t="s">
        <v>612</v>
      </c>
      <c r="F7014" s="8" t="s">
        <v>2207</v>
      </c>
    </row>
    <row r="7015" spans="1:6" ht="60" x14ac:dyDescent="0.25">
      <c r="A7015" s="8" t="s">
        <v>125</v>
      </c>
      <c r="B7015" s="8" t="s">
        <v>40</v>
      </c>
      <c r="C7015" s="8" t="str">
        <f>IFERROR(_xlfn.XLOOKUP(TRIM(B7015),Lookup!$B$2:$B$1000,Lookup!$C$2:$C$1000),"")</f>
        <v>Equity</v>
      </c>
      <c r="D7015" s="8" t="str">
        <f>IFERROR(INDEX('nav master'!$C:$C, MATCH(B7015, 'nav master'!$B:$B, 0)), "")</f>
        <v>ULIF 086 24/11/09 LOpport 105</v>
      </c>
      <c r="E7015" s="8" t="s">
        <v>614</v>
      </c>
      <c r="F7015" s="8" t="s">
        <v>2208</v>
      </c>
    </row>
    <row r="7016" spans="1:6" ht="60" x14ac:dyDescent="0.25">
      <c r="A7016" s="8" t="s">
        <v>125</v>
      </c>
      <c r="B7016" s="8" t="s">
        <v>40</v>
      </c>
      <c r="C7016" s="8" t="str">
        <f>IFERROR(_xlfn.XLOOKUP(TRIM(B7016),Lookup!$B$2:$B$1000,Lookup!$C$2:$C$1000),"")</f>
        <v>Equity</v>
      </c>
      <c r="D7016" s="8" t="str">
        <f>IFERROR(INDEX('nav master'!$C:$C, MATCH(B7016, 'nav master'!$B:$B, 0)), "")</f>
        <v>ULIF 086 24/11/09 LOpport 105</v>
      </c>
      <c r="E7016" s="8" t="s">
        <v>616</v>
      </c>
      <c r="F7016" s="8" t="s">
        <v>2209</v>
      </c>
    </row>
    <row r="7017" spans="1:6" ht="60" x14ac:dyDescent="0.25">
      <c r="A7017" s="8" t="s">
        <v>125</v>
      </c>
      <c r="B7017" s="8" t="s">
        <v>40</v>
      </c>
      <c r="C7017" s="8" t="str">
        <f>IFERROR(_xlfn.XLOOKUP(TRIM(B7017),Lookup!$B$2:$B$1000,Lookup!$C$2:$C$1000),"")</f>
        <v>Equity</v>
      </c>
      <c r="D7017" s="8" t="str">
        <f>IFERROR(INDEX('nav master'!$C:$C, MATCH(B7017, 'nav master'!$B:$B, 0)), "")</f>
        <v>ULIF 086 24/11/09 LOpport 105</v>
      </c>
      <c r="E7017" s="8" t="s">
        <v>618</v>
      </c>
      <c r="F7017" s="8" t="s">
        <v>2210</v>
      </c>
    </row>
    <row r="7018" spans="1:6" ht="60" x14ac:dyDescent="0.25">
      <c r="A7018" s="8" t="s">
        <v>125</v>
      </c>
      <c r="B7018" s="8" t="s">
        <v>40</v>
      </c>
      <c r="C7018" s="8" t="str">
        <f>IFERROR(_xlfn.XLOOKUP(TRIM(B7018),Lookup!$B$2:$B$1000,Lookup!$C$2:$C$1000),"")</f>
        <v>Equity</v>
      </c>
      <c r="D7018" s="8" t="str">
        <f>IFERROR(INDEX('nav master'!$C:$C, MATCH(B7018, 'nav master'!$B:$B, 0)), "")</f>
        <v>ULIF 086 24/11/09 LOpport 105</v>
      </c>
      <c r="E7018" s="8" t="s">
        <v>620</v>
      </c>
      <c r="F7018" s="8" t="s">
        <v>2211</v>
      </c>
    </row>
    <row r="7019" spans="1:6" ht="60" x14ac:dyDescent="0.25">
      <c r="A7019" s="8" t="s">
        <v>125</v>
      </c>
      <c r="B7019" s="8" t="s">
        <v>40</v>
      </c>
      <c r="C7019" s="8" t="str">
        <f>IFERROR(_xlfn.XLOOKUP(TRIM(B7019),Lookup!$B$2:$B$1000,Lookup!$C$2:$C$1000),"")</f>
        <v>Equity</v>
      </c>
      <c r="D7019" s="8" t="str">
        <f>IFERROR(INDEX('nav master'!$C:$C, MATCH(B7019, 'nav master'!$B:$B, 0)), "")</f>
        <v>ULIF 086 24/11/09 LOpport 105</v>
      </c>
      <c r="E7019" s="8" t="s">
        <v>622</v>
      </c>
      <c r="F7019" s="8" t="s">
        <v>2212</v>
      </c>
    </row>
    <row r="7020" spans="1:6" ht="60" x14ac:dyDescent="0.25">
      <c r="A7020" s="8" t="s">
        <v>125</v>
      </c>
      <c r="B7020" s="8" t="s">
        <v>40</v>
      </c>
      <c r="C7020" s="8" t="str">
        <f>IFERROR(_xlfn.XLOOKUP(TRIM(B7020),Lookup!$B$2:$B$1000,Lookup!$C$2:$C$1000),"")</f>
        <v>Equity</v>
      </c>
      <c r="D7020" s="8" t="str">
        <f>IFERROR(INDEX('nav master'!$C:$C, MATCH(B7020, 'nav master'!$B:$B, 0)), "")</f>
        <v>ULIF 086 24/11/09 LOpport 105</v>
      </c>
      <c r="E7020" s="8" t="s">
        <v>624</v>
      </c>
      <c r="F7020" s="8" t="s">
        <v>2213</v>
      </c>
    </row>
    <row r="7021" spans="1:6" ht="60" x14ac:dyDescent="0.25">
      <c r="A7021" s="8" t="s">
        <v>125</v>
      </c>
      <c r="B7021" s="8" t="s">
        <v>40</v>
      </c>
      <c r="C7021" s="8" t="str">
        <f>IFERROR(_xlfn.XLOOKUP(TRIM(B7021),Lookup!$B$2:$B$1000,Lookup!$C$2:$C$1000),"")</f>
        <v>Equity</v>
      </c>
      <c r="D7021" s="8" t="str">
        <f>IFERROR(INDEX('nav master'!$C:$C, MATCH(B7021, 'nav master'!$B:$B, 0)), "")</f>
        <v>ULIF 086 24/11/09 LOpport 105</v>
      </c>
      <c r="E7021" s="8" t="s">
        <v>626</v>
      </c>
      <c r="F7021" s="8" t="s">
        <v>2214</v>
      </c>
    </row>
    <row r="7022" spans="1:6" ht="60" x14ac:dyDescent="0.25">
      <c r="A7022" s="8" t="s">
        <v>125</v>
      </c>
      <c r="B7022" s="8" t="s">
        <v>40</v>
      </c>
      <c r="C7022" s="8" t="str">
        <f>IFERROR(_xlfn.XLOOKUP(TRIM(B7022),Lookup!$B$2:$B$1000,Lookup!$C$2:$C$1000),"")</f>
        <v>Equity</v>
      </c>
      <c r="D7022" s="8" t="str">
        <f>IFERROR(INDEX('nav master'!$C:$C, MATCH(B7022, 'nav master'!$B:$B, 0)), "")</f>
        <v>ULIF 086 24/11/09 LOpport 105</v>
      </c>
      <c r="E7022" s="8" t="s">
        <v>628</v>
      </c>
      <c r="F7022" s="8" t="s">
        <v>2215</v>
      </c>
    </row>
    <row r="7023" spans="1:6" ht="60" x14ac:dyDescent="0.25">
      <c r="A7023" s="8" t="s">
        <v>125</v>
      </c>
      <c r="B7023" s="8" t="s">
        <v>40</v>
      </c>
      <c r="C7023" s="8" t="str">
        <f>IFERROR(_xlfn.XLOOKUP(TRIM(B7023),Lookup!$B$2:$B$1000,Lookup!$C$2:$C$1000),"")</f>
        <v>Equity</v>
      </c>
      <c r="D7023" s="8" t="str">
        <f>IFERROR(INDEX('nav master'!$C:$C, MATCH(B7023, 'nav master'!$B:$B, 0)), "")</f>
        <v>ULIF 086 24/11/09 LOpport 105</v>
      </c>
      <c r="E7023" s="8" t="s">
        <v>630</v>
      </c>
      <c r="F7023" s="8" t="s">
        <v>2216</v>
      </c>
    </row>
    <row r="7024" spans="1:6" ht="60" x14ac:dyDescent="0.25">
      <c r="A7024" s="8" t="s">
        <v>125</v>
      </c>
      <c r="B7024" s="8" t="s">
        <v>40</v>
      </c>
      <c r="C7024" s="8" t="str">
        <f>IFERROR(_xlfn.XLOOKUP(TRIM(B7024),Lookup!$B$2:$B$1000,Lookup!$C$2:$C$1000),"")</f>
        <v>Equity</v>
      </c>
      <c r="D7024" s="8" t="str">
        <f>IFERROR(INDEX('nav master'!$C:$C, MATCH(B7024, 'nav master'!$B:$B, 0)), "")</f>
        <v>ULIF 086 24/11/09 LOpport 105</v>
      </c>
      <c r="E7024" s="8" t="s">
        <v>632</v>
      </c>
      <c r="F7024" s="8" t="s">
        <v>2217</v>
      </c>
    </row>
    <row r="7025" spans="1:6" ht="60" x14ac:dyDescent="0.25">
      <c r="A7025" s="8" t="s">
        <v>125</v>
      </c>
      <c r="B7025" s="8" t="s">
        <v>40</v>
      </c>
      <c r="C7025" s="8" t="str">
        <f>IFERROR(_xlfn.XLOOKUP(TRIM(B7025),Lookup!$B$2:$B$1000,Lookup!$C$2:$C$1000),"")</f>
        <v>Equity</v>
      </c>
      <c r="D7025" s="8" t="str">
        <f>IFERROR(INDEX('nav master'!$C:$C, MATCH(B7025, 'nav master'!$B:$B, 0)), "")</f>
        <v>ULIF 086 24/11/09 LOpport 105</v>
      </c>
      <c r="E7025" s="8" t="s">
        <v>634</v>
      </c>
      <c r="F7025" s="8" t="s">
        <v>2218</v>
      </c>
    </row>
    <row r="7026" spans="1:6" ht="60" x14ac:dyDescent="0.25">
      <c r="A7026" s="8" t="s">
        <v>125</v>
      </c>
      <c r="B7026" s="8" t="s">
        <v>40</v>
      </c>
      <c r="C7026" s="8" t="str">
        <f>IFERROR(_xlfn.XLOOKUP(TRIM(B7026),Lookup!$B$2:$B$1000,Lookup!$C$2:$C$1000),"")</f>
        <v>Equity</v>
      </c>
      <c r="D7026" s="8" t="str">
        <f>IFERROR(INDEX('nav master'!$C:$C, MATCH(B7026, 'nav master'!$B:$B, 0)), "")</f>
        <v>ULIF 086 24/11/09 LOpport 105</v>
      </c>
      <c r="E7026" s="8" t="s">
        <v>636</v>
      </c>
      <c r="F7026" s="8" t="s">
        <v>2219</v>
      </c>
    </row>
    <row r="7027" spans="1:6" ht="60" x14ac:dyDescent="0.25">
      <c r="A7027" s="8" t="s">
        <v>125</v>
      </c>
      <c r="B7027" s="8" t="s">
        <v>40</v>
      </c>
      <c r="C7027" s="8" t="str">
        <f>IFERROR(_xlfn.XLOOKUP(TRIM(B7027),Lookup!$B$2:$B$1000,Lookup!$C$2:$C$1000),"")</f>
        <v>Equity</v>
      </c>
      <c r="D7027" s="8" t="str">
        <f>IFERROR(INDEX('nav master'!$C:$C, MATCH(B7027, 'nav master'!$B:$B, 0)), "")</f>
        <v>ULIF 086 24/11/09 LOpport 105</v>
      </c>
      <c r="E7027" s="8" t="s">
        <v>638</v>
      </c>
      <c r="F7027" s="8" t="s">
        <v>2220</v>
      </c>
    </row>
    <row r="7028" spans="1:6" ht="60" x14ac:dyDescent="0.25">
      <c r="A7028" s="8" t="s">
        <v>125</v>
      </c>
      <c r="B7028" s="8" t="s">
        <v>40</v>
      </c>
      <c r="C7028" s="8" t="str">
        <f>IFERROR(_xlfn.XLOOKUP(TRIM(B7028),Lookup!$B$2:$B$1000,Lookup!$C$2:$C$1000),"")</f>
        <v>Equity</v>
      </c>
      <c r="D7028" s="8" t="str">
        <f>IFERROR(INDEX('nav master'!$C:$C, MATCH(B7028, 'nav master'!$B:$B, 0)), "")</f>
        <v>ULIF 086 24/11/09 LOpport 105</v>
      </c>
      <c r="E7028" s="8" t="s">
        <v>640</v>
      </c>
      <c r="F7028" s="8" t="s">
        <v>2221</v>
      </c>
    </row>
    <row r="7029" spans="1:6" ht="60" x14ac:dyDescent="0.25">
      <c r="A7029" s="8" t="s">
        <v>125</v>
      </c>
      <c r="B7029" s="8" t="s">
        <v>40</v>
      </c>
      <c r="C7029" s="8" t="str">
        <f>IFERROR(_xlfn.XLOOKUP(TRIM(B7029),Lookup!$B$2:$B$1000,Lookup!$C$2:$C$1000),"")</f>
        <v>Equity</v>
      </c>
      <c r="D7029" s="8" t="str">
        <f>IFERROR(INDEX('nav master'!$C:$C, MATCH(B7029, 'nav master'!$B:$B, 0)), "")</f>
        <v>ULIF 086 24/11/09 LOpport 105</v>
      </c>
      <c r="E7029" s="8" t="s">
        <v>642</v>
      </c>
      <c r="F7029" s="8" t="s">
        <v>2222</v>
      </c>
    </row>
    <row r="7030" spans="1:6" ht="60" x14ac:dyDescent="0.25">
      <c r="A7030" s="8" t="s">
        <v>125</v>
      </c>
      <c r="B7030" s="8" t="s">
        <v>40</v>
      </c>
      <c r="C7030" s="8" t="str">
        <f>IFERROR(_xlfn.XLOOKUP(TRIM(B7030),Lookup!$B$2:$B$1000,Lookup!$C$2:$C$1000),"")</f>
        <v>Equity</v>
      </c>
      <c r="D7030" s="8" t="str">
        <f>IFERROR(INDEX('nav master'!$C:$C, MATCH(B7030, 'nav master'!$B:$B, 0)), "")</f>
        <v>ULIF 086 24/11/09 LOpport 105</v>
      </c>
      <c r="E7030" s="8" t="s">
        <v>644</v>
      </c>
      <c r="F7030" s="8" t="s">
        <v>2223</v>
      </c>
    </row>
    <row r="7031" spans="1:6" ht="60" x14ac:dyDescent="0.25">
      <c r="A7031" s="8" t="s">
        <v>125</v>
      </c>
      <c r="B7031" s="8" t="s">
        <v>40</v>
      </c>
      <c r="C7031" s="8" t="str">
        <f>IFERROR(_xlfn.XLOOKUP(TRIM(B7031),Lookup!$B$2:$B$1000,Lookup!$C$2:$C$1000),"")</f>
        <v>Equity</v>
      </c>
      <c r="D7031" s="8" t="str">
        <f>IFERROR(INDEX('nav master'!$C:$C, MATCH(B7031, 'nav master'!$B:$B, 0)), "")</f>
        <v>ULIF 086 24/11/09 LOpport 105</v>
      </c>
      <c r="E7031" s="8" t="s">
        <v>646</v>
      </c>
      <c r="F7031" s="8" t="s">
        <v>2224</v>
      </c>
    </row>
    <row r="7032" spans="1:6" ht="60" x14ac:dyDescent="0.25">
      <c r="A7032" s="8" t="s">
        <v>125</v>
      </c>
      <c r="B7032" s="8" t="s">
        <v>40</v>
      </c>
      <c r="C7032" s="8" t="str">
        <f>IFERROR(_xlfn.XLOOKUP(TRIM(B7032),Lookup!$B$2:$B$1000,Lookup!$C$2:$C$1000),"")</f>
        <v>Equity</v>
      </c>
      <c r="D7032" s="8" t="str">
        <f>IFERROR(INDEX('nav master'!$C:$C, MATCH(B7032, 'nav master'!$B:$B, 0)), "")</f>
        <v>ULIF 086 24/11/09 LOpport 105</v>
      </c>
      <c r="E7032" s="8" t="s">
        <v>648</v>
      </c>
      <c r="F7032" s="8" t="s">
        <v>2225</v>
      </c>
    </row>
    <row r="7033" spans="1:6" ht="60" x14ac:dyDescent="0.25">
      <c r="A7033" s="8" t="s">
        <v>125</v>
      </c>
      <c r="B7033" s="8" t="s">
        <v>40</v>
      </c>
      <c r="C7033" s="8" t="str">
        <f>IFERROR(_xlfn.XLOOKUP(TRIM(B7033),Lookup!$B$2:$B$1000,Lookup!$C$2:$C$1000),"")</f>
        <v>Equity</v>
      </c>
      <c r="D7033" s="8" t="str">
        <f>IFERROR(INDEX('nav master'!$C:$C, MATCH(B7033, 'nav master'!$B:$B, 0)), "")</f>
        <v>ULIF 086 24/11/09 LOpport 105</v>
      </c>
      <c r="E7033" s="8" t="s">
        <v>650</v>
      </c>
      <c r="F7033" s="8" t="s">
        <v>2226</v>
      </c>
    </row>
    <row r="7034" spans="1:6" ht="60" x14ac:dyDescent="0.25">
      <c r="A7034" s="8" t="s">
        <v>125</v>
      </c>
      <c r="B7034" s="8" t="s">
        <v>40</v>
      </c>
      <c r="C7034" s="8" t="str">
        <f>IFERROR(_xlfn.XLOOKUP(TRIM(B7034),Lookup!$B$2:$B$1000,Lookup!$C$2:$C$1000),"")</f>
        <v>Equity</v>
      </c>
      <c r="D7034" s="8" t="str">
        <f>IFERROR(INDEX('nav master'!$C:$C, MATCH(B7034, 'nav master'!$B:$B, 0)), "")</f>
        <v>ULIF 086 24/11/09 LOpport 105</v>
      </c>
      <c r="E7034" s="8" t="s">
        <v>652</v>
      </c>
      <c r="F7034" s="8" t="s">
        <v>2227</v>
      </c>
    </row>
    <row r="7035" spans="1:6" ht="60" x14ac:dyDescent="0.25">
      <c r="A7035" s="8" t="s">
        <v>125</v>
      </c>
      <c r="B7035" s="8" t="s">
        <v>40</v>
      </c>
      <c r="C7035" s="8" t="str">
        <f>IFERROR(_xlfn.XLOOKUP(TRIM(B7035),Lookup!$B$2:$B$1000,Lookup!$C$2:$C$1000),"")</f>
        <v>Equity</v>
      </c>
      <c r="D7035" s="8" t="str">
        <f>IFERROR(INDEX('nav master'!$C:$C, MATCH(B7035, 'nav master'!$B:$B, 0)), "")</f>
        <v>ULIF 086 24/11/09 LOpport 105</v>
      </c>
      <c r="E7035" s="8" t="s">
        <v>654</v>
      </c>
      <c r="F7035" s="8" t="s">
        <v>2228</v>
      </c>
    </row>
    <row r="7036" spans="1:6" ht="60" x14ac:dyDescent="0.25">
      <c r="A7036" s="8" t="s">
        <v>125</v>
      </c>
      <c r="B7036" s="8" t="s">
        <v>40</v>
      </c>
      <c r="C7036" s="8" t="str">
        <f>IFERROR(_xlfn.XLOOKUP(TRIM(B7036),Lookup!$B$2:$B$1000,Lookup!$C$2:$C$1000),"")</f>
        <v>Equity</v>
      </c>
      <c r="D7036" s="8" t="str">
        <f>IFERROR(INDEX('nav master'!$C:$C, MATCH(B7036, 'nav master'!$B:$B, 0)), "")</f>
        <v>ULIF 086 24/11/09 LOpport 105</v>
      </c>
      <c r="E7036" s="8" t="s">
        <v>656</v>
      </c>
      <c r="F7036" s="8" t="s">
        <v>2229</v>
      </c>
    </row>
    <row r="7037" spans="1:6" ht="60" x14ac:dyDescent="0.25">
      <c r="A7037" s="8" t="s">
        <v>125</v>
      </c>
      <c r="B7037" s="8" t="s">
        <v>40</v>
      </c>
      <c r="C7037" s="8" t="str">
        <f>IFERROR(_xlfn.XLOOKUP(TRIM(B7037),Lookup!$B$2:$B$1000,Lookup!$C$2:$C$1000),"")</f>
        <v>Equity</v>
      </c>
      <c r="D7037" s="8" t="str">
        <f>IFERROR(INDEX('nav master'!$C:$C, MATCH(B7037, 'nav master'!$B:$B, 0)), "")</f>
        <v>ULIF 086 24/11/09 LOpport 105</v>
      </c>
      <c r="E7037" s="8" t="s">
        <v>658</v>
      </c>
      <c r="F7037" s="8" t="s">
        <v>2230</v>
      </c>
    </row>
    <row r="7038" spans="1:6" ht="60" x14ac:dyDescent="0.25">
      <c r="A7038" s="8" t="s">
        <v>125</v>
      </c>
      <c r="B7038" s="8" t="s">
        <v>40</v>
      </c>
      <c r="C7038" s="8" t="str">
        <f>IFERROR(_xlfn.XLOOKUP(TRIM(B7038),Lookup!$B$2:$B$1000,Lookup!$C$2:$C$1000),"")</f>
        <v>Equity</v>
      </c>
      <c r="D7038" s="8" t="str">
        <f>IFERROR(INDEX('nav master'!$C:$C, MATCH(B7038, 'nav master'!$B:$B, 0)), "")</f>
        <v>ULIF 086 24/11/09 LOpport 105</v>
      </c>
      <c r="E7038" s="8" t="s">
        <v>660</v>
      </c>
      <c r="F7038" s="8" t="s">
        <v>2231</v>
      </c>
    </row>
    <row r="7039" spans="1:6" ht="60" x14ac:dyDescent="0.25">
      <c r="A7039" s="8" t="s">
        <v>125</v>
      </c>
      <c r="B7039" s="8" t="s">
        <v>40</v>
      </c>
      <c r="C7039" s="8" t="str">
        <f>IFERROR(_xlfn.XLOOKUP(TRIM(B7039),Lookup!$B$2:$B$1000,Lookup!$C$2:$C$1000),"")</f>
        <v>Equity</v>
      </c>
      <c r="D7039" s="8" t="str">
        <f>IFERROR(INDEX('nav master'!$C:$C, MATCH(B7039, 'nav master'!$B:$B, 0)), "")</f>
        <v>ULIF 086 24/11/09 LOpport 105</v>
      </c>
      <c r="E7039" s="8" t="s">
        <v>662</v>
      </c>
      <c r="F7039" s="8" t="s">
        <v>2232</v>
      </c>
    </row>
    <row r="7040" spans="1:6" ht="60" x14ac:dyDescent="0.25">
      <c r="A7040" s="8" t="s">
        <v>125</v>
      </c>
      <c r="B7040" s="8" t="s">
        <v>40</v>
      </c>
      <c r="C7040" s="8" t="str">
        <f>IFERROR(_xlfn.XLOOKUP(TRIM(B7040),Lookup!$B$2:$B$1000,Lookup!$C$2:$C$1000),"")</f>
        <v>Equity</v>
      </c>
      <c r="D7040" s="8" t="str">
        <f>IFERROR(INDEX('nav master'!$C:$C, MATCH(B7040, 'nav master'!$B:$B, 0)), "")</f>
        <v>ULIF 086 24/11/09 LOpport 105</v>
      </c>
      <c r="E7040" s="8" t="s">
        <v>664</v>
      </c>
      <c r="F7040" s="8" t="s">
        <v>2233</v>
      </c>
    </row>
    <row r="7041" spans="1:6" ht="60" x14ac:dyDescent="0.25">
      <c r="A7041" s="8" t="s">
        <v>125</v>
      </c>
      <c r="B7041" s="8" t="s">
        <v>40</v>
      </c>
      <c r="C7041" s="8" t="str">
        <f>IFERROR(_xlfn.XLOOKUP(TRIM(B7041),Lookup!$B$2:$B$1000,Lookup!$C$2:$C$1000),"")</f>
        <v>Equity</v>
      </c>
      <c r="D7041" s="8" t="str">
        <f>IFERROR(INDEX('nav master'!$C:$C, MATCH(B7041, 'nav master'!$B:$B, 0)), "")</f>
        <v>ULIF 086 24/11/09 LOpport 105</v>
      </c>
      <c r="E7041" s="8" t="s">
        <v>4892</v>
      </c>
      <c r="F7041" s="8" t="s">
        <v>4952</v>
      </c>
    </row>
    <row r="7042" spans="1:6" ht="60" x14ac:dyDescent="0.25">
      <c r="A7042" s="8" t="s">
        <v>125</v>
      </c>
      <c r="B7042" s="8" t="s">
        <v>40</v>
      </c>
      <c r="C7042" s="8" t="str">
        <f>IFERROR(_xlfn.XLOOKUP(TRIM(B7042),Lookup!$B$2:$B$1000,Lookup!$C$2:$C$1000),"")</f>
        <v>Equity</v>
      </c>
      <c r="D7042" s="8" t="str">
        <f>IFERROR(INDEX('nav master'!$C:$C, MATCH(B7042, 'nav master'!$B:$B, 0)), "")</f>
        <v>ULIF 086 24/11/09 LOpport 105</v>
      </c>
      <c r="E7042" s="8" t="s">
        <v>4894</v>
      </c>
      <c r="F7042" s="8" t="s">
        <v>4953</v>
      </c>
    </row>
    <row r="7043" spans="1:6" ht="60" x14ac:dyDescent="0.25">
      <c r="A7043" s="8" t="s">
        <v>125</v>
      </c>
      <c r="B7043" s="8" t="s">
        <v>40</v>
      </c>
      <c r="C7043" s="8" t="str">
        <f>IFERROR(_xlfn.XLOOKUP(TRIM(B7043),Lookup!$B$2:$B$1000,Lookup!$C$2:$C$1000),"")</f>
        <v>Equity</v>
      </c>
      <c r="D7043" s="8" t="str">
        <f>IFERROR(INDEX('nav master'!$C:$C, MATCH(B7043, 'nav master'!$B:$B, 0)), "")</f>
        <v>ULIF 086 24/11/09 LOpport 105</v>
      </c>
      <c r="E7043" s="8" t="s">
        <v>4896</v>
      </c>
      <c r="F7043" s="8" t="s">
        <v>4954</v>
      </c>
    </row>
    <row r="7044" spans="1:6" ht="60" x14ac:dyDescent="0.25">
      <c r="A7044" s="8" t="s">
        <v>125</v>
      </c>
      <c r="B7044" s="8" t="s">
        <v>40</v>
      </c>
      <c r="C7044" s="8" t="str">
        <f>IFERROR(_xlfn.XLOOKUP(TRIM(B7044),Lookup!$B$2:$B$1000,Lookup!$C$2:$C$1000),"")</f>
        <v>Equity</v>
      </c>
      <c r="D7044" s="8" t="str">
        <f>IFERROR(INDEX('nav master'!$C:$C, MATCH(B7044, 'nav master'!$B:$B, 0)), "")</f>
        <v>ULIF 086 24/11/09 LOpport 105</v>
      </c>
      <c r="E7044" s="8" t="s">
        <v>4898</v>
      </c>
      <c r="F7044" s="8" t="s">
        <v>4955</v>
      </c>
    </row>
    <row r="7045" spans="1:6" ht="60" x14ac:dyDescent="0.25">
      <c r="A7045" s="8" t="s">
        <v>125</v>
      </c>
      <c r="B7045" s="8" t="s">
        <v>40</v>
      </c>
      <c r="C7045" s="8" t="str">
        <f>IFERROR(_xlfn.XLOOKUP(TRIM(B7045),Lookup!$B$2:$B$1000,Lookup!$C$2:$C$1000),"")</f>
        <v>Equity</v>
      </c>
      <c r="D7045" s="8" t="str">
        <f>IFERROR(INDEX('nav master'!$C:$C, MATCH(B7045, 'nav master'!$B:$B, 0)), "")</f>
        <v>ULIF 086 24/11/09 LOpport 105</v>
      </c>
      <c r="E7045" s="8" t="s">
        <v>4900</v>
      </c>
      <c r="F7045" s="8" t="s">
        <v>4956</v>
      </c>
    </row>
    <row r="7046" spans="1:6" ht="60" x14ac:dyDescent="0.25">
      <c r="A7046" s="8" t="s">
        <v>125</v>
      </c>
      <c r="B7046" s="8" t="s">
        <v>40</v>
      </c>
      <c r="C7046" s="8" t="str">
        <f>IFERROR(_xlfn.XLOOKUP(TRIM(B7046),Lookup!$B$2:$B$1000,Lookup!$C$2:$C$1000),"")</f>
        <v>Equity</v>
      </c>
      <c r="D7046" s="8" t="str">
        <f>IFERROR(INDEX('nav master'!$C:$C, MATCH(B7046, 'nav master'!$B:$B, 0)), "")</f>
        <v>ULIF 086 24/11/09 LOpport 105</v>
      </c>
      <c r="E7046" s="8" t="s">
        <v>4902</v>
      </c>
      <c r="F7046" s="8" t="s">
        <v>4957</v>
      </c>
    </row>
    <row r="7047" spans="1:6" ht="60" x14ac:dyDescent="0.25">
      <c r="A7047" s="8" t="s">
        <v>125</v>
      </c>
      <c r="B7047" s="8" t="s">
        <v>40</v>
      </c>
      <c r="C7047" s="8" t="str">
        <f>IFERROR(_xlfn.XLOOKUP(TRIM(B7047),Lookup!$B$2:$B$1000,Lookup!$C$2:$C$1000),"")</f>
        <v>Equity</v>
      </c>
      <c r="D7047" s="8" t="str">
        <f>IFERROR(INDEX('nav master'!$C:$C, MATCH(B7047, 'nav master'!$B:$B, 0)), "")</f>
        <v>ULIF 086 24/11/09 LOpport 105</v>
      </c>
      <c r="E7047" s="8" t="s">
        <v>4903</v>
      </c>
      <c r="F7047" s="8" t="s">
        <v>4958</v>
      </c>
    </row>
    <row r="7048" spans="1:6" ht="60" x14ac:dyDescent="0.25">
      <c r="A7048" s="8" t="s">
        <v>125</v>
      </c>
      <c r="B7048" s="8" t="s">
        <v>40</v>
      </c>
      <c r="C7048" s="8" t="str">
        <f>IFERROR(_xlfn.XLOOKUP(TRIM(B7048),Lookup!$B$2:$B$1000,Lookup!$C$2:$C$1000),"")</f>
        <v>Equity</v>
      </c>
      <c r="D7048" s="8" t="str">
        <f>IFERROR(INDEX('nav master'!$C:$C, MATCH(B7048, 'nav master'!$B:$B, 0)), "")</f>
        <v>ULIF 086 24/11/09 LOpport 105</v>
      </c>
      <c r="E7048" s="8" t="s">
        <v>4905</v>
      </c>
      <c r="F7048" s="8" t="s">
        <v>4959</v>
      </c>
    </row>
    <row r="7049" spans="1:6" ht="60" x14ac:dyDescent="0.25">
      <c r="A7049" s="8" t="s">
        <v>125</v>
      </c>
      <c r="B7049" s="8" t="s">
        <v>64</v>
      </c>
      <c r="C7049" s="8" t="str">
        <f>IFERROR(_xlfn.XLOOKUP(TRIM(B7049),Lookup!$B$2:$B$1000,Lookup!$C$2:$C$1000),"")</f>
        <v>Hybrid</v>
      </c>
      <c r="D7049" s="8" t="str">
        <f>IFERROR(INDEX('nav master'!$C:$C, MATCH(B7049, 'nav master'!$B:$B, 0)), "")</f>
        <v>ULIF08028/02/25DynamicFnd101</v>
      </c>
      <c r="E7049" s="8" t="s">
        <v>189</v>
      </c>
      <c r="F7049" s="8" t="s">
        <v>2699</v>
      </c>
    </row>
    <row r="7050" spans="1:6" ht="60" x14ac:dyDescent="0.25">
      <c r="A7050" s="8" t="s">
        <v>125</v>
      </c>
      <c r="B7050" s="8" t="s">
        <v>64</v>
      </c>
      <c r="C7050" s="8" t="str">
        <f>IFERROR(_xlfn.XLOOKUP(TRIM(B7050),Lookup!$B$2:$B$1000,Lookup!$C$2:$C$1000),"")</f>
        <v>Hybrid</v>
      </c>
      <c r="D7050" s="8" t="str">
        <f>IFERROR(INDEX('nav master'!$C:$C, MATCH(B7050, 'nav master'!$B:$B, 0)), "")</f>
        <v>ULIF08028/02/25DynamicFnd101</v>
      </c>
      <c r="E7050" s="8" t="s">
        <v>191</v>
      </c>
      <c r="F7050" s="8" t="s">
        <v>2700</v>
      </c>
    </row>
    <row r="7051" spans="1:6" ht="60" x14ac:dyDescent="0.25">
      <c r="A7051" s="8" t="s">
        <v>125</v>
      </c>
      <c r="B7051" s="8" t="s">
        <v>64</v>
      </c>
      <c r="C7051" s="8" t="str">
        <f>IFERROR(_xlfn.XLOOKUP(TRIM(B7051),Lookup!$B$2:$B$1000,Lookup!$C$2:$C$1000),"")</f>
        <v>Hybrid</v>
      </c>
      <c r="D7051" s="8" t="str">
        <f>IFERROR(INDEX('nav master'!$C:$C, MATCH(B7051, 'nav master'!$B:$B, 0)), "")</f>
        <v>ULIF08028/02/25DynamicFnd101</v>
      </c>
      <c r="E7051" s="8" t="s">
        <v>193</v>
      </c>
      <c r="F7051" s="8" t="s">
        <v>2701</v>
      </c>
    </row>
    <row r="7052" spans="1:6" ht="60" x14ac:dyDescent="0.25">
      <c r="A7052" s="8" t="s">
        <v>125</v>
      </c>
      <c r="B7052" s="8" t="s">
        <v>64</v>
      </c>
      <c r="C7052" s="8" t="str">
        <f>IFERROR(_xlfn.XLOOKUP(TRIM(B7052),Lookup!$B$2:$B$1000,Lookup!$C$2:$C$1000),"")</f>
        <v>Hybrid</v>
      </c>
      <c r="D7052" s="8" t="str">
        <f>IFERROR(INDEX('nav master'!$C:$C, MATCH(B7052, 'nav master'!$B:$B, 0)), "")</f>
        <v>ULIF08028/02/25DynamicFnd101</v>
      </c>
      <c r="E7052" s="8" t="s">
        <v>195</v>
      </c>
      <c r="F7052" s="8" t="s">
        <v>2702</v>
      </c>
    </row>
    <row r="7053" spans="1:6" ht="60" x14ac:dyDescent="0.25">
      <c r="A7053" s="8" t="s">
        <v>125</v>
      </c>
      <c r="B7053" s="8" t="s">
        <v>64</v>
      </c>
      <c r="C7053" s="8" t="str">
        <f>IFERROR(_xlfn.XLOOKUP(TRIM(B7053),Lookup!$B$2:$B$1000,Lookup!$C$2:$C$1000),"")</f>
        <v>Hybrid</v>
      </c>
      <c r="D7053" s="8" t="str">
        <f>IFERROR(INDEX('nav master'!$C:$C, MATCH(B7053, 'nav master'!$B:$B, 0)), "")</f>
        <v>ULIF08028/02/25DynamicFnd101</v>
      </c>
      <c r="E7053" s="8" t="s">
        <v>197</v>
      </c>
      <c r="F7053" s="8" t="s">
        <v>2703</v>
      </c>
    </row>
    <row r="7054" spans="1:6" ht="60" x14ac:dyDescent="0.25">
      <c r="A7054" s="8" t="s">
        <v>125</v>
      </c>
      <c r="B7054" s="8" t="s">
        <v>64</v>
      </c>
      <c r="C7054" s="8" t="str">
        <f>IFERROR(_xlfn.XLOOKUP(TRIM(B7054),Lookup!$B$2:$B$1000,Lookup!$C$2:$C$1000),"")</f>
        <v>Hybrid</v>
      </c>
      <c r="D7054" s="8" t="str">
        <f>IFERROR(INDEX('nav master'!$C:$C, MATCH(B7054, 'nav master'!$B:$B, 0)), "")</f>
        <v>ULIF08028/02/25DynamicFnd101</v>
      </c>
      <c r="E7054" s="8" t="s">
        <v>199</v>
      </c>
      <c r="F7054" s="8" t="s">
        <v>2704</v>
      </c>
    </row>
    <row r="7055" spans="1:6" ht="60" x14ac:dyDescent="0.25">
      <c r="A7055" s="8" t="s">
        <v>125</v>
      </c>
      <c r="B7055" s="8" t="s">
        <v>64</v>
      </c>
      <c r="C7055" s="8" t="str">
        <f>IFERROR(_xlfn.XLOOKUP(TRIM(B7055),Lookup!$B$2:$B$1000,Lookup!$C$2:$C$1000),"")</f>
        <v>Hybrid</v>
      </c>
      <c r="D7055" s="8" t="str">
        <f>IFERROR(INDEX('nav master'!$C:$C, MATCH(B7055, 'nav master'!$B:$B, 0)), "")</f>
        <v>ULIF08028/02/25DynamicFnd101</v>
      </c>
      <c r="E7055" s="8" t="s">
        <v>201</v>
      </c>
      <c r="F7055" s="8" t="s">
        <v>2705</v>
      </c>
    </row>
    <row r="7056" spans="1:6" ht="60" x14ac:dyDescent="0.25">
      <c r="A7056" s="8" t="s">
        <v>125</v>
      </c>
      <c r="B7056" s="8" t="s">
        <v>64</v>
      </c>
      <c r="C7056" s="8" t="str">
        <f>IFERROR(_xlfn.XLOOKUP(TRIM(B7056),Lookup!$B$2:$B$1000,Lookup!$C$2:$C$1000),"")</f>
        <v>Hybrid</v>
      </c>
      <c r="D7056" s="8" t="str">
        <f>IFERROR(INDEX('nav master'!$C:$C, MATCH(B7056, 'nav master'!$B:$B, 0)), "")</f>
        <v>ULIF08028/02/25DynamicFnd101</v>
      </c>
      <c r="E7056" s="8" t="s">
        <v>203</v>
      </c>
      <c r="F7056" s="8" t="s">
        <v>2706</v>
      </c>
    </row>
    <row r="7057" spans="1:6" ht="60" x14ac:dyDescent="0.25">
      <c r="A7057" s="8" t="s">
        <v>125</v>
      </c>
      <c r="B7057" s="8" t="s">
        <v>64</v>
      </c>
      <c r="C7057" s="8" t="str">
        <f>IFERROR(_xlfn.XLOOKUP(TRIM(B7057),Lookup!$B$2:$B$1000,Lookup!$C$2:$C$1000),"")</f>
        <v>Hybrid</v>
      </c>
      <c r="D7057" s="8" t="str">
        <f>IFERROR(INDEX('nav master'!$C:$C, MATCH(B7057, 'nav master'!$B:$B, 0)), "")</f>
        <v>ULIF08028/02/25DynamicFnd101</v>
      </c>
      <c r="E7057" s="8" t="s">
        <v>205</v>
      </c>
      <c r="F7057" s="8" t="s">
        <v>2707</v>
      </c>
    </row>
    <row r="7058" spans="1:6" ht="60" x14ac:dyDescent="0.25">
      <c r="A7058" s="8" t="s">
        <v>125</v>
      </c>
      <c r="B7058" s="8" t="s">
        <v>64</v>
      </c>
      <c r="C7058" s="8" t="str">
        <f>IFERROR(_xlfn.XLOOKUP(TRIM(B7058),Lookup!$B$2:$B$1000,Lookup!$C$2:$C$1000),"")</f>
        <v>Hybrid</v>
      </c>
      <c r="D7058" s="8" t="str">
        <f>IFERROR(INDEX('nav master'!$C:$C, MATCH(B7058, 'nav master'!$B:$B, 0)), "")</f>
        <v>ULIF08028/02/25DynamicFnd101</v>
      </c>
      <c r="E7058" s="8" t="s">
        <v>207</v>
      </c>
      <c r="F7058" s="8" t="s">
        <v>2708</v>
      </c>
    </row>
    <row r="7059" spans="1:6" ht="60" x14ac:dyDescent="0.25">
      <c r="A7059" s="8" t="s">
        <v>125</v>
      </c>
      <c r="B7059" s="8" t="s">
        <v>64</v>
      </c>
      <c r="C7059" s="8" t="str">
        <f>IFERROR(_xlfn.XLOOKUP(TRIM(B7059),Lookup!$B$2:$B$1000,Lookup!$C$2:$C$1000),"")</f>
        <v>Hybrid</v>
      </c>
      <c r="D7059" s="8" t="str">
        <f>IFERROR(INDEX('nav master'!$C:$C, MATCH(B7059, 'nav master'!$B:$B, 0)), "")</f>
        <v>ULIF08028/02/25DynamicFnd101</v>
      </c>
      <c r="E7059" s="8" t="s">
        <v>209</v>
      </c>
      <c r="F7059" s="8" t="s">
        <v>2709</v>
      </c>
    </row>
    <row r="7060" spans="1:6" ht="60" x14ac:dyDescent="0.25">
      <c r="A7060" s="8" t="s">
        <v>125</v>
      </c>
      <c r="B7060" s="8" t="s">
        <v>64</v>
      </c>
      <c r="C7060" s="8" t="str">
        <f>IFERROR(_xlfn.XLOOKUP(TRIM(B7060),Lookup!$B$2:$B$1000,Lookup!$C$2:$C$1000),"")</f>
        <v>Hybrid</v>
      </c>
      <c r="D7060" s="8" t="str">
        <f>IFERROR(INDEX('nav master'!$C:$C, MATCH(B7060, 'nav master'!$B:$B, 0)), "")</f>
        <v>ULIF08028/02/25DynamicFnd101</v>
      </c>
      <c r="E7060" s="8" t="s">
        <v>211</v>
      </c>
      <c r="F7060" s="8" t="s">
        <v>2710</v>
      </c>
    </row>
    <row r="7061" spans="1:6" ht="60" x14ac:dyDescent="0.25">
      <c r="A7061" s="8" t="s">
        <v>125</v>
      </c>
      <c r="B7061" s="8" t="s">
        <v>64</v>
      </c>
      <c r="C7061" s="8" t="str">
        <f>IFERROR(_xlfn.XLOOKUP(TRIM(B7061),Lookup!$B$2:$B$1000,Lookup!$C$2:$C$1000),"")</f>
        <v>Hybrid</v>
      </c>
      <c r="D7061" s="8" t="str">
        <f>IFERROR(INDEX('nav master'!$C:$C, MATCH(B7061, 'nav master'!$B:$B, 0)), "")</f>
        <v>ULIF08028/02/25DynamicFnd101</v>
      </c>
      <c r="E7061" s="8" t="s">
        <v>213</v>
      </c>
      <c r="F7061" s="8" t="s">
        <v>2711</v>
      </c>
    </row>
    <row r="7062" spans="1:6" ht="60" x14ac:dyDescent="0.25">
      <c r="A7062" s="8" t="s">
        <v>125</v>
      </c>
      <c r="B7062" s="8" t="s">
        <v>64</v>
      </c>
      <c r="C7062" s="8" t="str">
        <f>IFERROR(_xlfn.XLOOKUP(TRIM(B7062),Lookup!$B$2:$B$1000,Lookup!$C$2:$C$1000),"")</f>
        <v>Hybrid</v>
      </c>
      <c r="D7062" s="8" t="str">
        <f>IFERROR(INDEX('nav master'!$C:$C, MATCH(B7062, 'nav master'!$B:$B, 0)), "")</f>
        <v>ULIF08028/02/25DynamicFnd101</v>
      </c>
      <c r="E7062" s="8" t="s">
        <v>215</v>
      </c>
      <c r="F7062" s="8" t="s">
        <v>2712</v>
      </c>
    </row>
    <row r="7063" spans="1:6" ht="60" x14ac:dyDescent="0.25">
      <c r="A7063" s="8" t="s">
        <v>125</v>
      </c>
      <c r="B7063" s="8" t="s">
        <v>64</v>
      </c>
      <c r="C7063" s="8" t="str">
        <f>IFERROR(_xlfn.XLOOKUP(TRIM(B7063),Lookup!$B$2:$B$1000,Lookup!$C$2:$C$1000),"")</f>
        <v>Hybrid</v>
      </c>
      <c r="D7063" s="8" t="str">
        <f>IFERROR(INDEX('nav master'!$C:$C, MATCH(B7063, 'nav master'!$B:$B, 0)), "")</f>
        <v>ULIF08028/02/25DynamicFnd101</v>
      </c>
      <c r="E7063" s="8" t="s">
        <v>217</v>
      </c>
      <c r="F7063" s="8" t="s">
        <v>2713</v>
      </c>
    </row>
    <row r="7064" spans="1:6" ht="60" x14ac:dyDescent="0.25">
      <c r="A7064" s="8" t="s">
        <v>125</v>
      </c>
      <c r="B7064" s="8" t="s">
        <v>64</v>
      </c>
      <c r="C7064" s="8" t="str">
        <f>IFERROR(_xlfn.XLOOKUP(TRIM(B7064),Lookup!$B$2:$B$1000,Lookup!$C$2:$C$1000),"")</f>
        <v>Hybrid</v>
      </c>
      <c r="D7064" s="8" t="str">
        <f>IFERROR(INDEX('nav master'!$C:$C, MATCH(B7064, 'nav master'!$B:$B, 0)), "")</f>
        <v>ULIF08028/02/25DynamicFnd101</v>
      </c>
      <c r="E7064" s="8" t="s">
        <v>219</v>
      </c>
      <c r="F7064" s="8" t="s">
        <v>2714</v>
      </c>
    </row>
    <row r="7065" spans="1:6" ht="60" x14ac:dyDescent="0.25">
      <c r="A7065" s="8" t="s">
        <v>125</v>
      </c>
      <c r="B7065" s="8" t="s">
        <v>64</v>
      </c>
      <c r="C7065" s="8" t="str">
        <f>IFERROR(_xlfn.XLOOKUP(TRIM(B7065),Lookup!$B$2:$B$1000,Lookup!$C$2:$C$1000),"")</f>
        <v>Hybrid</v>
      </c>
      <c r="D7065" s="8" t="str">
        <f>IFERROR(INDEX('nav master'!$C:$C, MATCH(B7065, 'nav master'!$B:$B, 0)), "")</f>
        <v>ULIF08028/02/25DynamicFnd101</v>
      </c>
      <c r="E7065" s="8" t="s">
        <v>221</v>
      </c>
      <c r="F7065" s="8" t="s">
        <v>2715</v>
      </c>
    </row>
    <row r="7066" spans="1:6" ht="60" x14ac:dyDescent="0.25">
      <c r="A7066" s="8" t="s">
        <v>125</v>
      </c>
      <c r="B7066" s="8" t="s">
        <v>64</v>
      </c>
      <c r="C7066" s="8" t="str">
        <f>IFERROR(_xlfn.XLOOKUP(TRIM(B7066),Lookup!$B$2:$B$1000,Lookup!$C$2:$C$1000),"")</f>
        <v>Hybrid</v>
      </c>
      <c r="D7066" s="8" t="str">
        <f>IFERROR(INDEX('nav master'!$C:$C, MATCH(B7066, 'nav master'!$B:$B, 0)), "")</f>
        <v>ULIF08028/02/25DynamicFnd101</v>
      </c>
      <c r="E7066" s="8" t="s">
        <v>223</v>
      </c>
      <c r="F7066" s="8" t="s">
        <v>2716</v>
      </c>
    </row>
    <row r="7067" spans="1:6" ht="60" x14ac:dyDescent="0.25">
      <c r="A7067" s="8" t="s">
        <v>125</v>
      </c>
      <c r="B7067" s="8" t="s">
        <v>64</v>
      </c>
      <c r="C7067" s="8" t="str">
        <f>IFERROR(_xlfn.XLOOKUP(TRIM(B7067),Lookup!$B$2:$B$1000,Lookup!$C$2:$C$1000),"")</f>
        <v>Hybrid</v>
      </c>
      <c r="D7067" s="8" t="str">
        <f>IFERROR(INDEX('nav master'!$C:$C, MATCH(B7067, 'nav master'!$B:$B, 0)), "")</f>
        <v>ULIF08028/02/25DynamicFnd101</v>
      </c>
      <c r="E7067" s="8" t="s">
        <v>225</v>
      </c>
      <c r="F7067" s="8" t="s">
        <v>2717</v>
      </c>
    </row>
    <row r="7068" spans="1:6" ht="60" x14ac:dyDescent="0.25">
      <c r="A7068" s="8" t="s">
        <v>125</v>
      </c>
      <c r="B7068" s="8" t="s">
        <v>64</v>
      </c>
      <c r="C7068" s="8" t="str">
        <f>IFERROR(_xlfn.XLOOKUP(TRIM(B7068),Lookup!$B$2:$B$1000,Lookup!$C$2:$C$1000),"")</f>
        <v>Hybrid</v>
      </c>
      <c r="D7068" s="8" t="str">
        <f>IFERROR(INDEX('nav master'!$C:$C, MATCH(B7068, 'nav master'!$B:$B, 0)), "")</f>
        <v>ULIF08028/02/25DynamicFnd101</v>
      </c>
      <c r="E7068" s="8" t="s">
        <v>227</v>
      </c>
      <c r="F7068" s="8" t="s">
        <v>2718</v>
      </c>
    </row>
    <row r="7069" spans="1:6" ht="60" x14ac:dyDescent="0.25">
      <c r="A7069" s="8" t="s">
        <v>125</v>
      </c>
      <c r="B7069" s="8" t="s">
        <v>64</v>
      </c>
      <c r="C7069" s="8" t="str">
        <f>IFERROR(_xlfn.XLOOKUP(TRIM(B7069),Lookup!$B$2:$B$1000,Lookup!$C$2:$C$1000),"")</f>
        <v>Hybrid</v>
      </c>
      <c r="D7069" s="8" t="str">
        <f>IFERROR(INDEX('nav master'!$C:$C, MATCH(B7069, 'nav master'!$B:$B, 0)), "")</f>
        <v>ULIF08028/02/25DynamicFnd101</v>
      </c>
      <c r="E7069" s="8" t="s">
        <v>229</v>
      </c>
      <c r="F7069" s="8" t="s">
        <v>2719</v>
      </c>
    </row>
    <row r="7070" spans="1:6" ht="60" x14ac:dyDescent="0.25">
      <c r="A7070" s="8" t="s">
        <v>125</v>
      </c>
      <c r="B7070" s="8" t="s">
        <v>64</v>
      </c>
      <c r="C7070" s="8" t="str">
        <f>IFERROR(_xlfn.XLOOKUP(TRIM(B7070),Lookup!$B$2:$B$1000,Lookup!$C$2:$C$1000),"")</f>
        <v>Hybrid</v>
      </c>
      <c r="D7070" s="8" t="str">
        <f>IFERROR(INDEX('nav master'!$C:$C, MATCH(B7070, 'nav master'!$B:$B, 0)), "")</f>
        <v>ULIF08028/02/25DynamicFnd101</v>
      </c>
      <c r="E7070" s="8" t="s">
        <v>231</v>
      </c>
      <c r="F7070" s="8" t="s">
        <v>2720</v>
      </c>
    </row>
    <row r="7071" spans="1:6" ht="60" x14ac:dyDescent="0.25">
      <c r="A7071" s="8" t="s">
        <v>125</v>
      </c>
      <c r="B7071" s="8" t="s">
        <v>64</v>
      </c>
      <c r="C7071" s="8" t="str">
        <f>IFERROR(_xlfn.XLOOKUP(TRIM(B7071),Lookup!$B$2:$B$1000,Lookup!$C$2:$C$1000),"")</f>
        <v>Hybrid</v>
      </c>
      <c r="D7071" s="8" t="str">
        <f>IFERROR(INDEX('nav master'!$C:$C, MATCH(B7071, 'nav master'!$B:$B, 0)), "")</f>
        <v>ULIF08028/02/25DynamicFnd101</v>
      </c>
      <c r="E7071" s="8" t="s">
        <v>233</v>
      </c>
      <c r="F7071" s="8" t="s">
        <v>2721</v>
      </c>
    </row>
    <row r="7072" spans="1:6" ht="60" x14ac:dyDescent="0.25">
      <c r="A7072" s="8" t="s">
        <v>125</v>
      </c>
      <c r="B7072" s="8" t="s">
        <v>64</v>
      </c>
      <c r="C7072" s="8" t="str">
        <f>IFERROR(_xlfn.XLOOKUP(TRIM(B7072),Lookup!$B$2:$B$1000,Lookup!$C$2:$C$1000),"")</f>
        <v>Hybrid</v>
      </c>
      <c r="D7072" s="8" t="str">
        <f>IFERROR(INDEX('nav master'!$C:$C, MATCH(B7072, 'nav master'!$B:$B, 0)), "")</f>
        <v>ULIF08028/02/25DynamicFnd101</v>
      </c>
      <c r="E7072" s="8" t="s">
        <v>235</v>
      </c>
      <c r="F7072" s="8" t="s">
        <v>2722</v>
      </c>
    </row>
    <row r="7073" spans="1:6" ht="60" x14ac:dyDescent="0.25">
      <c r="A7073" s="8" t="s">
        <v>125</v>
      </c>
      <c r="B7073" s="8" t="s">
        <v>64</v>
      </c>
      <c r="C7073" s="8" t="str">
        <f>IFERROR(_xlfn.XLOOKUP(TRIM(B7073),Lookup!$B$2:$B$1000,Lookup!$C$2:$C$1000),"")</f>
        <v>Hybrid</v>
      </c>
      <c r="D7073" s="8" t="str">
        <f>IFERROR(INDEX('nav master'!$C:$C, MATCH(B7073, 'nav master'!$B:$B, 0)), "")</f>
        <v>ULIF08028/02/25DynamicFnd101</v>
      </c>
      <c r="E7073" s="8" t="s">
        <v>237</v>
      </c>
      <c r="F7073" s="8" t="s">
        <v>2723</v>
      </c>
    </row>
    <row r="7074" spans="1:6" ht="60" x14ac:dyDescent="0.25">
      <c r="A7074" s="8" t="s">
        <v>125</v>
      </c>
      <c r="B7074" s="8" t="s">
        <v>64</v>
      </c>
      <c r="C7074" s="8" t="str">
        <f>IFERROR(_xlfn.XLOOKUP(TRIM(B7074),Lookup!$B$2:$B$1000,Lookup!$C$2:$C$1000),"")</f>
        <v>Hybrid</v>
      </c>
      <c r="D7074" s="8" t="str">
        <f>IFERROR(INDEX('nav master'!$C:$C, MATCH(B7074, 'nav master'!$B:$B, 0)), "")</f>
        <v>ULIF08028/02/25DynamicFnd101</v>
      </c>
      <c r="E7074" s="8" t="s">
        <v>239</v>
      </c>
      <c r="F7074" s="8" t="s">
        <v>2724</v>
      </c>
    </row>
    <row r="7075" spans="1:6" ht="60" x14ac:dyDescent="0.25">
      <c r="A7075" s="8" t="s">
        <v>125</v>
      </c>
      <c r="B7075" s="8" t="s">
        <v>64</v>
      </c>
      <c r="C7075" s="8" t="str">
        <f>IFERROR(_xlfn.XLOOKUP(TRIM(B7075),Lookup!$B$2:$B$1000,Lookup!$C$2:$C$1000),"")</f>
        <v>Hybrid</v>
      </c>
      <c r="D7075" s="8" t="str">
        <f>IFERROR(INDEX('nav master'!$C:$C, MATCH(B7075, 'nav master'!$B:$B, 0)), "")</f>
        <v>ULIF08028/02/25DynamicFnd101</v>
      </c>
      <c r="E7075" s="8" t="s">
        <v>241</v>
      </c>
      <c r="F7075" s="8" t="s">
        <v>2725</v>
      </c>
    </row>
    <row r="7076" spans="1:6" ht="60" x14ac:dyDescent="0.25">
      <c r="A7076" s="8" t="s">
        <v>125</v>
      </c>
      <c r="B7076" s="8" t="s">
        <v>64</v>
      </c>
      <c r="C7076" s="8" t="str">
        <f>IFERROR(_xlfn.XLOOKUP(TRIM(B7076),Lookup!$B$2:$B$1000,Lookup!$C$2:$C$1000),"")</f>
        <v>Hybrid</v>
      </c>
      <c r="D7076" s="8" t="str">
        <f>IFERROR(INDEX('nav master'!$C:$C, MATCH(B7076, 'nav master'!$B:$B, 0)), "")</f>
        <v>ULIF08028/02/25DynamicFnd101</v>
      </c>
      <c r="E7076" s="8" t="s">
        <v>243</v>
      </c>
      <c r="F7076" s="8" t="s">
        <v>2726</v>
      </c>
    </row>
    <row r="7077" spans="1:6" ht="60" x14ac:dyDescent="0.25">
      <c r="A7077" s="8" t="s">
        <v>125</v>
      </c>
      <c r="B7077" s="8" t="s">
        <v>64</v>
      </c>
      <c r="C7077" s="8" t="str">
        <f>IFERROR(_xlfn.XLOOKUP(TRIM(B7077),Lookup!$B$2:$B$1000,Lookup!$C$2:$C$1000),"")</f>
        <v>Hybrid</v>
      </c>
      <c r="D7077" s="8" t="str">
        <f>IFERROR(INDEX('nav master'!$C:$C, MATCH(B7077, 'nav master'!$B:$B, 0)), "")</f>
        <v>ULIF08028/02/25DynamicFnd101</v>
      </c>
      <c r="E7077" s="8" t="s">
        <v>245</v>
      </c>
      <c r="F7077" s="8" t="s">
        <v>2727</v>
      </c>
    </row>
    <row r="7078" spans="1:6" ht="60" x14ac:dyDescent="0.25">
      <c r="A7078" s="8" t="s">
        <v>125</v>
      </c>
      <c r="B7078" s="8" t="s">
        <v>64</v>
      </c>
      <c r="C7078" s="8" t="str">
        <f>IFERROR(_xlfn.XLOOKUP(TRIM(B7078),Lookup!$B$2:$B$1000,Lookup!$C$2:$C$1000),"")</f>
        <v>Hybrid</v>
      </c>
      <c r="D7078" s="8" t="str">
        <f>IFERROR(INDEX('nav master'!$C:$C, MATCH(B7078, 'nav master'!$B:$B, 0)), "")</f>
        <v>ULIF08028/02/25DynamicFnd101</v>
      </c>
      <c r="E7078" s="8" t="s">
        <v>247</v>
      </c>
      <c r="F7078" s="8" t="s">
        <v>2728</v>
      </c>
    </row>
    <row r="7079" spans="1:6" ht="60" x14ac:dyDescent="0.25">
      <c r="A7079" s="8" t="s">
        <v>125</v>
      </c>
      <c r="B7079" s="8" t="s">
        <v>64</v>
      </c>
      <c r="C7079" s="8" t="str">
        <f>IFERROR(_xlfn.XLOOKUP(TRIM(B7079),Lookup!$B$2:$B$1000,Lookup!$C$2:$C$1000),"")</f>
        <v>Hybrid</v>
      </c>
      <c r="D7079" s="8" t="str">
        <f>IFERROR(INDEX('nav master'!$C:$C, MATCH(B7079, 'nav master'!$B:$B, 0)), "")</f>
        <v>ULIF08028/02/25DynamicFnd101</v>
      </c>
      <c r="E7079" s="8" t="s">
        <v>249</v>
      </c>
      <c r="F7079" s="8" t="s">
        <v>2729</v>
      </c>
    </row>
    <row r="7080" spans="1:6" ht="60" x14ac:dyDescent="0.25">
      <c r="A7080" s="8" t="s">
        <v>125</v>
      </c>
      <c r="B7080" s="8" t="s">
        <v>64</v>
      </c>
      <c r="C7080" s="8" t="str">
        <f>IFERROR(_xlfn.XLOOKUP(TRIM(B7080),Lookup!$B$2:$B$1000,Lookup!$C$2:$C$1000),"")</f>
        <v>Hybrid</v>
      </c>
      <c r="D7080" s="8" t="str">
        <f>IFERROR(INDEX('nav master'!$C:$C, MATCH(B7080, 'nav master'!$B:$B, 0)), "")</f>
        <v>ULIF08028/02/25DynamicFnd101</v>
      </c>
      <c r="E7080" s="8" t="s">
        <v>251</v>
      </c>
      <c r="F7080" s="8" t="s">
        <v>2730</v>
      </c>
    </row>
    <row r="7081" spans="1:6" ht="60" x14ac:dyDescent="0.25">
      <c r="A7081" s="8" t="s">
        <v>125</v>
      </c>
      <c r="B7081" s="8" t="s">
        <v>64</v>
      </c>
      <c r="C7081" s="8" t="str">
        <f>IFERROR(_xlfn.XLOOKUP(TRIM(B7081),Lookup!$B$2:$B$1000,Lookup!$C$2:$C$1000),"")</f>
        <v>Hybrid</v>
      </c>
      <c r="D7081" s="8" t="str">
        <f>IFERROR(INDEX('nav master'!$C:$C, MATCH(B7081, 'nav master'!$B:$B, 0)), "")</f>
        <v>ULIF08028/02/25DynamicFnd101</v>
      </c>
      <c r="E7081" s="8" t="s">
        <v>253</v>
      </c>
      <c r="F7081" s="8" t="s">
        <v>2731</v>
      </c>
    </row>
    <row r="7082" spans="1:6" ht="60" x14ac:dyDescent="0.25">
      <c r="A7082" s="8" t="s">
        <v>125</v>
      </c>
      <c r="B7082" s="8" t="s">
        <v>64</v>
      </c>
      <c r="C7082" s="8" t="str">
        <f>IFERROR(_xlfn.XLOOKUP(TRIM(B7082),Lookup!$B$2:$B$1000,Lookup!$C$2:$C$1000),"")</f>
        <v>Hybrid</v>
      </c>
      <c r="D7082" s="8" t="str">
        <f>IFERROR(INDEX('nav master'!$C:$C, MATCH(B7082, 'nav master'!$B:$B, 0)), "")</f>
        <v>ULIF08028/02/25DynamicFnd101</v>
      </c>
      <c r="E7082" s="8" t="s">
        <v>255</v>
      </c>
      <c r="F7082" s="8" t="s">
        <v>2732</v>
      </c>
    </row>
    <row r="7083" spans="1:6" ht="60" x14ac:dyDescent="0.25">
      <c r="A7083" s="8" t="s">
        <v>125</v>
      </c>
      <c r="B7083" s="8" t="s">
        <v>64</v>
      </c>
      <c r="C7083" s="8" t="str">
        <f>IFERROR(_xlfn.XLOOKUP(TRIM(B7083),Lookup!$B$2:$B$1000,Lookup!$C$2:$C$1000),"")</f>
        <v>Hybrid</v>
      </c>
      <c r="D7083" s="8" t="str">
        <f>IFERROR(INDEX('nav master'!$C:$C, MATCH(B7083, 'nav master'!$B:$B, 0)), "")</f>
        <v>ULIF08028/02/25DynamicFnd101</v>
      </c>
      <c r="E7083" s="8" t="s">
        <v>257</v>
      </c>
      <c r="F7083" s="8" t="s">
        <v>2733</v>
      </c>
    </row>
    <row r="7084" spans="1:6" ht="60" x14ac:dyDescent="0.25">
      <c r="A7084" s="8" t="s">
        <v>125</v>
      </c>
      <c r="B7084" s="8" t="s">
        <v>64</v>
      </c>
      <c r="C7084" s="8" t="str">
        <f>IFERROR(_xlfn.XLOOKUP(TRIM(B7084),Lookup!$B$2:$B$1000,Lookup!$C$2:$C$1000),"")</f>
        <v>Hybrid</v>
      </c>
      <c r="D7084" s="8" t="str">
        <f>IFERROR(INDEX('nav master'!$C:$C, MATCH(B7084, 'nav master'!$B:$B, 0)), "")</f>
        <v>ULIF08028/02/25DynamicFnd101</v>
      </c>
      <c r="E7084" s="8" t="s">
        <v>259</v>
      </c>
      <c r="F7084" s="8" t="s">
        <v>2734</v>
      </c>
    </row>
    <row r="7085" spans="1:6" ht="60" x14ac:dyDescent="0.25">
      <c r="A7085" s="8" t="s">
        <v>125</v>
      </c>
      <c r="B7085" s="8" t="s">
        <v>64</v>
      </c>
      <c r="C7085" s="8" t="str">
        <f>IFERROR(_xlfn.XLOOKUP(TRIM(B7085),Lookup!$B$2:$B$1000,Lookup!$C$2:$C$1000),"")</f>
        <v>Hybrid</v>
      </c>
      <c r="D7085" s="8" t="str">
        <f>IFERROR(INDEX('nav master'!$C:$C, MATCH(B7085, 'nav master'!$B:$B, 0)), "")</f>
        <v>ULIF08028/02/25DynamicFnd101</v>
      </c>
      <c r="E7085" s="8" t="s">
        <v>261</v>
      </c>
      <c r="F7085" s="8" t="s">
        <v>2735</v>
      </c>
    </row>
    <row r="7086" spans="1:6" ht="60" x14ac:dyDescent="0.25">
      <c r="A7086" s="8" t="s">
        <v>125</v>
      </c>
      <c r="B7086" s="8" t="s">
        <v>64</v>
      </c>
      <c r="C7086" s="8" t="str">
        <f>IFERROR(_xlfn.XLOOKUP(TRIM(B7086),Lookup!$B$2:$B$1000,Lookup!$C$2:$C$1000),"")</f>
        <v>Hybrid</v>
      </c>
      <c r="D7086" s="8" t="str">
        <f>IFERROR(INDEX('nav master'!$C:$C, MATCH(B7086, 'nav master'!$B:$B, 0)), "")</f>
        <v>ULIF08028/02/25DynamicFnd101</v>
      </c>
      <c r="E7086" s="8" t="s">
        <v>263</v>
      </c>
      <c r="F7086" s="8" t="s">
        <v>2736</v>
      </c>
    </row>
    <row r="7087" spans="1:6" ht="60" x14ac:dyDescent="0.25">
      <c r="A7087" s="8" t="s">
        <v>125</v>
      </c>
      <c r="B7087" s="8" t="s">
        <v>64</v>
      </c>
      <c r="C7087" s="8" t="str">
        <f>IFERROR(_xlfn.XLOOKUP(TRIM(B7087),Lookup!$B$2:$B$1000,Lookup!$C$2:$C$1000),"")</f>
        <v>Hybrid</v>
      </c>
      <c r="D7087" s="8" t="str">
        <f>IFERROR(INDEX('nav master'!$C:$C, MATCH(B7087, 'nav master'!$B:$B, 0)), "")</f>
        <v>ULIF08028/02/25DynamicFnd101</v>
      </c>
      <c r="E7087" s="8" t="s">
        <v>265</v>
      </c>
      <c r="F7087" s="8" t="s">
        <v>2737</v>
      </c>
    </row>
    <row r="7088" spans="1:6" ht="60" x14ac:dyDescent="0.25">
      <c r="A7088" s="8" t="s">
        <v>125</v>
      </c>
      <c r="B7088" s="8" t="s">
        <v>64</v>
      </c>
      <c r="C7088" s="8" t="str">
        <f>IFERROR(_xlfn.XLOOKUP(TRIM(B7088),Lookup!$B$2:$B$1000,Lookup!$C$2:$C$1000),"")</f>
        <v>Hybrid</v>
      </c>
      <c r="D7088" s="8" t="str">
        <f>IFERROR(INDEX('nav master'!$C:$C, MATCH(B7088, 'nav master'!$B:$B, 0)), "")</f>
        <v>ULIF08028/02/25DynamicFnd101</v>
      </c>
      <c r="E7088" s="8" t="s">
        <v>267</v>
      </c>
      <c r="F7088" s="8" t="s">
        <v>2738</v>
      </c>
    </row>
    <row r="7089" spans="1:6" ht="60" x14ac:dyDescent="0.25">
      <c r="A7089" s="8" t="s">
        <v>125</v>
      </c>
      <c r="B7089" s="8" t="s">
        <v>64</v>
      </c>
      <c r="C7089" s="8" t="str">
        <f>IFERROR(_xlfn.XLOOKUP(TRIM(B7089),Lookup!$B$2:$B$1000,Lookup!$C$2:$C$1000),"")</f>
        <v>Hybrid</v>
      </c>
      <c r="D7089" s="8" t="str">
        <f>IFERROR(INDEX('nav master'!$C:$C, MATCH(B7089, 'nav master'!$B:$B, 0)), "")</f>
        <v>ULIF08028/02/25DynamicFnd101</v>
      </c>
      <c r="E7089" s="8" t="s">
        <v>269</v>
      </c>
      <c r="F7089" s="8" t="s">
        <v>2739</v>
      </c>
    </row>
    <row r="7090" spans="1:6" ht="60" x14ac:dyDescent="0.25">
      <c r="A7090" s="8" t="s">
        <v>125</v>
      </c>
      <c r="B7090" s="8" t="s">
        <v>64</v>
      </c>
      <c r="C7090" s="8" t="str">
        <f>IFERROR(_xlfn.XLOOKUP(TRIM(B7090),Lookup!$B$2:$B$1000,Lookup!$C$2:$C$1000),"")</f>
        <v>Hybrid</v>
      </c>
      <c r="D7090" s="8" t="str">
        <f>IFERROR(INDEX('nav master'!$C:$C, MATCH(B7090, 'nav master'!$B:$B, 0)), "")</f>
        <v>ULIF08028/02/25DynamicFnd101</v>
      </c>
      <c r="E7090" s="8" t="s">
        <v>271</v>
      </c>
      <c r="F7090" s="8" t="s">
        <v>2740</v>
      </c>
    </row>
    <row r="7091" spans="1:6" ht="60" x14ac:dyDescent="0.25">
      <c r="A7091" s="8" t="s">
        <v>125</v>
      </c>
      <c r="B7091" s="8" t="s">
        <v>64</v>
      </c>
      <c r="C7091" s="8" t="str">
        <f>IFERROR(_xlfn.XLOOKUP(TRIM(B7091),Lookup!$B$2:$B$1000,Lookup!$C$2:$C$1000),"")</f>
        <v>Hybrid</v>
      </c>
      <c r="D7091" s="8" t="str">
        <f>IFERROR(INDEX('nav master'!$C:$C, MATCH(B7091, 'nav master'!$B:$B, 0)), "")</f>
        <v>ULIF08028/02/25DynamicFnd101</v>
      </c>
      <c r="E7091" s="8" t="s">
        <v>273</v>
      </c>
      <c r="F7091" s="8" t="s">
        <v>2741</v>
      </c>
    </row>
    <row r="7092" spans="1:6" ht="60" x14ac:dyDescent="0.25">
      <c r="A7092" s="8" t="s">
        <v>125</v>
      </c>
      <c r="B7092" s="8" t="s">
        <v>64</v>
      </c>
      <c r="C7092" s="8" t="str">
        <f>IFERROR(_xlfn.XLOOKUP(TRIM(B7092),Lookup!$B$2:$B$1000,Lookup!$C$2:$C$1000),"")</f>
        <v>Hybrid</v>
      </c>
      <c r="D7092" s="8" t="str">
        <f>IFERROR(INDEX('nav master'!$C:$C, MATCH(B7092, 'nav master'!$B:$B, 0)), "")</f>
        <v>ULIF08028/02/25DynamicFnd101</v>
      </c>
      <c r="E7092" s="8" t="s">
        <v>275</v>
      </c>
      <c r="F7092" s="8" t="s">
        <v>2742</v>
      </c>
    </row>
    <row r="7093" spans="1:6" ht="60" x14ac:dyDescent="0.25">
      <c r="A7093" s="8" t="s">
        <v>125</v>
      </c>
      <c r="B7093" s="8" t="s">
        <v>64</v>
      </c>
      <c r="C7093" s="8" t="str">
        <f>IFERROR(_xlfn.XLOOKUP(TRIM(B7093),Lookup!$B$2:$B$1000,Lookup!$C$2:$C$1000),"")</f>
        <v>Hybrid</v>
      </c>
      <c r="D7093" s="8" t="str">
        <f>IFERROR(INDEX('nav master'!$C:$C, MATCH(B7093, 'nav master'!$B:$B, 0)), "")</f>
        <v>ULIF08028/02/25DynamicFnd101</v>
      </c>
      <c r="E7093" s="8" t="s">
        <v>277</v>
      </c>
      <c r="F7093" s="8" t="s">
        <v>2743</v>
      </c>
    </row>
    <row r="7094" spans="1:6" ht="60" x14ac:dyDescent="0.25">
      <c r="A7094" s="8" t="s">
        <v>125</v>
      </c>
      <c r="B7094" s="8" t="s">
        <v>64</v>
      </c>
      <c r="C7094" s="8" t="str">
        <f>IFERROR(_xlfn.XLOOKUP(TRIM(B7094),Lookup!$B$2:$B$1000,Lookup!$C$2:$C$1000),"")</f>
        <v>Hybrid</v>
      </c>
      <c r="D7094" s="8" t="str">
        <f>IFERROR(INDEX('nav master'!$C:$C, MATCH(B7094, 'nav master'!$B:$B, 0)), "")</f>
        <v>ULIF08028/02/25DynamicFnd101</v>
      </c>
      <c r="E7094" s="8" t="s">
        <v>279</v>
      </c>
      <c r="F7094" s="8" t="s">
        <v>2744</v>
      </c>
    </row>
    <row r="7095" spans="1:6" ht="60" x14ac:dyDescent="0.25">
      <c r="A7095" s="8" t="s">
        <v>125</v>
      </c>
      <c r="B7095" s="8" t="s">
        <v>64</v>
      </c>
      <c r="C7095" s="8" t="str">
        <f>IFERROR(_xlfn.XLOOKUP(TRIM(B7095),Lookup!$B$2:$B$1000,Lookup!$C$2:$C$1000),"")</f>
        <v>Hybrid</v>
      </c>
      <c r="D7095" s="8" t="str">
        <f>IFERROR(INDEX('nav master'!$C:$C, MATCH(B7095, 'nav master'!$B:$B, 0)), "")</f>
        <v>ULIF08028/02/25DynamicFnd101</v>
      </c>
      <c r="E7095" s="8" t="s">
        <v>281</v>
      </c>
      <c r="F7095" s="8" t="s">
        <v>2745</v>
      </c>
    </row>
    <row r="7096" spans="1:6" ht="60" x14ac:dyDescent="0.25">
      <c r="A7096" s="8" t="s">
        <v>125</v>
      </c>
      <c r="B7096" s="8" t="s">
        <v>64</v>
      </c>
      <c r="C7096" s="8" t="str">
        <f>IFERROR(_xlfn.XLOOKUP(TRIM(B7096),Lookup!$B$2:$B$1000,Lookup!$C$2:$C$1000),"")</f>
        <v>Hybrid</v>
      </c>
      <c r="D7096" s="8" t="str">
        <f>IFERROR(INDEX('nav master'!$C:$C, MATCH(B7096, 'nav master'!$B:$B, 0)), "")</f>
        <v>ULIF08028/02/25DynamicFnd101</v>
      </c>
      <c r="E7096" s="8" t="s">
        <v>283</v>
      </c>
      <c r="F7096" s="8" t="s">
        <v>2746</v>
      </c>
    </row>
    <row r="7097" spans="1:6" ht="60" x14ac:dyDescent="0.25">
      <c r="A7097" s="8" t="s">
        <v>125</v>
      </c>
      <c r="B7097" s="8" t="s">
        <v>64</v>
      </c>
      <c r="C7097" s="8" t="str">
        <f>IFERROR(_xlfn.XLOOKUP(TRIM(B7097),Lookup!$B$2:$B$1000,Lookup!$C$2:$C$1000),"")</f>
        <v>Hybrid</v>
      </c>
      <c r="D7097" s="8" t="str">
        <f>IFERROR(INDEX('nav master'!$C:$C, MATCH(B7097, 'nav master'!$B:$B, 0)), "")</f>
        <v>ULIF08028/02/25DynamicFnd101</v>
      </c>
      <c r="E7097" s="8" t="s">
        <v>285</v>
      </c>
      <c r="F7097" s="8" t="s">
        <v>2747</v>
      </c>
    </row>
    <row r="7098" spans="1:6" ht="60" x14ac:dyDescent="0.25">
      <c r="A7098" s="8" t="s">
        <v>125</v>
      </c>
      <c r="B7098" s="8" t="s">
        <v>64</v>
      </c>
      <c r="C7098" s="8" t="str">
        <f>IFERROR(_xlfn.XLOOKUP(TRIM(B7098),Lookup!$B$2:$B$1000,Lookup!$C$2:$C$1000),"")</f>
        <v>Hybrid</v>
      </c>
      <c r="D7098" s="8" t="str">
        <f>IFERROR(INDEX('nav master'!$C:$C, MATCH(B7098, 'nav master'!$B:$B, 0)), "")</f>
        <v>ULIF08028/02/25DynamicFnd101</v>
      </c>
      <c r="E7098" s="8" t="s">
        <v>287</v>
      </c>
      <c r="F7098" s="8" t="s">
        <v>2748</v>
      </c>
    </row>
    <row r="7099" spans="1:6" ht="60" x14ac:dyDescent="0.25">
      <c r="A7099" s="8" t="s">
        <v>125</v>
      </c>
      <c r="B7099" s="8" t="s">
        <v>64</v>
      </c>
      <c r="C7099" s="8" t="str">
        <f>IFERROR(_xlfn.XLOOKUP(TRIM(B7099),Lookup!$B$2:$B$1000,Lookup!$C$2:$C$1000),"")</f>
        <v>Hybrid</v>
      </c>
      <c r="D7099" s="8" t="str">
        <f>IFERROR(INDEX('nav master'!$C:$C, MATCH(B7099, 'nav master'!$B:$B, 0)), "")</f>
        <v>ULIF08028/02/25DynamicFnd101</v>
      </c>
      <c r="E7099" s="8" t="s">
        <v>289</v>
      </c>
      <c r="F7099" s="8" t="s">
        <v>2749</v>
      </c>
    </row>
    <row r="7100" spans="1:6" ht="60" x14ac:dyDescent="0.25">
      <c r="A7100" s="8" t="s">
        <v>125</v>
      </c>
      <c r="B7100" s="8" t="s">
        <v>64</v>
      </c>
      <c r="C7100" s="8" t="str">
        <f>IFERROR(_xlfn.XLOOKUP(TRIM(B7100),Lookup!$B$2:$B$1000,Lookup!$C$2:$C$1000),"")</f>
        <v>Hybrid</v>
      </c>
      <c r="D7100" s="8" t="str">
        <f>IFERROR(INDEX('nav master'!$C:$C, MATCH(B7100, 'nav master'!$B:$B, 0)), "")</f>
        <v>ULIF08028/02/25DynamicFnd101</v>
      </c>
      <c r="E7100" s="8" t="s">
        <v>291</v>
      </c>
      <c r="F7100" s="8" t="s">
        <v>2750</v>
      </c>
    </row>
    <row r="7101" spans="1:6" ht="60" x14ac:dyDescent="0.25">
      <c r="A7101" s="8" t="s">
        <v>125</v>
      </c>
      <c r="B7101" s="8" t="s">
        <v>64</v>
      </c>
      <c r="C7101" s="8" t="str">
        <f>IFERROR(_xlfn.XLOOKUP(TRIM(B7101),Lookup!$B$2:$B$1000,Lookup!$C$2:$C$1000),"")</f>
        <v>Hybrid</v>
      </c>
      <c r="D7101" s="8" t="str">
        <f>IFERROR(INDEX('nav master'!$C:$C, MATCH(B7101, 'nav master'!$B:$B, 0)), "")</f>
        <v>ULIF08028/02/25DynamicFnd101</v>
      </c>
      <c r="E7101" s="8" t="s">
        <v>293</v>
      </c>
      <c r="F7101" s="8" t="s">
        <v>2751</v>
      </c>
    </row>
    <row r="7102" spans="1:6" ht="60" x14ac:dyDescent="0.25">
      <c r="A7102" s="8" t="s">
        <v>125</v>
      </c>
      <c r="B7102" s="8" t="s">
        <v>64</v>
      </c>
      <c r="C7102" s="8" t="str">
        <f>IFERROR(_xlfn.XLOOKUP(TRIM(B7102),Lookup!$B$2:$B$1000,Lookup!$C$2:$C$1000),"")</f>
        <v>Hybrid</v>
      </c>
      <c r="D7102" s="8" t="str">
        <f>IFERROR(INDEX('nav master'!$C:$C, MATCH(B7102, 'nav master'!$B:$B, 0)), "")</f>
        <v>ULIF08028/02/25DynamicFnd101</v>
      </c>
      <c r="E7102" s="8" t="s">
        <v>295</v>
      </c>
      <c r="F7102" s="8" t="s">
        <v>2752</v>
      </c>
    </row>
    <row r="7103" spans="1:6" ht="60" x14ac:dyDescent="0.25">
      <c r="A7103" s="8" t="s">
        <v>125</v>
      </c>
      <c r="B7103" s="8" t="s">
        <v>64</v>
      </c>
      <c r="C7103" s="8" t="str">
        <f>IFERROR(_xlfn.XLOOKUP(TRIM(B7103),Lookup!$B$2:$B$1000,Lookup!$C$2:$C$1000),"")</f>
        <v>Hybrid</v>
      </c>
      <c r="D7103" s="8" t="str">
        <f>IFERROR(INDEX('nav master'!$C:$C, MATCH(B7103, 'nav master'!$B:$B, 0)), "")</f>
        <v>ULIF08028/02/25DynamicFnd101</v>
      </c>
      <c r="E7103" s="8" t="s">
        <v>297</v>
      </c>
      <c r="F7103" s="8" t="s">
        <v>2753</v>
      </c>
    </row>
    <row r="7104" spans="1:6" ht="60" x14ac:dyDescent="0.25">
      <c r="A7104" s="8" t="s">
        <v>125</v>
      </c>
      <c r="B7104" s="8" t="s">
        <v>64</v>
      </c>
      <c r="C7104" s="8" t="str">
        <f>IFERROR(_xlfn.XLOOKUP(TRIM(B7104),Lookup!$B$2:$B$1000,Lookup!$C$2:$C$1000),"")</f>
        <v>Hybrid</v>
      </c>
      <c r="D7104" s="8" t="str">
        <f>IFERROR(INDEX('nav master'!$C:$C, MATCH(B7104, 'nav master'!$B:$B, 0)), "")</f>
        <v>ULIF08028/02/25DynamicFnd101</v>
      </c>
      <c r="E7104" s="8" t="s">
        <v>299</v>
      </c>
      <c r="F7104" s="8" t="s">
        <v>2754</v>
      </c>
    </row>
    <row r="7105" spans="1:6" ht="60" x14ac:dyDescent="0.25">
      <c r="A7105" s="8" t="s">
        <v>125</v>
      </c>
      <c r="B7105" s="8" t="s">
        <v>64</v>
      </c>
      <c r="C7105" s="8" t="str">
        <f>IFERROR(_xlfn.XLOOKUP(TRIM(B7105),Lookup!$B$2:$B$1000,Lookup!$C$2:$C$1000),"")</f>
        <v>Hybrid</v>
      </c>
      <c r="D7105" s="8" t="str">
        <f>IFERROR(INDEX('nav master'!$C:$C, MATCH(B7105, 'nav master'!$B:$B, 0)), "")</f>
        <v>ULIF08028/02/25DynamicFnd101</v>
      </c>
      <c r="E7105" s="8" t="s">
        <v>301</v>
      </c>
      <c r="F7105" s="8" t="s">
        <v>2755</v>
      </c>
    </row>
    <row r="7106" spans="1:6" ht="60" x14ac:dyDescent="0.25">
      <c r="A7106" s="8" t="s">
        <v>125</v>
      </c>
      <c r="B7106" s="8" t="s">
        <v>64</v>
      </c>
      <c r="C7106" s="8" t="str">
        <f>IFERROR(_xlfn.XLOOKUP(TRIM(B7106),Lookup!$B$2:$B$1000,Lookup!$C$2:$C$1000),"")</f>
        <v>Hybrid</v>
      </c>
      <c r="D7106" s="8" t="str">
        <f>IFERROR(INDEX('nav master'!$C:$C, MATCH(B7106, 'nav master'!$B:$B, 0)), "")</f>
        <v>ULIF08028/02/25DynamicFnd101</v>
      </c>
      <c r="E7106" s="8" t="s">
        <v>303</v>
      </c>
      <c r="F7106" s="8" t="s">
        <v>2756</v>
      </c>
    </row>
    <row r="7107" spans="1:6" ht="60" x14ac:dyDescent="0.25">
      <c r="A7107" s="8" t="s">
        <v>125</v>
      </c>
      <c r="B7107" s="8" t="s">
        <v>64</v>
      </c>
      <c r="C7107" s="8" t="str">
        <f>IFERROR(_xlfn.XLOOKUP(TRIM(B7107),Lookup!$B$2:$B$1000,Lookup!$C$2:$C$1000),"")</f>
        <v>Hybrid</v>
      </c>
      <c r="D7107" s="8" t="str">
        <f>IFERROR(INDEX('nav master'!$C:$C, MATCH(B7107, 'nav master'!$B:$B, 0)), "")</f>
        <v>ULIF08028/02/25DynamicFnd101</v>
      </c>
      <c r="E7107" s="8" t="s">
        <v>305</v>
      </c>
      <c r="F7107" s="8" t="s">
        <v>2757</v>
      </c>
    </row>
    <row r="7108" spans="1:6" ht="60" x14ac:dyDescent="0.25">
      <c r="A7108" s="8" t="s">
        <v>125</v>
      </c>
      <c r="B7108" s="8" t="s">
        <v>64</v>
      </c>
      <c r="C7108" s="8" t="str">
        <f>IFERROR(_xlfn.XLOOKUP(TRIM(B7108),Lookup!$B$2:$B$1000,Lookup!$C$2:$C$1000),"")</f>
        <v>Hybrid</v>
      </c>
      <c r="D7108" s="8" t="str">
        <f>IFERROR(INDEX('nav master'!$C:$C, MATCH(B7108, 'nav master'!$B:$B, 0)), "")</f>
        <v>ULIF08028/02/25DynamicFnd101</v>
      </c>
      <c r="E7108" s="8" t="s">
        <v>307</v>
      </c>
      <c r="F7108" s="8" t="s">
        <v>2758</v>
      </c>
    </row>
    <row r="7109" spans="1:6" ht="60" x14ac:dyDescent="0.25">
      <c r="A7109" s="8" t="s">
        <v>125</v>
      </c>
      <c r="B7109" s="8" t="s">
        <v>64</v>
      </c>
      <c r="C7109" s="8" t="str">
        <f>IFERROR(_xlfn.XLOOKUP(TRIM(B7109),Lookup!$B$2:$B$1000,Lookup!$C$2:$C$1000),"")</f>
        <v>Hybrid</v>
      </c>
      <c r="D7109" s="8" t="str">
        <f>IFERROR(INDEX('nav master'!$C:$C, MATCH(B7109, 'nav master'!$B:$B, 0)), "")</f>
        <v>ULIF08028/02/25DynamicFnd101</v>
      </c>
      <c r="E7109" s="8" t="s">
        <v>309</v>
      </c>
      <c r="F7109" s="8" t="s">
        <v>2759</v>
      </c>
    </row>
    <row r="7110" spans="1:6" ht="60" x14ac:dyDescent="0.25">
      <c r="A7110" s="8" t="s">
        <v>125</v>
      </c>
      <c r="B7110" s="8" t="s">
        <v>64</v>
      </c>
      <c r="C7110" s="8" t="str">
        <f>IFERROR(_xlfn.XLOOKUP(TRIM(B7110),Lookup!$B$2:$B$1000,Lookup!$C$2:$C$1000),"")</f>
        <v>Hybrid</v>
      </c>
      <c r="D7110" s="8" t="str">
        <f>IFERROR(INDEX('nav master'!$C:$C, MATCH(B7110, 'nav master'!$B:$B, 0)), "")</f>
        <v>ULIF08028/02/25DynamicFnd101</v>
      </c>
      <c r="E7110" s="8" t="s">
        <v>311</v>
      </c>
      <c r="F7110" s="8" t="s">
        <v>2760</v>
      </c>
    </row>
    <row r="7111" spans="1:6" ht="60" x14ac:dyDescent="0.25">
      <c r="A7111" s="8" t="s">
        <v>125</v>
      </c>
      <c r="B7111" s="8" t="s">
        <v>64</v>
      </c>
      <c r="C7111" s="8" t="str">
        <f>IFERROR(_xlfn.XLOOKUP(TRIM(B7111),Lookup!$B$2:$B$1000,Lookup!$C$2:$C$1000),"")</f>
        <v>Hybrid</v>
      </c>
      <c r="D7111" s="8" t="str">
        <f>IFERROR(INDEX('nav master'!$C:$C, MATCH(B7111, 'nav master'!$B:$B, 0)), "")</f>
        <v>ULIF08028/02/25DynamicFnd101</v>
      </c>
      <c r="E7111" s="8" t="s">
        <v>313</v>
      </c>
      <c r="F7111" s="8" t="s">
        <v>2761</v>
      </c>
    </row>
    <row r="7112" spans="1:6" ht="60" x14ac:dyDescent="0.25">
      <c r="A7112" s="8" t="s">
        <v>125</v>
      </c>
      <c r="B7112" s="8" t="s">
        <v>64</v>
      </c>
      <c r="C7112" s="8" t="str">
        <f>IFERROR(_xlfn.XLOOKUP(TRIM(B7112),Lookup!$B$2:$B$1000,Lookup!$C$2:$C$1000),"")</f>
        <v>Hybrid</v>
      </c>
      <c r="D7112" s="8" t="str">
        <f>IFERROR(INDEX('nav master'!$C:$C, MATCH(B7112, 'nav master'!$B:$B, 0)), "")</f>
        <v>ULIF08028/02/25DynamicFnd101</v>
      </c>
      <c r="E7112" s="8" t="s">
        <v>315</v>
      </c>
      <c r="F7112" s="8" t="s">
        <v>2762</v>
      </c>
    </row>
    <row r="7113" spans="1:6" ht="60" x14ac:dyDescent="0.25">
      <c r="A7113" s="8" t="s">
        <v>125</v>
      </c>
      <c r="B7113" s="8" t="s">
        <v>64</v>
      </c>
      <c r="C7113" s="8" t="str">
        <f>IFERROR(_xlfn.XLOOKUP(TRIM(B7113),Lookup!$B$2:$B$1000,Lookup!$C$2:$C$1000),"")</f>
        <v>Hybrid</v>
      </c>
      <c r="D7113" s="8" t="str">
        <f>IFERROR(INDEX('nav master'!$C:$C, MATCH(B7113, 'nav master'!$B:$B, 0)), "")</f>
        <v>ULIF08028/02/25DynamicFnd101</v>
      </c>
      <c r="E7113" s="8" t="s">
        <v>317</v>
      </c>
      <c r="F7113" s="8" t="s">
        <v>2763</v>
      </c>
    </row>
    <row r="7114" spans="1:6" ht="60" x14ac:dyDescent="0.25">
      <c r="A7114" s="8" t="s">
        <v>125</v>
      </c>
      <c r="B7114" s="8" t="s">
        <v>64</v>
      </c>
      <c r="C7114" s="8" t="str">
        <f>IFERROR(_xlfn.XLOOKUP(TRIM(B7114),Lookup!$B$2:$B$1000,Lookup!$C$2:$C$1000),"")</f>
        <v>Hybrid</v>
      </c>
      <c r="D7114" s="8" t="str">
        <f>IFERROR(INDEX('nav master'!$C:$C, MATCH(B7114, 'nav master'!$B:$B, 0)), "")</f>
        <v>ULIF08028/02/25DynamicFnd101</v>
      </c>
      <c r="E7114" s="8" t="s">
        <v>319</v>
      </c>
      <c r="F7114" s="8" t="s">
        <v>2764</v>
      </c>
    </row>
    <row r="7115" spans="1:6" ht="60" x14ac:dyDescent="0.25">
      <c r="A7115" s="8" t="s">
        <v>125</v>
      </c>
      <c r="B7115" s="8" t="s">
        <v>64</v>
      </c>
      <c r="C7115" s="8" t="str">
        <f>IFERROR(_xlfn.XLOOKUP(TRIM(B7115),Lookup!$B$2:$B$1000,Lookup!$C$2:$C$1000),"")</f>
        <v>Hybrid</v>
      </c>
      <c r="D7115" s="8" t="str">
        <f>IFERROR(INDEX('nav master'!$C:$C, MATCH(B7115, 'nav master'!$B:$B, 0)), "")</f>
        <v>ULIF08028/02/25DynamicFnd101</v>
      </c>
      <c r="E7115" s="8" t="s">
        <v>321</v>
      </c>
      <c r="F7115" s="8" t="s">
        <v>2765</v>
      </c>
    </row>
    <row r="7116" spans="1:6" ht="60" x14ac:dyDescent="0.25">
      <c r="A7116" s="8" t="s">
        <v>125</v>
      </c>
      <c r="B7116" s="8" t="s">
        <v>64</v>
      </c>
      <c r="C7116" s="8" t="str">
        <f>IFERROR(_xlfn.XLOOKUP(TRIM(B7116),Lookup!$B$2:$B$1000,Lookup!$C$2:$C$1000),"")</f>
        <v>Hybrid</v>
      </c>
      <c r="D7116" s="8" t="str">
        <f>IFERROR(INDEX('nav master'!$C:$C, MATCH(B7116, 'nav master'!$B:$B, 0)), "")</f>
        <v>ULIF08028/02/25DynamicFnd101</v>
      </c>
      <c r="E7116" s="8" t="s">
        <v>323</v>
      </c>
      <c r="F7116" s="8" t="s">
        <v>2766</v>
      </c>
    </row>
    <row r="7117" spans="1:6" ht="60" x14ac:dyDescent="0.25">
      <c r="A7117" s="8" t="s">
        <v>125</v>
      </c>
      <c r="B7117" s="8" t="s">
        <v>64</v>
      </c>
      <c r="C7117" s="8" t="str">
        <f>IFERROR(_xlfn.XLOOKUP(TRIM(B7117),Lookup!$B$2:$B$1000,Lookup!$C$2:$C$1000),"")</f>
        <v>Hybrid</v>
      </c>
      <c r="D7117" s="8" t="str">
        <f>IFERROR(INDEX('nav master'!$C:$C, MATCH(B7117, 'nav master'!$B:$B, 0)), "")</f>
        <v>ULIF08028/02/25DynamicFnd101</v>
      </c>
      <c r="E7117" s="8" t="s">
        <v>325</v>
      </c>
      <c r="F7117" s="8" t="s">
        <v>2767</v>
      </c>
    </row>
    <row r="7118" spans="1:6" ht="60" x14ac:dyDescent="0.25">
      <c r="A7118" s="8" t="s">
        <v>125</v>
      </c>
      <c r="B7118" s="8" t="s">
        <v>64</v>
      </c>
      <c r="C7118" s="8" t="str">
        <f>IFERROR(_xlfn.XLOOKUP(TRIM(B7118),Lookup!$B$2:$B$1000,Lookup!$C$2:$C$1000),"")</f>
        <v>Hybrid</v>
      </c>
      <c r="D7118" s="8" t="str">
        <f>IFERROR(INDEX('nav master'!$C:$C, MATCH(B7118, 'nav master'!$B:$B, 0)), "")</f>
        <v>ULIF08028/02/25DynamicFnd101</v>
      </c>
      <c r="E7118" s="8" t="s">
        <v>327</v>
      </c>
      <c r="F7118" s="8" t="s">
        <v>2768</v>
      </c>
    </row>
    <row r="7119" spans="1:6" ht="60" x14ac:dyDescent="0.25">
      <c r="A7119" s="8" t="s">
        <v>125</v>
      </c>
      <c r="B7119" s="8" t="s">
        <v>64</v>
      </c>
      <c r="C7119" s="8" t="str">
        <f>IFERROR(_xlfn.XLOOKUP(TRIM(B7119),Lookup!$B$2:$B$1000,Lookup!$C$2:$C$1000),"")</f>
        <v>Hybrid</v>
      </c>
      <c r="D7119" s="8" t="str">
        <f>IFERROR(INDEX('nav master'!$C:$C, MATCH(B7119, 'nav master'!$B:$B, 0)), "")</f>
        <v>ULIF08028/02/25DynamicFnd101</v>
      </c>
      <c r="E7119" s="8" t="s">
        <v>329</v>
      </c>
      <c r="F7119" s="8" t="s">
        <v>2769</v>
      </c>
    </row>
    <row r="7120" spans="1:6" ht="60" x14ac:dyDescent="0.25">
      <c r="A7120" s="8" t="s">
        <v>125</v>
      </c>
      <c r="B7120" s="8" t="s">
        <v>64</v>
      </c>
      <c r="C7120" s="8" t="str">
        <f>IFERROR(_xlfn.XLOOKUP(TRIM(B7120),Lookup!$B$2:$B$1000,Lookup!$C$2:$C$1000),"")</f>
        <v>Hybrid</v>
      </c>
      <c r="D7120" s="8" t="str">
        <f>IFERROR(INDEX('nav master'!$C:$C, MATCH(B7120, 'nav master'!$B:$B, 0)), "")</f>
        <v>ULIF08028/02/25DynamicFnd101</v>
      </c>
      <c r="E7120" s="8" t="s">
        <v>331</v>
      </c>
      <c r="F7120" s="8" t="s">
        <v>2770</v>
      </c>
    </row>
    <row r="7121" spans="1:6" ht="60" x14ac:dyDescent="0.25">
      <c r="A7121" s="8" t="s">
        <v>125</v>
      </c>
      <c r="B7121" s="8" t="s">
        <v>64</v>
      </c>
      <c r="C7121" s="8" t="str">
        <f>IFERROR(_xlfn.XLOOKUP(TRIM(B7121),Lookup!$B$2:$B$1000,Lookup!$C$2:$C$1000),"")</f>
        <v>Hybrid</v>
      </c>
      <c r="D7121" s="8" t="str">
        <f>IFERROR(INDEX('nav master'!$C:$C, MATCH(B7121, 'nav master'!$B:$B, 0)), "")</f>
        <v>ULIF08028/02/25DynamicFnd101</v>
      </c>
      <c r="E7121" s="8" t="s">
        <v>333</v>
      </c>
      <c r="F7121" s="8" t="s">
        <v>2771</v>
      </c>
    </row>
    <row r="7122" spans="1:6" ht="60" x14ac:dyDescent="0.25">
      <c r="A7122" s="8" t="s">
        <v>125</v>
      </c>
      <c r="B7122" s="8" t="s">
        <v>64</v>
      </c>
      <c r="C7122" s="8" t="str">
        <f>IFERROR(_xlfn.XLOOKUP(TRIM(B7122),Lookup!$B$2:$B$1000,Lookup!$C$2:$C$1000),"")</f>
        <v>Hybrid</v>
      </c>
      <c r="D7122" s="8" t="str">
        <f>IFERROR(INDEX('nav master'!$C:$C, MATCH(B7122, 'nav master'!$B:$B, 0)), "")</f>
        <v>ULIF08028/02/25DynamicFnd101</v>
      </c>
      <c r="E7122" s="8" t="s">
        <v>335</v>
      </c>
      <c r="F7122" s="8" t="s">
        <v>2772</v>
      </c>
    </row>
    <row r="7123" spans="1:6" ht="60" x14ac:dyDescent="0.25">
      <c r="A7123" s="8" t="s">
        <v>125</v>
      </c>
      <c r="B7123" s="8" t="s">
        <v>64</v>
      </c>
      <c r="C7123" s="8" t="str">
        <f>IFERROR(_xlfn.XLOOKUP(TRIM(B7123),Lookup!$B$2:$B$1000,Lookup!$C$2:$C$1000),"")</f>
        <v>Hybrid</v>
      </c>
      <c r="D7123" s="8" t="str">
        <f>IFERROR(INDEX('nav master'!$C:$C, MATCH(B7123, 'nav master'!$B:$B, 0)), "")</f>
        <v>ULIF08028/02/25DynamicFnd101</v>
      </c>
      <c r="E7123" s="8" t="s">
        <v>337</v>
      </c>
      <c r="F7123" s="8" t="s">
        <v>2773</v>
      </c>
    </row>
    <row r="7124" spans="1:6" ht="60" x14ac:dyDescent="0.25">
      <c r="A7124" s="8" t="s">
        <v>125</v>
      </c>
      <c r="B7124" s="8" t="s">
        <v>64</v>
      </c>
      <c r="C7124" s="8" t="str">
        <f>IFERROR(_xlfn.XLOOKUP(TRIM(B7124),Lookup!$B$2:$B$1000,Lookup!$C$2:$C$1000),"")</f>
        <v>Hybrid</v>
      </c>
      <c r="D7124" s="8" t="str">
        <f>IFERROR(INDEX('nav master'!$C:$C, MATCH(B7124, 'nav master'!$B:$B, 0)), "")</f>
        <v>ULIF08028/02/25DynamicFnd101</v>
      </c>
      <c r="E7124" s="8" t="s">
        <v>339</v>
      </c>
      <c r="F7124" s="8" t="s">
        <v>2774</v>
      </c>
    </row>
    <row r="7125" spans="1:6" ht="60" x14ac:dyDescent="0.25">
      <c r="A7125" s="8" t="s">
        <v>125</v>
      </c>
      <c r="B7125" s="8" t="s">
        <v>64</v>
      </c>
      <c r="C7125" s="8" t="str">
        <f>IFERROR(_xlfn.XLOOKUP(TRIM(B7125),Lookup!$B$2:$B$1000,Lookup!$C$2:$C$1000),"")</f>
        <v>Hybrid</v>
      </c>
      <c r="D7125" s="8" t="str">
        <f>IFERROR(INDEX('nav master'!$C:$C, MATCH(B7125, 'nav master'!$B:$B, 0)), "")</f>
        <v>ULIF08028/02/25DynamicFnd101</v>
      </c>
      <c r="E7125" s="8" t="s">
        <v>341</v>
      </c>
      <c r="F7125" s="8" t="s">
        <v>2775</v>
      </c>
    </row>
    <row r="7126" spans="1:6" ht="60" x14ac:dyDescent="0.25">
      <c r="A7126" s="8" t="s">
        <v>125</v>
      </c>
      <c r="B7126" s="8" t="s">
        <v>64</v>
      </c>
      <c r="C7126" s="8" t="str">
        <f>IFERROR(_xlfn.XLOOKUP(TRIM(B7126),Lookup!$B$2:$B$1000,Lookup!$C$2:$C$1000),"")</f>
        <v>Hybrid</v>
      </c>
      <c r="D7126" s="8" t="str">
        <f>IFERROR(INDEX('nav master'!$C:$C, MATCH(B7126, 'nav master'!$B:$B, 0)), "")</f>
        <v>ULIF08028/02/25DynamicFnd101</v>
      </c>
      <c r="E7126" s="8" t="s">
        <v>343</v>
      </c>
      <c r="F7126" s="8" t="s">
        <v>2776</v>
      </c>
    </row>
    <row r="7127" spans="1:6" ht="60" x14ac:dyDescent="0.25">
      <c r="A7127" s="8" t="s">
        <v>125</v>
      </c>
      <c r="B7127" s="8" t="s">
        <v>64</v>
      </c>
      <c r="C7127" s="8" t="str">
        <f>IFERROR(_xlfn.XLOOKUP(TRIM(B7127),Lookup!$B$2:$B$1000,Lookup!$C$2:$C$1000),"")</f>
        <v>Hybrid</v>
      </c>
      <c r="D7127" s="8" t="str">
        <f>IFERROR(INDEX('nav master'!$C:$C, MATCH(B7127, 'nav master'!$B:$B, 0)), "")</f>
        <v>ULIF08028/02/25DynamicFnd101</v>
      </c>
      <c r="E7127" s="8" t="s">
        <v>345</v>
      </c>
      <c r="F7127" s="8" t="s">
        <v>2777</v>
      </c>
    </row>
    <row r="7128" spans="1:6" ht="60" x14ac:dyDescent="0.25">
      <c r="A7128" s="8" t="s">
        <v>125</v>
      </c>
      <c r="B7128" s="8" t="s">
        <v>64</v>
      </c>
      <c r="C7128" s="8" t="str">
        <f>IFERROR(_xlfn.XLOOKUP(TRIM(B7128),Lookup!$B$2:$B$1000,Lookup!$C$2:$C$1000),"")</f>
        <v>Hybrid</v>
      </c>
      <c r="D7128" s="8" t="str">
        <f>IFERROR(INDEX('nav master'!$C:$C, MATCH(B7128, 'nav master'!$B:$B, 0)), "")</f>
        <v>ULIF08028/02/25DynamicFnd101</v>
      </c>
      <c r="E7128" s="8" t="s">
        <v>347</v>
      </c>
      <c r="F7128" s="8" t="s">
        <v>2778</v>
      </c>
    </row>
    <row r="7129" spans="1:6" ht="60" x14ac:dyDescent="0.25">
      <c r="A7129" s="8" t="s">
        <v>125</v>
      </c>
      <c r="B7129" s="8" t="s">
        <v>64</v>
      </c>
      <c r="C7129" s="8" t="str">
        <f>IFERROR(_xlfn.XLOOKUP(TRIM(B7129),Lookup!$B$2:$B$1000,Lookup!$C$2:$C$1000),"")</f>
        <v>Hybrid</v>
      </c>
      <c r="D7129" s="8" t="str">
        <f>IFERROR(INDEX('nav master'!$C:$C, MATCH(B7129, 'nav master'!$B:$B, 0)), "")</f>
        <v>ULIF08028/02/25DynamicFnd101</v>
      </c>
      <c r="E7129" s="8" t="s">
        <v>349</v>
      </c>
      <c r="F7129" s="8" t="s">
        <v>2779</v>
      </c>
    </row>
    <row r="7130" spans="1:6" ht="60" x14ac:dyDescent="0.25">
      <c r="A7130" s="8" t="s">
        <v>125</v>
      </c>
      <c r="B7130" s="8" t="s">
        <v>64</v>
      </c>
      <c r="C7130" s="8" t="str">
        <f>IFERROR(_xlfn.XLOOKUP(TRIM(B7130),Lookup!$B$2:$B$1000,Lookup!$C$2:$C$1000),"")</f>
        <v>Hybrid</v>
      </c>
      <c r="D7130" s="8" t="str">
        <f>IFERROR(INDEX('nav master'!$C:$C, MATCH(B7130, 'nav master'!$B:$B, 0)), "")</f>
        <v>ULIF08028/02/25DynamicFnd101</v>
      </c>
      <c r="E7130" s="8" t="s">
        <v>351</v>
      </c>
      <c r="F7130" s="8" t="s">
        <v>2780</v>
      </c>
    </row>
    <row r="7131" spans="1:6" ht="60" x14ac:dyDescent="0.25">
      <c r="A7131" s="8" t="s">
        <v>125</v>
      </c>
      <c r="B7131" s="8" t="s">
        <v>64</v>
      </c>
      <c r="C7131" s="8" t="str">
        <f>IFERROR(_xlfn.XLOOKUP(TRIM(B7131),Lookup!$B$2:$B$1000,Lookup!$C$2:$C$1000),"")</f>
        <v>Hybrid</v>
      </c>
      <c r="D7131" s="8" t="str">
        <f>IFERROR(INDEX('nav master'!$C:$C, MATCH(B7131, 'nav master'!$B:$B, 0)), "")</f>
        <v>ULIF08028/02/25DynamicFnd101</v>
      </c>
      <c r="E7131" s="8" t="s">
        <v>353</v>
      </c>
      <c r="F7131" s="8" t="s">
        <v>2781</v>
      </c>
    </row>
    <row r="7132" spans="1:6" ht="60" x14ac:dyDescent="0.25">
      <c r="A7132" s="8" t="s">
        <v>125</v>
      </c>
      <c r="B7132" s="8" t="s">
        <v>64</v>
      </c>
      <c r="C7132" s="8" t="str">
        <f>IFERROR(_xlfn.XLOOKUP(TRIM(B7132),Lookup!$B$2:$B$1000,Lookup!$C$2:$C$1000),"")</f>
        <v>Hybrid</v>
      </c>
      <c r="D7132" s="8" t="str">
        <f>IFERROR(INDEX('nav master'!$C:$C, MATCH(B7132, 'nav master'!$B:$B, 0)), "")</f>
        <v>ULIF08028/02/25DynamicFnd101</v>
      </c>
      <c r="E7132" s="8" t="s">
        <v>355</v>
      </c>
      <c r="F7132" s="8" t="s">
        <v>2782</v>
      </c>
    </row>
    <row r="7133" spans="1:6" ht="60" x14ac:dyDescent="0.25">
      <c r="A7133" s="8" t="s">
        <v>125</v>
      </c>
      <c r="B7133" s="8" t="s">
        <v>64</v>
      </c>
      <c r="C7133" s="8" t="str">
        <f>IFERROR(_xlfn.XLOOKUP(TRIM(B7133),Lookup!$B$2:$B$1000,Lookup!$C$2:$C$1000),"")</f>
        <v>Hybrid</v>
      </c>
      <c r="D7133" s="8" t="str">
        <f>IFERROR(INDEX('nav master'!$C:$C, MATCH(B7133, 'nav master'!$B:$B, 0)), "")</f>
        <v>ULIF08028/02/25DynamicFnd101</v>
      </c>
      <c r="E7133" s="8" t="s">
        <v>357</v>
      </c>
      <c r="F7133" s="8" t="s">
        <v>2783</v>
      </c>
    </row>
    <row r="7134" spans="1:6" ht="60" x14ac:dyDescent="0.25">
      <c r="A7134" s="8" t="s">
        <v>125</v>
      </c>
      <c r="B7134" s="8" t="s">
        <v>64</v>
      </c>
      <c r="C7134" s="8" t="str">
        <f>IFERROR(_xlfn.XLOOKUP(TRIM(B7134),Lookup!$B$2:$B$1000,Lookup!$C$2:$C$1000),"")</f>
        <v>Hybrid</v>
      </c>
      <c r="D7134" s="8" t="str">
        <f>IFERROR(INDEX('nav master'!$C:$C, MATCH(B7134, 'nav master'!$B:$B, 0)), "")</f>
        <v>ULIF08028/02/25DynamicFnd101</v>
      </c>
      <c r="E7134" s="8" t="s">
        <v>359</v>
      </c>
      <c r="F7134" s="8" t="s">
        <v>2784</v>
      </c>
    </row>
    <row r="7135" spans="1:6" ht="60" x14ac:dyDescent="0.25">
      <c r="A7135" s="8" t="s">
        <v>125</v>
      </c>
      <c r="B7135" s="8" t="s">
        <v>64</v>
      </c>
      <c r="C7135" s="8" t="str">
        <f>IFERROR(_xlfn.XLOOKUP(TRIM(B7135),Lookup!$B$2:$B$1000,Lookup!$C$2:$C$1000),"")</f>
        <v>Hybrid</v>
      </c>
      <c r="D7135" s="8" t="str">
        <f>IFERROR(INDEX('nav master'!$C:$C, MATCH(B7135, 'nav master'!$B:$B, 0)), "")</f>
        <v>ULIF08028/02/25DynamicFnd101</v>
      </c>
      <c r="E7135" s="8" t="s">
        <v>361</v>
      </c>
      <c r="F7135" s="8" t="s">
        <v>2785</v>
      </c>
    </row>
    <row r="7136" spans="1:6" ht="60" x14ac:dyDescent="0.25">
      <c r="A7136" s="8" t="s">
        <v>125</v>
      </c>
      <c r="B7136" s="8" t="s">
        <v>64</v>
      </c>
      <c r="C7136" s="8" t="str">
        <f>IFERROR(_xlfn.XLOOKUP(TRIM(B7136),Lookup!$B$2:$B$1000,Lookup!$C$2:$C$1000),"")</f>
        <v>Hybrid</v>
      </c>
      <c r="D7136" s="8" t="str">
        <f>IFERROR(INDEX('nav master'!$C:$C, MATCH(B7136, 'nav master'!$B:$B, 0)), "")</f>
        <v>ULIF08028/02/25DynamicFnd101</v>
      </c>
      <c r="E7136" s="8" t="s">
        <v>363</v>
      </c>
      <c r="F7136" s="8" t="s">
        <v>2786</v>
      </c>
    </row>
    <row r="7137" spans="1:6" ht="60" x14ac:dyDescent="0.25">
      <c r="A7137" s="8" t="s">
        <v>125</v>
      </c>
      <c r="B7137" s="8" t="s">
        <v>64</v>
      </c>
      <c r="C7137" s="8" t="str">
        <f>IFERROR(_xlfn.XLOOKUP(TRIM(B7137),Lookup!$B$2:$B$1000,Lookup!$C$2:$C$1000),"")</f>
        <v>Hybrid</v>
      </c>
      <c r="D7137" s="8" t="str">
        <f>IFERROR(INDEX('nav master'!$C:$C, MATCH(B7137, 'nav master'!$B:$B, 0)), "")</f>
        <v>ULIF08028/02/25DynamicFnd101</v>
      </c>
      <c r="E7137" s="8" t="s">
        <v>365</v>
      </c>
      <c r="F7137" s="8" t="s">
        <v>2787</v>
      </c>
    </row>
    <row r="7138" spans="1:6" ht="60" x14ac:dyDescent="0.25">
      <c r="A7138" s="8" t="s">
        <v>125</v>
      </c>
      <c r="B7138" s="8" t="s">
        <v>64</v>
      </c>
      <c r="C7138" s="8" t="str">
        <f>IFERROR(_xlfn.XLOOKUP(TRIM(B7138),Lookup!$B$2:$B$1000,Lookup!$C$2:$C$1000),"")</f>
        <v>Hybrid</v>
      </c>
      <c r="D7138" s="8" t="str">
        <f>IFERROR(INDEX('nav master'!$C:$C, MATCH(B7138, 'nav master'!$B:$B, 0)), "")</f>
        <v>ULIF08028/02/25DynamicFnd101</v>
      </c>
      <c r="E7138" s="8" t="s">
        <v>367</v>
      </c>
      <c r="F7138" s="8" t="s">
        <v>2788</v>
      </c>
    </row>
    <row r="7139" spans="1:6" ht="60" x14ac:dyDescent="0.25">
      <c r="A7139" s="8" t="s">
        <v>125</v>
      </c>
      <c r="B7139" s="8" t="s">
        <v>64</v>
      </c>
      <c r="C7139" s="8" t="str">
        <f>IFERROR(_xlfn.XLOOKUP(TRIM(B7139),Lookup!$B$2:$B$1000,Lookup!$C$2:$C$1000),"")</f>
        <v>Hybrid</v>
      </c>
      <c r="D7139" s="8" t="str">
        <f>IFERROR(INDEX('nav master'!$C:$C, MATCH(B7139, 'nav master'!$B:$B, 0)), "")</f>
        <v>ULIF08028/02/25DynamicFnd101</v>
      </c>
      <c r="E7139" s="8" t="s">
        <v>369</v>
      </c>
      <c r="F7139" s="8" t="s">
        <v>2789</v>
      </c>
    </row>
    <row r="7140" spans="1:6" ht="60" x14ac:dyDescent="0.25">
      <c r="A7140" s="8" t="s">
        <v>125</v>
      </c>
      <c r="B7140" s="8" t="s">
        <v>64</v>
      </c>
      <c r="C7140" s="8" t="str">
        <f>IFERROR(_xlfn.XLOOKUP(TRIM(B7140),Lookup!$B$2:$B$1000,Lookup!$C$2:$C$1000),"")</f>
        <v>Hybrid</v>
      </c>
      <c r="D7140" s="8" t="str">
        <f>IFERROR(INDEX('nav master'!$C:$C, MATCH(B7140, 'nav master'!$B:$B, 0)), "")</f>
        <v>ULIF08028/02/25DynamicFnd101</v>
      </c>
      <c r="E7140" s="8" t="s">
        <v>371</v>
      </c>
      <c r="F7140" s="8" t="s">
        <v>2790</v>
      </c>
    </row>
    <row r="7141" spans="1:6" ht="60" x14ac:dyDescent="0.25">
      <c r="A7141" s="8" t="s">
        <v>125</v>
      </c>
      <c r="B7141" s="8" t="s">
        <v>64</v>
      </c>
      <c r="C7141" s="8" t="str">
        <f>IFERROR(_xlfn.XLOOKUP(TRIM(B7141),Lookup!$B$2:$B$1000,Lookup!$C$2:$C$1000),"")</f>
        <v>Hybrid</v>
      </c>
      <c r="D7141" s="8" t="str">
        <f>IFERROR(INDEX('nav master'!$C:$C, MATCH(B7141, 'nav master'!$B:$B, 0)), "")</f>
        <v>ULIF08028/02/25DynamicFnd101</v>
      </c>
      <c r="E7141" s="8" t="s">
        <v>373</v>
      </c>
      <c r="F7141" s="8" t="s">
        <v>2791</v>
      </c>
    </row>
    <row r="7142" spans="1:6" ht="60" x14ac:dyDescent="0.25">
      <c r="A7142" s="8" t="s">
        <v>125</v>
      </c>
      <c r="B7142" s="8" t="s">
        <v>64</v>
      </c>
      <c r="C7142" s="8" t="str">
        <f>IFERROR(_xlfn.XLOOKUP(TRIM(B7142),Lookup!$B$2:$B$1000,Lookup!$C$2:$C$1000),"")</f>
        <v>Hybrid</v>
      </c>
      <c r="D7142" s="8" t="str">
        <f>IFERROR(INDEX('nav master'!$C:$C, MATCH(B7142, 'nav master'!$B:$B, 0)), "")</f>
        <v>ULIF08028/02/25DynamicFnd101</v>
      </c>
      <c r="E7142" s="8" t="s">
        <v>375</v>
      </c>
      <c r="F7142" s="8" t="s">
        <v>2792</v>
      </c>
    </row>
    <row r="7143" spans="1:6" ht="60" x14ac:dyDescent="0.25">
      <c r="A7143" s="8" t="s">
        <v>125</v>
      </c>
      <c r="B7143" s="8" t="s">
        <v>64</v>
      </c>
      <c r="C7143" s="8" t="str">
        <f>IFERROR(_xlfn.XLOOKUP(TRIM(B7143),Lookup!$B$2:$B$1000,Lookup!$C$2:$C$1000),"")</f>
        <v>Hybrid</v>
      </c>
      <c r="D7143" s="8" t="str">
        <f>IFERROR(INDEX('nav master'!$C:$C, MATCH(B7143, 'nav master'!$B:$B, 0)), "")</f>
        <v>ULIF08028/02/25DynamicFnd101</v>
      </c>
      <c r="E7143" s="8" t="s">
        <v>377</v>
      </c>
      <c r="F7143" s="8" t="s">
        <v>2793</v>
      </c>
    </row>
    <row r="7144" spans="1:6" ht="60" x14ac:dyDescent="0.25">
      <c r="A7144" s="8" t="s">
        <v>125</v>
      </c>
      <c r="B7144" s="8" t="s">
        <v>64</v>
      </c>
      <c r="C7144" s="8" t="str">
        <f>IFERROR(_xlfn.XLOOKUP(TRIM(B7144),Lookup!$B$2:$B$1000,Lookup!$C$2:$C$1000),"")</f>
        <v>Hybrid</v>
      </c>
      <c r="D7144" s="8" t="str">
        <f>IFERROR(INDEX('nav master'!$C:$C, MATCH(B7144, 'nav master'!$B:$B, 0)), "")</f>
        <v>ULIF08028/02/25DynamicFnd101</v>
      </c>
      <c r="E7144" s="8" t="s">
        <v>379</v>
      </c>
      <c r="F7144" s="8" t="s">
        <v>2794</v>
      </c>
    </row>
    <row r="7145" spans="1:6" ht="60" x14ac:dyDescent="0.25">
      <c r="A7145" s="8" t="s">
        <v>125</v>
      </c>
      <c r="B7145" s="8" t="s">
        <v>64</v>
      </c>
      <c r="C7145" s="8" t="str">
        <f>IFERROR(_xlfn.XLOOKUP(TRIM(B7145),Lookup!$B$2:$B$1000,Lookup!$C$2:$C$1000),"")</f>
        <v>Hybrid</v>
      </c>
      <c r="D7145" s="8" t="str">
        <f>IFERROR(INDEX('nav master'!$C:$C, MATCH(B7145, 'nav master'!$B:$B, 0)), "")</f>
        <v>ULIF08028/02/25DynamicFnd101</v>
      </c>
      <c r="E7145" s="8" t="s">
        <v>381</v>
      </c>
      <c r="F7145" s="8" t="s">
        <v>2795</v>
      </c>
    </row>
    <row r="7146" spans="1:6" ht="60" x14ac:dyDescent="0.25">
      <c r="A7146" s="8" t="s">
        <v>125</v>
      </c>
      <c r="B7146" s="8" t="s">
        <v>64</v>
      </c>
      <c r="C7146" s="8" t="str">
        <f>IFERROR(_xlfn.XLOOKUP(TRIM(B7146),Lookup!$B$2:$B$1000,Lookup!$C$2:$C$1000),"")</f>
        <v>Hybrid</v>
      </c>
      <c r="D7146" s="8" t="str">
        <f>IFERROR(INDEX('nav master'!$C:$C, MATCH(B7146, 'nav master'!$B:$B, 0)), "")</f>
        <v>ULIF08028/02/25DynamicFnd101</v>
      </c>
      <c r="E7146" s="8" t="s">
        <v>383</v>
      </c>
      <c r="F7146" s="8" t="s">
        <v>2796</v>
      </c>
    </row>
    <row r="7147" spans="1:6" ht="60" x14ac:dyDescent="0.25">
      <c r="A7147" s="8" t="s">
        <v>125</v>
      </c>
      <c r="B7147" s="8" t="s">
        <v>64</v>
      </c>
      <c r="C7147" s="8" t="str">
        <f>IFERROR(_xlfn.XLOOKUP(TRIM(B7147),Lookup!$B$2:$B$1000,Lookup!$C$2:$C$1000),"")</f>
        <v>Hybrid</v>
      </c>
      <c r="D7147" s="8" t="str">
        <f>IFERROR(INDEX('nav master'!$C:$C, MATCH(B7147, 'nav master'!$B:$B, 0)), "")</f>
        <v>ULIF08028/02/25DynamicFnd101</v>
      </c>
      <c r="E7147" s="8" t="s">
        <v>385</v>
      </c>
      <c r="F7147" s="8" t="s">
        <v>2797</v>
      </c>
    </row>
    <row r="7148" spans="1:6" ht="60" x14ac:dyDescent="0.25">
      <c r="A7148" s="8" t="s">
        <v>125</v>
      </c>
      <c r="B7148" s="8" t="s">
        <v>64</v>
      </c>
      <c r="C7148" s="8" t="str">
        <f>IFERROR(_xlfn.XLOOKUP(TRIM(B7148),Lookup!$B$2:$B$1000,Lookup!$C$2:$C$1000),"")</f>
        <v>Hybrid</v>
      </c>
      <c r="D7148" s="8" t="str">
        <f>IFERROR(INDEX('nav master'!$C:$C, MATCH(B7148, 'nav master'!$B:$B, 0)), "")</f>
        <v>ULIF08028/02/25DynamicFnd101</v>
      </c>
      <c r="E7148" s="8" t="s">
        <v>387</v>
      </c>
      <c r="F7148" s="8" t="s">
        <v>2798</v>
      </c>
    </row>
    <row r="7149" spans="1:6" ht="60" x14ac:dyDescent="0.25">
      <c r="A7149" s="8" t="s">
        <v>125</v>
      </c>
      <c r="B7149" s="8" t="s">
        <v>64</v>
      </c>
      <c r="C7149" s="8" t="str">
        <f>IFERROR(_xlfn.XLOOKUP(TRIM(B7149),Lookup!$B$2:$B$1000,Lookup!$C$2:$C$1000),"")</f>
        <v>Hybrid</v>
      </c>
      <c r="D7149" s="8" t="str">
        <f>IFERROR(INDEX('nav master'!$C:$C, MATCH(B7149, 'nav master'!$B:$B, 0)), "")</f>
        <v>ULIF08028/02/25DynamicFnd101</v>
      </c>
      <c r="E7149" s="8" t="s">
        <v>389</v>
      </c>
      <c r="F7149" s="8" t="s">
        <v>2799</v>
      </c>
    </row>
    <row r="7150" spans="1:6" ht="60" x14ac:dyDescent="0.25">
      <c r="A7150" s="8" t="s">
        <v>125</v>
      </c>
      <c r="B7150" s="8" t="s">
        <v>64</v>
      </c>
      <c r="C7150" s="8" t="str">
        <f>IFERROR(_xlfn.XLOOKUP(TRIM(B7150),Lookup!$B$2:$B$1000,Lookup!$C$2:$C$1000),"")</f>
        <v>Hybrid</v>
      </c>
      <c r="D7150" s="8" t="str">
        <f>IFERROR(INDEX('nav master'!$C:$C, MATCH(B7150, 'nav master'!$B:$B, 0)), "")</f>
        <v>ULIF08028/02/25DynamicFnd101</v>
      </c>
      <c r="E7150" s="8" t="s">
        <v>391</v>
      </c>
      <c r="F7150" s="8" t="s">
        <v>2800</v>
      </c>
    </row>
    <row r="7151" spans="1:6" ht="60" x14ac:dyDescent="0.25">
      <c r="A7151" s="8" t="s">
        <v>125</v>
      </c>
      <c r="B7151" s="8" t="s">
        <v>64</v>
      </c>
      <c r="C7151" s="8" t="str">
        <f>IFERROR(_xlfn.XLOOKUP(TRIM(B7151),Lookup!$B$2:$B$1000,Lookup!$C$2:$C$1000),"")</f>
        <v>Hybrid</v>
      </c>
      <c r="D7151" s="8" t="str">
        <f>IFERROR(INDEX('nav master'!$C:$C, MATCH(B7151, 'nav master'!$B:$B, 0)), "")</f>
        <v>ULIF08028/02/25DynamicFnd101</v>
      </c>
      <c r="E7151" s="8" t="s">
        <v>393</v>
      </c>
      <c r="F7151" s="8" t="s">
        <v>2801</v>
      </c>
    </row>
    <row r="7152" spans="1:6" ht="60" x14ac:dyDescent="0.25">
      <c r="A7152" s="8" t="s">
        <v>125</v>
      </c>
      <c r="B7152" s="8" t="s">
        <v>64</v>
      </c>
      <c r="C7152" s="8" t="str">
        <f>IFERROR(_xlfn.XLOOKUP(TRIM(B7152),Lookup!$B$2:$B$1000,Lookup!$C$2:$C$1000),"")</f>
        <v>Hybrid</v>
      </c>
      <c r="D7152" s="8" t="str">
        <f>IFERROR(INDEX('nav master'!$C:$C, MATCH(B7152, 'nav master'!$B:$B, 0)), "")</f>
        <v>ULIF08028/02/25DynamicFnd101</v>
      </c>
      <c r="E7152" s="8" t="s">
        <v>395</v>
      </c>
      <c r="F7152" s="8" t="s">
        <v>2802</v>
      </c>
    </row>
    <row r="7153" spans="1:6" ht="60" x14ac:dyDescent="0.25">
      <c r="A7153" s="8" t="s">
        <v>125</v>
      </c>
      <c r="B7153" s="8" t="s">
        <v>64</v>
      </c>
      <c r="C7153" s="8" t="str">
        <f>IFERROR(_xlfn.XLOOKUP(TRIM(B7153),Lookup!$B$2:$B$1000,Lookup!$C$2:$C$1000),"")</f>
        <v>Hybrid</v>
      </c>
      <c r="D7153" s="8" t="str">
        <f>IFERROR(INDEX('nav master'!$C:$C, MATCH(B7153, 'nav master'!$B:$B, 0)), "")</f>
        <v>ULIF08028/02/25DynamicFnd101</v>
      </c>
      <c r="E7153" s="8" t="s">
        <v>397</v>
      </c>
      <c r="F7153" s="8" t="s">
        <v>2803</v>
      </c>
    </row>
    <row r="7154" spans="1:6" ht="60" x14ac:dyDescent="0.25">
      <c r="A7154" s="8" t="s">
        <v>125</v>
      </c>
      <c r="B7154" s="8" t="s">
        <v>64</v>
      </c>
      <c r="C7154" s="8" t="str">
        <f>IFERROR(_xlfn.XLOOKUP(TRIM(B7154),Lookup!$B$2:$B$1000,Lookup!$C$2:$C$1000),"")</f>
        <v>Hybrid</v>
      </c>
      <c r="D7154" s="8" t="str">
        <f>IFERROR(INDEX('nav master'!$C:$C, MATCH(B7154, 'nav master'!$B:$B, 0)), "")</f>
        <v>ULIF08028/02/25DynamicFnd101</v>
      </c>
      <c r="E7154" s="8" t="s">
        <v>399</v>
      </c>
      <c r="F7154" s="8" t="s">
        <v>2804</v>
      </c>
    </row>
    <row r="7155" spans="1:6" ht="60" x14ac:dyDescent="0.25">
      <c r="A7155" s="8" t="s">
        <v>125</v>
      </c>
      <c r="B7155" s="8" t="s">
        <v>64</v>
      </c>
      <c r="C7155" s="8" t="str">
        <f>IFERROR(_xlfn.XLOOKUP(TRIM(B7155),Lookup!$B$2:$B$1000,Lookup!$C$2:$C$1000),"")</f>
        <v>Hybrid</v>
      </c>
      <c r="D7155" s="8" t="str">
        <f>IFERROR(INDEX('nav master'!$C:$C, MATCH(B7155, 'nav master'!$B:$B, 0)), "")</f>
        <v>ULIF08028/02/25DynamicFnd101</v>
      </c>
      <c r="E7155" s="8" t="s">
        <v>401</v>
      </c>
      <c r="F7155" s="8" t="s">
        <v>2805</v>
      </c>
    </row>
    <row r="7156" spans="1:6" ht="60" x14ac:dyDescent="0.25">
      <c r="A7156" s="8" t="s">
        <v>125</v>
      </c>
      <c r="B7156" s="8" t="s">
        <v>64</v>
      </c>
      <c r="C7156" s="8" t="str">
        <f>IFERROR(_xlfn.XLOOKUP(TRIM(B7156),Lookup!$B$2:$B$1000,Lookup!$C$2:$C$1000),"")</f>
        <v>Hybrid</v>
      </c>
      <c r="D7156" s="8" t="str">
        <f>IFERROR(INDEX('nav master'!$C:$C, MATCH(B7156, 'nav master'!$B:$B, 0)), "")</f>
        <v>ULIF08028/02/25DynamicFnd101</v>
      </c>
      <c r="E7156" s="8" t="s">
        <v>403</v>
      </c>
      <c r="F7156" s="8" t="s">
        <v>2806</v>
      </c>
    </row>
    <row r="7157" spans="1:6" ht="60" x14ac:dyDescent="0.25">
      <c r="A7157" s="8" t="s">
        <v>125</v>
      </c>
      <c r="B7157" s="8" t="s">
        <v>64</v>
      </c>
      <c r="C7157" s="8" t="str">
        <f>IFERROR(_xlfn.XLOOKUP(TRIM(B7157),Lookup!$B$2:$B$1000,Lookup!$C$2:$C$1000),"")</f>
        <v>Hybrid</v>
      </c>
      <c r="D7157" s="8" t="str">
        <f>IFERROR(INDEX('nav master'!$C:$C, MATCH(B7157, 'nav master'!$B:$B, 0)), "")</f>
        <v>ULIF08028/02/25DynamicFnd101</v>
      </c>
      <c r="E7157" s="8" t="s">
        <v>405</v>
      </c>
      <c r="F7157" s="8" t="s">
        <v>2807</v>
      </c>
    </row>
    <row r="7158" spans="1:6" ht="60" x14ac:dyDescent="0.25">
      <c r="A7158" s="8" t="s">
        <v>125</v>
      </c>
      <c r="B7158" s="8" t="s">
        <v>64</v>
      </c>
      <c r="C7158" s="8" t="str">
        <f>IFERROR(_xlfn.XLOOKUP(TRIM(B7158),Lookup!$B$2:$B$1000,Lookup!$C$2:$C$1000),"")</f>
        <v>Hybrid</v>
      </c>
      <c r="D7158" s="8" t="str">
        <f>IFERROR(INDEX('nav master'!$C:$C, MATCH(B7158, 'nav master'!$B:$B, 0)), "")</f>
        <v>ULIF08028/02/25DynamicFnd101</v>
      </c>
      <c r="E7158" s="8" t="s">
        <v>407</v>
      </c>
      <c r="F7158" s="8" t="s">
        <v>2808</v>
      </c>
    </row>
    <row r="7159" spans="1:6" ht="60" x14ac:dyDescent="0.25">
      <c r="A7159" s="8" t="s">
        <v>125</v>
      </c>
      <c r="B7159" s="8" t="s">
        <v>64</v>
      </c>
      <c r="C7159" s="8" t="str">
        <f>IFERROR(_xlfn.XLOOKUP(TRIM(B7159),Lookup!$B$2:$B$1000,Lookup!$C$2:$C$1000),"")</f>
        <v>Hybrid</v>
      </c>
      <c r="D7159" s="8" t="str">
        <f>IFERROR(INDEX('nav master'!$C:$C, MATCH(B7159, 'nav master'!$B:$B, 0)), "")</f>
        <v>ULIF08028/02/25DynamicFnd101</v>
      </c>
      <c r="E7159" s="8" t="s">
        <v>409</v>
      </c>
      <c r="F7159" s="8" t="s">
        <v>2809</v>
      </c>
    </row>
    <row r="7160" spans="1:6" ht="60" x14ac:dyDescent="0.25">
      <c r="A7160" s="8" t="s">
        <v>125</v>
      </c>
      <c r="B7160" s="8" t="s">
        <v>64</v>
      </c>
      <c r="C7160" s="8" t="str">
        <f>IFERROR(_xlfn.XLOOKUP(TRIM(B7160),Lookup!$B$2:$B$1000,Lookup!$C$2:$C$1000),"")</f>
        <v>Hybrid</v>
      </c>
      <c r="D7160" s="8" t="str">
        <f>IFERROR(INDEX('nav master'!$C:$C, MATCH(B7160, 'nav master'!$B:$B, 0)), "")</f>
        <v>ULIF08028/02/25DynamicFnd101</v>
      </c>
      <c r="E7160" s="8" t="s">
        <v>411</v>
      </c>
      <c r="F7160" s="8" t="s">
        <v>2810</v>
      </c>
    </row>
    <row r="7161" spans="1:6" ht="60" x14ac:dyDescent="0.25">
      <c r="A7161" s="8" t="s">
        <v>125</v>
      </c>
      <c r="B7161" s="8" t="s">
        <v>64</v>
      </c>
      <c r="C7161" s="8" t="str">
        <f>IFERROR(_xlfn.XLOOKUP(TRIM(B7161),Lookup!$B$2:$B$1000,Lookup!$C$2:$C$1000),"")</f>
        <v>Hybrid</v>
      </c>
      <c r="D7161" s="8" t="str">
        <f>IFERROR(INDEX('nav master'!$C:$C, MATCH(B7161, 'nav master'!$B:$B, 0)), "")</f>
        <v>ULIF08028/02/25DynamicFnd101</v>
      </c>
      <c r="E7161" s="8" t="s">
        <v>413</v>
      </c>
      <c r="F7161" s="8" t="s">
        <v>2811</v>
      </c>
    </row>
    <row r="7162" spans="1:6" ht="60" x14ac:dyDescent="0.25">
      <c r="A7162" s="8" t="s">
        <v>125</v>
      </c>
      <c r="B7162" s="8" t="s">
        <v>64</v>
      </c>
      <c r="C7162" s="8" t="str">
        <f>IFERROR(_xlfn.XLOOKUP(TRIM(B7162),Lookup!$B$2:$B$1000,Lookup!$C$2:$C$1000),"")</f>
        <v>Hybrid</v>
      </c>
      <c r="D7162" s="8" t="str">
        <f>IFERROR(INDEX('nav master'!$C:$C, MATCH(B7162, 'nav master'!$B:$B, 0)), "")</f>
        <v>ULIF08028/02/25DynamicFnd101</v>
      </c>
      <c r="E7162" s="8" t="s">
        <v>415</v>
      </c>
      <c r="F7162" s="8" t="s">
        <v>2812</v>
      </c>
    </row>
    <row r="7163" spans="1:6" ht="60" x14ac:dyDescent="0.25">
      <c r="A7163" s="8" t="s">
        <v>125</v>
      </c>
      <c r="B7163" s="8" t="s">
        <v>64</v>
      </c>
      <c r="C7163" s="8" t="str">
        <f>IFERROR(_xlfn.XLOOKUP(TRIM(B7163),Lookup!$B$2:$B$1000,Lookup!$C$2:$C$1000),"")</f>
        <v>Hybrid</v>
      </c>
      <c r="D7163" s="8" t="str">
        <f>IFERROR(INDEX('nav master'!$C:$C, MATCH(B7163, 'nav master'!$B:$B, 0)), "")</f>
        <v>ULIF08028/02/25DynamicFnd101</v>
      </c>
      <c r="E7163" s="8" t="s">
        <v>417</v>
      </c>
      <c r="F7163" s="8" t="s">
        <v>2813</v>
      </c>
    </row>
    <row r="7164" spans="1:6" ht="60" x14ac:dyDescent="0.25">
      <c r="A7164" s="8" t="s">
        <v>125</v>
      </c>
      <c r="B7164" s="8" t="s">
        <v>64</v>
      </c>
      <c r="C7164" s="8" t="str">
        <f>IFERROR(_xlfn.XLOOKUP(TRIM(B7164),Lookup!$B$2:$B$1000,Lookup!$C$2:$C$1000),"")</f>
        <v>Hybrid</v>
      </c>
      <c r="D7164" s="8" t="str">
        <f>IFERROR(INDEX('nav master'!$C:$C, MATCH(B7164, 'nav master'!$B:$B, 0)), "")</f>
        <v>ULIF08028/02/25DynamicFnd101</v>
      </c>
      <c r="E7164" s="8" t="s">
        <v>419</v>
      </c>
      <c r="F7164" s="8" t="s">
        <v>2814</v>
      </c>
    </row>
    <row r="7165" spans="1:6" ht="60" x14ac:dyDescent="0.25">
      <c r="A7165" s="8" t="s">
        <v>125</v>
      </c>
      <c r="B7165" s="8" t="s">
        <v>64</v>
      </c>
      <c r="C7165" s="8" t="str">
        <f>IFERROR(_xlfn.XLOOKUP(TRIM(B7165),Lookup!$B$2:$B$1000,Lookup!$C$2:$C$1000),"")</f>
        <v>Hybrid</v>
      </c>
      <c r="D7165" s="8" t="str">
        <f>IFERROR(INDEX('nav master'!$C:$C, MATCH(B7165, 'nav master'!$B:$B, 0)), "")</f>
        <v>ULIF08028/02/25DynamicFnd101</v>
      </c>
      <c r="E7165" s="8" t="s">
        <v>421</v>
      </c>
      <c r="F7165" s="8" t="s">
        <v>2815</v>
      </c>
    </row>
    <row r="7166" spans="1:6" ht="60" x14ac:dyDescent="0.25">
      <c r="A7166" s="8" t="s">
        <v>125</v>
      </c>
      <c r="B7166" s="8" t="s">
        <v>64</v>
      </c>
      <c r="C7166" s="8" t="str">
        <f>IFERROR(_xlfn.XLOOKUP(TRIM(B7166),Lookup!$B$2:$B$1000,Lookup!$C$2:$C$1000),"")</f>
        <v>Hybrid</v>
      </c>
      <c r="D7166" s="8" t="str">
        <f>IFERROR(INDEX('nav master'!$C:$C, MATCH(B7166, 'nav master'!$B:$B, 0)), "")</f>
        <v>ULIF08028/02/25DynamicFnd101</v>
      </c>
      <c r="E7166" s="8" t="s">
        <v>423</v>
      </c>
      <c r="F7166" s="8" t="s">
        <v>2816</v>
      </c>
    </row>
    <row r="7167" spans="1:6" ht="60" x14ac:dyDescent="0.25">
      <c r="A7167" s="8" t="s">
        <v>125</v>
      </c>
      <c r="B7167" s="8" t="s">
        <v>64</v>
      </c>
      <c r="C7167" s="8" t="str">
        <f>IFERROR(_xlfn.XLOOKUP(TRIM(B7167),Lookup!$B$2:$B$1000,Lookup!$C$2:$C$1000),"")</f>
        <v>Hybrid</v>
      </c>
      <c r="D7167" s="8" t="str">
        <f>IFERROR(INDEX('nav master'!$C:$C, MATCH(B7167, 'nav master'!$B:$B, 0)), "")</f>
        <v>ULIF08028/02/25DynamicFnd101</v>
      </c>
      <c r="E7167" s="8" t="s">
        <v>425</v>
      </c>
      <c r="F7167" s="8" t="s">
        <v>2817</v>
      </c>
    </row>
    <row r="7168" spans="1:6" ht="60" x14ac:dyDescent="0.25">
      <c r="A7168" s="8" t="s">
        <v>125</v>
      </c>
      <c r="B7168" s="8" t="s">
        <v>64</v>
      </c>
      <c r="C7168" s="8" t="str">
        <f>IFERROR(_xlfn.XLOOKUP(TRIM(B7168),Lookup!$B$2:$B$1000,Lookup!$C$2:$C$1000),"")</f>
        <v>Hybrid</v>
      </c>
      <c r="D7168" s="8" t="str">
        <f>IFERROR(INDEX('nav master'!$C:$C, MATCH(B7168, 'nav master'!$B:$B, 0)), "")</f>
        <v>ULIF08028/02/25DynamicFnd101</v>
      </c>
      <c r="E7168" s="8" t="s">
        <v>427</v>
      </c>
      <c r="F7168" s="8" t="s">
        <v>2818</v>
      </c>
    </row>
    <row r="7169" spans="1:6" ht="60" x14ac:dyDescent="0.25">
      <c r="A7169" s="8" t="s">
        <v>125</v>
      </c>
      <c r="B7169" s="8" t="s">
        <v>64</v>
      </c>
      <c r="C7169" s="8" t="str">
        <f>IFERROR(_xlfn.XLOOKUP(TRIM(B7169),Lookup!$B$2:$B$1000,Lookup!$C$2:$C$1000),"")</f>
        <v>Hybrid</v>
      </c>
      <c r="D7169" s="8" t="str">
        <f>IFERROR(INDEX('nav master'!$C:$C, MATCH(B7169, 'nav master'!$B:$B, 0)), "")</f>
        <v>ULIF08028/02/25DynamicFnd101</v>
      </c>
      <c r="E7169" s="8" t="s">
        <v>429</v>
      </c>
      <c r="F7169" s="8" t="s">
        <v>2819</v>
      </c>
    </row>
    <row r="7170" spans="1:6" ht="60" x14ac:dyDescent="0.25">
      <c r="A7170" s="8" t="s">
        <v>125</v>
      </c>
      <c r="B7170" s="8" t="s">
        <v>64</v>
      </c>
      <c r="C7170" s="8" t="str">
        <f>IFERROR(_xlfn.XLOOKUP(TRIM(B7170),Lookup!$B$2:$B$1000,Lookup!$C$2:$C$1000),"")</f>
        <v>Hybrid</v>
      </c>
      <c r="D7170" s="8" t="str">
        <f>IFERROR(INDEX('nav master'!$C:$C, MATCH(B7170, 'nav master'!$B:$B, 0)), "")</f>
        <v>ULIF08028/02/25DynamicFnd101</v>
      </c>
      <c r="E7170" s="8" t="s">
        <v>431</v>
      </c>
      <c r="F7170" s="8" t="s">
        <v>2820</v>
      </c>
    </row>
    <row r="7171" spans="1:6" ht="60" x14ac:dyDescent="0.25">
      <c r="A7171" s="8" t="s">
        <v>125</v>
      </c>
      <c r="B7171" s="8" t="s">
        <v>64</v>
      </c>
      <c r="C7171" s="8" t="str">
        <f>IFERROR(_xlfn.XLOOKUP(TRIM(B7171),Lookup!$B$2:$B$1000,Lookup!$C$2:$C$1000),"")</f>
        <v>Hybrid</v>
      </c>
      <c r="D7171" s="8" t="str">
        <f>IFERROR(INDEX('nav master'!$C:$C, MATCH(B7171, 'nav master'!$B:$B, 0)), "")</f>
        <v>ULIF08028/02/25DynamicFnd101</v>
      </c>
      <c r="E7171" s="8" t="s">
        <v>433</v>
      </c>
      <c r="F7171" s="8" t="s">
        <v>2821</v>
      </c>
    </row>
    <row r="7172" spans="1:6" ht="60" x14ac:dyDescent="0.25">
      <c r="A7172" s="8" t="s">
        <v>125</v>
      </c>
      <c r="B7172" s="8" t="s">
        <v>64</v>
      </c>
      <c r="C7172" s="8" t="str">
        <f>IFERROR(_xlfn.XLOOKUP(TRIM(B7172),Lookup!$B$2:$B$1000,Lookup!$C$2:$C$1000),"")</f>
        <v>Hybrid</v>
      </c>
      <c r="D7172" s="8" t="str">
        <f>IFERROR(INDEX('nav master'!$C:$C, MATCH(B7172, 'nav master'!$B:$B, 0)), "")</f>
        <v>ULIF08028/02/25DynamicFnd101</v>
      </c>
      <c r="E7172" s="8" t="s">
        <v>435</v>
      </c>
      <c r="F7172" s="8" t="s">
        <v>2822</v>
      </c>
    </row>
    <row r="7173" spans="1:6" ht="60" x14ac:dyDescent="0.25">
      <c r="A7173" s="8" t="s">
        <v>125</v>
      </c>
      <c r="B7173" s="8" t="s">
        <v>64</v>
      </c>
      <c r="C7173" s="8" t="str">
        <f>IFERROR(_xlfn.XLOOKUP(TRIM(B7173),Lookup!$B$2:$B$1000,Lookup!$C$2:$C$1000),"")</f>
        <v>Hybrid</v>
      </c>
      <c r="D7173" s="8" t="str">
        <f>IFERROR(INDEX('nav master'!$C:$C, MATCH(B7173, 'nav master'!$B:$B, 0)), "")</f>
        <v>ULIF08028/02/25DynamicFnd101</v>
      </c>
      <c r="E7173" s="8" t="s">
        <v>437</v>
      </c>
      <c r="F7173" s="8" t="s">
        <v>2823</v>
      </c>
    </row>
    <row r="7174" spans="1:6" ht="60" x14ac:dyDescent="0.25">
      <c r="A7174" s="8" t="s">
        <v>125</v>
      </c>
      <c r="B7174" s="8" t="s">
        <v>64</v>
      </c>
      <c r="C7174" s="8" t="str">
        <f>IFERROR(_xlfn.XLOOKUP(TRIM(B7174),Lookup!$B$2:$B$1000,Lookup!$C$2:$C$1000),"")</f>
        <v>Hybrid</v>
      </c>
      <c r="D7174" s="8" t="str">
        <f>IFERROR(INDEX('nav master'!$C:$C, MATCH(B7174, 'nav master'!$B:$B, 0)), "")</f>
        <v>ULIF08028/02/25DynamicFnd101</v>
      </c>
      <c r="E7174" s="8" t="s">
        <v>439</v>
      </c>
      <c r="F7174" s="8" t="s">
        <v>2824</v>
      </c>
    </row>
    <row r="7175" spans="1:6" ht="60" x14ac:dyDescent="0.25">
      <c r="A7175" s="8" t="s">
        <v>125</v>
      </c>
      <c r="B7175" s="8" t="s">
        <v>64</v>
      </c>
      <c r="C7175" s="8" t="str">
        <f>IFERROR(_xlfn.XLOOKUP(TRIM(B7175),Lookup!$B$2:$B$1000,Lookup!$C$2:$C$1000),"")</f>
        <v>Hybrid</v>
      </c>
      <c r="D7175" s="8" t="str">
        <f>IFERROR(INDEX('nav master'!$C:$C, MATCH(B7175, 'nav master'!$B:$B, 0)), "")</f>
        <v>ULIF08028/02/25DynamicFnd101</v>
      </c>
      <c r="E7175" s="8" t="s">
        <v>441</v>
      </c>
      <c r="F7175" s="8" t="s">
        <v>2825</v>
      </c>
    </row>
    <row r="7176" spans="1:6" ht="60" x14ac:dyDescent="0.25">
      <c r="A7176" s="8" t="s">
        <v>125</v>
      </c>
      <c r="B7176" s="8" t="s">
        <v>64</v>
      </c>
      <c r="C7176" s="8" t="str">
        <f>IFERROR(_xlfn.XLOOKUP(TRIM(B7176),Lookup!$B$2:$B$1000,Lookup!$C$2:$C$1000),"")</f>
        <v>Hybrid</v>
      </c>
      <c r="D7176" s="8" t="str">
        <f>IFERROR(INDEX('nav master'!$C:$C, MATCH(B7176, 'nav master'!$B:$B, 0)), "")</f>
        <v>ULIF08028/02/25DynamicFnd101</v>
      </c>
      <c r="E7176" s="8" t="s">
        <v>443</v>
      </c>
      <c r="F7176" s="8" t="s">
        <v>2826</v>
      </c>
    </row>
    <row r="7177" spans="1:6" ht="60" x14ac:dyDescent="0.25">
      <c r="A7177" s="8" t="s">
        <v>125</v>
      </c>
      <c r="B7177" s="8" t="s">
        <v>64</v>
      </c>
      <c r="C7177" s="8" t="str">
        <f>IFERROR(_xlfn.XLOOKUP(TRIM(B7177),Lookup!$B$2:$B$1000,Lookup!$C$2:$C$1000),"")</f>
        <v>Hybrid</v>
      </c>
      <c r="D7177" s="8" t="str">
        <f>IFERROR(INDEX('nav master'!$C:$C, MATCH(B7177, 'nav master'!$B:$B, 0)), "")</f>
        <v>ULIF08028/02/25DynamicFnd101</v>
      </c>
      <c r="E7177" s="8" t="s">
        <v>445</v>
      </c>
      <c r="F7177" s="8" t="s">
        <v>2827</v>
      </c>
    </row>
    <row r="7178" spans="1:6" ht="60" x14ac:dyDescent="0.25">
      <c r="A7178" s="8" t="s">
        <v>125</v>
      </c>
      <c r="B7178" s="8" t="s">
        <v>64</v>
      </c>
      <c r="C7178" s="8" t="str">
        <f>IFERROR(_xlfn.XLOOKUP(TRIM(B7178),Lookup!$B$2:$B$1000,Lookup!$C$2:$C$1000),"")</f>
        <v>Hybrid</v>
      </c>
      <c r="D7178" s="8" t="str">
        <f>IFERROR(INDEX('nav master'!$C:$C, MATCH(B7178, 'nav master'!$B:$B, 0)), "")</f>
        <v>ULIF08028/02/25DynamicFnd101</v>
      </c>
      <c r="E7178" s="8" t="s">
        <v>446</v>
      </c>
      <c r="F7178" s="8" t="s">
        <v>2828</v>
      </c>
    </row>
    <row r="7179" spans="1:6" ht="60" x14ac:dyDescent="0.25">
      <c r="A7179" s="8" t="s">
        <v>125</v>
      </c>
      <c r="B7179" s="8" t="s">
        <v>64</v>
      </c>
      <c r="C7179" s="8" t="str">
        <f>IFERROR(_xlfn.XLOOKUP(TRIM(B7179),Lookup!$B$2:$B$1000,Lookup!$C$2:$C$1000),"")</f>
        <v>Hybrid</v>
      </c>
      <c r="D7179" s="8" t="str">
        <f>IFERROR(INDEX('nav master'!$C:$C, MATCH(B7179, 'nav master'!$B:$B, 0)), "")</f>
        <v>ULIF08028/02/25DynamicFnd101</v>
      </c>
      <c r="E7179" s="8" t="s">
        <v>448</v>
      </c>
      <c r="F7179" s="8" t="s">
        <v>2829</v>
      </c>
    </row>
    <row r="7180" spans="1:6" ht="60" x14ac:dyDescent="0.25">
      <c r="A7180" s="8" t="s">
        <v>125</v>
      </c>
      <c r="B7180" s="8" t="s">
        <v>64</v>
      </c>
      <c r="C7180" s="8" t="str">
        <f>IFERROR(_xlfn.XLOOKUP(TRIM(B7180),Lookup!$B$2:$B$1000,Lookup!$C$2:$C$1000),"")</f>
        <v>Hybrid</v>
      </c>
      <c r="D7180" s="8" t="str">
        <f>IFERROR(INDEX('nav master'!$C:$C, MATCH(B7180, 'nav master'!$B:$B, 0)), "")</f>
        <v>ULIF08028/02/25DynamicFnd101</v>
      </c>
      <c r="E7180" s="8" t="s">
        <v>450</v>
      </c>
      <c r="F7180" s="8" t="s">
        <v>2830</v>
      </c>
    </row>
    <row r="7181" spans="1:6" ht="60" x14ac:dyDescent="0.25">
      <c r="A7181" s="8" t="s">
        <v>125</v>
      </c>
      <c r="B7181" s="8" t="s">
        <v>64</v>
      </c>
      <c r="C7181" s="8" t="str">
        <f>IFERROR(_xlfn.XLOOKUP(TRIM(B7181),Lookup!$B$2:$B$1000,Lookup!$C$2:$C$1000),"")</f>
        <v>Hybrid</v>
      </c>
      <c r="D7181" s="8" t="str">
        <f>IFERROR(INDEX('nav master'!$C:$C, MATCH(B7181, 'nav master'!$B:$B, 0)), "")</f>
        <v>ULIF08028/02/25DynamicFnd101</v>
      </c>
      <c r="E7181" s="8" t="s">
        <v>452</v>
      </c>
      <c r="F7181" s="8" t="s">
        <v>2831</v>
      </c>
    </row>
    <row r="7182" spans="1:6" ht="60" x14ac:dyDescent="0.25">
      <c r="A7182" s="8" t="s">
        <v>125</v>
      </c>
      <c r="B7182" s="8" t="s">
        <v>64</v>
      </c>
      <c r="C7182" s="8" t="str">
        <f>IFERROR(_xlfn.XLOOKUP(TRIM(B7182),Lookup!$B$2:$B$1000,Lookup!$C$2:$C$1000),"")</f>
        <v>Hybrid</v>
      </c>
      <c r="D7182" s="8" t="str">
        <f>IFERROR(INDEX('nav master'!$C:$C, MATCH(B7182, 'nav master'!$B:$B, 0)), "")</f>
        <v>ULIF08028/02/25DynamicFnd101</v>
      </c>
      <c r="E7182" s="8" t="s">
        <v>454</v>
      </c>
      <c r="F7182" s="8" t="s">
        <v>2832</v>
      </c>
    </row>
    <row r="7183" spans="1:6" ht="60" x14ac:dyDescent="0.25">
      <c r="A7183" s="8" t="s">
        <v>125</v>
      </c>
      <c r="B7183" s="8" t="s">
        <v>64</v>
      </c>
      <c r="C7183" s="8" t="str">
        <f>IFERROR(_xlfn.XLOOKUP(TRIM(B7183),Lookup!$B$2:$B$1000,Lookup!$C$2:$C$1000),"")</f>
        <v>Hybrid</v>
      </c>
      <c r="D7183" s="8" t="str">
        <f>IFERROR(INDEX('nav master'!$C:$C, MATCH(B7183, 'nav master'!$B:$B, 0)), "")</f>
        <v>ULIF08028/02/25DynamicFnd101</v>
      </c>
      <c r="E7183" s="8" t="s">
        <v>456</v>
      </c>
      <c r="F7183" s="8" t="s">
        <v>2833</v>
      </c>
    </row>
    <row r="7184" spans="1:6" ht="60" x14ac:dyDescent="0.25">
      <c r="A7184" s="8" t="s">
        <v>125</v>
      </c>
      <c r="B7184" s="8" t="s">
        <v>64</v>
      </c>
      <c r="C7184" s="8" t="str">
        <f>IFERROR(_xlfn.XLOOKUP(TRIM(B7184),Lookup!$B$2:$B$1000,Lookup!$C$2:$C$1000),"")</f>
        <v>Hybrid</v>
      </c>
      <c r="D7184" s="8" t="str">
        <f>IFERROR(INDEX('nav master'!$C:$C, MATCH(B7184, 'nav master'!$B:$B, 0)), "")</f>
        <v>ULIF08028/02/25DynamicFnd101</v>
      </c>
      <c r="E7184" s="8" t="s">
        <v>458</v>
      </c>
      <c r="F7184" s="8" t="s">
        <v>2834</v>
      </c>
    </row>
    <row r="7185" spans="1:6" ht="60" x14ac:dyDescent="0.25">
      <c r="A7185" s="8" t="s">
        <v>125</v>
      </c>
      <c r="B7185" s="8" t="s">
        <v>64</v>
      </c>
      <c r="C7185" s="8" t="str">
        <f>IFERROR(_xlfn.XLOOKUP(TRIM(B7185),Lookup!$B$2:$B$1000,Lookup!$C$2:$C$1000),"")</f>
        <v>Hybrid</v>
      </c>
      <c r="D7185" s="8" t="str">
        <f>IFERROR(INDEX('nav master'!$C:$C, MATCH(B7185, 'nav master'!$B:$B, 0)), "")</f>
        <v>ULIF08028/02/25DynamicFnd101</v>
      </c>
      <c r="E7185" s="8" t="s">
        <v>460</v>
      </c>
      <c r="F7185" s="8" t="s">
        <v>2835</v>
      </c>
    </row>
    <row r="7186" spans="1:6" ht="60" x14ac:dyDescent="0.25">
      <c r="A7186" s="8" t="s">
        <v>125</v>
      </c>
      <c r="B7186" s="8" t="s">
        <v>64</v>
      </c>
      <c r="C7186" s="8" t="str">
        <f>IFERROR(_xlfn.XLOOKUP(TRIM(B7186),Lookup!$B$2:$B$1000,Lookup!$C$2:$C$1000),"")</f>
        <v>Hybrid</v>
      </c>
      <c r="D7186" s="8" t="str">
        <f>IFERROR(INDEX('nav master'!$C:$C, MATCH(B7186, 'nav master'!$B:$B, 0)), "")</f>
        <v>ULIF08028/02/25DynamicFnd101</v>
      </c>
      <c r="E7186" s="8" t="s">
        <v>462</v>
      </c>
      <c r="F7186" s="8" t="s">
        <v>2836</v>
      </c>
    </row>
    <row r="7187" spans="1:6" ht="60" x14ac:dyDescent="0.25">
      <c r="A7187" s="8" t="s">
        <v>125</v>
      </c>
      <c r="B7187" s="8" t="s">
        <v>64</v>
      </c>
      <c r="C7187" s="8" t="str">
        <f>IFERROR(_xlfn.XLOOKUP(TRIM(B7187),Lookup!$B$2:$B$1000,Lookup!$C$2:$C$1000),"")</f>
        <v>Hybrid</v>
      </c>
      <c r="D7187" s="8" t="str">
        <f>IFERROR(INDEX('nav master'!$C:$C, MATCH(B7187, 'nav master'!$B:$B, 0)), "")</f>
        <v>ULIF08028/02/25DynamicFnd101</v>
      </c>
      <c r="E7187" s="8" t="s">
        <v>464</v>
      </c>
      <c r="F7187" s="8" t="s">
        <v>2837</v>
      </c>
    </row>
    <row r="7188" spans="1:6" ht="60" x14ac:dyDescent="0.25">
      <c r="A7188" s="8" t="s">
        <v>125</v>
      </c>
      <c r="B7188" s="8" t="s">
        <v>64</v>
      </c>
      <c r="C7188" s="8" t="str">
        <f>IFERROR(_xlfn.XLOOKUP(TRIM(B7188),Lookup!$B$2:$B$1000,Lookup!$C$2:$C$1000),"")</f>
        <v>Hybrid</v>
      </c>
      <c r="D7188" s="8" t="str">
        <f>IFERROR(INDEX('nav master'!$C:$C, MATCH(B7188, 'nav master'!$B:$B, 0)), "")</f>
        <v>ULIF08028/02/25DynamicFnd101</v>
      </c>
      <c r="E7188" s="8" t="s">
        <v>466</v>
      </c>
      <c r="F7188" s="8" t="s">
        <v>2838</v>
      </c>
    </row>
    <row r="7189" spans="1:6" ht="60" x14ac:dyDescent="0.25">
      <c r="A7189" s="8" t="s">
        <v>125</v>
      </c>
      <c r="B7189" s="8" t="s">
        <v>64</v>
      </c>
      <c r="C7189" s="8" t="str">
        <f>IFERROR(_xlfn.XLOOKUP(TRIM(B7189),Lookup!$B$2:$B$1000,Lookup!$C$2:$C$1000),"")</f>
        <v>Hybrid</v>
      </c>
      <c r="D7189" s="8" t="str">
        <f>IFERROR(INDEX('nav master'!$C:$C, MATCH(B7189, 'nav master'!$B:$B, 0)), "")</f>
        <v>ULIF08028/02/25DynamicFnd101</v>
      </c>
      <c r="E7189" s="8" t="s">
        <v>468</v>
      </c>
      <c r="F7189" s="8" t="s">
        <v>2839</v>
      </c>
    </row>
    <row r="7190" spans="1:6" ht="60" x14ac:dyDescent="0.25">
      <c r="A7190" s="8" t="s">
        <v>125</v>
      </c>
      <c r="B7190" s="8" t="s">
        <v>64</v>
      </c>
      <c r="C7190" s="8" t="str">
        <f>IFERROR(_xlfn.XLOOKUP(TRIM(B7190),Lookup!$B$2:$B$1000,Lookup!$C$2:$C$1000),"")</f>
        <v>Hybrid</v>
      </c>
      <c r="D7190" s="8" t="str">
        <f>IFERROR(INDEX('nav master'!$C:$C, MATCH(B7190, 'nav master'!$B:$B, 0)), "")</f>
        <v>ULIF08028/02/25DynamicFnd101</v>
      </c>
      <c r="E7190" s="8" t="s">
        <v>470</v>
      </c>
      <c r="F7190" s="8" t="s">
        <v>2840</v>
      </c>
    </row>
    <row r="7191" spans="1:6" ht="60" x14ac:dyDescent="0.25">
      <c r="A7191" s="8" t="s">
        <v>125</v>
      </c>
      <c r="B7191" s="8" t="s">
        <v>64</v>
      </c>
      <c r="C7191" s="8" t="str">
        <f>IFERROR(_xlfn.XLOOKUP(TRIM(B7191),Lookup!$B$2:$B$1000,Lookup!$C$2:$C$1000),"")</f>
        <v>Hybrid</v>
      </c>
      <c r="D7191" s="8" t="str">
        <f>IFERROR(INDEX('nav master'!$C:$C, MATCH(B7191, 'nav master'!$B:$B, 0)), "")</f>
        <v>ULIF08028/02/25DynamicFnd101</v>
      </c>
      <c r="E7191" s="8" t="s">
        <v>472</v>
      </c>
      <c r="F7191" s="8" t="s">
        <v>2841</v>
      </c>
    </row>
    <row r="7192" spans="1:6" ht="60" x14ac:dyDescent="0.25">
      <c r="A7192" s="8" t="s">
        <v>125</v>
      </c>
      <c r="B7192" s="8" t="s">
        <v>64</v>
      </c>
      <c r="C7192" s="8" t="str">
        <f>IFERROR(_xlfn.XLOOKUP(TRIM(B7192),Lookup!$B$2:$B$1000,Lookup!$C$2:$C$1000),"")</f>
        <v>Hybrid</v>
      </c>
      <c r="D7192" s="8" t="str">
        <f>IFERROR(INDEX('nav master'!$C:$C, MATCH(B7192, 'nav master'!$B:$B, 0)), "")</f>
        <v>ULIF08028/02/25DynamicFnd101</v>
      </c>
      <c r="E7192" s="8" t="s">
        <v>474</v>
      </c>
      <c r="F7192" s="8" t="s">
        <v>2842</v>
      </c>
    </row>
    <row r="7193" spans="1:6" ht="60" x14ac:dyDescent="0.25">
      <c r="A7193" s="8" t="s">
        <v>125</v>
      </c>
      <c r="B7193" s="8" t="s">
        <v>64</v>
      </c>
      <c r="C7193" s="8" t="str">
        <f>IFERROR(_xlfn.XLOOKUP(TRIM(B7193),Lookup!$B$2:$B$1000,Lookup!$C$2:$C$1000),"")</f>
        <v>Hybrid</v>
      </c>
      <c r="D7193" s="8" t="str">
        <f>IFERROR(INDEX('nav master'!$C:$C, MATCH(B7193, 'nav master'!$B:$B, 0)), "")</f>
        <v>ULIF08028/02/25DynamicFnd101</v>
      </c>
      <c r="E7193" s="8" t="s">
        <v>476</v>
      </c>
      <c r="F7193" s="8" t="s">
        <v>2843</v>
      </c>
    </row>
    <row r="7194" spans="1:6" ht="60" x14ac:dyDescent="0.25">
      <c r="A7194" s="8" t="s">
        <v>125</v>
      </c>
      <c r="B7194" s="8" t="s">
        <v>64</v>
      </c>
      <c r="C7194" s="8" t="str">
        <f>IFERROR(_xlfn.XLOOKUP(TRIM(B7194),Lookup!$B$2:$B$1000,Lookup!$C$2:$C$1000),"")</f>
        <v>Hybrid</v>
      </c>
      <c r="D7194" s="8" t="str">
        <f>IFERROR(INDEX('nav master'!$C:$C, MATCH(B7194, 'nav master'!$B:$B, 0)), "")</f>
        <v>ULIF08028/02/25DynamicFnd101</v>
      </c>
      <c r="E7194" s="8" t="s">
        <v>478</v>
      </c>
      <c r="F7194" s="8" t="s">
        <v>2844</v>
      </c>
    </row>
    <row r="7195" spans="1:6" ht="60" x14ac:dyDescent="0.25">
      <c r="A7195" s="8" t="s">
        <v>125</v>
      </c>
      <c r="B7195" s="8" t="s">
        <v>64</v>
      </c>
      <c r="C7195" s="8" t="str">
        <f>IFERROR(_xlfn.XLOOKUP(TRIM(B7195),Lookup!$B$2:$B$1000,Lookup!$C$2:$C$1000),"")</f>
        <v>Hybrid</v>
      </c>
      <c r="D7195" s="8" t="str">
        <f>IFERROR(INDEX('nav master'!$C:$C, MATCH(B7195, 'nav master'!$B:$B, 0)), "")</f>
        <v>ULIF08028/02/25DynamicFnd101</v>
      </c>
      <c r="E7195" s="8" t="s">
        <v>480</v>
      </c>
      <c r="F7195" s="8" t="s">
        <v>2845</v>
      </c>
    </row>
    <row r="7196" spans="1:6" ht="60" x14ac:dyDescent="0.25">
      <c r="A7196" s="8" t="s">
        <v>125</v>
      </c>
      <c r="B7196" s="8" t="s">
        <v>64</v>
      </c>
      <c r="C7196" s="8" t="str">
        <f>IFERROR(_xlfn.XLOOKUP(TRIM(B7196),Lookup!$B$2:$B$1000,Lookup!$C$2:$C$1000),"")</f>
        <v>Hybrid</v>
      </c>
      <c r="D7196" s="8" t="str">
        <f>IFERROR(INDEX('nav master'!$C:$C, MATCH(B7196, 'nav master'!$B:$B, 0)), "")</f>
        <v>ULIF08028/02/25DynamicFnd101</v>
      </c>
      <c r="E7196" s="8" t="s">
        <v>482</v>
      </c>
      <c r="F7196" s="8" t="s">
        <v>2846</v>
      </c>
    </row>
    <row r="7197" spans="1:6" ht="60" x14ac:dyDescent="0.25">
      <c r="A7197" s="8" t="s">
        <v>125</v>
      </c>
      <c r="B7197" s="8" t="s">
        <v>64</v>
      </c>
      <c r="C7197" s="8" t="str">
        <f>IFERROR(_xlfn.XLOOKUP(TRIM(B7197),Lookup!$B$2:$B$1000,Lookup!$C$2:$C$1000),"")</f>
        <v>Hybrid</v>
      </c>
      <c r="D7197" s="8" t="str">
        <f>IFERROR(INDEX('nav master'!$C:$C, MATCH(B7197, 'nav master'!$B:$B, 0)), "")</f>
        <v>ULIF08028/02/25DynamicFnd101</v>
      </c>
      <c r="E7197" s="8" t="s">
        <v>484</v>
      </c>
      <c r="F7197" s="8" t="s">
        <v>2847</v>
      </c>
    </row>
    <row r="7198" spans="1:6" ht="60" x14ac:dyDescent="0.25">
      <c r="A7198" s="8" t="s">
        <v>125</v>
      </c>
      <c r="B7198" s="8" t="s">
        <v>64</v>
      </c>
      <c r="C7198" s="8" t="str">
        <f>IFERROR(_xlfn.XLOOKUP(TRIM(B7198),Lookup!$B$2:$B$1000,Lookup!$C$2:$C$1000),"")</f>
        <v>Hybrid</v>
      </c>
      <c r="D7198" s="8" t="str">
        <f>IFERROR(INDEX('nav master'!$C:$C, MATCH(B7198, 'nav master'!$B:$B, 0)), "")</f>
        <v>ULIF08028/02/25DynamicFnd101</v>
      </c>
      <c r="E7198" s="8" t="s">
        <v>486</v>
      </c>
      <c r="F7198" s="8" t="s">
        <v>2848</v>
      </c>
    </row>
    <row r="7199" spans="1:6" ht="60" x14ac:dyDescent="0.25">
      <c r="A7199" s="8" t="s">
        <v>125</v>
      </c>
      <c r="B7199" s="8" t="s">
        <v>64</v>
      </c>
      <c r="C7199" s="8" t="str">
        <f>IFERROR(_xlfn.XLOOKUP(TRIM(B7199),Lookup!$B$2:$B$1000,Lookup!$C$2:$C$1000),"")</f>
        <v>Hybrid</v>
      </c>
      <c r="D7199" s="8" t="str">
        <f>IFERROR(INDEX('nav master'!$C:$C, MATCH(B7199, 'nav master'!$B:$B, 0)), "")</f>
        <v>ULIF08028/02/25DynamicFnd101</v>
      </c>
      <c r="E7199" s="8" t="s">
        <v>488</v>
      </c>
      <c r="F7199" s="8" t="s">
        <v>2849</v>
      </c>
    </row>
    <row r="7200" spans="1:6" ht="60" x14ac:dyDescent="0.25">
      <c r="A7200" s="8" t="s">
        <v>125</v>
      </c>
      <c r="B7200" s="8" t="s">
        <v>64</v>
      </c>
      <c r="C7200" s="8" t="str">
        <f>IFERROR(_xlfn.XLOOKUP(TRIM(B7200),Lookup!$B$2:$B$1000,Lookup!$C$2:$C$1000),"")</f>
        <v>Hybrid</v>
      </c>
      <c r="D7200" s="8" t="str">
        <f>IFERROR(INDEX('nav master'!$C:$C, MATCH(B7200, 'nav master'!$B:$B, 0)), "")</f>
        <v>ULIF08028/02/25DynamicFnd101</v>
      </c>
      <c r="E7200" s="8" t="s">
        <v>490</v>
      </c>
      <c r="F7200" s="8" t="s">
        <v>2850</v>
      </c>
    </row>
    <row r="7201" spans="1:6" ht="60" x14ac:dyDescent="0.25">
      <c r="A7201" s="8" t="s">
        <v>125</v>
      </c>
      <c r="B7201" s="8" t="s">
        <v>64</v>
      </c>
      <c r="C7201" s="8" t="str">
        <f>IFERROR(_xlfn.XLOOKUP(TRIM(B7201),Lookup!$B$2:$B$1000,Lookup!$C$2:$C$1000),"")</f>
        <v>Hybrid</v>
      </c>
      <c r="D7201" s="8" t="str">
        <f>IFERROR(INDEX('nav master'!$C:$C, MATCH(B7201, 'nav master'!$B:$B, 0)), "")</f>
        <v>ULIF08028/02/25DynamicFnd101</v>
      </c>
      <c r="E7201" s="8" t="s">
        <v>492</v>
      </c>
      <c r="F7201" s="8" t="s">
        <v>2851</v>
      </c>
    </row>
    <row r="7202" spans="1:6" ht="60" x14ac:dyDescent="0.25">
      <c r="A7202" s="8" t="s">
        <v>125</v>
      </c>
      <c r="B7202" s="8" t="s">
        <v>64</v>
      </c>
      <c r="C7202" s="8" t="str">
        <f>IFERROR(_xlfn.XLOOKUP(TRIM(B7202),Lookup!$B$2:$B$1000,Lookup!$C$2:$C$1000),"")</f>
        <v>Hybrid</v>
      </c>
      <c r="D7202" s="8" t="str">
        <f>IFERROR(INDEX('nav master'!$C:$C, MATCH(B7202, 'nav master'!$B:$B, 0)), "")</f>
        <v>ULIF08028/02/25DynamicFnd101</v>
      </c>
      <c r="E7202" s="8" t="s">
        <v>494</v>
      </c>
      <c r="F7202" s="8" t="s">
        <v>2852</v>
      </c>
    </row>
    <row r="7203" spans="1:6" ht="60" x14ac:dyDescent="0.25">
      <c r="A7203" s="8" t="s">
        <v>125</v>
      </c>
      <c r="B7203" s="8" t="s">
        <v>64</v>
      </c>
      <c r="C7203" s="8" t="str">
        <f>IFERROR(_xlfn.XLOOKUP(TRIM(B7203),Lookup!$B$2:$B$1000,Lookup!$C$2:$C$1000),"")</f>
        <v>Hybrid</v>
      </c>
      <c r="D7203" s="8" t="str">
        <f>IFERROR(INDEX('nav master'!$C:$C, MATCH(B7203, 'nav master'!$B:$B, 0)), "")</f>
        <v>ULIF08028/02/25DynamicFnd101</v>
      </c>
      <c r="E7203" s="8" t="s">
        <v>496</v>
      </c>
      <c r="F7203" s="8" t="s">
        <v>2853</v>
      </c>
    </row>
    <row r="7204" spans="1:6" ht="60" x14ac:dyDescent="0.25">
      <c r="A7204" s="8" t="s">
        <v>125</v>
      </c>
      <c r="B7204" s="8" t="s">
        <v>64</v>
      </c>
      <c r="C7204" s="8" t="str">
        <f>IFERROR(_xlfn.XLOOKUP(TRIM(B7204),Lookup!$B$2:$B$1000,Lookup!$C$2:$C$1000),"")</f>
        <v>Hybrid</v>
      </c>
      <c r="D7204" s="8" t="str">
        <f>IFERROR(INDEX('nav master'!$C:$C, MATCH(B7204, 'nav master'!$B:$B, 0)), "")</f>
        <v>ULIF08028/02/25DynamicFnd101</v>
      </c>
      <c r="E7204" s="8" t="s">
        <v>498</v>
      </c>
      <c r="F7204" s="8" t="s">
        <v>2854</v>
      </c>
    </row>
    <row r="7205" spans="1:6" ht="60" x14ac:dyDescent="0.25">
      <c r="A7205" s="8" t="s">
        <v>125</v>
      </c>
      <c r="B7205" s="8" t="s">
        <v>64</v>
      </c>
      <c r="C7205" s="8" t="str">
        <f>IFERROR(_xlfn.XLOOKUP(TRIM(B7205),Lookup!$B$2:$B$1000,Lookup!$C$2:$C$1000),"")</f>
        <v>Hybrid</v>
      </c>
      <c r="D7205" s="8" t="str">
        <f>IFERROR(INDEX('nav master'!$C:$C, MATCH(B7205, 'nav master'!$B:$B, 0)), "")</f>
        <v>ULIF08028/02/25DynamicFnd101</v>
      </c>
      <c r="E7205" s="8" t="s">
        <v>500</v>
      </c>
      <c r="F7205" s="8" t="s">
        <v>2855</v>
      </c>
    </row>
    <row r="7206" spans="1:6" ht="60" x14ac:dyDescent="0.25">
      <c r="A7206" s="8" t="s">
        <v>125</v>
      </c>
      <c r="B7206" s="8" t="s">
        <v>64</v>
      </c>
      <c r="C7206" s="8" t="str">
        <f>IFERROR(_xlfn.XLOOKUP(TRIM(B7206),Lookup!$B$2:$B$1000,Lookup!$C$2:$C$1000),"")</f>
        <v>Hybrid</v>
      </c>
      <c r="D7206" s="8" t="str">
        <f>IFERROR(INDEX('nav master'!$C:$C, MATCH(B7206, 'nav master'!$B:$B, 0)), "")</f>
        <v>ULIF08028/02/25DynamicFnd101</v>
      </c>
      <c r="E7206" s="8" t="s">
        <v>502</v>
      </c>
      <c r="F7206" s="8" t="s">
        <v>2856</v>
      </c>
    </row>
    <row r="7207" spans="1:6" ht="60" x14ac:dyDescent="0.25">
      <c r="A7207" s="8" t="s">
        <v>125</v>
      </c>
      <c r="B7207" s="8" t="s">
        <v>64</v>
      </c>
      <c r="C7207" s="8" t="str">
        <f>IFERROR(_xlfn.XLOOKUP(TRIM(B7207),Lookup!$B$2:$B$1000,Lookup!$C$2:$C$1000),"")</f>
        <v>Hybrid</v>
      </c>
      <c r="D7207" s="8" t="str">
        <f>IFERROR(INDEX('nav master'!$C:$C, MATCH(B7207, 'nav master'!$B:$B, 0)), "")</f>
        <v>ULIF08028/02/25DynamicFnd101</v>
      </c>
      <c r="E7207" s="8" t="s">
        <v>504</v>
      </c>
      <c r="F7207" s="8" t="s">
        <v>2857</v>
      </c>
    </row>
    <row r="7208" spans="1:6" ht="60" x14ac:dyDescent="0.25">
      <c r="A7208" s="8" t="s">
        <v>125</v>
      </c>
      <c r="B7208" s="8" t="s">
        <v>64</v>
      </c>
      <c r="C7208" s="8" t="str">
        <f>IFERROR(_xlfn.XLOOKUP(TRIM(B7208),Lookup!$B$2:$B$1000,Lookup!$C$2:$C$1000),"")</f>
        <v>Hybrid</v>
      </c>
      <c r="D7208" s="8" t="str">
        <f>IFERROR(INDEX('nav master'!$C:$C, MATCH(B7208, 'nav master'!$B:$B, 0)), "")</f>
        <v>ULIF08028/02/25DynamicFnd101</v>
      </c>
      <c r="E7208" s="8" t="s">
        <v>506</v>
      </c>
      <c r="F7208" s="8" t="s">
        <v>2858</v>
      </c>
    </row>
    <row r="7209" spans="1:6" ht="60" x14ac:dyDescent="0.25">
      <c r="A7209" s="8" t="s">
        <v>125</v>
      </c>
      <c r="B7209" s="8" t="s">
        <v>64</v>
      </c>
      <c r="C7209" s="8" t="str">
        <f>IFERROR(_xlfn.XLOOKUP(TRIM(B7209),Lookup!$B$2:$B$1000,Lookup!$C$2:$C$1000),"")</f>
        <v>Hybrid</v>
      </c>
      <c r="D7209" s="8" t="str">
        <f>IFERROR(INDEX('nav master'!$C:$C, MATCH(B7209, 'nav master'!$B:$B, 0)), "")</f>
        <v>ULIF08028/02/25DynamicFnd101</v>
      </c>
      <c r="E7209" s="8" t="s">
        <v>508</v>
      </c>
      <c r="F7209" s="8" t="s">
        <v>2859</v>
      </c>
    </row>
    <row r="7210" spans="1:6" ht="60" x14ac:dyDescent="0.25">
      <c r="A7210" s="8" t="s">
        <v>125</v>
      </c>
      <c r="B7210" s="8" t="s">
        <v>64</v>
      </c>
      <c r="C7210" s="8" t="str">
        <f>IFERROR(_xlfn.XLOOKUP(TRIM(B7210),Lookup!$B$2:$B$1000,Lookup!$C$2:$C$1000),"")</f>
        <v>Hybrid</v>
      </c>
      <c r="D7210" s="8" t="str">
        <f>IFERROR(INDEX('nav master'!$C:$C, MATCH(B7210, 'nav master'!$B:$B, 0)), "")</f>
        <v>ULIF08028/02/25DynamicFnd101</v>
      </c>
      <c r="E7210" s="8" t="s">
        <v>510</v>
      </c>
      <c r="F7210" s="8" t="s">
        <v>2860</v>
      </c>
    </row>
    <row r="7211" spans="1:6" ht="60" x14ac:dyDescent="0.25">
      <c r="A7211" s="8" t="s">
        <v>125</v>
      </c>
      <c r="B7211" s="8" t="s">
        <v>64</v>
      </c>
      <c r="C7211" s="8" t="str">
        <f>IFERROR(_xlfn.XLOOKUP(TRIM(B7211),Lookup!$B$2:$B$1000,Lookup!$C$2:$C$1000),"")</f>
        <v>Hybrid</v>
      </c>
      <c r="D7211" s="8" t="str">
        <f>IFERROR(INDEX('nav master'!$C:$C, MATCH(B7211, 'nav master'!$B:$B, 0)), "")</f>
        <v>ULIF08028/02/25DynamicFnd101</v>
      </c>
      <c r="E7211" s="8" t="s">
        <v>512</v>
      </c>
      <c r="F7211" s="8" t="s">
        <v>2861</v>
      </c>
    </row>
    <row r="7212" spans="1:6" ht="60" x14ac:dyDescent="0.25">
      <c r="A7212" s="8" t="s">
        <v>125</v>
      </c>
      <c r="B7212" s="8" t="s">
        <v>64</v>
      </c>
      <c r="C7212" s="8" t="str">
        <f>IFERROR(_xlfn.XLOOKUP(TRIM(B7212),Lookup!$B$2:$B$1000,Lookup!$C$2:$C$1000),"")</f>
        <v>Hybrid</v>
      </c>
      <c r="D7212" s="8" t="str">
        <f>IFERROR(INDEX('nav master'!$C:$C, MATCH(B7212, 'nav master'!$B:$B, 0)), "")</f>
        <v>ULIF08028/02/25DynamicFnd101</v>
      </c>
      <c r="E7212" s="8" t="s">
        <v>514</v>
      </c>
      <c r="F7212" s="8" t="s">
        <v>2862</v>
      </c>
    </row>
    <row r="7213" spans="1:6" ht="60" x14ac:dyDescent="0.25">
      <c r="A7213" s="8" t="s">
        <v>125</v>
      </c>
      <c r="B7213" s="8" t="s">
        <v>64</v>
      </c>
      <c r="C7213" s="8" t="str">
        <f>IFERROR(_xlfn.XLOOKUP(TRIM(B7213),Lookup!$B$2:$B$1000,Lookup!$C$2:$C$1000),"")</f>
        <v>Hybrid</v>
      </c>
      <c r="D7213" s="8" t="str">
        <f>IFERROR(INDEX('nav master'!$C:$C, MATCH(B7213, 'nav master'!$B:$B, 0)), "")</f>
        <v>ULIF08028/02/25DynamicFnd101</v>
      </c>
      <c r="E7213" s="8" t="s">
        <v>516</v>
      </c>
      <c r="F7213" s="8" t="s">
        <v>2863</v>
      </c>
    </row>
    <row r="7214" spans="1:6" ht="60" x14ac:dyDescent="0.25">
      <c r="A7214" s="8" t="s">
        <v>125</v>
      </c>
      <c r="B7214" s="8" t="s">
        <v>64</v>
      </c>
      <c r="C7214" s="8" t="str">
        <f>IFERROR(_xlfn.XLOOKUP(TRIM(B7214),Lookup!$B$2:$B$1000,Lookup!$C$2:$C$1000),"")</f>
        <v>Hybrid</v>
      </c>
      <c r="D7214" s="8" t="str">
        <f>IFERROR(INDEX('nav master'!$C:$C, MATCH(B7214, 'nav master'!$B:$B, 0)), "")</f>
        <v>ULIF08028/02/25DynamicFnd101</v>
      </c>
      <c r="E7214" s="8" t="s">
        <v>518</v>
      </c>
      <c r="F7214" s="8" t="s">
        <v>2864</v>
      </c>
    </row>
    <row r="7215" spans="1:6" ht="60" x14ac:dyDescent="0.25">
      <c r="A7215" s="8" t="s">
        <v>125</v>
      </c>
      <c r="B7215" s="8" t="s">
        <v>64</v>
      </c>
      <c r="C7215" s="8" t="str">
        <f>IFERROR(_xlfn.XLOOKUP(TRIM(B7215),Lookup!$B$2:$B$1000,Lookup!$C$2:$C$1000),"")</f>
        <v>Hybrid</v>
      </c>
      <c r="D7215" s="8" t="str">
        <f>IFERROR(INDEX('nav master'!$C:$C, MATCH(B7215, 'nav master'!$B:$B, 0)), "")</f>
        <v>ULIF08028/02/25DynamicFnd101</v>
      </c>
      <c r="E7215" s="8" t="s">
        <v>520</v>
      </c>
      <c r="F7215" s="8" t="s">
        <v>2865</v>
      </c>
    </row>
    <row r="7216" spans="1:6" ht="60" x14ac:dyDescent="0.25">
      <c r="A7216" s="8" t="s">
        <v>125</v>
      </c>
      <c r="B7216" s="8" t="s">
        <v>64</v>
      </c>
      <c r="C7216" s="8" t="str">
        <f>IFERROR(_xlfn.XLOOKUP(TRIM(B7216),Lookup!$B$2:$B$1000,Lookup!$C$2:$C$1000),"")</f>
        <v>Hybrid</v>
      </c>
      <c r="D7216" s="8" t="str">
        <f>IFERROR(INDEX('nav master'!$C:$C, MATCH(B7216, 'nav master'!$B:$B, 0)), "")</f>
        <v>ULIF08028/02/25DynamicFnd101</v>
      </c>
      <c r="E7216" s="8" t="s">
        <v>522</v>
      </c>
      <c r="F7216" s="8" t="s">
        <v>2866</v>
      </c>
    </row>
    <row r="7217" spans="1:6" ht="60" x14ac:dyDescent="0.25">
      <c r="A7217" s="8" t="s">
        <v>125</v>
      </c>
      <c r="B7217" s="8" t="s">
        <v>64</v>
      </c>
      <c r="C7217" s="8" t="str">
        <f>IFERROR(_xlfn.XLOOKUP(TRIM(B7217),Lookup!$B$2:$B$1000,Lookup!$C$2:$C$1000),"")</f>
        <v>Hybrid</v>
      </c>
      <c r="D7217" s="8" t="str">
        <f>IFERROR(INDEX('nav master'!$C:$C, MATCH(B7217, 'nav master'!$B:$B, 0)), "")</f>
        <v>ULIF08028/02/25DynamicFnd101</v>
      </c>
      <c r="E7217" s="8" t="s">
        <v>524</v>
      </c>
      <c r="F7217" s="8" t="s">
        <v>2867</v>
      </c>
    </row>
    <row r="7218" spans="1:6" ht="60" x14ac:dyDescent="0.25">
      <c r="A7218" s="8" t="s">
        <v>125</v>
      </c>
      <c r="B7218" s="8" t="s">
        <v>64</v>
      </c>
      <c r="C7218" s="8" t="str">
        <f>IFERROR(_xlfn.XLOOKUP(TRIM(B7218),Lookup!$B$2:$B$1000,Lookup!$C$2:$C$1000),"")</f>
        <v>Hybrid</v>
      </c>
      <c r="D7218" s="8" t="str">
        <f>IFERROR(INDEX('nav master'!$C:$C, MATCH(B7218, 'nav master'!$B:$B, 0)), "")</f>
        <v>ULIF08028/02/25DynamicFnd101</v>
      </c>
      <c r="E7218" s="8" t="s">
        <v>526</v>
      </c>
      <c r="F7218" s="8" t="s">
        <v>2868</v>
      </c>
    </row>
    <row r="7219" spans="1:6" ht="60" x14ac:dyDescent="0.25">
      <c r="A7219" s="8" t="s">
        <v>125</v>
      </c>
      <c r="B7219" s="8" t="s">
        <v>64</v>
      </c>
      <c r="C7219" s="8" t="str">
        <f>IFERROR(_xlfn.XLOOKUP(TRIM(B7219),Lookup!$B$2:$B$1000,Lookup!$C$2:$C$1000),"")</f>
        <v>Hybrid</v>
      </c>
      <c r="D7219" s="8" t="str">
        <f>IFERROR(INDEX('nav master'!$C:$C, MATCH(B7219, 'nav master'!$B:$B, 0)), "")</f>
        <v>ULIF08028/02/25DynamicFnd101</v>
      </c>
      <c r="E7219" s="8" t="s">
        <v>528</v>
      </c>
      <c r="F7219" s="8" t="s">
        <v>2869</v>
      </c>
    </row>
    <row r="7220" spans="1:6" ht="60" x14ac:dyDescent="0.25">
      <c r="A7220" s="8" t="s">
        <v>125</v>
      </c>
      <c r="B7220" s="8" t="s">
        <v>64</v>
      </c>
      <c r="C7220" s="8" t="str">
        <f>IFERROR(_xlfn.XLOOKUP(TRIM(B7220),Lookup!$B$2:$B$1000,Lookup!$C$2:$C$1000),"")</f>
        <v>Hybrid</v>
      </c>
      <c r="D7220" s="8" t="str">
        <f>IFERROR(INDEX('nav master'!$C:$C, MATCH(B7220, 'nav master'!$B:$B, 0)), "")</f>
        <v>ULIF08028/02/25DynamicFnd101</v>
      </c>
      <c r="E7220" s="8" t="s">
        <v>530</v>
      </c>
      <c r="F7220" s="8" t="s">
        <v>2870</v>
      </c>
    </row>
    <row r="7221" spans="1:6" ht="60" x14ac:dyDescent="0.25">
      <c r="A7221" s="8" t="s">
        <v>125</v>
      </c>
      <c r="B7221" s="8" t="s">
        <v>64</v>
      </c>
      <c r="C7221" s="8" t="str">
        <f>IFERROR(_xlfn.XLOOKUP(TRIM(B7221),Lookup!$B$2:$B$1000,Lookup!$C$2:$C$1000),"")</f>
        <v>Hybrid</v>
      </c>
      <c r="D7221" s="8" t="str">
        <f>IFERROR(INDEX('nav master'!$C:$C, MATCH(B7221, 'nav master'!$B:$B, 0)), "")</f>
        <v>ULIF08028/02/25DynamicFnd101</v>
      </c>
      <c r="E7221" s="8" t="s">
        <v>532</v>
      </c>
      <c r="F7221" s="8" t="s">
        <v>2871</v>
      </c>
    </row>
    <row r="7222" spans="1:6" ht="60" x14ac:dyDescent="0.25">
      <c r="A7222" s="8" t="s">
        <v>125</v>
      </c>
      <c r="B7222" s="8" t="s">
        <v>64</v>
      </c>
      <c r="C7222" s="8" t="str">
        <f>IFERROR(_xlfn.XLOOKUP(TRIM(B7222),Lookup!$B$2:$B$1000,Lookup!$C$2:$C$1000),"")</f>
        <v>Hybrid</v>
      </c>
      <c r="D7222" s="8" t="str">
        <f>IFERROR(INDEX('nav master'!$C:$C, MATCH(B7222, 'nav master'!$B:$B, 0)), "")</f>
        <v>ULIF08028/02/25DynamicFnd101</v>
      </c>
      <c r="E7222" s="8" t="s">
        <v>534</v>
      </c>
      <c r="F7222" s="8" t="s">
        <v>2872</v>
      </c>
    </row>
    <row r="7223" spans="1:6" ht="60" x14ac:dyDescent="0.25">
      <c r="A7223" s="8" t="s">
        <v>125</v>
      </c>
      <c r="B7223" s="8" t="s">
        <v>64</v>
      </c>
      <c r="C7223" s="8" t="str">
        <f>IFERROR(_xlfn.XLOOKUP(TRIM(B7223),Lookup!$B$2:$B$1000,Lookup!$C$2:$C$1000),"")</f>
        <v>Hybrid</v>
      </c>
      <c r="D7223" s="8" t="str">
        <f>IFERROR(INDEX('nav master'!$C:$C, MATCH(B7223, 'nav master'!$B:$B, 0)), "")</f>
        <v>ULIF08028/02/25DynamicFnd101</v>
      </c>
      <c r="E7223" s="8" t="s">
        <v>536</v>
      </c>
      <c r="F7223" s="8" t="s">
        <v>2873</v>
      </c>
    </row>
    <row r="7224" spans="1:6" ht="60" x14ac:dyDescent="0.25">
      <c r="A7224" s="8" t="s">
        <v>125</v>
      </c>
      <c r="B7224" s="8" t="s">
        <v>64</v>
      </c>
      <c r="C7224" s="8" t="str">
        <f>IFERROR(_xlfn.XLOOKUP(TRIM(B7224),Lookup!$B$2:$B$1000,Lookup!$C$2:$C$1000),"")</f>
        <v>Hybrid</v>
      </c>
      <c r="D7224" s="8" t="str">
        <f>IFERROR(INDEX('nav master'!$C:$C, MATCH(B7224, 'nav master'!$B:$B, 0)), "")</f>
        <v>ULIF08028/02/25DynamicFnd101</v>
      </c>
      <c r="E7224" s="8" t="s">
        <v>538</v>
      </c>
      <c r="F7224" s="8" t="s">
        <v>2874</v>
      </c>
    </row>
    <row r="7225" spans="1:6" ht="60" x14ac:dyDescent="0.25">
      <c r="A7225" s="8" t="s">
        <v>125</v>
      </c>
      <c r="B7225" s="8" t="s">
        <v>64</v>
      </c>
      <c r="C7225" s="8" t="str">
        <f>IFERROR(_xlfn.XLOOKUP(TRIM(B7225),Lookup!$B$2:$B$1000,Lookup!$C$2:$C$1000),"")</f>
        <v>Hybrid</v>
      </c>
      <c r="D7225" s="8" t="str">
        <f>IFERROR(INDEX('nav master'!$C:$C, MATCH(B7225, 'nav master'!$B:$B, 0)), "")</f>
        <v>ULIF08028/02/25DynamicFnd101</v>
      </c>
      <c r="E7225" s="8" t="s">
        <v>540</v>
      </c>
      <c r="F7225" s="8" t="s">
        <v>2875</v>
      </c>
    </row>
    <row r="7226" spans="1:6" ht="60" x14ac:dyDescent="0.25">
      <c r="A7226" s="8" t="s">
        <v>125</v>
      </c>
      <c r="B7226" s="8" t="s">
        <v>64</v>
      </c>
      <c r="C7226" s="8" t="str">
        <f>IFERROR(_xlfn.XLOOKUP(TRIM(B7226),Lookup!$B$2:$B$1000,Lookup!$C$2:$C$1000),"")</f>
        <v>Hybrid</v>
      </c>
      <c r="D7226" s="8" t="str">
        <f>IFERROR(INDEX('nav master'!$C:$C, MATCH(B7226, 'nav master'!$B:$B, 0)), "")</f>
        <v>ULIF08028/02/25DynamicFnd101</v>
      </c>
      <c r="E7226" s="8" t="s">
        <v>542</v>
      </c>
      <c r="F7226" s="8" t="s">
        <v>2876</v>
      </c>
    </row>
    <row r="7227" spans="1:6" ht="60" x14ac:dyDescent="0.25">
      <c r="A7227" s="8" t="s">
        <v>125</v>
      </c>
      <c r="B7227" s="8" t="s">
        <v>64</v>
      </c>
      <c r="C7227" s="8" t="str">
        <f>IFERROR(_xlfn.XLOOKUP(TRIM(B7227),Lookup!$B$2:$B$1000,Lookup!$C$2:$C$1000),"")</f>
        <v>Hybrid</v>
      </c>
      <c r="D7227" s="8" t="str">
        <f>IFERROR(INDEX('nav master'!$C:$C, MATCH(B7227, 'nav master'!$B:$B, 0)), "")</f>
        <v>ULIF08028/02/25DynamicFnd101</v>
      </c>
      <c r="E7227" s="8" t="s">
        <v>544</v>
      </c>
      <c r="F7227" s="8" t="s">
        <v>2877</v>
      </c>
    </row>
    <row r="7228" spans="1:6" ht="60" x14ac:dyDescent="0.25">
      <c r="A7228" s="8" t="s">
        <v>125</v>
      </c>
      <c r="B7228" s="8" t="s">
        <v>64</v>
      </c>
      <c r="C7228" s="8" t="str">
        <f>IFERROR(_xlfn.XLOOKUP(TRIM(B7228),Lookup!$B$2:$B$1000,Lookup!$C$2:$C$1000),"")</f>
        <v>Hybrid</v>
      </c>
      <c r="D7228" s="8" t="str">
        <f>IFERROR(INDEX('nav master'!$C:$C, MATCH(B7228, 'nav master'!$B:$B, 0)), "")</f>
        <v>ULIF08028/02/25DynamicFnd101</v>
      </c>
      <c r="E7228" s="8" t="s">
        <v>546</v>
      </c>
      <c r="F7228" s="8" t="s">
        <v>2878</v>
      </c>
    </row>
    <row r="7229" spans="1:6" ht="60" x14ac:dyDescent="0.25">
      <c r="A7229" s="8" t="s">
        <v>125</v>
      </c>
      <c r="B7229" s="8" t="s">
        <v>64</v>
      </c>
      <c r="C7229" s="8" t="str">
        <f>IFERROR(_xlfn.XLOOKUP(TRIM(B7229),Lookup!$B$2:$B$1000,Lookup!$C$2:$C$1000),"")</f>
        <v>Hybrid</v>
      </c>
      <c r="D7229" s="8" t="str">
        <f>IFERROR(INDEX('nav master'!$C:$C, MATCH(B7229, 'nav master'!$B:$B, 0)), "")</f>
        <v>ULIF08028/02/25DynamicFnd101</v>
      </c>
      <c r="E7229" s="8" t="s">
        <v>548</v>
      </c>
      <c r="F7229" s="8" t="s">
        <v>2879</v>
      </c>
    </row>
    <row r="7230" spans="1:6" ht="60" x14ac:dyDescent="0.25">
      <c r="A7230" s="8" t="s">
        <v>125</v>
      </c>
      <c r="B7230" s="8" t="s">
        <v>64</v>
      </c>
      <c r="C7230" s="8" t="str">
        <f>IFERROR(_xlfn.XLOOKUP(TRIM(B7230),Lookup!$B$2:$B$1000,Lookup!$C$2:$C$1000),"")</f>
        <v>Hybrid</v>
      </c>
      <c r="D7230" s="8" t="str">
        <f>IFERROR(INDEX('nav master'!$C:$C, MATCH(B7230, 'nav master'!$B:$B, 0)), "")</f>
        <v>ULIF08028/02/25DynamicFnd101</v>
      </c>
      <c r="E7230" s="8" t="s">
        <v>550</v>
      </c>
      <c r="F7230" s="8" t="s">
        <v>2880</v>
      </c>
    </row>
    <row r="7231" spans="1:6" ht="60" x14ac:dyDescent="0.25">
      <c r="A7231" s="8" t="s">
        <v>125</v>
      </c>
      <c r="B7231" s="8" t="s">
        <v>64</v>
      </c>
      <c r="C7231" s="8" t="str">
        <f>IFERROR(_xlfn.XLOOKUP(TRIM(B7231),Lookup!$B$2:$B$1000,Lookup!$C$2:$C$1000),"")</f>
        <v>Hybrid</v>
      </c>
      <c r="D7231" s="8" t="str">
        <f>IFERROR(INDEX('nav master'!$C:$C, MATCH(B7231, 'nav master'!$B:$B, 0)), "")</f>
        <v>ULIF08028/02/25DynamicFnd101</v>
      </c>
      <c r="E7231" s="8" t="s">
        <v>552</v>
      </c>
      <c r="F7231" s="8" t="s">
        <v>2881</v>
      </c>
    </row>
    <row r="7232" spans="1:6" ht="60" x14ac:dyDescent="0.25">
      <c r="A7232" s="8" t="s">
        <v>125</v>
      </c>
      <c r="B7232" s="8" t="s">
        <v>64</v>
      </c>
      <c r="C7232" s="8" t="str">
        <f>IFERROR(_xlfn.XLOOKUP(TRIM(B7232),Lookup!$B$2:$B$1000,Lookup!$C$2:$C$1000),"")</f>
        <v>Hybrid</v>
      </c>
      <c r="D7232" s="8" t="str">
        <f>IFERROR(INDEX('nav master'!$C:$C, MATCH(B7232, 'nav master'!$B:$B, 0)), "")</f>
        <v>ULIF08028/02/25DynamicFnd101</v>
      </c>
      <c r="E7232" s="8" t="s">
        <v>554</v>
      </c>
      <c r="F7232" s="8" t="s">
        <v>2882</v>
      </c>
    </row>
    <row r="7233" spans="1:6" ht="60" x14ac:dyDescent="0.25">
      <c r="A7233" s="8" t="s">
        <v>125</v>
      </c>
      <c r="B7233" s="8" t="s">
        <v>64</v>
      </c>
      <c r="C7233" s="8" t="str">
        <f>IFERROR(_xlfn.XLOOKUP(TRIM(B7233),Lookup!$B$2:$B$1000,Lookup!$C$2:$C$1000),"")</f>
        <v>Hybrid</v>
      </c>
      <c r="D7233" s="8" t="str">
        <f>IFERROR(INDEX('nav master'!$C:$C, MATCH(B7233, 'nav master'!$B:$B, 0)), "")</f>
        <v>ULIF08028/02/25DynamicFnd101</v>
      </c>
      <c r="E7233" s="8" t="s">
        <v>556</v>
      </c>
      <c r="F7233" s="8" t="s">
        <v>2883</v>
      </c>
    </row>
    <row r="7234" spans="1:6" ht="60" x14ac:dyDescent="0.25">
      <c r="A7234" s="8" t="s">
        <v>125</v>
      </c>
      <c r="B7234" s="8" t="s">
        <v>64</v>
      </c>
      <c r="C7234" s="8" t="str">
        <f>IFERROR(_xlfn.XLOOKUP(TRIM(B7234),Lookup!$B$2:$B$1000,Lookup!$C$2:$C$1000),"")</f>
        <v>Hybrid</v>
      </c>
      <c r="D7234" s="8" t="str">
        <f>IFERROR(INDEX('nav master'!$C:$C, MATCH(B7234, 'nav master'!$B:$B, 0)), "")</f>
        <v>ULIF08028/02/25DynamicFnd101</v>
      </c>
      <c r="E7234" s="8" t="s">
        <v>558</v>
      </c>
      <c r="F7234" s="8" t="s">
        <v>2884</v>
      </c>
    </row>
    <row r="7235" spans="1:6" ht="60" x14ac:dyDescent="0.25">
      <c r="A7235" s="8" t="s">
        <v>125</v>
      </c>
      <c r="B7235" s="8" t="s">
        <v>64</v>
      </c>
      <c r="C7235" s="8" t="str">
        <f>IFERROR(_xlfn.XLOOKUP(TRIM(B7235),Lookup!$B$2:$B$1000,Lookup!$C$2:$C$1000),"")</f>
        <v>Hybrid</v>
      </c>
      <c r="D7235" s="8" t="str">
        <f>IFERROR(INDEX('nav master'!$C:$C, MATCH(B7235, 'nav master'!$B:$B, 0)), "")</f>
        <v>ULIF08028/02/25DynamicFnd101</v>
      </c>
      <c r="E7235" s="8" t="s">
        <v>560</v>
      </c>
      <c r="F7235" s="8" t="s">
        <v>2885</v>
      </c>
    </row>
    <row r="7236" spans="1:6" ht="60" x14ac:dyDescent="0.25">
      <c r="A7236" s="8" t="s">
        <v>125</v>
      </c>
      <c r="B7236" s="8" t="s">
        <v>64</v>
      </c>
      <c r="C7236" s="8" t="str">
        <f>IFERROR(_xlfn.XLOOKUP(TRIM(B7236),Lookup!$B$2:$B$1000,Lookup!$C$2:$C$1000),"")</f>
        <v>Hybrid</v>
      </c>
      <c r="D7236" s="8" t="str">
        <f>IFERROR(INDEX('nav master'!$C:$C, MATCH(B7236, 'nav master'!$B:$B, 0)), "")</f>
        <v>ULIF08028/02/25DynamicFnd101</v>
      </c>
      <c r="E7236" s="8" t="s">
        <v>562</v>
      </c>
      <c r="F7236" s="8" t="s">
        <v>2886</v>
      </c>
    </row>
    <row r="7237" spans="1:6" ht="60" x14ac:dyDescent="0.25">
      <c r="A7237" s="8" t="s">
        <v>125</v>
      </c>
      <c r="B7237" s="8" t="s">
        <v>64</v>
      </c>
      <c r="C7237" s="8" t="str">
        <f>IFERROR(_xlfn.XLOOKUP(TRIM(B7237),Lookup!$B$2:$B$1000,Lookup!$C$2:$C$1000),"")</f>
        <v>Hybrid</v>
      </c>
      <c r="D7237" s="8" t="str">
        <f>IFERROR(INDEX('nav master'!$C:$C, MATCH(B7237, 'nav master'!$B:$B, 0)), "")</f>
        <v>ULIF08028/02/25DynamicFnd101</v>
      </c>
      <c r="E7237" s="8" t="s">
        <v>564</v>
      </c>
      <c r="F7237" s="8" t="s">
        <v>2887</v>
      </c>
    </row>
    <row r="7238" spans="1:6" ht="60" x14ac:dyDescent="0.25">
      <c r="A7238" s="8" t="s">
        <v>125</v>
      </c>
      <c r="B7238" s="8" t="s">
        <v>64</v>
      </c>
      <c r="C7238" s="8" t="str">
        <f>IFERROR(_xlfn.XLOOKUP(TRIM(B7238),Lookup!$B$2:$B$1000,Lookup!$C$2:$C$1000),"")</f>
        <v>Hybrid</v>
      </c>
      <c r="D7238" s="8" t="str">
        <f>IFERROR(INDEX('nav master'!$C:$C, MATCH(B7238, 'nav master'!$B:$B, 0)), "")</f>
        <v>ULIF08028/02/25DynamicFnd101</v>
      </c>
      <c r="E7238" s="8" t="s">
        <v>566</v>
      </c>
      <c r="F7238" s="8" t="s">
        <v>2888</v>
      </c>
    </row>
    <row r="7239" spans="1:6" ht="60" x14ac:dyDescent="0.25">
      <c r="A7239" s="8" t="s">
        <v>125</v>
      </c>
      <c r="B7239" s="8" t="s">
        <v>64</v>
      </c>
      <c r="C7239" s="8" t="str">
        <f>IFERROR(_xlfn.XLOOKUP(TRIM(B7239),Lookup!$B$2:$B$1000,Lookup!$C$2:$C$1000),"")</f>
        <v>Hybrid</v>
      </c>
      <c r="D7239" s="8" t="str">
        <f>IFERROR(INDEX('nav master'!$C:$C, MATCH(B7239, 'nav master'!$B:$B, 0)), "")</f>
        <v>ULIF08028/02/25DynamicFnd101</v>
      </c>
      <c r="E7239" s="8" t="s">
        <v>568</v>
      </c>
      <c r="F7239" s="8" t="s">
        <v>2889</v>
      </c>
    </row>
    <row r="7240" spans="1:6" ht="60" x14ac:dyDescent="0.25">
      <c r="A7240" s="8" t="s">
        <v>125</v>
      </c>
      <c r="B7240" s="8" t="s">
        <v>64</v>
      </c>
      <c r="C7240" s="8" t="str">
        <f>IFERROR(_xlfn.XLOOKUP(TRIM(B7240),Lookup!$B$2:$B$1000,Lookup!$C$2:$C$1000),"")</f>
        <v>Hybrid</v>
      </c>
      <c r="D7240" s="8" t="str">
        <f>IFERROR(INDEX('nav master'!$C:$C, MATCH(B7240, 'nav master'!$B:$B, 0)), "")</f>
        <v>ULIF08028/02/25DynamicFnd101</v>
      </c>
      <c r="E7240" s="8" t="s">
        <v>570</v>
      </c>
      <c r="F7240" s="8" t="s">
        <v>2890</v>
      </c>
    </row>
    <row r="7241" spans="1:6" ht="60" x14ac:dyDescent="0.25">
      <c r="A7241" s="8" t="s">
        <v>125</v>
      </c>
      <c r="B7241" s="8" t="s">
        <v>64</v>
      </c>
      <c r="C7241" s="8" t="str">
        <f>IFERROR(_xlfn.XLOOKUP(TRIM(B7241),Lookup!$B$2:$B$1000,Lookup!$C$2:$C$1000),"")</f>
        <v>Hybrid</v>
      </c>
      <c r="D7241" s="8" t="str">
        <f>IFERROR(INDEX('nav master'!$C:$C, MATCH(B7241, 'nav master'!$B:$B, 0)), "")</f>
        <v>ULIF08028/02/25DynamicFnd101</v>
      </c>
      <c r="E7241" s="8" t="s">
        <v>572</v>
      </c>
      <c r="F7241" s="8" t="s">
        <v>2891</v>
      </c>
    </row>
    <row r="7242" spans="1:6" ht="60" x14ac:dyDescent="0.25">
      <c r="A7242" s="8" t="s">
        <v>125</v>
      </c>
      <c r="B7242" s="8" t="s">
        <v>64</v>
      </c>
      <c r="C7242" s="8" t="str">
        <f>IFERROR(_xlfn.XLOOKUP(TRIM(B7242),Lookup!$B$2:$B$1000,Lookup!$C$2:$C$1000),"")</f>
        <v>Hybrid</v>
      </c>
      <c r="D7242" s="8" t="str">
        <f>IFERROR(INDEX('nav master'!$C:$C, MATCH(B7242, 'nav master'!$B:$B, 0)), "")</f>
        <v>ULIF08028/02/25DynamicFnd101</v>
      </c>
      <c r="E7242" s="8" t="s">
        <v>574</v>
      </c>
      <c r="F7242" s="8" t="s">
        <v>2892</v>
      </c>
    </row>
    <row r="7243" spans="1:6" ht="60" x14ac:dyDescent="0.25">
      <c r="A7243" s="8" t="s">
        <v>125</v>
      </c>
      <c r="B7243" s="8" t="s">
        <v>64</v>
      </c>
      <c r="C7243" s="8" t="str">
        <f>IFERROR(_xlfn.XLOOKUP(TRIM(B7243),Lookup!$B$2:$B$1000,Lookup!$C$2:$C$1000),"")</f>
        <v>Hybrid</v>
      </c>
      <c r="D7243" s="8" t="str">
        <f>IFERROR(INDEX('nav master'!$C:$C, MATCH(B7243, 'nav master'!$B:$B, 0)), "")</f>
        <v>ULIF08028/02/25DynamicFnd101</v>
      </c>
      <c r="E7243" s="8" t="s">
        <v>576</v>
      </c>
      <c r="F7243" s="8" t="s">
        <v>2893</v>
      </c>
    </row>
    <row r="7244" spans="1:6" ht="60" x14ac:dyDescent="0.25">
      <c r="A7244" s="8" t="s">
        <v>125</v>
      </c>
      <c r="B7244" s="8" t="s">
        <v>64</v>
      </c>
      <c r="C7244" s="8" t="str">
        <f>IFERROR(_xlfn.XLOOKUP(TRIM(B7244),Lookup!$B$2:$B$1000,Lookup!$C$2:$C$1000),"")</f>
        <v>Hybrid</v>
      </c>
      <c r="D7244" s="8" t="str">
        <f>IFERROR(INDEX('nav master'!$C:$C, MATCH(B7244, 'nav master'!$B:$B, 0)), "")</f>
        <v>ULIF08028/02/25DynamicFnd101</v>
      </c>
      <c r="E7244" s="8" t="s">
        <v>578</v>
      </c>
      <c r="F7244" s="8" t="s">
        <v>2894</v>
      </c>
    </row>
    <row r="7245" spans="1:6" ht="60" x14ac:dyDescent="0.25">
      <c r="A7245" s="8" t="s">
        <v>125</v>
      </c>
      <c r="B7245" s="8" t="s">
        <v>64</v>
      </c>
      <c r="C7245" s="8" t="str">
        <f>IFERROR(_xlfn.XLOOKUP(TRIM(B7245),Lookup!$B$2:$B$1000,Lookup!$C$2:$C$1000),"")</f>
        <v>Hybrid</v>
      </c>
      <c r="D7245" s="8" t="str">
        <f>IFERROR(INDEX('nav master'!$C:$C, MATCH(B7245, 'nav master'!$B:$B, 0)), "")</f>
        <v>ULIF08028/02/25DynamicFnd101</v>
      </c>
      <c r="E7245" s="8" t="s">
        <v>580</v>
      </c>
      <c r="F7245" s="8" t="s">
        <v>2895</v>
      </c>
    </row>
    <row r="7246" spans="1:6" ht="60" x14ac:dyDescent="0.25">
      <c r="A7246" s="8" t="s">
        <v>125</v>
      </c>
      <c r="B7246" s="8" t="s">
        <v>64</v>
      </c>
      <c r="C7246" s="8" t="str">
        <f>IFERROR(_xlfn.XLOOKUP(TRIM(B7246),Lookup!$B$2:$B$1000,Lookup!$C$2:$C$1000),"")</f>
        <v>Hybrid</v>
      </c>
      <c r="D7246" s="8" t="str">
        <f>IFERROR(INDEX('nav master'!$C:$C, MATCH(B7246, 'nav master'!$B:$B, 0)), "")</f>
        <v>ULIF08028/02/25DynamicFnd101</v>
      </c>
      <c r="E7246" s="8" t="s">
        <v>582</v>
      </c>
      <c r="F7246" s="8" t="s">
        <v>2896</v>
      </c>
    </row>
    <row r="7247" spans="1:6" ht="60" x14ac:dyDescent="0.25">
      <c r="A7247" s="8" t="s">
        <v>125</v>
      </c>
      <c r="B7247" s="8" t="s">
        <v>64</v>
      </c>
      <c r="C7247" s="8" t="str">
        <f>IFERROR(_xlfn.XLOOKUP(TRIM(B7247),Lookup!$B$2:$B$1000,Lookup!$C$2:$C$1000),"")</f>
        <v>Hybrid</v>
      </c>
      <c r="D7247" s="8" t="str">
        <f>IFERROR(INDEX('nav master'!$C:$C, MATCH(B7247, 'nav master'!$B:$B, 0)), "")</f>
        <v>ULIF08028/02/25DynamicFnd101</v>
      </c>
      <c r="E7247" s="8" t="s">
        <v>584</v>
      </c>
      <c r="F7247" s="8" t="s">
        <v>2897</v>
      </c>
    </row>
    <row r="7248" spans="1:6" ht="60" x14ac:dyDescent="0.25">
      <c r="A7248" s="8" t="s">
        <v>125</v>
      </c>
      <c r="B7248" s="8" t="s">
        <v>64</v>
      </c>
      <c r="C7248" s="8" t="str">
        <f>IFERROR(_xlfn.XLOOKUP(TRIM(B7248),Lookup!$B$2:$B$1000,Lookup!$C$2:$C$1000),"")</f>
        <v>Hybrid</v>
      </c>
      <c r="D7248" s="8" t="str">
        <f>IFERROR(INDEX('nav master'!$C:$C, MATCH(B7248, 'nav master'!$B:$B, 0)), "")</f>
        <v>ULIF08028/02/25DynamicFnd101</v>
      </c>
      <c r="E7248" s="8" t="s">
        <v>586</v>
      </c>
      <c r="F7248" s="8" t="s">
        <v>2898</v>
      </c>
    </row>
    <row r="7249" spans="1:6" ht="60" x14ac:dyDescent="0.25">
      <c r="A7249" s="8" t="s">
        <v>125</v>
      </c>
      <c r="B7249" s="8" t="s">
        <v>64</v>
      </c>
      <c r="C7249" s="8" t="str">
        <f>IFERROR(_xlfn.XLOOKUP(TRIM(B7249),Lookup!$B$2:$B$1000,Lookup!$C$2:$C$1000),"")</f>
        <v>Hybrid</v>
      </c>
      <c r="D7249" s="8" t="str">
        <f>IFERROR(INDEX('nav master'!$C:$C, MATCH(B7249, 'nav master'!$B:$B, 0)), "")</f>
        <v>ULIF08028/02/25DynamicFnd101</v>
      </c>
      <c r="E7249" s="8" t="s">
        <v>588</v>
      </c>
      <c r="F7249" s="8" t="s">
        <v>2899</v>
      </c>
    </row>
    <row r="7250" spans="1:6" ht="60" x14ac:dyDescent="0.25">
      <c r="A7250" s="8" t="s">
        <v>125</v>
      </c>
      <c r="B7250" s="8" t="s">
        <v>64</v>
      </c>
      <c r="C7250" s="8" t="str">
        <f>IFERROR(_xlfn.XLOOKUP(TRIM(B7250),Lookup!$B$2:$B$1000,Lookup!$C$2:$C$1000),"")</f>
        <v>Hybrid</v>
      </c>
      <c r="D7250" s="8" t="str">
        <f>IFERROR(INDEX('nav master'!$C:$C, MATCH(B7250, 'nav master'!$B:$B, 0)), "")</f>
        <v>ULIF08028/02/25DynamicFnd101</v>
      </c>
      <c r="E7250" s="8" t="s">
        <v>590</v>
      </c>
      <c r="F7250" s="8" t="s">
        <v>2900</v>
      </c>
    </row>
    <row r="7251" spans="1:6" ht="60" x14ac:dyDescent="0.25">
      <c r="A7251" s="8" t="s">
        <v>125</v>
      </c>
      <c r="B7251" s="8" t="s">
        <v>64</v>
      </c>
      <c r="C7251" s="8" t="str">
        <f>IFERROR(_xlfn.XLOOKUP(TRIM(B7251),Lookup!$B$2:$B$1000,Lookup!$C$2:$C$1000),"")</f>
        <v>Hybrid</v>
      </c>
      <c r="D7251" s="8" t="str">
        <f>IFERROR(INDEX('nav master'!$C:$C, MATCH(B7251, 'nav master'!$B:$B, 0)), "")</f>
        <v>ULIF08028/02/25DynamicFnd101</v>
      </c>
      <c r="E7251" s="8" t="s">
        <v>592</v>
      </c>
      <c r="F7251" s="8" t="s">
        <v>2901</v>
      </c>
    </row>
    <row r="7252" spans="1:6" ht="60" x14ac:dyDescent="0.25">
      <c r="A7252" s="8" t="s">
        <v>125</v>
      </c>
      <c r="B7252" s="8" t="s">
        <v>64</v>
      </c>
      <c r="C7252" s="8" t="str">
        <f>IFERROR(_xlfn.XLOOKUP(TRIM(B7252),Lookup!$B$2:$B$1000,Lookup!$C$2:$C$1000),"")</f>
        <v>Hybrid</v>
      </c>
      <c r="D7252" s="8" t="str">
        <f>IFERROR(INDEX('nav master'!$C:$C, MATCH(B7252, 'nav master'!$B:$B, 0)), "")</f>
        <v>ULIF08028/02/25DynamicFnd101</v>
      </c>
      <c r="E7252" s="8" t="s">
        <v>594</v>
      </c>
      <c r="F7252" s="8" t="s">
        <v>2902</v>
      </c>
    </row>
    <row r="7253" spans="1:6" ht="60" x14ac:dyDescent="0.25">
      <c r="A7253" s="8" t="s">
        <v>125</v>
      </c>
      <c r="B7253" s="8" t="s">
        <v>64</v>
      </c>
      <c r="C7253" s="8" t="str">
        <f>IFERROR(_xlfn.XLOOKUP(TRIM(B7253),Lookup!$B$2:$B$1000,Lookup!$C$2:$C$1000),"")</f>
        <v>Hybrid</v>
      </c>
      <c r="D7253" s="8" t="str">
        <f>IFERROR(INDEX('nav master'!$C:$C, MATCH(B7253, 'nav master'!$B:$B, 0)), "")</f>
        <v>ULIF08028/02/25DynamicFnd101</v>
      </c>
      <c r="E7253" s="8" t="s">
        <v>596</v>
      </c>
      <c r="F7253" s="8" t="s">
        <v>2903</v>
      </c>
    </row>
    <row r="7254" spans="1:6" ht="60" x14ac:dyDescent="0.25">
      <c r="A7254" s="8" t="s">
        <v>125</v>
      </c>
      <c r="B7254" s="8" t="s">
        <v>64</v>
      </c>
      <c r="C7254" s="8" t="str">
        <f>IFERROR(_xlfn.XLOOKUP(TRIM(B7254),Lookup!$B$2:$B$1000,Lookup!$C$2:$C$1000),"")</f>
        <v>Hybrid</v>
      </c>
      <c r="D7254" s="8" t="str">
        <f>IFERROR(INDEX('nav master'!$C:$C, MATCH(B7254, 'nav master'!$B:$B, 0)), "")</f>
        <v>ULIF08028/02/25DynamicFnd101</v>
      </c>
      <c r="E7254" s="8" t="s">
        <v>598</v>
      </c>
      <c r="F7254" s="8" t="s">
        <v>2904</v>
      </c>
    </row>
    <row r="7255" spans="1:6" ht="60" x14ac:dyDescent="0.25">
      <c r="A7255" s="8" t="s">
        <v>125</v>
      </c>
      <c r="B7255" s="8" t="s">
        <v>64</v>
      </c>
      <c r="C7255" s="8" t="str">
        <f>IFERROR(_xlfn.XLOOKUP(TRIM(B7255),Lookup!$B$2:$B$1000,Lookup!$C$2:$C$1000),"")</f>
        <v>Hybrid</v>
      </c>
      <c r="D7255" s="8" t="str">
        <f>IFERROR(INDEX('nav master'!$C:$C, MATCH(B7255, 'nav master'!$B:$B, 0)), "")</f>
        <v>ULIF08028/02/25DynamicFnd101</v>
      </c>
      <c r="E7255" s="8" t="s">
        <v>600</v>
      </c>
      <c r="F7255" s="8" t="s">
        <v>2905</v>
      </c>
    </row>
    <row r="7256" spans="1:6" ht="60" x14ac:dyDescent="0.25">
      <c r="A7256" s="8" t="s">
        <v>125</v>
      </c>
      <c r="B7256" s="8" t="s">
        <v>64</v>
      </c>
      <c r="C7256" s="8" t="str">
        <f>IFERROR(_xlfn.XLOOKUP(TRIM(B7256),Lookup!$B$2:$B$1000,Lookup!$C$2:$C$1000),"")</f>
        <v>Hybrid</v>
      </c>
      <c r="D7256" s="8" t="str">
        <f>IFERROR(INDEX('nav master'!$C:$C, MATCH(B7256, 'nav master'!$B:$B, 0)), "")</f>
        <v>ULIF08028/02/25DynamicFnd101</v>
      </c>
      <c r="E7256" s="8" t="s">
        <v>602</v>
      </c>
      <c r="F7256" s="8" t="s">
        <v>2906</v>
      </c>
    </row>
    <row r="7257" spans="1:6" ht="60" x14ac:dyDescent="0.25">
      <c r="A7257" s="8" t="s">
        <v>125</v>
      </c>
      <c r="B7257" s="8" t="s">
        <v>64</v>
      </c>
      <c r="C7257" s="8" t="str">
        <f>IFERROR(_xlfn.XLOOKUP(TRIM(B7257),Lookup!$B$2:$B$1000,Lookup!$C$2:$C$1000),"")</f>
        <v>Hybrid</v>
      </c>
      <c r="D7257" s="8" t="str">
        <f>IFERROR(INDEX('nav master'!$C:$C, MATCH(B7257, 'nav master'!$B:$B, 0)), "")</f>
        <v>ULIF08028/02/25DynamicFnd101</v>
      </c>
      <c r="E7257" s="8" t="s">
        <v>604</v>
      </c>
      <c r="F7257" s="8" t="s">
        <v>2907</v>
      </c>
    </row>
    <row r="7258" spans="1:6" ht="60" x14ac:dyDescent="0.25">
      <c r="A7258" s="8" t="s">
        <v>125</v>
      </c>
      <c r="B7258" s="8" t="s">
        <v>64</v>
      </c>
      <c r="C7258" s="8" t="str">
        <f>IFERROR(_xlfn.XLOOKUP(TRIM(B7258),Lookup!$B$2:$B$1000,Lookup!$C$2:$C$1000),"")</f>
        <v>Hybrid</v>
      </c>
      <c r="D7258" s="8" t="str">
        <f>IFERROR(INDEX('nav master'!$C:$C, MATCH(B7258, 'nav master'!$B:$B, 0)), "")</f>
        <v>ULIF08028/02/25DynamicFnd101</v>
      </c>
      <c r="E7258" s="8" t="s">
        <v>606</v>
      </c>
      <c r="F7258" s="8" t="s">
        <v>2908</v>
      </c>
    </row>
    <row r="7259" spans="1:6" ht="60" x14ac:dyDescent="0.25">
      <c r="A7259" s="8" t="s">
        <v>125</v>
      </c>
      <c r="B7259" s="8" t="s">
        <v>64</v>
      </c>
      <c r="C7259" s="8" t="str">
        <f>IFERROR(_xlfn.XLOOKUP(TRIM(B7259),Lookup!$B$2:$B$1000,Lookup!$C$2:$C$1000),"")</f>
        <v>Hybrid</v>
      </c>
      <c r="D7259" s="8" t="str">
        <f>IFERROR(INDEX('nav master'!$C:$C, MATCH(B7259, 'nav master'!$B:$B, 0)), "")</f>
        <v>ULIF08028/02/25DynamicFnd101</v>
      </c>
      <c r="E7259" s="8" t="s">
        <v>608</v>
      </c>
      <c r="F7259" s="8" t="s">
        <v>2909</v>
      </c>
    </row>
    <row r="7260" spans="1:6" ht="60" x14ac:dyDescent="0.25">
      <c r="A7260" s="8" t="s">
        <v>125</v>
      </c>
      <c r="B7260" s="8" t="s">
        <v>64</v>
      </c>
      <c r="C7260" s="8" t="str">
        <f>IFERROR(_xlfn.XLOOKUP(TRIM(B7260),Lookup!$B$2:$B$1000,Lookup!$C$2:$C$1000),"")</f>
        <v>Hybrid</v>
      </c>
      <c r="D7260" s="8" t="str">
        <f>IFERROR(INDEX('nav master'!$C:$C, MATCH(B7260, 'nav master'!$B:$B, 0)), "")</f>
        <v>ULIF08028/02/25DynamicFnd101</v>
      </c>
      <c r="E7260" s="8" t="s">
        <v>610</v>
      </c>
      <c r="F7260" s="8" t="s">
        <v>2910</v>
      </c>
    </row>
    <row r="7261" spans="1:6" ht="60" x14ac:dyDescent="0.25">
      <c r="A7261" s="8" t="s">
        <v>125</v>
      </c>
      <c r="B7261" s="8" t="s">
        <v>64</v>
      </c>
      <c r="C7261" s="8" t="str">
        <f>IFERROR(_xlfn.XLOOKUP(TRIM(B7261),Lookup!$B$2:$B$1000,Lookup!$C$2:$C$1000),"")</f>
        <v>Hybrid</v>
      </c>
      <c r="D7261" s="8" t="str">
        <f>IFERROR(INDEX('nav master'!$C:$C, MATCH(B7261, 'nav master'!$B:$B, 0)), "")</f>
        <v>ULIF08028/02/25DynamicFnd101</v>
      </c>
      <c r="E7261" s="8" t="s">
        <v>612</v>
      </c>
      <c r="F7261" s="8" t="s">
        <v>2911</v>
      </c>
    </row>
    <row r="7262" spans="1:6" ht="60" x14ac:dyDescent="0.25">
      <c r="A7262" s="8" t="s">
        <v>125</v>
      </c>
      <c r="B7262" s="8" t="s">
        <v>64</v>
      </c>
      <c r="C7262" s="8" t="str">
        <f>IFERROR(_xlfn.XLOOKUP(TRIM(B7262),Lookup!$B$2:$B$1000,Lookup!$C$2:$C$1000),"")</f>
        <v>Hybrid</v>
      </c>
      <c r="D7262" s="8" t="str">
        <f>IFERROR(INDEX('nav master'!$C:$C, MATCH(B7262, 'nav master'!$B:$B, 0)), "")</f>
        <v>ULIF08028/02/25DynamicFnd101</v>
      </c>
      <c r="E7262" s="8" t="s">
        <v>614</v>
      </c>
      <c r="F7262" s="8" t="s">
        <v>2912</v>
      </c>
    </row>
    <row r="7263" spans="1:6" ht="60" x14ac:dyDescent="0.25">
      <c r="A7263" s="8" t="s">
        <v>125</v>
      </c>
      <c r="B7263" s="8" t="s">
        <v>64</v>
      </c>
      <c r="C7263" s="8" t="str">
        <f>IFERROR(_xlfn.XLOOKUP(TRIM(B7263),Lookup!$B$2:$B$1000,Lookup!$C$2:$C$1000),"")</f>
        <v>Hybrid</v>
      </c>
      <c r="D7263" s="8" t="str">
        <f>IFERROR(INDEX('nav master'!$C:$C, MATCH(B7263, 'nav master'!$B:$B, 0)), "")</f>
        <v>ULIF08028/02/25DynamicFnd101</v>
      </c>
      <c r="E7263" s="8" t="s">
        <v>616</v>
      </c>
      <c r="F7263" s="8" t="s">
        <v>2913</v>
      </c>
    </row>
    <row r="7264" spans="1:6" ht="60" x14ac:dyDescent="0.25">
      <c r="A7264" s="8" t="s">
        <v>125</v>
      </c>
      <c r="B7264" s="8" t="s">
        <v>64</v>
      </c>
      <c r="C7264" s="8" t="str">
        <f>IFERROR(_xlfn.XLOOKUP(TRIM(B7264),Lookup!$B$2:$B$1000,Lookup!$C$2:$C$1000),"")</f>
        <v>Hybrid</v>
      </c>
      <c r="D7264" s="8" t="str">
        <f>IFERROR(INDEX('nav master'!$C:$C, MATCH(B7264, 'nav master'!$B:$B, 0)), "")</f>
        <v>ULIF08028/02/25DynamicFnd101</v>
      </c>
      <c r="E7264" s="8" t="s">
        <v>618</v>
      </c>
      <c r="F7264" s="8" t="s">
        <v>2914</v>
      </c>
    </row>
    <row r="7265" spans="1:6" ht="60" x14ac:dyDescent="0.25">
      <c r="A7265" s="8" t="s">
        <v>125</v>
      </c>
      <c r="B7265" s="8" t="s">
        <v>64</v>
      </c>
      <c r="C7265" s="8" t="str">
        <f>IFERROR(_xlfn.XLOOKUP(TRIM(B7265),Lookup!$B$2:$B$1000,Lookup!$C$2:$C$1000),"")</f>
        <v>Hybrid</v>
      </c>
      <c r="D7265" s="8" t="str">
        <f>IFERROR(INDEX('nav master'!$C:$C, MATCH(B7265, 'nav master'!$B:$B, 0)), "")</f>
        <v>ULIF08028/02/25DynamicFnd101</v>
      </c>
      <c r="E7265" s="8" t="s">
        <v>620</v>
      </c>
      <c r="F7265" s="8" t="s">
        <v>2915</v>
      </c>
    </row>
    <row r="7266" spans="1:6" ht="60" x14ac:dyDescent="0.25">
      <c r="A7266" s="8" t="s">
        <v>125</v>
      </c>
      <c r="B7266" s="8" t="s">
        <v>64</v>
      </c>
      <c r="C7266" s="8" t="str">
        <f>IFERROR(_xlfn.XLOOKUP(TRIM(B7266),Lookup!$B$2:$B$1000,Lookup!$C$2:$C$1000),"")</f>
        <v>Hybrid</v>
      </c>
      <c r="D7266" s="8" t="str">
        <f>IFERROR(INDEX('nav master'!$C:$C, MATCH(B7266, 'nav master'!$B:$B, 0)), "")</f>
        <v>ULIF08028/02/25DynamicFnd101</v>
      </c>
      <c r="E7266" s="8" t="s">
        <v>622</v>
      </c>
      <c r="F7266" s="8" t="s">
        <v>2916</v>
      </c>
    </row>
    <row r="7267" spans="1:6" ht="60" x14ac:dyDescent="0.25">
      <c r="A7267" s="8" t="s">
        <v>125</v>
      </c>
      <c r="B7267" s="8" t="s">
        <v>64</v>
      </c>
      <c r="C7267" s="8" t="str">
        <f>IFERROR(_xlfn.XLOOKUP(TRIM(B7267),Lookup!$B$2:$B$1000,Lookup!$C$2:$C$1000),"")</f>
        <v>Hybrid</v>
      </c>
      <c r="D7267" s="8" t="str">
        <f>IFERROR(INDEX('nav master'!$C:$C, MATCH(B7267, 'nav master'!$B:$B, 0)), "")</f>
        <v>ULIF08028/02/25DynamicFnd101</v>
      </c>
      <c r="E7267" s="8" t="s">
        <v>624</v>
      </c>
      <c r="F7267" s="8" t="s">
        <v>2917</v>
      </c>
    </row>
    <row r="7268" spans="1:6" ht="60" x14ac:dyDescent="0.25">
      <c r="A7268" s="8" t="s">
        <v>125</v>
      </c>
      <c r="B7268" s="8" t="s">
        <v>64</v>
      </c>
      <c r="C7268" s="8" t="str">
        <f>IFERROR(_xlfn.XLOOKUP(TRIM(B7268),Lookup!$B$2:$B$1000,Lookup!$C$2:$C$1000),"")</f>
        <v>Hybrid</v>
      </c>
      <c r="D7268" s="8" t="str">
        <f>IFERROR(INDEX('nav master'!$C:$C, MATCH(B7268, 'nav master'!$B:$B, 0)), "")</f>
        <v>ULIF08028/02/25DynamicFnd101</v>
      </c>
      <c r="E7268" s="8" t="s">
        <v>626</v>
      </c>
      <c r="F7268" s="8" t="s">
        <v>2918</v>
      </c>
    </row>
    <row r="7269" spans="1:6" ht="60" x14ac:dyDescent="0.25">
      <c r="A7269" s="8" t="s">
        <v>125</v>
      </c>
      <c r="B7269" s="8" t="s">
        <v>64</v>
      </c>
      <c r="C7269" s="8" t="str">
        <f>IFERROR(_xlfn.XLOOKUP(TRIM(B7269),Lookup!$B$2:$B$1000,Lookup!$C$2:$C$1000),"")</f>
        <v>Hybrid</v>
      </c>
      <c r="D7269" s="8" t="str">
        <f>IFERROR(INDEX('nav master'!$C:$C, MATCH(B7269, 'nav master'!$B:$B, 0)), "")</f>
        <v>ULIF08028/02/25DynamicFnd101</v>
      </c>
      <c r="E7269" s="8" t="s">
        <v>628</v>
      </c>
      <c r="F7269" s="8" t="s">
        <v>2919</v>
      </c>
    </row>
    <row r="7270" spans="1:6" ht="60" x14ac:dyDescent="0.25">
      <c r="A7270" s="8" t="s">
        <v>125</v>
      </c>
      <c r="B7270" s="8" t="s">
        <v>64</v>
      </c>
      <c r="C7270" s="8" t="str">
        <f>IFERROR(_xlfn.XLOOKUP(TRIM(B7270),Lookup!$B$2:$B$1000,Lookup!$C$2:$C$1000),"")</f>
        <v>Hybrid</v>
      </c>
      <c r="D7270" s="8" t="str">
        <f>IFERROR(INDEX('nav master'!$C:$C, MATCH(B7270, 'nav master'!$B:$B, 0)), "")</f>
        <v>ULIF08028/02/25DynamicFnd101</v>
      </c>
      <c r="E7270" s="8" t="s">
        <v>630</v>
      </c>
      <c r="F7270" s="8" t="s">
        <v>2920</v>
      </c>
    </row>
    <row r="7271" spans="1:6" ht="60" x14ac:dyDescent="0.25">
      <c r="A7271" s="8" t="s">
        <v>125</v>
      </c>
      <c r="B7271" s="8" t="s">
        <v>64</v>
      </c>
      <c r="C7271" s="8" t="str">
        <f>IFERROR(_xlfn.XLOOKUP(TRIM(B7271),Lookup!$B$2:$B$1000,Lookup!$C$2:$C$1000),"")</f>
        <v>Hybrid</v>
      </c>
      <c r="D7271" s="8" t="str">
        <f>IFERROR(INDEX('nav master'!$C:$C, MATCH(B7271, 'nav master'!$B:$B, 0)), "")</f>
        <v>ULIF08028/02/25DynamicFnd101</v>
      </c>
      <c r="E7271" s="8" t="s">
        <v>632</v>
      </c>
      <c r="F7271" s="8" t="s">
        <v>2921</v>
      </c>
    </row>
    <row r="7272" spans="1:6" ht="60" x14ac:dyDescent="0.25">
      <c r="A7272" s="8" t="s">
        <v>125</v>
      </c>
      <c r="B7272" s="8" t="s">
        <v>64</v>
      </c>
      <c r="C7272" s="8" t="str">
        <f>IFERROR(_xlfn.XLOOKUP(TRIM(B7272),Lookup!$B$2:$B$1000,Lookup!$C$2:$C$1000),"")</f>
        <v>Hybrid</v>
      </c>
      <c r="D7272" s="8" t="str">
        <f>IFERROR(INDEX('nav master'!$C:$C, MATCH(B7272, 'nav master'!$B:$B, 0)), "")</f>
        <v>ULIF08028/02/25DynamicFnd101</v>
      </c>
      <c r="E7272" s="8" t="s">
        <v>634</v>
      </c>
      <c r="F7272" s="8" t="s">
        <v>2922</v>
      </c>
    </row>
    <row r="7273" spans="1:6" ht="60" x14ac:dyDescent="0.25">
      <c r="A7273" s="8" t="s">
        <v>125</v>
      </c>
      <c r="B7273" s="8" t="s">
        <v>64</v>
      </c>
      <c r="C7273" s="8" t="str">
        <f>IFERROR(_xlfn.XLOOKUP(TRIM(B7273),Lookup!$B$2:$B$1000,Lookup!$C$2:$C$1000),"")</f>
        <v>Hybrid</v>
      </c>
      <c r="D7273" s="8" t="str">
        <f>IFERROR(INDEX('nav master'!$C:$C, MATCH(B7273, 'nav master'!$B:$B, 0)), "")</f>
        <v>ULIF08028/02/25DynamicFnd101</v>
      </c>
      <c r="E7273" s="8" t="s">
        <v>636</v>
      </c>
      <c r="F7273" s="8" t="s">
        <v>2923</v>
      </c>
    </row>
    <row r="7274" spans="1:6" ht="60" x14ac:dyDescent="0.25">
      <c r="A7274" s="8" t="s">
        <v>125</v>
      </c>
      <c r="B7274" s="8" t="s">
        <v>64</v>
      </c>
      <c r="C7274" s="8" t="str">
        <f>IFERROR(_xlfn.XLOOKUP(TRIM(B7274),Lookup!$B$2:$B$1000,Lookup!$C$2:$C$1000),"")</f>
        <v>Hybrid</v>
      </c>
      <c r="D7274" s="8" t="str">
        <f>IFERROR(INDEX('nav master'!$C:$C, MATCH(B7274, 'nav master'!$B:$B, 0)), "")</f>
        <v>ULIF08028/02/25DynamicFnd101</v>
      </c>
      <c r="E7274" s="8" t="s">
        <v>638</v>
      </c>
      <c r="F7274" s="8" t="s">
        <v>2924</v>
      </c>
    </row>
    <row r="7275" spans="1:6" ht="60" x14ac:dyDescent="0.25">
      <c r="A7275" s="8" t="s">
        <v>125</v>
      </c>
      <c r="B7275" s="8" t="s">
        <v>64</v>
      </c>
      <c r="C7275" s="8" t="str">
        <f>IFERROR(_xlfn.XLOOKUP(TRIM(B7275),Lookup!$B$2:$B$1000,Lookup!$C$2:$C$1000),"")</f>
        <v>Hybrid</v>
      </c>
      <c r="D7275" s="8" t="str">
        <f>IFERROR(INDEX('nav master'!$C:$C, MATCH(B7275, 'nav master'!$B:$B, 0)), "")</f>
        <v>ULIF08028/02/25DynamicFnd101</v>
      </c>
      <c r="E7275" s="8" t="s">
        <v>640</v>
      </c>
      <c r="F7275" s="8" t="s">
        <v>2925</v>
      </c>
    </row>
    <row r="7276" spans="1:6" ht="60" x14ac:dyDescent="0.25">
      <c r="A7276" s="8" t="s">
        <v>125</v>
      </c>
      <c r="B7276" s="8" t="s">
        <v>64</v>
      </c>
      <c r="C7276" s="8" t="str">
        <f>IFERROR(_xlfn.XLOOKUP(TRIM(B7276),Lookup!$B$2:$B$1000,Lookup!$C$2:$C$1000),"")</f>
        <v>Hybrid</v>
      </c>
      <c r="D7276" s="8" t="str">
        <f>IFERROR(INDEX('nav master'!$C:$C, MATCH(B7276, 'nav master'!$B:$B, 0)), "")</f>
        <v>ULIF08028/02/25DynamicFnd101</v>
      </c>
      <c r="E7276" s="8" t="s">
        <v>642</v>
      </c>
      <c r="F7276" s="8" t="s">
        <v>2926</v>
      </c>
    </row>
    <row r="7277" spans="1:6" ht="60" x14ac:dyDescent="0.25">
      <c r="A7277" s="8" t="s">
        <v>125</v>
      </c>
      <c r="B7277" s="8" t="s">
        <v>64</v>
      </c>
      <c r="C7277" s="8" t="str">
        <f>IFERROR(_xlfn.XLOOKUP(TRIM(B7277),Lookup!$B$2:$B$1000,Lookup!$C$2:$C$1000),"")</f>
        <v>Hybrid</v>
      </c>
      <c r="D7277" s="8" t="str">
        <f>IFERROR(INDEX('nav master'!$C:$C, MATCH(B7277, 'nav master'!$B:$B, 0)), "")</f>
        <v>ULIF08028/02/25DynamicFnd101</v>
      </c>
      <c r="E7277" s="8" t="s">
        <v>644</v>
      </c>
      <c r="F7277" s="8" t="s">
        <v>2927</v>
      </c>
    </row>
    <row r="7278" spans="1:6" ht="60" x14ac:dyDescent="0.25">
      <c r="A7278" s="8" t="s">
        <v>125</v>
      </c>
      <c r="B7278" s="8" t="s">
        <v>64</v>
      </c>
      <c r="C7278" s="8" t="str">
        <f>IFERROR(_xlfn.XLOOKUP(TRIM(B7278),Lookup!$B$2:$B$1000,Lookup!$C$2:$C$1000),"")</f>
        <v>Hybrid</v>
      </c>
      <c r="D7278" s="8" t="str">
        <f>IFERROR(INDEX('nav master'!$C:$C, MATCH(B7278, 'nav master'!$B:$B, 0)), "")</f>
        <v>ULIF08028/02/25DynamicFnd101</v>
      </c>
      <c r="E7278" s="8" t="s">
        <v>646</v>
      </c>
      <c r="F7278" s="8" t="s">
        <v>2928</v>
      </c>
    </row>
    <row r="7279" spans="1:6" ht="60" x14ac:dyDescent="0.25">
      <c r="A7279" s="8" t="s">
        <v>125</v>
      </c>
      <c r="B7279" s="8" t="s">
        <v>64</v>
      </c>
      <c r="C7279" s="8" t="str">
        <f>IFERROR(_xlfn.XLOOKUP(TRIM(B7279),Lookup!$B$2:$B$1000,Lookup!$C$2:$C$1000),"")</f>
        <v>Hybrid</v>
      </c>
      <c r="D7279" s="8" t="str">
        <f>IFERROR(INDEX('nav master'!$C:$C, MATCH(B7279, 'nav master'!$B:$B, 0)), "")</f>
        <v>ULIF08028/02/25DynamicFnd101</v>
      </c>
      <c r="E7279" s="8" t="s">
        <v>648</v>
      </c>
      <c r="F7279" s="8" t="s">
        <v>2929</v>
      </c>
    </row>
    <row r="7280" spans="1:6" ht="60" x14ac:dyDescent="0.25">
      <c r="A7280" s="8" t="s">
        <v>125</v>
      </c>
      <c r="B7280" s="8" t="s">
        <v>64</v>
      </c>
      <c r="C7280" s="8" t="str">
        <f>IFERROR(_xlfn.XLOOKUP(TRIM(B7280),Lookup!$B$2:$B$1000,Lookup!$C$2:$C$1000),"")</f>
        <v>Hybrid</v>
      </c>
      <c r="D7280" s="8" t="str">
        <f>IFERROR(INDEX('nav master'!$C:$C, MATCH(B7280, 'nav master'!$B:$B, 0)), "")</f>
        <v>ULIF08028/02/25DynamicFnd101</v>
      </c>
      <c r="E7280" s="8" t="s">
        <v>650</v>
      </c>
      <c r="F7280" s="8" t="s">
        <v>2930</v>
      </c>
    </row>
    <row r="7281" spans="1:6" ht="60" x14ac:dyDescent="0.25">
      <c r="A7281" s="8" t="s">
        <v>125</v>
      </c>
      <c r="B7281" s="8" t="s">
        <v>64</v>
      </c>
      <c r="C7281" s="8" t="str">
        <f>IFERROR(_xlfn.XLOOKUP(TRIM(B7281),Lookup!$B$2:$B$1000,Lookup!$C$2:$C$1000),"")</f>
        <v>Hybrid</v>
      </c>
      <c r="D7281" s="8" t="str">
        <f>IFERROR(INDEX('nav master'!$C:$C, MATCH(B7281, 'nav master'!$B:$B, 0)), "")</f>
        <v>ULIF08028/02/25DynamicFnd101</v>
      </c>
      <c r="E7281" s="8" t="s">
        <v>652</v>
      </c>
      <c r="F7281" s="8" t="s">
        <v>2931</v>
      </c>
    </row>
    <row r="7282" spans="1:6" ht="60" x14ac:dyDescent="0.25">
      <c r="A7282" s="8" t="s">
        <v>125</v>
      </c>
      <c r="B7282" s="8" t="s">
        <v>64</v>
      </c>
      <c r="C7282" s="8" t="str">
        <f>IFERROR(_xlfn.XLOOKUP(TRIM(B7282),Lookup!$B$2:$B$1000,Lookup!$C$2:$C$1000),"")</f>
        <v>Hybrid</v>
      </c>
      <c r="D7282" s="8" t="str">
        <f>IFERROR(INDEX('nav master'!$C:$C, MATCH(B7282, 'nav master'!$B:$B, 0)), "")</f>
        <v>ULIF08028/02/25DynamicFnd101</v>
      </c>
      <c r="E7282" s="8" t="s">
        <v>654</v>
      </c>
      <c r="F7282" s="8" t="s">
        <v>2932</v>
      </c>
    </row>
    <row r="7283" spans="1:6" ht="60" x14ac:dyDescent="0.25">
      <c r="A7283" s="8" t="s">
        <v>125</v>
      </c>
      <c r="B7283" s="8" t="s">
        <v>64</v>
      </c>
      <c r="C7283" s="8" t="str">
        <f>IFERROR(_xlfn.XLOOKUP(TRIM(B7283),Lookup!$B$2:$B$1000,Lookup!$C$2:$C$1000),"")</f>
        <v>Hybrid</v>
      </c>
      <c r="D7283" s="8" t="str">
        <f>IFERROR(INDEX('nav master'!$C:$C, MATCH(B7283, 'nav master'!$B:$B, 0)), "")</f>
        <v>ULIF08028/02/25DynamicFnd101</v>
      </c>
      <c r="E7283" s="8" t="s">
        <v>656</v>
      </c>
      <c r="F7283" s="8" t="s">
        <v>2933</v>
      </c>
    </row>
    <row r="7284" spans="1:6" ht="60" x14ac:dyDescent="0.25">
      <c r="A7284" s="8" t="s">
        <v>125</v>
      </c>
      <c r="B7284" s="8" t="s">
        <v>64</v>
      </c>
      <c r="C7284" s="8" t="str">
        <f>IFERROR(_xlfn.XLOOKUP(TRIM(B7284),Lookup!$B$2:$B$1000,Lookup!$C$2:$C$1000),"")</f>
        <v>Hybrid</v>
      </c>
      <c r="D7284" s="8" t="str">
        <f>IFERROR(INDEX('nav master'!$C:$C, MATCH(B7284, 'nav master'!$B:$B, 0)), "")</f>
        <v>ULIF08028/02/25DynamicFnd101</v>
      </c>
      <c r="E7284" s="8" t="s">
        <v>658</v>
      </c>
      <c r="F7284" s="8" t="s">
        <v>2934</v>
      </c>
    </row>
    <row r="7285" spans="1:6" ht="60" x14ac:dyDescent="0.25">
      <c r="A7285" s="8" t="s">
        <v>125</v>
      </c>
      <c r="B7285" s="8" t="s">
        <v>64</v>
      </c>
      <c r="C7285" s="8" t="str">
        <f>IFERROR(_xlfn.XLOOKUP(TRIM(B7285),Lookup!$B$2:$B$1000,Lookup!$C$2:$C$1000),"")</f>
        <v>Hybrid</v>
      </c>
      <c r="D7285" s="8" t="str">
        <f>IFERROR(INDEX('nav master'!$C:$C, MATCH(B7285, 'nav master'!$B:$B, 0)), "")</f>
        <v>ULIF08028/02/25DynamicFnd101</v>
      </c>
      <c r="E7285" s="8" t="s">
        <v>660</v>
      </c>
      <c r="F7285" s="8" t="s">
        <v>2935</v>
      </c>
    </row>
    <row r="7286" spans="1:6" ht="60" x14ac:dyDescent="0.25">
      <c r="A7286" s="8" t="s">
        <v>125</v>
      </c>
      <c r="B7286" s="8" t="s">
        <v>64</v>
      </c>
      <c r="C7286" s="8" t="str">
        <f>IFERROR(_xlfn.XLOOKUP(TRIM(B7286),Lookup!$B$2:$B$1000,Lookup!$C$2:$C$1000),"")</f>
        <v>Hybrid</v>
      </c>
      <c r="D7286" s="8" t="str">
        <f>IFERROR(INDEX('nav master'!$C:$C, MATCH(B7286, 'nav master'!$B:$B, 0)), "")</f>
        <v>ULIF08028/02/25DynamicFnd101</v>
      </c>
      <c r="E7286" s="8" t="s">
        <v>662</v>
      </c>
      <c r="F7286" s="8" t="s">
        <v>2936</v>
      </c>
    </row>
    <row r="7287" spans="1:6" ht="60" x14ac:dyDescent="0.25">
      <c r="A7287" s="8" t="s">
        <v>125</v>
      </c>
      <c r="B7287" s="8" t="s">
        <v>64</v>
      </c>
      <c r="C7287" s="8" t="str">
        <f>IFERROR(_xlfn.XLOOKUP(TRIM(B7287),Lookup!$B$2:$B$1000,Lookup!$C$2:$C$1000),"")</f>
        <v>Hybrid</v>
      </c>
      <c r="D7287" s="8" t="str">
        <f>IFERROR(INDEX('nav master'!$C:$C, MATCH(B7287, 'nav master'!$B:$B, 0)), "")</f>
        <v>ULIF08028/02/25DynamicFnd101</v>
      </c>
      <c r="E7287" s="8" t="s">
        <v>664</v>
      </c>
      <c r="F7287" s="8" t="s">
        <v>2937</v>
      </c>
    </row>
    <row r="7288" spans="1:6" ht="60" x14ac:dyDescent="0.25">
      <c r="A7288" s="8" t="s">
        <v>125</v>
      </c>
      <c r="B7288" s="8" t="s">
        <v>64</v>
      </c>
      <c r="C7288" s="8" t="str">
        <f>IFERROR(_xlfn.XLOOKUP(TRIM(B7288),Lookup!$B$2:$B$1000,Lookup!$C$2:$C$1000),"")</f>
        <v>Hybrid</v>
      </c>
      <c r="D7288" s="8" t="str">
        <f>IFERROR(INDEX('nav master'!$C:$C, MATCH(B7288, 'nav master'!$B:$B, 0)), "")</f>
        <v>ULIF08028/02/25DynamicFnd101</v>
      </c>
      <c r="E7288" s="8" t="s">
        <v>4892</v>
      </c>
      <c r="F7288" s="8" t="s">
        <v>4976</v>
      </c>
    </row>
    <row r="7289" spans="1:6" ht="60" x14ac:dyDescent="0.25">
      <c r="A7289" s="8" t="s">
        <v>125</v>
      </c>
      <c r="B7289" s="8" t="s">
        <v>64</v>
      </c>
      <c r="C7289" s="8" t="str">
        <f>IFERROR(_xlfn.XLOOKUP(TRIM(B7289),Lookup!$B$2:$B$1000,Lookup!$C$2:$C$1000),"")</f>
        <v>Hybrid</v>
      </c>
      <c r="D7289" s="8" t="str">
        <f>IFERROR(INDEX('nav master'!$C:$C, MATCH(B7289, 'nav master'!$B:$B, 0)), "")</f>
        <v>ULIF08028/02/25DynamicFnd101</v>
      </c>
      <c r="E7289" s="8" t="s">
        <v>4894</v>
      </c>
      <c r="F7289" s="8" t="s">
        <v>4977</v>
      </c>
    </row>
    <row r="7290" spans="1:6" ht="60" x14ac:dyDescent="0.25">
      <c r="A7290" s="8" t="s">
        <v>125</v>
      </c>
      <c r="B7290" s="8" t="s">
        <v>64</v>
      </c>
      <c r="C7290" s="8" t="str">
        <f>IFERROR(_xlfn.XLOOKUP(TRIM(B7290),Lookup!$B$2:$B$1000,Lookup!$C$2:$C$1000),"")</f>
        <v>Hybrid</v>
      </c>
      <c r="D7290" s="8" t="str">
        <f>IFERROR(INDEX('nav master'!$C:$C, MATCH(B7290, 'nav master'!$B:$B, 0)), "")</f>
        <v>ULIF08028/02/25DynamicFnd101</v>
      </c>
      <c r="E7290" s="8" t="s">
        <v>4896</v>
      </c>
      <c r="F7290" s="8" t="s">
        <v>4978</v>
      </c>
    </row>
    <row r="7291" spans="1:6" ht="60" x14ac:dyDescent="0.25">
      <c r="A7291" s="8" t="s">
        <v>125</v>
      </c>
      <c r="B7291" s="8" t="s">
        <v>64</v>
      </c>
      <c r="C7291" s="8" t="str">
        <f>IFERROR(_xlfn.XLOOKUP(TRIM(B7291),Lookup!$B$2:$B$1000,Lookup!$C$2:$C$1000),"")</f>
        <v>Hybrid</v>
      </c>
      <c r="D7291" s="8" t="str">
        <f>IFERROR(INDEX('nav master'!$C:$C, MATCH(B7291, 'nav master'!$B:$B, 0)), "")</f>
        <v>ULIF08028/02/25DynamicFnd101</v>
      </c>
      <c r="E7291" s="8" t="s">
        <v>4898</v>
      </c>
      <c r="F7291" s="8" t="s">
        <v>4979</v>
      </c>
    </row>
    <row r="7292" spans="1:6" ht="60" x14ac:dyDescent="0.25">
      <c r="A7292" s="8" t="s">
        <v>125</v>
      </c>
      <c r="B7292" s="8" t="s">
        <v>64</v>
      </c>
      <c r="C7292" s="8" t="str">
        <f>IFERROR(_xlfn.XLOOKUP(TRIM(B7292),Lookup!$B$2:$B$1000,Lookup!$C$2:$C$1000),"")</f>
        <v>Hybrid</v>
      </c>
      <c r="D7292" s="8" t="str">
        <f>IFERROR(INDEX('nav master'!$C:$C, MATCH(B7292, 'nav master'!$B:$B, 0)), "")</f>
        <v>ULIF08028/02/25DynamicFnd101</v>
      </c>
      <c r="E7292" s="8" t="s">
        <v>4900</v>
      </c>
      <c r="F7292" s="8" t="s">
        <v>4980</v>
      </c>
    </row>
    <row r="7293" spans="1:6" ht="60" x14ac:dyDescent="0.25">
      <c r="A7293" s="8" t="s">
        <v>125</v>
      </c>
      <c r="B7293" s="8" t="s">
        <v>64</v>
      </c>
      <c r="C7293" s="8" t="str">
        <f>IFERROR(_xlfn.XLOOKUP(TRIM(B7293),Lookup!$B$2:$B$1000,Lookup!$C$2:$C$1000),"")</f>
        <v>Hybrid</v>
      </c>
      <c r="D7293" s="8" t="str">
        <f>IFERROR(INDEX('nav master'!$C:$C, MATCH(B7293, 'nav master'!$B:$B, 0)), "")</f>
        <v>ULIF08028/02/25DynamicFnd101</v>
      </c>
      <c r="E7293" s="8" t="s">
        <v>4902</v>
      </c>
      <c r="F7293" s="8" t="s">
        <v>4981</v>
      </c>
    </row>
    <row r="7294" spans="1:6" ht="60" x14ac:dyDescent="0.25">
      <c r="A7294" s="8" t="s">
        <v>125</v>
      </c>
      <c r="B7294" s="8" t="s">
        <v>64</v>
      </c>
      <c r="C7294" s="8" t="str">
        <f>IFERROR(_xlfn.XLOOKUP(TRIM(B7294),Lookup!$B$2:$B$1000,Lookup!$C$2:$C$1000),"")</f>
        <v>Hybrid</v>
      </c>
      <c r="D7294" s="8" t="str">
        <f>IFERROR(INDEX('nav master'!$C:$C, MATCH(B7294, 'nav master'!$B:$B, 0)), "")</f>
        <v>ULIF08028/02/25DynamicFnd101</v>
      </c>
      <c r="E7294" s="8" t="s">
        <v>4903</v>
      </c>
      <c r="F7294" s="8" t="s">
        <v>4982</v>
      </c>
    </row>
    <row r="7295" spans="1:6" ht="60" x14ac:dyDescent="0.25">
      <c r="A7295" s="8" t="s">
        <v>125</v>
      </c>
      <c r="B7295" s="8" t="s">
        <v>64</v>
      </c>
      <c r="C7295" s="8" t="str">
        <f>IFERROR(_xlfn.XLOOKUP(TRIM(B7295),Lookup!$B$2:$B$1000,Lookup!$C$2:$C$1000),"")</f>
        <v>Hybrid</v>
      </c>
      <c r="D7295" s="8" t="str">
        <f>IFERROR(INDEX('nav master'!$C:$C, MATCH(B7295, 'nav master'!$B:$B, 0)), "")</f>
        <v>ULIF08028/02/25DynamicFnd101</v>
      </c>
      <c r="E7295" s="8" t="s">
        <v>4905</v>
      </c>
      <c r="F7295" s="8" t="s">
        <v>4983</v>
      </c>
    </row>
    <row r="7296" spans="1:6" ht="60" x14ac:dyDescent="0.25">
      <c r="A7296" s="8" t="s">
        <v>125</v>
      </c>
      <c r="B7296" s="8" t="s">
        <v>157</v>
      </c>
      <c r="C7296" s="8" t="str">
        <f>IFERROR(_xlfn.XLOOKUP(TRIM(B7296),Lookup!$B$2:$B$1000,Lookup!$C$2:$C$1000),"")</f>
        <v>Equity</v>
      </c>
      <c r="D7296" s="8" t="str">
        <f>IFERROR(INDEX('nav master'!$C:$C, MATCH(B7296, 'nav master'!$B:$B, 0)), "")</f>
        <v>ULIF07828/02/25Alpha300Fd101</v>
      </c>
      <c r="E7296" s="8" t="s">
        <v>189</v>
      </c>
      <c r="F7296" s="8" t="s">
        <v>2939</v>
      </c>
    </row>
    <row r="7297" spans="1:6" ht="60" x14ac:dyDescent="0.25">
      <c r="A7297" s="8" t="s">
        <v>125</v>
      </c>
      <c r="B7297" s="8" t="s">
        <v>157</v>
      </c>
      <c r="C7297" s="8" t="str">
        <f>IFERROR(_xlfn.XLOOKUP(TRIM(B7297),Lookup!$B$2:$B$1000,Lookup!$C$2:$C$1000),"")</f>
        <v>Equity</v>
      </c>
      <c r="D7297" s="8" t="str">
        <f>IFERROR(INDEX('nav master'!$C:$C, MATCH(B7297, 'nav master'!$B:$B, 0)), "")</f>
        <v>ULIF07828/02/25Alpha300Fd101</v>
      </c>
      <c r="E7297" s="8" t="s">
        <v>191</v>
      </c>
      <c r="F7297" s="8" t="s">
        <v>2940</v>
      </c>
    </row>
    <row r="7298" spans="1:6" ht="60" x14ac:dyDescent="0.25">
      <c r="A7298" s="8" t="s">
        <v>125</v>
      </c>
      <c r="B7298" s="8" t="s">
        <v>157</v>
      </c>
      <c r="C7298" s="8" t="str">
        <f>IFERROR(_xlfn.XLOOKUP(TRIM(B7298),Lookup!$B$2:$B$1000,Lookup!$C$2:$C$1000),"")</f>
        <v>Equity</v>
      </c>
      <c r="D7298" s="8" t="str">
        <f>IFERROR(INDEX('nav master'!$C:$C, MATCH(B7298, 'nav master'!$B:$B, 0)), "")</f>
        <v>ULIF07828/02/25Alpha300Fd101</v>
      </c>
      <c r="E7298" s="8" t="s">
        <v>193</v>
      </c>
      <c r="F7298" s="8" t="s">
        <v>2941</v>
      </c>
    </row>
    <row r="7299" spans="1:6" ht="60" x14ac:dyDescent="0.25">
      <c r="A7299" s="8" t="s">
        <v>125</v>
      </c>
      <c r="B7299" s="8" t="s">
        <v>157</v>
      </c>
      <c r="C7299" s="8" t="str">
        <f>IFERROR(_xlfn.XLOOKUP(TRIM(B7299),Lookup!$B$2:$B$1000,Lookup!$C$2:$C$1000),"")</f>
        <v>Equity</v>
      </c>
      <c r="D7299" s="8" t="str">
        <f>IFERROR(INDEX('nav master'!$C:$C, MATCH(B7299, 'nav master'!$B:$B, 0)), "")</f>
        <v>ULIF07828/02/25Alpha300Fd101</v>
      </c>
      <c r="E7299" s="8" t="s">
        <v>195</v>
      </c>
      <c r="F7299" s="8" t="s">
        <v>2942</v>
      </c>
    </row>
    <row r="7300" spans="1:6" ht="60" x14ac:dyDescent="0.25">
      <c r="A7300" s="8" t="s">
        <v>125</v>
      </c>
      <c r="B7300" s="8" t="s">
        <v>157</v>
      </c>
      <c r="C7300" s="8" t="str">
        <f>IFERROR(_xlfn.XLOOKUP(TRIM(B7300),Lookup!$B$2:$B$1000,Lookup!$C$2:$C$1000),"")</f>
        <v>Equity</v>
      </c>
      <c r="D7300" s="8" t="str">
        <f>IFERROR(INDEX('nav master'!$C:$C, MATCH(B7300, 'nav master'!$B:$B, 0)), "")</f>
        <v>ULIF07828/02/25Alpha300Fd101</v>
      </c>
      <c r="E7300" s="8" t="s">
        <v>197</v>
      </c>
      <c r="F7300" s="8" t="s">
        <v>2943</v>
      </c>
    </row>
    <row r="7301" spans="1:6" ht="60" x14ac:dyDescent="0.25">
      <c r="A7301" s="8" t="s">
        <v>125</v>
      </c>
      <c r="B7301" s="8" t="s">
        <v>157</v>
      </c>
      <c r="C7301" s="8" t="str">
        <f>IFERROR(_xlfn.XLOOKUP(TRIM(B7301),Lookup!$B$2:$B$1000,Lookup!$C$2:$C$1000),"")</f>
        <v>Equity</v>
      </c>
      <c r="D7301" s="8" t="str">
        <f>IFERROR(INDEX('nav master'!$C:$C, MATCH(B7301, 'nav master'!$B:$B, 0)), "")</f>
        <v>ULIF07828/02/25Alpha300Fd101</v>
      </c>
      <c r="E7301" s="8" t="s">
        <v>199</v>
      </c>
      <c r="F7301" s="8" t="s">
        <v>2944</v>
      </c>
    </row>
    <row r="7302" spans="1:6" ht="60" x14ac:dyDescent="0.25">
      <c r="A7302" s="8" t="s">
        <v>125</v>
      </c>
      <c r="B7302" s="8" t="s">
        <v>157</v>
      </c>
      <c r="C7302" s="8" t="str">
        <f>IFERROR(_xlfn.XLOOKUP(TRIM(B7302),Lookup!$B$2:$B$1000,Lookup!$C$2:$C$1000),"")</f>
        <v>Equity</v>
      </c>
      <c r="D7302" s="8" t="str">
        <f>IFERROR(INDEX('nav master'!$C:$C, MATCH(B7302, 'nav master'!$B:$B, 0)), "")</f>
        <v>ULIF07828/02/25Alpha300Fd101</v>
      </c>
      <c r="E7302" s="8" t="s">
        <v>201</v>
      </c>
      <c r="F7302" s="8" t="s">
        <v>2945</v>
      </c>
    </row>
    <row r="7303" spans="1:6" ht="60" x14ac:dyDescent="0.25">
      <c r="A7303" s="8" t="s">
        <v>125</v>
      </c>
      <c r="B7303" s="8" t="s">
        <v>157</v>
      </c>
      <c r="C7303" s="8" t="str">
        <f>IFERROR(_xlfn.XLOOKUP(TRIM(B7303),Lookup!$B$2:$B$1000,Lookup!$C$2:$C$1000),"")</f>
        <v>Equity</v>
      </c>
      <c r="D7303" s="8" t="str">
        <f>IFERROR(INDEX('nav master'!$C:$C, MATCH(B7303, 'nav master'!$B:$B, 0)), "")</f>
        <v>ULIF07828/02/25Alpha300Fd101</v>
      </c>
      <c r="E7303" s="8" t="s">
        <v>203</v>
      </c>
      <c r="F7303" s="8" t="s">
        <v>2946</v>
      </c>
    </row>
    <row r="7304" spans="1:6" ht="60" x14ac:dyDescent="0.25">
      <c r="A7304" s="8" t="s">
        <v>125</v>
      </c>
      <c r="B7304" s="8" t="s">
        <v>157</v>
      </c>
      <c r="C7304" s="8" t="str">
        <f>IFERROR(_xlfn.XLOOKUP(TRIM(B7304),Lookup!$B$2:$B$1000,Lookup!$C$2:$C$1000),"")</f>
        <v>Equity</v>
      </c>
      <c r="D7304" s="8" t="str">
        <f>IFERROR(INDEX('nav master'!$C:$C, MATCH(B7304, 'nav master'!$B:$B, 0)), "")</f>
        <v>ULIF07828/02/25Alpha300Fd101</v>
      </c>
      <c r="E7304" s="8" t="s">
        <v>205</v>
      </c>
      <c r="F7304" s="8" t="s">
        <v>2947</v>
      </c>
    </row>
    <row r="7305" spans="1:6" ht="60" x14ac:dyDescent="0.25">
      <c r="A7305" s="8" t="s">
        <v>125</v>
      </c>
      <c r="B7305" s="8" t="s">
        <v>157</v>
      </c>
      <c r="C7305" s="8" t="str">
        <f>IFERROR(_xlfn.XLOOKUP(TRIM(B7305),Lookup!$B$2:$B$1000,Lookup!$C$2:$C$1000),"")</f>
        <v>Equity</v>
      </c>
      <c r="D7305" s="8" t="str">
        <f>IFERROR(INDEX('nav master'!$C:$C, MATCH(B7305, 'nav master'!$B:$B, 0)), "")</f>
        <v>ULIF07828/02/25Alpha300Fd101</v>
      </c>
      <c r="E7305" s="8" t="s">
        <v>207</v>
      </c>
      <c r="F7305" s="8" t="s">
        <v>2948</v>
      </c>
    </row>
    <row r="7306" spans="1:6" ht="60" x14ac:dyDescent="0.25">
      <c r="A7306" s="8" t="s">
        <v>125</v>
      </c>
      <c r="B7306" s="8" t="s">
        <v>157</v>
      </c>
      <c r="C7306" s="8" t="str">
        <f>IFERROR(_xlfn.XLOOKUP(TRIM(B7306),Lookup!$B$2:$B$1000,Lookup!$C$2:$C$1000),"")</f>
        <v>Equity</v>
      </c>
      <c r="D7306" s="8" t="str">
        <f>IFERROR(INDEX('nav master'!$C:$C, MATCH(B7306, 'nav master'!$B:$B, 0)), "")</f>
        <v>ULIF07828/02/25Alpha300Fd101</v>
      </c>
      <c r="E7306" s="8" t="s">
        <v>209</v>
      </c>
      <c r="F7306" s="8" t="s">
        <v>2949</v>
      </c>
    </row>
    <row r="7307" spans="1:6" ht="60" x14ac:dyDescent="0.25">
      <c r="A7307" s="8" t="s">
        <v>125</v>
      </c>
      <c r="B7307" s="8" t="s">
        <v>157</v>
      </c>
      <c r="C7307" s="8" t="str">
        <f>IFERROR(_xlfn.XLOOKUP(TRIM(B7307),Lookup!$B$2:$B$1000,Lookup!$C$2:$C$1000),"")</f>
        <v>Equity</v>
      </c>
      <c r="D7307" s="8" t="str">
        <f>IFERROR(INDEX('nav master'!$C:$C, MATCH(B7307, 'nav master'!$B:$B, 0)), "")</f>
        <v>ULIF07828/02/25Alpha300Fd101</v>
      </c>
      <c r="E7307" s="8" t="s">
        <v>211</v>
      </c>
      <c r="F7307" s="8" t="s">
        <v>2950</v>
      </c>
    </row>
    <row r="7308" spans="1:6" ht="60" x14ac:dyDescent="0.25">
      <c r="A7308" s="8" t="s">
        <v>125</v>
      </c>
      <c r="B7308" s="8" t="s">
        <v>157</v>
      </c>
      <c r="C7308" s="8" t="str">
        <f>IFERROR(_xlfn.XLOOKUP(TRIM(B7308),Lookup!$B$2:$B$1000,Lookup!$C$2:$C$1000),"")</f>
        <v>Equity</v>
      </c>
      <c r="D7308" s="8" t="str">
        <f>IFERROR(INDEX('nav master'!$C:$C, MATCH(B7308, 'nav master'!$B:$B, 0)), "")</f>
        <v>ULIF07828/02/25Alpha300Fd101</v>
      </c>
      <c r="E7308" s="8" t="s">
        <v>213</v>
      </c>
      <c r="F7308" s="8" t="s">
        <v>2951</v>
      </c>
    </row>
    <row r="7309" spans="1:6" ht="60" x14ac:dyDescent="0.25">
      <c r="A7309" s="8" t="s">
        <v>125</v>
      </c>
      <c r="B7309" s="8" t="s">
        <v>157</v>
      </c>
      <c r="C7309" s="8" t="str">
        <f>IFERROR(_xlfn.XLOOKUP(TRIM(B7309),Lookup!$B$2:$B$1000,Lookup!$C$2:$C$1000),"")</f>
        <v>Equity</v>
      </c>
      <c r="D7309" s="8" t="str">
        <f>IFERROR(INDEX('nav master'!$C:$C, MATCH(B7309, 'nav master'!$B:$B, 0)), "")</f>
        <v>ULIF07828/02/25Alpha300Fd101</v>
      </c>
      <c r="E7309" s="8" t="s">
        <v>215</v>
      </c>
      <c r="F7309" s="8" t="s">
        <v>2952</v>
      </c>
    </row>
    <row r="7310" spans="1:6" ht="60" x14ac:dyDescent="0.25">
      <c r="A7310" s="8" t="s">
        <v>125</v>
      </c>
      <c r="B7310" s="8" t="s">
        <v>157</v>
      </c>
      <c r="C7310" s="8" t="str">
        <f>IFERROR(_xlfn.XLOOKUP(TRIM(B7310),Lookup!$B$2:$B$1000,Lookup!$C$2:$C$1000),"")</f>
        <v>Equity</v>
      </c>
      <c r="D7310" s="8" t="str">
        <f>IFERROR(INDEX('nav master'!$C:$C, MATCH(B7310, 'nav master'!$B:$B, 0)), "")</f>
        <v>ULIF07828/02/25Alpha300Fd101</v>
      </c>
      <c r="E7310" s="8" t="s">
        <v>217</v>
      </c>
      <c r="F7310" s="8" t="s">
        <v>2953</v>
      </c>
    </row>
    <row r="7311" spans="1:6" ht="60" x14ac:dyDescent="0.25">
      <c r="A7311" s="8" t="s">
        <v>125</v>
      </c>
      <c r="B7311" s="8" t="s">
        <v>157</v>
      </c>
      <c r="C7311" s="8" t="str">
        <f>IFERROR(_xlfn.XLOOKUP(TRIM(B7311),Lookup!$B$2:$B$1000,Lookup!$C$2:$C$1000),"")</f>
        <v>Equity</v>
      </c>
      <c r="D7311" s="8" t="str">
        <f>IFERROR(INDEX('nav master'!$C:$C, MATCH(B7311, 'nav master'!$B:$B, 0)), "")</f>
        <v>ULIF07828/02/25Alpha300Fd101</v>
      </c>
      <c r="E7311" s="8" t="s">
        <v>219</v>
      </c>
      <c r="F7311" s="8" t="s">
        <v>2954</v>
      </c>
    </row>
    <row r="7312" spans="1:6" ht="60" x14ac:dyDescent="0.25">
      <c r="A7312" s="8" t="s">
        <v>125</v>
      </c>
      <c r="B7312" s="8" t="s">
        <v>157</v>
      </c>
      <c r="C7312" s="8" t="str">
        <f>IFERROR(_xlfn.XLOOKUP(TRIM(B7312),Lookup!$B$2:$B$1000,Lookup!$C$2:$C$1000),"")</f>
        <v>Equity</v>
      </c>
      <c r="D7312" s="8" t="str">
        <f>IFERROR(INDEX('nav master'!$C:$C, MATCH(B7312, 'nav master'!$B:$B, 0)), "")</f>
        <v>ULIF07828/02/25Alpha300Fd101</v>
      </c>
      <c r="E7312" s="8" t="s">
        <v>221</v>
      </c>
      <c r="F7312" s="8" t="s">
        <v>2955</v>
      </c>
    </row>
    <row r="7313" spans="1:6" ht="60" x14ac:dyDescent="0.25">
      <c r="A7313" s="8" t="s">
        <v>125</v>
      </c>
      <c r="B7313" s="8" t="s">
        <v>157</v>
      </c>
      <c r="C7313" s="8" t="str">
        <f>IFERROR(_xlfn.XLOOKUP(TRIM(B7313),Lookup!$B$2:$B$1000,Lookup!$C$2:$C$1000),"")</f>
        <v>Equity</v>
      </c>
      <c r="D7313" s="8" t="str">
        <f>IFERROR(INDEX('nav master'!$C:$C, MATCH(B7313, 'nav master'!$B:$B, 0)), "")</f>
        <v>ULIF07828/02/25Alpha300Fd101</v>
      </c>
      <c r="E7313" s="8" t="s">
        <v>223</v>
      </c>
      <c r="F7313" s="8" t="s">
        <v>2956</v>
      </c>
    </row>
    <row r="7314" spans="1:6" ht="60" x14ac:dyDescent="0.25">
      <c r="A7314" s="8" t="s">
        <v>125</v>
      </c>
      <c r="B7314" s="8" t="s">
        <v>157</v>
      </c>
      <c r="C7314" s="8" t="str">
        <f>IFERROR(_xlfn.XLOOKUP(TRIM(B7314),Lookup!$B$2:$B$1000,Lookup!$C$2:$C$1000),"")</f>
        <v>Equity</v>
      </c>
      <c r="D7314" s="8" t="str">
        <f>IFERROR(INDEX('nav master'!$C:$C, MATCH(B7314, 'nav master'!$B:$B, 0)), "")</f>
        <v>ULIF07828/02/25Alpha300Fd101</v>
      </c>
      <c r="E7314" s="8" t="s">
        <v>225</v>
      </c>
      <c r="F7314" s="8" t="s">
        <v>2957</v>
      </c>
    </row>
    <row r="7315" spans="1:6" ht="60" x14ac:dyDescent="0.25">
      <c r="A7315" s="8" t="s">
        <v>125</v>
      </c>
      <c r="B7315" s="8" t="s">
        <v>157</v>
      </c>
      <c r="C7315" s="8" t="str">
        <f>IFERROR(_xlfn.XLOOKUP(TRIM(B7315),Lookup!$B$2:$B$1000,Lookup!$C$2:$C$1000),"")</f>
        <v>Equity</v>
      </c>
      <c r="D7315" s="8" t="str">
        <f>IFERROR(INDEX('nav master'!$C:$C, MATCH(B7315, 'nav master'!$B:$B, 0)), "")</f>
        <v>ULIF07828/02/25Alpha300Fd101</v>
      </c>
      <c r="E7315" s="8" t="s">
        <v>227</v>
      </c>
      <c r="F7315" s="8" t="s">
        <v>2958</v>
      </c>
    </row>
    <row r="7316" spans="1:6" ht="60" x14ac:dyDescent="0.25">
      <c r="A7316" s="8" t="s">
        <v>125</v>
      </c>
      <c r="B7316" s="8" t="s">
        <v>157</v>
      </c>
      <c r="C7316" s="8" t="str">
        <f>IFERROR(_xlfn.XLOOKUP(TRIM(B7316),Lookup!$B$2:$B$1000,Lookup!$C$2:$C$1000),"")</f>
        <v>Equity</v>
      </c>
      <c r="D7316" s="8" t="str">
        <f>IFERROR(INDEX('nav master'!$C:$C, MATCH(B7316, 'nav master'!$B:$B, 0)), "")</f>
        <v>ULIF07828/02/25Alpha300Fd101</v>
      </c>
      <c r="E7316" s="8" t="s">
        <v>229</v>
      </c>
      <c r="F7316" s="8" t="s">
        <v>2959</v>
      </c>
    </row>
    <row r="7317" spans="1:6" ht="60" x14ac:dyDescent="0.25">
      <c r="A7317" s="8" t="s">
        <v>125</v>
      </c>
      <c r="B7317" s="8" t="s">
        <v>157</v>
      </c>
      <c r="C7317" s="8" t="str">
        <f>IFERROR(_xlfn.XLOOKUP(TRIM(B7317),Lookup!$B$2:$B$1000,Lookup!$C$2:$C$1000),"")</f>
        <v>Equity</v>
      </c>
      <c r="D7317" s="8" t="str">
        <f>IFERROR(INDEX('nav master'!$C:$C, MATCH(B7317, 'nav master'!$B:$B, 0)), "")</f>
        <v>ULIF07828/02/25Alpha300Fd101</v>
      </c>
      <c r="E7317" s="8" t="s">
        <v>231</v>
      </c>
      <c r="F7317" s="8" t="s">
        <v>2960</v>
      </c>
    </row>
    <row r="7318" spans="1:6" ht="60" x14ac:dyDescent="0.25">
      <c r="A7318" s="8" t="s">
        <v>125</v>
      </c>
      <c r="B7318" s="8" t="s">
        <v>157</v>
      </c>
      <c r="C7318" s="8" t="str">
        <f>IFERROR(_xlfn.XLOOKUP(TRIM(B7318),Lookup!$B$2:$B$1000,Lookup!$C$2:$C$1000),"")</f>
        <v>Equity</v>
      </c>
      <c r="D7318" s="8" t="str">
        <f>IFERROR(INDEX('nav master'!$C:$C, MATCH(B7318, 'nav master'!$B:$B, 0)), "")</f>
        <v>ULIF07828/02/25Alpha300Fd101</v>
      </c>
      <c r="E7318" s="8" t="s">
        <v>233</v>
      </c>
      <c r="F7318" s="8" t="s">
        <v>2961</v>
      </c>
    </row>
    <row r="7319" spans="1:6" ht="60" x14ac:dyDescent="0.25">
      <c r="A7319" s="8" t="s">
        <v>125</v>
      </c>
      <c r="B7319" s="8" t="s">
        <v>157</v>
      </c>
      <c r="C7319" s="8" t="str">
        <f>IFERROR(_xlfn.XLOOKUP(TRIM(B7319),Lookup!$B$2:$B$1000,Lookup!$C$2:$C$1000),"")</f>
        <v>Equity</v>
      </c>
      <c r="D7319" s="8" t="str">
        <f>IFERROR(INDEX('nav master'!$C:$C, MATCH(B7319, 'nav master'!$B:$B, 0)), "")</f>
        <v>ULIF07828/02/25Alpha300Fd101</v>
      </c>
      <c r="E7319" s="8" t="s">
        <v>235</v>
      </c>
      <c r="F7319" s="8" t="s">
        <v>2962</v>
      </c>
    </row>
    <row r="7320" spans="1:6" ht="60" x14ac:dyDescent="0.25">
      <c r="A7320" s="8" t="s">
        <v>125</v>
      </c>
      <c r="B7320" s="8" t="s">
        <v>157</v>
      </c>
      <c r="C7320" s="8" t="str">
        <f>IFERROR(_xlfn.XLOOKUP(TRIM(B7320),Lookup!$B$2:$B$1000,Lookup!$C$2:$C$1000),"")</f>
        <v>Equity</v>
      </c>
      <c r="D7320" s="8" t="str">
        <f>IFERROR(INDEX('nav master'!$C:$C, MATCH(B7320, 'nav master'!$B:$B, 0)), "")</f>
        <v>ULIF07828/02/25Alpha300Fd101</v>
      </c>
      <c r="E7320" s="8" t="s">
        <v>237</v>
      </c>
      <c r="F7320" s="8" t="s">
        <v>2963</v>
      </c>
    </row>
    <row r="7321" spans="1:6" ht="60" x14ac:dyDescent="0.25">
      <c r="A7321" s="8" t="s">
        <v>125</v>
      </c>
      <c r="B7321" s="8" t="s">
        <v>157</v>
      </c>
      <c r="C7321" s="8" t="str">
        <f>IFERROR(_xlfn.XLOOKUP(TRIM(B7321),Lookup!$B$2:$B$1000,Lookup!$C$2:$C$1000),"")</f>
        <v>Equity</v>
      </c>
      <c r="D7321" s="8" t="str">
        <f>IFERROR(INDEX('nav master'!$C:$C, MATCH(B7321, 'nav master'!$B:$B, 0)), "")</f>
        <v>ULIF07828/02/25Alpha300Fd101</v>
      </c>
      <c r="E7321" s="8" t="s">
        <v>239</v>
      </c>
      <c r="F7321" s="8" t="s">
        <v>2964</v>
      </c>
    </row>
    <row r="7322" spans="1:6" ht="60" x14ac:dyDescent="0.25">
      <c r="A7322" s="8" t="s">
        <v>125</v>
      </c>
      <c r="B7322" s="8" t="s">
        <v>157</v>
      </c>
      <c r="C7322" s="8" t="str">
        <f>IFERROR(_xlfn.XLOOKUP(TRIM(B7322),Lookup!$B$2:$B$1000,Lookup!$C$2:$C$1000),"")</f>
        <v>Equity</v>
      </c>
      <c r="D7322" s="8" t="str">
        <f>IFERROR(INDEX('nav master'!$C:$C, MATCH(B7322, 'nav master'!$B:$B, 0)), "")</f>
        <v>ULIF07828/02/25Alpha300Fd101</v>
      </c>
      <c r="E7322" s="8" t="s">
        <v>241</v>
      </c>
      <c r="F7322" s="8" t="s">
        <v>2965</v>
      </c>
    </row>
    <row r="7323" spans="1:6" ht="60" x14ac:dyDescent="0.25">
      <c r="A7323" s="8" t="s">
        <v>125</v>
      </c>
      <c r="B7323" s="8" t="s">
        <v>157</v>
      </c>
      <c r="C7323" s="8" t="str">
        <f>IFERROR(_xlfn.XLOOKUP(TRIM(B7323),Lookup!$B$2:$B$1000,Lookup!$C$2:$C$1000),"")</f>
        <v>Equity</v>
      </c>
      <c r="D7323" s="8" t="str">
        <f>IFERROR(INDEX('nav master'!$C:$C, MATCH(B7323, 'nav master'!$B:$B, 0)), "")</f>
        <v>ULIF07828/02/25Alpha300Fd101</v>
      </c>
      <c r="E7323" s="8" t="s">
        <v>243</v>
      </c>
      <c r="F7323" s="8" t="s">
        <v>2966</v>
      </c>
    </row>
    <row r="7324" spans="1:6" ht="60" x14ac:dyDescent="0.25">
      <c r="A7324" s="8" t="s">
        <v>125</v>
      </c>
      <c r="B7324" s="8" t="s">
        <v>157</v>
      </c>
      <c r="C7324" s="8" t="str">
        <f>IFERROR(_xlfn.XLOOKUP(TRIM(B7324),Lookup!$B$2:$B$1000,Lookup!$C$2:$C$1000),"")</f>
        <v>Equity</v>
      </c>
      <c r="D7324" s="8" t="str">
        <f>IFERROR(INDEX('nav master'!$C:$C, MATCH(B7324, 'nav master'!$B:$B, 0)), "")</f>
        <v>ULIF07828/02/25Alpha300Fd101</v>
      </c>
      <c r="E7324" s="8" t="s">
        <v>245</v>
      </c>
      <c r="F7324" s="8" t="s">
        <v>2967</v>
      </c>
    </row>
    <row r="7325" spans="1:6" ht="60" x14ac:dyDescent="0.25">
      <c r="A7325" s="8" t="s">
        <v>125</v>
      </c>
      <c r="B7325" s="8" t="s">
        <v>157</v>
      </c>
      <c r="C7325" s="8" t="str">
        <f>IFERROR(_xlfn.XLOOKUP(TRIM(B7325),Lookup!$B$2:$B$1000,Lookup!$C$2:$C$1000),"")</f>
        <v>Equity</v>
      </c>
      <c r="D7325" s="8" t="str">
        <f>IFERROR(INDEX('nav master'!$C:$C, MATCH(B7325, 'nav master'!$B:$B, 0)), "")</f>
        <v>ULIF07828/02/25Alpha300Fd101</v>
      </c>
      <c r="E7325" s="8" t="s">
        <v>247</v>
      </c>
      <c r="F7325" s="8" t="s">
        <v>2968</v>
      </c>
    </row>
    <row r="7326" spans="1:6" ht="60" x14ac:dyDescent="0.25">
      <c r="A7326" s="8" t="s">
        <v>125</v>
      </c>
      <c r="B7326" s="8" t="s">
        <v>157</v>
      </c>
      <c r="C7326" s="8" t="str">
        <f>IFERROR(_xlfn.XLOOKUP(TRIM(B7326),Lookup!$B$2:$B$1000,Lookup!$C$2:$C$1000),"")</f>
        <v>Equity</v>
      </c>
      <c r="D7326" s="8" t="str">
        <f>IFERROR(INDEX('nav master'!$C:$C, MATCH(B7326, 'nav master'!$B:$B, 0)), "")</f>
        <v>ULIF07828/02/25Alpha300Fd101</v>
      </c>
      <c r="E7326" s="8" t="s">
        <v>249</v>
      </c>
      <c r="F7326" s="8" t="s">
        <v>2969</v>
      </c>
    </row>
    <row r="7327" spans="1:6" ht="60" x14ac:dyDescent="0.25">
      <c r="A7327" s="8" t="s">
        <v>125</v>
      </c>
      <c r="B7327" s="8" t="s">
        <v>157</v>
      </c>
      <c r="C7327" s="8" t="str">
        <f>IFERROR(_xlfn.XLOOKUP(TRIM(B7327),Lookup!$B$2:$B$1000,Lookup!$C$2:$C$1000),"")</f>
        <v>Equity</v>
      </c>
      <c r="D7327" s="8" t="str">
        <f>IFERROR(INDEX('nav master'!$C:$C, MATCH(B7327, 'nav master'!$B:$B, 0)), "")</f>
        <v>ULIF07828/02/25Alpha300Fd101</v>
      </c>
      <c r="E7327" s="8" t="s">
        <v>251</v>
      </c>
      <c r="F7327" s="8" t="s">
        <v>2970</v>
      </c>
    </row>
    <row r="7328" spans="1:6" ht="60" x14ac:dyDescent="0.25">
      <c r="A7328" s="8" t="s">
        <v>125</v>
      </c>
      <c r="B7328" s="8" t="s">
        <v>157</v>
      </c>
      <c r="C7328" s="8" t="str">
        <f>IFERROR(_xlfn.XLOOKUP(TRIM(B7328),Lookup!$B$2:$B$1000,Lookup!$C$2:$C$1000),"")</f>
        <v>Equity</v>
      </c>
      <c r="D7328" s="8" t="str">
        <f>IFERROR(INDEX('nav master'!$C:$C, MATCH(B7328, 'nav master'!$B:$B, 0)), "")</f>
        <v>ULIF07828/02/25Alpha300Fd101</v>
      </c>
      <c r="E7328" s="8" t="s">
        <v>253</v>
      </c>
      <c r="F7328" s="8" t="s">
        <v>2971</v>
      </c>
    </row>
    <row r="7329" spans="1:6" ht="60" x14ac:dyDescent="0.25">
      <c r="A7329" s="8" t="s">
        <v>125</v>
      </c>
      <c r="B7329" s="8" t="s">
        <v>157</v>
      </c>
      <c r="C7329" s="8" t="str">
        <f>IFERROR(_xlfn.XLOOKUP(TRIM(B7329),Lookup!$B$2:$B$1000,Lookup!$C$2:$C$1000),"")</f>
        <v>Equity</v>
      </c>
      <c r="D7329" s="8" t="str">
        <f>IFERROR(INDEX('nav master'!$C:$C, MATCH(B7329, 'nav master'!$B:$B, 0)), "")</f>
        <v>ULIF07828/02/25Alpha300Fd101</v>
      </c>
      <c r="E7329" s="8" t="s">
        <v>255</v>
      </c>
      <c r="F7329" s="8" t="s">
        <v>2972</v>
      </c>
    </row>
    <row r="7330" spans="1:6" ht="60" x14ac:dyDescent="0.25">
      <c r="A7330" s="8" t="s">
        <v>125</v>
      </c>
      <c r="B7330" s="8" t="s">
        <v>157</v>
      </c>
      <c r="C7330" s="8" t="str">
        <f>IFERROR(_xlfn.XLOOKUP(TRIM(B7330),Lookup!$B$2:$B$1000,Lookup!$C$2:$C$1000),"")</f>
        <v>Equity</v>
      </c>
      <c r="D7330" s="8" t="str">
        <f>IFERROR(INDEX('nav master'!$C:$C, MATCH(B7330, 'nav master'!$B:$B, 0)), "")</f>
        <v>ULIF07828/02/25Alpha300Fd101</v>
      </c>
      <c r="E7330" s="8" t="s">
        <v>257</v>
      </c>
      <c r="F7330" s="8" t="s">
        <v>2973</v>
      </c>
    </row>
    <row r="7331" spans="1:6" ht="60" x14ac:dyDescent="0.25">
      <c r="A7331" s="8" t="s">
        <v>125</v>
      </c>
      <c r="B7331" s="8" t="s">
        <v>157</v>
      </c>
      <c r="C7331" s="8" t="str">
        <f>IFERROR(_xlfn.XLOOKUP(TRIM(B7331),Lookup!$B$2:$B$1000,Lookup!$C$2:$C$1000),"")</f>
        <v>Equity</v>
      </c>
      <c r="D7331" s="8" t="str">
        <f>IFERROR(INDEX('nav master'!$C:$C, MATCH(B7331, 'nav master'!$B:$B, 0)), "")</f>
        <v>ULIF07828/02/25Alpha300Fd101</v>
      </c>
      <c r="E7331" s="8" t="s">
        <v>259</v>
      </c>
      <c r="F7331" s="8" t="s">
        <v>2974</v>
      </c>
    </row>
    <row r="7332" spans="1:6" ht="60" x14ac:dyDescent="0.25">
      <c r="A7332" s="8" t="s">
        <v>125</v>
      </c>
      <c r="B7332" s="8" t="s">
        <v>157</v>
      </c>
      <c r="C7332" s="8" t="str">
        <f>IFERROR(_xlfn.XLOOKUP(TRIM(B7332),Lookup!$B$2:$B$1000,Lookup!$C$2:$C$1000),"")</f>
        <v>Equity</v>
      </c>
      <c r="D7332" s="8" t="str">
        <f>IFERROR(INDEX('nav master'!$C:$C, MATCH(B7332, 'nav master'!$B:$B, 0)), "")</f>
        <v>ULIF07828/02/25Alpha300Fd101</v>
      </c>
      <c r="E7332" s="8" t="s">
        <v>261</v>
      </c>
      <c r="F7332" s="8" t="s">
        <v>2975</v>
      </c>
    </row>
    <row r="7333" spans="1:6" ht="60" x14ac:dyDescent="0.25">
      <c r="A7333" s="8" t="s">
        <v>125</v>
      </c>
      <c r="B7333" s="8" t="s">
        <v>157</v>
      </c>
      <c r="C7333" s="8" t="str">
        <f>IFERROR(_xlfn.XLOOKUP(TRIM(B7333),Lookup!$B$2:$B$1000,Lookup!$C$2:$C$1000),"")</f>
        <v>Equity</v>
      </c>
      <c r="D7333" s="8" t="str">
        <f>IFERROR(INDEX('nav master'!$C:$C, MATCH(B7333, 'nav master'!$B:$B, 0)), "")</f>
        <v>ULIF07828/02/25Alpha300Fd101</v>
      </c>
      <c r="E7333" s="8" t="s">
        <v>263</v>
      </c>
      <c r="F7333" s="8" t="s">
        <v>2976</v>
      </c>
    </row>
    <row r="7334" spans="1:6" ht="60" x14ac:dyDescent="0.25">
      <c r="A7334" s="8" t="s">
        <v>125</v>
      </c>
      <c r="B7334" s="8" t="s">
        <v>157</v>
      </c>
      <c r="C7334" s="8" t="str">
        <f>IFERROR(_xlfn.XLOOKUP(TRIM(B7334),Lookup!$B$2:$B$1000,Lookup!$C$2:$C$1000),"")</f>
        <v>Equity</v>
      </c>
      <c r="D7334" s="8" t="str">
        <f>IFERROR(INDEX('nav master'!$C:$C, MATCH(B7334, 'nav master'!$B:$B, 0)), "")</f>
        <v>ULIF07828/02/25Alpha300Fd101</v>
      </c>
      <c r="E7334" s="8" t="s">
        <v>265</v>
      </c>
      <c r="F7334" s="8" t="s">
        <v>2977</v>
      </c>
    </row>
    <row r="7335" spans="1:6" ht="60" x14ac:dyDescent="0.25">
      <c r="A7335" s="8" t="s">
        <v>125</v>
      </c>
      <c r="B7335" s="8" t="s">
        <v>157</v>
      </c>
      <c r="C7335" s="8" t="str">
        <f>IFERROR(_xlfn.XLOOKUP(TRIM(B7335),Lookup!$B$2:$B$1000,Lookup!$C$2:$C$1000),"")</f>
        <v>Equity</v>
      </c>
      <c r="D7335" s="8" t="str">
        <f>IFERROR(INDEX('nav master'!$C:$C, MATCH(B7335, 'nav master'!$B:$B, 0)), "")</f>
        <v>ULIF07828/02/25Alpha300Fd101</v>
      </c>
      <c r="E7335" s="8" t="s">
        <v>267</v>
      </c>
      <c r="F7335" s="8" t="s">
        <v>2978</v>
      </c>
    </row>
    <row r="7336" spans="1:6" ht="60" x14ac:dyDescent="0.25">
      <c r="A7336" s="8" t="s">
        <v>125</v>
      </c>
      <c r="B7336" s="8" t="s">
        <v>157</v>
      </c>
      <c r="C7336" s="8" t="str">
        <f>IFERROR(_xlfn.XLOOKUP(TRIM(B7336),Lookup!$B$2:$B$1000,Lookup!$C$2:$C$1000),"")</f>
        <v>Equity</v>
      </c>
      <c r="D7336" s="8" t="str">
        <f>IFERROR(INDEX('nav master'!$C:$C, MATCH(B7336, 'nav master'!$B:$B, 0)), "")</f>
        <v>ULIF07828/02/25Alpha300Fd101</v>
      </c>
      <c r="E7336" s="8" t="s">
        <v>269</v>
      </c>
      <c r="F7336" s="8" t="s">
        <v>2979</v>
      </c>
    </row>
    <row r="7337" spans="1:6" ht="60" x14ac:dyDescent="0.25">
      <c r="A7337" s="8" t="s">
        <v>125</v>
      </c>
      <c r="B7337" s="8" t="s">
        <v>157</v>
      </c>
      <c r="C7337" s="8" t="str">
        <f>IFERROR(_xlfn.XLOOKUP(TRIM(B7337),Lookup!$B$2:$B$1000,Lookup!$C$2:$C$1000),"")</f>
        <v>Equity</v>
      </c>
      <c r="D7337" s="8" t="str">
        <f>IFERROR(INDEX('nav master'!$C:$C, MATCH(B7337, 'nav master'!$B:$B, 0)), "")</f>
        <v>ULIF07828/02/25Alpha300Fd101</v>
      </c>
      <c r="E7337" s="8" t="s">
        <v>271</v>
      </c>
      <c r="F7337" s="8" t="s">
        <v>2980</v>
      </c>
    </row>
    <row r="7338" spans="1:6" ht="60" x14ac:dyDescent="0.25">
      <c r="A7338" s="8" t="s">
        <v>125</v>
      </c>
      <c r="B7338" s="8" t="s">
        <v>157</v>
      </c>
      <c r="C7338" s="8" t="str">
        <f>IFERROR(_xlfn.XLOOKUP(TRIM(B7338),Lookup!$B$2:$B$1000,Lookup!$C$2:$C$1000),"")</f>
        <v>Equity</v>
      </c>
      <c r="D7338" s="8" t="str">
        <f>IFERROR(INDEX('nav master'!$C:$C, MATCH(B7338, 'nav master'!$B:$B, 0)), "")</f>
        <v>ULIF07828/02/25Alpha300Fd101</v>
      </c>
      <c r="E7338" s="8" t="s">
        <v>273</v>
      </c>
      <c r="F7338" s="8" t="s">
        <v>2981</v>
      </c>
    </row>
    <row r="7339" spans="1:6" ht="60" x14ac:dyDescent="0.25">
      <c r="A7339" s="8" t="s">
        <v>125</v>
      </c>
      <c r="B7339" s="8" t="s">
        <v>157</v>
      </c>
      <c r="C7339" s="8" t="str">
        <f>IFERROR(_xlfn.XLOOKUP(TRIM(B7339),Lookup!$B$2:$B$1000,Lookup!$C$2:$C$1000),"")</f>
        <v>Equity</v>
      </c>
      <c r="D7339" s="8" t="str">
        <f>IFERROR(INDEX('nav master'!$C:$C, MATCH(B7339, 'nav master'!$B:$B, 0)), "")</f>
        <v>ULIF07828/02/25Alpha300Fd101</v>
      </c>
      <c r="E7339" s="8" t="s">
        <v>275</v>
      </c>
      <c r="F7339" s="8" t="s">
        <v>2982</v>
      </c>
    </row>
    <row r="7340" spans="1:6" ht="60" x14ac:dyDescent="0.25">
      <c r="A7340" s="8" t="s">
        <v>125</v>
      </c>
      <c r="B7340" s="8" t="s">
        <v>157</v>
      </c>
      <c r="C7340" s="8" t="str">
        <f>IFERROR(_xlfn.XLOOKUP(TRIM(B7340),Lookup!$B$2:$B$1000,Lookup!$C$2:$C$1000),"")</f>
        <v>Equity</v>
      </c>
      <c r="D7340" s="8" t="str">
        <f>IFERROR(INDEX('nav master'!$C:$C, MATCH(B7340, 'nav master'!$B:$B, 0)), "")</f>
        <v>ULIF07828/02/25Alpha300Fd101</v>
      </c>
      <c r="E7340" s="8" t="s">
        <v>277</v>
      </c>
      <c r="F7340" s="8" t="s">
        <v>2983</v>
      </c>
    </row>
    <row r="7341" spans="1:6" ht="60" x14ac:dyDescent="0.25">
      <c r="A7341" s="8" t="s">
        <v>125</v>
      </c>
      <c r="B7341" s="8" t="s">
        <v>157</v>
      </c>
      <c r="C7341" s="8" t="str">
        <f>IFERROR(_xlfn.XLOOKUP(TRIM(B7341),Lookup!$B$2:$B$1000,Lookup!$C$2:$C$1000),"")</f>
        <v>Equity</v>
      </c>
      <c r="D7341" s="8" t="str">
        <f>IFERROR(INDEX('nav master'!$C:$C, MATCH(B7341, 'nav master'!$B:$B, 0)), "")</f>
        <v>ULIF07828/02/25Alpha300Fd101</v>
      </c>
      <c r="E7341" s="8" t="s">
        <v>279</v>
      </c>
      <c r="F7341" s="8" t="s">
        <v>2984</v>
      </c>
    </row>
    <row r="7342" spans="1:6" ht="60" x14ac:dyDescent="0.25">
      <c r="A7342" s="8" t="s">
        <v>125</v>
      </c>
      <c r="B7342" s="8" t="s">
        <v>157</v>
      </c>
      <c r="C7342" s="8" t="str">
        <f>IFERROR(_xlfn.XLOOKUP(TRIM(B7342),Lookup!$B$2:$B$1000,Lookup!$C$2:$C$1000),"")</f>
        <v>Equity</v>
      </c>
      <c r="D7342" s="8" t="str">
        <f>IFERROR(INDEX('nav master'!$C:$C, MATCH(B7342, 'nav master'!$B:$B, 0)), "")</f>
        <v>ULIF07828/02/25Alpha300Fd101</v>
      </c>
      <c r="E7342" s="8" t="s">
        <v>281</v>
      </c>
      <c r="F7342" s="8" t="s">
        <v>2985</v>
      </c>
    </row>
    <row r="7343" spans="1:6" ht="60" x14ac:dyDescent="0.25">
      <c r="A7343" s="8" t="s">
        <v>125</v>
      </c>
      <c r="B7343" s="8" t="s">
        <v>157</v>
      </c>
      <c r="C7343" s="8" t="str">
        <f>IFERROR(_xlfn.XLOOKUP(TRIM(B7343),Lookup!$B$2:$B$1000,Lookup!$C$2:$C$1000),"")</f>
        <v>Equity</v>
      </c>
      <c r="D7343" s="8" t="str">
        <f>IFERROR(INDEX('nav master'!$C:$C, MATCH(B7343, 'nav master'!$B:$B, 0)), "")</f>
        <v>ULIF07828/02/25Alpha300Fd101</v>
      </c>
      <c r="E7343" s="8" t="s">
        <v>283</v>
      </c>
      <c r="F7343" s="8" t="s">
        <v>2986</v>
      </c>
    </row>
    <row r="7344" spans="1:6" ht="60" x14ac:dyDescent="0.25">
      <c r="A7344" s="8" t="s">
        <v>125</v>
      </c>
      <c r="B7344" s="8" t="s">
        <v>157</v>
      </c>
      <c r="C7344" s="8" t="str">
        <f>IFERROR(_xlfn.XLOOKUP(TRIM(B7344),Lookup!$B$2:$B$1000,Lookup!$C$2:$C$1000),"")</f>
        <v>Equity</v>
      </c>
      <c r="D7344" s="8" t="str">
        <f>IFERROR(INDEX('nav master'!$C:$C, MATCH(B7344, 'nav master'!$B:$B, 0)), "")</f>
        <v>ULIF07828/02/25Alpha300Fd101</v>
      </c>
      <c r="E7344" s="8" t="s">
        <v>285</v>
      </c>
      <c r="F7344" s="8" t="s">
        <v>2987</v>
      </c>
    </row>
    <row r="7345" spans="1:6" ht="60" x14ac:dyDescent="0.25">
      <c r="A7345" s="8" t="s">
        <v>125</v>
      </c>
      <c r="B7345" s="8" t="s">
        <v>157</v>
      </c>
      <c r="C7345" s="8" t="str">
        <f>IFERROR(_xlfn.XLOOKUP(TRIM(B7345),Lookup!$B$2:$B$1000,Lookup!$C$2:$C$1000),"")</f>
        <v>Equity</v>
      </c>
      <c r="D7345" s="8" t="str">
        <f>IFERROR(INDEX('nav master'!$C:$C, MATCH(B7345, 'nav master'!$B:$B, 0)), "")</f>
        <v>ULIF07828/02/25Alpha300Fd101</v>
      </c>
      <c r="E7345" s="8" t="s">
        <v>287</v>
      </c>
      <c r="F7345" s="8" t="s">
        <v>2988</v>
      </c>
    </row>
    <row r="7346" spans="1:6" ht="60" x14ac:dyDescent="0.25">
      <c r="A7346" s="8" t="s">
        <v>125</v>
      </c>
      <c r="B7346" s="8" t="s">
        <v>157</v>
      </c>
      <c r="C7346" s="8" t="str">
        <f>IFERROR(_xlfn.XLOOKUP(TRIM(B7346),Lookup!$B$2:$B$1000,Lookup!$C$2:$C$1000),"")</f>
        <v>Equity</v>
      </c>
      <c r="D7346" s="8" t="str">
        <f>IFERROR(INDEX('nav master'!$C:$C, MATCH(B7346, 'nav master'!$B:$B, 0)), "")</f>
        <v>ULIF07828/02/25Alpha300Fd101</v>
      </c>
      <c r="E7346" s="8" t="s">
        <v>289</v>
      </c>
      <c r="F7346" s="8" t="s">
        <v>2989</v>
      </c>
    </row>
    <row r="7347" spans="1:6" ht="60" x14ac:dyDescent="0.25">
      <c r="A7347" s="8" t="s">
        <v>125</v>
      </c>
      <c r="B7347" s="8" t="s">
        <v>157</v>
      </c>
      <c r="C7347" s="8" t="str">
        <f>IFERROR(_xlfn.XLOOKUP(TRIM(B7347),Lookup!$B$2:$B$1000,Lookup!$C$2:$C$1000),"")</f>
        <v>Equity</v>
      </c>
      <c r="D7347" s="8" t="str">
        <f>IFERROR(INDEX('nav master'!$C:$C, MATCH(B7347, 'nav master'!$B:$B, 0)), "")</f>
        <v>ULIF07828/02/25Alpha300Fd101</v>
      </c>
      <c r="E7347" s="8" t="s">
        <v>291</v>
      </c>
      <c r="F7347" s="8" t="s">
        <v>2990</v>
      </c>
    </row>
    <row r="7348" spans="1:6" ht="60" x14ac:dyDescent="0.25">
      <c r="A7348" s="8" t="s">
        <v>125</v>
      </c>
      <c r="B7348" s="8" t="s">
        <v>157</v>
      </c>
      <c r="C7348" s="8" t="str">
        <f>IFERROR(_xlfn.XLOOKUP(TRIM(B7348),Lookup!$B$2:$B$1000,Lookup!$C$2:$C$1000),"")</f>
        <v>Equity</v>
      </c>
      <c r="D7348" s="8" t="str">
        <f>IFERROR(INDEX('nav master'!$C:$C, MATCH(B7348, 'nav master'!$B:$B, 0)), "")</f>
        <v>ULIF07828/02/25Alpha300Fd101</v>
      </c>
      <c r="E7348" s="8" t="s">
        <v>293</v>
      </c>
      <c r="F7348" s="8" t="s">
        <v>2991</v>
      </c>
    </row>
    <row r="7349" spans="1:6" ht="60" x14ac:dyDescent="0.25">
      <c r="A7349" s="8" t="s">
        <v>125</v>
      </c>
      <c r="B7349" s="8" t="s">
        <v>157</v>
      </c>
      <c r="C7349" s="8" t="str">
        <f>IFERROR(_xlfn.XLOOKUP(TRIM(B7349),Lookup!$B$2:$B$1000,Lookup!$C$2:$C$1000),"")</f>
        <v>Equity</v>
      </c>
      <c r="D7349" s="8" t="str">
        <f>IFERROR(INDEX('nav master'!$C:$C, MATCH(B7349, 'nav master'!$B:$B, 0)), "")</f>
        <v>ULIF07828/02/25Alpha300Fd101</v>
      </c>
      <c r="E7349" s="8" t="s">
        <v>295</v>
      </c>
      <c r="F7349" s="8" t="s">
        <v>2992</v>
      </c>
    </row>
    <row r="7350" spans="1:6" ht="60" x14ac:dyDescent="0.25">
      <c r="A7350" s="8" t="s">
        <v>125</v>
      </c>
      <c r="B7350" s="8" t="s">
        <v>157</v>
      </c>
      <c r="C7350" s="8" t="str">
        <f>IFERROR(_xlfn.XLOOKUP(TRIM(B7350),Lookup!$B$2:$B$1000,Lookup!$C$2:$C$1000),"")</f>
        <v>Equity</v>
      </c>
      <c r="D7350" s="8" t="str">
        <f>IFERROR(INDEX('nav master'!$C:$C, MATCH(B7350, 'nav master'!$B:$B, 0)), "")</f>
        <v>ULIF07828/02/25Alpha300Fd101</v>
      </c>
      <c r="E7350" s="8" t="s">
        <v>297</v>
      </c>
      <c r="F7350" s="8" t="s">
        <v>2993</v>
      </c>
    </row>
    <row r="7351" spans="1:6" ht="60" x14ac:dyDescent="0.25">
      <c r="A7351" s="8" t="s">
        <v>125</v>
      </c>
      <c r="B7351" s="8" t="s">
        <v>157</v>
      </c>
      <c r="C7351" s="8" t="str">
        <f>IFERROR(_xlfn.XLOOKUP(TRIM(B7351),Lookup!$B$2:$B$1000,Lookup!$C$2:$C$1000),"")</f>
        <v>Equity</v>
      </c>
      <c r="D7351" s="8" t="str">
        <f>IFERROR(INDEX('nav master'!$C:$C, MATCH(B7351, 'nav master'!$B:$B, 0)), "")</f>
        <v>ULIF07828/02/25Alpha300Fd101</v>
      </c>
      <c r="E7351" s="8" t="s">
        <v>299</v>
      </c>
      <c r="F7351" s="8" t="s">
        <v>2994</v>
      </c>
    </row>
    <row r="7352" spans="1:6" ht="60" x14ac:dyDescent="0.25">
      <c r="A7352" s="8" t="s">
        <v>125</v>
      </c>
      <c r="B7352" s="8" t="s">
        <v>157</v>
      </c>
      <c r="C7352" s="8" t="str">
        <f>IFERROR(_xlfn.XLOOKUP(TRIM(B7352),Lookup!$B$2:$B$1000,Lookup!$C$2:$C$1000),"")</f>
        <v>Equity</v>
      </c>
      <c r="D7352" s="8" t="str">
        <f>IFERROR(INDEX('nav master'!$C:$C, MATCH(B7352, 'nav master'!$B:$B, 0)), "")</f>
        <v>ULIF07828/02/25Alpha300Fd101</v>
      </c>
      <c r="E7352" s="8" t="s">
        <v>301</v>
      </c>
      <c r="F7352" s="8" t="s">
        <v>2995</v>
      </c>
    </row>
    <row r="7353" spans="1:6" ht="60" x14ac:dyDescent="0.25">
      <c r="A7353" s="8" t="s">
        <v>125</v>
      </c>
      <c r="B7353" s="8" t="s">
        <v>157</v>
      </c>
      <c r="C7353" s="8" t="str">
        <f>IFERROR(_xlfn.XLOOKUP(TRIM(B7353),Lookup!$B$2:$B$1000,Lookup!$C$2:$C$1000),"")</f>
        <v>Equity</v>
      </c>
      <c r="D7353" s="8" t="str">
        <f>IFERROR(INDEX('nav master'!$C:$C, MATCH(B7353, 'nav master'!$B:$B, 0)), "")</f>
        <v>ULIF07828/02/25Alpha300Fd101</v>
      </c>
      <c r="E7353" s="8" t="s">
        <v>303</v>
      </c>
      <c r="F7353" s="8" t="s">
        <v>2996</v>
      </c>
    </row>
    <row r="7354" spans="1:6" ht="60" x14ac:dyDescent="0.25">
      <c r="A7354" s="8" t="s">
        <v>125</v>
      </c>
      <c r="B7354" s="8" t="s">
        <v>157</v>
      </c>
      <c r="C7354" s="8" t="str">
        <f>IFERROR(_xlfn.XLOOKUP(TRIM(B7354),Lookup!$B$2:$B$1000,Lookup!$C$2:$C$1000),"")</f>
        <v>Equity</v>
      </c>
      <c r="D7354" s="8" t="str">
        <f>IFERROR(INDEX('nav master'!$C:$C, MATCH(B7354, 'nav master'!$B:$B, 0)), "")</f>
        <v>ULIF07828/02/25Alpha300Fd101</v>
      </c>
      <c r="E7354" s="8" t="s">
        <v>305</v>
      </c>
      <c r="F7354" s="8" t="s">
        <v>2997</v>
      </c>
    </row>
    <row r="7355" spans="1:6" ht="60" x14ac:dyDescent="0.25">
      <c r="A7355" s="8" t="s">
        <v>125</v>
      </c>
      <c r="B7355" s="8" t="s">
        <v>157</v>
      </c>
      <c r="C7355" s="8" t="str">
        <f>IFERROR(_xlfn.XLOOKUP(TRIM(B7355),Lookup!$B$2:$B$1000,Lookup!$C$2:$C$1000),"")</f>
        <v>Equity</v>
      </c>
      <c r="D7355" s="8" t="str">
        <f>IFERROR(INDEX('nav master'!$C:$C, MATCH(B7355, 'nav master'!$B:$B, 0)), "")</f>
        <v>ULIF07828/02/25Alpha300Fd101</v>
      </c>
      <c r="E7355" s="8" t="s">
        <v>307</v>
      </c>
      <c r="F7355" s="8" t="s">
        <v>2998</v>
      </c>
    </row>
    <row r="7356" spans="1:6" ht="60" x14ac:dyDescent="0.25">
      <c r="A7356" s="8" t="s">
        <v>125</v>
      </c>
      <c r="B7356" s="8" t="s">
        <v>157</v>
      </c>
      <c r="C7356" s="8" t="str">
        <f>IFERROR(_xlfn.XLOOKUP(TRIM(B7356),Lookup!$B$2:$B$1000,Lookup!$C$2:$C$1000),"")</f>
        <v>Equity</v>
      </c>
      <c r="D7356" s="8" t="str">
        <f>IFERROR(INDEX('nav master'!$C:$C, MATCH(B7356, 'nav master'!$B:$B, 0)), "")</f>
        <v>ULIF07828/02/25Alpha300Fd101</v>
      </c>
      <c r="E7356" s="8" t="s">
        <v>309</v>
      </c>
      <c r="F7356" s="8" t="s">
        <v>2999</v>
      </c>
    </row>
    <row r="7357" spans="1:6" ht="60" x14ac:dyDescent="0.25">
      <c r="A7357" s="8" t="s">
        <v>125</v>
      </c>
      <c r="B7357" s="8" t="s">
        <v>157</v>
      </c>
      <c r="C7357" s="8" t="str">
        <f>IFERROR(_xlfn.XLOOKUP(TRIM(B7357),Lookup!$B$2:$B$1000,Lookup!$C$2:$C$1000),"")</f>
        <v>Equity</v>
      </c>
      <c r="D7357" s="8" t="str">
        <f>IFERROR(INDEX('nav master'!$C:$C, MATCH(B7357, 'nav master'!$B:$B, 0)), "")</f>
        <v>ULIF07828/02/25Alpha300Fd101</v>
      </c>
      <c r="E7357" s="8" t="s">
        <v>311</v>
      </c>
      <c r="F7357" s="8" t="s">
        <v>3000</v>
      </c>
    </row>
    <row r="7358" spans="1:6" ht="60" x14ac:dyDescent="0.25">
      <c r="A7358" s="8" t="s">
        <v>125</v>
      </c>
      <c r="B7358" s="8" t="s">
        <v>157</v>
      </c>
      <c r="C7358" s="8" t="str">
        <f>IFERROR(_xlfn.XLOOKUP(TRIM(B7358),Lookup!$B$2:$B$1000,Lookup!$C$2:$C$1000),"")</f>
        <v>Equity</v>
      </c>
      <c r="D7358" s="8" t="str">
        <f>IFERROR(INDEX('nav master'!$C:$C, MATCH(B7358, 'nav master'!$B:$B, 0)), "")</f>
        <v>ULIF07828/02/25Alpha300Fd101</v>
      </c>
      <c r="E7358" s="8" t="s">
        <v>313</v>
      </c>
      <c r="F7358" s="8" t="s">
        <v>3001</v>
      </c>
    </row>
    <row r="7359" spans="1:6" ht="60" x14ac:dyDescent="0.25">
      <c r="A7359" s="8" t="s">
        <v>125</v>
      </c>
      <c r="B7359" s="8" t="s">
        <v>157</v>
      </c>
      <c r="C7359" s="8" t="str">
        <f>IFERROR(_xlfn.XLOOKUP(TRIM(B7359),Lookup!$B$2:$B$1000,Lookup!$C$2:$C$1000),"")</f>
        <v>Equity</v>
      </c>
      <c r="D7359" s="8" t="str">
        <f>IFERROR(INDEX('nav master'!$C:$C, MATCH(B7359, 'nav master'!$B:$B, 0)), "")</f>
        <v>ULIF07828/02/25Alpha300Fd101</v>
      </c>
      <c r="E7359" s="8" t="s">
        <v>315</v>
      </c>
      <c r="F7359" s="8" t="s">
        <v>3002</v>
      </c>
    </row>
    <row r="7360" spans="1:6" ht="60" x14ac:dyDescent="0.25">
      <c r="A7360" s="8" t="s">
        <v>125</v>
      </c>
      <c r="B7360" s="8" t="s">
        <v>157</v>
      </c>
      <c r="C7360" s="8" t="str">
        <f>IFERROR(_xlfn.XLOOKUP(TRIM(B7360),Lookup!$B$2:$B$1000,Lookup!$C$2:$C$1000),"")</f>
        <v>Equity</v>
      </c>
      <c r="D7360" s="8" t="str">
        <f>IFERROR(INDEX('nav master'!$C:$C, MATCH(B7360, 'nav master'!$B:$B, 0)), "")</f>
        <v>ULIF07828/02/25Alpha300Fd101</v>
      </c>
      <c r="E7360" s="8" t="s">
        <v>317</v>
      </c>
      <c r="F7360" s="8" t="s">
        <v>3003</v>
      </c>
    </row>
    <row r="7361" spans="1:6" ht="60" x14ac:dyDescent="0.25">
      <c r="A7361" s="8" t="s">
        <v>125</v>
      </c>
      <c r="B7361" s="8" t="s">
        <v>157</v>
      </c>
      <c r="C7361" s="8" t="str">
        <f>IFERROR(_xlfn.XLOOKUP(TRIM(B7361),Lookup!$B$2:$B$1000,Lookup!$C$2:$C$1000),"")</f>
        <v>Equity</v>
      </c>
      <c r="D7361" s="8" t="str">
        <f>IFERROR(INDEX('nav master'!$C:$C, MATCH(B7361, 'nav master'!$B:$B, 0)), "")</f>
        <v>ULIF07828/02/25Alpha300Fd101</v>
      </c>
      <c r="E7361" s="8" t="s">
        <v>319</v>
      </c>
      <c r="F7361" s="8" t="s">
        <v>3004</v>
      </c>
    </row>
    <row r="7362" spans="1:6" ht="60" x14ac:dyDescent="0.25">
      <c r="A7362" s="8" t="s">
        <v>125</v>
      </c>
      <c r="B7362" s="8" t="s">
        <v>157</v>
      </c>
      <c r="C7362" s="8" t="str">
        <f>IFERROR(_xlfn.XLOOKUP(TRIM(B7362),Lookup!$B$2:$B$1000,Lookup!$C$2:$C$1000),"")</f>
        <v>Equity</v>
      </c>
      <c r="D7362" s="8" t="str">
        <f>IFERROR(INDEX('nav master'!$C:$C, MATCH(B7362, 'nav master'!$B:$B, 0)), "")</f>
        <v>ULIF07828/02/25Alpha300Fd101</v>
      </c>
      <c r="E7362" s="8" t="s">
        <v>321</v>
      </c>
      <c r="F7362" s="8" t="s">
        <v>3005</v>
      </c>
    </row>
    <row r="7363" spans="1:6" ht="60" x14ac:dyDescent="0.25">
      <c r="A7363" s="8" t="s">
        <v>125</v>
      </c>
      <c r="B7363" s="8" t="s">
        <v>157</v>
      </c>
      <c r="C7363" s="8" t="str">
        <f>IFERROR(_xlfn.XLOOKUP(TRIM(B7363),Lookup!$B$2:$B$1000,Lookup!$C$2:$C$1000),"")</f>
        <v>Equity</v>
      </c>
      <c r="D7363" s="8" t="str">
        <f>IFERROR(INDEX('nav master'!$C:$C, MATCH(B7363, 'nav master'!$B:$B, 0)), "")</f>
        <v>ULIF07828/02/25Alpha300Fd101</v>
      </c>
      <c r="E7363" s="8" t="s">
        <v>323</v>
      </c>
      <c r="F7363" s="8" t="s">
        <v>3006</v>
      </c>
    </row>
    <row r="7364" spans="1:6" ht="60" x14ac:dyDescent="0.25">
      <c r="A7364" s="8" t="s">
        <v>125</v>
      </c>
      <c r="B7364" s="8" t="s">
        <v>157</v>
      </c>
      <c r="C7364" s="8" t="str">
        <f>IFERROR(_xlfn.XLOOKUP(TRIM(B7364),Lookup!$B$2:$B$1000,Lookup!$C$2:$C$1000),"")</f>
        <v>Equity</v>
      </c>
      <c r="D7364" s="8" t="str">
        <f>IFERROR(INDEX('nav master'!$C:$C, MATCH(B7364, 'nav master'!$B:$B, 0)), "")</f>
        <v>ULIF07828/02/25Alpha300Fd101</v>
      </c>
      <c r="E7364" s="8" t="s">
        <v>325</v>
      </c>
      <c r="F7364" s="8" t="s">
        <v>3007</v>
      </c>
    </row>
    <row r="7365" spans="1:6" ht="60" x14ac:dyDescent="0.25">
      <c r="A7365" s="8" t="s">
        <v>125</v>
      </c>
      <c r="B7365" s="8" t="s">
        <v>157</v>
      </c>
      <c r="C7365" s="8" t="str">
        <f>IFERROR(_xlfn.XLOOKUP(TRIM(B7365),Lookup!$B$2:$B$1000,Lookup!$C$2:$C$1000),"")</f>
        <v>Equity</v>
      </c>
      <c r="D7365" s="8" t="str">
        <f>IFERROR(INDEX('nav master'!$C:$C, MATCH(B7365, 'nav master'!$B:$B, 0)), "")</f>
        <v>ULIF07828/02/25Alpha300Fd101</v>
      </c>
      <c r="E7365" s="8" t="s">
        <v>327</v>
      </c>
      <c r="F7365" s="8" t="s">
        <v>3008</v>
      </c>
    </row>
    <row r="7366" spans="1:6" ht="60" x14ac:dyDescent="0.25">
      <c r="A7366" s="8" t="s">
        <v>125</v>
      </c>
      <c r="B7366" s="8" t="s">
        <v>157</v>
      </c>
      <c r="C7366" s="8" t="str">
        <f>IFERROR(_xlfn.XLOOKUP(TRIM(B7366),Lookup!$B$2:$B$1000,Lookup!$C$2:$C$1000),"")</f>
        <v>Equity</v>
      </c>
      <c r="D7366" s="8" t="str">
        <f>IFERROR(INDEX('nav master'!$C:$C, MATCH(B7366, 'nav master'!$B:$B, 0)), "")</f>
        <v>ULIF07828/02/25Alpha300Fd101</v>
      </c>
      <c r="E7366" s="8" t="s">
        <v>329</v>
      </c>
      <c r="F7366" s="8" t="s">
        <v>3009</v>
      </c>
    </row>
    <row r="7367" spans="1:6" ht="60" x14ac:dyDescent="0.25">
      <c r="A7367" s="8" t="s">
        <v>125</v>
      </c>
      <c r="B7367" s="8" t="s">
        <v>157</v>
      </c>
      <c r="C7367" s="8" t="str">
        <f>IFERROR(_xlfn.XLOOKUP(TRIM(B7367),Lookup!$B$2:$B$1000,Lookup!$C$2:$C$1000),"")</f>
        <v>Equity</v>
      </c>
      <c r="D7367" s="8" t="str">
        <f>IFERROR(INDEX('nav master'!$C:$C, MATCH(B7367, 'nav master'!$B:$B, 0)), "")</f>
        <v>ULIF07828/02/25Alpha300Fd101</v>
      </c>
      <c r="E7367" s="8" t="s">
        <v>331</v>
      </c>
      <c r="F7367" s="8" t="s">
        <v>3010</v>
      </c>
    </row>
    <row r="7368" spans="1:6" ht="60" x14ac:dyDescent="0.25">
      <c r="A7368" s="8" t="s">
        <v>125</v>
      </c>
      <c r="B7368" s="8" t="s">
        <v>157</v>
      </c>
      <c r="C7368" s="8" t="str">
        <f>IFERROR(_xlfn.XLOOKUP(TRIM(B7368),Lookup!$B$2:$B$1000,Lookup!$C$2:$C$1000),"")</f>
        <v>Equity</v>
      </c>
      <c r="D7368" s="8" t="str">
        <f>IFERROR(INDEX('nav master'!$C:$C, MATCH(B7368, 'nav master'!$B:$B, 0)), "")</f>
        <v>ULIF07828/02/25Alpha300Fd101</v>
      </c>
      <c r="E7368" s="8" t="s">
        <v>333</v>
      </c>
      <c r="F7368" s="8" t="s">
        <v>3011</v>
      </c>
    </row>
    <row r="7369" spans="1:6" ht="60" x14ac:dyDescent="0.25">
      <c r="A7369" s="8" t="s">
        <v>125</v>
      </c>
      <c r="B7369" s="8" t="s">
        <v>157</v>
      </c>
      <c r="C7369" s="8" t="str">
        <f>IFERROR(_xlfn.XLOOKUP(TRIM(B7369),Lookup!$B$2:$B$1000,Lookup!$C$2:$C$1000),"")</f>
        <v>Equity</v>
      </c>
      <c r="D7369" s="8" t="str">
        <f>IFERROR(INDEX('nav master'!$C:$C, MATCH(B7369, 'nav master'!$B:$B, 0)), "")</f>
        <v>ULIF07828/02/25Alpha300Fd101</v>
      </c>
      <c r="E7369" s="8" t="s">
        <v>335</v>
      </c>
      <c r="F7369" s="8" t="s">
        <v>3012</v>
      </c>
    </row>
    <row r="7370" spans="1:6" ht="60" x14ac:dyDescent="0.25">
      <c r="A7370" s="8" t="s">
        <v>125</v>
      </c>
      <c r="B7370" s="8" t="s">
        <v>157</v>
      </c>
      <c r="C7370" s="8" t="str">
        <f>IFERROR(_xlfn.XLOOKUP(TRIM(B7370),Lookup!$B$2:$B$1000,Lookup!$C$2:$C$1000),"")</f>
        <v>Equity</v>
      </c>
      <c r="D7370" s="8" t="str">
        <f>IFERROR(INDEX('nav master'!$C:$C, MATCH(B7370, 'nav master'!$B:$B, 0)), "")</f>
        <v>ULIF07828/02/25Alpha300Fd101</v>
      </c>
      <c r="E7370" s="8" t="s">
        <v>337</v>
      </c>
      <c r="F7370" s="8" t="s">
        <v>3013</v>
      </c>
    </row>
    <row r="7371" spans="1:6" ht="60" x14ac:dyDescent="0.25">
      <c r="A7371" s="8" t="s">
        <v>125</v>
      </c>
      <c r="B7371" s="8" t="s">
        <v>157</v>
      </c>
      <c r="C7371" s="8" t="str">
        <f>IFERROR(_xlfn.XLOOKUP(TRIM(B7371),Lookup!$B$2:$B$1000,Lookup!$C$2:$C$1000),"")</f>
        <v>Equity</v>
      </c>
      <c r="D7371" s="8" t="str">
        <f>IFERROR(INDEX('nav master'!$C:$C, MATCH(B7371, 'nav master'!$B:$B, 0)), "")</f>
        <v>ULIF07828/02/25Alpha300Fd101</v>
      </c>
      <c r="E7371" s="8" t="s">
        <v>339</v>
      </c>
      <c r="F7371" s="8" t="s">
        <v>3014</v>
      </c>
    </row>
    <row r="7372" spans="1:6" ht="60" x14ac:dyDescent="0.25">
      <c r="A7372" s="8" t="s">
        <v>125</v>
      </c>
      <c r="B7372" s="8" t="s">
        <v>157</v>
      </c>
      <c r="C7372" s="8" t="str">
        <f>IFERROR(_xlfn.XLOOKUP(TRIM(B7372),Lookup!$B$2:$B$1000,Lookup!$C$2:$C$1000),"")</f>
        <v>Equity</v>
      </c>
      <c r="D7372" s="8" t="str">
        <f>IFERROR(INDEX('nav master'!$C:$C, MATCH(B7372, 'nav master'!$B:$B, 0)), "")</f>
        <v>ULIF07828/02/25Alpha300Fd101</v>
      </c>
      <c r="E7372" s="8" t="s">
        <v>341</v>
      </c>
      <c r="F7372" s="8" t="s">
        <v>3015</v>
      </c>
    </row>
    <row r="7373" spans="1:6" ht="60" x14ac:dyDescent="0.25">
      <c r="A7373" s="8" t="s">
        <v>125</v>
      </c>
      <c r="B7373" s="8" t="s">
        <v>157</v>
      </c>
      <c r="C7373" s="8" t="str">
        <f>IFERROR(_xlfn.XLOOKUP(TRIM(B7373),Lookup!$B$2:$B$1000,Lookup!$C$2:$C$1000),"")</f>
        <v>Equity</v>
      </c>
      <c r="D7373" s="8" t="str">
        <f>IFERROR(INDEX('nav master'!$C:$C, MATCH(B7373, 'nav master'!$B:$B, 0)), "")</f>
        <v>ULIF07828/02/25Alpha300Fd101</v>
      </c>
      <c r="E7373" s="8" t="s">
        <v>343</v>
      </c>
      <c r="F7373" s="8" t="s">
        <v>3016</v>
      </c>
    </row>
    <row r="7374" spans="1:6" ht="60" x14ac:dyDescent="0.25">
      <c r="A7374" s="8" t="s">
        <v>125</v>
      </c>
      <c r="B7374" s="8" t="s">
        <v>157</v>
      </c>
      <c r="C7374" s="8" t="str">
        <f>IFERROR(_xlfn.XLOOKUP(TRIM(B7374),Lookup!$B$2:$B$1000,Lookup!$C$2:$C$1000),"")</f>
        <v>Equity</v>
      </c>
      <c r="D7374" s="8" t="str">
        <f>IFERROR(INDEX('nav master'!$C:$C, MATCH(B7374, 'nav master'!$B:$B, 0)), "")</f>
        <v>ULIF07828/02/25Alpha300Fd101</v>
      </c>
      <c r="E7374" s="8" t="s">
        <v>345</v>
      </c>
      <c r="F7374" s="8" t="s">
        <v>3017</v>
      </c>
    </row>
    <row r="7375" spans="1:6" ht="60" x14ac:dyDescent="0.25">
      <c r="A7375" s="8" t="s">
        <v>125</v>
      </c>
      <c r="B7375" s="8" t="s">
        <v>157</v>
      </c>
      <c r="C7375" s="8" t="str">
        <f>IFERROR(_xlfn.XLOOKUP(TRIM(B7375),Lookup!$B$2:$B$1000,Lookup!$C$2:$C$1000),"")</f>
        <v>Equity</v>
      </c>
      <c r="D7375" s="8" t="str">
        <f>IFERROR(INDEX('nav master'!$C:$C, MATCH(B7375, 'nav master'!$B:$B, 0)), "")</f>
        <v>ULIF07828/02/25Alpha300Fd101</v>
      </c>
      <c r="E7375" s="8" t="s">
        <v>347</v>
      </c>
      <c r="F7375" s="8" t="s">
        <v>3018</v>
      </c>
    </row>
    <row r="7376" spans="1:6" ht="60" x14ac:dyDescent="0.25">
      <c r="A7376" s="8" t="s">
        <v>125</v>
      </c>
      <c r="B7376" s="8" t="s">
        <v>157</v>
      </c>
      <c r="C7376" s="8" t="str">
        <f>IFERROR(_xlfn.XLOOKUP(TRIM(B7376),Lookup!$B$2:$B$1000,Lookup!$C$2:$C$1000),"")</f>
        <v>Equity</v>
      </c>
      <c r="D7376" s="8" t="str">
        <f>IFERROR(INDEX('nav master'!$C:$C, MATCH(B7376, 'nav master'!$B:$B, 0)), "")</f>
        <v>ULIF07828/02/25Alpha300Fd101</v>
      </c>
      <c r="E7376" s="8" t="s">
        <v>349</v>
      </c>
      <c r="F7376" s="8" t="s">
        <v>3019</v>
      </c>
    </row>
    <row r="7377" spans="1:6" ht="60" x14ac:dyDescent="0.25">
      <c r="A7377" s="8" t="s">
        <v>125</v>
      </c>
      <c r="B7377" s="8" t="s">
        <v>157</v>
      </c>
      <c r="C7377" s="8" t="str">
        <f>IFERROR(_xlfn.XLOOKUP(TRIM(B7377),Lookup!$B$2:$B$1000,Lookup!$C$2:$C$1000),"")</f>
        <v>Equity</v>
      </c>
      <c r="D7377" s="8" t="str">
        <f>IFERROR(INDEX('nav master'!$C:$C, MATCH(B7377, 'nav master'!$B:$B, 0)), "")</f>
        <v>ULIF07828/02/25Alpha300Fd101</v>
      </c>
      <c r="E7377" s="8" t="s">
        <v>351</v>
      </c>
      <c r="F7377" s="8" t="s">
        <v>3020</v>
      </c>
    </row>
    <row r="7378" spans="1:6" ht="60" x14ac:dyDescent="0.25">
      <c r="A7378" s="8" t="s">
        <v>125</v>
      </c>
      <c r="B7378" s="8" t="s">
        <v>157</v>
      </c>
      <c r="C7378" s="8" t="str">
        <f>IFERROR(_xlfn.XLOOKUP(TRIM(B7378),Lookup!$B$2:$B$1000,Lookup!$C$2:$C$1000),"")</f>
        <v>Equity</v>
      </c>
      <c r="D7378" s="8" t="str">
        <f>IFERROR(INDEX('nav master'!$C:$C, MATCH(B7378, 'nav master'!$B:$B, 0)), "")</f>
        <v>ULIF07828/02/25Alpha300Fd101</v>
      </c>
      <c r="E7378" s="8" t="s">
        <v>353</v>
      </c>
      <c r="F7378" s="8" t="s">
        <v>3021</v>
      </c>
    </row>
    <row r="7379" spans="1:6" ht="60" x14ac:dyDescent="0.25">
      <c r="A7379" s="8" t="s">
        <v>125</v>
      </c>
      <c r="B7379" s="8" t="s">
        <v>157</v>
      </c>
      <c r="C7379" s="8" t="str">
        <f>IFERROR(_xlfn.XLOOKUP(TRIM(B7379),Lookup!$B$2:$B$1000,Lookup!$C$2:$C$1000),"")</f>
        <v>Equity</v>
      </c>
      <c r="D7379" s="8" t="str">
        <f>IFERROR(INDEX('nav master'!$C:$C, MATCH(B7379, 'nav master'!$B:$B, 0)), "")</f>
        <v>ULIF07828/02/25Alpha300Fd101</v>
      </c>
      <c r="E7379" s="8" t="s">
        <v>355</v>
      </c>
      <c r="F7379" s="8" t="s">
        <v>3022</v>
      </c>
    </row>
    <row r="7380" spans="1:6" ht="60" x14ac:dyDescent="0.25">
      <c r="A7380" s="8" t="s">
        <v>125</v>
      </c>
      <c r="B7380" s="8" t="s">
        <v>157</v>
      </c>
      <c r="C7380" s="8" t="str">
        <f>IFERROR(_xlfn.XLOOKUP(TRIM(B7380),Lookup!$B$2:$B$1000,Lookup!$C$2:$C$1000),"")</f>
        <v>Equity</v>
      </c>
      <c r="D7380" s="8" t="str">
        <f>IFERROR(INDEX('nav master'!$C:$C, MATCH(B7380, 'nav master'!$B:$B, 0)), "")</f>
        <v>ULIF07828/02/25Alpha300Fd101</v>
      </c>
      <c r="E7380" s="8" t="s">
        <v>357</v>
      </c>
      <c r="F7380" s="8" t="s">
        <v>3023</v>
      </c>
    </row>
    <row r="7381" spans="1:6" ht="60" x14ac:dyDescent="0.25">
      <c r="A7381" s="8" t="s">
        <v>125</v>
      </c>
      <c r="B7381" s="8" t="s">
        <v>157</v>
      </c>
      <c r="C7381" s="8" t="str">
        <f>IFERROR(_xlfn.XLOOKUP(TRIM(B7381),Lookup!$B$2:$B$1000,Lookup!$C$2:$C$1000),"")</f>
        <v>Equity</v>
      </c>
      <c r="D7381" s="8" t="str">
        <f>IFERROR(INDEX('nav master'!$C:$C, MATCH(B7381, 'nav master'!$B:$B, 0)), "")</f>
        <v>ULIF07828/02/25Alpha300Fd101</v>
      </c>
      <c r="E7381" s="8" t="s">
        <v>359</v>
      </c>
      <c r="F7381" s="8" t="s">
        <v>3024</v>
      </c>
    </row>
    <row r="7382" spans="1:6" ht="60" x14ac:dyDescent="0.25">
      <c r="A7382" s="8" t="s">
        <v>125</v>
      </c>
      <c r="B7382" s="8" t="s">
        <v>157</v>
      </c>
      <c r="C7382" s="8" t="str">
        <f>IFERROR(_xlfn.XLOOKUP(TRIM(B7382),Lookup!$B$2:$B$1000,Lookup!$C$2:$C$1000),"")</f>
        <v>Equity</v>
      </c>
      <c r="D7382" s="8" t="str">
        <f>IFERROR(INDEX('nav master'!$C:$C, MATCH(B7382, 'nav master'!$B:$B, 0)), "")</f>
        <v>ULIF07828/02/25Alpha300Fd101</v>
      </c>
      <c r="E7382" s="8" t="s">
        <v>361</v>
      </c>
      <c r="F7382" s="8" t="s">
        <v>3025</v>
      </c>
    </row>
    <row r="7383" spans="1:6" ht="60" x14ac:dyDescent="0.25">
      <c r="A7383" s="8" t="s">
        <v>125</v>
      </c>
      <c r="B7383" s="8" t="s">
        <v>157</v>
      </c>
      <c r="C7383" s="8" t="str">
        <f>IFERROR(_xlfn.XLOOKUP(TRIM(B7383),Lookup!$B$2:$B$1000,Lookup!$C$2:$C$1000),"")</f>
        <v>Equity</v>
      </c>
      <c r="D7383" s="8" t="str">
        <f>IFERROR(INDEX('nav master'!$C:$C, MATCH(B7383, 'nav master'!$B:$B, 0)), "")</f>
        <v>ULIF07828/02/25Alpha300Fd101</v>
      </c>
      <c r="E7383" s="8" t="s">
        <v>363</v>
      </c>
      <c r="F7383" s="8" t="s">
        <v>3026</v>
      </c>
    </row>
    <row r="7384" spans="1:6" ht="60" x14ac:dyDescent="0.25">
      <c r="A7384" s="8" t="s">
        <v>125</v>
      </c>
      <c r="B7384" s="8" t="s">
        <v>157</v>
      </c>
      <c r="C7384" s="8" t="str">
        <f>IFERROR(_xlfn.XLOOKUP(TRIM(B7384),Lookup!$B$2:$B$1000,Lookup!$C$2:$C$1000),"")</f>
        <v>Equity</v>
      </c>
      <c r="D7384" s="8" t="str">
        <f>IFERROR(INDEX('nav master'!$C:$C, MATCH(B7384, 'nav master'!$B:$B, 0)), "")</f>
        <v>ULIF07828/02/25Alpha300Fd101</v>
      </c>
      <c r="E7384" s="8" t="s">
        <v>365</v>
      </c>
      <c r="F7384" s="8" t="s">
        <v>3027</v>
      </c>
    </row>
    <row r="7385" spans="1:6" ht="60" x14ac:dyDescent="0.25">
      <c r="A7385" s="8" t="s">
        <v>125</v>
      </c>
      <c r="B7385" s="8" t="s">
        <v>157</v>
      </c>
      <c r="C7385" s="8" t="str">
        <f>IFERROR(_xlfn.XLOOKUP(TRIM(B7385),Lookup!$B$2:$B$1000,Lookup!$C$2:$C$1000),"")</f>
        <v>Equity</v>
      </c>
      <c r="D7385" s="8" t="str">
        <f>IFERROR(INDEX('nav master'!$C:$C, MATCH(B7385, 'nav master'!$B:$B, 0)), "")</f>
        <v>ULIF07828/02/25Alpha300Fd101</v>
      </c>
      <c r="E7385" s="8" t="s">
        <v>367</v>
      </c>
      <c r="F7385" s="8" t="s">
        <v>3028</v>
      </c>
    </row>
    <row r="7386" spans="1:6" ht="60" x14ac:dyDescent="0.25">
      <c r="A7386" s="8" t="s">
        <v>125</v>
      </c>
      <c r="B7386" s="8" t="s">
        <v>157</v>
      </c>
      <c r="C7386" s="8" t="str">
        <f>IFERROR(_xlfn.XLOOKUP(TRIM(B7386),Lookup!$B$2:$B$1000,Lookup!$C$2:$C$1000),"")</f>
        <v>Equity</v>
      </c>
      <c r="D7386" s="8" t="str">
        <f>IFERROR(INDEX('nav master'!$C:$C, MATCH(B7386, 'nav master'!$B:$B, 0)), "")</f>
        <v>ULIF07828/02/25Alpha300Fd101</v>
      </c>
      <c r="E7386" s="8" t="s">
        <v>369</v>
      </c>
      <c r="F7386" s="8" t="s">
        <v>3029</v>
      </c>
    </row>
    <row r="7387" spans="1:6" ht="60" x14ac:dyDescent="0.25">
      <c r="A7387" s="8" t="s">
        <v>125</v>
      </c>
      <c r="B7387" s="8" t="s">
        <v>157</v>
      </c>
      <c r="C7387" s="8" t="str">
        <f>IFERROR(_xlfn.XLOOKUP(TRIM(B7387),Lookup!$B$2:$B$1000,Lookup!$C$2:$C$1000),"")</f>
        <v>Equity</v>
      </c>
      <c r="D7387" s="8" t="str">
        <f>IFERROR(INDEX('nav master'!$C:$C, MATCH(B7387, 'nav master'!$B:$B, 0)), "")</f>
        <v>ULIF07828/02/25Alpha300Fd101</v>
      </c>
      <c r="E7387" s="8" t="s">
        <v>371</v>
      </c>
      <c r="F7387" s="8" t="s">
        <v>3030</v>
      </c>
    </row>
    <row r="7388" spans="1:6" ht="60" x14ac:dyDescent="0.25">
      <c r="A7388" s="8" t="s">
        <v>125</v>
      </c>
      <c r="B7388" s="8" t="s">
        <v>157</v>
      </c>
      <c r="C7388" s="8" t="str">
        <f>IFERROR(_xlfn.XLOOKUP(TRIM(B7388),Lookup!$B$2:$B$1000,Lookup!$C$2:$C$1000),"")</f>
        <v>Equity</v>
      </c>
      <c r="D7388" s="8" t="str">
        <f>IFERROR(INDEX('nav master'!$C:$C, MATCH(B7388, 'nav master'!$B:$B, 0)), "")</f>
        <v>ULIF07828/02/25Alpha300Fd101</v>
      </c>
      <c r="E7388" s="8" t="s">
        <v>373</v>
      </c>
      <c r="F7388" s="8" t="s">
        <v>3031</v>
      </c>
    </row>
    <row r="7389" spans="1:6" ht="60" x14ac:dyDescent="0.25">
      <c r="A7389" s="8" t="s">
        <v>125</v>
      </c>
      <c r="B7389" s="8" t="s">
        <v>157</v>
      </c>
      <c r="C7389" s="8" t="str">
        <f>IFERROR(_xlfn.XLOOKUP(TRIM(B7389),Lookup!$B$2:$B$1000,Lookup!$C$2:$C$1000),"")</f>
        <v>Equity</v>
      </c>
      <c r="D7389" s="8" t="str">
        <f>IFERROR(INDEX('nav master'!$C:$C, MATCH(B7389, 'nav master'!$B:$B, 0)), "")</f>
        <v>ULIF07828/02/25Alpha300Fd101</v>
      </c>
      <c r="E7389" s="8" t="s">
        <v>375</v>
      </c>
      <c r="F7389" s="8" t="s">
        <v>3032</v>
      </c>
    </row>
    <row r="7390" spans="1:6" ht="60" x14ac:dyDescent="0.25">
      <c r="A7390" s="8" t="s">
        <v>125</v>
      </c>
      <c r="B7390" s="8" t="s">
        <v>157</v>
      </c>
      <c r="C7390" s="8" t="str">
        <f>IFERROR(_xlfn.XLOOKUP(TRIM(B7390),Lookup!$B$2:$B$1000,Lookup!$C$2:$C$1000),"")</f>
        <v>Equity</v>
      </c>
      <c r="D7390" s="8" t="str">
        <f>IFERROR(INDEX('nav master'!$C:$C, MATCH(B7390, 'nav master'!$B:$B, 0)), "")</f>
        <v>ULIF07828/02/25Alpha300Fd101</v>
      </c>
      <c r="E7390" s="8" t="s">
        <v>377</v>
      </c>
      <c r="F7390" s="8" t="s">
        <v>2982</v>
      </c>
    </row>
    <row r="7391" spans="1:6" ht="60" x14ac:dyDescent="0.25">
      <c r="A7391" s="8" t="s">
        <v>125</v>
      </c>
      <c r="B7391" s="8" t="s">
        <v>157</v>
      </c>
      <c r="C7391" s="8" t="str">
        <f>IFERROR(_xlfn.XLOOKUP(TRIM(B7391),Lookup!$B$2:$B$1000,Lookup!$C$2:$C$1000),"")</f>
        <v>Equity</v>
      </c>
      <c r="D7391" s="8" t="str">
        <f>IFERROR(INDEX('nav master'!$C:$C, MATCH(B7391, 'nav master'!$B:$B, 0)), "")</f>
        <v>ULIF07828/02/25Alpha300Fd101</v>
      </c>
      <c r="E7391" s="8" t="s">
        <v>379</v>
      </c>
      <c r="F7391" s="8" t="s">
        <v>3033</v>
      </c>
    </row>
    <row r="7392" spans="1:6" ht="60" x14ac:dyDescent="0.25">
      <c r="A7392" s="8" t="s">
        <v>125</v>
      </c>
      <c r="B7392" s="8" t="s">
        <v>157</v>
      </c>
      <c r="C7392" s="8" t="str">
        <f>IFERROR(_xlfn.XLOOKUP(TRIM(B7392),Lookup!$B$2:$B$1000,Lookup!$C$2:$C$1000),"")</f>
        <v>Equity</v>
      </c>
      <c r="D7392" s="8" t="str">
        <f>IFERROR(INDEX('nav master'!$C:$C, MATCH(B7392, 'nav master'!$B:$B, 0)), "")</f>
        <v>ULIF07828/02/25Alpha300Fd101</v>
      </c>
      <c r="E7392" s="8" t="s">
        <v>381</v>
      </c>
      <c r="F7392" s="8" t="s">
        <v>3034</v>
      </c>
    </row>
    <row r="7393" spans="1:6" ht="60" x14ac:dyDescent="0.25">
      <c r="A7393" s="8" t="s">
        <v>125</v>
      </c>
      <c r="B7393" s="8" t="s">
        <v>157</v>
      </c>
      <c r="C7393" s="8" t="str">
        <f>IFERROR(_xlfn.XLOOKUP(TRIM(B7393),Lookup!$B$2:$B$1000,Lookup!$C$2:$C$1000),"")</f>
        <v>Equity</v>
      </c>
      <c r="D7393" s="8" t="str">
        <f>IFERROR(INDEX('nav master'!$C:$C, MATCH(B7393, 'nav master'!$B:$B, 0)), "")</f>
        <v>ULIF07828/02/25Alpha300Fd101</v>
      </c>
      <c r="E7393" s="8" t="s">
        <v>383</v>
      </c>
      <c r="F7393" s="8" t="s">
        <v>3035</v>
      </c>
    </row>
    <row r="7394" spans="1:6" ht="60" x14ac:dyDescent="0.25">
      <c r="A7394" s="8" t="s">
        <v>125</v>
      </c>
      <c r="B7394" s="8" t="s">
        <v>157</v>
      </c>
      <c r="C7394" s="8" t="str">
        <f>IFERROR(_xlfn.XLOOKUP(TRIM(B7394),Lookup!$B$2:$B$1000,Lookup!$C$2:$C$1000),"")</f>
        <v>Equity</v>
      </c>
      <c r="D7394" s="8" t="str">
        <f>IFERROR(INDEX('nav master'!$C:$C, MATCH(B7394, 'nav master'!$B:$B, 0)), "")</f>
        <v>ULIF07828/02/25Alpha300Fd101</v>
      </c>
      <c r="E7394" s="8" t="s">
        <v>385</v>
      </c>
      <c r="F7394" s="8" t="s">
        <v>3036</v>
      </c>
    </row>
    <row r="7395" spans="1:6" ht="60" x14ac:dyDescent="0.25">
      <c r="A7395" s="8" t="s">
        <v>125</v>
      </c>
      <c r="B7395" s="8" t="s">
        <v>157</v>
      </c>
      <c r="C7395" s="8" t="str">
        <f>IFERROR(_xlfn.XLOOKUP(TRIM(B7395),Lookup!$B$2:$B$1000,Lookup!$C$2:$C$1000),"")</f>
        <v>Equity</v>
      </c>
      <c r="D7395" s="8" t="str">
        <f>IFERROR(INDEX('nav master'!$C:$C, MATCH(B7395, 'nav master'!$B:$B, 0)), "")</f>
        <v>ULIF07828/02/25Alpha300Fd101</v>
      </c>
      <c r="E7395" s="8" t="s">
        <v>387</v>
      </c>
      <c r="F7395" s="8" t="s">
        <v>3037</v>
      </c>
    </row>
    <row r="7396" spans="1:6" ht="60" x14ac:dyDescent="0.25">
      <c r="A7396" s="8" t="s">
        <v>125</v>
      </c>
      <c r="B7396" s="8" t="s">
        <v>157</v>
      </c>
      <c r="C7396" s="8" t="str">
        <f>IFERROR(_xlfn.XLOOKUP(TRIM(B7396),Lookup!$B$2:$B$1000,Lookup!$C$2:$C$1000),"")</f>
        <v>Equity</v>
      </c>
      <c r="D7396" s="8" t="str">
        <f>IFERROR(INDEX('nav master'!$C:$C, MATCH(B7396, 'nav master'!$B:$B, 0)), "")</f>
        <v>ULIF07828/02/25Alpha300Fd101</v>
      </c>
      <c r="E7396" s="8" t="s">
        <v>389</v>
      </c>
      <c r="F7396" s="8" t="s">
        <v>3038</v>
      </c>
    </row>
    <row r="7397" spans="1:6" ht="60" x14ac:dyDescent="0.25">
      <c r="A7397" s="8" t="s">
        <v>125</v>
      </c>
      <c r="B7397" s="8" t="s">
        <v>157</v>
      </c>
      <c r="C7397" s="8" t="str">
        <f>IFERROR(_xlfn.XLOOKUP(TRIM(B7397),Lookup!$B$2:$B$1000,Lookup!$C$2:$C$1000),"")</f>
        <v>Equity</v>
      </c>
      <c r="D7397" s="8" t="str">
        <f>IFERROR(INDEX('nav master'!$C:$C, MATCH(B7397, 'nav master'!$B:$B, 0)), "")</f>
        <v>ULIF07828/02/25Alpha300Fd101</v>
      </c>
      <c r="E7397" s="8" t="s">
        <v>391</v>
      </c>
      <c r="F7397" s="8" t="s">
        <v>3039</v>
      </c>
    </row>
    <row r="7398" spans="1:6" ht="60" x14ac:dyDescent="0.25">
      <c r="A7398" s="8" t="s">
        <v>125</v>
      </c>
      <c r="B7398" s="8" t="s">
        <v>157</v>
      </c>
      <c r="C7398" s="8" t="str">
        <f>IFERROR(_xlfn.XLOOKUP(TRIM(B7398),Lookup!$B$2:$B$1000,Lookup!$C$2:$C$1000),"")</f>
        <v>Equity</v>
      </c>
      <c r="D7398" s="8" t="str">
        <f>IFERROR(INDEX('nav master'!$C:$C, MATCH(B7398, 'nav master'!$B:$B, 0)), "")</f>
        <v>ULIF07828/02/25Alpha300Fd101</v>
      </c>
      <c r="E7398" s="8" t="s">
        <v>393</v>
      </c>
      <c r="F7398" s="8" t="s">
        <v>3040</v>
      </c>
    </row>
    <row r="7399" spans="1:6" ht="60" x14ac:dyDescent="0.25">
      <c r="A7399" s="8" t="s">
        <v>125</v>
      </c>
      <c r="B7399" s="8" t="s">
        <v>157</v>
      </c>
      <c r="C7399" s="8" t="str">
        <f>IFERROR(_xlfn.XLOOKUP(TRIM(B7399),Lookup!$B$2:$B$1000,Lookup!$C$2:$C$1000),"")</f>
        <v>Equity</v>
      </c>
      <c r="D7399" s="8" t="str">
        <f>IFERROR(INDEX('nav master'!$C:$C, MATCH(B7399, 'nav master'!$B:$B, 0)), "")</f>
        <v>ULIF07828/02/25Alpha300Fd101</v>
      </c>
      <c r="E7399" s="8" t="s">
        <v>395</v>
      </c>
      <c r="F7399" s="8" t="s">
        <v>3041</v>
      </c>
    </row>
    <row r="7400" spans="1:6" ht="60" x14ac:dyDescent="0.25">
      <c r="A7400" s="8" t="s">
        <v>125</v>
      </c>
      <c r="B7400" s="8" t="s">
        <v>157</v>
      </c>
      <c r="C7400" s="8" t="str">
        <f>IFERROR(_xlfn.XLOOKUP(TRIM(B7400),Lookup!$B$2:$B$1000,Lookup!$C$2:$C$1000),"")</f>
        <v>Equity</v>
      </c>
      <c r="D7400" s="8" t="str">
        <f>IFERROR(INDEX('nav master'!$C:$C, MATCH(B7400, 'nav master'!$B:$B, 0)), "")</f>
        <v>ULIF07828/02/25Alpha300Fd101</v>
      </c>
      <c r="E7400" s="8" t="s">
        <v>397</v>
      </c>
      <c r="F7400" s="8" t="s">
        <v>3042</v>
      </c>
    </row>
    <row r="7401" spans="1:6" ht="60" x14ac:dyDescent="0.25">
      <c r="A7401" s="8" t="s">
        <v>125</v>
      </c>
      <c r="B7401" s="8" t="s">
        <v>157</v>
      </c>
      <c r="C7401" s="8" t="str">
        <f>IFERROR(_xlfn.XLOOKUP(TRIM(B7401),Lookup!$B$2:$B$1000,Lookup!$C$2:$C$1000),"")</f>
        <v>Equity</v>
      </c>
      <c r="D7401" s="8" t="str">
        <f>IFERROR(INDEX('nav master'!$C:$C, MATCH(B7401, 'nav master'!$B:$B, 0)), "")</f>
        <v>ULIF07828/02/25Alpha300Fd101</v>
      </c>
      <c r="E7401" s="8" t="s">
        <v>399</v>
      </c>
      <c r="F7401" s="8" t="s">
        <v>3043</v>
      </c>
    </row>
    <row r="7402" spans="1:6" ht="60" x14ac:dyDescent="0.25">
      <c r="A7402" s="8" t="s">
        <v>125</v>
      </c>
      <c r="B7402" s="8" t="s">
        <v>157</v>
      </c>
      <c r="C7402" s="8" t="str">
        <f>IFERROR(_xlfn.XLOOKUP(TRIM(B7402),Lookup!$B$2:$B$1000,Lookup!$C$2:$C$1000),"")</f>
        <v>Equity</v>
      </c>
      <c r="D7402" s="8" t="str">
        <f>IFERROR(INDEX('nav master'!$C:$C, MATCH(B7402, 'nav master'!$B:$B, 0)), "")</f>
        <v>ULIF07828/02/25Alpha300Fd101</v>
      </c>
      <c r="E7402" s="8" t="s">
        <v>401</v>
      </c>
      <c r="F7402" s="8" t="s">
        <v>3044</v>
      </c>
    </row>
    <row r="7403" spans="1:6" ht="60" x14ac:dyDescent="0.25">
      <c r="A7403" s="8" t="s">
        <v>125</v>
      </c>
      <c r="B7403" s="8" t="s">
        <v>157</v>
      </c>
      <c r="C7403" s="8" t="str">
        <f>IFERROR(_xlfn.XLOOKUP(TRIM(B7403),Lookup!$B$2:$B$1000,Lookup!$C$2:$C$1000),"")</f>
        <v>Equity</v>
      </c>
      <c r="D7403" s="8" t="str">
        <f>IFERROR(INDEX('nav master'!$C:$C, MATCH(B7403, 'nav master'!$B:$B, 0)), "")</f>
        <v>ULIF07828/02/25Alpha300Fd101</v>
      </c>
      <c r="E7403" s="8" t="s">
        <v>403</v>
      </c>
      <c r="F7403" s="8" t="s">
        <v>3045</v>
      </c>
    </row>
    <row r="7404" spans="1:6" ht="60" x14ac:dyDescent="0.25">
      <c r="A7404" s="8" t="s">
        <v>125</v>
      </c>
      <c r="B7404" s="8" t="s">
        <v>157</v>
      </c>
      <c r="C7404" s="8" t="str">
        <f>IFERROR(_xlfn.XLOOKUP(TRIM(B7404),Lookup!$B$2:$B$1000,Lookup!$C$2:$C$1000),"")</f>
        <v>Equity</v>
      </c>
      <c r="D7404" s="8" t="str">
        <f>IFERROR(INDEX('nav master'!$C:$C, MATCH(B7404, 'nav master'!$B:$B, 0)), "")</f>
        <v>ULIF07828/02/25Alpha300Fd101</v>
      </c>
      <c r="E7404" s="8" t="s">
        <v>405</v>
      </c>
      <c r="F7404" s="8" t="s">
        <v>3046</v>
      </c>
    </row>
    <row r="7405" spans="1:6" ht="60" x14ac:dyDescent="0.25">
      <c r="A7405" s="8" t="s">
        <v>125</v>
      </c>
      <c r="B7405" s="8" t="s">
        <v>157</v>
      </c>
      <c r="C7405" s="8" t="str">
        <f>IFERROR(_xlfn.XLOOKUP(TRIM(B7405),Lookup!$B$2:$B$1000,Lookup!$C$2:$C$1000),"")</f>
        <v>Equity</v>
      </c>
      <c r="D7405" s="8" t="str">
        <f>IFERROR(INDEX('nav master'!$C:$C, MATCH(B7405, 'nav master'!$B:$B, 0)), "")</f>
        <v>ULIF07828/02/25Alpha300Fd101</v>
      </c>
      <c r="E7405" s="8" t="s">
        <v>407</v>
      </c>
      <c r="F7405" s="8" t="s">
        <v>3047</v>
      </c>
    </row>
    <row r="7406" spans="1:6" ht="60" x14ac:dyDescent="0.25">
      <c r="A7406" s="8" t="s">
        <v>125</v>
      </c>
      <c r="B7406" s="8" t="s">
        <v>157</v>
      </c>
      <c r="C7406" s="8" t="str">
        <f>IFERROR(_xlfn.XLOOKUP(TRIM(B7406),Lookup!$B$2:$B$1000,Lookup!$C$2:$C$1000),"")</f>
        <v>Equity</v>
      </c>
      <c r="D7406" s="8" t="str">
        <f>IFERROR(INDEX('nav master'!$C:$C, MATCH(B7406, 'nav master'!$B:$B, 0)), "")</f>
        <v>ULIF07828/02/25Alpha300Fd101</v>
      </c>
      <c r="E7406" s="8" t="s">
        <v>409</v>
      </c>
      <c r="F7406" s="8" t="s">
        <v>3048</v>
      </c>
    </row>
    <row r="7407" spans="1:6" ht="60" x14ac:dyDescent="0.25">
      <c r="A7407" s="8" t="s">
        <v>125</v>
      </c>
      <c r="B7407" s="8" t="s">
        <v>157</v>
      </c>
      <c r="C7407" s="8" t="str">
        <f>IFERROR(_xlfn.XLOOKUP(TRIM(B7407),Lookup!$B$2:$B$1000,Lookup!$C$2:$C$1000),"")</f>
        <v>Equity</v>
      </c>
      <c r="D7407" s="8" t="str">
        <f>IFERROR(INDEX('nav master'!$C:$C, MATCH(B7407, 'nav master'!$B:$B, 0)), "")</f>
        <v>ULIF07828/02/25Alpha300Fd101</v>
      </c>
      <c r="E7407" s="8" t="s">
        <v>411</v>
      </c>
      <c r="F7407" s="8" t="s">
        <v>3049</v>
      </c>
    </row>
    <row r="7408" spans="1:6" ht="60" x14ac:dyDescent="0.25">
      <c r="A7408" s="8" t="s">
        <v>125</v>
      </c>
      <c r="B7408" s="8" t="s">
        <v>157</v>
      </c>
      <c r="C7408" s="8" t="str">
        <f>IFERROR(_xlfn.XLOOKUP(TRIM(B7408),Lookup!$B$2:$B$1000,Lookup!$C$2:$C$1000),"")</f>
        <v>Equity</v>
      </c>
      <c r="D7408" s="8" t="str">
        <f>IFERROR(INDEX('nav master'!$C:$C, MATCH(B7408, 'nav master'!$B:$B, 0)), "")</f>
        <v>ULIF07828/02/25Alpha300Fd101</v>
      </c>
      <c r="E7408" s="8" t="s">
        <v>413</v>
      </c>
      <c r="F7408" s="8" t="s">
        <v>3050</v>
      </c>
    </row>
    <row r="7409" spans="1:6" ht="60" x14ac:dyDescent="0.25">
      <c r="A7409" s="8" t="s">
        <v>125</v>
      </c>
      <c r="B7409" s="8" t="s">
        <v>157</v>
      </c>
      <c r="C7409" s="8" t="str">
        <f>IFERROR(_xlfn.XLOOKUP(TRIM(B7409),Lookup!$B$2:$B$1000,Lookup!$C$2:$C$1000),"")</f>
        <v>Equity</v>
      </c>
      <c r="D7409" s="8" t="str">
        <f>IFERROR(INDEX('nav master'!$C:$C, MATCH(B7409, 'nav master'!$B:$B, 0)), "")</f>
        <v>ULIF07828/02/25Alpha300Fd101</v>
      </c>
      <c r="E7409" s="8" t="s">
        <v>415</v>
      </c>
      <c r="F7409" s="8" t="s">
        <v>3051</v>
      </c>
    </row>
    <row r="7410" spans="1:6" ht="60" x14ac:dyDescent="0.25">
      <c r="A7410" s="8" t="s">
        <v>125</v>
      </c>
      <c r="B7410" s="8" t="s">
        <v>157</v>
      </c>
      <c r="C7410" s="8" t="str">
        <f>IFERROR(_xlfn.XLOOKUP(TRIM(B7410),Lookup!$B$2:$B$1000,Lookup!$C$2:$C$1000),"")</f>
        <v>Equity</v>
      </c>
      <c r="D7410" s="8" t="str">
        <f>IFERROR(INDEX('nav master'!$C:$C, MATCH(B7410, 'nav master'!$B:$B, 0)), "")</f>
        <v>ULIF07828/02/25Alpha300Fd101</v>
      </c>
      <c r="E7410" s="8" t="s">
        <v>417</v>
      </c>
      <c r="F7410" s="8" t="s">
        <v>3052</v>
      </c>
    </row>
    <row r="7411" spans="1:6" ht="60" x14ac:dyDescent="0.25">
      <c r="A7411" s="8" t="s">
        <v>125</v>
      </c>
      <c r="B7411" s="8" t="s">
        <v>157</v>
      </c>
      <c r="C7411" s="8" t="str">
        <f>IFERROR(_xlfn.XLOOKUP(TRIM(B7411),Lookup!$B$2:$B$1000,Lookup!$C$2:$C$1000),"")</f>
        <v>Equity</v>
      </c>
      <c r="D7411" s="8" t="str">
        <f>IFERROR(INDEX('nav master'!$C:$C, MATCH(B7411, 'nav master'!$B:$B, 0)), "")</f>
        <v>ULIF07828/02/25Alpha300Fd101</v>
      </c>
      <c r="E7411" s="8" t="s">
        <v>419</v>
      </c>
      <c r="F7411" s="8" t="s">
        <v>3053</v>
      </c>
    </row>
    <row r="7412" spans="1:6" ht="60" x14ac:dyDescent="0.25">
      <c r="A7412" s="8" t="s">
        <v>125</v>
      </c>
      <c r="B7412" s="8" t="s">
        <v>157</v>
      </c>
      <c r="C7412" s="8" t="str">
        <f>IFERROR(_xlfn.XLOOKUP(TRIM(B7412),Lookup!$B$2:$B$1000,Lookup!$C$2:$C$1000),"")</f>
        <v>Equity</v>
      </c>
      <c r="D7412" s="8" t="str">
        <f>IFERROR(INDEX('nav master'!$C:$C, MATCH(B7412, 'nav master'!$B:$B, 0)), "")</f>
        <v>ULIF07828/02/25Alpha300Fd101</v>
      </c>
      <c r="E7412" s="8" t="s">
        <v>421</v>
      </c>
      <c r="F7412" s="8" t="s">
        <v>3054</v>
      </c>
    </row>
    <row r="7413" spans="1:6" ht="60" x14ac:dyDescent="0.25">
      <c r="A7413" s="8" t="s">
        <v>125</v>
      </c>
      <c r="B7413" s="8" t="s">
        <v>157</v>
      </c>
      <c r="C7413" s="8" t="str">
        <f>IFERROR(_xlfn.XLOOKUP(TRIM(B7413),Lookup!$B$2:$B$1000,Lookup!$C$2:$C$1000),"")</f>
        <v>Equity</v>
      </c>
      <c r="D7413" s="8" t="str">
        <f>IFERROR(INDEX('nav master'!$C:$C, MATCH(B7413, 'nav master'!$B:$B, 0)), "")</f>
        <v>ULIF07828/02/25Alpha300Fd101</v>
      </c>
      <c r="E7413" s="8" t="s">
        <v>423</v>
      </c>
      <c r="F7413" s="8" t="s">
        <v>3055</v>
      </c>
    </row>
    <row r="7414" spans="1:6" ht="60" x14ac:dyDescent="0.25">
      <c r="A7414" s="8" t="s">
        <v>125</v>
      </c>
      <c r="B7414" s="8" t="s">
        <v>157</v>
      </c>
      <c r="C7414" s="8" t="str">
        <f>IFERROR(_xlfn.XLOOKUP(TRIM(B7414),Lookup!$B$2:$B$1000,Lookup!$C$2:$C$1000),"")</f>
        <v>Equity</v>
      </c>
      <c r="D7414" s="8" t="str">
        <f>IFERROR(INDEX('nav master'!$C:$C, MATCH(B7414, 'nav master'!$B:$B, 0)), "")</f>
        <v>ULIF07828/02/25Alpha300Fd101</v>
      </c>
      <c r="E7414" s="8" t="s">
        <v>425</v>
      </c>
      <c r="F7414" s="8" t="s">
        <v>3056</v>
      </c>
    </row>
    <row r="7415" spans="1:6" ht="60" x14ac:dyDescent="0.25">
      <c r="A7415" s="8" t="s">
        <v>125</v>
      </c>
      <c r="B7415" s="8" t="s">
        <v>157</v>
      </c>
      <c r="C7415" s="8" t="str">
        <f>IFERROR(_xlfn.XLOOKUP(TRIM(B7415),Lookup!$B$2:$B$1000,Lookup!$C$2:$C$1000),"")</f>
        <v>Equity</v>
      </c>
      <c r="D7415" s="8" t="str">
        <f>IFERROR(INDEX('nav master'!$C:$C, MATCH(B7415, 'nav master'!$B:$B, 0)), "")</f>
        <v>ULIF07828/02/25Alpha300Fd101</v>
      </c>
      <c r="E7415" s="8" t="s">
        <v>427</v>
      </c>
      <c r="F7415" s="8" t="s">
        <v>3057</v>
      </c>
    </row>
    <row r="7416" spans="1:6" ht="60" x14ac:dyDescent="0.25">
      <c r="A7416" s="8" t="s">
        <v>125</v>
      </c>
      <c r="B7416" s="8" t="s">
        <v>157</v>
      </c>
      <c r="C7416" s="8" t="str">
        <f>IFERROR(_xlfn.XLOOKUP(TRIM(B7416),Lookup!$B$2:$B$1000,Lookup!$C$2:$C$1000),"")</f>
        <v>Equity</v>
      </c>
      <c r="D7416" s="8" t="str">
        <f>IFERROR(INDEX('nav master'!$C:$C, MATCH(B7416, 'nav master'!$B:$B, 0)), "")</f>
        <v>ULIF07828/02/25Alpha300Fd101</v>
      </c>
      <c r="E7416" s="8" t="s">
        <v>429</v>
      </c>
      <c r="F7416" s="8" t="s">
        <v>3058</v>
      </c>
    </row>
    <row r="7417" spans="1:6" ht="60" x14ac:dyDescent="0.25">
      <c r="A7417" s="8" t="s">
        <v>125</v>
      </c>
      <c r="B7417" s="8" t="s">
        <v>157</v>
      </c>
      <c r="C7417" s="8" t="str">
        <f>IFERROR(_xlfn.XLOOKUP(TRIM(B7417),Lookup!$B$2:$B$1000,Lookup!$C$2:$C$1000),"")</f>
        <v>Equity</v>
      </c>
      <c r="D7417" s="8" t="str">
        <f>IFERROR(INDEX('nav master'!$C:$C, MATCH(B7417, 'nav master'!$B:$B, 0)), "")</f>
        <v>ULIF07828/02/25Alpha300Fd101</v>
      </c>
      <c r="E7417" s="8" t="s">
        <v>431</v>
      </c>
      <c r="F7417" s="8" t="s">
        <v>3059</v>
      </c>
    </row>
    <row r="7418" spans="1:6" ht="60" x14ac:dyDescent="0.25">
      <c r="A7418" s="8" t="s">
        <v>125</v>
      </c>
      <c r="B7418" s="8" t="s">
        <v>157</v>
      </c>
      <c r="C7418" s="8" t="str">
        <f>IFERROR(_xlfn.XLOOKUP(TRIM(B7418),Lookup!$B$2:$B$1000,Lookup!$C$2:$C$1000),"")</f>
        <v>Equity</v>
      </c>
      <c r="D7418" s="8" t="str">
        <f>IFERROR(INDEX('nav master'!$C:$C, MATCH(B7418, 'nav master'!$B:$B, 0)), "")</f>
        <v>ULIF07828/02/25Alpha300Fd101</v>
      </c>
      <c r="E7418" s="8" t="s">
        <v>433</v>
      </c>
      <c r="F7418" s="8" t="s">
        <v>3060</v>
      </c>
    </row>
    <row r="7419" spans="1:6" ht="60" x14ac:dyDescent="0.25">
      <c r="A7419" s="8" t="s">
        <v>125</v>
      </c>
      <c r="B7419" s="8" t="s">
        <v>157</v>
      </c>
      <c r="C7419" s="8" t="str">
        <f>IFERROR(_xlfn.XLOOKUP(TRIM(B7419),Lookup!$B$2:$B$1000,Lookup!$C$2:$C$1000),"")</f>
        <v>Equity</v>
      </c>
      <c r="D7419" s="8" t="str">
        <f>IFERROR(INDEX('nav master'!$C:$C, MATCH(B7419, 'nav master'!$B:$B, 0)), "")</f>
        <v>ULIF07828/02/25Alpha300Fd101</v>
      </c>
      <c r="E7419" s="8" t="s">
        <v>435</v>
      </c>
      <c r="F7419" s="8" t="s">
        <v>3061</v>
      </c>
    </row>
    <row r="7420" spans="1:6" ht="60" x14ac:dyDescent="0.25">
      <c r="A7420" s="8" t="s">
        <v>125</v>
      </c>
      <c r="B7420" s="8" t="s">
        <v>157</v>
      </c>
      <c r="C7420" s="8" t="str">
        <f>IFERROR(_xlfn.XLOOKUP(TRIM(B7420),Lookup!$B$2:$B$1000,Lookup!$C$2:$C$1000),"")</f>
        <v>Equity</v>
      </c>
      <c r="D7420" s="8" t="str">
        <f>IFERROR(INDEX('nav master'!$C:$C, MATCH(B7420, 'nav master'!$B:$B, 0)), "")</f>
        <v>ULIF07828/02/25Alpha300Fd101</v>
      </c>
      <c r="E7420" s="8" t="s">
        <v>437</v>
      </c>
      <c r="F7420" s="8" t="s">
        <v>3062</v>
      </c>
    </row>
    <row r="7421" spans="1:6" ht="60" x14ac:dyDescent="0.25">
      <c r="A7421" s="8" t="s">
        <v>125</v>
      </c>
      <c r="B7421" s="8" t="s">
        <v>157</v>
      </c>
      <c r="C7421" s="8" t="str">
        <f>IFERROR(_xlfn.XLOOKUP(TRIM(B7421),Lookup!$B$2:$B$1000,Lookup!$C$2:$C$1000),"")</f>
        <v>Equity</v>
      </c>
      <c r="D7421" s="8" t="str">
        <f>IFERROR(INDEX('nav master'!$C:$C, MATCH(B7421, 'nav master'!$B:$B, 0)), "")</f>
        <v>ULIF07828/02/25Alpha300Fd101</v>
      </c>
      <c r="E7421" s="8" t="s">
        <v>439</v>
      </c>
      <c r="F7421" s="8" t="s">
        <v>3063</v>
      </c>
    </row>
    <row r="7422" spans="1:6" ht="60" x14ac:dyDescent="0.25">
      <c r="A7422" s="8" t="s">
        <v>125</v>
      </c>
      <c r="B7422" s="8" t="s">
        <v>157</v>
      </c>
      <c r="C7422" s="8" t="str">
        <f>IFERROR(_xlfn.XLOOKUP(TRIM(B7422),Lookup!$B$2:$B$1000,Lookup!$C$2:$C$1000),"")</f>
        <v>Equity</v>
      </c>
      <c r="D7422" s="8" t="str">
        <f>IFERROR(INDEX('nav master'!$C:$C, MATCH(B7422, 'nav master'!$B:$B, 0)), "")</f>
        <v>ULIF07828/02/25Alpha300Fd101</v>
      </c>
      <c r="E7422" s="8" t="s">
        <v>441</v>
      </c>
      <c r="F7422" s="8" t="s">
        <v>3064</v>
      </c>
    </row>
    <row r="7423" spans="1:6" ht="60" x14ac:dyDescent="0.25">
      <c r="A7423" s="8" t="s">
        <v>125</v>
      </c>
      <c r="B7423" s="8" t="s">
        <v>157</v>
      </c>
      <c r="C7423" s="8" t="str">
        <f>IFERROR(_xlfn.XLOOKUP(TRIM(B7423),Lookup!$B$2:$B$1000,Lookup!$C$2:$C$1000),"")</f>
        <v>Equity</v>
      </c>
      <c r="D7423" s="8" t="str">
        <f>IFERROR(INDEX('nav master'!$C:$C, MATCH(B7423, 'nav master'!$B:$B, 0)), "")</f>
        <v>ULIF07828/02/25Alpha300Fd101</v>
      </c>
      <c r="E7423" s="8" t="s">
        <v>443</v>
      </c>
      <c r="F7423" s="8" t="s">
        <v>3065</v>
      </c>
    </row>
    <row r="7424" spans="1:6" ht="60" x14ac:dyDescent="0.25">
      <c r="A7424" s="8" t="s">
        <v>125</v>
      </c>
      <c r="B7424" s="8" t="s">
        <v>157</v>
      </c>
      <c r="C7424" s="8" t="str">
        <f>IFERROR(_xlfn.XLOOKUP(TRIM(B7424),Lookup!$B$2:$B$1000,Lookup!$C$2:$C$1000),"")</f>
        <v>Equity</v>
      </c>
      <c r="D7424" s="8" t="str">
        <f>IFERROR(INDEX('nav master'!$C:$C, MATCH(B7424, 'nav master'!$B:$B, 0)), "")</f>
        <v>ULIF07828/02/25Alpha300Fd101</v>
      </c>
      <c r="E7424" s="8" t="s">
        <v>445</v>
      </c>
      <c r="F7424" s="8" t="s">
        <v>3066</v>
      </c>
    </row>
    <row r="7425" spans="1:6" ht="60" x14ac:dyDescent="0.25">
      <c r="A7425" s="8" t="s">
        <v>125</v>
      </c>
      <c r="B7425" s="8" t="s">
        <v>157</v>
      </c>
      <c r="C7425" s="8" t="str">
        <f>IFERROR(_xlfn.XLOOKUP(TRIM(B7425),Lookup!$B$2:$B$1000,Lookup!$C$2:$C$1000),"")</f>
        <v>Equity</v>
      </c>
      <c r="D7425" s="8" t="str">
        <f>IFERROR(INDEX('nav master'!$C:$C, MATCH(B7425, 'nav master'!$B:$B, 0)), "")</f>
        <v>ULIF07828/02/25Alpha300Fd101</v>
      </c>
      <c r="E7425" s="8" t="s">
        <v>446</v>
      </c>
      <c r="F7425" s="8" t="s">
        <v>3067</v>
      </c>
    </row>
    <row r="7426" spans="1:6" ht="60" x14ac:dyDescent="0.25">
      <c r="A7426" s="8" t="s">
        <v>125</v>
      </c>
      <c r="B7426" s="8" t="s">
        <v>157</v>
      </c>
      <c r="C7426" s="8" t="str">
        <f>IFERROR(_xlfn.XLOOKUP(TRIM(B7426),Lookup!$B$2:$B$1000,Lookup!$C$2:$C$1000),"")</f>
        <v>Equity</v>
      </c>
      <c r="D7426" s="8" t="str">
        <f>IFERROR(INDEX('nav master'!$C:$C, MATCH(B7426, 'nav master'!$B:$B, 0)), "")</f>
        <v>ULIF07828/02/25Alpha300Fd101</v>
      </c>
      <c r="E7426" s="8" t="s">
        <v>448</v>
      </c>
      <c r="F7426" s="8" t="s">
        <v>3068</v>
      </c>
    </row>
    <row r="7427" spans="1:6" ht="60" x14ac:dyDescent="0.25">
      <c r="A7427" s="8" t="s">
        <v>125</v>
      </c>
      <c r="B7427" s="8" t="s">
        <v>157</v>
      </c>
      <c r="C7427" s="8" t="str">
        <f>IFERROR(_xlfn.XLOOKUP(TRIM(B7427),Lookup!$B$2:$B$1000,Lookup!$C$2:$C$1000),"")</f>
        <v>Equity</v>
      </c>
      <c r="D7427" s="8" t="str">
        <f>IFERROR(INDEX('nav master'!$C:$C, MATCH(B7427, 'nav master'!$B:$B, 0)), "")</f>
        <v>ULIF07828/02/25Alpha300Fd101</v>
      </c>
      <c r="E7427" s="8" t="s">
        <v>450</v>
      </c>
      <c r="F7427" s="8" t="s">
        <v>3069</v>
      </c>
    </row>
    <row r="7428" spans="1:6" ht="60" x14ac:dyDescent="0.25">
      <c r="A7428" s="8" t="s">
        <v>125</v>
      </c>
      <c r="B7428" s="8" t="s">
        <v>157</v>
      </c>
      <c r="C7428" s="8" t="str">
        <f>IFERROR(_xlfn.XLOOKUP(TRIM(B7428),Lookup!$B$2:$B$1000,Lookup!$C$2:$C$1000),"")</f>
        <v>Equity</v>
      </c>
      <c r="D7428" s="8" t="str">
        <f>IFERROR(INDEX('nav master'!$C:$C, MATCH(B7428, 'nav master'!$B:$B, 0)), "")</f>
        <v>ULIF07828/02/25Alpha300Fd101</v>
      </c>
      <c r="E7428" s="8" t="s">
        <v>452</v>
      </c>
      <c r="F7428" s="8" t="s">
        <v>3070</v>
      </c>
    </row>
    <row r="7429" spans="1:6" ht="60" x14ac:dyDescent="0.25">
      <c r="A7429" s="8" t="s">
        <v>125</v>
      </c>
      <c r="B7429" s="8" t="s">
        <v>157</v>
      </c>
      <c r="C7429" s="8" t="str">
        <f>IFERROR(_xlfn.XLOOKUP(TRIM(B7429),Lookup!$B$2:$B$1000,Lookup!$C$2:$C$1000),"")</f>
        <v>Equity</v>
      </c>
      <c r="D7429" s="8" t="str">
        <f>IFERROR(INDEX('nav master'!$C:$C, MATCH(B7429, 'nav master'!$B:$B, 0)), "")</f>
        <v>ULIF07828/02/25Alpha300Fd101</v>
      </c>
      <c r="E7429" s="8" t="s">
        <v>454</v>
      </c>
      <c r="F7429" s="8" t="s">
        <v>3071</v>
      </c>
    </row>
    <row r="7430" spans="1:6" ht="60" x14ac:dyDescent="0.25">
      <c r="A7430" s="8" t="s">
        <v>125</v>
      </c>
      <c r="B7430" s="8" t="s">
        <v>157</v>
      </c>
      <c r="C7430" s="8" t="str">
        <f>IFERROR(_xlfn.XLOOKUP(TRIM(B7430),Lookup!$B$2:$B$1000,Lookup!$C$2:$C$1000),"")</f>
        <v>Equity</v>
      </c>
      <c r="D7430" s="8" t="str">
        <f>IFERROR(INDEX('nav master'!$C:$C, MATCH(B7430, 'nav master'!$B:$B, 0)), "")</f>
        <v>ULIF07828/02/25Alpha300Fd101</v>
      </c>
      <c r="E7430" s="8" t="s">
        <v>456</v>
      </c>
      <c r="F7430" s="8" t="s">
        <v>3072</v>
      </c>
    </row>
    <row r="7431" spans="1:6" ht="60" x14ac:dyDescent="0.25">
      <c r="A7431" s="8" t="s">
        <v>125</v>
      </c>
      <c r="B7431" s="8" t="s">
        <v>157</v>
      </c>
      <c r="C7431" s="8" t="str">
        <f>IFERROR(_xlfn.XLOOKUP(TRIM(B7431),Lookup!$B$2:$B$1000,Lookup!$C$2:$C$1000),"")</f>
        <v>Equity</v>
      </c>
      <c r="D7431" s="8" t="str">
        <f>IFERROR(INDEX('nav master'!$C:$C, MATCH(B7431, 'nav master'!$B:$B, 0)), "")</f>
        <v>ULIF07828/02/25Alpha300Fd101</v>
      </c>
      <c r="E7431" s="8" t="s">
        <v>458</v>
      </c>
      <c r="F7431" s="8" t="s">
        <v>3073</v>
      </c>
    </row>
    <row r="7432" spans="1:6" ht="60" x14ac:dyDescent="0.25">
      <c r="A7432" s="8" t="s">
        <v>125</v>
      </c>
      <c r="B7432" s="8" t="s">
        <v>157</v>
      </c>
      <c r="C7432" s="8" t="str">
        <f>IFERROR(_xlfn.XLOOKUP(TRIM(B7432),Lookup!$B$2:$B$1000,Lookup!$C$2:$C$1000),"")</f>
        <v>Equity</v>
      </c>
      <c r="D7432" s="8" t="str">
        <f>IFERROR(INDEX('nav master'!$C:$C, MATCH(B7432, 'nav master'!$B:$B, 0)), "")</f>
        <v>ULIF07828/02/25Alpha300Fd101</v>
      </c>
      <c r="E7432" s="8" t="s">
        <v>460</v>
      </c>
      <c r="F7432" s="8" t="s">
        <v>3074</v>
      </c>
    </row>
    <row r="7433" spans="1:6" ht="60" x14ac:dyDescent="0.25">
      <c r="A7433" s="8" t="s">
        <v>125</v>
      </c>
      <c r="B7433" s="8" t="s">
        <v>157</v>
      </c>
      <c r="C7433" s="8" t="str">
        <f>IFERROR(_xlfn.XLOOKUP(TRIM(B7433),Lookup!$B$2:$B$1000,Lookup!$C$2:$C$1000),"")</f>
        <v>Equity</v>
      </c>
      <c r="D7433" s="8" t="str">
        <f>IFERROR(INDEX('nav master'!$C:$C, MATCH(B7433, 'nav master'!$B:$B, 0)), "")</f>
        <v>ULIF07828/02/25Alpha300Fd101</v>
      </c>
      <c r="E7433" s="8" t="s">
        <v>462</v>
      </c>
      <c r="F7433" s="8" t="s">
        <v>3075</v>
      </c>
    </row>
    <row r="7434" spans="1:6" ht="60" x14ac:dyDescent="0.25">
      <c r="A7434" s="8" t="s">
        <v>125</v>
      </c>
      <c r="B7434" s="8" t="s">
        <v>157</v>
      </c>
      <c r="C7434" s="8" t="str">
        <f>IFERROR(_xlfn.XLOOKUP(TRIM(B7434),Lookup!$B$2:$B$1000,Lookup!$C$2:$C$1000),"")</f>
        <v>Equity</v>
      </c>
      <c r="D7434" s="8" t="str">
        <f>IFERROR(INDEX('nav master'!$C:$C, MATCH(B7434, 'nav master'!$B:$B, 0)), "")</f>
        <v>ULIF07828/02/25Alpha300Fd101</v>
      </c>
      <c r="E7434" s="8" t="s">
        <v>464</v>
      </c>
      <c r="F7434" s="8" t="s">
        <v>3076</v>
      </c>
    </row>
    <row r="7435" spans="1:6" ht="60" x14ac:dyDescent="0.25">
      <c r="A7435" s="8" t="s">
        <v>125</v>
      </c>
      <c r="B7435" s="8" t="s">
        <v>157</v>
      </c>
      <c r="C7435" s="8" t="str">
        <f>IFERROR(_xlfn.XLOOKUP(TRIM(B7435),Lookup!$B$2:$B$1000,Lookup!$C$2:$C$1000),"")</f>
        <v>Equity</v>
      </c>
      <c r="D7435" s="8" t="str">
        <f>IFERROR(INDEX('nav master'!$C:$C, MATCH(B7435, 'nav master'!$B:$B, 0)), "")</f>
        <v>ULIF07828/02/25Alpha300Fd101</v>
      </c>
      <c r="E7435" s="8" t="s">
        <v>466</v>
      </c>
      <c r="F7435" s="8" t="s">
        <v>3077</v>
      </c>
    </row>
    <row r="7436" spans="1:6" ht="60" x14ac:dyDescent="0.25">
      <c r="A7436" s="8" t="s">
        <v>125</v>
      </c>
      <c r="B7436" s="8" t="s">
        <v>157</v>
      </c>
      <c r="C7436" s="8" t="str">
        <f>IFERROR(_xlfn.XLOOKUP(TRIM(B7436),Lookup!$B$2:$B$1000,Lookup!$C$2:$C$1000),"")</f>
        <v>Equity</v>
      </c>
      <c r="D7436" s="8" t="str">
        <f>IFERROR(INDEX('nav master'!$C:$C, MATCH(B7436, 'nav master'!$B:$B, 0)), "")</f>
        <v>ULIF07828/02/25Alpha300Fd101</v>
      </c>
      <c r="E7436" s="8" t="s">
        <v>468</v>
      </c>
      <c r="F7436" s="8" t="s">
        <v>3078</v>
      </c>
    </row>
    <row r="7437" spans="1:6" ht="60" x14ac:dyDescent="0.25">
      <c r="A7437" s="8" t="s">
        <v>125</v>
      </c>
      <c r="B7437" s="8" t="s">
        <v>157</v>
      </c>
      <c r="C7437" s="8" t="str">
        <f>IFERROR(_xlfn.XLOOKUP(TRIM(B7437),Lookup!$B$2:$B$1000,Lookup!$C$2:$C$1000),"")</f>
        <v>Equity</v>
      </c>
      <c r="D7437" s="8" t="str">
        <f>IFERROR(INDEX('nav master'!$C:$C, MATCH(B7437, 'nav master'!$B:$B, 0)), "")</f>
        <v>ULIF07828/02/25Alpha300Fd101</v>
      </c>
      <c r="E7437" s="8" t="s">
        <v>470</v>
      </c>
      <c r="F7437" s="8" t="s">
        <v>3079</v>
      </c>
    </row>
    <row r="7438" spans="1:6" ht="60" x14ac:dyDescent="0.25">
      <c r="A7438" s="8" t="s">
        <v>125</v>
      </c>
      <c r="B7438" s="8" t="s">
        <v>157</v>
      </c>
      <c r="C7438" s="8" t="str">
        <f>IFERROR(_xlfn.XLOOKUP(TRIM(B7438),Lookup!$B$2:$B$1000,Lookup!$C$2:$C$1000),"")</f>
        <v>Equity</v>
      </c>
      <c r="D7438" s="8" t="str">
        <f>IFERROR(INDEX('nav master'!$C:$C, MATCH(B7438, 'nav master'!$B:$B, 0)), "")</f>
        <v>ULIF07828/02/25Alpha300Fd101</v>
      </c>
      <c r="E7438" s="8" t="s">
        <v>472</v>
      </c>
      <c r="F7438" s="8" t="s">
        <v>3080</v>
      </c>
    </row>
    <row r="7439" spans="1:6" ht="60" x14ac:dyDescent="0.25">
      <c r="A7439" s="8" t="s">
        <v>125</v>
      </c>
      <c r="B7439" s="8" t="s">
        <v>157</v>
      </c>
      <c r="C7439" s="8" t="str">
        <f>IFERROR(_xlfn.XLOOKUP(TRIM(B7439),Lookup!$B$2:$B$1000,Lookup!$C$2:$C$1000),"")</f>
        <v>Equity</v>
      </c>
      <c r="D7439" s="8" t="str">
        <f>IFERROR(INDEX('nav master'!$C:$C, MATCH(B7439, 'nav master'!$B:$B, 0)), "")</f>
        <v>ULIF07828/02/25Alpha300Fd101</v>
      </c>
      <c r="E7439" s="8" t="s">
        <v>474</v>
      </c>
      <c r="F7439" s="8" t="s">
        <v>3081</v>
      </c>
    </row>
    <row r="7440" spans="1:6" ht="60" x14ac:dyDescent="0.25">
      <c r="A7440" s="8" t="s">
        <v>125</v>
      </c>
      <c r="B7440" s="8" t="s">
        <v>157</v>
      </c>
      <c r="C7440" s="8" t="str">
        <f>IFERROR(_xlfn.XLOOKUP(TRIM(B7440),Lookup!$B$2:$B$1000,Lookup!$C$2:$C$1000),"")</f>
        <v>Equity</v>
      </c>
      <c r="D7440" s="8" t="str">
        <f>IFERROR(INDEX('nav master'!$C:$C, MATCH(B7440, 'nav master'!$B:$B, 0)), "")</f>
        <v>ULIF07828/02/25Alpha300Fd101</v>
      </c>
      <c r="E7440" s="8" t="s">
        <v>476</v>
      </c>
      <c r="F7440" s="8" t="s">
        <v>3082</v>
      </c>
    </row>
    <row r="7441" spans="1:6" ht="60" x14ac:dyDescent="0.25">
      <c r="A7441" s="8" t="s">
        <v>125</v>
      </c>
      <c r="B7441" s="8" t="s">
        <v>157</v>
      </c>
      <c r="C7441" s="8" t="str">
        <f>IFERROR(_xlfn.XLOOKUP(TRIM(B7441),Lookup!$B$2:$B$1000,Lookup!$C$2:$C$1000),"")</f>
        <v>Equity</v>
      </c>
      <c r="D7441" s="8" t="str">
        <f>IFERROR(INDEX('nav master'!$C:$C, MATCH(B7441, 'nav master'!$B:$B, 0)), "")</f>
        <v>ULIF07828/02/25Alpha300Fd101</v>
      </c>
      <c r="E7441" s="8" t="s">
        <v>478</v>
      </c>
      <c r="F7441" s="8" t="s">
        <v>3083</v>
      </c>
    </row>
    <row r="7442" spans="1:6" ht="60" x14ac:dyDescent="0.25">
      <c r="A7442" s="8" t="s">
        <v>125</v>
      </c>
      <c r="B7442" s="8" t="s">
        <v>157</v>
      </c>
      <c r="C7442" s="8" t="str">
        <f>IFERROR(_xlfn.XLOOKUP(TRIM(B7442),Lookup!$B$2:$B$1000,Lookup!$C$2:$C$1000),"")</f>
        <v>Equity</v>
      </c>
      <c r="D7442" s="8" t="str">
        <f>IFERROR(INDEX('nav master'!$C:$C, MATCH(B7442, 'nav master'!$B:$B, 0)), "")</f>
        <v>ULIF07828/02/25Alpha300Fd101</v>
      </c>
      <c r="E7442" s="8" t="s">
        <v>480</v>
      </c>
      <c r="F7442" s="8" t="s">
        <v>3084</v>
      </c>
    </row>
    <row r="7443" spans="1:6" ht="60" x14ac:dyDescent="0.25">
      <c r="A7443" s="8" t="s">
        <v>125</v>
      </c>
      <c r="B7443" s="8" t="s">
        <v>157</v>
      </c>
      <c r="C7443" s="8" t="str">
        <f>IFERROR(_xlfn.XLOOKUP(TRIM(B7443),Lookup!$B$2:$B$1000,Lookup!$C$2:$C$1000),"")</f>
        <v>Equity</v>
      </c>
      <c r="D7443" s="8" t="str">
        <f>IFERROR(INDEX('nav master'!$C:$C, MATCH(B7443, 'nav master'!$B:$B, 0)), "")</f>
        <v>ULIF07828/02/25Alpha300Fd101</v>
      </c>
      <c r="E7443" s="8" t="s">
        <v>482</v>
      </c>
      <c r="F7443" s="8" t="s">
        <v>3085</v>
      </c>
    </row>
    <row r="7444" spans="1:6" ht="60" x14ac:dyDescent="0.25">
      <c r="A7444" s="8" t="s">
        <v>125</v>
      </c>
      <c r="B7444" s="8" t="s">
        <v>157</v>
      </c>
      <c r="C7444" s="8" t="str">
        <f>IFERROR(_xlfn.XLOOKUP(TRIM(B7444),Lookup!$B$2:$B$1000,Lookup!$C$2:$C$1000),"")</f>
        <v>Equity</v>
      </c>
      <c r="D7444" s="8" t="str">
        <f>IFERROR(INDEX('nav master'!$C:$C, MATCH(B7444, 'nav master'!$B:$B, 0)), "")</f>
        <v>ULIF07828/02/25Alpha300Fd101</v>
      </c>
      <c r="E7444" s="8" t="s">
        <v>484</v>
      </c>
      <c r="F7444" s="8" t="s">
        <v>3086</v>
      </c>
    </row>
    <row r="7445" spans="1:6" ht="60" x14ac:dyDescent="0.25">
      <c r="A7445" s="8" t="s">
        <v>125</v>
      </c>
      <c r="B7445" s="8" t="s">
        <v>157</v>
      </c>
      <c r="C7445" s="8" t="str">
        <f>IFERROR(_xlfn.XLOOKUP(TRIM(B7445),Lookup!$B$2:$B$1000,Lookup!$C$2:$C$1000),"")</f>
        <v>Equity</v>
      </c>
      <c r="D7445" s="8" t="str">
        <f>IFERROR(INDEX('nav master'!$C:$C, MATCH(B7445, 'nav master'!$B:$B, 0)), "")</f>
        <v>ULIF07828/02/25Alpha300Fd101</v>
      </c>
      <c r="E7445" s="8" t="s">
        <v>486</v>
      </c>
      <c r="F7445" s="8" t="s">
        <v>3087</v>
      </c>
    </row>
    <row r="7446" spans="1:6" ht="60" x14ac:dyDescent="0.25">
      <c r="A7446" s="8" t="s">
        <v>125</v>
      </c>
      <c r="B7446" s="8" t="s">
        <v>157</v>
      </c>
      <c r="C7446" s="8" t="str">
        <f>IFERROR(_xlfn.XLOOKUP(TRIM(B7446),Lookup!$B$2:$B$1000,Lookup!$C$2:$C$1000),"")</f>
        <v>Equity</v>
      </c>
      <c r="D7446" s="8" t="str">
        <f>IFERROR(INDEX('nav master'!$C:$C, MATCH(B7446, 'nav master'!$B:$B, 0)), "")</f>
        <v>ULIF07828/02/25Alpha300Fd101</v>
      </c>
      <c r="E7446" s="8" t="s">
        <v>488</v>
      </c>
      <c r="F7446" s="8" t="s">
        <v>3088</v>
      </c>
    </row>
    <row r="7447" spans="1:6" ht="60" x14ac:dyDescent="0.25">
      <c r="A7447" s="8" t="s">
        <v>125</v>
      </c>
      <c r="B7447" s="8" t="s">
        <v>157</v>
      </c>
      <c r="C7447" s="8" t="str">
        <f>IFERROR(_xlfn.XLOOKUP(TRIM(B7447),Lookup!$B$2:$B$1000,Lookup!$C$2:$C$1000),"")</f>
        <v>Equity</v>
      </c>
      <c r="D7447" s="8" t="str">
        <f>IFERROR(INDEX('nav master'!$C:$C, MATCH(B7447, 'nav master'!$B:$B, 0)), "")</f>
        <v>ULIF07828/02/25Alpha300Fd101</v>
      </c>
      <c r="E7447" s="8" t="s">
        <v>490</v>
      </c>
      <c r="F7447" s="8" t="s">
        <v>3089</v>
      </c>
    </row>
    <row r="7448" spans="1:6" ht="60" x14ac:dyDescent="0.25">
      <c r="A7448" s="8" t="s">
        <v>125</v>
      </c>
      <c r="B7448" s="8" t="s">
        <v>157</v>
      </c>
      <c r="C7448" s="8" t="str">
        <f>IFERROR(_xlfn.XLOOKUP(TRIM(B7448),Lookup!$B$2:$B$1000,Lookup!$C$2:$C$1000),"")</f>
        <v>Equity</v>
      </c>
      <c r="D7448" s="8" t="str">
        <f>IFERROR(INDEX('nav master'!$C:$C, MATCH(B7448, 'nav master'!$B:$B, 0)), "")</f>
        <v>ULIF07828/02/25Alpha300Fd101</v>
      </c>
      <c r="E7448" s="8" t="s">
        <v>492</v>
      </c>
      <c r="F7448" s="8" t="s">
        <v>3090</v>
      </c>
    </row>
    <row r="7449" spans="1:6" ht="60" x14ac:dyDescent="0.25">
      <c r="A7449" s="8" t="s">
        <v>125</v>
      </c>
      <c r="B7449" s="8" t="s">
        <v>157</v>
      </c>
      <c r="C7449" s="8" t="str">
        <f>IFERROR(_xlfn.XLOOKUP(TRIM(B7449),Lookup!$B$2:$B$1000,Lookup!$C$2:$C$1000),"")</f>
        <v>Equity</v>
      </c>
      <c r="D7449" s="8" t="str">
        <f>IFERROR(INDEX('nav master'!$C:$C, MATCH(B7449, 'nav master'!$B:$B, 0)), "")</f>
        <v>ULIF07828/02/25Alpha300Fd101</v>
      </c>
      <c r="E7449" s="8" t="s">
        <v>494</v>
      </c>
      <c r="F7449" s="8" t="s">
        <v>3091</v>
      </c>
    </row>
    <row r="7450" spans="1:6" ht="60" x14ac:dyDescent="0.25">
      <c r="A7450" s="8" t="s">
        <v>125</v>
      </c>
      <c r="B7450" s="8" t="s">
        <v>157</v>
      </c>
      <c r="C7450" s="8" t="str">
        <f>IFERROR(_xlfn.XLOOKUP(TRIM(B7450),Lookup!$B$2:$B$1000,Lookup!$C$2:$C$1000),"")</f>
        <v>Equity</v>
      </c>
      <c r="D7450" s="8" t="str">
        <f>IFERROR(INDEX('nav master'!$C:$C, MATCH(B7450, 'nav master'!$B:$B, 0)), "")</f>
        <v>ULIF07828/02/25Alpha300Fd101</v>
      </c>
      <c r="E7450" s="8" t="s">
        <v>496</v>
      </c>
      <c r="F7450" s="8" t="s">
        <v>3092</v>
      </c>
    </row>
    <row r="7451" spans="1:6" ht="60" x14ac:dyDescent="0.25">
      <c r="A7451" s="8" t="s">
        <v>125</v>
      </c>
      <c r="B7451" s="8" t="s">
        <v>157</v>
      </c>
      <c r="C7451" s="8" t="str">
        <f>IFERROR(_xlfn.XLOOKUP(TRIM(B7451),Lookup!$B$2:$B$1000,Lookup!$C$2:$C$1000),"")</f>
        <v>Equity</v>
      </c>
      <c r="D7451" s="8" t="str">
        <f>IFERROR(INDEX('nav master'!$C:$C, MATCH(B7451, 'nav master'!$B:$B, 0)), "")</f>
        <v>ULIF07828/02/25Alpha300Fd101</v>
      </c>
      <c r="E7451" s="8" t="s">
        <v>498</v>
      </c>
      <c r="F7451" s="8" t="s">
        <v>3093</v>
      </c>
    </row>
    <row r="7452" spans="1:6" ht="60" x14ac:dyDescent="0.25">
      <c r="A7452" s="8" t="s">
        <v>125</v>
      </c>
      <c r="B7452" s="8" t="s">
        <v>157</v>
      </c>
      <c r="C7452" s="8" t="str">
        <f>IFERROR(_xlfn.XLOOKUP(TRIM(B7452),Lookup!$B$2:$B$1000,Lookup!$C$2:$C$1000),"")</f>
        <v>Equity</v>
      </c>
      <c r="D7452" s="8" t="str">
        <f>IFERROR(INDEX('nav master'!$C:$C, MATCH(B7452, 'nav master'!$B:$B, 0)), "")</f>
        <v>ULIF07828/02/25Alpha300Fd101</v>
      </c>
      <c r="E7452" s="8" t="s">
        <v>500</v>
      </c>
      <c r="F7452" s="8" t="s">
        <v>3094</v>
      </c>
    </row>
    <row r="7453" spans="1:6" ht="60" x14ac:dyDescent="0.25">
      <c r="A7453" s="8" t="s">
        <v>125</v>
      </c>
      <c r="B7453" s="8" t="s">
        <v>157</v>
      </c>
      <c r="C7453" s="8" t="str">
        <f>IFERROR(_xlfn.XLOOKUP(TRIM(B7453),Lookup!$B$2:$B$1000,Lookup!$C$2:$C$1000),"")</f>
        <v>Equity</v>
      </c>
      <c r="D7453" s="8" t="str">
        <f>IFERROR(INDEX('nav master'!$C:$C, MATCH(B7453, 'nav master'!$B:$B, 0)), "")</f>
        <v>ULIF07828/02/25Alpha300Fd101</v>
      </c>
      <c r="E7453" s="8" t="s">
        <v>502</v>
      </c>
      <c r="F7453" s="8" t="s">
        <v>3095</v>
      </c>
    </row>
    <row r="7454" spans="1:6" ht="60" x14ac:dyDescent="0.25">
      <c r="A7454" s="8" t="s">
        <v>125</v>
      </c>
      <c r="B7454" s="8" t="s">
        <v>157</v>
      </c>
      <c r="C7454" s="8" t="str">
        <f>IFERROR(_xlfn.XLOOKUP(TRIM(B7454),Lookup!$B$2:$B$1000,Lookup!$C$2:$C$1000),"")</f>
        <v>Equity</v>
      </c>
      <c r="D7454" s="8" t="str">
        <f>IFERROR(INDEX('nav master'!$C:$C, MATCH(B7454, 'nav master'!$B:$B, 0)), "")</f>
        <v>ULIF07828/02/25Alpha300Fd101</v>
      </c>
      <c r="E7454" s="8" t="s">
        <v>504</v>
      </c>
      <c r="F7454" s="8" t="s">
        <v>1179</v>
      </c>
    </row>
    <row r="7455" spans="1:6" ht="60" x14ac:dyDescent="0.25">
      <c r="A7455" s="8" t="s">
        <v>125</v>
      </c>
      <c r="B7455" s="8" t="s">
        <v>157</v>
      </c>
      <c r="C7455" s="8" t="str">
        <f>IFERROR(_xlfn.XLOOKUP(TRIM(B7455),Lookup!$B$2:$B$1000,Lookup!$C$2:$C$1000),"")</f>
        <v>Equity</v>
      </c>
      <c r="D7455" s="8" t="str">
        <f>IFERROR(INDEX('nav master'!$C:$C, MATCH(B7455, 'nav master'!$B:$B, 0)), "")</f>
        <v>ULIF07828/02/25Alpha300Fd101</v>
      </c>
      <c r="E7455" s="8" t="s">
        <v>506</v>
      </c>
      <c r="F7455" s="8" t="s">
        <v>3096</v>
      </c>
    </row>
    <row r="7456" spans="1:6" ht="60" x14ac:dyDescent="0.25">
      <c r="A7456" s="8" t="s">
        <v>125</v>
      </c>
      <c r="B7456" s="8" t="s">
        <v>157</v>
      </c>
      <c r="C7456" s="8" t="str">
        <f>IFERROR(_xlfn.XLOOKUP(TRIM(B7456),Lookup!$B$2:$B$1000,Lookup!$C$2:$C$1000),"")</f>
        <v>Equity</v>
      </c>
      <c r="D7456" s="8" t="str">
        <f>IFERROR(INDEX('nav master'!$C:$C, MATCH(B7456, 'nav master'!$B:$B, 0)), "")</f>
        <v>ULIF07828/02/25Alpha300Fd101</v>
      </c>
      <c r="E7456" s="8" t="s">
        <v>508</v>
      </c>
      <c r="F7456" s="8" t="s">
        <v>1455</v>
      </c>
    </row>
    <row r="7457" spans="1:6" ht="60" x14ac:dyDescent="0.25">
      <c r="A7457" s="8" t="s">
        <v>125</v>
      </c>
      <c r="B7457" s="8" t="s">
        <v>157</v>
      </c>
      <c r="C7457" s="8" t="str">
        <f>IFERROR(_xlfn.XLOOKUP(TRIM(B7457),Lookup!$B$2:$B$1000,Lookup!$C$2:$C$1000),"")</f>
        <v>Equity</v>
      </c>
      <c r="D7457" s="8" t="str">
        <f>IFERROR(INDEX('nav master'!$C:$C, MATCH(B7457, 'nav master'!$B:$B, 0)), "")</f>
        <v>ULIF07828/02/25Alpha300Fd101</v>
      </c>
      <c r="E7457" s="8" t="s">
        <v>510</v>
      </c>
      <c r="F7457" s="8" t="s">
        <v>3097</v>
      </c>
    </row>
    <row r="7458" spans="1:6" ht="60" x14ac:dyDescent="0.25">
      <c r="A7458" s="8" t="s">
        <v>125</v>
      </c>
      <c r="B7458" s="8" t="s">
        <v>157</v>
      </c>
      <c r="C7458" s="8" t="str">
        <f>IFERROR(_xlfn.XLOOKUP(TRIM(B7458),Lookup!$B$2:$B$1000,Lookup!$C$2:$C$1000),"")</f>
        <v>Equity</v>
      </c>
      <c r="D7458" s="8" t="str">
        <f>IFERROR(INDEX('nav master'!$C:$C, MATCH(B7458, 'nav master'!$B:$B, 0)), "")</f>
        <v>ULIF07828/02/25Alpha300Fd101</v>
      </c>
      <c r="E7458" s="8" t="s">
        <v>512</v>
      </c>
      <c r="F7458" s="8" t="s">
        <v>3098</v>
      </c>
    </row>
    <row r="7459" spans="1:6" ht="60" x14ac:dyDescent="0.25">
      <c r="A7459" s="8" t="s">
        <v>125</v>
      </c>
      <c r="B7459" s="8" t="s">
        <v>157</v>
      </c>
      <c r="C7459" s="8" t="str">
        <f>IFERROR(_xlfn.XLOOKUP(TRIM(B7459),Lookup!$B$2:$B$1000,Lookup!$C$2:$C$1000),"")</f>
        <v>Equity</v>
      </c>
      <c r="D7459" s="8" t="str">
        <f>IFERROR(INDEX('nav master'!$C:$C, MATCH(B7459, 'nav master'!$B:$B, 0)), "")</f>
        <v>ULIF07828/02/25Alpha300Fd101</v>
      </c>
      <c r="E7459" s="8" t="s">
        <v>514</v>
      </c>
      <c r="F7459" s="8" t="s">
        <v>3099</v>
      </c>
    </row>
    <row r="7460" spans="1:6" ht="60" x14ac:dyDescent="0.25">
      <c r="A7460" s="8" t="s">
        <v>125</v>
      </c>
      <c r="B7460" s="8" t="s">
        <v>157</v>
      </c>
      <c r="C7460" s="8" t="str">
        <f>IFERROR(_xlfn.XLOOKUP(TRIM(B7460),Lookup!$B$2:$B$1000,Lookup!$C$2:$C$1000),"")</f>
        <v>Equity</v>
      </c>
      <c r="D7460" s="8" t="str">
        <f>IFERROR(INDEX('nav master'!$C:$C, MATCH(B7460, 'nav master'!$B:$B, 0)), "")</f>
        <v>ULIF07828/02/25Alpha300Fd101</v>
      </c>
      <c r="E7460" s="8" t="s">
        <v>516</v>
      </c>
      <c r="F7460" s="8" t="s">
        <v>3100</v>
      </c>
    </row>
    <row r="7461" spans="1:6" ht="60" x14ac:dyDescent="0.25">
      <c r="A7461" s="8" t="s">
        <v>125</v>
      </c>
      <c r="B7461" s="8" t="s">
        <v>157</v>
      </c>
      <c r="C7461" s="8" t="str">
        <f>IFERROR(_xlfn.XLOOKUP(TRIM(B7461),Lookup!$B$2:$B$1000,Lookup!$C$2:$C$1000),"")</f>
        <v>Equity</v>
      </c>
      <c r="D7461" s="8" t="str">
        <f>IFERROR(INDEX('nav master'!$C:$C, MATCH(B7461, 'nav master'!$B:$B, 0)), "")</f>
        <v>ULIF07828/02/25Alpha300Fd101</v>
      </c>
      <c r="E7461" s="8" t="s">
        <v>518</v>
      </c>
      <c r="F7461" s="8" t="s">
        <v>3101</v>
      </c>
    </row>
    <row r="7462" spans="1:6" ht="60" x14ac:dyDescent="0.25">
      <c r="A7462" s="8" t="s">
        <v>125</v>
      </c>
      <c r="B7462" s="8" t="s">
        <v>157</v>
      </c>
      <c r="C7462" s="8" t="str">
        <f>IFERROR(_xlfn.XLOOKUP(TRIM(B7462),Lookup!$B$2:$B$1000,Lookup!$C$2:$C$1000),"")</f>
        <v>Equity</v>
      </c>
      <c r="D7462" s="8" t="str">
        <f>IFERROR(INDEX('nav master'!$C:$C, MATCH(B7462, 'nav master'!$B:$B, 0)), "")</f>
        <v>ULIF07828/02/25Alpha300Fd101</v>
      </c>
      <c r="E7462" s="8" t="s">
        <v>520</v>
      </c>
      <c r="F7462" s="8" t="s">
        <v>3102</v>
      </c>
    </row>
    <row r="7463" spans="1:6" ht="60" x14ac:dyDescent="0.25">
      <c r="A7463" s="8" t="s">
        <v>125</v>
      </c>
      <c r="B7463" s="8" t="s">
        <v>157</v>
      </c>
      <c r="C7463" s="8" t="str">
        <f>IFERROR(_xlfn.XLOOKUP(TRIM(B7463),Lookup!$B$2:$B$1000,Lookup!$C$2:$C$1000),"")</f>
        <v>Equity</v>
      </c>
      <c r="D7463" s="8" t="str">
        <f>IFERROR(INDEX('nav master'!$C:$C, MATCH(B7463, 'nav master'!$B:$B, 0)), "")</f>
        <v>ULIF07828/02/25Alpha300Fd101</v>
      </c>
      <c r="E7463" s="8" t="s">
        <v>522</v>
      </c>
      <c r="F7463" s="8" t="s">
        <v>3103</v>
      </c>
    </row>
    <row r="7464" spans="1:6" ht="60" x14ac:dyDescent="0.25">
      <c r="A7464" s="8" t="s">
        <v>125</v>
      </c>
      <c r="B7464" s="8" t="s">
        <v>157</v>
      </c>
      <c r="C7464" s="8" t="str">
        <f>IFERROR(_xlfn.XLOOKUP(TRIM(B7464),Lookup!$B$2:$B$1000,Lookup!$C$2:$C$1000),"")</f>
        <v>Equity</v>
      </c>
      <c r="D7464" s="8" t="str">
        <f>IFERROR(INDEX('nav master'!$C:$C, MATCH(B7464, 'nav master'!$B:$B, 0)), "")</f>
        <v>ULIF07828/02/25Alpha300Fd101</v>
      </c>
      <c r="E7464" s="8" t="s">
        <v>524</v>
      </c>
      <c r="F7464" s="8" t="s">
        <v>3104</v>
      </c>
    </row>
    <row r="7465" spans="1:6" ht="60" x14ac:dyDescent="0.25">
      <c r="A7465" s="8" t="s">
        <v>125</v>
      </c>
      <c r="B7465" s="8" t="s">
        <v>157</v>
      </c>
      <c r="C7465" s="8" t="str">
        <f>IFERROR(_xlfn.XLOOKUP(TRIM(B7465),Lookup!$B$2:$B$1000,Lookup!$C$2:$C$1000),"")</f>
        <v>Equity</v>
      </c>
      <c r="D7465" s="8" t="str">
        <f>IFERROR(INDEX('nav master'!$C:$C, MATCH(B7465, 'nav master'!$B:$B, 0)), "")</f>
        <v>ULIF07828/02/25Alpha300Fd101</v>
      </c>
      <c r="E7465" s="8" t="s">
        <v>526</v>
      </c>
      <c r="F7465" s="8" t="s">
        <v>3105</v>
      </c>
    </row>
    <row r="7466" spans="1:6" ht="60" x14ac:dyDescent="0.25">
      <c r="A7466" s="8" t="s">
        <v>125</v>
      </c>
      <c r="B7466" s="8" t="s">
        <v>157</v>
      </c>
      <c r="C7466" s="8" t="str">
        <f>IFERROR(_xlfn.XLOOKUP(TRIM(B7466),Lookup!$B$2:$B$1000,Lookup!$C$2:$C$1000),"")</f>
        <v>Equity</v>
      </c>
      <c r="D7466" s="8" t="str">
        <f>IFERROR(INDEX('nav master'!$C:$C, MATCH(B7466, 'nav master'!$B:$B, 0)), "")</f>
        <v>ULIF07828/02/25Alpha300Fd101</v>
      </c>
      <c r="E7466" s="8" t="s">
        <v>528</v>
      </c>
      <c r="F7466" s="8" t="s">
        <v>3032</v>
      </c>
    </row>
    <row r="7467" spans="1:6" ht="60" x14ac:dyDescent="0.25">
      <c r="A7467" s="8" t="s">
        <v>125</v>
      </c>
      <c r="B7467" s="8" t="s">
        <v>157</v>
      </c>
      <c r="C7467" s="8" t="str">
        <f>IFERROR(_xlfn.XLOOKUP(TRIM(B7467),Lookup!$B$2:$B$1000,Lookup!$C$2:$C$1000),"")</f>
        <v>Equity</v>
      </c>
      <c r="D7467" s="8" t="str">
        <f>IFERROR(INDEX('nav master'!$C:$C, MATCH(B7467, 'nav master'!$B:$B, 0)), "")</f>
        <v>ULIF07828/02/25Alpha300Fd101</v>
      </c>
      <c r="E7467" s="8" t="s">
        <v>530</v>
      </c>
      <c r="F7467" s="8" t="s">
        <v>3106</v>
      </c>
    </row>
    <row r="7468" spans="1:6" ht="60" x14ac:dyDescent="0.25">
      <c r="A7468" s="8" t="s">
        <v>125</v>
      </c>
      <c r="B7468" s="8" t="s">
        <v>157</v>
      </c>
      <c r="C7468" s="8" t="str">
        <f>IFERROR(_xlfn.XLOOKUP(TRIM(B7468),Lookup!$B$2:$B$1000,Lookup!$C$2:$C$1000),"")</f>
        <v>Equity</v>
      </c>
      <c r="D7468" s="8" t="str">
        <f>IFERROR(INDEX('nav master'!$C:$C, MATCH(B7468, 'nav master'!$B:$B, 0)), "")</f>
        <v>ULIF07828/02/25Alpha300Fd101</v>
      </c>
      <c r="E7468" s="8" t="s">
        <v>532</v>
      </c>
      <c r="F7468" s="8" t="s">
        <v>3107</v>
      </c>
    </row>
    <row r="7469" spans="1:6" ht="60" x14ac:dyDescent="0.25">
      <c r="A7469" s="8" t="s">
        <v>125</v>
      </c>
      <c r="B7469" s="8" t="s">
        <v>157</v>
      </c>
      <c r="C7469" s="8" t="str">
        <f>IFERROR(_xlfn.XLOOKUP(TRIM(B7469),Lookup!$B$2:$B$1000,Lookup!$C$2:$C$1000),"")</f>
        <v>Equity</v>
      </c>
      <c r="D7469" s="8" t="str">
        <f>IFERROR(INDEX('nav master'!$C:$C, MATCH(B7469, 'nav master'!$B:$B, 0)), "")</f>
        <v>ULIF07828/02/25Alpha300Fd101</v>
      </c>
      <c r="E7469" s="8" t="s">
        <v>534</v>
      </c>
      <c r="F7469" s="8" t="s">
        <v>3108</v>
      </c>
    </row>
    <row r="7470" spans="1:6" ht="60" x14ac:dyDescent="0.25">
      <c r="A7470" s="8" t="s">
        <v>125</v>
      </c>
      <c r="B7470" s="8" t="s">
        <v>157</v>
      </c>
      <c r="C7470" s="8" t="str">
        <f>IFERROR(_xlfn.XLOOKUP(TRIM(B7470),Lookup!$B$2:$B$1000,Lookup!$C$2:$C$1000),"")</f>
        <v>Equity</v>
      </c>
      <c r="D7470" s="8" t="str">
        <f>IFERROR(INDEX('nav master'!$C:$C, MATCH(B7470, 'nav master'!$B:$B, 0)), "")</f>
        <v>ULIF07828/02/25Alpha300Fd101</v>
      </c>
      <c r="E7470" s="8" t="s">
        <v>536</v>
      </c>
      <c r="F7470" s="8" t="s">
        <v>3109</v>
      </c>
    </row>
    <row r="7471" spans="1:6" ht="60" x14ac:dyDescent="0.25">
      <c r="A7471" s="8" t="s">
        <v>125</v>
      </c>
      <c r="B7471" s="8" t="s">
        <v>157</v>
      </c>
      <c r="C7471" s="8" t="str">
        <f>IFERROR(_xlfn.XLOOKUP(TRIM(B7471),Lookup!$B$2:$B$1000,Lookup!$C$2:$C$1000),"")</f>
        <v>Equity</v>
      </c>
      <c r="D7471" s="8" t="str">
        <f>IFERROR(INDEX('nav master'!$C:$C, MATCH(B7471, 'nav master'!$B:$B, 0)), "")</f>
        <v>ULIF07828/02/25Alpha300Fd101</v>
      </c>
      <c r="E7471" s="8" t="s">
        <v>538</v>
      </c>
      <c r="F7471" s="8" t="s">
        <v>3110</v>
      </c>
    </row>
    <row r="7472" spans="1:6" ht="60" x14ac:dyDescent="0.25">
      <c r="A7472" s="8" t="s">
        <v>125</v>
      </c>
      <c r="B7472" s="8" t="s">
        <v>157</v>
      </c>
      <c r="C7472" s="8" t="str">
        <f>IFERROR(_xlfn.XLOOKUP(TRIM(B7472),Lookup!$B$2:$B$1000,Lookup!$C$2:$C$1000),"")</f>
        <v>Equity</v>
      </c>
      <c r="D7472" s="8" t="str">
        <f>IFERROR(INDEX('nav master'!$C:$C, MATCH(B7472, 'nav master'!$B:$B, 0)), "")</f>
        <v>ULIF07828/02/25Alpha300Fd101</v>
      </c>
      <c r="E7472" s="8" t="s">
        <v>540</v>
      </c>
      <c r="F7472" s="8" t="s">
        <v>3111</v>
      </c>
    </row>
    <row r="7473" spans="1:6" ht="60" x14ac:dyDescent="0.25">
      <c r="A7473" s="8" t="s">
        <v>125</v>
      </c>
      <c r="B7473" s="8" t="s">
        <v>157</v>
      </c>
      <c r="C7473" s="8" t="str">
        <f>IFERROR(_xlfn.XLOOKUP(TRIM(B7473),Lookup!$B$2:$B$1000,Lookup!$C$2:$C$1000),"")</f>
        <v>Equity</v>
      </c>
      <c r="D7473" s="8" t="str">
        <f>IFERROR(INDEX('nav master'!$C:$C, MATCH(B7473, 'nav master'!$B:$B, 0)), "")</f>
        <v>ULIF07828/02/25Alpha300Fd101</v>
      </c>
      <c r="E7473" s="8" t="s">
        <v>542</v>
      </c>
      <c r="F7473" s="8" t="s">
        <v>3112</v>
      </c>
    </row>
    <row r="7474" spans="1:6" ht="60" x14ac:dyDescent="0.25">
      <c r="A7474" s="8" t="s">
        <v>125</v>
      </c>
      <c r="B7474" s="8" t="s">
        <v>157</v>
      </c>
      <c r="C7474" s="8" t="str">
        <f>IFERROR(_xlfn.XLOOKUP(TRIM(B7474),Lookup!$B$2:$B$1000,Lookup!$C$2:$C$1000),"")</f>
        <v>Equity</v>
      </c>
      <c r="D7474" s="8" t="str">
        <f>IFERROR(INDEX('nav master'!$C:$C, MATCH(B7474, 'nav master'!$B:$B, 0)), "")</f>
        <v>ULIF07828/02/25Alpha300Fd101</v>
      </c>
      <c r="E7474" s="8" t="s">
        <v>544</v>
      </c>
      <c r="F7474" s="8" t="s">
        <v>3113</v>
      </c>
    </row>
    <row r="7475" spans="1:6" ht="60" x14ac:dyDescent="0.25">
      <c r="A7475" s="8" t="s">
        <v>125</v>
      </c>
      <c r="B7475" s="8" t="s">
        <v>157</v>
      </c>
      <c r="C7475" s="8" t="str">
        <f>IFERROR(_xlfn.XLOOKUP(TRIM(B7475),Lookup!$B$2:$B$1000,Lookup!$C$2:$C$1000),"")</f>
        <v>Equity</v>
      </c>
      <c r="D7475" s="8" t="str">
        <f>IFERROR(INDEX('nav master'!$C:$C, MATCH(B7475, 'nav master'!$B:$B, 0)), "")</f>
        <v>ULIF07828/02/25Alpha300Fd101</v>
      </c>
      <c r="E7475" s="8" t="s">
        <v>546</v>
      </c>
      <c r="F7475" s="8" t="s">
        <v>3114</v>
      </c>
    </row>
    <row r="7476" spans="1:6" ht="60" x14ac:dyDescent="0.25">
      <c r="A7476" s="8" t="s">
        <v>125</v>
      </c>
      <c r="B7476" s="8" t="s">
        <v>157</v>
      </c>
      <c r="C7476" s="8" t="str">
        <f>IFERROR(_xlfn.XLOOKUP(TRIM(B7476),Lookup!$B$2:$B$1000,Lookup!$C$2:$C$1000),"")</f>
        <v>Equity</v>
      </c>
      <c r="D7476" s="8" t="str">
        <f>IFERROR(INDEX('nav master'!$C:$C, MATCH(B7476, 'nav master'!$B:$B, 0)), "")</f>
        <v>ULIF07828/02/25Alpha300Fd101</v>
      </c>
      <c r="E7476" s="8" t="s">
        <v>548</v>
      </c>
      <c r="F7476" s="8" t="s">
        <v>3115</v>
      </c>
    </row>
    <row r="7477" spans="1:6" ht="60" x14ac:dyDescent="0.25">
      <c r="A7477" s="8" t="s">
        <v>125</v>
      </c>
      <c r="B7477" s="8" t="s">
        <v>157</v>
      </c>
      <c r="C7477" s="8" t="str">
        <f>IFERROR(_xlfn.XLOOKUP(TRIM(B7477),Lookup!$B$2:$B$1000,Lookup!$C$2:$C$1000),"")</f>
        <v>Equity</v>
      </c>
      <c r="D7477" s="8" t="str">
        <f>IFERROR(INDEX('nav master'!$C:$C, MATCH(B7477, 'nav master'!$B:$B, 0)), "")</f>
        <v>ULIF07828/02/25Alpha300Fd101</v>
      </c>
      <c r="E7477" s="8" t="s">
        <v>550</v>
      </c>
      <c r="F7477" s="8" t="s">
        <v>3116</v>
      </c>
    </row>
    <row r="7478" spans="1:6" ht="60" x14ac:dyDescent="0.25">
      <c r="A7478" s="8" t="s">
        <v>125</v>
      </c>
      <c r="B7478" s="8" t="s">
        <v>157</v>
      </c>
      <c r="C7478" s="8" t="str">
        <f>IFERROR(_xlfn.XLOOKUP(TRIM(B7478),Lookup!$B$2:$B$1000,Lookup!$C$2:$C$1000),"")</f>
        <v>Equity</v>
      </c>
      <c r="D7478" s="8" t="str">
        <f>IFERROR(INDEX('nav master'!$C:$C, MATCH(B7478, 'nav master'!$B:$B, 0)), "")</f>
        <v>ULIF07828/02/25Alpha300Fd101</v>
      </c>
      <c r="E7478" s="8" t="s">
        <v>552</v>
      </c>
      <c r="F7478" s="8" t="s">
        <v>3117</v>
      </c>
    </row>
    <row r="7479" spans="1:6" ht="60" x14ac:dyDescent="0.25">
      <c r="A7479" s="8" t="s">
        <v>125</v>
      </c>
      <c r="B7479" s="8" t="s">
        <v>157</v>
      </c>
      <c r="C7479" s="8" t="str">
        <f>IFERROR(_xlfn.XLOOKUP(TRIM(B7479),Lookup!$B$2:$B$1000,Lookup!$C$2:$C$1000),"")</f>
        <v>Equity</v>
      </c>
      <c r="D7479" s="8" t="str">
        <f>IFERROR(INDEX('nav master'!$C:$C, MATCH(B7479, 'nav master'!$B:$B, 0)), "")</f>
        <v>ULIF07828/02/25Alpha300Fd101</v>
      </c>
      <c r="E7479" s="8" t="s">
        <v>554</v>
      </c>
      <c r="F7479" s="8" t="s">
        <v>3118</v>
      </c>
    </row>
    <row r="7480" spans="1:6" ht="60" x14ac:dyDescent="0.25">
      <c r="A7480" s="8" t="s">
        <v>125</v>
      </c>
      <c r="B7480" s="8" t="s">
        <v>157</v>
      </c>
      <c r="C7480" s="8" t="str">
        <f>IFERROR(_xlfn.XLOOKUP(TRIM(B7480),Lookup!$B$2:$B$1000,Lookup!$C$2:$C$1000),"")</f>
        <v>Equity</v>
      </c>
      <c r="D7480" s="8" t="str">
        <f>IFERROR(INDEX('nav master'!$C:$C, MATCH(B7480, 'nav master'!$B:$B, 0)), "")</f>
        <v>ULIF07828/02/25Alpha300Fd101</v>
      </c>
      <c r="E7480" s="8" t="s">
        <v>556</v>
      </c>
      <c r="F7480" s="8" t="s">
        <v>3119</v>
      </c>
    </row>
    <row r="7481" spans="1:6" ht="60" x14ac:dyDescent="0.25">
      <c r="A7481" s="8" t="s">
        <v>125</v>
      </c>
      <c r="B7481" s="8" t="s">
        <v>157</v>
      </c>
      <c r="C7481" s="8" t="str">
        <f>IFERROR(_xlfn.XLOOKUP(TRIM(B7481),Lookup!$B$2:$B$1000,Lookup!$C$2:$C$1000),"")</f>
        <v>Equity</v>
      </c>
      <c r="D7481" s="8" t="str">
        <f>IFERROR(INDEX('nav master'!$C:$C, MATCH(B7481, 'nav master'!$B:$B, 0)), "")</f>
        <v>ULIF07828/02/25Alpha300Fd101</v>
      </c>
      <c r="E7481" s="8" t="s">
        <v>558</v>
      </c>
      <c r="F7481" s="8" t="s">
        <v>3120</v>
      </c>
    </row>
    <row r="7482" spans="1:6" ht="60" x14ac:dyDescent="0.25">
      <c r="A7482" s="8" t="s">
        <v>125</v>
      </c>
      <c r="B7482" s="8" t="s">
        <v>157</v>
      </c>
      <c r="C7482" s="8" t="str">
        <f>IFERROR(_xlfn.XLOOKUP(TRIM(B7482),Lookup!$B$2:$B$1000,Lookup!$C$2:$C$1000),"")</f>
        <v>Equity</v>
      </c>
      <c r="D7482" s="8" t="str">
        <f>IFERROR(INDEX('nav master'!$C:$C, MATCH(B7482, 'nav master'!$B:$B, 0)), "")</f>
        <v>ULIF07828/02/25Alpha300Fd101</v>
      </c>
      <c r="E7482" s="8" t="s">
        <v>560</v>
      </c>
      <c r="F7482" s="8" t="s">
        <v>3121</v>
      </c>
    </row>
    <row r="7483" spans="1:6" ht="60" x14ac:dyDescent="0.25">
      <c r="A7483" s="8" t="s">
        <v>125</v>
      </c>
      <c r="B7483" s="8" t="s">
        <v>157</v>
      </c>
      <c r="C7483" s="8" t="str">
        <f>IFERROR(_xlfn.XLOOKUP(TRIM(B7483),Lookup!$B$2:$B$1000,Lookup!$C$2:$C$1000),"")</f>
        <v>Equity</v>
      </c>
      <c r="D7483" s="8" t="str">
        <f>IFERROR(INDEX('nav master'!$C:$C, MATCH(B7483, 'nav master'!$B:$B, 0)), "")</f>
        <v>ULIF07828/02/25Alpha300Fd101</v>
      </c>
      <c r="E7483" s="8" t="s">
        <v>562</v>
      </c>
      <c r="F7483" s="8" t="s">
        <v>3122</v>
      </c>
    </row>
    <row r="7484" spans="1:6" ht="60" x14ac:dyDescent="0.25">
      <c r="A7484" s="8" t="s">
        <v>125</v>
      </c>
      <c r="B7484" s="8" t="s">
        <v>157</v>
      </c>
      <c r="C7484" s="8" t="str">
        <f>IFERROR(_xlfn.XLOOKUP(TRIM(B7484),Lookup!$B$2:$B$1000,Lookup!$C$2:$C$1000),"")</f>
        <v>Equity</v>
      </c>
      <c r="D7484" s="8" t="str">
        <f>IFERROR(INDEX('nav master'!$C:$C, MATCH(B7484, 'nav master'!$B:$B, 0)), "")</f>
        <v>ULIF07828/02/25Alpha300Fd101</v>
      </c>
      <c r="E7484" s="8" t="s">
        <v>564</v>
      </c>
      <c r="F7484" s="8" t="s">
        <v>3123</v>
      </c>
    </row>
    <row r="7485" spans="1:6" ht="60" x14ac:dyDescent="0.25">
      <c r="A7485" s="8" t="s">
        <v>125</v>
      </c>
      <c r="B7485" s="8" t="s">
        <v>157</v>
      </c>
      <c r="C7485" s="8" t="str">
        <f>IFERROR(_xlfn.XLOOKUP(TRIM(B7485),Lookup!$B$2:$B$1000,Lookup!$C$2:$C$1000),"")</f>
        <v>Equity</v>
      </c>
      <c r="D7485" s="8" t="str">
        <f>IFERROR(INDEX('nav master'!$C:$C, MATCH(B7485, 'nav master'!$B:$B, 0)), "")</f>
        <v>ULIF07828/02/25Alpha300Fd101</v>
      </c>
      <c r="E7485" s="8" t="s">
        <v>566</v>
      </c>
      <c r="F7485" s="8" t="s">
        <v>3124</v>
      </c>
    </row>
    <row r="7486" spans="1:6" ht="60" x14ac:dyDescent="0.25">
      <c r="A7486" s="8" t="s">
        <v>125</v>
      </c>
      <c r="B7486" s="8" t="s">
        <v>157</v>
      </c>
      <c r="C7486" s="8" t="str">
        <f>IFERROR(_xlfn.XLOOKUP(TRIM(B7486),Lookup!$B$2:$B$1000,Lookup!$C$2:$C$1000),"")</f>
        <v>Equity</v>
      </c>
      <c r="D7486" s="8" t="str">
        <f>IFERROR(INDEX('nav master'!$C:$C, MATCH(B7486, 'nav master'!$B:$B, 0)), "")</f>
        <v>ULIF07828/02/25Alpha300Fd101</v>
      </c>
      <c r="E7486" s="8" t="s">
        <v>568</v>
      </c>
      <c r="F7486" s="8" t="s">
        <v>3125</v>
      </c>
    </row>
    <row r="7487" spans="1:6" ht="60" x14ac:dyDescent="0.25">
      <c r="A7487" s="8" t="s">
        <v>125</v>
      </c>
      <c r="B7487" s="8" t="s">
        <v>157</v>
      </c>
      <c r="C7487" s="8" t="str">
        <f>IFERROR(_xlfn.XLOOKUP(TRIM(B7487),Lookup!$B$2:$B$1000,Lookup!$C$2:$C$1000),"")</f>
        <v>Equity</v>
      </c>
      <c r="D7487" s="8" t="str">
        <f>IFERROR(INDEX('nav master'!$C:$C, MATCH(B7487, 'nav master'!$B:$B, 0)), "")</f>
        <v>ULIF07828/02/25Alpha300Fd101</v>
      </c>
      <c r="E7487" s="8" t="s">
        <v>570</v>
      </c>
      <c r="F7487" s="8" t="s">
        <v>3126</v>
      </c>
    </row>
    <row r="7488" spans="1:6" ht="60" x14ac:dyDescent="0.25">
      <c r="A7488" s="8" t="s">
        <v>125</v>
      </c>
      <c r="B7488" s="8" t="s">
        <v>157</v>
      </c>
      <c r="C7488" s="8" t="str">
        <f>IFERROR(_xlfn.XLOOKUP(TRIM(B7488),Lookup!$B$2:$B$1000,Lookup!$C$2:$C$1000),"")</f>
        <v>Equity</v>
      </c>
      <c r="D7488" s="8" t="str">
        <f>IFERROR(INDEX('nav master'!$C:$C, MATCH(B7488, 'nav master'!$B:$B, 0)), "")</f>
        <v>ULIF07828/02/25Alpha300Fd101</v>
      </c>
      <c r="E7488" s="8" t="s">
        <v>572</v>
      </c>
      <c r="F7488" s="8" t="s">
        <v>3127</v>
      </c>
    </row>
    <row r="7489" spans="1:6" ht="60" x14ac:dyDescent="0.25">
      <c r="A7489" s="8" t="s">
        <v>125</v>
      </c>
      <c r="B7489" s="8" t="s">
        <v>157</v>
      </c>
      <c r="C7489" s="8" t="str">
        <f>IFERROR(_xlfn.XLOOKUP(TRIM(B7489),Lookup!$B$2:$B$1000,Lookup!$C$2:$C$1000),"")</f>
        <v>Equity</v>
      </c>
      <c r="D7489" s="8" t="str">
        <f>IFERROR(INDEX('nav master'!$C:$C, MATCH(B7489, 'nav master'!$B:$B, 0)), "")</f>
        <v>ULIF07828/02/25Alpha300Fd101</v>
      </c>
      <c r="E7489" s="8" t="s">
        <v>574</v>
      </c>
      <c r="F7489" s="8" t="s">
        <v>3128</v>
      </c>
    </row>
    <row r="7490" spans="1:6" ht="60" x14ac:dyDescent="0.25">
      <c r="A7490" s="8" t="s">
        <v>125</v>
      </c>
      <c r="B7490" s="8" t="s">
        <v>157</v>
      </c>
      <c r="C7490" s="8" t="str">
        <f>IFERROR(_xlfn.XLOOKUP(TRIM(B7490),Lookup!$B$2:$B$1000,Lookup!$C$2:$C$1000),"")</f>
        <v>Equity</v>
      </c>
      <c r="D7490" s="8" t="str">
        <f>IFERROR(INDEX('nav master'!$C:$C, MATCH(B7490, 'nav master'!$B:$B, 0)), "")</f>
        <v>ULIF07828/02/25Alpha300Fd101</v>
      </c>
      <c r="E7490" s="8" t="s">
        <v>576</v>
      </c>
      <c r="F7490" s="8" t="s">
        <v>3129</v>
      </c>
    </row>
    <row r="7491" spans="1:6" ht="60" x14ac:dyDescent="0.25">
      <c r="A7491" s="8" t="s">
        <v>125</v>
      </c>
      <c r="B7491" s="8" t="s">
        <v>157</v>
      </c>
      <c r="C7491" s="8" t="str">
        <f>IFERROR(_xlfn.XLOOKUP(TRIM(B7491),Lookup!$B$2:$B$1000,Lookup!$C$2:$C$1000),"")</f>
        <v>Equity</v>
      </c>
      <c r="D7491" s="8" t="str">
        <f>IFERROR(INDEX('nav master'!$C:$C, MATCH(B7491, 'nav master'!$B:$B, 0)), "")</f>
        <v>ULIF07828/02/25Alpha300Fd101</v>
      </c>
      <c r="E7491" s="8" t="s">
        <v>578</v>
      </c>
      <c r="F7491" s="8" t="s">
        <v>3130</v>
      </c>
    </row>
    <row r="7492" spans="1:6" ht="60" x14ac:dyDescent="0.25">
      <c r="A7492" s="8" t="s">
        <v>125</v>
      </c>
      <c r="B7492" s="8" t="s">
        <v>157</v>
      </c>
      <c r="C7492" s="8" t="str">
        <f>IFERROR(_xlfn.XLOOKUP(TRIM(B7492),Lookup!$B$2:$B$1000,Lookup!$C$2:$C$1000),"")</f>
        <v>Equity</v>
      </c>
      <c r="D7492" s="8" t="str">
        <f>IFERROR(INDEX('nav master'!$C:$C, MATCH(B7492, 'nav master'!$B:$B, 0)), "")</f>
        <v>ULIF07828/02/25Alpha300Fd101</v>
      </c>
      <c r="E7492" s="8" t="s">
        <v>580</v>
      </c>
      <c r="F7492" s="8" t="s">
        <v>3131</v>
      </c>
    </row>
    <row r="7493" spans="1:6" ht="60" x14ac:dyDescent="0.25">
      <c r="A7493" s="8" t="s">
        <v>125</v>
      </c>
      <c r="B7493" s="8" t="s">
        <v>157</v>
      </c>
      <c r="C7493" s="8" t="str">
        <f>IFERROR(_xlfn.XLOOKUP(TRIM(B7493),Lookup!$B$2:$B$1000,Lookup!$C$2:$C$1000),"")</f>
        <v>Equity</v>
      </c>
      <c r="D7493" s="8" t="str">
        <f>IFERROR(INDEX('nav master'!$C:$C, MATCH(B7493, 'nav master'!$B:$B, 0)), "")</f>
        <v>ULIF07828/02/25Alpha300Fd101</v>
      </c>
      <c r="E7493" s="8" t="s">
        <v>582</v>
      </c>
      <c r="F7493" s="8" t="s">
        <v>3132</v>
      </c>
    </row>
    <row r="7494" spans="1:6" ht="60" x14ac:dyDescent="0.25">
      <c r="A7494" s="8" t="s">
        <v>125</v>
      </c>
      <c r="B7494" s="8" t="s">
        <v>157</v>
      </c>
      <c r="C7494" s="8" t="str">
        <f>IFERROR(_xlfn.XLOOKUP(TRIM(B7494),Lookup!$B$2:$B$1000,Lookup!$C$2:$C$1000),"")</f>
        <v>Equity</v>
      </c>
      <c r="D7494" s="8" t="str">
        <f>IFERROR(INDEX('nav master'!$C:$C, MATCH(B7494, 'nav master'!$B:$B, 0)), "")</f>
        <v>ULIF07828/02/25Alpha300Fd101</v>
      </c>
      <c r="E7494" s="8" t="s">
        <v>584</v>
      </c>
      <c r="F7494" s="8" t="s">
        <v>3133</v>
      </c>
    </row>
    <row r="7495" spans="1:6" ht="60" x14ac:dyDescent="0.25">
      <c r="A7495" s="8" t="s">
        <v>125</v>
      </c>
      <c r="B7495" s="8" t="s">
        <v>157</v>
      </c>
      <c r="C7495" s="8" t="str">
        <f>IFERROR(_xlfn.XLOOKUP(TRIM(B7495),Lookup!$B$2:$B$1000,Lookup!$C$2:$C$1000),"")</f>
        <v>Equity</v>
      </c>
      <c r="D7495" s="8" t="str">
        <f>IFERROR(INDEX('nav master'!$C:$C, MATCH(B7495, 'nav master'!$B:$B, 0)), "")</f>
        <v>ULIF07828/02/25Alpha300Fd101</v>
      </c>
      <c r="E7495" s="8" t="s">
        <v>586</v>
      </c>
      <c r="F7495" s="8" t="s">
        <v>3134</v>
      </c>
    </row>
    <row r="7496" spans="1:6" ht="60" x14ac:dyDescent="0.25">
      <c r="A7496" s="8" t="s">
        <v>125</v>
      </c>
      <c r="B7496" s="8" t="s">
        <v>157</v>
      </c>
      <c r="C7496" s="8" t="str">
        <f>IFERROR(_xlfn.XLOOKUP(TRIM(B7496),Lookup!$B$2:$B$1000,Lookup!$C$2:$C$1000),"")</f>
        <v>Equity</v>
      </c>
      <c r="D7496" s="8" t="str">
        <f>IFERROR(INDEX('nav master'!$C:$C, MATCH(B7496, 'nav master'!$B:$B, 0)), "")</f>
        <v>ULIF07828/02/25Alpha300Fd101</v>
      </c>
      <c r="E7496" s="8" t="s">
        <v>588</v>
      </c>
      <c r="F7496" s="8" t="s">
        <v>3135</v>
      </c>
    </row>
    <row r="7497" spans="1:6" ht="60" x14ac:dyDescent="0.25">
      <c r="A7497" s="8" t="s">
        <v>125</v>
      </c>
      <c r="B7497" s="8" t="s">
        <v>157</v>
      </c>
      <c r="C7497" s="8" t="str">
        <f>IFERROR(_xlfn.XLOOKUP(TRIM(B7497),Lookup!$B$2:$B$1000,Lookup!$C$2:$C$1000),"")</f>
        <v>Equity</v>
      </c>
      <c r="D7497" s="8" t="str">
        <f>IFERROR(INDEX('nav master'!$C:$C, MATCH(B7497, 'nav master'!$B:$B, 0)), "")</f>
        <v>ULIF07828/02/25Alpha300Fd101</v>
      </c>
      <c r="E7497" s="8" t="s">
        <v>590</v>
      </c>
      <c r="F7497" s="8" t="s">
        <v>3136</v>
      </c>
    </row>
    <row r="7498" spans="1:6" ht="60" x14ac:dyDescent="0.25">
      <c r="A7498" s="8" t="s">
        <v>125</v>
      </c>
      <c r="B7498" s="8" t="s">
        <v>157</v>
      </c>
      <c r="C7498" s="8" t="str">
        <f>IFERROR(_xlfn.XLOOKUP(TRIM(B7498),Lookup!$B$2:$B$1000,Lookup!$C$2:$C$1000),"")</f>
        <v>Equity</v>
      </c>
      <c r="D7498" s="8" t="str">
        <f>IFERROR(INDEX('nav master'!$C:$C, MATCH(B7498, 'nav master'!$B:$B, 0)), "")</f>
        <v>ULIF07828/02/25Alpha300Fd101</v>
      </c>
      <c r="E7498" s="8" t="s">
        <v>592</v>
      </c>
      <c r="F7498" s="8" t="s">
        <v>3137</v>
      </c>
    </row>
    <row r="7499" spans="1:6" ht="60" x14ac:dyDescent="0.25">
      <c r="A7499" s="8" t="s">
        <v>125</v>
      </c>
      <c r="B7499" s="8" t="s">
        <v>157</v>
      </c>
      <c r="C7499" s="8" t="str">
        <f>IFERROR(_xlfn.XLOOKUP(TRIM(B7499),Lookup!$B$2:$B$1000,Lookup!$C$2:$C$1000),"")</f>
        <v>Equity</v>
      </c>
      <c r="D7499" s="8" t="str">
        <f>IFERROR(INDEX('nav master'!$C:$C, MATCH(B7499, 'nav master'!$B:$B, 0)), "")</f>
        <v>ULIF07828/02/25Alpha300Fd101</v>
      </c>
      <c r="E7499" s="8" t="s">
        <v>594</v>
      </c>
      <c r="F7499" s="8" t="s">
        <v>3138</v>
      </c>
    </row>
    <row r="7500" spans="1:6" ht="60" x14ac:dyDescent="0.25">
      <c r="A7500" s="8" t="s">
        <v>125</v>
      </c>
      <c r="B7500" s="8" t="s">
        <v>157</v>
      </c>
      <c r="C7500" s="8" t="str">
        <f>IFERROR(_xlfn.XLOOKUP(TRIM(B7500),Lookup!$B$2:$B$1000,Lookup!$C$2:$C$1000),"")</f>
        <v>Equity</v>
      </c>
      <c r="D7500" s="8" t="str">
        <f>IFERROR(INDEX('nav master'!$C:$C, MATCH(B7500, 'nav master'!$B:$B, 0)), "")</f>
        <v>ULIF07828/02/25Alpha300Fd101</v>
      </c>
      <c r="E7500" s="8" t="s">
        <v>596</v>
      </c>
      <c r="F7500" s="8" t="s">
        <v>3139</v>
      </c>
    </row>
    <row r="7501" spans="1:6" ht="60" x14ac:dyDescent="0.25">
      <c r="A7501" s="8" t="s">
        <v>125</v>
      </c>
      <c r="B7501" s="8" t="s">
        <v>157</v>
      </c>
      <c r="C7501" s="8" t="str">
        <f>IFERROR(_xlfn.XLOOKUP(TRIM(B7501),Lookup!$B$2:$B$1000,Lookup!$C$2:$C$1000),"")</f>
        <v>Equity</v>
      </c>
      <c r="D7501" s="8" t="str">
        <f>IFERROR(INDEX('nav master'!$C:$C, MATCH(B7501, 'nav master'!$B:$B, 0)), "")</f>
        <v>ULIF07828/02/25Alpha300Fd101</v>
      </c>
      <c r="E7501" s="8" t="s">
        <v>598</v>
      </c>
      <c r="F7501" s="8" t="s">
        <v>3140</v>
      </c>
    </row>
    <row r="7502" spans="1:6" ht="60" x14ac:dyDescent="0.25">
      <c r="A7502" s="8" t="s">
        <v>125</v>
      </c>
      <c r="B7502" s="8" t="s">
        <v>157</v>
      </c>
      <c r="C7502" s="8" t="str">
        <f>IFERROR(_xlfn.XLOOKUP(TRIM(B7502),Lookup!$B$2:$B$1000,Lookup!$C$2:$C$1000),"")</f>
        <v>Equity</v>
      </c>
      <c r="D7502" s="8" t="str">
        <f>IFERROR(INDEX('nav master'!$C:$C, MATCH(B7502, 'nav master'!$B:$B, 0)), "")</f>
        <v>ULIF07828/02/25Alpha300Fd101</v>
      </c>
      <c r="E7502" s="8" t="s">
        <v>600</v>
      </c>
      <c r="F7502" s="8" t="s">
        <v>3141</v>
      </c>
    </row>
    <row r="7503" spans="1:6" ht="60" x14ac:dyDescent="0.25">
      <c r="A7503" s="8" t="s">
        <v>125</v>
      </c>
      <c r="B7503" s="8" t="s">
        <v>157</v>
      </c>
      <c r="C7503" s="8" t="str">
        <f>IFERROR(_xlfn.XLOOKUP(TRIM(B7503),Lookup!$B$2:$B$1000,Lookup!$C$2:$C$1000),"")</f>
        <v>Equity</v>
      </c>
      <c r="D7503" s="8" t="str">
        <f>IFERROR(INDEX('nav master'!$C:$C, MATCH(B7503, 'nav master'!$B:$B, 0)), "")</f>
        <v>ULIF07828/02/25Alpha300Fd101</v>
      </c>
      <c r="E7503" s="8" t="s">
        <v>602</v>
      </c>
      <c r="F7503" s="8" t="s">
        <v>3142</v>
      </c>
    </row>
    <row r="7504" spans="1:6" ht="60" x14ac:dyDescent="0.25">
      <c r="A7504" s="8" t="s">
        <v>125</v>
      </c>
      <c r="B7504" s="8" t="s">
        <v>157</v>
      </c>
      <c r="C7504" s="8" t="str">
        <f>IFERROR(_xlfn.XLOOKUP(TRIM(B7504),Lookup!$B$2:$B$1000,Lookup!$C$2:$C$1000),"")</f>
        <v>Equity</v>
      </c>
      <c r="D7504" s="8" t="str">
        <f>IFERROR(INDEX('nav master'!$C:$C, MATCH(B7504, 'nav master'!$B:$B, 0)), "")</f>
        <v>ULIF07828/02/25Alpha300Fd101</v>
      </c>
      <c r="E7504" s="8" t="s">
        <v>604</v>
      </c>
      <c r="F7504" s="8" t="s">
        <v>3143</v>
      </c>
    </row>
    <row r="7505" spans="1:6" ht="60" x14ac:dyDescent="0.25">
      <c r="A7505" s="8" t="s">
        <v>125</v>
      </c>
      <c r="B7505" s="8" t="s">
        <v>157</v>
      </c>
      <c r="C7505" s="8" t="str">
        <f>IFERROR(_xlfn.XLOOKUP(TRIM(B7505),Lookup!$B$2:$B$1000,Lookup!$C$2:$C$1000),"")</f>
        <v>Equity</v>
      </c>
      <c r="D7505" s="8" t="str">
        <f>IFERROR(INDEX('nav master'!$C:$C, MATCH(B7505, 'nav master'!$B:$B, 0)), "")</f>
        <v>ULIF07828/02/25Alpha300Fd101</v>
      </c>
      <c r="E7505" s="8" t="s">
        <v>606</v>
      </c>
      <c r="F7505" s="8" t="s">
        <v>3144</v>
      </c>
    </row>
    <row r="7506" spans="1:6" ht="60" x14ac:dyDescent="0.25">
      <c r="A7506" s="8" t="s">
        <v>125</v>
      </c>
      <c r="B7506" s="8" t="s">
        <v>157</v>
      </c>
      <c r="C7506" s="8" t="str">
        <f>IFERROR(_xlfn.XLOOKUP(TRIM(B7506),Lookup!$B$2:$B$1000,Lookup!$C$2:$C$1000),"")</f>
        <v>Equity</v>
      </c>
      <c r="D7506" s="8" t="str">
        <f>IFERROR(INDEX('nav master'!$C:$C, MATCH(B7506, 'nav master'!$B:$B, 0)), "")</f>
        <v>ULIF07828/02/25Alpha300Fd101</v>
      </c>
      <c r="E7506" s="8" t="s">
        <v>608</v>
      </c>
      <c r="F7506" s="8" t="s">
        <v>3145</v>
      </c>
    </row>
    <row r="7507" spans="1:6" ht="60" x14ac:dyDescent="0.25">
      <c r="A7507" s="8" t="s">
        <v>125</v>
      </c>
      <c r="B7507" s="8" t="s">
        <v>157</v>
      </c>
      <c r="C7507" s="8" t="str">
        <f>IFERROR(_xlfn.XLOOKUP(TRIM(B7507),Lookup!$B$2:$B$1000,Lookup!$C$2:$C$1000),"")</f>
        <v>Equity</v>
      </c>
      <c r="D7507" s="8" t="str">
        <f>IFERROR(INDEX('nav master'!$C:$C, MATCH(B7507, 'nav master'!$B:$B, 0)), "")</f>
        <v>ULIF07828/02/25Alpha300Fd101</v>
      </c>
      <c r="E7507" s="8" t="s">
        <v>610</v>
      </c>
      <c r="F7507" s="8" t="s">
        <v>3146</v>
      </c>
    </row>
    <row r="7508" spans="1:6" ht="60" x14ac:dyDescent="0.25">
      <c r="A7508" s="8" t="s">
        <v>125</v>
      </c>
      <c r="B7508" s="8" t="s">
        <v>157</v>
      </c>
      <c r="C7508" s="8" t="str">
        <f>IFERROR(_xlfn.XLOOKUP(TRIM(B7508),Lookup!$B$2:$B$1000,Lookup!$C$2:$C$1000),"")</f>
        <v>Equity</v>
      </c>
      <c r="D7508" s="8" t="str">
        <f>IFERROR(INDEX('nav master'!$C:$C, MATCH(B7508, 'nav master'!$B:$B, 0)), "")</f>
        <v>ULIF07828/02/25Alpha300Fd101</v>
      </c>
      <c r="E7508" s="8" t="s">
        <v>612</v>
      </c>
      <c r="F7508" s="8" t="s">
        <v>3147</v>
      </c>
    </row>
    <row r="7509" spans="1:6" ht="60" x14ac:dyDescent="0.25">
      <c r="A7509" s="8" t="s">
        <v>125</v>
      </c>
      <c r="B7509" s="8" t="s">
        <v>157</v>
      </c>
      <c r="C7509" s="8" t="str">
        <f>IFERROR(_xlfn.XLOOKUP(TRIM(B7509),Lookup!$B$2:$B$1000,Lookup!$C$2:$C$1000),"")</f>
        <v>Equity</v>
      </c>
      <c r="D7509" s="8" t="str">
        <f>IFERROR(INDEX('nav master'!$C:$C, MATCH(B7509, 'nav master'!$B:$B, 0)), "")</f>
        <v>ULIF07828/02/25Alpha300Fd101</v>
      </c>
      <c r="E7509" s="8" t="s">
        <v>614</v>
      </c>
      <c r="F7509" s="8" t="s">
        <v>3148</v>
      </c>
    </row>
    <row r="7510" spans="1:6" ht="60" x14ac:dyDescent="0.25">
      <c r="A7510" s="8" t="s">
        <v>125</v>
      </c>
      <c r="B7510" s="8" t="s">
        <v>157</v>
      </c>
      <c r="C7510" s="8" t="str">
        <f>IFERROR(_xlfn.XLOOKUP(TRIM(B7510),Lookup!$B$2:$B$1000,Lookup!$C$2:$C$1000),"")</f>
        <v>Equity</v>
      </c>
      <c r="D7510" s="8" t="str">
        <f>IFERROR(INDEX('nav master'!$C:$C, MATCH(B7510, 'nav master'!$B:$B, 0)), "")</f>
        <v>ULIF07828/02/25Alpha300Fd101</v>
      </c>
      <c r="E7510" s="8" t="s">
        <v>616</v>
      </c>
      <c r="F7510" s="8" t="s">
        <v>3149</v>
      </c>
    </row>
    <row r="7511" spans="1:6" ht="60" x14ac:dyDescent="0.25">
      <c r="A7511" s="8" t="s">
        <v>125</v>
      </c>
      <c r="B7511" s="8" t="s">
        <v>157</v>
      </c>
      <c r="C7511" s="8" t="str">
        <f>IFERROR(_xlfn.XLOOKUP(TRIM(B7511),Lookup!$B$2:$B$1000,Lookup!$C$2:$C$1000),"")</f>
        <v>Equity</v>
      </c>
      <c r="D7511" s="8" t="str">
        <f>IFERROR(INDEX('nav master'!$C:$C, MATCH(B7511, 'nav master'!$B:$B, 0)), "")</f>
        <v>ULIF07828/02/25Alpha300Fd101</v>
      </c>
      <c r="E7511" s="8" t="s">
        <v>618</v>
      </c>
      <c r="F7511" s="8" t="s">
        <v>3150</v>
      </c>
    </row>
    <row r="7512" spans="1:6" ht="60" x14ac:dyDescent="0.25">
      <c r="A7512" s="8" t="s">
        <v>125</v>
      </c>
      <c r="B7512" s="8" t="s">
        <v>157</v>
      </c>
      <c r="C7512" s="8" t="str">
        <f>IFERROR(_xlfn.XLOOKUP(TRIM(B7512),Lookup!$B$2:$B$1000,Lookup!$C$2:$C$1000),"")</f>
        <v>Equity</v>
      </c>
      <c r="D7512" s="8" t="str">
        <f>IFERROR(INDEX('nav master'!$C:$C, MATCH(B7512, 'nav master'!$B:$B, 0)), "")</f>
        <v>ULIF07828/02/25Alpha300Fd101</v>
      </c>
      <c r="E7512" s="8" t="s">
        <v>620</v>
      </c>
      <c r="F7512" s="8" t="s">
        <v>3151</v>
      </c>
    </row>
    <row r="7513" spans="1:6" ht="60" x14ac:dyDescent="0.25">
      <c r="A7513" s="8" t="s">
        <v>125</v>
      </c>
      <c r="B7513" s="8" t="s">
        <v>157</v>
      </c>
      <c r="C7513" s="8" t="str">
        <f>IFERROR(_xlfn.XLOOKUP(TRIM(B7513),Lookup!$B$2:$B$1000,Lookup!$C$2:$C$1000),"")</f>
        <v>Equity</v>
      </c>
      <c r="D7513" s="8" t="str">
        <f>IFERROR(INDEX('nav master'!$C:$C, MATCH(B7513, 'nav master'!$B:$B, 0)), "")</f>
        <v>ULIF07828/02/25Alpha300Fd101</v>
      </c>
      <c r="E7513" s="8" t="s">
        <v>622</v>
      </c>
      <c r="F7513" s="8" t="s">
        <v>3152</v>
      </c>
    </row>
    <row r="7514" spans="1:6" ht="60" x14ac:dyDescent="0.25">
      <c r="A7514" s="8" t="s">
        <v>125</v>
      </c>
      <c r="B7514" s="8" t="s">
        <v>157</v>
      </c>
      <c r="C7514" s="8" t="str">
        <f>IFERROR(_xlfn.XLOOKUP(TRIM(B7514),Lookup!$B$2:$B$1000,Lookup!$C$2:$C$1000),"")</f>
        <v>Equity</v>
      </c>
      <c r="D7514" s="8" t="str">
        <f>IFERROR(INDEX('nav master'!$C:$C, MATCH(B7514, 'nav master'!$B:$B, 0)), "")</f>
        <v>ULIF07828/02/25Alpha300Fd101</v>
      </c>
      <c r="E7514" s="8" t="s">
        <v>624</v>
      </c>
      <c r="F7514" s="8" t="s">
        <v>3153</v>
      </c>
    </row>
    <row r="7515" spans="1:6" ht="60" x14ac:dyDescent="0.25">
      <c r="A7515" s="8" t="s">
        <v>125</v>
      </c>
      <c r="B7515" s="8" t="s">
        <v>157</v>
      </c>
      <c r="C7515" s="8" t="str">
        <f>IFERROR(_xlfn.XLOOKUP(TRIM(B7515),Lookup!$B$2:$B$1000,Lookup!$C$2:$C$1000),"")</f>
        <v>Equity</v>
      </c>
      <c r="D7515" s="8" t="str">
        <f>IFERROR(INDEX('nav master'!$C:$C, MATCH(B7515, 'nav master'!$B:$B, 0)), "")</f>
        <v>ULIF07828/02/25Alpha300Fd101</v>
      </c>
      <c r="E7515" s="8" t="s">
        <v>626</v>
      </c>
      <c r="F7515" s="8" t="s">
        <v>3154</v>
      </c>
    </row>
    <row r="7516" spans="1:6" ht="60" x14ac:dyDescent="0.25">
      <c r="A7516" s="8" t="s">
        <v>125</v>
      </c>
      <c r="B7516" s="8" t="s">
        <v>157</v>
      </c>
      <c r="C7516" s="8" t="str">
        <f>IFERROR(_xlfn.XLOOKUP(TRIM(B7516),Lookup!$B$2:$B$1000,Lookup!$C$2:$C$1000),"")</f>
        <v>Equity</v>
      </c>
      <c r="D7516" s="8" t="str">
        <f>IFERROR(INDEX('nav master'!$C:$C, MATCH(B7516, 'nav master'!$B:$B, 0)), "")</f>
        <v>ULIF07828/02/25Alpha300Fd101</v>
      </c>
      <c r="E7516" s="8" t="s">
        <v>628</v>
      </c>
      <c r="F7516" s="8" t="s">
        <v>3155</v>
      </c>
    </row>
    <row r="7517" spans="1:6" ht="60" x14ac:dyDescent="0.25">
      <c r="A7517" s="8" t="s">
        <v>125</v>
      </c>
      <c r="B7517" s="8" t="s">
        <v>157</v>
      </c>
      <c r="C7517" s="8" t="str">
        <f>IFERROR(_xlfn.XLOOKUP(TRIM(B7517),Lookup!$B$2:$B$1000,Lookup!$C$2:$C$1000),"")</f>
        <v>Equity</v>
      </c>
      <c r="D7517" s="8" t="str">
        <f>IFERROR(INDEX('nav master'!$C:$C, MATCH(B7517, 'nav master'!$B:$B, 0)), "")</f>
        <v>ULIF07828/02/25Alpha300Fd101</v>
      </c>
      <c r="E7517" s="8" t="s">
        <v>630</v>
      </c>
      <c r="F7517" s="8" t="s">
        <v>3156</v>
      </c>
    </row>
    <row r="7518" spans="1:6" ht="60" x14ac:dyDescent="0.25">
      <c r="A7518" s="8" t="s">
        <v>125</v>
      </c>
      <c r="B7518" s="8" t="s">
        <v>157</v>
      </c>
      <c r="C7518" s="8" t="str">
        <f>IFERROR(_xlfn.XLOOKUP(TRIM(B7518),Lookup!$B$2:$B$1000,Lookup!$C$2:$C$1000),"")</f>
        <v>Equity</v>
      </c>
      <c r="D7518" s="8" t="str">
        <f>IFERROR(INDEX('nav master'!$C:$C, MATCH(B7518, 'nav master'!$B:$B, 0)), "")</f>
        <v>ULIF07828/02/25Alpha300Fd101</v>
      </c>
      <c r="E7518" s="8" t="s">
        <v>632</v>
      </c>
      <c r="F7518" s="8" t="s">
        <v>3157</v>
      </c>
    </row>
    <row r="7519" spans="1:6" ht="60" x14ac:dyDescent="0.25">
      <c r="A7519" s="8" t="s">
        <v>125</v>
      </c>
      <c r="B7519" s="8" t="s">
        <v>157</v>
      </c>
      <c r="C7519" s="8" t="str">
        <f>IFERROR(_xlfn.XLOOKUP(TRIM(B7519),Lookup!$B$2:$B$1000,Lookup!$C$2:$C$1000),"")</f>
        <v>Equity</v>
      </c>
      <c r="D7519" s="8" t="str">
        <f>IFERROR(INDEX('nav master'!$C:$C, MATCH(B7519, 'nav master'!$B:$B, 0)), "")</f>
        <v>ULIF07828/02/25Alpha300Fd101</v>
      </c>
      <c r="E7519" s="8" t="s">
        <v>634</v>
      </c>
      <c r="F7519" s="8" t="s">
        <v>3158</v>
      </c>
    </row>
    <row r="7520" spans="1:6" ht="60" x14ac:dyDescent="0.25">
      <c r="A7520" s="8" t="s">
        <v>125</v>
      </c>
      <c r="B7520" s="8" t="s">
        <v>157</v>
      </c>
      <c r="C7520" s="8" t="str">
        <f>IFERROR(_xlfn.XLOOKUP(TRIM(B7520),Lookup!$B$2:$B$1000,Lookup!$C$2:$C$1000),"")</f>
        <v>Equity</v>
      </c>
      <c r="D7520" s="8" t="str">
        <f>IFERROR(INDEX('nav master'!$C:$C, MATCH(B7520, 'nav master'!$B:$B, 0)), "")</f>
        <v>ULIF07828/02/25Alpha300Fd101</v>
      </c>
      <c r="E7520" s="8" t="s">
        <v>636</v>
      </c>
      <c r="F7520" s="8" t="s">
        <v>3159</v>
      </c>
    </row>
    <row r="7521" spans="1:6" ht="60" x14ac:dyDescent="0.25">
      <c r="A7521" s="8" t="s">
        <v>125</v>
      </c>
      <c r="B7521" s="8" t="s">
        <v>157</v>
      </c>
      <c r="C7521" s="8" t="str">
        <f>IFERROR(_xlfn.XLOOKUP(TRIM(B7521),Lookup!$B$2:$B$1000,Lookup!$C$2:$C$1000),"")</f>
        <v>Equity</v>
      </c>
      <c r="D7521" s="8" t="str">
        <f>IFERROR(INDEX('nav master'!$C:$C, MATCH(B7521, 'nav master'!$B:$B, 0)), "")</f>
        <v>ULIF07828/02/25Alpha300Fd101</v>
      </c>
      <c r="E7521" s="8" t="s">
        <v>638</v>
      </c>
      <c r="F7521" s="8" t="s">
        <v>3160</v>
      </c>
    </row>
    <row r="7522" spans="1:6" ht="60" x14ac:dyDescent="0.25">
      <c r="A7522" s="8" t="s">
        <v>125</v>
      </c>
      <c r="B7522" s="8" t="s">
        <v>157</v>
      </c>
      <c r="C7522" s="8" t="str">
        <f>IFERROR(_xlfn.XLOOKUP(TRIM(B7522),Lookup!$B$2:$B$1000,Lookup!$C$2:$C$1000),"")</f>
        <v>Equity</v>
      </c>
      <c r="D7522" s="8" t="str">
        <f>IFERROR(INDEX('nav master'!$C:$C, MATCH(B7522, 'nav master'!$B:$B, 0)), "")</f>
        <v>ULIF07828/02/25Alpha300Fd101</v>
      </c>
      <c r="E7522" s="8" t="s">
        <v>640</v>
      </c>
      <c r="F7522" s="8" t="s">
        <v>3161</v>
      </c>
    </row>
    <row r="7523" spans="1:6" ht="60" x14ac:dyDescent="0.25">
      <c r="A7523" s="8" t="s">
        <v>125</v>
      </c>
      <c r="B7523" s="8" t="s">
        <v>157</v>
      </c>
      <c r="C7523" s="8" t="str">
        <f>IFERROR(_xlfn.XLOOKUP(TRIM(B7523),Lookup!$B$2:$B$1000,Lookup!$C$2:$C$1000),"")</f>
        <v>Equity</v>
      </c>
      <c r="D7523" s="8" t="str">
        <f>IFERROR(INDEX('nav master'!$C:$C, MATCH(B7523, 'nav master'!$B:$B, 0)), "")</f>
        <v>ULIF07828/02/25Alpha300Fd101</v>
      </c>
      <c r="E7523" s="8" t="s">
        <v>642</v>
      </c>
      <c r="F7523" s="8" t="s">
        <v>3162</v>
      </c>
    </row>
    <row r="7524" spans="1:6" ht="60" x14ac:dyDescent="0.25">
      <c r="A7524" s="8" t="s">
        <v>125</v>
      </c>
      <c r="B7524" s="8" t="s">
        <v>157</v>
      </c>
      <c r="C7524" s="8" t="str">
        <f>IFERROR(_xlfn.XLOOKUP(TRIM(B7524),Lookup!$B$2:$B$1000,Lookup!$C$2:$C$1000),"")</f>
        <v>Equity</v>
      </c>
      <c r="D7524" s="8" t="str">
        <f>IFERROR(INDEX('nav master'!$C:$C, MATCH(B7524, 'nav master'!$B:$B, 0)), "")</f>
        <v>ULIF07828/02/25Alpha300Fd101</v>
      </c>
      <c r="E7524" s="8" t="s">
        <v>644</v>
      </c>
      <c r="F7524" s="8" t="s">
        <v>3163</v>
      </c>
    </row>
    <row r="7525" spans="1:6" ht="60" x14ac:dyDescent="0.25">
      <c r="A7525" s="8" t="s">
        <v>125</v>
      </c>
      <c r="B7525" s="8" t="s">
        <v>157</v>
      </c>
      <c r="C7525" s="8" t="str">
        <f>IFERROR(_xlfn.XLOOKUP(TRIM(B7525),Lookup!$B$2:$B$1000,Lookup!$C$2:$C$1000),"")</f>
        <v>Equity</v>
      </c>
      <c r="D7525" s="8" t="str">
        <f>IFERROR(INDEX('nav master'!$C:$C, MATCH(B7525, 'nav master'!$B:$B, 0)), "")</f>
        <v>ULIF07828/02/25Alpha300Fd101</v>
      </c>
      <c r="E7525" s="8" t="s">
        <v>646</v>
      </c>
      <c r="F7525" s="8" t="s">
        <v>3123</v>
      </c>
    </row>
    <row r="7526" spans="1:6" ht="60" x14ac:dyDescent="0.25">
      <c r="A7526" s="8" t="s">
        <v>125</v>
      </c>
      <c r="B7526" s="8" t="s">
        <v>157</v>
      </c>
      <c r="C7526" s="8" t="str">
        <f>IFERROR(_xlfn.XLOOKUP(TRIM(B7526),Lookup!$B$2:$B$1000,Lookup!$C$2:$C$1000),"")</f>
        <v>Equity</v>
      </c>
      <c r="D7526" s="8" t="str">
        <f>IFERROR(INDEX('nav master'!$C:$C, MATCH(B7526, 'nav master'!$B:$B, 0)), "")</f>
        <v>ULIF07828/02/25Alpha300Fd101</v>
      </c>
      <c r="E7526" s="8" t="s">
        <v>648</v>
      </c>
      <c r="F7526" s="8" t="s">
        <v>3164</v>
      </c>
    </row>
    <row r="7527" spans="1:6" ht="60" x14ac:dyDescent="0.25">
      <c r="A7527" s="8" t="s">
        <v>125</v>
      </c>
      <c r="B7527" s="8" t="s">
        <v>157</v>
      </c>
      <c r="C7527" s="8" t="str">
        <f>IFERROR(_xlfn.XLOOKUP(TRIM(B7527),Lookup!$B$2:$B$1000,Lookup!$C$2:$C$1000),"")</f>
        <v>Equity</v>
      </c>
      <c r="D7527" s="8" t="str">
        <f>IFERROR(INDEX('nav master'!$C:$C, MATCH(B7527, 'nav master'!$B:$B, 0)), "")</f>
        <v>ULIF07828/02/25Alpha300Fd101</v>
      </c>
      <c r="E7527" s="8" t="s">
        <v>650</v>
      </c>
      <c r="F7527" s="8" t="s">
        <v>3165</v>
      </c>
    </row>
    <row r="7528" spans="1:6" ht="60" x14ac:dyDescent="0.25">
      <c r="A7528" s="8" t="s">
        <v>125</v>
      </c>
      <c r="B7528" s="8" t="s">
        <v>157</v>
      </c>
      <c r="C7528" s="8" t="str">
        <f>IFERROR(_xlfn.XLOOKUP(TRIM(B7528),Lookup!$B$2:$B$1000,Lookup!$C$2:$C$1000),"")</f>
        <v>Equity</v>
      </c>
      <c r="D7528" s="8" t="str">
        <f>IFERROR(INDEX('nav master'!$C:$C, MATCH(B7528, 'nav master'!$B:$B, 0)), "")</f>
        <v>ULIF07828/02/25Alpha300Fd101</v>
      </c>
      <c r="E7528" s="8" t="s">
        <v>652</v>
      </c>
      <c r="F7528" s="8" t="s">
        <v>3166</v>
      </c>
    </row>
    <row r="7529" spans="1:6" ht="60" x14ac:dyDescent="0.25">
      <c r="A7529" s="8" t="s">
        <v>125</v>
      </c>
      <c r="B7529" s="8" t="s">
        <v>157</v>
      </c>
      <c r="C7529" s="8" t="str">
        <f>IFERROR(_xlfn.XLOOKUP(TRIM(B7529),Lookup!$B$2:$B$1000,Lookup!$C$2:$C$1000),"")</f>
        <v>Equity</v>
      </c>
      <c r="D7529" s="8" t="str">
        <f>IFERROR(INDEX('nav master'!$C:$C, MATCH(B7529, 'nav master'!$B:$B, 0)), "")</f>
        <v>ULIF07828/02/25Alpha300Fd101</v>
      </c>
      <c r="E7529" s="8" t="s">
        <v>654</v>
      </c>
      <c r="F7529" s="8" t="s">
        <v>3167</v>
      </c>
    </row>
    <row r="7530" spans="1:6" ht="60" x14ac:dyDescent="0.25">
      <c r="A7530" s="8" t="s">
        <v>125</v>
      </c>
      <c r="B7530" s="8" t="s">
        <v>157</v>
      </c>
      <c r="C7530" s="8" t="str">
        <f>IFERROR(_xlfn.XLOOKUP(TRIM(B7530),Lookup!$B$2:$B$1000,Lookup!$C$2:$C$1000),"")</f>
        <v>Equity</v>
      </c>
      <c r="D7530" s="8" t="str">
        <f>IFERROR(INDEX('nav master'!$C:$C, MATCH(B7530, 'nav master'!$B:$B, 0)), "")</f>
        <v>ULIF07828/02/25Alpha300Fd101</v>
      </c>
      <c r="E7530" s="8" t="s">
        <v>656</v>
      </c>
      <c r="F7530" s="8" t="s">
        <v>3168</v>
      </c>
    </row>
    <row r="7531" spans="1:6" ht="60" x14ac:dyDescent="0.25">
      <c r="A7531" s="8" t="s">
        <v>125</v>
      </c>
      <c r="B7531" s="8" t="s">
        <v>157</v>
      </c>
      <c r="C7531" s="8" t="str">
        <f>IFERROR(_xlfn.XLOOKUP(TRIM(B7531),Lookup!$B$2:$B$1000,Lookup!$C$2:$C$1000),"")</f>
        <v>Equity</v>
      </c>
      <c r="D7531" s="8" t="str">
        <f>IFERROR(INDEX('nav master'!$C:$C, MATCH(B7531, 'nav master'!$B:$B, 0)), "")</f>
        <v>ULIF07828/02/25Alpha300Fd101</v>
      </c>
      <c r="E7531" s="8" t="s">
        <v>658</v>
      </c>
      <c r="F7531" s="8" t="s">
        <v>3169</v>
      </c>
    </row>
    <row r="7532" spans="1:6" ht="60" x14ac:dyDescent="0.25">
      <c r="A7532" s="8" t="s">
        <v>125</v>
      </c>
      <c r="B7532" s="8" t="s">
        <v>157</v>
      </c>
      <c r="C7532" s="8" t="str">
        <f>IFERROR(_xlfn.XLOOKUP(TRIM(B7532),Lookup!$B$2:$B$1000,Lookup!$C$2:$C$1000),"")</f>
        <v>Equity</v>
      </c>
      <c r="D7532" s="8" t="str">
        <f>IFERROR(INDEX('nav master'!$C:$C, MATCH(B7532, 'nav master'!$B:$B, 0)), "")</f>
        <v>ULIF07828/02/25Alpha300Fd101</v>
      </c>
      <c r="E7532" s="8" t="s">
        <v>660</v>
      </c>
      <c r="F7532" s="8" t="s">
        <v>3170</v>
      </c>
    </row>
    <row r="7533" spans="1:6" ht="60" x14ac:dyDescent="0.25">
      <c r="A7533" s="8" t="s">
        <v>125</v>
      </c>
      <c r="B7533" s="8" t="s">
        <v>157</v>
      </c>
      <c r="C7533" s="8" t="str">
        <f>IFERROR(_xlfn.XLOOKUP(TRIM(B7533),Lookup!$B$2:$B$1000,Lookup!$C$2:$C$1000),"")</f>
        <v>Equity</v>
      </c>
      <c r="D7533" s="8" t="str">
        <f>IFERROR(INDEX('nav master'!$C:$C, MATCH(B7533, 'nav master'!$B:$B, 0)), "")</f>
        <v>ULIF07828/02/25Alpha300Fd101</v>
      </c>
      <c r="E7533" s="8" t="s">
        <v>662</v>
      </c>
      <c r="F7533" s="8" t="s">
        <v>3171</v>
      </c>
    </row>
    <row r="7534" spans="1:6" ht="60" x14ac:dyDescent="0.25">
      <c r="A7534" s="8" t="s">
        <v>125</v>
      </c>
      <c r="B7534" s="8" t="s">
        <v>157</v>
      </c>
      <c r="C7534" s="8" t="str">
        <f>IFERROR(_xlfn.XLOOKUP(TRIM(B7534),Lookup!$B$2:$B$1000,Lookup!$C$2:$C$1000),"")</f>
        <v>Equity</v>
      </c>
      <c r="D7534" s="8" t="str">
        <f>IFERROR(INDEX('nav master'!$C:$C, MATCH(B7534, 'nav master'!$B:$B, 0)), "")</f>
        <v>ULIF07828/02/25Alpha300Fd101</v>
      </c>
      <c r="E7534" s="8" t="s">
        <v>664</v>
      </c>
      <c r="F7534" s="8" t="s">
        <v>3172</v>
      </c>
    </row>
    <row r="7535" spans="1:6" ht="60" x14ac:dyDescent="0.25">
      <c r="A7535" s="8" t="s">
        <v>125</v>
      </c>
      <c r="B7535" s="8" t="s">
        <v>157</v>
      </c>
      <c r="C7535" s="8" t="str">
        <f>IFERROR(_xlfn.XLOOKUP(TRIM(B7535),Lookup!$B$2:$B$1000,Lookup!$C$2:$C$1000),"")</f>
        <v>Equity</v>
      </c>
      <c r="D7535" s="8" t="str">
        <f>IFERROR(INDEX('nav master'!$C:$C, MATCH(B7535, 'nav master'!$B:$B, 0)), "")</f>
        <v>ULIF07828/02/25Alpha300Fd101</v>
      </c>
      <c r="E7535" s="8" t="s">
        <v>4892</v>
      </c>
      <c r="F7535" s="8" t="s">
        <v>4984</v>
      </c>
    </row>
    <row r="7536" spans="1:6" ht="60" x14ac:dyDescent="0.25">
      <c r="A7536" s="8" t="s">
        <v>125</v>
      </c>
      <c r="B7536" s="8" t="s">
        <v>157</v>
      </c>
      <c r="C7536" s="8" t="str">
        <f>IFERROR(_xlfn.XLOOKUP(TRIM(B7536),Lookup!$B$2:$B$1000,Lookup!$C$2:$C$1000),"")</f>
        <v>Equity</v>
      </c>
      <c r="D7536" s="8" t="str">
        <f>IFERROR(INDEX('nav master'!$C:$C, MATCH(B7536, 'nav master'!$B:$B, 0)), "")</f>
        <v>ULIF07828/02/25Alpha300Fd101</v>
      </c>
      <c r="E7536" s="8" t="s">
        <v>4894</v>
      </c>
      <c r="F7536" s="8" t="s">
        <v>4985</v>
      </c>
    </row>
    <row r="7537" spans="1:6" ht="60" x14ac:dyDescent="0.25">
      <c r="A7537" s="8" t="s">
        <v>125</v>
      </c>
      <c r="B7537" s="8" t="s">
        <v>157</v>
      </c>
      <c r="C7537" s="8" t="str">
        <f>IFERROR(_xlfn.XLOOKUP(TRIM(B7537),Lookup!$B$2:$B$1000,Lookup!$C$2:$C$1000),"")</f>
        <v>Equity</v>
      </c>
      <c r="D7537" s="8" t="str">
        <f>IFERROR(INDEX('nav master'!$C:$C, MATCH(B7537, 'nav master'!$B:$B, 0)), "")</f>
        <v>ULIF07828/02/25Alpha300Fd101</v>
      </c>
      <c r="E7537" s="8" t="s">
        <v>4896</v>
      </c>
      <c r="F7537" s="8" t="s">
        <v>4986</v>
      </c>
    </row>
    <row r="7538" spans="1:6" ht="60" x14ac:dyDescent="0.25">
      <c r="A7538" s="8" t="s">
        <v>125</v>
      </c>
      <c r="B7538" s="8" t="s">
        <v>157</v>
      </c>
      <c r="C7538" s="8" t="str">
        <f>IFERROR(_xlfn.XLOOKUP(TRIM(B7538),Lookup!$B$2:$B$1000,Lookup!$C$2:$C$1000),"")</f>
        <v>Equity</v>
      </c>
      <c r="D7538" s="8" t="str">
        <f>IFERROR(INDEX('nav master'!$C:$C, MATCH(B7538, 'nav master'!$B:$B, 0)), "")</f>
        <v>ULIF07828/02/25Alpha300Fd101</v>
      </c>
      <c r="E7538" s="8" t="s">
        <v>4898</v>
      </c>
      <c r="F7538" s="8" t="s">
        <v>4987</v>
      </c>
    </row>
    <row r="7539" spans="1:6" ht="60" x14ac:dyDescent="0.25">
      <c r="A7539" s="8" t="s">
        <v>125</v>
      </c>
      <c r="B7539" s="8" t="s">
        <v>157</v>
      </c>
      <c r="C7539" s="8" t="str">
        <f>IFERROR(_xlfn.XLOOKUP(TRIM(B7539),Lookup!$B$2:$B$1000,Lookup!$C$2:$C$1000),"")</f>
        <v>Equity</v>
      </c>
      <c r="D7539" s="8" t="str">
        <f>IFERROR(INDEX('nav master'!$C:$C, MATCH(B7539, 'nav master'!$B:$B, 0)), "")</f>
        <v>ULIF07828/02/25Alpha300Fd101</v>
      </c>
      <c r="E7539" s="8" t="s">
        <v>4900</v>
      </c>
      <c r="F7539" s="8" t="s">
        <v>4988</v>
      </c>
    </row>
    <row r="7540" spans="1:6" ht="60" x14ac:dyDescent="0.25">
      <c r="A7540" s="8" t="s">
        <v>125</v>
      </c>
      <c r="B7540" s="8" t="s">
        <v>157</v>
      </c>
      <c r="C7540" s="8" t="str">
        <f>IFERROR(_xlfn.XLOOKUP(TRIM(B7540),Lookup!$B$2:$B$1000,Lookup!$C$2:$C$1000),"")</f>
        <v>Equity</v>
      </c>
      <c r="D7540" s="8" t="str">
        <f>IFERROR(INDEX('nav master'!$C:$C, MATCH(B7540, 'nav master'!$B:$B, 0)), "")</f>
        <v>ULIF07828/02/25Alpha300Fd101</v>
      </c>
      <c r="E7540" s="8" t="s">
        <v>4902</v>
      </c>
      <c r="F7540" s="8" t="s">
        <v>4989</v>
      </c>
    </row>
    <row r="7541" spans="1:6" ht="60" x14ac:dyDescent="0.25">
      <c r="A7541" s="8" t="s">
        <v>125</v>
      </c>
      <c r="B7541" s="8" t="s">
        <v>157</v>
      </c>
      <c r="C7541" s="8" t="str">
        <f>IFERROR(_xlfn.XLOOKUP(TRIM(B7541),Lookup!$B$2:$B$1000,Lookup!$C$2:$C$1000),"")</f>
        <v>Equity</v>
      </c>
      <c r="D7541" s="8" t="str">
        <f>IFERROR(INDEX('nav master'!$C:$C, MATCH(B7541, 'nav master'!$B:$B, 0)), "")</f>
        <v>ULIF07828/02/25Alpha300Fd101</v>
      </c>
      <c r="E7541" s="8" t="s">
        <v>4903</v>
      </c>
      <c r="F7541" s="8" t="s">
        <v>4990</v>
      </c>
    </row>
    <row r="7542" spans="1:6" ht="60" x14ac:dyDescent="0.25">
      <c r="A7542" s="8" t="s">
        <v>125</v>
      </c>
      <c r="B7542" s="8" t="s">
        <v>157</v>
      </c>
      <c r="C7542" s="8" t="str">
        <f>IFERROR(_xlfn.XLOOKUP(TRIM(B7542),Lookup!$B$2:$B$1000,Lookup!$C$2:$C$1000),"")</f>
        <v>Equity</v>
      </c>
      <c r="D7542" s="8" t="str">
        <f>IFERROR(INDEX('nav master'!$C:$C, MATCH(B7542, 'nav master'!$B:$B, 0)), "")</f>
        <v>ULIF07828/02/25Alpha300Fd101</v>
      </c>
      <c r="E7542" s="8" t="s">
        <v>4905</v>
      </c>
      <c r="F7542" s="8" t="s">
        <v>4991</v>
      </c>
    </row>
    <row r="7543" spans="1:6" ht="60" x14ac:dyDescent="0.25">
      <c r="A7543" s="8" t="s">
        <v>125</v>
      </c>
      <c r="B7543" s="8" t="s">
        <v>159</v>
      </c>
      <c r="C7543" s="8" t="str">
        <f>IFERROR(_xlfn.XLOOKUP(TRIM(B7543),Lookup!$B$2:$B$1000,Lookup!$C$2:$C$1000),"")</f>
        <v>Equity</v>
      </c>
      <c r="D7543" s="8" t="str">
        <f>IFERROR(INDEX('nav master'!$C:$C, MATCH(B7543, 'nav master'!$B:$B, 0)), "")</f>
        <v>ULIF08219/09/25TopMF500Fd101</v>
      </c>
      <c r="E7543" s="8" t="s">
        <v>271</v>
      </c>
      <c r="F7543" s="8" t="s">
        <v>1603</v>
      </c>
    </row>
    <row r="7544" spans="1:6" ht="60" x14ac:dyDescent="0.25">
      <c r="A7544" s="8" t="s">
        <v>125</v>
      </c>
      <c r="B7544" s="8" t="s">
        <v>159</v>
      </c>
      <c r="C7544" s="8" t="str">
        <f>IFERROR(_xlfn.XLOOKUP(TRIM(B7544),Lookup!$B$2:$B$1000,Lookup!$C$2:$C$1000),"")</f>
        <v>Equity</v>
      </c>
      <c r="D7544" s="8" t="str">
        <f>IFERROR(INDEX('nav master'!$C:$C, MATCH(B7544, 'nav master'!$B:$B, 0)), "")</f>
        <v>ULIF08219/09/25TopMF500Fd101</v>
      </c>
      <c r="E7544" s="8" t="s">
        <v>273</v>
      </c>
      <c r="F7544" s="8" t="s">
        <v>3173</v>
      </c>
    </row>
    <row r="7545" spans="1:6" ht="60" x14ac:dyDescent="0.25">
      <c r="A7545" s="8" t="s">
        <v>125</v>
      </c>
      <c r="B7545" s="8" t="s">
        <v>159</v>
      </c>
      <c r="C7545" s="8" t="str">
        <f>IFERROR(_xlfn.XLOOKUP(TRIM(B7545),Lookup!$B$2:$B$1000,Lookup!$C$2:$C$1000),"")</f>
        <v>Equity</v>
      </c>
      <c r="D7545" s="8" t="str">
        <f>IFERROR(INDEX('nav master'!$C:$C, MATCH(B7545, 'nav master'!$B:$B, 0)), "")</f>
        <v>ULIF08219/09/25TopMF500Fd101</v>
      </c>
      <c r="E7545" s="8" t="s">
        <v>275</v>
      </c>
      <c r="F7545" s="8" t="s">
        <v>3174</v>
      </c>
    </row>
    <row r="7546" spans="1:6" ht="60" x14ac:dyDescent="0.25">
      <c r="A7546" s="8" t="s">
        <v>125</v>
      </c>
      <c r="B7546" s="8" t="s">
        <v>159</v>
      </c>
      <c r="C7546" s="8" t="str">
        <f>IFERROR(_xlfn.XLOOKUP(TRIM(B7546),Lookup!$B$2:$B$1000,Lookup!$C$2:$C$1000),"")</f>
        <v>Equity</v>
      </c>
      <c r="D7546" s="8" t="str">
        <f>IFERROR(INDEX('nav master'!$C:$C, MATCH(B7546, 'nav master'!$B:$B, 0)), "")</f>
        <v>ULIF08219/09/25TopMF500Fd101</v>
      </c>
      <c r="E7546" s="8" t="s">
        <v>277</v>
      </c>
      <c r="F7546" s="8" t="s">
        <v>3175</v>
      </c>
    </row>
    <row r="7547" spans="1:6" ht="60" x14ac:dyDescent="0.25">
      <c r="A7547" s="8" t="s">
        <v>125</v>
      </c>
      <c r="B7547" s="8" t="s">
        <v>159</v>
      </c>
      <c r="C7547" s="8" t="str">
        <f>IFERROR(_xlfn.XLOOKUP(TRIM(B7547),Lookup!$B$2:$B$1000,Lookup!$C$2:$C$1000),"")</f>
        <v>Equity</v>
      </c>
      <c r="D7547" s="8" t="str">
        <f>IFERROR(INDEX('nav master'!$C:$C, MATCH(B7547, 'nav master'!$B:$B, 0)), "")</f>
        <v>ULIF08219/09/25TopMF500Fd101</v>
      </c>
      <c r="E7547" s="8" t="s">
        <v>279</v>
      </c>
      <c r="F7547" s="8" t="s">
        <v>3176</v>
      </c>
    </row>
    <row r="7548" spans="1:6" ht="60" x14ac:dyDescent="0.25">
      <c r="A7548" s="8" t="s">
        <v>125</v>
      </c>
      <c r="B7548" s="8" t="s">
        <v>159</v>
      </c>
      <c r="C7548" s="8" t="str">
        <f>IFERROR(_xlfn.XLOOKUP(TRIM(B7548),Lookup!$B$2:$B$1000,Lookup!$C$2:$C$1000),"")</f>
        <v>Equity</v>
      </c>
      <c r="D7548" s="8" t="str">
        <f>IFERROR(INDEX('nav master'!$C:$C, MATCH(B7548, 'nav master'!$B:$B, 0)), "")</f>
        <v>ULIF08219/09/25TopMF500Fd101</v>
      </c>
      <c r="E7548" s="8" t="s">
        <v>281</v>
      </c>
      <c r="F7548" s="8" t="s">
        <v>3177</v>
      </c>
    </row>
    <row r="7549" spans="1:6" ht="60" x14ac:dyDescent="0.25">
      <c r="A7549" s="8" t="s">
        <v>125</v>
      </c>
      <c r="B7549" s="8" t="s">
        <v>159</v>
      </c>
      <c r="C7549" s="8" t="str">
        <f>IFERROR(_xlfn.XLOOKUP(TRIM(B7549),Lookup!$B$2:$B$1000,Lookup!$C$2:$C$1000),"")</f>
        <v>Equity</v>
      </c>
      <c r="D7549" s="8" t="str">
        <f>IFERROR(INDEX('nav master'!$C:$C, MATCH(B7549, 'nav master'!$B:$B, 0)), "")</f>
        <v>ULIF08219/09/25TopMF500Fd101</v>
      </c>
      <c r="E7549" s="8" t="s">
        <v>283</v>
      </c>
      <c r="F7549" s="8" t="s">
        <v>3178</v>
      </c>
    </row>
    <row r="7550" spans="1:6" ht="60" x14ac:dyDescent="0.25">
      <c r="A7550" s="8" t="s">
        <v>125</v>
      </c>
      <c r="B7550" s="8" t="s">
        <v>159</v>
      </c>
      <c r="C7550" s="8" t="str">
        <f>IFERROR(_xlfn.XLOOKUP(TRIM(B7550),Lookup!$B$2:$B$1000,Lookup!$C$2:$C$1000),"")</f>
        <v>Equity</v>
      </c>
      <c r="D7550" s="8" t="str">
        <f>IFERROR(INDEX('nav master'!$C:$C, MATCH(B7550, 'nav master'!$B:$B, 0)), "")</f>
        <v>ULIF08219/09/25TopMF500Fd101</v>
      </c>
      <c r="E7550" s="8" t="s">
        <v>285</v>
      </c>
      <c r="F7550" s="8" t="s">
        <v>3179</v>
      </c>
    </row>
    <row r="7551" spans="1:6" ht="60" x14ac:dyDescent="0.25">
      <c r="A7551" s="8" t="s">
        <v>125</v>
      </c>
      <c r="B7551" s="8" t="s">
        <v>159</v>
      </c>
      <c r="C7551" s="8" t="str">
        <f>IFERROR(_xlfn.XLOOKUP(TRIM(B7551),Lookup!$B$2:$B$1000,Lookup!$C$2:$C$1000),"")</f>
        <v>Equity</v>
      </c>
      <c r="D7551" s="8" t="str">
        <f>IFERROR(INDEX('nav master'!$C:$C, MATCH(B7551, 'nav master'!$B:$B, 0)), "")</f>
        <v>ULIF08219/09/25TopMF500Fd101</v>
      </c>
      <c r="E7551" s="8" t="s">
        <v>287</v>
      </c>
      <c r="F7551" s="8" t="s">
        <v>3180</v>
      </c>
    </row>
    <row r="7552" spans="1:6" ht="60" x14ac:dyDescent="0.25">
      <c r="A7552" s="8" t="s">
        <v>125</v>
      </c>
      <c r="B7552" s="8" t="s">
        <v>159</v>
      </c>
      <c r="C7552" s="8" t="str">
        <f>IFERROR(_xlfn.XLOOKUP(TRIM(B7552),Lookup!$B$2:$B$1000,Lookup!$C$2:$C$1000),"")</f>
        <v>Equity</v>
      </c>
      <c r="D7552" s="8" t="str">
        <f>IFERROR(INDEX('nav master'!$C:$C, MATCH(B7552, 'nav master'!$B:$B, 0)), "")</f>
        <v>ULIF08219/09/25TopMF500Fd101</v>
      </c>
      <c r="E7552" s="8" t="s">
        <v>289</v>
      </c>
      <c r="F7552" s="8" t="s">
        <v>3181</v>
      </c>
    </row>
    <row r="7553" spans="1:6" ht="60" x14ac:dyDescent="0.25">
      <c r="A7553" s="8" t="s">
        <v>125</v>
      </c>
      <c r="B7553" s="8" t="s">
        <v>159</v>
      </c>
      <c r="C7553" s="8" t="str">
        <f>IFERROR(_xlfn.XLOOKUP(TRIM(B7553),Lookup!$B$2:$B$1000,Lookup!$C$2:$C$1000),"")</f>
        <v>Equity</v>
      </c>
      <c r="D7553" s="8" t="str">
        <f>IFERROR(INDEX('nav master'!$C:$C, MATCH(B7553, 'nav master'!$B:$B, 0)), "")</f>
        <v>ULIF08219/09/25TopMF500Fd101</v>
      </c>
      <c r="E7553" s="8" t="s">
        <v>291</v>
      </c>
      <c r="F7553" s="8" t="s">
        <v>3182</v>
      </c>
    </row>
    <row r="7554" spans="1:6" ht="60" x14ac:dyDescent="0.25">
      <c r="A7554" s="8" t="s">
        <v>125</v>
      </c>
      <c r="B7554" s="8" t="s">
        <v>159</v>
      </c>
      <c r="C7554" s="8" t="str">
        <f>IFERROR(_xlfn.XLOOKUP(TRIM(B7554),Lookup!$B$2:$B$1000,Lookup!$C$2:$C$1000),"")</f>
        <v>Equity</v>
      </c>
      <c r="D7554" s="8" t="str">
        <f>IFERROR(INDEX('nav master'!$C:$C, MATCH(B7554, 'nav master'!$B:$B, 0)), "")</f>
        <v>ULIF08219/09/25TopMF500Fd101</v>
      </c>
      <c r="E7554" s="8" t="s">
        <v>293</v>
      </c>
      <c r="F7554" s="8" t="s">
        <v>3183</v>
      </c>
    </row>
    <row r="7555" spans="1:6" ht="60" x14ac:dyDescent="0.25">
      <c r="A7555" s="8" t="s">
        <v>125</v>
      </c>
      <c r="B7555" s="8" t="s">
        <v>159</v>
      </c>
      <c r="C7555" s="8" t="str">
        <f>IFERROR(_xlfn.XLOOKUP(TRIM(B7555),Lookup!$B$2:$B$1000,Lookup!$C$2:$C$1000),"")</f>
        <v>Equity</v>
      </c>
      <c r="D7555" s="8" t="str">
        <f>IFERROR(INDEX('nav master'!$C:$C, MATCH(B7555, 'nav master'!$B:$B, 0)), "")</f>
        <v>ULIF08219/09/25TopMF500Fd101</v>
      </c>
      <c r="E7555" s="8" t="s">
        <v>295</v>
      </c>
      <c r="F7555" s="8" t="s">
        <v>3184</v>
      </c>
    </row>
    <row r="7556" spans="1:6" ht="60" x14ac:dyDescent="0.25">
      <c r="A7556" s="8" t="s">
        <v>125</v>
      </c>
      <c r="B7556" s="8" t="s">
        <v>159</v>
      </c>
      <c r="C7556" s="8" t="str">
        <f>IFERROR(_xlfn.XLOOKUP(TRIM(B7556),Lookup!$B$2:$B$1000,Lookup!$C$2:$C$1000),"")</f>
        <v>Equity</v>
      </c>
      <c r="D7556" s="8" t="str">
        <f>IFERROR(INDEX('nav master'!$C:$C, MATCH(B7556, 'nav master'!$B:$B, 0)), "")</f>
        <v>ULIF08219/09/25TopMF500Fd101</v>
      </c>
      <c r="E7556" s="8" t="s">
        <v>297</v>
      </c>
      <c r="F7556" s="8" t="s">
        <v>3185</v>
      </c>
    </row>
    <row r="7557" spans="1:6" ht="60" x14ac:dyDescent="0.25">
      <c r="A7557" s="8" t="s">
        <v>125</v>
      </c>
      <c r="B7557" s="8" t="s">
        <v>159</v>
      </c>
      <c r="C7557" s="8" t="str">
        <f>IFERROR(_xlfn.XLOOKUP(TRIM(B7557),Lookup!$B$2:$B$1000,Lookup!$C$2:$C$1000),"")</f>
        <v>Equity</v>
      </c>
      <c r="D7557" s="8" t="str">
        <f>IFERROR(INDEX('nav master'!$C:$C, MATCH(B7557, 'nav master'!$B:$B, 0)), "")</f>
        <v>ULIF08219/09/25TopMF500Fd101</v>
      </c>
      <c r="E7557" s="8" t="s">
        <v>299</v>
      </c>
      <c r="F7557" s="8" t="s">
        <v>3186</v>
      </c>
    </row>
    <row r="7558" spans="1:6" ht="60" x14ac:dyDescent="0.25">
      <c r="A7558" s="8" t="s">
        <v>125</v>
      </c>
      <c r="B7558" s="8" t="s">
        <v>159</v>
      </c>
      <c r="C7558" s="8" t="str">
        <f>IFERROR(_xlfn.XLOOKUP(TRIM(B7558),Lookup!$B$2:$B$1000,Lookup!$C$2:$C$1000),"")</f>
        <v>Equity</v>
      </c>
      <c r="D7558" s="8" t="str">
        <f>IFERROR(INDEX('nav master'!$C:$C, MATCH(B7558, 'nav master'!$B:$B, 0)), "")</f>
        <v>ULIF08219/09/25TopMF500Fd101</v>
      </c>
      <c r="E7558" s="8" t="s">
        <v>301</v>
      </c>
      <c r="F7558" s="8" t="s">
        <v>3187</v>
      </c>
    </row>
    <row r="7559" spans="1:6" ht="60" x14ac:dyDescent="0.25">
      <c r="A7559" s="8" t="s">
        <v>125</v>
      </c>
      <c r="B7559" s="8" t="s">
        <v>159</v>
      </c>
      <c r="C7559" s="8" t="str">
        <f>IFERROR(_xlfn.XLOOKUP(TRIM(B7559),Lookup!$B$2:$B$1000,Lookup!$C$2:$C$1000),"")</f>
        <v>Equity</v>
      </c>
      <c r="D7559" s="8" t="str">
        <f>IFERROR(INDEX('nav master'!$C:$C, MATCH(B7559, 'nav master'!$B:$B, 0)), "")</f>
        <v>ULIF08219/09/25TopMF500Fd101</v>
      </c>
      <c r="E7559" s="8" t="s">
        <v>303</v>
      </c>
      <c r="F7559" s="8" t="s">
        <v>3188</v>
      </c>
    </row>
    <row r="7560" spans="1:6" ht="60" x14ac:dyDescent="0.25">
      <c r="A7560" s="8" t="s">
        <v>125</v>
      </c>
      <c r="B7560" s="8" t="s">
        <v>159</v>
      </c>
      <c r="C7560" s="8" t="str">
        <f>IFERROR(_xlfn.XLOOKUP(TRIM(B7560),Lookup!$B$2:$B$1000,Lookup!$C$2:$C$1000),"")</f>
        <v>Equity</v>
      </c>
      <c r="D7560" s="8" t="str">
        <f>IFERROR(INDEX('nav master'!$C:$C, MATCH(B7560, 'nav master'!$B:$B, 0)), "")</f>
        <v>ULIF08219/09/25TopMF500Fd101</v>
      </c>
      <c r="E7560" s="8" t="s">
        <v>305</v>
      </c>
      <c r="F7560" s="8" t="s">
        <v>3189</v>
      </c>
    </row>
    <row r="7561" spans="1:6" ht="60" x14ac:dyDescent="0.25">
      <c r="A7561" s="8" t="s">
        <v>125</v>
      </c>
      <c r="B7561" s="8" t="s">
        <v>159</v>
      </c>
      <c r="C7561" s="8" t="str">
        <f>IFERROR(_xlfn.XLOOKUP(TRIM(B7561),Lookup!$B$2:$B$1000,Lookup!$C$2:$C$1000),"")</f>
        <v>Equity</v>
      </c>
      <c r="D7561" s="8" t="str">
        <f>IFERROR(INDEX('nav master'!$C:$C, MATCH(B7561, 'nav master'!$B:$B, 0)), "")</f>
        <v>ULIF08219/09/25TopMF500Fd101</v>
      </c>
      <c r="E7561" s="8" t="s">
        <v>307</v>
      </c>
      <c r="F7561" s="8" t="s">
        <v>3190</v>
      </c>
    </row>
    <row r="7562" spans="1:6" ht="60" x14ac:dyDescent="0.25">
      <c r="A7562" s="8" t="s">
        <v>125</v>
      </c>
      <c r="B7562" s="8" t="s">
        <v>159</v>
      </c>
      <c r="C7562" s="8" t="str">
        <f>IFERROR(_xlfn.XLOOKUP(TRIM(B7562),Lookup!$B$2:$B$1000,Lookup!$C$2:$C$1000),"")</f>
        <v>Equity</v>
      </c>
      <c r="D7562" s="8" t="str">
        <f>IFERROR(INDEX('nav master'!$C:$C, MATCH(B7562, 'nav master'!$B:$B, 0)), "")</f>
        <v>ULIF08219/09/25TopMF500Fd101</v>
      </c>
      <c r="E7562" s="8" t="s">
        <v>309</v>
      </c>
      <c r="F7562" s="8" t="s">
        <v>3191</v>
      </c>
    </row>
    <row r="7563" spans="1:6" ht="60" x14ac:dyDescent="0.25">
      <c r="A7563" s="8" t="s">
        <v>125</v>
      </c>
      <c r="B7563" s="8" t="s">
        <v>159</v>
      </c>
      <c r="C7563" s="8" t="str">
        <f>IFERROR(_xlfn.XLOOKUP(TRIM(B7563),Lookup!$B$2:$B$1000,Lookup!$C$2:$C$1000),"")</f>
        <v>Equity</v>
      </c>
      <c r="D7563" s="8" t="str">
        <f>IFERROR(INDEX('nav master'!$C:$C, MATCH(B7563, 'nav master'!$B:$B, 0)), "")</f>
        <v>ULIF08219/09/25TopMF500Fd101</v>
      </c>
      <c r="E7563" s="8" t="s">
        <v>311</v>
      </c>
      <c r="F7563" s="8" t="s">
        <v>3192</v>
      </c>
    </row>
    <row r="7564" spans="1:6" ht="60" x14ac:dyDescent="0.25">
      <c r="A7564" s="8" t="s">
        <v>125</v>
      </c>
      <c r="B7564" s="8" t="s">
        <v>159</v>
      </c>
      <c r="C7564" s="8" t="str">
        <f>IFERROR(_xlfn.XLOOKUP(TRIM(B7564),Lookup!$B$2:$B$1000,Lookup!$C$2:$C$1000),"")</f>
        <v>Equity</v>
      </c>
      <c r="D7564" s="8" t="str">
        <f>IFERROR(INDEX('nav master'!$C:$C, MATCH(B7564, 'nav master'!$B:$B, 0)), "")</f>
        <v>ULIF08219/09/25TopMF500Fd101</v>
      </c>
      <c r="E7564" s="8" t="s">
        <v>313</v>
      </c>
      <c r="F7564" s="8" t="s">
        <v>3193</v>
      </c>
    </row>
    <row r="7565" spans="1:6" ht="60" x14ac:dyDescent="0.25">
      <c r="A7565" s="8" t="s">
        <v>125</v>
      </c>
      <c r="B7565" s="8" t="s">
        <v>159</v>
      </c>
      <c r="C7565" s="8" t="str">
        <f>IFERROR(_xlfn.XLOOKUP(TRIM(B7565),Lookup!$B$2:$B$1000,Lookup!$C$2:$C$1000),"")</f>
        <v>Equity</v>
      </c>
      <c r="D7565" s="8" t="str">
        <f>IFERROR(INDEX('nav master'!$C:$C, MATCH(B7565, 'nav master'!$B:$B, 0)), "")</f>
        <v>ULIF08219/09/25TopMF500Fd101</v>
      </c>
      <c r="E7565" s="8" t="s">
        <v>315</v>
      </c>
      <c r="F7565" s="8" t="s">
        <v>3194</v>
      </c>
    </row>
    <row r="7566" spans="1:6" ht="60" x14ac:dyDescent="0.25">
      <c r="A7566" s="8" t="s">
        <v>125</v>
      </c>
      <c r="B7566" s="8" t="s">
        <v>159</v>
      </c>
      <c r="C7566" s="8" t="str">
        <f>IFERROR(_xlfn.XLOOKUP(TRIM(B7566),Lookup!$B$2:$B$1000,Lookup!$C$2:$C$1000),"")</f>
        <v>Equity</v>
      </c>
      <c r="D7566" s="8" t="str">
        <f>IFERROR(INDEX('nav master'!$C:$C, MATCH(B7566, 'nav master'!$B:$B, 0)), "")</f>
        <v>ULIF08219/09/25TopMF500Fd101</v>
      </c>
      <c r="E7566" s="8" t="s">
        <v>317</v>
      </c>
      <c r="F7566" s="8" t="s">
        <v>3195</v>
      </c>
    </row>
    <row r="7567" spans="1:6" ht="60" x14ac:dyDescent="0.25">
      <c r="A7567" s="8" t="s">
        <v>125</v>
      </c>
      <c r="B7567" s="8" t="s">
        <v>159</v>
      </c>
      <c r="C7567" s="8" t="str">
        <f>IFERROR(_xlfn.XLOOKUP(TRIM(B7567),Lookup!$B$2:$B$1000,Lookup!$C$2:$C$1000),"")</f>
        <v>Equity</v>
      </c>
      <c r="D7567" s="8" t="str">
        <f>IFERROR(INDEX('nav master'!$C:$C, MATCH(B7567, 'nav master'!$B:$B, 0)), "")</f>
        <v>ULIF08219/09/25TopMF500Fd101</v>
      </c>
      <c r="E7567" s="8" t="s">
        <v>319</v>
      </c>
      <c r="F7567" s="8" t="s">
        <v>2851</v>
      </c>
    </row>
    <row r="7568" spans="1:6" ht="60" x14ac:dyDescent="0.25">
      <c r="A7568" s="8" t="s">
        <v>125</v>
      </c>
      <c r="B7568" s="8" t="s">
        <v>159</v>
      </c>
      <c r="C7568" s="8" t="str">
        <f>IFERROR(_xlfn.XLOOKUP(TRIM(B7568),Lookup!$B$2:$B$1000,Lookup!$C$2:$C$1000),"")</f>
        <v>Equity</v>
      </c>
      <c r="D7568" s="8" t="str">
        <f>IFERROR(INDEX('nav master'!$C:$C, MATCH(B7568, 'nav master'!$B:$B, 0)), "")</f>
        <v>ULIF08219/09/25TopMF500Fd101</v>
      </c>
      <c r="E7568" s="8" t="s">
        <v>321</v>
      </c>
      <c r="F7568" s="8" t="s">
        <v>3196</v>
      </c>
    </row>
    <row r="7569" spans="1:6" ht="60" x14ac:dyDescent="0.25">
      <c r="A7569" s="8" t="s">
        <v>125</v>
      </c>
      <c r="B7569" s="8" t="s">
        <v>159</v>
      </c>
      <c r="C7569" s="8" t="str">
        <f>IFERROR(_xlfn.XLOOKUP(TRIM(B7569),Lookup!$B$2:$B$1000,Lookup!$C$2:$C$1000),"")</f>
        <v>Equity</v>
      </c>
      <c r="D7569" s="8" t="str">
        <f>IFERROR(INDEX('nav master'!$C:$C, MATCH(B7569, 'nav master'!$B:$B, 0)), "")</f>
        <v>ULIF08219/09/25TopMF500Fd101</v>
      </c>
      <c r="E7569" s="8" t="s">
        <v>323</v>
      </c>
      <c r="F7569" s="8" t="s">
        <v>3197</v>
      </c>
    </row>
    <row r="7570" spans="1:6" ht="60" x14ac:dyDescent="0.25">
      <c r="A7570" s="8" t="s">
        <v>125</v>
      </c>
      <c r="B7570" s="8" t="s">
        <v>159</v>
      </c>
      <c r="C7570" s="8" t="str">
        <f>IFERROR(_xlfn.XLOOKUP(TRIM(B7570),Lookup!$B$2:$B$1000,Lookup!$C$2:$C$1000),"")</f>
        <v>Equity</v>
      </c>
      <c r="D7570" s="8" t="str">
        <f>IFERROR(INDEX('nav master'!$C:$C, MATCH(B7570, 'nav master'!$B:$B, 0)), "")</f>
        <v>ULIF08219/09/25TopMF500Fd101</v>
      </c>
      <c r="E7570" s="8" t="s">
        <v>325</v>
      </c>
      <c r="F7570" s="8" t="s">
        <v>3198</v>
      </c>
    </row>
    <row r="7571" spans="1:6" ht="60" x14ac:dyDescent="0.25">
      <c r="A7571" s="8" t="s">
        <v>125</v>
      </c>
      <c r="B7571" s="8" t="s">
        <v>159</v>
      </c>
      <c r="C7571" s="8" t="str">
        <f>IFERROR(_xlfn.XLOOKUP(TRIM(B7571),Lookup!$B$2:$B$1000,Lookup!$C$2:$C$1000),"")</f>
        <v>Equity</v>
      </c>
      <c r="D7571" s="8" t="str">
        <f>IFERROR(INDEX('nav master'!$C:$C, MATCH(B7571, 'nav master'!$B:$B, 0)), "")</f>
        <v>ULIF08219/09/25TopMF500Fd101</v>
      </c>
      <c r="E7571" s="8" t="s">
        <v>327</v>
      </c>
      <c r="F7571" s="8" t="s">
        <v>3199</v>
      </c>
    </row>
    <row r="7572" spans="1:6" ht="60" x14ac:dyDescent="0.25">
      <c r="A7572" s="8" t="s">
        <v>125</v>
      </c>
      <c r="B7572" s="8" t="s">
        <v>159</v>
      </c>
      <c r="C7572" s="8" t="str">
        <f>IFERROR(_xlfn.XLOOKUP(TRIM(B7572),Lookup!$B$2:$B$1000,Lookup!$C$2:$C$1000),"")</f>
        <v>Equity</v>
      </c>
      <c r="D7572" s="8" t="str">
        <f>IFERROR(INDEX('nav master'!$C:$C, MATCH(B7572, 'nav master'!$B:$B, 0)), "")</f>
        <v>ULIF08219/09/25TopMF500Fd101</v>
      </c>
      <c r="E7572" s="8" t="s">
        <v>329</v>
      </c>
      <c r="F7572" s="8" t="s">
        <v>3200</v>
      </c>
    </row>
    <row r="7573" spans="1:6" ht="60" x14ac:dyDescent="0.25">
      <c r="A7573" s="8" t="s">
        <v>125</v>
      </c>
      <c r="B7573" s="8" t="s">
        <v>159</v>
      </c>
      <c r="C7573" s="8" t="str">
        <f>IFERROR(_xlfn.XLOOKUP(TRIM(B7573),Lookup!$B$2:$B$1000,Lookup!$C$2:$C$1000),"")</f>
        <v>Equity</v>
      </c>
      <c r="D7573" s="8" t="str">
        <f>IFERROR(INDEX('nav master'!$C:$C, MATCH(B7573, 'nav master'!$B:$B, 0)), "")</f>
        <v>ULIF08219/09/25TopMF500Fd101</v>
      </c>
      <c r="E7573" s="8" t="s">
        <v>331</v>
      </c>
      <c r="F7573" s="8" t="s">
        <v>3201</v>
      </c>
    </row>
    <row r="7574" spans="1:6" ht="60" x14ac:dyDescent="0.25">
      <c r="A7574" s="8" t="s">
        <v>125</v>
      </c>
      <c r="B7574" s="8" t="s">
        <v>159</v>
      </c>
      <c r="C7574" s="8" t="str">
        <f>IFERROR(_xlfn.XLOOKUP(TRIM(B7574),Lookup!$B$2:$B$1000,Lookup!$C$2:$C$1000),"")</f>
        <v>Equity</v>
      </c>
      <c r="D7574" s="8" t="str">
        <f>IFERROR(INDEX('nav master'!$C:$C, MATCH(B7574, 'nav master'!$B:$B, 0)), "")</f>
        <v>ULIF08219/09/25TopMF500Fd101</v>
      </c>
      <c r="E7574" s="8" t="s">
        <v>333</v>
      </c>
      <c r="F7574" s="8" t="s">
        <v>3202</v>
      </c>
    </row>
    <row r="7575" spans="1:6" ht="60" x14ac:dyDescent="0.25">
      <c r="A7575" s="8" t="s">
        <v>125</v>
      </c>
      <c r="B7575" s="8" t="s">
        <v>159</v>
      </c>
      <c r="C7575" s="8" t="str">
        <f>IFERROR(_xlfn.XLOOKUP(TRIM(B7575),Lookup!$B$2:$B$1000,Lookup!$C$2:$C$1000),"")</f>
        <v>Equity</v>
      </c>
      <c r="D7575" s="8" t="str">
        <f>IFERROR(INDEX('nav master'!$C:$C, MATCH(B7575, 'nav master'!$B:$B, 0)), "")</f>
        <v>ULIF08219/09/25TopMF500Fd101</v>
      </c>
      <c r="E7575" s="8" t="s">
        <v>335</v>
      </c>
      <c r="F7575" s="8" t="s">
        <v>3203</v>
      </c>
    </row>
    <row r="7576" spans="1:6" ht="60" x14ac:dyDescent="0.25">
      <c r="A7576" s="8" t="s">
        <v>125</v>
      </c>
      <c r="B7576" s="8" t="s">
        <v>159</v>
      </c>
      <c r="C7576" s="8" t="str">
        <f>IFERROR(_xlfn.XLOOKUP(TRIM(B7576),Lookup!$B$2:$B$1000,Lookup!$C$2:$C$1000),"")</f>
        <v>Equity</v>
      </c>
      <c r="D7576" s="8" t="str">
        <f>IFERROR(INDEX('nav master'!$C:$C, MATCH(B7576, 'nav master'!$B:$B, 0)), "")</f>
        <v>ULIF08219/09/25TopMF500Fd101</v>
      </c>
      <c r="E7576" s="8" t="s">
        <v>337</v>
      </c>
      <c r="F7576" s="8" t="s">
        <v>3204</v>
      </c>
    </row>
    <row r="7577" spans="1:6" ht="60" x14ac:dyDescent="0.25">
      <c r="A7577" s="8" t="s">
        <v>125</v>
      </c>
      <c r="B7577" s="8" t="s">
        <v>159</v>
      </c>
      <c r="C7577" s="8" t="str">
        <f>IFERROR(_xlfn.XLOOKUP(TRIM(B7577),Lookup!$B$2:$B$1000,Lookup!$C$2:$C$1000),"")</f>
        <v>Equity</v>
      </c>
      <c r="D7577" s="8" t="str">
        <f>IFERROR(INDEX('nav master'!$C:$C, MATCH(B7577, 'nav master'!$B:$B, 0)), "")</f>
        <v>ULIF08219/09/25TopMF500Fd101</v>
      </c>
      <c r="E7577" s="8" t="s">
        <v>339</v>
      </c>
      <c r="F7577" s="8" t="s">
        <v>3205</v>
      </c>
    </row>
    <row r="7578" spans="1:6" ht="60" x14ac:dyDescent="0.25">
      <c r="A7578" s="8" t="s">
        <v>125</v>
      </c>
      <c r="B7578" s="8" t="s">
        <v>159</v>
      </c>
      <c r="C7578" s="8" t="str">
        <f>IFERROR(_xlfn.XLOOKUP(TRIM(B7578),Lookup!$B$2:$B$1000,Lookup!$C$2:$C$1000),"")</f>
        <v>Equity</v>
      </c>
      <c r="D7578" s="8" t="str">
        <f>IFERROR(INDEX('nav master'!$C:$C, MATCH(B7578, 'nav master'!$B:$B, 0)), "")</f>
        <v>ULIF08219/09/25TopMF500Fd101</v>
      </c>
      <c r="E7578" s="8" t="s">
        <v>341</v>
      </c>
      <c r="F7578" s="8" t="s">
        <v>3206</v>
      </c>
    </row>
    <row r="7579" spans="1:6" ht="60" x14ac:dyDescent="0.25">
      <c r="A7579" s="8" t="s">
        <v>125</v>
      </c>
      <c r="B7579" s="8" t="s">
        <v>159</v>
      </c>
      <c r="C7579" s="8" t="str">
        <f>IFERROR(_xlfn.XLOOKUP(TRIM(B7579),Lookup!$B$2:$B$1000,Lookup!$C$2:$C$1000),"")</f>
        <v>Equity</v>
      </c>
      <c r="D7579" s="8" t="str">
        <f>IFERROR(INDEX('nav master'!$C:$C, MATCH(B7579, 'nav master'!$B:$B, 0)), "")</f>
        <v>ULIF08219/09/25TopMF500Fd101</v>
      </c>
      <c r="E7579" s="8" t="s">
        <v>343</v>
      </c>
      <c r="F7579" s="8" t="s">
        <v>3207</v>
      </c>
    </row>
    <row r="7580" spans="1:6" ht="60" x14ac:dyDescent="0.25">
      <c r="A7580" s="8" t="s">
        <v>125</v>
      </c>
      <c r="B7580" s="8" t="s">
        <v>159</v>
      </c>
      <c r="C7580" s="8" t="str">
        <f>IFERROR(_xlfn.XLOOKUP(TRIM(B7580),Lookup!$B$2:$B$1000,Lookup!$C$2:$C$1000),"")</f>
        <v>Equity</v>
      </c>
      <c r="D7580" s="8" t="str">
        <f>IFERROR(INDEX('nav master'!$C:$C, MATCH(B7580, 'nav master'!$B:$B, 0)), "")</f>
        <v>ULIF08219/09/25TopMF500Fd101</v>
      </c>
      <c r="E7580" s="8" t="s">
        <v>345</v>
      </c>
      <c r="F7580" s="8" t="s">
        <v>3208</v>
      </c>
    </row>
    <row r="7581" spans="1:6" ht="60" x14ac:dyDescent="0.25">
      <c r="A7581" s="8" t="s">
        <v>125</v>
      </c>
      <c r="B7581" s="8" t="s">
        <v>159</v>
      </c>
      <c r="C7581" s="8" t="str">
        <f>IFERROR(_xlfn.XLOOKUP(TRIM(B7581),Lookup!$B$2:$B$1000,Lookup!$C$2:$C$1000),"")</f>
        <v>Equity</v>
      </c>
      <c r="D7581" s="8" t="str">
        <f>IFERROR(INDEX('nav master'!$C:$C, MATCH(B7581, 'nav master'!$B:$B, 0)), "")</f>
        <v>ULIF08219/09/25TopMF500Fd101</v>
      </c>
      <c r="E7581" s="8" t="s">
        <v>347</v>
      </c>
      <c r="F7581" s="8" t="s">
        <v>3209</v>
      </c>
    </row>
    <row r="7582" spans="1:6" ht="60" x14ac:dyDescent="0.25">
      <c r="A7582" s="8" t="s">
        <v>125</v>
      </c>
      <c r="B7582" s="8" t="s">
        <v>159</v>
      </c>
      <c r="C7582" s="8" t="str">
        <f>IFERROR(_xlfn.XLOOKUP(TRIM(B7582),Lookup!$B$2:$B$1000,Lookup!$C$2:$C$1000),"")</f>
        <v>Equity</v>
      </c>
      <c r="D7582" s="8" t="str">
        <f>IFERROR(INDEX('nav master'!$C:$C, MATCH(B7582, 'nav master'!$B:$B, 0)), "")</f>
        <v>ULIF08219/09/25TopMF500Fd101</v>
      </c>
      <c r="E7582" s="8" t="s">
        <v>349</v>
      </c>
      <c r="F7582" s="8" t="s">
        <v>3210</v>
      </c>
    </row>
    <row r="7583" spans="1:6" ht="60" x14ac:dyDescent="0.25">
      <c r="A7583" s="8" t="s">
        <v>125</v>
      </c>
      <c r="B7583" s="8" t="s">
        <v>159</v>
      </c>
      <c r="C7583" s="8" t="str">
        <f>IFERROR(_xlfn.XLOOKUP(TRIM(B7583),Lookup!$B$2:$B$1000,Lookup!$C$2:$C$1000),"")</f>
        <v>Equity</v>
      </c>
      <c r="D7583" s="8" t="str">
        <f>IFERROR(INDEX('nav master'!$C:$C, MATCH(B7583, 'nav master'!$B:$B, 0)), "")</f>
        <v>ULIF08219/09/25TopMF500Fd101</v>
      </c>
      <c r="E7583" s="8" t="s">
        <v>351</v>
      </c>
      <c r="F7583" s="8" t="s">
        <v>3211</v>
      </c>
    </row>
    <row r="7584" spans="1:6" ht="60" x14ac:dyDescent="0.25">
      <c r="A7584" s="8" t="s">
        <v>125</v>
      </c>
      <c r="B7584" s="8" t="s">
        <v>159</v>
      </c>
      <c r="C7584" s="8" t="str">
        <f>IFERROR(_xlfn.XLOOKUP(TRIM(B7584),Lookup!$B$2:$B$1000,Lookup!$C$2:$C$1000),"")</f>
        <v>Equity</v>
      </c>
      <c r="D7584" s="8" t="str">
        <f>IFERROR(INDEX('nav master'!$C:$C, MATCH(B7584, 'nav master'!$B:$B, 0)), "")</f>
        <v>ULIF08219/09/25TopMF500Fd101</v>
      </c>
      <c r="E7584" s="8" t="s">
        <v>353</v>
      </c>
      <c r="F7584" s="8" t="s">
        <v>3212</v>
      </c>
    </row>
    <row r="7585" spans="1:6" ht="60" x14ac:dyDescent="0.25">
      <c r="A7585" s="8" t="s">
        <v>125</v>
      </c>
      <c r="B7585" s="8" t="s">
        <v>159</v>
      </c>
      <c r="C7585" s="8" t="str">
        <f>IFERROR(_xlfn.XLOOKUP(TRIM(B7585),Lookup!$B$2:$B$1000,Lookup!$C$2:$C$1000),"")</f>
        <v>Equity</v>
      </c>
      <c r="D7585" s="8" t="str">
        <f>IFERROR(INDEX('nav master'!$C:$C, MATCH(B7585, 'nav master'!$B:$B, 0)), "")</f>
        <v>ULIF08219/09/25TopMF500Fd101</v>
      </c>
      <c r="E7585" s="8" t="s">
        <v>355</v>
      </c>
      <c r="F7585" s="8" t="s">
        <v>3213</v>
      </c>
    </row>
    <row r="7586" spans="1:6" ht="60" x14ac:dyDescent="0.25">
      <c r="A7586" s="8" t="s">
        <v>125</v>
      </c>
      <c r="B7586" s="8" t="s">
        <v>159</v>
      </c>
      <c r="C7586" s="8" t="str">
        <f>IFERROR(_xlfn.XLOOKUP(TRIM(B7586),Lookup!$B$2:$B$1000,Lookup!$C$2:$C$1000),"")</f>
        <v>Equity</v>
      </c>
      <c r="D7586" s="8" t="str">
        <f>IFERROR(INDEX('nav master'!$C:$C, MATCH(B7586, 'nav master'!$B:$B, 0)), "")</f>
        <v>ULIF08219/09/25TopMF500Fd101</v>
      </c>
      <c r="E7586" s="8" t="s">
        <v>357</v>
      </c>
      <c r="F7586" s="8" t="s">
        <v>3214</v>
      </c>
    </row>
    <row r="7587" spans="1:6" ht="60" x14ac:dyDescent="0.25">
      <c r="A7587" s="8" t="s">
        <v>125</v>
      </c>
      <c r="B7587" s="8" t="s">
        <v>159</v>
      </c>
      <c r="C7587" s="8" t="str">
        <f>IFERROR(_xlfn.XLOOKUP(TRIM(B7587),Lookup!$B$2:$B$1000,Lookup!$C$2:$C$1000),"")</f>
        <v>Equity</v>
      </c>
      <c r="D7587" s="8" t="str">
        <f>IFERROR(INDEX('nav master'!$C:$C, MATCH(B7587, 'nav master'!$B:$B, 0)), "")</f>
        <v>ULIF08219/09/25TopMF500Fd101</v>
      </c>
      <c r="E7587" s="8" t="s">
        <v>359</v>
      </c>
      <c r="F7587" s="8" t="s">
        <v>3215</v>
      </c>
    </row>
    <row r="7588" spans="1:6" ht="60" x14ac:dyDescent="0.25">
      <c r="A7588" s="8" t="s">
        <v>125</v>
      </c>
      <c r="B7588" s="8" t="s">
        <v>159</v>
      </c>
      <c r="C7588" s="8" t="str">
        <f>IFERROR(_xlfn.XLOOKUP(TRIM(B7588),Lookup!$B$2:$B$1000,Lookup!$C$2:$C$1000),"")</f>
        <v>Equity</v>
      </c>
      <c r="D7588" s="8" t="str">
        <f>IFERROR(INDEX('nav master'!$C:$C, MATCH(B7588, 'nav master'!$B:$B, 0)), "")</f>
        <v>ULIF08219/09/25TopMF500Fd101</v>
      </c>
      <c r="E7588" s="8" t="s">
        <v>361</v>
      </c>
      <c r="F7588" s="8" t="s">
        <v>3216</v>
      </c>
    </row>
    <row r="7589" spans="1:6" ht="60" x14ac:dyDescent="0.25">
      <c r="A7589" s="8" t="s">
        <v>125</v>
      </c>
      <c r="B7589" s="8" t="s">
        <v>159</v>
      </c>
      <c r="C7589" s="8" t="str">
        <f>IFERROR(_xlfn.XLOOKUP(TRIM(B7589),Lookup!$B$2:$B$1000,Lookup!$C$2:$C$1000),"")</f>
        <v>Equity</v>
      </c>
      <c r="D7589" s="8" t="str">
        <f>IFERROR(INDEX('nav master'!$C:$C, MATCH(B7589, 'nav master'!$B:$B, 0)), "")</f>
        <v>ULIF08219/09/25TopMF500Fd101</v>
      </c>
      <c r="E7589" s="8" t="s">
        <v>363</v>
      </c>
      <c r="F7589" s="8" t="s">
        <v>3217</v>
      </c>
    </row>
    <row r="7590" spans="1:6" ht="60" x14ac:dyDescent="0.25">
      <c r="A7590" s="8" t="s">
        <v>125</v>
      </c>
      <c r="B7590" s="8" t="s">
        <v>159</v>
      </c>
      <c r="C7590" s="8" t="str">
        <f>IFERROR(_xlfn.XLOOKUP(TRIM(B7590),Lookup!$B$2:$B$1000,Lookup!$C$2:$C$1000),"")</f>
        <v>Equity</v>
      </c>
      <c r="D7590" s="8" t="str">
        <f>IFERROR(INDEX('nav master'!$C:$C, MATCH(B7590, 'nav master'!$B:$B, 0)), "")</f>
        <v>ULIF08219/09/25TopMF500Fd101</v>
      </c>
      <c r="E7590" s="8" t="s">
        <v>365</v>
      </c>
      <c r="F7590" s="8" t="s">
        <v>3218</v>
      </c>
    </row>
    <row r="7591" spans="1:6" ht="60" x14ac:dyDescent="0.25">
      <c r="A7591" s="8" t="s">
        <v>125</v>
      </c>
      <c r="B7591" s="8" t="s">
        <v>159</v>
      </c>
      <c r="C7591" s="8" t="str">
        <f>IFERROR(_xlfn.XLOOKUP(TRIM(B7591),Lookup!$B$2:$B$1000,Lookup!$C$2:$C$1000),"")</f>
        <v>Equity</v>
      </c>
      <c r="D7591" s="8" t="str">
        <f>IFERROR(INDEX('nav master'!$C:$C, MATCH(B7591, 'nav master'!$B:$B, 0)), "")</f>
        <v>ULIF08219/09/25TopMF500Fd101</v>
      </c>
      <c r="E7591" s="8" t="s">
        <v>367</v>
      </c>
      <c r="F7591" s="8" t="s">
        <v>3219</v>
      </c>
    </row>
    <row r="7592" spans="1:6" ht="60" x14ac:dyDescent="0.25">
      <c r="A7592" s="8" t="s">
        <v>125</v>
      </c>
      <c r="B7592" s="8" t="s">
        <v>159</v>
      </c>
      <c r="C7592" s="8" t="str">
        <f>IFERROR(_xlfn.XLOOKUP(TRIM(B7592),Lookup!$B$2:$B$1000,Lookup!$C$2:$C$1000),"")</f>
        <v>Equity</v>
      </c>
      <c r="D7592" s="8" t="str">
        <f>IFERROR(INDEX('nav master'!$C:$C, MATCH(B7592, 'nav master'!$B:$B, 0)), "")</f>
        <v>ULIF08219/09/25TopMF500Fd101</v>
      </c>
      <c r="E7592" s="8" t="s">
        <v>369</v>
      </c>
      <c r="F7592" s="8" t="s">
        <v>3220</v>
      </c>
    </row>
    <row r="7593" spans="1:6" ht="60" x14ac:dyDescent="0.25">
      <c r="A7593" s="8" t="s">
        <v>125</v>
      </c>
      <c r="B7593" s="8" t="s">
        <v>159</v>
      </c>
      <c r="C7593" s="8" t="str">
        <f>IFERROR(_xlfn.XLOOKUP(TRIM(B7593),Lookup!$B$2:$B$1000,Lookup!$C$2:$C$1000),"")</f>
        <v>Equity</v>
      </c>
      <c r="D7593" s="8" t="str">
        <f>IFERROR(INDEX('nav master'!$C:$C, MATCH(B7593, 'nav master'!$B:$B, 0)), "")</f>
        <v>ULIF08219/09/25TopMF500Fd101</v>
      </c>
      <c r="E7593" s="8" t="s">
        <v>371</v>
      </c>
      <c r="F7593" s="8" t="s">
        <v>3221</v>
      </c>
    </row>
    <row r="7594" spans="1:6" ht="60" x14ac:dyDescent="0.25">
      <c r="A7594" s="8" t="s">
        <v>125</v>
      </c>
      <c r="B7594" s="8" t="s">
        <v>159</v>
      </c>
      <c r="C7594" s="8" t="str">
        <f>IFERROR(_xlfn.XLOOKUP(TRIM(B7594),Lookup!$B$2:$B$1000,Lookup!$C$2:$C$1000),"")</f>
        <v>Equity</v>
      </c>
      <c r="D7594" s="8" t="str">
        <f>IFERROR(INDEX('nav master'!$C:$C, MATCH(B7594, 'nav master'!$B:$B, 0)), "")</f>
        <v>ULIF08219/09/25TopMF500Fd101</v>
      </c>
      <c r="E7594" s="8" t="s">
        <v>373</v>
      </c>
      <c r="F7594" s="8" t="s">
        <v>3222</v>
      </c>
    </row>
    <row r="7595" spans="1:6" ht="60" x14ac:dyDescent="0.25">
      <c r="A7595" s="8" t="s">
        <v>125</v>
      </c>
      <c r="B7595" s="8" t="s">
        <v>159</v>
      </c>
      <c r="C7595" s="8" t="str">
        <f>IFERROR(_xlfn.XLOOKUP(TRIM(B7595),Lookup!$B$2:$B$1000,Lookup!$C$2:$C$1000),"")</f>
        <v>Equity</v>
      </c>
      <c r="D7595" s="8" t="str">
        <f>IFERROR(INDEX('nav master'!$C:$C, MATCH(B7595, 'nav master'!$B:$B, 0)), "")</f>
        <v>ULIF08219/09/25TopMF500Fd101</v>
      </c>
      <c r="E7595" s="8" t="s">
        <v>375</v>
      </c>
      <c r="F7595" s="8" t="s">
        <v>3223</v>
      </c>
    </row>
    <row r="7596" spans="1:6" ht="60" x14ac:dyDescent="0.25">
      <c r="A7596" s="8" t="s">
        <v>125</v>
      </c>
      <c r="B7596" s="8" t="s">
        <v>159</v>
      </c>
      <c r="C7596" s="8" t="str">
        <f>IFERROR(_xlfn.XLOOKUP(TRIM(B7596),Lookup!$B$2:$B$1000,Lookup!$C$2:$C$1000),"")</f>
        <v>Equity</v>
      </c>
      <c r="D7596" s="8" t="str">
        <f>IFERROR(INDEX('nav master'!$C:$C, MATCH(B7596, 'nav master'!$B:$B, 0)), "")</f>
        <v>ULIF08219/09/25TopMF500Fd101</v>
      </c>
      <c r="E7596" s="8" t="s">
        <v>377</v>
      </c>
      <c r="F7596" s="8" t="s">
        <v>3224</v>
      </c>
    </row>
    <row r="7597" spans="1:6" ht="60" x14ac:dyDescent="0.25">
      <c r="A7597" s="8" t="s">
        <v>125</v>
      </c>
      <c r="B7597" s="8" t="s">
        <v>159</v>
      </c>
      <c r="C7597" s="8" t="str">
        <f>IFERROR(_xlfn.XLOOKUP(TRIM(B7597),Lookup!$B$2:$B$1000,Lookup!$C$2:$C$1000),"")</f>
        <v>Equity</v>
      </c>
      <c r="D7597" s="8" t="str">
        <f>IFERROR(INDEX('nav master'!$C:$C, MATCH(B7597, 'nav master'!$B:$B, 0)), "")</f>
        <v>ULIF08219/09/25TopMF500Fd101</v>
      </c>
      <c r="E7597" s="8" t="s">
        <v>379</v>
      </c>
      <c r="F7597" s="8" t="s">
        <v>3225</v>
      </c>
    </row>
    <row r="7598" spans="1:6" ht="60" x14ac:dyDescent="0.25">
      <c r="A7598" s="8" t="s">
        <v>125</v>
      </c>
      <c r="B7598" s="8" t="s">
        <v>159</v>
      </c>
      <c r="C7598" s="8" t="str">
        <f>IFERROR(_xlfn.XLOOKUP(TRIM(B7598),Lookup!$B$2:$B$1000,Lookup!$C$2:$C$1000),"")</f>
        <v>Equity</v>
      </c>
      <c r="D7598" s="8" t="str">
        <f>IFERROR(INDEX('nav master'!$C:$C, MATCH(B7598, 'nav master'!$B:$B, 0)), "")</f>
        <v>ULIF08219/09/25TopMF500Fd101</v>
      </c>
      <c r="E7598" s="8" t="s">
        <v>381</v>
      </c>
      <c r="F7598" s="8" t="s">
        <v>3226</v>
      </c>
    </row>
    <row r="7599" spans="1:6" ht="60" x14ac:dyDescent="0.25">
      <c r="A7599" s="8" t="s">
        <v>125</v>
      </c>
      <c r="B7599" s="8" t="s">
        <v>159</v>
      </c>
      <c r="C7599" s="8" t="str">
        <f>IFERROR(_xlfn.XLOOKUP(TRIM(B7599),Lookup!$B$2:$B$1000,Lookup!$C$2:$C$1000),"")</f>
        <v>Equity</v>
      </c>
      <c r="D7599" s="8" t="str">
        <f>IFERROR(INDEX('nav master'!$C:$C, MATCH(B7599, 'nav master'!$B:$B, 0)), "")</f>
        <v>ULIF08219/09/25TopMF500Fd101</v>
      </c>
      <c r="E7599" s="8" t="s">
        <v>383</v>
      </c>
      <c r="F7599" s="8" t="s">
        <v>3227</v>
      </c>
    </row>
    <row r="7600" spans="1:6" ht="60" x14ac:dyDescent="0.25">
      <c r="A7600" s="8" t="s">
        <v>125</v>
      </c>
      <c r="B7600" s="8" t="s">
        <v>159</v>
      </c>
      <c r="C7600" s="8" t="str">
        <f>IFERROR(_xlfn.XLOOKUP(TRIM(B7600),Lookup!$B$2:$B$1000,Lookup!$C$2:$C$1000),"")</f>
        <v>Equity</v>
      </c>
      <c r="D7600" s="8" t="str">
        <f>IFERROR(INDEX('nav master'!$C:$C, MATCH(B7600, 'nav master'!$B:$B, 0)), "")</f>
        <v>ULIF08219/09/25TopMF500Fd101</v>
      </c>
      <c r="E7600" s="8" t="s">
        <v>385</v>
      </c>
      <c r="F7600" s="8" t="s">
        <v>3228</v>
      </c>
    </row>
    <row r="7601" spans="1:6" ht="60" x14ac:dyDescent="0.25">
      <c r="A7601" s="8" t="s">
        <v>125</v>
      </c>
      <c r="B7601" s="8" t="s">
        <v>159</v>
      </c>
      <c r="C7601" s="8" t="str">
        <f>IFERROR(_xlfn.XLOOKUP(TRIM(B7601),Lookup!$B$2:$B$1000,Lookup!$C$2:$C$1000),"")</f>
        <v>Equity</v>
      </c>
      <c r="D7601" s="8" t="str">
        <f>IFERROR(INDEX('nav master'!$C:$C, MATCH(B7601, 'nav master'!$B:$B, 0)), "")</f>
        <v>ULIF08219/09/25TopMF500Fd101</v>
      </c>
      <c r="E7601" s="8" t="s">
        <v>387</v>
      </c>
      <c r="F7601" s="8" t="s">
        <v>3229</v>
      </c>
    </row>
    <row r="7602" spans="1:6" ht="60" x14ac:dyDescent="0.25">
      <c r="A7602" s="8" t="s">
        <v>125</v>
      </c>
      <c r="B7602" s="8" t="s">
        <v>159</v>
      </c>
      <c r="C7602" s="8" t="str">
        <f>IFERROR(_xlfn.XLOOKUP(TRIM(B7602),Lookup!$B$2:$B$1000,Lookup!$C$2:$C$1000),"")</f>
        <v>Equity</v>
      </c>
      <c r="D7602" s="8" t="str">
        <f>IFERROR(INDEX('nav master'!$C:$C, MATCH(B7602, 'nav master'!$B:$B, 0)), "")</f>
        <v>ULIF08219/09/25TopMF500Fd101</v>
      </c>
      <c r="E7602" s="8" t="s">
        <v>389</v>
      </c>
      <c r="F7602" s="8" t="s">
        <v>3230</v>
      </c>
    </row>
    <row r="7603" spans="1:6" ht="60" x14ac:dyDescent="0.25">
      <c r="A7603" s="8" t="s">
        <v>125</v>
      </c>
      <c r="B7603" s="8" t="s">
        <v>159</v>
      </c>
      <c r="C7603" s="8" t="str">
        <f>IFERROR(_xlfn.XLOOKUP(TRIM(B7603),Lookup!$B$2:$B$1000,Lookup!$C$2:$C$1000),"")</f>
        <v>Equity</v>
      </c>
      <c r="D7603" s="8" t="str">
        <f>IFERROR(INDEX('nav master'!$C:$C, MATCH(B7603, 'nav master'!$B:$B, 0)), "")</f>
        <v>ULIF08219/09/25TopMF500Fd101</v>
      </c>
      <c r="E7603" s="8" t="s">
        <v>391</v>
      </c>
      <c r="F7603" s="8" t="s">
        <v>3231</v>
      </c>
    </row>
    <row r="7604" spans="1:6" ht="60" x14ac:dyDescent="0.25">
      <c r="A7604" s="8" t="s">
        <v>125</v>
      </c>
      <c r="B7604" s="8" t="s">
        <v>159</v>
      </c>
      <c r="C7604" s="8" t="str">
        <f>IFERROR(_xlfn.XLOOKUP(TRIM(B7604),Lookup!$B$2:$B$1000,Lookup!$C$2:$C$1000),"")</f>
        <v>Equity</v>
      </c>
      <c r="D7604" s="8" t="str">
        <f>IFERROR(INDEX('nav master'!$C:$C, MATCH(B7604, 'nav master'!$B:$B, 0)), "")</f>
        <v>ULIF08219/09/25TopMF500Fd101</v>
      </c>
      <c r="E7604" s="8" t="s">
        <v>393</v>
      </c>
      <c r="F7604" s="8" t="s">
        <v>3232</v>
      </c>
    </row>
    <row r="7605" spans="1:6" ht="60" x14ac:dyDescent="0.25">
      <c r="A7605" s="8" t="s">
        <v>125</v>
      </c>
      <c r="B7605" s="8" t="s">
        <v>159</v>
      </c>
      <c r="C7605" s="8" t="str">
        <f>IFERROR(_xlfn.XLOOKUP(TRIM(B7605),Lookup!$B$2:$B$1000,Lookup!$C$2:$C$1000),"")</f>
        <v>Equity</v>
      </c>
      <c r="D7605" s="8" t="str">
        <f>IFERROR(INDEX('nav master'!$C:$C, MATCH(B7605, 'nav master'!$B:$B, 0)), "")</f>
        <v>ULIF08219/09/25TopMF500Fd101</v>
      </c>
      <c r="E7605" s="8" t="s">
        <v>395</v>
      </c>
      <c r="F7605" s="8" t="s">
        <v>3233</v>
      </c>
    </row>
    <row r="7606" spans="1:6" ht="60" x14ac:dyDescent="0.25">
      <c r="A7606" s="8" t="s">
        <v>125</v>
      </c>
      <c r="B7606" s="8" t="s">
        <v>159</v>
      </c>
      <c r="C7606" s="8" t="str">
        <f>IFERROR(_xlfn.XLOOKUP(TRIM(B7606),Lookup!$B$2:$B$1000,Lookup!$C$2:$C$1000),"")</f>
        <v>Equity</v>
      </c>
      <c r="D7606" s="8" t="str">
        <f>IFERROR(INDEX('nav master'!$C:$C, MATCH(B7606, 'nav master'!$B:$B, 0)), "")</f>
        <v>ULIF08219/09/25TopMF500Fd101</v>
      </c>
      <c r="E7606" s="8" t="s">
        <v>397</v>
      </c>
      <c r="F7606" s="8" t="s">
        <v>3234</v>
      </c>
    </row>
    <row r="7607" spans="1:6" ht="60" x14ac:dyDescent="0.25">
      <c r="A7607" s="8" t="s">
        <v>125</v>
      </c>
      <c r="B7607" s="8" t="s">
        <v>159</v>
      </c>
      <c r="C7607" s="8" t="str">
        <f>IFERROR(_xlfn.XLOOKUP(TRIM(B7607),Lookup!$B$2:$B$1000,Lookup!$C$2:$C$1000),"")</f>
        <v>Equity</v>
      </c>
      <c r="D7607" s="8" t="str">
        <f>IFERROR(INDEX('nav master'!$C:$C, MATCH(B7607, 'nav master'!$B:$B, 0)), "")</f>
        <v>ULIF08219/09/25TopMF500Fd101</v>
      </c>
      <c r="E7607" s="8" t="s">
        <v>399</v>
      </c>
      <c r="F7607" s="8" t="s">
        <v>3235</v>
      </c>
    </row>
    <row r="7608" spans="1:6" ht="60" x14ac:dyDescent="0.25">
      <c r="A7608" s="8" t="s">
        <v>125</v>
      </c>
      <c r="B7608" s="8" t="s">
        <v>159</v>
      </c>
      <c r="C7608" s="8" t="str">
        <f>IFERROR(_xlfn.XLOOKUP(TRIM(B7608),Lookup!$B$2:$B$1000,Lookup!$C$2:$C$1000),"")</f>
        <v>Equity</v>
      </c>
      <c r="D7608" s="8" t="str">
        <f>IFERROR(INDEX('nav master'!$C:$C, MATCH(B7608, 'nav master'!$B:$B, 0)), "")</f>
        <v>ULIF08219/09/25TopMF500Fd101</v>
      </c>
      <c r="E7608" s="8" t="s">
        <v>401</v>
      </c>
      <c r="F7608" s="8" t="s">
        <v>3236</v>
      </c>
    </row>
    <row r="7609" spans="1:6" ht="60" x14ac:dyDescent="0.25">
      <c r="A7609" s="8" t="s">
        <v>125</v>
      </c>
      <c r="B7609" s="8" t="s">
        <v>159</v>
      </c>
      <c r="C7609" s="8" t="str">
        <f>IFERROR(_xlfn.XLOOKUP(TRIM(B7609),Lookup!$B$2:$B$1000,Lookup!$C$2:$C$1000),"")</f>
        <v>Equity</v>
      </c>
      <c r="D7609" s="8" t="str">
        <f>IFERROR(INDEX('nav master'!$C:$C, MATCH(B7609, 'nav master'!$B:$B, 0)), "")</f>
        <v>ULIF08219/09/25TopMF500Fd101</v>
      </c>
      <c r="E7609" s="8" t="s">
        <v>403</v>
      </c>
      <c r="F7609" s="8" t="s">
        <v>3237</v>
      </c>
    </row>
    <row r="7610" spans="1:6" ht="60" x14ac:dyDescent="0.25">
      <c r="A7610" s="8" t="s">
        <v>125</v>
      </c>
      <c r="B7610" s="8" t="s">
        <v>159</v>
      </c>
      <c r="C7610" s="8" t="str">
        <f>IFERROR(_xlfn.XLOOKUP(TRIM(B7610),Lookup!$B$2:$B$1000,Lookup!$C$2:$C$1000),"")</f>
        <v>Equity</v>
      </c>
      <c r="D7610" s="8" t="str">
        <f>IFERROR(INDEX('nav master'!$C:$C, MATCH(B7610, 'nav master'!$B:$B, 0)), "")</f>
        <v>ULIF08219/09/25TopMF500Fd101</v>
      </c>
      <c r="E7610" s="8" t="s">
        <v>405</v>
      </c>
      <c r="F7610" s="8" t="s">
        <v>3238</v>
      </c>
    </row>
    <row r="7611" spans="1:6" ht="60" x14ac:dyDescent="0.25">
      <c r="A7611" s="8" t="s">
        <v>125</v>
      </c>
      <c r="B7611" s="8" t="s">
        <v>159</v>
      </c>
      <c r="C7611" s="8" t="str">
        <f>IFERROR(_xlfn.XLOOKUP(TRIM(B7611),Lookup!$B$2:$B$1000,Lookup!$C$2:$C$1000),"")</f>
        <v>Equity</v>
      </c>
      <c r="D7611" s="8" t="str">
        <f>IFERROR(INDEX('nav master'!$C:$C, MATCH(B7611, 'nav master'!$B:$B, 0)), "")</f>
        <v>ULIF08219/09/25TopMF500Fd101</v>
      </c>
      <c r="E7611" s="8" t="s">
        <v>407</v>
      </c>
      <c r="F7611" s="8" t="s">
        <v>3239</v>
      </c>
    </row>
    <row r="7612" spans="1:6" ht="60" x14ac:dyDescent="0.25">
      <c r="A7612" s="8" t="s">
        <v>125</v>
      </c>
      <c r="B7612" s="8" t="s">
        <v>159</v>
      </c>
      <c r="C7612" s="8" t="str">
        <f>IFERROR(_xlfn.XLOOKUP(TRIM(B7612),Lookup!$B$2:$B$1000,Lookup!$C$2:$C$1000),"")</f>
        <v>Equity</v>
      </c>
      <c r="D7612" s="8" t="str">
        <f>IFERROR(INDEX('nav master'!$C:$C, MATCH(B7612, 'nav master'!$B:$B, 0)), "")</f>
        <v>ULIF08219/09/25TopMF500Fd101</v>
      </c>
      <c r="E7612" s="8" t="s">
        <v>409</v>
      </c>
      <c r="F7612" s="8" t="s">
        <v>3240</v>
      </c>
    </row>
    <row r="7613" spans="1:6" ht="60" x14ac:dyDescent="0.25">
      <c r="A7613" s="8" t="s">
        <v>125</v>
      </c>
      <c r="B7613" s="8" t="s">
        <v>159</v>
      </c>
      <c r="C7613" s="8" t="str">
        <f>IFERROR(_xlfn.XLOOKUP(TRIM(B7613),Lookup!$B$2:$B$1000,Lookup!$C$2:$C$1000),"")</f>
        <v>Equity</v>
      </c>
      <c r="D7613" s="8" t="str">
        <f>IFERROR(INDEX('nav master'!$C:$C, MATCH(B7613, 'nav master'!$B:$B, 0)), "")</f>
        <v>ULIF08219/09/25TopMF500Fd101</v>
      </c>
      <c r="E7613" s="8" t="s">
        <v>411</v>
      </c>
      <c r="F7613" s="8" t="s">
        <v>3241</v>
      </c>
    </row>
    <row r="7614" spans="1:6" ht="60" x14ac:dyDescent="0.25">
      <c r="A7614" s="8" t="s">
        <v>125</v>
      </c>
      <c r="B7614" s="8" t="s">
        <v>159</v>
      </c>
      <c r="C7614" s="8" t="str">
        <f>IFERROR(_xlfn.XLOOKUP(TRIM(B7614),Lookup!$B$2:$B$1000,Lookup!$C$2:$C$1000),"")</f>
        <v>Equity</v>
      </c>
      <c r="D7614" s="8" t="str">
        <f>IFERROR(INDEX('nav master'!$C:$C, MATCH(B7614, 'nav master'!$B:$B, 0)), "")</f>
        <v>ULIF08219/09/25TopMF500Fd101</v>
      </c>
      <c r="E7614" s="8" t="s">
        <v>413</v>
      </c>
      <c r="F7614" s="8" t="s">
        <v>3242</v>
      </c>
    </row>
    <row r="7615" spans="1:6" ht="60" x14ac:dyDescent="0.25">
      <c r="A7615" s="8" t="s">
        <v>125</v>
      </c>
      <c r="B7615" s="8" t="s">
        <v>159</v>
      </c>
      <c r="C7615" s="8" t="str">
        <f>IFERROR(_xlfn.XLOOKUP(TRIM(B7615),Lookup!$B$2:$B$1000,Lookup!$C$2:$C$1000),"")</f>
        <v>Equity</v>
      </c>
      <c r="D7615" s="8" t="str">
        <f>IFERROR(INDEX('nav master'!$C:$C, MATCH(B7615, 'nav master'!$B:$B, 0)), "")</f>
        <v>ULIF08219/09/25TopMF500Fd101</v>
      </c>
      <c r="E7615" s="8" t="s">
        <v>415</v>
      </c>
      <c r="F7615" s="8" t="s">
        <v>3243</v>
      </c>
    </row>
    <row r="7616" spans="1:6" ht="60" x14ac:dyDescent="0.25">
      <c r="A7616" s="8" t="s">
        <v>125</v>
      </c>
      <c r="B7616" s="8" t="s">
        <v>159</v>
      </c>
      <c r="C7616" s="8" t="str">
        <f>IFERROR(_xlfn.XLOOKUP(TRIM(B7616),Lookup!$B$2:$B$1000,Lookup!$C$2:$C$1000),"")</f>
        <v>Equity</v>
      </c>
      <c r="D7616" s="8" t="str">
        <f>IFERROR(INDEX('nav master'!$C:$C, MATCH(B7616, 'nav master'!$B:$B, 0)), "")</f>
        <v>ULIF08219/09/25TopMF500Fd101</v>
      </c>
      <c r="E7616" s="8" t="s">
        <v>417</v>
      </c>
      <c r="F7616" s="8" t="s">
        <v>3244</v>
      </c>
    </row>
    <row r="7617" spans="1:6" ht="60" x14ac:dyDescent="0.25">
      <c r="A7617" s="8" t="s">
        <v>125</v>
      </c>
      <c r="B7617" s="8" t="s">
        <v>159</v>
      </c>
      <c r="C7617" s="8" t="str">
        <f>IFERROR(_xlfn.XLOOKUP(TRIM(B7617),Lookup!$B$2:$B$1000,Lookup!$C$2:$C$1000),"")</f>
        <v>Equity</v>
      </c>
      <c r="D7617" s="8" t="str">
        <f>IFERROR(INDEX('nav master'!$C:$C, MATCH(B7617, 'nav master'!$B:$B, 0)), "")</f>
        <v>ULIF08219/09/25TopMF500Fd101</v>
      </c>
      <c r="E7617" s="8" t="s">
        <v>419</v>
      </c>
      <c r="F7617" s="8" t="s">
        <v>3245</v>
      </c>
    </row>
    <row r="7618" spans="1:6" ht="60" x14ac:dyDescent="0.25">
      <c r="A7618" s="8" t="s">
        <v>125</v>
      </c>
      <c r="B7618" s="8" t="s">
        <v>159</v>
      </c>
      <c r="C7618" s="8" t="str">
        <f>IFERROR(_xlfn.XLOOKUP(TRIM(B7618),Lookup!$B$2:$B$1000,Lookup!$C$2:$C$1000),"")</f>
        <v>Equity</v>
      </c>
      <c r="D7618" s="8" t="str">
        <f>IFERROR(INDEX('nav master'!$C:$C, MATCH(B7618, 'nav master'!$B:$B, 0)), "")</f>
        <v>ULIF08219/09/25TopMF500Fd101</v>
      </c>
      <c r="E7618" s="8" t="s">
        <v>421</v>
      </c>
      <c r="F7618" s="8" t="s">
        <v>3246</v>
      </c>
    </row>
    <row r="7619" spans="1:6" ht="60" x14ac:dyDescent="0.25">
      <c r="A7619" s="8" t="s">
        <v>125</v>
      </c>
      <c r="B7619" s="8" t="s">
        <v>159</v>
      </c>
      <c r="C7619" s="8" t="str">
        <f>IFERROR(_xlfn.XLOOKUP(TRIM(B7619),Lookup!$B$2:$B$1000,Lookup!$C$2:$C$1000),"")</f>
        <v>Equity</v>
      </c>
      <c r="D7619" s="8" t="str">
        <f>IFERROR(INDEX('nav master'!$C:$C, MATCH(B7619, 'nav master'!$B:$B, 0)), "")</f>
        <v>ULIF08219/09/25TopMF500Fd101</v>
      </c>
      <c r="E7619" s="8" t="s">
        <v>423</v>
      </c>
      <c r="F7619" s="8" t="s">
        <v>3247</v>
      </c>
    </row>
    <row r="7620" spans="1:6" ht="60" x14ac:dyDescent="0.25">
      <c r="A7620" s="8" t="s">
        <v>125</v>
      </c>
      <c r="B7620" s="8" t="s">
        <v>159</v>
      </c>
      <c r="C7620" s="8" t="str">
        <f>IFERROR(_xlfn.XLOOKUP(TRIM(B7620),Lookup!$B$2:$B$1000,Lookup!$C$2:$C$1000),"")</f>
        <v>Equity</v>
      </c>
      <c r="D7620" s="8" t="str">
        <f>IFERROR(INDEX('nav master'!$C:$C, MATCH(B7620, 'nav master'!$B:$B, 0)), "")</f>
        <v>ULIF08219/09/25TopMF500Fd101</v>
      </c>
      <c r="E7620" s="8" t="s">
        <v>425</v>
      </c>
      <c r="F7620" s="8" t="s">
        <v>3248</v>
      </c>
    </row>
    <row r="7621" spans="1:6" ht="60" x14ac:dyDescent="0.25">
      <c r="A7621" s="8" t="s">
        <v>125</v>
      </c>
      <c r="B7621" s="8" t="s">
        <v>159</v>
      </c>
      <c r="C7621" s="8" t="str">
        <f>IFERROR(_xlfn.XLOOKUP(TRIM(B7621),Lookup!$B$2:$B$1000,Lookup!$C$2:$C$1000),"")</f>
        <v>Equity</v>
      </c>
      <c r="D7621" s="8" t="str">
        <f>IFERROR(INDEX('nav master'!$C:$C, MATCH(B7621, 'nav master'!$B:$B, 0)), "")</f>
        <v>ULIF08219/09/25TopMF500Fd101</v>
      </c>
      <c r="E7621" s="8" t="s">
        <v>427</v>
      </c>
      <c r="F7621" s="8" t="s">
        <v>3249</v>
      </c>
    </row>
    <row r="7622" spans="1:6" ht="60" x14ac:dyDescent="0.25">
      <c r="A7622" s="8" t="s">
        <v>125</v>
      </c>
      <c r="B7622" s="8" t="s">
        <v>159</v>
      </c>
      <c r="C7622" s="8" t="str">
        <f>IFERROR(_xlfn.XLOOKUP(TRIM(B7622),Lookup!$B$2:$B$1000,Lookup!$C$2:$C$1000),"")</f>
        <v>Equity</v>
      </c>
      <c r="D7622" s="8" t="str">
        <f>IFERROR(INDEX('nav master'!$C:$C, MATCH(B7622, 'nav master'!$B:$B, 0)), "")</f>
        <v>ULIF08219/09/25TopMF500Fd101</v>
      </c>
      <c r="E7622" s="8" t="s">
        <v>429</v>
      </c>
      <c r="F7622" s="8" t="s">
        <v>3250</v>
      </c>
    </row>
    <row r="7623" spans="1:6" ht="60" x14ac:dyDescent="0.25">
      <c r="A7623" s="8" t="s">
        <v>125</v>
      </c>
      <c r="B7623" s="8" t="s">
        <v>159</v>
      </c>
      <c r="C7623" s="8" t="str">
        <f>IFERROR(_xlfn.XLOOKUP(TRIM(B7623),Lookup!$B$2:$B$1000,Lookup!$C$2:$C$1000),"")</f>
        <v>Equity</v>
      </c>
      <c r="D7623" s="8" t="str">
        <f>IFERROR(INDEX('nav master'!$C:$C, MATCH(B7623, 'nav master'!$B:$B, 0)), "")</f>
        <v>ULIF08219/09/25TopMF500Fd101</v>
      </c>
      <c r="E7623" s="8" t="s">
        <v>431</v>
      </c>
      <c r="F7623" s="8" t="s">
        <v>3251</v>
      </c>
    </row>
    <row r="7624" spans="1:6" ht="60" x14ac:dyDescent="0.25">
      <c r="A7624" s="8" t="s">
        <v>125</v>
      </c>
      <c r="B7624" s="8" t="s">
        <v>159</v>
      </c>
      <c r="C7624" s="8" t="str">
        <f>IFERROR(_xlfn.XLOOKUP(TRIM(B7624),Lookup!$B$2:$B$1000,Lookup!$C$2:$C$1000),"")</f>
        <v>Equity</v>
      </c>
      <c r="D7624" s="8" t="str">
        <f>IFERROR(INDEX('nav master'!$C:$C, MATCH(B7624, 'nav master'!$B:$B, 0)), "")</f>
        <v>ULIF08219/09/25TopMF500Fd101</v>
      </c>
      <c r="E7624" s="8" t="s">
        <v>433</v>
      </c>
      <c r="F7624" s="8" t="s">
        <v>3252</v>
      </c>
    </row>
    <row r="7625" spans="1:6" ht="60" x14ac:dyDescent="0.25">
      <c r="A7625" s="8" t="s">
        <v>125</v>
      </c>
      <c r="B7625" s="8" t="s">
        <v>159</v>
      </c>
      <c r="C7625" s="8" t="str">
        <f>IFERROR(_xlfn.XLOOKUP(TRIM(B7625),Lookup!$B$2:$B$1000,Lookup!$C$2:$C$1000),"")</f>
        <v>Equity</v>
      </c>
      <c r="D7625" s="8" t="str">
        <f>IFERROR(INDEX('nav master'!$C:$C, MATCH(B7625, 'nav master'!$B:$B, 0)), "")</f>
        <v>ULIF08219/09/25TopMF500Fd101</v>
      </c>
      <c r="E7625" s="8" t="s">
        <v>435</v>
      </c>
      <c r="F7625" s="8" t="s">
        <v>3253</v>
      </c>
    </row>
    <row r="7626" spans="1:6" ht="60" x14ac:dyDescent="0.25">
      <c r="A7626" s="8" t="s">
        <v>125</v>
      </c>
      <c r="B7626" s="8" t="s">
        <v>159</v>
      </c>
      <c r="C7626" s="8" t="str">
        <f>IFERROR(_xlfn.XLOOKUP(TRIM(B7626),Lookup!$B$2:$B$1000,Lookup!$C$2:$C$1000),"")</f>
        <v>Equity</v>
      </c>
      <c r="D7626" s="8" t="str">
        <f>IFERROR(INDEX('nav master'!$C:$C, MATCH(B7626, 'nav master'!$B:$B, 0)), "")</f>
        <v>ULIF08219/09/25TopMF500Fd101</v>
      </c>
      <c r="E7626" s="8" t="s">
        <v>437</v>
      </c>
      <c r="F7626" s="8" t="s">
        <v>3254</v>
      </c>
    </row>
    <row r="7627" spans="1:6" ht="60" x14ac:dyDescent="0.25">
      <c r="A7627" s="8" t="s">
        <v>125</v>
      </c>
      <c r="B7627" s="8" t="s">
        <v>159</v>
      </c>
      <c r="C7627" s="8" t="str">
        <f>IFERROR(_xlfn.XLOOKUP(TRIM(B7627),Lookup!$B$2:$B$1000,Lookup!$C$2:$C$1000),"")</f>
        <v>Equity</v>
      </c>
      <c r="D7627" s="8" t="str">
        <f>IFERROR(INDEX('nav master'!$C:$C, MATCH(B7627, 'nav master'!$B:$B, 0)), "")</f>
        <v>ULIF08219/09/25TopMF500Fd101</v>
      </c>
      <c r="E7627" s="8" t="s">
        <v>439</v>
      </c>
      <c r="F7627" s="8" t="s">
        <v>3255</v>
      </c>
    </row>
    <row r="7628" spans="1:6" ht="60" x14ac:dyDescent="0.25">
      <c r="A7628" s="8" t="s">
        <v>125</v>
      </c>
      <c r="B7628" s="8" t="s">
        <v>159</v>
      </c>
      <c r="C7628" s="8" t="str">
        <f>IFERROR(_xlfn.XLOOKUP(TRIM(B7628),Lookup!$B$2:$B$1000,Lookup!$C$2:$C$1000),"")</f>
        <v>Equity</v>
      </c>
      <c r="D7628" s="8" t="str">
        <f>IFERROR(INDEX('nav master'!$C:$C, MATCH(B7628, 'nav master'!$B:$B, 0)), "")</f>
        <v>ULIF08219/09/25TopMF500Fd101</v>
      </c>
      <c r="E7628" s="8" t="s">
        <v>441</v>
      </c>
      <c r="F7628" s="8" t="s">
        <v>3256</v>
      </c>
    </row>
    <row r="7629" spans="1:6" ht="60" x14ac:dyDescent="0.25">
      <c r="A7629" s="8" t="s">
        <v>125</v>
      </c>
      <c r="B7629" s="8" t="s">
        <v>159</v>
      </c>
      <c r="C7629" s="8" t="str">
        <f>IFERROR(_xlfn.XLOOKUP(TRIM(B7629),Lookup!$B$2:$B$1000,Lookup!$C$2:$C$1000),"")</f>
        <v>Equity</v>
      </c>
      <c r="D7629" s="8" t="str">
        <f>IFERROR(INDEX('nav master'!$C:$C, MATCH(B7629, 'nav master'!$B:$B, 0)), "")</f>
        <v>ULIF08219/09/25TopMF500Fd101</v>
      </c>
      <c r="E7629" s="8" t="s">
        <v>443</v>
      </c>
      <c r="F7629" s="8" t="s">
        <v>3257</v>
      </c>
    </row>
    <row r="7630" spans="1:6" ht="60" x14ac:dyDescent="0.25">
      <c r="A7630" s="8" t="s">
        <v>125</v>
      </c>
      <c r="B7630" s="8" t="s">
        <v>159</v>
      </c>
      <c r="C7630" s="8" t="str">
        <f>IFERROR(_xlfn.XLOOKUP(TRIM(B7630),Lookup!$B$2:$B$1000,Lookup!$C$2:$C$1000),"")</f>
        <v>Equity</v>
      </c>
      <c r="D7630" s="8" t="str">
        <f>IFERROR(INDEX('nav master'!$C:$C, MATCH(B7630, 'nav master'!$B:$B, 0)), "")</f>
        <v>ULIF08219/09/25TopMF500Fd101</v>
      </c>
      <c r="E7630" s="8" t="s">
        <v>445</v>
      </c>
      <c r="F7630" s="8" t="s">
        <v>3258</v>
      </c>
    </row>
    <row r="7631" spans="1:6" ht="60" x14ac:dyDescent="0.25">
      <c r="A7631" s="8" t="s">
        <v>125</v>
      </c>
      <c r="B7631" s="8" t="s">
        <v>159</v>
      </c>
      <c r="C7631" s="8" t="str">
        <f>IFERROR(_xlfn.XLOOKUP(TRIM(B7631),Lookup!$B$2:$B$1000,Lookup!$C$2:$C$1000),"")</f>
        <v>Equity</v>
      </c>
      <c r="D7631" s="8" t="str">
        <f>IFERROR(INDEX('nav master'!$C:$C, MATCH(B7631, 'nav master'!$B:$B, 0)), "")</f>
        <v>ULIF08219/09/25TopMF500Fd101</v>
      </c>
      <c r="E7631" s="8" t="s">
        <v>446</v>
      </c>
      <c r="F7631" s="8" t="s">
        <v>3259</v>
      </c>
    </row>
    <row r="7632" spans="1:6" ht="60" x14ac:dyDescent="0.25">
      <c r="A7632" s="8" t="s">
        <v>125</v>
      </c>
      <c r="B7632" s="8" t="s">
        <v>159</v>
      </c>
      <c r="C7632" s="8" t="str">
        <f>IFERROR(_xlfn.XLOOKUP(TRIM(B7632),Lookup!$B$2:$B$1000,Lookup!$C$2:$C$1000),"")</f>
        <v>Equity</v>
      </c>
      <c r="D7632" s="8" t="str">
        <f>IFERROR(INDEX('nav master'!$C:$C, MATCH(B7632, 'nav master'!$B:$B, 0)), "")</f>
        <v>ULIF08219/09/25TopMF500Fd101</v>
      </c>
      <c r="E7632" s="8" t="s">
        <v>448</v>
      </c>
      <c r="F7632" s="8" t="s">
        <v>3260</v>
      </c>
    </row>
    <row r="7633" spans="1:6" ht="60" x14ac:dyDescent="0.25">
      <c r="A7633" s="8" t="s">
        <v>125</v>
      </c>
      <c r="B7633" s="8" t="s">
        <v>159</v>
      </c>
      <c r="C7633" s="8" t="str">
        <f>IFERROR(_xlfn.XLOOKUP(TRIM(B7633),Lookup!$B$2:$B$1000,Lookup!$C$2:$C$1000),"")</f>
        <v>Equity</v>
      </c>
      <c r="D7633" s="8" t="str">
        <f>IFERROR(INDEX('nav master'!$C:$C, MATCH(B7633, 'nav master'!$B:$B, 0)), "")</f>
        <v>ULIF08219/09/25TopMF500Fd101</v>
      </c>
      <c r="E7633" s="8" t="s">
        <v>450</v>
      </c>
      <c r="F7633" s="8" t="s">
        <v>3261</v>
      </c>
    </row>
    <row r="7634" spans="1:6" ht="60" x14ac:dyDescent="0.25">
      <c r="A7634" s="8" t="s">
        <v>125</v>
      </c>
      <c r="B7634" s="8" t="s">
        <v>159</v>
      </c>
      <c r="C7634" s="8" t="str">
        <f>IFERROR(_xlfn.XLOOKUP(TRIM(B7634),Lookup!$B$2:$B$1000,Lookup!$C$2:$C$1000),"")</f>
        <v>Equity</v>
      </c>
      <c r="D7634" s="8" t="str">
        <f>IFERROR(INDEX('nav master'!$C:$C, MATCH(B7634, 'nav master'!$B:$B, 0)), "")</f>
        <v>ULIF08219/09/25TopMF500Fd101</v>
      </c>
      <c r="E7634" s="8" t="s">
        <v>452</v>
      </c>
      <c r="F7634" s="8" t="s">
        <v>3262</v>
      </c>
    </row>
    <row r="7635" spans="1:6" ht="60" x14ac:dyDescent="0.25">
      <c r="A7635" s="8" t="s">
        <v>125</v>
      </c>
      <c r="B7635" s="8" t="s">
        <v>159</v>
      </c>
      <c r="C7635" s="8" t="str">
        <f>IFERROR(_xlfn.XLOOKUP(TRIM(B7635),Lookup!$B$2:$B$1000,Lookup!$C$2:$C$1000),"")</f>
        <v>Equity</v>
      </c>
      <c r="D7635" s="8" t="str">
        <f>IFERROR(INDEX('nav master'!$C:$C, MATCH(B7635, 'nav master'!$B:$B, 0)), "")</f>
        <v>ULIF08219/09/25TopMF500Fd101</v>
      </c>
      <c r="E7635" s="8" t="s">
        <v>454</v>
      </c>
      <c r="F7635" s="8" t="s">
        <v>3263</v>
      </c>
    </row>
    <row r="7636" spans="1:6" ht="60" x14ac:dyDescent="0.25">
      <c r="A7636" s="8" t="s">
        <v>125</v>
      </c>
      <c r="B7636" s="8" t="s">
        <v>159</v>
      </c>
      <c r="C7636" s="8" t="str">
        <f>IFERROR(_xlfn.XLOOKUP(TRIM(B7636),Lookup!$B$2:$B$1000,Lookup!$C$2:$C$1000),"")</f>
        <v>Equity</v>
      </c>
      <c r="D7636" s="8" t="str">
        <f>IFERROR(INDEX('nav master'!$C:$C, MATCH(B7636, 'nav master'!$B:$B, 0)), "")</f>
        <v>ULIF08219/09/25TopMF500Fd101</v>
      </c>
      <c r="E7636" s="8" t="s">
        <v>456</v>
      </c>
      <c r="F7636" s="8" t="s">
        <v>3264</v>
      </c>
    </row>
    <row r="7637" spans="1:6" ht="60" x14ac:dyDescent="0.25">
      <c r="A7637" s="8" t="s">
        <v>125</v>
      </c>
      <c r="B7637" s="8" t="s">
        <v>159</v>
      </c>
      <c r="C7637" s="8" t="str">
        <f>IFERROR(_xlfn.XLOOKUP(TRIM(B7637),Lookup!$B$2:$B$1000,Lookup!$C$2:$C$1000),"")</f>
        <v>Equity</v>
      </c>
      <c r="D7637" s="8" t="str">
        <f>IFERROR(INDEX('nav master'!$C:$C, MATCH(B7637, 'nav master'!$B:$B, 0)), "")</f>
        <v>ULIF08219/09/25TopMF500Fd101</v>
      </c>
      <c r="E7637" s="8" t="s">
        <v>458</v>
      </c>
      <c r="F7637" s="8" t="s">
        <v>3265</v>
      </c>
    </row>
    <row r="7638" spans="1:6" ht="60" x14ac:dyDescent="0.25">
      <c r="A7638" s="8" t="s">
        <v>125</v>
      </c>
      <c r="B7638" s="8" t="s">
        <v>159</v>
      </c>
      <c r="C7638" s="8" t="str">
        <f>IFERROR(_xlfn.XLOOKUP(TRIM(B7638),Lookup!$B$2:$B$1000,Lookup!$C$2:$C$1000),"")</f>
        <v>Equity</v>
      </c>
      <c r="D7638" s="8" t="str">
        <f>IFERROR(INDEX('nav master'!$C:$C, MATCH(B7638, 'nav master'!$B:$B, 0)), "")</f>
        <v>ULIF08219/09/25TopMF500Fd101</v>
      </c>
      <c r="E7638" s="8" t="s">
        <v>460</v>
      </c>
      <c r="F7638" s="8" t="s">
        <v>3266</v>
      </c>
    </row>
    <row r="7639" spans="1:6" ht="60" x14ac:dyDescent="0.25">
      <c r="A7639" s="8" t="s">
        <v>125</v>
      </c>
      <c r="B7639" s="8" t="s">
        <v>159</v>
      </c>
      <c r="C7639" s="8" t="str">
        <f>IFERROR(_xlfn.XLOOKUP(TRIM(B7639),Lookup!$B$2:$B$1000,Lookup!$C$2:$C$1000),"")</f>
        <v>Equity</v>
      </c>
      <c r="D7639" s="8" t="str">
        <f>IFERROR(INDEX('nav master'!$C:$C, MATCH(B7639, 'nav master'!$B:$B, 0)), "")</f>
        <v>ULIF08219/09/25TopMF500Fd101</v>
      </c>
      <c r="E7639" s="8" t="s">
        <v>462</v>
      </c>
      <c r="F7639" s="8" t="s">
        <v>3267</v>
      </c>
    </row>
    <row r="7640" spans="1:6" ht="60" x14ac:dyDescent="0.25">
      <c r="A7640" s="8" t="s">
        <v>125</v>
      </c>
      <c r="B7640" s="8" t="s">
        <v>159</v>
      </c>
      <c r="C7640" s="8" t="str">
        <f>IFERROR(_xlfn.XLOOKUP(TRIM(B7640),Lookup!$B$2:$B$1000,Lookup!$C$2:$C$1000),"")</f>
        <v>Equity</v>
      </c>
      <c r="D7640" s="8" t="str">
        <f>IFERROR(INDEX('nav master'!$C:$C, MATCH(B7640, 'nav master'!$B:$B, 0)), "")</f>
        <v>ULIF08219/09/25TopMF500Fd101</v>
      </c>
      <c r="E7640" s="8" t="s">
        <v>464</v>
      </c>
      <c r="F7640" s="8" t="s">
        <v>3268</v>
      </c>
    </row>
    <row r="7641" spans="1:6" ht="60" x14ac:dyDescent="0.25">
      <c r="A7641" s="8" t="s">
        <v>125</v>
      </c>
      <c r="B7641" s="8" t="s">
        <v>159</v>
      </c>
      <c r="C7641" s="8" t="str">
        <f>IFERROR(_xlfn.XLOOKUP(TRIM(B7641),Lookup!$B$2:$B$1000,Lookup!$C$2:$C$1000),"")</f>
        <v>Equity</v>
      </c>
      <c r="D7641" s="8" t="str">
        <f>IFERROR(INDEX('nav master'!$C:$C, MATCH(B7641, 'nav master'!$B:$B, 0)), "")</f>
        <v>ULIF08219/09/25TopMF500Fd101</v>
      </c>
      <c r="E7641" s="8" t="s">
        <v>466</v>
      </c>
      <c r="F7641" s="8" t="s">
        <v>3269</v>
      </c>
    </row>
    <row r="7642" spans="1:6" ht="60" x14ac:dyDescent="0.25">
      <c r="A7642" s="8" t="s">
        <v>125</v>
      </c>
      <c r="B7642" s="8" t="s">
        <v>159</v>
      </c>
      <c r="C7642" s="8" t="str">
        <f>IFERROR(_xlfn.XLOOKUP(TRIM(B7642),Lookup!$B$2:$B$1000,Lookup!$C$2:$C$1000),"")</f>
        <v>Equity</v>
      </c>
      <c r="D7642" s="8" t="str">
        <f>IFERROR(INDEX('nav master'!$C:$C, MATCH(B7642, 'nav master'!$B:$B, 0)), "")</f>
        <v>ULIF08219/09/25TopMF500Fd101</v>
      </c>
      <c r="E7642" s="8" t="s">
        <v>468</v>
      </c>
      <c r="F7642" s="8" t="s">
        <v>3270</v>
      </c>
    </row>
    <row r="7643" spans="1:6" ht="60" x14ac:dyDescent="0.25">
      <c r="A7643" s="8" t="s">
        <v>125</v>
      </c>
      <c r="B7643" s="8" t="s">
        <v>159</v>
      </c>
      <c r="C7643" s="8" t="str">
        <f>IFERROR(_xlfn.XLOOKUP(TRIM(B7643),Lookup!$B$2:$B$1000,Lookup!$C$2:$C$1000),"")</f>
        <v>Equity</v>
      </c>
      <c r="D7643" s="8" t="str">
        <f>IFERROR(INDEX('nav master'!$C:$C, MATCH(B7643, 'nav master'!$B:$B, 0)), "")</f>
        <v>ULIF08219/09/25TopMF500Fd101</v>
      </c>
      <c r="E7643" s="8" t="s">
        <v>470</v>
      </c>
      <c r="F7643" s="8" t="s">
        <v>3271</v>
      </c>
    </row>
    <row r="7644" spans="1:6" ht="60" x14ac:dyDescent="0.25">
      <c r="A7644" s="8" t="s">
        <v>125</v>
      </c>
      <c r="B7644" s="8" t="s">
        <v>159</v>
      </c>
      <c r="C7644" s="8" t="str">
        <f>IFERROR(_xlfn.XLOOKUP(TRIM(B7644),Lookup!$B$2:$B$1000,Lookup!$C$2:$C$1000),"")</f>
        <v>Equity</v>
      </c>
      <c r="D7644" s="8" t="str">
        <f>IFERROR(INDEX('nav master'!$C:$C, MATCH(B7644, 'nav master'!$B:$B, 0)), "")</f>
        <v>ULIF08219/09/25TopMF500Fd101</v>
      </c>
      <c r="E7644" s="8" t="s">
        <v>472</v>
      </c>
      <c r="F7644" s="8" t="s">
        <v>3272</v>
      </c>
    </row>
    <row r="7645" spans="1:6" ht="60" x14ac:dyDescent="0.25">
      <c r="A7645" s="8" t="s">
        <v>125</v>
      </c>
      <c r="B7645" s="8" t="s">
        <v>159</v>
      </c>
      <c r="C7645" s="8" t="str">
        <f>IFERROR(_xlfn.XLOOKUP(TRIM(B7645),Lookup!$B$2:$B$1000,Lookup!$C$2:$C$1000),"")</f>
        <v>Equity</v>
      </c>
      <c r="D7645" s="8" t="str">
        <f>IFERROR(INDEX('nav master'!$C:$C, MATCH(B7645, 'nav master'!$B:$B, 0)), "")</f>
        <v>ULIF08219/09/25TopMF500Fd101</v>
      </c>
      <c r="E7645" s="8" t="s">
        <v>474</v>
      </c>
      <c r="F7645" s="8" t="s">
        <v>3273</v>
      </c>
    </row>
    <row r="7646" spans="1:6" ht="60" x14ac:dyDescent="0.25">
      <c r="A7646" s="8" t="s">
        <v>125</v>
      </c>
      <c r="B7646" s="8" t="s">
        <v>159</v>
      </c>
      <c r="C7646" s="8" t="str">
        <f>IFERROR(_xlfn.XLOOKUP(TRIM(B7646),Lookup!$B$2:$B$1000,Lookup!$C$2:$C$1000),"")</f>
        <v>Equity</v>
      </c>
      <c r="D7646" s="8" t="str">
        <f>IFERROR(INDEX('nav master'!$C:$C, MATCH(B7646, 'nav master'!$B:$B, 0)), "")</f>
        <v>ULIF08219/09/25TopMF500Fd101</v>
      </c>
      <c r="E7646" s="8" t="s">
        <v>476</v>
      </c>
      <c r="F7646" s="8" t="s">
        <v>3274</v>
      </c>
    </row>
    <row r="7647" spans="1:6" ht="60" x14ac:dyDescent="0.25">
      <c r="A7647" s="8" t="s">
        <v>125</v>
      </c>
      <c r="B7647" s="8" t="s">
        <v>159</v>
      </c>
      <c r="C7647" s="8" t="str">
        <f>IFERROR(_xlfn.XLOOKUP(TRIM(B7647),Lookup!$B$2:$B$1000,Lookup!$C$2:$C$1000),"")</f>
        <v>Equity</v>
      </c>
      <c r="D7647" s="8" t="str">
        <f>IFERROR(INDEX('nav master'!$C:$C, MATCH(B7647, 'nav master'!$B:$B, 0)), "")</f>
        <v>ULIF08219/09/25TopMF500Fd101</v>
      </c>
      <c r="E7647" s="8" t="s">
        <v>478</v>
      </c>
      <c r="F7647" s="8" t="s">
        <v>3275</v>
      </c>
    </row>
    <row r="7648" spans="1:6" ht="60" x14ac:dyDescent="0.25">
      <c r="A7648" s="8" t="s">
        <v>125</v>
      </c>
      <c r="B7648" s="8" t="s">
        <v>159</v>
      </c>
      <c r="C7648" s="8" t="str">
        <f>IFERROR(_xlfn.XLOOKUP(TRIM(B7648),Lookup!$B$2:$B$1000,Lookup!$C$2:$C$1000),"")</f>
        <v>Equity</v>
      </c>
      <c r="D7648" s="8" t="str">
        <f>IFERROR(INDEX('nav master'!$C:$C, MATCH(B7648, 'nav master'!$B:$B, 0)), "")</f>
        <v>ULIF08219/09/25TopMF500Fd101</v>
      </c>
      <c r="E7648" s="8" t="s">
        <v>480</v>
      </c>
      <c r="F7648" s="8" t="s">
        <v>3276</v>
      </c>
    </row>
    <row r="7649" spans="1:6" ht="60" x14ac:dyDescent="0.25">
      <c r="A7649" s="8" t="s">
        <v>125</v>
      </c>
      <c r="B7649" s="8" t="s">
        <v>159</v>
      </c>
      <c r="C7649" s="8" t="str">
        <f>IFERROR(_xlfn.XLOOKUP(TRIM(B7649),Lookup!$B$2:$B$1000,Lookup!$C$2:$C$1000),"")</f>
        <v>Equity</v>
      </c>
      <c r="D7649" s="8" t="str">
        <f>IFERROR(INDEX('nav master'!$C:$C, MATCH(B7649, 'nav master'!$B:$B, 0)), "")</f>
        <v>ULIF08219/09/25TopMF500Fd101</v>
      </c>
      <c r="E7649" s="8" t="s">
        <v>482</v>
      </c>
      <c r="F7649" s="8" t="s">
        <v>3277</v>
      </c>
    </row>
    <row r="7650" spans="1:6" ht="60" x14ac:dyDescent="0.25">
      <c r="A7650" s="8" t="s">
        <v>125</v>
      </c>
      <c r="B7650" s="8" t="s">
        <v>159</v>
      </c>
      <c r="C7650" s="8" t="str">
        <f>IFERROR(_xlfn.XLOOKUP(TRIM(B7650),Lookup!$B$2:$B$1000,Lookup!$C$2:$C$1000),"")</f>
        <v>Equity</v>
      </c>
      <c r="D7650" s="8" t="str">
        <f>IFERROR(INDEX('nav master'!$C:$C, MATCH(B7650, 'nav master'!$B:$B, 0)), "")</f>
        <v>ULIF08219/09/25TopMF500Fd101</v>
      </c>
      <c r="E7650" s="8" t="s">
        <v>484</v>
      </c>
      <c r="F7650" s="8" t="s">
        <v>3278</v>
      </c>
    </row>
    <row r="7651" spans="1:6" ht="60" x14ac:dyDescent="0.25">
      <c r="A7651" s="8" t="s">
        <v>125</v>
      </c>
      <c r="B7651" s="8" t="s">
        <v>159</v>
      </c>
      <c r="C7651" s="8" t="str">
        <f>IFERROR(_xlfn.XLOOKUP(TRIM(B7651),Lookup!$B$2:$B$1000,Lookup!$C$2:$C$1000),"")</f>
        <v>Equity</v>
      </c>
      <c r="D7651" s="8" t="str">
        <f>IFERROR(INDEX('nav master'!$C:$C, MATCH(B7651, 'nav master'!$B:$B, 0)), "")</f>
        <v>ULIF08219/09/25TopMF500Fd101</v>
      </c>
      <c r="E7651" s="8" t="s">
        <v>486</v>
      </c>
      <c r="F7651" s="8" t="s">
        <v>3279</v>
      </c>
    </row>
    <row r="7652" spans="1:6" ht="60" x14ac:dyDescent="0.25">
      <c r="A7652" s="8" t="s">
        <v>125</v>
      </c>
      <c r="B7652" s="8" t="s">
        <v>159</v>
      </c>
      <c r="C7652" s="8" t="str">
        <f>IFERROR(_xlfn.XLOOKUP(TRIM(B7652),Lookup!$B$2:$B$1000,Lookup!$C$2:$C$1000),"")</f>
        <v>Equity</v>
      </c>
      <c r="D7652" s="8" t="str">
        <f>IFERROR(INDEX('nav master'!$C:$C, MATCH(B7652, 'nav master'!$B:$B, 0)), "")</f>
        <v>ULIF08219/09/25TopMF500Fd101</v>
      </c>
      <c r="E7652" s="8" t="s">
        <v>488</v>
      </c>
      <c r="F7652" s="8" t="s">
        <v>3280</v>
      </c>
    </row>
    <row r="7653" spans="1:6" ht="60" x14ac:dyDescent="0.25">
      <c r="A7653" s="8" t="s">
        <v>125</v>
      </c>
      <c r="B7653" s="8" t="s">
        <v>159</v>
      </c>
      <c r="C7653" s="8" t="str">
        <f>IFERROR(_xlfn.XLOOKUP(TRIM(B7653),Lookup!$B$2:$B$1000,Lookup!$C$2:$C$1000),"")</f>
        <v>Equity</v>
      </c>
      <c r="D7653" s="8" t="str">
        <f>IFERROR(INDEX('nav master'!$C:$C, MATCH(B7653, 'nav master'!$B:$B, 0)), "")</f>
        <v>ULIF08219/09/25TopMF500Fd101</v>
      </c>
      <c r="E7653" s="8" t="s">
        <v>490</v>
      </c>
      <c r="F7653" s="8" t="s">
        <v>3281</v>
      </c>
    </row>
    <row r="7654" spans="1:6" ht="60" x14ac:dyDescent="0.25">
      <c r="A7654" s="8" t="s">
        <v>125</v>
      </c>
      <c r="B7654" s="8" t="s">
        <v>159</v>
      </c>
      <c r="C7654" s="8" t="str">
        <f>IFERROR(_xlfn.XLOOKUP(TRIM(B7654),Lookup!$B$2:$B$1000,Lookup!$C$2:$C$1000),"")</f>
        <v>Equity</v>
      </c>
      <c r="D7654" s="8" t="str">
        <f>IFERROR(INDEX('nav master'!$C:$C, MATCH(B7654, 'nav master'!$B:$B, 0)), "")</f>
        <v>ULIF08219/09/25TopMF500Fd101</v>
      </c>
      <c r="E7654" s="8" t="s">
        <v>492</v>
      </c>
      <c r="F7654" s="8" t="s">
        <v>3282</v>
      </c>
    </row>
    <row r="7655" spans="1:6" ht="60" x14ac:dyDescent="0.25">
      <c r="A7655" s="8" t="s">
        <v>125</v>
      </c>
      <c r="B7655" s="8" t="s">
        <v>159</v>
      </c>
      <c r="C7655" s="8" t="str">
        <f>IFERROR(_xlfn.XLOOKUP(TRIM(B7655),Lookup!$B$2:$B$1000,Lookup!$C$2:$C$1000),"")</f>
        <v>Equity</v>
      </c>
      <c r="D7655" s="8" t="str">
        <f>IFERROR(INDEX('nav master'!$C:$C, MATCH(B7655, 'nav master'!$B:$B, 0)), "")</f>
        <v>ULIF08219/09/25TopMF500Fd101</v>
      </c>
      <c r="E7655" s="8" t="s">
        <v>494</v>
      </c>
      <c r="F7655" s="8" t="s">
        <v>3283</v>
      </c>
    </row>
    <row r="7656" spans="1:6" ht="60" x14ac:dyDescent="0.25">
      <c r="A7656" s="8" t="s">
        <v>125</v>
      </c>
      <c r="B7656" s="8" t="s">
        <v>159</v>
      </c>
      <c r="C7656" s="8" t="str">
        <f>IFERROR(_xlfn.XLOOKUP(TRIM(B7656),Lookup!$B$2:$B$1000,Lookup!$C$2:$C$1000),"")</f>
        <v>Equity</v>
      </c>
      <c r="D7656" s="8" t="str">
        <f>IFERROR(INDEX('nav master'!$C:$C, MATCH(B7656, 'nav master'!$B:$B, 0)), "")</f>
        <v>ULIF08219/09/25TopMF500Fd101</v>
      </c>
      <c r="E7656" s="8" t="s">
        <v>496</v>
      </c>
      <c r="F7656" s="8" t="s">
        <v>3284</v>
      </c>
    </row>
    <row r="7657" spans="1:6" ht="60" x14ac:dyDescent="0.25">
      <c r="A7657" s="8" t="s">
        <v>125</v>
      </c>
      <c r="B7657" s="8" t="s">
        <v>159</v>
      </c>
      <c r="C7657" s="8" t="str">
        <f>IFERROR(_xlfn.XLOOKUP(TRIM(B7657),Lookup!$B$2:$B$1000,Lookup!$C$2:$C$1000),"")</f>
        <v>Equity</v>
      </c>
      <c r="D7657" s="8" t="str">
        <f>IFERROR(INDEX('nav master'!$C:$C, MATCH(B7657, 'nav master'!$B:$B, 0)), "")</f>
        <v>ULIF08219/09/25TopMF500Fd101</v>
      </c>
      <c r="E7657" s="8" t="s">
        <v>498</v>
      </c>
      <c r="F7657" s="8" t="s">
        <v>3285</v>
      </c>
    </row>
    <row r="7658" spans="1:6" ht="60" x14ac:dyDescent="0.25">
      <c r="A7658" s="8" t="s">
        <v>125</v>
      </c>
      <c r="B7658" s="8" t="s">
        <v>159</v>
      </c>
      <c r="C7658" s="8" t="str">
        <f>IFERROR(_xlfn.XLOOKUP(TRIM(B7658),Lookup!$B$2:$B$1000,Lookup!$C$2:$C$1000),"")</f>
        <v>Equity</v>
      </c>
      <c r="D7658" s="8" t="str">
        <f>IFERROR(INDEX('nav master'!$C:$C, MATCH(B7658, 'nav master'!$B:$B, 0)), "")</f>
        <v>ULIF08219/09/25TopMF500Fd101</v>
      </c>
      <c r="E7658" s="8" t="s">
        <v>500</v>
      </c>
      <c r="F7658" s="8" t="s">
        <v>3286</v>
      </c>
    </row>
    <row r="7659" spans="1:6" ht="60" x14ac:dyDescent="0.25">
      <c r="A7659" s="8" t="s">
        <v>125</v>
      </c>
      <c r="B7659" s="8" t="s">
        <v>159</v>
      </c>
      <c r="C7659" s="8" t="str">
        <f>IFERROR(_xlfn.XLOOKUP(TRIM(B7659),Lookup!$B$2:$B$1000,Lookup!$C$2:$C$1000),"")</f>
        <v>Equity</v>
      </c>
      <c r="D7659" s="8" t="str">
        <f>IFERROR(INDEX('nav master'!$C:$C, MATCH(B7659, 'nav master'!$B:$B, 0)), "")</f>
        <v>ULIF08219/09/25TopMF500Fd101</v>
      </c>
      <c r="E7659" s="8" t="s">
        <v>502</v>
      </c>
      <c r="F7659" s="8" t="s">
        <v>3287</v>
      </c>
    </row>
    <row r="7660" spans="1:6" ht="60" x14ac:dyDescent="0.25">
      <c r="A7660" s="8" t="s">
        <v>125</v>
      </c>
      <c r="B7660" s="8" t="s">
        <v>159</v>
      </c>
      <c r="C7660" s="8" t="str">
        <f>IFERROR(_xlfn.XLOOKUP(TRIM(B7660),Lookup!$B$2:$B$1000,Lookup!$C$2:$C$1000),"")</f>
        <v>Equity</v>
      </c>
      <c r="D7660" s="8" t="str">
        <f>IFERROR(INDEX('nav master'!$C:$C, MATCH(B7660, 'nav master'!$B:$B, 0)), "")</f>
        <v>ULIF08219/09/25TopMF500Fd101</v>
      </c>
      <c r="E7660" s="8" t="s">
        <v>504</v>
      </c>
      <c r="F7660" s="8" t="s">
        <v>3288</v>
      </c>
    </row>
    <row r="7661" spans="1:6" ht="60" x14ac:dyDescent="0.25">
      <c r="A7661" s="8" t="s">
        <v>125</v>
      </c>
      <c r="B7661" s="8" t="s">
        <v>159</v>
      </c>
      <c r="C7661" s="8" t="str">
        <f>IFERROR(_xlfn.XLOOKUP(TRIM(B7661),Lookup!$B$2:$B$1000,Lookup!$C$2:$C$1000),"")</f>
        <v>Equity</v>
      </c>
      <c r="D7661" s="8" t="str">
        <f>IFERROR(INDEX('nav master'!$C:$C, MATCH(B7661, 'nav master'!$B:$B, 0)), "")</f>
        <v>ULIF08219/09/25TopMF500Fd101</v>
      </c>
      <c r="E7661" s="8" t="s">
        <v>506</v>
      </c>
      <c r="F7661" s="8" t="s">
        <v>3289</v>
      </c>
    </row>
    <row r="7662" spans="1:6" ht="60" x14ac:dyDescent="0.25">
      <c r="A7662" s="8" t="s">
        <v>125</v>
      </c>
      <c r="B7662" s="8" t="s">
        <v>159</v>
      </c>
      <c r="C7662" s="8" t="str">
        <f>IFERROR(_xlfn.XLOOKUP(TRIM(B7662),Lookup!$B$2:$B$1000,Lookup!$C$2:$C$1000),"")</f>
        <v>Equity</v>
      </c>
      <c r="D7662" s="8" t="str">
        <f>IFERROR(INDEX('nav master'!$C:$C, MATCH(B7662, 'nav master'!$B:$B, 0)), "")</f>
        <v>ULIF08219/09/25TopMF500Fd101</v>
      </c>
      <c r="E7662" s="8" t="s">
        <v>508</v>
      </c>
      <c r="F7662" s="8" t="s">
        <v>3290</v>
      </c>
    </row>
    <row r="7663" spans="1:6" ht="60" x14ac:dyDescent="0.25">
      <c r="A7663" s="8" t="s">
        <v>125</v>
      </c>
      <c r="B7663" s="8" t="s">
        <v>159</v>
      </c>
      <c r="C7663" s="8" t="str">
        <f>IFERROR(_xlfn.XLOOKUP(TRIM(B7663),Lookup!$B$2:$B$1000,Lookup!$C$2:$C$1000),"")</f>
        <v>Equity</v>
      </c>
      <c r="D7663" s="8" t="str">
        <f>IFERROR(INDEX('nav master'!$C:$C, MATCH(B7663, 'nav master'!$B:$B, 0)), "")</f>
        <v>ULIF08219/09/25TopMF500Fd101</v>
      </c>
      <c r="E7663" s="8" t="s">
        <v>510</v>
      </c>
      <c r="F7663" s="8" t="s">
        <v>3291</v>
      </c>
    </row>
    <row r="7664" spans="1:6" ht="60" x14ac:dyDescent="0.25">
      <c r="A7664" s="8" t="s">
        <v>125</v>
      </c>
      <c r="B7664" s="8" t="s">
        <v>159</v>
      </c>
      <c r="C7664" s="8" t="str">
        <f>IFERROR(_xlfn.XLOOKUP(TRIM(B7664),Lookup!$B$2:$B$1000,Lookup!$C$2:$C$1000),"")</f>
        <v>Equity</v>
      </c>
      <c r="D7664" s="8" t="str">
        <f>IFERROR(INDEX('nav master'!$C:$C, MATCH(B7664, 'nav master'!$B:$B, 0)), "")</f>
        <v>ULIF08219/09/25TopMF500Fd101</v>
      </c>
      <c r="E7664" s="8" t="s">
        <v>512</v>
      </c>
      <c r="F7664" s="8" t="s">
        <v>3292</v>
      </c>
    </row>
    <row r="7665" spans="1:6" ht="60" x14ac:dyDescent="0.25">
      <c r="A7665" s="8" t="s">
        <v>125</v>
      </c>
      <c r="B7665" s="8" t="s">
        <v>159</v>
      </c>
      <c r="C7665" s="8" t="str">
        <f>IFERROR(_xlfn.XLOOKUP(TRIM(B7665),Lookup!$B$2:$B$1000,Lookup!$C$2:$C$1000),"")</f>
        <v>Equity</v>
      </c>
      <c r="D7665" s="8" t="str">
        <f>IFERROR(INDEX('nav master'!$C:$C, MATCH(B7665, 'nav master'!$B:$B, 0)), "")</f>
        <v>ULIF08219/09/25TopMF500Fd101</v>
      </c>
      <c r="E7665" s="8" t="s">
        <v>514</v>
      </c>
      <c r="F7665" s="8" t="s">
        <v>3293</v>
      </c>
    </row>
    <row r="7666" spans="1:6" ht="60" x14ac:dyDescent="0.25">
      <c r="A7666" s="8" t="s">
        <v>125</v>
      </c>
      <c r="B7666" s="8" t="s">
        <v>159</v>
      </c>
      <c r="C7666" s="8" t="str">
        <f>IFERROR(_xlfn.XLOOKUP(TRIM(B7666),Lookup!$B$2:$B$1000,Lookup!$C$2:$C$1000),"")</f>
        <v>Equity</v>
      </c>
      <c r="D7666" s="8" t="str">
        <f>IFERROR(INDEX('nav master'!$C:$C, MATCH(B7666, 'nav master'!$B:$B, 0)), "")</f>
        <v>ULIF08219/09/25TopMF500Fd101</v>
      </c>
      <c r="E7666" s="8" t="s">
        <v>516</v>
      </c>
      <c r="F7666" s="8" t="s">
        <v>3294</v>
      </c>
    </row>
    <row r="7667" spans="1:6" ht="60" x14ac:dyDescent="0.25">
      <c r="A7667" s="8" t="s">
        <v>125</v>
      </c>
      <c r="B7667" s="8" t="s">
        <v>159</v>
      </c>
      <c r="C7667" s="8" t="str">
        <f>IFERROR(_xlfn.XLOOKUP(TRIM(B7667),Lookup!$B$2:$B$1000,Lookup!$C$2:$C$1000),"")</f>
        <v>Equity</v>
      </c>
      <c r="D7667" s="8" t="str">
        <f>IFERROR(INDEX('nav master'!$C:$C, MATCH(B7667, 'nav master'!$B:$B, 0)), "")</f>
        <v>ULIF08219/09/25TopMF500Fd101</v>
      </c>
      <c r="E7667" s="8" t="s">
        <v>518</v>
      </c>
      <c r="F7667" s="8" t="s">
        <v>3295</v>
      </c>
    </row>
    <row r="7668" spans="1:6" ht="60" x14ac:dyDescent="0.25">
      <c r="A7668" s="8" t="s">
        <v>125</v>
      </c>
      <c r="B7668" s="8" t="s">
        <v>159</v>
      </c>
      <c r="C7668" s="8" t="str">
        <f>IFERROR(_xlfn.XLOOKUP(TRIM(B7668),Lookup!$B$2:$B$1000,Lookup!$C$2:$C$1000),"")</f>
        <v>Equity</v>
      </c>
      <c r="D7668" s="8" t="str">
        <f>IFERROR(INDEX('nav master'!$C:$C, MATCH(B7668, 'nav master'!$B:$B, 0)), "")</f>
        <v>ULIF08219/09/25TopMF500Fd101</v>
      </c>
      <c r="E7668" s="8" t="s">
        <v>520</v>
      </c>
      <c r="F7668" s="8" t="s">
        <v>3296</v>
      </c>
    </row>
    <row r="7669" spans="1:6" ht="60" x14ac:dyDescent="0.25">
      <c r="A7669" s="8" t="s">
        <v>125</v>
      </c>
      <c r="B7669" s="8" t="s">
        <v>159</v>
      </c>
      <c r="C7669" s="8" t="str">
        <f>IFERROR(_xlfn.XLOOKUP(TRIM(B7669),Lookup!$B$2:$B$1000,Lookup!$C$2:$C$1000),"")</f>
        <v>Equity</v>
      </c>
      <c r="D7669" s="8" t="str">
        <f>IFERROR(INDEX('nav master'!$C:$C, MATCH(B7669, 'nav master'!$B:$B, 0)), "")</f>
        <v>ULIF08219/09/25TopMF500Fd101</v>
      </c>
      <c r="E7669" s="8" t="s">
        <v>522</v>
      </c>
      <c r="F7669" s="8" t="s">
        <v>3297</v>
      </c>
    </row>
    <row r="7670" spans="1:6" ht="60" x14ac:dyDescent="0.25">
      <c r="A7670" s="8" t="s">
        <v>125</v>
      </c>
      <c r="B7670" s="8" t="s">
        <v>159</v>
      </c>
      <c r="C7670" s="8" t="str">
        <f>IFERROR(_xlfn.XLOOKUP(TRIM(B7670),Lookup!$B$2:$B$1000,Lookup!$C$2:$C$1000),"")</f>
        <v>Equity</v>
      </c>
      <c r="D7670" s="8" t="str">
        <f>IFERROR(INDEX('nav master'!$C:$C, MATCH(B7670, 'nav master'!$B:$B, 0)), "")</f>
        <v>ULIF08219/09/25TopMF500Fd101</v>
      </c>
      <c r="E7670" s="8" t="s">
        <v>524</v>
      </c>
      <c r="F7670" s="8" t="s">
        <v>3298</v>
      </c>
    </row>
    <row r="7671" spans="1:6" ht="60" x14ac:dyDescent="0.25">
      <c r="A7671" s="8" t="s">
        <v>125</v>
      </c>
      <c r="B7671" s="8" t="s">
        <v>159</v>
      </c>
      <c r="C7671" s="8" t="str">
        <f>IFERROR(_xlfn.XLOOKUP(TRIM(B7671),Lookup!$B$2:$B$1000,Lookup!$C$2:$C$1000),"")</f>
        <v>Equity</v>
      </c>
      <c r="D7671" s="8" t="str">
        <f>IFERROR(INDEX('nav master'!$C:$C, MATCH(B7671, 'nav master'!$B:$B, 0)), "")</f>
        <v>ULIF08219/09/25TopMF500Fd101</v>
      </c>
      <c r="E7671" s="8" t="s">
        <v>526</v>
      </c>
      <c r="F7671" s="8" t="s">
        <v>3299</v>
      </c>
    </row>
    <row r="7672" spans="1:6" ht="60" x14ac:dyDescent="0.25">
      <c r="A7672" s="8" t="s">
        <v>125</v>
      </c>
      <c r="B7672" s="8" t="s">
        <v>159</v>
      </c>
      <c r="C7672" s="8" t="str">
        <f>IFERROR(_xlfn.XLOOKUP(TRIM(B7672),Lookup!$B$2:$B$1000,Lookup!$C$2:$C$1000),"")</f>
        <v>Equity</v>
      </c>
      <c r="D7672" s="8" t="str">
        <f>IFERROR(INDEX('nav master'!$C:$C, MATCH(B7672, 'nav master'!$B:$B, 0)), "")</f>
        <v>ULIF08219/09/25TopMF500Fd101</v>
      </c>
      <c r="E7672" s="8" t="s">
        <v>528</v>
      </c>
      <c r="F7672" s="8" t="s">
        <v>3300</v>
      </c>
    </row>
    <row r="7673" spans="1:6" ht="60" x14ac:dyDescent="0.25">
      <c r="A7673" s="8" t="s">
        <v>125</v>
      </c>
      <c r="B7673" s="8" t="s">
        <v>159</v>
      </c>
      <c r="C7673" s="8" t="str">
        <f>IFERROR(_xlfn.XLOOKUP(TRIM(B7673),Lookup!$B$2:$B$1000,Lookup!$C$2:$C$1000),"")</f>
        <v>Equity</v>
      </c>
      <c r="D7673" s="8" t="str">
        <f>IFERROR(INDEX('nav master'!$C:$C, MATCH(B7673, 'nav master'!$B:$B, 0)), "")</f>
        <v>ULIF08219/09/25TopMF500Fd101</v>
      </c>
      <c r="E7673" s="8" t="s">
        <v>530</v>
      </c>
      <c r="F7673" s="8" t="s">
        <v>3301</v>
      </c>
    </row>
    <row r="7674" spans="1:6" ht="60" x14ac:dyDescent="0.25">
      <c r="A7674" s="8" t="s">
        <v>125</v>
      </c>
      <c r="B7674" s="8" t="s">
        <v>159</v>
      </c>
      <c r="C7674" s="8" t="str">
        <f>IFERROR(_xlfn.XLOOKUP(TRIM(B7674),Lookup!$B$2:$B$1000,Lookup!$C$2:$C$1000),"")</f>
        <v>Equity</v>
      </c>
      <c r="D7674" s="8" t="str">
        <f>IFERROR(INDEX('nav master'!$C:$C, MATCH(B7674, 'nav master'!$B:$B, 0)), "")</f>
        <v>ULIF08219/09/25TopMF500Fd101</v>
      </c>
      <c r="E7674" s="8" t="s">
        <v>532</v>
      </c>
      <c r="F7674" s="8" t="s">
        <v>3302</v>
      </c>
    </row>
    <row r="7675" spans="1:6" ht="60" x14ac:dyDescent="0.25">
      <c r="A7675" s="8" t="s">
        <v>125</v>
      </c>
      <c r="B7675" s="8" t="s">
        <v>159</v>
      </c>
      <c r="C7675" s="8" t="str">
        <f>IFERROR(_xlfn.XLOOKUP(TRIM(B7675),Lookup!$B$2:$B$1000,Lookup!$C$2:$C$1000),"")</f>
        <v>Equity</v>
      </c>
      <c r="D7675" s="8" t="str">
        <f>IFERROR(INDEX('nav master'!$C:$C, MATCH(B7675, 'nav master'!$B:$B, 0)), "")</f>
        <v>ULIF08219/09/25TopMF500Fd101</v>
      </c>
      <c r="E7675" s="8" t="s">
        <v>534</v>
      </c>
      <c r="F7675" s="8" t="s">
        <v>3303</v>
      </c>
    </row>
    <row r="7676" spans="1:6" ht="60" x14ac:dyDescent="0.25">
      <c r="A7676" s="8" t="s">
        <v>125</v>
      </c>
      <c r="B7676" s="8" t="s">
        <v>159</v>
      </c>
      <c r="C7676" s="8" t="str">
        <f>IFERROR(_xlfn.XLOOKUP(TRIM(B7676),Lookup!$B$2:$B$1000,Lookup!$C$2:$C$1000),"")</f>
        <v>Equity</v>
      </c>
      <c r="D7676" s="8" t="str">
        <f>IFERROR(INDEX('nav master'!$C:$C, MATCH(B7676, 'nav master'!$B:$B, 0)), "")</f>
        <v>ULIF08219/09/25TopMF500Fd101</v>
      </c>
      <c r="E7676" s="8" t="s">
        <v>536</v>
      </c>
      <c r="F7676" s="8" t="s">
        <v>3304</v>
      </c>
    </row>
    <row r="7677" spans="1:6" ht="60" x14ac:dyDescent="0.25">
      <c r="A7677" s="8" t="s">
        <v>125</v>
      </c>
      <c r="B7677" s="8" t="s">
        <v>159</v>
      </c>
      <c r="C7677" s="8" t="str">
        <f>IFERROR(_xlfn.XLOOKUP(TRIM(B7677),Lookup!$B$2:$B$1000,Lookup!$C$2:$C$1000),"")</f>
        <v>Equity</v>
      </c>
      <c r="D7677" s="8" t="str">
        <f>IFERROR(INDEX('nav master'!$C:$C, MATCH(B7677, 'nav master'!$B:$B, 0)), "")</f>
        <v>ULIF08219/09/25TopMF500Fd101</v>
      </c>
      <c r="E7677" s="8" t="s">
        <v>538</v>
      </c>
      <c r="F7677" s="8" t="s">
        <v>3305</v>
      </c>
    </row>
    <row r="7678" spans="1:6" ht="60" x14ac:dyDescent="0.25">
      <c r="A7678" s="8" t="s">
        <v>125</v>
      </c>
      <c r="B7678" s="8" t="s">
        <v>159</v>
      </c>
      <c r="C7678" s="8" t="str">
        <f>IFERROR(_xlfn.XLOOKUP(TRIM(B7678),Lookup!$B$2:$B$1000,Lookup!$C$2:$C$1000),"")</f>
        <v>Equity</v>
      </c>
      <c r="D7678" s="8" t="str">
        <f>IFERROR(INDEX('nav master'!$C:$C, MATCH(B7678, 'nav master'!$B:$B, 0)), "")</f>
        <v>ULIF08219/09/25TopMF500Fd101</v>
      </c>
      <c r="E7678" s="8" t="s">
        <v>540</v>
      </c>
      <c r="F7678" s="8" t="s">
        <v>3306</v>
      </c>
    </row>
    <row r="7679" spans="1:6" ht="60" x14ac:dyDescent="0.25">
      <c r="A7679" s="8" t="s">
        <v>125</v>
      </c>
      <c r="B7679" s="8" t="s">
        <v>159</v>
      </c>
      <c r="C7679" s="8" t="str">
        <f>IFERROR(_xlfn.XLOOKUP(TRIM(B7679),Lookup!$B$2:$B$1000,Lookup!$C$2:$C$1000),"")</f>
        <v>Equity</v>
      </c>
      <c r="D7679" s="8" t="str">
        <f>IFERROR(INDEX('nav master'!$C:$C, MATCH(B7679, 'nav master'!$B:$B, 0)), "")</f>
        <v>ULIF08219/09/25TopMF500Fd101</v>
      </c>
      <c r="E7679" s="8" t="s">
        <v>542</v>
      </c>
      <c r="F7679" s="8" t="s">
        <v>3307</v>
      </c>
    </row>
    <row r="7680" spans="1:6" ht="60" x14ac:dyDescent="0.25">
      <c r="A7680" s="8" t="s">
        <v>125</v>
      </c>
      <c r="B7680" s="8" t="s">
        <v>159</v>
      </c>
      <c r="C7680" s="8" t="str">
        <f>IFERROR(_xlfn.XLOOKUP(TRIM(B7680),Lookup!$B$2:$B$1000,Lookup!$C$2:$C$1000),"")</f>
        <v>Equity</v>
      </c>
      <c r="D7680" s="8" t="str">
        <f>IFERROR(INDEX('nav master'!$C:$C, MATCH(B7680, 'nav master'!$B:$B, 0)), "")</f>
        <v>ULIF08219/09/25TopMF500Fd101</v>
      </c>
      <c r="E7680" s="8" t="s">
        <v>544</v>
      </c>
      <c r="F7680" s="8" t="s">
        <v>3308</v>
      </c>
    </row>
    <row r="7681" spans="1:6" ht="60" x14ac:dyDescent="0.25">
      <c r="A7681" s="8" t="s">
        <v>125</v>
      </c>
      <c r="B7681" s="8" t="s">
        <v>159</v>
      </c>
      <c r="C7681" s="8" t="str">
        <f>IFERROR(_xlfn.XLOOKUP(TRIM(B7681),Lookup!$B$2:$B$1000,Lookup!$C$2:$C$1000),"")</f>
        <v>Equity</v>
      </c>
      <c r="D7681" s="8" t="str">
        <f>IFERROR(INDEX('nav master'!$C:$C, MATCH(B7681, 'nav master'!$B:$B, 0)), "")</f>
        <v>ULIF08219/09/25TopMF500Fd101</v>
      </c>
      <c r="E7681" s="8" t="s">
        <v>546</v>
      </c>
      <c r="F7681" s="8" t="s">
        <v>2973</v>
      </c>
    </row>
    <row r="7682" spans="1:6" ht="60" x14ac:dyDescent="0.25">
      <c r="A7682" s="8" t="s">
        <v>125</v>
      </c>
      <c r="B7682" s="8" t="s">
        <v>159</v>
      </c>
      <c r="C7682" s="8" t="str">
        <f>IFERROR(_xlfn.XLOOKUP(TRIM(B7682),Lookup!$B$2:$B$1000,Lookup!$C$2:$C$1000),"")</f>
        <v>Equity</v>
      </c>
      <c r="D7682" s="8" t="str">
        <f>IFERROR(INDEX('nav master'!$C:$C, MATCH(B7682, 'nav master'!$B:$B, 0)), "")</f>
        <v>ULIF08219/09/25TopMF500Fd101</v>
      </c>
      <c r="E7682" s="8" t="s">
        <v>548</v>
      </c>
      <c r="F7682" s="8" t="s">
        <v>3309</v>
      </c>
    </row>
    <row r="7683" spans="1:6" ht="60" x14ac:dyDescent="0.25">
      <c r="A7683" s="8" t="s">
        <v>125</v>
      </c>
      <c r="B7683" s="8" t="s">
        <v>159</v>
      </c>
      <c r="C7683" s="8" t="str">
        <f>IFERROR(_xlfn.XLOOKUP(TRIM(B7683),Lookup!$B$2:$B$1000,Lookup!$C$2:$C$1000),"")</f>
        <v>Equity</v>
      </c>
      <c r="D7683" s="8" t="str">
        <f>IFERROR(INDEX('nav master'!$C:$C, MATCH(B7683, 'nav master'!$B:$B, 0)), "")</f>
        <v>ULIF08219/09/25TopMF500Fd101</v>
      </c>
      <c r="E7683" s="8" t="s">
        <v>550</v>
      </c>
      <c r="F7683" s="8" t="s">
        <v>3310</v>
      </c>
    </row>
    <row r="7684" spans="1:6" ht="60" x14ac:dyDescent="0.25">
      <c r="A7684" s="8" t="s">
        <v>125</v>
      </c>
      <c r="B7684" s="8" t="s">
        <v>159</v>
      </c>
      <c r="C7684" s="8" t="str">
        <f>IFERROR(_xlfn.XLOOKUP(TRIM(B7684),Lookup!$B$2:$B$1000,Lookup!$C$2:$C$1000),"")</f>
        <v>Equity</v>
      </c>
      <c r="D7684" s="8" t="str">
        <f>IFERROR(INDEX('nav master'!$C:$C, MATCH(B7684, 'nav master'!$B:$B, 0)), "")</f>
        <v>ULIF08219/09/25TopMF500Fd101</v>
      </c>
      <c r="E7684" s="8" t="s">
        <v>552</v>
      </c>
      <c r="F7684" s="8" t="s">
        <v>3311</v>
      </c>
    </row>
    <row r="7685" spans="1:6" ht="60" x14ac:dyDescent="0.25">
      <c r="A7685" s="8" t="s">
        <v>125</v>
      </c>
      <c r="B7685" s="8" t="s">
        <v>159</v>
      </c>
      <c r="C7685" s="8" t="str">
        <f>IFERROR(_xlfn.XLOOKUP(TRIM(B7685),Lookup!$B$2:$B$1000,Lookup!$C$2:$C$1000),"")</f>
        <v>Equity</v>
      </c>
      <c r="D7685" s="8" t="str">
        <f>IFERROR(INDEX('nav master'!$C:$C, MATCH(B7685, 'nav master'!$B:$B, 0)), "")</f>
        <v>ULIF08219/09/25TopMF500Fd101</v>
      </c>
      <c r="E7685" s="8" t="s">
        <v>554</v>
      </c>
      <c r="F7685" s="8" t="s">
        <v>3312</v>
      </c>
    </row>
    <row r="7686" spans="1:6" ht="60" x14ac:dyDescent="0.25">
      <c r="A7686" s="8" t="s">
        <v>125</v>
      </c>
      <c r="B7686" s="8" t="s">
        <v>159</v>
      </c>
      <c r="C7686" s="8" t="str">
        <f>IFERROR(_xlfn.XLOOKUP(TRIM(B7686),Lookup!$B$2:$B$1000,Lookup!$C$2:$C$1000),"")</f>
        <v>Equity</v>
      </c>
      <c r="D7686" s="8" t="str">
        <f>IFERROR(INDEX('nav master'!$C:$C, MATCH(B7686, 'nav master'!$B:$B, 0)), "")</f>
        <v>ULIF08219/09/25TopMF500Fd101</v>
      </c>
      <c r="E7686" s="8" t="s">
        <v>556</v>
      </c>
      <c r="F7686" s="8" t="s">
        <v>3313</v>
      </c>
    </row>
    <row r="7687" spans="1:6" ht="60" x14ac:dyDescent="0.25">
      <c r="A7687" s="8" t="s">
        <v>125</v>
      </c>
      <c r="B7687" s="8" t="s">
        <v>159</v>
      </c>
      <c r="C7687" s="8" t="str">
        <f>IFERROR(_xlfn.XLOOKUP(TRIM(B7687),Lookup!$B$2:$B$1000,Lookup!$C$2:$C$1000),"")</f>
        <v>Equity</v>
      </c>
      <c r="D7687" s="8" t="str">
        <f>IFERROR(INDEX('nav master'!$C:$C, MATCH(B7687, 'nav master'!$B:$B, 0)), "")</f>
        <v>ULIF08219/09/25TopMF500Fd101</v>
      </c>
      <c r="E7687" s="8" t="s">
        <v>558</v>
      </c>
      <c r="F7687" s="8" t="s">
        <v>3314</v>
      </c>
    </row>
    <row r="7688" spans="1:6" ht="60" x14ac:dyDescent="0.25">
      <c r="A7688" s="8" t="s">
        <v>125</v>
      </c>
      <c r="B7688" s="8" t="s">
        <v>159</v>
      </c>
      <c r="C7688" s="8" t="str">
        <f>IFERROR(_xlfn.XLOOKUP(TRIM(B7688),Lookup!$B$2:$B$1000,Lookup!$C$2:$C$1000),"")</f>
        <v>Equity</v>
      </c>
      <c r="D7688" s="8" t="str">
        <f>IFERROR(INDEX('nav master'!$C:$C, MATCH(B7688, 'nav master'!$B:$B, 0)), "")</f>
        <v>ULIF08219/09/25TopMF500Fd101</v>
      </c>
      <c r="E7688" s="8" t="s">
        <v>560</v>
      </c>
      <c r="F7688" s="8" t="s">
        <v>3315</v>
      </c>
    </row>
    <row r="7689" spans="1:6" ht="60" x14ac:dyDescent="0.25">
      <c r="A7689" s="8" t="s">
        <v>125</v>
      </c>
      <c r="B7689" s="8" t="s">
        <v>159</v>
      </c>
      <c r="C7689" s="8" t="str">
        <f>IFERROR(_xlfn.XLOOKUP(TRIM(B7689),Lookup!$B$2:$B$1000,Lookup!$C$2:$C$1000),"")</f>
        <v>Equity</v>
      </c>
      <c r="D7689" s="8" t="str">
        <f>IFERROR(INDEX('nav master'!$C:$C, MATCH(B7689, 'nav master'!$B:$B, 0)), "")</f>
        <v>ULIF08219/09/25TopMF500Fd101</v>
      </c>
      <c r="E7689" s="8" t="s">
        <v>562</v>
      </c>
      <c r="F7689" s="8" t="s">
        <v>3316</v>
      </c>
    </row>
    <row r="7690" spans="1:6" ht="60" x14ac:dyDescent="0.25">
      <c r="A7690" s="8" t="s">
        <v>125</v>
      </c>
      <c r="B7690" s="8" t="s">
        <v>159</v>
      </c>
      <c r="C7690" s="8" t="str">
        <f>IFERROR(_xlfn.XLOOKUP(TRIM(B7690),Lookup!$B$2:$B$1000,Lookup!$C$2:$C$1000),"")</f>
        <v>Equity</v>
      </c>
      <c r="D7690" s="8" t="str">
        <f>IFERROR(INDEX('nav master'!$C:$C, MATCH(B7690, 'nav master'!$B:$B, 0)), "")</f>
        <v>ULIF08219/09/25TopMF500Fd101</v>
      </c>
      <c r="E7690" s="8" t="s">
        <v>564</v>
      </c>
      <c r="F7690" s="8" t="s">
        <v>3317</v>
      </c>
    </row>
    <row r="7691" spans="1:6" ht="60" x14ac:dyDescent="0.25">
      <c r="A7691" s="8" t="s">
        <v>125</v>
      </c>
      <c r="B7691" s="8" t="s">
        <v>159</v>
      </c>
      <c r="C7691" s="8" t="str">
        <f>IFERROR(_xlfn.XLOOKUP(TRIM(B7691),Lookup!$B$2:$B$1000,Lookup!$C$2:$C$1000),"")</f>
        <v>Equity</v>
      </c>
      <c r="D7691" s="8" t="str">
        <f>IFERROR(INDEX('nav master'!$C:$C, MATCH(B7691, 'nav master'!$B:$B, 0)), "")</f>
        <v>ULIF08219/09/25TopMF500Fd101</v>
      </c>
      <c r="E7691" s="8" t="s">
        <v>566</v>
      </c>
      <c r="F7691" s="8" t="s">
        <v>3318</v>
      </c>
    </row>
    <row r="7692" spans="1:6" ht="60" x14ac:dyDescent="0.25">
      <c r="A7692" s="8" t="s">
        <v>125</v>
      </c>
      <c r="B7692" s="8" t="s">
        <v>159</v>
      </c>
      <c r="C7692" s="8" t="str">
        <f>IFERROR(_xlfn.XLOOKUP(TRIM(B7692),Lookup!$B$2:$B$1000,Lookup!$C$2:$C$1000),"")</f>
        <v>Equity</v>
      </c>
      <c r="D7692" s="8" t="str">
        <f>IFERROR(INDEX('nav master'!$C:$C, MATCH(B7692, 'nav master'!$B:$B, 0)), "")</f>
        <v>ULIF08219/09/25TopMF500Fd101</v>
      </c>
      <c r="E7692" s="8" t="s">
        <v>568</v>
      </c>
      <c r="F7692" s="8" t="s">
        <v>3319</v>
      </c>
    </row>
    <row r="7693" spans="1:6" ht="60" x14ac:dyDescent="0.25">
      <c r="A7693" s="8" t="s">
        <v>125</v>
      </c>
      <c r="B7693" s="8" t="s">
        <v>159</v>
      </c>
      <c r="C7693" s="8" t="str">
        <f>IFERROR(_xlfn.XLOOKUP(TRIM(B7693),Lookup!$B$2:$B$1000,Lookup!$C$2:$C$1000),"")</f>
        <v>Equity</v>
      </c>
      <c r="D7693" s="8" t="str">
        <f>IFERROR(INDEX('nav master'!$C:$C, MATCH(B7693, 'nav master'!$B:$B, 0)), "")</f>
        <v>ULIF08219/09/25TopMF500Fd101</v>
      </c>
      <c r="E7693" s="8" t="s">
        <v>570</v>
      </c>
      <c r="F7693" s="8" t="s">
        <v>3320</v>
      </c>
    </row>
    <row r="7694" spans="1:6" ht="60" x14ac:dyDescent="0.25">
      <c r="A7694" s="8" t="s">
        <v>125</v>
      </c>
      <c r="B7694" s="8" t="s">
        <v>159</v>
      </c>
      <c r="C7694" s="8" t="str">
        <f>IFERROR(_xlfn.XLOOKUP(TRIM(B7694),Lookup!$B$2:$B$1000,Lookup!$C$2:$C$1000),"")</f>
        <v>Equity</v>
      </c>
      <c r="D7694" s="8" t="str">
        <f>IFERROR(INDEX('nav master'!$C:$C, MATCH(B7694, 'nav master'!$B:$B, 0)), "")</f>
        <v>ULIF08219/09/25TopMF500Fd101</v>
      </c>
      <c r="E7694" s="8" t="s">
        <v>572</v>
      </c>
      <c r="F7694" s="8" t="s">
        <v>3321</v>
      </c>
    </row>
    <row r="7695" spans="1:6" ht="60" x14ac:dyDescent="0.25">
      <c r="A7695" s="8" t="s">
        <v>125</v>
      </c>
      <c r="B7695" s="8" t="s">
        <v>159</v>
      </c>
      <c r="C7695" s="8" t="str">
        <f>IFERROR(_xlfn.XLOOKUP(TRIM(B7695),Lookup!$B$2:$B$1000,Lookup!$C$2:$C$1000),"")</f>
        <v>Equity</v>
      </c>
      <c r="D7695" s="8" t="str">
        <f>IFERROR(INDEX('nav master'!$C:$C, MATCH(B7695, 'nav master'!$B:$B, 0)), "")</f>
        <v>ULIF08219/09/25TopMF500Fd101</v>
      </c>
      <c r="E7695" s="8" t="s">
        <v>574</v>
      </c>
      <c r="F7695" s="8" t="s">
        <v>3322</v>
      </c>
    </row>
    <row r="7696" spans="1:6" ht="60" x14ac:dyDescent="0.25">
      <c r="A7696" s="8" t="s">
        <v>125</v>
      </c>
      <c r="B7696" s="8" t="s">
        <v>159</v>
      </c>
      <c r="C7696" s="8" t="str">
        <f>IFERROR(_xlfn.XLOOKUP(TRIM(B7696),Lookup!$B$2:$B$1000,Lookup!$C$2:$C$1000),"")</f>
        <v>Equity</v>
      </c>
      <c r="D7696" s="8" t="str">
        <f>IFERROR(INDEX('nav master'!$C:$C, MATCH(B7696, 'nav master'!$B:$B, 0)), "")</f>
        <v>ULIF08219/09/25TopMF500Fd101</v>
      </c>
      <c r="E7696" s="8" t="s">
        <v>576</v>
      </c>
      <c r="F7696" s="8" t="s">
        <v>3323</v>
      </c>
    </row>
    <row r="7697" spans="1:6" ht="60" x14ac:dyDescent="0.25">
      <c r="A7697" s="8" t="s">
        <v>125</v>
      </c>
      <c r="B7697" s="8" t="s">
        <v>159</v>
      </c>
      <c r="C7697" s="8" t="str">
        <f>IFERROR(_xlfn.XLOOKUP(TRIM(B7697),Lookup!$B$2:$B$1000,Lookup!$C$2:$C$1000),"")</f>
        <v>Equity</v>
      </c>
      <c r="D7697" s="8" t="str">
        <f>IFERROR(INDEX('nav master'!$C:$C, MATCH(B7697, 'nav master'!$B:$B, 0)), "")</f>
        <v>ULIF08219/09/25TopMF500Fd101</v>
      </c>
      <c r="E7697" s="8" t="s">
        <v>578</v>
      </c>
      <c r="F7697" s="8" t="s">
        <v>3324</v>
      </c>
    </row>
    <row r="7698" spans="1:6" ht="60" x14ac:dyDescent="0.25">
      <c r="A7698" s="8" t="s">
        <v>125</v>
      </c>
      <c r="B7698" s="8" t="s">
        <v>159</v>
      </c>
      <c r="C7698" s="8" t="str">
        <f>IFERROR(_xlfn.XLOOKUP(TRIM(B7698),Lookup!$B$2:$B$1000,Lookup!$C$2:$C$1000),"")</f>
        <v>Equity</v>
      </c>
      <c r="D7698" s="8" t="str">
        <f>IFERROR(INDEX('nav master'!$C:$C, MATCH(B7698, 'nav master'!$B:$B, 0)), "")</f>
        <v>ULIF08219/09/25TopMF500Fd101</v>
      </c>
      <c r="E7698" s="8" t="s">
        <v>580</v>
      </c>
      <c r="F7698" s="8" t="s">
        <v>3325</v>
      </c>
    </row>
    <row r="7699" spans="1:6" ht="60" x14ac:dyDescent="0.25">
      <c r="A7699" s="8" t="s">
        <v>125</v>
      </c>
      <c r="B7699" s="8" t="s">
        <v>159</v>
      </c>
      <c r="C7699" s="8" t="str">
        <f>IFERROR(_xlfn.XLOOKUP(TRIM(B7699),Lookup!$B$2:$B$1000,Lookup!$C$2:$C$1000),"")</f>
        <v>Equity</v>
      </c>
      <c r="D7699" s="8" t="str">
        <f>IFERROR(INDEX('nav master'!$C:$C, MATCH(B7699, 'nav master'!$B:$B, 0)), "")</f>
        <v>ULIF08219/09/25TopMF500Fd101</v>
      </c>
      <c r="E7699" s="8" t="s">
        <v>582</v>
      </c>
      <c r="F7699" s="8" t="s">
        <v>3326</v>
      </c>
    </row>
    <row r="7700" spans="1:6" ht="60" x14ac:dyDescent="0.25">
      <c r="A7700" s="8" t="s">
        <v>125</v>
      </c>
      <c r="B7700" s="8" t="s">
        <v>159</v>
      </c>
      <c r="C7700" s="8" t="str">
        <f>IFERROR(_xlfn.XLOOKUP(TRIM(B7700),Lookup!$B$2:$B$1000,Lookup!$C$2:$C$1000),"")</f>
        <v>Equity</v>
      </c>
      <c r="D7700" s="8" t="str">
        <f>IFERROR(INDEX('nav master'!$C:$C, MATCH(B7700, 'nav master'!$B:$B, 0)), "")</f>
        <v>ULIF08219/09/25TopMF500Fd101</v>
      </c>
      <c r="E7700" s="8" t="s">
        <v>584</v>
      </c>
      <c r="F7700" s="8" t="s">
        <v>3327</v>
      </c>
    </row>
    <row r="7701" spans="1:6" ht="60" x14ac:dyDescent="0.25">
      <c r="A7701" s="8" t="s">
        <v>125</v>
      </c>
      <c r="B7701" s="8" t="s">
        <v>159</v>
      </c>
      <c r="C7701" s="8" t="str">
        <f>IFERROR(_xlfn.XLOOKUP(TRIM(B7701),Lookup!$B$2:$B$1000,Lookup!$C$2:$C$1000),"")</f>
        <v>Equity</v>
      </c>
      <c r="D7701" s="8" t="str">
        <f>IFERROR(INDEX('nav master'!$C:$C, MATCH(B7701, 'nav master'!$B:$B, 0)), "")</f>
        <v>ULIF08219/09/25TopMF500Fd101</v>
      </c>
      <c r="E7701" s="8" t="s">
        <v>586</v>
      </c>
      <c r="F7701" s="8" t="s">
        <v>3328</v>
      </c>
    </row>
    <row r="7702" spans="1:6" ht="60" x14ac:dyDescent="0.25">
      <c r="A7702" s="8" t="s">
        <v>125</v>
      </c>
      <c r="B7702" s="8" t="s">
        <v>159</v>
      </c>
      <c r="C7702" s="8" t="str">
        <f>IFERROR(_xlfn.XLOOKUP(TRIM(B7702),Lookup!$B$2:$B$1000,Lookup!$C$2:$C$1000),"")</f>
        <v>Equity</v>
      </c>
      <c r="D7702" s="8" t="str">
        <f>IFERROR(INDEX('nav master'!$C:$C, MATCH(B7702, 'nav master'!$B:$B, 0)), "")</f>
        <v>ULIF08219/09/25TopMF500Fd101</v>
      </c>
      <c r="E7702" s="8" t="s">
        <v>588</v>
      </c>
      <c r="F7702" s="8" t="s">
        <v>3329</v>
      </c>
    </row>
    <row r="7703" spans="1:6" ht="60" x14ac:dyDescent="0.25">
      <c r="A7703" s="8" t="s">
        <v>125</v>
      </c>
      <c r="B7703" s="8" t="s">
        <v>159</v>
      </c>
      <c r="C7703" s="8" t="str">
        <f>IFERROR(_xlfn.XLOOKUP(TRIM(B7703),Lookup!$B$2:$B$1000,Lookup!$C$2:$C$1000),"")</f>
        <v>Equity</v>
      </c>
      <c r="D7703" s="8" t="str">
        <f>IFERROR(INDEX('nav master'!$C:$C, MATCH(B7703, 'nav master'!$B:$B, 0)), "")</f>
        <v>ULIF08219/09/25TopMF500Fd101</v>
      </c>
      <c r="E7703" s="8" t="s">
        <v>590</v>
      </c>
      <c r="F7703" s="8" t="s">
        <v>1610</v>
      </c>
    </row>
    <row r="7704" spans="1:6" ht="60" x14ac:dyDescent="0.25">
      <c r="A7704" s="8" t="s">
        <v>125</v>
      </c>
      <c r="B7704" s="8" t="s">
        <v>159</v>
      </c>
      <c r="C7704" s="8" t="str">
        <f>IFERROR(_xlfn.XLOOKUP(TRIM(B7704),Lookup!$B$2:$B$1000,Lookup!$C$2:$C$1000),"")</f>
        <v>Equity</v>
      </c>
      <c r="D7704" s="8" t="str">
        <f>IFERROR(INDEX('nav master'!$C:$C, MATCH(B7704, 'nav master'!$B:$B, 0)), "")</f>
        <v>ULIF08219/09/25TopMF500Fd101</v>
      </c>
      <c r="E7704" s="8" t="s">
        <v>592</v>
      </c>
      <c r="F7704" s="8" t="s">
        <v>3330</v>
      </c>
    </row>
    <row r="7705" spans="1:6" ht="60" x14ac:dyDescent="0.25">
      <c r="A7705" s="8" t="s">
        <v>125</v>
      </c>
      <c r="B7705" s="8" t="s">
        <v>159</v>
      </c>
      <c r="C7705" s="8" t="str">
        <f>IFERROR(_xlfn.XLOOKUP(TRIM(B7705),Lookup!$B$2:$B$1000,Lookup!$C$2:$C$1000),"")</f>
        <v>Equity</v>
      </c>
      <c r="D7705" s="8" t="str">
        <f>IFERROR(INDEX('nav master'!$C:$C, MATCH(B7705, 'nav master'!$B:$B, 0)), "")</f>
        <v>ULIF08219/09/25TopMF500Fd101</v>
      </c>
      <c r="E7705" s="8" t="s">
        <v>594</v>
      </c>
      <c r="F7705" s="8" t="s">
        <v>3331</v>
      </c>
    </row>
    <row r="7706" spans="1:6" ht="60" x14ac:dyDescent="0.25">
      <c r="A7706" s="8" t="s">
        <v>125</v>
      </c>
      <c r="B7706" s="8" t="s">
        <v>159</v>
      </c>
      <c r="C7706" s="8" t="str">
        <f>IFERROR(_xlfn.XLOOKUP(TRIM(B7706),Lookup!$B$2:$B$1000,Lookup!$C$2:$C$1000),"")</f>
        <v>Equity</v>
      </c>
      <c r="D7706" s="8" t="str">
        <f>IFERROR(INDEX('nav master'!$C:$C, MATCH(B7706, 'nav master'!$B:$B, 0)), "")</f>
        <v>ULIF08219/09/25TopMF500Fd101</v>
      </c>
      <c r="E7706" s="8" t="s">
        <v>596</v>
      </c>
      <c r="F7706" s="8" t="s">
        <v>3332</v>
      </c>
    </row>
    <row r="7707" spans="1:6" ht="60" x14ac:dyDescent="0.25">
      <c r="A7707" s="8" t="s">
        <v>125</v>
      </c>
      <c r="B7707" s="8" t="s">
        <v>159</v>
      </c>
      <c r="C7707" s="8" t="str">
        <f>IFERROR(_xlfn.XLOOKUP(TRIM(B7707),Lookup!$B$2:$B$1000,Lookup!$C$2:$C$1000),"")</f>
        <v>Equity</v>
      </c>
      <c r="D7707" s="8" t="str">
        <f>IFERROR(INDEX('nav master'!$C:$C, MATCH(B7707, 'nav master'!$B:$B, 0)), "")</f>
        <v>ULIF08219/09/25TopMF500Fd101</v>
      </c>
      <c r="E7707" s="8" t="s">
        <v>598</v>
      </c>
      <c r="F7707" s="8" t="s">
        <v>3333</v>
      </c>
    </row>
    <row r="7708" spans="1:6" ht="60" x14ac:dyDescent="0.25">
      <c r="A7708" s="8" t="s">
        <v>125</v>
      </c>
      <c r="B7708" s="8" t="s">
        <v>159</v>
      </c>
      <c r="C7708" s="8" t="str">
        <f>IFERROR(_xlfn.XLOOKUP(TRIM(B7708),Lookup!$B$2:$B$1000,Lookup!$C$2:$C$1000),"")</f>
        <v>Equity</v>
      </c>
      <c r="D7708" s="8" t="str">
        <f>IFERROR(INDEX('nav master'!$C:$C, MATCH(B7708, 'nav master'!$B:$B, 0)), "")</f>
        <v>ULIF08219/09/25TopMF500Fd101</v>
      </c>
      <c r="E7708" s="8" t="s">
        <v>600</v>
      </c>
      <c r="F7708" s="8" t="s">
        <v>3334</v>
      </c>
    </row>
    <row r="7709" spans="1:6" ht="60" x14ac:dyDescent="0.25">
      <c r="A7709" s="8" t="s">
        <v>125</v>
      </c>
      <c r="B7709" s="8" t="s">
        <v>159</v>
      </c>
      <c r="C7709" s="8" t="str">
        <f>IFERROR(_xlfn.XLOOKUP(TRIM(B7709),Lookup!$B$2:$B$1000,Lookup!$C$2:$C$1000),"")</f>
        <v>Equity</v>
      </c>
      <c r="D7709" s="8" t="str">
        <f>IFERROR(INDEX('nav master'!$C:$C, MATCH(B7709, 'nav master'!$B:$B, 0)), "")</f>
        <v>ULIF08219/09/25TopMF500Fd101</v>
      </c>
      <c r="E7709" s="8" t="s">
        <v>602</v>
      </c>
      <c r="F7709" s="8" t="s">
        <v>3335</v>
      </c>
    </row>
    <row r="7710" spans="1:6" ht="60" x14ac:dyDescent="0.25">
      <c r="A7710" s="8" t="s">
        <v>125</v>
      </c>
      <c r="B7710" s="8" t="s">
        <v>159</v>
      </c>
      <c r="C7710" s="8" t="str">
        <f>IFERROR(_xlfn.XLOOKUP(TRIM(B7710),Lookup!$B$2:$B$1000,Lookup!$C$2:$C$1000),"")</f>
        <v>Equity</v>
      </c>
      <c r="D7710" s="8" t="str">
        <f>IFERROR(INDEX('nav master'!$C:$C, MATCH(B7710, 'nav master'!$B:$B, 0)), "")</f>
        <v>ULIF08219/09/25TopMF500Fd101</v>
      </c>
      <c r="E7710" s="8" t="s">
        <v>604</v>
      </c>
      <c r="F7710" s="8" t="s">
        <v>3336</v>
      </c>
    </row>
    <row r="7711" spans="1:6" ht="60" x14ac:dyDescent="0.25">
      <c r="A7711" s="8" t="s">
        <v>125</v>
      </c>
      <c r="B7711" s="8" t="s">
        <v>159</v>
      </c>
      <c r="C7711" s="8" t="str">
        <f>IFERROR(_xlfn.XLOOKUP(TRIM(B7711),Lookup!$B$2:$B$1000,Lookup!$C$2:$C$1000),"")</f>
        <v>Equity</v>
      </c>
      <c r="D7711" s="8" t="str">
        <f>IFERROR(INDEX('nav master'!$C:$C, MATCH(B7711, 'nav master'!$B:$B, 0)), "")</f>
        <v>ULIF08219/09/25TopMF500Fd101</v>
      </c>
      <c r="E7711" s="8" t="s">
        <v>606</v>
      </c>
      <c r="F7711" s="8" t="s">
        <v>3337</v>
      </c>
    </row>
    <row r="7712" spans="1:6" ht="60" x14ac:dyDescent="0.25">
      <c r="A7712" s="8" t="s">
        <v>125</v>
      </c>
      <c r="B7712" s="8" t="s">
        <v>159</v>
      </c>
      <c r="C7712" s="8" t="str">
        <f>IFERROR(_xlfn.XLOOKUP(TRIM(B7712),Lookup!$B$2:$B$1000,Lookup!$C$2:$C$1000),"")</f>
        <v>Equity</v>
      </c>
      <c r="D7712" s="8" t="str">
        <f>IFERROR(INDEX('nav master'!$C:$C, MATCH(B7712, 'nav master'!$B:$B, 0)), "")</f>
        <v>ULIF08219/09/25TopMF500Fd101</v>
      </c>
      <c r="E7712" s="8" t="s">
        <v>608</v>
      </c>
      <c r="F7712" s="8" t="s">
        <v>3338</v>
      </c>
    </row>
    <row r="7713" spans="1:6" ht="60" x14ac:dyDescent="0.25">
      <c r="A7713" s="8" t="s">
        <v>125</v>
      </c>
      <c r="B7713" s="8" t="s">
        <v>159</v>
      </c>
      <c r="C7713" s="8" t="str">
        <f>IFERROR(_xlfn.XLOOKUP(TRIM(B7713),Lookup!$B$2:$B$1000,Lookup!$C$2:$C$1000),"")</f>
        <v>Equity</v>
      </c>
      <c r="D7713" s="8" t="str">
        <f>IFERROR(INDEX('nav master'!$C:$C, MATCH(B7713, 'nav master'!$B:$B, 0)), "")</f>
        <v>ULIF08219/09/25TopMF500Fd101</v>
      </c>
      <c r="E7713" s="8" t="s">
        <v>610</v>
      </c>
      <c r="F7713" s="8" t="s">
        <v>3339</v>
      </c>
    </row>
    <row r="7714" spans="1:6" ht="60" x14ac:dyDescent="0.25">
      <c r="A7714" s="8" t="s">
        <v>125</v>
      </c>
      <c r="B7714" s="8" t="s">
        <v>159</v>
      </c>
      <c r="C7714" s="8" t="str">
        <f>IFERROR(_xlfn.XLOOKUP(TRIM(B7714),Lookup!$B$2:$B$1000,Lookup!$C$2:$C$1000),"")</f>
        <v>Equity</v>
      </c>
      <c r="D7714" s="8" t="str">
        <f>IFERROR(INDEX('nav master'!$C:$C, MATCH(B7714, 'nav master'!$B:$B, 0)), "")</f>
        <v>ULIF08219/09/25TopMF500Fd101</v>
      </c>
      <c r="E7714" s="8" t="s">
        <v>612</v>
      </c>
      <c r="F7714" s="8" t="s">
        <v>3340</v>
      </c>
    </row>
    <row r="7715" spans="1:6" ht="60" x14ac:dyDescent="0.25">
      <c r="A7715" s="8" t="s">
        <v>125</v>
      </c>
      <c r="B7715" s="8" t="s">
        <v>159</v>
      </c>
      <c r="C7715" s="8" t="str">
        <f>IFERROR(_xlfn.XLOOKUP(TRIM(B7715),Lookup!$B$2:$B$1000,Lookup!$C$2:$C$1000),"")</f>
        <v>Equity</v>
      </c>
      <c r="D7715" s="8" t="str">
        <f>IFERROR(INDEX('nav master'!$C:$C, MATCH(B7715, 'nav master'!$B:$B, 0)), "")</f>
        <v>ULIF08219/09/25TopMF500Fd101</v>
      </c>
      <c r="E7715" s="8" t="s">
        <v>614</v>
      </c>
      <c r="F7715" s="8" t="s">
        <v>3341</v>
      </c>
    </row>
    <row r="7716" spans="1:6" ht="60" x14ac:dyDescent="0.25">
      <c r="A7716" s="8" t="s">
        <v>125</v>
      </c>
      <c r="B7716" s="8" t="s">
        <v>159</v>
      </c>
      <c r="C7716" s="8" t="str">
        <f>IFERROR(_xlfn.XLOOKUP(TRIM(B7716),Lookup!$B$2:$B$1000,Lookup!$C$2:$C$1000),"")</f>
        <v>Equity</v>
      </c>
      <c r="D7716" s="8" t="str">
        <f>IFERROR(INDEX('nav master'!$C:$C, MATCH(B7716, 'nav master'!$B:$B, 0)), "")</f>
        <v>ULIF08219/09/25TopMF500Fd101</v>
      </c>
      <c r="E7716" s="8" t="s">
        <v>616</v>
      </c>
      <c r="F7716" s="8" t="s">
        <v>3342</v>
      </c>
    </row>
    <row r="7717" spans="1:6" ht="60" x14ac:dyDescent="0.25">
      <c r="A7717" s="8" t="s">
        <v>125</v>
      </c>
      <c r="B7717" s="8" t="s">
        <v>159</v>
      </c>
      <c r="C7717" s="8" t="str">
        <f>IFERROR(_xlfn.XLOOKUP(TRIM(B7717),Lookup!$B$2:$B$1000,Lookup!$C$2:$C$1000),"")</f>
        <v>Equity</v>
      </c>
      <c r="D7717" s="8" t="str">
        <f>IFERROR(INDEX('nav master'!$C:$C, MATCH(B7717, 'nav master'!$B:$B, 0)), "")</f>
        <v>ULIF08219/09/25TopMF500Fd101</v>
      </c>
      <c r="E7717" s="8" t="s">
        <v>618</v>
      </c>
      <c r="F7717" s="8" t="s">
        <v>3343</v>
      </c>
    </row>
    <row r="7718" spans="1:6" ht="60" x14ac:dyDescent="0.25">
      <c r="A7718" s="8" t="s">
        <v>125</v>
      </c>
      <c r="B7718" s="8" t="s">
        <v>159</v>
      </c>
      <c r="C7718" s="8" t="str">
        <f>IFERROR(_xlfn.XLOOKUP(TRIM(B7718),Lookup!$B$2:$B$1000,Lookup!$C$2:$C$1000),"")</f>
        <v>Equity</v>
      </c>
      <c r="D7718" s="8" t="str">
        <f>IFERROR(INDEX('nav master'!$C:$C, MATCH(B7718, 'nav master'!$B:$B, 0)), "")</f>
        <v>ULIF08219/09/25TopMF500Fd101</v>
      </c>
      <c r="E7718" s="8" t="s">
        <v>620</v>
      </c>
      <c r="F7718" s="8" t="s">
        <v>3344</v>
      </c>
    </row>
    <row r="7719" spans="1:6" ht="60" x14ac:dyDescent="0.25">
      <c r="A7719" s="8" t="s">
        <v>125</v>
      </c>
      <c r="B7719" s="8" t="s">
        <v>159</v>
      </c>
      <c r="C7719" s="8" t="str">
        <f>IFERROR(_xlfn.XLOOKUP(TRIM(B7719),Lookup!$B$2:$B$1000,Lookup!$C$2:$C$1000),"")</f>
        <v>Equity</v>
      </c>
      <c r="D7719" s="8" t="str">
        <f>IFERROR(INDEX('nav master'!$C:$C, MATCH(B7719, 'nav master'!$B:$B, 0)), "")</f>
        <v>ULIF08219/09/25TopMF500Fd101</v>
      </c>
      <c r="E7719" s="8" t="s">
        <v>622</v>
      </c>
      <c r="F7719" s="8" t="s">
        <v>3345</v>
      </c>
    </row>
    <row r="7720" spans="1:6" ht="60" x14ac:dyDescent="0.25">
      <c r="A7720" s="8" t="s">
        <v>125</v>
      </c>
      <c r="B7720" s="8" t="s">
        <v>159</v>
      </c>
      <c r="C7720" s="8" t="str">
        <f>IFERROR(_xlfn.XLOOKUP(TRIM(B7720),Lookup!$B$2:$B$1000,Lookup!$C$2:$C$1000),"")</f>
        <v>Equity</v>
      </c>
      <c r="D7720" s="8" t="str">
        <f>IFERROR(INDEX('nav master'!$C:$C, MATCH(B7720, 'nav master'!$B:$B, 0)), "")</f>
        <v>ULIF08219/09/25TopMF500Fd101</v>
      </c>
      <c r="E7720" s="8" t="s">
        <v>624</v>
      </c>
      <c r="F7720" s="8" t="s">
        <v>3346</v>
      </c>
    </row>
    <row r="7721" spans="1:6" ht="60" x14ac:dyDescent="0.25">
      <c r="A7721" s="8" t="s">
        <v>125</v>
      </c>
      <c r="B7721" s="8" t="s">
        <v>159</v>
      </c>
      <c r="C7721" s="8" t="str">
        <f>IFERROR(_xlfn.XLOOKUP(TRIM(B7721),Lookup!$B$2:$B$1000,Lookup!$C$2:$C$1000),"")</f>
        <v>Equity</v>
      </c>
      <c r="D7721" s="8" t="str">
        <f>IFERROR(INDEX('nav master'!$C:$C, MATCH(B7721, 'nav master'!$B:$B, 0)), "")</f>
        <v>ULIF08219/09/25TopMF500Fd101</v>
      </c>
      <c r="E7721" s="8" t="s">
        <v>626</v>
      </c>
      <c r="F7721" s="8" t="s">
        <v>3347</v>
      </c>
    </row>
    <row r="7722" spans="1:6" ht="60" x14ac:dyDescent="0.25">
      <c r="A7722" s="8" t="s">
        <v>125</v>
      </c>
      <c r="B7722" s="8" t="s">
        <v>159</v>
      </c>
      <c r="C7722" s="8" t="str">
        <f>IFERROR(_xlfn.XLOOKUP(TRIM(B7722),Lookup!$B$2:$B$1000,Lookup!$C$2:$C$1000),"")</f>
        <v>Equity</v>
      </c>
      <c r="D7722" s="8" t="str">
        <f>IFERROR(INDEX('nav master'!$C:$C, MATCH(B7722, 'nav master'!$B:$B, 0)), "")</f>
        <v>ULIF08219/09/25TopMF500Fd101</v>
      </c>
      <c r="E7722" s="8" t="s">
        <v>628</v>
      </c>
      <c r="F7722" s="8" t="s">
        <v>3348</v>
      </c>
    </row>
    <row r="7723" spans="1:6" ht="60" x14ac:dyDescent="0.25">
      <c r="A7723" s="8" t="s">
        <v>125</v>
      </c>
      <c r="B7723" s="8" t="s">
        <v>159</v>
      </c>
      <c r="C7723" s="8" t="str">
        <f>IFERROR(_xlfn.XLOOKUP(TRIM(B7723),Lookup!$B$2:$B$1000,Lookup!$C$2:$C$1000),"")</f>
        <v>Equity</v>
      </c>
      <c r="D7723" s="8" t="str">
        <f>IFERROR(INDEX('nav master'!$C:$C, MATCH(B7723, 'nav master'!$B:$B, 0)), "")</f>
        <v>ULIF08219/09/25TopMF500Fd101</v>
      </c>
      <c r="E7723" s="8" t="s">
        <v>630</v>
      </c>
      <c r="F7723" s="8" t="s">
        <v>3349</v>
      </c>
    </row>
    <row r="7724" spans="1:6" ht="60" x14ac:dyDescent="0.25">
      <c r="A7724" s="8" t="s">
        <v>125</v>
      </c>
      <c r="B7724" s="8" t="s">
        <v>159</v>
      </c>
      <c r="C7724" s="8" t="str">
        <f>IFERROR(_xlfn.XLOOKUP(TRIM(B7724),Lookup!$B$2:$B$1000,Lookup!$C$2:$C$1000),"")</f>
        <v>Equity</v>
      </c>
      <c r="D7724" s="8" t="str">
        <f>IFERROR(INDEX('nav master'!$C:$C, MATCH(B7724, 'nav master'!$B:$B, 0)), "")</f>
        <v>ULIF08219/09/25TopMF500Fd101</v>
      </c>
      <c r="E7724" s="8" t="s">
        <v>632</v>
      </c>
      <c r="F7724" s="8" t="s">
        <v>3350</v>
      </c>
    </row>
    <row r="7725" spans="1:6" ht="60" x14ac:dyDescent="0.25">
      <c r="A7725" s="8" t="s">
        <v>125</v>
      </c>
      <c r="B7725" s="8" t="s">
        <v>159</v>
      </c>
      <c r="C7725" s="8" t="str">
        <f>IFERROR(_xlfn.XLOOKUP(TRIM(B7725),Lookup!$B$2:$B$1000,Lookup!$C$2:$C$1000),"")</f>
        <v>Equity</v>
      </c>
      <c r="D7725" s="8" t="str">
        <f>IFERROR(INDEX('nav master'!$C:$C, MATCH(B7725, 'nav master'!$B:$B, 0)), "")</f>
        <v>ULIF08219/09/25TopMF500Fd101</v>
      </c>
      <c r="E7725" s="8" t="s">
        <v>634</v>
      </c>
      <c r="F7725" s="8" t="s">
        <v>3351</v>
      </c>
    </row>
    <row r="7726" spans="1:6" ht="60" x14ac:dyDescent="0.25">
      <c r="A7726" s="8" t="s">
        <v>125</v>
      </c>
      <c r="B7726" s="8" t="s">
        <v>159</v>
      </c>
      <c r="C7726" s="8" t="str">
        <f>IFERROR(_xlfn.XLOOKUP(TRIM(B7726),Lookup!$B$2:$B$1000,Lookup!$C$2:$C$1000),"")</f>
        <v>Equity</v>
      </c>
      <c r="D7726" s="8" t="str">
        <f>IFERROR(INDEX('nav master'!$C:$C, MATCH(B7726, 'nav master'!$B:$B, 0)), "")</f>
        <v>ULIF08219/09/25TopMF500Fd101</v>
      </c>
      <c r="E7726" s="8" t="s">
        <v>636</v>
      </c>
      <c r="F7726" s="8" t="s">
        <v>3352</v>
      </c>
    </row>
    <row r="7727" spans="1:6" ht="60" x14ac:dyDescent="0.25">
      <c r="A7727" s="8" t="s">
        <v>125</v>
      </c>
      <c r="B7727" s="8" t="s">
        <v>159</v>
      </c>
      <c r="C7727" s="8" t="str">
        <f>IFERROR(_xlfn.XLOOKUP(TRIM(B7727),Lookup!$B$2:$B$1000,Lookup!$C$2:$C$1000),"")</f>
        <v>Equity</v>
      </c>
      <c r="D7727" s="8" t="str">
        <f>IFERROR(INDEX('nav master'!$C:$C, MATCH(B7727, 'nav master'!$B:$B, 0)), "")</f>
        <v>ULIF08219/09/25TopMF500Fd101</v>
      </c>
      <c r="E7727" s="8" t="s">
        <v>638</v>
      </c>
      <c r="F7727" s="8" t="s">
        <v>3353</v>
      </c>
    </row>
    <row r="7728" spans="1:6" ht="60" x14ac:dyDescent="0.25">
      <c r="A7728" s="8" t="s">
        <v>125</v>
      </c>
      <c r="B7728" s="8" t="s">
        <v>159</v>
      </c>
      <c r="C7728" s="8" t="str">
        <f>IFERROR(_xlfn.XLOOKUP(TRIM(B7728),Lookup!$B$2:$B$1000,Lookup!$C$2:$C$1000),"")</f>
        <v>Equity</v>
      </c>
      <c r="D7728" s="8" t="str">
        <f>IFERROR(INDEX('nav master'!$C:$C, MATCH(B7728, 'nav master'!$B:$B, 0)), "")</f>
        <v>ULIF08219/09/25TopMF500Fd101</v>
      </c>
      <c r="E7728" s="8" t="s">
        <v>640</v>
      </c>
      <c r="F7728" s="8" t="s">
        <v>3354</v>
      </c>
    </row>
    <row r="7729" spans="1:6" ht="60" x14ac:dyDescent="0.25">
      <c r="A7729" s="8" t="s">
        <v>125</v>
      </c>
      <c r="B7729" s="8" t="s">
        <v>159</v>
      </c>
      <c r="C7729" s="8" t="str">
        <f>IFERROR(_xlfn.XLOOKUP(TRIM(B7729),Lookup!$B$2:$B$1000,Lookup!$C$2:$C$1000),"")</f>
        <v>Equity</v>
      </c>
      <c r="D7729" s="8" t="str">
        <f>IFERROR(INDEX('nav master'!$C:$C, MATCH(B7729, 'nav master'!$B:$B, 0)), "")</f>
        <v>ULIF08219/09/25TopMF500Fd101</v>
      </c>
      <c r="E7729" s="8" t="s">
        <v>642</v>
      </c>
      <c r="F7729" s="8" t="s">
        <v>3355</v>
      </c>
    </row>
    <row r="7730" spans="1:6" ht="60" x14ac:dyDescent="0.25">
      <c r="A7730" s="8" t="s">
        <v>125</v>
      </c>
      <c r="B7730" s="8" t="s">
        <v>159</v>
      </c>
      <c r="C7730" s="8" t="str">
        <f>IFERROR(_xlfn.XLOOKUP(TRIM(B7730),Lookup!$B$2:$B$1000,Lookup!$C$2:$C$1000),"")</f>
        <v>Equity</v>
      </c>
      <c r="D7730" s="8" t="str">
        <f>IFERROR(INDEX('nav master'!$C:$C, MATCH(B7730, 'nav master'!$B:$B, 0)), "")</f>
        <v>ULIF08219/09/25TopMF500Fd101</v>
      </c>
      <c r="E7730" s="8" t="s">
        <v>644</v>
      </c>
      <c r="F7730" s="8" t="s">
        <v>3356</v>
      </c>
    </row>
    <row r="7731" spans="1:6" ht="60" x14ac:dyDescent="0.25">
      <c r="A7731" s="8" t="s">
        <v>125</v>
      </c>
      <c r="B7731" s="8" t="s">
        <v>159</v>
      </c>
      <c r="C7731" s="8" t="str">
        <f>IFERROR(_xlfn.XLOOKUP(TRIM(B7731),Lookup!$B$2:$B$1000,Lookup!$C$2:$C$1000),"")</f>
        <v>Equity</v>
      </c>
      <c r="D7731" s="8" t="str">
        <f>IFERROR(INDEX('nav master'!$C:$C, MATCH(B7731, 'nav master'!$B:$B, 0)), "")</f>
        <v>ULIF08219/09/25TopMF500Fd101</v>
      </c>
      <c r="E7731" s="8" t="s">
        <v>646</v>
      </c>
      <c r="F7731" s="8" t="s">
        <v>3357</v>
      </c>
    </row>
    <row r="7732" spans="1:6" ht="60" x14ac:dyDescent="0.25">
      <c r="A7732" s="8" t="s">
        <v>125</v>
      </c>
      <c r="B7732" s="8" t="s">
        <v>159</v>
      </c>
      <c r="C7732" s="8" t="str">
        <f>IFERROR(_xlfn.XLOOKUP(TRIM(B7732),Lookup!$B$2:$B$1000,Lookup!$C$2:$C$1000),"")</f>
        <v>Equity</v>
      </c>
      <c r="D7732" s="8" t="str">
        <f>IFERROR(INDEX('nav master'!$C:$C, MATCH(B7732, 'nav master'!$B:$B, 0)), "")</f>
        <v>ULIF08219/09/25TopMF500Fd101</v>
      </c>
      <c r="E7732" s="8" t="s">
        <v>648</v>
      </c>
      <c r="F7732" s="8" t="s">
        <v>3358</v>
      </c>
    </row>
    <row r="7733" spans="1:6" ht="60" x14ac:dyDescent="0.25">
      <c r="A7733" s="8" t="s">
        <v>125</v>
      </c>
      <c r="B7733" s="8" t="s">
        <v>159</v>
      </c>
      <c r="C7733" s="8" t="str">
        <f>IFERROR(_xlfn.XLOOKUP(TRIM(B7733),Lookup!$B$2:$B$1000,Lookup!$C$2:$C$1000),"")</f>
        <v>Equity</v>
      </c>
      <c r="D7733" s="8" t="str">
        <f>IFERROR(INDEX('nav master'!$C:$C, MATCH(B7733, 'nav master'!$B:$B, 0)), "")</f>
        <v>ULIF08219/09/25TopMF500Fd101</v>
      </c>
      <c r="E7733" s="8" t="s">
        <v>650</v>
      </c>
      <c r="F7733" s="8" t="s">
        <v>3353</v>
      </c>
    </row>
    <row r="7734" spans="1:6" ht="60" x14ac:dyDescent="0.25">
      <c r="A7734" s="8" t="s">
        <v>125</v>
      </c>
      <c r="B7734" s="8" t="s">
        <v>159</v>
      </c>
      <c r="C7734" s="8" t="str">
        <f>IFERROR(_xlfn.XLOOKUP(TRIM(B7734),Lookup!$B$2:$B$1000,Lookup!$C$2:$C$1000),"")</f>
        <v>Equity</v>
      </c>
      <c r="D7734" s="8" t="str">
        <f>IFERROR(INDEX('nav master'!$C:$C, MATCH(B7734, 'nav master'!$B:$B, 0)), "")</f>
        <v>ULIF08219/09/25TopMF500Fd101</v>
      </c>
      <c r="E7734" s="8" t="s">
        <v>652</v>
      </c>
      <c r="F7734" s="8" t="s">
        <v>3359</v>
      </c>
    </row>
    <row r="7735" spans="1:6" ht="60" x14ac:dyDescent="0.25">
      <c r="A7735" s="8" t="s">
        <v>125</v>
      </c>
      <c r="B7735" s="8" t="s">
        <v>159</v>
      </c>
      <c r="C7735" s="8" t="str">
        <f>IFERROR(_xlfn.XLOOKUP(TRIM(B7735),Lookup!$B$2:$B$1000,Lookup!$C$2:$C$1000),"")</f>
        <v>Equity</v>
      </c>
      <c r="D7735" s="8" t="str">
        <f>IFERROR(INDEX('nav master'!$C:$C, MATCH(B7735, 'nav master'!$B:$B, 0)), "")</f>
        <v>ULIF08219/09/25TopMF500Fd101</v>
      </c>
      <c r="E7735" s="8" t="s">
        <v>654</v>
      </c>
      <c r="F7735" s="8" t="s">
        <v>3360</v>
      </c>
    </row>
    <row r="7736" spans="1:6" ht="60" x14ac:dyDescent="0.25">
      <c r="A7736" s="8" t="s">
        <v>125</v>
      </c>
      <c r="B7736" s="8" t="s">
        <v>159</v>
      </c>
      <c r="C7736" s="8" t="str">
        <f>IFERROR(_xlfn.XLOOKUP(TRIM(B7736),Lookup!$B$2:$B$1000,Lookup!$C$2:$C$1000),"")</f>
        <v>Equity</v>
      </c>
      <c r="D7736" s="8" t="str">
        <f>IFERROR(INDEX('nav master'!$C:$C, MATCH(B7736, 'nav master'!$B:$B, 0)), "")</f>
        <v>ULIF08219/09/25TopMF500Fd101</v>
      </c>
      <c r="E7736" s="8" t="s">
        <v>656</v>
      </c>
      <c r="F7736" s="8" t="s">
        <v>3361</v>
      </c>
    </row>
    <row r="7737" spans="1:6" ht="60" x14ac:dyDescent="0.25">
      <c r="A7737" s="8" t="s">
        <v>125</v>
      </c>
      <c r="B7737" s="8" t="s">
        <v>159</v>
      </c>
      <c r="C7737" s="8" t="str">
        <f>IFERROR(_xlfn.XLOOKUP(TRIM(B7737),Lookup!$B$2:$B$1000,Lookup!$C$2:$C$1000),"")</f>
        <v>Equity</v>
      </c>
      <c r="D7737" s="8" t="str">
        <f>IFERROR(INDEX('nav master'!$C:$C, MATCH(B7737, 'nav master'!$B:$B, 0)), "")</f>
        <v>ULIF08219/09/25TopMF500Fd101</v>
      </c>
      <c r="E7737" s="8" t="s">
        <v>658</v>
      </c>
      <c r="F7737" s="8" t="s">
        <v>1649</v>
      </c>
    </row>
    <row r="7738" spans="1:6" ht="60" x14ac:dyDescent="0.25">
      <c r="A7738" s="8" t="s">
        <v>125</v>
      </c>
      <c r="B7738" s="8" t="s">
        <v>159</v>
      </c>
      <c r="C7738" s="8" t="str">
        <f>IFERROR(_xlfn.XLOOKUP(TRIM(B7738),Lookup!$B$2:$B$1000,Lookup!$C$2:$C$1000),"")</f>
        <v>Equity</v>
      </c>
      <c r="D7738" s="8" t="str">
        <f>IFERROR(INDEX('nav master'!$C:$C, MATCH(B7738, 'nav master'!$B:$B, 0)), "")</f>
        <v>ULIF08219/09/25TopMF500Fd101</v>
      </c>
      <c r="E7738" s="8" t="s">
        <v>660</v>
      </c>
      <c r="F7738" s="8" t="s">
        <v>3362</v>
      </c>
    </row>
    <row r="7739" spans="1:6" ht="60" x14ac:dyDescent="0.25">
      <c r="A7739" s="8" t="s">
        <v>125</v>
      </c>
      <c r="B7739" s="8" t="s">
        <v>159</v>
      </c>
      <c r="C7739" s="8" t="str">
        <f>IFERROR(_xlfn.XLOOKUP(TRIM(B7739),Lookup!$B$2:$B$1000,Lookup!$C$2:$C$1000),"")</f>
        <v>Equity</v>
      </c>
      <c r="D7739" s="8" t="str">
        <f>IFERROR(INDEX('nav master'!$C:$C, MATCH(B7739, 'nav master'!$B:$B, 0)), "")</f>
        <v>ULIF08219/09/25TopMF500Fd101</v>
      </c>
      <c r="E7739" s="8" t="s">
        <v>662</v>
      </c>
      <c r="F7739" s="8" t="s">
        <v>3363</v>
      </c>
    </row>
    <row r="7740" spans="1:6" ht="60" x14ac:dyDescent="0.25">
      <c r="A7740" s="8" t="s">
        <v>125</v>
      </c>
      <c r="B7740" s="8" t="s">
        <v>159</v>
      </c>
      <c r="C7740" s="8" t="str">
        <f>IFERROR(_xlfn.XLOOKUP(TRIM(B7740),Lookup!$B$2:$B$1000,Lookup!$C$2:$C$1000),"")</f>
        <v>Equity</v>
      </c>
      <c r="D7740" s="8" t="str">
        <f>IFERROR(INDEX('nav master'!$C:$C, MATCH(B7740, 'nav master'!$B:$B, 0)), "")</f>
        <v>ULIF08219/09/25TopMF500Fd101</v>
      </c>
      <c r="E7740" s="8" t="s">
        <v>664</v>
      </c>
      <c r="F7740" s="8" t="s">
        <v>3364</v>
      </c>
    </row>
    <row r="7741" spans="1:6" ht="60" x14ac:dyDescent="0.25">
      <c r="A7741" s="8" t="s">
        <v>125</v>
      </c>
      <c r="B7741" s="8" t="s">
        <v>159</v>
      </c>
      <c r="C7741" s="8" t="str">
        <f>IFERROR(_xlfn.XLOOKUP(TRIM(B7741),Lookup!$B$2:$B$1000,Lookup!$C$2:$C$1000),"")</f>
        <v>Equity</v>
      </c>
      <c r="D7741" s="8" t="str">
        <f>IFERROR(INDEX('nav master'!$C:$C, MATCH(B7741, 'nav master'!$B:$B, 0)), "")</f>
        <v>ULIF08219/09/25TopMF500Fd101</v>
      </c>
      <c r="E7741" s="8" t="s">
        <v>4892</v>
      </c>
      <c r="F7741" s="8" t="s">
        <v>4992</v>
      </c>
    </row>
    <row r="7742" spans="1:6" ht="60" x14ac:dyDescent="0.25">
      <c r="A7742" s="8" t="s">
        <v>125</v>
      </c>
      <c r="B7742" s="8" t="s">
        <v>159</v>
      </c>
      <c r="C7742" s="8" t="str">
        <f>IFERROR(_xlfn.XLOOKUP(TRIM(B7742),Lookup!$B$2:$B$1000,Lookup!$C$2:$C$1000),"")</f>
        <v>Equity</v>
      </c>
      <c r="D7742" s="8" t="str">
        <f>IFERROR(INDEX('nav master'!$C:$C, MATCH(B7742, 'nav master'!$B:$B, 0)), "")</f>
        <v>ULIF08219/09/25TopMF500Fd101</v>
      </c>
      <c r="E7742" s="8" t="s">
        <v>4894</v>
      </c>
      <c r="F7742" s="8" t="s">
        <v>4993</v>
      </c>
    </row>
    <row r="7743" spans="1:6" ht="60" x14ac:dyDescent="0.25">
      <c r="A7743" s="8" t="s">
        <v>125</v>
      </c>
      <c r="B7743" s="8" t="s">
        <v>159</v>
      </c>
      <c r="C7743" s="8" t="str">
        <f>IFERROR(_xlfn.XLOOKUP(TRIM(B7743),Lookup!$B$2:$B$1000,Lookup!$C$2:$C$1000),"")</f>
        <v>Equity</v>
      </c>
      <c r="D7743" s="8" t="str">
        <f>IFERROR(INDEX('nav master'!$C:$C, MATCH(B7743, 'nav master'!$B:$B, 0)), "")</f>
        <v>ULIF08219/09/25TopMF500Fd101</v>
      </c>
      <c r="E7743" s="8" t="s">
        <v>4896</v>
      </c>
      <c r="F7743" s="8" t="s">
        <v>2991</v>
      </c>
    </row>
    <row r="7744" spans="1:6" ht="60" x14ac:dyDescent="0.25">
      <c r="A7744" s="8" t="s">
        <v>125</v>
      </c>
      <c r="B7744" s="8" t="s">
        <v>159</v>
      </c>
      <c r="C7744" s="8" t="str">
        <f>IFERROR(_xlfn.XLOOKUP(TRIM(B7744),Lookup!$B$2:$B$1000,Lookup!$C$2:$C$1000),"")</f>
        <v>Equity</v>
      </c>
      <c r="D7744" s="8" t="str">
        <f>IFERROR(INDEX('nav master'!$C:$C, MATCH(B7744, 'nav master'!$B:$B, 0)), "")</f>
        <v>ULIF08219/09/25TopMF500Fd101</v>
      </c>
      <c r="E7744" s="8" t="s">
        <v>4898</v>
      </c>
      <c r="F7744" s="8" t="s">
        <v>4994</v>
      </c>
    </row>
    <row r="7745" spans="1:6" ht="60" x14ac:dyDescent="0.25">
      <c r="A7745" s="8" t="s">
        <v>125</v>
      </c>
      <c r="B7745" s="8" t="s">
        <v>159</v>
      </c>
      <c r="C7745" s="8" t="str">
        <f>IFERROR(_xlfn.XLOOKUP(TRIM(B7745),Lookup!$B$2:$B$1000,Lookup!$C$2:$C$1000),"")</f>
        <v>Equity</v>
      </c>
      <c r="D7745" s="8" t="str">
        <f>IFERROR(INDEX('nav master'!$C:$C, MATCH(B7745, 'nav master'!$B:$B, 0)), "")</f>
        <v>ULIF08219/09/25TopMF500Fd101</v>
      </c>
      <c r="E7745" s="8" t="s">
        <v>4900</v>
      </c>
      <c r="F7745" s="8" t="s">
        <v>4995</v>
      </c>
    </row>
    <row r="7746" spans="1:6" ht="60" x14ac:dyDescent="0.25">
      <c r="A7746" s="8" t="s">
        <v>125</v>
      </c>
      <c r="B7746" s="8" t="s">
        <v>159</v>
      </c>
      <c r="C7746" s="8" t="str">
        <f>IFERROR(_xlfn.XLOOKUP(TRIM(B7746),Lookup!$B$2:$B$1000,Lookup!$C$2:$C$1000),"")</f>
        <v>Equity</v>
      </c>
      <c r="D7746" s="8" t="str">
        <f>IFERROR(INDEX('nav master'!$C:$C, MATCH(B7746, 'nav master'!$B:$B, 0)), "")</f>
        <v>ULIF08219/09/25TopMF500Fd101</v>
      </c>
      <c r="E7746" s="8" t="s">
        <v>4902</v>
      </c>
      <c r="F7746" s="8" t="s">
        <v>4996</v>
      </c>
    </row>
    <row r="7747" spans="1:6" ht="60" x14ac:dyDescent="0.25">
      <c r="A7747" s="8" t="s">
        <v>125</v>
      </c>
      <c r="B7747" s="8" t="s">
        <v>159</v>
      </c>
      <c r="C7747" s="8" t="str">
        <f>IFERROR(_xlfn.XLOOKUP(TRIM(B7747),Lookup!$B$2:$B$1000,Lookup!$C$2:$C$1000),"")</f>
        <v>Equity</v>
      </c>
      <c r="D7747" s="8" t="str">
        <f>IFERROR(INDEX('nav master'!$C:$C, MATCH(B7747, 'nav master'!$B:$B, 0)), "")</f>
        <v>ULIF08219/09/25TopMF500Fd101</v>
      </c>
      <c r="E7747" s="8" t="s">
        <v>4903</v>
      </c>
      <c r="F7747" s="8" t="s">
        <v>2938</v>
      </c>
    </row>
    <row r="7748" spans="1:6" ht="60" x14ac:dyDescent="0.25">
      <c r="A7748" s="8" t="s">
        <v>125</v>
      </c>
      <c r="B7748" s="8" t="s">
        <v>159</v>
      </c>
      <c r="C7748" s="8" t="str">
        <f>IFERROR(_xlfn.XLOOKUP(TRIM(B7748),Lookup!$B$2:$B$1000,Lookup!$C$2:$C$1000),"")</f>
        <v>Equity</v>
      </c>
      <c r="D7748" s="8" t="str">
        <f>IFERROR(INDEX('nav master'!$C:$C, MATCH(B7748, 'nav master'!$B:$B, 0)), "")</f>
        <v>ULIF08219/09/25TopMF500Fd101</v>
      </c>
      <c r="E7748" s="8" t="s">
        <v>4905</v>
      </c>
      <c r="F7748" s="8" t="s">
        <v>4997</v>
      </c>
    </row>
    <row r="7749" spans="1:6" ht="90" x14ac:dyDescent="0.25">
      <c r="A7749" s="8" t="s">
        <v>125</v>
      </c>
      <c r="B7749" s="8" t="s">
        <v>163</v>
      </c>
      <c r="C7749" s="8" t="str">
        <f>IFERROR(_xlfn.XLOOKUP(TRIM(B7749),Lookup!$B$2:$B$1000,Lookup!$C$2:$C$1000),"")</f>
        <v>Equity</v>
      </c>
      <c r="D7749" s="8" t="str">
        <f>IFERROR(INDEX('nav master'!$C:$C, MATCH(B7749, 'nav master'!$B:$B, 0)), "")</f>
        <v>ULIF08602/03/26InSctrLdrFd101</v>
      </c>
      <c r="E7749" s="8" t="s">
        <v>494</v>
      </c>
      <c r="F7749" s="8" t="s">
        <v>1603</v>
      </c>
    </row>
    <row r="7750" spans="1:6" ht="90" x14ac:dyDescent="0.25">
      <c r="A7750" s="8" t="s">
        <v>125</v>
      </c>
      <c r="B7750" s="8" t="s">
        <v>163</v>
      </c>
      <c r="C7750" s="8" t="str">
        <f>IFERROR(_xlfn.XLOOKUP(TRIM(B7750),Lookup!$B$2:$B$1000,Lookup!$C$2:$C$1000),"")</f>
        <v>Equity</v>
      </c>
      <c r="D7750" s="8" t="str">
        <f>IFERROR(INDEX('nav master'!$C:$C, MATCH(B7750, 'nav master'!$B:$B, 0)), "")</f>
        <v>ULIF08602/03/26InSctrLdrFd101</v>
      </c>
      <c r="E7750" s="8" t="s">
        <v>496</v>
      </c>
      <c r="F7750" s="8" t="s">
        <v>3365</v>
      </c>
    </row>
    <row r="7751" spans="1:6" ht="90" x14ac:dyDescent="0.25">
      <c r="A7751" s="8" t="s">
        <v>125</v>
      </c>
      <c r="B7751" s="8" t="s">
        <v>163</v>
      </c>
      <c r="C7751" s="8" t="str">
        <f>IFERROR(_xlfn.XLOOKUP(TRIM(B7751),Lookup!$B$2:$B$1000,Lookup!$C$2:$C$1000),"")</f>
        <v>Equity</v>
      </c>
      <c r="D7751" s="8" t="str">
        <f>IFERROR(INDEX('nav master'!$C:$C, MATCH(B7751, 'nav master'!$B:$B, 0)), "")</f>
        <v>ULIF08602/03/26InSctrLdrFd101</v>
      </c>
      <c r="E7751" s="8" t="s">
        <v>498</v>
      </c>
      <c r="F7751" s="8" t="s">
        <v>3366</v>
      </c>
    </row>
    <row r="7752" spans="1:6" ht="90" x14ac:dyDescent="0.25">
      <c r="A7752" s="8" t="s">
        <v>125</v>
      </c>
      <c r="B7752" s="8" t="s">
        <v>163</v>
      </c>
      <c r="C7752" s="8" t="str">
        <f>IFERROR(_xlfn.XLOOKUP(TRIM(B7752),Lookup!$B$2:$B$1000,Lookup!$C$2:$C$1000),"")</f>
        <v>Equity</v>
      </c>
      <c r="D7752" s="8" t="str">
        <f>IFERROR(INDEX('nav master'!$C:$C, MATCH(B7752, 'nav master'!$B:$B, 0)), "")</f>
        <v>ULIF08602/03/26InSctrLdrFd101</v>
      </c>
      <c r="E7752" s="8" t="s">
        <v>500</v>
      </c>
      <c r="F7752" s="8" t="s">
        <v>2972</v>
      </c>
    </row>
    <row r="7753" spans="1:6" ht="90" x14ac:dyDescent="0.25">
      <c r="A7753" s="8" t="s">
        <v>125</v>
      </c>
      <c r="B7753" s="8" t="s">
        <v>163</v>
      </c>
      <c r="C7753" s="8" t="str">
        <f>IFERROR(_xlfn.XLOOKUP(TRIM(B7753),Lookup!$B$2:$B$1000,Lookup!$C$2:$C$1000),"")</f>
        <v>Equity</v>
      </c>
      <c r="D7753" s="8" t="str">
        <f>IFERROR(INDEX('nav master'!$C:$C, MATCH(B7753, 'nav master'!$B:$B, 0)), "")</f>
        <v>ULIF08602/03/26InSctrLdrFd101</v>
      </c>
      <c r="E7753" s="8" t="s">
        <v>502</v>
      </c>
      <c r="F7753" s="8" t="s">
        <v>3367</v>
      </c>
    </row>
    <row r="7754" spans="1:6" ht="90" x14ac:dyDescent="0.25">
      <c r="A7754" s="8" t="s">
        <v>125</v>
      </c>
      <c r="B7754" s="8" t="s">
        <v>163</v>
      </c>
      <c r="C7754" s="8" t="str">
        <f>IFERROR(_xlfn.XLOOKUP(TRIM(B7754),Lookup!$B$2:$B$1000,Lookup!$C$2:$C$1000),"")</f>
        <v>Equity</v>
      </c>
      <c r="D7754" s="8" t="str">
        <f>IFERROR(INDEX('nav master'!$C:$C, MATCH(B7754, 'nav master'!$B:$B, 0)), "")</f>
        <v>ULIF08602/03/26InSctrLdrFd101</v>
      </c>
      <c r="E7754" s="8" t="s">
        <v>504</v>
      </c>
      <c r="F7754" s="8" t="s">
        <v>3368</v>
      </c>
    </row>
    <row r="7755" spans="1:6" ht="90" x14ac:dyDescent="0.25">
      <c r="A7755" s="8" t="s">
        <v>125</v>
      </c>
      <c r="B7755" s="8" t="s">
        <v>163</v>
      </c>
      <c r="C7755" s="8" t="str">
        <f>IFERROR(_xlfn.XLOOKUP(TRIM(B7755),Lookup!$B$2:$B$1000,Lookup!$C$2:$C$1000),"")</f>
        <v>Equity</v>
      </c>
      <c r="D7755" s="8" t="str">
        <f>IFERROR(INDEX('nav master'!$C:$C, MATCH(B7755, 'nav master'!$B:$B, 0)), "")</f>
        <v>ULIF08602/03/26InSctrLdrFd101</v>
      </c>
      <c r="E7755" s="8" t="s">
        <v>506</v>
      </c>
      <c r="F7755" s="8" t="s">
        <v>3369</v>
      </c>
    </row>
    <row r="7756" spans="1:6" ht="90" x14ac:dyDescent="0.25">
      <c r="A7756" s="8" t="s">
        <v>125</v>
      </c>
      <c r="B7756" s="8" t="s">
        <v>163</v>
      </c>
      <c r="C7756" s="8" t="str">
        <f>IFERROR(_xlfn.XLOOKUP(TRIM(B7756),Lookup!$B$2:$B$1000,Lookup!$C$2:$C$1000),"")</f>
        <v>Equity</v>
      </c>
      <c r="D7756" s="8" t="str">
        <f>IFERROR(INDEX('nav master'!$C:$C, MATCH(B7756, 'nav master'!$B:$B, 0)), "")</f>
        <v>ULIF08602/03/26InSctrLdrFd101</v>
      </c>
      <c r="E7756" s="8" t="s">
        <v>508</v>
      </c>
      <c r="F7756" s="8" t="s">
        <v>3370</v>
      </c>
    </row>
    <row r="7757" spans="1:6" ht="90" x14ac:dyDescent="0.25">
      <c r="A7757" s="8" t="s">
        <v>125</v>
      </c>
      <c r="B7757" s="8" t="s">
        <v>163</v>
      </c>
      <c r="C7757" s="8" t="str">
        <f>IFERROR(_xlfn.XLOOKUP(TRIM(B7757),Lookup!$B$2:$B$1000,Lookup!$C$2:$C$1000),"")</f>
        <v>Equity</v>
      </c>
      <c r="D7757" s="8" t="str">
        <f>IFERROR(INDEX('nav master'!$C:$C, MATCH(B7757, 'nav master'!$B:$B, 0)), "")</f>
        <v>ULIF08602/03/26InSctrLdrFd101</v>
      </c>
      <c r="E7757" s="8" t="s">
        <v>510</v>
      </c>
      <c r="F7757" s="8" t="s">
        <v>3371</v>
      </c>
    </row>
    <row r="7758" spans="1:6" ht="90" x14ac:dyDescent="0.25">
      <c r="A7758" s="8" t="s">
        <v>125</v>
      </c>
      <c r="B7758" s="8" t="s">
        <v>163</v>
      </c>
      <c r="C7758" s="8" t="str">
        <f>IFERROR(_xlfn.XLOOKUP(TRIM(B7758),Lookup!$B$2:$B$1000,Lookup!$C$2:$C$1000),"")</f>
        <v>Equity</v>
      </c>
      <c r="D7758" s="8" t="str">
        <f>IFERROR(INDEX('nav master'!$C:$C, MATCH(B7758, 'nav master'!$B:$B, 0)), "")</f>
        <v>ULIF08602/03/26InSctrLdrFd101</v>
      </c>
      <c r="E7758" s="8" t="s">
        <v>512</v>
      </c>
      <c r="F7758" s="8" t="s">
        <v>3372</v>
      </c>
    </row>
    <row r="7759" spans="1:6" ht="90" x14ac:dyDescent="0.25">
      <c r="A7759" s="8" t="s">
        <v>125</v>
      </c>
      <c r="B7759" s="8" t="s">
        <v>163</v>
      </c>
      <c r="C7759" s="8" t="str">
        <f>IFERROR(_xlfn.XLOOKUP(TRIM(B7759),Lookup!$B$2:$B$1000,Lookup!$C$2:$C$1000),"")</f>
        <v>Equity</v>
      </c>
      <c r="D7759" s="8" t="str">
        <f>IFERROR(INDEX('nav master'!$C:$C, MATCH(B7759, 'nav master'!$B:$B, 0)), "")</f>
        <v>ULIF08602/03/26InSctrLdrFd101</v>
      </c>
      <c r="E7759" s="8" t="s">
        <v>514</v>
      </c>
      <c r="F7759" s="8" t="s">
        <v>3373</v>
      </c>
    </row>
    <row r="7760" spans="1:6" ht="90" x14ac:dyDescent="0.25">
      <c r="A7760" s="8" t="s">
        <v>125</v>
      </c>
      <c r="B7760" s="8" t="s">
        <v>163</v>
      </c>
      <c r="C7760" s="8" t="str">
        <f>IFERROR(_xlfn.XLOOKUP(TRIM(B7760),Lookup!$B$2:$B$1000,Lookup!$C$2:$C$1000),"")</f>
        <v>Equity</v>
      </c>
      <c r="D7760" s="8" t="str">
        <f>IFERROR(INDEX('nav master'!$C:$C, MATCH(B7760, 'nav master'!$B:$B, 0)), "")</f>
        <v>ULIF08602/03/26InSctrLdrFd101</v>
      </c>
      <c r="E7760" s="8" t="s">
        <v>516</v>
      </c>
      <c r="F7760" s="8" t="s">
        <v>3374</v>
      </c>
    </row>
    <row r="7761" spans="1:6" ht="90" x14ac:dyDescent="0.25">
      <c r="A7761" s="8" t="s">
        <v>125</v>
      </c>
      <c r="B7761" s="8" t="s">
        <v>163</v>
      </c>
      <c r="C7761" s="8" t="str">
        <f>IFERROR(_xlfn.XLOOKUP(TRIM(B7761),Lookup!$B$2:$B$1000,Lookup!$C$2:$C$1000),"")</f>
        <v>Equity</v>
      </c>
      <c r="D7761" s="8" t="str">
        <f>IFERROR(INDEX('nav master'!$C:$C, MATCH(B7761, 'nav master'!$B:$B, 0)), "")</f>
        <v>ULIF08602/03/26InSctrLdrFd101</v>
      </c>
      <c r="E7761" s="8" t="s">
        <v>518</v>
      </c>
      <c r="F7761" s="8" t="s">
        <v>3375</v>
      </c>
    </row>
    <row r="7762" spans="1:6" ht="90" x14ac:dyDescent="0.25">
      <c r="A7762" s="8" t="s">
        <v>125</v>
      </c>
      <c r="B7762" s="8" t="s">
        <v>163</v>
      </c>
      <c r="C7762" s="8" t="str">
        <f>IFERROR(_xlfn.XLOOKUP(TRIM(B7762),Lookup!$B$2:$B$1000,Lookup!$C$2:$C$1000),"")</f>
        <v>Equity</v>
      </c>
      <c r="D7762" s="8" t="str">
        <f>IFERROR(INDEX('nav master'!$C:$C, MATCH(B7762, 'nav master'!$B:$B, 0)), "")</f>
        <v>ULIF08602/03/26InSctrLdrFd101</v>
      </c>
      <c r="E7762" s="8" t="s">
        <v>520</v>
      </c>
      <c r="F7762" s="8" t="s">
        <v>3376</v>
      </c>
    </row>
    <row r="7763" spans="1:6" ht="90" x14ac:dyDescent="0.25">
      <c r="A7763" s="8" t="s">
        <v>125</v>
      </c>
      <c r="B7763" s="8" t="s">
        <v>163</v>
      </c>
      <c r="C7763" s="8" t="str">
        <f>IFERROR(_xlfn.XLOOKUP(TRIM(B7763),Lookup!$B$2:$B$1000,Lookup!$C$2:$C$1000),"")</f>
        <v>Equity</v>
      </c>
      <c r="D7763" s="8" t="str">
        <f>IFERROR(INDEX('nav master'!$C:$C, MATCH(B7763, 'nav master'!$B:$B, 0)), "")</f>
        <v>ULIF08602/03/26InSctrLdrFd101</v>
      </c>
      <c r="E7763" s="8" t="s">
        <v>522</v>
      </c>
      <c r="F7763" s="8" t="s">
        <v>3377</v>
      </c>
    </row>
    <row r="7764" spans="1:6" ht="90" x14ac:dyDescent="0.25">
      <c r="A7764" s="8" t="s">
        <v>125</v>
      </c>
      <c r="B7764" s="8" t="s">
        <v>163</v>
      </c>
      <c r="C7764" s="8" t="str">
        <f>IFERROR(_xlfn.XLOOKUP(TRIM(B7764),Lookup!$B$2:$B$1000,Lookup!$C$2:$C$1000),"")</f>
        <v>Equity</v>
      </c>
      <c r="D7764" s="8" t="str">
        <f>IFERROR(INDEX('nav master'!$C:$C, MATCH(B7764, 'nav master'!$B:$B, 0)), "")</f>
        <v>ULIF08602/03/26InSctrLdrFd101</v>
      </c>
      <c r="E7764" s="8" t="s">
        <v>524</v>
      </c>
      <c r="F7764" s="8" t="s">
        <v>3378</v>
      </c>
    </row>
    <row r="7765" spans="1:6" ht="90" x14ac:dyDescent="0.25">
      <c r="A7765" s="8" t="s">
        <v>125</v>
      </c>
      <c r="B7765" s="8" t="s">
        <v>163</v>
      </c>
      <c r="C7765" s="8" t="str">
        <f>IFERROR(_xlfn.XLOOKUP(TRIM(B7765),Lookup!$B$2:$B$1000,Lookup!$C$2:$C$1000),"")</f>
        <v>Equity</v>
      </c>
      <c r="D7765" s="8" t="str">
        <f>IFERROR(INDEX('nav master'!$C:$C, MATCH(B7765, 'nav master'!$B:$B, 0)), "")</f>
        <v>ULIF08602/03/26InSctrLdrFd101</v>
      </c>
      <c r="E7765" s="8" t="s">
        <v>526</v>
      </c>
      <c r="F7765" s="8" t="s">
        <v>3379</v>
      </c>
    </row>
    <row r="7766" spans="1:6" ht="90" x14ac:dyDescent="0.25">
      <c r="A7766" s="8" t="s">
        <v>125</v>
      </c>
      <c r="B7766" s="8" t="s">
        <v>163</v>
      </c>
      <c r="C7766" s="8" t="str">
        <f>IFERROR(_xlfn.XLOOKUP(TRIM(B7766),Lookup!$B$2:$B$1000,Lookup!$C$2:$C$1000),"")</f>
        <v>Equity</v>
      </c>
      <c r="D7766" s="8" t="str">
        <f>IFERROR(INDEX('nav master'!$C:$C, MATCH(B7766, 'nav master'!$B:$B, 0)), "")</f>
        <v>ULIF08602/03/26InSctrLdrFd101</v>
      </c>
      <c r="E7766" s="8" t="s">
        <v>528</v>
      </c>
      <c r="F7766" s="8" t="s">
        <v>3380</v>
      </c>
    </row>
    <row r="7767" spans="1:6" ht="90" x14ac:dyDescent="0.25">
      <c r="A7767" s="8" t="s">
        <v>125</v>
      </c>
      <c r="B7767" s="8" t="s">
        <v>163</v>
      </c>
      <c r="C7767" s="8" t="str">
        <f>IFERROR(_xlfn.XLOOKUP(TRIM(B7767),Lookup!$B$2:$B$1000,Lookup!$C$2:$C$1000),"")</f>
        <v>Equity</v>
      </c>
      <c r="D7767" s="8" t="str">
        <f>IFERROR(INDEX('nav master'!$C:$C, MATCH(B7767, 'nav master'!$B:$B, 0)), "")</f>
        <v>ULIF08602/03/26InSctrLdrFd101</v>
      </c>
      <c r="E7767" s="8" t="s">
        <v>530</v>
      </c>
      <c r="F7767" s="8" t="s">
        <v>3381</v>
      </c>
    </row>
    <row r="7768" spans="1:6" ht="90" x14ac:dyDescent="0.25">
      <c r="A7768" s="8" t="s">
        <v>125</v>
      </c>
      <c r="B7768" s="8" t="s">
        <v>163</v>
      </c>
      <c r="C7768" s="8" t="str">
        <f>IFERROR(_xlfn.XLOOKUP(TRIM(B7768),Lookup!$B$2:$B$1000,Lookup!$C$2:$C$1000),"")</f>
        <v>Equity</v>
      </c>
      <c r="D7768" s="8" t="str">
        <f>IFERROR(INDEX('nav master'!$C:$C, MATCH(B7768, 'nav master'!$B:$B, 0)), "")</f>
        <v>ULIF08602/03/26InSctrLdrFd101</v>
      </c>
      <c r="E7768" s="8" t="s">
        <v>532</v>
      </c>
      <c r="F7768" s="8" t="s">
        <v>3382</v>
      </c>
    </row>
    <row r="7769" spans="1:6" ht="90" x14ac:dyDescent="0.25">
      <c r="A7769" s="8" t="s">
        <v>125</v>
      </c>
      <c r="B7769" s="8" t="s">
        <v>163</v>
      </c>
      <c r="C7769" s="8" t="str">
        <f>IFERROR(_xlfn.XLOOKUP(TRIM(B7769),Lookup!$B$2:$B$1000,Lookup!$C$2:$C$1000),"")</f>
        <v>Equity</v>
      </c>
      <c r="D7769" s="8" t="str">
        <f>IFERROR(INDEX('nav master'!$C:$C, MATCH(B7769, 'nav master'!$B:$B, 0)), "")</f>
        <v>ULIF08602/03/26InSctrLdrFd101</v>
      </c>
      <c r="E7769" s="8" t="s">
        <v>534</v>
      </c>
      <c r="F7769" s="8" t="s">
        <v>3383</v>
      </c>
    </row>
    <row r="7770" spans="1:6" ht="90" x14ac:dyDescent="0.25">
      <c r="A7770" s="8" t="s">
        <v>125</v>
      </c>
      <c r="B7770" s="8" t="s">
        <v>163</v>
      </c>
      <c r="C7770" s="8" t="str">
        <f>IFERROR(_xlfn.XLOOKUP(TRIM(B7770),Lookup!$B$2:$B$1000,Lookup!$C$2:$C$1000),"")</f>
        <v>Equity</v>
      </c>
      <c r="D7770" s="8" t="str">
        <f>IFERROR(INDEX('nav master'!$C:$C, MATCH(B7770, 'nav master'!$B:$B, 0)), "")</f>
        <v>ULIF08602/03/26InSctrLdrFd101</v>
      </c>
      <c r="E7770" s="8" t="s">
        <v>536</v>
      </c>
      <c r="F7770" s="8" t="s">
        <v>3384</v>
      </c>
    </row>
    <row r="7771" spans="1:6" ht="90" x14ac:dyDescent="0.25">
      <c r="A7771" s="8" t="s">
        <v>125</v>
      </c>
      <c r="B7771" s="8" t="s">
        <v>163</v>
      </c>
      <c r="C7771" s="8" t="str">
        <f>IFERROR(_xlfn.XLOOKUP(TRIM(B7771),Lookup!$B$2:$B$1000,Lookup!$C$2:$C$1000),"")</f>
        <v>Equity</v>
      </c>
      <c r="D7771" s="8" t="str">
        <f>IFERROR(INDEX('nav master'!$C:$C, MATCH(B7771, 'nav master'!$B:$B, 0)), "")</f>
        <v>ULIF08602/03/26InSctrLdrFd101</v>
      </c>
      <c r="E7771" s="8" t="s">
        <v>538</v>
      </c>
      <c r="F7771" s="8" t="s">
        <v>3385</v>
      </c>
    </row>
    <row r="7772" spans="1:6" ht="90" x14ac:dyDescent="0.25">
      <c r="A7772" s="8" t="s">
        <v>125</v>
      </c>
      <c r="B7772" s="8" t="s">
        <v>163</v>
      </c>
      <c r="C7772" s="8" t="str">
        <f>IFERROR(_xlfn.XLOOKUP(TRIM(B7772),Lookup!$B$2:$B$1000,Lookup!$C$2:$C$1000),"")</f>
        <v>Equity</v>
      </c>
      <c r="D7772" s="8" t="str">
        <f>IFERROR(INDEX('nav master'!$C:$C, MATCH(B7772, 'nav master'!$B:$B, 0)), "")</f>
        <v>ULIF08602/03/26InSctrLdrFd101</v>
      </c>
      <c r="E7772" s="8" t="s">
        <v>540</v>
      </c>
      <c r="F7772" s="8" t="s">
        <v>3386</v>
      </c>
    </row>
    <row r="7773" spans="1:6" ht="90" x14ac:dyDescent="0.25">
      <c r="A7773" s="8" t="s">
        <v>125</v>
      </c>
      <c r="B7773" s="8" t="s">
        <v>163</v>
      </c>
      <c r="C7773" s="8" t="str">
        <f>IFERROR(_xlfn.XLOOKUP(TRIM(B7773),Lookup!$B$2:$B$1000,Lookup!$C$2:$C$1000),"")</f>
        <v>Equity</v>
      </c>
      <c r="D7773" s="8" t="str">
        <f>IFERROR(INDEX('nav master'!$C:$C, MATCH(B7773, 'nav master'!$B:$B, 0)), "")</f>
        <v>ULIF08602/03/26InSctrLdrFd101</v>
      </c>
      <c r="E7773" s="8" t="s">
        <v>542</v>
      </c>
      <c r="F7773" s="8" t="s">
        <v>3387</v>
      </c>
    </row>
    <row r="7774" spans="1:6" ht="90" x14ac:dyDescent="0.25">
      <c r="A7774" s="8" t="s">
        <v>125</v>
      </c>
      <c r="B7774" s="8" t="s">
        <v>163</v>
      </c>
      <c r="C7774" s="8" t="str">
        <f>IFERROR(_xlfn.XLOOKUP(TRIM(B7774),Lookup!$B$2:$B$1000,Lookup!$C$2:$C$1000),"")</f>
        <v>Equity</v>
      </c>
      <c r="D7774" s="8" t="str">
        <f>IFERROR(INDEX('nav master'!$C:$C, MATCH(B7774, 'nav master'!$B:$B, 0)), "")</f>
        <v>ULIF08602/03/26InSctrLdrFd101</v>
      </c>
      <c r="E7774" s="8" t="s">
        <v>544</v>
      </c>
      <c r="F7774" s="8" t="s">
        <v>3388</v>
      </c>
    </row>
    <row r="7775" spans="1:6" ht="90" x14ac:dyDescent="0.25">
      <c r="A7775" s="8" t="s">
        <v>125</v>
      </c>
      <c r="B7775" s="8" t="s">
        <v>163</v>
      </c>
      <c r="C7775" s="8" t="str">
        <f>IFERROR(_xlfn.XLOOKUP(TRIM(B7775),Lookup!$B$2:$B$1000,Lookup!$C$2:$C$1000),"")</f>
        <v>Equity</v>
      </c>
      <c r="D7775" s="8" t="str">
        <f>IFERROR(INDEX('nav master'!$C:$C, MATCH(B7775, 'nav master'!$B:$B, 0)), "")</f>
        <v>ULIF08602/03/26InSctrLdrFd101</v>
      </c>
      <c r="E7775" s="8" t="s">
        <v>546</v>
      </c>
      <c r="F7775" s="8" t="s">
        <v>3389</v>
      </c>
    </row>
    <row r="7776" spans="1:6" ht="90" x14ac:dyDescent="0.25">
      <c r="A7776" s="8" t="s">
        <v>125</v>
      </c>
      <c r="B7776" s="8" t="s">
        <v>163</v>
      </c>
      <c r="C7776" s="8" t="str">
        <f>IFERROR(_xlfn.XLOOKUP(TRIM(B7776),Lookup!$B$2:$B$1000,Lookup!$C$2:$C$1000),"")</f>
        <v>Equity</v>
      </c>
      <c r="D7776" s="8" t="str">
        <f>IFERROR(INDEX('nav master'!$C:$C, MATCH(B7776, 'nav master'!$B:$B, 0)), "")</f>
        <v>ULIF08602/03/26InSctrLdrFd101</v>
      </c>
      <c r="E7776" s="8" t="s">
        <v>548</v>
      </c>
      <c r="F7776" s="8" t="s">
        <v>3390</v>
      </c>
    </row>
    <row r="7777" spans="1:6" ht="90" x14ac:dyDescent="0.25">
      <c r="A7777" s="8" t="s">
        <v>125</v>
      </c>
      <c r="B7777" s="8" t="s">
        <v>163</v>
      </c>
      <c r="C7777" s="8" t="str">
        <f>IFERROR(_xlfn.XLOOKUP(TRIM(B7777),Lookup!$B$2:$B$1000,Lookup!$C$2:$C$1000),"")</f>
        <v>Equity</v>
      </c>
      <c r="D7777" s="8" t="str">
        <f>IFERROR(INDEX('nav master'!$C:$C, MATCH(B7777, 'nav master'!$B:$B, 0)), "")</f>
        <v>ULIF08602/03/26InSctrLdrFd101</v>
      </c>
      <c r="E7777" s="8" t="s">
        <v>550</v>
      </c>
      <c r="F7777" s="8" t="s">
        <v>3391</v>
      </c>
    </row>
    <row r="7778" spans="1:6" ht="90" x14ac:dyDescent="0.25">
      <c r="A7778" s="8" t="s">
        <v>125</v>
      </c>
      <c r="B7778" s="8" t="s">
        <v>163</v>
      </c>
      <c r="C7778" s="8" t="str">
        <f>IFERROR(_xlfn.XLOOKUP(TRIM(B7778),Lookup!$B$2:$B$1000,Lookup!$C$2:$C$1000),"")</f>
        <v>Equity</v>
      </c>
      <c r="D7778" s="8" t="str">
        <f>IFERROR(INDEX('nav master'!$C:$C, MATCH(B7778, 'nav master'!$B:$B, 0)), "")</f>
        <v>ULIF08602/03/26InSctrLdrFd101</v>
      </c>
      <c r="E7778" s="8" t="s">
        <v>552</v>
      </c>
      <c r="F7778" s="8" t="s">
        <v>3392</v>
      </c>
    </row>
    <row r="7779" spans="1:6" ht="90" x14ac:dyDescent="0.25">
      <c r="A7779" s="8" t="s">
        <v>125</v>
      </c>
      <c r="B7779" s="8" t="s">
        <v>163</v>
      </c>
      <c r="C7779" s="8" t="str">
        <f>IFERROR(_xlfn.XLOOKUP(TRIM(B7779),Lookup!$B$2:$B$1000,Lookup!$C$2:$C$1000),"")</f>
        <v>Equity</v>
      </c>
      <c r="D7779" s="8" t="str">
        <f>IFERROR(INDEX('nav master'!$C:$C, MATCH(B7779, 'nav master'!$B:$B, 0)), "")</f>
        <v>ULIF08602/03/26InSctrLdrFd101</v>
      </c>
      <c r="E7779" s="8" t="s">
        <v>554</v>
      </c>
      <c r="F7779" s="8" t="s">
        <v>3393</v>
      </c>
    </row>
    <row r="7780" spans="1:6" ht="90" x14ac:dyDescent="0.25">
      <c r="A7780" s="8" t="s">
        <v>125</v>
      </c>
      <c r="B7780" s="8" t="s">
        <v>163</v>
      </c>
      <c r="C7780" s="8" t="str">
        <f>IFERROR(_xlfn.XLOOKUP(TRIM(B7780),Lookup!$B$2:$B$1000,Lookup!$C$2:$C$1000),"")</f>
        <v>Equity</v>
      </c>
      <c r="D7780" s="8" t="str">
        <f>IFERROR(INDEX('nav master'!$C:$C, MATCH(B7780, 'nav master'!$B:$B, 0)), "")</f>
        <v>ULIF08602/03/26InSctrLdrFd101</v>
      </c>
      <c r="E7780" s="8" t="s">
        <v>556</v>
      </c>
      <c r="F7780" s="8" t="s">
        <v>3394</v>
      </c>
    </row>
    <row r="7781" spans="1:6" ht="90" x14ac:dyDescent="0.25">
      <c r="A7781" s="8" t="s">
        <v>125</v>
      </c>
      <c r="B7781" s="8" t="s">
        <v>163</v>
      </c>
      <c r="C7781" s="8" t="str">
        <f>IFERROR(_xlfn.XLOOKUP(TRIM(B7781),Lookup!$B$2:$B$1000,Lookup!$C$2:$C$1000),"")</f>
        <v>Equity</v>
      </c>
      <c r="D7781" s="8" t="str">
        <f>IFERROR(INDEX('nav master'!$C:$C, MATCH(B7781, 'nav master'!$B:$B, 0)), "")</f>
        <v>ULIF08602/03/26InSctrLdrFd101</v>
      </c>
      <c r="E7781" s="8" t="s">
        <v>558</v>
      </c>
      <c r="F7781" s="8" t="s">
        <v>3395</v>
      </c>
    </row>
    <row r="7782" spans="1:6" ht="90" x14ac:dyDescent="0.25">
      <c r="A7782" s="8" t="s">
        <v>125</v>
      </c>
      <c r="B7782" s="8" t="s">
        <v>163</v>
      </c>
      <c r="C7782" s="8" t="str">
        <f>IFERROR(_xlfn.XLOOKUP(TRIM(B7782),Lookup!$B$2:$B$1000,Lookup!$C$2:$C$1000),"")</f>
        <v>Equity</v>
      </c>
      <c r="D7782" s="8" t="str">
        <f>IFERROR(INDEX('nav master'!$C:$C, MATCH(B7782, 'nav master'!$B:$B, 0)), "")</f>
        <v>ULIF08602/03/26InSctrLdrFd101</v>
      </c>
      <c r="E7782" s="8" t="s">
        <v>560</v>
      </c>
      <c r="F7782" s="8" t="s">
        <v>3396</v>
      </c>
    </row>
    <row r="7783" spans="1:6" ht="90" x14ac:dyDescent="0.25">
      <c r="A7783" s="8" t="s">
        <v>125</v>
      </c>
      <c r="B7783" s="8" t="s">
        <v>163</v>
      </c>
      <c r="C7783" s="8" t="str">
        <f>IFERROR(_xlfn.XLOOKUP(TRIM(B7783),Lookup!$B$2:$B$1000,Lookup!$C$2:$C$1000),"")</f>
        <v>Equity</v>
      </c>
      <c r="D7783" s="8" t="str">
        <f>IFERROR(INDEX('nav master'!$C:$C, MATCH(B7783, 'nav master'!$B:$B, 0)), "")</f>
        <v>ULIF08602/03/26InSctrLdrFd101</v>
      </c>
      <c r="E7783" s="8" t="s">
        <v>562</v>
      </c>
      <c r="F7783" s="8" t="s">
        <v>3397</v>
      </c>
    </row>
    <row r="7784" spans="1:6" ht="90" x14ac:dyDescent="0.25">
      <c r="A7784" s="8" t="s">
        <v>125</v>
      </c>
      <c r="B7784" s="8" t="s">
        <v>163</v>
      </c>
      <c r="C7784" s="8" t="str">
        <f>IFERROR(_xlfn.XLOOKUP(TRIM(B7784),Lookup!$B$2:$B$1000,Lookup!$C$2:$C$1000),"")</f>
        <v>Equity</v>
      </c>
      <c r="D7784" s="8" t="str">
        <f>IFERROR(INDEX('nav master'!$C:$C, MATCH(B7784, 'nav master'!$B:$B, 0)), "")</f>
        <v>ULIF08602/03/26InSctrLdrFd101</v>
      </c>
      <c r="E7784" s="8" t="s">
        <v>564</v>
      </c>
      <c r="F7784" s="8" t="s">
        <v>3398</v>
      </c>
    </row>
    <row r="7785" spans="1:6" ht="90" x14ac:dyDescent="0.25">
      <c r="A7785" s="8" t="s">
        <v>125</v>
      </c>
      <c r="B7785" s="8" t="s">
        <v>163</v>
      </c>
      <c r="C7785" s="8" t="str">
        <f>IFERROR(_xlfn.XLOOKUP(TRIM(B7785),Lookup!$B$2:$B$1000,Lookup!$C$2:$C$1000),"")</f>
        <v>Equity</v>
      </c>
      <c r="D7785" s="8" t="str">
        <f>IFERROR(INDEX('nav master'!$C:$C, MATCH(B7785, 'nav master'!$B:$B, 0)), "")</f>
        <v>ULIF08602/03/26InSctrLdrFd101</v>
      </c>
      <c r="E7785" s="8" t="s">
        <v>566</v>
      </c>
      <c r="F7785" s="8" t="s">
        <v>3399</v>
      </c>
    </row>
    <row r="7786" spans="1:6" ht="90" x14ac:dyDescent="0.25">
      <c r="A7786" s="8" t="s">
        <v>125</v>
      </c>
      <c r="B7786" s="8" t="s">
        <v>163</v>
      </c>
      <c r="C7786" s="8" t="str">
        <f>IFERROR(_xlfn.XLOOKUP(TRIM(B7786),Lookup!$B$2:$B$1000,Lookup!$C$2:$C$1000),"")</f>
        <v>Equity</v>
      </c>
      <c r="D7786" s="8" t="str">
        <f>IFERROR(INDEX('nav master'!$C:$C, MATCH(B7786, 'nav master'!$B:$B, 0)), "")</f>
        <v>ULIF08602/03/26InSctrLdrFd101</v>
      </c>
      <c r="E7786" s="8" t="s">
        <v>568</v>
      </c>
      <c r="F7786" s="8" t="s">
        <v>3400</v>
      </c>
    </row>
    <row r="7787" spans="1:6" ht="90" x14ac:dyDescent="0.25">
      <c r="A7787" s="8" t="s">
        <v>125</v>
      </c>
      <c r="B7787" s="8" t="s">
        <v>163</v>
      </c>
      <c r="C7787" s="8" t="str">
        <f>IFERROR(_xlfn.XLOOKUP(TRIM(B7787),Lookup!$B$2:$B$1000,Lookup!$C$2:$C$1000),"")</f>
        <v>Equity</v>
      </c>
      <c r="D7787" s="8" t="str">
        <f>IFERROR(INDEX('nav master'!$C:$C, MATCH(B7787, 'nav master'!$B:$B, 0)), "")</f>
        <v>ULIF08602/03/26InSctrLdrFd101</v>
      </c>
      <c r="E7787" s="8" t="s">
        <v>570</v>
      </c>
      <c r="F7787" s="8" t="s">
        <v>3401</v>
      </c>
    </row>
    <row r="7788" spans="1:6" ht="90" x14ac:dyDescent="0.25">
      <c r="A7788" s="8" t="s">
        <v>125</v>
      </c>
      <c r="B7788" s="8" t="s">
        <v>163</v>
      </c>
      <c r="C7788" s="8" t="str">
        <f>IFERROR(_xlfn.XLOOKUP(TRIM(B7788),Lookup!$B$2:$B$1000,Lookup!$C$2:$C$1000),"")</f>
        <v>Equity</v>
      </c>
      <c r="D7788" s="8" t="str">
        <f>IFERROR(INDEX('nav master'!$C:$C, MATCH(B7788, 'nav master'!$B:$B, 0)), "")</f>
        <v>ULIF08602/03/26InSctrLdrFd101</v>
      </c>
      <c r="E7788" s="8" t="s">
        <v>572</v>
      </c>
      <c r="F7788" s="8" t="s">
        <v>3402</v>
      </c>
    </row>
    <row r="7789" spans="1:6" ht="90" x14ac:dyDescent="0.25">
      <c r="A7789" s="8" t="s">
        <v>125</v>
      </c>
      <c r="B7789" s="8" t="s">
        <v>163</v>
      </c>
      <c r="C7789" s="8" t="str">
        <f>IFERROR(_xlfn.XLOOKUP(TRIM(B7789),Lookup!$B$2:$B$1000,Lookup!$C$2:$C$1000),"")</f>
        <v>Equity</v>
      </c>
      <c r="D7789" s="8" t="str">
        <f>IFERROR(INDEX('nav master'!$C:$C, MATCH(B7789, 'nav master'!$B:$B, 0)), "")</f>
        <v>ULIF08602/03/26InSctrLdrFd101</v>
      </c>
      <c r="E7789" s="8" t="s">
        <v>574</v>
      </c>
      <c r="F7789" s="8" t="s">
        <v>3403</v>
      </c>
    </row>
    <row r="7790" spans="1:6" ht="90" x14ac:dyDescent="0.25">
      <c r="A7790" s="8" t="s">
        <v>125</v>
      </c>
      <c r="B7790" s="8" t="s">
        <v>163</v>
      </c>
      <c r="C7790" s="8" t="str">
        <f>IFERROR(_xlfn.XLOOKUP(TRIM(B7790),Lookup!$B$2:$B$1000,Lookup!$C$2:$C$1000),"")</f>
        <v>Equity</v>
      </c>
      <c r="D7790" s="8" t="str">
        <f>IFERROR(INDEX('nav master'!$C:$C, MATCH(B7790, 'nav master'!$B:$B, 0)), "")</f>
        <v>ULIF08602/03/26InSctrLdrFd101</v>
      </c>
      <c r="E7790" s="8" t="s">
        <v>576</v>
      </c>
      <c r="F7790" s="8" t="s">
        <v>3404</v>
      </c>
    </row>
    <row r="7791" spans="1:6" ht="90" x14ac:dyDescent="0.25">
      <c r="A7791" s="8" t="s">
        <v>125</v>
      </c>
      <c r="B7791" s="8" t="s">
        <v>163</v>
      </c>
      <c r="C7791" s="8" t="str">
        <f>IFERROR(_xlfn.XLOOKUP(TRIM(B7791),Lookup!$B$2:$B$1000,Lookup!$C$2:$C$1000),"")</f>
        <v>Equity</v>
      </c>
      <c r="D7791" s="8" t="str">
        <f>IFERROR(INDEX('nav master'!$C:$C, MATCH(B7791, 'nav master'!$B:$B, 0)), "")</f>
        <v>ULIF08602/03/26InSctrLdrFd101</v>
      </c>
      <c r="E7791" s="8" t="s">
        <v>578</v>
      </c>
      <c r="F7791" s="8" t="s">
        <v>3405</v>
      </c>
    </row>
    <row r="7792" spans="1:6" ht="90" x14ac:dyDescent="0.25">
      <c r="A7792" s="8" t="s">
        <v>125</v>
      </c>
      <c r="B7792" s="8" t="s">
        <v>163</v>
      </c>
      <c r="C7792" s="8" t="str">
        <f>IFERROR(_xlfn.XLOOKUP(TRIM(B7792),Lookup!$B$2:$B$1000,Lookup!$C$2:$C$1000),"")</f>
        <v>Equity</v>
      </c>
      <c r="D7792" s="8" t="str">
        <f>IFERROR(INDEX('nav master'!$C:$C, MATCH(B7792, 'nav master'!$B:$B, 0)), "")</f>
        <v>ULIF08602/03/26InSctrLdrFd101</v>
      </c>
      <c r="E7792" s="8" t="s">
        <v>580</v>
      </c>
      <c r="F7792" s="8" t="s">
        <v>3406</v>
      </c>
    </row>
    <row r="7793" spans="1:6" ht="90" x14ac:dyDescent="0.25">
      <c r="A7793" s="8" t="s">
        <v>125</v>
      </c>
      <c r="B7793" s="8" t="s">
        <v>163</v>
      </c>
      <c r="C7793" s="8" t="str">
        <f>IFERROR(_xlfn.XLOOKUP(TRIM(B7793),Lookup!$B$2:$B$1000,Lookup!$C$2:$C$1000),"")</f>
        <v>Equity</v>
      </c>
      <c r="D7793" s="8" t="str">
        <f>IFERROR(INDEX('nav master'!$C:$C, MATCH(B7793, 'nav master'!$B:$B, 0)), "")</f>
        <v>ULIF08602/03/26InSctrLdrFd101</v>
      </c>
      <c r="E7793" s="8" t="s">
        <v>582</v>
      </c>
      <c r="F7793" s="8" t="s">
        <v>3407</v>
      </c>
    </row>
    <row r="7794" spans="1:6" ht="90" x14ac:dyDescent="0.25">
      <c r="A7794" s="8" t="s">
        <v>125</v>
      </c>
      <c r="B7794" s="8" t="s">
        <v>163</v>
      </c>
      <c r="C7794" s="8" t="str">
        <f>IFERROR(_xlfn.XLOOKUP(TRIM(B7794),Lookup!$B$2:$B$1000,Lookup!$C$2:$C$1000),"")</f>
        <v>Equity</v>
      </c>
      <c r="D7794" s="8" t="str">
        <f>IFERROR(INDEX('nav master'!$C:$C, MATCH(B7794, 'nav master'!$B:$B, 0)), "")</f>
        <v>ULIF08602/03/26InSctrLdrFd101</v>
      </c>
      <c r="E7794" s="8" t="s">
        <v>584</v>
      </c>
      <c r="F7794" s="8" t="s">
        <v>3408</v>
      </c>
    </row>
    <row r="7795" spans="1:6" ht="90" x14ac:dyDescent="0.25">
      <c r="A7795" s="8" t="s">
        <v>125</v>
      </c>
      <c r="B7795" s="8" t="s">
        <v>163</v>
      </c>
      <c r="C7795" s="8" t="str">
        <f>IFERROR(_xlfn.XLOOKUP(TRIM(B7795),Lookup!$B$2:$B$1000,Lookup!$C$2:$C$1000),"")</f>
        <v>Equity</v>
      </c>
      <c r="D7795" s="8" t="str">
        <f>IFERROR(INDEX('nav master'!$C:$C, MATCH(B7795, 'nav master'!$B:$B, 0)), "")</f>
        <v>ULIF08602/03/26InSctrLdrFd101</v>
      </c>
      <c r="E7795" s="8" t="s">
        <v>586</v>
      </c>
      <c r="F7795" s="8" t="s">
        <v>3409</v>
      </c>
    </row>
    <row r="7796" spans="1:6" ht="90" x14ac:dyDescent="0.25">
      <c r="A7796" s="8" t="s">
        <v>125</v>
      </c>
      <c r="B7796" s="8" t="s">
        <v>163</v>
      </c>
      <c r="C7796" s="8" t="str">
        <f>IFERROR(_xlfn.XLOOKUP(TRIM(B7796),Lookup!$B$2:$B$1000,Lookup!$C$2:$C$1000),"")</f>
        <v>Equity</v>
      </c>
      <c r="D7796" s="8" t="str">
        <f>IFERROR(INDEX('nav master'!$C:$C, MATCH(B7796, 'nav master'!$B:$B, 0)), "")</f>
        <v>ULIF08602/03/26InSctrLdrFd101</v>
      </c>
      <c r="E7796" s="8" t="s">
        <v>588</v>
      </c>
      <c r="F7796" s="8" t="s">
        <v>3410</v>
      </c>
    </row>
    <row r="7797" spans="1:6" ht="90" x14ac:dyDescent="0.25">
      <c r="A7797" s="8" t="s">
        <v>125</v>
      </c>
      <c r="B7797" s="8" t="s">
        <v>163</v>
      </c>
      <c r="C7797" s="8" t="str">
        <f>IFERROR(_xlfn.XLOOKUP(TRIM(B7797),Lookup!$B$2:$B$1000,Lookup!$C$2:$C$1000),"")</f>
        <v>Equity</v>
      </c>
      <c r="D7797" s="8" t="str">
        <f>IFERROR(INDEX('nav master'!$C:$C, MATCH(B7797, 'nav master'!$B:$B, 0)), "")</f>
        <v>ULIF08602/03/26InSctrLdrFd101</v>
      </c>
      <c r="E7797" s="8" t="s">
        <v>590</v>
      </c>
      <c r="F7797" s="8" t="s">
        <v>3411</v>
      </c>
    </row>
    <row r="7798" spans="1:6" ht="90" x14ac:dyDescent="0.25">
      <c r="A7798" s="8" t="s">
        <v>125</v>
      </c>
      <c r="B7798" s="8" t="s">
        <v>163</v>
      </c>
      <c r="C7798" s="8" t="str">
        <f>IFERROR(_xlfn.XLOOKUP(TRIM(B7798),Lookup!$B$2:$B$1000,Lookup!$C$2:$C$1000),"")</f>
        <v>Equity</v>
      </c>
      <c r="D7798" s="8" t="str">
        <f>IFERROR(INDEX('nav master'!$C:$C, MATCH(B7798, 'nav master'!$B:$B, 0)), "")</f>
        <v>ULIF08602/03/26InSctrLdrFd101</v>
      </c>
      <c r="E7798" s="8" t="s">
        <v>592</v>
      </c>
      <c r="F7798" s="8" t="s">
        <v>3412</v>
      </c>
    </row>
    <row r="7799" spans="1:6" ht="90" x14ac:dyDescent="0.25">
      <c r="A7799" s="8" t="s">
        <v>125</v>
      </c>
      <c r="B7799" s="8" t="s">
        <v>163</v>
      </c>
      <c r="C7799" s="8" t="str">
        <f>IFERROR(_xlfn.XLOOKUP(TRIM(B7799),Lookup!$B$2:$B$1000,Lookup!$C$2:$C$1000),"")</f>
        <v>Equity</v>
      </c>
      <c r="D7799" s="8" t="str">
        <f>IFERROR(INDEX('nav master'!$C:$C, MATCH(B7799, 'nav master'!$B:$B, 0)), "")</f>
        <v>ULIF08602/03/26InSctrLdrFd101</v>
      </c>
      <c r="E7799" s="8" t="s">
        <v>594</v>
      </c>
      <c r="F7799" s="8" t="s">
        <v>3413</v>
      </c>
    </row>
    <row r="7800" spans="1:6" ht="90" x14ac:dyDescent="0.25">
      <c r="A7800" s="8" t="s">
        <v>125</v>
      </c>
      <c r="B7800" s="8" t="s">
        <v>163</v>
      </c>
      <c r="C7800" s="8" t="str">
        <f>IFERROR(_xlfn.XLOOKUP(TRIM(B7800),Lookup!$B$2:$B$1000,Lookup!$C$2:$C$1000),"")</f>
        <v>Equity</v>
      </c>
      <c r="D7800" s="8" t="str">
        <f>IFERROR(INDEX('nav master'!$C:$C, MATCH(B7800, 'nav master'!$B:$B, 0)), "")</f>
        <v>ULIF08602/03/26InSctrLdrFd101</v>
      </c>
      <c r="E7800" s="8" t="s">
        <v>596</v>
      </c>
      <c r="F7800" s="8" t="s">
        <v>3414</v>
      </c>
    </row>
    <row r="7801" spans="1:6" ht="90" x14ac:dyDescent="0.25">
      <c r="A7801" s="8" t="s">
        <v>125</v>
      </c>
      <c r="B7801" s="8" t="s">
        <v>163</v>
      </c>
      <c r="C7801" s="8" t="str">
        <f>IFERROR(_xlfn.XLOOKUP(TRIM(B7801),Lookup!$B$2:$B$1000,Lookup!$C$2:$C$1000),"")</f>
        <v>Equity</v>
      </c>
      <c r="D7801" s="8" t="str">
        <f>IFERROR(INDEX('nav master'!$C:$C, MATCH(B7801, 'nav master'!$B:$B, 0)), "")</f>
        <v>ULIF08602/03/26InSctrLdrFd101</v>
      </c>
      <c r="E7801" s="8" t="s">
        <v>598</v>
      </c>
      <c r="F7801" s="8" t="s">
        <v>3415</v>
      </c>
    </row>
    <row r="7802" spans="1:6" ht="90" x14ac:dyDescent="0.25">
      <c r="A7802" s="8" t="s">
        <v>125</v>
      </c>
      <c r="B7802" s="8" t="s">
        <v>163</v>
      </c>
      <c r="C7802" s="8" t="str">
        <f>IFERROR(_xlfn.XLOOKUP(TRIM(B7802),Lookup!$B$2:$B$1000,Lookup!$C$2:$C$1000),"")</f>
        <v>Equity</v>
      </c>
      <c r="D7802" s="8" t="str">
        <f>IFERROR(INDEX('nav master'!$C:$C, MATCH(B7802, 'nav master'!$B:$B, 0)), "")</f>
        <v>ULIF08602/03/26InSctrLdrFd101</v>
      </c>
      <c r="E7802" s="8" t="s">
        <v>600</v>
      </c>
      <c r="F7802" s="8" t="s">
        <v>3416</v>
      </c>
    </row>
    <row r="7803" spans="1:6" ht="90" x14ac:dyDescent="0.25">
      <c r="A7803" s="8" t="s">
        <v>125</v>
      </c>
      <c r="B7803" s="8" t="s">
        <v>163</v>
      </c>
      <c r="C7803" s="8" t="str">
        <f>IFERROR(_xlfn.XLOOKUP(TRIM(B7803),Lookup!$B$2:$B$1000,Lookup!$C$2:$C$1000),"")</f>
        <v>Equity</v>
      </c>
      <c r="D7803" s="8" t="str">
        <f>IFERROR(INDEX('nav master'!$C:$C, MATCH(B7803, 'nav master'!$B:$B, 0)), "")</f>
        <v>ULIF08602/03/26InSctrLdrFd101</v>
      </c>
      <c r="E7803" s="8" t="s">
        <v>602</v>
      </c>
      <c r="F7803" s="8" t="s">
        <v>3417</v>
      </c>
    </row>
    <row r="7804" spans="1:6" ht="90" x14ac:dyDescent="0.25">
      <c r="A7804" s="8" t="s">
        <v>125</v>
      </c>
      <c r="B7804" s="8" t="s">
        <v>163</v>
      </c>
      <c r="C7804" s="8" t="str">
        <f>IFERROR(_xlfn.XLOOKUP(TRIM(B7804),Lookup!$B$2:$B$1000,Lookup!$C$2:$C$1000),"")</f>
        <v>Equity</v>
      </c>
      <c r="D7804" s="8" t="str">
        <f>IFERROR(INDEX('nav master'!$C:$C, MATCH(B7804, 'nav master'!$B:$B, 0)), "")</f>
        <v>ULIF08602/03/26InSctrLdrFd101</v>
      </c>
      <c r="E7804" s="8" t="s">
        <v>604</v>
      </c>
      <c r="F7804" s="8" t="s">
        <v>3418</v>
      </c>
    </row>
    <row r="7805" spans="1:6" ht="90" x14ac:dyDescent="0.25">
      <c r="A7805" s="8" t="s">
        <v>125</v>
      </c>
      <c r="B7805" s="8" t="s">
        <v>163</v>
      </c>
      <c r="C7805" s="8" t="str">
        <f>IFERROR(_xlfn.XLOOKUP(TRIM(B7805),Lookup!$B$2:$B$1000,Lookup!$C$2:$C$1000),"")</f>
        <v>Equity</v>
      </c>
      <c r="D7805" s="8" t="str">
        <f>IFERROR(INDEX('nav master'!$C:$C, MATCH(B7805, 'nav master'!$B:$B, 0)), "")</f>
        <v>ULIF08602/03/26InSctrLdrFd101</v>
      </c>
      <c r="E7805" s="8" t="s">
        <v>606</v>
      </c>
      <c r="F7805" s="8" t="s">
        <v>3419</v>
      </c>
    </row>
    <row r="7806" spans="1:6" ht="90" x14ac:dyDescent="0.25">
      <c r="A7806" s="8" t="s">
        <v>125</v>
      </c>
      <c r="B7806" s="8" t="s">
        <v>163</v>
      </c>
      <c r="C7806" s="8" t="str">
        <f>IFERROR(_xlfn.XLOOKUP(TRIM(B7806),Lookup!$B$2:$B$1000,Lookup!$C$2:$C$1000),"")</f>
        <v>Equity</v>
      </c>
      <c r="D7806" s="8" t="str">
        <f>IFERROR(INDEX('nav master'!$C:$C, MATCH(B7806, 'nav master'!$B:$B, 0)), "")</f>
        <v>ULIF08602/03/26InSctrLdrFd101</v>
      </c>
      <c r="E7806" s="8" t="s">
        <v>608</v>
      </c>
      <c r="F7806" s="8" t="s">
        <v>3420</v>
      </c>
    </row>
    <row r="7807" spans="1:6" ht="90" x14ac:dyDescent="0.25">
      <c r="A7807" s="8" t="s">
        <v>125</v>
      </c>
      <c r="B7807" s="8" t="s">
        <v>163</v>
      </c>
      <c r="C7807" s="8" t="str">
        <f>IFERROR(_xlfn.XLOOKUP(TRIM(B7807),Lookup!$B$2:$B$1000,Lookup!$C$2:$C$1000),"")</f>
        <v>Equity</v>
      </c>
      <c r="D7807" s="8" t="str">
        <f>IFERROR(INDEX('nav master'!$C:$C, MATCH(B7807, 'nav master'!$B:$B, 0)), "")</f>
        <v>ULIF08602/03/26InSctrLdrFd101</v>
      </c>
      <c r="E7807" s="8" t="s">
        <v>610</v>
      </c>
      <c r="F7807" s="8" t="s">
        <v>3421</v>
      </c>
    </row>
    <row r="7808" spans="1:6" ht="90" x14ac:dyDescent="0.25">
      <c r="A7808" s="8" t="s">
        <v>125</v>
      </c>
      <c r="B7808" s="8" t="s">
        <v>163</v>
      </c>
      <c r="C7808" s="8" t="str">
        <f>IFERROR(_xlfn.XLOOKUP(TRIM(B7808),Lookup!$B$2:$B$1000,Lookup!$C$2:$C$1000),"")</f>
        <v>Equity</v>
      </c>
      <c r="D7808" s="8" t="str">
        <f>IFERROR(INDEX('nav master'!$C:$C, MATCH(B7808, 'nav master'!$B:$B, 0)), "")</f>
        <v>ULIF08602/03/26InSctrLdrFd101</v>
      </c>
      <c r="E7808" s="8" t="s">
        <v>612</v>
      </c>
      <c r="F7808" s="8" t="s">
        <v>3422</v>
      </c>
    </row>
    <row r="7809" spans="1:6" ht="90" x14ac:dyDescent="0.25">
      <c r="A7809" s="8" t="s">
        <v>125</v>
      </c>
      <c r="B7809" s="8" t="s">
        <v>163</v>
      </c>
      <c r="C7809" s="8" t="str">
        <f>IFERROR(_xlfn.XLOOKUP(TRIM(B7809),Lookup!$B$2:$B$1000,Lookup!$C$2:$C$1000),"")</f>
        <v>Equity</v>
      </c>
      <c r="D7809" s="8" t="str">
        <f>IFERROR(INDEX('nav master'!$C:$C, MATCH(B7809, 'nav master'!$B:$B, 0)), "")</f>
        <v>ULIF08602/03/26InSctrLdrFd101</v>
      </c>
      <c r="E7809" s="8" t="s">
        <v>614</v>
      </c>
      <c r="F7809" s="8" t="s">
        <v>3423</v>
      </c>
    </row>
    <row r="7810" spans="1:6" ht="90" x14ac:dyDescent="0.25">
      <c r="A7810" s="8" t="s">
        <v>125</v>
      </c>
      <c r="B7810" s="8" t="s">
        <v>163</v>
      </c>
      <c r="C7810" s="8" t="str">
        <f>IFERROR(_xlfn.XLOOKUP(TRIM(B7810),Lookup!$B$2:$B$1000,Lookup!$C$2:$C$1000),"")</f>
        <v>Equity</v>
      </c>
      <c r="D7810" s="8" t="str">
        <f>IFERROR(INDEX('nav master'!$C:$C, MATCH(B7810, 'nav master'!$B:$B, 0)), "")</f>
        <v>ULIF08602/03/26InSctrLdrFd101</v>
      </c>
      <c r="E7810" s="8" t="s">
        <v>616</v>
      </c>
      <c r="F7810" s="8" t="s">
        <v>3424</v>
      </c>
    </row>
    <row r="7811" spans="1:6" ht="90" x14ac:dyDescent="0.25">
      <c r="A7811" s="8" t="s">
        <v>125</v>
      </c>
      <c r="B7811" s="8" t="s">
        <v>163</v>
      </c>
      <c r="C7811" s="8" t="str">
        <f>IFERROR(_xlfn.XLOOKUP(TRIM(B7811),Lookup!$B$2:$B$1000,Lookup!$C$2:$C$1000),"")</f>
        <v>Equity</v>
      </c>
      <c r="D7811" s="8" t="str">
        <f>IFERROR(INDEX('nav master'!$C:$C, MATCH(B7811, 'nav master'!$B:$B, 0)), "")</f>
        <v>ULIF08602/03/26InSctrLdrFd101</v>
      </c>
      <c r="E7811" s="8" t="s">
        <v>618</v>
      </c>
      <c r="F7811" s="8" t="s">
        <v>3425</v>
      </c>
    </row>
    <row r="7812" spans="1:6" ht="90" x14ac:dyDescent="0.25">
      <c r="A7812" s="8" t="s">
        <v>125</v>
      </c>
      <c r="B7812" s="8" t="s">
        <v>163</v>
      </c>
      <c r="C7812" s="8" t="str">
        <f>IFERROR(_xlfn.XLOOKUP(TRIM(B7812),Lookup!$B$2:$B$1000,Lookup!$C$2:$C$1000),"")</f>
        <v>Equity</v>
      </c>
      <c r="D7812" s="8" t="str">
        <f>IFERROR(INDEX('nav master'!$C:$C, MATCH(B7812, 'nav master'!$B:$B, 0)), "")</f>
        <v>ULIF08602/03/26InSctrLdrFd101</v>
      </c>
      <c r="E7812" s="8" t="s">
        <v>620</v>
      </c>
      <c r="F7812" s="8" t="s">
        <v>3426</v>
      </c>
    </row>
    <row r="7813" spans="1:6" ht="90" x14ac:dyDescent="0.25">
      <c r="A7813" s="8" t="s">
        <v>125</v>
      </c>
      <c r="B7813" s="8" t="s">
        <v>163</v>
      </c>
      <c r="C7813" s="8" t="str">
        <f>IFERROR(_xlfn.XLOOKUP(TRIM(B7813),Lookup!$B$2:$B$1000,Lookup!$C$2:$C$1000),"")</f>
        <v>Equity</v>
      </c>
      <c r="D7813" s="8" t="str">
        <f>IFERROR(INDEX('nav master'!$C:$C, MATCH(B7813, 'nav master'!$B:$B, 0)), "")</f>
        <v>ULIF08602/03/26InSctrLdrFd101</v>
      </c>
      <c r="E7813" s="8" t="s">
        <v>622</v>
      </c>
      <c r="F7813" s="8" t="s">
        <v>3427</v>
      </c>
    </row>
    <row r="7814" spans="1:6" ht="90" x14ac:dyDescent="0.25">
      <c r="A7814" s="8" t="s">
        <v>125</v>
      </c>
      <c r="B7814" s="8" t="s">
        <v>163</v>
      </c>
      <c r="C7814" s="8" t="str">
        <f>IFERROR(_xlfn.XLOOKUP(TRIM(B7814),Lookup!$B$2:$B$1000,Lookup!$C$2:$C$1000),"")</f>
        <v>Equity</v>
      </c>
      <c r="D7814" s="8" t="str">
        <f>IFERROR(INDEX('nav master'!$C:$C, MATCH(B7814, 'nav master'!$B:$B, 0)), "")</f>
        <v>ULIF08602/03/26InSctrLdrFd101</v>
      </c>
      <c r="E7814" s="8" t="s">
        <v>624</v>
      </c>
      <c r="F7814" s="8" t="s">
        <v>3428</v>
      </c>
    </row>
    <row r="7815" spans="1:6" ht="90" x14ac:dyDescent="0.25">
      <c r="A7815" s="8" t="s">
        <v>125</v>
      </c>
      <c r="B7815" s="8" t="s">
        <v>163</v>
      </c>
      <c r="C7815" s="8" t="str">
        <f>IFERROR(_xlfn.XLOOKUP(TRIM(B7815),Lookup!$B$2:$B$1000,Lookup!$C$2:$C$1000),"")</f>
        <v>Equity</v>
      </c>
      <c r="D7815" s="8" t="str">
        <f>IFERROR(INDEX('nav master'!$C:$C, MATCH(B7815, 'nav master'!$B:$B, 0)), "")</f>
        <v>ULIF08602/03/26InSctrLdrFd101</v>
      </c>
      <c r="E7815" s="8" t="s">
        <v>626</v>
      </c>
      <c r="F7815" s="8" t="s">
        <v>3429</v>
      </c>
    </row>
    <row r="7816" spans="1:6" ht="90" x14ac:dyDescent="0.25">
      <c r="A7816" s="8" t="s">
        <v>125</v>
      </c>
      <c r="B7816" s="8" t="s">
        <v>163</v>
      </c>
      <c r="C7816" s="8" t="str">
        <f>IFERROR(_xlfn.XLOOKUP(TRIM(B7816),Lookup!$B$2:$B$1000,Lookup!$C$2:$C$1000),"")</f>
        <v>Equity</v>
      </c>
      <c r="D7816" s="8" t="str">
        <f>IFERROR(INDEX('nav master'!$C:$C, MATCH(B7816, 'nav master'!$B:$B, 0)), "")</f>
        <v>ULIF08602/03/26InSctrLdrFd101</v>
      </c>
      <c r="E7816" s="8" t="s">
        <v>628</v>
      </c>
      <c r="F7816" s="8" t="s">
        <v>3430</v>
      </c>
    </row>
    <row r="7817" spans="1:6" ht="90" x14ac:dyDescent="0.25">
      <c r="A7817" s="8" t="s">
        <v>125</v>
      </c>
      <c r="B7817" s="8" t="s">
        <v>163</v>
      </c>
      <c r="C7817" s="8" t="str">
        <f>IFERROR(_xlfn.XLOOKUP(TRIM(B7817),Lookup!$B$2:$B$1000,Lookup!$C$2:$C$1000),"")</f>
        <v>Equity</v>
      </c>
      <c r="D7817" s="8" t="str">
        <f>IFERROR(INDEX('nav master'!$C:$C, MATCH(B7817, 'nav master'!$B:$B, 0)), "")</f>
        <v>ULIF08602/03/26InSctrLdrFd101</v>
      </c>
      <c r="E7817" s="8" t="s">
        <v>630</v>
      </c>
      <c r="F7817" s="8" t="s">
        <v>3431</v>
      </c>
    </row>
    <row r="7818" spans="1:6" ht="90" x14ac:dyDescent="0.25">
      <c r="A7818" s="8" t="s">
        <v>125</v>
      </c>
      <c r="B7818" s="8" t="s">
        <v>163</v>
      </c>
      <c r="C7818" s="8" t="str">
        <f>IFERROR(_xlfn.XLOOKUP(TRIM(B7818),Lookup!$B$2:$B$1000,Lookup!$C$2:$C$1000),"")</f>
        <v>Equity</v>
      </c>
      <c r="D7818" s="8" t="str">
        <f>IFERROR(INDEX('nav master'!$C:$C, MATCH(B7818, 'nav master'!$B:$B, 0)), "")</f>
        <v>ULIF08602/03/26InSctrLdrFd101</v>
      </c>
      <c r="E7818" s="8" t="s">
        <v>632</v>
      </c>
      <c r="F7818" s="8" t="s">
        <v>3432</v>
      </c>
    </row>
    <row r="7819" spans="1:6" ht="90" x14ac:dyDescent="0.25">
      <c r="A7819" s="8" t="s">
        <v>125</v>
      </c>
      <c r="B7819" s="8" t="s">
        <v>163</v>
      </c>
      <c r="C7819" s="8" t="str">
        <f>IFERROR(_xlfn.XLOOKUP(TRIM(B7819),Lookup!$B$2:$B$1000,Lookup!$C$2:$C$1000),"")</f>
        <v>Equity</v>
      </c>
      <c r="D7819" s="8" t="str">
        <f>IFERROR(INDEX('nav master'!$C:$C, MATCH(B7819, 'nav master'!$B:$B, 0)), "")</f>
        <v>ULIF08602/03/26InSctrLdrFd101</v>
      </c>
      <c r="E7819" s="8" t="s">
        <v>634</v>
      </c>
      <c r="F7819" s="8" t="s">
        <v>3433</v>
      </c>
    </row>
    <row r="7820" spans="1:6" ht="90" x14ac:dyDescent="0.25">
      <c r="A7820" s="8" t="s">
        <v>125</v>
      </c>
      <c r="B7820" s="8" t="s">
        <v>163</v>
      </c>
      <c r="C7820" s="8" t="str">
        <f>IFERROR(_xlfn.XLOOKUP(TRIM(B7820),Lookup!$B$2:$B$1000,Lookup!$C$2:$C$1000),"")</f>
        <v>Equity</v>
      </c>
      <c r="D7820" s="8" t="str">
        <f>IFERROR(INDEX('nav master'!$C:$C, MATCH(B7820, 'nav master'!$B:$B, 0)), "")</f>
        <v>ULIF08602/03/26InSctrLdrFd101</v>
      </c>
      <c r="E7820" s="8" t="s">
        <v>636</v>
      </c>
      <c r="F7820" s="8" t="s">
        <v>3434</v>
      </c>
    </row>
    <row r="7821" spans="1:6" ht="90" x14ac:dyDescent="0.25">
      <c r="A7821" s="8" t="s">
        <v>125</v>
      </c>
      <c r="B7821" s="8" t="s">
        <v>163</v>
      </c>
      <c r="C7821" s="8" t="str">
        <f>IFERROR(_xlfn.XLOOKUP(TRIM(B7821),Lookup!$B$2:$B$1000,Lookup!$C$2:$C$1000),"")</f>
        <v>Equity</v>
      </c>
      <c r="D7821" s="8" t="str">
        <f>IFERROR(INDEX('nav master'!$C:$C, MATCH(B7821, 'nav master'!$B:$B, 0)), "")</f>
        <v>ULIF08602/03/26InSctrLdrFd101</v>
      </c>
      <c r="E7821" s="8" t="s">
        <v>638</v>
      </c>
      <c r="F7821" s="8" t="s">
        <v>3435</v>
      </c>
    </row>
    <row r="7822" spans="1:6" ht="90" x14ac:dyDescent="0.25">
      <c r="A7822" s="8" t="s">
        <v>125</v>
      </c>
      <c r="B7822" s="8" t="s">
        <v>163</v>
      </c>
      <c r="C7822" s="8" t="str">
        <f>IFERROR(_xlfn.XLOOKUP(TRIM(B7822),Lookup!$B$2:$B$1000,Lookup!$C$2:$C$1000),"")</f>
        <v>Equity</v>
      </c>
      <c r="D7822" s="8" t="str">
        <f>IFERROR(INDEX('nav master'!$C:$C, MATCH(B7822, 'nav master'!$B:$B, 0)), "")</f>
        <v>ULIF08602/03/26InSctrLdrFd101</v>
      </c>
      <c r="E7822" s="8" t="s">
        <v>640</v>
      </c>
      <c r="F7822" s="8" t="s">
        <v>3436</v>
      </c>
    </row>
    <row r="7823" spans="1:6" ht="90" x14ac:dyDescent="0.25">
      <c r="A7823" s="8" t="s">
        <v>125</v>
      </c>
      <c r="B7823" s="8" t="s">
        <v>163</v>
      </c>
      <c r="C7823" s="8" t="str">
        <f>IFERROR(_xlfn.XLOOKUP(TRIM(B7823),Lookup!$B$2:$B$1000,Lookup!$C$2:$C$1000),"")</f>
        <v>Equity</v>
      </c>
      <c r="D7823" s="8" t="str">
        <f>IFERROR(INDEX('nav master'!$C:$C, MATCH(B7823, 'nav master'!$B:$B, 0)), "")</f>
        <v>ULIF08602/03/26InSctrLdrFd101</v>
      </c>
      <c r="E7823" s="8" t="s">
        <v>642</v>
      </c>
      <c r="F7823" s="8" t="s">
        <v>3437</v>
      </c>
    </row>
    <row r="7824" spans="1:6" ht="90" x14ac:dyDescent="0.25">
      <c r="A7824" s="8" t="s">
        <v>125</v>
      </c>
      <c r="B7824" s="8" t="s">
        <v>163</v>
      </c>
      <c r="C7824" s="8" t="str">
        <f>IFERROR(_xlfn.XLOOKUP(TRIM(B7824),Lookup!$B$2:$B$1000,Lookup!$C$2:$C$1000),"")</f>
        <v>Equity</v>
      </c>
      <c r="D7824" s="8" t="str">
        <f>IFERROR(INDEX('nav master'!$C:$C, MATCH(B7824, 'nav master'!$B:$B, 0)), "")</f>
        <v>ULIF08602/03/26InSctrLdrFd101</v>
      </c>
      <c r="E7824" s="8" t="s">
        <v>644</v>
      </c>
      <c r="F7824" s="8" t="s">
        <v>3438</v>
      </c>
    </row>
    <row r="7825" spans="1:6" ht="90" x14ac:dyDescent="0.25">
      <c r="A7825" s="8" t="s">
        <v>125</v>
      </c>
      <c r="B7825" s="8" t="s">
        <v>163</v>
      </c>
      <c r="C7825" s="8" t="str">
        <f>IFERROR(_xlfn.XLOOKUP(TRIM(B7825),Lookup!$B$2:$B$1000,Lookup!$C$2:$C$1000),"")</f>
        <v>Equity</v>
      </c>
      <c r="D7825" s="8" t="str">
        <f>IFERROR(INDEX('nav master'!$C:$C, MATCH(B7825, 'nav master'!$B:$B, 0)), "")</f>
        <v>ULIF08602/03/26InSctrLdrFd101</v>
      </c>
      <c r="E7825" s="8" t="s">
        <v>646</v>
      </c>
      <c r="F7825" s="8" t="s">
        <v>3439</v>
      </c>
    </row>
    <row r="7826" spans="1:6" ht="90" x14ac:dyDescent="0.25">
      <c r="A7826" s="8" t="s">
        <v>125</v>
      </c>
      <c r="B7826" s="8" t="s">
        <v>163</v>
      </c>
      <c r="C7826" s="8" t="str">
        <f>IFERROR(_xlfn.XLOOKUP(TRIM(B7826),Lookup!$B$2:$B$1000,Lookup!$C$2:$C$1000),"")</f>
        <v>Equity</v>
      </c>
      <c r="D7826" s="8" t="str">
        <f>IFERROR(INDEX('nav master'!$C:$C, MATCH(B7826, 'nav master'!$B:$B, 0)), "")</f>
        <v>ULIF08602/03/26InSctrLdrFd101</v>
      </c>
      <c r="E7826" s="8" t="s">
        <v>648</v>
      </c>
      <c r="F7826" s="8" t="s">
        <v>3440</v>
      </c>
    </row>
    <row r="7827" spans="1:6" ht="90" x14ac:dyDescent="0.25">
      <c r="A7827" s="8" t="s">
        <v>125</v>
      </c>
      <c r="B7827" s="8" t="s">
        <v>163</v>
      </c>
      <c r="C7827" s="8" t="str">
        <f>IFERROR(_xlfn.XLOOKUP(TRIM(B7827),Lookup!$B$2:$B$1000,Lookup!$C$2:$C$1000),"")</f>
        <v>Equity</v>
      </c>
      <c r="D7827" s="8" t="str">
        <f>IFERROR(INDEX('nav master'!$C:$C, MATCH(B7827, 'nav master'!$B:$B, 0)), "")</f>
        <v>ULIF08602/03/26InSctrLdrFd101</v>
      </c>
      <c r="E7827" s="8" t="s">
        <v>650</v>
      </c>
      <c r="F7827" s="8" t="s">
        <v>3441</v>
      </c>
    </row>
    <row r="7828" spans="1:6" ht="90" x14ac:dyDescent="0.25">
      <c r="A7828" s="8" t="s">
        <v>125</v>
      </c>
      <c r="B7828" s="8" t="s">
        <v>163</v>
      </c>
      <c r="C7828" s="8" t="str">
        <f>IFERROR(_xlfn.XLOOKUP(TRIM(B7828),Lookup!$B$2:$B$1000,Lookup!$C$2:$C$1000),"")</f>
        <v>Equity</v>
      </c>
      <c r="D7828" s="8" t="str">
        <f>IFERROR(INDEX('nav master'!$C:$C, MATCH(B7828, 'nav master'!$B:$B, 0)), "")</f>
        <v>ULIF08602/03/26InSctrLdrFd101</v>
      </c>
      <c r="E7828" s="8" t="s">
        <v>652</v>
      </c>
      <c r="F7828" s="8" t="s">
        <v>3442</v>
      </c>
    </row>
    <row r="7829" spans="1:6" ht="90" x14ac:dyDescent="0.25">
      <c r="A7829" s="8" t="s">
        <v>125</v>
      </c>
      <c r="B7829" s="8" t="s">
        <v>163</v>
      </c>
      <c r="C7829" s="8" t="str">
        <f>IFERROR(_xlfn.XLOOKUP(TRIM(B7829),Lookup!$B$2:$B$1000,Lookup!$C$2:$C$1000),"")</f>
        <v>Equity</v>
      </c>
      <c r="D7829" s="8" t="str">
        <f>IFERROR(INDEX('nav master'!$C:$C, MATCH(B7829, 'nav master'!$B:$B, 0)), "")</f>
        <v>ULIF08602/03/26InSctrLdrFd101</v>
      </c>
      <c r="E7829" s="8" t="s">
        <v>654</v>
      </c>
      <c r="F7829" s="8" t="s">
        <v>3443</v>
      </c>
    </row>
    <row r="7830" spans="1:6" ht="90" x14ac:dyDescent="0.25">
      <c r="A7830" s="8" t="s">
        <v>125</v>
      </c>
      <c r="B7830" s="8" t="s">
        <v>163</v>
      </c>
      <c r="C7830" s="8" t="str">
        <f>IFERROR(_xlfn.XLOOKUP(TRIM(B7830),Lookup!$B$2:$B$1000,Lookup!$C$2:$C$1000),"")</f>
        <v>Equity</v>
      </c>
      <c r="D7830" s="8" t="str">
        <f>IFERROR(INDEX('nav master'!$C:$C, MATCH(B7830, 'nav master'!$B:$B, 0)), "")</f>
        <v>ULIF08602/03/26InSctrLdrFd101</v>
      </c>
      <c r="E7830" s="8" t="s">
        <v>656</v>
      </c>
      <c r="F7830" s="8" t="s">
        <v>3444</v>
      </c>
    </row>
    <row r="7831" spans="1:6" ht="90" x14ac:dyDescent="0.25">
      <c r="A7831" s="8" t="s">
        <v>125</v>
      </c>
      <c r="B7831" s="8" t="s">
        <v>163</v>
      </c>
      <c r="C7831" s="8" t="str">
        <f>IFERROR(_xlfn.XLOOKUP(TRIM(B7831),Lookup!$B$2:$B$1000,Lookup!$C$2:$C$1000),"")</f>
        <v>Equity</v>
      </c>
      <c r="D7831" s="8" t="str">
        <f>IFERROR(INDEX('nav master'!$C:$C, MATCH(B7831, 'nav master'!$B:$B, 0)), "")</f>
        <v>ULIF08602/03/26InSctrLdrFd101</v>
      </c>
      <c r="E7831" s="8" t="s">
        <v>658</v>
      </c>
      <c r="F7831" s="8" t="s">
        <v>3445</v>
      </c>
    </row>
    <row r="7832" spans="1:6" ht="90" x14ac:dyDescent="0.25">
      <c r="A7832" s="8" t="s">
        <v>125</v>
      </c>
      <c r="B7832" s="8" t="s">
        <v>163</v>
      </c>
      <c r="C7832" s="8" t="str">
        <f>IFERROR(_xlfn.XLOOKUP(TRIM(B7832),Lookup!$B$2:$B$1000,Lookup!$C$2:$C$1000),"")</f>
        <v>Equity</v>
      </c>
      <c r="D7832" s="8" t="str">
        <f>IFERROR(INDEX('nav master'!$C:$C, MATCH(B7832, 'nav master'!$B:$B, 0)), "")</f>
        <v>ULIF08602/03/26InSctrLdrFd101</v>
      </c>
      <c r="E7832" s="8" t="s">
        <v>660</v>
      </c>
      <c r="F7832" s="8" t="s">
        <v>3446</v>
      </c>
    </row>
    <row r="7833" spans="1:6" ht="90" x14ac:dyDescent="0.25">
      <c r="A7833" s="8" t="s">
        <v>125</v>
      </c>
      <c r="B7833" s="8" t="s">
        <v>163</v>
      </c>
      <c r="C7833" s="8" t="str">
        <f>IFERROR(_xlfn.XLOOKUP(TRIM(B7833),Lookup!$B$2:$B$1000,Lookup!$C$2:$C$1000),"")</f>
        <v>Equity</v>
      </c>
      <c r="D7833" s="8" t="str">
        <f>IFERROR(INDEX('nav master'!$C:$C, MATCH(B7833, 'nav master'!$B:$B, 0)), "")</f>
        <v>ULIF08602/03/26InSctrLdrFd101</v>
      </c>
      <c r="E7833" s="8" t="s">
        <v>662</v>
      </c>
      <c r="F7833" s="8" t="s">
        <v>3447</v>
      </c>
    </row>
    <row r="7834" spans="1:6" ht="90" x14ac:dyDescent="0.25">
      <c r="A7834" s="8" t="s">
        <v>125</v>
      </c>
      <c r="B7834" s="8" t="s">
        <v>163</v>
      </c>
      <c r="C7834" s="8" t="str">
        <f>IFERROR(_xlfn.XLOOKUP(TRIM(B7834),Lookup!$B$2:$B$1000,Lookup!$C$2:$C$1000),"")</f>
        <v>Equity</v>
      </c>
      <c r="D7834" s="8" t="str">
        <f>IFERROR(INDEX('nav master'!$C:$C, MATCH(B7834, 'nav master'!$B:$B, 0)), "")</f>
        <v>ULIF08602/03/26InSctrLdrFd101</v>
      </c>
      <c r="E7834" s="8" t="s">
        <v>664</v>
      </c>
      <c r="F7834" s="8" t="s">
        <v>3448</v>
      </c>
    </row>
    <row r="7835" spans="1:6" ht="90" x14ac:dyDescent="0.25">
      <c r="A7835" s="8" t="s">
        <v>125</v>
      </c>
      <c r="B7835" s="8" t="s">
        <v>163</v>
      </c>
      <c r="C7835" s="8" t="str">
        <f>IFERROR(_xlfn.XLOOKUP(TRIM(B7835),Lookup!$B$2:$B$1000,Lookup!$C$2:$C$1000),"")</f>
        <v>Equity</v>
      </c>
      <c r="D7835" s="8" t="str">
        <f>IFERROR(INDEX('nav master'!$C:$C, MATCH(B7835, 'nav master'!$B:$B, 0)), "")</f>
        <v>ULIF08602/03/26InSctrLdrFd101</v>
      </c>
      <c r="E7835" s="8" t="s">
        <v>4892</v>
      </c>
      <c r="F7835" s="8" t="s">
        <v>4998</v>
      </c>
    </row>
    <row r="7836" spans="1:6" ht="90" x14ac:dyDescent="0.25">
      <c r="A7836" s="8" t="s">
        <v>125</v>
      </c>
      <c r="B7836" s="8" t="s">
        <v>163</v>
      </c>
      <c r="C7836" s="8" t="str">
        <f>IFERROR(_xlfn.XLOOKUP(TRIM(B7836),Lookup!$B$2:$B$1000,Lookup!$C$2:$C$1000),"")</f>
        <v>Equity</v>
      </c>
      <c r="D7836" s="8" t="str">
        <f>IFERROR(INDEX('nav master'!$C:$C, MATCH(B7836, 'nav master'!$B:$B, 0)), "")</f>
        <v>ULIF08602/03/26InSctrLdrFd101</v>
      </c>
      <c r="E7836" s="8" t="s">
        <v>4894</v>
      </c>
      <c r="F7836" s="8" t="s">
        <v>4999</v>
      </c>
    </row>
    <row r="7837" spans="1:6" ht="90" x14ac:dyDescent="0.25">
      <c r="A7837" s="8" t="s">
        <v>125</v>
      </c>
      <c r="B7837" s="8" t="s">
        <v>163</v>
      </c>
      <c r="C7837" s="8" t="str">
        <f>IFERROR(_xlfn.XLOOKUP(TRIM(B7837),Lookup!$B$2:$B$1000,Lookup!$C$2:$C$1000),"")</f>
        <v>Equity</v>
      </c>
      <c r="D7837" s="8" t="str">
        <f>IFERROR(INDEX('nav master'!$C:$C, MATCH(B7837, 'nav master'!$B:$B, 0)), "")</f>
        <v>ULIF08602/03/26InSctrLdrFd101</v>
      </c>
      <c r="E7837" s="8" t="s">
        <v>4896</v>
      </c>
      <c r="F7837" s="8" t="s">
        <v>5000</v>
      </c>
    </row>
    <row r="7838" spans="1:6" ht="90" x14ac:dyDescent="0.25">
      <c r="A7838" s="8" t="s">
        <v>125</v>
      </c>
      <c r="B7838" s="8" t="s">
        <v>163</v>
      </c>
      <c r="C7838" s="8" t="str">
        <f>IFERROR(_xlfn.XLOOKUP(TRIM(B7838),Lookup!$B$2:$B$1000,Lookup!$C$2:$C$1000),"")</f>
        <v>Equity</v>
      </c>
      <c r="D7838" s="8" t="str">
        <f>IFERROR(INDEX('nav master'!$C:$C, MATCH(B7838, 'nav master'!$B:$B, 0)), "")</f>
        <v>ULIF08602/03/26InSctrLdrFd101</v>
      </c>
      <c r="E7838" s="8" t="s">
        <v>4898</v>
      </c>
      <c r="F7838" s="8" t="s">
        <v>5001</v>
      </c>
    </row>
    <row r="7839" spans="1:6" ht="90" x14ac:dyDescent="0.25">
      <c r="A7839" s="8" t="s">
        <v>125</v>
      </c>
      <c r="B7839" s="8" t="s">
        <v>163</v>
      </c>
      <c r="C7839" s="8" t="str">
        <f>IFERROR(_xlfn.XLOOKUP(TRIM(B7839),Lookup!$B$2:$B$1000,Lookup!$C$2:$C$1000),"")</f>
        <v>Equity</v>
      </c>
      <c r="D7839" s="8" t="str">
        <f>IFERROR(INDEX('nav master'!$C:$C, MATCH(B7839, 'nav master'!$B:$B, 0)), "")</f>
        <v>ULIF08602/03/26InSctrLdrFd101</v>
      </c>
      <c r="E7839" s="8" t="s">
        <v>4900</v>
      </c>
      <c r="F7839" s="8" t="s">
        <v>5002</v>
      </c>
    </row>
    <row r="7840" spans="1:6" ht="90" x14ac:dyDescent="0.25">
      <c r="A7840" s="8" t="s">
        <v>125</v>
      </c>
      <c r="B7840" s="8" t="s">
        <v>163</v>
      </c>
      <c r="C7840" s="8" t="str">
        <f>IFERROR(_xlfn.XLOOKUP(TRIM(B7840),Lookup!$B$2:$B$1000,Lookup!$C$2:$C$1000),"")</f>
        <v>Equity</v>
      </c>
      <c r="D7840" s="8" t="str">
        <f>IFERROR(INDEX('nav master'!$C:$C, MATCH(B7840, 'nav master'!$B:$B, 0)), "")</f>
        <v>ULIF08602/03/26InSctrLdrFd101</v>
      </c>
      <c r="E7840" s="8" t="s">
        <v>4902</v>
      </c>
      <c r="F7840" s="8" t="s">
        <v>5003</v>
      </c>
    </row>
    <row r="7841" spans="1:6" ht="90" x14ac:dyDescent="0.25">
      <c r="A7841" s="8" t="s">
        <v>125</v>
      </c>
      <c r="B7841" s="8" t="s">
        <v>163</v>
      </c>
      <c r="C7841" s="8" t="str">
        <f>IFERROR(_xlfn.XLOOKUP(TRIM(B7841),Lookup!$B$2:$B$1000,Lookup!$C$2:$C$1000),"")</f>
        <v>Equity</v>
      </c>
      <c r="D7841" s="8" t="str">
        <f>IFERROR(INDEX('nav master'!$C:$C, MATCH(B7841, 'nav master'!$B:$B, 0)), "")</f>
        <v>ULIF08602/03/26InSctrLdrFd101</v>
      </c>
      <c r="E7841" s="8" t="s">
        <v>4903</v>
      </c>
      <c r="F7841" s="8" t="s">
        <v>5004</v>
      </c>
    </row>
    <row r="7842" spans="1:6" ht="90" x14ac:dyDescent="0.25">
      <c r="A7842" s="8" t="s">
        <v>125</v>
      </c>
      <c r="B7842" s="8" t="s">
        <v>163</v>
      </c>
      <c r="C7842" s="8" t="str">
        <f>IFERROR(_xlfn.XLOOKUP(TRIM(B7842),Lookup!$B$2:$B$1000,Lookup!$C$2:$C$1000),"")</f>
        <v>Equity</v>
      </c>
      <c r="D7842" s="8" t="str">
        <f>IFERROR(INDEX('nav master'!$C:$C, MATCH(B7842, 'nav master'!$B:$B, 0)), "")</f>
        <v>ULIF08602/03/26InSctrLdrFd101</v>
      </c>
      <c r="E7842" s="8" t="s">
        <v>4905</v>
      </c>
      <c r="F7842" s="8" t="s">
        <v>5005</v>
      </c>
    </row>
    <row r="7843" spans="1:6" ht="60" x14ac:dyDescent="0.25">
      <c r="A7843" s="8" t="s">
        <v>125</v>
      </c>
      <c r="B7843" s="8" t="s">
        <v>132</v>
      </c>
      <c r="C7843" s="8" t="str">
        <f>IFERROR(_xlfn.XLOOKUP(TRIM(B7843),Lookup!$B$2:$B$1000,Lookup!$C$2:$C$1000),"")</f>
        <v>Hybrid</v>
      </c>
      <c r="D7843" s="8" t="str">
        <f>IFERROR(INDEX('nav master'!$C:$C, MATCH(B7843, 'nav master'!$B:$B, 0)), "")</f>
        <v>ULIF03901/09/10BalancedFd101</v>
      </c>
      <c r="E7843" s="8" t="s">
        <v>189</v>
      </c>
      <c r="F7843" s="8" t="s">
        <v>3449</v>
      </c>
    </row>
    <row r="7844" spans="1:6" ht="60" x14ac:dyDescent="0.25">
      <c r="A7844" s="8" t="s">
        <v>125</v>
      </c>
      <c r="B7844" s="8" t="s">
        <v>132</v>
      </c>
      <c r="C7844" s="8" t="str">
        <f>IFERROR(_xlfn.XLOOKUP(TRIM(B7844),Lookup!$B$2:$B$1000,Lookup!$C$2:$C$1000),"")</f>
        <v>Hybrid</v>
      </c>
      <c r="D7844" s="8" t="str">
        <f>IFERROR(INDEX('nav master'!$C:$C, MATCH(B7844, 'nav master'!$B:$B, 0)), "")</f>
        <v>ULIF03901/09/10BalancedFd101</v>
      </c>
      <c r="E7844" s="8" t="s">
        <v>191</v>
      </c>
      <c r="F7844" s="8" t="s">
        <v>3450</v>
      </c>
    </row>
    <row r="7845" spans="1:6" ht="60" x14ac:dyDescent="0.25">
      <c r="A7845" s="8" t="s">
        <v>125</v>
      </c>
      <c r="B7845" s="8" t="s">
        <v>132</v>
      </c>
      <c r="C7845" s="8" t="str">
        <f>IFERROR(_xlfn.XLOOKUP(TRIM(B7845),Lookup!$B$2:$B$1000,Lookup!$C$2:$C$1000),"")</f>
        <v>Hybrid</v>
      </c>
      <c r="D7845" s="8" t="str">
        <f>IFERROR(INDEX('nav master'!$C:$C, MATCH(B7845, 'nav master'!$B:$B, 0)), "")</f>
        <v>ULIF03901/09/10BalancedFd101</v>
      </c>
      <c r="E7845" s="8" t="s">
        <v>193</v>
      </c>
      <c r="F7845" s="8" t="s">
        <v>3451</v>
      </c>
    </row>
    <row r="7846" spans="1:6" ht="60" x14ac:dyDescent="0.25">
      <c r="A7846" s="8" t="s">
        <v>125</v>
      </c>
      <c r="B7846" s="8" t="s">
        <v>132</v>
      </c>
      <c r="C7846" s="8" t="str">
        <f>IFERROR(_xlfn.XLOOKUP(TRIM(B7846),Lookup!$B$2:$B$1000,Lookup!$C$2:$C$1000),"")</f>
        <v>Hybrid</v>
      </c>
      <c r="D7846" s="8" t="str">
        <f>IFERROR(INDEX('nav master'!$C:$C, MATCH(B7846, 'nav master'!$B:$B, 0)), "")</f>
        <v>ULIF03901/09/10BalancedFd101</v>
      </c>
      <c r="E7846" s="8" t="s">
        <v>195</v>
      </c>
      <c r="F7846" s="8" t="s">
        <v>3452</v>
      </c>
    </row>
    <row r="7847" spans="1:6" ht="60" x14ac:dyDescent="0.25">
      <c r="A7847" s="8" t="s">
        <v>125</v>
      </c>
      <c r="B7847" s="8" t="s">
        <v>132</v>
      </c>
      <c r="C7847" s="8" t="str">
        <f>IFERROR(_xlfn.XLOOKUP(TRIM(B7847),Lookup!$B$2:$B$1000,Lookup!$C$2:$C$1000),"")</f>
        <v>Hybrid</v>
      </c>
      <c r="D7847" s="8" t="str">
        <f>IFERROR(INDEX('nav master'!$C:$C, MATCH(B7847, 'nav master'!$B:$B, 0)), "")</f>
        <v>ULIF03901/09/10BalancedFd101</v>
      </c>
      <c r="E7847" s="8" t="s">
        <v>197</v>
      </c>
      <c r="F7847" s="8" t="s">
        <v>3453</v>
      </c>
    </row>
    <row r="7848" spans="1:6" ht="60" x14ac:dyDescent="0.25">
      <c r="A7848" s="8" t="s">
        <v>125</v>
      </c>
      <c r="B7848" s="8" t="s">
        <v>132</v>
      </c>
      <c r="C7848" s="8" t="str">
        <f>IFERROR(_xlfn.XLOOKUP(TRIM(B7848),Lookup!$B$2:$B$1000,Lookup!$C$2:$C$1000),"")</f>
        <v>Hybrid</v>
      </c>
      <c r="D7848" s="8" t="str">
        <f>IFERROR(INDEX('nav master'!$C:$C, MATCH(B7848, 'nav master'!$B:$B, 0)), "")</f>
        <v>ULIF03901/09/10BalancedFd101</v>
      </c>
      <c r="E7848" s="8" t="s">
        <v>199</v>
      </c>
      <c r="F7848" s="8" t="s">
        <v>3454</v>
      </c>
    </row>
    <row r="7849" spans="1:6" ht="60" x14ac:dyDescent="0.25">
      <c r="A7849" s="8" t="s">
        <v>125</v>
      </c>
      <c r="B7849" s="8" t="s">
        <v>132</v>
      </c>
      <c r="C7849" s="8" t="str">
        <f>IFERROR(_xlfn.XLOOKUP(TRIM(B7849),Lookup!$B$2:$B$1000,Lookup!$C$2:$C$1000),"")</f>
        <v>Hybrid</v>
      </c>
      <c r="D7849" s="8" t="str">
        <f>IFERROR(INDEX('nav master'!$C:$C, MATCH(B7849, 'nav master'!$B:$B, 0)), "")</f>
        <v>ULIF03901/09/10BalancedFd101</v>
      </c>
      <c r="E7849" s="8" t="s">
        <v>201</v>
      </c>
      <c r="F7849" s="8" t="s">
        <v>3455</v>
      </c>
    </row>
    <row r="7850" spans="1:6" ht="60" x14ac:dyDescent="0.25">
      <c r="A7850" s="8" t="s">
        <v>125</v>
      </c>
      <c r="B7850" s="8" t="s">
        <v>132</v>
      </c>
      <c r="C7850" s="8" t="str">
        <f>IFERROR(_xlfn.XLOOKUP(TRIM(B7850),Lookup!$B$2:$B$1000,Lookup!$C$2:$C$1000),"")</f>
        <v>Hybrid</v>
      </c>
      <c r="D7850" s="8" t="str">
        <f>IFERROR(INDEX('nav master'!$C:$C, MATCH(B7850, 'nav master'!$B:$B, 0)), "")</f>
        <v>ULIF03901/09/10BalancedFd101</v>
      </c>
      <c r="E7850" s="8" t="s">
        <v>203</v>
      </c>
      <c r="F7850" s="8" t="s">
        <v>3456</v>
      </c>
    </row>
    <row r="7851" spans="1:6" ht="60" x14ac:dyDescent="0.25">
      <c r="A7851" s="8" t="s">
        <v>125</v>
      </c>
      <c r="B7851" s="8" t="s">
        <v>132</v>
      </c>
      <c r="C7851" s="8" t="str">
        <f>IFERROR(_xlfn.XLOOKUP(TRIM(B7851),Lookup!$B$2:$B$1000,Lookup!$C$2:$C$1000),"")</f>
        <v>Hybrid</v>
      </c>
      <c r="D7851" s="8" t="str">
        <f>IFERROR(INDEX('nav master'!$C:$C, MATCH(B7851, 'nav master'!$B:$B, 0)), "")</f>
        <v>ULIF03901/09/10BalancedFd101</v>
      </c>
      <c r="E7851" s="8" t="s">
        <v>205</v>
      </c>
      <c r="F7851" s="8" t="s">
        <v>3457</v>
      </c>
    </row>
    <row r="7852" spans="1:6" ht="60" x14ac:dyDescent="0.25">
      <c r="A7852" s="8" t="s">
        <v>125</v>
      </c>
      <c r="B7852" s="8" t="s">
        <v>132</v>
      </c>
      <c r="C7852" s="8" t="str">
        <f>IFERROR(_xlfn.XLOOKUP(TRIM(B7852),Lookup!$B$2:$B$1000,Lookup!$C$2:$C$1000),"")</f>
        <v>Hybrid</v>
      </c>
      <c r="D7852" s="8" t="str">
        <f>IFERROR(INDEX('nav master'!$C:$C, MATCH(B7852, 'nav master'!$B:$B, 0)), "")</f>
        <v>ULIF03901/09/10BalancedFd101</v>
      </c>
      <c r="E7852" s="8" t="s">
        <v>207</v>
      </c>
      <c r="F7852" s="8" t="s">
        <v>3458</v>
      </c>
    </row>
    <row r="7853" spans="1:6" ht="60" x14ac:dyDescent="0.25">
      <c r="A7853" s="8" t="s">
        <v>125</v>
      </c>
      <c r="B7853" s="8" t="s">
        <v>132</v>
      </c>
      <c r="C7853" s="8" t="str">
        <f>IFERROR(_xlfn.XLOOKUP(TRIM(B7853),Lookup!$B$2:$B$1000,Lookup!$C$2:$C$1000),"")</f>
        <v>Hybrid</v>
      </c>
      <c r="D7853" s="8" t="str">
        <f>IFERROR(INDEX('nav master'!$C:$C, MATCH(B7853, 'nav master'!$B:$B, 0)), "")</f>
        <v>ULIF03901/09/10BalancedFd101</v>
      </c>
      <c r="E7853" s="8" t="s">
        <v>209</v>
      </c>
      <c r="F7853" s="8" t="s">
        <v>3459</v>
      </c>
    </row>
    <row r="7854" spans="1:6" ht="60" x14ac:dyDescent="0.25">
      <c r="A7854" s="8" t="s">
        <v>125</v>
      </c>
      <c r="B7854" s="8" t="s">
        <v>132</v>
      </c>
      <c r="C7854" s="8" t="str">
        <f>IFERROR(_xlfn.XLOOKUP(TRIM(B7854),Lookup!$B$2:$B$1000,Lookup!$C$2:$C$1000),"")</f>
        <v>Hybrid</v>
      </c>
      <c r="D7854" s="8" t="str">
        <f>IFERROR(INDEX('nav master'!$C:$C, MATCH(B7854, 'nav master'!$B:$B, 0)), "")</f>
        <v>ULIF03901/09/10BalancedFd101</v>
      </c>
      <c r="E7854" s="8" t="s">
        <v>211</v>
      </c>
      <c r="F7854" s="8" t="s">
        <v>3460</v>
      </c>
    </row>
    <row r="7855" spans="1:6" ht="60" x14ac:dyDescent="0.25">
      <c r="A7855" s="8" t="s">
        <v>125</v>
      </c>
      <c r="B7855" s="8" t="s">
        <v>132</v>
      </c>
      <c r="C7855" s="8" t="str">
        <f>IFERROR(_xlfn.XLOOKUP(TRIM(B7855),Lookup!$B$2:$B$1000,Lookup!$C$2:$C$1000),"")</f>
        <v>Hybrid</v>
      </c>
      <c r="D7855" s="8" t="str">
        <f>IFERROR(INDEX('nav master'!$C:$C, MATCH(B7855, 'nav master'!$B:$B, 0)), "")</f>
        <v>ULIF03901/09/10BalancedFd101</v>
      </c>
      <c r="E7855" s="8" t="s">
        <v>213</v>
      </c>
      <c r="F7855" s="8" t="s">
        <v>3461</v>
      </c>
    </row>
    <row r="7856" spans="1:6" ht="60" x14ac:dyDescent="0.25">
      <c r="A7856" s="8" t="s">
        <v>125</v>
      </c>
      <c r="B7856" s="8" t="s">
        <v>132</v>
      </c>
      <c r="C7856" s="8" t="str">
        <f>IFERROR(_xlfn.XLOOKUP(TRIM(B7856),Lookup!$B$2:$B$1000,Lookup!$C$2:$C$1000),"")</f>
        <v>Hybrid</v>
      </c>
      <c r="D7856" s="8" t="str">
        <f>IFERROR(INDEX('nav master'!$C:$C, MATCH(B7856, 'nav master'!$B:$B, 0)), "")</f>
        <v>ULIF03901/09/10BalancedFd101</v>
      </c>
      <c r="E7856" s="8" t="s">
        <v>215</v>
      </c>
      <c r="F7856" s="8" t="s">
        <v>3462</v>
      </c>
    </row>
    <row r="7857" spans="1:6" ht="60" x14ac:dyDescent="0.25">
      <c r="A7857" s="8" t="s">
        <v>125</v>
      </c>
      <c r="B7857" s="8" t="s">
        <v>132</v>
      </c>
      <c r="C7857" s="8" t="str">
        <f>IFERROR(_xlfn.XLOOKUP(TRIM(B7857),Lookup!$B$2:$B$1000,Lookup!$C$2:$C$1000),"")</f>
        <v>Hybrid</v>
      </c>
      <c r="D7857" s="8" t="str">
        <f>IFERROR(INDEX('nav master'!$C:$C, MATCH(B7857, 'nav master'!$B:$B, 0)), "")</f>
        <v>ULIF03901/09/10BalancedFd101</v>
      </c>
      <c r="E7857" s="8" t="s">
        <v>217</v>
      </c>
      <c r="F7857" s="8" t="s">
        <v>3463</v>
      </c>
    </row>
    <row r="7858" spans="1:6" ht="60" x14ac:dyDescent="0.25">
      <c r="A7858" s="8" t="s">
        <v>125</v>
      </c>
      <c r="B7858" s="8" t="s">
        <v>132</v>
      </c>
      <c r="C7858" s="8" t="str">
        <f>IFERROR(_xlfn.XLOOKUP(TRIM(B7858),Lookup!$B$2:$B$1000,Lookup!$C$2:$C$1000),"")</f>
        <v>Hybrid</v>
      </c>
      <c r="D7858" s="8" t="str">
        <f>IFERROR(INDEX('nav master'!$C:$C, MATCH(B7858, 'nav master'!$B:$B, 0)), "")</f>
        <v>ULIF03901/09/10BalancedFd101</v>
      </c>
      <c r="E7858" s="8" t="s">
        <v>219</v>
      </c>
      <c r="F7858" s="8" t="s">
        <v>3464</v>
      </c>
    </row>
    <row r="7859" spans="1:6" ht="60" x14ac:dyDescent="0.25">
      <c r="A7859" s="8" t="s">
        <v>125</v>
      </c>
      <c r="B7859" s="8" t="s">
        <v>132</v>
      </c>
      <c r="C7859" s="8" t="str">
        <f>IFERROR(_xlfn.XLOOKUP(TRIM(B7859),Lookup!$B$2:$B$1000,Lookup!$C$2:$C$1000),"")</f>
        <v>Hybrid</v>
      </c>
      <c r="D7859" s="8" t="str">
        <f>IFERROR(INDEX('nav master'!$C:$C, MATCH(B7859, 'nav master'!$B:$B, 0)), "")</f>
        <v>ULIF03901/09/10BalancedFd101</v>
      </c>
      <c r="E7859" s="8" t="s">
        <v>221</v>
      </c>
      <c r="F7859" s="8" t="s">
        <v>3465</v>
      </c>
    </row>
    <row r="7860" spans="1:6" ht="60" x14ac:dyDescent="0.25">
      <c r="A7860" s="8" t="s">
        <v>125</v>
      </c>
      <c r="B7860" s="8" t="s">
        <v>132</v>
      </c>
      <c r="C7860" s="8" t="str">
        <f>IFERROR(_xlfn.XLOOKUP(TRIM(B7860),Lookup!$B$2:$B$1000,Lookup!$C$2:$C$1000),"")</f>
        <v>Hybrid</v>
      </c>
      <c r="D7860" s="8" t="str">
        <f>IFERROR(INDEX('nav master'!$C:$C, MATCH(B7860, 'nav master'!$B:$B, 0)), "")</f>
        <v>ULIF03901/09/10BalancedFd101</v>
      </c>
      <c r="E7860" s="8" t="s">
        <v>223</v>
      </c>
      <c r="F7860" s="8" t="s">
        <v>3466</v>
      </c>
    </row>
    <row r="7861" spans="1:6" ht="60" x14ac:dyDescent="0.25">
      <c r="A7861" s="8" t="s">
        <v>125</v>
      </c>
      <c r="B7861" s="8" t="s">
        <v>132</v>
      </c>
      <c r="C7861" s="8" t="str">
        <f>IFERROR(_xlfn.XLOOKUP(TRIM(B7861),Lookup!$B$2:$B$1000,Lookup!$C$2:$C$1000),"")</f>
        <v>Hybrid</v>
      </c>
      <c r="D7861" s="8" t="str">
        <f>IFERROR(INDEX('nav master'!$C:$C, MATCH(B7861, 'nav master'!$B:$B, 0)), "")</f>
        <v>ULIF03901/09/10BalancedFd101</v>
      </c>
      <c r="E7861" s="8" t="s">
        <v>225</v>
      </c>
      <c r="F7861" s="8" t="s">
        <v>3467</v>
      </c>
    </row>
    <row r="7862" spans="1:6" ht="60" x14ac:dyDescent="0.25">
      <c r="A7862" s="8" t="s">
        <v>125</v>
      </c>
      <c r="B7862" s="8" t="s">
        <v>132</v>
      </c>
      <c r="C7862" s="8" t="str">
        <f>IFERROR(_xlfn.XLOOKUP(TRIM(B7862),Lookup!$B$2:$B$1000,Lookup!$C$2:$C$1000),"")</f>
        <v>Hybrid</v>
      </c>
      <c r="D7862" s="8" t="str">
        <f>IFERROR(INDEX('nav master'!$C:$C, MATCH(B7862, 'nav master'!$B:$B, 0)), "")</f>
        <v>ULIF03901/09/10BalancedFd101</v>
      </c>
      <c r="E7862" s="8" t="s">
        <v>227</v>
      </c>
      <c r="F7862" s="8" t="s">
        <v>3468</v>
      </c>
    </row>
    <row r="7863" spans="1:6" ht="60" x14ac:dyDescent="0.25">
      <c r="A7863" s="8" t="s">
        <v>125</v>
      </c>
      <c r="B7863" s="8" t="s">
        <v>132</v>
      </c>
      <c r="C7863" s="8" t="str">
        <f>IFERROR(_xlfn.XLOOKUP(TRIM(B7863),Lookup!$B$2:$B$1000,Lookup!$C$2:$C$1000),"")</f>
        <v>Hybrid</v>
      </c>
      <c r="D7863" s="8" t="str">
        <f>IFERROR(INDEX('nav master'!$C:$C, MATCH(B7863, 'nav master'!$B:$B, 0)), "")</f>
        <v>ULIF03901/09/10BalancedFd101</v>
      </c>
      <c r="E7863" s="8" t="s">
        <v>229</v>
      </c>
      <c r="F7863" s="8" t="s">
        <v>3469</v>
      </c>
    </row>
    <row r="7864" spans="1:6" ht="60" x14ac:dyDescent="0.25">
      <c r="A7864" s="8" t="s">
        <v>125</v>
      </c>
      <c r="B7864" s="8" t="s">
        <v>132</v>
      </c>
      <c r="C7864" s="8" t="str">
        <f>IFERROR(_xlfn.XLOOKUP(TRIM(B7864),Lookup!$B$2:$B$1000,Lookup!$C$2:$C$1000),"")</f>
        <v>Hybrid</v>
      </c>
      <c r="D7864" s="8" t="str">
        <f>IFERROR(INDEX('nav master'!$C:$C, MATCH(B7864, 'nav master'!$B:$B, 0)), "")</f>
        <v>ULIF03901/09/10BalancedFd101</v>
      </c>
      <c r="E7864" s="8" t="s">
        <v>231</v>
      </c>
      <c r="F7864" s="8" t="s">
        <v>3470</v>
      </c>
    </row>
    <row r="7865" spans="1:6" ht="60" x14ac:dyDescent="0.25">
      <c r="A7865" s="8" t="s">
        <v>125</v>
      </c>
      <c r="B7865" s="8" t="s">
        <v>132</v>
      </c>
      <c r="C7865" s="8" t="str">
        <f>IFERROR(_xlfn.XLOOKUP(TRIM(B7865),Lookup!$B$2:$B$1000,Lookup!$C$2:$C$1000),"")</f>
        <v>Hybrid</v>
      </c>
      <c r="D7865" s="8" t="str">
        <f>IFERROR(INDEX('nav master'!$C:$C, MATCH(B7865, 'nav master'!$B:$B, 0)), "")</f>
        <v>ULIF03901/09/10BalancedFd101</v>
      </c>
      <c r="E7865" s="8" t="s">
        <v>233</v>
      </c>
      <c r="F7865" s="8" t="s">
        <v>3471</v>
      </c>
    </row>
    <row r="7866" spans="1:6" ht="60" x14ac:dyDescent="0.25">
      <c r="A7866" s="8" t="s">
        <v>125</v>
      </c>
      <c r="B7866" s="8" t="s">
        <v>132</v>
      </c>
      <c r="C7866" s="8" t="str">
        <f>IFERROR(_xlfn.XLOOKUP(TRIM(B7866),Lookup!$B$2:$B$1000,Lookup!$C$2:$C$1000),"")</f>
        <v>Hybrid</v>
      </c>
      <c r="D7866" s="8" t="str">
        <f>IFERROR(INDEX('nav master'!$C:$C, MATCH(B7866, 'nav master'!$B:$B, 0)), "")</f>
        <v>ULIF03901/09/10BalancedFd101</v>
      </c>
      <c r="E7866" s="8" t="s">
        <v>235</v>
      </c>
      <c r="F7866" s="8" t="s">
        <v>3472</v>
      </c>
    </row>
    <row r="7867" spans="1:6" ht="60" x14ac:dyDescent="0.25">
      <c r="A7867" s="8" t="s">
        <v>125</v>
      </c>
      <c r="B7867" s="8" t="s">
        <v>132</v>
      </c>
      <c r="C7867" s="8" t="str">
        <f>IFERROR(_xlfn.XLOOKUP(TRIM(B7867),Lookup!$B$2:$B$1000,Lookup!$C$2:$C$1000),"")</f>
        <v>Hybrid</v>
      </c>
      <c r="D7867" s="8" t="str">
        <f>IFERROR(INDEX('nav master'!$C:$C, MATCH(B7867, 'nav master'!$B:$B, 0)), "")</f>
        <v>ULIF03901/09/10BalancedFd101</v>
      </c>
      <c r="E7867" s="8" t="s">
        <v>237</v>
      </c>
      <c r="F7867" s="8" t="s">
        <v>3473</v>
      </c>
    </row>
    <row r="7868" spans="1:6" ht="60" x14ac:dyDescent="0.25">
      <c r="A7868" s="8" t="s">
        <v>125</v>
      </c>
      <c r="B7868" s="8" t="s">
        <v>132</v>
      </c>
      <c r="C7868" s="8" t="str">
        <f>IFERROR(_xlfn.XLOOKUP(TRIM(B7868),Lookup!$B$2:$B$1000,Lookup!$C$2:$C$1000),"")</f>
        <v>Hybrid</v>
      </c>
      <c r="D7868" s="8" t="str">
        <f>IFERROR(INDEX('nav master'!$C:$C, MATCH(B7868, 'nav master'!$B:$B, 0)), "")</f>
        <v>ULIF03901/09/10BalancedFd101</v>
      </c>
      <c r="E7868" s="8" t="s">
        <v>239</v>
      </c>
      <c r="F7868" s="8" t="s">
        <v>3474</v>
      </c>
    </row>
    <row r="7869" spans="1:6" ht="60" x14ac:dyDescent="0.25">
      <c r="A7869" s="8" t="s">
        <v>125</v>
      </c>
      <c r="B7869" s="8" t="s">
        <v>132</v>
      </c>
      <c r="C7869" s="8" t="str">
        <f>IFERROR(_xlfn.XLOOKUP(TRIM(B7869),Lookup!$B$2:$B$1000,Lookup!$C$2:$C$1000),"")</f>
        <v>Hybrid</v>
      </c>
      <c r="D7869" s="8" t="str">
        <f>IFERROR(INDEX('nav master'!$C:$C, MATCH(B7869, 'nav master'!$B:$B, 0)), "")</f>
        <v>ULIF03901/09/10BalancedFd101</v>
      </c>
      <c r="E7869" s="8" t="s">
        <v>241</v>
      </c>
      <c r="F7869" s="8" t="s">
        <v>3475</v>
      </c>
    </row>
    <row r="7870" spans="1:6" ht="60" x14ac:dyDescent="0.25">
      <c r="A7870" s="8" t="s">
        <v>125</v>
      </c>
      <c r="B7870" s="8" t="s">
        <v>132</v>
      </c>
      <c r="C7870" s="8" t="str">
        <f>IFERROR(_xlfn.XLOOKUP(TRIM(B7870),Lookup!$B$2:$B$1000,Lookup!$C$2:$C$1000),"")</f>
        <v>Hybrid</v>
      </c>
      <c r="D7870" s="8" t="str">
        <f>IFERROR(INDEX('nav master'!$C:$C, MATCH(B7870, 'nav master'!$B:$B, 0)), "")</f>
        <v>ULIF03901/09/10BalancedFd101</v>
      </c>
      <c r="E7870" s="8" t="s">
        <v>243</v>
      </c>
      <c r="F7870" s="8" t="s">
        <v>3476</v>
      </c>
    </row>
    <row r="7871" spans="1:6" ht="60" x14ac:dyDescent="0.25">
      <c r="A7871" s="8" t="s">
        <v>125</v>
      </c>
      <c r="B7871" s="8" t="s">
        <v>132</v>
      </c>
      <c r="C7871" s="8" t="str">
        <f>IFERROR(_xlfn.XLOOKUP(TRIM(B7871),Lookup!$B$2:$B$1000,Lookup!$C$2:$C$1000),"")</f>
        <v>Hybrid</v>
      </c>
      <c r="D7871" s="8" t="str">
        <f>IFERROR(INDEX('nav master'!$C:$C, MATCH(B7871, 'nav master'!$B:$B, 0)), "")</f>
        <v>ULIF03901/09/10BalancedFd101</v>
      </c>
      <c r="E7871" s="8" t="s">
        <v>245</v>
      </c>
      <c r="F7871" s="8" t="s">
        <v>3477</v>
      </c>
    </row>
    <row r="7872" spans="1:6" ht="60" x14ac:dyDescent="0.25">
      <c r="A7872" s="8" t="s">
        <v>125</v>
      </c>
      <c r="B7872" s="8" t="s">
        <v>132</v>
      </c>
      <c r="C7872" s="8" t="str">
        <f>IFERROR(_xlfn.XLOOKUP(TRIM(B7872),Lookup!$B$2:$B$1000,Lookup!$C$2:$C$1000),"")</f>
        <v>Hybrid</v>
      </c>
      <c r="D7872" s="8" t="str">
        <f>IFERROR(INDEX('nav master'!$C:$C, MATCH(B7872, 'nav master'!$B:$B, 0)), "")</f>
        <v>ULIF03901/09/10BalancedFd101</v>
      </c>
      <c r="E7872" s="8" t="s">
        <v>247</v>
      </c>
      <c r="F7872" s="8" t="s">
        <v>3478</v>
      </c>
    </row>
    <row r="7873" spans="1:6" ht="60" x14ac:dyDescent="0.25">
      <c r="A7873" s="8" t="s">
        <v>125</v>
      </c>
      <c r="B7873" s="8" t="s">
        <v>132</v>
      </c>
      <c r="C7873" s="8" t="str">
        <f>IFERROR(_xlfn.XLOOKUP(TRIM(B7873),Lookup!$B$2:$B$1000,Lookup!$C$2:$C$1000),"")</f>
        <v>Hybrid</v>
      </c>
      <c r="D7873" s="8" t="str">
        <f>IFERROR(INDEX('nav master'!$C:$C, MATCH(B7873, 'nav master'!$B:$B, 0)), "")</f>
        <v>ULIF03901/09/10BalancedFd101</v>
      </c>
      <c r="E7873" s="8" t="s">
        <v>249</v>
      </c>
      <c r="F7873" s="8" t="s">
        <v>3479</v>
      </c>
    </row>
    <row r="7874" spans="1:6" ht="60" x14ac:dyDescent="0.25">
      <c r="A7874" s="8" t="s">
        <v>125</v>
      </c>
      <c r="B7874" s="8" t="s">
        <v>132</v>
      </c>
      <c r="C7874" s="8" t="str">
        <f>IFERROR(_xlfn.XLOOKUP(TRIM(B7874),Lookup!$B$2:$B$1000,Lookup!$C$2:$C$1000),"")</f>
        <v>Hybrid</v>
      </c>
      <c r="D7874" s="8" t="str">
        <f>IFERROR(INDEX('nav master'!$C:$C, MATCH(B7874, 'nav master'!$B:$B, 0)), "")</f>
        <v>ULIF03901/09/10BalancedFd101</v>
      </c>
      <c r="E7874" s="8" t="s">
        <v>251</v>
      </c>
      <c r="F7874" s="8" t="s">
        <v>3480</v>
      </c>
    </row>
    <row r="7875" spans="1:6" ht="60" x14ac:dyDescent="0.25">
      <c r="A7875" s="8" t="s">
        <v>125</v>
      </c>
      <c r="B7875" s="8" t="s">
        <v>132</v>
      </c>
      <c r="C7875" s="8" t="str">
        <f>IFERROR(_xlfn.XLOOKUP(TRIM(B7875),Lookup!$B$2:$B$1000,Lookup!$C$2:$C$1000),"")</f>
        <v>Hybrid</v>
      </c>
      <c r="D7875" s="8" t="str">
        <f>IFERROR(INDEX('nav master'!$C:$C, MATCH(B7875, 'nav master'!$B:$B, 0)), "")</f>
        <v>ULIF03901/09/10BalancedFd101</v>
      </c>
      <c r="E7875" s="8" t="s">
        <v>253</v>
      </c>
      <c r="F7875" s="8" t="s">
        <v>3481</v>
      </c>
    </row>
    <row r="7876" spans="1:6" ht="60" x14ac:dyDescent="0.25">
      <c r="A7876" s="8" t="s">
        <v>125</v>
      </c>
      <c r="B7876" s="8" t="s">
        <v>132</v>
      </c>
      <c r="C7876" s="8" t="str">
        <f>IFERROR(_xlfn.XLOOKUP(TRIM(B7876),Lookup!$B$2:$B$1000,Lookup!$C$2:$C$1000),"")</f>
        <v>Hybrid</v>
      </c>
      <c r="D7876" s="8" t="str">
        <f>IFERROR(INDEX('nav master'!$C:$C, MATCH(B7876, 'nav master'!$B:$B, 0)), "")</f>
        <v>ULIF03901/09/10BalancedFd101</v>
      </c>
      <c r="E7876" s="8" t="s">
        <v>255</v>
      </c>
      <c r="F7876" s="8" t="s">
        <v>3482</v>
      </c>
    </row>
    <row r="7877" spans="1:6" ht="60" x14ac:dyDescent="0.25">
      <c r="A7877" s="8" t="s">
        <v>125</v>
      </c>
      <c r="B7877" s="8" t="s">
        <v>132</v>
      </c>
      <c r="C7877" s="8" t="str">
        <f>IFERROR(_xlfn.XLOOKUP(TRIM(B7877),Lookup!$B$2:$B$1000,Lookup!$C$2:$C$1000),"")</f>
        <v>Hybrid</v>
      </c>
      <c r="D7877" s="8" t="str">
        <f>IFERROR(INDEX('nav master'!$C:$C, MATCH(B7877, 'nav master'!$B:$B, 0)), "")</f>
        <v>ULIF03901/09/10BalancedFd101</v>
      </c>
      <c r="E7877" s="8" t="s">
        <v>257</v>
      </c>
      <c r="F7877" s="8" t="s">
        <v>3483</v>
      </c>
    </row>
    <row r="7878" spans="1:6" ht="60" x14ac:dyDescent="0.25">
      <c r="A7878" s="8" t="s">
        <v>125</v>
      </c>
      <c r="B7878" s="8" t="s">
        <v>132</v>
      </c>
      <c r="C7878" s="8" t="str">
        <f>IFERROR(_xlfn.XLOOKUP(TRIM(B7878),Lookup!$B$2:$B$1000,Lookup!$C$2:$C$1000),"")</f>
        <v>Hybrid</v>
      </c>
      <c r="D7878" s="8" t="str">
        <f>IFERROR(INDEX('nav master'!$C:$C, MATCH(B7878, 'nav master'!$B:$B, 0)), "")</f>
        <v>ULIF03901/09/10BalancedFd101</v>
      </c>
      <c r="E7878" s="8" t="s">
        <v>259</v>
      </c>
      <c r="F7878" s="8" t="s">
        <v>3484</v>
      </c>
    </row>
    <row r="7879" spans="1:6" ht="60" x14ac:dyDescent="0.25">
      <c r="A7879" s="8" t="s">
        <v>125</v>
      </c>
      <c r="B7879" s="8" t="s">
        <v>132</v>
      </c>
      <c r="C7879" s="8" t="str">
        <f>IFERROR(_xlfn.XLOOKUP(TRIM(B7879),Lookup!$B$2:$B$1000,Lookup!$C$2:$C$1000),"")</f>
        <v>Hybrid</v>
      </c>
      <c r="D7879" s="8" t="str">
        <f>IFERROR(INDEX('nav master'!$C:$C, MATCH(B7879, 'nav master'!$B:$B, 0)), "")</f>
        <v>ULIF03901/09/10BalancedFd101</v>
      </c>
      <c r="E7879" s="8" t="s">
        <v>261</v>
      </c>
      <c r="F7879" s="8" t="s">
        <v>3485</v>
      </c>
    </row>
    <row r="7880" spans="1:6" ht="60" x14ac:dyDescent="0.25">
      <c r="A7880" s="8" t="s">
        <v>125</v>
      </c>
      <c r="B7880" s="8" t="s">
        <v>132</v>
      </c>
      <c r="C7880" s="8" t="str">
        <f>IFERROR(_xlfn.XLOOKUP(TRIM(B7880),Lookup!$B$2:$B$1000,Lookup!$C$2:$C$1000),"")</f>
        <v>Hybrid</v>
      </c>
      <c r="D7880" s="8" t="str">
        <f>IFERROR(INDEX('nav master'!$C:$C, MATCH(B7880, 'nav master'!$B:$B, 0)), "")</f>
        <v>ULIF03901/09/10BalancedFd101</v>
      </c>
      <c r="E7880" s="8" t="s">
        <v>263</v>
      </c>
      <c r="F7880" s="8" t="s">
        <v>3486</v>
      </c>
    </row>
    <row r="7881" spans="1:6" ht="60" x14ac:dyDescent="0.25">
      <c r="A7881" s="8" t="s">
        <v>125</v>
      </c>
      <c r="B7881" s="8" t="s">
        <v>132</v>
      </c>
      <c r="C7881" s="8" t="str">
        <f>IFERROR(_xlfn.XLOOKUP(TRIM(B7881),Lookup!$B$2:$B$1000,Lookup!$C$2:$C$1000),"")</f>
        <v>Hybrid</v>
      </c>
      <c r="D7881" s="8" t="str">
        <f>IFERROR(INDEX('nav master'!$C:$C, MATCH(B7881, 'nav master'!$B:$B, 0)), "")</f>
        <v>ULIF03901/09/10BalancedFd101</v>
      </c>
      <c r="E7881" s="8" t="s">
        <v>265</v>
      </c>
      <c r="F7881" s="8" t="s">
        <v>3487</v>
      </c>
    </row>
    <row r="7882" spans="1:6" ht="60" x14ac:dyDescent="0.25">
      <c r="A7882" s="8" t="s">
        <v>125</v>
      </c>
      <c r="B7882" s="8" t="s">
        <v>132</v>
      </c>
      <c r="C7882" s="8" t="str">
        <f>IFERROR(_xlfn.XLOOKUP(TRIM(B7882),Lookup!$B$2:$B$1000,Lookup!$C$2:$C$1000),"")</f>
        <v>Hybrid</v>
      </c>
      <c r="D7882" s="8" t="str">
        <f>IFERROR(INDEX('nav master'!$C:$C, MATCH(B7882, 'nav master'!$B:$B, 0)), "")</f>
        <v>ULIF03901/09/10BalancedFd101</v>
      </c>
      <c r="E7882" s="8" t="s">
        <v>267</v>
      </c>
      <c r="F7882" s="8" t="s">
        <v>3488</v>
      </c>
    </row>
    <row r="7883" spans="1:6" ht="60" x14ac:dyDescent="0.25">
      <c r="A7883" s="8" t="s">
        <v>125</v>
      </c>
      <c r="B7883" s="8" t="s">
        <v>132</v>
      </c>
      <c r="C7883" s="8" t="str">
        <f>IFERROR(_xlfn.XLOOKUP(TRIM(B7883),Lookup!$B$2:$B$1000,Lookup!$C$2:$C$1000),"")</f>
        <v>Hybrid</v>
      </c>
      <c r="D7883" s="8" t="str">
        <f>IFERROR(INDEX('nav master'!$C:$C, MATCH(B7883, 'nav master'!$B:$B, 0)), "")</f>
        <v>ULIF03901/09/10BalancedFd101</v>
      </c>
      <c r="E7883" s="8" t="s">
        <v>269</v>
      </c>
      <c r="F7883" s="8" t="s">
        <v>3489</v>
      </c>
    </row>
    <row r="7884" spans="1:6" ht="60" x14ac:dyDescent="0.25">
      <c r="A7884" s="8" t="s">
        <v>125</v>
      </c>
      <c r="B7884" s="8" t="s">
        <v>132</v>
      </c>
      <c r="C7884" s="8" t="str">
        <f>IFERROR(_xlfn.XLOOKUP(TRIM(B7884),Lookup!$B$2:$B$1000,Lookup!$C$2:$C$1000),"")</f>
        <v>Hybrid</v>
      </c>
      <c r="D7884" s="8" t="str">
        <f>IFERROR(INDEX('nav master'!$C:$C, MATCH(B7884, 'nav master'!$B:$B, 0)), "")</f>
        <v>ULIF03901/09/10BalancedFd101</v>
      </c>
      <c r="E7884" s="8" t="s">
        <v>271</v>
      </c>
      <c r="F7884" s="8" t="s">
        <v>3490</v>
      </c>
    </row>
    <row r="7885" spans="1:6" ht="60" x14ac:dyDescent="0.25">
      <c r="A7885" s="8" t="s">
        <v>125</v>
      </c>
      <c r="B7885" s="8" t="s">
        <v>132</v>
      </c>
      <c r="C7885" s="8" t="str">
        <f>IFERROR(_xlfn.XLOOKUP(TRIM(B7885),Lookup!$B$2:$B$1000,Lookup!$C$2:$C$1000),"")</f>
        <v>Hybrid</v>
      </c>
      <c r="D7885" s="8" t="str">
        <f>IFERROR(INDEX('nav master'!$C:$C, MATCH(B7885, 'nav master'!$B:$B, 0)), "")</f>
        <v>ULIF03901/09/10BalancedFd101</v>
      </c>
      <c r="E7885" s="8" t="s">
        <v>273</v>
      </c>
      <c r="F7885" s="8" t="s">
        <v>3491</v>
      </c>
    </row>
    <row r="7886" spans="1:6" ht="60" x14ac:dyDescent="0.25">
      <c r="A7886" s="8" t="s">
        <v>125</v>
      </c>
      <c r="B7886" s="8" t="s">
        <v>132</v>
      </c>
      <c r="C7886" s="8" t="str">
        <f>IFERROR(_xlfn.XLOOKUP(TRIM(B7886),Lookup!$B$2:$B$1000,Lookup!$C$2:$C$1000),"")</f>
        <v>Hybrid</v>
      </c>
      <c r="D7886" s="8" t="str">
        <f>IFERROR(INDEX('nav master'!$C:$C, MATCH(B7886, 'nav master'!$B:$B, 0)), "")</f>
        <v>ULIF03901/09/10BalancedFd101</v>
      </c>
      <c r="E7886" s="8" t="s">
        <v>275</v>
      </c>
      <c r="F7886" s="8" t="s">
        <v>3492</v>
      </c>
    </row>
    <row r="7887" spans="1:6" ht="60" x14ac:dyDescent="0.25">
      <c r="A7887" s="8" t="s">
        <v>125</v>
      </c>
      <c r="B7887" s="8" t="s">
        <v>132</v>
      </c>
      <c r="C7887" s="8" t="str">
        <f>IFERROR(_xlfn.XLOOKUP(TRIM(B7887),Lookup!$B$2:$B$1000,Lookup!$C$2:$C$1000),"")</f>
        <v>Hybrid</v>
      </c>
      <c r="D7887" s="8" t="str">
        <f>IFERROR(INDEX('nav master'!$C:$C, MATCH(B7887, 'nav master'!$B:$B, 0)), "")</f>
        <v>ULIF03901/09/10BalancedFd101</v>
      </c>
      <c r="E7887" s="8" t="s">
        <v>277</v>
      </c>
      <c r="F7887" s="8" t="s">
        <v>3493</v>
      </c>
    </row>
    <row r="7888" spans="1:6" ht="60" x14ac:dyDescent="0.25">
      <c r="A7888" s="8" t="s">
        <v>125</v>
      </c>
      <c r="B7888" s="8" t="s">
        <v>132</v>
      </c>
      <c r="C7888" s="8" t="str">
        <f>IFERROR(_xlfn.XLOOKUP(TRIM(B7888),Lookup!$B$2:$B$1000,Lookup!$C$2:$C$1000),"")</f>
        <v>Hybrid</v>
      </c>
      <c r="D7888" s="8" t="str">
        <f>IFERROR(INDEX('nav master'!$C:$C, MATCH(B7888, 'nav master'!$B:$B, 0)), "")</f>
        <v>ULIF03901/09/10BalancedFd101</v>
      </c>
      <c r="E7888" s="8" t="s">
        <v>279</v>
      </c>
      <c r="F7888" s="8" t="s">
        <v>3494</v>
      </c>
    </row>
    <row r="7889" spans="1:6" ht="60" x14ac:dyDescent="0.25">
      <c r="A7889" s="8" t="s">
        <v>125</v>
      </c>
      <c r="B7889" s="8" t="s">
        <v>132</v>
      </c>
      <c r="C7889" s="8" t="str">
        <f>IFERROR(_xlfn.XLOOKUP(TRIM(B7889),Lookup!$B$2:$B$1000,Lookup!$C$2:$C$1000),"")</f>
        <v>Hybrid</v>
      </c>
      <c r="D7889" s="8" t="str">
        <f>IFERROR(INDEX('nav master'!$C:$C, MATCH(B7889, 'nav master'!$B:$B, 0)), "")</f>
        <v>ULIF03901/09/10BalancedFd101</v>
      </c>
      <c r="E7889" s="8" t="s">
        <v>281</v>
      </c>
      <c r="F7889" s="8" t="s">
        <v>3495</v>
      </c>
    </row>
    <row r="7890" spans="1:6" ht="60" x14ac:dyDescent="0.25">
      <c r="A7890" s="8" t="s">
        <v>125</v>
      </c>
      <c r="B7890" s="8" t="s">
        <v>132</v>
      </c>
      <c r="C7890" s="8" t="str">
        <f>IFERROR(_xlfn.XLOOKUP(TRIM(B7890),Lookup!$B$2:$B$1000,Lookup!$C$2:$C$1000),"")</f>
        <v>Hybrid</v>
      </c>
      <c r="D7890" s="8" t="str">
        <f>IFERROR(INDEX('nav master'!$C:$C, MATCH(B7890, 'nav master'!$B:$B, 0)), "")</f>
        <v>ULIF03901/09/10BalancedFd101</v>
      </c>
      <c r="E7890" s="8" t="s">
        <v>283</v>
      </c>
      <c r="F7890" s="8" t="s">
        <v>3496</v>
      </c>
    </row>
    <row r="7891" spans="1:6" ht="60" x14ac:dyDescent="0.25">
      <c r="A7891" s="8" t="s">
        <v>125</v>
      </c>
      <c r="B7891" s="8" t="s">
        <v>132</v>
      </c>
      <c r="C7891" s="8" t="str">
        <f>IFERROR(_xlfn.XLOOKUP(TRIM(B7891),Lookup!$B$2:$B$1000,Lookup!$C$2:$C$1000),"")</f>
        <v>Hybrid</v>
      </c>
      <c r="D7891" s="8" t="str">
        <f>IFERROR(INDEX('nav master'!$C:$C, MATCH(B7891, 'nav master'!$B:$B, 0)), "")</f>
        <v>ULIF03901/09/10BalancedFd101</v>
      </c>
      <c r="E7891" s="8" t="s">
        <v>285</v>
      </c>
      <c r="F7891" s="8" t="s">
        <v>3497</v>
      </c>
    </row>
    <row r="7892" spans="1:6" ht="60" x14ac:dyDescent="0.25">
      <c r="A7892" s="8" t="s">
        <v>125</v>
      </c>
      <c r="B7892" s="8" t="s">
        <v>132</v>
      </c>
      <c r="C7892" s="8" t="str">
        <f>IFERROR(_xlfn.XLOOKUP(TRIM(B7892),Lookup!$B$2:$B$1000,Lookup!$C$2:$C$1000),"")</f>
        <v>Hybrid</v>
      </c>
      <c r="D7892" s="8" t="str">
        <f>IFERROR(INDEX('nav master'!$C:$C, MATCH(B7892, 'nav master'!$B:$B, 0)), "")</f>
        <v>ULIF03901/09/10BalancedFd101</v>
      </c>
      <c r="E7892" s="8" t="s">
        <v>287</v>
      </c>
      <c r="F7892" s="8" t="s">
        <v>3498</v>
      </c>
    </row>
    <row r="7893" spans="1:6" ht="60" x14ac:dyDescent="0.25">
      <c r="A7893" s="8" t="s">
        <v>125</v>
      </c>
      <c r="B7893" s="8" t="s">
        <v>132</v>
      </c>
      <c r="C7893" s="8" t="str">
        <f>IFERROR(_xlfn.XLOOKUP(TRIM(B7893),Lookup!$B$2:$B$1000,Lookup!$C$2:$C$1000),"")</f>
        <v>Hybrid</v>
      </c>
      <c r="D7893" s="8" t="str">
        <f>IFERROR(INDEX('nav master'!$C:$C, MATCH(B7893, 'nav master'!$B:$B, 0)), "")</f>
        <v>ULIF03901/09/10BalancedFd101</v>
      </c>
      <c r="E7893" s="8" t="s">
        <v>289</v>
      </c>
      <c r="F7893" s="8" t="s">
        <v>3499</v>
      </c>
    </row>
    <row r="7894" spans="1:6" ht="60" x14ac:dyDescent="0.25">
      <c r="A7894" s="8" t="s">
        <v>125</v>
      </c>
      <c r="B7894" s="8" t="s">
        <v>132</v>
      </c>
      <c r="C7894" s="8" t="str">
        <f>IFERROR(_xlfn.XLOOKUP(TRIM(B7894),Lookup!$B$2:$B$1000,Lookup!$C$2:$C$1000),"")</f>
        <v>Hybrid</v>
      </c>
      <c r="D7894" s="8" t="str">
        <f>IFERROR(INDEX('nav master'!$C:$C, MATCH(B7894, 'nav master'!$B:$B, 0)), "")</f>
        <v>ULIF03901/09/10BalancedFd101</v>
      </c>
      <c r="E7894" s="8" t="s">
        <v>291</v>
      </c>
      <c r="F7894" s="8" t="s">
        <v>3500</v>
      </c>
    </row>
    <row r="7895" spans="1:6" ht="60" x14ac:dyDescent="0.25">
      <c r="A7895" s="8" t="s">
        <v>125</v>
      </c>
      <c r="B7895" s="8" t="s">
        <v>132</v>
      </c>
      <c r="C7895" s="8" t="str">
        <f>IFERROR(_xlfn.XLOOKUP(TRIM(B7895),Lookup!$B$2:$B$1000,Lookup!$C$2:$C$1000),"")</f>
        <v>Hybrid</v>
      </c>
      <c r="D7895" s="8" t="str">
        <f>IFERROR(INDEX('nav master'!$C:$C, MATCH(B7895, 'nav master'!$B:$B, 0)), "")</f>
        <v>ULIF03901/09/10BalancedFd101</v>
      </c>
      <c r="E7895" s="8" t="s">
        <v>293</v>
      </c>
      <c r="F7895" s="8" t="s">
        <v>3501</v>
      </c>
    </row>
    <row r="7896" spans="1:6" ht="60" x14ac:dyDescent="0.25">
      <c r="A7896" s="8" t="s">
        <v>125</v>
      </c>
      <c r="B7896" s="8" t="s">
        <v>132</v>
      </c>
      <c r="C7896" s="8" t="str">
        <f>IFERROR(_xlfn.XLOOKUP(TRIM(B7896),Lookup!$B$2:$B$1000,Lookup!$C$2:$C$1000),"")</f>
        <v>Hybrid</v>
      </c>
      <c r="D7896" s="8" t="str">
        <f>IFERROR(INDEX('nav master'!$C:$C, MATCH(B7896, 'nav master'!$B:$B, 0)), "")</f>
        <v>ULIF03901/09/10BalancedFd101</v>
      </c>
      <c r="E7896" s="8" t="s">
        <v>295</v>
      </c>
      <c r="F7896" s="8" t="s">
        <v>3502</v>
      </c>
    </row>
    <row r="7897" spans="1:6" ht="60" x14ac:dyDescent="0.25">
      <c r="A7897" s="8" t="s">
        <v>125</v>
      </c>
      <c r="B7897" s="8" t="s">
        <v>132</v>
      </c>
      <c r="C7897" s="8" t="str">
        <f>IFERROR(_xlfn.XLOOKUP(TRIM(B7897),Lookup!$B$2:$B$1000,Lookup!$C$2:$C$1000),"")</f>
        <v>Hybrid</v>
      </c>
      <c r="D7897" s="8" t="str">
        <f>IFERROR(INDEX('nav master'!$C:$C, MATCH(B7897, 'nav master'!$B:$B, 0)), "")</f>
        <v>ULIF03901/09/10BalancedFd101</v>
      </c>
      <c r="E7897" s="8" t="s">
        <v>297</v>
      </c>
      <c r="F7897" s="8" t="s">
        <v>3503</v>
      </c>
    </row>
    <row r="7898" spans="1:6" ht="60" x14ac:dyDescent="0.25">
      <c r="A7898" s="8" t="s">
        <v>125</v>
      </c>
      <c r="B7898" s="8" t="s">
        <v>132</v>
      </c>
      <c r="C7898" s="8" t="str">
        <f>IFERROR(_xlfn.XLOOKUP(TRIM(B7898),Lookup!$B$2:$B$1000,Lookup!$C$2:$C$1000),"")</f>
        <v>Hybrid</v>
      </c>
      <c r="D7898" s="8" t="str">
        <f>IFERROR(INDEX('nav master'!$C:$C, MATCH(B7898, 'nav master'!$B:$B, 0)), "")</f>
        <v>ULIF03901/09/10BalancedFd101</v>
      </c>
      <c r="E7898" s="8" t="s">
        <v>299</v>
      </c>
      <c r="F7898" s="8" t="s">
        <v>3504</v>
      </c>
    </row>
    <row r="7899" spans="1:6" ht="60" x14ac:dyDescent="0.25">
      <c r="A7899" s="8" t="s">
        <v>125</v>
      </c>
      <c r="B7899" s="8" t="s">
        <v>132</v>
      </c>
      <c r="C7899" s="8" t="str">
        <f>IFERROR(_xlfn.XLOOKUP(TRIM(B7899),Lookup!$B$2:$B$1000,Lookup!$C$2:$C$1000),"")</f>
        <v>Hybrid</v>
      </c>
      <c r="D7899" s="8" t="str">
        <f>IFERROR(INDEX('nav master'!$C:$C, MATCH(B7899, 'nav master'!$B:$B, 0)), "")</f>
        <v>ULIF03901/09/10BalancedFd101</v>
      </c>
      <c r="E7899" s="8" t="s">
        <v>301</v>
      </c>
      <c r="F7899" s="8" t="s">
        <v>3505</v>
      </c>
    </row>
    <row r="7900" spans="1:6" ht="60" x14ac:dyDescent="0.25">
      <c r="A7900" s="8" t="s">
        <v>125</v>
      </c>
      <c r="B7900" s="8" t="s">
        <v>132</v>
      </c>
      <c r="C7900" s="8" t="str">
        <f>IFERROR(_xlfn.XLOOKUP(TRIM(B7900),Lookup!$B$2:$B$1000,Lookup!$C$2:$C$1000),"")</f>
        <v>Hybrid</v>
      </c>
      <c r="D7900" s="8" t="str">
        <f>IFERROR(INDEX('nav master'!$C:$C, MATCH(B7900, 'nav master'!$B:$B, 0)), "")</f>
        <v>ULIF03901/09/10BalancedFd101</v>
      </c>
      <c r="E7900" s="8" t="s">
        <v>303</v>
      </c>
      <c r="F7900" s="8" t="s">
        <v>3506</v>
      </c>
    </row>
    <row r="7901" spans="1:6" ht="60" x14ac:dyDescent="0.25">
      <c r="A7901" s="8" t="s">
        <v>125</v>
      </c>
      <c r="B7901" s="8" t="s">
        <v>132</v>
      </c>
      <c r="C7901" s="8" t="str">
        <f>IFERROR(_xlfn.XLOOKUP(TRIM(B7901),Lookup!$B$2:$B$1000,Lookup!$C$2:$C$1000),"")</f>
        <v>Hybrid</v>
      </c>
      <c r="D7901" s="8" t="str">
        <f>IFERROR(INDEX('nav master'!$C:$C, MATCH(B7901, 'nav master'!$B:$B, 0)), "")</f>
        <v>ULIF03901/09/10BalancedFd101</v>
      </c>
      <c r="E7901" s="8" t="s">
        <v>305</v>
      </c>
      <c r="F7901" s="8" t="s">
        <v>3507</v>
      </c>
    </row>
    <row r="7902" spans="1:6" ht="60" x14ac:dyDescent="0.25">
      <c r="A7902" s="8" t="s">
        <v>125</v>
      </c>
      <c r="B7902" s="8" t="s">
        <v>132</v>
      </c>
      <c r="C7902" s="8" t="str">
        <f>IFERROR(_xlfn.XLOOKUP(TRIM(B7902),Lookup!$B$2:$B$1000,Lookup!$C$2:$C$1000),"")</f>
        <v>Hybrid</v>
      </c>
      <c r="D7902" s="8" t="str">
        <f>IFERROR(INDEX('nav master'!$C:$C, MATCH(B7902, 'nav master'!$B:$B, 0)), "")</f>
        <v>ULIF03901/09/10BalancedFd101</v>
      </c>
      <c r="E7902" s="8" t="s">
        <v>307</v>
      </c>
      <c r="F7902" s="8" t="s">
        <v>3508</v>
      </c>
    </row>
    <row r="7903" spans="1:6" ht="60" x14ac:dyDescent="0.25">
      <c r="A7903" s="8" t="s">
        <v>125</v>
      </c>
      <c r="B7903" s="8" t="s">
        <v>132</v>
      </c>
      <c r="C7903" s="8" t="str">
        <f>IFERROR(_xlfn.XLOOKUP(TRIM(B7903),Lookup!$B$2:$B$1000,Lookup!$C$2:$C$1000),"")</f>
        <v>Hybrid</v>
      </c>
      <c r="D7903" s="8" t="str">
        <f>IFERROR(INDEX('nav master'!$C:$C, MATCH(B7903, 'nav master'!$B:$B, 0)), "")</f>
        <v>ULIF03901/09/10BalancedFd101</v>
      </c>
      <c r="E7903" s="8" t="s">
        <v>309</v>
      </c>
      <c r="F7903" s="8" t="s">
        <v>3509</v>
      </c>
    </row>
    <row r="7904" spans="1:6" ht="60" x14ac:dyDescent="0.25">
      <c r="A7904" s="8" t="s">
        <v>125</v>
      </c>
      <c r="B7904" s="8" t="s">
        <v>132</v>
      </c>
      <c r="C7904" s="8" t="str">
        <f>IFERROR(_xlfn.XLOOKUP(TRIM(B7904),Lookup!$B$2:$B$1000,Lookup!$C$2:$C$1000),"")</f>
        <v>Hybrid</v>
      </c>
      <c r="D7904" s="8" t="str">
        <f>IFERROR(INDEX('nav master'!$C:$C, MATCH(B7904, 'nav master'!$B:$B, 0)), "")</f>
        <v>ULIF03901/09/10BalancedFd101</v>
      </c>
      <c r="E7904" s="8" t="s">
        <v>311</v>
      </c>
      <c r="F7904" s="8" t="s">
        <v>3510</v>
      </c>
    </row>
    <row r="7905" spans="1:6" ht="60" x14ac:dyDescent="0.25">
      <c r="A7905" s="8" t="s">
        <v>125</v>
      </c>
      <c r="B7905" s="8" t="s">
        <v>132</v>
      </c>
      <c r="C7905" s="8" t="str">
        <f>IFERROR(_xlfn.XLOOKUP(TRIM(B7905),Lookup!$B$2:$B$1000,Lookup!$C$2:$C$1000),"")</f>
        <v>Hybrid</v>
      </c>
      <c r="D7905" s="8" t="str">
        <f>IFERROR(INDEX('nav master'!$C:$C, MATCH(B7905, 'nav master'!$B:$B, 0)), "")</f>
        <v>ULIF03901/09/10BalancedFd101</v>
      </c>
      <c r="E7905" s="8" t="s">
        <v>313</v>
      </c>
      <c r="F7905" s="8" t="s">
        <v>3511</v>
      </c>
    </row>
    <row r="7906" spans="1:6" ht="60" x14ac:dyDescent="0.25">
      <c r="A7906" s="8" t="s">
        <v>125</v>
      </c>
      <c r="B7906" s="8" t="s">
        <v>132</v>
      </c>
      <c r="C7906" s="8" t="str">
        <f>IFERROR(_xlfn.XLOOKUP(TRIM(B7906),Lookup!$B$2:$B$1000,Lookup!$C$2:$C$1000),"")</f>
        <v>Hybrid</v>
      </c>
      <c r="D7906" s="8" t="str">
        <f>IFERROR(INDEX('nav master'!$C:$C, MATCH(B7906, 'nav master'!$B:$B, 0)), "")</f>
        <v>ULIF03901/09/10BalancedFd101</v>
      </c>
      <c r="E7906" s="8" t="s">
        <v>315</v>
      </c>
      <c r="F7906" s="8" t="s">
        <v>3512</v>
      </c>
    </row>
    <row r="7907" spans="1:6" ht="60" x14ac:dyDescent="0.25">
      <c r="A7907" s="8" t="s">
        <v>125</v>
      </c>
      <c r="B7907" s="8" t="s">
        <v>132</v>
      </c>
      <c r="C7907" s="8" t="str">
        <f>IFERROR(_xlfn.XLOOKUP(TRIM(B7907),Lookup!$B$2:$B$1000,Lookup!$C$2:$C$1000),"")</f>
        <v>Hybrid</v>
      </c>
      <c r="D7907" s="8" t="str">
        <f>IFERROR(INDEX('nav master'!$C:$C, MATCH(B7907, 'nav master'!$B:$B, 0)), "")</f>
        <v>ULIF03901/09/10BalancedFd101</v>
      </c>
      <c r="E7907" s="8" t="s">
        <v>317</v>
      </c>
      <c r="F7907" s="8" t="s">
        <v>3513</v>
      </c>
    </row>
    <row r="7908" spans="1:6" ht="60" x14ac:dyDescent="0.25">
      <c r="A7908" s="8" t="s">
        <v>125</v>
      </c>
      <c r="B7908" s="8" t="s">
        <v>132</v>
      </c>
      <c r="C7908" s="8" t="str">
        <f>IFERROR(_xlfn.XLOOKUP(TRIM(B7908),Lookup!$B$2:$B$1000,Lookup!$C$2:$C$1000),"")</f>
        <v>Hybrid</v>
      </c>
      <c r="D7908" s="8" t="str">
        <f>IFERROR(INDEX('nav master'!$C:$C, MATCH(B7908, 'nav master'!$B:$B, 0)), "")</f>
        <v>ULIF03901/09/10BalancedFd101</v>
      </c>
      <c r="E7908" s="8" t="s">
        <v>319</v>
      </c>
      <c r="F7908" s="8" t="s">
        <v>3514</v>
      </c>
    </row>
    <row r="7909" spans="1:6" ht="60" x14ac:dyDescent="0.25">
      <c r="A7909" s="8" t="s">
        <v>125</v>
      </c>
      <c r="B7909" s="8" t="s">
        <v>132</v>
      </c>
      <c r="C7909" s="8" t="str">
        <f>IFERROR(_xlfn.XLOOKUP(TRIM(B7909),Lookup!$B$2:$B$1000,Lookup!$C$2:$C$1000),"")</f>
        <v>Hybrid</v>
      </c>
      <c r="D7909" s="8" t="str">
        <f>IFERROR(INDEX('nav master'!$C:$C, MATCH(B7909, 'nav master'!$B:$B, 0)), "")</f>
        <v>ULIF03901/09/10BalancedFd101</v>
      </c>
      <c r="E7909" s="8" t="s">
        <v>321</v>
      </c>
      <c r="F7909" s="8" t="s">
        <v>3515</v>
      </c>
    </row>
    <row r="7910" spans="1:6" ht="60" x14ac:dyDescent="0.25">
      <c r="A7910" s="8" t="s">
        <v>125</v>
      </c>
      <c r="B7910" s="8" t="s">
        <v>132</v>
      </c>
      <c r="C7910" s="8" t="str">
        <f>IFERROR(_xlfn.XLOOKUP(TRIM(B7910),Lookup!$B$2:$B$1000,Lookup!$C$2:$C$1000),"")</f>
        <v>Hybrid</v>
      </c>
      <c r="D7910" s="8" t="str">
        <f>IFERROR(INDEX('nav master'!$C:$C, MATCH(B7910, 'nav master'!$B:$B, 0)), "")</f>
        <v>ULIF03901/09/10BalancedFd101</v>
      </c>
      <c r="E7910" s="8" t="s">
        <v>323</v>
      </c>
      <c r="F7910" s="8" t="s">
        <v>3516</v>
      </c>
    </row>
    <row r="7911" spans="1:6" ht="60" x14ac:dyDescent="0.25">
      <c r="A7911" s="8" t="s">
        <v>125</v>
      </c>
      <c r="B7911" s="8" t="s">
        <v>132</v>
      </c>
      <c r="C7911" s="8" t="str">
        <f>IFERROR(_xlfn.XLOOKUP(TRIM(B7911),Lookup!$B$2:$B$1000,Lookup!$C$2:$C$1000),"")</f>
        <v>Hybrid</v>
      </c>
      <c r="D7911" s="8" t="str">
        <f>IFERROR(INDEX('nav master'!$C:$C, MATCH(B7911, 'nav master'!$B:$B, 0)), "")</f>
        <v>ULIF03901/09/10BalancedFd101</v>
      </c>
      <c r="E7911" s="8" t="s">
        <v>325</v>
      </c>
      <c r="F7911" s="8" t="s">
        <v>3517</v>
      </c>
    </row>
    <row r="7912" spans="1:6" ht="60" x14ac:dyDescent="0.25">
      <c r="A7912" s="8" t="s">
        <v>125</v>
      </c>
      <c r="B7912" s="8" t="s">
        <v>132</v>
      </c>
      <c r="C7912" s="8" t="str">
        <f>IFERROR(_xlfn.XLOOKUP(TRIM(B7912),Lookup!$B$2:$B$1000,Lookup!$C$2:$C$1000),"")</f>
        <v>Hybrid</v>
      </c>
      <c r="D7912" s="8" t="str">
        <f>IFERROR(INDEX('nav master'!$C:$C, MATCH(B7912, 'nav master'!$B:$B, 0)), "")</f>
        <v>ULIF03901/09/10BalancedFd101</v>
      </c>
      <c r="E7912" s="8" t="s">
        <v>327</v>
      </c>
      <c r="F7912" s="8" t="s">
        <v>3518</v>
      </c>
    </row>
    <row r="7913" spans="1:6" ht="60" x14ac:dyDescent="0.25">
      <c r="A7913" s="8" t="s">
        <v>125</v>
      </c>
      <c r="B7913" s="8" t="s">
        <v>132</v>
      </c>
      <c r="C7913" s="8" t="str">
        <f>IFERROR(_xlfn.XLOOKUP(TRIM(B7913),Lookup!$B$2:$B$1000,Lookup!$C$2:$C$1000),"")</f>
        <v>Hybrid</v>
      </c>
      <c r="D7913" s="8" t="str">
        <f>IFERROR(INDEX('nav master'!$C:$C, MATCH(B7913, 'nav master'!$B:$B, 0)), "")</f>
        <v>ULIF03901/09/10BalancedFd101</v>
      </c>
      <c r="E7913" s="8" t="s">
        <v>329</v>
      </c>
      <c r="F7913" s="8" t="s">
        <v>3519</v>
      </c>
    </row>
    <row r="7914" spans="1:6" ht="60" x14ac:dyDescent="0.25">
      <c r="A7914" s="8" t="s">
        <v>125</v>
      </c>
      <c r="B7914" s="8" t="s">
        <v>132</v>
      </c>
      <c r="C7914" s="8" t="str">
        <f>IFERROR(_xlfn.XLOOKUP(TRIM(B7914),Lookup!$B$2:$B$1000,Lookup!$C$2:$C$1000),"")</f>
        <v>Hybrid</v>
      </c>
      <c r="D7914" s="8" t="str">
        <f>IFERROR(INDEX('nav master'!$C:$C, MATCH(B7914, 'nav master'!$B:$B, 0)), "")</f>
        <v>ULIF03901/09/10BalancedFd101</v>
      </c>
      <c r="E7914" s="8" t="s">
        <v>331</v>
      </c>
      <c r="F7914" s="8" t="s">
        <v>3520</v>
      </c>
    </row>
    <row r="7915" spans="1:6" ht="60" x14ac:dyDescent="0.25">
      <c r="A7915" s="8" t="s">
        <v>125</v>
      </c>
      <c r="B7915" s="8" t="s">
        <v>132</v>
      </c>
      <c r="C7915" s="8" t="str">
        <f>IFERROR(_xlfn.XLOOKUP(TRIM(B7915),Lookup!$B$2:$B$1000,Lookup!$C$2:$C$1000),"")</f>
        <v>Hybrid</v>
      </c>
      <c r="D7915" s="8" t="str">
        <f>IFERROR(INDEX('nav master'!$C:$C, MATCH(B7915, 'nav master'!$B:$B, 0)), "")</f>
        <v>ULIF03901/09/10BalancedFd101</v>
      </c>
      <c r="E7915" s="8" t="s">
        <v>333</v>
      </c>
      <c r="F7915" s="8" t="s">
        <v>3521</v>
      </c>
    </row>
    <row r="7916" spans="1:6" ht="60" x14ac:dyDescent="0.25">
      <c r="A7916" s="8" t="s">
        <v>125</v>
      </c>
      <c r="B7916" s="8" t="s">
        <v>132</v>
      </c>
      <c r="C7916" s="8" t="str">
        <f>IFERROR(_xlfn.XLOOKUP(TRIM(B7916),Lookup!$B$2:$B$1000,Lookup!$C$2:$C$1000),"")</f>
        <v>Hybrid</v>
      </c>
      <c r="D7916" s="8" t="str">
        <f>IFERROR(INDEX('nav master'!$C:$C, MATCH(B7916, 'nav master'!$B:$B, 0)), "")</f>
        <v>ULIF03901/09/10BalancedFd101</v>
      </c>
      <c r="E7916" s="8" t="s">
        <v>335</v>
      </c>
      <c r="F7916" s="8" t="s">
        <v>3522</v>
      </c>
    </row>
    <row r="7917" spans="1:6" ht="60" x14ac:dyDescent="0.25">
      <c r="A7917" s="8" t="s">
        <v>125</v>
      </c>
      <c r="B7917" s="8" t="s">
        <v>132</v>
      </c>
      <c r="C7917" s="8" t="str">
        <f>IFERROR(_xlfn.XLOOKUP(TRIM(B7917),Lookup!$B$2:$B$1000,Lookup!$C$2:$C$1000),"")</f>
        <v>Hybrid</v>
      </c>
      <c r="D7917" s="8" t="str">
        <f>IFERROR(INDEX('nav master'!$C:$C, MATCH(B7917, 'nav master'!$B:$B, 0)), "")</f>
        <v>ULIF03901/09/10BalancedFd101</v>
      </c>
      <c r="E7917" s="8" t="s">
        <v>337</v>
      </c>
      <c r="F7917" s="8" t="s">
        <v>3523</v>
      </c>
    </row>
    <row r="7918" spans="1:6" ht="60" x14ac:dyDescent="0.25">
      <c r="A7918" s="8" t="s">
        <v>125</v>
      </c>
      <c r="B7918" s="8" t="s">
        <v>132</v>
      </c>
      <c r="C7918" s="8" t="str">
        <f>IFERROR(_xlfn.XLOOKUP(TRIM(B7918),Lookup!$B$2:$B$1000,Lookup!$C$2:$C$1000),"")</f>
        <v>Hybrid</v>
      </c>
      <c r="D7918" s="8" t="str">
        <f>IFERROR(INDEX('nav master'!$C:$C, MATCH(B7918, 'nav master'!$B:$B, 0)), "")</f>
        <v>ULIF03901/09/10BalancedFd101</v>
      </c>
      <c r="E7918" s="8" t="s">
        <v>339</v>
      </c>
      <c r="F7918" s="8" t="s">
        <v>3524</v>
      </c>
    </row>
    <row r="7919" spans="1:6" ht="60" x14ac:dyDescent="0.25">
      <c r="A7919" s="8" t="s">
        <v>125</v>
      </c>
      <c r="B7919" s="8" t="s">
        <v>132</v>
      </c>
      <c r="C7919" s="8" t="str">
        <f>IFERROR(_xlfn.XLOOKUP(TRIM(B7919),Lookup!$B$2:$B$1000,Lookup!$C$2:$C$1000),"")</f>
        <v>Hybrid</v>
      </c>
      <c r="D7919" s="8" t="str">
        <f>IFERROR(INDEX('nav master'!$C:$C, MATCH(B7919, 'nav master'!$B:$B, 0)), "")</f>
        <v>ULIF03901/09/10BalancedFd101</v>
      </c>
      <c r="E7919" s="8" t="s">
        <v>341</v>
      </c>
      <c r="F7919" s="8" t="s">
        <v>3525</v>
      </c>
    </row>
    <row r="7920" spans="1:6" ht="60" x14ac:dyDescent="0.25">
      <c r="A7920" s="8" t="s">
        <v>125</v>
      </c>
      <c r="B7920" s="8" t="s">
        <v>132</v>
      </c>
      <c r="C7920" s="8" t="str">
        <f>IFERROR(_xlfn.XLOOKUP(TRIM(B7920),Lookup!$B$2:$B$1000,Lookup!$C$2:$C$1000),"")</f>
        <v>Hybrid</v>
      </c>
      <c r="D7920" s="8" t="str">
        <f>IFERROR(INDEX('nav master'!$C:$C, MATCH(B7920, 'nav master'!$B:$B, 0)), "")</f>
        <v>ULIF03901/09/10BalancedFd101</v>
      </c>
      <c r="E7920" s="8" t="s">
        <v>343</v>
      </c>
      <c r="F7920" s="8" t="s">
        <v>3526</v>
      </c>
    </row>
    <row r="7921" spans="1:6" ht="60" x14ac:dyDescent="0.25">
      <c r="A7921" s="8" t="s">
        <v>125</v>
      </c>
      <c r="B7921" s="8" t="s">
        <v>132</v>
      </c>
      <c r="C7921" s="8" t="str">
        <f>IFERROR(_xlfn.XLOOKUP(TRIM(B7921),Lookup!$B$2:$B$1000,Lookup!$C$2:$C$1000),"")</f>
        <v>Hybrid</v>
      </c>
      <c r="D7921" s="8" t="str">
        <f>IFERROR(INDEX('nav master'!$C:$C, MATCH(B7921, 'nav master'!$B:$B, 0)), "")</f>
        <v>ULIF03901/09/10BalancedFd101</v>
      </c>
      <c r="E7921" s="8" t="s">
        <v>345</v>
      </c>
      <c r="F7921" s="8" t="s">
        <v>3527</v>
      </c>
    </row>
    <row r="7922" spans="1:6" ht="60" x14ac:dyDescent="0.25">
      <c r="A7922" s="8" t="s">
        <v>125</v>
      </c>
      <c r="B7922" s="8" t="s">
        <v>132</v>
      </c>
      <c r="C7922" s="8" t="str">
        <f>IFERROR(_xlfn.XLOOKUP(TRIM(B7922),Lookup!$B$2:$B$1000,Lookup!$C$2:$C$1000),"")</f>
        <v>Hybrid</v>
      </c>
      <c r="D7922" s="8" t="str">
        <f>IFERROR(INDEX('nav master'!$C:$C, MATCH(B7922, 'nav master'!$B:$B, 0)), "")</f>
        <v>ULIF03901/09/10BalancedFd101</v>
      </c>
      <c r="E7922" s="8" t="s">
        <v>347</v>
      </c>
      <c r="F7922" s="8" t="s">
        <v>3528</v>
      </c>
    </row>
    <row r="7923" spans="1:6" ht="60" x14ac:dyDescent="0.25">
      <c r="A7923" s="8" t="s">
        <v>125</v>
      </c>
      <c r="B7923" s="8" t="s">
        <v>132</v>
      </c>
      <c r="C7923" s="8" t="str">
        <f>IFERROR(_xlfn.XLOOKUP(TRIM(B7923),Lookup!$B$2:$B$1000,Lookup!$C$2:$C$1000),"")</f>
        <v>Hybrid</v>
      </c>
      <c r="D7923" s="8" t="str">
        <f>IFERROR(INDEX('nav master'!$C:$C, MATCH(B7923, 'nav master'!$B:$B, 0)), "")</f>
        <v>ULIF03901/09/10BalancedFd101</v>
      </c>
      <c r="E7923" s="8" t="s">
        <v>349</v>
      </c>
      <c r="F7923" s="8" t="s">
        <v>3529</v>
      </c>
    </row>
    <row r="7924" spans="1:6" ht="60" x14ac:dyDescent="0.25">
      <c r="A7924" s="8" t="s">
        <v>125</v>
      </c>
      <c r="B7924" s="8" t="s">
        <v>132</v>
      </c>
      <c r="C7924" s="8" t="str">
        <f>IFERROR(_xlfn.XLOOKUP(TRIM(B7924),Lookup!$B$2:$B$1000,Lookup!$C$2:$C$1000),"")</f>
        <v>Hybrid</v>
      </c>
      <c r="D7924" s="8" t="str">
        <f>IFERROR(INDEX('nav master'!$C:$C, MATCH(B7924, 'nav master'!$B:$B, 0)), "")</f>
        <v>ULIF03901/09/10BalancedFd101</v>
      </c>
      <c r="E7924" s="8" t="s">
        <v>351</v>
      </c>
      <c r="F7924" s="8" t="s">
        <v>3530</v>
      </c>
    </row>
    <row r="7925" spans="1:6" ht="60" x14ac:dyDescent="0.25">
      <c r="A7925" s="8" t="s">
        <v>125</v>
      </c>
      <c r="B7925" s="8" t="s">
        <v>132</v>
      </c>
      <c r="C7925" s="8" t="str">
        <f>IFERROR(_xlfn.XLOOKUP(TRIM(B7925),Lookup!$B$2:$B$1000,Lookup!$C$2:$C$1000),"")</f>
        <v>Hybrid</v>
      </c>
      <c r="D7925" s="8" t="str">
        <f>IFERROR(INDEX('nav master'!$C:$C, MATCH(B7925, 'nav master'!$B:$B, 0)), "")</f>
        <v>ULIF03901/09/10BalancedFd101</v>
      </c>
      <c r="E7925" s="8" t="s">
        <v>353</v>
      </c>
      <c r="F7925" s="8" t="s">
        <v>3531</v>
      </c>
    </row>
    <row r="7926" spans="1:6" ht="60" x14ac:dyDescent="0.25">
      <c r="A7926" s="8" t="s">
        <v>125</v>
      </c>
      <c r="B7926" s="8" t="s">
        <v>132</v>
      </c>
      <c r="C7926" s="8" t="str">
        <f>IFERROR(_xlfn.XLOOKUP(TRIM(B7926),Lookup!$B$2:$B$1000,Lookup!$C$2:$C$1000),"")</f>
        <v>Hybrid</v>
      </c>
      <c r="D7926" s="8" t="str">
        <f>IFERROR(INDEX('nav master'!$C:$C, MATCH(B7926, 'nav master'!$B:$B, 0)), "")</f>
        <v>ULIF03901/09/10BalancedFd101</v>
      </c>
      <c r="E7926" s="8" t="s">
        <v>355</v>
      </c>
      <c r="F7926" s="8" t="s">
        <v>3532</v>
      </c>
    </row>
    <row r="7927" spans="1:6" ht="60" x14ac:dyDescent="0.25">
      <c r="A7927" s="8" t="s">
        <v>125</v>
      </c>
      <c r="B7927" s="8" t="s">
        <v>132</v>
      </c>
      <c r="C7927" s="8" t="str">
        <f>IFERROR(_xlfn.XLOOKUP(TRIM(B7927),Lookup!$B$2:$B$1000,Lookup!$C$2:$C$1000),"")</f>
        <v>Hybrid</v>
      </c>
      <c r="D7927" s="8" t="str">
        <f>IFERROR(INDEX('nav master'!$C:$C, MATCH(B7927, 'nav master'!$B:$B, 0)), "")</f>
        <v>ULIF03901/09/10BalancedFd101</v>
      </c>
      <c r="E7927" s="8" t="s">
        <v>357</v>
      </c>
      <c r="F7927" s="8" t="s">
        <v>3533</v>
      </c>
    </row>
    <row r="7928" spans="1:6" ht="60" x14ac:dyDescent="0.25">
      <c r="A7928" s="8" t="s">
        <v>125</v>
      </c>
      <c r="B7928" s="8" t="s">
        <v>132</v>
      </c>
      <c r="C7928" s="8" t="str">
        <f>IFERROR(_xlfn.XLOOKUP(TRIM(B7928),Lookup!$B$2:$B$1000,Lookup!$C$2:$C$1000),"")</f>
        <v>Hybrid</v>
      </c>
      <c r="D7928" s="8" t="str">
        <f>IFERROR(INDEX('nav master'!$C:$C, MATCH(B7928, 'nav master'!$B:$B, 0)), "")</f>
        <v>ULIF03901/09/10BalancedFd101</v>
      </c>
      <c r="E7928" s="8" t="s">
        <v>359</v>
      </c>
      <c r="F7928" s="8" t="s">
        <v>921</v>
      </c>
    </row>
    <row r="7929" spans="1:6" ht="60" x14ac:dyDescent="0.25">
      <c r="A7929" s="8" t="s">
        <v>125</v>
      </c>
      <c r="B7929" s="8" t="s">
        <v>132</v>
      </c>
      <c r="C7929" s="8" t="str">
        <f>IFERROR(_xlfn.XLOOKUP(TRIM(B7929),Lookup!$B$2:$B$1000,Lookup!$C$2:$C$1000),"")</f>
        <v>Hybrid</v>
      </c>
      <c r="D7929" s="8" t="str">
        <f>IFERROR(INDEX('nav master'!$C:$C, MATCH(B7929, 'nav master'!$B:$B, 0)), "")</f>
        <v>ULIF03901/09/10BalancedFd101</v>
      </c>
      <c r="E7929" s="8" t="s">
        <v>361</v>
      </c>
      <c r="F7929" s="8" t="s">
        <v>3534</v>
      </c>
    </row>
    <row r="7930" spans="1:6" ht="60" x14ac:dyDescent="0.25">
      <c r="A7930" s="8" t="s">
        <v>125</v>
      </c>
      <c r="B7930" s="8" t="s">
        <v>132</v>
      </c>
      <c r="C7930" s="8" t="str">
        <f>IFERROR(_xlfn.XLOOKUP(TRIM(B7930),Lookup!$B$2:$B$1000,Lookup!$C$2:$C$1000),"")</f>
        <v>Hybrid</v>
      </c>
      <c r="D7930" s="8" t="str">
        <f>IFERROR(INDEX('nav master'!$C:$C, MATCH(B7930, 'nav master'!$B:$B, 0)), "")</f>
        <v>ULIF03901/09/10BalancedFd101</v>
      </c>
      <c r="E7930" s="8" t="s">
        <v>363</v>
      </c>
      <c r="F7930" s="8" t="s">
        <v>3535</v>
      </c>
    </row>
    <row r="7931" spans="1:6" ht="60" x14ac:dyDescent="0.25">
      <c r="A7931" s="8" t="s">
        <v>125</v>
      </c>
      <c r="B7931" s="8" t="s">
        <v>132</v>
      </c>
      <c r="C7931" s="8" t="str">
        <f>IFERROR(_xlfn.XLOOKUP(TRIM(B7931),Lookup!$B$2:$B$1000,Lookup!$C$2:$C$1000),"")</f>
        <v>Hybrid</v>
      </c>
      <c r="D7931" s="8" t="str">
        <f>IFERROR(INDEX('nav master'!$C:$C, MATCH(B7931, 'nav master'!$B:$B, 0)), "")</f>
        <v>ULIF03901/09/10BalancedFd101</v>
      </c>
      <c r="E7931" s="8" t="s">
        <v>365</v>
      </c>
      <c r="F7931" s="8" t="s">
        <v>3536</v>
      </c>
    </row>
    <row r="7932" spans="1:6" ht="60" x14ac:dyDescent="0.25">
      <c r="A7932" s="8" t="s">
        <v>125</v>
      </c>
      <c r="B7932" s="8" t="s">
        <v>132</v>
      </c>
      <c r="C7932" s="8" t="str">
        <f>IFERROR(_xlfn.XLOOKUP(TRIM(B7932),Lookup!$B$2:$B$1000,Lookup!$C$2:$C$1000),"")</f>
        <v>Hybrid</v>
      </c>
      <c r="D7932" s="8" t="str">
        <f>IFERROR(INDEX('nav master'!$C:$C, MATCH(B7932, 'nav master'!$B:$B, 0)), "")</f>
        <v>ULIF03901/09/10BalancedFd101</v>
      </c>
      <c r="E7932" s="8" t="s">
        <v>367</v>
      </c>
      <c r="F7932" s="8" t="s">
        <v>3537</v>
      </c>
    </row>
    <row r="7933" spans="1:6" ht="60" x14ac:dyDescent="0.25">
      <c r="A7933" s="8" t="s">
        <v>125</v>
      </c>
      <c r="B7933" s="8" t="s">
        <v>132</v>
      </c>
      <c r="C7933" s="8" t="str">
        <f>IFERROR(_xlfn.XLOOKUP(TRIM(B7933),Lookup!$B$2:$B$1000,Lookup!$C$2:$C$1000),"")</f>
        <v>Hybrid</v>
      </c>
      <c r="D7933" s="8" t="str">
        <f>IFERROR(INDEX('nav master'!$C:$C, MATCH(B7933, 'nav master'!$B:$B, 0)), "")</f>
        <v>ULIF03901/09/10BalancedFd101</v>
      </c>
      <c r="E7933" s="8" t="s">
        <v>369</v>
      </c>
      <c r="F7933" s="8" t="s">
        <v>3538</v>
      </c>
    </row>
    <row r="7934" spans="1:6" ht="60" x14ac:dyDescent="0.25">
      <c r="A7934" s="8" t="s">
        <v>125</v>
      </c>
      <c r="B7934" s="8" t="s">
        <v>132</v>
      </c>
      <c r="C7934" s="8" t="str">
        <f>IFERROR(_xlfn.XLOOKUP(TRIM(B7934),Lookup!$B$2:$B$1000,Lookup!$C$2:$C$1000),"")</f>
        <v>Hybrid</v>
      </c>
      <c r="D7934" s="8" t="str">
        <f>IFERROR(INDEX('nav master'!$C:$C, MATCH(B7934, 'nav master'!$B:$B, 0)), "")</f>
        <v>ULIF03901/09/10BalancedFd101</v>
      </c>
      <c r="E7934" s="8" t="s">
        <v>371</v>
      </c>
      <c r="F7934" s="8" t="s">
        <v>3539</v>
      </c>
    </row>
    <row r="7935" spans="1:6" ht="60" x14ac:dyDescent="0.25">
      <c r="A7935" s="8" t="s">
        <v>125</v>
      </c>
      <c r="B7935" s="8" t="s">
        <v>132</v>
      </c>
      <c r="C7935" s="8" t="str">
        <f>IFERROR(_xlfn.XLOOKUP(TRIM(B7935),Lookup!$B$2:$B$1000,Lookup!$C$2:$C$1000),"")</f>
        <v>Hybrid</v>
      </c>
      <c r="D7935" s="8" t="str">
        <f>IFERROR(INDEX('nav master'!$C:$C, MATCH(B7935, 'nav master'!$B:$B, 0)), "")</f>
        <v>ULIF03901/09/10BalancedFd101</v>
      </c>
      <c r="E7935" s="8" t="s">
        <v>373</v>
      </c>
      <c r="F7935" s="8" t="s">
        <v>3540</v>
      </c>
    </row>
    <row r="7936" spans="1:6" ht="60" x14ac:dyDescent="0.25">
      <c r="A7936" s="8" t="s">
        <v>125</v>
      </c>
      <c r="B7936" s="8" t="s">
        <v>132</v>
      </c>
      <c r="C7936" s="8" t="str">
        <f>IFERROR(_xlfn.XLOOKUP(TRIM(B7936),Lookup!$B$2:$B$1000,Lookup!$C$2:$C$1000),"")</f>
        <v>Hybrid</v>
      </c>
      <c r="D7936" s="8" t="str">
        <f>IFERROR(INDEX('nav master'!$C:$C, MATCH(B7936, 'nav master'!$B:$B, 0)), "")</f>
        <v>ULIF03901/09/10BalancedFd101</v>
      </c>
      <c r="E7936" s="8" t="s">
        <v>375</v>
      </c>
      <c r="F7936" s="8" t="s">
        <v>3541</v>
      </c>
    </row>
    <row r="7937" spans="1:6" ht="60" x14ac:dyDescent="0.25">
      <c r="A7937" s="8" t="s">
        <v>125</v>
      </c>
      <c r="B7937" s="8" t="s">
        <v>132</v>
      </c>
      <c r="C7937" s="8" t="str">
        <f>IFERROR(_xlfn.XLOOKUP(TRIM(B7937),Lookup!$B$2:$B$1000,Lookup!$C$2:$C$1000),"")</f>
        <v>Hybrid</v>
      </c>
      <c r="D7937" s="8" t="str">
        <f>IFERROR(INDEX('nav master'!$C:$C, MATCH(B7937, 'nav master'!$B:$B, 0)), "")</f>
        <v>ULIF03901/09/10BalancedFd101</v>
      </c>
      <c r="E7937" s="8" t="s">
        <v>377</v>
      </c>
      <c r="F7937" s="8" t="s">
        <v>3542</v>
      </c>
    </row>
    <row r="7938" spans="1:6" ht="60" x14ac:dyDescent="0.25">
      <c r="A7938" s="8" t="s">
        <v>125</v>
      </c>
      <c r="B7938" s="8" t="s">
        <v>132</v>
      </c>
      <c r="C7938" s="8" t="str">
        <f>IFERROR(_xlfn.XLOOKUP(TRIM(B7938),Lookup!$B$2:$B$1000,Lookup!$C$2:$C$1000),"")</f>
        <v>Hybrid</v>
      </c>
      <c r="D7938" s="8" t="str">
        <f>IFERROR(INDEX('nav master'!$C:$C, MATCH(B7938, 'nav master'!$B:$B, 0)), "")</f>
        <v>ULIF03901/09/10BalancedFd101</v>
      </c>
      <c r="E7938" s="8" t="s">
        <v>379</v>
      </c>
      <c r="F7938" s="8" t="s">
        <v>3543</v>
      </c>
    </row>
    <row r="7939" spans="1:6" ht="60" x14ac:dyDescent="0.25">
      <c r="A7939" s="8" t="s">
        <v>125</v>
      </c>
      <c r="B7939" s="8" t="s">
        <v>132</v>
      </c>
      <c r="C7939" s="8" t="str">
        <f>IFERROR(_xlfn.XLOOKUP(TRIM(B7939),Lookup!$B$2:$B$1000,Lookup!$C$2:$C$1000),"")</f>
        <v>Hybrid</v>
      </c>
      <c r="D7939" s="8" t="str">
        <f>IFERROR(INDEX('nav master'!$C:$C, MATCH(B7939, 'nav master'!$B:$B, 0)), "")</f>
        <v>ULIF03901/09/10BalancedFd101</v>
      </c>
      <c r="E7939" s="8" t="s">
        <v>381</v>
      </c>
      <c r="F7939" s="8" t="s">
        <v>3544</v>
      </c>
    </row>
    <row r="7940" spans="1:6" ht="60" x14ac:dyDescent="0.25">
      <c r="A7940" s="8" t="s">
        <v>125</v>
      </c>
      <c r="B7940" s="8" t="s">
        <v>132</v>
      </c>
      <c r="C7940" s="8" t="str">
        <f>IFERROR(_xlfn.XLOOKUP(TRIM(B7940),Lookup!$B$2:$B$1000,Lookup!$C$2:$C$1000),"")</f>
        <v>Hybrid</v>
      </c>
      <c r="D7940" s="8" t="str">
        <f>IFERROR(INDEX('nav master'!$C:$C, MATCH(B7940, 'nav master'!$B:$B, 0)), "")</f>
        <v>ULIF03901/09/10BalancedFd101</v>
      </c>
      <c r="E7940" s="8" t="s">
        <v>383</v>
      </c>
      <c r="F7940" s="8" t="s">
        <v>3545</v>
      </c>
    </row>
    <row r="7941" spans="1:6" ht="60" x14ac:dyDescent="0.25">
      <c r="A7941" s="8" t="s">
        <v>125</v>
      </c>
      <c r="B7941" s="8" t="s">
        <v>132</v>
      </c>
      <c r="C7941" s="8" t="str">
        <f>IFERROR(_xlfn.XLOOKUP(TRIM(B7941),Lookup!$B$2:$B$1000,Lookup!$C$2:$C$1000),"")</f>
        <v>Hybrid</v>
      </c>
      <c r="D7941" s="8" t="str">
        <f>IFERROR(INDEX('nav master'!$C:$C, MATCH(B7941, 'nav master'!$B:$B, 0)), "")</f>
        <v>ULIF03901/09/10BalancedFd101</v>
      </c>
      <c r="E7941" s="8" t="s">
        <v>385</v>
      </c>
      <c r="F7941" s="8" t="s">
        <v>3546</v>
      </c>
    </row>
    <row r="7942" spans="1:6" ht="60" x14ac:dyDescent="0.25">
      <c r="A7942" s="8" t="s">
        <v>125</v>
      </c>
      <c r="B7942" s="8" t="s">
        <v>132</v>
      </c>
      <c r="C7942" s="8" t="str">
        <f>IFERROR(_xlfn.XLOOKUP(TRIM(B7942),Lookup!$B$2:$B$1000,Lookup!$C$2:$C$1000),"")</f>
        <v>Hybrid</v>
      </c>
      <c r="D7942" s="8" t="str">
        <f>IFERROR(INDEX('nav master'!$C:$C, MATCH(B7942, 'nav master'!$B:$B, 0)), "")</f>
        <v>ULIF03901/09/10BalancedFd101</v>
      </c>
      <c r="E7942" s="8" t="s">
        <v>387</v>
      </c>
      <c r="F7942" s="8" t="s">
        <v>3547</v>
      </c>
    </row>
    <row r="7943" spans="1:6" ht="60" x14ac:dyDescent="0.25">
      <c r="A7943" s="8" t="s">
        <v>125</v>
      </c>
      <c r="B7943" s="8" t="s">
        <v>132</v>
      </c>
      <c r="C7943" s="8" t="str">
        <f>IFERROR(_xlfn.XLOOKUP(TRIM(B7943),Lookup!$B$2:$B$1000,Lookup!$C$2:$C$1000),"")</f>
        <v>Hybrid</v>
      </c>
      <c r="D7943" s="8" t="str">
        <f>IFERROR(INDEX('nav master'!$C:$C, MATCH(B7943, 'nav master'!$B:$B, 0)), "")</f>
        <v>ULIF03901/09/10BalancedFd101</v>
      </c>
      <c r="E7943" s="8" t="s">
        <v>389</v>
      </c>
      <c r="F7943" s="8" t="s">
        <v>3548</v>
      </c>
    </row>
    <row r="7944" spans="1:6" ht="60" x14ac:dyDescent="0.25">
      <c r="A7944" s="8" t="s">
        <v>125</v>
      </c>
      <c r="B7944" s="8" t="s">
        <v>132</v>
      </c>
      <c r="C7944" s="8" t="str">
        <f>IFERROR(_xlfn.XLOOKUP(TRIM(B7944),Lookup!$B$2:$B$1000,Lookup!$C$2:$C$1000),"")</f>
        <v>Hybrid</v>
      </c>
      <c r="D7944" s="8" t="str">
        <f>IFERROR(INDEX('nav master'!$C:$C, MATCH(B7944, 'nav master'!$B:$B, 0)), "")</f>
        <v>ULIF03901/09/10BalancedFd101</v>
      </c>
      <c r="E7944" s="8" t="s">
        <v>391</v>
      </c>
      <c r="F7944" s="8" t="s">
        <v>3549</v>
      </c>
    </row>
    <row r="7945" spans="1:6" ht="60" x14ac:dyDescent="0.25">
      <c r="A7945" s="8" t="s">
        <v>125</v>
      </c>
      <c r="B7945" s="8" t="s">
        <v>132</v>
      </c>
      <c r="C7945" s="8" t="str">
        <f>IFERROR(_xlfn.XLOOKUP(TRIM(B7945),Lookup!$B$2:$B$1000,Lookup!$C$2:$C$1000),"")</f>
        <v>Hybrid</v>
      </c>
      <c r="D7945" s="8" t="str">
        <f>IFERROR(INDEX('nav master'!$C:$C, MATCH(B7945, 'nav master'!$B:$B, 0)), "")</f>
        <v>ULIF03901/09/10BalancedFd101</v>
      </c>
      <c r="E7945" s="8" t="s">
        <v>393</v>
      </c>
      <c r="F7945" s="8" t="s">
        <v>3550</v>
      </c>
    </row>
    <row r="7946" spans="1:6" ht="60" x14ac:dyDescent="0.25">
      <c r="A7946" s="8" t="s">
        <v>125</v>
      </c>
      <c r="B7946" s="8" t="s">
        <v>132</v>
      </c>
      <c r="C7946" s="8" t="str">
        <f>IFERROR(_xlfn.XLOOKUP(TRIM(B7946),Lookup!$B$2:$B$1000,Lookup!$C$2:$C$1000),"")</f>
        <v>Hybrid</v>
      </c>
      <c r="D7946" s="8" t="str">
        <f>IFERROR(INDEX('nav master'!$C:$C, MATCH(B7946, 'nav master'!$B:$B, 0)), "")</f>
        <v>ULIF03901/09/10BalancedFd101</v>
      </c>
      <c r="E7946" s="8" t="s">
        <v>395</v>
      </c>
      <c r="F7946" s="8" t="s">
        <v>3551</v>
      </c>
    </row>
    <row r="7947" spans="1:6" ht="60" x14ac:dyDescent="0.25">
      <c r="A7947" s="8" t="s">
        <v>125</v>
      </c>
      <c r="B7947" s="8" t="s">
        <v>132</v>
      </c>
      <c r="C7947" s="8" t="str">
        <f>IFERROR(_xlfn.XLOOKUP(TRIM(B7947),Lookup!$B$2:$B$1000,Lookup!$C$2:$C$1000),"")</f>
        <v>Hybrid</v>
      </c>
      <c r="D7947" s="8" t="str">
        <f>IFERROR(INDEX('nav master'!$C:$C, MATCH(B7947, 'nav master'!$B:$B, 0)), "")</f>
        <v>ULIF03901/09/10BalancedFd101</v>
      </c>
      <c r="E7947" s="8" t="s">
        <v>397</v>
      </c>
      <c r="F7947" s="8" t="s">
        <v>3552</v>
      </c>
    </row>
    <row r="7948" spans="1:6" ht="60" x14ac:dyDescent="0.25">
      <c r="A7948" s="8" t="s">
        <v>125</v>
      </c>
      <c r="B7948" s="8" t="s">
        <v>132</v>
      </c>
      <c r="C7948" s="8" t="str">
        <f>IFERROR(_xlfn.XLOOKUP(TRIM(B7948),Lookup!$B$2:$B$1000,Lookup!$C$2:$C$1000),"")</f>
        <v>Hybrid</v>
      </c>
      <c r="D7948" s="8" t="str">
        <f>IFERROR(INDEX('nav master'!$C:$C, MATCH(B7948, 'nav master'!$B:$B, 0)), "")</f>
        <v>ULIF03901/09/10BalancedFd101</v>
      </c>
      <c r="E7948" s="8" t="s">
        <v>399</v>
      </c>
      <c r="F7948" s="8" t="s">
        <v>3553</v>
      </c>
    </row>
    <row r="7949" spans="1:6" ht="60" x14ac:dyDescent="0.25">
      <c r="A7949" s="8" t="s">
        <v>125</v>
      </c>
      <c r="B7949" s="8" t="s">
        <v>132</v>
      </c>
      <c r="C7949" s="8" t="str">
        <f>IFERROR(_xlfn.XLOOKUP(TRIM(B7949),Lookup!$B$2:$B$1000,Lookup!$C$2:$C$1000),"")</f>
        <v>Hybrid</v>
      </c>
      <c r="D7949" s="8" t="str">
        <f>IFERROR(INDEX('nav master'!$C:$C, MATCH(B7949, 'nav master'!$B:$B, 0)), "")</f>
        <v>ULIF03901/09/10BalancedFd101</v>
      </c>
      <c r="E7949" s="8" t="s">
        <v>401</v>
      </c>
      <c r="F7949" s="8" t="s">
        <v>3554</v>
      </c>
    </row>
    <row r="7950" spans="1:6" ht="60" x14ac:dyDescent="0.25">
      <c r="A7950" s="8" t="s">
        <v>125</v>
      </c>
      <c r="B7950" s="8" t="s">
        <v>132</v>
      </c>
      <c r="C7950" s="8" t="str">
        <f>IFERROR(_xlfn.XLOOKUP(TRIM(B7950),Lookup!$B$2:$B$1000,Lookup!$C$2:$C$1000),"")</f>
        <v>Hybrid</v>
      </c>
      <c r="D7950" s="8" t="str">
        <f>IFERROR(INDEX('nav master'!$C:$C, MATCH(B7950, 'nav master'!$B:$B, 0)), "")</f>
        <v>ULIF03901/09/10BalancedFd101</v>
      </c>
      <c r="E7950" s="8" t="s">
        <v>403</v>
      </c>
      <c r="F7950" s="8" t="s">
        <v>3555</v>
      </c>
    </row>
    <row r="7951" spans="1:6" ht="60" x14ac:dyDescent="0.25">
      <c r="A7951" s="8" t="s">
        <v>125</v>
      </c>
      <c r="B7951" s="8" t="s">
        <v>132</v>
      </c>
      <c r="C7951" s="8" t="str">
        <f>IFERROR(_xlfn.XLOOKUP(TRIM(B7951),Lookup!$B$2:$B$1000,Lookup!$C$2:$C$1000),"")</f>
        <v>Hybrid</v>
      </c>
      <c r="D7951" s="8" t="str">
        <f>IFERROR(INDEX('nav master'!$C:$C, MATCH(B7951, 'nav master'!$B:$B, 0)), "")</f>
        <v>ULIF03901/09/10BalancedFd101</v>
      </c>
      <c r="E7951" s="8" t="s">
        <v>405</v>
      </c>
      <c r="F7951" s="8" t="s">
        <v>3556</v>
      </c>
    </row>
    <row r="7952" spans="1:6" ht="60" x14ac:dyDescent="0.25">
      <c r="A7952" s="8" t="s">
        <v>125</v>
      </c>
      <c r="B7952" s="8" t="s">
        <v>132</v>
      </c>
      <c r="C7952" s="8" t="str">
        <f>IFERROR(_xlfn.XLOOKUP(TRIM(B7952),Lookup!$B$2:$B$1000,Lookup!$C$2:$C$1000),"")</f>
        <v>Hybrid</v>
      </c>
      <c r="D7952" s="8" t="str">
        <f>IFERROR(INDEX('nav master'!$C:$C, MATCH(B7952, 'nav master'!$B:$B, 0)), "")</f>
        <v>ULIF03901/09/10BalancedFd101</v>
      </c>
      <c r="E7952" s="8" t="s">
        <v>407</v>
      </c>
      <c r="F7952" s="8" t="s">
        <v>3557</v>
      </c>
    </row>
    <row r="7953" spans="1:6" ht="60" x14ac:dyDescent="0.25">
      <c r="A7953" s="8" t="s">
        <v>125</v>
      </c>
      <c r="B7953" s="8" t="s">
        <v>132</v>
      </c>
      <c r="C7953" s="8" t="str">
        <f>IFERROR(_xlfn.XLOOKUP(TRIM(B7953),Lookup!$B$2:$B$1000,Lookup!$C$2:$C$1000),"")</f>
        <v>Hybrid</v>
      </c>
      <c r="D7953" s="8" t="str">
        <f>IFERROR(INDEX('nav master'!$C:$C, MATCH(B7953, 'nav master'!$B:$B, 0)), "")</f>
        <v>ULIF03901/09/10BalancedFd101</v>
      </c>
      <c r="E7953" s="8" t="s">
        <v>409</v>
      </c>
      <c r="F7953" s="8" t="s">
        <v>3558</v>
      </c>
    </row>
    <row r="7954" spans="1:6" ht="60" x14ac:dyDescent="0.25">
      <c r="A7954" s="8" t="s">
        <v>125</v>
      </c>
      <c r="B7954" s="8" t="s">
        <v>132</v>
      </c>
      <c r="C7954" s="8" t="str">
        <f>IFERROR(_xlfn.XLOOKUP(TRIM(B7954),Lookup!$B$2:$B$1000,Lookup!$C$2:$C$1000),"")</f>
        <v>Hybrid</v>
      </c>
      <c r="D7954" s="8" t="str">
        <f>IFERROR(INDEX('nav master'!$C:$C, MATCH(B7954, 'nav master'!$B:$B, 0)), "")</f>
        <v>ULIF03901/09/10BalancedFd101</v>
      </c>
      <c r="E7954" s="8" t="s">
        <v>411</v>
      </c>
      <c r="F7954" s="8" t="s">
        <v>3559</v>
      </c>
    </row>
    <row r="7955" spans="1:6" ht="60" x14ac:dyDescent="0.25">
      <c r="A7955" s="8" t="s">
        <v>125</v>
      </c>
      <c r="B7955" s="8" t="s">
        <v>132</v>
      </c>
      <c r="C7955" s="8" t="str">
        <f>IFERROR(_xlfn.XLOOKUP(TRIM(B7955),Lookup!$B$2:$B$1000,Lookup!$C$2:$C$1000),"")</f>
        <v>Hybrid</v>
      </c>
      <c r="D7955" s="8" t="str">
        <f>IFERROR(INDEX('nav master'!$C:$C, MATCH(B7955, 'nav master'!$B:$B, 0)), "")</f>
        <v>ULIF03901/09/10BalancedFd101</v>
      </c>
      <c r="E7955" s="8" t="s">
        <v>413</v>
      </c>
      <c r="F7955" s="8" t="s">
        <v>3560</v>
      </c>
    </row>
    <row r="7956" spans="1:6" ht="60" x14ac:dyDescent="0.25">
      <c r="A7956" s="8" t="s">
        <v>125</v>
      </c>
      <c r="B7956" s="8" t="s">
        <v>132</v>
      </c>
      <c r="C7956" s="8" t="str">
        <f>IFERROR(_xlfn.XLOOKUP(TRIM(B7956),Lookup!$B$2:$B$1000,Lookup!$C$2:$C$1000),"")</f>
        <v>Hybrid</v>
      </c>
      <c r="D7956" s="8" t="str">
        <f>IFERROR(INDEX('nav master'!$C:$C, MATCH(B7956, 'nav master'!$B:$B, 0)), "")</f>
        <v>ULIF03901/09/10BalancedFd101</v>
      </c>
      <c r="E7956" s="8" t="s">
        <v>415</v>
      </c>
      <c r="F7956" s="8" t="s">
        <v>3561</v>
      </c>
    </row>
    <row r="7957" spans="1:6" ht="60" x14ac:dyDescent="0.25">
      <c r="A7957" s="8" t="s">
        <v>125</v>
      </c>
      <c r="B7957" s="8" t="s">
        <v>132</v>
      </c>
      <c r="C7957" s="8" t="str">
        <f>IFERROR(_xlfn.XLOOKUP(TRIM(B7957),Lookup!$B$2:$B$1000,Lookup!$C$2:$C$1000),"")</f>
        <v>Hybrid</v>
      </c>
      <c r="D7957" s="8" t="str">
        <f>IFERROR(INDEX('nav master'!$C:$C, MATCH(B7957, 'nav master'!$B:$B, 0)), "")</f>
        <v>ULIF03901/09/10BalancedFd101</v>
      </c>
      <c r="E7957" s="8" t="s">
        <v>417</v>
      </c>
      <c r="F7957" s="8" t="s">
        <v>3562</v>
      </c>
    </row>
    <row r="7958" spans="1:6" ht="60" x14ac:dyDescent="0.25">
      <c r="A7958" s="8" t="s">
        <v>125</v>
      </c>
      <c r="B7958" s="8" t="s">
        <v>132</v>
      </c>
      <c r="C7958" s="8" t="str">
        <f>IFERROR(_xlfn.XLOOKUP(TRIM(B7958),Lookup!$B$2:$B$1000,Lookup!$C$2:$C$1000),"")</f>
        <v>Hybrid</v>
      </c>
      <c r="D7958" s="8" t="str">
        <f>IFERROR(INDEX('nav master'!$C:$C, MATCH(B7958, 'nav master'!$B:$B, 0)), "")</f>
        <v>ULIF03901/09/10BalancedFd101</v>
      </c>
      <c r="E7958" s="8" t="s">
        <v>419</v>
      </c>
      <c r="F7958" s="8" t="s">
        <v>3563</v>
      </c>
    </row>
    <row r="7959" spans="1:6" ht="60" x14ac:dyDescent="0.25">
      <c r="A7959" s="8" t="s">
        <v>125</v>
      </c>
      <c r="B7959" s="8" t="s">
        <v>132</v>
      </c>
      <c r="C7959" s="8" t="str">
        <f>IFERROR(_xlfn.XLOOKUP(TRIM(B7959),Lookup!$B$2:$B$1000,Lookup!$C$2:$C$1000),"")</f>
        <v>Hybrid</v>
      </c>
      <c r="D7959" s="8" t="str">
        <f>IFERROR(INDEX('nav master'!$C:$C, MATCH(B7959, 'nav master'!$B:$B, 0)), "")</f>
        <v>ULIF03901/09/10BalancedFd101</v>
      </c>
      <c r="E7959" s="8" t="s">
        <v>421</v>
      </c>
      <c r="F7959" s="8" t="s">
        <v>3564</v>
      </c>
    </row>
    <row r="7960" spans="1:6" ht="60" x14ac:dyDescent="0.25">
      <c r="A7960" s="8" t="s">
        <v>125</v>
      </c>
      <c r="B7960" s="8" t="s">
        <v>132</v>
      </c>
      <c r="C7960" s="8" t="str">
        <f>IFERROR(_xlfn.XLOOKUP(TRIM(B7960),Lookup!$B$2:$B$1000,Lookup!$C$2:$C$1000),"")</f>
        <v>Hybrid</v>
      </c>
      <c r="D7960" s="8" t="str">
        <f>IFERROR(INDEX('nav master'!$C:$C, MATCH(B7960, 'nav master'!$B:$B, 0)), "")</f>
        <v>ULIF03901/09/10BalancedFd101</v>
      </c>
      <c r="E7960" s="8" t="s">
        <v>423</v>
      </c>
      <c r="F7960" s="8" t="s">
        <v>3565</v>
      </c>
    </row>
    <row r="7961" spans="1:6" ht="60" x14ac:dyDescent="0.25">
      <c r="A7961" s="8" t="s">
        <v>125</v>
      </c>
      <c r="B7961" s="8" t="s">
        <v>132</v>
      </c>
      <c r="C7961" s="8" t="str">
        <f>IFERROR(_xlfn.XLOOKUP(TRIM(B7961),Lookup!$B$2:$B$1000,Lookup!$C$2:$C$1000),"")</f>
        <v>Hybrid</v>
      </c>
      <c r="D7961" s="8" t="str">
        <f>IFERROR(INDEX('nav master'!$C:$C, MATCH(B7961, 'nav master'!$B:$B, 0)), "")</f>
        <v>ULIF03901/09/10BalancedFd101</v>
      </c>
      <c r="E7961" s="8" t="s">
        <v>425</v>
      </c>
      <c r="F7961" s="8" t="s">
        <v>3566</v>
      </c>
    </row>
    <row r="7962" spans="1:6" ht="60" x14ac:dyDescent="0.25">
      <c r="A7962" s="8" t="s">
        <v>125</v>
      </c>
      <c r="B7962" s="8" t="s">
        <v>132</v>
      </c>
      <c r="C7962" s="8" t="str">
        <f>IFERROR(_xlfn.XLOOKUP(TRIM(B7962),Lookup!$B$2:$B$1000,Lookup!$C$2:$C$1000),"")</f>
        <v>Hybrid</v>
      </c>
      <c r="D7962" s="8" t="str">
        <f>IFERROR(INDEX('nav master'!$C:$C, MATCH(B7962, 'nav master'!$B:$B, 0)), "")</f>
        <v>ULIF03901/09/10BalancedFd101</v>
      </c>
      <c r="E7962" s="8" t="s">
        <v>427</v>
      </c>
      <c r="F7962" s="8" t="s">
        <v>3567</v>
      </c>
    </row>
    <row r="7963" spans="1:6" ht="60" x14ac:dyDescent="0.25">
      <c r="A7963" s="8" t="s">
        <v>125</v>
      </c>
      <c r="B7963" s="8" t="s">
        <v>132</v>
      </c>
      <c r="C7963" s="8" t="str">
        <f>IFERROR(_xlfn.XLOOKUP(TRIM(B7963),Lookup!$B$2:$B$1000,Lookup!$C$2:$C$1000),"")</f>
        <v>Hybrid</v>
      </c>
      <c r="D7963" s="8" t="str">
        <f>IFERROR(INDEX('nav master'!$C:$C, MATCH(B7963, 'nav master'!$B:$B, 0)), "")</f>
        <v>ULIF03901/09/10BalancedFd101</v>
      </c>
      <c r="E7963" s="8" t="s">
        <v>429</v>
      </c>
      <c r="F7963" s="8" t="s">
        <v>3568</v>
      </c>
    </row>
    <row r="7964" spans="1:6" ht="60" x14ac:dyDescent="0.25">
      <c r="A7964" s="8" t="s">
        <v>125</v>
      </c>
      <c r="B7964" s="8" t="s">
        <v>132</v>
      </c>
      <c r="C7964" s="8" t="str">
        <f>IFERROR(_xlfn.XLOOKUP(TRIM(B7964),Lookup!$B$2:$B$1000,Lookup!$C$2:$C$1000),"")</f>
        <v>Hybrid</v>
      </c>
      <c r="D7964" s="8" t="str">
        <f>IFERROR(INDEX('nav master'!$C:$C, MATCH(B7964, 'nav master'!$B:$B, 0)), "")</f>
        <v>ULIF03901/09/10BalancedFd101</v>
      </c>
      <c r="E7964" s="8" t="s">
        <v>431</v>
      </c>
      <c r="F7964" s="8" t="s">
        <v>3569</v>
      </c>
    </row>
    <row r="7965" spans="1:6" ht="60" x14ac:dyDescent="0.25">
      <c r="A7965" s="8" t="s">
        <v>125</v>
      </c>
      <c r="B7965" s="8" t="s">
        <v>132</v>
      </c>
      <c r="C7965" s="8" t="str">
        <f>IFERROR(_xlfn.XLOOKUP(TRIM(B7965),Lookup!$B$2:$B$1000,Lookup!$C$2:$C$1000),"")</f>
        <v>Hybrid</v>
      </c>
      <c r="D7965" s="8" t="str">
        <f>IFERROR(INDEX('nav master'!$C:$C, MATCH(B7965, 'nav master'!$B:$B, 0)), "")</f>
        <v>ULIF03901/09/10BalancedFd101</v>
      </c>
      <c r="E7965" s="8" t="s">
        <v>433</v>
      </c>
      <c r="F7965" s="8" t="s">
        <v>3570</v>
      </c>
    </row>
    <row r="7966" spans="1:6" ht="60" x14ac:dyDescent="0.25">
      <c r="A7966" s="8" t="s">
        <v>125</v>
      </c>
      <c r="B7966" s="8" t="s">
        <v>132</v>
      </c>
      <c r="C7966" s="8" t="str">
        <f>IFERROR(_xlfn.XLOOKUP(TRIM(B7966),Lookup!$B$2:$B$1000,Lookup!$C$2:$C$1000),"")</f>
        <v>Hybrid</v>
      </c>
      <c r="D7966" s="8" t="str">
        <f>IFERROR(INDEX('nav master'!$C:$C, MATCH(B7966, 'nav master'!$B:$B, 0)), "")</f>
        <v>ULIF03901/09/10BalancedFd101</v>
      </c>
      <c r="E7966" s="8" t="s">
        <v>435</v>
      </c>
      <c r="F7966" s="8" t="s">
        <v>3571</v>
      </c>
    </row>
    <row r="7967" spans="1:6" ht="60" x14ac:dyDescent="0.25">
      <c r="A7967" s="8" t="s">
        <v>125</v>
      </c>
      <c r="B7967" s="8" t="s">
        <v>132</v>
      </c>
      <c r="C7967" s="8" t="str">
        <f>IFERROR(_xlfn.XLOOKUP(TRIM(B7967),Lookup!$B$2:$B$1000,Lookup!$C$2:$C$1000),"")</f>
        <v>Hybrid</v>
      </c>
      <c r="D7967" s="8" t="str">
        <f>IFERROR(INDEX('nav master'!$C:$C, MATCH(B7967, 'nav master'!$B:$B, 0)), "")</f>
        <v>ULIF03901/09/10BalancedFd101</v>
      </c>
      <c r="E7967" s="8" t="s">
        <v>437</v>
      </c>
      <c r="F7967" s="8" t="s">
        <v>3572</v>
      </c>
    </row>
    <row r="7968" spans="1:6" ht="60" x14ac:dyDescent="0.25">
      <c r="A7968" s="8" t="s">
        <v>125</v>
      </c>
      <c r="B7968" s="8" t="s">
        <v>132</v>
      </c>
      <c r="C7968" s="8" t="str">
        <f>IFERROR(_xlfn.XLOOKUP(TRIM(B7968),Lookup!$B$2:$B$1000,Lookup!$C$2:$C$1000),"")</f>
        <v>Hybrid</v>
      </c>
      <c r="D7968" s="8" t="str">
        <f>IFERROR(INDEX('nav master'!$C:$C, MATCH(B7968, 'nav master'!$B:$B, 0)), "")</f>
        <v>ULIF03901/09/10BalancedFd101</v>
      </c>
      <c r="E7968" s="8" t="s">
        <v>439</v>
      </c>
      <c r="F7968" s="8" t="s">
        <v>3573</v>
      </c>
    </row>
    <row r="7969" spans="1:6" ht="60" x14ac:dyDescent="0.25">
      <c r="A7969" s="8" t="s">
        <v>125</v>
      </c>
      <c r="B7969" s="8" t="s">
        <v>132</v>
      </c>
      <c r="C7969" s="8" t="str">
        <f>IFERROR(_xlfn.XLOOKUP(TRIM(B7969),Lookup!$B$2:$B$1000,Lookup!$C$2:$C$1000),"")</f>
        <v>Hybrid</v>
      </c>
      <c r="D7969" s="8" t="str">
        <f>IFERROR(INDEX('nav master'!$C:$C, MATCH(B7969, 'nav master'!$B:$B, 0)), "")</f>
        <v>ULIF03901/09/10BalancedFd101</v>
      </c>
      <c r="E7969" s="8" t="s">
        <v>441</v>
      </c>
      <c r="F7969" s="8" t="s">
        <v>3574</v>
      </c>
    </row>
    <row r="7970" spans="1:6" ht="60" x14ac:dyDescent="0.25">
      <c r="A7970" s="8" t="s">
        <v>125</v>
      </c>
      <c r="B7970" s="8" t="s">
        <v>132</v>
      </c>
      <c r="C7970" s="8" t="str">
        <f>IFERROR(_xlfn.XLOOKUP(TRIM(B7970),Lookup!$B$2:$B$1000,Lookup!$C$2:$C$1000),"")</f>
        <v>Hybrid</v>
      </c>
      <c r="D7970" s="8" t="str">
        <f>IFERROR(INDEX('nav master'!$C:$C, MATCH(B7970, 'nav master'!$B:$B, 0)), "")</f>
        <v>ULIF03901/09/10BalancedFd101</v>
      </c>
      <c r="E7970" s="8" t="s">
        <v>443</v>
      </c>
      <c r="F7970" s="8" t="s">
        <v>3575</v>
      </c>
    </row>
    <row r="7971" spans="1:6" ht="60" x14ac:dyDescent="0.25">
      <c r="A7971" s="8" t="s">
        <v>125</v>
      </c>
      <c r="B7971" s="8" t="s">
        <v>132</v>
      </c>
      <c r="C7971" s="8" t="str">
        <f>IFERROR(_xlfn.XLOOKUP(TRIM(B7971),Lookup!$B$2:$B$1000,Lookup!$C$2:$C$1000),"")</f>
        <v>Hybrid</v>
      </c>
      <c r="D7971" s="8" t="str">
        <f>IFERROR(INDEX('nav master'!$C:$C, MATCH(B7971, 'nav master'!$B:$B, 0)), "")</f>
        <v>ULIF03901/09/10BalancedFd101</v>
      </c>
      <c r="E7971" s="8" t="s">
        <v>445</v>
      </c>
      <c r="F7971" s="8" t="s">
        <v>3576</v>
      </c>
    </row>
    <row r="7972" spans="1:6" ht="60" x14ac:dyDescent="0.25">
      <c r="A7972" s="8" t="s">
        <v>125</v>
      </c>
      <c r="B7972" s="8" t="s">
        <v>132</v>
      </c>
      <c r="C7972" s="8" t="str">
        <f>IFERROR(_xlfn.XLOOKUP(TRIM(B7972),Lookup!$B$2:$B$1000,Lookup!$C$2:$C$1000),"")</f>
        <v>Hybrid</v>
      </c>
      <c r="D7972" s="8" t="str">
        <f>IFERROR(INDEX('nav master'!$C:$C, MATCH(B7972, 'nav master'!$B:$B, 0)), "")</f>
        <v>ULIF03901/09/10BalancedFd101</v>
      </c>
      <c r="E7972" s="8" t="s">
        <v>446</v>
      </c>
      <c r="F7972" s="8" t="s">
        <v>3577</v>
      </c>
    </row>
    <row r="7973" spans="1:6" ht="60" x14ac:dyDescent="0.25">
      <c r="A7973" s="8" t="s">
        <v>125</v>
      </c>
      <c r="B7973" s="8" t="s">
        <v>132</v>
      </c>
      <c r="C7973" s="8" t="str">
        <f>IFERROR(_xlfn.XLOOKUP(TRIM(B7973),Lookup!$B$2:$B$1000,Lookup!$C$2:$C$1000),"")</f>
        <v>Hybrid</v>
      </c>
      <c r="D7973" s="8" t="str">
        <f>IFERROR(INDEX('nav master'!$C:$C, MATCH(B7973, 'nav master'!$B:$B, 0)), "")</f>
        <v>ULIF03901/09/10BalancedFd101</v>
      </c>
      <c r="E7973" s="8" t="s">
        <v>448</v>
      </c>
      <c r="F7973" s="8" t="s">
        <v>3578</v>
      </c>
    </row>
    <row r="7974" spans="1:6" ht="60" x14ac:dyDescent="0.25">
      <c r="A7974" s="8" t="s">
        <v>125</v>
      </c>
      <c r="B7974" s="8" t="s">
        <v>132</v>
      </c>
      <c r="C7974" s="8" t="str">
        <f>IFERROR(_xlfn.XLOOKUP(TRIM(B7974),Lookup!$B$2:$B$1000,Lookup!$C$2:$C$1000),"")</f>
        <v>Hybrid</v>
      </c>
      <c r="D7974" s="8" t="str">
        <f>IFERROR(INDEX('nav master'!$C:$C, MATCH(B7974, 'nav master'!$B:$B, 0)), "")</f>
        <v>ULIF03901/09/10BalancedFd101</v>
      </c>
      <c r="E7974" s="8" t="s">
        <v>450</v>
      </c>
      <c r="F7974" s="8" t="s">
        <v>3579</v>
      </c>
    </row>
    <row r="7975" spans="1:6" ht="60" x14ac:dyDescent="0.25">
      <c r="A7975" s="8" t="s">
        <v>125</v>
      </c>
      <c r="B7975" s="8" t="s">
        <v>132</v>
      </c>
      <c r="C7975" s="8" t="str">
        <f>IFERROR(_xlfn.XLOOKUP(TRIM(B7975),Lookup!$B$2:$B$1000,Lookup!$C$2:$C$1000),"")</f>
        <v>Hybrid</v>
      </c>
      <c r="D7975" s="8" t="str">
        <f>IFERROR(INDEX('nav master'!$C:$C, MATCH(B7975, 'nav master'!$B:$B, 0)), "")</f>
        <v>ULIF03901/09/10BalancedFd101</v>
      </c>
      <c r="E7975" s="8" t="s">
        <v>452</v>
      </c>
      <c r="F7975" s="8" t="s">
        <v>3580</v>
      </c>
    </row>
    <row r="7976" spans="1:6" ht="60" x14ac:dyDescent="0.25">
      <c r="A7976" s="8" t="s">
        <v>125</v>
      </c>
      <c r="B7976" s="8" t="s">
        <v>132</v>
      </c>
      <c r="C7976" s="8" t="str">
        <f>IFERROR(_xlfn.XLOOKUP(TRIM(B7976),Lookup!$B$2:$B$1000,Lookup!$C$2:$C$1000),"")</f>
        <v>Hybrid</v>
      </c>
      <c r="D7976" s="8" t="str">
        <f>IFERROR(INDEX('nav master'!$C:$C, MATCH(B7976, 'nav master'!$B:$B, 0)), "")</f>
        <v>ULIF03901/09/10BalancedFd101</v>
      </c>
      <c r="E7976" s="8" t="s">
        <v>454</v>
      </c>
      <c r="F7976" s="8" t="s">
        <v>3581</v>
      </c>
    </row>
    <row r="7977" spans="1:6" ht="60" x14ac:dyDescent="0.25">
      <c r="A7977" s="8" t="s">
        <v>125</v>
      </c>
      <c r="B7977" s="8" t="s">
        <v>132</v>
      </c>
      <c r="C7977" s="8" t="str">
        <f>IFERROR(_xlfn.XLOOKUP(TRIM(B7977),Lookup!$B$2:$B$1000,Lookup!$C$2:$C$1000),"")</f>
        <v>Hybrid</v>
      </c>
      <c r="D7977" s="8" t="str">
        <f>IFERROR(INDEX('nav master'!$C:$C, MATCH(B7977, 'nav master'!$B:$B, 0)), "")</f>
        <v>ULIF03901/09/10BalancedFd101</v>
      </c>
      <c r="E7977" s="8" t="s">
        <v>456</v>
      </c>
      <c r="F7977" s="8" t="s">
        <v>3582</v>
      </c>
    </row>
    <row r="7978" spans="1:6" ht="60" x14ac:dyDescent="0.25">
      <c r="A7978" s="8" t="s">
        <v>125</v>
      </c>
      <c r="B7978" s="8" t="s">
        <v>132</v>
      </c>
      <c r="C7978" s="8" t="str">
        <f>IFERROR(_xlfn.XLOOKUP(TRIM(B7978),Lookup!$B$2:$B$1000,Lookup!$C$2:$C$1000),"")</f>
        <v>Hybrid</v>
      </c>
      <c r="D7978" s="8" t="str">
        <f>IFERROR(INDEX('nav master'!$C:$C, MATCH(B7978, 'nav master'!$B:$B, 0)), "")</f>
        <v>ULIF03901/09/10BalancedFd101</v>
      </c>
      <c r="E7978" s="8" t="s">
        <v>458</v>
      </c>
      <c r="F7978" s="8" t="s">
        <v>3583</v>
      </c>
    </row>
    <row r="7979" spans="1:6" ht="60" x14ac:dyDescent="0.25">
      <c r="A7979" s="8" t="s">
        <v>125</v>
      </c>
      <c r="B7979" s="8" t="s">
        <v>132</v>
      </c>
      <c r="C7979" s="8" t="str">
        <f>IFERROR(_xlfn.XLOOKUP(TRIM(B7979),Lookup!$B$2:$B$1000,Lookup!$C$2:$C$1000),"")</f>
        <v>Hybrid</v>
      </c>
      <c r="D7979" s="8" t="str">
        <f>IFERROR(INDEX('nav master'!$C:$C, MATCH(B7979, 'nav master'!$B:$B, 0)), "")</f>
        <v>ULIF03901/09/10BalancedFd101</v>
      </c>
      <c r="E7979" s="8" t="s">
        <v>460</v>
      </c>
      <c r="F7979" s="8" t="s">
        <v>3584</v>
      </c>
    </row>
    <row r="7980" spans="1:6" ht="60" x14ac:dyDescent="0.25">
      <c r="A7980" s="8" t="s">
        <v>125</v>
      </c>
      <c r="B7980" s="8" t="s">
        <v>132</v>
      </c>
      <c r="C7980" s="8" t="str">
        <f>IFERROR(_xlfn.XLOOKUP(TRIM(B7980),Lookup!$B$2:$B$1000,Lookup!$C$2:$C$1000),"")</f>
        <v>Hybrid</v>
      </c>
      <c r="D7980" s="8" t="str">
        <f>IFERROR(INDEX('nav master'!$C:$C, MATCH(B7980, 'nav master'!$B:$B, 0)), "")</f>
        <v>ULIF03901/09/10BalancedFd101</v>
      </c>
      <c r="E7980" s="8" t="s">
        <v>462</v>
      </c>
      <c r="F7980" s="8" t="s">
        <v>3585</v>
      </c>
    </row>
    <row r="7981" spans="1:6" ht="60" x14ac:dyDescent="0.25">
      <c r="A7981" s="8" t="s">
        <v>125</v>
      </c>
      <c r="B7981" s="8" t="s">
        <v>132</v>
      </c>
      <c r="C7981" s="8" t="str">
        <f>IFERROR(_xlfn.XLOOKUP(TRIM(B7981),Lookup!$B$2:$B$1000,Lookup!$C$2:$C$1000),"")</f>
        <v>Hybrid</v>
      </c>
      <c r="D7981" s="8" t="str">
        <f>IFERROR(INDEX('nav master'!$C:$C, MATCH(B7981, 'nav master'!$B:$B, 0)), "")</f>
        <v>ULIF03901/09/10BalancedFd101</v>
      </c>
      <c r="E7981" s="8" t="s">
        <v>464</v>
      </c>
      <c r="F7981" s="8" t="s">
        <v>3586</v>
      </c>
    </row>
    <row r="7982" spans="1:6" ht="60" x14ac:dyDescent="0.25">
      <c r="A7982" s="8" t="s">
        <v>125</v>
      </c>
      <c r="B7982" s="8" t="s">
        <v>132</v>
      </c>
      <c r="C7982" s="8" t="str">
        <f>IFERROR(_xlfn.XLOOKUP(TRIM(B7982),Lookup!$B$2:$B$1000,Lookup!$C$2:$C$1000),"")</f>
        <v>Hybrid</v>
      </c>
      <c r="D7982" s="8" t="str">
        <f>IFERROR(INDEX('nav master'!$C:$C, MATCH(B7982, 'nav master'!$B:$B, 0)), "")</f>
        <v>ULIF03901/09/10BalancedFd101</v>
      </c>
      <c r="E7982" s="8" t="s">
        <v>466</v>
      </c>
      <c r="F7982" s="8" t="s">
        <v>3587</v>
      </c>
    </row>
    <row r="7983" spans="1:6" ht="60" x14ac:dyDescent="0.25">
      <c r="A7983" s="8" t="s">
        <v>125</v>
      </c>
      <c r="B7983" s="8" t="s">
        <v>132</v>
      </c>
      <c r="C7983" s="8" t="str">
        <f>IFERROR(_xlfn.XLOOKUP(TRIM(B7983),Lookup!$B$2:$B$1000,Lookup!$C$2:$C$1000),"")</f>
        <v>Hybrid</v>
      </c>
      <c r="D7983" s="8" t="str">
        <f>IFERROR(INDEX('nav master'!$C:$C, MATCH(B7983, 'nav master'!$B:$B, 0)), "")</f>
        <v>ULIF03901/09/10BalancedFd101</v>
      </c>
      <c r="E7983" s="8" t="s">
        <v>468</v>
      </c>
      <c r="F7983" s="8" t="s">
        <v>3588</v>
      </c>
    </row>
    <row r="7984" spans="1:6" ht="60" x14ac:dyDescent="0.25">
      <c r="A7984" s="8" t="s">
        <v>125</v>
      </c>
      <c r="B7984" s="8" t="s">
        <v>132</v>
      </c>
      <c r="C7984" s="8" t="str">
        <f>IFERROR(_xlfn.XLOOKUP(TRIM(B7984),Lookup!$B$2:$B$1000,Lookup!$C$2:$C$1000),"")</f>
        <v>Hybrid</v>
      </c>
      <c r="D7984" s="8" t="str">
        <f>IFERROR(INDEX('nav master'!$C:$C, MATCH(B7984, 'nav master'!$B:$B, 0)), "")</f>
        <v>ULIF03901/09/10BalancedFd101</v>
      </c>
      <c r="E7984" s="8" t="s">
        <v>470</v>
      </c>
      <c r="F7984" s="8" t="s">
        <v>3589</v>
      </c>
    </row>
    <row r="7985" spans="1:6" ht="60" x14ac:dyDescent="0.25">
      <c r="A7985" s="8" t="s">
        <v>125</v>
      </c>
      <c r="B7985" s="8" t="s">
        <v>132</v>
      </c>
      <c r="C7985" s="8" t="str">
        <f>IFERROR(_xlfn.XLOOKUP(TRIM(B7985),Lookup!$B$2:$B$1000,Lookup!$C$2:$C$1000),"")</f>
        <v>Hybrid</v>
      </c>
      <c r="D7985" s="8" t="str">
        <f>IFERROR(INDEX('nav master'!$C:$C, MATCH(B7985, 'nav master'!$B:$B, 0)), "")</f>
        <v>ULIF03901/09/10BalancedFd101</v>
      </c>
      <c r="E7985" s="8" t="s">
        <v>472</v>
      </c>
      <c r="F7985" s="8" t="s">
        <v>3590</v>
      </c>
    </row>
    <row r="7986" spans="1:6" ht="60" x14ac:dyDescent="0.25">
      <c r="A7986" s="8" t="s">
        <v>125</v>
      </c>
      <c r="B7986" s="8" t="s">
        <v>132</v>
      </c>
      <c r="C7986" s="8" t="str">
        <f>IFERROR(_xlfn.XLOOKUP(TRIM(B7986),Lookup!$B$2:$B$1000,Lookup!$C$2:$C$1000),"")</f>
        <v>Hybrid</v>
      </c>
      <c r="D7986" s="8" t="str">
        <f>IFERROR(INDEX('nav master'!$C:$C, MATCH(B7986, 'nav master'!$B:$B, 0)), "")</f>
        <v>ULIF03901/09/10BalancedFd101</v>
      </c>
      <c r="E7986" s="8" t="s">
        <v>474</v>
      </c>
      <c r="F7986" s="8" t="s">
        <v>3591</v>
      </c>
    </row>
    <row r="7987" spans="1:6" ht="60" x14ac:dyDescent="0.25">
      <c r="A7987" s="8" t="s">
        <v>125</v>
      </c>
      <c r="B7987" s="8" t="s">
        <v>132</v>
      </c>
      <c r="C7987" s="8" t="str">
        <f>IFERROR(_xlfn.XLOOKUP(TRIM(B7987),Lookup!$B$2:$B$1000,Lookup!$C$2:$C$1000),"")</f>
        <v>Hybrid</v>
      </c>
      <c r="D7987" s="8" t="str">
        <f>IFERROR(INDEX('nav master'!$C:$C, MATCH(B7987, 'nav master'!$B:$B, 0)), "")</f>
        <v>ULIF03901/09/10BalancedFd101</v>
      </c>
      <c r="E7987" s="8" t="s">
        <v>476</v>
      </c>
      <c r="F7987" s="8" t="s">
        <v>3592</v>
      </c>
    </row>
    <row r="7988" spans="1:6" ht="60" x14ac:dyDescent="0.25">
      <c r="A7988" s="8" t="s">
        <v>125</v>
      </c>
      <c r="B7988" s="8" t="s">
        <v>132</v>
      </c>
      <c r="C7988" s="8" t="str">
        <f>IFERROR(_xlfn.XLOOKUP(TRIM(B7988),Lookup!$B$2:$B$1000,Lookup!$C$2:$C$1000),"")</f>
        <v>Hybrid</v>
      </c>
      <c r="D7988" s="8" t="str">
        <f>IFERROR(INDEX('nav master'!$C:$C, MATCH(B7988, 'nav master'!$B:$B, 0)), "")</f>
        <v>ULIF03901/09/10BalancedFd101</v>
      </c>
      <c r="E7988" s="8" t="s">
        <v>478</v>
      </c>
      <c r="F7988" s="8" t="s">
        <v>3593</v>
      </c>
    </row>
    <row r="7989" spans="1:6" ht="60" x14ac:dyDescent="0.25">
      <c r="A7989" s="8" t="s">
        <v>125</v>
      </c>
      <c r="B7989" s="8" t="s">
        <v>132</v>
      </c>
      <c r="C7989" s="8" t="str">
        <f>IFERROR(_xlfn.XLOOKUP(TRIM(B7989),Lookup!$B$2:$B$1000,Lookup!$C$2:$C$1000),"")</f>
        <v>Hybrid</v>
      </c>
      <c r="D7989" s="8" t="str">
        <f>IFERROR(INDEX('nav master'!$C:$C, MATCH(B7989, 'nav master'!$B:$B, 0)), "")</f>
        <v>ULIF03901/09/10BalancedFd101</v>
      </c>
      <c r="E7989" s="8" t="s">
        <v>480</v>
      </c>
      <c r="F7989" s="8" t="s">
        <v>3594</v>
      </c>
    </row>
    <row r="7990" spans="1:6" ht="60" x14ac:dyDescent="0.25">
      <c r="A7990" s="8" t="s">
        <v>125</v>
      </c>
      <c r="B7990" s="8" t="s">
        <v>132</v>
      </c>
      <c r="C7990" s="8" t="str">
        <f>IFERROR(_xlfn.XLOOKUP(TRIM(B7990),Lookup!$B$2:$B$1000,Lookup!$C$2:$C$1000),"")</f>
        <v>Hybrid</v>
      </c>
      <c r="D7990" s="8" t="str">
        <f>IFERROR(INDEX('nav master'!$C:$C, MATCH(B7990, 'nav master'!$B:$B, 0)), "")</f>
        <v>ULIF03901/09/10BalancedFd101</v>
      </c>
      <c r="E7990" s="8" t="s">
        <v>482</v>
      </c>
      <c r="F7990" s="8" t="s">
        <v>3595</v>
      </c>
    </row>
    <row r="7991" spans="1:6" ht="60" x14ac:dyDescent="0.25">
      <c r="A7991" s="8" t="s">
        <v>125</v>
      </c>
      <c r="B7991" s="8" t="s">
        <v>132</v>
      </c>
      <c r="C7991" s="8" t="str">
        <f>IFERROR(_xlfn.XLOOKUP(TRIM(B7991),Lookup!$B$2:$B$1000,Lookup!$C$2:$C$1000),"")</f>
        <v>Hybrid</v>
      </c>
      <c r="D7991" s="8" t="str">
        <f>IFERROR(INDEX('nav master'!$C:$C, MATCH(B7991, 'nav master'!$B:$B, 0)), "")</f>
        <v>ULIF03901/09/10BalancedFd101</v>
      </c>
      <c r="E7991" s="8" t="s">
        <v>484</v>
      </c>
      <c r="F7991" s="8" t="s">
        <v>3596</v>
      </c>
    </row>
    <row r="7992" spans="1:6" ht="60" x14ac:dyDescent="0.25">
      <c r="A7992" s="8" t="s">
        <v>125</v>
      </c>
      <c r="B7992" s="8" t="s">
        <v>132</v>
      </c>
      <c r="C7992" s="8" t="str">
        <f>IFERROR(_xlfn.XLOOKUP(TRIM(B7992),Lookup!$B$2:$B$1000,Lookup!$C$2:$C$1000),"")</f>
        <v>Hybrid</v>
      </c>
      <c r="D7992" s="8" t="str">
        <f>IFERROR(INDEX('nav master'!$C:$C, MATCH(B7992, 'nav master'!$B:$B, 0)), "")</f>
        <v>ULIF03901/09/10BalancedFd101</v>
      </c>
      <c r="E7992" s="8" t="s">
        <v>486</v>
      </c>
      <c r="F7992" s="8" t="s">
        <v>3597</v>
      </c>
    </row>
    <row r="7993" spans="1:6" ht="60" x14ac:dyDescent="0.25">
      <c r="A7993" s="8" t="s">
        <v>125</v>
      </c>
      <c r="B7993" s="8" t="s">
        <v>132</v>
      </c>
      <c r="C7993" s="8" t="str">
        <f>IFERROR(_xlfn.XLOOKUP(TRIM(B7993),Lookup!$B$2:$B$1000,Lookup!$C$2:$C$1000),"")</f>
        <v>Hybrid</v>
      </c>
      <c r="D7993" s="8" t="str">
        <f>IFERROR(INDEX('nav master'!$C:$C, MATCH(B7993, 'nav master'!$B:$B, 0)), "")</f>
        <v>ULIF03901/09/10BalancedFd101</v>
      </c>
      <c r="E7993" s="8" t="s">
        <v>488</v>
      </c>
      <c r="F7993" s="8" t="s">
        <v>3598</v>
      </c>
    </row>
    <row r="7994" spans="1:6" ht="60" x14ac:dyDescent="0.25">
      <c r="A7994" s="8" t="s">
        <v>125</v>
      </c>
      <c r="B7994" s="8" t="s">
        <v>132</v>
      </c>
      <c r="C7994" s="8" t="str">
        <f>IFERROR(_xlfn.XLOOKUP(TRIM(B7994),Lookup!$B$2:$B$1000,Lookup!$C$2:$C$1000),"")</f>
        <v>Hybrid</v>
      </c>
      <c r="D7994" s="8" t="str">
        <f>IFERROR(INDEX('nav master'!$C:$C, MATCH(B7994, 'nav master'!$B:$B, 0)), "")</f>
        <v>ULIF03901/09/10BalancedFd101</v>
      </c>
      <c r="E7994" s="8" t="s">
        <v>490</v>
      </c>
      <c r="F7994" s="8" t="s">
        <v>3599</v>
      </c>
    </row>
    <row r="7995" spans="1:6" ht="60" x14ac:dyDescent="0.25">
      <c r="A7995" s="8" t="s">
        <v>125</v>
      </c>
      <c r="B7995" s="8" t="s">
        <v>132</v>
      </c>
      <c r="C7995" s="8" t="str">
        <f>IFERROR(_xlfn.XLOOKUP(TRIM(B7995),Lookup!$B$2:$B$1000,Lookup!$C$2:$C$1000),"")</f>
        <v>Hybrid</v>
      </c>
      <c r="D7995" s="8" t="str">
        <f>IFERROR(INDEX('nav master'!$C:$C, MATCH(B7995, 'nav master'!$B:$B, 0)), "")</f>
        <v>ULIF03901/09/10BalancedFd101</v>
      </c>
      <c r="E7995" s="8" t="s">
        <v>492</v>
      </c>
      <c r="F7995" s="8" t="s">
        <v>3600</v>
      </c>
    </row>
    <row r="7996" spans="1:6" ht="60" x14ac:dyDescent="0.25">
      <c r="A7996" s="8" t="s">
        <v>125</v>
      </c>
      <c r="B7996" s="8" t="s">
        <v>132</v>
      </c>
      <c r="C7996" s="8" t="str">
        <f>IFERROR(_xlfn.XLOOKUP(TRIM(B7996),Lookup!$B$2:$B$1000,Lookup!$C$2:$C$1000),"")</f>
        <v>Hybrid</v>
      </c>
      <c r="D7996" s="8" t="str">
        <f>IFERROR(INDEX('nav master'!$C:$C, MATCH(B7996, 'nav master'!$B:$B, 0)), "")</f>
        <v>ULIF03901/09/10BalancedFd101</v>
      </c>
      <c r="E7996" s="8" t="s">
        <v>494</v>
      </c>
      <c r="F7996" s="8" t="s">
        <v>3601</v>
      </c>
    </row>
    <row r="7997" spans="1:6" ht="60" x14ac:dyDescent="0.25">
      <c r="A7997" s="8" t="s">
        <v>125</v>
      </c>
      <c r="B7997" s="8" t="s">
        <v>132</v>
      </c>
      <c r="C7997" s="8" t="str">
        <f>IFERROR(_xlfn.XLOOKUP(TRIM(B7997),Lookup!$B$2:$B$1000,Lookup!$C$2:$C$1000),"")</f>
        <v>Hybrid</v>
      </c>
      <c r="D7997" s="8" t="str">
        <f>IFERROR(INDEX('nav master'!$C:$C, MATCH(B7997, 'nav master'!$B:$B, 0)), "")</f>
        <v>ULIF03901/09/10BalancedFd101</v>
      </c>
      <c r="E7997" s="8" t="s">
        <v>496</v>
      </c>
      <c r="F7997" s="8" t="s">
        <v>3602</v>
      </c>
    </row>
    <row r="7998" spans="1:6" ht="60" x14ac:dyDescent="0.25">
      <c r="A7998" s="8" t="s">
        <v>125</v>
      </c>
      <c r="B7998" s="8" t="s">
        <v>132</v>
      </c>
      <c r="C7998" s="8" t="str">
        <f>IFERROR(_xlfn.XLOOKUP(TRIM(B7998),Lookup!$B$2:$B$1000,Lookup!$C$2:$C$1000),"")</f>
        <v>Hybrid</v>
      </c>
      <c r="D7998" s="8" t="str">
        <f>IFERROR(INDEX('nav master'!$C:$C, MATCH(B7998, 'nav master'!$B:$B, 0)), "")</f>
        <v>ULIF03901/09/10BalancedFd101</v>
      </c>
      <c r="E7998" s="8" t="s">
        <v>498</v>
      </c>
      <c r="F7998" s="8" t="s">
        <v>3603</v>
      </c>
    </row>
    <row r="7999" spans="1:6" ht="60" x14ac:dyDescent="0.25">
      <c r="A7999" s="8" t="s">
        <v>125</v>
      </c>
      <c r="B7999" s="8" t="s">
        <v>132</v>
      </c>
      <c r="C7999" s="8" t="str">
        <f>IFERROR(_xlfn.XLOOKUP(TRIM(B7999),Lookup!$B$2:$B$1000,Lookup!$C$2:$C$1000),"")</f>
        <v>Hybrid</v>
      </c>
      <c r="D7999" s="8" t="str">
        <f>IFERROR(INDEX('nav master'!$C:$C, MATCH(B7999, 'nav master'!$B:$B, 0)), "")</f>
        <v>ULIF03901/09/10BalancedFd101</v>
      </c>
      <c r="E7999" s="8" t="s">
        <v>500</v>
      </c>
      <c r="F7999" s="8" t="s">
        <v>3604</v>
      </c>
    </row>
    <row r="8000" spans="1:6" ht="60" x14ac:dyDescent="0.25">
      <c r="A8000" s="8" t="s">
        <v>125</v>
      </c>
      <c r="B8000" s="8" t="s">
        <v>132</v>
      </c>
      <c r="C8000" s="8" t="str">
        <f>IFERROR(_xlfn.XLOOKUP(TRIM(B8000),Lookup!$B$2:$B$1000,Lookup!$C$2:$C$1000),"")</f>
        <v>Hybrid</v>
      </c>
      <c r="D8000" s="8" t="str">
        <f>IFERROR(INDEX('nav master'!$C:$C, MATCH(B8000, 'nav master'!$B:$B, 0)), "")</f>
        <v>ULIF03901/09/10BalancedFd101</v>
      </c>
      <c r="E8000" s="8" t="s">
        <v>502</v>
      </c>
      <c r="F8000" s="8" t="s">
        <v>3605</v>
      </c>
    </row>
    <row r="8001" spans="1:6" ht="60" x14ac:dyDescent="0.25">
      <c r="A8001" s="8" t="s">
        <v>125</v>
      </c>
      <c r="B8001" s="8" t="s">
        <v>132</v>
      </c>
      <c r="C8001" s="8" t="str">
        <f>IFERROR(_xlfn.XLOOKUP(TRIM(B8001),Lookup!$B$2:$B$1000,Lookup!$C$2:$C$1000),"")</f>
        <v>Hybrid</v>
      </c>
      <c r="D8001" s="8" t="str">
        <f>IFERROR(INDEX('nav master'!$C:$C, MATCH(B8001, 'nav master'!$B:$B, 0)), "")</f>
        <v>ULIF03901/09/10BalancedFd101</v>
      </c>
      <c r="E8001" s="8" t="s">
        <v>504</v>
      </c>
      <c r="F8001" s="8" t="s">
        <v>3606</v>
      </c>
    </row>
    <row r="8002" spans="1:6" ht="60" x14ac:dyDescent="0.25">
      <c r="A8002" s="8" t="s">
        <v>125</v>
      </c>
      <c r="B8002" s="8" t="s">
        <v>132</v>
      </c>
      <c r="C8002" s="8" t="str">
        <f>IFERROR(_xlfn.XLOOKUP(TRIM(B8002),Lookup!$B$2:$B$1000,Lookup!$C$2:$C$1000),"")</f>
        <v>Hybrid</v>
      </c>
      <c r="D8002" s="8" t="str">
        <f>IFERROR(INDEX('nav master'!$C:$C, MATCH(B8002, 'nav master'!$B:$B, 0)), "")</f>
        <v>ULIF03901/09/10BalancedFd101</v>
      </c>
      <c r="E8002" s="8" t="s">
        <v>506</v>
      </c>
      <c r="F8002" s="8" t="s">
        <v>3607</v>
      </c>
    </row>
    <row r="8003" spans="1:6" ht="60" x14ac:dyDescent="0.25">
      <c r="A8003" s="8" t="s">
        <v>125</v>
      </c>
      <c r="B8003" s="8" t="s">
        <v>132</v>
      </c>
      <c r="C8003" s="8" t="str">
        <f>IFERROR(_xlfn.XLOOKUP(TRIM(B8003),Lookup!$B$2:$B$1000,Lookup!$C$2:$C$1000),"")</f>
        <v>Hybrid</v>
      </c>
      <c r="D8003" s="8" t="str">
        <f>IFERROR(INDEX('nav master'!$C:$C, MATCH(B8003, 'nav master'!$B:$B, 0)), "")</f>
        <v>ULIF03901/09/10BalancedFd101</v>
      </c>
      <c r="E8003" s="8" t="s">
        <v>508</v>
      </c>
      <c r="F8003" s="8" t="s">
        <v>3608</v>
      </c>
    </row>
    <row r="8004" spans="1:6" ht="60" x14ac:dyDescent="0.25">
      <c r="A8004" s="8" t="s">
        <v>125</v>
      </c>
      <c r="B8004" s="8" t="s">
        <v>132</v>
      </c>
      <c r="C8004" s="8" t="str">
        <f>IFERROR(_xlfn.XLOOKUP(TRIM(B8004),Lookup!$B$2:$B$1000,Lookup!$C$2:$C$1000),"")</f>
        <v>Hybrid</v>
      </c>
      <c r="D8004" s="8" t="str">
        <f>IFERROR(INDEX('nav master'!$C:$C, MATCH(B8004, 'nav master'!$B:$B, 0)), "")</f>
        <v>ULIF03901/09/10BalancedFd101</v>
      </c>
      <c r="E8004" s="8" t="s">
        <v>510</v>
      </c>
      <c r="F8004" s="8" t="s">
        <v>3609</v>
      </c>
    </row>
    <row r="8005" spans="1:6" ht="60" x14ac:dyDescent="0.25">
      <c r="A8005" s="8" t="s">
        <v>125</v>
      </c>
      <c r="B8005" s="8" t="s">
        <v>132</v>
      </c>
      <c r="C8005" s="8" t="str">
        <f>IFERROR(_xlfn.XLOOKUP(TRIM(B8005),Lookup!$B$2:$B$1000,Lookup!$C$2:$C$1000),"")</f>
        <v>Hybrid</v>
      </c>
      <c r="D8005" s="8" t="str">
        <f>IFERROR(INDEX('nav master'!$C:$C, MATCH(B8005, 'nav master'!$B:$B, 0)), "")</f>
        <v>ULIF03901/09/10BalancedFd101</v>
      </c>
      <c r="E8005" s="8" t="s">
        <v>512</v>
      </c>
      <c r="F8005" s="8" t="s">
        <v>3610</v>
      </c>
    </row>
    <row r="8006" spans="1:6" ht="60" x14ac:dyDescent="0.25">
      <c r="A8006" s="8" t="s">
        <v>125</v>
      </c>
      <c r="B8006" s="8" t="s">
        <v>132</v>
      </c>
      <c r="C8006" s="8" t="str">
        <f>IFERROR(_xlfn.XLOOKUP(TRIM(B8006),Lookup!$B$2:$B$1000,Lookup!$C$2:$C$1000),"")</f>
        <v>Hybrid</v>
      </c>
      <c r="D8006" s="8" t="str">
        <f>IFERROR(INDEX('nav master'!$C:$C, MATCH(B8006, 'nav master'!$B:$B, 0)), "")</f>
        <v>ULIF03901/09/10BalancedFd101</v>
      </c>
      <c r="E8006" s="8" t="s">
        <v>514</v>
      </c>
      <c r="F8006" s="8" t="s">
        <v>3611</v>
      </c>
    </row>
    <row r="8007" spans="1:6" ht="60" x14ac:dyDescent="0.25">
      <c r="A8007" s="8" t="s">
        <v>125</v>
      </c>
      <c r="B8007" s="8" t="s">
        <v>132</v>
      </c>
      <c r="C8007" s="8" t="str">
        <f>IFERROR(_xlfn.XLOOKUP(TRIM(B8007),Lookup!$B$2:$B$1000,Lookup!$C$2:$C$1000),"")</f>
        <v>Hybrid</v>
      </c>
      <c r="D8007" s="8" t="str">
        <f>IFERROR(INDEX('nav master'!$C:$C, MATCH(B8007, 'nav master'!$B:$B, 0)), "")</f>
        <v>ULIF03901/09/10BalancedFd101</v>
      </c>
      <c r="E8007" s="8" t="s">
        <v>516</v>
      </c>
      <c r="F8007" s="8" t="s">
        <v>3612</v>
      </c>
    </row>
    <row r="8008" spans="1:6" ht="60" x14ac:dyDescent="0.25">
      <c r="A8008" s="8" t="s">
        <v>125</v>
      </c>
      <c r="B8008" s="8" t="s">
        <v>132</v>
      </c>
      <c r="C8008" s="8" t="str">
        <f>IFERROR(_xlfn.XLOOKUP(TRIM(B8008),Lookup!$B$2:$B$1000,Lookup!$C$2:$C$1000),"")</f>
        <v>Hybrid</v>
      </c>
      <c r="D8008" s="8" t="str">
        <f>IFERROR(INDEX('nav master'!$C:$C, MATCH(B8008, 'nav master'!$B:$B, 0)), "")</f>
        <v>ULIF03901/09/10BalancedFd101</v>
      </c>
      <c r="E8008" s="8" t="s">
        <v>518</v>
      </c>
      <c r="F8008" s="8" t="s">
        <v>3613</v>
      </c>
    </row>
    <row r="8009" spans="1:6" ht="60" x14ac:dyDescent="0.25">
      <c r="A8009" s="8" t="s">
        <v>125</v>
      </c>
      <c r="B8009" s="8" t="s">
        <v>132</v>
      </c>
      <c r="C8009" s="8" t="str">
        <f>IFERROR(_xlfn.XLOOKUP(TRIM(B8009),Lookup!$B$2:$B$1000,Lookup!$C$2:$C$1000),"")</f>
        <v>Hybrid</v>
      </c>
      <c r="D8009" s="8" t="str">
        <f>IFERROR(INDEX('nav master'!$C:$C, MATCH(B8009, 'nav master'!$B:$B, 0)), "")</f>
        <v>ULIF03901/09/10BalancedFd101</v>
      </c>
      <c r="E8009" s="8" t="s">
        <v>520</v>
      </c>
      <c r="F8009" s="8" t="s">
        <v>3614</v>
      </c>
    </row>
    <row r="8010" spans="1:6" ht="60" x14ac:dyDescent="0.25">
      <c r="A8010" s="8" t="s">
        <v>125</v>
      </c>
      <c r="B8010" s="8" t="s">
        <v>132</v>
      </c>
      <c r="C8010" s="8" t="str">
        <f>IFERROR(_xlfn.XLOOKUP(TRIM(B8010),Lookup!$B$2:$B$1000,Lookup!$C$2:$C$1000),"")</f>
        <v>Hybrid</v>
      </c>
      <c r="D8010" s="8" t="str">
        <f>IFERROR(INDEX('nav master'!$C:$C, MATCH(B8010, 'nav master'!$B:$B, 0)), "")</f>
        <v>ULIF03901/09/10BalancedFd101</v>
      </c>
      <c r="E8010" s="8" t="s">
        <v>522</v>
      </c>
      <c r="F8010" s="8" t="s">
        <v>3615</v>
      </c>
    </row>
    <row r="8011" spans="1:6" ht="60" x14ac:dyDescent="0.25">
      <c r="A8011" s="8" t="s">
        <v>125</v>
      </c>
      <c r="B8011" s="8" t="s">
        <v>132</v>
      </c>
      <c r="C8011" s="8" t="str">
        <f>IFERROR(_xlfn.XLOOKUP(TRIM(B8011),Lookup!$B$2:$B$1000,Lookup!$C$2:$C$1000),"")</f>
        <v>Hybrid</v>
      </c>
      <c r="D8011" s="8" t="str">
        <f>IFERROR(INDEX('nav master'!$C:$C, MATCH(B8011, 'nav master'!$B:$B, 0)), "")</f>
        <v>ULIF03901/09/10BalancedFd101</v>
      </c>
      <c r="E8011" s="8" t="s">
        <v>524</v>
      </c>
      <c r="F8011" s="8" t="s">
        <v>3616</v>
      </c>
    </row>
    <row r="8012" spans="1:6" ht="60" x14ac:dyDescent="0.25">
      <c r="A8012" s="8" t="s">
        <v>125</v>
      </c>
      <c r="B8012" s="8" t="s">
        <v>132</v>
      </c>
      <c r="C8012" s="8" t="str">
        <f>IFERROR(_xlfn.XLOOKUP(TRIM(B8012),Lookup!$B$2:$B$1000,Lookup!$C$2:$C$1000),"")</f>
        <v>Hybrid</v>
      </c>
      <c r="D8012" s="8" t="str">
        <f>IFERROR(INDEX('nav master'!$C:$C, MATCH(B8012, 'nav master'!$B:$B, 0)), "")</f>
        <v>ULIF03901/09/10BalancedFd101</v>
      </c>
      <c r="E8012" s="8" t="s">
        <v>526</v>
      </c>
      <c r="F8012" s="8" t="s">
        <v>3617</v>
      </c>
    </row>
    <row r="8013" spans="1:6" ht="60" x14ac:dyDescent="0.25">
      <c r="A8013" s="8" t="s">
        <v>125</v>
      </c>
      <c r="B8013" s="8" t="s">
        <v>132</v>
      </c>
      <c r="C8013" s="8" t="str">
        <f>IFERROR(_xlfn.XLOOKUP(TRIM(B8013),Lookup!$B$2:$B$1000,Lookup!$C$2:$C$1000),"")</f>
        <v>Hybrid</v>
      </c>
      <c r="D8013" s="8" t="str">
        <f>IFERROR(INDEX('nav master'!$C:$C, MATCH(B8013, 'nav master'!$B:$B, 0)), "")</f>
        <v>ULIF03901/09/10BalancedFd101</v>
      </c>
      <c r="E8013" s="8" t="s">
        <v>528</v>
      </c>
      <c r="F8013" s="8" t="s">
        <v>3618</v>
      </c>
    </row>
    <row r="8014" spans="1:6" ht="60" x14ac:dyDescent="0.25">
      <c r="A8014" s="8" t="s">
        <v>125</v>
      </c>
      <c r="B8014" s="8" t="s">
        <v>132</v>
      </c>
      <c r="C8014" s="8" t="str">
        <f>IFERROR(_xlfn.XLOOKUP(TRIM(B8014),Lookup!$B$2:$B$1000,Lookup!$C$2:$C$1000),"")</f>
        <v>Hybrid</v>
      </c>
      <c r="D8014" s="8" t="str">
        <f>IFERROR(INDEX('nav master'!$C:$C, MATCH(B8014, 'nav master'!$B:$B, 0)), "")</f>
        <v>ULIF03901/09/10BalancedFd101</v>
      </c>
      <c r="E8014" s="8" t="s">
        <v>530</v>
      </c>
      <c r="F8014" s="8" t="s">
        <v>3619</v>
      </c>
    </row>
    <row r="8015" spans="1:6" ht="60" x14ac:dyDescent="0.25">
      <c r="A8015" s="8" t="s">
        <v>125</v>
      </c>
      <c r="B8015" s="8" t="s">
        <v>132</v>
      </c>
      <c r="C8015" s="8" t="str">
        <f>IFERROR(_xlfn.XLOOKUP(TRIM(B8015),Lookup!$B$2:$B$1000,Lookup!$C$2:$C$1000),"")</f>
        <v>Hybrid</v>
      </c>
      <c r="D8015" s="8" t="str">
        <f>IFERROR(INDEX('nav master'!$C:$C, MATCH(B8015, 'nav master'!$B:$B, 0)), "")</f>
        <v>ULIF03901/09/10BalancedFd101</v>
      </c>
      <c r="E8015" s="8" t="s">
        <v>532</v>
      </c>
      <c r="F8015" s="8" t="s">
        <v>3620</v>
      </c>
    </row>
    <row r="8016" spans="1:6" ht="60" x14ac:dyDescent="0.25">
      <c r="A8016" s="8" t="s">
        <v>125</v>
      </c>
      <c r="B8016" s="8" t="s">
        <v>132</v>
      </c>
      <c r="C8016" s="8" t="str">
        <f>IFERROR(_xlfn.XLOOKUP(TRIM(B8016),Lookup!$B$2:$B$1000,Lookup!$C$2:$C$1000),"")</f>
        <v>Hybrid</v>
      </c>
      <c r="D8016" s="8" t="str">
        <f>IFERROR(INDEX('nav master'!$C:$C, MATCH(B8016, 'nav master'!$B:$B, 0)), "")</f>
        <v>ULIF03901/09/10BalancedFd101</v>
      </c>
      <c r="E8016" s="8" t="s">
        <v>534</v>
      </c>
      <c r="F8016" s="8" t="s">
        <v>3621</v>
      </c>
    </row>
    <row r="8017" spans="1:6" ht="60" x14ac:dyDescent="0.25">
      <c r="A8017" s="8" t="s">
        <v>125</v>
      </c>
      <c r="B8017" s="8" t="s">
        <v>132</v>
      </c>
      <c r="C8017" s="8" t="str">
        <f>IFERROR(_xlfn.XLOOKUP(TRIM(B8017),Lookup!$B$2:$B$1000,Lookup!$C$2:$C$1000),"")</f>
        <v>Hybrid</v>
      </c>
      <c r="D8017" s="8" t="str">
        <f>IFERROR(INDEX('nav master'!$C:$C, MATCH(B8017, 'nav master'!$B:$B, 0)), "")</f>
        <v>ULIF03901/09/10BalancedFd101</v>
      </c>
      <c r="E8017" s="8" t="s">
        <v>536</v>
      </c>
      <c r="F8017" s="8" t="s">
        <v>3622</v>
      </c>
    </row>
    <row r="8018" spans="1:6" ht="60" x14ac:dyDescent="0.25">
      <c r="A8018" s="8" t="s">
        <v>125</v>
      </c>
      <c r="B8018" s="8" t="s">
        <v>132</v>
      </c>
      <c r="C8018" s="8" t="str">
        <f>IFERROR(_xlfn.XLOOKUP(TRIM(B8018),Lookup!$B$2:$B$1000,Lookup!$C$2:$C$1000),"")</f>
        <v>Hybrid</v>
      </c>
      <c r="D8018" s="8" t="str">
        <f>IFERROR(INDEX('nav master'!$C:$C, MATCH(B8018, 'nav master'!$B:$B, 0)), "")</f>
        <v>ULIF03901/09/10BalancedFd101</v>
      </c>
      <c r="E8018" s="8" t="s">
        <v>538</v>
      </c>
      <c r="F8018" s="8" t="s">
        <v>3623</v>
      </c>
    </row>
    <row r="8019" spans="1:6" ht="60" x14ac:dyDescent="0.25">
      <c r="A8019" s="8" t="s">
        <v>125</v>
      </c>
      <c r="B8019" s="8" t="s">
        <v>132</v>
      </c>
      <c r="C8019" s="8" t="str">
        <f>IFERROR(_xlfn.XLOOKUP(TRIM(B8019),Lookup!$B$2:$B$1000,Lookup!$C$2:$C$1000),"")</f>
        <v>Hybrid</v>
      </c>
      <c r="D8019" s="8" t="str">
        <f>IFERROR(INDEX('nav master'!$C:$C, MATCH(B8019, 'nav master'!$B:$B, 0)), "")</f>
        <v>ULIF03901/09/10BalancedFd101</v>
      </c>
      <c r="E8019" s="8" t="s">
        <v>540</v>
      </c>
      <c r="F8019" s="8" t="s">
        <v>3624</v>
      </c>
    </row>
    <row r="8020" spans="1:6" ht="60" x14ac:dyDescent="0.25">
      <c r="A8020" s="8" t="s">
        <v>125</v>
      </c>
      <c r="B8020" s="8" t="s">
        <v>132</v>
      </c>
      <c r="C8020" s="8" t="str">
        <f>IFERROR(_xlfn.XLOOKUP(TRIM(B8020),Lookup!$B$2:$B$1000,Lookup!$C$2:$C$1000),"")</f>
        <v>Hybrid</v>
      </c>
      <c r="D8020" s="8" t="str">
        <f>IFERROR(INDEX('nav master'!$C:$C, MATCH(B8020, 'nav master'!$B:$B, 0)), "")</f>
        <v>ULIF03901/09/10BalancedFd101</v>
      </c>
      <c r="E8020" s="8" t="s">
        <v>542</v>
      </c>
      <c r="F8020" s="8" t="s">
        <v>3625</v>
      </c>
    </row>
    <row r="8021" spans="1:6" ht="60" x14ac:dyDescent="0.25">
      <c r="A8021" s="8" t="s">
        <v>125</v>
      </c>
      <c r="B8021" s="8" t="s">
        <v>132</v>
      </c>
      <c r="C8021" s="8" t="str">
        <f>IFERROR(_xlfn.XLOOKUP(TRIM(B8021),Lookup!$B$2:$B$1000,Lookup!$C$2:$C$1000),"")</f>
        <v>Hybrid</v>
      </c>
      <c r="D8021" s="8" t="str">
        <f>IFERROR(INDEX('nav master'!$C:$C, MATCH(B8021, 'nav master'!$B:$B, 0)), "")</f>
        <v>ULIF03901/09/10BalancedFd101</v>
      </c>
      <c r="E8021" s="8" t="s">
        <v>544</v>
      </c>
      <c r="F8021" s="8" t="s">
        <v>3626</v>
      </c>
    </row>
    <row r="8022" spans="1:6" ht="60" x14ac:dyDescent="0.25">
      <c r="A8022" s="8" t="s">
        <v>125</v>
      </c>
      <c r="B8022" s="8" t="s">
        <v>132</v>
      </c>
      <c r="C8022" s="8" t="str">
        <f>IFERROR(_xlfn.XLOOKUP(TRIM(B8022),Lookup!$B$2:$B$1000,Lookup!$C$2:$C$1000),"")</f>
        <v>Hybrid</v>
      </c>
      <c r="D8022" s="8" t="str">
        <f>IFERROR(INDEX('nav master'!$C:$C, MATCH(B8022, 'nav master'!$B:$B, 0)), "")</f>
        <v>ULIF03901/09/10BalancedFd101</v>
      </c>
      <c r="E8022" s="8" t="s">
        <v>546</v>
      </c>
      <c r="F8022" s="8" t="s">
        <v>3627</v>
      </c>
    </row>
    <row r="8023" spans="1:6" ht="60" x14ac:dyDescent="0.25">
      <c r="A8023" s="8" t="s">
        <v>125</v>
      </c>
      <c r="B8023" s="8" t="s">
        <v>132</v>
      </c>
      <c r="C8023" s="8" t="str">
        <f>IFERROR(_xlfn.XLOOKUP(TRIM(B8023),Lookup!$B$2:$B$1000,Lookup!$C$2:$C$1000),"")</f>
        <v>Hybrid</v>
      </c>
      <c r="D8023" s="8" t="str">
        <f>IFERROR(INDEX('nav master'!$C:$C, MATCH(B8023, 'nav master'!$B:$B, 0)), "")</f>
        <v>ULIF03901/09/10BalancedFd101</v>
      </c>
      <c r="E8023" s="8" t="s">
        <v>548</v>
      </c>
      <c r="F8023" s="8" t="s">
        <v>3628</v>
      </c>
    </row>
    <row r="8024" spans="1:6" ht="60" x14ac:dyDescent="0.25">
      <c r="A8024" s="8" t="s">
        <v>125</v>
      </c>
      <c r="B8024" s="8" t="s">
        <v>132</v>
      </c>
      <c r="C8024" s="8" t="str">
        <f>IFERROR(_xlfn.XLOOKUP(TRIM(B8024),Lookup!$B$2:$B$1000,Lookup!$C$2:$C$1000),"")</f>
        <v>Hybrid</v>
      </c>
      <c r="D8024" s="8" t="str">
        <f>IFERROR(INDEX('nav master'!$C:$C, MATCH(B8024, 'nav master'!$B:$B, 0)), "")</f>
        <v>ULIF03901/09/10BalancedFd101</v>
      </c>
      <c r="E8024" s="8" t="s">
        <v>550</v>
      </c>
      <c r="F8024" s="8" t="s">
        <v>3629</v>
      </c>
    </row>
    <row r="8025" spans="1:6" ht="60" x14ac:dyDescent="0.25">
      <c r="A8025" s="8" t="s">
        <v>125</v>
      </c>
      <c r="B8025" s="8" t="s">
        <v>132</v>
      </c>
      <c r="C8025" s="8" t="str">
        <f>IFERROR(_xlfn.XLOOKUP(TRIM(B8025),Lookup!$B$2:$B$1000,Lookup!$C$2:$C$1000),"")</f>
        <v>Hybrid</v>
      </c>
      <c r="D8025" s="8" t="str">
        <f>IFERROR(INDEX('nav master'!$C:$C, MATCH(B8025, 'nav master'!$B:$B, 0)), "")</f>
        <v>ULIF03901/09/10BalancedFd101</v>
      </c>
      <c r="E8025" s="8" t="s">
        <v>552</v>
      </c>
      <c r="F8025" s="8" t="s">
        <v>3630</v>
      </c>
    </row>
    <row r="8026" spans="1:6" ht="60" x14ac:dyDescent="0.25">
      <c r="A8026" s="8" t="s">
        <v>125</v>
      </c>
      <c r="B8026" s="8" t="s">
        <v>132</v>
      </c>
      <c r="C8026" s="8" t="str">
        <f>IFERROR(_xlfn.XLOOKUP(TRIM(B8026),Lookup!$B$2:$B$1000,Lookup!$C$2:$C$1000),"")</f>
        <v>Hybrid</v>
      </c>
      <c r="D8026" s="8" t="str">
        <f>IFERROR(INDEX('nav master'!$C:$C, MATCH(B8026, 'nav master'!$B:$B, 0)), "")</f>
        <v>ULIF03901/09/10BalancedFd101</v>
      </c>
      <c r="E8026" s="8" t="s">
        <v>554</v>
      </c>
      <c r="F8026" s="8" t="s">
        <v>3631</v>
      </c>
    </row>
    <row r="8027" spans="1:6" ht="60" x14ac:dyDescent="0.25">
      <c r="A8027" s="8" t="s">
        <v>125</v>
      </c>
      <c r="B8027" s="8" t="s">
        <v>132</v>
      </c>
      <c r="C8027" s="8" t="str">
        <f>IFERROR(_xlfn.XLOOKUP(TRIM(B8027),Lookup!$B$2:$B$1000,Lookup!$C$2:$C$1000),"")</f>
        <v>Hybrid</v>
      </c>
      <c r="D8027" s="8" t="str">
        <f>IFERROR(INDEX('nav master'!$C:$C, MATCH(B8027, 'nav master'!$B:$B, 0)), "")</f>
        <v>ULIF03901/09/10BalancedFd101</v>
      </c>
      <c r="E8027" s="8" t="s">
        <v>556</v>
      </c>
      <c r="F8027" s="8" t="s">
        <v>3632</v>
      </c>
    </row>
    <row r="8028" spans="1:6" ht="60" x14ac:dyDescent="0.25">
      <c r="A8028" s="8" t="s">
        <v>125</v>
      </c>
      <c r="B8028" s="8" t="s">
        <v>132</v>
      </c>
      <c r="C8028" s="8" t="str">
        <f>IFERROR(_xlfn.XLOOKUP(TRIM(B8028),Lookup!$B$2:$B$1000,Lookup!$C$2:$C$1000),"")</f>
        <v>Hybrid</v>
      </c>
      <c r="D8028" s="8" t="str">
        <f>IFERROR(INDEX('nav master'!$C:$C, MATCH(B8028, 'nav master'!$B:$B, 0)), "")</f>
        <v>ULIF03901/09/10BalancedFd101</v>
      </c>
      <c r="E8028" s="8" t="s">
        <v>558</v>
      </c>
      <c r="F8028" s="8" t="s">
        <v>3633</v>
      </c>
    </row>
    <row r="8029" spans="1:6" ht="60" x14ac:dyDescent="0.25">
      <c r="A8029" s="8" t="s">
        <v>125</v>
      </c>
      <c r="B8029" s="8" t="s">
        <v>132</v>
      </c>
      <c r="C8029" s="8" t="str">
        <f>IFERROR(_xlfn.XLOOKUP(TRIM(B8029),Lookup!$B$2:$B$1000,Lookup!$C$2:$C$1000),"")</f>
        <v>Hybrid</v>
      </c>
      <c r="D8029" s="8" t="str">
        <f>IFERROR(INDEX('nav master'!$C:$C, MATCH(B8029, 'nav master'!$B:$B, 0)), "")</f>
        <v>ULIF03901/09/10BalancedFd101</v>
      </c>
      <c r="E8029" s="8" t="s">
        <v>560</v>
      </c>
      <c r="F8029" s="8" t="s">
        <v>3634</v>
      </c>
    </row>
    <row r="8030" spans="1:6" ht="60" x14ac:dyDescent="0.25">
      <c r="A8030" s="8" t="s">
        <v>125</v>
      </c>
      <c r="B8030" s="8" t="s">
        <v>132</v>
      </c>
      <c r="C8030" s="8" t="str">
        <f>IFERROR(_xlfn.XLOOKUP(TRIM(B8030),Lookup!$B$2:$B$1000,Lookup!$C$2:$C$1000),"")</f>
        <v>Hybrid</v>
      </c>
      <c r="D8030" s="8" t="str">
        <f>IFERROR(INDEX('nav master'!$C:$C, MATCH(B8030, 'nav master'!$B:$B, 0)), "")</f>
        <v>ULIF03901/09/10BalancedFd101</v>
      </c>
      <c r="E8030" s="8" t="s">
        <v>562</v>
      </c>
      <c r="F8030" s="8" t="s">
        <v>3635</v>
      </c>
    </row>
    <row r="8031" spans="1:6" ht="60" x14ac:dyDescent="0.25">
      <c r="A8031" s="8" t="s">
        <v>125</v>
      </c>
      <c r="B8031" s="8" t="s">
        <v>132</v>
      </c>
      <c r="C8031" s="8" t="str">
        <f>IFERROR(_xlfn.XLOOKUP(TRIM(B8031),Lookup!$B$2:$B$1000,Lookup!$C$2:$C$1000),"")</f>
        <v>Hybrid</v>
      </c>
      <c r="D8031" s="8" t="str">
        <f>IFERROR(INDEX('nav master'!$C:$C, MATCH(B8031, 'nav master'!$B:$B, 0)), "")</f>
        <v>ULIF03901/09/10BalancedFd101</v>
      </c>
      <c r="E8031" s="8" t="s">
        <v>564</v>
      </c>
      <c r="F8031" s="8" t="s">
        <v>3636</v>
      </c>
    </row>
    <row r="8032" spans="1:6" ht="60" x14ac:dyDescent="0.25">
      <c r="A8032" s="8" t="s">
        <v>125</v>
      </c>
      <c r="B8032" s="8" t="s">
        <v>132</v>
      </c>
      <c r="C8032" s="8" t="str">
        <f>IFERROR(_xlfn.XLOOKUP(TRIM(B8032),Lookup!$B$2:$B$1000,Lookup!$C$2:$C$1000),"")</f>
        <v>Hybrid</v>
      </c>
      <c r="D8032" s="8" t="str">
        <f>IFERROR(INDEX('nav master'!$C:$C, MATCH(B8032, 'nav master'!$B:$B, 0)), "")</f>
        <v>ULIF03901/09/10BalancedFd101</v>
      </c>
      <c r="E8032" s="8" t="s">
        <v>566</v>
      </c>
      <c r="F8032" s="8" t="s">
        <v>3637</v>
      </c>
    </row>
    <row r="8033" spans="1:6" ht="60" x14ac:dyDescent="0.25">
      <c r="A8033" s="8" t="s">
        <v>125</v>
      </c>
      <c r="B8033" s="8" t="s">
        <v>132</v>
      </c>
      <c r="C8033" s="8" t="str">
        <f>IFERROR(_xlfn.XLOOKUP(TRIM(B8033),Lookup!$B$2:$B$1000,Lookup!$C$2:$C$1000),"")</f>
        <v>Hybrid</v>
      </c>
      <c r="D8033" s="8" t="str">
        <f>IFERROR(INDEX('nav master'!$C:$C, MATCH(B8033, 'nav master'!$B:$B, 0)), "")</f>
        <v>ULIF03901/09/10BalancedFd101</v>
      </c>
      <c r="E8033" s="8" t="s">
        <v>568</v>
      </c>
      <c r="F8033" s="8" t="s">
        <v>3638</v>
      </c>
    </row>
    <row r="8034" spans="1:6" ht="60" x14ac:dyDescent="0.25">
      <c r="A8034" s="8" t="s">
        <v>125</v>
      </c>
      <c r="B8034" s="8" t="s">
        <v>132</v>
      </c>
      <c r="C8034" s="8" t="str">
        <f>IFERROR(_xlfn.XLOOKUP(TRIM(B8034),Lookup!$B$2:$B$1000,Lookup!$C$2:$C$1000),"")</f>
        <v>Hybrid</v>
      </c>
      <c r="D8034" s="8" t="str">
        <f>IFERROR(INDEX('nav master'!$C:$C, MATCH(B8034, 'nav master'!$B:$B, 0)), "")</f>
        <v>ULIF03901/09/10BalancedFd101</v>
      </c>
      <c r="E8034" s="8" t="s">
        <v>570</v>
      </c>
      <c r="F8034" s="8" t="s">
        <v>3639</v>
      </c>
    </row>
    <row r="8035" spans="1:6" ht="60" x14ac:dyDescent="0.25">
      <c r="A8035" s="8" t="s">
        <v>125</v>
      </c>
      <c r="B8035" s="8" t="s">
        <v>132</v>
      </c>
      <c r="C8035" s="8" t="str">
        <f>IFERROR(_xlfn.XLOOKUP(TRIM(B8035),Lookup!$B$2:$B$1000,Lookup!$C$2:$C$1000),"")</f>
        <v>Hybrid</v>
      </c>
      <c r="D8035" s="8" t="str">
        <f>IFERROR(INDEX('nav master'!$C:$C, MATCH(B8035, 'nav master'!$B:$B, 0)), "")</f>
        <v>ULIF03901/09/10BalancedFd101</v>
      </c>
      <c r="E8035" s="8" t="s">
        <v>572</v>
      </c>
      <c r="F8035" s="8" t="s">
        <v>3640</v>
      </c>
    </row>
    <row r="8036" spans="1:6" ht="60" x14ac:dyDescent="0.25">
      <c r="A8036" s="8" t="s">
        <v>125</v>
      </c>
      <c r="B8036" s="8" t="s">
        <v>132</v>
      </c>
      <c r="C8036" s="8" t="str">
        <f>IFERROR(_xlfn.XLOOKUP(TRIM(B8036),Lookup!$B$2:$B$1000,Lookup!$C$2:$C$1000),"")</f>
        <v>Hybrid</v>
      </c>
      <c r="D8036" s="8" t="str">
        <f>IFERROR(INDEX('nav master'!$C:$C, MATCH(B8036, 'nav master'!$B:$B, 0)), "")</f>
        <v>ULIF03901/09/10BalancedFd101</v>
      </c>
      <c r="E8036" s="8" t="s">
        <v>574</v>
      </c>
      <c r="F8036" s="8" t="s">
        <v>3641</v>
      </c>
    </row>
    <row r="8037" spans="1:6" ht="60" x14ac:dyDescent="0.25">
      <c r="A8037" s="8" t="s">
        <v>125</v>
      </c>
      <c r="B8037" s="8" t="s">
        <v>132</v>
      </c>
      <c r="C8037" s="8" t="str">
        <f>IFERROR(_xlfn.XLOOKUP(TRIM(B8037),Lookup!$B$2:$B$1000,Lookup!$C$2:$C$1000),"")</f>
        <v>Hybrid</v>
      </c>
      <c r="D8037" s="8" t="str">
        <f>IFERROR(INDEX('nav master'!$C:$C, MATCH(B8037, 'nav master'!$B:$B, 0)), "")</f>
        <v>ULIF03901/09/10BalancedFd101</v>
      </c>
      <c r="E8037" s="8" t="s">
        <v>576</v>
      </c>
      <c r="F8037" s="8" t="s">
        <v>3642</v>
      </c>
    </row>
    <row r="8038" spans="1:6" ht="60" x14ac:dyDescent="0.25">
      <c r="A8038" s="8" t="s">
        <v>125</v>
      </c>
      <c r="B8038" s="8" t="s">
        <v>132</v>
      </c>
      <c r="C8038" s="8" t="str">
        <f>IFERROR(_xlfn.XLOOKUP(TRIM(B8038),Lookup!$B$2:$B$1000,Lookup!$C$2:$C$1000),"")</f>
        <v>Hybrid</v>
      </c>
      <c r="D8038" s="8" t="str">
        <f>IFERROR(INDEX('nav master'!$C:$C, MATCH(B8038, 'nav master'!$B:$B, 0)), "")</f>
        <v>ULIF03901/09/10BalancedFd101</v>
      </c>
      <c r="E8038" s="8" t="s">
        <v>578</v>
      </c>
      <c r="F8038" s="8" t="s">
        <v>3643</v>
      </c>
    </row>
    <row r="8039" spans="1:6" ht="60" x14ac:dyDescent="0.25">
      <c r="A8039" s="8" t="s">
        <v>125</v>
      </c>
      <c r="B8039" s="8" t="s">
        <v>132</v>
      </c>
      <c r="C8039" s="8" t="str">
        <f>IFERROR(_xlfn.XLOOKUP(TRIM(B8039),Lookup!$B$2:$B$1000,Lookup!$C$2:$C$1000),"")</f>
        <v>Hybrid</v>
      </c>
      <c r="D8039" s="8" t="str">
        <f>IFERROR(INDEX('nav master'!$C:$C, MATCH(B8039, 'nav master'!$B:$B, 0)), "")</f>
        <v>ULIF03901/09/10BalancedFd101</v>
      </c>
      <c r="E8039" s="8" t="s">
        <v>580</v>
      </c>
      <c r="F8039" s="8" t="s">
        <v>3644</v>
      </c>
    </row>
    <row r="8040" spans="1:6" ht="60" x14ac:dyDescent="0.25">
      <c r="A8040" s="8" t="s">
        <v>125</v>
      </c>
      <c r="B8040" s="8" t="s">
        <v>132</v>
      </c>
      <c r="C8040" s="8" t="str">
        <f>IFERROR(_xlfn.XLOOKUP(TRIM(B8040),Lookup!$B$2:$B$1000,Lookup!$C$2:$C$1000),"")</f>
        <v>Hybrid</v>
      </c>
      <c r="D8040" s="8" t="str">
        <f>IFERROR(INDEX('nav master'!$C:$C, MATCH(B8040, 'nav master'!$B:$B, 0)), "")</f>
        <v>ULIF03901/09/10BalancedFd101</v>
      </c>
      <c r="E8040" s="8" t="s">
        <v>582</v>
      </c>
      <c r="F8040" s="8" t="s">
        <v>3645</v>
      </c>
    </row>
    <row r="8041" spans="1:6" ht="60" x14ac:dyDescent="0.25">
      <c r="A8041" s="8" t="s">
        <v>125</v>
      </c>
      <c r="B8041" s="8" t="s">
        <v>132</v>
      </c>
      <c r="C8041" s="8" t="str">
        <f>IFERROR(_xlfn.XLOOKUP(TRIM(B8041),Lookup!$B$2:$B$1000,Lookup!$C$2:$C$1000),"")</f>
        <v>Hybrid</v>
      </c>
      <c r="D8041" s="8" t="str">
        <f>IFERROR(INDEX('nav master'!$C:$C, MATCH(B8041, 'nav master'!$B:$B, 0)), "")</f>
        <v>ULIF03901/09/10BalancedFd101</v>
      </c>
      <c r="E8041" s="8" t="s">
        <v>584</v>
      </c>
      <c r="F8041" s="8" t="s">
        <v>3646</v>
      </c>
    </row>
    <row r="8042" spans="1:6" ht="60" x14ac:dyDescent="0.25">
      <c r="A8042" s="8" t="s">
        <v>125</v>
      </c>
      <c r="B8042" s="8" t="s">
        <v>132</v>
      </c>
      <c r="C8042" s="8" t="str">
        <f>IFERROR(_xlfn.XLOOKUP(TRIM(B8042),Lookup!$B$2:$B$1000,Lookup!$C$2:$C$1000),"")</f>
        <v>Hybrid</v>
      </c>
      <c r="D8042" s="8" t="str">
        <f>IFERROR(INDEX('nav master'!$C:$C, MATCH(B8042, 'nav master'!$B:$B, 0)), "")</f>
        <v>ULIF03901/09/10BalancedFd101</v>
      </c>
      <c r="E8042" s="8" t="s">
        <v>586</v>
      </c>
      <c r="F8042" s="8" t="s">
        <v>3647</v>
      </c>
    </row>
    <row r="8043" spans="1:6" ht="60" x14ac:dyDescent="0.25">
      <c r="A8043" s="8" t="s">
        <v>125</v>
      </c>
      <c r="B8043" s="8" t="s">
        <v>132</v>
      </c>
      <c r="C8043" s="8" t="str">
        <f>IFERROR(_xlfn.XLOOKUP(TRIM(B8043),Lookup!$B$2:$B$1000,Lookup!$C$2:$C$1000),"")</f>
        <v>Hybrid</v>
      </c>
      <c r="D8043" s="8" t="str">
        <f>IFERROR(INDEX('nav master'!$C:$C, MATCH(B8043, 'nav master'!$B:$B, 0)), "")</f>
        <v>ULIF03901/09/10BalancedFd101</v>
      </c>
      <c r="E8043" s="8" t="s">
        <v>588</v>
      </c>
      <c r="F8043" s="8" t="s">
        <v>3648</v>
      </c>
    </row>
    <row r="8044" spans="1:6" ht="60" x14ac:dyDescent="0.25">
      <c r="A8044" s="8" t="s">
        <v>125</v>
      </c>
      <c r="B8044" s="8" t="s">
        <v>132</v>
      </c>
      <c r="C8044" s="8" t="str">
        <f>IFERROR(_xlfn.XLOOKUP(TRIM(B8044),Lookup!$B$2:$B$1000,Lookup!$C$2:$C$1000),"")</f>
        <v>Hybrid</v>
      </c>
      <c r="D8044" s="8" t="str">
        <f>IFERROR(INDEX('nav master'!$C:$C, MATCH(B8044, 'nav master'!$B:$B, 0)), "")</f>
        <v>ULIF03901/09/10BalancedFd101</v>
      </c>
      <c r="E8044" s="8" t="s">
        <v>590</v>
      </c>
      <c r="F8044" s="8" t="s">
        <v>3649</v>
      </c>
    </row>
    <row r="8045" spans="1:6" ht="60" x14ac:dyDescent="0.25">
      <c r="A8045" s="8" t="s">
        <v>125</v>
      </c>
      <c r="B8045" s="8" t="s">
        <v>132</v>
      </c>
      <c r="C8045" s="8" t="str">
        <f>IFERROR(_xlfn.XLOOKUP(TRIM(B8045),Lookup!$B$2:$B$1000,Lookup!$C$2:$C$1000),"")</f>
        <v>Hybrid</v>
      </c>
      <c r="D8045" s="8" t="str">
        <f>IFERROR(INDEX('nav master'!$C:$C, MATCH(B8045, 'nav master'!$B:$B, 0)), "")</f>
        <v>ULIF03901/09/10BalancedFd101</v>
      </c>
      <c r="E8045" s="8" t="s">
        <v>592</v>
      </c>
      <c r="F8045" s="8" t="s">
        <v>3650</v>
      </c>
    </row>
    <row r="8046" spans="1:6" ht="60" x14ac:dyDescent="0.25">
      <c r="A8046" s="8" t="s">
        <v>125</v>
      </c>
      <c r="B8046" s="8" t="s">
        <v>132</v>
      </c>
      <c r="C8046" s="8" t="str">
        <f>IFERROR(_xlfn.XLOOKUP(TRIM(B8046),Lookup!$B$2:$B$1000,Lookup!$C$2:$C$1000),"")</f>
        <v>Hybrid</v>
      </c>
      <c r="D8046" s="8" t="str">
        <f>IFERROR(INDEX('nav master'!$C:$C, MATCH(B8046, 'nav master'!$B:$B, 0)), "")</f>
        <v>ULIF03901/09/10BalancedFd101</v>
      </c>
      <c r="E8046" s="8" t="s">
        <v>594</v>
      </c>
      <c r="F8046" s="8" t="s">
        <v>3651</v>
      </c>
    </row>
    <row r="8047" spans="1:6" ht="60" x14ac:dyDescent="0.25">
      <c r="A8047" s="8" t="s">
        <v>125</v>
      </c>
      <c r="B8047" s="8" t="s">
        <v>132</v>
      </c>
      <c r="C8047" s="8" t="str">
        <f>IFERROR(_xlfn.XLOOKUP(TRIM(B8047),Lookup!$B$2:$B$1000,Lookup!$C$2:$C$1000),"")</f>
        <v>Hybrid</v>
      </c>
      <c r="D8047" s="8" t="str">
        <f>IFERROR(INDEX('nav master'!$C:$C, MATCH(B8047, 'nav master'!$B:$B, 0)), "")</f>
        <v>ULIF03901/09/10BalancedFd101</v>
      </c>
      <c r="E8047" s="8" t="s">
        <v>596</v>
      </c>
      <c r="F8047" s="8" t="s">
        <v>3652</v>
      </c>
    </row>
    <row r="8048" spans="1:6" ht="60" x14ac:dyDescent="0.25">
      <c r="A8048" s="8" t="s">
        <v>125</v>
      </c>
      <c r="B8048" s="8" t="s">
        <v>132</v>
      </c>
      <c r="C8048" s="8" t="str">
        <f>IFERROR(_xlfn.XLOOKUP(TRIM(B8048),Lookup!$B$2:$B$1000,Lookup!$C$2:$C$1000),"")</f>
        <v>Hybrid</v>
      </c>
      <c r="D8048" s="8" t="str">
        <f>IFERROR(INDEX('nav master'!$C:$C, MATCH(B8048, 'nav master'!$B:$B, 0)), "")</f>
        <v>ULIF03901/09/10BalancedFd101</v>
      </c>
      <c r="E8048" s="8" t="s">
        <v>598</v>
      </c>
      <c r="F8048" s="8" t="s">
        <v>3653</v>
      </c>
    </row>
    <row r="8049" spans="1:6" ht="60" x14ac:dyDescent="0.25">
      <c r="A8049" s="8" t="s">
        <v>125</v>
      </c>
      <c r="B8049" s="8" t="s">
        <v>132</v>
      </c>
      <c r="C8049" s="8" t="str">
        <f>IFERROR(_xlfn.XLOOKUP(TRIM(B8049),Lookup!$B$2:$B$1000,Lookup!$C$2:$C$1000),"")</f>
        <v>Hybrid</v>
      </c>
      <c r="D8049" s="8" t="str">
        <f>IFERROR(INDEX('nav master'!$C:$C, MATCH(B8049, 'nav master'!$B:$B, 0)), "")</f>
        <v>ULIF03901/09/10BalancedFd101</v>
      </c>
      <c r="E8049" s="8" t="s">
        <v>600</v>
      </c>
      <c r="F8049" s="8" t="s">
        <v>3654</v>
      </c>
    </row>
    <row r="8050" spans="1:6" ht="60" x14ac:dyDescent="0.25">
      <c r="A8050" s="8" t="s">
        <v>125</v>
      </c>
      <c r="B8050" s="8" t="s">
        <v>132</v>
      </c>
      <c r="C8050" s="8" t="str">
        <f>IFERROR(_xlfn.XLOOKUP(TRIM(B8050),Lookup!$B$2:$B$1000,Lookup!$C$2:$C$1000),"")</f>
        <v>Hybrid</v>
      </c>
      <c r="D8050" s="8" t="str">
        <f>IFERROR(INDEX('nav master'!$C:$C, MATCH(B8050, 'nav master'!$B:$B, 0)), "")</f>
        <v>ULIF03901/09/10BalancedFd101</v>
      </c>
      <c r="E8050" s="8" t="s">
        <v>602</v>
      </c>
      <c r="F8050" s="8" t="s">
        <v>3655</v>
      </c>
    </row>
    <row r="8051" spans="1:6" ht="60" x14ac:dyDescent="0.25">
      <c r="A8051" s="8" t="s">
        <v>125</v>
      </c>
      <c r="B8051" s="8" t="s">
        <v>132</v>
      </c>
      <c r="C8051" s="8" t="str">
        <f>IFERROR(_xlfn.XLOOKUP(TRIM(B8051),Lookup!$B$2:$B$1000,Lookup!$C$2:$C$1000),"")</f>
        <v>Hybrid</v>
      </c>
      <c r="D8051" s="8" t="str">
        <f>IFERROR(INDEX('nav master'!$C:$C, MATCH(B8051, 'nav master'!$B:$B, 0)), "")</f>
        <v>ULIF03901/09/10BalancedFd101</v>
      </c>
      <c r="E8051" s="8" t="s">
        <v>604</v>
      </c>
      <c r="F8051" s="8" t="s">
        <v>3656</v>
      </c>
    </row>
    <row r="8052" spans="1:6" ht="60" x14ac:dyDescent="0.25">
      <c r="A8052" s="8" t="s">
        <v>125</v>
      </c>
      <c r="B8052" s="8" t="s">
        <v>132</v>
      </c>
      <c r="C8052" s="8" t="str">
        <f>IFERROR(_xlfn.XLOOKUP(TRIM(B8052),Lookup!$B$2:$B$1000,Lookup!$C$2:$C$1000),"")</f>
        <v>Hybrid</v>
      </c>
      <c r="D8052" s="8" t="str">
        <f>IFERROR(INDEX('nav master'!$C:$C, MATCH(B8052, 'nav master'!$B:$B, 0)), "")</f>
        <v>ULIF03901/09/10BalancedFd101</v>
      </c>
      <c r="E8052" s="8" t="s">
        <v>606</v>
      </c>
      <c r="F8052" s="8" t="s">
        <v>3657</v>
      </c>
    </row>
    <row r="8053" spans="1:6" ht="60" x14ac:dyDescent="0.25">
      <c r="A8053" s="8" t="s">
        <v>125</v>
      </c>
      <c r="B8053" s="8" t="s">
        <v>132</v>
      </c>
      <c r="C8053" s="8" t="str">
        <f>IFERROR(_xlfn.XLOOKUP(TRIM(B8053),Lookup!$B$2:$B$1000,Lookup!$C$2:$C$1000),"")</f>
        <v>Hybrid</v>
      </c>
      <c r="D8053" s="8" t="str">
        <f>IFERROR(INDEX('nav master'!$C:$C, MATCH(B8053, 'nav master'!$B:$B, 0)), "")</f>
        <v>ULIF03901/09/10BalancedFd101</v>
      </c>
      <c r="E8053" s="8" t="s">
        <v>608</v>
      </c>
      <c r="F8053" s="8" t="s">
        <v>3658</v>
      </c>
    </row>
    <row r="8054" spans="1:6" ht="60" x14ac:dyDescent="0.25">
      <c r="A8054" s="8" t="s">
        <v>125</v>
      </c>
      <c r="B8054" s="8" t="s">
        <v>132</v>
      </c>
      <c r="C8054" s="8" t="str">
        <f>IFERROR(_xlfn.XLOOKUP(TRIM(B8054),Lookup!$B$2:$B$1000,Lookup!$C$2:$C$1000),"")</f>
        <v>Hybrid</v>
      </c>
      <c r="D8054" s="8" t="str">
        <f>IFERROR(INDEX('nav master'!$C:$C, MATCH(B8054, 'nav master'!$B:$B, 0)), "")</f>
        <v>ULIF03901/09/10BalancedFd101</v>
      </c>
      <c r="E8054" s="8" t="s">
        <v>610</v>
      </c>
      <c r="F8054" s="8" t="s">
        <v>3659</v>
      </c>
    </row>
    <row r="8055" spans="1:6" ht="60" x14ac:dyDescent="0.25">
      <c r="A8055" s="8" t="s">
        <v>125</v>
      </c>
      <c r="B8055" s="8" t="s">
        <v>132</v>
      </c>
      <c r="C8055" s="8" t="str">
        <f>IFERROR(_xlfn.XLOOKUP(TRIM(B8055),Lookup!$B$2:$B$1000,Lookup!$C$2:$C$1000),"")</f>
        <v>Hybrid</v>
      </c>
      <c r="D8055" s="8" t="str">
        <f>IFERROR(INDEX('nav master'!$C:$C, MATCH(B8055, 'nav master'!$B:$B, 0)), "")</f>
        <v>ULIF03901/09/10BalancedFd101</v>
      </c>
      <c r="E8055" s="8" t="s">
        <v>612</v>
      </c>
      <c r="F8055" s="8" t="s">
        <v>3488</v>
      </c>
    </row>
    <row r="8056" spans="1:6" ht="60" x14ac:dyDescent="0.25">
      <c r="A8056" s="8" t="s">
        <v>125</v>
      </c>
      <c r="B8056" s="8" t="s">
        <v>132</v>
      </c>
      <c r="C8056" s="8" t="str">
        <f>IFERROR(_xlfn.XLOOKUP(TRIM(B8056),Lookup!$B$2:$B$1000,Lookup!$C$2:$C$1000),"")</f>
        <v>Hybrid</v>
      </c>
      <c r="D8056" s="8" t="str">
        <f>IFERROR(INDEX('nav master'!$C:$C, MATCH(B8056, 'nav master'!$B:$B, 0)), "")</f>
        <v>ULIF03901/09/10BalancedFd101</v>
      </c>
      <c r="E8056" s="8" t="s">
        <v>614</v>
      </c>
      <c r="F8056" s="8" t="s">
        <v>3660</v>
      </c>
    </row>
    <row r="8057" spans="1:6" ht="60" x14ac:dyDescent="0.25">
      <c r="A8057" s="8" t="s">
        <v>125</v>
      </c>
      <c r="B8057" s="8" t="s">
        <v>132</v>
      </c>
      <c r="C8057" s="8" t="str">
        <f>IFERROR(_xlfn.XLOOKUP(TRIM(B8057),Lookup!$B$2:$B$1000,Lookup!$C$2:$C$1000),"")</f>
        <v>Hybrid</v>
      </c>
      <c r="D8057" s="8" t="str">
        <f>IFERROR(INDEX('nav master'!$C:$C, MATCH(B8057, 'nav master'!$B:$B, 0)), "")</f>
        <v>ULIF03901/09/10BalancedFd101</v>
      </c>
      <c r="E8057" s="8" t="s">
        <v>616</v>
      </c>
      <c r="F8057" s="8" t="s">
        <v>3661</v>
      </c>
    </row>
    <row r="8058" spans="1:6" ht="60" x14ac:dyDescent="0.25">
      <c r="A8058" s="8" t="s">
        <v>125</v>
      </c>
      <c r="B8058" s="8" t="s">
        <v>132</v>
      </c>
      <c r="C8058" s="8" t="str">
        <f>IFERROR(_xlfn.XLOOKUP(TRIM(B8058),Lookup!$B$2:$B$1000,Lookup!$C$2:$C$1000),"")</f>
        <v>Hybrid</v>
      </c>
      <c r="D8058" s="8" t="str">
        <f>IFERROR(INDEX('nav master'!$C:$C, MATCH(B8058, 'nav master'!$B:$B, 0)), "")</f>
        <v>ULIF03901/09/10BalancedFd101</v>
      </c>
      <c r="E8058" s="8" t="s">
        <v>618</v>
      </c>
      <c r="F8058" s="8" t="s">
        <v>3662</v>
      </c>
    </row>
    <row r="8059" spans="1:6" ht="60" x14ac:dyDescent="0.25">
      <c r="A8059" s="8" t="s">
        <v>125</v>
      </c>
      <c r="B8059" s="8" t="s">
        <v>132</v>
      </c>
      <c r="C8059" s="8" t="str">
        <f>IFERROR(_xlfn.XLOOKUP(TRIM(B8059),Lookup!$B$2:$B$1000,Lookup!$C$2:$C$1000),"")</f>
        <v>Hybrid</v>
      </c>
      <c r="D8059" s="8" t="str">
        <f>IFERROR(INDEX('nav master'!$C:$C, MATCH(B8059, 'nav master'!$B:$B, 0)), "")</f>
        <v>ULIF03901/09/10BalancedFd101</v>
      </c>
      <c r="E8059" s="8" t="s">
        <v>620</v>
      </c>
      <c r="F8059" s="8" t="s">
        <v>3663</v>
      </c>
    </row>
    <row r="8060" spans="1:6" ht="60" x14ac:dyDescent="0.25">
      <c r="A8060" s="8" t="s">
        <v>125</v>
      </c>
      <c r="B8060" s="8" t="s">
        <v>132</v>
      </c>
      <c r="C8060" s="8" t="str">
        <f>IFERROR(_xlfn.XLOOKUP(TRIM(B8060),Lookup!$B$2:$B$1000,Lookup!$C$2:$C$1000),"")</f>
        <v>Hybrid</v>
      </c>
      <c r="D8060" s="8" t="str">
        <f>IFERROR(INDEX('nav master'!$C:$C, MATCH(B8060, 'nav master'!$B:$B, 0)), "")</f>
        <v>ULIF03901/09/10BalancedFd101</v>
      </c>
      <c r="E8060" s="8" t="s">
        <v>622</v>
      </c>
      <c r="F8060" s="8" t="s">
        <v>3664</v>
      </c>
    </row>
    <row r="8061" spans="1:6" ht="60" x14ac:dyDescent="0.25">
      <c r="A8061" s="8" t="s">
        <v>125</v>
      </c>
      <c r="B8061" s="8" t="s">
        <v>132</v>
      </c>
      <c r="C8061" s="8" t="str">
        <f>IFERROR(_xlfn.XLOOKUP(TRIM(B8061),Lookup!$B$2:$B$1000,Lookup!$C$2:$C$1000),"")</f>
        <v>Hybrid</v>
      </c>
      <c r="D8061" s="8" t="str">
        <f>IFERROR(INDEX('nav master'!$C:$C, MATCH(B8061, 'nav master'!$B:$B, 0)), "")</f>
        <v>ULIF03901/09/10BalancedFd101</v>
      </c>
      <c r="E8061" s="8" t="s">
        <v>624</v>
      </c>
      <c r="F8061" s="8" t="s">
        <v>3665</v>
      </c>
    </row>
    <row r="8062" spans="1:6" ht="60" x14ac:dyDescent="0.25">
      <c r="A8062" s="8" t="s">
        <v>125</v>
      </c>
      <c r="B8062" s="8" t="s">
        <v>132</v>
      </c>
      <c r="C8062" s="8" t="str">
        <f>IFERROR(_xlfn.XLOOKUP(TRIM(B8062),Lookup!$B$2:$B$1000,Lookup!$C$2:$C$1000),"")</f>
        <v>Hybrid</v>
      </c>
      <c r="D8062" s="8" t="str">
        <f>IFERROR(INDEX('nav master'!$C:$C, MATCH(B8062, 'nav master'!$B:$B, 0)), "")</f>
        <v>ULIF03901/09/10BalancedFd101</v>
      </c>
      <c r="E8062" s="8" t="s">
        <v>626</v>
      </c>
      <c r="F8062" s="8" t="s">
        <v>3666</v>
      </c>
    </row>
    <row r="8063" spans="1:6" ht="60" x14ac:dyDescent="0.25">
      <c r="A8063" s="8" t="s">
        <v>125</v>
      </c>
      <c r="B8063" s="8" t="s">
        <v>132</v>
      </c>
      <c r="C8063" s="8" t="str">
        <f>IFERROR(_xlfn.XLOOKUP(TRIM(B8063),Lookup!$B$2:$B$1000,Lookup!$C$2:$C$1000),"")</f>
        <v>Hybrid</v>
      </c>
      <c r="D8063" s="8" t="str">
        <f>IFERROR(INDEX('nav master'!$C:$C, MATCH(B8063, 'nav master'!$B:$B, 0)), "")</f>
        <v>ULIF03901/09/10BalancedFd101</v>
      </c>
      <c r="E8063" s="8" t="s">
        <v>628</v>
      </c>
      <c r="F8063" s="8" t="s">
        <v>3667</v>
      </c>
    </row>
    <row r="8064" spans="1:6" ht="60" x14ac:dyDescent="0.25">
      <c r="A8064" s="8" t="s">
        <v>125</v>
      </c>
      <c r="B8064" s="8" t="s">
        <v>132</v>
      </c>
      <c r="C8064" s="8" t="str">
        <f>IFERROR(_xlfn.XLOOKUP(TRIM(B8064),Lookup!$B$2:$B$1000,Lookup!$C$2:$C$1000),"")</f>
        <v>Hybrid</v>
      </c>
      <c r="D8064" s="8" t="str">
        <f>IFERROR(INDEX('nav master'!$C:$C, MATCH(B8064, 'nav master'!$B:$B, 0)), "")</f>
        <v>ULIF03901/09/10BalancedFd101</v>
      </c>
      <c r="E8064" s="8" t="s">
        <v>630</v>
      </c>
      <c r="F8064" s="8" t="s">
        <v>3668</v>
      </c>
    </row>
    <row r="8065" spans="1:6" ht="60" x14ac:dyDescent="0.25">
      <c r="A8065" s="8" t="s">
        <v>125</v>
      </c>
      <c r="B8065" s="8" t="s">
        <v>132</v>
      </c>
      <c r="C8065" s="8" t="str">
        <f>IFERROR(_xlfn.XLOOKUP(TRIM(B8065),Lookup!$B$2:$B$1000,Lookup!$C$2:$C$1000),"")</f>
        <v>Hybrid</v>
      </c>
      <c r="D8065" s="8" t="str">
        <f>IFERROR(INDEX('nav master'!$C:$C, MATCH(B8065, 'nav master'!$B:$B, 0)), "")</f>
        <v>ULIF03901/09/10BalancedFd101</v>
      </c>
      <c r="E8065" s="8" t="s">
        <v>632</v>
      </c>
      <c r="F8065" s="8" t="s">
        <v>3669</v>
      </c>
    </row>
    <row r="8066" spans="1:6" ht="60" x14ac:dyDescent="0.25">
      <c r="A8066" s="8" t="s">
        <v>125</v>
      </c>
      <c r="B8066" s="8" t="s">
        <v>132</v>
      </c>
      <c r="C8066" s="8" t="str">
        <f>IFERROR(_xlfn.XLOOKUP(TRIM(B8066),Lookup!$B$2:$B$1000,Lookup!$C$2:$C$1000),"")</f>
        <v>Hybrid</v>
      </c>
      <c r="D8066" s="8" t="str">
        <f>IFERROR(INDEX('nav master'!$C:$C, MATCH(B8066, 'nav master'!$B:$B, 0)), "")</f>
        <v>ULIF03901/09/10BalancedFd101</v>
      </c>
      <c r="E8066" s="8" t="s">
        <v>634</v>
      </c>
      <c r="F8066" s="8" t="s">
        <v>3670</v>
      </c>
    </row>
    <row r="8067" spans="1:6" ht="60" x14ac:dyDescent="0.25">
      <c r="A8067" s="8" t="s">
        <v>125</v>
      </c>
      <c r="B8067" s="8" t="s">
        <v>132</v>
      </c>
      <c r="C8067" s="8" t="str">
        <f>IFERROR(_xlfn.XLOOKUP(TRIM(B8067),Lookup!$B$2:$B$1000,Lookup!$C$2:$C$1000),"")</f>
        <v>Hybrid</v>
      </c>
      <c r="D8067" s="8" t="str">
        <f>IFERROR(INDEX('nav master'!$C:$C, MATCH(B8067, 'nav master'!$B:$B, 0)), "")</f>
        <v>ULIF03901/09/10BalancedFd101</v>
      </c>
      <c r="E8067" s="8" t="s">
        <v>636</v>
      </c>
      <c r="F8067" s="8" t="s">
        <v>3671</v>
      </c>
    </row>
    <row r="8068" spans="1:6" ht="60" x14ac:dyDescent="0.25">
      <c r="A8068" s="8" t="s">
        <v>125</v>
      </c>
      <c r="B8068" s="8" t="s">
        <v>132</v>
      </c>
      <c r="C8068" s="8" t="str">
        <f>IFERROR(_xlfn.XLOOKUP(TRIM(B8068),Lookup!$B$2:$B$1000,Lookup!$C$2:$C$1000),"")</f>
        <v>Hybrid</v>
      </c>
      <c r="D8068" s="8" t="str">
        <f>IFERROR(INDEX('nav master'!$C:$C, MATCH(B8068, 'nav master'!$B:$B, 0)), "")</f>
        <v>ULIF03901/09/10BalancedFd101</v>
      </c>
      <c r="E8068" s="8" t="s">
        <v>638</v>
      </c>
      <c r="F8068" s="8" t="s">
        <v>3672</v>
      </c>
    </row>
    <row r="8069" spans="1:6" ht="60" x14ac:dyDescent="0.25">
      <c r="A8069" s="8" t="s">
        <v>125</v>
      </c>
      <c r="B8069" s="8" t="s">
        <v>132</v>
      </c>
      <c r="C8069" s="8" t="str">
        <f>IFERROR(_xlfn.XLOOKUP(TRIM(B8069),Lookup!$B$2:$B$1000,Lookup!$C$2:$C$1000),"")</f>
        <v>Hybrid</v>
      </c>
      <c r="D8069" s="8" t="str">
        <f>IFERROR(INDEX('nav master'!$C:$C, MATCH(B8069, 'nav master'!$B:$B, 0)), "")</f>
        <v>ULIF03901/09/10BalancedFd101</v>
      </c>
      <c r="E8069" s="8" t="s">
        <v>640</v>
      </c>
      <c r="F8069" s="8" t="s">
        <v>3673</v>
      </c>
    </row>
    <row r="8070" spans="1:6" ht="60" x14ac:dyDescent="0.25">
      <c r="A8070" s="8" t="s">
        <v>125</v>
      </c>
      <c r="B8070" s="8" t="s">
        <v>132</v>
      </c>
      <c r="C8070" s="8" t="str">
        <f>IFERROR(_xlfn.XLOOKUP(TRIM(B8070),Lookup!$B$2:$B$1000,Lookup!$C$2:$C$1000),"")</f>
        <v>Hybrid</v>
      </c>
      <c r="D8070" s="8" t="str">
        <f>IFERROR(INDEX('nav master'!$C:$C, MATCH(B8070, 'nav master'!$B:$B, 0)), "")</f>
        <v>ULIF03901/09/10BalancedFd101</v>
      </c>
      <c r="E8070" s="8" t="s">
        <v>642</v>
      </c>
      <c r="F8070" s="8" t="s">
        <v>3674</v>
      </c>
    </row>
    <row r="8071" spans="1:6" ht="60" x14ac:dyDescent="0.25">
      <c r="A8071" s="8" t="s">
        <v>125</v>
      </c>
      <c r="B8071" s="8" t="s">
        <v>132</v>
      </c>
      <c r="C8071" s="8" t="str">
        <f>IFERROR(_xlfn.XLOOKUP(TRIM(B8071),Lookup!$B$2:$B$1000,Lookup!$C$2:$C$1000),"")</f>
        <v>Hybrid</v>
      </c>
      <c r="D8071" s="8" t="str">
        <f>IFERROR(INDEX('nav master'!$C:$C, MATCH(B8071, 'nav master'!$B:$B, 0)), "")</f>
        <v>ULIF03901/09/10BalancedFd101</v>
      </c>
      <c r="E8071" s="8" t="s">
        <v>644</v>
      </c>
      <c r="F8071" s="8" t="s">
        <v>3675</v>
      </c>
    </row>
    <row r="8072" spans="1:6" ht="60" x14ac:dyDescent="0.25">
      <c r="A8072" s="8" t="s">
        <v>125</v>
      </c>
      <c r="B8072" s="8" t="s">
        <v>132</v>
      </c>
      <c r="C8072" s="8" t="str">
        <f>IFERROR(_xlfn.XLOOKUP(TRIM(B8072),Lookup!$B$2:$B$1000,Lookup!$C$2:$C$1000),"")</f>
        <v>Hybrid</v>
      </c>
      <c r="D8072" s="8" t="str">
        <f>IFERROR(INDEX('nav master'!$C:$C, MATCH(B8072, 'nav master'!$B:$B, 0)), "")</f>
        <v>ULIF03901/09/10BalancedFd101</v>
      </c>
      <c r="E8072" s="8" t="s">
        <v>646</v>
      </c>
      <c r="F8072" s="8" t="s">
        <v>3676</v>
      </c>
    </row>
    <row r="8073" spans="1:6" ht="60" x14ac:dyDescent="0.25">
      <c r="A8073" s="8" t="s">
        <v>125</v>
      </c>
      <c r="B8073" s="8" t="s">
        <v>132</v>
      </c>
      <c r="C8073" s="8" t="str">
        <f>IFERROR(_xlfn.XLOOKUP(TRIM(B8073),Lookup!$B$2:$B$1000,Lookup!$C$2:$C$1000),"")</f>
        <v>Hybrid</v>
      </c>
      <c r="D8073" s="8" t="str">
        <f>IFERROR(INDEX('nav master'!$C:$C, MATCH(B8073, 'nav master'!$B:$B, 0)), "")</f>
        <v>ULIF03901/09/10BalancedFd101</v>
      </c>
      <c r="E8073" s="8" t="s">
        <v>648</v>
      </c>
      <c r="F8073" s="8" t="s">
        <v>3677</v>
      </c>
    </row>
    <row r="8074" spans="1:6" ht="60" x14ac:dyDescent="0.25">
      <c r="A8074" s="8" t="s">
        <v>125</v>
      </c>
      <c r="B8074" s="8" t="s">
        <v>132</v>
      </c>
      <c r="C8074" s="8" t="str">
        <f>IFERROR(_xlfn.XLOOKUP(TRIM(B8074),Lookup!$B$2:$B$1000,Lookup!$C$2:$C$1000),"")</f>
        <v>Hybrid</v>
      </c>
      <c r="D8074" s="8" t="str">
        <f>IFERROR(INDEX('nav master'!$C:$C, MATCH(B8074, 'nav master'!$B:$B, 0)), "")</f>
        <v>ULIF03901/09/10BalancedFd101</v>
      </c>
      <c r="E8074" s="8" t="s">
        <v>650</v>
      </c>
      <c r="F8074" s="8" t="s">
        <v>3678</v>
      </c>
    </row>
    <row r="8075" spans="1:6" ht="60" x14ac:dyDescent="0.25">
      <c r="A8075" s="8" t="s">
        <v>125</v>
      </c>
      <c r="B8075" s="8" t="s">
        <v>132</v>
      </c>
      <c r="C8075" s="8" t="str">
        <f>IFERROR(_xlfn.XLOOKUP(TRIM(B8075),Lookup!$B$2:$B$1000,Lookup!$C$2:$C$1000),"")</f>
        <v>Hybrid</v>
      </c>
      <c r="D8075" s="8" t="str">
        <f>IFERROR(INDEX('nav master'!$C:$C, MATCH(B8075, 'nav master'!$B:$B, 0)), "")</f>
        <v>ULIF03901/09/10BalancedFd101</v>
      </c>
      <c r="E8075" s="8" t="s">
        <v>652</v>
      </c>
      <c r="F8075" s="8" t="s">
        <v>3679</v>
      </c>
    </row>
    <row r="8076" spans="1:6" ht="60" x14ac:dyDescent="0.25">
      <c r="A8076" s="8" t="s">
        <v>125</v>
      </c>
      <c r="B8076" s="8" t="s">
        <v>132</v>
      </c>
      <c r="C8076" s="8" t="str">
        <f>IFERROR(_xlfn.XLOOKUP(TRIM(B8076),Lookup!$B$2:$B$1000,Lookup!$C$2:$C$1000),"")</f>
        <v>Hybrid</v>
      </c>
      <c r="D8076" s="8" t="str">
        <f>IFERROR(INDEX('nav master'!$C:$C, MATCH(B8076, 'nav master'!$B:$B, 0)), "")</f>
        <v>ULIF03901/09/10BalancedFd101</v>
      </c>
      <c r="E8076" s="8" t="s">
        <v>654</v>
      </c>
      <c r="F8076" s="8" t="s">
        <v>3680</v>
      </c>
    </row>
    <row r="8077" spans="1:6" ht="60" x14ac:dyDescent="0.25">
      <c r="A8077" s="8" t="s">
        <v>125</v>
      </c>
      <c r="B8077" s="8" t="s">
        <v>132</v>
      </c>
      <c r="C8077" s="8" t="str">
        <f>IFERROR(_xlfn.XLOOKUP(TRIM(B8077),Lookup!$B$2:$B$1000,Lookup!$C$2:$C$1000),"")</f>
        <v>Hybrid</v>
      </c>
      <c r="D8077" s="8" t="str">
        <f>IFERROR(INDEX('nav master'!$C:$C, MATCH(B8077, 'nav master'!$B:$B, 0)), "")</f>
        <v>ULIF03901/09/10BalancedFd101</v>
      </c>
      <c r="E8077" s="8" t="s">
        <v>656</v>
      </c>
      <c r="F8077" s="8" t="s">
        <v>3681</v>
      </c>
    </row>
    <row r="8078" spans="1:6" ht="60" x14ac:dyDescent="0.25">
      <c r="A8078" s="8" t="s">
        <v>125</v>
      </c>
      <c r="B8078" s="8" t="s">
        <v>132</v>
      </c>
      <c r="C8078" s="8" t="str">
        <f>IFERROR(_xlfn.XLOOKUP(TRIM(B8078),Lookup!$B$2:$B$1000,Lookup!$C$2:$C$1000),"")</f>
        <v>Hybrid</v>
      </c>
      <c r="D8078" s="8" t="str">
        <f>IFERROR(INDEX('nav master'!$C:$C, MATCH(B8078, 'nav master'!$B:$B, 0)), "")</f>
        <v>ULIF03901/09/10BalancedFd101</v>
      </c>
      <c r="E8078" s="8" t="s">
        <v>658</v>
      </c>
      <c r="F8078" s="8" t="s">
        <v>3682</v>
      </c>
    </row>
    <row r="8079" spans="1:6" ht="60" x14ac:dyDescent="0.25">
      <c r="A8079" s="8" t="s">
        <v>125</v>
      </c>
      <c r="B8079" s="8" t="s">
        <v>132</v>
      </c>
      <c r="C8079" s="8" t="str">
        <f>IFERROR(_xlfn.XLOOKUP(TRIM(B8079),Lookup!$B$2:$B$1000,Lookup!$C$2:$C$1000),"")</f>
        <v>Hybrid</v>
      </c>
      <c r="D8079" s="8" t="str">
        <f>IFERROR(INDEX('nav master'!$C:$C, MATCH(B8079, 'nav master'!$B:$B, 0)), "")</f>
        <v>ULIF03901/09/10BalancedFd101</v>
      </c>
      <c r="E8079" s="8" t="s">
        <v>660</v>
      </c>
      <c r="F8079" s="8" t="s">
        <v>3683</v>
      </c>
    </row>
    <row r="8080" spans="1:6" ht="60" x14ac:dyDescent="0.25">
      <c r="A8080" s="8" t="s">
        <v>125</v>
      </c>
      <c r="B8080" s="8" t="s">
        <v>132</v>
      </c>
      <c r="C8080" s="8" t="str">
        <f>IFERROR(_xlfn.XLOOKUP(TRIM(B8080),Lookup!$B$2:$B$1000,Lookup!$C$2:$C$1000),"")</f>
        <v>Hybrid</v>
      </c>
      <c r="D8080" s="8" t="str">
        <f>IFERROR(INDEX('nav master'!$C:$C, MATCH(B8080, 'nav master'!$B:$B, 0)), "")</f>
        <v>ULIF03901/09/10BalancedFd101</v>
      </c>
      <c r="E8080" s="8" t="s">
        <v>662</v>
      </c>
      <c r="F8080" s="8" t="s">
        <v>3684</v>
      </c>
    </row>
    <row r="8081" spans="1:6" ht="60" x14ac:dyDescent="0.25">
      <c r="A8081" s="8" t="s">
        <v>125</v>
      </c>
      <c r="B8081" s="8" t="s">
        <v>132</v>
      </c>
      <c r="C8081" s="8" t="str">
        <f>IFERROR(_xlfn.XLOOKUP(TRIM(B8081),Lookup!$B$2:$B$1000,Lookup!$C$2:$C$1000),"")</f>
        <v>Hybrid</v>
      </c>
      <c r="D8081" s="8" t="str">
        <f>IFERROR(INDEX('nav master'!$C:$C, MATCH(B8081, 'nav master'!$B:$B, 0)), "")</f>
        <v>ULIF03901/09/10BalancedFd101</v>
      </c>
      <c r="E8081" s="8" t="s">
        <v>664</v>
      </c>
      <c r="F8081" s="8" t="s">
        <v>3685</v>
      </c>
    </row>
    <row r="8082" spans="1:6" ht="60" x14ac:dyDescent="0.25">
      <c r="A8082" s="8" t="s">
        <v>125</v>
      </c>
      <c r="B8082" s="8" t="s">
        <v>132</v>
      </c>
      <c r="C8082" s="8" t="str">
        <f>IFERROR(_xlfn.XLOOKUP(TRIM(B8082),Lookup!$B$2:$B$1000,Lookup!$C$2:$C$1000),"")</f>
        <v>Hybrid</v>
      </c>
      <c r="D8082" s="8" t="str">
        <f>IFERROR(INDEX('nav master'!$C:$C, MATCH(B8082, 'nav master'!$B:$B, 0)), "")</f>
        <v>ULIF03901/09/10BalancedFd101</v>
      </c>
      <c r="E8082" s="8" t="s">
        <v>4892</v>
      </c>
      <c r="F8082" s="8" t="s">
        <v>5006</v>
      </c>
    </row>
    <row r="8083" spans="1:6" ht="60" x14ac:dyDescent="0.25">
      <c r="A8083" s="8" t="s">
        <v>125</v>
      </c>
      <c r="B8083" s="8" t="s">
        <v>132</v>
      </c>
      <c r="C8083" s="8" t="str">
        <f>IFERROR(_xlfn.XLOOKUP(TRIM(B8083),Lookup!$B$2:$B$1000,Lookup!$C$2:$C$1000),"")</f>
        <v>Hybrid</v>
      </c>
      <c r="D8083" s="8" t="str">
        <f>IFERROR(INDEX('nav master'!$C:$C, MATCH(B8083, 'nav master'!$B:$B, 0)), "")</f>
        <v>ULIF03901/09/10BalancedFd101</v>
      </c>
      <c r="E8083" s="8" t="s">
        <v>4894</v>
      </c>
      <c r="F8083" s="8" t="s">
        <v>5007</v>
      </c>
    </row>
    <row r="8084" spans="1:6" ht="60" x14ac:dyDescent="0.25">
      <c r="A8084" s="8" t="s">
        <v>125</v>
      </c>
      <c r="B8084" s="8" t="s">
        <v>132</v>
      </c>
      <c r="C8084" s="8" t="str">
        <f>IFERROR(_xlfn.XLOOKUP(TRIM(B8084),Lookup!$B$2:$B$1000,Lookup!$C$2:$C$1000),"")</f>
        <v>Hybrid</v>
      </c>
      <c r="D8084" s="8" t="str">
        <f>IFERROR(INDEX('nav master'!$C:$C, MATCH(B8084, 'nav master'!$B:$B, 0)), "")</f>
        <v>ULIF03901/09/10BalancedFd101</v>
      </c>
      <c r="E8084" s="8" t="s">
        <v>4896</v>
      </c>
      <c r="F8084" s="8" t="s">
        <v>5008</v>
      </c>
    </row>
    <row r="8085" spans="1:6" ht="60" x14ac:dyDescent="0.25">
      <c r="A8085" s="8" t="s">
        <v>125</v>
      </c>
      <c r="B8085" s="8" t="s">
        <v>132</v>
      </c>
      <c r="C8085" s="8" t="str">
        <f>IFERROR(_xlfn.XLOOKUP(TRIM(B8085),Lookup!$B$2:$B$1000,Lookup!$C$2:$C$1000),"")</f>
        <v>Hybrid</v>
      </c>
      <c r="D8085" s="8" t="str">
        <f>IFERROR(INDEX('nav master'!$C:$C, MATCH(B8085, 'nav master'!$B:$B, 0)), "")</f>
        <v>ULIF03901/09/10BalancedFd101</v>
      </c>
      <c r="E8085" s="8" t="s">
        <v>4898</v>
      </c>
      <c r="F8085" s="8" t="s">
        <v>918</v>
      </c>
    </row>
    <row r="8086" spans="1:6" ht="60" x14ac:dyDescent="0.25">
      <c r="A8086" s="8" t="s">
        <v>125</v>
      </c>
      <c r="B8086" s="8" t="s">
        <v>132</v>
      </c>
      <c r="C8086" s="8" t="str">
        <f>IFERROR(_xlfn.XLOOKUP(TRIM(B8086),Lookup!$B$2:$B$1000,Lookup!$C$2:$C$1000),"")</f>
        <v>Hybrid</v>
      </c>
      <c r="D8086" s="8" t="str">
        <f>IFERROR(INDEX('nav master'!$C:$C, MATCH(B8086, 'nav master'!$B:$B, 0)), "")</f>
        <v>ULIF03901/09/10BalancedFd101</v>
      </c>
      <c r="E8086" s="8" t="s">
        <v>4900</v>
      </c>
      <c r="F8086" s="8" t="s">
        <v>5009</v>
      </c>
    </row>
    <row r="8087" spans="1:6" ht="60" x14ac:dyDescent="0.25">
      <c r="A8087" s="8" t="s">
        <v>125</v>
      </c>
      <c r="B8087" s="8" t="s">
        <v>132</v>
      </c>
      <c r="C8087" s="8" t="str">
        <f>IFERROR(_xlfn.XLOOKUP(TRIM(B8087),Lookup!$B$2:$B$1000,Lookup!$C$2:$C$1000),"")</f>
        <v>Hybrid</v>
      </c>
      <c r="D8087" s="8" t="str">
        <f>IFERROR(INDEX('nav master'!$C:$C, MATCH(B8087, 'nav master'!$B:$B, 0)), "")</f>
        <v>ULIF03901/09/10BalancedFd101</v>
      </c>
      <c r="E8087" s="8" t="s">
        <v>4902</v>
      </c>
      <c r="F8087" s="8" t="s">
        <v>5010</v>
      </c>
    </row>
    <row r="8088" spans="1:6" ht="60" x14ac:dyDescent="0.25">
      <c r="A8088" s="8" t="s">
        <v>125</v>
      </c>
      <c r="B8088" s="8" t="s">
        <v>132</v>
      </c>
      <c r="C8088" s="8" t="str">
        <f>IFERROR(_xlfn.XLOOKUP(TRIM(B8088),Lookup!$B$2:$B$1000,Lookup!$C$2:$C$1000),"")</f>
        <v>Hybrid</v>
      </c>
      <c r="D8088" s="8" t="str">
        <f>IFERROR(INDEX('nav master'!$C:$C, MATCH(B8088, 'nav master'!$B:$B, 0)), "")</f>
        <v>ULIF03901/09/10BalancedFd101</v>
      </c>
      <c r="E8088" s="8" t="s">
        <v>4903</v>
      </c>
      <c r="F8088" s="8" t="s">
        <v>5011</v>
      </c>
    </row>
    <row r="8089" spans="1:6" ht="60" x14ac:dyDescent="0.25">
      <c r="A8089" s="8" t="s">
        <v>125</v>
      </c>
      <c r="B8089" s="8" t="s">
        <v>132</v>
      </c>
      <c r="C8089" s="8" t="str">
        <f>IFERROR(_xlfn.XLOOKUP(TRIM(B8089),Lookup!$B$2:$B$1000,Lookup!$C$2:$C$1000),"")</f>
        <v>Hybrid</v>
      </c>
      <c r="D8089" s="8" t="str">
        <f>IFERROR(INDEX('nav master'!$C:$C, MATCH(B8089, 'nav master'!$B:$B, 0)), "")</f>
        <v>ULIF03901/09/10BalancedFd101</v>
      </c>
      <c r="E8089" s="8" t="s">
        <v>4905</v>
      </c>
      <c r="F8089" s="8" t="s">
        <v>5012</v>
      </c>
    </row>
    <row r="8090" spans="1:6" ht="60" x14ac:dyDescent="0.25">
      <c r="A8090" s="8" t="s">
        <v>125</v>
      </c>
      <c r="B8090" s="8" t="s">
        <v>148</v>
      </c>
      <c r="C8090" s="8" t="str">
        <f>IFERROR(_xlfn.XLOOKUP(TRIM(B8090),Lookup!$B$2:$B$1000,Lookup!$C$2:$C$1000),"")</f>
        <v>Equity</v>
      </c>
      <c r="D8090" s="8" t="str">
        <f>IFERROR(INDEX('nav master'!$C:$C, MATCH(B8090, 'nav master'!$B:$B, 0)), "")</f>
        <v>ULIF07114/07/23FlexiCapFd101</v>
      </c>
      <c r="E8090" s="8" t="s">
        <v>189</v>
      </c>
      <c r="F8090" s="8" t="s">
        <v>3686</v>
      </c>
    </row>
    <row r="8091" spans="1:6" ht="60" x14ac:dyDescent="0.25">
      <c r="A8091" s="8" t="s">
        <v>125</v>
      </c>
      <c r="B8091" s="8" t="s">
        <v>148</v>
      </c>
      <c r="C8091" s="8" t="str">
        <f>IFERROR(_xlfn.XLOOKUP(TRIM(B8091),Lookup!$B$2:$B$1000,Lookup!$C$2:$C$1000),"")</f>
        <v>Equity</v>
      </c>
      <c r="D8091" s="8" t="str">
        <f>IFERROR(INDEX('nav master'!$C:$C, MATCH(B8091, 'nav master'!$B:$B, 0)), "")</f>
        <v>ULIF07114/07/23FlexiCapFd101</v>
      </c>
      <c r="E8091" s="8" t="s">
        <v>191</v>
      </c>
      <c r="F8091" s="8" t="s">
        <v>2326</v>
      </c>
    </row>
    <row r="8092" spans="1:6" ht="60" x14ac:dyDescent="0.25">
      <c r="A8092" s="8" t="s">
        <v>125</v>
      </c>
      <c r="B8092" s="8" t="s">
        <v>148</v>
      </c>
      <c r="C8092" s="8" t="str">
        <f>IFERROR(_xlfn.XLOOKUP(TRIM(B8092),Lookup!$B$2:$B$1000,Lookup!$C$2:$C$1000),"")</f>
        <v>Equity</v>
      </c>
      <c r="D8092" s="8" t="str">
        <f>IFERROR(INDEX('nav master'!$C:$C, MATCH(B8092, 'nav master'!$B:$B, 0)), "")</f>
        <v>ULIF07114/07/23FlexiCapFd101</v>
      </c>
      <c r="E8092" s="8" t="s">
        <v>193</v>
      </c>
      <c r="F8092" s="8" t="s">
        <v>3687</v>
      </c>
    </row>
    <row r="8093" spans="1:6" ht="60" x14ac:dyDescent="0.25">
      <c r="A8093" s="8" t="s">
        <v>125</v>
      </c>
      <c r="B8093" s="8" t="s">
        <v>148</v>
      </c>
      <c r="C8093" s="8" t="str">
        <f>IFERROR(_xlfn.XLOOKUP(TRIM(B8093),Lookup!$B$2:$B$1000,Lookup!$C$2:$C$1000),"")</f>
        <v>Equity</v>
      </c>
      <c r="D8093" s="8" t="str">
        <f>IFERROR(INDEX('nav master'!$C:$C, MATCH(B8093, 'nav master'!$B:$B, 0)), "")</f>
        <v>ULIF07114/07/23FlexiCapFd101</v>
      </c>
      <c r="E8093" s="8" t="s">
        <v>195</v>
      </c>
      <c r="F8093" s="8" t="s">
        <v>3688</v>
      </c>
    </row>
    <row r="8094" spans="1:6" ht="60" x14ac:dyDescent="0.25">
      <c r="A8094" s="8" t="s">
        <v>125</v>
      </c>
      <c r="B8094" s="8" t="s">
        <v>148</v>
      </c>
      <c r="C8094" s="8" t="str">
        <f>IFERROR(_xlfn.XLOOKUP(TRIM(B8094),Lookup!$B$2:$B$1000,Lookup!$C$2:$C$1000),"")</f>
        <v>Equity</v>
      </c>
      <c r="D8094" s="8" t="str">
        <f>IFERROR(INDEX('nav master'!$C:$C, MATCH(B8094, 'nav master'!$B:$B, 0)), "")</f>
        <v>ULIF07114/07/23FlexiCapFd101</v>
      </c>
      <c r="E8094" s="8" t="s">
        <v>197</v>
      </c>
      <c r="F8094" s="8" t="s">
        <v>3689</v>
      </c>
    </row>
    <row r="8095" spans="1:6" ht="60" x14ac:dyDescent="0.25">
      <c r="A8095" s="8" t="s">
        <v>125</v>
      </c>
      <c r="B8095" s="8" t="s">
        <v>148</v>
      </c>
      <c r="C8095" s="8" t="str">
        <f>IFERROR(_xlfn.XLOOKUP(TRIM(B8095),Lookup!$B$2:$B$1000,Lookup!$C$2:$C$1000),"")</f>
        <v>Equity</v>
      </c>
      <c r="D8095" s="8" t="str">
        <f>IFERROR(INDEX('nav master'!$C:$C, MATCH(B8095, 'nav master'!$B:$B, 0)), "")</f>
        <v>ULIF07114/07/23FlexiCapFd101</v>
      </c>
      <c r="E8095" s="8" t="s">
        <v>199</v>
      </c>
      <c r="F8095" s="8" t="s">
        <v>3690</v>
      </c>
    </row>
    <row r="8096" spans="1:6" ht="60" x14ac:dyDescent="0.25">
      <c r="A8096" s="8" t="s">
        <v>125</v>
      </c>
      <c r="B8096" s="8" t="s">
        <v>148</v>
      </c>
      <c r="C8096" s="8" t="str">
        <f>IFERROR(_xlfn.XLOOKUP(TRIM(B8096),Lookup!$B$2:$B$1000,Lookup!$C$2:$C$1000),"")</f>
        <v>Equity</v>
      </c>
      <c r="D8096" s="8" t="str">
        <f>IFERROR(INDEX('nav master'!$C:$C, MATCH(B8096, 'nav master'!$B:$B, 0)), "")</f>
        <v>ULIF07114/07/23FlexiCapFd101</v>
      </c>
      <c r="E8096" s="8" t="s">
        <v>201</v>
      </c>
      <c r="F8096" s="8" t="s">
        <v>3691</v>
      </c>
    </row>
    <row r="8097" spans="1:6" ht="60" x14ac:dyDescent="0.25">
      <c r="A8097" s="8" t="s">
        <v>125</v>
      </c>
      <c r="B8097" s="8" t="s">
        <v>148</v>
      </c>
      <c r="C8097" s="8" t="str">
        <f>IFERROR(_xlfn.XLOOKUP(TRIM(B8097),Lookup!$B$2:$B$1000,Lookup!$C$2:$C$1000),"")</f>
        <v>Equity</v>
      </c>
      <c r="D8097" s="8" t="str">
        <f>IFERROR(INDEX('nav master'!$C:$C, MATCH(B8097, 'nav master'!$B:$B, 0)), "")</f>
        <v>ULIF07114/07/23FlexiCapFd101</v>
      </c>
      <c r="E8097" s="8" t="s">
        <v>203</v>
      </c>
      <c r="F8097" s="8" t="s">
        <v>3692</v>
      </c>
    </row>
    <row r="8098" spans="1:6" ht="60" x14ac:dyDescent="0.25">
      <c r="A8098" s="8" t="s">
        <v>125</v>
      </c>
      <c r="B8098" s="8" t="s">
        <v>148</v>
      </c>
      <c r="C8098" s="8" t="str">
        <f>IFERROR(_xlfn.XLOOKUP(TRIM(B8098),Lookup!$B$2:$B$1000,Lookup!$C$2:$C$1000),"")</f>
        <v>Equity</v>
      </c>
      <c r="D8098" s="8" t="str">
        <f>IFERROR(INDEX('nav master'!$C:$C, MATCH(B8098, 'nav master'!$B:$B, 0)), "")</f>
        <v>ULIF07114/07/23FlexiCapFd101</v>
      </c>
      <c r="E8098" s="8" t="s">
        <v>205</v>
      </c>
      <c r="F8098" s="8" t="s">
        <v>3693</v>
      </c>
    </row>
    <row r="8099" spans="1:6" ht="60" x14ac:dyDescent="0.25">
      <c r="A8099" s="8" t="s">
        <v>125</v>
      </c>
      <c r="B8099" s="8" t="s">
        <v>148</v>
      </c>
      <c r="C8099" s="8" t="str">
        <f>IFERROR(_xlfn.XLOOKUP(TRIM(B8099),Lookup!$B$2:$B$1000,Lookup!$C$2:$C$1000),"")</f>
        <v>Equity</v>
      </c>
      <c r="D8099" s="8" t="str">
        <f>IFERROR(INDEX('nav master'!$C:$C, MATCH(B8099, 'nav master'!$B:$B, 0)), "")</f>
        <v>ULIF07114/07/23FlexiCapFd101</v>
      </c>
      <c r="E8099" s="8" t="s">
        <v>207</v>
      </c>
      <c r="F8099" s="8" t="s">
        <v>3694</v>
      </c>
    </row>
    <row r="8100" spans="1:6" ht="60" x14ac:dyDescent="0.25">
      <c r="A8100" s="8" t="s">
        <v>125</v>
      </c>
      <c r="B8100" s="8" t="s">
        <v>148</v>
      </c>
      <c r="C8100" s="8" t="str">
        <f>IFERROR(_xlfn.XLOOKUP(TRIM(B8100),Lookup!$B$2:$B$1000,Lookup!$C$2:$C$1000),"")</f>
        <v>Equity</v>
      </c>
      <c r="D8100" s="8" t="str">
        <f>IFERROR(INDEX('nav master'!$C:$C, MATCH(B8100, 'nav master'!$B:$B, 0)), "")</f>
        <v>ULIF07114/07/23FlexiCapFd101</v>
      </c>
      <c r="E8100" s="8" t="s">
        <v>209</v>
      </c>
      <c r="F8100" s="8" t="s">
        <v>3695</v>
      </c>
    </row>
    <row r="8101" spans="1:6" ht="60" x14ac:dyDescent="0.25">
      <c r="A8101" s="8" t="s">
        <v>125</v>
      </c>
      <c r="B8101" s="8" t="s">
        <v>148</v>
      </c>
      <c r="C8101" s="8" t="str">
        <f>IFERROR(_xlfn.XLOOKUP(TRIM(B8101),Lookup!$B$2:$B$1000,Lookup!$C$2:$C$1000),"")</f>
        <v>Equity</v>
      </c>
      <c r="D8101" s="8" t="str">
        <f>IFERROR(INDEX('nav master'!$C:$C, MATCH(B8101, 'nav master'!$B:$B, 0)), "")</f>
        <v>ULIF07114/07/23FlexiCapFd101</v>
      </c>
      <c r="E8101" s="8" t="s">
        <v>211</v>
      </c>
      <c r="F8101" s="8" t="s">
        <v>3696</v>
      </c>
    </row>
    <row r="8102" spans="1:6" ht="60" x14ac:dyDescent="0.25">
      <c r="A8102" s="8" t="s">
        <v>125</v>
      </c>
      <c r="B8102" s="8" t="s">
        <v>148</v>
      </c>
      <c r="C8102" s="8" t="str">
        <f>IFERROR(_xlfn.XLOOKUP(TRIM(B8102),Lookup!$B$2:$B$1000,Lookup!$C$2:$C$1000),"")</f>
        <v>Equity</v>
      </c>
      <c r="D8102" s="8" t="str">
        <f>IFERROR(INDEX('nav master'!$C:$C, MATCH(B8102, 'nav master'!$B:$B, 0)), "")</f>
        <v>ULIF07114/07/23FlexiCapFd101</v>
      </c>
      <c r="E8102" s="8" t="s">
        <v>213</v>
      </c>
      <c r="F8102" s="8" t="s">
        <v>3697</v>
      </c>
    </row>
    <row r="8103" spans="1:6" ht="60" x14ac:dyDescent="0.25">
      <c r="A8103" s="8" t="s">
        <v>125</v>
      </c>
      <c r="B8103" s="8" t="s">
        <v>148</v>
      </c>
      <c r="C8103" s="8" t="str">
        <f>IFERROR(_xlfn.XLOOKUP(TRIM(B8103),Lookup!$B$2:$B$1000,Lookup!$C$2:$C$1000),"")</f>
        <v>Equity</v>
      </c>
      <c r="D8103" s="8" t="str">
        <f>IFERROR(INDEX('nav master'!$C:$C, MATCH(B8103, 'nav master'!$B:$B, 0)), "")</f>
        <v>ULIF07114/07/23FlexiCapFd101</v>
      </c>
      <c r="E8103" s="8" t="s">
        <v>215</v>
      </c>
      <c r="F8103" s="8" t="s">
        <v>3698</v>
      </c>
    </row>
    <row r="8104" spans="1:6" ht="60" x14ac:dyDescent="0.25">
      <c r="A8104" s="8" t="s">
        <v>125</v>
      </c>
      <c r="B8104" s="8" t="s">
        <v>148</v>
      </c>
      <c r="C8104" s="8" t="str">
        <f>IFERROR(_xlfn.XLOOKUP(TRIM(B8104),Lookup!$B$2:$B$1000,Lookup!$C$2:$C$1000),"")</f>
        <v>Equity</v>
      </c>
      <c r="D8104" s="8" t="str">
        <f>IFERROR(INDEX('nav master'!$C:$C, MATCH(B8104, 'nav master'!$B:$B, 0)), "")</f>
        <v>ULIF07114/07/23FlexiCapFd101</v>
      </c>
      <c r="E8104" s="8" t="s">
        <v>217</v>
      </c>
      <c r="F8104" s="8" t="s">
        <v>3699</v>
      </c>
    </row>
    <row r="8105" spans="1:6" ht="60" x14ac:dyDescent="0.25">
      <c r="A8105" s="8" t="s">
        <v>125</v>
      </c>
      <c r="B8105" s="8" t="s">
        <v>148</v>
      </c>
      <c r="C8105" s="8" t="str">
        <f>IFERROR(_xlfn.XLOOKUP(TRIM(B8105),Lookup!$B$2:$B$1000,Lookup!$C$2:$C$1000),"")</f>
        <v>Equity</v>
      </c>
      <c r="D8105" s="8" t="str">
        <f>IFERROR(INDEX('nav master'!$C:$C, MATCH(B8105, 'nav master'!$B:$B, 0)), "")</f>
        <v>ULIF07114/07/23FlexiCapFd101</v>
      </c>
      <c r="E8105" s="8" t="s">
        <v>219</v>
      </c>
      <c r="F8105" s="8" t="s">
        <v>3700</v>
      </c>
    </row>
    <row r="8106" spans="1:6" ht="60" x14ac:dyDescent="0.25">
      <c r="A8106" s="8" t="s">
        <v>125</v>
      </c>
      <c r="B8106" s="8" t="s">
        <v>148</v>
      </c>
      <c r="C8106" s="8" t="str">
        <f>IFERROR(_xlfn.XLOOKUP(TRIM(B8106),Lookup!$B$2:$B$1000,Lookup!$C$2:$C$1000),"")</f>
        <v>Equity</v>
      </c>
      <c r="D8106" s="8" t="str">
        <f>IFERROR(INDEX('nav master'!$C:$C, MATCH(B8106, 'nav master'!$B:$B, 0)), "")</f>
        <v>ULIF07114/07/23FlexiCapFd101</v>
      </c>
      <c r="E8106" s="8" t="s">
        <v>221</v>
      </c>
      <c r="F8106" s="8" t="s">
        <v>3701</v>
      </c>
    </row>
    <row r="8107" spans="1:6" ht="60" x14ac:dyDescent="0.25">
      <c r="A8107" s="8" t="s">
        <v>125</v>
      </c>
      <c r="B8107" s="8" t="s">
        <v>148</v>
      </c>
      <c r="C8107" s="8" t="str">
        <f>IFERROR(_xlfn.XLOOKUP(TRIM(B8107),Lookup!$B$2:$B$1000,Lookup!$C$2:$C$1000),"")</f>
        <v>Equity</v>
      </c>
      <c r="D8107" s="8" t="str">
        <f>IFERROR(INDEX('nav master'!$C:$C, MATCH(B8107, 'nav master'!$B:$B, 0)), "")</f>
        <v>ULIF07114/07/23FlexiCapFd101</v>
      </c>
      <c r="E8107" s="8" t="s">
        <v>223</v>
      </c>
      <c r="F8107" s="8" t="s">
        <v>3702</v>
      </c>
    </row>
    <row r="8108" spans="1:6" ht="60" x14ac:dyDescent="0.25">
      <c r="A8108" s="8" t="s">
        <v>125</v>
      </c>
      <c r="B8108" s="8" t="s">
        <v>148</v>
      </c>
      <c r="C8108" s="8" t="str">
        <f>IFERROR(_xlfn.XLOOKUP(TRIM(B8108),Lookup!$B$2:$B$1000,Lookup!$C$2:$C$1000),"")</f>
        <v>Equity</v>
      </c>
      <c r="D8108" s="8" t="str">
        <f>IFERROR(INDEX('nav master'!$C:$C, MATCH(B8108, 'nav master'!$B:$B, 0)), "")</f>
        <v>ULIF07114/07/23FlexiCapFd101</v>
      </c>
      <c r="E8108" s="8" t="s">
        <v>225</v>
      </c>
      <c r="F8108" s="8" t="s">
        <v>3703</v>
      </c>
    </row>
    <row r="8109" spans="1:6" ht="60" x14ac:dyDescent="0.25">
      <c r="A8109" s="8" t="s">
        <v>125</v>
      </c>
      <c r="B8109" s="8" t="s">
        <v>148</v>
      </c>
      <c r="C8109" s="8" t="str">
        <f>IFERROR(_xlfn.XLOOKUP(TRIM(B8109),Lookup!$B$2:$B$1000,Lookup!$C$2:$C$1000),"")</f>
        <v>Equity</v>
      </c>
      <c r="D8109" s="8" t="str">
        <f>IFERROR(INDEX('nav master'!$C:$C, MATCH(B8109, 'nav master'!$B:$B, 0)), "")</f>
        <v>ULIF07114/07/23FlexiCapFd101</v>
      </c>
      <c r="E8109" s="8" t="s">
        <v>227</v>
      </c>
      <c r="F8109" s="8" t="s">
        <v>3704</v>
      </c>
    </row>
    <row r="8110" spans="1:6" ht="60" x14ac:dyDescent="0.25">
      <c r="A8110" s="8" t="s">
        <v>125</v>
      </c>
      <c r="B8110" s="8" t="s">
        <v>148</v>
      </c>
      <c r="C8110" s="8" t="str">
        <f>IFERROR(_xlfn.XLOOKUP(TRIM(B8110),Lookup!$B$2:$B$1000,Lookup!$C$2:$C$1000),"")</f>
        <v>Equity</v>
      </c>
      <c r="D8110" s="8" t="str">
        <f>IFERROR(INDEX('nav master'!$C:$C, MATCH(B8110, 'nav master'!$B:$B, 0)), "")</f>
        <v>ULIF07114/07/23FlexiCapFd101</v>
      </c>
      <c r="E8110" s="8" t="s">
        <v>229</v>
      </c>
      <c r="F8110" s="8" t="s">
        <v>3705</v>
      </c>
    </row>
    <row r="8111" spans="1:6" ht="60" x14ac:dyDescent="0.25">
      <c r="A8111" s="8" t="s">
        <v>125</v>
      </c>
      <c r="B8111" s="8" t="s">
        <v>148</v>
      </c>
      <c r="C8111" s="8" t="str">
        <f>IFERROR(_xlfn.XLOOKUP(TRIM(B8111),Lookup!$B$2:$B$1000,Lookup!$C$2:$C$1000),"")</f>
        <v>Equity</v>
      </c>
      <c r="D8111" s="8" t="str">
        <f>IFERROR(INDEX('nav master'!$C:$C, MATCH(B8111, 'nav master'!$B:$B, 0)), "")</f>
        <v>ULIF07114/07/23FlexiCapFd101</v>
      </c>
      <c r="E8111" s="8" t="s">
        <v>231</v>
      </c>
      <c r="F8111" s="8" t="s">
        <v>3706</v>
      </c>
    </row>
    <row r="8112" spans="1:6" ht="60" x14ac:dyDescent="0.25">
      <c r="A8112" s="8" t="s">
        <v>125</v>
      </c>
      <c r="B8112" s="8" t="s">
        <v>148</v>
      </c>
      <c r="C8112" s="8" t="str">
        <f>IFERROR(_xlfn.XLOOKUP(TRIM(B8112),Lookup!$B$2:$B$1000,Lookup!$C$2:$C$1000),"")</f>
        <v>Equity</v>
      </c>
      <c r="D8112" s="8" t="str">
        <f>IFERROR(INDEX('nav master'!$C:$C, MATCH(B8112, 'nav master'!$B:$B, 0)), "")</f>
        <v>ULIF07114/07/23FlexiCapFd101</v>
      </c>
      <c r="E8112" s="8" t="s">
        <v>233</v>
      </c>
      <c r="F8112" s="8" t="s">
        <v>3707</v>
      </c>
    </row>
    <row r="8113" spans="1:6" ht="60" x14ac:dyDescent="0.25">
      <c r="A8113" s="8" t="s">
        <v>125</v>
      </c>
      <c r="B8113" s="8" t="s">
        <v>148</v>
      </c>
      <c r="C8113" s="8" t="str">
        <f>IFERROR(_xlfn.XLOOKUP(TRIM(B8113),Lookup!$B$2:$B$1000,Lookup!$C$2:$C$1000),"")</f>
        <v>Equity</v>
      </c>
      <c r="D8113" s="8" t="str">
        <f>IFERROR(INDEX('nav master'!$C:$C, MATCH(B8113, 'nav master'!$B:$B, 0)), "")</f>
        <v>ULIF07114/07/23FlexiCapFd101</v>
      </c>
      <c r="E8113" s="8" t="s">
        <v>235</v>
      </c>
      <c r="F8113" s="8" t="s">
        <v>3708</v>
      </c>
    </row>
    <row r="8114" spans="1:6" ht="60" x14ac:dyDescent="0.25">
      <c r="A8114" s="8" t="s">
        <v>125</v>
      </c>
      <c r="B8114" s="8" t="s">
        <v>148</v>
      </c>
      <c r="C8114" s="8" t="str">
        <f>IFERROR(_xlfn.XLOOKUP(TRIM(B8114),Lookup!$B$2:$B$1000,Lookup!$C$2:$C$1000),"")</f>
        <v>Equity</v>
      </c>
      <c r="D8114" s="8" t="str">
        <f>IFERROR(INDEX('nav master'!$C:$C, MATCH(B8114, 'nav master'!$B:$B, 0)), "")</f>
        <v>ULIF07114/07/23FlexiCapFd101</v>
      </c>
      <c r="E8114" s="8" t="s">
        <v>237</v>
      </c>
      <c r="F8114" s="8" t="s">
        <v>3709</v>
      </c>
    </row>
    <row r="8115" spans="1:6" ht="60" x14ac:dyDescent="0.25">
      <c r="A8115" s="8" t="s">
        <v>125</v>
      </c>
      <c r="B8115" s="8" t="s">
        <v>148</v>
      </c>
      <c r="C8115" s="8" t="str">
        <f>IFERROR(_xlfn.XLOOKUP(TRIM(B8115),Lookup!$B$2:$B$1000,Lookup!$C$2:$C$1000),"")</f>
        <v>Equity</v>
      </c>
      <c r="D8115" s="8" t="str">
        <f>IFERROR(INDEX('nav master'!$C:$C, MATCH(B8115, 'nav master'!$B:$B, 0)), "")</f>
        <v>ULIF07114/07/23FlexiCapFd101</v>
      </c>
      <c r="E8115" s="8" t="s">
        <v>239</v>
      </c>
      <c r="F8115" s="8" t="s">
        <v>3710</v>
      </c>
    </row>
    <row r="8116" spans="1:6" ht="60" x14ac:dyDescent="0.25">
      <c r="A8116" s="8" t="s">
        <v>125</v>
      </c>
      <c r="B8116" s="8" t="s">
        <v>148</v>
      </c>
      <c r="C8116" s="8" t="str">
        <f>IFERROR(_xlfn.XLOOKUP(TRIM(B8116),Lookup!$B$2:$B$1000,Lookup!$C$2:$C$1000),"")</f>
        <v>Equity</v>
      </c>
      <c r="D8116" s="8" t="str">
        <f>IFERROR(INDEX('nav master'!$C:$C, MATCH(B8116, 'nav master'!$B:$B, 0)), "")</f>
        <v>ULIF07114/07/23FlexiCapFd101</v>
      </c>
      <c r="E8116" s="8" t="s">
        <v>241</v>
      </c>
      <c r="F8116" s="8" t="s">
        <v>3711</v>
      </c>
    </row>
    <row r="8117" spans="1:6" ht="60" x14ac:dyDescent="0.25">
      <c r="A8117" s="8" t="s">
        <v>125</v>
      </c>
      <c r="B8117" s="8" t="s">
        <v>148</v>
      </c>
      <c r="C8117" s="8" t="str">
        <f>IFERROR(_xlfn.XLOOKUP(TRIM(B8117),Lookup!$B$2:$B$1000,Lookup!$C$2:$C$1000),"")</f>
        <v>Equity</v>
      </c>
      <c r="D8117" s="8" t="str">
        <f>IFERROR(INDEX('nav master'!$C:$C, MATCH(B8117, 'nav master'!$B:$B, 0)), "")</f>
        <v>ULIF07114/07/23FlexiCapFd101</v>
      </c>
      <c r="E8117" s="8" t="s">
        <v>243</v>
      </c>
      <c r="F8117" s="8" t="s">
        <v>3712</v>
      </c>
    </row>
    <row r="8118" spans="1:6" ht="60" x14ac:dyDescent="0.25">
      <c r="A8118" s="8" t="s">
        <v>125</v>
      </c>
      <c r="B8118" s="8" t="s">
        <v>148</v>
      </c>
      <c r="C8118" s="8" t="str">
        <f>IFERROR(_xlfn.XLOOKUP(TRIM(B8118),Lookup!$B$2:$B$1000,Lookup!$C$2:$C$1000),"")</f>
        <v>Equity</v>
      </c>
      <c r="D8118" s="8" t="str">
        <f>IFERROR(INDEX('nav master'!$C:$C, MATCH(B8118, 'nav master'!$B:$B, 0)), "")</f>
        <v>ULIF07114/07/23FlexiCapFd101</v>
      </c>
      <c r="E8118" s="8" t="s">
        <v>245</v>
      </c>
      <c r="F8118" s="8" t="s">
        <v>3713</v>
      </c>
    </row>
    <row r="8119" spans="1:6" ht="60" x14ac:dyDescent="0.25">
      <c r="A8119" s="8" t="s">
        <v>125</v>
      </c>
      <c r="B8119" s="8" t="s">
        <v>148</v>
      </c>
      <c r="C8119" s="8" t="str">
        <f>IFERROR(_xlfn.XLOOKUP(TRIM(B8119),Lookup!$B$2:$B$1000,Lookup!$C$2:$C$1000),"")</f>
        <v>Equity</v>
      </c>
      <c r="D8119" s="8" t="str">
        <f>IFERROR(INDEX('nav master'!$C:$C, MATCH(B8119, 'nav master'!$B:$B, 0)), "")</f>
        <v>ULIF07114/07/23FlexiCapFd101</v>
      </c>
      <c r="E8119" s="8" t="s">
        <v>247</v>
      </c>
      <c r="F8119" s="8" t="s">
        <v>3714</v>
      </c>
    </row>
    <row r="8120" spans="1:6" ht="60" x14ac:dyDescent="0.25">
      <c r="A8120" s="8" t="s">
        <v>125</v>
      </c>
      <c r="B8120" s="8" t="s">
        <v>148</v>
      </c>
      <c r="C8120" s="8" t="str">
        <f>IFERROR(_xlfn.XLOOKUP(TRIM(B8120),Lookup!$B$2:$B$1000,Lookup!$C$2:$C$1000),"")</f>
        <v>Equity</v>
      </c>
      <c r="D8120" s="8" t="str">
        <f>IFERROR(INDEX('nav master'!$C:$C, MATCH(B8120, 'nav master'!$B:$B, 0)), "")</f>
        <v>ULIF07114/07/23FlexiCapFd101</v>
      </c>
      <c r="E8120" s="8" t="s">
        <v>249</v>
      </c>
      <c r="F8120" s="8" t="s">
        <v>3715</v>
      </c>
    </row>
    <row r="8121" spans="1:6" ht="60" x14ac:dyDescent="0.25">
      <c r="A8121" s="8" t="s">
        <v>125</v>
      </c>
      <c r="B8121" s="8" t="s">
        <v>148</v>
      </c>
      <c r="C8121" s="8" t="str">
        <f>IFERROR(_xlfn.XLOOKUP(TRIM(B8121),Lookup!$B$2:$B$1000,Lookup!$C$2:$C$1000),"")</f>
        <v>Equity</v>
      </c>
      <c r="D8121" s="8" t="str">
        <f>IFERROR(INDEX('nav master'!$C:$C, MATCH(B8121, 'nav master'!$B:$B, 0)), "")</f>
        <v>ULIF07114/07/23FlexiCapFd101</v>
      </c>
      <c r="E8121" s="8" t="s">
        <v>251</v>
      </c>
      <c r="F8121" s="8" t="s">
        <v>3716</v>
      </c>
    </row>
    <row r="8122" spans="1:6" ht="60" x14ac:dyDescent="0.25">
      <c r="A8122" s="8" t="s">
        <v>125</v>
      </c>
      <c r="B8122" s="8" t="s">
        <v>148</v>
      </c>
      <c r="C8122" s="8" t="str">
        <f>IFERROR(_xlfn.XLOOKUP(TRIM(B8122),Lookup!$B$2:$B$1000,Lookup!$C$2:$C$1000),"")</f>
        <v>Equity</v>
      </c>
      <c r="D8122" s="8" t="str">
        <f>IFERROR(INDEX('nav master'!$C:$C, MATCH(B8122, 'nav master'!$B:$B, 0)), "")</f>
        <v>ULIF07114/07/23FlexiCapFd101</v>
      </c>
      <c r="E8122" s="8" t="s">
        <v>253</v>
      </c>
      <c r="F8122" s="8" t="s">
        <v>3717</v>
      </c>
    </row>
    <row r="8123" spans="1:6" ht="60" x14ac:dyDescent="0.25">
      <c r="A8123" s="8" t="s">
        <v>125</v>
      </c>
      <c r="B8123" s="8" t="s">
        <v>148</v>
      </c>
      <c r="C8123" s="8" t="str">
        <f>IFERROR(_xlfn.XLOOKUP(TRIM(B8123),Lookup!$B$2:$B$1000,Lookup!$C$2:$C$1000),"")</f>
        <v>Equity</v>
      </c>
      <c r="D8123" s="8" t="str">
        <f>IFERROR(INDEX('nav master'!$C:$C, MATCH(B8123, 'nav master'!$B:$B, 0)), "")</f>
        <v>ULIF07114/07/23FlexiCapFd101</v>
      </c>
      <c r="E8123" s="8" t="s">
        <v>255</v>
      </c>
      <c r="F8123" s="8" t="s">
        <v>3718</v>
      </c>
    </row>
    <row r="8124" spans="1:6" ht="60" x14ac:dyDescent="0.25">
      <c r="A8124" s="8" t="s">
        <v>125</v>
      </c>
      <c r="B8124" s="8" t="s">
        <v>148</v>
      </c>
      <c r="C8124" s="8" t="str">
        <f>IFERROR(_xlfn.XLOOKUP(TRIM(B8124),Lookup!$B$2:$B$1000,Lookup!$C$2:$C$1000),"")</f>
        <v>Equity</v>
      </c>
      <c r="D8124" s="8" t="str">
        <f>IFERROR(INDEX('nav master'!$C:$C, MATCH(B8124, 'nav master'!$B:$B, 0)), "")</f>
        <v>ULIF07114/07/23FlexiCapFd101</v>
      </c>
      <c r="E8124" s="8" t="s">
        <v>257</v>
      </c>
      <c r="F8124" s="8" t="s">
        <v>3719</v>
      </c>
    </row>
    <row r="8125" spans="1:6" ht="60" x14ac:dyDescent="0.25">
      <c r="A8125" s="8" t="s">
        <v>125</v>
      </c>
      <c r="B8125" s="8" t="s">
        <v>148</v>
      </c>
      <c r="C8125" s="8" t="str">
        <f>IFERROR(_xlfn.XLOOKUP(TRIM(B8125),Lookup!$B$2:$B$1000,Lookup!$C$2:$C$1000),"")</f>
        <v>Equity</v>
      </c>
      <c r="D8125" s="8" t="str">
        <f>IFERROR(INDEX('nav master'!$C:$C, MATCH(B8125, 'nav master'!$B:$B, 0)), "")</f>
        <v>ULIF07114/07/23FlexiCapFd101</v>
      </c>
      <c r="E8125" s="8" t="s">
        <v>259</v>
      </c>
      <c r="F8125" s="8" t="s">
        <v>3720</v>
      </c>
    </row>
    <row r="8126" spans="1:6" ht="60" x14ac:dyDescent="0.25">
      <c r="A8126" s="8" t="s">
        <v>125</v>
      </c>
      <c r="B8126" s="8" t="s">
        <v>148</v>
      </c>
      <c r="C8126" s="8" t="str">
        <f>IFERROR(_xlfn.XLOOKUP(TRIM(B8126),Lookup!$B$2:$B$1000,Lookup!$C$2:$C$1000),"")</f>
        <v>Equity</v>
      </c>
      <c r="D8126" s="8" t="str">
        <f>IFERROR(INDEX('nav master'!$C:$C, MATCH(B8126, 'nav master'!$B:$B, 0)), "")</f>
        <v>ULIF07114/07/23FlexiCapFd101</v>
      </c>
      <c r="E8126" s="8" t="s">
        <v>261</v>
      </c>
      <c r="F8126" s="8" t="s">
        <v>3721</v>
      </c>
    </row>
    <row r="8127" spans="1:6" ht="60" x14ac:dyDescent="0.25">
      <c r="A8127" s="8" t="s">
        <v>125</v>
      </c>
      <c r="B8127" s="8" t="s">
        <v>148</v>
      </c>
      <c r="C8127" s="8" t="str">
        <f>IFERROR(_xlfn.XLOOKUP(TRIM(B8127),Lookup!$B$2:$B$1000,Lookup!$C$2:$C$1000),"")</f>
        <v>Equity</v>
      </c>
      <c r="D8127" s="8" t="str">
        <f>IFERROR(INDEX('nav master'!$C:$C, MATCH(B8127, 'nav master'!$B:$B, 0)), "")</f>
        <v>ULIF07114/07/23FlexiCapFd101</v>
      </c>
      <c r="E8127" s="8" t="s">
        <v>263</v>
      </c>
      <c r="F8127" s="8" t="s">
        <v>3722</v>
      </c>
    </row>
    <row r="8128" spans="1:6" ht="60" x14ac:dyDescent="0.25">
      <c r="A8128" s="8" t="s">
        <v>125</v>
      </c>
      <c r="B8128" s="8" t="s">
        <v>148</v>
      </c>
      <c r="C8128" s="8" t="str">
        <f>IFERROR(_xlfn.XLOOKUP(TRIM(B8128),Lookup!$B$2:$B$1000,Lookup!$C$2:$C$1000),"")</f>
        <v>Equity</v>
      </c>
      <c r="D8128" s="8" t="str">
        <f>IFERROR(INDEX('nav master'!$C:$C, MATCH(B8128, 'nav master'!$B:$B, 0)), "")</f>
        <v>ULIF07114/07/23FlexiCapFd101</v>
      </c>
      <c r="E8128" s="8" t="s">
        <v>265</v>
      </c>
      <c r="F8128" s="8" t="s">
        <v>3723</v>
      </c>
    </row>
    <row r="8129" spans="1:6" ht="60" x14ac:dyDescent="0.25">
      <c r="A8129" s="8" t="s">
        <v>125</v>
      </c>
      <c r="B8129" s="8" t="s">
        <v>148</v>
      </c>
      <c r="C8129" s="8" t="str">
        <f>IFERROR(_xlfn.XLOOKUP(TRIM(B8129),Lookup!$B$2:$B$1000,Lookup!$C$2:$C$1000),"")</f>
        <v>Equity</v>
      </c>
      <c r="D8129" s="8" t="str">
        <f>IFERROR(INDEX('nav master'!$C:$C, MATCH(B8129, 'nav master'!$B:$B, 0)), "")</f>
        <v>ULIF07114/07/23FlexiCapFd101</v>
      </c>
      <c r="E8129" s="8" t="s">
        <v>267</v>
      </c>
      <c r="F8129" s="8" t="s">
        <v>3724</v>
      </c>
    </row>
    <row r="8130" spans="1:6" ht="60" x14ac:dyDescent="0.25">
      <c r="A8130" s="8" t="s">
        <v>125</v>
      </c>
      <c r="B8130" s="8" t="s">
        <v>148</v>
      </c>
      <c r="C8130" s="8" t="str">
        <f>IFERROR(_xlfn.XLOOKUP(TRIM(B8130),Lookup!$B$2:$B$1000,Lookup!$C$2:$C$1000),"")</f>
        <v>Equity</v>
      </c>
      <c r="D8130" s="8" t="str">
        <f>IFERROR(INDEX('nav master'!$C:$C, MATCH(B8130, 'nav master'!$B:$B, 0)), "")</f>
        <v>ULIF07114/07/23FlexiCapFd101</v>
      </c>
      <c r="E8130" s="8" t="s">
        <v>269</v>
      </c>
      <c r="F8130" s="8" t="s">
        <v>3725</v>
      </c>
    </row>
    <row r="8131" spans="1:6" ht="60" x14ac:dyDescent="0.25">
      <c r="A8131" s="8" t="s">
        <v>125</v>
      </c>
      <c r="B8131" s="8" t="s">
        <v>148</v>
      </c>
      <c r="C8131" s="8" t="str">
        <f>IFERROR(_xlfn.XLOOKUP(TRIM(B8131),Lookup!$B$2:$B$1000,Lookup!$C$2:$C$1000),"")</f>
        <v>Equity</v>
      </c>
      <c r="D8131" s="8" t="str">
        <f>IFERROR(INDEX('nav master'!$C:$C, MATCH(B8131, 'nav master'!$B:$B, 0)), "")</f>
        <v>ULIF07114/07/23FlexiCapFd101</v>
      </c>
      <c r="E8131" s="8" t="s">
        <v>271</v>
      </c>
      <c r="F8131" s="8" t="s">
        <v>2545</v>
      </c>
    </row>
    <row r="8132" spans="1:6" ht="60" x14ac:dyDescent="0.25">
      <c r="A8132" s="8" t="s">
        <v>125</v>
      </c>
      <c r="B8132" s="8" t="s">
        <v>148</v>
      </c>
      <c r="C8132" s="8" t="str">
        <f>IFERROR(_xlfn.XLOOKUP(TRIM(B8132),Lookup!$B$2:$B$1000,Lookup!$C$2:$C$1000),"")</f>
        <v>Equity</v>
      </c>
      <c r="D8132" s="8" t="str">
        <f>IFERROR(INDEX('nav master'!$C:$C, MATCH(B8132, 'nav master'!$B:$B, 0)), "")</f>
        <v>ULIF07114/07/23FlexiCapFd101</v>
      </c>
      <c r="E8132" s="8" t="s">
        <v>273</v>
      </c>
      <c r="F8132" s="8" t="s">
        <v>3726</v>
      </c>
    </row>
    <row r="8133" spans="1:6" ht="60" x14ac:dyDescent="0.25">
      <c r="A8133" s="8" t="s">
        <v>125</v>
      </c>
      <c r="B8133" s="8" t="s">
        <v>148</v>
      </c>
      <c r="C8133" s="8" t="str">
        <f>IFERROR(_xlfn.XLOOKUP(TRIM(B8133),Lookup!$B$2:$B$1000,Lookup!$C$2:$C$1000),"")</f>
        <v>Equity</v>
      </c>
      <c r="D8133" s="8" t="str">
        <f>IFERROR(INDEX('nav master'!$C:$C, MATCH(B8133, 'nav master'!$B:$B, 0)), "")</f>
        <v>ULIF07114/07/23FlexiCapFd101</v>
      </c>
      <c r="E8133" s="8" t="s">
        <v>275</v>
      </c>
      <c r="F8133" s="8" t="s">
        <v>3727</v>
      </c>
    </row>
    <row r="8134" spans="1:6" ht="60" x14ac:dyDescent="0.25">
      <c r="A8134" s="8" t="s">
        <v>125</v>
      </c>
      <c r="B8134" s="8" t="s">
        <v>148</v>
      </c>
      <c r="C8134" s="8" t="str">
        <f>IFERROR(_xlfn.XLOOKUP(TRIM(B8134),Lookup!$B$2:$B$1000,Lookup!$C$2:$C$1000),"")</f>
        <v>Equity</v>
      </c>
      <c r="D8134" s="8" t="str">
        <f>IFERROR(INDEX('nav master'!$C:$C, MATCH(B8134, 'nav master'!$B:$B, 0)), "")</f>
        <v>ULIF07114/07/23FlexiCapFd101</v>
      </c>
      <c r="E8134" s="8" t="s">
        <v>277</v>
      </c>
      <c r="F8134" s="8" t="s">
        <v>3728</v>
      </c>
    </row>
    <row r="8135" spans="1:6" ht="60" x14ac:dyDescent="0.25">
      <c r="A8135" s="8" t="s">
        <v>125</v>
      </c>
      <c r="B8135" s="8" t="s">
        <v>148</v>
      </c>
      <c r="C8135" s="8" t="str">
        <f>IFERROR(_xlfn.XLOOKUP(TRIM(B8135),Lookup!$B$2:$B$1000,Lookup!$C$2:$C$1000),"")</f>
        <v>Equity</v>
      </c>
      <c r="D8135" s="8" t="str">
        <f>IFERROR(INDEX('nav master'!$C:$C, MATCH(B8135, 'nav master'!$B:$B, 0)), "")</f>
        <v>ULIF07114/07/23FlexiCapFd101</v>
      </c>
      <c r="E8135" s="8" t="s">
        <v>279</v>
      </c>
      <c r="F8135" s="8" t="s">
        <v>3729</v>
      </c>
    </row>
    <row r="8136" spans="1:6" ht="60" x14ac:dyDescent="0.25">
      <c r="A8136" s="8" t="s">
        <v>125</v>
      </c>
      <c r="B8136" s="8" t="s">
        <v>148</v>
      </c>
      <c r="C8136" s="8" t="str">
        <f>IFERROR(_xlfn.XLOOKUP(TRIM(B8136),Lookup!$B$2:$B$1000,Lookup!$C$2:$C$1000),"")</f>
        <v>Equity</v>
      </c>
      <c r="D8136" s="8" t="str">
        <f>IFERROR(INDEX('nav master'!$C:$C, MATCH(B8136, 'nav master'!$B:$B, 0)), "")</f>
        <v>ULIF07114/07/23FlexiCapFd101</v>
      </c>
      <c r="E8136" s="8" t="s">
        <v>281</v>
      </c>
      <c r="F8136" s="8" t="s">
        <v>3730</v>
      </c>
    </row>
    <row r="8137" spans="1:6" ht="60" x14ac:dyDescent="0.25">
      <c r="A8137" s="8" t="s">
        <v>125</v>
      </c>
      <c r="B8137" s="8" t="s">
        <v>148</v>
      </c>
      <c r="C8137" s="8" t="str">
        <f>IFERROR(_xlfn.XLOOKUP(TRIM(B8137),Lookup!$B$2:$B$1000,Lookup!$C$2:$C$1000),"")</f>
        <v>Equity</v>
      </c>
      <c r="D8137" s="8" t="str">
        <f>IFERROR(INDEX('nav master'!$C:$C, MATCH(B8137, 'nav master'!$B:$B, 0)), "")</f>
        <v>ULIF07114/07/23FlexiCapFd101</v>
      </c>
      <c r="E8137" s="8" t="s">
        <v>283</v>
      </c>
      <c r="F8137" s="8" t="s">
        <v>3731</v>
      </c>
    </row>
    <row r="8138" spans="1:6" ht="60" x14ac:dyDescent="0.25">
      <c r="A8138" s="8" t="s">
        <v>125</v>
      </c>
      <c r="B8138" s="8" t="s">
        <v>148</v>
      </c>
      <c r="C8138" s="8" t="str">
        <f>IFERROR(_xlfn.XLOOKUP(TRIM(B8138),Lookup!$B$2:$B$1000,Lookup!$C$2:$C$1000),"")</f>
        <v>Equity</v>
      </c>
      <c r="D8138" s="8" t="str">
        <f>IFERROR(INDEX('nav master'!$C:$C, MATCH(B8138, 'nav master'!$B:$B, 0)), "")</f>
        <v>ULIF07114/07/23FlexiCapFd101</v>
      </c>
      <c r="E8138" s="8" t="s">
        <v>285</v>
      </c>
      <c r="F8138" s="8" t="s">
        <v>3732</v>
      </c>
    </row>
    <row r="8139" spans="1:6" ht="60" x14ac:dyDescent="0.25">
      <c r="A8139" s="8" t="s">
        <v>125</v>
      </c>
      <c r="B8139" s="8" t="s">
        <v>148</v>
      </c>
      <c r="C8139" s="8" t="str">
        <f>IFERROR(_xlfn.XLOOKUP(TRIM(B8139),Lookup!$B$2:$B$1000,Lookup!$C$2:$C$1000),"")</f>
        <v>Equity</v>
      </c>
      <c r="D8139" s="8" t="str">
        <f>IFERROR(INDEX('nav master'!$C:$C, MATCH(B8139, 'nav master'!$B:$B, 0)), "")</f>
        <v>ULIF07114/07/23FlexiCapFd101</v>
      </c>
      <c r="E8139" s="8" t="s">
        <v>287</v>
      </c>
      <c r="F8139" s="8" t="s">
        <v>3733</v>
      </c>
    </row>
    <row r="8140" spans="1:6" ht="60" x14ac:dyDescent="0.25">
      <c r="A8140" s="8" t="s">
        <v>125</v>
      </c>
      <c r="B8140" s="8" t="s">
        <v>148</v>
      </c>
      <c r="C8140" s="8" t="str">
        <f>IFERROR(_xlfn.XLOOKUP(TRIM(B8140),Lookup!$B$2:$B$1000,Lookup!$C$2:$C$1000),"")</f>
        <v>Equity</v>
      </c>
      <c r="D8140" s="8" t="str">
        <f>IFERROR(INDEX('nav master'!$C:$C, MATCH(B8140, 'nav master'!$B:$B, 0)), "")</f>
        <v>ULIF07114/07/23FlexiCapFd101</v>
      </c>
      <c r="E8140" s="8" t="s">
        <v>289</v>
      </c>
      <c r="F8140" s="8" t="s">
        <v>3734</v>
      </c>
    </row>
    <row r="8141" spans="1:6" ht="60" x14ac:dyDescent="0.25">
      <c r="A8141" s="8" t="s">
        <v>125</v>
      </c>
      <c r="B8141" s="8" t="s">
        <v>148</v>
      </c>
      <c r="C8141" s="8" t="str">
        <f>IFERROR(_xlfn.XLOOKUP(TRIM(B8141),Lookup!$B$2:$B$1000,Lookup!$C$2:$C$1000),"")</f>
        <v>Equity</v>
      </c>
      <c r="D8141" s="8" t="str">
        <f>IFERROR(INDEX('nav master'!$C:$C, MATCH(B8141, 'nav master'!$B:$B, 0)), "")</f>
        <v>ULIF07114/07/23FlexiCapFd101</v>
      </c>
      <c r="E8141" s="8" t="s">
        <v>291</v>
      </c>
      <c r="F8141" s="8" t="s">
        <v>3735</v>
      </c>
    </row>
    <row r="8142" spans="1:6" ht="60" x14ac:dyDescent="0.25">
      <c r="A8142" s="8" t="s">
        <v>125</v>
      </c>
      <c r="B8142" s="8" t="s">
        <v>148</v>
      </c>
      <c r="C8142" s="8" t="str">
        <f>IFERROR(_xlfn.XLOOKUP(TRIM(B8142),Lookup!$B$2:$B$1000,Lookup!$C$2:$C$1000),"")</f>
        <v>Equity</v>
      </c>
      <c r="D8142" s="8" t="str">
        <f>IFERROR(INDEX('nav master'!$C:$C, MATCH(B8142, 'nav master'!$B:$B, 0)), "")</f>
        <v>ULIF07114/07/23FlexiCapFd101</v>
      </c>
      <c r="E8142" s="8" t="s">
        <v>293</v>
      </c>
      <c r="F8142" s="8" t="s">
        <v>3736</v>
      </c>
    </row>
    <row r="8143" spans="1:6" ht="60" x14ac:dyDescent="0.25">
      <c r="A8143" s="8" t="s">
        <v>125</v>
      </c>
      <c r="B8143" s="8" t="s">
        <v>148</v>
      </c>
      <c r="C8143" s="8" t="str">
        <f>IFERROR(_xlfn.XLOOKUP(TRIM(B8143),Lookup!$B$2:$B$1000,Lookup!$C$2:$C$1000),"")</f>
        <v>Equity</v>
      </c>
      <c r="D8143" s="8" t="str">
        <f>IFERROR(INDEX('nav master'!$C:$C, MATCH(B8143, 'nav master'!$B:$B, 0)), "")</f>
        <v>ULIF07114/07/23FlexiCapFd101</v>
      </c>
      <c r="E8143" s="8" t="s">
        <v>295</v>
      </c>
      <c r="F8143" s="8" t="s">
        <v>3737</v>
      </c>
    </row>
    <row r="8144" spans="1:6" ht="60" x14ac:dyDescent="0.25">
      <c r="A8144" s="8" t="s">
        <v>125</v>
      </c>
      <c r="B8144" s="8" t="s">
        <v>148</v>
      </c>
      <c r="C8144" s="8" t="str">
        <f>IFERROR(_xlfn.XLOOKUP(TRIM(B8144),Lookup!$B$2:$B$1000,Lookup!$C$2:$C$1000),"")</f>
        <v>Equity</v>
      </c>
      <c r="D8144" s="8" t="str">
        <f>IFERROR(INDEX('nav master'!$C:$C, MATCH(B8144, 'nav master'!$B:$B, 0)), "")</f>
        <v>ULIF07114/07/23FlexiCapFd101</v>
      </c>
      <c r="E8144" s="8" t="s">
        <v>297</v>
      </c>
      <c r="F8144" s="8" t="s">
        <v>3738</v>
      </c>
    </row>
    <row r="8145" spans="1:6" ht="60" x14ac:dyDescent="0.25">
      <c r="A8145" s="8" t="s">
        <v>125</v>
      </c>
      <c r="B8145" s="8" t="s">
        <v>148</v>
      </c>
      <c r="C8145" s="8" t="str">
        <f>IFERROR(_xlfn.XLOOKUP(TRIM(B8145),Lookup!$B$2:$B$1000,Lookup!$C$2:$C$1000),"")</f>
        <v>Equity</v>
      </c>
      <c r="D8145" s="8" t="str">
        <f>IFERROR(INDEX('nav master'!$C:$C, MATCH(B8145, 'nav master'!$B:$B, 0)), "")</f>
        <v>ULIF07114/07/23FlexiCapFd101</v>
      </c>
      <c r="E8145" s="8" t="s">
        <v>299</v>
      </c>
      <c r="F8145" s="8" t="s">
        <v>3739</v>
      </c>
    </row>
    <row r="8146" spans="1:6" ht="60" x14ac:dyDescent="0.25">
      <c r="A8146" s="8" t="s">
        <v>125</v>
      </c>
      <c r="B8146" s="8" t="s">
        <v>148</v>
      </c>
      <c r="C8146" s="8" t="str">
        <f>IFERROR(_xlfn.XLOOKUP(TRIM(B8146),Lookup!$B$2:$B$1000,Lookup!$C$2:$C$1000),"")</f>
        <v>Equity</v>
      </c>
      <c r="D8146" s="8" t="str">
        <f>IFERROR(INDEX('nav master'!$C:$C, MATCH(B8146, 'nav master'!$B:$B, 0)), "")</f>
        <v>ULIF07114/07/23FlexiCapFd101</v>
      </c>
      <c r="E8146" s="8" t="s">
        <v>301</v>
      </c>
      <c r="F8146" s="8" t="s">
        <v>3740</v>
      </c>
    </row>
    <row r="8147" spans="1:6" ht="60" x14ac:dyDescent="0.25">
      <c r="A8147" s="8" t="s">
        <v>125</v>
      </c>
      <c r="B8147" s="8" t="s">
        <v>148</v>
      </c>
      <c r="C8147" s="8" t="str">
        <f>IFERROR(_xlfn.XLOOKUP(TRIM(B8147),Lookup!$B$2:$B$1000,Lookup!$C$2:$C$1000),"")</f>
        <v>Equity</v>
      </c>
      <c r="D8147" s="8" t="str">
        <f>IFERROR(INDEX('nav master'!$C:$C, MATCH(B8147, 'nav master'!$B:$B, 0)), "")</f>
        <v>ULIF07114/07/23FlexiCapFd101</v>
      </c>
      <c r="E8147" s="8" t="s">
        <v>303</v>
      </c>
      <c r="F8147" s="8" t="s">
        <v>3741</v>
      </c>
    </row>
    <row r="8148" spans="1:6" ht="60" x14ac:dyDescent="0.25">
      <c r="A8148" s="8" t="s">
        <v>125</v>
      </c>
      <c r="B8148" s="8" t="s">
        <v>148</v>
      </c>
      <c r="C8148" s="8" t="str">
        <f>IFERROR(_xlfn.XLOOKUP(TRIM(B8148),Lookup!$B$2:$B$1000,Lookup!$C$2:$C$1000),"")</f>
        <v>Equity</v>
      </c>
      <c r="D8148" s="8" t="str">
        <f>IFERROR(INDEX('nav master'!$C:$C, MATCH(B8148, 'nav master'!$B:$B, 0)), "")</f>
        <v>ULIF07114/07/23FlexiCapFd101</v>
      </c>
      <c r="E8148" s="8" t="s">
        <v>305</v>
      </c>
      <c r="F8148" s="8" t="s">
        <v>3742</v>
      </c>
    </row>
    <row r="8149" spans="1:6" ht="60" x14ac:dyDescent="0.25">
      <c r="A8149" s="8" t="s">
        <v>125</v>
      </c>
      <c r="B8149" s="8" t="s">
        <v>148</v>
      </c>
      <c r="C8149" s="8" t="str">
        <f>IFERROR(_xlfn.XLOOKUP(TRIM(B8149),Lookup!$B$2:$B$1000,Lookup!$C$2:$C$1000),"")</f>
        <v>Equity</v>
      </c>
      <c r="D8149" s="8" t="str">
        <f>IFERROR(INDEX('nav master'!$C:$C, MATCH(B8149, 'nav master'!$B:$B, 0)), "")</f>
        <v>ULIF07114/07/23FlexiCapFd101</v>
      </c>
      <c r="E8149" s="8" t="s">
        <v>307</v>
      </c>
      <c r="F8149" s="8" t="s">
        <v>3743</v>
      </c>
    </row>
    <row r="8150" spans="1:6" ht="60" x14ac:dyDescent="0.25">
      <c r="A8150" s="8" t="s">
        <v>125</v>
      </c>
      <c r="B8150" s="8" t="s">
        <v>148</v>
      </c>
      <c r="C8150" s="8" t="str">
        <f>IFERROR(_xlfn.XLOOKUP(TRIM(B8150),Lookup!$B$2:$B$1000,Lookup!$C$2:$C$1000),"")</f>
        <v>Equity</v>
      </c>
      <c r="D8150" s="8" t="str">
        <f>IFERROR(INDEX('nav master'!$C:$C, MATCH(B8150, 'nav master'!$B:$B, 0)), "")</f>
        <v>ULIF07114/07/23FlexiCapFd101</v>
      </c>
      <c r="E8150" s="8" t="s">
        <v>309</v>
      </c>
      <c r="F8150" s="8" t="s">
        <v>3744</v>
      </c>
    </row>
    <row r="8151" spans="1:6" ht="60" x14ac:dyDescent="0.25">
      <c r="A8151" s="8" t="s">
        <v>125</v>
      </c>
      <c r="B8151" s="8" t="s">
        <v>148</v>
      </c>
      <c r="C8151" s="8" t="str">
        <f>IFERROR(_xlfn.XLOOKUP(TRIM(B8151),Lookup!$B$2:$B$1000,Lookup!$C$2:$C$1000),"")</f>
        <v>Equity</v>
      </c>
      <c r="D8151" s="8" t="str">
        <f>IFERROR(INDEX('nav master'!$C:$C, MATCH(B8151, 'nav master'!$B:$B, 0)), "")</f>
        <v>ULIF07114/07/23FlexiCapFd101</v>
      </c>
      <c r="E8151" s="8" t="s">
        <v>311</v>
      </c>
      <c r="F8151" s="8" t="s">
        <v>3745</v>
      </c>
    </row>
    <row r="8152" spans="1:6" ht="60" x14ac:dyDescent="0.25">
      <c r="A8152" s="8" t="s">
        <v>125</v>
      </c>
      <c r="B8152" s="8" t="s">
        <v>148</v>
      </c>
      <c r="C8152" s="8" t="str">
        <f>IFERROR(_xlfn.XLOOKUP(TRIM(B8152),Lookup!$B$2:$B$1000,Lookup!$C$2:$C$1000),"")</f>
        <v>Equity</v>
      </c>
      <c r="D8152" s="8" t="str">
        <f>IFERROR(INDEX('nav master'!$C:$C, MATCH(B8152, 'nav master'!$B:$B, 0)), "")</f>
        <v>ULIF07114/07/23FlexiCapFd101</v>
      </c>
      <c r="E8152" s="8" t="s">
        <v>313</v>
      </c>
      <c r="F8152" s="8" t="s">
        <v>3746</v>
      </c>
    </row>
    <row r="8153" spans="1:6" ht="60" x14ac:dyDescent="0.25">
      <c r="A8153" s="8" t="s">
        <v>125</v>
      </c>
      <c r="B8153" s="8" t="s">
        <v>148</v>
      </c>
      <c r="C8153" s="8" t="str">
        <f>IFERROR(_xlfn.XLOOKUP(TRIM(B8153),Lookup!$B$2:$B$1000,Lookup!$C$2:$C$1000),"")</f>
        <v>Equity</v>
      </c>
      <c r="D8153" s="8" t="str">
        <f>IFERROR(INDEX('nav master'!$C:$C, MATCH(B8153, 'nav master'!$B:$B, 0)), "")</f>
        <v>ULIF07114/07/23FlexiCapFd101</v>
      </c>
      <c r="E8153" s="8" t="s">
        <v>315</v>
      </c>
      <c r="F8153" s="8" t="s">
        <v>3747</v>
      </c>
    </row>
    <row r="8154" spans="1:6" ht="60" x14ac:dyDescent="0.25">
      <c r="A8154" s="8" t="s">
        <v>125</v>
      </c>
      <c r="B8154" s="8" t="s">
        <v>148</v>
      </c>
      <c r="C8154" s="8" t="str">
        <f>IFERROR(_xlfn.XLOOKUP(TRIM(B8154),Lookup!$B$2:$B$1000,Lookup!$C$2:$C$1000),"")</f>
        <v>Equity</v>
      </c>
      <c r="D8154" s="8" t="str">
        <f>IFERROR(INDEX('nav master'!$C:$C, MATCH(B8154, 'nav master'!$B:$B, 0)), "")</f>
        <v>ULIF07114/07/23FlexiCapFd101</v>
      </c>
      <c r="E8154" s="8" t="s">
        <v>317</v>
      </c>
      <c r="F8154" s="8" t="s">
        <v>3748</v>
      </c>
    </row>
    <row r="8155" spans="1:6" ht="60" x14ac:dyDescent="0.25">
      <c r="A8155" s="8" t="s">
        <v>125</v>
      </c>
      <c r="B8155" s="8" t="s">
        <v>148</v>
      </c>
      <c r="C8155" s="8" t="str">
        <f>IFERROR(_xlfn.XLOOKUP(TRIM(B8155),Lookup!$B$2:$B$1000,Lookup!$C$2:$C$1000),"")</f>
        <v>Equity</v>
      </c>
      <c r="D8155" s="8" t="str">
        <f>IFERROR(INDEX('nav master'!$C:$C, MATCH(B8155, 'nav master'!$B:$B, 0)), "")</f>
        <v>ULIF07114/07/23FlexiCapFd101</v>
      </c>
      <c r="E8155" s="8" t="s">
        <v>319</v>
      </c>
      <c r="F8155" s="8" t="s">
        <v>3749</v>
      </c>
    </row>
    <row r="8156" spans="1:6" ht="60" x14ac:dyDescent="0.25">
      <c r="A8156" s="8" t="s">
        <v>125</v>
      </c>
      <c r="B8156" s="8" t="s">
        <v>148</v>
      </c>
      <c r="C8156" s="8" t="str">
        <f>IFERROR(_xlfn.XLOOKUP(TRIM(B8156),Lookup!$B$2:$B$1000,Lookup!$C$2:$C$1000),"")</f>
        <v>Equity</v>
      </c>
      <c r="D8156" s="8" t="str">
        <f>IFERROR(INDEX('nav master'!$C:$C, MATCH(B8156, 'nav master'!$B:$B, 0)), "")</f>
        <v>ULIF07114/07/23FlexiCapFd101</v>
      </c>
      <c r="E8156" s="8" t="s">
        <v>321</v>
      </c>
      <c r="F8156" s="8" t="s">
        <v>3750</v>
      </c>
    </row>
    <row r="8157" spans="1:6" ht="60" x14ac:dyDescent="0.25">
      <c r="A8157" s="8" t="s">
        <v>125</v>
      </c>
      <c r="B8157" s="8" t="s">
        <v>148</v>
      </c>
      <c r="C8157" s="8" t="str">
        <f>IFERROR(_xlfn.XLOOKUP(TRIM(B8157),Lookup!$B$2:$B$1000,Lookup!$C$2:$C$1000),"")</f>
        <v>Equity</v>
      </c>
      <c r="D8157" s="8" t="str">
        <f>IFERROR(INDEX('nav master'!$C:$C, MATCH(B8157, 'nav master'!$B:$B, 0)), "")</f>
        <v>ULIF07114/07/23FlexiCapFd101</v>
      </c>
      <c r="E8157" s="8" t="s">
        <v>323</v>
      </c>
      <c r="F8157" s="8" t="s">
        <v>3751</v>
      </c>
    </row>
    <row r="8158" spans="1:6" ht="60" x14ac:dyDescent="0.25">
      <c r="A8158" s="8" t="s">
        <v>125</v>
      </c>
      <c r="B8158" s="8" t="s">
        <v>148</v>
      </c>
      <c r="C8158" s="8" t="str">
        <f>IFERROR(_xlfn.XLOOKUP(TRIM(B8158),Lookup!$B$2:$B$1000,Lookup!$C$2:$C$1000),"")</f>
        <v>Equity</v>
      </c>
      <c r="D8158" s="8" t="str">
        <f>IFERROR(INDEX('nav master'!$C:$C, MATCH(B8158, 'nav master'!$B:$B, 0)), "")</f>
        <v>ULIF07114/07/23FlexiCapFd101</v>
      </c>
      <c r="E8158" s="8" t="s">
        <v>325</v>
      </c>
      <c r="F8158" s="8" t="s">
        <v>3752</v>
      </c>
    </row>
    <row r="8159" spans="1:6" ht="60" x14ac:dyDescent="0.25">
      <c r="A8159" s="8" t="s">
        <v>125</v>
      </c>
      <c r="B8159" s="8" t="s">
        <v>148</v>
      </c>
      <c r="C8159" s="8" t="str">
        <f>IFERROR(_xlfn.XLOOKUP(TRIM(B8159),Lookup!$B$2:$B$1000,Lookup!$C$2:$C$1000),"")</f>
        <v>Equity</v>
      </c>
      <c r="D8159" s="8" t="str">
        <f>IFERROR(INDEX('nav master'!$C:$C, MATCH(B8159, 'nav master'!$B:$B, 0)), "")</f>
        <v>ULIF07114/07/23FlexiCapFd101</v>
      </c>
      <c r="E8159" s="8" t="s">
        <v>327</v>
      </c>
      <c r="F8159" s="8" t="s">
        <v>3753</v>
      </c>
    </row>
    <row r="8160" spans="1:6" ht="60" x14ac:dyDescent="0.25">
      <c r="A8160" s="8" t="s">
        <v>125</v>
      </c>
      <c r="B8160" s="8" t="s">
        <v>148</v>
      </c>
      <c r="C8160" s="8" t="str">
        <f>IFERROR(_xlfn.XLOOKUP(TRIM(B8160),Lookup!$B$2:$B$1000,Lookup!$C$2:$C$1000),"")</f>
        <v>Equity</v>
      </c>
      <c r="D8160" s="8" t="str">
        <f>IFERROR(INDEX('nav master'!$C:$C, MATCH(B8160, 'nav master'!$B:$B, 0)), "")</f>
        <v>ULIF07114/07/23FlexiCapFd101</v>
      </c>
      <c r="E8160" s="8" t="s">
        <v>329</v>
      </c>
      <c r="F8160" s="8" t="s">
        <v>3754</v>
      </c>
    </row>
    <row r="8161" spans="1:6" ht="60" x14ac:dyDescent="0.25">
      <c r="A8161" s="8" t="s">
        <v>125</v>
      </c>
      <c r="B8161" s="8" t="s">
        <v>148</v>
      </c>
      <c r="C8161" s="8" t="str">
        <f>IFERROR(_xlfn.XLOOKUP(TRIM(B8161),Lookup!$B$2:$B$1000,Lookup!$C$2:$C$1000),"")</f>
        <v>Equity</v>
      </c>
      <c r="D8161" s="8" t="str">
        <f>IFERROR(INDEX('nav master'!$C:$C, MATCH(B8161, 'nav master'!$B:$B, 0)), "")</f>
        <v>ULIF07114/07/23FlexiCapFd101</v>
      </c>
      <c r="E8161" s="8" t="s">
        <v>331</v>
      </c>
      <c r="F8161" s="8" t="s">
        <v>3755</v>
      </c>
    </row>
    <row r="8162" spans="1:6" ht="60" x14ac:dyDescent="0.25">
      <c r="A8162" s="8" t="s">
        <v>125</v>
      </c>
      <c r="B8162" s="8" t="s">
        <v>148</v>
      </c>
      <c r="C8162" s="8" t="str">
        <f>IFERROR(_xlfn.XLOOKUP(TRIM(B8162),Lookup!$B$2:$B$1000,Lookup!$C$2:$C$1000),"")</f>
        <v>Equity</v>
      </c>
      <c r="D8162" s="8" t="str">
        <f>IFERROR(INDEX('nav master'!$C:$C, MATCH(B8162, 'nav master'!$B:$B, 0)), "")</f>
        <v>ULIF07114/07/23FlexiCapFd101</v>
      </c>
      <c r="E8162" s="8" t="s">
        <v>333</v>
      </c>
      <c r="F8162" s="8" t="s">
        <v>3756</v>
      </c>
    </row>
    <row r="8163" spans="1:6" ht="60" x14ac:dyDescent="0.25">
      <c r="A8163" s="8" t="s">
        <v>125</v>
      </c>
      <c r="B8163" s="8" t="s">
        <v>148</v>
      </c>
      <c r="C8163" s="8" t="str">
        <f>IFERROR(_xlfn.XLOOKUP(TRIM(B8163),Lookup!$B$2:$B$1000,Lookup!$C$2:$C$1000),"")</f>
        <v>Equity</v>
      </c>
      <c r="D8163" s="8" t="str">
        <f>IFERROR(INDEX('nav master'!$C:$C, MATCH(B8163, 'nav master'!$B:$B, 0)), "")</f>
        <v>ULIF07114/07/23FlexiCapFd101</v>
      </c>
      <c r="E8163" s="8" t="s">
        <v>335</v>
      </c>
      <c r="F8163" s="8" t="s">
        <v>3757</v>
      </c>
    </row>
    <row r="8164" spans="1:6" ht="60" x14ac:dyDescent="0.25">
      <c r="A8164" s="8" t="s">
        <v>125</v>
      </c>
      <c r="B8164" s="8" t="s">
        <v>148</v>
      </c>
      <c r="C8164" s="8" t="str">
        <f>IFERROR(_xlfn.XLOOKUP(TRIM(B8164),Lookup!$B$2:$B$1000,Lookup!$C$2:$C$1000),"")</f>
        <v>Equity</v>
      </c>
      <c r="D8164" s="8" t="str">
        <f>IFERROR(INDEX('nav master'!$C:$C, MATCH(B8164, 'nav master'!$B:$B, 0)), "")</f>
        <v>ULIF07114/07/23FlexiCapFd101</v>
      </c>
      <c r="E8164" s="8" t="s">
        <v>337</v>
      </c>
      <c r="F8164" s="8" t="s">
        <v>3758</v>
      </c>
    </row>
    <row r="8165" spans="1:6" ht="60" x14ac:dyDescent="0.25">
      <c r="A8165" s="8" t="s">
        <v>125</v>
      </c>
      <c r="B8165" s="8" t="s">
        <v>148</v>
      </c>
      <c r="C8165" s="8" t="str">
        <f>IFERROR(_xlfn.XLOOKUP(TRIM(B8165),Lookup!$B$2:$B$1000,Lookup!$C$2:$C$1000),"")</f>
        <v>Equity</v>
      </c>
      <c r="D8165" s="8" t="str">
        <f>IFERROR(INDEX('nav master'!$C:$C, MATCH(B8165, 'nav master'!$B:$B, 0)), "")</f>
        <v>ULIF07114/07/23FlexiCapFd101</v>
      </c>
      <c r="E8165" s="8" t="s">
        <v>339</v>
      </c>
      <c r="F8165" s="8" t="s">
        <v>3759</v>
      </c>
    </row>
    <row r="8166" spans="1:6" ht="60" x14ac:dyDescent="0.25">
      <c r="A8166" s="8" t="s">
        <v>125</v>
      </c>
      <c r="B8166" s="8" t="s">
        <v>148</v>
      </c>
      <c r="C8166" s="8" t="str">
        <f>IFERROR(_xlfn.XLOOKUP(TRIM(B8166),Lookup!$B$2:$B$1000,Lookup!$C$2:$C$1000),"")</f>
        <v>Equity</v>
      </c>
      <c r="D8166" s="8" t="str">
        <f>IFERROR(INDEX('nav master'!$C:$C, MATCH(B8166, 'nav master'!$B:$B, 0)), "")</f>
        <v>ULIF07114/07/23FlexiCapFd101</v>
      </c>
      <c r="E8166" s="8" t="s">
        <v>341</v>
      </c>
      <c r="F8166" s="8" t="s">
        <v>3760</v>
      </c>
    </row>
    <row r="8167" spans="1:6" ht="60" x14ac:dyDescent="0.25">
      <c r="A8167" s="8" t="s">
        <v>125</v>
      </c>
      <c r="B8167" s="8" t="s">
        <v>148</v>
      </c>
      <c r="C8167" s="8" t="str">
        <f>IFERROR(_xlfn.XLOOKUP(TRIM(B8167),Lookup!$B$2:$B$1000,Lookup!$C$2:$C$1000),"")</f>
        <v>Equity</v>
      </c>
      <c r="D8167" s="8" t="str">
        <f>IFERROR(INDEX('nav master'!$C:$C, MATCH(B8167, 'nav master'!$B:$B, 0)), "")</f>
        <v>ULIF07114/07/23FlexiCapFd101</v>
      </c>
      <c r="E8167" s="8" t="s">
        <v>343</v>
      </c>
      <c r="F8167" s="8" t="s">
        <v>3761</v>
      </c>
    </row>
    <row r="8168" spans="1:6" ht="60" x14ac:dyDescent="0.25">
      <c r="A8168" s="8" t="s">
        <v>125</v>
      </c>
      <c r="B8168" s="8" t="s">
        <v>148</v>
      </c>
      <c r="C8168" s="8" t="str">
        <f>IFERROR(_xlfn.XLOOKUP(TRIM(B8168),Lookup!$B$2:$B$1000,Lookup!$C$2:$C$1000),"")</f>
        <v>Equity</v>
      </c>
      <c r="D8168" s="8" t="str">
        <f>IFERROR(INDEX('nav master'!$C:$C, MATCH(B8168, 'nav master'!$B:$B, 0)), "")</f>
        <v>ULIF07114/07/23FlexiCapFd101</v>
      </c>
      <c r="E8168" s="8" t="s">
        <v>345</v>
      </c>
      <c r="F8168" s="8" t="s">
        <v>3762</v>
      </c>
    </row>
    <row r="8169" spans="1:6" ht="60" x14ac:dyDescent="0.25">
      <c r="A8169" s="8" t="s">
        <v>125</v>
      </c>
      <c r="B8169" s="8" t="s">
        <v>148</v>
      </c>
      <c r="C8169" s="8" t="str">
        <f>IFERROR(_xlfn.XLOOKUP(TRIM(B8169),Lookup!$B$2:$B$1000,Lookup!$C$2:$C$1000),"")</f>
        <v>Equity</v>
      </c>
      <c r="D8169" s="8" t="str">
        <f>IFERROR(INDEX('nav master'!$C:$C, MATCH(B8169, 'nav master'!$B:$B, 0)), "")</f>
        <v>ULIF07114/07/23FlexiCapFd101</v>
      </c>
      <c r="E8169" s="8" t="s">
        <v>347</v>
      </c>
      <c r="F8169" s="8" t="s">
        <v>3763</v>
      </c>
    </row>
    <row r="8170" spans="1:6" ht="60" x14ac:dyDescent="0.25">
      <c r="A8170" s="8" t="s">
        <v>125</v>
      </c>
      <c r="B8170" s="8" t="s">
        <v>148</v>
      </c>
      <c r="C8170" s="8" t="str">
        <f>IFERROR(_xlfn.XLOOKUP(TRIM(B8170),Lookup!$B$2:$B$1000,Lookup!$C$2:$C$1000),"")</f>
        <v>Equity</v>
      </c>
      <c r="D8170" s="8" t="str">
        <f>IFERROR(INDEX('nav master'!$C:$C, MATCH(B8170, 'nav master'!$B:$B, 0)), "")</f>
        <v>ULIF07114/07/23FlexiCapFd101</v>
      </c>
      <c r="E8170" s="8" t="s">
        <v>349</v>
      </c>
      <c r="F8170" s="8" t="s">
        <v>3764</v>
      </c>
    </row>
    <row r="8171" spans="1:6" ht="60" x14ac:dyDescent="0.25">
      <c r="A8171" s="8" t="s">
        <v>125</v>
      </c>
      <c r="B8171" s="8" t="s">
        <v>148</v>
      </c>
      <c r="C8171" s="8" t="str">
        <f>IFERROR(_xlfn.XLOOKUP(TRIM(B8171),Lookup!$B$2:$B$1000,Lookup!$C$2:$C$1000),"")</f>
        <v>Equity</v>
      </c>
      <c r="D8171" s="8" t="str">
        <f>IFERROR(INDEX('nav master'!$C:$C, MATCH(B8171, 'nav master'!$B:$B, 0)), "")</f>
        <v>ULIF07114/07/23FlexiCapFd101</v>
      </c>
      <c r="E8171" s="8" t="s">
        <v>351</v>
      </c>
      <c r="F8171" s="8" t="s">
        <v>3765</v>
      </c>
    </row>
    <row r="8172" spans="1:6" ht="60" x14ac:dyDescent="0.25">
      <c r="A8172" s="8" t="s">
        <v>125</v>
      </c>
      <c r="B8172" s="8" t="s">
        <v>148</v>
      </c>
      <c r="C8172" s="8" t="str">
        <f>IFERROR(_xlfn.XLOOKUP(TRIM(B8172),Lookup!$B$2:$B$1000,Lookup!$C$2:$C$1000),"")</f>
        <v>Equity</v>
      </c>
      <c r="D8172" s="8" t="str">
        <f>IFERROR(INDEX('nav master'!$C:$C, MATCH(B8172, 'nav master'!$B:$B, 0)), "")</f>
        <v>ULIF07114/07/23FlexiCapFd101</v>
      </c>
      <c r="E8172" s="8" t="s">
        <v>353</v>
      </c>
      <c r="F8172" s="8" t="s">
        <v>3766</v>
      </c>
    </row>
    <row r="8173" spans="1:6" ht="60" x14ac:dyDescent="0.25">
      <c r="A8173" s="8" t="s">
        <v>125</v>
      </c>
      <c r="B8173" s="8" t="s">
        <v>148</v>
      </c>
      <c r="C8173" s="8" t="str">
        <f>IFERROR(_xlfn.XLOOKUP(TRIM(B8173),Lookup!$B$2:$B$1000,Lookup!$C$2:$C$1000),"")</f>
        <v>Equity</v>
      </c>
      <c r="D8173" s="8" t="str">
        <f>IFERROR(INDEX('nav master'!$C:$C, MATCH(B8173, 'nav master'!$B:$B, 0)), "")</f>
        <v>ULIF07114/07/23FlexiCapFd101</v>
      </c>
      <c r="E8173" s="8" t="s">
        <v>355</v>
      </c>
      <c r="F8173" s="8" t="s">
        <v>3767</v>
      </c>
    </row>
    <row r="8174" spans="1:6" ht="60" x14ac:dyDescent="0.25">
      <c r="A8174" s="8" t="s">
        <v>125</v>
      </c>
      <c r="B8174" s="8" t="s">
        <v>148</v>
      </c>
      <c r="C8174" s="8" t="str">
        <f>IFERROR(_xlfn.XLOOKUP(TRIM(B8174),Lookup!$B$2:$B$1000,Lookup!$C$2:$C$1000),"")</f>
        <v>Equity</v>
      </c>
      <c r="D8174" s="8" t="str">
        <f>IFERROR(INDEX('nav master'!$C:$C, MATCH(B8174, 'nav master'!$B:$B, 0)), "")</f>
        <v>ULIF07114/07/23FlexiCapFd101</v>
      </c>
      <c r="E8174" s="8" t="s">
        <v>357</v>
      </c>
      <c r="F8174" s="8" t="s">
        <v>3768</v>
      </c>
    </row>
    <row r="8175" spans="1:6" ht="60" x14ac:dyDescent="0.25">
      <c r="A8175" s="8" t="s">
        <v>125</v>
      </c>
      <c r="B8175" s="8" t="s">
        <v>148</v>
      </c>
      <c r="C8175" s="8" t="str">
        <f>IFERROR(_xlfn.XLOOKUP(TRIM(B8175),Lookup!$B$2:$B$1000,Lookup!$C$2:$C$1000),"")</f>
        <v>Equity</v>
      </c>
      <c r="D8175" s="8" t="str">
        <f>IFERROR(INDEX('nav master'!$C:$C, MATCH(B8175, 'nav master'!$B:$B, 0)), "")</f>
        <v>ULIF07114/07/23FlexiCapFd101</v>
      </c>
      <c r="E8175" s="8" t="s">
        <v>359</v>
      </c>
      <c r="F8175" s="8" t="s">
        <v>3769</v>
      </c>
    </row>
    <row r="8176" spans="1:6" ht="60" x14ac:dyDescent="0.25">
      <c r="A8176" s="8" t="s">
        <v>125</v>
      </c>
      <c r="B8176" s="8" t="s">
        <v>148</v>
      </c>
      <c r="C8176" s="8" t="str">
        <f>IFERROR(_xlfn.XLOOKUP(TRIM(B8176),Lookup!$B$2:$B$1000,Lookup!$C$2:$C$1000),"")</f>
        <v>Equity</v>
      </c>
      <c r="D8176" s="8" t="str">
        <f>IFERROR(INDEX('nav master'!$C:$C, MATCH(B8176, 'nav master'!$B:$B, 0)), "")</f>
        <v>ULIF07114/07/23FlexiCapFd101</v>
      </c>
      <c r="E8176" s="8" t="s">
        <v>361</v>
      </c>
      <c r="F8176" s="8" t="s">
        <v>3770</v>
      </c>
    </row>
    <row r="8177" spans="1:6" ht="60" x14ac:dyDescent="0.25">
      <c r="A8177" s="8" t="s">
        <v>125</v>
      </c>
      <c r="B8177" s="8" t="s">
        <v>148</v>
      </c>
      <c r="C8177" s="8" t="str">
        <f>IFERROR(_xlfn.XLOOKUP(TRIM(B8177),Lookup!$B$2:$B$1000,Lookup!$C$2:$C$1000),"")</f>
        <v>Equity</v>
      </c>
      <c r="D8177" s="8" t="str">
        <f>IFERROR(INDEX('nav master'!$C:$C, MATCH(B8177, 'nav master'!$B:$B, 0)), "")</f>
        <v>ULIF07114/07/23FlexiCapFd101</v>
      </c>
      <c r="E8177" s="8" t="s">
        <v>363</v>
      </c>
      <c r="F8177" s="8" t="s">
        <v>3771</v>
      </c>
    </row>
    <row r="8178" spans="1:6" ht="60" x14ac:dyDescent="0.25">
      <c r="A8178" s="8" t="s">
        <v>125</v>
      </c>
      <c r="B8178" s="8" t="s">
        <v>148</v>
      </c>
      <c r="C8178" s="8" t="str">
        <f>IFERROR(_xlfn.XLOOKUP(TRIM(B8178),Lookup!$B$2:$B$1000,Lookup!$C$2:$C$1000),"")</f>
        <v>Equity</v>
      </c>
      <c r="D8178" s="8" t="str">
        <f>IFERROR(INDEX('nav master'!$C:$C, MATCH(B8178, 'nav master'!$B:$B, 0)), "")</f>
        <v>ULIF07114/07/23FlexiCapFd101</v>
      </c>
      <c r="E8178" s="8" t="s">
        <v>365</v>
      </c>
      <c r="F8178" s="8" t="s">
        <v>3772</v>
      </c>
    </row>
    <row r="8179" spans="1:6" ht="60" x14ac:dyDescent="0.25">
      <c r="A8179" s="8" t="s">
        <v>125</v>
      </c>
      <c r="B8179" s="8" t="s">
        <v>148</v>
      </c>
      <c r="C8179" s="8" t="str">
        <f>IFERROR(_xlfn.XLOOKUP(TRIM(B8179),Lookup!$B$2:$B$1000,Lookup!$C$2:$C$1000),"")</f>
        <v>Equity</v>
      </c>
      <c r="D8179" s="8" t="str">
        <f>IFERROR(INDEX('nav master'!$C:$C, MATCH(B8179, 'nav master'!$B:$B, 0)), "")</f>
        <v>ULIF07114/07/23FlexiCapFd101</v>
      </c>
      <c r="E8179" s="8" t="s">
        <v>367</v>
      </c>
      <c r="F8179" s="8" t="s">
        <v>3773</v>
      </c>
    </row>
    <row r="8180" spans="1:6" ht="60" x14ac:dyDescent="0.25">
      <c r="A8180" s="8" t="s">
        <v>125</v>
      </c>
      <c r="B8180" s="8" t="s">
        <v>148</v>
      </c>
      <c r="C8180" s="8" t="str">
        <f>IFERROR(_xlfn.XLOOKUP(TRIM(B8180),Lookup!$B$2:$B$1000,Lookup!$C$2:$C$1000),"")</f>
        <v>Equity</v>
      </c>
      <c r="D8180" s="8" t="str">
        <f>IFERROR(INDEX('nav master'!$C:$C, MATCH(B8180, 'nav master'!$B:$B, 0)), "")</f>
        <v>ULIF07114/07/23FlexiCapFd101</v>
      </c>
      <c r="E8180" s="8" t="s">
        <v>369</v>
      </c>
      <c r="F8180" s="8" t="s">
        <v>3774</v>
      </c>
    </row>
    <row r="8181" spans="1:6" ht="60" x14ac:dyDescent="0.25">
      <c r="A8181" s="8" t="s">
        <v>125</v>
      </c>
      <c r="B8181" s="8" t="s">
        <v>148</v>
      </c>
      <c r="C8181" s="8" t="str">
        <f>IFERROR(_xlfn.XLOOKUP(TRIM(B8181),Lookup!$B$2:$B$1000,Lookup!$C$2:$C$1000),"")</f>
        <v>Equity</v>
      </c>
      <c r="D8181" s="8" t="str">
        <f>IFERROR(INDEX('nav master'!$C:$C, MATCH(B8181, 'nav master'!$B:$B, 0)), "")</f>
        <v>ULIF07114/07/23FlexiCapFd101</v>
      </c>
      <c r="E8181" s="8" t="s">
        <v>371</v>
      </c>
      <c r="F8181" s="8" t="s">
        <v>3775</v>
      </c>
    </row>
    <row r="8182" spans="1:6" ht="60" x14ac:dyDescent="0.25">
      <c r="A8182" s="8" t="s">
        <v>125</v>
      </c>
      <c r="B8182" s="8" t="s">
        <v>148</v>
      </c>
      <c r="C8182" s="8" t="str">
        <f>IFERROR(_xlfn.XLOOKUP(TRIM(B8182),Lookup!$B$2:$B$1000,Lookup!$C$2:$C$1000),"")</f>
        <v>Equity</v>
      </c>
      <c r="D8182" s="8" t="str">
        <f>IFERROR(INDEX('nav master'!$C:$C, MATCH(B8182, 'nav master'!$B:$B, 0)), "")</f>
        <v>ULIF07114/07/23FlexiCapFd101</v>
      </c>
      <c r="E8182" s="8" t="s">
        <v>373</v>
      </c>
      <c r="F8182" s="8" t="s">
        <v>3776</v>
      </c>
    </row>
    <row r="8183" spans="1:6" ht="60" x14ac:dyDescent="0.25">
      <c r="A8183" s="8" t="s">
        <v>125</v>
      </c>
      <c r="B8183" s="8" t="s">
        <v>148</v>
      </c>
      <c r="C8183" s="8" t="str">
        <f>IFERROR(_xlfn.XLOOKUP(TRIM(B8183),Lookup!$B$2:$B$1000,Lookup!$C$2:$C$1000),"")</f>
        <v>Equity</v>
      </c>
      <c r="D8183" s="8" t="str">
        <f>IFERROR(INDEX('nav master'!$C:$C, MATCH(B8183, 'nav master'!$B:$B, 0)), "")</f>
        <v>ULIF07114/07/23FlexiCapFd101</v>
      </c>
      <c r="E8183" s="8" t="s">
        <v>375</v>
      </c>
      <c r="F8183" s="8" t="s">
        <v>3777</v>
      </c>
    </row>
    <row r="8184" spans="1:6" ht="60" x14ac:dyDescent="0.25">
      <c r="A8184" s="8" t="s">
        <v>125</v>
      </c>
      <c r="B8184" s="8" t="s">
        <v>148</v>
      </c>
      <c r="C8184" s="8" t="str">
        <f>IFERROR(_xlfn.XLOOKUP(TRIM(B8184),Lookup!$B$2:$B$1000,Lookup!$C$2:$C$1000),"")</f>
        <v>Equity</v>
      </c>
      <c r="D8184" s="8" t="str">
        <f>IFERROR(INDEX('nav master'!$C:$C, MATCH(B8184, 'nav master'!$B:$B, 0)), "")</f>
        <v>ULIF07114/07/23FlexiCapFd101</v>
      </c>
      <c r="E8184" s="8" t="s">
        <v>377</v>
      </c>
      <c r="F8184" s="8" t="s">
        <v>3778</v>
      </c>
    </row>
    <row r="8185" spans="1:6" ht="60" x14ac:dyDescent="0.25">
      <c r="A8185" s="8" t="s">
        <v>125</v>
      </c>
      <c r="B8185" s="8" t="s">
        <v>148</v>
      </c>
      <c r="C8185" s="8" t="str">
        <f>IFERROR(_xlfn.XLOOKUP(TRIM(B8185),Lookup!$B$2:$B$1000,Lookup!$C$2:$C$1000),"")</f>
        <v>Equity</v>
      </c>
      <c r="D8185" s="8" t="str">
        <f>IFERROR(INDEX('nav master'!$C:$C, MATCH(B8185, 'nav master'!$B:$B, 0)), "")</f>
        <v>ULIF07114/07/23FlexiCapFd101</v>
      </c>
      <c r="E8185" s="8" t="s">
        <v>379</v>
      </c>
      <c r="F8185" s="8" t="s">
        <v>3779</v>
      </c>
    </row>
    <row r="8186" spans="1:6" ht="60" x14ac:dyDescent="0.25">
      <c r="A8186" s="8" t="s">
        <v>125</v>
      </c>
      <c r="B8186" s="8" t="s">
        <v>148</v>
      </c>
      <c r="C8186" s="8" t="str">
        <f>IFERROR(_xlfn.XLOOKUP(TRIM(B8186),Lookup!$B$2:$B$1000,Lookup!$C$2:$C$1000),"")</f>
        <v>Equity</v>
      </c>
      <c r="D8186" s="8" t="str">
        <f>IFERROR(INDEX('nav master'!$C:$C, MATCH(B8186, 'nav master'!$B:$B, 0)), "")</f>
        <v>ULIF07114/07/23FlexiCapFd101</v>
      </c>
      <c r="E8186" s="8" t="s">
        <v>381</v>
      </c>
      <c r="F8186" s="8" t="s">
        <v>3780</v>
      </c>
    </row>
    <row r="8187" spans="1:6" ht="60" x14ac:dyDescent="0.25">
      <c r="A8187" s="8" t="s">
        <v>125</v>
      </c>
      <c r="B8187" s="8" t="s">
        <v>148</v>
      </c>
      <c r="C8187" s="8" t="str">
        <f>IFERROR(_xlfn.XLOOKUP(TRIM(B8187),Lookup!$B$2:$B$1000,Lookup!$C$2:$C$1000),"")</f>
        <v>Equity</v>
      </c>
      <c r="D8187" s="8" t="str">
        <f>IFERROR(INDEX('nav master'!$C:$C, MATCH(B8187, 'nav master'!$B:$B, 0)), "")</f>
        <v>ULIF07114/07/23FlexiCapFd101</v>
      </c>
      <c r="E8187" s="8" t="s">
        <v>383</v>
      </c>
      <c r="F8187" s="8" t="s">
        <v>3781</v>
      </c>
    </row>
    <row r="8188" spans="1:6" ht="60" x14ac:dyDescent="0.25">
      <c r="A8188" s="8" t="s">
        <v>125</v>
      </c>
      <c r="B8188" s="8" t="s">
        <v>148</v>
      </c>
      <c r="C8188" s="8" t="str">
        <f>IFERROR(_xlfn.XLOOKUP(TRIM(B8188),Lookup!$B$2:$B$1000,Lookup!$C$2:$C$1000),"")</f>
        <v>Equity</v>
      </c>
      <c r="D8188" s="8" t="str">
        <f>IFERROR(INDEX('nav master'!$C:$C, MATCH(B8188, 'nav master'!$B:$B, 0)), "")</f>
        <v>ULIF07114/07/23FlexiCapFd101</v>
      </c>
      <c r="E8188" s="8" t="s">
        <v>385</v>
      </c>
      <c r="F8188" s="8" t="s">
        <v>3782</v>
      </c>
    </row>
    <row r="8189" spans="1:6" ht="60" x14ac:dyDescent="0.25">
      <c r="A8189" s="8" t="s">
        <v>125</v>
      </c>
      <c r="B8189" s="8" t="s">
        <v>148</v>
      </c>
      <c r="C8189" s="8" t="str">
        <f>IFERROR(_xlfn.XLOOKUP(TRIM(B8189),Lookup!$B$2:$B$1000,Lookup!$C$2:$C$1000),"")</f>
        <v>Equity</v>
      </c>
      <c r="D8189" s="8" t="str">
        <f>IFERROR(INDEX('nav master'!$C:$C, MATCH(B8189, 'nav master'!$B:$B, 0)), "")</f>
        <v>ULIF07114/07/23FlexiCapFd101</v>
      </c>
      <c r="E8189" s="8" t="s">
        <v>387</v>
      </c>
      <c r="F8189" s="8" t="s">
        <v>3783</v>
      </c>
    </row>
    <row r="8190" spans="1:6" ht="60" x14ac:dyDescent="0.25">
      <c r="A8190" s="8" t="s">
        <v>125</v>
      </c>
      <c r="B8190" s="8" t="s">
        <v>148</v>
      </c>
      <c r="C8190" s="8" t="str">
        <f>IFERROR(_xlfn.XLOOKUP(TRIM(B8190),Lookup!$B$2:$B$1000,Lookup!$C$2:$C$1000),"")</f>
        <v>Equity</v>
      </c>
      <c r="D8190" s="8" t="str">
        <f>IFERROR(INDEX('nav master'!$C:$C, MATCH(B8190, 'nav master'!$B:$B, 0)), "")</f>
        <v>ULIF07114/07/23FlexiCapFd101</v>
      </c>
      <c r="E8190" s="8" t="s">
        <v>389</v>
      </c>
      <c r="F8190" s="8" t="s">
        <v>3784</v>
      </c>
    </row>
    <row r="8191" spans="1:6" ht="60" x14ac:dyDescent="0.25">
      <c r="A8191" s="8" t="s">
        <v>125</v>
      </c>
      <c r="B8191" s="8" t="s">
        <v>148</v>
      </c>
      <c r="C8191" s="8" t="str">
        <f>IFERROR(_xlfn.XLOOKUP(TRIM(B8191),Lookup!$B$2:$B$1000,Lookup!$C$2:$C$1000),"")</f>
        <v>Equity</v>
      </c>
      <c r="D8191" s="8" t="str">
        <f>IFERROR(INDEX('nav master'!$C:$C, MATCH(B8191, 'nav master'!$B:$B, 0)), "")</f>
        <v>ULIF07114/07/23FlexiCapFd101</v>
      </c>
      <c r="E8191" s="8" t="s">
        <v>391</v>
      </c>
      <c r="F8191" s="8" t="s">
        <v>3785</v>
      </c>
    </row>
    <row r="8192" spans="1:6" ht="60" x14ac:dyDescent="0.25">
      <c r="A8192" s="8" t="s">
        <v>125</v>
      </c>
      <c r="B8192" s="8" t="s">
        <v>148</v>
      </c>
      <c r="C8192" s="8" t="str">
        <f>IFERROR(_xlfn.XLOOKUP(TRIM(B8192),Lookup!$B$2:$B$1000,Lookup!$C$2:$C$1000),"")</f>
        <v>Equity</v>
      </c>
      <c r="D8192" s="8" t="str">
        <f>IFERROR(INDEX('nav master'!$C:$C, MATCH(B8192, 'nav master'!$B:$B, 0)), "")</f>
        <v>ULIF07114/07/23FlexiCapFd101</v>
      </c>
      <c r="E8192" s="8" t="s">
        <v>393</v>
      </c>
      <c r="F8192" s="8" t="s">
        <v>3786</v>
      </c>
    </row>
    <row r="8193" spans="1:6" ht="60" x14ac:dyDescent="0.25">
      <c r="A8193" s="8" t="s">
        <v>125</v>
      </c>
      <c r="B8193" s="8" t="s">
        <v>148</v>
      </c>
      <c r="C8193" s="8" t="str">
        <f>IFERROR(_xlfn.XLOOKUP(TRIM(B8193),Lookup!$B$2:$B$1000,Lookup!$C$2:$C$1000),"")</f>
        <v>Equity</v>
      </c>
      <c r="D8193" s="8" t="str">
        <f>IFERROR(INDEX('nav master'!$C:$C, MATCH(B8193, 'nav master'!$B:$B, 0)), "")</f>
        <v>ULIF07114/07/23FlexiCapFd101</v>
      </c>
      <c r="E8193" s="8" t="s">
        <v>395</v>
      </c>
      <c r="F8193" s="8" t="s">
        <v>3787</v>
      </c>
    </row>
    <row r="8194" spans="1:6" ht="60" x14ac:dyDescent="0.25">
      <c r="A8194" s="8" t="s">
        <v>125</v>
      </c>
      <c r="B8194" s="8" t="s">
        <v>148</v>
      </c>
      <c r="C8194" s="8" t="str">
        <f>IFERROR(_xlfn.XLOOKUP(TRIM(B8194),Lookup!$B$2:$B$1000,Lookup!$C$2:$C$1000),"")</f>
        <v>Equity</v>
      </c>
      <c r="D8194" s="8" t="str">
        <f>IFERROR(INDEX('nav master'!$C:$C, MATCH(B8194, 'nav master'!$B:$B, 0)), "")</f>
        <v>ULIF07114/07/23FlexiCapFd101</v>
      </c>
      <c r="E8194" s="8" t="s">
        <v>397</v>
      </c>
      <c r="F8194" s="8" t="s">
        <v>3788</v>
      </c>
    </row>
    <row r="8195" spans="1:6" ht="60" x14ac:dyDescent="0.25">
      <c r="A8195" s="8" t="s">
        <v>125</v>
      </c>
      <c r="B8195" s="8" t="s">
        <v>148</v>
      </c>
      <c r="C8195" s="8" t="str">
        <f>IFERROR(_xlfn.XLOOKUP(TRIM(B8195),Lookup!$B$2:$B$1000,Lookup!$C$2:$C$1000),"")</f>
        <v>Equity</v>
      </c>
      <c r="D8195" s="8" t="str">
        <f>IFERROR(INDEX('nav master'!$C:$C, MATCH(B8195, 'nav master'!$B:$B, 0)), "")</f>
        <v>ULIF07114/07/23FlexiCapFd101</v>
      </c>
      <c r="E8195" s="8" t="s">
        <v>399</v>
      </c>
      <c r="F8195" s="8" t="s">
        <v>3789</v>
      </c>
    </row>
    <row r="8196" spans="1:6" ht="60" x14ac:dyDescent="0.25">
      <c r="A8196" s="8" t="s">
        <v>125</v>
      </c>
      <c r="B8196" s="8" t="s">
        <v>148</v>
      </c>
      <c r="C8196" s="8" t="str">
        <f>IFERROR(_xlfn.XLOOKUP(TRIM(B8196),Lookup!$B$2:$B$1000,Lookup!$C$2:$C$1000),"")</f>
        <v>Equity</v>
      </c>
      <c r="D8196" s="8" t="str">
        <f>IFERROR(INDEX('nav master'!$C:$C, MATCH(B8196, 'nav master'!$B:$B, 0)), "")</f>
        <v>ULIF07114/07/23FlexiCapFd101</v>
      </c>
      <c r="E8196" s="8" t="s">
        <v>401</v>
      </c>
      <c r="F8196" s="8" t="s">
        <v>3790</v>
      </c>
    </row>
    <row r="8197" spans="1:6" ht="60" x14ac:dyDescent="0.25">
      <c r="A8197" s="8" t="s">
        <v>125</v>
      </c>
      <c r="B8197" s="8" t="s">
        <v>148</v>
      </c>
      <c r="C8197" s="8" t="str">
        <f>IFERROR(_xlfn.XLOOKUP(TRIM(B8197),Lookup!$B$2:$B$1000,Lookup!$C$2:$C$1000),"")</f>
        <v>Equity</v>
      </c>
      <c r="D8197" s="8" t="str">
        <f>IFERROR(INDEX('nav master'!$C:$C, MATCH(B8197, 'nav master'!$B:$B, 0)), "")</f>
        <v>ULIF07114/07/23FlexiCapFd101</v>
      </c>
      <c r="E8197" s="8" t="s">
        <v>403</v>
      </c>
      <c r="F8197" s="8" t="s">
        <v>3791</v>
      </c>
    </row>
    <row r="8198" spans="1:6" ht="60" x14ac:dyDescent="0.25">
      <c r="A8198" s="8" t="s">
        <v>125</v>
      </c>
      <c r="B8198" s="8" t="s">
        <v>148</v>
      </c>
      <c r="C8198" s="8" t="str">
        <f>IFERROR(_xlfn.XLOOKUP(TRIM(B8198),Lookup!$B$2:$B$1000,Lookup!$C$2:$C$1000),"")</f>
        <v>Equity</v>
      </c>
      <c r="D8198" s="8" t="str">
        <f>IFERROR(INDEX('nav master'!$C:$C, MATCH(B8198, 'nav master'!$B:$B, 0)), "")</f>
        <v>ULIF07114/07/23FlexiCapFd101</v>
      </c>
      <c r="E8198" s="8" t="s">
        <v>405</v>
      </c>
      <c r="F8198" s="8" t="s">
        <v>3761</v>
      </c>
    </row>
    <row r="8199" spans="1:6" ht="60" x14ac:dyDescent="0.25">
      <c r="A8199" s="8" t="s">
        <v>125</v>
      </c>
      <c r="B8199" s="8" t="s">
        <v>148</v>
      </c>
      <c r="C8199" s="8" t="str">
        <f>IFERROR(_xlfn.XLOOKUP(TRIM(B8199),Lookup!$B$2:$B$1000,Lookup!$C$2:$C$1000),"")</f>
        <v>Equity</v>
      </c>
      <c r="D8199" s="8" t="str">
        <f>IFERROR(INDEX('nav master'!$C:$C, MATCH(B8199, 'nav master'!$B:$B, 0)), "")</f>
        <v>ULIF07114/07/23FlexiCapFd101</v>
      </c>
      <c r="E8199" s="8" t="s">
        <v>407</v>
      </c>
      <c r="F8199" s="8" t="s">
        <v>3792</v>
      </c>
    </row>
    <row r="8200" spans="1:6" ht="60" x14ac:dyDescent="0.25">
      <c r="A8200" s="8" t="s">
        <v>125</v>
      </c>
      <c r="B8200" s="8" t="s">
        <v>148</v>
      </c>
      <c r="C8200" s="8" t="str">
        <f>IFERROR(_xlfn.XLOOKUP(TRIM(B8200),Lookup!$B$2:$B$1000,Lookup!$C$2:$C$1000),"")</f>
        <v>Equity</v>
      </c>
      <c r="D8200" s="8" t="str">
        <f>IFERROR(INDEX('nav master'!$C:$C, MATCH(B8200, 'nav master'!$B:$B, 0)), "")</f>
        <v>ULIF07114/07/23FlexiCapFd101</v>
      </c>
      <c r="E8200" s="8" t="s">
        <v>409</v>
      </c>
      <c r="F8200" s="8" t="s">
        <v>3793</v>
      </c>
    </row>
    <row r="8201" spans="1:6" ht="60" x14ac:dyDescent="0.25">
      <c r="A8201" s="8" t="s">
        <v>125</v>
      </c>
      <c r="B8201" s="8" t="s">
        <v>148</v>
      </c>
      <c r="C8201" s="8" t="str">
        <f>IFERROR(_xlfn.XLOOKUP(TRIM(B8201),Lookup!$B$2:$B$1000,Lookup!$C$2:$C$1000),"")</f>
        <v>Equity</v>
      </c>
      <c r="D8201" s="8" t="str">
        <f>IFERROR(INDEX('nav master'!$C:$C, MATCH(B8201, 'nav master'!$B:$B, 0)), "")</f>
        <v>ULIF07114/07/23FlexiCapFd101</v>
      </c>
      <c r="E8201" s="8" t="s">
        <v>411</v>
      </c>
      <c r="F8201" s="8" t="s">
        <v>3794</v>
      </c>
    </row>
    <row r="8202" spans="1:6" ht="60" x14ac:dyDescent="0.25">
      <c r="A8202" s="8" t="s">
        <v>125</v>
      </c>
      <c r="B8202" s="8" t="s">
        <v>148</v>
      </c>
      <c r="C8202" s="8" t="str">
        <f>IFERROR(_xlfn.XLOOKUP(TRIM(B8202),Lookup!$B$2:$B$1000,Lookup!$C$2:$C$1000),"")</f>
        <v>Equity</v>
      </c>
      <c r="D8202" s="8" t="str">
        <f>IFERROR(INDEX('nav master'!$C:$C, MATCH(B8202, 'nav master'!$B:$B, 0)), "")</f>
        <v>ULIF07114/07/23FlexiCapFd101</v>
      </c>
      <c r="E8202" s="8" t="s">
        <v>413</v>
      </c>
      <c r="F8202" s="8" t="s">
        <v>3795</v>
      </c>
    </row>
    <row r="8203" spans="1:6" ht="60" x14ac:dyDescent="0.25">
      <c r="A8203" s="8" t="s">
        <v>125</v>
      </c>
      <c r="B8203" s="8" t="s">
        <v>148</v>
      </c>
      <c r="C8203" s="8" t="str">
        <f>IFERROR(_xlfn.XLOOKUP(TRIM(B8203),Lookup!$B$2:$B$1000,Lookup!$C$2:$C$1000),"")</f>
        <v>Equity</v>
      </c>
      <c r="D8203" s="8" t="str">
        <f>IFERROR(INDEX('nav master'!$C:$C, MATCH(B8203, 'nav master'!$B:$B, 0)), "")</f>
        <v>ULIF07114/07/23FlexiCapFd101</v>
      </c>
      <c r="E8203" s="8" t="s">
        <v>415</v>
      </c>
      <c r="F8203" s="8" t="s">
        <v>3796</v>
      </c>
    </row>
    <row r="8204" spans="1:6" ht="60" x14ac:dyDescent="0.25">
      <c r="A8204" s="8" t="s">
        <v>125</v>
      </c>
      <c r="B8204" s="8" t="s">
        <v>148</v>
      </c>
      <c r="C8204" s="8" t="str">
        <f>IFERROR(_xlfn.XLOOKUP(TRIM(B8204),Lookup!$B$2:$B$1000,Lookup!$C$2:$C$1000),"")</f>
        <v>Equity</v>
      </c>
      <c r="D8204" s="8" t="str">
        <f>IFERROR(INDEX('nav master'!$C:$C, MATCH(B8204, 'nav master'!$B:$B, 0)), "")</f>
        <v>ULIF07114/07/23FlexiCapFd101</v>
      </c>
      <c r="E8204" s="8" t="s">
        <v>417</v>
      </c>
      <c r="F8204" s="8" t="s">
        <v>3797</v>
      </c>
    </row>
    <row r="8205" spans="1:6" ht="60" x14ac:dyDescent="0.25">
      <c r="A8205" s="8" t="s">
        <v>125</v>
      </c>
      <c r="B8205" s="8" t="s">
        <v>148</v>
      </c>
      <c r="C8205" s="8" t="str">
        <f>IFERROR(_xlfn.XLOOKUP(TRIM(B8205),Lookup!$B$2:$B$1000,Lookup!$C$2:$C$1000),"")</f>
        <v>Equity</v>
      </c>
      <c r="D8205" s="8" t="str">
        <f>IFERROR(INDEX('nav master'!$C:$C, MATCH(B8205, 'nav master'!$B:$B, 0)), "")</f>
        <v>ULIF07114/07/23FlexiCapFd101</v>
      </c>
      <c r="E8205" s="8" t="s">
        <v>419</v>
      </c>
      <c r="F8205" s="8" t="s">
        <v>3798</v>
      </c>
    </row>
    <row r="8206" spans="1:6" ht="60" x14ac:dyDescent="0.25">
      <c r="A8206" s="8" t="s">
        <v>125</v>
      </c>
      <c r="B8206" s="8" t="s">
        <v>148</v>
      </c>
      <c r="C8206" s="8" t="str">
        <f>IFERROR(_xlfn.XLOOKUP(TRIM(B8206),Lookup!$B$2:$B$1000,Lookup!$C$2:$C$1000),"")</f>
        <v>Equity</v>
      </c>
      <c r="D8206" s="8" t="str">
        <f>IFERROR(INDEX('nav master'!$C:$C, MATCH(B8206, 'nav master'!$B:$B, 0)), "")</f>
        <v>ULIF07114/07/23FlexiCapFd101</v>
      </c>
      <c r="E8206" s="8" t="s">
        <v>421</v>
      </c>
      <c r="F8206" s="8" t="s">
        <v>3799</v>
      </c>
    </row>
    <row r="8207" spans="1:6" ht="60" x14ac:dyDescent="0.25">
      <c r="A8207" s="8" t="s">
        <v>125</v>
      </c>
      <c r="B8207" s="8" t="s">
        <v>148</v>
      </c>
      <c r="C8207" s="8" t="str">
        <f>IFERROR(_xlfn.XLOOKUP(TRIM(B8207),Lookup!$B$2:$B$1000,Lookup!$C$2:$C$1000),"")</f>
        <v>Equity</v>
      </c>
      <c r="D8207" s="8" t="str">
        <f>IFERROR(INDEX('nav master'!$C:$C, MATCH(B8207, 'nav master'!$B:$B, 0)), "")</f>
        <v>ULIF07114/07/23FlexiCapFd101</v>
      </c>
      <c r="E8207" s="8" t="s">
        <v>423</v>
      </c>
      <c r="F8207" s="8" t="s">
        <v>3800</v>
      </c>
    </row>
    <row r="8208" spans="1:6" ht="60" x14ac:dyDescent="0.25">
      <c r="A8208" s="8" t="s">
        <v>125</v>
      </c>
      <c r="B8208" s="8" t="s">
        <v>148</v>
      </c>
      <c r="C8208" s="8" t="str">
        <f>IFERROR(_xlfn.XLOOKUP(TRIM(B8208),Lookup!$B$2:$B$1000,Lookup!$C$2:$C$1000),"")</f>
        <v>Equity</v>
      </c>
      <c r="D8208" s="8" t="str">
        <f>IFERROR(INDEX('nav master'!$C:$C, MATCH(B8208, 'nav master'!$B:$B, 0)), "")</f>
        <v>ULIF07114/07/23FlexiCapFd101</v>
      </c>
      <c r="E8208" s="8" t="s">
        <v>425</v>
      </c>
      <c r="F8208" s="8" t="s">
        <v>3801</v>
      </c>
    </row>
    <row r="8209" spans="1:6" ht="60" x14ac:dyDescent="0.25">
      <c r="A8209" s="8" t="s">
        <v>125</v>
      </c>
      <c r="B8209" s="8" t="s">
        <v>148</v>
      </c>
      <c r="C8209" s="8" t="str">
        <f>IFERROR(_xlfn.XLOOKUP(TRIM(B8209),Lookup!$B$2:$B$1000,Lookup!$C$2:$C$1000),"")</f>
        <v>Equity</v>
      </c>
      <c r="D8209" s="8" t="str">
        <f>IFERROR(INDEX('nav master'!$C:$C, MATCH(B8209, 'nav master'!$B:$B, 0)), "")</f>
        <v>ULIF07114/07/23FlexiCapFd101</v>
      </c>
      <c r="E8209" s="8" t="s">
        <v>427</v>
      </c>
      <c r="F8209" s="8" t="s">
        <v>3802</v>
      </c>
    </row>
    <row r="8210" spans="1:6" ht="60" x14ac:dyDescent="0.25">
      <c r="A8210" s="8" t="s">
        <v>125</v>
      </c>
      <c r="B8210" s="8" t="s">
        <v>148</v>
      </c>
      <c r="C8210" s="8" t="str">
        <f>IFERROR(_xlfn.XLOOKUP(TRIM(B8210),Lookup!$B$2:$B$1000,Lookup!$C$2:$C$1000),"")</f>
        <v>Equity</v>
      </c>
      <c r="D8210" s="8" t="str">
        <f>IFERROR(INDEX('nav master'!$C:$C, MATCH(B8210, 'nav master'!$B:$B, 0)), "")</f>
        <v>ULIF07114/07/23FlexiCapFd101</v>
      </c>
      <c r="E8210" s="8" t="s">
        <v>429</v>
      </c>
      <c r="F8210" s="8" t="s">
        <v>3803</v>
      </c>
    </row>
    <row r="8211" spans="1:6" ht="60" x14ac:dyDescent="0.25">
      <c r="A8211" s="8" t="s">
        <v>125</v>
      </c>
      <c r="B8211" s="8" t="s">
        <v>148</v>
      </c>
      <c r="C8211" s="8" t="str">
        <f>IFERROR(_xlfn.XLOOKUP(TRIM(B8211),Lookup!$B$2:$B$1000,Lookup!$C$2:$C$1000),"")</f>
        <v>Equity</v>
      </c>
      <c r="D8211" s="8" t="str">
        <f>IFERROR(INDEX('nav master'!$C:$C, MATCH(B8211, 'nav master'!$B:$B, 0)), "")</f>
        <v>ULIF07114/07/23FlexiCapFd101</v>
      </c>
      <c r="E8211" s="8" t="s">
        <v>431</v>
      </c>
      <c r="F8211" s="8" t="s">
        <v>3804</v>
      </c>
    </row>
    <row r="8212" spans="1:6" ht="60" x14ac:dyDescent="0.25">
      <c r="A8212" s="8" t="s">
        <v>125</v>
      </c>
      <c r="B8212" s="8" t="s">
        <v>148</v>
      </c>
      <c r="C8212" s="8" t="str">
        <f>IFERROR(_xlfn.XLOOKUP(TRIM(B8212),Lookup!$B$2:$B$1000,Lookup!$C$2:$C$1000),"")</f>
        <v>Equity</v>
      </c>
      <c r="D8212" s="8" t="str">
        <f>IFERROR(INDEX('nav master'!$C:$C, MATCH(B8212, 'nav master'!$B:$B, 0)), "")</f>
        <v>ULIF07114/07/23FlexiCapFd101</v>
      </c>
      <c r="E8212" s="8" t="s">
        <v>433</v>
      </c>
      <c r="F8212" s="8" t="s">
        <v>3805</v>
      </c>
    </row>
    <row r="8213" spans="1:6" ht="60" x14ac:dyDescent="0.25">
      <c r="A8213" s="8" t="s">
        <v>125</v>
      </c>
      <c r="B8213" s="8" t="s">
        <v>148</v>
      </c>
      <c r="C8213" s="8" t="str">
        <f>IFERROR(_xlfn.XLOOKUP(TRIM(B8213),Lookup!$B$2:$B$1000,Lookup!$C$2:$C$1000),"")</f>
        <v>Equity</v>
      </c>
      <c r="D8213" s="8" t="str">
        <f>IFERROR(INDEX('nav master'!$C:$C, MATCH(B8213, 'nav master'!$B:$B, 0)), "")</f>
        <v>ULIF07114/07/23FlexiCapFd101</v>
      </c>
      <c r="E8213" s="8" t="s">
        <v>435</v>
      </c>
      <c r="F8213" s="8" t="s">
        <v>3806</v>
      </c>
    </row>
    <row r="8214" spans="1:6" ht="60" x14ac:dyDescent="0.25">
      <c r="A8214" s="8" t="s">
        <v>125</v>
      </c>
      <c r="B8214" s="8" t="s">
        <v>148</v>
      </c>
      <c r="C8214" s="8" t="str">
        <f>IFERROR(_xlfn.XLOOKUP(TRIM(B8214),Lookup!$B$2:$B$1000,Lookup!$C$2:$C$1000),"")</f>
        <v>Equity</v>
      </c>
      <c r="D8214" s="8" t="str">
        <f>IFERROR(INDEX('nav master'!$C:$C, MATCH(B8214, 'nav master'!$B:$B, 0)), "")</f>
        <v>ULIF07114/07/23FlexiCapFd101</v>
      </c>
      <c r="E8214" s="8" t="s">
        <v>437</v>
      </c>
      <c r="F8214" s="8" t="s">
        <v>3807</v>
      </c>
    </row>
    <row r="8215" spans="1:6" ht="60" x14ac:dyDescent="0.25">
      <c r="A8215" s="8" t="s">
        <v>125</v>
      </c>
      <c r="B8215" s="8" t="s">
        <v>148</v>
      </c>
      <c r="C8215" s="8" t="str">
        <f>IFERROR(_xlfn.XLOOKUP(TRIM(B8215),Lookup!$B$2:$B$1000,Lookup!$C$2:$C$1000),"")</f>
        <v>Equity</v>
      </c>
      <c r="D8215" s="8" t="str">
        <f>IFERROR(INDEX('nav master'!$C:$C, MATCH(B8215, 'nav master'!$B:$B, 0)), "")</f>
        <v>ULIF07114/07/23FlexiCapFd101</v>
      </c>
      <c r="E8215" s="8" t="s">
        <v>439</v>
      </c>
      <c r="F8215" s="8" t="s">
        <v>3808</v>
      </c>
    </row>
    <row r="8216" spans="1:6" ht="60" x14ac:dyDescent="0.25">
      <c r="A8216" s="8" t="s">
        <v>125</v>
      </c>
      <c r="B8216" s="8" t="s">
        <v>148</v>
      </c>
      <c r="C8216" s="8" t="str">
        <f>IFERROR(_xlfn.XLOOKUP(TRIM(B8216),Lookup!$B$2:$B$1000,Lookup!$C$2:$C$1000),"")</f>
        <v>Equity</v>
      </c>
      <c r="D8216" s="8" t="str">
        <f>IFERROR(INDEX('nav master'!$C:$C, MATCH(B8216, 'nav master'!$B:$B, 0)), "")</f>
        <v>ULIF07114/07/23FlexiCapFd101</v>
      </c>
      <c r="E8216" s="8" t="s">
        <v>441</v>
      </c>
      <c r="F8216" s="8" t="s">
        <v>3809</v>
      </c>
    </row>
    <row r="8217" spans="1:6" ht="60" x14ac:dyDescent="0.25">
      <c r="A8217" s="8" t="s">
        <v>125</v>
      </c>
      <c r="B8217" s="8" t="s">
        <v>148</v>
      </c>
      <c r="C8217" s="8" t="str">
        <f>IFERROR(_xlfn.XLOOKUP(TRIM(B8217),Lookup!$B$2:$B$1000,Lookup!$C$2:$C$1000),"")</f>
        <v>Equity</v>
      </c>
      <c r="D8217" s="8" t="str">
        <f>IFERROR(INDEX('nav master'!$C:$C, MATCH(B8217, 'nav master'!$B:$B, 0)), "")</f>
        <v>ULIF07114/07/23FlexiCapFd101</v>
      </c>
      <c r="E8217" s="8" t="s">
        <v>443</v>
      </c>
      <c r="F8217" s="8" t="s">
        <v>3810</v>
      </c>
    </row>
    <row r="8218" spans="1:6" ht="60" x14ac:dyDescent="0.25">
      <c r="A8218" s="8" t="s">
        <v>125</v>
      </c>
      <c r="B8218" s="8" t="s">
        <v>148</v>
      </c>
      <c r="C8218" s="8" t="str">
        <f>IFERROR(_xlfn.XLOOKUP(TRIM(B8218),Lookup!$B$2:$B$1000,Lookup!$C$2:$C$1000),"")</f>
        <v>Equity</v>
      </c>
      <c r="D8218" s="8" t="str">
        <f>IFERROR(INDEX('nav master'!$C:$C, MATCH(B8218, 'nav master'!$B:$B, 0)), "")</f>
        <v>ULIF07114/07/23FlexiCapFd101</v>
      </c>
      <c r="E8218" s="8" t="s">
        <v>445</v>
      </c>
      <c r="F8218" s="8" t="s">
        <v>3811</v>
      </c>
    </row>
    <row r="8219" spans="1:6" ht="60" x14ac:dyDescent="0.25">
      <c r="A8219" s="8" t="s">
        <v>125</v>
      </c>
      <c r="B8219" s="8" t="s">
        <v>148</v>
      </c>
      <c r="C8219" s="8" t="str">
        <f>IFERROR(_xlfn.XLOOKUP(TRIM(B8219),Lookup!$B$2:$B$1000,Lookup!$C$2:$C$1000),"")</f>
        <v>Equity</v>
      </c>
      <c r="D8219" s="8" t="str">
        <f>IFERROR(INDEX('nav master'!$C:$C, MATCH(B8219, 'nav master'!$B:$B, 0)), "")</f>
        <v>ULIF07114/07/23FlexiCapFd101</v>
      </c>
      <c r="E8219" s="8" t="s">
        <v>446</v>
      </c>
      <c r="F8219" s="8" t="s">
        <v>3812</v>
      </c>
    </row>
    <row r="8220" spans="1:6" ht="60" x14ac:dyDescent="0.25">
      <c r="A8220" s="8" t="s">
        <v>125</v>
      </c>
      <c r="B8220" s="8" t="s">
        <v>148</v>
      </c>
      <c r="C8220" s="8" t="str">
        <f>IFERROR(_xlfn.XLOOKUP(TRIM(B8220),Lookup!$B$2:$B$1000,Lookup!$C$2:$C$1000),"")</f>
        <v>Equity</v>
      </c>
      <c r="D8220" s="8" t="str">
        <f>IFERROR(INDEX('nav master'!$C:$C, MATCH(B8220, 'nav master'!$B:$B, 0)), "")</f>
        <v>ULIF07114/07/23FlexiCapFd101</v>
      </c>
      <c r="E8220" s="8" t="s">
        <v>448</v>
      </c>
      <c r="F8220" s="8" t="s">
        <v>3813</v>
      </c>
    </row>
    <row r="8221" spans="1:6" ht="60" x14ac:dyDescent="0.25">
      <c r="A8221" s="8" t="s">
        <v>125</v>
      </c>
      <c r="B8221" s="8" t="s">
        <v>148</v>
      </c>
      <c r="C8221" s="8" t="str">
        <f>IFERROR(_xlfn.XLOOKUP(TRIM(B8221),Lookup!$B$2:$B$1000,Lookup!$C$2:$C$1000),"")</f>
        <v>Equity</v>
      </c>
      <c r="D8221" s="8" t="str">
        <f>IFERROR(INDEX('nav master'!$C:$C, MATCH(B8221, 'nav master'!$B:$B, 0)), "")</f>
        <v>ULIF07114/07/23FlexiCapFd101</v>
      </c>
      <c r="E8221" s="8" t="s">
        <v>450</v>
      </c>
      <c r="F8221" s="8" t="s">
        <v>3814</v>
      </c>
    </row>
    <row r="8222" spans="1:6" ht="60" x14ac:dyDescent="0.25">
      <c r="A8222" s="8" t="s">
        <v>125</v>
      </c>
      <c r="B8222" s="8" t="s">
        <v>148</v>
      </c>
      <c r="C8222" s="8" t="str">
        <f>IFERROR(_xlfn.XLOOKUP(TRIM(B8222),Lookup!$B$2:$B$1000,Lookup!$C$2:$C$1000),"")</f>
        <v>Equity</v>
      </c>
      <c r="D8222" s="8" t="str">
        <f>IFERROR(INDEX('nav master'!$C:$C, MATCH(B8222, 'nav master'!$B:$B, 0)), "")</f>
        <v>ULIF07114/07/23FlexiCapFd101</v>
      </c>
      <c r="E8222" s="8" t="s">
        <v>452</v>
      </c>
      <c r="F8222" s="8" t="s">
        <v>3815</v>
      </c>
    </row>
    <row r="8223" spans="1:6" ht="60" x14ac:dyDescent="0.25">
      <c r="A8223" s="8" t="s">
        <v>125</v>
      </c>
      <c r="B8223" s="8" t="s">
        <v>148</v>
      </c>
      <c r="C8223" s="8" t="str">
        <f>IFERROR(_xlfn.XLOOKUP(TRIM(B8223),Lookup!$B$2:$B$1000,Lookup!$C$2:$C$1000),"")</f>
        <v>Equity</v>
      </c>
      <c r="D8223" s="8" t="str">
        <f>IFERROR(INDEX('nav master'!$C:$C, MATCH(B8223, 'nav master'!$B:$B, 0)), "")</f>
        <v>ULIF07114/07/23FlexiCapFd101</v>
      </c>
      <c r="E8223" s="8" t="s">
        <v>454</v>
      </c>
      <c r="F8223" s="8" t="s">
        <v>3816</v>
      </c>
    </row>
    <row r="8224" spans="1:6" ht="60" x14ac:dyDescent="0.25">
      <c r="A8224" s="8" t="s">
        <v>125</v>
      </c>
      <c r="B8224" s="8" t="s">
        <v>148</v>
      </c>
      <c r="C8224" s="8" t="str">
        <f>IFERROR(_xlfn.XLOOKUP(TRIM(B8224),Lookup!$B$2:$B$1000,Lookup!$C$2:$C$1000),"")</f>
        <v>Equity</v>
      </c>
      <c r="D8224" s="8" t="str">
        <f>IFERROR(INDEX('nav master'!$C:$C, MATCH(B8224, 'nav master'!$B:$B, 0)), "")</f>
        <v>ULIF07114/07/23FlexiCapFd101</v>
      </c>
      <c r="E8224" s="8" t="s">
        <v>456</v>
      </c>
      <c r="F8224" s="8" t="s">
        <v>3817</v>
      </c>
    </row>
    <row r="8225" spans="1:6" ht="60" x14ac:dyDescent="0.25">
      <c r="A8225" s="8" t="s">
        <v>125</v>
      </c>
      <c r="B8225" s="8" t="s">
        <v>148</v>
      </c>
      <c r="C8225" s="8" t="str">
        <f>IFERROR(_xlfn.XLOOKUP(TRIM(B8225),Lookup!$B$2:$B$1000,Lookup!$C$2:$C$1000),"")</f>
        <v>Equity</v>
      </c>
      <c r="D8225" s="8" t="str">
        <f>IFERROR(INDEX('nav master'!$C:$C, MATCH(B8225, 'nav master'!$B:$B, 0)), "")</f>
        <v>ULIF07114/07/23FlexiCapFd101</v>
      </c>
      <c r="E8225" s="8" t="s">
        <v>458</v>
      </c>
      <c r="F8225" s="8" t="s">
        <v>3818</v>
      </c>
    </row>
    <row r="8226" spans="1:6" ht="60" x14ac:dyDescent="0.25">
      <c r="A8226" s="8" t="s">
        <v>125</v>
      </c>
      <c r="B8226" s="8" t="s">
        <v>148</v>
      </c>
      <c r="C8226" s="8" t="str">
        <f>IFERROR(_xlfn.XLOOKUP(TRIM(B8226),Lookup!$B$2:$B$1000,Lookup!$C$2:$C$1000),"")</f>
        <v>Equity</v>
      </c>
      <c r="D8226" s="8" t="str">
        <f>IFERROR(INDEX('nav master'!$C:$C, MATCH(B8226, 'nav master'!$B:$B, 0)), "")</f>
        <v>ULIF07114/07/23FlexiCapFd101</v>
      </c>
      <c r="E8226" s="8" t="s">
        <v>460</v>
      </c>
      <c r="F8226" s="8" t="s">
        <v>3819</v>
      </c>
    </row>
    <row r="8227" spans="1:6" ht="60" x14ac:dyDescent="0.25">
      <c r="A8227" s="8" t="s">
        <v>125</v>
      </c>
      <c r="B8227" s="8" t="s">
        <v>148</v>
      </c>
      <c r="C8227" s="8" t="str">
        <f>IFERROR(_xlfn.XLOOKUP(TRIM(B8227),Lookup!$B$2:$B$1000,Lookup!$C$2:$C$1000),"")</f>
        <v>Equity</v>
      </c>
      <c r="D8227" s="8" t="str">
        <f>IFERROR(INDEX('nav master'!$C:$C, MATCH(B8227, 'nav master'!$B:$B, 0)), "")</f>
        <v>ULIF07114/07/23FlexiCapFd101</v>
      </c>
      <c r="E8227" s="8" t="s">
        <v>462</v>
      </c>
      <c r="F8227" s="8" t="s">
        <v>3820</v>
      </c>
    </row>
    <row r="8228" spans="1:6" ht="60" x14ac:dyDescent="0.25">
      <c r="A8228" s="8" t="s">
        <v>125</v>
      </c>
      <c r="B8228" s="8" t="s">
        <v>148</v>
      </c>
      <c r="C8228" s="8" t="str">
        <f>IFERROR(_xlfn.XLOOKUP(TRIM(B8228),Lookup!$B$2:$B$1000,Lookup!$C$2:$C$1000),"")</f>
        <v>Equity</v>
      </c>
      <c r="D8228" s="8" t="str">
        <f>IFERROR(INDEX('nav master'!$C:$C, MATCH(B8228, 'nav master'!$B:$B, 0)), "")</f>
        <v>ULIF07114/07/23FlexiCapFd101</v>
      </c>
      <c r="E8228" s="8" t="s">
        <v>464</v>
      </c>
      <c r="F8228" s="8" t="s">
        <v>3821</v>
      </c>
    </row>
    <row r="8229" spans="1:6" ht="60" x14ac:dyDescent="0.25">
      <c r="A8229" s="8" t="s">
        <v>125</v>
      </c>
      <c r="B8229" s="8" t="s">
        <v>148</v>
      </c>
      <c r="C8229" s="8" t="str">
        <f>IFERROR(_xlfn.XLOOKUP(TRIM(B8229),Lookup!$B$2:$B$1000,Lookup!$C$2:$C$1000),"")</f>
        <v>Equity</v>
      </c>
      <c r="D8229" s="8" t="str">
        <f>IFERROR(INDEX('nav master'!$C:$C, MATCH(B8229, 'nav master'!$B:$B, 0)), "")</f>
        <v>ULIF07114/07/23FlexiCapFd101</v>
      </c>
      <c r="E8229" s="8" t="s">
        <v>466</v>
      </c>
      <c r="F8229" s="8" t="s">
        <v>3822</v>
      </c>
    </row>
    <row r="8230" spans="1:6" ht="60" x14ac:dyDescent="0.25">
      <c r="A8230" s="8" t="s">
        <v>125</v>
      </c>
      <c r="B8230" s="8" t="s">
        <v>148</v>
      </c>
      <c r="C8230" s="8" t="str">
        <f>IFERROR(_xlfn.XLOOKUP(TRIM(B8230),Lookup!$B$2:$B$1000,Lookup!$C$2:$C$1000),"")</f>
        <v>Equity</v>
      </c>
      <c r="D8230" s="8" t="str">
        <f>IFERROR(INDEX('nav master'!$C:$C, MATCH(B8230, 'nav master'!$B:$B, 0)), "")</f>
        <v>ULIF07114/07/23FlexiCapFd101</v>
      </c>
      <c r="E8230" s="8" t="s">
        <v>468</v>
      </c>
      <c r="F8230" s="8" t="s">
        <v>3823</v>
      </c>
    </row>
    <row r="8231" spans="1:6" ht="60" x14ac:dyDescent="0.25">
      <c r="A8231" s="8" t="s">
        <v>125</v>
      </c>
      <c r="B8231" s="8" t="s">
        <v>148</v>
      </c>
      <c r="C8231" s="8" t="str">
        <f>IFERROR(_xlfn.XLOOKUP(TRIM(B8231),Lookup!$B$2:$B$1000,Lookup!$C$2:$C$1000),"")</f>
        <v>Equity</v>
      </c>
      <c r="D8231" s="8" t="str">
        <f>IFERROR(INDEX('nav master'!$C:$C, MATCH(B8231, 'nav master'!$B:$B, 0)), "")</f>
        <v>ULIF07114/07/23FlexiCapFd101</v>
      </c>
      <c r="E8231" s="8" t="s">
        <v>470</v>
      </c>
      <c r="F8231" s="8" t="s">
        <v>3824</v>
      </c>
    </row>
    <row r="8232" spans="1:6" ht="60" x14ac:dyDescent="0.25">
      <c r="A8232" s="8" t="s">
        <v>125</v>
      </c>
      <c r="B8232" s="8" t="s">
        <v>148</v>
      </c>
      <c r="C8232" s="8" t="str">
        <f>IFERROR(_xlfn.XLOOKUP(TRIM(B8232),Lookup!$B$2:$B$1000,Lookup!$C$2:$C$1000),"")</f>
        <v>Equity</v>
      </c>
      <c r="D8232" s="8" t="str">
        <f>IFERROR(INDEX('nav master'!$C:$C, MATCH(B8232, 'nav master'!$B:$B, 0)), "")</f>
        <v>ULIF07114/07/23FlexiCapFd101</v>
      </c>
      <c r="E8232" s="8" t="s">
        <v>472</v>
      </c>
      <c r="F8232" s="8" t="s">
        <v>3825</v>
      </c>
    </row>
    <row r="8233" spans="1:6" ht="60" x14ac:dyDescent="0.25">
      <c r="A8233" s="8" t="s">
        <v>125</v>
      </c>
      <c r="B8233" s="8" t="s">
        <v>148</v>
      </c>
      <c r="C8233" s="8" t="str">
        <f>IFERROR(_xlfn.XLOOKUP(TRIM(B8233),Lookup!$B$2:$B$1000,Lookup!$C$2:$C$1000),"")</f>
        <v>Equity</v>
      </c>
      <c r="D8233" s="8" t="str">
        <f>IFERROR(INDEX('nav master'!$C:$C, MATCH(B8233, 'nav master'!$B:$B, 0)), "")</f>
        <v>ULIF07114/07/23FlexiCapFd101</v>
      </c>
      <c r="E8233" s="8" t="s">
        <v>474</v>
      </c>
      <c r="F8233" s="8" t="s">
        <v>3826</v>
      </c>
    </row>
    <row r="8234" spans="1:6" ht="60" x14ac:dyDescent="0.25">
      <c r="A8234" s="8" t="s">
        <v>125</v>
      </c>
      <c r="B8234" s="8" t="s">
        <v>148</v>
      </c>
      <c r="C8234" s="8" t="str">
        <f>IFERROR(_xlfn.XLOOKUP(TRIM(B8234),Lookup!$B$2:$B$1000,Lookup!$C$2:$C$1000),"")</f>
        <v>Equity</v>
      </c>
      <c r="D8234" s="8" t="str">
        <f>IFERROR(INDEX('nav master'!$C:$C, MATCH(B8234, 'nav master'!$B:$B, 0)), "")</f>
        <v>ULIF07114/07/23FlexiCapFd101</v>
      </c>
      <c r="E8234" s="8" t="s">
        <v>476</v>
      </c>
      <c r="F8234" s="8" t="s">
        <v>3827</v>
      </c>
    </row>
    <row r="8235" spans="1:6" ht="60" x14ac:dyDescent="0.25">
      <c r="A8235" s="8" t="s">
        <v>125</v>
      </c>
      <c r="B8235" s="8" t="s">
        <v>148</v>
      </c>
      <c r="C8235" s="8" t="str">
        <f>IFERROR(_xlfn.XLOOKUP(TRIM(B8235),Lookup!$B$2:$B$1000,Lookup!$C$2:$C$1000),"")</f>
        <v>Equity</v>
      </c>
      <c r="D8235" s="8" t="str">
        <f>IFERROR(INDEX('nav master'!$C:$C, MATCH(B8235, 'nav master'!$B:$B, 0)), "")</f>
        <v>ULIF07114/07/23FlexiCapFd101</v>
      </c>
      <c r="E8235" s="8" t="s">
        <v>478</v>
      </c>
      <c r="F8235" s="8" t="s">
        <v>3828</v>
      </c>
    </row>
    <row r="8236" spans="1:6" ht="60" x14ac:dyDescent="0.25">
      <c r="A8236" s="8" t="s">
        <v>125</v>
      </c>
      <c r="B8236" s="8" t="s">
        <v>148</v>
      </c>
      <c r="C8236" s="8" t="str">
        <f>IFERROR(_xlfn.XLOOKUP(TRIM(B8236),Lookup!$B$2:$B$1000,Lookup!$C$2:$C$1000),"")</f>
        <v>Equity</v>
      </c>
      <c r="D8236" s="8" t="str">
        <f>IFERROR(INDEX('nav master'!$C:$C, MATCH(B8236, 'nav master'!$B:$B, 0)), "")</f>
        <v>ULIF07114/07/23FlexiCapFd101</v>
      </c>
      <c r="E8236" s="8" t="s">
        <v>480</v>
      </c>
      <c r="F8236" s="8" t="s">
        <v>3829</v>
      </c>
    </row>
    <row r="8237" spans="1:6" ht="60" x14ac:dyDescent="0.25">
      <c r="A8237" s="8" t="s">
        <v>125</v>
      </c>
      <c r="B8237" s="8" t="s">
        <v>148</v>
      </c>
      <c r="C8237" s="8" t="str">
        <f>IFERROR(_xlfn.XLOOKUP(TRIM(B8237),Lookup!$B$2:$B$1000,Lookup!$C$2:$C$1000),"")</f>
        <v>Equity</v>
      </c>
      <c r="D8237" s="8" t="str">
        <f>IFERROR(INDEX('nav master'!$C:$C, MATCH(B8237, 'nav master'!$B:$B, 0)), "")</f>
        <v>ULIF07114/07/23FlexiCapFd101</v>
      </c>
      <c r="E8237" s="8" t="s">
        <v>482</v>
      </c>
      <c r="F8237" s="8" t="s">
        <v>3830</v>
      </c>
    </row>
    <row r="8238" spans="1:6" ht="60" x14ac:dyDescent="0.25">
      <c r="A8238" s="8" t="s">
        <v>125</v>
      </c>
      <c r="B8238" s="8" t="s">
        <v>148</v>
      </c>
      <c r="C8238" s="8" t="str">
        <f>IFERROR(_xlfn.XLOOKUP(TRIM(B8238),Lookup!$B$2:$B$1000,Lookup!$C$2:$C$1000),"")</f>
        <v>Equity</v>
      </c>
      <c r="D8238" s="8" t="str">
        <f>IFERROR(INDEX('nav master'!$C:$C, MATCH(B8238, 'nav master'!$B:$B, 0)), "")</f>
        <v>ULIF07114/07/23FlexiCapFd101</v>
      </c>
      <c r="E8238" s="8" t="s">
        <v>484</v>
      </c>
      <c r="F8238" s="8" t="s">
        <v>3831</v>
      </c>
    </row>
    <row r="8239" spans="1:6" ht="60" x14ac:dyDescent="0.25">
      <c r="A8239" s="8" t="s">
        <v>125</v>
      </c>
      <c r="B8239" s="8" t="s">
        <v>148</v>
      </c>
      <c r="C8239" s="8" t="str">
        <f>IFERROR(_xlfn.XLOOKUP(TRIM(B8239),Lookup!$B$2:$B$1000,Lookup!$C$2:$C$1000),"")</f>
        <v>Equity</v>
      </c>
      <c r="D8239" s="8" t="str">
        <f>IFERROR(INDEX('nav master'!$C:$C, MATCH(B8239, 'nav master'!$B:$B, 0)), "")</f>
        <v>ULIF07114/07/23FlexiCapFd101</v>
      </c>
      <c r="E8239" s="8" t="s">
        <v>486</v>
      </c>
      <c r="F8239" s="8" t="s">
        <v>3832</v>
      </c>
    </row>
    <row r="8240" spans="1:6" ht="60" x14ac:dyDescent="0.25">
      <c r="A8240" s="8" t="s">
        <v>125</v>
      </c>
      <c r="B8240" s="8" t="s">
        <v>148</v>
      </c>
      <c r="C8240" s="8" t="str">
        <f>IFERROR(_xlfn.XLOOKUP(TRIM(B8240),Lookup!$B$2:$B$1000,Lookup!$C$2:$C$1000),"")</f>
        <v>Equity</v>
      </c>
      <c r="D8240" s="8" t="str">
        <f>IFERROR(INDEX('nav master'!$C:$C, MATCH(B8240, 'nav master'!$B:$B, 0)), "")</f>
        <v>ULIF07114/07/23FlexiCapFd101</v>
      </c>
      <c r="E8240" s="8" t="s">
        <v>488</v>
      </c>
      <c r="F8240" s="8" t="s">
        <v>3833</v>
      </c>
    </row>
    <row r="8241" spans="1:6" ht="60" x14ac:dyDescent="0.25">
      <c r="A8241" s="8" t="s">
        <v>125</v>
      </c>
      <c r="B8241" s="8" t="s">
        <v>148</v>
      </c>
      <c r="C8241" s="8" t="str">
        <f>IFERROR(_xlfn.XLOOKUP(TRIM(B8241),Lookup!$B$2:$B$1000,Lookup!$C$2:$C$1000),"")</f>
        <v>Equity</v>
      </c>
      <c r="D8241" s="8" t="str">
        <f>IFERROR(INDEX('nav master'!$C:$C, MATCH(B8241, 'nav master'!$B:$B, 0)), "")</f>
        <v>ULIF07114/07/23FlexiCapFd101</v>
      </c>
      <c r="E8241" s="8" t="s">
        <v>490</v>
      </c>
      <c r="F8241" s="8" t="s">
        <v>3834</v>
      </c>
    </row>
    <row r="8242" spans="1:6" ht="60" x14ac:dyDescent="0.25">
      <c r="A8242" s="8" t="s">
        <v>125</v>
      </c>
      <c r="B8242" s="8" t="s">
        <v>148</v>
      </c>
      <c r="C8242" s="8" t="str">
        <f>IFERROR(_xlfn.XLOOKUP(TRIM(B8242),Lookup!$B$2:$B$1000,Lookup!$C$2:$C$1000),"")</f>
        <v>Equity</v>
      </c>
      <c r="D8242" s="8" t="str">
        <f>IFERROR(INDEX('nav master'!$C:$C, MATCH(B8242, 'nav master'!$B:$B, 0)), "")</f>
        <v>ULIF07114/07/23FlexiCapFd101</v>
      </c>
      <c r="E8242" s="8" t="s">
        <v>492</v>
      </c>
      <c r="F8242" s="8" t="s">
        <v>3835</v>
      </c>
    </row>
    <row r="8243" spans="1:6" ht="60" x14ac:dyDescent="0.25">
      <c r="A8243" s="8" t="s">
        <v>125</v>
      </c>
      <c r="B8243" s="8" t="s">
        <v>148</v>
      </c>
      <c r="C8243" s="8" t="str">
        <f>IFERROR(_xlfn.XLOOKUP(TRIM(B8243),Lookup!$B$2:$B$1000,Lookup!$C$2:$C$1000),"")</f>
        <v>Equity</v>
      </c>
      <c r="D8243" s="8" t="str">
        <f>IFERROR(INDEX('nav master'!$C:$C, MATCH(B8243, 'nav master'!$B:$B, 0)), "")</f>
        <v>ULIF07114/07/23FlexiCapFd101</v>
      </c>
      <c r="E8243" s="8" t="s">
        <v>494</v>
      </c>
      <c r="F8243" s="8" t="s">
        <v>3836</v>
      </c>
    </row>
    <row r="8244" spans="1:6" ht="60" x14ac:dyDescent="0.25">
      <c r="A8244" s="8" t="s">
        <v>125</v>
      </c>
      <c r="B8244" s="8" t="s">
        <v>148</v>
      </c>
      <c r="C8244" s="8" t="str">
        <f>IFERROR(_xlfn.XLOOKUP(TRIM(B8244),Lookup!$B$2:$B$1000,Lookup!$C$2:$C$1000),"")</f>
        <v>Equity</v>
      </c>
      <c r="D8244" s="8" t="str">
        <f>IFERROR(INDEX('nav master'!$C:$C, MATCH(B8244, 'nav master'!$B:$B, 0)), "")</f>
        <v>ULIF07114/07/23FlexiCapFd101</v>
      </c>
      <c r="E8244" s="8" t="s">
        <v>496</v>
      </c>
      <c r="F8244" s="8" t="s">
        <v>3837</v>
      </c>
    </row>
    <row r="8245" spans="1:6" ht="60" x14ac:dyDescent="0.25">
      <c r="A8245" s="8" t="s">
        <v>125</v>
      </c>
      <c r="B8245" s="8" t="s">
        <v>148</v>
      </c>
      <c r="C8245" s="8" t="str">
        <f>IFERROR(_xlfn.XLOOKUP(TRIM(B8245),Lookup!$B$2:$B$1000,Lookup!$C$2:$C$1000),"")</f>
        <v>Equity</v>
      </c>
      <c r="D8245" s="8" t="str">
        <f>IFERROR(INDEX('nav master'!$C:$C, MATCH(B8245, 'nav master'!$B:$B, 0)), "")</f>
        <v>ULIF07114/07/23FlexiCapFd101</v>
      </c>
      <c r="E8245" s="8" t="s">
        <v>498</v>
      </c>
      <c r="F8245" s="8" t="s">
        <v>3838</v>
      </c>
    </row>
    <row r="8246" spans="1:6" ht="60" x14ac:dyDescent="0.25">
      <c r="A8246" s="8" t="s">
        <v>125</v>
      </c>
      <c r="B8246" s="8" t="s">
        <v>148</v>
      </c>
      <c r="C8246" s="8" t="str">
        <f>IFERROR(_xlfn.XLOOKUP(TRIM(B8246),Lookup!$B$2:$B$1000,Lookup!$C$2:$C$1000),"")</f>
        <v>Equity</v>
      </c>
      <c r="D8246" s="8" t="str">
        <f>IFERROR(INDEX('nav master'!$C:$C, MATCH(B8246, 'nav master'!$B:$B, 0)), "")</f>
        <v>ULIF07114/07/23FlexiCapFd101</v>
      </c>
      <c r="E8246" s="8" t="s">
        <v>500</v>
      </c>
      <c r="F8246" s="8" t="s">
        <v>3839</v>
      </c>
    </row>
    <row r="8247" spans="1:6" ht="60" x14ac:dyDescent="0.25">
      <c r="A8247" s="8" t="s">
        <v>125</v>
      </c>
      <c r="B8247" s="8" t="s">
        <v>148</v>
      </c>
      <c r="C8247" s="8" t="str">
        <f>IFERROR(_xlfn.XLOOKUP(TRIM(B8247),Lookup!$B$2:$B$1000,Lookup!$C$2:$C$1000),"")</f>
        <v>Equity</v>
      </c>
      <c r="D8247" s="8" t="str">
        <f>IFERROR(INDEX('nav master'!$C:$C, MATCH(B8247, 'nav master'!$B:$B, 0)), "")</f>
        <v>ULIF07114/07/23FlexiCapFd101</v>
      </c>
      <c r="E8247" s="8" t="s">
        <v>502</v>
      </c>
      <c r="F8247" s="8" t="s">
        <v>3840</v>
      </c>
    </row>
    <row r="8248" spans="1:6" ht="60" x14ac:dyDescent="0.25">
      <c r="A8248" s="8" t="s">
        <v>125</v>
      </c>
      <c r="B8248" s="8" t="s">
        <v>148</v>
      </c>
      <c r="C8248" s="8" t="str">
        <f>IFERROR(_xlfn.XLOOKUP(TRIM(B8248),Lookup!$B$2:$B$1000,Lookup!$C$2:$C$1000),"")</f>
        <v>Equity</v>
      </c>
      <c r="D8248" s="8" t="str">
        <f>IFERROR(INDEX('nav master'!$C:$C, MATCH(B8248, 'nav master'!$B:$B, 0)), "")</f>
        <v>ULIF07114/07/23FlexiCapFd101</v>
      </c>
      <c r="E8248" s="8" t="s">
        <v>504</v>
      </c>
      <c r="F8248" s="8" t="s">
        <v>3841</v>
      </c>
    </row>
    <row r="8249" spans="1:6" ht="60" x14ac:dyDescent="0.25">
      <c r="A8249" s="8" t="s">
        <v>125</v>
      </c>
      <c r="B8249" s="8" t="s">
        <v>148</v>
      </c>
      <c r="C8249" s="8" t="str">
        <f>IFERROR(_xlfn.XLOOKUP(TRIM(B8249),Lookup!$B$2:$B$1000,Lookup!$C$2:$C$1000),"")</f>
        <v>Equity</v>
      </c>
      <c r="D8249" s="8" t="str">
        <f>IFERROR(INDEX('nav master'!$C:$C, MATCH(B8249, 'nav master'!$B:$B, 0)), "")</f>
        <v>ULIF07114/07/23FlexiCapFd101</v>
      </c>
      <c r="E8249" s="8" t="s">
        <v>506</v>
      </c>
      <c r="F8249" s="8" t="s">
        <v>3842</v>
      </c>
    </row>
    <row r="8250" spans="1:6" ht="60" x14ac:dyDescent="0.25">
      <c r="A8250" s="8" t="s">
        <v>125</v>
      </c>
      <c r="B8250" s="8" t="s">
        <v>148</v>
      </c>
      <c r="C8250" s="8" t="str">
        <f>IFERROR(_xlfn.XLOOKUP(TRIM(B8250),Lookup!$B$2:$B$1000,Lookup!$C$2:$C$1000),"")</f>
        <v>Equity</v>
      </c>
      <c r="D8250" s="8" t="str">
        <f>IFERROR(INDEX('nav master'!$C:$C, MATCH(B8250, 'nav master'!$B:$B, 0)), "")</f>
        <v>ULIF07114/07/23FlexiCapFd101</v>
      </c>
      <c r="E8250" s="8" t="s">
        <v>508</v>
      </c>
      <c r="F8250" s="8" t="s">
        <v>3843</v>
      </c>
    </row>
    <row r="8251" spans="1:6" ht="60" x14ac:dyDescent="0.25">
      <c r="A8251" s="8" t="s">
        <v>125</v>
      </c>
      <c r="B8251" s="8" t="s">
        <v>148</v>
      </c>
      <c r="C8251" s="8" t="str">
        <f>IFERROR(_xlfn.XLOOKUP(TRIM(B8251),Lookup!$B$2:$B$1000,Lookup!$C$2:$C$1000),"")</f>
        <v>Equity</v>
      </c>
      <c r="D8251" s="8" t="str">
        <f>IFERROR(INDEX('nav master'!$C:$C, MATCH(B8251, 'nav master'!$B:$B, 0)), "")</f>
        <v>ULIF07114/07/23FlexiCapFd101</v>
      </c>
      <c r="E8251" s="8" t="s">
        <v>510</v>
      </c>
      <c r="F8251" s="8" t="s">
        <v>3844</v>
      </c>
    </row>
    <row r="8252" spans="1:6" ht="60" x14ac:dyDescent="0.25">
      <c r="A8252" s="8" t="s">
        <v>125</v>
      </c>
      <c r="B8252" s="8" t="s">
        <v>148</v>
      </c>
      <c r="C8252" s="8" t="str">
        <f>IFERROR(_xlfn.XLOOKUP(TRIM(B8252),Lookup!$B$2:$B$1000,Lookup!$C$2:$C$1000),"")</f>
        <v>Equity</v>
      </c>
      <c r="D8252" s="8" t="str">
        <f>IFERROR(INDEX('nav master'!$C:$C, MATCH(B8252, 'nav master'!$B:$B, 0)), "")</f>
        <v>ULIF07114/07/23FlexiCapFd101</v>
      </c>
      <c r="E8252" s="8" t="s">
        <v>512</v>
      </c>
      <c r="F8252" s="8" t="s">
        <v>3845</v>
      </c>
    </row>
    <row r="8253" spans="1:6" ht="60" x14ac:dyDescent="0.25">
      <c r="A8253" s="8" t="s">
        <v>125</v>
      </c>
      <c r="B8253" s="8" t="s">
        <v>148</v>
      </c>
      <c r="C8253" s="8" t="str">
        <f>IFERROR(_xlfn.XLOOKUP(TRIM(B8253),Lookup!$B$2:$B$1000,Lookup!$C$2:$C$1000),"")</f>
        <v>Equity</v>
      </c>
      <c r="D8253" s="8" t="str">
        <f>IFERROR(INDEX('nav master'!$C:$C, MATCH(B8253, 'nav master'!$B:$B, 0)), "")</f>
        <v>ULIF07114/07/23FlexiCapFd101</v>
      </c>
      <c r="E8253" s="8" t="s">
        <v>514</v>
      </c>
      <c r="F8253" s="8" t="s">
        <v>3846</v>
      </c>
    </row>
    <row r="8254" spans="1:6" ht="60" x14ac:dyDescent="0.25">
      <c r="A8254" s="8" t="s">
        <v>125</v>
      </c>
      <c r="B8254" s="8" t="s">
        <v>148</v>
      </c>
      <c r="C8254" s="8" t="str">
        <f>IFERROR(_xlfn.XLOOKUP(TRIM(B8254),Lookup!$B$2:$B$1000,Lookup!$C$2:$C$1000),"")</f>
        <v>Equity</v>
      </c>
      <c r="D8254" s="8" t="str">
        <f>IFERROR(INDEX('nav master'!$C:$C, MATCH(B8254, 'nav master'!$B:$B, 0)), "")</f>
        <v>ULIF07114/07/23FlexiCapFd101</v>
      </c>
      <c r="E8254" s="8" t="s">
        <v>516</v>
      </c>
      <c r="F8254" s="8" t="s">
        <v>3847</v>
      </c>
    </row>
    <row r="8255" spans="1:6" ht="60" x14ac:dyDescent="0.25">
      <c r="A8255" s="8" t="s">
        <v>125</v>
      </c>
      <c r="B8255" s="8" t="s">
        <v>148</v>
      </c>
      <c r="C8255" s="8" t="str">
        <f>IFERROR(_xlfn.XLOOKUP(TRIM(B8255),Lookup!$B$2:$B$1000,Lookup!$C$2:$C$1000),"")</f>
        <v>Equity</v>
      </c>
      <c r="D8255" s="8" t="str">
        <f>IFERROR(INDEX('nav master'!$C:$C, MATCH(B8255, 'nav master'!$B:$B, 0)), "")</f>
        <v>ULIF07114/07/23FlexiCapFd101</v>
      </c>
      <c r="E8255" s="8" t="s">
        <v>518</v>
      </c>
      <c r="F8255" s="8" t="s">
        <v>3848</v>
      </c>
    </row>
    <row r="8256" spans="1:6" ht="60" x14ac:dyDescent="0.25">
      <c r="A8256" s="8" t="s">
        <v>125</v>
      </c>
      <c r="B8256" s="8" t="s">
        <v>148</v>
      </c>
      <c r="C8256" s="8" t="str">
        <f>IFERROR(_xlfn.XLOOKUP(TRIM(B8256),Lookup!$B$2:$B$1000,Lookup!$C$2:$C$1000),"")</f>
        <v>Equity</v>
      </c>
      <c r="D8256" s="8" t="str">
        <f>IFERROR(INDEX('nav master'!$C:$C, MATCH(B8256, 'nav master'!$B:$B, 0)), "")</f>
        <v>ULIF07114/07/23FlexiCapFd101</v>
      </c>
      <c r="E8256" s="8" t="s">
        <v>520</v>
      </c>
      <c r="F8256" s="8" t="s">
        <v>3849</v>
      </c>
    </row>
    <row r="8257" spans="1:6" ht="60" x14ac:dyDescent="0.25">
      <c r="A8257" s="8" t="s">
        <v>125</v>
      </c>
      <c r="B8257" s="8" t="s">
        <v>148</v>
      </c>
      <c r="C8257" s="8" t="str">
        <f>IFERROR(_xlfn.XLOOKUP(TRIM(B8257),Lookup!$B$2:$B$1000,Lookup!$C$2:$C$1000),"")</f>
        <v>Equity</v>
      </c>
      <c r="D8257" s="8" t="str">
        <f>IFERROR(INDEX('nav master'!$C:$C, MATCH(B8257, 'nav master'!$B:$B, 0)), "")</f>
        <v>ULIF07114/07/23FlexiCapFd101</v>
      </c>
      <c r="E8257" s="8" t="s">
        <v>522</v>
      </c>
      <c r="F8257" s="8" t="s">
        <v>3850</v>
      </c>
    </row>
    <row r="8258" spans="1:6" ht="60" x14ac:dyDescent="0.25">
      <c r="A8258" s="8" t="s">
        <v>125</v>
      </c>
      <c r="B8258" s="8" t="s">
        <v>148</v>
      </c>
      <c r="C8258" s="8" t="str">
        <f>IFERROR(_xlfn.XLOOKUP(TRIM(B8258),Lookup!$B$2:$B$1000,Lookup!$C$2:$C$1000),"")</f>
        <v>Equity</v>
      </c>
      <c r="D8258" s="8" t="str">
        <f>IFERROR(INDEX('nav master'!$C:$C, MATCH(B8258, 'nav master'!$B:$B, 0)), "")</f>
        <v>ULIF07114/07/23FlexiCapFd101</v>
      </c>
      <c r="E8258" s="8" t="s">
        <v>524</v>
      </c>
      <c r="F8258" s="8" t="s">
        <v>3851</v>
      </c>
    </row>
    <row r="8259" spans="1:6" ht="60" x14ac:dyDescent="0.25">
      <c r="A8259" s="8" t="s">
        <v>125</v>
      </c>
      <c r="B8259" s="8" t="s">
        <v>148</v>
      </c>
      <c r="C8259" s="8" t="str">
        <f>IFERROR(_xlfn.XLOOKUP(TRIM(B8259),Lookup!$B$2:$B$1000,Lookup!$C$2:$C$1000),"")</f>
        <v>Equity</v>
      </c>
      <c r="D8259" s="8" t="str">
        <f>IFERROR(INDEX('nav master'!$C:$C, MATCH(B8259, 'nav master'!$B:$B, 0)), "")</f>
        <v>ULIF07114/07/23FlexiCapFd101</v>
      </c>
      <c r="E8259" s="8" t="s">
        <v>526</v>
      </c>
      <c r="F8259" s="8" t="s">
        <v>3852</v>
      </c>
    </row>
    <row r="8260" spans="1:6" ht="60" x14ac:dyDescent="0.25">
      <c r="A8260" s="8" t="s">
        <v>125</v>
      </c>
      <c r="B8260" s="8" t="s">
        <v>148</v>
      </c>
      <c r="C8260" s="8" t="str">
        <f>IFERROR(_xlfn.XLOOKUP(TRIM(B8260),Lookup!$B$2:$B$1000,Lookup!$C$2:$C$1000),"")</f>
        <v>Equity</v>
      </c>
      <c r="D8260" s="8" t="str">
        <f>IFERROR(INDEX('nav master'!$C:$C, MATCH(B8260, 'nav master'!$B:$B, 0)), "")</f>
        <v>ULIF07114/07/23FlexiCapFd101</v>
      </c>
      <c r="E8260" s="8" t="s">
        <v>528</v>
      </c>
      <c r="F8260" s="8" t="s">
        <v>3853</v>
      </c>
    </row>
    <row r="8261" spans="1:6" ht="60" x14ac:dyDescent="0.25">
      <c r="A8261" s="8" t="s">
        <v>125</v>
      </c>
      <c r="B8261" s="8" t="s">
        <v>148</v>
      </c>
      <c r="C8261" s="8" t="str">
        <f>IFERROR(_xlfn.XLOOKUP(TRIM(B8261),Lookup!$B$2:$B$1000,Lookup!$C$2:$C$1000),"")</f>
        <v>Equity</v>
      </c>
      <c r="D8261" s="8" t="str">
        <f>IFERROR(INDEX('nav master'!$C:$C, MATCH(B8261, 'nav master'!$B:$B, 0)), "")</f>
        <v>ULIF07114/07/23FlexiCapFd101</v>
      </c>
      <c r="E8261" s="8" t="s">
        <v>530</v>
      </c>
      <c r="F8261" s="8" t="s">
        <v>3854</v>
      </c>
    </row>
    <row r="8262" spans="1:6" ht="60" x14ac:dyDescent="0.25">
      <c r="A8262" s="8" t="s">
        <v>125</v>
      </c>
      <c r="B8262" s="8" t="s">
        <v>148</v>
      </c>
      <c r="C8262" s="8" t="str">
        <f>IFERROR(_xlfn.XLOOKUP(TRIM(B8262),Lookup!$B$2:$B$1000,Lookup!$C$2:$C$1000),"")</f>
        <v>Equity</v>
      </c>
      <c r="D8262" s="8" t="str">
        <f>IFERROR(INDEX('nav master'!$C:$C, MATCH(B8262, 'nav master'!$B:$B, 0)), "")</f>
        <v>ULIF07114/07/23FlexiCapFd101</v>
      </c>
      <c r="E8262" s="8" t="s">
        <v>532</v>
      </c>
      <c r="F8262" s="8" t="s">
        <v>3855</v>
      </c>
    </row>
    <row r="8263" spans="1:6" ht="60" x14ac:dyDescent="0.25">
      <c r="A8263" s="8" t="s">
        <v>125</v>
      </c>
      <c r="B8263" s="8" t="s">
        <v>148</v>
      </c>
      <c r="C8263" s="8" t="str">
        <f>IFERROR(_xlfn.XLOOKUP(TRIM(B8263),Lookup!$B$2:$B$1000,Lookup!$C$2:$C$1000),"")</f>
        <v>Equity</v>
      </c>
      <c r="D8263" s="8" t="str">
        <f>IFERROR(INDEX('nav master'!$C:$C, MATCH(B8263, 'nav master'!$B:$B, 0)), "")</f>
        <v>ULIF07114/07/23FlexiCapFd101</v>
      </c>
      <c r="E8263" s="8" t="s">
        <v>534</v>
      </c>
      <c r="F8263" s="8" t="s">
        <v>3856</v>
      </c>
    </row>
    <row r="8264" spans="1:6" ht="60" x14ac:dyDescent="0.25">
      <c r="A8264" s="8" t="s">
        <v>125</v>
      </c>
      <c r="B8264" s="8" t="s">
        <v>148</v>
      </c>
      <c r="C8264" s="8" t="str">
        <f>IFERROR(_xlfn.XLOOKUP(TRIM(B8264),Lookup!$B$2:$B$1000,Lookup!$C$2:$C$1000),"")</f>
        <v>Equity</v>
      </c>
      <c r="D8264" s="8" t="str">
        <f>IFERROR(INDEX('nav master'!$C:$C, MATCH(B8264, 'nav master'!$B:$B, 0)), "")</f>
        <v>ULIF07114/07/23FlexiCapFd101</v>
      </c>
      <c r="E8264" s="8" t="s">
        <v>536</v>
      </c>
      <c r="F8264" s="8" t="s">
        <v>3857</v>
      </c>
    </row>
    <row r="8265" spans="1:6" ht="60" x14ac:dyDescent="0.25">
      <c r="A8265" s="8" t="s">
        <v>125</v>
      </c>
      <c r="B8265" s="8" t="s">
        <v>148</v>
      </c>
      <c r="C8265" s="8" t="str">
        <f>IFERROR(_xlfn.XLOOKUP(TRIM(B8265),Lookup!$B$2:$B$1000,Lookup!$C$2:$C$1000),"")</f>
        <v>Equity</v>
      </c>
      <c r="D8265" s="8" t="str">
        <f>IFERROR(INDEX('nav master'!$C:$C, MATCH(B8265, 'nav master'!$B:$B, 0)), "")</f>
        <v>ULIF07114/07/23FlexiCapFd101</v>
      </c>
      <c r="E8265" s="8" t="s">
        <v>538</v>
      </c>
      <c r="F8265" s="8" t="s">
        <v>3858</v>
      </c>
    </row>
    <row r="8266" spans="1:6" ht="60" x14ac:dyDescent="0.25">
      <c r="A8266" s="8" t="s">
        <v>125</v>
      </c>
      <c r="B8266" s="8" t="s">
        <v>148</v>
      </c>
      <c r="C8266" s="8" t="str">
        <f>IFERROR(_xlfn.XLOOKUP(TRIM(B8266),Lookup!$B$2:$B$1000,Lookup!$C$2:$C$1000),"")</f>
        <v>Equity</v>
      </c>
      <c r="D8266" s="8" t="str">
        <f>IFERROR(INDEX('nav master'!$C:$C, MATCH(B8266, 'nav master'!$B:$B, 0)), "")</f>
        <v>ULIF07114/07/23FlexiCapFd101</v>
      </c>
      <c r="E8266" s="8" t="s">
        <v>540</v>
      </c>
      <c r="F8266" s="8" t="s">
        <v>3859</v>
      </c>
    </row>
    <row r="8267" spans="1:6" ht="60" x14ac:dyDescent="0.25">
      <c r="A8267" s="8" t="s">
        <v>125</v>
      </c>
      <c r="B8267" s="8" t="s">
        <v>148</v>
      </c>
      <c r="C8267" s="8" t="str">
        <f>IFERROR(_xlfn.XLOOKUP(TRIM(B8267),Lookup!$B$2:$B$1000,Lookup!$C$2:$C$1000),"")</f>
        <v>Equity</v>
      </c>
      <c r="D8267" s="8" t="str">
        <f>IFERROR(INDEX('nav master'!$C:$C, MATCH(B8267, 'nav master'!$B:$B, 0)), "")</f>
        <v>ULIF07114/07/23FlexiCapFd101</v>
      </c>
      <c r="E8267" s="8" t="s">
        <v>542</v>
      </c>
      <c r="F8267" s="8" t="s">
        <v>3860</v>
      </c>
    </row>
    <row r="8268" spans="1:6" ht="60" x14ac:dyDescent="0.25">
      <c r="A8268" s="8" t="s">
        <v>125</v>
      </c>
      <c r="B8268" s="8" t="s">
        <v>148</v>
      </c>
      <c r="C8268" s="8" t="str">
        <f>IFERROR(_xlfn.XLOOKUP(TRIM(B8268),Lookup!$B$2:$B$1000,Lookup!$C$2:$C$1000),"")</f>
        <v>Equity</v>
      </c>
      <c r="D8268" s="8" t="str">
        <f>IFERROR(INDEX('nav master'!$C:$C, MATCH(B8268, 'nav master'!$B:$B, 0)), "")</f>
        <v>ULIF07114/07/23FlexiCapFd101</v>
      </c>
      <c r="E8268" s="8" t="s">
        <v>544</v>
      </c>
      <c r="F8268" s="8" t="s">
        <v>3861</v>
      </c>
    </row>
    <row r="8269" spans="1:6" ht="60" x14ac:dyDescent="0.25">
      <c r="A8269" s="8" t="s">
        <v>125</v>
      </c>
      <c r="B8269" s="8" t="s">
        <v>148</v>
      </c>
      <c r="C8269" s="8" t="str">
        <f>IFERROR(_xlfn.XLOOKUP(TRIM(B8269),Lookup!$B$2:$B$1000,Lookup!$C$2:$C$1000),"")</f>
        <v>Equity</v>
      </c>
      <c r="D8269" s="8" t="str">
        <f>IFERROR(INDEX('nav master'!$C:$C, MATCH(B8269, 'nav master'!$B:$B, 0)), "")</f>
        <v>ULIF07114/07/23FlexiCapFd101</v>
      </c>
      <c r="E8269" s="8" t="s">
        <v>546</v>
      </c>
      <c r="F8269" s="8" t="s">
        <v>3862</v>
      </c>
    </row>
    <row r="8270" spans="1:6" ht="60" x14ac:dyDescent="0.25">
      <c r="A8270" s="8" t="s">
        <v>125</v>
      </c>
      <c r="B8270" s="8" t="s">
        <v>148</v>
      </c>
      <c r="C8270" s="8" t="str">
        <f>IFERROR(_xlfn.XLOOKUP(TRIM(B8270),Lookup!$B$2:$B$1000,Lookup!$C$2:$C$1000),"")</f>
        <v>Equity</v>
      </c>
      <c r="D8270" s="8" t="str">
        <f>IFERROR(INDEX('nav master'!$C:$C, MATCH(B8270, 'nav master'!$B:$B, 0)), "")</f>
        <v>ULIF07114/07/23FlexiCapFd101</v>
      </c>
      <c r="E8270" s="8" t="s">
        <v>548</v>
      </c>
      <c r="F8270" s="8" t="s">
        <v>3863</v>
      </c>
    </row>
    <row r="8271" spans="1:6" ht="60" x14ac:dyDescent="0.25">
      <c r="A8271" s="8" t="s">
        <v>125</v>
      </c>
      <c r="B8271" s="8" t="s">
        <v>148</v>
      </c>
      <c r="C8271" s="8" t="str">
        <f>IFERROR(_xlfn.XLOOKUP(TRIM(B8271),Lookup!$B$2:$B$1000,Lookup!$C$2:$C$1000),"")</f>
        <v>Equity</v>
      </c>
      <c r="D8271" s="8" t="str">
        <f>IFERROR(INDEX('nav master'!$C:$C, MATCH(B8271, 'nav master'!$B:$B, 0)), "")</f>
        <v>ULIF07114/07/23FlexiCapFd101</v>
      </c>
      <c r="E8271" s="8" t="s">
        <v>550</v>
      </c>
      <c r="F8271" s="8" t="s">
        <v>2403</v>
      </c>
    </row>
    <row r="8272" spans="1:6" ht="60" x14ac:dyDescent="0.25">
      <c r="A8272" s="8" t="s">
        <v>125</v>
      </c>
      <c r="B8272" s="8" t="s">
        <v>148</v>
      </c>
      <c r="C8272" s="8" t="str">
        <f>IFERROR(_xlfn.XLOOKUP(TRIM(B8272),Lookup!$B$2:$B$1000,Lookup!$C$2:$C$1000),"")</f>
        <v>Equity</v>
      </c>
      <c r="D8272" s="8" t="str">
        <f>IFERROR(INDEX('nav master'!$C:$C, MATCH(B8272, 'nav master'!$B:$B, 0)), "")</f>
        <v>ULIF07114/07/23FlexiCapFd101</v>
      </c>
      <c r="E8272" s="8" t="s">
        <v>552</v>
      </c>
      <c r="F8272" s="8" t="s">
        <v>3864</v>
      </c>
    </row>
    <row r="8273" spans="1:6" ht="60" x14ac:dyDescent="0.25">
      <c r="A8273" s="8" t="s">
        <v>125</v>
      </c>
      <c r="B8273" s="8" t="s">
        <v>148</v>
      </c>
      <c r="C8273" s="8" t="str">
        <f>IFERROR(_xlfn.XLOOKUP(TRIM(B8273),Lookup!$B$2:$B$1000,Lookup!$C$2:$C$1000),"")</f>
        <v>Equity</v>
      </c>
      <c r="D8273" s="8" t="str">
        <f>IFERROR(INDEX('nav master'!$C:$C, MATCH(B8273, 'nav master'!$B:$B, 0)), "")</f>
        <v>ULIF07114/07/23FlexiCapFd101</v>
      </c>
      <c r="E8273" s="8" t="s">
        <v>554</v>
      </c>
      <c r="F8273" s="8" t="s">
        <v>3865</v>
      </c>
    </row>
    <row r="8274" spans="1:6" ht="60" x14ac:dyDescent="0.25">
      <c r="A8274" s="8" t="s">
        <v>125</v>
      </c>
      <c r="B8274" s="8" t="s">
        <v>148</v>
      </c>
      <c r="C8274" s="8" t="str">
        <f>IFERROR(_xlfn.XLOOKUP(TRIM(B8274),Lookup!$B$2:$B$1000,Lookup!$C$2:$C$1000),"")</f>
        <v>Equity</v>
      </c>
      <c r="D8274" s="8" t="str">
        <f>IFERROR(INDEX('nav master'!$C:$C, MATCH(B8274, 'nav master'!$B:$B, 0)), "")</f>
        <v>ULIF07114/07/23FlexiCapFd101</v>
      </c>
      <c r="E8274" s="8" t="s">
        <v>556</v>
      </c>
      <c r="F8274" s="8" t="s">
        <v>3866</v>
      </c>
    </row>
    <row r="8275" spans="1:6" ht="60" x14ac:dyDescent="0.25">
      <c r="A8275" s="8" t="s">
        <v>125</v>
      </c>
      <c r="B8275" s="8" t="s">
        <v>148</v>
      </c>
      <c r="C8275" s="8" t="str">
        <f>IFERROR(_xlfn.XLOOKUP(TRIM(B8275),Lookup!$B$2:$B$1000,Lookup!$C$2:$C$1000),"")</f>
        <v>Equity</v>
      </c>
      <c r="D8275" s="8" t="str">
        <f>IFERROR(INDEX('nav master'!$C:$C, MATCH(B8275, 'nav master'!$B:$B, 0)), "")</f>
        <v>ULIF07114/07/23FlexiCapFd101</v>
      </c>
      <c r="E8275" s="8" t="s">
        <v>558</v>
      </c>
      <c r="F8275" s="8" t="s">
        <v>3867</v>
      </c>
    </row>
    <row r="8276" spans="1:6" ht="60" x14ac:dyDescent="0.25">
      <c r="A8276" s="8" t="s">
        <v>125</v>
      </c>
      <c r="B8276" s="8" t="s">
        <v>148</v>
      </c>
      <c r="C8276" s="8" t="str">
        <f>IFERROR(_xlfn.XLOOKUP(TRIM(B8276),Lookup!$B$2:$B$1000,Lookup!$C$2:$C$1000),"")</f>
        <v>Equity</v>
      </c>
      <c r="D8276" s="8" t="str">
        <f>IFERROR(INDEX('nav master'!$C:$C, MATCH(B8276, 'nav master'!$B:$B, 0)), "")</f>
        <v>ULIF07114/07/23FlexiCapFd101</v>
      </c>
      <c r="E8276" s="8" t="s">
        <v>560</v>
      </c>
      <c r="F8276" s="8" t="s">
        <v>3868</v>
      </c>
    </row>
    <row r="8277" spans="1:6" ht="60" x14ac:dyDescent="0.25">
      <c r="A8277" s="8" t="s">
        <v>125</v>
      </c>
      <c r="B8277" s="8" t="s">
        <v>148</v>
      </c>
      <c r="C8277" s="8" t="str">
        <f>IFERROR(_xlfn.XLOOKUP(TRIM(B8277),Lookup!$B$2:$B$1000,Lookup!$C$2:$C$1000),"")</f>
        <v>Equity</v>
      </c>
      <c r="D8277" s="8" t="str">
        <f>IFERROR(INDEX('nav master'!$C:$C, MATCH(B8277, 'nav master'!$B:$B, 0)), "")</f>
        <v>ULIF07114/07/23FlexiCapFd101</v>
      </c>
      <c r="E8277" s="8" t="s">
        <v>562</v>
      </c>
      <c r="F8277" s="8" t="s">
        <v>3869</v>
      </c>
    </row>
    <row r="8278" spans="1:6" ht="60" x14ac:dyDescent="0.25">
      <c r="A8278" s="8" t="s">
        <v>125</v>
      </c>
      <c r="B8278" s="8" t="s">
        <v>148</v>
      </c>
      <c r="C8278" s="8" t="str">
        <f>IFERROR(_xlfn.XLOOKUP(TRIM(B8278),Lookup!$B$2:$B$1000,Lookup!$C$2:$C$1000),"")</f>
        <v>Equity</v>
      </c>
      <c r="D8278" s="8" t="str">
        <f>IFERROR(INDEX('nav master'!$C:$C, MATCH(B8278, 'nav master'!$B:$B, 0)), "")</f>
        <v>ULIF07114/07/23FlexiCapFd101</v>
      </c>
      <c r="E8278" s="8" t="s">
        <v>564</v>
      </c>
      <c r="F8278" s="8" t="s">
        <v>3870</v>
      </c>
    </row>
    <row r="8279" spans="1:6" ht="60" x14ac:dyDescent="0.25">
      <c r="A8279" s="8" t="s">
        <v>125</v>
      </c>
      <c r="B8279" s="8" t="s">
        <v>148</v>
      </c>
      <c r="C8279" s="8" t="str">
        <f>IFERROR(_xlfn.XLOOKUP(TRIM(B8279),Lookup!$B$2:$B$1000,Lookup!$C$2:$C$1000),"")</f>
        <v>Equity</v>
      </c>
      <c r="D8279" s="8" t="str">
        <f>IFERROR(INDEX('nav master'!$C:$C, MATCH(B8279, 'nav master'!$B:$B, 0)), "")</f>
        <v>ULIF07114/07/23FlexiCapFd101</v>
      </c>
      <c r="E8279" s="8" t="s">
        <v>566</v>
      </c>
      <c r="F8279" s="8" t="s">
        <v>3871</v>
      </c>
    </row>
    <row r="8280" spans="1:6" ht="60" x14ac:dyDescent="0.25">
      <c r="A8280" s="8" t="s">
        <v>125</v>
      </c>
      <c r="B8280" s="8" t="s">
        <v>148</v>
      </c>
      <c r="C8280" s="8" t="str">
        <f>IFERROR(_xlfn.XLOOKUP(TRIM(B8280),Lookup!$B$2:$B$1000,Lookup!$C$2:$C$1000),"")</f>
        <v>Equity</v>
      </c>
      <c r="D8280" s="8" t="str">
        <f>IFERROR(INDEX('nav master'!$C:$C, MATCH(B8280, 'nav master'!$B:$B, 0)), "")</f>
        <v>ULIF07114/07/23FlexiCapFd101</v>
      </c>
      <c r="E8280" s="8" t="s">
        <v>568</v>
      </c>
      <c r="F8280" s="8" t="s">
        <v>3872</v>
      </c>
    </row>
    <row r="8281" spans="1:6" ht="60" x14ac:dyDescent="0.25">
      <c r="A8281" s="8" t="s">
        <v>125</v>
      </c>
      <c r="B8281" s="8" t="s">
        <v>148</v>
      </c>
      <c r="C8281" s="8" t="str">
        <f>IFERROR(_xlfn.XLOOKUP(TRIM(B8281),Lookup!$B$2:$B$1000,Lookup!$C$2:$C$1000),"")</f>
        <v>Equity</v>
      </c>
      <c r="D8281" s="8" t="str">
        <f>IFERROR(INDEX('nav master'!$C:$C, MATCH(B8281, 'nav master'!$B:$B, 0)), "")</f>
        <v>ULIF07114/07/23FlexiCapFd101</v>
      </c>
      <c r="E8281" s="8" t="s">
        <v>570</v>
      </c>
      <c r="F8281" s="8" t="s">
        <v>3873</v>
      </c>
    </row>
    <row r="8282" spans="1:6" ht="60" x14ac:dyDescent="0.25">
      <c r="A8282" s="8" t="s">
        <v>125</v>
      </c>
      <c r="B8282" s="8" t="s">
        <v>148</v>
      </c>
      <c r="C8282" s="8" t="str">
        <f>IFERROR(_xlfn.XLOOKUP(TRIM(B8282),Lookup!$B$2:$B$1000,Lookup!$C$2:$C$1000),"")</f>
        <v>Equity</v>
      </c>
      <c r="D8282" s="8" t="str">
        <f>IFERROR(INDEX('nav master'!$C:$C, MATCH(B8282, 'nav master'!$B:$B, 0)), "")</f>
        <v>ULIF07114/07/23FlexiCapFd101</v>
      </c>
      <c r="E8282" s="8" t="s">
        <v>572</v>
      </c>
      <c r="F8282" s="8" t="s">
        <v>3874</v>
      </c>
    </row>
    <row r="8283" spans="1:6" ht="60" x14ac:dyDescent="0.25">
      <c r="A8283" s="8" t="s">
        <v>125</v>
      </c>
      <c r="B8283" s="8" t="s">
        <v>148</v>
      </c>
      <c r="C8283" s="8" t="str">
        <f>IFERROR(_xlfn.XLOOKUP(TRIM(B8283),Lookup!$B$2:$B$1000,Lookup!$C$2:$C$1000),"")</f>
        <v>Equity</v>
      </c>
      <c r="D8283" s="8" t="str">
        <f>IFERROR(INDEX('nav master'!$C:$C, MATCH(B8283, 'nav master'!$B:$B, 0)), "")</f>
        <v>ULIF07114/07/23FlexiCapFd101</v>
      </c>
      <c r="E8283" s="8" t="s">
        <v>574</v>
      </c>
      <c r="F8283" s="8" t="s">
        <v>3875</v>
      </c>
    </row>
    <row r="8284" spans="1:6" ht="60" x14ac:dyDescent="0.25">
      <c r="A8284" s="8" t="s">
        <v>125</v>
      </c>
      <c r="B8284" s="8" t="s">
        <v>148</v>
      </c>
      <c r="C8284" s="8" t="str">
        <f>IFERROR(_xlfn.XLOOKUP(TRIM(B8284),Lookup!$B$2:$B$1000,Lookup!$C$2:$C$1000),"")</f>
        <v>Equity</v>
      </c>
      <c r="D8284" s="8" t="str">
        <f>IFERROR(INDEX('nav master'!$C:$C, MATCH(B8284, 'nav master'!$B:$B, 0)), "")</f>
        <v>ULIF07114/07/23FlexiCapFd101</v>
      </c>
      <c r="E8284" s="8" t="s">
        <v>576</v>
      </c>
      <c r="F8284" s="8" t="s">
        <v>3876</v>
      </c>
    </row>
    <row r="8285" spans="1:6" ht="60" x14ac:dyDescent="0.25">
      <c r="A8285" s="8" t="s">
        <v>125</v>
      </c>
      <c r="B8285" s="8" t="s">
        <v>148</v>
      </c>
      <c r="C8285" s="8" t="str">
        <f>IFERROR(_xlfn.XLOOKUP(TRIM(B8285),Lookup!$B$2:$B$1000,Lookup!$C$2:$C$1000),"")</f>
        <v>Equity</v>
      </c>
      <c r="D8285" s="8" t="str">
        <f>IFERROR(INDEX('nav master'!$C:$C, MATCH(B8285, 'nav master'!$B:$B, 0)), "")</f>
        <v>ULIF07114/07/23FlexiCapFd101</v>
      </c>
      <c r="E8285" s="8" t="s">
        <v>578</v>
      </c>
      <c r="F8285" s="8" t="s">
        <v>3877</v>
      </c>
    </row>
    <row r="8286" spans="1:6" ht="60" x14ac:dyDescent="0.25">
      <c r="A8286" s="8" t="s">
        <v>125</v>
      </c>
      <c r="B8286" s="8" t="s">
        <v>148</v>
      </c>
      <c r="C8286" s="8" t="str">
        <f>IFERROR(_xlfn.XLOOKUP(TRIM(B8286),Lookup!$B$2:$B$1000,Lookup!$C$2:$C$1000),"")</f>
        <v>Equity</v>
      </c>
      <c r="D8286" s="8" t="str">
        <f>IFERROR(INDEX('nav master'!$C:$C, MATCH(B8286, 'nav master'!$B:$B, 0)), "")</f>
        <v>ULIF07114/07/23FlexiCapFd101</v>
      </c>
      <c r="E8286" s="8" t="s">
        <v>580</v>
      </c>
      <c r="F8286" s="8" t="s">
        <v>3878</v>
      </c>
    </row>
    <row r="8287" spans="1:6" ht="60" x14ac:dyDescent="0.25">
      <c r="A8287" s="8" t="s">
        <v>125</v>
      </c>
      <c r="B8287" s="8" t="s">
        <v>148</v>
      </c>
      <c r="C8287" s="8" t="str">
        <f>IFERROR(_xlfn.XLOOKUP(TRIM(B8287),Lookup!$B$2:$B$1000,Lookup!$C$2:$C$1000),"")</f>
        <v>Equity</v>
      </c>
      <c r="D8287" s="8" t="str">
        <f>IFERROR(INDEX('nav master'!$C:$C, MATCH(B8287, 'nav master'!$B:$B, 0)), "")</f>
        <v>ULIF07114/07/23FlexiCapFd101</v>
      </c>
      <c r="E8287" s="8" t="s">
        <v>582</v>
      </c>
      <c r="F8287" s="8" t="s">
        <v>3879</v>
      </c>
    </row>
    <row r="8288" spans="1:6" ht="60" x14ac:dyDescent="0.25">
      <c r="A8288" s="8" t="s">
        <v>125</v>
      </c>
      <c r="B8288" s="8" t="s">
        <v>148</v>
      </c>
      <c r="C8288" s="8" t="str">
        <f>IFERROR(_xlfn.XLOOKUP(TRIM(B8288),Lookup!$B$2:$B$1000,Lookup!$C$2:$C$1000),"")</f>
        <v>Equity</v>
      </c>
      <c r="D8288" s="8" t="str">
        <f>IFERROR(INDEX('nav master'!$C:$C, MATCH(B8288, 'nav master'!$B:$B, 0)), "")</f>
        <v>ULIF07114/07/23FlexiCapFd101</v>
      </c>
      <c r="E8288" s="8" t="s">
        <v>584</v>
      </c>
      <c r="F8288" s="8" t="s">
        <v>3880</v>
      </c>
    </row>
    <row r="8289" spans="1:6" ht="60" x14ac:dyDescent="0.25">
      <c r="A8289" s="8" t="s">
        <v>125</v>
      </c>
      <c r="B8289" s="8" t="s">
        <v>148</v>
      </c>
      <c r="C8289" s="8" t="str">
        <f>IFERROR(_xlfn.XLOOKUP(TRIM(B8289),Lookup!$B$2:$B$1000,Lookup!$C$2:$C$1000),"")</f>
        <v>Equity</v>
      </c>
      <c r="D8289" s="8" t="str">
        <f>IFERROR(INDEX('nav master'!$C:$C, MATCH(B8289, 'nav master'!$B:$B, 0)), "")</f>
        <v>ULIF07114/07/23FlexiCapFd101</v>
      </c>
      <c r="E8289" s="8" t="s">
        <v>586</v>
      </c>
      <c r="F8289" s="8" t="s">
        <v>3881</v>
      </c>
    </row>
    <row r="8290" spans="1:6" ht="60" x14ac:dyDescent="0.25">
      <c r="A8290" s="8" t="s">
        <v>125</v>
      </c>
      <c r="B8290" s="8" t="s">
        <v>148</v>
      </c>
      <c r="C8290" s="8" t="str">
        <f>IFERROR(_xlfn.XLOOKUP(TRIM(B8290),Lookup!$B$2:$B$1000,Lookup!$C$2:$C$1000),"")</f>
        <v>Equity</v>
      </c>
      <c r="D8290" s="8" t="str">
        <f>IFERROR(INDEX('nav master'!$C:$C, MATCH(B8290, 'nav master'!$B:$B, 0)), "")</f>
        <v>ULIF07114/07/23FlexiCapFd101</v>
      </c>
      <c r="E8290" s="8" t="s">
        <v>588</v>
      </c>
      <c r="F8290" s="8" t="s">
        <v>3882</v>
      </c>
    </row>
    <row r="8291" spans="1:6" ht="60" x14ac:dyDescent="0.25">
      <c r="A8291" s="8" t="s">
        <v>125</v>
      </c>
      <c r="B8291" s="8" t="s">
        <v>148</v>
      </c>
      <c r="C8291" s="8" t="str">
        <f>IFERROR(_xlfn.XLOOKUP(TRIM(B8291),Lookup!$B$2:$B$1000,Lookup!$C$2:$C$1000),"")</f>
        <v>Equity</v>
      </c>
      <c r="D8291" s="8" t="str">
        <f>IFERROR(INDEX('nav master'!$C:$C, MATCH(B8291, 'nav master'!$B:$B, 0)), "")</f>
        <v>ULIF07114/07/23FlexiCapFd101</v>
      </c>
      <c r="E8291" s="8" t="s">
        <v>590</v>
      </c>
      <c r="F8291" s="8" t="s">
        <v>3883</v>
      </c>
    </row>
    <row r="8292" spans="1:6" ht="60" x14ac:dyDescent="0.25">
      <c r="A8292" s="8" t="s">
        <v>125</v>
      </c>
      <c r="B8292" s="8" t="s">
        <v>148</v>
      </c>
      <c r="C8292" s="8" t="str">
        <f>IFERROR(_xlfn.XLOOKUP(TRIM(B8292),Lookup!$B$2:$B$1000,Lookup!$C$2:$C$1000),"")</f>
        <v>Equity</v>
      </c>
      <c r="D8292" s="8" t="str">
        <f>IFERROR(INDEX('nav master'!$C:$C, MATCH(B8292, 'nav master'!$B:$B, 0)), "")</f>
        <v>ULIF07114/07/23FlexiCapFd101</v>
      </c>
      <c r="E8292" s="8" t="s">
        <v>592</v>
      </c>
      <c r="F8292" s="8" t="s">
        <v>3884</v>
      </c>
    </row>
    <row r="8293" spans="1:6" ht="60" x14ac:dyDescent="0.25">
      <c r="A8293" s="8" t="s">
        <v>125</v>
      </c>
      <c r="B8293" s="8" t="s">
        <v>148</v>
      </c>
      <c r="C8293" s="8" t="str">
        <f>IFERROR(_xlfn.XLOOKUP(TRIM(B8293),Lookup!$B$2:$B$1000,Lookup!$C$2:$C$1000),"")</f>
        <v>Equity</v>
      </c>
      <c r="D8293" s="8" t="str">
        <f>IFERROR(INDEX('nav master'!$C:$C, MATCH(B8293, 'nav master'!$B:$B, 0)), "")</f>
        <v>ULIF07114/07/23FlexiCapFd101</v>
      </c>
      <c r="E8293" s="8" t="s">
        <v>594</v>
      </c>
      <c r="F8293" s="8" t="s">
        <v>3885</v>
      </c>
    </row>
    <row r="8294" spans="1:6" ht="60" x14ac:dyDescent="0.25">
      <c r="A8294" s="8" t="s">
        <v>125</v>
      </c>
      <c r="B8294" s="8" t="s">
        <v>148</v>
      </c>
      <c r="C8294" s="8" t="str">
        <f>IFERROR(_xlfn.XLOOKUP(TRIM(B8294),Lookup!$B$2:$B$1000,Lookup!$C$2:$C$1000),"")</f>
        <v>Equity</v>
      </c>
      <c r="D8294" s="8" t="str">
        <f>IFERROR(INDEX('nav master'!$C:$C, MATCH(B8294, 'nav master'!$B:$B, 0)), "")</f>
        <v>ULIF07114/07/23FlexiCapFd101</v>
      </c>
      <c r="E8294" s="8" t="s">
        <v>596</v>
      </c>
      <c r="F8294" s="8" t="s">
        <v>3886</v>
      </c>
    </row>
    <row r="8295" spans="1:6" ht="60" x14ac:dyDescent="0.25">
      <c r="A8295" s="8" t="s">
        <v>125</v>
      </c>
      <c r="B8295" s="8" t="s">
        <v>148</v>
      </c>
      <c r="C8295" s="8" t="str">
        <f>IFERROR(_xlfn.XLOOKUP(TRIM(B8295),Lookup!$B$2:$B$1000,Lookup!$C$2:$C$1000),"")</f>
        <v>Equity</v>
      </c>
      <c r="D8295" s="8" t="str">
        <f>IFERROR(INDEX('nav master'!$C:$C, MATCH(B8295, 'nav master'!$B:$B, 0)), "")</f>
        <v>ULIF07114/07/23FlexiCapFd101</v>
      </c>
      <c r="E8295" s="8" t="s">
        <v>598</v>
      </c>
      <c r="F8295" s="8" t="s">
        <v>3887</v>
      </c>
    </row>
    <row r="8296" spans="1:6" ht="60" x14ac:dyDescent="0.25">
      <c r="A8296" s="8" t="s">
        <v>125</v>
      </c>
      <c r="B8296" s="8" t="s">
        <v>148</v>
      </c>
      <c r="C8296" s="8" t="str">
        <f>IFERROR(_xlfn.XLOOKUP(TRIM(B8296),Lookup!$B$2:$B$1000,Lookup!$C$2:$C$1000),"")</f>
        <v>Equity</v>
      </c>
      <c r="D8296" s="8" t="str">
        <f>IFERROR(INDEX('nav master'!$C:$C, MATCH(B8296, 'nav master'!$B:$B, 0)), "")</f>
        <v>ULIF07114/07/23FlexiCapFd101</v>
      </c>
      <c r="E8296" s="8" t="s">
        <v>600</v>
      </c>
      <c r="F8296" s="8" t="s">
        <v>3888</v>
      </c>
    </row>
    <row r="8297" spans="1:6" ht="60" x14ac:dyDescent="0.25">
      <c r="A8297" s="8" t="s">
        <v>125</v>
      </c>
      <c r="B8297" s="8" t="s">
        <v>148</v>
      </c>
      <c r="C8297" s="8" t="str">
        <f>IFERROR(_xlfn.XLOOKUP(TRIM(B8297),Lookup!$B$2:$B$1000,Lookup!$C$2:$C$1000),"")</f>
        <v>Equity</v>
      </c>
      <c r="D8297" s="8" t="str">
        <f>IFERROR(INDEX('nav master'!$C:$C, MATCH(B8297, 'nav master'!$B:$B, 0)), "")</f>
        <v>ULIF07114/07/23FlexiCapFd101</v>
      </c>
      <c r="E8297" s="8" t="s">
        <v>602</v>
      </c>
      <c r="F8297" s="8" t="s">
        <v>3889</v>
      </c>
    </row>
    <row r="8298" spans="1:6" ht="60" x14ac:dyDescent="0.25">
      <c r="A8298" s="8" t="s">
        <v>125</v>
      </c>
      <c r="B8298" s="8" t="s">
        <v>148</v>
      </c>
      <c r="C8298" s="8" t="str">
        <f>IFERROR(_xlfn.XLOOKUP(TRIM(B8298),Lookup!$B$2:$B$1000,Lookup!$C$2:$C$1000),"")</f>
        <v>Equity</v>
      </c>
      <c r="D8298" s="8" t="str">
        <f>IFERROR(INDEX('nav master'!$C:$C, MATCH(B8298, 'nav master'!$B:$B, 0)), "")</f>
        <v>ULIF07114/07/23FlexiCapFd101</v>
      </c>
      <c r="E8298" s="8" t="s">
        <v>604</v>
      </c>
      <c r="F8298" s="8" t="s">
        <v>3890</v>
      </c>
    </row>
    <row r="8299" spans="1:6" ht="60" x14ac:dyDescent="0.25">
      <c r="A8299" s="8" t="s">
        <v>125</v>
      </c>
      <c r="B8299" s="8" t="s">
        <v>148</v>
      </c>
      <c r="C8299" s="8" t="str">
        <f>IFERROR(_xlfn.XLOOKUP(TRIM(B8299),Lookup!$B$2:$B$1000,Lookup!$C$2:$C$1000),"")</f>
        <v>Equity</v>
      </c>
      <c r="D8299" s="8" t="str">
        <f>IFERROR(INDEX('nav master'!$C:$C, MATCH(B8299, 'nav master'!$B:$B, 0)), "")</f>
        <v>ULIF07114/07/23FlexiCapFd101</v>
      </c>
      <c r="E8299" s="8" t="s">
        <v>606</v>
      </c>
      <c r="F8299" s="8" t="s">
        <v>3891</v>
      </c>
    </row>
    <row r="8300" spans="1:6" ht="60" x14ac:dyDescent="0.25">
      <c r="A8300" s="8" t="s">
        <v>125</v>
      </c>
      <c r="B8300" s="8" t="s">
        <v>148</v>
      </c>
      <c r="C8300" s="8" t="str">
        <f>IFERROR(_xlfn.XLOOKUP(TRIM(B8300),Lookup!$B$2:$B$1000,Lookup!$C$2:$C$1000),"")</f>
        <v>Equity</v>
      </c>
      <c r="D8300" s="8" t="str">
        <f>IFERROR(INDEX('nav master'!$C:$C, MATCH(B8300, 'nav master'!$B:$B, 0)), "")</f>
        <v>ULIF07114/07/23FlexiCapFd101</v>
      </c>
      <c r="E8300" s="8" t="s">
        <v>608</v>
      </c>
      <c r="F8300" s="8" t="s">
        <v>3892</v>
      </c>
    </row>
    <row r="8301" spans="1:6" ht="60" x14ac:dyDescent="0.25">
      <c r="A8301" s="8" t="s">
        <v>125</v>
      </c>
      <c r="B8301" s="8" t="s">
        <v>148</v>
      </c>
      <c r="C8301" s="8" t="str">
        <f>IFERROR(_xlfn.XLOOKUP(TRIM(B8301),Lookup!$B$2:$B$1000,Lookup!$C$2:$C$1000),"")</f>
        <v>Equity</v>
      </c>
      <c r="D8301" s="8" t="str">
        <f>IFERROR(INDEX('nav master'!$C:$C, MATCH(B8301, 'nav master'!$B:$B, 0)), "")</f>
        <v>ULIF07114/07/23FlexiCapFd101</v>
      </c>
      <c r="E8301" s="8" t="s">
        <v>610</v>
      </c>
      <c r="F8301" s="8" t="s">
        <v>3893</v>
      </c>
    </row>
    <row r="8302" spans="1:6" ht="60" x14ac:dyDescent="0.25">
      <c r="A8302" s="8" t="s">
        <v>125</v>
      </c>
      <c r="B8302" s="8" t="s">
        <v>148</v>
      </c>
      <c r="C8302" s="8" t="str">
        <f>IFERROR(_xlfn.XLOOKUP(TRIM(B8302),Lookup!$B$2:$B$1000,Lookup!$C$2:$C$1000),"")</f>
        <v>Equity</v>
      </c>
      <c r="D8302" s="8" t="str">
        <f>IFERROR(INDEX('nav master'!$C:$C, MATCH(B8302, 'nav master'!$B:$B, 0)), "")</f>
        <v>ULIF07114/07/23FlexiCapFd101</v>
      </c>
      <c r="E8302" s="8" t="s">
        <v>612</v>
      </c>
      <c r="F8302" s="8" t="s">
        <v>3894</v>
      </c>
    </row>
    <row r="8303" spans="1:6" ht="60" x14ac:dyDescent="0.25">
      <c r="A8303" s="8" t="s">
        <v>125</v>
      </c>
      <c r="B8303" s="8" t="s">
        <v>148</v>
      </c>
      <c r="C8303" s="8" t="str">
        <f>IFERROR(_xlfn.XLOOKUP(TRIM(B8303),Lookup!$B$2:$B$1000,Lookup!$C$2:$C$1000),"")</f>
        <v>Equity</v>
      </c>
      <c r="D8303" s="8" t="str">
        <f>IFERROR(INDEX('nav master'!$C:$C, MATCH(B8303, 'nav master'!$B:$B, 0)), "")</f>
        <v>ULIF07114/07/23FlexiCapFd101</v>
      </c>
      <c r="E8303" s="8" t="s">
        <v>614</v>
      </c>
      <c r="F8303" s="8" t="s">
        <v>3895</v>
      </c>
    </row>
    <row r="8304" spans="1:6" ht="60" x14ac:dyDescent="0.25">
      <c r="A8304" s="8" t="s">
        <v>125</v>
      </c>
      <c r="B8304" s="8" t="s">
        <v>148</v>
      </c>
      <c r="C8304" s="8" t="str">
        <f>IFERROR(_xlfn.XLOOKUP(TRIM(B8304),Lookup!$B$2:$B$1000,Lookup!$C$2:$C$1000),"")</f>
        <v>Equity</v>
      </c>
      <c r="D8304" s="8" t="str">
        <f>IFERROR(INDEX('nav master'!$C:$C, MATCH(B8304, 'nav master'!$B:$B, 0)), "")</f>
        <v>ULIF07114/07/23FlexiCapFd101</v>
      </c>
      <c r="E8304" s="8" t="s">
        <v>616</v>
      </c>
      <c r="F8304" s="8" t="s">
        <v>3896</v>
      </c>
    </row>
    <row r="8305" spans="1:6" ht="60" x14ac:dyDescent="0.25">
      <c r="A8305" s="8" t="s">
        <v>125</v>
      </c>
      <c r="B8305" s="8" t="s">
        <v>148</v>
      </c>
      <c r="C8305" s="8" t="str">
        <f>IFERROR(_xlfn.XLOOKUP(TRIM(B8305),Lookup!$B$2:$B$1000,Lookup!$C$2:$C$1000),"")</f>
        <v>Equity</v>
      </c>
      <c r="D8305" s="8" t="str">
        <f>IFERROR(INDEX('nav master'!$C:$C, MATCH(B8305, 'nav master'!$B:$B, 0)), "")</f>
        <v>ULIF07114/07/23FlexiCapFd101</v>
      </c>
      <c r="E8305" s="8" t="s">
        <v>618</v>
      </c>
      <c r="F8305" s="8" t="s">
        <v>3897</v>
      </c>
    </row>
    <row r="8306" spans="1:6" ht="60" x14ac:dyDescent="0.25">
      <c r="A8306" s="8" t="s">
        <v>125</v>
      </c>
      <c r="B8306" s="8" t="s">
        <v>148</v>
      </c>
      <c r="C8306" s="8" t="str">
        <f>IFERROR(_xlfn.XLOOKUP(TRIM(B8306),Lookup!$B$2:$B$1000,Lookup!$C$2:$C$1000),"")</f>
        <v>Equity</v>
      </c>
      <c r="D8306" s="8" t="str">
        <f>IFERROR(INDEX('nav master'!$C:$C, MATCH(B8306, 'nav master'!$B:$B, 0)), "")</f>
        <v>ULIF07114/07/23FlexiCapFd101</v>
      </c>
      <c r="E8306" s="8" t="s">
        <v>620</v>
      </c>
      <c r="F8306" s="8" t="s">
        <v>3898</v>
      </c>
    </row>
    <row r="8307" spans="1:6" ht="60" x14ac:dyDescent="0.25">
      <c r="A8307" s="8" t="s">
        <v>125</v>
      </c>
      <c r="B8307" s="8" t="s">
        <v>148</v>
      </c>
      <c r="C8307" s="8" t="str">
        <f>IFERROR(_xlfn.XLOOKUP(TRIM(B8307),Lookup!$B$2:$B$1000,Lookup!$C$2:$C$1000),"")</f>
        <v>Equity</v>
      </c>
      <c r="D8307" s="8" t="str">
        <f>IFERROR(INDEX('nav master'!$C:$C, MATCH(B8307, 'nav master'!$B:$B, 0)), "")</f>
        <v>ULIF07114/07/23FlexiCapFd101</v>
      </c>
      <c r="E8307" s="8" t="s">
        <v>622</v>
      </c>
      <c r="F8307" s="8" t="s">
        <v>3899</v>
      </c>
    </row>
    <row r="8308" spans="1:6" ht="60" x14ac:dyDescent="0.25">
      <c r="A8308" s="8" t="s">
        <v>125</v>
      </c>
      <c r="B8308" s="8" t="s">
        <v>148</v>
      </c>
      <c r="C8308" s="8" t="str">
        <f>IFERROR(_xlfn.XLOOKUP(TRIM(B8308),Lookup!$B$2:$B$1000,Lookup!$C$2:$C$1000),"")</f>
        <v>Equity</v>
      </c>
      <c r="D8308" s="8" t="str">
        <f>IFERROR(INDEX('nav master'!$C:$C, MATCH(B8308, 'nav master'!$B:$B, 0)), "")</f>
        <v>ULIF07114/07/23FlexiCapFd101</v>
      </c>
      <c r="E8308" s="8" t="s">
        <v>624</v>
      </c>
      <c r="F8308" s="8" t="s">
        <v>3900</v>
      </c>
    </row>
    <row r="8309" spans="1:6" ht="60" x14ac:dyDescent="0.25">
      <c r="A8309" s="8" t="s">
        <v>125</v>
      </c>
      <c r="B8309" s="8" t="s">
        <v>148</v>
      </c>
      <c r="C8309" s="8" t="str">
        <f>IFERROR(_xlfn.XLOOKUP(TRIM(B8309),Lookup!$B$2:$B$1000,Lookup!$C$2:$C$1000),"")</f>
        <v>Equity</v>
      </c>
      <c r="D8309" s="8" t="str">
        <f>IFERROR(INDEX('nav master'!$C:$C, MATCH(B8309, 'nav master'!$B:$B, 0)), "")</f>
        <v>ULIF07114/07/23FlexiCapFd101</v>
      </c>
      <c r="E8309" s="8" t="s">
        <v>626</v>
      </c>
      <c r="F8309" s="8" t="s">
        <v>3901</v>
      </c>
    </row>
    <row r="8310" spans="1:6" ht="60" x14ac:dyDescent="0.25">
      <c r="A8310" s="8" t="s">
        <v>125</v>
      </c>
      <c r="B8310" s="8" t="s">
        <v>148</v>
      </c>
      <c r="C8310" s="8" t="str">
        <f>IFERROR(_xlfn.XLOOKUP(TRIM(B8310),Lookup!$B$2:$B$1000,Lookup!$C$2:$C$1000),"")</f>
        <v>Equity</v>
      </c>
      <c r="D8310" s="8" t="str">
        <f>IFERROR(INDEX('nav master'!$C:$C, MATCH(B8310, 'nav master'!$B:$B, 0)), "")</f>
        <v>ULIF07114/07/23FlexiCapFd101</v>
      </c>
      <c r="E8310" s="8" t="s">
        <v>628</v>
      </c>
      <c r="F8310" s="8" t="s">
        <v>3902</v>
      </c>
    </row>
    <row r="8311" spans="1:6" ht="60" x14ac:dyDescent="0.25">
      <c r="A8311" s="8" t="s">
        <v>125</v>
      </c>
      <c r="B8311" s="8" t="s">
        <v>148</v>
      </c>
      <c r="C8311" s="8" t="str">
        <f>IFERROR(_xlfn.XLOOKUP(TRIM(B8311),Lookup!$B$2:$B$1000,Lookup!$C$2:$C$1000),"")</f>
        <v>Equity</v>
      </c>
      <c r="D8311" s="8" t="str">
        <f>IFERROR(INDEX('nav master'!$C:$C, MATCH(B8311, 'nav master'!$B:$B, 0)), "")</f>
        <v>ULIF07114/07/23FlexiCapFd101</v>
      </c>
      <c r="E8311" s="8" t="s">
        <v>630</v>
      </c>
      <c r="F8311" s="8" t="s">
        <v>3903</v>
      </c>
    </row>
    <row r="8312" spans="1:6" ht="60" x14ac:dyDescent="0.25">
      <c r="A8312" s="8" t="s">
        <v>125</v>
      </c>
      <c r="B8312" s="8" t="s">
        <v>148</v>
      </c>
      <c r="C8312" s="8" t="str">
        <f>IFERROR(_xlfn.XLOOKUP(TRIM(B8312),Lookup!$B$2:$B$1000,Lookup!$C$2:$C$1000),"")</f>
        <v>Equity</v>
      </c>
      <c r="D8312" s="8" t="str">
        <f>IFERROR(INDEX('nav master'!$C:$C, MATCH(B8312, 'nav master'!$B:$B, 0)), "")</f>
        <v>ULIF07114/07/23FlexiCapFd101</v>
      </c>
      <c r="E8312" s="8" t="s">
        <v>632</v>
      </c>
      <c r="F8312" s="8" t="s">
        <v>3904</v>
      </c>
    </row>
    <row r="8313" spans="1:6" ht="60" x14ac:dyDescent="0.25">
      <c r="A8313" s="8" t="s">
        <v>125</v>
      </c>
      <c r="B8313" s="8" t="s">
        <v>148</v>
      </c>
      <c r="C8313" s="8" t="str">
        <f>IFERROR(_xlfn.XLOOKUP(TRIM(B8313),Lookup!$B$2:$B$1000,Lookup!$C$2:$C$1000),"")</f>
        <v>Equity</v>
      </c>
      <c r="D8313" s="8" t="str">
        <f>IFERROR(INDEX('nav master'!$C:$C, MATCH(B8313, 'nav master'!$B:$B, 0)), "")</f>
        <v>ULIF07114/07/23FlexiCapFd101</v>
      </c>
      <c r="E8313" s="8" t="s">
        <v>634</v>
      </c>
      <c r="F8313" s="8" t="s">
        <v>3905</v>
      </c>
    </row>
    <row r="8314" spans="1:6" ht="60" x14ac:dyDescent="0.25">
      <c r="A8314" s="8" t="s">
        <v>125</v>
      </c>
      <c r="B8314" s="8" t="s">
        <v>148</v>
      </c>
      <c r="C8314" s="8" t="str">
        <f>IFERROR(_xlfn.XLOOKUP(TRIM(B8314),Lookup!$B$2:$B$1000,Lookup!$C$2:$C$1000),"")</f>
        <v>Equity</v>
      </c>
      <c r="D8314" s="8" t="str">
        <f>IFERROR(INDEX('nav master'!$C:$C, MATCH(B8314, 'nav master'!$B:$B, 0)), "")</f>
        <v>ULIF07114/07/23FlexiCapFd101</v>
      </c>
      <c r="E8314" s="8" t="s">
        <v>636</v>
      </c>
      <c r="F8314" s="8" t="s">
        <v>3906</v>
      </c>
    </row>
    <row r="8315" spans="1:6" ht="60" x14ac:dyDescent="0.25">
      <c r="A8315" s="8" t="s">
        <v>125</v>
      </c>
      <c r="B8315" s="8" t="s">
        <v>148</v>
      </c>
      <c r="C8315" s="8" t="str">
        <f>IFERROR(_xlfn.XLOOKUP(TRIM(B8315),Lookup!$B$2:$B$1000,Lookup!$C$2:$C$1000),"")</f>
        <v>Equity</v>
      </c>
      <c r="D8315" s="8" t="str">
        <f>IFERROR(INDEX('nav master'!$C:$C, MATCH(B8315, 'nav master'!$B:$B, 0)), "")</f>
        <v>ULIF07114/07/23FlexiCapFd101</v>
      </c>
      <c r="E8315" s="8" t="s">
        <v>638</v>
      </c>
      <c r="F8315" s="8" t="s">
        <v>3907</v>
      </c>
    </row>
    <row r="8316" spans="1:6" ht="60" x14ac:dyDescent="0.25">
      <c r="A8316" s="8" t="s">
        <v>125</v>
      </c>
      <c r="B8316" s="8" t="s">
        <v>148</v>
      </c>
      <c r="C8316" s="8" t="str">
        <f>IFERROR(_xlfn.XLOOKUP(TRIM(B8316),Lookup!$B$2:$B$1000,Lookup!$C$2:$C$1000),"")</f>
        <v>Equity</v>
      </c>
      <c r="D8316" s="8" t="str">
        <f>IFERROR(INDEX('nav master'!$C:$C, MATCH(B8316, 'nav master'!$B:$B, 0)), "")</f>
        <v>ULIF07114/07/23FlexiCapFd101</v>
      </c>
      <c r="E8316" s="8" t="s">
        <v>640</v>
      </c>
      <c r="F8316" s="8" t="s">
        <v>3908</v>
      </c>
    </row>
    <row r="8317" spans="1:6" ht="60" x14ac:dyDescent="0.25">
      <c r="A8317" s="8" t="s">
        <v>125</v>
      </c>
      <c r="B8317" s="8" t="s">
        <v>148</v>
      </c>
      <c r="C8317" s="8" t="str">
        <f>IFERROR(_xlfn.XLOOKUP(TRIM(B8317),Lookup!$B$2:$B$1000,Lookup!$C$2:$C$1000),"")</f>
        <v>Equity</v>
      </c>
      <c r="D8317" s="8" t="str">
        <f>IFERROR(INDEX('nav master'!$C:$C, MATCH(B8317, 'nav master'!$B:$B, 0)), "")</f>
        <v>ULIF07114/07/23FlexiCapFd101</v>
      </c>
      <c r="E8317" s="8" t="s">
        <v>642</v>
      </c>
      <c r="F8317" s="8" t="s">
        <v>2463</v>
      </c>
    </row>
    <row r="8318" spans="1:6" ht="60" x14ac:dyDescent="0.25">
      <c r="A8318" s="8" t="s">
        <v>125</v>
      </c>
      <c r="B8318" s="8" t="s">
        <v>148</v>
      </c>
      <c r="C8318" s="8" t="str">
        <f>IFERROR(_xlfn.XLOOKUP(TRIM(B8318),Lookup!$B$2:$B$1000,Lookup!$C$2:$C$1000),"")</f>
        <v>Equity</v>
      </c>
      <c r="D8318" s="8" t="str">
        <f>IFERROR(INDEX('nav master'!$C:$C, MATCH(B8318, 'nav master'!$B:$B, 0)), "")</f>
        <v>ULIF07114/07/23FlexiCapFd101</v>
      </c>
      <c r="E8318" s="8" t="s">
        <v>644</v>
      </c>
      <c r="F8318" s="8" t="s">
        <v>3909</v>
      </c>
    </row>
    <row r="8319" spans="1:6" ht="60" x14ac:dyDescent="0.25">
      <c r="A8319" s="8" t="s">
        <v>125</v>
      </c>
      <c r="B8319" s="8" t="s">
        <v>148</v>
      </c>
      <c r="C8319" s="8" t="str">
        <f>IFERROR(_xlfn.XLOOKUP(TRIM(B8319),Lookup!$B$2:$B$1000,Lookup!$C$2:$C$1000),"")</f>
        <v>Equity</v>
      </c>
      <c r="D8319" s="8" t="str">
        <f>IFERROR(INDEX('nav master'!$C:$C, MATCH(B8319, 'nav master'!$B:$B, 0)), "")</f>
        <v>ULIF07114/07/23FlexiCapFd101</v>
      </c>
      <c r="E8319" s="8" t="s">
        <v>646</v>
      </c>
      <c r="F8319" s="8" t="s">
        <v>3910</v>
      </c>
    </row>
    <row r="8320" spans="1:6" ht="60" x14ac:dyDescent="0.25">
      <c r="A8320" s="8" t="s">
        <v>125</v>
      </c>
      <c r="B8320" s="8" t="s">
        <v>148</v>
      </c>
      <c r="C8320" s="8" t="str">
        <f>IFERROR(_xlfn.XLOOKUP(TRIM(B8320),Lookup!$B$2:$B$1000,Lookup!$C$2:$C$1000),"")</f>
        <v>Equity</v>
      </c>
      <c r="D8320" s="8" t="str">
        <f>IFERROR(INDEX('nav master'!$C:$C, MATCH(B8320, 'nav master'!$B:$B, 0)), "")</f>
        <v>ULIF07114/07/23FlexiCapFd101</v>
      </c>
      <c r="E8320" s="8" t="s">
        <v>648</v>
      </c>
      <c r="F8320" s="8" t="s">
        <v>3911</v>
      </c>
    </row>
    <row r="8321" spans="1:6" ht="60" x14ac:dyDescent="0.25">
      <c r="A8321" s="8" t="s">
        <v>125</v>
      </c>
      <c r="B8321" s="8" t="s">
        <v>148</v>
      </c>
      <c r="C8321" s="8" t="str">
        <f>IFERROR(_xlfn.XLOOKUP(TRIM(B8321),Lookup!$B$2:$B$1000,Lookup!$C$2:$C$1000),"")</f>
        <v>Equity</v>
      </c>
      <c r="D8321" s="8" t="str">
        <f>IFERROR(INDEX('nav master'!$C:$C, MATCH(B8321, 'nav master'!$B:$B, 0)), "")</f>
        <v>ULIF07114/07/23FlexiCapFd101</v>
      </c>
      <c r="E8321" s="8" t="s">
        <v>650</v>
      </c>
      <c r="F8321" s="8" t="s">
        <v>3912</v>
      </c>
    </row>
    <row r="8322" spans="1:6" ht="60" x14ac:dyDescent="0.25">
      <c r="A8322" s="8" t="s">
        <v>125</v>
      </c>
      <c r="B8322" s="8" t="s">
        <v>148</v>
      </c>
      <c r="C8322" s="8" t="str">
        <f>IFERROR(_xlfn.XLOOKUP(TRIM(B8322),Lookup!$B$2:$B$1000,Lookup!$C$2:$C$1000),"")</f>
        <v>Equity</v>
      </c>
      <c r="D8322" s="8" t="str">
        <f>IFERROR(INDEX('nav master'!$C:$C, MATCH(B8322, 'nav master'!$B:$B, 0)), "")</f>
        <v>ULIF07114/07/23FlexiCapFd101</v>
      </c>
      <c r="E8322" s="8" t="s">
        <v>652</v>
      </c>
      <c r="F8322" s="8" t="s">
        <v>3913</v>
      </c>
    </row>
    <row r="8323" spans="1:6" ht="60" x14ac:dyDescent="0.25">
      <c r="A8323" s="8" t="s">
        <v>125</v>
      </c>
      <c r="B8323" s="8" t="s">
        <v>148</v>
      </c>
      <c r="C8323" s="8" t="str">
        <f>IFERROR(_xlfn.XLOOKUP(TRIM(B8323),Lookup!$B$2:$B$1000,Lookup!$C$2:$C$1000),"")</f>
        <v>Equity</v>
      </c>
      <c r="D8323" s="8" t="str">
        <f>IFERROR(INDEX('nav master'!$C:$C, MATCH(B8323, 'nav master'!$B:$B, 0)), "")</f>
        <v>ULIF07114/07/23FlexiCapFd101</v>
      </c>
      <c r="E8323" s="8" t="s">
        <v>654</v>
      </c>
      <c r="F8323" s="8" t="s">
        <v>3914</v>
      </c>
    </row>
    <row r="8324" spans="1:6" ht="60" x14ac:dyDescent="0.25">
      <c r="A8324" s="8" t="s">
        <v>125</v>
      </c>
      <c r="B8324" s="8" t="s">
        <v>148</v>
      </c>
      <c r="C8324" s="8" t="str">
        <f>IFERROR(_xlfn.XLOOKUP(TRIM(B8324),Lookup!$B$2:$B$1000,Lookup!$C$2:$C$1000),"")</f>
        <v>Equity</v>
      </c>
      <c r="D8324" s="8" t="str">
        <f>IFERROR(INDEX('nav master'!$C:$C, MATCH(B8324, 'nav master'!$B:$B, 0)), "")</f>
        <v>ULIF07114/07/23FlexiCapFd101</v>
      </c>
      <c r="E8324" s="8" t="s">
        <v>656</v>
      </c>
      <c r="F8324" s="8" t="s">
        <v>3915</v>
      </c>
    </row>
    <row r="8325" spans="1:6" ht="60" x14ac:dyDescent="0.25">
      <c r="A8325" s="8" t="s">
        <v>125</v>
      </c>
      <c r="B8325" s="8" t="s">
        <v>148</v>
      </c>
      <c r="C8325" s="8" t="str">
        <f>IFERROR(_xlfn.XLOOKUP(TRIM(B8325),Lookup!$B$2:$B$1000,Lookup!$C$2:$C$1000),"")</f>
        <v>Equity</v>
      </c>
      <c r="D8325" s="8" t="str">
        <f>IFERROR(INDEX('nav master'!$C:$C, MATCH(B8325, 'nav master'!$B:$B, 0)), "")</f>
        <v>ULIF07114/07/23FlexiCapFd101</v>
      </c>
      <c r="E8325" s="8" t="s">
        <v>658</v>
      </c>
      <c r="F8325" s="8" t="s">
        <v>3916</v>
      </c>
    </row>
    <row r="8326" spans="1:6" ht="60" x14ac:dyDescent="0.25">
      <c r="A8326" s="8" t="s">
        <v>125</v>
      </c>
      <c r="B8326" s="8" t="s">
        <v>148</v>
      </c>
      <c r="C8326" s="8" t="str">
        <f>IFERROR(_xlfn.XLOOKUP(TRIM(B8326),Lookup!$B$2:$B$1000,Lookup!$C$2:$C$1000),"")</f>
        <v>Equity</v>
      </c>
      <c r="D8326" s="8" t="str">
        <f>IFERROR(INDEX('nav master'!$C:$C, MATCH(B8326, 'nav master'!$B:$B, 0)), "")</f>
        <v>ULIF07114/07/23FlexiCapFd101</v>
      </c>
      <c r="E8326" s="8" t="s">
        <v>660</v>
      </c>
      <c r="F8326" s="8" t="s">
        <v>3917</v>
      </c>
    </row>
    <row r="8327" spans="1:6" ht="60" x14ac:dyDescent="0.25">
      <c r="A8327" s="8" t="s">
        <v>125</v>
      </c>
      <c r="B8327" s="8" t="s">
        <v>148</v>
      </c>
      <c r="C8327" s="8" t="str">
        <f>IFERROR(_xlfn.XLOOKUP(TRIM(B8327),Lookup!$B$2:$B$1000,Lookup!$C$2:$C$1000),"")</f>
        <v>Equity</v>
      </c>
      <c r="D8327" s="8" t="str">
        <f>IFERROR(INDEX('nav master'!$C:$C, MATCH(B8327, 'nav master'!$B:$B, 0)), "")</f>
        <v>ULIF07114/07/23FlexiCapFd101</v>
      </c>
      <c r="E8327" s="8" t="s">
        <v>662</v>
      </c>
      <c r="F8327" s="8" t="s">
        <v>3918</v>
      </c>
    </row>
    <row r="8328" spans="1:6" ht="60" x14ac:dyDescent="0.25">
      <c r="A8328" s="8" t="s">
        <v>125</v>
      </c>
      <c r="B8328" s="8" t="s">
        <v>148</v>
      </c>
      <c r="C8328" s="8" t="str">
        <f>IFERROR(_xlfn.XLOOKUP(TRIM(B8328),Lookup!$B$2:$B$1000,Lookup!$C$2:$C$1000),"")</f>
        <v>Equity</v>
      </c>
      <c r="D8328" s="8" t="str">
        <f>IFERROR(INDEX('nav master'!$C:$C, MATCH(B8328, 'nav master'!$B:$B, 0)), "")</f>
        <v>ULIF07114/07/23FlexiCapFd101</v>
      </c>
      <c r="E8328" s="8" t="s">
        <v>664</v>
      </c>
      <c r="F8328" s="8" t="s">
        <v>3919</v>
      </c>
    </row>
    <row r="8329" spans="1:6" ht="60" x14ac:dyDescent="0.25">
      <c r="A8329" s="8" t="s">
        <v>125</v>
      </c>
      <c r="B8329" s="8" t="s">
        <v>148</v>
      </c>
      <c r="C8329" s="8" t="str">
        <f>IFERROR(_xlfn.XLOOKUP(TRIM(B8329),Lookup!$B$2:$B$1000,Lookup!$C$2:$C$1000),"")</f>
        <v>Equity</v>
      </c>
      <c r="D8329" s="8" t="str">
        <f>IFERROR(INDEX('nav master'!$C:$C, MATCH(B8329, 'nav master'!$B:$B, 0)), "")</f>
        <v>ULIF07114/07/23FlexiCapFd101</v>
      </c>
      <c r="E8329" s="8" t="s">
        <v>4892</v>
      </c>
      <c r="F8329" s="8" t="s">
        <v>5013</v>
      </c>
    </row>
    <row r="8330" spans="1:6" ht="60" x14ac:dyDescent="0.25">
      <c r="A8330" s="8" t="s">
        <v>125</v>
      </c>
      <c r="B8330" s="8" t="s">
        <v>148</v>
      </c>
      <c r="C8330" s="8" t="str">
        <f>IFERROR(_xlfn.XLOOKUP(TRIM(B8330),Lookup!$B$2:$B$1000,Lookup!$C$2:$C$1000),"")</f>
        <v>Equity</v>
      </c>
      <c r="D8330" s="8" t="str">
        <f>IFERROR(INDEX('nav master'!$C:$C, MATCH(B8330, 'nav master'!$B:$B, 0)), "")</f>
        <v>ULIF07114/07/23FlexiCapFd101</v>
      </c>
      <c r="E8330" s="8" t="s">
        <v>4894</v>
      </c>
      <c r="F8330" s="8" t="s">
        <v>5014</v>
      </c>
    </row>
    <row r="8331" spans="1:6" ht="60" x14ac:dyDescent="0.25">
      <c r="A8331" s="8" t="s">
        <v>125</v>
      </c>
      <c r="B8331" s="8" t="s">
        <v>148</v>
      </c>
      <c r="C8331" s="8" t="str">
        <f>IFERROR(_xlfn.XLOOKUP(TRIM(B8331),Lookup!$B$2:$B$1000,Lookup!$C$2:$C$1000),"")</f>
        <v>Equity</v>
      </c>
      <c r="D8331" s="8" t="str">
        <f>IFERROR(INDEX('nav master'!$C:$C, MATCH(B8331, 'nav master'!$B:$B, 0)), "")</f>
        <v>ULIF07114/07/23FlexiCapFd101</v>
      </c>
      <c r="E8331" s="8" t="s">
        <v>4896</v>
      </c>
      <c r="F8331" s="8" t="s">
        <v>5015</v>
      </c>
    </row>
    <row r="8332" spans="1:6" ht="60" x14ac:dyDescent="0.25">
      <c r="A8332" s="8" t="s">
        <v>125</v>
      </c>
      <c r="B8332" s="8" t="s">
        <v>148</v>
      </c>
      <c r="C8332" s="8" t="str">
        <f>IFERROR(_xlfn.XLOOKUP(TRIM(B8332),Lookup!$B$2:$B$1000,Lookup!$C$2:$C$1000),"")</f>
        <v>Equity</v>
      </c>
      <c r="D8332" s="8" t="str">
        <f>IFERROR(INDEX('nav master'!$C:$C, MATCH(B8332, 'nav master'!$B:$B, 0)), "")</f>
        <v>ULIF07114/07/23FlexiCapFd101</v>
      </c>
      <c r="E8332" s="8" t="s">
        <v>4898</v>
      </c>
      <c r="F8332" s="8" t="s">
        <v>5016</v>
      </c>
    </row>
    <row r="8333" spans="1:6" ht="60" x14ac:dyDescent="0.25">
      <c r="A8333" s="8" t="s">
        <v>125</v>
      </c>
      <c r="B8333" s="8" t="s">
        <v>148</v>
      </c>
      <c r="C8333" s="8" t="str">
        <f>IFERROR(_xlfn.XLOOKUP(TRIM(B8333),Lookup!$B$2:$B$1000,Lookup!$C$2:$C$1000),"")</f>
        <v>Equity</v>
      </c>
      <c r="D8333" s="8" t="str">
        <f>IFERROR(INDEX('nav master'!$C:$C, MATCH(B8333, 'nav master'!$B:$B, 0)), "")</f>
        <v>ULIF07114/07/23FlexiCapFd101</v>
      </c>
      <c r="E8333" s="8" t="s">
        <v>4900</v>
      </c>
      <c r="F8333" s="8" t="s">
        <v>5017</v>
      </c>
    </row>
    <row r="8334" spans="1:6" ht="60" x14ac:dyDescent="0.25">
      <c r="A8334" s="8" t="s">
        <v>125</v>
      </c>
      <c r="B8334" s="8" t="s">
        <v>148</v>
      </c>
      <c r="C8334" s="8" t="str">
        <f>IFERROR(_xlfn.XLOOKUP(TRIM(B8334),Lookup!$B$2:$B$1000,Lookup!$C$2:$C$1000),"")</f>
        <v>Equity</v>
      </c>
      <c r="D8334" s="8" t="str">
        <f>IFERROR(INDEX('nav master'!$C:$C, MATCH(B8334, 'nav master'!$B:$B, 0)), "")</f>
        <v>ULIF07114/07/23FlexiCapFd101</v>
      </c>
      <c r="E8334" s="8" t="s">
        <v>4902</v>
      </c>
      <c r="F8334" s="8" t="s">
        <v>5018</v>
      </c>
    </row>
    <row r="8335" spans="1:6" ht="60" x14ac:dyDescent="0.25">
      <c r="A8335" s="8" t="s">
        <v>125</v>
      </c>
      <c r="B8335" s="8" t="s">
        <v>148</v>
      </c>
      <c r="C8335" s="8" t="str">
        <f>IFERROR(_xlfn.XLOOKUP(TRIM(B8335),Lookup!$B$2:$B$1000,Lookup!$C$2:$C$1000),"")</f>
        <v>Equity</v>
      </c>
      <c r="D8335" s="8" t="str">
        <f>IFERROR(INDEX('nav master'!$C:$C, MATCH(B8335, 'nav master'!$B:$B, 0)), "")</f>
        <v>ULIF07114/07/23FlexiCapFd101</v>
      </c>
      <c r="E8335" s="8" t="s">
        <v>4903</v>
      </c>
      <c r="F8335" s="8" t="s">
        <v>5019</v>
      </c>
    </row>
    <row r="8336" spans="1:6" ht="60" x14ac:dyDescent="0.25">
      <c r="A8336" s="8" t="s">
        <v>125</v>
      </c>
      <c r="B8336" s="8" t="s">
        <v>148</v>
      </c>
      <c r="C8336" s="8" t="str">
        <f>IFERROR(_xlfn.XLOOKUP(TRIM(B8336),Lookup!$B$2:$B$1000,Lookup!$C$2:$C$1000),"")</f>
        <v>Equity</v>
      </c>
      <c r="D8336" s="8" t="str">
        <f>IFERROR(INDEX('nav master'!$C:$C, MATCH(B8336, 'nav master'!$B:$B, 0)), "")</f>
        <v>ULIF07114/07/23FlexiCapFd101</v>
      </c>
      <c r="E8336" s="8" t="s">
        <v>4905</v>
      </c>
      <c r="F8336" s="8" t="s">
        <v>5020</v>
      </c>
    </row>
    <row r="8337" spans="1:6" ht="60" x14ac:dyDescent="0.25">
      <c r="A8337" s="8" t="s">
        <v>125</v>
      </c>
      <c r="B8337" s="8" t="s">
        <v>138</v>
      </c>
      <c r="C8337" s="8" t="str">
        <f>IFERROR(_xlfn.XLOOKUP(TRIM(B8337),Lookup!$B$2:$B$1000,Lookup!$C$2:$C$1000),"")</f>
        <v>Equity</v>
      </c>
      <c r="D8337" s="8" t="str">
        <f>IFERROR(INDEX('nav master'!$C:$C, MATCH(B8337, 'nav master'!$B:$B, 0)), "")</f>
        <v>ULIF06723/03/18EqtyAdvtFd101</v>
      </c>
      <c r="E8337" s="8" t="s">
        <v>189</v>
      </c>
      <c r="F8337" s="8" t="s">
        <v>4388</v>
      </c>
    </row>
    <row r="8338" spans="1:6" ht="60" x14ac:dyDescent="0.25">
      <c r="A8338" s="8" t="s">
        <v>125</v>
      </c>
      <c r="B8338" s="8" t="s">
        <v>138</v>
      </c>
      <c r="C8338" s="8" t="str">
        <f>IFERROR(_xlfn.XLOOKUP(TRIM(B8338),Lookup!$B$2:$B$1000,Lookup!$C$2:$C$1000),"")</f>
        <v>Equity</v>
      </c>
      <c r="D8338" s="8" t="str">
        <f>IFERROR(INDEX('nav master'!$C:$C, MATCH(B8338, 'nav master'!$B:$B, 0)), "")</f>
        <v>ULIF06723/03/18EqtyAdvtFd101</v>
      </c>
      <c r="E8338" s="8" t="s">
        <v>191</v>
      </c>
      <c r="F8338" s="8" t="s">
        <v>4389</v>
      </c>
    </row>
    <row r="8339" spans="1:6" ht="60" x14ac:dyDescent="0.25">
      <c r="A8339" s="8" t="s">
        <v>125</v>
      </c>
      <c r="B8339" s="8" t="s">
        <v>138</v>
      </c>
      <c r="C8339" s="8" t="str">
        <f>IFERROR(_xlfn.XLOOKUP(TRIM(B8339),Lookup!$B$2:$B$1000,Lookup!$C$2:$C$1000),"")</f>
        <v>Equity</v>
      </c>
      <c r="D8339" s="8" t="str">
        <f>IFERROR(INDEX('nav master'!$C:$C, MATCH(B8339, 'nav master'!$B:$B, 0)), "")</f>
        <v>ULIF06723/03/18EqtyAdvtFd101</v>
      </c>
      <c r="E8339" s="8" t="s">
        <v>193</v>
      </c>
      <c r="F8339" s="8" t="s">
        <v>4390</v>
      </c>
    </row>
    <row r="8340" spans="1:6" ht="60" x14ac:dyDescent="0.25">
      <c r="A8340" s="8" t="s">
        <v>125</v>
      </c>
      <c r="B8340" s="8" t="s">
        <v>138</v>
      </c>
      <c r="C8340" s="8" t="str">
        <f>IFERROR(_xlfn.XLOOKUP(TRIM(B8340),Lookup!$B$2:$B$1000,Lookup!$C$2:$C$1000),"")</f>
        <v>Equity</v>
      </c>
      <c r="D8340" s="8" t="str">
        <f>IFERROR(INDEX('nav master'!$C:$C, MATCH(B8340, 'nav master'!$B:$B, 0)), "")</f>
        <v>ULIF06723/03/18EqtyAdvtFd101</v>
      </c>
      <c r="E8340" s="8" t="s">
        <v>195</v>
      </c>
      <c r="F8340" s="8" t="s">
        <v>4391</v>
      </c>
    </row>
    <row r="8341" spans="1:6" ht="60" x14ac:dyDescent="0.25">
      <c r="A8341" s="8" t="s">
        <v>125</v>
      </c>
      <c r="B8341" s="8" t="s">
        <v>138</v>
      </c>
      <c r="C8341" s="8" t="str">
        <f>IFERROR(_xlfn.XLOOKUP(TRIM(B8341),Lookup!$B$2:$B$1000,Lookup!$C$2:$C$1000),"")</f>
        <v>Equity</v>
      </c>
      <c r="D8341" s="8" t="str">
        <f>IFERROR(INDEX('nav master'!$C:$C, MATCH(B8341, 'nav master'!$B:$B, 0)), "")</f>
        <v>ULIF06723/03/18EqtyAdvtFd101</v>
      </c>
      <c r="E8341" s="8" t="s">
        <v>197</v>
      </c>
      <c r="F8341" s="8" t="s">
        <v>4392</v>
      </c>
    </row>
    <row r="8342" spans="1:6" ht="60" x14ac:dyDescent="0.25">
      <c r="A8342" s="8" t="s">
        <v>125</v>
      </c>
      <c r="B8342" s="8" t="s">
        <v>138</v>
      </c>
      <c r="C8342" s="8" t="str">
        <f>IFERROR(_xlfn.XLOOKUP(TRIM(B8342),Lookup!$B$2:$B$1000,Lookup!$C$2:$C$1000),"")</f>
        <v>Equity</v>
      </c>
      <c r="D8342" s="8" t="str">
        <f>IFERROR(INDEX('nav master'!$C:$C, MATCH(B8342, 'nav master'!$B:$B, 0)), "")</f>
        <v>ULIF06723/03/18EqtyAdvtFd101</v>
      </c>
      <c r="E8342" s="8" t="s">
        <v>199</v>
      </c>
      <c r="F8342" s="8" t="s">
        <v>4393</v>
      </c>
    </row>
    <row r="8343" spans="1:6" ht="60" x14ac:dyDescent="0.25">
      <c r="A8343" s="8" t="s">
        <v>125</v>
      </c>
      <c r="B8343" s="8" t="s">
        <v>138</v>
      </c>
      <c r="C8343" s="8" t="str">
        <f>IFERROR(_xlfn.XLOOKUP(TRIM(B8343),Lookup!$B$2:$B$1000,Lookup!$C$2:$C$1000),"")</f>
        <v>Equity</v>
      </c>
      <c r="D8343" s="8" t="str">
        <f>IFERROR(INDEX('nav master'!$C:$C, MATCH(B8343, 'nav master'!$B:$B, 0)), "")</f>
        <v>ULIF06723/03/18EqtyAdvtFd101</v>
      </c>
      <c r="E8343" s="8" t="s">
        <v>201</v>
      </c>
      <c r="F8343" s="8" t="s">
        <v>4394</v>
      </c>
    </row>
    <row r="8344" spans="1:6" ht="60" x14ac:dyDescent="0.25">
      <c r="A8344" s="8" t="s">
        <v>125</v>
      </c>
      <c r="B8344" s="8" t="s">
        <v>138</v>
      </c>
      <c r="C8344" s="8" t="str">
        <f>IFERROR(_xlfn.XLOOKUP(TRIM(B8344),Lookup!$B$2:$B$1000,Lookup!$C$2:$C$1000),"")</f>
        <v>Equity</v>
      </c>
      <c r="D8344" s="8" t="str">
        <f>IFERROR(INDEX('nav master'!$C:$C, MATCH(B8344, 'nav master'!$B:$B, 0)), "")</f>
        <v>ULIF06723/03/18EqtyAdvtFd101</v>
      </c>
      <c r="E8344" s="8" t="s">
        <v>203</v>
      </c>
      <c r="F8344" s="8" t="s">
        <v>4395</v>
      </c>
    </row>
    <row r="8345" spans="1:6" ht="60" x14ac:dyDescent="0.25">
      <c r="A8345" s="8" t="s">
        <v>125</v>
      </c>
      <c r="B8345" s="8" t="s">
        <v>138</v>
      </c>
      <c r="C8345" s="8" t="str">
        <f>IFERROR(_xlfn.XLOOKUP(TRIM(B8345),Lookup!$B$2:$B$1000,Lookup!$C$2:$C$1000),"")</f>
        <v>Equity</v>
      </c>
      <c r="D8345" s="8" t="str">
        <f>IFERROR(INDEX('nav master'!$C:$C, MATCH(B8345, 'nav master'!$B:$B, 0)), "")</f>
        <v>ULIF06723/03/18EqtyAdvtFd101</v>
      </c>
      <c r="E8345" s="8" t="s">
        <v>205</v>
      </c>
      <c r="F8345" s="8" t="s">
        <v>4396</v>
      </c>
    </row>
    <row r="8346" spans="1:6" ht="60" x14ac:dyDescent="0.25">
      <c r="A8346" s="8" t="s">
        <v>125</v>
      </c>
      <c r="B8346" s="8" t="s">
        <v>138</v>
      </c>
      <c r="C8346" s="8" t="str">
        <f>IFERROR(_xlfn.XLOOKUP(TRIM(B8346),Lookup!$B$2:$B$1000,Lookup!$C$2:$C$1000),"")</f>
        <v>Equity</v>
      </c>
      <c r="D8346" s="8" t="str">
        <f>IFERROR(INDEX('nav master'!$C:$C, MATCH(B8346, 'nav master'!$B:$B, 0)), "")</f>
        <v>ULIF06723/03/18EqtyAdvtFd101</v>
      </c>
      <c r="E8346" s="8" t="s">
        <v>207</v>
      </c>
      <c r="F8346" s="8" t="s">
        <v>4397</v>
      </c>
    </row>
    <row r="8347" spans="1:6" ht="60" x14ac:dyDescent="0.25">
      <c r="A8347" s="8" t="s">
        <v>125</v>
      </c>
      <c r="B8347" s="8" t="s">
        <v>138</v>
      </c>
      <c r="C8347" s="8" t="str">
        <f>IFERROR(_xlfn.XLOOKUP(TRIM(B8347),Lookup!$B$2:$B$1000,Lookup!$C$2:$C$1000),"")</f>
        <v>Equity</v>
      </c>
      <c r="D8347" s="8" t="str">
        <f>IFERROR(INDEX('nav master'!$C:$C, MATCH(B8347, 'nav master'!$B:$B, 0)), "")</f>
        <v>ULIF06723/03/18EqtyAdvtFd101</v>
      </c>
      <c r="E8347" s="8" t="s">
        <v>209</v>
      </c>
      <c r="F8347" s="8" t="s">
        <v>4398</v>
      </c>
    </row>
    <row r="8348" spans="1:6" ht="60" x14ac:dyDescent="0.25">
      <c r="A8348" s="8" t="s">
        <v>125</v>
      </c>
      <c r="B8348" s="8" t="s">
        <v>138</v>
      </c>
      <c r="C8348" s="8" t="str">
        <f>IFERROR(_xlfn.XLOOKUP(TRIM(B8348),Lookup!$B$2:$B$1000,Lookup!$C$2:$C$1000),"")</f>
        <v>Equity</v>
      </c>
      <c r="D8348" s="8" t="str">
        <f>IFERROR(INDEX('nav master'!$C:$C, MATCH(B8348, 'nav master'!$B:$B, 0)), "")</f>
        <v>ULIF06723/03/18EqtyAdvtFd101</v>
      </c>
      <c r="E8348" s="8" t="s">
        <v>211</v>
      </c>
      <c r="F8348" s="8" t="s">
        <v>4399</v>
      </c>
    </row>
    <row r="8349" spans="1:6" ht="60" x14ac:dyDescent="0.25">
      <c r="A8349" s="8" t="s">
        <v>125</v>
      </c>
      <c r="B8349" s="8" t="s">
        <v>138</v>
      </c>
      <c r="C8349" s="8" t="str">
        <f>IFERROR(_xlfn.XLOOKUP(TRIM(B8349),Lookup!$B$2:$B$1000,Lookup!$C$2:$C$1000),"")</f>
        <v>Equity</v>
      </c>
      <c r="D8349" s="8" t="str">
        <f>IFERROR(INDEX('nav master'!$C:$C, MATCH(B8349, 'nav master'!$B:$B, 0)), "")</f>
        <v>ULIF06723/03/18EqtyAdvtFd101</v>
      </c>
      <c r="E8349" s="8" t="s">
        <v>213</v>
      </c>
      <c r="F8349" s="8" t="s">
        <v>4400</v>
      </c>
    </row>
    <row r="8350" spans="1:6" ht="60" x14ac:dyDescent="0.25">
      <c r="A8350" s="8" t="s">
        <v>125</v>
      </c>
      <c r="B8350" s="8" t="s">
        <v>138</v>
      </c>
      <c r="C8350" s="8" t="str">
        <f>IFERROR(_xlfn.XLOOKUP(TRIM(B8350),Lookup!$B$2:$B$1000,Lookup!$C$2:$C$1000),"")</f>
        <v>Equity</v>
      </c>
      <c r="D8350" s="8" t="str">
        <f>IFERROR(INDEX('nav master'!$C:$C, MATCH(B8350, 'nav master'!$B:$B, 0)), "")</f>
        <v>ULIF06723/03/18EqtyAdvtFd101</v>
      </c>
      <c r="E8350" s="8" t="s">
        <v>215</v>
      </c>
      <c r="F8350" s="8" t="s">
        <v>4401</v>
      </c>
    </row>
    <row r="8351" spans="1:6" ht="60" x14ac:dyDescent="0.25">
      <c r="A8351" s="8" t="s">
        <v>125</v>
      </c>
      <c r="B8351" s="8" t="s">
        <v>138</v>
      </c>
      <c r="C8351" s="8" t="str">
        <f>IFERROR(_xlfn.XLOOKUP(TRIM(B8351),Lookup!$B$2:$B$1000,Lookup!$C$2:$C$1000),"")</f>
        <v>Equity</v>
      </c>
      <c r="D8351" s="8" t="str">
        <f>IFERROR(INDEX('nav master'!$C:$C, MATCH(B8351, 'nav master'!$B:$B, 0)), "")</f>
        <v>ULIF06723/03/18EqtyAdvtFd101</v>
      </c>
      <c r="E8351" s="8" t="s">
        <v>217</v>
      </c>
      <c r="F8351" s="8" t="s">
        <v>4402</v>
      </c>
    </row>
    <row r="8352" spans="1:6" ht="60" x14ac:dyDescent="0.25">
      <c r="A8352" s="8" t="s">
        <v>125</v>
      </c>
      <c r="B8352" s="8" t="s">
        <v>138</v>
      </c>
      <c r="C8352" s="8" t="str">
        <f>IFERROR(_xlfn.XLOOKUP(TRIM(B8352),Lookup!$B$2:$B$1000,Lookup!$C$2:$C$1000),"")</f>
        <v>Equity</v>
      </c>
      <c r="D8352" s="8" t="str">
        <f>IFERROR(INDEX('nav master'!$C:$C, MATCH(B8352, 'nav master'!$B:$B, 0)), "")</f>
        <v>ULIF06723/03/18EqtyAdvtFd101</v>
      </c>
      <c r="E8352" s="8" t="s">
        <v>219</v>
      </c>
      <c r="F8352" s="8" t="s">
        <v>4403</v>
      </c>
    </row>
    <row r="8353" spans="1:6" ht="60" x14ac:dyDescent="0.25">
      <c r="A8353" s="8" t="s">
        <v>125</v>
      </c>
      <c r="B8353" s="8" t="s">
        <v>138</v>
      </c>
      <c r="C8353" s="8" t="str">
        <f>IFERROR(_xlfn.XLOOKUP(TRIM(B8353),Lookup!$B$2:$B$1000,Lookup!$C$2:$C$1000),"")</f>
        <v>Equity</v>
      </c>
      <c r="D8353" s="8" t="str">
        <f>IFERROR(INDEX('nav master'!$C:$C, MATCH(B8353, 'nav master'!$B:$B, 0)), "")</f>
        <v>ULIF06723/03/18EqtyAdvtFd101</v>
      </c>
      <c r="E8353" s="8" t="s">
        <v>221</v>
      </c>
      <c r="F8353" s="8" t="s">
        <v>4404</v>
      </c>
    </row>
    <row r="8354" spans="1:6" ht="60" x14ac:dyDescent="0.25">
      <c r="A8354" s="8" t="s">
        <v>125</v>
      </c>
      <c r="B8354" s="8" t="s">
        <v>138</v>
      </c>
      <c r="C8354" s="8" t="str">
        <f>IFERROR(_xlfn.XLOOKUP(TRIM(B8354),Lookup!$B$2:$B$1000,Lookup!$C$2:$C$1000),"")</f>
        <v>Equity</v>
      </c>
      <c r="D8354" s="8" t="str">
        <f>IFERROR(INDEX('nav master'!$C:$C, MATCH(B8354, 'nav master'!$B:$B, 0)), "")</f>
        <v>ULIF06723/03/18EqtyAdvtFd101</v>
      </c>
      <c r="E8354" s="8" t="s">
        <v>223</v>
      </c>
      <c r="F8354" s="8" t="s">
        <v>4405</v>
      </c>
    </row>
    <row r="8355" spans="1:6" ht="60" x14ac:dyDescent="0.25">
      <c r="A8355" s="8" t="s">
        <v>125</v>
      </c>
      <c r="B8355" s="8" t="s">
        <v>138</v>
      </c>
      <c r="C8355" s="8" t="str">
        <f>IFERROR(_xlfn.XLOOKUP(TRIM(B8355),Lookup!$B$2:$B$1000,Lookup!$C$2:$C$1000),"")</f>
        <v>Equity</v>
      </c>
      <c r="D8355" s="8" t="str">
        <f>IFERROR(INDEX('nav master'!$C:$C, MATCH(B8355, 'nav master'!$B:$B, 0)), "")</f>
        <v>ULIF06723/03/18EqtyAdvtFd101</v>
      </c>
      <c r="E8355" s="8" t="s">
        <v>225</v>
      </c>
      <c r="F8355" s="8" t="s">
        <v>4406</v>
      </c>
    </row>
    <row r="8356" spans="1:6" ht="60" x14ac:dyDescent="0.25">
      <c r="A8356" s="8" t="s">
        <v>125</v>
      </c>
      <c r="B8356" s="8" t="s">
        <v>138</v>
      </c>
      <c r="C8356" s="8" t="str">
        <f>IFERROR(_xlfn.XLOOKUP(TRIM(B8356),Lookup!$B$2:$B$1000,Lookup!$C$2:$C$1000),"")</f>
        <v>Equity</v>
      </c>
      <c r="D8356" s="8" t="str">
        <f>IFERROR(INDEX('nav master'!$C:$C, MATCH(B8356, 'nav master'!$B:$B, 0)), "")</f>
        <v>ULIF06723/03/18EqtyAdvtFd101</v>
      </c>
      <c r="E8356" s="8" t="s">
        <v>227</v>
      </c>
      <c r="F8356" s="8" t="s">
        <v>4407</v>
      </c>
    </row>
    <row r="8357" spans="1:6" ht="60" x14ac:dyDescent="0.25">
      <c r="A8357" s="8" t="s">
        <v>125</v>
      </c>
      <c r="B8357" s="8" t="s">
        <v>138</v>
      </c>
      <c r="C8357" s="8" t="str">
        <f>IFERROR(_xlfn.XLOOKUP(TRIM(B8357),Lookup!$B$2:$B$1000,Lookup!$C$2:$C$1000),"")</f>
        <v>Equity</v>
      </c>
      <c r="D8357" s="8" t="str">
        <f>IFERROR(INDEX('nav master'!$C:$C, MATCH(B8357, 'nav master'!$B:$B, 0)), "")</f>
        <v>ULIF06723/03/18EqtyAdvtFd101</v>
      </c>
      <c r="E8357" s="8" t="s">
        <v>229</v>
      </c>
      <c r="F8357" s="8" t="s">
        <v>4408</v>
      </c>
    </row>
    <row r="8358" spans="1:6" ht="60" x14ac:dyDescent="0.25">
      <c r="A8358" s="8" t="s">
        <v>125</v>
      </c>
      <c r="B8358" s="8" t="s">
        <v>138</v>
      </c>
      <c r="C8358" s="8" t="str">
        <f>IFERROR(_xlfn.XLOOKUP(TRIM(B8358),Lookup!$B$2:$B$1000,Lookup!$C$2:$C$1000),"")</f>
        <v>Equity</v>
      </c>
      <c r="D8358" s="8" t="str">
        <f>IFERROR(INDEX('nav master'!$C:$C, MATCH(B8358, 'nav master'!$B:$B, 0)), "")</f>
        <v>ULIF06723/03/18EqtyAdvtFd101</v>
      </c>
      <c r="E8358" s="8" t="s">
        <v>231</v>
      </c>
      <c r="F8358" s="8" t="s">
        <v>4409</v>
      </c>
    </row>
    <row r="8359" spans="1:6" ht="60" x14ac:dyDescent="0.25">
      <c r="A8359" s="8" t="s">
        <v>125</v>
      </c>
      <c r="B8359" s="8" t="s">
        <v>138</v>
      </c>
      <c r="C8359" s="8" t="str">
        <f>IFERROR(_xlfn.XLOOKUP(TRIM(B8359),Lookup!$B$2:$B$1000,Lookup!$C$2:$C$1000),"")</f>
        <v>Equity</v>
      </c>
      <c r="D8359" s="8" t="str">
        <f>IFERROR(INDEX('nav master'!$C:$C, MATCH(B8359, 'nav master'!$B:$B, 0)), "")</f>
        <v>ULIF06723/03/18EqtyAdvtFd101</v>
      </c>
      <c r="E8359" s="8" t="s">
        <v>233</v>
      </c>
      <c r="F8359" s="8" t="s">
        <v>4410</v>
      </c>
    </row>
    <row r="8360" spans="1:6" ht="60" x14ac:dyDescent="0.25">
      <c r="A8360" s="8" t="s">
        <v>125</v>
      </c>
      <c r="B8360" s="8" t="s">
        <v>138</v>
      </c>
      <c r="C8360" s="8" t="str">
        <f>IFERROR(_xlfn.XLOOKUP(TRIM(B8360),Lookup!$B$2:$B$1000,Lookup!$C$2:$C$1000),"")</f>
        <v>Equity</v>
      </c>
      <c r="D8360" s="8" t="str">
        <f>IFERROR(INDEX('nav master'!$C:$C, MATCH(B8360, 'nav master'!$B:$B, 0)), "")</f>
        <v>ULIF06723/03/18EqtyAdvtFd101</v>
      </c>
      <c r="E8360" s="8" t="s">
        <v>235</v>
      </c>
      <c r="F8360" s="8" t="s">
        <v>4411</v>
      </c>
    </row>
    <row r="8361" spans="1:6" ht="60" x14ac:dyDescent="0.25">
      <c r="A8361" s="8" t="s">
        <v>125</v>
      </c>
      <c r="B8361" s="8" t="s">
        <v>138</v>
      </c>
      <c r="C8361" s="8" t="str">
        <f>IFERROR(_xlfn.XLOOKUP(TRIM(B8361),Lookup!$B$2:$B$1000,Lookup!$C$2:$C$1000),"")</f>
        <v>Equity</v>
      </c>
      <c r="D8361" s="8" t="str">
        <f>IFERROR(INDEX('nav master'!$C:$C, MATCH(B8361, 'nav master'!$B:$B, 0)), "")</f>
        <v>ULIF06723/03/18EqtyAdvtFd101</v>
      </c>
      <c r="E8361" s="8" t="s">
        <v>237</v>
      </c>
      <c r="F8361" s="8" t="s">
        <v>4412</v>
      </c>
    </row>
    <row r="8362" spans="1:6" ht="60" x14ac:dyDescent="0.25">
      <c r="A8362" s="8" t="s">
        <v>125</v>
      </c>
      <c r="B8362" s="8" t="s">
        <v>138</v>
      </c>
      <c r="C8362" s="8" t="str">
        <f>IFERROR(_xlfn.XLOOKUP(TRIM(B8362),Lookup!$B$2:$B$1000,Lookup!$C$2:$C$1000),"")</f>
        <v>Equity</v>
      </c>
      <c r="D8362" s="8" t="str">
        <f>IFERROR(INDEX('nav master'!$C:$C, MATCH(B8362, 'nav master'!$B:$B, 0)), "")</f>
        <v>ULIF06723/03/18EqtyAdvtFd101</v>
      </c>
      <c r="E8362" s="8" t="s">
        <v>239</v>
      </c>
      <c r="F8362" s="8" t="s">
        <v>4413</v>
      </c>
    </row>
    <row r="8363" spans="1:6" ht="60" x14ac:dyDescent="0.25">
      <c r="A8363" s="8" t="s">
        <v>125</v>
      </c>
      <c r="B8363" s="8" t="s">
        <v>138</v>
      </c>
      <c r="C8363" s="8" t="str">
        <f>IFERROR(_xlfn.XLOOKUP(TRIM(B8363),Lookup!$B$2:$B$1000,Lookup!$C$2:$C$1000),"")</f>
        <v>Equity</v>
      </c>
      <c r="D8363" s="8" t="str">
        <f>IFERROR(INDEX('nav master'!$C:$C, MATCH(B8363, 'nav master'!$B:$B, 0)), "")</f>
        <v>ULIF06723/03/18EqtyAdvtFd101</v>
      </c>
      <c r="E8363" s="8" t="s">
        <v>241</v>
      </c>
      <c r="F8363" s="8" t="s">
        <v>4414</v>
      </c>
    </row>
    <row r="8364" spans="1:6" ht="60" x14ac:dyDescent="0.25">
      <c r="A8364" s="8" t="s">
        <v>125</v>
      </c>
      <c r="B8364" s="8" t="s">
        <v>138</v>
      </c>
      <c r="C8364" s="8" t="str">
        <f>IFERROR(_xlfn.XLOOKUP(TRIM(B8364),Lookup!$B$2:$B$1000,Lookup!$C$2:$C$1000),"")</f>
        <v>Equity</v>
      </c>
      <c r="D8364" s="8" t="str">
        <f>IFERROR(INDEX('nav master'!$C:$C, MATCH(B8364, 'nav master'!$B:$B, 0)), "")</f>
        <v>ULIF06723/03/18EqtyAdvtFd101</v>
      </c>
      <c r="E8364" s="8" t="s">
        <v>243</v>
      </c>
      <c r="F8364" s="8" t="s">
        <v>4415</v>
      </c>
    </row>
    <row r="8365" spans="1:6" ht="60" x14ac:dyDescent="0.25">
      <c r="A8365" s="8" t="s">
        <v>125</v>
      </c>
      <c r="B8365" s="8" t="s">
        <v>138</v>
      </c>
      <c r="C8365" s="8" t="str">
        <f>IFERROR(_xlfn.XLOOKUP(TRIM(B8365),Lookup!$B$2:$B$1000,Lookup!$C$2:$C$1000),"")</f>
        <v>Equity</v>
      </c>
      <c r="D8365" s="8" t="str">
        <f>IFERROR(INDEX('nav master'!$C:$C, MATCH(B8365, 'nav master'!$B:$B, 0)), "")</f>
        <v>ULIF06723/03/18EqtyAdvtFd101</v>
      </c>
      <c r="E8365" s="8" t="s">
        <v>245</v>
      </c>
      <c r="F8365" s="8" t="s">
        <v>4416</v>
      </c>
    </row>
    <row r="8366" spans="1:6" ht="60" x14ac:dyDescent="0.25">
      <c r="A8366" s="8" t="s">
        <v>125</v>
      </c>
      <c r="B8366" s="8" t="s">
        <v>138</v>
      </c>
      <c r="C8366" s="8" t="str">
        <f>IFERROR(_xlfn.XLOOKUP(TRIM(B8366),Lookup!$B$2:$B$1000,Lookup!$C$2:$C$1000),"")</f>
        <v>Equity</v>
      </c>
      <c r="D8366" s="8" t="str">
        <f>IFERROR(INDEX('nav master'!$C:$C, MATCH(B8366, 'nav master'!$B:$B, 0)), "")</f>
        <v>ULIF06723/03/18EqtyAdvtFd101</v>
      </c>
      <c r="E8366" s="8" t="s">
        <v>247</v>
      </c>
      <c r="F8366" s="8" t="s">
        <v>4417</v>
      </c>
    </row>
    <row r="8367" spans="1:6" ht="60" x14ac:dyDescent="0.25">
      <c r="A8367" s="8" t="s">
        <v>125</v>
      </c>
      <c r="B8367" s="8" t="s">
        <v>138</v>
      </c>
      <c r="C8367" s="8" t="str">
        <f>IFERROR(_xlfn.XLOOKUP(TRIM(B8367),Lookup!$B$2:$B$1000,Lookup!$C$2:$C$1000),"")</f>
        <v>Equity</v>
      </c>
      <c r="D8367" s="8" t="str">
        <f>IFERROR(INDEX('nav master'!$C:$C, MATCH(B8367, 'nav master'!$B:$B, 0)), "")</f>
        <v>ULIF06723/03/18EqtyAdvtFd101</v>
      </c>
      <c r="E8367" s="8" t="s">
        <v>249</v>
      </c>
      <c r="F8367" s="8" t="s">
        <v>4418</v>
      </c>
    </row>
    <row r="8368" spans="1:6" ht="60" x14ac:dyDescent="0.25">
      <c r="A8368" s="8" t="s">
        <v>125</v>
      </c>
      <c r="B8368" s="8" t="s">
        <v>138</v>
      </c>
      <c r="C8368" s="8" t="str">
        <f>IFERROR(_xlfn.XLOOKUP(TRIM(B8368),Lookup!$B$2:$B$1000,Lookup!$C$2:$C$1000),"")</f>
        <v>Equity</v>
      </c>
      <c r="D8368" s="8" t="str">
        <f>IFERROR(INDEX('nav master'!$C:$C, MATCH(B8368, 'nav master'!$B:$B, 0)), "")</f>
        <v>ULIF06723/03/18EqtyAdvtFd101</v>
      </c>
      <c r="E8368" s="8" t="s">
        <v>251</v>
      </c>
      <c r="F8368" s="8" t="s">
        <v>4419</v>
      </c>
    </row>
    <row r="8369" spans="1:6" ht="60" x14ac:dyDescent="0.25">
      <c r="A8369" s="8" t="s">
        <v>125</v>
      </c>
      <c r="B8369" s="8" t="s">
        <v>138</v>
      </c>
      <c r="C8369" s="8" t="str">
        <f>IFERROR(_xlfn.XLOOKUP(TRIM(B8369),Lookup!$B$2:$B$1000,Lookup!$C$2:$C$1000),"")</f>
        <v>Equity</v>
      </c>
      <c r="D8369" s="8" t="str">
        <f>IFERROR(INDEX('nav master'!$C:$C, MATCH(B8369, 'nav master'!$B:$B, 0)), "")</f>
        <v>ULIF06723/03/18EqtyAdvtFd101</v>
      </c>
      <c r="E8369" s="8" t="s">
        <v>253</v>
      </c>
      <c r="F8369" s="8" t="s">
        <v>4420</v>
      </c>
    </row>
    <row r="8370" spans="1:6" ht="60" x14ac:dyDescent="0.25">
      <c r="A8370" s="8" t="s">
        <v>125</v>
      </c>
      <c r="B8370" s="8" t="s">
        <v>138</v>
      </c>
      <c r="C8370" s="8" t="str">
        <f>IFERROR(_xlfn.XLOOKUP(TRIM(B8370),Lookup!$B$2:$B$1000,Lookup!$C$2:$C$1000),"")</f>
        <v>Equity</v>
      </c>
      <c r="D8370" s="8" t="str">
        <f>IFERROR(INDEX('nav master'!$C:$C, MATCH(B8370, 'nav master'!$B:$B, 0)), "")</f>
        <v>ULIF06723/03/18EqtyAdvtFd101</v>
      </c>
      <c r="E8370" s="8" t="s">
        <v>255</v>
      </c>
      <c r="F8370" s="8" t="s">
        <v>4421</v>
      </c>
    </row>
    <row r="8371" spans="1:6" ht="60" x14ac:dyDescent="0.25">
      <c r="A8371" s="8" t="s">
        <v>125</v>
      </c>
      <c r="B8371" s="8" t="s">
        <v>138</v>
      </c>
      <c r="C8371" s="8" t="str">
        <f>IFERROR(_xlfn.XLOOKUP(TRIM(B8371),Lookup!$B$2:$B$1000,Lookup!$C$2:$C$1000),"")</f>
        <v>Equity</v>
      </c>
      <c r="D8371" s="8" t="str">
        <f>IFERROR(INDEX('nav master'!$C:$C, MATCH(B8371, 'nav master'!$B:$B, 0)), "")</f>
        <v>ULIF06723/03/18EqtyAdvtFd101</v>
      </c>
      <c r="E8371" s="8" t="s">
        <v>257</v>
      </c>
      <c r="F8371" s="8" t="s">
        <v>4422</v>
      </c>
    </row>
    <row r="8372" spans="1:6" ht="60" x14ac:dyDescent="0.25">
      <c r="A8372" s="8" t="s">
        <v>125</v>
      </c>
      <c r="B8372" s="8" t="s">
        <v>138</v>
      </c>
      <c r="C8372" s="8" t="str">
        <f>IFERROR(_xlfn.XLOOKUP(TRIM(B8372),Lookup!$B$2:$B$1000,Lookup!$C$2:$C$1000),"")</f>
        <v>Equity</v>
      </c>
      <c r="D8372" s="8" t="str">
        <f>IFERROR(INDEX('nav master'!$C:$C, MATCH(B8372, 'nav master'!$B:$B, 0)), "")</f>
        <v>ULIF06723/03/18EqtyAdvtFd101</v>
      </c>
      <c r="E8372" s="8" t="s">
        <v>259</v>
      </c>
      <c r="F8372" s="8" t="s">
        <v>4423</v>
      </c>
    </row>
    <row r="8373" spans="1:6" ht="60" x14ac:dyDescent="0.25">
      <c r="A8373" s="8" t="s">
        <v>125</v>
      </c>
      <c r="B8373" s="8" t="s">
        <v>138</v>
      </c>
      <c r="C8373" s="8" t="str">
        <f>IFERROR(_xlfn.XLOOKUP(TRIM(B8373),Lookup!$B$2:$B$1000,Lookup!$C$2:$C$1000),"")</f>
        <v>Equity</v>
      </c>
      <c r="D8373" s="8" t="str">
        <f>IFERROR(INDEX('nav master'!$C:$C, MATCH(B8373, 'nav master'!$B:$B, 0)), "")</f>
        <v>ULIF06723/03/18EqtyAdvtFd101</v>
      </c>
      <c r="E8373" s="8" t="s">
        <v>261</v>
      </c>
      <c r="F8373" s="8" t="s">
        <v>4424</v>
      </c>
    </row>
    <row r="8374" spans="1:6" ht="60" x14ac:dyDescent="0.25">
      <c r="A8374" s="8" t="s">
        <v>125</v>
      </c>
      <c r="B8374" s="8" t="s">
        <v>138</v>
      </c>
      <c r="C8374" s="8" t="str">
        <f>IFERROR(_xlfn.XLOOKUP(TRIM(B8374),Lookup!$B$2:$B$1000,Lookup!$C$2:$C$1000),"")</f>
        <v>Equity</v>
      </c>
      <c r="D8374" s="8" t="str">
        <f>IFERROR(INDEX('nav master'!$C:$C, MATCH(B8374, 'nav master'!$B:$B, 0)), "")</f>
        <v>ULIF06723/03/18EqtyAdvtFd101</v>
      </c>
      <c r="E8374" s="8" t="s">
        <v>263</v>
      </c>
      <c r="F8374" s="8" t="s">
        <v>4425</v>
      </c>
    </row>
    <row r="8375" spans="1:6" ht="60" x14ac:dyDescent="0.25">
      <c r="A8375" s="8" t="s">
        <v>125</v>
      </c>
      <c r="B8375" s="8" t="s">
        <v>138</v>
      </c>
      <c r="C8375" s="8" t="str">
        <f>IFERROR(_xlfn.XLOOKUP(TRIM(B8375),Lookup!$B$2:$B$1000,Lookup!$C$2:$C$1000),"")</f>
        <v>Equity</v>
      </c>
      <c r="D8375" s="8" t="str">
        <f>IFERROR(INDEX('nav master'!$C:$C, MATCH(B8375, 'nav master'!$B:$B, 0)), "")</f>
        <v>ULIF06723/03/18EqtyAdvtFd101</v>
      </c>
      <c r="E8375" s="8" t="s">
        <v>265</v>
      </c>
      <c r="F8375" s="8" t="s">
        <v>4426</v>
      </c>
    </row>
    <row r="8376" spans="1:6" ht="60" x14ac:dyDescent="0.25">
      <c r="A8376" s="8" t="s">
        <v>125</v>
      </c>
      <c r="B8376" s="8" t="s">
        <v>138</v>
      </c>
      <c r="C8376" s="8" t="str">
        <f>IFERROR(_xlfn.XLOOKUP(TRIM(B8376),Lookup!$B$2:$B$1000,Lookup!$C$2:$C$1000),"")</f>
        <v>Equity</v>
      </c>
      <c r="D8376" s="8" t="str">
        <f>IFERROR(INDEX('nav master'!$C:$C, MATCH(B8376, 'nav master'!$B:$B, 0)), "")</f>
        <v>ULIF06723/03/18EqtyAdvtFd101</v>
      </c>
      <c r="E8376" s="8" t="s">
        <v>267</v>
      </c>
      <c r="F8376" s="8" t="s">
        <v>4427</v>
      </c>
    </row>
    <row r="8377" spans="1:6" ht="60" x14ac:dyDescent="0.25">
      <c r="A8377" s="8" t="s">
        <v>125</v>
      </c>
      <c r="B8377" s="8" t="s">
        <v>138</v>
      </c>
      <c r="C8377" s="8" t="str">
        <f>IFERROR(_xlfn.XLOOKUP(TRIM(B8377),Lookup!$B$2:$B$1000,Lookup!$C$2:$C$1000),"")</f>
        <v>Equity</v>
      </c>
      <c r="D8377" s="8" t="str">
        <f>IFERROR(INDEX('nav master'!$C:$C, MATCH(B8377, 'nav master'!$B:$B, 0)), "")</f>
        <v>ULIF06723/03/18EqtyAdvtFd101</v>
      </c>
      <c r="E8377" s="8" t="s">
        <v>269</v>
      </c>
      <c r="F8377" s="8" t="s">
        <v>4428</v>
      </c>
    </row>
    <row r="8378" spans="1:6" ht="60" x14ac:dyDescent="0.25">
      <c r="A8378" s="8" t="s">
        <v>125</v>
      </c>
      <c r="B8378" s="8" t="s">
        <v>138</v>
      </c>
      <c r="C8378" s="8" t="str">
        <f>IFERROR(_xlfn.XLOOKUP(TRIM(B8378),Lookup!$B$2:$B$1000,Lookup!$C$2:$C$1000),"")</f>
        <v>Equity</v>
      </c>
      <c r="D8378" s="8" t="str">
        <f>IFERROR(INDEX('nav master'!$C:$C, MATCH(B8378, 'nav master'!$B:$B, 0)), "")</f>
        <v>ULIF06723/03/18EqtyAdvtFd101</v>
      </c>
      <c r="E8378" s="8" t="s">
        <v>271</v>
      </c>
      <c r="F8378" s="8" t="s">
        <v>4429</v>
      </c>
    </row>
    <row r="8379" spans="1:6" ht="60" x14ac:dyDescent="0.25">
      <c r="A8379" s="8" t="s">
        <v>125</v>
      </c>
      <c r="B8379" s="8" t="s">
        <v>138</v>
      </c>
      <c r="C8379" s="8" t="str">
        <f>IFERROR(_xlfn.XLOOKUP(TRIM(B8379),Lookup!$B$2:$B$1000,Lookup!$C$2:$C$1000),"")</f>
        <v>Equity</v>
      </c>
      <c r="D8379" s="8" t="str">
        <f>IFERROR(INDEX('nav master'!$C:$C, MATCH(B8379, 'nav master'!$B:$B, 0)), "")</f>
        <v>ULIF06723/03/18EqtyAdvtFd101</v>
      </c>
      <c r="E8379" s="8" t="s">
        <v>273</v>
      </c>
      <c r="F8379" s="8" t="s">
        <v>4430</v>
      </c>
    </row>
    <row r="8380" spans="1:6" ht="60" x14ac:dyDescent="0.25">
      <c r="A8380" s="8" t="s">
        <v>125</v>
      </c>
      <c r="B8380" s="8" t="s">
        <v>138</v>
      </c>
      <c r="C8380" s="8" t="str">
        <f>IFERROR(_xlfn.XLOOKUP(TRIM(B8380),Lookup!$B$2:$B$1000,Lookup!$C$2:$C$1000),"")</f>
        <v>Equity</v>
      </c>
      <c r="D8380" s="8" t="str">
        <f>IFERROR(INDEX('nav master'!$C:$C, MATCH(B8380, 'nav master'!$B:$B, 0)), "")</f>
        <v>ULIF06723/03/18EqtyAdvtFd101</v>
      </c>
      <c r="E8380" s="8" t="s">
        <v>275</v>
      </c>
      <c r="F8380" s="8" t="s">
        <v>4431</v>
      </c>
    </row>
    <row r="8381" spans="1:6" ht="60" x14ac:dyDescent="0.25">
      <c r="A8381" s="8" t="s">
        <v>125</v>
      </c>
      <c r="B8381" s="8" t="s">
        <v>138</v>
      </c>
      <c r="C8381" s="8" t="str">
        <f>IFERROR(_xlfn.XLOOKUP(TRIM(B8381),Lookup!$B$2:$B$1000,Lookup!$C$2:$C$1000),"")</f>
        <v>Equity</v>
      </c>
      <c r="D8381" s="8" t="str">
        <f>IFERROR(INDEX('nav master'!$C:$C, MATCH(B8381, 'nav master'!$B:$B, 0)), "")</f>
        <v>ULIF06723/03/18EqtyAdvtFd101</v>
      </c>
      <c r="E8381" s="8" t="s">
        <v>277</v>
      </c>
      <c r="F8381" s="8" t="s">
        <v>4432</v>
      </c>
    </row>
    <row r="8382" spans="1:6" ht="60" x14ac:dyDescent="0.25">
      <c r="A8382" s="8" t="s">
        <v>125</v>
      </c>
      <c r="B8382" s="8" t="s">
        <v>138</v>
      </c>
      <c r="C8382" s="8" t="str">
        <f>IFERROR(_xlfn.XLOOKUP(TRIM(B8382),Lookup!$B$2:$B$1000,Lookup!$C$2:$C$1000),"")</f>
        <v>Equity</v>
      </c>
      <c r="D8382" s="8" t="str">
        <f>IFERROR(INDEX('nav master'!$C:$C, MATCH(B8382, 'nav master'!$B:$B, 0)), "")</f>
        <v>ULIF06723/03/18EqtyAdvtFd101</v>
      </c>
      <c r="E8382" s="8" t="s">
        <v>279</v>
      </c>
      <c r="F8382" s="8" t="s">
        <v>4433</v>
      </c>
    </row>
    <row r="8383" spans="1:6" ht="60" x14ac:dyDescent="0.25">
      <c r="A8383" s="8" t="s">
        <v>125</v>
      </c>
      <c r="B8383" s="8" t="s">
        <v>138</v>
      </c>
      <c r="C8383" s="8" t="str">
        <f>IFERROR(_xlfn.XLOOKUP(TRIM(B8383),Lookup!$B$2:$B$1000,Lookup!$C$2:$C$1000),"")</f>
        <v>Equity</v>
      </c>
      <c r="D8383" s="8" t="str">
        <f>IFERROR(INDEX('nav master'!$C:$C, MATCH(B8383, 'nav master'!$B:$B, 0)), "")</f>
        <v>ULIF06723/03/18EqtyAdvtFd101</v>
      </c>
      <c r="E8383" s="8" t="s">
        <v>281</v>
      </c>
      <c r="F8383" s="8" t="s">
        <v>4434</v>
      </c>
    </row>
    <row r="8384" spans="1:6" ht="60" x14ac:dyDescent="0.25">
      <c r="A8384" s="8" t="s">
        <v>125</v>
      </c>
      <c r="B8384" s="8" t="s">
        <v>138</v>
      </c>
      <c r="C8384" s="8" t="str">
        <f>IFERROR(_xlfn.XLOOKUP(TRIM(B8384),Lookup!$B$2:$B$1000,Lookup!$C$2:$C$1000),"")</f>
        <v>Equity</v>
      </c>
      <c r="D8384" s="8" t="str">
        <f>IFERROR(INDEX('nav master'!$C:$C, MATCH(B8384, 'nav master'!$B:$B, 0)), "")</f>
        <v>ULIF06723/03/18EqtyAdvtFd101</v>
      </c>
      <c r="E8384" s="8" t="s">
        <v>283</v>
      </c>
      <c r="F8384" s="8" t="s">
        <v>4435</v>
      </c>
    </row>
    <row r="8385" spans="1:6" ht="60" x14ac:dyDescent="0.25">
      <c r="A8385" s="8" t="s">
        <v>125</v>
      </c>
      <c r="B8385" s="8" t="s">
        <v>138</v>
      </c>
      <c r="C8385" s="8" t="str">
        <f>IFERROR(_xlfn.XLOOKUP(TRIM(B8385),Lookup!$B$2:$B$1000,Lookup!$C$2:$C$1000),"")</f>
        <v>Equity</v>
      </c>
      <c r="D8385" s="8" t="str">
        <f>IFERROR(INDEX('nav master'!$C:$C, MATCH(B8385, 'nav master'!$B:$B, 0)), "")</f>
        <v>ULIF06723/03/18EqtyAdvtFd101</v>
      </c>
      <c r="E8385" s="8" t="s">
        <v>285</v>
      </c>
      <c r="F8385" s="8" t="s">
        <v>4436</v>
      </c>
    </row>
    <row r="8386" spans="1:6" ht="60" x14ac:dyDescent="0.25">
      <c r="A8386" s="8" t="s">
        <v>125</v>
      </c>
      <c r="B8386" s="8" t="s">
        <v>138</v>
      </c>
      <c r="C8386" s="8" t="str">
        <f>IFERROR(_xlfn.XLOOKUP(TRIM(B8386),Lookup!$B$2:$B$1000,Lookup!$C$2:$C$1000),"")</f>
        <v>Equity</v>
      </c>
      <c r="D8386" s="8" t="str">
        <f>IFERROR(INDEX('nav master'!$C:$C, MATCH(B8386, 'nav master'!$B:$B, 0)), "")</f>
        <v>ULIF06723/03/18EqtyAdvtFd101</v>
      </c>
      <c r="E8386" s="8" t="s">
        <v>287</v>
      </c>
      <c r="F8386" s="8" t="s">
        <v>4437</v>
      </c>
    </row>
    <row r="8387" spans="1:6" ht="60" x14ac:dyDescent="0.25">
      <c r="A8387" s="8" t="s">
        <v>125</v>
      </c>
      <c r="B8387" s="8" t="s">
        <v>138</v>
      </c>
      <c r="C8387" s="8" t="str">
        <f>IFERROR(_xlfn.XLOOKUP(TRIM(B8387),Lookup!$B$2:$B$1000,Lookup!$C$2:$C$1000),"")</f>
        <v>Equity</v>
      </c>
      <c r="D8387" s="8" t="str">
        <f>IFERROR(INDEX('nav master'!$C:$C, MATCH(B8387, 'nav master'!$B:$B, 0)), "")</f>
        <v>ULIF06723/03/18EqtyAdvtFd101</v>
      </c>
      <c r="E8387" s="8" t="s">
        <v>289</v>
      </c>
      <c r="F8387" s="8" t="s">
        <v>4438</v>
      </c>
    </row>
    <row r="8388" spans="1:6" ht="60" x14ac:dyDescent="0.25">
      <c r="A8388" s="8" t="s">
        <v>125</v>
      </c>
      <c r="B8388" s="8" t="s">
        <v>138</v>
      </c>
      <c r="C8388" s="8" t="str">
        <f>IFERROR(_xlfn.XLOOKUP(TRIM(B8388),Lookup!$B$2:$B$1000,Lookup!$C$2:$C$1000),"")</f>
        <v>Equity</v>
      </c>
      <c r="D8388" s="8" t="str">
        <f>IFERROR(INDEX('nav master'!$C:$C, MATCH(B8388, 'nav master'!$B:$B, 0)), "")</f>
        <v>ULIF06723/03/18EqtyAdvtFd101</v>
      </c>
      <c r="E8388" s="8" t="s">
        <v>291</v>
      </c>
      <c r="F8388" s="8" t="s">
        <v>4439</v>
      </c>
    </row>
    <row r="8389" spans="1:6" ht="60" x14ac:dyDescent="0.25">
      <c r="A8389" s="8" t="s">
        <v>125</v>
      </c>
      <c r="B8389" s="8" t="s">
        <v>138</v>
      </c>
      <c r="C8389" s="8" t="str">
        <f>IFERROR(_xlfn.XLOOKUP(TRIM(B8389),Lookup!$B$2:$B$1000,Lookup!$C$2:$C$1000),"")</f>
        <v>Equity</v>
      </c>
      <c r="D8389" s="8" t="str">
        <f>IFERROR(INDEX('nav master'!$C:$C, MATCH(B8389, 'nav master'!$B:$B, 0)), "")</f>
        <v>ULIF06723/03/18EqtyAdvtFd101</v>
      </c>
      <c r="E8389" s="8" t="s">
        <v>293</v>
      </c>
      <c r="F8389" s="8" t="s">
        <v>4440</v>
      </c>
    </row>
    <row r="8390" spans="1:6" ht="60" x14ac:dyDescent="0.25">
      <c r="A8390" s="8" t="s">
        <v>125</v>
      </c>
      <c r="B8390" s="8" t="s">
        <v>138</v>
      </c>
      <c r="C8390" s="8" t="str">
        <f>IFERROR(_xlfn.XLOOKUP(TRIM(B8390),Lookup!$B$2:$B$1000,Lookup!$C$2:$C$1000),"")</f>
        <v>Equity</v>
      </c>
      <c r="D8390" s="8" t="str">
        <f>IFERROR(INDEX('nav master'!$C:$C, MATCH(B8390, 'nav master'!$B:$B, 0)), "")</f>
        <v>ULIF06723/03/18EqtyAdvtFd101</v>
      </c>
      <c r="E8390" s="8" t="s">
        <v>295</v>
      </c>
      <c r="F8390" s="8" t="s">
        <v>4441</v>
      </c>
    </row>
    <row r="8391" spans="1:6" ht="60" x14ac:dyDescent="0.25">
      <c r="A8391" s="8" t="s">
        <v>125</v>
      </c>
      <c r="B8391" s="8" t="s">
        <v>138</v>
      </c>
      <c r="C8391" s="8" t="str">
        <f>IFERROR(_xlfn.XLOOKUP(TRIM(B8391),Lookup!$B$2:$B$1000,Lookup!$C$2:$C$1000),"")</f>
        <v>Equity</v>
      </c>
      <c r="D8391" s="8" t="str">
        <f>IFERROR(INDEX('nav master'!$C:$C, MATCH(B8391, 'nav master'!$B:$B, 0)), "")</f>
        <v>ULIF06723/03/18EqtyAdvtFd101</v>
      </c>
      <c r="E8391" s="8" t="s">
        <v>297</v>
      </c>
      <c r="F8391" s="8" t="s">
        <v>4442</v>
      </c>
    </row>
    <row r="8392" spans="1:6" ht="60" x14ac:dyDescent="0.25">
      <c r="A8392" s="8" t="s">
        <v>125</v>
      </c>
      <c r="B8392" s="8" t="s">
        <v>138</v>
      </c>
      <c r="C8392" s="8" t="str">
        <f>IFERROR(_xlfn.XLOOKUP(TRIM(B8392),Lookup!$B$2:$B$1000,Lookup!$C$2:$C$1000),"")</f>
        <v>Equity</v>
      </c>
      <c r="D8392" s="8" t="str">
        <f>IFERROR(INDEX('nav master'!$C:$C, MATCH(B8392, 'nav master'!$B:$B, 0)), "")</f>
        <v>ULIF06723/03/18EqtyAdvtFd101</v>
      </c>
      <c r="E8392" s="8" t="s">
        <v>299</v>
      </c>
      <c r="F8392" s="8" t="s">
        <v>4443</v>
      </c>
    </row>
    <row r="8393" spans="1:6" ht="60" x14ac:dyDescent="0.25">
      <c r="A8393" s="8" t="s">
        <v>125</v>
      </c>
      <c r="B8393" s="8" t="s">
        <v>138</v>
      </c>
      <c r="C8393" s="8" t="str">
        <f>IFERROR(_xlfn.XLOOKUP(TRIM(B8393),Lookup!$B$2:$B$1000,Lookup!$C$2:$C$1000),"")</f>
        <v>Equity</v>
      </c>
      <c r="D8393" s="8" t="str">
        <f>IFERROR(INDEX('nav master'!$C:$C, MATCH(B8393, 'nav master'!$B:$B, 0)), "")</f>
        <v>ULIF06723/03/18EqtyAdvtFd101</v>
      </c>
      <c r="E8393" s="8" t="s">
        <v>301</v>
      </c>
      <c r="F8393" s="8" t="s">
        <v>4444</v>
      </c>
    </row>
    <row r="8394" spans="1:6" ht="60" x14ac:dyDescent="0.25">
      <c r="A8394" s="8" t="s">
        <v>125</v>
      </c>
      <c r="B8394" s="8" t="s">
        <v>138</v>
      </c>
      <c r="C8394" s="8" t="str">
        <f>IFERROR(_xlfn.XLOOKUP(TRIM(B8394),Lookup!$B$2:$B$1000,Lookup!$C$2:$C$1000),"")</f>
        <v>Equity</v>
      </c>
      <c r="D8394" s="8" t="str">
        <f>IFERROR(INDEX('nav master'!$C:$C, MATCH(B8394, 'nav master'!$B:$B, 0)), "")</f>
        <v>ULIF06723/03/18EqtyAdvtFd101</v>
      </c>
      <c r="E8394" s="8" t="s">
        <v>303</v>
      </c>
      <c r="F8394" s="8" t="s">
        <v>4445</v>
      </c>
    </row>
    <row r="8395" spans="1:6" ht="60" x14ac:dyDescent="0.25">
      <c r="A8395" s="8" t="s">
        <v>125</v>
      </c>
      <c r="B8395" s="8" t="s">
        <v>138</v>
      </c>
      <c r="C8395" s="8" t="str">
        <f>IFERROR(_xlfn.XLOOKUP(TRIM(B8395),Lookup!$B$2:$B$1000,Lookup!$C$2:$C$1000),"")</f>
        <v>Equity</v>
      </c>
      <c r="D8395" s="8" t="str">
        <f>IFERROR(INDEX('nav master'!$C:$C, MATCH(B8395, 'nav master'!$B:$B, 0)), "")</f>
        <v>ULIF06723/03/18EqtyAdvtFd101</v>
      </c>
      <c r="E8395" s="8" t="s">
        <v>305</v>
      </c>
      <c r="F8395" s="8" t="s">
        <v>4446</v>
      </c>
    </row>
    <row r="8396" spans="1:6" ht="60" x14ac:dyDescent="0.25">
      <c r="A8396" s="8" t="s">
        <v>125</v>
      </c>
      <c r="B8396" s="8" t="s">
        <v>138</v>
      </c>
      <c r="C8396" s="8" t="str">
        <f>IFERROR(_xlfn.XLOOKUP(TRIM(B8396),Lookup!$B$2:$B$1000,Lookup!$C$2:$C$1000),"")</f>
        <v>Equity</v>
      </c>
      <c r="D8396" s="8" t="str">
        <f>IFERROR(INDEX('nav master'!$C:$C, MATCH(B8396, 'nav master'!$B:$B, 0)), "")</f>
        <v>ULIF06723/03/18EqtyAdvtFd101</v>
      </c>
      <c r="E8396" s="8" t="s">
        <v>307</v>
      </c>
      <c r="F8396" s="8" t="s">
        <v>4447</v>
      </c>
    </row>
    <row r="8397" spans="1:6" ht="60" x14ac:dyDescent="0.25">
      <c r="A8397" s="8" t="s">
        <v>125</v>
      </c>
      <c r="B8397" s="8" t="s">
        <v>138</v>
      </c>
      <c r="C8397" s="8" t="str">
        <f>IFERROR(_xlfn.XLOOKUP(TRIM(B8397),Lookup!$B$2:$B$1000,Lookup!$C$2:$C$1000),"")</f>
        <v>Equity</v>
      </c>
      <c r="D8397" s="8" t="str">
        <f>IFERROR(INDEX('nav master'!$C:$C, MATCH(B8397, 'nav master'!$B:$B, 0)), "")</f>
        <v>ULIF06723/03/18EqtyAdvtFd101</v>
      </c>
      <c r="E8397" s="8" t="s">
        <v>309</v>
      </c>
      <c r="F8397" s="8" t="s">
        <v>4448</v>
      </c>
    </row>
    <row r="8398" spans="1:6" ht="60" x14ac:dyDescent="0.25">
      <c r="A8398" s="8" t="s">
        <v>125</v>
      </c>
      <c r="B8398" s="8" t="s">
        <v>138</v>
      </c>
      <c r="C8398" s="8" t="str">
        <f>IFERROR(_xlfn.XLOOKUP(TRIM(B8398),Lookup!$B$2:$B$1000,Lookup!$C$2:$C$1000),"")</f>
        <v>Equity</v>
      </c>
      <c r="D8398" s="8" t="str">
        <f>IFERROR(INDEX('nav master'!$C:$C, MATCH(B8398, 'nav master'!$B:$B, 0)), "")</f>
        <v>ULIF06723/03/18EqtyAdvtFd101</v>
      </c>
      <c r="E8398" s="8" t="s">
        <v>311</v>
      </c>
      <c r="F8398" s="8" t="s">
        <v>4449</v>
      </c>
    </row>
    <row r="8399" spans="1:6" ht="60" x14ac:dyDescent="0.25">
      <c r="A8399" s="8" t="s">
        <v>125</v>
      </c>
      <c r="B8399" s="8" t="s">
        <v>138</v>
      </c>
      <c r="C8399" s="8" t="str">
        <f>IFERROR(_xlfn.XLOOKUP(TRIM(B8399),Lookup!$B$2:$B$1000,Lookup!$C$2:$C$1000),"")</f>
        <v>Equity</v>
      </c>
      <c r="D8399" s="8" t="str">
        <f>IFERROR(INDEX('nav master'!$C:$C, MATCH(B8399, 'nav master'!$B:$B, 0)), "")</f>
        <v>ULIF06723/03/18EqtyAdvtFd101</v>
      </c>
      <c r="E8399" s="8" t="s">
        <v>313</v>
      </c>
      <c r="F8399" s="8" t="s">
        <v>4450</v>
      </c>
    </row>
    <row r="8400" spans="1:6" ht="60" x14ac:dyDescent="0.25">
      <c r="A8400" s="8" t="s">
        <v>125</v>
      </c>
      <c r="B8400" s="8" t="s">
        <v>138</v>
      </c>
      <c r="C8400" s="8" t="str">
        <f>IFERROR(_xlfn.XLOOKUP(TRIM(B8400),Lookup!$B$2:$B$1000,Lookup!$C$2:$C$1000),"")</f>
        <v>Equity</v>
      </c>
      <c r="D8400" s="8" t="str">
        <f>IFERROR(INDEX('nav master'!$C:$C, MATCH(B8400, 'nav master'!$B:$B, 0)), "")</f>
        <v>ULIF06723/03/18EqtyAdvtFd101</v>
      </c>
      <c r="E8400" s="8" t="s">
        <v>315</v>
      </c>
      <c r="F8400" s="8" t="s">
        <v>4451</v>
      </c>
    </row>
    <row r="8401" spans="1:6" ht="60" x14ac:dyDescent="0.25">
      <c r="A8401" s="8" t="s">
        <v>125</v>
      </c>
      <c r="B8401" s="8" t="s">
        <v>138</v>
      </c>
      <c r="C8401" s="8" t="str">
        <f>IFERROR(_xlfn.XLOOKUP(TRIM(B8401),Lookup!$B$2:$B$1000,Lookup!$C$2:$C$1000),"")</f>
        <v>Equity</v>
      </c>
      <c r="D8401" s="8" t="str">
        <f>IFERROR(INDEX('nav master'!$C:$C, MATCH(B8401, 'nav master'!$B:$B, 0)), "")</f>
        <v>ULIF06723/03/18EqtyAdvtFd101</v>
      </c>
      <c r="E8401" s="8" t="s">
        <v>317</v>
      </c>
      <c r="F8401" s="8" t="s">
        <v>4452</v>
      </c>
    </row>
    <row r="8402" spans="1:6" ht="60" x14ac:dyDescent="0.25">
      <c r="A8402" s="8" t="s">
        <v>125</v>
      </c>
      <c r="B8402" s="8" t="s">
        <v>138</v>
      </c>
      <c r="C8402" s="8" t="str">
        <f>IFERROR(_xlfn.XLOOKUP(TRIM(B8402),Lookup!$B$2:$B$1000,Lookup!$C$2:$C$1000),"")</f>
        <v>Equity</v>
      </c>
      <c r="D8402" s="8" t="str">
        <f>IFERROR(INDEX('nav master'!$C:$C, MATCH(B8402, 'nav master'!$B:$B, 0)), "")</f>
        <v>ULIF06723/03/18EqtyAdvtFd101</v>
      </c>
      <c r="E8402" s="8" t="s">
        <v>319</v>
      </c>
      <c r="F8402" s="8" t="s">
        <v>4453</v>
      </c>
    </row>
    <row r="8403" spans="1:6" ht="60" x14ac:dyDescent="0.25">
      <c r="A8403" s="8" t="s">
        <v>125</v>
      </c>
      <c r="B8403" s="8" t="s">
        <v>138</v>
      </c>
      <c r="C8403" s="8" t="str">
        <f>IFERROR(_xlfn.XLOOKUP(TRIM(B8403),Lookup!$B$2:$B$1000,Lookup!$C$2:$C$1000),"")</f>
        <v>Equity</v>
      </c>
      <c r="D8403" s="8" t="str">
        <f>IFERROR(INDEX('nav master'!$C:$C, MATCH(B8403, 'nav master'!$B:$B, 0)), "")</f>
        <v>ULIF06723/03/18EqtyAdvtFd101</v>
      </c>
      <c r="E8403" s="8" t="s">
        <v>321</v>
      </c>
      <c r="F8403" s="8" t="s">
        <v>4454</v>
      </c>
    </row>
    <row r="8404" spans="1:6" ht="60" x14ac:dyDescent="0.25">
      <c r="A8404" s="8" t="s">
        <v>125</v>
      </c>
      <c r="B8404" s="8" t="s">
        <v>138</v>
      </c>
      <c r="C8404" s="8" t="str">
        <f>IFERROR(_xlfn.XLOOKUP(TRIM(B8404),Lookup!$B$2:$B$1000,Lookup!$C$2:$C$1000),"")</f>
        <v>Equity</v>
      </c>
      <c r="D8404" s="8" t="str">
        <f>IFERROR(INDEX('nav master'!$C:$C, MATCH(B8404, 'nav master'!$B:$B, 0)), "")</f>
        <v>ULIF06723/03/18EqtyAdvtFd101</v>
      </c>
      <c r="E8404" s="8" t="s">
        <v>323</v>
      </c>
      <c r="F8404" s="8" t="s">
        <v>4455</v>
      </c>
    </row>
    <row r="8405" spans="1:6" ht="60" x14ac:dyDescent="0.25">
      <c r="A8405" s="8" t="s">
        <v>125</v>
      </c>
      <c r="B8405" s="8" t="s">
        <v>138</v>
      </c>
      <c r="C8405" s="8" t="str">
        <f>IFERROR(_xlfn.XLOOKUP(TRIM(B8405),Lookup!$B$2:$B$1000,Lookup!$C$2:$C$1000),"")</f>
        <v>Equity</v>
      </c>
      <c r="D8405" s="8" t="str">
        <f>IFERROR(INDEX('nav master'!$C:$C, MATCH(B8405, 'nav master'!$B:$B, 0)), "")</f>
        <v>ULIF06723/03/18EqtyAdvtFd101</v>
      </c>
      <c r="E8405" s="8" t="s">
        <v>325</v>
      </c>
      <c r="F8405" s="8" t="s">
        <v>4456</v>
      </c>
    </row>
    <row r="8406" spans="1:6" ht="60" x14ac:dyDescent="0.25">
      <c r="A8406" s="8" t="s">
        <v>125</v>
      </c>
      <c r="B8406" s="8" t="s">
        <v>138</v>
      </c>
      <c r="C8406" s="8" t="str">
        <f>IFERROR(_xlfn.XLOOKUP(TRIM(B8406),Lookup!$B$2:$B$1000,Lookup!$C$2:$C$1000),"")</f>
        <v>Equity</v>
      </c>
      <c r="D8406" s="8" t="str">
        <f>IFERROR(INDEX('nav master'!$C:$C, MATCH(B8406, 'nav master'!$B:$B, 0)), "")</f>
        <v>ULIF06723/03/18EqtyAdvtFd101</v>
      </c>
      <c r="E8406" s="8" t="s">
        <v>327</v>
      </c>
      <c r="F8406" s="8" t="s">
        <v>4457</v>
      </c>
    </row>
    <row r="8407" spans="1:6" ht="60" x14ac:dyDescent="0.25">
      <c r="A8407" s="8" t="s">
        <v>125</v>
      </c>
      <c r="B8407" s="8" t="s">
        <v>138</v>
      </c>
      <c r="C8407" s="8" t="str">
        <f>IFERROR(_xlfn.XLOOKUP(TRIM(B8407),Lookup!$B$2:$B$1000,Lookup!$C$2:$C$1000),"")</f>
        <v>Equity</v>
      </c>
      <c r="D8407" s="8" t="str">
        <f>IFERROR(INDEX('nav master'!$C:$C, MATCH(B8407, 'nav master'!$B:$B, 0)), "")</f>
        <v>ULIF06723/03/18EqtyAdvtFd101</v>
      </c>
      <c r="E8407" s="8" t="s">
        <v>329</v>
      </c>
      <c r="F8407" s="8" t="s">
        <v>4458</v>
      </c>
    </row>
    <row r="8408" spans="1:6" ht="60" x14ac:dyDescent="0.25">
      <c r="A8408" s="8" t="s">
        <v>125</v>
      </c>
      <c r="B8408" s="8" t="s">
        <v>138</v>
      </c>
      <c r="C8408" s="8" t="str">
        <f>IFERROR(_xlfn.XLOOKUP(TRIM(B8408),Lookup!$B$2:$B$1000,Lookup!$C$2:$C$1000),"")</f>
        <v>Equity</v>
      </c>
      <c r="D8408" s="8" t="str">
        <f>IFERROR(INDEX('nav master'!$C:$C, MATCH(B8408, 'nav master'!$B:$B, 0)), "")</f>
        <v>ULIF06723/03/18EqtyAdvtFd101</v>
      </c>
      <c r="E8408" s="8" t="s">
        <v>331</v>
      </c>
      <c r="F8408" s="8" t="s">
        <v>4459</v>
      </c>
    </row>
    <row r="8409" spans="1:6" ht="60" x14ac:dyDescent="0.25">
      <c r="A8409" s="8" t="s">
        <v>125</v>
      </c>
      <c r="B8409" s="8" t="s">
        <v>138</v>
      </c>
      <c r="C8409" s="8" t="str">
        <f>IFERROR(_xlfn.XLOOKUP(TRIM(B8409),Lookup!$B$2:$B$1000,Lookup!$C$2:$C$1000),"")</f>
        <v>Equity</v>
      </c>
      <c r="D8409" s="8" t="str">
        <f>IFERROR(INDEX('nav master'!$C:$C, MATCH(B8409, 'nav master'!$B:$B, 0)), "")</f>
        <v>ULIF06723/03/18EqtyAdvtFd101</v>
      </c>
      <c r="E8409" s="8" t="s">
        <v>333</v>
      </c>
      <c r="F8409" s="8" t="s">
        <v>4460</v>
      </c>
    </row>
    <row r="8410" spans="1:6" ht="60" x14ac:dyDescent="0.25">
      <c r="A8410" s="8" t="s">
        <v>125</v>
      </c>
      <c r="B8410" s="8" t="s">
        <v>138</v>
      </c>
      <c r="C8410" s="8" t="str">
        <f>IFERROR(_xlfn.XLOOKUP(TRIM(B8410),Lookup!$B$2:$B$1000,Lookup!$C$2:$C$1000),"")</f>
        <v>Equity</v>
      </c>
      <c r="D8410" s="8" t="str">
        <f>IFERROR(INDEX('nav master'!$C:$C, MATCH(B8410, 'nav master'!$B:$B, 0)), "")</f>
        <v>ULIF06723/03/18EqtyAdvtFd101</v>
      </c>
      <c r="E8410" s="8" t="s">
        <v>335</v>
      </c>
      <c r="F8410" s="8" t="s">
        <v>4461</v>
      </c>
    </row>
    <row r="8411" spans="1:6" ht="60" x14ac:dyDescent="0.25">
      <c r="A8411" s="8" t="s">
        <v>125</v>
      </c>
      <c r="B8411" s="8" t="s">
        <v>138</v>
      </c>
      <c r="C8411" s="8" t="str">
        <f>IFERROR(_xlfn.XLOOKUP(TRIM(B8411),Lookup!$B$2:$B$1000,Lookup!$C$2:$C$1000),"")</f>
        <v>Equity</v>
      </c>
      <c r="D8411" s="8" t="str">
        <f>IFERROR(INDEX('nav master'!$C:$C, MATCH(B8411, 'nav master'!$B:$B, 0)), "")</f>
        <v>ULIF06723/03/18EqtyAdvtFd101</v>
      </c>
      <c r="E8411" s="8" t="s">
        <v>337</v>
      </c>
      <c r="F8411" s="8" t="s">
        <v>4462</v>
      </c>
    </row>
    <row r="8412" spans="1:6" ht="60" x14ac:dyDescent="0.25">
      <c r="A8412" s="8" t="s">
        <v>125</v>
      </c>
      <c r="B8412" s="8" t="s">
        <v>138</v>
      </c>
      <c r="C8412" s="8" t="str">
        <f>IFERROR(_xlfn.XLOOKUP(TRIM(B8412),Lookup!$B$2:$B$1000,Lookup!$C$2:$C$1000),"")</f>
        <v>Equity</v>
      </c>
      <c r="D8412" s="8" t="str">
        <f>IFERROR(INDEX('nav master'!$C:$C, MATCH(B8412, 'nav master'!$B:$B, 0)), "")</f>
        <v>ULIF06723/03/18EqtyAdvtFd101</v>
      </c>
      <c r="E8412" s="8" t="s">
        <v>339</v>
      </c>
      <c r="F8412" s="8" t="s">
        <v>4463</v>
      </c>
    </row>
    <row r="8413" spans="1:6" ht="60" x14ac:dyDescent="0.25">
      <c r="A8413" s="8" t="s">
        <v>125</v>
      </c>
      <c r="B8413" s="8" t="s">
        <v>138</v>
      </c>
      <c r="C8413" s="8" t="str">
        <f>IFERROR(_xlfn.XLOOKUP(TRIM(B8413),Lookup!$B$2:$B$1000,Lookup!$C$2:$C$1000),"")</f>
        <v>Equity</v>
      </c>
      <c r="D8413" s="8" t="str">
        <f>IFERROR(INDEX('nav master'!$C:$C, MATCH(B8413, 'nav master'!$B:$B, 0)), "")</f>
        <v>ULIF06723/03/18EqtyAdvtFd101</v>
      </c>
      <c r="E8413" s="8" t="s">
        <v>341</v>
      </c>
      <c r="F8413" s="8" t="s">
        <v>4464</v>
      </c>
    </row>
    <row r="8414" spans="1:6" ht="60" x14ac:dyDescent="0.25">
      <c r="A8414" s="8" t="s">
        <v>125</v>
      </c>
      <c r="B8414" s="8" t="s">
        <v>138</v>
      </c>
      <c r="C8414" s="8" t="str">
        <f>IFERROR(_xlfn.XLOOKUP(TRIM(B8414),Lookup!$B$2:$B$1000,Lookup!$C$2:$C$1000),"")</f>
        <v>Equity</v>
      </c>
      <c r="D8414" s="8" t="str">
        <f>IFERROR(INDEX('nav master'!$C:$C, MATCH(B8414, 'nav master'!$B:$B, 0)), "")</f>
        <v>ULIF06723/03/18EqtyAdvtFd101</v>
      </c>
      <c r="E8414" s="8" t="s">
        <v>343</v>
      </c>
      <c r="F8414" s="8" t="s">
        <v>4465</v>
      </c>
    </row>
    <row r="8415" spans="1:6" ht="60" x14ac:dyDescent="0.25">
      <c r="A8415" s="8" t="s">
        <v>125</v>
      </c>
      <c r="B8415" s="8" t="s">
        <v>138</v>
      </c>
      <c r="C8415" s="8" t="str">
        <f>IFERROR(_xlfn.XLOOKUP(TRIM(B8415),Lookup!$B$2:$B$1000,Lookup!$C$2:$C$1000),"")</f>
        <v>Equity</v>
      </c>
      <c r="D8415" s="8" t="str">
        <f>IFERROR(INDEX('nav master'!$C:$C, MATCH(B8415, 'nav master'!$B:$B, 0)), "")</f>
        <v>ULIF06723/03/18EqtyAdvtFd101</v>
      </c>
      <c r="E8415" s="8" t="s">
        <v>345</v>
      </c>
      <c r="F8415" s="8" t="s">
        <v>4466</v>
      </c>
    </row>
    <row r="8416" spans="1:6" ht="60" x14ac:dyDescent="0.25">
      <c r="A8416" s="8" t="s">
        <v>125</v>
      </c>
      <c r="B8416" s="8" t="s">
        <v>138</v>
      </c>
      <c r="C8416" s="8" t="str">
        <f>IFERROR(_xlfn.XLOOKUP(TRIM(B8416),Lookup!$B$2:$B$1000,Lookup!$C$2:$C$1000),"")</f>
        <v>Equity</v>
      </c>
      <c r="D8416" s="8" t="str">
        <f>IFERROR(INDEX('nav master'!$C:$C, MATCH(B8416, 'nav master'!$B:$B, 0)), "")</f>
        <v>ULIF06723/03/18EqtyAdvtFd101</v>
      </c>
      <c r="E8416" s="8" t="s">
        <v>347</v>
      </c>
      <c r="F8416" s="8" t="s">
        <v>4467</v>
      </c>
    </row>
    <row r="8417" spans="1:6" ht="60" x14ac:dyDescent="0.25">
      <c r="A8417" s="8" t="s">
        <v>125</v>
      </c>
      <c r="B8417" s="8" t="s">
        <v>138</v>
      </c>
      <c r="C8417" s="8" t="str">
        <f>IFERROR(_xlfn.XLOOKUP(TRIM(B8417),Lookup!$B$2:$B$1000,Lookup!$C$2:$C$1000),"")</f>
        <v>Equity</v>
      </c>
      <c r="D8417" s="8" t="str">
        <f>IFERROR(INDEX('nav master'!$C:$C, MATCH(B8417, 'nav master'!$B:$B, 0)), "")</f>
        <v>ULIF06723/03/18EqtyAdvtFd101</v>
      </c>
      <c r="E8417" s="8" t="s">
        <v>349</v>
      </c>
      <c r="F8417" s="8" t="s">
        <v>4468</v>
      </c>
    </row>
    <row r="8418" spans="1:6" ht="60" x14ac:dyDescent="0.25">
      <c r="A8418" s="8" t="s">
        <v>125</v>
      </c>
      <c r="B8418" s="8" t="s">
        <v>138</v>
      </c>
      <c r="C8418" s="8" t="str">
        <f>IFERROR(_xlfn.XLOOKUP(TRIM(B8418),Lookup!$B$2:$B$1000,Lookup!$C$2:$C$1000),"")</f>
        <v>Equity</v>
      </c>
      <c r="D8418" s="8" t="str">
        <f>IFERROR(INDEX('nav master'!$C:$C, MATCH(B8418, 'nav master'!$B:$B, 0)), "")</f>
        <v>ULIF06723/03/18EqtyAdvtFd101</v>
      </c>
      <c r="E8418" s="8" t="s">
        <v>351</v>
      </c>
      <c r="F8418" s="8" t="s">
        <v>4469</v>
      </c>
    </row>
    <row r="8419" spans="1:6" ht="60" x14ac:dyDescent="0.25">
      <c r="A8419" s="8" t="s">
        <v>125</v>
      </c>
      <c r="B8419" s="8" t="s">
        <v>138</v>
      </c>
      <c r="C8419" s="8" t="str">
        <f>IFERROR(_xlfn.XLOOKUP(TRIM(B8419),Lookup!$B$2:$B$1000,Lookup!$C$2:$C$1000),"")</f>
        <v>Equity</v>
      </c>
      <c r="D8419" s="8" t="str">
        <f>IFERROR(INDEX('nav master'!$C:$C, MATCH(B8419, 'nav master'!$B:$B, 0)), "")</f>
        <v>ULIF06723/03/18EqtyAdvtFd101</v>
      </c>
      <c r="E8419" s="8" t="s">
        <v>353</v>
      </c>
      <c r="F8419" s="8" t="s">
        <v>4470</v>
      </c>
    </row>
    <row r="8420" spans="1:6" ht="60" x14ac:dyDescent="0.25">
      <c r="A8420" s="8" t="s">
        <v>125</v>
      </c>
      <c r="B8420" s="8" t="s">
        <v>138</v>
      </c>
      <c r="C8420" s="8" t="str">
        <f>IFERROR(_xlfn.XLOOKUP(TRIM(B8420),Lookup!$B$2:$B$1000,Lookup!$C$2:$C$1000),"")</f>
        <v>Equity</v>
      </c>
      <c r="D8420" s="8" t="str">
        <f>IFERROR(INDEX('nav master'!$C:$C, MATCH(B8420, 'nav master'!$B:$B, 0)), "")</f>
        <v>ULIF06723/03/18EqtyAdvtFd101</v>
      </c>
      <c r="E8420" s="8" t="s">
        <v>355</v>
      </c>
      <c r="F8420" s="8" t="s">
        <v>4471</v>
      </c>
    </row>
    <row r="8421" spans="1:6" ht="60" x14ac:dyDescent="0.25">
      <c r="A8421" s="8" t="s">
        <v>125</v>
      </c>
      <c r="B8421" s="8" t="s">
        <v>138</v>
      </c>
      <c r="C8421" s="8" t="str">
        <f>IFERROR(_xlfn.XLOOKUP(TRIM(B8421),Lookup!$B$2:$B$1000,Lookup!$C$2:$C$1000),"")</f>
        <v>Equity</v>
      </c>
      <c r="D8421" s="8" t="str">
        <f>IFERROR(INDEX('nav master'!$C:$C, MATCH(B8421, 'nav master'!$B:$B, 0)), "")</f>
        <v>ULIF06723/03/18EqtyAdvtFd101</v>
      </c>
      <c r="E8421" s="8" t="s">
        <v>357</v>
      </c>
      <c r="F8421" s="8" t="s">
        <v>4472</v>
      </c>
    </row>
    <row r="8422" spans="1:6" ht="60" x14ac:dyDescent="0.25">
      <c r="A8422" s="8" t="s">
        <v>125</v>
      </c>
      <c r="B8422" s="8" t="s">
        <v>138</v>
      </c>
      <c r="C8422" s="8" t="str">
        <f>IFERROR(_xlfn.XLOOKUP(TRIM(B8422),Lookup!$B$2:$B$1000,Lookup!$C$2:$C$1000),"")</f>
        <v>Equity</v>
      </c>
      <c r="D8422" s="8" t="str">
        <f>IFERROR(INDEX('nav master'!$C:$C, MATCH(B8422, 'nav master'!$B:$B, 0)), "")</f>
        <v>ULIF06723/03/18EqtyAdvtFd101</v>
      </c>
      <c r="E8422" s="8" t="s">
        <v>359</v>
      </c>
      <c r="F8422" s="8" t="s">
        <v>4473</v>
      </c>
    </row>
    <row r="8423" spans="1:6" ht="60" x14ac:dyDescent="0.25">
      <c r="A8423" s="8" t="s">
        <v>125</v>
      </c>
      <c r="B8423" s="8" t="s">
        <v>138</v>
      </c>
      <c r="C8423" s="8" t="str">
        <f>IFERROR(_xlfn.XLOOKUP(TRIM(B8423),Lookup!$B$2:$B$1000,Lookup!$C$2:$C$1000),"")</f>
        <v>Equity</v>
      </c>
      <c r="D8423" s="8" t="str">
        <f>IFERROR(INDEX('nav master'!$C:$C, MATCH(B8423, 'nav master'!$B:$B, 0)), "")</f>
        <v>ULIF06723/03/18EqtyAdvtFd101</v>
      </c>
      <c r="E8423" s="8" t="s">
        <v>361</v>
      </c>
      <c r="F8423" s="8" t="s">
        <v>4474</v>
      </c>
    </row>
    <row r="8424" spans="1:6" ht="60" x14ac:dyDescent="0.25">
      <c r="A8424" s="8" t="s">
        <v>125</v>
      </c>
      <c r="B8424" s="8" t="s">
        <v>138</v>
      </c>
      <c r="C8424" s="8" t="str">
        <f>IFERROR(_xlfn.XLOOKUP(TRIM(B8424),Lookup!$B$2:$B$1000,Lookup!$C$2:$C$1000),"")</f>
        <v>Equity</v>
      </c>
      <c r="D8424" s="8" t="str">
        <f>IFERROR(INDEX('nav master'!$C:$C, MATCH(B8424, 'nav master'!$B:$B, 0)), "")</f>
        <v>ULIF06723/03/18EqtyAdvtFd101</v>
      </c>
      <c r="E8424" s="8" t="s">
        <v>363</v>
      </c>
      <c r="F8424" s="8" t="s">
        <v>4475</v>
      </c>
    </row>
    <row r="8425" spans="1:6" ht="60" x14ac:dyDescent="0.25">
      <c r="A8425" s="8" t="s">
        <v>125</v>
      </c>
      <c r="B8425" s="8" t="s">
        <v>138</v>
      </c>
      <c r="C8425" s="8" t="str">
        <f>IFERROR(_xlfn.XLOOKUP(TRIM(B8425),Lookup!$B$2:$B$1000,Lookup!$C$2:$C$1000),"")</f>
        <v>Equity</v>
      </c>
      <c r="D8425" s="8" t="str">
        <f>IFERROR(INDEX('nav master'!$C:$C, MATCH(B8425, 'nav master'!$B:$B, 0)), "")</f>
        <v>ULIF06723/03/18EqtyAdvtFd101</v>
      </c>
      <c r="E8425" s="8" t="s">
        <v>365</v>
      </c>
      <c r="F8425" s="8" t="s">
        <v>4476</v>
      </c>
    </row>
    <row r="8426" spans="1:6" ht="60" x14ac:dyDescent="0.25">
      <c r="A8426" s="8" t="s">
        <v>125</v>
      </c>
      <c r="B8426" s="8" t="s">
        <v>138</v>
      </c>
      <c r="C8426" s="8" t="str">
        <f>IFERROR(_xlfn.XLOOKUP(TRIM(B8426),Lookup!$B$2:$B$1000,Lookup!$C$2:$C$1000),"")</f>
        <v>Equity</v>
      </c>
      <c r="D8426" s="8" t="str">
        <f>IFERROR(INDEX('nav master'!$C:$C, MATCH(B8426, 'nav master'!$B:$B, 0)), "")</f>
        <v>ULIF06723/03/18EqtyAdvtFd101</v>
      </c>
      <c r="E8426" s="8" t="s">
        <v>367</v>
      </c>
      <c r="F8426" s="8" t="s">
        <v>4477</v>
      </c>
    </row>
    <row r="8427" spans="1:6" ht="60" x14ac:dyDescent="0.25">
      <c r="A8427" s="8" t="s">
        <v>125</v>
      </c>
      <c r="B8427" s="8" t="s">
        <v>138</v>
      </c>
      <c r="C8427" s="8" t="str">
        <f>IFERROR(_xlfn.XLOOKUP(TRIM(B8427),Lookup!$B$2:$B$1000,Lookup!$C$2:$C$1000),"")</f>
        <v>Equity</v>
      </c>
      <c r="D8427" s="8" t="str">
        <f>IFERROR(INDEX('nav master'!$C:$C, MATCH(B8427, 'nav master'!$B:$B, 0)), "")</f>
        <v>ULIF06723/03/18EqtyAdvtFd101</v>
      </c>
      <c r="E8427" s="8" t="s">
        <v>369</v>
      </c>
      <c r="F8427" s="8" t="s">
        <v>4478</v>
      </c>
    </row>
    <row r="8428" spans="1:6" ht="60" x14ac:dyDescent="0.25">
      <c r="A8428" s="8" t="s">
        <v>125</v>
      </c>
      <c r="B8428" s="8" t="s">
        <v>138</v>
      </c>
      <c r="C8428" s="8" t="str">
        <f>IFERROR(_xlfn.XLOOKUP(TRIM(B8428),Lookup!$B$2:$B$1000,Lookup!$C$2:$C$1000),"")</f>
        <v>Equity</v>
      </c>
      <c r="D8428" s="8" t="str">
        <f>IFERROR(INDEX('nav master'!$C:$C, MATCH(B8428, 'nav master'!$B:$B, 0)), "")</f>
        <v>ULIF06723/03/18EqtyAdvtFd101</v>
      </c>
      <c r="E8428" s="8" t="s">
        <v>371</v>
      </c>
      <c r="F8428" s="8" t="s">
        <v>4479</v>
      </c>
    </row>
    <row r="8429" spans="1:6" ht="60" x14ac:dyDescent="0.25">
      <c r="A8429" s="8" t="s">
        <v>125</v>
      </c>
      <c r="B8429" s="8" t="s">
        <v>138</v>
      </c>
      <c r="C8429" s="8" t="str">
        <f>IFERROR(_xlfn.XLOOKUP(TRIM(B8429),Lookup!$B$2:$B$1000,Lookup!$C$2:$C$1000),"")</f>
        <v>Equity</v>
      </c>
      <c r="D8429" s="8" t="str">
        <f>IFERROR(INDEX('nav master'!$C:$C, MATCH(B8429, 'nav master'!$B:$B, 0)), "")</f>
        <v>ULIF06723/03/18EqtyAdvtFd101</v>
      </c>
      <c r="E8429" s="8" t="s">
        <v>373</v>
      </c>
      <c r="F8429" s="8" t="s">
        <v>4480</v>
      </c>
    </row>
    <row r="8430" spans="1:6" ht="60" x14ac:dyDescent="0.25">
      <c r="A8430" s="8" t="s">
        <v>125</v>
      </c>
      <c r="B8430" s="8" t="s">
        <v>138</v>
      </c>
      <c r="C8430" s="8" t="str">
        <f>IFERROR(_xlfn.XLOOKUP(TRIM(B8430),Lookup!$B$2:$B$1000,Lookup!$C$2:$C$1000),"")</f>
        <v>Equity</v>
      </c>
      <c r="D8430" s="8" t="str">
        <f>IFERROR(INDEX('nav master'!$C:$C, MATCH(B8430, 'nav master'!$B:$B, 0)), "")</f>
        <v>ULIF06723/03/18EqtyAdvtFd101</v>
      </c>
      <c r="E8430" s="8" t="s">
        <v>375</v>
      </c>
      <c r="F8430" s="8" t="s">
        <v>4481</v>
      </c>
    </row>
    <row r="8431" spans="1:6" ht="60" x14ac:dyDescent="0.25">
      <c r="A8431" s="8" t="s">
        <v>125</v>
      </c>
      <c r="B8431" s="8" t="s">
        <v>138</v>
      </c>
      <c r="C8431" s="8" t="str">
        <f>IFERROR(_xlfn.XLOOKUP(TRIM(B8431),Lookup!$B$2:$B$1000,Lookup!$C$2:$C$1000),"")</f>
        <v>Equity</v>
      </c>
      <c r="D8431" s="8" t="str">
        <f>IFERROR(INDEX('nav master'!$C:$C, MATCH(B8431, 'nav master'!$B:$B, 0)), "")</f>
        <v>ULIF06723/03/18EqtyAdvtFd101</v>
      </c>
      <c r="E8431" s="8" t="s">
        <v>377</v>
      </c>
      <c r="F8431" s="8" t="s">
        <v>4482</v>
      </c>
    </row>
    <row r="8432" spans="1:6" ht="60" x14ac:dyDescent="0.25">
      <c r="A8432" s="8" t="s">
        <v>125</v>
      </c>
      <c r="B8432" s="8" t="s">
        <v>138</v>
      </c>
      <c r="C8432" s="8" t="str">
        <f>IFERROR(_xlfn.XLOOKUP(TRIM(B8432),Lookup!$B$2:$B$1000,Lookup!$C$2:$C$1000),"")</f>
        <v>Equity</v>
      </c>
      <c r="D8432" s="8" t="str">
        <f>IFERROR(INDEX('nav master'!$C:$C, MATCH(B8432, 'nav master'!$B:$B, 0)), "")</f>
        <v>ULIF06723/03/18EqtyAdvtFd101</v>
      </c>
      <c r="E8432" s="8" t="s">
        <v>379</v>
      </c>
      <c r="F8432" s="8" t="s">
        <v>4483</v>
      </c>
    </row>
    <row r="8433" spans="1:6" ht="60" x14ac:dyDescent="0.25">
      <c r="A8433" s="8" t="s">
        <v>125</v>
      </c>
      <c r="B8433" s="8" t="s">
        <v>138</v>
      </c>
      <c r="C8433" s="8" t="str">
        <f>IFERROR(_xlfn.XLOOKUP(TRIM(B8433),Lookup!$B$2:$B$1000,Lookup!$C$2:$C$1000),"")</f>
        <v>Equity</v>
      </c>
      <c r="D8433" s="8" t="str">
        <f>IFERROR(INDEX('nav master'!$C:$C, MATCH(B8433, 'nav master'!$B:$B, 0)), "")</f>
        <v>ULIF06723/03/18EqtyAdvtFd101</v>
      </c>
      <c r="E8433" s="8" t="s">
        <v>381</v>
      </c>
      <c r="F8433" s="8" t="s">
        <v>4484</v>
      </c>
    </row>
    <row r="8434" spans="1:6" ht="60" x14ac:dyDescent="0.25">
      <c r="A8434" s="8" t="s">
        <v>125</v>
      </c>
      <c r="B8434" s="8" t="s">
        <v>138</v>
      </c>
      <c r="C8434" s="8" t="str">
        <f>IFERROR(_xlfn.XLOOKUP(TRIM(B8434),Lookup!$B$2:$B$1000,Lookup!$C$2:$C$1000),"")</f>
        <v>Equity</v>
      </c>
      <c r="D8434" s="8" t="str">
        <f>IFERROR(INDEX('nav master'!$C:$C, MATCH(B8434, 'nav master'!$B:$B, 0)), "")</f>
        <v>ULIF06723/03/18EqtyAdvtFd101</v>
      </c>
      <c r="E8434" s="8" t="s">
        <v>383</v>
      </c>
      <c r="F8434" s="8" t="s">
        <v>4485</v>
      </c>
    </row>
    <row r="8435" spans="1:6" ht="60" x14ac:dyDescent="0.25">
      <c r="A8435" s="8" t="s">
        <v>125</v>
      </c>
      <c r="B8435" s="8" t="s">
        <v>138</v>
      </c>
      <c r="C8435" s="8" t="str">
        <f>IFERROR(_xlfn.XLOOKUP(TRIM(B8435),Lookup!$B$2:$B$1000,Lookup!$C$2:$C$1000),"")</f>
        <v>Equity</v>
      </c>
      <c r="D8435" s="8" t="str">
        <f>IFERROR(INDEX('nav master'!$C:$C, MATCH(B8435, 'nav master'!$B:$B, 0)), "")</f>
        <v>ULIF06723/03/18EqtyAdvtFd101</v>
      </c>
      <c r="E8435" s="8" t="s">
        <v>385</v>
      </c>
      <c r="F8435" s="8" t="s">
        <v>4486</v>
      </c>
    </row>
    <row r="8436" spans="1:6" ht="60" x14ac:dyDescent="0.25">
      <c r="A8436" s="8" t="s">
        <v>125</v>
      </c>
      <c r="B8436" s="8" t="s">
        <v>138</v>
      </c>
      <c r="C8436" s="8" t="str">
        <f>IFERROR(_xlfn.XLOOKUP(TRIM(B8436),Lookup!$B$2:$B$1000,Lookup!$C$2:$C$1000),"")</f>
        <v>Equity</v>
      </c>
      <c r="D8436" s="8" t="str">
        <f>IFERROR(INDEX('nav master'!$C:$C, MATCH(B8436, 'nav master'!$B:$B, 0)), "")</f>
        <v>ULIF06723/03/18EqtyAdvtFd101</v>
      </c>
      <c r="E8436" s="8" t="s">
        <v>387</v>
      </c>
      <c r="F8436" s="8" t="s">
        <v>4487</v>
      </c>
    </row>
    <row r="8437" spans="1:6" ht="60" x14ac:dyDescent="0.25">
      <c r="A8437" s="8" t="s">
        <v>125</v>
      </c>
      <c r="B8437" s="8" t="s">
        <v>138</v>
      </c>
      <c r="C8437" s="8" t="str">
        <f>IFERROR(_xlfn.XLOOKUP(TRIM(B8437),Lookup!$B$2:$B$1000,Lookup!$C$2:$C$1000),"")</f>
        <v>Equity</v>
      </c>
      <c r="D8437" s="8" t="str">
        <f>IFERROR(INDEX('nav master'!$C:$C, MATCH(B8437, 'nav master'!$B:$B, 0)), "")</f>
        <v>ULIF06723/03/18EqtyAdvtFd101</v>
      </c>
      <c r="E8437" s="8" t="s">
        <v>389</v>
      </c>
      <c r="F8437" s="8" t="s">
        <v>4488</v>
      </c>
    </row>
    <row r="8438" spans="1:6" ht="60" x14ac:dyDescent="0.25">
      <c r="A8438" s="8" t="s">
        <v>125</v>
      </c>
      <c r="B8438" s="8" t="s">
        <v>138</v>
      </c>
      <c r="C8438" s="8" t="str">
        <f>IFERROR(_xlfn.XLOOKUP(TRIM(B8438),Lookup!$B$2:$B$1000,Lookup!$C$2:$C$1000),"")</f>
        <v>Equity</v>
      </c>
      <c r="D8438" s="8" t="str">
        <f>IFERROR(INDEX('nav master'!$C:$C, MATCH(B8438, 'nav master'!$B:$B, 0)), "")</f>
        <v>ULIF06723/03/18EqtyAdvtFd101</v>
      </c>
      <c r="E8438" s="8" t="s">
        <v>391</v>
      </c>
      <c r="F8438" s="8" t="s">
        <v>4489</v>
      </c>
    </row>
    <row r="8439" spans="1:6" ht="60" x14ac:dyDescent="0.25">
      <c r="A8439" s="8" t="s">
        <v>125</v>
      </c>
      <c r="B8439" s="8" t="s">
        <v>138</v>
      </c>
      <c r="C8439" s="8" t="str">
        <f>IFERROR(_xlfn.XLOOKUP(TRIM(B8439),Lookup!$B$2:$B$1000,Lookup!$C$2:$C$1000),"")</f>
        <v>Equity</v>
      </c>
      <c r="D8439" s="8" t="str">
        <f>IFERROR(INDEX('nav master'!$C:$C, MATCH(B8439, 'nav master'!$B:$B, 0)), "")</f>
        <v>ULIF06723/03/18EqtyAdvtFd101</v>
      </c>
      <c r="E8439" s="8" t="s">
        <v>393</v>
      </c>
      <c r="F8439" s="8" t="s">
        <v>4490</v>
      </c>
    </row>
    <row r="8440" spans="1:6" ht="60" x14ac:dyDescent="0.25">
      <c r="A8440" s="8" t="s">
        <v>125</v>
      </c>
      <c r="B8440" s="8" t="s">
        <v>138</v>
      </c>
      <c r="C8440" s="8" t="str">
        <f>IFERROR(_xlfn.XLOOKUP(TRIM(B8440),Lookup!$B$2:$B$1000,Lookup!$C$2:$C$1000),"")</f>
        <v>Equity</v>
      </c>
      <c r="D8440" s="8" t="str">
        <f>IFERROR(INDEX('nav master'!$C:$C, MATCH(B8440, 'nav master'!$B:$B, 0)), "")</f>
        <v>ULIF06723/03/18EqtyAdvtFd101</v>
      </c>
      <c r="E8440" s="8" t="s">
        <v>395</v>
      </c>
      <c r="F8440" s="8" t="s">
        <v>4491</v>
      </c>
    </row>
    <row r="8441" spans="1:6" ht="60" x14ac:dyDescent="0.25">
      <c r="A8441" s="8" t="s">
        <v>125</v>
      </c>
      <c r="B8441" s="8" t="s">
        <v>138</v>
      </c>
      <c r="C8441" s="8" t="str">
        <f>IFERROR(_xlfn.XLOOKUP(TRIM(B8441),Lookup!$B$2:$B$1000,Lookup!$C$2:$C$1000),"")</f>
        <v>Equity</v>
      </c>
      <c r="D8441" s="8" t="str">
        <f>IFERROR(INDEX('nav master'!$C:$C, MATCH(B8441, 'nav master'!$B:$B, 0)), "")</f>
        <v>ULIF06723/03/18EqtyAdvtFd101</v>
      </c>
      <c r="E8441" s="8" t="s">
        <v>397</v>
      </c>
      <c r="F8441" s="8" t="s">
        <v>4492</v>
      </c>
    </row>
    <row r="8442" spans="1:6" ht="60" x14ac:dyDescent="0.25">
      <c r="A8442" s="8" t="s">
        <v>125</v>
      </c>
      <c r="B8442" s="8" t="s">
        <v>138</v>
      </c>
      <c r="C8442" s="8" t="str">
        <f>IFERROR(_xlfn.XLOOKUP(TRIM(B8442),Lookup!$B$2:$B$1000,Lookup!$C$2:$C$1000),"")</f>
        <v>Equity</v>
      </c>
      <c r="D8442" s="8" t="str">
        <f>IFERROR(INDEX('nav master'!$C:$C, MATCH(B8442, 'nav master'!$B:$B, 0)), "")</f>
        <v>ULIF06723/03/18EqtyAdvtFd101</v>
      </c>
      <c r="E8442" s="8" t="s">
        <v>399</v>
      </c>
      <c r="F8442" s="8" t="s">
        <v>4493</v>
      </c>
    </row>
    <row r="8443" spans="1:6" ht="60" x14ac:dyDescent="0.25">
      <c r="A8443" s="8" t="s">
        <v>125</v>
      </c>
      <c r="B8443" s="8" t="s">
        <v>138</v>
      </c>
      <c r="C8443" s="8" t="str">
        <f>IFERROR(_xlfn.XLOOKUP(TRIM(B8443),Lookup!$B$2:$B$1000,Lookup!$C$2:$C$1000),"")</f>
        <v>Equity</v>
      </c>
      <c r="D8443" s="8" t="str">
        <f>IFERROR(INDEX('nav master'!$C:$C, MATCH(B8443, 'nav master'!$B:$B, 0)), "")</f>
        <v>ULIF06723/03/18EqtyAdvtFd101</v>
      </c>
      <c r="E8443" s="8" t="s">
        <v>401</v>
      </c>
      <c r="F8443" s="8" t="s">
        <v>4494</v>
      </c>
    </row>
    <row r="8444" spans="1:6" ht="60" x14ac:dyDescent="0.25">
      <c r="A8444" s="8" t="s">
        <v>125</v>
      </c>
      <c r="B8444" s="8" t="s">
        <v>138</v>
      </c>
      <c r="C8444" s="8" t="str">
        <f>IFERROR(_xlfn.XLOOKUP(TRIM(B8444),Lookup!$B$2:$B$1000,Lookup!$C$2:$C$1000),"")</f>
        <v>Equity</v>
      </c>
      <c r="D8444" s="8" t="str">
        <f>IFERROR(INDEX('nav master'!$C:$C, MATCH(B8444, 'nav master'!$B:$B, 0)), "")</f>
        <v>ULIF06723/03/18EqtyAdvtFd101</v>
      </c>
      <c r="E8444" s="8" t="s">
        <v>403</v>
      </c>
      <c r="F8444" s="8" t="s">
        <v>4495</v>
      </c>
    </row>
    <row r="8445" spans="1:6" ht="60" x14ac:dyDescent="0.25">
      <c r="A8445" s="8" t="s">
        <v>125</v>
      </c>
      <c r="B8445" s="8" t="s">
        <v>138</v>
      </c>
      <c r="C8445" s="8" t="str">
        <f>IFERROR(_xlfn.XLOOKUP(TRIM(B8445),Lookup!$B$2:$B$1000,Lookup!$C$2:$C$1000),"")</f>
        <v>Equity</v>
      </c>
      <c r="D8445" s="8" t="str">
        <f>IFERROR(INDEX('nav master'!$C:$C, MATCH(B8445, 'nav master'!$B:$B, 0)), "")</f>
        <v>ULIF06723/03/18EqtyAdvtFd101</v>
      </c>
      <c r="E8445" s="8" t="s">
        <v>405</v>
      </c>
      <c r="F8445" s="8" t="s">
        <v>4496</v>
      </c>
    </row>
    <row r="8446" spans="1:6" ht="60" x14ac:dyDescent="0.25">
      <c r="A8446" s="8" t="s">
        <v>125</v>
      </c>
      <c r="B8446" s="8" t="s">
        <v>138</v>
      </c>
      <c r="C8446" s="8" t="str">
        <f>IFERROR(_xlfn.XLOOKUP(TRIM(B8446),Lookup!$B$2:$B$1000,Lookup!$C$2:$C$1000),"")</f>
        <v>Equity</v>
      </c>
      <c r="D8446" s="8" t="str">
        <f>IFERROR(INDEX('nav master'!$C:$C, MATCH(B8446, 'nav master'!$B:$B, 0)), "")</f>
        <v>ULIF06723/03/18EqtyAdvtFd101</v>
      </c>
      <c r="E8446" s="8" t="s">
        <v>407</v>
      </c>
      <c r="F8446" s="8" t="s">
        <v>4497</v>
      </c>
    </row>
    <row r="8447" spans="1:6" ht="60" x14ac:dyDescent="0.25">
      <c r="A8447" s="8" t="s">
        <v>125</v>
      </c>
      <c r="B8447" s="8" t="s">
        <v>138</v>
      </c>
      <c r="C8447" s="8" t="str">
        <f>IFERROR(_xlfn.XLOOKUP(TRIM(B8447),Lookup!$B$2:$B$1000,Lookup!$C$2:$C$1000),"")</f>
        <v>Equity</v>
      </c>
      <c r="D8447" s="8" t="str">
        <f>IFERROR(INDEX('nav master'!$C:$C, MATCH(B8447, 'nav master'!$B:$B, 0)), "")</f>
        <v>ULIF06723/03/18EqtyAdvtFd101</v>
      </c>
      <c r="E8447" s="8" t="s">
        <v>409</v>
      </c>
      <c r="F8447" s="8" t="s">
        <v>4498</v>
      </c>
    </row>
    <row r="8448" spans="1:6" ht="60" x14ac:dyDescent="0.25">
      <c r="A8448" s="8" t="s">
        <v>125</v>
      </c>
      <c r="B8448" s="8" t="s">
        <v>138</v>
      </c>
      <c r="C8448" s="8" t="str">
        <f>IFERROR(_xlfn.XLOOKUP(TRIM(B8448),Lookup!$B$2:$B$1000,Lookup!$C$2:$C$1000),"")</f>
        <v>Equity</v>
      </c>
      <c r="D8448" s="8" t="str">
        <f>IFERROR(INDEX('nav master'!$C:$C, MATCH(B8448, 'nav master'!$B:$B, 0)), "")</f>
        <v>ULIF06723/03/18EqtyAdvtFd101</v>
      </c>
      <c r="E8448" s="8" t="s">
        <v>411</v>
      </c>
      <c r="F8448" s="8" t="s">
        <v>4499</v>
      </c>
    </row>
    <row r="8449" spans="1:6" ht="60" x14ac:dyDescent="0.25">
      <c r="A8449" s="8" t="s">
        <v>125</v>
      </c>
      <c r="B8449" s="8" t="s">
        <v>138</v>
      </c>
      <c r="C8449" s="8" t="str">
        <f>IFERROR(_xlfn.XLOOKUP(TRIM(B8449),Lookup!$B$2:$B$1000,Lookup!$C$2:$C$1000),"")</f>
        <v>Equity</v>
      </c>
      <c r="D8449" s="8" t="str">
        <f>IFERROR(INDEX('nav master'!$C:$C, MATCH(B8449, 'nav master'!$B:$B, 0)), "")</f>
        <v>ULIF06723/03/18EqtyAdvtFd101</v>
      </c>
      <c r="E8449" s="8" t="s">
        <v>413</v>
      </c>
      <c r="F8449" s="8" t="s">
        <v>4500</v>
      </c>
    </row>
    <row r="8450" spans="1:6" ht="60" x14ac:dyDescent="0.25">
      <c r="A8450" s="8" t="s">
        <v>125</v>
      </c>
      <c r="B8450" s="8" t="s">
        <v>138</v>
      </c>
      <c r="C8450" s="8" t="str">
        <f>IFERROR(_xlfn.XLOOKUP(TRIM(B8450),Lookup!$B$2:$B$1000,Lookup!$C$2:$C$1000),"")</f>
        <v>Equity</v>
      </c>
      <c r="D8450" s="8" t="str">
        <f>IFERROR(INDEX('nav master'!$C:$C, MATCH(B8450, 'nav master'!$B:$B, 0)), "")</f>
        <v>ULIF06723/03/18EqtyAdvtFd101</v>
      </c>
      <c r="E8450" s="8" t="s">
        <v>415</v>
      </c>
      <c r="F8450" s="8" t="s">
        <v>4501</v>
      </c>
    </row>
    <row r="8451" spans="1:6" ht="60" x14ac:dyDescent="0.25">
      <c r="A8451" s="8" t="s">
        <v>125</v>
      </c>
      <c r="B8451" s="8" t="s">
        <v>138</v>
      </c>
      <c r="C8451" s="8" t="str">
        <f>IFERROR(_xlfn.XLOOKUP(TRIM(B8451),Lookup!$B$2:$B$1000,Lookup!$C$2:$C$1000),"")</f>
        <v>Equity</v>
      </c>
      <c r="D8451" s="8" t="str">
        <f>IFERROR(INDEX('nav master'!$C:$C, MATCH(B8451, 'nav master'!$B:$B, 0)), "")</f>
        <v>ULIF06723/03/18EqtyAdvtFd101</v>
      </c>
      <c r="E8451" s="8" t="s">
        <v>417</v>
      </c>
      <c r="F8451" s="8" t="s">
        <v>4502</v>
      </c>
    </row>
    <row r="8452" spans="1:6" ht="60" x14ac:dyDescent="0.25">
      <c r="A8452" s="8" t="s">
        <v>125</v>
      </c>
      <c r="B8452" s="8" t="s">
        <v>138</v>
      </c>
      <c r="C8452" s="8" t="str">
        <f>IFERROR(_xlfn.XLOOKUP(TRIM(B8452),Lookup!$B$2:$B$1000,Lookup!$C$2:$C$1000),"")</f>
        <v>Equity</v>
      </c>
      <c r="D8452" s="8" t="str">
        <f>IFERROR(INDEX('nav master'!$C:$C, MATCH(B8452, 'nav master'!$B:$B, 0)), "")</f>
        <v>ULIF06723/03/18EqtyAdvtFd101</v>
      </c>
      <c r="E8452" s="8" t="s">
        <v>419</v>
      </c>
      <c r="F8452" s="8" t="s">
        <v>4503</v>
      </c>
    </row>
    <row r="8453" spans="1:6" ht="60" x14ac:dyDescent="0.25">
      <c r="A8453" s="8" t="s">
        <v>125</v>
      </c>
      <c r="B8453" s="8" t="s">
        <v>138</v>
      </c>
      <c r="C8453" s="8" t="str">
        <f>IFERROR(_xlfn.XLOOKUP(TRIM(B8453),Lookup!$B$2:$B$1000,Lookup!$C$2:$C$1000),"")</f>
        <v>Equity</v>
      </c>
      <c r="D8453" s="8" t="str">
        <f>IFERROR(INDEX('nav master'!$C:$C, MATCH(B8453, 'nav master'!$B:$B, 0)), "")</f>
        <v>ULIF06723/03/18EqtyAdvtFd101</v>
      </c>
      <c r="E8453" s="8" t="s">
        <v>421</v>
      </c>
      <c r="F8453" s="8" t="s">
        <v>4504</v>
      </c>
    </row>
    <row r="8454" spans="1:6" ht="60" x14ac:dyDescent="0.25">
      <c r="A8454" s="8" t="s">
        <v>125</v>
      </c>
      <c r="B8454" s="8" t="s">
        <v>138</v>
      </c>
      <c r="C8454" s="8" t="str">
        <f>IFERROR(_xlfn.XLOOKUP(TRIM(B8454),Lookup!$B$2:$B$1000,Lookup!$C$2:$C$1000),"")</f>
        <v>Equity</v>
      </c>
      <c r="D8454" s="8" t="str">
        <f>IFERROR(INDEX('nav master'!$C:$C, MATCH(B8454, 'nav master'!$B:$B, 0)), "")</f>
        <v>ULIF06723/03/18EqtyAdvtFd101</v>
      </c>
      <c r="E8454" s="8" t="s">
        <v>423</v>
      </c>
      <c r="F8454" s="8" t="s">
        <v>4505</v>
      </c>
    </row>
    <row r="8455" spans="1:6" ht="60" x14ac:dyDescent="0.25">
      <c r="A8455" s="8" t="s">
        <v>125</v>
      </c>
      <c r="B8455" s="8" t="s">
        <v>138</v>
      </c>
      <c r="C8455" s="8" t="str">
        <f>IFERROR(_xlfn.XLOOKUP(TRIM(B8455),Lookup!$B$2:$B$1000,Lookup!$C$2:$C$1000),"")</f>
        <v>Equity</v>
      </c>
      <c r="D8455" s="8" t="str">
        <f>IFERROR(INDEX('nav master'!$C:$C, MATCH(B8455, 'nav master'!$B:$B, 0)), "")</f>
        <v>ULIF06723/03/18EqtyAdvtFd101</v>
      </c>
      <c r="E8455" s="8" t="s">
        <v>425</v>
      </c>
      <c r="F8455" s="8" t="s">
        <v>4506</v>
      </c>
    </row>
    <row r="8456" spans="1:6" ht="60" x14ac:dyDescent="0.25">
      <c r="A8456" s="8" t="s">
        <v>125</v>
      </c>
      <c r="B8456" s="8" t="s">
        <v>138</v>
      </c>
      <c r="C8456" s="8" t="str">
        <f>IFERROR(_xlfn.XLOOKUP(TRIM(B8456),Lookup!$B$2:$B$1000,Lookup!$C$2:$C$1000),"")</f>
        <v>Equity</v>
      </c>
      <c r="D8456" s="8" t="str">
        <f>IFERROR(INDEX('nav master'!$C:$C, MATCH(B8456, 'nav master'!$B:$B, 0)), "")</f>
        <v>ULIF06723/03/18EqtyAdvtFd101</v>
      </c>
      <c r="E8456" s="8" t="s">
        <v>427</v>
      </c>
      <c r="F8456" s="8" t="s">
        <v>4507</v>
      </c>
    </row>
    <row r="8457" spans="1:6" ht="60" x14ac:dyDescent="0.25">
      <c r="A8457" s="8" t="s">
        <v>125</v>
      </c>
      <c r="B8457" s="8" t="s">
        <v>138</v>
      </c>
      <c r="C8457" s="8" t="str">
        <f>IFERROR(_xlfn.XLOOKUP(TRIM(B8457),Lookup!$B$2:$B$1000,Lookup!$C$2:$C$1000),"")</f>
        <v>Equity</v>
      </c>
      <c r="D8457" s="8" t="str">
        <f>IFERROR(INDEX('nav master'!$C:$C, MATCH(B8457, 'nav master'!$B:$B, 0)), "")</f>
        <v>ULIF06723/03/18EqtyAdvtFd101</v>
      </c>
      <c r="E8457" s="8" t="s">
        <v>429</v>
      </c>
      <c r="F8457" s="8" t="s">
        <v>4508</v>
      </c>
    </row>
    <row r="8458" spans="1:6" ht="60" x14ac:dyDescent="0.25">
      <c r="A8458" s="8" t="s">
        <v>125</v>
      </c>
      <c r="B8458" s="8" t="s">
        <v>138</v>
      </c>
      <c r="C8458" s="8" t="str">
        <f>IFERROR(_xlfn.XLOOKUP(TRIM(B8458),Lookup!$B$2:$B$1000,Lookup!$C$2:$C$1000),"")</f>
        <v>Equity</v>
      </c>
      <c r="D8458" s="8" t="str">
        <f>IFERROR(INDEX('nav master'!$C:$C, MATCH(B8458, 'nav master'!$B:$B, 0)), "")</f>
        <v>ULIF06723/03/18EqtyAdvtFd101</v>
      </c>
      <c r="E8458" s="8" t="s">
        <v>431</v>
      </c>
      <c r="F8458" s="8" t="s">
        <v>4509</v>
      </c>
    </row>
    <row r="8459" spans="1:6" ht="60" x14ac:dyDescent="0.25">
      <c r="A8459" s="8" t="s">
        <v>125</v>
      </c>
      <c r="B8459" s="8" t="s">
        <v>138</v>
      </c>
      <c r="C8459" s="8" t="str">
        <f>IFERROR(_xlfn.XLOOKUP(TRIM(B8459),Lookup!$B$2:$B$1000,Lookup!$C$2:$C$1000),"")</f>
        <v>Equity</v>
      </c>
      <c r="D8459" s="8" t="str">
        <f>IFERROR(INDEX('nav master'!$C:$C, MATCH(B8459, 'nav master'!$B:$B, 0)), "")</f>
        <v>ULIF06723/03/18EqtyAdvtFd101</v>
      </c>
      <c r="E8459" s="8" t="s">
        <v>433</v>
      </c>
      <c r="F8459" s="8" t="s">
        <v>4510</v>
      </c>
    </row>
    <row r="8460" spans="1:6" ht="60" x14ac:dyDescent="0.25">
      <c r="A8460" s="8" t="s">
        <v>125</v>
      </c>
      <c r="B8460" s="8" t="s">
        <v>138</v>
      </c>
      <c r="C8460" s="8" t="str">
        <f>IFERROR(_xlfn.XLOOKUP(TRIM(B8460),Lookup!$B$2:$B$1000,Lookup!$C$2:$C$1000),"")</f>
        <v>Equity</v>
      </c>
      <c r="D8460" s="8" t="str">
        <f>IFERROR(INDEX('nav master'!$C:$C, MATCH(B8460, 'nav master'!$B:$B, 0)), "")</f>
        <v>ULIF06723/03/18EqtyAdvtFd101</v>
      </c>
      <c r="E8460" s="8" t="s">
        <v>435</v>
      </c>
      <c r="F8460" s="8" t="s">
        <v>4511</v>
      </c>
    </row>
    <row r="8461" spans="1:6" ht="60" x14ac:dyDescent="0.25">
      <c r="A8461" s="8" t="s">
        <v>125</v>
      </c>
      <c r="B8461" s="8" t="s">
        <v>138</v>
      </c>
      <c r="C8461" s="8" t="str">
        <f>IFERROR(_xlfn.XLOOKUP(TRIM(B8461),Lookup!$B$2:$B$1000,Lookup!$C$2:$C$1000),"")</f>
        <v>Equity</v>
      </c>
      <c r="D8461" s="8" t="str">
        <f>IFERROR(INDEX('nav master'!$C:$C, MATCH(B8461, 'nav master'!$B:$B, 0)), "")</f>
        <v>ULIF06723/03/18EqtyAdvtFd101</v>
      </c>
      <c r="E8461" s="8" t="s">
        <v>437</v>
      </c>
      <c r="F8461" s="8" t="s">
        <v>4512</v>
      </c>
    </row>
    <row r="8462" spans="1:6" ht="60" x14ac:dyDescent="0.25">
      <c r="A8462" s="8" t="s">
        <v>125</v>
      </c>
      <c r="B8462" s="8" t="s">
        <v>138</v>
      </c>
      <c r="C8462" s="8" t="str">
        <f>IFERROR(_xlfn.XLOOKUP(TRIM(B8462),Lookup!$B$2:$B$1000,Lookup!$C$2:$C$1000),"")</f>
        <v>Equity</v>
      </c>
      <c r="D8462" s="8" t="str">
        <f>IFERROR(INDEX('nav master'!$C:$C, MATCH(B8462, 'nav master'!$B:$B, 0)), "")</f>
        <v>ULIF06723/03/18EqtyAdvtFd101</v>
      </c>
      <c r="E8462" s="8" t="s">
        <v>439</v>
      </c>
      <c r="F8462" s="8" t="s">
        <v>4513</v>
      </c>
    </row>
    <row r="8463" spans="1:6" ht="60" x14ac:dyDescent="0.25">
      <c r="A8463" s="8" t="s">
        <v>125</v>
      </c>
      <c r="B8463" s="8" t="s">
        <v>138</v>
      </c>
      <c r="C8463" s="8" t="str">
        <f>IFERROR(_xlfn.XLOOKUP(TRIM(B8463),Lookup!$B$2:$B$1000,Lookup!$C$2:$C$1000),"")</f>
        <v>Equity</v>
      </c>
      <c r="D8463" s="8" t="str">
        <f>IFERROR(INDEX('nav master'!$C:$C, MATCH(B8463, 'nav master'!$B:$B, 0)), "")</f>
        <v>ULIF06723/03/18EqtyAdvtFd101</v>
      </c>
      <c r="E8463" s="8" t="s">
        <v>441</v>
      </c>
      <c r="F8463" s="8" t="s">
        <v>4514</v>
      </c>
    </row>
    <row r="8464" spans="1:6" ht="60" x14ac:dyDescent="0.25">
      <c r="A8464" s="8" t="s">
        <v>125</v>
      </c>
      <c r="B8464" s="8" t="s">
        <v>138</v>
      </c>
      <c r="C8464" s="8" t="str">
        <f>IFERROR(_xlfn.XLOOKUP(TRIM(B8464),Lookup!$B$2:$B$1000,Lookup!$C$2:$C$1000),"")</f>
        <v>Equity</v>
      </c>
      <c r="D8464" s="8" t="str">
        <f>IFERROR(INDEX('nav master'!$C:$C, MATCH(B8464, 'nav master'!$B:$B, 0)), "")</f>
        <v>ULIF06723/03/18EqtyAdvtFd101</v>
      </c>
      <c r="E8464" s="8" t="s">
        <v>443</v>
      </c>
      <c r="F8464" s="8" t="s">
        <v>4515</v>
      </c>
    </row>
    <row r="8465" spans="1:6" ht="60" x14ac:dyDescent="0.25">
      <c r="A8465" s="8" t="s">
        <v>125</v>
      </c>
      <c r="B8465" s="8" t="s">
        <v>138</v>
      </c>
      <c r="C8465" s="8" t="str">
        <f>IFERROR(_xlfn.XLOOKUP(TRIM(B8465),Lookup!$B$2:$B$1000,Lookup!$C$2:$C$1000),"")</f>
        <v>Equity</v>
      </c>
      <c r="D8465" s="8" t="str">
        <f>IFERROR(INDEX('nav master'!$C:$C, MATCH(B8465, 'nav master'!$B:$B, 0)), "")</f>
        <v>ULIF06723/03/18EqtyAdvtFd101</v>
      </c>
      <c r="E8465" s="8" t="s">
        <v>445</v>
      </c>
      <c r="F8465" s="8" t="s">
        <v>4516</v>
      </c>
    </row>
    <row r="8466" spans="1:6" ht="60" x14ac:dyDescent="0.25">
      <c r="A8466" s="8" t="s">
        <v>125</v>
      </c>
      <c r="B8466" s="8" t="s">
        <v>138</v>
      </c>
      <c r="C8466" s="8" t="str">
        <f>IFERROR(_xlfn.XLOOKUP(TRIM(B8466),Lookup!$B$2:$B$1000,Lookup!$C$2:$C$1000),"")</f>
        <v>Equity</v>
      </c>
      <c r="D8466" s="8" t="str">
        <f>IFERROR(INDEX('nav master'!$C:$C, MATCH(B8466, 'nav master'!$B:$B, 0)), "")</f>
        <v>ULIF06723/03/18EqtyAdvtFd101</v>
      </c>
      <c r="E8466" s="8" t="s">
        <v>446</v>
      </c>
      <c r="F8466" s="8" t="s">
        <v>4517</v>
      </c>
    </row>
    <row r="8467" spans="1:6" ht="60" x14ac:dyDescent="0.25">
      <c r="A8467" s="8" t="s">
        <v>125</v>
      </c>
      <c r="B8467" s="8" t="s">
        <v>138</v>
      </c>
      <c r="C8467" s="8" t="str">
        <f>IFERROR(_xlfn.XLOOKUP(TRIM(B8467),Lookup!$B$2:$B$1000,Lookup!$C$2:$C$1000),"")</f>
        <v>Equity</v>
      </c>
      <c r="D8467" s="8" t="str">
        <f>IFERROR(INDEX('nav master'!$C:$C, MATCH(B8467, 'nav master'!$B:$B, 0)), "")</f>
        <v>ULIF06723/03/18EqtyAdvtFd101</v>
      </c>
      <c r="E8467" s="8" t="s">
        <v>448</v>
      </c>
      <c r="F8467" s="8" t="s">
        <v>4518</v>
      </c>
    </row>
    <row r="8468" spans="1:6" ht="60" x14ac:dyDescent="0.25">
      <c r="A8468" s="8" t="s">
        <v>125</v>
      </c>
      <c r="B8468" s="8" t="s">
        <v>138</v>
      </c>
      <c r="C8468" s="8" t="str">
        <f>IFERROR(_xlfn.XLOOKUP(TRIM(B8468),Lookup!$B$2:$B$1000,Lookup!$C$2:$C$1000),"")</f>
        <v>Equity</v>
      </c>
      <c r="D8468" s="8" t="str">
        <f>IFERROR(INDEX('nav master'!$C:$C, MATCH(B8468, 'nav master'!$B:$B, 0)), "")</f>
        <v>ULIF06723/03/18EqtyAdvtFd101</v>
      </c>
      <c r="E8468" s="8" t="s">
        <v>450</v>
      </c>
      <c r="F8468" s="8" t="s">
        <v>4519</v>
      </c>
    </row>
    <row r="8469" spans="1:6" ht="60" x14ac:dyDescent="0.25">
      <c r="A8469" s="8" t="s">
        <v>125</v>
      </c>
      <c r="B8469" s="8" t="s">
        <v>138</v>
      </c>
      <c r="C8469" s="8" t="str">
        <f>IFERROR(_xlfn.XLOOKUP(TRIM(B8469),Lookup!$B$2:$B$1000,Lookup!$C$2:$C$1000),"")</f>
        <v>Equity</v>
      </c>
      <c r="D8469" s="8" t="str">
        <f>IFERROR(INDEX('nav master'!$C:$C, MATCH(B8469, 'nav master'!$B:$B, 0)), "")</f>
        <v>ULIF06723/03/18EqtyAdvtFd101</v>
      </c>
      <c r="E8469" s="8" t="s">
        <v>452</v>
      </c>
      <c r="F8469" s="8" t="s">
        <v>4520</v>
      </c>
    </row>
    <row r="8470" spans="1:6" ht="60" x14ac:dyDescent="0.25">
      <c r="A8470" s="8" t="s">
        <v>125</v>
      </c>
      <c r="B8470" s="8" t="s">
        <v>138</v>
      </c>
      <c r="C8470" s="8" t="str">
        <f>IFERROR(_xlfn.XLOOKUP(TRIM(B8470),Lookup!$B$2:$B$1000,Lookup!$C$2:$C$1000),"")</f>
        <v>Equity</v>
      </c>
      <c r="D8470" s="8" t="str">
        <f>IFERROR(INDEX('nav master'!$C:$C, MATCH(B8470, 'nav master'!$B:$B, 0)), "")</f>
        <v>ULIF06723/03/18EqtyAdvtFd101</v>
      </c>
      <c r="E8470" s="8" t="s">
        <v>454</v>
      </c>
      <c r="F8470" s="8" t="s">
        <v>4521</v>
      </c>
    </row>
    <row r="8471" spans="1:6" ht="60" x14ac:dyDescent="0.25">
      <c r="A8471" s="8" t="s">
        <v>125</v>
      </c>
      <c r="B8471" s="8" t="s">
        <v>138</v>
      </c>
      <c r="C8471" s="8" t="str">
        <f>IFERROR(_xlfn.XLOOKUP(TRIM(B8471),Lookup!$B$2:$B$1000,Lookup!$C$2:$C$1000),"")</f>
        <v>Equity</v>
      </c>
      <c r="D8471" s="8" t="str">
        <f>IFERROR(INDEX('nav master'!$C:$C, MATCH(B8471, 'nav master'!$B:$B, 0)), "")</f>
        <v>ULIF06723/03/18EqtyAdvtFd101</v>
      </c>
      <c r="E8471" s="8" t="s">
        <v>456</v>
      </c>
      <c r="F8471" s="8" t="s">
        <v>4522</v>
      </c>
    </row>
    <row r="8472" spans="1:6" ht="60" x14ac:dyDescent="0.25">
      <c r="A8472" s="8" t="s">
        <v>125</v>
      </c>
      <c r="B8472" s="8" t="s">
        <v>138</v>
      </c>
      <c r="C8472" s="8" t="str">
        <f>IFERROR(_xlfn.XLOOKUP(TRIM(B8472),Lookup!$B$2:$B$1000,Lookup!$C$2:$C$1000),"")</f>
        <v>Equity</v>
      </c>
      <c r="D8472" s="8" t="str">
        <f>IFERROR(INDEX('nav master'!$C:$C, MATCH(B8472, 'nav master'!$B:$B, 0)), "")</f>
        <v>ULIF06723/03/18EqtyAdvtFd101</v>
      </c>
      <c r="E8472" s="8" t="s">
        <v>458</v>
      </c>
      <c r="F8472" s="8" t="s">
        <v>4523</v>
      </c>
    </row>
    <row r="8473" spans="1:6" ht="60" x14ac:dyDescent="0.25">
      <c r="A8473" s="8" t="s">
        <v>125</v>
      </c>
      <c r="B8473" s="8" t="s">
        <v>138</v>
      </c>
      <c r="C8473" s="8" t="str">
        <f>IFERROR(_xlfn.XLOOKUP(TRIM(B8473),Lookup!$B$2:$B$1000,Lookup!$C$2:$C$1000),"")</f>
        <v>Equity</v>
      </c>
      <c r="D8473" s="8" t="str">
        <f>IFERROR(INDEX('nav master'!$C:$C, MATCH(B8473, 'nav master'!$B:$B, 0)), "")</f>
        <v>ULIF06723/03/18EqtyAdvtFd101</v>
      </c>
      <c r="E8473" s="8" t="s">
        <v>460</v>
      </c>
      <c r="F8473" s="8" t="s">
        <v>4524</v>
      </c>
    </row>
    <row r="8474" spans="1:6" ht="60" x14ac:dyDescent="0.25">
      <c r="A8474" s="8" t="s">
        <v>125</v>
      </c>
      <c r="B8474" s="8" t="s">
        <v>138</v>
      </c>
      <c r="C8474" s="8" t="str">
        <f>IFERROR(_xlfn.XLOOKUP(TRIM(B8474),Lookup!$B$2:$B$1000,Lookup!$C$2:$C$1000),"")</f>
        <v>Equity</v>
      </c>
      <c r="D8474" s="8" t="str">
        <f>IFERROR(INDEX('nav master'!$C:$C, MATCH(B8474, 'nav master'!$B:$B, 0)), "")</f>
        <v>ULIF06723/03/18EqtyAdvtFd101</v>
      </c>
      <c r="E8474" s="8" t="s">
        <v>462</v>
      </c>
      <c r="F8474" s="8" t="s">
        <v>4525</v>
      </c>
    </row>
    <row r="8475" spans="1:6" ht="60" x14ac:dyDescent="0.25">
      <c r="A8475" s="8" t="s">
        <v>125</v>
      </c>
      <c r="B8475" s="8" t="s">
        <v>138</v>
      </c>
      <c r="C8475" s="8" t="str">
        <f>IFERROR(_xlfn.XLOOKUP(TRIM(B8475),Lookup!$B$2:$B$1000,Lookup!$C$2:$C$1000),"")</f>
        <v>Equity</v>
      </c>
      <c r="D8475" s="8" t="str">
        <f>IFERROR(INDEX('nav master'!$C:$C, MATCH(B8475, 'nav master'!$B:$B, 0)), "")</f>
        <v>ULIF06723/03/18EqtyAdvtFd101</v>
      </c>
      <c r="E8475" s="8" t="s">
        <v>464</v>
      </c>
      <c r="F8475" s="8" t="s">
        <v>4526</v>
      </c>
    </row>
    <row r="8476" spans="1:6" ht="60" x14ac:dyDescent="0.25">
      <c r="A8476" s="8" t="s">
        <v>125</v>
      </c>
      <c r="B8476" s="8" t="s">
        <v>138</v>
      </c>
      <c r="C8476" s="8" t="str">
        <f>IFERROR(_xlfn.XLOOKUP(TRIM(B8476),Lookup!$B$2:$B$1000,Lookup!$C$2:$C$1000),"")</f>
        <v>Equity</v>
      </c>
      <c r="D8476" s="8" t="str">
        <f>IFERROR(INDEX('nav master'!$C:$C, MATCH(B8476, 'nav master'!$B:$B, 0)), "")</f>
        <v>ULIF06723/03/18EqtyAdvtFd101</v>
      </c>
      <c r="E8476" s="8" t="s">
        <v>466</v>
      </c>
      <c r="F8476" s="8" t="s">
        <v>4527</v>
      </c>
    </row>
    <row r="8477" spans="1:6" ht="60" x14ac:dyDescent="0.25">
      <c r="A8477" s="8" t="s">
        <v>125</v>
      </c>
      <c r="B8477" s="8" t="s">
        <v>138</v>
      </c>
      <c r="C8477" s="8" t="str">
        <f>IFERROR(_xlfn.XLOOKUP(TRIM(B8477),Lookup!$B$2:$B$1000,Lookup!$C$2:$C$1000),"")</f>
        <v>Equity</v>
      </c>
      <c r="D8477" s="8" t="str">
        <f>IFERROR(INDEX('nav master'!$C:$C, MATCH(B8477, 'nav master'!$B:$B, 0)), "")</f>
        <v>ULIF06723/03/18EqtyAdvtFd101</v>
      </c>
      <c r="E8477" s="8" t="s">
        <v>468</v>
      </c>
      <c r="F8477" s="8" t="s">
        <v>4528</v>
      </c>
    </row>
    <row r="8478" spans="1:6" ht="60" x14ac:dyDescent="0.25">
      <c r="A8478" s="8" t="s">
        <v>125</v>
      </c>
      <c r="B8478" s="8" t="s">
        <v>138</v>
      </c>
      <c r="C8478" s="8" t="str">
        <f>IFERROR(_xlfn.XLOOKUP(TRIM(B8478),Lookup!$B$2:$B$1000,Lookup!$C$2:$C$1000),"")</f>
        <v>Equity</v>
      </c>
      <c r="D8478" s="8" t="str">
        <f>IFERROR(INDEX('nav master'!$C:$C, MATCH(B8478, 'nav master'!$B:$B, 0)), "")</f>
        <v>ULIF06723/03/18EqtyAdvtFd101</v>
      </c>
      <c r="E8478" s="8" t="s">
        <v>470</v>
      </c>
      <c r="F8478" s="8" t="s">
        <v>4529</v>
      </c>
    </row>
    <row r="8479" spans="1:6" ht="60" x14ac:dyDescent="0.25">
      <c r="A8479" s="8" t="s">
        <v>125</v>
      </c>
      <c r="B8479" s="8" t="s">
        <v>138</v>
      </c>
      <c r="C8479" s="8" t="str">
        <f>IFERROR(_xlfn.XLOOKUP(TRIM(B8479),Lookup!$B$2:$B$1000,Lookup!$C$2:$C$1000),"")</f>
        <v>Equity</v>
      </c>
      <c r="D8479" s="8" t="str">
        <f>IFERROR(INDEX('nav master'!$C:$C, MATCH(B8479, 'nav master'!$B:$B, 0)), "")</f>
        <v>ULIF06723/03/18EqtyAdvtFd101</v>
      </c>
      <c r="E8479" s="8" t="s">
        <v>472</v>
      </c>
      <c r="F8479" s="8" t="s">
        <v>4530</v>
      </c>
    </row>
    <row r="8480" spans="1:6" ht="60" x14ac:dyDescent="0.25">
      <c r="A8480" s="8" t="s">
        <v>125</v>
      </c>
      <c r="B8480" s="8" t="s">
        <v>138</v>
      </c>
      <c r="C8480" s="8" t="str">
        <f>IFERROR(_xlfn.XLOOKUP(TRIM(B8480),Lookup!$B$2:$B$1000,Lookup!$C$2:$C$1000),"")</f>
        <v>Equity</v>
      </c>
      <c r="D8480" s="8" t="str">
        <f>IFERROR(INDEX('nav master'!$C:$C, MATCH(B8480, 'nav master'!$B:$B, 0)), "")</f>
        <v>ULIF06723/03/18EqtyAdvtFd101</v>
      </c>
      <c r="E8480" s="8" t="s">
        <v>474</v>
      </c>
      <c r="F8480" s="8" t="s">
        <v>4531</v>
      </c>
    </row>
    <row r="8481" spans="1:6" ht="60" x14ac:dyDescent="0.25">
      <c r="A8481" s="8" t="s">
        <v>125</v>
      </c>
      <c r="B8481" s="8" t="s">
        <v>138</v>
      </c>
      <c r="C8481" s="8" t="str">
        <f>IFERROR(_xlfn.XLOOKUP(TRIM(B8481),Lookup!$B$2:$B$1000,Lookup!$C$2:$C$1000),"")</f>
        <v>Equity</v>
      </c>
      <c r="D8481" s="8" t="str">
        <f>IFERROR(INDEX('nav master'!$C:$C, MATCH(B8481, 'nav master'!$B:$B, 0)), "")</f>
        <v>ULIF06723/03/18EqtyAdvtFd101</v>
      </c>
      <c r="E8481" s="8" t="s">
        <v>476</v>
      </c>
      <c r="F8481" s="8" t="s">
        <v>4532</v>
      </c>
    </row>
    <row r="8482" spans="1:6" ht="60" x14ac:dyDescent="0.25">
      <c r="A8482" s="8" t="s">
        <v>125</v>
      </c>
      <c r="B8482" s="8" t="s">
        <v>138</v>
      </c>
      <c r="C8482" s="8" t="str">
        <f>IFERROR(_xlfn.XLOOKUP(TRIM(B8482),Lookup!$B$2:$B$1000,Lookup!$C$2:$C$1000),"")</f>
        <v>Equity</v>
      </c>
      <c r="D8482" s="8" t="str">
        <f>IFERROR(INDEX('nav master'!$C:$C, MATCH(B8482, 'nav master'!$B:$B, 0)), "")</f>
        <v>ULIF06723/03/18EqtyAdvtFd101</v>
      </c>
      <c r="E8482" s="8" t="s">
        <v>478</v>
      </c>
      <c r="F8482" s="8" t="s">
        <v>4533</v>
      </c>
    </row>
    <row r="8483" spans="1:6" ht="60" x14ac:dyDescent="0.25">
      <c r="A8483" s="8" t="s">
        <v>125</v>
      </c>
      <c r="B8483" s="8" t="s">
        <v>138</v>
      </c>
      <c r="C8483" s="8" t="str">
        <f>IFERROR(_xlfn.XLOOKUP(TRIM(B8483),Lookup!$B$2:$B$1000,Lookup!$C$2:$C$1000),"")</f>
        <v>Equity</v>
      </c>
      <c r="D8483" s="8" t="str">
        <f>IFERROR(INDEX('nav master'!$C:$C, MATCH(B8483, 'nav master'!$B:$B, 0)), "")</f>
        <v>ULIF06723/03/18EqtyAdvtFd101</v>
      </c>
      <c r="E8483" s="8" t="s">
        <v>480</v>
      </c>
      <c r="F8483" s="8" t="s">
        <v>4534</v>
      </c>
    </row>
    <row r="8484" spans="1:6" ht="60" x14ac:dyDescent="0.25">
      <c r="A8484" s="8" t="s">
        <v>125</v>
      </c>
      <c r="B8484" s="8" t="s">
        <v>138</v>
      </c>
      <c r="C8484" s="8" t="str">
        <f>IFERROR(_xlfn.XLOOKUP(TRIM(B8484),Lookup!$B$2:$B$1000,Lookup!$C$2:$C$1000),"")</f>
        <v>Equity</v>
      </c>
      <c r="D8484" s="8" t="str">
        <f>IFERROR(INDEX('nav master'!$C:$C, MATCH(B8484, 'nav master'!$B:$B, 0)), "")</f>
        <v>ULIF06723/03/18EqtyAdvtFd101</v>
      </c>
      <c r="E8484" s="8" t="s">
        <v>482</v>
      </c>
      <c r="F8484" s="8" t="s">
        <v>4535</v>
      </c>
    </row>
    <row r="8485" spans="1:6" ht="60" x14ac:dyDescent="0.25">
      <c r="A8485" s="8" t="s">
        <v>125</v>
      </c>
      <c r="B8485" s="8" t="s">
        <v>138</v>
      </c>
      <c r="C8485" s="8" t="str">
        <f>IFERROR(_xlfn.XLOOKUP(TRIM(B8485),Lookup!$B$2:$B$1000,Lookup!$C$2:$C$1000),"")</f>
        <v>Equity</v>
      </c>
      <c r="D8485" s="8" t="str">
        <f>IFERROR(INDEX('nav master'!$C:$C, MATCH(B8485, 'nav master'!$B:$B, 0)), "")</f>
        <v>ULIF06723/03/18EqtyAdvtFd101</v>
      </c>
      <c r="E8485" s="8" t="s">
        <v>484</v>
      </c>
      <c r="F8485" s="8" t="s">
        <v>4536</v>
      </c>
    </row>
    <row r="8486" spans="1:6" ht="60" x14ac:dyDescent="0.25">
      <c r="A8486" s="8" t="s">
        <v>125</v>
      </c>
      <c r="B8486" s="8" t="s">
        <v>138</v>
      </c>
      <c r="C8486" s="8" t="str">
        <f>IFERROR(_xlfn.XLOOKUP(TRIM(B8486),Lookup!$B$2:$B$1000,Lookup!$C$2:$C$1000),"")</f>
        <v>Equity</v>
      </c>
      <c r="D8486" s="8" t="str">
        <f>IFERROR(INDEX('nav master'!$C:$C, MATCH(B8486, 'nav master'!$B:$B, 0)), "")</f>
        <v>ULIF06723/03/18EqtyAdvtFd101</v>
      </c>
      <c r="E8486" s="8" t="s">
        <v>486</v>
      </c>
      <c r="F8486" s="8" t="s">
        <v>4537</v>
      </c>
    </row>
    <row r="8487" spans="1:6" ht="60" x14ac:dyDescent="0.25">
      <c r="A8487" s="8" t="s">
        <v>125</v>
      </c>
      <c r="B8487" s="8" t="s">
        <v>138</v>
      </c>
      <c r="C8487" s="8" t="str">
        <f>IFERROR(_xlfn.XLOOKUP(TRIM(B8487),Lookup!$B$2:$B$1000,Lookup!$C$2:$C$1000),"")</f>
        <v>Equity</v>
      </c>
      <c r="D8487" s="8" t="str">
        <f>IFERROR(INDEX('nav master'!$C:$C, MATCH(B8487, 'nav master'!$B:$B, 0)), "")</f>
        <v>ULIF06723/03/18EqtyAdvtFd101</v>
      </c>
      <c r="E8487" s="8" t="s">
        <v>488</v>
      </c>
      <c r="F8487" s="8" t="s">
        <v>4538</v>
      </c>
    </row>
    <row r="8488" spans="1:6" ht="60" x14ac:dyDescent="0.25">
      <c r="A8488" s="8" t="s">
        <v>125</v>
      </c>
      <c r="B8488" s="8" t="s">
        <v>138</v>
      </c>
      <c r="C8488" s="8" t="str">
        <f>IFERROR(_xlfn.XLOOKUP(TRIM(B8488),Lookup!$B$2:$B$1000,Lookup!$C$2:$C$1000),"")</f>
        <v>Equity</v>
      </c>
      <c r="D8488" s="8" t="str">
        <f>IFERROR(INDEX('nav master'!$C:$C, MATCH(B8488, 'nav master'!$B:$B, 0)), "")</f>
        <v>ULIF06723/03/18EqtyAdvtFd101</v>
      </c>
      <c r="E8488" s="8" t="s">
        <v>490</v>
      </c>
      <c r="F8488" s="8" t="s">
        <v>4539</v>
      </c>
    </row>
    <row r="8489" spans="1:6" ht="60" x14ac:dyDescent="0.25">
      <c r="A8489" s="8" t="s">
        <v>125</v>
      </c>
      <c r="B8489" s="8" t="s">
        <v>138</v>
      </c>
      <c r="C8489" s="8" t="str">
        <f>IFERROR(_xlfn.XLOOKUP(TRIM(B8489),Lookup!$B$2:$B$1000,Lookup!$C$2:$C$1000),"")</f>
        <v>Equity</v>
      </c>
      <c r="D8489" s="8" t="str">
        <f>IFERROR(INDEX('nav master'!$C:$C, MATCH(B8489, 'nav master'!$B:$B, 0)), "")</f>
        <v>ULIF06723/03/18EqtyAdvtFd101</v>
      </c>
      <c r="E8489" s="8" t="s">
        <v>492</v>
      </c>
      <c r="F8489" s="8" t="s">
        <v>4540</v>
      </c>
    </row>
    <row r="8490" spans="1:6" ht="60" x14ac:dyDescent="0.25">
      <c r="A8490" s="8" t="s">
        <v>125</v>
      </c>
      <c r="B8490" s="8" t="s">
        <v>138</v>
      </c>
      <c r="C8490" s="8" t="str">
        <f>IFERROR(_xlfn.XLOOKUP(TRIM(B8490),Lookup!$B$2:$B$1000,Lookup!$C$2:$C$1000),"")</f>
        <v>Equity</v>
      </c>
      <c r="D8490" s="8" t="str">
        <f>IFERROR(INDEX('nav master'!$C:$C, MATCH(B8490, 'nav master'!$B:$B, 0)), "")</f>
        <v>ULIF06723/03/18EqtyAdvtFd101</v>
      </c>
      <c r="E8490" s="8" t="s">
        <v>494</v>
      </c>
      <c r="F8490" s="8" t="s">
        <v>4541</v>
      </c>
    </row>
    <row r="8491" spans="1:6" ht="60" x14ac:dyDescent="0.25">
      <c r="A8491" s="8" t="s">
        <v>125</v>
      </c>
      <c r="B8491" s="8" t="s">
        <v>138</v>
      </c>
      <c r="C8491" s="8" t="str">
        <f>IFERROR(_xlfn.XLOOKUP(TRIM(B8491),Lookup!$B$2:$B$1000,Lookup!$C$2:$C$1000),"")</f>
        <v>Equity</v>
      </c>
      <c r="D8491" s="8" t="str">
        <f>IFERROR(INDEX('nav master'!$C:$C, MATCH(B8491, 'nav master'!$B:$B, 0)), "")</f>
        <v>ULIF06723/03/18EqtyAdvtFd101</v>
      </c>
      <c r="E8491" s="8" t="s">
        <v>496</v>
      </c>
      <c r="F8491" s="8" t="s">
        <v>4542</v>
      </c>
    </row>
    <row r="8492" spans="1:6" ht="60" x14ac:dyDescent="0.25">
      <c r="A8492" s="8" t="s">
        <v>125</v>
      </c>
      <c r="B8492" s="8" t="s">
        <v>138</v>
      </c>
      <c r="C8492" s="8" t="str">
        <f>IFERROR(_xlfn.XLOOKUP(TRIM(B8492),Lookup!$B$2:$B$1000,Lookup!$C$2:$C$1000),"")</f>
        <v>Equity</v>
      </c>
      <c r="D8492" s="8" t="str">
        <f>IFERROR(INDEX('nav master'!$C:$C, MATCH(B8492, 'nav master'!$B:$B, 0)), "")</f>
        <v>ULIF06723/03/18EqtyAdvtFd101</v>
      </c>
      <c r="E8492" s="8" t="s">
        <v>498</v>
      </c>
      <c r="F8492" s="8" t="s">
        <v>4543</v>
      </c>
    </row>
    <row r="8493" spans="1:6" ht="60" x14ac:dyDescent="0.25">
      <c r="A8493" s="8" t="s">
        <v>125</v>
      </c>
      <c r="B8493" s="8" t="s">
        <v>138</v>
      </c>
      <c r="C8493" s="8" t="str">
        <f>IFERROR(_xlfn.XLOOKUP(TRIM(B8493),Lookup!$B$2:$B$1000,Lookup!$C$2:$C$1000),"")</f>
        <v>Equity</v>
      </c>
      <c r="D8493" s="8" t="str">
        <f>IFERROR(INDEX('nav master'!$C:$C, MATCH(B8493, 'nav master'!$B:$B, 0)), "")</f>
        <v>ULIF06723/03/18EqtyAdvtFd101</v>
      </c>
      <c r="E8493" s="8" t="s">
        <v>500</v>
      </c>
      <c r="F8493" s="8" t="s">
        <v>4544</v>
      </c>
    </row>
    <row r="8494" spans="1:6" ht="60" x14ac:dyDescent="0.25">
      <c r="A8494" s="8" t="s">
        <v>125</v>
      </c>
      <c r="B8494" s="8" t="s">
        <v>138</v>
      </c>
      <c r="C8494" s="8" t="str">
        <f>IFERROR(_xlfn.XLOOKUP(TRIM(B8494),Lookup!$B$2:$B$1000,Lookup!$C$2:$C$1000),"")</f>
        <v>Equity</v>
      </c>
      <c r="D8494" s="8" t="str">
        <f>IFERROR(INDEX('nav master'!$C:$C, MATCH(B8494, 'nav master'!$B:$B, 0)), "")</f>
        <v>ULIF06723/03/18EqtyAdvtFd101</v>
      </c>
      <c r="E8494" s="8" t="s">
        <v>502</v>
      </c>
      <c r="F8494" s="8" t="s">
        <v>4545</v>
      </c>
    </row>
    <row r="8495" spans="1:6" ht="60" x14ac:dyDescent="0.25">
      <c r="A8495" s="8" t="s">
        <v>125</v>
      </c>
      <c r="B8495" s="8" t="s">
        <v>138</v>
      </c>
      <c r="C8495" s="8" t="str">
        <f>IFERROR(_xlfn.XLOOKUP(TRIM(B8495),Lookup!$B$2:$B$1000,Lookup!$C$2:$C$1000),"")</f>
        <v>Equity</v>
      </c>
      <c r="D8495" s="8" t="str">
        <f>IFERROR(INDEX('nav master'!$C:$C, MATCH(B8495, 'nav master'!$B:$B, 0)), "")</f>
        <v>ULIF06723/03/18EqtyAdvtFd101</v>
      </c>
      <c r="E8495" s="8" t="s">
        <v>504</v>
      </c>
      <c r="F8495" s="8" t="s">
        <v>4546</v>
      </c>
    </row>
    <row r="8496" spans="1:6" ht="60" x14ac:dyDescent="0.25">
      <c r="A8496" s="8" t="s">
        <v>125</v>
      </c>
      <c r="B8496" s="8" t="s">
        <v>138</v>
      </c>
      <c r="C8496" s="8" t="str">
        <f>IFERROR(_xlfn.XLOOKUP(TRIM(B8496),Lookup!$B$2:$B$1000,Lookup!$C$2:$C$1000),"")</f>
        <v>Equity</v>
      </c>
      <c r="D8496" s="8" t="str">
        <f>IFERROR(INDEX('nav master'!$C:$C, MATCH(B8496, 'nav master'!$B:$B, 0)), "")</f>
        <v>ULIF06723/03/18EqtyAdvtFd101</v>
      </c>
      <c r="E8496" s="8" t="s">
        <v>506</v>
      </c>
      <c r="F8496" s="8" t="s">
        <v>4547</v>
      </c>
    </row>
    <row r="8497" spans="1:6" ht="60" x14ac:dyDescent="0.25">
      <c r="A8497" s="8" t="s">
        <v>125</v>
      </c>
      <c r="B8497" s="8" t="s">
        <v>138</v>
      </c>
      <c r="C8497" s="8" t="str">
        <f>IFERROR(_xlfn.XLOOKUP(TRIM(B8497),Lookup!$B$2:$B$1000,Lookup!$C$2:$C$1000),"")</f>
        <v>Equity</v>
      </c>
      <c r="D8497" s="8" t="str">
        <f>IFERROR(INDEX('nav master'!$C:$C, MATCH(B8497, 'nav master'!$B:$B, 0)), "")</f>
        <v>ULIF06723/03/18EqtyAdvtFd101</v>
      </c>
      <c r="E8497" s="8" t="s">
        <v>508</v>
      </c>
      <c r="F8497" s="8" t="s">
        <v>4548</v>
      </c>
    </row>
    <row r="8498" spans="1:6" ht="60" x14ac:dyDescent="0.25">
      <c r="A8498" s="8" t="s">
        <v>125</v>
      </c>
      <c r="B8498" s="8" t="s">
        <v>138</v>
      </c>
      <c r="C8498" s="8" t="str">
        <f>IFERROR(_xlfn.XLOOKUP(TRIM(B8498),Lookup!$B$2:$B$1000,Lookup!$C$2:$C$1000),"")</f>
        <v>Equity</v>
      </c>
      <c r="D8498" s="8" t="str">
        <f>IFERROR(INDEX('nav master'!$C:$C, MATCH(B8498, 'nav master'!$B:$B, 0)), "")</f>
        <v>ULIF06723/03/18EqtyAdvtFd101</v>
      </c>
      <c r="E8498" s="8" t="s">
        <v>510</v>
      </c>
      <c r="F8498" s="8" t="s">
        <v>4549</v>
      </c>
    </row>
    <row r="8499" spans="1:6" ht="60" x14ac:dyDescent="0.25">
      <c r="A8499" s="8" t="s">
        <v>125</v>
      </c>
      <c r="B8499" s="8" t="s">
        <v>138</v>
      </c>
      <c r="C8499" s="8" t="str">
        <f>IFERROR(_xlfn.XLOOKUP(TRIM(B8499),Lookup!$B$2:$B$1000,Lookup!$C$2:$C$1000),"")</f>
        <v>Equity</v>
      </c>
      <c r="D8499" s="8" t="str">
        <f>IFERROR(INDEX('nav master'!$C:$C, MATCH(B8499, 'nav master'!$B:$B, 0)), "")</f>
        <v>ULIF06723/03/18EqtyAdvtFd101</v>
      </c>
      <c r="E8499" s="8" t="s">
        <v>512</v>
      </c>
      <c r="F8499" s="8" t="s">
        <v>4550</v>
      </c>
    </row>
    <row r="8500" spans="1:6" ht="60" x14ac:dyDescent="0.25">
      <c r="A8500" s="8" t="s">
        <v>125</v>
      </c>
      <c r="B8500" s="8" t="s">
        <v>138</v>
      </c>
      <c r="C8500" s="8" t="str">
        <f>IFERROR(_xlfn.XLOOKUP(TRIM(B8500),Lookup!$B$2:$B$1000,Lookup!$C$2:$C$1000),"")</f>
        <v>Equity</v>
      </c>
      <c r="D8500" s="8" t="str">
        <f>IFERROR(INDEX('nav master'!$C:$C, MATCH(B8500, 'nav master'!$B:$B, 0)), "")</f>
        <v>ULIF06723/03/18EqtyAdvtFd101</v>
      </c>
      <c r="E8500" s="8" t="s">
        <v>514</v>
      </c>
      <c r="F8500" s="8" t="s">
        <v>4551</v>
      </c>
    </row>
    <row r="8501" spans="1:6" ht="60" x14ac:dyDescent="0.25">
      <c r="A8501" s="8" t="s">
        <v>125</v>
      </c>
      <c r="B8501" s="8" t="s">
        <v>138</v>
      </c>
      <c r="C8501" s="8" t="str">
        <f>IFERROR(_xlfn.XLOOKUP(TRIM(B8501),Lookup!$B$2:$B$1000,Lookup!$C$2:$C$1000),"")</f>
        <v>Equity</v>
      </c>
      <c r="D8501" s="8" t="str">
        <f>IFERROR(INDEX('nav master'!$C:$C, MATCH(B8501, 'nav master'!$B:$B, 0)), "")</f>
        <v>ULIF06723/03/18EqtyAdvtFd101</v>
      </c>
      <c r="E8501" s="8" t="s">
        <v>516</v>
      </c>
      <c r="F8501" s="8" t="s">
        <v>4552</v>
      </c>
    </row>
    <row r="8502" spans="1:6" ht="60" x14ac:dyDescent="0.25">
      <c r="A8502" s="8" t="s">
        <v>125</v>
      </c>
      <c r="B8502" s="8" t="s">
        <v>138</v>
      </c>
      <c r="C8502" s="8" t="str">
        <f>IFERROR(_xlfn.XLOOKUP(TRIM(B8502),Lookup!$B$2:$B$1000,Lookup!$C$2:$C$1000),"")</f>
        <v>Equity</v>
      </c>
      <c r="D8502" s="8" t="str">
        <f>IFERROR(INDEX('nav master'!$C:$C, MATCH(B8502, 'nav master'!$B:$B, 0)), "")</f>
        <v>ULIF06723/03/18EqtyAdvtFd101</v>
      </c>
      <c r="E8502" s="8" t="s">
        <v>518</v>
      </c>
      <c r="F8502" s="8" t="s">
        <v>4553</v>
      </c>
    </row>
    <row r="8503" spans="1:6" ht="60" x14ac:dyDescent="0.25">
      <c r="A8503" s="8" t="s">
        <v>125</v>
      </c>
      <c r="B8503" s="8" t="s">
        <v>138</v>
      </c>
      <c r="C8503" s="8" t="str">
        <f>IFERROR(_xlfn.XLOOKUP(TRIM(B8503),Lookup!$B$2:$B$1000,Lookup!$C$2:$C$1000),"")</f>
        <v>Equity</v>
      </c>
      <c r="D8503" s="8" t="str">
        <f>IFERROR(INDEX('nav master'!$C:$C, MATCH(B8503, 'nav master'!$B:$B, 0)), "")</f>
        <v>ULIF06723/03/18EqtyAdvtFd101</v>
      </c>
      <c r="E8503" s="8" t="s">
        <v>520</v>
      </c>
      <c r="F8503" s="8" t="s">
        <v>4554</v>
      </c>
    </row>
    <row r="8504" spans="1:6" ht="60" x14ac:dyDescent="0.25">
      <c r="A8504" s="8" t="s">
        <v>125</v>
      </c>
      <c r="B8504" s="8" t="s">
        <v>138</v>
      </c>
      <c r="C8504" s="8" t="str">
        <f>IFERROR(_xlfn.XLOOKUP(TRIM(B8504),Lookup!$B$2:$B$1000,Lookup!$C$2:$C$1000),"")</f>
        <v>Equity</v>
      </c>
      <c r="D8504" s="8" t="str">
        <f>IFERROR(INDEX('nav master'!$C:$C, MATCH(B8504, 'nav master'!$B:$B, 0)), "")</f>
        <v>ULIF06723/03/18EqtyAdvtFd101</v>
      </c>
      <c r="E8504" s="8" t="s">
        <v>522</v>
      </c>
      <c r="F8504" s="8" t="s">
        <v>4555</v>
      </c>
    </row>
    <row r="8505" spans="1:6" ht="60" x14ac:dyDescent="0.25">
      <c r="A8505" s="8" t="s">
        <v>125</v>
      </c>
      <c r="B8505" s="8" t="s">
        <v>138</v>
      </c>
      <c r="C8505" s="8" t="str">
        <f>IFERROR(_xlfn.XLOOKUP(TRIM(B8505),Lookup!$B$2:$B$1000,Lookup!$C$2:$C$1000),"")</f>
        <v>Equity</v>
      </c>
      <c r="D8505" s="8" t="str">
        <f>IFERROR(INDEX('nav master'!$C:$C, MATCH(B8505, 'nav master'!$B:$B, 0)), "")</f>
        <v>ULIF06723/03/18EqtyAdvtFd101</v>
      </c>
      <c r="E8505" s="8" t="s">
        <v>524</v>
      </c>
      <c r="F8505" s="8" t="s">
        <v>4556</v>
      </c>
    </row>
    <row r="8506" spans="1:6" ht="60" x14ac:dyDescent="0.25">
      <c r="A8506" s="8" t="s">
        <v>125</v>
      </c>
      <c r="B8506" s="8" t="s">
        <v>138</v>
      </c>
      <c r="C8506" s="8" t="str">
        <f>IFERROR(_xlfn.XLOOKUP(TRIM(B8506),Lookup!$B$2:$B$1000,Lookup!$C$2:$C$1000),"")</f>
        <v>Equity</v>
      </c>
      <c r="D8506" s="8" t="str">
        <f>IFERROR(INDEX('nav master'!$C:$C, MATCH(B8506, 'nav master'!$B:$B, 0)), "")</f>
        <v>ULIF06723/03/18EqtyAdvtFd101</v>
      </c>
      <c r="E8506" s="8" t="s">
        <v>526</v>
      </c>
      <c r="F8506" s="8" t="s">
        <v>4557</v>
      </c>
    </row>
    <row r="8507" spans="1:6" ht="60" x14ac:dyDescent="0.25">
      <c r="A8507" s="8" t="s">
        <v>125</v>
      </c>
      <c r="B8507" s="8" t="s">
        <v>138</v>
      </c>
      <c r="C8507" s="8" t="str">
        <f>IFERROR(_xlfn.XLOOKUP(TRIM(B8507),Lookup!$B$2:$B$1000,Lookup!$C$2:$C$1000),"")</f>
        <v>Equity</v>
      </c>
      <c r="D8507" s="8" t="str">
        <f>IFERROR(INDEX('nav master'!$C:$C, MATCH(B8507, 'nav master'!$B:$B, 0)), "")</f>
        <v>ULIF06723/03/18EqtyAdvtFd101</v>
      </c>
      <c r="E8507" s="8" t="s">
        <v>528</v>
      </c>
      <c r="F8507" s="8" t="s">
        <v>4558</v>
      </c>
    </row>
    <row r="8508" spans="1:6" ht="60" x14ac:dyDescent="0.25">
      <c r="A8508" s="8" t="s">
        <v>125</v>
      </c>
      <c r="B8508" s="8" t="s">
        <v>138</v>
      </c>
      <c r="C8508" s="8" t="str">
        <f>IFERROR(_xlfn.XLOOKUP(TRIM(B8508),Lookup!$B$2:$B$1000,Lookup!$C$2:$C$1000),"")</f>
        <v>Equity</v>
      </c>
      <c r="D8508" s="8" t="str">
        <f>IFERROR(INDEX('nav master'!$C:$C, MATCH(B8508, 'nav master'!$B:$B, 0)), "")</f>
        <v>ULIF06723/03/18EqtyAdvtFd101</v>
      </c>
      <c r="E8508" s="8" t="s">
        <v>530</v>
      </c>
      <c r="F8508" s="8" t="s">
        <v>4559</v>
      </c>
    </row>
    <row r="8509" spans="1:6" ht="60" x14ac:dyDescent="0.25">
      <c r="A8509" s="8" t="s">
        <v>125</v>
      </c>
      <c r="B8509" s="8" t="s">
        <v>138</v>
      </c>
      <c r="C8509" s="8" t="str">
        <f>IFERROR(_xlfn.XLOOKUP(TRIM(B8509),Lookup!$B$2:$B$1000,Lookup!$C$2:$C$1000),"")</f>
        <v>Equity</v>
      </c>
      <c r="D8509" s="8" t="str">
        <f>IFERROR(INDEX('nav master'!$C:$C, MATCH(B8509, 'nav master'!$B:$B, 0)), "")</f>
        <v>ULIF06723/03/18EqtyAdvtFd101</v>
      </c>
      <c r="E8509" s="8" t="s">
        <v>532</v>
      </c>
      <c r="F8509" s="8" t="s">
        <v>4560</v>
      </c>
    </row>
    <row r="8510" spans="1:6" ht="60" x14ac:dyDescent="0.25">
      <c r="A8510" s="8" t="s">
        <v>125</v>
      </c>
      <c r="B8510" s="8" t="s">
        <v>138</v>
      </c>
      <c r="C8510" s="8" t="str">
        <f>IFERROR(_xlfn.XLOOKUP(TRIM(B8510),Lookup!$B$2:$B$1000,Lookup!$C$2:$C$1000),"")</f>
        <v>Equity</v>
      </c>
      <c r="D8510" s="8" t="str">
        <f>IFERROR(INDEX('nav master'!$C:$C, MATCH(B8510, 'nav master'!$B:$B, 0)), "")</f>
        <v>ULIF06723/03/18EqtyAdvtFd101</v>
      </c>
      <c r="E8510" s="8" t="s">
        <v>534</v>
      </c>
      <c r="F8510" s="8" t="s">
        <v>4561</v>
      </c>
    </row>
    <row r="8511" spans="1:6" ht="60" x14ac:dyDescent="0.25">
      <c r="A8511" s="8" t="s">
        <v>125</v>
      </c>
      <c r="B8511" s="8" t="s">
        <v>138</v>
      </c>
      <c r="C8511" s="8" t="str">
        <f>IFERROR(_xlfn.XLOOKUP(TRIM(B8511),Lookup!$B$2:$B$1000,Lookup!$C$2:$C$1000),"")</f>
        <v>Equity</v>
      </c>
      <c r="D8511" s="8" t="str">
        <f>IFERROR(INDEX('nav master'!$C:$C, MATCH(B8511, 'nav master'!$B:$B, 0)), "")</f>
        <v>ULIF06723/03/18EqtyAdvtFd101</v>
      </c>
      <c r="E8511" s="8" t="s">
        <v>536</v>
      </c>
      <c r="F8511" s="8" t="s">
        <v>4562</v>
      </c>
    </row>
    <row r="8512" spans="1:6" ht="60" x14ac:dyDescent="0.25">
      <c r="A8512" s="8" t="s">
        <v>125</v>
      </c>
      <c r="B8512" s="8" t="s">
        <v>138</v>
      </c>
      <c r="C8512" s="8" t="str">
        <f>IFERROR(_xlfn.XLOOKUP(TRIM(B8512),Lookup!$B$2:$B$1000,Lookup!$C$2:$C$1000),"")</f>
        <v>Equity</v>
      </c>
      <c r="D8512" s="8" t="str">
        <f>IFERROR(INDEX('nav master'!$C:$C, MATCH(B8512, 'nav master'!$B:$B, 0)), "")</f>
        <v>ULIF06723/03/18EqtyAdvtFd101</v>
      </c>
      <c r="E8512" s="8" t="s">
        <v>538</v>
      </c>
      <c r="F8512" s="8" t="s">
        <v>4563</v>
      </c>
    </row>
    <row r="8513" spans="1:6" ht="60" x14ac:dyDescent="0.25">
      <c r="A8513" s="8" t="s">
        <v>125</v>
      </c>
      <c r="B8513" s="8" t="s">
        <v>138</v>
      </c>
      <c r="C8513" s="8" t="str">
        <f>IFERROR(_xlfn.XLOOKUP(TRIM(B8513),Lookup!$B$2:$B$1000,Lookup!$C$2:$C$1000),"")</f>
        <v>Equity</v>
      </c>
      <c r="D8513" s="8" t="str">
        <f>IFERROR(INDEX('nav master'!$C:$C, MATCH(B8513, 'nav master'!$B:$B, 0)), "")</f>
        <v>ULIF06723/03/18EqtyAdvtFd101</v>
      </c>
      <c r="E8513" s="8" t="s">
        <v>540</v>
      </c>
      <c r="F8513" s="8" t="s">
        <v>4564</v>
      </c>
    </row>
    <row r="8514" spans="1:6" ht="60" x14ac:dyDescent="0.25">
      <c r="A8514" s="8" t="s">
        <v>125</v>
      </c>
      <c r="B8514" s="8" t="s">
        <v>138</v>
      </c>
      <c r="C8514" s="8" t="str">
        <f>IFERROR(_xlfn.XLOOKUP(TRIM(B8514),Lookup!$B$2:$B$1000,Lookup!$C$2:$C$1000),"")</f>
        <v>Equity</v>
      </c>
      <c r="D8514" s="8" t="str">
        <f>IFERROR(INDEX('nav master'!$C:$C, MATCH(B8514, 'nav master'!$B:$B, 0)), "")</f>
        <v>ULIF06723/03/18EqtyAdvtFd101</v>
      </c>
      <c r="E8514" s="8" t="s">
        <v>542</v>
      </c>
      <c r="F8514" s="8" t="s">
        <v>4565</v>
      </c>
    </row>
    <row r="8515" spans="1:6" ht="60" x14ac:dyDescent="0.25">
      <c r="A8515" s="8" t="s">
        <v>125</v>
      </c>
      <c r="B8515" s="8" t="s">
        <v>138</v>
      </c>
      <c r="C8515" s="8" t="str">
        <f>IFERROR(_xlfn.XLOOKUP(TRIM(B8515),Lookup!$B$2:$B$1000,Lookup!$C$2:$C$1000),"")</f>
        <v>Equity</v>
      </c>
      <c r="D8515" s="8" t="str">
        <f>IFERROR(INDEX('nav master'!$C:$C, MATCH(B8515, 'nav master'!$B:$B, 0)), "")</f>
        <v>ULIF06723/03/18EqtyAdvtFd101</v>
      </c>
      <c r="E8515" s="8" t="s">
        <v>544</v>
      </c>
      <c r="F8515" s="8" t="s">
        <v>4566</v>
      </c>
    </row>
    <row r="8516" spans="1:6" ht="60" x14ac:dyDescent="0.25">
      <c r="A8516" s="8" t="s">
        <v>125</v>
      </c>
      <c r="B8516" s="8" t="s">
        <v>138</v>
      </c>
      <c r="C8516" s="8" t="str">
        <f>IFERROR(_xlfn.XLOOKUP(TRIM(B8516),Lookup!$B$2:$B$1000,Lookup!$C$2:$C$1000),"")</f>
        <v>Equity</v>
      </c>
      <c r="D8516" s="8" t="str">
        <f>IFERROR(INDEX('nav master'!$C:$C, MATCH(B8516, 'nav master'!$B:$B, 0)), "")</f>
        <v>ULIF06723/03/18EqtyAdvtFd101</v>
      </c>
      <c r="E8516" s="8" t="s">
        <v>546</v>
      </c>
      <c r="F8516" s="8" t="s">
        <v>4395</v>
      </c>
    </row>
    <row r="8517" spans="1:6" ht="60" x14ac:dyDescent="0.25">
      <c r="A8517" s="8" t="s">
        <v>125</v>
      </c>
      <c r="B8517" s="8" t="s">
        <v>138</v>
      </c>
      <c r="C8517" s="8" t="str">
        <f>IFERROR(_xlfn.XLOOKUP(TRIM(B8517),Lookup!$B$2:$B$1000,Lookup!$C$2:$C$1000),"")</f>
        <v>Equity</v>
      </c>
      <c r="D8517" s="8" t="str">
        <f>IFERROR(INDEX('nav master'!$C:$C, MATCH(B8517, 'nav master'!$B:$B, 0)), "")</f>
        <v>ULIF06723/03/18EqtyAdvtFd101</v>
      </c>
      <c r="E8517" s="8" t="s">
        <v>548</v>
      </c>
      <c r="F8517" s="8" t="s">
        <v>4567</v>
      </c>
    </row>
    <row r="8518" spans="1:6" ht="60" x14ac:dyDescent="0.25">
      <c r="A8518" s="8" t="s">
        <v>125</v>
      </c>
      <c r="B8518" s="8" t="s">
        <v>138</v>
      </c>
      <c r="C8518" s="8" t="str">
        <f>IFERROR(_xlfn.XLOOKUP(TRIM(B8518),Lookup!$B$2:$B$1000,Lookup!$C$2:$C$1000),"")</f>
        <v>Equity</v>
      </c>
      <c r="D8518" s="8" t="str">
        <f>IFERROR(INDEX('nav master'!$C:$C, MATCH(B8518, 'nav master'!$B:$B, 0)), "")</f>
        <v>ULIF06723/03/18EqtyAdvtFd101</v>
      </c>
      <c r="E8518" s="8" t="s">
        <v>550</v>
      </c>
      <c r="F8518" s="8" t="s">
        <v>4568</v>
      </c>
    </row>
    <row r="8519" spans="1:6" ht="60" x14ac:dyDescent="0.25">
      <c r="A8519" s="8" t="s">
        <v>125</v>
      </c>
      <c r="B8519" s="8" t="s">
        <v>138</v>
      </c>
      <c r="C8519" s="8" t="str">
        <f>IFERROR(_xlfn.XLOOKUP(TRIM(B8519),Lookup!$B$2:$B$1000,Lookup!$C$2:$C$1000),"")</f>
        <v>Equity</v>
      </c>
      <c r="D8519" s="8" t="str">
        <f>IFERROR(INDEX('nav master'!$C:$C, MATCH(B8519, 'nav master'!$B:$B, 0)), "")</f>
        <v>ULIF06723/03/18EqtyAdvtFd101</v>
      </c>
      <c r="E8519" s="8" t="s">
        <v>552</v>
      </c>
      <c r="F8519" s="8" t="s">
        <v>4569</v>
      </c>
    </row>
    <row r="8520" spans="1:6" ht="60" x14ac:dyDescent="0.25">
      <c r="A8520" s="8" t="s">
        <v>125</v>
      </c>
      <c r="B8520" s="8" t="s">
        <v>138</v>
      </c>
      <c r="C8520" s="8" t="str">
        <f>IFERROR(_xlfn.XLOOKUP(TRIM(B8520),Lookup!$B$2:$B$1000,Lookup!$C$2:$C$1000),"")</f>
        <v>Equity</v>
      </c>
      <c r="D8520" s="8" t="str">
        <f>IFERROR(INDEX('nav master'!$C:$C, MATCH(B8520, 'nav master'!$B:$B, 0)), "")</f>
        <v>ULIF06723/03/18EqtyAdvtFd101</v>
      </c>
      <c r="E8520" s="8" t="s">
        <v>554</v>
      </c>
      <c r="F8520" s="8" t="s">
        <v>4570</v>
      </c>
    </row>
    <row r="8521" spans="1:6" ht="60" x14ac:dyDescent="0.25">
      <c r="A8521" s="8" t="s">
        <v>125</v>
      </c>
      <c r="B8521" s="8" t="s">
        <v>138</v>
      </c>
      <c r="C8521" s="8" t="str">
        <f>IFERROR(_xlfn.XLOOKUP(TRIM(B8521),Lookup!$B$2:$B$1000,Lookup!$C$2:$C$1000),"")</f>
        <v>Equity</v>
      </c>
      <c r="D8521" s="8" t="str">
        <f>IFERROR(INDEX('nav master'!$C:$C, MATCH(B8521, 'nav master'!$B:$B, 0)), "")</f>
        <v>ULIF06723/03/18EqtyAdvtFd101</v>
      </c>
      <c r="E8521" s="8" t="s">
        <v>556</v>
      </c>
      <c r="F8521" s="8" t="s">
        <v>4571</v>
      </c>
    </row>
    <row r="8522" spans="1:6" ht="60" x14ac:dyDescent="0.25">
      <c r="A8522" s="8" t="s">
        <v>125</v>
      </c>
      <c r="B8522" s="8" t="s">
        <v>138</v>
      </c>
      <c r="C8522" s="8" t="str">
        <f>IFERROR(_xlfn.XLOOKUP(TRIM(B8522),Lookup!$B$2:$B$1000,Lookup!$C$2:$C$1000),"")</f>
        <v>Equity</v>
      </c>
      <c r="D8522" s="8" t="str">
        <f>IFERROR(INDEX('nav master'!$C:$C, MATCH(B8522, 'nav master'!$B:$B, 0)), "")</f>
        <v>ULIF06723/03/18EqtyAdvtFd101</v>
      </c>
      <c r="E8522" s="8" t="s">
        <v>558</v>
      </c>
      <c r="F8522" s="8" t="s">
        <v>4572</v>
      </c>
    </row>
    <row r="8523" spans="1:6" ht="60" x14ac:dyDescent="0.25">
      <c r="A8523" s="8" t="s">
        <v>125</v>
      </c>
      <c r="B8523" s="8" t="s">
        <v>138</v>
      </c>
      <c r="C8523" s="8" t="str">
        <f>IFERROR(_xlfn.XLOOKUP(TRIM(B8523),Lookup!$B$2:$B$1000,Lookup!$C$2:$C$1000),"")</f>
        <v>Equity</v>
      </c>
      <c r="D8523" s="8" t="str">
        <f>IFERROR(INDEX('nav master'!$C:$C, MATCH(B8523, 'nav master'!$B:$B, 0)), "")</f>
        <v>ULIF06723/03/18EqtyAdvtFd101</v>
      </c>
      <c r="E8523" s="8" t="s">
        <v>560</v>
      </c>
      <c r="F8523" s="8" t="s">
        <v>4573</v>
      </c>
    </row>
    <row r="8524" spans="1:6" ht="60" x14ac:dyDescent="0.25">
      <c r="A8524" s="8" t="s">
        <v>125</v>
      </c>
      <c r="B8524" s="8" t="s">
        <v>138</v>
      </c>
      <c r="C8524" s="8" t="str">
        <f>IFERROR(_xlfn.XLOOKUP(TRIM(B8524),Lookup!$B$2:$B$1000,Lookup!$C$2:$C$1000),"")</f>
        <v>Equity</v>
      </c>
      <c r="D8524" s="8" t="str">
        <f>IFERROR(INDEX('nav master'!$C:$C, MATCH(B8524, 'nav master'!$B:$B, 0)), "")</f>
        <v>ULIF06723/03/18EqtyAdvtFd101</v>
      </c>
      <c r="E8524" s="8" t="s">
        <v>562</v>
      </c>
      <c r="F8524" s="8" t="s">
        <v>4574</v>
      </c>
    </row>
    <row r="8525" spans="1:6" ht="60" x14ac:dyDescent="0.25">
      <c r="A8525" s="8" t="s">
        <v>125</v>
      </c>
      <c r="B8525" s="8" t="s">
        <v>138</v>
      </c>
      <c r="C8525" s="8" t="str">
        <f>IFERROR(_xlfn.XLOOKUP(TRIM(B8525),Lookup!$B$2:$B$1000,Lookup!$C$2:$C$1000),"")</f>
        <v>Equity</v>
      </c>
      <c r="D8525" s="8" t="str">
        <f>IFERROR(INDEX('nav master'!$C:$C, MATCH(B8525, 'nav master'!$B:$B, 0)), "")</f>
        <v>ULIF06723/03/18EqtyAdvtFd101</v>
      </c>
      <c r="E8525" s="8" t="s">
        <v>564</v>
      </c>
      <c r="F8525" s="8" t="s">
        <v>4575</v>
      </c>
    </row>
    <row r="8526" spans="1:6" ht="60" x14ac:dyDescent="0.25">
      <c r="A8526" s="8" t="s">
        <v>125</v>
      </c>
      <c r="B8526" s="8" t="s">
        <v>138</v>
      </c>
      <c r="C8526" s="8" t="str">
        <f>IFERROR(_xlfn.XLOOKUP(TRIM(B8526),Lookup!$B$2:$B$1000,Lookup!$C$2:$C$1000),"")</f>
        <v>Equity</v>
      </c>
      <c r="D8526" s="8" t="str">
        <f>IFERROR(INDEX('nav master'!$C:$C, MATCH(B8526, 'nav master'!$B:$B, 0)), "")</f>
        <v>ULIF06723/03/18EqtyAdvtFd101</v>
      </c>
      <c r="E8526" s="8" t="s">
        <v>566</v>
      </c>
      <c r="F8526" s="8" t="s">
        <v>4576</v>
      </c>
    </row>
    <row r="8527" spans="1:6" ht="60" x14ac:dyDescent="0.25">
      <c r="A8527" s="8" t="s">
        <v>125</v>
      </c>
      <c r="B8527" s="8" t="s">
        <v>138</v>
      </c>
      <c r="C8527" s="8" t="str">
        <f>IFERROR(_xlfn.XLOOKUP(TRIM(B8527),Lookup!$B$2:$B$1000,Lookup!$C$2:$C$1000),"")</f>
        <v>Equity</v>
      </c>
      <c r="D8527" s="8" t="str">
        <f>IFERROR(INDEX('nav master'!$C:$C, MATCH(B8527, 'nav master'!$B:$B, 0)), "")</f>
        <v>ULIF06723/03/18EqtyAdvtFd101</v>
      </c>
      <c r="E8527" s="8" t="s">
        <v>568</v>
      </c>
      <c r="F8527" s="8" t="s">
        <v>4577</v>
      </c>
    </row>
    <row r="8528" spans="1:6" ht="60" x14ac:dyDescent="0.25">
      <c r="A8528" s="8" t="s">
        <v>125</v>
      </c>
      <c r="B8528" s="8" t="s">
        <v>138</v>
      </c>
      <c r="C8528" s="8" t="str">
        <f>IFERROR(_xlfn.XLOOKUP(TRIM(B8528),Lookup!$B$2:$B$1000,Lookup!$C$2:$C$1000),"")</f>
        <v>Equity</v>
      </c>
      <c r="D8528" s="8" t="str">
        <f>IFERROR(INDEX('nav master'!$C:$C, MATCH(B8528, 'nav master'!$B:$B, 0)), "")</f>
        <v>ULIF06723/03/18EqtyAdvtFd101</v>
      </c>
      <c r="E8528" s="8" t="s">
        <v>570</v>
      </c>
      <c r="F8528" s="8" t="s">
        <v>4578</v>
      </c>
    </row>
    <row r="8529" spans="1:6" ht="60" x14ac:dyDescent="0.25">
      <c r="A8529" s="8" t="s">
        <v>125</v>
      </c>
      <c r="B8529" s="8" t="s">
        <v>138</v>
      </c>
      <c r="C8529" s="8" t="str">
        <f>IFERROR(_xlfn.XLOOKUP(TRIM(B8529),Lookup!$B$2:$B$1000,Lookup!$C$2:$C$1000),"")</f>
        <v>Equity</v>
      </c>
      <c r="D8529" s="8" t="str">
        <f>IFERROR(INDEX('nav master'!$C:$C, MATCH(B8529, 'nav master'!$B:$B, 0)), "")</f>
        <v>ULIF06723/03/18EqtyAdvtFd101</v>
      </c>
      <c r="E8529" s="8" t="s">
        <v>572</v>
      </c>
      <c r="F8529" s="8" t="s">
        <v>4579</v>
      </c>
    </row>
    <row r="8530" spans="1:6" ht="60" x14ac:dyDescent="0.25">
      <c r="A8530" s="8" t="s">
        <v>125</v>
      </c>
      <c r="B8530" s="8" t="s">
        <v>138</v>
      </c>
      <c r="C8530" s="8" t="str">
        <f>IFERROR(_xlfn.XLOOKUP(TRIM(B8530),Lookup!$B$2:$B$1000,Lookup!$C$2:$C$1000),"")</f>
        <v>Equity</v>
      </c>
      <c r="D8530" s="8" t="str">
        <f>IFERROR(INDEX('nav master'!$C:$C, MATCH(B8530, 'nav master'!$B:$B, 0)), "")</f>
        <v>ULIF06723/03/18EqtyAdvtFd101</v>
      </c>
      <c r="E8530" s="8" t="s">
        <v>574</v>
      </c>
      <c r="F8530" s="8" t="s">
        <v>4580</v>
      </c>
    </row>
    <row r="8531" spans="1:6" ht="60" x14ac:dyDescent="0.25">
      <c r="A8531" s="8" t="s">
        <v>125</v>
      </c>
      <c r="B8531" s="8" t="s">
        <v>138</v>
      </c>
      <c r="C8531" s="8" t="str">
        <f>IFERROR(_xlfn.XLOOKUP(TRIM(B8531),Lookup!$B$2:$B$1000,Lookup!$C$2:$C$1000),"")</f>
        <v>Equity</v>
      </c>
      <c r="D8531" s="8" t="str">
        <f>IFERROR(INDEX('nav master'!$C:$C, MATCH(B8531, 'nav master'!$B:$B, 0)), "")</f>
        <v>ULIF06723/03/18EqtyAdvtFd101</v>
      </c>
      <c r="E8531" s="8" t="s">
        <v>576</v>
      </c>
      <c r="F8531" s="8" t="s">
        <v>4581</v>
      </c>
    </row>
    <row r="8532" spans="1:6" ht="60" x14ac:dyDescent="0.25">
      <c r="A8532" s="8" t="s">
        <v>125</v>
      </c>
      <c r="B8532" s="8" t="s">
        <v>138</v>
      </c>
      <c r="C8532" s="8" t="str">
        <f>IFERROR(_xlfn.XLOOKUP(TRIM(B8532),Lookup!$B$2:$B$1000,Lookup!$C$2:$C$1000),"")</f>
        <v>Equity</v>
      </c>
      <c r="D8532" s="8" t="str">
        <f>IFERROR(INDEX('nav master'!$C:$C, MATCH(B8532, 'nav master'!$B:$B, 0)), "")</f>
        <v>ULIF06723/03/18EqtyAdvtFd101</v>
      </c>
      <c r="E8532" s="8" t="s">
        <v>578</v>
      </c>
      <c r="F8532" s="8" t="s">
        <v>4582</v>
      </c>
    </row>
    <row r="8533" spans="1:6" ht="60" x14ac:dyDescent="0.25">
      <c r="A8533" s="8" t="s">
        <v>125</v>
      </c>
      <c r="B8533" s="8" t="s">
        <v>138</v>
      </c>
      <c r="C8533" s="8" t="str">
        <f>IFERROR(_xlfn.XLOOKUP(TRIM(B8533),Lookup!$B$2:$B$1000,Lookup!$C$2:$C$1000),"")</f>
        <v>Equity</v>
      </c>
      <c r="D8533" s="8" t="str">
        <f>IFERROR(INDEX('nav master'!$C:$C, MATCH(B8533, 'nav master'!$B:$B, 0)), "")</f>
        <v>ULIF06723/03/18EqtyAdvtFd101</v>
      </c>
      <c r="E8533" s="8" t="s">
        <v>580</v>
      </c>
      <c r="F8533" s="8" t="s">
        <v>4583</v>
      </c>
    </row>
    <row r="8534" spans="1:6" ht="60" x14ac:dyDescent="0.25">
      <c r="A8534" s="8" t="s">
        <v>125</v>
      </c>
      <c r="B8534" s="8" t="s">
        <v>138</v>
      </c>
      <c r="C8534" s="8" t="str">
        <f>IFERROR(_xlfn.XLOOKUP(TRIM(B8534),Lookup!$B$2:$B$1000,Lookup!$C$2:$C$1000),"")</f>
        <v>Equity</v>
      </c>
      <c r="D8534" s="8" t="str">
        <f>IFERROR(INDEX('nav master'!$C:$C, MATCH(B8534, 'nav master'!$B:$B, 0)), "")</f>
        <v>ULIF06723/03/18EqtyAdvtFd101</v>
      </c>
      <c r="E8534" s="8" t="s">
        <v>582</v>
      </c>
      <c r="F8534" s="8" t="s">
        <v>4584</v>
      </c>
    </row>
    <row r="8535" spans="1:6" ht="60" x14ac:dyDescent="0.25">
      <c r="A8535" s="8" t="s">
        <v>125</v>
      </c>
      <c r="B8535" s="8" t="s">
        <v>138</v>
      </c>
      <c r="C8535" s="8" t="str">
        <f>IFERROR(_xlfn.XLOOKUP(TRIM(B8535),Lookup!$B$2:$B$1000,Lookup!$C$2:$C$1000),"")</f>
        <v>Equity</v>
      </c>
      <c r="D8535" s="8" t="str">
        <f>IFERROR(INDEX('nav master'!$C:$C, MATCH(B8535, 'nav master'!$B:$B, 0)), "")</f>
        <v>ULIF06723/03/18EqtyAdvtFd101</v>
      </c>
      <c r="E8535" s="8" t="s">
        <v>584</v>
      </c>
      <c r="F8535" s="8" t="s">
        <v>4585</v>
      </c>
    </row>
    <row r="8536" spans="1:6" ht="60" x14ac:dyDescent="0.25">
      <c r="A8536" s="8" t="s">
        <v>125</v>
      </c>
      <c r="B8536" s="8" t="s">
        <v>138</v>
      </c>
      <c r="C8536" s="8" t="str">
        <f>IFERROR(_xlfn.XLOOKUP(TRIM(B8536),Lookup!$B$2:$B$1000,Lookup!$C$2:$C$1000),"")</f>
        <v>Equity</v>
      </c>
      <c r="D8536" s="8" t="str">
        <f>IFERROR(INDEX('nav master'!$C:$C, MATCH(B8536, 'nav master'!$B:$B, 0)), "")</f>
        <v>ULIF06723/03/18EqtyAdvtFd101</v>
      </c>
      <c r="E8536" s="8" t="s">
        <v>586</v>
      </c>
      <c r="F8536" s="8" t="s">
        <v>4586</v>
      </c>
    </row>
    <row r="8537" spans="1:6" ht="60" x14ac:dyDescent="0.25">
      <c r="A8537" s="8" t="s">
        <v>125</v>
      </c>
      <c r="B8537" s="8" t="s">
        <v>138</v>
      </c>
      <c r="C8537" s="8" t="str">
        <f>IFERROR(_xlfn.XLOOKUP(TRIM(B8537),Lookup!$B$2:$B$1000,Lookup!$C$2:$C$1000),"")</f>
        <v>Equity</v>
      </c>
      <c r="D8537" s="8" t="str">
        <f>IFERROR(INDEX('nav master'!$C:$C, MATCH(B8537, 'nav master'!$B:$B, 0)), "")</f>
        <v>ULIF06723/03/18EqtyAdvtFd101</v>
      </c>
      <c r="E8537" s="8" t="s">
        <v>588</v>
      </c>
      <c r="F8537" s="8" t="s">
        <v>4587</v>
      </c>
    </row>
    <row r="8538" spans="1:6" ht="60" x14ac:dyDescent="0.25">
      <c r="A8538" s="8" t="s">
        <v>125</v>
      </c>
      <c r="B8538" s="8" t="s">
        <v>138</v>
      </c>
      <c r="C8538" s="8" t="str">
        <f>IFERROR(_xlfn.XLOOKUP(TRIM(B8538),Lookup!$B$2:$B$1000,Lookup!$C$2:$C$1000),"")</f>
        <v>Equity</v>
      </c>
      <c r="D8538" s="8" t="str">
        <f>IFERROR(INDEX('nav master'!$C:$C, MATCH(B8538, 'nav master'!$B:$B, 0)), "")</f>
        <v>ULIF06723/03/18EqtyAdvtFd101</v>
      </c>
      <c r="E8538" s="8" t="s">
        <v>590</v>
      </c>
      <c r="F8538" s="8" t="s">
        <v>4588</v>
      </c>
    </row>
    <row r="8539" spans="1:6" ht="60" x14ac:dyDescent="0.25">
      <c r="A8539" s="8" t="s">
        <v>125</v>
      </c>
      <c r="B8539" s="8" t="s">
        <v>138</v>
      </c>
      <c r="C8539" s="8" t="str">
        <f>IFERROR(_xlfn.XLOOKUP(TRIM(B8539),Lookup!$B$2:$B$1000,Lookup!$C$2:$C$1000),"")</f>
        <v>Equity</v>
      </c>
      <c r="D8539" s="8" t="str">
        <f>IFERROR(INDEX('nav master'!$C:$C, MATCH(B8539, 'nav master'!$B:$B, 0)), "")</f>
        <v>ULIF06723/03/18EqtyAdvtFd101</v>
      </c>
      <c r="E8539" s="8" t="s">
        <v>592</v>
      </c>
      <c r="F8539" s="8" t="s">
        <v>4589</v>
      </c>
    </row>
    <row r="8540" spans="1:6" ht="60" x14ac:dyDescent="0.25">
      <c r="A8540" s="8" t="s">
        <v>125</v>
      </c>
      <c r="B8540" s="8" t="s">
        <v>138</v>
      </c>
      <c r="C8540" s="8" t="str">
        <f>IFERROR(_xlfn.XLOOKUP(TRIM(B8540),Lookup!$B$2:$B$1000,Lookup!$C$2:$C$1000),"")</f>
        <v>Equity</v>
      </c>
      <c r="D8540" s="8" t="str">
        <f>IFERROR(INDEX('nav master'!$C:$C, MATCH(B8540, 'nav master'!$B:$B, 0)), "")</f>
        <v>ULIF06723/03/18EqtyAdvtFd101</v>
      </c>
      <c r="E8540" s="8" t="s">
        <v>594</v>
      </c>
      <c r="F8540" s="8" t="s">
        <v>4590</v>
      </c>
    </row>
    <row r="8541" spans="1:6" ht="60" x14ac:dyDescent="0.25">
      <c r="A8541" s="8" t="s">
        <v>125</v>
      </c>
      <c r="B8541" s="8" t="s">
        <v>138</v>
      </c>
      <c r="C8541" s="8" t="str">
        <f>IFERROR(_xlfn.XLOOKUP(TRIM(B8541),Lookup!$B$2:$B$1000,Lookup!$C$2:$C$1000),"")</f>
        <v>Equity</v>
      </c>
      <c r="D8541" s="8" t="str">
        <f>IFERROR(INDEX('nav master'!$C:$C, MATCH(B8541, 'nav master'!$B:$B, 0)), "")</f>
        <v>ULIF06723/03/18EqtyAdvtFd101</v>
      </c>
      <c r="E8541" s="8" t="s">
        <v>596</v>
      </c>
      <c r="F8541" s="8" t="s">
        <v>4591</v>
      </c>
    </row>
    <row r="8542" spans="1:6" ht="60" x14ac:dyDescent="0.25">
      <c r="A8542" s="8" t="s">
        <v>125</v>
      </c>
      <c r="B8542" s="8" t="s">
        <v>138</v>
      </c>
      <c r="C8542" s="8" t="str">
        <f>IFERROR(_xlfn.XLOOKUP(TRIM(B8542),Lookup!$B$2:$B$1000,Lookup!$C$2:$C$1000),"")</f>
        <v>Equity</v>
      </c>
      <c r="D8542" s="8" t="str">
        <f>IFERROR(INDEX('nav master'!$C:$C, MATCH(B8542, 'nav master'!$B:$B, 0)), "")</f>
        <v>ULIF06723/03/18EqtyAdvtFd101</v>
      </c>
      <c r="E8542" s="8" t="s">
        <v>598</v>
      </c>
      <c r="F8542" s="8" t="s">
        <v>4592</v>
      </c>
    </row>
    <row r="8543" spans="1:6" ht="60" x14ac:dyDescent="0.25">
      <c r="A8543" s="8" t="s">
        <v>125</v>
      </c>
      <c r="B8543" s="8" t="s">
        <v>138</v>
      </c>
      <c r="C8543" s="8" t="str">
        <f>IFERROR(_xlfn.XLOOKUP(TRIM(B8543),Lookup!$B$2:$B$1000,Lookup!$C$2:$C$1000),"")</f>
        <v>Equity</v>
      </c>
      <c r="D8543" s="8" t="str">
        <f>IFERROR(INDEX('nav master'!$C:$C, MATCH(B8543, 'nav master'!$B:$B, 0)), "")</f>
        <v>ULIF06723/03/18EqtyAdvtFd101</v>
      </c>
      <c r="E8543" s="8" t="s">
        <v>600</v>
      </c>
      <c r="F8543" s="8" t="s">
        <v>4593</v>
      </c>
    </row>
    <row r="8544" spans="1:6" ht="60" x14ac:dyDescent="0.25">
      <c r="A8544" s="8" t="s">
        <v>125</v>
      </c>
      <c r="B8544" s="8" t="s">
        <v>138</v>
      </c>
      <c r="C8544" s="8" t="str">
        <f>IFERROR(_xlfn.XLOOKUP(TRIM(B8544),Lookup!$B$2:$B$1000,Lookup!$C$2:$C$1000),"")</f>
        <v>Equity</v>
      </c>
      <c r="D8544" s="8" t="str">
        <f>IFERROR(INDEX('nav master'!$C:$C, MATCH(B8544, 'nav master'!$B:$B, 0)), "")</f>
        <v>ULIF06723/03/18EqtyAdvtFd101</v>
      </c>
      <c r="E8544" s="8" t="s">
        <v>602</v>
      </c>
      <c r="F8544" s="8" t="s">
        <v>4594</v>
      </c>
    </row>
    <row r="8545" spans="1:6" ht="60" x14ac:dyDescent="0.25">
      <c r="A8545" s="8" t="s">
        <v>125</v>
      </c>
      <c r="B8545" s="8" t="s">
        <v>138</v>
      </c>
      <c r="C8545" s="8" t="str">
        <f>IFERROR(_xlfn.XLOOKUP(TRIM(B8545),Lookup!$B$2:$B$1000,Lookup!$C$2:$C$1000),"")</f>
        <v>Equity</v>
      </c>
      <c r="D8545" s="8" t="str">
        <f>IFERROR(INDEX('nav master'!$C:$C, MATCH(B8545, 'nav master'!$B:$B, 0)), "")</f>
        <v>ULIF06723/03/18EqtyAdvtFd101</v>
      </c>
      <c r="E8545" s="8" t="s">
        <v>604</v>
      </c>
      <c r="F8545" s="8" t="s">
        <v>4595</v>
      </c>
    </row>
    <row r="8546" spans="1:6" ht="60" x14ac:dyDescent="0.25">
      <c r="A8546" s="8" t="s">
        <v>125</v>
      </c>
      <c r="B8546" s="8" t="s">
        <v>138</v>
      </c>
      <c r="C8546" s="8" t="str">
        <f>IFERROR(_xlfn.XLOOKUP(TRIM(B8546),Lookup!$B$2:$B$1000,Lookup!$C$2:$C$1000),"")</f>
        <v>Equity</v>
      </c>
      <c r="D8546" s="8" t="str">
        <f>IFERROR(INDEX('nav master'!$C:$C, MATCH(B8546, 'nav master'!$B:$B, 0)), "")</f>
        <v>ULIF06723/03/18EqtyAdvtFd101</v>
      </c>
      <c r="E8546" s="8" t="s">
        <v>606</v>
      </c>
      <c r="F8546" s="8" t="s">
        <v>4596</v>
      </c>
    </row>
    <row r="8547" spans="1:6" ht="60" x14ac:dyDescent="0.25">
      <c r="A8547" s="8" t="s">
        <v>125</v>
      </c>
      <c r="B8547" s="8" t="s">
        <v>138</v>
      </c>
      <c r="C8547" s="8" t="str">
        <f>IFERROR(_xlfn.XLOOKUP(TRIM(B8547),Lookup!$B$2:$B$1000,Lookup!$C$2:$C$1000),"")</f>
        <v>Equity</v>
      </c>
      <c r="D8547" s="8" t="str">
        <f>IFERROR(INDEX('nav master'!$C:$C, MATCH(B8547, 'nav master'!$B:$B, 0)), "")</f>
        <v>ULIF06723/03/18EqtyAdvtFd101</v>
      </c>
      <c r="E8547" s="8" t="s">
        <v>608</v>
      </c>
      <c r="F8547" s="8" t="s">
        <v>4597</v>
      </c>
    </row>
    <row r="8548" spans="1:6" ht="60" x14ac:dyDescent="0.25">
      <c r="A8548" s="8" t="s">
        <v>125</v>
      </c>
      <c r="B8548" s="8" t="s">
        <v>138</v>
      </c>
      <c r="C8548" s="8" t="str">
        <f>IFERROR(_xlfn.XLOOKUP(TRIM(B8548),Lookup!$B$2:$B$1000,Lookup!$C$2:$C$1000),"")</f>
        <v>Equity</v>
      </c>
      <c r="D8548" s="8" t="str">
        <f>IFERROR(INDEX('nav master'!$C:$C, MATCH(B8548, 'nav master'!$B:$B, 0)), "")</f>
        <v>ULIF06723/03/18EqtyAdvtFd101</v>
      </c>
      <c r="E8548" s="8" t="s">
        <v>610</v>
      </c>
      <c r="F8548" s="8" t="s">
        <v>4598</v>
      </c>
    </row>
    <row r="8549" spans="1:6" ht="60" x14ac:dyDescent="0.25">
      <c r="A8549" s="8" t="s">
        <v>125</v>
      </c>
      <c r="B8549" s="8" t="s">
        <v>138</v>
      </c>
      <c r="C8549" s="8" t="str">
        <f>IFERROR(_xlfn.XLOOKUP(TRIM(B8549),Lookup!$B$2:$B$1000,Lookup!$C$2:$C$1000),"")</f>
        <v>Equity</v>
      </c>
      <c r="D8549" s="8" t="str">
        <f>IFERROR(INDEX('nav master'!$C:$C, MATCH(B8549, 'nav master'!$B:$B, 0)), "")</f>
        <v>ULIF06723/03/18EqtyAdvtFd101</v>
      </c>
      <c r="E8549" s="8" t="s">
        <v>612</v>
      </c>
      <c r="F8549" s="8" t="s">
        <v>4599</v>
      </c>
    </row>
    <row r="8550" spans="1:6" ht="60" x14ac:dyDescent="0.25">
      <c r="A8550" s="8" t="s">
        <v>125</v>
      </c>
      <c r="B8550" s="8" t="s">
        <v>138</v>
      </c>
      <c r="C8550" s="8" t="str">
        <f>IFERROR(_xlfn.XLOOKUP(TRIM(B8550),Lookup!$B$2:$B$1000,Lookup!$C$2:$C$1000),"")</f>
        <v>Equity</v>
      </c>
      <c r="D8550" s="8" t="str">
        <f>IFERROR(INDEX('nav master'!$C:$C, MATCH(B8550, 'nav master'!$B:$B, 0)), "")</f>
        <v>ULIF06723/03/18EqtyAdvtFd101</v>
      </c>
      <c r="E8550" s="8" t="s">
        <v>614</v>
      </c>
      <c r="F8550" s="8" t="s">
        <v>4600</v>
      </c>
    </row>
    <row r="8551" spans="1:6" ht="60" x14ac:dyDescent="0.25">
      <c r="A8551" s="8" t="s">
        <v>125</v>
      </c>
      <c r="B8551" s="8" t="s">
        <v>138</v>
      </c>
      <c r="C8551" s="8" t="str">
        <f>IFERROR(_xlfn.XLOOKUP(TRIM(B8551),Lookup!$B$2:$B$1000,Lookup!$C$2:$C$1000),"")</f>
        <v>Equity</v>
      </c>
      <c r="D8551" s="8" t="str">
        <f>IFERROR(INDEX('nav master'!$C:$C, MATCH(B8551, 'nav master'!$B:$B, 0)), "")</f>
        <v>ULIF06723/03/18EqtyAdvtFd101</v>
      </c>
      <c r="E8551" s="8" t="s">
        <v>616</v>
      </c>
      <c r="F8551" s="8" t="s">
        <v>4601</v>
      </c>
    </row>
    <row r="8552" spans="1:6" ht="60" x14ac:dyDescent="0.25">
      <c r="A8552" s="8" t="s">
        <v>125</v>
      </c>
      <c r="B8552" s="8" t="s">
        <v>138</v>
      </c>
      <c r="C8552" s="8" t="str">
        <f>IFERROR(_xlfn.XLOOKUP(TRIM(B8552),Lookup!$B$2:$B$1000,Lookup!$C$2:$C$1000),"")</f>
        <v>Equity</v>
      </c>
      <c r="D8552" s="8" t="str">
        <f>IFERROR(INDEX('nav master'!$C:$C, MATCH(B8552, 'nav master'!$B:$B, 0)), "")</f>
        <v>ULIF06723/03/18EqtyAdvtFd101</v>
      </c>
      <c r="E8552" s="8" t="s">
        <v>618</v>
      </c>
      <c r="F8552" s="8" t="s">
        <v>4602</v>
      </c>
    </row>
    <row r="8553" spans="1:6" ht="60" x14ac:dyDescent="0.25">
      <c r="A8553" s="8" t="s">
        <v>125</v>
      </c>
      <c r="B8553" s="8" t="s">
        <v>138</v>
      </c>
      <c r="C8553" s="8" t="str">
        <f>IFERROR(_xlfn.XLOOKUP(TRIM(B8553),Lookup!$B$2:$B$1000,Lookup!$C$2:$C$1000),"")</f>
        <v>Equity</v>
      </c>
      <c r="D8553" s="8" t="str">
        <f>IFERROR(INDEX('nav master'!$C:$C, MATCH(B8553, 'nav master'!$B:$B, 0)), "")</f>
        <v>ULIF06723/03/18EqtyAdvtFd101</v>
      </c>
      <c r="E8553" s="8" t="s">
        <v>620</v>
      </c>
      <c r="F8553" s="8" t="s">
        <v>4603</v>
      </c>
    </row>
    <row r="8554" spans="1:6" ht="60" x14ac:dyDescent="0.25">
      <c r="A8554" s="8" t="s">
        <v>125</v>
      </c>
      <c r="B8554" s="8" t="s">
        <v>138</v>
      </c>
      <c r="C8554" s="8" t="str">
        <f>IFERROR(_xlfn.XLOOKUP(TRIM(B8554),Lookup!$B$2:$B$1000,Lookup!$C$2:$C$1000),"")</f>
        <v>Equity</v>
      </c>
      <c r="D8554" s="8" t="str">
        <f>IFERROR(INDEX('nav master'!$C:$C, MATCH(B8554, 'nav master'!$B:$B, 0)), "")</f>
        <v>ULIF06723/03/18EqtyAdvtFd101</v>
      </c>
      <c r="E8554" s="8" t="s">
        <v>622</v>
      </c>
      <c r="F8554" s="8" t="s">
        <v>4604</v>
      </c>
    </row>
    <row r="8555" spans="1:6" ht="60" x14ac:dyDescent="0.25">
      <c r="A8555" s="8" t="s">
        <v>125</v>
      </c>
      <c r="B8555" s="8" t="s">
        <v>138</v>
      </c>
      <c r="C8555" s="8" t="str">
        <f>IFERROR(_xlfn.XLOOKUP(TRIM(B8555),Lookup!$B$2:$B$1000,Lookup!$C$2:$C$1000),"")</f>
        <v>Equity</v>
      </c>
      <c r="D8555" s="8" t="str">
        <f>IFERROR(INDEX('nav master'!$C:$C, MATCH(B8555, 'nav master'!$B:$B, 0)), "")</f>
        <v>ULIF06723/03/18EqtyAdvtFd101</v>
      </c>
      <c r="E8555" s="8" t="s">
        <v>624</v>
      </c>
      <c r="F8555" s="8" t="s">
        <v>4605</v>
      </c>
    </row>
    <row r="8556" spans="1:6" ht="60" x14ac:dyDescent="0.25">
      <c r="A8556" s="8" t="s">
        <v>125</v>
      </c>
      <c r="B8556" s="8" t="s">
        <v>138</v>
      </c>
      <c r="C8556" s="8" t="str">
        <f>IFERROR(_xlfn.XLOOKUP(TRIM(B8556),Lookup!$B$2:$B$1000,Lookup!$C$2:$C$1000),"")</f>
        <v>Equity</v>
      </c>
      <c r="D8556" s="8" t="str">
        <f>IFERROR(INDEX('nav master'!$C:$C, MATCH(B8556, 'nav master'!$B:$B, 0)), "")</f>
        <v>ULIF06723/03/18EqtyAdvtFd101</v>
      </c>
      <c r="E8556" s="8" t="s">
        <v>626</v>
      </c>
      <c r="F8556" s="8" t="s">
        <v>4606</v>
      </c>
    </row>
    <row r="8557" spans="1:6" ht="60" x14ac:dyDescent="0.25">
      <c r="A8557" s="8" t="s">
        <v>125</v>
      </c>
      <c r="B8557" s="8" t="s">
        <v>138</v>
      </c>
      <c r="C8557" s="8" t="str">
        <f>IFERROR(_xlfn.XLOOKUP(TRIM(B8557),Lookup!$B$2:$B$1000,Lookup!$C$2:$C$1000),"")</f>
        <v>Equity</v>
      </c>
      <c r="D8557" s="8" t="str">
        <f>IFERROR(INDEX('nav master'!$C:$C, MATCH(B8557, 'nav master'!$B:$B, 0)), "")</f>
        <v>ULIF06723/03/18EqtyAdvtFd101</v>
      </c>
      <c r="E8557" s="8" t="s">
        <v>628</v>
      </c>
      <c r="F8557" s="8" t="s">
        <v>4607</v>
      </c>
    </row>
    <row r="8558" spans="1:6" ht="60" x14ac:dyDescent="0.25">
      <c r="A8558" s="8" t="s">
        <v>125</v>
      </c>
      <c r="B8558" s="8" t="s">
        <v>138</v>
      </c>
      <c r="C8558" s="8" t="str">
        <f>IFERROR(_xlfn.XLOOKUP(TRIM(B8558),Lookup!$B$2:$B$1000,Lookup!$C$2:$C$1000),"")</f>
        <v>Equity</v>
      </c>
      <c r="D8558" s="8" t="str">
        <f>IFERROR(INDEX('nav master'!$C:$C, MATCH(B8558, 'nav master'!$B:$B, 0)), "")</f>
        <v>ULIF06723/03/18EqtyAdvtFd101</v>
      </c>
      <c r="E8558" s="8" t="s">
        <v>630</v>
      </c>
      <c r="F8558" s="8" t="s">
        <v>4608</v>
      </c>
    </row>
    <row r="8559" spans="1:6" ht="60" x14ac:dyDescent="0.25">
      <c r="A8559" s="8" t="s">
        <v>125</v>
      </c>
      <c r="B8559" s="8" t="s">
        <v>138</v>
      </c>
      <c r="C8559" s="8" t="str">
        <f>IFERROR(_xlfn.XLOOKUP(TRIM(B8559),Lookup!$B$2:$B$1000,Lookup!$C$2:$C$1000),"")</f>
        <v>Equity</v>
      </c>
      <c r="D8559" s="8" t="str">
        <f>IFERROR(INDEX('nav master'!$C:$C, MATCH(B8559, 'nav master'!$B:$B, 0)), "")</f>
        <v>ULIF06723/03/18EqtyAdvtFd101</v>
      </c>
      <c r="E8559" s="8" t="s">
        <v>632</v>
      </c>
      <c r="F8559" s="8" t="s">
        <v>4609</v>
      </c>
    </row>
    <row r="8560" spans="1:6" ht="60" x14ac:dyDescent="0.25">
      <c r="A8560" s="8" t="s">
        <v>125</v>
      </c>
      <c r="B8560" s="8" t="s">
        <v>138</v>
      </c>
      <c r="C8560" s="8" t="str">
        <f>IFERROR(_xlfn.XLOOKUP(TRIM(B8560),Lookup!$B$2:$B$1000,Lookup!$C$2:$C$1000),"")</f>
        <v>Equity</v>
      </c>
      <c r="D8560" s="8" t="str">
        <f>IFERROR(INDEX('nav master'!$C:$C, MATCH(B8560, 'nav master'!$B:$B, 0)), "")</f>
        <v>ULIF06723/03/18EqtyAdvtFd101</v>
      </c>
      <c r="E8560" s="8" t="s">
        <v>634</v>
      </c>
      <c r="F8560" s="8" t="s">
        <v>4610</v>
      </c>
    </row>
    <row r="8561" spans="1:6" ht="60" x14ac:dyDescent="0.25">
      <c r="A8561" s="8" t="s">
        <v>125</v>
      </c>
      <c r="B8561" s="8" t="s">
        <v>138</v>
      </c>
      <c r="C8561" s="8" t="str">
        <f>IFERROR(_xlfn.XLOOKUP(TRIM(B8561),Lookup!$B$2:$B$1000,Lookup!$C$2:$C$1000),"")</f>
        <v>Equity</v>
      </c>
      <c r="D8561" s="8" t="str">
        <f>IFERROR(INDEX('nav master'!$C:$C, MATCH(B8561, 'nav master'!$B:$B, 0)), "")</f>
        <v>ULIF06723/03/18EqtyAdvtFd101</v>
      </c>
      <c r="E8561" s="8" t="s">
        <v>636</v>
      </c>
      <c r="F8561" s="8" t="s">
        <v>4611</v>
      </c>
    </row>
    <row r="8562" spans="1:6" ht="60" x14ac:dyDescent="0.25">
      <c r="A8562" s="8" t="s">
        <v>125</v>
      </c>
      <c r="B8562" s="8" t="s">
        <v>138</v>
      </c>
      <c r="C8562" s="8" t="str">
        <f>IFERROR(_xlfn.XLOOKUP(TRIM(B8562),Lookup!$B$2:$B$1000,Lookup!$C$2:$C$1000),"")</f>
        <v>Equity</v>
      </c>
      <c r="D8562" s="8" t="str">
        <f>IFERROR(INDEX('nav master'!$C:$C, MATCH(B8562, 'nav master'!$B:$B, 0)), "")</f>
        <v>ULIF06723/03/18EqtyAdvtFd101</v>
      </c>
      <c r="E8562" s="8" t="s">
        <v>638</v>
      </c>
      <c r="F8562" s="8" t="s">
        <v>4612</v>
      </c>
    </row>
    <row r="8563" spans="1:6" ht="60" x14ac:dyDescent="0.25">
      <c r="A8563" s="8" t="s">
        <v>125</v>
      </c>
      <c r="B8563" s="8" t="s">
        <v>138</v>
      </c>
      <c r="C8563" s="8" t="str">
        <f>IFERROR(_xlfn.XLOOKUP(TRIM(B8563),Lookup!$B$2:$B$1000,Lookup!$C$2:$C$1000),"")</f>
        <v>Equity</v>
      </c>
      <c r="D8563" s="8" t="str">
        <f>IFERROR(INDEX('nav master'!$C:$C, MATCH(B8563, 'nav master'!$B:$B, 0)), "")</f>
        <v>ULIF06723/03/18EqtyAdvtFd101</v>
      </c>
      <c r="E8563" s="8" t="s">
        <v>640</v>
      </c>
      <c r="F8563" s="8" t="s">
        <v>4613</v>
      </c>
    </row>
    <row r="8564" spans="1:6" ht="60" x14ac:dyDescent="0.25">
      <c r="A8564" s="8" t="s">
        <v>125</v>
      </c>
      <c r="B8564" s="8" t="s">
        <v>138</v>
      </c>
      <c r="C8564" s="8" t="str">
        <f>IFERROR(_xlfn.XLOOKUP(TRIM(B8564),Lookup!$B$2:$B$1000,Lookup!$C$2:$C$1000),"")</f>
        <v>Equity</v>
      </c>
      <c r="D8564" s="8" t="str">
        <f>IFERROR(INDEX('nav master'!$C:$C, MATCH(B8564, 'nav master'!$B:$B, 0)), "")</f>
        <v>ULIF06723/03/18EqtyAdvtFd101</v>
      </c>
      <c r="E8564" s="8" t="s">
        <v>642</v>
      </c>
      <c r="F8564" s="8" t="s">
        <v>4614</v>
      </c>
    </row>
    <row r="8565" spans="1:6" ht="60" x14ac:dyDescent="0.25">
      <c r="A8565" s="8" t="s">
        <v>125</v>
      </c>
      <c r="B8565" s="8" t="s">
        <v>138</v>
      </c>
      <c r="C8565" s="8" t="str">
        <f>IFERROR(_xlfn.XLOOKUP(TRIM(B8565),Lookup!$B$2:$B$1000,Lookup!$C$2:$C$1000),"")</f>
        <v>Equity</v>
      </c>
      <c r="D8565" s="8" t="str">
        <f>IFERROR(INDEX('nav master'!$C:$C, MATCH(B8565, 'nav master'!$B:$B, 0)), "")</f>
        <v>ULIF06723/03/18EqtyAdvtFd101</v>
      </c>
      <c r="E8565" s="8" t="s">
        <v>644</v>
      </c>
      <c r="F8565" s="8" t="s">
        <v>4615</v>
      </c>
    </row>
    <row r="8566" spans="1:6" ht="60" x14ac:dyDescent="0.25">
      <c r="A8566" s="8" t="s">
        <v>125</v>
      </c>
      <c r="B8566" s="8" t="s">
        <v>138</v>
      </c>
      <c r="C8566" s="8" t="str">
        <f>IFERROR(_xlfn.XLOOKUP(TRIM(B8566),Lookup!$B$2:$B$1000,Lookup!$C$2:$C$1000),"")</f>
        <v>Equity</v>
      </c>
      <c r="D8566" s="8" t="str">
        <f>IFERROR(INDEX('nav master'!$C:$C, MATCH(B8566, 'nav master'!$B:$B, 0)), "")</f>
        <v>ULIF06723/03/18EqtyAdvtFd101</v>
      </c>
      <c r="E8566" s="8" t="s">
        <v>646</v>
      </c>
      <c r="F8566" s="8" t="s">
        <v>4616</v>
      </c>
    </row>
    <row r="8567" spans="1:6" ht="60" x14ac:dyDescent="0.25">
      <c r="A8567" s="8" t="s">
        <v>125</v>
      </c>
      <c r="B8567" s="8" t="s">
        <v>138</v>
      </c>
      <c r="C8567" s="8" t="str">
        <f>IFERROR(_xlfn.XLOOKUP(TRIM(B8567),Lookup!$B$2:$B$1000,Lookup!$C$2:$C$1000),"")</f>
        <v>Equity</v>
      </c>
      <c r="D8567" s="8" t="str">
        <f>IFERROR(INDEX('nav master'!$C:$C, MATCH(B8567, 'nav master'!$B:$B, 0)), "")</f>
        <v>ULIF06723/03/18EqtyAdvtFd101</v>
      </c>
      <c r="E8567" s="8" t="s">
        <v>648</v>
      </c>
      <c r="F8567" s="8" t="s">
        <v>4617</v>
      </c>
    </row>
    <row r="8568" spans="1:6" ht="60" x14ac:dyDescent="0.25">
      <c r="A8568" s="8" t="s">
        <v>125</v>
      </c>
      <c r="B8568" s="8" t="s">
        <v>138</v>
      </c>
      <c r="C8568" s="8" t="str">
        <f>IFERROR(_xlfn.XLOOKUP(TRIM(B8568),Lookup!$B$2:$B$1000,Lookup!$C$2:$C$1000),"")</f>
        <v>Equity</v>
      </c>
      <c r="D8568" s="8" t="str">
        <f>IFERROR(INDEX('nav master'!$C:$C, MATCH(B8568, 'nav master'!$B:$B, 0)), "")</f>
        <v>ULIF06723/03/18EqtyAdvtFd101</v>
      </c>
      <c r="E8568" s="8" t="s">
        <v>650</v>
      </c>
      <c r="F8568" s="8" t="s">
        <v>4618</v>
      </c>
    </row>
    <row r="8569" spans="1:6" ht="60" x14ac:dyDescent="0.25">
      <c r="A8569" s="8" t="s">
        <v>125</v>
      </c>
      <c r="B8569" s="8" t="s">
        <v>138</v>
      </c>
      <c r="C8569" s="8" t="str">
        <f>IFERROR(_xlfn.XLOOKUP(TRIM(B8569),Lookup!$B$2:$B$1000,Lookup!$C$2:$C$1000),"")</f>
        <v>Equity</v>
      </c>
      <c r="D8569" s="8" t="str">
        <f>IFERROR(INDEX('nav master'!$C:$C, MATCH(B8569, 'nav master'!$B:$B, 0)), "")</f>
        <v>ULIF06723/03/18EqtyAdvtFd101</v>
      </c>
      <c r="E8569" s="8" t="s">
        <v>652</v>
      </c>
      <c r="F8569" s="8" t="s">
        <v>4619</v>
      </c>
    </row>
    <row r="8570" spans="1:6" ht="60" x14ac:dyDescent="0.25">
      <c r="A8570" s="8" t="s">
        <v>125</v>
      </c>
      <c r="B8570" s="8" t="s">
        <v>138</v>
      </c>
      <c r="C8570" s="8" t="str">
        <f>IFERROR(_xlfn.XLOOKUP(TRIM(B8570),Lookup!$B$2:$B$1000,Lookup!$C$2:$C$1000),"")</f>
        <v>Equity</v>
      </c>
      <c r="D8570" s="8" t="str">
        <f>IFERROR(INDEX('nav master'!$C:$C, MATCH(B8570, 'nav master'!$B:$B, 0)), "")</f>
        <v>ULIF06723/03/18EqtyAdvtFd101</v>
      </c>
      <c r="E8570" s="8" t="s">
        <v>654</v>
      </c>
      <c r="F8570" s="8" t="s">
        <v>4620</v>
      </c>
    </row>
    <row r="8571" spans="1:6" ht="60" x14ac:dyDescent="0.25">
      <c r="A8571" s="8" t="s">
        <v>125</v>
      </c>
      <c r="B8571" s="8" t="s">
        <v>138</v>
      </c>
      <c r="C8571" s="8" t="str">
        <f>IFERROR(_xlfn.XLOOKUP(TRIM(B8571),Lookup!$B$2:$B$1000,Lookup!$C$2:$C$1000),"")</f>
        <v>Equity</v>
      </c>
      <c r="D8571" s="8" t="str">
        <f>IFERROR(INDEX('nav master'!$C:$C, MATCH(B8571, 'nav master'!$B:$B, 0)), "")</f>
        <v>ULIF06723/03/18EqtyAdvtFd101</v>
      </c>
      <c r="E8571" s="8" t="s">
        <v>656</v>
      </c>
      <c r="F8571" s="8" t="s">
        <v>4621</v>
      </c>
    </row>
    <row r="8572" spans="1:6" ht="60" x14ac:dyDescent="0.25">
      <c r="A8572" s="8" t="s">
        <v>125</v>
      </c>
      <c r="B8572" s="8" t="s">
        <v>138</v>
      </c>
      <c r="C8572" s="8" t="str">
        <f>IFERROR(_xlfn.XLOOKUP(TRIM(B8572),Lookup!$B$2:$B$1000,Lookup!$C$2:$C$1000),"")</f>
        <v>Equity</v>
      </c>
      <c r="D8572" s="8" t="str">
        <f>IFERROR(INDEX('nav master'!$C:$C, MATCH(B8572, 'nav master'!$B:$B, 0)), "")</f>
        <v>ULIF06723/03/18EqtyAdvtFd101</v>
      </c>
      <c r="E8572" s="8" t="s">
        <v>658</v>
      </c>
      <c r="F8572" s="8" t="s">
        <v>4622</v>
      </c>
    </row>
    <row r="8573" spans="1:6" ht="60" x14ac:dyDescent="0.25">
      <c r="A8573" s="8" t="s">
        <v>125</v>
      </c>
      <c r="B8573" s="8" t="s">
        <v>138</v>
      </c>
      <c r="C8573" s="8" t="str">
        <f>IFERROR(_xlfn.XLOOKUP(TRIM(B8573),Lookup!$B$2:$B$1000,Lookup!$C$2:$C$1000),"")</f>
        <v>Equity</v>
      </c>
      <c r="D8573" s="8" t="str">
        <f>IFERROR(INDEX('nav master'!$C:$C, MATCH(B8573, 'nav master'!$B:$B, 0)), "")</f>
        <v>ULIF06723/03/18EqtyAdvtFd101</v>
      </c>
      <c r="E8573" s="8" t="s">
        <v>660</v>
      </c>
      <c r="F8573" s="8" t="s">
        <v>4623</v>
      </c>
    </row>
    <row r="8574" spans="1:6" ht="60" x14ac:dyDescent="0.25">
      <c r="A8574" s="8" t="s">
        <v>125</v>
      </c>
      <c r="B8574" s="8" t="s">
        <v>138</v>
      </c>
      <c r="C8574" s="8" t="str">
        <f>IFERROR(_xlfn.XLOOKUP(TRIM(B8574),Lookup!$B$2:$B$1000,Lookup!$C$2:$C$1000),"")</f>
        <v>Equity</v>
      </c>
      <c r="D8574" s="8" t="str">
        <f>IFERROR(INDEX('nav master'!$C:$C, MATCH(B8574, 'nav master'!$B:$B, 0)), "")</f>
        <v>ULIF06723/03/18EqtyAdvtFd101</v>
      </c>
      <c r="E8574" s="8" t="s">
        <v>662</v>
      </c>
      <c r="F8574" s="8" t="s">
        <v>4624</v>
      </c>
    </row>
    <row r="8575" spans="1:6" ht="60" x14ac:dyDescent="0.25">
      <c r="A8575" s="8" t="s">
        <v>125</v>
      </c>
      <c r="B8575" s="8" t="s">
        <v>138</v>
      </c>
      <c r="C8575" s="8" t="str">
        <f>IFERROR(_xlfn.XLOOKUP(TRIM(B8575),Lookup!$B$2:$B$1000,Lookup!$C$2:$C$1000),"")</f>
        <v>Equity</v>
      </c>
      <c r="D8575" s="8" t="str">
        <f>IFERROR(INDEX('nav master'!$C:$C, MATCH(B8575, 'nav master'!$B:$B, 0)), "")</f>
        <v>ULIF06723/03/18EqtyAdvtFd101</v>
      </c>
      <c r="E8575" s="8" t="s">
        <v>664</v>
      </c>
      <c r="F8575" s="8" t="s">
        <v>4625</v>
      </c>
    </row>
    <row r="8576" spans="1:6" ht="60" x14ac:dyDescent="0.25">
      <c r="A8576" s="8" t="s">
        <v>125</v>
      </c>
      <c r="B8576" s="8" t="s">
        <v>138</v>
      </c>
      <c r="C8576" s="8" t="str">
        <f>IFERROR(_xlfn.XLOOKUP(TRIM(B8576),Lookup!$B$2:$B$1000,Lookup!$C$2:$C$1000),"")</f>
        <v>Equity</v>
      </c>
      <c r="D8576" s="8" t="str">
        <f>IFERROR(INDEX('nav master'!$C:$C, MATCH(B8576, 'nav master'!$B:$B, 0)), "")</f>
        <v>ULIF06723/03/18EqtyAdvtFd101</v>
      </c>
      <c r="E8576" s="8" t="s">
        <v>4892</v>
      </c>
      <c r="F8576" s="8" t="s">
        <v>5037</v>
      </c>
    </row>
    <row r="8577" spans="1:6" ht="60" x14ac:dyDescent="0.25">
      <c r="A8577" s="8" t="s">
        <v>125</v>
      </c>
      <c r="B8577" s="8" t="s">
        <v>138</v>
      </c>
      <c r="C8577" s="8" t="str">
        <f>IFERROR(_xlfn.XLOOKUP(TRIM(B8577),Lookup!$B$2:$B$1000,Lookup!$C$2:$C$1000),"")</f>
        <v>Equity</v>
      </c>
      <c r="D8577" s="8" t="str">
        <f>IFERROR(INDEX('nav master'!$C:$C, MATCH(B8577, 'nav master'!$B:$B, 0)), "")</f>
        <v>ULIF06723/03/18EqtyAdvtFd101</v>
      </c>
      <c r="E8577" s="8" t="s">
        <v>4894</v>
      </c>
      <c r="F8577" s="8" t="s">
        <v>5038</v>
      </c>
    </row>
    <row r="8578" spans="1:6" ht="60" x14ac:dyDescent="0.25">
      <c r="A8578" s="8" t="s">
        <v>125</v>
      </c>
      <c r="B8578" s="8" t="s">
        <v>138</v>
      </c>
      <c r="C8578" s="8" t="str">
        <f>IFERROR(_xlfn.XLOOKUP(TRIM(B8578),Lookup!$B$2:$B$1000,Lookup!$C$2:$C$1000),"")</f>
        <v>Equity</v>
      </c>
      <c r="D8578" s="8" t="str">
        <f>IFERROR(INDEX('nav master'!$C:$C, MATCH(B8578, 'nav master'!$B:$B, 0)), "")</f>
        <v>ULIF06723/03/18EqtyAdvtFd101</v>
      </c>
      <c r="E8578" s="8" t="s">
        <v>4896</v>
      </c>
      <c r="F8578" s="8" t="s">
        <v>5039</v>
      </c>
    </row>
    <row r="8579" spans="1:6" ht="60" x14ac:dyDescent="0.25">
      <c r="A8579" s="8" t="s">
        <v>125</v>
      </c>
      <c r="B8579" s="8" t="s">
        <v>138</v>
      </c>
      <c r="C8579" s="8" t="str">
        <f>IFERROR(_xlfn.XLOOKUP(TRIM(B8579),Lookup!$B$2:$B$1000,Lookup!$C$2:$C$1000),"")</f>
        <v>Equity</v>
      </c>
      <c r="D8579" s="8" t="str">
        <f>IFERROR(INDEX('nav master'!$C:$C, MATCH(B8579, 'nav master'!$B:$B, 0)), "")</f>
        <v>ULIF06723/03/18EqtyAdvtFd101</v>
      </c>
      <c r="E8579" s="8" t="s">
        <v>4898</v>
      </c>
      <c r="F8579" s="8" t="s">
        <v>5040</v>
      </c>
    </row>
    <row r="8580" spans="1:6" ht="60" x14ac:dyDescent="0.25">
      <c r="A8580" s="8" t="s">
        <v>125</v>
      </c>
      <c r="B8580" s="8" t="s">
        <v>138</v>
      </c>
      <c r="C8580" s="8" t="str">
        <f>IFERROR(_xlfn.XLOOKUP(TRIM(B8580),Lookup!$B$2:$B$1000,Lookup!$C$2:$C$1000),"")</f>
        <v>Equity</v>
      </c>
      <c r="D8580" s="8" t="str">
        <f>IFERROR(INDEX('nav master'!$C:$C, MATCH(B8580, 'nav master'!$B:$B, 0)), "")</f>
        <v>ULIF06723/03/18EqtyAdvtFd101</v>
      </c>
      <c r="E8580" s="8" t="s">
        <v>4900</v>
      </c>
      <c r="F8580" s="8" t="s">
        <v>5041</v>
      </c>
    </row>
    <row r="8581" spans="1:6" ht="60" x14ac:dyDescent="0.25">
      <c r="A8581" s="8" t="s">
        <v>125</v>
      </c>
      <c r="B8581" s="8" t="s">
        <v>138</v>
      </c>
      <c r="C8581" s="8" t="str">
        <f>IFERROR(_xlfn.XLOOKUP(TRIM(B8581),Lookup!$B$2:$B$1000,Lookup!$C$2:$C$1000),"")</f>
        <v>Equity</v>
      </c>
      <c r="D8581" s="8" t="str">
        <f>IFERROR(INDEX('nav master'!$C:$C, MATCH(B8581, 'nav master'!$B:$B, 0)), "")</f>
        <v>ULIF06723/03/18EqtyAdvtFd101</v>
      </c>
      <c r="E8581" s="8" t="s">
        <v>4902</v>
      </c>
      <c r="F8581" s="8" t="s">
        <v>5042</v>
      </c>
    </row>
    <row r="8582" spans="1:6" ht="60" x14ac:dyDescent="0.25">
      <c r="A8582" s="8" t="s">
        <v>125</v>
      </c>
      <c r="B8582" s="8" t="s">
        <v>138</v>
      </c>
      <c r="C8582" s="8" t="str">
        <f>IFERROR(_xlfn.XLOOKUP(TRIM(B8582),Lookup!$B$2:$B$1000,Lookup!$C$2:$C$1000),"")</f>
        <v>Equity</v>
      </c>
      <c r="D8582" s="8" t="str">
        <f>IFERROR(INDEX('nav master'!$C:$C, MATCH(B8582, 'nav master'!$B:$B, 0)), "")</f>
        <v>ULIF06723/03/18EqtyAdvtFd101</v>
      </c>
      <c r="E8582" s="8" t="s">
        <v>4903</v>
      </c>
      <c r="F8582" s="8" t="s">
        <v>5043</v>
      </c>
    </row>
    <row r="8583" spans="1:6" ht="60" x14ac:dyDescent="0.25">
      <c r="A8583" s="8" t="s">
        <v>125</v>
      </c>
      <c r="B8583" s="8" t="s">
        <v>138</v>
      </c>
      <c r="C8583" s="8" t="str">
        <f>IFERROR(_xlfn.XLOOKUP(TRIM(B8583),Lookup!$B$2:$B$1000,Lookup!$C$2:$C$1000),"")</f>
        <v>Equity</v>
      </c>
      <c r="D8583" s="8" t="str">
        <f>IFERROR(INDEX('nav master'!$C:$C, MATCH(B8583, 'nav master'!$B:$B, 0)), "")</f>
        <v>ULIF06723/03/18EqtyAdvtFd101</v>
      </c>
      <c r="E8583" s="8" t="s">
        <v>4905</v>
      </c>
      <c r="F8583" s="8" t="s">
        <v>5044</v>
      </c>
    </row>
    <row r="8584" spans="1:6" ht="60" x14ac:dyDescent="0.25">
      <c r="A8584" s="8" t="s">
        <v>125</v>
      </c>
      <c r="B8584" s="8" t="s">
        <v>4865</v>
      </c>
      <c r="C8584" s="8" t="str">
        <f>IFERROR(_xlfn.XLOOKUP(TRIM(B8584),Lookup!$B$2:$B$1000,Lookup!$C$2:$C$1000),"")</f>
        <v>Equity</v>
      </c>
      <c r="D8584" s="8" t="str">
        <f>IFERROR(INDEX('nav master'!$C:$C, MATCH(B8584, 'nav master'!$B:$B, 0)), "")</f>
        <v/>
      </c>
      <c r="E8584" s="8" t="s">
        <v>616</v>
      </c>
      <c r="F8584" s="8" t="s">
        <v>5052</v>
      </c>
    </row>
    <row r="8585" spans="1:6" ht="60" x14ac:dyDescent="0.25">
      <c r="A8585" s="8" t="s">
        <v>125</v>
      </c>
      <c r="B8585" s="8" t="s">
        <v>4865</v>
      </c>
      <c r="C8585" s="8" t="str">
        <f>IFERROR(_xlfn.XLOOKUP(TRIM(B8585),Lookup!$B$2:$B$1000,Lookup!$C$2:$C$1000),"")</f>
        <v>Equity</v>
      </c>
      <c r="D8585" s="8" t="str">
        <f>IFERROR(INDEX('nav master'!$C:$C, MATCH(B8585, 'nav master'!$B:$B, 0)), "")</f>
        <v/>
      </c>
      <c r="E8585" s="8" t="s">
        <v>618</v>
      </c>
      <c r="F8585" s="8" t="s">
        <v>5053</v>
      </c>
    </row>
    <row r="8586" spans="1:6" ht="60" x14ac:dyDescent="0.25">
      <c r="A8586" s="8" t="s">
        <v>125</v>
      </c>
      <c r="B8586" s="8" t="s">
        <v>4865</v>
      </c>
      <c r="C8586" s="8" t="str">
        <f>IFERROR(_xlfn.XLOOKUP(TRIM(B8586),Lookup!$B$2:$B$1000,Lookup!$C$2:$C$1000),"")</f>
        <v>Equity</v>
      </c>
      <c r="D8586" s="8" t="str">
        <f>IFERROR(INDEX('nav master'!$C:$C, MATCH(B8586, 'nav master'!$B:$B, 0)), "")</f>
        <v/>
      </c>
      <c r="E8586" s="8" t="s">
        <v>620</v>
      </c>
      <c r="F8586" s="8" t="s">
        <v>1624</v>
      </c>
    </row>
    <row r="8587" spans="1:6" ht="60" x14ac:dyDescent="0.25">
      <c r="A8587" s="8" t="s">
        <v>125</v>
      </c>
      <c r="B8587" s="8" t="s">
        <v>4865</v>
      </c>
      <c r="C8587" s="8" t="str">
        <f>IFERROR(_xlfn.XLOOKUP(TRIM(B8587),Lookup!$B$2:$B$1000,Lookup!$C$2:$C$1000),"")</f>
        <v>Equity</v>
      </c>
      <c r="D8587" s="8" t="str">
        <f>IFERROR(INDEX('nav master'!$C:$C, MATCH(B8587, 'nav master'!$B:$B, 0)), "")</f>
        <v/>
      </c>
      <c r="E8587" s="8" t="s">
        <v>622</v>
      </c>
      <c r="F8587" s="8" t="s">
        <v>5054</v>
      </c>
    </row>
    <row r="8588" spans="1:6" ht="60" x14ac:dyDescent="0.25">
      <c r="A8588" s="8" t="s">
        <v>125</v>
      </c>
      <c r="B8588" s="8" t="s">
        <v>4865</v>
      </c>
      <c r="C8588" s="8" t="str">
        <f>IFERROR(_xlfn.XLOOKUP(TRIM(B8588),Lookup!$B$2:$B$1000,Lookup!$C$2:$C$1000),"")</f>
        <v>Equity</v>
      </c>
      <c r="D8588" s="8" t="str">
        <f>IFERROR(INDEX('nav master'!$C:$C, MATCH(B8588, 'nav master'!$B:$B, 0)), "")</f>
        <v/>
      </c>
      <c r="E8588" s="8" t="s">
        <v>624</v>
      </c>
      <c r="F8588" s="8" t="s">
        <v>5052</v>
      </c>
    </row>
    <row r="8589" spans="1:6" ht="60" x14ac:dyDescent="0.25">
      <c r="A8589" s="8" t="s">
        <v>125</v>
      </c>
      <c r="B8589" s="8" t="s">
        <v>4865</v>
      </c>
      <c r="C8589" s="8" t="str">
        <f>IFERROR(_xlfn.XLOOKUP(TRIM(B8589),Lookup!$B$2:$B$1000,Lookup!$C$2:$C$1000),"")</f>
        <v>Equity</v>
      </c>
      <c r="D8589" s="8" t="str">
        <f>IFERROR(INDEX('nav master'!$C:$C, MATCH(B8589, 'nav master'!$B:$B, 0)), "")</f>
        <v/>
      </c>
      <c r="E8589" s="8" t="s">
        <v>626</v>
      </c>
      <c r="F8589" s="8" t="s">
        <v>5055</v>
      </c>
    </row>
    <row r="8590" spans="1:6" ht="60" x14ac:dyDescent="0.25">
      <c r="A8590" s="8" t="s">
        <v>125</v>
      </c>
      <c r="B8590" s="8" t="s">
        <v>4865</v>
      </c>
      <c r="C8590" s="8" t="str">
        <f>IFERROR(_xlfn.XLOOKUP(TRIM(B8590),Lookup!$B$2:$B$1000,Lookup!$C$2:$C$1000),"")</f>
        <v>Equity</v>
      </c>
      <c r="D8590" s="8" t="str">
        <f>IFERROR(INDEX('nav master'!$C:$C, MATCH(B8590, 'nav master'!$B:$B, 0)), "")</f>
        <v/>
      </c>
      <c r="E8590" s="8" t="s">
        <v>628</v>
      </c>
      <c r="F8590" s="8" t="s">
        <v>3019</v>
      </c>
    </row>
    <row r="8591" spans="1:6" ht="60" x14ac:dyDescent="0.25">
      <c r="A8591" s="8" t="s">
        <v>125</v>
      </c>
      <c r="B8591" s="8" t="s">
        <v>4865</v>
      </c>
      <c r="C8591" s="8" t="str">
        <f>IFERROR(_xlfn.XLOOKUP(TRIM(B8591),Lookup!$B$2:$B$1000,Lookup!$C$2:$C$1000),"")</f>
        <v>Equity</v>
      </c>
      <c r="D8591" s="8" t="str">
        <f>IFERROR(INDEX('nav master'!$C:$C, MATCH(B8591, 'nav master'!$B:$B, 0)), "")</f>
        <v/>
      </c>
      <c r="E8591" s="8" t="s">
        <v>630</v>
      </c>
      <c r="F8591" s="8" t="s">
        <v>3008</v>
      </c>
    </row>
    <row r="8592" spans="1:6" ht="60" x14ac:dyDescent="0.25">
      <c r="A8592" s="8" t="s">
        <v>125</v>
      </c>
      <c r="B8592" s="8" t="s">
        <v>4865</v>
      </c>
      <c r="C8592" s="8" t="str">
        <f>IFERROR(_xlfn.XLOOKUP(TRIM(B8592),Lookup!$B$2:$B$1000,Lookup!$C$2:$C$1000),"")</f>
        <v>Equity</v>
      </c>
      <c r="D8592" s="8" t="str">
        <f>IFERROR(INDEX('nav master'!$C:$C, MATCH(B8592, 'nav master'!$B:$B, 0)), "")</f>
        <v/>
      </c>
      <c r="E8592" s="8" t="s">
        <v>632</v>
      </c>
      <c r="F8592" s="8" t="s">
        <v>5056</v>
      </c>
    </row>
    <row r="8593" spans="1:6" ht="60" x14ac:dyDescent="0.25">
      <c r="A8593" s="8" t="s">
        <v>125</v>
      </c>
      <c r="B8593" s="8" t="s">
        <v>4865</v>
      </c>
      <c r="C8593" s="8" t="str">
        <f>IFERROR(_xlfn.XLOOKUP(TRIM(B8593),Lookup!$B$2:$B$1000,Lookup!$C$2:$C$1000),"")</f>
        <v>Equity</v>
      </c>
      <c r="D8593" s="8" t="str">
        <f>IFERROR(INDEX('nav master'!$C:$C, MATCH(B8593, 'nav master'!$B:$B, 0)), "")</f>
        <v/>
      </c>
      <c r="E8593" s="8" t="s">
        <v>634</v>
      </c>
      <c r="F8593" s="8" t="s">
        <v>5057</v>
      </c>
    </row>
    <row r="8594" spans="1:6" ht="60" x14ac:dyDescent="0.25">
      <c r="A8594" s="8" t="s">
        <v>125</v>
      </c>
      <c r="B8594" s="8" t="s">
        <v>4865</v>
      </c>
      <c r="C8594" s="8" t="str">
        <f>IFERROR(_xlfn.XLOOKUP(TRIM(B8594),Lookup!$B$2:$B$1000,Lookup!$C$2:$C$1000),"")</f>
        <v>Equity</v>
      </c>
      <c r="D8594" s="8" t="str">
        <f>IFERROR(INDEX('nav master'!$C:$C, MATCH(B8594, 'nav master'!$B:$B, 0)), "")</f>
        <v/>
      </c>
      <c r="E8594" s="8" t="s">
        <v>636</v>
      </c>
      <c r="F8594" s="8" t="s">
        <v>5058</v>
      </c>
    </row>
    <row r="8595" spans="1:6" ht="60" x14ac:dyDescent="0.25">
      <c r="A8595" s="8" t="s">
        <v>125</v>
      </c>
      <c r="B8595" s="8" t="s">
        <v>4865</v>
      </c>
      <c r="C8595" s="8" t="str">
        <f>IFERROR(_xlfn.XLOOKUP(TRIM(B8595),Lookup!$B$2:$B$1000,Lookup!$C$2:$C$1000),"")</f>
        <v>Equity</v>
      </c>
      <c r="D8595" s="8" t="str">
        <f>IFERROR(INDEX('nav master'!$C:$C, MATCH(B8595, 'nav master'!$B:$B, 0)), "")</f>
        <v/>
      </c>
      <c r="E8595" s="8" t="s">
        <v>638</v>
      </c>
      <c r="F8595" s="8" t="s">
        <v>5059</v>
      </c>
    </row>
    <row r="8596" spans="1:6" ht="60" x14ac:dyDescent="0.25">
      <c r="A8596" s="8" t="s">
        <v>125</v>
      </c>
      <c r="B8596" s="8" t="s">
        <v>4865</v>
      </c>
      <c r="C8596" s="8" t="str">
        <f>IFERROR(_xlfn.XLOOKUP(TRIM(B8596),Lookup!$B$2:$B$1000,Lookup!$C$2:$C$1000),"")</f>
        <v>Equity</v>
      </c>
      <c r="D8596" s="8" t="str">
        <f>IFERROR(INDEX('nav master'!$C:$C, MATCH(B8596, 'nav master'!$B:$B, 0)), "")</f>
        <v/>
      </c>
      <c r="E8596" s="8" t="s">
        <v>640</v>
      </c>
      <c r="F8596" s="8" t="s">
        <v>5060</v>
      </c>
    </row>
    <row r="8597" spans="1:6" ht="60" x14ac:dyDescent="0.25">
      <c r="A8597" s="8" t="s">
        <v>125</v>
      </c>
      <c r="B8597" s="8" t="s">
        <v>4865</v>
      </c>
      <c r="C8597" s="8" t="str">
        <f>IFERROR(_xlfn.XLOOKUP(TRIM(B8597),Lookup!$B$2:$B$1000,Lookup!$C$2:$C$1000),"")</f>
        <v>Equity</v>
      </c>
      <c r="D8597" s="8" t="str">
        <f>IFERROR(INDEX('nav master'!$C:$C, MATCH(B8597, 'nav master'!$B:$B, 0)), "")</f>
        <v/>
      </c>
      <c r="E8597" s="8" t="s">
        <v>642</v>
      </c>
      <c r="F8597" s="8" t="s">
        <v>5061</v>
      </c>
    </row>
    <row r="8598" spans="1:6" ht="60" x14ac:dyDescent="0.25">
      <c r="A8598" s="8" t="s">
        <v>125</v>
      </c>
      <c r="B8598" s="8" t="s">
        <v>4865</v>
      </c>
      <c r="C8598" s="8" t="str">
        <f>IFERROR(_xlfn.XLOOKUP(TRIM(B8598),Lookup!$B$2:$B$1000,Lookup!$C$2:$C$1000),"")</f>
        <v>Equity</v>
      </c>
      <c r="D8598" s="8" t="str">
        <f>IFERROR(INDEX('nav master'!$C:$C, MATCH(B8598, 'nav master'!$B:$B, 0)), "")</f>
        <v/>
      </c>
      <c r="E8598" s="8" t="s">
        <v>644</v>
      </c>
      <c r="F8598" s="8" t="s">
        <v>5062</v>
      </c>
    </row>
    <row r="8599" spans="1:6" ht="60" x14ac:dyDescent="0.25">
      <c r="A8599" s="8" t="s">
        <v>125</v>
      </c>
      <c r="B8599" s="8" t="s">
        <v>4865</v>
      </c>
      <c r="C8599" s="8" t="str">
        <f>IFERROR(_xlfn.XLOOKUP(TRIM(B8599),Lookup!$B$2:$B$1000,Lookup!$C$2:$C$1000),"")</f>
        <v>Equity</v>
      </c>
      <c r="D8599" s="8" t="str">
        <f>IFERROR(INDEX('nav master'!$C:$C, MATCH(B8599, 'nav master'!$B:$B, 0)), "")</f>
        <v/>
      </c>
      <c r="E8599" s="8" t="s">
        <v>646</v>
      </c>
      <c r="F8599" s="8" t="s">
        <v>5063</v>
      </c>
    </row>
    <row r="8600" spans="1:6" ht="60" x14ac:dyDescent="0.25">
      <c r="A8600" s="8" t="s">
        <v>125</v>
      </c>
      <c r="B8600" s="8" t="s">
        <v>4865</v>
      </c>
      <c r="C8600" s="8" t="str">
        <f>IFERROR(_xlfn.XLOOKUP(TRIM(B8600),Lookup!$B$2:$B$1000,Lookup!$C$2:$C$1000),"")</f>
        <v>Equity</v>
      </c>
      <c r="D8600" s="8" t="str">
        <f>IFERROR(INDEX('nav master'!$C:$C, MATCH(B8600, 'nav master'!$B:$B, 0)), "")</f>
        <v/>
      </c>
      <c r="E8600" s="8" t="s">
        <v>648</v>
      </c>
      <c r="F8600" s="8" t="s">
        <v>5064</v>
      </c>
    </row>
    <row r="8601" spans="1:6" ht="60" x14ac:dyDescent="0.25">
      <c r="A8601" s="8" t="s">
        <v>125</v>
      </c>
      <c r="B8601" s="8" t="s">
        <v>4865</v>
      </c>
      <c r="C8601" s="8" t="str">
        <f>IFERROR(_xlfn.XLOOKUP(TRIM(B8601),Lookup!$B$2:$B$1000,Lookup!$C$2:$C$1000),"")</f>
        <v>Equity</v>
      </c>
      <c r="D8601" s="8" t="str">
        <f>IFERROR(INDEX('nav master'!$C:$C, MATCH(B8601, 'nav master'!$B:$B, 0)), "")</f>
        <v/>
      </c>
      <c r="E8601" s="8" t="s">
        <v>650</v>
      </c>
      <c r="F8601" s="8" t="s">
        <v>5065</v>
      </c>
    </row>
    <row r="8602" spans="1:6" ht="60" x14ac:dyDescent="0.25">
      <c r="A8602" s="8" t="s">
        <v>125</v>
      </c>
      <c r="B8602" s="8" t="s">
        <v>4865</v>
      </c>
      <c r="C8602" s="8" t="str">
        <f>IFERROR(_xlfn.XLOOKUP(TRIM(B8602),Lookup!$B$2:$B$1000,Lookup!$C$2:$C$1000),"")</f>
        <v>Equity</v>
      </c>
      <c r="D8602" s="8" t="str">
        <f>IFERROR(INDEX('nav master'!$C:$C, MATCH(B8602, 'nav master'!$B:$B, 0)), "")</f>
        <v/>
      </c>
      <c r="E8602" s="8" t="s">
        <v>652</v>
      </c>
      <c r="F8602" s="8" t="s">
        <v>5066</v>
      </c>
    </row>
    <row r="8603" spans="1:6" ht="60" x14ac:dyDescent="0.25">
      <c r="A8603" s="8" t="s">
        <v>125</v>
      </c>
      <c r="B8603" s="8" t="s">
        <v>4865</v>
      </c>
      <c r="C8603" s="8" t="str">
        <f>IFERROR(_xlfn.XLOOKUP(TRIM(B8603),Lookup!$B$2:$B$1000,Lookup!$C$2:$C$1000),"")</f>
        <v>Equity</v>
      </c>
      <c r="D8603" s="8" t="str">
        <f>IFERROR(INDEX('nav master'!$C:$C, MATCH(B8603, 'nav master'!$B:$B, 0)), "")</f>
        <v/>
      </c>
      <c r="E8603" s="8" t="s">
        <v>654</v>
      </c>
      <c r="F8603" s="8" t="s">
        <v>3044</v>
      </c>
    </row>
    <row r="8604" spans="1:6" ht="60" x14ac:dyDescent="0.25">
      <c r="A8604" s="8" t="s">
        <v>125</v>
      </c>
      <c r="B8604" s="8" t="s">
        <v>4865</v>
      </c>
      <c r="C8604" s="8" t="str">
        <f>IFERROR(_xlfn.XLOOKUP(TRIM(B8604),Lookup!$B$2:$B$1000,Lookup!$C$2:$C$1000),"")</f>
        <v>Equity</v>
      </c>
      <c r="D8604" s="8" t="str">
        <f>IFERROR(INDEX('nav master'!$C:$C, MATCH(B8604, 'nav master'!$B:$B, 0)), "")</f>
        <v/>
      </c>
      <c r="E8604" s="8" t="s">
        <v>656</v>
      </c>
      <c r="F8604" s="8" t="s">
        <v>5067</v>
      </c>
    </row>
    <row r="8605" spans="1:6" ht="60" x14ac:dyDescent="0.25">
      <c r="A8605" s="8" t="s">
        <v>125</v>
      </c>
      <c r="B8605" s="8" t="s">
        <v>4865</v>
      </c>
      <c r="C8605" s="8" t="str">
        <f>IFERROR(_xlfn.XLOOKUP(TRIM(B8605),Lookup!$B$2:$B$1000,Lookup!$C$2:$C$1000),"")</f>
        <v>Equity</v>
      </c>
      <c r="D8605" s="8" t="str">
        <f>IFERROR(INDEX('nav master'!$C:$C, MATCH(B8605, 'nav master'!$B:$B, 0)), "")</f>
        <v/>
      </c>
      <c r="E8605" s="8" t="s">
        <v>658</v>
      </c>
      <c r="F8605" s="8" t="s">
        <v>5068</v>
      </c>
    </row>
    <row r="8606" spans="1:6" ht="60" x14ac:dyDescent="0.25">
      <c r="A8606" s="8" t="s">
        <v>125</v>
      </c>
      <c r="B8606" s="8" t="s">
        <v>4865</v>
      </c>
      <c r="C8606" s="8" t="str">
        <f>IFERROR(_xlfn.XLOOKUP(TRIM(B8606),Lookup!$B$2:$B$1000,Lookup!$C$2:$C$1000),"")</f>
        <v>Equity</v>
      </c>
      <c r="D8606" s="8" t="str">
        <f>IFERROR(INDEX('nav master'!$C:$C, MATCH(B8606, 'nav master'!$B:$B, 0)), "")</f>
        <v/>
      </c>
      <c r="E8606" s="8" t="s">
        <v>660</v>
      </c>
      <c r="F8606" s="8" t="s">
        <v>5069</v>
      </c>
    </row>
    <row r="8607" spans="1:6" ht="60" x14ac:dyDescent="0.25">
      <c r="A8607" s="8" t="s">
        <v>125</v>
      </c>
      <c r="B8607" s="8" t="s">
        <v>4865</v>
      </c>
      <c r="C8607" s="8" t="str">
        <f>IFERROR(_xlfn.XLOOKUP(TRIM(B8607),Lookup!$B$2:$B$1000,Lookup!$C$2:$C$1000),"")</f>
        <v>Equity</v>
      </c>
      <c r="D8607" s="8" t="str">
        <f>IFERROR(INDEX('nav master'!$C:$C, MATCH(B8607, 'nav master'!$B:$B, 0)), "")</f>
        <v/>
      </c>
      <c r="E8607" s="8" t="s">
        <v>662</v>
      </c>
      <c r="F8607" s="8" t="s">
        <v>5070</v>
      </c>
    </row>
    <row r="8608" spans="1:6" ht="60" x14ac:dyDescent="0.25">
      <c r="A8608" s="8" t="s">
        <v>125</v>
      </c>
      <c r="B8608" s="8" t="s">
        <v>4865</v>
      </c>
      <c r="C8608" s="8" t="str">
        <f>IFERROR(_xlfn.XLOOKUP(TRIM(B8608),Lookup!$B$2:$B$1000,Lookup!$C$2:$C$1000),"")</f>
        <v>Equity</v>
      </c>
      <c r="D8608" s="8" t="str">
        <f>IFERROR(INDEX('nav master'!$C:$C, MATCH(B8608, 'nav master'!$B:$B, 0)), "")</f>
        <v/>
      </c>
      <c r="E8608" s="8" t="s">
        <v>664</v>
      </c>
      <c r="F8608" s="8" t="s">
        <v>5071</v>
      </c>
    </row>
    <row r="8609" spans="1:6" ht="60" x14ac:dyDescent="0.25">
      <c r="A8609" s="8" t="s">
        <v>125</v>
      </c>
      <c r="B8609" s="8" t="s">
        <v>4865</v>
      </c>
      <c r="C8609" s="8" t="str">
        <f>IFERROR(_xlfn.XLOOKUP(TRIM(B8609),Lookup!$B$2:$B$1000,Lookup!$C$2:$C$1000),"")</f>
        <v>Equity</v>
      </c>
      <c r="D8609" s="8" t="str">
        <f>IFERROR(INDEX('nav master'!$C:$C, MATCH(B8609, 'nav master'!$B:$B, 0)), "")</f>
        <v/>
      </c>
      <c r="E8609" s="8" t="s">
        <v>4892</v>
      </c>
      <c r="F8609" s="8" t="s">
        <v>5072</v>
      </c>
    </row>
    <row r="8610" spans="1:6" ht="60" x14ac:dyDescent="0.25">
      <c r="A8610" s="8" t="s">
        <v>125</v>
      </c>
      <c r="B8610" s="8" t="s">
        <v>4865</v>
      </c>
      <c r="C8610" s="8" t="str">
        <f>IFERROR(_xlfn.XLOOKUP(TRIM(B8610),Lookup!$B$2:$B$1000,Lookup!$C$2:$C$1000),"")</f>
        <v>Equity</v>
      </c>
      <c r="D8610" s="8" t="str">
        <f>IFERROR(INDEX('nav master'!$C:$C, MATCH(B8610, 'nav master'!$B:$B, 0)), "")</f>
        <v/>
      </c>
      <c r="E8610" s="8" t="s">
        <v>4894</v>
      </c>
      <c r="F8610" s="8" t="s">
        <v>5073</v>
      </c>
    </row>
    <row r="8611" spans="1:6" ht="60" x14ac:dyDescent="0.25">
      <c r="A8611" s="8" t="s">
        <v>125</v>
      </c>
      <c r="B8611" s="8" t="s">
        <v>4865</v>
      </c>
      <c r="C8611" s="8" t="str">
        <f>IFERROR(_xlfn.XLOOKUP(TRIM(B8611),Lookup!$B$2:$B$1000,Lookup!$C$2:$C$1000),"")</f>
        <v>Equity</v>
      </c>
      <c r="D8611" s="8" t="str">
        <f>IFERROR(INDEX('nav master'!$C:$C, MATCH(B8611, 'nav master'!$B:$B, 0)), "")</f>
        <v/>
      </c>
      <c r="E8611" s="8" t="s">
        <v>4896</v>
      </c>
      <c r="F8611" s="8" t="s">
        <v>5074</v>
      </c>
    </row>
    <row r="8612" spans="1:6" ht="60" x14ac:dyDescent="0.25">
      <c r="A8612" s="8" t="s">
        <v>125</v>
      </c>
      <c r="B8612" s="8" t="s">
        <v>4865</v>
      </c>
      <c r="C8612" s="8" t="str">
        <f>IFERROR(_xlfn.XLOOKUP(TRIM(B8612),Lookup!$B$2:$B$1000,Lookup!$C$2:$C$1000),"")</f>
        <v>Equity</v>
      </c>
      <c r="D8612" s="8" t="str">
        <f>IFERROR(INDEX('nav master'!$C:$C, MATCH(B8612, 'nav master'!$B:$B, 0)), "")</f>
        <v/>
      </c>
      <c r="E8612" s="8" t="s">
        <v>4898</v>
      </c>
      <c r="F8612" s="8" t="s">
        <v>5075</v>
      </c>
    </row>
    <row r="8613" spans="1:6" ht="60" x14ac:dyDescent="0.25">
      <c r="A8613" s="8" t="s">
        <v>125</v>
      </c>
      <c r="B8613" s="8" t="s">
        <v>4865</v>
      </c>
      <c r="C8613" s="8" t="str">
        <f>IFERROR(_xlfn.XLOOKUP(TRIM(B8613),Lookup!$B$2:$B$1000,Lookup!$C$2:$C$1000),"")</f>
        <v>Equity</v>
      </c>
      <c r="D8613" s="8" t="str">
        <f>IFERROR(INDEX('nav master'!$C:$C, MATCH(B8613, 'nav master'!$B:$B, 0)), "")</f>
        <v/>
      </c>
      <c r="E8613" s="8" t="s">
        <v>4900</v>
      </c>
      <c r="F8613" s="8" t="s">
        <v>5076</v>
      </c>
    </row>
    <row r="8614" spans="1:6" ht="60" x14ac:dyDescent="0.25">
      <c r="A8614" s="8" t="s">
        <v>125</v>
      </c>
      <c r="B8614" s="8" t="s">
        <v>4865</v>
      </c>
      <c r="C8614" s="8" t="str">
        <f>IFERROR(_xlfn.XLOOKUP(TRIM(B8614),Lookup!$B$2:$B$1000,Lookup!$C$2:$C$1000),"")</f>
        <v>Equity</v>
      </c>
      <c r="D8614" s="8" t="str">
        <f>IFERROR(INDEX('nav master'!$C:$C, MATCH(B8614, 'nav master'!$B:$B, 0)), "")</f>
        <v/>
      </c>
      <c r="E8614" s="8" t="s">
        <v>4902</v>
      </c>
      <c r="F8614" s="8" t="s">
        <v>5077</v>
      </c>
    </row>
    <row r="8615" spans="1:6" ht="60" x14ac:dyDescent="0.25">
      <c r="A8615" s="8" t="s">
        <v>125</v>
      </c>
      <c r="B8615" s="8" t="s">
        <v>4865</v>
      </c>
      <c r="C8615" s="8" t="str">
        <f>IFERROR(_xlfn.XLOOKUP(TRIM(B8615),Lookup!$B$2:$B$1000,Lookup!$C$2:$C$1000),"")</f>
        <v>Equity</v>
      </c>
      <c r="D8615" s="8" t="str">
        <f>IFERROR(INDEX('nav master'!$C:$C, MATCH(B8615, 'nav master'!$B:$B, 0)), "")</f>
        <v/>
      </c>
      <c r="E8615" s="8" t="s">
        <v>4903</v>
      </c>
      <c r="F8615" s="8" t="s">
        <v>5078</v>
      </c>
    </row>
    <row r="8616" spans="1:6" ht="60" x14ac:dyDescent="0.25">
      <c r="A8616" s="8" t="s">
        <v>125</v>
      </c>
      <c r="B8616" s="8" t="s">
        <v>4865</v>
      </c>
      <c r="C8616" s="8" t="str">
        <f>IFERROR(_xlfn.XLOOKUP(TRIM(B8616),Lookup!$B$2:$B$1000,Lookup!$C$2:$C$1000),"")</f>
        <v>Equity</v>
      </c>
      <c r="D8616" s="8" t="str">
        <f>IFERROR(INDEX('nav master'!$C:$C, MATCH(B8616, 'nav master'!$B:$B, 0)), "")</f>
        <v/>
      </c>
      <c r="E8616" s="8" t="s">
        <v>4905</v>
      </c>
      <c r="F8616" s="8" t="s">
        <v>5079</v>
      </c>
    </row>
    <row r="8617" spans="1:6" ht="60" x14ac:dyDescent="0.25">
      <c r="A8617" s="8" t="s">
        <v>125</v>
      </c>
      <c r="B8617" s="8" t="s">
        <v>126</v>
      </c>
      <c r="C8617" s="8" t="str">
        <f>IFERROR(_xlfn.XLOOKUP(TRIM(B8617),Lookup!$B$2:$B$1000,Lookup!$C$2:$C$1000),"")</f>
        <v>Equity</v>
      </c>
      <c r="D8617" s="8" t="str">
        <f>IFERROR(INDEX('nav master'!$C:$C, MATCH(B8617, 'nav master'!$B:$B, 0)), "")</f>
        <v>ULIF05501/08/13DivrEqtyFd101</v>
      </c>
      <c r="E8617" s="8" t="s">
        <v>189</v>
      </c>
      <c r="F8617" s="8" t="s">
        <v>190</v>
      </c>
    </row>
    <row r="8618" spans="1:6" ht="60" x14ac:dyDescent="0.25">
      <c r="A8618" s="8" t="s">
        <v>125</v>
      </c>
      <c r="B8618" s="8" t="s">
        <v>126</v>
      </c>
      <c r="C8618" s="8" t="str">
        <f>IFERROR(_xlfn.XLOOKUP(TRIM(B8618),Lookup!$B$2:$B$1000,Lookup!$C$2:$C$1000),"")</f>
        <v>Equity</v>
      </c>
      <c r="D8618" s="8" t="str">
        <f>IFERROR(INDEX('nav master'!$C:$C, MATCH(B8618, 'nav master'!$B:$B, 0)), "")</f>
        <v>ULIF05501/08/13DivrEqtyFd101</v>
      </c>
      <c r="E8618" s="8" t="s">
        <v>191</v>
      </c>
      <c r="F8618" s="8" t="s">
        <v>192</v>
      </c>
    </row>
    <row r="8619" spans="1:6" ht="60" x14ac:dyDescent="0.25">
      <c r="A8619" s="8" t="s">
        <v>125</v>
      </c>
      <c r="B8619" s="8" t="s">
        <v>126</v>
      </c>
      <c r="C8619" s="8" t="str">
        <f>IFERROR(_xlfn.XLOOKUP(TRIM(B8619),Lookup!$B$2:$B$1000,Lookup!$C$2:$C$1000),"")</f>
        <v>Equity</v>
      </c>
      <c r="D8619" s="8" t="str">
        <f>IFERROR(INDEX('nav master'!$C:$C, MATCH(B8619, 'nav master'!$B:$B, 0)), "")</f>
        <v>ULIF05501/08/13DivrEqtyFd101</v>
      </c>
      <c r="E8619" s="8" t="s">
        <v>193</v>
      </c>
      <c r="F8619" s="8" t="s">
        <v>194</v>
      </c>
    </row>
    <row r="8620" spans="1:6" ht="60" x14ac:dyDescent="0.25">
      <c r="A8620" s="8" t="s">
        <v>125</v>
      </c>
      <c r="B8620" s="8" t="s">
        <v>126</v>
      </c>
      <c r="C8620" s="8" t="str">
        <f>IFERROR(_xlfn.XLOOKUP(TRIM(B8620),Lookup!$B$2:$B$1000,Lookup!$C$2:$C$1000),"")</f>
        <v>Equity</v>
      </c>
      <c r="D8620" s="8" t="str">
        <f>IFERROR(INDEX('nav master'!$C:$C, MATCH(B8620, 'nav master'!$B:$B, 0)), "")</f>
        <v>ULIF05501/08/13DivrEqtyFd101</v>
      </c>
      <c r="E8620" s="8" t="s">
        <v>195</v>
      </c>
      <c r="F8620" s="8" t="s">
        <v>196</v>
      </c>
    </row>
    <row r="8621" spans="1:6" ht="60" x14ac:dyDescent="0.25">
      <c r="A8621" s="8" t="s">
        <v>125</v>
      </c>
      <c r="B8621" s="8" t="s">
        <v>126</v>
      </c>
      <c r="C8621" s="8" t="str">
        <f>IFERROR(_xlfn.XLOOKUP(TRIM(B8621),Lookup!$B$2:$B$1000,Lookup!$C$2:$C$1000),"")</f>
        <v>Equity</v>
      </c>
      <c r="D8621" s="8" t="str">
        <f>IFERROR(INDEX('nav master'!$C:$C, MATCH(B8621, 'nav master'!$B:$B, 0)), "")</f>
        <v>ULIF05501/08/13DivrEqtyFd101</v>
      </c>
      <c r="E8621" s="8" t="s">
        <v>197</v>
      </c>
      <c r="F8621" s="8" t="s">
        <v>198</v>
      </c>
    </row>
    <row r="8622" spans="1:6" ht="60" x14ac:dyDescent="0.25">
      <c r="A8622" s="8" t="s">
        <v>125</v>
      </c>
      <c r="B8622" s="8" t="s">
        <v>126</v>
      </c>
      <c r="C8622" s="8" t="str">
        <f>IFERROR(_xlfn.XLOOKUP(TRIM(B8622),Lookup!$B$2:$B$1000,Lookup!$C$2:$C$1000),"")</f>
        <v>Equity</v>
      </c>
      <c r="D8622" s="8" t="str">
        <f>IFERROR(INDEX('nav master'!$C:$C, MATCH(B8622, 'nav master'!$B:$B, 0)), "")</f>
        <v>ULIF05501/08/13DivrEqtyFd101</v>
      </c>
      <c r="E8622" s="8" t="s">
        <v>199</v>
      </c>
      <c r="F8622" s="8" t="s">
        <v>200</v>
      </c>
    </row>
    <row r="8623" spans="1:6" ht="60" x14ac:dyDescent="0.25">
      <c r="A8623" s="8" t="s">
        <v>125</v>
      </c>
      <c r="B8623" s="8" t="s">
        <v>126</v>
      </c>
      <c r="C8623" s="8" t="str">
        <f>IFERROR(_xlfn.XLOOKUP(TRIM(B8623),Lookup!$B$2:$B$1000,Lookup!$C$2:$C$1000),"")</f>
        <v>Equity</v>
      </c>
      <c r="D8623" s="8" t="str">
        <f>IFERROR(INDEX('nav master'!$C:$C, MATCH(B8623, 'nav master'!$B:$B, 0)), "")</f>
        <v>ULIF05501/08/13DivrEqtyFd101</v>
      </c>
      <c r="E8623" s="8" t="s">
        <v>201</v>
      </c>
      <c r="F8623" s="8" t="s">
        <v>202</v>
      </c>
    </row>
    <row r="8624" spans="1:6" ht="60" x14ac:dyDescent="0.25">
      <c r="A8624" s="8" t="s">
        <v>125</v>
      </c>
      <c r="B8624" s="8" t="s">
        <v>126</v>
      </c>
      <c r="C8624" s="8" t="str">
        <f>IFERROR(_xlfn.XLOOKUP(TRIM(B8624),Lookup!$B$2:$B$1000,Lookup!$C$2:$C$1000),"")</f>
        <v>Equity</v>
      </c>
      <c r="D8624" s="8" t="str">
        <f>IFERROR(INDEX('nav master'!$C:$C, MATCH(B8624, 'nav master'!$B:$B, 0)), "")</f>
        <v>ULIF05501/08/13DivrEqtyFd101</v>
      </c>
      <c r="E8624" s="8" t="s">
        <v>203</v>
      </c>
      <c r="F8624" s="8" t="s">
        <v>204</v>
      </c>
    </row>
    <row r="8625" spans="1:6" ht="60" x14ac:dyDescent="0.25">
      <c r="A8625" s="8" t="s">
        <v>125</v>
      </c>
      <c r="B8625" s="8" t="s">
        <v>126</v>
      </c>
      <c r="C8625" s="8" t="str">
        <f>IFERROR(_xlfn.XLOOKUP(TRIM(B8625),Lookup!$B$2:$B$1000,Lookup!$C$2:$C$1000),"")</f>
        <v>Equity</v>
      </c>
      <c r="D8625" s="8" t="str">
        <f>IFERROR(INDEX('nav master'!$C:$C, MATCH(B8625, 'nav master'!$B:$B, 0)), "")</f>
        <v>ULIF05501/08/13DivrEqtyFd101</v>
      </c>
      <c r="E8625" s="8" t="s">
        <v>205</v>
      </c>
      <c r="F8625" s="8" t="s">
        <v>206</v>
      </c>
    </row>
    <row r="8626" spans="1:6" ht="60" x14ac:dyDescent="0.25">
      <c r="A8626" s="8" t="s">
        <v>125</v>
      </c>
      <c r="B8626" s="8" t="s">
        <v>126</v>
      </c>
      <c r="C8626" s="8" t="str">
        <f>IFERROR(_xlfn.XLOOKUP(TRIM(B8626),Lookup!$B$2:$B$1000,Lookup!$C$2:$C$1000),"")</f>
        <v>Equity</v>
      </c>
      <c r="D8626" s="8" t="str">
        <f>IFERROR(INDEX('nav master'!$C:$C, MATCH(B8626, 'nav master'!$B:$B, 0)), "")</f>
        <v>ULIF05501/08/13DivrEqtyFd101</v>
      </c>
      <c r="E8626" s="8" t="s">
        <v>207</v>
      </c>
      <c r="F8626" s="8" t="s">
        <v>208</v>
      </c>
    </row>
    <row r="8627" spans="1:6" ht="60" x14ac:dyDescent="0.25">
      <c r="A8627" s="8" t="s">
        <v>125</v>
      </c>
      <c r="B8627" s="8" t="s">
        <v>126</v>
      </c>
      <c r="C8627" s="8" t="str">
        <f>IFERROR(_xlfn.XLOOKUP(TRIM(B8627),Lookup!$B$2:$B$1000,Lookup!$C$2:$C$1000),"")</f>
        <v>Equity</v>
      </c>
      <c r="D8627" s="8" t="str">
        <f>IFERROR(INDEX('nav master'!$C:$C, MATCH(B8627, 'nav master'!$B:$B, 0)), "")</f>
        <v>ULIF05501/08/13DivrEqtyFd101</v>
      </c>
      <c r="E8627" s="8" t="s">
        <v>209</v>
      </c>
      <c r="F8627" s="8" t="s">
        <v>210</v>
      </c>
    </row>
    <row r="8628" spans="1:6" ht="60" x14ac:dyDescent="0.25">
      <c r="A8628" s="8" t="s">
        <v>125</v>
      </c>
      <c r="B8628" s="8" t="s">
        <v>126</v>
      </c>
      <c r="C8628" s="8" t="str">
        <f>IFERROR(_xlfn.XLOOKUP(TRIM(B8628),Lookup!$B$2:$B$1000,Lookup!$C$2:$C$1000),"")</f>
        <v>Equity</v>
      </c>
      <c r="D8628" s="8" t="str">
        <f>IFERROR(INDEX('nav master'!$C:$C, MATCH(B8628, 'nav master'!$B:$B, 0)), "")</f>
        <v>ULIF05501/08/13DivrEqtyFd101</v>
      </c>
      <c r="E8628" s="8" t="s">
        <v>211</v>
      </c>
      <c r="F8628" s="8" t="s">
        <v>212</v>
      </c>
    </row>
    <row r="8629" spans="1:6" ht="60" x14ac:dyDescent="0.25">
      <c r="A8629" s="8" t="s">
        <v>125</v>
      </c>
      <c r="B8629" s="8" t="s">
        <v>126</v>
      </c>
      <c r="C8629" s="8" t="str">
        <f>IFERROR(_xlfn.XLOOKUP(TRIM(B8629),Lookup!$B$2:$B$1000,Lookup!$C$2:$C$1000),"")</f>
        <v>Equity</v>
      </c>
      <c r="D8629" s="8" t="str">
        <f>IFERROR(INDEX('nav master'!$C:$C, MATCH(B8629, 'nav master'!$B:$B, 0)), "")</f>
        <v>ULIF05501/08/13DivrEqtyFd101</v>
      </c>
      <c r="E8629" s="8" t="s">
        <v>213</v>
      </c>
      <c r="F8629" s="8" t="s">
        <v>214</v>
      </c>
    </row>
    <row r="8630" spans="1:6" ht="60" x14ac:dyDescent="0.25">
      <c r="A8630" s="8" t="s">
        <v>125</v>
      </c>
      <c r="B8630" s="8" t="s">
        <v>126</v>
      </c>
      <c r="C8630" s="8" t="str">
        <f>IFERROR(_xlfn.XLOOKUP(TRIM(B8630),Lookup!$B$2:$B$1000,Lookup!$C$2:$C$1000),"")</f>
        <v>Equity</v>
      </c>
      <c r="D8630" s="8" t="str">
        <f>IFERROR(INDEX('nav master'!$C:$C, MATCH(B8630, 'nav master'!$B:$B, 0)), "")</f>
        <v>ULIF05501/08/13DivrEqtyFd101</v>
      </c>
      <c r="E8630" s="8" t="s">
        <v>215</v>
      </c>
      <c r="F8630" s="8" t="s">
        <v>216</v>
      </c>
    </row>
    <row r="8631" spans="1:6" ht="60" x14ac:dyDescent="0.25">
      <c r="A8631" s="8" t="s">
        <v>125</v>
      </c>
      <c r="B8631" s="8" t="s">
        <v>126</v>
      </c>
      <c r="C8631" s="8" t="str">
        <f>IFERROR(_xlfn.XLOOKUP(TRIM(B8631),Lookup!$B$2:$B$1000,Lookup!$C$2:$C$1000),"")</f>
        <v>Equity</v>
      </c>
      <c r="D8631" s="8" t="str">
        <f>IFERROR(INDEX('nav master'!$C:$C, MATCH(B8631, 'nav master'!$B:$B, 0)), "")</f>
        <v>ULIF05501/08/13DivrEqtyFd101</v>
      </c>
      <c r="E8631" s="8" t="s">
        <v>217</v>
      </c>
      <c r="F8631" s="8" t="s">
        <v>218</v>
      </c>
    </row>
    <row r="8632" spans="1:6" ht="60" x14ac:dyDescent="0.25">
      <c r="A8632" s="8" t="s">
        <v>125</v>
      </c>
      <c r="B8632" s="8" t="s">
        <v>126</v>
      </c>
      <c r="C8632" s="8" t="str">
        <f>IFERROR(_xlfn.XLOOKUP(TRIM(B8632),Lookup!$B$2:$B$1000,Lookup!$C$2:$C$1000),"")</f>
        <v>Equity</v>
      </c>
      <c r="D8632" s="8" t="str">
        <f>IFERROR(INDEX('nav master'!$C:$C, MATCH(B8632, 'nav master'!$B:$B, 0)), "")</f>
        <v>ULIF05501/08/13DivrEqtyFd101</v>
      </c>
      <c r="E8632" s="8" t="s">
        <v>219</v>
      </c>
      <c r="F8632" s="8" t="s">
        <v>220</v>
      </c>
    </row>
    <row r="8633" spans="1:6" ht="60" x14ac:dyDescent="0.25">
      <c r="A8633" s="8" t="s">
        <v>125</v>
      </c>
      <c r="B8633" s="8" t="s">
        <v>126</v>
      </c>
      <c r="C8633" s="8" t="str">
        <f>IFERROR(_xlfn.XLOOKUP(TRIM(B8633),Lookup!$B$2:$B$1000,Lookup!$C$2:$C$1000),"")</f>
        <v>Equity</v>
      </c>
      <c r="D8633" s="8" t="str">
        <f>IFERROR(INDEX('nav master'!$C:$C, MATCH(B8633, 'nav master'!$B:$B, 0)), "")</f>
        <v>ULIF05501/08/13DivrEqtyFd101</v>
      </c>
      <c r="E8633" s="8" t="s">
        <v>221</v>
      </c>
      <c r="F8633" s="8" t="s">
        <v>222</v>
      </c>
    </row>
    <row r="8634" spans="1:6" ht="60" x14ac:dyDescent="0.25">
      <c r="A8634" s="8" t="s">
        <v>125</v>
      </c>
      <c r="B8634" s="8" t="s">
        <v>126</v>
      </c>
      <c r="C8634" s="8" t="str">
        <f>IFERROR(_xlfn.XLOOKUP(TRIM(B8634),Lookup!$B$2:$B$1000,Lookup!$C$2:$C$1000),"")</f>
        <v>Equity</v>
      </c>
      <c r="D8634" s="8" t="str">
        <f>IFERROR(INDEX('nav master'!$C:$C, MATCH(B8634, 'nav master'!$B:$B, 0)), "")</f>
        <v>ULIF05501/08/13DivrEqtyFd101</v>
      </c>
      <c r="E8634" s="8" t="s">
        <v>223</v>
      </c>
      <c r="F8634" s="8" t="s">
        <v>224</v>
      </c>
    </row>
    <row r="8635" spans="1:6" ht="60" x14ac:dyDescent="0.25">
      <c r="A8635" s="8" t="s">
        <v>125</v>
      </c>
      <c r="B8635" s="8" t="s">
        <v>126</v>
      </c>
      <c r="C8635" s="8" t="str">
        <f>IFERROR(_xlfn.XLOOKUP(TRIM(B8635),Lookup!$B$2:$B$1000,Lookup!$C$2:$C$1000),"")</f>
        <v>Equity</v>
      </c>
      <c r="D8635" s="8" t="str">
        <f>IFERROR(INDEX('nav master'!$C:$C, MATCH(B8635, 'nav master'!$B:$B, 0)), "")</f>
        <v>ULIF05501/08/13DivrEqtyFd101</v>
      </c>
      <c r="E8635" s="8" t="s">
        <v>225</v>
      </c>
      <c r="F8635" s="8" t="s">
        <v>226</v>
      </c>
    </row>
    <row r="8636" spans="1:6" ht="60" x14ac:dyDescent="0.25">
      <c r="A8636" s="8" t="s">
        <v>125</v>
      </c>
      <c r="B8636" s="8" t="s">
        <v>126</v>
      </c>
      <c r="C8636" s="8" t="str">
        <f>IFERROR(_xlfn.XLOOKUP(TRIM(B8636),Lookup!$B$2:$B$1000,Lookup!$C$2:$C$1000),"")</f>
        <v>Equity</v>
      </c>
      <c r="D8636" s="8" t="str">
        <f>IFERROR(INDEX('nav master'!$C:$C, MATCH(B8636, 'nav master'!$B:$B, 0)), "")</f>
        <v>ULIF05501/08/13DivrEqtyFd101</v>
      </c>
      <c r="E8636" s="8" t="s">
        <v>227</v>
      </c>
      <c r="F8636" s="8" t="s">
        <v>228</v>
      </c>
    </row>
    <row r="8637" spans="1:6" ht="60" x14ac:dyDescent="0.25">
      <c r="A8637" s="8" t="s">
        <v>125</v>
      </c>
      <c r="B8637" s="8" t="s">
        <v>126</v>
      </c>
      <c r="C8637" s="8" t="str">
        <f>IFERROR(_xlfn.XLOOKUP(TRIM(B8637),Lookup!$B$2:$B$1000,Lookup!$C$2:$C$1000),"")</f>
        <v>Equity</v>
      </c>
      <c r="D8637" s="8" t="str">
        <f>IFERROR(INDEX('nav master'!$C:$C, MATCH(B8637, 'nav master'!$B:$B, 0)), "")</f>
        <v>ULIF05501/08/13DivrEqtyFd101</v>
      </c>
      <c r="E8637" s="8" t="s">
        <v>229</v>
      </c>
      <c r="F8637" s="8" t="s">
        <v>230</v>
      </c>
    </row>
    <row r="8638" spans="1:6" ht="60" x14ac:dyDescent="0.25">
      <c r="A8638" s="8" t="s">
        <v>125</v>
      </c>
      <c r="B8638" s="8" t="s">
        <v>126</v>
      </c>
      <c r="C8638" s="8" t="str">
        <f>IFERROR(_xlfn.XLOOKUP(TRIM(B8638),Lookup!$B$2:$B$1000,Lookup!$C$2:$C$1000),"")</f>
        <v>Equity</v>
      </c>
      <c r="D8638" s="8" t="str">
        <f>IFERROR(INDEX('nav master'!$C:$C, MATCH(B8638, 'nav master'!$B:$B, 0)), "")</f>
        <v>ULIF05501/08/13DivrEqtyFd101</v>
      </c>
      <c r="E8638" s="8" t="s">
        <v>231</v>
      </c>
      <c r="F8638" s="8" t="s">
        <v>232</v>
      </c>
    </row>
    <row r="8639" spans="1:6" ht="60" x14ac:dyDescent="0.25">
      <c r="A8639" s="8" t="s">
        <v>125</v>
      </c>
      <c r="B8639" s="8" t="s">
        <v>126</v>
      </c>
      <c r="C8639" s="8" t="str">
        <f>IFERROR(_xlfn.XLOOKUP(TRIM(B8639),Lookup!$B$2:$B$1000,Lookup!$C$2:$C$1000),"")</f>
        <v>Equity</v>
      </c>
      <c r="D8639" s="8" t="str">
        <f>IFERROR(INDEX('nav master'!$C:$C, MATCH(B8639, 'nav master'!$B:$B, 0)), "")</f>
        <v>ULIF05501/08/13DivrEqtyFd101</v>
      </c>
      <c r="E8639" s="8" t="s">
        <v>233</v>
      </c>
      <c r="F8639" s="8" t="s">
        <v>234</v>
      </c>
    </row>
    <row r="8640" spans="1:6" ht="60" x14ac:dyDescent="0.25">
      <c r="A8640" s="8" t="s">
        <v>125</v>
      </c>
      <c r="B8640" s="8" t="s">
        <v>126</v>
      </c>
      <c r="C8640" s="8" t="str">
        <f>IFERROR(_xlfn.XLOOKUP(TRIM(B8640),Lookup!$B$2:$B$1000,Lookup!$C$2:$C$1000),"")</f>
        <v>Equity</v>
      </c>
      <c r="D8640" s="8" t="str">
        <f>IFERROR(INDEX('nav master'!$C:$C, MATCH(B8640, 'nav master'!$B:$B, 0)), "")</f>
        <v>ULIF05501/08/13DivrEqtyFd101</v>
      </c>
      <c r="E8640" s="8" t="s">
        <v>235</v>
      </c>
      <c r="F8640" s="8" t="s">
        <v>236</v>
      </c>
    </row>
    <row r="8641" spans="1:6" ht="60" x14ac:dyDescent="0.25">
      <c r="A8641" s="8" t="s">
        <v>125</v>
      </c>
      <c r="B8641" s="8" t="s">
        <v>126</v>
      </c>
      <c r="C8641" s="8" t="str">
        <f>IFERROR(_xlfn.XLOOKUP(TRIM(B8641),Lookup!$B$2:$B$1000,Lookup!$C$2:$C$1000),"")</f>
        <v>Equity</v>
      </c>
      <c r="D8641" s="8" t="str">
        <f>IFERROR(INDEX('nav master'!$C:$C, MATCH(B8641, 'nav master'!$B:$B, 0)), "")</f>
        <v>ULIF05501/08/13DivrEqtyFd101</v>
      </c>
      <c r="E8641" s="8" t="s">
        <v>237</v>
      </c>
      <c r="F8641" s="8" t="s">
        <v>238</v>
      </c>
    </row>
    <row r="8642" spans="1:6" ht="60" x14ac:dyDescent="0.25">
      <c r="A8642" s="8" t="s">
        <v>125</v>
      </c>
      <c r="B8642" s="8" t="s">
        <v>126</v>
      </c>
      <c r="C8642" s="8" t="str">
        <f>IFERROR(_xlfn.XLOOKUP(TRIM(B8642),Lookup!$B$2:$B$1000,Lookup!$C$2:$C$1000),"")</f>
        <v>Equity</v>
      </c>
      <c r="D8642" s="8" t="str">
        <f>IFERROR(INDEX('nav master'!$C:$C, MATCH(B8642, 'nav master'!$B:$B, 0)), "")</f>
        <v>ULIF05501/08/13DivrEqtyFd101</v>
      </c>
      <c r="E8642" s="8" t="s">
        <v>239</v>
      </c>
      <c r="F8642" s="8" t="s">
        <v>240</v>
      </c>
    </row>
    <row r="8643" spans="1:6" ht="60" x14ac:dyDescent="0.25">
      <c r="A8643" s="8" t="s">
        <v>125</v>
      </c>
      <c r="B8643" s="8" t="s">
        <v>126</v>
      </c>
      <c r="C8643" s="8" t="str">
        <f>IFERROR(_xlfn.XLOOKUP(TRIM(B8643),Lookup!$B$2:$B$1000,Lookup!$C$2:$C$1000),"")</f>
        <v>Equity</v>
      </c>
      <c r="D8643" s="8" t="str">
        <f>IFERROR(INDEX('nav master'!$C:$C, MATCH(B8643, 'nav master'!$B:$B, 0)), "")</f>
        <v>ULIF05501/08/13DivrEqtyFd101</v>
      </c>
      <c r="E8643" s="8" t="s">
        <v>241</v>
      </c>
      <c r="F8643" s="8" t="s">
        <v>242</v>
      </c>
    </row>
    <row r="8644" spans="1:6" ht="60" x14ac:dyDescent="0.25">
      <c r="A8644" s="8" t="s">
        <v>125</v>
      </c>
      <c r="B8644" s="8" t="s">
        <v>126</v>
      </c>
      <c r="C8644" s="8" t="str">
        <f>IFERROR(_xlfn.XLOOKUP(TRIM(B8644),Lookup!$B$2:$B$1000,Lookup!$C$2:$C$1000),"")</f>
        <v>Equity</v>
      </c>
      <c r="D8644" s="8" t="str">
        <f>IFERROR(INDEX('nav master'!$C:$C, MATCH(B8644, 'nav master'!$B:$B, 0)), "")</f>
        <v>ULIF05501/08/13DivrEqtyFd101</v>
      </c>
      <c r="E8644" s="8" t="s">
        <v>243</v>
      </c>
      <c r="F8644" s="8" t="s">
        <v>244</v>
      </c>
    </row>
    <row r="8645" spans="1:6" ht="60" x14ac:dyDescent="0.25">
      <c r="A8645" s="8" t="s">
        <v>125</v>
      </c>
      <c r="B8645" s="8" t="s">
        <v>126</v>
      </c>
      <c r="C8645" s="8" t="str">
        <f>IFERROR(_xlfn.XLOOKUP(TRIM(B8645),Lookup!$B$2:$B$1000,Lookup!$C$2:$C$1000),"")</f>
        <v>Equity</v>
      </c>
      <c r="D8645" s="8" t="str">
        <f>IFERROR(INDEX('nav master'!$C:$C, MATCH(B8645, 'nav master'!$B:$B, 0)), "")</f>
        <v>ULIF05501/08/13DivrEqtyFd101</v>
      </c>
      <c r="E8645" s="8" t="s">
        <v>245</v>
      </c>
      <c r="F8645" s="8" t="s">
        <v>246</v>
      </c>
    </row>
    <row r="8646" spans="1:6" ht="60" x14ac:dyDescent="0.25">
      <c r="A8646" s="8" t="s">
        <v>125</v>
      </c>
      <c r="B8646" s="8" t="s">
        <v>126</v>
      </c>
      <c r="C8646" s="8" t="str">
        <f>IFERROR(_xlfn.XLOOKUP(TRIM(B8646),Lookup!$B$2:$B$1000,Lookup!$C$2:$C$1000),"")</f>
        <v>Equity</v>
      </c>
      <c r="D8646" s="8" t="str">
        <f>IFERROR(INDEX('nav master'!$C:$C, MATCH(B8646, 'nav master'!$B:$B, 0)), "")</f>
        <v>ULIF05501/08/13DivrEqtyFd101</v>
      </c>
      <c r="E8646" s="8" t="s">
        <v>247</v>
      </c>
      <c r="F8646" s="8" t="s">
        <v>248</v>
      </c>
    </row>
    <row r="8647" spans="1:6" ht="60" x14ac:dyDescent="0.25">
      <c r="A8647" s="8" t="s">
        <v>125</v>
      </c>
      <c r="B8647" s="8" t="s">
        <v>126</v>
      </c>
      <c r="C8647" s="8" t="str">
        <f>IFERROR(_xlfn.XLOOKUP(TRIM(B8647),Lookup!$B$2:$B$1000,Lookup!$C$2:$C$1000),"")</f>
        <v>Equity</v>
      </c>
      <c r="D8647" s="8" t="str">
        <f>IFERROR(INDEX('nav master'!$C:$C, MATCH(B8647, 'nav master'!$B:$B, 0)), "")</f>
        <v>ULIF05501/08/13DivrEqtyFd101</v>
      </c>
      <c r="E8647" s="8" t="s">
        <v>249</v>
      </c>
      <c r="F8647" s="8" t="s">
        <v>250</v>
      </c>
    </row>
    <row r="8648" spans="1:6" ht="60" x14ac:dyDescent="0.25">
      <c r="A8648" s="8" t="s">
        <v>125</v>
      </c>
      <c r="B8648" s="8" t="s">
        <v>126</v>
      </c>
      <c r="C8648" s="8" t="str">
        <f>IFERROR(_xlfn.XLOOKUP(TRIM(B8648),Lookup!$B$2:$B$1000,Lookup!$C$2:$C$1000),"")</f>
        <v>Equity</v>
      </c>
      <c r="D8648" s="8" t="str">
        <f>IFERROR(INDEX('nav master'!$C:$C, MATCH(B8648, 'nav master'!$B:$B, 0)), "")</f>
        <v>ULIF05501/08/13DivrEqtyFd101</v>
      </c>
      <c r="E8648" s="8" t="s">
        <v>251</v>
      </c>
      <c r="F8648" s="8" t="s">
        <v>252</v>
      </c>
    </row>
    <row r="8649" spans="1:6" ht="60" x14ac:dyDescent="0.25">
      <c r="A8649" s="8" t="s">
        <v>125</v>
      </c>
      <c r="B8649" s="8" t="s">
        <v>126</v>
      </c>
      <c r="C8649" s="8" t="str">
        <f>IFERROR(_xlfn.XLOOKUP(TRIM(B8649),Lookup!$B$2:$B$1000,Lookup!$C$2:$C$1000),"")</f>
        <v>Equity</v>
      </c>
      <c r="D8649" s="8" t="str">
        <f>IFERROR(INDEX('nav master'!$C:$C, MATCH(B8649, 'nav master'!$B:$B, 0)), "")</f>
        <v>ULIF05501/08/13DivrEqtyFd101</v>
      </c>
      <c r="E8649" s="8" t="s">
        <v>253</v>
      </c>
      <c r="F8649" s="8" t="s">
        <v>254</v>
      </c>
    </row>
    <row r="8650" spans="1:6" ht="60" x14ac:dyDescent="0.25">
      <c r="A8650" s="8" t="s">
        <v>125</v>
      </c>
      <c r="B8650" s="8" t="s">
        <v>126</v>
      </c>
      <c r="C8650" s="8" t="str">
        <f>IFERROR(_xlfn.XLOOKUP(TRIM(B8650),Lookup!$B$2:$B$1000,Lookup!$C$2:$C$1000),"")</f>
        <v>Equity</v>
      </c>
      <c r="D8650" s="8" t="str">
        <f>IFERROR(INDEX('nav master'!$C:$C, MATCH(B8650, 'nav master'!$B:$B, 0)), "")</f>
        <v>ULIF05501/08/13DivrEqtyFd101</v>
      </c>
      <c r="E8650" s="8" t="s">
        <v>255</v>
      </c>
      <c r="F8650" s="8" t="s">
        <v>256</v>
      </c>
    </row>
    <row r="8651" spans="1:6" ht="60" x14ac:dyDescent="0.25">
      <c r="A8651" s="8" t="s">
        <v>125</v>
      </c>
      <c r="B8651" s="8" t="s">
        <v>126</v>
      </c>
      <c r="C8651" s="8" t="str">
        <f>IFERROR(_xlfn.XLOOKUP(TRIM(B8651),Lookup!$B$2:$B$1000,Lookup!$C$2:$C$1000),"")</f>
        <v>Equity</v>
      </c>
      <c r="D8651" s="8" t="str">
        <f>IFERROR(INDEX('nav master'!$C:$C, MATCH(B8651, 'nav master'!$B:$B, 0)), "")</f>
        <v>ULIF05501/08/13DivrEqtyFd101</v>
      </c>
      <c r="E8651" s="8" t="s">
        <v>257</v>
      </c>
      <c r="F8651" s="8" t="s">
        <v>258</v>
      </c>
    </row>
    <row r="8652" spans="1:6" ht="60" x14ac:dyDescent="0.25">
      <c r="A8652" s="8" t="s">
        <v>125</v>
      </c>
      <c r="B8652" s="8" t="s">
        <v>126</v>
      </c>
      <c r="C8652" s="8" t="str">
        <f>IFERROR(_xlfn.XLOOKUP(TRIM(B8652),Lookup!$B$2:$B$1000,Lookup!$C$2:$C$1000),"")</f>
        <v>Equity</v>
      </c>
      <c r="D8652" s="8" t="str">
        <f>IFERROR(INDEX('nav master'!$C:$C, MATCH(B8652, 'nav master'!$B:$B, 0)), "")</f>
        <v>ULIF05501/08/13DivrEqtyFd101</v>
      </c>
      <c r="E8652" s="8" t="s">
        <v>259</v>
      </c>
      <c r="F8652" s="8" t="s">
        <v>260</v>
      </c>
    </row>
    <row r="8653" spans="1:6" ht="60" x14ac:dyDescent="0.25">
      <c r="A8653" s="8" t="s">
        <v>125</v>
      </c>
      <c r="B8653" s="8" t="s">
        <v>126</v>
      </c>
      <c r="C8653" s="8" t="str">
        <f>IFERROR(_xlfn.XLOOKUP(TRIM(B8653),Lookup!$B$2:$B$1000,Lookup!$C$2:$C$1000),"")</f>
        <v>Equity</v>
      </c>
      <c r="D8653" s="8" t="str">
        <f>IFERROR(INDEX('nav master'!$C:$C, MATCH(B8653, 'nav master'!$B:$B, 0)), "")</f>
        <v>ULIF05501/08/13DivrEqtyFd101</v>
      </c>
      <c r="E8653" s="8" t="s">
        <v>261</v>
      </c>
      <c r="F8653" s="8" t="s">
        <v>262</v>
      </c>
    </row>
    <row r="8654" spans="1:6" ht="60" x14ac:dyDescent="0.25">
      <c r="A8654" s="8" t="s">
        <v>125</v>
      </c>
      <c r="B8654" s="8" t="s">
        <v>126</v>
      </c>
      <c r="C8654" s="8" t="str">
        <f>IFERROR(_xlfn.XLOOKUP(TRIM(B8654),Lookup!$B$2:$B$1000,Lookup!$C$2:$C$1000),"")</f>
        <v>Equity</v>
      </c>
      <c r="D8654" s="8" t="str">
        <f>IFERROR(INDEX('nav master'!$C:$C, MATCH(B8654, 'nav master'!$B:$B, 0)), "")</f>
        <v>ULIF05501/08/13DivrEqtyFd101</v>
      </c>
      <c r="E8654" s="8" t="s">
        <v>263</v>
      </c>
      <c r="F8654" s="8" t="s">
        <v>264</v>
      </c>
    </row>
    <row r="8655" spans="1:6" ht="60" x14ac:dyDescent="0.25">
      <c r="A8655" s="8" t="s">
        <v>125</v>
      </c>
      <c r="B8655" s="8" t="s">
        <v>126</v>
      </c>
      <c r="C8655" s="8" t="str">
        <f>IFERROR(_xlfn.XLOOKUP(TRIM(B8655),Lookup!$B$2:$B$1000,Lookup!$C$2:$C$1000),"")</f>
        <v>Equity</v>
      </c>
      <c r="D8655" s="8" t="str">
        <f>IFERROR(INDEX('nav master'!$C:$C, MATCH(B8655, 'nav master'!$B:$B, 0)), "")</f>
        <v>ULIF05501/08/13DivrEqtyFd101</v>
      </c>
      <c r="E8655" s="8" t="s">
        <v>265</v>
      </c>
      <c r="F8655" s="8" t="s">
        <v>266</v>
      </c>
    </row>
    <row r="8656" spans="1:6" ht="60" x14ac:dyDescent="0.25">
      <c r="A8656" s="8" t="s">
        <v>125</v>
      </c>
      <c r="B8656" s="8" t="s">
        <v>126</v>
      </c>
      <c r="C8656" s="8" t="str">
        <f>IFERROR(_xlfn.XLOOKUP(TRIM(B8656),Lookup!$B$2:$B$1000,Lookup!$C$2:$C$1000),"")</f>
        <v>Equity</v>
      </c>
      <c r="D8656" s="8" t="str">
        <f>IFERROR(INDEX('nav master'!$C:$C, MATCH(B8656, 'nav master'!$B:$B, 0)), "")</f>
        <v>ULIF05501/08/13DivrEqtyFd101</v>
      </c>
      <c r="E8656" s="8" t="s">
        <v>267</v>
      </c>
      <c r="F8656" s="8" t="s">
        <v>268</v>
      </c>
    </row>
    <row r="8657" spans="1:6" ht="60" x14ac:dyDescent="0.25">
      <c r="A8657" s="8" t="s">
        <v>125</v>
      </c>
      <c r="B8657" s="8" t="s">
        <v>126</v>
      </c>
      <c r="C8657" s="8" t="str">
        <f>IFERROR(_xlfn.XLOOKUP(TRIM(B8657),Lookup!$B$2:$B$1000,Lookup!$C$2:$C$1000),"")</f>
        <v>Equity</v>
      </c>
      <c r="D8657" s="8" t="str">
        <f>IFERROR(INDEX('nav master'!$C:$C, MATCH(B8657, 'nav master'!$B:$B, 0)), "")</f>
        <v>ULIF05501/08/13DivrEqtyFd101</v>
      </c>
      <c r="E8657" s="8" t="s">
        <v>269</v>
      </c>
      <c r="F8657" s="8" t="s">
        <v>270</v>
      </c>
    </row>
    <row r="8658" spans="1:6" ht="60" x14ac:dyDescent="0.25">
      <c r="A8658" s="8" t="s">
        <v>125</v>
      </c>
      <c r="B8658" s="8" t="s">
        <v>126</v>
      </c>
      <c r="C8658" s="8" t="str">
        <f>IFERROR(_xlfn.XLOOKUP(TRIM(B8658),Lookup!$B$2:$B$1000,Lookup!$C$2:$C$1000),"")</f>
        <v>Equity</v>
      </c>
      <c r="D8658" s="8" t="str">
        <f>IFERROR(INDEX('nav master'!$C:$C, MATCH(B8658, 'nav master'!$B:$B, 0)), "")</f>
        <v>ULIF05501/08/13DivrEqtyFd101</v>
      </c>
      <c r="E8658" s="8" t="s">
        <v>271</v>
      </c>
      <c r="F8658" s="8" t="s">
        <v>272</v>
      </c>
    </row>
    <row r="8659" spans="1:6" ht="60" x14ac:dyDescent="0.25">
      <c r="A8659" s="8" t="s">
        <v>125</v>
      </c>
      <c r="B8659" s="8" t="s">
        <v>126</v>
      </c>
      <c r="C8659" s="8" t="str">
        <f>IFERROR(_xlfn.XLOOKUP(TRIM(B8659),Lookup!$B$2:$B$1000,Lookup!$C$2:$C$1000),"")</f>
        <v>Equity</v>
      </c>
      <c r="D8659" s="8" t="str">
        <f>IFERROR(INDEX('nav master'!$C:$C, MATCH(B8659, 'nav master'!$B:$B, 0)), "")</f>
        <v>ULIF05501/08/13DivrEqtyFd101</v>
      </c>
      <c r="E8659" s="8" t="s">
        <v>273</v>
      </c>
      <c r="F8659" s="8" t="s">
        <v>274</v>
      </c>
    </row>
    <row r="8660" spans="1:6" ht="60" x14ac:dyDescent="0.25">
      <c r="A8660" s="8" t="s">
        <v>125</v>
      </c>
      <c r="B8660" s="8" t="s">
        <v>126</v>
      </c>
      <c r="C8660" s="8" t="str">
        <f>IFERROR(_xlfn.XLOOKUP(TRIM(B8660),Lookup!$B$2:$B$1000,Lookup!$C$2:$C$1000),"")</f>
        <v>Equity</v>
      </c>
      <c r="D8660" s="8" t="str">
        <f>IFERROR(INDEX('nav master'!$C:$C, MATCH(B8660, 'nav master'!$B:$B, 0)), "")</f>
        <v>ULIF05501/08/13DivrEqtyFd101</v>
      </c>
      <c r="E8660" s="8" t="s">
        <v>275</v>
      </c>
      <c r="F8660" s="8" t="s">
        <v>276</v>
      </c>
    </row>
    <row r="8661" spans="1:6" ht="60" x14ac:dyDescent="0.25">
      <c r="A8661" s="8" t="s">
        <v>125</v>
      </c>
      <c r="B8661" s="8" t="s">
        <v>126</v>
      </c>
      <c r="C8661" s="8" t="str">
        <f>IFERROR(_xlfn.XLOOKUP(TRIM(B8661),Lookup!$B$2:$B$1000,Lookup!$C$2:$C$1000),"")</f>
        <v>Equity</v>
      </c>
      <c r="D8661" s="8" t="str">
        <f>IFERROR(INDEX('nav master'!$C:$C, MATCH(B8661, 'nav master'!$B:$B, 0)), "")</f>
        <v>ULIF05501/08/13DivrEqtyFd101</v>
      </c>
      <c r="E8661" s="8" t="s">
        <v>277</v>
      </c>
      <c r="F8661" s="8" t="s">
        <v>278</v>
      </c>
    </row>
    <row r="8662" spans="1:6" ht="60" x14ac:dyDescent="0.25">
      <c r="A8662" s="8" t="s">
        <v>125</v>
      </c>
      <c r="B8662" s="8" t="s">
        <v>126</v>
      </c>
      <c r="C8662" s="8" t="str">
        <f>IFERROR(_xlfn.XLOOKUP(TRIM(B8662),Lookup!$B$2:$B$1000,Lookup!$C$2:$C$1000),"")</f>
        <v>Equity</v>
      </c>
      <c r="D8662" s="8" t="str">
        <f>IFERROR(INDEX('nav master'!$C:$C, MATCH(B8662, 'nav master'!$B:$B, 0)), "")</f>
        <v>ULIF05501/08/13DivrEqtyFd101</v>
      </c>
      <c r="E8662" s="8" t="s">
        <v>279</v>
      </c>
      <c r="F8662" s="8" t="s">
        <v>280</v>
      </c>
    </row>
    <row r="8663" spans="1:6" ht="60" x14ac:dyDescent="0.25">
      <c r="A8663" s="8" t="s">
        <v>125</v>
      </c>
      <c r="B8663" s="8" t="s">
        <v>126</v>
      </c>
      <c r="C8663" s="8" t="str">
        <f>IFERROR(_xlfn.XLOOKUP(TRIM(B8663),Lookup!$B$2:$B$1000,Lookup!$C$2:$C$1000),"")</f>
        <v>Equity</v>
      </c>
      <c r="D8663" s="8" t="str">
        <f>IFERROR(INDEX('nav master'!$C:$C, MATCH(B8663, 'nav master'!$B:$B, 0)), "")</f>
        <v>ULIF05501/08/13DivrEqtyFd101</v>
      </c>
      <c r="E8663" s="8" t="s">
        <v>281</v>
      </c>
      <c r="F8663" s="8" t="s">
        <v>282</v>
      </c>
    </row>
    <row r="8664" spans="1:6" ht="60" x14ac:dyDescent="0.25">
      <c r="A8664" s="8" t="s">
        <v>125</v>
      </c>
      <c r="B8664" s="8" t="s">
        <v>126</v>
      </c>
      <c r="C8664" s="8" t="str">
        <f>IFERROR(_xlfn.XLOOKUP(TRIM(B8664),Lookup!$B$2:$B$1000,Lookup!$C$2:$C$1000),"")</f>
        <v>Equity</v>
      </c>
      <c r="D8664" s="8" t="str">
        <f>IFERROR(INDEX('nav master'!$C:$C, MATCH(B8664, 'nav master'!$B:$B, 0)), "")</f>
        <v>ULIF05501/08/13DivrEqtyFd101</v>
      </c>
      <c r="E8664" s="8" t="s">
        <v>283</v>
      </c>
      <c r="F8664" s="8" t="s">
        <v>284</v>
      </c>
    </row>
    <row r="8665" spans="1:6" ht="60" x14ac:dyDescent="0.25">
      <c r="A8665" s="8" t="s">
        <v>125</v>
      </c>
      <c r="B8665" s="8" t="s">
        <v>126</v>
      </c>
      <c r="C8665" s="8" t="str">
        <f>IFERROR(_xlfn.XLOOKUP(TRIM(B8665),Lookup!$B$2:$B$1000,Lookup!$C$2:$C$1000),"")</f>
        <v>Equity</v>
      </c>
      <c r="D8665" s="8" t="str">
        <f>IFERROR(INDEX('nav master'!$C:$C, MATCH(B8665, 'nav master'!$B:$B, 0)), "")</f>
        <v>ULIF05501/08/13DivrEqtyFd101</v>
      </c>
      <c r="E8665" s="8" t="s">
        <v>285</v>
      </c>
      <c r="F8665" s="8" t="s">
        <v>286</v>
      </c>
    </row>
    <row r="8666" spans="1:6" ht="60" x14ac:dyDescent="0.25">
      <c r="A8666" s="8" t="s">
        <v>125</v>
      </c>
      <c r="B8666" s="8" t="s">
        <v>126</v>
      </c>
      <c r="C8666" s="8" t="str">
        <f>IFERROR(_xlfn.XLOOKUP(TRIM(B8666),Lookup!$B$2:$B$1000,Lookup!$C$2:$C$1000),"")</f>
        <v>Equity</v>
      </c>
      <c r="D8666" s="8" t="str">
        <f>IFERROR(INDEX('nav master'!$C:$C, MATCH(B8666, 'nav master'!$B:$B, 0)), "")</f>
        <v>ULIF05501/08/13DivrEqtyFd101</v>
      </c>
      <c r="E8666" s="8" t="s">
        <v>287</v>
      </c>
      <c r="F8666" s="8" t="s">
        <v>288</v>
      </c>
    </row>
    <row r="8667" spans="1:6" ht="60" x14ac:dyDescent="0.25">
      <c r="A8667" s="8" t="s">
        <v>125</v>
      </c>
      <c r="B8667" s="8" t="s">
        <v>126</v>
      </c>
      <c r="C8667" s="8" t="str">
        <f>IFERROR(_xlfn.XLOOKUP(TRIM(B8667),Lookup!$B$2:$B$1000,Lookup!$C$2:$C$1000),"")</f>
        <v>Equity</v>
      </c>
      <c r="D8667" s="8" t="str">
        <f>IFERROR(INDEX('nav master'!$C:$C, MATCH(B8667, 'nav master'!$B:$B, 0)), "")</f>
        <v>ULIF05501/08/13DivrEqtyFd101</v>
      </c>
      <c r="E8667" s="8" t="s">
        <v>289</v>
      </c>
      <c r="F8667" s="8" t="s">
        <v>290</v>
      </c>
    </row>
    <row r="8668" spans="1:6" ht="60" x14ac:dyDescent="0.25">
      <c r="A8668" s="8" t="s">
        <v>125</v>
      </c>
      <c r="B8668" s="8" t="s">
        <v>126</v>
      </c>
      <c r="C8668" s="8" t="str">
        <f>IFERROR(_xlfn.XLOOKUP(TRIM(B8668),Lookup!$B$2:$B$1000,Lookup!$C$2:$C$1000),"")</f>
        <v>Equity</v>
      </c>
      <c r="D8668" s="8" t="str">
        <f>IFERROR(INDEX('nav master'!$C:$C, MATCH(B8668, 'nav master'!$B:$B, 0)), "")</f>
        <v>ULIF05501/08/13DivrEqtyFd101</v>
      </c>
      <c r="E8668" s="8" t="s">
        <v>291</v>
      </c>
      <c r="F8668" s="8" t="s">
        <v>292</v>
      </c>
    </row>
    <row r="8669" spans="1:6" ht="60" x14ac:dyDescent="0.25">
      <c r="A8669" s="8" t="s">
        <v>125</v>
      </c>
      <c r="B8669" s="8" t="s">
        <v>126</v>
      </c>
      <c r="C8669" s="8" t="str">
        <f>IFERROR(_xlfn.XLOOKUP(TRIM(B8669),Lookup!$B$2:$B$1000,Lookup!$C$2:$C$1000),"")</f>
        <v>Equity</v>
      </c>
      <c r="D8669" s="8" t="str">
        <f>IFERROR(INDEX('nav master'!$C:$C, MATCH(B8669, 'nav master'!$B:$B, 0)), "")</f>
        <v>ULIF05501/08/13DivrEqtyFd101</v>
      </c>
      <c r="E8669" s="8" t="s">
        <v>293</v>
      </c>
      <c r="F8669" s="8" t="s">
        <v>294</v>
      </c>
    </row>
    <row r="8670" spans="1:6" ht="60" x14ac:dyDescent="0.25">
      <c r="A8670" s="8" t="s">
        <v>125</v>
      </c>
      <c r="B8670" s="8" t="s">
        <v>126</v>
      </c>
      <c r="C8670" s="8" t="str">
        <f>IFERROR(_xlfn.XLOOKUP(TRIM(B8670),Lookup!$B$2:$B$1000,Lookup!$C$2:$C$1000),"")</f>
        <v>Equity</v>
      </c>
      <c r="D8670" s="8" t="str">
        <f>IFERROR(INDEX('nav master'!$C:$C, MATCH(B8670, 'nav master'!$B:$B, 0)), "")</f>
        <v>ULIF05501/08/13DivrEqtyFd101</v>
      </c>
      <c r="E8670" s="8" t="s">
        <v>295</v>
      </c>
      <c r="F8670" s="8" t="s">
        <v>296</v>
      </c>
    </row>
    <row r="8671" spans="1:6" ht="60" x14ac:dyDescent="0.25">
      <c r="A8671" s="8" t="s">
        <v>125</v>
      </c>
      <c r="B8671" s="8" t="s">
        <v>126</v>
      </c>
      <c r="C8671" s="8" t="str">
        <f>IFERROR(_xlfn.XLOOKUP(TRIM(B8671),Lookup!$B$2:$B$1000,Lookup!$C$2:$C$1000),"")</f>
        <v>Equity</v>
      </c>
      <c r="D8671" s="8" t="str">
        <f>IFERROR(INDEX('nav master'!$C:$C, MATCH(B8671, 'nav master'!$B:$B, 0)), "")</f>
        <v>ULIF05501/08/13DivrEqtyFd101</v>
      </c>
      <c r="E8671" s="8" t="s">
        <v>297</v>
      </c>
      <c r="F8671" s="8" t="s">
        <v>298</v>
      </c>
    </row>
    <row r="8672" spans="1:6" ht="60" x14ac:dyDescent="0.25">
      <c r="A8672" s="8" t="s">
        <v>125</v>
      </c>
      <c r="B8672" s="8" t="s">
        <v>126</v>
      </c>
      <c r="C8672" s="8" t="str">
        <f>IFERROR(_xlfn.XLOOKUP(TRIM(B8672),Lookup!$B$2:$B$1000,Lookup!$C$2:$C$1000),"")</f>
        <v>Equity</v>
      </c>
      <c r="D8672" s="8" t="str">
        <f>IFERROR(INDEX('nav master'!$C:$C, MATCH(B8672, 'nav master'!$B:$B, 0)), "")</f>
        <v>ULIF05501/08/13DivrEqtyFd101</v>
      </c>
      <c r="E8672" s="8" t="s">
        <v>299</v>
      </c>
      <c r="F8672" s="8" t="s">
        <v>300</v>
      </c>
    </row>
    <row r="8673" spans="1:6" ht="60" x14ac:dyDescent="0.25">
      <c r="A8673" s="8" t="s">
        <v>125</v>
      </c>
      <c r="B8673" s="8" t="s">
        <v>126</v>
      </c>
      <c r="C8673" s="8" t="str">
        <f>IFERROR(_xlfn.XLOOKUP(TRIM(B8673),Lookup!$B$2:$B$1000,Lookup!$C$2:$C$1000),"")</f>
        <v>Equity</v>
      </c>
      <c r="D8673" s="8" t="str">
        <f>IFERROR(INDEX('nav master'!$C:$C, MATCH(B8673, 'nav master'!$B:$B, 0)), "")</f>
        <v>ULIF05501/08/13DivrEqtyFd101</v>
      </c>
      <c r="E8673" s="8" t="s">
        <v>301</v>
      </c>
      <c r="F8673" s="8" t="s">
        <v>302</v>
      </c>
    </row>
    <row r="8674" spans="1:6" ht="60" x14ac:dyDescent="0.25">
      <c r="A8674" s="8" t="s">
        <v>125</v>
      </c>
      <c r="B8674" s="8" t="s">
        <v>126</v>
      </c>
      <c r="C8674" s="8" t="str">
        <f>IFERROR(_xlfn.XLOOKUP(TRIM(B8674),Lookup!$B$2:$B$1000,Lookup!$C$2:$C$1000),"")</f>
        <v>Equity</v>
      </c>
      <c r="D8674" s="8" t="str">
        <f>IFERROR(INDEX('nav master'!$C:$C, MATCH(B8674, 'nav master'!$B:$B, 0)), "")</f>
        <v>ULIF05501/08/13DivrEqtyFd101</v>
      </c>
      <c r="E8674" s="8" t="s">
        <v>303</v>
      </c>
      <c r="F8674" s="8" t="s">
        <v>304</v>
      </c>
    </row>
    <row r="8675" spans="1:6" ht="60" x14ac:dyDescent="0.25">
      <c r="A8675" s="8" t="s">
        <v>125</v>
      </c>
      <c r="B8675" s="8" t="s">
        <v>126</v>
      </c>
      <c r="C8675" s="8" t="str">
        <f>IFERROR(_xlfn.XLOOKUP(TRIM(B8675),Lookup!$B$2:$B$1000,Lookup!$C$2:$C$1000),"")</f>
        <v>Equity</v>
      </c>
      <c r="D8675" s="8" t="str">
        <f>IFERROR(INDEX('nav master'!$C:$C, MATCH(B8675, 'nav master'!$B:$B, 0)), "")</f>
        <v>ULIF05501/08/13DivrEqtyFd101</v>
      </c>
      <c r="E8675" s="8" t="s">
        <v>305</v>
      </c>
      <c r="F8675" s="8" t="s">
        <v>306</v>
      </c>
    </row>
    <row r="8676" spans="1:6" ht="60" x14ac:dyDescent="0.25">
      <c r="A8676" s="8" t="s">
        <v>125</v>
      </c>
      <c r="B8676" s="8" t="s">
        <v>126</v>
      </c>
      <c r="C8676" s="8" t="str">
        <f>IFERROR(_xlfn.XLOOKUP(TRIM(B8676),Lookup!$B$2:$B$1000,Lookup!$C$2:$C$1000),"")</f>
        <v>Equity</v>
      </c>
      <c r="D8676" s="8" t="str">
        <f>IFERROR(INDEX('nav master'!$C:$C, MATCH(B8676, 'nav master'!$B:$B, 0)), "")</f>
        <v>ULIF05501/08/13DivrEqtyFd101</v>
      </c>
      <c r="E8676" s="8" t="s">
        <v>307</v>
      </c>
      <c r="F8676" s="8" t="s">
        <v>308</v>
      </c>
    </row>
    <row r="8677" spans="1:6" ht="60" x14ac:dyDescent="0.25">
      <c r="A8677" s="8" t="s">
        <v>125</v>
      </c>
      <c r="B8677" s="8" t="s">
        <v>126</v>
      </c>
      <c r="C8677" s="8" t="str">
        <f>IFERROR(_xlfn.XLOOKUP(TRIM(B8677),Lookup!$B$2:$B$1000,Lookup!$C$2:$C$1000),"")</f>
        <v>Equity</v>
      </c>
      <c r="D8677" s="8" t="str">
        <f>IFERROR(INDEX('nav master'!$C:$C, MATCH(B8677, 'nav master'!$B:$B, 0)), "")</f>
        <v>ULIF05501/08/13DivrEqtyFd101</v>
      </c>
      <c r="E8677" s="8" t="s">
        <v>309</v>
      </c>
      <c r="F8677" s="8" t="s">
        <v>310</v>
      </c>
    </row>
    <row r="8678" spans="1:6" ht="60" x14ac:dyDescent="0.25">
      <c r="A8678" s="8" t="s">
        <v>125</v>
      </c>
      <c r="B8678" s="8" t="s">
        <v>126</v>
      </c>
      <c r="C8678" s="8" t="str">
        <f>IFERROR(_xlfn.XLOOKUP(TRIM(B8678),Lookup!$B$2:$B$1000,Lookup!$C$2:$C$1000),"")</f>
        <v>Equity</v>
      </c>
      <c r="D8678" s="8" t="str">
        <f>IFERROR(INDEX('nav master'!$C:$C, MATCH(B8678, 'nav master'!$B:$B, 0)), "")</f>
        <v>ULIF05501/08/13DivrEqtyFd101</v>
      </c>
      <c r="E8678" s="8" t="s">
        <v>311</v>
      </c>
      <c r="F8678" s="8" t="s">
        <v>312</v>
      </c>
    </row>
    <row r="8679" spans="1:6" ht="60" x14ac:dyDescent="0.25">
      <c r="A8679" s="8" t="s">
        <v>125</v>
      </c>
      <c r="B8679" s="8" t="s">
        <v>126</v>
      </c>
      <c r="C8679" s="8" t="str">
        <f>IFERROR(_xlfn.XLOOKUP(TRIM(B8679),Lookup!$B$2:$B$1000,Lookup!$C$2:$C$1000),"")</f>
        <v>Equity</v>
      </c>
      <c r="D8679" s="8" t="str">
        <f>IFERROR(INDEX('nav master'!$C:$C, MATCH(B8679, 'nav master'!$B:$B, 0)), "")</f>
        <v>ULIF05501/08/13DivrEqtyFd101</v>
      </c>
      <c r="E8679" s="8" t="s">
        <v>313</v>
      </c>
      <c r="F8679" s="8" t="s">
        <v>314</v>
      </c>
    </row>
    <row r="8680" spans="1:6" ht="60" x14ac:dyDescent="0.25">
      <c r="A8680" s="8" t="s">
        <v>125</v>
      </c>
      <c r="B8680" s="8" t="s">
        <v>126</v>
      </c>
      <c r="C8680" s="8" t="str">
        <f>IFERROR(_xlfn.XLOOKUP(TRIM(B8680),Lookup!$B$2:$B$1000,Lookup!$C$2:$C$1000),"")</f>
        <v>Equity</v>
      </c>
      <c r="D8680" s="8" t="str">
        <f>IFERROR(INDEX('nav master'!$C:$C, MATCH(B8680, 'nav master'!$B:$B, 0)), "")</f>
        <v>ULIF05501/08/13DivrEqtyFd101</v>
      </c>
      <c r="E8680" s="8" t="s">
        <v>315</v>
      </c>
      <c r="F8680" s="8" t="s">
        <v>316</v>
      </c>
    </row>
    <row r="8681" spans="1:6" ht="60" x14ac:dyDescent="0.25">
      <c r="A8681" s="8" t="s">
        <v>125</v>
      </c>
      <c r="B8681" s="8" t="s">
        <v>126</v>
      </c>
      <c r="C8681" s="8" t="str">
        <f>IFERROR(_xlfn.XLOOKUP(TRIM(B8681),Lookup!$B$2:$B$1000,Lookup!$C$2:$C$1000),"")</f>
        <v>Equity</v>
      </c>
      <c r="D8681" s="8" t="str">
        <f>IFERROR(INDEX('nav master'!$C:$C, MATCH(B8681, 'nav master'!$B:$B, 0)), "")</f>
        <v>ULIF05501/08/13DivrEqtyFd101</v>
      </c>
      <c r="E8681" s="8" t="s">
        <v>317</v>
      </c>
      <c r="F8681" s="8" t="s">
        <v>318</v>
      </c>
    </row>
    <row r="8682" spans="1:6" ht="60" x14ac:dyDescent="0.25">
      <c r="A8682" s="8" t="s">
        <v>125</v>
      </c>
      <c r="B8682" s="8" t="s">
        <v>126</v>
      </c>
      <c r="C8682" s="8" t="str">
        <f>IFERROR(_xlfn.XLOOKUP(TRIM(B8682),Lookup!$B$2:$B$1000,Lookup!$C$2:$C$1000),"")</f>
        <v>Equity</v>
      </c>
      <c r="D8682" s="8" t="str">
        <f>IFERROR(INDEX('nav master'!$C:$C, MATCH(B8682, 'nav master'!$B:$B, 0)), "")</f>
        <v>ULIF05501/08/13DivrEqtyFd101</v>
      </c>
      <c r="E8682" s="8" t="s">
        <v>319</v>
      </c>
      <c r="F8682" s="8" t="s">
        <v>320</v>
      </c>
    </row>
    <row r="8683" spans="1:6" ht="60" x14ac:dyDescent="0.25">
      <c r="A8683" s="8" t="s">
        <v>125</v>
      </c>
      <c r="B8683" s="8" t="s">
        <v>126</v>
      </c>
      <c r="C8683" s="8" t="str">
        <f>IFERROR(_xlfn.XLOOKUP(TRIM(B8683),Lookup!$B$2:$B$1000,Lookup!$C$2:$C$1000),"")</f>
        <v>Equity</v>
      </c>
      <c r="D8683" s="8" t="str">
        <f>IFERROR(INDEX('nav master'!$C:$C, MATCH(B8683, 'nav master'!$B:$B, 0)), "")</f>
        <v>ULIF05501/08/13DivrEqtyFd101</v>
      </c>
      <c r="E8683" s="8" t="s">
        <v>321</v>
      </c>
      <c r="F8683" s="8" t="s">
        <v>322</v>
      </c>
    </row>
    <row r="8684" spans="1:6" ht="60" x14ac:dyDescent="0.25">
      <c r="A8684" s="8" t="s">
        <v>125</v>
      </c>
      <c r="B8684" s="8" t="s">
        <v>126</v>
      </c>
      <c r="C8684" s="8" t="str">
        <f>IFERROR(_xlfn.XLOOKUP(TRIM(B8684),Lookup!$B$2:$B$1000,Lookup!$C$2:$C$1000),"")</f>
        <v>Equity</v>
      </c>
      <c r="D8684" s="8" t="str">
        <f>IFERROR(INDEX('nav master'!$C:$C, MATCH(B8684, 'nav master'!$B:$B, 0)), "")</f>
        <v>ULIF05501/08/13DivrEqtyFd101</v>
      </c>
      <c r="E8684" s="8" t="s">
        <v>323</v>
      </c>
      <c r="F8684" s="8" t="s">
        <v>324</v>
      </c>
    </row>
    <row r="8685" spans="1:6" ht="60" x14ac:dyDescent="0.25">
      <c r="A8685" s="8" t="s">
        <v>125</v>
      </c>
      <c r="B8685" s="8" t="s">
        <v>126</v>
      </c>
      <c r="C8685" s="8" t="str">
        <f>IFERROR(_xlfn.XLOOKUP(TRIM(B8685),Lookup!$B$2:$B$1000,Lookup!$C$2:$C$1000),"")</f>
        <v>Equity</v>
      </c>
      <c r="D8685" s="8" t="str">
        <f>IFERROR(INDEX('nav master'!$C:$C, MATCH(B8685, 'nav master'!$B:$B, 0)), "")</f>
        <v>ULIF05501/08/13DivrEqtyFd101</v>
      </c>
      <c r="E8685" s="8" t="s">
        <v>325</v>
      </c>
      <c r="F8685" s="8" t="s">
        <v>326</v>
      </c>
    </row>
    <row r="8686" spans="1:6" ht="60" x14ac:dyDescent="0.25">
      <c r="A8686" s="8" t="s">
        <v>125</v>
      </c>
      <c r="B8686" s="8" t="s">
        <v>126</v>
      </c>
      <c r="C8686" s="8" t="str">
        <f>IFERROR(_xlfn.XLOOKUP(TRIM(B8686),Lookup!$B$2:$B$1000,Lookup!$C$2:$C$1000),"")</f>
        <v>Equity</v>
      </c>
      <c r="D8686" s="8" t="str">
        <f>IFERROR(INDEX('nav master'!$C:$C, MATCH(B8686, 'nav master'!$B:$B, 0)), "")</f>
        <v>ULIF05501/08/13DivrEqtyFd101</v>
      </c>
      <c r="E8686" s="8" t="s">
        <v>327</v>
      </c>
      <c r="F8686" s="8" t="s">
        <v>328</v>
      </c>
    </row>
    <row r="8687" spans="1:6" ht="60" x14ac:dyDescent="0.25">
      <c r="A8687" s="8" t="s">
        <v>125</v>
      </c>
      <c r="B8687" s="8" t="s">
        <v>126</v>
      </c>
      <c r="C8687" s="8" t="str">
        <f>IFERROR(_xlfn.XLOOKUP(TRIM(B8687),Lookup!$B$2:$B$1000,Lookup!$C$2:$C$1000),"")</f>
        <v>Equity</v>
      </c>
      <c r="D8687" s="8" t="str">
        <f>IFERROR(INDEX('nav master'!$C:$C, MATCH(B8687, 'nav master'!$B:$B, 0)), "")</f>
        <v>ULIF05501/08/13DivrEqtyFd101</v>
      </c>
      <c r="E8687" s="8" t="s">
        <v>329</v>
      </c>
      <c r="F8687" s="8" t="s">
        <v>330</v>
      </c>
    </row>
    <row r="8688" spans="1:6" ht="60" x14ac:dyDescent="0.25">
      <c r="A8688" s="8" t="s">
        <v>125</v>
      </c>
      <c r="B8688" s="8" t="s">
        <v>126</v>
      </c>
      <c r="C8688" s="8" t="str">
        <f>IFERROR(_xlfn.XLOOKUP(TRIM(B8688),Lookup!$B$2:$B$1000,Lookup!$C$2:$C$1000),"")</f>
        <v>Equity</v>
      </c>
      <c r="D8688" s="8" t="str">
        <f>IFERROR(INDEX('nav master'!$C:$C, MATCH(B8688, 'nav master'!$B:$B, 0)), "")</f>
        <v>ULIF05501/08/13DivrEqtyFd101</v>
      </c>
      <c r="E8688" s="8" t="s">
        <v>331</v>
      </c>
      <c r="F8688" s="8" t="s">
        <v>332</v>
      </c>
    </row>
    <row r="8689" spans="1:6" ht="60" x14ac:dyDescent="0.25">
      <c r="A8689" s="8" t="s">
        <v>125</v>
      </c>
      <c r="B8689" s="8" t="s">
        <v>126</v>
      </c>
      <c r="C8689" s="8" t="str">
        <f>IFERROR(_xlfn.XLOOKUP(TRIM(B8689),Lookup!$B$2:$B$1000,Lookup!$C$2:$C$1000),"")</f>
        <v>Equity</v>
      </c>
      <c r="D8689" s="8" t="str">
        <f>IFERROR(INDEX('nav master'!$C:$C, MATCH(B8689, 'nav master'!$B:$B, 0)), "")</f>
        <v>ULIF05501/08/13DivrEqtyFd101</v>
      </c>
      <c r="E8689" s="8" t="s">
        <v>333</v>
      </c>
      <c r="F8689" s="8" t="s">
        <v>334</v>
      </c>
    </row>
    <row r="8690" spans="1:6" ht="60" x14ac:dyDescent="0.25">
      <c r="A8690" s="8" t="s">
        <v>125</v>
      </c>
      <c r="B8690" s="8" t="s">
        <v>126</v>
      </c>
      <c r="C8690" s="8" t="str">
        <f>IFERROR(_xlfn.XLOOKUP(TRIM(B8690),Lookup!$B$2:$B$1000,Lookup!$C$2:$C$1000),"")</f>
        <v>Equity</v>
      </c>
      <c r="D8690" s="8" t="str">
        <f>IFERROR(INDEX('nav master'!$C:$C, MATCH(B8690, 'nav master'!$B:$B, 0)), "")</f>
        <v>ULIF05501/08/13DivrEqtyFd101</v>
      </c>
      <c r="E8690" s="8" t="s">
        <v>335</v>
      </c>
      <c r="F8690" s="8" t="s">
        <v>336</v>
      </c>
    </row>
    <row r="8691" spans="1:6" ht="60" x14ac:dyDescent="0.25">
      <c r="A8691" s="8" t="s">
        <v>125</v>
      </c>
      <c r="B8691" s="8" t="s">
        <v>126</v>
      </c>
      <c r="C8691" s="8" t="str">
        <f>IFERROR(_xlfn.XLOOKUP(TRIM(B8691),Lookup!$B$2:$B$1000,Lookup!$C$2:$C$1000),"")</f>
        <v>Equity</v>
      </c>
      <c r="D8691" s="8" t="str">
        <f>IFERROR(INDEX('nav master'!$C:$C, MATCH(B8691, 'nav master'!$B:$B, 0)), "")</f>
        <v>ULIF05501/08/13DivrEqtyFd101</v>
      </c>
      <c r="E8691" s="8" t="s">
        <v>337</v>
      </c>
      <c r="F8691" s="8" t="s">
        <v>338</v>
      </c>
    </row>
    <row r="8692" spans="1:6" ht="60" x14ac:dyDescent="0.25">
      <c r="A8692" s="8" t="s">
        <v>125</v>
      </c>
      <c r="B8692" s="8" t="s">
        <v>126</v>
      </c>
      <c r="C8692" s="8" t="str">
        <f>IFERROR(_xlfn.XLOOKUP(TRIM(B8692),Lookup!$B$2:$B$1000,Lookup!$C$2:$C$1000),"")</f>
        <v>Equity</v>
      </c>
      <c r="D8692" s="8" t="str">
        <f>IFERROR(INDEX('nav master'!$C:$C, MATCH(B8692, 'nav master'!$B:$B, 0)), "")</f>
        <v>ULIF05501/08/13DivrEqtyFd101</v>
      </c>
      <c r="E8692" s="8" t="s">
        <v>339</v>
      </c>
      <c r="F8692" s="8" t="s">
        <v>340</v>
      </c>
    </row>
    <row r="8693" spans="1:6" ht="60" x14ac:dyDescent="0.25">
      <c r="A8693" s="8" t="s">
        <v>125</v>
      </c>
      <c r="B8693" s="8" t="s">
        <v>126</v>
      </c>
      <c r="C8693" s="8" t="str">
        <f>IFERROR(_xlfn.XLOOKUP(TRIM(B8693),Lookup!$B$2:$B$1000,Lookup!$C$2:$C$1000),"")</f>
        <v>Equity</v>
      </c>
      <c r="D8693" s="8" t="str">
        <f>IFERROR(INDEX('nav master'!$C:$C, MATCH(B8693, 'nav master'!$B:$B, 0)), "")</f>
        <v>ULIF05501/08/13DivrEqtyFd101</v>
      </c>
      <c r="E8693" s="8" t="s">
        <v>341</v>
      </c>
      <c r="F8693" s="8" t="s">
        <v>342</v>
      </c>
    </row>
    <row r="8694" spans="1:6" ht="60" x14ac:dyDescent="0.25">
      <c r="A8694" s="8" t="s">
        <v>125</v>
      </c>
      <c r="B8694" s="8" t="s">
        <v>126</v>
      </c>
      <c r="C8694" s="8" t="str">
        <f>IFERROR(_xlfn.XLOOKUP(TRIM(B8694),Lookup!$B$2:$B$1000,Lookup!$C$2:$C$1000),"")</f>
        <v>Equity</v>
      </c>
      <c r="D8694" s="8" t="str">
        <f>IFERROR(INDEX('nav master'!$C:$C, MATCH(B8694, 'nav master'!$B:$B, 0)), "")</f>
        <v>ULIF05501/08/13DivrEqtyFd101</v>
      </c>
      <c r="E8694" s="8" t="s">
        <v>343</v>
      </c>
      <c r="F8694" s="8" t="s">
        <v>344</v>
      </c>
    </row>
    <row r="8695" spans="1:6" ht="60" x14ac:dyDescent="0.25">
      <c r="A8695" s="8" t="s">
        <v>125</v>
      </c>
      <c r="B8695" s="8" t="s">
        <v>126</v>
      </c>
      <c r="C8695" s="8" t="str">
        <f>IFERROR(_xlfn.XLOOKUP(TRIM(B8695),Lookup!$B$2:$B$1000,Lookup!$C$2:$C$1000),"")</f>
        <v>Equity</v>
      </c>
      <c r="D8695" s="8" t="str">
        <f>IFERROR(INDEX('nav master'!$C:$C, MATCH(B8695, 'nav master'!$B:$B, 0)), "")</f>
        <v>ULIF05501/08/13DivrEqtyFd101</v>
      </c>
      <c r="E8695" s="8" t="s">
        <v>345</v>
      </c>
      <c r="F8695" s="8" t="s">
        <v>346</v>
      </c>
    </row>
    <row r="8696" spans="1:6" ht="60" x14ac:dyDescent="0.25">
      <c r="A8696" s="8" t="s">
        <v>125</v>
      </c>
      <c r="B8696" s="8" t="s">
        <v>126</v>
      </c>
      <c r="C8696" s="8" t="str">
        <f>IFERROR(_xlfn.XLOOKUP(TRIM(B8696),Lookup!$B$2:$B$1000,Lookup!$C$2:$C$1000),"")</f>
        <v>Equity</v>
      </c>
      <c r="D8696" s="8" t="str">
        <f>IFERROR(INDEX('nav master'!$C:$C, MATCH(B8696, 'nav master'!$B:$B, 0)), "")</f>
        <v>ULIF05501/08/13DivrEqtyFd101</v>
      </c>
      <c r="E8696" s="8" t="s">
        <v>347</v>
      </c>
      <c r="F8696" s="8" t="s">
        <v>348</v>
      </c>
    </row>
    <row r="8697" spans="1:6" ht="60" x14ac:dyDescent="0.25">
      <c r="A8697" s="8" t="s">
        <v>125</v>
      </c>
      <c r="B8697" s="8" t="s">
        <v>126</v>
      </c>
      <c r="C8697" s="8" t="str">
        <f>IFERROR(_xlfn.XLOOKUP(TRIM(B8697),Lookup!$B$2:$B$1000,Lookup!$C$2:$C$1000),"")</f>
        <v>Equity</v>
      </c>
      <c r="D8697" s="8" t="str">
        <f>IFERROR(INDEX('nav master'!$C:$C, MATCH(B8697, 'nav master'!$B:$B, 0)), "")</f>
        <v>ULIF05501/08/13DivrEqtyFd101</v>
      </c>
      <c r="E8697" s="8" t="s">
        <v>349</v>
      </c>
      <c r="F8697" s="8" t="s">
        <v>350</v>
      </c>
    </row>
    <row r="8698" spans="1:6" ht="60" x14ac:dyDescent="0.25">
      <c r="A8698" s="8" t="s">
        <v>125</v>
      </c>
      <c r="B8698" s="8" t="s">
        <v>126</v>
      </c>
      <c r="C8698" s="8" t="str">
        <f>IFERROR(_xlfn.XLOOKUP(TRIM(B8698),Lookup!$B$2:$B$1000,Lookup!$C$2:$C$1000),"")</f>
        <v>Equity</v>
      </c>
      <c r="D8698" s="8" t="str">
        <f>IFERROR(INDEX('nav master'!$C:$C, MATCH(B8698, 'nav master'!$B:$B, 0)), "")</f>
        <v>ULIF05501/08/13DivrEqtyFd101</v>
      </c>
      <c r="E8698" s="8" t="s">
        <v>351</v>
      </c>
      <c r="F8698" s="8" t="s">
        <v>352</v>
      </c>
    </row>
    <row r="8699" spans="1:6" ht="60" x14ac:dyDescent="0.25">
      <c r="A8699" s="8" t="s">
        <v>125</v>
      </c>
      <c r="B8699" s="8" t="s">
        <v>126</v>
      </c>
      <c r="C8699" s="8" t="str">
        <f>IFERROR(_xlfn.XLOOKUP(TRIM(B8699),Lookup!$B$2:$B$1000,Lookup!$C$2:$C$1000),"")</f>
        <v>Equity</v>
      </c>
      <c r="D8699" s="8" t="str">
        <f>IFERROR(INDEX('nav master'!$C:$C, MATCH(B8699, 'nav master'!$B:$B, 0)), "")</f>
        <v>ULIF05501/08/13DivrEqtyFd101</v>
      </c>
      <c r="E8699" s="8" t="s">
        <v>353</v>
      </c>
      <c r="F8699" s="8" t="s">
        <v>354</v>
      </c>
    </row>
    <row r="8700" spans="1:6" ht="60" x14ac:dyDescent="0.25">
      <c r="A8700" s="8" t="s">
        <v>125</v>
      </c>
      <c r="B8700" s="8" t="s">
        <v>126</v>
      </c>
      <c r="C8700" s="8" t="str">
        <f>IFERROR(_xlfn.XLOOKUP(TRIM(B8700),Lookup!$B$2:$B$1000,Lookup!$C$2:$C$1000),"")</f>
        <v>Equity</v>
      </c>
      <c r="D8700" s="8" t="str">
        <f>IFERROR(INDEX('nav master'!$C:$C, MATCH(B8700, 'nav master'!$B:$B, 0)), "")</f>
        <v>ULIF05501/08/13DivrEqtyFd101</v>
      </c>
      <c r="E8700" s="8" t="s">
        <v>355</v>
      </c>
      <c r="F8700" s="8" t="s">
        <v>356</v>
      </c>
    </row>
    <row r="8701" spans="1:6" ht="60" x14ac:dyDescent="0.25">
      <c r="A8701" s="8" t="s">
        <v>125</v>
      </c>
      <c r="B8701" s="8" t="s">
        <v>126</v>
      </c>
      <c r="C8701" s="8" t="str">
        <f>IFERROR(_xlfn.XLOOKUP(TRIM(B8701),Lookup!$B$2:$B$1000,Lookup!$C$2:$C$1000),"")</f>
        <v>Equity</v>
      </c>
      <c r="D8701" s="8" t="str">
        <f>IFERROR(INDEX('nav master'!$C:$C, MATCH(B8701, 'nav master'!$B:$B, 0)), "")</f>
        <v>ULIF05501/08/13DivrEqtyFd101</v>
      </c>
      <c r="E8701" s="8" t="s">
        <v>357</v>
      </c>
      <c r="F8701" s="8" t="s">
        <v>358</v>
      </c>
    </row>
    <row r="8702" spans="1:6" ht="60" x14ac:dyDescent="0.25">
      <c r="A8702" s="8" t="s">
        <v>125</v>
      </c>
      <c r="B8702" s="8" t="s">
        <v>126</v>
      </c>
      <c r="C8702" s="8" t="str">
        <f>IFERROR(_xlfn.XLOOKUP(TRIM(B8702),Lookup!$B$2:$B$1000,Lookup!$C$2:$C$1000),"")</f>
        <v>Equity</v>
      </c>
      <c r="D8702" s="8" t="str">
        <f>IFERROR(INDEX('nav master'!$C:$C, MATCH(B8702, 'nav master'!$B:$B, 0)), "")</f>
        <v>ULIF05501/08/13DivrEqtyFd101</v>
      </c>
      <c r="E8702" s="8" t="s">
        <v>359</v>
      </c>
      <c r="F8702" s="8" t="s">
        <v>360</v>
      </c>
    </row>
    <row r="8703" spans="1:6" ht="60" x14ac:dyDescent="0.25">
      <c r="A8703" s="8" t="s">
        <v>125</v>
      </c>
      <c r="B8703" s="8" t="s">
        <v>126</v>
      </c>
      <c r="C8703" s="8" t="str">
        <f>IFERROR(_xlfn.XLOOKUP(TRIM(B8703),Lookup!$B$2:$B$1000,Lookup!$C$2:$C$1000),"")</f>
        <v>Equity</v>
      </c>
      <c r="D8703" s="8" t="str">
        <f>IFERROR(INDEX('nav master'!$C:$C, MATCH(B8703, 'nav master'!$B:$B, 0)), "")</f>
        <v>ULIF05501/08/13DivrEqtyFd101</v>
      </c>
      <c r="E8703" s="8" t="s">
        <v>361</v>
      </c>
      <c r="F8703" s="8" t="s">
        <v>362</v>
      </c>
    </row>
    <row r="8704" spans="1:6" ht="60" x14ac:dyDescent="0.25">
      <c r="A8704" s="8" t="s">
        <v>125</v>
      </c>
      <c r="B8704" s="8" t="s">
        <v>126</v>
      </c>
      <c r="C8704" s="8" t="str">
        <f>IFERROR(_xlfn.XLOOKUP(TRIM(B8704),Lookup!$B$2:$B$1000,Lookup!$C$2:$C$1000),"")</f>
        <v>Equity</v>
      </c>
      <c r="D8704" s="8" t="str">
        <f>IFERROR(INDEX('nav master'!$C:$C, MATCH(B8704, 'nav master'!$B:$B, 0)), "")</f>
        <v>ULIF05501/08/13DivrEqtyFd101</v>
      </c>
      <c r="E8704" s="8" t="s">
        <v>363</v>
      </c>
      <c r="F8704" s="8" t="s">
        <v>364</v>
      </c>
    </row>
    <row r="8705" spans="1:6" ht="60" x14ac:dyDescent="0.25">
      <c r="A8705" s="8" t="s">
        <v>125</v>
      </c>
      <c r="B8705" s="8" t="s">
        <v>126</v>
      </c>
      <c r="C8705" s="8" t="str">
        <f>IFERROR(_xlfn.XLOOKUP(TRIM(B8705),Lookup!$B$2:$B$1000,Lookup!$C$2:$C$1000),"")</f>
        <v>Equity</v>
      </c>
      <c r="D8705" s="8" t="str">
        <f>IFERROR(INDEX('nav master'!$C:$C, MATCH(B8705, 'nav master'!$B:$B, 0)), "")</f>
        <v>ULIF05501/08/13DivrEqtyFd101</v>
      </c>
      <c r="E8705" s="8" t="s">
        <v>365</v>
      </c>
      <c r="F8705" s="8" t="s">
        <v>366</v>
      </c>
    </row>
    <row r="8706" spans="1:6" ht="60" x14ac:dyDescent="0.25">
      <c r="A8706" s="8" t="s">
        <v>125</v>
      </c>
      <c r="B8706" s="8" t="s">
        <v>126</v>
      </c>
      <c r="C8706" s="8" t="str">
        <f>IFERROR(_xlfn.XLOOKUP(TRIM(B8706),Lookup!$B$2:$B$1000,Lookup!$C$2:$C$1000),"")</f>
        <v>Equity</v>
      </c>
      <c r="D8706" s="8" t="str">
        <f>IFERROR(INDEX('nav master'!$C:$C, MATCH(B8706, 'nav master'!$B:$B, 0)), "")</f>
        <v>ULIF05501/08/13DivrEqtyFd101</v>
      </c>
      <c r="E8706" s="8" t="s">
        <v>367</v>
      </c>
      <c r="F8706" s="8" t="s">
        <v>368</v>
      </c>
    </row>
    <row r="8707" spans="1:6" ht="60" x14ac:dyDescent="0.25">
      <c r="A8707" s="8" t="s">
        <v>125</v>
      </c>
      <c r="B8707" s="8" t="s">
        <v>126</v>
      </c>
      <c r="C8707" s="8" t="str">
        <f>IFERROR(_xlfn.XLOOKUP(TRIM(B8707),Lookup!$B$2:$B$1000,Lookup!$C$2:$C$1000),"")</f>
        <v>Equity</v>
      </c>
      <c r="D8707" s="8" t="str">
        <f>IFERROR(INDEX('nav master'!$C:$C, MATCH(B8707, 'nav master'!$B:$B, 0)), "")</f>
        <v>ULIF05501/08/13DivrEqtyFd101</v>
      </c>
      <c r="E8707" s="8" t="s">
        <v>369</v>
      </c>
      <c r="F8707" s="8" t="s">
        <v>370</v>
      </c>
    </row>
    <row r="8708" spans="1:6" ht="60" x14ac:dyDescent="0.25">
      <c r="A8708" s="8" t="s">
        <v>125</v>
      </c>
      <c r="B8708" s="8" t="s">
        <v>126</v>
      </c>
      <c r="C8708" s="8" t="str">
        <f>IFERROR(_xlfn.XLOOKUP(TRIM(B8708),Lookup!$B$2:$B$1000,Lookup!$C$2:$C$1000),"")</f>
        <v>Equity</v>
      </c>
      <c r="D8708" s="8" t="str">
        <f>IFERROR(INDEX('nav master'!$C:$C, MATCH(B8708, 'nav master'!$B:$B, 0)), "")</f>
        <v>ULIF05501/08/13DivrEqtyFd101</v>
      </c>
      <c r="E8708" s="8" t="s">
        <v>371</v>
      </c>
      <c r="F8708" s="8" t="s">
        <v>372</v>
      </c>
    </row>
    <row r="8709" spans="1:6" ht="60" x14ac:dyDescent="0.25">
      <c r="A8709" s="8" t="s">
        <v>125</v>
      </c>
      <c r="B8709" s="8" t="s">
        <v>126</v>
      </c>
      <c r="C8709" s="8" t="str">
        <f>IFERROR(_xlfn.XLOOKUP(TRIM(B8709),Lookup!$B$2:$B$1000,Lookup!$C$2:$C$1000),"")</f>
        <v>Equity</v>
      </c>
      <c r="D8709" s="8" t="str">
        <f>IFERROR(INDEX('nav master'!$C:$C, MATCH(B8709, 'nav master'!$B:$B, 0)), "")</f>
        <v>ULIF05501/08/13DivrEqtyFd101</v>
      </c>
      <c r="E8709" s="8" t="s">
        <v>373</v>
      </c>
      <c r="F8709" s="8" t="s">
        <v>374</v>
      </c>
    </row>
    <row r="8710" spans="1:6" ht="60" x14ac:dyDescent="0.25">
      <c r="A8710" s="8" t="s">
        <v>125</v>
      </c>
      <c r="B8710" s="8" t="s">
        <v>126</v>
      </c>
      <c r="C8710" s="8" t="str">
        <f>IFERROR(_xlfn.XLOOKUP(TRIM(B8710),Lookup!$B$2:$B$1000,Lookup!$C$2:$C$1000),"")</f>
        <v>Equity</v>
      </c>
      <c r="D8710" s="8" t="str">
        <f>IFERROR(INDEX('nav master'!$C:$C, MATCH(B8710, 'nav master'!$B:$B, 0)), "")</f>
        <v>ULIF05501/08/13DivrEqtyFd101</v>
      </c>
      <c r="E8710" s="8" t="s">
        <v>375</v>
      </c>
      <c r="F8710" s="8" t="s">
        <v>376</v>
      </c>
    </row>
    <row r="8711" spans="1:6" ht="60" x14ac:dyDescent="0.25">
      <c r="A8711" s="8" t="s">
        <v>125</v>
      </c>
      <c r="B8711" s="8" t="s">
        <v>126</v>
      </c>
      <c r="C8711" s="8" t="str">
        <f>IFERROR(_xlfn.XLOOKUP(TRIM(B8711),Lookup!$B$2:$B$1000,Lookup!$C$2:$C$1000),"")</f>
        <v>Equity</v>
      </c>
      <c r="D8711" s="8" t="str">
        <f>IFERROR(INDEX('nav master'!$C:$C, MATCH(B8711, 'nav master'!$B:$B, 0)), "")</f>
        <v>ULIF05501/08/13DivrEqtyFd101</v>
      </c>
      <c r="E8711" s="8" t="s">
        <v>377</v>
      </c>
      <c r="F8711" s="8" t="s">
        <v>378</v>
      </c>
    </row>
    <row r="8712" spans="1:6" ht="60" x14ac:dyDescent="0.25">
      <c r="A8712" s="8" t="s">
        <v>125</v>
      </c>
      <c r="B8712" s="8" t="s">
        <v>126</v>
      </c>
      <c r="C8712" s="8" t="str">
        <f>IFERROR(_xlfn.XLOOKUP(TRIM(B8712),Lookup!$B$2:$B$1000,Lookup!$C$2:$C$1000),"")</f>
        <v>Equity</v>
      </c>
      <c r="D8712" s="8" t="str">
        <f>IFERROR(INDEX('nav master'!$C:$C, MATCH(B8712, 'nav master'!$B:$B, 0)), "")</f>
        <v>ULIF05501/08/13DivrEqtyFd101</v>
      </c>
      <c r="E8712" s="8" t="s">
        <v>379</v>
      </c>
      <c r="F8712" s="8" t="s">
        <v>380</v>
      </c>
    </row>
    <row r="8713" spans="1:6" ht="60" x14ac:dyDescent="0.25">
      <c r="A8713" s="8" t="s">
        <v>125</v>
      </c>
      <c r="B8713" s="8" t="s">
        <v>126</v>
      </c>
      <c r="C8713" s="8" t="str">
        <f>IFERROR(_xlfn.XLOOKUP(TRIM(B8713),Lookup!$B$2:$B$1000,Lookup!$C$2:$C$1000),"")</f>
        <v>Equity</v>
      </c>
      <c r="D8713" s="8" t="str">
        <f>IFERROR(INDEX('nav master'!$C:$C, MATCH(B8713, 'nav master'!$B:$B, 0)), "")</f>
        <v>ULIF05501/08/13DivrEqtyFd101</v>
      </c>
      <c r="E8713" s="8" t="s">
        <v>381</v>
      </c>
      <c r="F8713" s="8" t="s">
        <v>382</v>
      </c>
    </row>
    <row r="8714" spans="1:6" ht="60" x14ac:dyDescent="0.25">
      <c r="A8714" s="8" t="s">
        <v>125</v>
      </c>
      <c r="B8714" s="8" t="s">
        <v>126</v>
      </c>
      <c r="C8714" s="8" t="str">
        <f>IFERROR(_xlfn.XLOOKUP(TRIM(B8714),Lookup!$B$2:$B$1000,Lookup!$C$2:$C$1000),"")</f>
        <v>Equity</v>
      </c>
      <c r="D8714" s="8" t="str">
        <f>IFERROR(INDEX('nav master'!$C:$C, MATCH(B8714, 'nav master'!$B:$B, 0)), "")</f>
        <v>ULIF05501/08/13DivrEqtyFd101</v>
      </c>
      <c r="E8714" s="8" t="s">
        <v>383</v>
      </c>
      <c r="F8714" s="8" t="s">
        <v>384</v>
      </c>
    </row>
    <row r="8715" spans="1:6" ht="60" x14ac:dyDescent="0.25">
      <c r="A8715" s="8" t="s">
        <v>125</v>
      </c>
      <c r="B8715" s="8" t="s">
        <v>126</v>
      </c>
      <c r="C8715" s="8" t="str">
        <f>IFERROR(_xlfn.XLOOKUP(TRIM(B8715),Lookup!$B$2:$B$1000,Lookup!$C$2:$C$1000),"")</f>
        <v>Equity</v>
      </c>
      <c r="D8715" s="8" t="str">
        <f>IFERROR(INDEX('nav master'!$C:$C, MATCH(B8715, 'nav master'!$B:$B, 0)), "")</f>
        <v>ULIF05501/08/13DivrEqtyFd101</v>
      </c>
      <c r="E8715" s="8" t="s">
        <v>385</v>
      </c>
      <c r="F8715" s="8" t="s">
        <v>386</v>
      </c>
    </row>
    <row r="8716" spans="1:6" ht="60" x14ac:dyDescent="0.25">
      <c r="A8716" s="8" t="s">
        <v>125</v>
      </c>
      <c r="B8716" s="8" t="s">
        <v>126</v>
      </c>
      <c r="C8716" s="8" t="str">
        <f>IFERROR(_xlfn.XLOOKUP(TRIM(B8716),Lookup!$B$2:$B$1000,Lookup!$C$2:$C$1000),"")</f>
        <v>Equity</v>
      </c>
      <c r="D8716" s="8" t="str">
        <f>IFERROR(INDEX('nav master'!$C:$C, MATCH(B8716, 'nav master'!$B:$B, 0)), "")</f>
        <v>ULIF05501/08/13DivrEqtyFd101</v>
      </c>
      <c r="E8716" s="8" t="s">
        <v>387</v>
      </c>
      <c r="F8716" s="8" t="s">
        <v>388</v>
      </c>
    </row>
    <row r="8717" spans="1:6" ht="60" x14ac:dyDescent="0.25">
      <c r="A8717" s="8" t="s">
        <v>125</v>
      </c>
      <c r="B8717" s="8" t="s">
        <v>126</v>
      </c>
      <c r="C8717" s="8" t="str">
        <f>IFERROR(_xlfn.XLOOKUP(TRIM(B8717),Lookup!$B$2:$B$1000,Lookup!$C$2:$C$1000),"")</f>
        <v>Equity</v>
      </c>
      <c r="D8717" s="8" t="str">
        <f>IFERROR(INDEX('nav master'!$C:$C, MATCH(B8717, 'nav master'!$B:$B, 0)), "")</f>
        <v>ULIF05501/08/13DivrEqtyFd101</v>
      </c>
      <c r="E8717" s="8" t="s">
        <v>389</v>
      </c>
      <c r="F8717" s="8" t="s">
        <v>390</v>
      </c>
    </row>
    <row r="8718" spans="1:6" ht="60" x14ac:dyDescent="0.25">
      <c r="A8718" s="8" t="s">
        <v>125</v>
      </c>
      <c r="B8718" s="8" t="s">
        <v>126</v>
      </c>
      <c r="C8718" s="8" t="str">
        <f>IFERROR(_xlfn.XLOOKUP(TRIM(B8718),Lookup!$B$2:$B$1000,Lookup!$C$2:$C$1000),"")</f>
        <v>Equity</v>
      </c>
      <c r="D8718" s="8" t="str">
        <f>IFERROR(INDEX('nav master'!$C:$C, MATCH(B8718, 'nav master'!$B:$B, 0)), "")</f>
        <v>ULIF05501/08/13DivrEqtyFd101</v>
      </c>
      <c r="E8718" s="8" t="s">
        <v>391</v>
      </c>
      <c r="F8718" s="8" t="s">
        <v>392</v>
      </c>
    </row>
    <row r="8719" spans="1:6" ht="60" x14ac:dyDescent="0.25">
      <c r="A8719" s="8" t="s">
        <v>125</v>
      </c>
      <c r="B8719" s="8" t="s">
        <v>126</v>
      </c>
      <c r="C8719" s="8" t="str">
        <f>IFERROR(_xlfn.XLOOKUP(TRIM(B8719),Lookup!$B$2:$B$1000,Lookup!$C$2:$C$1000),"")</f>
        <v>Equity</v>
      </c>
      <c r="D8719" s="8" t="str">
        <f>IFERROR(INDEX('nav master'!$C:$C, MATCH(B8719, 'nav master'!$B:$B, 0)), "")</f>
        <v>ULIF05501/08/13DivrEqtyFd101</v>
      </c>
      <c r="E8719" s="8" t="s">
        <v>393</v>
      </c>
      <c r="F8719" s="8" t="s">
        <v>394</v>
      </c>
    </row>
    <row r="8720" spans="1:6" ht="60" x14ac:dyDescent="0.25">
      <c r="A8720" s="8" t="s">
        <v>125</v>
      </c>
      <c r="B8720" s="8" t="s">
        <v>126</v>
      </c>
      <c r="C8720" s="8" t="str">
        <f>IFERROR(_xlfn.XLOOKUP(TRIM(B8720),Lookup!$B$2:$B$1000,Lookup!$C$2:$C$1000),"")</f>
        <v>Equity</v>
      </c>
      <c r="D8720" s="8" t="str">
        <f>IFERROR(INDEX('nav master'!$C:$C, MATCH(B8720, 'nav master'!$B:$B, 0)), "")</f>
        <v>ULIF05501/08/13DivrEqtyFd101</v>
      </c>
      <c r="E8720" s="8" t="s">
        <v>395</v>
      </c>
      <c r="F8720" s="8" t="s">
        <v>396</v>
      </c>
    </row>
    <row r="8721" spans="1:6" ht="60" x14ac:dyDescent="0.25">
      <c r="A8721" s="8" t="s">
        <v>125</v>
      </c>
      <c r="B8721" s="8" t="s">
        <v>126</v>
      </c>
      <c r="C8721" s="8" t="str">
        <f>IFERROR(_xlfn.XLOOKUP(TRIM(B8721),Lookup!$B$2:$B$1000,Lookup!$C$2:$C$1000),"")</f>
        <v>Equity</v>
      </c>
      <c r="D8721" s="8" t="str">
        <f>IFERROR(INDEX('nav master'!$C:$C, MATCH(B8721, 'nav master'!$B:$B, 0)), "")</f>
        <v>ULIF05501/08/13DivrEqtyFd101</v>
      </c>
      <c r="E8721" s="8" t="s">
        <v>397</v>
      </c>
      <c r="F8721" s="8" t="s">
        <v>398</v>
      </c>
    </row>
    <row r="8722" spans="1:6" ht="60" x14ac:dyDescent="0.25">
      <c r="A8722" s="8" t="s">
        <v>125</v>
      </c>
      <c r="B8722" s="8" t="s">
        <v>126</v>
      </c>
      <c r="C8722" s="8" t="str">
        <f>IFERROR(_xlfn.XLOOKUP(TRIM(B8722),Lookup!$B$2:$B$1000,Lookup!$C$2:$C$1000),"")</f>
        <v>Equity</v>
      </c>
      <c r="D8722" s="8" t="str">
        <f>IFERROR(INDEX('nav master'!$C:$C, MATCH(B8722, 'nav master'!$B:$B, 0)), "")</f>
        <v>ULIF05501/08/13DivrEqtyFd101</v>
      </c>
      <c r="E8722" s="8" t="s">
        <v>399</v>
      </c>
      <c r="F8722" s="8" t="s">
        <v>400</v>
      </c>
    </row>
    <row r="8723" spans="1:6" ht="60" x14ac:dyDescent="0.25">
      <c r="A8723" s="8" t="s">
        <v>125</v>
      </c>
      <c r="B8723" s="8" t="s">
        <v>126</v>
      </c>
      <c r="C8723" s="8" t="str">
        <f>IFERROR(_xlfn.XLOOKUP(TRIM(B8723),Lookup!$B$2:$B$1000,Lookup!$C$2:$C$1000),"")</f>
        <v>Equity</v>
      </c>
      <c r="D8723" s="8" t="str">
        <f>IFERROR(INDEX('nav master'!$C:$C, MATCH(B8723, 'nav master'!$B:$B, 0)), "")</f>
        <v>ULIF05501/08/13DivrEqtyFd101</v>
      </c>
      <c r="E8723" s="8" t="s">
        <v>401</v>
      </c>
      <c r="F8723" s="8" t="s">
        <v>402</v>
      </c>
    </row>
    <row r="8724" spans="1:6" ht="60" x14ac:dyDescent="0.25">
      <c r="A8724" s="8" t="s">
        <v>125</v>
      </c>
      <c r="B8724" s="8" t="s">
        <v>126</v>
      </c>
      <c r="C8724" s="8" t="str">
        <f>IFERROR(_xlfn.XLOOKUP(TRIM(B8724),Lookup!$B$2:$B$1000,Lookup!$C$2:$C$1000),"")</f>
        <v>Equity</v>
      </c>
      <c r="D8724" s="8" t="str">
        <f>IFERROR(INDEX('nav master'!$C:$C, MATCH(B8724, 'nav master'!$B:$B, 0)), "")</f>
        <v>ULIF05501/08/13DivrEqtyFd101</v>
      </c>
      <c r="E8724" s="8" t="s">
        <v>403</v>
      </c>
      <c r="F8724" s="8" t="s">
        <v>404</v>
      </c>
    </row>
    <row r="8725" spans="1:6" ht="60" x14ac:dyDescent="0.25">
      <c r="A8725" s="8" t="s">
        <v>125</v>
      </c>
      <c r="B8725" s="8" t="s">
        <v>126</v>
      </c>
      <c r="C8725" s="8" t="str">
        <f>IFERROR(_xlfn.XLOOKUP(TRIM(B8725),Lookup!$B$2:$B$1000,Lookup!$C$2:$C$1000),"")</f>
        <v>Equity</v>
      </c>
      <c r="D8725" s="8" t="str">
        <f>IFERROR(INDEX('nav master'!$C:$C, MATCH(B8725, 'nav master'!$B:$B, 0)), "")</f>
        <v>ULIF05501/08/13DivrEqtyFd101</v>
      </c>
      <c r="E8725" s="8" t="s">
        <v>405</v>
      </c>
      <c r="F8725" s="8" t="s">
        <v>406</v>
      </c>
    </row>
    <row r="8726" spans="1:6" ht="60" x14ac:dyDescent="0.25">
      <c r="A8726" s="8" t="s">
        <v>125</v>
      </c>
      <c r="B8726" s="8" t="s">
        <v>126</v>
      </c>
      <c r="C8726" s="8" t="str">
        <f>IFERROR(_xlfn.XLOOKUP(TRIM(B8726),Lookup!$B$2:$B$1000,Lookup!$C$2:$C$1000),"")</f>
        <v>Equity</v>
      </c>
      <c r="D8726" s="8" t="str">
        <f>IFERROR(INDEX('nav master'!$C:$C, MATCH(B8726, 'nav master'!$B:$B, 0)), "")</f>
        <v>ULIF05501/08/13DivrEqtyFd101</v>
      </c>
      <c r="E8726" s="8" t="s">
        <v>407</v>
      </c>
      <c r="F8726" s="8" t="s">
        <v>408</v>
      </c>
    </row>
    <row r="8727" spans="1:6" ht="60" x14ac:dyDescent="0.25">
      <c r="A8727" s="8" t="s">
        <v>125</v>
      </c>
      <c r="B8727" s="8" t="s">
        <v>126</v>
      </c>
      <c r="C8727" s="8" t="str">
        <f>IFERROR(_xlfn.XLOOKUP(TRIM(B8727),Lookup!$B$2:$B$1000,Lookup!$C$2:$C$1000),"")</f>
        <v>Equity</v>
      </c>
      <c r="D8727" s="8" t="str">
        <f>IFERROR(INDEX('nav master'!$C:$C, MATCH(B8727, 'nav master'!$B:$B, 0)), "")</f>
        <v>ULIF05501/08/13DivrEqtyFd101</v>
      </c>
      <c r="E8727" s="8" t="s">
        <v>409</v>
      </c>
      <c r="F8727" s="8" t="s">
        <v>410</v>
      </c>
    </row>
    <row r="8728" spans="1:6" ht="60" x14ac:dyDescent="0.25">
      <c r="A8728" s="8" t="s">
        <v>125</v>
      </c>
      <c r="B8728" s="8" t="s">
        <v>126</v>
      </c>
      <c r="C8728" s="8" t="str">
        <f>IFERROR(_xlfn.XLOOKUP(TRIM(B8728),Lookup!$B$2:$B$1000,Lookup!$C$2:$C$1000),"")</f>
        <v>Equity</v>
      </c>
      <c r="D8728" s="8" t="str">
        <f>IFERROR(INDEX('nav master'!$C:$C, MATCH(B8728, 'nav master'!$B:$B, 0)), "")</f>
        <v>ULIF05501/08/13DivrEqtyFd101</v>
      </c>
      <c r="E8728" s="8" t="s">
        <v>411</v>
      </c>
      <c r="F8728" s="8" t="s">
        <v>412</v>
      </c>
    </row>
    <row r="8729" spans="1:6" ht="60" x14ac:dyDescent="0.25">
      <c r="A8729" s="8" t="s">
        <v>125</v>
      </c>
      <c r="B8729" s="8" t="s">
        <v>126</v>
      </c>
      <c r="C8729" s="8" t="str">
        <f>IFERROR(_xlfn.XLOOKUP(TRIM(B8729),Lookup!$B$2:$B$1000,Lookup!$C$2:$C$1000),"")</f>
        <v>Equity</v>
      </c>
      <c r="D8729" s="8" t="str">
        <f>IFERROR(INDEX('nav master'!$C:$C, MATCH(B8729, 'nav master'!$B:$B, 0)), "")</f>
        <v>ULIF05501/08/13DivrEqtyFd101</v>
      </c>
      <c r="E8729" s="8" t="s">
        <v>413</v>
      </c>
      <c r="F8729" s="8" t="s">
        <v>414</v>
      </c>
    </row>
    <row r="8730" spans="1:6" ht="60" x14ac:dyDescent="0.25">
      <c r="A8730" s="8" t="s">
        <v>125</v>
      </c>
      <c r="B8730" s="8" t="s">
        <v>126</v>
      </c>
      <c r="C8730" s="8" t="str">
        <f>IFERROR(_xlfn.XLOOKUP(TRIM(B8730),Lookup!$B$2:$B$1000,Lookup!$C$2:$C$1000),"")</f>
        <v>Equity</v>
      </c>
      <c r="D8730" s="8" t="str">
        <f>IFERROR(INDEX('nav master'!$C:$C, MATCH(B8730, 'nav master'!$B:$B, 0)), "")</f>
        <v>ULIF05501/08/13DivrEqtyFd101</v>
      </c>
      <c r="E8730" s="8" t="s">
        <v>415</v>
      </c>
      <c r="F8730" s="8" t="s">
        <v>416</v>
      </c>
    </row>
    <row r="8731" spans="1:6" ht="60" x14ac:dyDescent="0.25">
      <c r="A8731" s="8" t="s">
        <v>125</v>
      </c>
      <c r="B8731" s="8" t="s">
        <v>126</v>
      </c>
      <c r="C8731" s="8" t="str">
        <f>IFERROR(_xlfn.XLOOKUP(TRIM(B8731),Lookup!$B$2:$B$1000,Lookup!$C$2:$C$1000),"")</f>
        <v>Equity</v>
      </c>
      <c r="D8731" s="8" t="str">
        <f>IFERROR(INDEX('nav master'!$C:$C, MATCH(B8731, 'nav master'!$B:$B, 0)), "")</f>
        <v>ULIF05501/08/13DivrEqtyFd101</v>
      </c>
      <c r="E8731" s="8" t="s">
        <v>417</v>
      </c>
      <c r="F8731" s="8" t="s">
        <v>418</v>
      </c>
    </row>
    <row r="8732" spans="1:6" ht="60" x14ac:dyDescent="0.25">
      <c r="A8732" s="8" t="s">
        <v>125</v>
      </c>
      <c r="B8732" s="8" t="s">
        <v>126</v>
      </c>
      <c r="C8732" s="8" t="str">
        <f>IFERROR(_xlfn.XLOOKUP(TRIM(B8732),Lookup!$B$2:$B$1000,Lookup!$C$2:$C$1000),"")</f>
        <v>Equity</v>
      </c>
      <c r="D8732" s="8" t="str">
        <f>IFERROR(INDEX('nav master'!$C:$C, MATCH(B8732, 'nav master'!$B:$B, 0)), "")</f>
        <v>ULIF05501/08/13DivrEqtyFd101</v>
      </c>
      <c r="E8732" s="8" t="s">
        <v>419</v>
      </c>
      <c r="F8732" s="8" t="s">
        <v>420</v>
      </c>
    </row>
    <row r="8733" spans="1:6" ht="60" x14ac:dyDescent="0.25">
      <c r="A8733" s="8" t="s">
        <v>125</v>
      </c>
      <c r="B8733" s="8" t="s">
        <v>126</v>
      </c>
      <c r="C8733" s="8" t="str">
        <f>IFERROR(_xlfn.XLOOKUP(TRIM(B8733),Lookup!$B$2:$B$1000,Lookup!$C$2:$C$1000),"")</f>
        <v>Equity</v>
      </c>
      <c r="D8733" s="8" t="str">
        <f>IFERROR(INDEX('nav master'!$C:$C, MATCH(B8733, 'nav master'!$B:$B, 0)), "")</f>
        <v>ULIF05501/08/13DivrEqtyFd101</v>
      </c>
      <c r="E8733" s="8" t="s">
        <v>421</v>
      </c>
      <c r="F8733" s="8" t="s">
        <v>422</v>
      </c>
    </row>
    <row r="8734" spans="1:6" ht="60" x14ac:dyDescent="0.25">
      <c r="A8734" s="8" t="s">
        <v>125</v>
      </c>
      <c r="B8734" s="8" t="s">
        <v>126</v>
      </c>
      <c r="C8734" s="8" t="str">
        <f>IFERROR(_xlfn.XLOOKUP(TRIM(B8734),Lookup!$B$2:$B$1000,Lookup!$C$2:$C$1000),"")</f>
        <v>Equity</v>
      </c>
      <c r="D8734" s="8" t="str">
        <f>IFERROR(INDEX('nav master'!$C:$C, MATCH(B8734, 'nav master'!$B:$B, 0)), "")</f>
        <v>ULIF05501/08/13DivrEqtyFd101</v>
      </c>
      <c r="E8734" s="8" t="s">
        <v>423</v>
      </c>
      <c r="F8734" s="8" t="s">
        <v>424</v>
      </c>
    </row>
    <row r="8735" spans="1:6" ht="60" x14ac:dyDescent="0.25">
      <c r="A8735" s="8" t="s">
        <v>125</v>
      </c>
      <c r="B8735" s="8" t="s">
        <v>126</v>
      </c>
      <c r="C8735" s="8" t="str">
        <f>IFERROR(_xlfn.XLOOKUP(TRIM(B8735),Lookup!$B$2:$B$1000,Lookup!$C$2:$C$1000),"")</f>
        <v>Equity</v>
      </c>
      <c r="D8735" s="8" t="str">
        <f>IFERROR(INDEX('nav master'!$C:$C, MATCH(B8735, 'nav master'!$B:$B, 0)), "")</f>
        <v>ULIF05501/08/13DivrEqtyFd101</v>
      </c>
      <c r="E8735" s="8" t="s">
        <v>425</v>
      </c>
      <c r="F8735" s="8" t="s">
        <v>426</v>
      </c>
    </row>
    <row r="8736" spans="1:6" ht="60" x14ac:dyDescent="0.25">
      <c r="A8736" s="8" t="s">
        <v>125</v>
      </c>
      <c r="B8736" s="8" t="s">
        <v>126</v>
      </c>
      <c r="C8736" s="8" t="str">
        <f>IFERROR(_xlfn.XLOOKUP(TRIM(B8736),Lookup!$B$2:$B$1000,Lookup!$C$2:$C$1000),"")</f>
        <v>Equity</v>
      </c>
      <c r="D8736" s="8" t="str">
        <f>IFERROR(INDEX('nav master'!$C:$C, MATCH(B8736, 'nav master'!$B:$B, 0)), "")</f>
        <v>ULIF05501/08/13DivrEqtyFd101</v>
      </c>
      <c r="E8736" s="8" t="s">
        <v>427</v>
      </c>
      <c r="F8736" s="8" t="s">
        <v>428</v>
      </c>
    </row>
    <row r="8737" spans="1:6" ht="60" x14ac:dyDescent="0.25">
      <c r="A8737" s="8" t="s">
        <v>125</v>
      </c>
      <c r="B8737" s="8" t="s">
        <v>126</v>
      </c>
      <c r="C8737" s="8" t="str">
        <f>IFERROR(_xlfn.XLOOKUP(TRIM(B8737),Lookup!$B$2:$B$1000,Lookup!$C$2:$C$1000),"")</f>
        <v>Equity</v>
      </c>
      <c r="D8737" s="8" t="str">
        <f>IFERROR(INDEX('nav master'!$C:$C, MATCH(B8737, 'nav master'!$B:$B, 0)), "")</f>
        <v>ULIF05501/08/13DivrEqtyFd101</v>
      </c>
      <c r="E8737" s="8" t="s">
        <v>429</v>
      </c>
      <c r="F8737" s="8" t="s">
        <v>430</v>
      </c>
    </row>
    <row r="8738" spans="1:6" ht="60" x14ac:dyDescent="0.25">
      <c r="A8738" s="8" t="s">
        <v>125</v>
      </c>
      <c r="B8738" s="8" t="s">
        <v>126</v>
      </c>
      <c r="C8738" s="8" t="str">
        <f>IFERROR(_xlfn.XLOOKUP(TRIM(B8738),Lookup!$B$2:$B$1000,Lookup!$C$2:$C$1000),"")</f>
        <v>Equity</v>
      </c>
      <c r="D8738" s="8" t="str">
        <f>IFERROR(INDEX('nav master'!$C:$C, MATCH(B8738, 'nav master'!$B:$B, 0)), "")</f>
        <v>ULIF05501/08/13DivrEqtyFd101</v>
      </c>
      <c r="E8738" s="8" t="s">
        <v>431</v>
      </c>
      <c r="F8738" s="8" t="s">
        <v>432</v>
      </c>
    </row>
    <row r="8739" spans="1:6" ht="60" x14ac:dyDescent="0.25">
      <c r="A8739" s="8" t="s">
        <v>125</v>
      </c>
      <c r="B8739" s="8" t="s">
        <v>126</v>
      </c>
      <c r="C8739" s="8" t="str">
        <f>IFERROR(_xlfn.XLOOKUP(TRIM(B8739),Lookup!$B$2:$B$1000,Lookup!$C$2:$C$1000),"")</f>
        <v>Equity</v>
      </c>
      <c r="D8739" s="8" t="str">
        <f>IFERROR(INDEX('nav master'!$C:$C, MATCH(B8739, 'nav master'!$B:$B, 0)), "")</f>
        <v>ULIF05501/08/13DivrEqtyFd101</v>
      </c>
      <c r="E8739" s="8" t="s">
        <v>433</v>
      </c>
      <c r="F8739" s="8" t="s">
        <v>434</v>
      </c>
    </row>
    <row r="8740" spans="1:6" ht="60" x14ac:dyDescent="0.25">
      <c r="A8740" s="8" t="s">
        <v>125</v>
      </c>
      <c r="B8740" s="8" t="s">
        <v>126</v>
      </c>
      <c r="C8740" s="8" t="str">
        <f>IFERROR(_xlfn.XLOOKUP(TRIM(B8740),Lookup!$B$2:$B$1000,Lookup!$C$2:$C$1000),"")</f>
        <v>Equity</v>
      </c>
      <c r="D8740" s="8" t="str">
        <f>IFERROR(INDEX('nav master'!$C:$C, MATCH(B8740, 'nav master'!$B:$B, 0)), "")</f>
        <v>ULIF05501/08/13DivrEqtyFd101</v>
      </c>
      <c r="E8740" s="8" t="s">
        <v>435</v>
      </c>
      <c r="F8740" s="8" t="s">
        <v>436</v>
      </c>
    </row>
    <row r="8741" spans="1:6" ht="60" x14ac:dyDescent="0.25">
      <c r="A8741" s="8" t="s">
        <v>125</v>
      </c>
      <c r="B8741" s="8" t="s">
        <v>126</v>
      </c>
      <c r="C8741" s="8" t="str">
        <f>IFERROR(_xlfn.XLOOKUP(TRIM(B8741),Lookup!$B$2:$B$1000,Lookup!$C$2:$C$1000),"")</f>
        <v>Equity</v>
      </c>
      <c r="D8741" s="8" t="str">
        <f>IFERROR(INDEX('nav master'!$C:$C, MATCH(B8741, 'nav master'!$B:$B, 0)), "")</f>
        <v>ULIF05501/08/13DivrEqtyFd101</v>
      </c>
      <c r="E8741" s="8" t="s">
        <v>437</v>
      </c>
      <c r="F8741" s="8" t="s">
        <v>438</v>
      </c>
    </row>
    <row r="8742" spans="1:6" ht="60" x14ac:dyDescent="0.25">
      <c r="A8742" s="8" t="s">
        <v>125</v>
      </c>
      <c r="B8742" s="8" t="s">
        <v>126</v>
      </c>
      <c r="C8742" s="8" t="str">
        <f>IFERROR(_xlfn.XLOOKUP(TRIM(B8742),Lookup!$B$2:$B$1000,Lookup!$C$2:$C$1000),"")</f>
        <v>Equity</v>
      </c>
      <c r="D8742" s="8" t="str">
        <f>IFERROR(INDEX('nav master'!$C:$C, MATCH(B8742, 'nav master'!$B:$B, 0)), "")</f>
        <v>ULIF05501/08/13DivrEqtyFd101</v>
      </c>
      <c r="E8742" s="8" t="s">
        <v>439</v>
      </c>
      <c r="F8742" s="8" t="s">
        <v>440</v>
      </c>
    </row>
    <row r="8743" spans="1:6" ht="60" x14ac:dyDescent="0.25">
      <c r="A8743" s="8" t="s">
        <v>125</v>
      </c>
      <c r="B8743" s="8" t="s">
        <v>126</v>
      </c>
      <c r="C8743" s="8" t="str">
        <f>IFERROR(_xlfn.XLOOKUP(TRIM(B8743),Lookup!$B$2:$B$1000,Lookup!$C$2:$C$1000),"")</f>
        <v>Equity</v>
      </c>
      <c r="D8743" s="8" t="str">
        <f>IFERROR(INDEX('nav master'!$C:$C, MATCH(B8743, 'nav master'!$B:$B, 0)), "")</f>
        <v>ULIF05501/08/13DivrEqtyFd101</v>
      </c>
      <c r="E8743" s="8" t="s">
        <v>441</v>
      </c>
      <c r="F8743" s="8" t="s">
        <v>442</v>
      </c>
    </row>
    <row r="8744" spans="1:6" ht="60" x14ac:dyDescent="0.25">
      <c r="A8744" s="8" t="s">
        <v>125</v>
      </c>
      <c r="B8744" s="8" t="s">
        <v>126</v>
      </c>
      <c r="C8744" s="8" t="str">
        <f>IFERROR(_xlfn.XLOOKUP(TRIM(B8744),Lookup!$B$2:$B$1000,Lookup!$C$2:$C$1000),"")</f>
        <v>Equity</v>
      </c>
      <c r="D8744" s="8" t="str">
        <f>IFERROR(INDEX('nav master'!$C:$C, MATCH(B8744, 'nav master'!$B:$B, 0)), "")</f>
        <v>ULIF05501/08/13DivrEqtyFd101</v>
      </c>
      <c r="E8744" s="8" t="s">
        <v>443</v>
      </c>
      <c r="F8744" s="8" t="s">
        <v>444</v>
      </c>
    </row>
    <row r="8745" spans="1:6" ht="60" x14ac:dyDescent="0.25">
      <c r="A8745" s="8" t="s">
        <v>125</v>
      </c>
      <c r="B8745" s="8" t="s">
        <v>126</v>
      </c>
      <c r="C8745" s="8" t="str">
        <f>IFERROR(_xlfn.XLOOKUP(TRIM(B8745),Lookup!$B$2:$B$1000,Lookup!$C$2:$C$1000),"")</f>
        <v>Equity</v>
      </c>
      <c r="D8745" s="8" t="str">
        <f>IFERROR(INDEX('nav master'!$C:$C, MATCH(B8745, 'nav master'!$B:$B, 0)), "")</f>
        <v>ULIF05501/08/13DivrEqtyFd101</v>
      </c>
      <c r="E8745" s="8" t="s">
        <v>445</v>
      </c>
      <c r="F8745" s="8" t="s">
        <v>342</v>
      </c>
    </row>
    <row r="8746" spans="1:6" ht="60" x14ac:dyDescent="0.25">
      <c r="A8746" s="8" t="s">
        <v>125</v>
      </c>
      <c r="B8746" s="8" t="s">
        <v>126</v>
      </c>
      <c r="C8746" s="8" t="str">
        <f>IFERROR(_xlfn.XLOOKUP(TRIM(B8746),Lookup!$B$2:$B$1000,Lookup!$C$2:$C$1000),"")</f>
        <v>Equity</v>
      </c>
      <c r="D8746" s="8" t="str">
        <f>IFERROR(INDEX('nav master'!$C:$C, MATCH(B8746, 'nav master'!$B:$B, 0)), "")</f>
        <v>ULIF05501/08/13DivrEqtyFd101</v>
      </c>
      <c r="E8746" s="8" t="s">
        <v>446</v>
      </c>
      <c r="F8746" s="8" t="s">
        <v>447</v>
      </c>
    </row>
    <row r="8747" spans="1:6" ht="60" x14ac:dyDescent="0.25">
      <c r="A8747" s="8" t="s">
        <v>125</v>
      </c>
      <c r="B8747" s="8" t="s">
        <v>126</v>
      </c>
      <c r="C8747" s="8" t="str">
        <f>IFERROR(_xlfn.XLOOKUP(TRIM(B8747),Lookup!$B$2:$B$1000,Lookup!$C$2:$C$1000),"")</f>
        <v>Equity</v>
      </c>
      <c r="D8747" s="8" t="str">
        <f>IFERROR(INDEX('nav master'!$C:$C, MATCH(B8747, 'nav master'!$B:$B, 0)), "")</f>
        <v>ULIF05501/08/13DivrEqtyFd101</v>
      </c>
      <c r="E8747" s="8" t="s">
        <v>448</v>
      </c>
      <c r="F8747" s="8" t="s">
        <v>449</v>
      </c>
    </row>
    <row r="8748" spans="1:6" ht="60" x14ac:dyDescent="0.25">
      <c r="A8748" s="8" t="s">
        <v>125</v>
      </c>
      <c r="B8748" s="8" t="s">
        <v>126</v>
      </c>
      <c r="C8748" s="8" t="str">
        <f>IFERROR(_xlfn.XLOOKUP(TRIM(B8748),Lookup!$B$2:$B$1000,Lookup!$C$2:$C$1000),"")</f>
        <v>Equity</v>
      </c>
      <c r="D8748" s="8" t="str">
        <f>IFERROR(INDEX('nav master'!$C:$C, MATCH(B8748, 'nav master'!$B:$B, 0)), "")</f>
        <v>ULIF05501/08/13DivrEqtyFd101</v>
      </c>
      <c r="E8748" s="8" t="s">
        <v>450</v>
      </c>
      <c r="F8748" s="8" t="s">
        <v>451</v>
      </c>
    </row>
    <row r="8749" spans="1:6" ht="60" x14ac:dyDescent="0.25">
      <c r="A8749" s="8" t="s">
        <v>125</v>
      </c>
      <c r="B8749" s="8" t="s">
        <v>126</v>
      </c>
      <c r="C8749" s="8" t="str">
        <f>IFERROR(_xlfn.XLOOKUP(TRIM(B8749),Lookup!$B$2:$B$1000,Lookup!$C$2:$C$1000),"")</f>
        <v>Equity</v>
      </c>
      <c r="D8749" s="8" t="str">
        <f>IFERROR(INDEX('nav master'!$C:$C, MATCH(B8749, 'nav master'!$B:$B, 0)), "")</f>
        <v>ULIF05501/08/13DivrEqtyFd101</v>
      </c>
      <c r="E8749" s="8" t="s">
        <v>452</v>
      </c>
      <c r="F8749" s="8" t="s">
        <v>453</v>
      </c>
    </row>
    <row r="8750" spans="1:6" ht="60" x14ac:dyDescent="0.25">
      <c r="A8750" s="8" t="s">
        <v>125</v>
      </c>
      <c r="B8750" s="8" t="s">
        <v>126</v>
      </c>
      <c r="C8750" s="8" t="str">
        <f>IFERROR(_xlfn.XLOOKUP(TRIM(B8750),Lookup!$B$2:$B$1000,Lookup!$C$2:$C$1000),"")</f>
        <v>Equity</v>
      </c>
      <c r="D8750" s="8" t="str">
        <f>IFERROR(INDEX('nav master'!$C:$C, MATCH(B8750, 'nav master'!$B:$B, 0)), "")</f>
        <v>ULIF05501/08/13DivrEqtyFd101</v>
      </c>
      <c r="E8750" s="8" t="s">
        <v>454</v>
      </c>
      <c r="F8750" s="8" t="s">
        <v>455</v>
      </c>
    </row>
    <row r="8751" spans="1:6" ht="60" x14ac:dyDescent="0.25">
      <c r="A8751" s="8" t="s">
        <v>125</v>
      </c>
      <c r="B8751" s="8" t="s">
        <v>126</v>
      </c>
      <c r="C8751" s="8" t="str">
        <f>IFERROR(_xlfn.XLOOKUP(TRIM(B8751),Lookup!$B$2:$B$1000,Lookup!$C$2:$C$1000),"")</f>
        <v>Equity</v>
      </c>
      <c r="D8751" s="8" t="str">
        <f>IFERROR(INDEX('nav master'!$C:$C, MATCH(B8751, 'nav master'!$B:$B, 0)), "")</f>
        <v>ULIF05501/08/13DivrEqtyFd101</v>
      </c>
      <c r="E8751" s="8" t="s">
        <v>456</v>
      </c>
      <c r="F8751" s="8" t="s">
        <v>457</v>
      </c>
    </row>
    <row r="8752" spans="1:6" ht="60" x14ac:dyDescent="0.25">
      <c r="A8752" s="8" t="s">
        <v>125</v>
      </c>
      <c r="B8752" s="8" t="s">
        <v>126</v>
      </c>
      <c r="C8752" s="8" t="str">
        <f>IFERROR(_xlfn.XLOOKUP(TRIM(B8752),Lookup!$B$2:$B$1000,Lookup!$C$2:$C$1000),"")</f>
        <v>Equity</v>
      </c>
      <c r="D8752" s="8" t="str">
        <f>IFERROR(INDEX('nav master'!$C:$C, MATCH(B8752, 'nav master'!$B:$B, 0)), "")</f>
        <v>ULIF05501/08/13DivrEqtyFd101</v>
      </c>
      <c r="E8752" s="8" t="s">
        <v>458</v>
      </c>
      <c r="F8752" s="8" t="s">
        <v>459</v>
      </c>
    </row>
    <row r="8753" spans="1:6" ht="60" x14ac:dyDescent="0.25">
      <c r="A8753" s="8" t="s">
        <v>125</v>
      </c>
      <c r="B8753" s="8" t="s">
        <v>126</v>
      </c>
      <c r="C8753" s="8" t="str">
        <f>IFERROR(_xlfn.XLOOKUP(TRIM(B8753),Lookup!$B$2:$B$1000,Lookup!$C$2:$C$1000),"")</f>
        <v>Equity</v>
      </c>
      <c r="D8753" s="8" t="str">
        <f>IFERROR(INDEX('nav master'!$C:$C, MATCH(B8753, 'nav master'!$B:$B, 0)), "")</f>
        <v>ULIF05501/08/13DivrEqtyFd101</v>
      </c>
      <c r="E8753" s="8" t="s">
        <v>460</v>
      </c>
      <c r="F8753" s="8" t="s">
        <v>461</v>
      </c>
    </row>
    <row r="8754" spans="1:6" ht="60" x14ac:dyDescent="0.25">
      <c r="A8754" s="8" t="s">
        <v>125</v>
      </c>
      <c r="B8754" s="8" t="s">
        <v>126</v>
      </c>
      <c r="C8754" s="8" t="str">
        <f>IFERROR(_xlfn.XLOOKUP(TRIM(B8754),Lookup!$B$2:$B$1000,Lookup!$C$2:$C$1000),"")</f>
        <v>Equity</v>
      </c>
      <c r="D8754" s="8" t="str">
        <f>IFERROR(INDEX('nav master'!$C:$C, MATCH(B8754, 'nav master'!$B:$B, 0)), "")</f>
        <v>ULIF05501/08/13DivrEqtyFd101</v>
      </c>
      <c r="E8754" s="8" t="s">
        <v>462</v>
      </c>
      <c r="F8754" s="8" t="s">
        <v>463</v>
      </c>
    </row>
    <row r="8755" spans="1:6" ht="60" x14ac:dyDescent="0.25">
      <c r="A8755" s="8" t="s">
        <v>125</v>
      </c>
      <c r="B8755" s="8" t="s">
        <v>126</v>
      </c>
      <c r="C8755" s="8" t="str">
        <f>IFERROR(_xlfn.XLOOKUP(TRIM(B8755),Lookup!$B$2:$B$1000,Lookup!$C$2:$C$1000),"")</f>
        <v>Equity</v>
      </c>
      <c r="D8755" s="8" t="str">
        <f>IFERROR(INDEX('nav master'!$C:$C, MATCH(B8755, 'nav master'!$B:$B, 0)), "")</f>
        <v>ULIF05501/08/13DivrEqtyFd101</v>
      </c>
      <c r="E8755" s="8" t="s">
        <v>464</v>
      </c>
      <c r="F8755" s="8" t="s">
        <v>465</v>
      </c>
    </row>
    <row r="8756" spans="1:6" ht="60" x14ac:dyDescent="0.25">
      <c r="A8756" s="8" t="s">
        <v>125</v>
      </c>
      <c r="B8756" s="8" t="s">
        <v>126</v>
      </c>
      <c r="C8756" s="8" t="str">
        <f>IFERROR(_xlfn.XLOOKUP(TRIM(B8756),Lookup!$B$2:$B$1000,Lookup!$C$2:$C$1000),"")</f>
        <v>Equity</v>
      </c>
      <c r="D8756" s="8" t="str">
        <f>IFERROR(INDEX('nav master'!$C:$C, MATCH(B8756, 'nav master'!$B:$B, 0)), "")</f>
        <v>ULIF05501/08/13DivrEqtyFd101</v>
      </c>
      <c r="E8756" s="8" t="s">
        <v>466</v>
      </c>
      <c r="F8756" s="8" t="s">
        <v>467</v>
      </c>
    </row>
    <row r="8757" spans="1:6" ht="60" x14ac:dyDescent="0.25">
      <c r="A8757" s="8" t="s">
        <v>125</v>
      </c>
      <c r="B8757" s="8" t="s">
        <v>126</v>
      </c>
      <c r="C8757" s="8" t="str">
        <f>IFERROR(_xlfn.XLOOKUP(TRIM(B8757),Lookup!$B$2:$B$1000,Lookup!$C$2:$C$1000),"")</f>
        <v>Equity</v>
      </c>
      <c r="D8757" s="8" t="str">
        <f>IFERROR(INDEX('nav master'!$C:$C, MATCH(B8757, 'nav master'!$B:$B, 0)), "")</f>
        <v>ULIF05501/08/13DivrEqtyFd101</v>
      </c>
      <c r="E8757" s="8" t="s">
        <v>468</v>
      </c>
      <c r="F8757" s="8" t="s">
        <v>469</v>
      </c>
    </row>
    <row r="8758" spans="1:6" ht="60" x14ac:dyDescent="0.25">
      <c r="A8758" s="8" t="s">
        <v>125</v>
      </c>
      <c r="B8758" s="8" t="s">
        <v>126</v>
      </c>
      <c r="C8758" s="8" t="str">
        <f>IFERROR(_xlfn.XLOOKUP(TRIM(B8758),Lookup!$B$2:$B$1000,Lookup!$C$2:$C$1000),"")</f>
        <v>Equity</v>
      </c>
      <c r="D8758" s="8" t="str">
        <f>IFERROR(INDEX('nav master'!$C:$C, MATCH(B8758, 'nav master'!$B:$B, 0)), "")</f>
        <v>ULIF05501/08/13DivrEqtyFd101</v>
      </c>
      <c r="E8758" s="8" t="s">
        <v>470</v>
      </c>
      <c r="F8758" s="8" t="s">
        <v>471</v>
      </c>
    </row>
    <row r="8759" spans="1:6" ht="60" x14ac:dyDescent="0.25">
      <c r="A8759" s="8" t="s">
        <v>125</v>
      </c>
      <c r="B8759" s="8" t="s">
        <v>126</v>
      </c>
      <c r="C8759" s="8" t="str">
        <f>IFERROR(_xlfn.XLOOKUP(TRIM(B8759),Lookup!$B$2:$B$1000,Lookup!$C$2:$C$1000),"")</f>
        <v>Equity</v>
      </c>
      <c r="D8759" s="8" t="str">
        <f>IFERROR(INDEX('nav master'!$C:$C, MATCH(B8759, 'nav master'!$B:$B, 0)), "")</f>
        <v>ULIF05501/08/13DivrEqtyFd101</v>
      </c>
      <c r="E8759" s="8" t="s">
        <v>472</v>
      </c>
      <c r="F8759" s="8" t="s">
        <v>473</v>
      </c>
    </row>
    <row r="8760" spans="1:6" ht="60" x14ac:dyDescent="0.25">
      <c r="A8760" s="8" t="s">
        <v>125</v>
      </c>
      <c r="B8760" s="8" t="s">
        <v>126</v>
      </c>
      <c r="C8760" s="8" t="str">
        <f>IFERROR(_xlfn.XLOOKUP(TRIM(B8760),Lookup!$B$2:$B$1000,Lookup!$C$2:$C$1000),"")</f>
        <v>Equity</v>
      </c>
      <c r="D8760" s="8" t="str">
        <f>IFERROR(INDEX('nav master'!$C:$C, MATCH(B8760, 'nav master'!$B:$B, 0)), "")</f>
        <v>ULIF05501/08/13DivrEqtyFd101</v>
      </c>
      <c r="E8760" s="8" t="s">
        <v>474</v>
      </c>
      <c r="F8760" s="8" t="s">
        <v>475</v>
      </c>
    </row>
    <row r="8761" spans="1:6" ht="60" x14ac:dyDescent="0.25">
      <c r="A8761" s="8" t="s">
        <v>125</v>
      </c>
      <c r="B8761" s="8" t="s">
        <v>126</v>
      </c>
      <c r="C8761" s="8" t="str">
        <f>IFERROR(_xlfn.XLOOKUP(TRIM(B8761),Lookup!$B$2:$B$1000,Lookup!$C$2:$C$1000),"")</f>
        <v>Equity</v>
      </c>
      <c r="D8761" s="8" t="str">
        <f>IFERROR(INDEX('nav master'!$C:$C, MATCH(B8761, 'nav master'!$B:$B, 0)), "")</f>
        <v>ULIF05501/08/13DivrEqtyFd101</v>
      </c>
      <c r="E8761" s="8" t="s">
        <v>476</v>
      </c>
      <c r="F8761" s="8" t="s">
        <v>477</v>
      </c>
    </row>
    <row r="8762" spans="1:6" ht="60" x14ac:dyDescent="0.25">
      <c r="A8762" s="8" t="s">
        <v>125</v>
      </c>
      <c r="B8762" s="8" t="s">
        <v>126</v>
      </c>
      <c r="C8762" s="8" t="str">
        <f>IFERROR(_xlfn.XLOOKUP(TRIM(B8762),Lookup!$B$2:$B$1000,Lookup!$C$2:$C$1000),"")</f>
        <v>Equity</v>
      </c>
      <c r="D8762" s="8" t="str">
        <f>IFERROR(INDEX('nav master'!$C:$C, MATCH(B8762, 'nav master'!$B:$B, 0)), "")</f>
        <v>ULIF05501/08/13DivrEqtyFd101</v>
      </c>
      <c r="E8762" s="8" t="s">
        <v>478</v>
      </c>
      <c r="F8762" s="8" t="s">
        <v>479</v>
      </c>
    </row>
    <row r="8763" spans="1:6" ht="60" x14ac:dyDescent="0.25">
      <c r="A8763" s="8" t="s">
        <v>125</v>
      </c>
      <c r="B8763" s="8" t="s">
        <v>126</v>
      </c>
      <c r="C8763" s="8" t="str">
        <f>IFERROR(_xlfn.XLOOKUP(TRIM(B8763),Lookup!$B$2:$B$1000,Lookup!$C$2:$C$1000),"")</f>
        <v>Equity</v>
      </c>
      <c r="D8763" s="8" t="str">
        <f>IFERROR(INDEX('nav master'!$C:$C, MATCH(B8763, 'nav master'!$B:$B, 0)), "")</f>
        <v>ULIF05501/08/13DivrEqtyFd101</v>
      </c>
      <c r="E8763" s="8" t="s">
        <v>480</v>
      </c>
      <c r="F8763" s="8" t="s">
        <v>481</v>
      </c>
    </row>
    <row r="8764" spans="1:6" ht="60" x14ac:dyDescent="0.25">
      <c r="A8764" s="8" t="s">
        <v>125</v>
      </c>
      <c r="B8764" s="8" t="s">
        <v>126</v>
      </c>
      <c r="C8764" s="8" t="str">
        <f>IFERROR(_xlfn.XLOOKUP(TRIM(B8764),Lookup!$B$2:$B$1000,Lookup!$C$2:$C$1000),"")</f>
        <v>Equity</v>
      </c>
      <c r="D8764" s="8" t="str">
        <f>IFERROR(INDEX('nav master'!$C:$C, MATCH(B8764, 'nav master'!$B:$B, 0)), "")</f>
        <v>ULIF05501/08/13DivrEqtyFd101</v>
      </c>
      <c r="E8764" s="8" t="s">
        <v>482</v>
      </c>
      <c r="F8764" s="8" t="s">
        <v>483</v>
      </c>
    </row>
    <row r="8765" spans="1:6" ht="60" x14ac:dyDescent="0.25">
      <c r="A8765" s="8" t="s">
        <v>125</v>
      </c>
      <c r="B8765" s="8" t="s">
        <v>126</v>
      </c>
      <c r="C8765" s="8" t="str">
        <f>IFERROR(_xlfn.XLOOKUP(TRIM(B8765),Lookup!$B$2:$B$1000,Lookup!$C$2:$C$1000),"")</f>
        <v>Equity</v>
      </c>
      <c r="D8765" s="8" t="str">
        <f>IFERROR(INDEX('nav master'!$C:$C, MATCH(B8765, 'nav master'!$B:$B, 0)), "")</f>
        <v>ULIF05501/08/13DivrEqtyFd101</v>
      </c>
      <c r="E8765" s="8" t="s">
        <v>484</v>
      </c>
      <c r="F8765" s="8" t="s">
        <v>485</v>
      </c>
    </row>
    <row r="8766" spans="1:6" ht="60" x14ac:dyDescent="0.25">
      <c r="A8766" s="8" t="s">
        <v>125</v>
      </c>
      <c r="B8766" s="8" t="s">
        <v>126</v>
      </c>
      <c r="C8766" s="8" t="str">
        <f>IFERROR(_xlfn.XLOOKUP(TRIM(B8766),Lookup!$B$2:$B$1000,Lookup!$C$2:$C$1000),"")</f>
        <v>Equity</v>
      </c>
      <c r="D8766" s="8" t="str">
        <f>IFERROR(INDEX('nav master'!$C:$C, MATCH(B8766, 'nav master'!$B:$B, 0)), "")</f>
        <v>ULIF05501/08/13DivrEqtyFd101</v>
      </c>
      <c r="E8766" s="8" t="s">
        <v>486</v>
      </c>
      <c r="F8766" s="8" t="s">
        <v>487</v>
      </c>
    </row>
    <row r="8767" spans="1:6" ht="60" x14ac:dyDescent="0.25">
      <c r="A8767" s="8" t="s">
        <v>125</v>
      </c>
      <c r="B8767" s="8" t="s">
        <v>126</v>
      </c>
      <c r="C8767" s="8" t="str">
        <f>IFERROR(_xlfn.XLOOKUP(TRIM(B8767),Lookup!$B$2:$B$1000,Lookup!$C$2:$C$1000),"")</f>
        <v>Equity</v>
      </c>
      <c r="D8767" s="8" t="str">
        <f>IFERROR(INDEX('nav master'!$C:$C, MATCH(B8767, 'nav master'!$B:$B, 0)), "")</f>
        <v>ULIF05501/08/13DivrEqtyFd101</v>
      </c>
      <c r="E8767" s="8" t="s">
        <v>488</v>
      </c>
      <c r="F8767" s="8" t="s">
        <v>489</v>
      </c>
    </row>
    <row r="8768" spans="1:6" ht="60" x14ac:dyDescent="0.25">
      <c r="A8768" s="8" t="s">
        <v>125</v>
      </c>
      <c r="B8768" s="8" t="s">
        <v>126</v>
      </c>
      <c r="C8768" s="8" t="str">
        <f>IFERROR(_xlfn.XLOOKUP(TRIM(B8768),Lookup!$B$2:$B$1000,Lookup!$C$2:$C$1000),"")</f>
        <v>Equity</v>
      </c>
      <c r="D8768" s="8" t="str">
        <f>IFERROR(INDEX('nav master'!$C:$C, MATCH(B8768, 'nav master'!$B:$B, 0)), "")</f>
        <v>ULIF05501/08/13DivrEqtyFd101</v>
      </c>
      <c r="E8768" s="8" t="s">
        <v>490</v>
      </c>
      <c r="F8768" s="8" t="s">
        <v>491</v>
      </c>
    </row>
    <row r="8769" spans="1:6" ht="60" x14ac:dyDescent="0.25">
      <c r="A8769" s="8" t="s">
        <v>125</v>
      </c>
      <c r="B8769" s="8" t="s">
        <v>126</v>
      </c>
      <c r="C8769" s="8" t="str">
        <f>IFERROR(_xlfn.XLOOKUP(TRIM(B8769),Lookup!$B$2:$B$1000,Lookup!$C$2:$C$1000),"")</f>
        <v>Equity</v>
      </c>
      <c r="D8769" s="8" t="str">
        <f>IFERROR(INDEX('nav master'!$C:$C, MATCH(B8769, 'nav master'!$B:$B, 0)), "")</f>
        <v>ULIF05501/08/13DivrEqtyFd101</v>
      </c>
      <c r="E8769" s="8" t="s">
        <v>492</v>
      </c>
      <c r="F8769" s="8" t="s">
        <v>493</v>
      </c>
    </row>
    <row r="8770" spans="1:6" ht="60" x14ac:dyDescent="0.25">
      <c r="A8770" s="8" t="s">
        <v>125</v>
      </c>
      <c r="B8770" s="8" t="s">
        <v>126</v>
      </c>
      <c r="C8770" s="8" t="str">
        <f>IFERROR(_xlfn.XLOOKUP(TRIM(B8770),Lookup!$B$2:$B$1000,Lookup!$C$2:$C$1000),"")</f>
        <v>Equity</v>
      </c>
      <c r="D8770" s="8" t="str">
        <f>IFERROR(INDEX('nav master'!$C:$C, MATCH(B8770, 'nav master'!$B:$B, 0)), "")</f>
        <v>ULIF05501/08/13DivrEqtyFd101</v>
      </c>
      <c r="E8770" s="8" t="s">
        <v>494</v>
      </c>
      <c r="F8770" s="8" t="s">
        <v>495</v>
      </c>
    </row>
    <row r="8771" spans="1:6" ht="60" x14ac:dyDescent="0.25">
      <c r="A8771" s="8" t="s">
        <v>125</v>
      </c>
      <c r="B8771" s="8" t="s">
        <v>126</v>
      </c>
      <c r="C8771" s="8" t="str">
        <f>IFERROR(_xlfn.XLOOKUP(TRIM(B8771),Lookup!$B$2:$B$1000,Lookup!$C$2:$C$1000),"")</f>
        <v>Equity</v>
      </c>
      <c r="D8771" s="8" t="str">
        <f>IFERROR(INDEX('nav master'!$C:$C, MATCH(B8771, 'nav master'!$B:$B, 0)), "")</f>
        <v>ULIF05501/08/13DivrEqtyFd101</v>
      </c>
      <c r="E8771" s="8" t="s">
        <v>496</v>
      </c>
      <c r="F8771" s="8" t="s">
        <v>497</v>
      </c>
    </row>
    <row r="8772" spans="1:6" ht="60" x14ac:dyDescent="0.25">
      <c r="A8772" s="8" t="s">
        <v>125</v>
      </c>
      <c r="B8772" s="8" t="s">
        <v>126</v>
      </c>
      <c r="C8772" s="8" t="str">
        <f>IFERROR(_xlfn.XLOOKUP(TRIM(B8772),Lookup!$B$2:$B$1000,Lookup!$C$2:$C$1000),"")</f>
        <v>Equity</v>
      </c>
      <c r="D8772" s="8" t="str">
        <f>IFERROR(INDEX('nav master'!$C:$C, MATCH(B8772, 'nav master'!$B:$B, 0)), "")</f>
        <v>ULIF05501/08/13DivrEqtyFd101</v>
      </c>
      <c r="E8772" s="8" t="s">
        <v>498</v>
      </c>
      <c r="F8772" s="8" t="s">
        <v>499</v>
      </c>
    </row>
    <row r="8773" spans="1:6" ht="60" x14ac:dyDescent="0.25">
      <c r="A8773" s="8" t="s">
        <v>125</v>
      </c>
      <c r="B8773" s="8" t="s">
        <v>126</v>
      </c>
      <c r="C8773" s="8" t="str">
        <f>IFERROR(_xlfn.XLOOKUP(TRIM(B8773),Lookup!$B$2:$B$1000,Lookup!$C$2:$C$1000),"")</f>
        <v>Equity</v>
      </c>
      <c r="D8773" s="8" t="str">
        <f>IFERROR(INDEX('nav master'!$C:$C, MATCH(B8773, 'nav master'!$B:$B, 0)), "")</f>
        <v>ULIF05501/08/13DivrEqtyFd101</v>
      </c>
      <c r="E8773" s="8" t="s">
        <v>500</v>
      </c>
      <c r="F8773" s="8" t="s">
        <v>501</v>
      </c>
    </row>
    <row r="8774" spans="1:6" ht="60" x14ac:dyDescent="0.25">
      <c r="A8774" s="8" t="s">
        <v>125</v>
      </c>
      <c r="B8774" s="8" t="s">
        <v>126</v>
      </c>
      <c r="C8774" s="8" t="str">
        <f>IFERROR(_xlfn.XLOOKUP(TRIM(B8774),Lookup!$B$2:$B$1000,Lookup!$C$2:$C$1000),"")</f>
        <v>Equity</v>
      </c>
      <c r="D8774" s="8" t="str">
        <f>IFERROR(INDEX('nav master'!$C:$C, MATCH(B8774, 'nav master'!$B:$B, 0)), "")</f>
        <v>ULIF05501/08/13DivrEqtyFd101</v>
      </c>
      <c r="E8774" s="8" t="s">
        <v>502</v>
      </c>
      <c r="F8774" s="8" t="s">
        <v>503</v>
      </c>
    </row>
    <row r="8775" spans="1:6" ht="60" x14ac:dyDescent="0.25">
      <c r="A8775" s="8" t="s">
        <v>125</v>
      </c>
      <c r="B8775" s="8" t="s">
        <v>126</v>
      </c>
      <c r="C8775" s="8" t="str">
        <f>IFERROR(_xlfn.XLOOKUP(TRIM(B8775),Lookup!$B$2:$B$1000,Lookup!$C$2:$C$1000),"")</f>
        <v>Equity</v>
      </c>
      <c r="D8775" s="8" t="str">
        <f>IFERROR(INDEX('nav master'!$C:$C, MATCH(B8775, 'nav master'!$B:$B, 0)), "")</f>
        <v>ULIF05501/08/13DivrEqtyFd101</v>
      </c>
      <c r="E8775" s="8" t="s">
        <v>504</v>
      </c>
      <c r="F8775" s="8" t="s">
        <v>505</v>
      </c>
    </row>
    <row r="8776" spans="1:6" ht="60" x14ac:dyDescent="0.25">
      <c r="A8776" s="8" t="s">
        <v>125</v>
      </c>
      <c r="B8776" s="8" t="s">
        <v>126</v>
      </c>
      <c r="C8776" s="8" t="str">
        <f>IFERROR(_xlfn.XLOOKUP(TRIM(B8776),Lookup!$B$2:$B$1000,Lookup!$C$2:$C$1000),"")</f>
        <v>Equity</v>
      </c>
      <c r="D8776" s="8" t="str">
        <f>IFERROR(INDEX('nav master'!$C:$C, MATCH(B8776, 'nav master'!$B:$B, 0)), "")</f>
        <v>ULIF05501/08/13DivrEqtyFd101</v>
      </c>
      <c r="E8776" s="8" t="s">
        <v>506</v>
      </c>
      <c r="F8776" s="8" t="s">
        <v>507</v>
      </c>
    </row>
    <row r="8777" spans="1:6" ht="60" x14ac:dyDescent="0.25">
      <c r="A8777" s="8" t="s">
        <v>125</v>
      </c>
      <c r="B8777" s="8" t="s">
        <v>126</v>
      </c>
      <c r="C8777" s="8" t="str">
        <f>IFERROR(_xlfn.XLOOKUP(TRIM(B8777),Lookup!$B$2:$B$1000,Lookup!$C$2:$C$1000),"")</f>
        <v>Equity</v>
      </c>
      <c r="D8777" s="8" t="str">
        <f>IFERROR(INDEX('nav master'!$C:$C, MATCH(B8777, 'nav master'!$B:$B, 0)), "")</f>
        <v>ULIF05501/08/13DivrEqtyFd101</v>
      </c>
      <c r="E8777" s="8" t="s">
        <v>508</v>
      </c>
      <c r="F8777" s="8" t="s">
        <v>509</v>
      </c>
    </row>
    <row r="8778" spans="1:6" ht="60" x14ac:dyDescent="0.25">
      <c r="A8778" s="8" t="s">
        <v>125</v>
      </c>
      <c r="B8778" s="8" t="s">
        <v>126</v>
      </c>
      <c r="C8778" s="8" t="str">
        <f>IFERROR(_xlfn.XLOOKUP(TRIM(B8778),Lookup!$B$2:$B$1000,Lookup!$C$2:$C$1000),"")</f>
        <v>Equity</v>
      </c>
      <c r="D8778" s="8" t="str">
        <f>IFERROR(INDEX('nav master'!$C:$C, MATCH(B8778, 'nav master'!$B:$B, 0)), "")</f>
        <v>ULIF05501/08/13DivrEqtyFd101</v>
      </c>
      <c r="E8778" s="8" t="s">
        <v>510</v>
      </c>
      <c r="F8778" s="8" t="s">
        <v>511</v>
      </c>
    </row>
    <row r="8779" spans="1:6" ht="60" x14ac:dyDescent="0.25">
      <c r="A8779" s="8" t="s">
        <v>125</v>
      </c>
      <c r="B8779" s="8" t="s">
        <v>126</v>
      </c>
      <c r="C8779" s="8" t="str">
        <f>IFERROR(_xlfn.XLOOKUP(TRIM(B8779),Lookup!$B$2:$B$1000,Lookup!$C$2:$C$1000),"")</f>
        <v>Equity</v>
      </c>
      <c r="D8779" s="8" t="str">
        <f>IFERROR(INDEX('nav master'!$C:$C, MATCH(B8779, 'nav master'!$B:$B, 0)), "")</f>
        <v>ULIF05501/08/13DivrEqtyFd101</v>
      </c>
      <c r="E8779" s="8" t="s">
        <v>512</v>
      </c>
      <c r="F8779" s="8" t="s">
        <v>513</v>
      </c>
    </row>
    <row r="8780" spans="1:6" ht="60" x14ac:dyDescent="0.25">
      <c r="A8780" s="8" t="s">
        <v>125</v>
      </c>
      <c r="B8780" s="8" t="s">
        <v>126</v>
      </c>
      <c r="C8780" s="8" t="str">
        <f>IFERROR(_xlfn.XLOOKUP(TRIM(B8780),Lookup!$B$2:$B$1000,Lookup!$C$2:$C$1000),"")</f>
        <v>Equity</v>
      </c>
      <c r="D8780" s="8" t="str">
        <f>IFERROR(INDEX('nav master'!$C:$C, MATCH(B8780, 'nav master'!$B:$B, 0)), "")</f>
        <v>ULIF05501/08/13DivrEqtyFd101</v>
      </c>
      <c r="E8780" s="8" t="s">
        <v>514</v>
      </c>
      <c r="F8780" s="8" t="s">
        <v>515</v>
      </c>
    </row>
    <row r="8781" spans="1:6" ht="60" x14ac:dyDescent="0.25">
      <c r="A8781" s="8" t="s">
        <v>125</v>
      </c>
      <c r="B8781" s="8" t="s">
        <v>126</v>
      </c>
      <c r="C8781" s="8" t="str">
        <f>IFERROR(_xlfn.XLOOKUP(TRIM(B8781),Lookup!$B$2:$B$1000,Lookup!$C$2:$C$1000),"")</f>
        <v>Equity</v>
      </c>
      <c r="D8781" s="8" t="str">
        <f>IFERROR(INDEX('nav master'!$C:$C, MATCH(B8781, 'nav master'!$B:$B, 0)), "")</f>
        <v>ULIF05501/08/13DivrEqtyFd101</v>
      </c>
      <c r="E8781" s="8" t="s">
        <v>516</v>
      </c>
      <c r="F8781" s="8" t="s">
        <v>517</v>
      </c>
    </row>
    <row r="8782" spans="1:6" ht="60" x14ac:dyDescent="0.25">
      <c r="A8782" s="8" t="s">
        <v>125</v>
      </c>
      <c r="B8782" s="8" t="s">
        <v>126</v>
      </c>
      <c r="C8782" s="8" t="str">
        <f>IFERROR(_xlfn.XLOOKUP(TRIM(B8782),Lookup!$B$2:$B$1000,Lookup!$C$2:$C$1000),"")</f>
        <v>Equity</v>
      </c>
      <c r="D8782" s="8" t="str">
        <f>IFERROR(INDEX('nav master'!$C:$C, MATCH(B8782, 'nav master'!$B:$B, 0)), "")</f>
        <v>ULIF05501/08/13DivrEqtyFd101</v>
      </c>
      <c r="E8782" s="8" t="s">
        <v>518</v>
      </c>
      <c r="F8782" s="8" t="s">
        <v>519</v>
      </c>
    </row>
    <row r="8783" spans="1:6" ht="60" x14ac:dyDescent="0.25">
      <c r="A8783" s="8" t="s">
        <v>125</v>
      </c>
      <c r="B8783" s="8" t="s">
        <v>126</v>
      </c>
      <c r="C8783" s="8" t="str">
        <f>IFERROR(_xlfn.XLOOKUP(TRIM(B8783),Lookup!$B$2:$B$1000,Lookup!$C$2:$C$1000),"")</f>
        <v>Equity</v>
      </c>
      <c r="D8783" s="8" t="str">
        <f>IFERROR(INDEX('nav master'!$C:$C, MATCH(B8783, 'nav master'!$B:$B, 0)), "")</f>
        <v>ULIF05501/08/13DivrEqtyFd101</v>
      </c>
      <c r="E8783" s="8" t="s">
        <v>520</v>
      </c>
      <c r="F8783" s="8" t="s">
        <v>521</v>
      </c>
    </row>
    <row r="8784" spans="1:6" ht="60" x14ac:dyDescent="0.25">
      <c r="A8784" s="8" t="s">
        <v>125</v>
      </c>
      <c r="B8784" s="8" t="s">
        <v>126</v>
      </c>
      <c r="C8784" s="8" t="str">
        <f>IFERROR(_xlfn.XLOOKUP(TRIM(B8784),Lookup!$B$2:$B$1000,Lookup!$C$2:$C$1000),"")</f>
        <v>Equity</v>
      </c>
      <c r="D8784" s="8" t="str">
        <f>IFERROR(INDEX('nav master'!$C:$C, MATCH(B8784, 'nav master'!$B:$B, 0)), "")</f>
        <v>ULIF05501/08/13DivrEqtyFd101</v>
      </c>
      <c r="E8784" s="8" t="s">
        <v>522</v>
      </c>
      <c r="F8784" s="8" t="s">
        <v>523</v>
      </c>
    </row>
    <row r="8785" spans="1:6" ht="60" x14ac:dyDescent="0.25">
      <c r="A8785" s="8" t="s">
        <v>125</v>
      </c>
      <c r="B8785" s="8" t="s">
        <v>126</v>
      </c>
      <c r="C8785" s="8" t="str">
        <f>IFERROR(_xlfn.XLOOKUP(TRIM(B8785),Lookup!$B$2:$B$1000,Lookup!$C$2:$C$1000),"")</f>
        <v>Equity</v>
      </c>
      <c r="D8785" s="8" t="str">
        <f>IFERROR(INDEX('nav master'!$C:$C, MATCH(B8785, 'nav master'!$B:$B, 0)), "")</f>
        <v>ULIF05501/08/13DivrEqtyFd101</v>
      </c>
      <c r="E8785" s="8" t="s">
        <v>524</v>
      </c>
      <c r="F8785" s="8" t="s">
        <v>525</v>
      </c>
    </row>
    <row r="8786" spans="1:6" ht="60" x14ac:dyDescent="0.25">
      <c r="A8786" s="8" t="s">
        <v>125</v>
      </c>
      <c r="B8786" s="8" t="s">
        <v>126</v>
      </c>
      <c r="C8786" s="8" t="str">
        <f>IFERROR(_xlfn.XLOOKUP(TRIM(B8786),Lookup!$B$2:$B$1000,Lookup!$C$2:$C$1000),"")</f>
        <v>Equity</v>
      </c>
      <c r="D8786" s="8" t="str">
        <f>IFERROR(INDEX('nav master'!$C:$C, MATCH(B8786, 'nav master'!$B:$B, 0)), "")</f>
        <v>ULIF05501/08/13DivrEqtyFd101</v>
      </c>
      <c r="E8786" s="8" t="s">
        <v>526</v>
      </c>
      <c r="F8786" s="8" t="s">
        <v>527</v>
      </c>
    </row>
    <row r="8787" spans="1:6" ht="60" x14ac:dyDescent="0.25">
      <c r="A8787" s="8" t="s">
        <v>125</v>
      </c>
      <c r="B8787" s="8" t="s">
        <v>126</v>
      </c>
      <c r="C8787" s="8" t="str">
        <f>IFERROR(_xlfn.XLOOKUP(TRIM(B8787),Lookup!$B$2:$B$1000,Lookup!$C$2:$C$1000),"")</f>
        <v>Equity</v>
      </c>
      <c r="D8787" s="8" t="str">
        <f>IFERROR(INDEX('nav master'!$C:$C, MATCH(B8787, 'nav master'!$B:$B, 0)), "")</f>
        <v>ULIF05501/08/13DivrEqtyFd101</v>
      </c>
      <c r="E8787" s="8" t="s">
        <v>528</v>
      </c>
      <c r="F8787" s="8" t="s">
        <v>529</v>
      </c>
    </row>
    <row r="8788" spans="1:6" ht="60" x14ac:dyDescent="0.25">
      <c r="A8788" s="8" t="s">
        <v>125</v>
      </c>
      <c r="B8788" s="8" t="s">
        <v>126</v>
      </c>
      <c r="C8788" s="8" t="str">
        <f>IFERROR(_xlfn.XLOOKUP(TRIM(B8788),Lookup!$B$2:$B$1000,Lookup!$C$2:$C$1000),"")</f>
        <v>Equity</v>
      </c>
      <c r="D8788" s="8" t="str">
        <f>IFERROR(INDEX('nav master'!$C:$C, MATCH(B8788, 'nav master'!$B:$B, 0)), "")</f>
        <v>ULIF05501/08/13DivrEqtyFd101</v>
      </c>
      <c r="E8788" s="8" t="s">
        <v>530</v>
      </c>
      <c r="F8788" s="8" t="s">
        <v>531</v>
      </c>
    </row>
    <row r="8789" spans="1:6" ht="60" x14ac:dyDescent="0.25">
      <c r="A8789" s="8" t="s">
        <v>125</v>
      </c>
      <c r="B8789" s="8" t="s">
        <v>126</v>
      </c>
      <c r="C8789" s="8" t="str">
        <f>IFERROR(_xlfn.XLOOKUP(TRIM(B8789),Lookup!$B$2:$B$1000,Lookup!$C$2:$C$1000),"")</f>
        <v>Equity</v>
      </c>
      <c r="D8789" s="8" t="str">
        <f>IFERROR(INDEX('nav master'!$C:$C, MATCH(B8789, 'nav master'!$B:$B, 0)), "")</f>
        <v>ULIF05501/08/13DivrEqtyFd101</v>
      </c>
      <c r="E8789" s="8" t="s">
        <v>532</v>
      </c>
      <c r="F8789" s="8" t="s">
        <v>533</v>
      </c>
    </row>
    <row r="8790" spans="1:6" ht="60" x14ac:dyDescent="0.25">
      <c r="A8790" s="8" t="s">
        <v>125</v>
      </c>
      <c r="B8790" s="8" t="s">
        <v>126</v>
      </c>
      <c r="C8790" s="8" t="str">
        <f>IFERROR(_xlfn.XLOOKUP(TRIM(B8790),Lookup!$B$2:$B$1000,Lookup!$C$2:$C$1000),"")</f>
        <v>Equity</v>
      </c>
      <c r="D8790" s="8" t="str">
        <f>IFERROR(INDEX('nav master'!$C:$C, MATCH(B8790, 'nav master'!$B:$B, 0)), "")</f>
        <v>ULIF05501/08/13DivrEqtyFd101</v>
      </c>
      <c r="E8790" s="8" t="s">
        <v>534</v>
      </c>
      <c r="F8790" s="8" t="s">
        <v>535</v>
      </c>
    </row>
    <row r="8791" spans="1:6" ht="60" x14ac:dyDescent="0.25">
      <c r="A8791" s="8" t="s">
        <v>125</v>
      </c>
      <c r="B8791" s="8" t="s">
        <v>126</v>
      </c>
      <c r="C8791" s="8" t="str">
        <f>IFERROR(_xlfn.XLOOKUP(TRIM(B8791),Lookup!$B$2:$B$1000,Lookup!$C$2:$C$1000),"")</f>
        <v>Equity</v>
      </c>
      <c r="D8791" s="8" t="str">
        <f>IFERROR(INDEX('nav master'!$C:$C, MATCH(B8791, 'nav master'!$B:$B, 0)), "")</f>
        <v>ULIF05501/08/13DivrEqtyFd101</v>
      </c>
      <c r="E8791" s="8" t="s">
        <v>536</v>
      </c>
      <c r="F8791" s="8" t="s">
        <v>537</v>
      </c>
    </row>
    <row r="8792" spans="1:6" ht="60" x14ac:dyDescent="0.25">
      <c r="A8792" s="8" t="s">
        <v>125</v>
      </c>
      <c r="B8792" s="8" t="s">
        <v>126</v>
      </c>
      <c r="C8792" s="8" t="str">
        <f>IFERROR(_xlfn.XLOOKUP(TRIM(B8792),Lookup!$B$2:$B$1000,Lookup!$C$2:$C$1000),"")</f>
        <v>Equity</v>
      </c>
      <c r="D8792" s="8" t="str">
        <f>IFERROR(INDEX('nav master'!$C:$C, MATCH(B8792, 'nav master'!$B:$B, 0)), "")</f>
        <v>ULIF05501/08/13DivrEqtyFd101</v>
      </c>
      <c r="E8792" s="8" t="s">
        <v>538</v>
      </c>
      <c r="F8792" s="8" t="s">
        <v>539</v>
      </c>
    </row>
    <row r="8793" spans="1:6" ht="60" x14ac:dyDescent="0.25">
      <c r="A8793" s="8" t="s">
        <v>125</v>
      </c>
      <c r="B8793" s="8" t="s">
        <v>126</v>
      </c>
      <c r="C8793" s="8" t="str">
        <f>IFERROR(_xlfn.XLOOKUP(TRIM(B8793),Lookup!$B$2:$B$1000,Lookup!$C$2:$C$1000),"")</f>
        <v>Equity</v>
      </c>
      <c r="D8793" s="8" t="str">
        <f>IFERROR(INDEX('nav master'!$C:$C, MATCH(B8793, 'nav master'!$B:$B, 0)), "")</f>
        <v>ULIF05501/08/13DivrEqtyFd101</v>
      </c>
      <c r="E8793" s="8" t="s">
        <v>540</v>
      </c>
      <c r="F8793" s="8" t="s">
        <v>541</v>
      </c>
    </row>
    <row r="8794" spans="1:6" ht="60" x14ac:dyDescent="0.25">
      <c r="A8794" s="8" t="s">
        <v>125</v>
      </c>
      <c r="B8794" s="8" t="s">
        <v>126</v>
      </c>
      <c r="C8794" s="8" t="str">
        <f>IFERROR(_xlfn.XLOOKUP(TRIM(B8794),Lookup!$B$2:$B$1000,Lookup!$C$2:$C$1000),"")</f>
        <v>Equity</v>
      </c>
      <c r="D8794" s="8" t="str">
        <f>IFERROR(INDEX('nav master'!$C:$C, MATCH(B8794, 'nav master'!$B:$B, 0)), "")</f>
        <v>ULIF05501/08/13DivrEqtyFd101</v>
      </c>
      <c r="E8794" s="8" t="s">
        <v>542</v>
      </c>
      <c r="F8794" s="8" t="s">
        <v>543</v>
      </c>
    </row>
    <row r="8795" spans="1:6" ht="60" x14ac:dyDescent="0.25">
      <c r="A8795" s="8" t="s">
        <v>125</v>
      </c>
      <c r="B8795" s="8" t="s">
        <v>126</v>
      </c>
      <c r="C8795" s="8" t="str">
        <f>IFERROR(_xlfn.XLOOKUP(TRIM(B8795),Lookup!$B$2:$B$1000,Lookup!$C$2:$C$1000),"")</f>
        <v>Equity</v>
      </c>
      <c r="D8795" s="8" t="str">
        <f>IFERROR(INDEX('nav master'!$C:$C, MATCH(B8795, 'nav master'!$B:$B, 0)), "")</f>
        <v>ULIF05501/08/13DivrEqtyFd101</v>
      </c>
      <c r="E8795" s="8" t="s">
        <v>544</v>
      </c>
      <c r="F8795" s="8" t="s">
        <v>545</v>
      </c>
    </row>
    <row r="8796" spans="1:6" ht="60" x14ac:dyDescent="0.25">
      <c r="A8796" s="8" t="s">
        <v>125</v>
      </c>
      <c r="B8796" s="8" t="s">
        <v>126</v>
      </c>
      <c r="C8796" s="8" t="str">
        <f>IFERROR(_xlfn.XLOOKUP(TRIM(B8796),Lookup!$B$2:$B$1000,Lookup!$C$2:$C$1000),"")</f>
        <v>Equity</v>
      </c>
      <c r="D8796" s="8" t="str">
        <f>IFERROR(INDEX('nav master'!$C:$C, MATCH(B8796, 'nav master'!$B:$B, 0)), "")</f>
        <v>ULIF05501/08/13DivrEqtyFd101</v>
      </c>
      <c r="E8796" s="8" t="s">
        <v>546</v>
      </c>
      <c r="F8796" s="8" t="s">
        <v>547</v>
      </c>
    </row>
    <row r="8797" spans="1:6" ht="60" x14ac:dyDescent="0.25">
      <c r="A8797" s="8" t="s">
        <v>125</v>
      </c>
      <c r="B8797" s="8" t="s">
        <v>126</v>
      </c>
      <c r="C8797" s="8" t="str">
        <f>IFERROR(_xlfn.XLOOKUP(TRIM(B8797),Lookup!$B$2:$B$1000,Lookup!$C$2:$C$1000),"")</f>
        <v>Equity</v>
      </c>
      <c r="D8797" s="8" t="str">
        <f>IFERROR(INDEX('nav master'!$C:$C, MATCH(B8797, 'nav master'!$B:$B, 0)), "")</f>
        <v>ULIF05501/08/13DivrEqtyFd101</v>
      </c>
      <c r="E8797" s="8" t="s">
        <v>548</v>
      </c>
      <c r="F8797" s="8" t="s">
        <v>549</v>
      </c>
    </row>
    <row r="8798" spans="1:6" ht="60" x14ac:dyDescent="0.25">
      <c r="A8798" s="8" t="s">
        <v>125</v>
      </c>
      <c r="B8798" s="8" t="s">
        <v>126</v>
      </c>
      <c r="C8798" s="8" t="str">
        <f>IFERROR(_xlfn.XLOOKUP(TRIM(B8798),Lookup!$B$2:$B$1000,Lookup!$C$2:$C$1000),"")</f>
        <v>Equity</v>
      </c>
      <c r="D8798" s="8" t="str">
        <f>IFERROR(INDEX('nav master'!$C:$C, MATCH(B8798, 'nav master'!$B:$B, 0)), "")</f>
        <v>ULIF05501/08/13DivrEqtyFd101</v>
      </c>
      <c r="E8798" s="8" t="s">
        <v>550</v>
      </c>
      <c r="F8798" s="8" t="s">
        <v>551</v>
      </c>
    </row>
    <row r="8799" spans="1:6" ht="60" x14ac:dyDescent="0.25">
      <c r="A8799" s="8" t="s">
        <v>125</v>
      </c>
      <c r="B8799" s="8" t="s">
        <v>126</v>
      </c>
      <c r="C8799" s="8" t="str">
        <f>IFERROR(_xlfn.XLOOKUP(TRIM(B8799),Lookup!$B$2:$B$1000,Lookup!$C$2:$C$1000),"")</f>
        <v>Equity</v>
      </c>
      <c r="D8799" s="8" t="str">
        <f>IFERROR(INDEX('nav master'!$C:$C, MATCH(B8799, 'nav master'!$B:$B, 0)), "")</f>
        <v>ULIF05501/08/13DivrEqtyFd101</v>
      </c>
      <c r="E8799" s="8" t="s">
        <v>552</v>
      </c>
      <c r="F8799" s="8" t="s">
        <v>553</v>
      </c>
    </row>
    <row r="8800" spans="1:6" ht="60" x14ac:dyDescent="0.25">
      <c r="A8800" s="8" t="s">
        <v>125</v>
      </c>
      <c r="B8800" s="8" t="s">
        <v>126</v>
      </c>
      <c r="C8800" s="8" t="str">
        <f>IFERROR(_xlfn.XLOOKUP(TRIM(B8800),Lookup!$B$2:$B$1000,Lookup!$C$2:$C$1000),"")</f>
        <v>Equity</v>
      </c>
      <c r="D8800" s="8" t="str">
        <f>IFERROR(INDEX('nav master'!$C:$C, MATCH(B8800, 'nav master'!$B:$B, 0)), "")</f>
        <v>ULIF05501/08/13DivrEqtyFd101</v>
      </c>
      <c r="E8800" s="8" t="s">
        <v>554</v>
      </c>
      <c r="F8800" s="8" t="s">
        <v>555</v>
      </c>
    </row>
    <row r="8801" spans="1:6" ht="60" x14ac:dyDescent="0.25">
      <c r="A8801" s="8" t="s">
        <v>125</v>
      </c>
      <c r="B8801" s="8" t="s">
        <v>126</v>
      </c>
      <c r="C8801" s="8" t="str">
        <f>IFERROR(_xlfn.XLOOKUP(TRIM(B8801),Lookup!$B$2:$B$1000,Lookup!$C$2:$C$1000),"")</f>
        <v>Equity</v>
      </c>
      <c r="D8801" s="8" t="str">
        <f>IFERROR(INDEX('nav master'!$C:$C, MATCH(B8801, 'nav master'!$B:$B, 0)), "")</f>
        <v>ULIF05501/08/13DivrEqtyFd101</v>
      </c>
      <c r="E8801" s="8" t="s">
        <v>556</v>
      </c>
      <c r="F8801" s="8" t="s">
        <v>557</v>
      </c>
    </row>
    <row r="8802" spans="1:6" ht="60" x14ac:dyDescent="0.25">
      <c r="A8802" s="8" t="s">
        <v>125</v>
      </c>
      <c r="B8802" s="8" t="s">
        <v>126</v>
      </c>
      <c r="C8802" s="8" t="str">
        <f>IFERROR(_xlfn.XLOOKUP(TRIM(B8802),Lookup!$B$2:$B$1000,Lookup!$C$2:$C$1000),"")</f>
        <v>Equity</v>
      </c>
      <c r="D8802" s="8" t="str">
        <f>IFERROR(INDEX('nav master'!$C:$C, MATCH(B8802, 'nav master'!$B:$B, 0)), "")</f>
        <v>ULIF05501/08/13DivrEqtyFd101</v>
      </c>
      <c r="E8802" s="8" t="s">
        <v>558</v>
      </c>
      <c r="F8802" s="8" t="s">
        <v>559</v>
      </c>
    </row>
    <row r="8803" spans="1:6" ht="60" x14ac:dyDescent="0.25">
      <c r="A8803" s="8" t="s">
        <v>125</v>
      </c>
      <c r="B8803" s="8" t="s">
        <v>126</v>
      </c>
      <c r="C8803" s="8" t="str">
        <f>IFERROR(_xlfn.XLOOKUP(TRIM(B8803),Lookup!$B$2:$B$1000,Lookup!$C$2:$C$1000),"")</f>
        <v>Equity</v>
      </c>
      <c r="D8803" s="8" t="str">
        <f>IFERROR(INDEX('nav master'!$C:$C, MATCH(B8803, 'nav master'!$B:$B, 0)), "")</f>
        <v>ULIF05501/08/13DivrEqtyFd101</v>
      </c>
      <c r="E8803" s="8" t="s">
        <v>560</v>
      </c>
      <c r="F8803" s="8" t="s">
        <v>561</v>
      </c>
    </row>
    <row r="8804" spans="1:6" ht="60" x14ac:dyDescent="0.25">
      <c r="A8804" s="8" t="s">
        <v>125</v>
      </c>
      <c r="B8804" s="8" t="s">
        <v>126</v>
      </c>
      <c r="C8804" s="8" t="str">
        <f>IFERROR(_xlfn.XLOOKUP(TRIM(B8804),Lookup!$B$2:$B$1000,Lookup!$C$2:$C$1000),"")</f>
        <v>Equity</v>
      </c>
      <c r="D8804" s="8" t="str">
        <f>IFERROR(INDEX('nav master'!$C:$C, MATCH(B8804, 'nav master'!$B:$B, 0)), "")</f>
        <v>ULIF05501/08/13DivrEqtyFd101</v>
      </c>
      <c r="E8804" s="8" t="s">
        <v>562</v>
      </c>
      <c r="F8804" s="8" t="s">
        <v>563</v>
      </c>
    </row>
    <row r="8805" spans="1:6" ht="60" x14ac:dyDescent="0.25">
      <c r="A8805" s="8" t="s">
        <v>125</v>
      </c>
      <c r="B8805" s="8" t="s">
        <v>126</v>
      </c>
      <c r="C8805" s="8" t="str">
        <f>IFERROR(_xlfn.XLOOKUP(TRIM(B8805),Lookup!$B$2:$B$1000,Lookup!$C$2:$C$1000),"")</f>
        <v>Equity</v>
      </c>
      <c r="D8805" s="8" t="str">
        <f>IFERROR(INDEX('nav master'!$C:$C, MATCH(B8805, 'nav master'!$B:$B, 0)), "")</f>
        <v>ULIF05501/08/13DivrEqtyFd101</v>
      </c>
      <c r="E8805" s="8" t="s">
        <v>564</v>
      </c>
      <c r="F8805" s="8" t="s">
        <v>565</v>
      </c>
    </row>
    <row r="8806" spans="1:6" ht="60" x14ac:dyDescent="0.25">
      <c r="A8806" s="8" t="s">
        <v>125</v>
      </c>
      <c r="B8806" s="8" t="s">
        <v>126</v>
      </c>
      <c r="C8806" s="8" t="str">
        <f>IFERROR(_xlfn.XLOOKUP(TRIM(B8806),Lookup!$B$2:$B$1000,Lookup!$C$2:$C$1000),"")</f>
        <v>Equity</v>
      </c>
      <c r="D8806" s="8" t="str">
        <f>IFERROR(INDEX('nav master'!$C:$C, MATCH(B8806, 'nav master'!$B:$B, 0)), "")</f>
        <v>ULIF05501/08/13DivrEqtyFd101</v>
      </c>
      <c r="E8806" s="8" t="s">
        <v>566</v>
      </c>
      <c r="F8806" s="8" t="s">
        <v>567</v>
      </c>
    </row>
    <row r="8807" spans="1:6" ht="60" x14ac:dyDescent="0.25">
      <c r="A8807" s="8" t="s">
        <v>125</v>
      </c>
      <c r="B8807" s="8" t="s">
        <v>126</v>
      </c>
      <c r="C8807" s="8" t="str">
        <f>IFERROR(_xlfn.XLOOKUP(TRIM(B8807),Lookup!$B$2:$B$1000,Lookup!$C$2:$C$1000),"")</f>
        <v>Equity</v>
      </c>
      <c r="D8807" s="8" t="str">
        <f>IFERROR(INDEX('nav master'!$C:$C, MATCH(B8807, 'nav master'!$B:$B, 0)), "")</f>
        <v>ULIF05501/08/13DivrEqtyFd101</v>
      </c>
      <c r="E8807" s="8" t="s">
        <v>568</v>
      </c>
      <c r="F8807" s="8" t="s">
        <v>569</v>
      </c>
    </row>
    <row r="8808" spans="1:6" ht="60" x14ac:dyDescent="0.25">
      <c r="A8808" s="8" t="s">
        <v>125</v>
      </c>
      <c r="B8808" s="8" t="s">
        <v>126</v>
      </c>
      <c r="C8808" s="8" t="str">
        <f>IFERROR(_xlfn.XLOOKUP(TRIM(B8808),Lookup!$B$2:$B$1000,Lookup!$C$2:$C$1000),"")</f>
        <v>Equity</v>
      </c>
      <c r="D8808" s="8" t="str">
        <f>IFERROR(INDEX('nav master'!$C:$C, MATCH(B8808, 'nav master'!$B:$B, 0)), "")</f>
        <v>ULIF05501/08/13DivrEqtyFd101</v>
      </c>
      <c r="E8808" s="8" t="s">
        <v>570</v>
      </c>
      <c r="F8808" s="8" t="s">
        <v>571</v>
      </c>
    </row>
    <row r="8809" spans="1:6" ht="60" x14ac:dyDescent="0.25">
      <c r="A8809" s="8" t="s">
        <v>125</v>
      </c>
      <c r="B8809" s="8" t="s">
        <v>126</v>
      </c>
      <c r="C8809" s="8" t="str">
        <f>IFERROR(_xlfn.XLOOKUP(TRIM(B8809),Lookup!$B$2:$B$1000,Lookup!$C$2:$C$1000),"")</f>
        <v>Equity</v>
      </c>
      <c r="D8809" s="8" t="str">
        <f>IFERROR(INDEX('nav master'!$C:$C, MATCH(B8809, 'nav master'!$B:$B, 0)), "")</f>
        <v>ULIF05501/08/13DivrEqtyFd101</v>
      </c>
      <c r="E8809" s="8" t="s">
        <v>572</v>
      </c>
      <c r="F8809" s="8" t="s">
        <v>573</v>
      </c>
    </row>
    <row r="8810" spans="1:6" ht="60" x14ac:dyDescent="0.25">
      <c r="A8810" s="8" t="s">
        <v>125</v>
      </c>
      <c r="B8810" s="8" t="s">
        <v>126</v>
      </c>
      <c r="C8810" s="8" t="str">
        <f>IFERROR(_xlfn.XLOOKUP(TRIM(B8810),Lookup!$B$2:$B$1000,Lookup!$C$2:$C$1000),"")</f>
        <v>Equity</v>
      </c>
      <c r="D8810" s="8" t="str">
        <f>IFERROR(INDEX('nav master'!$C:$C, MATCH(B8810, 'nav master'!$B:$B, 0)), "")</f>
        <v>ULIF05501/08/13DivrEqtyFd101</v>
      </c>
      <c r="E8810" s="8" t="s">
        <v>574</v>
      </c>
      <c r="F8810" s="8" t="s">
        <v>575</v>
      </c>
    </row>
    <row r="8811" spans="1:6" ht="60" x14ac:dyDescent="0.25">
      <c r="A8811" s="8" t="s">
        <v>125</v>
      </c>
      <c r="B8811" s="8" t="s">
        <v>126</v>
      </c>
      <c r="C8811" s="8" t="str">
        <f>IFERROR(_xlfn.XLOOKUP(TRIM(B8811),Lookup!$B$2:$B$1000,Lookup!$C$2:$C$1000),"")</f>
        <v>Equity</v>
      </c>
      <c r="D8811" s="8" t="str">
        <f>IFERROR(INDEX('nav master'!$C:$C, MATCH(B8811, 'nav master'!$B:$B, 0)), "")</f>
        <v>ULIF05501/08/13DivrEqtyFd101</v>
      </c>
      <c r="E8811" s="8" t="s">
        <v>576</v>
      </c>
      <c r="F8811" s="8" t="s">
        <v>577</v>
      </c>
    </row>
    <row r="8812" spans="1:6" ht="60" x14ac:dyDescent="0.25">
      <c r="A8812" s="8" t="s">
        <v>125</v>
      </c>
      <c r="B8812" s="8" t="s">
        <v>126</v>
      </c>
      <c r="C8812" s="8" t="str">
        <f>IFERROR(_xlfn.XLOOKUP(TRIM(B8812),Lookup!$B$2:$B$1000,Lookup!$C$2:$C$1000),"")</f>
        <v>Equity</v>
      </c>
      <c r="D8812" s="8" t="str">
        <f>IFERROR(INDEX('nav master'!$C:$C, MATCH(B8812, 'nav master'!$B:$B, 0)), "")</f>
        <v>ULIF05501/08/13DivrEqtyFd101</v>
      </c>
      <c r="E8812" s="8" t="s">
        <v>578</v>
      </c>
      <c r="F8812" s="8" t="s">
        <v>579</v>
      </c>
    </row>
    <row r="8813" spans="1:6" ht="60" x14ac:dyDescent="0.25">
      <c r="A8813" s="8" t="s">
        <v>125</v>
      </c>
      <c r="B8813" s="8" t="s">
        <v>126</v>
      </c>
      <c r="C8813" s="8" t="str">
        <f>IFERROR(_xlfn.XLOOKUP(TRIM(B8813),Lookup!$B$2:$B$1000,Lookup!$C$2:$C$1000),"")</f>
        <v>Equity</v>
      </c>
      <c r="D8813" s="8" t="str">
        <f>IFERROR(INDEX('nav master'!$C:$C, MATCH(B8813, 'nav master'!$B:$B, 0)), "")</f>
        <v>ULIF05501/08/13DivrEqtyFd101</v>
      </c>
      <c r="E8813" s="8" t="s">
        <v>580</v>
      </c>
      <c r="F8813" s="8" t="s">
        <v>581</v>
      </c>
    </row>
    <row r="8814" spans="1:6" ht="60" x14ac:dyDescent="0.25">
      <c r="A8814" s="8" t="s">
        <v>125</v>
      </c>
      <c r="B8814" s="8" t="s">
        <v>126</v>
      </c>
      <c r="C8814" s="8" t="str">
        <f>IFERROR(_xlfn.XLOOKUP(TRIM(B8814),Lookup!$B$2:$B$1000,Lookup!$C$2:$C$1000),"")</f>
        <v>Equity</v>
      </c>
      <c r="D8814" s="8" t="str">
        <f>IFERROR(INDEX('nav master'!$C:$C, MATCH(B8814, 'nav master'!$B:$B, 0)), "")</f>
        <v>ULIF05501/08/13DivrEqtyFd101</v>
      </c>
      <c r="E8814" s="8" t="s">
        <v>582</v>
      </c>
      <c r="F8814" s="8" t="s">
        <v>583</v>
      </c>
    </row>
    <row r="8815" spans="1:6" ht="60" x14ac:dyDescent="0.25">
      <c r="A8815" s="8" t="s">
        <v>125</v>
      </c>
      <c r="B8815" s="8" t="s">
        <v>126</v>
      </c>
      <c r="C8815" s="8" t="str">
        <f>IFERROR(_xlfn.XLOOKUP(TRIM(B8815),Lookup!$B$2:$B$1000,Lookup!$C$2:$C$1000),"")</f>
        <v>Equity</v>
      </c>
      <c r="D8815" s="8" t="str">
        <f>IFERROR(INDEX('nav master'!$C:$C, MATCH(B8815, 'nav master'!$B:$B, 0)), "")</f>
        <v>ULIF05501/08/13DivrEqtyFd101</v>
      </c>
      <c r="E8815" s="8" t="s">
        <v>584</v>
      </c>
      <c r="F8815" s="8" t="s">
        <v>585</v>
      </c>
    </row>
    <row r="8816" spans="1:6" ht="60" x14ac:dyDescent="0.25">
      <c r="A8816" s="8" t="s">
        <v>125</v>
      </c>
      <c r="B8816" s="8" t="s">
        <v>126</v>
      </c>
      <c r="C8816" s="8" t="str">
        <f>IFERROR(_xlfn.XLOOKUP(TRIM(B8816),Lookup!$B$2:$B$1000,Lookup!$C$2:$C$1000),"")</f>
        <v>Equity</v>
      </c>
      <c r="D8816" s="8" t="str">
        <f>IFERROR(INDEX('nav master'!$C:$C, MATCH(B8816, 'nav master'!$B:$B, 0)), "")</f>
        <v>ULIF05501/08/13DivrEqtyFd101</v>
      </c>
      <c r="E8816" s="8" t="s">
        <v>586</v>
      </c>
      <c r="F8816" s="8" t="s">
        <v>587</v>
      </c>
    </row>
    <row r="8817" spans="1:6" ht="60" x14ac:dyDescent="0.25">
      <c r="A8817" s="8" t="s">
        <v>125</v>
      </c>
      <c r="B8817" s="8" t="s">
        <v>126</v>
      </c>
      <c r="C8817" s="8" t="str">
        <f>IFERROR(_xlfn.XLOOKUP(TRIM(B8817),Lookup!$B$2:$B$1000,Lookup!$C$2:$C$1000),"")</f>
        <v>Equity</v>
      </c>
      <c r="D8817" s="8" t="str">
        <f>IFERROR(INDEX('nav master'!$C:$C, MATCH(B8817, 'nav master'!$B:$B, 0)), "")</f>
        <v>ULIF05501/08/13DivrEqtyFd101</v>
      </c>
      <c r="E8817" s="8" t="s">
        <v>588</v>
      </c>
      <c r="F8817" s="8" t="s">
        <v>589</v>
      </c>
    </row>
    <row r="8818" spans="1:6" ht="60" x14ac:dyDescent="0.25">
      <c r="A8818" s="8" t="s">
        <v>125</v>
      </c>
      <c r="B8818" s="8" t="s">
        <v>126</v>
      </c>
      <c r="C8818" s="8" t="str">
        <f>IFERROR(_xlfn.XLOOKUP(TRIM(B8818),Lookup!$B$2:$B$1000,Lookup!$C$2:$C$1000),"")</f>
        <v>Equity</v>
      </c>
      <c r="D8818" s="8" t="str">
        <f>IFERROR(INDEX('nav master'!$C:$C, MATCH(B8818, 'nav master'!$B:$B, 0)), "")</f>
        <v>ULIF05501/08/13DivrEqtyFd101</v>
      </c>
      <c r="E8818" s="8" t="s">
        <v>590</v>
      </c>
      <c r="F8818" s="8" t="s">
        <v>591</v>
      </c>
    </row>
    <row r="8819" spans="1:6" ht="60" x14ac:dyDescent="0.25">
      <c r="A8819" s="8" t="s">
        <v>125</v>
      </c>
      <c r="B8819" s="8" t="s">
        <v>126</v>
      </c>
      <c r="C8819" s="8" t="str">
        <f>IFERROR(_xlfn.XLOOKUP(TRIM(B8819),Lookup!$B$2:$B$1000,Lookup!$C$2:$C$1000),"")</f>
        <v>Equity</v>
      </c>
      <c r="D8819" s="8" t="str">
        <f>IFERROR(INDEX('nav master'!$C:$C, MATCH(B8819, 'nav master'!$B:$B, 0)), "")</f>
        <v>ULIF05501/08/13DivrEqtyFd101</v>
      </c>
      <c r="E8819" s="8" t="s">
        <v>592</v>
      </c>
      <c r="F8819" s="8" t="s">
        <v>593</v>
      </c>
    </row>
    <row r="8820" spans="1:6" ht="60" x14ac:dyDescent="0.25">
      <c r="A8820" s="8" t="s">
        <v>125</v>
      </c>
      <c r="B8820" s="8" t="s">
        <v>126</v>
      </c>
      <c r="C8820" s="8" t="str">
        <f>IFERROR(_xlfn.XLOOKUP(TRIM(B8820),Lookup!$B$2:$B$1000,Lookup!$C$2:$C$1000),"")</f>
        <v>Equity</v>
      </c>
      <c r="D8820" s="8" t="str">
        <f>IFERROR(INDEX('nav master'!$C:$C, MATCH(B8820, 'nav master'!$B:$B, 0)), "")</f>
        <v>ULIF05501/08/13DivrEqtyFd101</v>
      </c>
      <c r="E8820" s="8" t="s">
        <v>594</v>
      </c>
      <c r="F8820" s="8" t="s">
        <v>595</v>
      </c>
    </row>
    <row r="8821" spans="1:6" ht="60" x14ac:dyDescent="0.25">
      <c r="A8821" s="8" t="s">
        <v>125</v>
      </c>
      <c r="B8821" s="8" t="s">
        <v>126</v>
      </c>
      <c r="C8821" s="8" t="str">
        <f>IFERROR(_xlfn.XLOOKUP(TRIM(B8821),Lookup!$B$2:$B$1000,Lookup!$C$2:$C$1000),"")</f>
        <v>Equity</v>
      </c>
      <c r="D8821" s="8" t="str">
        <f>IFERROR(INDEX('nav master'!$C:$C, MATCH(B8821, 'nav master'!$B:$B, 0)), "")</f>
        <v>ULIF05501/08/13DivrEqtyFd101</v>
      </c>
      <c r="E8821" s="8" t="s">
        <v>596</v>
      </c>
      <c r="F8821" s="8" t="s">
        <v>597</v>
      </c>
    </row>
    <row r="8822" spans="1:6" ht="60" x14ac:dyDescent="0.25">
      <c r="A8822" s="8" t="s">
        <v>125</v>
      </c>
      <c r="B8822" s="8" t="s">
        <v>126</v>
      </c>
      <c r="C8822" s="8" t="str">
        <f>IFERROR(_xlfn.XLOOKUP(TRIM(B8822),Lookup!$B$2:$B$1000,Lookup!$C$2:$C$1000),"")</f>
        <v>Equity</v>
      </c>
      <c r="D8822" s="8" t="str">
        <f>IFERROR(INDEX('nav master'!$C:$C, MATCH(B8822, 'nav master'!$B:$B, 0)), "")</f>
        <v>ULIF05501/08/13DivrEqtyFd101</v>
      </c>
      <c r="E8822" s="8" t="s">
        <v>598</v>
      </c>
      <c r="F8822" s="8" t="s">
        <v>599</v>
      </c>
    </row>
    <row r="8823" spans="1:6" ht="60" x14ac:dyDescent="0.25">
      <c r="A8823" s="8" t="s">
        <v>125</v>
      </c>
      <c r="B8823" s="8" t="s">
        <v>126</v>
      </c>
      <c r="C8823" s="8" t="str">
        <f>IFERROR(_xlfn.XLOOKUP(TRIM(B8823),Lookup!$B$2:$B$1000,Lookup!$C$2:$C$1000),"")</f>
        <v>Equity</v>
      </c>
      <c r="D8823" s="8" t="str">
        <f>IFERROR(INDEX('nav master'!$C:$C, MATCH(B8823, 'nav master'!$B:$B, 0)), "")</f>
        <v>ULIF05501/08/13DivrEqtyFd101</v>
      </c>
      <c r="E8823" s="8" t="s">
        <v>600</v>
      </c>
      <c r="F8823" s="8" t="s">
        <v>601</v>
      </c>
    </row>
    <row r="8824" spans="1:6" ht="60" x14ac:dyDescent="0.25">
      <c r="A8824" s="8" t="s">
        <v>125</v>
      </c>
      <c r="B8824" s="8" t="s">
        <v>126</v>
      </c>
      <c r="C8824" s="8" t="str">
        <f>IFERROR(_xlfn.XLOOKUP(TRIM(B8824),Lookup!$B$2:$B$1000,Lookup!$C$2:$C$1000),"")</f>
        <v>Equity</v>
      </c>
      <c r="D8824" s="8" t="str">
        <f>IFERROR(INDEX('nav master'!$C:$C, MATCH(B8824, 'nav master'!$B:$B, 0)), "")</f>
        <v>ULIF05501/08/13DivrEqtyFd101</v>
      </c>
      <c r="E8824" s="8" t="s">
        <v>602</v>
      </c>
      <c r="F8824" s="8" t="s">
        <v>603</v>
      </c>
    </row>
    <row r="8825" spans="1:6" ht="60" x14ac:dyDescent="0.25">
      <c r="A8825" s="8" t="s">
        <v>125</v>
      </c>
      <c r="B8825" s="8" t="s">
        <v>126</v>
      </c>
      <c r="C8825" s="8" t="str">
        <f>IFERROR(_xlfn.XLOOKUP(TRIM(B8825),Lookup!$B$2:$B$1000,Lookup!$C$2:$C$1000),"")</f>
        <v>Equity</v>
      </c>
      <c r="D8825" s="8" t="str">
        <f>IFERROR(INDEX('nav master'!$C:$C, MATCH(B8825, 'nav master'!$B:$B, 0)), "")</f>
        <v>ULIF05501/08/13DivrEqtyFd101</v>
      </c>
      <c r="E8825" s="8" t="s">
        <v>604</v>
      </c>
      <c r="F8825" s="8" t="s">
        <v>605</v>
      </c>
    </row>
    <row r="8826" spans="1:6" ht="60" x14ac:dyDescent="0.25">
      <c r="A8826" s="8" t="s">
        <v>125</v>
      </c>
      <c r="B8826" s="8" t="s">
        <v>126</v>
      </c>
      <c r="C8826" s="8" t="str">
        <f>IFERROR(_xlfn.XLOOKUP(TRIM(B8826),Lookup!$B$2:$B$1000,Lookup!$C$2:$C$1000),"")</f>
        <v>Equity</v>
      </c>
      <c r="D8826" s="8" t="str">
        <f>IFERROR(INDEX('nav master'!$C:$C, MATCH(B8826, 'nav master'!$B:$B, 0)), "")</f>
        <v>ULIF05501/08/13DivrEqtyFd101</v>
      </c>
      <c r="E8826" s="8" t="s">
        <v>606</v>
      </c>
      <c r="F8826" s="8" t="s">
        <v>607</v>
      </c>
    </row>
    <row r="8827" spans="1:6" ht="60" x14ac:dyDescent="0.25">
      <c r="A8827" s="8" t="s">
        <v>125</v>
      </c>
      <c r="B8827" s="8" t="s">
        <v>126</v>
      </c>
      <c r="C8827" s="8" t="str">
        <f>IFERROR(_xlfn.XLOOKUP(TRIM(B8827),Lookup!$B$2:$B$1000,Lookup!$C$2:$C$1000),"")</f>
        <v>Equity</v>
      </c>
      <c r="D8827" s="8" t="str">
        <f>IFERROR(INDEX('nav master'!$C:$C, MATCH(B8827, 'nav master'!$B:$B, 0)), "")</f>
        <v>ULIF05501/08/13DivrEqtyFd101</v>
      </c>
      <c r="E8827" s="8" t="s">
        <v>608</v>
      </c>
      <c r="F8827" s="8" t="s">
        <v>609</v>
      </c>
    </row>
    <row r="8828" spans="1:6" ht="60" x14ac:dyDescent="0.25">
      <c r="A8828" s="8" t="s">
        <v>125</v>
      </c>
      <c r="B8828" s="8" t="s">
        <v>126</v>
      </c>
      <c r="C8828" s="8" t="str">
        <f>IFERROR(_xlfn.XLOOKUP(TRIM(B8828),Lookup!$B$2:$B$1000,Lookup!$C$2:$C$1000),"")</f>
        <v>Equity</v>
      </c>
      <c r="D8828" s="8" t="str">
        <f>IFERROR(INDEX('nav master'!$C:$C, MATCH(B8828, 'nav master'!$B:$B, 0)), "")</f>
        <v>ULIF05501/08/13DivrEqtyFd101</v>
      </c>
      <c r="E8828" s="8" t="s">
        <v>610</v>
      </c>
      <c r="F8828" s="8" t="s">
        <v>611</v>
      </c>
    </row>
    <row r="8829" spans="1:6" ht="60" x14ac:dyDescent="0.25">
      <c r="A8829" s="8" t="s">
        <v>125</v>
      </c>
      <c r="B8829" s="8" t="s">
        <v>126</v>
      </c>
      <c r="C8829" s="8" t="str">
        <f>IFERROR(_xlfn.XLOOKUP(TRIM(B8829),Lookup!$B$2:$B$1000,Lookup!$C$2:$C$1000),"")</f>
        <v>Equity</v>
      </c>
      <c r="D8829" s="8" t="str">
        <f>IFERROR(INDEX('nav master'!$C:$C, MATCH(B8829, 'nav master'!$B:$B, 0)), "")</f>
        <v>ULIF05501/08/13DivrEqtyFd101</v>
      </c>
      <c r="E8829" s="8" t="s">
        <v>612</v>
      </c>
      <c r="F8829" s="8" t="s">
        <v>613</v>
      </c>
    </row>
    <row r="8830" spans="1:6" ht="60" x14ac:dyDescent="0.25">
      <c r="A8830" s="8" t="s">
        <v>125</v>
      </c>
      <c r="B8830" s="8" t="s">
        <v>126</v>
      </c>
      <c r="C8830" s="8" t="str">
        <f>IFERROR(_xlfn.XLOOKUP(TRIM(B8830),Lookup!$B$2:$B$1000,Lookup!$C$2:$C$1000),"")</f>
        <v>Equity</v>
      </c>
      <c r="D8830" s="8" t="str">
        <f>IFERROR(INDEX('nav master'!$C:$C, MATCH(B8830, 'nav master'!$B:$B, 0)), "")</f>
        <v>ULIF05501/08/13DivrEqtyFd101</v>
      </c>
      <c r="E8830" s="8" t="s">
        <v>614</v>
      </c>
      <c r="F8830" s="8" t="s">
        <v>615</v>
      </c>
    </row>
    <row r="8831" spans="1:6" ht="60" x14ac:dyDescent="0.25">
      <c r="A8831" s="8" t="s">
        <v>125</v>
      </c>
      <c r="B8831" s="8" t="s">
        <v>126</v>
      </c>
      <c r="C8831" s="8" t="str">
        <f>IFERROR(_xlfn.XLOOKUP(TRIM(B8831),Lookup!$B$2:$B$1000,Lookup!$C$2:$C$1000),"")</f>
        <v>Equity</v>
      </c>
      <c r="D8831" s="8" t="str">
        <f>IFERROR(INDEX('nav master'!$C:$C, MATCH(B8831, 'nav master'!$B:$B, 0)), "")</f>
        <v>ULIF05501/08/13DivrEqtyFd101</v>
      </c>
      <c r="E8831" s="8" t="s">
        <v>616</v>
      </c>
      <c r="F8831" s="8" t="s">
        <v>617</v>
      </c>
    </row>
    <row r="8832" spans="1:6" ht="60" x14ac:dyDescent="0.25">
      <c r="A8832" s="8" t="s">
        <v>125</v>
      </c>
      <c r="B8832" s="8" t="s">
        <v>126</v>
      </c>
      <c r="C8832" s="8" t="str">
        <f>IFERROR(_xlfn.XLOOKUP(TRIM(B8832),Lookup!$B$2:$B$1000,Lookup!$C$2:$C$1000),"")</f>
        <v>Equity</v>
      </c>
      <c r="D8832" s="8" t="str">
        <f>IFERROR(INDEX('nav master'!$C:$C, MATCH(B8832, 'nav master'!$B:$B, 0)), "")</f>
        <v>ULIF05501/08/13DivrEqtyFd101</v>
      </c>
      <c r="E8832" s="8" t="s">
        <v>618</v>
      </c>
      <c r="F8832" s="8" t="s">
        <v>619</v>
      </c>
    </row>
    <row r="8833" spans="1:6" ht="60" x14ac:dyDescent="0.25">
      <c r="A8833" s="8" t="s">
        <v>125</v>
      </c>
      <c r="B8833" s="8" t="s">
        <v>126</v>
      </c>
      <c r="C8833" s="8" t="str">
        <f>IFERROR(_xlfn.XLOOKUP(TRIM(B8833),Lookup!$B$2:$B$1000,Lookup!$C$2:$C$1000),"")</f>
        <v>Equity</v>
      </c>
      <c r="D8833" s="8" t="str">
        <f>IFERROR(INDEX('nav master'!$C:$C, MATCH(B8833, 'nav master'!$B:$B, 0)), "")</f>
        <v>ULIF05501/08/13DivrEqtyFd101</v>
      </c>
      <c r="E8833" s="8" t="s">
        <v>620</v>
      </c>
      <c r="F8833" s="8" t="s">
        <v>621</v>
      </c>
    </row>
    <row r="8834" spans="1:6" ht="60" x14ac:dyDescent="0.25">
      <c r="A8834" s="8" t="s">
        <v>125</v>
      </c>
      <c r="B8834" s="8" t="s">
        <v>126</v>
      </c>
      <c r="C8834" s="8" t="str">
        <f>IFERROR(_xlfn.XLOOKUP(TRIM(B8834),Lookup!$B$2:$B$1000,Lookup!$C$2:$C$1000),"")</f>
        <v>Equity</v>
      </c>
      <c r="D8834" s="8" t="str">
        <f>IFERROR(INDEX('nav master'!$C:$C, MATCH(B8834, 'nav master'!$B:$B, 0)), "")</f>
        <v>ULIF05501/08/13DivrEqtyFd101</v>
      </c>
      <c r="E8834" s="8" t="s">
        <v>622</v>
      </c>
      <c r="F8834" s="8" t="s">
        <v>623</v>
      </c>
    </row>
    <row r="8835" spans="1:6" ht="60" x14ac:dyDescent="0.25">
      <c r="A8835" s="8" t="s">
        <v>125</v>
      </c>
      <c r="B8835" s="8" t="s">
        <v>126</v>
      </c>
      <c r="C8835" s="8" t="str">
        <f>IFERROR(_xlfn.XLOOKUP(TRIM(B8835),Lookup!$B$2:$B$1000,Lookup!$C$2:$C$1000),"")</f>
        <v>Equity</v>
      </c>
      <c r="D8835" s="8" t="str">
        <f>IFERROR(INDEX('nav master'!$C:$C, MATCH(B8835, 'nav master'!$B:$B, 0)), "")</f>
        <v>ULIF05501/08/13DivrEqtyFd101</v>
      </c>
      <c r="E8835" s="8" t="s">
        <v>624</v>
      </c>
      <c r="F8835" s="8" t="s">
        <v>625</v>
      </c>
    </row>
    <row r="8836" spans="1:6" ht="60" x14ac:dyDescent="0.25">
      <c r="A8836" s="8" t="s">
        <v>125</v>
      </c>
      <c r="B8836" s="8" t="s">
        <v>126</v>
      </c>
      <c r="C8836" s="8" t="str">
        <f>IFERROR(_xlfn.XLOOKUP(TRIM(B8836),Lookup!$B$2:$B$1000,Lookup!$C$2:$C$1000),"")</f>
        <v>Equity</v>
      </c>
      <c r="D8836" s="8" t="str">
        <f>IFERROR(INDEX('nav master'!$C:$C, MATCH(B8836, 'nav master'!$B:$B, 0)), "")</f>
        <v>ULIF05501/08/13DivrEqtyFd101</v>
      </c>
      <c r="E8836" s="8" t="s">
        <v>626</v>
      </c>
      <c r="F8836" s="8" t="s">
        <v>627</v>
      </c>
    </row>
    <row r="8837" spans="1:6" ht="60" x14ac:dyDescent="0.25">
      <c r="A8837" s="8" t="s">
        <v>125</v>
      </c>
      <c r="B8837" s="8" t="s">
        <v>126</v>
      </c>
      <c r="C8837" s="8" t="str">
        <f>IFERROR(_xlfn.XLOOKUP(TRIM(B8837),Lookup!$B$2:$B$1000,Lookup!$C$2:$C$1000),"")</f>
        <v>Equity</v>
      </c>
      <c r="D8837" s="8" t="str">
        <f>IFERROR(INDEX('nav master'!$C:$C, MATCH(B8837, 'nav master'!$B:$B, 0)), "")</f>
        <v>ULIF05501/08/13DivrEqtyFd101</v>
      </c>
      <c r="E8837" s="8" t="s">
        <v>628</v>
      </c>
      <c r="F8837" s="8" t="s">
        <v>629</v>
      </c>
    </row>
    <row r="8838" spans="1:6" ht="60" x14ac:dyDescent="0.25">
      <c r="A8838" s="8" t="s">
        <v>125</v>
      </c>
      <c r="B8838" s="8" t="s">
        <v>126</v>
      </c>
      <c r="C8838" s="8" t="str">
        <f>IFERROR(_xlfn.XLOOKUP(TRIM(B8838),Lookup!$B$2:$B$1000,Lookup!$C$2:$C$1000),"")</f>
        <v>Equity</v>
      </c>
      <c r="D8838" s="8" t="str">
        <f>IFERROR(INDEX('nav master'!$C:$C, MATCH(B8838, 'nav master'!$B:$B, 0)), "")</f>
        <v>ULIF05501/08/13DivrEqtyFd101</v>
      </c>
      <c r="E8838" s="8" t="s">
        <v>630</v>
      </c>
      <c r="F8838" s="8" t="s">
        <v>631</v>
      </c>
    </row>
    <row r="8839" spans="1:6" ht="60" x14ac:dyDescent="0.25">
      <c r="A8839" s="8" t="s">
        <v>125</v>
      </c>
      <c r="B8839" s="8" t="s">
        <v>126</v>
      </c>
      <c r="C8839" s="8" t="str">
        <f>IFERROR(_xlfn.XLOOKUP(TRIM(B8839),Lookup!$B$2:$B$1000,Lookup!$C$2:$C$1000),"")</f>
        <v>Equity</v>
      </c>
      <c r="D8839" s="8" t="str">
        <f>IFERROR(INDEX('nav master'!$C:$C, MATCH(B8839, 'nav master'!$B:$B, 0)), "")</f>
        <v>ULIF05501/08/13DivrEqtyFd101</v>
      </c>
      <c r="E8839" s="8" t="s">
        <v>632</v>
      </c>
      <c r="F8839" s="8" t="s">
        <v>633</v>
      </c>
    </row>
    <row r="8840" spans="1:6" ht="60" x14ac:dyDescent="0.25">
      <c r="A8840" s="8" t="s">
        <v>125</v>
      </c>
      <c r="B8840" s="8" t="s">
        <v>126</v>
      </c>
      <c r="C8840" s="8" t="str">
        <f>IFERROR(_xlfn.XLOOKUP(TRIM(B8840),Lookup!$B$2:$B$1000,Lookup!$C$2:$C$1000),"")</f>
        <v>Equity</v>
      </c>
      <c r="D8840" s="8" t="str">
        <f>IFERROR(INDEX('nav master'!$C:$C, MATCH(B8840, 'nav master'!$B:$B, 0)), "")</f>
        <v>ULIF05501/08/13DivrEqtyFd101</v>
      </c>
      <c r="E8840" s="8" t="s">
        <v>634</v>
      </c>
      <c r="F8840" s="8" t="s">
        <v>635</v>
      </c>
    </row>
    <row r="8841" spans="1:6" ht="60" x14ac:dyDescent="0.25">
      <c r="A8841" s="8" t="s">
        <v>125</v>
      </c>
      <c r="B8841" s="8" t="s">
        <v>126</v>
      </c>
      <c r="C8841" s="8" t="str">
        <f>IFERROR(_xlfn.XLOOKUP(TRIM(B8841),Lookup!$B$2:$B$1000,Lookup!$C$2:$C$1000),"")</f>
        <v>Equity</v>
      </c>
      <c r="D8841" s="8" t="str">
        <f>IFERROR(INDEX('nav master'!$C:$C, MATCH(B8841, 'nav master'!$B:$B, 0)), "")</f>
        <v>ULIF05501/08/13DivrEqtyFd101</v>
      </c>
      <c r="E8841" s="8" t="s">
        <v>636</v>
      </c>
      <c r="F8841" s="8" t="s">
        <v>637</v>
      </c>
    </row>
    <row r="8842" spans="1:6" ht="60" x14ac:dyDescent="0.25">
      <c r="A8842" s="8" t="s">
        <v>125</v>
      </c>
      <c r="B8842" s="8" t="s">
        <v>126</v>
      </c>
      <c r="C8842" s="8" t="str">
        <f>IFERROR(_xlfn.XLOOKUP(TRIM(B8842),Lookup!$B$2:$B$1000,Lookup!$C$2:$C$1000),"")</f>
        <v>Equity</v>
      </c>
      <c r="D8842" s="8" t="str">
        <f>IFERROR(INDEX('nav master'!$C:$C, MATCH(B8842, 'nav master'!$B:$B, 0)), "")</f>
        <v>ULIF05501/08/13DivrEqtyFd101</v>
      </c>
      <c r="E8842" s="8" t="s">
        <v>638</v>
      </c>
      <c r="F8842" s="8" t="s">
        <v>639</v>
      </c>
    </row>
    <row r="8843" spans="1:6" ht="60" x14ac:dyDescent="0.25">
      <c r="A8843" s="8" t="s">
        <v>125</v>
      </c>
      <c r="B8843" s="8" t="s">
        <v>126</v>
      </c>
      <c r="C8843" s="8" t="str">
        <f>IFERROR(_xlfn.XLOOKUP(TRIM(B8843),Lookup!$B$2:$B$1000,Lookup!$C$2:$C$1000),"")</f>
        <v>Equity</v>
      </c>
      <c r="D8843" s="8" t="str">
        <f>IFERROR(INDEX('nav master'!$C:$C, MATCH(B8843, 'nav master'!$B:$B, 0)), "")</f>
        <v>ULIF05501/08/13DivrEqtyFd101</v>
      </c>
      <c r="E8843" s="8" t="s">
        <v>640</v>
      </c>
      <c r="F8843" s="8" t="s">
        <v>641</v>
      </c>
    </row>
    <row r="8844" spans="1:6" ht="60" x14ac:dyDescent="0.25">
      <c r="A8844" s="8" t="s">
        <v>125</v>
      </c>
      <c r="B8844" s="8" t="s">
        <v>126</v>
      </c>
      <c r="C8844" s="8" t="str">
        <f>IFERROR(_xlfn.XLOOKUP(TRIM(B8844),Lookup!$B$2:$B$1000,Lookup!$C$2:$C$1000),"")</f>
        <v>Equity</v>
      </c>
      <c r="D8844" s="8" t="str">
        <f>IFERROR(INDEX('nav master'!$C:$C, MATCH(B8844, 'nav master'!$B:$B, 0)), "")</f>
        <v>ULIF05501/08/13DivrEqtyFd101</v>
      </c>
      <c r="E8844" s="8" t="s">
        <v>642</v>
      </c>
      <c r="F8844" s="8" t="s">
        <v>643</v>
      </c>
    </row>
    <row r="8845" spans="1:6" ht="60" x14ac:dyDescent="0.25">
      <c r="A8845" s="8" t="s">
        <v>125</v>
      </c>
      <c r="B8845" s="8" t="s">
        <v>126</v>
      </c>
      <c r="C8845" s="8" t="str">
        <f>IFERROR(_xlfn.XLOOKUP(TRIM(B8845),Lookup!$B$2:$B$1000,Lookup!$C$2:$C$1000),"")</f>
        <v>Equity</v>
      </c>
      <c r="D8845" s="8" t="str">
        <f>IFERROR(INDEX('nav master'!$C:$C, MATCH(B8845, 'nav master'!$B:$B, 0)), "")</f>
        <v>ULIF05501/08/13DivrEqtyFd101</v>
      </c>
      <c r="E8845" s="8" t="s">
        <v>644</v>
      </c>
      <c r="F8845" s="8" t="s">
        <v>645</v>
      </c>
    </row>
    <row r="8846" spans="1:6" ht="60" x14ac:dyDescent="0.25">
      <c r="A8846" s="8" t="s">
        <v>125</v>
      </c>
      <c r="B8846" s="8" t="s">
        <v>126</v>
      </c>
      <c r="C8846" s="8" t="str">
        <f>IFERROR(_xlfn.XLOOKUP(TRIM(B8846),Lookup!$B$2:$B$1000,Lookup!$C$2:$C$1000),"")</f>
        <v>Equity</v>
      </c>
      <c r="D8846" s="8" t="str">
        <f>IFERROR(INDEX('nav master'!$C:$C, MATCH(B8846, 'nav master'!$B:$B, 0)), "")</f>
        <v>ULIF05501/08/13DivrEqtyFd101</v>
      </c>
      <c r="E8846" s="8" t="s">
        <v>646</v>
      </c>
      <c r="F8846" s="8" t="s">
        <v>647</v>
      </c>
    </row>
    <row r="8847" spans="1:6" ht="60" x14ac:dyDescent="0.25">
      <c r="A8847" s="8" t="s">
        <v>125</v>
      </c>
      <c r="B8847" s="8" t="s">
        <v>126</v>
      </c>
      <c r="C8847" s="8" t="str">
        <f>IFERROR(_xlfn.XLOOKUP(TRIM(B8847),Lookup!$B$2:$B$1000,Lookup!$C$2:$C$1000),"")</f>
        <v>Equity</v>
      </c>
      <c r="D8847" s="8" t="str">
        <f>IFERROR(INDEX('nav master'!$C:$C, MATCH(B8847, 'nav master'!$B:$B, 0)), "")</f>
        <v>ULIF05501/08/13DivrEqtyFd101</v>
      </c>
      <c r="E8847" s="8" t="s">
        <v>648</v>
      </c>
      <c r="F8847" s="8" t="s">
        <v>649</v>
      </c>
    </row>
    <row r="8848" spans="1:6" ht="60" x14ac:dyDescent="0.25">
      <c r="A8848" s="8" t="s">
        <v>125</v>
      </c>
      <c r="B8848" s="8" t="s">
        <v>126</v>
      </c>
      <c r="C8848" s="8" t="str">
        <f>IFERROR(_xlfn.XLOOKUP(TRIM(B8848),Lookup!$B$2:$B$1000,Lookup!$C$2:$C$1000),"")</f>
        <v>Equity</v>
      </c>
      <c r="D8848" s="8" t="str">
        <f>IFERROR(INDEX('nav master'!$C:$C, MATCH(B8848, 'nav master'!$B:$B, 0)), "")</f>
        <v>ULIF05501/08/13DivrEqtyFd101</v>
      </c>
      <c r="E8848" s="8" t="s">
        <v>650</v>
      </c>
      <c r="F8848" s="8" t="s">
        <v>651</v>
      </c>
    </row>
    <row r="8849" spans="1:6" ht="60" x14ac:dyDescent="0.25">
      <c r="A8849" s="8" t="s">
        <v>125</v>
      </c>
      <c r="B8849" s="8" t="s">
        <v>126</v>
      </c>
      <c r="C8849" s="8" t="str">
        <f>IFERROR(_xlfn.XLOOKUP(TRIM(B8849),Lookup!$B$2:$B$1000,Lookup!$C$2:$C$1000),"")</f>
        <v>Equity</v>
      </c>
      <c r="D8849" s="8" t="str">
        <f>IFERROR(INDEX('nav master'!$C:$C, MATCH(B8849, 'nav master'!$B:$B, 0)), "")</f>
        <v>ULIF05501/08/13DivrEqtyFd101</v>
      </c>
      <c r="E8849" s="8" t="s">
        <v>652</v>
      </c>
      <c r="F8849" s="8" t="s">
        <v>653</v>
      </c>
    </row>
    <row r="8850" spans="1:6" ht="60" x14ac:dyDescent="0.25">
      <c r="A8850" s="8" t="s">
        <v>125</v>
      </c>
      <c r="B8850" s="8" t="s">
        <v>126</v>
      </c>
      <c r="C8850" s="8" t="str">
        <f>IFERROR(_xlfn.XLOOKUP(TRIM(B8850),Lookup!$B$2:$B$1000,Lookup!$C$2:$C$1000),"")</f>
        <v>Equity</v>
      </c>
      <c r="D8850" s="8" t="str">
        <f>IFERROR(INDEX('nav master'!$C:$C, MATCH(B8850, 'nav master'!$B:$B, 0)), "")</f>
        <v>ULIF05501/08/13DivrEqtyFd101</v>
      </c>
      <c r="E8850" s="8" t="s">
        <v>654</v>
      </c>
      <c r="F8850" s="8" t="s">
        <v>655</v>
      </c>
    </row>
    <row r="8851" spans="1:6" ht="60" x14ac:dyDescent="0.25">
      <c r="A8851" s="8" t="s">
        <v>125</v>
      </c>
      <c r="B8851" s="8" t="s">
        <v>126</v>
      </c>
      <c r="C8851" s="8" t="str">
        <f>IFERROR(_xlfn.XLOOKUP(TRIM(B8851),Lookup!$B$2:$B$1000,Lookup!$C$2:$C$1000),"")</f>
        <v>Equity</v>
      </c>
      <c r="D8851" s="8" t="str">
        <f>IFERROR(INDEX('nav master'!$C:$C, MATCH(B8851, 'nav master'!$B:$B, 0)), "")</f>
        <v>ULIF05501/08/13DivrEqtyFd101</v>
      </c>
      <c r="E8851" s="8" t="s">
        <v>656</v>
      </c>
      <c r="F8851" s="8" t="s">
        <v>657</v>
      </c>
    </row>
    <row r="8852" spans="1:6" ht="60" x14ac:dyDescent="0.25">
      <c r="A8852" s="8" t="s">
        <v>125</v>
      </c>
      <c r="B8852" s="8" t="s">
        <v>126</v>
      </c>
      <c r="C8852" s="8" t="str">
        <f>IFERROR(_xlfn.XLOOKUP(TRIM(B8852),Lookup!$B$2:$B$1000,Lookup!$C$2:$C$1000),"")</f>
        <v>Equity</v>
      </c>
      <c r="D8852" s="8" t="str">
        <f>IFERROR(INDEX('nav master'!$C:$C, MATCH(B8852, 'nav master'!$B:$B, 0)), "")</f>
        <v>ULIF05501/08/13DivrEqtyFd101</v>
      </c>
      <c r="E8852" s="8" t="s">
        <v>658</v>
      </c>
      <c r="F8852" s="8" t="s">
        <v>659</v>
      </c>
    </row>
    <row r="8853" spans="1:6" ht="60" x14ac:dyDescent="0.25">
      <c r="A8853" s="8" t="s">
        <v>125</v>
      </c>
      <c r="B8853" s="8" t="s">
        <v>126</v>
      </c>
      <c r="C8853" s="8" t="str">
        <f>IFERROR(_xlfn.XLOOKUP(TRIM(B8853),Lookup!$B$2:$B$1000,Lookup!$C$2:$C$1000),"")</f>
        <v>Equity</v>
      </c>
      <c r="D8853" s="8" t="str">
        <f>IFERROR(INDEX('nav master'!$C:$C, MATCH(B8853, 'nav master'!$B:$B, 0)), "")</f>
        <v>ULIF05501/08/13DivrEqtyFd101</v>
      </c>
      <c r="E8853" s="8" t="s">
        <v>660</v>
      </c>
      <c r="F8853" s="8" t="s">
        <v>661</v>
      </c>
    </row>
    <row r="8854" spans="1:6" ht="60" x14ac:dyDescent="0.25">
      <c r="A8854" s="8" t="s">
        <v>125</v>
      </c>
      <c r="B8854" s="8" t="s">
        <v>126</v>
      </c>
      <c r="C8854" s="8" t="str">
        <f>IFERROR(_xlfn.XLOOKUP(TRIM(B8854),Lookup!$B$2:$B$1000,Lookup!$C$2:$C$1000),"")</f>
        <v>Equity</v>
      </c>
      <c r="D8854" s="8" t="str">
        <f>IFERROR(INDEX('nav master'!$C:$C, MATCH(B8854, 'nav master'!$B:$B, 0)), "")</f>
        <v>ULIF05501/08/13DivrEqtyFd101</v>
      </c>
      <c r="E8854" s="8" t="s">
        <v>662</v>
      </c>
      <c r="F8854" s="8" t="s">
        <v>663</v>
      </c>
    </row>
    <row r="8855" spans="1:6" ht="60" x14ac:dyDescent="0.25">
      <c r="A8855" s="8" t="s">
        <v>125</v>
      </c>
      <c r="B8855" s="8" t="s">
        <v>126</v>
      </c>
      <c r="C8855" s="8" t="str">
        <f>IFERROR(_xlfn.XLOOKUP(TRIM(B8855),Lookup!$B$2:$B$1000,Lookup!$C$2:$C$1000),"")</f>
        <v>Equity</v>
      </c>
      <c r="D8855" s="8" t="str">
        <f>IFERROR(INDEX('nav master'!$C:$C, MATCH(B8855, 'nav master'!$B:$B, 0)), "")</f>
        <v>ULIF05501/08/13DivrEqtyFd101</v>
      </c>
      <c r="E8855" s="8" t="s">
        <v>664</v>
      </c>
      <c r="F8855" s="8" t="s">
        <v>665</v>
      </c>
    </row>
    <row r="8856" spans="1:6" ht="60" x14ac:dyDescent="0.25">
      <c r="A8856" s="8" t="s">
        <v>125</v>
      </c>
      <c r="B8856" s="8" t="s">
        <v>126</v>
      </c>
      <c r="C8856" s="8" t="str">
        <f>IFERROR(_xlfn.XLOOKUP(TRIM(B8856),Lookup!$B$2:$B$1000,Lookup!$C$2:$C$1000),"")</f>
        <v>Equity</v>
      </c>
      <c r="D8856" s="8" t="str">
        <f>IFERROR(INDEX('nav master'!$C:$C, MATCH(B8856, 'nav master'!$B:$B, 0)), "")</f>
        <v>ULIF05501/08/13DivrEqtyFd101</v>
      </c>
      <c r="E8856" s="8" t="s">
        <v>4892</v>
      </c>
      <c r="F8856" s="8" t="s">
        <v>4893</v>
      </c>
    </row>
    <row r="8857" spans="1:6" ht="60" x14ac:dyDescent="0.25">
      <c r="A8857" s="8" t="s">
        <v>125</v>
      </c>
      <c r="B8857" s="8" t="s">
        <v>126</v>
      </c>
      <c r="C8857" s="8" t="str">
        <f>IFERROR(_xlfn.XLOOKUP(TRIM(B8857),Lookup!$B$2:$B$1000,Lookup!$C$2:$C$1000),"")</f>
        <v>Equity</v>
      </c>
      <c r="D8857" s="8" t="str">
        <f>IFERROR(INDEX('nav master'!$C:$C, MATCH(B8857, 'nav master'!$B:$B, 0)), "")</f>
        <v>ULIF05501/08/13DivrEqtyFd101</v>
      </c>
      <c r="E8857" s="8" t="s">
        <v>4894</v>
      </c>
      <c r="F8857" s="8" t="s">
        <v>4895</v>
      </c>
    </row>
    <row r="8858" spans="1:6" ht="60" x14ac:dyDescent="0.25">
      <c r="A8858" s="8" t="s">
        <v>125</v>
      </c>
      <c r="B8858" s="8" t="s">
        <v>126</v>
      </c>
      <c r="C8858" s="8" t="str">
        <f>IFERROR(_xlfn.XLOOKUP(TRIM(B8858),Lookup!$B$2:$B$1000,Lookup!$C$2:$C$1000),"")</f>
        <v>Equity</v>
      </c>
      <c r="D8858" s="8" t="str">
        <f>IFERROR(INDEX('nav master'!$C:$C, MATCH(B8858, 'nav master'!$B:$B, 0)), "")</f>
        <v>ULIF05501/08/13DivrEqtyFd101</v>
      </c>
      <c r="E8858" s="8" t="s">
        <v>4896</v>
      </c>
      <c r="F8858" s="8" t="s">
        <v>4897</v>
      </c>
    </row>
    <row r="8859" spans="1:6" ht="60" x14ac:dyDescent="0.25">
      <c r="A8859" s="8" t="s">
        <v>125</v>
      </c>
      <c r="B8859" s="8" t="s">
        <v>126</v>
      </c>
      <c r="C8859" s="8" t="str">
        <f>IFERROR(_xlfn.XLOOKUP(TRIM(B8859),Lookup!$B$2:$B$1000,Lookup!$C$2:$C$1000),"")</f>
        <v>Equity</v>
      </c>
      <c r="D8859" s="8" t="str">
        <f>IFERROR(INDEX('nav master'!$C:$C, MATCH(B8859, 'nav master'!$B:$B, 0)), "")</f>
        <v>ULIF05501/08/13DivrEqtyFd101</v>
      </c>
      <c r="E8859" s="8" t="s">
        <v>4898</v>
      </c>
      <c r="F8859" s="8" t="s">
        <v>4899</v>
      </c>
    </row>
    <row r="8860" spans="1:6" ht="60" x14ac:dyDescent="0.25">
      <c r="A8860" s="8" t="s">
        <v>125</v>
      </c>
      <c r="B8860" s="8" t="s">
        <v>126</v>
      </c>
      <c r="C8860" s="8" t="str">
        <f>IFERROR(_xlfn.XLOOKUP(TRIM(B8860),Lookup!$B$2:$B$1000,Lookup!$C$2:$C$1000),"")</f>
        <v>Equity</v>
      </c>
      <c r="D8860" s="8" t="str">
        <f>IFERROR(INDEX('nav master'!$C:$C, MATCH(B8860, 'nav master'!$B:$B, 0)), "")</f>
        <v>ULIF05501/08/13DivrEqtyFd101</v>
      </c>
      <c r="E8860" s="8" t="s">
        <v>4900</v>
      </c>
      <c r="F8860" s="8" t="s">
        <v>4901</v>
      </c>
    </row>
    <row r="8861" spans="1:6" ht="60" x14ac:dyDescent="0.25">
      <c r="A8861" s="8" t="s">
        <v>125</v>
      </c>
      <c r="B8861" s="8" t="s">
        <v>126</v>
      </c>
      <c r="C8861" s="8" t="str">
        <f>IFERROR(_xlfn.XLOOKUP(TRIM(B8861),Lookup!$B$2:$B$1000,Lookup!$C$2:$C$1000),"")</f>
        <v>Equity</v>
      </c>
      <c r="D8861" s="8" t="str">
        <f>IFERROR(INDEX('nav master'!$C:$C, MATCH(B8861, 'nav master'!$B:$B, 0)), "")</f>
        <v>ULIF05501/08/13DivrEqtyFd101</v>
      </c>
      <c r="E8861" s="8" t="s">
        <v>4902</v>
      </c>
      <c r="F8861" s="8" t="s">
        <v>3531</v>
      </c>
    </row>
    <row r="8862" spans="1:6" ht="60" x14ac:dyDescent="0.25">
      <c r="A8862" s="8" t="s">
        <v>125</v>
      </c>
      <c r="B8862" s="8" t="s">
        <v>126</v>
      </c>
      <c r="C8862" s="8" t="str">
        <f>IFERROR(_xlfn.XLOOKUP(TRIM(B8862),Lookup!$B$2:$B$1000,Lookup!$C$2:$C$1000),"")</f>
        <v>Equity</v>
      </c>
      <c r="D8862" s="8" t="str">
        <f>IFERROR(INDEX('nav master'!$C:$C, MATCH(B8862, 'nav master'!$B:$B, 0)), "")</f>
        <v>ULIF05501/08/13DivrEqtyFd101</v>
      </c>
      <c r="E8862" s="8" t="s">
        <v>4903</v>
      </c>
      <c r="F8862" s="8" t="s">
        <v>4904</v>
      </c>
    </row>
    <row r="8863" spans="1:6" ht="60" x14ac:dyDescent="0.25">
      <c r="A8863" s="8" t="s">
        <v>125</v>
      </c>
      <c r="B8863" s="8" t="s">
        <v>126</v>
      </c>
      <c r="C8863" s="8" t="str">
        <f>IFERROR(_xlfn.XLOOKUP(TRIM(B8863),Lookup!$B$2:$B$1000,Lookup!$C$2:$C$1000),"")</f>
        <v>Equity</v>
      </c>
      <c r="D8863" s="8" t="str">
        <f>IFERROR(INDEX('nav master'!$C:$C, MATCH(B8863, 'nav master'!$B:$B, 0)), "")</f>
        <v>ULIF05501/08/13DivrEqtyFd101</v>
      </c>
      <c r="E8863" s="8" t="s">
        <v>4905</v>
      </c>
      <c r="F8863" s="8" t="s">
        <v>4906</v>
      </c>
    </row>
    <row r="8864" spans="1:6" ht="60" x14ac:dyDescent="0.25">
      <c r="A8864" s="8" t="s">
        <v>125</v>
      </c>
      <c r="B8864" s="8" t="s">
        <v>134</v>
      </c>
      <c r="C8864" s="8" t="str">
        <f>IFERROR(_xlfn.XLOOKUP(TRIM(B8864),Lookup!$B$2:$B$1000,Lookup!$C$2:$C$1000),"")</f>
        <v>Debt</v>
      </c>
      <c r="D8864" s="8" t="str">
        <f>IFERROR(INDEX('nav master'!$C:$C, MATCH(B8864, 'nav master'!$B:$B, 0)), "")</f>
        <v>ULIF05601/08/13BondFunds101</v>
      </c>
      <c r="E8864" s="8" t="s">
        <v>189</v>
      </c>
      <c r="F8864" s="8" t="s">
        <v>666</v>
      </c>
    </row>
    <row r="8865" spans="1:6" ht="60" x14ac:dyDescent="0.25">
      <c r="A8865" s="8" t="s">
        <v>125</v>
      </c>
      <c r="B8865" s="8" t="s">
        <v>134</v>
      </c>
      <c r="C8865" s="8" t="str">
        <f>IFERROR(_xlfn.XLOOKUP(TRIM(B8865),Lookup!$B$2:$B$1000,Lookup!$C$2:$C$1000),"")</f>
        <v>Debt</v>
      </c>
      <c r="D8865" s="8" t="str">
        <f>IFERROR(INDEX('nav master'!$C:$C, MATCH(B8865, 'nav master'!$B:$B, 0)), "")</f>
        <v>ULIF05601/08/13BondFunds101</v>
      </c>
      <c r="E8865" s="8" t="s">
        <v>191</v>
      </c>
      <c r="F8865" s="8" t="s">
        <v>667</v>
      </c>
    </row>
    <row r="8866" spans="1:6" ht="60" x14ac:dyDescent="0.25">
      <c r="A8866" s="8" t="s">
        <v>125</v>
      </c>
      <c r="B8866" s="8" t="s">
        <v>134</v>
      </c>
      <c r="C8866" s="8" t="str">
        <f>IFERROR(_xlfn.XLOOKUP(TRIM(B8866),Lookup!$B$2:$B$1000,Lookup!$C$2:$C$1000),"")</f>
        <v>Debt</v>
      </c>
      <c r="D8866" s="8" t="str">
        <f>IFERROR(INDEX('nav master'!$C:$C, MATCH(B8866, 'nav master'!$B:$B, 0)), "")</f>
        <v>ULIF05601/08/13BondFunds101</v>
      </c>
      <c r="E8866" s="8" t="s">
        <v>193</v>
      </c>
      <c r="F8866" s="8" t="s">
        <v>668</v>
      </c>
    </row>
    <row r="8867" spans="1:6" ht="60" x14ac:dyDescent="0.25">
      <c r="A8867" s="8" t="s">
        <v>125</v>
      </c>
      <c r="B8867" s="8" t="s">
        <v>134</v>
      </c>
      <c r="C8867" s="8" t="str">
        <f>IFERROR(_xlfn.XLOOKUP(TRIM(B8867),Lookup!$B$2:$B$1000,Lookup!$C$2:$C$1000),"")</f>
        <v>Debt</v>
      </c>
      <c r="D8867" s="8" t="str">
        <f>IFERROR(INDEX('nav master'!$C:$C, MATCH(B8867, 'nav master'!$B:$B, 0)), "")</f>
        <v>ULIF05601/08/13BondFunds101</v>
      </c>
      <c r="E8867" s="8" t="s">
        <v>195</v>
      </c>
      <c r="F8867" s="8" t="s">
        <v>669</v>
      </c>
    </row>
    <row r="8868" spans="1:6" ht="60" x14ac:dyDescent="0.25">
      <c r="A8868" s="8" t="s">
        <v>125</v>
      </c>
      <c r="B8868" s="8" t="s">
        <v>134</v>
      </c>
      <c r="C8868" s="8" t="str">
        <f>IFERROR(_xlfn.XLOOKUP(TRIM(B8868),Lookup!$B$2:$B$1000,Lookup!$C$2:$C$1000),"")</f>
        <v>Debt</v>
      </c>
      <c r="D8868" s="8" t="str">
        <f>IFERROR(INDEX('nav master'!$C:$C, MATCH(B8868, 'nav master'!$B:$B, 0)), "")</f>
        <v>ULIF05601/08/13BondFunds101</v>
      </c>
      <c r="E8868" s="8" t="s">
        <v>197</v>
      </c>
      <c r="F8868" s="8" t="s">
        <v>670</v>
      </c>
    </row>
    <row r="8869" spans="1:6" ht="60" x14ac:dyDescent="0.25">
      <c r="A8869" s="8" t="s">
        <v>125</v>
      </c>
      <c r="B8869" s="8" t="s">
        <v>134</v>
      </c>
      <c r="C8869" s="8" t="str">
        <f>IFERROR(_xlfn.XLOOKUP(TRIM(B8869),Lookup!$B$2:$B$1000,Lookup!$C$2:$C$1000),"")</f>
        <v>Debt</v>
      </c>
      <c r="D8869" s="8" t="str">
        <f>IFERROR(INDEX('nav master'!$C:$C, MATCH(B8869, 'nav master'!$B:$B, 0)), "")</f>
        <v>ULIF05601/08/13BondFunds101</v>
      </c>
      <c r="E8869" s="8" t="s">
        <v>199</v>
      </c>
      <c r="F8869" s="8" t="s">
        <v>671</v>
      </c>
    </row>
    <row r="8870" spans="1:6" ht="60" x14ac:dyDescent="0.25">
      <c r="A8870" s="8" t="s">
        <v>125</v>
      </c>
      <c r="B8870" s="8" t="s">
        <v>134</v>
      </c>
      <c r="C8870" s="8" t="str">
        <f>IFERROR(_xlfn.XLOOKUP(TRIM(B8870),Lookup!$B$2:$B$1000,Lookup!$C$2:$C$1000),"")</f>
        <v>Debt</v>
      </c>
      <c r="D8870" s="8" t="str">
        <f>IFERROR(INDEX('nav master'!$C:$C, MATCH(B8870, 'nav master'!$B:$B, 0)), "")</f>
        <v>ULIF05601/08/13BondFunds101</v>
      </c>
      <c r="E8870" s="8" t="s">
        <v>201</v>
      </c>
      <c r="F8870" s="8" t="s">
        <v>672</v>
      </c>
    </row>
    <row r="8871" spans="1:6" ht="60" x14ac:dyDescent="0.25">
      <c r="A8871" s="8" t="s">
        <v>125</v>
      </c>
      <c r="B8871" s="8" t="s">
        <v>134</v>
      </c>
      <c r="C8871" s="8" t="str">
        <f>IFERROR(_xlfn.XLOOKUP(TRIM(B8871),Lookup!$B$2:$B$1000,Lookup!$C$2:$C$1000),"")</f>
        <v>Debt</v>
      </c>
      <c r="D8871" s="8" t="str">
        <f>IFERROR(INDEX('nav master'!$C:$C, MATCH(B8871, 'nav master'!$B:$B, 0)), "")</f>
        <v>ULIF05601/08/13BondFunds101</v>
      </c>
      <c r="E8871" s="8" t="s">
        <v>203</v>
      </c>
      <c r="F8871" s="8" t="s">
        <v>673</v>
      </c>
    </row>
    <row r="8872" spans="1:6" ht="60" x14ac:dyDescent="0.25">
      <c r="A8872" s="8" t="s">
        <v>125</v>
      </c>
      <c r="B8872" s="8" t="s">
        <v>134</v>
      </c>
      <c r="C8872" s="8" t="str">
        <f>IFERROR(_xlfn.XLOOKUP(TRIM(B8872),Lookup!$B$2:$B$1000,Lookup!$C$2:$C$1000),"")</f>
        <v>Debt</v>
      </c>
      <c r="D8872" s="8" t="str">
        <f>IFERROR(INDEX('nav master'!$C:$C, MATCH(B8872, 'nav master'!$B:$B, 0)), "")</f>
        <v>ULIF05601/08/13BondFunds101</v>
      </c>
      <c r="E8872" s="8" t="s">
        <v>205</v>
      </c>
      <c r="F8872" s="8" t="s">
        <v>674</v>
      </c>
    </row>
    <row r="8873" spans="1:6" ht="60" x14ac:dyDescent="0.25">
      <c r="A8873" s="8" t="s">
        <v>125</v>
      </c>
      <c r="B8873" s="8" t="s">
        <v>134</v>
      </c>
      <c r="C8873" s="8" t="str">
        <f>IFERROR(_xlfn.XLOOKUP(TRIM(B8873),Lookup!$B$2:$B$1000,Lookup!$C$2:$C$1000),"")</f>
        <v>Debt</v>
      </c>
      <c r="D8873" s="8" t="str">
        <f>IFERROR(INDEX('nav master'!$C:$C, MATCH(B8873, 'nav master'!$B:$B, 0)), "")</f>
        <v>ULIF05601/08/13BondFunds101</v>
      </c>
      <c r="E8873" s="8" t="s">
        <v>207</v>
      </c>
      <c r="F8873" s="8" t="s">
        <v>675</v>
      </c>
    </row>
    <row r="8874" spans="1:6" ht="60" x14ac:dyDescent="0.25">
      <c r="A8874" s="8" t="s">
        <v>125</v>
      </c>
      <c r="B8874" s="8" t="s">
        <v>134</v>
      </c>
      <c r="C8874" s="8" t="str">
        <f>IFERROR(_xlfn.XLOOKUP(TRIM(B8874),Lookup!$B$2:$B$1000,Lookup!$C$2:$C$1000),"")</f>
        <v>Debt</v>
      </c>
      <c r="D8874" s="8" t="str">
        <f>IFERROR(INDEX('nav master'!$C:$C, MATCH(B8874, 'nav master'!$B:$B, 0)), "")</f>
        <v>ULIF05601/08/13BondFunds101</v>
      </c>
      <c r="E8874" s="8" t="s">
        <v>209</v>
      </c>
      <c r="F8874" s="8" t="s">
        <v>676</v>
      </c>
    </row>
    <row r="8875" spans="1:6" ht="60" x14ac:dyDescent="0.25">
      <c r="A8875" s="8" t="s">
        <v>125</v>
      </c>
      <c r="B8875" s="8" t="s">
        <v>134</v>
      </c>
      <c r="C8875" s="8" t="str">
        <f>IFERROR(_xlfn.XLOOKUP(TRIM(B8875),Lookup!$B$2:$B$1000,Lookup!$C$2:$C$1000),"")</f>
        <v>Debt</v>
      </c>
      <c r="D8875" s="8" t="str">
        <f>IFERROR(INDEX('nav master'!$C:$C, MATCH(B8875, 'nav master'!$B:$B, 0)), "")</f>
        <v>ULIF05601/08/13BondFunds101</v>
      </c>
      <c r="E8875" s="8" t="s">
        <v>211</v>
      </c>
      <c r="F8875" s="8" t="s">
        <v>677</v>
      </c>
    </row>
    <row r="8876" spans="1:6" ht="60" x14ac:dyDescent="0.25">
      <c r="A8876" s="8" t="s">
        <v>125</v>
      </c>
      <c r="B8876" s="8" t="s">
        <v>134</v>
      </c>
      <c r="C8876" s="8" t="str">
        <f>IFERROR(_xlfn.XLOOKUP(TRIM(B8876),Lookup!$B$2:$B$1000,Lookup!$C$2:$C$1000),"")</f>
        <v>Debt</v>
      </c>
      <c r="D8876" s="8" t="str">
        <f>IFERROR(INDEX('nav master'!$C:$C, MATCH(B8876, 'nav master'!$B:$B, 0)), "")</f>
        <v>ULIF05601/08/13BondFunds101</v>
      </c>
      <c r="E8876" s="8" t="s">
        <v>213</v>
      </c>
      <c r="F8876" s="8" t="s">
        <v>678</v>
      </c>
    </row>
    <row r="8877" spans="1:6" ht="60" x14ac:dyDescent="0.25">
      <c r="A8877" s="8" t="s">
        <v>125</v>
      </c>
      <c r="B8877" s="8" t="s">
        <v>134</v>
      </c>
      <c r="C8877" s="8" t="str">
        <f>IFERROR(_xlfn.XLOOKUP(TRIM(B8877),Lookup!$B$2:$B$1000,Lookup!$C$2:$C$1000),"")</f>
        <v>Debt</v>
      </c>
      <c r="D8877" s="8" t="str">
        <f>IFERROR(INDEX('nav master'!$C:$C, MATCH(B8877, 'nav master'!$B:$B, 0)), "")</f>
        <v>ULIF05601/08/13BondFunds101</v>
      </c>
      <c r="E8877" s="8" t="s">
        <v>215</v>
      </c>
      <c r="F8877" s="8" t="s">
        <v>679</v>
      </c>
    </row>
    <row r="8878" spans="1:6" ht="60" x14ac:dyDescent="0.25">
      <c r="A8878" s="8" t="s">
        <v>125</v>
      </c>
      <c r="B8878" s="8" t="s">
        <v>134</v>
      </c>
      <c r="C8878" s="8" t="str">
        <f>IFERROR(_xlfn.XLOOKUP(TRIM(B8878),Lookup!$B$2:$B$1000,Lookup!$C$2:$C$1000),"")</f>
        <v>Debt</v>
      </c>
      <c r="D8878" s="8" t="str">
        <f>IFERROR(INDEX('nav master'!$C:$C, MATCH(B8878, 'nav master'!$B:$B, 0)), "")</f>
        <v>ULIF05601/08/13BondFunds101</v>
      </c>
      <c r="E8878" s="8" t="s">
        <v>217</v>
      </c>
      <c r="F8878" s="8" t="s">
        <v>680</v>
      </c>
    </row>
    <row r="8879" spans="1:6" ht="60" x14ac:dyDescent="0.25">
      <c r="A8879" s="8" t="s">
        <v>125</v>
      </c>
      <c r="B8879" s="8" t="s">
        <v>134</v>
      </c>
      <c r="C8879" s="8" t="str">
        <f>IFERROR(_xlfn.XLOOKUP(TRIM(B8879),Lookup!$B$2:$B$1000,Lookup!$C$2:$C$1000),"")</f>
        <v>Debt</v>
      </c>
      <c r="D8879" s="8" t="str">
        <f>IFERROR(INDEX('nav master'!$C:$C, MATCH(B8879, 'nav master'!$B:$B, 0)), "")</f>
        <v>ULIF05601/08/13BondFunds101</v>
      </c>
      <c r="E8879" s="8" t="s">
        <v>219</v>
      </c>
      <c r="F8879" s="8" t="s">
        <v>681</v>
      </c>
    </row>
    <row r="8880" spans="1:6" ht="60" x14ac:dyDescent="0.25">
      <c r="A8880" s="8" t="s">
        <v>125</v>
      </c>
      <c r="B8880" s="8" t="s">
        <v>134</v>
      </c>
      <c r="C8880" s="8" t="str">
        <f>IFERROR(_xlfn.XLOOKUP(TRIM(B8880),Lookup!$B$2:$B$1000,Lookup!$C$2:$C$1000),"")</f>
        <v>Debt</v>
      </c>
      <c r="D8880" s="8" t="str">
        <f>IFERROR(INDEX('nav master'!$C:$C, MATCH(B8880, 'nav master'!$B:$B, 0)), "")</f>
        <v>ULIF05601/08/13BondFunds101</v>
      </c>
      <c r="E8880" s="8" t="s">
        <v>221</v>
      </c>
      <c r="F8880" s="8" t="s">
        <v>682</v>
      </c>
    </row>
    <row r="8881" spans="1:6" ht="60" x14ac:dyDescent="0.25">
      <c r="A8881" s="8" t="s">
        <v>125</v>
      </c>
      <c r="B8881" s="8" t="s">
        <v>134</v>
      </c>
      <c r="C8881" s="8" t="str">
        <f>IFERROR(_xlfn.XLOOKUP(TRIM(B8881),Lookup!$B$2:$B$1000,Lookup!$C$2:$C$1000),"")</f>
        <v>Debt</v>
      </c>
      <c r="D8881" s="8" t="str">
        <f>IFERROR(INDEX('nav master'!$C:$C, MATCH(B8881, 'nav master'!$B:$B, 0)), "")</f>
        <v>ULIF05601/08/13BondFunds101</v>
      </c>
      <c r="E8881" s="8" t="s">
        <v>223</v>
      </c>
      <c r="F8881" s="8" t="s">
        <v>683</v>
      </c>
    </row>
    <row r="8882" spans="1:6" ht="60" x14ac:dyDescent="0.25">
      <c r="A8882" s="8" t="s">
        <v>125</v>
      </c>
      <c r="B8882" s="8" t="s">
        <v>134</v>
      </c>
      <c r="C8882" s="8" t="str">
        <f>IFERROR(_xlfn.XLOOKUP(TRIM(B8882),Lookup!$B$2:$B$1000,Lookup!$C$2:$C$1000),"")</f>
        <v>Debt</v>
      </c>
      <c r="D8882" s="8" t="str">
        <f>IFERROR(INDEX('nav master'!$C:$C, MATCH(B8882, 'nav master'!$B:$B, 0)), "")</f>
        <v>ULIF05601/08/13BondFunds101</v>
      </c>
      <c r="E8882" s="8" t="s">
        <v>225</v>
      </c>
      <c r="F8882" s="8" t="s">
        <v>684</v>
      </c>
    </row>
    <row r="8883" spans="1:6" ht="60" x14ac:dyDescent="0.25">
      <c r="A8883" s="8" t="s">
        <v>125</v>
      </c>
      <c r="B8883" s="8" t="s">
        <v>134</v>
      </c>
      <c r="C8883" s="8" t="str">
        <f>IFERROR(_xlfn.XLOOKUP(TRIM(B8883),Lookup!$B$2:$B$1000,Lookup!$C$2:$C$1000),"")</f>
        <v>Debt</v>
      </c>
      <c r="D8883" s="8" t="str">
        <f>IFERROR(INDEX('nav master'!$C:$C, MATCH(B8883, 'nav master'!$B:$B, 0)), "")</f>
        <v>ULIF05601/08/13BondFunds101</v>
      </c>
      <c r="E8883" s="8" t="s">
        <v>227</v>
      </c>
      <c r="F8883" s="8" t="s">
        <v>685</v>
      </c>
    </row>
    <row r="8884" spans="1:6" ht="60" x14ac:dyDescent="0.25">
      <c r="A8884" s="8" t="s">
        <v>125</v>
      </c>
      <c r="B8884" s="8" t="s">
        <v>134</v>
      </c>
      <c r="C8884" s="8" t="str">
        <f>IFERROR(_xlfn.XLOOKUP(TRIM(B8884),Lookup!$B$2:$B$1000,Lookup!$C$2:$C$1000),"")</f>
        <v>Debt</v>
      </c>
      <c r="D8884" s="8" t="str">
        <f>IFERROR(INDEX('nav master'!$C:$C, MATCH(B8884, 'nav master'!$B:$B, 0)), "")</f>
        <v>ULIF05601/08/13BondFunds101</v>
      </c>
      <c r="E8884" s="8" t="s">
        <v>229</v>
      </c>
      <c r="F8884" s="8" t="s">
        <v>686</v>
      </c>
    </row>
    <row r="8885" spans="1:6" ht="60" x14ac:dyDescent="0.25">
      <c r="A8885" s="8" t="s">
        <v>125</v>
      </c>
      <c r="B8885" s="8" t="s">
        <v>134</v>
      </c>
      <c r="C8885" s="8" t="str">
        <f>IFERROR(_xlfn.XLOOKUP(TRIM(B8885),Lookup!$B$2:$B$1000,Lookup!$C$2:$C$1000),"")</f>
        <v>Debt</v>
      </c>
      <c r="D8885" s="8" t="str">
        <f>IFERROR(INDEX('nav master'!$C:$C, MATCH(B8885, 'nav master'!$B:$B, 0)), "")</f>
        <v>ULIF05601/08/13BondFunds101</v>
      </c>
      <c r="E8885" s="8" t="s">
        <v>231</v>
      </c>
      <c r="F8885" s="8" t="s">
        <v>687</v>
      </c>
    </row>
    <row r="8886" spans="1:6" ht="60" x14ac:dyDescent="0.25">
      <c r="A8886" s="8" t="s">
        <v>125</v>
      </c>
      <c r="B8886" s="8" t="s">
        <v>134</v>
      </c>
      <c r="C8886" s="8" t="str">
        <f>IFERROR(_xlfn.XLOOKUP(TRIM(B8886),Lookup!$B$2:$B$1000,Lookup!$C$2:$C$1000),"")</f>
        <v>Debt</v>
      </c>
      <c r="D8886" s="8" t="str">
        <f>IFERROR(INDEX('nav master'!$C:$C, MATCH(B8886, 'nav master'!$B:$B, 0)), "")</f>
        <v>ULIF05601/08/13BondFunds101</v>
      </c>
      <c r="E8886" s="8" t="s">
        <v>233</v>
      </c>
      <c r="F8886" s="8" t="s">
        <v>688</v>
      </c>
    </row>
    <row r="8887" spans="1:6" ht="60" x14ac:dyDescent="0.25">
      <c r="A8887" s="8" t="s">
        <v>125</v>
      </c>
      <c r="B8887" s="8" t="s">
        <v>134</v>
      </c>
      <c r="C8887" s="8" t="str">
        <f>IFERROR(_xlfn.XLOOKUP(TRIM(B8887),Lookup!$B$2:$B$1000,Lookup!$C$2:$C$1000),"")</f>
        <v>Debt</v>
      </c>
      <c r="D8887" s="8" t="str">
        <f>IFERROR(INDEX('nav master'!$C:$C, MATCH(B8887, 'nav master'!$B:$B, 0)), "")</f>
        <v>ULIF05601/08/13BondFunds101</v>
      </c>
      <c r="E8887" s="8" t="s">
        <v>235</v>
      </c>
      <c r="F8887" s="8" t="s">
        <v>689</v>
      </c>
    </row>
    <row r="8888" spans="1:6" ht="60" x14ac:dyDescent="0.25">
      <c r="A8888" s="8" t="s">
        <v>125</v>
      </c>
      <c r="B8888" s="8" t="s">
        <v>134</v>
      </c>
      <c r="C8888" s="8" t="str">
        <f>IFERROR(_xlfn.XLOOKUP(TRIM(B8888),Lookup!$B$2:$B$1000,Lookup!$C$2:$C$1000),"")</f>
        <v>Debt</v>
      </c>
      <c r="D8888" s="8" t="str">
        <f>IFERROR(INDEX('nav master'!$C:$C, MATCH(B8888, 'nav master'!$B:$B, 0)), "")</f>
        <v>ULIF05601/08/13BondFunds101</v>
      </c>
      <c r="E8888" s="8" t="s">
        <v>237</v>
      </c>
      <c r="F8888" s="8" t="s">
        <v>690</v>
      </c>
    </row>
    <row r="8889" spans="1:6" ht="60" x14ac:dyDescent="0.25">
      <c r="A8889" s="8" t="s">
        <v>125</v>
      </c>
      <c r="B8889" s="8" t="s">
        <v>134</v>
      </c>
      <c r="C8889" s="8" t="str">
        <f>IFERROR(_xlfn.XLOOKUP(TRIM(B8889),Lookup!$B$2:$B$1000,Lookup!$C$2:$C$1000),"")</f>
        <v>Debt</v>
      </c>
      <c r="D8889" s="8" t="str">
        <f>IFERROR(INDEX('nav master'!$C:$C, MATCH(B8889, 'nav master'!$B:$B, 0)), "")</f>
        <v>ULIF05601/08/13BondFunds101</v>
      </c>
      <c r="E8889" s="8" t="s">
        <v>239</v>
      </c>
      <c r="F8889" s="8" t="s">
        <v>691</v>
      </c>
    </row>
    <row r="8890" spans="1:6" ht="60" x14ac:dyDescent="0.25">
      <c r="A8890" s="8" t="s">
        <v>125</v>
      </c>
      <c r="B8890" s="8" t="s">
        <v>134</v>
      </c>
      <c r="C8890" s="8" t="str">
        <f>IFERROR(_xlfn.XLOOKUP(TRIM(B8890),Lookup!$B$2:$B$1000,Lookup!$C$2:$C$1000),"")</f>
        <v>Debt</v>
      </c>
      <c r="D8890" s="8" t="str">
        <f>IFERROR(INDEX('nav master'!$C:$C, MATCH(B8890, 'nav master'!$B:$B, 0)), "")</f>
        <v>ULIF05601/08/13BondFunds101</v>
      </c>
      <c r="E8890" s="8" t="s">
        <v>241</v>
      </c>
      <c r="F8890" s="8" t="s">
        <v>692</v>
      </c>
    </row>
    <row r="8891" spans="1:6" ht="60" x14ac:dyDescent="0.25">
      <c r="A8891" s="8" t="s">
        <v>125</v>
      </c>
      <c r="B8891" s="8" t="s">
        <v>134</v>
      </c>
      <c r="C8891" s="8" t="str">
        <f>IFERROR(_xlfn.XLOOKUP(TRIM(B8891),Lookup!$B$2:$B$1000,Lookup!$C$2:$C$1000),"")</f>
        <v>Debt</v>
      </c>
      <c r="D8891" s="8" t="str">
        <f>IFERROR(INDEX('nav master'!$C:$C, MATCH(B8891, 'nav master'!$B:$B, 0)), "")</f>
        <v>ULIF05601/08/13BondFunds101</v>
      </c>
      <c r="E8891" s="8" t="s">
        <v>243</v>
      </c>
      <c r="F8891" s="8" t="s">
        <v>693</v>
      </c>
    </row>
    <row r="8892" spans="1:6" ht="60" x14ac:dyDescent="0.25">
      <c r="A8892" s="8" t="s">
        <v>125</v>
      </c>
      <c r="B8892" s="8" t="s">
        <v>134</v>
      </c>
      <c r="C8892" s="8" t="str">
        <f>IFERROR(_xlfn.XLOOKUP(TRIM(B8892),Lookup!$B$2:$B$1000,Lookup!$C$2:$C$1000),"")</f>
        <v>Debt</v>
      </c>
      <c r="D8892" s="8" t="str">
        <f>IFERROR(INDEX('nav master'!$C:$C, MATCH(B8892, 'nav master'!$B:$B, 0)), "")</f>
        <v>ULIF05601/08/13BondFunds101</v>
      </c>
      <c r="E8892" s="8" t="s">
        <v>245</v>
      </c>
      <c r="F8892" s="8" t="s">
        <v>694</v>
      </c>
    </row>
    <row r="8893" spans="1:6" ht="60" x14ac:dyDescent="0.25">
      <c r="A8893" s="8" t="s">
        <v>125</v>
      </c>
      <c r="B8893" s="8" t="s">
        <v>134</v>
      </c>
      <c r="C8893" s="8" t="str">
        <f>IFERROR(_xlfn.XLOOKUP(TRIM(B8893),Lookup!$B$2:$B$1000,Lookup!$C$2:$C$1000),"")</f>
        <v>Debt</v>
      </c>
      <c r="D8893" s="8" t="str">
        <f>IFERROR(INDEX('nav master'!$C:$C, MATCH(B8893, 'nav master'!$B:$B, 0)), "")</f>
        <v>ULIF05601/08/13BondFunds101</v>
      </c>
      <c r="E8893" s="8" t="s">
        <v>247</v>
      </c>
      <c r="F8893" s="8" t="s">
        <v>695</v>
      </c>
    </row>
    <row r="8894" spans="1:6" ht="60" x14ac:dyDescent="0.25">
      <c r="A8894" s="8" t="s">
        <v>125</v>
      </c>
      <c r="B8894" s="8" t="s">
        <v>134</v>
      </c>
      <c r="C8894" s="8" t="str">
        <f>IFERROR(_xlfn.XLOOKUP(TRIM(B8894),Lookup!$B$2:$B$1000,Lookup!$C$2:$C$1000),"")</f>
        <v>Debt</v>
      </c>
      <c r="D8894" s="8" t="str">
        <f>IFERROR(INDEX('nav master'!$C:$C, MATCH(B8894, 'nav master'!$B:$B, 0)), "")</f>
        <v>ULIF05601/08/13BondFunds101</v>
      </c>
      <c r="E8894" s="8" t="s">
        <v>249</v>
      </c>
      <c r="F8894" s="8" t="s">
        <v>696</v>
      </c>
    </row>
    <row r="8895" spans="1:6" ht="60" x14ac:dyDescent="0.25">
      <c r="A8895" s="8" t="s">
        <v>125</v>
      </c>
      <c r="B8895" s="8" t="s">
        <v>134</v>
      </c>
      <c r="C8895" s="8" t="str">
        <f>IFERROR(_xlfn.XLOOKUP(TRIM(B8895),Lookup!$B$2:$B$1000,Lookup!$C$2:$C$1000),"")</f>
        <v>Debt</v>
      </c>
      <c r="D8895" s="8" t="str">
        <f>IFERROR(INDEX('nav master'!$C:$C, MATCH(B8895, 'nav master'!$B:$B, 0)), "")</f>
        <v>ULIF05601/08/13BondFunds101</v>
      </c>
      <c r="E8895" s="8" t="s">
        <v>251</v>
      </c>
      <c r="F8895" s="8" t="s">
        <v>697</v>
      </c>
    </row>
    <row r="8896" spans="1:6" ht="60" x14ac:dyDescent="0.25">
      <c r="A8896" s="8" t="s">
        <v>125</v>
      </c>
      <c r="B8896" s="8" t="s">
        <v>134</v>
      </c>
      <c r="C8896" s="8" t="str">
        <f>IFERROR(_xlfn.XLOOKUP(TRIM(B8896),Lookup!$B$2:$B$1000,Lookup!$C$2:$C$1000),"")</f>
        <v>Debt</v>
      </c>
      <c r="D8896" s="8" t="str">
        <f>IFERROR(INDEX('nav master'!$C:$C, MATCH(B8896, 'nav master'!$B:$B, 0)), "")</f>
        <v>ULIF05601/08/13BondFunds101</v>
      </c>
      <c r="E8896" s="8" t="s">
        <v>253</v>
      </c>
      <c r="F8896" s="8" t="s">
        <v>698</v>
      </c>
    </row>
    <row r="8897" spans="1:6" ht="60" x14ac:dyDescent="0.25">
      <c r="A8897" s="8" t="s">
        <v>125</v>
      </c>
      <c r="B8897" s="8" t="s">
        <v>134</v>
      </c>
      <c r="C8897" s="8" t="str">
        <f>IFERROR(_xlfn.XLOOKUP(TRIM(B8897),Lookup!$B$2:$B$1000,Lookup!$C$2:$C$1000),"")</f>
        <v>Debt</v>
      </c>
      <c r="D8897" s="8" t="str">
        <f>IFERROR(INDEX('nav master'!$C:$C, MATCH(B8897, 'nav master'!$B:$B, 0)), "")</f>
        <v>ULIF05601/08/13BondFunds101</v>
      </c>
      <c r="E8897" s="8" t="s">
        <v>255</v>
      </c>
      <c r="F8897" s="8" t="s">
        <v>699</v>
      </c>
    </row>
    <row r="8898" spans="1:6" ht="60" x14ac:dyDescent="0.25">
      <c r="A8898" s="8" t="s">
        <v>125</v>
      </c>
      <c r="B8898" s="8" t="s">
        <v>134</v>
      </c>
      <c r="C8898" s="8" t="str">
        <f>IFERROR(_xlfn.XLOOKUP(TRIM(B8898),Lookup!$B$2:$B$1000,Lookup!$C$2:$C$1000),"")</f>
        <v>Debt</v>
      </c>
      <c r="D8898" s="8" t="str">
        <f>IFERROR(INDEX('nav master'!$C:$C, MATCH(B8898, 'nav master'!$B:$B, 0)), "")</f>
        <v>ULIF05601/08/13BondFunds101</v>
      </c>
      <c r="E8898" s="8" t="s">
        <v>257</v>
      </c>
      <c r="F8898" s="8" t="s">
        <v>700</v>
      </c>
    </row>
    <row r="8899" spans="1:6" ht="60" x14ac:dyDescent="0.25">
      <c r="A8899" s="8" t="s">
        <v>125</v>
      </c>
      <c r="B8899" s="8" t="s">
        <v>134</v>
      </c>
      <c r="C8899" s="8" t="str">
        <f>IFERROR(_xlfn.XLOOKUP(TRIM(B8899),Lookup!$B$2:$B$1000,Lookup!$C$2:$C$1000),"")</f>
        <v>Debt</v>
      </c>
      <c r="D8899" s="8" t="str">
        <f>IFERROR(INDEX('nav master'!$C:$C, MATCH(B8899, 'nav master'!$B:$B, 0)), "")</f>
        <v>ULIF05601/08/13BondFunds101</v>
      </c>
      <c r="E8899" s="8" t="s">
        <v>259</v>
      </c>
      <c r="F8899" s="8" t="s">
        <v>701</v>
      </c>
    </row>
    <row r="8900" spans="1:6" ht="60" x14ac:dyDescent="0.25">
      <c r="A8900" s="8" t="s">
        <v>125</v>
      </c>
      <c r="B8900" s="8" t="s">
        <v>134</v>
      </c>
      <c r="C8900" s="8" t="str">
        <f>IFERROR(_xlfn.XLOOKUP(TRIM(B8900),Lookup!$B$2:$B$1000,Lookup!$C$2:$C$1000),"")</f>
        <v>Debt</v>
      </c>
      <c r="D8900" s="8" t="str">
        <f>IFERROR(INDEX('nav master'!$C:$C, MATCH(B8900, 'nav master'!$B:$B, 0)), "")</f>
        <v>ULIF05601/08/13BondFunds101</v>
      </c>
      <c r="E8900" s="8" t="s">
        <v>261</v>
      </c>
      <c r="F8900" s="8" t="s">
        <v>702</v>
      </c>
    </row>
    <row r="8901" spans="1:6" ht="60" x14ac:dyDescent="0.25">
      <c r="A8901" s="8" t="s">
        <v>125</v>
      </c>
      <c r="B8901" s="8" t="s">
        <v>134</v>
      </c>
      <c r="C8901" s="8" t="str">
        <f>IFERROR(_xlfn.XLOOKUP(TRIM(B8901),Lookup!$B$2:$B$1000,Lookup!$C$2:$C$1000),"")</f>
        <v>Debt</v>
      </c>
      <c r="D8901" s="8" t="str">
        <f>IFERROR(INDEX('nav master'!$C:$C, MATCH(B8901, 'nav master'!$B:$B, 0)), "")</f>
        <v>ULIF05601/08/13BondFunds101</v>
      </c>
      <c r="E8901" s="8" t="s">
        <v>263</v>
      </c>
      <c r="F8901" s="8" t="s">
        <v>703</v>
      </c>
    </row>
    <row r="8902" spans="1:6" ht="60" x14ac:dyDescent="0.25">
      <c r="A8902" s="8" t="s">
        <v>125</v>
      </c>
      <c r="B8902" s="8" t="s">
        <v>134</v>
      </c>
      <c r="C8902" s="8" t="str">
        <f>IFERROR(_xlfn.XLOOKUP(TRIM(B8902),Lookup!$B$2:$B$1000,Lookup!$C$2:$C$1000),"")</f>
        <v>Debt</v>
      </c>
      <c r="D8902" s="8" t="str">
        <f>IFERROR(INDEX('nav master'!$C:$C, MATCH(B8902, 'nav master'!$B:$B, 0)), "")</f>
        <v>ULIF05601/08/13BondFunds101</v>
      </c>
      <c r="E8902" s="8" t="s">
        <v>265</v>
      </c>
      <c r="F8902" s="8" t="s">
        <v>704</v>
      </c>
    </row>
    <row r="8903" spans="1:6" ht="60" x14ac:dyDescent="0.25">
      <c r="A8903" s="8" t="s">
        <v>125</v>
      </c>
      <c r="B8903" s="8" t="s">
        <v>134</v>
      </c>
      <c r="C8903" s="8" t="str">
        <f>IFERROR(_xlfn.XLOOKUP(TRIM(B8903),Lookup!$B$2:$B$1000,Lookup!$C$2:$C$1000),"")</f>
        <v>Debt</v>
      </c>
      <c r="D8903" s="8" t="str">
        <f>IFERROR(INDEX('nav master'!$C:$C, MATCH(B8903, 'nav master'!$B:$B, 0)), "")</f>
        <v>ULIF05601/08/13BondFunds101</v>
      </c>
      <c r="E8903" s="8" t="s">
        <v>267</v>
      </c>
      <c r="F8903" s="8" t="s">
        <v>705</v>
      </c>
    </row>
    <row r="8904" spans="1:6" ht="60" x14ac:dyDescent="0.25">
      <c r="A8904" s="8" t="s">
        <v>125</v>
      </c>
      <c r="B8904" s="8" t="s">
        <v>134</v>
      </c>
      <c r="C8904" s="8" t="str">
        <f>IFERROR(_xlfn.XLOOKUP(TRIM(B8904),Lookup!$B$2:$B$1000,Lookup!$C$2:$C$1000),"")</f>
        <v>Debt</v>
      </c>
      <c r="D8904" s="8" t="str">
        <f>IFERROR(INDEX('nav master'!$C:$C, MATCH(B8904, 'nav master'!$B:$B, 0)), "")</f>
        <v>ULIF05601/08/13BondFunds101</v>
      </c>
      <c r="E8904" s="8" t="s">
        <v>269</v>
      </c>
      <c r="F8904" s="8" t="s">
        <v>706</v>
      </c>
    </row>
    <row r="8905" spans="1:6" ht="60" x14ac:dyDescent="0.25">
      <c r="A8905" s="8" t="s">
        <v>125</v>
      </c>
      <c r="B8905" s="8" t="s">
        <v>134</v>
      </c>
      <c r="C8905" s="8" t="str">
        <f>IFERROR(_xlfn.XLOOKUP(TRIM(B8905),Lookup!$B$2:$B$1000,Lookup!$C$2:$C$1000),"")</f>
        <v>Debt</v>
      </c>
      <c r="D8905" s="8" t="str">
        <f>IFERROR(INDEX('nav master'!$C:$C, MATCH(B8905, 'nav master'!$B:$B, 0)), "")</f>
        <v>ULIF05601/08/13BondFunds101</v>
      </c>
      <c r="E8905" s="8" t="s">
        <v>271</v>
      </c>
      <c r="F8905" s="8" t="s">
        <v>707</v>
      </c>
    </row>
    <row r="8906" spans="1:6" ht="60" x14ac:dyDescent="0.25">
      <c r="A8906" s="8" t="s">
        <v>125</v>
      </c>
      <c r="B8906" s="8" t="s">
        <v>134</v>
      </c>
      <c r="C8906" s="8" t="str">
        <f>IFERROR(_xlfn.XLOOKUP(TRIM(B8906),Lookup!$B$2:$B$1000,Lookup!$C$2:$C$1000),"")</f>
        <v>Debt</v>
      </c>
      <c r="D8906" s="8" t="str">
        <f>IFERROR(INDEX('nav master'!$C:$C, MATCH(B8906, 'nav master'!$B:$B, 0)), "")</f>
        <v>ULIF05601/08/13BondFunds101</v>
      </c>
      <c r="E8906" s="8" t="s">
        <v>273</v>
      </c>
      <c r="F8906" s="8" t="s">
        <v>708</v>
      </c>
    </row>
    <row r="8907" spans="1:6" ht="60" x14ac:dyDescent="0.25">
      <c r="A8907" s="8" t="s">
        <v>125</v>
      </c>
      <c r="B8907" s="8" t="s">
        <v>134</v>
      </c>
      <c r="C8907" s="8" t="str">
        <f>IFERROR(_xlfn.XLOOKUP(TRIM(B8907),Lookup!$B$2:$B$1000,Lookup!$C$2:$C$1000),"")</f>
        <v>Debt</v>
      </c>
      <c r="D8907" s="8" t="str">
        <f>IFERROR(INDEX('nav master'!$C:$C, MATCH(B8907, 'nav master'!$B:$B, 0)), "")</f>
        <v>ULIF05601/08/13BondFunds101</v>
      </c>
      <c r="E8907" s="8" t="s">
        <v>275</v>
      </c>
      <c r="F8907" s="8" t="s">
        <v>709</v>
      </c>
    </row>
    <row r="8908" spans="1:6" ht="60" x14ac:dyDescent="0.25">
      <c r="A8908" s="8" t="s">
        <v>125</v>
      </c>
      <c r="B8908" s="8" t="s">
        <v>134</v>
      </c>
      <c r="C8908" s="8" t="str">
        <f>IFERROR(_xlfn.XLOOKUP(TRIM(B8908),Lookup!$B$2:$B$1000,Lookup!$C$2:$C$1000),"")</f>
        <v>Debt</v>
      </c>
      <c r="D8908" s="8" t="str">
        <f>IFERROR(INDEX('nav master'!$C:$C, MATCH(B8908, 'nav master'!$B:$B, 0)), "")</f>
        <v>ULIF05601/08/13BondFunds101</v>
      </c>
      <c r="E8908" s="8" t="s">
        <v>277</v>
      </c>
      <c r="F8908" s="8" t="s">
        <v>710</v>
      </c>
    </row>
    <row r="8909" spans="1:6" ht="60" x14ac:dyDescent="0.25">
      <c r="A8909" s="8" t="s">
        <v>125</v>
      </c>
      <c r="B8909" s="8" t="s">
        <v>134</v>
      </c>
      <c r="C8909" s="8" t="str">
        <f>IFERROR(_xlfn.XLOOKUP(TRIM(B8909),Lookup!$B$2:$B$1000,Lookup!$C$2:$C$1000),"")</f>
        <v>Debt</v>
      </c>
      <c r="D8909" s="8" t="str">
        <f>IFERROR(INDEX('nav master'!$C:$C, MATCH(B8909, 'nav master'!$B:$B, 0)), "")</f>
        <v>ULIF05601/08/13BondFunds101</v>
      </c>
      <c r="E8909" s="8" t="s">
        <v>279</v>
      </c>
      <c r="F8909" s="8" t="s">
        <v>711</v>
      </c>
    </row>
    <row r="8910" spans="1:6" ht="60" x14ac:dyDescent="0.25">
      <c r="A8910" s="8" t="s">
        <v>125</v>
      </c>
      <c r="B8910" s="8" t="s">
        <v>134</v>
      </c>
      <c r="C8910" s="8" t="str">
        <f>IFERROR(_xlfn.XLOOKUP(TRIM(B8910),Lookup!$B$2:$B$1000,Lookup!$C$2:$C$1000),"")</f>
        <v>Debt</v>
      </c>
      <c r="D8910" s="8" t="str">
        <f>IFERROR(INDEX('nav master'!$C:$C, MATCH(B8910, 'nav master'!$B:$B, 0)), "")</f>
        <v>ULIF05601/08/13BondFunds101</v>
      </c>
      <c r="E8910" s="8" t="s">
        <v>281</v>
      </c>
      <c r="F8910" s="8" t="s">
        <v>712</v>
      </c>
    </row>
    <row r="8911" spans="1:6" ht="60" x14ac:dyDescent="0.25">
      <c r="A8911" s="8" t="s">
        <v>125</v>
      </c>
      <c r="B8911" s="8" t="s">
        <v>134</v>
      </c>
      <c r="C8911" s="8" t="str">
        <f>IFERROR(_xlfn.XLOOKUP(TRIM(B8911),Lookup!$B$2:$B$1000,Lookup!$C$2:$C$1000),"")</f>
        <v>Debt</v>
      </c>
      <c r="D8911" s="8" t="str">
        <f>IFERROR(INDEX('nav master'!$C:$C, MATCH(B8911, 'nav master'!$B:$B, 0)), "")</f>
        <v>ULIF05601/08/13BondFunds101</v>
      </c>
      <c r="E8911" s="8" t="s">
        <v>283</v>
      </c>
      <c r="F8911" s="8" t="s">
        <v>713</v>
      </c>
    </row>
    <row r="8912" spans="1:6" ht="60" x14ac:dyDescent="0.25">
      <c r="A8912" s="8" t="s">
        <v>125</v>
      </c>
      <c r="B8912" s="8" t="s">
        <v>134</v>
      </c>
      <c r="C8912" s="8" t="str">
        <f>IFERROR(_xlfn.XLOOKUP(TRIM(B8912),Lookup!$B$2:$B$1000,Lookup!$C$2:$C$1000),"")</f>
        <v>Debt</v>
      </c>
      <c r="D8912" s="8" t="str">
        <f>IFERROR(INDEX('nav master'!$C:$C, MATCH(B8912, 'nav master'!$B:$B, 0)), "")</f>
        <v>ULIF05601/08/13BondFunds101</v>
      </c>
      <c r="E8912" s="8" t="s">
        <v>285</v>
      </c>
      <c r="F8912" s="8" t="s">
        <v>714</v>
      </c>
    </row>
    <row r="8913" spans="1:6" ht="60" x14ac:dyDescent="0.25">
      <c r="A8913" s="8" t="s">
        <v>125</v>
      </c>
      <c r="B8913" s="8" t="s">
        <v>134</v>
      </c>
      <c r="C8913" s="8" t="str">
        <f>IFERROR(_xlfn.XLOOKUP(TRIM(B8913),Lookup!$B$2:$B$1000,Lookup!$C$2:$C$1000),"")</f>
        <v>Debt</v>
      </c>
      <c r="D8913" s="8" t="str">
        <f>IFERROR(INDEX('nav master'!$C:$C, MATCH(B8913, 'nav master'!$B:$B, 0)), "")</f>
        <v>ULIF05601/08/13BondFunds101</v>
      </c>
      <c r="E8913" s="8" t="s">
        <v>287</v>
      </c>
      <c r="F8913" s="8" t="s">
        <v>715</v>
      </c>
    </row>
    <row r="8914" spans="1:6" ht="60" x14ac:dyDescent="0.25">
      <c r="A8914" s="8" t="s">
        <v>125</v>
      </c>
      <c r="B8914" s="8" t="s">
        <v>134</v>
      </c>
      <c r="C8914" s="8" t="str">
        <f>IFERROR(_xlfn.XLOOKUP(TRIM(B8914),Lookup!$B$2:$B$1000,Lookup!$C$2:$C$1000),"")</f>
        <v>Debt</v>
      </c>
      <c r="D8914" s="8" t="str">
        <f>IFERROR(INDEX('nav master'!$C:$C, MATCH(B8914, 'nav master'!$B:$B, 0)), "")</f>
        <v>ULIF05601/08/13BondFunds101</v>
      </c>
      <c r="E8914" s="8" t="s">
        <v>289</v>
      </c>
      <c r="F8914" s="8" t="s">
        <v>716</v>
      </c>
    </row>
    <row r="8915" spans="1:6" ht="60" x14ac:dyDescent="0.25">
      <c r="A8915" s="8" t="s">
        <v>125</v>
      </c>
      <c r="B8915" s="8" t="s">
        <v>134</v>
      </c>
      <c r="C8915" s="8" t="str">
        <f>IFERROR(_xlfn.XLOOKUP(TRIM(B8915),Lookup!$B$2:$B$1000,Lookup!$C$2:$C$1000),"")</f>
        <v>Debt</v>
      </c>
      <c r="D8915" s="8" t="str">
        <f>IFERROR(INDEX('nav master'!$C:$C, MATCH(B8915, 'nav master'!$B:$B, 0)), "")</f>
        <v>ULIF05601/08/13BondFunds101</v>
      </c>
      <c r="E8915" s="8" t="s">
        <v>291</v>
      </c>
      <c r="F8915" s="8" t="s">
        <v>717</v>
      </c>
    </row>
    <row r="8916" spans="1:6" ht="60" x14ac:dyDescent="0.25">
      <c r="A8916" s="8" t="s">
        <v>125</v>
      </c>
      <c r="B8916" s="8" t="s">
        <v>134</v>
      </c>
      <c r="C8916" s="8" t="str">
        <f>IFERROR(_xlfn.XLOOKUP(TRIM(B8916),Lookup!$B$2:$B$1000,Lookup!$C$2:$C$1000),"")</f>
        <v>Debt</v>
      </c>
      <c r="D8916" s="8" t="str">
        <f>IFERROR(INDEX('nav master'!$C:$C, MATCH(B8916, 'nav master'!$B:$B, 0)), "")</f>
        <v>ULIF05601/08/13BondFunds101</v>
      </c>
      <c r="E8916" s="8" t="s">
        <v>293</v>
      </c>
      <c r="F8916" s="8" t="s">
        <v>718</v>
      </c>
    </row>
    <row r="8917" spans="1:6" ht="60" x14ac:dyDescent="0.25">
      <c r="A8917" s="8" t="s">
        <v>125</v>
      </c>
      <c r="B8917" s="8" t="s">
        <v>134</v>
      </c>
      <c r="C8917" s="8" t="str">
        <f>IFERROR(_xlfn.XLOOKUP(TRIM(B8917),Lookup!$B$2:$B$1000,Lookup!$C$2:$C$1000),"")</f>
        <v>Debt</v>
      </c>
      <c r="D8917" s="8" t="str">
        <f>IFERROR(INDEX('nav master'!$C:$C, MATCH(B8917, 'nav master'!$B:$B, 0)), "")</f>
        <v>ULIF05601/08/13BondFunds101</v>
      </c>
      <c r="E8917" s="8" t="s">
        <v>295</v>
      </c>
      <c r="F8917" s="8" t="s">
        <v>719</v>
      </c>
    </row>
    <row r="8918" spans="1:6" ht="60" x14ac:dyDescent="0.25">
      <c r="A8918" s="8" t="s">
        <v>125</v>
      </c>
      <c r="B8918" s="8" t="s">
        <v>134</v>
      </c>
      <c r="C8918" s="8" t="str">
        <f>IFERROR(_xlfn.XLOOKUP(TRIM(B8918),Lookup!$B$2:$B$1000,Lookup!$C$2:$C$1000),"")</f>
        <v>Debt</v>
      </c>
      <c r="D8918" s="8" t="str">
        <f>IFERROR(INDEX('nav master'!$C:$C, MATCH(B8918, 'nav master'!$B:$B, 0)), "")</f>
        <v>ULIF05601/08/13BondFunds101</v>
      </c>
      <c r="E8918" s="8" t="s">
        <v>297</v>
      </c>
      <c r="F8918" s="8" t="s">
        <v>720</v>
      </c>
    </row>
    <row r="8919" spans="1:6" ht="60" x14ac:dyDescent="0.25">
      <c r="A8919" s="8" t="s">
        <v>125</v>
      </c>
      <c r="B8919" s="8" t="s">
        <v>134</v>
      </c>
      <c r="C8919" s="8" t="str">
        <f>IFERROR(_xlfn.XLOOKUP(TRIM(B8919),Lookup!$B$2:$B$1000,Lookup!$C$2:$C$1000),"")</f>
        <v>Debt</v>
      </c>
      <c r="D8919" s="8" t="str">
        <f>IFERROR(INDEX('nav master'!$C:$C, MATCH(B8919, 'nav master'!$B:$B, 0)), "")</f>
        <v>ULIF05601/08/13BondFunds101</v>
      </c>
      <c r="E8919" s="8" t="s">
        <v>299</v>
      </c>
      <c r="F8919" s="8" t="s">
        <v>721</v>
      </c>
    </row>
    <row r="8920" spans="1:6" ht="60" x14ac:dyDescent="0.25">
      <c r="A8920" s="8" t="s">
        <v>125</v>
      </c>
      <c r="B8920" s="8" t="s">
        <v>134</v>
      </c>
      <c r="C8920" s="8" t="str">
        <f>IFERROR(_xlfn.XLOOKUP(TRIM(B8920),Lookup!$B$2:$B$1000,Lookup!$C$2:$C$1000),"")</f>
        <v>Debt</v>
      </c>
      <c r="D8920" s="8" t="str">
        <f>IFERROR(INDEX('nav master'!$C:$C, MATCH(B8920, 'nav master'!$B:$B, 0)), "")</f>
        <v>ULIF05601/08/13BondFunds101</v>
      </c>
      <c r="E8920" s="8" t="s">
        <v>301</v>
      </c>
      <c r="F8920" s="8" t="s">
        <v>722</v>
      </c>
    </row>
    <row r="8921" spans="1:6" ht="60" x14ac:dyDescent="0.25">
      <c r="A8921" s="8" t="s">
        <v>125</v>
      </c>
      <c r="B8921" s="8" t="s">
        <v>134</v>
      </c>
      <c r="C8921" s="8" t="str">
        <f>IFERROR(_xlfn.XLOOKUP(TRIM(B8921),Lookup!$B$2:$B$1000,Lookup!$C$2:$C$1000),"")</f>
        <v>Debt</v>
      </c>
      <c r="D8921" s="8" t="str">
        <f>IFERROR(INDEX('nav master'!$C:$C, MATCH(B8921, 'nav master'!$B:$B, 0)), "")</f>
        <v>ULIF05601/08/13BondFunds101</v>
      </c>
      <c r="E8921" s="8" t="s">
        <v>303</v>
      </c>
      <c r="F8921" s="8" t="s">
        <v>723</v>
      </c>
    </row>
    <row r="8922" spans="1:6" ht="60" x14ac:dyDescent="0.25">
      <c r="A8922" s="8" t="s">
        <v>125</v>
      </c>
      <c r="B8922" s="8" t="s">
        <v>134</v>
      </c>
      <c r="C8922" s="8" t="str">
        <f>IFERROR(_xlfn.XLOOKUP(TRIM(B8922),Lookup!$B$2:$B$1000,Lookup!$C$2:$C$1000),"")</f>
        <v>Debt</v>
      </c>
      <c r="D8922" s="8" t="str">
        <f>IFERROR(INDEX('nav master'!$C:$C, MATCH(B8922, 'nav master'!$B:$B, 0)), "")</f>
        <v>ULIF05601/08/13BondFunds101</v>
      </c>
      <c r="E8922" s="8" t="s">
        <v>305</v>
      </c>
      <c r="F8922" s="8" t="s">
        <v>724</v>
      </c>
    </row>
    <row r="8923" spans="1:6" ht="60" x14ac:dyDescent="0.25">
      <c r="A8923" s="8" t="s">
        <v>125</v>
      </c>
      <c r="B8923" s="8" t="s">
        <v>134</v>
      </c>
      <c r="C8923" s="8" t="str">
        <f>IFERROR(_xlfn.XLOOKUP(TRIM(B8923),Lookup!$B$2:$B$1000,Lookup!$C$2:$C$1000),"")</f>
        <v>Debt</v>
      </c>
      <c r="D8923" s="8" t="str">
        <f>IFERROR(INDEX('nav master'!$C:$C, MATCH(B8923, 'nav master'!$B:$B, 0)), "")</f>
        <v>ULIF05601/08/13BondFunds101</v>
      </c>
      <c r="E8923" s="8" t="s">
        <v>307</v>
      </c>
      <c r="F8923" s="8" t="s">
        <v>725</v>
      </c>
    </row>
    <row r="8924" spans="1:6" ht="60" x14ac:dyDescent="0.25">
      <c r="A8924" s="8" t="s">
        <v>125</v>
      </c>
      <c r="B8924" s="8" t="s">
        <v>134</v>
      </c>
      <c r="C8924" s="8" t="str">
        <f>IFERROR(_xlfn.XLOOKUP(TRIM(B8924),Lookup!$B$2:$B$1000,Lookup!$C$2:$C$1000),"")</f>
        <v>Debt</v>
      </c>
      <c r="D8924" s="8" t="str">
        <f>IFERROR(INDEX('nav master'!$C:$C, MATCH(B8924, 'nav master'!$B:$B, 0)), "")</f>
        <v>ULIF05601/08/13BondFunds101</v>
      </c>
      <c r="E8924" s="8" t="s">
        <v>309</v>
      </c>
      <c r="F8924" s="8" t="s">
        <v>726</v>
      </c>
    </row>
    <row r="8925" spans="1:6" ht="60" x14ac:dyDescent="0.25">
      <c r="A8925" s="8" t="s">
        <v>125</v>
      </c>
      <c r="B8925" s="8" t="s">
        <v>134</v>
      </c>
      <c r="C8925" s="8" t="str">
        <f>IFERROR(_xlfn.XLOOKUP(TRIM(B8925),Lookup!$B$2:$B$1000,Lookup!$C$2:$C$1000),"")</f>
        <v>Debt</v>
      </c>
      <c r="D8925" s="8" t="str">
        <f>IFERROR(INDEX('nav master'!$C:$C, MATCH(B8925, 'nav master'!$B:$B, 0)), "")</f>
        <v>ULIF05601/08/13BondFunds101</v>
      </c>
      <c r="E8925" s="8" t="s">
        <v>311</v>
      </c>
      <c r="F8925" s="8" t="s">
        <v>727</v>
      </c>
    </row>
    <row r="8926" spans="1:6" ht="60" x14ac:dyDescent="0.25">
      <c r="A8926" s="8" t="s">
        <v>125</v>
      </c>
      <c r="B8926" s="8" t="s">
        <v>134</v>
      </c>
      <c r="C8926" s="8" t="str">
        <f>IFERROR(_xlfn.XLOOKUP(TRIM(B8926),Lookup!$B$2:$B$1000,Lookup!$C$2:$C$1000),"")</f>
        <v>Debt</v>
      </c>
      <c r="D8926" s="8" t="str">
        <f>IFERROR(INDEX('nav master'!$C:$C, MATCH(B8926, 'nav master'!$B:$B, 0)), "")</f>
        <v>ULIF05601/08/13BondFunds101</v>
      </c>
      <c r="E8926" s="8" t="s">
        <v>313</v>
      </c>
      <c r="F8926" s="8" t="s">
        <v>728</v>
      </c>
    </row>
    <row r="8927" spans="1:6" ht="60" x14ac:dyDescent="0.25">
      <c r="A8927" s="8" t="s">
        <v>125</v>
      </c>
      <c r="B8927" s="8" t="s">
        <v>134</v>
      </c>
      <c r="C8927" s="8" t="str">
        <f>IFERROR(_xlfn.XLOOKUP(TRIM(B8927),Lookup!$B$2:$B$1000,Lookup!$C$2:$C$1000),"")</f>
        <v>Debt</v>
      </c>
      <c r="D8927" s="8" t="str">
        <f>IFERROR(INDEX('nav master'!$C:$C, MATCH(B8927, 'nav master'!$B:$B, 0)), "")</f>
        <v>ULIF05601/08/13BondFunds101</v>
      </c>
      <c r="E8927" s="8" t="s">
        <v>315</v>
      </c>
      <c r="F8927" s="8" t="s">
        <v>729</v>
      </c>
    </row>
    <row r="8928" spans="1:6" ht="60" x14ac:dyDescent="0.25">
      <c r="A8928" s="8" t="s">
        <v>125</v>
      </c>
      <c r="B8928" s="8" t="s">
        <v>134</v>
      </c>
      <c r="C8928" s="8" t="str">
        <f>IFERROR(_xlfn.XLOOKUP(TRIM(B8928),Lookup!$B$2:$B$1000,Lookup!$C$2:$C$1000),"")</f>
        <v>Debt</v>
      </c>
      <c r="D8928" s="8" t="str">
        <f>IFERROR(INDEX('nav master'!$C:$C, MATCH(B8928, 'nav master'!$B:$B, 0)), "")</f>
        <v>ULIF05601/08/13BondFunds101</v>
      </c>
      <c r="E8928" s="8" t="s">
        <v>317</v>
      </c>
      <c r="F8928" s="8" t="s">
        <v>730</v>
      </c>
    </row>
    <row r="8929" spans="1:6" ht="60" x14ac:dyDescent="0.25">
      <c r="A8929" s="8" t="s">
        <v>125</v>
      </c>
      <c r="B8929" s="8" t="s">
        <v>134</v>
      </c>
      <c r="C8929" s="8" t="str">
        <f>IFERROR(_xlfn.XLOOKUP(TRIM(B8929),Lookup!$B$2:$B$1000,Lookup!$C$2:$C$1000),"")</f>
        <v>Debt</v>
      </c>
      <c r="D8929" s="8" t="str">
        <f>IFERROR(INDEX('nav master'!$C:$C, MATCH(B8929, 'nav master'!$B:$B, 0)), "")</f>
        <v>ULIF05601/08/13BondFunds101</v>
      </c>
      <c r="E8929" s="8" t="s">
        <v>319</v>
      </c>
      <c r="F8929" s="8" t="s">
        <v>731</v>
      </c>
    </row>
    <row r="8930" spans="1:6" ht="60" x14ac:dyDescent="0.25">
      <c r="A8930" s="8" t="s">
        <v>125</v>
      </c>
      <c r="B8930" s="8" t="s">
        <v>134</v>
      </c>
      <c r="C8930" s="8" t="str">
        <f>IFERROR(_xlfn.XLOOKUP(TRIM(B8930),Lookup!$B$2:$B$1000,Lookup!$C$2:$C$1000),"")</f>
        <v>Debt</v>
      </c>
      <c r="D8930" s="8" t="str">
        <f>IFERROR(INDEX('nav master'!$C:$C, MATCH(B8930, 'nav master'!$B:$B, 0)), "")</f>
        <v>ULIF05601/08/13BondFunds101</v>
      </c>
      <c r="E8930" s="8" t="s">
        <v>321</v>
      </c>
      <c r="F8930" s="8" t="s">
        <v>732</v>
      </c>
    </row>
    <row r="8931" spans="1:6" ht="60" x14ac:dyDescent="0.25">
      <c r="A8931" s="8" t="s">
        <v>125</v>
      </c>
      <c r="B8931" s="8" t="s">
        <v>134</v>
      </c>
      <c r="C8931" s="8" t="str">
        <f>IFERROR(_xlfn.XLOOKUP(TRIM(B8931),Lookup!$B$2:$B$1000,Lookup!$C$2:$C$1000),"")</f>
        <v>Debt</v>
      </c>
      <c r="D8931" s="8" t="str">
        <f>IFERROR(INDEX('nav master'!$C:$C, MATCH(B8931, 'nav master'!$B:$B, 0)), "")</f>
        <v>ULIF05601/08/13BondFunds101</v>
      </c>
      <c r="E8931" s="8" t="s">
        <v>323</v>
      </c>
      <c r="F8931" s="8" t="s">
        <v>733</v>
      </c>
    </row>
    <row r="8932" spans="1:6" ht="60" x14ac:dyDescent="0.25">
      <c r="A8932" s="8" t="s">
        <v>125</v>
      </c>
      <c r="B8932" s="8" t="s">
        <v>134</v>
      </c>
      <c r="C8932" s="8" t="str">
        <f>IFERROR(_xlfn.XLOOKUP(TRIM(B8932),Lookup!$B$2:$B$1000,Lookup!$C$2:$C$1000),"")</f>
        <v>Debt</v>
      </c>
      <c r="D8932" s="8" t="str">
        <f>IFERROR(INDEX('nav master'!$C:$C, MATCH(B8932, 'nav master'!$B:$B, 0)), "")</f>
        <v>ULIF05601/08/13BondFunds101</v>
      </c>
      <c r="E8932" s="8" t="s">
        <v>325</v>
      </c>
      <c r="F8932" s="8" t="s">
        <v>733</v>
      </c>
    </row>
    <row r="8933" spans="1:6" ht="60" x14ac:dyDescent="0.25">
      <c r="A8933" s="8" t="s">
        <v>125</v>
      </c>
      <c r="B8933" s="8" t="s">
        <v>134</v>
      </c>
      <c r="C8933" s="8" t="str">
        <f>IFERROR(_xlfn.XLOOKUP(TRIM(B8933),Lookup!$B$2:$B$1000,Lookup!$C$2:$C$1000),"")</f>
        <v>Debt</v>
      </c>
      <c r="D8933" s="8" t="str">
        <f>IFERROR(INDEX('nav master'!$C:$C, MATCH(B8933, 'nav master'!$B:$B, 0)), "")</f>
        <v>ULIF05601/08/13BondFunds101</v>
      </c>
      <c r="E8933" s="8" t="s">
        <v>327</v>
      </c>
      <c r="F8933" s="8" t="s">
        <v>734</v>
      </c>
    </row>
    <row r="8934" spans="1:6" ht="60" x14ac:dyDescent="0.25">
      <c r="A8934" s="8" t="s">
        <v>125</v>
      </c>
      <c r="B8934" s="8" t="s">
        <v>134</v>
      </c>
      <c r="C8934" s="8" t="str">
        <f>IFERROR(_xlfn.XLOOKUP(TRIM(B8934),Lookup!$B$2:$B$1000,Lookup!$C$2:$C$1000),"")</f>
        <v>Debt</v>
      </c>
      <c r="D8934" s="8" t="str">
        <f>IFERROR(INDEX('nav master'!$C:$C, MATCH(B8934, 'nav master'!$B:$B, 0)), "")</f>
        <v>ULIF05601/08/13BondFunds101</v>
      </c>
      <c r="E8934" s="8" t="s">
        <v>329</v>
      </c>
      <c r="F8934" s="8" t="s">
        <v>735</v>
      </c>
    </row>
    <row r="8935" spans="1:6" ht="60" x14ac:dyDescent="0.25">
      <c r="A8935" s="8" t="s">
        <v>125</v>
      </c>
      <c r="B8935" s="8" t="s">
        <v>134</v>
      </c>
      <c r="C8935" s="8" t="str">
        <f>IFERROR(_xlfn.XLOOKUP(TRIM(B8935),Lookup!$B$2:$B$1000,Lookup!$C$2:$C$1000),"")</f>
        <v>Debt</v>
      </c>
      <c r="D8935" s="8" t="str">
        <f>IFERROR(INDEX('nav master'!$C:$C, MATCH(B8935, 'nav master'!$B:$B, 0)), "")</f>
        <v>ULIF05601/08/13BondFunds101</v>
      </c>
      <c r="E8935" s="8" t="s">
        <v>331</v>
      </c>
      <c r="F8935" s="8" t="s">
        <v>736</v>
      </c>
    </row>
    <row r="8936" spans="1:6" ht="60" x14ac:dyDescent="0.25">
      <c r="A8936" s="8" t="s">
        <v>125</v>
      </c>
      <c r="B8936" s="8" t="s">
        <v>134</v>
      </c>
      <c r="C8936" s="8" t="str">
        <f>IFERROR(_xlfn.XLOOKUP(TRIM(B8936),Lookup!$B$2:$B$1000,Lookup!$C$2:$C$1000),"")</f>
        <v>Debt</v>
      </c>
      <c r="D8936" s="8" t="str">
        <f>IFERROR(INDEX('nav master'!$C:$C, MATCH(B8936, 'nav master'!$B:$B, 0)), "")</f>
        <v>ULIF05601/08/13BondFunds101</v>
      </c>
      <c r="E8936" s="8" t="s">
        <v>333</v>
      </c>
      <c r="F8936" s="8" t="s">
        <v>737</v>
      </c>
    </row>
    <row r="8937" spans="1:6" ht="60" x14ac:dyDescent="0.25">
      <c r="A8937" s="8" t="s">
        <v>125</v>
      </c>
      <c r="B8937" s="8" t="s">
        <v>134</v>
      </c>
      <c r="C8937" s="8" t="str">
        <f>IFERROR(_xlfn.XLOOKUP(TRIM(B8937),Lookup!$B$2:$B$1000,Lookup!$C$2:$C$1000),"")</f>
        <v>Debt</v>
      </c>
      <c r="D8937" s="8" t="str">
        <f>IFERROR(INDEX('nav master'!$C:$C, MATCH(B8937, 'nav master'!$B:$B, 0)), "")</f>
        <v>ULIF05601/08/13BondFunds101</v>
      </c>
      <c r="E8937" s="8" t="s">
        <v>335</v>
      </c>
      <c r="F8937" s="8" t="s">
        <v>738</v>
      </c>
    </row>
    <row r="8938" spans="1:6" ht="60" x14ac:dyDescent="0.25">
      <c r="A8938" s="8" t="s">
        <v>125</v>
      </c>
      <c r="B8938" s="8" t="s">
        <v>134</v>
      </c>
      <c r="C8938" s="8" t="str">
        <f>IFERROR(_xlfn.XLOOKUP(TRIM(B8938),Lookup!$B$2:$B$1000,Lookup!$C$2:$C$1000),"")</f>
        <v>Debt</v>
      </c>
      <c r="D8938" s="8" t="str">
        <f>IFERROR(INDEX('nav master'!$C:$C, MATCH(B8938, 'nav master'!$B:$B, 0)), "")</f>
        <v>ULIF05601/08/13BondFunds101</v>
      </c>
      <c r="E8938" s="8" t="s">
        <v>337</v>
      </c>
      <c r="F8938" s="8" t="s">
        <v>739</v>
      </c>
    </row>
    <row r="8939" spans="1:6" ht="60" x14ac:dyDescent="0.25">
      <c r="A8939" s="8" t="s">
        <v>125</v>
      </c>
      <c r="B8939" s="8" t="s">
        <v>134</v>
      </c>
      <c r="C8939" s="8" t="str">
        <f>IFERROR(_xlfn.XLOOKUP(TRIM(B8939),Lookup!$B$2:$B$1000,Lookup!$C$2:$C$1000),"")</f>
        <v>Debt</v>
      </c>
      <c r="D8939" s="8" t="str">
        <f>IFERROR(INDEX('nav master'!$C:$C, MATCH(B8939, 'nav master'!$B:$B, 0)), "")</f>
        <v>ULIF05601/08/13BondFunds101</v>
      </c>
      <c r="E8939" s="8" t="s">
        <v>339</v>
      </c>
      <c r="F8939" s="8" t="s">
        <v>740</v>
      </c>
    </row>
    <row r="8940" spans="1:6" ht="60" x14ac:dyDescent="0.25">
      <c r="A8940" s="8" t="s">
        <v>125</v>
      </c>
      <c r="B8940" s="8" t="s">
        <v>134</v>
      </c>
      <c r="C8940" s="8" t="str">
        <f>IFERROR(_xlfn.XLOOKUP(TRIM(B8940),Lookup!$B$2:$B$1000,Lookup!$C$2:$C$1000),"")</f>
        <v>Debt</v>
      </c>
      <c r="D8940" s="8" t="str">
        <f>IFERROR(INDEX('nav master'!$C:$C, MATCH(B8940, 'nav master'!$B:$B, 0)), "")</f>
        <v>ULIF05601/08/13BondFunds101</v>
      </c>
      <c r="E8940" s="8" t="s">
        <v>341</v>
      </c>
      <c r="F8940" s="8" t="s">
        <v>741</v>
      </c>
    </row>
    <row r="8941" spans="1:6" ht="60" x14ac:dyDescent="0.25">
      <c r="A8941" s="8" t="s">
        <v>125</v>
      </c>
      <c r="B8941" s="8" t="s">
        <v>134</v>
      </c>
      <c r="C8941" s="8" t="str">
        <f>IFERROR(_xlfn.XLOOKUP(TRIM(B8941),Lookup!$B$2:$B$1000,Lookup!$C$2:$C$1000),"")</f>
        <v>Debt</v>
      </c>
      <c r="D8941" s="8" t="str">
        <f>IFERROR(INDEX('nav master'!$C:$C, MATCH(B8941, 'nav master'!$B:$B, 0)), "")</f>
        <v>ULIF05601/08/13BondFunds101</v>
      </c>
      <c r="E8941" s="8" t="s">
        <v>343</v>
      </c>
      <c r="F8941" s="8" t="s">
        <v>742</v>
      </c>
    </row>
    <row r="8942" spans="1:6" ht="60" x14ac:dyDescent="0.25">
      <c r="A8942" s="8" t="s">
        <v>125</v>
      </c>
      <c r="B8942" s="8" t="s">
        <v>134</v>
      </c>
      <c r="C8942" s="8" t="str">
        <f>IFERROR(_xlfn.XLOOKUP(TRIM(B8942),Lookup!$B$2:$B$1000,Lookup!$C$2:$C$1000),"")</f>
        <v>Debt</v>
      </c>
      <c r="D8942" s="8" t="str">
        <f>IFERROR(INDEX('nav master'!$C:$C, MATCH(B8942, 'nav master'!$B:$B, 0)), "")</f>
        <v>ULIF05601/08/13BondFunds101</v>
      </c>
      <c r="E8942" s="8" t="s">
        <v>345</v>
      </c>
      <c r="F8942" s="8" t="s">
        <v>743</v>
      </c>
    </row>
    <row r="8943" spans="1:6" ht="60" x14ac:dyDescent="0.25">
      <c r="A8943" s="8" t="s">
        <v>125</v>
      </c>
      <c r="B8943" s="8" t="s">
        <v>134</v>
      </c>
      <c r="C8943" s="8" t="str">
        <f>IFERROR(_xlfn.XLOOKUP(TRIM(B8943),Lookup!$B$2:$B$1000,Lookup!$C$2:$C$1000),"")</f>
        <v>Debt</v>
      </c>
      <c r="D8943" s="8" t="str">
        <f>IFERROR(INDEX('nav master'!$C:$C, MATCH(B8943, 'nav master'!$B:$B, 0)), "")</f>
        <v>ULIF05601/08/13BondFunds101</v>
      </c>
      <c r="E8943" s="8" t="s">
        <v>347</v>
      </c>
      <c r="F8943" s="8" t="s">
        <v>744</v>
      </c>
    </row>
    <row r="8944" spans="1:6" ht="60" x14ac:dyDescent="0.25">
      <c r="A8944" s="8" t="s">
        <v>125</v>
      </c>
      <c r="B8944" s="8" t="s">
        <v>134</v>
      </c>
      <c r="C8944" s="8" t="str">
        <f>IFERROR(_xlfn.XLOOKUP(TRIM(B8944),Lookup!$B$2:$B$1000,Lookup!$C$2:$C$1000),"")</f>
        <v>Debt</v>
      </c>
      <c r="D8944" s="8" t="str">
        <f>IFERROR(INDEX('nav master'!$C:$C, MATCH(B8944, 'nav master'!$B:$B, 0)), "")</f>
        <v>ULIF05601/08/13BondFunds101</v>
      </c>
      <c r="E8944" s="8" t="s">
        <v>349</v>
      </c>
      <c r="F8944" s="8" t="s">
        <v>745</v>
      </c>
    </row>
    <row r="8945" spans="1:6" ht="60" x14ac:dyDescent="0.25">
      <c r="A8945" s="8" t="s">
        <v>125</v>
      </c>
      <c r="B8945" s="8" t="s">
        <v>134</v>
      </c>
      <c r="C8945" s="8" t="str">
        <f>IFERROR(_xlfn.XLOOKUP(TRIM(B8945),Lookup!$B$2:$B$1000,Lookup!$C$2:$C$1000),"")</f>
        <v>Debt</v>
      </c>
      <c r="D8945" s="8" t="str">
        <f>IFERROR(INDEX('nav master'!$C:$C, MATCH(B8945, 'nav master'!$B:$B, 0)), "")</f>
        <v>ULIF05601/08/13BondFunds101</v>
      </c>
      <c r="E8945" s="8" t="s">
        <v>351</v>
      </c>
      <c r="F8945" s="8" t="s">
        <v>746</v>
      </c>
    </row>
    <row r="8946" spans="1:6" ht="60" x14ac:dyDescent="0.25">
      <c r="A8946" s="8" t="s">
        <v>125</v>
      </c>
      <c r="B8946" s="8" t="s">
        <v>134</v>
      </c>
      <c r="C8946" s="8" t="str">
        <f>IFERROR(_xlfn.XLOOKUP(TRIM(B8946),Lookup!$B$2:$B$1000,Lookup!$C$2:$C$1000),"")</f>
        <v>Debt</v>
      </c>
      <c r="D8946" s="8" t="str">
        <f>IFERROR(INDEX('nav master'!$C:$C, MATCH(B8946, 'nav master'!$B:$B, 0)), "")</f>
        <v>ULIF05601/08/13BondFunds101</v>
      </c>
      <c r="E8946" s="8" t="s">
        <v>353</v>
      </c>
      <c r="F8946" s="8" t="s">
        <v>747</v>
      </c>
    </row>
    <row r="8947" spans="1:6" ht="60" x14ac:dyDescent="0.25">
      <c r="A8947" s="8" t="s">
        <v>125</v>
      </c>
      <c r="B8947" s="8" t="s">
        <v>134</v>
      </c>
      <c r="C8947" s="8" t="str">
        <f>IFERROR(_xlfn.XLOOKUP(TRIM(B8947),Lookup!$B$2:$B$1000,Lookup!$C$2:$C$1000),"")</f>
        <v>Debt</v>
      </c>
      <c r="D8947" s="8" t="str">
        <f>IFERROR(INDEX('nav master'!$C:$C, MATCH(B8947, 'nav master'!$B:$B, 0)), "")</f>
        <v>ULIF05601/08/13BondFunds101</v>
      </c>
      <c r="E8947" s="8" t="s">
        <v>355</v>
      </c>
      <c r="F8947" s="8" t="s">
        <v>748</v>
      </c>
    </row>
    <row r="8948" spans="1:6" ht="60" x14ac:dyDescent="0.25">
      <c r="A8948" s="8" t="s">
        <v>125</v>
      </c>
      <c r="B8948" s="8" t="s">
        <v>134</v>
      </c>
      <c r="C8948" s="8" t="str">
        <f>IFERROR(_xlfn.XLOOKUP(TRIM(B8948),Lookup!$B$2:$B$1000,Lookup!$C$2:$C$1000),"")</f>
        <v>Debt</v>
      </c>
      <c r="D8948" s="8" t="str">
        <f>IFERROR(INDEX('nav master'!$C:$C, MATCH(B8948, 'nav master'!$B:$B, 0)), "")</f>
        <v>ULIF05601/08/13BondFunds101</v>
      </c>
      <c r="E8948" s="8" t="s">
        <v>357</v>
      </c>
      <c r="F8948" s="8" t="s">
        <v>749</v>
      </c>
    </row>
    <row r="8949" spans="1:6" ht="60" x14ac:dyDescent="0.25">
      <c r="A8949" s="8" t="s">
        <v>125</v>
      </c>
      <c r="B8949" s="8" t="s">
        <v>134</v>
      </c>
      <c r="C8949" s="8" t="str">
        <f>IFERROR(_xlfn.XLOOKUP(TRIM(B8949),Lookup!$B$2:$B$1000,Lookup!$C$2:$C$1000),"")</f>
        <v>Debt</v>
      </c>
      <c r="D8949" s="8" t="str">
        <f>IFERROR(INDEX('nav master'!$C:$C, MATCH(B8949, 'nav master'!$B:$B, 0)), "")</f>
        <v>ULIF05601/08/13BondFunds101</v>
      </c>
      <c r="E8949" s="8" t="s">
        <v>359</v>
      </c>
      <c r="F8949" s="8" t="s">
        <v>750</v>
      </c>
    </row>
    <row r="8950" spans="1:6" ht="60" x14ac:dyDescent="0.25">
      <c r="A8950" s="8" t="s">
        <v>125</v>
      </c>
      <c r="B8950" s="8" t="s">
        <v>134</v>
      </c>
      <c r="C8950" s="8" t="str">
        <f>IFERROR(_xlfn.XLOOKUP(TRIM(B8950),Lookup!$B$2:$B$1000,Lookup!$C$2:$C$1000),"")</f>
        <v>Debt</v>
      </c>
      <c r="D8950" s="8" t="str">
        <f>IFERROR(INDEX('nav master'!$C:$C, MATCH(B8950, 'nav master'!$B:$B, 0)), "")</f>
        <v>ULIF05601/08/13BondFunds101</v>
      </c>
      <c r="E8950" s="8" t="s">
        <v>361</v>
      </c>
      <c r="F8950" s="8" t="s">
        <v>751</v>
      </c>
    </row>
    <row r="8951" spans="1:6" ht="60" x14ac:dyDescent="0.25">
      <c r="A8951" s="8" t="s">
        <v>125</v>
      </c>
      <c r="B8951" s="8" t="s">
        <v>134</v>
      </c>
      <c r="C8951" s="8" t="str">
        <f>IFERROR(_xlfn.XLOOKUP(TRIM(B8951),Lookup!$B$2:$B$1000,Lookup!$C$2:$C$1000),"")</f>
        <v>Debt</v>
      </c>
      <c r="D8951" s="8" t="str">
        <f>IFERROR(INDEX('nav master'!$C:$C, MATCH(B8951, 'nav master'!$B:$B, 0)), "")</f>
        <v>ULIF05601/08/13BondFunds101</v>
      </c>
      <c r="E8951" s="8" t="s">
        <v>363</v>
      </c>
      <c r="F8951" s="8" t="s">
        <v>752</v>
      </c>
    </row>
    <row r="8952" spans="1:6" ht="60" x14ac:dyDescent="0.25">
      <c r="A8952" s="8" t="s">
        <v>125</v>
      </c>
      <c r="B8952" s="8" t="s">
        <v>134</v>
      </c>
      <c r="C8952" s="8" t="str">
        <f>IFERROR(_xlfn.XLOOKUP(TRIM(B8952),Lookup!$B$2:$B$1000,Lookup!$C$2:$C$1000),"")</f>
        <v>Debt</v>
      </c>
      <c r="D8952" s="8" t="str">
        <f>IFERROR(INDEX('nav master'!$C:$C, MATCH(B8952, 'nav master'!$B:$B, 0)), "")</f>
        <v>ULIF05601/08/13BondFunds101</v>
      </c>
      <c r="E8952" s="8" t="s">
        <v>365</v>
      </c>
      <c r="F8952" s="8" t="s">
        <v>753</v>
      </c>
    </row>
    <row r="8953" spans="1:6" ht="60" x14ac:dyDescent="0.25">
      <c r="A8953" s="8" t="s">
        <v>125</v>
      </c>
      <c r="B8953" s="8" t="s">
        <v>134</v>
      </c>
      <c r="C8953" s="8" t="str">
        <f>IFERROR(_xlfn.XLOOKUP(TRIM(B8953),Lookup!$B$2:$B$1000,Lookup!$C$2:$C$1000),"")</f>
        <v>Debt</v>
      </c>
      <c r="D8953" s="8" t="str">
        <f>IFERROR(INDEX('nav master'!$C:$C, MATCH(B8953, 'nav master'!$B:$B, 0)), "")</f>
        <v>ULIF05601/08/13BondFunds101</v>
      </c>
      <c r="E8953" s="8" t="s">
        <v>367</v>
      </c>
      <c r="F8953" s="8" t="s">
        <v>754</v>
      </c>
    </row>
    <row r="8954" spans="1:6" ht="60" x14ac:dyDescent="0.25">
      <c r="A8954" s="8" t="s">
        <v>125</v>
      </c>
      <c r="B8954" s="8" t="s">
        <v>134</v>
      </c>
      <c r="C8954" s="8" t="str">
        <f>IFERROR(_xlfn.XLOOKUP(TRIM(B8954),Lookup!$B$2:$B$1000,Lookup!$C$2:$C$1000),"")</f>
        <v>Debt</v>
      </c>
      <c r="D8954" s="8" t="str">
        <f>IFERROR(INDEX('nav master'!$C:$C, MATCH(B8954, 'nav master'!$B:$B, 0)), "")</f>
        <v>ULIF05601/08/13BondFunds101</v>
      </c>
      <c r="E8954" s="8" t="s">
        <v>369</v>
      </c>
      <c r="F8954" s="8" t="s">
        <v>755</v>
      </c>
    </row>
    <row r="8955" spans="1:6" ht="60" x14ac:dyDescent="0.25">
      <c r="A8955" s="8" t="s">
        <v>125</v>
      </c>
      <c r="B8955" s="8" t="s">
        <v>134</v>
      </c>
      <c r="C8955" s="8" t="str">
        <f>IFERROR(_xlfn.XLOOKUP(TRIM(B8955),Lookup!$B$2:$B$1000,Lookup!$C$2:$C$1000),"")</f>
        <v>Debt</v>
      </c>
      <c r="D8955" s="8" t="str">
        <f>IFERROR(INDEX('nav master'!$C:$C, MATCH(B8955, 'nav master'!$B:$B, 0)), "")</f>
        <v>ULIF05601/08/13BondFunds101</v>
      </c>
      <c r="E8955" s="8" t="s">
        <v>371</v>
      </c>
      <c r="F8955" s="8" t="s">
        <v>756</v>
      </c>
    </row>
    <row r="8956" spans="1:6" ht="60" x14ac:dyDescent="0.25">
      <c r="A8956" s="8" t="s">
        <v>125</v>
      </c>
      <c r="B8956" s="8" t="s">
        <v>134</v>
      </c>
      <c r="C8956" s="8" t="str">
        <f>IFERROR(_xlfn.XLOOKUP(TRIM(B8956),Lookup!$B$2:$B$1000,Lookup!$C$2:$C$1000),"")</f>
        <v>Debt</v>
      </c>
      <c r="D8956" s="8" t="str">
        <f>IFERROR(INDEX('nav master'!$C:$C, MATCH(B8956, 'nav master'!$B:$B, 0)), "")</f>
        <v>ULIF05601/08/13BondFunds101</v>
      </c>
      <c r="E8956" s="8" t="s">
        <v>373</v>
      </c>
      <c r="F8956" s="8" t="s">
        <v>757</v>
      </c>
    </row>
    <row r="8957" spans="1:6" ht="60" x14ac:dyDescent="0.25">
      <c r="A8957" s="8" t="s">
        <v>125</v>
      </c>
      <c r="B8957" s="8" t="s">
        <v>134</v>
      </c>
      <c r="C8957" s="8" t="str">
        <f>IFERROR(_xlfn.XLOOKUP(TRIM(B8957),Lookup!$B$2:$B$1000,Lookup!$C$2:$C$1000),"")</f>
        <v>Debt</v>
      </c>
      <c r="D8957" s="8" t="str">
        <f>IFERROR(INDEX('nav master'!$C:$C, MATCH(B8957, 'nav master'!$B:$B, 0)), "")</f>
        <v>ULIF05601/08/13BondFunds101</v>
      </c>
      <c r="E8957" s="8" t="s">
        <v>375</v>
      </c>
      <c r="F8957" s="8" t="s">
        <v>758</v>
      </c>
    </row>
    <row r="8958" spans="1:6" ht="60" x14ac:dyDescent="0.25">
      <c r="A8958" s="8" t="s">
        <v>125</v>
      </c>
      <c r="B8958" s="8" t="s">
        <v>134</v>
      </c>
      <c r="C8958" s="8" t="str">
        <f>IFERROR(_xlfn.XLOOKUP(TRIM(B8958),Lookup!$B$2:$B$1000,Lookup!$C$2:$C$1000),"")</f>
        <v>Debt</v>
      </c>
      <c r="D8958" s="8" t="str">
        <f>IFERROR(INDEX('nav master'!$C:$C, MATCH(B8958, 'nav master'!$B:$B, 0)), "")</f>
        <v>ULIF05601/08/13BondFunds101</v>
      </c>
      <c r="E8958" s="8" t="s">
        <v>377</v>
      </c>
      <c r="F8958" s="8" t="s">
        <v>759</v>
      </c>
    </row>
    <row r="8959" spans="1:6" ht="60" x14ac:dyDescent="0.25">
      <c r="A8959" s="8" t="s">
        <v>125</v>
      </c>
      <c r="B8959" s="8" t="s">
        <v>134</v>
      </c>
      <c r="C8959" s="8" t="str">
        <f>IFERROR(_xlfn.XLOOKUP(TRIM(B8959),Lookup!$B$2:$B$1000,Lookup!$C$2:$C$1000),"")</f>
        <v>Debt</v>
      </c>
      <c r="D8959" s="8" t="str">
        <f>IFERROR(INDEX('nav master'!$C:$C, MATCH(B8959, 'nav master'!$B:$B, 0)), "")</f>
        <v>ULIF05601/08/13BondFunds101</v>
      </c>
      <c r="E8959" s="8" t="s">
        <v>379</v>
      </c>
      <c r="F8959" s="8" t="s">
        <v>760</v>
      </c>
    </row>
    <row r="8960" spans="1:6" ht="60" x14ac:dyDescent="0.25">
      <c r="A8960" s="8" t="s">
        <v>125</v>
      </c>
      <c r="B8960" s="8" t="s">
        <v>134</v>
      </c>
      <c r="C8960" s="8" t="str">
        <f>IFERROR(_xlfn.XLOOKUP(TRIM(B8960),Lookup!$B$2:$B$1000,Lookup!$C$2:$C$1000),"")</f>
        <v>Debt</v>
      </c>
      <c r="D8960" s="8" t="str">
        <f>IFERROR(INDEX('nav master'!$C:$C, MATCH(B8960, 'nav master'!$B:$B, 0)), "")</f>
        <v>ULIF05601/08/13BondFunds101</v>
      </c>
      <c r="E8960" s="8" t="s">
        <v>381</v>
      </c>
      <c r="F8960" s="8" t="s">
        <v>761</v>
      </c>
    </row>
    <row r="8961" spans="1:6" ht="60" x14ac:dyDescent="0.25">
      <c r="A8961" s="8" t="s">
        <v>125</v>
      </c>
      <c r="B8961" s="8" t="s">
        <v>134</v>
      </c>
      <c r="C8961" s="8" t="str">
        <f>IFERROR(_xlfn.XLOOKUP(TRIM(B8961),Lookup!$B$2:$B$1000,Lookup!$C$2:$C$1000),"")</f>
        <v>Debt</v>
      </c>
      <c r="D8961" s="8" t="str">
        <f>IFERROR(INDEX('nav master'!$C:$C, MATCH(B8961, 'nav master'!$B:$B, 0)), "")</f>
        <v>ULIF05601/08/13BondFunds101</v>
      </c>
      <c r="E8961" s="8" t="s">
        <v>383</v>
      </c>
      <c r="F8961" s="8" t="s">
        <v>762</v>
      </c>
    </row>
    <row r="8962" spans="1:6" ht="60" x14ac:dyDescent="0.25">
      <c r="A8962" s="8" t="s">
        <v>125</v>
      </c>
      <c r="B8962" s="8" t="s">
        <v>134</v>
      </c>
      <c r="C8962" s="8" t="str">
        <f>IFERROR(_xlfn.XLOOKUP(TRIM(B8962),Lookup!$B$2:$B$1000,Lookup!$C$2:$C$1000),"")</f>
        <v>Debt</v>
      </c>
      <c r="D8962" s="8" t="str">
        <f>IFERROR(INDEX('nav master'!$C:$C, MATCH(B8962, 'nav master'!$B:$B, 0)), "")</f>
        <v>ULIF05601/08/13BondFunds101</v>
      </c>
      <c r="E8962" s="8" t="s">
        <v>385</v>
      </c>
      <c r="F8962" s="8" t="s">
        <v>763</v>
      </c>
    </row>
    <row r="8963" spans="1:6" ht="60" x14ac:dyDescent="0.25">
      <c r="A8963" s="8" t="s">
        <v>125</v>
      </c>
      <c r="B8963" s="8" t="s">
        <v>134</v>
      </c>
      <c r="C8963" s="8" t="str">
        <f>IFERROR(_xlfn.XLOOKUP(TRIM(B8963),Lookup!$B$2:$B$1000,Lookup!$C$2:$C$1000),"")</f>
        <v>Debt</v>
      </c>
      <c r="D8963" s="8" t="str">
        <f>IFERROR(INDEX('nav master'!$C:$C, MATCH(B8963, 'nav master'!$B:$B, 0)), "")</f>
        <v>ULIF05601/08/13BondFunds101</v>
      </c>
      <c r="E8963" s="8" t="s">
        <v>387</v>
      </c>
      <c r="F8963" s="8" t="s">
        <v>764</v>
      </c>
    </row>
    <row r="8964" spans="1:6" ht="60" x14ac:dyDescent="0.25">
      <c r="A8964" s="8" t="s">
        <v>125</v>
      </c>
      <c r="B8964" s="8" t="s">
        <v>134</v>
      </c>
      <c r="C8964" s="8" t="str">
        <f>IFERROR(_xlfn.XLOOKUP(TRIM(B8964),Lookup!$B$2:$B$1000,Lookup!$C$2:$C$1000),"")</f>
        <v>Debt</v>
      </c>
      <c r="D8964" s="8" t="str">
        <f>IFERROR(INDEX('nav master'!$C:$C, MATCH(B8964, 'nav master'!$B:$B, 0)), "")</f>
        <v>ULIF05601/08/13BondFunds101</v>
      </c>
      <c r="E8964" s="8" t="s">
        <v>389</v>
      </c>
      <c r="F8964" s="8" t="s">
        <v>749</v>
      </c>
    </row>
    <row r="8965" spans="1:6" ht="60" x14ac:dyDescent="0.25">
      <c r="A8965" s="8" t="s">
        <v>125</v>
      </c>
      <c r="B8965" s="8" t="s">
        <v>134</v>
      </c>
      <c r="C8965" s="8" t="str">
        <f>IFERROR(_xlfn.XLOOKUP(TRIM(B8965),Lookup!$B$2:$B$1000,Lookup!$C$2:$C$1000),"")</f>
        <v>Debt</v>
      </c>
      <c r="D8965" s="8" t="str">
        <f>IFERROR(INDEX('nav master'!$C:$C, MATCH(B8965, 'nav master'!$B:$B, 0)), "")</f>
        <v>ULIF05601/08/13BondFunds101</v>
      </c>
      <c r="E8965" s="8" t="s">
        <v>391</v>
      </c>
      <c r="F8965" s="8" t="s">
        <v>765</v>
      </c>
    </row>
    <row r="8966" spans="1:6" ht="60" x14ac:dyDescent="0.25">
      <c r="A8966" s="8" t="s">
        <v>125</v>
      </c>
      <c r="B8966" s="8" t="s">
        <v>134</v>
      </c>
      <c r="C8966" s="8" t="str">
        <f>IFERROR(_xlfn.XLOOKUP(TRIM(B8966),Lookup!$B$2:$B$1000,Lookup!$C$2:$C$1000),"")</f>
        <v>Debt</v>
      </c>
      <c r="D8966" s="8" t="str">
        <f>IFERROR(INDEX('nav master'!$C:$C, MATCH(B8966, 'nav master'!$B:$B, 0)), "")</f>
        <v>ULIF05601/08/13BondFunds101</v>
      </c>
      <c r="E8966" s="8" t="s">
        <v>393</v>
      </c>
      <c r="F8966" s="8" t="s">
        <v>766</v>
      </c>
    </row>
    <row r="8967" spans="1:6" ht="60" x14ac:dyDescent="0.25">
      <c r="A8967" s="8" t="s">
        <v>125</v>
      </c>
      <c r="B8967" s="8" t="s">
        <v>134</v>
      </c>
      <c r="C8967" s="8" t="str">
        <f>IFERROR(_xlfn.XLOOKUP(TRIM(B8967),Lookup!$B$2:$B$1000,Lookup!$C$2:$C$1000),"")</f>
        <v>Debt</v>
      </c>
      <c r="D8967" s="8" t="str">
        <f>IFERROR(INDEX('nav master'!$C:$C, MATCH(B8967, 'nav master'!$B:$B, 0)), "")</f>
        <v>ULIF05601/08/13BondFunds101</v>
      </c>
      <c r="E8967" s="8" t="s">
        <v>395</v>
      </c>
      <c r="F8967" s="8" t="s">
        <v>767</v>
      </c>
    </row>
    <row r="8968" spans="1:6" ht="60" x14ac:dyDescent="0.25">
      <c r="A8968" s="8" t="s">
        <v>125</v>
      </c>
      <c r="B8968" s="8" t="s">
        <v>134</v>
      </c>
      <c r="C8968" s="8" t="str">
        <f>IFERROR(_xlfn.XLOOKUP(TRIM(B8968),Lookup!$B$2:$B$1000,Lookup!$C$2:$C$1000),"")</f>
        <v>Debt</v>
      </c>
      <c r="D8968" s="8" t="str">
        <f>IFERROR(INDEX('nav master'!$C:$C, MATCH(B8968, 'nav master'!$B:$B, 0)), "")</f>
        <v>ULIF05601/08/13BondFunds101</v>
      </c>
      <c r="E8968" s="8" t="s">
        <v>397</v>
      </c>
      <c r="F8968" s="8" t="s">
        <v>768</v>
      </c>
    </row>
    <row r="8969" spans="1:6" ht="60" x14ac:dyDescent="0.25">
      <c r="A8969" s="8" t="s">
        <v>125</v>
      </c>
      <c r="B8969" s="8" t="s">
        <v>134</v>
      </c>
      <c r="C8969" s="8" t="str">
        <f>IFERROR(_xlfn.XLOOKUP(TRIM(B8969),Lookup!$B$2:$B$1000,Lookup!$C$2:$C$1000),"")</f>
        <v>Debt</v>
      </c>
      <c r="D8969" s="8" t="str">
        <f>IFERROR(INDEX('nav master'!$C:$C, MATCH(B8969, 'nav master'!$B:$B, 0)), "")</f>
        <v>ULIF05601/08/13BondFunds101</v>
      </c>
      <c r="E8969" s="8" t="s">
        <v>399</v>
      </c>
      <c r="F8969" s="8" t="s">
        <v>769</v>
      </c>
    </row>
    <row r="8970" spans="1:6" ht="60" x14ac:dyDescent="0.25">
      <c r="A8970" s="8" t="s">
        <v>125</v>
      </c>
      <c r="B8970" s="8" t="s">
        <v>134</v>
      </c>
      <c r="C8970" s="8" t="str">
        <f>IFERROR(_xlfn.XLOOKUP(TRIM(B8970),Lookup!$B$2:$B$1000,Lookup!$C$2:$C$1000),"")</f>
        <v>Debt</v>
      </c>
      <c r="D8970" s="8" t="str">
        <f>IFERROR(INDEX('nav master'!$C:$C, MATCH(B8970, 'nav master'!$B:$B, 0)), "")</f>
        <v>ULIF05601/08/13BondFunds101</v>
      </c>
      <c r="E8970" s="8" t="s">
        <v>401</v>
      </c>
      <c r="F8970" s="8" t="s">
        <v>770</v>
      </c>
    </row>
    <row r="8971" spans="1:6" ht="60" x14ac:dyDescent="0.25">
      <c r="A8971" s="8" t="s">
        <v>125</v>
      </c>
      <c r="B8971" s="8" t="s">
        <v>134</v>
      </c>
      <c r="C8971" s="8" t="str">
        <f>IFERROR(_xlfn.XLOOKUP(TRIM(B8971),Lookup!$B$2:$B$1000,Lookup!$C$2:$C$1000),"")</f>
        <v>Debt</v>
      </c>
      <c r="D8971" s="8" t="str">
        <f>IFERROR(INDEX('nav master'!$C:$C, MATCH(B8971, 'nav master'!$B:$B, 0)), "")</f>
        <v>ULIF05601/08/13BondFunds101</v>
      </c>
      <c r="E8971" s="8" t="s">
        <v>403</v>
      </c>
      <c r="F8971" s="8" t="s">
        <v>771</v>
      </c>
    </row>
    <row r="8972" spans="1:6" ht="60" x14ac:dyDescent="0.25">
      <c r="A8972" s="8" t="s">
        <v>125</v>
      </c>
      <c r="B8972" s="8" t="s">
        <v>134</v>
      </c>
      <c r="C8972" s="8" t="str">
        <f>IFERROR(_xlfn.XLOOKUP(TRIM(B8972),Lookup!$B$2:$B$1000,Lookup!$C$2:$C$1000),"")</f>
        <v>Debt</v>
      </c>
      <c r="D8972" s="8" t="str">
        <f>IFERROR(INDEX('nav master'!$C:$C, MATCH(B8972, 'nav master'!$B:$B, 0)), "")</f>
        <v>ULIF05601/08/13BondFunds101</v>
      </c>
      <c r="E8972" s="8" t="s">
        <v>405</v>
      </c>
      <c r="F8972" s="8" t="s">
        <v>772</v>
      </c>
    </row>
    <row r="8973" spans="1:6" ht="60" x14ac:dyDescent="0.25">
      <c r="A8973" s="8" t="s">
        <v>125</v>
      </c>
      <c r="B8973" s="8" t="s">
        <v>134</v>
      </c>
      <c r="C8973" s="8" t="str">
        <f>IFERROR(_xlfn.XLOOKUP(TRIM(B8973),Lookup!$B$2:$B$1000,Lookup!$C$2:$C$1000),"")</f>
        <v>Debt</v>
      </c>
      <c r="D8973" s="8" t="str">
        <f>IFERROR(INDEX('nav master'!$C:$C, MATCH(B8973, 'nav master'!$B:$B, 0)), "")</f>
        <v>ULIF05601/08/13BondFunds101</v>
      </c>
      <c r="E8973" s="8" t="s">
        <v>407</v>
      </c>
      <c r="F8973" s="8" t="s">
        <v>773</v>
      </c>
    </row>
    <row r="8974" spans="1:6" ht="60" x14ac:dyDescent="0.25">
      <c r="A8974" s="8" t="s">
        <v>125</v>
      </c>
      <c r="B8974" s="8" t="s">
        <v>134</v>
      </c>
      <c r="C8974" s="8" t="str">
        <f>IFERROR(_xlfn.XLOOKUP(TRIM(B8974),Lookup!$B$2:$B$1000,Lookup!$C$2:$C$1000),"")</f>
        <v>Debt</v>
      </c>
      <c r="D8974" s="8" t="str">
        <f>IFERROR(INDEX('nav master'!$C:$C, MATCH(B8974, 'nav master'!$B:$B, 0)), "")</f>
        <v>ULIF05601/08/13BondFunds101</v>
      </c>
      <c r="E8974" s="8" t="s">
        <v>409</v>
      </c>
      <c r="F8974" s="8" t="s">
        <v>774</v>
      </c>
    </row>
    <row r="8975" spans="1:6" ht="60" x14ac:dyDescent="0.25">
      <c r="A8975" s="8" t="s">
        <v>125</v>
      </c>
      <c r="B8975" s="8" t="s">
        <v>134</v>
      </c>
      <c r="C8975" s="8" t="str">
        <f>IFERROR(_xlfn.XLOOKUP(TRIM(B8975),Lookup!$B$2:$B$1000,Lookup!$C$2:$C$1000),"")</f>
        <v>Debt</v>
      </c>
      <c r="D8975" s="8" t="str">
        <f>IFERROR(INDEX('nav master'!$C:$C, MATCH(B8975, 'nav master'!$B:$B, 0)), "")</f>
        <v>ULIF05601/08/13BondFunds101</v>
      </c>
      <c r="E8975" s="8" t="s">
        <v>411</v>
      </c>
      <c r="F8975" s="8" t="s">
        <v>775</v>
      </c>
    </row>
    <row r="8976" spans="1:6" ht="60" x14ac:dyDescent="0.25">
      <c r="A8976" s="8" t="s">
        <v>125</v>
      </c>
      <c r="B8976" s="8" t="s">
        <v>134</v>
      </c>
      <c r="C8976" s="8" t="str">
        <f>IFERROR(_xlfn.XLOOKUP(TRIM(B8976),Lookup!$B$2:$B$1000,Lookup!$C$2:$C$1000),"")</f>
        <v>Debt</v>
      </c>
      <c r="D8976" s="8" t="str">
        <f>IFERROR(INDEX('nav master'!$C:$C, MATCH(B8976, 'nav master'!$B:$B, 0)), "")</f>
        <v>ULIF05601/08/13BondFunds101</v>
      </c>
      <c r="E8976" s="8" t="s">
        <v>413</v>
      </c>
      <c r="F8976" s="8" t="s">
        <v>711</v>
      </c>
    </row>
    <row r="8977" spans="1:6" ht="60" x14ac:dyDescent="0.25">
      <c r="A8977" s="8" t="s">
        <v>125</v>
      </c>
      <c r="B8977" s="8" t="s">
        <v>134</v>
      </c>
      <c r="C8977" s="8" t="str">
        <f>IFERROR(_xlfn.XLOOKUP(TRIM(B8977),Lookup!$B$2:$B$1000,Lookup!$C$2:$C$1000),"")</f>
        <v>Debt</v>
      </c>
      <c r="D8977" s="8" t="str">
        <f>IFERROR(INDEX('nav master'!$C:$C, MATCH(B8977, 'nav master'!$B:$B, 0)), "")</f>
        <v>ULIF05601/08/13BondFunds101</v>
      </c>
      <c r="E8977" s="8" t="s">
        <v>415</v>
      </c>
      <c r="F8977" s="8" t="s">
        <v>776</v>
      </c>
    </row>
    <row r="8978" spans="1:6" ht="60" x14ac:dyDescent="0.25">
      <c r="A8978" s="8" t="s">
        <v>125</v>
      </c>
      <c r="B8978" s="8" t="s">
        <v>134</v>
      </c>
      <c r="C8978" s="8" t="str">
        <f>IFERROR(_xlfn.XLOOKUP(TRIM(B8978),Lookup!$B$2:$B$1000,Lookup!$C$2:$C$1000),"")</f>
        <v>Debt</v>
      </c>
      <c r="D8978" s="8" t="str">
        <f>IFERROR(INDEX('nav master'!$C:$C, MATCH(B8978, 'nav master'!$B:$B, 0)), "")</f>
        <v>ULIF05601/08/13BondFunds101</v>
      </c>
      <c r="E8978" s="8" t="s">
        <v>417</v>
      </c>
      <c r="F8978" s="8" t="s">
        <v>777</v>
      </c>
    </row>
    <row r="8979" spans="1:6" ht="60" x14ac:dyDescent="0.25">
      <c r="A8979" s="8" t="s">
        <v>125</v>
      </c>
      <c r="B8979" s="8" t="s">
        <v>134</v>
      </c>
      <c r="C8979" s="8" t="str">
        <f>IFERROR(_xlfn.XLOOKUP(TRIM(B8979),Lookup!$B$2:$B$1000,Lookup!$C$2:$C$1000),"")</f>
        <v>Debt</v>
      </c>
      <c r="D8979" s="8" t="str">
        <f>IFERROR(INDEX('nav master'!$C:$C, MATCH(B8979, 'nav master'!$B:$B, 0)), "")</f>
        <v>ULIF05601/08/13BondFunds101</v>
      </c>
      <c r="E8979" s="8" t="s">
        <v>419</v>
      </c>
      <c r="F8979" s="8" t="s">
        <v>778</v>
      </c>
    </row>
    <row r="8980" spans="1:6" ht="60" x14ac:dyDescent="0.25">
      <c r="A8980" s="8" t="s">
        <v>125</v>
      </c>
      <c r="B8980" s="8" t="s">
        <v>134</v>
      </c>
      <c r="C8980" s="8" t="str">
        <f>IFERROR(_xlfn.XLOOKUP(TRIM(B8980),Lookup!$B$2:$B$1000,Lookup!$C$2:$C$1000),"")</f>
        <v>Debt</v>
      </c>
      <c r="D8980" s="8" t="str">
        <f>IFERROR(INDEX('nav master'!$C:$C, MATCH(B8980, 'nav master'!$B:$B, 0)), "")</f>
        <v>ULIF05601/08/13BondFunds101</v>
      </c>
      <c r="E8980" s="8" t="s">
        <v>421</v>
      </c>
      <c r="F8980" s="8" t="s">
        <v>779</v>
      </c>
    </row>
    <row r="8981" spans="1:6" ht="60" x14ac:dyDescent="0.25">
      <c r="A8981" s="8" t="s">
        <v>125</v>
      </c>
      <c r="B8981" s="8" t="s">
        <v>134</v>
      </c>
      <c r="C8981" s="8" t="str">
        <f>IFERROR(_xlfn.XLOOKUP(TRIM(B8981),Lookup!$B$2:$B$1000,Lookup!$C$2:$C$1000),"")</f>
        <v>Debt</v>
      </c>
      <c r="D8981" s="8" t="str">
        <f>IFERROR(INDEX('nav master'!$C:$C, MATCH(B8981, 'nav master'!$B:$B, 0)), "")</f>
        <v>ULIF05601/08/13BondFunds101</v>
      </c>
      <c r="E8981" s="8" t="s">
        <v>423</v>
      </c>
      <c r="F8981" s="8" t="s">
        <v>780</v>
      </c>
    </row>
    <row r="8982" spans="1:6" ht="60" x14ac:dyDescent="0.25">
      <c r="A8982" s="8" t="s">
        <v>125</v>
      </c>
      <c r="B8982" s="8" t="s">
        <v>134</v>
      </c>
      <c r="C8982" s="8" t="str">
        <f>IFERROR(_xlfn.XLOOKUP(TRIM(B8982),Lookup!$B$2:$B$1000,Lookup!$C$2:$C$1000),"")</f>
        <v>Debt</v>
      </c>
      <c r="D8982" s="8" t="str">
        <f>IFERROR(INDEX('nav master'!$C:$C, MATCH(B8982, 'nav master'!$B:$B, 0)), "")</f>
        <v>ULIF05601/08/13BondFunds101</v>
      </c>
      <c r="E8982" s="8" t="s">
        <v>425</v>
      </c>
      <c r="F8982" s="8" t="s">
        <v>781</v>
      </c>
    </row>
    <row r="8983" spans="1:6" ht="60" x14ac:dyDescent="0.25">
      <c r="A8983" s="8" t="s">
        <v>125</v>
      </c>
      <c r="B8983" s="8" t="s">
        <v>134</v>
      </c>
      <c r="C8983" s="8" t="str">
        <f>IFERROR(_xlfn.XLOOKUP(TRIM(B8983),Lookup!$B$2:$B$1000,Lookup!$C$2:$C$1000),"")</f>
        <v>Debt</v>
      </c>
      <c r="D8983" s="8" t="str">
        <f>IFERROR(INDEX('nav master'!$C:$C, MATCH(B8983, 'nav master'!$B:$B, 0)), "")</f>
        <v>ULIF05601/08/13BondFunds101</v>
      </c>
      <c r="E8983" s="8" t="s">
        <v>427</v>
      </c>
      <c r="F8983" s="8" t="s">
        <v>782</v>
      </c>
    </row>
    <row r="8984" spans="1:6" ht="60" x14ac:dyDescent="0.25">
      <c r="A8984" s="8" t="s">
        <v>125</v>
      </c>
      <c r="B8984" s="8" t="s">
        <v>134</v>
      </c>
      <c r="C8984" s="8" t="str">
        <f>IFERROR(_xlfn.XLOOKUP(TRIM(B8984),Lookup!$B$2:$B$1000,Lookup!$C$2:$C$1000),"")</f>
        <v>Debt</v>
      </c>
      <c r="D8984" s="8" t="str">
        <f>IFERROR(INDEX('nav master'!$C:$C, MATCH(B8984, 'nav master'!$B:$B, 0)), "")</f>
        <v>ULIF05601/08/13BondFunds101</v>
      </c>
      <c r="E8984" s="8" t="s">
        <v>429</v>
      </c>
      <c r="F8984" s="8" t="s">
        <v>783</v>
      </c>
    </row>
    <row r="8985" spans="1:6" ht="60" x14ac:dyDescent="0.25">
      <c r="A8985" s="8" t="s">
        <v>125</v>
      </c>
      <c r="B8985" s="8" t="s">
        <v>134</v>
      </c>
      <c r="C8985" s="8" t="str">
        <f>IFERROR(_xlfn.XLOOKUP(TRIM(B8985),Lookup!$B$2:$B$1000,Lookup!$C$2:$C$1000),"")</f>
        <v>Debt</v>
      </c>
      <c r="D8985" s="8" t="str">
        <f>IFERROR(INDEX('nav master'!$C:$C, MATCH(B8985, 'nav master'!$B:$B, 0)), "")</f>
        <v>ULIF05601/08/13BondFunds101</v>
      </c>
      <c r="E8985" s="8" t="s">
        <v>431</v>
      </c>
      <c r="F8985" s="8" t="s">
        <v>668</v>
      </c>
    </row>
    <row r="8986" spans="1:6" ht="60" x14ac:dyDescent="0.25">
      <c r="A8986" s="8" t="s">
        <v>125</v>
      </c>
      <c r="B8986" s="8" t="s">
        <v>134</v>
      </c>
      <c r="C8986" s="8" t="str">
        <f>IFERROR(_xlfn.XLOOKUP(TRIM(B8986),Lookup!$B$2:$B$1000,Lookup!$C$2:$C$1000),"")</f>
        <v>Debt</v>
      </c>
      <c r="D8986" s="8" t="str">
        <f>IFERROR(INDEX('nav master'!$C:$C, MATCH(B8986, 'nav master'!$B:$B, 0)), "")</f>
        <v>ULIF05601/08/13BondFunds101</v>
      </c>
      <c r="E8986" s="8" t="s">
        <v>433</v>
      </c>
      <c r="F8986" s="8" t="s">
        <v>784</v>
      </c>
    </row>
    <row r="8987" spans="1:6" ht="60" x14ac:dyDescent="0.25">
      <c r="A8987" s="8" t="s">
        <v>125</v>
      </c>
      <c r="B8987" s="8" t="s">
        <v>134</v>
      </c>
      <c r="C8987" s="8" t="str">
        <f>IFERROR(_xlfn.XLOOKUP(TRIM(B8987),Lookup!$B$2:$B$1000,Lookup!$C$2:$C$1000),"")</f>
        <v>Debt</v>
      </c>
      <c r="D8987" s="8" t="str">
        <f>IFERROR(INDEX('nav master'!$C:$C, MATCH(B8987, 'nav master'!$B:$B, 0)), "")</f>
        <v>ULIF05601/08/13BondFunds101</v>
      </c>
      <c r="E8987" s="8" t="s">
        <v>435</v>
      </c>
      <c r="F8987" s="8" t="s">
        <v>785</v>
      </c>
    </row>
    <row r="8988" spans="1:6" ht="60" x14ac:dyDescent="0.25">
      <c r="A8988" s="8" t="s">
        <v>125</v>
      </c>
      <c r="B8988" s="8" t="s">
        <v>134</v>
      </c>
      <c r="C8988" s="8" t="str">
        <f>IFERROR(_xlfn.XLOOKUP(TRIM(B8988),Lookup!$B$2:$B$1000,Lookup!$C$2:$C$1000),"")</f>
        <v>Debt</v>
      </c>
      <c r="D8988" s="8" t="str">
        <f>IFERROR(INDEX('nav master'!$C:$C, MATCH(B8988, 'nav master'!$B:$B, 0)), "")</f>
        <v>ULIF05601/08/13BondFunds101</v>
      </c>
      <c r="E8988" s="8" t="s">
        <v>437</v>
      </c>
      <c r="F8988" s="8" t="s">
        <v>786</v>
      </c>
    </row>
    <row r="8989" spans="1:6" ht="60" x14ac:dyDescent="0.25">
      <c r="A8989" s="8" t="s">
        <v>125</v>
      </c>
      <c r="B8989" s="8" t="s">
        <v>134</v>
      </c>
      <c r="C8989" s="8" t="str">
        <f>IFERROR(_xlfn.XLOOKUP(TRIM(B8989),Lookup!$B$2:$B$1000,Lookup!$C$2:$C$1000),"")</f>
        <v>Debt</v>
      </c>
      <c r="D8989" s="8" t="str">
        <f>IFERROR(INDEX('nav master'!$C:$C, MATCH(B8989, 'nav master'!$B:$B, 0)), "")</f>
        <v>ULIF05601/08/13BondFunds101</v>
      </c>
      <c r="E8989" s="8" t="s">
        <v>439</v>
      </c>
      <c r="F8989" s="8" t="s">
        <v>787</v>
      </c>
    </row>
    <row r="8990" spans="1:6" ht="60" x14ac:dyDescent="0.25">
      <c r="A8990" s="8" t="s">
        <v>125</v>
      </c>
      <c r="B8990" s="8" t="s">
        <v>134</v>
      </c>
      <c r="C8990" s="8" t="str">
        <f>IFERROR(_xlfn.XLOOKUP(TRIM(B8990),Lookup!$B$2:$B$1000,Lookup!$C$2:$C$1000),"")</f>
        <v>Debt</v>
      </c>
      <c r="D8990" s="8" t="str">
        <f>IFERROR(INDEX('nav master'!$C:$C, MATCH(B8990, 'nav master'!$B:$B, 0)), "")</f>
        <v>ULIF05601/08/13BondFunds101</v>
      </c>
      <c r="E8990" s="8" t="s">
        <v>441</v>
      </c>
      <c r="F8990" s="8" t="s">
        <v>788</v>
      </c>
    </row>
    <row r="8991" spans="1:6" ht="60" x14ac:dyDescent="0.25">
      <c r="A8991" s="8" t="s">
        <v>125</v>
      </c>
      <c r="B8991" s="8" t="s">
        <v>134</v>
      </c>
      <c r="C8991" s="8" t="str">
        <f>IFERROR(_xlfn.XLOOKUP(TRIM(B8991),Lookup!$B$2:$B$1000,Lookup!$C$2:$C$1000),"")</f>
        <v>Debt</v>
      </c>
      <c r="D8991" s="8" t="str">
        <f>IFERROR(INDEX('nav master'!$C:$C, MATCH(B8991, 'nav master'!$B:$B, 0)), "")</f>
        <v>ULIF05601/08/13BondFunds101</v>
      </c>
      <c r="E8991" s="8" t="s">
        <v>443</v>
      </c>
      <c r="F8991" s="8" t="s">
        <v>789</v>
      </c>
    </row>
    <row r="8992" spans="1:6" ht="60" x14ac:dyDescent="0.25">
      <c r="A8992" s="8" t="s">
        <v>125</v>
      </c>
      <c r="B8992" s="8" t="s">
        <v>134</v>
      </c>
      <c r="C8992" s="8" t="str">
        <f>IFERROR(_xlfn.XLOOKUP(TRIM(B8992),Lookup!$B$2:$B$1000,Lookup!$C$2:$C$1000),"")</f>
        <v>Debt</v>
      </c>
      <c r="D8992" s="8" t="str">
        <f>IFERROR(INDEX('nav master'!$C:$C, MATCH(B8992, 'nav master'!$B:$B, 0)), "")</f>
        <v>ULIF05601/08/13BondFunds101</v>
      </c>
      <c r="E8992" s="8" t="s">
        <v>445</v>
      </c>
      <c r="F8992" s="8" t="s">
        <v>790</v>
      </c>
    </row>
    <row r="8993" spans="1:6" ht="60" x14ac:dyDescent="0.25">
      <c r="A8993" s="8" t="s">
        <v>125</v>
      </c>
      <c r="B8993" s="8" t="s">
        <v>134</v>
      </c>
      <c r="C8993" s="8" t="str">
        <f>IFERROR(_xlfn.XLOOKUP(TRIM(B8993),Lookup!$B$2:$B$1000,Lookup!$C$2:$C$1000),"")</f>
        <v>Debt</v>
      </c>
      <c r="D8993" s="8" t="str">
        <f>IFERROR(INDEX('nav master'!$C:$C, MATCH(B8993, 'nav master'!$B:$B, 0)), "")</f>
        <v>ULIF05601/08/13BondFunds101</v>
      </c>
      <c r="E8993" s="8" t="s">
        <v>446</v>
      </c>
      <c r="F8993" s="8" t="s">
        <v>791</v>
      </c>
    </row>
    <row r="8994" spans="1:6" ht="60" x14ac:dyDescent="0.25">
      <c r="A8994" s="8" t="s">
        <v>125</v>
      </c>
      <c r="B8994" s="8" t="s">
        <v>134</v>
      </c>
      <c r="C8994" s="8" t="str">
        <f>IFERROR(_xlfn.XLOOKUP(TRIM(B8994),Lookup!$B$2:$B$1000,Lookup!$C$2:$C$1000),"")</f>
        <v>Debt</v>
      </c>
      <c r="D8994" s="8" t="str">
        <f>IFERROR(INDEX('nav master'!$C:$C, MATCH(B8994, 'nav master'!$B:$B, 0)), "")</f>
        <v>ULIF05601/08/13BondFunds101</v>
      </c>
      <c r="E8994" s="8" t="s">
        <v>448</v>
      </c>
      <c r="F8994" s="8" t="s">
        <v>792</v>
      </c>
    </row>
    <row r="8995" spans="1:6" ht="60" x14ac:dyDescent="0.25">
      <c r="A8995" s="8" t="s">
        <v>125</v>
      </c>
      <c r="B8995" s="8" t="s">
        <v>134</v>
      </c>
      <c r="C8995" s="8" t="str">
        <f>IFERROR(_xlfn.XLOOKUP(TRIM(B8995),Lookup!$B$2:$B$1000,Lookup!$C$2:$C$1000),"")</f>
        <v>Debt</v>
      </c>
      <c r="D8995" s="8" t="str">
        <f>IFERROR(INDEX('nav master'!$C:$C, MATCH(B8995, 'nav master'!$B:$B, 0)), "")</f>
        <v>ULIF05601/08/13BondFunds101</v>
      </c>
      <c r="E8995" s="8" t="s">
        <v>450</v>
      </c>
      <c r="F8995" s="8" t="s">
        <v>793</v>
      </c>
    </row>
    <row r="8996" spans="1:6" ht="60" x14ac:dyDescent="0.25">
      <c r="A8996" s="8" t="s">
        <v>125</v>
      </c>
      <c r="B8996" s="8" t="s">
        <v>134</v>
      </c>
      <c r="C8996" s="8" t="str">
        <f>IFERROR(_xlfn.XLOOKUP(TRIM(B8996),Lookup!$B$2:$B$1000,Lookup!$C$2:$C$1000),"")</f>
        <v>Debt</v>
      </c>
      <c r="D8996" s="8" t="str">
        <f>IFERROR(INDEX('nav master'!$C:$C, MATCH(B8996, 'nav master'!$B:$B, 0)), "")</f>
        <v>ULIF05601/08/13BondFunds101</v>
      </c>
      <c r="E8996" s="8" t="s">
        <v>452</v>
      </c>
      <c r="F8996" s="8" t="s">
        <v>794</v>
      </c>
    </row>
    <row r="8997" spans="1:6" ht="60" x14ac:dyDescent="0.25">
      <c r="A8997" s="8" t="s">
        <v>125</v>
      </c>
      <c r="B8997" s="8" t="s">
        <v>134</v>
      </c>
      <c r="C8997" s="8" t="str">
        <f>IFERROR(_xlfn.XLOOKUP(TRIM(B8997),Lookup!$B$2:$B$1000,Lookup!$C$2:$C$1000),"")</f>
        <v>Debt</v>
      </c>
      <c r="D8997" s="8" t="str">
        <f>IFERROR(INDEX('nav master'!$C:$C, MATCH(B8997, 'nav master'!$B:$B, 0)), "")</f>
        <v>ULIF05601/08/13BondFunds101</v>
      </c>
      <c r="E8997" s="8" t="s">
        <v>454</v>
      </c>
      <c r="F8997" s="8" t="s">
        <v>795</v>
      </c>
    </row>
    <row r="8998" spans="1:6" ht="60" x14ac:dyDescent="0.25">
      <c r="A8998" s="8" t="s">
        <v>125</v>
      </c>
      <c r="B8998" s="8" t="s">
        <v>134</v>
      </c>
      <c r="C8998" s="8" t="str">
        <f>IFERROR(_xlfn.XLOOKUP(TRIM(B8998),Lookup!$B$2:$B$1000,Lookup!$C$2:$C$1000),"")</f>
        <v>Debt</v>
      </c>
      <c r="D8998" s="8" t="str">
        <f>IFERROR(INDEX('nav master'!$C:$C, MATCH(B8998, 'nav master'!$B:$B, 0)), "")</f>
        <v>ULIF05601/08/13BondFunds101</v>
      </c>
      <c r="E8998" s="8" t="s">
        <v>456</v>
      </c>
      <c r="F8998" s="8" t="s">
        <v>796</v>
      </c>
    </row>
    <row r="8999" spans="1:6" ht="60" x14ac:dyDescent="0.25">
      <c r="A8999" s="8" t="s">
        <v>125</v>
      </c>
      <c r="B8999" s="8" t="s">
        <v>134</v>
      </c>
      <c r="C8999" s="8" t="str">
        <f>IFERROR(_xlfn.XLOOKUP(TRIM(B8999),Lookup!$B$2:$B$1000,Lookup!$C$2:$C$1000),"")</f>
        <v>Debt</v>
      </c>
      <c r="D8999" s="8" t="str">
        <f>IFERROR(INDEX('nav master'!$C:$C, MATCH(B8999, 'nav master'!$B:$B, 0)), "")</f>
        <v>ULIF05601/08/13BondFunds101</v>
      </c>
      <c r="E8999" s="8" t="s">
        <v>458</v>
      </c>
      <c r="F8999" s="8" t="s">
        <v>797</v>
      </c>
    </row>
    <row r="9000" spans="1:6" ht="60" x14ac:dyDescent="0.25">
      <c r="A9000" s="8" t="s">
        <v>125</v>
      </c>
      <c r="B9000" s="8" t="s">
        <v>134</v>
      </c>
      <c r="C9000" s="8" t="str">
        <f>IFERROR(_xlfn.XLOOKUP(TRIM(B9000),Lookup!$B$2:$B$1000,Lookup!$C$2:$C$1000),"")</f>
        <v>Debt</v>
      </c>
      <c r="D9000" s="8" t="str">
        <f>IFERROR(INDEX('nav master'!$C:$C, MATCH(B9000, 'nav master'!$B:$B, 0)), "")</f>
        <v>ULIF05601/08/13BondFunds101</v>
      </c>
      <c r="E9000" s="8" t="s">
        <v>460</v>
      </c>
      <c r="F9000" s="8" t="s">
        <v>798</v>
      </c>
    </row>
    <row r="9001" spans="1:6" ht="60" x14ac:dyDescent="0.25">
      <c r="A9001" s="8" t="s">
        <v>125</v>
      </c>
      <c r="B9001" s="8" t="s">
        <v>134</v>
      </c>
      <c r="C9001" s="8" t="str">
        <f>IFERROR(_xlfn.XLOOKUP(TRIM(B9001),Lookup!$B$2:$B$1000,Lookup!$C$2:$C$1000),"")</f>
        <v>Debt</v>
      </c>
      <c r="D9001" s="8" t="str">
        <f>IFERROR(INDEX('nav master'!$C:$C, MATCH(B9001, 'nav master'!$B:$B, 0)), "")</f>
        <v>ULIF05601/08/13BondFunds101</v>
      </c>
      <c r="E9001" s="8" t="s">
        <v>462</v>
      </c>
      <c r="F9001" s="8" t="s">
        <v>799</v>
      </c>
    </row>
    <row r="9002" spans="1:6" ht="60" x14ac:dyDescent="0.25">
      <c r="A9002" s="8" t="s">
        <v>125</v>
      </c>
      <c r="B9002" s="8" t="s">
        <v>134</v>
      </c>
      <c r="C9002" s="8" t="str">
        <f>IFERROR(_xlfn.XLOOKUP(TRIM(B9002),Lookup!$B$2:$B$1000,Lookup!$C$2:$C$1000),"")</f>
        <v>Debt</v>
      </c>
      <c r="D9002" s="8" t="str">
        <f>IFERROR(INDEX('nav master'!$C:$C, MATCH(B9002, 'nav master'!$B:$B, 0)), "")</f>
        <v>ULIF05601/08/13BondFunds101</v>
      </c>
      <c r="E9002" s="8" t="s">
        <v>464</v>
      </c>
      <c r="F9002" s="8" t="s">
        <v>800</v>
      </c>
    </row>
    <row r="9003" spans="1:6" ht="60" x14ac:dyDescent="0.25">
      <c r="A9003" s="8" t="s">
        <v>125</v>
      </c>
      <c r="B9003" s="8" t="s">
        <v>134</v>
      </c>
      <c r="C9003" s="8" t="str">
        <f>IFERROR(_xlfn.XLOOKUP(TRIM(B9003),Lookup!$B$2:$B$1000,Lookup!$C$2:$C$1000),"")</f>
        <v>Debt</v>
      </c>
      <c r="D9003" s="8" t="str">
        <f>IFERROR(INDEX('nav master'!$C:$C, MATCH(B9003, 'nav master'!$B:$B, 0)), "")</f>
        <v>ULIF05601/08/13BondFunds101</v>
      </c>
      <c r="E9003" s="8" t="s">
        <v>466</v>
      </c>
      <c r="F9003" s="8" t="s">
        <v>801</v>
      </c>
    </row>
    <row r="9004" spans="1:6" ht="60" x14ac:dyDescent="0.25">
      <c r="A9004" s="8" t="s">
        <v>125</v>
      </c>
      <c r="B9004" s="8" t="s">
        <v>134</v>
      </c>
      <c r="C9004" s="8" t="str">
        <f>IFERROR(_xlfn.XLOOKUP(TRIM(B9004),Lookup!$B$2:$B$1000,Lookup!$C$2:$C$1000),"")</f>
        <v>Debt</v>
      </c>
      <c r="D9004" s="8" t="str">
        <f>IFERROR(INDEX('nav master'!$C:$C, MATCH(B9004, 'nav master'!$B:$B, 0)), "")</f>
        <v>ULIF05601/08/13BondFunds101</v>
      </c>
      <c r="E9004" s="8" t="s">
        <v>468</v>
      </c>
      <c r="F9004" s="8" t="s">
        <v>802</v>
      </c>
    </row>
    <row r="9005" spans="1:6" ht="60" x14ac:dyDescent="0.25">
      <c r="A9005" s="8" t="s">
        <v>125</v>
      </c>
      <c r="B9005" s="8" t="s">
        <v>134</v>
      </c>
      <c r="C9005" s="8" t="str">
        <f>IFERROR(_xlfn.XLOOKUP(TRIM(B9005),Lookup!$B$2:$B$1000,Lookup!$C$2:$C$1000),"")</f>
        <v>Debt</v>
      </c>
      <c r="D9005" s="8" t="str">
        <f>IFERROR(INDEX('nav master'!$C:$C, MATCH(B9005, 'nav master'!$B:$B, 0)), "")</f>
        <v>ULIF05601/08/13BondFunds101</v>
      </c>
      <c r="E9005" s="8" t="s">
        <v>470</v>
      </c>
      <c r="F9005" s="8" t="s">
        <v>803</v>
      </c>
    </row>
    <row r="9006" spans="1:6" ht="60" x14ac:dyDescent="0.25">
      <c r="A9006" s="8" t="s">
        <v>125</v>
      </c>
      <c r="B9006" s="8" t="s">
        <v>134</v>
      </c>
      <c r="C9006" s="8" t="str">
        <f>IFERROR(_xlfn.XLOOKUP(TRIM(B9006),Lookup!$B$2:$B$1000,Lookup!$C$2:$C$1000),"")</f>
        <v>Debt</v>
      </c>
      <c r="D9006" s="8" t="str">
        <f>IFERROR(INDEX('nav master'!$C:$C, MATCH(B9006, 'nav master'!$B:$B, 0)), "")</f>
        <v>ULIF05601/08/13BondFunds101</v>
      </c>
      <c r="E9006" s="8" t="s">
        <v>472</v>
      </c>
      <c r="F9006" s="8" t="s">
        <v>804</v>
      </c>
    </row>
    <row r="9007" spans="1:6" ht="60" x14ac:dyDescent="0.25">
      <c r="A9007" s="8" t="s">
        <v>125</v>
      </c>
      <c r="B9007" s="8" t="s">
        <v>134</v>
      </c>
      <c r="C9007" s="8" t="str">
        <f>IFERROR(_xlfn.XLOOKUP(TRIM(B9007),Lookup!$B$2:$B$1000,Lookup!$C$2:$C$1000),"")</f>
        <v>Debt</v>
      </c>
      <c r="D9007" s="8" t="str">
        <f>IFERROR(INDEX('nav master'!$C:$C, MATCH(B9007, 'nav master'!$B:$B, 0)), "")</f>
        <v>ULIF05601/08/13BondFunds101</v>
      </c>
      <c r="E9007" s="8" t="s">
        <v>474</v>
      </c>
      <c r="F9007" s="8" t="s">
        <v>805</v>
      </c>
    </row>
    <row r="9008" spans="1:6" ht="60" x14ac:dyDescent="0.25">
      <c r="A9008" s="8" t="s">
        <v>125</v>
      </c>
      <c r="B9008" s="8" t="s">
        <v>134</v>
      </c>
      <c r="C9008" s="8" t="str">
        <f>IFERROR(_xlfn.XLOOKUP(TRIM(B9008),Lookup!$B$2:$B$1000,Lookup!$C$2:$C$1000),"")</f>
        <v>Debt</v>
      </c>
      <c r="D9008" s="8" t="str">
        <f>IFERROR(INDEX('nav master'!$C:$C, MATCH(B9008, 'nav master'!$B:$B, 0)), "")</f>
        <v>ULIF05601/08/13BondFunds101</v>
      </c>
      <c r="E9008" s="8" t="s">
        <v>476</v>
      </c>
      <c r="F9008" s="8" t="s">
        <v>806</v>
      </c>
    </row>
    <row r="9009" spans="1:6" ht="60" x14ac:dyDescent="0.25">
      <c r="A9009" s="8" t="s">
        <v>125</v>
      </c>
      <c r="B9009" s="8" t="s">
        <v>134</v>
      </c>
      <c r="C9009" s="8" t="str">
        <f>IFERROR(_xlfn.XLOOKUP(TRIM(B9009),Lookup!$B$2:$B$1000,Lookup!$C$2:$C$1000),"")</f>
        <v>Debt</v>
      </c>
      <c r="D9009" s="8" t="str">
        <f>IFERROR(INDEX('nav master'!$C:$C, MATCH(B9009, 'nav master'!$B:$B, 0)), "")</f>
        <v>ULIF05601/08/13BondFunds101</v>
      </c>
      <c r="E9009" s="8" t="s">
        <v>478</v>
      </c>
      <c r="F9009" s="8" t="s">
        <v>807</v>
      </c>
    </row>
    <row r="9010" spans="1:6" ht="60" x14ac:dyDescent="0.25">
      <c r="A9010" s="8" t="s">
        <v>125</v>
      </c>
      <c r="B9010" s="8" t="s">
        <v>134</v>
      </c>
      <c r="C9010" s="8" t="str">
        <f>IFERROR(_xlfn.XLOOKUP(TRIM(B9010),Lookup!$B$2:$B$1000,Lookup!$C$2:$C$1000),"")</f>
        <v>Debt</v>
      </c>
      <c r="D9010" s="8" t="str">
        <f>IFERROR(INDEX('nav master'!$C:$C, MATCH(B9010, 'nav master'!$B:$B, 0)), "")</f>
        <v>ULIF05601/08/13BondFunds101</v>
      </c>
      <c r="E9010" s="8" t="s">
        <v>480</v>
      </c>
      <c r="F9010" s="8" t="s">
        <v>808</v>
      </c>
    </row>
    <row r="9011" spans="1:6" ht="60" x14ac:dyDescent="0.25">
      <c r="A9011" s="8" t="s">
        <v>125</v>
      </c>
      <c r="B9011" s="8" t="s">
        <v>134</v>
      </c>
      <c r="C9011" s="8" t="str">
        <f>IFERROR(_xlfn.XLOOKUP(TRIM(B9011),Lookup!$B$2:$B$1000,Lookup!$C$2:$C$1000),"")</f>
        <v>Debt</v>
      </c>
      <c r="D9011" s="8" t="str">
        <f>IFERROR(INDEX('nav master'!$C:$C, MATCH(B9011, 'nav master'!$B:$B, 0)), "")</f>
        <v>ULIF05601/08/13BondFunds101</v>
      </c>
      <c r="E9011" s="8" t="s">
        <v>482</v>
      </c>
      <c r="F9011" s="8" t="s">
        <v>809</v>
      </c>
    </row>
    <row r="9012" spans="1:6" ht="60" x14ac:dyDescent="0.25">
      <c r="A9012" s="8" t="s">
        <v>125</v>
      </c>
      <c r="B9012" s="8" t="s">
        <v>134</v>
      </c>
      <c r="C9012" s="8" t="str">
        <f>IFERROR(_xlfn.XLOOKUP(TRIM(B9012),Lookup!$B$2:$B$1000,Lookup!$C$2:$C$1000),"")</f>
        <v>Debt</v>
      </c>
      <c r="D9012" s="8" t="str">
        <f>IFERROR(INDEX('nav master'!$C:$C, MATCH(B9012, 'nav master'!$B:$B, 0)), "")</f>
        <v>ULIF05601/08/13BondFunds101</v>
      </c>
      <c r="E9012" s="8" t="s">
        <v>484</v>
      </c>
      <c r="F9012" s="8" t="s">
        <v>810</v>
      </c>
    </row>
    <row r="9013" spans="1:6" ht="60" x14ac:dyDescent="0.25">
      <c r="A9013" s="8" t="s">
        <v>125</v>
      </c>
      <c r="B9013" s="8" t="s">
        <v>134</v>
      </c>
      <c r="C9013" s="8" t="str">
        <f>IFERROR(_xlfn.XLOOKUP(TRIM(B9013),Lookup!$B$2:$B$1000,Lookup!$C$2:$C$1000),"")</f>
        <v>Debt</v>
      </c>
      <c r="D9013" s="8" t="str">
        <f>IFERROR(INDEX('nav master'!$C:$C, MATCH(B9013, 'nav master'!$B:$B, 0)), "")</f>
        <v>ULIF05601/08/13BondFunds101</v>
      </c>
      <c r="E9013" s="8" t="s">
        <v>486</v>
      </c>
      <c r="F9013" s="8" t="s">
        <v>811</v>
      </c>
    </row>
    <row r="9014" spans="1:6" ht="60" x14ac:dyDescent="0.25">
      <c r="A9014" s="8" t="s">
        <v>125</v>
      </c>
      <c r="B9014" s="8" t="s">
        <v>134</v>
      </c>
      <c r="C9014" s="8" t="str">
        <f>IFERROR(_xlfn.XLOOKUP(TRIM(B9014),Lookup!$B$2:$B$1000,Lookup!$C$2:$C$1000),"")</f>
        <v>Debt</v>
      </c>
      <c r="D9014" s="8" t="str">
        <f>IFERROR(INDEX('nav master'!$C:$C, MATCH(B9014, 'nav master'!$B:$B, 0)), "")</f>
        <v>ULIF05601/08/13BondFunds101</v>
      </c>
      <c r="E9014" s="8" t="s">
        <v>488</v>
      </c>
      <c r="F9014" s="8" t="s">
        <v>812</v>
      </c>
    </row>
    <row r="9015" spans="1:6" ht="60" x14ac:dyDescent="0.25">
      <c r="A9015" s="8" t="s">
        <v>125</v>
      </c>
      <c r="B9015" s="8" t="s">
        <v>134</v>
      </c>
      <c r="C9015" s="8" t="str">
        <f>IFERROR(_xlfn.XLOOKUP(TRIM(B9015),Lookup!$B$2:$B$1000,Lookup!$C$2:$C$1000),"")</f>
        <v>Debt</v>
      </c>
      <c r="D9015" s="8" t="str">
        <f>IFERROR(INDEX('nav master'!$C:$C, MATCH(B9015, 'nav master'!$B:$B, 0)), "")</f>
        <v>ULIF05601/08/13BondFunds101</v>
      </c>
      <c r="E9015" s="8" t="s">
        <v>490</v>
      </c>
      <c r="F9015" s="8" t="s">
        <v>813</v>
      </c>
    </row>
    <row r="9016" spans="1:6" ht="60" x14ac:dyDescent="0.25">
      <c r="A9016" s="8" t="s">
        <v>125</v>
      </c>
      <c r="B9016" s="8" t="s">
        <v>134</v>
      </c>
      <c r="C9016" s="8" t="str">
        <f>IFERROR(_xlfn.XLOOKUP(TRIM(B9016),Lookup!$B$2:$B$1000,Lookup!$C$2:$C$1000),"")</f>
        <v>Debt</v>
      </c>
      <c r="D9016" s="8" t="str">
        <f>IFERROR(INDEX('nav master'!$C:$C, MATCH(B9016, 'nav master'!$B:$B, 0)), "")</f>
        <v>ULIF05601/08/13BondFunds101</v>
      </c>
      <c r="E9016" s="8" t="s">
        <v>492</v>
      </c>
      <c r="F9016" s="8" t="s">
        <v>814</v>
      </c>
    </row>
    <row r="9017" spans="1:6" ht="60" x14ac:dyDescent="0.25">
      <c r="A9017" s="8" t="s">
        <v>125</v>
      </c>
      <c r="B9017" s="8" t="s">
        <v>134</v>
      </c>
      <c r="C9017" s="8" t="str">
        <f>IFERROR(_xlfn.XLOOKUP(TRIM(B9017),Lookup!$B$2:$B$1000,Lookup!$C$2:$C$1000),"")</f>
        <v>Debt</v>
      </c>
      <c r="D9017" s="8" t="str">
        <f>IFERROR(INDEX('nav master'!$C:$C, MATCH(B9017, 'nav master'!$B:$B, 0)), "")</f>
        <v>ULIF05601/08/13BondFunds101</v>
      </c>
      <c r="E9017" s="8" t="s">
        <v>494</v>
      </c>
      <c r="F9017" s="8" t="s">
        <v>815</v>
      </c>
    </row>
    <row r="9018" spans="1:6" ht="60" x14ac:dyDescent="0.25">
      <c r="A9018" s="8" t="s">
        <v>125</v>
      </c>
      <c r="B9018" s="8" t="s">
        <v>134</v>
      </c>
      <c r="C9018" s="8" t="str">
        <f>IFERROR(_xlfn.XLOOKUP(TRIM(B9018),Lookup!$B$2:$B$1000,Lookup!$C$2:$C$1000),"")</f>
        <v>Debt</v>
      </c>
      <c r="D9018" s="8" t="str">
        <f>IFERROR(INDEX('nav master'!$C:$C, MATCH(B9018, 'nav master'!$B:$B, 0)), "")</f>
        <v>ULIF05601/08/13BondFunds101</v>
      </c>
      <c r="E9018" s="8" t="s">
        <v>496</v>
      </c>
      <c r="F9018" s="8" t="s">
        <v>816</v>
      </c>
    </row>
    <row r="9019" spans="1:6" ht="60" x14ac:dyDescent="0.25">
      <c r="A9019" s="8" t="s">
        <v>125</v>
      </c>
      <c r="B9019" s="8" t="s">
        <v>134</v>
      </c>
      <c r="C9019" s="8" t="str">
        <f>IFERROR(_xlfn.XLOOKUP(TRIM(B9019),Lookup!$B$2:$B$1000,Lookup!$C$2:$C$1000),"")</f>
        <v>Debt</v>
      </c>
      <c r="D9019" s="8" t="str">
        <f>IFERROR(INDEX('nav master'!$C:$C, MATCH(B9019, 'nav master'!$B:$B, 0)), "")</f>
        <v>ULIF05601/08/13BondFunds101</v>
      </c>
      <c r="E9019" s="8" t="s">
        <v>498</v>
      </c>
      <c r="F9019" s="8" t="s">
        <v>817</v>
      </c>
    </row>
    <row r="9020" spans="1:6" ht="60" x14ac:dyDescent="0.25">
      <c r="A9020" s="8" t="s">
        <v>125</v>
      </c>
      <c r="B9020" s="8" t="s">
        <v>134</v>
      </c>
      <c r="C9020" s="8" t="str">
        <f>IFERROR(_xlfn.XLOOKUP(TRIM(B9020),Lookup!$B$2:$B$1000,Lookup!$C$2:$C$1000),"")</f>
        <v>Debt</v>
      </c>
      <c r="D9020" s="8" t="str">
        <f>IFERROR(INDEX('nav master'!$C:$C, MATCH(B9020, 'nav master'!$B:$B, 0)), "")</f>
        <v>ULIF05601/08/13BondFunds101</v>
      </c>
      <c r="E9020" s="8" t="s">
        <v>500</v>
      </c>
      <c r="F9020" s="8" t="s">
        <v>818</v>
      </c>
    </row>
    <row r="9021" spans="1:6" ht="60" x14ac:dyDescent="0.25">
      <c r="A9021" s="8" t="s">
        <v>125</v>
      </c>
      <c r="B9021" s="8" t="s">
        <v>134</v>
      </c>
      <c r="C9021" s="8" t="str">
        <f>IFERROR(_xlfn.XLOOKUP(TRIM(B9021),Lookup!$B$2:$B$1000,Lookup!$C$2:$C$1000),"")</f>
        <v>Debt</v>
      </c>
      <c r="D9021" s="8" t="str">
        <f>IFERROR(INDEX('nav master'!$C:$C, MATCH(B9021, 'nav master'!$B:$B, 0)), "")</f>
        <v>ULIF05601/08/13BondFunds101</v>
      </c>
      <c r="E9021" s="8" t="s">
        <v>502</v>
      </c>
      <c r="F9021" s="8" t="s">
        <v>819</v>
      </c>
    </row>
    <row r="9022" spans="1:6" ht="60" x14ac:dyDescent="0.25">
      <c r="A9022" s="8" t="s">
        <v>125</v>
      </c>
      <c r="B9022" s="8" t="s">
        <v>134</v>
      </c>
      <c r="C9022" s="8" t="str">
        <f>IFERROR(_xlfn.XLOOKUP(TRIM(B9022),Lookup!$B$2:$B$1000,Lookup!$C$2:$C$1000),"")</f>
        <v>Debt</v>
      </c>
      <c r="D9022" s="8" t="str">
        <f>IFERROR(INDEX('nav master'!$C:$C, MATCH(B9022, 'nav master'!$B:$B, 0)), "")</f>
        <v>ULIF05601/08/13BondFunds101</v>
      </c>
      <c r="E9022" s="8" t="s">
        <v>504</v>
      </c>
      <c r="F9022" s="8" t="s">
        <v>820</v>
      </c>
    </row>
    <row r="9023" spans="1:6" ht="60" x14ac:dyDescent="0.25">
      <c r="A9023" s="8" t="s">
        <v>125</v>
      </c>
      <c r="B9023" s="8" t="s">
        <v>134</v>
      </c>
      <c r="C9023" s="8" t="str">
        <f>IFERROR(_xlfn.XLOOKUP(TRIM(B9023),Lookup!$B$2:$B$1000,Lookup!$C$2:$C$1000),"")</f>
        <v>Debt</v>
      </c>
      <c r="D9023" s="8" t="str">
        <f>IFERROR(INDEX('nav master'!$C:$C, MATCH(B9023, 'nav master'!$B:$B, 0)), "")</f>
        <v>ULIF05601/08/13BondFunds101</v>
      </c>
      <c r="E9023" s="8" t="s">
        <v>506</v>
      </c>
      <c r="F9023" s="8" t="s">
        <v>821</v>
      </c>
    </row>
    <row r="9024" spans="1:6" ht="60" x14ac:dyDescent="0.25">
      <c r="A9024" s="8" t="s">
        <v>125</v>
      </c>
      <c r="B9024" s="8" t="s">
        <v>134</v>
      </c>
      <c r="C9024" s="8" t="str">
        <f>IFERROR(_xlfn.XLOOKUP(TRIM(B9024),Lookup!$B$2:$B$1000,Lookup!$C$2:$C$1000),"")</f>
        <v>Debt</v>
      </c>
      <c r="D9024" s="8" t="str">
        <f>IFERROR(INDEX('nav master'!$C:$C, MATCH(B9024, 'nav master'!$B:$B, 0)), "")</f>
        <v>ULIF05601/08/13BondFunds101</v>
      </c>
      <c r="E9024" s="8" t="s">
        <v>508</v>
      </c>
      <c r="F9024" s="8" t="s">
        <v>822</v>
      </c>
    </row>
    <row r="9025" spans="1:6" ht="60" x14ac:dyDescent="0.25">
      <c r="A9025" s="8" t="s">
        <v>125</v>
      </c>
      <c r="B9025" s="8" t="s">
        <v>134</v>
      </c>
      <c r="C9025" s="8" t="str">
        <f>IFERROR(_xlfn.XLOOKUP(TRIM(B9025),Lookup!$B$2:$B$1000,Lookup!$C$2:$C$1000),"")</f>
        <v>Debt</v>
      </c>
      <c r="D9025" s="8" t="str">
        <f>IFERROR(INDEX('nav master'!$C:$C, MATCH(B9025, 'nav master'!$B:$B, 0)), "")</f>
        <v>ULIF05601/08/13BondFunds101</v>
      </c>
      <c r="E9025" s="8" t="s">
        <v>510</v>
      </c>
      <c r="F9025" s="8" t="s">
        <v>823</v>
      </c>
    </row>
    <row r="9026" spans="1:6" ht="60" x14ac:dyDescent="0.25">
      <c r="A9026" s="8" t="s">
        <v>125</v>
      </c>
      <c r="B9026" s="8" t="s">
        <v>134</v>
      </c>
      <c r="C9026" s="8" t="str">
        <f>IFERROR(_xlfn.XLOOKUP(TRIM(B9026),Lookup!$B$2:$B$1000,Lookup!$C$2:$C$1000),"")</f>
        <v>Debt</v>
      </c>
      <c r="D9026" s="8" t="str">
        <f>IFERROR(INDEX('nav master'!$C:$C, MATCH(B9026, 'nav master'!$B:$B, 0)), "")</f>
        <v>ULIF05601/08/13BondFunds101</v>
      </c>
      <c r="E9026" s="8" t="s">
        <v>512</v>
      </c>
      <c r="F9026" s="8" t="s">
        <v>824</v>
      </c>
    </row>
    <row r="9027" spans="1:6" ht="60" x14ac:dyDescent="0.25">
      <c r="A9027" s="8" t="s">
        <v>125</v>
      </c>
      <c r="B9027" s="8" t="s">
        <v>134</v>
      </c>
      <c r="C9027" s="8" t="str">
        <f>IFERROR(_xlfn.XLOOKUP(TRIM(B9027),Lookup!$B$2:$B$1000,Lookup!$C$2:$C$1000),"")</f>
        <v>Debt</v>
      </c>
      <c r="D9027" s="8" t="str">
        <f>IFERROR(INDEX('nav master'!$C:$C, MATCH(B9027, 'nav master'!$B:$B, 0)), "")</f>
        <v>ULIF05601/08/13BondFunds101</v>
      </c>
      <c r="E9027" s="8" t="s">
        <v>514</v>
      </c>
      <c r="F9027" s="8" t="s">
        <v>825</v>
      </c>
    </row>
    <row r="9028" spans="1:6" ht="60" x14ac:dyDescent="0.25">
      <c r="A9028" s="8" t="s">
        <v>125</v>
      </c>
      <c r="B9028" s="8" t="s">
        <v>134</v>
      </c>
      <c r="C9028" s="8" t="str">
        <f>IFERROR(_xlfn.XLOOKUP(TRIM(B9028),Lookup!$B$2:$B$1000,Lookup!$C$2:$C$1000),"")</f>
        <v>Debt</v>
      </c>
      <c r="D9028" s="8" t="str">
        <f>IFERROR(INDEX('nav master'!$C:$C, MATCH(B9028, 'nav master'!$B:$B, 0)), "")</f>
        <v>ULIF05601/08/13BondFunds101</v>
      </c>
      <c r="E9028" s="8" t="s">
        <v>516</v>
      </c>
      <c r="F9028" s="8" t="s">
        <v>826</v>
      </c>
    </row>
    <row r="9029" spans="1:6" ht="60" x14ac:dyDescent="0.25">
      <c r="A9029" s="8" t="s">
        <v>125</v>
      </c>
      <c r="B9029" s="8" t="s">
        <v>134</v>
      </c>
      <c r="C9029" s="8" t="str">
        <f>IFERROR(_xlfn.XLOOKUP(TRIM(B9029),Lookup!$B$2:$B$1000,Lookup!$C$2:$C$1000),"")</f>
        <v>Debt</v>
      </c>
      <c r="D9029" s="8" t="str">
        <f>IFERROR(INDEX('nav master'!$C:$C, MATCH(B9029, 'nav master'!$B:$B, 0)), "")</f>
        <v>ULIF05601/08/13BondFunds101</v>
      </c>
      <c r="E9029" s="8" t="s">
        <v>518</v>
      </c>
      <c r="F9029" s="8" t="s">
        <v>827</v>
      </c>
    </row>
    <row r="9030" spans="1:6" ht="60" x14ac:dyDescent="0.25">
      <c r="A9030" s="8" t="s">
        <v>125</v>
      </c>
      <c r="B9030" s="8" t="s">
        <v>134</v>
      </c>
      <c r="C9030" s="8" t="str">
        <f>IFERROR(_xlfn.XLOOKUP(TRIM(B9030),Lookup!$B$2:$B$1000,Lookup!$C$2:$C$1000),"")</f>
        <v>Debt</v>
      </c>
      <c r="D9030" s="8" t="str">
        <f>IFERROR(INDEX('nav master'!$C:$C, MATCH(B9030, 'nav master'!$B:$B, 0)), "")</f>
        <v>ULIF05601/08/13BondFunds101</v>
      </c>
      <c r="E9030" s="8" t="s">
        <v>520</v>
      </c>
      <c r="F9030" s="8" t="s">
        <v>828</v>
      </c>
    </row>
    <row r="9031" spans="1:6" ht="60" x14ac:dyDescent="0.25">
      <c r="A9031" s="8" t="s">
        <v>125</v>
      </c>
      <c r="B9031" s="8" t="s">
        <v>134</v>
      </c>
      <c r="C9031" s="8" t="str">
        <f>IFERROR(_xlfn.XLOOKUP(TRIM(B9031),Lookup!$B$2:$B$1000,Lookup!$C$2:$C$1000),"")</f>
        <v>Debt</v>
      </c>
      <c r="D9031" s="8" t="str">
        <f>IFERROR(INDEX('nav master'!$C:$C, MATCH(B9031, 'nav master'!$B:$B, 0)), "")</f>
        <v>ULIF05601/08/13BondFunds101</v>
      </c>
      <c r="E9031" s="8" t="s">
        <v>522</v>
      </c>
      <c r="F9031" s="8" t="s">
        <v>829</v>
      </c>
    </row>
    <row r="9032" spans="1:6" ht="60" x14ac:dyDescent="0.25">
      <c r="A9032" s="8" t="s">
        <v>125</v>
      </c>
      <c r="B9032" s="8" t="s">
        <v>134</v>
      </c>
      <c r="C9032" s="8" t="str">
        <f>IFERROR(_xlfn.XLOOKUP(TRIM(B9032),Lookup!$B$2:$B$1000,Lookup!$C$2:$C$1000),"")</f>
        <v>Debt</v>
      </c>
      <c r="D9032" s="8" t="str">
        <f>IFERROR(INDEX('nav master'!$C:$C, MATCH(B9032, 'nav master'!$B:$B, 0)), "")</f>
        <v>ULIF05601/08/13BondFunds101</v>
      </c>
      <c r="E9032" s="8" t="s">
        <v>524</v>
      </c>
      <c r="F9032" s="8" t="s">
        <v>830</v>
      </c>
    </row>
    <row r="9033" spans="1:6" ht="60" x14ac:dyDescent="0.25">
      <c r="A9033" s="8" t="s">
        <v>125</v>
      </c>
      <c r="B9033" s="8" t="s">
        <v>134</v>
      </c>
      <c r="C9033" s="8" t="str">
        <f>IFERROR(_xlfn.XLOOKUP(TRIM(B9033),Lookup!$B$2:$B$1000,Lookup!$C$2:$C$1000),"")</f>
        <v>Debt</v>
      </c>
      <c r="D9033" s="8" t="str">
        <f>IFERROR(INDEX('nav master'!$C:$C, MATCH(B9033, 'nav master'!$B:$B, 0)), "")</f>
        <v>ULIF05601/08/13BondFunds101</v>
      </c>
      <c r="E9033" s="8" t="s">
        <v>526</v>
      </c>
      <c r="F9033" s="8" t="s">
        <v>831</v>
      </c>
    </row>
    <row r="9034" spans="1:6" ht="60" x14ac:dyDescent="0.25">
      <c r="A9034" s="8" t="s">
        <v>125</v>
      </c>
      <c r="B9034" s="8" t="s">
        <v>134</v>
      </c>
      <c r="C9034" s="8" t="str">
        <f>IFERROR(_xlfn.XLOOKUP(TRIM(B9034),Lookup!$B$2:$B$1000,Lookup!$C$2:$C$1000),"")</f>
        <v>Debt</v>
      </c>
      <c r="D9034" s="8" t="str">
        <f>IFERROR(INDEX('nav master'!$C:$C, MATCH(B9034, 'nav master'!$B:$B, 0)), "")</f>
        <v>ULIF05601/08/13BondFunds101</v>
      </c>
      <c r="E9034" s="8" t="s">
        <v>528</v>
      </c>
      <c r="F9034" s="8" t="s">
        <v>832</v>
      </c>
    </row>
    <row r="9035" spans="1:6" ht="60" x14ac:dyDescent="0.25">
      <c r="A9035" s="8" t="s">
        <v>125</v>
      </c>
      <c r="B9035" s="8" t="s">
        <v>134</v>
      </c>
      <c r="C9035" s="8" t="str">
        <f>IFERROR(_xlfn.XLOOKUP(TRIM(B9035),Lookup!$B$2:$B$1000,Lookup!$C$2:$C$1000),"")</f>
        <v>Debt</v>
      </c>
      <c r="D9035" s="8" t="str">
        <f>IFERROR(INDEX('nav master'!$C:$C, MATCH(B9035, 'nav master'!$B:$B, 0)), "")</f>
        <v>ULIF05601/08/13BondFunds101</v>
      </c>
      <c r="E9035" s="8" t="s">
        <v>530</v>
      </c>
      <c r="F9035" s="8" t="s">
        <v>833</v>
      </c>
    </row>
    <row r="9036" spans="1:6" ht="60" x14ac:dyDescent="0.25">
      <c r="A9036" s="8" t="s">
        <v>125</v>
      </c>
      <c r="B9036" s="8" t="s">
        <v>134</v>
      </c>
      <c r="C9036" s="8" t="str">
        <f>IFERROR(_xlfn.XLOOKUP(TRIM(B9036),Lookup!$B$2:$B$1000,Lookup!$C$2:$C$1000),"")</f>
        <v>Debt</v>
      </c>
      <c r="D9036" s="8" t="str">
        <f>IFERROR(INDEX('nav master'!$C:$C, MATCH(B9036, 'nav master'!$B:$B, 0)), "")</f>
        <v>ULIF05601/08/13BondFunds101</v>
      </c>
      <c r="E9036" s="8" t="s">
        <v>532</v>
      </c>
      <c r="F9036" s="8" t="s">
        <v>834</v>
      </c>
    </row>
    <row r="9037" spans="1:6" ht="60" x14ac:dyDescent="0.25">
      <c r="A9037" s="8" t="s">
        <v>125</v>
      </c>
      <c r="B9037" s="8" t="s">
        <v>134</v>
      </c>
      <c r="C9037" s="8" t="str">
        <f>IFERROR(_xlfn.XLOOKUP(TRIM(B9037),Lookup!$B$2:$B$1000,Lookup!$C$2:$C$1000),"")</f>
        <v>Debt</v>
      </c>
      <c r="D9037" s="8" t="str">
        <f>IFERROR(INDEX('nav master'!$C:$C, MATCH(B9037, 'nav master'!$B:$B, 0)), "")</f>
        <v>ULIF05601/08/13BondFunds101</v>
      </c>
      <c r="E9037" s="8" t="s">
        <v>534</v>
      </c>
      <c r="F9037" s="8" t="s">
        <v>835</v>
      </c>
    </row>
    <row r="9038" spans="1:6" ht="60" x14ac:dyDescent="0.25">
      <c r="A9038" s="8" t="s">
        <v>125</v>
      </c>
      <c r="B9038" s="8" t="s">
        <v>134</v>
      </c>
      <c r="C9038" s="8" t="str">
        <f>IFERROR(_xlfn.XLOOKUP(TRIM(B9038),Lookup!$B$2:$B$1000,Lookup!$C$2:$C$1000),"")</f>
        <v>Debt</v>
      </c>
      <c r="D9038" s="8" t="str">
        <f>IFERROR(INDEX('nav master'!$C:$C, MATCH(B9038, 'nav master'!$B:$B, 0)), "")</f>
        <v>ULIF05601/08/13BondFunds101</v>
      </c>
      <c r="E9038" s="8" t="s">
        <v>536</v>
      </c>
      <c r="F9038" s="8" t="s">
        <v>836</v>
      </c>
    </row>
    <row r="9039" spans="1:6" ht="60" x14ac:dyDescent="0.25">
      <c r="A9039" s="8" t="s">
        <v>125</v>
      </c>
      <c r="B9039" s="8" t="s">
        <v>134</v>
      </c>
      <c r="C9039" s="8" t="str">
        <f>IFERROR(_xlfn.XLOOKUP(TRIM(B9039),Lookup!$B$2:$B$1000,Lookup!$C$2:$C$1000),"")</f>
        <v>Debt</v>
      </c>
      <c r="D9039" s="8" t="str">
        <f>IFERROR(INDEX('nav master'!$C:$C, MATCH(B9039, 'nav master'!$B:$B, 0)), "")</f>
        <v>ULIF05601/08/13BondFunds101</v>
      </c>
      <c r="E9039" s="8" t="s">
        <v>538</v>
      </c>
      <c r="F9039" s="8" t="s">
        <v>837</v>
      </c>
    </row>
    <row r="9040" spans="1:6" ht="60" x14ac:dyDescent="0.25">
      <c r="A9040" s="8" t="s">
        <v>125</v>
      </c>
      <c r="B9040" s="8" t="s">
        <v>134</v>
      </c>
      <c r="C9040" s="8" t="str">
        <f>IFERROR(_xlfn.XLOOKUP(TRIM(B9040),Lookup!$B$2:$B$1000,Lookup!$C$2:$C$1000),"")</f>
        <v>Debt</v>
      </c>
      <c r="D9040" s="8" t="str">
        <f>IFERROR(INDEX('nav master'!$C:$C, MATCH(B9040, 'nav master'!$B:$B, 0)), "")</f>
        <v>ULIF05601/08/13BondFunds101</v>
      </c>
      <c r="E9040" s="8" t="s">
        <v>540</v>
      </c>
      <c r="F9040" s="8" t="s">
        <v>838</v>
      </c>
    </row>
    <row r="9041" spans="1:6" ht="60" x14ac:dyDescent="0.25">
      <c r="A9041" s="8" t="s">
        <v>125</v>
      </c>
      <c r="B9041" s="8" t="s">
        <v>134</v>
      </c>
      <c r="C9041" s="8" t="str">
        <f>IFERROR(_xlfn.XLOOKUP(TRIM(B9041),Lookup!$B$2:$B$1000,Lookup!$C$2:$C$1000),"")</f>
        <v>Debt</v>
      </c>
      <c r="D9041" s="8" t="str">
        <f>IFERROR(INDEX('nav master'!$C:$C, MATCH(B9041, 'nav master'!$B:$B, 0)), "")</f>
        <v>ULIF05601/08/13BondFunds101</v>
      </c>
      <c r="E9041" s="8" t="s">
        <v>542</v>
      </c>
      <c r="F9041" s="8" t="s">
        <v>839</v>
      </c>
    </row>
    <row r="9042" spans="1:6" ht="60" x14ac:dyDescent="0.25">
      <c r="A9042" s="8" t="s">
        <v>125</v>
      </c>
      <c r="B9042" s="8" t="s">
        <v>134</v>
      </c>
      <c r="C9042" s="8" t="str">
        <f>IFERROR(_xlfn.XLOOKUP(TRIM(B9042),Lookup!$B$2:$B$1000,Lookup!$C$2:$C$1000),"")</f>
        <v>Debt</v>
      </c>
      <c r="D9042" s="8" t="str">
        <f>IFERROR(INDEX('nav master'!$C:$C, MATCH(B9042, 'nav master'!$B:$B, 0)), "")</f>
        <v>ULIF05601/08/13BondFunds101</v>
      </c>
      <c r="E9042" s="8" t="s">
        <v>544</v>
      </c>
      <c r="F9042" s="8" t="s">
        <v>840</v>
      </c>
    </row>
    <row r="9043" spans="1:6" ht="60" x14ac:dyDescent="0.25">
      <c r="A9043" s="8" t="s">
        <v>125</v>
      </c>
      <c r="B9043" s="8" t="s">
        <v>134</v>
      </c>
      <c r="C9043" s="8" t="str">
        <f>IFERROR(_xlfn.XLOOKUP(TRIM(B9043),Lookup!$B$2:$B$1000,Lookup!$C$2:$C$1000),"")</f>
        <v>Debt</v>
      </c>
      <c r="D9043" s="8" t="str">
        <f>IFERROR(INDEX('nav master'!$C:$C, MATCH(B9043, 'nav master'!$B:$B, 0)), "")</f>
        <v>ULIF05601/08/13BondFunds101</v>
      </c>
      <c r="E9043" s="8" t="s">
        <v>546</v>
      </c>
      <c r="F9043" s="8" t="s">
        <v>841</v>
      </c>
    </row>
    <row r="9044" spans="1:6" ht="60" x14ac:dyDescent="0.25">
      <c r="A9044" s="8" t="s">
        <v>125</v>
      </c>
      <c r="B9044" s="8" t="s">
        <v>134</v>
      </c>
      <c r="C9044" s="8" t="str">
        <f>IFERROR(_xlfn.XLOOKUP(TRIM(B9044),Lookup!$B$2:$B$1000,Lookup!$C$2:$C$1000),"")</f>
        <v>Debt</v>
      </c>
      <c r="D9044" s="8" t="str">
        <f>IFERROR(INDEX('nav master'!$C:$C, MATCH(B9044, 'nav master'!$B:$B, 0)), "")</f>
        <v>ULIF05601/08/13BondFunds101</v>
      </c>
      <c r="E9044" s="8" t="s">
        <v>548</v>
      </c>
      <c r="F9044" s="8" t="s">
        <v>842</v>
      </c>
    </row>
    <row r="9045" spans="1:6" ht="60" x14ac:dyDescent="0.25">
      <c r="A9045" s="8" t="s">
        <v>125</v>
      </c>
      <c r="B9045" s="8" t="s">
        <v>134</v>
      </c>
      <c r="C9045" s="8" t="str">
        <f>IFERROR(_xlfn.XLOOKUP(TRIM(B9045),Lookup!$B$2:$B$1000,Lookup!$C$2:$C$1000),"")</f>
        <v>Debt</v>
      </c>
      <c r="D9045" s="8" t="str">
        <f>IFERROR(INDEX('nav master'!$C:$C, MATCH(B9045, 'nav master'!$B:$B, 0)), "")</f>
        <v>ULIF05601/08/13BondFunds101</v>
      </c>
      <c r="E9045" s="8" t="s">
        <v>550</v>
      </c>
      <c r="F9045" s="8" t="s">
        <v>773</v>
      </c>
    </row>
    <row r="9046" spans="1:6" ht="60" x14ac:dyDescent="0.25">
      <c r="A9046" s="8" t="s">
        <v>125</v>
      </c>
      <c r="B9046" s="8" t="s">
        <v>134</v>
      </c>
      <c r="C9046" s="8" t="str">
        <f>IFERROR(_xlfn.XLOOKUP(TRIM(B9046),Lookup!$B$2:$B$1000,Lookup!$C$2:$C$1000),"")</f>
        <v>Debt</v>
      </c>
      <c r="D9046" s="8" t="str">
        <f>IFERROR(INDEX('nav master'!$C:$C, MATCH(B9046, 'nav master'!$B:$B, 0)), "")</f>
        <v>ULIF05601/08/13BondFunds101</v>
      </c>
      <c r="E9046" s="8" t="s">
        <v>552</v>
      </c>
      <c r="F9046" s="8" t="s">
        <v>843</v>
      </c>
    </row>
    <row r="9047" spans="1:6" ht="60" x14ac:dyDescent="0.25">
      <c r="A9047" s="8" t="s">
        <v>125</v>
      </c>
      <c r="B9047" s="8" t="s">
        <v>134</v>
      </c>
      <c r="C9047" s="8" t="str">
        <f>IFERROR(_xlfn.XLOOKUP(TRIM(B9047),Lookup!$B$2:$B$1000,Lookup!$C$2:$C$1000),"")</f>
        <v>Debt</v>
      </c>
      <c r="D9047" s="8" t="str">
        <f>IFERROR(INDEX('nav master'!$C:$C, MATCH(B9047, 'nav master'!$B:$B, 0)), "")</f>
        <v>ULIF05601/08/13BondFunds101</v>
      </c>
      <c r="E9047" s="8" t="s">
        <v>554</v>
      </c>
      <c r="F9047" s="8" t="s">
        <v>844</v>
      </c>
    </row>
    <row r="9048" spans="1:6" ht="60" x14ac:dyDescent="0.25">
      <c r="A9048" s="8" t="s">
        <v>125</v>
      </c>
      <c r="B9048" s="8" t="s">
        <v>134</v>
      </c>
      <c r="C9048" s="8" t="str">
        <f>IFERROR(_xlfn.XLOOKUP(TRIM(B9048),Lookup!$B$2:$B$1000,Lookup!$C$2:$C$1000),"")</f>
        <v>Debt</v>
      </c>
      <c r="D9048" s="8" t="str">
        <f>IFERROR(INDEX('nav master'!$C:$C, MATCH(B9048, 'nav master'!$B:$B, 0)), "")</f>
        <v>ULIF05601/08/13BondFunds101</v>
      </c>
      <c r="E9048" s="8" t="s">
        <v>556</v>
      </c>
      <c r="F9048" s="8" t="s">
        <v>845</v>
      </c>
    </row>
    <row r="9049" spans="1:6" ht="60" x14ac:dyDescent="0.25">
      <c r="A9049" s="8" t="s">
        <v>125</v>
      </c>
      <c r="B9049" s="8" t="s">
        <v>134</v>
      </c>
      <c r="C9049" s="8" t="str">
        <f>IFERROR(_xlfn.XLOOKUP(TRIM(B9049),Lookup!$B$2:$B$1000,Lookup!$C$2:$C$1000),"")</f>
        <v>Debt</v>
      </c>
      <c r="D9049" s="8" t="str">
        <f>IFERROR(INDEX('nav master'!$C:$C, MATCH(B9049, 'nav master'!$B:$B, 0)), "")</f>
        <v>ULIF05601/08/13BondFunds101</v>
      </c>
      <c r="E9049" s="8" t="s">
        <v>558</v>
      </c>
      <c r="F9049" s="8" t="s">
        <v>846</v>
      </c>
    </row>
    <row r="9050" spans="1:6" ht="60" x14ac:dyDescent="0.25">
      <c r="A9050" s="8" t="s">
        <v>125</v>
      </c>
      <c r="B9050" s="8" t="s">
        <v>134</v>
      </c>
      <c r="C9050" s="8" t="str">
        <f>IFERROR(_xlfn.XLOOKUP(TRIM(B9050),Lookup!$B$2:$B$1000,Lookup!$C$2:$C$1000),"")</f>
        <v>Debt</v>
      </c>
      <c r="D9050" s="8" t="str">
        <f>IFERROR(INDEX('nav master'!$C:$C, MATCH(B9050, 'nav master'!$B:$B, 0)), "")</f>
        <v>ULIF05601/08/13BondFunds101</v>
      </c>
      <c r="E9050" s="8" t="s">
        <v>560</v>
      </c>
      <c r="F9050" s="8" t="s">
        <v>847</v>
      </c>
    </row>
    <row r="9051" spans="1:6" ht="60" x14ac:dyDescent="0.25">
      <c r="A9051" s="8" t="s">
        <v>125</v>
      </c>
      <c r="B9051" s="8" t="s">
        <v>134</v>
      </c>
      <c r="C9051" s="8" t="str">
        <f>IFERROR(_xlfn.XLOOKUP(TRIM(B9051),Lookup!$B$2:$B$1000,Lookup!$C$2:$C$1000),"")</f>
        <v>Debt</v>
      </c>
      <c r="D9051" s="8" t="str">
        <f>IFERROR(INDEX('nav master'!$C:$C, MATCH(B9051, 'nav master'!$B:$B, 0)), "")</f>
        <v>ULIF05601/08/13BondFunds101</v>
      </c>
      <c r="E9051" s="8" t="s">
        <v>562</v>
      </c>
      <c r="F9051" s="8" t="s">
        <v>848</v>
      </c>
    </row>
    <row r="9052" spans="1:6" ht="60" x14ac:dyDescent="0.25">
      <c r="A9052" s="8" t="s">
        <v>125</v>
      </c>
      <c r="B9052" s="8" t="s">
        <v>134</v>
      </c>
      <c r="C9052" s="8" t="str">
        <f>IFERROR(_xlfn.XLOOKUP(TRIM(B9052),Lookup!$B$2:$B$1000,Lookup!$C$2:$C$1000),"")</f>
        <v>Debt</v>
      </c>
      <c r="D9052" s="8" t="str">
        <f>IFERROR(INDEX('nav master'!$C:$C, MATCH(B9052, 'nav master'!$B:$B, 0)), "")</f>
        <v>ULIF05601/08/13BondFunds101</v>
      </c>
      <c r="E9052" s="8" t="s">
        <v>564</v>
      </c>
      <c r="F9052" s="8" t="s">
        <v>849</v>
      </c>
    </row>
    <row r="9053" spans="1:6" ht="60" x14ac:dyDescent="0.25">
      <c r="A9053" s="8" t="s">
        <v>125</v>
      </c>
      <c r="B9053" s="8" t="s">
        <v>134</v>
      </c>
      <c r="C9053" s="8" t="str">
        <f>IFERROR(_xlfn.XLOOKUP(TRIM(B9053),Lookup!$B$2:$B$1000,Lookup!$C$2:$C$1000),"")</f>
        <v>Debt</v>
      </c>
      <c r="D9053" s="8" t="str">
        <f>IFERROR(INDEX('nav master'!$C:$C, MATCH(B9053, 'nav master'!$B:$B, 0)), "")</f>
        <v>ULIF05601/08/13BondFunds101</v>
      </c>
      <c r="E9053" s="8" t="s">
        <v>566</v>
      </c>
      <c r="F9053" s="8" t="s">
        <v>850</v>
      </c>
    </row>
    <row r="9054" spans="1:6" ht="60" x14ac:dyDescent="0.25">
      <c r="A9054" s="8" t="s">
        <v>125</v>
      </c>
      <c r="B9054" s="8" t="s">
        <v>134</v>
      </c>
      <c r="C9054" s="8" t="str">
        <f>IFERROR(_xlfn.XLOOKUP(TRIM(B9054),Lookup!$B$2:$B$1000,Lookup!$C$2:$C$1000),"")</f>
        <v>Debt</v>
      </c>
      <c r="D9054" s="8" t="str">
        <f>IFERROR(INDEX('nav master'!$C:$C, MATCH(B9054, 'nav master'!$B:$B, 0)), "")</f>
        <v>ULIF05601/08/13BondFunds101</v>
      </c>
      <c r="E9054" s="8" t="s">
        <v>568</v>
      </c>
      <c r="F9054" s="8" t="s">
        <v>851</v>
      </c>
    </row>
    <row r="9055" spans="1:6" ht="60" x14ac:dyDescent="0.25">
      <c r="A9055" s="8" t="s">
        <v>125</v>
      </c>
      <c r="B9055" s="8" t="s">
        <v>134</v>
      </c>
      <c r="C9055" s="8" t="str">
        <f>IFERROR(_xlfn.XLOOKUP(TRIM(B9055),Lookup!$B$2:$B$1000,Lookup!$C$2:$C$1000),"")</f>
        <v>Debt</v>
      </c>
      <c r="D9055" s="8" t="str">
        <f>IFERROR(INDEX('nav master'!$C:$C, MATCH(B9055, 'nav master'!$B:$B, 0)), "")</f>
        <v>ULIF05601/08/13BondFunds101</v>
      </c>
      <c r="E9055" s="8" t="s">
        <v>570</v>
      </c>
      <c r="F9055" s="8" t="s">
        <v>852</v>
      </c>
    </row>
    <row r="9056" spans="1:6" ht="60" x14ac:dyDescent="0.25">
      <c r="A9056" s="8" t="s">
        <v>125</v>
      </c>
      <c r="B9056" s="8" t="s">
        <v>134</v>
      </c>
      <c r="C9056" s="8" t="str">
        <f>IFERROR(_xlfn.XLOOKUP(TRIM(B9056),Lookup!$B$2:$B$1000,Lookup!$C$2:$C$1000),"")</f>
        <v>Debt</v>
      </c>
      <c r="D9056" s="8" t="str">
        <f>IFERROR(INDEX('nav master'!$C:$C, MATCH(B9056, 'nav master'!$B:$B, 0)), "")</f>
        <v>ULIF05601/08/13BondFunds101</v>
      </c>
      <c r="E9056" s="8" t="s">
        <v>572</v>
      </c>
      <c r="F9056" s="8" t="s">
        <v>853</v>
      </c>
    </row>
    <row r="9057" spans="1:6" ht="60" x14ac:dyDescent="0.25">
      <c r="A9057" s="8" t="s">
        <v>125</v>
      </c>
      <c r="B9057" s="8" t="s">
        <v>134</v>
      </c>
      <c r="C9057" s="8" t="str">
        <f>IFERROR(_xlfn.XLOOKUP(TRIM(B9057),Lookup!$B$2:$B$1000,Lookup!$C$2:$C$1000),"")</f>
        <v>Debt</v>
      </c>
      <c r="D9057" s="8" t="str">
        <f>IFERROR(INDEX('nav master'!$C:$C, MATCH(B9057, 'nav master'!$B:$B, 0)), "")</f>
        <v>ULIF05601/08/13BondFunds101</v>
      </c>
      <c r="E9057" s="8" t="s">
        <v>574</v>
      </c>
      <c r="F9057" s="8" t="s">
        <v>854</v>
      </c>
    </row>
    <row r="9058" spans="1:6" ht="60" x14ac:dyDescent="0.25">
      <c r="A9058" s="8" t="s">
        <v>125</v>
      </c>
      <c r="B9058" s="8" t="s">
        <v>134</v>
      </c>
      <c r="C9058" s="8" t="str">
        <f>IFERROR(_xlfn.XLOOKUP(TRIM(B9058),Lookup!$B$2:$B$1000,Lookup!$C$2:$C$1000),"")</f>
        <v>Debt</v>
      </c>
      <c r="D9058" s="8" t="str">
        <f>IFERROR(INDEX('nav master'!$C:$C, MATCH(B9058, 'nav master'!$B:$B, 0)), "")</f>
        <v>ULIF05601/08/13BondFunds101</v>
      </c>
      <c r="E9058" s="8" t="s">
        <v>576</v>
      </c>
      <c r="F9058" s="8" t="s">
        <v>855</v>
      </c>
    </row>
    <row r="9059" spans="1:6" ht="60" x14ac:dyDescent="0.25">
      <c r="A9059" s="8" t="s">
        <v>125</v>
      </c>
      <c r="B9059" s="8" t="s">
        <v>134</v>
      </c>
      <c r="C9059" s="8" t="str">
        <f>IFERROR(_xlfn.XLOOKUP(TRIM(B9059),Lookup!$B$2:$B$1000,Lookup!$C$2:$C$1000),"")</f>
        <v>Debt</v>
      </c>
      <c r="D9059" s="8" t="str">
        <f>IFERROR(INDEX('nav master'!$C:$C, MATCH(B9059, 'nav master'!$B:$B, 0)), "")</f>
        <v>ULIF05601/08/13BondFunds101</v>
      </c>
      <c r="E9059" s="8" t="s">
        <v>578</v>
      </c>
      <c r="F9059" s="8" t="s">
        <v>856</v>
      </c>
    </row>
    <row r="9060" spans="1:6" ht="60" x14ac:dyDescent="0.25">
      <c r="A9060" s="8" t="s">
        <v>125</v>
      </c>
      <c r="B9060" s="8" t="s">
        <v>134</v>
      </c>
      <c r="C9060" s="8" t="str">
        <f>IFERROR(_xlfn.XLOOKUP(TRIM(B9060),Lookup!$B$2:$B$1000,Lookup!$C$2:$C$1000),"")</f>
        <v>Debt</v>
      </c>
      <c r="D9060" s="8" t="str">
        <f>IFERROR(INDEX('nav master'!$C:$C, MATCH(B9060, 'nav master'!$B:$B, 0)), "")</f>
        <v>ULIF05601/08/13BondFunds101</v>
      </c>
      <c r="E9060" s="8" t="s">
        <v>580</v>
      </c>
      <c r="F9060" s="8" t="s">
        <v>857</v>
      </c>
    </row>
    <row r="9061" spans="1:6" ht="60" x14ac:dyDescent="0.25">
      <c r="A9061" s="8" t="s">
        <v>125</v>
      </c>
      <c r="B9061" s="8" t="s">
        <v>134</v>
      </c>
      <c r="C9061" s="8" t="str">
        <f>IFERROR(_xlfn.XLOOKUP(TRIM(B9061),Lookup!$B$2:$B$1000,Lookup!$C$2:$C$1000),"")</f>
        <v>Debt</v>
      </c>
      <c r="D9061" s="8" t="str">
        <f>IFERROR(INDEX('nav master'!$C:$C, MATCH(B9061, 'nav master'!$B:$B, 0)), "")</f>
        <v>ULIF05601/08/13BondFunds101</v>
      </c>
      <c r="E9061" s="8" t="s">
        <v>582</v>
      </c>
      <c r="F9061" s="8" t="s">
        <v>858</v>
      </c>
    </row>
    <row r="9062" spans="1:6" ht="60" x14ac:dyDescent="0.25">
      <c r="A9062" s="8" t="s">
        <v>125</v>
      </c>
      <c r="B9062" s="8" t="s">
        <v>134</v>
      </c>
      <c r="C9062" s="8" t="str">
        <f>IFERROR(_xlfn.XLOOKUP(TRIM(B9062),Lookup!$B$2:$B$1000,Lookup!$C$2:$C$1000),"")</f>
        <v>Debt</v>
      </c>
      <c r="D9062" s="8" t="str">
        <f>IFERROR(INDEX('nav master'!$C:$C, MATCH(B9062, 'nav master'!$B:$B, 0)), "")</f>
        <v>ULIF05601/08/13BondFunds101</v>
      </c>
      <c r="E9062" s="8" t="s">
        <v>584</v>
      </c>
      <c r="F9062" s="8" t="s">
        <v>859</v>
      </c>
    </row>
    <row r="9063" spans="1:6" ht="60" x14ac:dyDescent="0.25">
      <c r="A9063" s="8" t="s">
        <v>125</v>
      </c>
      <c r="B9063" s="8" t="s">
        <v>134</v>
      </c>
      <c r="C9063" s="8" t="str">
        <f>IFERROR(_xlfn.XLOOKUP(TRIM(B9063),Lookup!$B$2:$B$1000,Lookup!$C$2:$C$1000),"")</f>
        <v>Debt</v>
      </c>
      <c r="D9063" s="8" t="str">
        <f>IFERROR(INDEX('nav master'!$C:$C, MATCH(B9063, 'nav master'!$B:$B, 0)), "")</f>
        <v>ULIF05601/08/13BondFunds101</v>
      </c>
      <c r="E9063" s="8" t="s">
        <v>586</v>
      </c>
      <c r="F9063" s="8" t="s">
        <v>860</v>
      </c>
    </row>
    <row r="9064" spans="1:6" ht="60" x14ac:dyDescent="0.25">
      <c r="A9064" s="8" t="s">
        <v>125</v>
      </c>
      <c r="B9064" s="8" t="s">
        <v>134</v>
      </c>
      <c r="C9064" s="8" t="str">
        <f>IFERROR(_xlfn.XLOOKUP(TRIM(B9064),Lookup!$B$2:$B$1000,Lookup!$C$2:$C$1000),"")</f>
        <v>Debt</v>
      </c>
      <c r="D9064" s="8" t="str">
        <f>IFERROR(INDEX('nav master'!$C:$C, MATCH(B9064, 'nav master'!$B:$B, 0)), "")</f>
        <v>ULIF05601/08/13BondFunds101</v>
      </c>
      <c r="E9064" s="8" t="s">
        <v>588</v>
      </c>
      <c r="F9064" s="8" t="s">
        <v>861</v>
      </c>
    </row>
    <row r="9065" spans="1:6" ht="60" x14ac:dyDescent="0.25">
      <c r="A9065" s="8" t="s">
        <v>125</v>
      </c>
      <c r="B9065" s="8" t="s">
        <v>134</v>
      </c>
      <c r="C9065" s="8" t="str">
        <f>IFERROR(_xlfn.XLOOKUP(TRIM(B9065),Lookup!$B$2:$B$1000,Lookup!$C$2:$C$1000),"")</f>
        <v>Debt</v>
      </c>
      <c r="D9065" s="8" t="str">
        <f>IFERROR(INDEX('nav master'!$C:$C, MATCH(B9065, 'nav master'!$B:$B, 0)), "")</f>
        <v>ULIF05601/08/13BondFunds101</v>
      </c>
      <c r="E9065" s="8" t="s">
        <v>590</v>
      </c>
      <c r="F9065" s="8" t="s">
        <v>862</v>
      </c>
    </row>
    <row r="9066" spans="1:6" ht="60" x14ac:dyDescent="0.25">
      <c r="A9066" s="8" t="s">
        <v>125</v>
      </c>
      <c r="B9066" s="8" t="s">
        <v>134</v>
      </c>
      <c r="C9066" s="8" t="str">
        <f>IFERROR(_xlfn.XLOOKUP(TRIM(B9066),Lookup!$B$2:$B$1000,Lookup!$C$2:$C$1000),"")</f>
        <v>Debt</v>
      </c>
      <c r="D9066" s="8" t="str">
        <f>IFERROR(INDEX('nav master'!$C:$C, MATCH(B9066, 'nav master'!$B:$B, 0)), "")</f>
        <v>ULIF05601/08/13BondFunds101</v>
      </c>
      <c r="E9066" s="8" t="s">
        <v>592</v>
      </c>
      <c r="F9066" s="8" t="s">
        <v>863</v>
      </c>
    </row>
    <row r="9067" spans="1:6" ht="60" x14ac:dyDescent="0.25">
      <c r="A9067" s="8" t="s">
        <v>125</v>
      </c>
      <c r="B9067" s="8" t="s">
        <v>134</v>
      </c>
      <c r="C9067" s="8" t="str">
        <f>IFERROR(_xlfn.XLOOKUP(TRIM(B9067),Lookup!$B$2:$B$1000,Lookup!$C$2:$C$1000),"")</f>
        <v>Debt</v>
      </c>
      <c r="D9067" s="8" t="str">
        <f>IFERROR(INDEX('nav master'!$C:$C, MATCH(B9067, 'nav master'!$B:$B, 0)), "")</f>
        <v>ULIF05601/08/13BondFunds101</v>
      </c>
      <c r="E9067" s="8" t="s">
        <v>594</v>
      </c>
      <c r="F9067" s="8" t="s">
        <v>864</v>
      </c>
    </row>
    <row r="9068" spans="1:6" ht="60" x14ac:dyDescent="0.25">
      <c r="A9068" s="8" t="s">
        <v>125</v>
      </c>
      <c r="B9068" s="8" t="s">
        <v>134</v>
      </c>
      <c r="C9068" s="8" t="str">
        <f>IFERROR(_xlfn.XLOOKUP(TRIM(B9068),Lookup!$B$2:$B$1000,Lookup!$C$2:$C$1000),"")</f>
        <v>Debt</v>
      </c>
      <c r="D9068" s="8" t="str">
        <f>IFERROR(INDEX('nav master'!$C:$C, MATCH(B9068, 'nav master'!$B:$B, 0)), "")</f>
        <v>ULIF05601/08/13BondFunds101</v>
      </c>
      <c r="E9068" s="8" t="s">
        <v>596</v>
      </c>
      <c r="F9068" s="8" t="s">
        <v>759</v>
      </c>
    </row>
    <row r="9069" spans="1:6" ht="60" x14ac:dyDescent="0.25">
      <c r="A9069" s="8" t="s">
        <v>125</v>
      </c>
      <c r="B9069" s="8" t="s">
        <v>134</v>
      </c>
      <c r="C9069" s="8" t="str">
        <f>IFERROR(_xlfn.XLOOKUP(TRIM(B9069),Lookup!$B$2:$B$1000,Lookup!$C$2:$C$1000),"")</f>
        <v>Debt</v>
      </c>
      <c r="D9069" s="8" t="str">
        <f>IFERROR(INDEX('nav master'!$C:$C, MATCH(B9069, 'nav master'!$B:$B, 0)), "")</f>
        <v>ULIF05601/08/13BondFunds101</v>
      </c>
      <c r="E9069" s="8" t="s">
        <v>598</v>
      </c>
      <c r="F9069" s="8" t="s">
        <v>865</v>
      </c>
    </row>
    <row r="9070" spans="1:6" ht="60" x14ac:dyDescent="0.25">
      <c r="A9070" s="8" t="s">
        <v>125</v>
      </c>
      <c r="B9070" s="8" t="s">
        <v>134</v>
      </c>
      <c r="C9070" s="8" t="str">
        <f>IFERROR(_xlfn.XLOOKUP(TRIM(B9070),Lookup!$B$2:$B$1000,Lookup!$C$2:$C$1000),"")</f>
        <v>Debt</v>
      </c>
      <c r="D9070" s="8" t="str">
        <f>IFERROR(INDEX('nav master'!$C:$C, MATCH(B9070, 'nav master'!$B:$B, 0)), "")</f>
        <v>ULIF05601/08/13BondFunds101</v>
      </c>
      <c r="E9070" s="8" t="s">
        <v>600</v>
      </c>
      <c r="F9070" s="8" t="s">
        <v>866</v>
      </c>
    </row>
    <row r="9071" spans="1:6" ht="60" x14ac:dyDescent="0.25">
      <c r="A9071" s="8" t="s">
        <v>125</v>
      </c>
      <c r="B9071" s="8" t="s">
        <v>134</v>
      </c>
      <c r="C9071" s="8" t="str">
        <f>IFERROR(_xlfn.XLOOKUP(TRIM(B9071),Lookup!$B$2:$B$1000,Lookup!$C$2:$C$1000),"")</f>
        <v>Debt</v>
      </c>
      <c r="D9071" s="8" t="str">
        <f>IFERROR(INDEX('nav master'!$C:$C, MATCH(B9071, 'nav master'!$B:$B, 0)), "")</f>
        <v>ULIF05601/08/13BondFunds101</v>
      </c>
      <c r="E9071" s="8" t="s">
        <v>602</v>
      </c>
      <c r="F9071" s="8" t="s">
        <v>867</v>
      </c>
    </row>
    <row r="9072" spans="1:6" ht="60" x14ac:dyDescent="0.25">
      <c r="A9072" s="8" t="s">
        <v>125</v>
      </c>
      <c r="B9072" s="8" t="s">
        <v>134</v>
      </c>
      <c r="C9072" s="8" t="str">
        <f>IFERROR(_xlfn.XLOOKUP(TRIM(B9072),Lookup!$B$2:$B$1000,Lookup!$C$2:$C$1000),"")</f>
        <v>Debt</v>
      </c>
      <c r="D9072" s="8" t="str">
        <f>IFERROR(INDEX('nav master'!$C:$C, MATCH(B9072, 'nav master'!$B:$B, 0)), "")</f>
        <v>ULIF05601/08/13BondFunds101</v>
      </c>
      <c r="E9072" s="8" t="s">
        <v>604</v>
      </c>
      <c r="F9072" s="8" t="s">
        <v>868</v>
      </c>
    </row>
    <row r="9073" spans="1:6" ht="60" x14ac:dyDescent="0.25">
      <c r="A9073" s="8" t="s">
        <v>125</v>
      </c>
      <c r="B9073" s="8" t="s">
        <v>134</v>
      </c>
      <c r="C9073" s="8" t="str">
        <f>IFERROR(_xlfn.XLOOKUP(TRIM(B9073),Lookup!$B$2:$B$1000,Lookup!$C$2:$C$1000),"")</f>
        <v>Debt</v>
      </c>
      <c r="D9073" s="8" t="str">
        <f>IFERROR(INDEX('nav master'!$C:$C, MATCH(B9073, 'nav master'!$B:$B, 0)), "")</f>
        <v>ULIF05601/08/13BondFunds101</v>
      </c>
      <c r="E9073" s="8" t="s">
        <v>606</v>
      </c>
      <c r="F9073" s="8" t="s">
        <v>869</v>
      </c>
    </row>
    <row r="9074" spans="1:6" ht="60" x14ac:dyDescent="0.25">
      <c r="A9074" s="8" t="s">
        <v>125</v>
      </c>
      <c r="B9074" s="8" t="s">
        <v>134</v>
      </c>
      <c r="C9074" s="8" t="str">
        <f>IFERROR(_xlfn.XLOOKUP(TRIM(B9074),Lookup!$B$2:$B$1000,Lookup!$C$2:$C$1000),"")</f>
        <v>Debt</v>
      </c>
      <c r="D9074" s="8" t="str">
        <f>IFERROR(INDEX('nav master'!$C:$C, MATCH(B9074, 'nav master'!$B:$B, 0)), "")</f>
        <v>ULIF05601/08/13BondFunds101</v>
      </c>
      <c r="E9074" s="8" t="s">
        <v>608</v>
      </c>
      <c r="F9074" s="8" t="s">
        <v>870</v>
      </c>
    </row>
    <row r="9075" spans="1:6" ht="60" x14ac:dyDescent="0.25">
      <c r="A9075" s="8" t="s">
        <v>125</v>
      </c>
      <c r="B9075" s="8" t="s">
        <v>134</v>
      </c>
      <c r="C9075" s="8" t="str">
        <f>IFERROR(_xlfn.XLOOKUP(TRIM(B9075),Lookup!$B$2:$B$1000,Lookup!$C$2:$C$1000),"")</f>
        <v>Debt</v>
      </c>
      <c r="D9075" s="8" t="str">
        <f>IFERROR(INDEX('nav master'!$C:$C, MATCH(B9075, 'nav master'!$B:$B, 0)), "")</f>
        <v>ULIF05601/08/13BondFunds101</v>
      </c>
      <c r="E9075" s="8" t="s">
        <v>610</v>
      </c>
      <c r="F9075" s="8" t="s">
        <v>871</v>
      </c>
    </row>
    <row r="9076" spans="1:6" ht="60" x14ac:dyDescent="0.25">
      <c r="A9076" s="8" t="s">
        <v>125</v>
      </c>
      <c r="B9076" s="8" t="s">
        <v>134</v>
      </c>
      <c r="C9076" s="8" t="str">
        <f>IFERROR(_xlfn.XLOOKUP(TRIM(B9076),Lookup!$B$2:$B$1000,Lookup!$C$2:$C$1000),"")</f>
        <v>Debt</v>
      </c>
      <c r="D9076" s="8" t="str">
        <f>IFERROR(INDEX('nav master'!$C:$C, MATCH(B9076, 'nav master'!$B:$B, 0)), "")</f>
        <v>ULIF05601/08/13BondFunds101</v>
      </c>
      <c r="E9076" s="8" t="s">
        <v>612</v>
      </c>
      <c r="F9076" s="8" t="s">
        <v>872</v>
      </c>
    </row>
    <row r="9077" spans="1:6" ht="60" x14ac:dyDescent="0.25">
      <c r="A9077" s="8" t="s">
        <v>125</v>
      </c>
      <c r="B9077" s="8" t="s">
        <v>134</v>
      </c>
      <c r="C9077" s="8" t="str">
        <f>IFERROR(_xlfn.XLOOKUP(TRIM(B9077),Lookup!$B$2:$B$1000,Lookup!$C$2:$C$1000),"")</f>
        <v>Debt</v>
      </c>
      <c r="D9077" s="8" t="str">
        <f>IFERROR(INDEX('nav master'!$C:$C, MATCH(B9077, 'nav master'!$B:$B, 0)), "")</f>
        <v>ULIF05601/08/13BondFunds101</v>
      </c>
      <c r="E9077" s="8" t="s">
        <v>614</v>
      </c>
      <c r="F9077" s="8" t="s">
        <v>873</v>
      </c>
    </row>
    <row r="9078" spans="1:6" ht="60" x14ac:dyDescent="0.25">
      <c r="A9078" s="8" t="s">
        <v>125</v>
      </c>
      <c r="B9078" s="8" t="s">
        <v>134</v>
      </c>
      <c r="C9078" s="8" t="str">
        <f>IFERROR(_xlfn.XLOOKUP(TRIM(B9078),Lookup!$B$2:$B$1000,Lookup!$C$2:$C$1000),"")</f>
        <v>Debt</v>
      </c>
      <c r="D9078" s="8" t="str">
        <f>IFERROR(INDEX('nav master'!$C:$C, MATCH(B9078, 'nav master'!$B:$B, 0)), "")</f>
        <v>ULIF05601/08/13BondFunds101</v>
      </c>
      <c r="E9078" s="8" t="s">
        <v>616</v>
      </c>
      <c r="F9078" s="8" t="s">
        <v>874</v>
      </c>
    </row>
    <row r="9079" spans="1:6" ht="60" x14ac:dyDescent="0.25">
      <c r="A9079" s="8" t="s">
        <v>125</v>
      </c>
      <c r="B9079" s="8" t="s">
        <v>134</v>
      </c>
      <c r="C9079" s="8" t="str">
        <f>IFERROR(_xlfn.XLOOKUP(TRIM(B9079),Lookup!$B$2:$B$1000,Lookup!$C$2:$C$1000),"")</f>
        <v>Debt</v>
      </c>
      <c r="D9079" s="8" t="str">
        <f>IFERROR(INDEX('nav master'!$C:$C, MATCH(B9079, 'nav master'!$B:$B, 0)), "")</f>
        <v>ULIF05601/08/13BondFunds101</v>
      </c>
      <c r="E9079" s="8" t="s">
        <v>618</v>
      </c>
      <c r="F9079" s="8" t="s">
        <v>875</v>
      </c>
    </row>
    <row r="9080" spans="1:6" ht="60" x14ac:dyDescent="0.25">
      <c r="A9080" s="8" t="s">
        <v>125</v>
      </c>
      <c r="B9080" s="8" t="s">
        <v>134</v>
      </c>
      <c r="C9080" s="8" t="str">
        <f>IFERROR(_xlfn.XLOOKUP(TRIM(B9080),Lookup!$B$2:$B$1000,Lookup!$C$2:$C$1000),"")</f>
        <v>Debt</v>
      </c>
      <c r="D9080" s="8" t="str">
        <f>IFERROR(INDEX('nav master'!$C:$C, MATCH(B9080, 'nav master'!$B:$B, 0)), "")</f>
        <v>ULIF05601/08/13BondFunds101</v>
      </c>
      <c r="E9080" s="8" t="s">
        <v>620</v>
      </c>
      <c r="F9080" s="8" t="s">
        <v>876</v>
      </c>
    </row>
    <row r="9081" spans="1:6" ht="60" x14ac:dyDescent="0.25">
      <c r="A9081" s="8" t="s">
        <v>125</v>
      </c>
      <c r="B9081" s="8" t="s">
        <v>134</v>
      </c>
      <c r="C9081" s="8" t="str">
        <f>IFERROR(_xlfn.XLOOKUP(TRIM(B9081),Lookup!$B$2:$B$1000,Lookup!$C$2:$C$1000),"")</f>
        <v>Debt</v>
      </c>
      <c r="D9081" s="8" t="str">
        <f>IFERROR(INDEX('nav master'!$C:$C, MATCH(B9081, 'nav master'!$B:$B, 0)), "")</f>
        <v>ULIF05601/08/13BondFunds101</v>
      </c>
      <c r="E9081" s="8" t="s">
        <v>622</v>
      </c>
      <c r="F9081" s="8" t="s">
        <v>877</v>
      </c>
    </row>
    <row r="9082" spans="1:6" ht="60" x14ac:dyDescent="0.25">
      <c r="A9082" s="8" t="s">
        <v>125</v>
      </c>
      <c r="B9082" s="8" t="s">
        <v>134</v>
      </c>
      <c r="C9082" s="8" t="str">
        <f>IFERROR(_xlfn.XLOOKUP(TRIM(B9082),Lookup!$B$2:$B$1000,Lookup!$C$2:$C$1000),"")</f>
        <v>Debt</v>
      </c>
      <c r="D9082" s="8" t="str">
        <f>IFERROR(INDEX('nav master'!$C:$C, MATCH(B9082, 'nav master'!$B:$B, 0)), "")</f>
        <v>ULIF05601/08/13BondFunds101</v>
      </c>
      <c r="E9082" s="8" t="s">
        <v>624</v>
      </c>
      <c r="F9082" s="8" t="s">
        <v>878</v>
      </c>
    </row>
    <row r="9083" spans="1:6" ht="60" x14ac:dyDescent="0.25">
      <c r="A9083" s="8" t="s">
        <v>125</v>
      </c>
      <c r="B9083" s="8" t="s">
        <v>134</v>
      </c>
      <c r="C9083" s="8" t="str">
        <f>IFERROR(_xlfn.XLOOKUP(TRIM(B9083),Lookup!$B$2:$B$1000,Lookup!$C$2:$C$1000),"")</f>
        <v>Debt</v>
      </c>
      <c r="D9083" s="8" t="str">
        <f>IFERROR(INDEX('nav master'!$C:$C, MATCH(B9083, 'nav master'!$B:$B, 0)), "")</f>
        <v>ULIF05601/08/13BondFunds101</v>
      </c>
      <c r="E9083" s="8" t="s">
        <v>626</v>
      </c>
      <c r="F9083" s="8" t="s">
        <v>879</v>
      </c>
    </row>
    <row r="9084" spans="1:6" ht="60" x14ac:dyDescent="0.25">
      <c r="A9084" s="8" t="s">
        <v>125</v>
      </c>
      <c r="B9084" s="8" t="s">
        <v>134</v>
      </c>
      <c r="C9084" s="8" t="str">
        <f>IFERROR(_xlfn.XLOOKUP(TRIM(B9084),Lookup!$B$2:$B$1000,Lookup!$C$2:$C$1000),"")</f>
        <v>Debt</v>
      </c>
      <c r="D9084" s="8" t="str">
        <f>IFERROR(INDEX('nav master'!$C:$C, MATCH(B9084, 'nav master'!$B:$B, 0)), "")</f>
        <v>ULIF05601/08/13BondFunds101</v>
      </c>
      <c r="E9084" s="8" t="s">
        <v>628</v>
      </c>
      <c r="F9084" s="8" t="s">
        <v>880</v>
      </c>
    </row>
    <row r="9085" spans="1:6" ht="60" x14ac:dyDescent="0.25">
      <c r="A9085" s="8" t="s">
        <v>125</v>
      </c>
      <c r="B9085" s="8" t="s">
        <v>134</v>
      </c>
      <c r="C9085" s="8" t="str">
        <f>IFERROR(_xlfn.XLOOKUP(TRIM(B9085),Lookup!$B$2:$B$1000,Lookup!$C$2:$C$1000),"")</f>
        <v>Debt</v>
      </c>
      <c r="D9085" s="8" t="str">
        <f>IFERROR(INDEX('nav master'!$C:$C, MATCH(B9085, 'nav master'!$B:$B, 0)), "")</f>
        <v>ULIF05601/08/13BondFunds101</v>
      </c>
      <c r="E9085" s="8" t="s">
        <v>630</v>
      </c>
      <c r="F9085" s="8" t="s">
        <v>881</v>
      </c>
    </row>
    <row r="9086" spans="1:6" ht="60" x14ac:dyDescent="0.25">
      <c r="A9086" s="8" t="s">
        <v>125</v>
      </c>
      <c r="B9086" s="8" t="s">
        <v>134</v>
      </c>
      <c r="C9086" s="8" t="str">
        <f>IFERROR(_xlfn.XLOOKUP(TRIM(B9086),Lookup!$B$2:$B$1000,Lookup!$C$2:$C$1000),"")</f>
        <v>Debt</v>
      </c>
      <c r="D9086" s="8" t="str">
        <f>IFERROR(INDEX('nav master'!$C:$C, MATCH(B9086, 'nav master'!$B:$B, 0)), "")</f>
        <v>ULIF05601/08/13BondFunds101</v>
      </c>
      <c r="E9086" s="8" t="s">
        <v>632</v>
      </c>
      <c r="F9086" s="8" t="s">
        <v>882</v>
      </c>
    </row>
    <row r="9087" spans="1:6" ht="60" x14ac:dyDescent="0.25">
      <c r="A9087" s="8" t="s">
        <v>125</v>
      </c>
      <c r="B9087" s="8" t="s">
        <v>134</v>
      </c>
      <c r="C9087" s="8" t="str">
        <f>IFERROR(_xlfn.XLOOKUP(TRIM(B9087),Lookup!$B$2:$B$1000,Lookup!$C$2:$C$1000),"")</f>
        <v>Debt</v>
      </c>
      <c r="D9087" s="8" t="str">
        <f>IFERROR(INDEX('nav master'!$C:$C, MATCH(B9087, 'nav master'!$B:$B, 0)), "")</f>
        <v>ULIF05601/08/13BondFunds101</v>
      </c>
      <c r="E9087" s="8" t="s">
        <v>634</v>
      </c>
      <c r="F9087" s="8" t="s">
        <v>883</v>
      </c>
    </row>
    <row r="9088" spans="1:6" ht="60" x14ac:dyDescent="0.25">
      <c r="A9088" s="8" t="s">
        <v>125</v>
      </c>
      <c r="B9088" s="8" t="s">
        <v>134</v>
      </c>
      <c r="C9088" s="8" t="str">
        <f>IFERROR(_xlfn.XLOOKUP(TRIM(B9088),Lookup!$B$2:$B$1000,Lookup!$C$2:$C$1000),"")</f>
        <v>Debt</v>
      </c>
      <c r="D9088" s="8" t="str">
        <f>IFERROR(INDEX('nav master'!$C:$C, MATCH(B9088, 'nav master'!$B:$B, 0)), "")</f>
        <v>ULIF05601/08/13BondFunds101</v>
      </c>
      <c r="E9088" s="8" t="s">
        <v>636</v>
      </c>
      <c r="F9088" s="8" t="s">
        <v>884</v>
      </c>
    </row>
    <row r="9089" spans="1:6" ht="60" x14ac:dyDescent="0.25">
      <c r="A9089" s="8" t="s">
        <v>125</v>
      </c>
      <c r="B9089" s="8" t="s">
        <v>134</v>
      </c>
      <c r="C9089" s="8" t="str">
        <f>IFERROR(_xlfn.XLOOKUP(TRIM(B9089),Lookup!$B$2:$B$1000,Lookup!$C$2:$C$1000),"")</f>
        <v>Debt</v>
      </c>
      <c r="D9089" s="8" t="str">
        <f>IFERROR(INDEX('nav master'!$C:$C, MATCH(B9089, 'nav master'!$B:$B, 0)), "")</f>
        <v>ULIF05601/08/13BondFunds101</v>
      </c>
      <c r="E9089" s="8" t="s">
        <v>638</v>
      </c>
      <c r="F9089" s="8" t="s">
        <v>885</v>
      </c>
    </row>
    <row r="9090" spans="1:6" ht="60" x14ac:dyDescent="0.25">
      <c r="A9090" s="8" t="s">
        <v>125</v>
      </c>
      <c r="B9090" s="8" t="s">
        <v>134</v>
      </c>
      <c r="C9090" s="8" t="str">
        <f>IFERROR(_xlfn.XLOOKUP(TRIM(B9090),Lookup!$B$2:$B$1000,Lookup!$C$2:$C$1000),"")</f>
        <v>Debt</v>
      </c>
      <c r="D9090" s="8" t="str">
        <f>IFERROR(INDEX('nav master'!$C:$C, MATCH(B9090, 'nav master'!$B:$B, 0)), "")</f>
        <v>ULIF05601/08/13BondFunds101</v>
      </c>
      <c r="E9090" s="8" t="s">
        <v>640</v>
      </c>
      <c r="F9090" s="8" t="s">
        <v>886</v>
      </c>
    </row>
    <row r="9091" spans="1:6" ht="60" x14ac:dyDescent="0.25">
      <c r="A9091" s="8" t="s">
        <v>125</v>
      </c>
      <c r="B9091" s="8" t="s">
        <v>134</v>
      </c>
      <c r="C9091" s="8" t="str">
        <f>IFERROR(_xlfn.XLOOKUP(TRIM(B9091),Lookup!$B$2:$B$1000,Lookup!$C$2:$C$1000),"")</f>
        <v>Debt</v>
      </c>
      <c r="D9091" s="8" t="str">
        <f>IFERROR(INDEX('nav master'!$C:$C, MATCH(B9091, 'nav master'!$B:$B, 0)), "")</f>
        <v>ULIF05601/08/13BondFunds101</v>
      </c>
      <c r="E9091" s="8" t="s">
        <v>642</v>
      </c>
      <c r="F9091" s="8" t="s">
        <v>887</v>
      </c>
    </row>
    <row r="9092" spans="1:6" ht="60" x14ac:dyDescent="0.25">
      <c r="A9092" s="8" t="s">
        <v>125</v>
      </c>
      <c r="B9092" s="8" t="s">
        <v>134</v>
      </c>
      <c r="C9092" s="8" t="str">
        <f>IFERROR(_xlfn.XLOOKUP(TRIM(B9092),Lookup!$B$2:$B$1000,Lookup!$C$2:$C$1000),"")</f>
        <v>Debt</v>
      </c>
      <c r="D9092" s="8" t="str">
        <f>IFERROR(INDEX('nav master'!$C:$C, MATCH(B9092, 'nav master'!$B:$B, 0)), "")</f>
        <v>ULIF05601/08/13BondFunds101</v>
      </c>
      <c r="E9092" s="8" t="s">
        <v>644</v>
      </c>
      <c r="F9092" s="8" t="s">
        <v>888</v>
      </c>
    </row>
    <row r="9093" spans="1:6" ht="60" x14ac:dyDescent="0.25">
      <c r="A9093" s="8" t="s">
        <v>125</v>
      </c>
      <c r="B9093" s="8" t="s">
        <v>134</v>
      </c>
      <c r="C9093" s="8" t="str">
        <f>IFERROR(_xlfn.XLOOKUP(TRIM(B9093),Lookup!$B$2:$B$1000,Lookup!$C$2:$C$1000),"")</f>
        <v>Debt</v>
      </c>
      <c r="D9093" s="8" t="str">
        <f>IFERROR(INDEX('nav master'!$C:$C, MATCH(B9093, 'nav master'!$B:$B, 0)), "")</f>
        <v>ULIF05601/08/13BondFunds101</v>
      </c>
      <c r="E9093" s="8" t="s">
        <v>646</v>
      </c>
      <c r="F9093" s="8" t="s">
        <v>889</v>
      </c>
    </row>
    <row r="9094" spans="1:6" ht="60" x14ac:dyDescent="0.25">
      <c r="A9094" s="8" t="s">
        <v>125</v>
      </c>
      <c r="B9094" s="8" t="s">
        <v>134</v>
      </c>
      <c r="C9094" s="8" t="str">
        <f>IFERROR(_xlfn.XLOOKUP(TRIM(B9094),Lookup!$B$2:$B$1000,Lookup!$C$2:$C$1000),"")</f>
        <v>Debt</v>
      </c>
      <c r="D9094" s="8" t="str">
        <f>IFERROR(INDEX('nav master'!$C:$C, MATCH(B9094, 'nav master'!$B:$B, 0)), "")</f>
        <v>ULIF05601/08/13BondFunds101</v>
      </c>
      <c r="E9094" s="8" t="s">
        <v>648</v>
      </c>
      <c r="F9094" s="8" t="s">
        <v>890</v>
      </c>
    </row>
    <row r="9095" spans="1:6" ht="60" x14ac:dyDescent="0.25">
      <c r="A9095" s="8" t="s">
        <v>125</v>
      </c>
      <c r="B9095" s="8" t="s">
        <v>134</v>
      </c>
      <c r="C9095" s="8" t="str">
        <f>IFERROR(_xlfn.XLOOKUP(TRIM(B9095),Lookup!$B$2:$B$1000,Lookup!$C$2:$C$1000),"")</f>
        <v>Debt</v>
      </c>
      <c r="D9095" s="8" t="str">
        <f>IFERROR(INDEX('nav master'!$C:$C, MATCH(B9095, 'nav master'!$B:$B, 0)), "")</f>
        <v>ULIF05601/08/13BondFunds101</v>
      </c>
      <c r="E9095" s="8" t="s">
        <v>650</v>
      </c>
      <c r="F9095" s="8" t="s">
        <v>891</v>
      </c>
    </row>
    <row r="9096" spans="1:6" ht="60" x14ac:dyDescent="0.25">
      <c r="A9096" s="8" t="s">
        <v>125</v>
      </c>
      <c r="B9096" s="8" t="s">
        <v>134</v>
      </c>
      <c r="C9096" s="8" t="str">
        <f>IFERROR(_xlfn.XLOOKUP(TRIM(B9096),Lookup!$B$2:$B$1000,Lookup!$C$2:$C$1000),"")</f>
        <v>Debt</v>
      </c>
      <c r="D9096" s="8" t="str">
        <f>IFERROR(INDEX('nav master'!$C:$C, MATCH(B9096, 'nav master'!$B:$B, 0)), "")</f>
        <v>ULIF05601/08/13BondFunds101</v>
      </c>
      <c r="E9096" s="8" t="s">
        <v>652</v>
      </c>
      <c r="F9096" s="8" t="s">
        <v>892</v>
      </c>
    </row>
    <row r="9097" spans="1:6" ht="60" x14ac:dyDescent="0.25">
      <c r="A9097" s="8" t="s">
        <v>125</v>
      </c>
      <c r="B9097" s="8" t="s">
        <v>134</v>
      </c>
      <c r="C9097" s="8" t="str">
        <f>IFERROR(_xlfn.XLOOKUP(TRIM(B9097),Lookup!$B$2:$B$1000,Lookup!$C$2:$C$1000),"")</f>
        <v>Debt</v>
      </c>
      <c r="D9097" s="8" t="str">
        <f>IFERROR(INDEX('nav master'!$C:$C, MATCH(B9097, 'nav master'!$B:$B, 0)), "")</f>
        <v>ULIF05601/08/13BondFunds101</v>
      </c>
      <c r="E9097" s="8" t="s">
        <v>654</v>
      </c>
      <c r="F9097" s="8" t="s">
        <v>893</v>
      </c>
    </row>
    <row r="9098" spans="1:6" ht="60" x14ac:dyDescent="0.25">
      <c r="A9098" s="8" t="s">
        <v>125</v>
      </c>
      <c r="B9098" s="8" t="s">
        <v>134</v>
      </c>
      <c r="C9098" s="8" t="str">
        <f>IFERROR(_xlfn.XLOOKUP(TRIM(B9098),Lookup!$B$2:$B$1000,Lookup!$C$2:$C$1000),"")</f>
        <v>Debt</v>
      </c>
      <c r="D9098" s="8" t="str">
        <f>IFERROR(INDEX('nav master'!$C:$C, MATCH(B9098, 'nav master'!$B:$B, 0)), "")</f>
        <v>ULIF05601/08/13BondFunds101</v>
      </c>
      <c r="E9098" s="8" t="s">
        <v>656</v>
      </c>
      <c r="F9098" s="8" t="s">
        <v>894</v>
      </c>
    </row>
    <row r="9099" spans="1:6" ht="60" x14ac:dyDescent="0.25">
      <c r="A9099" s="8" t="s">
        <v>125</v>
      </c>
      <c r="B9099" s="8" t="s">
        <v>134</v>
      </c>
      <c r="C9099" s="8" t="str">
        <f>IFERROR(_xlfn.XLOOKUP(TRIM(B9099),Lookup!$B$2:$B$1000,Lookup!$C$2:$C$1000),"")</f>
        <v>Debt</v>
      </c>
      <c r="D9099" s="8" t="str">
        <f>IFERROR(INDEX('nav master'!$C:$C, MATCH(B9099, 'nav master'!$B:$B, 0)), "")</f>
        <v>ULIF05601/08/13BondFunds101</v>
      </c>
      <c r="E9099" s="8" t="s">
        <v>658</v>
      </c>
      <c r="F9099" s="8" t="s">
        <v>895</v>
      </c>
    </row>
    <row r="9100" spans="1:6" ht="60" x14ac:dyDescent="0.25">
      <c r="A9100" s="8" t="s">
        <v>125</v>
      </c>
      <c r="B9100" s="8" t="s">
        <v>134</v>
      </c>
      <c r="C9100" s="8" t="str">
        <f>IFERROR(_xlfn.XLOOKUP(TRIM(B9100),Lookup!$B$2:$B$1000,Lookup!$C$2:$C$1000),"")</f>
        <v>Debt</v>
      </c>
      <c r="D9100" s="8" t="str">
        <f>IFERROR(INDEX('nav master'!$C:$C, MATCH(B9100, 'nav master'!$B:$B, 0)), "")</f>
        <v>ULIF05601/08/13BondFunds101</v>
      </c>
      <c r="E9100" s="8" t="s">
        <v>660</v>
      </c>
      <c r="F9100" s="8" t="s">
        <v>896</v>
      </c>
    </row>
    <row r="9101" spans="1:6" ht="60" x14ac:dyDescent="0.25">
      <c r="A9101" s="8" t="s">
        <v>125</v>
      </c>
      <c r="B9101" s="8" t="s">
        <v>134</v>
      </c>
      <c r="C9101" s="8" t="str">
        <f>IFERROR(_xlfn.XLOOKUP(TRIM(B9101),Lookup!$B$2:$B$1000,Lookup!$C$2:$C$1000),"")</f>
        <v>Debt</v>
      </c>
      <c r="D9101" s="8" t="str">
        <f>IFERROR(INDEX('nav master'!$C:$C, MATCH(B9101, 'nav master'!$B:$B, 0)), "")</f>
        <v>ULIF05601/08/13BondFunds101</v>
      </c>
      <c r="E9101" s="8" t="s">
        <v>662</v>
      </c>
      <c r="F9101" s="8" t="s">
        <v>897</v>
      </c>
    </row>
    <row r="9102" spans="1:6" ht="60" x14ac:dyDescent="0.25">
      <c r="A9102" s="8" t="s">
        <v>125</v>
      </c>
      <c r="B9102" s="8" t="s">
        <v>134</v>
      </c>
      <c r="C9102" s="8" t="str">
        <f>IFERROR(_xlfn.XLOOKUP(TRIM(B9102),Lookup!$B$2:$B$1000,Lookup!$C$2:$C$1000),"")</f>
        <v>Debt</v>
      </c>
      <c r="D9102" s="8" t="str">
        <f>IFERROR(INDEX('nav master'!$C:$C, MATCH(B9102, 'nav master'!$B:$B, 0)), "")</f>
        <v>ULIF05601/08/13BondFunds101</v>
      </c>
      <c r="E9102" s="8" t="s">
        <v>664</v>
      </c>
      <c r="F9102" s="8" t="s">
        <v>898</v>
      </c>
    </row>
    <row r="9103" spans="1:6" ht="60" x14ac:dyDescent="0.25">
      <c r="A9103" s="8" t="s">
        <v>125</v>
      </c>
      <c r="B9103" s="8" t="s">
        <v>134</v>
      </c>
      <c r="C9103" s="8" t="str">
        <f>IFERROR(_xlfn.XLOOKUP(TRIM(B9103),Lookup!$B$2:$B$1000,Lookup!$C$2:$C$1000),"")</f>
        <v>Debt</v>
      </c>
      <c r="D9103" s="8" t="str">
        <f>IFERROR(INDEX('nav master'!$C:$C, MATCH(B9103, 'nav master'!$B:$B, 0)), "")</f>
        <v>ULIF05601/08/13BondFunds101</v>
      </c>
      <c r="E9103" s="8" t="s">
        <v>4892</v>
      </c>
      <c r="F9103" s="8" t="s">
        <v>4907</v>
      </c>
    </row>
    <row r="9104" spans="1:6" ht="60" x14ac:dyDescent="0.25">
      <c r="A9104" s="8" t="s">
        <v>125</v>
      </c>
      <c r="B9104" s="8" t="s">
        <v>134</v>
      </c>
      <c r="C9104" s="8" t="str">
        <f>IFERROR(_xlfn.XLOOKUP(TRIM(B9104),Lookup!$B$2:$B$1000,Lookup!$C$2:$C$1000),"")</f>
        <v>Debt</v>
      </c>
      <c r="D9104" s="8" t="str">
        <f>IFERROR(INDEX('nav master'!$C:$C, MATCH(B9104, 'nav master'!$B:$B, 0)), "")</f>
        <v>ULIF05601/08/13BondFunds101</v>
      </c>
      <c r="E9104" s="8" t="s">
        <v>4894</v>
      </c>
      <c r="F9104" s="8" t="s">
        <v>4908</v>
      </c>
    </row>
    <row r="9105" spans="1:6" ht="60" x14ac:dyDescent="0.25">
      <c r="A9105" s="8" t="s">
        <v>125</v>
      </c>
      <c r="B9105" s="8" t="s">
        <v>134</v>
      </c>
      <c r="C9105" s="8" t="str">
        <f>IFERROR(_xlfn.XLOOKUP(TRIM(B9105),Lookup!$B$2:$B$1000,Lookup!$C$2:$C$1000),"")</f>
        <v>Debt</v>
      </c>
      <c r="D9105" s="8" t="str">
        <f>IFERROR(INDEX('nav master'!$C:$C, MATCH(B9105, 'nav master'!$B:$B, 0)), "")</f>
        <v>ULIF05601/08/13BondFunds101</v>
      </c>
      <c r="E9105" s="8" t="s">
        <v>4896</v>
      </c>
      <c r="F9105" s="8" t="s">
        <v>4909</v>
      </c>
    </row>
    <row r="9106" spans="1:6" ht="60" x14ac:dyDescent="0.25">
      <c r="A9106" s="8" t="s">
        <v>125</v>
      </c>
      <c r="B9106" s="8" t="s">
        <v>134</v>
      </c>
      <c r="C9106" s="8" t="str">
        <f>IFERROR(_xlfn.XLOOKUP(TRIM(B9106),Lookup!$B$2:$B$1000,Lookup!$C$2:$C$1000),"")</f>
        <v>Debt</v>
      </c>
      <c r="D9106" s="8" t="str">
        <f>IFERROR(INDEX('nav master'!$C:$C, MATCH(B9106, 'nav master'!$B:$B, 0)), "")</f>
        <v>ULIF05601/08/13BondFunds101</v>
      </c>
      <c r="E9106" s="8" t="s">
        <v>4898</v>
      </c>
      <c r="F9106" s="8" t="s">
        <v>4910</v>
      </c>
    </row>
    <row r="9107" spans="1:6" ht="60" x14ac:dyDescent="0.25">
      <c r="A9107" s="8" t="s">
        <v>125</v>
      </c>
      <c r="B9107" s="8" t="s">
        <v>134</v>
      </c>
      <c r="C9107" s="8" t="str">
        <f>IFERROR(_xlfn.XLOOKUP(TRIM(B9107),Lookup!$B$2:$B$1000,Lookup!$C$2:$C$1000),"")</f>
        <v>Debt</v>
      </c>
      <c r="D9107" s="8" t="str">
        <f>IFERROR(INDEX('nav master'!$C:$C, MATCH(B9107, 'nav master'!$B:$B, 0)), "")</f>
        <v>ULIF05601/08/13BondFunds101</v>
      </c>
      <c r="E9107" s="8" t="s">
        <v>4900</v>
      </c>
      <c r="F9107" s="8" t="s">
        <v>4911</v>
      </c>
    </row>
    <row r="9108" spans="1:6" ht="60" x14ac:dyDescent="0.25">
      <c r="A9108" s="8" t="s">
        <v>125</v>
      </c>
      <c r="B9108" s="8" t="s">
        <v>134</v>
      </c>
      <c r="C9108" s="8" t="str">
        <f>IFERROR(_xlfn.XLOOKUP(TRIM(B9108),Lookup!$B$2:$B$1000,Lookup!$C$2:$C$1000),"")</f>
        <v>Debt</v>
      </c>
      <c r="D9108" s="8" t="str">
        <f>IFERROR(INDEX('nav master'!$C:$C, MATCH(B9108, 'nav master'!$B:$B, 0)), "")</f>
        <v>ULIF05601/08/13BondFunds101</v>
      </c>
      <c r="E9108" s="8" t="s">
        <v>4902</v>
      </c>
      <c r="F9108" s="8" t="s">
        <v>4912</v>
      </c>
    </row>
    <row r="9109" spans="1:6" ht="60" x14ac:dyDescent="0.25">
      <c r="A9109" s="8" t="s">
        <v>125</v>
      </c>
      <c r="B9109" s="8" t="s">
        <v>134</v>
      </c>
      <c r="C9109" s="8" t="str">
        <f>IFERROR(_xlfn.XLOOKUP(TRIM(B9109),Lookup!$B$2:$B$1000,Lookup!$C$2:$C$1000),"")</f>
        <v>Debt</v>
      </c>
      <c r="D9109" s="8" t="str">
        <f>IFERROR(INDEX('nav master'!$C:$C, MATCH(B9109, 'nav master'!$B:$B, 0)), "")</f>
        <v>ULIF05601/08/13BondFunds101</v>
      </c>
      <c r="E9109" s="8" t="s">
        <v>4903</v>
      </c>
      <c r="F9109" s="8" t="s">
        <v>4913</v>
      </c>
    </row>
    <row r="9110" spans="1:6" ht="60" x14ac:dyDescent="0.25">
      <c r="A9110" s="8" t="s">
        <v>125</v>
      </c>
      <c r="B9110" s="8" t="s">
        <v>134</v>
      </c>
      <c r="C9110" s="8" t="str">
        <f>IFERROR(_xlfn.XLOOKUP(TRIM(B9110),Lookup!$B$2:$B$1000,Lookup!$C$2:$C$1000),"")</f>
        <v>Debt</v>
      </c>
      <c r="D9110" s="8" t="str">
        <f>IFERROR(INDEX('nav master'!$C:$C, MATCH(B9110, 'nav master'!$B:$B, 0)), "")</f>
        <v>ULIF05601/08/13BondFunds101</v>
      </c>
      <c r="E9110" s="8" t="s">
        <v>4905</v>
      </c>
      <c r="F9110" s="8" t="s">
        <v>4914</v>
      </c>
    </row>
    <row r="9111" spans="1:6" ht="60" x14ac:dyDescent="0.25">
      <c r="A9111" s="8" t="s">
        <v>125</v>
      </c>
      <c r="B9111" s="8" t="s">
        <v>136</v>
      </c>
      <c r="C9111" s="8" t="str">
        <f>IFERROR(_xlfn.XLOOKUP(TRIM(B9111),Lookup!$B$2:$B$1000,Lookup!$C$2:$C$1000),"")</f>
        <v>Equity</v>
      </c>
      <c r="D9111" s="8" t="str">
        <f>IFERROR(INDEX('nav master'!$C:$C, MATCH(B9111, 'nav master'!$B:$B, 0)), "")</f>
        <v>ULIF06618/01/18DiscvryFnd101</v>
      </c>
      <c r="E9111" s="8" t="s">
        <v>189</v>
      </c>
      <c r="F9111" s="8" t="s">
        <v>899</v>
      </c>
    </row>
    <row r="9112" spans="1:6" ht="60" x14ac:dyDescent="0.25">
      <c r="A9112" s="8" t="s">
        <v>125</v>
      </c>
      <c r="B9112" s="8" t="s">
        <v>136</v>
      </c>
      <c r="C9112" s="8" t="str">
        <f>IFERROR(_xlfn.XLOOKUP(TRIM(B9112),Lookup!$B$2:$B$1000,Lookup!$C$2:$C$1000),"")</f>
        <v>Equity</v>
      </c>
      <c r="D9112" s="8" t="str">
        <f>IFERROR(INDEX('nav master'!$C:$C, MATCH(B9112, 'nav master'!$B:$B, 0)), "")</f>
        <v>ULIF06618/01/18DiscvryFnd101</v>
      </c>
      <c r="E9112" s="8" t="s">
        <v>191</v>
      </c>
      <c r="F9112" s="8" t="s">
        <v>900</v>
      </c>
    </row>
    <row r="9113" spans="1:6" ht="60" x14ac:dyDescent="0.25">
      <c r="A9113" s="8" t="s">
        <v>125</v>
      </c>
      <c r="B9113" s="8" t="s">
        <v>136</v>
      </c>
      <c r="C9113" s="8" t="str">
        <f>IFERROR(_xlfn.XLOOKUP(TRIM(B9113),Lookup!$B$2:$B$1000,Lookup!$C$2:$C$1000),"")</f>
        <v>Equity</v>
      </c>
      <c r="D9113" s="8" t="str">
        <f>IFERROR(INDEX('nav master'!$C:$C, MATCH(B9113, 'nav master'!$B:$B, 0)), "")</f>
        <v>ULIF06618/01/18DiscvryFnd101</v>
      </c>
      <c r="E9113" s="8" t="s">
        <v>193</v>
      </c>
      <c r="F9113" s="8" t="s">
        <v>901</v>
      </c>
    </row>
    <row r="9114" spans="1:6" ht="60" x14ac:dyDescent="0.25">
      <c r="A9114" s="8" t="s">
        <v>125</v>
      </c>
      <c r="B9114" s="8" t="s">
        <v>136</v>
      </c>
      <c r="C9114" s="8" t="str">
        <f>IFERROR(_xlfn.XLOOKUP(TRIM(B9114),Lookup!$B$2:$B$1000,Lookup!$C$2:$C$1000),"")</f>
        <v>Equity</v>
      </c>
      <c r="D9114" s="8" t="str">
        <f>IFERROR(INDEX('nav master'!$C:$C, MATCH(B9114, 'nav master'!$B:$B, 0)), "")</f>
        <v>ULIF06618/01/18DiscvryFnd101</v>
      </c>
      <c r="E9114" s="8" t="s">
        <v>195</v>
      </c>
      <c r="F9114" s="8" t="s">
        <v>902</v>
      </c>
    </row>
    <row r="9115" spans="1:6" ht="60" x14ac:dyDescent="0.25">
      <c r="A9115" s="8" t="s">
        <v>125</v>
      </c>
      <c r="B9115" s="8" t="s">
        <v>136</v>
      </c>
      <c r="C9115" s="8" t="str">
        <f>IFERROR(_xlfn.XLOOKUP(TRIM(B9115),Lookup!$B$2:$B$1000,Lookup!$C$2:$C$1000),"")</f>
        <v>Equity</v>
      </c>
      <c r="D9115" s="8" t="str">
        <f>IFERROR(INDEX('nav master'!$C:$C, MATCH(B9115, 'nav master'!$B:$B, 0)), "")</f>
        <v>ULIF06618/01/18DiscvryFnd101</v>
      </c>
      <c r="E9115" s="8" t="s">
        <v>197</v>
      </c>
      <c r="F9115" s="8" t="s">
        <v>903</v>
      </c>
    </row>
    <row r="9116" spans="1:6" ht="60" x14ac:dyDescent="0.25">
      <c r="A9116" s="8" t="s">
        <v>125</v>
      </c>
      <c r="B9116" s="8" t="s">
        <v>136</v>
      </c>
      <c r="C9116" s="8" t="str">
        <f>IFERROR(_xlfn.XLOOKUP(TRIM(B9116),Lookup!$B$2:$B$1000,Lookup!$C$2:$C$1000),"")</f>
        <v>Equity</v>
      </c>
      <c r="D9116" s="8" t="str">
        <f>IFERROR(INDEX('nav master'!$C:$C, MATCH(B9116, 'nav master'!$B:$B, 0)), "")</f>
        <v>ULIF06618/01/18DiscvryFnd101</v>
      </c>
      <c r="E9116" s="8" t="s">
        <v>199</v>
      </c>
      <c r="F9116" s="8" t="s">
        <v>904</v>
      </c>
    </row>
    <row r="9117" spans="1:6" ht="60" x14ac:dyDescent="0.25">
      <c r="A9117" s="8" t="s">
        <v>125</v>
      </c>
      <c r="B9117" s="8" t="s">
        <v>136</v>
      </c>
      <c r="C9117" s="8" t="str">
        <f>IFERROR(_xlfn.XLOOKUP(TRIM(B9117),Lookup!$B$2:$B$1000,Lookup!$C$2:$C$1000),"")</f>
        <v>Equity</v>
      </c>
      <c r="D9117" s="8" t="str">
        <f>IFERROR(INDEX('nav master'!$C:$C, MATCH(B9117, 'nav master'!$B:$B, 0)), "")</f>
        <v>ULIF06618/01/18DiscvryFnd101</v>
      </c>
      <c r="E9117" s="8" t="s">
        <v>201</v>
      </c>
      <c r="F9117" s="8" t="s">
        <v>905</v>
      </c>
    </row>
    <row r="9118" spans="1:6" ht="60" x14ac:dyDescent="0.25">
      <c r="A9118" s="8" t="s">
        <v>125</v>
      </c>
      <c r="B9118" s="8" t="s">
        <v>136</v>
      </c>
      <c r="C9118" s="8" t="str">
        <f>IFERROR(_xlfn.XLOOKUP(TRIM(B9118),Lookup!$B$2:$B$1000,Lookup!$C$2:$C$1000),"")</f>
        <v>Equity</v>
      </c>
      <c r="D9118" s="8" t="str">
        <f>IFERROR(INDEX('nav master'!$C:$C, MATCH(B9118, 'nav master'!$B:$B, 0)), "")</f>
        <v>ULIF06618/01/18DiscvryFnd101</v>
      </c>
      <c r="E9118" s="8" t="s">
        <v>203</v>
      </c>
      <c r="F9118" s="8" t="s">
        <v>906</v>
      </c>
    </row>
    <row r="9119" spans="1:6" ht="60" x14ac:dyDescent="0.25">
      <c r="A9119" s="8" t="s">
        <v>125</v>
      </c>
      <c r="B9119" s="8" t="s">
        <v>136</v>
      </c>
      <c r="C9119" s="8" t="str">
        <f>IFERROR(_xlfn.XLOOKUP(TRIM(B9119),Lookup!$B$2:$B$1000,Lookup!$C$2:$C$1000),"")</f>
        <v>Equity</v>
      </c>
      <c r="D9119" s="8" t="str">
        <f>IFERROR(INDEX('nav master'!$C:$C, MATCH(B9119, 'nav master'!$B:$B, 0)), "")</f>
        <v>ULIF06618/01/18DiscvryFnd101</v>
      </c>
      <c r="E9119" s="8" t="s">
        <v>205</v>
      </c>
      <c r="F9119" s="8" t="s">
        <v>907</v>
      </c>
    </row>
    <row r="9120" spans="1:6" ht="60" x14ac:dyDescent="0.25">
      <c r="A9120" s="8" t="s">
        <v>125</v>
      </c>
      <c r="B9120" s="8" t="s">
        <v>136</v>
      </c>
      <c r="C9120" s="8" t="str">
        <f>IFERROR(_xlfn.XLOOKUP(TRIM(B9120),Lookup!$B$2:$B$1000,Lookup!$C$2:$C$1000),"")</f>
        <v>Equity</v>
      </c>
      <c r="D9120" s="8" t="str">
        <f>IFERROR(INDEX('nav master'!$C:$C, MATCH(B9120, 'nav master'!$B:$B, 0)), "")</f>
        <v>ULIF06618/01/18DiscvryFnd101</v>
      </c>
      <c r="E9120" s="8" t="s">
        <v>207</v>
      </c>
      <c r="F9120" s="8" t="s">
        <v>908</v>
      </c>
    </row>
    <row r="9121" spans="1:6" ht="60" x14ac:dyDescent="0.25">
      <c r="A9121" s="8" t="s">
        <v>125</v>
      </c>
      <c r="B9121" s="8" t="s">
        <v>136</v>
      </c>
      <c r="C9121" s="8" t="str">
        <f>IFERROR(_xlfn.XLOOKUP(TRIM(B9121),Lookup!$B$2:$B$1000,Lookup!$C$2:$C$1000),"")</f>
        <v>Equity</v>
      </c>
      <c r="D9121" s="8" t="str">
        <f>IFERROR(INDEX('nav master'!$C:$C, MATCH(B9121, 'nav master'!$B:$B, 0)), "")</f>
        <v>ULIF06618/01/18DiscvryFnd101</v>
      </c>
      <c r="E9121" s="8" t="s">
        <v>209</v>
      </c>
      <c r="F9121" s="8" t="s">
        <v>909</v>
      </c>
    </row>
    <row r="9122" spans="1:6" ht="60" x14ac:dyDescent="0.25">
      <c r="A9122" s="8" t="s">
        <v>125</v>
      </c>
      <c r="B9122" s="8" t="s">
        <v>136</v>
      </c>
      <c r="C9122" s="8" t="str">
        <f>IFERROR(_xlfn.XLOOKUP(TRIM(B9122),Lookup!$B$2:$B$1000,Lookup!$C$2:$C$1000),"")</f>
        <v>Equity</v>
      </c>
      <c r="D9122" s="8" t="str">
        <f>IFERROR(INDEX('nav master'!$C:$C, MATCH(B9122, 'nav master'!$B:$B, 0)), "")</f>
        <v>ULIF06618/01/18DiscvryFnd101</v>
      </c>
      <c r="E9122" s="8" t="s">
        <v>211</v>
      </c>
      <c r="F9122" s="8" t="s">
        <v>910</v>
      </c>
    </row>
    <row r="9123" spans="1:6" ht="60" x14ac:dyDescent="0.25">
      <c r="A9123" s="8" t="s">
        <v>125</v>
      </c>
      <c r="B9123" s="8" t="s">
        <v>136</v>
      </c>
      <c r="C9123" s="8" t="str">
        <f>IFERROR(_xlfn.XLOOKUP(TRIM(B9123),Lookup!$B$2:$B$1000,Lookup!$C$2:$C$1000),"")</f>
        <v>Equity</v>
      </c>
      <c r="D9123" s="8" t="str">
        <f>IFERROR(INDEX('nav master'!$C:$C, MATCH(B9123, 'nav master'!$B:$B, 0)), "")</f>
        <v>ULIF06618/01/18DiscvryFnd101</v>
      </c>
      <c r="E9123" s="8" t="s">
        <v>213</v>
      </c>
      <c r="F9123" s="8" t="s">
        <v>911</v>
      </c>
    </row>
    <row r="9124" spans="1:6" ht="60" x14ac:dyDescent="0.25">
      <c r="A9124" s="8" t="s">
        <v>125</v>
      </c>
      <c r="B9124" s="8" t="s">
        <v>136</v>
      </c>
      <c r="C9124" s="8" t="str">
        <f>IFERROR(_xlfn.XLOOKUP(TRIM(B9124),Lookup!$B$2:$B$1000,Lookup!$C$2:$C$1000),"")</f>
        <v>Equity</v>
      </c>
      <c r="D9124" s="8" t="str">
        <f>IFERROR(INDEX('nav master'!$C:$C, MATCH(B9124, 'nav master'!$B:$B, 0)), "")</f>
        <v>ULIF06618/01/18DiscvryFnd101</v>
      </c>
      <c r="E9124" s="8" t="s">
        <v>215</v>
      </c>
      <c r="F9124" s="8" t="s">
        <v>912</v>
      </c>
    </row>
    <row r="9125" spans="1:6" ht="60" x14ac:dyDescent="0.25">
      <c r="A9125" s="8" t="s">
        <v>125</v>
      </c>
      <c r="B9125" s="8" t="s">
        <v>136</v>
      </c>
      <c r="C9125" s="8" t="str">
        <f>IFERROR(_xlfn.XLOOKUP(TRIM(B9125),Lookup!$B$2:$B$1000,Lookup!$C$2:$C$1000),"")</f>
        <v>Equity</v>
      </c>
      <c r="D9125" s="8" t="str">
        <f>IFERROR(INDEX('nav master'!$C:$C, MATCH(B9125, 'nav master'!$B:$B, 0)), "")</f>
        <v>ULIF06618/01/18DiscvryFnd101</v>
      </c>
      <c r="E9125" s="8" t="s">
        <v>217</v>
      </c>
      <c r="F9125" s="8" t="s">
        <v>913</v>
      </c>
    </row>
    <row r="9126" spans="1:6" ht="60" x14ac:dyDescent="0.25">
      <c r="A9126" s="8" t="s">
        <v>125</v>
      </c>
      <c r="B9126" s="8" t="s">
        <v>136</v>
      </c>
      <c r="C9126" s="8" t="str">
        <f>IFERROR(_xlfn.XLOOKUP(TRIM(B9126),Lookup!$B$2:$B$1000,Lookup!$C$2:$C$1000),"")</f>
        <v>Equity</v>
      </c>
      <c r="D9126" s="8" t="str">
        <f>IFERROR(INDEX('nav master'!$C:$C, MATCH(B9126, 'nav master'!$B:$B, 0)), "")</f>
        <v>ULIF06618/01/18DiscvryFnd101</v>
      </c>
      <c r="E9126" s="8" t="s">
        <v>219</v>
      </c>
      <c r="F9126" s="8" t="s">
        <v>914</v>
      </c>
    </row>
    <row r="9127" spans="1:6" ht="60" x14ac:dyDescent="0.25">
      <c r="A9127" s="8" t="s">
        <v>125</v>
      </c>
      <c r="B9127" s="8" t="s">
        <v>136</v>
      </c>
      <c r="C9127" s="8" t="str">
        <f>IFERROR(_xlfn.XLOOKUP(TRIM(B9127),Lookup!$B$2:$B$1000,Lookup!$C$2:$C$1000),"")</f>
        <v>Equity</v>
      </c>
      <c r="D9127" s="8" t="str">
        <f>IFERROR(INDEX('nav master'!$C:$C, MATCH(B9127, 'nav master'!$B:$B, 0)), "")</f>
        <v>ULIF06618/01/18DiscvryFnd101</v>
      </c>
      <c r="E9127" s="8" t="s">
        <v>221</v>
      </c>
      <c r="F9127" s="8" t="s">
        <v>915</v>
      </c>
    </row>
    <row r="9128" spans="1:6" ht="60" x14ac:dyDescent="0.25">
      <c r="A9128" s="8" t="s">
        <v>125</v>
      </c>
      <c r="B9128" s="8" t="s">
        <v>136</v>
      </c>
      <c r="C9128" s="8" t="str">
        <f>IFERROR(_xlfn.XLOOKUP(TRIM(B9128),Lookup!$B$2:$B$1000,Lookup!$C$2:$C$1000),"")</f>
        <v>Equity</v>
      </c>
      <c r="D9128" s="8" t="str">
        <f>IFERROR(INDEX('nav master'!$C:$C, MATCH(B9128, 'nav master'!$B:$B, 0)), "")</f>
        <v>ULIF06618/01/18DiscvryFnd101</v>
      </c>
      <c r="E9128" s="8" t="s">
        <v>223</v>
      </c>
      <c r="F9128" s="8" t="s">
        <v>916</v>
      </c>
    </row>
    <row r="9129" spans="1:6" ht="60" x14ac:dyDescent="0.25">
      <c r="A9129" s="8" t="s">
        <v>125</v>
      </c>
      <c r="B9129" s="8" t="s">
        <v>136</v>
      </c>
      <c r="C9129" s="8" t="str">
        <f>IFERROR(_xlfn.XLOOKUP(TRIM(B9129),Lookup!$B$2:$B$1000,Lookup!$C$2:$C$1000),"")</f>
        <v>Equity</v>
      </c>
      <c r="D9129" s="8" t="str">
        <f>IFERROR(INDEX('nav master'!$C:$C, MATCH(B9129, 'nav master'!$B:$B, 0)), "")</f>
        <v>ULIF06618/01/18DiscvryFnd101</v>
      </c>
      <c r="E9129" s="8" t="s">
        <v>225</v>
      </c>
      <c r="F9129" s="8" t="s">
        <v>917</v>
      </c>
    </row>
    <row r="9130" spans="1:6" ht="60" x14ac:dyDescent="0.25">
      <c r="A9130" s="8" t="s">
        <v>125</v>
      </c>
      <c r="B9130" s="8" t="s">
        <v>136</v>
      </c>
      <c r="C9130" s="8" t="str">
        <f>IFERROR(_xlfn.XLOOKUP(TRIM(B9130),Lookup!$B$2:$B$1000,Lookup!$C$2:$C$1000),"")</f>
        <v>Equity</v>
      </c>
      <c r="D9130" s="8" t="str">
        <f>IFERROR(INDEX('nav master'!$C:$C, MATCH(B9130, 'nav master'!$B:$B, 0)), "")</f>
        <v>ULIF06618/01/18DiscvryFnd101</v>
      </c>
      <c r="E9130" s="8" t="s">
        <v>227</v>
      </c>
      <c r="F9130" s="8" t="s">
        <v>918</v>
      </c>
    </row>
    <row r="9131" spans="1:6" ht="60" x14ac:dyDescent="0.25">
      <c r="A9131" s="8" t="s">
        <v>125</v>
      </c>
      <c r="B9131" s="8" t="s">
        <v>136</v>
      </c>
      <c r="C9131" s="8" t="str">
        <f>IFERROR(_xlfn.XLOOKUP(TRIM(B9131),Lookup!$B$2:$B$1000,Lookup!$C$2:$C$1000),"")</f>
        <v>Equity</v>
      </c>
      <c r="D9131" s="8" t="str">
        <f>IFERROR(INDEX('nav master'!$C:$C, MATCH(B9131, 'nav master'!$B:$B, 0)), "")</f>
        <v>ULIF06618/01/18DiscvryFnd101</v>
      </c>
      <c r="E9131" s="8" t="s">
        <v>229</v>
      </c>
      <c r="F9131" s="8" t="s">
        <v>919</v>
      </c>
    </row>
    <row r="9132" spans="1:6" ht="60" x14ac:dyDescent="0.25">
      <c r="A9132" s="8" t="s">
        <v>125</v>
      </c>
      <c r="B9132" s="8" t="s">
        <v>136</v>
      </c>
      <c r="C9132" s="8" t="str">
        <f>IFERROR(_xlfn.XLOOKUP(TRIM(B9132),Lookup!$B$2:$B$1000,Lookup!$C$2:$C$1000),"")</f>
        <v>Equity</v>
      </c>
      <c r="D9132" s="8" t="str">
        <f>IFERROR(INDEX('nav master'!$C:$C, MATCH(B9132, 'nav master'!$B:$B, 0)), "")</f>
        <v>ULIF06618/01/18DiscvryFnd101</v>
      </c>
      <c r="E9132" s="8" t="s">
        <v>231</v>
      </c>
      <c r="F9132" s="8" t="s">
        <v>920</v>
      </c>
    </row>
    <row r="9133" spans="1:6" ht="60" x14ac:dyDescent="0.25">
      <c r="A9133" s="8" t="s">
        <v>125</v>
      </c>
      <c r="B9133" s="8" t="s">
        <v>136</v>
      </c>
      <c r="C9133" s="8" t="str">
        <f>IFERROR(_xlfn.XLOOKUP(TRIM(B9133),Lookup!$B$2:$B$1000,Lookup!$C$2:$C$1000),"")</f>
        <v>Equity</v>
      </c>
      <c r="D9133" s="8" t="str">
        <f>IFERROR(INDEX('nav master'!$C:$C, MATCH(B9133, 'nav master'!$B:$B, 0)), "")</f>
        <v>ULIF06618/01/18DiscvryFnd101</v>
      </c>
      <c r="E9133" s="8" t="s">
        <v>233</v>
      </c>
      <c r="F9133" s="8" t="s">
        <v>921</v>
      </c>
    </row>
    <row r="9134" spans="1:6" ht="60" x14ac:dyDescent="0.25">
      <c r="A9134" s="8" t="s">
        <v>125</v>
      </c>
      <c r="B9134" s="8" t="s">
        <v>136</v>
      </c>
      <c r="C9134" s="8" t="str">
        <f>IFERROR(_xlfn.XLOOKUP(TRIM(B9134),Lookup!$B$2:$B$1000,Lookup!$C$2:$C$1000),"")</f>
        <v>Equity</v>
      </c>
      <c r="D9134" s="8" t="str">
        <f>IFERROR(INDEX('nav master'!$C:$C, MATCH(B9134, 'nav master'!$B:$B, 0)), "")</f>
        <v>ULIF06618/01/18DiscvryFnd101</v>
      </c>
      <c r="E9134" s="8" t="s">
        <v>235</v>
      </c>
      <c r="F9134" s="8" t="s">
        <v>922</v>
      </c>
    </row>
    <row r="9135" spans="1:6" ht="60" x14ac:dyDescent="0.25">
      <c r="A9135" s="8" t="s">
        <v>125</v>
      </c>
      <c r="B9135" s="8" t="s">
        <v>136</v>
      </c>
      <c r="C9135" s="8" t="str">
        <f>IFERROR(_xlfn.XLOOKUP(TRIM(B9135),Lookup!$B$2:$B$1000,Lookup!$C$2:$C$1000),"")</f>
        <v>Equity</v>
      </c>
      <c r="D9135" s="8" t="str">
        <f>IFERROR(INDEX('nav master'!$C:$C, MATCH(B9135, 'nav master'!$B:$B, 0)), "")</f>
        <v>ULIF06618/01/18DiscvryFnd101</v>
      </c>
      <c r="E9135" s="8" t="s">
        <v>237</v>
      </c>
      <c r="F9135" s="8" t="s">
        <v>923</v>
      </c>
    </row>
    <row r="9136" spans="1:6" ht="60" x14ac:dyDescent="0.25">
      <c r="A9136" s="8" t="s">
        <v>125</v>
      </c>
      <c r="B9136" s="8" t="s">
        <v>136</v>
      </c>
      <c r="C9136" s="8" t="str">
        <f>IFERROR(_xlfn.XLOOKUP(TRIM(B9136),Lookup!$B$2:$B$1000,Lookup!$C$2:$C$1000),"")</f>
        <v>Equity</v>
      </c>
      <c r="D9136" s="8" t="str">
        <f>IFERROR(INDEX('nav master'!$C:$C, MATCH(B9136, 'nav master'!$B:$B, 0)), "")</f>
        <v>ULIF06618/01/18DiscvryFnd101</v>
      </c>
      <c r="E9136" s="8" t="s">
        <v>239</v>
      </c>
      <c r="F9136" s="8" t="s">
        <v>924</v>
      </c>
    </row>
    <row r="9137" spans="1:6" ht="60" x14ac:dyDescent="0.25">
      <c r="A9137" s="8" t="s">
        <v>125</v>
      </c>
      <c r="B9137" s="8" t="s">
        <v>136</v>
      </c>
      <c r="C9137" s="8" t="str">
        <f>IFERROR(_xlfn.XLOOKUP(TRIM(B9137),Lookup!$B$2:$B$1000,Lookup!$C$2:$C$1000),"")</f>
        <v>Equity</v>
      </c>
      <c r="D9137" s="8" t="str">
        <f>IFERROR(INDEX('nav master'!$C:$C, MATCH(B9137, 'nav master'!$B:$B, 0)), "")</f>
        <v>ULIF06618/01/18DiscvryFnd101</v>
      </c>
      <c r="E9137" s="8" t="s">
        <v>241</v>
      </c>
      <c r="F9137" s="8" t="s">
        <v>921</v>
      </c>
    </row>
    <row r="9138" spans="1:6" ht="60" x14ac:dyDescent="0.25">
      <c r="A9138" s="8" t="s">
        <v>125</v>
      </c>
      <c r="B9138" s="8" t="s">
        <v>136</v>
      </c>
      <c r="C9138" s="8" t="str">
        <f>IFERROR(_xlfn.XLOOKUP(TRIM(B9138),Lookup!$B$2:$B$1000,Lookup!$C$2:$C$1000),"")</f>
        <v>Equity</v>
      </c>
      <c r="D9138" s="8" t="str">
        <f>IFERROR(INDEX('nav master'!$C:$C, MATCH(B9138, 'nav master'!$B:$B, 0)), "")</f>
        <v>ULIF06618/01/18DiscvryFnd101</v>
      </c>
      <c r="E9138" s="8" t="s">
        <v>243</v>
      </c>
      <c r="F9138" s="8" t="s">
        <v>925</v>
      </c>
    </row>
    <row r="9139" spans="1:6" ht="60" x14ac:dyDescent="0.25">
      <c r="A9139" s="8" t="s">
        <v>125</v>
      </c>
      <c r="B9139" s="8" t="s">
        <v>136</v>
      </c>
      <c r="C9139" s="8" t="str">
        <f>IFERROR(_xlfn.XLOOKUP(TRIM(B9139),Lookup!$B$2:$B$1000,Lookup!$C$2:$C$1000),"")</f>
        <v>Equity</v>
      </c>
      <c r="D9139" s="8" t="str">
        <f>IFERROR(INDEX('nav master'!$C:$C, MATCH(B9139, 'nav master'!$B:$B, 0)), "")</f>
        <v>ULIF06618/01/18DiscvryFnd101</v>
      </c>
      <c r="E9139" s="8" t="s">
        <v>245</v>
      </c>
      <c r="F9139" s="8" t="s">
        <v>926</v>
      </c>
    </row>
    <row r="9140" spans="1:6" ht="60" x14ac:dyDescent="0.25">
      <c r="A9140" s="8" t="s">
        <v>125</v>
      </c>
      <c r="B9140" s="8" t="s">
        <v>136</v>
      </c>
      <c r="C9140" s="8" t="str">
        <f>IFERROR(_xlfn.XLOOKUP(TRIM(B9140),Lookup!$B$2:$B$1000,Lookup!$C$2:$C$1000),"")</f>
        <v>Equity</v>
      </c>
      <c r="D9140" s="8" t="str">
        <f>IFERROR(INDEX('nav master'!$C:$C, MATCH(B9140, 'nav master'!$B:$B, 0)), "")</f>
        <v>ULIF06618/01/18DiscvryFnd101</v>
      </c>
      <c r="E9140" s="8" t="s">
        <v>247</v>
      </c>
      <c r="F9140" s="8" t="s">
        <v>927</v>
      </c>
    </row>
    <row r="9141" spans="1:6" ht="60" x14ac:dyDescent="0.25">
      <c r="A9141" s="8" t="s">
        <v>125</v>
      </c>
      <c r="B9141" s="8" t="s">
        <v>136</v>
      </c>
      <c r="C9141" s="8" t="str">
        <f>IFERROR(_xlfn.XLOOKUP(TRIM(B9141),Lookup!$B$2:$B$1000,Lookup!$C$2:$C$1000),"")</f>
        <v>Equity</v>
      </c>
      <c r="D9141" s="8" t="str">
        <f>IFERROR(INDEX('nav master'!$C:$C, MATCH(B9141, 'nav master'!$B:$B, 0)), "")</f>
        <v>ULIF06618/01/18DiscvryFnd101</v>
      </c>
      <c r="E9141" s="8" t="s">
        <v>249</v>
      </c>
      <c r="F9141" s="8" t="s">
        <v>928</v>
      </c>
    </row>
    <row r="9142" spans="1:6" ht="60" x14ac:dyDescent="0.25">
      <c r="A9142" s="8" t="s">
        <v>125</v>
      </c>
      <c r="B9142" s="8" t="s">
        <v>136</v>
      </c>
      <c r="C9142" s="8" t="str">
        <f>IFERROR(_xlfn.XLOOKUP(TRIM(B9142),Lookup!$B$2:$B$1000,Lookup!$C$2:$C$1000),"")</f>
        <v>Equity</v>
      </c>
      <c r="D9142" s="8" t="str">
        <f>IFERROR(INDEX('nav master'!$C:$C, MATCH(B9142, 'nav master'!$B:$B, 0)), "")</f>
        <v>ULIF06618/01/18DiscvryFnd101</v>
      </c>
      <c r="E9142" s="8" t="s">
        <v>251</v>
      </c>
      <c r="F9142" s="8" t="s">
        <v>929</v>
      </c>
    </row>
    <row r="9143" spans="1:6" ht="60" x14ac:dyDescent="0.25">
      <c r="A9143" s="8" t="s">
        <v>125</v>
      </c>
      <c r="B9143" s="8" t="s">
        <v>136</v>
      </c>
      <c r="C9143" s="8" t="str">
        <f>IFERROR(_xlfn.XLOOKUP(TRIM(B9143),Lookup!$B$2:$B$1000,Lookup!$C$2:$C$1000),"")</f>
        <v>Equity</v>
      </c>
      <c r="D9143" s="8" t="str">
        <f>IFERROR(INDEX('nav master'!$C:$C, MATCH(B9143, 'nav master'!$B:$B, 0)), "")</f>
        <v>ULIF06618/01/18DiscvryFnd101</v>
      </c>
      <c r="E9143" s="8" t="s">
        <v>253</v>
      </c>
      <c r="F9143" s="8" t="s">
        <v>930</v>
      </c>
    </row>
    <row r="9144" spans="1:6" ht="60" x14ac:dyDescent="0.25">
      <c r="A9144" s="8" t="s">
        <v>125</v>
      </c>
      <c r="B9144" s="8" t="s">
        <v>136</v>
      </c>
      <c r="C9144" s="8" t="str">
        <f>IFERROR(_xlfn.XLOOKUP(TRIM(B9144),Lookup!$B$2:$B$1000,Lookup!$C$2:$C$1000),"")</f>
        <v>Equity</v>
      </c>
      <c r="D9144" s="8" t="str">
        <f>IFERROR(INDEX('nav master'!$C:$C, MATCH(B9144, 'nav master'!$B:$B, 0)), "")</f>
        <v>ULIF06618/01/18DiscvryFnd101</v>
      </c>
      <c r="E9144" s="8" t="s">
        <v>255</v>
      </c>
      <c r="F9144" s="8" t="s">
        <v>931</v>
      </c>
    </row>
    <row r="9145" spans="1:6" ht="60" x14ac:dyDescent="0.25">
      <c r="A9145" s="8" t="s">
        <v>125</v>
      </c>
      <c r="B9145" s="8" t="s">
        <v>136</v>
      </c>
      <c r="C9145" s="8" t="str">
        <f>IFERROR(_xlfn.XLOOKUP(TRIM(B9145),Lookup!$B$2:$B$1000,Lookup!$C$2:$C$1000),"")</f>
        <v>Equity</v>
      </c>
      <c r="D9145" s="8" t="str">
        <f>IFERROR(INDEX('nav master'!$C:$C, MATCH(B9145, 'nav master'!$B:$B, 0)), "")</f>
        <v>ULIF06618/01/18DiscvryFnd101</v>
      </c>
      <c r="E9145" s="8" t="s">
        <v>257</v>
      </c>
      <c r="F9145" s="8" t="s">
        <v>932</v>
      </c>
    </row>
    <row r="9146" spans="1:6" ht="60" x14ac:dyDescent="0.25">
      <c r="A9146" s="8" t="s">
        <v>125</v>
      </c>
      <c r="B9146" s="8" t="s">
        <v>136</v>
      </c>
      <c r="C9146" s="8" t="str">
        <f>IFERROR(_xlfn.XLOOKUP(TRIM(B9146),Lookup!$B$2:$B$1000,Lookup!$C$2:$C$1000),"")</f>
        <v>Equity</v>
      </c>
      <c r="D9146" s="8" t="str">
        <f>IFERROR(INDEX('nav master'!$C:$C, MATCH(B9146, 'nav master'!$B:$B, 0)), "")</f>
        <v>ULIF06618/01/18DiscvryFnd101</v>
      </c>
      <c r="E9146" s="8" t="s">
        <v>259</v>
      </c>
      <c r="F9146" s="8" t="s">
        <v>933</v>
      </c>
    </row>
    <row r="9147" spans="1:6" ht="60" x14ac:dyDescent="0.25">
      <c r="A9147" s="8" t="s">
        <v>125</v>
      </c>
      <c r="B9147" s="8" t="s">
        <v>136</v>
      </c>
      <c r="C9147" s="8" t="str">
        <f>IFERROR(_xlfn.XLOOKUP(TRIM(B9147),Lookup!$B$2:$B$1000,Lookup!$C$2:$C$1000),"")</f>
        <v>Equity</v>
      </c>
      <c r="D9147" s="8" t="str">
        <f>IFERROR(INDEX('nav master'!$C:$C, MATCH(B9147, 'nav master'!$B:$B, 0)), "")</f>
        <v>ULIF06618/01/18DiscvryFnd101</v>
      </c>
      <c r="E9147" s="8" t="s">
        <v>261</v>
      </c>
      <c r="F9147" s="8" t="s">
        <v>934</v>
      </c>
    </row>
    <row r="9148" spans="1:6" ht="60" x14ac:dyDescent="0.25">
      <c r="A9148" s="8" t="s">
        <v>125</v>
      </c>
      <c r="B9148" s="8" t="s">
        <v>136</v>
      </c>
      <c r="C9148" s="8" t="str">
        <f>IFERROR(_xlfn.XLOOKUP(TRIM(B9148),Lookup!$B$2:$B$1000,Lookup!$C$2:$C$1000),"")</f>
        <v>Equity</v>
      </c>
      <c r="D9148" s="8" t="str">
        <f>IFERROR(INDEX('nav master'!$C:$C, MATCH(B9148, 'nav master'!$B:$B, 0)), "")</f>
        <v>ULIF06618/01/18DiscvryFnd101</v>
      </c>
      <c r="E9148" s="8" t="s">
        <v>263</v>
      </c>
      <c r="F9148" s="8" t="s">
        <v>935</v>
      </c>
    </row>
    <row r="9149" spans="1:6" ht="60" x14ac:dyDescent="0.25">
      <c r="A9149" s="8" t="s">
        <v>125</v>
      </c>
      <c r="B9149" s="8" t="s">
        <v>136</v>
      </c>
      <c r="C9149" s="8" t="str">
        <f>IFERROR(_xlfn.XLOOKUP(TRIM(B9149),Lookup!$B$2:$B$1000,Lookup!$C$2:$C$1000),"")</f>
        <v>Equity</v>
      </c>
      <c r="D9149" s="8" t="str">
        <f>IFERROR(INDEX('nav master'!$C:$C, MATCH(B9149, 'nav master'!$B:$B, 0)), "")</f>
        <v>ULIF06618/01/18DiscvryFnd101</v>
      </c>
      <c r="E9149" s="8" t="s">
        <v>265</v>
      </c>
      <c r="F9149" s="8" t="s">
        <v>936</v>
      </c>
    </row>
    <row r="9150" spans="1:6" ht="60" x14ac:dyDescent="0.25">
      <c r="A9150" s="8" t="s">
        <v>125</v>
      </c>
      <c r="B9150" s="8" t="s">
        <v>136</v>
      </c>
      <c r="C9150" s="8" t="str">
        <f>IFERROR(_xlfn.XLOOKUP(TRIM(B9150),Lookup!$B$2:$B$1000,Lookup!$C$2:$C$1000),"")</f>
        <v>Equity</v>
      </c>
      <c r="D9150" s="8" t="str">
        <f>IFERROR(INDEX('nav master'!$C:$C, MATCH(B9150, 'nav master'!$B:$B, 0)), "")</f>
        <v>ULIF06618/01/18DiscvryFnd101</v>
      </c>
      <c r="E9150" s="8" t="s">
        <v>267</v>
      </c>
      <c r="F9150" s="8" t="s">
        <v>937</v>
      </c>
    </row>
    <row r="9151" spans="1:6" ht="60" x14ac:dyDescent="0.25">
      <c r="A9151" s="8" t="s">
        <v>125</v>
      </c>
      <c r="B9151" s="8" t="s">
        <v>136</v>
      </c>
      <c r="C9151" s="8" t="str">
        <f>IFERROR(_xlfn.XLOOKUP(TRIM(B9151),Lookup!$B$2:$B$1000,Lookup!$C$2:$C$1000),"")</f>
        <v>Equity</v>
      </c>
      <c r="D9151" s="8" t="str">
        <f>IFERROR(INDEX('nav master'!$C:$C, MATCH(B9151, 'nav master'!$B:$B, 0)), "")</f>
        <v>ULIF06618/01/18DiscvryFnd101</v>
      </c>
      <c r="E9151" s="8" t="s">
        <v>269</v>
      </c>
      <c r="F9151" s="8" t="s">
        <v>938</v>
      </c>
    </row>
    <row r="9152" spans="1:6" ht="60" x14ac:dyDescent="0.25">
      <c r="A9152" s="8" t="s">
        <v>125</v>
      </c>
      <c r="B9152" s="8" t="s">
        <v>136</v>
      </c>
      <c r="C9152" s="8" t="str">
        <f>IFERROR(_xlfn.XLOOKUP(TRIM(B9152),Lookup!$B$2:$B$1000,Lookup!$C$2:$C$1000),"")</f>
        <v>Equity</v>
      </c>
      <c r="D9152" s="8" t="str">
        <f>IFERROR(INDEX('nav master'!$C:$C, MATCH(B9152, 'nav master'!$B:$B, 0)), "")</f>
        <v>ULIF06618/01/18DiscvryFnd101</v>
      </c>
      <c r="E9152" s="8" t="s">
        <v>271</v>
      </c>
      <c r="F9152" s="8" t="s">
        <v>939</v>
      </c>
    </row>
    <row r="9153" spans="1:6" ht="60" x14ac:dyDescent="0.25">
      <c r="A9153" s="8" t="s">
        <v>125</v>
      </c>
      <c r="B9153" s="8" t="s">
        <v>136</v>
      </c>
      <c r="C9153" s="8" t="str">
        <f>IFERROR(_xlfn.XLOOKUP(TRIM(B9153),Lookup!$B$2:$B$1000,Lookup!$C$2:$C$1000),"")</f>
        <v>Equity</v>
      </c>
      <c r="D9153" s="8" t="str">
        <f>IFERROR(INDEX('nav master'!$C:$C, MATCH(B9153, 'nav master'!$B:$B, 0)), "")</f>
        <v>ULIF06618/01/18DiscvryFnd101</v>
      </c>
      <c r="E9153" s="8" t="s">
        <v>273</v>
      </c>
      <c r="F9153" s="8" t="s">
        <v>940</v>
      </c>
    </row>
    <row r="9154" spans="1:6" ht="60" x14ac:dyDescent="0.25">
      <c r="A9154" s="8" t="s">
        <v>125</v>
      </c>
      <c r="B9154" s="8" t="s">
        <v>136</v>
      </c>
      <c r="C9154" s="8" t="str">
        <f>IFERROR(_xlfn.XLOOKUP(TRIM(B9154),Lookup!$B$2:$B$1000,Lookup!$C$2:$C$1000),"")</f>
        <v>Equity</v>
      </c>
      <c r="D9154" s="8" t="str">
        <f>IFERROR(INDEX('nav master'!$C:$C, MATCH(B9154, 'nav master'!$B:$B, 0)), "")</f>
        <v>ULIF06618/01/18DiscvryFnd101</v>
      </c>
      <c r="E9154" s="8" t="s">
        <v>275</v>
      </c>
      <c r="F9154" s="8" t="s">
        <v>194</v>
      </c>
    </row>
    <row r="9155" spans="1:6" ht="60" x14ac:dyDescent="0.25">
      <c r="A9155" s="8" t="s">
        <v>125</v>
      </c>
      <c r="B9155" s="8" t="s">
        <v>136</v>
      </c>
      <c r="C9155" s="8" t="str">
        <f>IFERROR(_xlfn.XLOOKUP(TRIM(B9155),Lookup!$B$2:$B$1000,Lookup!$C$2:$C$1000),"")</f>
        <v>Equity</v>
      </c>
      <c r="D9155" s="8" t="str">
        <f>IFERROR(INDEX('nav master'!$C:$C, MATCH(B9155, 'nav master'!$B:$B, 0)), "")</f>
        <v>ULIF06618/01/18DiscvryFnd101</v>
      </c>
      <c r="E9155" s="8" t="s">
        <v>277</v>
      </c>
      <c r="F9155" s="8" t="s">
        <v>941</v>
      </c>
    </row>
    <row r="9156" spans="1:6" ht="60" x14ac:dyDescent="0.25">
      <c r="A9156" s="8" t="s">
        <v>125</v>
      </c>
      <c r="B9156" s="8" t="s">
        <v>136</v>
      </c>
      <c r="C9156" s="8" t="str">
        <f>IFERROR(_xlfn.XLOOKUP(TRIM(B9156),Lookup!$B$2:$B$1000,Lookup!$C$2:$C$1000),"")</f>
        <v>Equity</v>
      </c>
      <c r="D9156" s="8" t="str">
        <f>IFERROR(INDEX('nav master'!$C:$C, MATCH(B9156, 'nav master'!$B:$B, 0)), "")</f>
        <v>ULIF06618/01/18DiscvryFnd101</v>
      </c>
      <c r="E9156" s="8" t="s">
        <v>279</v>
      </c>
      <c r="F9156" s="8" t="s">
        <v>942</v>
      </c>
    </row>
    <row r="9157" spans="1:6" ht="60" x14ac:dyDescent="0.25">
      <c r="A9157" s="8" t="s">
        <v>125</v>
      </c>
      <c r="B9157" s="8" t="s">
        <v>136</v>
      </c>
      <c r="C9157" s="8" t="str">
        <f>IFERROR(_xlfn.XLOOKUP(TRIM(B9157),Lookup!$B$2:$B$1000,Lookup!$C$2:$C$1000),"")</f>
        <v>Equity</v>
      </c>
      <c r="D9157" s="8" t="str">
        <f>IFERROR(INDEX('nav master'!$C:$C, MATCH(B9157, 'nav master'!$B:$B, 0)), "")</f>
        <v>ULIF06618/01/18DiscvryFnd101</v>
      </c>
      <c r="E9157" s="8" t="s">
        <v>281</v>
      </c>
      <c r="F9157" s="8" t="s">
        <v>943</v>
      </c>
    </row>
    <row r="9158" spans="1:6" ht="60" x14ac:dyDescent="0.25">
      <c r="A9158" s="8" t="s">
        <v>125</v>
      </c>
      <c r="B9158" s="8" t="s">
        <v>136</v>
      </c>
      <c r="C9158" s="8" t="str">
        <f>IFERROR(_xlfn.XLOOKUP(TRIM(B9158),Lookup!$B$2:$B$1000,Lookup!$C$2:$C$1000),"")</f>
        <v>Equity</v>
      </c>
      <c r="D9158" s="8" t="str">
        <f>IFERROR(INDEX('nav master'!$C:$C, MATCH(B9158, 'nav master'!$B:$B, 0)), "")</f>
        <v>ULIF06618/01/18DiscvryFnd101</v>
      </c>
      <c r="E9158" s="8" t="s">
        <v>283</v>
      </c>
      <c r="F9158" s="8" t="s">
        <v>944</v>
      </c>
    </row>
    <row r="9159" spans="1:6" ht="60" x14ac:dyDescent="0.25">
      <c r="A9159" s="8" t="s">
        <v>125</v>
      </c>
      <c r="B9159" s="8" t="s">
        <v>136</v>
      </c>
      <c r="C9159" s="8" t="str">
        <f>IFERROR(_xlfn.XLOOKUP(TRIM(B9159),Lookup!$B$2:$B$1000,Lookup!$C$2:$C$1000),"")</f>
        <v>Equity</v>
      </c>
      <c r="D9159" s="8" t="str">
        <f>IFERROR(INDEX('nav master'!$C:$C, MATCH(B9159, 'nav master'!$B:$B, 0)), "")</f>
        <v>ULIF06618/01/18DiscvryFnd101</v>
      </c>
      <c r="E9159" s="8" t="s">
        <v>285</v>
      </c>
      <c r="F9159" s="8" t="s">
        <v>945</v>
      </c>
    </row>
    <row r="9160" spans="1:6" ht="60" x14ac:dyDescent="0.25">
      <c r="A9160" s="8" t="s">
        <v>125</v>
      </c>
      <c r="B9160" s="8" t="s">
        <v>136</v>
      </c>
      <c r="C9160" s="8" t="str">
        <f>IFERROR(_xlfn.XLOOKUP(TRIM(B9160),Lookup!$B$2:$B$1000,Lookup!$C$2:$C$1000),"")</f>
        <v>Equity</v>
      </c>
      <c r="D9160" s="8" t="str">
        <f>IFERROR(INDEX('nav master'!$C:$C, MATCH(B9160, 'nav master'!$B:$B, 0)), "")</f>
        <v>ULIF06618/01/18DiscvryFnd101</v>
      </c>
      <c r="E9160" s="8" t="s">
        <v>287</v>
      </c>
      <c r="F9160" s="8" t="s">
        <v>946</v>
      </c>
    </row>
    <row r="9161" spans="1:6" ht="60" x14ac:dyDescent="0.25">
      <c r="A9161" s="8" t="s">
        <v>125</v>
      </c>
      <c r="B9161" s="8" t="s">
        <v>136</v>
      </c>
      <c r="C9161" s="8" t="str">
        <f>IFERROR(_xlfn.XLOOKUP(TRIM(B9161),Lookup!$B$2:$B$1000,Lookup!$C$2:$C$1000),"")</f>
        <v>Equity</v>
      </c>
      <c r="D9161" s="8" t="str">
        <f>IFERROR(INDEX('nav master'!$C:$C, MATCH(B9161, 'nav master'!$B:$B, 0)), "")</f>
        <v>ULIF06618/01/18DiscvryFnd101</v>
      </c>
      <c r="E9161" s="8" t="s">
        <v>289</v>
      </c>
      <c r="F9161" s="8" t="s">
        <v>947</v>
      </c>
    </row>
    <row r="9162" spans="1:6" ht="60" x14ac:dyDescent="0.25">
      <c r="A9162" s="8" t="s">
        <v>125</v>
      </c>
      <c r="B9162" s="8" t="s">
        <v>136</v>
      </c>
      <c r="C9162" s="8" t="str">
        <f>IFERROR(_xlfn.XLOOKUP(TRIM(B9162),Lookup!$B$2:$B$1000,Lookup!$C$2:$C$1000),"")</f>
        <v>Equity</v>
      </c>
      <c r="D9162" s="8" t="str">
        <f>IFERROR(INDEX('nav master'!$C:$C, MATCH(B9162, 'nav master'!$B:$B, 0)), "")</f>
        <v>ULIF06618/01/18DiscvryFnd101</v>
      </c>
      <c r="E9162" s="8" t="s">
        <v>291</v>
      </c>
      <c r="F9162" s="8" t="s">
        <v>948</v>
      </c>
    </row>
    <row r="9163" spans="1:6" ht="60" x14ac:dyDescent="0.25">
      <c r="A9163" s="8" t="s">
        <v>125</v>
      </c>
      <c r="B9163" s="8" t="s">
        <v>136</v>
      </c>
      <c r="C9163" s="8" t="str">
        <f>IFERROR(_xlfn.XLOOKUP(TRIM(B9163),Lookup!$B$2:$B$1000,Lookup!$C$2:$C$1000),"")</f>
        <v>Equity</v>
      </c>
      <c r="D9163" s="8" t="str">
        <f>IFERROR(INDEX('nav master'!$C:$C, MATCH(B9163, 'nav master'!$B:$B, 0)), "")</f>
        <v>ULIF06618/01/18DiscvryFnd101</v>
      </c>
      <c r="E9163" s="8" t="s">
        <v>293</v>
      </c>
      <c r="F9163" s="8" t="s">
        <v>949</v>
      </c>
    </row>
    <row r="9164" spans="1:6" ht="60" x14ac:dyDescent="0.25">
      <c r="A9164" s="8" t="s">
        <v>125</v>
      </c>
      <c r="B9164" s="8" t="s">
        <v>136</v>
      </c>
      <c r="C9164" s="8" t="str">
        <f>IFERROR(_xlfn.XLOOKUP(TRIM(B9164),Lookup!$B$2:$B$1000,Lookup!$C$2:$C$1000),"")</f>
        <v>Equity</v>
      </c>
      <c r="D9164" s="8" t="str">
        <f>IFERROR(INDEX('nav master'!$C:$C, MATCH(B9164, 'nav master'!$B:$B, 0)), "")</f>
        <v>ULIF06618/01/18DiscvryFnd101</v>
      </c>
      <c r="E9164" s="8" t="s">
        <v>295</v>
      </c>
      <c r="F9164" s="8" t="s">
        <v>950</v>
      </c>
    </row>
    <row r="9165" spans="1:6" ht="60" x14ac:dyDescent="0.25">
      <c r="A9165" s="8" t="s">
        <v>125</v>
      </c>
      <c r="B9165" s="8" t="s">
        <v>136</v>
      </c>
      <c r="C9165" s="8" t="str">
        <f>IFERROR(_xlfn.XLOOKUP(TRIM(B9165),Lookup!$B$2:$B$1000,Lookup!$C$2:$C$1000),"")</f>
        <v>Equity</v>
      </c>
      <c r="D9165" s="8" t="str">
        <f>IFERROR(INDEX('nav master'!$C:$C, MATCH(B9165, 'nav master'!$B:$B, 0)), "")</f>
        <v>ULIF06618/01/18DiscvryFnd101</v>
      </c>
      <c r="E9165" s="8" t="s">
        <v>297</v>
      </c>
      <c r="F9165" s="8" t="s">
        <v>951</v>
      </c>
    </row>
    <row r="9166" spans="1:6" ht="60" x14ac:dyDescent="0.25">
      <c r="A9166" s="8" t="s">
        <v>125</v>
      </c>
      <c r="B9166" s="8" t="s">
        <v>136</v>
      </c>
      <c r="C9166" s="8" t="str">
        <f>IFERROR(_xlfn.XLOOKUP(TRIM(B9166),Lookup!$B$2:$B$1000,Lookup!$C$2:$C$1000),"")</f>
        <v>Equity</v>
      </c>
      <c r="D9166" s="8" t="str">
        <f>IFERROR(INDEX('nav master'!$C:$C, MATCH(B9166, 'nav master'!$B:$B, 0)), "")</f>
        <v>ULIF06618/01/18DiscvryFnd101</v>
      </c>
      <c r="E9166" s="8" t="s">
        <v>299</v>
      </c>
      <c r="F9166" s="8" t="s">
        <v>952</v>
      </c>
    </row>
    <row r="9167" spans="1:6" ht="60" x14ac:dyDescent="0.25">
      <c r="A9167" s="8" t="s">
        <v>125</v>
      </c>
      <c r="B9167" s="8" t="s">
        <v>136</v>
      </c>
      <c r="C9167" s="8" t="str">
        <f>IFERROR(_xlfn.XLOOKUP(TRIM(B9167),Lookup!$B$2:$B$1000,Lookup!$C$2:$C$1000),"")</f>
        <v>Equity</v>
      </c>
      <c r="D9167" s="8" t="str">
        <f>IFERROR(INDEX('nav master'!$C:$C, MATCH(B9167, 'nav master'!$B:$B, 0)), "")</f>
        <v>ULIF06618/01/18DiscvryFnd101</v>
      </c>
      <c r="E9167" s="8" t="s">
        <v>301</v>
      </c>
      <c r="F9167" s="8" t="s">
        <v>953</v>
      </c>
    </row>
    <row r="9168" spans="1:6" ht="60" x14ac:dyDescent="0.25">
      <c r="A9168" s="8" t="s">
        <v>125</v>
      </c>
      <c r="B9168" s="8" t="s">
        <v>136</v>
      </c>
      <c r="C9168" s="8" t="str">
        <f>IFERROR(_xlfn.XLOOKUP(TRIM(B9168),Lookup!$B$2:$B$1000,Lookup!$C$2:$C$1000),"")</f>
        <v>Equity</v>
      </c>
      <c r="D9168" s="8" t="str">
        <f>IFERROR(INDEX('nav master'!$C:$C, MATCH(B9168, 'nav master'!$B:$B, 0)), "")</f>
        <v>ULIF06618/01/18DiscvryFnd101</v>
      </c>
      <c r="E9168" s="8" t="s">
        <v>303</v>
      </c>
      <c r="F9168" s="8" t="s">
        <v>954</v>
      </c>
    </row>
    <row r="9169" spans="1:6" ht="60" x14ac:dyDescent="0.25">
      <c r="A9169" s="8" t="s">
        <v>125</v>
      </c>
      <c r="B9169" s="8" t="s">
        <v>136</v>
      </c>
      <c r="C9169" s="8" t="str">
        <f>IFERROR(_xlfn.XLOOKUP(TRIM(B9169),Lookup!$B$2:$B$1000,Lookup!$C$2:$C$1000),"")</f>
        <v>Equity</v>
      </c>
      <c r="D9169" s="8" t="str">
        <f>IFERROR(INDEX('nav master'!$C:$C, MATCH(B9169, 'nav master'!$B:$B, 0)), "")</f>
        <v>ULIF06618/01/18DiscvryFnd101</v>
      </c>
      <c r="E9169" s="8" t="s">
        <v>305</v>
      </c>
      <c r="F9169" s="8" t="s">
        <v>955</v>
      </c>
    </row>
    <row r="9170" spans="1:6" ht="60" x14ac:dyDescent="0.25">
      <c r="A9170" s="8" t="s">
        <v>125</v>
      </c>
      <c r="B9170" s="8" t="s">
        <v>136</v>
      </c>
      <c r="C9170" s="8" t="str">
        <f>IFERROR(_xlfn.XLOOKUP(TRIM(B9170),Lookup!$B$2:$B$1000,Lookup!$C$2:$C$1000),"")</f>
        <v>Equity</v>
      </c>
      <c r="D9170" s="8" t="str">
        <f>IFERROR(INDEX('nav master'!$C:$C, MATCH(B9170, 'nav master'!$B:$B, 0)), "")</f>
        <v>ULIF06618/01/18DiscvryFnd101</v>
      </c>
      <c r="E9170" s="8" t="s">
        <v>307</v>
      </c>
      <c r="F9170" s="8" t="s">
        <v>956</v>
      </c>
    </row>
    <row r="9171" spans="1:6" ht="60" x14ac:dyDescent="0.25">
      <c r="A9171" s="8" t="s">
        <v>125</v>
      </c>
      <c r="B9171" s="8" t="s">
        <v>136</v>
      </c>
      <c r="C9171" s="8" t="str">
        <f>IFERROR(_xlfn.XLOOKUP(TRIM(B9171),Lookup!$B$2:$B$1000,Lookup!$C$2:$C$1000),"")</f>
        <v>Equity</v>
      </c>
      <c r="D9171" s="8" t="str">
        <f>IFERROR(INDEX('nav master'!$C:$C, MATCH(B9171, 'nav master'!$B:$B, 0)), "")</f>
        <v>ULIF06618/01/18DiscvryFnd101</v>
      </c>
      <c r="E9171" s="8" t="s">
        <v>309</v>
      </c>
      <c r="F9171" s="8" t="s">
        <v>957</v>
      </c>
    </row>
    <row r="9172" spans="1:6" ht="60" x14ac:dyDescent="0.25">
      <c r="A9172" s="8" t="s">
        <v>125</v>
      </c>
      <c r="B9172" s="8" t="s">
        <v>136</v>
      </c>
      <c r="C9172" s="8" t="str">
        <f>IFERROR(_xlfn.XLOOKUP(TRIM(B9172),Lookup!$B$2:$B$1000,Lookup!$C$2:$C$1000),"")</f>
        <v>Equity</v>
      </c>
      <c r="D9172" s="8" t="str">
        <f>IFERROR(INDEX('nav master'!$C:$C, MATCH(B9172, 'nav master'!$B:$B, 0)), "")</f>
        <v>ULIF06618/01/18DiscvryFnd101</v>
      </c>
      <c r="E9172" s="8" t="s">
        <v>311</v>
      </c>
      <c r="F9172" s="8" t="s">
        <v>958</v>
      </c>
    </row>
    <row r="9173" spans="1:6" ht="60" x14ac:dyDescent="0.25">
      <c r="A9173" s="8" t="s">
        <v>125</v>
      </c>
      <c r="B9173" s="8" t="s">
        <v>136</v>
      </c>
      <c r="C9173" s="8" t="str">
        <f>IFERROR(_xlfn.XLOOKUP(TRIM(B9173),Lookup!$B$2:$B$1000,Lookup!$C$2:$C$1000),"")</f>
        <v>Equity</v>
      </c>
      <c r="D9173" s="8" t="str">
        <f>IFERROR(INDEX('nav master'!$C:$C, MATCH(B9173, 'nav master'!$B:$B, 0)), "")</f>
        <v>ULIF06618/01/18DiscvryFnd101</v>
      </c>
      <c r="E9173" s="8" t="s">
        <v>313</v>
      </c>
      <c r="F9173" s="8" t="s">
        <v>959</v>
      </c>
    </row>
    <row r="9174" spans="1:6" ht="60" x14ac:dyDescent="0.25">
      <c r="A9174" s="8" t="s">
        <v>125</v>
      </c>
      <c r="B9174" s="8" t="s">
        <v>136</v>
      </c>
      <c r="C9174" s="8" t="str">
        <f>IFERROR(_xlfn.XLOOKUP(TRIM(B9174),Lookup!$B$2:$B$1000,Lookup!$C$2:$C$1000),"")</f>
        <v>Equity</v>
      </c>
      <c r="D9174" s="8" t="str">
        <f>IFERROR(INDEX('nav master'!$C:$C, MATCH(B9174, 'nav master'!$B:$B, 0)), "")</f>
        <v>ULIF06618/01/18DiscvryFnd101</v>
      </c>
      <c r="E9174" s="8" t="s">
        <v>315</v>
      </c>
      <c r="F9174" s="8" t="s">
        <v>960</v>
      </c>
    </row>
    <row r="9175" spans="1:6" ht="60" x14ac:dyDescent="0.25">
      <c r="A9175" s="8" t="s">
        <v>125</v>
      </c>
      <c r="B9175" s="8" t="s">
        <v>136</v>
      </c>
      <c r="C9175" s="8" t="str">
        <f>IFERROR(_xlfn.XLOOKUP(TRIM(B9175),Lookup!$B$2:$B$1000,Lookup!$C$2:$C$1000),"")</f>
        <v>Equity</v>
      </c>
      <c r="D9175" s="8" t="str">
        <f>IFERROR(INDEX('nav master'!$C:$C, MATCH(B9175, 'nav master'!$B:$B, 0)), "")</f>
        <v>ULIF06618/01/18DiscvryFnd101</v>
      </c>
      <c r="E9175" s="8" t="s">
        <v>317</v>
      </c>
      <c r="F9175" s="8" t="s">
        <v>961</v>
      </c>
    </row>
    <row r="9176" spans="1:6" ht="60" x14ac:dyDescent="0.25">
      <c r="A9176" s="8" t="s">
        <v>125</v>
      </c>
      <c r="B9176" s="8" t="s">
        <v>136</v>
      </c>
      <c r="C9176" s="8" t="str">
        <f>IFERROR(_xlfn.XLOOKUP(TRIM(B9176),Lookup!$B$2:$B$1000,Lookup!$C$2:$C$1000),"")</f>
        <v>Equity</v>
      </c>
      <c r="D9176" s="8" t="str">
        <f>IFERROR(INDEX('nav master'!$C:$C, MATCH(B9176, 'nav master'!$B:$B, 0)), "")</f>
        <v>ULIF06618/01/18DiscvryFnd101</v>
      </c>
      <c r="E9176" s="8" t="s">
        <v>319</v>
      </c>
      <c r="F9176" s="8" t="s">
        <v>962</v>
      </c>
    </row>
    <row r="9177" spans="1:6" ht="60" x14ac:dyDescent="0.25">
      <c r="A9177" s="8" t="s">
        <v>125</v>
      </c>
      <c r="B9177" s="8" t="s">
        <v>136</v>
      </c>
      <c r="C9177" s="8" t="str">
        <f>IFERROR(_xlfn.XLOOKUP(TRIM(B9177),Lookup!$B$2:$B$1000,Lookup!$C$2:$C$1000),"")</f>
        <v>Equity</v>
      </c>
      <c r="D9177" s="8" t="str">
        <f>IFERROR(INDEX('nav master'!$C:$C, MATCH(B9177, 'nav master'!$B:$B, 0)), "")</f>
        <v>ULIF06618/01/18DiscvryFnd101</v>
      </c>
      <c r="E9177" s="8" t="s">
        <v>321</v>
      </c>
      <c r="F9177" s="8" t="s">
        <v>963</v>
      </c>
    </row>
    <row r="9178" spans="1:6" ht="60" x14ac:dyDescent="0.25">
      <c r="A9178" s="8" t="s">
        <v>125</v>
      </c>
      <c r="B9178" s="8" t="s">
        <v>136</v>
      </c>
      <c r="C9178" s="8" t="str">
        <f>IFERROR(_xlfn.XLOOKUP(TRIM(B9178),Lookup!$B$2:$B$1000,Lookup!$C$2:$C$1000),"")</f>
        <v>Equity</v>
      </c>
      <c r="D9178" s="8" t="str">
        <f>IFERROR(INDEX('nav master'!$C:$C, MATCH(B9178, 'nav master'!$B:$B, 0)), "")</f>
        <v>ULIF06618/01/18DiscvryFnd101</v>
      </c>
      <c r="E9178" s="8" t="s">
        <v>323</v>
      </c>
      <c r="F9178" s="8" t="s">
        <v>964</v>
      </c>
    </row>
    <row r="9179" spans="1:6" ht="60" x14ac:dyDescent="0.25">
      <c r="A9179" s="8" t="s">
        <v>125</v>
      </c>
      <c r="B9179" s="8" t="s">
        <v>136</v>
      </c>
      <c r="C9179" s="8" t="str">
        <f>IFERROR(_xlfn.XLOOKUP(TRIM(B9179),Lookup!$B$2:$B$1000,Lookup!$C$2:$C$1000),"")</f>
        <v>Equity</v>
      </c>
      <c r="D9179" s="8" t="str">
        <f>IFERROR(INDEX('nav master'!$C:$C, MATCH(B9179, 'nav master'!$B:$B, 0)), "")</f>
        <v>ULIF06618/01/18DiscvryFnd101</v>
      </c>
      <c r="E9179" s="8" t="s">
        <v>325</v>
      </c>
      <c r="F9179" s="8" t="s">
        <v>965</v>
      </c>
    </row>
    <row r="9180" spans="1:6" ht="60" x14ac:dyDescent="0.25">
      <c r="A9180" s="8" t="s">
        <v>125</v>
      </c>
      <c r="B9180" s="8" t="s">
        <v>136</v>
      </c>
      <c r="C9180" s="8" t="str">
        <f>IFERROR(_xlfn.XLOOKUP(TRIM(B9180),Lookup!$B$2:$B$1000,Lookup!$C$2:$C$1000),"")</f>
        <v>Equity</v>
      </c>
      <c r="D9180" s="8" t="str">
        <f>IFERROR(INDEX('nav master'!$C:$C, MATCH(B9180, 'nav master'!$B:$B, 0)), "")</f>
        <v>ULIF06618/01/18DiscvryFnd101</v>
      </c>
      <c r="E9180" s="8" t="s">
        <v>327</v>
      </c>
      <c r="F9180" s="8" t="s">
        <v>966</v>
      </c>
    </row>
    <row r="9181" spans="1:6" ht="60" x14ac:dyDescent="0.25">
      <c r="A9181" s="8" t="s">
        <v>125</v>
      </c>
      <c r="B9181" s="8" t="s">
        <v>136</v>
      </c>
      <c r="C9181" s="8" t="str">
        <f>IFERROR(_xlfn.XLOOKUP(TRIM(B9181),Lookup!$B$2:$B$1000,Lookup!$C$2:$C$1000),"")</f>
        <v>Equity</v>
      </c>
      <c r="D9181" s="8" t="str">
        <f>IFERROR(INDEX('nav master'!$C:$C, MATCH(B9181, 'nav master'!$B:$B, 0)), "")</f>
        <v>ULIF06618/01/18DiscvryFnd101</v>
      </c>
      <c r="E9181" s="8" t="s">
        <v>329</v>
      </c>
      <c r="F9181" s="8" t="s">
        <v>967</v>
      </c>
    </row>
    <row r="9182" spans="1:6" ht="60" x14ac:dyDescent="0.25">
      <c r="A9182" s="8" t="s">
        <v>125</v>
      </c>
      <c r="B9182" s="8" t="s">
        <v>136</v>
      </c>
      <c r="C9182" s="8" t="str">
        <f>IFERROR(_xlfn.XLOOKUP(TRIM(B9182),Lookup!$B$2:$B$1000,Lookup!$C$2:$C$1000),"")</f>
        <v>Equity</v>
      </c>
      <c r="D9182" s="8" t="str">
        <f>IFERROR(INDEX('nav master'!$C:$C, MATCH(B9182, 'nav master'!$B:$B, 0)), "")</f>
        <v>ULIF06618/01/18DiscvryFnd101</v>
      </c>
      <c r="E9182" s="8" t="s">
        <v>331</v>
      </c>
      <c r="F9182" s="8" t="s">
        <v>968</v>
      </c>
    </row>
    <row r="9183" spans="1:6" ht="60" x14ac:dyDescent="0.25">
      <c r="A9183" s="8" t="s">
        <v>125</v>
      </c>
      <c r="B9183" s="8" t="s">
        <v>136</v>
      </c>
      <c r="C9183" s="8" t="str">
        <f>IFERROR(_xlfn.XLOOKUP(TRIM(B9183),Lookup!$B$2:$B$1000,Lookup!$C$2:$C$1000),"")</f>
        <v>Equity</v>
      </c>
      <c r="D9183" s="8" t="str">
        <f>IFERROR(INDEX('nav master'!$C:$C, MATCH(B9183, 'nav master'!$B:$B, 0)), "")</f>
        <v>ULIF06618/01/18DiscvryFnd101</v>
      </c>
      <c r="E9183" s="8" t="s">
        <v>333</v>
      </c>
      <c r="F9183" s="8" t="s">
        <v>969</v>
      </c>
    </row>
    <row r="9184" spans="1:6" ht="60" x14ac:dyDescent="0.25">
      <c r="A9184" s="8" t="s">
        <v>125</v>
      </c>
      <c r="B9184" s="8" t="s">
        <v>136</v>
      </c>
      <c r="C9184" s="8" t="str">
        <f>IFERROR(_xlfn.XLOOKUP(TRIM(B9184),Lookup!$B$2:$B$1000,Lookup!$C$2:$C$1000),"")</f>
        <v>Equity</v>
      </c>
      <c r="D9184" s="8" t="str">
        <f>IFERROR(INDEX('nav master'!$C:$C, MATCH(B9184, 'nav master'!$B:$B, 0)), "")</f>
        <v>ULIF06618/01/18DiscvryFnd101</v>
      </c>
      <c r="E9184" s="8" t="s">
        <v>335</v>
      </c>
      <c r="F9184" s="8" t="s">
        <v>970</v>
      </c>
    </row>
    <row r="9185" spans="1:6" ht="60" x14ac:dyDescent="0.25">
      <c r="A9185" s="8" t="s">
        <v>125</v>
      </c>
      <c r="B9185" s="8" t="s">
        <v>136</v>
      </c>
      <c r="C9185" s="8" t="str">
        <f>IFERROR(_xlfn.XLOOKUP(TRIM(B9185),Lookup!$B$2:$B$1000,Lookup!$C$2:$C$1000),"")</f>
        <v>Equity</v>
      </c>
      <c r="D9185" s="8" t="str">
        <f>IFERROR(INDEX('nav master'!$C:$C, MATCH(B9185, 'nav master'!$B:$B, 0)), "")</f>
        <v>ULIF06618/01/18DiscvryFnd101</v>
      </c>
      <c r="E9185" s="8" t="s">
        <v>337</v>
      </c>
      <c r="F9185" s="8" t="s">
        <v>971</v>
      </c>
    </row>
    <row r="9186" spans="1:6" ht="60" x14ac:dyDescent="0.25">
      <c r="A9186" s="8" t="s">
        <v>125</v>
      </c>
      <c r="B9186" s="8" t="s">
        <v>136</v>
      </c>
      <c r="C9186" s="8" t="str">
        <f>IFERROR(_xlfn.XLOOKUP(TRIM(B9186),Lookup!$B$2:$B$1000,Lookup!$C$2:$C$1000),"")</f>
        <v>Equity</v>
      </c>
      <c r="D9186" s="8" t="str">
        <f>IFERROR(INDEX('nav master'!$C:$C, MATCH(B9186, 'nav master'!$B:$B, 0)), "")</f>
        <v>ULIF06618/01/18DiscvryFnd101</v>
      </c>
      <c r="E9186" s="8" t="s">
        <v>339</v>
      </c>
      <c r="F9186" s="8" t="s">
        <v>972</v>
      </c>
    </row>
    <row r="9187" spans="1:6" ht="60" x14ac:dyDescent="0.25">
      <c r="A9187" s="8" t="s">
        <v>125</v>
      </c>
      <c r="B9187" s="8" t="s">
        <v>136</v>
      </c>
      <c r="C9187" s="8" t="str">
        <f>IFERROR(_xlfn.XLOOKUP(TRIM(B9187),Lookup!$B$2:$B$1000,Lookup!$C$2:$C$1000),"")</f>
        <v>Equity</v>
      </c>
      <c r="D9187" s="8" t="str">
        <f>IFERROR(INDEX('nav master'!$C:$C, MATCH(B9187, 'nav master'!$B:$B, 0)), "")</f>
        <v>ULIF06618/01/18DiscvryFnd101</v>
      </c>
      <c r="E9187" s="8" t="s">
        <v>341</v>
      </c>
      <c r="F9187" s="8" t="s">
        <v>973</v>
      </c>
    </row>
    <row r="9188" spans="1:6" ht="60" x14ac:dyDescent="0.25">
      <c r="A9188" s="8" t="s">
        <v>125</v>
      </c>
      <c r="B9188" s="8" t="s">
        <v>136</v>
      </c>
      <c r="C9188" s="8" t="str">
        <f>IFERROR(_xlfn.XLOOKUP(TRIM(B9188),Lookup!$B$2:$B$1000,Lookup!$C$2:$C$1000),"")</f>
        <v>Equity</v>
      </c>
      <c r="D9188" s="8" t="str">
        <f>IFERROR(INDEX('nav master'!$C:$C, MATCH(B9188, 'nav master'!$B:$B, 0)), "")</f>
        <v>ULIF06618/01/18DiscvryFnd101</v>
      </c>
      <c r="E9188" s="8" t="s">
        <v>343</v>
      </c>
      <c r="F9188" s="8" t="s">
        <v>974</v>
      </c>
    </row>
    <row r="9189" spans="1:6" ht="60" x14ac:dyDescent="0.25">
      <c r="A9189" s="8" t="s">
        <v>125</v>
      </c>
      <c r="B9189" s="8" t="s">
        <v>136</v>
      </c>
      <c r="C9189" s="8" t="str">
        <f>IFERROR(_xlfn.XLOOKUP(TRIM(B9189),Lookup!$B$2:$B$1000,Lookup!$C$2:$C$1000),"")</f>
        <v>Equity</v>
      </c>
      <c r="D9189" s="8" t="str">
        <f>IFERROR(INDEX('nav master'!$C:$C, MATCH(B9189, 'nav master'!$B:$B, 0)), "")</f>
        <v>ULIF06618/01/18DiscvryFnd101</v>
      </c>
      <c r="E9189" s="8" t="s">
        <v>345</v>
      </c>
      <c r="F9189" s="8" t="s">
        <v>975</v>
      </c>
    </row>
    <row r="9190" spans="1:6" ht="60" x14ac:dyDescent="0.25">
      <c r="A9190" s="8" t="s">
        <v>125</v>
      </c>
      <c r="B9190" s="8" t="s">
        <v>136</v>
      </c>
      <c r="C9190" s="8" t="str">
        <f>IFERROR(_xlfn.XLOOKUP(TRIM(B9190),Lookup!$B$2:$B$1000,Lookup!$C$2:$C$1000),"")</f>
        <v>Equity</v>
      </c>
      <c r="D9190" s="8" t="str">
        <f>IFERROR(INDEX('nav master'!$C:$C, MATCH(B9190, 'nav master'!$B:$B, 0)), "")</f>
        <v>ULIF06618/01/18DiscvryFnd101</v>
      </c>
      <c r="E9190" s="8" t="s">
        <v>347</v>
      </c>
      <c r="F9190" s="8" t="s">
        <v>976</v>
      </c>
    </row>
    <row r="9191" spans="1:6" ht="60" x14ac:dyDescent="0.25">
      <c r="A9191" s="8" t="s">
        <v>125</v>
      </c>
      <c r="B9191" s="8" t="s">
        <v>136</v>
      </c>
      <c r="C9191" s="8" t="str">
        <f>IFERROR(_xlfn.XLOOKUP(TRIM(B9191),Lookup!$B$2:$B$1000,Lookup!$C$2:$C$1000),"")</f>
        <v>Equity</v>
      </c>
      <c r="D9191" s="8" t="str">
        <f>IFERROR(INDEX('nav master'!$C:$C, MATCH(B9191, 'nav master'!$B:$B, 0)), "")</f>
        <v>ULIF06618/01/18DiscvryFnd101</v>
      </c>
      <c r="E9191" s="8" t="s">
        <v>349</v>
      </c>
      <c r="F9191" s="8" t="s">
        <v>977</v>
      </c>
    </row>
    <row r="9192" spans="1:6" ht="60" x14ac:dyDescent="0.25">
      <c r="A9192" s="8" t="s">
        <v>125</v>
      </c>
      <c r="B9192" s="8" t="s">
        <v>136</v>
      </c>
      <c r="C9192" s="8" t="str">
        <f>IFERROR(_xlfn.XLOOKUP(TRIM(B9192),Lookup!$B$2:$B$1000,Lookup!$C$2:$C$1000),"")</f>
        <v>Equity</v>
      </c>
      <c r="D9192" s="8" t="str">
        <f>IFERROR(INDEX('nav master'!$C:$C, MATCH(B9192, 'nav master'!$B:$B, 0)), "")</f>
        <v>ULIF06618/01/18DiscvryFnd101</v>
      </c>
      <c r="E9192" s="8" t="s">
        <v>351</v>
      </c>
      <c r="F9192" s="8" t="s">
        <v>978</v>
      </c>
    </row>
    <row r="9193" spans="1:6" ht="60" x14ac:dyDescent="0.25">
      <c r="A9193" s="8" t="s">
        <v>125</v>
      </c>
      <c r="B9193" s="8" t="s">
        <v>136</v>
      </c>
      <c r="C9193" s="8" t="str">
        <f>IFERROR(_xlfn.XLOOKUP(TRIM(B9193),Lookup!$B$2:$B$1000,Lookup!$C$2:$C$1000),"")</f>
        <v>Equity</v>
      </c>
      <c r="D9193" s="8" t="str">
        <f>IFERROR(INDEX('nav master'!$C:$C, MATCH(B9193, 'nav master'!$B:$B, 0)), "")</f>
        <v>ULIF06618/01/18DiscvryFnd101</v>
      </c>
      <c r="E9193" s="8" t="s">
        <v>353</v>
      </c>
      <c r="F9193" s="8" t="s">
        <v>979</v>
      </c>
    </row>
    <row r="9194" spans="1:6" ht="60" x14ac:dyDescent="0.25">
      <c r="A9194" s="8" t="s">
        <v>125</v>
      </c>
      <c r="B9194" s="8" t="s">
        <v>136</v>
      </c>
      <c r="C9194" s="8" t="str">
        <f>IFERROR(_xlfn.XLOOKUP(TRIM(B9194),Lookup!$B$2:$B$1000,Lookup!$C$2:$C$1000),"")</f>
        <v>Equity</v>
      </c>
      <c r="D9194" s="8" t="str">
        <f>IFERROR(INDEX('nav master'!$C:$C, MATCH(B9194, 'nav master'!$B:$B, 0)), "")</f>
        <v>ULIF06618/01/18DiscvryFnd101</v>
      </c>
      <c r="E9194" s="8" t="s">
        <v>355</v>
      </c>
      <c r="F9194" s="8" t="s">
        <v>980</v>
      </c>
    </row>
    <row r="9195" spans="1:6" ht="60" x14ac:dyDescent="0.25">
      <c r="A9195" s="8" t="s">
        <v>125</v>
      </c>
      <c r="B9195" s="8" t="s">
        <v>136</v>
      </c>
      <c r="C9195" s="8" t="str">
        <f>IFERROR(_xlfn.XLOOKUP(TRIM(B9195),Lookup!$B$2:$B$1000,Lookup!$C$2:$C$1000),"")</f>
        <v>Equity</v>
      </c>
      <c r="D9195" s="8" t="str">
        <f>IFERROR(INDEX('nav master'!$C:$C, MATCH(B9195, 'nav master'!$B:$B, 0)), "")</f>
        <v>ULIF06618/01/18DiscvryFnd101</v>
      </c>
      <c r="E9195" s="8" t="s">
        <v>357</v>
      </c>
      <c r="F9195" s="8" t="s">
        <v>981</v>
      </c>
    </row>
    <row r="9196" spans="1:6" ht="60" x14ac:dyDescent="0.25">
      <c r="A9196" s="8" t="s">
        <v>125</v>
      </c>
      <c r="B9196" s="8" t="s">
        <v>136</v>
      </c>
      <c r="C9196" s="8" t="str">
        <f>IFERROR(_xlfn.XLOOKUP(TRIM(B9196),Lookup!$B$2:$B$1000,Lookup!$C$2:$C$1000),"")</f>
        <v>Equity</v>
      </c>
      <c r="D9196" s="8" t="str">
        <f>IFERROR(INDEX('nav master'!$C:$C, MATCH(B9196, 'nav master'!$B:$B, 0)), "")</f>
        <v>ULIF06618/01/18DiscvryFnd101</v>
      </c>
      <c r="E9196" s="8" t="s">
        <v>359</v>
      </c>
      <c r="F9196" s="8" t="s">
        <v>982</v>
      </c>
    </row>
    <row r="9197" spans="1:6" ht="60" x14ac:dyDescent="0.25">
      <c r="A9197" s="8" t="s">
        <v>125</v>
      </c>
      <c r="B9197" s="8" t="s">
        <v>136</v>
      </c>
      <c r="C9197" s="8" t="str">
        <f>IFERROR(_xlfn.XLOOKUP(TRIM(B9197),Lookup!$B$2:$B$1000,Lookup!$C$2:$C$1000),"")</f>
        <v>Equity</v>
      </c>
      <c r="D9197" s="8" t="str">
        <f>IFERROR(INDEX('nav master'!$C:$C, MATCH(B9197, 'nav master'!$B:$B, 0)), "")</f>
        <v>ULIF06618/01/18DiscvryFnd101</v>
      </c>
      <c r="E9197" s="8" t="s">
        <v>361</v>
      </c>
      <c r="F9197" s="8" t="s">
        <v>983</v>
      </c>
    </row>
    <row r="9198" spans="1:6" ht="60" x14ac:dyDescent="0.25">
      <c r="A9198" s="8" t="s">
        <v>125</v>
      </c>
      <c r="B9198" s="8" t="s">
        <v>136</v>
      </c>
      <c r="C9198" s="8" t="str">
        <f>IFERROR(_xlfn.XLOOKUP(TRIM(B9198),Lookup!$B$2:$B$1000,Lookup!$C$2:$C$1000),"")</f>
        <v>Equity</v>
      </c>
      <c r="D9198" s="8" t="str">
        <f>IFERROR(INDEX('nav master'!$C:$C, MATCH(B9198, 'nav master'!$B:$B, 0)), "")</f>
        <v>ULIF06618/01/18DiscvryFnd101</v>
      </c>
      <c r="E9198" s="8" t="s">
        <v>363</v>
      </c>
      <c r="F9198" s="8" t="s">
        <v>984</v>
      </c>
    </row>
    <row r="9199" spans="1:6" ht="60" x14ac:dyDescent="0.25">
      <c r="A9199" s="8" t="s">
        <v>125</v>
      </c>
      <c r="B9199" s="8" t="s">
        <v>136</v>
      </c>
      <c r="C9199" s="8" t="str">
        <f>IFERROR(_xlfn.XLOOKUP(TRIM(B9199),Lookup!$B$2:$B$1000,Lookup!$C$2:$C$1000),"")</f>
        <v>Equity</v>
      </c>
      <c r="D9199" s="8" t="str">
        <f>IFERROR(INDEX('nav master'!$C:$C, MATCH(B9199, 'nav master'!$B:$B, 0)), "")</f>
        <v>ULIF06618/01/18DiscvryFnd101</v>
      </c>
      <c r="E9199" s="8" t="s">
        <v>365</v>
      </c>
      <c r="F9199" s="8" t="s">
        <v>985</v>
      </c>
    </row>
    <row r="9200" spans="1:6" ht="60" x14ac:dyDescent="0.25">
      <c r="A9200" s="8" t="s">
        <v>125</v>
      </c>
      <c r="B9200" s="8" t="s">
        <v>136</v>
      </c>
      <c r="C9200" s="8" t="str">
        <f>IFERROR(_xlfn.XLOOKUP(TRIM(B9200),Lookup!$B$2:$B$1000,Lookup!$C$2:$C$1000),"")</f>
        <v>Equity</v>
      </c>
      <c r="D9200" s="8" t="str">
        <f>IFERROR(INDEX('nav master'!$C:$C, MATCH(B9200, 'nav master'!$B:$B, 0)), "")</f>
        <v>ULIF06618/01/18DiscvryFnd101</v>
      </c>
      <c r="E9200" s="8" t="s">
        <v>367</v>
      </c>
      <c r="F9200" s="8" t="s">
        <v>986</v>
      </c>
    </row>
    <row r="9201" spans="1:6" ht="60" x14ac:dyDescent="0.25">
      <c r="A9201" s="8" t="s">
        <v>125</v>
      </c>
      <c r="B9201" s="8" t="s">
        <v>136</v>
      </c>
      <c r="C9201" s="8" t="str">
        <f>IFERROR(_xlfn.XLOOKUP(TRIM(B9201),Lookup!$B$2:$B$1000,Lookup!$C$2:$C$1000),"")</f>
        <v>Equity</v>
      </c>
      <c r="D9201" s="8" t="str">
        <f>IFERROR(INDEX('nav master'!$C:$C, MATCH(B9201, 'nav master'!$B:$B, 0)), "")</f>
        <v>ULIF06618/01/18DiscvryFnd101</v>
      </c>
      <c r="E9201" s="8" t="s">
        <v>369</v>
      </c>
      <c r="F9201" s="8" t="s">
        <v>987</v>
      </c>
    </row>
    <row r="9202" spans="1:6" ht="60" x14ac:dyDescent="0.25">
      <c r="A9202" s="8" t="s">
        <v>125</v>
      </c>
      <c r="B9202" s="8" t="s">
        <v>136</v>
      </c>
      <c r="C9202" s="8" t="str">
        <f>IFERROR(_xlfn.XLOOKUP(TRIM(B9202),Lookup!$B$2:$B$1000,Lookup!$C$2:$C$1000),"")</f>
        <v>Equity</v>
      </c>
      <c r="D9202" s="8" t="str">
        <f>IFERROR(INDEX('nav master'!$C:$C, MATCH(B9202, 'nav master'!$B:$B, 0)), "")</f>
        <v>ULIF06618/01/18DiscvryFnd101</v>
      </c>
      <c r="E9202" s="8" t="s">
        <v>371</v>
      </c>
      <c r="F9202" s="8" t="s">
        <v>988</v>
      </c>
    </row>
    <row r="9203" spans="1:6" ht="60" x14ac:dyDescent="0.25">
      <c r="A9203" s="8" t="s">
        <v>125</v>
      </c>
      <c r="B9203" s="8" t="s">
        <v>136</v>
      </c>
      <c r="C9203" s="8" t="str">
        <f>IFERROR(_xlfn.XLOOKUP(TRIM(B9203),Lookup!$B$2:$B$1000,Lookup!$C$2:$C$1000),"")</f>
        <v>Equity</v>
      </c>
      <c r="D9203" s="8" t="str">
        <f>IFERROR(INDEX('nav master'!$C:$C, MATCH(B9203, 'nav master'!$B:$B, 0)), "")</f>
        <v>ULIF06618/01/18DiscvryFnd101</v>
      </c>
      <c r="E9203" s="8" t="s">
        <v>373</v>
      </c>
      <c r="F9203" s="8" t="s">
        <v>989</v>
      </c>
    </row>
    <row r="9204" spans="1:6" ht="60" x14ac:dyDescent="0.25">
      <c r="A9204" s="8" t="s">
        <v>125</v>
      </c>
      <c r="B9204" s="8" t="s">
        <v>136</v>
      </c>
      <c r="C9204" s="8" t="str">
        <f>IFERROR(_xlfn.XLOOKUP(TRIM(B9204),Lookup!$B$2:$B$1000,Lookup!$C$2:$C$1000),"")</f>
        <v>Equity</v>
      </c>
      <c r="D9204" s="8" t="str">
        <f>IFERROR(INDEX('nav master'!$C:$C, MATCH(B9204, 'nav master'!$B:$B, 0)), "")</f>
        <v>ULIF06618/01/18DiscvryFnd101</v>
      </c>
      <c r="E9204" s="8" t="s">
        <v>375</v>
      </c>
      <c r="F9204" s="8" t="s">
        <v>990</v>
      </c>
    </row>
    <row r="9205" spans="1:6" ht="60" x14ac:dyDescent="0.25">
      <c r="A9205" s="8" t="s">
        <v>125</v>
      </c>
      <c r="B9205" s="8" t="s">
        <v>136</v>
      </c>
      <c r="C9205" s="8" t="str">
        <f>IFERROR(_xlfn.XLOOKUP(TRIM(B9205),Lookup!$B$2:$B$1000,Lookup!$C$2:$C$1000),"")</f>
        <v>Equity</v>
      </c>
      <c r="D9205" s="8" t="str">
        <f>IFERROR(INDEX('nav master'!$C:$C, MATCH(B9205, 'nav master'!$B:$B, 0)), "")</f>
        <v>ULIF06618/01/18DiscvryFnd101</v>
      </c>
      <c r="E9205" s="8" t="s">
        <v>377</v>
      </c>
      <c r="F9205" s="8" t="s">
        <v>991</v>
      </c>
    </row>
    <row r="9206" spans="1:6" ht="60" x14ac:dyDescent="0.25">
      <c r="A9206" s="8" t="s">
        <v>125</v>
      </c>
      <c r="B9206" s="8" t="s">
        <v>136</v>
      </c>
      <c r="C9206" s="8" t="str">
        <f>IFERROR(_xlfn.XLOOKUP(TRIM(B9206),Lookup!$B$2:$B$1000,Lookup!$C$2:$C$1000),"")</f>
        <v>Equity</v>
      </c>
      <c r="D9206" s="8" t="str">
        <f>IFERROR(INDEX('nav master'!$C:$C, MATCH(B9206, 'nav master'!$B:$B, 0)), "")</f>
        <v>ULIF06618/01/18DiscvryFnd101</v>
      </c>
      <c r="E9206" s="8" t="s">
        <v>379</v>
      </c>
      <c r="F9206" s="8" t="s">
        <v>992</v>
      </c>
    </row>
    <row r="9207" spans="1:6" ht="60" x14ac:dyDescent="0.25">
      <c r="A9207" s="8" t="s">
        <v>125</v>
      </c>
      <c r="B9207" s="8" t="s">
        <v>136</v>
      </c>
      <c r="C9207" s="8" t="str">
        <f>IFERROR(_xlfn.XLOOKUP(TRIM(B9207),Lookup!$B$2:$B$1000,Lookup!$C$2:$C$1000),"")</f>
        <v>Equity</v>
      </c>
      <c r="D9207" s="8" t="str">
        <f>IFERROR(INDEX('nav master'!$C:$C, MATCH(B9207, 'nav master'!$B:$B, 0)), "")</f>
        <v>ULIF06618/01/18DiscvryFnd101</v>
      </c>
      <c r="E9207" s="8" t="s">
        <v>381</v>
      </c>
      <c r="F9207" s="8" t="s">
        <v>993</v>
      </c>
    </row>
    <row r="9208" spans="1:6" ht="60" x14ac:dyDescent="0.25">
      <c r="A9208" s="8" t="s">
        <v>125</v>
      </c>
      <c r="B9208" s="8" t="s">
        <v>136</v>
      </c>
      <c r="C9208" s="8" t="str">
        <f>IFERROR(_xlfn.XLOOKUP(TRIM(B9208),Lookup!$B$2:$B$1000,Lookup!$C$2:$C$1000),"")</f>
        <v>Equity</v>
      </c>
      <c r="D9208" s="8" t="str">
        <f>IFERROR(INDEX('nav master'!$C:$C, MATCH(B9208, 'nav master'!$B:$B, 0)), "")</f>
        <v>ULIF06618/01/18DiscvryFnd101</v>
      </c>
      <c r="E9208" s="8" t="s">
        <v>383</v>
      </c>
      <c r="F9208" s="8" t="s">
        <v>994</v>
      </c>
    </row>
    <row r="9209" spans="1:6" ht="60" x14ac:dyDescent="0.25">
      <c r="A9209" s="8" t="s">
        <v>125</v>
      </c>
      <c r="B9209" s="8" t="s">
        <v>136</v>
      </c>
      <c r="C9209" s="8" t="str">
        <f>IFERROR(_xlfn.XLOOKUP(TRIM(B9209),Lookup!$B$2:$B$1000,Lookup!$C$2:$C$1000),"")</f>
        <v>Equity</v>
      </c>
      <c r="D9209" s="8" t="str">
        <f>IFERROR(INDEX('nav master'!$C:$C, MATCH(B9209, 'nav master'!$B:$B, 0)), "")</f>
        <v>ULIF06618/01/18DiscvryFnd101</v>
      </c>
      <c r="E9209" s="8" t="s">
        <v>385</v>
      </c>
      <c r="F9209" s="8" t="s">
        <v>995</v>
      </c>
    </row>
    <row r="9210" spans="1:6" ht="60" x14ac:dyDescent="0.25">
      <c r="A9210" s="8" t="s">
        <v>125</v>
      </c>
      <c r="B9210" s="8" t="s">
        <v>136</v>
      </c>
      <c r="C9210" s="8" t="str">
        <f>IFERROR(_xlfn.XLOOKUP(TRIM(B9210),Lookup!$B$2:$B$1000,Lookup!$C$2:$C$1000),"")</f>
        <v>Equity</v>
      </c>
      <c r="D9210" s="8" t="str">
        <f>IFERROR(INDEX('nav master'!$C:$C, MATCH(B9210, 'nav master'!$B:$B, 0)), "")</f>
        <v>ULIF06618/01/18DiscvryFnd101</v>
      </c>
      <c r="E9210" s="8" t="s">
        <v>387</v>
      </c>
      <c r="F9210" s="8" t="s">
        <v>996</v>
      </c>
    </row>
    <row r="9211" spans="1:6" ht="60" x14ac:dyDescent="0.25">
      <c r="A9211" s="8" t="s">
        <v>125</v>
      </c>
      <c r="B9211" s="8" t="s">
        <v>136</v>
      </c>
      <c r="C9211" s="8" t="str">
        <f>IFERROR(_xlfn.XLOOKUP(TRIM(B9211),Lookup!$B$2:$B$1000,Lookup!$C$2:$C$1000),"")</f>
        <v>Equity</v>
      </c>
      <c r="D9211" s="8" t="str">
        <f>IFERROR(INDEX('nav master'!$C:$C, MATCH(B9211, 'nav master'!$B:$B, 0)), "")</f>
        <v>ULIF06618/01/18DiscvryFnd101</v>
      </c>
      <c r="E9211" s="8" t="s">
        <v>389</v>
      </c>
      <c r="F9211" s="8" t="s">
        <v>997</v>
      </c>
    </row>
    <row r="9212" spans="1:6" ht="60" x14ac:dyDescent="0.25">
      <c r="A9212" s="8" t="s">
        <v>125</v>
      </c>
      <c r="B9212" s="8" t="s">
        <v>136</v>
      </c>
      <c r="C9212" s="8" t="str">
        <f>IFERROR(_xlfn.XLOOKUP(TRIM(B9212),Lookup!$B$2:$B$1000,Lookup!$C$2:$C$1000),"")</f>
        <v>Equity</v>
      </c>
      <c r="D9212" s="8" t="str">
        <f>IFERROR(INDEX('nav master'!$C:$C, MATCH(B9212, 'nav master'!$B:$B, 0)), "")</f>
        <v>ULIF06618/01/18DiscvryFnd101</v>
      </c>
      <c r="E9212" s="8" t="s">
        <v>391</v>
      </c>
      <c r="F9212" s="8" t="s">
        <v>998</v>
      </c>
    </row>
    <row r="9213" spans="1:6" ht="60" x14ac:dyDescent="0.25">
      <c r="A9213" s="8" t="s">
        <v>125</v>
      </c>
      <c r="B9213" s="8" t="s">
        <v>136</v>
      </c>
      <c r="C9213" s="8" t="str">
        <f>IFERROR(_xlfn.XLOOKUP(TRIM(B9213),Lookup!$B$2:$B$1000,Lookup!$C$2:$C$1000),"")</f>
        <v>Equity</v>
      </c>
      <c r="D9213" s="8" t="str">
        <f>IFERROR(INDEX('nav master'!$C:$C, MATCH(B9213, 'nav master'!$B:$B, 0)), "")</f>
        <v>ULIF06618/01/18DiscvryFnd101</v>
      </c>
      <c r="E9213" s="8" t="s">
        <v>393</v>
      </c>
      <c r="F9213" s="8" t="s">
        <v>999</v>
      </c>
    </row>
    <row r="9214" spans="1:6" ht="60" x14ac:dyDescent="0.25">
      <c r="A9214" s="8" t="s">
        <v>125</v>
      </c>
      <c r="B9214" s="8" t="s">
        <v>136</v>
      </c>
      <c r="C9214" s="8" t="str">
        <f>IFERROR(_xlfn.XLOOKUP(TRIM(B9214),Lookup!$B$2:$B$1000,Lookup!$C$2:$C$1000),"")</f>
        <v>Equity</v>
      </c>
      <c r="D9214" s="8" t="str">
        <f>IFERROR(INDEX('nav master'!$C:$C, MATCH(B9214, 'nav master'!$B:$B, 0)), "")</f>
        <v>ULIF06618/01/18DiscvryFnd101</v>
      </c>
      <c r="E9214" s="8" t="s">
        <v>395</v>
      </c>
      <c r="F9214" s="8" t="s">
        <v>1000</v>
      </c>
    </row>
    <row r="9215" spans="1:6" ht="60" x14ac:dyDescent="0.25">
      <c r="A9215" s="8" t="s">
        <v>125</v>
      </c>
      <c r="B9215" s="8" t="s">
        <v>136</v>
      </c>
      <c r="C9215" s="8" t="str">
        <f>IFERROR(_xlfn.XLOOKUP(TRIM(B9215),Lookup!$B$2:$B$1000,Lookup!$C$2:$C$1000),"")</f>
        <v>Equity</v>
      </c>
      <c r="D9215" s="8" t="str">
        <f>IFERROR(INDEX('nav master'!$C:$C, MATCH(B9215, 'nav master'!$B:$B, 0)), "")</f>
        <v>ULIF06618/01/18DiscvryFnd101</v>
      </c>
      <c r="E9215" s="8" t="s">
        <v>397</v>
      </c>
      <c r="F9215" s="8" t="s">
        <v>1001</v>
      </c>
    </row>
    <row r="9216" spans="1:6" ht="60" x14ac:dyDescent="0.25">
      <c r="A9216" s="8" t="s">
        <v>125</v>
      </c>
      <c r="B9216" s="8" t="s">
        <v>136</v>
      </c>
      <c r="C9216" s="8" t="str">
        <f>IFERROR(_xlfn.XLOOKUP(TRIM(B9216),Lookup!$B$2:$B$1000,Lookup!$C$2:$C$1000),"")</f>
        <v>Equity</v>
      </c>
      <c r="D9216" s="8" t="str">
        <f>IFERROR(INDEX('nav master'!$C:$C, MATCH(B9216, 'nav master'!$B:$B, 0)), "")</f>
        <v>ULIF06618/01/18DiscvryFnd101</v>
      </c>
      <c r="E9216" s="8" t="s">
        <v>399</v>
      </c>
      <c r="F9216" s="8" t="s">
        <v>1002</v>
      </c>
    </row>
    <row r="9217" spans="1:6" ht="60" x14ac:dyDescent="0.25">
      <c r="A9217" s="8" t="s">
        <v>125</v>
      </c>
      <c r="B9217" s="8" t="s">
        <v>136</v>
      </c>
      <c r="C9217" s="8" t="str">
        <f>IFERROR(_xlfn.XLOOKUP(TRIM(B9217),Lookup!$B$2:$B$1000,Lookup!$C$2:$C$1000),"")</f>
        <v>Equity</v>
      </c>
      <c r="D9217" s="8" t="str">
        <f>IFERROR(INDEX('nav master'!$C:$C, MATCH(B9217, 'nav master'!$B:$B, 0)), "")</f>
        <v>ULIF06618/01/18DiscvryFnd101</v>
      </c>
      <c r="E9217" s="8" t="s">
        <v>401</v>
      </c>
      <c r="F9217" s="8" t="s">
        <v>1003</v>
      </c>
    </row>
    <row r="9218" spans="1:6" ht="60" x14ac:dyDescent="0.25">
      <c r="A9218" s="8" t="s">
        <v>125</v>
      </c>
      <c r="B9218" s="8" t="s">
        <v>136</v>
      </c>
      <c r="C9218" s="8" t="str">
        <f>IFERROR(_xlfn.XLOOKUP(TRIM(B9218),Lookup!$B$2:$B$1000,Lookup!$C$2:$C$1000),"")</f>
        <v>Equity</v>
      </c>
      <c r="D9218" s="8" t="str">
        <f>IFERROR(INDEX('nav master'!$C:$C, MATCH(B9218, 'nav master'!$B:$B, 0)), "")</f>
        <v>ULIF06618/01/18DiscvryFnd101</v>
      </c>
      <c r="E9218" s="8" t="s">
        <v>403</v>
      </c>
      <c r="F9218" s="8" t="s">
        <v>1004</v>
      </c>
    </row>
    <row r="9219" spans="1:6" ht="60" x14ac:dyDescent="0.25">
      <c r="A9219" s="8" t="s">
        <v>125</v>
      </c>
      <c r="B9219" s="8" t="s">
        <v>136</v>
      </c>
      <c r="C9219" s="8" t="str">
        <f>IFERROR(_xlfn.XLOOKUP(TRIM(B9219),Lookup!$B$2:$B$1000,Lookup!$C$2:$C$1000),"")</f>
        <v>Equity</v>
      </c>
      <c r="D9219" s="8" t="str">
        <f>IFERROR(INDEX('nav master'!$C:$C, MATCH(B9219, 'nav master'!$B:$B, 0)), "")</f>
        <v>ULIF06618/01/18DiscvryFnd101</v>
      </c>
      <c r="E9219" s="8" t="s">
        <v>405</v>
      </c>
      <c r="F9219" s="8" t="s">
        <v>1005</v>
      </c>
    </row>
    <row r="9220" spans="1:6" ht="60" x14ac:dyDescent="0.25">
      <c r="A9220" s="8" t="s">
        <v>125</v>
      </c>
      <c r="B9220" s="8" t="s">
        <v>136</v>
      </c>
      <c r="C9220" s="8" t="str">
        <f>IFERROR(_xlfn.XLOOKUP(TRIM(B9220),Lookup!$B$2:$B$1000,Lookup!$C$2:$C$1000),"")</f>
        <v>Equity</v>
      </c>
      <c r="D9220" s="8" t="str">
        <f>IFERROR(INDEX('nav master'!$C:$C, MATCH(B9220, 'nav master'!$B:$B, 0)), "")</f>
        <v>ULIF06618/01/18DiscvryFnd101</v>
      </c>
      <c r="E9220" s="8" t="s">
        <v>407</v>
      </c>
      <c r="F9220" s="8" t="s">
        <v>1006</v>
      </c>
    </row>
    <row r="9221" spans="1:6" ht="60" x14ac:dyDescent="0.25">
      <c r="A9221" s="8" t="s">
        <v>125</v>
      </c>
      <c r="B9221" s="8" t="s">
        <v>136</v>
      </c>
      <c r="C9221" s="8" t="str">
        <f>IFERROR(_xlfn.XLOOKUP(TRIM(B9221),Lookup!$B$2:$B$1000,Lookup!$C$2:$C$1000),"")</f>
        <v>Equity</v>
      </c>
      <c r="D9221" s="8" t="str">
        <f>IFERROR(INDEX('nav master'!$C:$C, MATCH(B9221, 'nav master'!$B:$B, 0)), "")</f>
        <v>ULIF06618/01/18DiscvryFnd101</v>
      </c>
      <c r="E9221" s="8" t="s">
        <v>409</v>
      </c>
      <c r="F9221" s="8" t="s">
        <v>1007</v>
      </c>
    </row>
    <row r="9222" spans="1:6" ht="60" x14ac:dyDescent="0.25">
      <c r="A9222" s="8" t="s">
        <v>125</v>
      </c>
      <c r="B9222" s="8" t="s">
        <v>136</v>
      </c>
      <c r="C9222" s="8" t="str">
        <f>IFERROR(_xlfn.XLOOKUP(TRIM(B9222),Lookup!$B$2:$B$1000,Lookup!$C$2:$C$1000),"")</f>
        <v>Equity</v>
      </c>
      <c r="D9222" s="8" t="str">
        <f>IFERROR(INDEX('nav master'!$C:$C, MATCH(B9222, 'nav master'!$B:$B, 0)), "")</f>
        <v>ULIF06618/01/18DiscvryFnd101</v>
      </c>
      <c r="E9222" s="8" t="s">
        <v>411</v>
      </c>
      <c r="F9222" s="8" t="s">
        <v>1008</v>
      </c>
    </row>
    <row r="9223" spans="1:6" ht="60" x14ac:dyDescent="0.25">
      <c r="A9223" s="8" t="s">
        <v>125</v>
      </c>
      <c r="B9223" s="8" t="s">
        <v>136</v>
      </c>
      <c r="C9223" s="8" t="str">
        <f>IFERROR(_xlfn.XLOOKUP(TRIM(B9223),Lookup!$B$2:$B$1000,Lookup!$C$2:$C$1000),"")</f>
        <v>Equity</v>
      </c>
      <c r="D9223" s="8" t="str">
        <f>IFERROR(INDEX('nav master'!$C:$C, MATCH(B9223, 'nav master'!$B:$B, 0)), "")</f>
        <v>ULIF06618/01/18DiscvryFnd101</v>
      </c>
      <c r="E9223" s="8" t="s">
        <v>413</v>
      </c>
      <c r="F9223" s="8" t="s">
        <v>1009</v>
      </c>
    </row>
    <row r="9224" spans="1:6" ht="60" x14ac:dyDescent="0.25">
      <c r="A9224" s="8" t="s">
        <v>125</v>
      </c>
      <c r="B9224" s="8" t="s">
        <v>136</v>
      </c>
      <c r="C9224" s="8" t="str">
        <f>IFERROR(_xlfn.XLOOKUP(TRIM(B9224),Lookup!$B$2:$B$1000,Lookup!$C$2:$C$1000),"")</f>
        <v>Equity</v>
      </c>
      <c r="D9224" s="8" t="str">
        <f>IFERROR(INDEX('nav master'!$C:$C, MATCH(B9224, 'nav master'!$B:$B, 0)), "")</f>
        <v>ULIF06618/01/18DiscvryFnd101</v>
      </c>
      <c r="E9224" s="8" t="s">
        <v>415</v>
      </c>
      <c r="F9224" s="8" t="s">
        <v>1010</v>
      </c>
    </row>
    <row r="9225" spans="1:6" ht="60" x14ac:dyDescent="0.25">
      <c r="A9225" s="8" t="s">
        <v>125</v>
      </c>
      <c r="B9225" s="8" t="s">
        <v>136</v>
      </c>
      <c r="C9225" s="8" t="str">
        <f>IFERROR(_xlfn.XLOOKUP(TRIM(B9225),Lookup!$B$2:$B$1000,Lookup!$C$2:$C$1000),"")</f>
        <v>Equity</v>
      </c>
      <c r="D9225" s="8" t="str">
        <f>IFERROR(INDEX('nav master'!$C:$C, MATCH(B9225, 'nav master'!$B:$B, 0)), "")</f>
        <v>ULIF06618/01/18DiscvryFnd101</v>
      </c>
      <c r="E9225" s="8" t="s">
        <v>417</v>
      </c>
      <c r="F9225" s="8" t="s">
        <v>1011</v>
      </c>
    </row>
    <row r="9226" spans="1:6" ht="60" x14ac:dyDescent="0.25">
      <c r="A9226" s="8" t="s">
        <v>125</v>
      </c>
      <c r="B9226" s="8" t="s">
        <v>136</v>
      </c>
      <c r="C9226" s="8" t="str">
        <f>IFERROR(_xlfn.XLOOKUP(TRIM(B9226),Lookup!$B$2:$B$1000,Lookup!$C$2:$C$1000),"")</f>
        <v>Equity</v>
      </c>
      <c r="D9226" s="8" t="str">
        <f>IFERROR(INDEX('nav master'!$C:$C, MATCH(B9226, 'nav master'!$B:$B, 0)), "")</f>
        <v>ULIF06618/01/18DiscvryFnd101</v>
      </c>
      <c r="E9226" s="8" t="s">
        <v>419</v>
      </c>
      <c r="F9226" s="8" t="s">
        <v>1012</v>
      </c>
    </row>
    <row r="9227" spans="1:6" ht="60" x14ac:dyDescent="0.25">
      <c r="A9227" s="8" t="s">
        <v>125</v>
      </c>
      <c r="B9227" s="8" t="s">
        <v>136</v>
      </c>
      <c r="C9227" s="8" t="str">
        <f>IFERROR(_xlfn.XLOOKUP(TRIM(B9227),Lookup!$B$2:$B$1000,Lookup!$C$2:$C$1000),"")</f>
        <v>Equity</v>
      </c>
      <c r="D9227" s="8" t="str">
        <f>IFERROR(INDEX('nav master'!$C:$C, MATCH(B9227, 'nav master'!$B:$B, 0)), "")</f>
        <v>ULIF06618/01/18DiscvryFnd101</v>
      </c>
      <c r="E9227" s="8" t="s">
        <v>421</v>
      </c>
      <c r="F9227" s="8" t="s">
        <v>1013</v>
      </c>
    </row>
    <row r="9228" spans="1:6" ht="60" x14ac:dyDescent="0.25">
      <c r="A9228" s="8" t="s">
        <v>125</v>
      </c>
      <c r="B9228" s="8" t="s">
        <v>136</v>
      </c>
      <c r="C9228" s="8" t="str">
        <f>IFERROR(_xlfn.XLOOKUP(TRIM(B9228),Lookup!$B$2:$B$1000,Lookup!$C$2:$C$1000),"")</f>
        <v>Equity</v>
      </c>
      <c r="D9228" s="8" t="str">
        <f>IFERROR(INDEX('nav master'!$C:$C, MATCH(B9228, 'nav master'!$B:$B, 0)), "")</f>
        <v>ULIF06618/01/18DiscvryFnd101</v>
      </c>
      <c r="E9228" s="8" t="s">
        <v>423</v>
      </c>
      <c r="F9228" s="8" t="s">
        <v>1014</v>
      </c>
    </row>
    <row r="9229" spans="1:6" ht="60" x14ac:dyDescent="0.25">
      <c r="A9229" s="8" t="s">
        <v>125</v>
      </c>
      <c r="B9229" s="8" t="s">
        <v>136</v>
      </c>
      <c r="C9229" s="8" t="str">
        <f>IFERROR(_xlfn.XLOOKUP(TRIM(B9229),Lookup!$B$2:$B$1000,Lookup!$C$2:$C$1000),"")</f>
        <v>Equity</v>
      </c>
      <c r="D9229" s="8" t="str">
        <f>IFERROR(INDEX('nav master'!$C:$C, MATCH(B9229, 'nav master'!$B:$B, 0)), "")</f>
        <v>ULIF06618/01/18DiscvryFnd101</v>
      </c>
      <c r="E9229" s="8" t="s">
        <v>425</v>
      </c>
      <c r="F9229" s="8" t="s">
        <v>1015</v>
      </c>
    </row>
    <row r="9230" spans="1:6" ht="60" x14ac:dyDescent="0.25">
      <c r="A9230" s="8" t="s">
        <v>125</v>
      </c>
      <c r="B9230" s="8" t="s">
        <v>136</v>
      </c>
      <c r="C9230" s="8" t="str">
        <f>IFERROR(_xlfn.XLOOKUP(TRIM(B9230),Lookup!$B$2:$B$1000,Lookup!$C$2:$C$1000),"")</f>
        <v>Equity</v>
      </c>
      <c r="D9230" s="8" t="str">
        <f>IFERROR(INDEX('nav master'!$C:$C, MATCH(B9230, 'nav master'!$B:$B, 0)), "")</f>
        <v>ULIF06618/01/18DiscvryFnd101</v>
      </c>
      <c r="E9230" s="8" t="s">
        <v>427</v>
      </c>
      <c r="F9230" s="8" t="s">
        <v>1016</v>
      </c>
    </row>
    <row r="9231" spans="1:6" ht="60" x14ac:dyDescent="0.25">
      <c r="A9231" s="8" t="s">
        <v>125</v>
      </c>
      <c r="B9231" s="8" t="s">
        <v>136</v>
      </c>
      <c r="C9231" s="8" t="str">
        <f>IFERROR(_xlfn.XLOOKUP(TRIM(B9231),Lookup!$B$2:$B$1000,Lookup!$C$2:$C$1000),"")</f>
        <v>Equity</v>
      </c>
      <c r="D9231" s="8" t="str">
        <f>IFERROR(INDEX('nav master'!$C:$C, MATCH(B9231, 'nav master'!$B:$B, 0)), "")</f>
        <v>ULIF06618/01/18DiscvryFnd101</v>
      </c>
      <c r="E9231" s="8" t="s">
        <v>429</v>
      </c>
      <c r="F9231" s="8" t="s">
        <v>1017</v>
      </c>
    </row>
    <row r="9232" spans="1:6" ht="60" x14ac:dyDescent="0.25">
      <c r="A9232" s="8" t="s">
        <v>125</v>
      </c>
      <c r="B9232" s="8" t="s">
        <v>136</v>
      </c>
      <c r="C9232" s="8" t="str">
        <f>IFERROR(_xlfn.XLOOKUP(TRIM(B9232),Lookup!$B$2:$B$1000,Lookup!$C$2:$C$1000),"")</f>
        <v>Equity</v>
      </c>
      <c r="D9232" s="8" t="str">
        <f>IFERROR(INDEX('nav master'!$C:$C, MATCH(B9232, 'nav master'!$B:$B, 0)), "")</f>
        <v>ULIF06618/01/18DiscvryFnd101</v>
      </c>
      <c r="E9232" s="8" t="s">
        <v>431</v>
      </c>
      <c r="F9232" s="8" t="s">
        <v>1018</v>
      </c>
    </row>
    <row r="9233" spans="1:6" ht="60" x14ac:dyDescent="0.25">
      <c r="A9233" s="8" t="s">
        <v>125</v>
      </c>
      <c r="B9233" s="8" t="s">
        <v>136</v>
      </c>
      <c r="C9233" s="8" t="str">
        <f>IFERROR(_xlfn.XLOOKUP(TRIM(B9233),Lookup!$B$2:$B$1000,Lookup!$C$2:$C$1000),"")</f>
        <v>Equity</v>
      </c>
      <c r="D9233" s="8" t="str">
        <f>IFERROR(INDEX('nav master'!$C:$C, MATCH(B9233, 'nav master'!$B:$B, 0)), "")</f>
        <v>ULIF06618/01/18DiscvryFnd101</v>
      </c>
      <c r="E9233" s="8" t="s">
        <v>433</v>
      </c>
      <c r="F9233" s="8" t="s">
        <v>1019</v>
      </c>
    </row>
    <row r="9234" spans="1:6" ht="60" x14ac:dyDescent="0.25">
      <c r="A9234" s="8" t="s">
        <v>125</v>
      </c>
      <c r="B9234" s="8" t="s">
        <v>136</v>
      </c>
      <c r="C9234" s="8" t="str">
        <f>IFERROR(_xlfn.XLOOKUP(TRIM(B9234),Lookup!$B$2:$B$1000,Lookup!$C$2:$C$1000),"")</f>
        <v>Equity</v>
      </c>
      <c r="D9234" s="8" t="str">
        <f>IFERROR(INDEX('nav master'!$C:$C, MATCH(B9234, 'nav master'!$B:$B, 0)), "")</f>
        <v>ULIF06618/01/18DiscvryFnd101</v>
      </c>
      <c r="E9234" s="8" t="s">
        <v>435</v>
      </c>
      <c r="F9234" s="8" t="s">
        <v>1020</v>
      </c>
    </row>
    <row r="9235" spans="1:6" ht="60" x14ac:dyDescent="0.25">
      <c r="A9235" s="8" t="s">
        <v>125</v>
      </c>
      <c r="B9235" s="8" t="s">
        <v>136</v>
      </c>
      <c r="C9235" s="8" t="str">
        <f>IFERROR(_xlfn.XLOOKUP(TRIM(B9235),Lookup!$B$2:$B$1000,Lookup!$C$2:$C$1000),"")</f>
        <v>Equity</v>
      </c>
      <c r="D9235" s="8" t="str">
        <f>IFERROR(INDEX('nav master'!$C:$C, MATCH(B9235, 'nav master'!$B:$B, 0)), "")</f>
        <v>ULIF06618/01/18DiscvryFnd101</v>
      </c>
      <c r="E9235" s="8" t="s">
        <v>437</v>
      </c>
      <c r="F9235" s="8" t="s">
        <v>1021</v>
      </c>
    </row>
    <row r="9236" spans="1:6" ht="60" x14ac:dyDescent="0.25">
      <c r="A9236" s="8" t="s">
        <v>125</v>
      </c>
      <c r="B9236" s="8" t="s">
        <v>136</v>
      </c>
      <c r="C9236" s="8" t="str">
        <f>IFERROR(_xlfn.XLOOKUP(TRIM(B9236),Lookup!$B$2:$B$1000,Lookup!$C$2:$C$1000),"")</f>
        <v>Equity</v>
      </c>
      <c r="D9236" s="8" t="str">
        <f>IFERROR(INDEX('nav master'!$C:$C, MATCH(B9236, 'nav master'!$B:$B, 0)), "")</f>
        <v>ULIF06618/01/18DiscvryFnd101</v>
      </c>
      <c r="E9236" s="8" t="s">
        <v>439</v>
      </c>
      <c r="F9236" s="8" t="s">
        <v>1022</v>
      </c>
    </row>
    <row r="9237" spans="1:6" ht="60" x14ac:dyDescent="0.25">
      <c r="A9237" s="8" t="s">
        <v>125</v>
      </c>
      <c r="B9237" s="8" t="s">
        <v>136</v>
      </c>
      <c r="C9237" s="8" t="str">
        <f>IFERROR(_xlfn.XLOOKUP(TRIM(B9237),Lookup!$B$2:$B$1000,Lookup!$C$2:$C$1000),"")</f>
        <v>Equity</v>
      </c>
      <c r="D9237" s="8" t="str">
        <f>IFERROR(INDEX('nav master'!$C:$C, MATCH(B9237, 'nav master'!$B:$B, 0)), "")</f>
        <v>ULIF06618/01/18DiscvryFnd101</v>
      </c>
      <c r="E9237" s="8" t="s">
        <v>441</v>
      </c>
      <c r="F9237" s="8" t="s">
        <v>1023</v>
      </c>
    </row>
    <row r="9238" spans="1:6" ht="60" x14ac:dyDescent="0.25">
      <c r="A9238" s="8" t="s">
        <v>125</v>
      </c>
      <c r="B9238" s="8" t="s">
        <v>136</v>
      </c>
      <c r="C9238" s="8" t="str">
        <f>IFERROR(_xlfn.XLOOKUP(TRIM(B9238),Lookup!$B$2:$B$1000,Lookup!$C$2:$C$1000),"")</f>
        <v>Equity</v>
      </c>
      <c r="D9238" s="8" t="str">
        <f>IFERROR(INDEX('nav master'!$C:$C, MATCH(B9238, 'nav master'!$B:$B, 0)), "")</f>
        <v>ULIF06618/01/18DiscvryFnd101</v>
      </c>
      <c r="E9238" s="8" t="s">
        <v>443</v>
      </c>
      <c r="F9238" s="8" t="s">
        <v>1024</v>
      </c>
    </row>
    <row r="9239" spans="1:6" ht="60" x14ac:dyDescent="0.25">
      <c r="A9239" s="8" t="s">
        <v>125</v>
      </c>
      <c r="B9239" s="8" t="s">
        <v>136</v>
      </c>
      <c r="C9239" s="8" t="str">
        <f>IFERROR(_xlfn.XLOOKUP(TRIM(B9239),Lookup!$B$2:$B$1000,Lookup!$C$2:$C$1000),"")</f>
        <v>Equity</v>
      </c>
      <c r="D9239" s="8" t="str">
        <f>IFERROR(INDEX('nav master'!$C:$C, MATCH(B9239, 'nav master'!$B:$B, 0)), "")</f>
        <v>ULIF06618/01/18DiscvryFnd101</v>
      </c>
      <c r="E9239" s="8" t="s">
        <v>445</v>
      </c>
      <c r="F9239" s="8" t="s">
        <v>1025</v>
      </c>
    </row>
    <row r="9240" spans="1:6" ht="60" x14ac:dyDescent="0.25">
      <c r="A9240" s="8" t="s">
        <v>125</v>
      </c>
      <c r="B9240" s="8" t="s">
        <v>136</v>
      </c>
      <c r="C9240" s="8" t="str">
        <f>IFERROR(_xlfn.XLOOKUP(TRIM(B9240),Lookup!$B$2:$B$1000,Lookup!$C$2:$C$1000),"")</f>
        <v>Equity</v>
      </c>
      <c r="D9240" s="8" t="str">
        <f>IFERROR(INDEX('nav master'!$C:$C, MATCH(B9240, 'nav master'!$B:$B, 0)), "")</f>
        <v>ULIF06618/01/18DiscvryFnd101</v>
      </c>
      <c r="E9240" s="8" t="s">
        <v>446</v>
      </c>
      <c r="F9240" s="8" t="s">
        <v>1026</v>
      </c>
    </row>
    <row r="9241" spans="1:6" ht="60" x14ac:dyDescent="0.25">
      <c r="A9241" s="8" t="s">
        <v>125</v>
      </c>
      <c r="B9241" s="8" t="s">
        <v>136</v>
      </c>
      <c r="C9241" s="8" t="str">
        <f>IFERROR(_xlfn.XLOOKUP(TRIM(B9241),Lookup!$B$2:$B$1000,Lookup!$C$2:$C$1000),"")</f>
        <v>Equity</v>
      </c>
      <c r="D9241" s="8" t="str">
        <f>IFERROR(INDEX('nav master'!$C:$C, MATCH(B9241, 'nav master'!$B:$B, 0)), "")</f>
        <v>ULIF06618/01/18DiscvryFnd101</v>
      </c>
      <c r="E9241" s="8" t="s">
        <v>448</v>
      </c>
      <c r="F9241" s="8" t="s">
        <v>1027</v>
      </c>
    </row>
    <row r="9242" spans="1:6" ht="60" x14ac:dyDescent="0.25">
      <c r="A9242" s="8" t="s">
        <v>125</v>
      </c>
      <c r="B9242" s="8" t="s">
        <v>136</v>
      </c>
      <c r="C9242" s="8" t="str">
        <f>IFERROR(_xlfn.XLOOKUP(TRIM(B9242),Lookup!$B$2:$B$1000,Lookup!$C$2:$C$1000),"")</f>
        <v>Equity</v>
      </c>
      <c r="D9242" s="8" t="str">
        <f>IFERROR(INDEX('nav master'!$C:$C, MATCH(B9242, 'nav master'!$B:$B, 0)), "")</f>
        <v>ULIF06618/01/18DiscvryFnd101</v>
      </c>
      <c r="E9242" s="8" t="s">
        <v>450</v>
      </c>
      <c r="F9242" s="8" t="s">
        <v>1028</v>
      </c>
    </row>
    <row r="9243" spans="1:6" ht="60" x14ac:dyDescent="0.25">
      <c r="A9243" s="8" t="s">
        <v>125</v>
      </c>
      <c r="B9243" s="8" t="s">
        <v>136</v>
      </c>
      <c r="C9243" s="8" t="str">
        <f>IFERROR(_xlfn.XLOOKUP(TRIM(B9243),Lookup!$B$2:$B$1000,Lookup!$C$2:$C$1000),"")</f>
        <v>Equity</v>
      </c>
      <c r="D9243" s="8" t="str">
        <f>IFERROR(INDEX('nav master'!$C:$C, MATCH(B9243, 'nav master'!$B:$B, 0)), "")</f>
        <v>ULIF06618/01/18DiscvryFnd101</v>
      </c>
      <c r="E9243" s="8" t="s">
        <v>452</v>
      </c>
      <c r="F9243" s="8" t="s">
        <v>1029</v>
      </c>
    </row>
    <row r="9244" spans="1:6" ht="60" x14ac:dyDescent="0.25">
      <c r="A9244" s="8" t="s">
        <v>125</v>
      </c>
      <c r="B9244" s="8" t="s">
        <v>136</v>
      </c>
      <c r="C9244" s="8" t="str">
        <f>IFERROR(_xlfn.XLOOKUP(TRIM(B9244),Lookup!$B$2:$B$1000,Lookup!$C$2:$C$1000),"")</f>
        <v>Equity</v>
      </c>
      <c r="D9244" s="8" t="str">
        <f>IFERROR(INDEX('nav master'!$C:$C, MATCH(B9244, 'nav master'!$B:$B, 0)), "")</f>
        <v>ULIF06618/01/18DiscvryFnd101</v>
      </c>
      <c r="E9244" s="8" t="s">
        <v>454</v>
      </c>
      <c r="F9244" s="8" t="s">
        <v>1030</v>
      </c>
    </row>
    <row r="9245" spans="1:6" ht="60" x14ac:dyDescent="0.25">
      <c r="A9245" s="8" t="s">
        <v>125</v>
      </c>
      <c r="B9245" s="8" t="s">
        <v>136</v>
      </c>
      <c r="C9245" s="8" t="str">
        <f>IFERROR(_xlfn.XLOOKUP(TRIM(B9245),Lookup!$B$2:$B$1000,Lookup!$C$2:$C$1000),"")</f>
        <v>Equity</v>
      </c>
      <c r="D9245" s="8" t="str">
        <f>IFERROR(INDEX('nav master'!$C:$C, MATCH(B9245, 'nav master'!$B:$B, 0)), "")</f>
        <v>ULIF06618/01/18DiscvryFnd101</v>
      </c>
      <c r="E9245" s="8" t="s">
        <v>456</v>
      </c>
      <c r="F9245" s="8" t="s">
        <v>1031</v>
      </c>
    </row>
    <row r="9246" spans="1:6" ht="60" x14ac:dyDescent="0.25">
      <c r="A9246" s="8" t="s">
        <v>125</v>
      </c>
      <c r="B9246" s="8" t="s">
        <v>136</v>
      </c>
      <c r="C9246" s="8" t="str">
        <f>IFERROR(_xlfn.XLOOKUP(TRIM(B9246),Lookup!$B$2:$B$1000,Lookup!$C$2:$C$1000),"")</f>
        <v>Equity</v>
      </c>
      <c r="D9246" s="8" t="str">
        <f>IFERROR(INDEX('nav master'!$C:$C, MATCH(B9246, 'nav master'!$B:$B, 0)), "")</f>
        <v>ULIF06618/01/18DiscvryFnd101</v>
      </c>
      <c r="E9246" s="8" t="s">
        <v>458</v>
      </c>
      <c r="F9246" s="8" t="s">
        <v>1032</v>
      </c>
    </row>
    <row r="9247" spans="1:6" ht="60" x14ac:dyDescent="0.25">
      <c r="A9247" s="8" t="s">
        <v>125</v>
      </c>
      <c r="B9247" s="8" t="s">
        <v>136</v>
      </c>
      <c r="C9247" s="8" t="str">
        <f>IFERROR(_xlfn.XLOOKUP(TRIM(B9247),Lookup!$B$2:$B$1000,Lookup!$C$2:$C$1000),"")</f>
        <v>Equity</v>
      </c>
      <c r="D9247" s="8" t="str">
        <f>IFERROR(INDEX('nav master'!$C:$C, MATCH(B9247, 'nav master'!$B:$B, 0)), "")</f>
        <v>ULIF06618/01/18DiscvryFnd101</v>
      </c>
      <c r="E9247" s="8" t="s">
        <v>460</v>
      </c>
      <c r="F9247" s="8" t="s">
        <v>1033</v>
      </c>
    </row>
    <row r="9248" spans="1:6" ht="60" x14ac:dyDescent="0.25">
      <c r="A9248" s="8" t="s">
        <v>125</v>
      </c>
      <c r="B9248" s="8" t="s">
        <v>136</v>
      </c>
      <c r="C9248" s="8" t="str">
        <f>IFERROR(_xlfn.XLOOKUP(TRIM(B9248),Lookup!$B$2:$B$1000,Lookup!$C$2:$C$1000),"")</f>
        <v>Equity</v>
      </c>
      <c r="D9248" s="8" t="str">
        <f>IFERROR(INDEX('nav master'!$C:$C, MATCH(B9248, 'nav master'!$B:$B, 0)), "")</f>
        <v>ULIF06618/01/18DiscvryFnd101</v>
      </c>
      <c r="E9248" s="8" t="s">
        <v>462</v>
      </c>
      <c r="F9248" s="8" t="s">
        <v>1034</v>
      </c>
    </row>
    <row r="9249" spans="1:6" ht="60" x14ac:dyDescent="0.25">
      <c r="A9249" s="8" t="s">
        <v>125</v>
      </c>
      <c r="B9249" s="8" t="s">
        <v>136</v>
      </c>
      <c r="C9249" s="8" t="str">
        <f>IFERROR(_xlfn.XLOOKUP(TRIM(B9249),Lookup!$B$2:$B$1000,Lookup!$C$2:$C$1000),"")</f>
        <v>Equity</v>
      </c>
      <c r="D9249" s="8" t="str">
        <f>IFERROR(INDEX('nav master'!$C:$C, MATCH(B9249, 'nav master'!$B:$B, 0)), "")</f>
        <v>ULIF06618/01/18DiscvryFnd101</v>
      </c>
      <c r="E9249" s="8" t="s">
        <v>464</v>
      </c>
      <c r="F9249" s="8" t="s">
        <v>1035</v>
      </c>
    </row>
    <row r="9250" spans="1:6" ht="60" x14ac:dyDescent="0.25">
      <c r="A9250" s="8" t="s">
        <v>125</v>
      </c>
      <c r="B9250" s="8" t="s">
        <v>136</v>
      </c>
      <c r="C9250" s="8" t="str">
        <f>IFERROR(_xlfn.XLOOKUP(TRIM(B9250),Lookup!$B$2:$B$1000,Lookup!$C$2:$C$1000),"")</f>
        <v>Equity</v>
      </c>
      <c r="D9250" s="8" t="str">
        <f>IFERROR(INDEX('nav master'!$C:$C, MATCH(B9250, 'nav master'!$B:$B, 0)), "")</f>
        <v>ULIF06618/01/18DiscvryFnd101</v>
      </c>
      <c r="E9250" s="8" t="s">
        <v>466</v>
      </c>
      <c r="F9250" s="8" t="s">
        <v>1036</v>
      </c>
    </row>
    <row r="9251" spans="1:6" ht="60" x14ac:dyDescent="0.25">
      <c r="A9251" s="8" t="s">
        <v>125</v>
      </c>
      <c r="B9251" s="8" t="s">
        <v>136</v>
      </c>
      <c r="C9251" s="8" t="str">
        <f>IFERROR(_xlfn.XLOOKUP(TRIM(B9251),Lookup!$B$2:$B$1000,Lookup!$C$2:$C$1000),"")</f>
        <v>Equity</v>
      </c>
      <c r="D9251" s="8" t="str">
        <f>IFERROR(INDEX('nav master'!$C:$C, MATCH(B9251, 'nav master'!$B:$B, 0)), "")</f>
        <v>ULIF06618/01/18DiscvryFnd101</v>
      </c>
      <c r="E9251" s="8" t="s">
        <v>468</v>
      </c>
      <c r="F9251" s="8" t="s">
        <v>1037</v>
      </c>
    </row>
    <row r="9252" spans="1:6" ht="60" x14ac:dyDescent="0.25">
      <c r="A9252" s="8" t="s">
        <v>125</v>
      </c>
      <c r="B9252" s="8" t="s">
        <v>136</v>
      </c>
      <c r="C9252" s="8" t="str">
        <f>IFERROR(_xlfn.XLOOKUP(TRIM(B9252),Lookup!$B$2:$B$1000,Lookup!$C$2:$C$1000),"")</f>
        <v>Equity</v>
      </c>
      <c r="D9252" s="8" t="str">
        <f>IFERROR(INDEX('nav master'!$C:$C, MATCH(B9252, 'nav master'!$B:$B, 0)), "")</f>
        <v>ULIF06618/01/18DiscvryFnd101</v>
      </c>
      <c r="E9252" s="8" t="s">
        <v>470</v>
      </c>
      <c r="F9252" s="8" t="s">
        <v>1038</v>
      </c>
    </row>
    <row r="9253" spans="1:6" ht="60" x14ac:dyDescent="0.25">
      <c r="A9253" s="8" t="s">
        <v>125</v>
      </c>
      <c r="B9253" s="8" t="s">
        <v>136</v>
      </c>
      <c r="C9253" s="8" t="str">
        <f>IFERROR(_xlfn.XLOOKUP(TRIM(B9253),Lookup!$B$2:$B$1000,Lookup!$C$2:$C$1000),"")</f>
        <v>Equity</v>
      </c>
      <c r="D9253" s="8" t="str">
        <f>IFERROR(INDEX('nav master'!$C:$C, MATCH(B9253, 'nav master'!$B:$B, 0)), "")</f>
        <v>ULIF06618/01/18DiscvryFnd101</v>
      </c>
      <c r="E9253" s="8" t="s">
        <v>472</v>
      </c>
      <c r="F9253" s="8" t="s">
        <v>1039</v>
      </c>
    </row>
    <row r="9254" spans="1:6" ht="60" x14ac:dyDescent="0.25">
      <c r="A9254" s="8" t="s">
        <v>125</v>
      </c>
      <c r="B9254" s="8" t="s">
        <v>136</v>
      </c>
      <c r="C9254" s="8" t="str">
        <f>IFERROR(_xlfn.XLOOKUP(TRIM(B9254),Lookup!$B$2:$B$1000,Lookup!$C$2:$C$1000),"")</f>
        <v>Equity</v>
      </c>
      <c r="D9254" s="8" t="str">
        <f>IFERROR(INDEX('nav master'!$C:$C, MATCH(B9254, 'nav master'!$B:$B, 0)), "")</f>
        <v>ULIF06618/01/18DiscvryFnd101</v>
      </c>
      <c r="E9254" s="8" t="s">
        <v>474</v>
      </c>
      <c r="F9254" s="8" t="s">
        <v>1040</v>
      </c>
    </row>
    <row r="9255" spans="1:6" ht="60" x14ac:dyDescent="0.25">
      <c r="A9255" s="8" t="s">
        <v>125</v>
      </c>
      <c r="B9255" s="8" t="s">
        <v>136</v>
      </c>
      <c r="C9255" s="8" t="str">
        <f>IFERROR(_xlfn.XLOOKUP(TRIM(B9255),Lookup!$B$2:$B$1000,Lookup!$C$2:$C$1000),"")</f>
        <v>Equity</v>
      </c>
      <c r="D9255" s="8" t="str">
        <f>IFERROR(INDEX('nav master'!$C:$C, MATCH(B9255, 'nav master'!$B:$B, 0)), "")</f>
        <v>ULIF06618/01/18DiscvryFnd101</v>
      </c>
      <c r="E9255" s="8" t="s">
        <v>476</v>
      </c>
      <c r="F9255" s="8" t="s">
        <v>1041</v>
      </c>
    </row>
    <row r="9256" spans="1:6" ht="60" x14ac:dyDescent="0.25">
      <c r="A9256" s="8" t="s">
        <v>125</v>
      </c>
      <c r="B9256" s="8" t="s">
        <v>136</v>
      </c>
      <c r="C9256" s="8" t="str">
        <f>IFERROR(_xlfn.XLOOKUP(TRIM(B9256),Lookup!$B$2:$B$1000,Lookup!$C$2:$C$1000),"")</f>
        <v>Equity</v>
      </c>
      <c r="D9256" s="8" t="str">
        <f>IFERROR(INDEX('nav master'!$C:$C, MATCH(B9256, 'nav master'!$B:$B, 0)), "")</f>
        <v>ULIF06618/01/18DiscvryFnd101</v>
      </c>
      <c r="E9256" s="8" t="s">
        <v>478</v>
      </c>
      <c r="F9256" s="8" t="s">
        <v>1042</v>
      </c>
    </row>
    <row r="9257" spans="1:6" ht="60" x14ac:dyDescent="0.25">
      <c r="A9257" s="8" t="s">
        <v>125</v>
      </c>
      <c r="B9257" s="8" t="s">
        <v>136</v>
      </c>
      <c r="C9257" s="8" t="str">
        <f>IFERROR(_xlfn.XLOOKUP(TRIM(B9257),Lookup!$B$2:$B$1000,Lookup!$C$2:$C$1000),"")</f>
        <v>Equity</v>
      </c>
      <c r="D9257" s="8" t="str">
        <f>IFERROR(INDEX('nav master'!$C:$C, MATCH(B9257, 'nav master'!$B:$B, 0)), "")</f>
        <v>ULIF06618/01/18DiscvryFnd101</v>
      </c>
      <c r="E9257" s="8" t="s">
        <v>480</v>
      </c>
      <c r="F9257" s="8" t="s">
        <v>1043</v>
      </c>
    </row>
    <row r="9258" spans="1:6" ht="60" x14ac:dyDescent="0.25">
      <c r="A9258" s="8" t="s">
        <v>125</v>
      </c>
      <c r="B9258" s="8" t="s">
        <v>136</v>
      </c>
      <c r="C9258" s="8" t="str">
        <f>IFERROR(_xlfn.XLOOKUP(TRIM(B9258),Lookup!$B$2:$B$1000,Lookup!$C$2:$C$1000),"")</f>
        <v>Equity</v>
      </c>
      <c r="D9258" s="8" t="str">
        <f>IFERROR(INDEX('nav master'!$C:$C, MATCH(B9258, 'nav master'!$B:$B, 0)), "")</f>
        <v>ULIF06618/01/18DiscvryFnd101</v>
      </c>
      <c r="E9258" s="8" t="s">
        <v>482</v>
      </c>
      <c r="F9258" s="8" t="s">
        <v>1044</v>
      </c>
    </row>
    <row r="9259" spans="1:6" ht="60" x14ac:dyDescent="0.25">
      <c r="A9259" s="8" t="s">
        <v>125</v>
      </c>
      <c r="B9259" s="8" t="s">
        <v>136</v>
      </c>
      <c r="C9259" s="8" t="str">
        <f>IFERROR(_xlfn.XLOOKUP(TRIM(B9259),Lookup!$B$2:$B$1000,Lookup!$C$2:$C$1000),"")</f>
        <v>Equity</v>
      </c>
      <c r="D9259" s="8" t="str">
        <f>IFERROR(INDEX('nav master'!$C:$C, MATCH(B9259, 'nav master'!$B:$B, 0)), "")</f>
        <v>ULIF06618/01/18DiscvryFnd101</v>
      </c>
      <c r="E9259" s="8" t="s">
        <v>484</v>
      </c>
      <c r="F9259" s="8" t="s">
        <v>1045</v>
      </c>
    </row>
    <row r="9260" spans="1:6" ht="60" x14ac:dyDescent="0.25">
      <c r="A9260" s="8" t="s">
        <v>125</v>
      </c>
      <c r="B9260" s="8" t="s">
        <v>136</v>
      </c>
      <c r="C9260" s="8" t="str">
        <f>IFERROR(_xlfn.XLOOKUP(TRIM(B9260),Lookup!$B$2:$B$1000,Lookup!$C$2:$C$1000),"")</f>
        <v>Equity</v>
      </c>
      <c r="D9260" s="8" t="str">
        <f>IFERROR(INDEX('nav master'!$C:$C, MATCH(B9260, 'nav master'!$B:$B, 0)), "")</f>
        <v>ULIF06618/01/18DiscvryFnd101</v>
      </c>
      <c r="E9260" s="8" t="s">
        <v>486</v>
      </c>
      <c r="F9260" s="8" t="s">
        <v>1046</v>
      </c>
    </row>
    <row r="9261" spans="1:6" ht="60" x14ac:dyDescent="0.25">
      <c r="A9261" s="8" t="s">
        <v>125</v>
      </c>
      <c r="B9261" s="8" t="s">
        <v>136</v>
      </c>
      <c r="C9261" s="8" t="str">
        <f>IFERROR(_xlfn.XLOOKUP(TRIM(B9261),Lookup!$B$2:$B$1000,Lookup!$C$2:$C$1000),"")</f>
        <v>Equity</v>
      </c>
      <c r="D9261" s="8" t="str">
        <f>IFERROR(INDEX('nav master'!$C:$C, MATCH(B9261, 'nav master'!$B:$B, 0)), "")</f>
        <v>ULIF06618/01/18DiscvryFnd101</v>
      </c>
      <c r="E9261" s="8" t="s">
        <v>488</v>
      </c>
      <c r="F9261" s="8" t="s">
        <v>1047</v>
      </c>
    </row>
    <row r="9262" spans="1:6" ht="60" x14ac:dyDescent="0.25">
      <c r="A9262" s="8" t="s">
        <v>125</v>
      </c>
      <c r="B9262" s="8" t="s">
        <v>136</v>
      </c>
      <c r="C9262" s="8" t="str">
        <f>IFERROR(_xlfn.XLOOKUP(TRIM(B9262),Lookup!$B$2:$B$1000,Lookup!$C$2:$C$1000),"")</f>
        <v>Equity</v>
      </c>
      <c r="D9262" s="8" t="str">
        <f>IFERROR(INDEX('nav master'!$C:$C, MATCH(B9262, 'nav master'!$B:$B, 0)), "")</f>
        <v>ULIF06618/01/18DiscvryFnd101</v>
      </c>
      <c r="E9262" s="8" t="s">
        <v>490</v>
      </c>
      <c r="F9262" s="8" t="s">
        <v>559</v>
      </c>
    </row>
    <row r="9263" spans="1:6" ht="60" x14ac:dyDescent="0.25">
      <c r="A9263" s="8" t="s">
        <v>125</v>
      </c>
      <c r="B9263" s="8" t="s">
        <v>136</v>
      </c>
      <c r="C9263" s="8" t="str">
        <f>IFERROR(_xlfn.XLOOKUP(TRIM(B9263),Lookup!$B$2:$B$1000,Lookup!$C$2:$C$1000),"")</f>
        <v>Equity</v>
      </c>
      <c r="D9263" s="8" t="str">
        <f>IFERROR(INDEX('nav master'!$C:$C, MATCH(B9263, 'nav master'!$B:$B, 0)), "")</f>
        <v>ULIF06618/01/18DiscvryFnd101</v>
      </c>
      <c r="E9263" s="8" t="s">
        <v>492</v>
      </c>
      <c r="F9263" s="8" t="s">
        <v>1048</v>
      </c>
    </row>
    <row r="9264" spans="1:6" ht="60" x14ac:dyDescent="0.25">
      <c r="A9264" s="8" t="s">
        <v>125</v>
      </c>
      <c r="B9264" s="8" t="s">
        <v>136</v>
      </c>
      <c r="C9264" s="8" t="str">
        <f>IFERROR(_xlfn.XLOOKUP(TRIM(B9264),Lookup!$B$2:$B$1000,Lookup!$C$2:$C$1000),"")</f>
        <v>Equity</v>
      </c>
      <c r="D9264" s="8" t="str">
        <f>IFERROR(INDEX('nav master'!$C:$C, MATCH(B9264, 'nav master'!$B:$B, 0)), "")</f>
        <v>ULIF06618/01/18DiscvryFnd101</v>
      </c>
      <c r="E9264" s="8" t="s">
        <v>494</v>
      </c>
      <c r="F9264" s="8" t="s">
        <v>1049</v>
      </c>
    </row>
    <row r="9265" spans="1:6" ht="60" x14ac:dyDescent="0.25">
      <c r="A9265" s="8" t="s">
        <v>125</v>
      </c>
      <c r="B9265" s="8" t="s">
        <v>136</v>
      </c>
      <c r="C9265" s="8" t="str">
        <f>IFERROR(_xlfn.XLOOKUP(TRIM(B9265),Lookup!$B$2:$B$1000,Lookup!$C$2:$C$1000),"")</f>
        <v>Equity</v>
      </c>
      <c r="D9265" s="8" t="str">
        <f>IFERROR(INDEX('nav master'!$C:$C, MATCH(B9265, 'nav master'!$B:$B, 0)), "")</f>
        <v>ULIF06618/01/18DiscvryFnd101</v>
      </c>
      <c r="E9265" s="8" t="s">
        <v>496</v>
      </c>
      <c r="F9265" s="8" t="s">
        <v>1050</v>
      </c>
    </row>
    <row r="9266" spans="1:6" ht="60" x14ac:dyDescent="0.25">
      <c r="A9266" s="8" t="s">
        <v>125</v>
      </c>
      <c r="B9266" s="8" t="s">
        <v>136</v>
      </c>
      <c r="C9266" s="8" t="str">
        <f>IFERROR(_xlfn.XLOOKUP(TRIM(B9266),Lookup!$B$2:$B$1000,Lookup!$C$2:$C$1000),"")</f>
        <v>Equity</v>
      </c>
      <c r="D9266" s="8" t="str">
        <f>IFERROR(INDEX('nav master'!$C:$C, MATCH(B9266, 'nav master'!$B:$B, 0)), "")</f>
        <v>ULIF06618/01/18DiscvryFnd101</v>
      </c>
      <c r="E9266" s="8" t="s">
        <v>498</v>
      </c>
      <c r="F9266" s="8" t="s">
        <v>1051</v>
      </c>
    </row>
    <row r="9267" spans="1:6" ht="60" x14ac:dyDescent="0.25">
      <c r="A9267" s="8" t="s">
        <v>125</v>
      </c>
      <c r="B9267" s="8" t="s">
        <v>136</v>
      </c>
      <c r="C9267" s="8" t="str">
        <f>IFERROR(_xlfn.XLOOKUP(TRIM(B9267),Lookup!$B$2:$B$1000,Lookup!$C$2:$C$1000),"")</f>
        <v>Equity</v>
      </c>
      <c r="D9267" s="8" t="str">
        <f>IFERROR(INDEX('nav master'!$C:$C, MATCH(B9267, 'nav master'!$B:$B, 0)), "")</f>
        <v>ULIF06618/01/18DiscvryFnd101</v>
      </c>
      <c r="E9267" s="8" t="s">
        <v>500</v>
      </c>
      <c r="F9267" s="8" t="s">
        <v>1052</v>
      </c>
    </row>
    <row r="9268" spans="1:6" ht="60" x14ac:dyDescent="0.25">
      <c r="A9268" s="8" t="s">
        <v>125</v>
      </c>
      <c r="B9268" s="8" t="s">
        <v>136</v>
      </c>
      <c r="C9268" s="8" t="str">
        <f>IFERROR(_xlfn.XLOOKUP(TRIM(B9268),Lookup!$B$2:$B$1000,Lookup!$C$2:$C$1000),"")</f>
        <v>Equity</v>
      </c>
      <c r="D9268" s="8" t="str">
        <f>IFERROR(INDEX('nav master'!$C:$C, MATCH(B9268, 'nav master'!$B:$B, 0)), "")</f>
        <v>ULIF06618/01/18DiscvryFnd101</v>
      </c>
      <c r="E9268" s="8" t="s">
        <v>502</v>
      </c>
      <c r="F9268" s="8" t="s">
        <v>1053</v>
      </c>
    </row>
    <row r="9269" spans="1:6" ht="60" x14ac:dyDescent="0.25">
      <c r="A9269" s="8" t="s">
        <v>125</v>
      </c>
      <c r="B9269" s="8" t="s">
        <v>136</v>
      </c>
      <c r="C9269" s="8" t="str">
        <f>IFERROR(_xlfn.XLOOKUP(TRIM(B9269),Lookup!$B$2:$B$1000,Lookup!$C$2:$C$1000),"")</f>
        <v>Equity</v>
      </c>
      <c r="D9269" s="8" t="str">
        <f>IFERROR(INDEX('nav master'!$C:$C, MATCH(B9269, 'nav master'!$B:$B, 0)), "")</f>
        <v>ULIF06618/01/18DiscvryFnd101</v>
      </c>
      <c r="E9269" s="8" t="s">
        <v>504</v>
      </c>
      <c r="F9269" s="8" t="s">
        <v>1054</v>
      </c>
    </row>
    <row r="9270" spans="1:6" ht="60" x14ac:dyDescent="0.25">
      <c r="A9270" s="8" t="s">
        <v>125</v>
      </c>
      <c r="B9270" s="8" t="s">
        <v>136</v>
      </c>
      <c r="C9270" s="8" t="str">
        <f>IFERROR(_xlfn.XLOOKUP(TRIM(B9270),Lookup!$B$2:$B$1000,Lookup!$C$2:$C$1000),"")</f>
        <v>Equity</v>
      </c>
      <c r="D9270" s="8" t="str">
        <f>IFERROR(INDEX('nav master'!$C:$C, MATCH(B9270, 'nav master'!$B:$B, 0)), "")</f>
        <v>ULIF06618/01/18DiscvryFnd101</v>
      </c>
      <c r="E9270" s="8" t="s">
        <v>506</v>
      </c>
      <c r="F9270" s="8" t="s">
        <v>1055</v>
      </c>
    </row>
    <row r="9271" spans="1:6" ht="60" x14ac:dyDescent="0.25">
      <c r="A9271" s="8" t="s">
        <v>125</v>
      </c>
      <c r="B9271" s="8" t="s">
        <v>136</v>
      </c>
      <c r="C9271" s="8" t="str">
        <f>IFERROR(_xlfn.XLOOKUP(TRIM(B9271),Lookup!$B$2:$B$1000,Lookup!$C$2:$C$1000),"")</f>
        <v>Equity</v>
      </c>
      <c r="D9271" s="8" t="str">
        <f>IFERROR(INDEX('nav master'!$C:$C, MATCH(B9271, 'nav master'!$B:$B, 0)), "")</f>
        <v>ULIF06618/01/18DiscvryFnd101</v>
      </c>
      <c r="E9271" s="8" t="s">
        <v>508</v>
      </c>
      <c r="F9271" s="8" t="s">
        <v>1056</v>
      </c>
    </row>
    <row r="9272" spans="1:6" ht="60" x14ac:dyDescent="0.25">
      <c r="A9272" s="8" t="s">
        <v>125</v>
      </c>
      <c r="B9272" s="8" t="s">
        <v>136</v>
      </c>
      <c r="C9272" s="8" t="str">
        <f>IFERROR(_xlfn.XLOOKUP(TRIM(B9272),Lookup!$B$2:$B$1000,Lookup!$C$2:$C$1000),"")</f>
        <v>Equity</v>
      </c>
      <c r="D9272" s="8" t="str">
        <f>IFERROR(INDEX('nav master'!$C:$C, MATCH(B9272, 'nav master'!$B:$B, 0)), "")</f>
        <v>ULIF06618/01/18DiscvryFnd101</v>
      </c>
      <c r="E9272" s="8" t="s">
        <v>510</v>
      </c>
      <c r="F9272" s="8" t="s">
        <v>1057</v>
      </c>
    </row>
    <row r="9273" spans="1:6" ht="60" x14ac:dyDescent="0.25">
      <c r="A9273" s="8" t="s">
        <v>125</v>
      </c>
      <c r="B9273" s="8" t="s">
        <v>136</v>
      </c>
      <c r="C9273" s="8" t="str">
        <f>IFERROR(_xlfn.XLOOKUP(TRIM(B9273),Lookup!$B$2:$B$1000,Lookup!$C$2:$C$1000),"")</f>
        <v>Equity</v>
      </c>
      <c r="D9273" s="8" t="str">
        <f>IFERROR(INDEX('nav master'!$C:$C, MATCH(B9273, 'nav master'!$B:$B, 0)), "")</f>
        <v>ULIF06618/01/18DiscvryFnd101</v>
      </c>
      <c r="E9273" s="8" t="s">
        <v>512</v>
      </c>
      <c r="F9273" s="8" t="s">
        <v>1058</v>
      </c>
    </row>
    <row r="9274" spans="1:6" ht="60" x14ac:dyDescent="0.25">
      <c r="A9274" s="8" t="s">
        <v>125</v>
      </c>
      <c r="B9274" s="8" t="s">
        <v>136</v>
      </c>
      <c r="C9274" s="8" t="str">
        <f>IFERROR(_xlfn.XLOOKUP(TRIM(B9274),Lookup!$B$2:$B$1000,Lookup!$C$2:$C$1000),"")</f>
        <v>Equity</v>
      </c>
      <c r="D9274" s="8" t="str">
        <f>IFERROR(INDEX('nav master'!$C:$C, MATCH(B9274, 'nav master'!$B:$B, 0)), "")</f>
        <v>ULIF06618/01/18DiscvryFnd101</v>
      </c>
      <c r="E9274" s="8" t="s">
        <v>514</v>
      </c>
      <c r="F9274" s="8" t="s">
        <v>1059</v>
      </c>
    </row>
    <row r="9275" spans="1:6" ht="60" x14ac:dyDescent="0.25">
      <c r="A9275" s="8" t="s">
        <v>125</v>
      </c>
      <c r="B9275" s="8" t="s">
        <v>136</v>
      </c>
      <c r="C9275" s="8" t="str">
        <f>IFERROR(_xlfn.XLOOKUP(TRIM(B9275),Lookup!$B$2:$B$1000,Lookup!$C$2:$C$1000),"")</f>
        <v>Equity</v>
      </c>
      <c r="D9275" s="8" t="str">
        <f>IFERROR(INDEX('nav master'!$C:$C, MATCH(B9275, 'nav master'!$B:$B, 0)), "")</f>
        <v>ULIF06618/01/18DiscvryFnd101</v>
      </c>
      <c r="E9275" s="8" t="s">
        <v>516</v>
      </c>
      <c r="F9275" s="8" t="s">
        <v>1060</v>
      </c>
    </row>
    <row r="9276" spans="1:6" ht="60" x14ac:dyDescent="0.25">
      <c r="A9276" s="8" t="s">
        <v>125</v>
      </c>
      <c r="B9276" s="8" t="s">
        <v>136</v>
      </c>
      <c r="C9276" s="8" t="str">
        <f>IFERROR(_xlfn.XLOOKUP(TRIM(B9276),Lookup!$B$2:$B$1000,Lookup!$C$2:$C$1000),"")</f>
        <v>Equity</v>
      </c>
      <c r="D9276" s="8" t="str">
        <f>IFERROR(INDEX('nav master'!$C:$C, MATCH(B9276, 'nav master'!$B:$B, 0)), "")</f>
        <v>ULIF06618/01/18DiscvryFnd101</v>
      </c>
      <c r="E9276" s="8" t="s">
        <v>518</v>
      </c>
      <c r="F9276" s="8" t="s">
        <v>1061</v>
      </c>
    </row>
    <row r="9277" spans="1:6" ht="60" x14ac:dyDescent="0.25">
      <c r="A9277" s="8" t="s">
        <v>125</v>
      </c>
      <c r="B9277" s="8" t="s">
        <v>136</v>
      </c>
      <c r="C9277" s="8" t="str">
        <f>IFERROR(_xlfn.XLOOKUP(TRIM(B9277),Lookup!$B$2:$B$1000,Lookup!$C$2:$C$1000),"")</f>
        <v>Equity</v>
      </c>
      <c r="D9277" s="8" t="str">
        <f>IFERROR(INDEX('nav master'!$C:$C, MATCH(B9277, 'nav master'!$B:$B, 0)), "")</f>
        <v>ULIF06618/01/18DiscvryFnd101</v>
      </c>
      <c r="E9277" s="8" t="s">
        <v>520</v>
      </c>
      <c r="F9277" s="8" t="s">
        <v>1062</v>
      </c>
    </row>
    <row r="9278" spans="1:6" ht="60" x14ac:dyDescent="0.25">
      <c r="A9278" s="8" t="s">
        <v>125</v>
      </c>
      <c r="B9278" s="8" t="s">
        <v>136</v>
      </c>
      <c r="C9278" s="8" t="str">
        <f>IFERROR(_xlfn.XLOOKUP(TRIM(B9278),Lookup!$B$2:$B$1000,Lookup!$C$2:$C$1000),"")</f>
        <v>Equity</v>
      </c>
      <c r="D9278" s="8" t="str">
        <f>IFERROR(INDEX('nav master'!$C:$C, MATCH(B9278, 'nav master'!$B:$B, 0)), "")</f>
        <v>ULIF06618/01/18DiscvryFnd101</v>
      </c>
      <c r="E9278" s="8" t="s">
        <v>522</v>
      </c>
      <c r="F9278" s="8" t="s">
        <v>1063</v>
      </c>
    </row>
    <row r="9279" spans="1:6" ht="60" x14ac:dyDescent="0.25">
      <c r="A9279" s="8" t="s">
        <v>125</v>
      </c>
      <c r="B9279" s="8" t="s">
        <v>136</v>
      </c>
      <c r="C9279" s="8" t="str">
        <f>IFERROR(_xlfn.XLOOKUP(TRIM(B9279),Lookup!$B$2:$B$1000,Lookup!$C$2:$C$1000),"")</f>
        <v>Equity</v>
      </c>
      <c r="D9279" s="8" t="str">
        <f>IFERROR(INDEX('nav master'!$C:$C, MATCH(B9279, 'nav master'!$B:$B, 0)), "")</f>
        <v>ULIF06618/01/18DiscvryFnd101</v>
      </c>
      <c r="E9279" s="8" t="s">
        <v>524</v>
      </c>
      <c r="F9279" s="8" t="s">
        <v>1064</v>
      </c>
    </row>
    <row r="9280" spans="1:6" ht="60" x14ac:dyDescent="0.25">
      <c r="A9280" s="8" t="s">
        <v>125</v>
      </c>
      <c r="B9280" s="8" t="s">
        <v>136</v>
      </c>
      <c r="C9280" s="8" t="str">
        <f>IFERROR(_xlfn.XLOOKUP(TRIM(B9280),Lookup!$B$2:$B$1000,Lookup!$C$2:$C$1000),"")</f>
        <v>Equity</v>
      </c>
      <c r="D9280" s="8" t="str">
        <f>IFERROR(INDEX('nav master'!$C:$C, MATCH(B9280, 'nav master'!$B:$B, 0)), "")</f>
        <v>ULIF06618/01/18DiscvryFnd101</v>
      </c>
      <c r="E9280" s="8" t="s">
        <v>526</v>
      </c>
      <c r="F9280" s="8" t="s">
        <v>1065</v>
      </c>
    </row>
    <row r="9281" spans="1:6" ht="60" x14ac:dyDescent="0.25">
      <c r="A9281" s="8" t="s">
        <v>125</v>
      </c>
      <c r="B9281" s="8" t="s">
        <v>136</v>
      </c>
      <c r="C9281" s="8" t="str">
        <f>IFERROR(_xlfn.XLOOKUP(TRIM(B9281),Lookup!$B$2:$B$1000,Lookup!$C$2:$C$1000),"")</f>
        <v>Equity</v>
      </c>
      <c r="D9281" s="8" t="str">
        <f>IFERROR(INDEX('nav master'!$C:$C, MATCH(B9281, 'nav master'!$B:$B, 0)), "")</f>
        <v>ULIF06618/01/18DiscvryFnd101</v>
      </c>
      <c r="E9281" s="8" t="s">
        <v>528</v>
      </c>
      <c r="F9281" s="8" t="s">
        <v>1066</v>
      </c>
    </row>
    <row r="9282" spans="1:6" ht="60" x14ac:dyDescent="0.25">
      <c r="A9282" s="8" t="s">
        <v>125</v>
      </c>
      <c r="B9282" s="8" t="s">
        <v>136</v>
      </c>
      <c r="C9282" s="8" t="str">
        <f>IFERROR(_xlfn.XLOOKUP(TRIM(B9282),Lookup!$B$2:$B$1000,Lookup!$C$2:$C$1000),"")</f>
        <v>Equity</v>
      </c>
      <c r="D9282" s="8" t="str">
        <f>IFERROR(INDEX('nav master'!$C:$C, MATCH(B9282, 'nav master'!$B:$B, 0)), "")</f>
        <v>ULIF06618/01/18DiscvryFnd101</v>
      </c>
      <c r="E9282" s="8" t="s">
        <v>530</v>
      </c>
      <c r="F9282" s="8" t="s">
        <v>1067</v>
      </c>
    </row>
    <row r="9283" spans="1:6" ht="60" x14ac:dyDescent="0.25">
      <c r="A9283" s="8" t="s">
        <v>125</v>
      </c>
      <c r="B9283" s="8" t="s">
        <v>136</v>
      </c>
      <c r="C9283" s="8" t="str">
        <f>IFERROR(_xlfn.XLOOKUP(TRIM(B9283),Lookup!$B$2:$B$1000,Lookup!$C$2:$C$1000),"")</f>
        <v>Equity</v>
      </c>
      <c r="D9283" s="8" t="str">
        <f>IFERROR(INDEX('nav master'!$C:$C, MATCH(B9283, 'nav master'!$B:$B, 0)), "")</f>
        <v>ULIF06618/01/18DiscvryFnd101</v>
      </c>
      <c r="E9283" s="8" t="s">
        <v>532</v>
      </c>
      <c r="F9283" s="8" t="s">
        <v>1068</v>
      </c>
    </row>
    <row r="9284" spans="1:6" ht="60" x14ac:dyDescent="0.25">
      <c r="A9284" s="8" t="s">
        <v>125</v>
      </c>
      <c r="B9284" s="8" t="s">
        <v>136</v>
      </c>
      <c r="C9284" s="8" t="str">
        <f>IFERROR(_xlfn.XLOOKUP(TRIM(B9284),Lookup!$B$2:$B$1000,Lookup!$C$2:$C$1000),"")</f>
        <v>Equity</v>
      </c>
      <c r="D9284" s="8" t="str">
        <f>IFERROR(INDEX('nav master'!$C:$C, MATCH(B9284, 'nav master'!$B:$B, 0)), "")</f>
        <v>ULIF06618/01/18DiscvryFnd101</v>
      </c>
      <c r="E9284" s="8" t="s">
        <v>534</v>
      </c>
      <c r="F9284" s="8" t="s">
        <v>1069</v>
      </c>
    </row>
    <row r="9285" spans="1:6" ht="60" x14ac:dyDescent="0.25">
      <c r="A9285" s="8" t="s">
        <v>125</v>
      </c>
      <c r="B9285" s="8" t="s">
        <v>136</v>
      </c>
      <c r="C9285" s="8" t="str">
        <f>IFERROR(_xlfn.XLOOKUP(TRIM(B9285),Lookup!$B$2:$B$1000,Lookup!$C$2:$C$1000),"")</f>
        <v>Equity</v>
      </c>
      <c r="D9285" s="8" t="str">
        <f>IFERROR(INDEX('nav master'!$C:$C, MATCH(B9285, 'nav master'!$B:$B, 0)), "")</f>
        <v>ULIF06618/01/18DiscvryFnd101</v>
      </c>
      <c r="E9285" s="8" t="s">
        <v>536</v>
      </c>
      <c r="F9285" s="8" t="s">
        <v>1070</v>
      </c>
    </row>
    <row r="9286" spans="1:6" ht="60" x14ac:dyDescent="0.25">
      <c r="A9286" s="8" t="s">
        <v>125</v>
      </c>
      <c r="B9286" s="8" t="s">
        <v>136</v>
      </c>
      <c r="C9286" s="8" t="str">
        <f>IFERROR(_xlfn.XLOOKUP(TRIM(B9286),Lookup!$B$2:$B$1000,Lookup!$C$2:$C$1000),"")</f>
        <v>Equity</v>
      </c>
      <c r="D9286" s="8" t="str">
        <f>IFERROR(INDEX('nav master'!$C:$C, MATCH(B9286, 'nav master'!$B:$B, 0)), "")</f>
        <v>ULIF06618/01/18DiscvryFnd101</v>
      </c>
      <c r="E9286" s="8" t="s">
        <v>538</v>
      </c>
      <c r="F9286" s="8" t="s">
        <v>1071</v>
      </c>
    </row>
    <row r="9287" spans="1:6" ht="60" x14ac:dyDescent="0.25">
      <c r="A9287" s="8" t="s">
        <v>125</v>
      </c>
      <c r="B9287" s="8" t="s">
        <v>136</v>
      </c>
      <c r="C9287" s="8" t="str">
        <f>IFERROR(_xlfn.XLOOKUP(TRIM(B9287),Lookup!$B$2:$B$1000,Lookup!$C$2:$C$1000),"")</f>
        <v>Equity</v>
      </c>
      <c r="D9287" s="8" t="str">
        <f>IFERROR(INDEX('nav master'!$C:$C, MATCH(B9287, 'nav master'!$B:$B, 0)), "")</f>
        <v>ULIF06618/01/18DiscvryFnd101</v>
      </c>
      <c r="E9287" s="8" t="s">
        <v>540</v>
      </c>
      <c r="F9287" s="8" t="s">
        <v>1072</v>
      </c>
    </row>
    <row r="9288" spans="1:6" ht="60" x14ac:dyDescent="0.25">
      <c r="A9288" s="8" t="s">
        <v>125</v>
      </c>
      <c r="B9288" s="8" t="s">
        <v>136</v>
      </c>
      <c r="C9288" s="8" t="str">
        <f>IFERROR(_xlfn.XLOOKUP(TRIM(B9288),Lookup!$B$2:$B$1000,Lookup!$C$2:$C$1000),"")</f>
        <v>Equity</v>
      </c>
      <c r="D9288" s="8" t="str">
        <f>IFERROR(INDEX('nav master'!$C:$C, MATCH(B9288, 'nav master'!$B:$B, 0)), "")</f>
        <v>ULIF06618/01/18DiscvryFnd101</v>
      </c>
      <c r="E9288" s="8" t="s">
        <v>542</v>
      </c>
      <c r="F9288" s="8" t="s">
        <v>1073</v>
      </c>
    </row>
    <row r="9289" spans="1:6" ht="60" x14ac:dyDescent="0.25">
      <c r="A9289" s="8" t="s">
        <v>125</v>
      </c>
      <c r="B9289" s="8" t="s">
        <v>136</v>
      </c>
      <c r="C9289" s="8" t="str">
        <f>IFERROR(_xlfn.XLOOKUP(TRIM(B9289),Lookup!$B$2:$B$1000,Lookup!$C$2:$C$1000),"")</f>
        <v>Equity</v>
      </c>
      <c r="D9289" s="8" t="str">
        <f>IFERROR(INDEX('nav master'!$C:$C, MATCH(B9289, 'nav master'!$B:$B, 0)), "")</f>
        <v>ULIF06618/01/18DiscvryFnd101</v>
      </c>
      <c r="E9289" s="8" t="s">
        <v>544</v>
      </c>
      <c r="F9289" s="8" t="s">
        <v>1074</v>
      </c>
    </row>
    <row r="9290" spans="1:6" ht="60" x14ac:dyDescent="0.25">
      <c r="A9290" s="8" t="s">
        <v>125</v>
      </c>
      <c r="B9290" s="8" t="s">
        <v>136</v>
      </c>
      <c r="C9290" s="8" t="str">
        <f>IFERROR(_xlfn.XLOOKUP(TRIM(B9290),Lookup!$B$2:$B$1000,Lookup!$C$2:$C$1000),"")</f>
        <v>Equity</v>
      </c>
      <c r="D9290" s="8" t="str">
        <f>IFERROR(INDEX('nav master'!$C:$C, MATCH(B9290, 'nav master'!$B:$B, 0)), "")</f>
        <v>ULIF06618/01/18DiscvryFnd101</v>
      </c>
      <c r="E9290" s="8" t="s">
        <v>546</v>
      </c>
      <c r="F9290" s="8" t="s">
        <v>1075</v>
      </c>
    </row>
    <row r="9291" spans="1:6" ht="60" x14ac:dyDescent="0.25">
      <c r="A9291" s="8" t="s">
        <v>125</v>
      </c>
      <c r="B9291" s="8" t="s">
        <v>136</v>
      </c>
      <c r="C9291" s="8" t="str">
        <f>IFERROR(_xlfn.XLOOKUP(TRIM(B9291),Lookup!$B$2:$B$1000,Lookup!$C$2:$C$1000),"")</f>
        <v>Equity</v>
      </c>
      <c r="D9291" s="8" t="str">
        <f>IFERROR(INDEX('nav master'!$C:$C, MATCH(B9291, 'nav master'!$B:$B, 0)), "")</f>
        <v>ULIF06618/01/18DiscvryFnd101</v>
      </c>
      <c r="E9291" s="8" t="s">
        <v>548</v>
      </c>
      <c r="F9291" s="8" t="s">
        <v>1076</v>
      </c>
    </row>
    <row r="9292" spans="1:6" ht="60" x14ac:dyDescent="0.25">
      <c r="A9292" s="8" t="s">
        <v>125</v>
      </c>
      <c r="B9292" s="8" t="s">
        <v>136</v>
      </c>
      <c r="C9292" s="8" t="str">
        <f>IFERROR(_xlfn.XLOOKUP(TRIM(B9292),Lookup!$B$2:$B$1000,Lookup!$C$2:$C$1000),"")</f>
        <v>Equity</v>
      </c>
      <c r="D9292" s="8" t="str">
        <f>IFERROR(INDEX('nav master'!$C:$C, MATCH(B9292, 'nav master'!$B:$B, 0)), "")</f>
        <v>ULIF06618/01/18DiscvryFnd101</v>
      </c>
      <c r="E9292" s="8" t="s">
        <v>550</v>
      </c>
      <c r="F9292" s="8" t="s">
        <v>1077</v>
      </c>
    </row>
    <row r="9293" spans="1:6" ht="60" x14ac:dyDescent="0.25">
      <c r="A9293" s="8" t="s">
        <v>125</v>
      </c>
      <c r="B9293" s="8" t="s">
        <v>136</v>
      </c>
      <c r="C9293" s="8" t="str">
        <f>IFERROR(_xlfn.XLOOKUP(TRIM(B9293),Lookup!$B$2:$B$1000,Lookup!$C$2:$C$1000),"")</f>
        <v>Equity</v>
      </c>
      <c r="D9293" s="8" t="str">
        <f>IFERROR(INDEX('nav master'!$C:$C, MATCH(B9293, 'nav master'!$B:$B, 0)), "")</f>
        <v>ULIF06618/01/18DiscvryFnd101</v>
      </c>
      <c r="E9293" s="8" t="s">
        <v>552</v>
      </c>
      <c r="F9293" s="8" t="s">
        <v>1078</v>
      </c>
    </row>
    <row r="9294" spans="1:6" ht="60" x14ac:dyDescent="0.25">
      <c r="A9294" s="8" t="s">
        <v>125</v>
      </c>
      <c r="B9294" s="8" t="s">
        <v>136</v>
      </c>
      <c r="C9294" s="8" t="str">
        <f>IFERROR(_xlfn.XLOOKUP(TRIM(B9294),Lookup!$B$2:$B$1000,Lookup!$C$2:$C$1000),"")</f>
        <v>Equity</v>
      </c>
      <c r="D9294" s="8" t="str">
        <f>IFERROR(INDEX('nav master'!$C:$C, MATCH(B9294, 'nav master'!$B:$B, 0)), "")</f>
        <v>ULIF06618/01/18DiscvryFnd101</v>
      </c>
      <c r="E9294" s="8" t="s">
        <v>554</v>
      </c>
      <c r="F9294" s="8" t="s">
        <v>1079</v>
      </c>
    </row>
    <row r="9295" spans="1:6" ht="60" x14ac:dyDescent="0.25">
      <c r="A9295" s="8" t="s">
        <v>125</v>
      </c>
      <c r="B9295" s="8" t="s">
        <v>136</v>
      </c>
      <c r="C9295" s="8" t="str">
        <f>IFERROR(_xlfn.XLOOKUP(TRIM(B9295),Lookup!$B$2:$B$1000,Lookup!$C$2:$C$1000),"")</f>
        <v>Equity</v>
      </c>
      <c r="D9295" s="8" t="str">
        <f>IFERROR(INDEX('nav master'!$C:$C, MATCH(B9295, 'nav master'!$B:$B, 0)), "")</f>
        <v>ULIF06618/01/18DiscvryFnd101</v>
      </c>
      <c r="E9295" s="8" t="s">
        <v>556</v>
      </c>
      <c r="F9295" s="8" t="s">
        <v>1080</v>
      </c>
    </row>
    <row r="9296" spans="1:6" ht="60" x14ac:dyDescent="0.25">
      <c r="A9296" s="8" t="s">
        <v>125</v>
      </c>
      <c r="B9296" s="8" t="s">
        <v>136</v>
      </c>
      <c r="C9296" s="8" t="str">
        <f>IFERROR(_xlfn.XLOOKUP(TRIM(B9296),Lookup!$B$2:$B$1000,Lookup!$C$2:$C$1000),"")</f>
        <v>Equity</v>
      </c>
      <c r="D9296" s="8" t="str">
        <f>IFERROR(INDEX('nav master'!$C:$C, MATCH(B9296, 'nav master'!$B:$B, 0)), "")</f>
        <v>ULIF06618/01/18DiscvryFnd101</v>
      </c>
      <c r="E9296" s="8" t="s">
        <v>558</v>
      </c>
      <c r="F9296" s="8" t="s">
        <v>1081</v>
      </c>
    </row>
    <row r="9297" spans="1:6" ht="60" x14ac:dyDescent="0.25">
      <c r="A9297" s="8" t="s">
        <v>125</v>
      </c>
      <c r="B9297" s="8" t="s">
        <v>136</v>
      </c>
      <c r="C9297" s="8" t="str">
        <f>IFERROR(_xlfn.XLOOKUP(TRIM(B9297),Lookup!$B$2:$B$1000,Lookup!$C$2:$C$1000),"")</f>
        <v>Equity</v>
      </c>
      <c r="D9297" s="8" t="str">
        <f>IFERROR(INDEX('nav master'!$C:$C, MATCH(B9297, 'nav master'!$B:$B, 0)), "")</f>
        <v>ULIF06618/01/18DiscvryFnd101</v>
      </c>
      <c r="E9297" s="8" t="s">
        <v>560</v>
      </c>
      <c r="F9297" s="8" t="s">
        <v>1082</v>
      </c>
    </row>
    <row r="9298" spans="1:6" ht="60" x14ac:dyDescent="0.25">
      <c r="A9298" s="8" t="s">
        <v>125</v>
      </c>
      <c r="B9298" s="8" t="s">
        <v>136</v>
      </c>
      <c r="C9298" s="8" t="str">
        <f>IFERROR(_xlfn.XLOOKUP(TRIM(B9298),Lookup!$B$2:$B$1000,Lookup!$C$2:$C$1000),"")</f>
        <v>Equity</v>
      </c>
      <c r="D9298" s="8" t="str">
        <f>IFERROR(INDEX('nav master'!$C:$C, MATCH(B9298, 'nav master'!$B:$B, 0)), "")</f>
        <v>ULIF06618/01/18DiscvryFnd101</v>
      </c>
      <c r="E9298" s="8" t="s">
        <v>562</v>
      </c>
      <c r="F9298" s="8" t="s">
        <v>1083</v>
      </c>
    </row>
    <row r="9299" spans="1:6" ht="60" x14ac:dyDescent="0.25">
      <c r="A9299" s="8" t="s">
        <v>125</v>
      </c>
      <c r="B9299" s="8" t="s">
        <v>136</v>
      </c>
      <c r="C9299" s="8" t="str">
        <f>IFERROR(_xlfn.XLOOKUP(TRIM(B9299),Lookup!$B$2:$B$1000,Lookup!$C$2:$C$1000),"")</f>
        <v>Equity</v>
      </c>
      <c r="D9299" s="8" t="str">
        <f>IFERROR(INDEX('nav master'!$C:$C, MATCH(B9299, 'nav master'!$B:$B, 0)), "")</f>
        <v>ULIF06618/01/18DiscvryFnd101</v>
      </c>
      <c r="E9299" s="8" t="s">
        <v>564</v>
      </c>
      <c r="F9299" s="8" t="s">
        <v>1084</v>
      </c>
    </row>
    <row r="9300" spans="1:6" ht="60" x14ac:dyDescent="0.25">
      <c r="A9300" s="8" t="s">
        <v>125</v>
      </c>
      <c r="B9300" s="8" t="s">
        <v>136</v>
      </c>
      <c r="C9300" s="8" t="str">
        <f>IFERROR(_xlfn.XLOOKUP(TRIM(B9300),Lookup!$B$2:$B$1000,Lookup!$C$2:$C$1000),"")</f>
        <v>Equity</v>
      </c>
      <c r="D9300" s="8" t="str">
        <f>IFERROR(INDEX('nav master'!$C:$C, MATCH(B9300, 'nav master'!$B:$B, 0)), "")</f>
        <v>ULIF06618/01/18DiscvryFnd101</v>
      </c>
      <c r="E9300" s="8" t="s">
        <v>566</v>
      </c>
      <c r="F9300" s="8" t="s">
        <v>1085</v>
      </c>
    </row>
    <row r="9301" spans="1:6" ht="60" x14ac:dyDescent="0.25">
      <c r="A9301" s="8" t="s">
        <v>125</v>
      </c>
      <c r="B9301" s="8" t="s">
        <v>136</v>
      </c>
      <c r="C9301" s="8" t="str">
        <f>IFERROR(_xlfn.XLOOKUP(TRIM(B9301),Lookup!$B$2:$B$1000,Lookup!$C$2:$C$1000),"")</f>
        <v>Equity</v>
      </c>
      <c r="D9301" s="8" t="str">
        <f>IFERROR(INDEX('nav master'!$C:$C, MATCH(B9301, 'nav master'!$B:$B, 0)), "")</f>
        <v>ULIF06618/01/18DiscvryFnd101</v>
      </c>
      <c r="E9301" s="8" t="s">
        <v>568</v>
      </c>
      <c r="F9301" s="8" t="s">
        <v>1086</v>
      </c>
    </row>
    <row r="9302" spans="1:6" ht="60" x14ac:dyDescent="0.25">
      <c r="A9302" s="8" t="s">
        <v>125</v>
      </c>
      <c r="B9302" s="8" t="s">
        <v>136</v>
      </c>
      <c r="C9302" s="8" t="str">
        <f>IFERROR(_xlfn.XLOOKUP(TRIM(B9302),Lookup!$B$2:$B$1000,Lookup!$C$2:$C$1000),"")</f>
        <v>Equity</v>
      </c>
      <c r="D9302" s="8" t="str">
        <f>IFERROR(INDEX('nav master'!$C:$C, MATCH(B9302, 'nav master'!$B:$B, 0)), "")</f>
        <v>ULIF06618/01/18DiscvryFnd101</v>
      </c>
      <c r="E9302" s="8" t="s">
        <v>570</v>
      </c>
      <c r="F9302" s="8" t="s">
        <v>1087</v>
      </c>
    </row>
    <row r="9303" spans="1:6" ht="60" x14ac:dyDescent="0.25">
      <c r="A9303" s="8" t="s">
        <v>125</v>
      </c>
      <c r="B9303" s="8" t="s">
        <v>136</v>
      </c>
      <c r="C9303" s="8" t="str">
        <f>IFERROR(_xlfn.XLOOKUP(TRIM(B9303),Lookup!$B$2:$B$1000,Lookup!$C$2:$C$1000),"")</f>
        <v>Equity</v>
      </c>
      <c r="D9303" s="8" t="str">
        <f>IFERROR(INDEX('nav master'!$C:$C, MATCH(B9303, 'nav master'!$B:$B, 0)), "")</f>
        <v>ULIF06618/01/18DiscvryFnd101</v>
      </c>
      <c r="E9303" s="8" t="s">
        <v>572</v>
      </c>
      <c r="F9303" s="8" t="s">
        <v>1088</v>
      </c>
    </row>
    <row r="9304" spans="1:6" ht="60" x14ac:dyDescent="0.25">
      <c r="A9304" s="8" t="s">
        <v>125</v>
      </c>
      <c r="B9304" s="8" t="s">
        <v>136</v>
      </c>
      <c r="C9304" s="8" t="str">
        <f>IFERROR(_xlfn.XLOOKUP(TRIM(B9304),Lookup!$B$2:$B$1000,Lookup!$C$2:$C$1000),"")</f>
        <v>Equity</v>
      </c>
      <c r="D9304" s="8" t="str">
        <f>IFERROR(INDEX('nav master'!$C:$C, MATCH(B9304, 'nav master'!$B:$B, 0)), "")</f>
        <v>ULIF06618/01/18DiscvryFnd101</v>
      </c>
      <c r="E9304" s="8" t="s">
        <v>574</v>
      </c>
      <c r="F9304" s="8" t="s">
        <v>1089</v>
      </c>
    </row>
    <row r="9305" spans="1:6" ht="60" x14ac:dyDescent="0.25">
      <c r="A9305" s="8" t="s">
        <v>125</v>
      </c>
      <c r="B9305" s="8" t="s">
        <v>136</v>
      </c>
      <c r="C9305" s="8" t="str">
        <f>IFERROR(_xlfn.XLOOKUP(TRIM(B9305),Lookup!$B$2:$B$1000,Lookup!$C$2:$C$1000),"")</f>
        <v>Equity</v>
      </c>
      <c r="D9305" s="8" t="str">
        <f>IFERROR(INDEX('nav master'!$C:$C, MATCH(B9305, 'nav master'!$B:$B, 0)), "")</f>
        <v>ULIF06618/01/18DiscvryFnd101</v>
      </c>
      <c r="E9305" s="8" t="s">
        <v>576</v>
      </c>
      <c r="F9305" s="8" t="s">
        <v>1090</v>
      </c>
    </row>
    <row r="9306" spans="1:6" ht="60" x14ac:dyDescent="0.25">
      <c r="A9306" s="8" t="s">
        <v>125</v>
      </c>
      <c r="B9306" s="8" t="s">
        <v>136</v>
      </c>
      <c r="C9306" s="8" t="str">
        <f>IFERROR(_xlfn.XLOOKUP(TRIM(B9306),Lookup!$B$2:$B$1000,Lookup!$C$2:$C$1000),"")</f>
        <v>Equity</v>
      </c>
      <c r="D9306" s="8" t="str">
        <f>IFERROR(INDEX('nav master'!$C:$C, MATCH(B9306, 'nav master'!$B:$B, 0)), "")</f>
        <v>ULIF06618/01/18DiscvryFnd101</v>
      </c>
      <c r="E9306" s="8" t="s">
        <v>578</v>
      </c>
      <c r="F9306" s="8" t="s">
        <v>1091</v>
      </c>
    </row>
    <row r="9307" spans="1:6" ht="60" x14ac:dyDescent="0.25">
      <c r="A9307" s="8" t="s">
        <v>125</v>
      </c>
      <c r="B9307" s="8" t="s">
        <v>136</v>
      </c>
      <c r="C9307" s="8" t="str">
        <f>IFERROR(_xlfn.XLOOKUP(TRIM(B9307),Lookup!$B$2:$B$1000,Lookup!$C$2:$C$1000),"")</f>
        <v>Equity</v>
      </c>
      <c r="D9307" s="8" t="str">
        <f>IFERROR(INDEX('nav master'!$C:$C, MATCH(B9307, 'nav master'!$B:$B, 0)), "")</f>
        <v>ULIF06618/01/18DiscvryFnd101</v>
      </c>
      <c r="E9307" s="8" t="s">
        <v>580</v>
      </c>
      <c r="F9307" s="8" t="s">
        <v>1092</v>
      </c>
    </row>
    <row r="9308" spans="1:6" ht="60" x14ac:dyDescent="0.25">
      <c r="A9308" s="8" t="s">
        <v>125</v>
      </c>
      <c r="B9308" s="8" t="s">
        <v>136</v>
      </c>
      <c r="C9308" s="8" t="str">
        <f>IFERROR(_xlfn.XLOOKUP(TRIM(B9308),Lookup!$B$2:$B$1000,Lookup!$C$2:$C$1000),"")</f>
        <v>Equity</v>
      </c>
      <c r="D9308" s="8" t="str">
        <f>IFERROR(INDEX('nav master'!$C:$C, MATCH(B9308, 'nav master'!$B:$B, 0)), "")</f>
        <v>ULIF06618/01/18DiscvryFnd101</v>
      </c>
      <c r="E9308" s="8" t="s">
        <v>582</v>
      </c>
      <c r="F9308" s="8" t="s">
        <v>1093</v>
      </c>
    </row>
    <row r="9309" spans="1:6" ht="60" x14ac:dyDescent="0.25">
      <c r="A9309" s="8" t="s">
        <v>125</v>
      </c>
      <c r="B9309" s="8" t="s">
        <v>136</v>
      </c>
      <c r="C9309" s="8" t="str">
        <f>IFERROR(_xlfn.XLOOKUP(TRIM(B9309),Lookup!$B$2:$B$1000,Lookup!$C$2:$C$1000),"")</f>
        <v>Equity</v>
      </c>
      <c r="D9309" s="8" t="str">
        <f>IFERROR(INDEX('nav master'!$C:$C, MATCH(B9309, 'nav master'!$B:$B, 0)), "")</f>
        <v>ULIF06618/01/18DiscvryFnd101</v>
      </c>
      <c r="E9309" s="8" t="s">
        <v>584</v>
      </c>
      <c r="F9309" s="8" t="s">
        <v>1094</v>
      </c>
    </row>
    <row r="9310" spans="1:6" ht="60" x14ac:dyDescent="0.25">
      <c r="A9310" s="8" t="s">
        <v>125</v>
      </c>
      <c r="B9310" s="8" t="s">
        <v>136</v>
      </c>
      <c r="C9310" s="8" t="str">
        <f>IFERROR(_xlfn.XLOOKUP(TRIM(B9310),Lookup!$B$2:$B$1000,Lookup!$C$2:$C$1000),"")</f>
        <v>Equity</v>
      </c>
      <c r="D9310" s="8" t="str">
        <f>IFERROR(INDEX('nav master'!$C:$C, MATCH(B9310, 'nav master'!$B:$B, 0)), "")</f>
        <v>ULIF06618/01/18DiscvryFnd101</v>
      </c>
      <c r="E9310" s="8" t="s">
        <v>586</v>
      </c>
      <c r="F9310" s="8" t="s">
        <v>1095</v>
      </c>
    </row>
    <row r="9311" spans="1:6" ht="60" x14ac:dyDescent="0.25">
      <c r="A9311" s="8" t="s">
        <v>125</v>
      </c>
      <c r="B9311" s="8" t="s">
        <v>136</v>
      </c>
      <c r="C9311" s="8" t="str">
        <f>IFERROR(_xlfn.XLOOKUP(TRIM(B9311),Lookup!$B$2:$B$1000,Lookup!$C$2:$C$1000),"")</f>
        <v>Equity</v>
      </c>
      <c r="D9311" s="8" t="str">
        <f>IFERROR(INDEX('nav master'!$C:$C, MATCH(B9311, 'nav master'!$B:$B, 0)), "")</f>
        <v>ULIF06618/01/18DiscvryFnd101</v>
      </c>
      <c r="E9311" s="8" t="s">
        <v>588</v>
      </c>
      <c r="F9311" s="8" t="s">
        <v>1096</v>
      </c>
    </row>
    <row r="9312" spans="1:6" ht="60" x14ac:dyDescent="0.25">
      <c r="A9312" s="8" t="s">
        <v>125</v>
      </c>
      <c r="B9312" s="8" t="s">
        <v>136</v>
      </c>
      <c r="C9312" s="8" t="str">
        <f>IFERROR(_xlfn.XLOOKUP(TRIM(B9312),Lookup!$B$2:$B$1000,Lookup!$C$2:$C$1000),"")</f>
        <v>Equity</v>
      </c>
      <c r="D9312" s="8" t="str">
        <f>IFERROR(INDEX('nav master'!$C:$C, MATCH(B9312, 'nav master'!$B:$B, 0)), "")</f>
        <v>ULIF06618/01/18DiscvryFnd101</v>
      </c>
      <c r="E9312" s="8" t="s">
        <v>590</v>
      </c>
      <c r="F9312" s="8" t="s">
        <v>1097</v>
      </c>
    </row>
    <row r="9313" spans="1:6" ht="60" x14ac:dyDescent="0.25">
      <c r="A9313" s="8" t="s">
        <v>125</v>
      </c>
      <c r="B9313" s="8" t="s">
        <v>136</v>
      </c>
      <c r="C9313" s="8" t="str">
        <f>IFERROR(_xlfn.XLOOKUP(TRIM(B9313),Lookup!$B$2:$B$1000,Lookup!$C$2:$C$1000),"")</f>
        <v>Equity</v>
      </c>
      <c r="D9313" s="8" t="str">
        <f>IFERROR(INDEX('nav master'!$C:$C, MATCH(B9313, 'nav master'!$B:$B, 0)), "")</f>
        <v>ULIF06618/01/18DiscvryFnd101</v>
      </c>
      <c r="E9313" s="8" t="s">
        <v>592</v>
      </c>
      <c r="F9313" s="8" t="s">
        <v>1098</v>
      </c>
    </row>
    <row r="9314" spans="1:6" ht="60" x14ac:dyDescent="0.25">
      <c r="A9314" s="8" t="s">
        <v>125</v>
      </c>
      <c r="B9314" s="8" t="s">
        <v>136</v>
      </c>
      <c r="C9314" s="8" t="str">
        <f>IFERROR(_xlfn.XLOOKUP(TRIM(B9314),Lookup!$B$2:$B$1000,Lookup!$C$2:$C$1000),"")</f>
        <v>Equity</v>
      </c>
      <c r="D9314" s="8" t="str">
        <f>IFERROR(INDEX('nav master'!$C:$C, MATCH(B9314, 'nav master'!$B:$B, 0)), "")</f>
        <v>ULIF06618/01/18DiscvryFnd101</v>
      </c>
      <c r="E9314" s="8" t="s">
        <v>594</v>
      </c>
      <c r="F9314" s="8" t="s">
        <v>1099</v>
      </c>
    </row>
    <row r="9315" spans="1:6" ht="60" x14ac:dyDescent="0.25">
      <c r="A9315" s="8" t="s">
        <v>125</v>
      </c>
      <c r="B9315" s="8" t="s">
        <v>136</v>
      </c>
      <c r="C9315" s="8" t="str">
        <f>IFERROR(_xlfn.XLOOKUP(TRIM(B9315),Lookup!$B$2:$B$1000,Lookup!$C$2:$C$1000),"")</f>
        <v>Equity</v>
      </c>
      <c r="D9315" s="8" t="str">
        <f>IFERROR(INDEX('nav master'!$C:$C, MATCH(B9315, 'nav master'!$B:$B, 0)), "")</f>
        <v>ULIF06618/01/18DiscvryFnd101</v>
      </c>
      <c r="E9315" s="8" t="s">
        <v>596</v>
      </c>
      <c r="F9315" s="8" t="s">
        <v>1100</v>
      </c>
    </row>
    <row r="9316" spans="1:6" ht="60" x14ac:dyDescent="0.25">
      <c r="A9316" s="8" t="s">
        <v>125</v>
      </c>
      <c r="B9316" s="8" t="s">
        <v>136</v>
      </c>
      <c r="C9316" s="8" t="str">
        <f>IFERROR(_xlfn.XLOOKUP(TRIM(B9316),Lookup!$B$2:$B$1000,Lookup!$C$2:$C$1000),"")</f>
        <v>Equity</v>
      </c>
      <c r="D9316" s="8" t="str">
        <f>IFERROR(INDEX('nav master'!$C:$C, MATCH(B9316, 'nav master'!$B:$B, 0)), "")</f>
        <v>ULIF06618/01/18DiscvryFnd101</v>
      </c>
      <c r="E9316" s="8" t="s">
        <v>598</v>
      </c>
      <c r="F9316" s="8" t="s">
        <v>1101</v>
      </c>
    </row>
    <row r="9317" spans="1:6" ht="60" x14ac:dyDescent="0.25">
      <c r="A9317" s="8" t="s">
        <v>125</v>
      </c>
      <c r="B9317" s="8" t="s">
        <v>136</v>
      </c>
      <c r="C9317" s="8" t="str">
        <f>IFERROR(_xlfn.XLOOKUP(TRIM(B9317),Lookup!$B$2:$B$1000,Lookup!$C$2:$C$1000),"")</f>
        <v>Equity</v>
      </c>
      <c r="D9317" s="8" t="str">
        <f>IFERROR(INDEX('nav master'!$C:$C, MATCH(B9317, 'nav master'!$B:$B, 0)), "")</f>
        <v>ULIF06618/01/18DiscvryFnd101</v>
      </c>
      <c r="E9317" s="8" t="s">
        <v>600</v>
      </c>
      <c r="F9317" s="8" t="s">
        <v>1102</v>
      </c>
    </row>
    <row r="9318" spans="1:6" ht="60" x14ac:dyDescent="0.25">
      <c r="A9318" s="8" t="s">
        <v>125</v>
      </c>
      <c r="B9318" s="8" t="s">
        <v>136</v>
      </c>
      <c r="C9318" s="8" t="str">
        <f>IFERROR(_xlfn.XLOOKUP(TRIM(B9318),Lookup!$B$2:$B$1000,Lookup!$C$2:$C$1000),"")</f>
        <v>Equity</v>
      </c>
      <c r="D9318" s="8" t="str">
        <f>IFERROR(INDEX('nav master'!$C:$C, MATCH(B9318, 'nav master'!$B:$B, 0)), "")</f>
        <v>ULIF06618/01/18DiscvryFnd101</v>
      </c>
      <c r="E9318" s="8" t="s">
        <v>602</v>
      </c>
      <c r="F9318" s="8" t="s">
        <v>1103</v>
      </c>
    </row>
    <row r="9319" spans="1:6" ht="60" x14ac:dyDescent="0.25">
      <c r="A9319" s="8" t="s">
        <v>125</v>
      </c>
      <c r="B9319" s="8" t="s">
        <v>136</v>
      </c>
      <c r="C9319" s="8" t="str">
        <f>IFERROR(_xlfn.XLOOKUP(TRIM(B9319),Lookup!$B$2:$B$1000,Lookup!$C$2:$C$1000),"")</f>
        <v>Equity</v>
      </c>
      <c r="D9319" s="8" t="str">
        <f>IFERROR(INDEX('nav master'!$C:$C, MATCH(B9319, 'nav master'!$B:$B, 0)), "")</f>
        <v>ULIF06618/01/18DiscvryFnd101</v>
      </c>
      <c r="E9319" s="8" t="s">
        <v>604</v>
      </c>
      <c r="F9319" s="8" t="s">
        <v>1104</v>
      </c>
    </row>
    <row r="9320" spans="1:6" ht="60" x14ac:dyDescent="0.25">
      <c r="A9320" s="8" t="s">
        <v>125</v>
      </c>
      <c r="B9320" s="8" t="s">
        <v>136</v>
      </c>
      <c r="C9320" s="8" t="str">
        <f>IFERROR(_xlfn.XLOOKUP(TRIM(B9320),Lookup!$B$2:$B$1000,Lookup!$C$2:$C$1000),"")</f>
        <v>Equity</v>
      </c>
      <c r="D9320" s="8" t="str">
        <f>IFERROR(INDEX('nav master'!$C:$C, MATCH(B9320, 'nav master'!$B:$B, 0)), "")</f>
        <v>ULIF06618/01/18DiscvryFnd101</v>
      </c>
      <c r="E9320" s="8" t="s">
        <v>606</v>
      </c>
      <c r="F9320" s="8" t="s">
        <v>1105</v>
      </c>
    </row>
    <row r="9321" spans="1:6" ht="60" x14ac:dyDescent="0.25">
      <c r="A9321" s="8" t="s">
        <v>125</v>
      </c>
      <c r="B9321" s="8" t="s">
        <v>136</v>
      </c>
      <c r="C9321" s="8" t="str">
        <f>IFERROR(_xlfn.XLOOKUP(TRIM(B9321),Lookup!$B$2:$B$1000,Lookup!$C$2:$C$1000),"")</f>
        <v>Equity</v>
      </c>
      <c r="D9321" s="8" t="str">
        <f>IFERROR(INDEX('nav master'!$C:$C, MATCH(B9321, 'nav master'!$B:$B, 0)), "")</f>
        <v>ULIF06618/01/18DiscvryFnd101</v>
      </c>
      <c r="E9321" s="8" t="s">
        <v>608</v>
      </c>
      <c r="F9321" s="8" t="s">
        <v>1106</v>
      </c>
    </row>
    <row r="9322" spans="1:6" ht="60" x14ac:dyDescent="0.25">
      <c r="A9322" s="8" t="s">
        <v>125</v>
      </c>
      <c r="B9322" s="8" t="s">
        <v>136</v>
      </c>
      <c r="C9322" s="8" t="str">
        <f>IFERROR(_xlfn.XLOOKUP(TRIM(B9322),Lookup!$B$2:$B$1000,Lookup!$C$2:$C$1000),"")</f>
        <v>Equity</v>
      </c>
      <c r="D9322" s="8" t="str">
        <f>IFERROR(INDEX('nav master'!$C:$C, MATCH(B9322, 'nav master'!$B:$B, 0)), "")</f>
        <v>ULIF06618/01/18DiscvryFnd101</v>
      </c>
      <c r="E9322" s="8" t="s">
        <v>610</v>
      </c>
      <c r="F9322" s="8" t="s">
        <v>1107</v>
      </c>
    </row>
    <row r="9323" spans="1:6" ht="60" x14ac:dyDescent="0.25">
      <c r="A9323" s="8" t="s">
        <v>125</v>
      </c>
      <c r="B9323" s="8" t="s">
        <v>136</v>
      </c>
      <c r="C9323" s="8" t="str">
        <f>IFERROR(_xlfn.XLOOKUP(TRIM(B9323),Lookup!$B$2:$B$1000,Lookup!$C$2:$C$1000),"")</f>
        <v>Equity</v>
      </c>
      <c r="D9323" s="8" t="str">
        <f>IFERROR(INDEX('nav master'!$C:$C, MATCH(B9323, 'nav master'!$B:$B, 0)), "")</f>
        <v>ULIF06618/01/18DiscvryFnd101</v>
      </c>
      <c r="E9323" s="8" t="s">
        <v>612</v>
      </c>
      <c r="F9323" s="8" t="s">
        <v>1108</v>
      </c>
    </row>
    <row r="9324" spans="1:6" ht="60" x14ac:dyDescent="0.25">
      <c r="A9324" s="8" t="s">
        <v>125</v>
      </c>
      <c r="B9324" s="8" t="s">
        <v>136</v>
      </c>
      <c r="C9324" s="8" t="str">
        <f>IFERROR(_xlfn.XLOOKUP(TRIM(B9324),Lookup!$B$2:$B$1000,Lookup!$C$2:$C$1000),"")</f>
        <v>Equity</v>
      </c>
      <c r="D9324" s="8" t="str">
        <f>IFERROR(INDEX('nav master'!$C:$C, MATCH(B9324, 'nav master'!$B:$B, 0)), "")</f>
        <v>ULIF06618/01/18DiscvryFnd101</v>
      </c>
      <c r="E9324" s="8" t="s">
        <v>614</v>
      </c>
      <c r="F9324" s="8" t="s">
        <v>1109</v>
      </c>
    </row>
    <row r="9325" spans="1:6" ht="60" x14ac:dyDescent="0.25">
      <c r="A9325" s="8" t="s">
        <v>125</v>
      </c>
      <c r="B9325" s="8" t="s">
        <v>136</v>
      </c>
      <c r="C9325" s="8" t="str">
        <f>IFERROR(_xlfn.XLOOKUP(TRIM(B9325),Lookup!$B$2:$B$1000,Lookup!$C$2:$C$1000),"")</f>
        <v>Equity</v>
      </c>
      <c r="D9325" s="8" t="str">
        <f>IFERROR(INDEX('nav master'!$C:$C, MATCH(B9325, 'nav master'!$B:$B, 0)), "")</f>
        <v>ULIF06618/01/18DiscvryFnd101</v>
      </c>
      <c r="E9325" s="8" t="s">
        <v>616</v>
      </c>
      <c r="F9325" s="8" t="s">
        <v>1110</v>
      </c>
    </row>
    <row r="9326" spans="1:6" ht="60" x14ac:dyDescent="0.25">
      <c r="A9326" s="8" t="s">
        <v>125</v>
      </c>
      <c r="B9326" s="8" t="s">
        <v>136</v>
      </c>
      <c r="C9326" s="8" t="str">
        <f>IFERROR(_xlfn.XLOOKUP(TRIM(B9326),Lookup!$B$2:$B$1000,Lookup!$C$2:$C$1000),"")</f>
        <v>Equity</v>
      </c>
      <c r="D9326" s="8" t="str">
        <f>IFERROR(INDEX('nav master'!$C:$C, MATCH(B9326, 'nav master'!$B:$B, 0)), "")</f>
        <v>ULIF06618/01/18DiscvryFnd101</v>
      </c>
      <c r="E9326" s="8" t="s">
        <v>618</v>
      </c>
      <c r="F9326" s="8" t="s">
        <v>1111</v>
      </c>
    </row>
    <row r="9327" spans="1:6" ht="60" x14ac:dyDescent="0.25">
      <c r="A9327" s="8" t="s">
        <v>125</v>
      </c>
      <c r="B9327" s="8" t="s">
        <v>136</v>
      </c>
      <c r="C9327" s="8" t="str">
        <f>IFERROR(_xlfn.XLOOKUP(TRIM(B9327),Lookup!$B$2:$B$1000,Lookup!$C$2:$C$1000),"")</f>
        <v>Equity</v>
      </c>
      <c r="D9327" s="8" t="str">
        <f>IFERROR(INDEX('nav master'!$C:$C, MATCH(B9327, 'nav master'!$B:$B, 0)), "")</f>
        <v>ULIF06618/01/18DiscvryFnd101</v>
      </c>
      <c r="E9327" s="8" t="s">
        <v>620</v>
      </c>
      <c r="F9327" s="8" t="s">
        <v>1112</v>
      </c>
    </row>
    <row r="9328" spans="1:6" ht="60" x14ac:dyDescent="0.25">
      <c r="A9328" s="8" t="s">
        <v>125</v>
      </c>
      <c r="B9328" s="8" t="s">
        <v>136</v>
      </c>
      <c r="C9328" s="8" t="str">
        <f>IFERROR(_xlfn.XLOOKUP(TRIM(B9328),Lookup!$B$2:$B$1000,Lookup!$C$2:$C$1000),"")</f>
        <v>Equity</v>
      </c>
      <c r="D9328" s="8" t="str">
        <f>IFERROR(INDEX('nav master'!$C:$C, MATCH(B9328, 'nav master'!$B:$B, 0)), "")</f>
        <v>ULIF06618/01/18DiscvryFnd101</v>
      </c>
      <c r="E9328" s="8" t="s">
        <v>622</v>
      </c>
      <c r="F9328" s="8" t="s">
        <v>1113</v>
      </c>
    </row>
    <row r="9329" spans="1:6" ht="60" x14ac:dyDescent="0.25">
      <c r="A9329" s="8" t="s">
        <v>125</v>
      </c>
      <c r="B9329" s="8" t="s">
        <v>136</v>
      </c>
      <c r="C9329" s="8" t="str">
        <f>IFERROR(_xlfn.XLOOKUP(TRIM(B9329),Lookup!$B$2:$B$1000,Lookup!$C$2:$C$1000),"")</f>
        <v>Equity</v>
      </c>
      <c r="D9329" s="8" t="str">
        <f>IFERROR(INDEX('nav master'!$C:$C, MATCH(B9329, 'nav master'!$B:$B, 0)), "")</f>
        <v>ULIF06618/01/18DiscvryFnd101</v>
      </c>
      <c r="E9329" s="8" t="s">
        <v>624</v>
      </c>
      <c r="F9329" s="8" t="s">
        <v>1114</v>
      </c>
    </row>
    <row r="9330" spans="1:6" ht="60" x14ac:dyDescent="0.25">
      <c r="A9330" s="8" t="s">
        <v>125</v>
      </c>
      <c r="B9330" s="8" t="s">
        <v>136</v>
      </c>
      <c r="C9330" s="8" t="str">
        <f>IFERROR(_xlfn.XLOOKUP(TRIM(B9330),Lookup!$B$2:$B$1000,Lookup!$C$2:$C$1000),"")</f>
        <v>Equity</v>
      </c>
      <c r="D9330" s="8" t="str">
        <f>IFERROR(INDEX('nav master'!$C:$C, MATCH(B9330, 'nav master'!$B:$B, 0)), "")</f>
        <v>ULIF06618/01/18DiscvryFnd101</v>
      </c>
      <c r="E9330" s="8" t="s">
        <v>626</v>
      </c>
      <c r="F9330" s="8" t="s">
        <v>1115</v>
      </c>
    </row>
    <row r="9331" spans="1:6" ht="60" x14ac:dyDescent="0.25">
      <c r="A9331" s="8" t="s">
        <v>125</v>
      </c>
      <c r="B9331" s="8" t="s">
        <v>136</v>
      </c>
      <c r="C9331" s="8" t="str">
        <f>IFERROR(_xlfn.XLOOKUP(TRIM(B9331),Lookup!$B$2:$B$1000,Lookup!$C$2:$C$1000),"")</f>
        <v>Equity</v>
      </c>
      <c r="D9331" s="8" t="str">
        <f>IFERROR(INDEX('nav master'!$C:$C, MATCH(B9331, 'nav master'!$B:$B, 0)), "")</f>
        <v>ULIF06618/01/18DiscvryFnd101</v>
      </c>
      <c r="E9331" s="8" t="s">
        <v>628</v>
      </c>
      <c r="F9331" s="8" t="s">
        <v>1116</v>
      </c>
    </row>
    <row r="9332" spans="1:6" ht="60" x14ac:dyDescent="0.25">
      <c r="A9332" s="8" t="s">
        <v>125</v>
      </c>
      <c r="B9332" s="8" t="s">
        <v>136</v>
      </c>
      <c r="C9332" s="8" t="str">
        <f>IFERROR(_xlfn.XLOOKUP(TRIM(B9332),Lookup!$B$2:$B$1000,Lookup!$C$2:$C$1000),"")</f>
        <v>Equity</v>
      </c>
      <c r="D9332" s="8" t="str">
        <f>IFERROR(INDEX('nav master'!$C:$C, MATCH(B9332, 'nav master'!$B:$B, 0)), "")</f>
        <v>ULIF06618/01/18DiscvryFnd101</v>
      </c>
      <c r="E9332" s="8" t="s">
        <v>630</v>
      </c>
      <c r="F9332" s="8" t="s">
        <v>1117</v>
      </c>
    </row>
    <row r="9333" spans="1:6" ht="60" x14ac:dyDescent="0.25">
      <c r="A9333" s="8" t="s">
        <v>125</v>
      </c>
      <c r="B9333" s="8" t="s">
        <v>136</v>
      </c>
      <c r="C9333" s="8" t="str">
        <f>IFERROR(_xlfn.XLOOKUP(TRIM(B9333),Lookup!$B$2:$B$1000,Lookup!$C$2:$C$1000),"")</f>
        <v>Equity</v>
      </c>
      <c r="D9333" s="8" t="str">
        <f>IFERROR(INDEX('nav master'!$C:$C, MATCH(B9333, 'nav master'!$B:$B, 0)), "")</f>
        <v>ULIF06618/01/18DiscvryFnd101</v>
      </c>
      <c r="E9333" s="8" t="s">
        <v>632</v>
      </c>
      <c r="F9333" s="8" t="s">
        <v>1118</v>
      </c>
    </row>
    <row r="9334" spans="1:6" ht="60" x14ac:dyDescent="0.25">
      <c r="A9334" s="8" t="s">
        <v>125</v>
      </c>
      <c r="B9334" s="8" t="s">
        <v>136</v>
      </c>
      <c r="C9334" s="8" t="str">
        <f>IFERROR(_xlfn.XLOOKUP(TRIM(B9334),Lookup!$B$2:$B$1000,Lookup!$C$2:$C$1000),"")</f>
        <v>Equity</v>
      </c>
      <c r="D9334" s="8" t="str">
        <f>IFERROR(INDEX('nav master'!$C:$C, MATCH(B9334, 'nav master'!$B:$B, 0)), "")</f>
        <v>ULIF06618/01/18DiscvryFnd101</v>
      </c>
      <c r="E9334" s="8" t="s">
        <v>634</v>
      </c>
      <c r="F9334" s="8" t="s">
        <v>1119</v>
      </c>
    </row>
    <row r="9335" spans="1:6" ht="60" x14ac:dyDescent="0.25">
      <c r="A9335" s="8" t="s">
        <v>125</v>
      </c>
      <c r="B9335" s="8" t="s">
        <v>136</v>
      </c>
      <c r="C9335" s="8" t="str">
        <f>IFERROR(_xlfn.XLOOKUP(TRIM(B9335),Lookup!$B$2:$B$1000,Lookup!$C$2:$C$1000),"")</f>
        <v>Equity</v>
      </c>
      <c r="D9335" s="8" t="str">
        <f>IFERROR(INDEX('nav master'!$C:$C, MATCH(B9335, 'nav master'!$B:$B, 0)), "")</f>
        <v>ULIF06618/01/18DiscvryFnd101</v>
      </c>
      <c r="E9335" s="8" t="s">
        <v>636</v>
      </c>
      <c r="F9335" s="8" t="s">
        <v>1120</v>
      </c>
    </row>
    <row r="9336" spans="1:6" ht="60" x14ac:dyDescent="0.25">
      <c r="A9336" s="8" t="s">
        <v>125</v>
      </c>
      <c r="B9336" s="8" t="s">
        <v>136</v>
      </c>
      <c r="C9336" s="8" t="str">
        <f>IFERROR(_xlfn.XLOOKUP(TRIM(B9336),Lookup!$B$2:$B$1000,Lookup!$C$2:$C$1000),"")</f>
        <v>Equity</v>
      </c>
      <c r="D9336" s="8" t="str">
        <f>IFERROR(INDEX('nav master'!$C:$C, MATCH(B9336, 'nav master'!$B:$B, 0)), "")</f>
        <v>ULIF06618/01/18DiscvryFnd101</v>
      </c>
      <c r="E9336" s="8" t="s">
        <v>638</v>
      </c>
      <c r="F9336" s="8" t="s">
        <v>1121</v>
      </c>
    </row>
    <row r="9337" spans="1:6" ht="60" x14ac:dyDescent="0.25">
      <c r="A9337" s="8" t="s">
        <v>125</v>
      </c>
      <c r="B9337" s="8" t="s">
        <v>136</v>
      </c>
      <c r="C9337" s="8" t="str">
        <f>IFERROR(_xlfn.XLOOKUP(TRIM(B9337),Lookup!$B$2:$B$1000,Lookup!$C$2:$C$1000),"")</f>
        <v>Equity</v>
      </c>
      <c r="D9337" s="8" t="str">
        <f>IFERROR(INDEX('nav master'!$C:$C, MATCH(B9337, 'nav master'!$B:$B, 0)), "")</f>
        <v>ULIF06618/01/18DiscvryFnd101</v>
      </c>
      <c r="E9337" s="8" t="s">
        <v>640</v>
      </c>
      <c r="F9337" s="8" t="s">
        <v>1122</v>
      </c>
    </row>
    <row r="9338" spans="1:6" ht="60" x14ac:dyDescent="0.25">
      <c r="A9338" s="8" t="s">
        <v>125</v>
      </c>
      <c r="B9338" s="8" t="s">
        <v>136</v>
      </c>
      <c r="C9338" s="8" t="str">
        <f>IFERROR(_xlfn.XLOOKUP(TRIM(B9338),Lookup!$B$2:$B$1000,Lookup!$C$2:$C$1000),"")</f>
        <v>Equity</v>
      </c>
      <c r="D9338" s="8" t="str">
        <f>IFERROR(INDEX('nav master'!$C:$C, MATCH(B9338, 'nav master'!$B:$B, 0)), "")</f>
        <v>ULIF06618/01/18DiscvryFnd101</v>
      </c>
      <c r="E9338" s="8" t="s">
        <v>642</v>
      </c>
      <c r="F9338" s="8" t="s">
        <v>1123</v>
      </c>
    </row>
    <row r="9339" spans="1:6" ht="60" x14ac:dyDescent="0.25">
      <c r="A9339" s="8" t="s">
        <v>125</v>
      </c>
      <c r="B9339" s="8" t="s">
        <v>136</v>
      </c>
      <c r="C9339" s="8" t="str">
        <f>IFERROR(_xlfn.XLOOKUP(TRIM(B9339),Lookup!$B$2:$B$1000,Lookup!$C$2:$C$1000),"")</f>
        <v>Equity</v>
      </c>
      <c r="D9339" s="8" t="str">
        <f>IFERROR(INDEX('nav master'!$C:$C, MATCH(B9339, 'nav master'!$B:$B, 0)), "")</f>
        <v>ULIF06618/01/18DiscvryFnd101</v>
      </c>
      <c r="E9339" s="8" t="s">
        <v>644</v>
      </c>
      <c r="F9339" s="8" t="s">
        <v>1124</v>
      </c>
    </row>
    <row r="9340" spans="1:6" ht="60" x14ac:dyDescent="0.25">
      <c r="A9340" s="8" t="s">
        <v>125</v>
      </c>
      <c r="B9340" s="8" t="s">
        <v>136</v>
      </c>
      <c r="C9340" s="8" t="str">
        <f>IFERROR(_xlfn.XLOOKUP(TRIM(B9340),Lookup!$B$2:$B$1000,Lookup!$C$2:$C$1000),"")</f>
        <v>Equity</v>
      </c>
      <c r="D9340" s="8" t="str">
        <f>IFERROR(INDEX('nav master'!$C:$C, MATCH(B9340, 'nav master'!$B:$B, 0)), "")</f>
        <v>ULIF06618/01/18DiscvryFnd101</v>
      </c>
      <c r="E9340" s="8" t="s">
        <v>646</v>
      </c>
      <c r="F9340" s="8" t="s">
        <v>1125</v>
      </c>
    </row>
    <row r="9341" spans="1:6" ht="60" x14ac:dyDescent="0.25">
      <c r="A9341" s="8" t="s">
        <v>125</v>
      </c>
      <c r="B9341" s="8" t="s">
        <v>136</v>
      </c>
      <c r="C9341" s="8" t="str">
        <f>IFERROR(_xlfn.XLOOKUP(TRIM(B9341),Lookup!$B$2:$B$1000,Lookup!$C$2:$C$1000),"")</f>
        <v>Equity</v>
      </c>
      <c r="D9341" s="8" t="str">
        <f>IFERROR(INDEX('nav master'!$C:$C, MATCH(B9341, 'nav master'!$B:$B, 0)), "")</f>
        <v>ULIF06618/01/18DiscvryFnd101</v>
      </c>
      <c r="E9341" s="8" t="s">
        <v>648</v>
      </c>
      <c r="F9341" s="8" t="s">
        <v>1126</v>
      </c>
    </row>
    <row r="9342" spans="1:6" ht="60" x14ac:dyDescent="0.25">
      <c r="A9342" s="8" t="s">
        <v>125</v>
      </c>
      <c r="B9342" s="8" t="s">
        <v>136</v>
      </c>
      <c r="C9342" s="8" t="str">
        <f>IFERROR(_xlfn.XLOOKUP(TRIM(B9342),Lookup!$B$2:$B$1000,Lookup!$C$2:$C$1000),"")</f>
        <v>Equity</v>
      </c>
      <c r="D9342" s="8" t="str">
        <f>IFERROR(INDEX('nav master'!$C:$C, MATCH(B9342, 'nav master'!$B:$B, 0)), "")</f>
        <v>ULIF06618/01/18DiscvryFnd101</v>
      </c>
      <c r="E9342" s="8" t="s">
        <v>650</v>
      </c>
      <c r="F9342" s="8" t="s">
        <v>1127</v>
      </c>
    </row>
    <row r="9343" spans="1:6" ht="60" x14ac:dyDescent="0.25">
      <c r="A9343" s="8" t="s">
        <v>125</v>
      </c>
      <c r="B9343" s="8" t="s">
        <v>136</v>
      </c>
      <c r="C9343" s="8" t="str">
        <f>IFERROR(_xlfn.XLOOKUP(TRIM(B9343),Lookup!$B$2:$B$1000,Lookup!$C$2:$C$1000),"")</f>
        <v>Equity</v>
      </c>
      <c r="D9343" s="8" t="str">
        <f>IFERROR(INDEX('nav master'!$C:$C, MATCH(B9343, 'nav master'!$B:$B, 0)), "")</f>
        <v>ULIF06618/01/18DiscvryFnd101</v>
      </c>
      <c r="E9343" s="8" t="s">
        <v>652</v>
      </c>
      <c r="F9343" s="8" t="s">
        <v>1128</v>
      </c>
    </row>
    <row r="9344" spans="1:6" ht="60" x14ac:dyDescent="0.25">
      <c r="A9344" s="8" t="s">
        <v>125</v>
      </c>
      <c r="B9344" s="8" t="s">
        <v>136</v>
      </c>
      <c r="C9344" s="8" t="str">
        <f>IFERROR(_xlfn.XLOOKUP(TRIM(B9344),Lookup!$B$2:$B$1000,Lookup!$C$2:$C$1000),"")</f>
        <v>Equity</v>
      </c>
      <c r="D9344" s="8" t="str">
        <f>IFERROR(INDEX('nav master'!$C:$C, MATCH(B9344, 'nav master'!$B:$B, 0)), "")</f>
        <v>ULIF06618/01/18DiscvryFnd101</v>
      </c>
      <c r="E9344" s="8" t="s">
        <v>654</v>
      </c>
      <c r="F9344" s="8" t="s">
        <v>1129</v>
      </c>
    </row>
    <row r="9345" spans="1:6" ht="60" x14ac:dyDescent="0.25">
      <c r="A9345" s="8" t="s">
        <v>125</v>
      </c>
      <c r="B9345" s="8" t="s">
        <v>136</v>
      </c>
      <c r="C9345" s="8" t="str">
        <f>IFERROR(_xlfn.XLOOKUP(TRIM(B9345),Lookup!$B$2:$B$1000,Lookup!$C$2:$C$1000),"")</f>
        <v>Equity</v>
      </c>
      <c r="D9345" s="8" t="str">
        <f>IFERROR(INDEX('nav master'!$C:$C, MATCH(B9345, 'nav master'!$B:$B, 0)), "")</f>
        <v>ULIF06618/01/18DiscvryFnd101</v>
      </c>
      <c r="E9345" s="8" t="s">
        <v>656</v>
      </c>
      <c r="F9345" s="8" t="s">
        <v>1130</v>
      </c>
    </row>
    <row r="9346" spans="1:6" ht="60" x14ac:dyDescent="0.25">
      <c r="A9346" s="8" t="s">
        <v>125</v>
      </c>
      <c r="B9346" s="8" t="s">
        <v>136</v>
      </c>
      <c r="C9346" s="8" t="str">
        <f>IFERROR(_xlfn.XLOOKUP(TRIM(B9346),Lookup!$B$2:$B$1000,Lookup!$C$2:$C$1000),"")</f>
        <v>Equity</v>
      </c>
      <c r="D9346" s="8" t="str">
        <f>IFERROR(INDEX('nav master'!$C:$C, MATCH(B9346, 'nav master'!$B:$B, 0)), "")</f>
        <v>ULIF06618/01/18DiscvryFnd101</v>
      </c>
      <c r="E9346" s="8" t="s">
        <v>658</v>
      </c>
      <c r="F9346" s="8" t="s">
        <v>1131</v>
      </c>
    </row>
    <row r="9347" spans="1:6" ht="60" x14ac:dyDescent="0.25">
      <c r="A9347" s="8" t="s">
        <v>125</v>
      </c>
      <c r="B9347" s="8" t="s">
        <v>136</v>
      </c>
      <c r="C9347" s="8" t="str">
        <f>IFERROR(_xlfn.XLOOKUP(TRIM(B9347),Lookup!$B$2:$B$1000,Lookup!$C$2:$C$1000),"")</f>
        <v>Equity</v>
      </c>
      <c r="D9347" s="8" t="str">
        <f>IFERROR(INDEX('nav master'!$C:$C, MATCH(B9347, 'nav master'!$B:$B, 0)), "")</f>
        <v>ULIF06618/01/18DiscvryFnd101</v>
      </c>
      <c r="E9347" s="8" t="s">
        <v>660</v>
      </c>
      <c r="F9347" s="8" t="s">
        <v>1132</v>
      </c>
    </row>
    <row r="9348" spans="1:6" ht="60" x14ac:dyDescent="0.25">
      <c r="A9348" s="8" t="s">
        <v>125</v>
      </c>
      <c r="B9348" s="8" t="s">
        <v>136</v>
      </c>
      <c r="C9348" s="8" t="str">
        <f>IFERROR(_xlfn.XLOOKUP(TRIM(B9348),Lookup!$B$2:$B$1000,Lookup!$C$2:$C$1000),"")</f>
        <v>Equity</v>
      </c>
      <c r="D9348" s="8" t="str">
        <f>IFERROR(INDEX('nav master'!$C:$C, MATCH(B9348, 'nav master'!$B:$B, 0)), "")</f>
        <v>ULIF06618/01/18DiscvryFnd101</v>
      </c>
      <c r="E9348" s="8" t="s">
        <v>662</v>
      </c>
      <c r="F9348" s="8" t="s">
        <v>1133</v>
      </c>
    </row>
    <row r="9349" spans="1:6" ht="60" x14ac:dyDescent="0.25">
      <c r="A9349" s="8" t="s">
        <v>125</v>
      </c>
      <c r="B9349" s="8" t="s">
        <v>136</v>
      </c>
      <c r="C9349" s="8" t="str">
        <f>IFERROR(_xlfn.XLOOKUP(TRIM(B9349),Lookup!$B$2:$B$1000,Lookup!$C$2:$C$1000),"")</f>
        <v>Equity</v>
      </c>
      <c r="D9349" s="8" t="str">
        <f>IFERROR(INDEX('nav master'!$C:$C, MATCH(B9349, 'nav master'!$B:$B, 0)), "")</f>
        <v>ULIF06618/01/18DiscvryFnd101</v>
      </c>
      <c r="E9349" s="8" t="s">
        <v>664</v>
      </c>
      <c r="F9349" s="8" t="s">
        <v>1134</v>
      </c>
    </row>
    <row r="9350" spans="1:6" ht="60" x14ac:dyDescent="0.25">
      <c r="A9350" s="8" t="s">
        <v>125</v>
      </c>
      <c r="B9350" s="8" t="s">
        <v>136</v>
      </c>
      <c r="C9350" s="8" t="str">
        <f>IFERROR(_xlfn.XLOOKUP(TRIM(B9350),Lookup!$B$2:$B$1000,Lookup!$C$2:$C$1000),"")</f>
        <v>Equity</v>
      </c>
      <c r="D9350" s="8" t="str">
        <f>IFERROR(INDEX('nav master'!$C:$C, MATCH(B9350, 'nav master'!$B:$B, 0)), "")</f>
        <v>ULIF06618/01/18DiscvryFnd101</v>
      </c>
      <c r="E9350" s="8" t="s">
        <v>4892</v>
      </c>
      <c r="F9350" s="8" t="s">
        <v>4915</v>
      </c>
    </row>
    <row r="9351" spans="1:6" ht="60" x14ac:dyDescent="0.25">
      <c r="A9351" s="8" t="s">
        <v>125</v>
      </c>
      <c r="B9351" s="8" t="s">
        <v>136</v>
      </c>
      <c r="C9351" s="8" t="str">
        <f>IFERROR(_xlfn.XLOOKUP(TRIM(B9351),Lookup!$B$2:$B$1000,Lookup!$C$2:$C$1000),"")</f>
        <v>Equity</v>
      </c>
      <c r="D9351" s="8" t="str">
        <f>IFERROR(INDEX('nav master'!$C:$C, MATCH(B9351, 'nav master'!$B:$B, 0)), "")</f>
        <v>ULIF06618/01/18DiscvryFnd101</v>
      </c>
      <c r="E9351" s="8" t="s">
        <v>4894</v>
      </c>
      <c r="F9351" s="8" t="s">
        <v>4916</v>
      </c>
    </row>
    <row r="9352" spans="1:6" ht="60" x14ac:dyDescent="0.25">
      <c r="A9352" s="8" t="s">
        <v>125</v>
      </c>
      <c r="B9352" s="8" t="s">
        <v>136</v>
      </c>
      <c r="C9352" s="8" t="str">
        <f>IFERROR(_xlfn.XLOOKUP(TRIM(B9352),Lookup!$B$2:$B$1000,Lookup!$C$2:$C$1000),"")</f>
        <v>Equity</v>
      </c>
      <c r="D9352" s="8" t="str">
        <f>IFERROR(INDEX('nav master'!$C:$C, MATCH(B9352, 'nav master'!$B:$B, 0)), "")</f>
        <v>ULIF06618/01/18DiscvryFnd101</v>
      </c>
      <c r="E9352" s="8" t="s">
        <v>4896</v>
      </c>
      <c r="F9352" s="8" t="s">
        <v>4917</v>
      </c>
    </row>
    <row r="9353" spans="1:6" ht="60" x14ac:dyDescent="0.25">
      <c r="A9353" s="8" t="s">
        <v>125</v>
      </c>
      <c r="B9353" s="8" t="s">
        <v>136</v>
      </c>
      <c r="C9353" s="8" t="str">
        <f>IFERROR(_xlfn.XLOOKUP(TRIM(B9353),Lookup!$B$2:$B$1000,Lookup!$C$2:$C$1000),"")</f>
        <v>Equity</v>
      </c>
      <c r="D9353" s="8" t="str">
        <f>IFERROR(INDEX('nav master'!$C:$C, MATCH(B9353, 'nav master'!$B:$B, 0)), "")</f>
        <v>ULIF06618/01/18DiscvryFnd101</v>
      </c>
      <c r="E9353" s="8" t="s">
        <v>4898</v>
      </c>
      <c r="F9353" s="8" t="s">
        <v>4918</v>
      </c>
    </row>
    <row r="9354" spans="1:6" ht="60" x14ac:dyDescent="0.25">
      <c r="A9354" s="8" t="s">
        <v>125</v>
      </c>
      <c r="B9354" s="8" t="s">
        <v>136</v>
      </c>
      <c r="C9354" s="8" t="str">
        <f>IFERROR(_xlfn.XLOOKUP(TRIM(B9354),Lookup!$B$2:$B$1000,Lookup!$C$2:$C$1000),"")</f>
        <v>Equity</v>
      </c>
      <c r="D9354" s="8" t="str">
        <f>IFERROR(INDEX('nav master'!$C:$C, MATCH(B9354, 'nav master'!$B:$B, 0)), "")</f>
        <v>ULIF06618/01/18DiscvryFnd101</v>
      </c>
      <c r="E9354" s="8" t="s">
        <v>4900</v>
      </c>
      <c r="F9354" s="8" t="s">
        <v>4919</v>
      </c>
    </row>
    <row r="9355" spans="1:6" ht="60" x14ac:dyDescent="0.25">
      <c r="A9355" s="8" t="s">
        <v>125</v>
      </c>
      <c r="B9355" s="8" t="s">
        <v>136</v>
      </c>
      <c r="C9355" s="8" t="str">
        <f>IFERROR(_xlfn.XLOOKUP(TRIM(B9355),Lookup!$B$2:$B$1000,Lookup!$C$2:$C$1000),"")</f>
        <v>Equity</v>
      </c>
      <c r="D9355" s="8" t="str">
        <f>IFERROR(INDEX('nav master'!$C:$C, MATCH(B9355, 'nav master'!$B:$B, 0)), "")</f>
        <v>ULIF06618/01/18DiscvryFnd101</v>
      </c>
      <c r="E9355" s="8" t="s">
        <v>4902</v>
      </c>
      <c r="F9355" s="8" t="s">
        <v>4920</v>
      </c>
    </row>
    <row r="9356" spans="1:6" ht="60" x14ac:dyDescent="0.25">
      <c r="A9356" s="8" t="s">
        <v>125</v>
      </c>
      <c r="B9356" s="8" t="s">
        <v>136</v>
      </c>
      <c r="C9356" s="8" t="str">
        <f>IFERROR(_xlfn.XLOOKUP(TRIM(B9356),Lookup!$B$2:$B$1000,Lookup!$C$2:$C$1000),"")</f>
        <v>Equity</v>
      </c>
      <c r="D9356" s="8" t="str">
        <f>IFERROR(INDEX('nav master'!$C:$C, MATCH(B9356, 'nav master'!$B:$B, 0)), "")</f>
        <v>ULIF06618/01/18DiscvryFnd101</v>
      </c>
      <c r="E9356" s="8" t="s">
        <v>4903</v>
      </c>
      <c r="F9356" s="8" t="s">
        <v>4921</v>
      </c>
    </row>
    <row r="9357" spans="1:6" ht="60" x14ac:dyDescent="0.25">
      <c r="A9357" s="8" t="s">
        <v>125</v>
      </c>
      <c r="B9357" s="8" t="s">
        <v>136</v>
      </c>
      <c r="C9357" s="8" t="str">
        <f>IFERROR(_xlfn.XLOOKUP(TRIM(B9357),Lookup!$B$2:$B$1000,Lookup!$C$2:$C$1000),"")</f>
        <v>Equity</v>
      </c>
      <c r="D9357" s="8" t="str">
        <f>IFERROR(INDEX('nav master'!$C:$C, MATCH(B9357, 'nav master'!$B:$B, 0)), "")</f>
        <v>ULIF06618/01/18DiscvryFnd101</v>
      </c>
      <c r="E9357" s="8" t="s">
        <v>4905</v>
      </c>
      <c r="F9357" s="8" t="s">
        <v>4922</v>
      </c>
    </row>
    <row r="9358" spans="1:6" ht="75" x14ac:dyDescent="0.25">
      <c r="A9358" s="8" t="s">
        <v>125</v>
      </c>
      <c r="B9358" s="8" t="s">
        <v>161</v>
      </c>
      <c r="C9358" s="8" t="str">
        <f>IFERROR(_xlfn.XLOOKUP(TRIM(B9358),Lookup!$B$2:$B$1000,Lookup!$C$2:$C$1000),"")</f>
        <v>Equity</v>
      </c>
      <c r="D9358" s="8" t="str">
        <f>IFERROR(INDEX('nav master'!$C:$C, MATCH(B9358, 'nav master'!$B:$B, 0)), "")</f>
        <v>ULIF08421/11/25InCnsmAdFd101</v>
      </c>
      <c r="E9358" s="8" t="s">
        <v>359</v>
      </c>
      <c r="F9358" s="8" t="s">
        <v>1603</v>
      </c>
    </row>
    <row r="9359" spans="1:6" ht="75" x14ac:dyDescent="0.25">
      <c r="A9359" s="8" t="s">
        <v>125</v>
      </c>
      <c r="B9359" s="8" t="s">
        <v>161</v>
      </c>
      <c r="C9359" s="8" t="str">
        <f>IFERROR(_xlfn.XLOOKUP(TRIM(B9359),Lookup!$B$2:$B$1000,Lookup!$C$2:$C$1000),"")</f>
        <v>Equity</v>
      </c>
      <c r="D9359" s="8" t="str">
        <f>IFERROR(INDEX('nav master'!$C:$C, MATCH(B9359, 'nav master'!$B:$B, 0)), "")</f>
        <v>ULIF08421/11/25InCnsmAdFd101</v>
      </c>
      <c r="E9359" s="8" t="s">
        <v>361</v>
      </c>
      <c r="F9359" s="8" t="s">
        <v>1604</v>
      </c>
    </row>
    <row r="9360" spans="1:6" ht="75" x14ac:dyDescent="0.25">
      <c r="A9360" s="8" t="s">
        <v>125</v>
      </c>
      <c r="B9360" s="8" t="s">
        <v>161</v>
      </c>
      <c r="C9360" s="8" t="str">
        <f>IFERROR(_xlfn.XLOOKUP(TRIM(B9360),Lookup!$B$2:$B$1000,Lookup!$C$2:$C$1000),"")</f>
        <v>Equity</v>
      </c>
      <c r="D9360" s="8" t="str">
        <f>IFERROR(INDEX('nav master'!$C:$C, MATCH(B9360, 'nav master'!$B:$B, 0)), "")</f>
        <v>ULIF08421/11/25InCnsmAdFd101</v>
      </c>
      <c r="E9360" s="8" t="s">
        <v>363</v>
      </c>
      <c r="F9360" s="8" t="s">
        <v>1605</v>
      </c>
    </row>
    <row r="9361" spans="1:6" ht="75" x14ac:dyDescent="0.25">
      <c r="A9361" s="8" t="s">
        <v>125</v>
      </c>
      <c r="B9361" s="8" t="s">
        <v>161</v>
      </c>
      <c r="C9361" s="8" t="str">
        <f>IFERROR(_xlfn.XLOOKUP(TRIM(B9361),Lookup!$B$2:$B$1000,Lookup!$C$2:$C$1000),"")</f>
        <v>Equity</v>
      </c>
      <c r="D9361" s="8" t="str">
        <f>IFERROR(INDEX('nav master'!$C:$C, MATCH(B9361, 'nav master'!$B:$B, 0)), "")</f>
        <v>ULIF08421/11/25InCnsmAdFd101</v>
      </c>
      <c r="E9361" s="8" t="s">
        <v>365</v>
      </c>
      <c r="F9361" s="8" t="s">
        <v>1606</v>
      </c>
    </row>
    <row r="9362" spans="1:6" ht="75" x14ac:dyDescent="0.25">
      <c r="A9362" s="8" t="s">
        <v>125</v>
      </c>
      <c r="B9362" s="8" t="s">
        <v>161</v>
      </c>
      <c r="C9362" s="8" t="str">
        <f>IFERROR(_xlfn.XLOOKUP(TRIM(B9362),Lookup!$B$2:$B$1000,Lookup!$C$2:$C$1000),"")</f>
        <v>Equity</v>
      </c>
      <c r="D9362" s="8" t="str">
        <f>IFERROR(INDEX('nav master'!$C:$C, MATCH(B9362, 'nav master'!$B:$B, 0)), "")</f>
        <v>ULIF08421/11/25InCnsmAdFd101</v>
      </c>
      <c r="E9362" s="8" t="s">
        <v>367</v>
      </c>
      <c r="F9362" s="8" t="s">
        <v>1607</v>
      </c>
    </row>
    <row r="9363" spans="1:6" ht="75" x14ac:dyDescent="0.25">
      <c r="A9363" s="8" t="s">
        <v>125</v>
      </c>
      <c r="B9363" s="8" t="s">
        <v>161</v>
      </c>
      <c r="C9363" s="8" t="str">
        <f>IFERROR(_xlfn.XLOOKUP(TRIM(B9363),Lookup!$B$2:$B$1000,Lookup!$C$2:$C$1000),"")</f>
        <v>Equity</v>
      </c>
      <c r="D9363" s="8" t="str">
        <f>IFERROR(INDEX('nav master'!$C:$C, MATCH(B9363, 'nav master'!$B:$B, 0)), "")</f>
        <v>ULIF08421/11/25InCnsmAdFd101</v>
      </c>
      <c r="E9363" s="8" t="s">
        <v>369</v>
      </c>
      <c r="F9363" s="8" t="s">
        <v>1608</v>
      </c>
    </row>
    <row r="9364" spans="1:6" ht="75" x14ac:dyDescent="0.25">
      <c r="A9364" s="8" t="s">
        <v>125</v>
      </c>
      <c r="B9364" s="8" t="s">
        <v>161</v>
      </c>
      <c r="C9364" s="8" t="str">
        <f>IFERROR(_xlfn.XLOOKUP(TRIM(B9364),Lookup!$B$2:$B$1000,Lookup!$C$2:$C$1000),"")</f>
        <v>Equity</v>
      </c>
      <c r="D9364" s="8" t="str">
        <f>IFERROR(INDEX('nav master'!$C:$C, MATCH(B9364, 'nav master'!$B:$B, 0)), "")</f>
        <v>ULIF08421/11/25InCnsmAdFd101</v>
      </c>
      <c r="E9364" s="8" t="s">
        <v>371</v>
      </c>
      <c r="F9364" s="8" t="s">
        <v>1609</v>
      </c>
    </row>
    <row r="9365" spans="1:6" ht="75" x14ac:dyDescent="0.25">
      <c r="A9365" s="8" t="s">
        <v>125</v>
      </c>
      <c r="B9365" s="8" t="s">
        <v>161</v>
      </c>
      <c r="C9365" s="8" t="str">
        <f>IFERROR(_xlfn.XLOOKUP(TRIM(B9365),Lookup!$B$2:$B$1000,Lookup!$C$2:$C$1000),"")</f>
        <v>Equity</v>
      </c>
      <c r="D9365" s="8" t="str">
        <f>IFERROR(INDEX('nav master'!$C:$C, MATCH(B9365, 'nav master'!$B:$B, 0)), "")</f>
        <v>ULIF08421/11/25InCnsmAdFd101</v>
      </c>
      <c r="E9365" s="8" t="s">
        <v>373</v>
      </c>
      <c r="F9365" s="8" t="s">
        <v>1610</v>
      </c>
    </row>
    <row r="9366" spans="1:6" ht="75" x14ac:dyDescent="0.25">
      <c r="A9366" s="8" t="s">
        <v>125</v>
      </c>
      <c r="B9366" s="8" t="s">
        <v>161</v>
      </c>
      <c r="C9366" s="8" t="str">
        <f>IFERROR(_xlfn.XLOOKUP(TRIM(B9366),Lookup!$B$2:$B$1000,Lookup!$C$2:$C$1000),"")</f>
        <v>Equity</v>
      </c>
      <c r="D9366" s="8" t="str">
        <f>IFERROR(INDEX('nav master'!$C:$C, MATCH(B9366, 'nav master'!$B:$B, 0)), "")</f>
        <v>ULIF08421/11/25InCnsmAdFd101</v>
      </c>
      <c r="E9366" s="8" t="s">
        <v>375</v>
      </c>
      <c r="F9366" s="8" t="s">
        <v>1611</v>
      </c>
    </row>
    <row r="9367" spans="1:6" ht="75" x14ac:dyDescent="0.25">
      <c r="A9367" s="8" t="s">
        <v>125</v>
      </c>
      <c r="B9367" s="8" t="s">
        <v>161</v>
      </c>
      <c r="C9367" s="8" t="str">
        <f>IFERROR(_xlfn.XLOOKUP(TRIM(B9367),Lookup!$B$2:$B$1000,Lookup!$C$2:$C$1000),"")</f>
        <v>Equity</v>
      </c>
      <c r="D9367" s="8" t="str">
        <f>IFERROR(INDEX('nav master'!$C:$C, MATCH(B9367, 'nav master'!$B:$B, 0)), "")</f>
        <v>ULIF08421/11/25InCnsmAdFd101</v>
      </c>
      <c r="E9367" s="8" t="s">
        <v>377</v>
      </c>
      <c r="F9367" s="8" t="s">
        <v>1612</v>
      </c>
    </row>
    <row r="9368" spans="1:6" ht="75" x14ac:dyDescent="0.25">
      <c r="A9368" s="8" t="s">
        <v>125</v>
      </c>
      <c r="B9368" s="8" t="s">
        <v>161</v>
      </c>
      <c r="C9368" s="8" t="str">
        <f>IFERROR(_xlfn.XLOOKUP(TRIM(B9368),Lookup!$B$2:$B$1000,Lookup!$C$2:$C$1000),"")</f>
        <v>Equity</v>
      </c>
      <c r="D9368" s="8" t="str">
        <f>IFERROR(INDEX('nav master'!$C:$C, MATCH(B9368, 'nav master'!$B:$B, 0)), "")</f>
        <v>ULIF08421/11/25InCnsmAdFd101</v>
      </c>
      <c r="E9368" s="8" t="s">
        <v>379</v>
      </c>
      <c r="F9368" s="8" t="s">
        <v>1613</v>
      </c>
    </row>
    <row r="9369" spans="1:6" ht="75" x14ac:dyDescent="0.25">
      <c r="A9369" s="8" t="s">
        <v>125</v>
      </c>
      <c r="B9369" s="8" t="s">
        <v>161</v>
      </c>
      <c r="C9369" s="8" t="str">
        <f>IFERROR(_xlfn.XLOOKUP(TRIM(B9369),Lookup!$B$2:$B$1000,Lookup!$C$2:$C$1000),"")</f>
        <v>Equity</v>
      </c>
      <c r="D9369" s="8" t="str">
        <f>IFERROR(INDEX('nav master'!$C:$C, MATCH(B9369, 'nav master'!$B:$B, 0)), "")</f>
        <v>ULIF08421/11/25InCnsmAdFd101</v>
      </c>
      <c r="E9369" s="8" t="s">
        <v>381</v>
      </c>
      <c r="F9369" s="8" t="s">
        <v>1614</v>
      </c>
    </row>
    <row r="9370" spans="1:6" ht="75" x14ac:dyDescent="0.25">
      <c r="A9370" s="8" t="s">
        <v>125</v>
      </c>
      <c r="B9370" s="8" t="s">
        <v>161</v>
      </c>
      <c r="C9370" s="8" t="str">
        <f>IFERROR(_xlfn.XLOOKUP(TRIM(B9370),Lookup!$B$2:$B$1000,Lookup!$C$2:$C$1000),"")</f>
        <v>Equity</v>
      </c>
      <c r="D9370" s="8" t="str">
        <f>IFERROR(INDEX('nav master'!$C:$C, MATCH(B9370, 'nav master'!$B:$B, 0)), "")</f>
        <v>ULIF08421/11/25InCnsmAdFd101</v>
      </c>
      <c r="E9370" s="8" t="s">
        <v>383</v>
      </c>
      <c r="F9370" s="8" t="s">
        <v>1615</v>
      </c>
    </row>
    <row r="9371" spans="1:6" ht="75" x14ac:dyDescent="0.25">
      <c r="A9371" s="8" t="s">
        <v>125</v>
      </c>
      <c r="B9371" s="8" t="s">
        <v>161</v>
      </c>
      <c r="C9371" s="8" t="str">
        <f>IFERROR(_xlfn.XLOOKUP(TRIM(B9371),Lookup!$B$2:$B$1000,Lookup!$C$2:$C$1000),"")</f>
        <v>Equity</v>
      </c>
      <c r="D9371" s="8" t="str">
        <f>IFERROR(INDEX('nav master'!$C:$C, MATCH(B9371, 'nav master'!$B:$B, 0)), "")</f>
        <v>ULIF08421/11/25InCnsmAdFd101</v>
      </c>
      <c r="E9371" s="8" t="s">
        <v>385</v>
      </c>
      <c r="F9371" s="8" t="s">
        <v>1616</v>
      </c>
    </row>
    <row r="9372" spans="1:6" ht="75" x14ac:dyDescent="0.25">
      <c r="A9372" s="8" t="s">
        <v>125</v>
      </c>
      <c r="B9372" s="8" t="s">
        <v>161</v>
      </c>
      <c r="C9372" s="8" t="str">
        <f>IFERROR(_xlfn.XLOOKUP(TRIM(B9372),Lookup!$B$2:$B$1000,Lookup!$C$2:$C$1000),"")</f>
        <v>Equity</v>
      </c>
      <c r="D9372" s="8" t="str">
        <f>IFERROR(INDEX('nav master'!$C:$C, MATCH(B9372, 'nav master'!$B:$B, 0)), "")</f>
        <v>ULIF08421/11/25InCnsmAdFd101</v>
      </c>
      <c r="E9372" s="8" t="s">
        <v>387</v>
      </c>
      <c r="F9372" s="8" t="s">
        <v>1617</v>
      </c>
    </row>
    <row r="9373" spans="1:6" ht="75" x14ac:dyDescent="0.25">
      <c r="A9373" s="8" t="s">
        <v>125</v>
      </c>
      <c r="B9373" s="8" t="s">
        <v>161</v>
      </c>
      <c r="C9373" s="8" t="str">
        <f>IFERROR(_xlfn.XLOOKUP(TRIM(B9373),Lookup!$B$2:$B$1000,Lookup!$C$2:$C$1000),"")</f>
        <v>Equity</v>
      </c>
      <c r="D9373" s="8" t="str">
        <f>IFERROR(INDEX('nav master'!$C:$C, MATCH(B9373, 'nav master'!$B:$B, 0)), "")</f>
        <v>ULIF08421/11/25InCnsmAdFd101</v>
      </c>
      <c r="E9373" s="8" t="s">
        <v>389</v>
      </c>
      <c r="F9373" s="8" t="s">
        <v>1618</v>
      </c>
    </row>
    <row r="9374" spans="1:6" ht="75" x14ac:dyDescent="0.25">
      <c r="A9374" s="8" t="s">
        <v>125</v>
      </c>
      <c r="B9374" s="8" t="s">
        <v>161</v>
      </c>
      <c r="C9374" s="8" t="str">
        <f>IFERROR(_xlfn.XLOOKUP(TRIM(B9374),Lookup!$B$2:$B$1000,Lookup!$C$2:$C$1000),"")</f>
        <v>Equity</v>
      </c>
      <c r="D9374" s="8" t="str">
        <f>IFERROR(INDEX('nav master'!$C:$C, MATCH(B9374, 'nav master'!$B:$B, 0)), "")</f>
        <v>ULIF08421/11/25InCnsmAdFd101</v>
      </c>
      <c r="E9374" s="8" t="s">
        <v>391</v>
      </c>
      <c r="F9374" s="8" t="s">
        <v>1619</v>
      </c>
    </row>
    <row r="9375" spans="1:6" ht="75" x14ac:dyDescent="0.25">
      <c r="A9375" s="8" t="s">
        <v>125</v>
      </c>
      <c r="B9375" s="8" t="s">
        <v>161</v>
      </c>
      <c r="C9375" s="8" t="str">
        <f>IFERROR(_xlfn.XLOOKUP(TRIM(B9375),Lookup!$B$2:$B$1000,Lookup!$C$2:$C$1000),"")</f>
        <v>Equity</v>
      </c>
      <c r="D9375" s="8" t="str">
        <f>IFERROR(INDEX('nav master'!$C:$C, MATCH(B9375, 'nav master'!$B:$B, 0)), "")</f>
        <v>ULIF08421/11/25InCnsmAdFd101</v>
      </c>
      <c r="E9375" s="8" t="s">
        <v>393</v>
      </c>
      <c r="F9375" s="8" t="s">
        <v>1620</v>
      </c>
    </row>
    <row r="9376" spans="1:6" ht="75" x14ac:dyDescent="0.25">
      <c r="A9376" s="8" t="s">
        <v>125</v>
      </c>
      <c r="B9376" s="8" t="s">
        <v>161</v>
      </c>
      <c r="C9376" s="8" t="str">
        <f>IFERROR(_xlfn.XLOOKUP(TRIM(B9376),Lookup!$B$2:$B$1000,Lookup!$C$2:$C$1000),"")</f>
        <v>Equity</v>
      </c>
      <c r="D9376" s="8" t="str">
        <f>IFERROR(INDEX('nav master'!$C:$C, MATCH(B9376, 'nav master'!$B:$B, 0)), "")</f>
        <v>ULIF08421/11/25InCnsmAdFd101</v>
      </c>
      <c r="E9376" s="8" t="s">
        <v>395</v>
      </c>
      <c r="F9376" s="8" t="s">
        <v>1621</v>
      </c>
    </row>
    <row r="9377" spans="1:6" ht="75" x14ac:dyDescent="0.25">
      <c r="A9377" s="8" t="s">
        <v>125</v>
      </c>
      <c r="B9377" s="8" t="s">
        <v>161</v>
      </c>
      <c r="C9377" s="8" t="str">
        <f>IFERROR(_xlfn.XLOOKUP(TRIM(B9377),Lookup!$B$2:$B$1000,Lookup!$C$2:$C$1000),"")</f>
        <v>Equity</v>
      </c>
      <c r="D9377" s="8" t="str">
        <f>IFERROR(INDEX('nav master'!$C:$C, MATCH(B9377, 'nav master'!$B:$B, 0)), "")</f>
        <v>ULIF08421/11/25InCnsmAdFd101</v>
      </c>
      <c r="E9377" s="8" t="s">
        <v>397</v>
      </c>
      <c r="F9377" s="8" t="s">
        <v>1622</v>
      </c>
    </row>
    <row r="9378" spans="1:6" ht="75" x14ac:dyDescent="0.25">
      <c r="A9378" s="8" t="s">
        <v>125</v>
      </c>
      <c r="B9378" s="8" t="s">
        <v>161</v>
      </c>
      <c r="C9378" s="8" t="str">
        <f>IFERROR(_xlfn.XLOOKUP(TRIM(B9378),Lookup!$B$2:$B$1000,Lookup!$C$2:$C$1000),"")</f>
        <v>Equity</v>
      </c>
      <c r="D9378" s="8" t="str">
        <f>IFERROR(INDEX('nav master'!$C:$C, MATCH(B9378, 'nav master'!$B:$B, 0)), "")</f>
        <v>ULIF08421/11/25InCnsmAdFd101</v>
      </c>
      <c r="E9378" s="8" t="s">
        <v>399</v>
      </c>
      <c r="F9378" s="8" t="s">
        <v>1623</v>
      </c>
    </row>
    <row r="9379" spans="1:6" ht="75" x14ac:dyDescent="0.25">
      <c r="A9379" s="8" t="s">
        <v>125</v>
      </c>
      <c r="B9379" s="8" t="s">
        <v>161</v>
      </c>
      <c r="C9379" s="8" t="str">
        <f>IFERROR(_xlfn.XLOOKUP(TRIM(B9379),Lookup!$B$2:$B$1000,Lookup!$C$2:$C$1000),"")</f>
        <v>Equity</v>
      </c>
      <c r="D9379" s="8" t="str">
        <f>IFERROR(INDEX('nav master'!$C:$C, MATCH(B9379, 'nav master'!$B:$B, 0)), "")</f>
        <v>ULIF08421/11/25InCnsmAdFd101</v>
      </c>
      <c r="E9379" s="8" t="s">
        <v>401</v>
      </c>
      <c r="F9379" s="8" t="s">
        <v>1624</v>
      </c>
    </row>
    <row r="9380" spans="1:6" ht="75" x14ac:dyDescent="0.25">
      <c r="A9380" s="8" t="s">
        <v>125</v>
      </c>
      <c r="B9380" s="8" t="s">
        <v>161</v>
      </c>
      <c r="C9380" s="8" t="str">
        <f>IFERROR(_xlfn.XLOOKUP(TRIM(B9380),Lookup!$B$2:$B$1000,Lookup!$C$2:$C$1000),"")</f>
        <v>Equity</v>
      </c>
      <c r="D9380" s="8" t="str">
        <f>IFERROR(INDEX('nav master'!$C:$C, MATCH(B9380, 'nav master'!$B:$B, 0)), "")</f>
        <v>ULIF08421/11/25InCnsmAdFd101</v>
      </c>
      <c r="E9380" s="8" t="s">
        <v>403</v>
      </c>
      <c r="F9380" s="8" t="s">
        <v>1625</v>
      </c>
    </row>
    <row r="9381" spans="1:6" ht="75" x14ac:dyDescent="0.25">
      <c r="A9381" s="8" t="s">
        <v>125</v>
      </c>
      <c r="B9381" s="8" t="s">
        <v>161</v>
      </c>
      <c r="C9381" s="8" t="str">
        <f>IFERROR(_xlfn.XLOOKUP(TRIM(B9381),Lookup!$B$2:$B$1000,Lookup!$C$2:$C$1000),"")</f>
        <v>Equity</v>
      </c>
      <c r="D9381" s="8" t="str">
        <f>IFERROR(INDEX('nav master'!$C:$C, MATCH(B9381, 'nav master'!$B:$B, 0)), "")</f>
        <v>ULIF08421/11/25InCnsmAdFd101</v>
      </c>
      <c r="E9381" s="8" t="s">
        <v>405</v>
      </c>
      <c r="F9381" s="8" t="s">
        <v>1626</v>
      </c>
    </row>
    <row r="9382" spans="1:6" ht="75" x14ac:dyDescent="0.25">
      <c r="A9382" s="8" t="s">
        <v>125</v>
      </c>
      <c r="B9382" s="8" t="s">
        <v>161</v>
      </c>
      <c r="C9382" s="8" t="str">
        <f>IFERROR(_xlfn.XLOOKUP(TRIM(B9382),Lookup!$B$2:$B$1000,Lookup!$C$2:$C$1000),"")</f>
        <v>Equity</v>
      </c>
      <c r="D9382" s="8" t="str">
        <f>IFERROR(INDEX('nav master'!$C:$C, MATCH(B9382, 'nav master'!$B:$B, 0)), "")</f>
        <v>ULIF08421/11/25InCnsmAdFd101</v>
      </c>
      <c r="E9382" s="8" t="s">
        <v>407</v>
      </c>
      <c r="F9382" s="8" t="s">
        <v>1627</v>
      </c>
    </row>
    <row r="9383" spans="1:6" ht="75" x14ac:dyDescent="0.25">
      <c r="A9383" s="8" t="s">
        <v>125</v>
      </c>
      <c r="B9383" s="8" t="s">
        <v>161</v>
      </c>
      <c r="C9383" s="8" t="str">
        <f>IFERROR(_xlfn.XLOOKUP(TRIM(B9383),Lookup!$B$2:$B$1000,Lookup!$C$2:$C$1000),"")</f>
        <v>Equity</v>
      </c>
      <c r="D9383" s="8" t="str">
        <f>IFERROR(INDEX('nav master'!$C:$C, MATCH(B9383, 'nav master'!$B:$B, 0)), "")</f>
        <v>ULIF08421/11/25InCnsmAdFd101</v>
      </c>
      <c r="E9383" s="8" t="s">
        <v>409</v>
      </c>
      <c r="F9383" s="8" t="s">
        <v>1628</v>
      </c>
    </row>
    <row r="9384" spans="1:6" ht="75" x14ac:dyDescent="0.25">
      <c r="A9384" s="8" t="s">
        <v>125</v>
      </c>
      <c r="B9384" s="8" t="s">
        <v>161</v>
      </c>
      <c r="C9384" s="8" t="str">
        <f>IFERROR(_xlfn.XLOOKUP(TRIM(B9384),Lookup!$B$2:$B$1000,Lookup!$C$2:$C$1000),"")</f>
        <v>Equity</v>
      </c>
      <c r="D9384" s="8" t="str">
        <f>IFERROR(INDEX('nav master'!$C:$C, MATCH(B9384, 'nav master'!$B:$B, 0)), "")</f>
        <v>ULIF08421/11/25InCnsmAdFd101</v>
      </c>
      <c r="E9384" s="8" t="s">
        <v>411</v>
      </c>
      <c r="F9384" s="8" t="s">
        <v>1629</v>
      </c>
    </row>
    <row r="9385" spans="1:6" ht="75" x14ac:dyDescent="0.25">
      <c r="A9385" s="8" t="s">
        <v>125</v>
      </c>
      <c r="B9385" s="8" t="s">
        <v>161</v>
      </c>
      <c r="C9385" s="8" t="str">
        <f>IFERROR(_xlfn.XLOOKUP(TRIM(B9385),Lookup!$B$2:$B$1000,Lookup!$C$2:$C$1000),"")</f>
        <v>Equity</v>
      </c>
      <c r="D9385" s="8" t="str">
        <f>IFERROR(INDEX('nav master'!$C:$C, MATCH(B9385, 'nav master'!$B:$B, 0)), "")</f>
        <v>ULIF08421/11/25InCnsmAdFd101</v>
      </c>
      <c r="E9385" s="8" t="s">
        <v>413</v>
      </c>
      <c r="F9385" s="8" t="s">
        <v>1630</v>
      </c>
    </row>
    <row r="9386" spans="1:6" ht="75" x14ac:dyDescent="0.25">
      <c r="A9386" s="8" t="s">
        <v>125</v>
      </c>
      <c r="B9386" s="8" t="s">
        <v>161</v>
      </c>
      <c r="C9386" s="8" t="str">
        <f>IFERROR(_xlfn.XLOOKUP(TRIM(B9386),Lookup!$B$2:$B$1000,Lookup!$C$2:$C$1000),"")</f>
        <v>Equity</v>
      </c>
      <c r="D9386" s="8" t="str">
        <f>IFERROR(INDEX('nav master'!$C:$C, MATCH(B9386, 'nav master'!$B:$B, 0)), "")</f>
        <v>ULIF08421/11/25InCnsmAdFd101</v>
      </c>
      <c r="E9386" s="8" t="s">
        <v>415</v>
      </c>
      <c r="F9386" s="8" t="s">
        <v>1631</v>
      </c>
    </row>
    <row r="9387" spans="1:6" ht="75" x14ac:dyDescent="0.25">
      <c r="A9387" s="8" t="s">
        <v>125</v>
      </c>
      <c r="B9387" s="8" t="s">
        <v>161</v>
      </c>
      <c r="C9387" s="8" t="str">
        <f>IFERROR(_xlfn.XLOOKUP(TRIM(B9387),Lookup!$B$2:$B$1000,Lookup!$C$2:$C$1000),"")</f>
        <v>Equity</v>
      </c>
      <c r="D9387" s="8" t="str">
        <f>IFERROR(INDEX('nav master'!$C:$C, MATCH(B9387, 'nav master'!$B:$B, 0)), "")</f>
        <v>ULIF08421/11/25InCnsmAdFd101</v>
      </c>
      <c r="E9387" s="8" t="s">
        <v>417</v>
      </c>
      <c r="F9387" s="8" t="s">
        <v>1632</v>
      </c>
    </row>
    <row r="9388" spans="1:6" ht="75" x14ac:dyDescent="0.25">
      <c r="A9388" s="8" t="s">
        <v>125</v>
      </c>
      <c r="B9388" s="8" t="s">
        <v>161</v>
      </c>
      <c r="C9388" s="8" t="str">
        <f>IFERROR(_xlfn.XLOOKUP(TRIM(B9388),Lookup!$B$2:$B$1000,Lookup!$C$2:$C$1000),"")</f>
        <v>Equity</v>
      </c>
      <c r="D9388" s="8" t="str">
        <f>IFERROR(INDEX('nav master'!$C:$C, MATCH(B9388, 'nav master'!$B:$B, 0)), "")</f>
        <v>ULIF08421/11/25InCnsmAdFd101</v>
      </c>
      <c r="E9388" s="8" t="s">
        <v>419</v>
      </c>
      <c r="F9388" s="8" t="s">
        <v>1633</v>
      </c>
    </row>
    <row r="9389" spans="1:6" ht="75" x14ac:dyDescent="0.25">
      <c r="A9389" s="8" t="s">
        <v>125</v>
      </c>
      <c r="B9389" s="8" t="s">
        <v>161</v>
      </c>
      <c r="C9389" s="8" t="str">
        <f>IFERROR(_xlfn.XLOOKUP(TRIM(B9389),Lookup!$B$2:$B$1000,Lookup!$C$2:$C$1000),"")</f>
        <v>Equity</v>
      </c>
      <c r="D9389" s="8" t="str">
        <f>IFERROR(INDEX('nav master'!$C:$C, MATCH(B9389, 'nav master'!$B:$B, 0)), "")</f>
        <v>ULIF08421/11/25InCnsmAdFd101</v>
      </c>
      <c r="E9389" s="8" t="s">
        <v>421</v>
      </c>
      <c r="F9389" s="8" t="s">
        <v>1634</v>
      </c>
    </row>
    <row r="9390" spans="1:6" ht="75" x14ac:dyDescent="0.25">
      <c r="A9390" s="8" t="s">
        <v>125</v>
      </c>
      <c r="B9390" s="8" t="s">
        <v>161</v>
      </c>
      <c r="C9390" s="8" t="str">
        <f>IFERROR(_xlfn.XLOOKUP(TRIM(B9390),Lookup!$B$2:$B$1000,Lookup!$C$2:$C$1000),"")</f>
        <v>Equity</v>
      </c>
      <c r="D9390" s="8" t="str">
        <f>IFERROR(INDEX('nav master'!$C:$C, MATCH(B9390, 'nav master'!$B:$B, 0)), "")</f>
        <v>ULIF08421/11/25InCnsmAdFd101</v>
      </c>
      <c r="E9390" s="8" t="s">
        <v>423</v>
      </c>
      <c r="F9390" s="8" t="s">
        <v>1635</v>
      </c>
    </row>
    <row r="9391" spans="1:6" ht="75" x14ac:dyDescent="0.25">
      <c r="A9391" s="8" t="s">
        <v>125</v>
      </c>
      <c r="B9391" s="8" t="s">
        <v>161</v>
      </c>
      <c r="C9391" s="8" t="str">
        <f>IFERROR(_xlfn.XLOOKUP(TRIM(B9391),Lookup!$B$2:$B$1000,Lookup!$C$2:$C$1000),"")</f>
        <v>Equity</v>
      </c>
      <c r="D9391" s="8" t="str">
        <f>IFERROR(INDEX('nav master'!$C:$C, MATCH(B9391, 'nav master'!$B:$B, 0)), "")</f>
        <v>ULIF08421/11/25InCnsmAdFd101</v>
      </c>
      <c r="E9391" s="8" t="s">
        <v>425</v>
      </c>
      <c r="F9391" s="8" t="s">
        <v>1636</v>
      </c>
    </row>
    <row r="9392" spans="1:6" ht="75" x14ac:dyDescent="0.25">
      <c r="A9392" s="8" t="s">
        <v>125</v>
      </c>
      <c r="B9392" s="8" t="s">
        <v>161</v>
      </c>
      <c r="C9392" s="8" t="str">
        <f>IFERROR(_xlfn.XLOOKUP(TRIM(B9392),Lookup!$B$2:$B$1000,Lookup!$C$2:$C$1000),"")</f>
        <v>Equity</v>
      </c>
      <c r="D9392" s="8" t="str">
        <f>IFERROR(INDEX('nav master'!$C:$C, MATCH(B9392, 'nav master'!$B:$B, 0)), "")</f>
        <v>ULIF08421/11/25InCnsmAdFd101</v>
      </c>
      <c r="E9392" s="8" t="s">
        <v>427</v>
      </c>
      <c r="F9392" s="8" t="s">
        <v>1637</v>
      </c>
    </row>
    <row r="9393" spans="1:6" ht="75" x14ac:dyDescent="0.25">
      <c r="A9393" s="8" t="s">
        <v>125</v>
      </c>
      <c r="B9393" s="8" t="s">
        <v>161</v>
      </c>
      <c r="C9393" s="8" t="str">
        <f>IFERROR(_xlfn.XLOOKUP(TRIM(B9393),Lookup!$B$2:$B$1000,Lookup!$C$2:$C$1000),"")</f>
        <v>Equity</v>
      </c>
      <c r="D9393" s="8" t="str">
        <f>IFERROR(INDEX('nav master'!$C:$C, MATCH(B9393, 'nav master'!$B:$B, 0)), "")</f>
        <v>ULIF08421/11/25InCnsmAdFd101</v>
      </c>
      <c r="E9393" s="8" t="s">
        <v>429</v>
      </c>
      <c r="F9393" s="8" t="s">
        <v>1638</v>
      </c>
    </row>
    <row r="9394" spans="1:6" ht="75" x14ac:dyDescent="0.25">
      <c r="A9394" s="8" t="s">
        <v>125</v>
      </c>
      <c r="B9394" s="8" t="s">
        <v>161</v>
      </c>
      <c r="C9394" s="8" t="str">
        <f>IFERROR(_xlfn.XLOOKUP(TRIM(B9394),Lookup!$B$2:$B$1000,Lookup!$C$2:$C$1000),"")</f>
        <v>Equity</v>
      </c>
      <c r="D9394" s="8" t="str">
        <f>IFERROR(INDEX('nav master'!$C:$C, MATCH(B9394, 'nav master'!$B:$B, 0)), "")</f>
        <v>ULIF08421/11/25InCnsmAdFd101</v>
      </c>
      <c r="E9394" s="8" t="s">
        <v>431</v>
      </c>
      <c r="F9394" s="8" t="s">
        <v>1639</v>
      </c>
    </row>
    <row r="9395" spans="1:6" ht="75" x14ac:dyDescent="0.25">
      <c r="A9395" s="8" t="s">
        <v>125</v>
      </c>
      <c r="B9395" s="8" t="s">
        <v>161</v>
      </c>
      <c r="C9395" s="8" t="str">
        <f>IFERROR(_xlfn.XLOOKUP(TRIM(B9395),Lookup!$B$2:$B$1000,Lookup!$C$2:$C$1000),"")</f>
        <v>Equity</v>
      </c>
      <c r="D9395" s="8" t="str">
        <f>IFERROR(INDEX('nav master'!$C:$C, MATCH(B9395, 'nav master'!$B:$B, 0)), "")</f>
        <v>ULIF08421/11/25InCnsmAdFd101</v>
      </c>
      <c r="E9395" s="8" t="s">
        <v>433</v>
      </c>
      <c r="F9395" s="8" t="s">
        <v>1640</v>
      </c>
    </row>
    <row r="9396" spans="1:6" ht="75" x14ac:dyDescent="0.25">
      <c r="A9396" s="8" t="s">
        <v>125</v>
      </c>
      <c r="B9396" s="8" t="s">
        <v>161</v>
      </c>
      <c r="C9396" s="8" t="str">
        <f>IFERROR(_xlfn.XLOOKUP(TRIM(B9396),Lookup!$B$2:$B$1000,Lookup!$C$2:$C$1000),"")</f>
        <v>Equity</v>
      </c>
      <c r="D9396" s="8" t="str">
        <f>IFERROR(INDEX('nav master'!$C:$C, MATCH(B9396, 'nav master'!$B:$B, 0)), "")</f>
        <v>ULIF08421/11/25InCnsmAdFd101</v>
      </c>
      <c r="E9396" s="8" t="s">
        <v>435</v>
      </c>
      <c r="F9396" s="8" t="s">
        <v>1641</v>
      </c>
    </row>
    <row r="9397" spans="1:6" ht="75" x14ac:dyDescent="0.25">
      <c r="A9397" s="8" t="s">
        <v>125</v>
      </c>
      <c r="B9397" s="8" t="s">
        <v>161</v>
      </c>
      <c r="C9397" s="8" t="str">
        <f>IFERROR(_xlfn.XLOOKUP(TRIM(B9397),Lookup!$B$2:$B$1000,Lookup!$C$2:$C$1000),"")</f>
        <v>Equity</v>
      </c>
      <c r="D9397" s="8" t="str">
        <f>IFERROR(INDEX('nav master'!$C:$C, MATCH(B9397, 'nav master'!$B:$B, 0)), "")</f>
        <v>ULIF08421/11/25InCnsmAdFd101</v>
      </c>
      <c r="E9397" s="8" t="s">
        <v>437</v>
      </c>
      <c r="F9397" s="8" t="s">
        <v>1642</v>
      </c>
    </row>
    <row r="9398" spans="1:6" ht="75" x14ac:dyDescent="0.25">
      <c r="A9398" s="8" t="s">
        <v>125</v>
      </c>
      <c r="B9398" s="8" t="s">
        <v>161</v>
      </c>
      <c r="C9398" s="8" t="str">
        <f>IFERROR(_xlfn.XLOOKUP(TRIM(B9398),Lookup!$B$2:$B$1000,Lookup!$C$2:$C$1000),"")</f>
        <v>Equity</v>
      </c>
      <c r="D9398" s="8" t="str">
        <f>IFERROR(INDEX('nav master'!$C:$C, MATCH(B9398, 'nav master'!$B:$B, 0)), "")</f>
        <v>ULIF08421/11/25InCnsmAdFd101</v>
      </c>
      <c r="E9398" s="8" t="s">
        <v>439</v>
      </c>
      <c r="F9398" s="8" t="s">
        <v>1643</v>
      </c>
    </row>
    <row r="9399" spans="1:6" ht="75" x14ac:dyDescent="0.25">
      <c r="A9399" s="8" t="s">
        <v>125</v>
      </c>
      <c r="B9399" s="8" t="s">
        <v>161</v>
      </c>
      <c r="C9399" s="8" t="str">
        <f>IFERROR(_xlfn.XLOOKUP(TRIM(B9399),Lookup!$B$2:$B$1000,Lookup!$C$2:$C$1000),"")</f>
        <v>Equity</v>
      </c>
      <c r="D9399" s="8" t="str">
        <f>IFERROR(INDEX('nav master'!$C:$C, MATCH(B9399, 'nav master'!$B:$B, 0)), "")</f>
        <v>ULIF08421/11/25InCnsmAdFd101</v>
      </c>
      <c r="E9399" s="8" t="s">
        <v>441</v>
      </c>
      <c r="F9399" s="8" t="s">
        <v>1644</v>
      </c>
    </row>
    <row r="9400" spans="1:6" ht="75" x14ac:dyDescent="0.25">
      <c r="A9400" s="8" t="s">
        <v>125</v>
      </c>
      <c r="B9400" s="8" t="s">
        <v>161</v>
      </c>
      <c r="C9400" s="8" t="str">
        <f>IFERROR(_xlfn.XLOOKUP(TRIM(B9400),Lookup!$B$2:$B$1000,Lookup!$C$2:$C$1000),"")</f>
        <v>Equity</v>
      </c>
      <c r="D9400" s="8" t="str">
        <f>IFERROR(INDEX('nav master'!$C:$C, MATCH(B9400, 'nav master'!$B:$B, 0)), "")</f>
        <v>ULIF08421/11/25InCnsmAdFd101</v>
      </c>
      <c r="E9400" s="8" t="s">
        <v>443</v>
      </c>
      <c r="F9400" s="8" t="s">
        <v>1645</v>
      </c>
    </row>
    <row r="9401" spans="1:6" ht="75" x14ac:dyDescent="0.25">
      <c r="A9401" s="8" t="s">
        <v>125</v>
      </c>
      <c r="B9401" s="8" t="s">
        <v>161</v>
      </c>
      <c r="C9401" s="8" t="str">
        <f>IFERROR(_xlfn.XLOOKUP(TRIM(B9401),Lookup!$B$2:$B$1000,Lookup!$C$2:$C$1000),"")</f>
        <v>Equity</v>
      </c>
      <c r="D9401" s="8" t="str">
        <f>IFERROR(INDEX('nav master'!$C:$C, MATCH(B9401, 'nav master'!$B:$B, 0)), "")</f>
        <v>ULIF08421/11/25InCnsmAdFd101</v>
      </c>
      <c r="E9401" s="8" t="s">
        <v>445</v>
      </c>
      <c r="F9401" s="8" t="s">
        <v>1646</v>
      </c>
    </row>
    <row r="9402" spans="1:6" ht="75" x14ac:dyDescent="0.25">
      <c r="A9402" s="8" t="s">
        <v>125</v>
      </c>
      <c r="B9402" s="8" t="s">
        <v>161</v>
      </c>
      <c r="C9402" s="8" t="str">
        <f>IFERROR(_xlfn.XLOOKUP(TRIM(B9402),Lookup!$B$2:$B$1000,Lookup!$C$2:$C$1000),"")</f>
        <v>Equity</v>
      </c>
      <c r="D9402" s="8" t="str">
        <f>IFERROR(INDEX('nav master'!$C:$C, MATCH(B9402, 'nav master'!$B:$B, 0)), "")</f>
        <v>ULIF08421/11/25InCnsmAdFd101</v>
      </c>
      <c r="E9402" s="8" t="s">
        <v>446</v>
      </c>
      <c r="F9402" s="8" t="s">
        <v>1647</v>
      </c>
    </row>
    <row r="9403" spans="1:6" ht="75" x14ac:dyDescent="0.25">
      <c r="A9403" s="8" t="s">
        <v>125</v>
      </c>
      <c r="B9403" s="8" t="s">
        <v>161</v>
      </c>
      <c r="C9403" s="8" t="str">
        <f>IFERROR(_xlfn.XLOOKUP(TRIM(B9403),Lookup!$B$2:$B$1000,Lookup!$C$2:$C$1000),"")</f>
        <v>Equity</v>
      </c>
      <c r="D9403" s="8" t="str">
        <f>IFERROR(INDEX('nav master'!$C:$C, MATCH(B9403, 'nav master'!$B:$B, 0)), "")</f>
        <v>ULIF08421/11/25InCnsmAdFd101</v>
      </c>
      <c r="E9403" s="8" t="s">
        <v>448</v>
      </c>
      <c r="F9403" s="8" t="s">
        <v>1648</v>
      </c>
    </row>
    <row r="9404" spans="1:6" ht="75" x14ac:dyDescent="0.25">
      <c r="A9404" s="8" t="s">
        <v>125</v>
      </c>
      <c r="B9404" s="8" t="s">
        <v>161</v>
      </c>
      <c r="C9404" s="8" t="str">
        <f>IFERROR(_xlfn.XLOOKUP(TRIM(B9404),Lookup!$B$2:$B$1000,Lookup!$C$2:$C$1000),"")</f>
        <v>Equity</v>
      </c>
      <c r="D9404" s="8" t="str">
        <f>IFERROR(INDEX('nav master'!$C:$C, MATCH(B9404, 'nav master'!$B:$B, 0)), "")</f>
        <v>ULIF08421/11/25InCnsmAdFd101</v>
      </c>
      <c r="E9404" s="8" t="s">
        <v>450</v>
      </c>
      <c r="F9404" s="8" t="s">
        <v>1649</v>
      </c>
    </row>
    <row r="9405" spans="1:6" ht="75" x14ac:dyDescent="0.25">
      <c r="A9405" s="8" t="s">
        <v>125</v>
      </c>
      <c r="B9405" s="8" t="s">
        <v>161</v>
      </c>
      <c r="C9405" s="8" t="str">
        <f>IFERROR(_xlfn.XLOOKUP(TRIM(B9405),Lookup!$B$2:$B$1000,Lookup!$C$2:$C$1000),"")</f>
        <v>Equity</v>
      </c>
      <c r="D9405" s="8" t="str">
        <f>IFERROR(INDEX('nav master'!$C:$C, MATCH(B9405, 'nav master'!$B:$B, 0)), "")</f>
        <v>ULIF08421/11/25InCnsmAdFd101</v>
      </c>
      <c r="E9405" s="8" t="s">
        <v>452</v>
      </c>
      <c r="F9405" s="8" t="s">
        <v>1650</v>
      </c>
    </row>
    <row r="9406" spans="1:6" ht="75" x14ac:dyDescent="0.25">
      <c r="A9406" s="8" t="s">
        <v>125</v>
      </c>
      <c r="B9406" s="8" t="s">
        <v>161</v>
      </c>
      <c r="C9406" s="8" t="str">
        <f>IFERROR(_xlfn.XLOOKUP(TRIM(B9406),Lookup!$B$2:$B$1000,Lookup!$C$2:$C$1000),"")</f>
        <v>Equity</v>
      </c>
      <c r="D9406" s="8" t="str">
        <f>IFERROR(INDEX('nav master'!$C:$C, MATCH(B9406, 'nav master'!$B:$B, 0)), "")</f>
        <v>ULIF08421/11/25InCnsmAdFd101</v>
      </c>
      <c r="E9406" s="8" t="s">
        <v>454</v>
      </c>
      <c r="F9406" s="8" t="s">
        <v>1651</v>
      </c>
    </row>
    <row r="9407" spans="1:6" ht="75" x14ac:dyDescent="0.25">
      <c r="A9407" s="8" t="s">
        <v>125</v>
      </c>
      <c r="B9407" s="8" t="s">
        <v>161</v>
      </c>
      <c r="C9407" s="8" t="str">
        <f>IFERROR(_xlfn.XLOOKUP(TRIM(B9407),Lookup!$B$2:$B$1000,Lookup!$C$2:$C$1000),"")</f>
        <v>Equity</v>
      </c>
      <c r="D9407" s="8" t="str">
        <f>IFERROR(INDEX('nav master'!$C:$C, MATCH(B9407, 'nav master'!$B:$B, 0)), "")</f>
        <v>ULIF08421/11/25InCnsmAdFd101</v>
      </c>
      <c r="E9407" s="8" t="s">
        <v>456</v>
      </c>
      <c r="F9407" s="8" t="s">
        <v>1652</v>
      </c>
    </row>
    <row r="9408" spans="1:6" ht="75" x14ac:dyDescent="0.25">
      <c r="A9408" s="8" t="s">
        <v>125</v>
      </c>
      <c r="B9408" s="8" t="s">
        <v>161</v>
      </c>
      <c r="C9408" s="8" t="str">
        <f>IFERROR(_xlfn.XLOOKUP(TRIM(B9408),Lookup!$B$2:$B$1000,Lookup!$C$2:$C$1000),"")</f>
        <v>Equity</v>
      </c>
      <c r="D9408" s="8" t="str">
        <f>IFERROR(INDEX('nav master'!$C:$C, MATCH(B9408, 'nav master'!$B:$B, 0)), "")</f>
        <v>ULIF08421/11/25InCnsmAdFd101</v>
      </c>
      <c r="E9408" s="8" t="s">
        <v>458</v>
      </c>
      <c r="F9408" s="8" t="s">
        <v>1653</v>
      </c>
    </row>
    <row r="9409" spans="1:6" ht="75" x14ac:dyDescent="0.25">
      <c r="A9409" s="8" t="s">
        <v>125</v>
      </c>
      <c r="B9409" s="8" t="s">
        <v>161</v>
      </c>
      <c r="C9409" s="8" t="str">
        <f>IFERROR(_xlfn.XLOOKUP(TRIM(B9409),Lookup!$B$2:$B$1000,Lookup!$C$2:$C$1000),"")</f>
        <v>Equity</v>
      </c>
      <c r="D9409" s="8" t="str">
        <f>IFERROR(INDEX('nav master'!$C:$C, MATCH(B9409, 'nav master'!$B:$B, 0)), "")</f>
        <v>ULIF08421/11/25InCnsmAdFd101</v>
      </c>
      <c r="E9409" s="8" t="s">
        <v>460</v>
      </c>
      <c r="F9409" s="8" t="s">
        <v>1654</v>
      </c>
    </row>
    <row r="9410" spans="1:6" ht="75" x14ac:dyDescent="0.25">
      <c r="A9410" s="8" t="s">
        <v>125</v>
      </c>
      <c r="B9410" s="8" t="s">
        <v>161</v>
      </c>
      <c r="C9410" s="8" t="str">
        <f>IFERROR(_xlfn.XLOOKUP(TRIM(B9410),Lookup!$B$2:$B$1000,Lookup!$C$2:$C$1000),"")</f>
        <v>Equity</v>
      </c>
      <c r="D9410" s="8" t="str">
        <f>IFERROR(INDEX('nav master'!$C:$C, MATCH(B9410, 'nav master'!$B:$B, 0)), "")</f>
        <v>ULIF08421/11/25InCnsmAdFd101</v>
      </c>
      <c r="E9410" s="8" t="s">
        <v>462</v>
      </c>
      <c r="F9410" s="8" t="s">
        <v>1655</v>
      </c>
    </row>
    <row r="9411" spans="1:6" ht="75" x14ac:dyDescent="0.25">
      <c r="A9411" s="8" t="s">
        <v>125</v>
      </c>
      <c r="B9411" s="8" t="s">
        <v>161</v>
      </c>
      <c r="C9411" s="8" t="str">
        <f>IFERROR(_xlfn.XLOOKUP(TRIM(B9411),Lookup!$B$2:$B$1000,Lookup!$C$2:$C$1000),"")</f>
        <v>Equity</v>
      </c>
      <c r="D9411" s="8" t="str">
        <f>IFERROR(INDEX('nav master'!$C:$C, MATCH(B9411, 'nav master'!$B:$B, 0)), "")</f>
        <v>ULIF08421/11/25InCnsmAdFd101</v>
      </c>
      <c r="E9411" s="8" t="s">
        <v>464</v>
      </c>
      <c r="F9411" s="8" t="s">
        <v>1656</v>
      </c>
    </row>
    <row r="9412" spans="1:6" ht="75" x14ac:dyDescent="0.25">
      <c r="A9412" s="8" t="s">
        <v>125</v>
      </c>
      <c r="B9412" s="8" t="s">
        <v>161</v>
      </c>
      <c r="C9412" s="8" t="str">
        <f>IFERROR(_xlfn.XLOOKUP(TRIM(B9412),Lookup!$B$2:$B$1000,Lookup!$C$2:$C$1000),"")</f>
        <v>Equity</v>
      </c>
      <c r="D9412" s="8" t="str">
        <f>IFERROR(INDEX('nav master'!$C:$C, MATCH(B9412, 'nav master'!$B:$B, 0)), "")</f>
        <v>ULIF08421/11/25InCnsmAdFd101</v>
      </c>
      <c r="E9412" s="8" t="s">
        <v>466</v>
      </c>
      <c r="F9412" s="8" t="s">
        <v>1657</v>
      </c>
    </row>
    <row r="9413" spans="1:6" ht="75" x14ac:dyDescent="0.25">
      <c r="A9413" s="8" t="s">
        <v>125</v>
      </c>
      <c r="B9413" s="8" t="s">
        <v>161</v>
      </c>
      <c r="C9413" s="8" t="str">
        <f>IFERROR(_xlfn.XLOOKUP(TRIM(B9413),Lookup!$B$2:$B$1000,Lookup!$C$2:$C$1000),"")</f>
        <v>Equity</v>
      </c>
      <c r="D9413" s="8" t="str">
        <f>IFERROR(INDEX('nav master'!$C:$C, MATCH(B9413, 'nav master'!$B:$B, 0)), "")</f>
        <v>ULIF08421/11/25InCnsmAdFd101</v>
      </c>
      <c r="E9413" s="8" t="s">
        <v>468</v>
      </c>
      <c r="F9413" s="8" t="s">
        <v>1658</v>
      </c>
    </row>
    <row r="9414" spans="1:6" ht="75" x14ac:dyDescent="0.25">
      <c r="A9414" s="8" t="s">
        <v>125</v>
      </c>
      <c r="B9414" s="8" t="s">
        <v>161</v>
      </c>
      <c r="C9414" s="8" t="str">
        <f>IFERROR(_xlfn.XLOOKUP(TRIM(B9414),Lookup!$B$2:$B$1000,Lookup!$C$2:$C$1000),"")</f>
        <v>Equity</v>
      </c>
      <c r="D9414" s="8" t="str">
        <f>IFERROR(INDEX('nav master'!$C:$C, MATCH(B9414, 'nav master'!$B:$B, 0)), "")</f>
        <v>ULIF08421/11/25InCnsmAdFd101</v>
      </c>
      <c r="E9414" s="8" t="s">
        <v>470</v>
      </c>
      <c r="F9414" s="8" t="s">
        <v>1659</v>
      </c>
    </row>
    <row r="9415" spans="1:6" ht="75" x14ac:dyDescent="0.25">
      <c r="A9415" s="8" t="s">
        <v>125</v>
      </c>
      <c r="B9415" s="8" t="s">
        <v>161</v>
      </c>
      <c r="C9415" s="8" t="str">
        <f>IFERROR(_xlfn.XLOOKUP(TRIM(B9415),Lookup!$B$2:$B$1000,Lookup!$C$2:$C$1000),"")</f>
        <v>Equity</v>
      </c>
      <c r="D9415" s="8" t="str">
        <f>IFERROR(INDEX('nav master'!$C:$C, MATCH(B9415, 'nav master'!$B:$B, 0)), "")</f>
        <v>ULIF08421/11/25InCnsmAdFd101</v>
      </c>
      <c r="E9415" s="8" t="s">
        <v>472</v>
      </c>
      <c r="F9415" s="8" t="s">
        <v>1660</v>
      </c>
    </row>
    <row r="9416" spans="1:6" ht="75" x14ac:dyDescent="0.25">
      <c r="A9416" s="8" t="s">
        <v>125</v>
      </c>
      <c r="B9416" s="8" t="s">
        <v>161</v>
      </c>
      <c r="C9416" s="8" t="str">
        <f>IFERROR(_xlfn.XLOOKUP(TRIM(B9416),Lookup!$B$2:$B$1000,Lookup!$C$2:$C$1000),"")</f>
        <v>Equity</v>
      </c>
      <c r="D9416" s="8" t="str">
        <f>IFERROR(INDEX('nav master'!$C:$C, MATCH(B9416, 'nav master'!$B:$B, 0)), "")</f>
        <v>ULIF08421/11/25InCnsmAdFd101</v>
      </c>
      <c r="E9416" s="8" t="s">
        <v>474</v>
      </c>
      <c r="F9416" s="8" t="s">
        <v>1661</v>
      </c>
    </row>
    <row r="9417" spans="1:6" ht="75" x14ac:dyDescent="0.25">
      <c r="A9417" s="8" t="s">
        <v>125</v>
      </c>
      <c r="B9417" s="8" t="s">
        <v>161</v>
      </c>
      <c r="C9417" s="8" t="str">
        <f>IFERROR(_xlfn.XLOOKUP(TRIM(B9417),Lookup!$B$2:$B$1000,Lookup!$C$2:$C$1000),"")</f>
        <v>Equity</v>
      </c>
      <c r="D9417" s="8" t="str">
        <f>IFERROR(INDEX('nav master'!$C:$C, MATCH(B9417, 'nav master'!$B:$B, 0)), "")</f>
        <v>ULIF08421/11/25InCnsmAdFd101</v>
      </c>
      <c r="E9417" s="8" t="s">
        <v>476</v>
      </c>
      <c r="F9417" s="8" t="s">
        <v>1662</v>
      </c>
    </row>
    <row r="9418" spans="1:6" ht="75" x14ac:dyDescent="0.25">
      <c r="A9418" s="8" t="s">
        <v>125</v>
      </c>
      <c r="B9418" s="8" t="s">
        <v>161</v>
      </c>
      <c r="C9418" s="8" t="str">
        <f>IFERROR(_xlfn.XLOOKUP(TRIM(B9418),Lookup!$B$2:$B$1000,Lookup!$C$2:$C$1000),"")</f>
        <v>Equity</v>
      </c>
      <c r="D9418" s="8" t="str">
        <f>IFERROR(INDEX('nav master'!$C:$C, MATCH(B9418, 'nav master'!$B:$B, 0)), "")</f>
        <v>ULIF08421/11/25InCnsmAdFd101</v>
      </c>
      <c r="E9418" s="8" t="s">
        <v>478</v>
      </c>
      <c r="F9418" s="8" t="s">
        <v>1663</v>
      </c>
    </row>
    <row r="9419" spans="1:6" ht="75" x14ac:dyDescent="0.25">
      <c r="A9419" s="8" t="s">
        <v>125</v>
      </c>
      <c r="B9419" s="8" t="s">
        <v>161</v>
      </c>
      <c r="C9419" s="8" t="str">
        <f>IFERROR(_xlfn.XLOOKUP(TRIM(B9419),Lookup!$B$2:$B$1000,Lookup!$C$2:$C$1000),"")</f>
        <v>Equity</v>
      </c>
      <c r="D9419" s="8" t="str">
        <f>IFERROR(INDEX('nav master'!$C:$C, MATCH(B9419, 'nav master'!$B:$B, 0)), "")</f>
        <v>ULIF08421/11/25InCnsmAdFd101</v>
      </c>
      <c r="E9419" s="8" t="s">
        <v>480</v>
      </c>
      <c r="F9419" s="8" t="s">
        <v>1664</v>
      </c>
    </row>
    <row r="9420" spans="1:6" ht="75" x14ac:dyDescent="0.25">
      <c r="A9420" s="8" t="s">
        <v>125</v>
      </c>
      <c r="B9420" s="8" t="s">
        <v>161</v>
      </c>
      <c r="C9420" s="8" t="str">
        <f>IFERROR(_xlfn.XLOOKUP(TRIM(B9420),Lookup!$B$2:$B$1000,Lookup!$C$2:$C$1000),"")</f>
        <v>Equity</v>
      </c>
      <c r="D9420" s="8" t="str">
        <f>IFERROR(INDEX('nav master'!$C:$C, MATCH(B9420, 'nav master'!$B:$B, 0)), "")</f>
        <v>ULIF08421/11/25InCnsmAdFd101</v>
      </c>
      <c r="E9420" s="8" t="s">
        <v>482</v>
      </c>
      <c r="F9420" s="8" t="s">
        <v>1665</v>
      </c>
    </row>
    <row r="9421" spans="1:6" ht="75" x14ac:dyDescent="0.25">
      <c r="A9421" s="8" t="s">
        <v>125</v>
      </c>
      <c r="B9421" s="8" t="s">
        <v>161</v>
      </c>
      <c r="C9421" s="8" t="str">
        <f>IFERROR(_xlfn.XLOOKUP(TRIM(B9421),Lookup!$B$2:$B$1000,Lookup!$C$2:$C$1000),"")</f>
        <v>Equity</v>
      </c>
      <c r="D9421" s="8" t="str">
        <f>IFERROR(INDEX('nav master'!$C:$C, MATCH(B9421, 'nav master'!$B:$B, 0)), "")</f>
        <v>ULIF08421/11/25InCnsmAdFd101</v>
      </c>
      <c r="E9421" s="8" t="s">
        <v>484</v>
      </c>
      <c r="F9421" s="8" t="s">
        <v>1666</v>
      </c>
    </row>
    <row r="9422" spans="1:6" ht="75" x14ac:dyDescent="0.25">
      <c r="A9422" s="8" t="s">
        <v>125</v>
      </c>
      <c r="B9422" s="8" t="s">
        <v>161</v>
      </c>
      <c r="C9422" s="8" t="str">
        <f>IFERROR(_xlfn.XLOOKUP(TRIM(B9422),Lookup!$B$2:$B$1000,Lookup!$C$2:$C$1000),"")</f>
        <v>Equity</v>
      </c>
      <c r="D9422" s="8" t="str">
        <f>IFERROR(INDEX('nav master'!$C:$C, MATCH(B9422, 'nav master'!$B:$B, 0)), "")</f>
        <v>ULIF08421/11/25InCnsmAdFd101</v>
      </c>
      <c r="E9422" s="8" t="s">
        <v>486</v>
      </c>
      <c r="F9422" s="8" t="s">
        <v>1667</v>
      </c>
    </row>
    <row r="9423" spans="1:6" ht="75" x14ac:dyDescent="0.25">
      <c r="A9423" s="8" t="s">
        <v>125</v>
      </c>
      <c r="B9423" s="8" t="s">
        <v>161</v>
      </c>
      <c r="C9423" s="8" t="str">
        <f>IFERROR(_xlfn.XLOOKUP(TRIM(B9423),Lookup!$B$2:$B$1000,Lookup!$C$2:$C$1000),"")</f>
        <v>Equity</v>
      </c>
      <c r="D9423" s="8" t="str">
        <f>IFERROR(INDEX('nav master'!$C:$C, MATCH(B9423, 'nav master'!$B:$B, 0)), "")</f>
        <v>ULIF08421/11/25InCnsmAdFd101</v>
      </c>
      <c r="E9423" s="8" t="s">
        <v>488</v>
      </c>
      <c r="F9423" s="8" t="s">
        <v>1668</v>
      </c>
    </row>
    <row r="9424" spans="1:6" ht="75" x14ac:dyDescent="0.25">
      <c r="A9424" s="8" t="s">
        <v>125</v>
      </c>
      <c r="B9424" s="8" t="s">
        <v>161</v>
      </c>
      <c r="C9424" s="8" t="str">
        <f>IFERROR(_xlfn.XLOOKUP(TRIM(B9424),Lookup!$B$2:$B$1000,Lookup!$C$2:$C$1000),"")</f>
        <v>Equity</v>
      </c>
      <c r="D9424" s="8" t="str">
        <f>IFERROR(INDEX('nav master'!$C:$C, MATCH(B9424, 'nav master'!$B:$B, 0)), "")</f>
        <v>ULIF08421/11/25InCnsmAdFd101</v>
      </c>
      <c r="E9424" s="8" t="s">
        <v>490</v>
      </c>
      <c r="F9424" s="8" t="s">
        <v>1669</v>
      </c>
    </row>
    <row r="9425" spans="1:6" ht="75" x14ac:dyDescent="0.25">
      <c r="A9425" s="8" t="s">
        <v>125</v>
      </c>
      <c r="B9425" s="8" t="s">
        <v>161</v>
      </c>
      <c r="C9425" s="8" t="str">
        <f>IFERROR(_xlfn.XLOOKUP(TRIM(B9425),Lookup!$B$2:$B$1000,Lookup!$C$2:$C$1000),"")</f>
        <v>Equity</v>
      </c>
      <c r="D9425" s="8" t="str">
        <f>IFERROR(INDEX('nav master'!$C:$C, MATCH(B9425, 'nav master'!$B:$B, 0)), "")</f>
        <v>ULIF08421/11/25InCnsmAdFd101</v>
      </c>
      <c r="E9425" s="8" t="s">
        <v>492</v>
      </c>
      <c r="F9425" s="8" t="s">
        <v>1670</v>
      </c>
    </row>
    <row r="9426" spans="1:6" ht="75" x14ac:dyDescent="0.25">
      <c r="A9426" s="8" t="s">
        <v>125</v>
      </c>
      <c r="B9426" s="8" t="s">
        <v>161</v>
      </c>
      <c r="C9426" s="8" t="str">
        <f>IFERROR(_xlfn.XLOOKUP(TRIM(B9426),Lookup!$B$2:$B$1000,Lookup!$C$2:$C$1000),"")</f>
        <v>Equity</v>
      </c>
      <c r="D9426" s="8" t="str">
        <f>IFERROR(INDEX('nav master'!$C:$C, MATCH(B9426, 'nav master'!$B:$B, 0)), "")</f>
        <v>ULIF08421/11/25InCnsmAdFd101</v>
      </c>
      <c r="E9426" s="8" t="s">
        <v>494</v>
      </c>
      <c r="F9426" s="8" t="s">
        <v>1671</v>
      </c>
    </row>
    <row r="9427" spans="1:6" ht="75" x14ac:dyDescent="0.25">
      <c r="A9427" s="8" t="s">
        <v>125</v>
      </c>
      <c r="B9427" s="8" t="s">
        <v>161</v>
      </c>
      <c r="C9427" s="8" t="str">
        <f>IFERROR(_xlfn.XLOOKUP(TRIM(B9427),Lookup!$B$2:$B$1000,Lookup!$C$2:$C$1000),"")</f>
        <v>Equity</v>
      </c>
      <c r="D9427" s="8" t="str">
        <f>IFERROR(INDEX('nav master'!$C:$C, MATCH(B9427, 'nav master'!$B:$B, 0)), "")</f>
        <v>ULIF08421/11/25InCnsmAdFd101</v>
      </c>
      <c r="E9427" s="8" t="s">
        <v>496</v>
      </c>
      <c r="F9427" s="8" t="s">
        <v>1672</v>
      </c>
    </row>
    <row r="9428" spans="1:6" ht="75" x14ac:dyDescent="0.25">
      <c r="A9428" s="8" t="s">
        <v>125</v>
      </c>
      <c r="B9428" s="8" t="s">
        <v>161</v>
      </c>
      <c r="C9428" s="8" t="str">
        <f>IFERROR(_xlfn.XLOOKUP(TRIM(B9428),Lookup!$B$2:$B$1000,Lookup!$C$2:$C$1000),"")</f>
        <v>Equity</v>
      </c>
      <c r="D9428" s="8" t="str">
        <f>IFERROR(INDEX('nav master'!$C:$C, MATCH(B9428, 'nav master'!$B:$B, 0)), "")</f>
        <v>ULIF08421/11/25InCnsmAdFd101</v>
      </c>
      <c r="E9428" s="8" t="s">
        <v>498</v>
      </c>
      <c r="F9428" s="8" t="s">
        <v>1673</v>
      </c>
    </row>
    <row r="9429" spans="1:6" ht="75" x14ac:dyDescent="0.25">
      <c r="A9429" s="8" t="s">
        <v>125</v>
      </c>
      <c r="B9429" s="8" t="s">
        <v>161</v>
      </c>
      <c r="C9429" s="8" t="str">
        <f>IFERROR(_xlfn.XLOOKUP(TRIM(B9429),Lookup!$B$2:$B$1000,Lookup!$C$2:$C$1000),"")</f>
        <v>Equity</v>
      </c>
      <c r="D9429" s="8" t="str">
        <f>IFERROR(INDEX('nav master'!$C:$C, MATCH(B9429, 'nav master'!$B:$B, 0)), "")</f>
        <v>ULIF08421/11/25InCnsmAdFd101</v>
      </c>
      <c r="E9429" s="8" t="s">
        <v>500</v>
      </c>
      <c r="F9429" s="8" t="s">
        <v>1674</v>
      </c>
    </row>
    <row r="9430" spans="1:6" ht="75" x14ac:dyDescent="0.25">
      <c r="A9430" s="8" t="s">
        <v>125</v>
      </c>
      <c r="B9430" s="8" t="s">
        <v>161</v>
      </c>
      <c r="C9430" s="8" t="str">
        <f>IFERROR(_xlfn.XLOOKUP(TRIM(B9430),Lookup!$B$2:$B$1000,Lookup!$C$2:$C$1000),"")</f>
        <v>Equity</v>
      </c>
      <c r="D9430" s="8" t="str">
        <f>IFERROR(INDEX('nav master'!$C:$C, MATCH(B9430, 'nav master'!$B:$B, 0)), "")</f>
        <v>ULIF08421/11/25InCnsmAdFd101</v>
      </c>
      <c r="E9430" s="8" t="s">
        <v>502</v>
      </c>
      <c r="F9430" s="8" t="s">
        <v>1675</v>
      </c>
    </row>
    <row r="9431" spans="1:6" ht="75" x14ac:dyDescent="0.25">
      <c r="A9431" s="8" t="s">
        <v>125</v>
      </c>
      <c r="B9431" s="8" t="s">
        <v>161</v>
      </c>
      <c r="C9431" s="8" t="str">
        <f>IFERROR(_xlfn.XLOOKUP(TRIM(B9431),Lookup!$B$2:$B$1000,Lookup!$C$2:$C$1000),"")</f>
        <v>Equity</v>
      </c>
      <c r="D9431" s="8" t="str">
        <f>IFERROR(INDEX('nav master'!$C:$C, MATCH(B9431, 'nav master'!$B:$B, 0)), "")</f>
        <v>ULIF08421/11/25InCnsmAdFd101</v>
      </c>
      <c r="E9431" s="8" t="s">
        <v>504</v>
      </c>
      <c r="F9431" s="8" t="s">
        <v>1676</v>
      </c>
    </row>
    <row r="9432" spans="1:6" ht="75" x14ac:dyDescent="0.25">
      <c r="A9432" s="8" t="s">
        <v>125</v>
      </c>
      <c r="B9432" s="8" t="s">
        <v>161</v>
      </c>
      <c r="C9432" s="8" t="str">
        <f>IFERROR(_xlfn.XLOOKUP(TRIM(B9432),Lookup!$B$2:$B$1000,Lookup!$C$2:$C$1000),"")</f>
        <v>Equity</v>
      </c>
      <c r="D9432" s="8" t="str">
        <f>IFERROR(INDEX('nav master'!$C:$C, MATCH(B9432, 'nav master'!$B:$B, 0)), "")</f>
        <v>ULIF08421/11/25InCnsmAdFd101</v>
      </c>
      <c r="E9432" s="8" t="s">
        <v>506</v>
      </c>
      <c r="F9432" s="8" t="s">
        <v>1677</v>
      </c>
    </row>
    <row r="9433" spans="1:6" ht="75" x14ac:dyDescent="0.25">
      <c r="A9433" s="8" t="s">
        <v>125</v>
      </c>
      <c r="B9433" s="8" t="s">
        <v>161</v>
      </c>
      <c r="C9433" s="8" t="str">
        <f>IFERROR(_xlfn.XLOOKUP(TRIM(B9433),Lookup!$B$2:$B$1000,Lookup!$C$2:$C$1000),"")</f>
        <v>Equity</v>
      </c>
      <c r="D9433" s="8" t="str">
        <f>IFERROR(INDEX('nav master'!$C:$C, MATCH(B9433, 'nav master'!$B:$B, 0)), "")</f>
        <v>ULIF08421/11/25InCnsmAdFd101</v>
      </c>
      <c r="E9433" s="8" t="s">
        <v>508</v>
      </c>
      <c r="F9433" s="8" t="s">
        <v>1678</v>
      </c>
    </row>
    <row r="9434" spans="1:6" ht="75" x14ac:dyDescent="0.25">
      <c r="A9434" s="8" t="s">
        <v>125</v>
      </c>
      <c r="B9434" s="8" t="s">
        <v>161</v>
      </c>
      <c r="C9434" s="8" t="str">
        <f>IFERROR(_xlfn.XLOOKUP(TRIM(B9434),Lookup!$B$2:$B$1000,Lookup!$C$2:$C$1000),"")</f>
        <v>Equity</v>
      </c>
      <c r="D9434" s="8" t="str">
        <f>IFERROR(INDEX('nav master'!$C:$C, MATCH(B9434, 'nav master'!$B:$B, 0)), "")</f>
        <v>ULIF08421/11/25InCnsmAdFd101</v>
      </c>
      <c r="E9434" s="8" t="s">
        <v>510</v>
      </c>
      <c r="F9434" s="8" t="s">
        <v>1679</v>
      </c>
    </row>
    <row r="9435" spans="1:6" ht="75" x14ac:dyDescent="0.25">
      <c r="A9435" s="8" t="s">
        <v>125</v>
      </c>
      <c r="B9435" s="8" t="s">
        <v>161</v>
      </c>
      <c r="C9435" s="8" t="str">
        <f>IFERROR(_xlfn.XLOOKUP(TRIM(B9435),Lookup!$B$2:$B$1000,Lookup!$C$2:$C$1000),"")</f>
        <v>Equity</v>
      </c>
      <c r="D9435" s="8" t="str">
        <f>IFERROR(INDEX('nav master'!$C:$C, MATCH(B9435, 'nav master'!$B:$B, 0)), "")</f>
        <v>ULIF08421/11/25InCnsmAdFd101</v>
      </c>
      <c r="E9435" s="8" t="s">
        <v>512</v>
      </c>
      <c r="F9435" s="8" t="s">
        <v>1141</v>
      </c>
    </row>
    <row r="9436" spans="1:6" ht="75" x14ac:dyDescent="0.25">
      <c r="A9436" s="8" t="s">
        <v>125</v>
      </c>
      <c r="B9436" s="8" t="s">
        <v>161</v>
      </c>
      <c r="C9436" s="8" t="str">
        <f>IFERROR(_xlfn.XLOOKUP(TRIM(B9436),Lookup!$B$2:$B$1000,Lookup!$C$2:$C$1000),"")</f>
        <v>Equity</v>
      </c>
      <c r="D9436" s="8" t="str">
        <f>IFERROR(INDEX('nav master'!$C:$C, MATCH(B9436, 'nav master'!$B:$B, 0)), "")</f>
        <v>ULIF08421/11/25InCnsmAdFd101</v>
      </c>
      <c r="E9436" s="8" t="s">
        <v>514</v>
      </c>
      <c r="F9436" s="8" t="s">
        <v>1680</v>
      </c>
    </row>
    <row r="9437" spans="1:6" ht="75" x14ac:dyDescent="0.25">
      <c r="A9437" s="8" t="s">
        <v>125</v>
      </c>
      <c r="B9437" s="8" t="s">
        <v>161</v>
      </c>
      <c r="C9437" s="8" t="str">
        <f>IFERROR(_xlfn.XLOOKUP(TRIM(B9437),Lookup!$B$2:$B$1000,Lookup!$C$2:$C$1000),"")</f>
        <v>Equity</v>
      </c>
      <c r="D9437" s="8" t="str">
        <f>IFERROR(INDEX('nav master'!$C:$C, MATCH(B9437, 'nav master'!$B:$B, 0)), "")</f>
        <v>ULIF08421/11/25InCnsmAdFd101</v>
      </c>
      <c r="E9437" s="8" t="s">
        <v>516</v>
      </c>
      <c r="F9437" s="8" t="s">
        <v>1681</v>
      </c>
    </row>
    <row r="9438" spans="1:6" ht="75" x14ac:dyDescent="0.25">
      <c r="A9438" s="8" t="s">
        <v>125</v>
      </c>
      <c r="B9438" s="8" t="s">
        <v>161</v>
      </c>
      <c r="C9438" s="8" t="str">
        <f>IFERROR(_xlfn.XLOOKUP(TRIM(B9438),Lookup!$B$2:$B$1000,Lookup!$C$2:$C$1000),"")</f>
        <v>Equity</v>
      </c>
      <c r="D9438" s="8" t="str">
        <f>IFERROR(INDEX('nav master'!$C:$C, MATCH(B9438, 'nav master'!$B:$B, 0)), "")</f>
        <v>ULIF08421/11/25InCnsmAdFd101</v>
      </c>
      <c r="E9438" s="8" t="s">
        <v>518</v>
      </c>
      <c r="F9438" s="8" t="s">
        <v>1682</v>
      </c>
    </row>
    <row r="9439" spans="1:6" ht="75" x14ac:dyDescent="0.25">
      <c r="A9439" s="8" t="s">
        <v>125</v>
      </c>
      <c r="B9439" s="8" t="s">
        <v>161</v>
      </c>
      <c r="C9439" s="8" t="str">
        <f>IFERROR(_xlfn.XLOOKUP(TRIM(B9439),Lookup!$B$2:$B$1000,Lookup!$C$2:$C$1000),"")</f>
        <v>Equity</v>
      </c>
      <c r="D9439" s="8" t="str">
        <f>IFERROR(INDEX('nav master'!$C:$C, MATCH(B9439, 'nav master'!$B:$B, 0)), "")</f>
        <v>ULIF08421/11/25InCnsmAdFd101</v>
      </c>
      <c r="E9439" s="8" t="s">
        <v>520</v>
      </c>
      <c r="F9439" s="8" t="s">
        <v>1683</v>
      </c>
    </row>
    <row r="9440" spans="1:6" ht="75" x14ac:dyDescent="0.25">
      <c r="A9440" s="8" t="s">
        <v>125</v>
      </c>
      <c r="B9440" s="8" t="s">
        <v>161</v>
      </c>
      <c r="C9440" s="8" t="str">
        <f>IFERROR(_xlfn.XLOOKUP(TRIM(B9440),Lookup!$B$2:$B$1000,Lookup!$C$2:$C$1000),"")</f>
        <v>Equity</v>
      </c>
      <c r="D9440" s="8" t="str">
        <f>IFERROR(INDEX('nav master'!$C:$C, MATCH(B9440, 'nav master'!$B:$B, 0)), "")</f>
        <v>ULIF08421/11/25InCnsmAdFd101</v>
      </c>
      <c r="E9440" s="8" t="s">
        <v>522</v>
      </c>
      <c r="F9440" s="8" t="s">
        <v>1684</v>
      </c>
    </row>
    <row r="9441" spans="1:6" ht="75" x14ac:dyDescent="0.25">
      <c r="A9441" s="8" t="s">
        <v>125</v>
      </c>
      <c r="B9441" s="8" t="s">
        <v>161</v>
      </c>
      <c r="C9441" s="8" t="str">
        <f>IFERROR(_xlfn.XLOOKUP(TRIM(B9441),Lookup!$B$2:$B$1000,Lookup!$C$2:$C$1000),"")</f>
        <v>Equity</v>
      </c>
      <c r="D9441" s="8" t="str">
        <f>IFERROR(INDEX('nav master'!$C:$C, MATCH(B9441, 'nav master'!$B:$B, 0)), "")</f>
        <v>ULIF08421/11/25InCnsmAdFd101</v>
      </c>
      <c r="E9441" s="8" t="s">
        <v>524</v>
      </c>
      <c r="F9441" s="8" t="s">
        <v>1685</v>
      </c>
    </row>
    <row r="9442" spans="1:6" ht="75" x14ac:dyDescent="0.25">
      <c r="A9442" s="8" t="s">
        <v>125</v>
      </c>
      <c r="B9442" s="8" t="s">
        <v>161</v>
      </c>
      <c r="C9442" s="8" t="str">
        <f>IFERROR(_xlfn.XLOOKUP(TRIM(B9442),Lookup!$B$2:$B$1000,Lookup!$C$2:$C$1000),"")</f>
        <v>Equity</v>
      </c>
      <c r="D9442" s="8" t="str">
        <f>IFERROR(INDEX('nav master'!$C:$C, MATCH(B9442, 'nav master'!$B:$B, 0)), "")</f>
        <v>ULIF08421/11/25InCnsmAdFd101</v>
      </c>
      <c r="E9442" s="8" t="s">
        <v>526</v>
      </c>
      <c r="F9442" s="8" t="s">
        <v>1686</v>
      </c>
    </row>
    <row r="9443" spans="1:6" ht="75" x14ac:dyDescent="0.25">
      <c r="A9443" s="8" t="s">
        <v>125</v>
      </c>
      <c r="B9443" s="8" t="s">
        <v>161</v>
      </c>
      <c r="C9443" s="8" t="str">
        <f>IFERROR(_xlfn.XLOOKUP(TRIM(B9443),Lookup!$B$2:$B$1000,Lookup!$C$2:$C$1000),"")</f>
        <v>Equity</v>
      </c>
      <c r="D9443" s="8" t="str">
        <f>IFERROR(INDEX('nav master'!$C:$C, MATCH(B9443, 'nav master'!$B:$B, 0)), "")</f>
        <v>ULIF08421/11/25InCnsmAdFd101</v>
      </c>
      <c r="E9443" s="8" t="s">
        <v>528</v>
      </c>
      <c r="F9443" s="8" t="s">
        <v>1687</v>
      </c>
    </row>
    <row r="9444" spans="1:6" ht="75" x14ac:dyDescent="0.25">
      <c r="A9444" s="8" t="s">
        <v>125</v>
      </c>
      <c r="B9444" s="8" t="s">
        <v>161</v>
      </c>
      <c r="C9444" s="8" t="str">
        <f>IFERROR(_xlfn.XLOOKUP(TRIM(B9444),Lookup!$B$2:$B$1000,Lookup!$C$2:$C$1000),"")</f>
        <v>Equity</v>
      </c>
      <c r="D9444" s="8" t="str">
        <f>IFERROR(INDEX('nav master'!$C:$C, MATCH(B9444, 'nav master'!$B:$B, 0)), "")</f>
        <v>ULIF08421/11/25InCnsmAdFd101</v>
      </c>
      <c r="E9444" s="8" t="s">
        <v>530</v>
      </c>
      <c r="F9444" s="8" t="s">
        <v>1688</v>
      </c>
    </row>
    <row r="9445" spans="1:6" ht="75" x14ac:dyDescent="0.25">
      <c r="A9445" s="8" t="s">
        <v>125</v>
      </c>
      <c r="B9445" s="8" t="s">
        <v>161</v>
      </c>
      <c r="C9445" s="8" t="str">
        <f>IFERROR(_xlfn.XLOOKUP(TRIM(B9445),Lookup!$B$2:$B$1000,Lookup!$C$2:$C$1000),"")</f>
        <v>Equity</v>
      </c>
      <c r="D9445" s="8" t="str">
        <f>IFERROR(INDEX('nav master'!$C:$C, MATCH(B9445, 'nav master'!$B:$B, 0)), "")</f>
        <v>ULIF08421/11/25InCnsmAdFd101</v>
      </c>
      <c r="E9445" s="8" t="s">
        <v>532</v>
      </c>
      <c r="F9445" s="8" t="s">
        <v>1689</v>
      </c>
    </row>
    <row r="9446" spans="1:6" ht="75" x14ac:dyDescent="0.25">
      <c r="A9446" s="8" t="s">
        <v>125</v>
      </c>
      <c r="B9446" s="8" t="s">
        <v>161</v>
      </c>
      <c r="C9446" s="8" t="str">
        <f>IFERROR(_xlfn.XLOOKUP(TRIM(B9446),Lookup!$B$2:$B$1000,Lookup!$C$2:$C$1000),"")</f>
        <v>Equity</v>
      </c>
      <c r="D9446" s="8" t="str">
        <f>IFERROR(INDEX('nav master'!$C:$C, MATCH(B9446, 'nav master'!$B:$B, 0)), "")</f>
        <v>ULIF08421/11/25InCnsmAdFd101</v>
      </c>
      <c r="E9446" s="8" t="s">
        <v>534</v>
      </c>
      <c r="F9446" s="8" t="s">
        <v>1690</v>
      </c>
    </row>
    <row r="9447" spans="1:6" ht="75" x14ac:dyDescent="0.25">
      <c r="A9447" s="8" t="s">
        <v>125</v>
      </c>
      <c r="B9447" s="8" t="s">
        <v>161</v>
      </c>
      <c r="C9447" s="8" t="str">
        <f>IFERROR(_xlfn.XLOOKUP(TRIM(B9447),Lookup!$B$2:$B$1000,Lookup!$C$2:$C$1000),"")</f>
        <v>Equity</v>
      </c>
      <c r="D9447" s="8" t="str">
        <f>IFERROR(INDEX('nav master'!$C:$C, MATCH(B9447, 'nav master'!$B:$B, 0)), "")</f>
        <v>ULIF08421/11/25InCnsmAdFd101</v>
      </c>
      <c r="E9447" s="8" t="s">
        <v>536</v>
      </c>
      <c r="F9447" s="8" t="s">
        <v>1691</v>
      </c>
    </row>
    <row r="9448" spans="1:6" ht="75" x14ac:dyDescent="0.25">
      <c r="A9448" s="8" t="s">
        <v>125</v>
      </c>
      <c r="B9448" s="8" t="s">
        <v>161</v>
      </c>
      <c r="C9448" s="8" t="str">
        <f>IFERROR(_xlfn.XLOOKUP(TRIM(B9448),Lookup!$B$2:$B$1000,Lookup!$C$2:$C$1000),"")</f>
        <v>Equity</v>
      </c>
      <c r="D9448" s="8" t="str">
        <f>IFERROR(INDEX('nav master'!$C:$C, MATCH(B9448, 'nav master'!$B:$B, 0)), "")</f>
        <v>ULIF08421/11/25InCnsmAdFd101</v>
      </c>
      <c r="E9448" s="8" t="s">
        <v>538</v>
      </c>
      <c r="F9448" s="8" t="s">
        <v>1692</v>
      </c>
    </row>
    <row r="9449" spans="1:6" ht="75" x14ac:dyDescent="0.25">
      <c r="A9449" s="8" t="s">
        <v>125</v>
      </c>
      <c r="B9449" s="8" t="s">
        <v>161</v>
      </c>
      <c r="C9449" s="8" t="str">
        <f>IFERROR(_xlfn.XLOOKUP(TRIM(B9449),Lookup!$B$2:$B$1000,Lookup!$C$2:$C$1000),"")</f>
        <v>Equity</v>
      </c>
      <c r="D9449" s="8" t="str">
        <f>IFERROR(INDEX('nav master'!$C:$C, MATCH(B9449, 'nav master'!$B:$B, 0)), "")</f>
        <v>ULIF08421/11/25InCnsmAdFd101</v>
      </c>
      <c r="E9449" s="8" t="s">
        <v>540</v>
      </c>
      <c r="F9449" s="8" t="s">
        <v>1693</v>
      </c>
    </row>
    <row r="9450" spans="1:6" ht="75" x14ac:dyDescent="0.25">
      <c r="A9450" s="8" t="s">
        <v>125</v>
      </c>
      <c r="B9450" s="8" t="s">
        <v>161</v>
      </c>
      <c r="C9450" s="8" t="str">
        <f>IFERROR(_xlfn.XLOOKUP(TRIM(B9450),Lookup!$B$2:$B$1000,Lookup!$C$2:$C$1000),"")</f>
        <v>Equity</v>
      </c>
      <c r="D9450" s="8" t="str">
        <f>IFERROR(INDEX('nav master'!$C:$C, MATCH(B9450, 'nav master'!$B:$B, 0)), "")</f>
        <v>ULIF08421/11/25InCnsmAdFd101</v>
      </c>
      <c r="E9450" s="8" t="s">
        <v>542</v>
      </c>
      <c r="F9450" s="8" t="s">
        <v>1694</v>
      </c>
    </row>
    <row r="9451" spans="1:6" ht="75" x14ac:dyDescent="0.25">
      <c r="A9451" s="8" t="s">
        <v>125</v>
      </c>
      <c r="B9451" s="8" t="s">
        <v>161</v>
      </c>
      <c r="C9451" s="8" t="str">
        <f>IFERROR(_xlfn.XLOOKUP(TRIM(B9451),Lookup!$B$2:$B$1000,Lookup!$C$2:$C$1000),"")</f>
        <v>Equity</v>
      </c>
      <c r="D9451" s="8" t="str">
        <f>IFERROR(INDEX('nav master'!$C:$C, MATCH(B9451, 'nav master'!$B:$B, 0)), "")</f>
        <v>ULIF08421/11/25InCnsmAdFd101</v>
      </c>
      <c r="E9451" s="8" t="s">
        <v>544</v>
      </c>
      <c r="F9451" s="8" t="s">
        <v>1695</v>
      </c>
    </row>
    <row r="9452" spans="1:6" ht="75" x14ac:dyDescent="0.25">
      <c r="A9452" s="8" t="s">
        <v>125</v>
      </c>
      <c r="B9452" s="8" t="s">
        <v>161</v>
      </c>
      <c r="C9452" s="8" t="str">
        <f>IFERROR(_xlfn.XLOOKUP(TRIM(B9452),Lookup!$B$2:$B$1000,Lookup!$C$2:$C$1000),"")</f>
        <v>Equity</v>
      </c>
      <c r="D9452" s="8" t="str">
        <f>IFERROR(INDEX('nav master'!$C:$C, MATCH(B9452, 'nav master'!$B:$B, 0)), "")</f>
        <v>ULIF08421/11/25InCnsmAdFd101</v>
      </c>
      <c r="E9452" s="8" t="s">
        <v>546</v>
      </c>
      <c r="F9452" s="8" t="s">
        <v>1696</v>
      </c>
    </row>
    <row r="9453" spans="1:6" ht="75" x14ac:dyDescent="0.25">
      <c r="A9453" s="8" t="s">
        <v>125</v>
      </c>
      <c r="B9453" s="8" t="s">
        <v>161</v>
      </c>
      <c r="C9453" s="8" t="str">
        <f>IFERROR(_xlfn.XLOOKUP(TRIM(B9453),Lookup!$B$2:$B$1000,Lookup!$C$2:$C$1000),"")</f>
        <v>Equity</v>
      </c>
      <c r="D9453" s="8" t="str">
        <f>IFERROR(INDEX('nav master'!$C:$C, MATCH(B9453, 'nav master'!$B:$B, 0)), "")</f>
        <v>ULIF08421/11/25InCnsmAdFd101</v>
      </c>
      <c r="E9453" s="8" t="s">
        <v>548</v>
      </c>
      <c r="F9453" s="8" t="s">
        <v>1697</v>
      </c>
    </row>
    <row r="9454" spans="1:6" ht="75" x14ac:dyDescent="0.25">
      <c r="A9454" s="8" t="s">
        <v>125</v>
      </c>
      <c r="B9454" s="8" t="s">
        <v>161</v>
      </c>
      <c r="C9454" s="8" t="str">
        <f>IFERROR(_xlfn.XLOOKUP(TRIM(B9454),Lookup!$B$2:$B$1000,Lookup!$C$2:$C$1000),"")</f>
        <v>Equity</v>
      </c>
      <c r="D9454" s="8" t="str">
        <f>IFERROR(INDEX('nav master'!$C:$C, MATCH(B9454, 'nav master'!$B:$B, 0)), "")</f>
        <v>ULIF08421/11/25InCnsmAdFd101</v>
      </c>
      <c r="E9454" s="8" t="s">
        <v>550</v>
      </c>
      <c r="F9454" s="8" t="s">
        <v>1698</v>
      </c>
    </row>
    <row r="9455" spans="1:6" ht="75" x14ac:dyDescent="0.25">
      <c r="A9455" s="8" t="s">
        <v>125</v>
      </c>
      <c r="B9455" s="8" t="s">
        <v>161</v>
      </c>
      <c r="C9455" s="8" t="str">
        <f>IFERROR(_xlfn.XLOOKUP(TRIM(B9455),Lookup!$B$2:$B$1000,Lookup!$C$2:$C$1000),"")</f>
        <v>Equity</v>
      </c>
      <c r="D9455" s="8" t="str">
        <f>IFERROR(INDEX('nav master'!$C:$C, MATCH(B9455, 'nav master'!$B:$B, 0)), "")</f>
        <v>ULIF08421/11/25InCnsmAdFd101</v>
      </c>
      <c r="E9455" s="8" t="s">
        <v>552</v>
      </c>
      <c r="F9455" s="8" t="s">
        <v>1699</v>
      </c>
    </row>
    <row r="9456" spans="1:6" ht="75" x14ac:dyDescent="0.25">
      <c r="A9456" s="8" t="s">
        <v>125</v>
      </c>
      <c r="B9456" s="8" t="s">
        <v>161</v>
      </c>
      <c r="C9456" s="8" t="str">
        <f>IFERROR(_xlfn.XLOOKUP(TRIM(B9456),Lookup!$B$2:$B$1000,Lookup!$C$2:$C$1000),"")</f>
        <v>Equity</v>
      </c>
      <c r="D9456" s="8" t="str">
        <f>IFERROR(INDEX('nav master'!$C:$C, MATCH(B9456, 'nav master'!$B:$B, 0)), "")</f>
        <v>ULIF08421/11/25InCnsmAdFd101</v>
      </c>
      <c r="E9456" s="8" t="s">
        <v>554</v>
      </c>
      <c r="F9456" s="8" t="s">
        <v>1700</v>
      </c>
    </row>
    <row r="9457" spans="1:6" ht="75" x14ac:dyDescent="0.25">
      <c r="A9457" s="8" t="s">
        <v>125</v>
      </c>
      <c r="B9457" s="8" t="s">
        <v>161</v>
      </c>
      <c r="C9457" s="8" t="str">
        <f>IFERROR(_xlfn.XLOOKUP(TRIM(B9457),Lookup!$B$2:$B$1000,Lookup!$C$2:$C$1000),"")</f>
        <v>Equity</v>
      </c>
      <c r="D9457" s="8" t="str">
        <f>IFERROR(INDEX('nav master'!$C:$C, MATCH(B9457, 'nav master'!$B:$B, 0)), "")</f>
        <v>ULIF08421/11/25InCnsmAdFd101</v>
      </c>
      <c r="E9457" s="8" t="s">
        <v>556</v>
      </c>
      <c r="F9457" s="8" t="s">
        <v>1701</v>
      </c>
    </row>
    <row r="9458" spans="1:6" ht="75" x14ac:dyDescent="0.25">
      <c r="A9458" s="8" t="s">
        <v>125</v>
      </c>
      <c r="B9458" s="8" t="s">
        <v>161</v>
      </c>
      <c r="C9458" s="8" t="str">
        <f>IFERROR(_xlfn.XLOOKUP(TRIM(B9458),Lookup!$B$2:$B$1000,Lookup!$C$2:$C$1000),"")</f>
        <v>Equity</v>
      </c>
      <c r="D9458" s="8" t="str">
        <f>IFERROR(INDEX('nav master'!$C:$C, MATCH(B9458, 'nav master'!$B:$B, 0)), "")</f>
        <v>ULIF08421/11/25InCnsmAdFd101</v>
      </c>
      <c r="E9458" s="8" t="s">
        <v>558</v>
      </c>
      <c r="F9458" s="8" t="s">
        <v>1702</v>
      </c>
    </row>
    <row r="9459" spans="1:6" ht="75" x14ac:dyDescent="0.25">
      <c r="A9459" s="8" t="s">
        <v>125</v>
      </c>
      <c r="B9459" s="8" t="s">
        <v>161</v>
      </c>
      <c r="C9459" s="8" t="str">
        <f>IFERROR(_xlfn.XLOOKUP(TRIM(B9459),Lookup!$B$2:$B$1000,Lookup!$C$2:$C$1000),"")</f>
        <v>Equity</v>
      </c>
      <c r="D9459" s="8" t="str">
        <f>IFERROR(INDEX('nav master'!$C:$C, MATCH(B9459, 'nav master'!$B:$B, 0)), "")</f>
        <v>ULIF08421/11/25InCnsmAdFd101</v>
      </c>
      <c r="E9459" s="8" t="s">
        <v>560</v>
      </c>
      <c r="F9459" s="8" t="s">
        <v>1703</v>
      </c>
    </row>
    <row r="9460" spans="1:6" ht="75" x14ac:dyDescent="0.25">
      <c r="A9460" s="8" t="s">
        <v>125</v>
      </c>
      <c r="B9460" s="8" t="s">
        <v>161</v>
      </c>
      <c r="C9460" s="8" t="str">
        <f>IFERROR(_xlfn.XLOOKUP(TRIM(B9460),Lookup!$B$2:$B$1000,Lookup!$C$2:$C$1000),"")</f>
        <v>Equity</v>
      </c>
      <c r="D9460" s="8" t="str">
        <f>IFERROR(INDEX('nav master'!$C:$C, MATCH(B9460, 'nav master'!$B:$B, 0)), "")</f>
        <v>ULIF08421/11/25InCnsmAdFd101</v>
      </c>
      <c r="E9460" s="8" t="s">
        <v>562</v>
      </c>
      <c r="F9460" s="8" t="s">
        <v>1704</v>
      </c>
    </row>
    <row r="9461" spans="1:6" ht="75" x14ac:dyDescent="0.25">
      <c r="A9461" s="8" t="s">
        <v>125</v>
      </c>
      <c r="B9461" s="8" t="s">
        <v>161</v>
      </c>
      <c r="C9461" s="8" t="str">
        <f>IFERROR(_xlfn.XLOOKUP(TRIM(B9461),Lookup!$B$2:$B$1000,Lookup!$C$2:$C$1000),"")</f>
        <v>Equity</v>
      </c>
      <c r="D9461" s="8" t="str">
        <f>IFERROR(INDEX('nav master'!$C:$C, MATCH(B9461, 'nav master'!$B:$B, 0)), "")</f>
        <v>ULIF08421/11/25InCnsmAdFd101</v>
      </c>
      <c r="E9461" s="8" t="s">
        <v>564</v>
      </c>
      <c r="F9461" s="8" t="s">
        <v>1705</v>
      </c>
    </row>
    <row r="9462" spans="1:6" ht="75" x14ac:dyDescent="0.25">
      <c r="A9462" s="8" t="s">
        <v>125</v>
      </c>
      <c r="B9462" s="8" t="s">
        <v>161</v>
      </c>
      <c r="C9462" s="8" t="str">
        <f>IFERROR(_xlfn.XLOOKUP(TRIM(B9462),Lookup!$B$2:$B$1000,Lookup!$C$2:$C$1000),"")</f>
        <v>Equity</v>
      </c>
      <c r="D9462" s="8" t="str">
        <f>IFERROR(INDEX('nav master'!$C:$C, MATCH(B9462, 'nav master'!$B:$B, 0)), "")</f>
        <v>ULIF08421/11/25InCnsmAdFd101</v>
      </c>
      <c r="E9462" s="8" t="s">
        <v>566</v>
      </c>
      <c r="F9462" s="8" t="s">
        <v>1706</v>
      </c>
    </row>
    <row r="9463" spans="1:6" ht="75" x14ac:dyDescent="0.25">
      <c r="A9463" s="8" t="s">
        <v>125</v>
      </c>
      <c r="B9463" s="8" t="s">
        <v>161</v>
      </c>
      <c r="C9463" s="8" t="str">
        <f>IFERROR(_xlfn.XLOOKUP(TRIM(B9463),Lookup!$B$2:$B$1000,Lookup!$C$2:$C$1000),"")</f>
        <v>Equity</v>
      </c>
      <c r="D9463" s="8" t="str">
        <f>IFERROR(INDEX('nav master'!$C:$C, MATCH(B9463, 'nav master'!$B:$B, 0)), "")</f>
        <v>ULIF08421/11/25InCnsmAdFd101</v>
      </c>
      <c r="E9463" s="8" t="s">
        <v>568</v>
      </c>
      <c r="F9463" s="8" t="s">
        <v>1707</v>
      </c>
    </row>
    <row r="9464" spans="1:6" ht="75" x14ac:dyDescent="0.25">
      <c r="A9464" s="8" t="s">
        <v>125</v>
      </c>
      <c r="B9464" s="8" t="s">
        <v>161</v>
      </c>
      <c r="C9464" s="8" t="str">
        <f>IFERROR(_xlfn.XLOOKUP(TRIM(B9464),Lookup!$B$2:$B$1000,Lookup!$C$2:$C$1000),"")</f>
        <v>Equity</v>
      </c>
      <c r="D9464" s="8" t="str">
        <f>IFERROR(INDEX('nav master'!$C:$C, MATCH(B9464, 'nav master'!$B:$B, 0)), "")</f>
        <v>ULIF08421/11/25InCnsmAdFd101</v>
      </c>
      <c r="E9464" s="8" t="s">
        <v>570</v>
      </c>
      <c r="F9464" s="8" t="s">
        <v>1708</v>
      </c>
    </row>
    <row r="9465" spans="1:6" ht="75" x14ac:dyDescent="0.25">
      <c r="A9465" s="8" t="s">
        <v>125</v>
      </c>
      <c r="B9465" s="8" t="s">
        <v>161</v>
      </c>
      <c r="C9465" s="8" t="str">
        <f>IFERROR(_xlfn.XLOOKUP(TRIM(B9465),Lookup!$B$2:$B$1000,Lookup!$C$2:$C$1000),"")</f>
        <v>Equity</v>
      </c>
      <c r="D9465" s="8" t="str">
        <f>IFERROR(INDEX('nav master'!$C:$C, MATCH(B9465, 'nav master'!$B:$B, 0)), "")</f>
        <v>ULIF08421/11/25InCnsmAdFd101</v>
      </c>
      <c r="E9465" s="8" t="s">
        <v>572</v>
      </c>
      <c r="F9465" s="8" t="s">
        <v>1709</v>
      </c>
    </row>
    <row r="9466" spans="1:6" ht="75" x14ac:dyDescent="0.25">
      <c r="A9466" s="8" t="s">
        <v>125</v>
      </c>
      <c r="B9466" s="8" t="s">
        <v>161</v>
      </c>
      <c r="C9466" s="8" t="str">
        <f>IFERROR(_xlfn.XLOOKUP(TRIM(B9466),Lookup!$B$2:$B$1000,Lookup!$C$2:$C$1000),"")</f>
        <v>Equity</v>
      </c>
      <c r="D9466" s="8" t="str">
        <f>IFERROR(INDEX('nav master'!$C:$C, MATCH(B9466, 'nav master'!$B:$B, 0)), "")</f>
        <v>ULIF08421/11/25InCnsmAdFd101</v>
      </c>
      <c r="E9466" s="8" t="s">
        <v>574</v>
      </c>
      <c r="F9466" s="8" t="s">
        <v>1710</v>
      </c>
    </row>
    <row r="9467" spans="1:6" ht="75" x14ac:dyDescent="0.25">
      <c r="A9467" s="8" t="s">
        <v>125</v>
      </c>
      <c r="B9467" s="8" t="s">
        <v>161</v>
      </c>
      <c r="C9467" s="8" t="str">
        <f>IFERROR(_xlfn.XLOOKUP(TRIM(B9467),Lookup!$B$2:$B$1000,Lookup!$C$2:$C$1000),"")</f>
        <v>Equity</v>
      </c>
      <c r="D9467" s="8" t="str">
        <f>IFERROR(INDEX('nav master'!$C:$C, MATCH(B9467, 'nav master'!$B:$B, 0)), "")</f>
        <v>ULIF08421/11/25InCnsmAdFd101</v>
      </c>
      <c r="E9467" s="8" t="s">
        <v>576</v>
      </c>
      <c r="F9467" s="8" t="s">
        <v>1711</v>
      </c>
    </row>
    <row r="9468" spans="1:6" ht="75" x14ac:dyDescent="0.25">
      <c r="A9468" s="8" t="s">
        <v>125</v>
      </c>
      <c r="B9468" s="8" t="s">
        <v>161</v>
      </c>
      <c r="C9468" s="8" t="str">
        <f>IFERROR(_xlfn.XLOOKUP(TRIM(B9468),Lookup!$B$2:$B$1000,Lookup!$C$2:$C$1000),"")</f>
        <v>Equity</v>
      </c>
      <c r="D9468" s="8" t="str">
        <f>IFERROR(INDEX('nav master'!$C:$C, MATCH(B9468, 'nav master'!$B:$B, 0)), "")</f>
        <v>ULIF08421/11/25InCnsmAdFd101</v>
      </c>
      <c r="E9468" s="8" t="s">
        <v>578</v>
      </c>
      <c r="F9468" s="8" t="s">
        <v>1712</v>
      </c>
    </row>
    <row r="9469" spans="1:6" ht="75" x14ac:dyDescent="0.25">
      <c r="A9469" s="8" t="s">
        <v>125</v>
      </c>
      <c r="B9469" s="8" t="s">
        <v>161</v>
      </c>
      <c r="C9469" s="8" t="str">
        <f>IFERROR(_xlfn.XLOOKUP(TRIM(B9469),Lookup!$B$2:$B$1000,Lookup!$C$2:$C$1000),"")</f>
        <v>Equity</v>
      </c>
      <c r="D9469" s="8" t="str">
        <f>IFERROR(INDEX('nav master'!$C:$C, MATCH(B9469, 'nav master'!$B:$B, 0)), "")</f>
        <v>ULIF08421/11/25InCnsmAdFd101</v>
      </c>
      <c r="E9469" s="8" t="s">
        <v>580</v>
      </c>
      <c r="F9469" s="8" t="s">
        <v>1713</v>
      </c>
    </row>
    <row r="9470" spans="1:6" ht="75" x14ac:dyDescent="0.25">
      <c r="A9470" s="8" t="s">
        <v>125</v>
      </c>
      <c r="B9470" s="8" t="s">
        <v>161</v>
      </c>
      <c r="C9470" s="8" t="str">
        <f>IFERROR(_xlfn.XLOOKUP(TRIM(B9470),Lookup!$B$2:$B$1000,Lookup!$C$2:$C$1000),"")</f>
        <v>Equity</v>
      </c>
      <c r="D9470" s="8" t="str">
        <f>IFERROR(INDEX('nav master'!$C:$C, MATCH(B9470, 'nav master'!$B:$B, 0)), "")</f>
        <v>ULIF08421/11/25InCnsmAdFd101</v>
      </c>
      <c r="E9470" s="8" t="s">
        <v>582</v>
      </c>
      <c r="F9470" s="8" t="s">
        <v>1714</v>
      </c>
    </row>
    <row r="9471" spans="1:6" ht="75" x14ac:dyDescent="0.25">
      <c r="A9471" s="8" t="s">
        <v>125</v>
      </c>
      <c r="B9471" s="8" t="s">
        <v>161</v>
      </c>
      <c r="C9471" s="8" t="str">
        <f>IFERROR(_xlfn.XLOOKUP(TRIM(B9471),Lookup!$B$2:$B$1000,Lookup!$C$2:$C$1000),"")</f>
        <v>Equity</v>
      </c>
      <c r="D9471" s="8" t="str">
        <f>IFERROR(INDEX('nav master'!$C:$C, MATCH(B9471, 'nav master'!$B:$B, 0)), "")</f>
        <v>ULIF08421/11/25InCnsmAdFd101</v>
      </c>
      <c r="E9471" s="8" t="s">
        <v>584</v>
      </c>
      <c r="F9471" s="8" t="s">
        <v>1715</v>
      </c>
    </row>
    <row r="9472" spans="1:6" ht="75" x14ac:dyDescent="0.25">
      <c r="A9472" s="8" t="s">
        <v>125</v>
      </c>
      <c r="B9472" s="8" t="s">
        <v>161</v>
      </c>
      <c r="C9472" s="8" t="str">
        <f>IFERROR(_xlfn.XLOOKUP(TRIM(B9472),Lookup!$B$2:$B$1000,Lookup!$C$2:$C$1000),"")</f>
        <v>Equity</v>
      </c>
      <c r="D9472" s="8" t="str">
        <f>IFERROR(INDEX('nav master'!$C:$C, MATCH(B9472, 'nav master'!$B:$B, 0)), "")</f>
        <v>ULIF08421/11/25InCnsmAdFd101</v>
      </c>
      <c r="E9472" s="8" t="s">
        <v>586</v>
      </c>
      <c r="F9472" s="8" t="s">
        <v>1716</v>
      </c>
    </row>
    <row r="9473" spans="1:6" ht="75" x14ac:dyDescent="0.25">
      <c r="A9473" s="8" t="s">
        <v>125</v>
      </c>
      <c r="B9473" s="8" t="s">
        <v>161</v>
      </c>
      <c r="C9473" s="8" t="str">
        <f>IFERROR(_xlfn.XLOOKUP(TRIM(B9473),Lookup!$B$2:$B$1000,Lookup!$C$2:$C$1000),"")</f>
        <v>Equity</v>
      </c>
      <c r="D9473" s="8" t="str">
        <f>IFERROR(INDEX('nav master'!$C:$C, MATCH(B9473, 'nav master'!$B:$B, 0)), "")</f>
        <v>ULIF08421/11/25InCnsmAdFd101</v>
      </c>
      <c r="E9473" s="8" t="s">
        <v>588</v>
      </c>
      <c r="F9473" s="8" t="s">
        <v>1717</v>
      </c>
    </row>
    <row r="9474" spans="1:6" ht="75" x14ac:dyDescent="0.25">
      <c r="A9474" s="8" t="s">
        <v>125</v>
      </c>
      <c r="B9474" s="8" t="s">
        <v>161</v>
      </c>
      <c r="C9474" s="8" t="str">
        <f>IFERROR(_xlfn.XLOOKUP(TRIM(B9474),Lookup!$B$2:$B$1000,Lookup!$C$2:$C$1000),"")</f>
        <v>Equity</v>
      </c>
      <c r="D9474" s="8" t="str">
        <f>IFERROR(INDEX('nav master'!$C:$C, MATCH(B9474, 'nav master'!$B:$B, 0)), "")</f>
        <v>ULIF08421/11/25InCnsmAdFd101</v>
      </c>
      <c r="E9474" s="8" t="s">
        <v>590</v>
      </c>
      <c r="F9474" s="8" t="s">
        <v>1718</v>
      </c>
    </row>
    <row r="9475" spans="1:6" ht="75" x14ac:dyDescent="0.25">
      <c r="A9475" s="8" t="s">
        <v>125</v>
      </c>
      <c r="B9475" s="8" t="s">
        <v>161</v>
      </c>
      <c r="C9475" s="8" t="str">
        <f>IFERROR(_xlfn.XLOOKUP(TRIM(B9475),Lookup!$B$2:$B$1000,Lookup!$C$2:$C$1000),"")</f>
        <v>Equity</v>
      </c>
      <c r="D9475" s="8" t="str">
        <f>IFERROR(INDEX('nav master'!$C:$C, MATCH(B9475, 'nav master'!$B:$B, 0)), "")</f>
        <v>ULIF08421/11/25InCnsmAdFd101</v>
      </c>
      <c r="E9475" s="8" t="s">
        <v>592</v>
      </c>
      <c r="F9475" s="8" t="s">
        <v>1719</v>
      </c>
    </row>
    <row r="9476" spans="1:6" ht="75" x14ac:dyDescent="0.25">
      <c r="A9476" s="8" t="s">
        <v>125</v>
      </c>
      <c r="B9476" s="8" t="s">
        <v>161</v>
      </c>
      <c r="C9476" s="8" t="str">
        <f>IFERROR(_xlfn.XLOOKUP(TRIM(B9476),Lookup!$B$2:$B$1000,Lookup!$C$2:$C$1000),"")</f>
        <v>Equity</v>
      </c>
      <c r="D9476" s="8" t="str">
        <f>IFERROR(INDEX('nav master'!$C:$C, MATCH(B9476, 'nav master'!$B:$B, 0)), "")</f>
        <v>ULIF08421/11/25InCnsmAdFd101</v>
      </c>
      <c r="E9476" s="8" t="s">
        <v>594</v>
      </c>
      <c r="F9476" s="8" t="s">
        <v>1720</v>
      </c>
    </row>
    <row r="9477" spans="1:6" ht="75" x14ac:dyDescent="0.25">
      <c r="A9477" s="8" t="s">
        <v>125</v>
      </c>
      <c r="B9477" s="8" t="s">
        <v>161</v>
      </c>
      <c r="C9477" s="8" t="str">
        <f>IFERROR(_xlfn.XLOOKUP(TRIM(B9477),Lookup!$B$2:$B$1000,Lookup!$C$2:$C$1000),"")</f>
        <v>Equity</v>
      </c>
      <c r="D9477" s="8" t="str">
        <f>IFERROR(INDEX('nav master'!$C:$C, MATCH(B9477, 'nav master'!$B:$B, 0)), "")</f>
        <v>ULIF08421/11/25InCnsmAdFd101</v>
      </c>
      <c r="E9477" s="8" t="s">
        <v>596</v>
      </c>
      <c r="F9477" s="8" t="s">
        <v>1721</v>
      </c>
    </row>
    <row r="9478" spans="1:6" ht="75" x14ac:dyDescent="0.25">
      <c r="A9478" s="8" t="s">
        <v>125</v>
      </c>
      <c r="B9478" s="8" t="s">
        <v>161</v>
      </c>
      <c r="C9478" s="8" t="str">
        <f>IFERROR(_xlfn.XLOOKUP(TRIM(B9478),Lookup!$B$2:$B$1000,Lookup!$C$2:$C$1000),"")</f>
        <v>Equity</v>
      </c>
      <c r="D9478" s="8" t="str">
        <f>IFERROR(INDEX('nav master'!$C:$C, MATCH(B9478, 'nav master'!$B:$B, 0)), "")</f>
        <v>ULIF08421/11/25InCnsmAdFd101</v>
      </c>
      <c r="E9478" s="8" t="s">
        <v>598</v>
      </c>
      <c r="F9478" s="8" t="s">
        <v>1722</v>
      </c>
    </row>
    <row r="9479" spans="1:6" ht="75" x14ac:dyDescent="0.25">
      <c r="A9479" s="8" t="s">
        <v>125</v>
      </c>
      <c r="B9479" s="8" t="s">
        <v>161</v>
      </c>
      <c r="C9479" s="8" t="str">
        <f>IFERROR(_xlfn.XLOOKUP(TRIM(B9479),Lookup!$B$2:$B$1000,Lookup!$C$2:$C$1000),"")</f>
        <v>Equity</v>
      </c>
      <c r="D9479" s="8" t="str">
        <f>IFERROR(INDEX('nav master'!$C:$C, MATCH(B9479, 'nav master'!$B:$B, 0)), "")</f>
        <v>ULIF08421/11/25InCnsmAdFd101</v>
      </c>
      <c r="E9479" s="8" t="s">
        <v>600</v>
      </c>
      <c r="F9479" s="8" t="s">
        <v>1723</v>
      </c>
    </row>
    <row r="9480" spans="1:6" ht="75" x14ac:dyDescent="0.25">
      <c r="A9480" s="8" t="s">
        <v>125</v>
      </c>
      <c r="B9480" s="8" t="s">
        <v>161</v>
      </c>
      <c r="C9480" s="8" t="str">
        <f>IFERROR(_xlfn.XLOOKUP(TRIM(B9480),Lookup!$B$2:$B$1000,Lookup!$C$2:$C$1000),"")</f>
        <v>Equity</v>
      </c>
      <c r="D9480" s="8" t="str">
        <f>IFERROR(INDEX('nav master'!$C:$C, MATCH(B9480, 'nav master'!$B:$B, 0)), "")</f>
        <v>ULIF08421/11/25InCnsmAdFd101</v>
      </c>
      <c r="E9480" s="8" t="s">
        <v>602</v>
      </c>
      <c r="F9480" s="8" t="s">
        <v>1724</v>
      </c>
    </row>
    <row r="9481" spans="1:6" ht="75" x14ac:dyDescent="0.25">
      <c r="A9481" s="8" t="s">
        <v>125</v>
      </c>
      <c r="B9481" s="8" t="s">
        <v>161</v>
      </c>
      <c r="C9481" s="8" t="str">
        <f>IFERROR(_xlfn.XLOOKUP(TRIM(B9481),Lookup!$B$2:$B$1000,Lookup!$C$2:$C$1000),"")</f>
        <v>Equity</v>
      </c>
      <c r="D9481" s="8" t="str">
        <f>IFERROR(INDEX('nav master'!$C:$C, MATCH(B9481, 'nav master'!$B:$B, 0)), "")</f>
        <v>ULIF08421/11/25InCnsmAdFd101</v>
      </c>
      <c r="E9481" s="8" t="s">
        <v>604</v>
      </c>
      <c r="F9481" s="8" t="s">
        <v>1725</v>
      </c>
    </row>
    <row r="9482" spans="1:6" ht="75" x14ac:dyDescent="0.25">
      <c r="A9482" s="8" t="s">
        <v>125</v>
      </c>
      <c r="B9482" s="8" t="s">
        <v>161</v>
      </c>
      <c r="C9482" s="8" t="str">
        <f>IFERROR(_xlfn.XLOOKUP(TRIM(B9482),Lookup!$B$2:$B$1000,Lookup!$C$2:$C$1000),"")</f>
        <v>Equity</v>
      </c>
      <c r="D9482" s="8" t="str">
        <f>IFERROR(INDEX('nav master'!$C:$C, MATCH(B9482, 'nav master'!$B:$B, 0)), "")</f>
        <v>ULIF08421/11/25InCnsmAdFd101</v>
      </c>
      <c r="E9482" s="8" t="s">
        <v>606</v>
      </c>
      <c r="F9482" s="8" t="s">
        <v>1726</v>
      </c>
    </row>
    <row r="9483" spans="1:6" ht="75" x14ac:dyDescent="0.25">
      <c r="A9483" s="8" t="s">
        <v>125</v>
      </c>
      <c r="B9483" s="8" t="s">
        <v>161</v>
      </c>
      <c r="C9483" s="8" t="str">
        <f>IFERROR(_xlfn.XLOOKUP(TRIM(B9483),Lookup!$B$2:$B$1000,Lookup!$C$2:$C$1000),"")</f>
        <v>Equity</v>
      </c>
      <c r="D9483" s="8" t="str">
        <f>IFERROR(INDEX('nav master'!$C:$C, MATCH(B9483, 'nav master'!$B:$B, 0)), "")</f>
        <v>ULIF08421/11/25InCnsmAdFd101</v>
      </c>
      <c r="E9483" s="8" t="s">
        <v>608</v>
      </c>
      <c r="F9483" s="8" t="s">
        <v>1727</v>
      </c>
    </row>
    <row r="9484" spans="1:6" ht="75" x14ac:dyDescent="0.25">
      <c r="A9484" s="8" t="s">
        <v>125</v>
      </c>
      <c r="B9484" s="8" t="s">
        <v>161</v>
      </c>
      <c r="C9484" s="8" t="str">
        <f>IFERROR(_xlfn.XLOOKUP(TRIM(B9484),Lookup!$B$2:$B$1000,Lookup!$C$2:$C$1000),"")</f>
        <v>Equity</v>
      </c>
      <c r="D9484" s="8" t="str">
        <f>IFERROR(INDEX('nav master'!$C:$C, MATCH(B9484, 'nav master'!$B:$B, 0)), "")</f>
        <v>ULIF08421/11/25InCnsmAdFd101</v>
      </c>
      <c r="E9484" s="8" t="s">
        <v>610</v>
      </c>
      <c r="F9484" s="8" t="s">
        <v>1728</v>
      </c>
    </row>
    <row r="9485" spans="1:6" ht="75" x14ac:dyDescent="0.25">
      <c r="A9485" s="8" t="s">
        <v>125</v>
      </c>
      <c r="B9485" s="8" t="s">
        <v>161</v>
      </c>
      <c r="C9485" s="8" t="str">
        <f>IFERROR(_xlfn.XLOOKUP(TRIM(B9485),Lookup!$B$2:$B$1000,Lookup!$C$2:$C$1000),"")</f>
        <v>Equity</v>
      </c>
      <c r="D9485" s="8" t="str">
        <f>IFERROR(INDEX('nav master'!$C:$C, MATCH(B9485, 'nav master'!$B:$B, 0)), "")</f>
        <v>ULIF08421/11/25InCnsmAdFd101</v>
      </c>
      <c r="E9485" s="8" t="s">
        <v>612</v>
      </c>
      <c r="F9485" s="8" t="s">
        <v>1729</v>
      </c>
    </row>
    <row r="9486" spans="1:6" ht="75" x14ac:dyDescent="0.25">
      <c r="A9486" s="8" t="s">
        <v>125</v>
      </c>
      <c r="B9486" s="8" t="s">
        <v>161</v>
      </c>
      <c r="C9486" s="8" t="str">
        <f>IFERROR(_xlfn.XLOOKUP(TRIM(B9486),Lookup!$B$2:$B$1000,Lookup!$C$2:$C$1000),"")</f>
        <v>Equity</v>
      </c>
      <c r="D9486" s="8" t="str">
        <f>IFERROR(INDEX('nav master'!$C:$C, MATCH(B9486, 'nav master'!$B:$B, 0)), "")</f>
        <v>ULIF08421/11/25InCnsmAdFd101</v>
      </c>
      <c r="E9486" s="8" t="s">
        <v>614</v>
      </c>
      <c r="F9486" s="8" t="s">
        <v>1730</v>
      </c>
    </row>
    <row r="9487" spans="1:6" ht="75" x14ac:dyDescent="0.25">
      <c r="A9487" s="8" t="s">
        <v>125</v>
      </c>
      <c r="B9487" s="8" t="s">
        <v>161</v>
      </c>
      <c r="C9487" s="8" t="str">
        <f>IFERROR(_xlfn.XLOOKUP(TRIM(B9487),Lookup!$B$2:$B$1000,Lookup!$C$2:$C$1000),"")</f>
        <v>Equity</v>
      </c>
      <c r="D9487" s="8" t="str">
        <f>IFERROR(INDEX('nav master'!$C:$C, MATCH(B9487, 'nav master'!$B:$B, 0)), "")</f>
        <v>ULIF08421/11/25InCnsmAdFd101</v>
      </c>
      <c r="E9487" s="8" t="s">
        <v>616</v>
      </c>
      <c r="F9487" s="8" t="s">
        <v>1731</v>
      </c>
    </row>
    <row r="9488" spans="1:6" ht="75" x14ac:dyDescent="0.25">
      <c r="A9488" s="8" t="s">
        <v>125</v>
      </c>
      <c r="B9488" s="8" t="s">
        <v>161</v>
      </c>
      <c r="C9488" s="8" t="str">
        <f>IFERROR(_xlfn.XLOOKUP(TRIM(B9488),Lookup!$B$2:$B$1000,Lookup!$C$2:$C$1000),"")</f>
        <v>Equity</v>
      </c>
      <c r="D9488" s="8" t="str">
        <f>IFERROR(INDEX('nav master'!$C:$C, MATCH(B9488, 'nav master'!$B:$B, 0)), "")</f>
        <v>ULIF08421/11/25InCnsmAdFd101</v>
      </c>
      <c r="E9488" s="8" t="s">
        <v>618</v>
      </c>
      <c r="F9488" s="8" t="s">
        <v>1732</v>
      </c>
    </row>
    <row r="9489" spans="1:6" ht="75" x14ac:dyDescent="0.25">
      <c r="A9489" s="8" t="s">
        <v>125</v>
      </c>
      <c r="B9489" s="8" t="s">
        <v>161</v>
      </c>
      <c r="C9489" s="8" t="str">
        <f>IFERROR(_xlfn.XLOOKUP(TRIM(B9489),Lookup!$B$2:$B$1000,Lookup!$C$2:$C$1000),"")</f>
        <v>Equity</v>
      </c>
      <c r="D9489" s="8" t="str">
        <f>IFERROR(INDEX('nav master'!$C:$C, MATCH(B9489, 'nav master'!$B:$B, 0)), "")</f>
        <v>ULIF08421/11/25InCnsmAdFd101</v>
      </c>
      <c r="E9489" s="8" t="s">
        <v>620</v>
      </c>
      <c r="F9489" s="8" t="s">
        <v>1733</v>
      </c>
    </row>
    <row r="9490" spans="1:6" ht="75" x14ac:dyDescent="0.25">
      <c r="A9490" s="8" t="s">
        <v>125</v>
      </c>
      <c r="B9490" s="8" t="s">
        <v>161</v>
      </c>
      <c r="C9490" s="8" t="str">
        <f>IFERROR(_xlfn.XLOOKUP(TRIM(B9490),Lookup!$B$2:$B$1000,Lookup!$C$2:$C$1000),"")</f>
        <v>Equity</v>
      </c>
      <c r="D9490" s="8" t="str">
        <f>IFERROR(INDEX('nav master'!$C:$C, MATCH(B9490, 'nav master'!$B:$B, 0)), "")</f>
        <v>ULIF08421/11/25InCnsmAdFd101</v>
      </c>
      <c r="E9490" s="8" t="s">
        <v>622</v>
      </c>
      <c r="F9490" s="8" t="s">
        <v>1734</v>
      </c>
    </row>
    <row r="9491" spans="1:6" ht="75" x14ac:dyDescent="0.25">
      <c r="A9491" s="8" t="s">
        <v>125</v>
      </c>
      <c r="B9491" s="8" t="s">
        <v>161</v>
      </c>
      <c r="C9491" s="8" t="str">
        <f>IFERROR(_xlfn.XLOOKUP(TRIM(B9491),Lookup!$B$2:$B$1000,Lookup!$C$2:$C$1000),"")</f>
        <v>Equity</v>
      </c>
      <c r="D9491" s="8" t="str">
        <f>IFERROR(INDEX('nav master'!$C:$C, MATCH(B9491, 'nav master'!$B:$B, 0)), "")</f>
        <v>ULIF08421/11/25InCnsmAdFd101</v>
      </c>
      <c r="E9491" s="8" t="s">
        <v>624</v>
      </c>
      <c r="F9491" s="8" t="s">
        <v>1735</v>
      </c>
    </row>
    <row r="9492" spans="1:6" ht="75" x14ac:dyDescent="0.25">
      <c r="A9492" s="8" t="s">
        <v>125</v>
      </c>
      <c r="B9492" s="8" t="s">
        <v>161</v>
      </c>
      <c r="C9492" s="8" t="str">
        <f>IFERROR(_xlfn.XLOOKUP(TRIM(B9492),Lookup!$B$2:$B$1000,Lookup!$C$2:$C$1000),"")</f>
        <v>Equity</v>
      </c>
      <c r="D9492" s="8" t="str">
        <f>IFERROR(INDEX('nav master'!$C:$C, MATCH(B9492, 'nav master'!$B:$B, 0)), "")</f>
        <v>ULIF08421/11/25InCnsmAdFd101</v>
      </c>
      <c r="E9492" s="8" t="s">
        <v>626</v>
      </c>
      <c r="F9492" s="8" t="s">
        <v>1736</v>
      </c>
    </row>
    <row r="9493" spans="1:6" ht="75" x14ac:dyDescent="0.25">
      <c r="A9493" s="8" t="s">
        <v>125</v>
      </c>
      <c r="B9493" s="8" t="s">
        <v>161</v>
      </c>
      <c r="C9493" s="8" t="str">
        <f>IFERROR(_xlfn.XLOOKUP(TRIM(B9493),Lookup!$B$2:$B$1000,Lookup!$C$2:$C$1000),"")</f>
        <v>Equity</v>
      </c>
      <c r="D9493" s="8" t="str">
        <f>IFERROR(INDEX('nav master'!$C:$C, MATCH(B9493, 'nav master'!$B:$B, 0)), "")</f>
        <v>ULIF08421/11/25InCnsmAdFd101</v>
      </c>
      <c r="E9493" s="8" t="s">
        <v>628</v>
      </c>
      <c r="F9493" s="8" t="s">
        <v>1737</v>
      </c>
    </row>
    <row r="9494" spans="1:6" ht="75" x14ac:dyDescent="0.25">
      <c r="A9494" s="8" t="s">
        <v>125</v>
      </c>
      <c r="B9494" s="8" t="s">
        <v>161</v>
      </c>
      <c r="C9494" s="8" t="str">
        <f>IFERROR(_xlfn.XLOOKUP(TRIM(B9494),Lookup!$B$2:$B$1000,Lookup!$C$2:$C$1000),"")</f>
        <v>Equity</v>
      </c>
      <c r="D9494" s="8" t="str">
        <f>IFERROR(INDEX('nav master'!$C:$C, MATCH(B9494, 'nav master'!$B:$B, 0)), "")</f>
        <v>ULIF08421/11/25InCnsmAdFd101</v>
      </c>
      <c r="E9494" s="8" t="s">
        <v>630</v>
      </c>
      <c r="F9494" s="8" t="s">
        <v>1738</v>
      </c>
    </row>
    <row r="9495" spans="1:6" ht="75" x14ac:dyDescent="0.25">
      <c r="A9495" s="8" t="s">
        <v>125</v>
      </c>
      <c r="B9495" s="8" t="s">
        <v>161</v>
      </c>
      <c r="C9495" s="8" t="str">
        <f>IFERROR(_xlfn.XLOOKUP(TRIM(B9495),Lookup!$B$2:$B$1000,Lookup!$C$2:$C$1000),"")</f>
        <v>Equity</v>
      </c>
      <c r="D9495" s="8" t="str">
        <f>IFERROR(INDEX('nav master'!$C:$C, MATCH(B9495, 'nav master'!$B:$B, 0)), "")</f>
        <v>ULIF08421/11/25InCnsmAdFd101</v>
      </c>
      <c r="E9495" s="8" t="s">
        <v>632</v>
      </c>
      <c r="F9495" s="8" t="s">
        <v>1739</v>
      </c>
    </row>
    <row r="9496" spans="1:6" ht="75" x14ac:dyDescent="0.25">
      <c r="A9496" s="8" t="s">
        <v>125</v>
      </c>
      <c r="B9496" s="8" t="s">
        <v>161</v>
      </c>
      <c r="C9496" s="8" t="str">
        <f>IFERROR(_xlfn.XLOOKUP(TRIM(B9496),Lookup!$B$2:$B$1000,Lookup!$C$2:$C$1000),"")</f>
        <v>Equity</v>
      </c>
      <c r="D9496" s="8" t="str">
        <f>IFERROR(INDEX('nav master'!$C:$C, MATCH(B9496, 'nav master'!$B:$B, 0)), "")</f>
        <v>ULIF08421/11/25InCnsmAdFd101</v>
      </c>
      <c r="E9496" s="8" t="s">
        <v>634</v>
      </c>
      <c r="F9496" s="8" t="s">
        <v>1740</v>
      </c>
    </row>
    <row r="9497" spans="1:6" ht="75" x14ac:dyDescent="0.25">
      <c r="A9497" s="8" t="s">
        <v>125</v>
      </c>
      <c r="B9497" s="8" t="s">
        <v>161</v>
      </c>
      <c r="C9497" s="8" t="str">
        <f>IFERROR(_xlfn.XLOOKUP(TRIM(B9497),Lookup!$B$2:$B$1000,Lookup!$C$2:$C$1000),"")</f>
        <v>Equity</v>
      </c>
      <c r="D9497" s="8" t="str">
        <f>IFERROR(INDEX('nav master'!$C:$C, MATCH(B9497, 'nav master'!$B:$B, 0)), "")</f>
        <v>ULIF08421/11/25InCnsmAdFd101</v>
      </c>
      <c r="E9497" s="8" t="s">
        <v>636</v>
      </c>
      <c r="F9497" s="8" t="s">
        <v>1741</v>
      </c>
    </row>
    <row r="9498" spans="1:6" ht="75" x14ac:dyDescent="0.25">
      <c r="A9498" s="8" t="s">
        <v>125</v>
      </c>
      <c r="B9498" s="8" t="s">
        <v>161</v>
      </c>
      <c r="C9498" s="8" t="str">
        <f>IFERROR(_xlfn.XLOOKUP(TRIM(B9498),Lookup!$B$2:$B$1000,Lookup!$C$2:$C$1000),"")</f>
        <v>Equity</v>
      </c>
      <c r="D9498" s="8" t="str">
        <f>IFERROR(INDEX('nav master'!$C:$C, MATCH(B9498, 'nav master'!$B:$B, 0)), "")</f>
        <v>ULIF08421/11/25InCnsmAdFd101</v>
      </c>
      <c r="E9498" s="8" t="s">
        <v>638</v>
      </c>
      <c r="F9498" s="8" t="s">
        <v>1742</v>
      </c>
    </row>
    <row r="9499" spans="1:6" ht="75" x14ac:dyDescent="0.25">
      <c r="A9499" s="8" t="s">
        <v>125</v>
      </c>
      <c r="B9499" s="8" t="s">
        <v>161</v>
      </c>
      <c r="C9499" s="8" t="str">
        <f>IFERROR(_xlfn.XLOOKUP(TRIM(B9499),Lookup!$B$2:$B$1000,Lookup!$C$2:$C$1000),"")</f>
        <v>Equity</v>
      </c>
      <c r="D9499" s="8" t="str">
        <f>IFERROR(INDEX('nav master'!$C:$C, MATCH(B9499, 'nav master'!$B:$B, 0)), "")</f>
        <v>ULIF08421/11/25InCnsmAdFd101</v>
      </c>
      <c r="E9499" s="8" t="s">
        <v>640</v>
      </c>
      <c r="F9499" s="8" t="s">
        <v>1743</v>
      </c>
    </row>
    <row r="9500" spans="1:6" ht="75" x14ac:dyDescent="0.25">
      <c r="A9500" s="8" t="s">
        <v>125</v>
      </c>
      <c r="B9500" s="8" t="s">
        <v>161</v>
      </c>
      <c r="C9500" s="8" t="str">
        <f>IFERROR(_xlfn.XLOOKUP(TRIM(B9500),Lookup!$B$2:$B$1000,Lookup!$C$2:$C$1000),"")</f>
        <v>Equity</v>
      </c>
      <c r="D9500" s="8" t="str">
        <f>IFERROR(INDEX('nav master'!$C:$C, MATCH(B9500, 'nav master'!$B:$B, 0)), "")</f>
        <v>ULIF08421/11/25InCnsmAdFd101</v>
      </c>
      <c r="E9500" s="8" t="s">
        <v>642</v>
      </c>
      <c r="F9500" s="8" t="s">
        <v>1744</v>
      </c>
    </row>
    <row r="9501" spans="1:6" ht="75" x14ac:dyDescent="0.25">
      <c r="A9501" s="8" t="s">
        <v>125</v>
      </c>
      <c r="B9501" s="8" t="s">
        <v>161</v>
      </c>
      <c r="C9501" s="8" t="str">
        <f>IFERROR(_xlfn.XLOOKUP(TRIM(B9501),Lookup!$B$2:$B$1000,Lookup!$C$2:$C$1000),"")</f>
        <v>Equity</v>
      </c>
      <c r="D9501" s="8" t="str">
        <f>IFERROR(INDEX('nav master'!$C:$C, MATCH(B9501, 'nav master'!$B:$B, 0)), "")</f>
        <v>ULIF08421/11/25InCnsmAdFd101</v>
      </c>
      <c r="E9501" s="8" t="s">
        <v>644</v>
      </c>
      <c r="F9501" s="8" t="s">
        <v>1745</v>
      </c>
    </row>
    <row r="9502" spans="1:6" ht="75" x14ac:dyDescent="0.25">
      <c r="A9502" s="8" t="s">
        <v>125</v>
      </c>
      <c r="B9502" s="8" t="s">
        <v>161</v>
      </c>
      <c r="C9502" s="8" t="str">
        <f>IFERROR(_xlfn.XLOOKUP(TRIM(B9502),Lookup!$B$2:$B$1000,Lookup!$C$2:$C$1000),"")</f>
        <v>Equity</v>
      </c>
      <c r="D9502" s="8" t="str">
        <f>IFERROR(INDEX('nav master'!$C:$C, MATCH(B9502, 'nav master'!$B:$B, 0)), "")</f>
        <v>ULIF08421/11/25InCnsmAdFd101</v>
      </c>
      <c r="E9502" s="8" t="s">
        <v>646</v>
      </c>
      <c r="F9502" s="8" t="s">
        <v>1746</v>
      </c>
    </row>
    <row r="9503" spans="1:6" ht="75" x14ac:dyDescent="0.25">
      <c r="A9503" s="8" t="s">
        <v>125</v>
      </c>
      <c r="B9503" s="8" t="s">
        <v>161</v>
      </c>
      <c r="C9503" s="8" t="str">
        <f>IFERROR(_xlfn.XLOOKUP(TRIM(B9503),Lookup!$B$2:$B$1000,Lookup!$C$2:$C$1000),"")</f>
        <v>Equity</v>
      </c>
      <c r="D9503" s="8" t="str">
        <f>IFERROR(INDEX('nav master'!$C:$C, MATCH(B9503, 'nav master'!$B:$B, 0)), "")</f>
        <v>ULIF08421/11/25InCnsmAdFd101</v>
      </c>
      <c r="E9503" s="8" t="s">
        <v>648</v>
      </c>
      <c r="F9503" s="8" t="s">
        <v>1747</v>
      </c>
    </row>
    <row r="9504" spans="1:6" ht="75" x14ac:dyDescent="0.25">
      <c r="A9504" s="8" t="s">
        <v>125</v>
      </c>
      <c r="B9504" s="8" t="s">
        <v>161</v>
      </c>
      <c r="C9504" s="8" t="str">
        <f>IFERROR(_xlfn.XLOOKUP(TRIM(B9504),Lookup!$B$2:$B$1000,Lookup!$C$2:$C$1000),"")</f>
        <v>Equity</v>
      </c>
      <c r="D9504" s="8" t="str">
        <f>IFERROR(INDEX('nav master'!$C:$C, MATCH(B9504, 'nav master'!$B:$B, 0)), "")</f>
        <v>ULIF08421/11/25InCnsmAdFd101</v>
      </c>
      <c r="E9504" s="8" t="s">
        <v>650</v>
      </c>
      <c r="F9504" s="8" t="s">
        <v>1748</v>
      </c>
    </row>
    <row r="9505" spans="1:6" ht="75" x14ac:dyDescent="0.25">
      <c r="A9505" s="8" t="s">
        <v>125</v>
      </c>
      <c r="B9505" s="8" t="s">
        <v>161</v>
      </c>
      <c r="C9505" s="8" t="str">
        <f>IFERROR(_xlfn.XLOOKUP(TRIM(B9505),Lookup!$B$2:$B$1000,Lookup!$C$2:$C$1000),"")</f>
        <v>Equity</v>
      </c>
      <c r="D9505" s="8" t="str">
        <f>IFERROR(INDEX('nav master'!$C:$C, MATCH(B9505, 'nav master'!$B:$B, 0)), "")</f>
        <v>ULIF08421/11/25InCnsmAdFd101</v>
      </c>
      <c r="E9505" s="8" t="s">
        <v>652</v>
      </c>
      <c r="F9505" s="8" t="s">
        <v>1749</v>
      </c>
    </row>
    <row r="9506" spans="1:6" ht="75" x14ac:dyDescent="0.25">
      <c r="A9506" s="8" t="s">
        <v>125</v>
      </c>
      <c r="B9506" s="8" t="s">
        <v>161</v>
      </c>
      <c r="C9506" s="8" t="str">
        <f>IFERROR(_xlfn.XLOOKUP(TRIM(B9506),Lookup!$B$2:$B$1000,Lookup!$C$2:$C$1000),"")</f>
        <v>Equity</v>
      </c>
      <c r="D9506" s="8" t="str">
        <f>IFERROR(INDEX('nav master'!$C:$C, MATCH(B9506, 'nav master'!$B:$B, 0)), "")</f>
        <v>ULIF08421/11/25InCnsmAdFd101</v>
      </c>
      <c r="E9506" s="8" t="s">
        <v>654</v>
      </c>
      <c r="F9506" s="8" t="s">
        <v>1750</v>
      </c>
    </row>
    <row r="9507" spans="1:6" ht="75" x14ac:dyDescent="0.25">
      <c r="A9507" s="8" t="s">
        <v>125</v>
      </c>
      <c r="B9507" s="8" t="s">
        <v>161</v>
      </c>
      <c r="C9507" s="8" t="str">
        <f>IFERROR(_xlfn.XLOOKUP(TRIM(B9507),Lookup!$B$2:$B$1000,Lookup!$C$2:$C$1000),"")</f>
        <v>Equity</v>
      </c>
      <c r="D9507" s="8" t="str">
        <f>IFERROR(INDEX('nav master'!$C:$C, MATCH(B9507, 'nav master'!$B:$B, 0)), "")</f>
        <v>ULIF08421/11/25InCnsmAdFd101</v>
      </c>
      <c r="E9507" s="8" t="s">
        <v>656</v>
      </c>
      <c r="F9507" s="8" t="s">
        <v>1751</v>
      </c>
    </row>
    <row r="9508" spans="1:6" ht="75" x14ac:dyDescent="0.25">
      <c r="A9508" s="8" t="s">
        <v>125</v>
      </c>
      <c r="B9508" s="8" t="s">
        <v>161</v>
      </c>
      <c r="C9508" s="8" t="str">
        <f>IFERROR(_xlfn.XLOOKUP(TRIM(B9508),Lookup!$B$2:$B$1000,Lookup!$C$2:$C$1000),"")</f>
        <v>Equity</v>
      </c>
      <c r="D9508" s="8" t="str">
        <f>IFERROR(INDEX('nav master'!$C:$C, MATCH(B9508, 'nav master'!$B:$B, 0)), "")</f>
        <v>ULIF08421/11/25InCnsmAdFd101</v>
      </c>
      <c r="E9508" s="8" t="s">
        <v>658</v>
      </c>
      <c r="F9508" s="8" t="s">
        <v>1752</v>
      </c>
    </row>
    <row r="9509" spans="1:6" ht="75" x14ac:dyDescent="0.25">
      <c r="A9509" s="8" t="s">
        <v>125</v>
      </c>
      <c r="B9509" s="8" t="s">
        <v>161</v>
      </c>
      <c r="C9509" s="8" t="str">
        <f>IFERROR(_xlfn.XLOOKUP(TRIM(B9509),Lookup!$B$2:$B$1000,Lookup!$C$2:$C$1000),"")</f>
        <v>Equity</v>
      </c>
      <c r="D9509" s="8" t="str">
        <f>IFERROR(INDEX('nav master'!$C:$C, MATCH(B9509, 'nav master'!$B:$B, 0)), "")</f>
        <v>ULIF08421/11/25InCnsmAdFd101</v>
      </c>
      <c r="E9509" s="8" t="s">
        <v>660</v>
      </c>
      <c r="F9509" s="8" t="s">
        <v>1753</v>
      </c>
    </row>
    <row r="9510" spans="1:6" ht="75" x14ac:dyDescent="0.25">
      <c r="A9510" s="8" t="s">
        <v>125</v>
      </c>
      <c r="B9510" s="8" t="s">
        <v>161</v>
      </c>
      <c r="C9510" s="8" t="str">
        <f>IFERROR(_xlfn.XLOOKUP(TRIM(B9510),Lookup!$B$2:$B$1000,Lookup!$C$2:$C$1000),"")</f>
        <v>Equity</v>
      </c>
      <c r="D9510" s="8" t="str">
        <f>IFERROR(INDEX('nav master'!$C:$C, MATCH(B9510, 'nav master'!$B:$B, 0)), "")</f>
        <v>ULIF08421/11/25InCnsmAdFd101</v>
      </c>
      <c r="E9510" s="8" t="s">
        <v>662</v>
      </c>
      <c r="F9510" s="8" t="s">
        <v>1754</v>
      </c>
    </row>
    <row r="9511" spans="1:6" ht="75" x14ac:dyDescent="0.25">
      <c r="A9511" s="8" t="s">
        <v>125</v>
      </c>
      <c r="B9511" s="8" t="s">
        <v>161</v>
      </c>
      <c r="C9511" s="8" t="str">
        <f>IFERROR(_xlfn.XLOOKUP(TRIM(B9511),Lookup!$B$2:$B$1000,Lookup!$C$2:$C$1000),"")</f>
        <v>Equity</v>
      </c>
      <c r="D9511" s="8" t="str">
        <f>IFERROR(INDEX('nav master'!$C:$C, MATCH(B9511, 'nav master'!$B:$B, 0)), "")</f>
        <v>ULIF08421/11/25InCnsmAdFd101</v>
      </c>
      <c r="E9511" s="8" t="s">
        <v>664</v>
      </c>
      <c r="F9511" s="8" t="s">
        <v>1755</v>
      </c>
    </row>
    <row r="9512" spans="1:6" ht="75" x14ac:dyDescent="0.25">
      <c r="A9512" s="8" t="s">
        <v>125</v>
      </c>
      <c r="B9512" s="8" t="s">
        <v>161</v>
      </c>
      <c r="C9512" s="8" t="str">
        <f>IFERROR(_xlfn.XLOOKUP(TRIM(B9512),Lookup!$B$2:$B$1000,Lookup!$C$2:$C$1000),"")</f>
        <v>Equity</v>
      </c>
      <c r="D9512" s="8" t="str">
        <f>IFERROR(INDEX('nav master'!$C:$C, MATCH(B9512, 'nav master'!$B:$B, 0)), "")</f>
        <v>ULIF08421/11/25InCnsmAdFd101</v>
      </c>
      <c r="E9512" s="8" t="s">
        <v>4892</v>
      </c>
      <c r="F9512" s="8" t="s">
        <v>4937</v>
      </c>
    </row>
    <row r="9513" spans="1:6" ht="75" x14ac:dyDescent="0.25">
      <c r="A9513" s="8" t="s">
        <v>125</v>
      </c>
      <c r="B9513" s="8" t="s">
        <v>161</v>
      </c>
      <c r="C9513" s="8" t="str">
        <f>IFERROR(_xlfn.XLOOKUP(TRIM(B9513),Lookup!$B$2:$B$1000,Lookup!$C$2:$C$1000),"")</f>
        <v>Equity</v>
      </c>
      <c r="D9513" s="8" t="str">
        <f>IFERROR(INDEX('nav master'!$C:$C, MATCH(B9513, 'nav master'!$B:$B, 0)), "")</f>
        <v>ULIF08421/11/25InCnsmAdFd101</v>
      </c>
      <c r="E9513" s="8" t="s">
        <v>4894</v>
      </c>
      <c r="F9513" s="8" t="s">
        <v>4938</v>
      </c>
    </row>
    <row r="9514" spans="1:6" ht="75" x14ac:dyDescent="0.25">
      <c r="A9514" s="8" t="s">
        <v>125</v>
      </c>
      <c r="B9514" s="8" t="s">
        <v>161</v>
      </c>
      <c r="C9514" s="8" t="str">
        <f>IFERROR(_xlfn.XLOOKUP(TRIM(B9514),Lookup!$B$2:$B$1000,Lookup!$C$2:$C$1000),"")</f>
        <v>Equity</v>
      </c>
      <c r="D9514" s="8" t="str">
        <f>IFERROR(INDEX('nav master'!$C:$C, MATCH(B9514, 'nav master'!$B:$B, 0)), "")</f>
        <v>ULIF08421/11/25InCnsmAdFd101</v>
      </c>
      <c r="E9514" s="8" t="s">
        <v>4896</v>
      </c>
      <c r="F9514" s="8" t="s">
        <v>4939</v>
      </c>
    </row>
    <row r="9515" spans="1:6" ht="75" x14ac:dyDescent="0.25">
      <c r="A9515" s="8" t="s">
        <v>125</v>
      </c>
      <c r="B9515" s="8" t="s">
        <v>161</v>
      </c>
      <c r="C9515" s="8" t="str">
        <f>IFERROR(_xlfn.XLOOKUP(TRIM(B9515),Lookup!$B$2:$B$1000,Lookup!$C$2:$C$1000),"")</f>
        <v>Equity</v>
      </c>
      <c r="D9515" s="8" t="str">
        <f>IFERROR(INDEX('nav master'!$C:$C, MATCH(B9515, 'nav master'!$B:$B, 0)), "")</f>
        <v>ULIF08421/11/25InCnsmAdFd101</v>
      </c>
      <c r="E9515" s="8" t="s">
        <v>4898</v>
      </c>
      <c r="F9515" s="8" t="s">
        <v>4940</v>
      </c>
    </row>
    <row r="9516" spans="1:6" ht="75" x14ac:dyDescent="0.25">
      <c r="A9516" s="8" t="s">
        <v>125</v>
      </c>
      <c r="B9516" s="8" t="s">
        <v>161</v>
      </c>
      <c r="C9516" s="8" t="str">
        <f>IFERROR(_xlfn.XLOOKUP(TRIM(B9516),Lookup!$B$2:$B$1000,Lookup!$C$2:$C$1000),"")</f>
        <v>Equity</v>
      </c>
      <c r="D9516" s="8" t="str">
        <f>IFERROR(INDEX('nav master'!$C:$C, MATCH(B9516, 'nav master'!$B:$B, 0)), "")</f>
        <v>ULIF08421/11/25InCnsmAdFd101</v>
      </c>
      <c r="E9516" s="8" t="s">
        <v>4900</v>
      </c>
      <c r="F9516" s="8" t="s">
        <v>4941</v>
      </c>
    </row>
    <row r="9517" spans="1:6" ht="75" x14ac:dyDescent="0.25">
      <c r="A9517" s="8" t="s">
        <v>125</v>
      </c>
      <c r="B9517" s="8" t="s">
        <v>161</v>
      </c>
      <c r="C9517" s="8" t="str">
        <f>IFERROR(_xlfn.XLOOKUP(TRIM(B9517),Lookup!$B$2:$B$1000,Lookup!$C$2:$C$1000),"")</f>
        <v>Equity</v>
      </c>
      <c r="D9517" s="8" t="str">
        <f>IFERROR(INDEX('nav master'!$C:$C, MATCH(B9517, 'nav master'!$B:$B, 0)), "")</f>
        <v>ULIF08421/11/25InCnsmAdFd101</v>
      </c>
      <c r="E9517" s="8" t="s">
        <v>4902</v>
      </c>
      <c r="F9517" s="8" t="s">
        <v>4942</v>
      </c>
    </row>
    <row r="9518" spans="1:6" ht="75" x14ac:dyDescent="0.25">
      <c r="A9518" s="8" t="s">
        <v>125</v>
      </c>
      <c r="B9518" s="8" t="s">
        <v>161</v>
      </c>
      <c r="C9518" s="8" t="str">
        <f>IFERROR(_xlfn.XLOOKUP(TRIM(B9518),Lookup!$B$2:$B$1000,Lookup!$C$2:$C$1000),"")</f>
        <v>Equity</v>
      </c>
      <c r="D9518" s="8" t="str">
        <f>IFERROR(INDEX('nav master'!$C:$C, MATCH(B9518, 'nav master'!$B:$B, 0)), "")</f>
        <v>ULIF08421/11/25InCnsmAdFd101</v>
      </c>
      <c r="E9518" s="8" t="s">
        <v>4903</v>
      </c>
      <c r="F9518" s="8" t="s">
        <v>4943</v>
      </c>
    </row>
    <row r="9519" spans="1:6" ht="75" x14ac:dyDescent="0.25">
      <c r="A9519" s="8" t="s">
        <v>125</v>
      </c>
      <c r="B9519" s="8" t="s">
        <v>161</v>
      </c>
      <c r="C9519" s="8" t="str">
        <f>IFERROR(_xlfn.XLOOKUP(TRIM(B9519),Lookup!$B$2:$B$1000,Lookup!$C$2:$C$1000),"")</f>
        <v>Equity</v>
      </c>
      <c r="D9519" s="8" t="str">
        <f>IFERROR(INDEX('nav master'!$C:$C, MATCH(B9519, 'nav master'!$B:$B, 0)), "")</f>
        <v>ULIF08421/11/25InCnsmAdFd101</v>
      </c>
      <c r="E9519" s="8" t="s">
        <v>4905</v>
      </c>
      <c r="F9519" s="8" t="s">
        <v>4944</v>
      </c>
    </row>
    <row r="9520" spans="1:6" ht="60" x14ac:dyDescent="0.25">
      <c r="A9520" s="8" t="s">
        <v>125</v>
      </c>
      <c r="B9520" s="8" t="s">
        <v>58</v>
      </c>
      <c r="C9520" s="8" t="str">
        <f>IFERROR(_xlfn.XLOOKUP(TRIM(B9520),Lookup!$B$2:$B$1000,Lookup!$C$2:$C$1000),"")</f>
        <v>Equity</v>
      </c>
      <c r="D9520" s="8" t="str">
        <f>IFERROR(INDEX('nav master'!$C:$C, MATCH(B9520, 'nav master'!$B:$B, 0)), "")</f>
        <v>ULIF 145 03/06/21 SustainEqu 105</v>
      </c>
      <c r="E9520" s="8" t="s">
        <v>189</v>
      </c>
      <c r="F9520" s="8" t="s">
        <v>2464</v>
      </c>
    </row>
    <row r="9521" spans="1:6" ht="60" x14ac:dyDescent="0.25">
      <c r="A9521" s="8" t="s">
        <v>125</v>
      </c>
      <c r="B9521" s="8" t="s">
        <v>58</v>
      </c>
      <c r="C9521" s="8" t="str">
        <f>IFERROR(_xlfn.XLOOKUP(TRIM(B9521),Lookup!$B$2:$B$1000,Lookup!$C$2:$C$1000),"")</f>
        <v>Equity</v>
      </c>
      <c r="D9521" s="8" t="str">
        <f>IFERROR(INDEX('nav master'!$C:$C, MATCH(B9521, 'nav master'!$B:$B, 0)), "")</f>
        <v>ULIF 145 03/06/21 SustainEqu 105</v>
      </c>
      <c r="E9521" s="8" t="s">
        <v>191</v>
      </c>
      <c r="F9521" s="8" t="s">
        <v>2465</v>
      </c>
    </row>
    <row r="9522" spans="1:6" ht="60" x14ac:dyDescent="0.25">
      <c r="A9522" s="8" t="s">
        <v>125</v>
      </c>
      <c r="B9522" s="8" t="s">
        <v>58</v>
      </c>
      <c r="C9522" s="8" t="str">
        <f>IFERROR(_xlfn.XLOOKUP(TRIM(B9522),Lookup!$B$2:$B$1000,Lookup!$C$2:$C$1000),"")</f>
        <v>Equity</v>
      </c>
      <c r="D9522" s="8" t="str">
        <f>IFERROR(INDEX('nav master'!$C:$C, MATCH(B9522, 'nav master'!$B:$B, 0)), "")</f>
        <v>ULIF 145 03/06/21 SustainEqu 105</v>
      </c>
      <c r="E9522" s="8" t="s">
        <v>193</v>
      </c>
      <c r="F9522" s="8" t="s">
        <v>2466</v>
      </c>
    </row>
    <row r="9523" spans="1:6" ht="60" x14ac:dyDescent="0.25">
      <c r="A9523" s="8" t="s">
        <v>125</v>
      </c>
      <c r="B9523" s="8" t="s">
        <v>58</v>
      </c>
      <c r="C9523" s="8" t="str">
        <f>IFERROR(_xlfn.XLOOKUP(TRIM(B9523),Lookup!$B$2:$B$1000,Lookup!$C$2:$C$1000),"")</f>
        <v>Equity</v>
      </c>
      <c r="D9523" s="8" t="str">
        <f>IFERROR(INDEX('nav master'!$C:$C, MATCH(B9523, 'nav master'!$B:$B, 0)), "")</f>
        <v>ULIF 145 03/06/21 SustainEqu 105</v>
      </c>
      <c r="E9523" s="8" t="s">
        <v>195</v>
      </c>
      <c r="F9523" s="8" t="s">
        <v>2467</v>
      </c>
    </row>
    <row r="9524" spans="1:6" ht="60" x14ac:dyDescent="0.25">
      <c r="A9524" s="8" t="s">
        <v>125</v>
      </c>
      <c r="B9524" s="8" t="s">
        <v>58</v>
      </c>
      <c r="C9524" s="8" t="str">
        <f>IFERROR(_xlfn.XLOOKUP(TRIM(B9524),Lookup!$B$2:$B$1000,Lookup!$C$2:$C$1000),"")</f>
        <v>Equity</v>
      </c>
      <c r="D9524" s="8" t="str">
        <f>IFERROR(INDEX('nav master'!$C:$C, MATCH(B9524, 'nav master'!$B:$B, 0)), "")</f>
        <v>ULIF 145 03/06/21 SustainEqu 105</v>
      </c>
      <c r="E9524" s="8" t="s">
        <v>197</v>
      </c>
      <c r="F9524" s="8" t="s">
        <v>2468</v>
      </c>
    </row>
    <row r="9525" spans="1:6" ht="60" x14ac:dyDescent="0.25">
      <c r="A9525" s="8" t="s">
        <v>125</v>
      </c>
      <c r="B9525" s="8" t="s">
        <v>58</v>
      </c>
      <c r="C9525" s="8" t="str">
        <f>IFERROR(_xlfn.XLOOKUP(TRIM(B9525),Lookup!$B$2:$B$1000,Lookup!$C$2:$C$1000),"")</f>
        <v>Equity</v>
      </c>
      <c r="D9525" s="8" t="str">
        <f>IFERROR(INDEX('nav master'!$C:$C, MATCH(B9525, 'nav master'!$B:$B, 0)), "")</f>
        <v>ULIF 145 03/06/21 SustainEqu 105</v>
      </c>
      <c r="E9525" s="8" t="s">
        <v>199</v>
      </c>
      <c r="F9525" s="8" t="s">
        <v>2469</v>
      </c>
    </row>
    <row r="9526" spans="1:6" ht="60" x14ac:dyDescent="0.25">
      <c r="A9526" s="8" t="s">
        <v>125</v>
      </c>
      <c r="B9526" s="8" t="s">
        <v>58</v>
      </c>
      <c r="C9526" s="8" t="str">
        <f>IFERROR(_xlfn.XLOOKUP(TRIM(B9526),Lookup!$B$2:$B$1000,Lookup!$C$2:$C$1000),"")</f>
        <v>Equity</v>
      </c>
      <c r="D9526" s="8" t="str">
        <f>IFERROR(INDEX('nav master'!$C:$C, MATCH(B9526, 'nav master'!$B:$B, 0)), "")</f>
        <v>ULIF 145 03/06/21 SustainEqu 105</v>
      </c>
      <c r="E9526" s="8" t="s">
        <v>201</v>
      </c>
      <c r="F9526" s="8" t="s">
        <v>2470</v>
      </c>
    </row>
    <row r="9527" spans="1:6" ht="60" x14ac:dyDescent="0.25">
      <c r="A9527" s="8" t="s">
        <v>125</v>
      </c>
      <c r="B9527" s="8" t="s">
        <v>58</v>
      </c>
      <c r="C9527" s="8" t="str">
        <f>IFERROR(_xlfn.XLOOKUP(TRIM(B9527),Lookup!$B$2:$B$1000,Lookup!$C$2:$C$1000),"")</f>
        <v>Equity</v>
      </c>
      <c r="D9527" s="8" t="str">
        <f>IFERROR(INDEX('nav master'!$C:$C, MATCH(B9527, 'nav master'!$B:$B, 0)), "")</f>
        <v>ULIF 145 03/06/21 SustainEqu 105</v>
      </c>
      <c r="E9527" s="8" t="s">
        <v>203</v>
      </c>
      <c r="F9527" s="8" t="s">
        <v>2471</v>
      </c>
    </row>
    <row r="9528" spans="1:6" ht="60" x14ac:dyDescent="0.25">
      <c r="A9528" s="8" t="s">
        <v>125</v>
      </c>
      <c r="B9528" s="8" t="s">
        <v>58</v>
      </c>
      <c r="C9528" s="8" t="str">
        <f>IFERROR(_xlfn.XLOOKUP(TRIM(B9528),Lookup!$B$2:$B$1000,Lookup!$C$2:$C$1000),"")</f>
        <v>Equity</v>
      </c>
      <c r="D9528" s="8" t="str">
        <f>IFERROR(INDEX('nav master'!$C:$C, MATCH(B9528, 'nav master'!$B:$B, 0)), "")</f>
        <v>ULIF 145 03/06/21 SustainEqu 105</v>
      </c>
      <c r="E9528" s="8" t="s">
        <v>205</v>
      </c>
      <c r="F9528" s="8" t="s">
        <v>2472</v>
      </c>
    </row>
    <row r="9529" spans="1:6" ht="60" x14ac:dyDescent="0.25">
      <c r="A9529" s="8" t="s">
        <v>125</v>
      </c>
      <c r="B9529" s="8" t="s">
        <v>58</v>
      </c>
      <c r="C9529" s="8" t="str">
        <f>IFERROR(_xlfn.XLOOKUP(TRIM(B9529),Lookup!$B$2:$B$1000,Lookup!$C$2:$C$1000),"")</f>
        <v>Equity</v>
      </c>
      <c r="D9529" s="8" t="str">
        <f>IFERROR(INDEX('nav master'!$C:$C, MATCH(B9529, 'nav master'!$B:$B, 0)), "")</f>
        <v>ULIF 145 03/06/21 SustainEqu 105</v>
      </c>
      <c r="E9529" s="8" t="s">
        <v>207</v>
      </c>
      <c r="F9529" s="8" t="s">
        <v>2473</v>
      </c>
    </row>
    <row r="9530" spans="1:6" ht="60" x14ac:dyDescent="0.25">
      <c r="A9530" s="8" t="s">
        <v>125</v>
      </c>
      <c r="B9530" s="8" t="s">
        <v>58</v>
      </c>
      <c r="C9530" s="8" t="str">
        <f>IFERROR(_xlfn.XLOOKUP(TRIM(B9530),Lookup!$B$2:$B$1000,Lookup!$C$2:$C$1000),"")</f>
        <v>Equity</v>
      </c>
      <c r="D9530" s="8" t="str">
        <f>IFERROR(INDEX('nav master'!$C:$C, MATCH(B9530, 'nav master'!$B:$B, 0)), "")</f>
        <v>ULIF 145 03/06/21 SustainEqu 105</v>
      </c>
      <c r="E9530" s="8" t="s">
        <v>209</v>
      </c>
      <c r="F9530" s="8" t="s">
        <v>2474</v>
      </c>
    </row>
    <row r="9531" spans="1:6" ht="60" x14ac:dyDescent="0.25">
      <c r="A9531" s="8" t="s">
        <v>125</v>
      </c>
      <c r="B9531" s="8" t="s">
        <v>58</v>
      </c>
      <c r="C9531" s="8" t="str">
        <f>IFERROR(_xlfn.XLOOKUP(TRIM(B9531),Lookup!$B$2:$B$1000,Lookup!$C$2:$C$1000),"")</f>
        <v>Equity</v>
      </c>
      <c r="D9531" s="8" t="str">
        <f>IFERROR(INDEX('nav master'!$C:$C, MATCH(B9531, 'nav master'!$B:$B, 0)), "")</f>
        <v>ULIF 145 03/06/21 SustainEqu 105</v>
      </c>
      <c r="E9531" s="8" t="s">
        <v>211</v>
      </c>
      <c r="F9531" s="8" t="s">
        <v>2475</v>
      </c>
    </row>
    <row r="9532" spans="1:6" ht="60" x14ac:dyDescent="0.25">
      <c r="A9532" s="8" t="s">
        <v>125</v>
      </c>
      <c r="B9532" s="8" t="s">
        <v>58</v>
      </c>
      <c r="C9532" s="8" t="str">
        <f>IFERROR(_xlfn.XLOOKUP(TRIM(B9532),Lookup!$B$2:$B$1000,Lookup!$C$2:$C$1000),"")</f>
        <v>Equity</v>
      </c>
      <c r="D9532" s="8" t="str">
        <f>IFERROR(INDEX('nav master'!$C:$C, MATCH(B9532, 'nav master'!$B:$B, 0)), "")</f>
        <v>ULIF 145 03/06/21 SustainEqu 105</v>
      </c>
      <c r="E9532" s="8" t="s">
        <v>213</v>
      </c>
      <c r="F9532" s="8" t="s">
        <v>2476</v>
      </c>
    </row>
    <row r="9533" spans="1:6" ht="60" x14ac:dyDescent="0.25">
      <c r="A9533" s="8" t="s">
        <v>125</v>
      </c>
      <c r="B9533" s="8" t="s">
        <v>58</v>
      </c>
      <c r="C9533" s="8" t="str">
        <f>IFERROR(_xlfn.XLOOKUP(TRIM(B9533),Lookup!$B$2:$B$1000,Lookup!$C$2:$C$1000),"")</f>
        <v>Equity</v>
      </c>
      <c r="D9533" s="8" t="str">
        <f>IFERROR(INDEX('nav master'!$C:$C, MATCH(B9533, 'nav master'!$B:$B, 0)), "")</f>
        <v>ULIF 145 03/06/21 SustainEqu 105</v>
      </c>
      <c r="E9533" s="8" t="s">
        <v>215</v>
      </c>
      <c r="F9533" s="8" t="s">
        <v>2477</v>
      </c>
    </row>
    <row r="9534" spans="1:6" ht="60" x14ac:dyDescent="0.25">
      <c r="A9534" s="8" t="s">
        <v>125</v>
      </c>
      <c r="B9534" s="8" t="s">
        <v>58</v>
      </c>
      <c r="C9534" s="8" t="str">
        <f>IFERROR(_xlfn.XLOOKUP(TRIM(B9534),Lookup!$B$2:$B$1000,Lookup!$C$2:$C$1000),"")</f>
        <v>Equity</v>
      </c>
      <c r="D9534" s="8" t="str">
        <f>IFERROR(INDEX('nav master'!$C:$C, MATCH(B9534, 'nav master'!$B:$B, 0)), "")</f>
        <v>ULIF 145 03/06/21 SustainEqu 105</v>
      </c>
      <c r="E9534" s="8" t="s">
        <v>217</v>
      </c>
      <c r="F9534" s="8" t="s">
        <v>2478</v>
      </c>
    </row>
    <row r="9535" spans="1:6" ht="60" x14ac:dyDescent="0.25">
      <c r="A9535" s="8" t="s">
        <v>125</v>
      </c>
      <c r="B9535" s="8" t="s">
        <v>58</v>
      </c>
      <c r="C9535" s="8" t="str">
        <f>IFERROR(_xlfn.XLOOKUP(TRIM(B9535),Lookup!$B$2:$B$1000,Lookup!$C$2:$C$1000),"")</f>
        <v>Equity</v>
      </c>
      <c r="D9535" s="8" t="str">
        <f>IFERROR(INDEX('nav master'!$C:$C, MATCH(B9535, 'nav master'!$B:$B, 0)), "")</f>
        <v>ULIF 145 03/06/21 SustainEqu 105</v>
      </c>
      <c r="E9535" s="8" t="s">
        <v>219</v>
      </c>
      <c r="F9535" s="8" t="s">
        <v>2479</v>
      </c>
    </row>
    <row r="9536" spans="1:6" ht="60" x14ac:dyDescent="0.25">
      <c r="A9536" s="8" t="s">
        <v>125</v>
      </c>
      <c r="B9536" s="8" t="s">
        <v>58</v>
      </c>
      <c r="C9536" s="8" t="str">
        <f>IFERROR(_xlfn.XLOOKUP(TRIM(B9536),Lookup!$B$2:$B$1000,Lookup!$C$2:$C$1000),"")</f>
        <v>Equity</v>
      </c>
      <c r="D9536" s="8" t="str">
        <f>IFERROR(INDEX('nav master'!$C:$C, MATCH(B9536, 'nav master'!$B:$B, 0)), "")</f>
        <v>ULIF 145 03/06/21 SustainEqu 105</v>
      </c>
      <c r="E9536" s="8" t="s">
        <v>221</v>
      </c>
      <c r="F9536" s="8" t="s">
        <v>2480</v>
      </c>
    </row>
    <row r="9537" spans="1:6" ht="60" x14ac:dyDescent="0.25">
      <c r="A9537" s="8" t="s">
        <v>125</v>
      </c>
      <c r="B9537" s="8" t="s">
        <v>58</v>
      </c>
      <c r="C9537" s="8" t="str">
        <f>IFERROR(_xlfn.XLOOKUP(TRIM(B9537),Lookup!$B$2:$B$1000,Lookup!$C$2:$C$1000),"")</f>
        <v>Equity</v>
      </c>
      <c r="D9537" s="8" t="str">
        <f>IFERROR(INDEX('nav master'!$C:$C, MATCH(B9537, 'nav master'!$B:$B, 0)), "")</f>
        <v>ULIF 145 03/06/21 SustainEqu 105</v>
      </c>
      <c r="E9537" s="8" t="s">
        <v>223</v>
      </c>
      <c r="F9537" s="8" t="s">
        <v>2481</v>
      </c>
    </row>
    <row r="9538" spans="1:6" ht="60" x14ac:dyDescent="0.25">
      <c r="A9538" s="8" t="s">
        <v>125</v>
      </c>
      <c r="B9538" s="8" t="s">
        <v>58</v>
      </c>
      <c r="C9538" s="8" t="str">
        <f>IFERROR(_xlfn.XLOOKUP(TRIM(B9538),Lookup!$B$2:$B$1000,Lookup!$C$2:$C$1000),"")</f>
        <v>Equity</v>
      </c>
      <c r="D9538" s="8" t="str">
        <f>IFERROR(INDEX('nav master'!$C:$C, MATCH(B9538, 'nav master'!$B:$B, 0)), "")</f>
        <v>ULIF 145 03/06/21 SustainEqu 105</v>
      </c>
      <c r="E9538" s="8" t="s">
        <v>225</v>
      </c>
      <c r="F9538" s="8" t="s">
        <v>2482</v>
      </c>
    </row>
    <row r="9539" spans="1:6" ht="60" x14ac:dyDescent="0.25">
      <c r="A9539" s="8" t="s">
        <v>125</v>
      </c>
      <c r="B9539" s="8" t="s">
        <v>58</v>
      </c>
      <c r="C9539" s="8" t="str">
        <f>IFERROR(_xlfn.XLOOKUP(TRIM(B9539),Lookup!$B$2:$B$1000,Lookup!$C$2:$C$1000),"")</f>
        <v>Equity</v>
      </c>
      <c r="D9539" s="8" t="str">
        <f>IFERROR(INDEX('nav master'!$C:$C, MATCH(B9539, 'nav master'!$B:$B, 0)), "")</f>
        <v>ULIF 145 03/06/21 SustainEqu 105</v>
      </c>
      <c r="E9539" s="8" t="s">
        <v>227</v>
      </c>
      <c r="F9539" s="8" t="s">
        <v>2483</v>
      </c>
    </row>
    <row r="9540" spans="1:6" ht="60" x14ac:dyDescent="0.25">
      <c r="A9540" s="8" t="s">
        <v>125</v>
      </c>
      <c r="B9540" s="8" t="s">
        <v>58</v>
      </c>
      <c r="C9540" s="8" t="str">
        <f>IFERROR(_xlfn.XLOOKUP(TRIM(B9540),Lookup!$B$2:$B$1000,Lookup!$C$2:$C$1000),"")</f>
        <v>Equity</v>
      </c>
      <c r="D9540" s="8" t="str">
        <f>IFERROR(INDEX('nav master'!$C:$C, MATCH(B9540, 'nav master'!$B:$B, 0)), "")</f>
        <v>ULIF 145 03/06/21 SustainEqu 105</v>
      </c>
      <c r="E9540" s="8" t="s">
        <v>229</v>
      </c>
      <c r="F9540" s="8" t="s">
        <v>2484</v>
      </c>
    </row>
    <row r="9541" spans="1:6" ht="60" x14ac:dyDescent="0.25">
      <c r="A9541" s="8" t="s">
        <v>125</v>
      </c>
      <c r="B9541" s="8" t="s">
        <v>58</v>
      </c>
      <c r="C9541" s="8" t="str">
        <f>IFERROR(_xlfn.XLOOKUP(TRIM(B9541),Lookup!$B$2:$B$1000,Lookup!$C$2:$C$1000),"")</f>
        <v>Equity</v>
      </c>
      <c r="D9541" s="8" t="str">
        <f>IFERROR(INDEX('nav master'!$C:$C, MATCH(B9541, 'nav master'!$B:$B, 0)), "")</f>
        <v>ULIF 145 03/06/21 SustainEqu 105</v>
      </c>
      <c r="E9541" s="8" t="s">
        <v>231</v>
      </c>
      <c r="F9541" s="8" t="s">
        <v>2485</v>
      </c>
    </row>
    <row r="9542" spans="1:6" ht="60" x14ac:dyDescent="0.25">
      <c r="A9542" s="8" t="s">
        <v>125</v>
      </c>
      <c r="B9542" s="8" t="s">
        <v>58</v>
      </c>
      <c r="C9542" s="8" t="str">
        <f>IFERROR(_xlfn.XLOOKUP(TRIM(B9542),Lookup!$B$2:$B$1000,Lookup!$C$2:$C$1000),"")</f>
        <v>Equity</v>
      </c>
      <c r="D9542" s="8" t="str">
        <f>IFERROR(INDEX('nav master'!$C:$C, MATCH(B9542, 'nav master'!$B:$B, 0)), "")</f>
        <v>ULIF 145 03/06/21 SustainEqu 105</v>
      </c>
      <c r="E9542" s="8" t="s">
        <v>233</v>
      </c>
      <c r="F9542" s="8" t="s">
        <v>2486</v>
      </c>
    </row>
    <row r="9543" spans="1:6" ht="60" x14ac:dyDescent="0.25">
      <c r="A9543" s="8" t="s">
        <v>125</v>
      </c>
      <c r="B9543" s="8" t="s">
        <v>58</v>
      </c>
      <c r="C9543" s="8" t="str">
        <f>IFERROR(_xlfn.XLOOKUP(TRIM(B9543),Lookup!$B$2:$B$1000,Lookup!$C$2:$C$1000),"")</f>
        <v>Equity</v>
      </c>
      <c r="D9543" s="8" t="str">
        <f>IFERROR(INDEX('nav master'!$C:$C, MATCH(B9543, 'nav master'!$B:$B, 0)), "")</f>
        <v>ULIF 145 03/06/21 SustainEqu 105</v>
      </c>
      <c r="E9543" s="8" t="s">
        <v>235</v>
      </c>
      <c r="F9543" s="8" t="s">
        <v>2487</v>
      </c>
    </row>
    <row r="9544" spans="1:6" ht="60" x14ac:dyDescent="0.25">
      <c r="A9544" s="8" t="s">
        <v>125</v>
      </c>
      <c r="B9544" s="8" t="s">
        <v>58</v>
      </c>
      <c r="C9544" s="8" t="str">
        <f>IFERROR(_xlfn.XLOOKUP(TRIM(B9544),Lookup!$B$2:$B$1000,Lookup!$C$2:$C$1000),"")</f>
        <v>Equity</v>
      </c>
      <c r="D9544" s="8" t="str">
        <f>IFERROR(INDEX('nav master'!$C:$C, MATCH(B9544, 'nav master'!$B:$B, 0)), "")</f>
        <v>ULIF 145 03/06/21 SustainEqu 105</v>
      </c>
      <c r="E9544" s="8" t="s">
        <v>237</v>
      </c>
      <c r="F9544" s="8" t="s">
        <v>2488</v>
      </c>
    </row>
    <row r="9545" spans="1:6" ht="60" x14ac:dyDescent="0.25">
      <c r="A9545" s="8" t="s">
        <v>125</v>
      </c>
      <c r="B9545" s="8" t="s">
        <v>58</v>
      </c>
      <c r="C9545" s="8" t="str">
        <f>IFERROR(_xlfn.XLOOKUP(TRIM(B9545),Lookup!$B$2:$B$1000,Lookup!$C$2:$C$1000),"")</f>
        <v>Equity</v>
      </c>
      <c r="D9545" s="8" t="str">
        <f>IFERROR(INDEX('nav master'!$C:$C, MATCH(B9545, 'nav master'!$B:$B, 0)), "")</f>
        <v>ULIF 145 03/06/21 SustainEqu 105</v>
      </c>
      <c r="E9545" s="8" t="s">
        <v>239</v>
      </c>
      <c r="F9545" s="8" t="s">
        <v>2489</v>
      </c>
    </row>
    <row r="9546" spans="1:6" ht="60" x14ac:dyDescent="0.25">
      <c r="A9546" s="8" t="s">
        <v>125</v>
      </c>
      <c r="B9546" s="8" t="s">
        <v>58</v>
      </c>
      <c r="C9546" s="8" t="str">
        <f>IFERROR(_xlfn.XLOOKUP(TRIM(B9546),Lookup!$B$2:$B$1000,Lookup!$C$2:$C$1000),"")</f>
        <v>Equity</v>
      </c>
      <c r="D9546" s="8" t="str">
        <f>IFERROR(INDEX('nav master'!$C:$C, MATCH(B9546, 'nav master'!$B:$B, 0)), "")</f>
        <v>ULIF 145 03/06/21 SustainEqu 105</v>
      </c>
      <c r="E9546" s="8" t="s">
        <v>241</v>
      </c>
      <c r="F9546" s="8" t="s">
        <v>2490</v>
      </c>
    </row>
    <row r="9547" spans="1:6" ht="60" x14ac:dyDescent="0.25">
      <c r="A9547" s="8" t="s">
        <v>125</v>
      </c>
      <c r="B9547" s="8" t="s">
        <v>58</v>
      </c>
      <c r="C9547" s="8" t="str">
        <f>IFERROR(_xlfn.XLOOKUP(TRIM(B9547),Lookup!$B$2:$B$1000,Lookup!$C$2:$C$1000),"")</f>
        <v>Equity</v>
      </c>
      <c r="D9547" s="8" t="str">
        <f>IFERROR(INDEX('nav master'!$C:$C, MATCH(B9547, 'nav master'!$B:$B, 0)), "")</f>
        <v>ULIF 145 03/06/21 SustainEqu 105</v>
      </c>
      <c r="E9547" s="8" t="s">
        <v>243</v>
      </c>
      <c r="F9547" s="8" t="s">
        <v>2491</v>
      </c>
    </row>
    <row r="9548" spans="1:6" ht="60" x14ac:dyDescent="0.25">
      <c r="A9548" s="8" t="s">
        <v>125</v>
      </c>
      <c r="B9548" s="8" t="s">
        <v>58</v>
      </c>
      <c r="C9548" s="8" t="str">
        <f>IFERROR(_xlfn.XLOOKUP(TRIM(B9548),Lookup!$B$2:$B$1000,Lookup!$C$2:$C$1000),"")</f>
        <v>Equity</v>
      </c>
      <c r="D9548" s="8" t="str">
        <f>IFERROR(INDEX('nav master'!$C:$C, MATCH(B9548, 'nav master'!$B:$B, 0)), "")</f>
        <v>ULIF 145 03/06/21 SustainEqu 105</v>
      </c>
      <c r="E9548" s="8" t="s">
        <v>245</v>
      </c>
      <c r="F9548" s="8" t="s">
        <v>2492</v>
      </c>
    </row>
    <row r="9549" spans="1:6" ht="60" x14ac:dyDescent="0.25">
      <c r="A9549" s="8" t="s">
        <v>125</v>
      </c>
      <c r="B9549" s="8" t="s">
        <v>58</v>
      </c>
      <c r="C9549" s="8" t="str">
        <f>IFERROR(_xlfn.XLOOKUP(TRIM(B9549),Lookup!$B$2:$B$1000,Lookup!$C$2:$C$1000),"")</f>
        <v>Equity</v>
      </c>
      <c r="D9549" s="8" t="str">
        <f>IFERROR(INDEX('nav master'!$C:$C, MATCH(B9549, 'nav master'!$B:$B, 0)), "")</f>
        <v>ULIF 145 03/06/21 SustainEqu 105</v>
      </c>
      <c r="E9549" s="8" t="s">
        <v>247</v>
      </c>
      <c r="F9549" s="8" t="s">
        <v>2493</v>
      </c>
    </row>
    <row r="9550" spans="1:6" ht="60" x14ac:dyDescent="0.25">
      <c r="A9550" s="8" t="s">
        <v>125</v>
      </c>
      <c r="B9550" s="8" t="s">
        <v>58</v>
      </c>
      <c r="C9550" s="8" t="str">
        <f>IFERROR(_xlfn.XLOOKUP(TRIM(B9550),Lookup!$B$2:$B$1000,Lookup!$C$2:$C$1000),"")</f>
        <v>Equity</v>
      </c>
      <c r="D9550" s="8" t="str">
        <f>IFERROR(INDEX('nav master'!$C:$C, MATCH(B9550, 'nav master'!$B:$B, 0)), "")</f>
        <v>ULIF 145 03/06/21 SustainEqu 105</v>
      </c>
      <c r="E9550" s="8" t="s">
        <v>249</v>
      </c>
      <c r="F9550" s="8" t="s">
        <v>2494</v>
      </c>
    </row>
    <row r="9551" spans="1:6" ht="60" x14ac:dyDescent="0.25">
      <c r="A9551" s="8" t="s">
        <v>125</v>
      </c>
      <c r="B9551" s="8" t="s">
        <v>58</v>
      </c>
      <c r="C9551" s="8" t="str">
        <f>IFERROR(_xlfn.XLOOKUP(TRIM(B9551),Lookup!$B$2:$B$1000,Lookup!$C$2:$C$1000),"")</f>
        <v>Equity</v>
      </c>
      <c r="D9551" s="8" t="str">
        <f>IFERROR(INDEX('nav master'!$C:$C, MATCH(B9551, 'nav master'!$B:$B, 0)), "")</f>
        <v>ULIF 145 03/06/21 SustainEqu 105</v>
      </c>
      <c r="E9551" s="8" t="s">
        <v>251</v>
      </c>
      <c r="F9551" s="8" t="s">
        <v>2495</v>
      </c>
    </row>
    <row r="9552" spans="1:6" ht="60" x14ac:dyDescent="0.25">
      <c r="A9552" s="8" t="s">
        <v>125</v>
      </c>
      <c r="B9552" s="8" t="s">
        <v>58</v>
      </c>
      <c r="C9552" s="8" t="str">
        <f>IFERROR(_xlfn.XLOOKUP(TRIM(B9552),Lookup!$B$2:$B$1000,Lookup!$C$2:$C$1000),"")</f>
        <v>Equity</v>
      </c>
      <c r="D9552" s="8" t="str">
        <f>IFERROR(INDEX('nav master'!$C:$C, MATCH(B9552, 'nav master'!$B:$B, 0)), "")</f>
        <v>ULIF 145 03/06/21 SustainEqu 105</v>
      </c>
      <c r="E9552" s="8" t="s">
        <v>253</v>
      </c>
      <c r="F9552" s="8" t="s">
        <v>2496</v>
      </c>
    </row>
    <row r="9553" spans="1:6" ht="60" x14ac:dyDescent="0.25">
      <c r="A9553" s="8" t="s">
        <v>125</v>
      </c>
      <c r="B9553" s="8" t="s">
        <v>58</v>
      </c>
      <c r="C9553" s="8" t="str">
        <f>IFERROR(_xlfn.XLOOKUP(TRIM(B9553),Lookup!$B$2:$B$1000,Lookup!$C$2:$C$1000),"")</f>
        <v>Equity</v>
      </c>
      <c r="D9553" s="8" t="str">
        <f>IFERROR(INDEX('nav master'!$C:$C, MATCH(B9553, 'nav master'!$B:$B, 0)), "")</f>
        <v>ULIF 145 03/06/21 SustainEqu 105</v>
      </c>
      <c r="E9553" s="8" t="s">
        <v>255</v>
      </c>
      <c r="F9553" s="8" t="s">
        <v>2497</v>
      </c>
    </row>
    <row r="9554" spans="1:6" ht="60" x14ac:dyDescent="0.25">
      <c r="A9554" s="8" t="s">
        <v>125</v>
      </c>
      <c r="B9554" s="8" t="s">
        <v>58</v>
      </c>
      <c r="C9554" s="8" t="str">
        <f>IFERROR(_xlfn.XLOOKUP(TRIM(B9554),Lookup!$B$2:$B$1000,Lookup!$C$2:$C$1000),"")</f>
        <v>Equity</v>
      </c>
      <c r="D9554" s="8" t="str">
        <f>IFERROR(INDEX('nav master'!$C:$C, MATCH(B9554, 'nav master'!$B:$B, 0)), "")</f>
        <v>ULIF 145 03/06/21 SustainEqu 105</v>
      </c>
      <c r="E9554" s="8" t="s">
        <v>257</v>
      </c>
      <c r="F9554" s="8" t="s">
        <v>2498</v>
      </c>
    </row>
    <row r="9555" spans="1:6" ht="60" x14ac:dyDescent="0.25">
      <c r="A9555" s="8" t="s">
        <v>125</v>
      </c>
      <c r="B9555" s="8" t="s">
        <v>58</v>
      </c>
      <c r="C9555" s="8" t="str">
        <f>IFERROR(_xlfn.XLOOKUP(TRIM(B9555),Lookup!$B$2:$B$1000,Lookup!$C$2:$C$1000),"")</f>
        <v>Equity</v>
      </c>
      <c r="D9555" s="8" t="str">
        <f>IFERROR(INDEX('nav master'!$C:$C, MATCH(B9555, 'nav master'!$B:$B, 0)), "")</f>
        <v>ULIF 145 03/06/21 SustainEqu 105</v>
      </c>
      <c r="E9555" s="8" t="s">
        <v>259</v>
      </c>
      <c r="F9555" s="8" t="s">
        <v>2499</v>
      </c>
    </row>
    <row r="9556" spans="1:6" ht="60" x14ac:dyDescent="0.25">
      <c r="A9556" s="8" t="s">
        <v>125</v>
      </c>
      <c r="B9556" s="8" t="s">
        <v>58</v>
      </c>
      <c r="C9556" s="8" t="str">
        <f>IFERROR(_xlfn.XLOOKUP(TRIM(B9556),Lookup!$B$2:$B$1000,Lookup!$C$2:$C$1000),"")</f>
        <v>Equity</v>
      </c>
      <c r="D9556" s="8" t="str">
        <f>IFERROR(INDEX('nav master'!$C:$C, MATCH(B9556, 'nav master'!$B:$B, 0)), "")</f>
        <v>ULIF 145 03/06/21 SustainEqu 105</v>
      </c>
      <c r="E9556" s="8" t="s">
        <v>261</v>
      </c>
      <c r="F9556" s="8" t="s">
        <v>2500</v>
      </c>
    </row>
    <row r="9557" spans="1:6" ht="60" x14ac:dyDescent="0.25">
      <c r="A9557" s="8" t="s">
        <v>125</v>
      </c>
      <c r="B9557" s="8" t="s">
        <v>58</v>
      </c>
      <c r="C9557" s="8" t="str">
        <f>IFERROR(_xlfn.XLOOKUP(TRIM(B9557),Lookup!$B$2:$B$1000,Lookup!$C$2:$C$1000),"")</f>
        <v>Equity</v>
      </c>
      <c r="D9557" s="8" t="str">
        <f>IFERROR(INDEX('nav master'!$C:$C, MATCH(B9557, 'nav master'!$B:$B, 0)), "")</f>
        <v>ULIF 145 03/06/21 SustainEqu 105</v>
      </c>
      <c r="E9557" s="8" t="s">
        <v>263</v>
      </c>
      <c r="F9557" s="8" t="s">
        <v>2501</v>
      </c>
    </row>
    <row r="9558" spans="1:6" ht="60" x14ac:dyDescent="0.25">
      <c r="A9558" s="8" t="s">
        <v>125</v>
      </c>
      <c r="B9558" s="8" t="s">
        <v>58</v>
      </c>
      <c r="C9558" s="8" t="str">
        <f>IFERROR(_xlfn.XLOOKUP(TRIM(B9558),Lookup!$B$2:$B$1000,Lookup!$C$2:$C$1000),"")</f>
        <v>Equity</v>
      </c>
      <c r="D9558" s="8" t="str">
        <f>IFERROR(INDEX('nav master'!$C:$C, MATCH(B9558, 'nav master'!$B:$B, 0)), "")</f>
        <v>ULIF 145 03/06/21 SustainEqu 105</v>
      </c>
      <c r="E9558" s="8" t="s">
        <v>265</v>
      </c>
      <c r="F9558" s="8" t="s">
        <v>2502</v>
      </c>
    </row>
    <row r="9559" spans="1:6" ht="60" x14ac:dyDescent="0.25">
      <c r="A9559" s="8" t="s">
        <v>125</v>
      </c>
      <c r="B9559" s="8" t="s">
        <v>58</v>
      </c>
      <c r="C9559" s="8" t="str">
        <f>IFERROR(_xlfn.XLOOKUP(TRIM(B9559),Lookup!$B$2:$B$1000,Lookup!$C$2:$C$1000),"")</f>
        <v>Equity</v>
      </c>
      <c r="D9559" s="8" t="str">
        <f>IFERROR(INDEX('nav master'!$C:$C, MATCH(B9559, 'nav master'!$B:$B, 0)), "")</f>
        <v>ULIF 145 03/06/21 SustainEqu 105</v>
      </c>
      <c r="E9559" s="8" t="s">
        <v>267</v>
      </c>
      <c r="F9559" s="8" t="s">
        <v>2503</v>
      </c>
    </row>
    <row r="9560" spans="1:6" ht="60" x14ac:dyDescent="0.25">
      <c r="A9560" s="8" t="s">
        <v>125</v>
      </c>
      <c r="B9560" s="8" t="s">
        <v>58</v>
      </c>
      <c r="C9560" s="8" t="str">
        <f>IFERROR(_xlfn.XLOOKUP(TRIM(B9560),Lookup!$B$2:$B$1000,Lookup!$C$2:$C$1000),"")</f>
        <v>Equity</v>
      </c>
      <c r="D9560" s="8" t="str">
        <f>IFERROR(INDEX('nav master'!$C:$C, MATCH(B9560, 'nav master'!$B:$B, 0)), "")</f>
        <v>ULIF 145 03/06/21 SustainEqu 105</v>
      </c>
      <c r="E9560" s="8" t="s">
        <v>269</v>
      </c>
      <c r="F9560" s="8" t="s">
        <v>2504</v>
      </c>
    </row>
    <row r="9561" spans="1:6" ht="60" x14ac:dyDescent="0.25">
      <c r="A9561" s="8" t="s">
        <v>125</v>
      </c>
      <c r="B9561" s="8" t="s">
        <v>58</v>
      </c>
      <c r="C9561" s="8" t="str">
        <f>IFERROR(_xlfn.XLOOKUP(TRIM(B9561),Lookup!$B$2:$B$1000,Lookup!$C$2:$C$1000),"")</f>
        <v>Equity</v>
      </c>
      <c r="D9561" s="8" t="str">
        <f>IFERROR(INDEX('nav master'!$C:$C, MATCH(B9561, 'nav master'!$B:$B, 0)), "")</f>
        <v>ULIF 145 03/06/21 SustainEqu 105</v>
      </c>
      <c r="E9561" s="8" t="s">
        <v>271</v>
      </c>
      <c r="F9561" s="8" t="s">
        <v>2505</v>
      </c>
    </row>
    <row r="9562" spans="1:6" ht="60" x14ac:dyDescent="0.25">
      <c r="A9562" s="8" t="s">
        <v>125</v>
      </c>
      <c r="B9562" s="8" t="s">
        <v>58</v>
      </c>
      <c r="C9562" s="8" t="str">
        <f>IFERROR(_xlfn.XLOOKUP(TRIM(B9562),Lookup!$B$2:$B$1000,Lookup!$C$2:$C$1000),"")</f>
        <v>Equity</v>
      </c>
      <c r="D9562" s="8" t="str">
        <f>IFERROR(INDEX('nav master'!$C:$C, MATCH(B9562, 'nav master'!$B:$B, 0)), "")</f>
        <v>ULIF 145 03/06/21 SustainEqu 105</v>
      </c>
      <c r="E9562" s="8" t="s">
        <v>273</v>
      </c>
      <c r="F9562" s="8" t="s">
        <v>2506</v>
      </c>
    </row>
    <row r="9563" spans="1:6" ht="60" x14ac:dyDescent="0.25">
      <c r="A9563" s="8" t="s">
        <v>125</v>
      </c>
      <c r="B9563" s="8" t="s">
        <v>58</v>
      </c>
      <c r="C9563" s="8" t="str">
        <f>IFERROR(_xlfn.XLOOKUP(TRIM(B9563),Lookup!$B$2:$B$1000,Lookup!$C$2:$C$1000),"")</f>
        <v>Equity</v>
      </c>
      <c r="D9563" s="8" t="str">
        <f>IFERROR(INDEX('nav master'!$C:$C, MATCH(B9563, 'nav master'!$B:$B, 0)), "")</f>
        <v>ULIF 145 03/06/21 SustainEqu 105</v>
      </c>
      <c r="E9563" s="8" t="s">
        <v>275</v>
      </c>
      <c r="F9563" s="8" t="s">
        <v>2507</v>
      </c>
    </row>
    <row r="9564" spans="1:6" ht="60" x14ac:dyDescent="0.25">
      <c r="A9564" s="8" t="s">
        <v>125</v>
      </c>
      <c r="B9564" s="8" t="s">
        <v>58</v>
      </c>
      <c r="C9564" s="8" t="str">
        <f>IFERROR(_xlfn.XLOOKUP(TRIM(B9564),Lookup!$B$2:$B$1000,Lookup!$C$2:$C$1000),"")</f>
        <v>Equity</v>
      </c>
      <c r="D9564" s="8" t="str">
        <f>IFERROR(INDEX('nav master'!$C:$C, MATCH(B9564, 'nav master'!$B:$B, 0)), "")</f>
        <v>ULIF 145 03/06/21 SustainEqu 105</v>
      </c>
      <c r="E9564" s="8" t="s">
        <v>277</v>
      </c>
      <c r="F9564" s="8" t="s">
        <v>2508</v>
      </c>
    </row>
    <row r="9565" spans="1:6" ht="60" x14ac:dyDescent="0.25">
      <c r="A9565" s="8" t="s">
        <v>125</v>
      </c>
      <c r="B9565" s="8" t="s">
        <v>58</v>
      </c>
      <c r="C9565" s="8" t="str">
        <f>IFERROR(_xlfn.XLOOKUP(TRIM(B9565),Lookup!$B$2:$B$1000,Lookup!$C$2:$C$1000),"")</f>
        <v>Equity</v>
      </c>
      <c r="D9565" s="8" t="str">
        <f>IFERROR(INDEX('nav master'!$C:$C, MATCH(B9565, 'nav master'!$B:$B, 0)), "")</f>
        <v>ULIF 145 03/06/21 SustainEqu 105</v>
      </c>
      <c r="E9565" s="8" t="s">
        <v>279</v>
      </c>
      <c r="F9565" s="8" t="s">
        <v>2509</v>
      </c>
    </row>
    <row r="9566" spans="1:6" ht="60" x14ac:dyDescent="0.25">
      <c r="A9566" s="8" t="s">
        <v>125</v>
      </c>
      <c r="B9566" s="8" t="s">
        <v>58</v>
      </c>
      <c r="C9566" s="8" t="str">
        <f>IFERROR(_xlfn.XLOOKUP(TRIM(B9566),Lookup!$B$2:$B$1000,Lookup!$C$2:$C$1000),"")</f>
        <v>Equity</v>
      </c>
      <c r="D9566" s="8" t="str">
        <f>IFERROR(INDEX('nav master'!$C:$C, MATCH(B9566, 'nav master'!$B:$B, 0)), "")</f>
        <v>ULIF 145 03/06/21 SustainEqu 105</v>
      </c>
      <c r="E9566" s="8" t="s">
        <v>281</v>
      </c>
      <c r="F9566" s="8" t="s">
        <v>2510</v>
      </c>
    </row>
    <row r="9567" spans="1:6" ht="60" x14ac:dyDescent="0.25">
      <c r="A9567" s="8" t="s">
        <v>125</v>
      </c>
      <c r="B9567" s="8" t="s">
        <v>58</v>
      </c>
      <c r="C9567" s="8" t="str">
        <f>IFERROR(_xlfn.XLOOKUP(TRIM(B9567),Lookup!$B$2:$B$1000,Lookup!$C$2:$C$1000),"")</f>
        <v>Equity</v>
      </c>
      <c r="D9567" s="8" t="str">
        <f>IFERROR(INDEX('nav master'!$C:$C, MATCH(B9567, 'nav master'!$B:$B, 0)), "")</f>
        <v>ULIF 145 03/06/21 SustainEqu 105</v>
      </c>
      <c r="E9567" s="8" t="s">
        <v>283</v>
      </c>
      <c r="F9567" s="8" t="s">
        <v>2511</v>
      </c>
    </row>
    <row r="9568" spans="1:6" ht="60" x14ac:dyDescent="0.25">
      <c r="A9568" s="8" t="s">
        <v>125</v>
      </c>
      <c r="B9568" s="8" t="s">
        <v>58</v>
      </c>
      <c r="C9568" s="8" t="str">
        <f>IFERROR(_xlfn.XLOOKUP(TRIM(B9568),Lookup!$B$2:$B$1000,Lookup!$C$2:$C$1000),"")</f>
        <v>Equity</v>
      </c>
      <c r="D9568" s="8" t="str">
        <f>IFERROR(INDEX('nav master'!$C:$C, MATCH(B9568, 'nav master'!$B:$B, 0)), "")</f>
        <v>ULIF 145 03/06/21 SustainEqu 105</v>
      </c>
      <c r="E9568" s="8" t="s">
        <v>285</v>
      </c>
      <c r="F9568" s="8" t="s">
        <v>2512</v>
      </c>
    </row>
    <row r="9569" spans="1:6" ht="60" x14ac:dyDescent="0.25">
      <c r="A9569" s="8" t="s">
        <v>125</v>
      </c>
      <c r="B9569" s="8" t="s">
        <v>58</v>
      </c>
      <c r="C9569" s="8" t="str">
        <f>IFERROR(_xlfn.XLOOKUP(TRIM(B9569),Lookup!$B$2:$B$1000,Lookup!$C$2:$C$1000),"")</f>
        <v>Equity</v>
      </c>
      <c r="D9569" s="8" t="str">
        <f>IFERROR(INDEX('nav master'!$C:$C, MATCH(B9569, 'nav master'!$B:$B, 0)), "")</f>
        <v>ULIF 145 03/06/21 SustainEqu 105</v>
      </c>
      <c r="E9569" s="8" t="s">
        <v>287</v>
      </c>
      <c r="F9569" s="8" t="s">
        <v>2513</v>
      </c>
    </row>
    <row r="9570" spans="1:6" ht="60" x14ac:dyDescent="0.25">
      <c r="A9570" s="8" t="s">
        <v>125</v>
      </c>
      <c r="B9570" s="8" t="s">
        <v>58</v>
      </c>
      <c r="C9570" s="8" t="str">
        <f>IFERROR(_xlfn.XLOOKUP(TRIM(B9570),Lookup!$B$2:$B$1000,Lookup!$C$2:$C$1000),"")</f>
        <v>Equity</v>
      </c>
      <c r="D9570" s="8" t="str">
        <f>IFERROR(INDEX('nav master'!$C:$C, MATCH(B9570, 'nav master'!$B:$B, 0)), "")</f>
        <v>ULIF 145 03/06/21 SustainEqu 105</v>
      </c>
      <c r="E9570" s="8" t="s">
        <v>289</v>
      </c>
      <c r="F9570" s="8" t="s">
        <v>2514</v>
      </c>
    </row>
    <row r="9571" spans="1:6" ht="60" x14ac:dyDescent="0.25">
      <c r="A9571" s="8" t="s">
        <v>125</v>
      </c>
      <c r="B9571" s="8" t="s">
        <v>58</v>
      </c>
      <c r="C9571" s="8" t="str">
        <f>IFERROR(_xlfn.XLOOKUP(TRIM(B9571),Lookup!$B$2:$B$1000,Lookup!$C$2:$C$1000),"")</f>
        <v>Equity</v>
      </c>
      <c r="D9571" s="8" t="str">
        <f>IFERROR(INDEX('nav master'!$C:$C, MATCH(B9571, 'nav master'!$B:$B, 0)), "")</f>
        <v>ULIF 145 03/06/21 SustainEqu 105</v>
      </c>
      <c r="E9571" s="8" t="s">
        <v>291</v>
      </c>
      <c r="F9571" s="8" t="s">
        <v>2515</v>
      </c>
    </row>
    <row r="9572" spans="1:6" ht="60" x14ac:dyDescent="0.25">
      <c r="A9572" s="8" t="s">
        <v>125</v>
      </c>
      <c r="B9572" s="8" t="s">
        <v>58</v>
      </c>
      <c r="C9572" s="8" t="str">
        <f>IFERROR(_xlfn.XLOOKUP(TRIM(B9572),Lookup!$B$2:$B$1000,Lookup!$C$2:$C$1000),"")</f>
        <v>Equity</v>
      </c>
      <c r="D9572" s="8" t="str">
        <f>IFERROR(INDEX('nav master'!$C:$C, MATCH(B9572, 'nav master'!$B:$B, 0)), "")</f>
        <v>ULIF 145 03/06/21 SustainEqu 105</v>
      </c>
      <c r="E9572" s="8" t="s">
        <v>293</v>
      </c>
      <c r="F9572" s="8" t="s">
        <v>2516</v>
      </c>
    </row>
    <row r="9573" spans="1:6" ht="60" x14ac:dyDescent="0.25">
      <c r="A9573" s="8" t="s">
        <v>125</v>
      </c>
      <c r="B9573" s="8" t="s">
        <v>58</v>
      </c>
      <c r="C9573" s="8" t="str">
        <f>IFERROR(_xlfn.XLOOKUP(TRIM(B9573),Lookup!$B$2:$B$1000,Lookup!$C$2:$C$1000),"")</f>
        <v>Equity</v>
      </c>
      <c r="D9573" s="8" t="str">
        <f>IFERROR(INDEX('nav master'!$C:$C, MATCH(B9573, 'nav master'!$B:$B, 0)), "")</f>
        <v>ULIF 145 03/06/21 SustainEqu 105</v>
      </c>
      <c r="E9573" s="8" t="s">
        <v>295</v>
      </c>
      <c r="F9573" s="8" t="s">
        <v>2517</v>
      </c>
    </row>
    <row r="9574" spans="1:6" ht="60" x14ac:dyDescent="0.25">
      <c r="A9574" s="8" t="s">
        <v>125</v>
      </c>
      <c r="B9574" s="8" t="s">
        <v>58</v>
      </c>
      <c r="C9574" s="8" t="str">
        <f>IFERROR(_xlfn.XLOOKUP(TRIM(B9574),Lookup!$B$2:$B$1000,Lookup!$C$2:$C$1000),"")</f>
        <v>Equity</v>
      </c>
      <c r="D9574" s="8" t="str">
        <f>IFERROR(INDEX('nav master'!$C:$C, MATCH(B9574, 'nav master'!$B:$B, 0)), "")</f>
        <v>ULIF 145 03/06/21 SustainEqu 105</v>
      </c>
      <c r="E9574" s="8" t="s">
        <v>297</v>
      </c>
      <c r="F9574" s="8" t="s">
        <v>2518</v>
      </c>
    </row>
    <row r="9575" spans="1:6" ht="60" x14ac:dyDescent="0.25">
      <c r="A9575" s="8" t="s">
        <v>125</v>
      </c>
      <c r="B9575" s="8" t="s">
        <v>58</v>
      </c>
      <c r="C9575" s="8" t="str">
        <f>IFERROR(_xlfn.XLOOKUP(TRIM(B9575),Lookup!$B$2:$B$1000,Lookup!$C$2:$C$1000),"")</f>
        <v>Equity</v>
      </c>
      <c r="D9575" s="8" t="str">
        <f>IFERROR(INDEX('nav master'!$C:$C, MATCH(B9575, 'nav master'!$B:$B, 0)), "")</f>
        <v>ULIF 145 03/06/21 SustainEqu 105</v>
      </c>
      <c r="E9575" s="8" t="s">
        <v>299</v>
      </c>
      <c r="F9575" s="8" t="s">
        <v>2519</v>
      </c>
    </row>
    <row r="9576" spans="1:6" ht="60" x14ac:dyDescent="0.25">
      <c r="A9576" s="8" t="s">
        <v>125</v>
      </c>
      <c r="B9576" s="8" t="s">
        <v>58</v>
      </c>
      <c r="C9576" s="8" t="str">
        <f>IFERROR(_xlfn.XLOOKUP(TRIM(B9576),Lookup!$B$2:$B$1000,Lookup!$C$2:$C$1000),"")</f>
        <v>Equity</v>
      </c>
      <c r="D9576" s="8" t="str">
        <f>IFERROR(INDEX('nav master'!$C:$C, MATCH(B9576, 'nav master'!$B:$B, 0)), "")</f>
        <v>ULIF 145 03/06/21 SustainEqu 105</v>
      </c>
      <c r="E9576" s="8" t="s">
        <v>301</v>
      </c>
      <c r="F9576" s="8" t="s">
        <v>2520</v>
      </c>
    </row>
    <row r="9577" spans="1:6" ht="60" x14ac:dyDescent="0.25">
      <c r="A9577" s="8" t="s">
        <v>125</v>
      </c>
      <c r="B9577" s="8" t="s">
        <v>58</v>
      </c>
      <c r="C9577" s="8" t="str">
        <f>IFERROR(_xlfn.XLOOKUP(TRIM(B9577),Lookup!$B$2:$B$1000,Lookup!$C$2:$C$1000),"")</f>
        <v>Equity</v>
      </c>
      <c r="D9577" s="8" t="str">
        <f>IFERROR(INDEX('nav master'!$C:$C, MATCH(B9577, 'nav master'!$B:$B, 0)), "")</f>
        <v>ULIF 145 03/06/21 SustainEqu 105</v>
      </c>
      <c r="E9577" s="8" t="s">
        <v>303</v>
      </c>
      <c r="F9577" s="8" t="s">
        <v>2521</v>
      </c>
    </row>
    <row r="9578" spans="1:6" ht="60" x14ac:dyDescent="0.25">
      <c r="A9578" s="8" t="s">
        <v>125</v>
      </c>
      <c r="B9578" s="8" t="s">
        <v>58</v>
      </c>
      <c r="C9578" s="8" t="str">
        <f>IFERROR(_xlfn.XLOOKUP(TRIM(B9578),Lookup!$B$2:$B$1000,Lookup!$C$2:$C$1000),"")</f>
        <v>Equity</v>
      </c>
      <c r="D9578" s="8" t="str">
        <f>IFERROR(INDEX('nav master'!$C:$C, MATCH(B9578, 'nav master'!$B:$B, 0)), "")</f>
        <v>ULIF 145 03/06/21 SustainEqu 105</v>
      </c>
      <c r="E9578" s="8" t="s">
        <v>305</v>
      </c>
      <c r="F9578" s="8" t="s">
        <v>2522</v>
      </c>
    </row>
    <row r="9579" spans="1:6" ht="60" x14ac:dyDescent="0.25">
      <c r="A9579" s="8" t="s">
        <v>125</v>
      </c>
      <c r="B9579" s="8" t="s">
        <v>58</v>
      </c>
      <c r="C9579" s="8" t="str">
        <f>IFERROR(_xlfn.XLOOKUP(TRIM(B9579),Lookup!$B$2:$B$1000,Lookup!$C$2:$C$1000),"")</f>
        <v>Equity</v>
      </c>
      <c r="D9579" s="8" t="str">
        <f>IFERROR(INDEX('nav master'!$C:$C, MATCH(B9579, 'nav master'!$B:$B, 0)), "")</f>
        <v>ULIF 145 03/06/21 SustainEqu 105</v>
      </c>
      <c r="E9579" s="8" t="s">
        <v>307</v>
      </c>
      <c r="F9579" s="8" t="s">
        <v>2523</v>
      </c>
    </row>
    <row r="9580" spans="1:6" ht="60" x14ac:dyDescent="0.25">
      <c r="A9580" s="8" t="s">
        <v>125</v>
      </c>
      <c r="B9580" s="8" t="s">
        <v>58</v>
      </c>
      <c r="C9580" s="8" t="str">
        <f>IFERROR(_xlfn.XLOOKUP(TRIM(B9580),Lookup!$B$2:$B$1000,Lookup!$C$2:$C$1000),"")</f>
        <v>Equity</v>
      </c>
      <c r="D9580" s="8" t="str">
        <f>IFERROR(INDEX('nav master'!$C:$C, MATCH(B9580, 'nav master'!$B:$B, 0)), "")</f>
        <v>ULIF 145 03/06/21 SustainEqu 105</v>
      </c>
      <c r="E9580" s="8" t="s">
        <v>309</v>
      </c>
      <c r="F9580" s="8" t="s">
        <v>2524</v>
      </c>
    </row>
    <row r="9581" spans="1:6" ht="60" x14ac:dyDescent="0.25">
      <c r="A9581" s="8" t="s">
        <v>125</v>
      </c>
      <c r="B9581" s="8" t="s">
        <v>58</v>
      </c>
      <c r="C9581" s="8" t="str">
        <f>IFERROR(_xlfn.XLOOKUP(TRIM(B9581),Lookup!$B$2:$B$1000,Lookup!$C$2:$C$1000),"")</f>
        <v>Equity</v>
      </c>
      <c r="D9581" s="8" t="str">
        <f>IFERROR(INDEX('nav master'!$C:$C, MATCH(B9581, 'nav master'!$B:$B, 0)), "")</f>
        <v>ULIF 145 03/06/21 SustainEqu 105</v>
      </c>
      <c r="E9581" s="8" t="s">
        <v>311</v>
      </c>
      <c r="F9581" s="8" t="s">
        <v>2525</v>
      </c>
    </row>
    <row r="9582" spans="1:6" ht="60" x14ac:dyDescent="0.25">
      <c r="A9582" s="8" t="s">
        <v>125</v>
      </c>
      <c r="B9582" s="8" t="s">
        <v>58</v>
      </c>
      <c r="C9582" s="8" t="str">
        <f>IFERROR(_xlfn.XLOOKUP(TRIM(B9582),Lookup!$B$2:$B$1000,Lookup!$C$2:$C$1000),"")</f>
        <v>Equity</v>
      </c>
      <c r="D9582" s="8" t="str">
        <f>IFERROR(INDEX('nav master'!$C:$C, MATCH(B9582, 'nav master'!$B:$B, 0)), "")</f>
        <v>ULIF 145 03/06/21 SustainEqu 105</v>
      </c>
      <c r="E9582" s="8" t="s">
        <v>313</v>
      </c>
      <c r="F9582" s="8" t="s">
        <v>2526</v>
      </c>
    </row>
    <row r="9583" spans="1:6" ht="60" x14ac:dyDescent="0.25">
      <c r="A9583" s="8" t="s">
        <v>125</v>
      </c>
      <c r="B9583" s="8" t="s">
        <v>58</v>
      </c>
      <c r="C9583" s="8" t="str">
        <f>IFERROR(_xlfn.XLOOKUP(TRIM(B9583),Lookup!$B$2:$B$1000,Lookup!$C$2:$C$1000),"")</f>
        <v>Equity</v>
      </c>
      <c r="D9583" s="8" t="str">
        <f>IFERROR(INDEX('nav master'!$C:$C, MATCH(B9583, 'nav master'!$B:$B, 0)), "")</f>
        <v>ULIF 145 03/06/21 SustainEqu 105</v>
      </c>
      <c r="E9583" s="8" t="s">
        <v>315</v>
      </c>
      <c r="F9583" s="8" t="s">
        <v>2527</v>
      </c>
    </row>
    <row r="9584" spans="1:6" ht="60" x14ac:dyDescent="0.25">
      <c r="A9584" s="8" t="s">
        <v>125</v>
      </c>
      <c r="B9584" s="8" t="s">
        <v>58</v>
      </c>
      <c r="C9584" s="8" t="str">
        <f>IFERROR(_xlfn.XLOOKUP(TRIM(B9584),Lookup!$B$2:$B$1000,Lookup!$C$2:$C$1000),"")</f>
        <v>Equity</v>
      </c>
      <c r="D9584" s="8" t="str">
        <f>IFERROR(INDEX('nav master'!$C:$C, MATCH(B9584, 'nav master'!$B:$B, 0)), "")</f>
        <v>ULIF 145 03/06/21 SustainEqu 105</v>
      </c>
      <c r="E9584" s="8" t="s">
        <v>317</v>
      </c>
      <c r="F9584" s="8" t="s">
        <v>2528</v>
      </c>
    </row>
    <row r="9585" spans="1:6" ht="60" x14ac:dyDescent="0.25">
      <c r="A9585" s="8" t="s">
        <v>125</v>
      </c>
      <c r="B9585" s="8" t="s">
        <v>58</v>
      </c>
      <c r="C9585" s="8" t="str">
        <f>IFERROR(_xlfn.XLOOKUP(TRIM(B9585),Lookup!$B$2:$B$1000,Lookup!$C$2:$C$1000),"")</f>
        <v>Equity</v>
      </c>
      <c r="D9585" s="8" t="str">
        <f>IFERROR(INDEX('nav master'!$C:$C, MATCH(B9585, 'nav master'!$B:$B, 0)), "")</f>
        <v>ULIF 145 03/06/21 SustainEqu 105</v>
      </c>
      <c r="E9585" s="8" t="s">
        <v>319</v>
      </c>
      <c r="F9585" s="8" t="s">
        <v>2529</v>
      </c>
    </row>
    <row r="9586" spans="1:6" ht="60" x14ac:dyDescent="0.25">
      <c r="A9586" s="8" t="s">
        <v>125</v>
      </c>
      <c r="B9586" s="8" t="s">
        <v>58</v>
      </c>
      <c r="C9586" s="8" t="str">
        <f>IFERROR(_xlfn.XLOOKUP(TRIM(B9586),Lookup!$B$2:$B$1000,Lookup!$C$2:$C$1000),"")</f>
        <v>Equity</v>
      </c>
      <c r="D9586" s="8" t="str">
        <f>IFERROR(INDEX('nav master'!$C:$C, MATCH(B9586, 'nav master'!$B:$B, 0)), "")</f>
        <v>ULIF 145 03/06/21 SustainEqu 105</v>
      </c>
      <c r="E9586" s="8" t="s">
        <v>321</v>
      </c>
      <c r="F9586" s="8" t="s">
        <v>2530</v>
      </c>
    </row>
    <row r="9587" spans="1:6" ht="60" x14ac:dyDescent="0.25">
      <c r="A9587" s="8" t="s">
        <v>125</v>
      </c>
      <c r="B9587" s="8" t="s">
        <v>58</v>
      </c>
      <c r="C9587" s="8" t="str">
        <f>IFERROR(_xlfn.XLOOKUP(TRIM(B9587),Lookup!$B$2:$B$1000,Lookup!$C$2:$C$1000),"")</f>
        <v>Equity</v>
      </c>
      <c r="D9587" s="8" t="str">
        <f>IFERROR(INDEX('nav master'!$C:$C, MATCH(B9587, 'nav master'!$B:$B, 0)), "")</f>
        <v>ULIF 145 03/06/21 SustainEqu 105</v>
      </c>
      <c r="E9587" s="8" t="s">
        <v>323</v>
      </c>
      <c r="F9587" s="8" t="s">
        <v>2531</v>
      </c>
    </row>
    <row r="9588" spans="1:6" ht="60" x14ac:dyDescent="0.25">
      <c r="A9588" s="8" t="s">
        <v>125</v>
      </c>
      <c r="B9588" s="8" t="s">
        <v>58</v>
      </c>
      <c r="C9588" s="8" t="str">
        <f>IFERROR(_xlfn.XLOOKUP(TRIM(B9588),Lookup!$B$2:$B$1000,Lookup!$C$2:$C$1000),"")</f>
        <v>Equity</v>
      </c>
      <c r="D9588" s="8" t="str">
        <f>IFERROR(INDEX('nav master'!$C:$C, MATCH(B9588, 'nav master'!$B:$B, 0)), "")</f>
        <v>ULIF 145 03/06/21 SustainEqu 105</v>
      </c>
      <c r="E9588" s="8" t="s">
        <v>325</v>
      </c>
      <c r="F9588" s="8" t="s">
        <v>2532</v>
      </c>
    </row>
    <row r="9589" spans="1:6" ht="60" x14ac:dyDescent="0.25">
      <c r="A9589" s="8" t="s">
        <v>125</v>
      </c>
      <c r="B9589" s="8" t="s">
        <v>58</v>
      </c>
      <c r="C9589" s="8" t="str">
        <f>IFERROR(_xlfn.XLOOKUP(TRIM(B9589),Lookup!$B$2:$B$1000,Lookup!$C$2:$C$1000),"")</f>
        <v>Equity</v>
      </c>
      <c r="D9589" s="8" t="str">
        <f>IFERROR(INDEX('nav master'!$C:$C, MATCH(B9589, 'nav master'!$B:$B, 0)), "")</f>
        <v>ULIF 145 03/06/21 SustainEqu 105</v>
      </c>
      <c r="E9589" s="8" t="s">
        <v>327</v>
      </c>
      <c r="F9589" s="8" t="s">
        <v>2533</v>
      </c>
    </row>
    <row r="9590" spans="1:6" ht="60" x14ac:dyDescent="0.25">
      <c r="A9590" s="8" t="s">
        <v>125</v>
      </c>
      <c r="B9590" s="8" t="s">
        <v>58</v>
      </c>
      <c r="C9590" s="8" t="str">
        <f>IFERROR(_xlfn.XLOOKUP(TRIM(B9590),Lookup!$B$2:$B$1000,Lookup!$C$2:$C$1000),"")</f>
        <v>Equity</v>
      </c>
      <c r="D9590" s="8" t="str">
        <f>IFERROR(INDEX('nav master'!$C:$C, MATCH(B9590, 'nav master'!$B:$B, 0)), "")</f>
        <v>ULIF 145 03/06/21 SustainEqu 105</v>
      </c>
      <c r="E9590" s="8" t="s">
        <v>329</v>
      </c>
      <c r="F9590" s="8" t="s">
        <v>2534</v>
      </c>
    </row>
    <row r="9591" spans="1:6" ht="60" x14ac:dyDescent="0.25">
      <c r="A9591" s="8" t="s">
        <v>125</v>
      </c>
      <c r="B9591" s="8" t="s">
        <v>58</v>
      </c>
      <c r="C9591" s="8" t="str">
        <f>IFERROR(_xlfn.XLOOKUP(TRIM(B9591),Lookup!$B$2:$B$1000,Lookup!$C$2:$C$1000),"")</f>
        <v>Equity</v>
      </c>
      <c r="D9591" s="8" t="str">
        <f>IFERROR(INDEX('nav master'!$C:$C, MATCH(B9591, 'nav master'!$B:$B, 0)), "")</f>
        <v>ULIF 145 03/06/21 SustainEqu 105</v>
      </c>
      <c r="E9591" s="8" t="s">
        <v>331</v>
      </c>
      <c r="F9591" s="8" t="s">
        <v>2535</v>
      </c>
    </row>
    <row r="9592" spans="1:6" ht="60" x14ac:dyDescent="0.25">
      <c r="A9592" s="8" t="s">
        <v>125</v>
      </c>
      <c r="B9592" s="8" t="s">
        <v>58</v>
      </c>
      <c r="C9592" s="8" t="str">
        <f>IFERROR(_xlfn.XLOOKUP(TRIM(B9592),Lookup!$B$2:$B$1000,Lookup!$C$2:$C$1000),"")</f>
        <v>Equity</v>
      </c>
      <c r="D9592" s="8" t="str">
        <f>IFERROR(INDEX('nav master'!$C:$C, MATCH(B9592, 'nav master'!$B:$B, 0)), "")</f>
        <v>ULIF 145 03/06/21 SustainEqu 105</v>
      </c>
      <c r="E9592" s="8" t="s">
        <v>333</v>
      </c>
      <c r="F9592" s="8" t="s">
        <v>2536</v>
      </c>
    </row>
    <row r="9593" spans="1:6" ht="60" x14ac:dyDescent="0.25">
      <c r="A9593" s="8" t="s">
        <v>125</v>
      </c>
      <c r="B9593" s="8" t="s">
        <v>58</v>
      </c>
      <c r="C9593" s="8" t="str">
        <f>IFERROR(_xlfn.XLOOKUP(TRIM(B9593),Lookup!$B$2:$B$1000,Lookup!$C$2:$C$1000),"")</f>
        <v>Equity</v>
      </c>
      <c r="D9593" s="8" t="str">
        <f>IFERROR(INDEX('nav master'!$C:$C, MATCH(B9593, 'nav master'!$B:$B, 0)), "")</f>
        <v>ULIF 145 03/06/21 SustainEqu 105</v>
      </c>
      <c r="E9593" s="8" t="s">
        <v>335</v>
      </c>
      <c r="F9593" s="8" t="s">
        <v>2537</v>
      </c>
    </row>
    <row r="9594" spans="1:6" ht="60" x14ac:dyDescent="0.25">
      <c r="A9594" s="8" t="s">
        <v>125</v>
      </c>
      <c r="B9594" s="8" t="s">
        <v>58</v>
      </c>
      <c r="C9594" s="8" t="str">
        <f>IFERROR(_xlfn.XLOOKUP(TRIM(B9594),Lookup!$B$2:$B$1000,Lookup!$C$2:$C$1000),"")</f>
        <v>Equity</v>
      </c>
      <c r="D9594" s="8" t="str">
        <f>IFERROR(INDEX('nav master'!$C:$C, MATCH(B9594, 'nav master'!$B:$B, 0)), "")</f>
        <v>ULIF 145 03/06/21 SustainEqu 105</v>
      </c>
      <c r="E9594" s="8" t="s">
        <v>337</v>
      </c>
      <c r="F9594" s="8" t="s">
        <v>2538</v>
      </c>
    </row>
    <row r="9595" spans="1:6" ht="60" x14ac:dyDescent="0.25">
      <c r="A9595" s="8" t="s">
        <v>125</v>
      </c>
      <c r="B9595" s="8" t="s">
        <v>58</v>
      </c>
      <c r="C9595" s="8" t="str">
        <f>IFERROR(_xlfn.XLOOKUP(TRIM(B9595),Lookup!$B$2:$B$1000,Lookup!$C$2:$C$1000),"")</f>
        <v>Equity</v>
      </c>
      <c r="D9595" s="8" t="str">
        <f>IFERROR(INDEX('nav master'!$C:$C, MATCH(B9595, 'nav master'!$B:$B, 0)), "")</f>
        <v>ULIF 145 03/06/21 SustainEqu 105</v>
      </c>
      <c r="E9595" s="8" t="s">
        <v>339</v>
      </c>
      <c r="F9595" s="8" t="s">
        <v>2539</v>
      </c>
    </row>
    <row r="9596" spans="1:6" ht="60" x14ac:dyDescent="0.25">
      <c r="A9596" s="8" t="s">
        <v>125</v>
      </c>
      <c r="B9596" s="8" t="s">
        <v>58</v>
      </c>
      <c r="C9596" s="8" t="str">
        <f>IFERROR(_xlfn.XLOOKUP(TRIM(B9596),Lookup!$B$2:$B$1000,Lookup!$C$2:$C$1000),"")</f>
        <v>Equity</v>
      </c>
      <c r="D9596" s="8" t="str">
        <f>IFERROR(INDEX('nav master'!$C:$C, MATCH(B9596, 'nav master'!$B:$B, 0)), "")</f>
        <v>ULIF 145 03/06/21 SustainEqu 105</v>
      </c>
      <c r="E9596" s="8" t="s">
        <v>341</v>
      </c>
      <c r="F9596" s="8" t="s">
        <v>2540</v>
      </c>
    </row>
    <row r="9597" spans="1:6" ht="60" x14ac:dyDescent="0.25">
      <c r="A9597" s="8" t="s">
        <v>125</v>
      </c>
      <c r="B9597" s="8" t="s">
        <v>58</v>
      </c>
      <c r="C9597" s="8" t="str">
        <f>IFERROR(_xlfn.XLOOKUP(TRIM(B9597),Lookup!$B$2:$B$1000,Lookup!$C$2:$C$1000),"")</f>
        <v>Equity</v>
      </c>
      <c r="D9597" s="8" t="str">
        <f>IFERROR(INDEX('nav master'!$C:$C, MATCH(B9597, 'nav master'!$B:$B, 0)), "")</f>
        <v>ULIF 145 03/06/21 SustainEqu 105</v>
      </c>
      <c r="E9597" s="8" t="s">
        <v>343</v>
      </c>
      <c r="F9597" s="8" t="s">
        <v>2541</v>
      </c>
    </row>
    <row r="9598" spans="1:6" ht="60" x14ac:dyDescent="0.25">
      <c r="A9598" s="8" t="s">
        <v>125</v>
      </c>
      <c r="B9598" s="8" t="s">
        <v>58</v>
      </c>
      <c r="C9598" s="8" t="str">
        <f>IFERROR(_xlfn.XLOOKUP(TRIM(B9598),Lookup!$B$2:$B$1000,Lookup!$C$2:$C$1000),"")</f>
        <v>Equity</v>
      </c>
      <c r="D9598" s="8" t="str">
        <f>IFERROR(INDEX('nav master'!$C:$C, MATCH(B9598, 'nav master'!$B:$B, 0)), "")</f>
        <v>ULIF 145 03/06/21 SustainEqu 105</v>
      </c>
      <c r="E9598" s="8" t="s">
        <v>345</v>
      </c>
      <c r="F9598" s="8" t="s">
        <v>2542</v>
      </c>
    </row>
    <row r="9599" spans="1:6" ht="60" x14ac:dyDescent="0.25">
      <c r="A9599" s="8" t="s">
        <v>125</v>
      </c>
      <c r="B9599" s="8" t="s">
        <v>58</v>
      </c>
      <c r="C9599" s="8" t="str">
        <f>IFERROR(_xlfn.XLOOKUP(TRIM(B9599),Lookup!$B$2:$B$1000,Lookup!$C$2:$C$1000),"")</f>
        <v>Equity</v>
      </c>
      <c r="D9599" s="8" t="str">
        <f>IFERROR(INDEX('nav master'!$C:$C, MATCH(B9599, 'nav master'!$B:$B, 0)), "")</f>
        <v>ULIF 145 03/06/21 SustainEqu 105</v>
      </c>
      <c r="E9599" s="8" t="s">
        <v>347</v>
      </c>
      <c r="F9599" s="8" t="s">
        <v>2543</v>
      </c>
    </row>
    <row r="9600" spans="1:6" ht="60" x14ac:dyDescent="0.25">
      <c r="A9600" s="8" t="s">
        <v>125</v>
      </c>
      <c r="B9600" s="8" t="s">
        <v>58</v>
      </c>
      <c r="C9600" s="8" t="str">
        <f>IFERROR(_xlfn.XLOOKUP(TRIM(B9600),Lookup!$B$2:$B$1000,Lookup!$C$2:$C$1000),"")</f>
        <v>Equity</v>
      </c>
      <c r="D9600" s="8" t="str">
        <f>IFERROR(INDEX('nav master'!$C:$C, MATCH(B9600, 'nav master'!$B:$B, 0)), "")</f>
        <v>ULIF 145 03/06/21 SustainEqu 105</v>
      </c>
      <c r="E9600" s="8" t="s">
        <v>349</v>
      </c>
      <c r="F9600" s="8" t="s">
        <v>2544</v>
      </c>
    </row>
    <row r="9601" spans="1:6" ht="60" x14ac:dyDescent="0.25">
      <c r="A9601" s="8" t="s">
        <v>125</v>
      </c>
      <c r="B9601" s="8" t="s">
        <v>58</v>
      </c>
      <c r="C9601" s="8" t="str">
        <f>IFERROR(_xlfn.XLOOKUP(TRIM(B9601),Lookup!$B$2:$B$1000,Lookup!$C$2:$C$1000),"")</f>
        <v>Equity</v>
      </c>
      <c r="D9601" s="8" t="str">
        <f>IFERROR(INDEX('nav master'!$C:$C, MATCH(B9601, 'nav master'!$B:$B, 0)), "")</f>
        <v>ULIF 145 03/06/21 SustainEqu 105</v>
      </c>
      <c r="E9601" s="8" t="s">
        <v>351</v>
      </c>
      <c r="F9601" s="8" t="s">
        <v>2545</v>
      </c>
    </row>
    <row r="9602" spans="1:6" ht="60" x14ac:dyDescent="0.25">
      <c r="A9602" s="8" t="s">
        <v>125</v>
      </c>
      <c r="B9602" s="8" t="s">
        <v>58</v>
      </c>
      <c r="C9602" s="8" t="str">
        <f>IFERROR(_xlfn.XLOOKUP(TRIM(B9602),Lookup!$B$2:$B$1000,Lookup!$C$2:$C$1000),"")</f>
        <v>Equity</v>
      </c>
      <c r="D9602" s="8" t="str">
        <f>IFERROR(INDEX('nav master'!$C:$C, MATCH(B9602, 'nav master'!$B:$B, 0)), "")</f>
        <v>ULIF 145 03/06/21 SustainEqu 105</v>
      </c>
      <c r="E9602" s="8" t="s">
        <v>353</v>
      </c>
      <c r="F9602" s="8" t="s">
        <v>2546</v>
      </c>
    </row>
    <row r="9603" spans="1:6" ht="60" x14ac:dyDescent="0.25">
      <c r="A9603" s="8" t="s">
        <v>125</v>
      </c>
      <c r="B9603" s="8" t="s">
        <v>58</v>
      </c>
      <c r="C9603" s="8" t="str">
        <f>IFERROR(_xlfn.XLOOKUP(TRIM(B9603),Lookup!$B$2:$B$1000,Lookup!$C$2:$C$1000),"")</f>
        <v>Equity</v>
      </c>
      <c r="D9603" s="8" t="str">
        <f>IFERROR(INDEX('nav master'!$C:$C, MATCH(B9603, 'nav master'!$B:$B, 0)), "")</f>
        <v>ULIF 145 03/06/21 SustainEqu 105</v>
      </c>
      <c r="E9603" s="8" t="s">
        <v>355</v>
      </c>
      <c r="F9603" s="8" t="s">
        <v>2547</v>
      </c>
    </row>
    <row r="9604" spans="1:6" ht="60" x14ac:dyDescent="0.25">
      <c r="A9604" s="8" t="s">
        <v>125</v>
      </c>
      <c r="B9604" s="8" t="s">
        <v>58</v>
      </c>
      <c r="C9604" s="8" t="str">
        <f>IFERROR(_xlfn.XLOOKUP(TRIM(B9604),Lookup!$B$2:$B$1000,Lookup!$C$2:$C$1000),"")</f>
        <v>Equity</v>
      </c>
      <c r="D9604" s="8" t="str">
        <f>IFERROR(INDEX('nav master'!$C:$C, MATCH(B9604, 'nav master'!$B:$B, 0)), "")</f>
        <v>ULIF 145 03/06/21 SustainEqu 105</v>
      </c>
      <c r="E9604" s="8" t="s">
        <v>357</v>
      </c>
      <c r="F9604" s="8" t="s">
        <v>2548</v>
      </c>
    </row>
    <row r="9605" spans="1:6" ht="60" x14ac:dyDescent="0.25">
      <c r="A9605" s="8" t="s">
        <v>125</v>
      </c>
      <c r="B9605" s="8" t="s">
        <v>58</v>
      </c>
      <c r="C9605" s="8" t="str">
        <f>IFERROR(_xlfn.XLOOKUP(TRIM(B9605),Lookup!$B$2:$B$1000,Lookup!$C$2:$C$1000),"")</f>
        <v>Equity</v>
      </c>
      <c r="D9605" s="8" t="str">
        <f>IFERROR(INDEX('nav master'!$C:$C, MATCH(B9605, 'nav master'!$B:$B, 0)), "")</f>
        <v>ULIF 145 03/06/21 SustainEqu 105</v>
      </c>
      <c r="E9605" s="8" t="s">
        <v>359</v>
      </c>
      <c r="F9605" s="8" t="s">
        <v>2549</v>
      </c>
    </row>
    <row r="9606" spans="1:6" ht="60" x14ac:dyDescent="0.25">
      <c r="A9606" s="8" t="s">
        <v>125</v>
      </c>
      <c r="B9606" s="8" t="s">
        <v>58</v>
      </c>
      <c r="C9606" s="8" t="str">
        <f>IFERROR(_xlfn.XLOOKUP(TRIM(B9606),Lookup!$B$2:$B$1000,Lookup!$C$2:$C$1000),"")</f>
        <v>Equity</v>
      </c>
      <c r="D9606" s="8" t="str">
        <f>IFERROR(INDEX('nav master'!$C:$C, MATCH(B9606, 'nav master'!$B:$B, 0)), "")</f>
        <v>ULIF 145 03/06/21 SustainEqu 105</v>
      </c>
      <c r="E9606" s="8" t="s">
        <v>361</v>
      </c>
      <c r="F9606" s="8" t="s">
        <v>2550</v>
      </c>
    </row>
    <row r="9607" spans="1:6" ht="60" x14ac:dyDescent="0.25">
      <c r="A9607" s="8" t="s">
        <v>125</v>
      </c>
      <c r="B9607" s="8" t="s">
        <v>58</v>
      </c>
      <c r="C9607" s="8" t="str">
        <f>IFERROR(_xlfn.XLOOKUP(TRIM(B9607),Lookup!$B$2:$B$1000,Lookup!$C$2:$C$1000),"")</f>
        <v>Equity</v>
      </c>
      <c r="D9607" s="8" t="str">
        <f>IFERROR(INDEX('nav master'!$C:$C, MATCH(B9607, 'nav master'!$B:$B, 0)), "")</f>
        <v>ULIF 145 03/06/21 SustainEqu 105</v>
      </c>
      <c r="E9607" s="8" t="s">
        <v>363</v>
      </c>
      <c r="F9607" s="8" t="s">
        <v>2551</v>
      </c>
    </row>
    <row r="9608" spans="1:6" ht="60" x14ac:dyDescent="0.25">
      <c r="A9608" s="8" t="s">
        <v>125</v>
      </c>
      <c r="B9608" s="8" t="s">
        <v>58</v>
      </c>
      <c r="C9608" s="8" t="str">
        <f>IFERROR(_xlfn.XLOOKUP(TRIM(B9608),Lookup!$B$2:$B$1000,Lookup!$C$2:$C$1000),"")</f>
        <v>Equity</v>
      </c>
      <c r="D9608" s="8" t="str">
        <f>IFERROR(INDEX('nav master'!$C:$C, MATCH(B9608, 'nav master'!$B:$B, 0)), "")</f>
        <v>ULIF 145 03/06/21 SustainEqu 105</v>
      </c>
      <c r="E9608" s="8" t="s">
        <v>365</v>
      </c>
      <c r="F9608" s="8" t="s">
        <v>2552</v>
      </c>
    </row>
    <row r="9609" spans="1:6" ht="60" x14ac:dyDescent="0.25">
      <c r="A9609" s="8" t="s">
        <v>125</v>
      </c>
      <c r="B9609" s="8" t="s">
        <v>58</v>
      </c>
      <c r="C9609" s="8" t="str">
        <f>IFERROR(_xlfn.XLOOKUP(TRIM(B9609),Lookup!$B$2:$B$1000,Lookup!$C$2:$C$1000),"")</f>
        <v>Equity</v>
      </c>
      <c r="D9609" s="8" t="str">
        <f>IFERROR(INDEX('nav master'!$C:$C, MATCH(B9609, 'nav master'!$B:$B, 0)), "")</f>
        <v>ULIF 145 03/06/21 SustainEqu 105</v>
      </c>
      <c r="E9609" s="8" t="s">
        <v>367</v>
      </c>
      <c r="F9609" s="8" t="s">
        <v>2553</v>
      </c>
    </row>
    <row r="9610" spans="1:6" ht="60" x14ac:dyDescent="0.25">
      <c r="A9610" s="8" t="s">
        <v>125</v>
      </c>
      <c r="B9610" s="8" t="s">
        <v>58</v>
      </c>
      <c r="C9610" s="8" t="str">
        <f>IFERROR(_xlfn.XLOOKUP(TRIM(B9610),Lookup!$B$2:$B$1000,Lookup!$C$2:$C$1000),"")</f>
        <v>Equity</v>
      </c>
      <c r="D9610" s="8" t="str">
        <f>IFERROR(INDEX('nav master'!$C:$C, MATCH(B9610, 'nav master'!$B:$B, 0)), "")</f>
        <v>ULIF 145 03/06/21 SustainEqu 105</v>
      </c>
      <c r="E9610" s="8" t="s">
        <v>369</v>
      </c>
      <c r="F9610" s="8" t="s">
        <v>2554</v>
      </c>
    </row>
    <row r="9611" spans="1:6" ht="60" x14ac:dyDescent="0.25">
      <c r="A9611" s="8" t="s">
        <v>125</v>
      </c>
      <c r="B9611" s="8" t="s">
        <v>58</v>
      </c>
      <c r="C9611" s="8" t="str">
        <f>IFERROR(_xlfn.XLOOKUP(TRIM(B9611),Lookup!$B$2:$B$1000,Lookup!$C$2:$C$1000),"")</f>
        <v>Equity</v>
      </c>
      <c r="D9611" s="8" t="str">
        <f>IFERROR(INDEX('nav master'!$C:$C, MATCH(B9611, 'nav master'!$B:$B, 0)), "")</f>
        <v>ULIF 145 03/06/21 SustainEqu 105</v>
      </c>
      <c r="E9611" s="8" t="s">
        <v>371</v>
      </c>
      <c r="F9611" s="8" t="s">
        <v>2555</v>
      </c>
    </row>
    <row r="9612" spans="1:6" ht="60" x14ac:dyDescent="0.25">
      <c r="A9612" s="8" t="s">
        <v>125</v>
      </c>
      <c r="B9612" s="8" t="s">
        <v>58</v>
      </c>
      <c r="C9612" s="8" t="str">
        <f>IFERROR(_xlfn.XLOOKUP(TRIM(B9612),Lookup!$B$2:$B$1000,Lookup!$C$2:$C$1000),"")</f>
        <v>Equity</v>
      </c>
      <c r="D9612" s="8" t="str">
        <f>IFERROR(INDEX('nav master'!$C:$C, MATCH(B9612, 'nav master'!$B:$B, 0)), "")</f>
        <v>ULIF 145 03/06/21 SustainEqu 105</v>
      </c>
      <c r="E9612" s="8" t="s">
        <v>373</v>
      </c>
      <c r="F9612" s="8" t="s">
        <v>2556</v>
      </c>
    </row>
    <row r="9613" spans="1:6" ht="60" x14ac:dyDescent="0.25">
      <c r="A9613" s="8" t="s">
        <v>125</v>
      </c>
      <c r="B9613" s="8" t="s">
        <v>58</v>
      </c>
      <c r="C9613" s="8" t="str">
        <f>IFERROR(_xlfn.XLOOKUP(TRIM(B9613),Lookup!$B$2:$B$1000,Lookup!$C$2:$C$1000),"")</f>
        <v>Equity</v>
      </c>
      <c r="D9613" s="8" t="str">
        <f>IFERROR(INDEX('nav master'!$C:$C, MATCH(B9613, 'nav master'!$B:$B, 0)), "")</f>
        <v>ULIF 145 03/06/21 SustainEqu 105</v>
      </c>
      <c r="E9613" s="8" t="s">
        <v>375</v>
      </c>
      <c r="F9613" s="8" t="s">
        <v>2557</v>
      </c>
    </row>
    <row r="9614" spans="1:6" ht="60" x14ac:dyDescent="0.25">
      <c r="A9614" s="8" t="s">
        <v>125</v>
      </c>
      <c r="B9614" s="8" t="s">
        <v>58</v>
      </c>
      <c r="C9614" s="8" t="str">
        <f>IFERROR(_xlfn.XLOOKUP(TRIM(B9614),Lookup!$B$2:$B$1000,Lookup!$C$2:$C$1000),"")</f>
        <v>Equity</v>
      </c>
      <c r="D9614" s="8" t="str">
        <f>IFERROR(INDEX('nav master'!$C:$C, MATCH(B9614, 'nav master'!$B:$B, 0)), "")</f>
        <v>ULIF 145 03/06/21 SustainEqu 105</v>
      </c>
      <c r="E9614" s="8" t="s">
        <v>377</v>
      </c>
      <c r="F9614" s="8" t="s">
        <v>2558</v>
      </c>
    </row>
    <row r="9615" spans="1:6" ht="60" x14ac:dyDescent="0.25">
      <c r="A9615" s="8" t="s">
        <v>125</v>
      </c>
      <c r="B9615" s="8" t="s">
        <v>58</v>
      </c>
      <c r="C9615" s="8" t="str">
        <f>IFERROR(_xlfn.XLOOKUP(TRIM(B9615),Lookup!$B$2:$B$1000,Lookup!$C$2:$C$1000),"")</f>
        <v>Equity</v>
      </c>
      <c r="D9615" s="8" t="str">
        <f>IFERROR(INDEX('nav master'!$C:$C, MATCH(B9615, 'nav master'!$B:$B, 0)), "")</f>
        <v>ULIF 145 03/06/21 SustainEqu 105</v>
      </c>
      <c r="E9615" s="8" t="s">
        <v>379</v>
      </c>
      <c r="F9615" s="8" t="s">
        <v>2559</v>
      </c>
    </row>
    <row r="9616" spans="1:6" ht="60" x14ac:dyDescent="0.25">
      <c r="A9616" s="8" t="s">
        <v>125</v>
      </c>
      <c r="B9616" s="8" t="s">
        <v>58</v>
      </c>
      <c r="C9616" s="8" t="str">
        <f>IFERROR(_xlfn.XLOOKUP(TRIM(B9616),Lookup!$B$2:$B$1000,Lookup!$C$2:$C$1000),"")</f>
        <v>Equity</v>
      </c>
      <c r="D9616" s="8" t="str">
        <f>IFERROR(INDEX('nav master'!$C:$C, MATCH(B9616, 'nav master'!$B:$B, 0)), "")</f>
        <v>ULIF 145 03/06/21 SustainEqu 105</v>
      </c>
      <c r="E9616" s="8" t="s">
        <v>381</v>
      </c>
      <c r="F9616" s="8" t="s">
        <v>2560</v>
      </c>
    </row>
    <row r="9617" spans="1:6" ht="60" x14ac:dyDescent="0.25">
      <c r="A9617" s="8" t="s">
        <v>125</v>
      </c>
      <c r="B9617" s="8" t="s">
        <v>58</v>
      </c>
      <c r="C9617" s="8" t="str">
        <f>IFERROR(_xlfn.XLOOKUP(TRIM(B9617),Lookup!$B$2:$B$1000,Lookup!$C$2:$C$1000),"")</f>
        <v>Equity</v>
      </c>
      <c r="D9617" s="8" t="str">
        <f>IFERROR(INDEX('nav master'!$C:$C, MATCH(B9617, 'nav master'!$B:$B, 0)), "")</f>
        <v>ULIF 145 03/06/21 SustainEqu 105</v>
      </c>
      <c r="E9617" s="8" t="s">
        <v>383</v>
      </c>
      <c r="F9617" s="8" t="s">
        <v>2561</v>
      </c>
    </row>
    <row r="9618" spans="1:6" ht="60" x14ac:dyDescent="0.25">
      <c r="A9618" s="8" t="s">
        <v>125</v>
      </c>
      <c r="B9618" s="8" t="s">
        <v>58</v>
      </c>
      <c r="C9618" s="8" t="str">
        <f>IFERROR(_xlfn.XLOOKUP(TRIM(B9618),Lookup!$B$2:$B$1000,Lookup!$C$2:$C$1000),"")</f>
        <v>Equity</v>
      </c>
      <c r="D9618" s="8" t="str">
        <f>IFERROR(INDEX('nav master'!$C:$C, MATCH(B9618, 'nav master'!$B:$B, 0)), "")</f>
        <v>ULIF 145 03/06/21 SustainEqu 105</v>
      </c>
      <c r="E9618" s="8" t="s">
        <v>385</v>
      </c>
      <c r="F9618" s="8" t="s">
        <v>2562</v>
      </c>
    </row>
    <row r="9619" spans="1:6" ht="60" x14ac:dyDescent="0.25">
      <c r="A9619" s="8" t="s">
        <v>125</v>
      </c>
      <c r="B9619" s="8" t="s">
        <v>58</v>
      </c>
      <c r="C9619" s="8" t="str">
        <f>IFERROR(_xlfn.XLOOKUP(TRIM(B9619),Lookup!$B$2:$B$1000,Lookup!$C$2:$C$1000),"")</f>
        <v>Equity</v>
      </c>
      <c r="D9619" s="8" t="str">
        <f>IFERROR(INDEX('nav master'!$C:$C, MATCH(B9619, 'nav master'!$B:$B, 0)), "")</f>
        <v>ULIF 145 03/06/21 SustainEqu 105</v>
      </c>
      <c r="E9619" s="8" t="s">
        <v>387</v>
      </c>
      <c r="F9619" s="8" t="s">
        <v>2563</v>
      </c>
    </row>
    <row r="9620" spans="1:6" ht="60" x14ac:dyDescent="0.25">
      <c r="A9620" s="8" t="s">
        <v>125</v>
      </c>
      <c r="B9620" s="8" t="s">
        <v>58</v>
      </c>
      <c r="C9620" s="8" t="str">
        <f>IFERROR(_xlfn.XLOOKUP(TRIM(B9620),Lookup!$B$2:$B$1000,Lookup!$C$2:$C$1000),"")</f>
        <v>Equity</v>
      </c>
      <c r="D9620" s="8" t="str">
        <f>IFERROR(INDEX('nav master'!$C:$C, MATCH(B9620, 'nav master'!$B:$B, 0)), "")</f>
        <v>ULIF 145 03/06/21 SustainEqu 105</v>
      </c>
      <c r="E9620" s="8" t="s">
        <v>389</v>
      </c>
      <c r="F9620" s="8" t="s">
        <v>2564</v>
      </c>
    </row>
    <row r="9621" spans="1:6" ht="60" x14ac:dyDescent="0.25">
      <c r="A9621" s="8" t="s">
        <v>125</v>
      </c>
      <c r="B9621" s="8" t="s">
        <v>58</v>
      </c>
      <c r="C9621" s="8" t="str">
        <f>IFERROR(_xlfn.XLOOKUP(TRIM(B9621),Lookup!$B$2:$B$1000,Lookup!$C$2:$C$1000),"")</f>
        <v>Equity</v>
      </c>
      <c r="D9621" s="8" t="str">
        <f>IFERROR(INDEX('nav master'!$C:$C, MATCH(B9621, 'nav master'!$B:$B, 0)), "")</f>
        <v>ULIF 145 03/06/21 SustainEqu 105</v>
      </c>
      <c r="E9621" s="8" t="s">
        <v>391</v>
      </c>
      <c r="F9621" s="8" t="s">
        <v>2565</v>
      </c>
    </row>
    <row r="9622" spans="1:6" ht="60" x14ac:dyDescent="0.25">
      <c r="A9622" s="8" t="s">
        <v>125</v>
      </c>
      <c r="B9622" s="8" t="s">
        <v>58</v>
      </c>
      <c r="C9622" s="8" t="str">
        <f>IFERROR(_xlfn.XLOOKUP(TRIM(B9622),Lookup!$B$2:$B$1000,Lookup!$C$2:$C$1000),"")</f>
        <v>Equity</v>
      </c>
      <c r="D9622" s="8" t="str">
        <f>IFERROR(INDEX('nav master'!$C:$C, MATCH(B9622, 'nav master'!$B:$B, 0)), "")</f>
        <v>ULIF 145 03/06/21 SustainEqu 105</v>
      </c>
      <c r="E9622" s="8" t="s">
        <v>393</v>
      </c>
      <c r="F9622" s="8" t="s">
        <v>2566</v>
      </c>
    </row>
    <row r="9623" spans="1:6" ht="60" x14ac:dyDescent="0.25">
      <c r="A9623" s="8" t="s">
        <v>125</v>
      </c>
      <c r="B9623" s="8" t="s">
        <v>58</v>
      </c>
      <c r="C9623" s="8" t="str">
        <f>IFERROR(_xlfn.XLOOKUP(TRIM(B9623),Lookup!$B$2:$B$1000,Lookup!$C$2:$C$1000),"")</f>
        <v>Equity</v>
      </c>
      <c r="D9623" s="8" t="str">
        <f>IFERROR(INDEX('nav master'!$C:$C, MATCH(B9623, 'nav master'!$B:$B, 0)), "")</f>
        <v>ULIF 145 03/06/21 SustainEqu 105</v>
      </c>
      <c r="E9623" s="8" t="s">
        <v>395</v>
      </c>
      <c r="F9623" s="8" t="s">
        <v>2567</v>
      </c>
    </row>
    <row r="9624" spans="1:6" ht="60" x14ac:dyDescent="0.25">
      <c r="A9624" s="8" t="s">
        <v>125</v>
      </c>
      <c r="B9624" s="8" t="s">
        <v>58</v>
      </c>
      <c r="C9624" s="8" t="str">
        <f>IFERROR(_xlfn.XLOOKUP(TRIM(B9624),Lookup!$B$2:$B$1000,Lookup!$C$2:$C$1000),"")</f>
        <v>Equity</v>
      </c>
      <c r="D9624" s="8" t="str">
        <f>IFERROR(INDEX('nav master'!$C:$C, MATCH(B9624, 'nav master'!$B:$B, 0)), "")</f>
        <v>ULIF 145 03/06/21 SustainEqu 105</v>
      </c>
      <c r="E9624" s="8" t="s">
        <v>397</v>
      </c>
      <c r="F9624" s="8" t="s">
        <v>2568</v>
      </c>
    </row>
    <row r="9625" spans="1:6" ht="60" x14ac:dyDescent="0.25">
      <c r="A9625" s="8" t="s">
        <v>125</v>
      </c>
      <c r="B9625" s="8" t="s">
        <v>58</v>
      </c>
      <c r="C9625" s="8" t="str">
        <f>IFERROR(_xlfn.XLOOKUP(TRIM(B9625),Lookup!$B$2:$B$1000,Lookup!$C$2:$C$1000),"")</f>
        <v>Equity</v>
      </c>
      <c r="D9625" s="8" t="str">
        <f>IFERROR(INDEX('nav master'!$C:$C, MATCH(B9625, 'nav master'!$B:$B, 0)), "")</f>
        <v>ULIF 145 03/06/21 SustainEqu 105</v>
      </c>
      <c r="E9625" s="8" t="s">
        <v>399</v>
      </c>
      <c r="F9625" s="8" t="s">
        <v>2569</v>
      </c>
    </row>
    <row r="9626" spans="1:6" ht="60" x14ac:dyDescent="0.25">
      <c r="A9626" s="8" t="s">
        <v>125</v>
      </c>
      <c r="B9626" s="8" t="s">
        <v>58</v>
      </c>
      <c r="C9626" s="8" t="str">
        <f>IFERROR(_xlfn.XLOOKUP(TRIM(B9626),Lookup!$B$2:$B$1000,Lookup!$C$2:$C$1000),"")</f>
        <v>Equity</v>
      </c>
      <c r="D9626" s="8" t="str">
        <f>IFERROR(INDEX('nav master'!$C:$C, MATCH(B9626, 'nav master'!$B:$B, 0)), "")</f>
        <v>ULIF 145 03/06/21 SustainEqu 105</v>
      </c>
      <c r="E9626" s="8" t="s">
        <v>401</v>
      </c>
      <c r="F9626" s="8" t="s">
        <v>2570</v>
      </c>
    </row>
    <row r="9627" spans="1:6" ht="60" x14ac:dyDescent="0.25">
      <c r="A9627" s="8" t="s">
        <v>125</v>
      </c>
      <c r="B9627" s="8" t="s">
        <v>58</v>
      </c>
      <c r="C9627" s="8" t="str">
        <f>IFERROR(_xlfn.XLOOKUP(TRIM(B9627),Lookup!$B$2:$B$1000,Lookup!$C$2:$C$1000),"")</f>
        <v>Equity</v>
      </c>
      <c r="D9627" s="8" t="str">
        <f>IFERROR(INDEX('nav master'!$C:$C, MATCH(B9627, 'nav master'!$B:$B, 0)), "")</f>
        <v>ULIF 145 03/06/21 SustainEqu 105</v>
      </c>
      <c r="E9627" s="8" t="s">
        <v>403</v>
      </c>
      <c r="F9627" s="8" t="s">
        <v>2571</v>
      </c>
    </row>
    <row r="9628" spans="1:6" ht="60" x14ac:dyDescent="0.25">
      <c r="A9628" s="8" t="s">
        <v>125</v>
      </c>
      <c r="B9628" s="8" t="s">
        <v>58</v>
      </c>
      <c r="C9628" s="8" t="str">
        <f>IFERROR(_xlfn.XLOOKUP(TRIM(B9628),Lookup!$B$2:$B$1000,Lookup!$C$2:$C$1000),"")</f>
        <v>Equity</v>
      </c>
      <c r="D9628" s="8" t="str">
        <f>IFERROR(INDEX('nav master'!$C:$C, MATCH(B9628, 'nav master'!$B:$B, 0)), "")</f>
        <v>ULIF 145 03/06/21 SustainEqu 105</v>
      </c>
      <c r="E9628" s="8" t="s">
        <v>405</v>
      </c>
      <c r="F9628" s="8" t="s">
        <v>2572</v>
      </c>
    </row>
    <row r="9629" spans="1:6" ht="60" x14ac:dyDescent="0.25">
      <c r="A9629" s="8" t="s">
        <v>125</v>
      </c>
      <c r="B9629" s="8" t="s">
        <v>58</v>
      </c>
      <c r="C9629" s="8" t="str">
        <f>IFERROR(_xlfn.XLOOKUP(TRIM(B9629),Lookup!$B$2:$B$1000,Lookup!$C$2:$C$1000),"")</f>
        <v>Equity</v>
      </c>
      <c r="D9629" s="8" t="str">
        <f>IFERROR(INDEX('nav master'!$C:$C, MATCH(B9629, 'nav master'!$B:$B, 0)), "")</f>
        <v>ULIF 145 03/06/21 SustainEqu 105</v>
      </c>
      <c r="E9629" s="8" t="s">
        <v>407</v>
      </c>
      <c r="F9629" s="8" t="s">
        <v>2573</v>
      </c>
    </row>
    <row r="9630" spans="1:6" ht="60" x14ac:dyDescent="0.25">
      <c r="A9630" s="8" t="s">
        <v>125</v>
      </c>
      <c r="B9630" s="8" t="s">
        <v>58</v>
      </c>
      <c r="C9630" s="8" t="str">
        <f>IFERROR(_xlfn.XLOOKUP(TRIM(B9630),Lookup!$B$2:$B$1000,Lookup!$C$2:$C$1000),"")</f>
        <v>Equity</v>
      </c>
      <c r="D9630" s="8" t="str">
        <f>IFERROR(INDEX('nav master'!$C:$C, MATCH(B9630, 'nav master'!$B:$B, 0)), "")</f>
        <v>ULIF 145 03/06/21 SustainEqu 105</v>
      </c>
      <c r="E9630" s="8" t="s">
        <v>409</v>
      </c>
      <c r="F9630" s="8" t="s">
        <v>2574</v>
      </c>
    </row>
    <row r="9631" spans="1:6" ht="60" x14ac:dyDescent="0.25">
      <c r="A9631" s="8" t="s">
        <v>125</v>
      </c>
      <c r="B9631" s="8" t="s">
        <v>58</v>
      </c>
      <c r="C9631" s="8" t="str">
        <f>IFERROR(_xlfn.XLOOKUP(TRIM(B9631),Lookup!$B$2:$B$1000,Lookup!$C$2:$C$1000),"")</f>
        <v>Equity</v>
      </c>
      <c r="D9631" s="8" t="str">
        <f>IFERROR(INDEX('nav master'!$C:$C, MATCH(B9631, 'nav master'!$B:$B, 0)), "")</f>
        <v>ULIF 145 03/06/21 SustainEqu 105</v>
      </c>
      <c r="E9631" s="8" t="s">
        <v>411</v>
      </c>
      <c r="F9631" s="8" t="s">
        <v>2575</v>
      </c>
    </row>
    <row r="9632" spans="1:6" ht="60" x14ac:dyDescent="0.25">
      <c r="A9632" s="8" t="s">
        <v>125</v>
      </c>
      <c r="B9632" s="8" t="s">
        <v>58</v>
      </c>
      <c r="C9632" s="8" t="str">
        <f>IFERROR(_xlfn.XLOOKUP(TRIM(B9632),Lookup!$B$2:$B$1000,Lookup!$C$2:$C$1000),"")</f>
        <v>Equity</v>
      </c>
      <c r="D9632" s="8" t="str">
        <f>IFERROR(INDEX('nav master'!$C:$C, MATCH(B9632, 'nav master'!$B:$B, 0)), "")</f>
        <v>ULIF 145 03/06/21 SustainEqu 105</v>
      </c>
      <c r="E9632" s="8" t="s">
        <v>413</v>
      </c>
      <c r="F9632" s="8" t="s">
        <v>2576</v>
      </c>
    </row>
    <row r="9633" spans="1:6" ht="60" x14ac:dyDescent="0.25">
      <c r="A9633" s="8" t="s">
        <v>125</v>
      </c>
      <c r="B9633" s="8" t="s">
        <v>58</v>
      </c>
      <c r="C9633" s="8" t="str">
        <f>IFERROR(_xlfn.XLOOKUP(TRIM(B9633),Lookup!$B$2:$B$1000,Lookup!$C$2:$C$1000),"")</f>
        <v>Equity</v>
      </c>
      <c r="D9633" s="8" t="str">
        <f>IFERROR(INDEX('nav master'!$C:$C, MATCH(B9633, 'nav master'!$B:$B, 0)), "")</f>
        <v>ULIF 145 03/06/21 SustainEqu 105</v>
      </c>
      <c r="E9633" s="8" t="s">
        <v>415</v>
      </c>
      <c r="F9633" s="8" t="s">
        <v>2577</v>
      </c>
    </row>
    <row r="9634" spans="1:6" ht="60" x14ac:dyDescent="0.25">
      <c r="A9634" s="8" t="s">
        <v>125</v>
      </c>
      <c r="B9634" s="8" t="s">
        <v>58</v>
      </c>
      <c r="C9634" s="8" t="str">
        <f>IFERROR(_xlfn.XLOOKUP(TRIM(B9634),Lookup!$B$2:$B$1000,Lookup!$C$2:$C$1000),"")</f>
        <v>Equity</v>
      </c>
      <c r="D9634" s="8" t="str">
        <f>IFERROR(INDEX('nav master'!$C:$C, MATCH(B9634, 'nav master'!$B:$B, 0)), "")</f>
        <v>ULIF 145 03/06/21 SustainEqu 105</v>
      </c>
      <c r="E9634" s="8" t="s">
        <v>417</v>
      </c>
      <c r="F9634" s="8" t="s">
        <v>2578</v>
      </c>
    </row>
    <row r="9635" spans="1:6" ht="60" x14ac:dyDescent="0.25">
      <c r="A9635" s="8" t="s">
        <v>125</v>
      </c>
      <c r="B9635" s="8" t="s">
        <v>58</v>
      </c>
      <c r="C9635" s="8" t="str">
        <f>IFERROR(_xlfn.XLOOKUP(TRIM(B9635),Lookup!$B$2:$B$1000,Lookup!$C$2:$C$1000),"")</f>
        <v>Equity</v>
      </c>
      <c r="D9635" s="8" t="str">
        <f>IFERROR(INDEX('nav master'!$C:$C, MATCH(B9635, 'nav master'!$B:$B, 0)), "")</f>
        <v>ULIF 145 03/06/21 SustainEqu 105</v>
      </c>
      <c r="E9635" s="8" t="s">
        <v>419</v>
      </c>
      <c r="F9635" s="8" t="s">
        <v>2579</v>
      </c>
    </row>
    <row r="9636" spans="1:6" ht="60" x14ac:dyDescent="0.25">
      <c r="A9636" s="8" t="s">
        <v>125</v>
      </c>
      <c r="B9636" s="8" t="s">
        <v>58</v>
      </c>
      <c r="C9636" s="8" t="str">
        <f>IFERROR(_xlfn.XLOOKUP(TRIM(B9636),Lookup!$B$2:$B$1000,Lookup!$C$2:$C$1000),"")</f>
        <v>Equity</v>
      </c>
      <c r="D9636" s="8" t="str">
        <f>IFERROR(INDEX('nav master'!$C:$C, MATCH(B9636, 'nav master'!$B:$B, 0)), "")</f>
        <v>ULIF 145 03/06/21 SustainEqu 105</v>
      </c>
      <c r="E9636" s="8" t="s">
        <v>421</v>
      </c>
      <c r="F9636" s="8" t="s">
        <v>2580</v>
      </c>
    </row>
    <row r="9637" spans="1:6" ht="60" x14ac:dyDescent="0.25">
      <c r="A9637" s="8" t="s">
        <v>125</v>
      </c>
      <c r="B9637" s="8" t="s">
        <v>58</v>
      </c>
      <c r="C9637" s="8" t="str">
        <f>IFERROR(_xlfn.XLOOKUP(TRIM(B9637),Lookup!$B$2:$B$1000,Lookup!$C$2:$C$1000),"")</f>
        <v>Equity</v>
      </c>
      <c r="D9637" s="8" t="str">
        <f>IFERROR(INDEX('nav master'!$C:$C, MATCH(B9637, 'nav master'!$B:$B, 0)), "")</f>
        <v>ULIF 145 03/06/21 SustainEqu 105</v>
      </c>
      <c r="E9637" s="8" t="s">
        <v>423</v>
      </c>
      <c r="F9637" s="8" t="s">
        <v>2581</v>
      </c>
    </row>
    <row r="9638" spans="1:6" ht="60" x14ac:dyDescent="0.25">
      <c r="A9638" s="8" t="s">
        <v>125</v>
      </c>
      <c r="B9638" s="8" t="s">
        <v>58</v>
      </c>
      <c r="C9638" s="8" t="str">
        <f>IFERROR(_xlfn.XLOOKUP(TRIM(B9638),Lookup!$B$2:$B$1000,Lookup!$C$2:$C$1000),"")</f>
        <v>Equity</v>
      </c>
      <c r="D9638" s="8" t="str">
        <f>IFERROR(INDEX('nav master'!$C:$C, MATCH(B9638, 'nav master'!$B:$B, 0)), "")</f>
        <v>ULIF 145 03/06/21 SustainEqu 105</v>
      </c>
      <c r="E9638" s="8" t="s">
        <v>425</v>
      </c>
      <c r="F9638" s="8" t="s">
        <v>2582</v>
      </c>
    </row>
    <row r="9639" spans="1:6" ht="60" x14ac:dyDescent="0.25">
      <c r="A9639" s="8" t="s">
        <v>125</v>
      </c>
      <c r="B9639" s="8" t="s">
        <v>58</v>
      </c>
      <c r="C9639" s="8" t="str">
        <f>IFERROR(_xlfn.XLOOKUP(TRIM(B9639),Lookup!$B$2:$B$1000,Lookup!$C$2:$C$1000),"")</f>
        <v>Equity</v>
      </c>
      <c r="D9639" s="8" t="str">
        <f>IFERROR(INDEX('nav master'!$C:$C, MATCH(B9639, 'nav master'!$B:$B, 0)), "")</f>
        <v>ULIF 145 03/06/21 SustainEqu 105</v>
      </c>
      <c r="E9639" s="8" t="s">
        <v>427</v>
      </c>
      <c r="F9639" s="8" t="s">
        <v>2583</v>
      </c>
    </row>
    <row r="9640" spans="1:6" ht="60" x14ac:dyDescent="0.25">
      <c r="A9640" s="8" t="s">
        <v>125</v>
      </c>
      <c r="B9640" s="8" t="s">
        <v>58</v>
      </c>
      <c r="C9640" s="8" t="str">
        <f>IFERROR(_xlfn.XLOOKUP(TRIM(B9640),Lookup!$B$2:$B$1000,Lookup!$C$2:$C$1000),"")</f>
        <v>Equity</v>
      </c>
      <c r="D9640" s="8" t="str">
        <f>IFERROR(INDEX('nav master'!$C:$C, MATCH(B9640, 'nav master'!$B:$B, 0)), "")</f>
        <v>ULIF 145 03/06/21 SustainEqu 105</v>
      </c>
      <c r="E9640" s="8" t="s">
        <v>429</v>
      </c>
      <c r="F9640" s="8" t="s">
        <v>2584</v>
      </c>
    </row>
    <row r="9641" spans="1:6" ht="60" x14ac:dyDescent="0.25">
      <c r="A9641" s="8" t="s">
        <v>125</v>
      </c>
      <c r="B9641" s="8" t="s">
        <v>58</v>
      </c>
      <c r="C9641" s="8" t="str">
        <f>IFERROR(_xlfn.XLOOKUP(TRIM(B9641),Lookup!$B$2:$B$1000,Lookup!$C$2:$C$1000),"")</f>
        <v>Equity</v>
      </c>
      <c r="D9641" s="8" t="str">
        <f>IFERROR(INDEX('nav master'!$C:$C, MATCH(B9641, 'nav master'!$B:$B, 0)), "")</f>
        <v>ULIF 145 03/06/21 SustainEqu 105</v>
      </c>
      <c r="E9641" s="8" t="s">
        <v>431</v>
      </c>
      <c r="F9641" s="8" t="s">
        <v>2585</v>
      </c>
    </row>
    <row r="9642" spans="1:6" ht="60" x14ac:dyDescent="0.25">
      <c r="A9642" s="8" t="s">
        <v>125</v>
      </c>
      <c r="B9642" s="8" t="s">
        <v>58</v>
      </c>
      <c r="C9642" s="8" t="str">
        <f>IFERROR(_xlfn.XLOOKUP(TRIM(B9642),Lookup!$B$2:$B$1000,Lookup!$C$2:$C$1000),"")</f>
        <v>Equity</v>
      </c>
      <c r="D9642" s="8" t="str">
        <f>IFERROR(INDEX('nav master'!$C:$C, MATCH(B9642, 'nav master'!$B:$B, 0)), "")</f>
        <v>ULIF 145 03/06/21 SustainEqu 105</v>
      </c>
      <c r="E9642" s="8" t="s">
        <v>433</v>
      </c>
      <c r="F9642" s="8" t="s">
        <v>2586</v>
      </c>
    </row>
    <row r="9643" spans="1:6" ht="60" x14ac:dyDescent="0.25">
      <c r="A9643" s="8" t="s">
        <v>125</v>
      </c>
      <c r="B9643" s="8" t="s">
        <v>58</v>
      </c>
      <c r="C9643" s="8" t="str">
        <f>IFERROR(_xlfn.XLOOKUP(TRIM(B9643),Lookup!$B$2:$B$1000,Lookup!$C$2:$C$1000),"")</f>
        <v>Equity</v>
      </c>
      <c r="D9643" s="8" t="str">
        <f>IFERROR(INDEX('nav master'!$C:$C, MATCH(B9643, 'nav master'!$B:$B, 0)), "")</f>
        <v>ULIF 145 03/06/21 SustainEqu 105</v>
      </c>
      <c r="E9643" s="8" t="s">
        <v>435</v>
      </c>
      <c r="F9643" s="8" t="s">
        <v>2587</v>
      </c>
    </row>
    <row r="9644" spans="1:6" ht="60" x14ac:dyDescent="0.25">
      <c r="A9644" s="8" t="s">
        <v>125</v>
      </c>
      <c r="B9644" s="8" t="s">
        <v>58</v>
      </c>
      <c r="C9644" s="8" t="str">
        <f>IFERROR(_xlfn.XLOOKUP(TRIM(B9644),Lookup!$B$2:$B$1000,Lookup!$C$2:$C$1000),"")</f>
        <v>Equity</v>
      </c>
      <c r="D9644" s="8" t="str">
        <f>IFERROR(INDEX('nav master'!$C:$C, MATCH(B9644, 'nav master'!$B:$B, 0)), "")</f>
        <v>ULIF 145 03/06/21 SustainEqu 105</v>
      </c>
      <c r="E9644" s="8" t="s">
        <v>437</v>
      </c>
      <c r="F9644" s="8" t="s">
        <v>2588</v>
      </c>
    </row>
    <row r="9645" spans="1:6" ht="60" x14ac:dyDescent="0.25">
      <c r="A9645" s="8" t="s">
        <v>125</v>
      </c>
      <c r="B9645" s="8" t="s">
        <v>58</v>
      </c>
      <c r="C9645" s="8" t="str">
        <f>IFERROR(_xlfn.XLOOKUP(TRIM(B9645),Lookup!$B$2:$B$1000,Lookup!$C$2:$C$1000),"")</f>
        <v>Equity</v>
      </c>
      <c r="D9645" s="8" t="str">
        <f>IFERROR(INDEX('nav master'!$C:$C, MATCH(B9645, 'nav master'!$B:$B, 0)), "")</f>
        <v>ULIF 145 03/06/21 SustainEqu 105</v>
      </c>
      <c r="E9645" s="8" t="s">
        <v>439</v>
      </c>
      <c r="F9645" s="8" t="s">
        <v>2589</v>
      </c>
    </row>
    <row r="9646" spans="1:6" ht="60" x14ac:dyDescent="0.25">
      <c r="A9646" s="8" t="s">
        <v>125</v>
      </c>
      <c r="B9646" s="8" t="s">
        <v>58</v>
      </c>
      <c r="C9646" s="8" t="str">
        <f>IFERROR(_xlfn.XLOOKUP(TRIM(B9646),Lookup!$B$2:$B$1000,Lookup!$C$2:$C$1000),"")</f>
        <v>Equity</v>
      </c>
      <c r="D9646" s="8" t="str">
        <f>IFERROR(INDEX('nav master'!$C:$C, MATCH(B9646, 'nav master'!$B:$B, 0)), "")</f>
        <v>ULIF 145 03/06/21 SustainEqu 105</v>
      </c>
      <c r="E9646" s="8" t="s">
        <v>441</v>
      </c>
      <c r="F9646" s="8" t="s">
        <v>2590</v>
      </c>
    </row>
    <row r="9647" spans="1:6" ht="60" x14ac:dyDescent="0.25">
      <c r="A9647" s="8" t="s">
        <v>125</v>
      </c>
      <c r="B9647" s="8" t="s">
        <v>58</v>
      </c>
      <c r="C9647" s="8" t="str">
        <f>IFERROR(_xlfn.XLOOKUP(TRIM(B9647),Lookup!$B$2:$B$1000,Lookup!$C$2:$C$1000),"")</f>
        <v>Equity</v>
      </c>
      <c r="D9647" s="8" t="str">
        <f>IFERROR(INDEX('nav master'!$C:$C, MATCH(B9647, 'nav master'!$B:$B, 0)), "")</f>
        <v>ULIF 145 03/06/21 SustainEqu 105</v>
      </c>
      <c r="E9647" s="8" t="s">
        <v>443</v>
      </c>
      <c r="F9647" s="8" t="s">
        <v>2591</v>
      </c>
    </row>
    <row r="9648" spans="1:6" ht="60" x14ac:dyDescent="0.25">
      <c r="A9648" s="8" t="s">
        <v>125</v>
      </c>
      <c r="B9648" s="8" t="s">
        <v>58</v>
      </c>
      <c r="C9648" s="8" t="str">
        <f>IFERROR(_xlfn.XLOOKUP(TRIM(B9648),Lookup!$B$2:$B$1000,Lookup!$C$2:$C$1000),"")</f>
        <v>Equity</v>
      </c>
      <c r="D9648" s="8" t="str">
        <f>IFERROR(INDEX('nav master'!$C:$C, MATCH(B9648, 'nav master'!$B:$B, 0)), "")</f>
        <v>ULIF 145 03/06/21 SustainEqu 105</v>
      </c>
      <c r="E9648" s="8" t="s">
        <v>445</v>
      </c>
      <c r="F9648" s="8" t="s">
        <v>2592</v>
      </c>
    </row>
    <row r="9649" spans="1:6" ht="60" x14ac:dyDescent="0.25">
      <c r="A9649" s="8" t="s">
        <v>125</v>
      </c>
      <c r="B9649" s="8" t="s">
        <v>58</v>
      </c>
      <c r="C9649" s="8" t="str">
        <f>IFERROR(_xlfn.XLOOKUP(TRIM(B9649),Lookup!$B$2:$B$1000,Lookup!$C$2:$C$1000),"")</f>
        <v>Equity</v>
      </c>
      <c r="D9649" s="8" t="str">
        <f>IFERROR(INDEX('nav master'!$C:$C, MATCH(B9649, 'nav master'!$B:$B, 0)), "")</f>
        <v>ULIF 145 03/06/21 SustainEqu 105</v>
      </c>
      <c r="E9649" s="8" t="s">
        <v>446</v>
      </c>
      <c r="F9649" s="8" t="s">
        <v>2593</v>
      </c>
    </row>
    <row r="9650" spans="1:6" ht="60" x14ac:dyDescent="0.25">
      <c r="A9650" s="8" t="s">
        <v>125</v>
      </c>
      <c r="B9650" s="8" t="s">
        <v>58</v>
      </c>
      <c r="C9650" s="8" t="str">
        <f>IFERROR(_xlfn.XLOOKUP(TRIM(B9650),Lookup!$B$2:$B$1000,Lookup!$C$2:$C$1000),"")</f>
        <v>Equity</v>
      </c>
      <c r="D9650" s="8" t="str">
        <f>IFERROR(INDEX('nav master'!$C:$C, MATCH(B9650, 'nav master'!$B:$B, 0)), "")</f>
        <v>ULIF 145 03/06/21 SustainEqu 105</v>
      </c>
      <c r="E9650" s="8" t="s">
        <v>448</v>
      </c>
      <c r="F9650" s="8" t="s">
        <v>2594</v>
      </c>
    </row>
    <row r="9651" spans="1:6" ht="60" x14ac:dyDescent="0.25">
      <c r="A9651" s="8" t="s">
        <v>125</v>
      </c>
      <c r="B9651" s="8" t="s">
        <v>58</v>
      </c>
      <c r="C9651" s="8" t="str">
        <f>IFERROR(_xlfn.XLOOKUP(TRIM(B9651),Lookup!$B$2:$B$1000,Lookup!$C$2:$C$1000),"")</f>
        <v>Equity</v>
      </c>
      <c r="D9651" s="8" t="str">
        <f>IFERROR(INDEX('nav master'!$C:$C, MATCH(B9651, 'nav master'!$B:$B, 0)), "")</f>
        <v>ULIF 145 03/06/21 SustainEqu 105</v>
      </c>
      <c r="E9651" s="8" t="s">
        <v>450</v>
      </c>
      <c r="F9651" s="8" t="s">
        <v>2548</v>
      </c>
    </row>
    <row r="9652" spans="1:6" ht="60" x14ac:dyDescent="0.25">
      <c r="A9652" s="8" t="s">
        <v>125</v>
      </c>
      <c r="B9652" s="8" t="s">
        <v>58</v>
      </c>
      <c r="C9652" s="8" t="str">
        <f>IFERROR(_xlfn.XLOOKUP(TRIM(B9652),Lookup!$B$2:$B$1000,Lookup!$C$2:$C$1000),"")</f>
        <v>Equity</v>
      </c>
      <c r="D9652" s="8" t="str">
        <f>IFERROR(INDEX('nav master'!$C:$C, MATCH(B9652, 'nav master'!$B:$B, 0)), "")</f>
        <v>ULIF 145 03/06/21 SustainEqu 105</v>
      </c>
      <c r="E9652" s="8" t="s">
        <v>452</v>
      </c>
      <c r="F9652" s="8" t="s">
        <v>2595</v>
      </c>
    </row>
    <row r="9653" spans="1:6" ht="60" x14ac:dyDescent="0.25">
      <c r="A9653" s="8" t="s">
        <v>125</v>
      </c>
      <c r="B9653" s="8" t="s">
        <v>58</v>
      </c>
      <c r="C9653" s="8" t="str">
        <f>IFERROR(_xlfn.XLOOKUP(TRIM(B9653),Lookup!$B$2:$B$1000,Lookup!$C$2:$C$1000),"")</f>
        <v>Equity</v>
      </c>
      <c r="D9653" s="8" t="str">
        <f>IFERROR(INDEX('nav master'!$C:$C, MATCH(B9653, 'nav master'!$B:$B, 0)), "")</f>
        <v>ULIF 145 03/06/21 SustainEqu 105</v>
      </c>
      <c r="E9653" s="8" t="s">
        <v>454</v>
      </c>
      <c r="F9653" s="8" t="s">
        <v>2596</v>
      </c>
    </row>
    <row r="9654" spans="1:6" ht="60" x14ac:dyDescent="0.25">
      <c r="A9654" s="8" t="s">
        <v>125</v>
      </c>
      <c r="B9654" s="8" t="s">
        <v>58</v>
      </c>
      <c r="C9654" s="8" t="str">
        <f>IFERROR(_xlfn.XLOOKUP(TRIM(B9654),Lookup!$B$2:$B$1000,Lookup!$C$2:$C$1000),"")</f>
        <v>Equity</v>
      </c>
      <c r="D9654" s="8" t="str">
        <f>IFERROR(INDEX('nav master'!$C:$C, MATCH(B9654, 'nav master'!$B:$B, 0)), "")</f>
        <v>ULIF 145 03/06/21 SustainEqu 105</v>
      </c>
      <c r="E9654" s="8" t="s">
        <v>456</v>
      </c>
      <c r="F9654" s="8" t="s">
        <v>2597</v>
      </c>
    </row>
    <row r="9655" spans="1:6" ht="60" x14ac:dyDescent="0.25">
      <c r="A9655" s="8" t="s">
        <v>125</v>
      </c>
      <c r="B9655" s="8" t="s">
        <v>58</v>
      </c>
      <c r="C9655" s="8" t="str">
        <f>IFERROR(_xlfn.XLOOKUP(TRIM(B9655),Lookup!$B$2:$B$1000,Lookup!$C$2:$C$1000),"")</f>
        <v>Equity</v>
      </c>
      <c r="D9655" s="8" t="str">
        <f>IFERROR(INDEX('nav master'!$C:$C, MATCH(B9655, 'nav master'!$B:$B, 0)), "")</f>
        <v>ULIF 145 03/06/21 SustainEqu 105</v>
      </c>
      <c r="E9655" s="8" t="s">
        <v>458</v>
      </c>
      <c r="F9655" s="8" t="s">
        <v>2598</v>
      </c>
    </row>
    <row r="9656" spans="1:6" ht="60" x14ac:dyDescent="0.25">
      <c r="A9656" s="8" t="s">
        <v>125</v>
      </c>
      <c r="B9656" s="8" t="s">
        <v>58</v>
      </c>
      <c r="C9656" s="8" t="str">
        <f>IFERROR(_xlfn.XLOOKUP(TRIM(B9656),Lookup!$B$2:$B$1000,Lookup!$C$2:$C$1000),"")</f>
        <v>Equity</v>
      </c>
      <c r="D9656" s="8" t="str">
        <f>IFERROR(INDEX('nav master'!$C:$C, MATCH(B9656, 'nav master'!$B:$B, 0)), "")</f>
        <v>ULIF 145 03/06/21 SustainEqu 105</v>
      </c>
      <c r="E9656" s="8" t="s">
        <v>460</v>
      </c>
      <c r="F9656" s="8" t="s">
        <v>2556</v>
      </c>
    </row>
    <row r="9657" spans="1:6" ht="60" x14ac:dyDescent="0.25">
      <c r="A9657" s="8" t="s">
        <v>125</v>
      </c>
      <c r="B9657" s="8" t="s">
        <v>58</v>
      </c>
      <c r="C9657" s="8" t="str">
        <f>IFERROR(_xlfn.XLOOKUP(TRIM(B9657),Lookup!$B$2:$B$1000,Lookup!$C$2:$C$1000),"")</f>
        <v>Equity</v>
      </c>
      <c r="D9657" s="8" t="str">
        <f>IFERROR(INDEX('nav master'!$C:$C, MATCH(B9657, 'nav master'!$B:$B, 0)), "")</f>
        <v>ULIF 145 03/06/21 SustainEqu 105</v>
      </c>
      <c r="E9657" s="8" t="s">
        <v>462</v>
      </c>
      <c r="F9657" s="8" t="s">
        <v>2599</v>
      </c>
    </row>
    <row r="9658" spans="1:6" ht="60" x14ac:dyDescent="0.25">
      <c r="A9658" s="8" t="s">
        <v>125</v>
      </c>
      <c r="B9658" s="8" t="s">
        <v>58</v>
      </c>
      <c r="C9658" s="8" t="str">
        <f>IFERROR(_xlfn.XLOOKUP(TRIM(B9658),Lookup!$B$2:$B$1000,Lookup!$C$2:$C$1000),"")</f>
        <v>Equity</v>
      </c>
      <c r="D9658" s="8" t="str">
        <f>IFERROR(INDEX('nav master'!$C:$C, MATCH(B9658, 'nav master'!$B:$B, 0)), "")</f>
        <v>ULIF 145 03/06/21 SustainEqu 105</v>
      </c>
      <c r="E9658" s="8" t="s">
        <v>464</v>
      </c>
      <c r="F9658" s="8" t="s">
        <v>2600</v>
      </c>
    </row>
    <row r="9659" spans="1:6" ht="60" x14ac:dyDescent="0.25">
      <c r="A9659" s="8" t="s">
        <v>125</v>
      </c>
      <c r="B9659" s="8" t="s">
        <v>58</v>
      </c>
      <c r="C9659" s="8" t="str">
        <f>IFERROR(_xlfn.XLOOKUP(TRIM(B9659),Lookup!$B$2:$B$1000,Lookup!$C$2:$C$1000),"")</f>
        <v>Equity</v>
      </c>
      <c r="D9659" s="8" t="str">
        <f>IFERROR(INDEX('nav master'!$C:$C, MATCH(B9659, 'nav master'!$B:$B, 0)), "")</f>
        <v>ULIF 145 03/06/21 SustainEqu 105</v>
      </c>
      <c r="E9659" s="8" t="s">
        <v>466</v>
      </c>
      <c r="F9659" s="8" t="s">
        <v>2601</v>
      </c>
    </row>
    <row r="9660" spans="1:6" ht="60" x14ac:dyDescent="0.25">
      <c r="A9660" s="8" t="s">
        <v>125</v>
      </c>
      <c r="B9660" s="8" t="s">
        <v>58</v>
      </c>
      <c r="C9660" s="8" t="str">
        <f>IFERROR(_xlfn.XLOOKUP(TRIM(B9660),Lookup!$B$2:$B$1000,Lookup!$C$2:$C$1000),"")</f>
        <v>Equity</v>
      </c>
      <c r="D9660" s="8" t="str">
        <f>IFERROR(INDEX('nav master'!$C:$C, MATCH(B9660, 'nav master'!$B:$B, 0)), "")</f>
        <v>ULIF 145 03/06/21 SustainEqu 105</v>
      </c>
      <c r="E9660" s="8" t="s">
        <v>468</v>
      </c>
      <c r="F9660" s="8" t="s">
        <v>2602</v>
      </c>
    </row>
    <row r="9661" spans="1:6" ht="60" x14ac:dyDescent="0.25">
      <c r="A9661" s="8" t="s">
        <v>125</v>
      </c>
      <c r="B9661" s="8" t="s">
        <v>58</v>
      </c>
      <c r="C9661" s="8" t="str">
        <f>IFERROR(_xlfn.XLOOKUP(TRIM(B9661),Lookup!$B$2:$B$1000,Lookup!$C$2:$C$1000),"")</f>
        <v>Equity</v>
      </c>
      <c r="D9661" s="8" t="str">
        <f>IFERROR(INDEX('nav master'!$C:$C, MATCH(B9661, 'nav master'!$B:$B, 0)), "")</f>
        <v>ULIF 145 03/06/21 SustainEqu 105</v>
      </c>
      <c r="E9661" s="8" t="s">
        <v>470</v>
      </c>
      <c r="F9661" s="8" t="s">
        <v>2603</v>
      </c>
    </row>
    <row r="9662" spans="1:6" ht="60" x14ac:dyDescent="0.25">
      <c r="A9662" s="8" t="s">
        <v>125</v>
      </c>
      <c r="B9662" s="8" t="s">
        <v>58</v>
      </c>
      <c r="C9662" s="8" t="str">
        <f>IFERROR(_xlfn.XLOOKUP(TRIM(B9662),Lookup!$B$2:$B$1000,Lookup!$C$2:$C$1000),"")</f>
        <v>Equity</v>
      </c>
      <c r="D9662" s="8" t="str">
        <f>IFERROR(INDEX('nav master'!$C:$C, MATCH(B9662, 'nav master'!$B:$B, 0)), "")</f>
        <v>ULIF 145 03/06/21 SustainEqu 105</v>
      </c>
      <c r="E9662" s="8" t="s">
        <v>472</v>
      </c>
      <c r="F9662" s="8" t="s">
        <v>2604</v>
      </c>
    </row>
    <row r="9663" spans="1:6" ht="60" x14ac:dyDescent="0.25">
      <c r="A9663" s="8" t="s">
        <v>125</v>
      </c>
      <c r="B9663" s="8" t="s">
        <v>58</v>
      </c>
      <c r="C9663" s="8" t="str">
        <f>IFERROR(_xlfn.XLOOKUP(TRIM(B9663),Lookup!$B$2:$B$1000,Lookup!$C$2:$C$1000),"")</f>
        <v>Equity</v>
      </c>
      <c r="D9663" s="8" t="str">
        <f>IFERROR(INDEX('nav master'!$C:$C, MATCH(B9663, 'nav master'!$B:$B, 0)), "")</f>
        <v>ULIF 145 03/06/21 SustainEqu 105</v>
      </c>
      <c r="E9663" s="8" t="s">
        <v>474</v>
      </c>
      <c r="F9663" s="8" t="s">
        <v>2494</v>
      </c>
    </row>
    <row r="9664" spans="1:6" ht="60" x14ac:dyDescent="0.25">
      <c r="A9664" s="8" t="s">
        <v>125</v>
      </c>
      <c r="B9664" s="8" t="s">
        <v>58</v>
      </c>
      <c r="C9664" s="8" t="str">
        <f>IFERROR(_xlfn.XLOOKUP(TRIM(B9664),Lookup!$B$2:$B$1000,Lookup!$C$2:$C$1000),"")</f>
        <v>Equity</v>
      </c>
      <c r="D9664" s="8" t="str">
        <f>IFERROR(INDEX('nav master'!$C:$C, MATCH(B9664, 'nav master'!$B:$B, 0)), "")</f>
        <v>ULIF 145 03/06/21 SustainEqu 105</v>
      </c>
      <c r="E9664" s="8" t="s">
        <v>476</v>
      </c>
      <c r="F9664" s="8" t="s">
        <v>2605</v>
      </c>
    </row>
    <row r="9665" spans="1:6" ht="60" x14ac:dyDescent="0.25">
      <c r="A9665" s="8" t="s">
        <v>125</v>
      </c>
      <c r="B9665" s="8" t="s">
        <v>58</v>
      </c>
      <c r="C9665" s="8" t="str">
        <f>IFERROR(_xlfn.XLOOKUP(TRIM(B9665),Lookup!$B$2:$B$1000,Lookup!$C$2:$C$1000),"")</f>
        <v>Equity</v>
      </c>
      <c r="D9665" s="8" t="str">
        <f>IFERROR(INDEX('nav master'!$C:$C, MATCH(B9665, 'nav master'!$B:$B, 0)), "")</f>
        <v>ULIF 145 03/06/21 SustainEqu 105</v>
      </c>
      <c r="E9665" s="8" t="s">
        <v>478</v>
      </c>
      <c r="F9665" s="8" t="s">
        <v>2606</v>
      </c>
    </row>
    <row r="9666" spans="1:6" ht="60" x14ac:dyDescent="0.25">
      <c r="A9666" s="8" t="s">
        <v>125</v>
      </c>
      <c r="B9666" s="8" t="s">
        <v>58</v>
      </c>
      <c r="C9666" s="8" t="str">
        <f>IFERROR(_xlfn.XLOOKUP(TRIM(B9666),Lookup!$B$2:$B$1000,Lookup!$C$2:$C$1000),"")</f>
        <v>Equity</v>
      </c>
      <c r="D9666" s="8" t="str">
        <f>IFERROR(INDEX('nav master'!$C:$C, MATCH(B9666, 'nav master'!$B:$B, 0)), "")</f>
        <v>ULIF 145 03/06/21 SustainEqu 105</v>
      </c>
      <c r="E9666" s="8" t="s">
        <v>480</v>
      </c>
      <c r="F9666" s="8" t="s">
        <v>2607</v>
      </c>
    </row>
    <row r="9667" spans="1:6" ht="60" x14ac:dyDescent="0.25">
      <c r="A9667" s="8" t="s">
        <v>125</v>
      </c>
      <c r="B9667" s="8" t="s">
        <v>58</v>
      </c>
      <c r="C9667" s="8" t="str">
        <f>IFERROR(_xlfn.XLOOKUP(TRIM(B9667),Lookup!$B$2:$B$1000,Lookup!$C$2:$C$1000),"")</f>
        <v>Equity</v>
      </c>
      <c r="D9667" s="8" t="str">
        <f>IFERROR(INDEX('nav master'!$C:$C, MATCH(B9667, 'nav master'!$B:$B, 0)), "")</f>
        <v>ULIF 145 03/06/21 SustainEqu 105</v>
      </c>
      <c r="E9667" s="8" t="s">
        <v>482</v>
      </c>
      <c r="F9667" s="8" t="s">
        <v>2608</v>
      </c>
    </row>
    <row r="9668" spans="1:6" ht="60" x14ac:dyDescent="0.25">
      <c r="A9668" s="8" t="s">
        <v>125</v>
      </c>
      <c r="B9668" s="8" t="s">
        <v>58</v>
      </c>
      <c r="C9668" s="8" t="str">
        <f>IFERROR(_xlfn.XLOOKUP(TRIM(B9668),Lookup!$B$2:$B$1000,Lookup!$C$2:$C$1000),"")</f>
        <v>Equity</v>
      </c>
      <c r="D9668" s="8" t="str">
        <f>IFERROR(INDEX('nav master'!$C:$C, MATCH(B9668, 'nav master'!$B:$B, 0)), "")</f>
        <v>ULIF 145 03/06/21 SustainEqu 105</v>
      </c>
      <c r="E9668" s="8" t="s">
        <v>484</v>
      </c>
      <c r="F9668" s="8" t="s">
        <v>2609</v>
      </c>
    </row>
    <row r="9669" spans="1:6" ht="60" x14ac:dyDescent="0.25">
      <c r="A9669" s="8" t="s">
        <v>125</v>
      </c>
      <c r="B9669" s="8" t="s">
        <v>58</v>
      </c>
      <c r="C9669" s="8" t="str">
        <f>IFERROR(_xlfn.XLOOKUP(TRIM(B9669),Lookup!$B$2:$B$1000,Lookup!$C$2:$C$1000),"")</f>
        <v>Equity</v>
      </c>
      <c r="D9669" s="8" t="str">
        <f>IFERROR(INDEX('nav master'!$C:$C, MATCH(B9669, 'nav master'!$B:$B, 0)), "")</f>
        <v>ULIF 145 03/06/21 SustainEqu 105</v>
      </c>
      <c r="E9669" s="8" t="s">
        <v>486</v>
      </c>
      <c r="F9669" s="8" t="s">
        <v>2610</v>
      </c>
    </row>
    <row r="9670" spans="1:6" ht="60" x14ac:dyDescent="0.25">
      <c r="A9670" s="8" t="s">
        <v>125</v>
      </c>
      <c r="B9670" s="8" t="s">
        <v>58</v>
      </c>
      <c r="C9670" s="8" t="str">
        <f>IFERROR(_xlfn.XLOOKUP(TRIM(B9670),Lookup!$B$2:$B$1000,Lookup!$C$2:$C$1000),"")</f>
        <v>Equity</v>
      </c>
      <c r="D9670" s="8" t="str">
        <f>IFERROR(INDEX('nav master'!$C:$C, MATCH(B9670, 'nav master'!$B:$B, 0)), "")</f>
        <v>ULIF 145 03/06/21 SustainEqu 105</v>
      </c>
      <c r="E9670" s="8" t="s">
        <v>488</v>
      </c>
      <c r="F9670" s="8" t="s">
        <v>2611</v>
      </c>
    </row>
    <row r="9671" spans="1:6" ht="60" x14ac:dyDescent="0.25">
      <c r="A9671" s="8" t="s">
        <v>125</v>
      </c>
      <c r="B9671" s="8" t="s">
        <v>58</v>
      </c>
      <c r="C9671" s="8" t="str">
        <f>IFERROR(_xlfn.XLOOKUP(TRIM(B9671),Lookup!$B$2:$B$1000,Lookup!$C$2:$C$1000),"")</f>
        <v>Equity</v>
      </c>
      <c r="D9671" s="8" t="str">
        <f>IFERROR(INDEX('nav master'!$C:$C, MATCH(B9671, 'nav master'!$B:$B, 0)), "")</f>
        <v>ULIF 145 03/06/21 SustainEqu 105</v>
      </c>
      <c r="E9671" s="8" t="s">
        <v>490</v>
      </c>
      <c r="F9671" s="8" t="s">
        <v>2612</v>
      </c>
    </row>
    <row r="9672" spans="1:6" ht="60" x14ac:dyDescent="0.25">
      <c r="A9672" s="8" t="s">
        <v>125</v>
      </c>
      <c r="B9672" s="8" t="s">
        <v>58</v>
      </c>
      <c r="C9672" s="8" t="str">
        <f>IFERROR(_xlfn.XLOOKUP(TRIM(B9672),Lookup!$B$2:$B$1000,Lookup!$C$2:$C$1000),"")</f>
        <v>Equity</v>
      </c>
      <c r="D9672" s="8" t="str">
        <f>IFERROR(INDEX('nav master'!$C:$C, MATCH(B9672, 'nav master'!$B:$B, 0)), "")</f>
        <v>ULIF 145 03/06/21 SustainEqu 105</v>
      </c>
      <c r="E9672" s="8" t="s">
        <v>492</v>
      </c>
      <c r="F9672" s="8" t="s">
        <v>2613</v>
      </c>
    </row>
    <row r="9673" spans="1:6" ht="60" x14ac:dyDescent="0.25">
      <c r="A9673" s="8" t="s">
        <v>125</v>
      </c>
      <c r="B9673" s="8" t="s">
        <v>58</v>
      </c>
      <c r="C9673" s="8" t="str">
        <f>IFERROR(_xlfn.XLOOKUP(TRIM(B9673),Lookup!$B$2:$B$1000,Lookup!$C$2:$C$1000),"")</f>
        <v>Equity</v>
      </c>
      <c r="D9673" s="8" t="str">
        <f>IFERROR(INDEX('nav master'!$C:$C, MATCH(B9673, 'nav master'!$B:$B, 0)), "")</f>
        <v>ULIF 145 03/06/21 SustainEqu 105</v>
      </c>
      <c r="E9673" s="8" t="s">
        <v>494</v>
      </c>
      <c r="F9673" s="8" t="s">
        <v>2614</v>
      </c>
    </row>
    <row r="9674" spans="1:6" ht="60" x14ac:dyDescent="0.25">
      <c r="A9674" s="8" t="s">
        <v>125</v>
      </c>
      <c r="B9674" s="8" t="s">
        <v>58</v>
      </c>
      <c r="C9674" s="8" t="str">
        <f>IFERROR(_xlfn.XLOOKUP(TRIM(B9674),Lookup!$B$2:$B$1000,Lookup!$C$2:$C$1000),"")</f>
        <v>Equity</v>
      </c>
      <c r="D9674" s="8" t="str">
        <f>IFERROR(INDEX('nav master'!$C:$C, MATCH(B9674, 'nav master'!$B:$B, 0)), "")</f>
        <v>ULIF 145 03/06/21 SustainEqu 105</v>
      </c>
      <c r="E9674" s="8" t="s">
        <v>496</v>
      </c>
      <c r="F9674" s="8" t="s">
        <v>2615</v>
      </c>
    </row>
    <row r="9675" spans="1:6" ht="60" x14ac:dyDescent="0.25">
      <c r="A9675" s="8" t="s">
        <v>125</v>
      </c>
      <c r="B9675" s="8" t="s">
        <v>58</v>
      </c>
      <c r="C9675" s="8" t="str">
        <f>IFERROR(_xlfn.XLOOKUP(TRIM(B9675),Lookup!$B$2:$B$1000,Lookup!$C$2:$C$1000),"")</f>
        <v>Equity</v>
      </c>
      <c r="D9675" s="8" t="str">
        <f>IFERROR(INDEX('nav master'!$C:$C, MATCH(B9675, 'nav master'!$B:$B, 0)), "")</f>
        <v>ULIF 145 03/06/21 SustainEqu 105</v>
      </c>
      <c r="E9675" s="8" t="s">
        <v>498</v>
      </c>
      <c r="F9675" s="8" t="s">
        <v>2616</v>
      </c>
    </row>
    <row r="9676" spans="1:6" ht="60" x14ac:dyDescent="0.25">
      <c r="A9676" s="8" t="s">
        <v>125</v>
      </c>
      <c r="B9676" s="8" t="s">
        <v>58</v>
      </c>
      <c r="C9676" s="8" t="str">
        <f>IFERROR(_xlfn.XLOOKUP(TRIM(B9676),Lookup!$B$2:$B$1000,Lookup!$C$2:$C$1000),"")</f>
        <v>Equity</v>
      </c>
      <c r="D9676" s="8" t="str">
        <f>IFERROR(INDEX('nav master'!$C:$C, MATCH(B9676, 'nav master'!$B:$B, 0)), "")</f>
        <v>ULIF 145 03/06/21 SustainEqu 105</v>
      </c>
      <c r="E9676" s="8" t="s">
        <v>500</v>
      </c>
      <c r="F9676" s="8" t="s">
        <v>2617</v>
      </c>
    </row>
    <row r="9677" spans="1:6" ht="60" x14ac:dyDescent="0.25">
      <c r="A9677" s="8" t="s">
        <v>125</v>
      </c>
      <c r="B9677" s="8" t="s">
        <v>58</v>
      </c>
      <c r="C9677" s="8" t="str">
        <f>IFERROR(_xlfn.XLOOKUP(TRIM(B9677),Lookup!$B$2:$B$1000,Lookup!$C$2:$C$1000),"")</f>
        <v>Equity</v>
      </c>
      <c r="D9677" s="8" t="str">
        <f>IFERROR(INDEX('nav master'!$C:$C, MATCH(B9677, 'nav master'!$B:$B, 0)), "")</f>
        <v>ULIF 145 03/06/21 SustainEqu 105</v>
      </c>
      <c r="E9677" s="8" t="s">
        <v>502</v>
      </c>
      <c r="F9677" s="8" t="s">
        <v>2618</v>
      </c>
    </row>
    <row r="9678" spans="1:6" ht="60" x14ac:dyDescent="0.25">
      <c r="A9678" s="8" t="s">
        <v>125</v>
      </c>
      <c r="B9678" s="8" t="s">
        <v>58</v>
      </c>
      <c r="C9678" s="8" t="str">
        <f>IFERROR(_xlfn.XLOOKUP(TRIM(B9678),Lookup!$B$2:$B$1000,Lookup!$C$2:$C$1000),"")</f>
        <v>Equity</v>
      </c>
      <c r="D9678" s="8" t="str">
        <f>IFERROR(INDEX('nav master'!$C:$C, MATCH(B9678, 'nav master'!$B:$B, 0)), "")</f>
        <v>ULIF 145 03/06/21 SustainEqu 105</v>
      </c>
      <c r="E9678" s="8" t="s">
        <v>504</v>
      </c>
      <c r="F9678" s="8" t="s">
        <v>2619</v>
      </c>
    </row>
    <row r="9679" spans="1:6" ht="60" x14ac:dyDescent="0.25">
      <c r="A9679" s="8" t="s">
        <v>125</v>
      </c>
      <c r="B9679" s="8" t="s">
        <v>58</v>
      </c>
      <c r="C9679" s="8" t="str">
        <f>IFERROR(_xlfn.XLOOKUP(TRIM(B9679),Lookup!$B$2:$B$1000,Lookup!$C$2:$C$1000),"")</f>
        <v>Equity</v>
      </c>
      <c r="D9679" s="8" t="str">
        <f>IFERROR(INDEX('nav master'!$C:$C, MATCH(B9679, 'nav master'!$B:$B, 0)), "")</f>
        <v>ULIF 145 03/06/21 SustainEqu 105</v>
      </c>
      <c r="E9679" s="8" t="s">
        <v>506</v>
      </c>
      <c r="F9679" s="8" t="s">
        <v>2620</v>
      </c>
    </row>
    <row r="9680" spans="1:6" ht="60" x14ac:dyDescent="0.25">
      <c r="A9680" s="8" t="s">
        <v>125</v>
      </c>
      <c r="B9680" s="8" t="s">
        <v>58</v>
      </c>
      <c r="C9680" s="8" t="str">
        <f>IFERROR(_xlfn.XLOOKUP(TRIM(B9680),Lookup!$B$2:$B$1000,Lookup!$C$2:$C$1000),"")</f>
        <v>Equity</v>
      </c>
      <c r="D9680" s="8" t="str">
        <f>IFERROR(INDEX('nav master'!$C:$C, MATCH(B9680, 'nav master'!$B:$B, 0)), "")</f>
        <v>ULIF 145 03/06/21 SustainEqu 105</v>
      </c>
      <c r="E9680" s="8" t="s">
        <v>508</v>
      </c>
      <c r="F9680" s="8" t="s">
        <v>2621</v>
      </c>
    </row>
    <row r="9681" spans="1:6" ht="60" x14ac:dyDescent="0.25">
      <c r="A9681" s="8" t="s">
        <v>125</v>
      </c>
      <c r="B9681" s="8" t="s">
        <v>58</v>
      </c>
      <c r="C9681" s="8" t="str">
        <f>IFERROR(_xlfn.XLOOKUP(TRIM(B9681),Lookup!$B$2:$B$1000,Lookup!$C$2:$C$1000),"")</f>
        <v>Equity</v>
      </c>
      <c r="D9681" s="8" t="str">
        <f>IFERROR(INDEX('nav master'!$C:$C, MATCH(B9681, 'nav master'!$B:$B, 0)), "")</f>
        <v>ULIF 145 03/06/21 SustainEqu 105</v>
      </c>
      <c r="E9681" s="8" t="s">
        <v>510</v>
      </c>
      <c r="F9681" s="8" t="s">
        <v>2622</v>
      </c>
    </row>
    <row r="9682" spans="1:6" ht="60" x14ac:dyDescent="0.25">
      <c r="A9682" s="8" t="s">
        <v>125</v>
      </c>
      <c r="B9682" s="8" t="s">
        <v>58</v>
      </c>
      <c r="C9682" s="8" t="str">
        <f>IFERROR(_xlfn.XLOOKUP(TRIM(B9682),Lookup!$B$2:$B$1000,Lookup!$C$2:$C$1000),"")</f>
        <v>Equity</v>
      </c>
      <c r="D9682" s="8" t="str">
        <f>IFERROR(INDEX('nav master'!$C:$C, MATCH(B9682, 'nav master'!$B:$B, 0)), "")</f>
        <v>ULIF 145 03/06/21 SustainEqu 105</v>
      </c>
      <c r="E9682" s="8" t="s">
        <v>512</v>
      </c>
      <c r="F9682" s="8" t="s">
        <v>2623</v>
      </c>
    </row>
    <row r="9683" spans="1:6" ht="60" x14ac:dyDescent="0.25">
      <c r="A9683" s="8" t="s">
        <v>125</v>
      </c>
      <c r="B9683" s="8" t="s">
        <v>58</v>
      </c>
      <c r="C9683" s="8" t="str">
        <f>IFERROR(_xlfn.XLOOKUP(TRIM(B9683),Lookup!$B$2:$B$1000,Lookup!$C$2:$C$1000),"")</f>
        <v>Equity</v>
      </c>
      <c r="D9683" s="8" t="str">
        <f>IFERROR(INDEX('nav master'!$C:$C, MATCH(B9683, 'nav master'!$B:$B, 0)), "")</f>
        <v>ULIF 145 03/06/21 SustainEqu 105</v>
      </c>
      <c r="E9683" s="8" t="s">
        <v>514</v>
      </c>
      <c r="F9683" s="8" t="s">
        <v>2624</v>
      </c>
    </row>
    <row r="9684" spans="1:6" ht="60" x14ac:dyDescent="0.25">
      <c r="A9684" s="8" t="s">
        <v>125</v>
      </c>
      <c r="B9684" s="8" t="s">
        <v>58</v>
      </c>
      <c r="C9684" s="8" t="str">
        <f>IFERROR(_xlfn.XLOOKUP(TRIM(B9684),Lookup!$B$2:$B$1000,Lookup!$C$2:$C$1000),"")</f>
        <v>Equity</v>
      </c>
      <c r="D9684" s="8" t="str">
        <f>IFERROR(INDEX('nav master'!$C:$C, MATCH(B9684, 'nav master'!$B:$B, 0)), "")</f>
        <v>ULIF 145 03/06/21 SustainEqu 105</v>
      </c>
      <c r="E9684" s="8" t="s">
        <v>516</v>
      </c>
      <c r="F9684" s="8" t="s">
        <v>2625</v>
      </c>
    </row>
    <row r="9685" spans="1:6" ht="60" x14ac:dyDescent="0.25">
      <c r="A9685" s="8" t="s">
        <v>125</v>
      </c>
      <c r="B9685" s="8" t="s">
        <v>58</v>
      </c>
      <c r="C9685" s="8" t="str">
        <f>IFERROR(_xlfn.XLOOKUP(TRIM(B9685),Lookup!$B$2:$B$1000,Lookup!$C$2:$C$1000),"")</f>
        <v>Equity</v>
      </c>
      <c r="D9685" s="8" t="str">
        <f>IFERROR(INDEX('nav master'!$C:$C, MATCH(B9685, 'nav master'!$B:$B, 0)), "")</f>
        <v>ULIF 145 03/06/21 SustainEqu 105</v>
      </c>
      <c r="E9685" s="8" t="s">
        <v>518</v>
      </c>
      <c r="F9685" s="8" t="s">
        <v>2626</v>
      </c>
    </row>
    <row r="9686" spans="1:6" ht="60" x14ac:dyDescent="0.25">
      <c r="A9686" s="8" t="s">
        <v>125</v>
      </c>
      <c r="B9686" s="8" t="s">
        <v>58</v>
      </c>
      <c r="C9686" s="8" t="str">
        <f>IFERROR(_xlfn.XLOOKUP(TRIM(B9686),Lookup!$B$2:$B$1000,Lookup!$C$2:$C$1000),"")</f>
        <v>Equity</v>
      </c>
      <c r="D9686" s="8" t="str">
        <f>IFERROR(INDEX('nav master'!$C:$C, MATCH(B9686, 'nav master'!$B:$B, 0)), "")</f>
        <v>ULIF 145 03/06/21 SustainEqu 105</v>
      </c>
      <c r="E9686" s="8" t="s">
        <v>520</v>
      </c>
      <c r="F9686" s="8" t="s">
        <v>2627</v>
      </c>
    </row>
    <row r="9687" spans="1:6" ht="60" x14ac:dyDescent="0.25">
      <c r="A9687" s="8" t="s">
        <v>125</v>
      </c>
      <c r="B9687" s="8" t="s">
        <v>58</v>
      </c>
      <c r="C9687" s="8" t="str">
        <f>IFERROR(_xlfn.XLOOKUP(TRIM(B9687),Lookup!$B$2:$B$1000,Lookup!$C$2:$C$1000),"")</f>
        <v>Equity</v>
      </c>
      <c r="D9687" s="8" t="str">
        <f>IFERROR(INDEX('nav master'!$C:$C, MATCH(B9687, 'nav master'!$B:$B, 0)), "")</f>
        <v>ULIF 145 03/06/21 SustainEqu 105</v>
      </c>
      <c r="E9687" s="8" t="s">
        <v>522</v>
      </c>
      <c r="F9687" s="8" t="s">
        <v>2628</v>
      </c>
    </row>
    <row r="9688" spans="1:6" ht="60" x14ac:dyDescent="0.25">
      <c r="A9688" s="8" t="s">
        <v>125</v>
      </c>
      <c r="B9688" s="8" t="s">
        <v>58</v>
      </c>
      <c r="C9688" s="8" t="str">
        <f>IFERROR(_xlfn.XLOOKUP(TRIM(B9688),Lookup!$B$2:$B$1000,Lookup!$C$2:$C$1000),"")</f>
        <v>Equity</v>
      </c>
      <c r="D9688" s="8" t="str">
        <f>IFERROR(INDEX('nav master'!$C:$C, MATCH(B9688, 'nav master'!$B:$B, 0)), "")</f>
        <v>ULIF 145 03/06/21 SustainEqu 105</v>
      </c>
      <c r="E9688" s="8" t="s">
        <v>524</v>
      </c>
      <c r="F9688" s="8" t="s">
        <v>2629</v>
      </c>
    </row>
    <row r="9689" spans="1:6" ht="60" x14ac:dyDescent="0.25">
      <c r="A9689" s="8" t="s">
        <v>125</v>
      </c>
      <c r="B9689" s="8" t="s">
        <v>58</v>
      </c>
      <c r="C9689" s="8" t="str">
        <f>IFERROR(_xlfn.XLOOKUP(TRIM(B9689),Lookup!$B$2:$B$1000,Lookup!$C$2:$C$1000),"")</f>
        <v>Equity</v>
      </c>
      <c r="D9689" s="8" t="str">
        <f>IFERROR(INDEX('nav master'!$C:$C, MATCH(B9689, 'nav master'!$B:$B, 0)), "")</f>
        <v>ULIF 145 03/06/21 SustainEqu 105</v>
      </c>
      <c r="E9689" s="8" t="s">
        <v>526</v>
      </c>
      <c r="F9689" s="8" t="s">
        <v>2630</v>
      </c>
    </row>
    <row r="9690" spans="1:6" ht="60" x14ac:dyDescent="0.25">
      <c r="A9690" s="8" t="s">
        <v>125</v>
      </c>
      <c r="B9690" s="8" t="s">
        <v>58</v>
      </c>
      <c r="C9690" s="8" t="str">
        <f>IFERROR(_xlfn.XLOOKUP(TRIM(B9690),Lookup!$B$2:$B$1000,Lookup!$C$2:$C$1000),"")</f>
        <v>Equity</v>
      </c>
      <c r="D9690" s="8" t="str">
        <f>IFERROR(INDEX('nav master'!$C:$C, MATCH(B9690, 'nav master'!$B:$B, 0)), "")</f>
        <v>ULIF 145 03/06/21 SustainEqu 105</v>
      </c>
      <c r="E9690" s="8" t="s">
        <v>528</v>
      </c>
      <c r="F9690" s="8" t="s">
        <v>2631</v>
      </c>
    </row>
    <row r="9691" spans="1:6" ht="60" x14ac:dyDescent="0.25">
      <c r="A9691" s="8" t="s">
        <v>125</v>
      </c>
      <c r="B9691" s="8" t="s">
        <v>58</v>
      </c>
      <c r="C9691" s="8" t="str">
        <f>IFERROR(_xlfn.XLOOKUP(TRIM(B9691),Lookup!$B$2:$B$1000,Lookup!$C$2:$C$1000),"")</f>
        <v>Equity</v>
      </c>
      <c r="D9691" s="8" t="str">
        <f>IFERROR(INDEX('nav master'!$C:$C, MATCH(B9691, 'nav master'!$B:$B, 0)), "")</f>
        <v>ULIF 145 03/06/21 SustainEqu 105</v>
      </c>
      <c r="E9691" s="8" t="s">
        <v>530</v>
      </c>
      <c r="F9691" s="8" t="s">
        <v>2632</v>
      </c>
    </row>
    <row r="9692" spans="1:6" ht="60" x14ac:dyDescent="0.25">
      <c r="A9692" s="8" t="s">
        <v>125</v>
      </c>
      <c r="B9692" s="8" t="s">
        <v>58</v>
      </c>
      <c r="C9692" s="8" t="str">
        <f>IFERROR(_xlfn.XLOOKUP(TRIM(B9692),Lookup!$B$2:$B$1000,Lookup!$C$2:$C$1000),"")</f>
        <v>Equity</v>
      </c>
      <c r="D9692" s="8" t="str">
        <f>IFERROR(INDEX('nav master'!$C:$C, MATCH(B9692, 'nav master'!$B:$B, 0)), "")</f>
        <v>ULIF 145 03/06/21 SustainEqu 105</v>
      </c>
      <c r="E9692" s="8" t="s">
        <v>532</v>
      </c>
      <c r="F9692" s="8" t="s">
        <v>2633</v>
      </c>
    </row>
    <row r="9693" spans="1:6" ht="60" x14ac:dyDescent="0.25">
      <c r="A9693" s="8" t="s">
        <v>125</v>
      </c>
      <c r="B9693" s="8" t="s">
        <v>58</v>
      </c>
      <c r="C9693" s="8" t="str">
        <f>IFERROR(_xlfn.XLOOKUP(TRIM(B9693),Lookup!$B$2:$B$1000,Lookup!$C$2:$C$1000),"")</f>
        <v>Equity</v>
      </c>
      <c r="D9693" s="8" t="str">
        <f>IFERROR(INDEX('nav master'!$C:$C, MATCH(B9693, 'nav master'!$B:$B, 0)), "")</f>
        <v>ULIF 145 03/06/21 SustainEqu 105</v>
      </c>
      <c r="E9693" s="8" t="s">
        <v>534</v>
      </c>
      <c r="F9693" s="8" t="s">
        <v>2634</v>
      </c>
    </row>
    <row r="9694" spans="1:6" ht="60" x14ac:dyDescent="0.25">
      <c r="A9694" s="8" t="s">
        <v>125</v>
      </c>
      <c r="B9694" s="8" t="s">
        <v>58</v>
      </c>
      <c r="C9694" s="8" t="str">
        <f>IFERROR(_xlfn.XLOOKUP(TRIM(B9694),Lookup!$B$2:$B$1000,Lookup!$C$2:$C$1000),"")</f>
        <v>Equity</v>
      </c>
      <c r="D9694" s="8" t="str">
        <f>IFERROR(INDEX('nav master'!$C:$C, MATCH(B9694, 'nav master'!$B:$B, 0)), "")</f>
        <v>ULIF 145 03/06/21 SustainEqu 105</v>
      </c>
      <c r="E9694" s="8" t="s">
        <v>536</v>
      </c>
      <c r="F9694" s="8" t="s">
        <v>2635</v>
      </c>
    </row>
    <row r="9695" spans="1:6" ht="60" x14ac:dyDescent="0.25">
      <c r="A9695" s="8" t="s">
        <v>125</v>
      </c>
      <c r="B9695" s="8" t="s">
        <v>58</v>
      </c>
      <c r="C9695" s="8" t="str">
        <f>IFERROR(_xlfn.XLOOKUP(TRIM(B9695),Lookup!$B$2:$B$1000,Lookup!$C$2:$C$1000),"")</f>
        <v>Equity</v>
      </c>
      <c r="D9695" s="8" t="str">
        <f>IFERROR(INDEX('nav master'!$C:$C, MATCH(B9695, 'nav master'!$B:$B, 0)), "")</f>
        <v>ULIF 145 03/06/21 SustainEqu 105</v>
      </c>
      <c r="E9695" s="8" t="s">
        <v>538</v>
      </c>
      <c r="F9695" s="8" t="s">
        <v>2636</v>
      </c>
    </row>
    <row r="9696" spans="1:6" ht="60" x14ac:dyDescent="0.25">
      <c r="A9696" s="8" t="s">
        <v>125</v>
      </c>
      <c r="B9696" s="8" t="s">
        <v>58</v>
      </c>
      <c r="C9696" s="8" t="str">
        <f>IFERROR(_xlfn.XLOOKUP(TRIM(B9696),Lookup!$B$2:$B$1000,Lookup!$C$2:$C$1000),"")</f>
        <v>Equity</v>
      </c>
      <c r="D9696" s="8" t="str">
        <f>IFERROR(INDEX('nav master'!$C:$C, MATCH(B9696, 'nav master'!$B:$B, 0)), "")</f>
        <v>ULIF 145 03/06/21 SustainEqu 105</v>
      </c>
      <c r="E9696" s="8" t="s">
        <v>540</v>
      </c>
      <c r="F9696" s="8" t="s">
        <v>2637</v>
      </c>
    </row>
    <row r="9697" spans="1:6" ht="60" x14ac:dyDescent="0.25">
      <c r="A9697" s="8" t="s">
        <v>125</v>
      </c>
      <c r="B9697" s="8" t="s">
        <v>58</v>
      </c>
      <c r="C9697" s="8" t="str">
        <f>IFERROR(_xlfn.XLOOKUP(TRIM(B9697),Lookup!$B$2:$B$1000,Lookup!$C$2:$C$1000),"")</f>
        <v>Equity</v>
      </c>
      <c r="D9697" s="8" t="str">
        <f>IFERROR(INDEX('nav master'!$C:$C, MATCH(B9697, 'nav master'!$B:$B, 0)), "")</f>
        <v>ULIF 145 03/06/21 SustainEqu 105</v>
      </c>
      <c r="E9697" s="8" t="s">
        <v>542</v>
      </c>
      <c r="F9697" s="8" t="s">
        <v>2638</v>
      </c>
    </row>
    <row r="9698" spans="1:6" ht="60" x14ac:dyDescent="0.25">
      <c r="A9698" s="8" t="s">
        <v>125</v>
      </c>
      <c r="B9698" s="8" t="s">
        <v>58</v>
      </c>
      <c r="C9698" s="8" t="str">
        <f>IFERROR(_xlfn.XLOOKUP(TRIM(B9698),Lookup!$B$2:$B$1000,Lookup!$C$2:$C$1000),"")</f>
        <v>Equity</v>
      </c>
      <c r="D9698" s="8" t="str">
        <f>IFERROR(INDEX('nav master'!$C:$C, MATCH(B9698, 'nav master'!$B:$B, 0)), "")</f>
        <v>ULIF 145 03/06/21 SustainEqu 105</v>
      </c>
      <c r="E9698" s="8" t="s">
        <v>544</v>
      </c>
      <c r="F9698" s="8" t="s">
        <v>2639</v>
      </c>
    </row>
    <row r="9699" spans="1:6" ht="60" x14ac:dyDescent="0.25">
      <c r="A9699" s="8" t="s">
        <v>125</v>
      </c>
      <c r="B9699" s="8" t="s">
        <v>58</v>
      </c>
      <c r="C9699" s="8" t="str">
        <f>IFERROR(_xlfn.XLOOKUP(TRIM(B9699),Lookup!$B$2:$B$1000,Lookup!$C$2:$C$1000),"")</f>
        <v>Equity</v>
      </c>
      <c r="D9699" s="8" t="str">
        <f>IFERROR(INDEX('nav master'!$C:$C, MATCH(B9699, 'nav master'!$B:$B, 0)), "")</f>
        <v>ULIF 145 03/06/21 SustainEqu 105</v>
      </c>
      <c r="E9699" s="8" t="s">
        <v>546</v>
      </c>
      <c r="F9699" s="8" t="s">
        <v>2640</v>
      </c>
    </row>
    <row r="9700" spans="1:6" ht="60" x14ac:dyDescent="0.25">
      <c r="A9700" s="8" t="s">
        <v>125</v>
      </c>
      <c r="B9700" s="8" t="s">
        <v>58</v>
      </c>
      <c r="C9700" s="8" t="str">
        <f>IFERROR(_xlfn.XLOOKUP(TRIM(B9700),Lookup!$B$2:$B$1000,Lookup!$C$2:$C$1000),"")</f>
        <v>Equity</v>
      </c>
      <c r="D9700" s="8" t="str">
        <f>IFERROR(INDEX('nav master'!$C:$C, MATCH(B9700, 'nav master'!$B:$B, 0)), "")</f>
        <v>ULIF 145 03/06/21 SustainEqu 105</v>
      </c>
      <c r="E9700" s="8" t="s">
        <v>548</v>
      </c>
      <c r="F9700" s="8" t="s">
        <v>2641</v>
      </c>
    </row>
    <row r="9701" spans="1:6" ht="60" x14ac:dyDescent="0.25">
      <c r="A9701" s="8" t="s">
        <v>125</v>
      </c>
      <c r="B9701" s="8" t="s">
        <v>58</v>
      </c>
      <c r="C9701" s="8" t="str">
        <f>IFERROR(_xlfn.XLOOKUP(TRIM(B9701),Lookup!$B$2:$B$1000,Lookup!$C$2:$C$1000),"")</f>
        <v>Equity</v>
      </c>
      <c r="D9701" s="8" t="str">
        <f>IFERROR(INDEX('nav master'!$C:$C, MATCH(B9701, 'nav master'!$B:$B, 0)), "")</f>
        <v>ULIF 145 03/06/21 SustainEqu 105</v>
      </c>
      <c r="E9701" s="8" t="s">
        <v>550</v>
      </c>
      <c r="F9701" s="8" t="s">
        <v>2642</v>
      </c>
    </row>
    <row r="9702" spans="1:6" ht="60" x14ac:dyDescent="0.25">
      <c r="A9702" s="8" t="s">
        <v>125</v>
      </c>
      <c r="B9702" s="8" t="s">
        <v>58</v>
      </c>
      <c r="C9702" s="8" t="str">
        <f>IFERROR(_xlfn.XLOOKUP(TRIM(B9702),Lookup!$B$2:$B$1000,Lookup!$C$2:$C$1000),"")</f>
        <v>Equity</v>
      </c>
      <c r="D9702" s="8" t="str">
        <f>IFERROR(INDEX('nav master'!$C:$C, MATCH(B9702, 'nav master'!$B:$B, 0)), "")</f>
        <v>ULIF 145 03/06/21 SustainEqu 105</v>
      </c>
      <c r="E9702" s="8" t="s">
        <v>552</v>
      </c>
      <c r="F9702" s="8" t="s">
        <v>2643</v>
      </c>
    </row>
    <row r="9703" spans="1:6" ht="60" x14ac:dyDescent="0.25">
      <c r="A9703" s="8" t="s">
        <v>125</v>
      </c>
      <c r="B9703" s="8" t="s">
        <v>58</v>
      </c>
      <c r="C9703" s="8" t="str">
        <f>IFERROR(_xlfn.XLOOKUP(TRIM(B9703),Lookup!$B$2:$B$1000,Lookup!$C$2:$C$1000),"")</f>
        <v>Equity</v>
      </c>
      <c r="D9703" s="8" t="str">
        <f>IFERROR(INDEX('nav master'!$C:$C, MATCH(B9703, 'nav master'!$B:$B, 0)), "")</f>
        <v>ULIF 145 03/06/21 SustainEqu 105</v>
      </c>
      <c r="E9703" s="8" t="s">
        <v>554</v>
      </c>
      <c r="F9703" s="8" t="s">
        <v>2644</v>
      </c>
    </row>
    <row r="9704" spans="1:6" ht="60" x14ac:dyDescent="0.25">
      <c r="A9704" s="8" t="s">
        <v>125</v>
      </c>
      <c r="B9704" s="8" t="s">
        <v>58</v>
      </c>
      <c r="C9704" s="8" t="str">
        <f>IFERROR(_xlfn.XLOOKUP(TRIM(B9704),Lookup!$B$2:$B$1000,Lookup!$C$2:$C$1000),"")</f>
        <v>Equity</v>
      </c>
      <c r="D9704" s="8" t="str">
        <f>IFERROR(INDEX('nav master'!$C:$C, MATCH(B9704, 'nav master'!$B:$B, 0)), "")</f>
        <v>ULIF 145 03/06/21 SustainEqu 105</v>
      </c>
      <c r="E9704" s="8" t="s">
        <v>556</v>
      </c>
      <c r="F9704" s="8" t="s">
        <v>2470</v>
      </c>
    </row>
    <row r="9705" spans="1:6" ht="60" x14ac:dyDescent="0.25">
      <c r="A9705" s="8" t="s">
        <v>125</v>
      </c>
      <c r="B9705" s="8" t="s">
        <v>58</v>
      </c>
      <c r="C9705" s="8" t="str">
        <f>IFERROR(_xlfn.XLOOKUP(TRIM(B9705),Lookup!$B$2:$B$1000,Lookup!$C$2:$C$1000),"")</f>
        <v>Equity</v>
      </c>
      <c r="D9705" s="8" t="str">
        <f>IFERROR(INDEX('nav master'!$C:$C, MATCH(B9705, 'nav master'!$B:$B, 0)), "")</f>
        <v>ULIF 145 03/06/21 SustainEqu 105</v>
      </c>
      <c r="E9705" s="8" t="s">
        <v>558</v>
      </c>
      <c r="F9705" s="8" t="s">
        <v>2645</v>
      </c>
    </row>
    <row r="9706" spans="1:6" ht="60" x14ac:dyDescent="0.25">
      <c r="A9706" s="8" t="s">
        <v>125</v>
      </c>
      <c r="B9706" s="8" t="s">
        <v>58</v>
      </c>
      <c r="C9706" s="8" t="str">
        <f>IFERROR(_xlfn.XLOOKUP(TRIM(B9706),Lookup!$B$2:$B$1000,Lookup!$C$2:$C$1000),"")</f>
        <v>Equity</v>
      </c>
      <c r="D9706" s="8" t="str">
        <f>IFERROR(INDEX('nav master'!$C:$C, MATCH(B9706, 'nav master'!$B:$B, 0)), "")</f>
        <v>ULIF 145 03/06/21 SustainEqu 105</v>
      </c>
      <c r="E9706" s="8" t="s">
        <v>560</v>
      </c>
      <c r="F9706" s="8" t="s">
        <v>2646</v>
      </c>
    </row>
    <row r="9707" spans="1:6" ht="60" x14ac:dyDescent="0.25">
      <c r="A9707" s="8" t="s">
        <v>125</v>
      </c>
      <c r="B9707" s="8" t="s">
        <v>58</v>
      </c>
      <c r="C9707" s="8" t="str">
        <f>IFERROR(_xlfn.XLOOKUP(TRIM(B9707),Lookup!$B$2:$B$1000,Lookup!$C$2:$C$1000),"")</f>
        <v>Equity</v>
      </c>
      <c r="D9707" s="8" t="str">
        <f>IFERROR(INDEX('nav master'!$C:$C, MATCH(B9707, 'nav master'!$B:$B, 0)), "")</f>
        <v>ULIF 145 03/06/21 SustainEqu 105</v>
      </c>
      <c r="E9707" s="8" t="s">
        <v>562</v>
      </c>
      <c r="F9707" s="8" t="s">
        <v>2647</v>
      </c>
    </row>
    <row r="9708" spans="1:6" ht="60" x14ac:dyDescent="0.25">
      <c r="A9708" s="8" t="s">
        <v>125</v>
      </c>
      <c r="B9708" s="8" t="s">
        <v>58</v>
      </c>
      <c r="C9708" s="8" t="str">
        <f>IFERROR(_xlfn.XLOOKUP(TRIM(B9708),Lookup!$B$2:$B$1000,Lookup!$C$2:$C$1000),"")</f>
        <v>Equity</v>
      </c>
      <c r="D9708" s="8" t="str">
        <f>IFERROR(INDEX('nav master'!$C:$C, MATCH(B9708, 'nav master'!$B:$B, 0)), "")</f>
        <v>ULIF 145 03/06/21 SustainEqu 105</v>
      </c>
      <c r="E9708" s="8" t="s">
        <v>564</v>
      </c>
      <c r="F9708" s="8" t="s">
        <v>2648</v>
      </c>
    </row>
    <row r="9709" spans="1:6" ht="60" x14ac:dyDescent="0.25">
      <c r="A9709" s="8" t="s">
        <v>125</v>
      </c>
      <c r="B9709" s="8" t="s">
        <v>58</v>
      </c>
      <c r="C9709" s="8" t="str">
        <f>IFERROR(_xlfn.XLOOKUP(TRIM(B9709),Lookup!$B$2:$B$1000,Lookup!$C$2:$C$1000),"")</f>
        <v>Equity</v>
      </c>
      <c r="D9709" s="8" t="str">
        <f>IFERROR(INDEX('nav master'!$C:$C, MATCH(B9709, 'nav master'!$B:$B, 0)), "")</f>
        <v>ULIF 145 03/06/21 SustainEqu 105</v>
      </c>
      <c r="E9709" s="8" t="s">
        <v>566</v>
      </c>
      <c r="F9709" s="8" t="s">
        <v>2649</v>
      </c>
    </row>
    <row r="9710" spans="1:6" ht="60" x14ac:dyDescent="0.25">
      <c r="A9710" s="8" t="s">
        <v>125</v>
      </c>
      <c r="B9710" s="8" t="s">
        <v>58</v>
      </c>
      <c r="C9710" s="8" t="str">
        <f>IFERROR(_xlfn.XLOOKUP(TRIM(B9710),Lookup!$B$2:$B$1000,Lookup!$C$2:$C$1000),"")</f>
        <v>Equity</v>
      </c>
      <c r="D9710" s="8" t="str">
        <f>IFERROR(INDEX('nav master'!$C:$C, MATCH(B9710, 'nav master'!$B:$B, 0)), "")</f>
        <v>ULIF 145 03/06/21 SustainEqu 105</v>
      </c>
      <c r="E9710" s="8" t="s">
        <v>568</v>
      </c>
      <c r="F9710" s="8" t="s">
        <v>2650</v>
      </c>
    </row>
    <row r="9711" spans="1:6" ht="60" x14ac:dyDescent="0.25">
      <c r="A9711" s="8" t="s">
        <v>125</v>
      </c>
      <c r="B9711" s="8" t="s">
        <v>58</v>
      </c>
      <c r="C9711" s="8" t="str">
        <f>IFERROR(_xlfn.XLOOKUP(TRIM(B9711),Lookup!$B$2:$B$1000,Lookup!$C$2:$C$1000),"")</f>
        <v>Equity</v>
      </c>
      <c r="D9711" s="8" t="str">
        <f>IFERROR(INDEX('nav master'!$C:$C, MATCH(B9711, 'nav master'!$B:$B, 0)), "")</f>
        <v>ULIF 145 03/06/21 SustainEqu 105</v>
      </c>
      <c r="E9711" s="8" t="s">
        <v>570</v>
      </c>
      <c r="F9711" s="8" t="s">
        <v>2651</v>
      </c>
    </row>
    <row r="9712" spans="1:6" ht="60" x14ac:dyDescent="0.25">
      <c r="A9712" s="8" t="s">
        <v>125</v>
      </c>
      <c r="B9712" s="8" t="s">
        <v>58</v>
      </c>
      <c r="C9712" s="8" t="str">
        <f>IFERROR(_xlfn.XLOOKUP(TRIM(B9712),Lookup!$B$2:$B$1000,Lookup!$C$2:$C$1000),"")</f>
        <v>Equity</v>
      </c>
      <c r="D9712" s="8" t="str">
        <f>IFERROR(INDEX('nav master'!$C:$C, MATCH(B9712, 'nav master'!$B:$B, 0)), "")</f>
        <v>ULIF 145 03/06/21 SustainEqu 105</v>
      </c>
      <c r="E9712" s="8" t="s">
        <v>572</v>
      </c>
      <c r="F9712" s="8" t="s">
        <v>2652</v>
      </c>
    </row>
    <row r="9713" spans="1:6" ht="60" x14ac:dyDescent="0.25">
      <c r="A9713" s="8" t="s">
        <v>125</v>
      </c>
      <c r="B9713" s="8" t="s">
        <v>58</v>
      </c>
      <c r="C9713" s="8" t="str">
        <f>IFERROR(_xlfn.XLOOKUP(TRIM(B9713),Lookup!$B$2:$B$1000,Lookup!$C$2:$C$1000),"")</f>
        <v>Equity</v>
      </c>
      <c r="D9713" s="8" t="str">
        <f>IFERROR(INDEX('nav master'!$C:$C, MATCH(B9713, 'nav master'!$B:$B, 0)), "")</f>
        <v>ULIF 145 03/06/21 SustainEqu 105</v>
      </c>
      <c r="E9713" s="8" t="s">
        <v>574</v>
      </c>
      <c r="F9713" s="8" t="s">
        <v>2653</v>
      </c>
    </row>
    <row r="9714" spans="1:6" ht="60" x14ac:dyDescent="0.25">
      <c r="A9714" s="8" t="s">
        <v>125</v>
      </c>
      <c r="B9714" s="8" t="s">
        <v>58</v>
      </c>
      <c r="C9714" s="8" t="str">
        <f>IFERROR(_xlfn.XLOOKUP(TRIM(B9714),Lookup!$B$2:$B$1000,Lookup!$C$2:$C$1000),"")</f>
        <v>Equity</v>
      </c>
      <c r="D9714" s="8" t="str">
        <f>IFERROR(INDEX('nav master'!$C:$C, MATCH(B9714, 'nav master'!$B:$B, 0)), "")</f>
        <v>ULIF 145 03/06/21 SustainEqu 105</v>
      </c>
      <c r="E9714" s="8" t="s">
        <v>576</v>
      </c>
      <c r="F9714" s="8" t="s">
        <v>2654</v>
      </c>
    </row>
    <row r="9715" spans="1:6" ht="60" x14ac:dyDescent="0.25">
      <c r="A9715" s="8" t="s">
        <v>125</v>
      </c>
      <c r="B9715" s="8" t="s">
        <v>58</v>
      </c>
      <c r="C9715" s="8" t="str">
        <f>IFERROR(_xlfn.XLOOKUP(TRIM(B9715),Lookup!$B$2:$B$1000,Lookup!$C$2:$C$1000),"")</f>
        <v>Equity</v>
      </c>
      <c r="D9715" s="8" t="str">
        <f>IFERROR(INDEX('nav master'!$C:$C, MATCH(B9715, 'nav master'!$B:$B, 0)), "")</f>
        <v>ULIF 145 03/06/21 SustainEqu 105</v>
      </c>
      <c r="E9715" s="8" t="s">
        <v>578</v>
      </c>
      <c r="F9715" s="8" t="s">
        <v>2655</v>
      </c>
    </row>
    <row r="9716" spans="1:6" ht="60" x14ac:dyDescent="0.25">
      <c r="A9716" s="8" t="s">
        <v>125</v>
      </c>
      <c r="B9716" s="8" t="s">
        <v>58</v>
      </c>
      <c r="C9716" s="8" t="str">
        <f>IFERROR(_xlfn.XLOOKUP(TRIM(B9716),Lookup!$B$2:$B$1000,Lookup!$C$2:$C$1000),"")</f>
        <v>Equity</v>
      </c>
      <c r="D9716" s="8" t="str">
        <f>IFERROR(INDEX('nav master'!$C:$C, MATCH(B9716, 'nav master'!$B:$B, 0)), "")</f>
        <v>ULIF 145 03/06/21 SustainEqu 105</v>
      </c>
      <c r="E9716" s="8" t="s">
        <v>580</v>
      </c>
      <c r="F9716" s="8" t="s">
        <v>2656</v>
      </c>
    </row>
    <row r="9717" spans="1:6" ht="60" x14ac:dyDescent="0.25">
      <c r="A9717" s="8" t="s">
        <v>125</v>
      </c>
      <c r="B9717" s="8" t="s">
        <v>58</v>
      </c>
      <c r="C9717" s="8" t="str">
        <f>IFERROR(_xlfn.XLOOKUP(TRIM(B9717),Lookup!$B$2:$B$1000,Lookup!$C$2:$C$1000),"")</f>
        <v>Equity</v>
      </c>
      <c r="D9717" s="8" t="str">
        <f>IFERROR(INDEX('nav master'!$C:$C, MATCH(B9717, 'nav master'!$B:$B, 0)), "")</f>
        <v>ULIF 145 03/06/21 SustainEqu 105</v>
      </c>
      <c r="E9717" s="8" t="s">
        <v>582</v>
      </c>
      <c r="F9717" s="8" t="s">
        <v>2657</v>
      </c>
    </row>
    <row r="9718" spans="1:6" ht="60" x14ac:dyDescent="0.25">
      <c r="A9718" s="8" t="s">
        <v>125</v>
      </c>
      <c r="B9718" s="8" t="s">
        <v>58</v>
      </c>
      <c r="C9718" s="8" t="str">
        <f>IFERROR(_xlfn.XLOOKUP(TRIM(B9718),Lookup!$B$2:$B$1000,Lookup!$C$2:$C$1000),"")</f>
        <v>Equity</v>
      </c>
      <c r="D9718" s="8" t="str">
        <f>IFERROR(INDEX('nav master'!$C:$C, MATCH(B9718, 'nav master'!$B:$B, 0)), "")</f>
        <v>ULIF 145 03/06/21 SustainEqu 105</v>
      </c>
      <c r="E9718" s="8" t="s">
        <v>584</v>
      </c>
      <c r="F9718" s="8" t="s">
        <v>2658</v>
      </c>
    </row>
    <row r="9719" spans="1:6" ht="60" x14ac:dyDescent="0.25">
      <c r="A9719" s="8" t="s">
        <v>125</v>
      </c>
      <c r="B9719" s="8" t="s">
        <v>58</v>
      </c>
      <c r="C9719" s="8" t="str">
        <f>IFERROR(_xlfn.XLOOKUP(TRIM(B9719),Lookup!$B$2:$B$1000,Lookup!$C$2:$C$1000),"")</f>
        <v>Equity</v>
      </c>
      <c r="D9719" s="8" t="str">
        <f>IFERROR(INDEX('nav master'!$C:$C, MATCH(B9719, 'nav master'!$B:$B, 0)), "")</f>
        <v>ULIF 145 03/06/21 SustainEqu 105</v>
      </c>
      <c r="E9719" s="8" t="s">
        <v>586</v>
      </c>
      <c r="F9719" s="8" t="s">
        <v>2659</v>
      </c>
    </row>
    <row r="9720" spans="1:6" ht="60" x14ac:dyDescent="0.25">
      <c r="A9720" s="8" t="s">
        <v>125</v>
      </c>
      <c r="B9720" s="8" t="s">
        <v>58</v>
      </c>
      <c r="C9720" s="8" t="str">
        <f>IFERROR(_xlfn.XLOOKUP(TRIM(B9720),Lookup!$B$2:$B$1000,Lookup!$C$2:$C$1000),"")</f>
        <v>Equity</v>
      </c>
      <c r="D9720" s="8" t="str">
        <f>IFERROR(INDEX('nav master'!$C:$C, MATCH(B9720, 'nav master'!$B:$B, 0)), "")</f>
        <v>ULIF 145 03/06/21 SustainEqu 105</v>
      </c>
      <c r="E9720" s="8" t="s">
        <v>588</v>
      </c>
      <c r="F9720" s="8" t="s">
        <v>2660</v>
      </c>
    </row>
    <row r="9721" spans="1:6" ht="60" x14ac:dyDescent="0.25">
      <c r="A9721" s="8" t="s">
        <v>125</v>
      </c>
      <c r="B9721" s="8" t="s">
        <v>58</v>
      </c>
      <c r="C9721" s="8" t="str">
        <f>IFERROR(_xlfn.XLOOKUP(TRIM(B9721),Lookup!$B$2:$B$1000,Lookup!$C$2:$C$1000),"")</f>
        <v>Equity</v>
      </c>
      <c r="D9721" s="8" t="str">
        <f>IFERROR(INDEX('nav master'!$C:$C, MATCH(B9721, 'nav master'!$B:$B, 0)), "")</f>
        <v>ULIF 145 03/06/21 SustainEqu 105</v>
      </c>
      <c r="E9721" s="8" t="s">
        <v>590</v>
      </c>
      <c r="F9721" s="8" t="s">
        <v>2661</v>
      </c>
    </row>
    <row r="9722" spans="1:6" ht="60" x14ac:dyDescent="0.25">
      <c r="A9722" s="8" t="s">
        <v>125</v>
      </c>
      <c r="B9722" s="8" t="s">
        <v>58</v>
      </c>
      <c r="C9722" s="8" t="str">
        <f>IFERROR(_xlfn.XLOOKUP(TRIM(B9722),Lookup!$B$2:$B$1000,Lookup!$C$2:$C$1000),"")</f>
        <v>Equity</v>
      </c>
      <c r="D9722" s="8" t="str">
        <f>IFERROR(INDEX('nav master'!$C:$C, MATCH(B9722, 'nav master'!$B:$B, 0)), "")</f>
        <v>ULIF 145 03/06/21 SustainEqu 105</v>
      </c>
      <c r="E9722" s="8" t="s">
        <v>592</v>
      </c>
      <c r="F9722" s="8" t="s">
        <v>2662</v>
      </c>
    </row>
    <row r="9723" spans="1:6" ht="60" x14ac:dyDescent="0.25">
      <c r="A9723" s="8" t="s">
        <v>125</v>
      </c>
      <c r="B9723" s="8" t="s">
        <v>58</v>
      </c>
      <c r="C9723" s="8" t="str">
        <f>IFERROR(_xlfn.XLOOKUP(TRIM(B9723),Lookup!$B$2:$B$1000,Lookup!$C$2:$C$1000),"")</f>
        <v>Equity</v>
      </c>
      <c r="D9723" s="8" t="str">
        <f>IFERROR(INDEX('nav master'!$C:$C, MATCH(B9723, 'nav master'!$B:$B, 0)), "")</f>
        <v>ULIF 145 03/06/21 SustainEqu 105</v>
      </c>
      <c r="E9723" s="8" t="s">
        <v>594</v>
      </c>
      <c r="F9723" s="8" t="s">
        <v>2663</v>
      </c>
    </row>
    <row r="9724" spans="1:6" ht="60" x14ac:dyDescent="0.25">
      <c r="A9724" s="8" t="s">
        <v>125</v>
      </c>
      <c r="B9724" s="8" t="s">
        <v>58</v>
      </c>
      <c r="C9724" s="8" t="str">
        <f>IFERROR(_xlfn.XLOOKUP(TRIM(B9724),Lookup!$B$2:$B$1000,Lookup!$C$2:$C$1000),"")</f>
        <v>Equity</v>
      </c>
      <c r="D9724" s="8" t="str">
        <f>IFERROR(INDEX('nav master'!$C:$C, MATCH(B9724, 'nav master'!$B:$B, 0)), "")</f>
        <v>ULIF 145 03/06/21 SustainEqu 105</v>
      </c>
      <c r="E9724" s="8" t="s">
        <v>596</v>
      </c>
      <c r="F9724" s="8" t="s">
        <v>2664</v>
      </c>
    </row>
    <row r="9725" spans="1:6" ht="60" x14ac:dyDescent="0.25">
      <c r="A9725" s="8" t="s">
        <v>125</v>
      </c>
      <c r="B9725" s="8" t="s">
        <v>58</v>
      </c>
      <c r="C9725" s="8" t="str">
        <f>IFERROR(_xlfn.XLOOKUP(TRIM(B9725),Lookup!$B$2:$B$1000,Lookup!$C$2:$C$1000),"")</f>
        <v>Equity</v>
      </c>
      <c r="D9725" s="8" t="str">
        <f>IFERROR(INDEX('nav master'!$C:$C, MATCH(B9725, 'nav master'!$B:$B, 0)), "")</f>
        <v>ULIF 145 03/06/21 SustainEqu 105</v>
      </c>
      <c r="E9725" s="8" t="s">
        <v>598</v>
      </c>
      <c r="F9725" s="8" t="s">
        <v>2665</v>
      </c>
    </row>
    <row r="9726" spans="1:6" ht="60" x14ac:dyDescent="0.25">
      <c r="A9726" s="8" t="s">
        <v>125</v>
      </c>
      <c r="B9726" s="8" t="s">
        <v>58</v>
      </c>
      <c r="C9726" s="8" t="str">
        <f>IFERROR(_xlfn.XLOOKUP(TRIM(B9726),Lookup!$B$2:$B$1000,Lookup!$C$2:$C$1000),"")</f>
        <v>Equity</v>
      </c>
      <c r="D9726" s="8" t="str">
        <f>IFERROR(INDEX('nav master'!$C:$C, MATCH(B9726, 'nav master'!$B:$B, 0)), "")</f>
        <v>ULIF 145 03/06/21 SustainEqu 105</v>
      </c>
      <c r="E9726" s="8" t="s">
        <v>600</v>
      </c>
      <c r="F9726" s="8" t="s">
        <v>2666</v>
      </c>
    </row>
    <row r="9727" spans="1:6" ht="60" x14ac:dyDescent="0.25">
      <c r="A9727" s="8" t="s">
        <v>125</v>
      </c>
      <c r="B9727" s="8" t="s">
        <v>58</v>
      </c>
      <c r="C9727" s="8" t="str">
        <f>IFERROR(_xlfn.XLOOKUP(TRIM(B9727),Lookup!$B$2:$B$1000,Lookup!$C$2:$C$1000),"")</f>
        <v>Equity</v>
      </c>
      <c r="D9727" s="8" t="str">
        <f>IFERROR(INDEX('nav master'!$C:$C, MATCH(B9727, 'nav master'!$B:$B, 0)), "")</f>
        <v>ULIF 145 03/06/21 SustainEqu 105</v>
      </c>
      <c r="E9727" s="8" t="s">
        <v>602</v>
      </c>
      <c r="F9727" s="8" t="s">
        <v>2667</v>
      </c>
    </row>
    <row r="9728" spans="1:6" ht="60" x14ac:dyDescent="0.25">
      <c r="A9728" s="8" t="s">
        <v>125</v>
      </c>
      <c r="B9728" s="8" t="s">
        <v>58</v>
      </c>
      <c r="C9728" s="8" t="str">
        <f>IFERROR(_xlfn.XLOOKUP(TRIM(B9728),Lookup!$B$2:$B$1000,Lookup!$C$2:$C$1000),"")</f>
        <v>Equity</v>
      </c>
      <c r="D9728" s="8" t="str">
        <f>IFERROR(INDEX('nav master'!$C:$C, MATCH(B9728, 'nav master'!$B:$B, 0)), "")</f>
        <v>ULIF 145 03/06/21 SustainEqu 105</v>
      </c>
      <c r="E9728" s="8" t="s">
        <v>604</v>
      </c>
      <c r="F9728" s="8" t="s">
        <v>2668</v>
      </c>
    </row>
    <row r="9729" spans="1:6" ht="60" x14ac:dyDescent="0.25">
      <c r="A9729" s="8" t="s">
        <v>125</v>
      </c>
      <c r="B9729" s="8" t="s">
        <v>58</v>
      </c>
      <c r="C9729" s="8" t="str">
        <f>IFERROR(_xlfn.XLOOKUP(TRIM(B9729),Lookup!$B$2:$B$1000,Lookup!$C$2:$C$1000),"")</f>
        <v>Equity</v>
      </c>
      <c r="D9729" s="8" t="str">
        <f>IFERROR(INDEX('nav master'!$C:$C, MATCH(B9729, 'nav master'!$B:$B, 0)), "")</f>
        <v>ULIF 145 03/06/21 SustainEqu 105</v>
      </c>
      <c r="E9729" s="8" t="s">
        <v>606</v>
      </c>
      <c r="F9729" s="8" t="s">
        <v>2669</v>
      </c>
    </row>
    <row r="9730" spans="1:6" ht="60" x14ac:dyDescent="0.25">
      <c r="A9730" s="8" t="s">
        <v>125</v>
      </c>
      <c r="B9730" s="8" t="s">
        <v>58</v>
      </c>
      <c r="C9730" s="8" t="str">
        <f>IFERROR(_xlfn.XLOOKUP(TRIM(B9730),Lookup!$B$2:$B$1000,Lookup!$C$2:$C$1000),"")</f>
        <v>Equity</v>
      </c>
      <c r="D9730" s="8" t="str">
        <f>IFERROR(INDEX('nav master'!$C:$C, MATCH(B9730, 'nav master'!$B:$B, 0)), "")</f>
        <v>ULIF 145 03/06/21 SustainEqu 105</v>
      </c>
      <c r="E9730" s="8" t="s">
        <v>608</v>
      </c>
      <c r="F9730" s="8" t="s">
        <v>2670</v>
      </c>
    </row>
    <row r="9731" spans="1:6" ht="60" x14ac:dyDescent="0.25">
      <c r="A9731" s="8" t="s">
        <v>125</v>
      </c>
      <c r="B9731" s="8" t="s">
        <v>58</v>
      </c>
      <c r="C9731" s="8" t="str">
        <f>IFERROR(_xlfn.XLOOKUP(TRIM(B9731),Lookup!$B$2:$B$1000,Lookup!$C$2:$C$1000),"")</f>
        <v>Equity</v>
      </c>
      <c r="D9731" s="8" t="str">
        <f>IFERROR(INDEX('nav master'!$C:$C, MATCH(B9731, 'nav master'!$B:$B, 0)), "")</f>
        <v>ULIF 145 03/06/21 SustainEqu 105</v>
      </c>
      <c r="E9731" s="8" t="s">
        <v>610</v>
      </c>
      <c r="F9731" s="8" t="s">
        <v>2671</v>
      </c>
    </row>
    <row r="9732" spans="1:6" ht="60" x14ac:dyDescent="0.25">
      <c r="A9732" s="8" t="s">
        <v>125</v>
      </c>
      <c r="B9732" s="8" t="s">
        <v>58</v>
      </c>
      <c r="C9732" s="8" t="str">
        <f>IFERROR(_xlfn.XLOOKUP(TRIM(B9732),Lookup!$B$2:$B$1000,Lookup!$C$2:$C$1000),"")</f>
        <v>Equity</v>
      </c>
      <c r="D9732" s="8" t="str">
        <f>IFERROR(INDEX('nav master'!$C:$C, MATCH(B9732, 'nav master'!$B:$B, 0)), "")</f>
        <v>ULIF 145 03/06/21 SustainEqu 105</v>
      </c>
      <c r="E9732" s="8" t="s">
        <v>612</v>
      </c>
      <c r="F9732" s="8" t="s">
        <v>2672</v>
      </c>
    </row>
    <row r="9733" spans="1:6" ht="60" x14ac:dyDescent="0.25">
      <c r="A9733" s="8" t="s">
        <v>125</v>
      </c>
      <c r="B9733" s="8" t="s">
        <v>58</v>
      </c>
      <c r="C9733" s="8" t="str">
        <f>IFERROR(_xlfn.XLOOKUP(TRIM(B9733),Lookup!$B$2:$B$1000,Lookup!$C$2:$C$1000),"")</f>
        <v>Equity</v>
      </c>
      <c r="D9733" s="8" t="str">
        <f>IFERROR(INDEX('nav master'!$C:$C, MATCH(B9733, 'nav master'!$B:$B, 0)), "")</f>
        <v>ULIF 145 03/06/21 SustainEqu 105</v>
      </c>
      <c r="E9733" s="8" t="s">
        <v>614</v>
      </c>
      <c r="F9733" s="8" t="s">
        <v>2673</v>
      </c>
    </row>
    <row r="9734" spans="1:6" ht="60" x14ac:dyDescent="0.25">
      <c r="A9734" s="8" t="s">
        <v>125</v>
      </c>
      <c r="B9734" s="8" t="s">
        <v>58</v>
      </c>
      <c r="C9734" s="8" t="str">
        <f>IFERROR(_xlfn.XLOOKUP(TRIM(B9734),Lookup!$B$2:$B$1000,Lookup!$C$2:$C$1000),"")</f>
        <v>Equity</v>
      </c>
      <c r="D9734" s="8" t="str">
        <f>IFERROR(INDEX('nav master'!$C:$C, MATCH(B9734, 'nav master'!$B:$B, 0)), "")</f>
        <v>ULIF 145 03/06/21 SustainEqu 105</v>
      </c>
      <c r="E9734" s="8" t="s">
        <v>616</v>
      </c>
      <c r="F9734" s="8" t="s">
        <v>2674</v>
      </c>
    </row>
    <row r="9735" spans="1:6" ht="60" x14ac:dyDescent="0.25">
      <c r="A9735" s="8" t="s">
        <v>125</v>
      </c>
      <c r="B9735" s="8" t="s">
        <v>58</v>
      </c>
      <c r="C9735" s="8" t="str">
        <f>IFERROR(_xlfn.XLOOKUP(TRIM(B9735),Lookup!$B$2:$B$1000,Lookup!$C$2:$C$1000),"")</f>
        <v>Equity</v>
      </c>
      <c r="D9735" s="8" t="str">
        <f>IFERROR(INDEX('nav master'!$C:$C, MATCH(B9735, 'nav master'!$B:$B, 0)), "")</f>
        <v>ULIF 145 03/06/21 SustainEqu 105</v>
      </c>
      <c r="E9735" s="8" t="s">
        <v>618</v>
      </c>
      <c r="F9735" s="8" t="s">
        <v>2675</v>
      </c>
    </row>
    <row r="9736" spans="1:6" ht="60" x14ac:dyDescent="0.25">
      <c r="A9736" s="8" t="s">
        <v>125</v>
      </c>
      <c r="B9736" s="8" t="s">
        <v>58</v>
      </c>
      <c r="C9736" s="8" t="str">
        <f>IFERROR(_xlfn.XLOOKUP(TRIM(B9736),Lookup!$B$2:$B$1000,Lookup!$C$2:$C$1000),"")</f>
        <v>Equity</v>
      </c>
      <c r="D9736" s="8" t="str">
        <f>IFERROR(INDEX('nav master'!$C:$C, MATCH(B9736, 'nav master'!$B:$B, 0)), "")</f>
        <v>ULIF 145 03/06/21 SustainEqu 105</v>
      </c>
      <c r="E9736" s="8" t="s">
        <v>620</v>
      </c>
      <c r="F9736" s="8" t="s">
        <v>2676</v>
      </c>
    </row>
    <row r="9737" spans="1:6" ht="60" x14ac:dyDescent="0.25">
      <c r="A9737" s="8" t="s">
        <v>125</v>
      </c>
      <c r="B9737" s="8" t="s">
        <v>58</v>
      </c>
      <c r="C9737" s="8" t="str">
        <f>IFERROR(_xlfn.XLOOKUP(TRIM(B9737),Lookup!$B$2:$B$1000,Lookup!$C$2:$C$1000),"")</f>
        <v>Equity</v>
      </c>
      <c r="D9737" s="8" t="str">
        <f>IFERROR(INDEX('nav master'!$C:$C, MATCH(B9737, 'nav master'!$B:$B, 0)), "")</f>
        <v>ULIF 145 03/06/21 SustainEqu 105</v>
      </c>
      <c r="E9737" s="8" t="s">
        <v>622</v>
      </c>
      <c r="F9737" s="8" t="s">
        <v>2677</v>
      </c>
    </row>
    <row r="9738" spans="1:6" ht="60" x14ac:dyDescent="0.25">
      <c r="A9738" s="8" t="s">
        <v>125</v>
      </c>
      <c r="B9738" s="8" t="s">
        <v>58</v>
      </c>
      <c r="C9738" s="8" t="str">
        <f>IFERROR(_xlfn.XLOOKUP(TRIM(B9738),Lookup!$B$2:$B$1000,Lookup!$C$2:$C$1000),"")</f>
        <v>Equity</v>
      </c>
      <c r="D9738" s="8" t="str">
        <f>IFERROR(INDEX('nav master'!$C:$C, MATCH(B9738, 'nav master'!$B:$B, 0)), "")</f>
        <v>ULIF 145 03/06/21 SustainEqu 105</v>
      </c>
      <c r="E9738" s="8" t="s">
        <v>624</v>
      </c>
      <c r="F9738" s="8" t="s">
        <v>2678</v>
      </c>
    </row>
    <row r="9739" spans="1:6" ht="60" x14ac:dyDescent="0.25">
      <c r="A9739" s="8" t="s">
        <v>125</v>
      </c>
      <c r="B9739" s="8" t="s">
        <v>58</v>
      </c>
      <c r="C9739" s="8" t="str">
        <f>IFERROR(_xlfn.XLOOKUP(TRIM(B9739),Lookup!$B$2:$B$1000,Lookup!$C$2:$C$1000),"")</f>
        <v>Equity</v>
      </c>
      <c r="D9739" s="8" t="str">
        <f>IFERROR(INDEX('nav master'!$C:$C, MATCH(B9739, 'nav master'!$B:$B, 0)), "")</f>
        <v>ULIF 145 03/06/21 SustainEqu 105</v>
      </c>
      <c r="E9739" s="8" t="s">
        <v>626</v>
      </c>
      <c r="F9739" s="8" t="s">
        <v>2679</v>
      </c>
    </row>
    <row r="9740" spans="1:6" ht="60" x14ac:dyDescent="0.25">
      <c r="A9740" s="8" t="s">
        <v>125</v>
      </c>
      <c r="B9740" s="8" t="s">
        <v>58</v>
      </c>
      <c r="C9740" s="8" t="str">
        <f>IFERROR(_xlfn.XLOOKUP(TRIM(B9740),Lookup!$B$2:$B$1000,Lookup!$C$2:$C$1000),"")</f>
        <v>Equity</v>
      </c>
      <c r="D9740" s="8" t="str">
        <f>IFERROR(INDEX('nav master'!$C:$C, MATCH(B9740, 'nav master'!$B:$B, 0)), "")</f>
        <v>ULIF 145 03/06/21 SustainEqu 105</v>
      </c>
      <c r="E9740" s="8" t="s">
        <v>628</v>
      </c>
      <c r="F9740" s="8" t="s">
        <v>2680</v>
      </c>
    </row>
    <row r="9741" spans="1:6" ht="60" x14ac:dyDescent="0.25">
      <c r="A9741" s="8" t="s">
        <v>125</v>
      </c>
      <c r="B9741" s="8" t="s">
        <v>58</v>
      </c>
      <c r="C9741" s="8" t="str">
        <f>IFERROR(_xlfn.XLOOKUP(TRIM(B9741),Lookup!$B$2:$B$1000,Lookup!$C$2:$C$1000),"")</f>
        <v>Equity</v>
      </c>
      <c r="D9741" s="8" t="str">
        <f>IFERROR(INDEX('nav master'!$C:$C, MATCH(B9741, 'nav master'!$B:$B, 0)), "")</f>
        <v>ULIF 145 03/06/21 SustainEqu 105</v>
      </c>
      <c r="E9741" s="8" t="s">
        <v>630</v>
      </c>
      <c r="F9741" s="8" t="s">
        <v>2681</v>
      </c>
    </row>
    <row r="9742" spans="1:6" ht="60" x14ac:dyDescent="0.25">
      <c r="A9742" s="8" t="s">
        <v>125</v>
      </c>
      <c r="B9742" s="8" t="s">
        <v>58</v>
      </c>
      <c r="C9742" s="8" t="str">
        <f>IFERROR(_xlfn.XLOOKUP(TRIM(B9742),Lookup!$B$2:$B$1000,Lookup!$C$2:$C$1000),"")</f>
        <v>Equity</v>
      </c>
      <c r="D9742" s="8" t="str">
        <f>IFERROR(INDEX('nav master'!$C:$C, MATCH(B9742, 'nav master'!$B:$B, 0)), "")</f>
        <v>ULIF 145 03/06/21 SustainEqu 105</v>
      </c>
      <c r="E9742" s="8" t="s">
        <v>632</v>
      </c>
      <c r="F9742" s="8" t="s">
        <v>2682</v>
      </c>
    </row>
    <row r="9743" spans="1:6" ht="60" x14ac:dyDescent="0.25">
      <c r="A9743" s="8" t="s">
        <v>125</v>
      </c>
      <c r="B9743" s="8" t="s">
        <v>58</v>
      </c>
      <c r="C9743" s="8" t="str">
        <f>IFERROR(_xlfn.XLOOKUP(TRIM(B9743),Lookup!$B$2:$B$1000,Lookup!$C$2:$C$1000),"")</f>
        <v>Equity</v>
      </c>
      <c r="D9743" s="8" t="str">
        <f>IFERROR(INDEX('nav master'!$C:$C, MATCH(B9743, 'nav master'!$B:$B, 0)), "")</f>
        <v>ULIF 145 03/06/21 SustainEqu 105</v>
      </c>
      <c r="E9743" s="8" t="s">
        <v>634</v>
      </c>
      <c r="F9743" s="8" t="s">
        <v>2683</v>
      </c>
    </row>
    <row r="9744" spans="1:6" ht="60" x14ac:dyDescent="0.25">
      <c r="A9744" s="8" t="s">
        <v>125</v>
      </c>
      <c r="B9744" s="8" t="s">
        <v>58</v>
      </c>
      <c r="C9744" s="8" t="str">
        <f>IFERROR(_xlfn.XLOOKUP(TRIM(B9744),Lookup!$B$2:$B$1000,Lookup!$C$2:$C$1000),"")</f>
        <v>Equity</v>
      </c>
      <c r="D9744" s="8" t="str">
        <f>IFERROR(INDEX('nav master'!$C:$C, MATCH(B9744, 'nav master'!$B:$B, 0)), "")</f>
        <v>ULIF 145 03/06/21 SustainEqu 105</v>
      </c>
      <c r="E9744" s="8" t="s">
        <v>636</v>
      </c>
      <c r="F9744" s="8" t="s">
        <v>2684</v>
      </c>
    </row>
    <row r="9745" spans="1:6" ht="60" x14ac:dyDescent="0.25">
      <c r="A9745" s="8" t="s">
        <v>125</v>
      </c>
      <c r="B9745" s="8" t="s">
        <v>58</v>
      </c>
      <c r="C9745" s="8" t="str">
        <f>IFERROR(_xlfn.XLOOKUP(TRIM(B9745),Lookup!$B$2:$B$1000,Lookup!$C$2:$C$1000),"")</f>
        <v>Equity</v>
      </c>
      <c r="D9745" s="8" t="str">
        <f>IFERROR(INDEX('nav master'!$C:$C, MATCH(B9745, 'nav master'!$B:$B, 0)), "")</f>
        <v>ULIF 145 03/06/21 SustainEqu 105</v>
      </c>
      <c r="E9745" s="8" t="s">
        <v>638</v>
      </c>
      <c r="F9745" s="8" t="s">
        <v>2685</v>
      </c>
    </row>
    <row r="9746" spans="1:6" ht="60" x14ac:dyDescent="0.25">
      <c r="A9746" s="8" t="s">
        <v>125</v>
      </c>
      <c r="B9746" s="8" t="s">
        <v>58</v>
      </c>
      <c r="C9746" s="8" t="str">
        <f>IFERROR(_xlfn.XLOOKUP(TRIM(B9746),Lookup!$B$2:$B$1000,Lookup!$C$2:$C$1000),"")</f>
        <v>Equity</v>
      </c>
      <c r="D9746" s="8" t="str">
        <f>IFERROR(INDEX('nav master'!$C:$C, MATCH(B9746, 'nav master'!$B:$B, 0)), "")</f>
        <v>ULIF 145 03/06/21 SustainEqu 105</v>
      </c>
      <c r="E9746" s="8" t="s">
        <v>640</v>
      </c>
      <c r="F9746" s="8" t="s">
        <v>2686</v>
      </c>
    </row>
    <row r="9747" spans="1:6" ht="60" x14ac:dyDescent="0.25">
      <c r="A9747" s="8" t="s">
        <v>125</v>
      </c>
      <c r="B9747" s="8" t="s">
        <v>58</v>
      </c>
      <c r="C9747" s="8" t="str">
        <f>IFERROR(_xlfn.XLOOKUP(TRIM(B9747),Lookup!$B$2:$B$1000,Lookup!$C$2:$C$1000),"")</f>
        <v>Equity</v>
      </c>
      <c r="D9747" s="8" t="str">
        <f>IFERROR(INDEX('nav master'!$C:$C, MATCH(B9747, 'nav master'!$B:$B, 0)), "")</f>
        <v>ULIF 145 03/06/21 SustainEqu 105</v>
      </c>
      <c r="E9747" s="8" t="s">
        <v>642</v>
      </c>
      <c r="F9747" s="8" t="s">
        <v>2687</v>
      </c>
    </row>
    <row r="9748" spans="1:6" ht="60" x14ac:dyDescent="0.25">
      <c r="A9748" s="8" t="s">
        <v>125</v>
      </c>
      <c r="B9748" s="8" t="s">
        <v>58</v>
      </c>
      <c r="C9748" s="8" t="str">
        <f>IFERROR(_xlfn.XLOOKUP(TRIM(B9748),Lookup!$B$2:$B$1000,Lookup!$C$2:$C$1000),"")</f>
        <v>Equity</v>
      </c>
      <c r="D9748" s="8" t="str">
        <f>IFERROR(INDEX('nav master'!$C:$C, MATCH(B9748, 'nav master'!$B:$B, 0)), "")</f>
        <v>ULIF 145 03/06/21 SustainEqu 105</v>
      </c>
      <c r="E9748" s="8" t="s">
        <v>644</v>
      </c>
      <c r="F9748" s="8" t="s">
        <v>2688</v>
      </c>
    </row>
    <row r="9749" spans="1:6" ht="60" x14ac:dyDescent="0.25">
      <c r="A9749" s="8" t="s">
        <v>125</v>
      </c>
      <c r="B9749" s="8" t="s">
        <v>58</v>
      </c>
      <c r="C9749" s="8" t="str">
        <f>IFERROR(_xlfn.XLOOKUP(TRIM(B9749),Lookup!$B$2:$B$1000,Lookup!$C$2:$C$1000),"")</f>
        <v>Equity</v>
      </c>
      <c r="D9749" s="8" t="str">
        <f>IFERROR(INDEX('nav master'!$C:$C, MATCH(B9749, 'nav master'!$B:$B, 0)), "")</f>
        <v>ULIF 145 03/06/21 SustainEqu 105</v>
      </c>
      <c r="E9749" s="8" t="s">
        <v>646</v>
      </c>
      <c r="F9749" s="8" t="s">
        <v>2689</v>
      </c>
    </row>
    <row r="9750" spans="1:6" ht="60" x14ac:dyDescent="0.25">
      <c r="A9750" s="8" t="s">
        <v>125</v>
      </c>
      <c r="B9750" s="8" t="s">
        <v>58</v>
      </c>
      <c r="C9750" s="8" t="str">
        <f>IFERROR(_xlfn.XLOOKUP(TRIM(B9750),Lookup!$B$2:$B$1000,Lookup!$C$2:$C$1000),"")</f>
        <v>Equity</v>
      </c>
      <c r="D9750" s="8" t="str">
        <f>IFERROR(INDEX('nav master'!$C:$C, MATCH(B9750, 'nav master'!$B:$B, 0)), "")</f>
        <v>ULIF 145 03/06/21 SustainEqu 105</v>
      </c>
      <c r="E9750" s="8" t="s">
        <v>648</v>
      </c>
      <c r="F9750" s="8" t="s">
        <v>2690</v>
      </c>
    </row>
    <row r="9751" spans="1:6" ht="60" x14ac:dyDescent="0.25">
      <c r="A9751" s="8" t="s">
        <v>125</v>
      </c>
      <c r="B9751" s="8" t="s">
        <v>58</v>
      </c>
      <c r="C9751" s="8" t="str">
        <f>IFERROR(_xlfn.XLOOKUP(TRIM(B9751),Lookup!$B$2:$B$1000,Lookup!$C$2:$C$1000),"")</f>
        <v>Equity</v>
      </c>
      <c r="D9751" s="8" t="str">
        <f>IFERROR(INDEX('nav master'!$C:$C, MATCH(B9751, 'nav master'!$B:$B, 0)), "")</f>
        <v>ULIF 145 03/06/21 SustainEqu 105</v>
      </c>
      <c r="E9751" s="8" t="s">
        <v>650</v>
      </c>
      <c r="F9751" s="8" t="s">
        <v>2691</v>
      </c>
    </row>
    <row r="9752" spans="1:6" ht="60" x14ac:dyDescent="0.25">
      <c r="A9752" s="8" t="s">
        <v>125</v>
      </c>
      <c r="B9752" s="8" t="s">
        <v>58</v>
      </c>
      <c r="C9752" s="8" t="str">
        <f>IFERROR(_xlfn.XLOOKUP(TRIM(B9752),Lookup!$B$2:$B$1000,Lookup!$C$2:$C$1000),"")</f>
        <v>Equity</v>
      </c>
      <c r="D9752" s="8" t="str">
        <f>IFERROR(INDEX('nav master'!$C:$C, MATCH(B9752, 'nav master'!$B:$B, 0)), "")</f>
        <v>ULIF 145 03/06/21 SustainEqu 105</v>
      </c>
      <c r="E9752" s="8" t="s">
        <v>652</v>
      </c>
      <c r="F9752" s="8" t="s">
        <v>2692</v>
      </c>
    </row>
    <row r="9753" spans="1:6" ht="60" x14ac:dyDescent="0.25">
      <c r="A9753" s="8" t="s">
        <v>125</v>
      </c>
      <c r="B9753" s="8" t="s">
        <v>58</v>
      </c>
      <c r="C9753" s="8" t="str">
        <f>IFERROR(_xlfn.XLOOKUP(TRIM(B9753),Lookup!$B$2:$B$1000,Lookup!$C$2:$C$1000),"")</f>
        <v>Equity</v>
      </c>
      <c r="D9753" s="8" t="str">
        <f>IFERROR(INDEX('nav master'!$C:$C, MATCH(B9753, 'nav master'!$B:$B, 0)), "")</f>
        <v>ULIF 145 03/06/21 SustainEqu 105</v>
      </c>
      <c r="E9753" s="8" t="s">
        <v>654</v>
      </c>
      <c r="F9753" s="8" t="s">
        <v>2693</v>
      </c>
    </row>
    <row r="9754" spans="1:6" ht="60" x14ac:dyDescent="0.25">
      <c r="A9754" s="8" t="s">
        <v>125</v>
      </c>
      <c r="B9754" s="8" t="s">
        <v>58</v>
      </c>
      <c r="C9754" s="8" t="str">
        <f>IFERROR(_xlfn.XLOOKUP(TRIM(B9754),Lookup!$B$2:$B$1000,Lookup!$C$2:$C$1000),"")</f>
        <v>Equity</v>
      </c>
      <c r="D9754" s="8" t="str">
        <f>IFERROR(INDEX('nav master'!$C:$C, MATCH(B9754, 'nav master'!$B:$B, 0)), "")</f>
        <v>ULIF 145 03/06/21 SustainEqu 105</v>
      </c>
      <c r="E9754" s="8" t="s">
        <v>656</v>
      </c>
      <c r="F9754" s="8" t="s">
        <v>2694</v>
      </c>
    </row>
    <row r="9755" spans="1:6" ht="60" x14ac:dyDescent="0.25">
      <c r="A9755" s="8" t="s">
        <v>125</v>
      </c>
      <c r="B9755" s="8" t="s">
        <v>58</v>
      </c>
      <c r="C9755" s="8" t="str">
        <f>IFERROR(_xlfn.XLOOKUP(TRIM(B9755),Lookup!$B$2:$B$1000,Lookup!$C$2:$C$1000),"")</f>
        <v>Equity</v>
      </c>
      <c r="D9755" s="8" t="str">
        <f>IFERROR(INDEX('nav master'!$C:$C, MATCH(B9755, 'nav master'!$B:$B, 0)), "")</f>
        <v>ULIF 145 03/06/21 SustainEqu 105</v>
      </c>
      <c r="E9755" s="8" t="s">
        <v>658</v>
      </c>
      <c r="F9755" s="8" t="s">
        <v>2695</v>
      </c>
    </row>
    <row r="9756" spans="1:6" ht="60" x14ac:dyDescent="0.25">
      <c r="A9756" s="8" t="s">
        <v>125</v>
      </c>
      <c r="B9756" s="8" t="s">
        <v>58</v>
      </c>
      <c r="C9756" s="8" t="str">
        <f>IFERROR(_xlfn.XLOOKUP(TRIM(B9756),Lookup!$B$2:$B$1000,Lookup!$C$2:$C$1000),"")</f>
        <v>Equity</v>
      </c>
      <c r="D9756" s="8" t="str">
        <f>IFERROR(INDEX('nav master'!$C:$C, MATCH(B9756, 'nav master'!$B:$B, 0)), "")</f>
        <v>ULIF 145 03/06/21 SustainEqu 105</v>
      </c>
      <c r="E9756" s="8" t="s">
        <v>660</v>
      </c>
      <c r="F9756" s="8" t="s">
        <v>2696</v>
      </c>
    </row>
    <row r="9757" spans="1:6" ht="60" x14ac:dyDescent="0.25">
      <c r="A9757" s="8" t="s">
        <v>125</v>
      </c>
      <c r="B9757" s="8" t="s">
        <v>58</v>
      </c>
      <c r="C9757" s="8" t="str">
        <f>IFERROR(_xlfn.XLOOKUP(TRIM(B9757),Lookup!$B$2:$B$1000,Lookup!$C$2:$C$1000),"")</f>
        <v>Equity</v>
      </c>
      <c r="D9757" s="8" t="str">
        <f>IFERROR(INDEX('nav master'!$C:$C, MATCH(B9757, 'nav master'!$B:$B, 0)), "")</f>
        <v>ULIF 145 03/06/21 SustainEqu 105</v>
      </c>
      <c r="E9757" s="8" t="s">
        <v>662</v>
      </c>
      <c r="F9757" s="8" t="s">
        <v>2697</v>
      </c>
    </row>
    <row r="9758" spans="1:6" ht="60" x14ac:dyDescent="0.25">
      <c r="A9758" s="8" t="s">
        <v>125</v>
      </c>
      <c r="B9758" s="8" t="s">
        <v>58</v>
      </c>
      <c r="C9758" s="8" t="str">
        <f>IFERROR(_xlfn.XLOOKUP(TRIM(B9758),Lookup!$B$2:$B$1000,Lookup!$C$2:$C$1000),"")</f>
        <v>Equity</v>
      </c>
      <c r="D9758" s="8" t="str">
        <f>IFERROR(INDEX('nav master'!$C:$C, MATCH(B9758, 'nav master'!$B:$B, 0)), "")</f>
        <v>ULIF 145 03/06/21 SustainEqu 105</v>
      </c>
      <c r="E9758" s="8" t="s">
        <v>664</v>
      </c>
      <c r="F9758" s="8" t="s">
        <v>2698</v>
      </c>
    </row>
    <row r="9759" spans="1:6" ht="60" x14ac:dyDescent="0.25">
      <c r="A9759" s="8" t="s">
        <v>125</v>
      </c>
      <c r="B9759" s="8" t="s">
        <v>58</v>
      </c>
      <c r="C9759" s="8" t="str">
        <f>IFERROR(_xlfn.XLOOKUP(TRIM(B9759),Lookup!$B$2:$B$1000,Lookup!$C$2:$C$1000),"")</f>
        <v>Equity</v>
      </c>
      <c r="D9759" s="8" t="str">
        <f>IFERROR(INDEX('nav master'!$C:$C, MATCH(B9759, 'nav master'!$B:$B, 0)), "")</f>
        <v>ULIF 145 03/06/21 SustainEqu 105</v>
      </c>
      <c r="E9759" s="8" t="s">
        <v>4892</v>
      </c>
      <c r="F9759" s="8" t="s">
        <v>4968</v>
      </c>
    </row>
    <row r="9760" spans="1:6" ht="60" x14ac:dyDescent="0.25">
      <c r="A9760" s="8" t="s">
        <v>125</v>
      </c>
      <c r="B9760" s="8" t="s">
        <v>58</v>
      </c>
      <c r="C9760" s="8" t="str">
        <f>IFERROR(_xlfn.XLOOKUP(TRIM(B9760),Lookup!$B$2:$B$1000,Lookup!$C$2:$C$1000),"")</f>
        <v>Equity</v>
      </c>
      <c r="D9760" s="8" t="str">
        <f>IFERROR(INDEX('nav master'!$C:$C, MATCH(B9760, 'nav master'!$B:$B, 0)), "")</f>
        <v>ULIF 145 03/06/21 SustainEqu 105</v>
      </c>
      <c r="E9760" s="8" t="s">
        <v>4894</v>
      </c>
      <c r="F9760" s="8" t="s">
        <v>4969</v>
      </c>
    </row>
    <row r="9761" spans="1:6" ht="60" x14ac:dyDescent="0.25">
      <c r="A9761" s="8" t="s">
        <v>125</v>
      </c>
      <c r="B9761" s="8" t="s">
        <v>58</v>
      </c>
      <c r="C9761" s="8" t="str">
        <f>IFERROR(_xlfn.XLOOKUP(TRIM(B9761),Lookup!$B$2:$B$1000,Lookup!$C$2:$C$1000),"")</f>
        <v>Equity</v>
      </c>
      <c r="D9761" s="8" t="str">
        <f>IFERROR(INDEX('nav master'!$C:$C, MATCH(B9761, 'nav master'!$B:$B, 0)), "")</f>
        <v>ULIF 145 03/06/21 SustainEqu 105</v>
      </c>
      <c r="E9761" s="8" t="s">
        <v>4896</v>
      </c>
      <c r="F9761" s="8" t="s">
        <v>4970</v>
      </c>
    </row>
    <row r="9762" spans="1:6" ht="60" x14ac:dyDescent="0.25">
      <c r="A9762" s="8" t="s">
        <v>125</v>
      </c>
      <c r="B9762" s="8" t="s">
        <v>58</v>
      </c>
      <c r="C9762" s="8" t="str">
        <f>IFERROR(_xlfn.XLOOKUP(TRIM(B9762),Lookup!$B$2:$B$1000,Lookup!$C$2:$C$1000),"")</f>
        <v>Equity</v>
      </c>
      <c r="D9762" s="8" t="str">
        <f>IFERROR(INDEX('nav master'!$C:$C, MATCH(B9762, 'nav master'!$B:$B, 0)), "")</f>
        <v>ULIF 145 03/06/21 SustainEqu 105</v>
      </c>
      <c r="E9762" s="8" t="s">
        <v>4898</v>
      </c>
      <c r="F9762" s="8" t="s">
        <v>4971</v>
      </c>
    </row>
    <row r="9763" spans="1:6" ht="60" x14ac:dyDescent="0.25">
      <c r="A9763" s="8" t="s">
        <v>125</v>
      </c>
      <c r="B9763" s="8" t="s">
        <v>58</v>
      </c>
      <c r="C9763" s="8" t="str">
        <f>IFERROR(_xlfn.XLOOKUP(TRIM(B9763),Lookup!$B$2:$B$1000,Lookup!$C$2:$C$1000),"")</f>
        <v>Equity</v>
      </c>
      <c r="D9763" s="8" t="str">
        <f>IFERROR(INDEX('nav master'!$C:$C, MATCH(B9763, 'nav master'!$B:$B, 0)), "")</f>
        <v>ULIF 145 03/06/21 SustainEqu 105</v>
      </c>
      <c r="E9763" s="8" t="s">
        <v>4900</v>
      </c>
      <c r="F9763" s="8" t="s">
        <v>4972</v>
      </c>
    </row>
    <row r="9764" spans="1:6" ht="60" x14ac:dyDescent="0.25">
      <c r="A9764" s="8" t="s">
        <v>125</v>
      </c>
      <c r="B9764" s="8" t="s">
        <v>58</v>
      </c>
      <c r="C9764" s="8" t="str">
        <f>IFERROR(_xlfn.XLOOKUP(TRIM(B9764),Lookup!$B$2:$B$1000,Lookup!$C$2:$C$1000),"")</f>
        <v>Equity</v>
      </c>
      <c r="D9764" s="8" t="str">
        <f>IFERROR(INDEX('nav master'!$C:$C, MATCH(B9764, 'nav master'!$B:$B, 0)), "")</f>
        <v>ULIF 145 03/06/21 SustainEqu 105</v>
      </c>
      <c r="E9764" s="8" t="s">
        <v>4902</v>
      </c>
      <c r="F9764" s="8" t="s">
        <v>4973</v>
      </c>
    </row>
    <row r="9765" spans="1:6" ht="60" x14ac:dyDescent="0.25">
      <c r="A9765" s="8" t="s">
        <v>125</v>
      </c>
      <c r="B9765" s="8" t="s">
        <v>58</v>
      </c>
      <c r="C9765" s="8" t="str">
        <f>IFERROR(_xlfn.XLOOKUP(TRIM(B9765),Lookup!$B$2:$B$1000,Lookup!$C$2:$C$1000),"")</f>
        <v>Equity</v>
      </c>
      <c r="D9765" s="8" t="str">
        <f>IFERROR(INDEX('nav master'!$C:$C, MATCH(B9765, 'nav master'!$B:$B, 0)), "")</f>
        <v>ULIF 145 03/06/21 SustainEqu 105</v>
      </c>
      <c r="E9765" s="8" t="s">
        <v>4903</v>
      </c>
      <c r="F9765" s="8" t="s">
        <v>4974</v>
      </c>
    </row>
    <row r="9766" spans="1:6" ht="60" x14ac:dyDescent="0.25">
      <c r="A9766" s="8" t="s">
        <v>125</v>
      </c>
      <c r="B9766" s="8" t="s">
        <v>58</v>
      </c>
      <c r="C9766" s="8" t="str">
        <f>IFERROR(_xlfn.XLOOKUP(TRIM(B9766),Lookup!$B$2:$B$1000,Lookup!$C$2:$C$1000),"")</f>
        <v>Equity</v>
      </c>
      <c r="D9766" s="8" t="str">
        <f>IFERROR(INDEX('nav master'!$C:$C, MATCH(B9766, 'nav master'!$B:$B, 0)), "")</f>
        <v>ULIF 145 03/06/21 SustainEqu 105</v>
      </c>
      <c r="E9766" s="8" t="s">
        <v>4905</v>
      </c>
      <c r="F9766" s="8" t="s">
        <v>4975</v>
      </c>
    </row>
    <row r="9767" spans="1:6" ht="60" x14ac:dyDescent="0.25">
      <c r="A9767" s="8" t="s">
        <v>125</v>
      </c>
      <c r="B9767" s="8" t="s">
        <v>64</v>
      </c>
      <c r="C9767" s="8" t="str">
        <f>IFERROR(_xlfn.XLOOKUP(TRIM(B9767),Lookup!$B$2:$B$1000,Lookup!$C$2:$C$1000),"")</f>
        <v>Hybrid</v>
      </c>
      <c r="D9767" s="8" t="str">
        <f>IFERROR(INDEX('nav master'!$C:$C, MATCH(B9767, 'nav master'!$B:$B, 0)), "")</f>
        <v>ULIF08028/02/25DynamicFnd101</v>
      </c>
      <c r="E9767" s="8" t="s">
        <v>189</v>
      </c>
      <c r="F9767" s="8" t="s">
        <v>2699</v>
      </c>
    </row>
    <row r="9768" spans="1:6" ht="60" x14ac:dyDescent="0.25">
      <c r="A9768" s="8" t="s">
        <v>125</v>
      </c>
      <c r="B9768" s="8" t="s">
        <v>64</v>
      </c>
      <c r="C9768" s="8" t="str">
        <f>IFERROR(_xlfn.XLOOKUP(TRIM(B9768),Lookup!$B$2:$B$1000,Lookup!$C$2:$C$1000),"")</f>
        <v>Hybrid</v>
      </c>
      <c r="D9768" s="8" t="str">
        <f>IFERROR(INDEX('nav master'!$C:$C, MATCH(B9768, 'nav master'!$B:$B, 0)), "")</f>
        <v>ULIF08028/02/25DynamicFnd101</v>
      </c>
      <c r="E9768" s="8" t="s">
        <v>191</v>
      </c>
      <c r="F9768" s="8" t="s">
        <v>2700</v>
      </c>
    </row>
    <row r="9769" spans="1:6" ht="60" x14ac:dyDescent="0.25">
      <c r="A9769" s="8" t="s">
        <v>125</v>
      </c>
      <c r="B9769" s="8" t="s">
        <v>64</v>
      </c>
      <c r="C9769" s="8" t="str">
        <f>IFERROR(_xlfn.XLOOKUP(TRIM(B9769),Lookup!$B$2:$B$1000,Lookup!$C$2:$C$1000),"")</f>
        <v>Hybrid</v>
      </c>
      <c r="D9769" s="8" t="str">
        <f>IFERROR(INDEX('nav master'!$C:$C, MATCH(B9769, 'nav master'!$B:$B, 0)), "")</f>
        <v>ULIF08028/02/25DynamicFnd101</v>
      </c>
      <c r="E9769" s="8" t="s">
        <v>193</v>
      </c>
      <c r="F9769" s="8" t="s">
        <v>2701</v>
      </c>
    </row>
    <row r="9770" spans="1:6" ht="60" x14ac:dyDescent="0.25">
      <c r="A9770" s="8" t="s">
        <v>125</v>
      </c>
      <c r="B9770" s="8" t="s">
        <v>64</v>
      </c>
      <c r="C9770" s="8" t="str">
        <f>IFERROR(_xlfn.XLOOKUP(TRIM(B9770),Lookup!$B$2:$B$1000,Lookup!$C$2:$C$1000),"")</f>
        <v>Hybrid</v>
      </c>
      <c r="D9770" s="8" t="str">
        <f>IFERROR(INDEX('nav master'!$C:$C, MATCH(B9770, 'nav master'!$B:$B, 0)), "")</f>
        <v>ULIF08028/02/25DynamicFnd101</v>
      </c>
      <c r="E9770" s="8" t="s">
        <v>195</v>
      </c>
      <c r="F9770" s="8" t="s">
        <v>2702</v>
      </c>
    </row>
    <row r="9771" spans="1:6" ht="60" x14ac:dyDescent="0.25">
      <c r="A9771" s="8" t="s">
        <v>125</v>
      </c>
      <c r="B9771" s="8" t="s">
        <v>64</v>
      </c>
      <c r="C9771" s="8" t="str">
        <f>IFERROR(_xlfn.XLOOKUP(TRIM(B9771),Lookup!$B$2:$B$1000,Lookup!$C$2:$C$1000),"")</f>
        <v>Hybrid</v>
      </c>
      <c r="D9771" s="8" t="str">
        <f>IFERROR(INDEX('nav master'!$C:$C, MATCH(B9771, 'nav master'!$B:$B, 0)), "")</f>
        <v>ULIF08028/02/25DynamicFnd101</v>
      </c>
      <c r="E9771" s="8" t="s">
        <v>197</v>
      </c>
      <c r="F9771" s="8" t="s">
        <v>2703</v>
      </c>
    </row>
    <row r="9772" spans="1:6" ht="60" x14ac:dyDescent="0.25">
      <c r="A9772" s="8" t="s">
        <v>125</v>
      </c>
      <c r="B9772" s="8" t="s">
        <v>64</v>
      </c>
      <c r="C9772" s="8" t="str">
        <f>IFERROR(_xlfn.XLOOKUP(TRIM(B9772),Lookup!$B$2:$B$1000,Lookup!$C$2:$C$1000),"")</f>
        <v>Hybrid</v>
      </c>
      <c r="D9772" s="8" t="str">
        <f>IFERROR(INDEX('nav master'!$C:$C, MATCH(B9772, 'nav master'!$B:$B, 0)), "")</f>
        <v>ULIF08028/02/25DynamicFnd101</v>
      </c>
      <c r="E9772" s="8" t="s">
        <v>199</v>
      </c>
      <c r="F9772" s="8" t="s">
        <v>2704</v>
      </c>
    </row>
    <row r="9773" spans="1:6" ht="60" x14ac:dyDescent="0.25">
      <c r="A9773" s="8" t="s">
        <v>125</v>
      </c>
      <c r="B9773" s="8" t="s">
        <v>64</v>
      </c>
      <c r="C9773" s="8" t="str">
        <f>IFERROR(_xlfn.XLOOKUP(TRIM(B9773),Lookup!$B$2:$B$1000,Lookup!$C$2:$C$1000),"")</f>
        <v>Hybrid</v>
      </c>
      <c r="D9773" s="8" t="str">
        <f>IFERROR(INDEX('nav master'!$C:$C, MATCH(B9773, 'nav master'!$B:$B, 0)), "")</f>
        <v>ULIF08028/02/25DynamicFnd101</v>
      </c>
      <c r="E9773" s="8" t="s">
        <v>201</v>
      </c>
      <c r="F9773" s="8" t="s">
        <v>2705</v>
      </c>
    </row>
    <row r="9774" spans="1:6" ht="60" x14ac:dyDescent="0.25">
      <c r="A9774" s="8" t="s">
        <v>125</v>
      </c>
      <c r="B9774" s="8" t="s">
        <v>64</v>
      </c>
      <c r="C9774" s="8" t="str">
        <f>IFERROR(_xlfn.XLOOKUP(TRIM(B9774),Lookup!$B$2:$B$1000,Lookup!$C$2:$C$1000),"")</f>
        <v>Hybrid</v>
      </c>
      <c r="D9774" s="8" t="str">
        <f>IFERROR(INDEX('nav master'!$C:$C, MATCH(B9774, 'nav master'!$B:$B, 0)), "")</f>
        <v>ULIF08028/02/25DynamicFnd101</v>
      </c>
      <c r="E9774" s="8" t="s">
        <v>203</v>
      </c>
      <c r="F9774" s="8" t="s">
        <v>2706</v>
      </c>
    </row>
    <row r="9775" spans="1:6" ht="60" x14ac:dyDescent="0.25">
      <c r="A9775" s="8" t="s">
        <v>125</v>
      </c>
      <c r="B9775" s="8" t="s">
        <v>64</v>
      </c>
      <c r="C9775" s="8" t="str">
        <f>IFERROR(_xlfn.XLOOKUP(TRIM(B9775),Lookup!$B$2:$B$1000,Lookup!$C$2:$C$1000),"")</f>
        <v>Hybrid</v>
      </c>
      <c r="D9775" s="8" t="str">
        <f>IFERROR(INDEX('nav master'!$C:$C, MATCH(B9775, 'nav master'!$B:$B, 0)), "")</f>
        <v>ULIF08028/02/25DynamicFnd101</v>
      </c>
      <c r="E9775" s="8" t="s">
        <v>205</v>
      </c>
      <c r="F9775" s="8" t="s">
        <v>2707</v>
      </c>
    </row>
    <row r="9776" spans="1:6" ht="60" x14ac:dyDescent="0.25">
      <c r="A9776" s="8" t="s">
        <v>125</v>
      </c>
      <c r="B9776" s="8" t="s">
        <v>64</v>
      </c>
      <c r="C9776" s="8" t="str">
        <f>IFERROR(_xlfn.XLOOKUP(TRIM(B9776),Lookup!$B$2:$B$1000,Lookup!$C$2:$C$1000),"")</f>
        <v>Hybrid</v>
      </c>
      <c r="D9776" s="8" t="str">
        <f>IFERROR(INDEX('nav master'!$C:$C, MATCH(B9776, 'nav master'!$B:$B, 0)), "")</f>
        <v>ULIF08028/02/25DynamicFnd101</v>
      </c>
      <c r="E9776" s="8" t="s">
        <v>207</v>
      </c>
      <c r="F9776" s="8" t="s">
        <v>2708</v>
      </c>
    </row>
    <row r="9777" spans="1:6" ht="60" x14ac:dyDescent="0.25">
      <c r="A9777" s="8" t="s">
        <v>125</v>
      </c>
      <c r="B9777" s="8" t="s">
        <v>64</v>
      </c>
      <c r="C9777" s="8" t="str">
        <f>IFERROR(_xlfn.XLOOKUP(TRIM(B9777),Lookup!$B$2:$B$1000,Lookup!$C$2:$C$1000),"")</f>
        <v>Hybrid</v>
      </c>
      <c r="D9777" s="8" t="str">
        <f>IFERROR(INDEX('nav master'!$C:$C, MATCH(B9777, 'nav master'!$B:$B, 0)), "")</f>
        <v>ULIF08028/02/25DynamicFnd101</v>
      </c>
      <c r="E9777" s="8" t="s">
        <v>209</v>
      </c>
      <c r="F9777" s="8" t="s">
        <v>2709</v>
      </c>
    </row>
    <row r="9778" spans="1:6" ht="60" x14ac:dyDescent="0.25">
      <c r="A9778" s="8" t="s">
        <v>125</v>
      </c>
      <c r="B9778" s="8" t="s">
        <v>64</v>
      </c>
      <c r="C9778" s="8" t="str">
        <f>IFERROR(_xlfn.XLOOKUP(TRIM(B9778),Lookup!$B$2:$B$1000,Lookup!$C$2:$C$1000),"")</f>
        <v>Hybrid</v>
      </c>
      <c r="D9778" s="8" t="str">
        <f>IFERROR(INDEX('nav master'!$C:$C, MATCH(B9778, 'nav master'!$B:$B, 0)), "")</f>
        <v>ULIF08028/02/25DynamicFnd101</v>
      </c>
      <c r="E9778" s="8" t="s">
        <v>211</v>
      </c>
      <c r="F9778" s="8" t="s">
        <v>2710</v>
      </c>
    </row>
    <row r="9779" spans="1:6" ht="60" x14ac:dyDescent="0.25">
      <c r="A9779" s="8" t="s">
        <v>125</v>
      </c>
      <c r="B9779" s="8" t="s">
        <v>64</v>
      </c>
      <c r="C9779" s="8" t="str">
        <f>IFERROR(_xlfn.XLOOKUP(TRIM(B9779),Lookup!$B$2:$B$1000,Lookup!$C$2:$C$1000),"")</f>
        <v>Hybrid</v>
      </c>
      <c r="D9779" s="8" t="str">
        <f>IFERROR(INDEX('nav master'!$C:$C, MATCH(B9779, 'nav master'!$B:$B, 0)), "")</f>
        <v>ULIF08028/02/25DynamicFnd101</v>
      </c>
      <c r="E9779" s="8" t="s">
        <v>213</v>
      </c>
      <c r="F9779" s="8" t="s">
        <v>2711</v>
      </c>
    </row>
    <row r="9780" spans="1:6" ht="60" x14ac:dyDescent="0.25">
      <c r="A9780" s="8" t="s">
        <v>125</v>
      </c>
      <c r="B9780" s="8" t="s">
        <v>64</v>
      </c>
      <c r="C9780" s="8" t="str">
        <f>IFERROR(_xlfn.XLOOKUP(TRIM(B9780),Lookup!$B$2:$B$1000,Lookup!$C$2:$C$1000),"")</f>
        <v>Hybrid</v>
      </c>
      <c r="D9780" s="8" t="str">
        <f>IFERROR(INDEX('nav master'!$C:$C, MATCH(B9780, 'nav master'!$B:$B, 0)), "")</f>
        <v>ULIF08028/02/25DynamicFnd101</v>
      </c>
      <c r="E9780" s="8" t="s">
        <v>215</v>
      </c>
      <c r="F9780" s="8" t="s">
        <v>2712</v>
      </c>
    </row>
    <row r="9781" spans="1:6" ht="60" x14ac:dyDescent="0.25">
      <c r="A9781" s="8" t="s">
        <v>125</v>
      </c>
      <c r="B9781" s="8" t="s">
        <v>64</v>
      </c>
      <c r="C9781" s="8" t="str">
        <f>IFERROR(_xlfn.XLOOKUP(TRIM(B9781),Lookup!$B$2:$B$1000,Lookup!$C$2:$C$1000),"")</f>
        <v>Hybrid</v>
      </c>
      <c r="D9781" s="8" t="str">
        <f>IFERROR(INDEX('nav master'!$C:$C, MATCH(B9781, 'nav master'!$B:$B, 0)), "")</f>
        <v>ULIF08028/02/25DynamicFnd101</v>
      </c>
      <c r="E9781" s="8" t="s">
        <v>217</v>
      </c>
      <c r="F9781" s="8" t="s">
        <v>2713</v>
      </c>
    </row>
    <row r="9782" spans="1:6" ht="60" x14ac:dyDescent="0.25">
      <c r="A9782" s="8" t="s">
        <v>125</v>
      </c>
      <c r="B9782" s="8" t="s">
        <v>64</v>
      </c>
      <c r="C9782" s="8" t="str">
        <f>IFERROR(_xlfn.XLOOKUP(TRIM(B9782),Lookup!$B$2:$B$1000,Lookup!$C$2:$C$1000),"")</f>
        <v>Hybrid</v>
      </c>
      <c r="D9782" s="8" t="str">
        <f>IFERROR(INDEX('nav master'!$C:$C, MATCH(B9782, 'nav master'!$B:$B, 0)), "")</f>
        <v>ULIF08028/02/25DynamicFnd101</v>
      </c>
      <c r="E9782" s="8" t="s">
        <v>219</v>
      </c>
      <c r="F9782" s="8" t="s">
        <v>2714</v>
      </c>
    </row>
    <row r="9783" spans="1:6" ht="60" x14ac:dyDescent="0.25">
      <c r="A9783" s="8" t="s">
        <v>125</v>
      </c>
      <c r="B9783" s="8" t="s">
        <v>64</v>
      </c>
      <c r="C9783" s="8" t="str">
        <f>IFERROR(_xlfn.XLOOKUP(TRIM(B9783),Lookup!$B$2:$B$1000,Lookup!$C$2:$C$1000),"")</f>
        <v>Hybrid</v>
      </c>
      <c r="D9783" s="8" t="str">
        <f>IFERROR(INDEX('nav master'!$C:$C, MATCH(B9783, 'nav master'!$B:$B, 0)), "")</f>
        <v>ULIF08028/02/25DynamicFnd101</v>
      </c>
      <c r="E9783" s="8" t="s">
        <v>221</v>
      </c>
      <c r="F9783" s="8" t="s">
        <v>2715</v>
      </c>
    </row>
    <row r="9784" spans="1:6" ht="60" x14ac:dyDescent="0.25">
      <c r="A9784" s="8" t="s">
        <v>125</v>
      </c>
      <c r="B9784" s="8" t="s">
        <v>64</v>
      </c>
      <c r="C9784" s="8" t="str">
        <f>IFERROR(_xlfn.XLOOKUP(TRIM(B9784),Lookup!$B$2:$B$1000,Lookup!$C$2:$C$1000),"")</f>
        <v>Hybrid</v>
      </c>
      <c r="D9784" s="8" t="str">
        <f>IFERROR(INDEX('nav master'!$C:$C, MATCH(B9784, 'nav master'!$B:$B, 0)), "")</f>
        <v>ULIF08028/02/25DynamicFnd101</v>
      </c>
      <c r="E9784" s="8" t="s">
        <v>223</v>
      </c>
      <c r="F9784" s="8" t="s">
        <v>2716</v>
      </c>
    </row>
    <row r="9785" spans="1:6" ht="60" x14ac:dyDescent="0.25">
      <c r="A9785" s="8" t="s">
        <v>125</v>
      </c>
      <c r="B9785" s="8" t="s">
        <v>64</v>
      </c>
      <c r="C9785" s="8" t="str">
        <f>IFERROR(_xlfn.XLOOKUP(TRIM(B9785),Lookup!$B$2:$B$1000,Lookup!$C$2:$C$1000),"")</f>
        <v>Hybrid</v>
      </c>
      <c r="D9785" s="8" t="str">
        <f>IFERROR(INDEX('nav master'!$C:$C, MATCH(B9785, 'nav master'!$B:$B, 0)), "")</f>
        <v>ULIF08028/02/25DynamicFnd101</v>
      </c>
      <c r="E9785" s="8" t="s">
        <v>225</v>
      </c>
      <c r="F9785" s="8" t="s">
        <v>2717</v>
      </c>
    </row>
    <row r="9786" spans="1:6" ht="60" x14ac:dyDescent="0.25">
      <c r="A9786" s="8" t="s">
        <v>125</v>
      </c>
      <c r="B9786" s="8" t="s">
        <v>64</v>
      </c>
      <c r="C9786" s="8" t="str">
        <f>IFERROR(_xlfn.XLOOKUP(TRIM(B9786),Lookup!$B$2:$B$1000,Lookup!$C$2:$C$1000),"")</f>
        <v>Hybrid</v>
      </c>
      <c r="D9786" s="8" t="str">
        <f>IFERROR(INDEX('nav master'!$C:$C, MATCH(B9786, 'nav master'!$B:$B, 0)), "")</f>
        <v>ULIF08028/02/25DynamicFnd101</v>
      </c>
      <c r="E9786" s="8" t="s">
        <v>227</v>
      </c>
      <c r="F9786" s="8" t="s">
        <v>2718</v>
      </c>
    </row>
    <row r="9787" spans="1:6" ht="60" x14ac:dyDescent="0.25">
      <c r="A9787" s="8" t="s">
        <v>125</v>
      </c>
      <c r="B9787" s="8" t="s">
        <v>64</v>
      </c>
      <c r="C9787" s="8" t="str">
        <f>IFERROR(_xlfn.XLOOKUP(TRIM(B9787),Lookup!$B$2:$B$1000,Lookup!$C$2:$C$1000),"")</f>
        <v>Hybrid</v>
      </c>
      <c r="D9787" s="8" t="str">
        <f>IFERROR(INDEX('nav master'!$C:$C, MATCH(B9787, 'nav master'!$B:$B, 0)), "")</f>
        <v>ULIF08028/02/25DynamicFnd101</v>
      </c>
      <c r="E9787" s="8" t="s">
        <v>229</v>
      </c>
      <c r="F9787" s="8" t="s">
        <v>2719</v>
      </c>
    </row>
    <row r="9788" spans="1:6" ht="60" x14ac:dyDescent="0.25">
      <c r="A9788" s="8" t="s">
        <v>125</v>
      </c>
      <c r="B9788" s="8" t="s">
        <v>64</v>
      </c>
      <c r="C9788" s="8" t="str">
        <f>IFERROR(_xlfn.XLOOKUP(TRIM(B9788),Lookup!$B$2:$B$1000,Lookup!$C$2:$C$1000),"")</f>
        <v>Hybrid</v>
      </c>
      <c r="D9788" s="8" t="str">
        <f>IFERROR(INDEX('nav master'!$C:$C, MATCH(B9788, 'nav master'!$B:$B, 0)), "")</f>
        <v>ULIF08028/02/25DynamicFnd101</v>
      </c>
      <c r="E9788" s="8" t="s">
        <v>231</v>
      </c>
      <c r="F9788" s="8" t="s">
        <v>2720</v>
      </c>
    </row>
    <row r="9789" spans="1:6" ht="60" x14ac:dyDescent="0.25">
      <c r="A9789" s="8" t="s">
        <v>125</v>
      </c>
      <c r="B9789" s="8" t="s">
        <v>64</v>
      </c>
      <c r="C9789" s="8" t="str">
        <f>IFERROR(_xlfn.XLOOKUP(TRIM(B9789),Lookup!$B$2:$B$1000,Lookup!$C$2:$C$1000),"")</f>
        <v>Hybrid</v>
      </c>
      <c r="D9789" s="8" t="str">
        <f>IFERROR(INDEX('nav master'!$C:$C, MATCH(B9789, 'nav master'!$B:$B, 0)), "")</f>
        <v>ULIF08028/02/25DynamicFnd101</v>
      </c>
      <c r="E9789" s="8" t="s">
        <v>233</v>
      </c>
      <c r="F9789" s="8" t="s">
        <v>2721</v>
      </c>
    </row>
    <row r="9790" spans="1:6" ht="60" x14ac:dyDescent="0.25">
      <c r="A9790" s="8" t="s">
        <v>125</v>
      </c>
      <c r="B9790" s="8" t="s">
        <v>64</v>
      </c>
      <c r="C9790" s="8" t="str">
        <f>IFERROR(_xlfn.XLOOKUP(TRIM(B9790),Lookup!$B$2:$B$1000,Lookup!$C$2:$C$1000),"")</f>
        <v>Hybrid</v>
      </c>
      <c r="D9790" s="8" t="str">
        <f>IFERROR(INDEX('nav master'!$C:$C, MATCH(B9790, 'nav master'!$B:$B, 0)), "")</f>
        <v>ULIF08028/02/25DynamicFnd101</v>
      </c>
      <c r="E9790" s="8" t="s">
        <v>235</v>
      </c>
      <c r="F9790" s="8" t="s">
        <v>2722</v>
      </c>
    </row>
    <row r="9791" spans="1:6" ht="60" x14ac:dyDescent="0.25">
      <c r="A9791" s="8" t="s">
        <v>125</v>
      </c>
      <c r="B9791" s="8" t="s">
        <v>64</v>
      </c>
      <c r="C9791" s="8" t="str">
        <f>IFERROR(_xlfn.XLOOKUP(TRIM(B9791),Lookup!$B$2:$B$1000,Lookup!$C$2:$C$1000),"")</f>
        <v>Hybrid</v>
      </c>
      <c r="D9791" s="8" t="str">
        <f>IFERROR(INDEX('nav master'!$C:$C, MATCH(B9791, 'nav master'!$B:$B, 0)), "")</f>
        <v>ULIF08028/02/25DynamicFnd101</v>
      </c>
      <c r="E9791" s="8" t="s">
        <v>237</v>
      </c>
      <c r="F9791" s="8" t="s">
        <v>2723</v>
      </c>
    </row>
    <row r="9792" spans="1:6" ht="60" x14ac:dyDescent="0.25">
      <c r="A9792" s="8" t="s">
        <v>125</v>
      </c>
      <c r="B9792" s="8" t="s">
        <v>64</v>
      </c>
      <c r="C9792" s="8" t="str">
        <f>IFERROR(_xlfn.XLOOKUP(TRIM(B9792),Lookup!$B$2:$B$1000,Lookup!$C$2:$C$1000),"")</f>
        <v>Hybrid</v>
      </c>
      <c r="D9792" s="8" t="str">
        <f>IFERROR(INDEX('nav master'!$C:$C, MATCH(B9792, 'nav master'!$B:$B, 0)), "")</f>
        <v>ULIF08028/02/25DynamicFnd101</v>
      </c>
      <c r="E9792" s="8" t="s">
        <v>239</v>
      </c>
      <c r="F9792" s="8" t="s">
        <v>2724</v>
      </c>
    </row>
    <row r="9793" spans="1:6" ht="60" x14ac:dyDescent="0.25">
      <c r="A9793" s="8" t="s">
        <v>125</v>
      </c>
      <c r="B9793" s="8" t="s">
        <v>64</v>
      </c>
      <c r="C9793" s="8" t="str">
        <f>IFERROR(_xlfn.XLOOKUP(TRIM(B9793),Lookup!$B$2:$B$1000,Lookup!$C$2:$C$1000),"")</f>
        <v>Hybrid</v>
      </c>
      <c r="D9793" s="8" t="str">
        <f>IFERROR(INDEX('nav master'!$C:$C, MATCH(B9793, 'nav master'!$B:$B, 0)), "")</f>
        <v>ULIF08028/02/25DynamicFnd101</v>
      </c>
      <c r="E9793" s="8" t="s">
        <v>241</v>
      </c>
      <c r="F9793" s="8" t="s">
        <v>2725</v>
      </c>
    </row>
    <row r="9794" spans="1:6" ht="60" x14ac:dyDescent="0.25">
      <c r="A9794" s="8" t="s">
        <v>125</v>
      </c>
      <c r="B9794" s="8" t="s">
        <v>64</v>
      </c>
      <c r="C9794" s="8" t="str">
        <f>IFERROR(_xlfn.XLOOKUP(TRIM(B9794),Lookup!$B$2:$B$1000,Lookup!$C$2:$C$1000),"")</f>
        <v>Hybrid</v>
      </c>
      <c r="D9794" s="8" t="str">
        <f>IFERROR(INDEX('nav master'!$C:$C, MATCH(B9794, 'nav master'!$B:$B, 0)), "")</f>
        <v>ULIF08028/02/25DynamicFnd101</v>
      </c>
      <c r="E9794" s="8" t="s">
        <v>243</v>
      </c>
      <c r="F9794" s="8" t="s">
        <v>2726</v>
      </c>
    </row>
    <row r="9795" spans="1:6" ht="60" x14ac:dyDescent="0.25">
      <c r="A9795" s="8" t="s">
        <v>125</v>
      </c>
      <c r="B9795" s="8" t="s">
        <v>64</v>
      </c>
      <c r="C9795" s="8" t="str">
        <f>IFERROR(_xlfn.XLOOKUP(TRIM(B9795),Lookup!$B$2:$B$1000,Lookup!$C$2:$C$1000),"")</f>
        <v>Hybrid</v>
      </c>
      <c r="D9795" s="8" t="str">
        <f>IFERROR(INDEX('nav master'!$C:$C, MATCH(B9795, 'nav master'!$B:$B, 0)), "")</f>
        <v>ULIF08028/02/25DynamicFnd101</v>
      </c>
      <c r="E9795" s="8" t="s">
        <v>245</v>
      </c>
      <c r="F9795" s="8" t="s">
        <v>2727</v>
      </c>
    </row>
    <row r="9796" spans="1:6" ht="60" x14ac:dyDescent="0.25">
      <c r="A9796" s="8" t="s">
        <v>125</v>
      </c>
      <c r="B9796" s="8" t="s">
        <v>64</v>
      </c>
      <c r="C9796" s="8" t="str">
        <f>IFERROR(_xlfn.XLOOKUP(TRIM(B9796),Lookup!$B$2:$B$1000,Lookup!$C$2:$C$1000),"")</f>
        <v>Hybrid</v>
      </c>
      <c r="D9796" s="8" t="str">
        <f>IFERROR(INDEX('nav master'!$C:$C, MATCH(B9796, 'nav master'!$B:$B, 0)), "")</f>
        <v>ULIF08028/02/25DynamicFnd101</v>
      </c>
      <c r="E9796" s="8" t="s">
        <v>247</v>
      </c>
      <c r="F9796" s="8" t="s">
        <v>2728</v>
      </c>
    </row>
    <row r="9797" spans="1:6" ht="60" x14ac:dyDescent="0.25">
      <c r="A9797" s="8" t="s">
        <v>125</v>
      </c>
      <c r="B9797" s="8" t="s">
        <v>64</v>
      </c>
      <c r="C9797" s="8" t="str">
        <f>IFERROR(_xlfn.XLOOKUP(TRIM(B9797),Lookup!$B$2:$B$1000,Lookup!$C$2:$C$1000),"")</f>
        <v>Hybrid</v>
      </c>
      <c r="D9797" s="8" t="str">
        <f>IFERROR(INDEX('nav master'!$C:$C, MATCH(B9797, 'nav master'!$B:$B, 0)), "")</f>
        <v>ULIF08028/02/25DynamicFnd101</v>
      </c>
      <c r="E9797" s="8" t="s">
        <v>249</v>
      </c>
      <c r="F9797" s="8" t="s">
        <v>2729</v>
      </c>
    </row>
    <row r="9798" spans="1:6" ht="60" x14ac:dyDescent="0.25">
      <c r="A9798" s="8" t="s">
        <v>125</v>
      </c>
      <c r="B9798" s="8" t="s">
        <v>64</v>
      </c>
      <c r="C9798" s="8" t="str">
        <f>IFERROR(_xlfn.XLOOKUP(TRIM(B9798),Lookup!$B$2:$B$1000,Lookup!$C$2:$C$1000),"")</f>
        <v>Hybrid</v>
      </c>
      <c r="D9798" s="8" t="str">
        <f>IFERROR(INDEX('nav master'!$C:$C, MATCH(B9798, 'nav master'!$B:$B, 0)), "")</f>
        <v>ULIF08028/02/25DynamicFnd101</v>
      </c>
      <c r="E9798" s="8" t="s">
        <v>251</v>
      </c>
      <c r="F9798" s="8" t="s">
        <v>2730</v>
      </c>
    </row>
    <row r="9799" spans="1:6" ht="60" x14ac:dyDescent="0.25">
      <c r="A9799" s="8" t="s">
        <v>125</v>
      </c>
      <c r="B9799" s="8" t="s">
        <v>64</v>
      </c>
      <c r="C9799" s="8" t="str">
        <f>IFERROR(_xlfn.XLOOKUP(TRIM(B9799),Lookup!$B$2:$B$1000,Lookup!$C$2:$C$1000),"")</f>
        <v>Hybrid</v>
      </c>
      <c r="D9799" s="8" t="str">
        <f>IFERROR(INDEX('nav master'!$C:$C, MATCH(B9799, 'nav master'!$B:$B, 0)), "")</f>
        <v>ULIF08028/02/25DynamicFnd101</v>
      </c>
      <c r="E9799" s="8" t="s">
        <v>253</v>
      </c>
      <c r="F9799" s="8" t="s">
        <v>2731</v>
      </c>
    </row>
    <row r="9800" spans="1:6" ht="60" x14ac:dyDescent="0.25">
      <c r="A9800" s="8" t="s">
        <v>125</v>
      </c>
      <c r="B9800" s="8" t="s">
        <v>64</v>
      </c>
      <c r="C9800" s="8" t="str">
        <f>IFERROR(_xlfn.XLOOKUP(TRIM(B9800),Lookup!$B$2:$B$1000,Lookup!$C$2:$C$1000),"")</f>
        <v>Hybrid</v>
      </c>
      <c r="D9800" s="8" t="str">
        <f>IFERROR(INDEX('nav master'!$C:$C, MATCH(B9800, 'nav master'!$B:$B, 0)), "")</f>
        <v>ULIF08028/02/25DynamicFnd101</v>
      </c>
      <c r="E9800" s="8" t="s">
        <v>255</v>
      </c>
      <c r="F9800" s="8" t="s">
        <v>2732</v>
      </c>
    </row>
    <row r="9801" spans="1:6" ht="60" x14ac:dyDescent="0.25">
      <c r="A9801" s="8" t="s">
        <v>125</v>
      </c>
      <c r="B9801" s="8" t="s">
        <v>64</v>
      </c>
      <c r="C9801" s="8" t="str">
        <f>IFERROR(_xlfn.XLOOKUP(TRIM(B9801),Lookup!$B$2:$B$1000,Lookup!$C$2:$C$1000),"")</f>
        <v>Hybrid</v>
      </c>
      <c r="D9801" s="8" t="str">
        <f>IFERROR(INDEX('nav master'!$C:$C, MATCH(B9801, 'nav master'!$B:$B, 0)), "")</f>
        <v>ULIF08028/02/25DynamicFnd101</v>
      </c>
      <c r="E9801" s="8" t="s">
        <v>257</v>
      </c>
      <c r="F9801" s="8" t="s">
        <v>2733</v>
      </c>
    </row>
    <row r="9802" spans="1:6" ht="60" x14ac:dyDescent="0.25">
      <c r="A9802" s="8" t="s">
        <v>125</v>
      </c>
      <c r="B9802" s="8" t="s">
        <v>64</v>
      </c>
      <c r="C9802" s="8" t="str">
        <f>IFERROR(_xlfn.XLOOKUP(TRIM(B9802),Lookup!$B$2:$B$1000,Lookup!$C$2:$C$1000),"")</f>
        <v>Hybrid</v>
      </c>
      <c r="D9802" s="8" t="str">
        <f>IFERROR(INDEX('nav master'!$C:$C, MATCH(B9802, 'nav master'!$B:$B, 0)), "")</f>
        <v>ULIF08028/02/25DynamicFnd101</v>
      </c>
      <c r="E9802" s="8" t="s">
        <v>259</v>
      </c>
      <c r="F9802" s="8" t="s">
        <v>2734</v>
      </c>
    </row>
    <row r="9803" spans="1:6" ht="60" x14ac:dyDescent="0.25">
      <c r="A9803" s="8" t="s">
        <v>125</v>
      </c>
      <c r="B9803" s="8" t="s">
        <v>64</v>
      </c>
      <c r="C9803" s="8" t="str">
        <f>IFERROR(_xlfn.XLOOKUP(TRIM(B9803),Lookup!$B$2:$B$1000,Lookup!$C$2:$C$1000),"")</f>
        <v>Hybrid</v>
      </c>
      <c r="D9803" s="8" t="str">
        <f>IFERROR(INDEX('nav master'!$C:$C, MATCH(B9803, 'nav master'!$B:$B, 0)), "")</f>
        <v>ULIF08028/02/25DynamicFnd101</v>
      </c>
      <c r="E9803" s="8" t="s">
        <v>261</v>
      </c>
      <c r="F9803" s="8" t="s">
        <v>2735</v>
      </c>
    </row>
    <row r="9804" spans="1:6" ht="60" x14ac:dyDescent="0.25">
      <c r="A9804" s="8" t="s">
        <v>125</v>
      </c>
      <c r="B9804" s="8" t="s">
        <v>64</v>
      </c>
      <c r="C9804" s="8" t="str">
        <f>IFERROR(_xlfn.XLOOKUP(TRIM(B9804),Lookup!$B$2:$B$1000,Lookup!$C$2:$C$1000),"")</f>
        <v>Hybrid</v>
      </c>
      <c r="D9804" s="8" t="str">
        <f>IFERROR(INDEX('nav master'!$C:$C, MATCH(B9804, 'nav master'!$B:$B, 0)), "")</f>
        <v>ULIF08028/02/25DynamicFnd101</v>
      </c>
      <c r="E9804" s="8" t="s">
        <v>263</v>
      </c>
      <c r="F9804" s="8" t="s">
        <v>2736</v>
      </c>
    </row>
    <row r="9805" spans="1:6" ht="60" x14ac:dyDescent="0.25">
      <c r="A9805" s="8" t="s">
        <v>125</v>
      </c>
      <c r="B9805" s="8" t="s">
        <v>64</v>
      </c>
      <c r="C9805" s="8" t="str">
        <f>IFERROR(_xlfn.XLOOKUP(TRIM(B9805),Lookup!$B$2:$B$1000,Lookup!$C$2:$C$1000),"")</f>
        <v>Hybrid</v>
      </c>
      <c r="D9805" s="8" t="str">
        <f>IFERROR(INDEX('nav master'!$C:$C, MATCH(B9805, 'nav master'!$B:$B, 0)), "")</f>
        <v>ULIF08028/02/25DynamicFnd101</v>
      </c>
      <c r="E9805" s="8" t="s">
        <v>265</v>
      </c>
      <c r="F9805" s="8" t="s">
        <v>2737</v>
      </c>
    </row>
    <row r="9806" spans="1:6" ht="60" x14ac:dyDescent="0.25">
      <c r="A9806" s="8" t="s">
        <v>125</v>
      </c>
      <c r="B9806" s="8" t="s">
        <v>64</v>
      </c>
      <c r="C9806" s="8" t="str">
        <f>IFERROR(_xlfn.XLOOKUP(TRIM(B9806),Lookup!$B$2:$B$1000,Lookup!$C$2:$C$1000),"")</f>
        <v>Hybrid</v>
      </c>
      <c r="D9806" s="8" t="str">
        <f>IFERROR(INDEX('nav master'!$C:$C, MATCH(B9806, 'nav master'!$B:$B, 0)), "")</f>
        <v>ULIF08028/02/25DynamicFnd101</v>
      </c>
      <c r="E9806" s="8" t="s">
        <v>267</v>
      </c>
      <c r="F9806" s="8" t="s">
        <v>2738</v>
      </c>
    </row>
    <row r="9807" spans="1:6" ht="60" x14ac:dyDescent="0.25">
      <c r="A9807" s="8" t="s">
        <v>125</v>
      </c>
      <c r="B9807" s="8" t="s">
        <v>64</v>
      </c>
      <c r="C9807" s="8" t="str">
        <f>IFERROR(_xlfn.XLOOKUP(TRIM(B9807),Lookup!$B$2:$B$1000,Lookup!$C$2:$C$1000),"")</f>
        <v>Hybrid</v>
      </c>
      <c r="D9807" s="8" t="str">
        <f>IFERROR(INDEX('nav master'!$C:$C, MATCH(B9807, 'nav master'!$B:$B, 0)), "")</f>
        <v>ULIF08028/02/25DynamicFnd101</v>
      </c>
      <c r="E9807" s="8" t="s">
        <v>269</v>
      </c>
      <c r="F9807" s="8" t="s">
        <v>2739</v>
      </c>
    </row>
    <row r="9808" spans="1:6" ht="60" x14ac:dyDescent="0.25">
      <c r="A9808" s="8" t="s">
        <v>125</v>
      </c>
      <c r="B9808" s="8" t="s">
        <v>64</v>
      </c>
      <c r="C9808" s="8" t="str">
        <f>IFERROR(_xlfn.XLOOKUP(TRIM(B9808),Lookup!$B$2:$B$1000,Lookup!$C$2:$C$1000),"")</f>
        <v>Hybrid</v>
      </c>
      <c r="D9808" s="8" t="str">
        <f>IFERROR(INDEX('nav master'!$C:$C, MATCH(B9808, 'nav master'!$B:$B, 0)), "")</f>
        <v>ULIF08028/02/25DynamicFnd101</v>
      </c>
      <c r="E9808" s="8" t="s">
        <v>271</v>
      </c>
      <c r="F9808" s="8" t="s">
        <v>2740</v>
      </c>
    </row>
    <row r="9809" spans="1:6" ht="60" x14ac:dyDescent="0.25">
      <c r="A9809" s="8" t="s">
        <v>125</v>
      </c>
      <c r="B9809" s="8" t="s">
        <v>64</v>
      </c>
      <c r="C9809" s="8" t="str">
        <f>IFERROR(_xlfn.XLOOKUP(TRIM(B9809),Lookup!$B$2:$B$1000,Lookup!$C$2:$C$1000),"")</f>
        <v>Hybrid</v>
      </c>
      <c r="D9809" s="8" t="str">
        <f>IFERROR(INDEX('nav master'!$C:$C, MATCH(B9809, 'nav master'!$B:$B, 0)), "")</f>
        <v>ULIF08028/02/25DynamicFnd101</v>
      </c>
      <c r="E9809" s="8" t="s">
        <v>273</v>
      </c>
      <c r="F9809" s="8" t="s">
        <v>2741</v>
      </c>
    </row>
    <row r="9810" spans="1:6" ht="60" x14ac:dyDescent="0.25">
      <c r="A9810" s="8" t="s">
        <v>125</v>
      </c>
      <c r="B9810" s="8" t="s">
        <v>64</v>
      </c>
      <c r="C9810" s="8" t="str">
        <f>IFERROR(_xlfn.XLOOKUP(TRIM(B9810),Lookup!$B$2:$B$1000,Lookup!$C$2:$C$1000),"")</f>
        <v>Hybrid</v>
      </c>
      <c r="D9810" s="8" t="str">
        <f>IFERROR(INDEX('nav master'!$C:$C, MATCH(B9810, 'nav master'!$B:$B, 0)), "")</f>
        <v>ULIF08028/02/25DynamicFnd101</v>
      </c>
      <c r="E9810" s="8" t="s">
        <v>275</v>
      </c>
      <c r="F9810" s="8" t="s">
        <v>2742</v>
      </c>
    </row>
    <row r="9811" spans="1:6" ht="60" x14ac:dyDescent="0.25">
      <c r="A9811" s="8" t="s">
        <v>125</v>
      </c>
      <c r="B9811" s="8" t="s">
        <v>64</v>
      </c>
      <c r="C9811" s="8" t="str">
        <f>IFERROR(_xlfn.XLOOKUP(TRIM(B9811),Lookup!$B$2:$B$1000,Lookup!$C$2:$C$1000),"")</f>
        <v>Hybrid</v>
      </c>
      <c r="D9811" s="8" t="str">
        <f>IFERROR(INDEX('nav master'!$C:$C, MATCH(B9811, 'nav master'!$B:$B, 0)), "")</f>
        <v>ULIF08028/02/25DynamicFnd101</v>
      </c>
      <c r="E9811" s="8" t="s">
        <v>277</v>
      </c>
      <c r="F9811" s="8" t="s">
        <v>2743</v>
      </c>
    </row>
    <row r="9812" spans="1:6" ht="60" x14ac:dyDescent="0.25">
      <c r="A9812" s="8" t="s">
        <v>125</v>
      </c>
      <c r="B9812" s="8" t="s">
        <v>64</v>
      </c>
      <c r="C9812" s="8" t="str">
        <f>IFERROR(_xlfn.XLOOKUP(TRIM(B9812),Lookup!$B$2:$B$1000,Lookup!$C$2:$C$1000),"")</f>
        <v>Hybrid</v>
      </c>
      <c r="D9812" s="8" t="str">
        <f>IFERROR(INDEX('nav master'!$C:$C, MATCH(B9812, 'nav master'!$B:$B, 0)), "")</f>
        <v>ULIF08028/02/25DynamicFnd101</v>
      </c>
      <c r="E9812" s="8" t="s">
        <v>279</v>
      </c>
      <c r="F9812" s="8" t="s">
        <v>2744</v>
      </c>
    </row>
    <row r="9813" spans="1:6" ht="60" x14ac:dyDescent="0.25">
      <c r="A9813" s="8" t="s">
        <v>125</v>
      </c>
      <c r="B9813" s="8" t="s">
        <v>64</v>
      </c>
      <c r="C9813" s="8" t="str">
        <f>IFERROR(_xlfn.XLOOKUP(TRIM(B9813),Lookup!$B$2:$B$1000,Lookup!$C$2:$C$1000),"")</f>
        <v>Hybrid</v>
      </c>
      <c r="D9813" s="8" t="str">
        <f>IFERROR(INDEX('nav master'!$C:$C, MATCH(B9813, 'nav master'!$B:$B, 0)), "")</f>
        <v>ULIF08028/02/25DynamicFnd101</v>
      </c>
      <c r="E9813" s="8" t="s">
        <v>281</v>
      </c>
      <c r="F9813" s="8" t="s">
        <v>2745</v>
      </c>
    </row>
    <row r="9814" spans="1:6" ht="60" x14ac:dyDescent="0.25">
      <c r="A9814" s="8" t="s">
        <v>125</v>
      </c>
      <c r="B9814" s="8" t="s">
        <v>64</v>
      </c>
      <c r="C9814" s="8" t="str">
        <f>IFERROR(_xlfn.XLOOKUP(TRIM(B9814),Lookup!$B$2:$B$1000,Lookup!$C$2:$C$1000),"")</f>
        <v>Hybrid</v>
      </c>
      <c r="D9814" s="8" t="str">
        <f>IFERROR(INDEX('nav master'!$C:$C, MATCH(B9814, 'nav master'!$B:$B, 0)), "")</f>
        <v>ULIF08028/02/25DynamicFnd101</v>
      </c>
      <c r="E9814" s="8" t="s">
        <v>283</v>
      </c>
      <c r="F9814" s="8" t="s">
        <v>2746</v>
      </c>
    </row>
    <row r="9815" spans="1:6" ht="60" x14ac:dyDescent="0.25">
      <c r="A9815" s="8" t="s">
        <v>125</v>
      </c>
      <c r="B9815" s="8" t="s">
        <v>64</v>
      </c>
      <c r="C9815" s="8" t="str">
        <f>IFERROR(_xlfn.XLOOKUP(TRIM(B9815),Lookup!$B$2:$B$1000,Lookup!$C$2:$C$1000),"")</f>
        <v>Hybrid</v>
      </c>
      <c r="D9815" s="8" t="str">
        <f>IFERROR(INDEX('nav master'!$C:$C, MATCH(B9815, 'nav master'!$B:$B, 0)), "")</f>
        <v>ULIF08028/02/25DynamicFnd101</v>
      </c>
      <c r="E9815" s="8" t="s">
        <v>285</v>
      </c>
      <c r="F9815" s="8" t="s">
        <v>2747</v>
      </c>
    </row>
    <row r="9816" spans="1:6" ht="60" x14ac:dyDescent="0.25">
      <c r="A9816" s="8" t="s">
        <v>125</v>
      </c>
      <c r="B9816" s="8" t="s">
        <v>64</v>
      </c>
      <c r="C9816" s="8" t="str">
        <f>IFERROR(_xlfn.XLOOKUP(TRIM(B9816),Lookup!$B$2:$B$1000,Lookup!$C$2:$C$1000),"")</f>
        <v>Hybrid</v>
      </c>
      <c r="D9816" s="8" t="str">
        <f>IFERROR(INDEX('nav master'!$C:$C, MATCH(B9816, 'nav master'!$B:$B, 0)), "")</f>
        <v>ULIF08028/02/25DynamicFnd101</v>
      </c>
      <c r="E9816" s="8" t="s">
        <v>287</v>
      </c>
      <c r="F9816" s="8" t="s">
        <v>2748</v>
      </c>
    </row>
    <row r="9817" spans="1:6" ht="60" x14ac:dyDescent="0.25">
      <c r="A9817" s="8" t="s">
        <v>125</v>
      </c>
      <c r="B9817" s="8" t="s">
        <v>64</v>
      </c>
      <c r="C9817" s="8" t="str">
        <f>IFERROR(_xlfn.XLOOKUP(TRIM(B9817),Lookup!$B$2:$B$1000,Lookup!$C$2:$C$1000),"")</f>
        <v>Hybrid</v>
      </c>
      <c r="D9817" s="8" t="str">
        <f>IFERROR(INDEX('nav master'!$C:$C, MATCH(B9817, 'nav master'!$B:$B, 0)), "")</f>
        <v>ULIF08028/02/25DynamicFnd101</v>
      </c>
      <c r="E9817" s="8" t="s">
        <v>289</v>
      </c>
      <c r="F9817" s="8" t="s">
        <v>2749</v>
      </c>
    </row>
    <row r="9818" spans="1:6" ht="60" x14ac:dyDescent="0.25">
      <c r="A9818" s="8" t="s">
        <v>125</v>
      </c>
      <c r="B9818" s="8" t="s">
        <v>64</v>
      </c>
      <c r="C9818" s="8" t="str">
        <f>IFERROR(_xlfn.XLOOKUP(TRIM(B9818),Lookup!$B$2:$B$1000,Lookup!$C$2:$C$1000),"")</f>
        <v>Hybrid</v>
      </c>
      <c r="D9818" s="8" t="str">
        <f>IFERROR(INDEX('nav master'!$C:$C, MATCH(B9818, 'nav master'!$B:$B, 0)), "")</f>
        <v>ULIF08028/02/25DynamicFnd101</v>
      </c>
      <c r="E9818" s="8" t="s">
        <v>291</v>
      </c>
      <c r="F9818" s="8" t="s">
        <v>2750</v>
      </c>
    </row>
    <row r="9819" spans="1:6" ht="60" x14ac:dyDescent="0.25">
      <c r="A9819" s="8" t="s">
        <v>125</v>
      </c>
      <c r="B9819" s="8" t="s">
        <v>64</v>
      </c>
      <c r="C9819" s="8" t="str">
        <f>IFERROR(_xlfn.XLOOKUP(TRIM(B9819),Lookup!$B$2:$B$1000,Lookup!$C$2:$C$1000),"")</f>
        <v>Hybrid</v>
      </c>
      <c r="D9819" s="8" t="str">
        <f>IFERROR(INDEX('nav master'!$C:$C, MATCH(B9819, 'nav master'!$B:$B, 0)), "")</f>
        <v>ULIF08028/02/25DynamicFnd101</v>
      </c>
      <c r="E9819" s="8" t="s">
        <v>293</v>
      </c>
      <c r="F9819" s="8" t="s">
        <v>2751</v>
      </c>
    </row>
    <row r="9820" spans="1:6" ht="60" x14ac:dyDescent="0.25">
      <c r="A9820" s="8" t="s">
        <v>125</v>
      </c>
      <c r="B9820" s="8" t="s">
        <v>64</v>
      </c>
      <c r="C9820" s="8" t="str">
        <f>IFERROR(_xlfn.XLOOKUP(TRIM(B9820),Lookup!$B$2:$B$1000,Lookup!$C$2:$C$1000),"")</f>
        <v>Hybrid</v>
      </c>
      <c r="D9820" s="8" t="str">
        <f>IFERROR(INDEX('nav master'!$C:$C, MATCH(B9820, 'nav master'!$B:$B, 0)), "")</f>
        <v>ULIF08028/02/25DynamicFnd101</v>
      </c>
      <c r="E9820" s="8" t="s">
        <v>295</v>
      </c>
      <c r="F9820" s="8" t="s">
        <v>2752</v>
      </c>
    </row>
    <row r="9821" spans="1:6" ht="60" x14ac:dyDescent="0.25">
      <c r="A9821" s="8" t="s">
        <v>125</v>
      </c>
      <c r="B9821" s="8" t="s">
        <v>64</v>
      </c>
      <c r="C9821" s="8" t="str">
        <f>IFERROR(_xlfn.XLOOKUP(TRIM(B9821),Lookup!$B$2:$B$1000,Lookup!$C$2:$C$1000),"")</f>
        <v>Hybrid</v>
      </c>
      <c r="D9821" s="8" t="str">
        <f>IFERROR(INDEX('nav master'!$C:$C, MATCH(B9821, 'nav master'!$B:$B, 0)), "")</f>
        <v>ULIF08028/02/25DynamicFnd101</v>
      </c>
      <c r="E9821" s="8" t="s">
        <v>297</v>
      </c>
      <c r="F9821" s="8" t="s">
        <v>2753</v>
      </c>
    </row>
    <row r="9822" spans="1:6" ht="60" x14ac:dyDescent="0.25">
      <c r="A9822" s="8" t="s">
        <v>125</v>
      </c>
      <c r="B9822" s="8" t="s">
        <v>64</v>
      </c>
      <c r="C9822" s="8" t="str">
        <f>IFERROR(_xlfn.XLOOKUP(TRIM(B9822),Lookup!$B$2:$B$1000,Lookup!$C$2:$C$1000),"")</f>
        <v>Hybrid</v>
      </c>
      <c r="D9822" s="8" t="str">
        <f>IFERROR(INDEX('nav master'!$C:$C, MATCH(B9822, 'nav master'!$B:$B, 0)), "")</f>
        <v>ULIF08028/02/25DynamicFnd101</v>
      </c>
      <c r="E9822" s="8" t="s">
        <v>299</v>
      </c>
      <c r="F9822" s="8" t="s">
        <v>2754</v>
      </c>
    </row>
    <row r="9823" spans="1:6" ht="60" x14ac:dyDescent="0.25">
      <c r="A9823" s="8" t="s">
        <v>125</v>
      </c>
      <c r="B9823" s="8" t="s">
        <v>64</v>
      </c>
      <c r="C9823" s="8" t="str">
        <f>IFERROR(_xlfn.XLOOKUP(TRIM(B9823),Lookup!$B$2:$B$1000,Lookup!$C$2:$C$1000),"")</f>
        <v>Hybrid</v>
      </c>
      <c r="D9823" s="8" t="str">
        <f>IFERROR(INDEX('nav master'!$C:$C, MATCH(B9823, 'nav master'!$B:$B, 0)), "")</f>
        <v>ULIF08028/02/25DynamicFnd101</v>
      </c>
      <c r="E9823" s="8" t="s">
        <v>301</v>
      </c>
      <c r="F9823" s="8" t="s">
        <v>2755</v>
      </c>
    </row>
    <row r="9824" spans="1:6" ht="60" x14ac:dyDescent="0.25">
      <c r="A9824" s="8" t="s">
        <v>125</v>
      </c>
      <c r="B9824" s="8" t="s">
        <v>64</v>
      </c>
      <c r="C9824" s="8" t="str">
        <f>IFERROR(_xlfn.XLOOKUP(TRIM(B9824),Lookup!$B$2:$B$1000,Lookup!$C$2:$C$1000),"")</f>
        <v>Hybrid</v>
      </c>
      <c r="D9824" s="8" t="str">
        <f>IFERROR(INDEX('nav master'!$C:$C, MATCH(B9824, 'nav master'!$B:$B, 0)), "")</f>
        <v>ULIF08028/02/25DynamicFnd101</v>
      </c>
      <c r="E9824" s="8" t="s">
        <v>303</v>
      </c>
      <c r="F9824" s="8" t="s">
        <v>2756</v>
      </c>
    </row>
    <row r="9825" spans="1:6" ht="60" x14ac:dyDescent="0.25">
      <c r="A9825" s="8" t="s">
        <v>125</v>
      </c>
      <c r="B9825" s="8" t="s">
        <v>64</v>
      </c>
      <c r="C9825" s="8" t="str">
        <f>IFERROR(_xlfn.XLOOKUP(TRIM(B9825),Lookup!$B$2:$B$1000,Lookup!$C$2:$C$1000),"")</f>
        <v>Hybrid</v>
      </c>
      <c r="D9825" s="8" t="str">
        <f>IFERROR(INDEX('nav master'!$C:$C, MATCH(B9825, 'nav master'!$B:$B, 0)), "")</f>
        <v>ULIF08028/02/25DynamicFnd101</v>
      </c>
      <c r="E9825" s="8" t="s">
        <v>305</v>
      </c>
      <c r="F9825" s="8" t="s">
        <v>2757</v>
      </c>
    </row>
    <row r="9826" spans="1:6" ht="60" x14ac:dyDescent="0.25">
      <c r="A9826" s="8" t="s">
        <v>125</v>
      </c>
      <c r="B9826" s="8" t="s">
        <v>64</v>
      </c>
      <c r="C9826" s="8" t="str">
        <f>IFERROR(_xlfn.XLOOKUP(TRIM(B9826),Lookup!$B$2:$B$1000,Lookup!$C$2:$C$1000),"")</f>
        <v>Hybrid</v>
      </c>
      <c r="D9826" s="8" t="str">
        <f>IFERROR(INDEX('nav master'!$C:$C, MATCH(B9826, 'nav master'!$B:$B, 0)), "")</f>
        <v>ULIF08028/02/25DynamicFnd101</v>
      </c>
      <c r="E9826" s="8" t="s">
        <v>307</v>
      </c>
      <c r="F9826" s="8" t="s">
        <v>2758</v>
      </c>
    </row>
    <row r="9827" spans="1:6" ht="60" x14ac:dyDescent="0.25">
      <c r="A9827" s="8" t="s">
        <v>125</v>
      </c>
      <c r="B9827" s="8" t="s">
        <v>64</v>
      </c>
      <c r="C9827" s="8" t="str">
        <f>IFERROR(_xlfn.XLOOKUP(TRIM(B9827),Lookup!$B$2:$B$1000,Lookup!$C$2:$C$1000),"")</f>
        <v>Hybrid</v>
      </c>
      <c r="D9827" s="8" t="str">
        <f>IFERROR(INDEX('nav master'!$C:$C, MATCH(B9827, 'nav master'!$B:$B, 0)), "")</f>
        <v>ULIF08028/02/25DynamicFnd101</v>
      </c>
      <c r="E9827" s="8" t="s">
        <v>309</v>
      </c>
      <c r="F9827" s="8" t="s">
        <v>2759</v>
      </c>
    </row>
    <row r="9828" spans="1:6" ht="60" x14ac:dyDescent="0.25">
      <c r="A9828" s="8" t="s">
        <v>125</v>
      </c>
      <c r="B9828" s="8" t="s">
        <v>64</v>
      </c>
      <c r="C9828" s="8" t="str">
        <f>IFERROR(_xlfn.XLOOKUP(TRIM(B9828),Lookup!$B$2:$B$1000,Lookup!$C$2:$C$1000),"")</f>
        <v>Hybrid</v>
      </c>
      <c r="D9828" s="8" t="str">
        <f>IFERROR(INDEX('nav master'!$C:$C, MATCH(B9828, 'nav master'!$B:$B, 0)), "")</f>
        <v>ULIF08028/02/25DynamicFnd101</v>
      </c>
      <c r="E9828" s="8" t="s">
        <v>311</v>
      </c>
      <c r="F9828" s="8" t="s">
        <v>2760</v>
      </c>
    </row>
    <row r="9829" spans="1:6" ht="60" x14ac:dyDescent="0.25">
      <c r="A9829" s="8" t="s">
        <v>125</v>
      </c>
      <c r="B9829" s="8" t="s">
        <v>64</v>
      </c>
      <c r="C9829" s="8" t="str">
        <f>IFERROR(_xlfn.XLOOKUP(TRIM(B9829),Lookup!$B$2:$B$1000,Lookup!$C$2:$C$1000),"")</f>
        <v>Hybrid</v>
      </c>
      <c r="D9829" s="8" t="str">
        <f>IFERROR(INDEX('nav master'!$C:$C, MATCH(B9829, 'nav master'!$B:$B, 0)), "")</f>
        <v>ULIF08028/02/25DynamicFnd101</v>
      </c>
      <c r="E9829" s="8" t="s">
        <v>313</v>
      </c>
      <c r="F9829" s="8" t="s">
        <v>2761</v>
      </c>
    </row>
    <row r="9830" spans="1:6" ht="60" x14ac:dyDescent="0.25">
      <c r="A9830" s="8" t="s">
        <v>125</v>
      </c>
      <c r="B9830" s="8" t="s">
        <v>64</v>
      </c>
      <c r="C9830" s="8" t="str">
        <f>IFERROR(_xlfn.XLOOKUP(TRIM(B9830),Lookup!$B$2:$B$1000,Lookup!$C$2:$C$1000),"")</f>
        <v>Hybrid</v>
      </c>
      <c r="D9830" s="8" t="str">
        <f>IFERROR(INDEX('nav master'!$C:$C, MATCH(B9830, 'nav master'!$B:$B, 0)), "")</f>
        <v>ULIF08028/02/25DynamicFnd101</v>
      </c>
      <c r="E9830" s="8" t="s">
        <v>315</v>
      </c>
      <c r="F9830" s="8" t="s">
        <v>2762</v>
      </c>
    </row>
    <row r="9831" spans="1:6" ht="60" x14ac:dyDescent="0.25">
      <c r="A9831" s="8" t="s">
        <v>125</v>
      </c>
      <c r="B9831" s="8" t="s">
        <v>64</v>
      </c>
      <c r="C9831" s="8" t="str">
        <f>IFERROR(_xlfn.XLOOKUP(TRIM(B9831),Lookup!$B$2:$B$1000,Lookup!$C$2:$C$1000),"")</f>
        <v>Hybrid</v>
      </c>
      <c r="D9831" s="8" t="str">
        <f>IFERROR(INDEX('nav master'!$C:$C, MATCH(B9831, 'nav master'!$B:$B, 0)), "")</f>
        <v>ULIF08028/02/25DynamicFnd101</v>
      </c>
      <c r="E9831" s="8" t="s">
        <v>317</v>
      </c>
      <c r="F9831" s="8" t="s">
        <v>2763</v>
      </c>
    </row>
    <row r="9832" spans="1:6" ht="60" x14ac:dyDescent="0.25">
      <c r="A9832" s="8" t="s">
        <v>125</v>
      </c>
      <c r="B9832" s="8" t="s">
        <v>64</v>
      </c>
      <c r="C9832" s="8" t="str">
        <f>IFERROR(_xlfn.XLOOKUP(TRIM(B9832),Lookup!$B$2:$B$1000,Lookup!$C$2:$C$1000),"")</f>
        <v>Hybrid</v>
      </c>
      <c r="D9832" s="8" t="str">
        <f>IFERROR(INDEX('nav master'!$C:$C, MATCH(B9832, 'nav master'!$B:$B, 0)), "")</f>
        <v>ULIF08028/02/25DynamicFnd101</v>
      </c>
      <c r="E9832" s="8" t="s">
        <v>319</v>
      </c>
      <c r="F9832" s="8" t="s">
        <v>2764</v>
      </c>
    </row>
    <row r="9833" spans="1:6" ht="60" x14ac:dyDescent="0.25">
      <c r="A9833" s="8" t="s">
        <v>125</v>
      </c>
      <c r="B9833" s="8" t="s">
        <v>64</v>
      </c>
      <c r="C9833" s="8" t="str">
        <f>IFERROR(_xlfn.XLOOKUP(TRIM(B9833),Lookup!$B$2:$B$1000,Lookup!$C$2:$C$1000),"")</f>
        <v>Hybrid</v>
      </c>
      <c r="D9833" s="8" t="str">
        <f>IFERROR(INDEX('nav master'!$C:$C, MATCH(B9833, 'nav master'!$B:$B, 0)), "")</f>
        <v>ULIF08028/02/25DynamicFnd101</v>
      </c>
      <c r="E9833" s="8" t="s">
        <v>321</v>
      </c>
      <c r="F9833" s="8" t="s">
        <v>2765</v>
      </c>
    </row>
    <row r="9834" spans="1:6" ht="60" x14ac:dyDescent="0.25">
      <c r="A9834" s="8" t="s">
        <v>125</v>
      </c>
      <c r="B9834" s="8" t="s">
        <v>64</v>
      </c>
      <c r="C9834" s="8" t="str">
        <f>IFERROR(_xlfn.XLOOKUP(TRIM(B9834),Lookup!$B$2:$B$1000,Lookup!$C$2:$C$1000),"")</f>
        <v>Hybrid</v>
      </c>
      <c r="D9834" s="8" t="str">
        <f>IFERROR(INDEX('nav master'!$C:$C, MATCH(B9834, 'nav master'!$B:$B, 0)), "")</f>
        <v>ULIF08028/02/25DynamicFnd101</v>
      </c>
      <c r="E9834" s="8" t="s">
        <v>323</v>
      </c>
      <c r="F9834" s="8" t="s">
        <v>2766</v>
      </c>
    </row>
    <row r="9835" spans="1:6" ht="60" x14ac:dyDescent="0.25">
      <c r="A9835" s="8" t="s">
        <v>125</v>
      </c>
      <c r="B9835" s="8" t="s">
        <v>64</v>
      </c>
      <c r="C9835" s="8" t="str">
        <f>IFERROR(_xlfn.XLOOKUP(TRIM(B9835),Lookup!$B$2:$B$1000,Lookup!$C$2:$C$1000),"")</f>
        <v>Hybrid</v>
      </c>
      <c r="D9835" s="8" t="str">
        <f>IFERROR(INDEX('nav master'!$C:$C, MATCH(B9835, 'nav master'!$B:$B, 0)), "")</f>
        <v>ULIF08028/02/25DynamicFnd101</v>
      </c>
      <c r="E9835" s="8" t="s">
        <v>325</v>
      </c>
      <c r="F9835" s="8" t="s">
        <v>2767</v>
      </c>
    </row>
    <row r="9836" spans="1:6" ht="60" x14ac:dyDescent="0.25">
      <c r="A9836" s="8" t="s">
        <v>125</v>
      </c>
      <c r="B9836" s="8" t="s">
        <v>64</v>
      </c>
      <c r="C9836" s="8" t="str">
        <f>IFERROR(_xlfn.XLOOKUP(TRIM(B9836),Lookup!$B$2:$B$1000,Lookup!$C$2:$C$1000),"")</f>
        <v>Hybrid</v>
      </c>
      <c r="D9836" s="8" t="str">
        <f>IFERROR(INDEX('nav master'!$C:$C, MATCH(B9836, 'nav master'!$B:$B, 0)), "")</f>
        <v>ULIF08028/02/25DynamicFnd101</v>
      </c>
      <c r="E9836" s="8" t="s">
        <v>327</v>
      </c>
      <c r="F9836" s="8" t="s">
        <v>2768</v>
      </c>
    </row>
    <row r="9837" spans="1:6" ht="60" x14ac:dyDescent="0.25">
      <c r="A9837" s="8" t="s">
        <v>125</v>
      </c>
      <c r="B9837" s="8" t="s">
        <v>64</v>
      </c>
      <c r="C9837" s="8" t="str">
        <f>IFERROR(_xlfn.XLOOKUP(TRIM(B9837),Lookup!$B$2:$B$1000,Lookup!$C$2:$C$1000),"")</f>
        <v>Hybrid</v>
      </c>
      <c r="D9837" s="8" t="str">
        <f>IFERROR(INDEX('nav master'!$C:$C, MATCH(B9837, 'nav master'!$B:$B, 0)), "")</f>
        <v>ULIF08028/02/25DynamicFnd101</v>
      </c>
      <c r="E9837" s="8" t="s">
        <v>329</v>
      </c>
      <c r="F9837" s="8" t="s">
        <v>2769</v>
      </c>
    </row>
    <row r="9838" spans="1:6" ht="60" x14ac:dyDescent="0.25">
      <c r="A9838" s="8" t="s">
        <v>125</v>
      </c>
      <c r="B9838" s="8" t="s">
        <v>64</v>
      </c>
      <c r="C9838" s="8" t="str">
        <f>IFERROR(_xlfn.XLOOKUP(TRIM(B9838),Lookup!$B$2:$B$1000,Lookup!$C$2:$C$1000),"")</f>
        <v>Hybrid</v>
      </c>
      <c r="D9838" s="8" t="str">
        <f>IFERROR(INDEX('nav master'!$C:$C, MATCH(B9838, 'nav master'!$B:$B, 0)), "")</f>
        <v>ULIF08028/02/25DynamicFnd101</v>
      </c>
      <c r="E9838" s="8" t="s">
        <v>331</v>
      </c>
      <c r="F9838" s="8" t="s">
        <v>2770</v>
      </c>
    </row>
    <row r="9839" spans="1:6" ht="60" x14ac:dyDescent="0.25">
      <c r="A9839" s="8" t="s">
        <v>125</v>
      </c>
      <c r="B9839" s="8" t="s">
        <v>64</v>
      </c>
      <c r="C9839" s="8" t="str">
        <f>IFERROR(_xlfn.XLOOKUP(TRIM(B9839),Lookup!$B$2:$B$1000,Lookup!$C$2:$C$1000),"")</f>
        <v>Hybrid</v>
      </c>
      <c r="D9839" s="8" t="str">
        <f>IFERROR(INDEX('nav master'!$C:$C, MATCH(B9839, 'nav master'!$B:$B, 0)), "")</f>
        <v>ULIF08028/02/25DynamicFnd101</v>
      </c>
      <c r="E9839" s="8" t="s">
        <v>333</v>
      </c>
      <c r="F9839" s="8" t="s">
        <v>2771</v>
      </c>
    </row>
    <row r="9840" spans="1:6" ht="60" x14ac:dyDescent="0.25">
      <c r="A9840" s="8" t="s">
        <v>125</v>
      </c>
      <c r="B9840" s="8" t="s">
        <v>64</v>
      </c>
      <c r="C9840" s="8" t="str">
        <f>IFERROR(_xlfn.XLOOKUP(TRIM(B9840),Lookup!$B$2:$B$1000,Lookup!$C$2:$C$1000),"")</f>
        <v>Hybrid</v>
      </c>
      <c r="D9840" s="8" t="str">
        <f>IFERROR(INDEX('nav master'!$C:$C, MATCH(B9840, 'nav master'!$B:$B, 0)), "")</f>
        <v>ULIF08028/02/25DynamicFnd101</v>
      </c>
      <c r="E9840" s="8" t="s">
        <v>335</v>
      </c>
      <c r="F9840" s="8" t="s">
        <v>2772</v>
      </c>
    </row>
    <row r="9841" spans="1:6" ht="60" x14ac:dyDescent="0.25">
      <c r="A9841" s="8" t="s">
        <v>125</v>
      </c>
      <c r="B9841" s="8" t="s">
        <v>64</v>
      </c>
      <c r="C9841" s="8" t="str">
        <f>IFERROR(_xlfn.XLOOKUP(TRIM(B9841),Lookup!$B$2:$B$1000,Lookup!$C$2:$C$1000),"")</f>
        <v>Hybrid</v>
      </c>
      <c r="D9841" s="8" t="str">
        <f>IFERROR(INDEX('nav master'!$C:$C, MATCH(B9841, 'nav master'!$B:$B, 0)), "")</f>
        <v>ULIF08028/02/25DynamicFnd101</v>
      </c>
      <c r="E9841" s="8" t="s">
        <v>337</v>
      </c>
      <c r="F9841" s="8" t="s">
        <v>2773</v>
      </c>
    </row>
    <row r="9842" spans="1:6" ht="60" x14ac:dyDescent="0.25">
      <c r="A9842" s="8" t="s">
        <v>125</v>
      </c>
      <c r="B9842" s="8" t="s">
        <v>64</v>
      </c>
      <c r="C9842" s="8" t="str">
        <f>IFERROR(_xlfn.XLOOKUP(TRIM(B9842),Lookup!$B$2:$B$1000,Lookup!$C$2:$C$1000),"")</f>
        <v>Hybrid</v>
      </c>
      <c r="D9842" s="8" t="str">
        <f>IFERROR(INDEX('nav master'!$C:$C, MATCH(B9842, 'nav master'!$B:$B, 0)), "")</f>
        <v>ULIF08028/02/25DynamicFnd101</v>
      </c>
      <c r="E9842" s="8" t="s">
        <v>339</v>
      </c>
      <c r="F9842" s="8" t="s">
        <v>2774</v>
      </c>
    </row>
    <row r="9843" spans="1:6" ht="60" x14ac:dyDescent="0.25">
      <c r="A9843" s="8" t="s">
        <v>125</v>
      </c>
      <c r="B9843" s="8" t="s">
        <v>64</v>
      </c>
      <c r="C9843" s="8" t="str">
        <f>IFERROR(_xlfn.XLOOKUP(TRIM(B9843),Lookup!$B$2:$B$1000,Lookup!$C$2:$C$1000),"")</f>
        <v>Hybrid</v>
      </c>
      <c r="D9843" s="8" t="str">
        <f>IFERROR(INDEX('nav master'!$C:$C, MATCH(B9843, 'nav master'!$B:$B, 0)), "")</f>
        <v>ULIF08028/02/25DynamicFnd101</v>
      </c>
      <c r="E9843" s="8" t="s">
        <v>341</v>
      </c>
      <c r="F9843" s="8" t="s">
        <v>2775</v>
      </c>
    </row>
    <row r="9844" spans="1:6" ht="60" x14ac:dyDescent="0.25">
      <c r="A9844" s="8" t="s">
        <v>125</v>
      </c>
      <c r="B9844" s="8" t="s">
        <v>64</v>
      </c>
      <c r="C9844" s="8" t="str">
        <f>IFERROR(_xlfn.XLOOKUP(TRIM(B9844),Lookup!$B$2:$B$1000,Lookup!$C$2:$C$1000),"")</f>
        <v>Hybrid</v>
      </c>
      <c r="D9844" s="8" t="str">
        <f>IFERROR(INDEX('nav master'!$C:$C, MATCH(B9844, 'nav master'!$B:$B, 0)), "")</f>
        <v>ULIF08028/02/25DynamicFnd101</v>
      </c>
      <c r="E9844" s="8" t="s">
        <v>343</v>
      </c>
      <c r="F9844" s="8" t="s">
        <v>2776</v>
      </c>
    </row>
    <row r="9845" spans="1:6" ht="60" x14ac:dyDescent="0.25">
      <c r="A9845" s="8" t="s">
        <v>125</v>
      </c>
      <c r="B9845" s="8" t="s">
        <v>64</v>
      </c>
      <c r="C9845" s="8" t="str">
        <f>IFERROR(_xlfn.XLOOKUP(TRIM(B9845),Lookup!$B$2:$B$1000,Lookup!$C$2:$C$1000),"")</f>
        <v>Hybrid</v>
      </c>
      <c r="D9845" s="8" t="str">
        <f>IFERROR(INDEX('nav master'!$C:$C, MATCH(B9845, 'nav master'!$B:$B, 0)), "")</f>
        <v>ULIF08028/02/25DynamicFnd101</v>
      </c>
      <c r="E9845" s="8" t="s">
        <v>345</v>
      </c>
      <c r="F9845" s="8" t="s">
        <v>2777</v>
      </c>
    </row>
    <row r="9846" spans="1:6" ht="60" x14ac:dyDescent="0.25">
      <c r="A9846" s="8" t="s">
        <v>125</v>
      </c>
      <c r="B9846" s="8" t="s">
        <v>64</v>
      </c>
      <c r="C9846" s="8" t="str">
        <f>IFERROR(_xlfn.XLOOKUP(TRIM(B9846),Lookup!$B$2:$B$1000,Lookup!$C$2:$C$1000),"")</f>
        <v>Hybrid</v>
      </c>
      <c r="D9846" s="8" t="str">
        <f>IFERROR(INDEX('nav master'!$C:$C, MATCH(B9846, 'nav master'!$B:$B, 0)), "")</f>
        <v>ULIF08028/02/25DynamicFnd101</v>
      </c>
      <c r="E9846" s="8" t="s">
        <v>347</v>
      </c>
      <c r="F9846" s="8" t="s">
        <v>2778</v>
      </c>
    </row>
    <row r="9847" spans="1:6" ht="60" x14ac:dyDescent="0.25">
      <c r="A9847" s="8" t="s">
        <v>125</v>
      </c>
      <c r="B9847" s="8" t="s">
        <v>64</v>
      </c>
      <c r="C9847" s="8" t="str">
        <f>IFERROR(_xlfn.XLOOKUP(TRIM(B9847),Lookup!$B$2:$B$1000,Lookup!$C$2:$C$1000),"")</f>
        <v>Hybrid</v>
      </c>
      <c r="D9847" s="8" t="str">
        <f>IFERROR(INDEX('nav master'!$C:$C, MATCH(B9847, 'nav master'!$B:$B, 0)), "")</f>
        <v>ULIF08028/02/25DynamicFnd101</v>
      </c>
      <c r="E9847" s="8" t="s">
        <v>349</v>
      </c>
      <c r="F9847" s="8" t="s">
        <v>2779</v>
      </c>
    </row>
    <row r="9848" spans="1:6" ht="60" x14ac:dyDescent="0.25">
      <c r="A9848" s="8" t="s">
        <v>125</v>
      </c>
      <c r="B9848" s="8" t="s">
        <v>64</v>
      </c>
      <c r="C9848" s="8" t="str">
        <f>IFERROR(_xlfn.XLOOKUP(TRIM(B9848),Lookup!$B$2:$B$1000,Lookup!$C$2:$C$1000),"")</f>
        <v>Hybrid</v>
      </c>
      <c r="D9848" s="8" t="str">
        <f>IFERROR(INDEX('nav master'!$C:$C, MATCH(B9848, 'nav master'!$B:$B, 0)), "")</f>
        <v>ULIF08028/02/25DynamicFnd101</v>
      </c>
      <c r="E9848" s="8" t="s">
        <v>351</v>
      </c>
      <c r="F9848" s="8" t="s">
        <v>2780</v>
      </c>
    </row>
    <row r="9849" spans="1:6" ht="60" x14ac:dyDescent="0.25">
      <c r="A9849" s="8" t="s">
        <v>125</v>
      </c>
      <c r="B9849" s="8" t="s">
        <v>64</v>
      </c>
      <c r="C9849" s="8" t="str">
        <f>IFERROR(_xlfn.XLOOKUP(TRIM(B9849),Lookup!$B$2:$B$1000,Lookup!$C$2:$C$1000),"")</f>
        <v>Hybrid</v>
      </c>
      <c r="D9849" s="8" t="str">
        <f>IFERROR(INDEX('nav master'!$C:$C, MATCH(B9849, 'nav master'!$B:$B, 0)), "")</f>
        <v>ULIF08028/02/25DynamicFnd101</v>
      </c>
      <c r="E9849" s="8" t="s">
        <v>353</v>
      </c>
      <c r="F9849" s="8" t="s">
        <v>2781</v>
      </c>
    </row>
    <row r="9850" spans="1:6" ht="60" x14ac:dyDescent="0.25">
      <c r="A9850" s="8" t="s">
        <v>125</v>
      </c>
      <c r="B9850" s="8" t="s">
        <v>64</v>
      </c>
      <c r="C9850" s="8" t="str">
        <f>IFERROR(_xlfn.XLOOKUP(TRIM(B9850),Lookup!$B$2:$B$1000,Lookup!$C$2:$C$1000),"")</f>
        <v>Hybrid</v>
      </c>
      <c r="D9850" s="8" t="str">
        <f>IFERROR(INDEX('nav master'!$C:$C, MATCH(B9850, 'nav master'!$B:$B, 0)), "")</f>
        <v>ULIF08028/02/25DynamicFnd101</v>
      </c>
      <c r="E9850" s="8" t="s">
        <v>355</v>
      </c>
      <c r="F9850" s="8" t="s">
        <v>2782</v>
      </c>
    </row>
    <row r="9851" spans="1:6" ht="60" x14ac:dyDescent="0.25">
      <c r="A9851" s="8" t="s">
        <v>125</v>
      </c>
      <c r="B9851" s="8" t="s">
        <v>64</v>
      </c>
      <c r="C9851" s="8" t="str">
        <f>IFERROR(_xlfn.XLOOKUP(TRIM(B9851),Lookup!$B$2:$B$1000,Lookup!$C$2:$C$1000),"")</f>
        <v>Hybrid</v>
      </c>
      <c r="D9851" s="8" t="str">
        <f>IFERROR(INDEX('nav master'!$C:$C, MATCH(B9851, 'nav master'!$B:$B, 0)), "")</f>
        <v>ULIF08028/02/25DynamicFnd101</v>
      </c>
      <c r="E9851" s="8" t="s">
        <v>357</v>
      </c>
      <c r="F9851" s="8" t="s">
        <v>2783</v>
      </c>
    </row>
    <row r="9852" spans="1:6" ht="60" x14ac:dyDescent="0.25">
      <c r="A9852" s="8" t="s">
        <v>125</v>
      </c>
      <c r="B9852" s="8" t="s">
        <v>64</v>
      </c>
      <c r="C9852" s="8" t="str">
        <f>IFERROR(_xlfn.XLOOKUP(TRIM(B9852),Lookup!$B$2:$B$1000,Lookup!$C$2:$C$1000),"")</f>
        <v>Hybrid</v>
      </c>
      <c r="D9852" s="8" t="str">
        <f>IFERROR(INDEX('nav master'!$C:$C, MATCH(B9852, 'nav master'!$B:$B, 0)), "")</f>
        <v>ULIF08028/02/25DynamicFnd101</v>
      </c>
      <c r="E9852" s="8" t="s">
        <v>359</v>
      </c>
      <c r="F9852" s="8" t="s">
        <v>2784</v>
      </c>
    </row>
    <row r="9853" spans="1:6" ht="60" x14ac:dyDescent="0.25">
      <c r="A9853" s="8" t="s">
        <v>125</v>
      </c>
      <c r="B9853" s="8" t="s">
        <v>64</v>
      </c>
      <c r="C9853" s="8" t="str">
        <f>IFERROR(_xlfn.XLOOKUP(TRIM(B9853),Lookup!$B$2:$B$1000,Lookup!$C$2:$C$1000),"")</f>
        <v>Hybrid</v>
      </c>
      <c r="D9853" s="8" t="str">
        <f>IFERROR(INDEX('nav master'!$C:$C, MATCH(B9853, 'nav master'!$B:$B, 0)), "")</f>
        <v>ULIF08028/02/25DynamicFnd101</v>
      </c>
      <c r="E9853" s="8" t="s">
        <v>361</v>
      </c>
      <c r="F9853" s="8" t="s">
        <v>2785</v>
      </c>
    </row>
    <row r="9854" spans="1:6" ht="60" x14ac:dyDescent="0.25">
      <c r="A9854" s="8" t="s">
        <v>125</v>
      </c>
      <c r="B9854" s="8" t="s">
        <v>64</v>
      </c>
      <c r="C9854" s="8" t="str">
        <f>IFERROR(_xlfn.XLOOKUP(TRIM(B9854),Lookup!$B$2:$B$1000,Lookup!$C$2:$C$1000),"")</f>
        <v>Hybrid</v>
      </c>
      <c r="D9854" s="8" t="str">
        <f>IFERROR(INDEX('nav master'!$C:$C, MATCH(B9854, 'nav master'!$B:$B, 0)), "")</f>
        <v>ULIF08028/02/25DynamicFnd101</v>
      </c>
      <c r="E9854" s="8" t="s">
        <v>363</v>
      </c>
      <c r="F9854" s="8" t="s">
        <v>2786</v>
      </c>
    </row>
    <row r="9855" spans="1:6" ht="60" x14ac:dyDescent="0.25">
      <c r="A9855" s="8" t="s">
        <v>125</v>
      </c>
      <c r="B9855" s="8" t="s">
        <v>64</v>
      </c>
      <c r="C9855" s="8" t="str">
        <f>IFERROR(_xlfn.XLOOKUP(TRIM(B9855),Lookup!$B$2:$B$1000,Lookup!$C$2:$C$1000),"")</f>
        <v>Hybrid</v>
      </c>
      <c r="D9855" s="8" t="str">
        <f>IFERROR(INDEX('nav master'!$C:$C, MATCH(B9855, 'nav master'!$B:$B, 0)), "")</f>
        <v>ULIF08028/02/25DynamicFnd101</v>
      </c>
      <c r="E9855" s="8" t="s">
        <v>365</v>
      </c>
      <c r="F9855" s="8" t="s">
        <v>2787</v>
      </c>
    </row>
    <row r="9856" spans="1:6" ht="60" x14ac:dyDescent="0.25">
      <c r="A9856" s="8" t="s">
        <v>125</v>
      </c>
      <c r="B9856" s="8" t="s">
        <v>64</v>
      </c>
      <c r="C9856" s="8" t="str">
        <f>IFERROR(_xlfn.XLOOKUP(TRIM(B9856),Lookup!$B$2:$B$1000,Lookup!$C$2:$C$1000),"")</f>
        <v>Hybrid</v>
      </c>
      <c r="D9856" s="8" t="str">
        <f>IFERROR(INDEX('nav master'!$C:$C, MATCH(B9856, 'nav master'!$B:$B, 0)), "")</f>
        <v>ULIF08028/02/25DynamicFnd101</v>
      </c>
      <c r="E9856" s="8" t="s">
        <v>367</v>
      </c>
      <c r="F9856" s="8" t="s">
        <v>2788</v>
      </c>
    </row>
    <row r="9857" spans="1:6" ht="60" x14ac:dyDescent="0.25">
      <c r="A9857" s="8" t="s">
        <v>125</v>
      </c>
      <c r="B9857" s="8" t="s">
        <v>64</v>
      </c>
      <c r="C9857" s="8" t="str">
        <f>IFERROR(_xlfn.XLOOKUP(TRIM(B9857),Lookup!$B$2:$B$1000,Lookup!$C$2:$C$1000),"")</f>
        <v>Hybrid</v>
      </c>
      <c r="D9857" s="8" t="str">
        <f>IFERROR(INDEX('nav master'!$C:$C, MATCH(B9857, 'nav master'!$B:$B, 0)), "")</f>
        <v>ULIF08028/02/25DynamicFnd101</v>
      </c>
      <c r="E9857" s="8" t="s">
        <v>369</v>
      </c>
      <c r="F9857" s="8" t="s">
        <v>2789</v>
      </c>
    </row>
    <row r="9858" spans="1:6" ht="60" x14ac:dyDescent="0.25">
      <c r="A9858" s="8" t="s">
        <v>125</v>
      </c>
      <c r="B9858" s="8" t="s">
        <v>64</v>
      </c>
      <c r="C9858" s="8" t="str">
        <f>IFERROR(_xlfn.XLOOKUP(TRIM(B9858),Lookup!$B$2:$B$1000,Lookup!$C$2:$C$1000),"")</f>
        <v>Hybrid</v>
      </c>
      <c r="D9858" s="8" t="str">
        <f>IFERROR(INDEX('nav master'!$C:$C, MATCH(B9858, 'nav master'!$B:$B, 0)), "")</f>
        <v>ULIF08028/02/25DynamicFnd101</v>
      </c>
      <c r="E9858" s="8" t="s">
        <v>371</v>
      </c>
      <c r="F9858" s="8" t="s">
        <v>2790</v>
      </c>
    </row>
    <row r="9859" spans="1:6" ht="60" x14ac:dyDescent="0.25">
      <c r="A9859" s="8" t="s">
        <v>125</v>
      </c>
      <c r="B9859" s="8" t="s">
        <v>64</v>
      </c>
      <c r="C9859" s="8" t="str">
        <f>IFERROR(_xlfn.XLOOKUP(TRIM(B9859),Lookup!$B$2:$B$1000,Lookup!$C$2:$C$1000),"")</f>
        <v>Hybrid</v>
      </c>
      <c r="D9859" s="8" t="str">
        <f>IFERROR(INDEX('nav master'!$C:$C, MATCH(B9859, 'nav master'!$B:$B, 0)), "")</f>
        <v>ULIF08028/02/25DynamicFnd101</v>
      </c>
      <c r="E9859" s="8" t="s">
        <v>373</v>
      </c>
      <c r="F9859" s="8" t="s">
        <v>2791</v>
      </c>
    </row>
    <row r="9860" spans="1:6" ht="60" x14ac:dyDescent="0.25">
      <c r="A9860" s="8" t="s">
        <v>125</v>
      </c>
      <c r="B9860" s="8" t="s">
        <v>64</v>
      </c>
      <c r="C9860" s="8" t="str">
        <f>IFERROR(_xlfn.XLOOKUP(TRIM(B9860),Lookup!$B$2:$B$1000,Lookup!$C$2:$C$1000),"")</f>
        <v>Hybrid</v>
      </c>
      <c r="D9860" s="8" t="str">
        <f>IFERROR(INDEX('nav master'!$C:$C, MATCH(B9860, 'nav master'!$B:$B, 0)), "")</f>
        <v>ULIF08028/02/25DynamicFnd101</v>
      </c>
      <c r="E9860" s="8" t="s">
        <v>375</v>
      </c>
      <c r="F9860" s="8" t="s">
        <v>2792</v>
      </c>
    </row>
    <row r="9861" spans="1:6" ht="60" x14ac:dyDescent="0.25">
      <c r="A9861" s="8" t="s">
        <v>125</v>
      </c>
      <c r="B9861" s="8" t="s">
        <v>64</v>
      </c>
      <c r="C9861" s="8" t="str">
        <f>IFERROR(_xlfn.XLOOKUP(TRIM(B9861),Lookup!$B$2:$B$1000,Lookup!$C$2:$C$1000),"")</f>
        <v>Hybrid</v>
      </c>
      <c r="D9861" s="8" t="str">
        <f>IFERROR(INDEX('nav master'!$C:$C, MATCH(B9861, 'nav master'!$B:$B, 0)), "")</f>
        <v>ULIF08028/02/25DynamicFnd101</v>
      </c>
      <c r="E9861" s="8" t="s">
        <v>377</v>
      </c>
      <c r="F9861" s="8" t="s">
        <v>2793</v>
      </c>
    </row>
    <row r="9862" spans="1:6" ht="60" x14ac:dyDescent="0.25">
      <c r="A9862" s="8" t="s">
        <v>125</v>
      </c>
      <c r="B9862" s="8" t="s">
        <v>64</v>
      </c>
      <c r="C9862" s="8" t="str">
        <f>IFERROR(_xlfn.XLOOKUP(TRIM(B9862),Lookup!$B$2:$B$1000,Lookup!$C$2:$C$1000),"")</f>
        <v>Hybrid</v>
      </c>
      <c r="D9862" s="8" t="str">
        <f>IFERROR(INDEX('nav master'!$C:$C, MATCH(B9862, 'nav master'!$B:$B, 0)), "")</f>
        <v>ULIF08028/02/25DynamicFnd101</v>
      </c>
      <c r="E9862" s="8" t="s">
        <v>379</v>
      </c>
      <c r="F9862" s="8" t="s">
        <v>2794</v>
      </c>
    </row>
    <row r="9863" spans="1:6" ht="60" x14ac:dyDescent="0.25">
      <c r="A9863" s="8" t="s">
        <v>125</v>
      </c>
      <c r="B9863" s="8" t="s">
        <v>64</v>
      </c>
      <c r="C9863" s="8" t="str">
        <f>IFERROR(_xlfn.XLOOKUP(TRIM(B9863),Lookup!$B$2:$B$1000,Lookup!$C$2:$C$1000),"")</f>
        <v>Hybrid</v>
      </c>
      <c r="D9863" s="8" t="str">
        <f>IFERROR(INDEX('nav master'!$C:$C, MATCH(B9863, 'nav master'!$B:$B, 0)), "")</f>
        <v>ULIF08028/02/25DynamicFnd101</v>
      </c>
      <c r="E9863" s="8" t="s">
        <v>381</v>
      </c>
      <c r="F9863" s="8" t="s">
        <v>2795</v>
      </c>
    </row>
    <row r="9864" spans="1:6" ht="60" x14ac:dyDescent="0.25">
      <c r="A9864" s="8" t="s">
        <v>125</v>
      </c>
      <c r="B9864" s="8" t="s">
        <v>64</v>
      </c>
      <c r="C9864" s="8" t="str">
        <f>IFERROR(_xlfn.XLOOKUP(TRIM(B9864),Lookup!$B$2:$B$1000,Lookup!$C$2:$C$1000),"")</f>
        <v>Hybrid</v>
      </c>
      <c r="D9864" s="8" t="str">
        <f>IFERROR(INDEX('nav master'!$C:$C, MATCH(B9864, 'nav master'!$B:$B, 0)), "")</f>
        <v>ULIF08028/02/25DynamicFnd101</v>
      </c>
      <c r="E9864" s="8" t="s">
        <v>383</v>
      </c>
      <c r="F9864" s="8" t="s">
        <v>2796</v>
      </c>
    </row>
    <row r="9865" spans="1:6" ht="60" x14ac:dyDescent="0.25">
      <c r="A9865" s="8" t="s">
        <v>125</v>
      </c>
      <c r="B9865" s="8" t="s">
        <v>64</v>
      </c>
      <c r="C9865" s="8" t="str">
        <f>IFERROR(_xlfn.XLOOKUP(TRIM(B9865),Lookup!$B$2:$B$1000,Lookup!$C$2:$C$1000),"")</f>
        <v>Hybrid</v>
      </c>
      <c r="D9865" s="8" t="str">
        <f>IFERROR(INDEX('nav master'!$C:$C, MATCH(B9865, 'nav master'!$B:$B, 0)), "")</f>
        <v>ULIF08028/02/25DynamicFnd101</v>
      </c>
      <c r="E9865" s="8" t="s">
        <v>385</v>
      </c>
      <c r="F9865" s="8" t="s">
        <v>2797</v>
      </c>
    </row>
    <row r="9866" spans="1:6" ht="60" x14ac:dyDescent="0.25">
      <c r="A9866" s="8" t="s">
        <v>125</v>
      </c>
      <c r="B9866" s="8" t="s">
        <v>64</v>
      </c>
      <c r="C9866" s="8" t="str">
        <f>IFERROR(_xlfn.XLOOKUP(TRIM(B9866),Lookup!$B$2:$B$1000,Lookup!$C$2:$C$1000),"")</f>
        <v>Hybrid</v>
      </c>
      <c r="D9866" s="8" t="str">
        <f>IFERROR(INDEX('nav master'!$C:$C, MATCH(B9866, 'nav master'!$B:$B, 0)), "")</f>
        <v>ULIF08028/02/25DynamicFnd101</v>
      </c>
      <c r="E9866" s="8" t="s">
        <v>387</v>
      </c>
      <c r="F9866" s="8" t="s">
        <v>2798</v>
      </c>
    </row>
    <row r="9867" spans="1:6" ht="60" x14ac:dyDescent="0.25">
      <c r="A9867" s="8" t="s">
        <v>125</v>
      </c>
      <c r="B9867" s="8" t="s">
        <v>64</v>
      </c>
      <c r="C9867" s="8" t="str">
        <f>IFERROR(_xlfn.XLOOKUP(TRIM(B9867),Lookup!$B$2:$B$1000,Lookup!$C$2:$C$1000),"")</f>
        <v>Hybrid</v>
      </c>
      <c r="D9867" s="8" t="str">
        <f>IFERROR(INDEX('nav master'!$C:$C, MATCH(B9867, 'nav master'!$B:$B, 0)), "")</f>
        <v>ULIF08028/02/25DynamicFnd101</v>
      </c>
      <c r="E9867" s="8" t="s">
        <v>389</v>
      </c>
      <c r="F9867" s="8" t="s">
        <v>2799</v>
      </c>
    </row>
    <row r="9868" spans="1:6" ht="60" x14ac:dyDescent="0.25">
      <c r="A9868" s="8" t="s">
        <v>125</v>
      </c>
      <c r="B9868" s="8" t="s">
        <v>64</v>
      </c>
      <c r="C9868" s="8" t="str">
        <f>IFERROR(_xlfn.XLOOKUP(TRIM(B9868),Lookup!$B$2:$B$1000,Lookup!$C$2:$C$1000),"")</f>
        <v>Hybrid</v>
      </c>
      <c r="D9868" s="8" t="str">
        <f>IFERROR(INDEX('nav master'!$C:$C, MATCH(B9868, 'nav master'!$B:$B, 0)), "")</f>
        <v>ULIF08028/02/25DynamicFnd101</v>
      </c>
      <c r="E9868" s="8" t="s">
        <v>391</v>
      </c>
      <c r="F9868" s="8" t="s">
        <v>2800</v>
      </c>
    </row>
    <row r="9869" spans="1:6" ht="60" x14ac:dyDescent="0.25">
      <c r="A9869" s="8" t="s">
        <v>125</v>
      </c>
      <c r="B9869" s="8" t="s">
        <v>64</v>
      </c>
      <c r="C9869" s="8" t="str">
        <f>IFERROR(_xlfn.XLOOKUP(TRIM(B9869),Lookup!$B$2:$B$1000,Lookup!$C$2:$C$1000),"")</f>
        <v>Hybrid</v>
      </c>
      <c r="D9869" s="8" t="str">
        <f>IFERROR(INDEX('nav master'!$C:$C, MATCH(B9869, 'nav master'!$B:$B, 0)), "")</f>
        <v>ULIF08028/02/25DynamicFnd101</v>
      </c>
      <c r="E9869" s="8" t="s">
        <v>393</v>
      </c>
      <c r="F9869" s="8" t="s">
        <v>2801</v>
      </c>
    </row>
    <row r="9870" spans="1:6" ht="60" x14ac:dyDescent="0.25">
      <c r="A9870" s="8" t="s">
        <v>125</v>
      </c>
      <c r="B9870" s="8" t="s">
        <v>64</v>
      </c>
      <c r="C9870" s="8" t="str">
        <f>IFERROR(_xlfn.XLOOKUP(TRIM(B9870),Lookup!$B$2:$B$1000,Lookup!$C$2:$C$1000),"")</f>
        <v>Hybrid</v>
      </c>
      <c r="D9870" s="8" t="str">
        <f>IFERROR(INDEX('nav master'!$C:$C, MATCH(B9870, 'nav master'!$B:$B, 0)), "")</f>
        <v>ULIF08028/02/25DynamicFnd101</v>
      </c>
      <c r="E9870" s="8" t="s">
        <v>395</v>
      </c>
      <c r="F9870" s="8" t="s">
        <v>2802</v>
      </c>
    </row>
    <row r="9871" spans="1:6" ht="60" x14ac:dyDescent="0.25">
      <c r="A9871" s="8" t="s">
        <v>125</v>
      </c>
      <c r="B9871" s="8" t="s">
        <v>64</v>
      </c>
      <c r="C9871" s="8" t="str">
        <f>IFERROR(_xlfn.XLOOKUP(TRIM(B9871),Lookup!$B$2:$B$1000,Lookup!$C$2:$C$1000),"")</f>
        <v>Hybrid</v>
      </c>
      <c r="D9871" s="8" t="str">
        <f>IFERROR(INDEX('nav master'!$C:$C, MATCH(B9871, 'nav master'!$B:$B, 0)), "")</f>
        <v>ULIF08028/02/25DynamicFnd101</v>
      </c>
      <c r="E9871" s="8" t="s">
        <v>397</v>
      </c>
      <c r="F9871" s="8" t="s">
        <v>2803</v>
      </c>
    </row>
    <row r="9872" spans="1:6" ht="60" x14ac:dyDescent="0.25">
      <c r="A9872" s="8" t="s">
        <v>125</v>
      </c>
      <c r="B9872" s="8" t="s">
        <v>64</v>
      </c>
      <c r="C9872" s="8" t="str">
        <f>IFERROR(_xlfn.XLOOKUP(TRIM(B9872),Lookup!$B$2:$B$1000,Lookup!$C$2:$C$1000),"")</f>
        <v>Hybrid</v>
      </c>
      <c r="D9872" s="8" t="str">
        <f>IFERROR(INDEX('nav master'!$C:$C, MATCH(B9872, 'nav master'!$B:$B, 0)), "")</f>
        <v>ULIF08028/02/25DynamicFnd101</v>
      </c>
      <c r="E9872" s="8" t="s">
        <v>399</v>
      </c>
      <c r="F9872" s="8" t="s">
        <v>2804</v>
      </c>
    </row>
    <row r="9873" spans="1:6" ht="60" x14ac:dyDescent="0.25">
      <c r="A9873" s="8" t="s">
        <v>125</v>
      </c>
      <c r="B9873" s="8" t="s">
        <v>64</v>
      </c>
      <c r="C9873" s="8" t="str">
        <f>IFERROR(_xlfn.XLOOKUP(TRIM(B9873),Lookup!$B$2:$B$1000,Lookup!$C$2:$C$1000),"")</f>
        <v>Hybrid</v>
      </c>
      <c r="D9873" s="8" t="str">
        <f>IFERROR(INDEX('nav master'!$C:$C, MATCH(B9873, 'nav master'!$B:$B, 0)), "")</f>
        <v>ULIF08028/02/25DynamicFnd101</v>
      </c>
      <c r="E9873" s="8" t="s">
        <v>401</v>
      </c>
      <c r="F9873" s="8" t="s">
        <v>2805</v>
      </c>
    </row>
    <row r="9874" spans="1:6" ht="60" x14ac:dyDescent="0.25">
      <c r="A9874" s="8" t="s">
        <v>125</v>
      </c>
      <c r="B9874" s="8" t="s">
        <v>64</v>
      </c>
      <c r="C9874" s="8" t="str">
        <f>IFERROR(_xlfn.XLOOKUP(TRIM(B9874),Lookup!$B$2:$B$1000,Lookup!$C$2:$C$1000),"")</f>
        <v>Hybrid</v>
      </c>
      <c r="D9874" s="8" t="str">
        <f>IFERROR(INDEX('nav master'!$C:$C, MATCH(B9874, 'nav master'!$B:$B, 0)), "")</f>
        <v>ULIF08028/02/25DynamicFnd101</v>
      </c>
      <c r="E9874" s="8" t="s">
        <v>403</v>
      </c>
      <c r="F9874" s="8" t="s">
        <v>2806</v>
      </c>
    </row>
    <row r="9875" spans="1:6" ht="60" x14ac:dyDescent="0.25">
      <c r="A9875" s="8" t="s">
        <v>125</v>
      </c>
      <c r="B9875" s="8" t="s">
        <v>64</v>
      </c>
      <c r="C9875" s="8" t="str">
        <f>IFERROR(_xlfn.XLOOKUP(TRIM(B9875),Lookup!$B$2:$B$1000,Lookup!$C$2:$C$1000),"")</f>
        <v>Hybrid</v>
      </c>
      <c r="D9875" s="8" t="str">
        <f>IFERROR(INDEX('nav master'!$C:$C, MATCH(B9875, 'nav master'!$B:$B, 0)), "")</f>
        <v>ULIF08028/02/25DynamicFnd101</v>
      </c>
      <c r="E9875" s="8" t="s">
        <v>405</v>
      </c>
      <c r="F9875" s="8" t="s">
        <v>2807</v>
      </c>
    </row>
    <row r="9876" spans="1:6" ht="60" x14ac:dyDescent="0.25">
      <c r="A9876" s="8" t="s">
        <v>125</v>
      </c>
      <c r="B9876" s="8" t="s">
        <v>64</v>
      </c>
      <c r="C9876" s="8" t="str">
        <f>IFERROR(_xlfn.XLOOKUP(TRIM(B9876),Lookup!$B$2:$B$1000,Lookup!$C$2:$C$1000),"")</f>
        <v>Hybrid</v>
      </c>
      <c r="D9876" s="8" t="str">
        <f>IFERROR(INDEX('nav master'!$C:$C, MATCH(B9876, 'nav master'!$B:$B, 0)), "")</f>
        <v>ULIF08028/02/25DynamicFnd101</v>
      </c>
      <c r="E9876" s="8" t="s">
        <v>407</v>
      </c>
      <c r="F9876" s="8" t="s">
        <v>2808</v>
      </c>
    </row>
    <row r="9877" spans="1:6" ht="60" x14ac:dyDescent="0.25">
      <c r="A9877" s="8" t="s">
        <v>125</v>
      </c>
      <c r="B9877" s="8" t="s">
        <v>64</v>
      </c>
      <c r="C9877" s="8" t="str">
        <f>IFERROR(_xlfn.XLOOKUP(TRIM(B9877),Lookup!$B$2:$B$1000,Lookup!$C$2:$C$1000),"")</f>
        <v>Hybrid</v>
      </c>
      <c r="D9877" s="8" t="str">
        <f>IFERROR(INDEX('nav master'!$C:$C, MATCH(B9877, 'nav master'!$B:$B, 0)), "")</f>
        <v>ULIF08028/02/25DynamicFnd101</v>
      </c>
      <c r="E9877" s="8" t="s">
        <v>409</v>
      </c>
      <c r="F9877" s="8" t="s">
        <v>2809</v>
      </c>
    </row>
    <row r="9878" spans="1:6" ht="60" x14ac:dyDescent="0.25">
      <c r="A9878" s="8" t="s">
        <v>125</v>
      </c>
      <c r="B9878" s="8" t="s">
        <v>64</v>
      </c>
      <c r="C9878" s="8" t="str">
        <f>IFERROR(_xlfn.XLOOKUP(TRIM(B9878),Lookup!$B$2:$B$1000,Lookup!$C$2:$C$1000),"")</f>
        <v>Hybrid</v>
      </c>
      <c r="D9878" s="8" t="str">
        <f>IFERROR(INDEX('nav master'!$C:$C, MATCH(B9878, 'nav master'!$B:$B, 0)), "")</f>
        <v>ULIF08028/02/25DynamicFnd101</v>
      </c>
      <c r="E9878" s="8" t="s">
        <v>411</v>
      </c>
      <c r="F9878" s="8" t="s">
        <v>2810</v>
      </c>
    </row>
    <row r="9879" spans="1:6" ht="60" x14ac:dyDescent="0.25">
      <c r="A9879" s="8" t="s">
        <v>125</v>
      </c>
      <c r="B9879" s="8" t="s">
        <v>64</v>
      </c>
      <c r="C9879" s="8" t="str">
        <f>IFERROR(_xlfn.XLOOKUP(TRIM(B9879),Lookup!$B$2:$B$1000,Lookup!$C$2:$C$1000),"")</f>
        <v>Hybrid</v>
      </c>
      <c r="D9879" s="8" t="str">
        <f>IFERROR(INDEX('nav master'!$C:$C, MATCH(B9879, 'nav master'!$B:$B, 0)), "")</f>
        <v>ULIF08028/02/25DynamicFnd101</v>
      </c>
      <c r="E9879" s="8" t="s">
        <v>413</v>
      </c>
      <c r="F9879" s="8" t="s">
        <v>2811</v>
      </c>
    </row>
    <row r="9880" spans="1:6" ht="60" x14ac:dyDescent="0.25">
      <c r="A9880" s="8" t="s">
        <v>125</v>
      </c>
      <c r="B9880" s="8" t="s">
        <v>64</v>
      </c>
      <c r="C9880" s="8" t="str">
        <f>IFERROR(_xlfn.XLOOKUP(TRIM(B9880),Lookup!$B$2:$B$1000,Lookup!$C$2:$C$1000),"")</f>
        <v>Hybrid</v>
      </c>
      <c r="D9880" s="8" t="str">
        <f>IFERROR(INDEX('nav master'!$C:$C, MATCH(B9880, 'nav master'!$B:$B, 0)), "")</f>
        <v>ULIF08028/02/25DynamicFnd101</v>
      </c>
      <c r="E9880" s="8" t="s">
        <v>415</v>
      </c>
      <c r="F9880" s="8" t="s">
        <v>2812</v>
      </c>
    </row>
    <row r="9881" spans="1:6" ht="60" x14ac:dyDescent="0.25">
      <c r="A9881" s="8" t="s">
        <v>125</v>
      </c>
      <c r="B9881" s="8" t="s">
        <v>64</v>
      </c>
      <c r="C9881" s="8" t="str">
        <f>IFERROR(_xlfn.XLOOKUP(TRIM(B9881),Lookup!$B$2:$B$1000,Lookup!$C$2:$C$1000),"")</f>
        <v>Hybrid</v>
      </c>
      <c r="D9881" s="8" t="str">
        <f>IFERROR(INDEX('nav master'!$C:$C, MATCH(B9881, 'nav master'!$B:$B, 0)), "")</f>
        <v>ULIF08028/02/25DynamicFnd101</v>
      </c>
      <c r="E9881" s="8" t="s">
        <v>417</v>
      </c>
      <c r="F9881" s="8" t="s">
        <v>2813</v>
      </c>
    </row>
    <row r="9882" spans="1:6" ht="60" x14ac:dyDescent="0.25">
      <c r="A9882" s="8" t="s">
        <v>125</v>
      </c>
      <c r="B9882" s="8" t="s">
        <v>64</v>
      </c>
      <c r="C9882" s="8" t="str">
        <f>IFERROR(_xlfn.XLOOKUP(TRIM(B9882),Lookup!$B$2:$B$1000,Lookup!$C$2:$C$1000),"")</f>
        <v>Hybrid</v>
      </c>
      <c r="D9882" s="8" t="str">
        <f>IFERROR(INDEX('nav master'!$C:$C, MATCH(B9882, 'nav master'!$B:$B, 0)), "")</f>
        <v>ULIF08028/02/25DynamicFnd101</v>
      </c>
      <c r="E9882" s="8" t="s">
        <v>419</v>
      </c>
      <c r="F9882" s="8" t="s">
        <v>2814</v>
      </c>
    </row>
    <row r="9883" spans="1:6" ht="60" x14ac:dyDescent="0.25">
      <c r="A9883" s="8" t="s">
        <v>125</v>
      </c>
      <c r="B9883" s="8" t="s">
        <v>64</v>
      </c>
      <c r="C9883" s="8" t="str">
        <f>IFERROR(_xlfn.XLOOKUP(TRIM(B9883),Lookup!$B$2:$B$1000,Lookup!$C$2:$C$1000),"")</f>
        <v>Hybrid</v>
      </c>
      <c r="D9883" s="8" t="str">
        <f>IFERROR(INDEX('nav master'!$C:$C, MATCH(B9883, 'nav master'!$B:$B, 0)), "")</f>
        <v>ULIF08028/02/25DynamicFnd101</v>
      </c>
      <c r="E9883" s="8" t="s">
        <v>421</v>
      </c>
      <c r="F9883" s="8" t="s">
        <v>2815</v>
      </c>
    </row>
    <row r="9884" spans="1:6" ht="60" x14ac:dyDescent="0.25">
      <c r="A9884" s="8" t="s">
        <v>125</v>
      </c>
      <c r="B9884" s="8" t="s">
        <v>64</v>
      </c>
      <c r="C9884" s="8" t="str">
        <f>IFERROR(_xlfn.XLOOKUP(TRIM(B9884),Lookup!$B$2:$B$1000,Lookup!$C$2:$C$1000),"")</f>
        <v>Hybrid</v>
      </c>
      <c r="D9884" s="8" t="str">
        <f>IFERROR(INDEX('nav master'!$C:$C, MATCH(B9884, 'nav master'!$B:$B, 0)), "")</f>
        <v>ULIF08028/02/25DynamicFnd101</v>
      </c>
      <c r="E9884" s="8" t="s">
        <v>423</v>
      </c>
      <c r="F9884" s="8" t="s">
        <v>2816</v>
      </c>
    </row>
    <row r="9885" spans="1:6" ht="60" x14ac:dyDescent="0.25">
      <c r="A9885" s="8" t="s">
        <v>125</v>
      </c>
      <c r="B9885" s="8" t="s">
        <v>64</v>
      </c>
      <c r="C9885" s="8" t="str">
        <f>IFERROR(_xlfn.XLOOKUP(TRIM(B9885),Lookup!$B$2:$B$1000,Lookup!$C$2:$C$1000),"")</f>
        <v>Hybrid</v>
      </c>
      <c r="D9885" s="8" t="str">
        <f>IFERROR(INDEX('nav master'!$C:$C, MATCH(B9885, 'nav master'!$B:$B, 0)), "")</f>
        <v>ULIF08028/02/25DynamicFnd101</v>
      </c>
      <c r="E9885" s="8" t="s">
        <v>425</v>
      </c>
      <c r="F9885" s="8" t="s">
        <v>2817</v>
      </c>
    </row>
    <row r="9886" spans="1:6" ht="60" x14ac:dyDescent="0.25">
      <c r="A9886" s="8" t="s">
        <v>125</v>
      </c>
      <c r="B9886" s="8" t="s">
        <v>64</v>
      </c>
      <c r="C9886" s="8" t="str">
        <f>IFERROR(_xlfn.XLOOKUP(TRIM(B9886),Lookup!$B$2:$B$1000,Lookup!$C$2:$C$1000),"")</f>
        <v>Hybrid</v>
      </c>
      <c r="D9886" s="8" t="str">
        <f>IFERROR(INDEX('nav master'!$C:$C, MATCH(B9886, 'nav master'!$B:$B, 0)), "")</f>
        <v>ULIF08028/02/25DynamicFnd101</v>
      </c>
      <c r="E9886" s="8" t="s">
        <v>427</v>
      </c>
      <c r="F9886" s="8" t="s">
        <v>2818</v>
      </c>
    </row>
    <row r="9887" spans="1:6" ht="60" x14ac:dyDescent="0.25">
      <c r="A9887" s="8" t="s">
        <v>125</v>
      </c>
      <c r="B9887" s="8" t="s">
        <v>64</v>
      </c>
      <c r="C9887" s="8" t="str">
        <f>IFERROR(_xlfn.XLOOKUP(TRIM(B9887),Lookup!$B$2:$B$1000,Lookup!$C$2:$C$1000),"")</f>
        <v>Hybrid</v>
      </c>
      <c r="D9887" s="8" t="str">
        <f>IFERROR(INDEX('nav master'!$C:$C, MATCH(B9887, 'nav master'!$B:$B, 0)), "")</f>
        <v>ULIF08028/02/25DynamicFnd101</v>
      </c>
      <c r="E9887" s="8" t="s">
        <v>429</v>
      </c>
      <c r="F9887" s="8" t="s">
        <v>2819</v>
      </c>
    </row>
    <row r="9888" spans="1:6" ht="60" x14ac:dyDescent="0.25">
      <c r="A9888" s="8" t="s">
        <v>125</v>
      </c>
      <c r="B9888" s="8" t="s">
        <v>64</v>
      </c>
      <c r="C9888" s="8" t="str">
        <f>IFERROR(_xlfn.XLOOKUP(TRIM(B9888),Lookup!$B$2:$B$1000,Lookup!$C$2:$C$1000),"")</f>
        <v>Hybrid</v>
      </c>
      <c r="D9888" s="8" t="str">
        <f>IFERROR(INDEX('nav master'!$C:$C, MATCH(B9888, 'nav master'!$B:$B, 0)), "")</f>
        <v>ULIF08028/02/25DynamicFnd101</v>
      </c>
      <c r="E9888" s="8" t="s">
        <v>431</v>
      </c>
      <c r="F9888" s="8" t="s">
        <v>2820</v>
      </c>
    </row>
    <row r="9889" spans="1:6" ht="60" x14ac:dyDescent="0.25">
      <c r="A9889" s="8" t="s">
        <v>125</v>
      </c>
      <c r="B9889" s="8" t="s">
        <v>64</v>
      </c>
      <c r="C9889" s="8" t="str">
        <f>IFERROR(_xlfn.XLOOKUP(TRIM(B9889),Lookup!$B$2:$B$1000,Lookup!$C$2:$C$1000),"")</f>
        <v>Hybrid</v>
      </c>
      <c r="D9889" s="8" t="str">
        <f>IFERROR(INDEX('nav master'!$C:$C, MATCH(B9889, 'nav master'!$B:$B, 0)), "")</f>
        <v>ULIF08028/02/25DynamicFnd101</v>
      </c>
      <c r="E9889" s="8" t="s">
        <v>433</v>
      </c>
      <c r="F9889" s="8" t="s">
        <v>2821</v>
      </c>
    </row>
    <row r="9890" spans="1:6" ht="60" x14ac:dyDescent="0.25">
      <c r="A9890" s="8" t="s">
        <v>125</v>
      </c>
      <c r="B9890" s="8" t="s">
        <v>64</v>
      </c>
      <c r="C9890" s="8" t="str">
        <f>IFERROR(_xlfn.XLOOKUP(TRIM(B9890),Lookup!$B$2:$B$1000,Lookup!$C$2:$C$1000),"")</f>
        <v>Hybrid</v>
      </c>
      <c r="D9890" s="8" t="str">
        <f>IFERROR(INDEX('nav master'!$C:$C, MATCH(B9890, 'nav master'!$B:$B, 0)), "")</f>
        <v>ULIF08028/02/25DynamicFnd101</v>
      </c>
      <c r="E9890" s="8" t="s">
        <v>435</v>
      </c>
      <c r="F9890" s="8" t="s">
        <v>2822</v>
      </c>
    </row>
    <row r="9891" spans="1:6" ht="60" x14ac:dyDescent="0.25">
      <c r="A9891" s="8" t="s">
        <v>125</v>
      </c>
      <c r="B9891" s="8" t="s">
        <v>64</v>
      </c>
      <c r="C9891" s="8" t="str">
        <f>IFERROR(_xlfn.XLOOKUP(TRIM(B9891),Lookup!$B$2:$B$1000,Lookup!$C$2:$C$1000),"")</f>
        <v>Hybrid</v>
      </c>
      <c r="D9891" s="8" t="str">
        <f>IFERROR(INDEX('nav master'!$C:$C, MATCH(B9891, 'nav master'!$B:$B, 0)), "")</f>
        <v>ULIF08028/02/25DynamicFnd101</v>
      </c>
      <c r="E9891" s="8" t="s">
        <v>437</v>
      </c>
      <c r="F9891" s="8" t="s">
        <v>2823</v>
      </c>
    </row>
    <row r="9892" spans="1:6" ht="60" x14ac:dyDescent="0.25">
      <c r="A9892" s="8" t="s">
        <v>125</v>
      </c>
      <c r="B9892" s="8" t="s">
        <v>64</v>
      </c>
      <c r="C9892" s="8" t="str">
        <f>IFERROR(_xlfn.XLOOKUP(TRIM(B9892),Lookup!$B$2:$B$1000,Lookup!$C$2:$C$1000),"")</f>
        <v>Hybrid</v>
      </c>
      <c r="D9892" s="8" t="str">
        <f>IFERROR(INDEX('nav master'!$C:$C, MATCH(B9892, 'nav master'!$B:$B, 0)), "")</f>
        <v>ULIF08028/02/25DynamicFnd101</v>
      </c>
      <c r="E9892" s="8" t="s">
        <v>439</v>
      </c>
      <c r="F9892" s="8" t="s">
        <v>2824</v>
      </c>
    </row>
    <row r="9893" spans="1:6" ht="60" x14ac:dyDescent="0.25">
      <c r="A9893" s="8" t="s">
        <v>125</v>
      </c>
      <c r="B9893" s="8" t="s">
        <v>64</v>
      </c>
      <c r="C9893" s="8" t="str">
        <f>IFERROR(_xlfn.XLOOKUP(TRIM(B9893),Lookup!$B$2:$B$1000,Lookup!$C$2:$C$1000),"")</f>
        <v>Hybrid</v>
      </c>
      <c r="D9893" s="8" t="str">
        <f>IFERROR(INDEX('nav master'!$C:$C, MATCH(B9893, 'nav master'!$B:$B, 0)), "")</f>
        <v>ULIF08028/02/25DynamicFnd101</v>
      </c>
      <c r="E9893" s="8" t="s">
        <v>441</v>
      </c>
      <c r="F9893" s="8" t="s">
        <v>2825</v>
      </c>
    </row>
    <row r="9894" spans="1:6" ht="60" x14ac:dyDescent="0.25">
      <c r="A9894" s="8" t="s">
        <v>125</v>
      </c>
      <c r="B9894" s="8" t="s">
        <v>64</v>
      </c>
      <c r="C9894" s="8" t="str">
        <f>IFERROR(_xlfn.XLOOKUP(TRIM(B9894),Lookup!$B$2:$B$1000,Lookup!$C$2:$C$1000),"")</f>
        <v>Hybrid</v>
      </c>
      <c r="D9894" s="8" t="str">
        <f>IFERROR(INDEX('nav master'!$C:$C, MATCH(B9894, 'nav master'!$B:$B, 0)), "")</f>
        <v>ULIF08028/02/25DynamicFnd101</v>
      </c>
      <c r="E9894" s="8" t="s">
        <v>443</v>
      </c>
      <c r="F9894" s="8" t="s">
        <v>2826</v>
      </c>
    </row>
    <row r="9895" spans="1:6" ht="60" x14ac:dyDescent="0.25">
      <c r="A9895" s="8" t="s">
        <v>125</v>
      </c>
      <c r="B9895" s="8" t="s">
        <v>64</v>
      </c>
      <c r="C9895" s="8" t="str">
        <f>IFERROR(_xlfn.XLOOKUP(TRIM(B9895),Lookup!$B$2:$B$1000,Lookup!$C$2:$C$1000),"")</f>
        <v>Hybrid</v>
      </c>
      <c r="D9895" s="8" t="str">
        <f>IFERROR(INDEX('nav master'!$C:$C, MATCH(B9895, 'nav master'!$B:$B, 0)), "")</f>
        <v>ULIF08028/02/25DynamicFnd101</v>
      </c>
      <c r="E9895" s="8" t="s">
        <v>445</v>
      </c>
      <c r="F9895" s="8" t="s">
        <v>2827</v>
      </c>
    </row>
    <row r="9896" spans="1:6" ht="60" x14ac:dyDescent="0.25">
      <c r="A9896" s="8" t="s">
        <v>125</v>
      </c>
      <c r="B9896" s="8" t="s">
        <v>64</v>
      </c>
      <c r="C9896" s="8" t="str">
        <f>IFERROR(_xlfn.XLOOKUP(TRIM(B9896),Lookup!$B$2:$B$1000,Lookup!$C$2:$C$1000),"")</f>
        <v>Hybrid</v>
      </c>
      <c r="D9896" s="8" t="str">
        <f>IFERROR(INDEX('nav master'!$C:$C, MATCH(B9896, 'nav master'!$B:$B, 0)), "")</f>
        <v>ULIF08028/02/25DynamicFnd101</v>
      </c>
      <c r="E9896" s="8" t="s">
        <v>446</v>
      </c>
      <c r="F9896" s="8" t="s">
        <v>2828</v>
      </c>
    </row>
    <row r="9897" spans="1:6" ht="60" x14ac:dyDescent="0.25">
      <c r="A9897" s="8" t="s">
        <v>125</v>
      </c>
      <c r="B9897" s="8" t="s">
        <v>64</v>
      </c>
      <c r="C9897" s="8" t="str">
        <f>IFERROR(_xlfn.XLOOKUP(TRIM(B9897),Lookup!$B$2:$B$1000,Lookup!$C$2:$C$1000),"")</f>
        <v>Hybrid</v>
      </c>
      <c r="D9897" s="8" t="str">
        <f>IFERROR(INDEX('nav master'!$C:$C, MATCH(B9897, 'nav master'!$B:$B, 0)), "")</f>
        <v>ULIF08028/02/25DynamicFnd101</v>
      </c>
      <c r="E9897" s="8" t="s">
        <v>448</v>
      </c>
      <c r="F9897" s="8" t="s">
        <v>2829</v>
      </c>
    </row>
    <row r="9898" spans="1:6" ht="60" x14ac:dyDescent="0.25">
      <c r="A9898" s="8" t="s">
        <v>125</v>
      </c>
      <c r="B9898" s="8" t="s">
        <v>64</v>
      </c>
      <c r="C9898" s="8" t="str">
        <f>IFERROR(_xlfn.XLOOKUP(TRIM(B9898),Lookup!$B$2:$B$1000,Lookup!$C$2:$C$1000),"")</f>
        <v>Hybrid</v>
      </c>
      <c r="D9898" s="8" t="str">
        <f>IFERROR(INDEX('nav master'!$C:$C, MATCH(B9898, 'nav master'!$B:$B, 0)), "")</f>
        <v>ULIF08028/02/25DynamicFnd101</v>
      </c>
      <c r="E9898" s="8" t="s">
        <v>450</v>
      </c>
      <c r="F9898" s="8" t="s">
        <v>2830</v>
      </c>
    </row>
    <row r="9899" spans="1:6" ht="60" x14ac:dyDescent="0.25">
      <c r="A9899" s="8" t="s">
        <v>125</v>
      </c>
      <c r="B9899" s="8" t="s">
        <v>64</v>
      </c>
      <c r="C9899" s="8" t="str">
        <f>IFERROR(_xlfn.XLOOKUP(TRIM(B9899),Lookup!$B$2:$B$1000,Lookup!$C$2:$C$1000),"")</f>
        <v>Hybrid</v>
      </c>
      <c r="D9899" s="8" t="str">
        <f>IFERROR(INDEX('nav master'!$C:$C, MATCH(B9899, 'nav master'!$B:$B, 0)), "")</f>
        <v>ULIF08028/02/25DynamicFnd101</v>
      </c>
      <c r="E9899" s="8" t="s">
        <v>452</v>
      </c>
      <c r="F9899" s="8" t="s">
        <v>2831</v>
      </c>
    </row>
    <row r="9900" spans="1:6" ht="60" x14ac:dyDescent="0.25">
      <c r="A9900" s="8" t="s">
        <v>125</v>
      </c>
      <c r="B9900" s="8" t="s">
        <v>64</v>
      </c>
      <c r="C9900" s="8" t="str">
        <f>IFERROR(_xlfn.XLOOKUP(TRIM(B9900),Lookup!$B$2:$B$1000,Lookup!$C$2:$C$1000),"")</f>
        <v>Hybrid</v>
      </c>
      <c r="D9900" s="8" t="str">
        <f>IFERROR(INDEX('nav master'!$C:$C, MATCH(B9900, 'nav master'!$B:$B, 0)), "")</f>
        <v>ULIF08028/02/25DynamicFnd101</v>
      </c>
      <c r="E9900" s="8" t="s">
        <v>454</v>
      </c>
      <c r="F9900" s="8" t="s">
        <v>2832</v>
      </c>
    </row>
    <row r="9901" spans="1:6" ht="60" x14ac:dyDescent="0.25">
      <c r="A9901" s="8" t="s">
        <v>125</v>
      </c>
      <c r="B9901" s="8" t="s">
        <v>64</v>
      </c>
      <c r="C9901" s="8" t="str">
        <f>IFERROR(_xlfn.XLOOKUP(TRIM(B9901),Lookup!$B$2:$B$1000,Lookup!$C$2:$C$1000),"")</f>
        <v>Hybrid</v>
      </c>
      <c r="D9901" s="8" t="str">
        <f>IFERROR(INDEX('nav master'!$C:$C, MATCH(B9901, 'nav master'!$B:$B, 0)), "")</f>
        <v>ULIF08028/02/25DynamicFnd101</v>
      </c>
      <c r="E9901" s="8" t="s">
        <v>456</v>
      </c>
      <c r="F9901" s="8" t="s">
        <v>2833</v>
      </c>
    </row>
    <row r="9902" spans="1:6" ht="60" x14ac:dyDescent="0.25">
      <c r="A9902" s="8" t="s">
        <v>125</v>
      </c>
      <c r="B9902" s="8" t="s">
        <v>64</v>
      </c>
      <c r="C9902" s="8" t="str">
        <f>IFERROR(_xlfn.XLOOKUP(TRIM(B9902),Lookup!$B$2:$B$1000,Lookup!$C$2:$C$1000),"")</f>
        <v>Hybrid</v>
      </c>
      <c r="D9902" s="8" t="str">
        <f>IFERROR(INDEX('nav master'!$C:$C, MATCH(B9902, 'nav master'!$B:$B, 0)), "")</f>
        <v>ULIF08028/02/25DynamicFnd101</v>
      </c>
      <c r="E9902" s="8" t="s">
        <v>458</v>
      </c>
      <c r="F9902" s="8" t="s">
        <v>2834</v>
      </c>
    </row>
    <row r="9903" spans="1:6" ht="60" x14ac:dyDescent="0.25">
      <c r="A9903" s="8" t="s">
        <v>125</v>
      </c>
      <c r="B9903" s="8" t="s">
        <v>64</v>
      </c>
      <c r="C9903" s="8" t="str">
        <f>IFERROR(_xlfn.XLOOKUP(TRIM(B9903),Lookup!$B$2:$B$1000,Lookup!$C$2:$C$1000),"")</f>
        <v>Hybrid</v>
      </c>
      <c r="D9903" s="8" t="str">
        <f>IFERROR(INDEX('nav master'!$C:$C, MATCH(B9903, 'nav master'!$B:$B, 0)), "")</f>
        <v>ULIF08028/02/25DynamicFnd101</v>
      </c>
      <c r="E9903" s="8" t="s">
        <v>460</v>
      </c>
      <c r="F9903" s="8" t="s">
        <v>2835</v>
      </c>
    </row>
    <row r="9904" spans="1:6" ht="60" x14ac:dyDescent="0.25">
      <c r="A9904" s="8" t="s">
        <v>125</v>
      </c>
      <c r="B9904" s="8" t="s">
        <v>64</v>
      </c>
      <c r="C9904" s="8" t="str">
        <f>IFERROR(_xlfn.XLOOKUP(TRIM(B9904),Lookup!$B$2:$B$1000,Lookup!$C$2:$C$1000),"")</f>
        <v>Hybrid</v>
      </c>
      <c r="D9904" s="8" t="str">
        <f>IFERROR(INDEX('nav master'!$C:$C, MATCH(B9904, 'nav master'!$B:$B, 0)), "")</f>
        <v>ULIF08028/02/25DynamicFnd101</v>
      </c>
      <c r="E9904" s="8" t="s">
        <v>462</v>
      </c>
      <c r="F9904" s="8" t="s">
        <v>2836</v>
      </c>
    </row>
    <row r="9905" spans="1:6" ht="60" x14ac:dyDescent="0.25">
      <c r="A9905" s="8" t="s">
        <v>125</v>
      </c>
      <c r="B9905" s="8" t="s">
        <v>64</v>
      </c>
      <c r="C9905" s="8" t="str">
        <f>IFERROR(_xlfn.XLOOKUP(TRIM(B9905),Lookup!$B$2:$B$1000,Lookup!$C$2:$C$1000),"")</f>
        <v>Hybrid</v>
      </c>
      <c r="D9905" s="8" t="str">
        <f>IFERROR(INDEX('nav master'!$C:$C, MATCH(B9905, 'nav master'!$B:$B, 0)), "")</f>
        <v>ULIF08028/02/25DynamicFnd101</v>
      </c>
      <c r="E9905" s="8" t="s">
        <v>464</v>
      </c>
      <c r="F9905" s="8" t="s">
        <v>2837</v>
      </c>
    </row>
    <row r="9906" spans="1:6" ht="60" x14ac:dyDescent="0.25">
      <c r="A9906" s="8" t="s">
        <v>125</v>
      </c>
      <c r="B9906" s="8" t="s">
        <v>64</v>
      </c>
      <c r="C9906" s="8" t="str">
        <f>IFERROR(_xlfn.XLOOKUP(TRIM(B9906),Lookup!$B$2:$B$1000,Lookup!$C$2:$C$1000),"")</f>
        <v>Hybrid</v>
      </c>
      <c r="D9906" s="8" t="str">
        <f>IFERROR(INDEX('nav master'!$C:$C, MATCH(B9906, 'nav master'!$B:$B, 0)), "")</f>
        <v>ULIF08028/02/25DynamicFnd101</v>
      </c>
      <c r="E9906" s="8" t="s">
        <v>466</v>
      </c>
      <c r="F9906" s="8" t="s">
        <v>2838</v>
      </c>
    </row>
    <row r="9907" spans="1:6" ht="60" x14ac:dyDescent="0.25">
      <c r="A9907" s="8" t="s">
        <v>125</v>
      </c>
      <c r="B9907" s="8" t="s">
        <v>64</v>
      </c>
      <c r="C9907" s="8" t="str">
        <f>IFERROR(_xlfn.XLOOKUP(TRIM(B9907),Lookup!$B$2:$B$1000,Lookup!$C$2:$C$1000),"")</f>
        <v>Hybrid</v>
      </c>
      <c r="D9907" s="8" t="str">
        <f>IFERROR(INDEX('nav master'!$C:$C, MATCH(B9907, 'nav master'!$B:$B, 0)), "")</f>
        <v>ULIF08028/02/25DynamicFnd101</v>
      </c>
      <c r="E9907" s="8" t="s">
        <v>468</v>
      </c>
      <c r="F9907" s="8" t="s">
        <v>2839</v>
      </c>
    </row>
    <row r="9908" spans="1:6" ht="60" x14ac:dyDescent="0.25">
      <c r="A9908" s="8" t="s">
        <v>125</v>
      </c>
      <c r="B9908" s="8" t="s">
        <v>64</v>
      </c>
      <c r="C9908" s="8" t="str">
        <f>IFERROR(_xlfn.XLOOKUP(TRIM(B9908),Lookup!$B$2:$B$1000,Lookup!$C$2:$C$1000),"")</f>
        <v>Hybrid</v>
      </c>
      <c r="D9908" s="8" t="str">
        <f>IFERROR(INDEX('nav master'!$C:$C, MATCH(B9908, 'nav master'!$B:$B, 0)), "")</f>
        <v>ULIF08028/02/25DynamicFnd101</v>
      </c>
      <c r="E9908" s="8" t="s">
        <v>470</v>
      </c>
      <c r="F9908" s="8" t="s">
        <v>2840</v>
      </c>
    </row>
    <row r="9909" spans="1:6" ht="60" x14ac:dyDescent="0.25">
      <c r="A9909" s="8" t="s">
        <v>125</v>
      </c>
      <c r="B9909" s="8" t="s">
        <v>64</v>
      </c>
      <c r="C9909" s="8" t="str">
        <f>IFERROR(_xlfn.XLOOKUP(TRIM(B9909),Lookup!$B$2:$B$1000,Lookup!$C$2:$C$1000),"")</f>
        <v>Hybrid</v>
      </c>
      <c r="D9909" s="8" t="str">
        <f>IFERROR(INDEX('nav master'!$C:$C, MATCH(B9909, 'nav master'!$B:$B, 0)), "")</f>
        <v>ULIF08028/02/25DynamicFnd101</v>
      </c>
      <c r="E9909" s="8" t="s">
        <v>472</v>
      </c>
      <c r="F9909" s="8" t="s">
        <v>2841</v>
      </c>
    </row>
    <row r="9910" spans="1:6" ht="60" x14ac:dyDescent="0.25">
      <c r="A9910" s="8" t="s">
        <v>125</v>
      </c>
      <c r="B9910" s="8" t="s">
        <v>64</v>
      </c>
      <c r="C9910" s="8" t="str">
        <f>IFERROR(_xlfn.XLOOKUP(TRIM(B9910),Lookup!$B$2:$B$1000,Lookup!$C$2:$C$1000),"")</f>
        <v>Hybrid</v>
      </c>
      <c r="D9910" s="8" t="str">
        <f>IFERROR(INDEX('nav master'!$C:$C, MATCH(B9910, 'nav master'!$B:$B, 0)), "")</f>
        <v>ULIF08028/02/25DynamicFnd101</v>
      </c>
      <c r="E9910" s="8" t="s">
        <v>474</v>
      </c>
      <c r="F9910" s="8" t="s">
        <v>2842</v>
      </c>
    </row>
    <row r="9911" spans="1:6" ht="60" x14ac:dyDescent="0.25">
      <c r="A9911" s="8" t="s">
        <v>125</v>
      </c>
      <c r="B9911" s="8" t="s">
        <v>64</v>
      </c>
      <c r="C9911" s="8" t="str">
        <f>IFERROR(_xlfn.XLOOKUP(TRIM(B9911),Lookup!$B$2:$B$1000,Lookup!$C$2:$C$1000),"")</f>
        <v>Hybrid</v>
      </c>
      <c r="D9911" s="8" t="str">
        <f>IFERROR(INDEX('nav master'!$C:$C, MATCH(B9911, 'nav master'!$B:$B, 0)), "")</f>
        <v>ULIF08028/02/25DynamicFnd101</v>
      </c>
      <c r="E9911" s="8" t="s">
        <v>476</v>
      </c>
      <c r="F9911" s="8" t="s">
        <v>2843</v>
      </c>
    </row>
    <row r="9912" spans="1:6" ht="60" x14ac:dyDescent="0.25">
      <c r="A9912" s="8" t="s">
        <v>125</v>
      </c>
      <c r="B9912" s="8" t="s">
        <v>64</v>
      </c>
      <c r="C9912" s="8" t="str">
        <f>IFERROR(_xlfn.XLOOKUP(TRIM(B9912),Lookup!$B$2:$B$1000,Lookup!$C$2:$C$1000),"")</f>
        <v>Hybrid</v>
      </c>
      <c r="D9912" s="8" t="str">
        <f>IFERROR(INDEX('nav master'!$C:$C, MATCH(B9912, 'nav master'!$B:$B, 0)), "")</f>
        <v>ULIF08028/02/25DynamicFnd101</v>
      </c>
      <c r="E9912" s="8" t="s">
        <v>478</v>
      </c>
      <c r="F9912" s="8" t="s">
        <v>2844</v>
      </c>
    </row>
    <row r="9913" spans="1:6" ht="60" x14ac:dyDescent="0.25">
      <c r="A9913" s="8" t="s">
        <v>125</v>
      </c>
      <c r="B9913" s="8" t="s">
        <v>64</v>
      </c>
      <c r="C9913" s="8" t="str">
        <f>IFERROR(_xlfn.XLOOKUP(TRIM(B9913),Lookup!$B$2:$B$1000,Lookup!$C$2:$C$1000),"")</f>
        <v>Hybrid</v>
      </c>
      <c r="D9913" s="8" t="str">
        <f>IFERROR(INDEX('nav master'!$C:$C, MATCH(B9913, 'nav master'!$B:$B, 0)), "")</f>
        <v>ULIF08028/02/25DynamicFnd101</v>
      </c>
      <c r="E9913" s="8" t="s">
        <v>480</v>
      </c>
      <c r="F9913" s="8" t="s">
        <v>2845</v>
      </c>
    </row>
    <row r="9914" spans="1:6" ht="60" x14ac:dyDescent="0.25">
      <c r="A9914" s="8" t="s">
        <v>125</v>
      </c>
      <c r="B9914" s="8" t="s">
        <v>64</v>
      </c>
      <c r="C9914" s="8" t="str">
        <f>IFERROR(_xlfn.XLOOKUP(TRIM(B9914),Lookup!$B$2:$B$1000,Lookup!$C$2:$C$1000),"")</f>
        <v>Hybrid</v>
      </c>
      <c r="D9914" s="8" t="str">
        <f>IFERROR(INDEX('nav master'!$C:$C, MATCH(B9914, 'nav master'!$B:$B, 0)), "")</f>
        <v>ULIF08028/02/25DynamicFnd101</v>
      </c>
      <c r="E9914" s="8" t="s">
        <v>482</v>
      </c>
      <c r="F9914" s="8" t="s">
        <v>2846</v>
      </c>
    </row>
    <row r="9915" spans="1:6" ht="60" x14ac:dyDescent="0.25">
      <c r="A9915" s="8" t="s">
        <v>125</v>
      </c>
      <c r="B9915" s="8" t="s">
        <v>64</v>
      </c>
      <c r="C9915" s="8" t="str">
        <f>IFERROR(_xlfn.XLOOKUP(TRIM(B9915),Lookup!$B$2:$B$1000,Lookup!$C$2:$C$1000),"")</f>
        <v>Hybrid</v>
      </c>
      <c r="D9915" s="8" t="str">
        <f>IFERROR(INDEX('nav master'!$C:$C, MATCH(B9915, 'nav master'!$B:$B, 0)), "")</f>
        <v>ULIF08028/02/25DynamicFnd101</v>
      </c>
      <c r="E9915" s="8" t="s">
        <v>484</v>
      </c>
      <c r="F9915" s="8" t="s">
        <v>2847</v>
      </c>
    </row>
    <row r="9916" spans="1:6" ht="60" x14ac:dyDescent="0.25">
      <c r="A9916" s="8" t="s">
        <v>125</v>
      </c>
      <c r="B9916" s="8" t="s">
        <v>64</v>
      </c>
      <c r="C9916" s="8" t="str">
        <f>IFERROR(_xlfn.XLOOKUP(TRIM(B9916),Lookup!$B$2:$B$1000,Lookup!$C$2:$C$1000),"")</f>
        <v>Hybrid</v>
      </c>
      <c r="D9916" s="8" t="str">
        <f>IFERROR(INDEX('nav master'!$C:$C, MATCH(B9916, 'nav master'!$B:$B, 0)), "")</f>
        <v>ULIF08028/02/25DynamicFnd101</v>
      </c>
      <c r="E9916" s="8" t="s">
        <v>486</v>
      </c>
      <c r="F9916" s="8" t="s">
        <v>2848</v>
      </c>
    </row>
    <row r="9917" spans="1:6" ht="60" x14ac:dyDescent="0.25">
      <c r="A9917" s="8" t="s">
        <v>125</v>
      </c>
      <c r="B9917" s="8" t="s">
        <v>64</v>
      </c>
      <c r="C9917" s="8" t="str">
        <f>IFERROR(_xlfn.XLOOKUP(TRIM(B9917),Lookup!$B$2:$B$1000,Lookup!$C$2:$C$1000),"")</f>
        <v>Hybrid</v>
      </c>
      <c r="D9917" s="8" t="str">
        <f>IFERROR(INDEX('nav master'!$C:$C, MATCH(B9917, 'nav master'!$B:$B, 0)), "")</f>
        <v>ULIF08028/02/25DynamicFnd101</v>
      </c>
      <c r="E9917" s="8" t="s">
        <v>488</v>
      </c>
      <c r="F9917" s="8" t="s">
        <v>2849</v>
      </c>
    </row>
    <row r="9918" spans="1:6" ht="60" x14ac:dyDescent="0.25">
      <c r="A9918" s="8" t="s">
        <v>125</v>
      </c>
      <c r="B9918" s="8" t="s">
        <v>64</v>
      </c>
      <c r="C9918" s="8" t="str">
        <f>IFERROR(_xlfn.XLOOKUP(TRIM(B9918),Lookup!$B$2:$B$1000,Lookup!$C$2:$C$1000),"")</f>
        <v>Hybrid</v>
      </c>
      <c r="D9918" s="8" t="str">
        <f>IFERROR(INDEX('nav master'!$C:$C, MATCH(B9918, 'nav master'!$B:$B, 0)), "")</f>
        <v>ULIF08028/02/25DynamicFnd101</v>
      </c>
      <c r="E9918" s="8" t="s">
        <v>490</v>
      </c>
      <c r="F9918" s="8" t="s">
        <v>2850</v>
      </c>
    </row>
    <row r="9919" spans="1:6" ht="60" x14ac:dyDescent="0.25">
      <c r="A9919" s="8" t="s">
        <v>125</v>
      </c>
      <c r="B9919" s="8" t="s">
        <v>64</v>
      </c>
      <c r="C9919" s="8" t="str">
        <f>IFERROR(_xlfn.XLOOKUP(TRIM(B9919),Lookup!$B$2:$B$1000,Lookup!$C$2:$C$1000),"")</f>
        <v>Hybrid</v>
      </c>
      <c r="D9919" s="8" t="str">
        <f>IFERROR(INDEX('nav master'!$C:$C, MATCH(B9919, 'nav master'!$B:$B, 0)), "")</f>
        <v>ULIF08028/02/25DynamicFnd101</v>
      </c>
      <c r="E9919" s="8" t="s">
        <v>492</v>
      </c>
      <c r="F9919" s="8" t="s">
        <v>2851</v>
      </c>
    </row>
    <row r="9920" spans="1:6" ht="60" x14ac:dyDescent="0.25">
      <c r="A9920" s="8" t="s">
        <v>125</v>
      </c>
      <c r="B9920" s="8" t="s">
        <v>64</v>
      </c>
      <c r="C9920" s="8" t="str">
        <f>IFERROR(_xlfn.XLOOKUP(TRIM(B9920),Lookup!$B$2:$B$1000,Lookup!$C$2:$C$1000),"")</f>
        <v>Hybrid</v>
      </c>
      <c r="D9920" s="8" t="str">
        <f>IFERROR(INDEX('nav master'!$C:$C, MATCH(B9920, 'nav master'!$B:$B, 0)), "")</f>
        <v>ULIF08028/02/25DynamicFnd101</v>
      </c>
      <c r="E9920" s="8" t="s">
        <v>494</v>
      </c>
      <c r="F9920" s="8" t="s">
        <v>2852</v>
      </c>
    </row>
    <row r="9921" spans="1:6" ht="60" x14ac:dyDescent="0.25">
      <c r="A9921" s="8" t="s">
        <v>125</v>
      </c>
      <c r="B9921" s="8" t="s">
        <v>64</v>
      </c>
      <c r="C9921" s="8" t="str">
        <f>IFERROR(_xlfn.XLOOKUP(TRIM(B9921),Lookup!$B$2:$B$1000,Lookup!$C$2:$C$1000),"")</f>
        <v>Hybrid</v>
      </c>
      <c r="D9921" s="8" t="str">
        <f>IFERROR(INDEX('nav master'!$C:$C, MATCH(B9921, 'nav master'!$B:$B, 0)), "")</f>
        <v>ULIF08028/02/25DynamicFnd101</v>
      </c>
      <c r="E9921" s="8" t="s">
        <v>496</v>
      </c>
      <c r="F9921" s="8" t="s">
        <v>2853</v>
      </c>
    </row>
    <row r="9922" spans="1:6" ht="60" x14ac:dyDescent="0.25">
      <c r="A9922" s="8" t="s">
        <v>125</v>
      </c>
      <c r="B9922" s="8" t="s">
        <v>64</v>
      </c>
      <c r="C9922" s="8" t="str">
        <f>IFERROR(_xlfn.XLOOKUP(TRIM(B9922),Lookup!$B$2:$B$1000,Lookup!$C$2:$C$1000),"")</f>
        <v>Hybrid</v>
      </c>
      <c r="D9922" s="8" t="str">
        <f>IFERROR(INDEX('nav master'!$C:$C, MATCH(B9922, 'nav master'!$B:$B, 0)), "")</f>
        <v>ULIF08028/02/25DynamicFnd101</v>
      </c>
      <c r="E9922" s="8" t="s">
        <v>498</v>
      </c>
      <c r="F9922" s="8" t="s">
        <v>2854</v>
      </c>
    </row>
    <row r="9923" spans="1:6" ht="60" x14ac:dyDescent="0.25">
      <c r="A9923" s="8" t="s">
        <v>125</v>
      </c>
      <c r="B9923" s="8" t="s">
        <v>64</v>
      </c>
      <c r="C9923" s="8" t="str">
        <f>IFERROR(_xlfn.XLOOKUP(TRIM(B9923),Lookup!$B$2:$B$1000,Lookup!$C$2:$C$1000),"")</f>
        <v>Hybrid</v>
      </c>
      <c r="D9923" s="8" t="str">
        <f>IFERROR(INDEX('nav master'!$C:$C, MATCH(B9923, 'nav master'!$B:$B, 0)), "")</f>
        <v>ULIF08028/02/25DynamicFnd101</v>
      </c>
      <c r="E9923" s="8" t="s">
        <v>500</v>
      </c>
      <c r="F9923" s="8" t="s">
        <v>2855</v>
      </c>
    </row>
    <row r="9924" spans="1:6" ht="60" x14ac:dyDescent="0.25">
      <c r="A9924" s="8" t="s">
        <v>125</v>
      </c>
      <c r="B9924" s="8" t="s">
        <v>64</v>
      </c>
      <c r="C9924" s="8" t="str">
        <f>IFERROR(_xlfn.XLOOKUP(TRIM(B9924),Lookup!$B$2:$B$1000,Lookup!$C$2:$C$1000),"")</f>
        <v>Hybrid</v>
      </c>
      <c r="D9924" s="8" t="str">
        <f>IFERROR(INDEX('nav master'!$C:$C, MATCH(B9924, 'nav master'!$B:$B, 0)), "")</f>
        <v>ULIF08028/02/25DynamicFnd101</v>
      </c>
      <c r="E9924" s="8" t="s">
        <v>502</v>
      </c>
      <c r="F9924" s="8" t="s">
        <v>2856</v>
      </c>
    </row>
    <row r="9925" spans="1:6" ht="60" x14ac:dyDescent="0.25">
      <c r="A9925" s="8" t="s">
        <v>125</v>
      </c>
      <c r="B9925" s="8" t="s">
        <v>64</v>
      </c>
      <c r="C9925" s="8" t="str">
        <f>IFERROR(_xlfn.XLOOKUP(TRIM(B9925),Lookup!$B$2:$B$1000,Lookup!$C$2:$C$1000),"")</f>
        <v>Hybrid</v>
      </c>
      <c r="D9925" s="8" t="str">
        <f>IFERROR(INDEX('nav master'!$C:$C, MATCH(B9925, 'nav master'!$B:$B, 0)), "")</f>
        <v>ULIF08028/02/25DynamicFnd101</v>
      </c>
      <c r="E9925" s="8" t="s">
        <v>504</v>
      </c>
      <c r="F9925" s="8" t="s">
        <v>2857</v>
      </c>
    </row>
    <row r="9926" spans="1:6" ht="60" x14ac:dyDescent="0.25">
      <c r="A9926" s="8" t="s">
        <v>125</v>
      </c>
      <c r="B9926" s="8" t="s">
        <v>64</v>
      </c>
      <c r="C9926" s="8" t="str">
        <f>IFERROR(_xlfn.XLOOKUP(TRIM(B9926),Lookup!$B$2:$B$1000,Lookup!$C$2:$C$1000),"")</f>
        <v>Hybrid</v>
      </c>
      <c r="D9926" s="8" t="str">
        <f>IFERROR(INDEX('nav master'!$C:$C, MATCH(B9926, 'nav master'!$B:$B, 0)), "")</f>
        <v>ULIF08028/02/25DynamicFnd101</v>
      </c>
      <c r="E9926" s="8" t="s">
        <v>506</v>
      </c>
      <c r="F9926" s="8" t="s">
        <v>2858</v>
      </c>
    </row>
    <row r="9927" spans="1:6" ht="60" x14ac:dyDescent="0.25">
      <c r="A9927" s="8" t="s">
        <v>125</v>
      </c>
      <c r="B9927" s="8" t="s">
        <v>64</v>
      </c>
      <c r="C9927" s="8" t="str">
        <f>IFERROR(_xlfn.XLOOKUP(TRIM(B9927),Lookup!$B$2:$B$1000,Lookup!$C$2:$C$1000),"")</f>
        <v>Hybrid</v>
      </c>
      <c r="D9927" s="8" t="str">
        <f>IFERROR(INDEX('nav master'!$C:$C, MATCH(B9927, 'nav master'!$B:$B, 0)), "")</f>
        <v>ULIF08028/02/25DynamicFnd101</v>
      </c>
      <c r="E9927" s="8" t="s">
        <v>508</v>
      </c>
      <c r="F9927" s="8" t="s">
        <v>2859</v>
      </c>
    </row>
    <row r="9928" spans="1:6" ht="60" x14ac:dyDescent="0.25">
      <c r="A9928" s="8" t="s">
        <v>125</v>
      </c>
      <c r="B9928" s="8" t="s">
        <v>64</v>
      </c>
      <c r="C9928" s="8" t="str">
        <f>IFERROR(_xlfn.XLOOKUP(TRIM(B9928),Lookup!$B$2:$B$1000,Lookup!$C$2:$C$1000),"")</f>
        <v>Hybrid</v>
      </c>
      <c r="D9928" s="8" t="str">
        <f>IFERROR(INDEX('nav master'!$C:$C, MATCH(B9928, 'nav master'!$B:$B, 0)), "")</f>
        <v>ULIF08028/02/25DynamicFnd101</v>
      </c>
      <c r="E9928" s="8" t="s">
        <v>510</v>
      </c>
      <c r="F9928" s="8" t="s">
        <v>2860</v>
      </c>
    </row>
    <row r="9929" spans="1:6" ht="60" x14ac:dyDescent="0.25">
      <c r="A9929" s="8" t="s">
        <v>125</v>
      </c>
      <c r="B9929" s="8" t="s">
        <v>64</v>
      </c>
      <c r="C9929" s="8" t="str">
        <f>IFERROR(_xlfn.XLOOKUP(TRIM(B9929),Lookup!$B$2:$B$1000,Lookup!$C$2:$C$1000),"")</f>
        <v>Hybrid</v>
      </c>
      <c r="D9929" s="8" t="str">
        <f>IFERROR(INDEX('nav master'!$C:$C, MATCH(B9929, 'nav master'!$B:$B, 0)), "")</f>
        <v>ULIF08028/02/25DynamicFnd101</v>
      </c>
      <c r="E9929" s="8" t="s">
        <v>512</v>
      </c>
      <c r="F9929" s="8" t="s">
        <v>2861</v>
      </c>
    </row>
    <row r="9930" spans="1:6" ht="60" x14ac:dyDescent="0.25">
      <c r="A9930" s="8" t="s">
        <v>125</v>
      </c>
      <c r="B9930" s="8" t="s">
        <v>64</v>
      </c>
      <c r="C9930" s="8" t="str">
        <f>IFERROR(_xlfn.XLOOKUP(TRIM(B9930),Lookup!$B$2:$B$1000,Lookup!$C$2:$C$1000),"")</f>
        <v>Hybrid</v>
      </c>
      <c r="D9930" s="8" t="str">
        <f>IFERROR(INDEX('nav master'!$C:$C, MATCH(B9930, 'nav master'!$B:$B, 0)), "")</f>
        <v>ULIF08028/02/25DynamicFnd101</v>
      </c>
      <c r="E9930" s="8" t="s">
        <v>514</v>
      </c>
      <c r="F9930" s="8" t="s">
        <v>2862</v>
      </c>
    </row>
    <row r="9931" spans="1:6" ht="60" x14ac:dyDescent="0.25">
      <c r="A9931" s="8" t="s">
        <v>125</v>
      </c>
      <c r="B9931" s="8" t="s">
        <v>64</v>
      </c>
      <c r="C9931" s="8" t="str">
        <f>IFERROR(_xlfn.XLOOKUP(TRIM(B9931),Lookup!$B$2:$B$1000,Lookup!$C$2:$C$1000),"")</f>
        <v>Hybrid</v>
      </c>
      <c r="D9931" s="8" t="str">
        <f>IFERROR(INDEX('nav master'!$C:$C, MATCH(B9931, 'nav master'!$B:$B, 0)), "")</f>
        <v>ULIF08028/02/25DynamicFnd101</v>
      </c>
      <c r="E9931" s="8" t="s">
        <v>516</v>
      </c>
      <c r="F9931" s="8" t="s">
        <v>2863</v>
      </c>
    </row>
    <row r="9932" spans="1:6" ht="60" x14ac:dyDescent="0.25">
      <c r="A9932" s="8" t="s">
        <v>125</v>
      </c>
      <c r="B9932" s="8" t="s">
        <v>64</v>
      </c>
      <c r="C9932" s="8" t="str">
        <f>IFERROR(_xlfn.XLOOKUP(TRIM(B9932),Lookup!$B$2:$B$1000,Lookup!$C$2:$C$1000),"")</f>
        <v>Hybrid</v>
      </c>
      <c r="D9932" s="8" t="str">
        <f>IFERROR(INDEX('nav master'!$C:$C, MATCH(B9932, 'nav master'!$B:$B, 0)), "")</f>
        <v>ULIF08028/02/25DynamicFnd101</v>
      </c>
      <c r="E9932" s="8" t="s">
        <v>518</v>
      </c>
      <c r="F9932" s="8" t="s">
        <v>2864</v>
      </c>
    </row>
    <row r="9933" spans="1:6" ht="60" x14ac:dyDescent="0.25">
      <c r="A9933" s="8" t="s">
        <v>125</v>
      </c>
      <c r="B9933" s="8" t="s">
        <v>64</v>
      </c>
      <c r="C9933" s="8" t="str">
        <f>IFERROR(_xlfn.XLOOKUP(TRIM(B9933),Lookup!$B$2:$B$1000,Lookup!$C$2:$C$1000),"")</f>
        <v>Hybrid</v>
      </c>
      <c r="D9933" s="8" t="str">
        <f>IFERROR(INDEX('nav master'!$C:$C, MATCH(B9933, 'nav master'!$B:$B, 0)), "")</f>
        <v>ULIF08028/02/25DynamicFnd101</v>
      </c>
      <c r="E9933" s="8" t="s">
        <v>520</v>
      </c>
      <c r="F9933" s="8" t="s">
        <v>2865</v>
      </c>
    </row>
    <row r="9934" spans="1:6" ht="60" x14ac:dyDescent="0.25">
      <c r="A9934" s="8" t="s">
        <v>125</v>
      </c>
      <c r="B9934" s="8" t="s">
        <v>64</v>
      </c>
      <c r="C9934" s="8" t="str">
        <f>IFERROR(_xlfn.XLOOKUP(TRIM(B9934),Lookup!$B$2:$B$1000,Lookup!$C$2:$C$1000),"")</f>
        <v>Hybrid</v>
      </c>
      <c r="D9934" s="8" t="str">
        <f>IFERROR(INDEX('nav master'!$C:$C, MATCH(B9934, 'nav master'!$B:$B, 0)), "")</f>
        <v>ULIF08028/02/25DynamicFnd101</v>
      </c>
      <c r="E9934" s="8" t="s">
        <v>522</v>
      </c>
      <c r="F9934" s="8" t="s">
        <v>2866</v>
      </c>
    </row>
    <row r="9935" spans="1:6" ht="60" x14ac:dyDescent="0.25">
      <c r="A9935" s="8" t="s">
        <v>125</v>
      </c>
      <c r="B9935" s="8" t="s">
        <v>64</v>
      </c>
      <c r="C9935" s="8" t="str">
        <f>IFERROR(_xlfn.XLOOKUP(TRIM(B9935),Lookup!$B$2:$B$1000,Lookup!$C$2:$C$1000),"")</f>
        <v>Hybrid</v>
      </c>
      <c r="D9935" s="8" t="str">
        <f>IFERROR(INDEX('nav master'!$C:$C, MATCH(B9935, 'nav master'!$B:$B, 0)), "")</f>
        <v>ULIF08028/02/25DynamicFnd101</v>
      </c>
      <c r="E9935" s="8" t="s">
        <v>524</v>
      </c>
      <c r="F9935" s="8" t="s">
        <v>2867</v>
      </c>
    </row>
    <row r="9936" spans="1:6" ht="60" x14ac:dyDescent="0.25">
      <c r="A9936" s="8" t="s">
        <v>125</v>
      </c>
      <c r="B9936" s="8" t="s">
        <v>64</v>
      </c>
      <c r="C9936" s="8" t="str">
        <f>IFERROR(_xlfn.XLOOKUP(TRIM(B9936),Lookup!$B$2:$B$1000,Lookup!$C$2:$C$1000),"")</f>
        <v>Hybrid</v>
      </c>
      <c r="D9936" s="8" t="str">
        <f>IFERROR(INDEX('nav master'!$C:$C, MATCH(B9936, 'nav master'!$B:$B, 0)), "")</f>
        <v>ULIF08028/02/25DynamicFnd101</v>
      </c>
      <c r="E9936" s="8" t="s">
        <v>526</v>
      </c>
      <c r="F9936" s="8" t="s">
        <v>2868</v>
      </c>
    </row>
    <row r="9937" spans="1:6" ht="60" x14ac:dyDescent="0.25">
      <c r="A9937" s="8" t="s">
        <v>125</v>
      </c>
      <c r="B9937" s="8" t="s">
        <v>64</v>
      </c>
      <c r="C9937" s="8" t="str">
        <f>IFERROR(_xlfn.XLOOKUP(TRIM(B9937),Lookup!$B$2:$B$1000,Lookup!$C$2:$C$1000),"")</f>
        <v>Hybrid</v>
      </c>
      <c r="D9937" s="8" t="str">
        <f>IFERROR(INDEX('nav master'!$C:$C, MATCH(B9937, 'nav master'!$B:$B, 0)), "")</f>
        <v>ULIF08028/02/25DynamicFnd101</v>
      </c>
      <c r="E9937" s="8" t="s">
        <v>528</v>
      </c>
      <c r="F9937" s="8" t="s">
        <v>2869</v>
      </c>
    </row>
    <row r="9938" spans="1:6" ht="60" x14ac:dyDescent="0.25">
      <c r="A9938" s="8" t="s">
        <v>125</v>
      </c>
      <c r="B9938" s="8" t="s">
        <v>64</v>
      </c>
      <c r="C9938" s="8" t="str">
        <f>IFERROR(_xlfn.XLOOKUP(TRIM(B9938),Lookup!$B$2:$B$1000,Lookup!$C$2:$C$1000),"")</f>
        <v>Hybrid</v>
      </c>
      <c r="D9938" s="8" t="str">
        <f>IFERROR(INDEX('nav master'!$C:$C, MATCH(B9938, 'nav master'!$B:$B, 0)), "")</f>
        <v>ULIF08028/02/25DynamicFnd101</v>
      </c>
      <c r="E9938" s="8" t="s">
        <v>530</v>
      </c>
      <c r="F9938" s="8" t="s">
        <v>2870</v>
      </c>
    </row>
    <row r="9939" spans="1:6" ht="60" x14ac:dyDescent="0.25">
      <c r="A9939" s="8" t="s">
        <v>125</v>
      </c>
      <c r="B9939" s="8" t="s">
        <v>64</v>
      </c>
      <c r="C9939" s="8" t="str">
        <f>IFERROR(_xlfn.XLOOKUP(TRIM(B9939),Lookup!$B$2:$B$1000,Lookup!$C$2:$C$1000),"")</f>
        <v>Hybrid</v>
      </c>
      <c r="D9939" s="8" t="str">
        <f>IFERROR(INDEX('nav master'!$C:$C, MATCH(B9939, 'nav master'!$B:$B, 0)), "")</f>
        <v>ULIF08028/02/25DynamicFnd101</v>
      </c>
      <c r="E9939" s="8" t="s">
        <v>532</v>
      </c>
      <c r="F9939" s="8" t="s">
        <v>2871</v>
      </c>
    </row>
    <row r="9940" spans="1:6" ht="60" x14ac:dyDescent="0.25">
      <c r="A9940" s="8" t="s">
        <v>125</v>
      </c>
      <c r="B9940" s="8" t="s">
        <v>64</v>
      </c>
      <c r="C9940" s="8" t="str">
        <f>IFERROR(_xlfn.XLOOKUP(TRIM(B9940),Lookup!$B$2:$B$1000,Lookup!$C$2:$C$1000),"")</f>
        <v>Hybrid</v>
      </c>
      <c r="D9940" s="8" t="str">
        <f>IFERROR(INDEX('nav master'!$C:$C, MATCH(B9940, 'nav master'!$B:$B, 0)), "")</f>
        <v>ULIF08028/02/25DynamicFnd101</v>
      </c>
      <c r="E9940" s="8" t="s">
        <v>534</v>
      </c>
      <c r="F9940" s="8" t="s">
        <v>2872</v>
      </c>
    </row>
    <row r="9941" spans="1:6" ht="60" x14ac:dyDescent="0.25">
      <c r="A9941" s="8" t="s">
        <v>125</v>
      </c>
      <c r="B9941" s="8" t="s">
        <v>64</v>
      </c>
      <c r="C9941" s="8" t="str">
        <f>IFERROR(_xlfn.XLOOKUP(TRIM(B9941),Lookup!$B$2:$B$1000,Lookup!$C$2:$C$1000),"")</f>
        <v>Hybrid</v>
      </c>
      <c r="D9941" s="8" t="str">
        <f>IFERROR(INDEX('nav master'!$C:$C, MATCH(B9941, 'nav master'!$B:$B, 0)), "")</f>
        <v>ULIF08028/02/25DynamicFnd101</v>
      </c>
      <c r="E9941" s="8" t="s">
        <v>536</v>
      </c>
      <c r="F9941" s="8" t="s">
        <v>2873</v>
      </c>
    </row>
    <row r="9942" spans="1:6" ht="60" x14ac:dyDescent="0.25">
      <c r="A9942" s="8" t="s">
        <v>125</v>
      </c>
      <c r="B9942" s="8" t="s">
        <v>64</v>
      </c>
      <c r="C9942" s="8" t="str">
        <f>IFERROR(_xlfn.XLOOKUP(TRIM(B9942),Lookup!$B$2:$B$1000,Lookup!$C$2:$C$1000),"")</f>
        <v>Hybrid</v>
      </c>
      <c r="D9942" s="8" t="str">
        <f>IFERROR(INDEX('nav master'!$C:$C, MATCH(B9942, 'nav master'!$B:$B, 0)), "")</f>
        <v>ULIF08028/02/25DynamicFnd101</v>
      </c>
      <c r="E9942" s="8" t="s">
        <v>538</v>
      </c>
      <c r="F9942" s="8" t="s">
        <v>2874</v>
      </c>
    </row>
    <row r="9943" spans="1:6" ht="60" x14ac:dyDescent="0.25">
      <c r="A9943" s="8" t="s">
        <v>125</v>
      </c>
      <c r="B9943" s="8" t="s">
        <v>64</v>
      </c>
      <c r="C9943" s="8" t="str">
        <f>IFERROR(_xlfn.XLOOKUP(TRIM(B9943),Lookup!$B$2:$B$1000,Lookup!$C$2:$C$1000),"")</f>
        <v>Hybrid</v>
      </c>
      <c r="D9943" s="8" t="str">
        <f>IFERROR(INDEX('nav master'!$C:$C, MATCH(B9943, 'nav master'!$B:$B, 0)), "")</f>
        <v>ULIF08028/02/25DynamicFnd101</v>
      </c>
      <c r="E9943" s="8" t="s">
        <v>540</v>
      </c>
      <c r="F9943" s="8" t="s">
        <v>2875</v>
      </c>
    </row>
    <row r="9944" spans="1:6" ht="60" x14ac:dyDescent="0.25">
      <c r="A9944" s="8" t="s">
        <v>125</v>
      </c>
      <c r="B9944" s="8" t="s">
        <v>64</v>
      </c>
      <c r="C9944" s="8" t="str">
        <f>IFERROR(_xlfn.XLOOKUP(TRIM(B9944),Lookup!$B$2:$B$1000,Lookup!$C$2:$C$1000),"")</f>
        <v>Hybrid</v>
      </c>
      <c r="D9944" s="8" t="str">
        <f>IFERROR(INDEX('nav master'!$C:$C, MATCH(B9944, 'nav master'!$B:$B, 0)), "")</f>
        <v>ULIF08028/02/25DynamicFnd101</v>
      </c>
      <c r="E9944" s="8" t="s">
        <v>542</v>
      </c>
      <c r="F9944" s="8" t="s">
        <v>2876</v>
      </c>
    </row>
    <row r="9945" spans="1:6" ht="60" x14ac:dyDescent="0.25">
      <c r="A9945" s="8" t="s">
        <v>125</v>
      </c>
      <c r="B9945" s="8" t="s">
        <v>64</v>
      </c>
      <c r="C9945" s="8" t="str">
        <f>IFERROR(_xlfn.XLOOKUP(TRIM(B9945),Lookup!$B$2:$B$1000,Lookup!$C$2:$C$1000),"")</f>
        <v>Hybrid</v>
      </c>
      <c r="D9945" s="8" t="str">
        <f>IFERROR(INDEX('nav master'!$C:$C, MATCH(B9945, 'nav master'!$B:$B, 0)), "")</f>
        <v>ULIF08028/02/25DynamicFnd101</v>
      </c>
      <c r="E9945" s="8" t="s">
        <v>544</v>
      </c>
      <c r="F9945" s="8" t="s">
        <v>2877</v>
      </c>
    </row>
    <row r="9946" spans="1:6" ht="60" x14ac:dyDescent="0.25">
      <c r="A9946" s="8" t="s">
        <v>125</v>
      </c>
      <c r="B9946" s="8" t="s">
        <v>64</v>
      </c>
      <c r="C9946" s="8" t="str">
        <f>IFERROR(_xlfn.XLOOKUP(TRIM(B9946),Lookup!$B$2:$B$1000,Lookup!$C$2:$C$1000),"")</f>
        <v>Hybrid</v>
      </c>
      <c r="D9946" s="8" t="str">
        <f>IFERROR(INDEX('nav master'!$C:$C, MATCH(B9946, 'nav master'!$B:$B, 0)), "")</f>
        <v>ULIF08028/02/25DynamicFnd101</v>
      </c>
      <c r="E9946" s="8" t="s">
        <v>546</v>
      </c>
      <c r="F9946" s="8" t="s">
        <v>2878</v>
      </c>
    </row>
    <row r="9947" spans="1:6" ht="60" x14ac:dyDescent="0.25">
      <c r="A9947" s="8" t="s">
        <v>125</v>
      </c>
      <c r="B9947" s="8" t="s">
        <v>64</v>
      </c>
      <c r="C9947" s="8" t="str">
        <f>IFERROR(_xlfn.XLOOKUP(TRIM(B9947),Lookup!$B$2:$B$1000,Lookup!$C$2:$C$1000),"")</f>
        <v>Hybrid</v>
      </c>
      <c r="D9947" s="8" t="str">
        <f>IFERROR(INDEX('nav master'!$C:$C, MATCH(B9947, 'nav master'!$B:$B, 0)), "")</f>
        <v>ULIF08028/02/25DynamicFnd101</v>
      </c>
      <c r="E9947" s="8" t="s">
        <v>548</v>
      </c>
      <c r="F9947" s="8" t="s">
        <v>2879</v>
      </c>
    </row>
    <row r="9948" spans="1:6" ht="60" x14ac:dyDescent="0.25">
      <c r="A9948" s="8" t="s">
        <v>125</v>
      </c>
      <c r="B9948" s="8" t="s">
        <v>64</v>
      </c>
      <c r="C9948" s="8" t="str">
        <f>IFERROR(_xlfn.XLOOKUP(TRIM(B9948),Lookup!$B$2:$B$1000,Lookup!$C$2:$C$1000),"")</f>
        <v>Hybrid</v>
      </c>
      <c r="D9948" s="8" t="str">
        <f>IFERROR(INDEX('nav master'!$C:$C, MATCH(B9948, 'nav master'!$B:$B, 0)), "")</f>
        <v>ULIF08028/02/25DynamicFnd101</v>
      </c>
      <c r="E9948" s="8" t="s">
        <v>550</v>
      </c>
      <c r="F9948" s="8" t="s">
        <v>2880</v>
      </c>
    </row>
    <row r="9949" spans="1:6" ht="60" x14ac:dyDescent="0.25">
      <c r="A9949" s="8" t="s">
        <v>125</v>
      </c>
      <c r="B9949" s="8" t="s">
        <v>64</v>
      </c>
      <c r="C9949" s="8" t="str">
        <f>IFERROR(_xlfn.XLOOKUP(TRIM(B9949),Lookup!$B$2:$B$1000,Lookup!$C$2:$C$1000),"")</f>
        <v>Hybrid</v>
      </c>
      <c r="D9949" s="8" t="str">
        <f>IFERROR(INDEX('nav master'!$C:$C, MATCH(B9949, 'nav master'!$B:$B, 0)), "")</f>
        <v>ULIF08028/02/25DynamicFnd101</v>
      </c>
      <c r="E9949" s="8" t="s">
        <v>552</v>
      </c>
      <c r="F9949" s="8" t="s">
        <v>2881</v>
      </c>
    </row>
    <row r="9950" spans="1:6" ht="60" x14ac:dyDescent="0.25">
      <c r="A9950" s="8" t="s">
        <v>125</v>
      </c>
      <c r="B9950" s="8" t="s">
        <v>64</v>
      </c>
      <c r="C9950" s="8" t="str">
        <f>IFERROR(_xlfn.XLOOKUP(TRIM(B9950),Lookup!$B$2:$B$1000,Lookup!$C$2:$C$1000),"")</f>
        <v>Hybrid</v>
      </c>
      <c r="D9950" s="8" t="str">
        <f>IFERROR(INDEX('nav master'!$C:$C, MATCH(B9950, 'nav master'!$B:$B, 0)), "")</f>
        <v>ULIF08028/02/25DynamicFnd101</v>
      </c>
      <c r="E9950" s="8" t="s">
        <v>554</v>
      </c>
      <c r="F9950" s="8" t="s">
        <v>2882</v>
      </c>
    </row>
    <row r="9951" spans="1:6" ht="60" x14ac:dyDescent="0.25">
      <c r="A9951" s="8" t="s">
        <v>125</v>
      </c>
      <c r="B9951" s="8" t="s">
        <v>64</v>
      </c>
      <c r="C9951" s="8" t="str">
        <f>IFERROR(_xlfn.XLOOKUP(TRIM(B9951),Lookup!$B$2:$B$1000,Lookup!$C$2:$C$1000),"")</f>
        <v>Hybrid</v>
      </c>
      <c r="D9951" s="8" t="str">
        <f>IFERROR(INDEX('nav master'!$C:$C, MATCH(B9951, 'nav master'!$B:$B, 0)), "")</f>
        <v>ULIF08028/02/25DynamicFnd101</v>
      </c>
      <c r="E9951" s="8" t="s">
        <v>556</v>
      </c>
      <c r="F9951" s="8" t="s">
        <v>2883</v>
      </c>
    </row>
    <row r="9952" spans="1:6" ht="60" x14ac:dyDescent="0.25">
      <c r="A9952" s="8" t="s">
        <v>125</v>
      </c>
      <c r="B9952" s="8" t="s">
        <v>64</v>
      </c>
      <c r="C9952" s="8" t="str">
        <f>IFERROR(_xlfn.XLOOKUP(TRIM(B9952),Lookup!$B$2:$B$1000,Lookup!$C$2:$C$1000),"")</f>
        <v>Hybrid</v>
      </c>
      <c r="D9952" s="8" t="str">
        <f>IFERROR(INDEX('nav master'!$C:$C, MATCH(B9952, 'nav master'!$B:$B, 0)), "")</f>
        <v>ULIF08028/02/25DynamicFnd101</v>
      </c>
      <c r="E9952" s="8" t="s">
        <v>558</v>
      </c>
      <c r="F9952" s="8" t="s">
        <v>2884</v>
      </c>
    </row>
    <row r="9953" spans="1:6" ht="60" x14ac:dyDescent="0.25">
      <c r="A9953" s="8" t="s">
        <v>125</v>
      </c>
      <c r="B9953" s="8" t="s">
        <v>64</v>
      </c>
      <c r="C9953" s="8" t="str">
        <f>IFERROR(_xlfn.XLOOKUP(TRIM(B9953),Lookup!$B$2:$B$1000,Lookup!$C$2:$C$1000),"")</f>
        <v>Hybrid</v>
      </c>
      <c r="D9953" s="8" t="str">
        <f>IFERROR(INDEX('nav master'!$C:$C, MATCH(B9953, 'nav master'!$B:$B, 0)), "")</f>
        <v>ULIF08028/02/25DynamicFnd101</v>
      </c>
      <c r="E9953" s="8" t="s">
        <v>560</v>
      </c>
      <c r="F9953" s="8" t="s">
        <v>2885</v>
      </c>
    </row>
    <row r="9954" spans="1:6" ht="60" x14ac:dyDescent="0.25">
      <c r="A9954" s="8" t="s">
        <v>125</v>
      </c>
      <c r="B9954" s="8" t="s">
        <v>64</v>
      </c>
      <c r="C9954" s="8" t="str">
        <f>IFERROR(_xlfn.XLOOKUP(TRIM(B9954),Lookup!$B$2:$B$1000,Lookup!$C$2:$C$1000),"")</f>
        <v>Hybrid</v>
      </c>
      <c r="D9954" s="8" t="str">
        <f>IFERROR(INDEX('nav master'!$C:$C, MATCH(B9954, 'nav master'!$B:$B, 0)), "")</f>
        <v>ULIF08028/02/25DynamicFnd101</v>
      </c>
      <c r="E9954" s="8" t="s">
        <v>562</v>
      </c>
      <c r="F9954" s="8" t="s">
        <v>2886</v>
      </c>
    </row>
    <row r="9955" spans="1:6" ht="60" x14ac:dyDescent="0.25">
      <c r="A9955" s="8" t="s">
        <v>125</v>
      </c>
      <c r="B9955" s="8" t="s">
        <v>64</v>
      </c>
      <c r="C9955" s="8" t="str">
        <f>IFERROR(_xlfn.XLOOKUP(TRIM(B9955),Lookup!$B$2:$B$1000,Lookup!$C$2:$C$1000),"")</f>
        <v>Hybrid</v>
      </c>
      <c r="D9955" s="8" t="str">
        <f>IFERROR(INDEX('nav master'!$C:$C, MATCH(B9955, 'nav master'!$B:$B, 0)), "")</f>
        <v>ULIF08028/02/25DynamicFnd101</v>
      </c>
      <c r="E9955" s="8" t="s">
        <v>564</v>
      </c>
      <c r="F9955" s="8" t="s">
        <v>2887</v>
      </c>
    </row>
    <row r="9956" spans="1:6" ht="60" x14ac:dyDescent="0.25">
      <c r="A9956" s="8" t="s">
        <v>125</v>
      </c>
      <c r="B9956" s="8" t="s">
        <v>64</v>
      </c>
      <c r="C9956" s="8" t="str">
        <f>IFERROR(_xlfn.XLOOKUP(TRIM(B9956),Lookup!$B$2:$B$1000,Lookup!$C$2:$C$1000),"")</f>
        <v>Hybrid</v>
      </c>
      <c r="D9956" s="8" t="str">
        <f>IFERROR(INDEX('nav master'!$C:$C, MATCH(B9956, 'nav master'!$B:$B, 0)), "")</f>
        <v>ULIF08028/02/25DynamicFnd101</v>
      </c>
      <c r="E9956" s="8" t="s">
        <v>566</v>
      </c>
      <c r="F9956" s="8" t="s">
        <v>2888</v>
      </c>
    </row>
    <row r="9957" spans="1:6" ht="60" x14ac:dyDescent="0.25">
      <c r="A9957" s="8" t="s">
        <v>125</v>
      </c>
      <c r="B9957" s="8" t="s">
        <v>64</v>
      </c>
      <c r="C9957" s="8" t="str">
        <f>IFERROR(_xlfn.XLOOKUP(TRIM(B9957),Lookup!$B$2:$B$1000,Lookup!$C$2:$C$1000),"")</f>
        <v>Hybrid</v>
      </c>
      <c r="D9957" s="8" t="str">
        <f>IFERROR(INDEX('nav master'!$C:$C, MATCH(B9957, 'nav master'!$B:$B, 0)), "")</f>
        <v>ULIF08028/02/25DynamicFnd101</v>
      </c>
      <c r="E9957" s="8" t="s">
        <v>568</v>
      </c>
      <c r="F9957" s="8" t="s">
        <v>2889</v>
      </c>
    </row>
    <row r="9958" spans="1:6" ht="60" x14ac:dyDescent="0.25">
      <c r="A9958" s="8" t="s">
        <v>125</v>
      </c>
      <c r="B9958" s="8" t="s">
        <v>64</v>
      </c>
      <c r="C9958" s="8" t="str">
        <f>IFERROR(_xlfn.XLOOKUP(TRIM(B9958),Lookup!$B$2:$B$1000,Lookup!$C$2:$C$1000),"")</f>
        <v>Hybrid</v>
      </c>
      <c r="D9958" s="8" t="str">
        <f>IFERROR(INDEX('nav master'!$C:$C, MATCH(B9958, 'nav master'!$B:$B, 0)), "")</f>
        <v>ULIF08028/02/25DynamicFnd101</v>
      </c>
      <c r="E9958" s="8" t="s">
        <v>570</v>
      </c>
      <c r="F9958" s="8" t="s">
        <v>2890</v>
      </c>
    </row>
    <row r="9959" spans="1:6" ht="60" x14ac:dyDescent="0.25">
      <c r="A9959" s="8" t="s">
        <v>125</v>
      </c>
      <c r="B9959" s="8" t="s">
        <v>64</v>
      </c>
      <c r="C9959" s="8" t="str">
        <f>IFERROR(_xlfn.XLOOKUP(TRIM(B9959),Lookup!$B$2:$B$1000,Lookup!$C$2:$C$1000),"")</f>
        <v>Hybrid</v>
      </c>
      <c r="D9959" s="8" t="str">
        <f>IFERROR(INDEX('nav master'!$C:$C, MATCH(B9959, 'nav master'!$B:$B, 0)), "")</f>
        <v>ULIF08028/02/25DynamicFnd101</v>
      </c>
      <c r="E9959" s="8" t="s">
        <v>572</v>
      </c>
      <c r="F9959" s="8" t="s">
        <v>2891</v>
      </c>
    </row>
    <row r="9960" spans="1:6" ht="60" x14ac:dyDescent="0.25">
      <c r="A9960" s="8" t="s">
        <v>125</v>
      </c>
      <c r="B9960" s="8" t="s">
        <v>64</v>
      </c>
      <c r="C9960" s="8" t="str">
        <f>IFERROR(_xlfn.XLOOKUP(TRIM(B9960),Lookup!$B$2:$B$1000,Lookup!$C$2:$C$1000),"")</f>
        <v>Hybrid</v>
      </c>
      <c r="D9960" s="8" t="str">
        <f>IFERROR(INDEX('nav master'!$C:$C, MATCH(B9960, 'nav master'!$B:$B, 0)), "")</f>
        <v>ULIF08028/02/25DynamicFnd101</v>
      </c>
      <c r="E9960" s="8" t="s">
        <v>574</v>
      </c>
      <c r="F9960" s="8" t="s">
        <v>2892</v>
      </c>
    </row>
    <row r="9961" spans="1:6" ht="60" x14ac:dyDescent="0.25">
      <c r="A9961" s="8" t="s">
        <v>125</v>
      </c>
      <c r="B9961" s="8" t="s">
        <v>64</v>
      </c>
      <c r="C9961" s="8" t="str">
        <f>IFERROR(_xlfn.XLOOKUP(TRIM(B9961),Lookup!$B$2:$B$1000,Lookup!$C$2:$C$1000),"")</f>
        <v>Hybrid</v>
      </c>
      <c r="D9961" s="8" t="str">
        <f>IFERROR(INDEX('nav master'!$C:$C, MATCH(B9961, 'nav master'!$B:$B, 0)), "")</f>
        <v>ULIF08028/02/25DynamicFnd101</v>
      </c>
      <c r="E9961" s="8" t="s">
        <v>576</v>
      </c>
      <c r="F9961" s="8" t="s">
        <v>2893</v>
      </c>
    </row>
    <row r="9962" spans="1:6" ht="60" x14ac:dyDescent="0.25">
      <c r="A9962" s="8" t="s">
        <v>125</v>
      </c>
      <c r="B9962" s="8" t="s">
        <v>64</v>
      </c>
      <c r="C9962" s="8" t="str">
        <f>IFERROR(_xlfn.XLOOKUP(TRIM(B9962),Lookup!$B$2:$B$1000,Lookup!$C$2:$C$1000),"")</f>
        <v>Hybrid</v>
      </c>
      <c r="D9962" s="8" t="str">
        <f>IFERROR(INDEX('nav master'!$C:$C, MATCH(B9962, 'nav master'!$B:$B, 0)), "")</f>
        <v>ULIF08028/02/25DynamicFnd101</v>
      </c>
      <c r="E9962" s="8" t="s">
        <v>578</v>
      </c>
      <c r="F9962" s="8" t="s">
        <v>2894</v>
      </c>
    </row>
    <row r="9963" spans="1:6" ht="60" x14ac:dyDescent="0.25">
      <c r="A9963" s="8" t="s">
        <v>125</v>
      </c>
      <c r="B9963" s="8" t="s">
        <v>64</v>
      </c>
      <c r="C9963" s="8" t="str">
        <f>IFERROR(_xlfn.XLOOKUP(TRIM(B9963),Lookup!$B$2:$B$1000,Lookup!$C$2:$C$1000),"")</f>
        <v>Hybrid</v>
      </c>
      <c r="D9963" s="8" t="str">
        <f>IFERROR(INDEX('nav master'!$C:$C, MATCH(B9963, 'nav master'!$B:$B, 0)), "")</f>
        <v>ULIF08028/02/25DynamicFnd101</v>
      </c>
      <c r="E9963" s="8" t="s">
        <v>580</v>
      </c>
      <c r="F9963" s="8" t="s">
        <v>2895</v>
      </c>
    </row>
    <row r="9964" spans="1:6" ht="60" x14ac:dyDescent="0.25">
      <c r="A9964" s="8" t="s">
        <v>125</v>
      </c>
      <c r="B9964" s="8" t="s">
        <v>64</v>
      </c>
      <c r="C9964" s="8" t="str">
        <f>IFERROR(_xlfn.XLOOKUP(TRIM(B9964),Lookup!$B$2:$B$1000,Lookup!$C$2:$C$1000),"")</f>
        <v>Hybrid</v>
      </c>
      <c r="D9964" s="8" t="str">
        <f>IFERROR(INDEX('nav master'!$C:$C, MATCH(B9964, 'nav master'!$B:$B, 0)), "")</f>
        <v>ULIF08028/02/25DynamicFnd101</v>
      </c>
      <c r="E9964" s="8" t="s">
        <v>582</v>
      </c>
      <c r="F9964" s="8" t="s">
        <v>2896</v>
      </c>
    </row>
    <row r="9965" spans="1:6" ht="60" x14ac:dyDescent="0.25">
      <c r="A9965" s="8" t="s">
        <v>125</v>
      </c>
      <c r="B9965" s="8" t="s">
        <v>64</v>
      </c>
      <c r="C9965" s="8" t="str">
        <f>IFERROR(_xlfn.XLOOKUP(TRIM(B9965),Lookup!$B$2:$B$1000,Lookup!$C$2:$C$1000),"")</f>
        <v>Hybrid</v>
      </c>
      <c r="D9965" s="8" t="str">
        <f>IFERROR(INDEX('nav master'!$C:$C, MATCH(B9965, 'nav master'!$B:$B, 0)), "")</f>
        <v>ULIF08028/02/25DynamicFnd101</v>
      </c>
      <c r="E9965" s="8" t="s">
        <v>584</v>
      </c>
      <c r="F9965" s="8" t="s">
        <v>2897</v>
      </c>
    </row>
    <row r="9966" spans="1:6" ht="60" x14ac:dyDescent="0.25">
      <c r="A9966" s="8" t="s">
        <v>125</v>
      </c>
      <c r="B9966" s="8" t="s">
        <v>64</v>
      </c>
      <c r="C9966" s="8" t="str">
        <f>IFERROR(_xlfn.XLOOKUP(TRIM(B9966),Lookup!$B$2:$B$1000,Lookup!$C$2:$C$1000),"")</f>
        <v>Hybrid</v>
      </c>
      <c r="D9966" s="8" t="str">
        <f>IFERROR(INDEX('nav master'!$C:$C, MATCH(B9966, 'nav master'!$B:$B, 0)), "")</f>
        <v>ULIF08028/02/25DynamicFnd101</v>
      </c>
      <c r="E9966" s="8" t="s">
        <v>586</v>
      </c>
      <c r="F9966" s="8" t="s">
        <v>2898</v>
      </c>
    </row>
    <row r="9967" spans="1:6" ht="60" x14ac:dyDescent="0.25">
      <c r="A9967" s="8" t="s">
        <v>125</v>
      </c>
      <c r="B9967" s="8" t="s">
        <v>64</v>
      </c>
      <c r="C9967" s="8" t="str">
        <f>IFERROR(_xlfn.XLOOKUP(TRIM(B9967),Lookup!$B$2:$B$1000,Lookup!$C$2:$C$1000),"")</f>
        <v>Hybrid</v>
      </c>
      <c r="D9967" s="8" t="str">
        <f>IFERROR(INDEX('nav master'!$C:$C, MATCH(B9967, 'nav master'!$B:$B, 0)), "")</f>
        <v>ULIF08028/02/25DynamicFnd101</v>
      </c>
      <c r="E9967" s="8" t="s">
        <v>588</v>
      </c>
      <c r="F9967" s="8" t="s">
        <v>2899</v>
      </c>
    </row>
    <row r="9968" spans="1:6" ht="60" x14ac:dyDescent="0.25">
      <c r="A9968" s="8" t="s">
        <v>125</v>
      </c>
      <c r="B9968" s="8" t="s">
        <v>64</v>
      </c>
      <c r="C9968" s="8" t="str">
        <f>IFERROR(_xlfn.XLOOKUP(TRIM(B9968),Lookup!$B$2:$B$1000,Lookup!$C$2:$C$1000),"")</f>
        <v>Hybrid</v>
      </c>
      <c r="D9968" s="8" t="str">
        <f>IFERROR(INDEX('nav master'!$C:$C, MATCH(B9968, 'nav master'!$B:$B, 0)), "")</f>
        <v>ULIF08028/02/25DynamicFnd101</v>
      </c>
      <c r="E9968" s="8" t="s">
        <v>590</v>
      </c>
      <c r="F9968" s="8" t="s">
        <v>2900</v>
      </c>
    </row>
    <row r="9969" spans="1:6" ht="60" x14ac:dyDescent="0.25">
      <c r="A9969" s="8" t="s">
        <v>125</v>
      </c>
      <c r="B9969" s="8" t="s">
        <v>64</v>
      </c>
      <c r="C9969" s="8" t="str">
        <f>IFERROR(_xlfn.XLOOKUP(TRIM(B9969),Lookup!$B$2:$B$1000,Lookup!$C$2:$C$1000),"")</f>
        <v>Hybrid</v>
      </c>
      <c r="D9969" s="8" t="str">
        <f>IFERROR(INDEX('nav master'!$C:$C, MATCH(B9969, 'nav master'!$B:$B, 0)), "")</f>
        <v>ULIF08028/02/25DynamicFnd101</v>
      </c>
      <c r="E9969" s="8" t="s">
        <v>592</v>
      </c>
      <c r="F9969" s="8" t="s">
        <v>2901</v>
      </c>
    </row>
    <row r="9970" spans="1:6" ht="60" x14ac:dyDescent="0.25">
      <c r="A9970" s="8" t="s">
        <v>125</v>
      </c>
      <c r="B9970" s="8" t="s">
        <v>64</v>
      </c>
      <c r="C9970" s="8" t="str">
        <f>IFERROR(_xlfn.XLOOKUP(TRIM(B9970),Lookup!$B$2:$B$1000,Lookup!$C$2:$C$1000),"")</f>
        <v>Hybrid</v>
      </c>
      <c r="D9970" s="8" t="str">
        <f>IFERROR(INDEX('nav master'!$C:$C, MATCH(B9970, 'nav master'!$B:$B, 0)), "")</f>
        <v>ULIF08028/02/25DynamicFnd101</v>
      </c>
      <c r="E9970" s="8" t="s">
        <v>594</v>
      </c>
      <c r="F9970" s="8" t="s">
        <v>2902</v>
      </c>
    </row>
    <row r="9971" spans="1:6" ht="60" x14ac:dyDescent="0.25">
      <c r="A9971" s="8" t="s">
        <v>125</v>
      </c>
      <c r="B9971" s="8" t="s">
        <v>64</v>
      </c>
      <c r="C9971" s="8" t="str">
        <f>IFERROR(_xlfn.XLOOKUP(TRIM(B9971),Lookup!$B$2:$B$1000,Lookup!$C$2:$C$1000),"")</f>
        <v>Hybrid</v>
      </c>
      <c r="D9971" s="8" t="str">
        <f>IFERROR(INDEX('nav master'!$C:$C, MATCH(B9971, 'nav master'!$B:$B, 0)), "")</f>
        <v>ULIF08028/02/25DynamicFnd101</v>
      </c>
      <c r="E9971" s="8" t="s">
        <v>596</v>
      </c>
      <c r="F9971" s="8" t="s">
        <v>2903</v>
      </c>
    </row>
    <row r="9972" spans="1:6" ht="60" x14ac:dyDescent="0.25">
      <c r="A9972" s="8" t="s">
        <v>125</v>
      </c>
      <c r="B9972" s="8" t="s">
        <v>64</v>
      </c>
      <c r="C9972" s="8" t="str">
        <f>IFERROR(_xlfn.XLOOKUP(TRIM(B9972),Lookup!$B$2:$B$1000,Lookup!$C$2:$C$1000),"")</f>
        <v>Hybrid</v>
      </c>
      <c r="D9972" s="8" t="str">
        <f>IFERROR(INDEX('nav master'!$C:$C, MATCH(B9972, 'nav master'!$B:$B, 0)), "")</f>
        <v>ULIF08028/02/25DynamicFnd101</v>
      </c>
      <c r="E9972" s="8" t="s">
        <v>598</v>
      </c>
      <c r="F9972" s="8" t="s">
        <v>2904</v>
      </c>
    </row>
    <row r="9973" spans="1:6" ht="60" x14ac:dyDescent="0.25">
      <c r="A9973" s="8" t="s">
        <v>125</v>
      </c>
      <c r="B9973" s="8" t="s">
        <v>64</v>
      </c>
      <c r="C9973" s="8" t="str">
        <f>IFERROR(_xlfn.XLOOKUP(TRIM(B9973),Lookup!$B$2:$B$1000,Lookup!$C$2:$C$1000),"")</f>
        <v>Hybrid</v>
      </c>
      <c r="D9973" s="8" t="str">
        <f>IFERROR(INDEX('nav master'!$C:$C, MATCH(B9973, 'nav master'!$B:$B, 0)), "")</f>
        <v>ULIF08028/02/25DynamicFnd101</v>
      </c>
      <c r="E9973" s="8" t="s">
        <v>600</v>
      </c>
      <c r="F9973" s="8" t="s">
        <v>2905</v>
      </c>
    </row>
    <row r="9974" spans="1:6" ht="60" x14ac:dyDescent="0.25">
      <c r="A9974" s="8" t="s">
        <v>125</v>
      </c>
      <c r="B9974" s="8" t="s">
        <v>64</v>
      </c>
      <c r="C9974" s="8" t="str">
        <f>IFERROR(_xlfn.XLOOKUP(TRIM(B9974),Lookup!$B$2:$B$1000,Lookup!$C$2:$C$1000),"")</f>
        <v>Hybrid</v>
      </c>
      <c r="D9974" s="8" t="str">
        <f>IFERROR(INDEX('nav master'!$C:$C, MATCH(B9974, 'nav master'!$B:$B, 0)), "")</f>
        <v>ULIF08028/02/25DynamicFnd101</v>
      </c>
      <c r="E9974" s="8" t="s">
        <v>602</v>
      </c>
      <c r="F9974" s="8" t="s">
        <v>2906</v>
      </c>
    </row>
    <row r="9975" spans="1:6" ht="60" x14ac:dyDescent="0.25">
      <c r="A9975" s="8" t="s">
        <v>125</v>
      </c>
      <c r="B9975" s="8" t="s">
        <v>64</v>
      </c>
      <c r="C9975" s="8" t="str">
        <f>IFERROR(_xlfn.XLOOKUP(TRIM(B9975),Lookup!$B$2:$B$1000,Lookup!$C$2:$C$1000),"")</f>
        <v>Hybrid</v>
      </c>
      <c r="D9975" s="8" t="str">
        <f>IFERROR(INDEX('nav master'!$C:$C, MATCH(B9975, 'nav master'!$B:$B, 0)), "")</f>
        <v>ULIF08028/02/25DynamicFnd101</v>
      </c>
      <c r="E9975" s="8" t="s">
        <v>604</v>
      </c>
      <c r="F9975" s="8" t="s">
        <v>2907</v>
      </c>
    </row>
    <row r="9976" spans="1:6" ht="60" x14ac:dyDescent="0.25">
      <c r="A9976" s="8" t="s">
        <v>125</v>
      </c>
      <c r="B9976" s="8" t="s">
        <v>64</v>
      </c>
      <c r="C9976" s="8" t="str">
        <f>IFERROR(_xlfn.XLOOKUP(TRIM(B9976),Lookup!$B$2:$B$1000,Lookup!$C$2:$C$1000),"")</f>
        <v>Hybrid</v>
      </c>
      <c r="D9976" s="8" t="str">
        <f>IFERROR(INDEX('nav master'!$C:$C, MATCH(B9976, 'nav master'!$B:$B, 0)), "")</f>
        <v>ULIF08028/02/25DynamicFnd101</v>
      </c>
      <c r="E9976" s="8" t="s">
        <v>606</v>
      </c>
      <c r="F9976" s="8" t="s">
        <v>2908</v>
      </c>
    </row>
    <row r="9977" spans="1:6" ht="60" x14ac:dyDescent="0.25">
      <c r="A9977" s="8" t="s">
        <v>125</v>
      </c>
      <c r="B9977" s="8" t="s">
        <v>64</v>
      </c>
      <c r="C9977" s="8" t="str">
        <f>IFERROR(_xlfn.XLOOKUP(TRIM(B9977),Lookup!$B$2:$B$1000,Lookup!$C$2:$C$1000),"")</f>
        <v>Hybrid</v>
      </c>
      <c r="D9977" s="8" t="str">
        <f>IFERROR(INDEX('nav master'!$C:$C, MATCH(B9977, 'nav master'!$B:$B, 0)), "")</f>
        <v>ULIF08028/02/25DynamicFnd101</v>
      </c>
      <c r="E9977" s="8" t="s">
        <v>608</v>
      </c>
      <c r="F9977" s="8" t="s">
        <v>2909</v>
      </c>
    </row>
    <row r="9978" spans="1:6" ht="60" x14ac:dyDescent="0.25">
      <c r="A9978" s="8" t="s">
        <v>125</v>
      </c>
      <c r="B9978" s="8" t="s">
        <v>64</v>
      </c>
      <c r="C9978" s="8" t="str">
        <f>IFERROR(_xlfn.XLOOKUP(TRIM(B9978),Lookup!$B$2:$B$1000,Lookup!$C$2:$C$1000),"")</f>
        <v>Hybrid</v>
      </c>
      <c r="D9978" s="8" t="str">
        <f>IFERROR(INDEX('nav master'!$C:$C, MATCH(B9978, 'nav master'!$B:$B, 0)), "")</f>
        <v>ULIF08028/02/25DynamicFnd101</v>
      </c>
      <c r="E9978" s="8" t="s">
        <v>610</v>
      </c>
      <c r="F9978" s="8" t="s">
        <v>2910</v>
      </c>
    </row>
    <row r="9979" spans="1:6" ht="60" x14ac:dyDescent="0.25">
      <c r="A9979" s="8" t="s">
        <v>125</v>
      </c>
      <c r="B9979" s="8" t="s">
        <v>64</v>
      </c>
      <c r="C9979" s="8" t="str">
        <f>IFERROR(_xlfn.XLOOKUP(TRIM(B9979),Lookup!$B$2:$B$1000,Lookup!$C$2:$C$1000),"")</f>
        <v>Hybrid</v>
      </c>
      <c r="D9979" s="8" t="str">
        <f>IFERROR(INDEX('nav master'!$C:$C, MATCH(B9979, 'nav master'!$B:$B, 0)), "")</f>
        <v>ULIF08028/02/25DynamicFnd101</v>
      </c>
      <c r="E9979" s="8" t="s">
        <v>612</v>
      </c>
      <c r="F9979" s="8" t="s">
        <v>2911</v>
      </c>
    </row>
    <row r="9980" spans="1:6" ht="60" x14ac:dyDescent="0.25">
      <c r="A9980" s="8" t="s">
        <v>125</v>
      </c>
      <c r="B9980" s="8" t="s">
        <v>64</v>
      </c>
      <c r="C9980" s="8" t="str">
        <f>IFERROR(_xlfn.XLOOKUP(TRIM(B9980),Lookup!$B$2:$B$1000,Lookup!$C$2:$C$1000),"")</f>
        <v>Hybrid</v>
      </c>
      <c r="D9980" s="8" t="str">
        <f>IFERROR(INDEX('nav master'!$C:$C, MATCH(B9980, 'nav master'!$B:$B, 0)), "")</f>
        <v>ULIF08028/02/25DynamicFnd101</v>
      </c>
      <c r="E9980" s="8" t="s">
        <v>614</v>
      </c>
      <c r="F9980" s="8" t="s">
        <v>2912</v>
      </c>
    </row>
    <row r="9981" spans="1:6" ht="60" x14ac:dyDescent="0.25">
      <c r="A9981" s="8" t="s">
        <v>125</v>
      </c>
      <c r="B9981" s="8" t="s">
        <v>64</v>
      </c>
      <c r="C9981" s="8" t="str">
        <f>IFERROR(_xlfn.XLOOKUP(TRIM(B9981),Lookup!$B$2:$B$1000,Lookup!$C$2:$C$1000),"")</f>
        <v>Hybrid</v>
      </c>
      <c r="D9981" s="8" t="str">
        <f>IFERROR(INDEX('nav master'!$C:$C, MATCH(B9981, 'nav master'!$B:$B, 0)), "")</f>
        <v>ULIF08028/02/25DynamicFnd101</v>
      </c>
      <c r="E9981" s="8" t="s">
        <v>616</v>
      </c>
      <c r="F9981" s="8" t="s">
        <v>2913</v>
      </c>
    </row>
    <row r="9982" spans="1:6" ht="60" x14ac:dyDescent="0.25">
      <c r="A9982" s="8" t="s">
        <v>125</v>
      </c>
      <c r="B9982" s="8" t="s">
        <v>64</v>
      </c>
      <c r="C9982" s="8" t="str">
        <f>IFERROR(_xlfn.XLOOKUP(TRIM(B9982),Lookup!$B$2:$B$1000,Lookup!$C$2:$C$1000),"")</f>
        <v>Hybrid</v>
      </c>
      <c r="D9982" s="8" t="str">
        <f>IFERROR(INDEX('nav master'!$C:$C, MATCH(B9982, 'nav master'!$B:$B, 0)), "")</f>
        <v>ULIF08028/02/25DynamicFnd101</v>
      </c>
      <c r="E9982" s="8" t="s">
        <v>618</v>
      </c>
      <c r="F9982" s="8" t="s">
        <v>2914</v>
      </c>
    </row>
    <row r="9983" spans="1:6" ht="60" x14ac:dyDescent="0.25">
      <c r="A9983" s="8" t="s">
        <v>125</v>
      </c>
      <c r="B9983" s="8" t="s">
        <v>64</v>
      </c>
      <c r="C9983" s="8" t="str">
        <f>IFERROR(_xlfn.XLOOKUP(TRIM(B9983),Lookup!$B$2:$B$1000,Lookup!$C$2:$C$1000),"")</f>
        <v>Hybrid</v>
      </c>
      <c r="D9983" s="8" t="str">
        <f>IFERROR(INDEX('nav master'!$C:$C, MATCH(B9983, 'nav master'!$B:$B, 0)), "")</f>
        <v>ULIF08028/02/25DynamicFnd101</v>
      </c>
      <c r="E9983" s="8" t="s">
        <v>620</v>
      </c>
      <c r="F9983" s="8" t="s">
        <v>2915</v>
      </c>
    </row>
    <row r="9984" spans="1:6" ht="60" x14ac:dyDescent="0.25">
      <c r="A9984" s="8" t="s">
        <v>125</v>
      </c>
      <c r="B9984" s="8" t="s">
        <v>64</v>
      </c>
      <c r="C9984" s="8" t="str">
        <f>IFERROR(_xlfn.XLOOKUP(TRIM(B9984),Lookup!$B$2:$B$1000,Lookup!$C$2:$C$1000),"")</f>
        <v>Hybrid</v>
      </c>
      <c r="D9984" s="8" t="str">
        <f>IFERROR(INDEX('nav master'!$C:$C, MATCH(B9984, 'nav master'!$B:$B, 0)), "")</f>
        <v>ULIF08028/02/25DynamicFnd101</v>
      </c>
      <c r="E9984" s="8" t="s">
        <v>622</v>
      </c>
      <c r="F9984" s="8" t="s">
        <v>2916</v>
      </c>
    </row>
    <row r="9985" spans="1:6" ht="60" x14ac:dyDescent="0.25">
      <c r="A9985" s="8" t="s">
        <v>125</v>
      </c>
      <c r="B9985" s="8" t="s">
        <v>64</v>
      </c>
      <c r="C9985" s="8" t="str">
        <f>IFERROR(_xlfn.XLOOKUP(TRIM(B9985),Lookup!$B$2:$B$1000,Lookup!$C$2:$C$1000),"")</f>
        <v>Hybrid</v>
      </c>
      <c r="D9985" s="8" t="str">
        <f>IFERROR(INDEX('nav master'!$C:$C, MATCH(B9985, 'nav master'!$B:$B, 0)), "")</f>
        <v>ULIF08028/02/25DynamicFnd101</v>
      </c>
      <c r="E9985" s="8" t="s">
        <v>624</v>
      </c>
      <c r="F9985" s="8" t="s">
        <v>2917</v>
      </c>
    </row>
    <row r="9986" spans="1:6" ht="60" x14ac:dyDescent="0.25">
      <c r="A9986" s="8" t="s">
        <v>125</v>
      </c>
      <c r="B9986" s="8" t="s">
        <v>64</v>
      </c>
      <c r="C9986" s="8" t="str">
        <f>IFERROR(_xlfn.XLOOKUP(TRIM(B9986),Lookup!$B$2:$B$1000,Lookup!$C$2:$C$1000),"")</f>
        <v>Hybrid</v>
      </c>
      <c r="D9986" s="8" t="str">
        <f>IFERROR(INDEX('nav master'!$C:$C, MATCH(B9986, 'nav master'!$B:$B, 0)), "")</f>
        <v>ULIF08028/02/25DynamicFnd101</v>
      </c>
      <c r="E9986" s="8" t="s">
        <v>626</v>
      </c>
      <c r="F9986" s="8" t="s">
        <v>2918</v>
      </c>
    </row>
    <row r="9987" spans="1:6" ht="60" x14ac:dyDescent="0.25">
      <c r="A9987" s="8" t="s">
        <v>125</v>
      </c>
      <c r="B9987" s="8" t="s">
        <v>64</v>
      </c>
      <c r="C9987" s="8" t="str">
        <f>IFERROR(_xlfn.XLOOKUP(TRIM(B9987),Lookup!$B$2:$B$1000,Lookup!$C$2:$C$1000),"")</f>
        <v>Hybrid</v>
      </c>
      <c r="D9987" s="8" t="str">
        <f>IFERROR(INDEX('nav master'!$C:$C, MATCH(B9987, 'nav master'!$B:$B, 0)), "")</f>
        <v>ULIF08028/02/25DynamicFnd101</v>
      </c>
      <c r="E9987" s="8" t="s">
        <v>628</v>
      </c>
      <c r="F9987" s="8" t="s">
        <v>2919</v>
      </c>
    </row>
    <row r="9988" spans="1:6" ht="60" x14ac:dyDescent="0.25">
      <c r="A9988" s="8" t="s">
        <v>125</v>
      </c>
      <c r="B9988" s="8" t="s">
        <v>64</v>
      </c>
      <c r="C9988" s="8" t="str">
        <f>IFERROR(_xlfn.XLOOKUP(TRIM(B9988),Lookup!$B$2:$B$1000,Lookup!$C$2:$C$1000),"")</f>
        <v>Hybrid</v>
      </c>
      <c r="D9988" s="8" t="str">
        <f>IFERROR(INDEX('nav master'!$C:$C, MATCH(B9988, 'nav master'!$B:$B, 0)), "")</f>
        <v>ULIF08028/02/25DynamicFnd101</v>
      </c>
      <c r="E9988" s="8" t="s">
        <v>630</v>
      </c>
      <c r="F9988" s="8" t="s">
        <v>2920</v>
      </c>
    </row>
    <row r="9989" spans="1:6" ht="60" x14ac:dyDescent="0.25">
      <c r="A9989" s="8" t="s">
        <v>125</v>
      </c>
      <c r="B9989" s="8" t="s">
        <v>64</v>
      </c>
      <c r="C9989" s="8" t="str">
        <f>IFERROR(_xlfn.XLOOKUP(TRIM(B9989),Lookup!$B$2:$B$1000,Lookup!$C$2:$C$1000),"")</f>
        <v>Hybrid</v>
      </c>
      <c r="D9989" s="8" t="str">
        <f>IFERROR(INDEX('nav master'!$C:$C, MATCH(B9989, 'nav master'!$B:$B, 0)), "")</f>
        <v>ULIF08028/02/25DynamicFnd101</v>
      </c>
      <c r="E9989" s="8" t="s">
        <v>632</v>
      </c>
      <c r="F9989" s="8" t="s">
        <v>2921</v>
      </c>
    </row>
    <row r="9990" spans="1:6" ht="60" x14ac:dyDescent="0.25">
      <c r="A9990" s="8" t="s">
        <v>125</v>
      </c>
      <c r="B9990" s="8" t="s">
        <v>64</v>
      </c>
      <c r="C9990" s="8" t="str">
        <f>IFERROR(_xlfn.XLOOKUP(TRIM(B9990),Lookup!$B$2:$B$1000,Lookup!$C$2:$C$1000),"")</f>
        <v>Hybrid</v>
      </c>
      <c r="D9990" s="8" t="str">
        <f>IFERROR(INDEX('nav master'!$C:$C, MATCH(B9990, 'nav master'!$B:$B, 0)), "")</f>
        <v>ULIF08028/02/25DynamicFnd101</v>
      </c>
      <c r="E9990" s="8" t="s">
        <v>634</v>
      </c>
      <c r="F9990" s="8" t="s">
        <v>2922</v>
      </c>
    </row>
    <row r="9991" spans="1:6" ht="60" x14ac:dyDescent="0.25">
      <c r="A9991" s="8" t="s">
        <v>125</v>
      </c>
      <c r="B9991" s="8" t="s">
        <v>64</v>
      </c>
      <c r="C9991" s="8" t="str">
        <f>IFERROR(_xlfn.XLOOKUP(TRIM(B9991),Lookup!$B$2:$B$1000,Lookup!$C$2:$C$1000),"")</f>
        <v>Hybrid</v>
      </c>
      <c r="D9991" s="8" t="str">
        <f>IFERROR(INDEX('nav master'!$C:$C, MATCH(B9991, 'nav master'!$B:$B, 0)), "")</f>
        <v>ULIF08028/02/25DynamicFnd101</v>
      </c>
      <c r="E9991" s="8" t="s">
        <v>636</v>
      </c>
      <c r="F9991" s="8" t="s">
        <v>2923</v>
      </c>
    </row>
    <row r="9992" spans="1:6" ht="60" x14ac:dyDescent="0.25">
      <c r="A9992" s="8" t="s">
        <v>125</v>
      </c>
      <c r="B9992" s="8" t="s">
        <v>64</v>
      </c>
      <c r="C9992" s="8" t="str">
        <f>IFERROR(_xlfn.XLOOKUP(TRIM(B9992),Lookup!$B$2:$B$1000,Lookup!$C$2:$C$1000),"")</f>
        <v>Hybrid</v>
      </c>
      <c r="D9992" s="8" t="str">
        <f>IFERROR(INDEX('nav master'!$C:$C, MATCH(B9992, 'nav master'!$B:$B, 0)), "")</f>
        <v>ULIF08028/02/25DynamicFnd101</v>
      </c>
      <c r="E9992" s="8" t="s">
        <v>638</v>
      </c>
      <c r="F9992" s="8" t="s">
        <v>2924</v>
      </c>
    </row>
    <row r="9993" spans="1:6" ht="60" x14ac:dyDescent="0.25">
      <c r="A9993" s="8" t="s">
        <v>125</v>
      </c>
      <c r="B9993" s="8" t="s">
        <v>64</v>
      </c>
      <c r="C9993" s="8" t="str">
        <f>IFERROR(_xlfn.XLOOKUP(TRIM(B9993),Lookup!$B$2:$B$1000,Lookup!$C$2:$C$1000),"")</f>
        <v>Hybrid</v>
      </c>
      <c r="D9993" s="8" t="str">
        <f>IFERROR(INDEX('nav master'!$C:$C, MATCH(B9993, 'nav master'!$B:$B, 0)), "")</f>
        <v>ULIF08028/02/25DynamicFnd101</v>
      </c>
      <c r="E9993" s="8" t="s">
        <v>640</v>
      </c>
      <c r="F9993" s="8" t="s">
        <v>2925</v>
      </c>
    </row>
    <row r="9994" spans="1:6" ht="60" x14ac:dyDescent="0.25">
      <c r="A9994" s="8" t="s">
        <v>125</v>
      </c>
      <c r="B9994" s="8" t="s">
        <v>64</v>
      </c>
      <c r="C9994" s="8" t="str">
        <f>IFERROR(_xlfn.XLOOKUP(TRIM(B9994),Lookup!$B$2:$B$1000,Lookup!$C$2:$C$1000),"")</f>
        <v>Hybrid</v>
      </c>
      <c r="D9994" s="8" t="str">
        <f>IFERROR(INDEX('nav master'!$C:$C, MATCH(B9994, 'nav master'!$B:$B, 0)), "")</f>
        <v>ULIF08028/02/25DynamicFnd101</v>
      </c>
      <c r="E9994" s="8" t="s">
        <v>642</v>
      </c>
      <c r="F9994" s="8" t="s">
        <v>2926</v>
      </c>
    </row>
    <row r="9995" spans="1:6" ht="60" x14ac:dyDescent="0.25">
      <c r="A9995" s="8" t="s">
        <v>125</v>
      </c>
      <c r="B9995" s="8" t="s">
        <v>64</v>
      </c>
      <c r="C9995" s="8" t="str">
        <f>IFERROR(_xlfn.XLOOKUP(TRIM(B9995),Lookup!$B$2:$B$1000,Lookup!$C$2:$C$1000),"")</f>
        <v>Hybrid</v>
      </c>
      <c r="D9995" s="8" t="str">
        <f>IFERROR(INDEX('nav master'!$C:$C, MATCH(B9995, 'nav master'!$B:$B, 0)), "")</f>
        <v>ULIF08028/02/25DynamicFnd101</v>
      </c>
      <c r="E9995" s="8" t="s">
        <v>644</v>
      </c>
      <c r="F9995" s="8" t="s">
        <v>2927</v>
      </c>
    </row>
    <row r="9996" spans="1:6" ht="60" x14ac:dyDescent="0.25">
      <c r="A9996" s="8" t="s">
        <v>125</v>
      </c>
      <c r="B9996" s="8" t="s">
        <v>64</v>
      </c>
      <c r="C9996" s="8" t="str">
        <f>IFERROR(_xlfn.XLOOKUP(TRIM(B9996),Lookup!$B$2:$B$1000,Lookup!$C$2:$C$1000),"")</f>
        <v>Hybrid</v>
      </c>
      <c r="D9996" s="8" t="str">
        <f>IFERROR(INDEX('nav master'!$C:$C, MATCH(B9996, 'nav master'!$B:$B, 0)), "")</f>
        <v>ULIF08028/02/25DynamicFnd101</v>
      </c>
      <c r="E9996" s="8" t="s">
        <v>646</v>
      </c>
      <c r="F9996" s="8" t="s">
        <v>2928</v>
      </c>
    </row>
    <row r="9997" spans="1:6" ht="60" x14ac:dyDescent="0.25">
      <c r="A9997" s="8" t="s">
        <v>125</v>
      </c>
      <c r="B9997" s="8" t="s">
        <v>64</v>
      </c>
      <c r="C9997" s="8" t="str">
        <f>IFERROR(_xlfn.XLOOKUP(TRIM(B9997),Lookup!$B$2:$B$1000,Lookup!$C$2:$C$1000),"")</f>
        <v>Hybrid</v>
      </c>
      <c r="D9997" s="8" t="str">
        <f>IFERROR(INDEX('nav master'!$C:$C, MATCH(B9997, 'nav master'!$B:$B, 0)), "")</f>
        <v>ULIF08028/02/25DynamicFnd101</v>
      </c>
      <c r="E9997" s="8" t="s">
        <v>648</v>
      </c>
      <c r="F9997" s="8" t="s">
        <v>2929</v>
      </c>
    </row>
    <row r="9998" spans="1:6" ht="60" x14ac:dyDescent="0.25">
      <c r="A9998" s="8" t="s">
        <v>125</v>
      </c>
      <c r="B9998" s="8" t="s">
        <v>64</v>
      </c>
      <c r="C9998" s="8" t="str">
        <f>IFERROR(_xlfn.XLOOKUP(TRIM(B9998),Lookup!$B$2:$B$1000,Lookup!$C$2:$C$1000),"")</f>
        <v>Hybrid</v>
      </c>
      <c r="D9998" s="8" t="str">
        <f>IFERROR(INDEX('nav master'!$C:$C, MATCH(B9998, 'nav master'!$B:$B, 0)), "")</f>
        <v>ULIF08028/02/25DynamicFnd101</v>
      </c>
      <c r="E9998" s="8" t="s">
        <v>650</v>
      </c>
      <c r="F9998" s="8" t="s">
        <v>2930</v>
      </c>
    </row>
    <row r="9999" spans="1:6" ht="60" x14ac:dyDescent="0.25">
      <c r="A9999" s="8" t="s">
        <v>125</v>
      </c>
      <c r="B9999" s="8" t="s">
        <v>64</v>
      </c>
      <c r="C9999" s="8" t="str">
        <f>IFERROR(_xlfn.XLOOKUP(TRIM(B9999),Lookup!$B$2:$B$1000,Lookup!$C$2:$C$1000),"")</f>
        <v>Hybrid</v>
      </c>
      <c r="D9999" s="8" t="str">
        <f>IFERROR(INDEX('nav master'!$C:$C, MATCH(B9999, 'nav master'!$B:$B, 0)), "")</f>
        <v>ULIF08028/02/25DynamicFnd101</v>
      </c>
      <c r="E9999" s="8" t="s">
        <v>652</v>
      </c>
      <c r="F9999" s="8" t="s">
        <v>2931</v>
      </c>
    </row>
    <row r="10000" spans="1:6" ht="60" x14ac:dyDescent="0.25">
      <c r="A10000" s="8" t="s">
        <v>125</v>
      </c>
      <c r="B10000" s="8" t="s">
        <v>64</v>
      </c>
      <c r="C10000" s="8" t="str">
        <f>IFERROR(_xlfn.XLOOKUP(TRIM(B10000),Lookup!$B$2:$B$1000,Lookup!$C$2:$C$1000),"")</f>
        <v>Hybrid</v>
      </c>
      <c r="D10000" s="8" t="str">
        <f>IFERROR(INDEX('nav master'!$C:$C, MATCH(B10000, 'nav master'!$B:$B, 0)), "")</f>
        <v>ULIF08028/02/25DynamicFnd101</v>
      </c>
      <c r="E10000" s="8" t="s">
        <v>654</v>
      </c>
      <c r="F10000" s="8" t="s">
        <v>2932</v>
      </c>
    </row>
    <row r="10001" spans="1:6" ht="60" x14ac:dyDescent="0.25">
      <c r="A10001" s="8" t="s">
        <v>125</v>
      </c>
      <c r="B10001" s="8" t="s">
        <v>64</v>
      </c>
      <c r="C10001" s="8" t="str">
        <f>IFERROR(_xlfn.XLOOKUP(TRIM(B10001),Lookup!$B$2:$B$1000,Lookup!$C$2:$C$1000),"")</f>
        <v>Hybrid</v>
      </c>
      <c r="D10001" s="8" t="str">
        <f>IFERROR(INDEX('nav master'!$C:$C, MATCH(B10001, 'nav master'!$B:$B, 0)), "")</f>
        <v>ULIF08028/02/25DynamicFnd101</v>
      </c>
      <c r="E10001" s="8" t="s">
        <v>656</v>
      </c>
      <c r="F10001" s="8" t="s">
        <v>2933</v>
      </c>
    </row>
    <row r="10002" spans="1:6" ht="60" x14ac:dyDescent="0.25">
      <c r="A10002" s="8" t="s">
        <v>125</v>
      </c>
      <c r="B10002" s="8" t="s">
        <v>64</v>
      </c>
      <c r="C10002" s="8" t="str">
        <f>IFERROR(_xlfn.XLOOKUP(TRIM(B10002),Lookup!$B$2:$B$1000,Lookup!$C$2:$C$1000),"")</f>
        <v>Hybrid</v>
      </c>
      <c r="D10002" s="8" t="str">
        <f>IFERROR(INDEX('nav master'!$C:$C, MATCH(B10002, 'nav master'!$B:$B, 0)), "")</f>
        <v>ULIF08028/02/25DynamicFnd101</v>
      </c>
      <c r="E10002" s="8" t="s">
        <v>658</v>
      </c>
      <c r="F10002" s="8" t="s">
        <v>2934</v>
      </c>
    </row>
    <row r="10003" spans="1:6" ht="60" x14ac:dyDescent="0.25">
      <c r="A10003" s="8" t="s">
        <v>125</v>
      </c>
      <c r="B10003" s="8" t="s">
        <v>64</v>
      </c>
      <c r="C10003" s="8" t="str">
        <f>IFERROR(_xlfn.XLOOKUP(TRIM(B10003),Lookup!$B$2:$B$1000,Lookup!$C$2:$C$1000),"")</f>
        <v>Hybrid</v>
      </c>
      <c r="D10003" s="8" t="str">
        <f>IFERROR(INDEX('nav master'!$C:$C, MATCH(B10003, 'nav master'!$B:$B, 0)), "")</f>
        <v>ULIF08028/02/25DynamicFnd101</v>
      </c>
      <c r="E10003" s="8" t="s">
        <v>660</v>
      </c>
      <c r="F10003" s="8" t="s">
        <v>2935</v>
      </c>
    </row>
    <row r="10004" spans="1:6" ht="60" x14ac:dyDescent="0.25">
      <c r="A10004" s="8" t="s">
        <v>125</v>
      </c>
      <c r="B10004" s="8" t="s">
        <v>64</v>
      </c>
      <c r="C10004" s="8" t="str">
        <f>IFERROR(_xlfn.XLOOKUP(TRIM(B10004),Lookup!$B$2:$B$1000,Lookup!$C$2:$C$1000),"")</f>
        <v>Hybrid</v>
      </c>
      <c r="D10004" s="8" t="str">
        <f>IFERROR(INDEX('nav master'!$C:$C, MATCH(B10004, 'nav master'!$B:$B, 0)), "")</f>
        <v>ULIF08028/02/25DynamicFnd101</v>
      </c>
      <c r="E10004" s="8" t="s">
        <v>662</v>
      </c>
      <c r="F10004" s="8" t="s">
        <v>2936</v>
      </c>
    </row>
    <row r="10005" spans="1:6" ht="60" x14ac:dyDescent="0.25">
      <c r="A10005" s="8" t="s">
        <v>125</v>
      </c>
      <c r="B10005" s="8" t="s">
        <v>64</v>
      </c>
      <c r="C10005" s="8" t="str">
        <f>IFERROR(_xlfn.XLOOKUP(TRIM(B10005),Lookup!$B$2:$B$1000,Lookup!$C$2:$C$1000),"")</f>
        <v>Hybrid</v>
      </c>
      <c r="D10005" s="8" t="str">
        <f>IFERROR(INDEX('nav master'!$C:$C, MATCH(B10005, 'nav master'!$B:$B, 0)), "")</f>
        <v>ULIF08028/02/25DynamicFnd101</v>
      </c>
      <c r="E10005" s="8" t="s">
        <v>664</v>
      </c>
      <c r="F10005" s="8" t="s">
        <v>2937</v>
      </c>
    </row>
    <row r="10006" spans="1:6" ht="60" x14ac:dyDescent="0.25">
      <c r="A10006" s="8" t="s">
        <v>125</v>
      </c>
      <c r="B10006" s="8" t="s">
        <v>64</v>
      </c>
      <c r="C10006" s="8" t="str">
        <f>IFERROR(_xlfn.XLOOKUP(TRIM(B10006),Lookup!$B$2:$B$1000,Lookup!$C$2:$C$1000),"")</f>
        <v>Hybrid</v>
      </c>
      <c r="D10006" s="8" t="str">
        <f>IFERROR(INDEX('nav master'!$C:$C, MATCH(B10006, 'nav master'!$B:$B, 0)), "")</f>
        <v>ULIF08028/02/25DynamicFnd101</v>
      </c>
      <c r="E10006" s="8" t="s">
        <v>4892</v>
      </c>
      <c r="F10006" s="8" t="s">
        <v>4976</v>
      </c>
    </row>
    <row r="10007" spans="1:6" ht="60" x14ac:dyDescent="0.25">
      <c r="A10007" s="8" t="s">
        <v>125</v>
      </c>
      <c r="B10007" s="8" t="s">
        <v>64</v>
      </c>
      <c r="C10007" s="8" t="str">
        <f>IFERROR(_xlfn.XLOOKUP(TRIM(B10007),Lookup!$B$2:$B$1000,Lookup!$C$2:$C$1000),"")</f>
        <v>Hybrid</v>
      </c>
      <c r="D10007" s="8" t="str">
        <f>IFERROR(INDEX('nav master'!$C:$C, MATCH(B10007, 'nav master'!$B:$B, 0)), "")</f>
        <v>ULIF08028/02/25DynamicFnd101</v>
      </c>
      <c r="E10007" s="8" t="s">
        <v>4894</v>
      </c>
      <c r="F10007" s="8" t="s">
        <v>4977</v>
      </c>
    </row>
    <row r="10008" spans="1:6" ht="60" x14ac:dyDescent="0.25">
      <c r="A10008" s="8" t="s">
        <v>125</v>
      </c>
      <c r="B10008" s="8" t="s">
        <v>64</v>
      </c>
      <c r="C10008" s="8" t="str">
        <f>IFERROR(_xlfn.XLOOKUP(TRIM(B10008),Lookup!$B$2:$B$1000,Lookup!$C$2:$C$1000),"")</f>
        <v>Hybrid</v>
      </c>
      <c r="D10008" s="8" t="str">
        <f>IFERROR(INDEX('nav master'!$C:$C, MATCH(B10008, 'nav master'!$B:$B, 0)), "")</f>
        <v>ULIF08028/02/25DynamicFnd101</v>
      </c>
      <c r="E10008" s="8" t="s">
        <v>4896</v>
      </c>
      <c r="F10008" s="8" t="s">
        <v>4978</v>
      </c>
    </row>
    <row r="10009" spans="1:6" ht="60" x14ac:dyDescent="0.25">
      <c r="A10009" s="8" t="s">
        <v>125</v>
      </c>
      <c r="B10009" s="8" t="s">
        <v>64</v>
      </c>
      <c r="C10009" s="8" t="str">
        <f>IFERROR(_xlfn.XLOOKUP(TRIM(B10009),Lookup!$B$2:$B$1000,Lookup!$C$2:$C$1000),"")</f>
        <v>Hybrid</v>
      </c>
      <c r="D10009" s="8" t="str">
        <f>IFERROR(INDEX('nav master'!$C:$C, MATCH(B10009, 'nav master'!$B:$B, 0)), "")</f>
        <v>ULIF08028/02/25DynamicFnd101</v>
      </c>
      <c r="E10009" s="8" t="s">
        <v>4898</v>
      </c>
      <c r="F10009" s="8" t="s">
        <v>4979</v>
      </c>
    </row>
    <row r="10010" spans="1:6" ht="60" x14ac:dyDescent="0.25">
      <c r="A10010" s="8" t="s">
        <v>125</v>
      </c>
      <c r="B10010" s="8" t="s">
        <v>64</v>
      </c>
      <c r="C10010" s="8" t="str">
        <f>IFERROR(_xlfn.XLOOKUP(TRIM(B10010),Lookup!$B$2:$B$1000,Lookup!$C$2:$C$1000),"")</f>
        <v>Hybrid</v>
      </c>
      <c r="D10010" s="8" t="str">
        <f>IFERROR(INDEX('nav master'!$C:$C, MATCH(B10010, 'nav master'!$B:$B, 0)), "")</f>
        <v>ULIF08028/02/25DynamicFnd101</v>
      </c>
      <c r="E10010" s="8" t="s">
        <v>4900</v>
      </c>
      <c r="F10010" s="8" t="s">
        <v>4980</v>
      </c>
    </row>
    <row r="10011" spans="1:6" ht="60" x14ac:dyDescent="0.25">
      <c r="A10011" s="8" t="s">
        <v>125</v>
      </c>
      <c r="B10011" s="8" t="s">
        <v>64</v>
      </c>
      <c r="C10011" s="8" t="str">
        <f>IFERROR(_xlfn.XLOOKUP(TRIM(B10011),Lookup!$B$2:$B$1000,Lookup!$C$2:$C$1000),"")</f>
        <v>Hybrid</v>
      </c>
      <c r="D10011" s="8" t="str">
        <f>IFERROR(INDEX('nav master'!$C:$C, MATCH(B10011, 'nav master'!$B:$B, 0)), "")</f>
        <v>ULIF08028/02/25DynamicFnd101</v>
      </c>
      <c r="E10011" s="8" t="s">
        <v>4902</v>
      </c>
      <c r="F10011" s="8" t="s">
        <v>4981</v>
      </c>
    </row>
    <row r="10012" spans="1:6" ht="60" x14ac:dyDescent="0.25">
      <c r="A10012" s="8" t="s">
        <v>125</v>
      </c>
      <c r="B10012" s="8" t="s">
        <v>64</v>
      </c>
      <c r="C10012" s="8" t="str">
        <f>IFERROR(_xlfn.XLOOKUP(TRIM(B10012),Lookup!$B$2:$B$1000,Lookup!$C$2:$C$1000),"")</f>
        <v>Hybrid</v>
      </c>
      <c r="D10012" s="8" t="str">
        <f>IFERROR(INDEX('nav master'!$C:$C, MATCH(B10012, 'nav master'!$B:$B, 0)), "")</f>
        <v>ULIF08028/02/25DynamicFnd101</v>
      </c>
      <c r="E10012" s="8" t="s">
        <v>4903</v>
      </c>
      <c r="F10012" s="8" t="s">
        <v>4982</v>
      </c>
    </row>
    <row r="10013" spans="1:6" ht="60" x14ac:dyDescent="0.25">
      <c r="A10013" s="8" t="s">
        <v>125</v>
      </c>
      <c r="B10013" s="8" t="s">
        <v>64</v>
      </c>
      <c r="C10013" s="8" t="str">
        <f>IFERROR(_xlfn.XLOOKUP(TRIM(B10013),Lookup!$B$2:$B$1000,Lookup!$C$2:$C$1000),"")</f>
        <v>Hybrid</v>
      </c>
      <c r="D10013" s="8" t="str">
        <f>IFERROR(INDEX('nav master'!$C:$C, MATCH(B10013, 'nav master'!$B:$B, 0)), "")</f>
        <v>ULIF08028/02/25DynamicFnd101</v>
      </c>
      <c r="E10013" s="8" t="s">
        <v>4905</v>
      </c>
      <c r="F10013" s="8" t="s">
        <v>4983</v>
      </c>
    </row>
    <row r="10014" spans="1:6" ht="90" x14ac:dyDescent="0.25">
      <c r="A10014" s="8" t="s">
        <v>125</v>
      </c>
      <c r="B10014" s="8" t="s">
        <v>163</v>
      </c>
      <c r="C10014" s="8" t="str">
        <f>IFERROR(_xlfn.XLOOKUP(TRIM(B10014),Lookup!$B$2:$B$1000,Lookup!$C$2:$C$1000),"")</f>
        <v>Equity</v>
      </c>
      <c r="D10014" s="8" t="str">
        <f>IFERROR(INDEX('nav master'!$C:$C, MATCH(B10014, 'nav master'!$B:$B, 0)), "")</f>
        <v>ULIF08602/03/26InSctrLdrFd101</v>
      </c>
      <c r="E10014" s="8" t="s">
        <v>494</v>
      </c>
      <c r="F10014" s="8" t="s">
        <v>1603</v>
      </c>
    </row>
    <row r="10015" spans="1:6" ht="90" x14ac:dyDescent="0.25">
      <c r="A10015" s="8" t="s">
        <v>125</v>
      </c>
      <c r="B10015" s="8" t="s">
        <v>163</v>
      </c>
      <c r="C10015" s="8" t="str">
        <f>IFERROR(_xlfn.XLOOKUP(TRIM(B10015),Lookup!$B$2:$B$1000,Lookup!$C$2:$C$1000),"")</f>
        <v>Equity</v>
      </c>
      <c r="D10015" s="8" t="str">
        <f>IFERROR(INDEX('nav master'!$C:$C, MATCH(B10015, 'nav master'!$B:$B, 0)), "")</f>
        <v>ULIF08602/03/26InSctrLdrFd101</v>
      </c>
      <c r="E10015" s="8" t="s">
        <v>496</v>
      </c>
      <c r="F10015" s="8" t="s">
        <v>3365</v>
      </c>
    </row>
    <row r="10016" spans="1:6" ht="90" x14ac:dyDescent="0.25">
      <c r="A10016" s="8" t="s">
        <v>125</v>
      </c>
      <c r="B10016" s="8" t="s">
        <v>163</v>
      </c>
      <c r="C10016" s="8" t="str">
        <f>IFERROR(_xlfn.XLOOKUP(TRIM(B10016),Lookup!$B$2:$B$1000,Lookup!$C$2:$C$1000),"")</f>
        <v>Equity</v>
      </c>
      <c r="D10016" s="8" t="str">
        <f>IFERROR(INDEX('nav master'!$C:$C, MATCH(B10016, 'nav master'!$B:$B, 0)), "")</f>
        <v>ULIF08602/03/26InSctrLdrFd101</v>
      </c>
      <c r="E10016" s="8" t="s">
        <v>498</v>
      </c>
      <c r="F10016" s="8" t="s">
        <v>3366</v>
      </c>
    </row>
    <row r="10017" spans="1:6" ht="90" x14ac:dyDescent="0.25">
      <c r="A10017" s="8" t="s">
        <v>125</v>
      </c>
      <c r="B10017" s="8" t="s">
        <v>163</v>
      </c>
      <c r="C10017" s="8" t="str">
        <f>IFERROR(_xlfn.XLOOKUP(TRIM(B10017),Lookup!$B$2:$B$1000,Lookup!$C$2:$C$1000),"")</f>
        <v>Equity</v>
      </c>
      <c r="D10017" s="8" t="str">
        <f>IFERROR(INDEX('nav master'!$C:$C, MATCH(B10017, 'nav master'!$B:$B, 0)), "")</f>
        <v>ULIF08602/03/26InSctrLdrFd101</v>
      </c>
      <c r="E10017" s="8" t="s">
        <v>500</v>
      </c>
      <c r="F10017" s="8" t="s">
        <v>2972</v>
      </c>
    </row>
    <row r="10018" spans="1:6" ht="90" x14ac:dyDescent="0.25">
      <c r="A10018" s="8" t="s">
        <v>125</v>
      </c>
      <c r="B10018" s="8" t="s">
        <v>163</v>
      </c>
      <c r="C10018" s="8" t="str">
        <f>IFERROR(_xlfn.XLOOKUP(TRIM(B10018),Lookup!$B$2:$B$1000,Lookup!$C$2:$C$1000),"")</f>
        <v>Equity</v>
      </c>
      <c r="D10018" s="8" t="str">
        <f>IFERROR(INDEX('nav master'!$C:$C, MATCH(B10018, 'nav master'!$B:$B, 0)), "")</f>
        <v>ULIF08602/03/26InSctrLdrFd101</v>
      </c>
      <c r="E10018" s="8" t="s">
        <v>502</v>
      </c>
      <c r="F10018" s="8" t="s">
        <v>3367</v>
      </c>
    </row>
    <row r="10019" spans="1:6" ht="90" x14ac:dyDescent="0.25">
      <c r="A10019" s="8" t="s">
        <v>125</v>
      </c>
      <c r="B10019" s="8" t="s">
        <v>163</v>
      </c>
      <c r="C10019" s="8" t="str">
        <f>IFERROR(_xlfn.XLOOKUP(TRIM(B10019),Lookup!$B$2:$B$1000,Lookup!$C$2:$C$1000),"")</f>
        <v>Equity</v>
      </c>
      <c r="D10019" s="8" t="str">
        <f>IFERROR(INDEX('nav master'!$C:$C, MATCH(B10019, 'nav master'!$B:$B, 0)), "")</f>
        <v>ULIF08602/03/26InSctrLdrFd101</v>
      </c>
      <c r="E10019" s="8" t="s">
        <v>504</v>
      </c>
      <c r="F10019" s="8" t="s">
        <v>3368</v>
      </c>
    </row>
    <row r="10020" spans="1:6" ht="90" x14ac:dyDescent="0.25">
      <c r="A10020" s="8" t="s">
        <v>125</v>
      </c>
      <c r="B10020" s="8" t="s">
        <v>163</v>
      </c>
      <c r="C10020" s="8" t="str">
        <f>IFERROR(_xlfn.XLOOKUP(TRIM(B10020),Lookup!$B$2:$B$1000,Lookup!$C$2:$C$1000),"")</f>
        <v>Equity</v>
      </c>
      <c r="D10020" s="8" t="str">
        <f>IFERROR(INDEX('nav master'!$C:$C, MATCH(B10020, 'nav master'!$B:$B, 0)), "")</f>
        <v>ULIF08602/03/26InSctrLdrFd101</v>
      </c>
      <c r="E10020" s="8" t="s">
        <v>506</v>
      </c>
      <c r="F10020" s="8" t="s">
        <v>3369</v>
      </c>
    </row>
    <row r="10021" spans="1:6" ht="90" x14ac:dyDescent="0.25">
      <c r="A10021" s="8" t="s">
        <v>125</v>
      </c>
      <c r="B10021" s="8" t="s">
        <v>163</v>
      </c>
      <c r="C10021" s="8" t="str">
        <f>IFERROR(_xlfn.XLOOKUP(TRIM(B10021),Lookup!$B$2:$B$1000,Lookup!$C$2:$C$1000),"")</f>
        <v>Equity</v>
      </c>
      <c r="D10021" s="8" t="str">
        <f>IFERROR(INDEX('nav master'!$C:$C, MATCH(B10021, 'nav master'!$B:$B, 0)), "")</f>
        <v>ULIF08602/03/26InSctrLdrFd101</v>
      </c>
      <c r="E10021" s="8" t="s">
        <v>508</v>
      </c>
      <c r="F10021" s="8" t="s">
        <v>3370</v>
      </c>
    </row>
    <row r="10022" spans="1:6" ht="90" x14ac:dyDescent="0.25">
      <c r="A10022" s="8" t="s">
        <v>125</v>
      </c>
      <c r="B10022" s="8" t="s">
        <v>163</v>
      </c>
      <c r="C10022" s="8" t="str">
        <f>IFERROR(_xlfn.XLOOKUP(TRIM(B10022),Lookup!$B$2:$B$1000,Lookup!$C$2:$C$1000),"")</f>
        <v>Equity</v>
      </c>
      <c r="D10022" s="8" t="str">
        <f>IFERROR(INDEX('nav master'!$C:$C, MATCH(B10022, 'nav master'!$B:$B, 0)), "")</f>
        <v>ULIF08602/03/26InSctrLdrFd101</v>
      </c>
      <c r="E10022" s="8" t="s">
        <v>510</v>
      </c>
      <c r="F10022" s="8" t="s">
        <v>3371</v>
      </c>
    </row>
    <row r="10023" spans="1:6" ht="90" x14ac:dyDescent="0.25">
      <c r="A10023" s="8" t="s">
        <v>125</v>
      </c>
      <c r="B10023" s="8" t="s">
        <v>163</v>
      </c>
      <c r="C10023" s="8" t="str">
        <f>IFERROR(_xlfn.XLOOKUP(TRIM(B10023),Lookup!$B$2:$B$1000,Lookup!$C$2:$C$1000),"")</f>
        <v>Equity</v>
      </c>
      <c r="D10023" s="8" t="str">
        <f>IFERROR(INDEX('nav master'!$C:$C, MATCH(B10023, 'nav master'!$B:$B, 0)), "")</f>
        <v>ULIF08602/03/26InSctrLdrFd101</v>
      </c>
      <c r="E10023" s="8" t="s">
        <v>512</v>
      </c>
      <c r="F10023" s="8" t="s">
        <v>3372</v>
      </c>
    </row>
    <row r="10024" spans="1:6" ht="90" x14ac:dyDescent="0.25">
      <c r="A10024" s="8" t="s">
        <v>125</v>
      </c>
      <c r="B10024" s="8" t="s">
        <v>163</v>
      </c>
      <c r="C10024" s="8" t="str">
        <f>IFERROR(_xlfn.XLOOKUP(TRIM(B10024),Lookup!$B$2:$B$1000,Lookup!$C$2:$C$1000),"")</f>
        <v>Equity</v>
      </c>
      <c r="D10024" s="8" t="str">
        <f>IFERROR(INDEX('nav master'!$C:$C, MATCH(B10024, 'nav master'!$B:$B, 0)), "")</f>
        <v>ULIF08602/03/26InSctrLdrFd101</v>
      </c>
      <c r="E10024" s="8" t="s">
        <v>514</v>
      </c>
      <c r="F10024" s="8" t="s">
        <v>3373</v>
      </c>
    </row>
    <row r="10025" spans="1:6" ht="90" x14ac:dyDescent="0.25">
      <c r="A10025" s="8" t="s">
        <v>125</v>
      </c>
      <c r="B10025" s="8" t="s">
        <v>163</v>
      </c>
      <c r="C10025" s="8" t="str">
        <f>IFERROR(_xlfn.XLOOKUP(TRIM(B10025),Lookup!$B$2:$B$1000,Lookup!$C$2:$C$1000),"")</f>
        <v>Equity</v>
      </c>
      <c r="D10025" s="8" t="str">
        <f>IFERROR(INDEX('nav master'!$C:$C, MATCH(B10025, 'nav master'!$B:$B, 0)), "")</f>
        <v>ULIF08602/03/26InSctrLdrFd101</v>
      </c>
      <c r="E10025" s="8" t="s">
        <v>516</v>
      </c>
      <c r="F10025" s="8" t="s">
        <v>3374</v>
      </c>
    </row>
    <row r="10026" spans="1:6" ht="90" x14ac:dyDescent="0.25">
      <c r="A10026" s="8" t="s">
        <v>125</v>
      </c>
      <c r="B10026" s="8" t="s">
        <v>163</v>
      </c>
      <c r="C10026" s="8" t="str">
        <f>IFERROR(_xlfn.XLOOKUP(TRIM(B10026),Lookup!$B$2:$B$1000,Lookup!$C$2:$C$1000),"")</f>
        <v>Equity</v>
      </c>
      <c r="D10026" s="8" t="str">
        <f>IFERROR(INDEX('nav master'!$C:$C, MATCH(B10026, 'nav master'!$B:$B, 0)), "")</f>
        <v>ULIF08602/03/26InSctrLdrFd101</v>
      </c>
      <c r="E10026" s="8" t="s">
        <v>518</v>
      </c>
      <c r="F10026" s="8" t="s">
        <v>3375</v>
      </c>
    </row>
    <row r="10027" spans="1:6" ht="90" x14ac:dyDescent="0.25">
      <c r="A10027" s="8" t="s">
        <v>125</v>
      </c>
      <c r="B10027" s="8" t="s">
        <v>163</v>
      </c>
      <c r="C10027" s="8" t="str">
        <f>IFERROR(_xlfn.XLOOKUP(TRIM(B10027),Lookup!$B$2:$B$1000,Lookup!$C$2:$C$1000),"")</f>
        <v>Equity</v>
      </c>
      <c r="D10027" s="8" t="str">
        <f>IFERROR(INDEX('nav master'!$C:$C, MATCH(B10027, 'nav master'!$B:$B, 0)), "")</f>
        <v>ULIF08602/03/26InSctrLdrFd101</v>
      </c>
      <c r="E10027" s="8" t="s">
        <v>520</v>
      </c>
      <c r="F10027" s="8" t="s">
        <v>3376</v>
      </c>
    </row>
    <row r="10028" spans="1:6" ht="90" x14ac:dyDescent="0.25">
      <c r="A10028" s="8" t="s">
        <v>125</v>
      </c>
      <c r="B10028" s="8" t="s">
        <v>163</v>
      </c>
      <c r="C10028" s="8" t="str">
        <f>IFERROR(_xlfn.XLOOKUP(TRIM(B10028),Lookup!$B$2:$B$1000,Lookup!$C$2:$C$1000),"")</f>
        <v>Equity</v>
      </c>
      <c r="D10028" s="8" t="str">
        <f>IFERROR(INDEX('nav master'!$C:$C, MATCH(B10028, 'nav master'!$B:$B, 0)), "")</f>
        <v>ULIF08602/03/26InSctrLdrFd101</v>
      </c>
      <c r="E10028" s="8" t="s">
        <v>522</v>
      </c>
      <c r="F10028" s="8" t="s">
        <v>3377</v>
      </c>
    </row>
    <row r="10029" spans="1:6" ht="90" x14ac:dyDescent="0.25">
      <c r="A10029" s="8" t="s">
        <v>125</v>
      </c>
      <c r="B10029" s="8" t="s">
        <v>163</v>
      </c>
      <c r="C10029" s="8" t="str">
        <f>IFERROR(_xlfn.XLOOKUP(TRIM(B10029),Lookup!$B$2:$B$1000,Lookup!$C$2:$C$1000),"")</f>
        <v>Equity</v>
      </c>
      <c r="D10029" s="8" t="str">
        <f>IFERROR(INDEX('nav master'!$C:$C, MATCH(B10029, 'nav master'!$B:$B, 0)), "")</f>
        <v>ULIF08602/03/26InSctrLdrFd101</v>
      </c>
      <c r="E10029" s="8" t="s">
        <v>524</v>
      </c>
      <c r="F10029" s="8" t="s">
        <v>3378</v>
      </c>
    </row>
    <row r="10030" spans="1:6" ht="90" x14ac:dyDescent="0.25">
      <c r="A10030" s="8" t="s">
        <v>125</v>
      </c>
      <c r="B10030" s="8" t="s">
        <v>163</v>
      </c>
      <c r="C10030" s="8" t="str">
        <f>IFERROR(_xlfn.XLOOKUP(TRIM(B10030),Lookup!$B$2:$B$1000,Lookup!$C$2:$C$1000),"")</f>
        <v>Equity</v>
      </c>
      <c r="D10030" s="8" t="str">
        <f>IFERROR(INDEX('nav master'!$C:$C, MATCH(B10030, 'nav master'!$B:$B, 0)), "")</f>
        <v>ULIF08602/03/26InSctrLdrFd101</v>
      </c>
      <c r="E10030" s="8" t="s">
        <v>526</v>
      </c>
      <c r="F10030" s="8" t="s">
        <v>3379</v>
      </c>
    </row>
    <row r="10031" spans="1:6" ht="90" x14ac:dyDescent="0.25">
      <c r="A10031" s="8" t="s">
        <v>125</v>
      </c>
      <c r="B10031" s="8" t="s">
        <v>163</v>
      </c>
      <c r="C10031" s="8" t="str">
        <f>IFERROR(_xlfn.XLOOKUP(TRIM(B10031),Lookup!$B$2:$B$1000,Lookup!$C$2:$C$1000),"")</f>
        <v>Equity</v>
      </c>
      <c r="D10031" s="8" t="str">
        <f>IFERROR(INDEX('nav master'!$C:$C, MATCH(B10031, 'nav master'!$B:$B, 0)), "")</f>
        <v>ULIF08602/03/26InSctrLdrFd101</v>
      </c>
      <c r="E10031" s="8" t="s">
        <v>528</v>
      </c>
      <c r="F10031" s="8" t="s">
        <v>3380</v>
      </c>
    </row>
    <row r="10032" spans="1:6" ht="90" x14ac:dyDescent="0.25">
      <c r="A10032" s="8" t="s">
        <v>125</v>
      </c>
      <c r="B10032" s="8" t="s">
        <v>163</v>
      </c>
      <c r="C10032" s="8" t="str">
        <f>IFERROR(_xlfn.XLOOKUP(TRIM(B10032),Lookup!$B$2:$B$1000,Lookup!$C$2:$C$1000),"")</f>
        <v>Equity</v>
      </c>
      <c r="D10032" s="8" t="str">
        <f>IFERROR(INDEX('nav master'!$C:$C, MATCH(B10032, 'nav master'!$B:$B, 0)), "")</f>
        <v>ULIF08602/03/26InSctrLdrFd101</v>
      </c>
      <c r="E10032" s="8" t="s">
        <v>530</v>
      </c>
      <c r="F10032" s="8" t="s">
        <v>3381</v>
      </c>
    </row>
    <row r="10033" spans="1:6" ht="90" x14ac:dyDescent="0.25">
      <c r="A10033" s="8" t="s">
        <v>125</v>
      </c>
      <c r="B10033" s="8" t="s">
        <v>163</v>
      </c>
      <c r="C10033" s="8" t="str">
        <f>IFERROR(_xlfn.XLOOKUP(TRIM(B10033),Lookup!$B$2:$B$1000,Lookup!$C$2:$C$1000),"")</f>
        <v>Equity</v>
      </c>
      <c r="D10033" s="8" t="str">
        <f>IFERROR(INDEX('nav master'!$C:$C, MATCH(B10033, 'nav master'!$B:$B, 0)), "")</f>
        <v>ULIF08602/03/26InSctrLdrFd101</v>
      </c>
      <c r="E10033" s="8" t="s">
        <v>532</v>
      </c>
      <c r="F10033" s="8" t="s">
        <v>3382</v>
      </c>
    </row>
    <row r="10034" spans="1:6" ht="90" x14ac:dyDescent="0.25">
      <c r="A10034" s="8" t="s">
        <v>125</v>
      </c>
      <c r="B10034" s="8" t="s">
        <v>163</v>
      </c>
      <c r="C10034" s="8" t="str">
        <f>IFERROR(_xlfn.XLOOKUP(TRIM(B10034),Lookup!$B$2:$B$1000,Lookup!$C$2:$C$1000),"")</f>
        <v>Equity</v>
      </c>
      <c r="D10034" s="8" t="str">
        <f>IFERROR(INDEX('nav master'!$C:$C, MATCH(B10034, 'nav master'!$B:$B, 0)), "")</f>
        <v>ULIF08602/03/26InSctrLdrFd101</v>
      </c>
      <c r="E10034" s="8" t="s">
        <v>534</v>
      </c>
      <c r="F10034" s="8" t="s">
        <v>3383</v>
      </c>
    </row>
    <row r="10035" spans="1:6" ht="90" x14ac:dyDescent="0.25">
      <c r="A10035" s="8" t="s">
        <v>125</v>
      </c>
      <c r="B10035" s="8" t="s">
        <v>163</v>
      </c>
      <c r="C10035" s="8" t="str">
        <f>IFERROR(_xlfn.XLOOKUP(TRIM(B10035),Lookup!$B$2:$B$1000,Lookup!$C$2:$C$1000),"")</f>
        <v>Equity</v>
      </c>
      <c r="D10035" s="8" t="str">
        <f>IFERROR(INDEX('nav master'!$C:$C, MATCH(B10035, 'nav master'!$B:$B, 0)), "")</f>
        <v>ULIF08602/03/26InSctrLdrFd101</v>
      </c>
      <c r="E10035" s="8" t="s">
        <v>536</v>
      </c>
      <c r="F10035" s="8" t="s">
        <v>3384</v>
      </c>
    </row>
    <row r="10036" spans="1:6" ht="90" x14ac:dyDescent="0.25">
      <c r="A10036" s="8" t="s">
        <v>125</v>
      </c>
      <c r="B10036" s="8" t="s">
        <v>163</v>
      </c>
      <c r="C10036" s="8" t="str">
        <f>IFERROR(_xlfn.XLOOKUP(TRIM(B10036),Lookup!$B$2:$B$1000,Lookup!$C$2:$C$1000),"")</f>
        <v>Equity</v>
      </c>
      <c r="D10036" s="8" t="str">
        <f>IFERROR(INDEX('nav master'!$C:$C, MATCH(B10036, 'nav master'!$B:$B, 0)), "")</f>
        <v>ULIF08602/03/26InSctrLdrFd101</v>
      </c>
      <c r="E10036" s="8" t="s">
        <v>538</v>
      </c>
      <c r="F10036" s="8" t="s">
        <v>3385</v>
      </c>
    </row>
    <row r="10037" spans="1:6" ht="90" x14ac:dyDescent="0.25">
      <c r="A10037" s="8" t="s">
        <v>125</v>
      </c>
      <c r="B10037" s="8" t="s">
        <v>163</v>
      </c>
      <c r="C10037" s="8" t="str">
        <f>IFERROR(_xlfn.XLOOKUP(TRIM(B10037),Lookup!$B$2:$B$1000,Lookup!$C$2:$C$1000),"")</f>
        <v>Equity</v>
      </c>
      <c r="D10037" s="8" t="str">
        <f>IFERROR(INDEX('nav master'!$C:$C, MATCH(B10037, 'nav master'!$B:$B, 0)), "")</f>
        <v>ULIF08602/03/26InSctrLdrFd101</v>
      </c>
      <c r="E10037" s="8" t="s">
        <v>540</v>
      </c>
      <c r="F10037" s="8" t="s">
        <v>3386</v>
      </c>
    </row>
    <row r="10038" spans="1:6" ht="90" x14ac:dyDescent="0.25">
      <c r="A10038" s="8" t="s">
        <v>125</v>
      </c>
      <c r="B10038" s="8" t="s">
        <v>163</v>
      </c>
      <c r="C10038" s="8" t="str">
        <f>IFERROR(_xlfn.XLOOKUP(TRIM(B10038),Lookup!$B$2:$B$1000,Lookup!$C$2:$C$1000),"")</f>
        <v>Equity</v>
      </c>
      <c r="D10038" s="8" t="str">
        <f>IFERROR(INDEX('nav master'!$C:$C, MATCH(B10038, 'nav master'!$B:$B, 0)), "")</f>
        <v>ULIF08602/03/26InSctrLdrFd101</v>
      </c>
      <c r="E10038" s="8" t="s">
        <v>542</v>
      </c>
      <c r="F10038" s="8" t="s">
        <v>3387</v>
      </c>
    </row>
    <row r="10039" spans="1:6" ht="90" x14ac:dyDescent="0.25">
      <c r="A10039" s="8" t="s">
        <v>125</v>
      </c>
      <c r="B10039" s="8" t="s">
        <v>163</v>
      </c>
      <c r="C10039" s="8" t="str">
        <f>IFERROR(_xlfn.XLOOKUP(TRIM(B10039),Lookup!$B$2:$B$1000,Lookup!$C$2:$C$1000),"")</f>
        <v>Equity</v>
      </c>
      <c r="D10039" s="8" t="str">
        <f>IFERROR(INDEX('nav master'!$C:$C, MATCH(B10039, 'nav master'!$B:$B, 0)), "")</f>
        <v>ULIF08602/03/26InSctrLdrFd101</v>
      </c>
      <c r="E10039" s="8" t="s">
        <v>544</v>
      </c>
      <c r="F10039" s="8" t="s">
        <v>3388</v>
      </c>
    </row>
    <row r="10040" spans="1:6" ht="90" x14ac:dyDescent="0.25">
      <c r="A10040" s="8" t="s">
        <v>125</v>
      </c>
      <c r="B10040" s="8" t="s">
        <v>163</v>
      </c>
      <c r="C10040" s="8" t="str">
        <f>IFERROR(_xlfn.XLOOKUP(TRIM(B10040),Lookup!$B$2:$B$1000,Lookup!$C$2:$C$1000),"")</f>
        <v>Equity</v>
      </c>
      <c r="D10040" s="8" t="str">
        <f>IFERROR(INDEX('nav master'!$C:$C, MATCH(B10040, 'nav master'!$B:$B, 0)), "")</f>
        <v>ULIF08602/03/26InSctrLdrFd101</v>
      </c>
      <c r="E10040" s="8" t="s">
        <v>546</v>
      </c>
      <c r="F10040" s="8" t="s">
        <v>3389</v>
      </c>
    </row>
    <row r="10041" spans="1:6" ht="90" x14ac:dyDescent="0.25">
      <c r="A10041" s="8" t="s">
        <v>125</v>
      </c>
      <c r="B10041" s="8" t="s">
        <v>163</v>
      </c>
      <c r="C10041" s="8" t="str">
        <f>IFERROR(_xlfn.XLOOKUP(TRIM(B10041),Lookup!$B$2:$B$1000,Lookup!$C$2:$C$1000),"")</f>
        <v>Equity</v>
      </c>
      <c r="D10041" s="8" t="str">
        <f>IFERROR(INDEX('nav master'!$C:$C, MATCH(B10041, 'nav master'!$B:$B, 0)), "")</f>
        <v>ULIF08602/03/26InSctrLdrFd101</v>
      </c>
      <c r="E10041" s="8" t="s">
        <v>548</v>
      </c>
      <c r="F10041" s="8" t="s">
        <v>3390</v>
      </c>
    </row>
    <row r="10042" spans="1:6" ht="90" x14ac:dyDescent="0.25">
      <c r="A10042" s="8" t="s">
        <v>125</v>
      </c>
      <c r="B10042" s="8" t="s">
        <v>163</v>
      </c>
      <c r="C10042" s="8" t="str">
        <f>IFERROR(_xlfn.XLOOKUP(TRIM(B10042),Lookup!$B$2:$B$1000,Lookup!$C$2:$C$1000),"")</f>
        <v>Equity</v>
      </c>
      <c r="D10042" s="8" t="str">
        <f>IFERROR(INDEX('nav master'!$C:$C, MATCH(B10042, 'nav master'!$B:$B, 0)), "")</f>
        <v>ULIF08602/03/26InSctrLdrFd101</v>
      </c>
      <c r="E10042" s="8" t="s">
        <v>550</v>
      </c>
      <c r="F10042" s="8" t="s">
        <v>3391</v>
      </c>
    </row>
    <row r="10043" spans="1:6" ht="90" x14ac:dyDescent="0.25">
      <c r="A10043" s="8" t="s">
        <v>125</v>
      </c>
      <c r="B10043" s="8" t="s">
        <v>163</v>
      </c>
      <c r="C10043" s="8" t="str">
        <f>IFERROR(_xlfn.XLOOKUP(TRIM(B10043),Lookup!$B$2:$B$1000,Lookup!$C$2:$C$1000),"")</f>
        <v>Equity</v>
      </c>
      <c r="D10043" s="8" t="str">
        <f>IFERROR(INDEX('nav master'!$C:$C, MATCH(B10043, 'nav master'!$B:$B, 0)), "")</f>
        <v>ULIF08602/03/26InSctrLdrFd101</v>
      </c>
      <c r="E10043" s="8" t="s">
        <v>552</v>
      </c>
      <c r="F10043" s="8" t="s">
        <v>3392</v>
      </c>
    </row>
    <row r="10044" spans="1:6" ht="90" x14ac:dyDescent="0.25">
      <c r="A10044" s="8" t="s">
        <v>125</v>
      </c>
      <c r="B10044" s="8" t="s">
        <v>163</v>
      </c>
      <c r="C10044" s="8" t="str">
        <f>IFERROR(_xlfn.XLOOKUP(TRIM(B10044),Lookup!$B$2:$B$1000,Lookup!$C$2:$C$1000),"")</f>
        <v>Equity</v>
      </c>
      <c r="D10044" s="8" t="str">
        <f>IFERROR(INDEX('nav master'!$C:$C, MATCH(B10044, 'nav master'!$B:$B, 0)), "")</f>
        <v>ULIF08602/03/26InSctrLdrFd101</v>
      </c>
      <c r="E10044" s="8" t="s">
        <v>554</v>
      </c>
      <c r="F10044" s="8" t="s">
        <v>3393</v>
      </c>
    </row>
    <row r="10045" spans="1:6" ht="90" x14ac:dyDescent="0.25">
      <c r="A10045" s="8" t="s">
        <v>125</v>
      </c>
      <c r="B10045" s="8" t="s">
        <v>163</v>
      </c>
      <c r="C10045" s="8" t="str">
        <f>IFERROR(_xlfn.XLOOKUP(TRIM(B10045),Lookup!$B$2:$B$1000,Lookup!$C$2:$C$1000),"")</f>
        <v>Equity</v>
      </c>
      <c r="D10045" s="8" t="str">
        <f>IFERROR(INDEX('nav master'!$C:$C, MATCH(B10045, 'nav master'!$B:$B, 0)), "")</f>
        <v>ULIF08602/03/26InSctrLdrFd101</v>
      </c>
      <c r="E10045" s="8" t="s">
        <v>556</v>
      </c>
      <c r="F10045" s="8" t="s">
        <v>3394</v>
      </c>
    </row>
    <row r="10046" spans="1:6" ht="90" x14ac:dyDescent="0.25">
      <c r="A10046" s="8" t="s">
        <v>125</v>
      </c>
      <c r="B10046" s="8" t="s">
        <v>163</v>
      </c>
      <c r="C10046" s="8" t="str">
        <f>IFERROR(_xlfn.XLOOKUP(TRIM(B10046),Lookup!$B$2:$B$1000,Lookup!$C$2:$C$1000),"")</f>
        <v>Equity</v>
      </c>
      <c r="D10046" s="8" t="str">
        <f>IFERROR(INDEX('nav master'!$C:$C, MATCH(B10046, 'nav master'!$B:$B, 0)), "")</f>
        <v>ULIF08602/03/26InSctrLdrFd101</v>
      </c>
      <c r="E10046" s="8" t="s">
        <v>558</v>
      </c>
      <c r="F10046" s="8" t="s">
        <v>3395</v>
      </c>
    </row>
    <row r="10047" spans="1:6" ht="90" x14ac:dyDescent="0.25">
      <c r="A10047" s="8" t="s">
        <v>125</v>
      </c>
      <c r="B10047" s="8" t="s">
        <v>163</v>
      </c>
      <c r="C10047" s="8" t="str">
        <f>IFERROR(_xlfn.XLOOKUP(TRIM(B10047),Lookup!$B$2:$B$1000,Lookup!$C$2:$C$1000),"")</f>
        <v>Equity</v>
      </c>
      <c r="D10047" s="8" t="str">
        <f>IFERROR(INDEX('nav master'!$C:$C, MATCH(B10047, 'nav master'!$B:$B, 0)), "")</f>
        <v>ULIF08602/03/26InSctrLdrFd101</v>
      </c>
      <c r="E10047" s="8" t="s">
        <v>560</v>
      </c>
      <c r="F10047" s="8" t="s">
        <v>3396</v>
      </c>
    </row>
    <row r="10048" spans="1:6" ht="90" x14ac:dyDescent="0.25">
      <c r="A10048" s="8" t="s">
        <v>125</v>
      </c>
      <c r="B10048" s="8" t="s">
        <v>163</v>
      </c>
      <c r="C10048" s="8" t="str">
        <f>IFERROR(_xlfn.XLOOKUP(TRIM(B10048),Lookup!$B$2:$B$1000,Lookup!$C$2:$C$1000),"")</f>
        <v>Equity</v>
      </c>
      <c r="D10048" s="8" t="str">
        <f>IFERROR(INDEX('nav master'!$C:$C, MATCH(B10048, 'nav master'!$B:$B, 0)), "")</f>
        <v>ULIF08602/03/26InSctrLdrFd101</v>
      </c>
      <c r="E10048" s="8" t="s">
        <v>562</v>
      </c>
      <c r="F10048" s="8" t="s">
        <v>3397</v>
      </c>
    </row>
    <row r="10049" spans="1:6" ht="90" x14ac:dyDescent="0.25">
      <c r="A10049" s="8" t="s">
        <v>125</v>
      </c>
      <c r="B10049" s="8" t="s">
        <v>163</v>
      </c>
      <c r="C10049" s="8" t="str">
        <f>IFERROR(_xlfn.XLOOKUP(TRIM(B10049),Lookup!$B$2:$B$1000,Lookup!$C$2:$C$1000),"")</f>
        <v>Equity</v>
      </c>
      <c r="D10049" s="8" t="str">
        <f>IFERROR(INDEX('nav master'!$C:$C, MATCH(B10049, 'nav master'!$B:$B, 0)), "")</f>
        <v>ULIF08602/03/26InSctrLdrFd101</v>
      </c>
      <c r="E10049" s="8" t="s">
        <v>564</v>
      </c>
      <c r="F10049" s="8" t="s">
        <v>3398</v>
      </c>
    </row>
    <row r="10050" spans="1:6" ht="90" x14ac:dyDescent="0.25">
      <c r="A10050" s="8" t="s">
        <v>125</v>
      </c>
      <c r="B10050" s="8" t="s">
        <v>163</v>
      </c>
      <c r="C10050" s="8" t="str">
        <f>IFERROR(_xlfn.XLOOKUP(TRIM(B10050),Lookup!$B$2:$B$1000,Lookup!$C$2:$C$1000),"")</f>
        <v>Equity</v>
      </c>
      <c r="D10050" s="8" t="str">
        <f>IFERROR(INDEX('nav master'!$C:$C, MATCH(B10050, 'nav master'!$B:$B, 0)), "")</f>
        <v>ULIF08602/03/26InSctrLdrFd101</v>
      </c>
      <c r="E10050" s="8" t="s">
        <v>566</v>
      </c>
      <c r="F10050" s="8" t="s">
        <v>3399</v>
      </c>
    </row>
    <row r="10051" spans="1:6" ht="90" x14ac:dyDescent="0.25">
      <c r="A10051" s="8" t="s">
        <v>125</v>
      </c>
      <c r="B10051" s="8" t="s">
        <v>163</v>
      </c>
      <c r="C10051" s="8" t="str">
        <f>IFERROR(_xlfn.XLOOKUP(TRIM(B10051),Lookup!$B$2:$B$1000,Lookup!$C$2:$C$1000),"")</f>
        <v>Equity</v>
      </c>
      <c r="D10051" s="8" t="str">
        <f>IFERROR(INDEX('nav master'!$C:$C, MATCH(B10051, 'nav master'!$B:$B, 0)), "")</f>
        <v>ULIF08602/03/26InSctrLdrFd101</v>
      </c>
      <c r="E10051" s="8" t="s">
        <v>568</v>
      </c>
      <c r="F10051" s="8" t="s">
        <v>3400</v>
      </c>
    </row>
    <row r="10052" spans="1:6" ht="90" x14ac:dyDescent="0.25">
      <c r="A10052" s="8" t="s">
        <v>125</v>
      </c>
      <c r="B10052" s="8" t="s">
        <v>163</v>
      </c>
      <c r="C10052" s="8" t="str">
        <f>IFERROR(_xlfn.XLOOKUP(TRIM(B10052),Lookup!$B$2:$B$1000,Lookup!$C$2:$C$1000),"")</f>
        <v>Equity</v>
      </c>
      <c r="D10052" s="8" t="str">
        <f>IFERROR(INDEX('nav master'!$C:$C, MATCH(B10052, 'nav master'!$B:$B, 0)), "")</f>
        <v>ULIF08602/03/26InSctrLdrFd101</v>
      </c>
      <c r="E10052" s="8" t="s">
        <v>570</v>
      </c>
      <c r="F10052" s="8" t="s">
        <v>3401</v>
      </c>
    </row>
    <row r="10053" spans="1:6" ht="90" x14ac:dyDescent="0.25">
      <c r="A10053" s="8" t="s">
        <v>125</v>
      </c>
      <c r="B10053" s="8" t="s">
        <v>163</v>
      </c>
      <c r="C10053" s="8" t="str">
        <f>IFERROR(_xlfn.XLOOKUP(TRIM(B10053),Lookup!$B$2:$B$1000,Lookup!$C$2:$C$1000),"")</f>
        <v>Equity</v>
      </c>
      <c r="D10053" s="8" t="str">
        <f>IFERROR(INDEX('nav master'!$C:$C, MATCH(B10053, 'nav master'!$B:$B, 0)), "")</f>
        <v>ULIF08602/03/26InSctrLdrFd101</v>
      </c>
      <c r="E10053" s="8" t="s">
        <v>572</v>
      </c>
      <c r="F10053" s="8" t="s">
        <v>3402</v>
      </c>
    </row>
    <row r="10054" spans="1:6" ht="90" x14ac:dyDescent="0.25">
      <c r="A10054" s="8" t="s">
        <v>125</v>
      </c>
      <c r="B10054" s="8" t="s">
        <v>163</v>
      </c>
      <c r="C10054" s="8" t="str">
        <f>IFERROR(_xlfn.XLOOKUP(TRIM(B10054),Lookup!$B$2:$B$1000,Lookup!$C$2:$C$1000),"")</f>
        <v>Equity</v>
      </c>
      <c r="D10054" s="8" t="str">
        <f>IFERROR(INDEX('nav master'!$C:$C, MATCH(B10054, 'nav master'!$B:$B, 0)), "")</f>
        <v>ULIF08602/03/26InSctrLdrFd101</v>
      </c>
      <c r="E10054" s="8" t="s">
        <v>574</v>
      </c>
      <c r="F10054" s="8" t="s">
        <v>3403</v>
      </c>
    </row>
    <row r="10055" spans="1:6" ht="90" x14ac:dyDescent="0.25">
      <c r="A10055" s="8" t="s">
        <v>125</v>
      </c>
      <c r="B10055" s="8" t="s">
        <v>163</v>
      </c>
      <c r="C10055" s="8" t="str">
        <f>IFERROR(_xlfn.XLOOKUP(TRIM(B10055),Lookup!$B$2:$B$1000,Lookup!$C$2:$C$1000),"")</f>
        <v>Equity</v>
      </c>
      <c r="D10055" s="8" t="str">
        <f>IFERROR(INDEX('nav master'!$C:$C, MATCH(B10055, 'nav master'!$B:$B, 0)), "")</f>
        <v>ULIF08602/03/26InSctrLdrFd101</v>
      </c>
      <c r="E10055" s="8" t="s">
        <v>576</v>
      </c>
      <c r="F10055" s="8" t="s">
        <v>3404</v>
      </c>
    </row>
    <row r="10056" spans="1:6" ht="90" x14ac:dyDescent="0.25">
      <c r="A10056" s="8" t="s">
        <v>125</v>
      </c>
      <c r="B10056" s="8" t="s">
        <v>163</v>
      </c>
      <c r="C10056" s="8" t="str">
        <f>IFERROR(_xlfn.XLOOKUP(TRIM(B10056),Lookup!$B$2:$B$1000,Lookup!$C$2:$C$1000),"")</f>
        <v>Equity</v>
      </c>
      <c r="D10056" s="8" t="str">
        <f>IFERROR(INDEX('nav master'!$C:$C, MATCH(B10056, 'nav master'!$B:$B, 0)), "")</f>
        <v>ULIF08602/03/26InSctrLdrFd101</v>
      </c>
      <c r="E10056" s="8" t="s">
        <v>578</v>
      </c>
      <c r="F10056" s="8" t="s">
        <v>3405</v>
      </c>
    </row>
    <row r="10057" spans="1:6" ht="90" x14ac:dyDescent="0.25">
      <c r="A10057" s="8" t="s">
        <v>125</v>
      </c>
      <c r="B10057" s="8" t="s">
        <v>163</v>
      </c>
      <c r="C10057" s="8" t="str">
        <f>IFERROR(_xlfn.XLOOKUP(TRIM(B10057),Lookup!$B$2:$B$1000,Lookup!$C$2:$C$1000),"")</f>
        <v>Equity</v>
      </c>
      <c r="D10057" s="8" t="str">
        <f>IFERROR(INDEX('nav master'!$C:$C, MATCH(B10057, 'nav master'!$B:$B, 0)), "")</f>
        <v>ULIF08602/03/26InSctrLdrFd101</v>
      </c>
      <c r="E10057" s="8" t="s">
        <v>580</v>
      </c>
      <c r="F10057" s="8" t="s">
        <v>3406</v>
      </c>
    </row>
    <row r="10058" spans="1:6" ht="90" x14ac:dyDescent="0.25">
      <c r="A10058" s="8" t="s">
        <v>125</v>
      </c>
      <c r="B10058" s="8" t="s">
        <v>163</v>
      </c>
      <c r="C10058" s="8" t="str">
        <f>IFERROR(_xlfn.XLOOKUP(TRIM(B10058),Lookup!$B$2:$B$1000,Lookup!$C$2:$C$1000),"")</f>
        <v>Equity</v>
      </c>
      <c r="D10058" s="8" t="str">
        <f>IFERROR(INDEX('nav master'!$C:$C, MATCH(B10058, 'nav master'!$B:$B, 0)), "")</f>
        <v>ULIF08602/03/26InSctrLdrFd101</v>
      </c>
      <c r="E10058" s="8" t="s">
        <v>582</v>
      </c>
      <c r="F10058" s="8" t="s">
        <v>3407</v>
      </c>
    </row>
    <row r="10059" spans="1:6" ht="90" x14ac:dyDescent="0.25">
      <c r="A10059" s="8" t="s">
        <v>125</v>
      </c>
      <c r="B10059" s="8" t="s">
        <v>163</v>
      </c>
      <c r="C10059" s="8" t="str">
        <f>IFERROR(_xlfn.XLOOKUP(TRIM(B10059),Lookup!$B$2:$B$1000,Lookup!$C$2:$C$1000),"")</f>
        <v>Equity</v>
      </c>
      <c r="D10059" s="8" t="str">
        <f>IFERROR(INDEX('nav master'!$C:$C, MATCH(B10059, 'nav master'!$B:$B, 0)), "")</f>
        <v>ULIF08602/03/26InSctrLdrFd101</v>
      </c>
      <c r="E10059" s="8" t="s">
        <v>584</v>
      </c>
      <c r="F10059" s="8" t="s">
        <v>3408</v>
      </c>
    </row>
    <row r="10060" spans="1:6" ht="90" x14ac:dyDescent="0.25">
      <c r="A10060" s="8" t="s">
        <v>125</v>
      </c>
      <c r="B10060" s="8" t="s">
        <v>163</v>
      </c>
      <c r="C10060" s="8" t="str">
        <f>IFERROR(_xlfn.XLOOKUP(TRIM(B10060),Lookup!$B$2:$B$1000,Lookup!$C$2:$C$1000),"")</f>
        <v>Equity</v>
      </c>
      <c r="D10060" s="8" t="str">
        <f>IFERROR(INDEX('nav master'!$C:$C, MATCH(B10060, 'nav master'!$B:$B, 0)), "")</f>
        <v>ULIF08602/03/26InSctrLdrFd101</v>
      </c>
      <c r="E10060" s="8" t="s">
        <v>586</v>
      </c>
      <c r="F10060" s="8" t="s">
        <v>3409</v>
      </c>
    </row>
    <row r="10061" spans="1:6" ht="90" x14ac:dyDescent="0.25">
      <c r="A10061" s="8" t="s">
        <v>125</v>
      </c>
      <c r="B10061" s="8" t="s">
        <v>163</v>
      </c>
      <c r="C10061" s="8" t="str">
        <f>IFERROR(_xlfn.XLOOKUP(TRIM(B10061),Lookup!$B$2:$B$1000,Lookup!$C$2:$C$1000),"")</f>
        <v>Equity</v>
      </c>
      <c r="D10061" s="8" t="str">
        <f>IFERROR(INDEX('nav master'!$C:$C, MATCH(B10061, 'nav master'!$B:$B, 0)), "")</f>
        <v>ULIF08602/03/26InSctrLdrFd101</v>
      </c>
      <c r="E10061" s="8" t="s">
        <v>588</v>
      </c>
      <c r="F10061" s="8" t="s">
        <v>3410</v>
      </c>
    </row>
    <row r="10062" spans="1:6" ht="90" x14ac:dyDescent="0.25">
      <c r="A10062" s="8" t="s">
        <v>125</v>
      </c>
      <c r="B10062" s="8" t="s">
        <v>163</v>
      </c>
      <c r="C10062" s="8" t="str">
        <f>IFERROR(_xlfn.XLOOKUP(TRIM(B10062),Lookup!$B$2:$B$1000,Lookup!$C$2:$C$1000),"")</f>
        <v>Equity</v>
      </c>
      <c r="D10062" s="8" t="str">
        <f>IFERROR(INDEX('nav master'!$C:$C, MATCH(B10062, 'nav master'!$B:$B, 0)), "")</f>
        <v>ULIF08602/03/26InSctrLdrFd101</v>
      </c>
      <c r="E10062" s="8" t="s">
        <v>590</v>
      </c>
      <c r="F10062" s="8" t="s">
        <v>3411</v>
      </c>
    </row>
    <row r="10063" spans="1:6" ht="90" x14ac:dyDescent="0.25">
      <c r="A10063" s="8" t="s">
        <v>125</v>
      </c>
      <c r="B10063" s="8" t="s">
        <v>163</v>
      </c>
      <c r="C10063" s="8" t="str">
        <f>IFERROR(_xlfn.XLOOKUP(TRIM(B10063),Lookup!$B$2:$B$1000,Lookup!$C$2:$C$1000),"")</f>
        <v>Equity</v>
      </c>
      <c r="D10063" s="8" t="str">
        <f>IFERROR(INDEX('nav master'!$C:$C, MATCH(B10063, 'nav master'!$B:$B, 0)), "")</f>
        <v>ULIF08602/03/26InSctrLdrFd101</v>
      </c>
      <c r="E10063" s="8" t="s">
        <v>592</v>
      </c>
      <c r="F10063" s="8" t="s">
        <v>3412</v>
      </c>
    </row>
    <row r="10064" spans="1:6" ht="90" x14ac:dyDescent="0.25">
      <c r="A10064" s="8" t="s">
        <v>125</v>
      </c>
      <c r="B10064" s="8" t="s">
        <v>163</v>
      </c>
      <c r="C10064" s="8" t="str">
        <f>IFERROR(_xlfn.XLOOKUP(TRIM(B10064),Lookup!$B$2:$B$1000,Lookup!$C$2:$C$1000),"")</f>
        <v>Equity</v>
      </c>
      <c r="D10064" s="8" t="str">
        <f>IFERROR(INDEX('nav master'!$C:$C, MATCH(B10064, 'nav master'!$B:$B, 0)), "")</f>
        <v>ULIF08602/03/26InSctrLdrFd101</v>
      </c>
      <c r="E10064" s="8" t="s">
        <v>594</v>
      </c>
      <c r="F10064" s="8" t="s">
        <v>3413</v>
      </c>
    </row>
    <row r="10065" spans="1:6" ht="90" x14ac:dyDescent="0.25">
      <c r="A10065" s="8" t="s">
        <v>125</v>
      </c>
      <c r="B10065" s="8" t="s">
        <v>163</v>
      </c>
      <c r="C10065" s="8" t="str">
        <f>IFERROR(_xlfn.XLOOKUP(TRIM(B10065),Lookup!$B$2:$B$1000,Lookup!$C$2:$C$1000),"")</f>
        <v>Equity</v>
      </c>
      <c r="D10065" s="8" t="str">
        <f>IFERROR(INDEX('nav master'!$C:$C, MATCH(B10065, 'nav master'!$B:$B, 0)), "")</f>
        <v>ULIF08602/03/26InSctrLdrFd101</v>
      </c>
      <c r="E10065" s="8" t="s">
        <v>596</v>
      </c>
      <c r="F10065" s="8" t="s">
        <v>3414</v>
      </c>
    </row>
    <row r="10066" spans="1:6" ht="90" x14ac:dyDescent="0.25">
      <c r="A10066" s="8" t="s">
        <v>125</v>
      </c>
      <c r="B10066" s="8" t="s">
        <v>163</v>
      </c>
      <c r="C10066" s="8" t="str">
        <f>IFERROR(_xlfn.XLOOKUP(TRIM(B10066),Lookup!$B$2:$B$1000,Lookup!$C$2:$C$1000),"")</f>
        <v>Equity</v>
      </c>
      <c r="D10066" s="8" t="str">
        <f>IFERROR(INDEX('nav master'!$C:$C, MATCH(B10066, 'nav master'!$B:$B, 0)), "")</f>
        <v>ULIF08602/03/26InSctrLdrFd101</v>
      </c>
      <c r="E10066" s="8" t="s">
        <v>598</v>
      </c>
      <c r="F10066" s="8" t="s">
        <v>3415</v>
      </c>
    </row>
    <row r="10067" spans="1:6" ht="90" x14ac:dyDescent="0.25">
      <c r="A10067" s="8" t="s">
        <v>125</v>
      </c>
      <c r="B10067" s="8" t="s">
        <v>163</v>
      </c>
      <c r="C10067" s="8" t="str">
        <f>IFERROR(_xlfn.XLOOKUP(TRIM(B10067),Lookup!$B$2:$B$1000,Lookup!$C$2:$C$1000),"")</f>
        <v>Equity</v>
      </c>
      <c r="D10067" s="8" t="str">
        <f>IFERROR(INDEX('nav master'!$C:$C, MATCH(B10067, 'nav master'!$B:$B, 0)), "")</f>
        <v>ULIF08602/03/26InSctrLdrFd101</v>
      </c>
      <c r="E10067" s="8" t="s">
        <v>600</v>
      </c>
      <c r="F10067" s="8" t="s">
        <v>3416</v>
      </c>
    </row>
    <row r="10068" spans="1:6" ht="90" x14ac:dyDescent="0.25">
      <c r="A10068" s="8" t="s">
        <v>125</v>
      </c>
      <c r="B10068" s="8" t="s">
        <v>163</v>
      </c>
      <c r="C10068" s="8" t="str">
        <f>IFERROR(_xlfn.XLOOKUP(TRIM(B10068),Lookup!$B$2:$B$1000,Lookup!$C$2:$C$1000),"")</f>
        <v>Equity</v>
      </c>
      <c r="D10068" s="8" t="str">
        <f>IFERROR(INDEX('nav master'!$C:$C, MATCH(B10068, 'nav master'!$B:$B, 0)), "")</f>
        <v>ULIF08602/03/26InSctrLdrFd101</v>
      </c>
      <c r="E10068" s="8" t="s">
        <v>602</v>
      </c>
      <c r="F10068" s="8" t="s">
        <v>3417</v>
      </c>
    </row>
    <row r="10069" spans="1:6" ht="90" x14ac:dyDescent="0.25">
      <c r="A10069" s="8" t="s">
        <v>125</v>
      </c>
      <c r="B10069" s="8" t="s">
        <v>163</v>
      </c>
      <c r="C10069" s="8" t="str">
        <f>IFERROR(_xlfn.XLOOKUP(TRIM(B10069),Lookup!$B$2:$B$1000,Lookup!$C$2:$C$1000),"")</f>
        <v>Equity</v>
      </c>
      <c r="D10069" s="8" t="str">
        <f>IFERROR(INDEX('nav master'!$C:$C, MATCH(B10069, 'nav master'!$B:$B, 0)), "")</f>
        <v>ULIF08602/03/26InSctrLdrFd101</v>
      </c>
      <c r="E10069" s="8" t="s">
        <v>604</v>
      </c>
      <c r="F10069" s="8" t="s">
        <v>3418</v>
      </c>
    </row>
    <row r="10070" spans="1:6" ht="90" x14ac:dyDescent="0.25">
      <c r="A10070" s="8" t="s">
        <v>125</v>
      </c>
      <c r="B10070" s="8" t="s">
        <v>163</v>
      </c>
      <c r="C10070" s="8" t="str">
        <f>IFERROR(_xlfn.XLOOKUP(TRIM(B10070),Lookup!$B$2:$B$1000,Lookup!$C$2:$C$1000),"")</f>
        <v>Equity</v>
      </c>
      <c r="D10070" s="8" t="str">
        <f>IFERROR(INDEX('nav master'!$C:$C, MATCH(B10070, 'nav master'!$B:$B, 0)), "")</f>
        <v>ULIF08602/03/26InSctrLdrFd101</v>
      </c>
      <c r="E10070" s="8" t="s">
        <v>606</v>
      </c>
      <c r="F10070" s="8" t="s">
        <v>3419</v>
      </c>
    </row>
    <row r="10071" spans="1:6" ht="90" x14ac:dyDescent="0.25">
      <c r="A10071" s="8" t="s">
        <v>125</v>
      </c>
      <c r="B10071" s="8" t="s">
        <v>163</v>
      </c>
      <c r="C10071" s="8" t="str">
        <f>IFERROR(_xlfn.XLOOKUP(TRIM(B10071),Lookup!$B$2:$B$1000,Lookup!$C$2:$C$1000),"")</f>
        <v>Equity</v>
      </c>
      <c r="D10071" s="8" t="str">
        <f>IFERROR(INDEX('nav master'!$C:$C, MATCH(B10071, 'nav master'!$B:$B, 0)), "")</f>
        <v>ULIF08602/03/26InSctrLdrFd101</v>
      </c>
      <c r="E10071" s="8" t="s">
        <v>608</v>
      </c>
      <c r="F10071" s="8" t="s">
        <v>3420</v>
      </c>
    </row>
    <row r="10072" spans="1:6" ht="90" x14ac:dyDescent="0.25">
      <c r="A10072" s="8" t="s">
        <v>125</v>
      </c>
      <c r="B10072" s="8" t="s">
        <v>163</v>
      </c>
      <c r="C10072" s="8" t="str">
        <f>IFERROR(_xlfn.XLOOKUP(TRIM(B10072),Lookup!$B$2:$B$1000,Lookup!$C$2:$C$1000),"")</f>
        <v>Equity</v>
      </c>
      <c r="D10072" s="8" t="str">
        <f>IFERROR(INDEX('nav master'!$C:$C, MATCH(B10072, 'nav master'!$B:$B, 0)), "")</f>
        <v>ULIF08602/03/26InSctrLdrFd101</v>
      </c>
      <c r="E10072" s="8" t="s">
        <v>610</v>
      </c>
      <c r="F10072" s="8" t="s">
        <v>3421</v>
      </c>
    </row>
    <row r="10073" spans="1:6" ht="90" x14ac:dyDescent="0.25">
      <c r="A10073" s="8" t="s">
        <v>125</v>
      </c>
      <c r="B10073" s="8" t="s">
        <v>163</v>
      </c>
      <c r="C10073" s="8" t="str">
        <f>IFERROR(_xlfn.XLOOKUP(TRIM(B10073),Lookup!$B$2:$B$1000,Lookup!$C$2:$C$1000),"")</f>
        <v>Equity</v>
      </c>
      <c r="D10073" s="8" t="str">
        <f>IFERROR(INDEX('nav master'!$C:$C, MATCH(B10073, 'nav master'!$B:$B, 0)), "")</f>
        <v>ULIF08602/03/26InSctrLdrFd101</v>
      </c>
      <c r="E10073" s="8" t="s">
        <v>612</v>
      </c>
      <c r="F10073" s="8" t="s">
        <v>3422</v>
      </c>
    </row>
    <row r="10074" spans="1:6" ht="90" x14ac:dyDescent="0.25">
      <c r="A10074" s="8" t="s">
        <v>125</v>
      </c>
      <c r="B10074" s="8" t="s">
        <v>163</v>
      </c>
      <c r="C10074" s="8" t="str">
        <f>IFERROR(_xlfn.XLOOKUP(TRIM(B10074),Lookup!$B$2:$B$1000,Lookup!$C$2:$C$1000),"")</f>
        <v>Equity</v>
      </c>
      <c r="D10074" s="8" t="str">
        <f>IFERROR(INDEX('nav master'!$C:$C, MATCH(B10074, 'nav master'!$B:$B, 0)), "")</f>
        <v>ULIF08602/03/26InSctrLdrFd101</v>
      </c>
      <c r="E10074" s="8" t="s">
        <v>614</v>
      </c>
      <c r="F10074" s="8" t="s">
        <v>3423</v>
      </c>
    </row>
    <row r="10075" spans="1:6" ht="90" x14ac:dyDescent="0.25">
      <c r="A10075" s="8" t="s">
        <v>125</v>
      </c>
      <c r="B10075" s="8" t="s">
        <v>163</v>
      </c>
      <c r="C10075" s="8" t="str">
        <f>IFERROR(_xlfn.XLOOKUP(TRIM(B10075),Lookup!$B$2:$B$1000,Lookup!$C$2:$C$1000),"")</f>
        <v>Equity</v>
      </c>
      <c r="D10075" s="8" t="str">
        <f>IFERROR(INDEX('nav master'!$C:$C, MATCH(B10075, 'nav master'!$B:$B, 0)), "")</f>
        <v>ULIF08602/03/26InSctrLdrFd101</v>
      </c>
      <c r="E10075" s="8" t="s">
        <v>616</v>
      </c>
      <c r="F10075" s="8" t="s">
        <v>3424</v>
      </c>
    </row>
    <row r="10076" spans="1:6" ht="90" x14ac:dyDescent="0.25">
      <c r="A10076" s="8" t="s">
        <v>125</v>
      </c>
      <c r="B10076" s="8" t="s">
        <v>163</v>
      </c>
      <c r="C10076" s="8" t="str">
        <f>IFERROR(_xlfn.XLOOKUP(TRIM(B10076),Lookup!$B$2:$B$1000,Lookup!$C$2:$C$1000),"")</f>
        <v>Equity</v>
      </c>
      <c r="D10076" s="8" t="str">
        <f>IFERROR(INDEX('nav master'!$C:$C, MATCH(B10076, 'nav master'!$B:$B, 0)), "")</f>
        <v>ULIF08602/03/26InSctrLdrFd101</v>
      </c>
      <c r="E10076" s="8" t="s">
        <v>618</v>
      </c>
      <c r="F10076" s="8" t="s">
        <v>3425</v>
      </c>
    </row>
    <row r="10077" spans="1:6" ht="90" x14ac:dyDescent="0.25">
      <c r="A10077" s="8" t="s">
        <v>125</v>
      </c>
      <c r="B10077" s="8" t="s">
        <v>163</v>
      </c>
      <c r="C10077" s="8" t="str">
        <f>IFERROR(_xlfn.XLOOKUP(TRIM(B10077),Lookup!$B$2:$B$1000,Lookup!$C$2:$C$1000),"")</f>
        <v>Equity</v>
      </c>
      <c r="D10077" s="8" t="str">
        <f>IFERROR(INDEX('nav master'!$C:$C, MATCH(B10077, 'nav master'!$B:$B, 0)), "")</f>
        <v>ULIF08602/03/26InSctrLdrFd101</v>
      </c>
      <c r="E10077" s="8" t="s">
        <v>620</v>
      </c>
      <c r="F10077" s="8" t="s">
        <v>3426</v>
      </c>
    </row>
    <row r="10078" spans="1:6" ht="90" x14ac:dyDescent="0.25">
      <c r="A10078" s="8" t="s">
        <v>125</v>
      </c>
      <c r="B10078" s="8" t="s">
        <v>163</v>
      </c>
      <c r="C10078" s="8" t="str">
        <f>IFERROR(_xlfn.XLOOKUP(TRIM(B10078),Lookup!$B$2:$B$1000,Lookup!$C$2:$C$1000),"")</f>
        <v>Equity</v>
      </c>
      <c r="D10078" s="8" t="str">
        <f>IFERROR(INDEX('nav master'!$C:$C, MATCH(B10078, 'nav master'!$B:$B, 0)), "")</f>
        <v>ULIF08602/03/26InSctrLdrFd101</v>
      </c>
      <c r="E10078" s="8" t="s">
        <v>622</v>
      </c>
      <c r="F10078" s="8" t="s">
        <v>3427</v>
      </c>
    </row>
    <row r="10079" spans="1:6" ht="90" x14ac:dyDescent="0.25">
      <c r="A10079" s="8" t="s">
        <v>125</v>
      </c>
      <c r="B10079" s="8" t="s">
        <v>163</v>
      </c>
      <c r="C10079" s="8" t="str">
        <f>IFERROR(_xlfn.XLOOKUP(TRIM(B10079),Lookup!$B$2:$B$1000,Lookup!$C$2:$C$1000),"")</f>
        <v>Equity</v>
      </c>
      <c r="D10079" s="8" t="str">
        <f>IFERROR(INDEX('nav master'!$C:$C, MATCH(B10079, 'nav master'!$B:$B, 0)), "")</f>
        <v>ULIF08602/03/26InSctrLdrFd101</v>
      </c>
      <c r="E10079" s="8" t="s">
        <v>624</v>
      </c>
      <c r="F10079" s="8" t="s">
        <v>3428</v>
      </c>
    </row>
    <row r="10080" spans="1:6" ht="90" x14ac:dyDescent="0.25">
      <c r="A10080" s="8" t="s">
        <v>125</v>
      </c>
      <c r="B10080" s="8" t="s">
        <v>163</v>
      </c>
      <c r="C10080" s="8" t="str">
        <f>IFERROR(_xlfn.XLOOKUP(TRIM(B10080),Lookup!$B$2:$B$1000,Lookup!$C$2:$C$1000),"")</f>
        <v>Equity</v>
      </c>
      <c r="D10080" s="8" t="str">
        <f>IFERROR(INDEX('nav master'!$C:$C, MATCH(B10080, 'nav master'!$B:$B, 0)), "")</f>
        <v>ULIF08602/03/26InSctrLdrFd101</v>
      </c>
      <c r="E10080" s="8" t="s">
        <v>626</v>
      </c>
      <c r="F10080" s="8" t="s">
        <v>3429</v>
      </c>
    </row>
    <row r="10081" spans="1:6" ht="90" x14ac:dyDescent="0.25">
      <c r="A10081" s="8" t="s">
        <v>125</v>
      </c>
      <c r="B10081" s="8" t="s">
        <v>163</v>
      </c>
      <c r="C10081" s="8" t="str">
        <f>IFERROR(_xlfn.XLOOKUP(TRIM(B10081),Lookup!$B$2:$B$1000,Lookup!$C$2:$C$1000),"")</f>
        <v>Equity</v>
      </c>
      <c r="D10081" s="8" t="str">
        <f>IFERROR(INDEX('nav master'!$C:$C, MATCH(B10081, 'nav master'!$B:$B, 0)), "")</f>
        <v>ULIF08602/03/26InSctrLdrFd101</v>
      </c>
      <c r="E10081" s="8" t="s">
        <v>628</v>
      </c>
      <c r="F10081" s="8" t="s">
        <v>3430</v>
      </c>
    </row>
    <row r="10082" spans="1:6" ht="90" x14ac:dyDescent="0.25">
      <c r="A10082" s="8" t="s">
        <v>125</v>
      </c>
      <c r="B10082" s="8" t="s">
        <v>163</v>
      </c>
      <c r="C10082" s="8" t="str">
        <f>IFERROR(_xlfn.XLOOKUP(TRIM(B10082),Lookup!$B$2:$B$1000,Lookup!$C$2:$C$1000),"")</f>
        <v>Equity</v>
      </c>
      <c r="D10082" s="8" t="str">
        <f>IFERROR(INDEX('nav master'!$C:$C, MATCH(B10082, 'nav master'!$B:$B, 0)), "")</f>
        <v>ULIF08602/03/26InSctrLdrFd101</v>
      </c>
      <c r="E10082" s="8" t="s">
        <v>630</v>
      </c>
      <c r="F10082" s="8" t="s">
        <v>3431</v>
      </c>
    </row>
    <row r="10083" spans="1:6" ht="90" x14ac:dyDescent="0.25">
      <c r="A10083" s="8" t="s">
        <v>125</v>
      </c>
      <c r="B10083" s="8" t="s">
        <v>163</v>
      </c>
      <c r="C10083" s="8" t="str">
        <f>IFERROR(_xlfn.XLOOKUP(TRIM(B10083),Lookup!$B$2:$B$1000,Lookup!$C$2:$C$1000),"")</f>
        <v>Equity</v>
      </c>
      <c r="D10083" s="8" t="str">
        <f>IFERROR(INDEX('nav master'!$C:$C, MATCH(B10083, 'nav master'!$B:$B, 0)), "")</f>
        <v>ULIF08602/03/26InSctrLdrFd101</v>
      </c>
      <c r="E10083" s="8" t="s">
        <v>632</v>
      </c>
      <c r="F10083" s="8" t="s">
        <v>3432</v>
      </c>
    </row>
    <row r="10084" spans="1:6" ht="90" x14ac:dyDescent="0.25">
      <c r="A10084" s="8" t="s">
        <v>125</v>
      </c>
      <c r="B10084" s="8" t="s">
        <v>163</v>
      </c>
      <c r="C10084" s="8" t="str">
        <f>IFERROR(_xlfn.XLOOKUP(TRIM(B10084),Lookup!$B$2:$B$1000,Lookup!$C$2:$C$1000),"")</f>
        <v>Equity</v>
      </c>
      <c r="D10084" s="8" t="str">
        <f>IFERROR(INDEX('nav master'!$C:$C, MATCH(B10084, 'nav master'!$B:$B, 0)), "")</f>
        <v>ULIF08602/03/26InSctrLdrFd101</v>
      </c>
      <c r="E10084" s="8" t="s">
        <v>634</v>
      </c>
      <c r="F10084" s="8" t="s">
        <v>3433</v>
      </c>
    </row>
    <row r="10085" spans="1:6" ht="90" x14ac:dyDescent="0.25">
      <c r="A10085" s="8" t="s">
        <v>125</v>
      </c>
      <c r="B10085" s="8" t="s">
        <v>163</v>
      </c>
      <c r="C10085" s="8" t="str">
        <f>IFERROR(_xlfn.XLOOKUP(TRIM(B10085),Lookup!$B$2:$B$1000,Lookup!$C$2:$C$1000),"")</f>
        <v>Equity</v>
      </c>
      <c r="D10085" s="8" t="str">
        <f>IFERROR(INDEX('nav master'!$C:$C, MATCH(B10085, 'nav master'!$B:$B, 0)), "")</f>
        <v>ULIF08602/03/26InSctrLdrFd101</v>
      </c>
      <c r="E10085" s="8" t="s">
        <v>636</v>
      </c>
      <c r="F10085" s="8" t="s">
        <v>3434</v>
      </c>
    </row>
    <row r="10086" spans="1:6" ht="90" x14ac:dyDescent="0.25">
      <c r="A10086" s="8" t="s">
        <v>125</v>
      </c>
      <c r="B10086" s="8" t="s">
        <v>163</v>
      </c>
      <c r="C10086" s="8" t="str">
        <f>IFERROR(_xlfn.XLOOKUP(TRIM(B10086),Lookup!$B$2:$B$1000,Lookup!$C$2:$C$1000),"")</f>
        <v>Equity</v>
      </c>
      <c r="D10086" s="8" t="str">
        <f>IFERROR(INDEX('nav master'!$C:$C, MATCH(B10086, 'nav master'!$B:$B, 0)), "")</f>
        <v>ULIF08602/03/26InSctrLdrFd101</v>
      </c>
      <c r="E10086" s="8" t="s">
        <v>638</v>
      </c>
      <c r="F10086" s="8" t="s">
        <v>3435</v>
      </c>
    </row>
    <row r="10087" spans="1:6" ht="90" x14ac:dyDescent="0.25">
      <c r="A10087" s="8" t="s">
        <v>125</v>
      </c>
      <c r="B10087" s="8" t="s">
        <v>163</v>
      </c>
      <c r="C10087" s="8" t="str">
        <f>IFERROR(_xlfn.XLOOKUP(TRIM(B10087),Lookup!$B$2:$B$1000,Lookup!$C$2:$C$1000),"")</f>
        <v>Equity</v>
      </c>
      <c r="D10087" s="8" t="str">
        <f>IFERROR(INDEX('nav master'!$C:$C, MATCH(B10087, 'nav master'!$B:$B, 0)), "")</f>
        <v>ULIF08602/03/26InSctrLdrFd101</v>
      </c>
      <c r="E10087" s="8" t="s">
        <v>640</v>
      </c>
      <c r="F10087" s="8" t="s">
        <v>3436</v>
      </c>
    </row>
    <row r="10088" spans="1:6" ht="90" x14ac:dyDescent="0.25">
      <c r="A10088" s="8" t="s">
        <v>125</v>
      </c>
      <c r="B10088" s="8" t="s">
        <v>163</v>
      </c>
      <c r="C10088" s="8" t="str">
        <f>IFERROR(_xlfn.XLOOKUP(TRIM(B10088),Lookup!$B$2:$B$1000,Lookup!$C$2:$C$1000),"")</f>
        <v>Equity</v>
      </c>
      <c r="D10088" s="8" t="str">
        <f>IFERROR(INDEX('nav master'!$C:$C, MATCH(B10088, 'nav master'!$B:$B, 0)), "")</f>
        <v>ULIF08602/03/26InSctrLdrFd101</v>
      </c>
      <c r="E10088" s="8" t="s">
        <v>642</v>
      </c>
      <c r="F10088" s="8" t="s">
        <v>3437</v>
      </c>
    </row>
    <row r="10089" spans="1:6" ht="90" x14ac:dyDescent="0.25">
      <c r="A10089" s="8" t="s">
        <v>125</v>
      </c>
      <c r="B10089" s="8" t="s">
        <v>163</v>
      </c>
      <c r="C10089" s="8" t="str">
        <f>IFERROR(_xlfn.XLOOKUP(TRIM(B10089),Lookup!$B$2:$B$1000,Lookup!$C$2:$C$1000),"")</f>
        <v>Equity</v>
      </c>
      <c r="D10089" s="8" t="str">
        <f>IFERROR(INDEX('nav master'!$C:$C, MATCH(B10089, 'nav master'!$B:$B, 0)), "")</f>
        <v>ULIF08602/03/26InSctrLdrFd101</v>
      </c>
      <c r="E10089" s="8" t="s">
        <v>644</v>
      </c>
      <c r="F10089" s="8" t="s">
        <v>3438</v>
      </c>
    </row>
    <row r="10090" spans="1:6" ht="90" x14ac:dyDescent="0.25">
      <c r="A10090" s="8" t="s">
        <v>125</v>
      </c>
      <c r="B10090" s="8" t="s">
        <v>163</v>
      </c>
      <c r="C10090" s="8" t="str">
        <f>IFERROR(_xlfn.XLOOKUP(TRIM(B10090),Lookup!$B$2:$B$1000,Lookup!$C$2:$C$1000),"")</f>
        <v>Equity</v>
      </c>
      <c r="D10090" s="8" t="str">
        <f>IFERROR(INDEX('nav master'!$C:$C, MATCH(B10090, 'nav master'!$B:$B, 0)), "")</f>
        <v>ULIF08602/03/26InSctrLdrFd101</v>
      </c>
      <c r="E10090" s="8" t="s">
        <v>646</v>
      </c>
      <c r="F10090" s="8" t="s">
        <v>3439</v>
      </c>
    </row>
    <row r="10091" spans="1:6" ht="90" x14ac:dyDescent="0.25">
      <c r="A10091" s="8" t="s">
        <v>125</v>
      </c>
      <c r="B10091" s="8" t="s">
        <v>163</v>
      </c>
      <c r="C10091" s="8" t="str">
        <f>IFERROR(_xlfn.XLOOKUP(TRIM(B10091),Lookup!$B$2:$B$1000,Lookup!$C$2:$C$1000),"")</f>
        <v>Equity</v>
      </c>
      <c r="D10091" s="8" t="str">
        <f>IFERROR(INDEX('nav master'!$C:$C, MATCH(B10091, 'nav master'!$B:$B, 0)), "")</f>
        <v>ULIF08602/03/26InSctrLdrFd101</v>
      </c>
      <c r="E10091" s="8" t="s">
        <v>648</v>
      </c>
      <c r="F10091" s="8" t="s">
        <v>3440</v>
      </c>
    </row>
    <row r="10092" spans="1:6" ht="90" x14ac:dyDescent="0.25">
      <c r="A10092" s="8" t="s">
        <v>125</v>
      </c>
      <c r="B10092" s="8" t="s">
        <v>163</v>
      </c>
      <c r="C10092" s="8" t="str">
        <f>IFERROR(_xlfn.XLOOKUP(TRIM(B10092),Lookup!$B$2:$B$1000,Lookup!$C$2:$C$1000),"")</f>
        <v>Equity</v>
      </c>
      <c r="D10092" s="8" t="str">
        <f>IFERROR(INDEX('nav master'!$C:$C, MATCH(B10092, 'nav master'!$B:$B, 0)), "")</f>
        <v>ULIF08602/03/26InSctrLdrFd101</v>
      </c>
      <c r="E10092" s="8" t="s">
        <v>650</v>
      </c>
      <c r="F10092" s="8" t="s">
        <v>3441</v>
      </c>
    </row>
    <row r="10093" spans="1:6" ht="90" x14ac:dyDescent="0.25">
      <c r="A10093" s="8" t="s">
        <v>125</v>
      </c>
      <c r="B10093" s="8" t="s">
        <v>163</v>
      </c>
      <c r="C10093" s="8" t="str">
        <f>IFERROR(_xlfn.XLOOKUP(TRIM(B10093),Lookup!$B$2:$B$1000,Lookup!$C$2:$C$1000),"")</f>
        <v>Equity</v>
      </c>
      <c r="D10093" s="8" t="str">
        <f>IFERROR(INDEX('nav master'!$C:$C, MATCH(B10093, 'nav master'!$B:$B, 0)), "")</f>
        <v>ULIF08602/03/26InSctrLdrFd101</v>
      </c>
      <c r="E10093" s="8" t="s">
        <v>652</v>
      </c>
      <c r="F10093" s="8" t="s">
        <v>3442</v>
      </c>
    </row>
    <row r="10094" spans="1:6" ht="90" x14ac:dyDescent="0.25">
      <c r="A10094" s="8" t="s">
        <v>125</v>
      </c>
      <c r="B10094" s="8" t="s">
        <v>163</v>
      </c>
      <c r="C10094" s="8" t="str">
        <f>IFERROR(_xlfn.XLOOKUP(TRIM(B10094),Lookup!$B$2:$B$1000,Lookup!$C$2:$C$1000),"")</f>
        <v>Equity</v>
      </c>
      <c r="D10094" s="8" t="str">
        <f>IFERROR(INDEX('nav master'!$C:$C, MATCH(B10094, 'nav master'!$B:$B, 0)), "")</f>
        <v>ULIF08602/03/26InSctrLdrFd101</v>
      </c>
      <c r="E10094" s="8" t="s">
        <v>654</v>
      </c>
      <c r="F10094" s="8" t="s">
        <v>3443</v>
      </c>
    </row>
    <row r="10095" spans="1:6" ht="90" x14ac:dyDescent="0.25">
      <c r="A10095" s="8" t="s">
        <v>125</v>
      </c>
      <c r="B10095" s="8" t="s">
        <v>163</v>
      </c>
      <c r="C10095" s="8" t="str">
        <f>IFERROR(_xlfn.XLOOKUP(TRIM(B10095),Lookup!$B$2:$B$1000,Lookup!$C$2:$C$1000),"")</f>
        <v>Equity</v>
      </c>
      <c r="D10095" s="8" t="str">
        <f>IFERROR(INDEX('nav master'!$C:$C, MATCH(B10095, 'nav master'!$B:$B, 0)), "")</f>
        <v>ULIF08602/03/26InSctrLdrFd101</v>
      </c>
      <c r="E10095" s="8" t="s">
        <v>656</v>
      </c>
      <c r="F10095" s="8" t="s">
        <v>3444</v>
      </c>
    </row>
    <row r="10096" spans="1:6" ht="90" x14ac:dyDescent="0.25">
      <c r="A10096" s="8" t="s">
        <v>125</v>
      </c>
      <c r="B10096" s="8" t="s">
        <v>163</v>
      </c>
      <c r="C10096" s="8" t="str">
        <f>IFERROR(_xlfn.XLOOKUP(TRIM(B10096),Lookup!$B$2:$B$1000,Lookup!$C$2:$C$1000),"")</f>
        <v>Equity</v>
      </c>
      <c r="D10096" s="8" t="str">
        <f>IFERROR(INDEX('nav master'!$C:$C, MATCH(B10096, 'nav master'!$B:$B, 0)), "")</f>
        <v>ULIF08602/03/26InSctrLdrFd101</v>
      </c>
      <c r="E10096" s="8" t="s">
        <v>658</v>
      </c>
      <c r="F10096" s="8" t="s">
        <v>3445</v>
      </c>
    </row>
    <row r="10097" spans="1:6" ht="90" x14ac:dyDescent="0.25">
      <c r="A10097" s="8" t="s">
        <v>125</v>
      </c>
      <c r="B10097" s="8" t="s">
        <v>163</v>
      </c>
      <c r="C10097" s="8" t="str">
        <f>IFERROR(_xlfn.XLOOKUP(TRIM(B10097),Lookup!$B$2:$B$1000,Lookup!$C$2:$C$1000),"")</f>
        <v>Equity</v>
      </c>
      <c r="D10097" s="8" t="str">
        <f>IFERROR(INDEX('nav master'!$C:$C, MATCH(B10097, 'nav master'!$B:$B, 0)), "")</f>
        <v>ULIF08602/03/26InSctrLdrFd101</v>
      </c>
      <c r="E10097" s="8" t="s">
        <v>660</v>
      </c>
      <c r="F10097" s="8" t="s">
        <v>3446</v>
      </c>
    </row>
    <row r="10098" spans="1:6" ht="90" x14ac:dyDescent="0.25">
      <c r="A10098" s="8" t="s">
        <v>125</v>
      </c>
      <c r="B10098" s="8" t="s">
        <v>163</v>
      </c>
      <c r="C10098" s="8" t="str">
        <f>IFERROR(_xlfn.XLOOKUP(TRIM(B10098),Lookup!$B$2:$B$1000,Lookup!$C$2:$C$1000),"")</f>
        <v>Equity</v>
      </c>
      <c r="D10098" s="8" t="str">
        <f>IFERROR(INDEX('nav master'!$C:$C, MATCH(B10098, 'nav master'!$B:$B, 0)), "")</f>
        <v>ULIF08602/03/26InSctrLdrFd101</v>
      </c>
      <c r="E10098" s="8" t="s">
        <v>662</v>
      </c>
      <c r="F10098" s="8" t="s">
        <v>3447</v>
      </c>
    </row>
    <row r="10099" spans="1:6" ht="90" x14ac:dyDescent="0.25">
      <c r="A10099" s="8" t="s">
        <v>125</v>
      </c>
      <c r="B10099" s="8" t="s">
        <v>163</v>
      </c>
      <c r="C10099" s="8" t="str">
        <f>IFERROR(_xlfn.XLOOKUP(TRIM(B10099),Lookup!$B$2:$B$1000,Lookup!$C$2:$C$1000),"")</f>
        <v>Equity</v>
      </c>
      <c r="D10099" s="8" t="str">
        <f>IFERROR(INDEX('nav master'!$C:$C, MATCH(B10099, 'nav master'!$B:$B, 0)), "")</f>
        <v>ULIF08602/03/26InSctrLdrFd101</v>
      </c>
      <c r="E10099" s="8" t="s">
        <v>664</v>
      </c>
      <c r="F10099" s="8" t="s">
        <v>3448</v>
      </c>
    </row>
    <row r="10100" spans="1:6" ht="90" x14ac:dyDescent="0.25">
      <c r="A10100" s="8" t="s">
        <v>125</v>
      </c>
      <c r="B10100" s="8" t="s">
        <v>163</v>
      </c>
      <c r="C10100" s="8" t="str">
        <f>IFERROR(_xlfn.XLOOKUP(TRIM(B10100),Lookup!$B$2:$B$1000,Lookup!$C$2:$C$1000),"")</f>
        <v>Equity</v>
      </c>
      <c r="D10100" s="8" t="str">
        <f>IFERROR(INDEX('nav master'!$C:$C, MATCH(B10100, 'nav master'!$B:$B, 0)), "")</f>
        <v>ULIF08602/03/26InSctrLdrFd101</v>
      </c>
      <c r="E10100" s="8" t="s">
        <v>4892</v>
      </c>
      <c r="F10100" s="8" t="s">
        <v>4998</v>
      </c>
    </row>
    <row r="10101" spans="1:6" ht="90" x14ac:dyDescent="0.25">
      <c r="A10101" s="8" t="s">
        <v>125</v>
      </c>
      <c r="B10101" s="8" t="s">
        <v>163</v>
      </c>
      <c r="C10101" s="8" t="str">
        <f>IFERROR(_xlfn.XLOOKUP(TRIM(B10101),Lookup!$B$2:$B$1000,Lookup!$C$2:$C$1000),"")</f>
        <v>Equity</v>
      </c>
      <c r="D10101" s="8" t="str">
        <f>IFERROR(INDEX('nav master'!$C:$C, MATCH(B10101, 'nav master'!$B:$B, 0)), "")</f>
        <v>ULIF08602/03/26InSctrLdrFd101</v>
      </c>
      <c r="E10101" s="8" t="s">
        <v>4894</v>
      </c>
      <c r="F10101" s="8" t="s">
        <v>4999</v>
      </c>
    </row>
    <row r="10102" spans="1:6" ht="90" x14ac:dyDescent="0.25">
      <c r="A10102" s="8" t="s">
        <v>125</v>
      </c>
      <c r="B10102" s="8" t="s">
        <v>163</v>
      </c>
      <c r="C10102" s="8" t="str">
        <f>IFERROR(_xlfn.XLOOKUP(TRIM(B10102),Lookup!$B$2:$B$1000,Lookup!$C$2:$C$1000),"")</f>
        <v>Equity</v>
      </c>
      <c r="D10102" s="8" t="str">
        <f>IFERROR(INDEX('nav master'!$C:$C, MATCH(B10102, 'nav master'!$B:$B, 0)), "")</f>
        <v>ULIF08602/03/26InSctrLdrFd101</v>
      </c>
      <c r="E10102" s="8" t="s">
        <v>4896</v>
      </c>
      <c r="F10102" s="8" t="s">
        <v>5000</v>
      </c>
    </row>
    <row r="10103" spans="1:6" ht="90" x14ac:dyDescent="0.25">
      <c r="A10103" s="8" t="s">
        <v>125</v>
      </c>
      <c r="B10103" s="8" t="s">
        <v>163</v>
      </c>
      <c r="C10103" s="8" t="str">
        <f>IFERROR(_xlfn.XLOOKUP(TRIM(B10103),Lookup!$B$2:$B$1000,Lookup!$C$2:$C$1000),"")</f>
        <v>Equity</v>
      </c>
      <c r="D10103" s="8" t="str">
        <f>IFERROR(INDEX('nav master'!$C:$C, MATCH(B10103, 'nav master'!$B:$B, 0)), "")</f>
        <v>ULIF08602/03/26InSctrLdrFd101</v>
      </c>
      <c r="E10103" s="8" t="s">
        <v>4898</v>
      </c>
      <c r="F10103" s="8" t="s">
        <v>5001</v>
      </c>
    </row>
    <row r="10104" spans="1:6" ht="90" x14ac:dyDescent="0.25">
      <c r="A10104" s="8" t="s">
        <v>125</v>
      </c>
      <c r="B10104" s="8" t="s">
        <v>163</v>
      </c>
      <c r="C10104" s="8" t="str">
        <f>IFERROR(_xlfn.XLOOKUP(TRIM(B10104),Lookup!$B$2:$B$1000,Lookup!$C$2:$C$1000),"")</f>
        <v>Equity</v>
      </c>
      <c r="D10104" s="8" t="str">
        <f>IFERROR(INDEX('nav master'!$C:$C, MATCH(B10104, 'nav master'!$B:$B, 0)), "")</f>
        <v>ULIF08602/03/26InSctrLdrFd101</v>
      </c>
      <c r="E10104" s="8" t="s">
        <v>4900</v>
      </c>
      <c r="F10104" s="8" t="s">
        <v>5002</v>
      </c>
    </row>
    <row r="10105" spans="1:6" ht="90" x14ac:dyDescent="0.25">
      <c r="A10105" s="8" t="s">
        <v>125</v>
      </c>
      <c r="B10105" s="8" t="s">
        <v>163</v>
      </c>
      <c r="C10105" s="8" t="str">
        <f>IFERROR(_xlfn.XLOOKUP(TRIM(B10105),Lookup!$B$2:$B$1000,Lookup!$C$2:$C$1000),"")</f>
        <v>Equity</v>
      </c>
      <c r="D10105" s="8" t="str">
        <f>IFERROR(INDEX('nav master'!$C:$C, MATCH(B10105, 'nav master'!$B:$B, 0)), "")</f>
        <v>ULIF08602/03/26InSctrLdrFd101</v>
      </c>
      <c r="E10105" s="8" t="s">
        <v>4902</v>
      </c>
      <c r="F10105" s="8" t="s">
        <v>5003</v>
      </c>
    </row>
    <row r="10106" spans="1:6" ht="90" x14ac:dyDescent="0.25">
      <c r="A10106" s="8" t="s">
        <v>125</v>
      </c>
      <c r="B10106" s="8" t="s">
        <v>163</v>
      </c>
      <c r="C10106" s="8" t="str">
        <f>IFERROR(_xlfn.XLOOKUP(TRIM(B10106),Lookup!$B$2:$B$1000,Lookup!$C$2:$C$1000),"")</f>
        <v>Equity</v>
      </c>
      <c r="D10106" s="8" t="str">
        <f>IFERROR(INDEX('nav master'!$C:$C, MATCH(B10106, 'nav master'!$B:$B, 0)), "")</f>
        <v>ULIF08602/03/26InSctrLdrFd101</v>
      </c>
      <c r="E10106" s="8" t="s">
        <v>4903</v>
      </c>
      <c r="F10106" s="8" t="s">
        <v>5004</v>
      </c>
    </row>
    <row r="10107" spans="1:6" ht="90" x14ac:dyDescent="0.25">
      <c r="A10107" s="8" t="s">
        <v>125</v>
      </c>
      <c r="B10107" s="8" t="s">
        <v>163</v>
      </c>
      <c r="C10107" s="8" t="str">
        <f>IFERROR(_xlfn.XLOOKUP(TRIM(B10107),Lookup!$B$2:$B$1000,Lookup!$C$2:$C$1000),"")</f>
        <v>Equity</v>
      </c>
      <c r="D10107" s="8" t="str">
        <f>IFERROR(INDEX('nav master'!$C:$C, MATCH(B10107, 'nav master'!$B:$B, 0)), "")</f>
        <v>ULIF08602/03/26InSctrLdrFd101</v>
      </c>
      <c r="E10107" s="8" t="s">
        <v>4905</v>
      </c>
      <c r="F10107" s="8" t="s">
        <v>5005</v>
      </c>
    </row>
    <row r="10108" spans="1:6" ht="60" x14ac:dyDescent="0.25">
      <c r="A10108" s="8" t="s">
        <v>125</v>
      </c>
      <c r="B10108" s="8" t="s">
        <v>148</v>
      </c>
      <c r="C10108" s="8" t="str">
        <f>IFERROR(_xlfn.XLOOKUP(TRIM(B10108),Lookup!$B$2:$B$1000,Lookup!$C$2:$C$1000),"")</f>
        <v>Equity</v>
      </c>
      <c r="D10108" s="8" t="str">
        <f>IFERROR(INDEX('nav master'!$C:$C, MATCH(B10108, 'nav master'!$B:$B, 0)), "")</f>
        <v>ULIF07114/07/23FlexiCapFd101</v>
      </c>
      <c r="E10108" s="8" t="s">
        <v>189</v>
      </c>
      <c r="F10108" s="8" t="s">
        <v>3686</v>
      </c>
    </row>
    <row r="10109" spans="1:6" ht="60" x14ac:dyDescent="0.25">
      <c r="A10109" s="8" t="s">
        <v>125</v>
      </c>
      <c r="B10109" s="8" t="s">
        <v>148</v>
      </c>
      <c r="C10109" s="8" t="str">
        <f>IFERROR(_xlfn.XLOOKUP(TRIM(B10109),Lookup!$B$2:$B$1000,Lookup!$C$2:$C$1000),"")</f>
        <v>Equity</v>
      </c>
      <c r="D10109" s="8" t="str">
        <f>IFERROR(INDEX('nav master'!$C:$C, MATCH(B10109, 'nav master'!$B:$B, 0)), "")</f>
        <v>ULIF07114/07/23FlexiCapFd101</v>
      </c>
      <c r="E10109" s="8" t="s">
        <v>191</v>
      </c>
      <c r="F10109" s="8" t="s">
        <v>2326</v>
      </c>
    </row>
    <row r="10110" spans="1:6" ht="60" x14ac:dyDescent="0.25">
      <c r="A10110" s="8" t="s">
        <v>125</v>
      </c>
      <c r="B10110" s="8" t="s">
        <v>148</v>
      </c>
      <c r="C10110" s="8" t="str">
        <f>IFERROR(_xlfn.XLOOKUP(TRIM(B10110),Lookup!$B$2:$B$1000,Lookup!$C$2:$C$1000),"")</f>
        <v>Equity</v>
      </c>
      <c r="D10110" s="8" t="str">
        <f>IFERROR(INDEX('nav master'!$C:$C, MATCH(B10110, 'nav master'!$B:$B, 0)), "")</f>
        <v>ULIF07114/07/23FlexiCapFd101</v>
      </c>
      <c r="E10110" s="8" t="s">
        <v>193</v>
      </c>
      <c r="F10110" s="8" t="s">
        <v>3687</v>
      </c>
    </row>
    <row r="10111" spans="1:6" ht="60" x14ac:dyDescent="0.25">
      <c r="A10111" s="8" t="s">
        <v>125</v>
      </c>
      <c r="B10111" s="8" t="s">
        <v>148</v>
      </c>
      <c r="C10111" s="8" t="str">
        <f>IFERROR(_xlfn.XLOOKUP(TRIM(B10111),Lookup!$B$2:$B$1000,Lookup!$C$2:$C$1000),"")</f>
        <v>Equity</v>
      </c>
      <c r="D10111" s="8" t="str">
        <f>IFERROR(INDEX('nav master'!$C:$C, MATCH(B10111, 'nav master'!$B:$B, 0)), "")</f>
        <v>ULIF07114/07/23FlexiCapFd101</v>
      </c>
      <c r="E10111" s="8" t="s">
        <v>195</v>
      </c>
      <c r="F10111" s="8" t="s">
        <v>3688</v>
      </c>
    </row>
    <row r="10112" spans="1:6" ht="60" x14ac:dyDescent="0.25">
      <c r="A10112" s="8" t="s">
        <v>125</v>
      </c>
      <c r="B10112" s="8" t="s">
        <v>148</v>
      </c>
      <c r="C10112" s="8" t="str">
        <f>IFERROR(_xlfn.XLOOKUP(TRIM(B10112),Lookup!$B$2:$B$1000,Lookup!$C$2:$C$1000),"")</f>
        <v>Equity</v>
      </c>
      <c r="D10112" s="8" t="str">
        <f>IFERROR(INDEX('nav master'!$C:$C, MATCH(B10112, 'nav master'!$B:$B, 0)), "")</f>
        <v>ULIF07114/07/23FlexiCapFd101</v>
      </c>
      <c r="E10112" s="8" t="s">
        <v>197</v>
      </c>
      <c r="F10112" s="8" t="s">
        <v>3689</v>
      </c>
    </row>
    <row r="10113" spans="1:6" ht="60" x14ac:dyDescent="0.25">
      <c r="A10113" s="8" t="s">
        <v>125</v>
      </c>
      <c r="B10113" s="8" t="s">
        <v>148</v>
      </c>
      <c r="C10113" s="8" t="str">
        <f>IFERROR(_xlfn.XLOOKUP(TRIM(B10113),Lookup!$B$2:$B$1000,Lookup!$C$2:$C$1000),"")</f>
        <v>Equity</v>
      </c>
      <c r="D10113" s="8" t="str">
        <f>IFERROR(INDEX('nav master'!$C:$C, MATCH(B10113, 'nav master'!$B:$B, 0)), "")</f>
        <v>ULIF07114/07/23FlexiCapFd101</v>
      </c>
      <c r="E10113" s="8" t="s">
        <v>199</v>
      </c>
      <c r="F10113" s="8" t="s">
        <v>3690</v>
      </c>
    </row>
    <row r="10114" spans="1:6" ht="60" x14ac:dyDescent="0.25">
      <c r="A10114" s="8" t="s">
        <v>125</v>
      </c>
      <c r="B10114" s="8" t="s">
        <v>148</v>
      </c>
      <c r="C10114" s="8" t="str">
        <f>IFERROR(_xlfn.XLOOKUP(TRIM(B10114),Lookup!$B$2:$B$1000,Lookup!$C$2:$C$1000),"")</f>
        <v>Equity</v>
      </c>
      <c r="D10114" s="8" t="str">
        <f>IFERROR(INDEX('nav master'!$C:$C, MATCH(B10114, 'nav master'!$B:$B, 0)), "")</f>
        <v>ULIF07114/07/23FlexiCapFd101</v>
      </c>
      <c r="E10114" s="8" t="s">
        <v>201</v>
      </c>
      <c r="F10114" s="8" t="s">
        <v>3691</v>
      </c>
    </row>
    <row r="10115" spans="1:6" ht="60" x14ac:dyDescent="0.25">
      <c r="A10115" s="8" t="s">
        <v>125</v>
      </c>
      <c r="B10115" s="8" t="s">
        <v>148</v>
      </c>
      <c r="C10115" s="8" t="str">
        <f>IFERROR(_xlfn.XLOOKUP(TRIM(B10115),Lookup!$B$2:$B$1000,Lookup!$C$2:$C$1000),"")</f>
        <v>Equity</v>
      </c>
      <c r="D10115" s="8" t="str">
        <f>IFERROR(INDEX('nav master'!$C:$C, MATCH(B10115, 'nav master'!$B:$B, 0)), "")</f>
        <v>ULIF07114/07/23FlexiCapFd101</v>
      </c>
      <c r="E10115" s="8" t="s">
        <v>203</v>
      </c>
      <c r="F10115" s="8" t="s">
        <v>3692</v>
      </c>
    </row>
    <row r="10116" spans="1:6" ht="60" x14ac:dyDescent="0.25">
      <c r="A10116" s="8" t="s">
        <v>125</v>
      </c>
      <c r="B10116" s="8" t="s">
        <v>148</v>
      </c>
      <c r="C10116" s="8" t="str">
        <f>IFERROR(_xlfn.XLOOKUP(TRIM(B10116),Lookup!$B$2:$B$1000,Lookup!$C$2:$C$1000),"")</f>
        <v>Equity</v>
      </c>
      <c r="D10116" s="8" t="str">
        <f>IFERROR(INDEX('nav master'!$C:$C, MATCH(B10116, 'nav master'!$B:$B, 0)), "")</f>
        <v>ULIF07114/07/23FlexiCapFd101</v>
      </c>
      <c r="E10116" s="8" t="s">
        <v>205</v>
      </c>
      <c r="F10116" s="8" t="s">
        <v>3693</v>
      </c>
    </row>
    <row r="10117" spans="1:6" ht="60" x14ac:dyDescent="0.25">
      <c r="A10117" s="8" t="s">
        <v>125</v>
      </c>
      <c r="B10117" s="8" t="s">
        <v>148</v>
      </c>
      <c r="C10117" s="8" t="str">
        <f>IFERROR(_xlfn.XLOOKUP(TRIM(B10117),Lookup!$B$2:$B$1000,Lookup!$C$2:$C$1000),"")</f>
        <v>Equity</v>
      </c>
      <c r="D10117" s="8" t="str">
        <f>IFERROR(INDEX('nav master'!$C:$C, MATCH(B10117, 'nav master'!$B:$B, 0)), "")</f>
        <v>ULIF07114/07/23FlexiCapFd101</v>
      </c>
      <c r="E10117" s="8" t="s">
        <v>207</v>
      </c>
      <c r="F10117" s="8" t="s">
        <v>3694</v>
      </c>
    </row>
    <row r="10118" spans="1:6" ht="60" x14ac:dyDescent="0.25">
      <c r="A10118" s="8" t="s">
        <v>125</v>
      </c>
      <c r="B10118" s="8" t="s">
        <v>148</v>
      </c>
      <c r="C10118" s="8" t="str">
        <f>IFERROR(_xlfn.XLOOKUP(TRIM(B10118),Lookup!$B$2:$B$1000,Lookup!$C$2:$C$1000),"")</f>
        <v>Equity</v>
      </c>
      <c r="D10118" s="8" t="str">
        <f>IFERROR(INDEX('nav master'!$C:$C, MATCH(B10118, 'nav master'!$B:$B, 0)), "")</f>
        <v>ULIF07114/07/23FlexiCapFd101</v>
      </c>
      <c r="E10118" s="8" t="s">
        <v>209</v>
      </c>
      <c r="F10118" s="8" t="s">
        <v>3695</v>
      </c>
    </row>
    <row r="10119" spans="1:6" ht="60" x14ac:dyDescent="0.25">
      <c r="A10119" s="8" t="s">
        <v>125</v>
      </c>
      <c r="B10119" s="8" t="s">
        <v>148</v>
      </c>
      <c r="C10119" s="8" t="str">
        <f>IFERROR(_xlfn.XLOOKUP(TRIM(B10119),Lookup!$B$2:$B$1000,Lookup!$C$2:$C$1000),"")</f>
        <v>Equity</v>
      </c>
      <c r="D10119" s="8" t="str">
        <f>IFERROR(INDEX('nav master'!$C:$C, MATCH(B10119, 'nav master'!$B:$B, 0)), "")</f>
        <v>ULIF07114/07/23FlexiCapFd101</v>
      </c>
      <c r="E10119" s="8" t="s">
        <v>211</v>
      </c>
      <c r="F10119" s="8" t="s">
        <v>3696</v>
      </c>
    </row>
    <row r="10120" spans="1:6" ht="60" x14ac:dyDescent="0.25">
      <c r="A10120" s="8" t="s">
        <v>125</v>
      </c>
      <c r="B10120" s="8" t="s">
        <v>148</v>
      </c>
      <c r="C10120" s="8" t="str">
        <f>IFERROR(_xlfn.XLOOKUP(TRIM(B10120),Lookup!$B$2:$B$1000,Lookup!$C$2:$C$1000),"")</f>
        <v>Equity</v>
      </c>
      <c r="D10120" s="8" t="str">
        <f>IFERROR(INDEX('nav master'!$C:$C, MATCH(B10120, 'nav master'!$B:$B, 0)), "")</f>
        <v>ULIF07114/07/23FlexiCapFd101</v>
      </c>
      <c r="E10120" s="8" t="s">
        <v>213</v>
      </c>
      <c r="F10120" s="8" t="s">
        <v>3697</v>
      </c>
    </row>
    <row r="10121" spans="1:6" ht="60" x14ac:dyDescent="0.25">
      <c r="A10121" s="8" t="s">
        <v>125</v>
      </c>
      <c r="B10121" s="8" t="s">
        <v>148</v>
      </c>
      <c r="C10121" s="8" t="str">
        <f>IFERROR(_xlfn.XLOOKUP(TRIM(B10121),Lookup!$B$2:$B$1000,Lookup!$C$2:$C$1000),"")</f>
        <v>Equity</v>
      </c>
      <c r="D10121" s="8" t="str">
        <f>IFERROR(INDEX('nav master'!$C:$C, MATCH(B10121, 'nav master'!$B:$B, 0)), "")</f>
        <v>ULIF07114/07/23FlexiCapFd101</v>
      </c>
      <c r="E10121" s="8" t="s">
        <v>215</v>
      </c>
      <c r="F10121" s="8" t="s">
        <v>3698</v>
      </c>
    </row>
    <row r="10122" spans="1:6" ht="60" x14ac:dyDescent="0.25">
      <c r="A10122" s="8" t="s">
        <v>125</v>
      </c>
      <c r="B10122" s="8" t="s">
        <v>148</v>
      </c>
      <c r="C10122" s="8" t="str">
        <f>IFERROR(_xlfn.XLOOKUP(TRIM(B10122),Lookup!$B$2:$B$1000,Lookup!$C$2:$C$1000),"")</f>
        <v>Equity</v>
      </c>
      <c r="D10122" s="8" t="str">
        <f>IFERROR(INDEX('nav master'!$C:$C, MATCH(B10122, 'nav master'!$B:$B, 0)), "")</f>
        <v>ULIF07114/07/23FlexiCapFd101</v>
      </c>
      <c r="E10122" s="8" t="s">
        <v>217</v>
      </c>
      <c r="F10122" s="8" t="s">
        <v>3699</v>
      </c>
    </row>
    <row r="10123" spans="1:6" ht="60" x14ac:dyDescent="0.25">
      <c r="A10123" s="8" t="s">
        <v>125</v>
      </c>
      <c r="B10123" s="8" t="s">
        <v>148</v>
      </c>
      <c r="C10123" s="8" t="str">
        <f>IFERROR(_xlfn.XLOOKUP(TRIM(B10123),Lookup!$B$2:$B$1000,Lookup!$C$2:$C$1000),"")</f>
        <v>Equity</v>
      </c>
      <c r="D10123" s="8" t="str">
        <f>IFERROR(INDEX('nav master'!$C:$C, MATCH(B10123, 'nav master'!$B:$B, 0)), "")</f>
        <v>ULIF07114/07/23FlexiCapFd101</v>
      </c>
      <c r="E10123" s="8" t="s">
        <v>219</v>
      </c>
      <c r="F10123" s="8" t="s">
        <v>3700</v>
      </c>
    </row>
    <row r="10124" spans="1:6" ht="60" x14ac:dyDescent="0.25">
      <c r="A10124" s="8" t="s">
        <v>125</v>
      </c>
      <c r="B10124" s="8" t="s">
        <v>148</v>
      </c>
      <c r="C10124" s="8" t="str">
        <f>IFERROR(_xlfn.XLOOKUP(TRIM(B10124),Lookup!$B$2:$B$1000,Lookup!$C$2:$C$1000),"")</f>
        <v>Equity</v>
      </c>
      <c r="D10124" s="8" t="str">
        <f>IFERROR(INDEX('nav master'!$C:$C, MATCH(B10124, 'nav master'!$B:$B, 0)), "")</f>
        <v>ULIF07114/07/23FlexiCapFd101</v>
      </c>
      <c r="E10124" s="8" t="s">
        <v>221</v>
      </c>
      <c r="F10124" s="8" t="s">
        <v>3701</v>
      </c>
    </row>
    <row r="10125" spans="1:6" ht="60" x14ac:dyDescent="0.25">
      <c r="A10125" s="8" t="s">
        <v>125</v>
      </c>
      <c r="B10125" s="8" t="s">
        <v>148</v>
      </c>
      <c r="C10125" s="8" t="str">
        <f>IFERROR(_xlfn.XLOOKUP(TRIM(B10125),Lookup!$B$2:$B$1000,Lookup!$C$2:$C$1000),"")</f>
        <v>Equity</v>
      </c>
      <c r="D10125" s="8" t="str">
        <f>IFERROR(INDEX('nav master'!$C:$C, MATCH(B10125, 'nav master'!$B:$B, 0)), "")</f>
        <v>ULIF07114/07/23FlexiCapFd101</v>
      </c>
      <c r="E10125" s="8" t="s">
        <v>223</v>
      </c>
      <c r="F10125" s="8" t="s">
        <v>3702</v>
      </c>
    </row>
    <row r="10126" spans="1:6" ht="60" x14ac:dyDescent="0.25">
      <c r="A10126" s="8" t="s">
        <v>125</v>
      </c>
      <c r="B10126" s="8" t="s">
        <v>148</v>
      </c>
      <c r="C10126" s="8" t="str">
        <f>IFERROR(_xlfn.XLOOKUP(TRIM(B10126),Lookup!$B$2:$B$1000,Lookup!$C$2:$C$1000),"")</f>
        <v>Equity</v>
      </c>
      <c r="D10126" s="8" t="str">
        <f>IFERROR(INDEX('nav master'!$C:$C, MATCH(B10126, 'nav master'!$B:$B, 0)), "")</f>
        <v>ULIF07114/07/23FlexiCapFd101</v>
      </c>
      <c r="E10126" s="8" t="s">
        <v>225</v>
      </c>
      <c r="F10126" s="8" t="s">
        <v>3703</v>
      </c>
    </row>
    <row r="10127" spans="1:6" ht="60" x14ac:dyDescent="0.25">
      <c r="A10127" s="8" t="s">
        <v>125</v>
      </c>
      <c r="B10127" s="8" t="s">
        <v>148</v>
      </c>
      <c r="C10127" s="8" t="str">
        <f>IFERROR(_xlfn.XLOOKUP(TRIM(B10127),Lookup!$B$2:$B$1000,Lookup!$C$2:$C$1000),"")</f>
        <v>Equity</v>
      </c>
      <c r="D10127" s="8" t="str">
        <f>IFERROR(INDEX('nav master'!$C:$C, MATCH(B10127, 'nav master'!$B:$B, 0)), "")</f>
        <v>ULIF07114/07/23FlexiCapFd101</v>
      </c>
      <c r="E10127" s="8" t="s">
        <v>227</v>
      </c>
      <c r="F10127" s="8" t="s">
        <v>3704</v>
      </c>
    </row>
    <row r="10128" spans="1:6" ht="60" x14ac:dyDescent="0.25">
      <c r="A10128" s="8" t="s">
        <v>125</v>
      </c>
      <c r="B10128" s="8" t="s">
        <v>148</v>
      </c>
      <c r="C10128" s="8" t="str">
        <f>IFERROR(_xlfn.XLOOKUP(TRIM(B10128),Lookup!$B$2:$B$1000,Lookup!$C$2:$C$1000),"")</f>
        <v>Equity</v>
      </c>
      <c r="D10128" s="8" t="str">
        <f>IFERROR(INDEX('nav master'!$C:$C, MATCH(B10128, 'nav master'!$B:$B, 0)), "")</f>
        <v>ULIF07114/07/23FlexiCapFd101</v>
      </c>
      <c r="E10128" s="8" t="s">
        <v>229</v>
      </c>
      <c r="F10128" s="8" t="s">
        <v>3705</v>
      </c>
    </row>
    <row r="10129" spans="1:6" ht="60" x14ac:dyDescent="0.25">
      <c r="A10129" s="8" t="s">
        <v>125</v>
      </c>
      <c r="B10129" s="8" t="s">
        <v>148</v>
      </c>
      <c r="C10129" s="8" t="str">
        <f>IFERROR(_xlfn.XLOOKUP(TRIM(B10129),Lookup!$B$2:$B$1000,Lookup!$C$2:$C$1000),"")</f>
        <v>Equity</v>
      </c>
      <c r="D10129" s="8" t="str">
        <f>IFERROR(INDEX('nav master'!$C:$C, MATCH(B10129, 'nav master'!$B:$B, 0)), "")</f>
        <v>ULIF07114/07/23FlexiCapFd101</v>
      </c>
      <c r="E10129" s="8" t="s">
        <v>231</v>
      </c>
      <c r="F10129" s="8" t="s">
        <v>3706</v>
      </c>
    </row>
    <row r="10130" spans="1:6" ht="60" x14ac:dyDescent="0.25">
      <c r="A10130" s="8" t="s">
        <v>125</v>
      </c>
      <c r="B10130" s="8" t="s">
        <v>148</v>
      </c>
      <c r="C10130" s="8" t="str">
        <f>IFERROR(_xlfn.XLOOKUP(TRIM(B10130),Lookup!$B$2:$B$1000,Lookup!$C$2:$C$1000),"")</f>
        <v>Equity</v>
      </c>
      <c r="D10130" s="8" t="str">
        <f>IFERROR(INDEX('nav master'!$C:$C, MATCH(B10130, 'nav master'!$B:$B, 0)), "")</f>
        <v>ULIF07114/07/23FlexiCapFd101</v>
      </c>
      <c r="E10130" s="8" t="s">
        <v>233</v>
      </c>
      <c r="F10130" s="8" t="s">
        <v>3707</v>
      </c>
    </row>
    <row r="10131" spans="1:6" ht="60" x14ac:dyDescent="0.25">
      <c r="A10131" s="8" t="s">
        <v>125</v>
      </c>
      <c r="B10131" s="8" t="s">
        <v>148</v>
      </c>
      <c r="C10131" s="8" t="str">
        <f>IFERROR(_xlfn.XLOOKUP(TRIM(B10131),Lookup!$B$2:$B$1000,Lookup!$C$2:$C$1000),"")</f>
        <v>Equity</v>
      </c>
      <c r="D10131" s="8" t="str">
        <f>IFERROR(INDEX('nav master'!$C:$C, MATCH(B10131, 'nav master'!$B:$B, 0)), "")</f>
        <v>ULIF07114/07/23FlexiCapFd101</v>
      </c>
      <c r="E10131" s="8" t="s">
        <v>235</v>
      </c>
      <c r="F10131" s="8" t="s">
        <v>3708</v>
      </c>
    </row>
    <row r="10132" spans="1:6" ht="60" x14ac:dyDescent="0.25">
      <c r="A10132" s="8" t="s">
        <v>125</v>
      </c>
      <c r="B10132" s="8" t="s">
        <v>148</v>
      </c>
      <c r="C10132" s="8" t="str">
        <f>IFERROR(_xlfn.XLOOKUP(TRIM(B10132),Lookup!$B$2:$B$1000,Lookup!$C$2:$C$1000),"")</f>
        <v>Equity</v>
      </c>
      <c r="D10132" s="8" t="str">
        <f>IFERROR(INDEX('nav master'!$C:$C, MATCH(B10132, 'nav master'!$B:$B, 0)), "")</f>
        <v>ULIF07114/07/23FlexiCapFd101</v>
      </c>
      <c r="E10132" s="8" t="s">
        <v>237</v>
      </c>
      <c r="F10132" s="8" t="s">
        <v>3709</v>
      </c>
    </row>
    <row r="10133" spans="1:6" ht="60" x14ac:dyDescent="0.25">
      <c r="A10133" s="8" t="s">
        <v>125</v>
      </c>
      <c r="B10133" s="8" t="s">
        <v>148</v>
      </c>
      <c r="C10133" s="8" t="str">
        <f>IFERROR(_xlfn.XLOOKUP(TRIM(B10133),Lookup!$B$2:$B$1000,Lookup!$C$2:$C$1000),"")</f>
        <v>Equity</v>
      </c>
      <c r="D10133" s="8" t="str">
        <f>IFERROR(INDEX('nav master'!$C:$C, MATCH(B10133, 'nav master'!$B:$B, 0)), "")</f>
        <v>ULIF07114/07/23FlexiCapFd101</v>
      </c>
      <c r="E10133" s="8" t="s">
        <v>239</v>
      </c>
      <c r="F10133" s="8" t="s">
        <v>3710</v>
      </c>
    </row>
    <row r="10134" spans="1:6" ht="60" x14ac:dyDescent="0.25">
      <c r="A10134" s="8" t="s">
        <v>125</v>
      </c>
      <c r="B10134" s="8" t="s">
        <v>148</v>
      </c>
      <c r="C10134" s="8" t="str">
        <f>IFERROR(_xlfn.XLOOKUP(TRIM(B10134),Lookup!$B$2:$B$1000,Lookup!$C$2:$C$1000),"")</f>
        <v>Equity</v>
      </c>
      <c r="D10134" s="8" t="str">
        <f>IFERROR(INDEX('nav master'!$C:$C, MATCH(B10134, 'nav master'!$B:$B, 0)), "")</f>
        <v>ULIF07114/07/23FlexiCapFd101</v>
      </c>
      <c r="E10134" s="8" t="s">
        <v>241</v>
      </c>
      <c r="F10134" s="8" t="s">
        <v>3711</v>
      </c>
    </row>
    <row r="10135" spans="1:6" ht="60" x14ac:dyDescent="0.25">
      <c r="A10135" s="8" t="s">
        <v>125</v>
      </c>
      <c r="B10135" s="8" t="s">
        <v>148</v>
      </c>
      <c r="C10135" s="8" t="str">
        <f>IFERROR(_xlfn.XLOOKUP(TRIM(B10135),Lookup!$B$2:$B$1000,Lookup!$C$2:$C$1000),"")</f>
        <v>Equity</v>
      </c>
      <c r="D10135" s="8" t="str">
        <f>IFERROR(INDEX('nav master'!$C:$C, MATCH(B10135, 'nav master'!$B:$B, 0)), "")</f>
        <v>ULIF07114/07/23FlexiCapFd101</v>
      </c>
      <c r="E10135" s="8" t="s">
        <v>243</v>
      </c>
      <c r="F10135" s="8" t="s">
        <v>3712</v>
      </c>
    </row>
    <row r="10136" spans="1:6" ht="60" x14ac:dyDescent="0.25">
      <c r="A10136" s="8" t="s">
        <v>125</v>
      </c>
      <c r="B10136" s="8" t="s">
        <v>148</v>
      </c>
      <c r="C10136" s="8" t="str">
        <f>IFERROR(_xlfn.XLOOKUP(TRIM(B10136),Lookup!$B$2:$B$1000,Lookup!$C$2:$C$1000),"")</f>
        <v>Equity</v>
      </c>
      <c r="D10136" s="8" t="str">
        <f>IFERROR(INDEX('nav master'!$C:$C, MATCH(B10136, 'nav master'!$B:$B, 0)), "")</f>
        <v>ULIF07114/07/23FlexiCapFd101</v>
      </c>
      <c r="E10136" s="8" t="s">
        <v>245</v>
      </c>
      <c r="F10136" s="8" t="s">
        <v>3713</v>
      </c>
    </row>
    <row r="10137" spans="1:6" ht="60" x14ac:dyDescent="0.25">
      <c r="A10137" s="8" t="s">
        <v>125</v>
      </c>
      <c r="B10137" s="8" t="s">
        <v>148</v>
      </c>
      <c r="C10137" s="8" t="str">
        <f>IFERROR(_xlfn.XLOOKUP(TRIM(B10137),Lookup!$B$2:$B$1000,Lookup!$C$2:$C$1000),"")</f>
        <v>Equity</v>
      </c>
      <c r="D10137" s="8" t="str">
        <f>IFERROR(INDEX('nav master'!$C:$C, MATCH(B10137, 'nav master'!$B:$B, 0)), "")</f>
        <v>ULIF07114/07/23FlexiCapFd101</v>
      </c>
      <c r="E10137" s="8" t="s">
        <v>247</v>
      </c>
      <c r="F10137" s="8" t="s">
        <v>3714</v>
      </c>
    </row>
    <row r="10138" spans="1:6" ht="60" x14ac:dyDescent="0.25">
      <c r="A10138" s="8" t="s">
        <v>125</v>
      </c>
      <c r="B10138" s="8" t="s">
        <v>148</v>
      </c>
      <c r="C10138" s="8" t="str">
        <f>IFERROR(_xlfn.XLOOKUP(TRIM(B10138),Lookup!$B$2:$B$1000,Lookup!$C$2:$C$1000),"")</f>
        <v>Equity</v>
      </c>
      <c r="D10138" s="8" t="str">
        <f>IFERROR(INDEX('nav master'!$C:$C, MATCH(B10138, 'nav master'!$B:$B, 0)), "")</f>
        <v>ULIF07114/07/23FlexiCapFd101</v>
      </c>
      <c r="E10138" s="8" t="s">
        <v>249</v>
      </c>
      <c r="F10138" s="8" t="s">
        <v>3715</v>
      </c>
    </row>
    <row r="10139" spans="1:6" ht="60" x14ac:dyDescent="0.25">
      <c r="A10139" s="8" t="s">
        <v>125</v>
      </c>
      <c r="B10139" s="8" t="s">
        <v>148</v>
      </c>
      <c r="C10139" s="8" t="str">
        <f>IFERROR(_xlfn.XLOOKUP(TRIM(B10139),Lookup!$B$2:$B$1000,Lookup!$C$2:$C$1000),"")</f>
        <v>Equity</v>
      </c>
      <c r="D10139" s="8" t="str">
        <f>IFERROR(INDEX('nav master'!$C:$C, MATCH(B10139, 'nav master'!$B:$B, 0)), "")</f>
        <v>ULIF07114/07/23FlexiCapFd101</v>
      </c>
      <c r="E10139" s="8" t="s">
        <v>251</v>
      </c>
      <c r="F10139" s="8" t="s">
        <v>3716</v>
      </c>
    </row>
    <row r="10140" spans="1:6" ht="60" x14ac:dyDescent="0.25">
      <c r="A10140" s="8" t="s">
        <v>125</v>
      </c>
      <c r="B10140" s="8" t="s">
        <v>148</v>
      </c>
      <c r="C10140" s="8" t="str">
        <f>IFERROR(_xlfn.XLOOKUP(TRIM(B10140),Lookup!$B$2:$B$1000,Lookup!$C$2:$C$1000),"")</f>
        <v>Equity</v>
      </c>
      <c r="D10140" s="8" t="str">
        <f>IFERROR(INDEX('nav master'!$C:$C, MATCH(B10140, 'nav master'!$B:$B, 0)), "")</f>
        <v>ULIF07114/07/23FlexiCapFd101</v>
      </c>
      <c r="E10140" s="8" t="s">
        <v>253</v>
      </c>
      <c r="F10140" s="8" t="s">
        <v>3717</v>
      </c>
    </row>
    <row r="10141" spans="1:6" ht="60" x14ac:dyDescent="0.25">
      <c r="A10141" s="8" t="s">
        <v>125</v>
      </c>
      <c r="B10141" s="8" t="s">
        <v>148</v>
      </c>
      <c r="C10141" s="8" t="str">
        <f>IFERROR(_xlfn.XLOOKUP(TRIM(B10141),Lookup!$B$2:$B$1000,Lookup!$C$2:$C$1000),"")</f>
        <v>Equity</v>
      </c>
      <c r="D10141" s="8" t="str">
        <f>IFERROR(INDEX('nav master'!$C:$C, MATCH(B10141, 'nav master'!$B:$B, 0)), "")</f>
        <v>ULIF07114/07/23FlexiCapFd101</v>
      </c>
      <c r="E10141" s="8" t="s">
        <v>255</v>
      </c>
      <c r="F10141" s="8" t="s">
        <v>3718</v>
      </c>
    </row>
    <row r="10142" spans="1:6" ht="60" x14ac:dyDescent="0.25">
      <c r="A10142" s="8" t="s">
        <v>125</v>
      </c>
      <c r="B10142" s="8" t="s">
        <v>148</v>
      </c>
      <c r="C10142" s="8" t="str">
        <f>IFERROR(_xlfn.XLOOKUP(TRIM(B10142),Lookup!$B$2:$B$1000,Lookup!$C$2:$C$1000),"")</f>
        <v>Equity</v>
      </c>
      <c r="D10142" s="8" t="str">
        <f>IFERROR(INDEX('nav master'!$C:$C, MATCH(B10142, 'nav master'!$B:$B, 0)), "")</f>
        <v>ULIF07114/07/23FlexiCapFd101</v>
      </c>
      <c r="E10142" s="8" t="s">
        <v>257</v>
      </c>
      <c r="F10142" s="8" t="s">
        <v>3719</v>
      </c>
    </row>
    <row r="10143" spans="1:6" ht="60" x14ac:dyDescent="0.25">
      <c r="A10143" s="8" t="s">
        <v>125</v>
      </c>
      <c r="B10143" s="8" t="s">
        <v>148</v>
      </c>
      <c r="C10143" s="8" t="str">
        <f>IFERROR(_xlfn.XLOOKUP(TRIM(B10143),Lookup!$B$2:$B$1000,Lookup!$C$2:$C$1000),"")</f>
        <v>Equity</v>
      </c>
      <c r="D10143" s="8" t="str">
        <f>IFERROR(INDEX('nav master'!$C:$C, MATCH(B10143, 'nav master'!$B:$B, 0)), "")</f>
        <v>ULIF07114/07/23FlexiCapFd101</v>
      </c>
      <c r="E10143" s="8" t="s">
        <v>259</v>
      </c>
      <c r="F10143" s="8" t="s">
        <v>3720</v>
      </c>
    </row>
    <row r="10144" spans="1:6" ht="60" x14ac:dyDescent="0.25">
      <c r="A10144" s="8" t="s">
        <v>125</v>
      </c>
      <c r="B10144" s="8" t="s">
        <v>148</v>
      </c>
      <c r="C10144" s="8" t="str">
        <f>IFERROR(_xlfn.XLOOKUP(TRIM(B10144),Lookup!$B$2:$B$1000,Lookup!$C$2:$C$1000),"")</f>
        <v>Equity</v>
      </c>
      <c r="D10144" s="8" t="str">
        <f>IFERROR(INDEX('nav master'!$C:$C, MATCH(B10144, 'nav master'!$B:$B, 0)), "")</f>
        <v>ULIF07114/07/23FlexiCapFd101</v>
      </c>
      <c r="E10144" s="8" t="s">
        <v>261</v>
      </c>
      <c r="F10144" s="8" t="s">
        <v>3721</v>
      </c>
    </row>
    <row r="10145" spans="1:6" ht="60" x14ac:dyDescent="0.25">
      <c r="A10145" s="8" t="s">
        <v>125</v>
      </c>
      <c r="B10145" s="8" t="s">
        <v>148</v>
      </c>
      <c r="C10145" s="8" t="str">
        <f>IFERROR(_xlfn.XLOOKUP(TRIM(B10145),Lookup!$B$2:$B$1000,Lookup!$C$2:$C$1000),"")</f>
        <v>Equity</v>
      </c>
      <c r="D10145" s="8" t="str">
        <f>IFERROR(INDEX('nav master'!$C:$C, MATCH(B10145, 'nav master'!$B:$B, 0)), "")</f>
        <v>ULIF07114/07/23FlexiCapFd101</v>
      </c>
      <c r="E10145" s="8" t="s">
        <v>263</v>
      </c>
      <c r="F10145" s="8" t="s">
        <v>3722</v>
      </c>
    </row>
    <row r="10146" spans="1:6" ht="60" x14ac:dyDescent="0.25">
      <c r="A10146" s="8" t="s">
        <v>125</v>
      </c>
      <c r="B10146" s="8" t="s">
        <v>148</v>
      </c>
      <c r="C10146" s="8" t="str">
        <f>IFERROR(_xlfn.XLOOKUP(TRIM(B10146),Lookup!$B$2:$B$1000,Lookup!$C$2:$C$1000),"")</f>
        <v>Equity</v>
      </c>
      <c r="D10146" s="8" t="str">
        <f>IFERROR(INDEX('nav master'!$C:$C, MATCH(B10146, 'nav master'!$B:$B, 0)), "")</f>
        <v>ULIF07114/07/23FlexiCapFd101</v>
      </c>
      <c r="E10146" s="8" t="s">
        <v>265</v>
      </c>
      <c r="F10146" s="8" t="s">
        <v>3723</v>
      </c>
    </row>
    <row r="10147" spans="1:6" ht="60" x14ac:dyDescent="0.25">
      <c r="A10147" s="8" t="s">
        <v>125</v>
      </c>
      <c r="B10147" s="8" t="s">
        <v>148</v>
      </c>
      <c r="C10147" s="8" t="str">
        <f>IFERROR(_xlfn.XLOOKUP(TRIM(B10147),Lookup!$B$2:$B$1000,Lookup!$C$2:$C$1000),"")</f>
        <v>Equity</v>
      </c>
      <c r="D10147" s="8" t="str">
        <f>IFERROR(INDEX('nav master'!$C:$C, MATCH(B10147, 'nav master'!$B:$B, 0)), "")</f>
        <v>ULIF07114/07/23FlexiCapFd101</v>
      </c>
      <c r="E10147" s="8" t="s">
        <v>267</v>
      </c>
      <c r="F10147" s="8" t="s">
        <v>3724</v>
      </c>
    </row>
    <row r="10148" spans="1:6" ht="60" x14ac:dyDescent="0.25">
      <c r="A10148" s="8" t="s">
        <v>125</v>
      </c>
      <c r="B10148" s="8" t="s">
        <v>148</v>
      </c>
      <c r="C10148" s="8" t="str">
        <f>IFERROR(_xlfn.XLOOKUP(TRIM(B10148),Lookup!$B$2:$B$1000,Lookup!$C$2:$C$1000),"")</f>
        <v>Equity</v>
      </c>
      <c r="D10148" s="8" t="str">
        <f>IFERROR(INDEX('nav master'!$C:$C, MATCH(B10148, 'nav master'!$B:$B, 0)), "")</f>
        <v>ULIF07114/07/23FlexiCapFd101</v>
      </c>
      <c r="E10148" s="8" t="s">
        <v>269</v>
      </c>
      <c r="F10148" s="8" t="s">
        <v>3725</v>
      </c>
    </row>
    <row r="10149" spans="1:6" ht="60" x14ac:dyDescent="0.25">
      <c r="A10149" s="8" t="s">
        <v>125</v>
      </c>
      <c r="B10149" s="8" t="s">
        <v>148</v>
      </c>
      <c r="C10149" s="8" t="str">
        <f>IFERROR(_xlfn.XLOOKUP(TRIM(B10149),Lookup!$B$2:$B$1000,Lookup!$C$2:$C$1000),"")</f>
        <v>Equity</v>
      </c>
      <c r="D10149" s="8" t="str">
        <f>IFERROR(INDEX('nav master'!$C:$C, MATCH(B10149, 'nav master'!$B:$B, 0)), "")</f>
        <v>ULIF07114/07/23FlexiCapFd101</v>
      </c>
      <c r="E10149" s="8" t="s">
        <v>271</v>
      </c>
      <c r="F10149" s="8" t="s">
        <v>2545</v>
      </c>
    </row>
    <row r="10150" spans="1:6" ht="60" x14ac:dyDescent="0.25">
      <c r="A10150" s="8" t="s">
        <v>125</v>
      </c>
      <c r="B10150" s="8" t="s">
        <v>148</v>
      </c>
      <c r="C10150" s="8" t="str">
        <f>IFERROR(_xlfn.XLOOKUP(TRIM(B10150),Lookup!$B$2:$B$1000,Lookup!$C$2:$C$1000),"")</f>
        <v>Equity</v>
      </c>
      <c r="D10150" s="8" t="str">
        <f>IFERROR(INDEX('nav master'!$C:$C, MATCH(B10150, 'nav master'!$B:$B, 0)), "")</f>
        <v>ULIF07114/07/23FlexiCapFd101</v>
      </c>
      <c r="E10150" s="8" t="s">
        <v>273</v>
      </c>
      <c r="F10150" s="8" t="s">
        <v>3726</v>
      </c>
    </row>
    <row r="10151" spans="1:6" ht="60" x14ac:dyDescent="0.25">
      <c r="A10151" s="8" t="s">
        <v>125</v>
      </c>
      <c r="B10151" s="8" t="s">
        <v>148</v>
      </c>
      <c r="C10151" s="8" t="str">
        <f>IFERROR(_xlfn.XLOOKUP(TRIM(B10151),Lookup!$B$2:$B$1000,Lookup!$C$2:$C$1000),"")</f>
        <v>Equity</v>
      </c>
      <c r="D10151" s="8" t="str">
        <f>IFERROR(INDEX('nav master'!$C:$C, MATCH(B10151, 'nav master'!$B:$B, 0)), "")</f>
        <v>ULIF07114/07/23FlexiCapFd101</v>
      </c>
      <c r="E10151" s="8" t="s">
        <v>275</v>
      </c>
      <c r="F10151" s="8" t="s">
        <v>3727</v>
      </c>
    </row>
    <row r="10152" spans="1:6" ht="60" x14ac:dyDescent="0.25">
      <c r="A10152" s="8" t="s">
        <v>125</v>
      </c>
      <c r="B10152" s="8" t="s">
        <v>148</v>
      </c>
      <c r="C10152" s="8" t="str">
        <f>IFERROR(_xlfn.XLOOKUP(TRIM(B10152),Lookup!$B$2:$B$1000,Lookup!$C$2:$C$1000),"")</f>
        <v>Equity</v>
      </c>
      <c r="D10152" s="8" t="str">
        <f>IFERROR(INDEX('nav master'!$C:$C, MATCH(B10152, 'nav master'!$B:$B, 0)), "")</f>
        <v>ULIF07114/07/23FlexiCapFd101</v>
      </c>
      <c r="E10152" s="8" t="s">
        <v>277</v>
      </c>
      <c r="F10152" s="8" t="s">
        <v>3728</v>
      </c>
    </row>
    <row r="10153" spans="1:6" ht="60" x14ac:dyDescent="0.25">
      <c r="A10153" s="8" t="s">
        <v>125</v>
      </c>
      <c r="B10153" s="8" t="s">
        <v>148</v>
      </c>
      <c r="C10153" s="8" t="str">
        <f>IFERROR(_xlfn.XLOOKUP(TRIM(B10153),Lookup!$B$2:$B$1000,Lookup!$C$2:$C$1000),"")</f>
        <v>Equity</v>
      </c>
      <c r="D10153" s="8" t="str">
        <f>IFERROR(INDEX('nav master'!$C:$C, MATCH(B10153, 'nav master'!$B:$B, 0)), "")</f>
        <v>ULIF07114/07/23FlexiCapFd101</v>
      </c>
      <c r="E10153" s="8" t="s">
        <v>279</v>
      </c>
      <c r="F10153" s="8" t="s">
        <v>3729</v>
      </c>
    </row>
    <row r="10154" spans="1:6" ht="60" x14ac:dyDescent="0.25">
      <c r="A10154" s="8" t="s">
        <v>125</v>
      </c>
      <c r="B10154" s="8" t="s">
        <v>148</v>
      </c>
      <c r="C10154" s="8" t="str">
        <f>IFERROR(_xlfn.XLOOKUP(TRIM(B10154),Lookup!$B$2:$B$1000,Lookup!$C$2:$C$1000),"")</f>
        <v>Equity</v>
      </c>
      <c r="D10154" s="8" t="str">
        <f>IFERROR(INDEX('nav master'!$C:$C, MATCH(B10154, 'nav master'!$B:$B, 0)), "")</f>
        <v>ULIF07114/07/23FlexiCapFd101</v>
      </c>
      <c r="E10154" s="8" t="s">
        <v>281</v>
      </c>
      <c r="F10154" s="8" t="s">
        <v>3730</v>
      </c>
    </row>
    <row r="10155" spans="1:6" ht="60" x14ac:dyDescent="0.25">
      <c r="A10155" s="8" t="s">
        <v>125</v>
      </c>
      <c r="B10155" s="8" t="s">
        <v>148</v>
      </c>
      <c r="C10155" s="8" t="str">
        <f>IFERROR(_xlfn.XLOOKUP(TRIM(B10155),Lookup!$B$2:$B$1000,Lookup!$C$2:$C$1000),"")</f>
        <v>Equity</v>
      </c>
      <c r="D10155" s="8" t="str">
        <f>IFERROR(INDEX('nav master'!$C:$C, MATCH(B10155, 'nav master'!$B:$B, 0)), "")</f>
        <v>ULIF07114/07/23FlexiCapFd101</v>
      </c>
      <c r="E10155" s="8" t="s">
        <v>283</v>
      </c>
      <c r="F10155" s="8" t="s">
        <v>3731</v>
      </c>
    </row>
    <row r="10156" spans="1:6" ht="60" x14ac:dyDescent="0.25">
      <c r="A10156" s="8" t="s">
        <v>125</v>
      </c>
      <c r="B10156" s="8" t="s">
        <v>148</v>
      </c>
      <c r="C10156" s="8" t="str">
        <f>IFERROR(_xlfn.XLOOKUP(TRIM(B10156),Lookup!$B$2:$B$1000,Lookup!$C$2:$C$1000),"")</f>
        <v>Equity</v>
      </c>
      <c r="D10156" s="8" t="str">
        <f>IFERROR(INDEX('nav master'!$C:$C, MATCH(B10156, 'nav master'!$B:$B, 0)), "")</f>
        <v>ULIF07114/07/23FlexiCapFd101</v>
      </c>
      <c r="E10156" s="8" t="s">
        <v>285</v>
      </c>
      <c r="F10156" s="8" t="s">
        <v>3732</v>
      </c>
    </row>
    <row r="10157" spans="1:6" ht="60" x14ac:dyDescent="0.25">
      <c r="A10157" s="8" t="s">
        <v>125</v>
      </c>
      <c r="B10157" s="8" t="s">
        <v>148</v>
      </c>
      <c r="C10157" s="8" t="str">
        <f>IFERROR(_xlfn.XLOOKUP(TRIM(B10157),Lookup!$B$2:$B$1000,Lookup!$C$2:$C$1000),"")</f>
        <v>Equity</v>
      </c>
      <c r="D10157" s="8" t="str">
        <f>IFERROR(INDEX('nav master'!$C:$C, MATCH(B10157, 'nav master'!$B:$B, 0)), "")</f>
        <v>ULIF07114/07/23FlexiCapFd101</v>
      </c>
      <c r="E10157" s="8" t="s">
        <v>287</v>
      </c>
      <c r="F10157" s="8" t="s">
        <v>3733</v>
      </c>
    </row>
    <row r="10158" spans="1:6" ht="60" x14ac:dyDescent="0.25">
      <c r="A10158" s="8" t="s">
        <v>125</v>
      </c>
      <c r="B10158" s="8" t="s">
        <v>148</v>
      </c>
      <c r="C10158" s="8" t="str">
        <f>IFERROR(_xlfn.XLOOKUP(TRIM(B10158),Lookup!$B$2:$B$1000,Lookup!$C$2:$C$1000),"")</f>
        <v>Equity</v>
      </c>
      <c r="D10158" s="8" t="str">
        <f>IFERROR(INDEX('nav master'!$C:$C, MATCH(B10158, 'nav master'!$B:$B, 0)), "")</f>
        <v>ULIF07114/07/23FlexiCapFd101</v>
      </c>
      <c r="E10158" s="8" t="s">
        <v>289</v>
      </c>
      <c r="F10158" s="8" t="s">
        <v>3734</v>
      </c>
    </row>
    <row r="10159" spans="1:6" ht="60" x14ac:dyDescent="0.25">
      <c r="A10159" s="8" t="s">
        <v>125</v>
      </c>
      <c r="B10159" s="8" t="s">
        <v>148</v>
      </c>
      <c r="C10159" s="8" t="str">
        <f>IFERROR(_xlfn.XLOOKUP(TRIM(B10159),Lookup!$B$2:$B$1000,Lookup!$C$2:$C$1000),"")</f>
        <v>Equity</v>
      </c>
      <c r="D10159" s="8" t="str">
        <f>IFERROR(INDEX('nav master'!$C:$C, MATCH(B10159, 'nav master'!$B:$B, 0)), "")</f>
        <v>ULIF07114/07/23FlexiCapFd101</v>
      </c>
      <c r="E10159" s="8" t="s">
        <v>291</v>
      </c>
      <c r="F10159" s="8" t="s">
        <v>3735</v>
      </c>
    </row>
    <row r="10160" spans="1:6" ht="60" x14ac:dyDescent="0.25">
      <c r="A10160" s="8" t="s">
        <v>125</v>
      </c>
      <c r="B10160" s="8" t="s">
        <v>148</v>
      </c>
      <c r="C10160" s="8" t="str">
        <f>IFERROR(_xlfn.XLOOKUP(TRIM(B10160),Lookup!$B$2:$B$1000,Lookup!$C$2:$C$1000),"")</f>
        <v>Equity</v>
      </c>
      <c r="D10160" s="8" t="str">
        <f>IFERROR(INDEX('nav master'!$C:$C, MATCH(B10160, 'nav master'!$B:$B, 0)), "")</f>
        <v>ULIF07114/07/23FlexiCapFd101</v>
      </c>
      <c r="E10160" s="8" t="s">
        <v>293</v>
      </c>
      <c r="F10160" s="8" t="s">
        <v>3736</v>
      </c>
    </row>
    <row r="10161" spans="1:6" ht="60" x14ac:dyDescent="0.25">
      <c r="A10161" s="8" t="s">
        <v>125</v>
      </c>
      <c r="B10161" s="8" t="s">
        <v>148</v>
      </c>
      <c r="C10161" s="8" t="str">
        <f>IFERROR(_xlfn.XLOOKUP(TRIM(B10161),Lookup!$B$2:$B$1000,Lookup!$C$2:$C$1000),"")</f>
        <v>Equity</v>
      </c>
      <c r="D10161" s="8" t="str">
        <f>IFERROR(INDEX('nav master'!$C:$C, MATCH(B10161, 'nav master'!$B:$B, 0)), "")</f>
        <v>ULIF07114/07/23FlexiCapFd101</v>
      </c>
      <c r="E10161" s="8" t="s">
        <v>295</v>
      </c>
      <c r="F10161" s="8" t="s">
        <v>3737</v>
      </c>
    </row>
    <row r="10162" spans="1:6" ht="60" x14ac:dyDescent="0.25">
      <c r="A10162" s="8" t="s">
        <v>125</v>
      </c>
      <c r="B10162" s="8" t="s">
        <v>148</v>
      </c>
      <c r="C10162" s="8" t="str">
        <f>IFERROR(_xlfn.XLOOKUP(TRIM(B10162),Lookup!$B$2:$B$1000,Lookup!$C$2:$C$1000),"")</f>
        <v>Equity</v>
      </c>
      <c r="D10162" s="8" t="str">
        <f>IFERROR(INDEX('nav master'!$C:$C, MATCH(B10162, 'nav master'!$B:$B, 0)), "")</f>
        <v>ULIF07114/07/23FlexiCapFd101</v>
      </c>
      <c r="E10162" s="8" t="s">
        <v>297</v>
      </c>
      <c r="F10162" s="8" t="s">
        <v>3738</v>
      </c>
    </row>
    <row r="10163" spans="1:6" ht="60" x14ac:dyDescent="0.25">
      <c r="A10163" s="8" t="s">
        <v>125</v>
      </c>
      <c r="B10163" s="8" t="s">
        <v>148</v>
      </c>
      <c r="C10163" s="8" t="str">
        <f>IFERROR(_xlfn.XLOOKUP(TRIM(B10163),Lookup!$B$2:$B$1000,Lookup!$C$2:$C$1000),"")</f>
        <v>Equity</v>
      </c>
      <c r="D10163" s="8" t="str">
        <f>IFERROR(INDEX('nav master'!$C:$C, MATCH(B10163, 'nav master'!$B:$B, 0)), "")</f>
        <v>ULIF07114/07/23FlexiCapFd101</v>
      </c>
      <c r="E10163" s="8" t="s">
        <v>299</v>
      </c>
      <c r="F10163" s="8" t="s">
        <v>3739</v>
      </c>
    </row>
    <row r="10164" spans="1:6" ht="60" x14ac:dyDescent="0.25">
      <c r="A10164" s="8" t="s">
        <v>125</v>
      </c>
      <c r="B10164" s="8" t="s">
        <v>148</v>
      </c>
      <c r="C10164" s="8" t="str">
        <f>IFERROR(_xlfn.XLOOKUP(TRIM(B10164),Lookup!$B$2:$B$1000,Lookup!$C$2:$C$1000),"")</f>
        <v>Equity</v>
      </c>
      <c r="D10164" s="8" t="str">
        <f>IFERROR(INDEX('nav master'!$C:$C, MATCH(B10164, 'nav master'!$B:$B, 0)), "")</f>
        <v>ULIF07114/07/23FlexiCapFd101</v>
      </c>
      <c r="E10164" s="8" t="s">
        <v>301</v>
      </c>
      <c r="F10164" s="8" t="s">
        <v>3740</v>
      </c>
    </row>
    <row r="10165" spans="1:6" ht="60" x14ac:dyDescent="0.25">
      <c r="A10165" s="8" t="s">
        <v>125</v>
      </c>
      <c r="B10165" s="8" t="s">
        <v>148</v>
      </c>
      <c r="C10165" s="8" t="str">
        <f>IFERROR(_xlfn.XLOOKUP(TRIM(B10165),Lookup!$B$2:$B$1000,Lookup!$C$2:$C$1000),"")</f>
        <v>Equity</v>
      </c>
      <c r="D10165" s="8" t="str">
        <f>IFERROR(INDEX('nav master'!$C:$C, MATCH(B10165, 'nav master'!$B:$B, 0)), "")</f>
        <v>ULIF07114/07/23FlexiCapFd101</v>
      </c>
      <c r="E10165" s="8" t="s">
        <v>303</v>
      </c>
      <c r="F10165" s="8" t="s">
        <v>3741</v>
      </c>
    </row>
    <row r="10166" spans="1:6" ht="60" x14ac:dyDescent="0.25">
      <c r="A10166" s="8" t="s">
        <v>125</v>
      </c>
      <c r="B10166" s="8" t="s">
        <v>148</v>
      </c>
      <c r="C10166" s="8" t="str">
        <f>IFERROR(_xlfn.XLOOKUP(TRIM(B10166),Lookup!$B$2:$B$1000,Lookup!$C$2:$C$1000),"")</f>
        <v>Equity</v>
      </c>
      <c r="D10166" s="8" t="str">
        <f>IFERROR(INDEX('nav master'!$C:$C, MATCH(B10166, 'nav master'!$B:$B, 0)), "")</f>
        <v>ULIF07114/07/23FlexiCapFd101</v>
      </c>
      <c r="E10166" s="8" t="s">
        <v>305</v>
      </c>
      <c r="F10166" s="8" t="s">
        <v>3742</v>
      </c>
    </row>
    <row r="10167" spans="1:6" ht="60" x14ac:dyDescent="0.25">
      <c r="A10167" s="8" t="s">
        <v>125</v>
      </c>
      <c r="B10167" s="8" t="s">
        <v>148</v>
      </c>
      <c r="C10167" s="8" t="str">
        <f>IFERROR(_xlfn.XLOOKUP(TRIM(B10167),Lookup!$B$2:$B$1000,Lookup!$C$2:$C$1000),"")</f>
        <v>Equity</v>
      </c>
      <c r="D10167" s="8" t="str">
        <f>IFERROR(INDEX('nav master'!$C:$C, MATCH(B10167, 'nav master'!$B:$B, 0)), "")</f>
        <v>ULIF07114/07/23FlexiCapFd101</v>
      </c>
      <c r="E10167" s="8" t="s">
        <v>307</v>
      </c>
      <c r="F10167" s="8" t="s">
        <v>3743</v>
      </c>
    </row>
    <row r="10168" spans="1:6" ht="60" x14ac:dyDescent="0.25">
      <c r="A10168" s="8" t="s">
        <v>125</v>
      </c>
      <c r="B10168" s="8" t="s">
        <v>148</v>
      </c>
      <c r="C10168" s="8" t="str">
        <f>IFERROR(_xlfn.XLOOKUP(TRIM(B10168),Lookup!$B$2:$B$1000,Lookup!$C$2:$C$1000),"")</f>
        <v>Equity</v>
      </c>
      <c r="D10168" s="8" t="str">
        <f>IFERROR(INDEX('nav master'!$C:$C, MATCH(B10168, 'nav master'!$B:$B, 0)), "")</f>
        <v>ULIF07114/07/23FlexiCapFd101</v>
      </c>
      <c r="E10168" s="8" t="s">
        <v>309</v>
      </c>
      <c r="F10168" s="8" t="s">
        <v>3744</v>
      </c>
    </row>
    <row r="10169" spans="1:6" ht="60" x14ac:dyDescent="0.25">
      <c r="A10169" s="8" t="s">
        <v>125</v>
      </c>
      <c r="B10169" s="8" t="s">
        <v>148</v>
      </c>
      <c r="C10169" s="8" t="str">
        <f>IFERROR(_xlfn.XLOOKUP(TRIM(B10169),Lookup!$B$2:$B$1000,Lookup!$C$2:$C$1000),"")</f>
        <v>Equity</v>
      </c>
      <c r="D10169" s="8" t="str">
        <f>IFERROR(INDEX('nav master'!$C:$C, MATCH(B10169, 'nav master'!$B:$B, 0)), "")</f>
        <v>ULIF07114/07/23FlexiCapFd101</v>
      </c>
      <c r="E10169" s="8" t="s">
        <v>311</v>
      </c>
      <c r="F10169" s="8" t="s">
        <v>3745</v>
      </c>
    </row>
    <row r="10170" spans="1:6" ht="60" x14ac:dyDescent="0.25">
      <c r="A10170" s="8" t="s">
        <v>125</v>
      </c>
      <c r="B10170" s="8" t="s">
        <v>148</v>
      </c>
      <c r="C10170" s="8" t="str">
        <f>IFERROR(_xlfn.XLOOKUP(TRIM(B10170),Lookup!$B$2:$B$1000,Lookup!$C$2:$C$1000),"")</f>
        <v>Equity</v>
      </c>
      <c r="D10170" s="8" t="str">
        <f>IFERROR(INDEX('nav master'!$C:$C, MATCH(B10170, 'nav master'!$B:$B, 0)), "")</f>
        <v>ULIF07114/07/23FlexiCapFd101</v>
      </c>
      <c r="E10170" s="8" t="s">
        <v>313</v>
      </c>
      <c r="F10170" s="8" t="s">
        <v>3746</v>
      </c>
    </row>
    <row r="10171" spans="1:6" ht="60" x14ac:dyDescent="0.25">
      <c r="A10171" s="8" t="s">
        <v>125</v>
      </c>
      <c r="B10171" s="8" t="s">
        <v>148</v>
      </c>
      <c r="C10171" s="8" t="str">
        <f>IFERROR(_xlfn.XLOOKUP(TRIM(B10171),Lookup!$B$2:$B$1000,Lookup!$C$2:$C$1000),"")</f>
        <v>Equity</v>
      </c>
      <c r="D10171" s="8" t="str">
        <f>IFERROR(INDEX('nav master'!$C:$C, MATCH(B10171, 'nav master'!$B:$B, 0)), "")</f>
        <v>ULIF07114/07/23FlexiCapFd101</v>
      </c>
      <c r="E10171" s="8" t="s">
        <v>315</v>
      </c>
      <c r="F10171" s="8" t="s">
        <v>3747</v>
      </c>
    </row>
    <row r="10172" spans="1:6" ht="60" x14ac:dyDescent="0.25">
      <c r="A10172" s="8" t="s">
        <v>125</v>
      </c>
      <c r="B10172" s="8" t="s">
        <v>148</v>
      </c>
      <c r="C10172" s="8" t="str">
        <f>IFERROR(_xlfn.XLOOKUP(TRIM(B10172),Lookup!$B$2:$B$1000,Lookup!$C$2:$C$1000),"")</f>
        <v>Equity</v>
      </c>
      <c r="D10172" s="8" t="str">
        <f>IFERROR(INDEX('nav master'!$C:$C, MATCH(B10172, 'nav master'!$B:$B, 0)), "")</f>
        <v>ULIF07114/07/23FlexiCapFd101</v>
      </c>
      <c r="E10172" s="8" t="s">
        <v>317</v>
      </c>
      <c r="F10172" s="8" t="s">
        <v>3748</v>
      </c>
    </row>
    <row r="10173" spans="1:6" ht="60" x14ac:dyDescent="0.25">
      <c r="A10173" s="8" t="s">
        <v>125</v>
      </c>
      <c r="B10173" s="8" t="s">
        <v>148</v>
      </c>
      <c r="C10173" s="8" t="str">
        <f>IFERROR(_xlfn.XLOOKUP(TRIM(B10173),Lookup!$B$2:$B$1000,Lookup!$C$2:$C$1000),"")</f>
        <v>Equity</v>
      </c>
      <c r="D10173" s="8" t="str">
        <f>IFERROR(INDEX('nav master'!$C:$C, MATCH(B10173, 'nav master'!$B:$B, 0)), "")</f>
        <v>ULIF07114/07/23FlexiCapFd101</v>
      </c>
      <c r="E10173" s="8" t="s">
        <v>319</v>
      </c>
      <c r="F10173" s="8" t="s">
        <v>3749</v>
      </c>
    </row>
    <row r="10174" spans="1:6" ht="60" x14ac:dyDescent="0.25">
      <c r="A10174" s="8" t="s">
        <v>125</v>
      </c>
      <c r="B10174" s="8" t="s">
        <v>148</v>
      </c>
      <c r="C10174" s="8" t="str">
        <f>IFERROR(_xlfn.XLOOKUP(TRIM(B10174),Lookup!$B$2:$B$1000,Lookup!$C$2:$C$1000),"")</f>
        <v>Equity</v>
      </c>
      <c r="D10174" s="8" t="str">
        <f>IFERROR(INDEX('nav master'!$C:$C, MATCH(B10174, 'nav master'!$B:$B, 0)), "")</f>
        <v>ULIF07114/07/23FlexiCapFd101</v>
      </c>
      <c r="E10174" s="8" t="s">
        <v>321</v>
      </c>
      <c r="F10174" s="8" t="s">
        <v>3750</v>
      </c>
    </row>
    <row r="10175" spans="1:6" ht="60" x14ac:dyDescent="0.25">
      <c r="A10175" s="8" t="s">
        <v>125</v>
      </c>
      <c r="B10175" s="8" t="s">
        <v>148</v>
      </c>
      <c r="C10175" s="8" t="str">
        <f>IFERROR(_xlfn.XLOOKUP(TRIM(B10175),Lookup!$B$2:$B$1000,Lookup!$C$2:$C$1000),"")</f>
        <v>Equity</v>
      </c>
      <c r="D10175" s="8" t="str">
        <f>IFERROR(INDEX('nav master'!$C:$C, MATCH(B10175, 'nav master'!$B:$B, 0)), "")</f>
        <v>ULIF07114/07/23FlexiCapFd101</v>
      </c>
      <c r="E10175" s="8" t="s">
        <v>323</v>
      </c>
      <c r="F10175" s="8" t="s">
        <v>3751</v>
      </c>
    </row>
    <row r="10176" spans="1:6" ht="60" x14ac:dyDescent="0.25">
      <c r="A10176" s="8" t="s">
        <v>125</v>
      </c>
      <c r="B10176" s="8" t="s">
        <v>148</v>
      </c>
      <c r="C10176" s="8" t="str">
        <f>IFERROR(_xlfn.XLOOKUP(TRIM(B10176),Lookup!$B$2:$B$1000,Lookup!$C$2:$C$1000),"")</f>
        <v>Equity</v>
      </c>
      <c r="D10176" s="8" t="str">
        <f>IFERROR(INDEX('nav master'!$C:$C, MATCH(B10176, 'nav master'!$B:$B, 0)), "")</f>
        <v>ULIF07114/07/23FlexiCapFd101</v>
      </c>
      <c r="E10176" s="8" t="s">
        <v>325</v>
      </c>
      <c r="F10176" s="8" t="s">
        <v>3752</v>
      </c>
    </row>
    <row r="10177" spans="1:6" ht="60" x14ac:dyDescent="0.25">
      <c r="A10177" s="8" t="s">
        <v>125</v>
      </c>
      <c r="B10177" s="8" t="s">
        <v>148</v>
      </c>
      <c r="C10177" s="8" t="str">
        <f>IFERROR(_xlfn.XLOOKUP(TRIM(B10177),Lookup!$B$2:$B$1000,Lookup!$C$2:$C$1000),"")</f>
        <v>Equity</v>
      </c>
      <c r="D10177" s="8" t="str">
        <f>IFERROR(INDEX('nav master'!$C:$C, MATCH(B10177, 'nav master'!$B:$B, 0)), "")</f>
        <v>ULIF07114/07/23FlexiCapFd101</v>
      </c>
      <c r="E10177" s="8" t="s">
        <v>327</v>
      </c>
      <c r="F10177" s="8" t="s">
        <v>3753</v>
      </c>
    </row>
    <row r="10178" spans="1:6" ht="60" x14ac:dyDescent="0.25">
      <c r="A10178" s="8" t="s">
        <v>125</v>
      </c>
      <c r="B10178" s="8" t="s">
        <v>148</v>
      </c>
      <c r="C10178" s="8" t="str">
        <f>IFERROR(_xlfn.XLOOKUP(TRIM(B10178),Lookup!$B$2:$B$1000,Lookup!$C$2:$C$1000),"")</f>
        <v>Equity</v>
      </c>
      <c r="D10178" s="8" t="str">
        <f>IFERROR(INDEX('nav master'!$C:$C, MATCH(B10178, 'nav master'!$B:$B, 0)), "")</f>
        <v>ULIF07114/07/23FlexiCapFd101</v>
      </c>
      <c r="E10178" s="8" t="s">
        <v>329</v>
      </c>
      <c r="F10178" s="8" t="s">
        <v>3754</v>
      </c>
    </row>
    <row r="10179" spans="1:6" ht="60" x14ac:dyDescent="0.25">
      <c r="A10179" s="8" t="s">
        <v>125</v>
      </c>
      <c r="B10179" s="8" t="s">
        <v>148</v>
      </c>
      <c r="C10179" s="8" t="str">
        <f>IFERROR(_xlfn.XLOOKUP(TRIM(B10179),Lookup!$B$2:$B$1000,Lookup!$C$2:$C$1000),"")</f>
        <v>Equity</v>
      </c>
      <c r="D10179" s="8" t="str">
        <f>IFERROR(INDEX('nav master'!$C:$C, MATCH(B10179, 'nav master'!$B:$B, 0)), "")</f>
        <v>ULIF07114/07/23FlexiCapFd101</v>
      </c>
      <c r="E10179" s="8" t="s">
        <v>331</v>
      </c>
      <c r="F10179" s="8" t="s">
        <v>3755</v>
      </c>
    </row>
    <row r="10180" spans="1:6" ht="60" x14ac:dyDescent="0.25">
      <c r="A10180" s="8" t="s">
        <v>125</v>
      </c>
      <c r="B10180" s="8" t="s">
        <v>148</v>
      </c>
      <c r="C10180" s="8" t="str">
        <f>IFERROR(_xlfn.XLOOKUP(TRIM(B10180),Lookup!$B$2:$B$1000,Lookup!$C$2:$C$1000),"")</f>
        <v>Equity</v>
      </c>
      <c r="D10180" s="8" t="str">
        <f>IFERROR(INDEX('nav master'!$C:$C, MATCH(B10180, 'nav master'!$B:$B, 0)), "")</f>
        <v>ULIF07114/07/23FlexiCapFd101</v>
      </c>
      <c r="E10180" s="8" t="s">
        <v>333</v>
      </c>
      <c r="F10180" s="8" t="s">
        <v>3756</v>
      </c>
    </row>
    <row r="10181" spans="1:6" ht="60" x14ac:dyDescent="0.25">
      <c r="A10181" s="8" t="s">
        <v>125</v>
      </c>
      <c r="B10181" s="8" t="s">
        <v>148</v>
      </c>
      <c r="C10181" s="8" t="str">
        <f>IFERROR(_xlfn.XLOOKUP(TRIM(B10181),Lookup!$B$2:$B$1000,Lookup!$C$2:$C$1000),"")</f>
        <v>Equity</v>
      </c>
      <c r="D10181" s="8" t="str">
        <f>IFERROR(INDEX('nav master'!$C:$C, MATCH(B10181, 'nav master'!$B:$B, 0)), "")</f>
        <v>ULIF07114/07/23FlexiCapFd101</v>
      </c>
      <c r="E10181" s="8" t="s">
        <v>335</v>
      </c>
      <c r="F10181" s="8" t="s">
        <v>3757</v>
      </c>
    </row>
    <row r="10182" spans="1:6" ht="60" x14ac:dyDescent="0.25">
      <c r="A10182" s="8" t="s">
        <v>125</v>
      </c>
      <c r="B10182" s="8" t="s">
        <v>148</v>
      </c>
      <c r="C10182" s="8" t="str">
        <f>IFERROR(_xlfn.XLOOKUP(TRIM(B10182),Lookup!$B$2:$B$1000,Lookup!$C$2:$C$1000),"")</f>
        <v>Equity</v>
      </c>
      <c r="D10182" s="8" t="str">
        <f>IFERROR(INDEX('nav master'!$C:$C, MATCH(B10182, 'nav master'!$B:$B, 0)), "")</f>
        <v>ULIF07114/07/23FlexiCapFd101</v>
      </c>
      <c r="E10182" s="8" t="s">
        <v>337</v>
      </c>
      <c r="F10182" s="8" t="s">
        <v>3758</v>
      </c>
    </row>
    <row r="10183" spans="1:6" ht="60" x14ac:dyDescent="0.25">
      <c r="A10183" s="8" t="s">
        <v>125</v>
      </c>
      <c r="B10183" s="8" t="s">
        <v>148</v>
      </c>
      <c r="C10183" s="8" t="str">
        <f>IFERROR(_xlfn.XLOOKUP(TRIM(B10183),Lookup!$B$2:$B$1000,Lookup!$C$2:$C$1000),"")</f>
        <v>Equity</v>
      </c>
      <c r="D10183" s="8" t="str">
        <f>IFERROR(INDEX('nav master'!$C:$C, MATCH(B10183, 'nav master'!$B:$B, 0)), "")</f>
        <v>ULIF07114/07/23FlexiCapFd101</v>
      </c>
      <c r="E10183" s="8" t="s">
        <v>339</v>
      </c>
      <c r="F10183" s="8" t="s">
        <v>3759</v>
      </c>
    </row>
    <row r="10184" spans="1:6" ht="60" x14ac:dyDescent="0.25">
      <c r="A10184" s="8" t="s">
        <v>125</v>
      </c>
      <c r="B10184" s="8" t="s">
        <v>148</v>
      </c>
      <c r="C10184" s="8" t="str">
        <f>IFERROR(_xlfn.XLOOKUP(TRIM(B10184),Lookup!$B$2:$B$1000,Lookup!$C$2:$C$1000),"")</f>
        <v>Equity</v>
      </c>
      <c r="D10184" s="8" t="str">
        <f>IFERROR(INDEX('nav master'!$C:$C, MATCH(B10184, 'nav master'!$B:$B, 0)), "")</f>
        <v>ULIF07114/07/23FlexiCapFd101</v>
      </c>
      <c r="E10184" s="8" t="s">
        <v>341</v>
      </c>
      <c r="F10184" s="8" t="s">
        <v>3760</v>
      </c>
    </row>
    <row r="10185" spans="1:6" ht="60" x14ac:dyDescent="0.25">
      <c r="A10185" s="8" t="s">
        <v>125</v>
      </c>
      <c r="B10185" s="8" t="s">
        <v>148</v>
      </c>
      <c r="C10185" s="8" t="str">
        <f>IFERROR(_xlfn.XLOOKUP(TRIM(B10185),Lookup!$B$2:$B$1000,Lookup!$C$2:$C$1000),"")</f>
        <v>Equity</v>
      </c>
      <c r="D10185" s="8" t="str">
        <f>IFERROR(INDEX('nav master'!$C:$C, MATCH(B10185, 'nav master'!$B:$B, 0)), "")</f>
        <v>ULIF07114/07/23FlexiCapFd101</v>
      </c>
      <c r="E10185" s="8" t="s">
        <v>343</v>
      </c>
      <c r="F10185" s="8" t="s">
        <v>3761</v>
      </c>
    </row>
    <row r="10186" spans="1:6" ht="60" x14ac:dyDescent="0.25">
      <c r="A10186" s="8" t="s">
        <v>125</v>
      </c>
      <c r="B10186" s="8" t="s">
        <v>148</v>
      </c>
      <c r="C10186" s="8" t="str">
        <f>IFERROR(_xlfn.XLOOKUP(TRIM(B10186),Lookup!$B$2:$B$1000,Lookup!$C$2:$C$1000),"")</f>
        <v>Equity</v>
      </c>
      <c r="D10186" s="8" t="str">
        <f>IFERROR(INDEX('nav master'!$C:$C, MATCH(B10186, 'nav master'!$B:$B, 0)), "")</f>
        <v>ULIF07114/07/23FlexiCapFd101</v>
      </c>
      <c r="E10186" s="8" t="s">
        <v>345</v>
      </c>
      <c r="F10186" s="8" t="s">
        <v>3762</v>
      </c>
    </row>
    <row r="10187" spans="1:6" ht="60" x14ac:dyDescent="0.25">
      <c r="A10187" s="8" t="s">
        <v>125</v>
      </c>
      <c r="B10187" s="8" t="s">
        <v>148</v>
      </c>
      <c r="C10187" s="8" t="str">
        <f>IFERROR(_xlfn.XLOOKUP(TRIM(B10187),Lookup!$B$2:$B$1000,Lookup!$C$2:$C$1000),"")</f>
        <v>Equity</v>
      </c>
      <c r="D10187" s="8" t="str">
        <f>IFERROR(INDEX('nav master'!$C:$C, MATCH(B10187, 'nav master'!$B:$B, 0)), "")</f>
        <v>ULIF07114/07/23FlexiCapFd101</v>
      </c>
      <c r="E10187" s="8" t="s">
        <v>347</v>
      </c>
      <c r="F10187" s="8" t="s">
        <v>3763</v>
      </c>
    </row>
    <row r="10188" spans="1:6" ht="60" x14ac:dyDescent="0.25">
      <c r="A10188" s="8" t="s">
        <v>125</v>
      </c>
      <c r="B10188" s="8" t="s">
        <v>148</v>
      </c>
      <c r="C10188" s="8" t="str">
        <f>IFERROR(_xlfn.XLOOKUP(TRIM(B10188),Lookup!$B$2:$B$1000,Lookup!$C$2:$C$1000),"")</f>
        <v>Equity</v>
      </c>
      <c r="D10188" s="8" t="str">
        <f>IFERROR(INDEX('nav master'!$C:$C, MATCH(B10188, 'nav master'!$B:$B, 0)), "")</f>
        <v>ULIF07114/07/23FlexiCapFd101</v>
      </c>
      <c r="E10188" s="8" t="s">
        <v>349</v>
      </c>
      <c r="F10188" s="8" t="s">
        <v>3764</v>
      </c>
    </row>
    <row r="10189" spans="1:6" ht="60" x14ac:dyDescent="0.25">
      <c r="A10189" s="8" t="s">
        <v>125</v>
      </c>
      <c r="B10189" s="8" t="s">
        <v>148</v>
      </c>
      <c r="C10189" s="8" t="str">
        <f>IFERROR(_xlfn.XLOOKUP(TRIM(B10189),Lookup!$B$2:$B$1000,Lookup!$C$2:$C$1000),"")</f>
        <v>Equity</v>
      </c>
      <c r="D10189" s="8" t="str">
        <f>IFERROR(INDEX('nav master'!$C:$C, MATCH(B10189, 'nav master'!$B:$B, 0)), "")</f>
        <v>ULIF07114/07/23FlexiCapFd101</v>
      </c>
      <c r="E10189" s="8" t="s">
        <v>351</v>
      </c>
      <c r="F10189" s="8" t="s">
        <v>3765</v>
      </c>
    </row>
    <row r="10190" spans="1:6" ht="60" x14ac:dyDescent="0.25">
      <c r="A10190" s="8" t="s">
        <v>125</v>
      </c>
      <c r="B10190" s="8" t="s">
        <v>148</v>
      </c>
      <c r="C10190" s="8" t="str">
        <f>IFERROR(_xlfn.XLOOKUP(TRIM(B10190),Lookup!$B$2:$B$1000,Lookup!$C$2:$C$1000),"")</f>
        <v>Equity</v>
      </c>
      <c r="D10190" s="8" t="str">
        <f>IFERROR(INDEX('nav master'!$C:$C, MATCH(B10190, 'nav master'!$B:$B, 0)), "")</f>
        <v>ULIF07114/07/23FlexiCapFd101</v>
      </c>
      <c r="E10190" s="8" t="s">
        <v>353</v>
      </c>
      <c r="F10190" s="8" t="s">
        <v>3766</v>
      </c>
    </row>
    <row r="10191" spans="1:6" ht="60" x14ac:dyDescent="0.25">
      <c r="A10191" s="8" t="s">
        <v>125</v>
      </c>
      <c r="B10191" s="8" t="s">
        <v>148</v>
      </c>
      <c r="C10191" s="8" t="str">
        <f>IFERROR(_xlfn.XLOOKUP(TRIM(B10191),Lookup!$B$2:$B$1000,Lookup!$C$2:$C$1000),"")</f>
        <v>Equity</v>
      </c>
      <c r="D10191" s="8" t="str">
        <f>IFERROR(INDEX('nav master'!$C:$C, MATCH(B10191, 'nav master'!$B:$B, 0)), "")</f>
        <v>ULIF07114/07/23FlexiCapFd101</v>
      </c>
      <c r="E10191" s="8" t="s">
        <v>355</v>
      </c>
      <c r="F10191" s="8" t="s">
        <v>3767</v>
      </c>
    </row>
    <row r="10192" spans="1:6" ht="60" x14ac:dyDescent="0.25">
      <c r="A10192" s="8" t="s">
        <v>125</v>
      </c>
      <c r="B10192" s="8" t="s">
        <v>148</v>
      </c>
      <c r="C10192" s="8" t="str">
        <f>IFERROR(_xlfn.XLOOKUP(TRIM(B10192),Lookup!$B$2:$B$1000,Lookup!$C$2:$C$1000),"")</f>
        <v>Equity</v>
      </c>
      <c r="D10192" s="8" t="str">
        <f>IFERROR(INDEX('nav master'!$C:$C, MATCH(B10192, 'nav master'!$B:$B, 0)), "")</f>
        <v>ULIF07114/07/23FlexiCapFd101</v>
      </c>
      <c r="E10192" s="8" t="s">
        <v>357</v>
      </c>
      <c r="F10192" s="8" t="s">
        <v>3768</v>
      </c>
    </row>
    <row r="10193" spans="1:6" ht="60" x14ac:dyDescent="0.25">
      <c r="A10193" s="8" t="s">
        <v>125</v>
      </c>
      <c r="B10193" s="8" t="s">
        <v>148</v>
      </c>
      <c r="C10193" s="8" t="str">
        <f>IFERROR(_xlfn.XLOOKUP(TRIM(B10193),Lookup!$B$2:$B$1000,Lookup!$C$2:$C$1000),"")</f>
        <v>Equity</v>
      </c>
      <c r="D10193" s="8" t="str">
        <f>IFERROR(INDEX('nav master'!$C:$C, MATCH(B10193, 'nav master'!$B:$B, 0)), "")</f>
        <v>ULIF07114/07/23FlexiCapFd101</v>
      </c>
      <c r="E10193" s="8" t="s">
        <v>359</v>
      </c>
      <c r="F10193" s="8" t="s">
        <v>3769</v>
      </c>
    </row>
    <row r="10194" spans="1:6" ht="60" x14ac:dyDescent="0.25">
      <c r="A10194" s="8" t="s">
        <v>125</v>
      </c>
      <c r="B10194" s="8" t="s">
        <v>148</v>
      </c>
      <c r="C10194" s="8" t="str">
        <f>IFERROR(_xlfn.XLOOKUP(TRIM(B10194),Lookup!$B$2:$B$1000,Lookup!$C$2:$C$1000),"")</f>
        <v>Equity</v>
      </c>
      <c r="D10194" s="8" t="str">
        <f>IFERROR(INDEX('nav master'!$C:$C, MATCH(B10194, 'nav master'!$B:$B, 0)), "")</f>
        <v>ULIF07114/07/23FlexiCapFd101</v>
      </c>
      <c r="E10194" s="8" t="s">
        <v>361</v>
      </c>
      <c r="F10194" s="8" t="s">
        <v>3770</v>
      </c>
    </row>
    <row r="10195" spans="1:6" ht="60" x14ac:dyDescent="0.25">
      <c r="A10195" s="8" t="s">
        <v>125</v>
      </c>
      <c r="B10195" s="8" t="s">
        <v>148</v>
      </c>
      <c r="C10195" s="8" t="str">
        <f>IFERROR(_xlfn.XLOOKUP(TRIM(B10195),Lookup!$B$2:$B$1000,Lookup!$C$2:$C$1000),"")</f>
        <v>Equity</v>
      </c>
      <c r="D10195" s="8" t="str">
        <f>IFERROR(INDEX('nav master'!$C:$C, MATCH(B10195, 'nav master'!$B:$B, 0)), "")</f>
        <v>ULIF07114/07/23FlexiCapFd101</v>
      </c>
      <c r="E10195" s="8" t="s">
        <v>363</v>
      </c>
      <c r="F10195" s="8" t="s">
        <v>3771</v>
      </c>
    </row>
    <row r="10196" spans="1:6" ht="60" x14ac:dyDescent="0.25">
      <c r="A10196" s="8" t="s">
        <v>125</v>
      </c>
      <c r="B10196" s="8" t="s">
        <v>148</v>
      </c>
      <c r="C10196" s="8" t="str">
        <f>IFERROR(_xlfn.XLOOKUP(TRIM(B10196),Lookup!$B$2:$B$1000,Lookup!$C$2:$C$1000),"")</f>
        <v>Equity</v>
      </c>
      <c r="D10196" s="8" t="str">
        <f>IFERROR(INDEX('nav master'!$C:$C, MATCH(B10196, 'nav master'!$B:$B, 0)), "")</f>
        <v>ULIF07114/07/23FlexiCapFd101</v>
      </c>
      <c r="E10196" s="8" t="s">
        <v>365</v>
      </c>
      <c r="F10196" s="8" t="s">
        <v>3772</v>
      </c>
    </row>
    <row r="10197" spans="1:6" ht="60" x14ac:dyDescent="0.25">
      <c r="A10197" s="8" t="s">
        <v>125</v>
      </c>
      <c r="B10197" s="8" t="s">
        <v>148</v>
      </c>
      <c r="C10197" s="8" t="str">
        <f>IFERROR(_xlfn.XLOOKUP(TRIM(B10197),Lookup!$B$2:$B$1000,Lookup!$C$2:$C$1000),"")</f>
        <v>Equity</v>
      </c>
      <c r="D10197" s="8" t="str">
        <f>IFERROR(INDEX('nav master'!$C:$C, MATCH(B10197, 'nav master'!$B:$B, 0)), "")</f>
        <v>ULIF07114/07/23FlexiCapFd101</v>
      </c>
      <c r="E10197" s="8" t="s">
        <v>367</v>
      </c>
      <c r="F10197" s="8" t="s">
        <v>3773</v>
      </c>
    </row>
    <row r="10198" spans="1:6" ht="60" x14ac:dyDescent="0.25">
      <c r="A10198" s="8" t="s">
        <v>125</v>
      </c>
      <c r="B10198" s="8" t="s">
        <v>148</v>
      </c>
      <c r="C10198" s="8" t="str">
        <f>IFERROR(_xlfn.XLOOKUP(TRIM(B10198),Lookup!$B$2:$B$1000,Lookup!$C$2:$C$1000),"")</f>
        <v>Equity</v>
      </c>
      <c r="D10198" s="8" t="str">
        <f>IFERROR(INDEX('nav master'!$C:$C, MATCH(B10198, 'nav master'!$B:$B, 0)), "")</f>
        <v>ULIF07114/07/23FlexiCapFd101</v>
      </c>
      <c r="E10198" s="8" t="s">
        <v>369</v>
      </c>
      <c r="F10198" s="8" t="s">
        <v>3774</v>
      </c>
    </row>
    <row r="10199" spans="1:6" ht="60" x14ac:dyDescent="0.25">
      <c r="A10199" s="8" t="s">
        <v>125</v>
      </c>
      <c r="B10199" s="8" t="s">
        <v>148</v>
      </c>
      <c r="C10199" s="8" t="str">
        <f>IFERROR(_xlfn.XLOOKUP(TRIM(B10199),Lookup!$B$2:$B$1000,Lookup!$C$2:$C$1000),"")</f>
        <v>Equity</v>
      </c>
      <c r="D10199" s="8" t="str">
        <f>IFERROR(INDEX('nav master'!$C:$C, MATCH(B10199, 'nav master'!$B:$B, 0)), "")</f>
        <v>ULIF07114/07/23FlexiCapFd101</v>
      </c>
      <c r="E10199" s="8" t="s">
        <v>371</v>
      </c>
      <c r="F10199" s="8" t="s">
        <v>3775</v>
      </c>
    </row>
    <row r="10200" spans="1:6" ht="60" x14ac:dyDescent="0.25">
      <c r="A10200" s="8" t="s">
        <v>125</v>
      </c>
      <c r="B10200" s="8" t="s">
        <v>148</v>
      </c>
      <c r="C10200" s="8" t="str">
        <f>IFERROR(_xlfn.XLOOKUP(TRIM(B10200),Lookup!$B$2:$B$1000,Lookup!$C$2:$C$1000),"")</f>
        <v>Equity</v>
      </c>
      <c r="D10200" s="8" t="str">
        <f>IFERROR(INDEX('nav master'!$C:$C, MATCH(B10200, 'nav master'!$B:$B, 0)), "")</f>
        <v>ULIF07114/07/23FlexiCapFd101</v>
      </c>
      <c r="E10200" s="8" t="s">
        <v>373</v>
      </c>
      <c r="F10200" s="8" t="s">
        <v>3776</v>
      </c>
    </row>
    <row r="10201" spans="1:6" ht="60" x14ac:dyDescent="0.25">
      <c r="A10201" s="8" t="s">
        <v>125</v>
      </c>
      <c r="B10201" s="8" t="s">
        <v>148</v>
      </c>
      <c r="C10201" s="8" t="str">
        <f>IFERROR(_xlfn.XLOOKUP(TRIM(B10201),Lookup!$B$2:$B$1000,Lookup!$C$2:$C$1000),"")</f>
        <v>Equity</v>
      </c>
      <c r="D10201" s="8" t="str">
        <f>IFERROR(INDEX('nav master'!$C:$C, MATCH(B10201, 'nav master'!$B:$B, 0)), "")</f>
        <v>ULIF07114/07/23FlexiCapFd101</v>
      </c>
      <c r="E10201" s="8" t="s">
        <v>375</v>
      </c>
      <c r="F10201" s="8" t="s">
        <v>3777</v>
      </c>
    </row>
    <row r="10202" spans="1:6" ht="60" x14ac:dyDescent="0.25">
      <c r="A10202" s="8" t="s">
        <v>125</v>
      </c>
      <c r="B10202" s="8" t="s">
        <v>148</v>
      </c>
      <c r="C10202" s="8" t="str">
        <f>IFERROR(_xlfn.XLOOKUP(TRIM(B10202),Lookup!$B$2:$B$1000,Lookup!$C$2:$C$1000),"")</f>
        <v>Equity</v>
      </c>
      <c r="D10202" s="8" t="str">
        <f>IFERROR(INDEX('nav master'!$C:$C, MATCH(B10202, 'nav master'!$B:$B, 0)), "")</f>
        <v>ULIF07114/07/23FlexiCapFd101</v>
      </c>
      <c r="E10202" s="8" t="s">
        <v>377</v>
      </c>
      <c r="F10202" s="8" t="s">
        <v>3778</v>
      </c>
    </row>
    <row r="10203" spans="1:6" ht="60" x14ac:dyDescent="0.25">
      <c r="A10203" s="8" t="s">
        <v>125</v>
      </c>
      <c r="B10203" s="8" t="s">
        <v>148</v>
      </c>
      <c r="C10203" s="8" t="str">
        <f>IFERROR(_xlfn.XLOOKUP(TRIM(B10203),Lookup!$B$2:$B$1000,Lookup!$C$2:$C$1000),"")</f>
        <v>Equity</v>
      </c>
      <c r="D10203" s="8" t="str">
        <f>IFERROR(INDEX('nav master'!$C:$C, MATCH(B10203, 'nav master'!$B:$B, 0)), "")</f>
        <v>ULIF07114/07/23FlexiCapFd101</v>
      </c>
      <c r="E10203" s="8" t="s">
        <v>379</v>
      </c>
      <c r="F10203" s="8" t="s">
        <v>3779</v>
      </c>
    </row>
    <row r="10204" spans="1:6" ht="60" x14ac:dyDescent="0.25">
      <c r="A10204" s="8" t="s">
        <v>125</v>
      </c>
      <c r="B10204" s="8" t="s">
        <v>148</v>
      </c>
      <c r="C10204" s="8" t="str">
        <f>IFERROR(_xlfn.XLOOKUP(TRIM(B10204),Lookup!$B$2:$B$1000,Lookup!$C$2:$C$1000),"")</f>
        <v>Equity</v>
      </c>
      <c r="D10204" s="8" t="str">
        <f>IFERROR(INDEX('nav master'!$C:$C, MATCH(B10204, 'nav master'!$B:$B, 0)), "")</f>
        <v>ULIF07114/07/23FlexiCapFd101</v>
      </c>
      <c r="E10204" s="8" t="s">
        <v>381</v>
      </c>
      <c r="F10204" s="8" t="s">
        <v>3780</v>
      </c>
    </row>
    <row r="10205" spans="1:6" ht="60" x14ac:dyDescent="0.25">
      <c r="A10205" s="8" t="s">
        <v>125</v>
      </c>
      <c r="B10205" s="8" t="s">
        <v>148</v>
      </c>
      <c r="C10205" s="8" t="str">
        <f>IFERROR(_xlfn.XLOOKUP(TRIM(B10205),Lookup!$B$2:$B$1000,Lookup!$C$2:$C$1000),"")</f>
        <v>Equity</v>
      </c>
      <c r="D10205" s="8" t="str">
        <f>IFERROR(INDEX('nav master'!$C:$C, MATCH(B10205, 'nav master'!$B:$B, 0)), "")</f>
        <v>ULIF07114/07/23FlexiCapFd101</v>
      </c>
      <c r="E10205" s="8" t="s">
        <v>383</v>
      </c>
      <c r="F10205" s="8" t="s">
        <v>3781</v>
      </c>
    </row>
    <row r="10206" spans="1:6" ht="60" x14ac:dyDescent="0.25">
      <c r="A10206" s="8" t="s">
        <v>125</v>
      </c>
      <c r="B10206" s="8" t="s">
        <v>148</v>
      </c>
      <c r="C10206" s="8" t="str">
        <f>IFERROR(_xlfn.XLOOKUP(TRIM(B10206),Lookup!$B$2:$B$1000,Lookup!$C$2:$C$1000),"")</f>
        <v>Equity</v>
      </c>
      <c r="D10206" s="8" t="str">
        <f>IFERROR(INDEX('nav master'!$C:$C, MATCH(B10206, 'nav master'!$B:$B, 0)), "")</f>
        <v>ULIF07114/07/23FlexiCapFd101</v>
      </c>
      <c r="E10206" s="8" t="s">
        <v>385</v>
      </c>
      <c r="F10206" s="8" t="s">
        <v>3782</v>
      </c>
    </row>
    <row r="10207" spans="1:6" ht="60" x14ac:dyDescent="0.25">
      <c r="A10207" s="8" t="s">
        <v>125</v>
      </c>
      <c r="B10207" s="8" t="s">
        <v>148</v>
      </c>
      <c r="C10207" s="8" t="str">
        <f>IFERROR(_xlfn.XLOOKUP(TRIM(B10207),Lookup!$B$2:$B$1000,Lookup!$C$2:$C$1000),"")</f>
        <v>Equity</v>
      </c>
      <c r="D10207" s="8" t="str">
        <f>IFERROR(INDEX('nav master'!$C:$C, MATCH(B10207, 'nav master'!$B:$B, 0)), "")</f>
        <v>ULIF07114/07/23FlexiCapFd101</v>
      </c>
      <c r="E10207" s="8" t="s">
        <v>387</v>
      </c>
      <c r="F10207" s="8" t="s">
        <v>3783</v>
      </c>
    </row>
    <row r="10208" spans="1:6" ht="60" x14ac:dyDescent="0.25">
      <c r="A10208" s="8" t="s">
        <v>125</v>
      </c>
      <c r="B10208" s="8" t="s">
        <v>148</v>
      </c>
      <c r="C10208" s="8" t="str">
        <f>IFERROR(_xlfn.XLOOKUP(TRIM(B10208),Lookup!$B$2:$B$1000,Lookup!$C$2:$C$1000),"")</f>
        <v>Equity</v>
      </c>
      <c r="D10208" s="8" t="str">
        <f>IFERROR(INDEX('nav master'!$C:$C, MATCH(B10208, 'nav master'!$B:$B, 0)), "")</f>
        <v>ULIF07114/07/23FlexiCapFd101</v>
      </c>
      <c r="E10208" s="8" t="s">
        <v>389</v>
      </c>
      <c r="F10208" s="8" t="s">
        <v>3784</v>
      </c>
    </row>
    <row r="10209" spans="1:6" ht="60" x14ac:dyDescent="0.25">
      <c r="A10209" s="8" t="s">
        <v>125</v>
      </c>
      <c r="B10209" s="8" t="s">
        <v>148</v>
      </c>
      <c r="C10209" s="8" t="str">
        <f>IFERROR(_xlfn.XLOOKUP(TRIM(B10209),Lookup!$B$2:$B$1000,Lookup!$C$2:$C$1000),"")</f>
        <v>Equity</v>
      </c>
      <c r="D10209" s="8" t="str">
        <f>IFERROR(INDEX('nav master'!$C:$C, MATCH(B10209, 'nav master'!$B:$B, 0)), "")</f>
        <v>ULIF07114/07/23FlexiCapFd101</v>
      </c>
      <c r="E10209" s="8" t="s">
        <v>391</v>
      </c>
      <c r="F10209" s="8" t="s">
        <v>3785</v>
      </c>
    </row>
    <row r="10210" spans="1:6" ht="60" x14ac:dyDescent="0.25">
      <c r="A10210" s="8" t="s">
        <v>125</v>
      </c>
      <c r="B10210" s="8" t="s">
        <v>148</v>
      </c>
      <c r="C10210" s="8" t="str">
        <f>IFERROR(_xlfn.XLOOKUP(TRIM(B10210),Lookup!$B$2:$B$1000,Lookup!$C$2:$C$1000),"")</f>
        <v>Equity</v>
      </c>
      <c r="D10210" s="8" t="str">
        <f>IFERROR(INDEX('nav master'!$C:$C, MATCH(B10210, 'nav master'!$B:$B, 0)), "")</f>
        <v>ULIF07114/07/23FlexiCapFd101</v>
      </c>
      <c r="E10210" s="8" t="s">
        <v>393</v>
      </c>
      <c r="F10210" s="8" t="s">
        <v>3786</v>
      </c>
    </row>
    <row r="10211" spans="1:6" ht="60" x14ac:dyDescent="0.25">
      <c r="A10211" s="8" t="s">
        <v>125</v>
      </c>
      <c r="B10211" s="8" t="s">
        <v>148</v>
      </c>
      <c r="C10211" s="8" t="str">
        <f>IFERROR(_xlfn.XLOOKUP(TRIM(B10211),Lookup!$B$2:$B$1000,Lookup!$C$2:$C$1000),"")</f>
        <v>Equity</v>
      </c>
      <c r="D10211" s="8" t="str">
        <f>IFERROR(INDEX('nav master'!$C:$C, MATCH(B10211, 'nav master'!$B:$B, 0)), "")</f>
        <v>ULIF07114/07/23FlexiCapFd101</v>
      </c>
      <c r="E10211" s="8" t="s">
        <v>395</v>
      </c>
      <c r="F10211" s="8" t="s">
        <v>3787</v>
      </c>
    </row>
    <row r="10212" spans="1:6" ht="60" x14ac:dyDescent="0.25">
      <c r="A10212" s="8" t="s">
        <v>125</v>
      </c>
      <c r="B10212" s="8" t="s">
        <v>148</v>
      </c>
      <c r="C10212" s="8" t="str">
        <f>IFERROR(_xlfn.XLOOKUP(TRIM(B10212),Lookup!$B$2:$B$1000,Lookup!$C$2:$C$1000),"")</f>
        <v>Equity</v>
      </c>
      <c r="D10212" s="8" t="str">
        <f>IFERROR(INDEX('nav master'!$C:$C, MATCH(B10212, 'nav master'!$B:$B, 0)), "")</f>
        <v>ULIF07114/07/23FlexiCapFd101</v>
      </c>
      <c r="E10212" s="8" t="s">
        <v>397</v>
      </c>
      <c r="F10212" s="8" t="s">
        <v>3788</v>
      </c>
    </row>
    <row r="10213" spans="1:6" ht="60" x14ac:dyDescent="0.25">
      <c r="A10213" s="8" t="s">
        <v>125</v>
      </c>
      <c r="B10213" s="8" t="s">
        <v>148</v>
      </c>
      <c r="C10213" s="8" t="str">
        <f>IFERROR(_xlfn.XLOOKUP(TRIM(B10213),Lookup!$B$2:$B$1000,Lookup!$C$2:$C$1000),"")</f>
        <v>Equity</v>
      </c>
      <c r="D10213" s="8" t="str">
        <f>IFERROR(INDEX('nav master'!$C:$C, MATCH(B10213, 'nav master'!$B:$B, 0)), "")</f>
        <v>ULIF07114/07/23FlexiCapFd101</v>
      </c>
      <c r="E10213" s="8" t="s">
        <v>399</v>
      </c>
      <c r="F10213" s="8" t="s">
        <v>3789</v>
      </c>
    </row>
    <row r="10214" spans="1:6" ht="60" x14ac:dyDescent="0.25">
      <c r="A10214" s="8" t="s">
        <v>125</v>
      </c>
      <c r="B10214" s="8" t="s">
        <v>148</v>
      </c>
      <c r="C10214" s="8" t="str">
        <f>IFERROR(_xlfn.XLOOKUP(TRIM(B10214),Lookup!$B$2:$B$1000,Lookup!$C$2:$C$1000),"")</f>
        <v>Equity</v>
      </c>
      <c r="D10214" s="8" t="str">
        <f>IFERROR(INDEX('nav master'!$C:$C, MATCH(B10214, 'nav master'!$B:$B, 0)), "")</f>
        <v>ULIF07114/07/23FlexiCapFd101</v>
      </c>
      <c r="E10214" s="8" t="s">
        <v>401</v>
      </c>
      <c r="F10214" s="8" t="s">
        <v>3790</v>
      </c>
    </row>
    <row r="10215" spans="1:6" ht="60" x14ac:dyDescent="0.25">
      <c r="A10215" s="8" t="s">
        <v>125</v>
      </c>
      <c r="B10215" s="8" t="s">
        <v>148</v>
      </c>
      <c r="C10215" s="8" t="str">
        <f>IFERROR(_xlfn.XLOOKUP(TRIM(B10215),Lookup!$B$2:$B$1000,Lookup!$C$2:$C$1000),"")</f>
        <v>Equity</v>
      </c>
      <c r="D10215" s="8" t="str">
        <f>IFERROR(INDEX('nav master'!$C:$C, MATCH(B10215, 'nav master'!$B:$B, 0)), "")</f>
        <v>ULIF07114/07/23FlexiCapFd101</v>
      </c>
      <c r="E10215" s="8" t="s">
        <v>403</v>
      </c>
      <c r="F10215" s="8" t="s">
        <v>3791</v>
      </c>
    </row>
    <row r="10216" spans="1:6" ht="60" x14ac:dyDescent="0.25">
      <c r="A10216" s="8" t="s">
        <v>125</v>
      </c>
      <c r="B10216" s="8" t="s">
        <v>148</v>
      </c>
      <c r="C10216" s="8" t="str">
        <f>IFERROR(_xlfn.XLOOKUP(TRIM(B10216),Lookup!$B$2:$B$1000,Lookup!$C$2:$C$1000),"")</f>
        <v>Equity</v>
      </c>
      <c r="D10216" s="8" t="str">
        <f>IFERROR(INDEX('nav master'!$C:$C, MATCH(B10216, 'nav master'!$B:$B, 0)), "")</f>
        <v>ULIF07114/07/23FlexiCapFd101</v>
      </c>
      <c r="E10216" s="8" t="s">
        <v>405</v>
      </c>
      <c r="F10216" s="8" t="s">
        <v>3761</v>
      </c>
    </row>
    <row r="10217" spans="1:6" ht="60" x14ac:dyDescent="0.25">
      <c r="A10217" s="8" t="s">
        <v>125</v>
      </c>
      <c r="B10217" s="8" t="s">
        <v>148</v>
      </c>
      <c r="C10217" s="8" t="str">
        <f>IFERROR(_xlfn.XLOOKUP(TRIM(B10217),Lookup!$B$2:$B$1000,Lookup!$C$2:$C$1000),"")</f>
        <v>Equity</v>
      </c>
      <c r="D10217" s="8" t="str">
        <f>IFERROR(INDEX('nav master'!$C:$C, MATCH(B10217, 'nav master'!$B:$B, 0)), "")</f>
        <v>ULIF07114/07/23FlexiCapFd101</v>
      </c>
      <c r="E10217" s="8" t="s">
        <v>407</v>
      </c>
      <c r="F10217" s="8" t="s">
        <v>3792</v>
      </c>
    </row>
    <row r="10218" spans="1:6" ht="60" x14ac:dyDescent="0.25">
      <c r="A10218" s="8" t="s">
        <v>125</v>
      </c>
      <c r="B10218" s="8" t="s">
        <v>148</v>
      </c>
      <c r="C10218" s="8" t="str">
        <f>IFERROR(_xlfn.XLOOKUP(TRIM(B10218),Lookup!$B$2:$B$1000,Lookup!$C$2:$C$1000),"")</f>
        <v>Equity</v>
      </c>
      <c r="D10218" s="8" t="str">
        <f>IFERROR(INDEX('nav master'!$C:$C, MATCH(B10218, 'nav master'!$B:$B, 0)), "")</f>
        <v>ULIF07114/07/23FlexiCapFd101</v>
      </c>
      <c r="E10218" s="8" t="s">
        <v>409</v>
      </c>
      <c r="F10218" s="8" t="s">
        <v>3793</v>
      </c>
    </row>
    <row r="10219" spans="1:6" ht="60" x14ac:dyDescent="0.25">
      <c r="A10219" s="8" t="s">
        <v>125</v>
      </c>
      <c r="B10219" s="8" t="s">
        <v>148</v>
      </c>
      <c r="C10219" s="8" t="str">
        <f>IFERROR(_xlfn.XLOOKUP(TRIM(B10219),Lookup!$B$2:$B$1000,Lookup!$C$2:$C$1000),"")</f>
        <v>Equity</v>
      </c>
      <c r="D10219" s="8" t="str">
        <f>IFERROR(INDEX('nav master'!$C:$C, MATCH(B10219, 'nav master'!$B:$B, 0)), "")</f>
        <v>ULIF07114/07/23FlexiCapFd101</v>
      </c>
      <c r="E10219" s="8" t="s">
        <v>411</v>
      </c>
      <c r="F10219" s="8" t="s">
        <v>3794</v>
      </c>
    </row>
    <row r="10220" spans="1:6" ht="60" x14ac:dyDescent="0.25">
      <c r="A10220" s="8" t="s">
        <v>125</v>
      </c>
      <c r="B10220" s="8" t="s">
        <v>148</v>
      </c>
      <c r="C10220" s="8" t="str">
        <f>IFERROR(_xlfn.XLOOKUP(TRIM(B10220),Lookup!$B$2:$B$1000,Lookup!$C$2:$C$1000),"")</f>
        <v>Equity</v>
      </c>
      <c r="D10220" s="8" t="str">
        <f>IFERROR(INDEX('nav master'!$C:$C, MATCH(B10220, 'nav master'!$B:$B, 0)), "")</f>
        <v>ULIF07114/07/23FlexiCapFd101</v>
      </c>
      <c r="E10220" s="8" t="s">
        <v>413</v>
      </c>
      <c r="F10220" s="8" t="s">
        <v>3795</v>
      </c>
    </row>
    <row r="10221" spans="1:6" ht="60" x14ac:dyDescent="0.25">
      <c r="A10221" s="8" t="s">
        <v>125</v>
      </c>
      <c r="B10221" s="8" t="s">
        <v>148</v>
      </c>
      <c r="C10221" s="8" t="str">
        <f>IFERROR(_xlfn.XLOOKUP(TRIM(B10221),Lookup!$B$2:$B$1000,Lookup!$C$2:$C$1000),"")</f>
        <v>Equity</v>
      </c>
      <c r="D10221" s="8" t="str">
        <f>IFERROR(INDEX('nav master'!$C:$C, MATCH(B10221, 'nav master'!$B:$B, 0)), "")</f>
        <v>ULIF07114/07/23FlexiCapFd101</v>
      </c>
      <c r="E10221" s="8" t="s">
        <v>415</v>
      </c>
      <c r="F10221" s="8" t="s">
        <v>3796</v>
      </c>
    </row>
    <row r="10222" spans="1:6" ht="60" x14ac:dyDescent="0.25">
      <c r="A10222" s="8" t="s">
        <v>125</v>
      </c>
      <c r="B10222" s="8" t="s">
        <v>148</v>
      </c>
      <c r="C10222" s="8" t="str">
        <f>IFERROR(_xlfn.XLOOKUP(TRIM(B10222),Lookup!$B$2:$B$1000,Lookup!$C$2:$C$1000),"")</f>
        <v>Equity</v>
      </c>
      <c r="D10222" s="8" t="str">
        <f>IFERROR(INDEX('nav master'!$C:$C, MATCH(B10222, 'nav master'!$B:$B, 0)), "")</f>
        <v>ULIF07114/07/23FlexiCapFd101</v>
      </c>
      <c r="E10222" s="8" t="s">
        <v>417</v>
      </c>
      <c r="F10222" s="8" t="s">
        <v>3797</v>
      </c>
    </row>
    <row r="10223" spans="1:6" ht="60" x14ac:dyDescent="0.25">
      <c r="A10223" s="8" t="s">
        <v>125</v>
      </c>
      <c r="B10223" s="8" t="s">
        <v>148</v>
      </c>
      <c r="C10223" s="8" t="str">
        <f>IFERROR(_xlfn.XLOOKUP(TRIM(B10223),Lookup!$B$2:$B$1000,Lookup!$C$2:$C$1000),"")</f>
        <v>Equity</v>
      </c>
      <c r="D10223" s="8" t="str">
        <f>IFERROR(INDEX('nav master'!$C:$C, MATCH(B10223, 'nav master'!$B:$B, 0)), "")</f>
        <v>ULIF07114/07/23FlexiCapFd101</v>
      </c>
      <c r="E10223" s="8" t="s">
        <v>419</v>
      </c>
      <c r="F10223" s="8" t="s">
        <v>3798</v>
      </c>
    </row>
    <row r="10224" spans="1:6" ht="60" x14ac:dyDescent="0.25">
      <c r="A10224" s="8" t="s">
        <v>125</v>
      </c>
      <c r="B10224" s="8" t="s">
        <v>148</v>
      </c>
      <c r="C10224" s="8" t="str">
        <f>IFERROR(_xlfn.XLOOKUP(TRIM(B10224),Lookup!$B$2:$B$1000,Lookup!$C$2:$C$1000),"")</f>
        <v>Equity</v>
      </c>
      <c r="D10224" s="8" t="str">
        <f>IFERROR(INDEX('nav master'!$C:$C, MATCH(B10224, 'nav master'!$B:$B, 0)), "")</f>
        <v>ULIF07114/07/23FlexiCapFd101</v>
      </c>
      <c r="E10224" s="8" t="s">
        <v>421</v>
      </c>
      <c r="F10224" s="8" t="s">
        <v>3799</v>
      </c>
    </row>
    <row r="10225" spans="1:6" ht="60" x14ac:dyDescent="0.25">
      <c r="A10225" s="8" t="s">
        <v>125</v>
      </c>
      <c r="B10225" s="8" t="s">
        <v>148</v>
      </c>
      <c r="C10225" s="8" t="str">
        <f>IFERROR(_xlfn.XLOOKUP(TRIM(B10225),Lookup!$B$2:$B$1000,Lookup!$C$2:$C$1000),"")</f>
        <v>Equity</v>
      </c>
      <c r="D10225" s="8" t="str">
        <f>IFERROR(INDEX('nav master'!$C:$C, MATCH(B10225, 'nav master'!$B:$B, 0)), "")</f>
        <v>ULIF07114/07/23FlexiCapFd101</v>
      </c>
      <c r="E10225" s="8" t="s">
        <v>423</v>
      </c>
      <c r="F10225" s="8" t="s">
        <v>3800</v>
      </c>
    </row>
    <row r="10226" spans="1:6" ht="60" x14ac:dyDescent="0.25">
      <c r="A10226" s="8" t="s">
        <v>125</v>
      </c>
      <c r="B10226" s="8" t="s">
        <v>148</v>
      </c>
      <c r="C10226" s="8" t="str">
        <f>IFERROR(_xlfn.XLOOKUP(TRIM(B10226),Lookup!$B$2:$B$1000,Lookup!$C$2:$C$1000),"")</f>
        <v>Equity</v>
      </c>
      <c r="D10226" s="8" t="str">
        <f>IFERROR(INDEX('nav master'!$C:$C, MATCH(B10226, 'nav master'!$B:$B, 0)), "")</f>
        <v>ULIF07114/07/23FlexiCapFd101</v>
      </c>
      <c r="E10226" s="8" t="s">
        <v>425</v>
      </c>
      <c r="F10226" s="8" t="s">
        <v>3801</v>
      </c>
    </row>
    <row r="10227" spans="1:6" ht="60" x14ac:dyDescent="0.25">
      <c r="A10227" s="8" t="s">
        <v>125</v>
      </c>
      <c r="B10227" s="8" t="s">
        <v>148</v>
      </c>
      <c r="C10227" s="8" t="str">
        <f>IFERROR(_xlfn.XLOOKUP(TRIM(B10227),Lookup!$B$2:$B$1000,Lookup!$C$2:$C$1000),"")</f>
        <v>Equity</v>
      </c>
      <c r="D10227" s="8" t="str">
        <f>IFERROR(INDEX('nav master'!$C:$C, MATCH(B10227, 'nav master'!$B:$B, 0)), "")</f>
        <v>ULIF07114/07/23FlexiCapFd101</v>
      </c>
      <c r="E10227" s="8" t="s">
        <v>427</v>
      </c>
      <c r="F10227" s="8" t="s">
        <v>3802</v>
      </c>
    </row>
    <row r="10228" spans="1:6" ht="60" x14ac:dyDescent="0.25">
      <c r="A10228" s="8" t="s">
        <v>125</v>
      </c>
      <c r="B10228" s="8" t="s">
        <v>148</v>
      </c>
      <c r="C10228" s="8" t="str">
        <f>IFERROR(_xlfn.XLOOKUP(TRIM(B10228),Lookup!$B$2:$B$1000,Lookup!$C$2:$C$1000),"")</f>
        <v>Equity</v>
      </c>
      <c r="D10228" s="8" t="str">
        <f>IFERROR(INDEX('nav master'!$C:$C, MATCH(B10228, 'nav master'!$B:$B, 0)), "")</f>
        <v>ULIF07114/07/23FlexiCapFd101</v>
      </c>
      <c r="E10228" s="8" t="s">
        <v>429</v>
      </c>
      <c r="F10228" s="8" t="s">
        <v>3803</v>
      </c>
    </row>
    <row r="10229" spans="1:6" ht="60" x14ac:dyDescent="0.25">
      <c r="A10229" s="8" t="s">
        <v>125</v>
      </c>
      <c r="B10229" s="8" t="s">
        <v>148</v>
      </c>
      <c r="C10229" s="8" t="str">
        <f>IFERROR(_xlfn.XLOOKUP(TRIM(B10229),Lookup!$B$2:$B$1000,Lookup!$C$2:$C$1000),"")</f>
        <v>Equity</v>
      </c>
      <c r="D10229" s="8" t="str">
        <f>IFERROR(INDEX('nav master'!$C:$C, MATCH(B10229, 'nav master'!$B:$B, 0)), "")</f>
        <v>ULIF07114/07/23FlexiCapFd101</v>
      </c>
      <c r="E10229" s="8" t="s">
        <v>431</v>
      </c>
      <c r="F10229" s="8" t="s">
        <v>3804</v>
      </c>
    </row>
    <row r="10230" spans="1:6" ht="60" x14ac:dyDescent="0.25">
      <c r="A10230" s="8" t="s">
        <v>125</v>
      </c>
      <c r="B10230" s="8" t="s">
        <v>148</v>
      </c>
      <c r="C10230" s="8" t="str">
        <f>IFERROR(_xlfn.XLOOKUP(TRIM(B10230),Lookup!$B$2:$B$1000,Lookup!$C$2:$C$1000),"")</f>
        <v>Equity</v>
      </c>
      <c r="D10230" s="8" t="str">
        <f>IFERROR(INDEX('nav master'!$C:$C, MATCH(B10230, 'nav master'!$B:$B, 0)), "")</f>
        <v>ULIF07114/07/23FlexiCapFd101</v>
      </c>
      <c r="E10230" s="8" t="s">
        <v>433</v>
      </c>
      <c r="F10230" s="8" t="s">
        <v>3805</v>
      </c>
    </row>
    <row r="10231" spans="1:6" ht="60" x14ac:dyDescent="0.25">
      <c r="A10231" s="8" t="s">
        <v>125</v>
      </c>
      <c r="B10231" s="8" t="s">
        <v>148</v>
      </c>
      <c r="C10231" s="8" t="str">
        <f>IFERROR(_xlfn.XLOOKUP(TRIM(B10231),Lookup!$B$2:$B$1000,Lookup!$C$2:$C$1000),"")</f>
        <v>Equity</v>
      </c>
      <c r="D10231" s="8" t="str">
        <f>IFERROR(INDEX('nav master'!$C:$C, MATCH(B10231, 'nav master'!$B:$B, 0)), "")</f>
        <v>ULIF07114/07/23FlexiCapFd101</v>
      </c>
      <c r="E10231" s="8" t="s">
        <v>435</v>
      </c>
      <c r="F10231" s="8" t="s">
        <v>3806</v>
      </c>
    </row>
    <row r="10232" spans="1:6" ht="60" x14ac:dyDescent="0.25">
      <c r="A10232" s="8" t="s">
        <v>125</v>
      </c>
      <c r="B10232" s="8" t="s">
        <v>148</v>
      </c>
      <c r="C10232" s="8" t="str">
        <f>IFERROR(_xlfn.XLOOKUP(TRIM(B10232),Lookup!$B$2:$B$1000,Lookup!$C$2:$C$1000),"")</f>
        <v>Equity</v>
      </c>
      <c r="D10232" s="8" t="str">
        <f>IFERROR(INDEX('nav master'!$C:$C, MATCH(B10232, 'nav master'!$B:$B, 0)), "")</f>
        <v>ULIF07114/07/23FlexiCapFd101</v>
      </c>
      <c r="E10232" s="8" t="s">
        <v>437</v>
      </c>
      <c r="F10232" s="8" t="s">
        <v>3807</v>
      </c>
    </row>
    <row r="10233" spans="1:6" ht="60" x14ac:dyDescent="0.25">
      <c r="A10233" s="8" t="s">
        <v>125</v>
      </c>
      <c r="B10233" s="8" t="s">
        <v>148</v>
      </c>
      <c r="C10233" s="8" t="str">
        <f>IFERROR(_xlfn.XLOOKUP(TRIM(B10233),Lookup!$B$2:$B$1000,Lookup!$C$2:$C$1000),"")</f>
        <v>Equity</v>
      </c>
      <c r="D10233" s="8" t="str">
        <f>IFERROR(INDEX('nav master'!$C:$C, MATCH(B10233, 'nav master'!$B:$B, 0)), "")</f>
        <v>ULIF07114/07/23FlexiCapFd101</v>
      </c>
      <c r="E10233" s="8" t="s">
        <v>439</v>
      </c>
      <c r="F10233" s="8" t="s">
        <v>3808</v>
      </c>
    </row>
    <row r="10234" spans="1:6" ht="60" x14ac:dyDescent="0.25">
      <c r="A10234" s="8" t="s">
        <v>125</v>
      </c>
      <c r="B10234" s="8" t="s">
        <v>148</v>
      </c>
      <c r="C10234" s="8" t="str">
        <f>IFERROR(_xlfn.XLOOKUP(TRIM(B10234),Lookup!$B$2:$B$1000,Lookup!$C$2:$C$1000),"")</f>
        <v>Equity</v>
      </c>
      <c r="D10234" s="8" t="str">
        <f>IFERROR(INDEX('nav master'!$C:$C, MATCH(B10234, 'nav master'!$B:$B, 0)), "")</f>
        <v>ULIF07114/07/23FlexiCapFd101</v>
      </c>
      <c r="E10234" s="8" t="s">
        <v>441</v>
      </c>
      <c r="F10234" s="8" t="s">
        <v>3809</v>
      </c>
    </row>
    <row r="10235" spans="1:6" ht="60" x14ac:dyDescent="0.25">
      <c r="A10235" s="8" t="s">
        <v>125</v>
      </c>
      <c r="B10235" s="8" t="s">
        <v>148</v>
      </c>
      <c r="C10235" s="8" t="str">
        <f>IFERROR(_xlfn.XLOOKUP(TRIM(B10235),Lookup!$B$2:$B$1000,Lookup!$C$2:$C$1000),"")</f>
        <v>Equity</v>
      </c>
      <c r="D10235" s="8" t="str">
        <f>IFERROR(INDEX('nav master'!$C:$C, MATCH(B10235, 'nav master'!$B:$B, 0)), "")</f>
        <v>ULIF07114/07/23FlexiCapFd101</v>
      </c>
      <c r="E10235" s="8" t="s">
        <v>443</v>
      </c>
      <c r="F10235" s="8" t="s">
        <v>3810</v>
      </c>
    </row>
    <row r="10236" spans="1:6" ht="60" x14ac:dyDescent="0.25">
      <c r="A10236" s="8" t="s">
        <v>125</v>
      </c>
      <c r="B10236" s="8" t="s">
        <v>148</v>
      </c>
      <c r="C10236" s="8" t="str">
        <f>IFERROR(_xlfn.XLOOKUP(TRIM(B10236),Lookup!$B$2:$B$1000,Lookup!$C$2:$C$1000),"")</f>
        <v>Equity</v>
      </c>
      <c r="D10236" s="8" t="str">
        <f>IFERROR(INDEX('nav master'!$C:$C, MATCH(B10236, 'nav master'!$B:$B, 0)), "")</f>
        <v>ULIF07114/07/23FlexiCapFd101</v>
      </c>
      <c r="E10236" s="8" t="s">
        <v>445</v>
      </c>
      <c r="F10236" s="8" t="s">
        <v>3811</v>
      </c>
    </row>
    <row r="10237" spans="1:6" ht="60" x14ac:dyDescent="0.25">
      <c r="A10237" s="8" t="s">
        <v>125</v>
      </c>
      <c r="B10237" s="8" t="s">
        <v>148</v>
      </c>
      <c r="C10237" s="8" t="str">
        <f>IFERROR(_xlfn.XLOOKUP(TRIM(B10237),Lookup!$B$2:$B$1000,Lookup!$C$2:$C$1000),"")</f>
        <v>Equity</v>
      </c>
      <c r="D10237" s="8" t="str">
        <f>IFERROR(INDEX('nav master'!$C:$C, MATCH(B10237, 'nav master'!$B:$B, 0)), "")</f>
        <v>ULIF07114/07/23FlexiCapFd101</v>
      </c>
      <c r="E10237" s="8" t="s">
        <v>446</v>
      </c>
      <c r="F10237" s="8" t="s">
        <v>3812</v>
      </c>
    </row>
    <row r="10238" spans="1:6" ht="60" x14ac:dyDescent="0.25">
      <c r="A10238" s="8" t="s">
        <v>125</v>
      </c>
      <c r="B10238" s="8" t="s">
        <v>148</v>
      </c>
      <c r="C10238" s="8" t="str">
        <f>IFERROR(_xlfn.XLOOKUP(TRIM(B10238),Lookup!$B$2:$B$1000,Lookup!$C$2:$C$1000),"")</f>
        <v>Equity</v>
      </c>
      <c r="D10238" s="8" t="str">
        <f>IFERROR(INDEX('nav master'!$C:$C, MATCH(B10238, 'nav master'!$B:$B, 0)), "")</f>
        <v>ULIF07114/07/23FlexiCapFd101</v>
      </c>
      <c r="E10238" s="8" t="s">
        <v>448</v>
      </c>
      <c r="F10238" s="8" t="s">
        <v>3813</v>
      </c>
    </row>
    <row r="10239" spans="1:6" ht="60" x14ac:dyDescent="0.25">
      <c r="A10239" s="8" t="s">
        <v>125</v>
      </c>
      <c r="B10239" s="8" t="s">
        <v>148</v>
      </c>
      <c r="C10239" s="8" t="str">
        <f>IFERROR(_xlfn.XLOOKUP(TRIM(B10239),Lookup!$B$2:$B$1000,Lookup!$C$2:$C$1000),"")</f>
        <v>Equity</v>
      </c>
      <c r="D10239" s="8" t="str">
        <f>IFERROR(INDEX('nav master'!$C:$C, MATCH(B10239, 'nav master'!$B:$B, 0)), "")</f>
        <v>ULIF07114/07/23FlexiCapFd101</v>
      </c>
      <c r="E10239" s="8" t="s">
        <v>450</v>
      </c>
      <c r="F10239" s="8" t="s">
        <v>3814</v>
      </c>
    </row>
    <row r="10240" spans="1:6" ht="60" x14ac:dyDescent="0.25">
      <c r="A10240" s="8" t="s">
        <v>125</v>
      </c>
      <c r="B10240" s="8" t="s">
        <v>148</v>
      </c>
      <c r="C10240" s="8" t="str">
        <f>IFERROR(_xlfn.XLOOKUP(TRIM(B10240),Lookup!$B$2:$B$1000,Lookup!$C$2:$C$1000),"")</f>
        <v>Equity</v>
      </c>
      <c r="D10240" s="8" t="str">
        <f>IFERROR(INDEX('nav master'!$C:$C, MATCH(B10240, 'nav master'!$B:$B, 0)), "")</f>
        <v>ULIF07114/07/23FlexiCapFd101</v>
      </c>
      <c r="E10240" s="8" t="s">
        <v>452</v>
      </c>
      <c r="F10240" s="8" t="s">
        <v>3815</v>
      </c>
    </row>
    <row r="10241" spans="1:6" ht="60" x14ac:dyDescent="0.25">
      <c r="A10241" s="8" t="s">
        <v>125</v>
      </c>
      <c r="B10241" s="8" t="s">
        <v>148</v>
      </c>
      <c r="C10241" s="8" t="str">
        <f>IFERROR(_xlfn.XLOOKUP(TRIM(B10241),Lookup!$B$2:$B$1000,Lookup!$C$2:$C$1000),"")</f>
        <v>Equity</v>
      </c>
      <c r="D10241" s="8" t="str">
        <f>IFERROR(INDEX('nav master'!$C:$C, MATCH(B10241, 'nav master'!$B:$B, 0)), "")</f>
        <v>ULIF07114/07/23FlexiCapFd101</v>
      </c>
      <c r="E10241" s="8" t="s">
        <v>454</v>
      </c>
      <c r="F10241" s="8" t="s">
        <v>3816</v>
      </c>
    </row>
    <row r="10242" spans="1:6" ht="60" x14ac:dyDescent="0.25">
      <c r="A10242" s="8" t="s">
        <v>125</v>
      </c>
      <c r="B10242" s="8" t="s">
        <v>148</v>
      </c>
      <c r="C10242" s="8" t="str">
        <f>IFERROR(_xlfn.XLOOKUP(TRIM(B10242),Lookup!$B$2:$B$1000,Lookup!$C$2:$C$1000),"")</f>
        <v>Equity</v>
      </c>
      <c r="D10242" s="8" t="str">
        <f>IFERROR(INDEX('nav master'!$C:$C, MATCH(B10242, 'nav master'!$B:$B, 0)), "")</f>
        <v>ULIF07114/07/23FlexiCapFd101</v>
      </c>
      <c r="E10242" s="8" t="s">
        <v>456</v>
      </c>
      <c r="F10242" s="8" t="s">
        <v>3817</v>
      </c>
    </row>
    <row r="10243" spans="1:6" ht="60" x14ac:dyDescent="0.25">
      <c r="A10243" s="8" t="s">
        <v>125</v>
      </c>
      <c r="B10243" s="8" t="s">
        <v>148</v>
      </c>
      <c r="C10243" s="8" t="str">
        <f>IFERROR(_xlfn.XLOOKUP(TRIM(B10243),Lookup!$B$2:$B$1000,Lookup!$C$2:$C$1000),"")</f>
        <v>Equity</v>
      </c>
      <c r="D10243" s="8" t="str">
        <f>IFERROR(INDEX('nav master'!$C:$C, MATCH(B10243, 'nav master'!$B:$B, 0)), "")</f>
        <v>ULIF07114/07/23FlexiCapFd101</v>
      </c>
      <c r="E10243" s="8" t="s">
        <v>458</v>
      </c>
      <c r="F10243" s="8" t="s">
        <v>3818</v>
      </c>
    </row>
    <row r="10244" spans="1:6" ht="60" x14ac:dyDescent="0.25">
      <c r="A10244" s="8" t="s">
        <v>125</v>
      </c>
      <c r="B10244" s="8" t="s">
        <v>148</v>
      </c>
      <c r="C10244" s="8" t="str">
        <f>IFERROR(_xlfn.XLOOKUP(TRIM(B10244),Lookup!$B$2:$B$1000,Lookup!$C$2:$C$1000),"")</f>
        <v>Equity</v>
      </c>
      <c r="D10244" s="8" t="str">
        <f>IFERROR(INDEX('nav master'!$C:$C, MATCH(B10244, 'nav master'!$B:$B, 0)), "")</f>
        <v>ULIF07114/07/23FlexiCapFd101</v>
      </c>
      <c r="E10244" s="8" t="s">
        <v>460</v>
      </c>
      <c r="F10244" s="8" t="s">
        <v>3819</v>
      </c>
    </row>
    <row r="10245" spans="1:6" ht="60" x14ac:dyDescent="0.25">
      <c r="A10245" s="8" t="s">
        <v>125</v>
      </c>
      <c r="B10245" s="8" t="s">
        <v>148</v>
      </c>
      <c r="C10245" s="8" t="str">
        <f>IFERROR(_xlfn.XLOOKUP(TRIM(B10245),Lookup!$B$2:$B$1000,Lookup!$C$2:$C$1000),"")</f>
        <v>Equity</v>
      </c>
      <c r="D10245" s="8" t="str">
        <f>IFERROR(INDEX('nav master'!$C:$C, MATCH(B10245, 'nav master'!$B:$B, 0)), "")</f>
        <v>ULIF07114/07/23FlexiCapFd101</v>
      </c>
      <c r="E10245" s="8" t="s">
        <v>462</v>
      </c>
      <c r="F10245" s="8" t="s">
        <v>3820</v>
      </c>
    </row>
    <row r="10246" spans="1:6" ht="60" x14ac:dyDescent="0.25">
      <c r="A10246" s="8" t="s">
        <v>125</v>
      </c>
      <c r="B10246" s="8" t="s">
        <v>148</v>
      </c>
      <c r="C10246" s="8" t="str">
        <f>IFERROR(_xlfn.XLOOKUP(TRIM(B10246),Lookup!$B$2:$B$1000,Lookup!$C$2:$C$1000),"")</f>
        <v>Equity</v>
      </c>
      <c r="D10246" s="8" t="str">
        <f>IFERROR(INDEX('nav master'!$C:$C, MATCH(B10246, 'nav master'!$B:$B, 0)), "")</f>
        <v>ULIF07114/07/23FlexiCapFd101</v>
      </c>
      <c r="E10246" s="8" t="s">
        <v>464</v>
      </c>
      <c r="F10246" s="8" t="s">
        <v>3821</v>
      </c>
    </row>
    <row r="10247" spans="1:6" ht="60" x14ac:dyDescent="0.25">
      <c r="A10247" s="8" t="s">
        <v>125</v>
      </c>
      <c r="B10247" s="8" t="s">
        <v>148</v>
      </c>
      <c r="C10247" s="8" t="str">
        <f>IFERROR(_xlfn.XLOOKUP(TRIM(B10247),Lookup!$B$2:$B$1000,Lookup!$C$2:$C$1000),"")</f>
        <v>Equity</v>
      </c>
      <c r="D10247" s="8" t="str">
        <f>IFERROR(INDEX('nav master'!$C:$C, MATCH(B10247, 'nav master'!$B:$B, 0)), "")</f>
        <v>ULIF07114/07/23FlexiCapFd101</v>
      </c>
      <c r="E10247" s="8" t="s">
        <v>466</v>
      </c>
      <c r="F10247" s="8" t="s">
        <v>3822</v>
      </c>
    </row>
    <row r="10248" spans="1:6" ht="60" x14ac:dyDescent="0.25">
      <c r="A10248" s="8" t="s">
        <v>125</v>
      </c>
      <c r="B10248" s="8" t="s">
        <v>148</v>
      </c>
      <c r="C10248" s="8" t="str">
        <f>IFERROR(_xlfn.XLOOKUP(TRIM(B10248),Lookup!$B$2:$B$1000,Lookup!$C$2:$C$1000),"")</f>
        <v>Equity</v>
      </c>
      <c r="D10248" s="8" t="str">
        <f>IFERROR(INDEX('nav master'!$C:$C, MATCH(B10248, 'nav master'!$B:$B, 0)), "")</f>
        <v>ULIF07114/07/23FlexiCapFd101</v>
      </c>
      <c r="E10248" s="8" t="s">
        <v>468</v>
      </c>
      <c r="F10248" s="8" t="s">
        <v>3823</v>
      </c>
    </row>
    <row r="10249" spans="1:6" ht="60" x14ac:dyDescent="0.25">
      <c r="A10249" s="8" t="s">
        <v>125</v>
      </c>
      <c r="B10249" s="8" t="s">
        <v>148</v>
      </c>
      <c r="C10249" s="8" t="str">
        <f>IFERROR(_xlfn.XLOOKUP(TRIM(B10249),Lookup!$B$2:$B$1000,Lookup!$C$2:$C$1000),"")</f>
        <v>Equity</v>
      </c>
      <c r="D10249" s="8" t="str">
        <f>IFERROR(INDEX('nav master'!$C:$C, MATCH(B10249, 'nav master'!$B:$B, 0)), "")</f>
        <v>ULIF07114/07/23FlexiCapFd101</v>
      </c>
      <c r="E10249" s="8" t="s">
        <v>470</v>
      </c>
      <c r="F10249" s="8" t="s">
        <v>3824</v>
      </c>
    </row>
    <row r="10250" spans="1:6" ht="60" x14ac:dyDescent="0.25">
      <c r="A10250" s="8" t="s">
        <v>125</v>
      </c>
      <c r="B10250" s="8" t="s">
        <v>148</v>
      </c>
      <c r="C10250" s="8" t="str">
        <f>IFERROR(_xlfn.XLOOKUP(TRIM(B10250),Lookup!$B$2:$B$1000,Lookup!$C$2:$C$1000),"")</f>
        <v>Equity</v>
      </c>
      <c r="D10250" s="8" t="str">
        <f>IFERROR(INDEX('nav master'!$C:$C, MATCH(B10250, 'nav master'!$B:$B, 0)), "")</f>
        <v>ULIF07114/07/23FlexiCapFd101</v>
      </c>
      <c r="E10250" s="8" t="s">
        <v>472</v>
      </c>
      <c r="F10250" s="8" t="s">
        <v>3825</v>
      </c>
    </row>
    <row r="10251" spans="1:6" ht="60" x14ac:dyDescent="0.25">
      <c r="A10251" s="8" t="s">
        <v>125</v>
      </c>
      <c r="B10251" s="8" t="s">
        <v>148</v>
      </c>
      <c r="C10251" s="8" t="str">
        <f>IFERROR(_xlfn.XLOOKUP(TRIM(B10251),Lookup!$B$2:$B$1000,Lookup!$C$2:$C$1000),"")</f>
        <v>Equity</v>
      </c>
      <c r="D10251" s="8" t="str">
        <f>IFERROR(INDEX('nav master'!$C:$C, MATCH(B10251, 'nav master'!$B:$B, 0)), "")</f>
        <v>ULIF07114/07/23FlexiCapFd101</v>
      </c>
      <c r="E10251" s="8" t="s">
        <v>474</v>
      </c>
      <c r="F10251" s="8" t="s">
        <v>3826</v>
      </c>
    </row>
    <row r="10252" spans="1:6" ht="60" x14ac:dyDescent="0.25">
      <c r="A10252" s="8" t="s">
        <v>125</v>
      </c>
      <c r="B10252" s="8" t="s">
        <v>148</v>
      </c>
      <c r="C10252" s="8" t="str">
        <f>IFERROR(_xlfn.XLOOKUP(TRIM(B10252),Lookup!$B$2:$B$1000,Lookup!$C$2:$C$1000),"")</f>
        <v>Equity</v>
      </c>
      <c r="D10252" s="8" t="str">
        <f>IFERROR(INDEX('nav master'!$C:$C, MATCH(B10252, 'nav master'!$B:$B, 0)), "")</f>
        <v>ULIF07114/07/23FlexiCapFd101</v>
      </c>
      <c r="E10252" s="8" t="s">
        <v>476</v>
      </c>
      <c r="F10252" s="8" t="s">
        <v>3827</v>
      </c>
    </row>
    <row r="10253" spans="1:6" ht="60" x14ac:dyDescent="0.25">
      <c r="A10253" s="8" t="s">
        <v>125</v>
      </c>
      <c r="B10253" s="8" t="s">
        <v>148</v>
      </c>
      <c r="C10253" s="8" t="str">
        <f>IFERROR(_xlfn.XLOOKUP(TRIM(B10253),Lookup!$B$2:$B$1000,Lookup!$C$2:$C$1000),"")</f>
        <v>Equity</v>
      </c>
      <c r="D10253" s="8" t="str">
        <f>IFERROR(INDEX('nav master'!$C:$C, MATCH(B10253, 'nav master'!$B:$B, 0)), "")</f>
        <v>ULIF07114/07/23FlexiCapFd101</v>
      </c>
      <c r="E10253" s="8" t="s">
        <v>478</v>
      </c>
      <c r="F10253" s="8" t="s">
        <v>3828</v>
      </c>
    </row>
    <row r="10254" spans="1:6" ht="60" x14ac:dyDescent="0.25">
      <c r="A10254" s="8" t="s">
        <v>125</v>
      </c>
      <c r="B10254" s="8" t="s">
        <v>148</v>
      </c>
      <c r="C10254" s="8" t="str">
        <f>IFERROR(_xlfn.XLOOKUP(TRIM(B10254),Lookup!$B$2:$B$1000,Lookup!$C$2:$C$1000),"")</f>
        <v>Equity</v>
      </c>
      <c r="D10254" s="8" t="str">
        <f>IFERROR(INDEX('nav master'!$C:$C, MATCH(B10254, 'nav master'!$B:$B, 0)), "")</f>
        <v>ULIF07114/07/23FlexiCapFd101</v>
      </c>
      <c r="E10254" s="8" t="s">
        <v>480</v>
      </c>
      <c r="F10254" s="8" t="s">
        <v>3829</v>
      </c>
    </row>
    <row r="10255" spans="1:6" ht="60" x14ac:dyDescent="0.25">
      <c r="A10255" s="8" t="s">
        <v>125</v>
      </c>
      <c r="B10255" s="8" t="s">
        <v>148</v>
      </c>
      <c r="C10255" s="8" t="str">
        <f>IFERROR(_xlfn.XLOOKUP(TRIM(B10255),Lookup!$B$2:$B$1000,Lookup!$C$2:$C$1000),"")</f>
        <v>Equity</v>
      </c>
      <c r="D10255" s="8" t="str">
        <f>IFERROR(INDEX('nav master'!$C:$C, MATCH(B10255, 'nav master'!$B:$B, 0)), "")</f>
        <v>ULIF07114/07/23FlexiCapFd101</v>
      </c>
      <c r="E10255" s="8" t="s">
        <v>482</v>
      </c>
      <c r="F10255" s="8" t="s">
        <v>3830</v>
      </c>
    </row>
    <row r="10256" spans="1:6" ht="60" x14ac:dyDescent="0.25">
      <c r="A10256" s="8" t="s">
        <v>125</v>
      </c>
      <c r="B10256" s="8" t="s">
        <v>148</v>
      </c>
      <c r="C10256" s="8" t="str">
        <f>IFERROR(_xlfn.XLOOKUP(TRIM(B10256),Lookup!$B$2:$B$1000,Lookup!$C$2:$C$1000),"")</f>
        <v>Equity</v>
      </c>
      <c r="D10256" s="8" t="str">
        <f>IFERROR(INDEX('nav master'!$C:$C, MATCH(B10256, 'nav master'!$B:$B, 0)), "")</f>
        <v>ULIF07114/07/23FlexiCapFd101</v>
      </c>
      <c r="E10256" s="8" t="s">
        <v>484</v>
      </c>
      <c r="F10256" s="8" t="s">
        <v>3831</v>
      </c>
    </row>
    <row r="10257" spans="1:6" ht="60" x14ac:dyDescent="0.25">
      <c r="A10257" s="8" t="s">
        <v>125</v>
      </c>
      <c r="B10257" s="8" t="s">
        <v>148</v>
      </c>
      <c r="C10257" s="8" t="str">
        <f>IFERROR(_xlfn.XLOOKUP(TRIM(B10257),Lookup!$B$2:$B$1000,Lookup!$C$2:$C$1000),"")</f>
        <v>Equity</v>
      </c>
      <c r="D10257" s="8" t="str">
        <f>IFERROR(INDEX('nav master'!$C:$C, MATCH(B10257, 'nav master'!$B:$B, 0)), "")</f>
        <v>ULIF07114/07/23FlexiCapFd101</v>
      </c>
      <c r="E10257" s="8" t="s">
        <v>486</v>
      </c>
      <c r="F10257" s="8" t="s">
        <v>3832</v>
      </c>
    </row>
    <row r="10258" spans="1:6" ht="60" x14ac:dyDescent="0.25">
      <c r="A10258" s="8" t="s">
        <v>125</v>
      </c>
      <c r="B10258" s="8" t="s">
        <v>148</v>
      </c>
      <c r="C10258" s="8" t="str">
        <f>IFERROR(_xlfn.XLOOKUP(TRIM(B10258),Lookup!$B$2:$B$1000,Lookup!$C$2:$C$1000),"")</f>
        <v>Equity</v>
      </c>
      <c r="D10258" s="8" t="str">
        <f>IFERROR(INDEX('nav master'!$C:$C, MATCH(B10258, 'nav master'!$B:$B, 0)), "")</f>
        <v>ULIF07114/07/23FlexiCapFd101</v>
      </c>
      <c r="E10258" s="8" t="s">
        <v>488</v>
      </c>
      <c r="F10258" s="8" t="s">
        <v>3833</v>
      </c>
    </row>
    <row r="10259" spans="1:6" ht="60" x14ac:dyDescent="0.25">
      <c r="A10259" s="8" t="s">
        <v>125</v>
      </c>
      <c r="B10259" s="8" t="s">
        <v>148</v>
      </c>
      <c r="C10259" s="8" t="str">
        <f>IFERROR(_xlfn.XLOOKUP(TRIM(B10259),Lookup!$B$2:$B$1000,Lookup!$C$2:$C$1000),"")</f>
        <v>Equity</v>
      </c>
      <c r="D10259" s="8" t="str">
        <f>IFERROR(INDEX('nav master'!$C:$C, MATCH(B10259, 'nav master'!$B:$B, 0)), "")</f>
        <v>ULIF07114/07/23FlexiCapFd101</v>
      </c>
      <c r="E10259" s="8" t="s">
        <v>490</v>
      </c>
      <c r="F10259" s="8" t="s">
        <v>3834</v>
      </c>
    </row>
    <row r="10260" spans="1:6" ht="60" x14ac:dyDescent="0.25">
      <c r="A10260" s="8" t="s">
        <v>125</v>
      </c>
      <c r="B10260" s="8" t="s">
        <v>148</v>
      </c>
      <c r="C10260" s="8" t="str">
        <f>IFERROR(_xlfn.XLOOKUP(TRIM(B10260),Lookup!$B$2:$B$1000,Lookup!$C$2:$C$1000),"")</f>
        <v>Equity</v>
      </c>
      <c r="D10260" s="8" t="str">
        <f>IFERROR(INDEX('nav master'!$C:$C, MATCH(B10260, 'nav master'!$B:$B, 0)), "")</f>
        <v>ULIF07114/07/23FlexiCapFd101</v>
      </c>
      <c r="E10260" s="8" t="s">
        <v>492</v>
      </c>
      <c r="F10260" s="8" t="s">
        <v>3835</v>
      </c>
    </row>
    <row r="10261" spans="1:6" ht="60" x14ac:dyDescent="0.25">
      <c r="A10261" s="8" t="s">
        <v>125</v>
      </c>
      <c r="B10261" s="8" t="s">
        <v>148</v>
      </c>
      <c r="C10261" s="8" t="str">
        <f>IFERROR(_xlfn.XLOOKUP(TRIM(B10261),Lookup!$B$2:$B$1000,Lookup!$C$2:$C$1000),"")</f>
        <v>Equity</v>
      </c>
      <c r="D10261" s="8" t="str">
        <f>IFERROR(INDEX('nav master'!$C:$C, MATCH(B10261, 'nav master'!$B:$B, 0)), "")</f>
        <v>ULIF07114/07/23FlexiCapFd101</v>
      </c>
      <c r="E10261" s="8" t="s">
        <v>494</v>
      </c>
      <c r="F10261" s="8" t="s">
        <v>3836</v>
      </c>
    </row>
    <row r="10262" spans="1:6" ht="60" x14ac:dyDescent="0.25">
      <c r="A10262" s="8" t="s">
        <v>125</v>
      </c>
      <c r="B10262" s="8" t="s">
        <v>148</v>
      </c>
      <c r="C10262" s="8" t="str">
        <f>IFERROR(_xlfn.XLOOKUP(TRIM(B10262),Lookup!$B$2:$B$1000,Lookup!$C$2:$C$1000),"")</f>
        <v>Equity</v>
      </c>
      <c r="D10262" s="8" t="str">
        <f>IFERROR(INDEX('nav master'!$C:$C, MATCH(B10262, 'nav master'!$B:$B, 0)), "")</f>
        <v>ULIF07114/07/23FlexiCapFd101</v>
      </c>
      <c r="E10262" s="8" t="s">
        <v>496</v>
      </c>
      <c r="F10262" s="8" t="s">
        <v>3837</v>
      </c>
    </row>
    <row r="10263" spans="1:6" ht="60" x14ac:dyDescent="0.25">
      <c r="A10263" s="8" t="s">
        <v>125</v>
      </c>
      <c r="B10263" s="8" t="s">
        <v>148</v>
      </c>
      <c r="C10263" s="8" t="str">
        <f>IFERROR(_xlfn.XLOOKUP(TRIM(B10263),Lookup!$B$2:$B$1000,Lookup!$C$2:$C$1000),"")</f>
        <v>Equity</v>
      </c>
      <c r="D10263" s="8" t="str">
        <f>IFERROR(INDEX('nav master'!$C:$C, MATCH(B10263, 'nav master'!$B:$B, 0)), "")</f>
        <v>ULIF07114/07/23FlexiCapFd101</v>
      </c>
      <c r="E10263" s="8" t="s">
        <v>498</v>
      </c>
      <c r="F10263" s="8" t="s">
        <v>3838</v>
      </c>
    </row>
    <row r="10264" spans="1:6" ht="60" x14ac:dyDescent="0.25">
      <c r="A10264" s="8" t="s">
        <v>125</v>
      </c>
      <c r="B10264" s="8" t="s">
        <v>148</v>
      </c>
      <c r="C10264" s="8" t="str">
        <f>IFERROR(_xlfn.XLOOKUP(TRIM(B10264),Lookup!$B$2:$B$1000,Lookup!$C$2:$C$1000),"")</f>
        <v>Equity</v>
      </c>
      <c r="D10264" s="8" t="str">
        <f>IFERROR(INDEX('nav master'!$C:$C, MATCH(B10264, 'nav master'!$B:$B, 0)), "")</f>
        <v>ULIF07114/07/23FlexiCapFd101</v>
      </c>
      <c r="E10264" s="8" t="s">
        <v>500</v>
      </c>
      <c r="F10264" s="8" t="s">
        <v>3839</v>
      </c>
    </row>
    <row r="10265" spans="1:6" ht="60" x14ac:dyDescent="0.25">
      <c r="A10265" s="8" t="s">
        <v>125</v>
      </c>
      <c r="B10265" s="8" t="s">
        <v>148</v>
      </c>
      <c r="C10265" s="8" t="str">
        <f>IFERROR(_xlfn.XLOOKUP(TRIM(B10265),Lookup!$B$2:$B$1000,Lookup!$C$2:$C$1000),"")</f>
        <v>Equity</v>
      </c>
      <c r="D10265" s="8" t="str">
        <f>IFERROR(INDEX('nav master'!$C:$C, MATCH(B10265, 'nav master'!$B:$B, 0)), "")</f>
        <v>ULIF07114/07/23FlexiCapFd101</v>
      </c>
      <c r="E10265" s="8" t="s">
        <v>502</v>
      </c>
      <c r="F10265" s="8" t="s">
        <v>3840</v>
      </c>
    </row>
    <row r="10266" spans="1:6" ht="60" x14ac:dyDescent="0.25">
      <c r="A10266" s="8" t="s">
        <v>125</v>
      </c>
      <c r="B10266" s="8" t="s">
        <v>148</v>
      </c>
      <c r="C10266" s="8" t="str">
        <f>IFERROR(_xlfn.XLOOKUP(TRIM(B10266),Lookup!$B$2:$B$1000,Lookup!$C$2:$C$1000),"")</f>
        <v>Equity</v>
      </c>
      <c r="D10266" s="8" t="str">
        <f>IFERROR(INDEX('nav master'!$C:$C, MATCH(B10266, 'nav master'!$B:$B, 0)), "")</f>
        <v>ULIF07114/07/23FlexiCapFd101</v>
      </c>
      <c r="E10266" s="8" t="s">
        <v>504</v>
      </c>
      <c r="F10266" s="8" t="s">
        <v>3841</v>
      </c>
    </row>
    <row r="10267" spans="1:6" ht="60" x14ac:dyDescent="0.25">
      <c r="A10267" s="8" t="s">
        <v>125</v>
      </c>
      <c r="B10267" s="8" t="s">
        <v>148</v>
      </c>
      <c r="C10267" s="8" t="str">
        <f>IFERROR(_xlfn.XLOOKUP(TRIM(B10267),Lookup!$B$2:$B$1000,Lookup!$C$2:$C$1000),"")</f>
        <v>Equity</v>
      </c>
      <c r="D10267" s="8" t="str">
        <f>IFERROR(INDEX('nav master'!$C:$C, MATCH(B10267, 'nav master'!$B:$B, 0)), "")</f>
        <v>ULIF07114/07/23FlexiCapFd101</v>
      </c>
      <c r="E10267" s="8" t="s">
        <v>506</v>
      </c>
      <c r="F10267" s="8" t="s">
        <v>3842</v>
      </c>
    </row>
    <row r="10268" spans="1:6" ht="60" x14ac:dyDescent="0.25">
      <c r="A10268" s="8" t="s">
        <v>125</v>
      </c>
      <c r="B10268" s="8" t="s">
        <v>148</v>
      </c>
      <c r="C10268" s="8" t="str">
        <f>IFERROR(_xlfn.XLOOKUP(TRIM(B10268),Lookup!$B$2:$B$1000,Lookup!$C$2:$C$1000),"")</f>
        <v>Equity</v>
      </c>
      <c r="D10268" s="8" t="str">
        <f>IFERROR(INDEX('nav master'!$C:$C, MATCH(B10268, 'nav master'!$B:$B, 0)), "")</f>
        <v>ULIF07114/07/23FlexiCapFd101</v>
      </c>
      <c r="E10268" s="8" t="s">
        <v>508</v>
      </c>
      <c r="F10268" s="8" t="s">
        <v>3843</v>
      </c>
    </row>
    <row r="10269" spans="1:6" ht="60" x14ac:dyDescent="0.25">
      <c r="A10269" s="8" t="s">
        <v>125</v>
      </c>
      <c r="B10269" s="8" t="s">
        <v>148</v>
      </c>
      <c r="C10269" s="8" t="str">
        <f>IFERROR(_xlfn.XLOOKUP(TRIM(B10269),Lookup!$B$2:$B$1000,Lookup!$C$2:$C$1000),"")</f>
        <v>Equity</v>
      </c>
      <c r="D10269" s="8" t="str">
        <f>IFERROR(INDEX('nav master'!$C:$C, MATCH(B10269, 'nav master'!$B:$B, 0)), "")</f>
        <v>ULIF07114/07/23FlexiCapFd101</v>
      </c>
      <c r="E10269" s="8" t="s">
        <v>510</v>
      </c>
      <c r="F10269" s="8" t="s">
        <v>3844</v>
      </c>
    </row>
    <row r="10270" spans="1:6" ht="60" x14ac:dyDescent="0.25">
      <c r="A10270" s="8" t="s">
        <v>125</v>
      </c>
      <c r="B10270" s="8" t="s">
        <v>148</v>
      </c>
      <c r="C10270" s="8" t="str">
        <f>IFERROR(_xlfn.XLOOKUP(TRIM(B10270),Lookup!$B$2:$B$1000,Lookup!$C$2:$C$1000),"")</f>
        <v>Equity</v>
      </c>
      <c r="D10270" s="8" t="str">
        <f>IFERROR(INDEX('nav master'!$C:$C, MATCH(B10270, 'nav master'!$B:$B, 0)), "")</f>
        <v>ULIF07114/07/23FlexiCapFd101</v>
      </c>
      <c r="E10270" s="8" t="s">
        <v>512</v>
      </c>
      <c r="F10270" s="8" t="s">
        <v>3845</v>
      </c>
    </row>
    <row r="10271" spans="1:6" ht="60" x14ac:dyDescent="0.25">
      <c r="A10271" s="8" t="s">
        <v>125</v>
      </c>
      <c r="B10271" s="8" t="s">
        <v>148</v>
      </c>
      <c r="C10271" s="8" t="str">
        <f>IFERROR(_xlfn.XLOOKUP(TRIM(B10271),Lookup!$B$2:$B$1000,Lookup!$C$2:$C$1000),"")</f>
        <v>Equity</v>
      </c>
      <c r="D10271" s="8" t="str">
        <f>IFERROR(INDEX('nav master'!$C:$C, MATCH(B10271, 'nav master'!$B:$B, 0)), "")</f>
        <v>ULIF07114/07/23FlexiCapFd101</v>
      </c>
      <c r="E10271" s="8" t="s">
        <v>514</v>
      </c>
      <c r="F10271" s="8" t="s">
        <v>3846</v>
      </c>
    </row>
    <row r="10272" spans="1:6" ht="60" x14ac:dyDescent="0.25">
      <c r="A10272" s="8" t="s">
        <v>125</v>
      </c>
      <c r="B10272" s="8" t="s">
        <v>148</v>
      </c>
      <c r="C10272" s="8" t="str">
        <f>IFERROR(_xlfn.XLOOKUP(TRIM(B10272),Lookup!$B$2:$B$1000,Lookup!$C$2:$C$1000),"")</f>
        <v>Equity</v>
      </c>
      <c r="D10272" s="8" t="str">
        <f>IFERROR(INDEX('nav master'!$C:$C, MATCH(B10272, 'nav master'!$B:$B, 0)), "")</f>
        <v>ULIF07114/07/23FlexiCapFd101</v>
      </c>
      <c r="E10272" s="8" t="s">
        <v>516</v>
      </c>
      <c r="F10272" s="8" t="s">
        <v>3847</v>
      </c>
    </row>
    <row r="10273" spans="1:6" ht="60" x14ac:dyDescent="0.25">
      <c r="A10273" s="8" t="s">
        <v>125</v>
      </c>
      <c r="B10273" s="8" t="s">
        <v>148</v>
      </c>
      <c r="C10273" s="8" t="str">
        <f>IFERROR(_xlfn.XLOOKUP(TRIM(B10273),Lookup!$B$2:$B$1000,Lookup!$C$2:$C$1000),"")</f>
        <v>Equity</v>
      </c>
      <c r="D10273" s="8" t="str">
        <f>IFERROR(INDEX('nav master'!$C:$C, MATCH(B10273, 'nav master'!$B:$B, 0)), "")</f>
        <v>ULIF07114/07/23FlexiCapFd101</v>
      </c>
      <c r="E10273" s="8" t="s">
        <v>518</v>
      </c>
      <c r="F10273" s="8" t="s">
        <v>3848</v>
      </c>
    </row>
    <row r="10274" spans="1:6" ht="60" x14ac:dyDescent="0.25">
      <c r="A10274" s="8" t="s">
        <v>125</v>
      </c>
      <c r="B10274" s="8" t="s">
        <v>148</v>
      </c>
      <c r="C10274" s="8" t="str">
        <f>IFERROR(_xlfn.XLOOKUP(TRIM(B10274),Lookup!$B$2:$B$1000,Lookup!$C$2:$C$1000),"")</f>
        <v>Equity</v>
      </c>
      <c r="D10274" s="8" t="str">
        <f>IFERROR(INDEX('nav master'!$C:$C, MATCH(B10274, 'nav master'!$B:$B, 0)), "")</f>
        <v>ULIF07114/07/23FlexiCapFd101</v>
      </c>
      <c r="E10274" s="8" t="s">
        <v>520</v>
      </c>
      <c r="F10274" s="8" t="s">
        <v>3849</v>
      </c>
    </row>
    <row r="10275" spans="1:6" ht="60" x14ac:dyDescent="0.25">
      <c r="A10275" s="8" t="s">
        <v>125</v>
      </c>
      <c r="B10275" s="8" t="s">
        <v>148</v>
      </c>
      <c r="C10275" s="8" t="str">
        <f>IFERROR(_xlfn.XLOOKUP(TRIM(B10275),Lookup!$B$2:$B$1000,Lookup!$C$2:$C$1000),"")</f>
        <v>Equity</v>
      </c>
      <c r="D10275" s="8" t="str">
        <f>IFERROR(INDEX('nav master'!$C:$C, MATCH(B10275, 'nav master'!$B:$B, 0)), "")</f>
        <v>ULIF07114/07/23FlexiCapFd101</v>
      </c>
      <c r="E10275" s="8" t="s">
        <v>522</v>
      </c>
      <c r="F10275" s="8" t="s">
        <v>3850</v>
      </c>
    </row>
    <row r="10276" spans="1:6" ht="60" x14ac:dyDescent="0.25">
      <c r="A10276" s="8" t="s">
        <v>125</v>
      </c>
      <c r="B10276" s="8" t="s">
        <v>148</v>
      </c>
      <c r="C10276" s="8" t="str">
        <f>IFERROR(_xlfn.XLOOKUP(TRIM(B10276),Lookup!$B$2:$B$1000,Lookup!$C$2:$C$1000),"")</f>
        <v>Equity</v>
      </c>
      <c r="D10276" s="8" t="str">
        <f>IFERROR(INDEX('nav master'!$C:$C, MATCH(B10276, 'nav master'!$B:$B, 0)), "")</f>
        <v>ULIF07114/07/23FlexiCapFd101</v>
      </c>
      <c r="E10276" s="8" t="s">
        <v>524</v>
      </c>
      <c r="F10276" s="8" t="s">
        <v>3851</v>
      </c>
    </row>
    <row r="10277" spans="1:6" ht="60" x14ac:dyDescent="0.25">
      <c r="A10277" s="8" t="s">
        <v>125</v>
      </c>
      <c r="B10277" s="8" t="s">
        <v>148</v>
      </c>
      <c r="C10277" s="8" t="str">
        <f>IFERROR(_xlfn.XLOOKUP(TRIM(B10277),Lookup!$B$2:$B$1000,Lookup!$C$2:$C$1000),"")</f>
        <v>Equity</v>
      </c>
      <c r="D10277" s="8" t="str">
        <f>IFERROR(INDEX('nav master'!$C:$C, MATCH(B10277, 'nav master'!$B:$B, 0)), "")</f>
        <v>ULIF07114/07/23FlexiCapFd101</v>
      </c>
      <c r="E10277" s="8" t="s">
        <v>526</v>
      </c>
      <c r="F10277" s="8" t="s">
        <v>3852</v>
      </c>
    </row>
    <row r="10278" spans="1:6" ht="60" x14ac:dyDescent="0.25">
      <c r="A10278" s="8" t="s">
        <v>125</v>
      </c>
      <c r="B10278" s="8" t="s">
        <v>148</v>
      </c>
      <c r="C10278" s="8" t="str">
        <f>IFERROR(_xlfn.XLOOKUP(TRIM(B10278),Lookup!$B$2:$B$1000,Lookup!$C$2:$C$1000),"")</f>
        <v>Equity</v>
      </c>
      <c r="D10278" s="8" t="str">
        <f>IFERROR(INDEX('nav master'!$C:$C, MATCH(B10278, 'nav master'!$B:$B, 0)), "")</f>
        <v>ULIF07114/07/23FlexiCapFd101</v>
      </c>
      <c r="E10278" s="8" t="s">
        <v>528</v>
      </c>
      <c r="F10278" s="8" t="s">
        <v>3853</v>
      </c>
    </row>
    <row r="10279" spans="1:6" ht="60" x14ac:dyDescent="0.25">
      <c r="A10279" s="8" t="s">
        <v>125</v>
      </c>
      <c r="B10279" s="8" t="s">
        <v>148</v>
      </c>
      <c r="C10279" s="8" t="str">
        <f>IFERROR(_xlfn.XLOOKUP(TRIM(B10279),Lookup!$B$2:$B$1000,Lookup!$C$2:$C$1000),"")</f>
        <v>Equity</v>
      </c>
      <c r="D10279" s="8" t="str">
        <f>IFERROR(INDEX('nav master'!$C:$C, MATCH(B10279, 'nav master'!$B:$B, 0)), "")</f>
        <v>ULIF07114/07/23FlexiCapFd101</v>
      </c>
      <c r="E10279" s="8" t="s">
        <v>530</v>
      </c>
      <c r="F10279" s="8" t="s">
        <v>3854</v>
      </c>
    </row>
    <row r="10280" spans="1:6" ht="60" x14ac:dyDescent="0.25">
      <c r="A10280" s="8" t="s">
        <v>125</v>
      </c>
      <c r="B10280" s="8" t="s">
        <v>148</v>
      </c>
      <c r="C10280" s="8" t="str">
        <f>IFERROR(_xlfn.XLOOKUP(TRIM(B10280),Lookup!$B$2:$B$1000,Lookup!$C$2:$C$1000),"")</f>
        <v>Equity</v>
      </c>
      <c r="D10280" s="8" t="str">
        <f>IFERROR(INDEX('nav master'!$C:$C, MATCH(B10280, 'nav master'!$B:$B, 0)), "")</f>
        <v>ULIF07114/07/23FlexiCapFd101</v>
      </c>
      <c r="E10280" s="8" t="s">
        <v>532</v>
      </c>
      <c r="F10280" s="8" t="s">
        <v>3855</v>
      </c>
    </row>
    <row r="10281" spans="1:6" ht="60" x14ac:dyDescent="0.25">
      <c r="A10281" s="8" t="s">
        <v>125</v>
      </c>
      <c r="B10281" s="8" t="s">
        <v>148</v>
      </c>
      <c r="C10281" s="8" t="str">
        <f>IFERROR(_xlfn.XLOOKUP(TRIM(B10281),Lookup!$B$2:$B$1000,Lookup!$C$2:$C$1000),"")</f>
        <v>Equity</v>
      </c>
      <c r="D10281" s="8" t="str">
        <f>IFERROR(INDEX('nav master'!$C:$C, MATCH(B10281, 'nav master'!$B:$B, 0)), "")</f>
        <v>ULIF07114/07/23FlexiCapFd101</v>
      </c>
      <c r="E10281" s="8" t="s">
        <v>534</v>
      </c>
      <c r="F10281" s="8" t="s">
        <v>3856</v>
      </c>
    </row>
    <row r="10282" spans="1:6" ht="60" x14ac:dyDescent="0.25">
      <c r="A10282" s="8" t="s">
        <v>125</v>
      </c>
      <c r="B10282" s="8" t="s">
        <v>148</v>
      </c>
      <c r="C10282" s="8" t="str">
        <f>IFERROR(_xlfn.XLOOKUP(TRIM(B10282),Lookup!$B$2:$B$1000,Lookup!$C$2:$C$1000),"")</f>
        <v>Equity</v>
      </c>
      <c r="D10282" s="8" t="str">
        <f>IFERROR(INDEX('nav master'!$C:$C, MATCH(B10282, 'nav master'!$B:$B, 0)), "")</f>
        <v>ULIF07114/07/23FlexiCapFd101</v>
      </c>
      <c r="E10282" s="8" t="s">
        <v>536</v>
      </c>
      <c r="F10282" s="8" t="s">
        <v>3857</v>
      </c>
    </row>
    <row r="10283" spans="1:6" ht="60" x14ac:dyDescent="0.25">
      <c r="A10283" s="8" t="s">
        <v>125</v>
      </c>
      <c r="B10283" s="8" t="s">
        <v>148</v>
      </c>
      <c r="C10283" s="8" t="str">
        <f>IFERROR(_xlfn.XLOOKUP(TRIM(B10283),Lookup!$B$2:$B$1000,Lookup!$C$2:$C$1000),"")</f>
        <v>Equity</v>
      </c>
      <c r="D10283" s="8" t="str">
        <f>IFERROR(INDEX('nav master'!$C:$C, MATCH(B10283, 'nav master'!$B:$B, 0)), "")</f>
        <v>ULIF07114/07/23FlexiCapFd101</v>
      </c>
      <c r="E10283" s="8" t="s">
        <v>538</v>
      </c>
      <c r="F10283" s="8" t="s">
        <v>3858</v>
      </c>
    </row>
    <row r="10284" spans="1:6" ht="60" x14ac:dyDescent="0.25">
      <c r="A10284" s="8" t="s">
        <v>125</v>
      </c>
      <c r="B10284" s="8" t="s">
        <v>148</v>
      </c>
      <c r="C10284" s="8" t="str">
        <f>IFERROR(_xlfn.XLOOKUP(TRIM(B10284),Lookup!$B$2:$B$1000,Lookup!$C$2:$C$1000),"")</f>
        <v>Equity</v>
      </c>
      <c r="D10284" s="8" t="str">
        <f>IFERROR(INDEX('nav master'!$C:$C, MATCH(B10284, 'nav master'!$B:$B, 0)), "")</f>
        <v>ULIF07114/07/23FlexiCapFd101</v>
      </c>
      <c r="E10284" s="8" t="s">
        <v>540</v>
      </c>
      <c r="F10284" s="8" t="s">
        <v>3859</v>
      </c>
    </row>
    <row r="10285" spans="1:6" ht="60" x14ac:dyDescent="0.25">
      <c r="A10285" s="8" t="s">
        <v>125</v>
      </c>
      <c r="B10285" s="8" t="s">
        <v>148</v>
      </c>
      <c r="C10285" s="8" t="str">
        <f>IFERROR(_xlfn.XLOOKUP(TRIM(B10285),Lookup!$B$2:$B$1000,Lookup!$C$2:$C$1000),"")</f>
        <v>Equity</v>
      </c>
      <c r="D10285" s="8" t="str">
        <f>IFERROR(INDEX('nav master'!$C:$C, MATCH(B10285, 'nav master'!$B:$B, 0)), "")</f>
        <v>ULIF07114/07/23FlexiCapFd101</v>
      </c>
      <c r="E10285" s="8" t="s">
        <v>542</v>
      </c>
      <c r="F10285" s="8" t="s">
        <v>3860</v>
      </c>
    </row>
    <row r="10286" spans="1:6" ht="60" x14ac:dyDescent="0.25">
      <c r="A10286" s="8" t="s">
        <v>125</v>
      </c>
      <c r="B10286" s="8" t="s">
        <v>148</v>
      </c>
      <c r="C10286" s="8" t="str">
        <f>IFERROR(_xlfn.XLOOKUP(TRIM(B10286),Lookup!$B$2:$B$1000,Lookup!$C$2:$C$1000),"")</f>
        <v>Equity</v>
      </c>
      <c r="D10286" s="8" t="str">
        <f>IFERROR(INDEX('nav master'!$C:$C, MATCH(B10286, 'nav master'!$B:$B, 0)), "")</f>
        <v>ULIF07114/07/23FlexiCapFd101</v>
      </c>
      <c r="E10286" s="8" t="s">
        <v>544</v>
      </c>
      <c r="F10286" s="8" t="s">
        <v>3861</v>
      </c>
    </row>
    <row r="10287" spans="1:6" ht="60" x14ac:dyDescent="0.25">
      <c r="A10287" s="8" t="s">
        <v>125</v>
      </c>
      <c r="B10287" s="8" t="s">
        <v>148</v>
      </c>
      <c r="C10287" s="8" t="str">
        <f>IFERROR(_xlfn.XLOOKUP(TRIM(B10287),Lookup!$B$2:$B$1000,Lookup!$C$2:$C$1000),"")</f>
        <v>Equity</v>
      </c>
      <c r="D10287" s="8" t="str">
        <f>IFERROR(INDEX('nav master'!$C:$C, MATCH(B10287, 'nav master'!$B:$B, 0)), "")</f>
        <v>ULIF07114/07/23FlexiCapFd101</v>
      </c>
      <c r="E10287" s="8" t="s">
        <v>546</v>
      </c>
      <c r="F10287" s="8" t="s">
        <v>3862</v>
      </c>
    </row>
    <row r="10288" spans="1:6" ht="60" x14ac:dyDescent="0.25">
      <c r="A10288" s="8" t="s">
        <v>125</v>
      </c>
      <c r="B10288" s="8" t="s">
        <v>148</v>
      </c>
      <c r="C10288" s="8" t="str">
        <f>IFERROR(_xlfn.XLOOKUP(TRIM(B10288),Lookup!$B$2:$B$1000,Lookup!$C$2:$C$1000),"")</f>
        <v>Equity</v>
      </c>
      <c r="D10288" s="8" t="str">
        <f>IFERROR(INDEX('nav master'!$C:$C, MATCH(B10288, 'nav master'!$B:$B, 0)), "")</f>
        <v>ULIF07114/07/23FlexiCapFd101</v>
      </c>
      <c r="E10288" s="8" t="s">
        <v>548</v>
      </c>
      <c r="F10288" s="8" t="s">
        <v>3863</v>
      </c>
    </row>
    <row r="10289" spans="1:6" ht="60" x14ac:dyDescent="0.25">
      <c r="A10289" s="8" t="s">
        <v>125</v>
      </c>
      <c r="B10289" s="8" t="s">
        <v>148</v>
      </c>
      <c r="C10289" s="8" t="str">
        <f>IFERROR(_xlfn.XLOOKUP(TRIM(B10289),Lookup!$B$2:$B$1000,Lookup!$C$2:$C$1000),"")</f>
        <v>Equity</v>
      </c>
      <c r="D10289" s="8" t="str">
        <f>IFERROR(INDEX('nav master'!$C:$C, MATCH(B10289, 'nav master'!$B:$B, 0)), "")</f>
        <v>ULIF07114/07/23FlexiCapFd101</v>
      </c>
      <c r="E10289" s="8" t="s">
        <v>550</v>
      </c>
      <c r="F10289" s="8" t="s">
        <v>2403</v>
      </c>
    </row>
    <row r="10290" spans="1:6" ht="60" x14ac:dyDescent="0.25">
      <c r="A10290" s="8" t="s">
        <v>125</v>
      </c>
      <c r="B10290" s="8" t="s">
        <v>148</v>
      </c>
      <c r="C10290" s="8" t="str">
        <f>IFERROR(_xlfn.XLOOKUP(TRIM(B10290),Lookup!$B$2:$B$1000,Lookup!$C$2:$C$1000),"")</f>
        <v>Equity</v>
      </c>
      <c r="D10290" s="8" t="str">
        <f>IFERROR(INDEX('nav master'!$C:$C, MATCH(B10290, 'nav master'!$B:$B, 0)), "")</f>
        <v>ULIF07114/07/23FlexiCapFd101</v>
      </c>
      <c r="E10290" s="8" t="s">
        <v>552</v>
      </c>
      <c r="F10290" s="8" t="s">
        <v>3864</v>
      </c>
    </row>
    <row r="10291" spans="1:6" ht="60" x14ac:dyDescent="0.25">
      <c r="A10291" s="8" t="s">
        <v>125</v>
      </c>
      <c r="B10291" s="8" t="s">
        <v>148</v>
      </c>
      <c r="C10291" s="8" t="str">
        <f>IFERROR(_xlfn.XLOOKUP(TRIM(B10291),Lookup!$B$2:$B$1000,Lookup!$C$2:$C$1000),"")</f>
        <v>Equity</v>
      </c>
      <c r="D10291" s="8" t="str">
        <f>IFERROR(INDEX('nav master'!$C:$C, MATCH(B10291, 'nav master'!$B:$B, 0)), "")</f>
        <v>ULIF07114/07/23FlexiCapFd101</v>
      </c>
      <c r="E10291" s="8" t="s">
        <v>554</v>
      </c>
      <c r="F10291" s="8" t="s">
        <v>3865</v>
      </c>
    </row>
    <row r="10292" spans="1:6" ht="60" x14ac:dyDescent="0.25">
      <c r="A10292" s="8" t="s">
        <v>125</v>
      </c>
      <c r="B10292" s="8" t="s">
        <v>148</v>
      </c>
      <c r="C10292" s="8" t="str">
        <f>IFERROR(_xlfn.XLOOKUP(TRIM(B10292),Lookup!$B$2:$B$1000,Lookup!$C$2:$C$1000),"")</f>
        <v>Equity</v>
      </c>
      <c r="D10292" s="8" t="str">
        <f>IFERROR(INDEX('nav master'!$C:$C, MATCH(B10292, 'nav master'!$B:$B, 0)), "")</f>
        <v>ULIF07114/07/23FlexiCapFd101</v>
      </c>
      <c r="E10292" s="8" t="s">
        <v>556</v>
      </c>
      <c r="F10292" s="8" t="s">
        <v>3866</v>
      </c>
    </row>
    <row r="10293" spans="1:6" ht="60" x14ac:dyDescent="0.25">
      <c r="A10293" s="8" t="s">
        <v>125</v>
      </c>
      <c r="B10293" s="8" t="s">
        <v>148</v>
      </c>
      <c r="C10293" s="8" t="str">
        <f>IFERROR(_xlfn.XLOOKUP(TRIM(B10293),Lookup!$B$2:$B$1000,Lookup!$C$2:$C$1000),"")</f>
        <v>Equity</v>
      </c>
      <c r="D10293" s="8" t="str">
        <f>IFERROR(INDEX('nav master'!$C:$C, MATCH(B10293, 'nav master'!$B:$B, 0)), "")</f>
        <v>ULIF07114/07/23FlexiCapFd101</v>
      </c>
      <c r="E10293" s="8" t="s">
        <v>558</v>
      </c>
      <c r="F10293" s="8" t="s">
        <v>3867</v>
      </c>
    </row>
    <row r="10294" spans="1:6" ht="60" x14ac:dyDescent="0.25">
      <c r="A10294" s="8" t="s">
        <v>125</v>
      </c>
      <c r="B10294" s="8" t="s">
        <v>148</v>
      </c>
      <c r="C10294" s="8" t="str">
        <f>IFERROR(_xlfn.XLOOKUP(TRIM(B10294),Lookup!$B$2:$B$1000,Lookup!$C$2:$C$1000),"")</f>
        <v>Equity</v>
      </c>
      <c r="D10294" s="8" t="str">
        <f>IFERROR(INDEX('nav master'!$C:$C, MATCH(B10294, 'nav master'!$B:$B, 0)), "")</f>
        <v>ULIF07114/07/23FlexiCapFd101</v>
      </c>
      <c r="E10294" s="8" t="s">
        <v>560</v>
      </c>
      <c r="F10294" s="8" t="s">
        <v>3868</v>
      </c>
    </row>
    <row r="10295" spans="1:6" ht="60" x14ac:dyDescent="0.25">
      <c r="A10295" s="8" t="s">
        <v>125</v>
      </c>
      <c r="B10295" s="8" t="s">
        <v>148</v>
      </c>
      <c r="C10295" s="8" t="str">
        <f>IFERROR(_xlfn.XLOOKUP(TRIM(B10295),Lookup!$B$2:$B$1000,Lookup!$C$2:$C$1000),"")</f>
        <v>Equity</v>
      </c>
      <c r="D10295" s="8" t="str">
        <f>IFERROR(INDEX('nav master'!$C:$C, MATCH(B10295, 'nav master'!$B:$B, 0)), "")</f>
        <v>ULIF07114/07/23FlexiCapFd101</v>
      </c>
      <c r="E10295" s="8" t="s">
        <v>562</v>
      </c>
      <c r="F10295" s="8" t="s">
        <v>3869</v>
      </c>
    </row>
    <row r="10296" spans="1:6" ht="60" x14ac:dyDescent="0.25">
      <c r="A10296" s="8" t="s">
        <v>125</v>
      </c>
      <c r="B10296" s="8" t="s">
        <v>148</v>
      </c>
      <c r="C10296" s="8" t="str">
        <f>IFERROR(_xlfn.XLOOKUP(TRIM(B10296),Lookup!$B$2:$B$1000,Lookup!$C$2:$C$1000),"")</f>
        <v>Equity</v>
      </c>
      <c r="D10296" s="8" t="str">
        <f>IFERROR(INDEX('nav master'!$C:$C, MATCH(B10296, 'nav master'!$B:$B, 0)), "")</f>
        <v>ULIF07114/07/23FlexiCapFd101</v>
      </c>
      <c r="E10296" s="8" t="s">
        <v>564</v>
      </c>
      <c r="F10296" s="8" t="s">
        <v>3870</v>
      </c>
    </row>
    <row r="10297" spans="1:6" ht="60" x14ac:dyDescent="0.25">
      <c r="A10297" s="8" t="s">
        <v>125</v>
      </c>
      <c r="B10297" s="8" t="s">
        <v>148</v>
      </c>
      <c r="C10297" s="8" t="str">
        <f>IFERROR(_xlfn.XLOOKUP(TRIM(B10297),Lookup!$B$2:$B$1000,Lookup!$C$2:$C$1000),"")</f>
        <v>Equity</v>
      </c>
      <c r="D10297" s="8" t="str">
        <f>IFERROR(INDEX('nav master'!$C:$C, MATCH(B10297, 'nav master'!$B:$B, 0)), "")</f>
        <v>ULIF07114/07/23FlexiCapFd101</v>
      </c>
      <c r="E10297" s="8" t="s">
        <v>566</v>
      </c>
      <c r="F10297" s="8" t="s">
        <v>3871</v>
      </c>
    </row>
    <row r="10298" spans="1:6" ht="60" x14ac:dyDescent="0.25">
      <c r="A10298" s="8" t="s">
        <v>125</v>
      </c>
      <c r="B10298" s="8" t="s">
        <v>148</v>
      </c>
      <c r="C10298" s="8" t="str">
        <f>IFERROR(_xlfn.XLOOKUP(TRIM(B10298),Lookup!$B$2:$B$1000,Lookup!$C$2:$C$1000),"")</f>
        <v>Equity</v>
      </c>
      <c r="D10298" s="8" t="str">
        <f>IFERROR(INDEX('nav master'!$C:$C, MATCH(B10298, 'nav master'!$B:$B, 0)), "")</f>
        <v>ULIF07114/07/23FlexiCapFd101</v>
      </c>
      <c r="E10298" s="8" t="s">
        <v>568</v>
      </c>
      <c r="F10298" s="8" t="s">
        <v>3872</v>
      </c>
    </row>
    <row r="10299" spans="1:6" ht="60" x14ac:dyDescent="0.25">
      <c r="A10299" s="8" t="s">
        <v>125</v>
      </c>
      <c r="B10299" s="8" t="s">
        <v>148</v>
      </c>
      <c r="C10299" s="8" t="str">
        <f>IFERROR(_xlfn.XLOOKUP(TRIM(B10299),Lookup!$B$2:$B$1000,Lookup!$C$2:$C$1000),"")</f>
        <v>Equity</v>
      </c>
      <c r="D10299" s="8" t="str">
        <f>IFERROR(INDEX('nav master'!$C:$C, MATCH(B10299, 'nav master'!$B:$B, 0)), "")</f>
        <v>ULIF07114/07/23FlexiCapFd101</v>
      </c>
      <c r="E10299" s="8" t="s">
        <v>570</v>
      </c>
      <c r="F10299" s="8" t="s">
        <v>3873</v>
      </c>
    </row>
    <row r="10300" spans="1:6" ht="60" x14ac:dyDescent="0.25">
      <c r="A10300" s="8" t="s">
        <v>125</v>
      </c>
      <c r="B10300" s="8" t="s">
        <v>148</v>
      </c>
      <c r="C10300" s="8" t="str">
        <f>IFERROR(_xlfn.XLOOKUP(TRIM(B10300),Lookup!$B$2:$B$1000,Lookup!$C$2:$C$1000),"")</f>
        <v>Equity</v>
      </c>
      <c r="D10300" s="8" t="str">
        <f>IFERROR(INDEX('nav master'!$C:$C, MATCH(B10300, 'nav master'!$B:$B, 0)), "")</f>
        <v>ULIF07114/07/23FlexiCapFd101</v>
      </c>
      <c r="E10300" s="8" t="s">
        <v>572</v>
      </c>
      <c r="F10300" s="8" t="s">
        <v>3874</v>
      </c>
    </row>
    <row r="10301" spans="1:6" ht="60" x14ac:dyDescent="0.25">
      <c r="A10301" s="8" t="s">
        <v>125</v>
      </c>
      <c r="B10301" s="8" t="s">
        <v>148</v>
      </c>
      <c r="C10301" s="8" t="str">
        <f>IFERROR(_xlfn.XLOOKUP(TRIM(B10301),Lookup!$B$2:$B$1000,Lookup!$C$2:$C$1000),"")</f>
        <v>Equity</v>
      </c>
      <c r="D10301" s="8" t="str">
        <f>IFERROR(INDEX('nav master'!$C:$C, MATCH(B10301, 'nav master'!$B:$B, 0)), "")</f>
        <v>ULIF07114/07/23FlexiCapFd101</v>
      </c>
      <c r="E10301" s="8" t="s">
        <v>574</v>
      </c>
      <c r="F10301" s="8" t="s">
        <v>3875</v>
      </c>
    </row>
    <row r="10302" spans="1:6" ht="60" x14ac:dyDescent="0.25">
      <c r="A10302" s="8" t="s">
        <v>125</v>
      </c>
      <c r="B10302" s="8" t="s">
        <v>148</v>
      </c>
      <c r="C10302" s="8" t="str">
        <f>IFERROR(_xlfn.XLOOKUP(TRIM(B10302),Lookup!$B$2:$B$1000,Lookup!$C$2:$C$1000),"")</f>
        <v>Equity</v>
      </c>
      <c r="D10302" s="8" t="str">
        <f>IFERROR(INDEX('nav master'!$C:$C, MATCH(B10302, 'nav master'!$B:$B, 0)), "")</f>
        <v>ULIF07114/07/23FlexiCapFd101</v>
      </c>
      <c r="E10302" s="8" t="s">
        <v>576</v>
      </c>
      <c r="F10302" s="8" t="s">
        <v>3876</v>
      </c>
    </row>
    <row r="10303" spans="1:6" ht="60" x14ac:dyDescent="0.25">
      <c r="A10303" s="8" t="s">
        <v>125</v>
      </c>
      <c r="B10303" s="8" t="s">
        <v>148</v>
      </c>
      <c r="C10303" s="8" t="str">
        <f>IFERROR(_xlfn.XLOOKUP(TRIM(B10303),Lookup!$B$2:$B$1000,Lookup!$C$2:$C$1000),"")</f>
        <v>Equity</v>
      </c>
      <c r="D10303" s="8" t="str">
        <f>IFERROR(INDEX('nav master'!$C:$C, MATCH(B10303, 'nav master'!$B:$B, 0)), "")</f>
        <v>ULIF07114/07/23FlexiCapFd101</v>
      </c>
      <c r="E10303" s="8" t="s">
        <v>578</v>
      </c>
      <c r="F10303" s="8" t="s">
        <v>3877</v>
      </c>
    </row>
    <row r="10304" spans="1:6" ht="60" x14ac:dyDescent="0.25">
      <c r="A10304" s="8" t="s">
        <v>125</v>
      </c>
      <c r="B10304" s="8" t="s">
        <v>148</v>
      </c>
      <c r="C10304" s="8" t="str">
        <f>IFERROR(_xlfn.XLOOKUP(TRIM(B10304),Lookup!$B$2:$B$1000,Lookup!$C$2:$C$1000),"")</f>
        <v>Equity</v>
      </c>
      <c r="D10304" s="8" t="str">
        <f>IFERROR(INDEX('nav master'!$C:$C, MATCH(B10304, 'nav master'!$B:$B, 0)), "")</f>
        <v>ULIF07114/07/23FlexiCapFd101</v>
      </c>
      <c r="E10304" s="8" t="s">
        <v>580</v>
      </c>
      <c r="F10304" s="8" t="s">
        <v>3878</v>
      </c>
    </row>
    <row r="10305" spans="1:6" ht="60" x14ac:dyDescent="0.25">
      <c r="A10305" s="8" t="s">
        <v>125</v>
      </c>
      <c r="B10305" s="8" t="s">
        <v>148</v>
      </c>
      <c r="C10305" s="8" t="str">
        <f>IFERROR(_xlfn.XLOOKUP(TRIM(B10305),Lookup!$B$2:$B$1000,Lookup!$C$2:$C$1000),"")</f>
        <v>Equity</v>
      </c>
      <c r="D10305" s="8" t="str">
        <f>IFERROR(INDEX('nav master'!$C:$C, MATCH(B10305, 'nav master'!$B:$B, 0)), "")</f>
        <v>ULIF07114/07/23FlexiCapFd101</v>
      </c>
      <c r="E10305" s="8" t="s">
        <v>582</v>
      </c>
      <c r="F10305" s="8" t="s">
        <v>3879</v>
      </c>
    </row>
    <row r="10306" spans="1:6" ht="60" x14ac:dyDescent="0.25">
      <c r="A10306" s="8" t="s">
        <v>125</v>
      </c>
      <c r="B10306" s="8" t="s">
        <v>148</v>
      </c>
      <c r="C10306" s="8" t="str">
        <f>IFERROR(_xlfn.XLOOKUP(TRIM(B10306),Lookup!$B$2:$B$1000,Lookup!$C$2:$C$1000),"")</f>
        <v>Equity</v>
      </c>
      <c r="D10306" s="8" t="str">
        <f>IFERROR(INDEX('nav master'!$C:$C, MATCH(B10306, 'nav master'!$B:$B, 0)), "")</f>
        <v>ULIF07114/07/23FlexiCapFd101</v>
      </c>
      <c r="E10306" s="8" t="s">
        <v>584</v>
      </c>
      <c r="F10306" s="8" t="s">
        <v>3880</v>
      </c>
    </row>
    <row r="10307" spans="1:6" ht="60" x14ac:dyDescent="0.25">
      <c r="A10307" s="8" t="s">
        <v>125</v>
      </c>
      <c r="B10307" s="8" t="s">
        <v>148</v>
      </c>
      <c r="C10307" s="8" t="str">
        <f>IFERROR(_xlfn.XLOOKUP(TRIM(B10307),Lookup!$B$2:$B$1000,Lookup!$C$2:$C$1000),"")</f>
        <v>Equity</v>
      </c>
      <c r="D10307" s="8" t="str">
        <f>IFERROR(INDEX('nav master'!$C:$C, MATCH(B10307, 'nav master'!$B:$B, 0)), "")</f>
        <v>ULIF07114/07/23FlexiCapFd101</v>
      </c>
      <c r="E10307" s="8" t="s">
        <v>586</v>
      </c>
      <c r="F10307" s="8" t="s">
        <v>3881</v>
      </c>
    </row>
    <row r="10308" spans="1:6" ht="60" x14ac:dyDescent="0.25">
      <c r="A10308" s="8" t="s">
        <v>125</v>
      </c>
      <c r="B10308" s="8" t="s">
        <v>148</v>
      </c>
      <c r="C10308" s="8" t="str">
        <f>IFERROR(_xlfn.XLOOKUP(TRIM(B10308),Lookup!$B$2:$B$1000,Lookup!$C$2:$C$1000),"")</f>
        <v>Equity</v>
      </c>
      <c r="D10308" s="8" t="str">
        <f>IFERROR(INDEX('nav master'!$C:$C, MATCH(B10308, 'nav master'!$B:$B, 0)), "")</f>
        <v>ULIF07114/07/23FlexiCapFd101</v>
      </c>
      <c r="E10308" s="8" t="s">
        <v>588</v>
      </c>
      <c r="F10308" s="8" t="s">
        <v>3882</v>
      </c>
    </row>
    <row r="10309" spans="1:6" ht="60" x14ac:dyDescent="0.25">
      <c r="A10309" s="8" t="s">
        <v>125</v>
      </c>
      <c r="B10309" s="8" t="s">
        <v>148</v>
      </c>
      <c r="C10309" s="8" t="str">
        <f>IFERROR(_xlfn.XLOOKUP(TRIM(B10309),Lookup!$B$2:$B$1000,Lookup!$C$2:$C$1000),"")</f>
        <v>Equity</v>
      </c>
      <c r="D10309" s="8" t="str">
        <f>IFERROR(INDEX('nav master'!$C:$C, MATCH(B10309, 'nav master'!$B:$B, 0)), "")</f>
        <v>ULIF07114/07/23FlexiCapFd101</v>
      </c>
      <c r="E10309" s="8" t="s">
        <v>590</v>
      </c>
      <c r="F10309" s="8" t="s">
        <v>3883</v>
      </c>
    </row>
    <row r="10310" spans="1:6" ht="60" x14ac:dyDescent="0.25">
      <c r="A10310" s="8" t="s">
        <v>125</v>
      </c>
      <c r="B10310" s="8" t="s">
        <v>148</v>
      </c>
      <c r="C10310" s="8" t="str">
        <f>IFERROR(_xlfn.XLOOKUP(TRIM(B10310),Lookup!$B$2:$B$1000,Lookup!$C$2:$C$1000),"")</f>
        <v>Equity</v>
      </c>
      <c r="D10310" s="8" t="str">
        <f>IFERROR(INDEX('nav master'!$C:$C, MATCH(B10310, 'nav master'!$B:$B, 0)), "")</f>
        <v>ULIF07114/07/23FlexiCapFd101</v>
      </c>
      <c r="E10310" s="8" t="s">
        <v>592</v>
      </c>
      <c r="F10310" s="8" t="s">
        <v>3884</v>
      </c>
    </row>
    <row r="10311" spans="1:6" ht="60" x14ac:dyDescent="0.25">
      <c r="A10311" s="8" t="s">
        <v>125</v>
      </c>
      <c r="B10311" s="8" t="s">
        <v>148</v>
      </c>
      <c r="C10311" s="8" t="str">
        <f>IFERROR(_xlfn.XLOOKUP(TRIM(B10311),Lookup!$B$2:$B$1000,Lookup!$C$2:$C$1000),"")</f>
        <v>Equity</v>
      </c>
      <c r="D10311" s="8" t="str">
        <f>IFERROR(INDEX('nav master'!$C:$C, MATCH(B10311, 'nav master'!$B:$B, 0)), "")</f>
        <v>ULIF07114/07/23FlexiCapFd101</v>
      </c>
      <c r="E10311" s="8" t="s">
        <v>594</v>
      </c>
      <c r="F10311" s="8" t="s">
        <v>3885</v>
      </c>
    </row>
    <row r="10312" spans="1:6" ht="60" x14ac:dyDescent="0.25">
      <c r="A10312" s="8" t="s">
        <v>125</v>
      </c>
      <c r="B10312" s="8" t="s">
        <v>148</v>
      </c>
      <c r="C10312" s="8" t="str">
        <f>IFERROR(_xlfn.XLOOKUP(TRIM(B10312),Lookup!$B$2:$B$1000,Lookup!$C$2:$C$1000),"")</f>
        <v>Equity</v>
      </c>
      <c r="D10312" s="8" t="str">
        <f>IFERROR(INDEX('nav master'!$C:$C, MATCH(B10312, 'nav master'!$B:$B, 0)), "")</f>
        <v>ULIF07114/07/23FlexiCapFd101</v>
      </c>
      <c r="E10312" s="8" t="s">
        <v>596</v>
      </c>
      <c r="F10312" s="8" t="s">
        <v>3886</v>
      </c>
    </row>
    <row r="10313" spans="1:6" ht="60" x14ac:dyDescent="0.25">
      <c r="A10313" s="8" t="s">
        <v>125</v>
      </c>
      <c r="B10313" s="8" t="s">
        <v>148</v>
      </c>
      <c r="C10313" s="8" t="str">
        <f>IFERROR(_xlfn.XLOOKUP(TRIM(B10313),Lookup!$B$2:$B$1000,Lookup!$C$2:$C$1000),"")</f>
        <v>Equity</v>
      </c>
      <c r="D10313" s="8" t="str">
        <f>IFERROR(INDEX('nav master'!$C:$C, MATCH(B10313, 'nav master'!$B:$B, 0)), "")</f>
        <v>ULIF07114/07/23FlexiCapFd101</v>
      </c>
      <c r="E10313" s="8" t="s">
        <v>598</v>
      </c>
      <c r="F10313" s="8" t="s">
        <v>3887</v>
      </c>
    </row>
    <row r="10314" spans="1:6" ht="60" x14ac:dyDescent="0.25">
      <c r="A10314" s="8" t="s">
        <v>125</v>
      </c>
      <c r="B10314" s="8" t="s">
        <v>148</v>
      </c>
      <c r="C10314" s="8" t="str">
        <f>IFERROR(_xlfn.XLOOKUP(TRIM(B10314),Lookup!$B$2:$B$1000,Lookup!$C$2:$C$1000),"")</f>
        <v>Equity</v>
      </c>
      <c r="D10314" s="8" t="str">
        <f>IFERROR(INDEX('nav master'!$C:$C, MATCH(B10314, 'nav master'!$B:$B, 0)), "")</f>
        <v>ULIF07114/07/23FlexiCapFd101</v>
      </c>
      <c r="E10314" s="8" t="s">
        <v>600</v>
      </c>
      <c r="F10314" s="8" t="s">
        <v>3888</v>
      </c>
    </row>
    <row r="10315" spans="1:6" ht="60" x14ac:dyDescent="0.25">
      <c r="A10315" s="8" t="s">
        <v>125</v>
      </c>
      <c r="B10315" s="8" t="s">
        <v>148</v>
      </c>
      <c r="C10315" s="8" t="str">
        <f>IFERROR(_xlfn.XLOOKUP(TRIM(B10315),Lookup!$B$2:$B$1000,Lookup!$C$2:$C$1000),"")</f>
        <v>Equity</v>
      </c>
      <c r="D10315" s="8" t="str">
        <f>IFERROR(INDEX('nav master'!$C:$C, MATCH(B10315, 'nav master'!$B:$B, 0)), "")</f>
        <v>ULIF07114/07/23FlexiCapFd101</v>
      </c>
      <c r="E10315" s="8" t="s">
        <v>602</v>
      </c>
      <c r="F10315" s="8" t="s">
        <v>3889</v>
      </c>
    </row>
    <row r="10316" spans="1:6" ht="60" x14ac:dyDescent="0.25">
      <c r="A10316" s="8" t="s">
        <v>125</v>
      </c>
      <c r="B10316" s="8" t="s">
        <v>148</v>
      </c>
      <c r="C10316" s="8" t="str">
        <f>IFERROR(_xlfn.XLOOKUP(TRIM(B10316),Lookup!$B$2:$B$1000,Lookup!$C$2:$C$1000),"")</f>
        <v>Equity</v>
      </c>
      <c r="D10316" s="8" t="str">
        <f>IFERROR(INDEX('nav master'!$C:$C, MATCH(B10316, 'nav master'!$B:$B, 0)), "")</f>
        <v>ULIF07114/07/23FlexiCapFd101</v>
      </c>
      <c r="E10316" s="8" t="s">
        <v>604</v>
      </c>
      <c r="F10316" s="8" t="s">
        <v>3890</v>
      </c>
    </row>
    <row r="10317" spans="1:6" ht="60" x14ac:dyDescent="0.25">
      <c r="A10317" s="8" t="s">
        <v>125</v>
      </c>
      <c r="B10317" s="8" t="s">
        <v>148</v>
      </c>
      <c r="C10317" s="8" t="str">
        <f>IFERROR(_xlfn.XLOOKUP(TRIM(B10317),Lookup!$B$2:$B$1000,Lookup!$C$2:$C$1000),"")</f>
        <v>Equity</v>
      </c>
      <c r="D10317" s="8" t="str">
        <f>IFERROR(INDEX('nav master'!$C:$C, MATCH(B10317, 'nav master'!$B:$B, 0)), "")</f>
        <v>ULIF07114/07/23FlexiCapFd101</v>
      </c>
      <c r="E10317" s="8" t="s">
        <v>606</v>
      </c>
      <c r="F10317" s="8" t="s">
        <v>3891</v>
      </c>
    </row>
    <row r="10318" spans="1:6" ht="60" x14ac:dyDescent="0.25">
      <c r="A10318" s="8" t="s">
        <v>125</v>
      </c>
      <c r="B10318" s="8" t="s">
        <v>148</v>
      </c>
      <c r="C10318" s="8" t="str">
        <f>IFERROR(_xlfn.XLOOKUP(TRIM(B10318),Lookup!$B$2:$B$1000,Lookup!$C$2:$C$1000),"")</f>
        <v>Equity</v>
      </c>
      <c r="D10318" s="8" t="str">
        <f>IFERROR(INDEX('nav master'!$C:$C, MATCH(B10318, 'nav master'!$B:$B, 0)), "")</f>
        <v>ULIF07114/07/23FlexiCapFd101</v>
      </c>
      <c r="E10318" s="8" t="s">
        <v>608</v>
      </c>
      <c r="F10318" s="8" t="s">
        <v>3892</v>
      </c>
    </row>
    <row r="10319" spans="1:6" ht="60" x14ac:dyDescent="0.25">
      <c r="A10319" s="8" t="s">
        <v>125</v>
      </c>
      <c r="B10319" s="8" t="s">
        <v>148</v>
      </c>
      <c r="C10319" s="8" t="str">
        <f>IFERROR(_xlfn.XLOOKUP(TRIM(B10319),Lookup!$B$2:$B$1000,Lookup!$C$2:$C$1000),"")</f>
        <v>Equity</v>
      </c>
      <c r="D10319" s="8" t="str">
        <f>IFERROR(INDEX('nav master'!$C:$C, MATCH(B10319, 'nav master'!$B:$B, 0)), "")</f>
        <v>ULIF07114/07/23FlexiCapFd101</v>
      </c>
      <c r="E10319" s="8" t="s">
        <v>610</v>
      </c>
      <c r="F10319" s="8" t="s">
        <v>3893</v>
      </c>
    </row>
    <row r="10320" spans="1:6" ht="60" x14ac:dyDescent="0.25">
      <c r="A10320" s="8" t="s">
        <v>125</v>
      </c>
      <c r="B10320" s="8" t="s">
        <v>148</v>
      </c>
      <c r="C10320" s="8" t="str">
        <f>IFERROR(_xlfn.XLOOKUP(TRIM(B10320),Lookup!$B$2:$B$1000,Lookup!$C$2:$C$1000),"")</f>
        <v>Equity</v>
      </c>
      <c r="D10320" s="8" t="str">
        <f>IFERROR(INDEX('nav master'!$C:$C, MATCH(B10320, 'nav master'!$B:$B, 0)), "")</f>
        <v>ULIF07114/07/23FlexiCapFd101</v>
      </c>
      <c r="E10320" s="8" t="s">
        <v>612</v>
      </c>
      <c r="F10320" s="8" t="s">
        <v>3894</v>
      </c>
    </row>
    <row r="10321" spans="1:6" ht="60" x14ac:dyDescent="0.25">
      <c r="A10321" s="8" t="s">
        <v>125</v>
      </c>
      <c r="B10321" s="8" t="s">
        <v>148</v>
      </c>
      <c r="C10321" s="8" t="str">
        <f>IFERROR(_xlfn.XLOOKUP(TRIM(B10321),Lookup!$B$2:$B$1000,Lookup!$C$2:$C$1000),"")</f>
        <v>Equity</v>
      </c>
      <c r="D10321" s="8" t="str">
        <f>IFERROR(INDEX('nav master'!$C:$C, MATCH(B10321, 'nav master'!$B:$B, 0)), "")</f>
        <v>ULIF07114/07/23FlexiCapFd101</v>
      </c>
      <c r="E10321" s="8" t="s">
        <v>614</v>
      </c>
      <c r="F10321" s="8" t="s">
        <v>3895</v>
      </c>
    </row>
    <row r="10322" spans="1:6" ht="60" x14ac:dyDescent="0.25">
      <c r="A10322" s="8" t="s">
        <v>125</v>
      </c>
      <c r="B10322" s="8" t="s">
        <v>148</v>
      </c>
      <c r="C10322" s="8" t="str">
        <f>IFERROR(_xlfn.XLOOKUP(TRIM(B10322),Lookup!$B$2:$B$1000,Lookup!$C$2:$C$1000),"")</f>
        <v>Equity</v>
      </c>
      <c r="D10322" s="8" t="str">
        <f>IFERROR(INDEX('nav master'!$C:$C, MATCH(B10322, 'nav master'!$B:$B, 0)), "")</f>
        <v>ULIF07114/07/23FlexiCapFd101</v>
      </c>
      <c r="E10322" s="8" t="s">
        <v>616</v>
      </c>
      <c r="F10322" s="8" t="s">
        <v>3896</v>
      </c>
    </row>
    <row r="10323" spans="1:6" ht="60" x14ac:dyDescent="0.25">
      <c r="A10323" s="8" t="s">
        <v>125</v>
      </c>
      <c r="B10323" s="8" t="s">
        <v>148</v>
      </c>
      <c r="C10323" s="8" t="str">
        <f>IFERROR(_xlfn.XLOOKUP(TRIM(B10323),Lookup!$B$2:$B$1000,Lookup!$C$2:$C$1000),"")</f>
        <v>Equity</v>
      </c>
      <c r="D10323" s="8" t="str">
        <f>IFERROR(INDEX('nav master'!$C:$C, MATCH(B10323, 'nav master'!$B:$B, 0)), "")</f>
        <v>ULIF07114/07/23FlexiCapFd101</v>
      </c>
      <c r="E10323" s="8" t="s">
        <v>618</v>
      </c>
      <c r="F10323" s="8" t="s">
        <v>3897</v>
      </c>
    </row>
    <row r="10324" spans="1:6" ht="60" x14ac:dyDescent="0.25">
      <c r="A10324" s="8" t="s">
        <v>125</v>
      </c>
      <c r="B10324" s="8" t="s">
        <v>148</v>
      </c>
      <c r="C10324" s="8" t="str">
        <f>IFERROR(_xlfn.XLOOKUP(TRIM(B10324),Lookup!$B$2:$B$1000,Lookup!$C$2:$C$1000),"")</f>
        <v>Equity</v>
      </c>
      <c r="D10324" s="8" t="str">
        <f>IFERROR(INDEX('nav master'!$C:$C, MATCH(B10324, 'nav master'!$B:$B, 0)), "")</f>
        <v>ULIF07114/07/23FlexiCapFd101</v>
      </c>
      <c r="E10324" s="8" t="s">
        <v>620</v>
      </c>
      <c r="F10324" s="8" t="s">
        <v>3898</v>
      </c>
    </row>
    <row r="10325" spans="1:6" ht="60" x14ac:dyDescent="0.25">
      <c r="A10325" s="8" t="s">
        <v>125</v>
      </c>
      <c r="B10325" s="8" t="s">
        <v>148</v>
      </c>
      <c r="C10325" s="8" t="str">
        <f>IFERROR(_xlfn.XLOOKUP(TRIM(B10325),Lookup!$B$2:$B$1000,Lookup!$C$2:$C$1000),"")</f>
        <v>Equity</v>
      </c>
      <c r="D10325" s="8" t="str">
        <f>IFERROR(INDEX('nav master'!$C:$C, MATCH(B10325, 'nav master'!$B:$B, 0)), "")</f>
        <v>ULIF07114/07/23FlexiCapFd101</v>
      </c>
      <c r="E10325" s="8" t="s">
        <v>622</v>
      </c>
      <c r="F10325" s="8" t="s">
        <v>3899</v>
      </c>
    </row>
    <row r="10326" spans="1:6" ht="60" x14ac:dyDescent="0.25">
      <c r="A10326" s="8" t="s">
        <v>125</v>
      </c>
      <c r="B10326" s="8" t="s">
        <v>148</v>
      </c>
      <c r="C10326" s="8" t="str">
        <f>IFERROR(_xlfn.XLOOKUP(TRIM(B10326),Lookup!$B$2:$B$1000,Lookup!$C$2:$C$1000),"")</f>
        <v>Equity</v>
      </c>
      <c r="D10326" s="8" t="str">
        <f>IFERROR(INDEX('nav master'!$C:$C, MATCH(B10326, 'nav master'!$B:$B, 0)), "")</f>
        <v>ULIF07114/07/23FlexiCapFd101</v>
      </c>
      <c r="E10326" s="8" t="s">
        <v>624</v>
      </c>
      <c r="F10326" s="8" t="s">
        <v>3900</v>
      </c>
    </row>
    <row r="10327" spans="1:6" ht="60" x14ac:dyDescent="0.25">
      <c r="A10327" s="8" t="s">
        <v>125</v>
      </c>
      <c r="B10327" s="8" t="s">
        <v>148</v>
      </c>
      <c r="C10327" s="8" t="str">
        <f>IFERROR(_xlfn.XLOOKUP(TRIM(B10327),Lookup!$B$2:$B$1000,Lookup!$C$2:$C$1000),"")</f>
        <v>Equity</v>
      </c>
      <c r="D10327" s="8" t="str">
        <f>IFERROR(INDEX('nav master'!$C:$C, MATCH(B10327, 'nav master'!$B:$B, 0)), "")</f>
        <v>ULIF07114/07/23FlexiCapFd101</v>
      </c>
      <c r="E10327" s="8" t="s">
        <v>626</v>
      </c>
      <c r="F10327" s="8" t="s">
        <v>3901</v>
      </c>
    </row>
    <row r="10328" spans="1:6" ht="60" x14ac:dyDescent="0.25">
      <c r="A10328" s="8" t="s">
        <v>125</v>
      </c>
      <c r="B10328" s="8" t="s">
        <v>148</v>
      </c>
      <c r="C10328" s="8" t="str">
        <f>IFERROR(_xlfn.XLOOKUP(TRIM(B10328),Lookup!$B$2:$B$1000,Lookup!$C$2:$C$1000),"")</f>
        <v>Equity</v>
      </c>
      <c r="D10328" s="8" t="str">
        <f>IFERROR(INDEX('nav master'!$C:$C, MATCH(B10328, 'nav master'!$B:$B, 0)), "")</f>
        <v>ULIF07114/07/23FlexiCapFd101</v>
      </c>
      <c r="E10328" s="8" t="s">
        <v>628</v>
      </c>
      <c r="F10328" s="8" t="s">
        <v>3902</v>
      </c>
    </row>
    <row r="10329" spans="1:6" ht="60" x14ac:dyDescent="0.25">
      <c r="A10329" s="8" t="s">
        <v>125</v>
      </c>
      <c r="B10329" s="8" t="s">
        <v>148</v>
      </c>
      <c r="C10329" s="8" t="str">
        <f>IFERROR(_xlfn.XLOOKUP(TRIM(B10329),Lookup!$B$2:$B$1000,Lookup!$C$2:$C$1000),"")</f>
        <v>Equity</v>
      </c>
      <c r="D10329" s="8" t="str">
        <f>IFERROR(INDEX('nav master'!$C:$C, MATCH(B10329, 'nav master'!$B:$B, 0)), "")</f>
        <v>ULIF07114/07/23FlexiCapFd101</v>
      </c>
      <c r="E10329" s="8" t="s">
        <v>630</v>
      </c>
      <c r="F10329" s="8" t="s">
        <v>3903</v>
      </c>
    </row>
    <row r="10330" spans="1:6" ht="60" x14ac:dyDescent="0.25">
      <c r="A10330" s="8" t="s">
        <v>125</v>
      </c>
      <c r="B10330" s="8" t="s">
        <v>148</v>
      </c>
      <c r="C10330" s="8" t="str">
        <f>IFERROR(_xlfn.XLOOKUP(TRIM(B10330),Lookup!$B$2:$B$1000,Lookup!$C$2:$C$1000),"")</f>
        <v>Equity</v>
      </c>
      <c r="D10330" s="8" t="str">
        <f>IFERROR(INDEX('nav master'!$C:$C, MATCH(B10330, 'nav master'!$B:$B, 0)), "")</f>
        <v>ULIF07114/07/23FlexiCapFd101</v>
      </c>
      <c r="E10330" s="8" t="s">
        <v>632</v>
      </c>
      <c r="F10330" s="8" t="s">
        <v>3904</v>
      </c>
    </row>
    <row r="10331" spans="1:6" ht="60" x14ac:dyDescent="0.25">
      <c r="A10331" s="8" t="s">
        <v>125</v>
      </c>
      <c r="B10331" s="8" t="s">
        <v>148</v>
      </c>
      <c r="C10331" s="8" t="str">
        <f>IFERROR(_xlfn.XLOOKUP(TRIM(B10331),Lookup!$B$2:$B$1000,Lookup!$C$2:$C$1000),"")</f>
        <v>Equity</v>
      </c>
      <c r="D10331" s="8" t="str">
        <f>IFERROR(INDEX('nav master'!$C:$C, MATCH(B10331, 'nav master'!$B:$B, 0)), "")</f>
        <v>ULIF07114/07/23FlexiCapFd101</v>
      </c>
      <c r="E10331" s="8" t="s">
        <v>634</v>
      </c>
      <c r="F10331" s="8" t="s">
        <v>3905</v>
      </c>
    </row>
    <row r="10332" spans="1:6" ht="60" x14ac:dyDescent="0.25">
      <c r="A10332" s="8" t="s">
        <v>125</v>
      </c>
      <c r="B10332" s="8" t="s">
        <v>148</v>
      </c>
      <c r="C10332" s="8" t="str">
        <f>IFERROR(_xlfn.XLOOKUP(TRIM(B10332),Lookup!$B$2:$B$1000,Lookup!$C$2:$C$1000),"")</f>
        <v>Equity</v>
      </c>
      <c r="D10332" s="8" t="str">
        <f>IFERROR(INDEX('nav master'!$C:$C, MATCH(B10332, 'nav master'!$B:$B, 0)), "")</f>
        <v>ULIF07114/07/23FlexiCapFd101</v>
      </c>
      <c r="E10332" s="8" t="s">
        <v>636</v>
      </c>
      <c r="F10332" s="8" t="s">
        <v>3906</v>
      </c>
    </row>
    <row r="10333" spans="1:6" ht="60" x14ac:dyDescent="0.25">
      <c r="A10333" s="8" t="s">
        <v>125</v>
      </c>
      <c r="B10333" s="8" t="s">
        <v>148</v>
      </c>
      <c r="C10333" s="8" t="str">
        <f>IFERROR(_xlfn.XLOOKUP(TRIM(B10333),Lookup!$B$2:$B$1000,Lookup!$C$2:$C$1000),"")</f>
        <v>Equity</v>
      </c>
      <c r="D10333" s="8" t="str">
        <f>IFERROR(INDEX('nav master'!$C:$C, MATCH(B10333, 'nav master'!$B:$B, 0)), "")</f>
        <v>ULIF07114/07/23FlexiCapFd101</v>
      </c>
      <c r="E10333" s="8" t="s">
        <v>638</v>
      </c>
      <c r="F10333" s="8" t="s">
        <v>3907</v>
      </c>
    </row>
    <row r="10334" spans="1:6" ht="60" x14ac:dyDescent="0.25">
      <c r="A10334" s="8" t="s">
        <v>125</v>
      </c>
      <c r="B10334" s="8" t="s">
        <v>148</v>
      </c>
      <c r="C10334" s="8" t="str">
        <f>IFERROR(_xlfn.XLOOKUP(TRIM(B10334),Lookup!$B$2:$B$1000,Lookup!$C$2:$C$1000),"")</f>
        <v>Equity</v>
      </c>
      <c r="D10334" s="8" t="str">
        <f>IFERROR(INDEX('nav master'!$C:$C, MATCH(B10334, 'nav master'!$B:$B, 0)), "")</f>
        <v>ULIF07114/07/23FlexiCapFd101</v>
      </c>
      <c r="E10334" s="8" t="s">
        <v>640</v>
      </c>
      <c r="F10334" s="8" t="s">
        <v>3908</v>
      </c>
    </row>
    <row r="10335" spans="1:6" ht="60" x14ac:dyDescent="0.25">
      <c r="A10335" s="8" t="s">
        <v>125</v>
      </c>
      <c r="B10335" s="8" t="s">
        <v>148</v>
      </c>
      <c r="C10335" s="8" t="str">
        <f>IFERROR(_xlfn.XLOOKUP(TRIM(B10335),Lookup!$B$2:$B$1000,Lookup!$C$2:$C$1000),"")</f>
        <v>Equity</v>
      </c>
      <c r="D10335" s="8" t="str">
        <f>IFERROR(INDEX('nav master'!$C:$C, MATCH(B10335, 'nav master'!$B:$B, 0)), "")</f>
        <v>ULIF07114/07/23FlexiCapFd101</v>
      </c>
      <c r="E10335" s="8" t="s">
        <v>642</v>
      </c>
      <c r="F10335" s="8" t="s">
        <v>2463</v>
      </c>
    </row>
    <row r="10336" spans="1:6" ht="60" x14ac:dyDescent="0.25">
      <c r="A10336" s="8" t="s">
        <v>125</v>
      </c>
      <c r="B10336" s="8" t="s">
        <v>148</v>
      </c>
      <c r="C10336" s="8" t="str">
        <f>IFERROR(_xlfn.XLOOKUP(TRIM(B10336),Lookup!$B$2:$B$1000,Lookup!$C$2:$C$1000),"")</f>
        <v>Equity</v>
      </c>
      <c r="D10336" s="8" t="str">
        <f>IFERROR(INDEX('nav master'!$C:$C, MATCH(B10336, 'nav master'!$B:$B, 0)), "")</f>
        <v>ULIF07114/07/23FlexiCapFd101</v>
      </c>
      <c r="E10336" s="8" t="s">
        <v>644</v>
      </c>
      <c r="F10336" s="8" t="s">
        <v>3909</v>
      </c>
    </row>
    <row r="10337" spans="1:6" ht="60" x14ac:dyDescent="0.25">
      <c r="A10337" s="8" t="s">
        <v>125</v>
      </c>
      <c r="B10337" s="8" t="s">
        <v>148</v>
      </c>
      <c r="C10337" s="8" t="str">
        <f>IFERROR(_xlfn.XLOOKUP(TRIM(B10337),Lookup!$B$2:$B$1000,Lookup!$C$2:$C$1000),"")</f>
        <v>Equity</v>
      </c>
      <c r="D10337" s="8" t="str">
        <f>IFERROR(INDEX('nav master'!$C:$C, MATCH(B10337, 'nav master'!$B:$B, 0)), "")</f>
        <v>ULIF07114/07/23FlexiCapFd101</v>
      </c>
      <c r="E10337" s="8" t="s">
        <v>646</v>
      </c>
      <c r="F10337" s="8" t="s">
        <v>3910</v>
      </c>
    </row>
    <row r="10338" spans="1:6" ht="60" x14ac:dyDescent="0.25">
      <c r="A10338" s="8" t="s">
        <v>125</v>
      </c>
      <c r="B10338" s="8" t="s">
        <v>148</v>
      </c>
      <c r="C10338" s="8" t="str">
        <f>IFERROR(_xlfn.XLOOKUP(TRIM(B10338),Lookup!$B$2:$B$1000,Lookup!$C$2:$C$1000),"")</f>
        <v>Equity</v>
      </c>
      <c r="D10338" s="8" t="str">
        <f>IFERROR(INDEX('nav master'!$C:$C, MATCH(B10338, 'nav master'!$B:$B, 0)), "")</f>
        <v>ULIF07114/07/23FlexiCapFd101</v>
      </c>
      <c r="E10338" s="8" t="s">
        <v>648</v>
      </c>
      <c r="F10338" s="8" t="s">
        <v>3911</v>
      </c>
    </row>
    <row r="10339" spans="1:6" ht="60" x14ac:dyDescent="0.25">
      <c r="A10339" s="8" t="s">
        <v>125</v>
      </c>
      <c r="B10339" s="8" t="s">
        <v>148</v>
      </c>
      <c r="C10339" s="8" t="str">
        <f>IFERROR(_xlfn.XLOOKUP(TRIM(B10339),Lookup!$B$2:$B$1000,Lookup!$C$2:$C$1000),"")</f>
        <v>Equity</v>
      </c>
      <c r="D10339" s="8" t="str">
        <f>IFERROR(INDEX('nav master'!$C:$C, MATCH(B10339, 'nav master'!$B:$B, 0)), "")</f>
        <v>ULIF07114/07/23FlexiCapFd101</v>
      </c>
      <c r="E10339" s="8" t="s">
        <v>650</v>
      </c>
      <c r="F10339" s="8" t="s">
        <v>3912</v>
      </c>
    </row>
    <row r="10340" spans="1:6" ht="60" x14ac:dyDescent="0.25">
      <c r="A10340" s="8" t="s">
        <v>125</v>
      </c>
      <c r="B10340" s="8" t="s">
        <v>148</v>
      </c>
      <c r="C10340" s="8" t="str">
        <f>IFERROR(_xlfn.XLOOKUP(TRIM(B10340),Lookup!$B$2:$B$1000,Lookup!$C$2:$C$1000),"")</f>
        <v>Equity</v>
      </c>
      <c r="D10340" s="8" t="str">
        <f>IFERROR(INDEX('nav master'!$C:$C, MATCH(B10340, 'nav master'!$B:$B, 0)), "")</f>
        <v>ULIF07114/07/23FlexiCapFd101</v>
      </c>
      <c r="E10340" s="8" t="s">
        <v>652</v>
      </c>
      <c r="F10340" s="8" t="s">
        <v>3913</v>
      </c>
    </row>
    <row r="10341" spans="1:6" ht="60" x14ac:dyDescent="0.25">
      <c r="A10341" s="8" t="s">
        <v>125</v>
      </c>
      <c r="B10341" s="8" t="s">
        <v>148</v>
      </c>
      <c r="C10341" s="8" t="str">
        <f>IFERROR(_xlfn.XLOOKUP(TRIM(B10341),Lookup!$B$2:$B$1000,Lookup!$C$2:$C$1000),"")</f>
        <v>Equity</v>
      </c>
      <c r="D10341" s="8" t="str">
        <f>IFERROR(INDEX('nav master'!$C:$C, MATCH(B10341, 'nav master'!$B:$B, 0)), "")</f>
        <v>ULIF07114/07/23FlexiCapFd101</v>
      </c>
      <c r="E10341" s="8" t="s">
        <v>654</v>
      </c>
      <c r="F10341" s="8" t="s">
        <v>3914</v>
      </c>
    </row>
    <row r="10342" spans="1:6" ht="60" x14ac:dyDescent="0.25">
      <c r="A10342" s="8" t="s">
        <v>125</v>
      </c>
      <c r="B10342" s="8" t="s">
        <v>148</v>
      </c>
      <c r="C10342" s="8" t="str">
        <f>IFERROR(_xlfn.XLOOKUP(TRIM(B10342),Lookup!$B$2:$B$1000,Lookup!$C$2:$C$1000),"")</f>
        <v>Equity</v>
      </c>
      <c r="D10342" s="8" t="str">
        <f>IFERROR(INDEX('nav master'!$C:$C, MATCH(B10342, 'nav master'!$B:$B, 0)), "")</f>
        <v>ULIF07114/07/23FlexiCapFd101</v>
      </c>
      <c r="E10342" s="8" t="s">
        <v>656</v>
      </c>
      <c r="F10342" s="8" t="s">
        <v>3915</v>
      </c>
    </row>
    <row r="10343" spans="1:6" ht="60" x14ac:dyDescent="0.25">
      <c r="A10343" s="8" t="s">
        <v>125</v>
      </c>
      <c r="B10343" s="8" t="s">
        <v>148</v>
      </c>
      <c r="C10343" s="8" t="str">
        <f>IFERROR(_xlfn.XLOOKUP(TRIM(B10343),Lookup!$B$2:$B$1000,Lookup!$C$2:$C$1000),"")</f>
        <v>Equity</v>
      </c>
      <c r="D10343" s="8" t="str">
        <f>IFERROR(INDEX('nav master'!$C:$C, MATCH(B10343, 'nav master'!$B:$B, 0)), "")</f>
        <v>ULIF07114/07/23FlexiCapFd101</v>
      </c>
      <c r="E10343" s="8" t="s">
        <v>658</v>
      </c>
      <c r="F10343" s="8" t="s">
        <v>3916</v>
      </c>
    </row>
    <row r="10344" spans="1:6" ht="60" x14ac:dyDescent="0.25">
      <c r="A10344" s="8" t="s">
        <v>125</v>
      </c>
      <c r="B10344" s="8" t="s">
        <v>148</v>
      </c>
      <c r="C10344" s="8" t="str">
        <f>IFERROR(_xlfn.XLOOKUP(TRIM(B10344),Lookup!$B$2:$B$1000,Lookup!$C$2:$C$1000),"")</f>
        <v>Equity</v>
      </c>
      <c r="D10344" s="8" t="str">
        <f>IFERROR(INDEX('nav master'!$C:$C, MATCH(B10344, 'nav master'!$B:$B, 0)), "")</f>
        <v>ULIF07114/07/23FlexiCapFd101</v>
      </c>
      <c r="E10344" s="8" t="s">
        <v>660</v>
      </c>
      <c r="F10344" s="8" t="s">
        <v>3917</v>
      </c>
    </row>
    <row r="10345" spans="1:6" ht="60" x14ac:dyDescent="0.25">
      <c r="A10345" s="8" t="s">
        <v>125</v>
      </c>
      <c r="B10345" s="8" t="s">
        <v>148</v>
      </c>
      <c r="C10345" s="8" t="str">
        <f>IFERROR(_xlfn.XLOOKUP(TRIM(B10345),Lookup!$B$2:$B$1000,Lookup!$C$2:$C$1000),"")</f>
        <v>Equity</v>
      </c>
      <c r="D10345" s="8" t="str">
        <f>IFERROR(INDEX('nav master'!$C:$C, MATCH(B10345, 'nav master'!$B:$B, 0)), "")</f>
        <v>ULIF07114/07/23FlexiCapFd101</v>
      </c>
      <c r="E10345" s="8" t="s">
        <v>662</v>
      </c>
      <c r="F10345" s="8" t="s">
        <v>3918</v>
      </c>
    </row>
    <row r="10346" spans="1:6" ht="60" x14ac:dyDescent="0.25">
      <c r="A10346" s="8" t="s">
        <v>125</v>
      </c>
      <c r="B10346" s="8" t="s">
        <v>148</v>
      </c>
      <c r="C10346" s="8" t="str">
        <f>IFERROR(_xlfn.XLOOKUP(TRIM(B10346),Lookup!$B$2:$B$1000,Lookup!$C$2:$C$1000),"")</f>
        <v>Equity</v>
      </c>
      <c r="D10346" s="8" t="str">
        <f>IFERROR(INDEX('nav master'!$C:$C, MATCH(B10346, 'nav master'!$B:$B, 0)), "")</f>
        <v>ULIF07114/07/23FlexiCapFd101</v>
      </c>
      <c r="E10346" s="8" t="s">
        <v>664</v>
      </c>
      <c r="F10346" s="8" t="s">
        <v>3919</v>
      </c>
    </row>
    <row r="10347" spans="1:6" ht="60" x14ac:dyDescent="0.25">
      <c r="A10347" s="8" t="s">
        <v>125</v>
      </c>
      <c r="B10347" s="8" t="s">
        <v>148</v>
      </c>
      <c r="C10347" s="8" t="str">
        <f>IFERROR(_xlfn.XLOOKUP(TRIM(B10347),Lookup!$B$2:$B$1000,Lookup!$C$2:$C$1000),"")</f>
        <v>Equity</v>
      </c>
      <c r="D10347" s="8" t="str">
        <f>IFERROR(INDEX('nav master'!$C:$C, MATCH(B10347, 'nav master'!$B:$B, 0)), "")</f>
        <v>ULIF07114/07/23FlexiCapFd101</v>
      </c>
      <c r="E10347" s="8" t="s">
        <v>4892</v>
      </c>
      <c r="F10347" s="8" t="s">
        <v>5013</v>
      </c>
    </row>
    <row r="10348" spans="1:6" ht="60" x14ac:dyDescent="0.25">
      <c r="A10348" s="8" t="s">
        <v>125</v>
      </c>
      <c r="B10348" s="8" t="s">
        <v>148</v>
      </c>
      <c r="C10348" s="8" t="str">
        <f>IFERROR(_xlfn.XLOOKUP(TRIM(B10348),Lookup!$B$2:$B$1000,Lookup!$C$2:$C$1000),"")</f>
        <v>Equity</v>
      </c>
      <c r="D10348" s="8" t="str">
        <f>IFERROR(INDEX('nav master'!$C:$C, MATCH(B10348, 'nav master'!$B:$B, 0)), "")</f>
        <v>ULIF07114/07/23FlexiCapFd101</v>
      </c>
      <c r="E10348" s="8" t="s">
        <v>4894</v>
      </c>
      <c r="F10348" s="8" t="s">
        <v>5014</v>
      </c>
    </row>
    <row r="10349" spans="1:6" ht="60" x14ac:dyDescent="0.25">
      <c r="A10349" s="8" t="s">
        <v>125</v>
      </c>
      <c r="B10349" s="8" t="s">
        <v>148</v>
      </c>
      <c r="C10349" s="8" t="str">
        <f>IFERROR(_xlfn.XLOOKUP(TRIM(B10349),Lookup!$B$2:$B$1000,Lookup!$C$2:$C$1000),"")</f>
        <v>Equity</v>
      </c>
      <c r="D10349" s="8" t="str">
        <f>IFERROR(INDEX('nav master'!$C:$C, MATCH(B10349, 'nav master'!$B:$B, 0)), "")</f>
        <v>ULIF07114/07/23FlexiCapFd101</v>
      </c>
      <c r="E10349" s="8" t="s">
        <v>4896</v>
      </c>
      <c r="F10349" s="8" t="s">
        <v>5015</v>
      </c>
    </row>
    <row r="10350" spans="1:6" ht="60" x14ac:dyDescent="0.25">
      <c r="A10350" s="8" t="s">
        <v>125</v>
      </c>
      <c r="B10350" s="8" t="s">
        <v>148</v>
      </c>
      <c r="C10350" s="8" t="str">
        <f>IFERROR(_xlfn.XLOOKUP(TRIM(B10350),Lookup!$B$2:$B$1000,Lookup!$C$2:$C$1000),"")</f>
        <v>Equity</v>
      </c>
      <c r="D10350" s="8" t="str">
        <f>IFERROR(INDEX('nav master'!$C:$C, MATCH(B10350, 'nav master'!$B:$B, 0)), "")</f>
        <v>ULIF07114/07/23FlexiCapFd101</v>
      </c>
      <c r="E10350" s="8" t="s">
        <v>4898</v>
      </c>
      <c r="F10350" s="8" t="s">
        <v>5016</v>
      </c>
    </row>
    <row r="10351" spans="1:6" ht="60" x14ac:dyDescent="0.25">
      <c r="A10351" s="8" t="s">
        <v>125</v>
      </c>
      <c r="B10351" s="8" t="s">
        <v>148</v>
      </c>
      <c r="C10351" s="8" t="str">
        <f>IFERROR(_xlfn.XLOOKUP(TRIM(B10351),Lookup!$B$2:$B$1000,Lookup!$C$2:$C$1000),"")</f>
        <v>Equity</v>
      </c>
      <c r="D10351" s="8" t="str">
        <f>IFERROR(INDEX('nav master'!$C:$C, MATCH(B10351, 'nav master'!$B:$B, 0)), "")</f>
        <v>ULIF07114/07/23FlexiCapFd101</v>
      </c>
      <c r="E10351" s="8" t="s">
        <v>4900</v>
      </c>
      <c r="F10351" s="8" t="s">
        <v>5017</v>
      </c>
    </row>
    <row r="10352" spans="1:6" ht="60" x14ac:dyDescent="0.25">
      <c r="A10352" s="8" t="s">
        <v>125</v>
      </c>
      <c r="B10352" s="8" t="s">
        <v>148</v>
      </c>
      <c r="C10352" s="8" t="str">
        <f>IFERROR(_xlfn.XLOOKUP(TRIM(B10352),Lookup!$B$2:$B$1000,Lookup!$C$2:$C$1000),"")</f>
        <v>Equity</v>
      </c>
      <c r="D10352" s="8" t="str">
        <f>IFERROR(INDEX('nav master'!$C:$C, MATCH(B10352, 'nav master'!$B:$B, 0)), "")</f>
        <v>ULIF07114/07/23FlexiCapFd101</v>
      </c>
      <c r="E10352" s="8" t="s">
        <v>4902</v>
      </c>
      <c r="F10352" s="8" t="s">
        <v>5018</v>
      </c>
    </row>
    <row r="10353" spans="1:6" ht="60" x14ac:dyDescent="0.25">
      <c r="A10353" s="8" t="s">
        <v>125</v>
      </c>
      <c r="B10353" s="8" t="s">
        <v>148</v>
      </c>
      <c r="C10353" s="8" t="str">
        <f>IFERROR(_xlfn.XLOOKUP(TRIM(B10353),Lookup!$B$2:$B$1000,Lookup!$C$2:$C$1000),"")</f>
        <v>Equity</v>
      </c>
      <c r="D10353" s="8" t="str">
        <f>IFERROR(INDEX('nav master'!$C:$C, MATCH(B10353, 'nav master'!$B:$B, 0)), "")</f>
        <v>ULIF07114/07/23FlexiCapFd101</v>
      </c>
      <c r="E10353" s="8" t="s">
        <v>4903</v>
      </c>
      <c r="F10353" s="8" t="s">
        <v>5019</v>
      </c>
    </row>
    <row r="10354" spans="1:6" ht="60" x14ac:dyDescent="0.25">
      <c r="A10354" s="8" t="s">
        <v>125</v>
      </c>
      <c r="B10354" s="8" t="s">
        <v>148</v>
      </c>
      <c r="C10354" s="8" t="str">
        <f>IFERROR(_xlfn.XLOOKUP(TRIM(B10354),Lookup!$B$2:$B$1000,Lookup!$C$2:$C$1000),"")</f>
        <v>Equity</v>
      </c>
      <c r="D10354" s="8" t="str">
        <f>IFERROR(INDEX('nav master'!$C:$C, MATCH(B10354, 'nav master'!$B:$B, 0)), "")</f>
        <v>ULIF07114/07/23FlexiCapFd101</v>
      </c>
      <c r="E10354" s="8" t="s">
        <v>4905</v>
      </c>
      <c r="F10354" s="8" t="s">
        <v>5020</v>
      </c>
    </row>
    <row r="10355" spans="1:6" ht="45" x14ac:dyDescent="0.25">
      <c r="A10355" s="8" t="s">
        <v>125</v>
      </c>
      <c r="B10355" s="8" t="s">
        <v>4866</v>
      </c>
      <c r="C10355" s="8" t="str">
        <f>IFERROR(_xlfn.XLOOKUP(TRIM(B10355),Lookup!$B$2:$B$1000,Lookup!$C$2:$C$1000),"")</f>
        <v>Equity</v>
      </c>
      <c r="D10355" s="8" t="str">
        <f>IFERROR(INDEX('nav master'!$C:$C, MATCH(B10355, 'nav master'!$B:$B, 0)), "")</f>
        <v/>
      </c>
      <c r="E10355" s="8" t="s">
        <v>189</v>
      </c>
      <c r="F10355" s="8" t="s">
        <v>5327</v>
      </c>
    </row>
    <row r="10356" spans="1:6" ht="45" x14ac:dyDescent="0.25">
      <c r="A10356" s="8" t="s">
        <v>125</v>
      </c>
      <c r="B10356" s="8" t="s">
        <v>4866</v>
      </c>
      <c r="C10356" s="8" t="str">
        <f>IFERROR(_xlfn.XLOOKUP(TRIM(B10356),Lookup!$B$2:$B$1000,Lookup!$C$2:$C$1000),"")</f>
        <v>Equity</v>
      </c>
      <c r="D10356" s="8" t="str">
        <f>IFERROR(INDEX('nav master'!$C:$C, MATCH(B10356, 'nav master'!$B:$B, 0)), "")</f>
        <v/>
      </c>
      <c r="E10356" s="8" t="s">
        <v>191</v>
      </c>
      <c r="F10356" s="8" t="s">
        <v>5328</v>
      </c>
    </row>
    <row r="10357" spans="1:6" ht="45" x14ac:dyDescent="0.25">
      <c r="A10357" s="8" t="s">
        <v>125</v>
      </c>
      <c r="B10357" s="8" t="s">
        <v>4866</v>
      </c>
      <c r="C10357" s="8" t="str">
        <f>IFERROR(_xlfn.XLOOKUP(TRIM(B10357),Lookup!$B$2:$B$1000,Lookup!$C$2:$C$1000),"")</f>
        <v>Equity</v>
      </c>
      <c r="D10357" s="8" t="str">
        <f>IFERROR(INDEX('nav master'!$C:$C, MATCH(B10357, 'nav master'!$B:$B, 0)), "")</f>
        <v/>
      </c>
      <c r="E10357" s="8" t="s">
        <v>193</v>
      </c>
      <c r="F10357" s="8" t="s">
        <v>5329</v>
      </c>
    </row>
    <row r="10358" spans="1:6" ht="45" x14ac:dyDescent="0.25">
      <c r="A10358" s="8" t="s">
        <v>125</v>
      </c>
      <c r="B10358" s="8" t="s">
        <v>4866</v>
      </c>
      <c r="C10358" s="8" t="str">
        <f>IFERROR(_xlfn.XLOOKUP(TRIM(B10358),Lookup!$B$2:$B$1000,Lookup!$C$2:$C$1000),"")</f>
        <v>Equity</v>
      </c>
      <c r="D10358" s="8" t="str">
        <f>IFERROR(INDEX('nav master'!$C:$C, MATCH(B10358, 'nav master'!$B:$B, 0)), "")</f>
        <v/>
      </c>
      <c r="E10358" s="8" t="s">
        <v>195</v>
      </c>
      <c r="F10358" s="8" t="s">
        <v>5330</v>
      </c>
    </row>
    <row r="10359" spans="1:6" ht="45" x14ac:dyDescent="0.25">
      <c r="A10359" s="8" t="s">
        <v>125</v>
      </c>
      <c r="B10359" s="8" t="s">
        <v>4866</v>
      </c>
      <c r="C10359" s="8" t="str">
        <f>IFERROR(_xlfn.XLOOKUP(TRIM(B10359),Lookup!$B$2:$B$1000,Lookup!$C$2:$C$1000),"")</f>
        <v>Equity</v>
      </c>
      <c r="D10359" s="8" t="str">
        <f>IFERROR(INDEX('nav master'!$C:$C, MATCH(B10359, 'nav master'!$B:$B, 0)), "")</f>
        <v/>
      </c>
      <c r="E10359" s="8" t="s">
        <v>197</v>
      </c>
      <c r="F10359" s="8" t="s">
        <v>5331</v>
      </c>
    </row>
    <row r="10360" spans="1:6" ht="45" x14ac:dyDescent="0.25">
      <c r="A10360" s="8" t="s">
        <v>125</v>
      </c>
      <c r="B10360" s="8" t="s">
        <v>4866</v>
      </c>
      <c r="C10360" s="8" t="str">
        <f>IFERROR(_xlfn.XLOOKUP(TRIM(B10360),Lookup!$B$2:$B$1000,Lookup!$C$2:$C$1000),"")</f>
        <v>Equity</v>
      </c>
      <c r="D10360" s="8" t="str">
        <f>IFERROR(INDEX('nav master'!$C:$C, MATCH(B10360, 'nav master'!$B:$B, 0)), "")</f>
        <v/>
      </c>
      <c r="E10360" s="8" t="s">
        <v>199</v>
      </c>
      <c r="F10360" s="8" t="s">
        <v>5332</v>
      </c>
    </row>
    <row r="10361" spans="1:6" ht="45" x14ac:dyDescent="0.25">
      <c r="A10361" s="8" t="s">
        <v>125</v>
      </c>
      <c r="B10361" s="8" t="s">
        <v>4866</v>
      </c>
      <c r="C10361" s="8" t="str">
        <f>IFERROR(_xlfn.XLOOKUP(TRIM(B10361),Lookup!$B$2:$B$1000,Lookup!$C$2:$C$1000),"")</f>
        <v>Equity</v>
      </c>
      <c r="D10361" s="8" t="str">
        <f>IFERROR(INDEX('nav master'!$C:$C, MATCH(B10361, 'nav master'!$B:$B, 0)), "")</f>
        <v/>
      </c>
      <c r="E10361" s="8" t="s">
        <v>201</v>
      </c>
      <c r="F10361" s="8" t="s">
        <v>5333</v>
      </c>
    </row>
    <row r="10362" spans="1:6" ht="45" x14ac:dyDescent="0.25">
      <c r="A10362" s="8" t="s">
        <v>125</v>
      </c>
      <c r="B10362" s="8" t="s">
        <v>4866</v>
      </c>
      <c r="C10362" s="8" t="str">
        <f>IFERROR(_xlfn.XLOOKUP(TRIM(B10362),Lookup!$B$2:$B$1000,Lookup!$C$2:$C$1000),"")</f>
        <v>Equity</v>
      </c>
      <c r="D10362" s="8" t="str">
        <f>IFERROR(INDEX('nav master'!$C:$C, MATCH(B10362, 'nav master'!$B:$B, 0)), "")</f>
        <v/>
      </c>
      <c r="E10362" s="8" t="s">
        <v>203</v>
      </c>
      <c r="F10362" s="8" t="s">
        <v>5334</v>
      </c>
    </row>
    <row r="10363" spans="1:6" ht="45" x14ac:dyDescent="0.25">
      <c r="A10363" s="8" t="s">
        <v>125</v>
      </c>
      <c r="B10363" s="8" t="s">
        <v>4866</v>
      </c>
      <c r="C10363" s="8" t="str">
        <f>IFERROR(_xlfn.XLOOKUP(TRIM(B10363),Lookup!$B$2:$B$1000,Lookup!$C$2:$C$1000),"")</f>
        <v>Equity</v>
      </c>
      <c r="D10363" s="8" t="str">
        <f>IFERROR(INDEX('nav master'!$C:$C, MATCH(B10363, 'nav master'!$B:$B, 0)), "")</f>
        <v/>
      </c>
      <c r="E10363" s="8" t="s">
        <v>205</v>
      </c>
      <c r="F10363" s="8" t="s">
        <v>5335</v>
      </c>
    </row>
    <row r="10364" spans="1:6" ht="45" x14ac:dyDescent="0.25">
      <c r="A10364" s="8" t="s">
        <v>125</v>
      </c>
      <c r="B10364" s="8" t="s">
        <v>4866</v>
      </c>
      <c r="C10364" s="8" t="str">
        <f>IFERROR(_xlfn.XLOOKUP(TRIM(B10364),Lookup!$B$2:$B$1000,Lookup!$C$2:$C$1000),"")</f>
        <v>Equity</v>
      </c>
      <c r="D10364" s="8" t="str">
        <f>IFERROR(INDEX('nav master'!$C:$C, MATCH(B10364, 'nav master'!$B:$B, 0)), "")</f>
        <v/>
      </c>
      <c r="E10364" s="8" t="s">
        <v>207</v>
      </c>
      <c r="F10364" s="8" t="s">
        <v>5336</v>
      </c>
    </row>
    <row r="10365" spans="1:6" ht="45" x14ac:dyDescent="0.25">
      <c r="A10365" s="8" t="s">
        <v>125</v>
      </c>
      <c r="B10365" s="8" t="s">
        <v>4866</v>
      </c>
      <c r="C10365" s="8" t="str">
        <f>IFERROR(_xlfn.XLOOKUP(TRIM(B10365),Lookup!$B$2:$B$1000,Lookup!$C$2:$C$1000),"")</f>
        <v>Equity</v>
      </c>
      <c r="D10365" s="8" t="str">
        <f>IFERROR(INDEX('nav master'!$C:$C, MATCH(B10365, 'nav master'!$B:$B, 0)), "")</f>
        <v/>
      </c>
      <c r="E10365" s="8" t="s">
        <v>209</v>
      </c>
      <c r="F10365" s="8" t="s">
        <v>5337</v>
      </c>
    </row>
    <row r="10366" spans="1:6" ht="45" x14ac:dyDescent="0.25">
      <c r="A10366" s="8" t="s">
        <v>125</v>
      </c>
      <c r="B10366" s="8" t="s">
        <v>4866</v>
      </c>
      <c r="C10366" s="8" t="str">
        <f>IFERROR(_xlfn.XLOOKUP(TRIM(B10366),Lookup!$B$2:$B$1000,Lookup!$C$2:$C$1000),"")</f>
        <v>Equity</v>
      </c>
      <c r="D10366" s="8" t="str">
        <f>IFERROR(INDEX('nav master'!$C:$C, MATCH(B10366, 'nav master'!$B:$B, 0)), "")</f>
        <v/>
      </c>
      <c r="E10366" s="8" t="s">
        <v>211</v>
      </c>
      <c r="F10366" s="8" t="s">
        <v>5338</v>
      </c>
    </row>
    <row r="10367" spans="1:6" ht="45" x14ac:dyDescent="0.25">
      <c r="A10367" s="8" t="s">
        <v>125</v>
      </c>
      <c r="B10367" s="8" t="s">
        <v>4866</v>
      </c>
      <c r="C10367" s="8" t="str">
        <f>IFERROR(_xlfn.XLOOKUP(TRIM(B10367),Lookup!$B$2:$B$1000,Lookup!$C$2:$C$1000),"")</f>
        <v>Equity</v>
      </c>
      <c r="D10367" s="8" t="str">
        <f>IFERROR(INDEX('nav master'!$C:$C, MATCH(B10367, 'nav master'!$B:$B, 0)), "")</f>
        <v/>
      </c>
      <c r="E10367" s="8" t="s">
        <v>213</v>
      </c>
      <c r="F10367" s="8" t="s">
        <v>5339</v>
      </c>
    </row>
    <row r="10368" spans="1:6" ht="45" x14ac:dyDescent="0.25">
      <c r="A10368" s="8" t="s">
        <v>125</v>
      </c>
      <c r="B10368" s="8" t="s">
        <v>4866</v>
      </c>
      <c r="C10368" s="8" t="str">
        <f>IFERROR(_xlfn.XLOOKUP(TRIM(B10368),Lookup!$B$2:$B$1000,Lookup!$C$2:$C$1000),"")</f>
        <v>Equity</v>
      </c>
      <c r="D10368" s="8" t="str">
        <f>IFERROR(INDEX('nav master'!$C:$C, MATCH(B10368, 'nav master'!$B:$B, 0)), "")</f>
        <v/>
      </c>
      <c r="E10368" s="8" t="s">
        <v>215</v>
      </c>
      <c r="F10368" s="8" t="s">
        <v>5340</v>
      </c>
    </row>
    <row r="10369" spans="1:6" ht="45" x14ac:dyDescent="0.25">
      <c r="A10369" s="8" t="s">
        <v>125</v>
      </c>
      <c r="B10369" s="8" t="s">
        <v>4866</v>
      </c>
      <c r="C10369" s="8" t="str">
        <f>IFERROR(_xlfn.XLOOKUP(TRIM(B10369),Lookup!$B$2:$B$1000,Lookup!$C$2:$C$1000),"")</f>
        <v>Equity</v>
      </c>
      <c r="D10369" s="8" t="str">
        <f>IFERROR(INDEX('nav master'!$C:$C, MATCH(B10369, 'nav master'!$B:$B, 0)), "")</f>
        <v/>
      </c>
      <c r="E10369" s="8" t="s">
        <v>217</v>
      </c>
      <c r="F10369" s="8" t="s">
        <v>5341</v>
      </c>
    </row>
    <row r="10370" spans="1:6" ht="45" x14ac:dyDescent="0.25">
      <c r="A10370" s="8" t="s">
        <v>125</v>
      </c>
      <c r="B10370" s="8" t="s">
        <v>4866</v>
      </c>
      <c r="C10370" s="8" t="str">
        <f>IFERROR(_xlfn.XLOOKUP(TRIM(B10370),Lookup!$B$2:$B$1000,Lookup!$C$2:$C$1000),"")</f>
        <v>Equity</v>
      </c>
      <c r="D10370" s="8" t="str">
        <f>IFERROR(INDEX('nav master'!$C:$C, MATCH(B10370, 'nav master'!$B:$B, 0)), "")</f>
        <v/>
      </c>
      <c r="E10370" s="8" t="s">
        <v>219</v>
      </c>
      <c r="F10370" s="8" t="s">
        <v>5342</v>
      </c>
    </row>
    <row r="10371" spans="1:6" ht="45" x14ac:dyDescent="0.25">
      <c r="A10371" s="8" t="s">
        <v>125</v>
      </c>
      <c r="B10371" s="8" t="s">
        <v>4866</v>
      </c>
      <c r="C10371" s="8" t="str">
        <f>IFERROR(_xlfn.XLOOKUP(TRIM(B10371),Lookup!$B$2:$B$1000,Lookup!$C$2:$C$1000),"")</f>
        <v>Equity</v>
      </c>
      <c r="D10371" s="8" t="str">
        <f>IFERROR(INDEX('nav master'!$C:$C, MATCH(B10371, 'nav master'!$B:$B, 0)), "")</f>
        <v/>
      </c>
      <c r="E10371" s="8" t="s">
        <v>221</v>
      </c>
      <c r="F10371" s="8" t="s">
        <v>5343</v>
      </c>
    </row>
    <row r="10372" spans="1:6" ht="45" x14ac:dyDescent="0.25">
      <c r="A10372" s="8" t="s">
        <v>125</v>
      </c>
      <c r="B10372" s="8" t="s">
        <v>4866</v>
      </c>
      <c r="C10372" s="8" t="str">
        <f>IFERROR(_xlfn.XLOOKUP(TRIM(B10372),Lookup!$B$2:$B$1000,Lookup!$C$2:$C$1000),"")</f>
        <v>Equity</v>
      </c>
      <c r="D10372" s="8" t="str">
        <f>IFERROR(INDEX('nav master'!$C:$C, MATCH(B10372, 'nav master'!$B:$B, 0)), "")</f>
        <v/>
      </c>
      <c r="E10372" s="8" t="s">
        <v>223</v>
      </c>
      <c r="F10372" s="8" t="s">
        <v>5344</v>
      </c>
    </row>
    <row r="10373" spans="1:6" ht="45" x14ac:dyDescent="0.25">
      <c r="A10373" s="8" t="s">
        <v>125</v>
      </c>
      <c r="B10373" s="8" t="s">
        <v>4866</v>
      </c>
      <c r="C10373" s="8" t="str">
        <f>IFERROR(_xlfn.XLOOKUP(TRIM(B10373),Lookup!$B$2:$B$1000,Lookup!$C$2:$C$1000),"")</f>
        <v>Equity</v>
      </c>
      <c r="D10373" s="8" t="str">
        <f>IFERROR(INDEX('nav master'!$C:$C, MATCH(B10373, 'nav master'!$B:$B, 0)), "")</f>
        <v/>
      </c>
      <c r="E10373" s="8" t="s">
        <v>225</v>
      </c>
      <c r="F10373" s="8" t="s">
        <v>5345</v>
      </c>
    </row>
    <row r="10374" spans="1:6" ht="45" x14ac:dyDescent="0.25">
      <c r="A10374" s="8" t="s">
        <v>125</v>
      </c>
      <c r="B10374" s="8" t="s">
        <v>4866</v>
      </c>
      <c r="C10374" s="8" t="str">
        <f>IFERROR(_xlfn.XLOOKUP(TRIM(B10374),Lookup!$B$2:$B$1000,Lookup!$C$2:$C$1000),"")</f>
        <v>Equity</v>
      </c>
      <c r="D10374" s="8" t="str">
        <f>IFERROR(INDEX('nav master'!$C:$C, MATCH(B10374, 'nav master'!$B:$B, 0)), "")</f>
        <v/>
      </c>
      <c r="E10374" s="8" t="s">
        <v>227</v>
      </c>
      <c r="F10374" s="8" t="s">
        <v>5346</v>
      </c>
    </row>
    <row r="10375" spans="1:6" ht="45" x14ac:dyDescent="0.25">
      <c r="A10375" s="8" t="s">
        <v>125</v>
      </c>
      <c r="B10375" s="8" t="s">
        <v>4866</v>
      </c>
      <c r="C10375" s="8" t="str">
        <f>IFERROR(_xlfn.XLOOKUP(TRIM(B10375),Lookup!$B$2:$B$1000,Lookup!$C$2:$C$1000),"")</f>
        <v>Equity</v>
      </c>
      <c r="D10375" s="8" t="str">
        <f>IFERROR(INDEX('nav master'!$C:$C, MATCH(B10375, 'nav master'!$B:$B, 0)), "")</f>
        <v/>
      </c>
      <c r="E10375" s="8" t="s">
        <v>229</v>
      </c>
      <c r="F10375" s="8" t="s">
        <v>5347</v>
      </c>
    </row>
    <row r="10376" spans="1:6" ht="45" x14ac:dyDescent="0.25">
      <c r="A10376" s="8" t="s">
        <v>125</v>
      </c>
      <c r="B10376" s="8" t="s">
        <v>4866</v>
      </c>
      <c r="C10376" s="8" t="str">
        <f>IFERROR(_xlfn.XLOOKUP(TRIM(B10376),Lookup!$B$2:$B$1000,Lookup!$C$2:$C$1000),"")</f>
        <v>Equity</v>
      </c>
      <c r="D10376" s="8" t="str">
        <f>IFERROR(INDEX('nav master'!$C:$C, MATCH(B10376, 'nav master'!$B:$B, 0)), "")</f>
        <v/>
      </c>
      <c r="E10376" s="8" t="s">
        <v>231</v>
      </c>
      <c r="F10376" s="8" t="s">
        <v>5348</v>
      </c>
    </row>
    <row r="10377" spans="1:6" ht="45" x14ac:dyDescent="0.25">
      <c r="A10377" s="8" t="s">
        <v>125</v>
      </c>
      <c r="B10377" s="8" t="s">
        <v>4866</v>
      </c>
      <c r="C10377" s="8" t="str">
        <f>IFERROR(_xlfn.XLOOKUP(TRIM(B10377),Lookup!$B$2:$B$1000,Lookup!$C$2:$C$1000),"")</f>
        <v>Equity</v>
      </c>
      <c r="D10377" s="8" t="str">
        <f>IFERROR(INDEX('nav master'!$C:$C, MATCH(B10377, 'nav master'!$B:$B, 0)), "")</f>
        <v/>
      </c>
      <c r="E10377" s="8" t="s">
        <v>233</v>
      </c>
      <c r="F10377" s="8" t="s">
        <v>5349</v>
      </c>
    </row>
    <row r="10378" spans="1:6" ht="45" x14ac:dyDescent="0.25">
      <c r="A10378" s="8" t="s">
        <v>125</v>
      </c>
      <c r="B10378" s="8" t="s">
        <v>4866</v>
      </c>
      <c r="C10378" s="8" t="str">
        <f>IFERROR(_xlfn.XLOOKUP(TRIM(B10378),Lookup!$B$2:$B$1000,Lookup!$C$2:$C$1000),"")</f>
        <v>Equity</v>
      </c>
      <c r="D10378" s="8" t="str">
        <f>IFERROR(INDEX('nav master'!$C:$C, MATCH(B10378, 'nav master'!$B:$B, 0)), "")</f>
        <v/>
      </c>
      <c r="E10378" s="8" t="s">
        <v>235</v>
      </c>
      <c r="F10378" s="8" t="s">
        <v>5350</v>
      </c>
    </row>
    <row r="10379" spans="1:6" ht="45" x14ac:dyDescent="0.25">
      <c r="A10379" s="8" t="s">
        <v>125</v>
      </c>
      <c r="B10379" s="8" t="s">
        <v>4866</v>
      </c>
      <c r="C10379" s="8" t="str">
        <f>IFERROR(_xlfn.XLOOKUP(TRIM(B10379),Lookup!$B$2:$B$1000,Lookup!$C$2:$C$1000),"")</f>
        <v>Equity</v>
      </c>
      <c r="D10379" s="8" t="str">
        <f>IFERROR(INDEX('nav master'!$C:$C, MATCH(B10379, 'nav master'!$B:$B, 0)), "")</f>
        <v/>
      </c>
      <c r="E10379" s="8" t="s">
        <v>237</v>
      </c>
      <c r="F10379" s="8" t="s">
        <v>5351</v>
      </c>
    </row>
    <row r="10380" spans="1:6" ht="45" x14ac:dyDescent="0.25">
      <c r="A10380" s="8" t="s">
        <v>125</v>
      </c>
      <c r="B10380" s="8" t="s">
        <v>4866</v>
      </c>
      <c r="C10380" s="8" t="str">
        <f>IFERROR(_xlfn.XLOOKUP(TRIM(B10380),Lookup!$B$2:$B$1000,Lookup!$C$2:$C$1000),"")</f>
        <v>Equity</v>
      </c>
      <c r="D10380" s="8" t="str">
        <f>IFERROR(INDEX('nav master'!$C:$C, MATCH(B10380, 'nav master'!$B:$B, 0)), "")</f>
        <v/>
      </c>
      <c r="E10380" s="8" t="s">
        <v>239</v>
      </c>
      <c r="F10380" s="8" t="s">
        <v>5352</v>
      </c>
    </row>
    <row r="10381" spans="1:6" ht="45" x14ac:dyDescent="0.25">
      <c r="A10381" s="8" t="s">
        <v>125</v>
      </c>
      <c r="B10381" s="8" t="s">
        <v>4866</v>
      </c>
      <c r="C10381" s="8" t="str">
        <f>IFERROR(_xlfn.XLOOKUP(TRIM(B10381),Lookup!$B$2:$B$1000,Lookup!$C$2:$C$1000),"")</f>
        <v>Equity</v>
      </c>
      <c r="D10381" s="8" t="str">
        <f>IFERROR(INDEX('nav master'!$C:$C, MATCH(B10381, 'nav master'!$B:$B, 0)), "")</f>
        <v/>
      </c>
      <c r="E10381" s="8" t="s">
        <v>241</v>
      </c>
      <c r="F10381" s="8" t="s">
        <v>5353</v>
      </c>
    </row>
    <row r="10382" spans="1:6" ht="45" x14ac:dyDescent="0.25">
      <c r="A10382" s="8" t="s">
        <v>125</v>
      </c>
      <c r="B10382" s="8" t="s">
        <v>4866</v>
      </c>
      <c r="C10382" s="8" t="str">
        <f>IFERROR(_xlfn.XLOOKUP(TRIM(B10382),Lookup!$B$2:$B$1000,Lookup!$C$2:$C$1000),"")</f>
        <v>Equity</v>
      </c>
      <c r="D10382" s="8" t="str">
        <f>IFERROR(INDEX('nav master'!$C:$C, MATCH(B10382, 'nav master'!$B:$B, 0)), "")</f>
        <v/>
      </c>
      <c r="E10382" s="8" t="s">
        <v>243</v>
      </c>
      <c r="F10382" s="8" t="s">
        <v>5354</v>
      </c>
    </row>
    <row r="10383" spans="1:6" ht="45" x14ac:dyDescent="0.25">
      <c r="A10383" s="8" t="s">
        <v>125</v>
      </c>
      <c r="B10383" s="8" t="s">
        <v>4866</v>
      </c>
      <c r="C10383" s="8" t="str">
        <f>IFERROR(_xlfn.XLOOKUP(TRIM(B10383),Lookup!$B$2:$B$1000,Lookup!$C$2:$C$1000),"")</f>
        <v>Equity</v>
      </c>
      <c r="D10383" s="8" t="str">
        <f>IFERROR(INDEX('nav master'!$C:$C, MATCH(B10383, 'nav master'!$B:$B, 0)), "")</f>
        <v/>
      </c>
      <c r="E10383" s="8" t="s">
        <v>245</v>
      </c>
      <c r="F10383" s="8" t="s">
        <v>5355</v>
      </c>
    </row>
    <row r="10384" spans="1:6" ht="45" x14ac:dyDescent="0.25">
      <c r="A10384" s="8" t="s">
        <v>125</v>
      </c>
      <c r="B10384" s="8" t="s">
        <v>4866</v>
      </c>
      <c r="C10384" s="8" t="str">
        <f>IFERROR(_xlfn.XLOOKUP(TRIM(B10384),Lookup!$B$2:$B$1000,Lookup!$C$2:$C$1000),"")</f>
        <v>Equity</v>
      </c>
      <c r="D10384" s="8" t="str">
        <f>IFERROR(INDEX('nav master'!$C:$C, MATCH(B10384, 'nav master'!$B:$B, 0)), "")</f>
        <v/>
      </c>
      <c r="E10384" s="8" t="s">
        <v>247</v>
      </c>
      <c r="F10384" s="8" t="s">
        <v>4438</v>
      </c>
    </row>
    <row r="10385" spans="1:6" ht="45" x14ac:dyDescent="0.25">
      <c r="A10385" s="8" t="s">
        <v>125</v>
      </c>
      <c r="B10385" s="8" t="s">
        <v>4866</v>
      </c>
      <c r="C10385" s="8" t="str">
        <f>IFERROR(_xlfn.XLOOKUP(TRIM(B10385),Lookup!$B$2:$B$1000,Lookup!$C$2:$C$1000),"")</f>
        <v>Equity</v>
      </c>
      <c r="D10385" s="8" t="str">
        <f>IFERROR(INDEX('nav master'!$C:$C, MATCH(B10385, 'nav master'!$B:$B, 0)), "")</f>
        <v/>
      </c>
      <c r="E10385" s="8" t="s">
        <v>249</v>
      </c>
      <c r="F10385" s="8" t="s">
        <v>5356</v>
      </c>
    </row>
    <row r="10386" spans="1:6" ht="45" x14ac:dyDescent="0.25">
      <c r="A10386" s="8" t="s">
        <v>125</v>
      </c>
      <c r="B10386" s="8" t="s">
        <v>4866</v>
      </c>
      <c r="C10386" s="8" t="str">
        <f>IFERROR(_xlfn.XLOOKUP(TRIM(B10386),Lookup!$B$2:$B$1000,Lookup!$C$2:$C$1000),"")</f>
        <v>Equity</v>
      </c>
      <c r="D10386" s="8" t="str">
        <f>IFERROR(INDEX('nav master'!$C:$C, MATCH(B10386, 'nav master'!$B:$B, 0)), "")</f>
        <v/>
      </c>
      <c r="E10386" s="8" t="s">
        <v>251</v>
      </c>
      <c r="F10386" s="8" t="s">
        <v>5357</v>
      </c>
    </row>
    <row r="10387" spans="1:6" ht="45" x14ac:dyDescent="0.25">
      <c r="A10387" s="8" t="s">
        <v>125</v>
      </c>
      <c r="B10387" s="8" t="s">
        <v>4866</v>
      </c>
      <c r="C10387" s="8" t="str">
        <f>IFERROR(_xlfn.XLOOKUP(TRIM(B10387),Lookup!$B$2:$B$1000,Lookup!$C$2:$C$1000),"")</f>
        <v>Equity</v>
      </c>
      <c r="D10387" s="8" t="str">
        <f>IFERROR(INDEX('nav master'!$C:$C, MATCH(B10387, 'nav master'!$B:$B, 0)), "")</f>
        <v/>
      </c>
      <c r="E10387" s="8" t="s">
        <v>253</v>
      </c>
      <c r="F10387" s="8" t="s">
        <v>5358</v>
      </c>
    </row>
    <row r="10388" spans="1:6" ht="45" x14ac:dyDescent="0.25">
      <c r="A10388" s="8" t="s">
        <v>125</v>
      </c>
      <c r="B10388" s="8" t="s">
        <v>4866</v>
      </c>
      <c r="C10388" s="8" t="str">
        <f>IFERROR(_xlfn.XLOOKUP(TRIM(B10388),Lookup!$B$2:$B$1000,Lookup!$C$2:$C$1000),"")</f>
        <v>Equity</v>
      </c>
      <c r="D10388" s="8" t="str">
        <f>IFERROR(INDEX('nav master'!$C:$C, MATCH(B10388, 'nav master'!$B:$B, 0)), "")</f>
        <v/>
      </c>
      <c r="E10388" s="8" t="s">
        <v>255</v>
      </c>
      <c r="F10388" s="8" t="s">
        <v>5359</v>
      </c>
    </row>
    <row r="10389" spans="1:6" ht="45" x14ac:dyDescent="0.25">
      <c r="A10389" s="8" t="s">
        <v>125</v>
      </c>
      <c r="B10389" s="8" t="s">
        <v>4866</v>
      </c>
      <c r="C10389" s="8" t="str">
        <f>IFERROR(_xlfn.XLOOKUP(TRIM(B10389),Lookup!$B$2:$B$1000,Lookup!$C$2:$C$1000),"")</f>
        <v>Equity</v>
      </c>
      <c r="D10389" s="8" t="str">
        <f>IFERROR(INDEX('nav master'!$C:$C, MATCH(B10389, 'nav master'!$B:$B, 0)), "")</f>
        <v/>
      </c>
      <c r="E10389" s="8" t="s">
        <v>257</v>
      </c>
      <c r="F10389" s="8" t="s">
        <v>5360</v>
      </c>
    </row>
    <row r="10390" spans="1:6" ht="45" x14ac:dyDescent="0.25">
      <c r="A10390" s="8" t="s">
        <v>125</v>
      </c>
      <c r="B10390" s="8" t="s">
        <v>4866</v>
      </c>
      <c r="C10390" s="8" t="str">
        <f>IFERROR(_xlfn.XLOOKUP(TRIM(B10390),Lookup!$B$2:$B$1000,Lookup!$C$2:$C$1000),"")</f>
        <v>Equity</v>
      </c>
      <c r="D10390" s="8" t="str">
        <f>IFERROR(INDEX('nav master'!$C:$C, MATCH(B10390, 'nav master'!$B:$B, 0)), "")</f>
        <v/>
      </c>
      <c r="E10390" s="8" t="s">
        <v>259</v>
      </c>
      <c r="F10390" s="8" t="s">
        <v>5361</v>
      </c>
    </row>
    <row r="10391" spans="1:6" ht="45" x14ac:dyDescent="0.25">
      <c r="A10391" s="8" t="s">
        <v>125</v>
      </c>
      <c r="B10391" s="8" t="s">
        <v>4866</v>
      </c>
      <c r="C10391" s="8" t="str">
        <f>IFERROR(_xlfn.XLOOKUP(TRIM(B10391),Lookup!$B$2:$B$1000,Lookup!$C$2:$C$1000),"")</f>
        <v>Equity</v>
      </c>
      <c r="D10391" s="8" t="str">
        <f>IFERROR(INDEX('nav master'!$C:$C, MATCH(B10391, 'nav master'!$B:$B, 0)), "")</f>
        <v/>
      </c>
      <c r="E10391" s="8" t="s">
        <v>261</v>
      </c>
      <c r="F10391" s="8" t="s">
        <v>5362</v>
      </c>
    </row>
    <row r="10392" spans="1:6" ht="45" x14ac:dyDescent="0.25">
      <c r="A10392" s="8" t="s">
        <v>125</v>
      </c>
      <c r="B10392" s="8" t="s">
        <v>4866</v>
      </c>
      <c r="C10392" s="8" t="str">
        <f>IFERROR(_xlfn.XLOOKUP(TRIM(B10392),Lookup!$B$2:$B$1000,Lookup!$C$2:$C$1000),"")</f>
        <v>Equity</v>
      </c>
      <c r="D10392" s="8" t="str">
        <f>IFERROR(INDEX('nav master'!$C:$C, MATCH(B10392, 'nav master'!$B:$B, 0)), "")</f>
        <v/>
      </c>
      <c r="E10392" s="8" t="s">
        <v>263</v>
      </c>
      <c r="F10392" s="8" t="s">
        <v>5363</v>
      </c>
    </row>
    <row r="10393" spans="1:6" ht="45" x14ac:dyDescent="0.25">
      <c r="A10393" s="8" t="s">
        <v>125</v>
      </c>
      <c r="B10393" s="8" t="s">
        <v>4866</v>
      </c>
      <c r="C10393" s="8" t="str">
        <f>IFERROR(_xlfn.XLOOKUP(TRIM(B10393),Lookup!$B$2:$B$1000,Lookup!$C$2:$C$1000),"")</f>
        <v>Equity</v>
      </c>
      <c r="D10393" s="8" t="str">
        <f>IFERROR(INDEX('nav master'!$C:$C, MATCH(B10393, 'nav master'!$B:$B, 0)), "")</f>
        <v/>
      </c>
      <c r="E10393" s="8" t="s">
        <v>265</v>
      </c>
      <c r="F10393" s="8" t="s">
        <v>5364</v>
      </c>
    </row>
    <row r="10394" spans="1:6" ht="45" x14ac:dyDescent="0.25">
      <c r="A10394" s="8" t="s">
        <v>125</v>
      </c>
      <c r="B10394" s="8" t="s">
        <v>4866</v>
      </c>
      <c r="C10394" s="8" t="str">
        <f>IFERROR(_xlfn.XLOOKUP(TRIM(B10394),Lookup!$B$2:$B$1000,Lookup!$C$2:$C$1000),"")</f>
        <v>Equity</v>
      </c>
      <c r="D10394" s="8" t="str">
        <f>IFERROR(INDEX('nav master'!$C:$C, MATCH(B10394, 'nav master'!$B:$B, 0)), "")</f>
        <v/>
      </c>
      <c r="E10394" s="8" t="s">
        <v>267</v>
      </c>
      <c r="F10394" s="8" t="s">
        <v>5365</v>
      </c>
    </row>
    <row r="10395" spans="1:6" ht="45" x14ac:dyDescent="0.25">
      <c r="A10395" s="8" t="s">
        <v>125</v>
      </c>
      <c r="B10395" s="8" t="s">
        <v>4866</v>
      </c>
      <c r="C10395" s="8" t="str">
        <f>IFERROR(_xlfn.XLOOKUP(TRIM(B10395),Lookup!$B$2:$B$1000,Lookup!$C$2:$C$1000),"")</f>
        <v>Equity</v>
      </c>
      <c r="D10395" s="8" t="str">
        <f>IFERROR(INDEX('nav master'!$C:$C, MATCH(B10395, 'nav master'!$B:$B, 0)), "")</f>
        <v/>
      </c>
      <c r="E10395" s="8" t="s">
        <v>269</v>
      </c>
      <c r="F10395" s="8" t="s">
        <v>5366</v>
      </c>
    </row>
    <row r="10396" spans="1:6" ht="45" x14ac:dyDescent="0.25">
      <c r="A10396" s="8" t="s">
        <v>125</v>
      </c>
      <c r="B10396" s="8" t="s">
        <v>4866</v>
      </c>
      <c r="C10396" s="8" t="str">
        <f>IFERROR(_xlfn.XLOOKUP(TRIM(B10396),Lookup!$B$2:$B$1000,Lookup!$C$2:$C$1000),"")</f>
        <v>Equity</v>
      </c>
      <c r="D10396" s="8" t="str">
        <f>IFERROR(INDEX('nav master'!$C:$C, MATCH(B10396, 'nav master'!$B:$B, 0)), "")</f>
        <v/>
      </c>
      <c r="E10396" s="8" t="s">
        <v>271</v>
      </c>
      <c r="F10396" s="8" t="s">
        <v>5367</v>
      </c>
    </row>
    <row r="10397" spans="1:6" ht="45" x14ac:dyDescent="0.25">
      <c r="A10397" s="8" t="s">
        <v>125</v>
      </c>
      <c r="B10397" s="8" t="s">
        <v>4866</v>
      </c>
      <c r="C10397" s="8" t="str">
        <f>IFERROR(_xlfn.XLOOKUP(TRIM(B10397),Lookup!$B$2:$B$1000,Lookup!$C$2:$C$1000),"")</f>
        <v>Equity</v>
      </c>
      <c r="D10397" s="8" t="str">
        <f>IFERROR(INDEX('nav master'!$C:$C, MATCH(B10397, 'nav master'!$B:$B, 0)), "")</f>
        <v/>
      </c>
      <c r="E10397" s="8" t="s">
        <v>273</v>
      </c>
      <c r="F10397" s="8" t="s">
        <v>4429</v>
      </c>
    </row>
    <row r="10398" spans="1:6" ht="45" x14ac:dyDescent="0.25">
      <c r="A10398" s="8" t="s">
        <v>125</v>
      </c>
      <c r="B10398" s="8" t="s">
        <v>4866</v>
      </c>
      <c r="C10398" s="8" t="str">
        <f>IFERROR(_xlfn.XLOOKUP(TRIM(B10398),Lookup!$B$2:$B$1000,Lookup!$C$2:$C$1000),"")</f>
        <v>Equity</v>
      </c>
      <c r="D10398" s="8" t="str">
        <f>IFERROR(INDEX('nav master'!$C:$C, MATCH(B10398, 'nav master'!$B:$B, 0)), "")</f>
        <v/>
      </c>
      <c r="E10398" s="8" t="s">
        <v>275</v>
      </c>
      <c r="F10398" s="8" t="s">
        <v>5368</v>
      </c>
    </row>
    <row r="10399" spans="1:6" ht="45" x14ac:dyDescent="0.25">
      <c r="A10399" s="8" t="s">
        <v>125</v>
      </c>
      <c r="B10399" s="8" t="s">
        <v>4866</v>
      </c>
      <c r="C10399" s="8" t="str">
        <f>IFERROR(_xlfn.XLOOKUP(TRIM(B10399),Lookup!$B$2:$B$1000,Lookup!$C$2:$C$1000),"")</f>
        <v>Equity</v>
      </c>
      <c r="D10399" s="8" t="str">
        <f>IFERROR(INDEX('nav master'!$C:$C, MATCH(B10399, 'nav master'!$B:$B, 0)), "")</f>
        <v/>
      </c>
      <c r="E10399" s="8" t="s">
        <v>277</v>
      </c>
      <c r="F10399" s="8" t="s">
        <v>5369</v>
      </c>
    </row>
    <row r="10400" spans="1:6" ht="45" x14ac:dyDescent="0.25">
      <c r="A10400" s="8" t="s">
        <v>125</v>
      </c>
      <c r="B10400" s="8" t="s">
        <v>4866</v>
      </c>
      <c r="C10400" s="8" t="str">
        <f>IFERROR(_xlfn.XLOOKUP(TRIM(B10400),Lookup!$B$2:$B$1000,Lookup!$C$2:$C$1000),"")</f>
        <v>Equity</v>
      </c>
      <c r="D10400" s="8" t="str">
        <f>IFERROR(INDEX('nav master'!$C:$C, MATCH(B10400, 'nav master'!$B:$B, 0)), "")</f>
        <v/>
      </c>
      <c r="E10400" s="8" t="s">
        <v>279</v>
      </c>
      <c r="F10400" s="8" t="s">
        <v>5370</v>
      </c>
    </row>
    <row r="10401" spans="1:6" ht="45" x14ac:dyDescent="0.25">
      <c r="A10401" s="8" t="s">
        <v>125</v>
      </c>
      <c r="B10401" s="8" t="s">
        <v>4866</v>
      </c>
      <c r="C10401" s="8" t="str">
        <f>IFERROR(_xlfn.XLOOKUP(TRIM(B10401),Lookup!$B$2:$B$1000,Lookup!$C$2:$C$1000),"")</f>
        <v>Equity</v>
      </c>
      <c r="D10401" s="8" t="str">
        <f>IFERROR(INDEX('nav master'!$C:$C, MATCH(B10401, 'nav master'!$B:$B, 0)), "")</f>
        <v/>
      </c>
      <c r="E10401" s="8" t="s">
        <v>281</v>
      </c>
      <c r="F10401" s="8" t="s">
        <v>5371</v>
      </c>
    </row>
    <row r="10402" spans="1:6" ht="45" x14ac:dyDescent="0.25">
      <c r="A10402" s="8" t="s">
        <v>125</v>
      </c>
      <c r="B10402" s="8" t="s">
        <v>4866</v>
      </c>
      <c r="C10402" s="8" t="str">
        <f>IFERROR(_xlfn.XLOOKUP(TRIM(B10402),Lookup!$B$2:$B$1000,Lookup!$C$2:$C$1000),"")</f>
        <v>Equity</v>
      </c>
      <c r="D10402" s="8" t="str">
        <f>IFERROR(INDEX('nav master'!$C:$C, MATCH(B10402, 'nav master'!$B:$B, 0)), "")</f>
        <v/>
      </c>
      <c r="E10402" s="8" t="s">
        <v>283</v>
      </c>
      <c r="F10402" s="8" t="s">
        <v>5372</v>
      </c>
    </row>
    <row r="10403" spans="1:6" ht="45" x14ac:dyDescent="0.25">
      <c r="A10403" s="8" t="s">
        <v>125</v>
      </c>
      <c r="B10403" s="8" t="s">
        <v>4866</v>
      </c>
      <c r="C10403" s="8" t="str">
        <f>IFERROR(_xlfn.XLOOKUP(TRIM(B10403),Lookup!$B$2:$B$1000,Lookup!$C$2:$C$1000),"")</f>
        <v>Equity</v>
      </c>
      <c r="D10403" s="8" t="str">
        <f>IFERROR(INDEX('nav master'!$C:$C, MATCH(B10403, 'nav master'!$B:$B, 0)), "")</f>
        <v/>
      </c>
      <c r="E10403" s="8" t="s">
        <v>285</v>
      </c>
      <c r="F10403" s="8" t="s">
        <v>5373</v>
      </c>
    </row>
    <row r="10404" spans="1:6" ht="45" x14ac:dyDescent="0.25">
      <c r="A10404" s="8" t="s">
        <v>125</v>
      </c>
      <c r="B10404" s="8" t="s">
        <v>4866</v>
      </c>
      <c r="C10404" s="8" t="str">
        <f>IFERROR(_xlfn.XLOOKUP(TRIM(B10404),Lookup!$B$2:$B$1000,Lookup!$C$2:$C$1000),"")</f>
        <v>Equity</v>
      </c>
      <c r="D10404" s="8" t="str">
        <f>IFERROR(INDEX('nav master'!$C:$C, MATCH(B10404, 'nav master'!$B:$B, 0)), "")</f>
        <v/>
      </c>
      <c r="E10404" s="8" t="s">
        <v>287</v>
      </c>
      <c r="F10404" s="8" t="s">
        <v>5374</v>
      </c>
    </row>
    <row r="10405" spans="1:6" ht="45" x14ac:dyDescent="0.25">
      <c r="A10405" s="8" t="s">
        <v>125</v>
      </c>
      <c r="B10405" s="8" t="s">
        <v>4866</v>
      </c>
      <c r="C10405" s="8" t="str">
        <f>IFERROR(_xlfn.XLOOKUP(TRIM(B10405),Lookup!$B$2:$B$1000,Lookup!$C$2:$C$1000),"")</f>
        <v>Equity</v>
      </c>
      <c r="D10405" s="8" t="str">
        <f>IFERROR(INDEX('nav master'!$C:$C, MATCH(B10405, 'nav master'!$B:$B, 0)), "")</f>
        <v/>
      </c>
      <c r="E10405" s="8" t="s">
        <v>289</v>
      </c>
      <c r="F10405" s="8" t="s">
        <v>5375</v>
      </c>
    </row>
    <row r="10406" spans="1:6" ht="45" x14ac:dyDescent="0.25">
      <c r="A10406" s="8" t="s">
        <v>125</v>
      </c>
      <c r="B10406" s="8" t="s">
        <v>4866</v>
      </c>
      <c r="C10406" s="8" t="str">
        <f>IFERROR(_xlfn.XLOOKUP(TRIM(B10406),Lookup!$B$2:$B$1000,Lookup!$C$2:$C$1000),"")</f>
        <v>Equity</v>
      </c>
      <c r="D10406" s="8" t="str">
        <f>IFERROR(INDEX('nav master'!$C:$C, MATCH(B10406, 'nav master'!$B:$B, 0)), "")</f>
        <v/>
      </c>
      <c r="E10406" s="8" t="s">
        <v>291</v>
      </c>
      <c r="F10406" s="8" t="s">
        <v>5376</v>
      </c>
    </row>
    <row r="10407" spans="1:6" ht="45" x14ac:dyDescent="0.25">
      <c r="A10407" s="8" t="s">
        <v>125</v>
      </c>
      <c r="B10407" s="8" t="s">
        <v>4866</v>
      </c>
      <c r="C10407" s="8" t="str">
        <f>IFERROR(_xlfn.XLOOKUP(TRIM(B10407),Lookup!$B$2:$B$1000,Lookup!$C$2:$C$1000),"")</f>
        <v>Equity</v>
      </c>
      <c r="D10407" s="8" t="str">
        <f>IFERROR(INDEX('nav master'!$C:$C, MATCH(B10407, 'nav master'!$B:$B, 0)), "")</f>
        <v/>
      </c>
      <c r="E10407" s="8" t="s">
        <v>293</v>
      </c>
      <c r="F10407" s="8" t="s">
        <v>5377</v>
      </c>
    </row>
    <row r="10408" spans="1:6" ht="45" x14ac:dyDescent="0.25">
      <c r="A10408" s="8" t="s">
        <v>125</v>
      </c>
      <c r="B10408" s="8" t="s">
        <v>4866</v>
      </c>
      <c r="C10408" s="8" t="str">
        <f>IFERROR(_xlfn.XLOOKUP(TRIM(B10408),Lookup!$B$2:$B$1000,Lookup!$C$2:$C$1000),"")</f>
        <v>Equity</v>
      </c>
      <c r="D10408" s="8" t="str">
        <f>IFERROR(INDEX('nav master'!$C:$C, MATCH(B10408, 'nav master'!$B:$B, 0)), "")</f>
        <v/>
      </c>
      <c r="E10408" s="8" t="s">
        <v>295</v>
      </c>
      <c r="F10408" s="8" t="s">
        <v>5378</v>
      </c>
    </row>
    <row r="10409" spans="1:6" ht="45" x14ac:dyDescent="0.25">
      <c r="A10409" s="8" t="s">
        <v>125</v>
      </c>
      <c r="B10409" s="8" t="s">
        <v>4866</v>
      </c>
      <c r="C10409" s="8" t="str">
        <f>IFERROR(_xlfn.XLOOKUP(TRIM(B10409),Lookup!$B$2:$B$1000,Lookup!$C$2:$C$1000),"")</f>
        <v>Equity</v>
      </c>
      <c r="D10409" s="8" t="str">
        <f>IFERROR(INDEX('nav master'!$C:$C, MATCH(B10409, 'nav master'!$B:$B, 0)), "")</f>
        <v/>
      </c>
      <c r="E10409" s="8" t="s">
        <v>297</v>
      </c>
      <c r="F10409" s="8" t="s">
        <v>5379</v>
      </c>
    </row>
    <row r="10410" spans="1:6" ht="45" x14ac:dyDescent="0.25">
      <c r="A10410" s="8" t="s">
        <v>125</v>
      </c>
      <c r="B10410" s="8" t="s">
        <v>4866</v>
      </c>
      <c r="C10410" s="8" t="str">
        <f>IFERROR(_xlfn.XLOOKUP(TRIM(B10410),Lookup!$B$2:$B$1000,Lookup!$C$2:$C$1000),"")</f>
        <v>Equity</v>
      </c>
      <c r="D10410" s="8" t="str">
        <f>IFERROR(INDEX('nav master'!$C:$C, MATCH(B10410, 'nav master'!$B:$B, 0)), "")</f>
        <v/>
      </c>
      <c r="E10410" s="8" t="s">
        <v>299</v>
      </c>
      <c r="F10410" s="8" t="s">
        <v>5380</v>
      </c>
    </row>
    <row r="10411" spans="1:6" ht="45" x14ac:dyDescent="0.25">
      <c r="A10411" s="8" t="s">
        <v>125</v>
      </c>
      <c r="B10411" s="8" t="s">
        <v>4866</v>
      </c>
      <c r="C10411" s="8" t="str">
        <f>IFERROR(_xlfn.XLOOKUP(TRIM(B10411),Lookup!$B$2:$B$1000,Lookup!$C$2:$C$1000),"")</f>
        <v>Equity</v>
      </c>
      <c r="D10411" s="8" t="str">
        <f>IFERROR(INDEX('nav master'!$C:$C, MATCH(B10411, 'nav master'!$B:$B, 0)), "")</f>
        <v/>
      </c>
      <c r="E10411" s="8" t="s">
        <v>301</v>
      </c>
      <c r="F10411" s="8" t="s">
        <v>5381</v>
      </c>
    </row>
    <row r="10412" spans="1:6" ht="45" x14ac:dyDescent="0.25">
      <c r="A10412" s="8" t="s">
        <v>125</v>
      </c>
      <c r="B10412" s="8" t="s">
        <v>4866</v>
      </c>
      <c r="C10412" s="8" t="str">
        <f>IFERROR(_xlfn.XLOOKUP(TRIM(B10412),Lookup!$B$2:$B$1000,Lookup!$C$2:$C$1000),"")</f>
        <v>Equity</v>
      </c>
      <c r="D10412" s="8" t="str">
        <f>IFERROR(INDEX('nav master'!$C:$C, MATCH(B10412, 'nav master'!$B:$B, 0)), "")</f>
        <v/>
      </c>
      <c r="E10412" s="8" t="s">
        <v>303</v>
      </c>
      <c r="F10412" s="8" t="s">
        <v>5382</v>
      </c>
    </row>
    <row r="10413" spans="1:6" ht="45" x14ac:dyDescent="0.25">
      <c r="A10413" s="8" t="s">
        <v>125</v>
      </c>
      <c r="B10413" s="8" t="s">
        <v>4866</v>
      </c>
      <c r="C10413" s="8" t="str">
        <f>IFERROR(_xlfn.XLOOKUP(TRIM(B10413),Lookup!$B$2:$B$1000,Lookup!$C$2:$C$1000),"")</f>
        <v>Equity</v>
      </c>
      <c r="D10413" s="8" t="str">
        <f>IFERROR(INDEX('nav master'!$C:$C, MATCH(B10413, 'nav master'!$B:$B, 0)), "")</f>
        <v/>
      </c>
      <c r="E10413" s="8" t="s">
        <v>305</v>
      </c>
      <c r="F10413" s="8" t="s">
        <v>5383</v>
      </c>
    </row>
    <row r="10414" spans="1:6" ht="45" x14ac:dyDescent="0.25">
      <c r="A10414" s="8" t="s">
        <v>125</v>
      </c>
      <c r="B10414" s="8" t="s">
        <v>4866</v>
      </c>
      <c r="C10414" s="8" t="str">
        <f>IFERROR(_xlfn.XLOOKUP(TRIM(B10414),Lookup!$B$2:$B$1000,Lookup!$C$2:$C$1000),"")</f>
        <v>Equity</v>
      </c>
      <c r="D10414" s="8" t="str">
        <f>IFERROR(INDEX('nav master'!$C:$C, MATCH(B10414, 'nav master'!$B:$B, 0)), "")</f>
        <v/>
      </c>
      <c r="E10414" s="8" t="s">
        <v>307</v>
      </c>
      <c r="F10414" s="8" t="s">
        <v>5384</v>
      </c>
    </row>
    <row r="10415" spans="1:6" ht="45" x14ac:dyDescent="0.25">
      <c r="A10415" s="8" t="s">
        <v>125</v>
      </c>
      <c r="B10415" s="8" t="s">
        <v>4866</v>
      </c>
      <c r="C10415" s="8" t="str">
        <f>IFERROR(_xlfn.XLOOKUP(TRIM(B10415),Lookup!$B$2:$B$1000,Lookup!$C$2:$C$1000),"")</f>
        <v>Equity</v>
      </c>
      <c r="D10415" s="8" t="str">
        <f>IFERROR(INDEX('nav master'!$C:$C, MATCH(B10415, 'nav master'!$B:$B, 0)), "")</f>
        <v/>
      </c>
      <c r="E10415" s="8" t="s">
        <v>309</v>
      </c>
      <c r="F10415" s="8" t="s">
        <v>5385</v>
      </c>
    </row>
    <row r="10416" spans="1:6" ht="45" x14ac:dyDescent="0.25">
      <c r="A10416" s="8" t="s">
        <v>125</v>
      </c>
      <c r="B10416" s="8" t="s">
        <v>4866</v>
      </c>
      <c r="C10416" s="8" t="str">
        <f>IFERROR(_xlfn.XLOOKUP(TRIM(B10416),Lookup!$B$2:$B$1000,Lookup!$C$2:$C$1000),"")</f>
        <v>Equity</v>
      </c>
      <c r="D10416" s="8" t="str">
        <f>IFERROR(INDEX('nav master'!$C:$C, MATCH(B10416, 'nav master'!$B:$B, 0)), "")</f>
        <v/>
      </c>
      <c r="E10416" s="8" t="s">
        <v>311</v>
      </c>
      <c r="F10416" s="8" t="s">
        <v>5386</v>
      </c>
    </row>
    <row r="10417" spans="1:6" ht="45" x14ac:dyDescent="0.25">
      <c r="A10417" s="8" t="s">
        <v>125</v>
      </c>
      <c r="B10417" s="8" t="s">
        <v>4866</v>
      </c>
      <c r="C10417" s="8" t="str">
        <f>IFERROR(_xlfn.XLOOKUP(TRIM(B10417),Lookup!$B$2:$B$1000,Lookup!$C$2:$C$1000),"")</f>
        <v>Equity</v>
      </c>
      <c r="D10417" s="8" t="str">
        <f>IFERROR(INDEX('nav master'!$C:$C, MATCH(B10417, 'nav master'!$B:$B, 0)), "")</f>
        <v/>
      </c>
      <c r="E10417" s="8" t="s">
        <v>313</v>
      </c>
      <c r="F10417" s="8" t="s">
        <v>5387</v>
      </c>
    </row>
    <row r="10418" spans="1:6" ht="45" x14ac:dyDescent="0.25">
      <c r="A10418" s="8" t="s">
        <v>125</v>
      </c>
      <c r="B10418" s="8" t="s">
        <v>4866</v>
      </c>
      <c r="C10418" s="8" t="str">
        <f>IFERROR(_xlfn.XLOOKUP(TRIM(B10418),Lookup!$B$2:$B$1000,Lookup!$C$2:$C$1000),"")</f>
        <v>Equity</v>
      </c>
      <c r="D10418" s="8" t="str">
        <f>IFERROR(INDEX('nav master'!$C:$C, MATCH(B10418, 'nav master'!$B:$B, 0)), "")</f>
        <v/>
      </c>
      <c r="E10418" s="8" t="s">
        <v>315</v>
      </c>
      <c r="F10418" s="8" t="s">
        <v>5388</v>
      </c>
    </row>
    <row r="10419" spans="1:6" ht="45" x14ac:dyDescent="0.25">
      <c r="A10419" s="8" t="s">
        <v>125</v>
      </c>
      <c r="B10419" s="8" t="s">
        <v>4866</v>
      </c>
      <c r="C10419" s="8" t="str">
        <f>IFERROR(_xlfn.XLOOKUP(TRIM(B10419),Lookup!$B$2:$B$1000,Lookup!$C$2:$C$1000),"")</f>
        <v>Equity</v>
      </c>
      <c r="D10419" s="8" t="str">
        <f>IFERROR(INDEX('nav master'!$C:$C, MATCH(B10419, 'nav master'!$B:$B, 0)), "")</f>
        <v/>
      </c>
      <c r="E10419" s="8" t="s">
        <v>317</v>
      </c>
      <c r="F10419" s="8" t="s">
        <v>5389</v>
      </c>
    </row>
    <row r="10420" spans="1:6" ht="45" x14ac:dyDescent="0.25">
      <c r="A10420" s="8" t="s">
        <v>125</v>
      </c>
      <c r="B10420" s="8" t="s">
        <v>4866</v>
      </c>
      <c r="C10420" s="8" t="str">
        <f>IFERROR(_xlfn.XLOOKUP(TRIM(B10420),Lookup!$B$2:$B$1000,Lookup!$C$2:$C$1000),"")</f>
        <v>Equity</v>
      </c>
      <c r="D10420" s="8" t="str">
        <f>IFERROR(INDEX('nav master'!$C:$C, MATCH(B10420, 'nav master'!$B:$B, 0)), "")</f>
        <v/>
      </c>
      <c r="E10420" s="8" t="s">
        <v>319</v>
      </c>
      <c r="F10420" s="8" t="s">
        <v>5390</v>
      </c>
    </row>
    <row r="10421" spans="1:6" ht="45" x14ac:dyDescent="0.25">
      <c r="A10421" s="8" t="s">
        <v>125</v>
      </c>
      <c r="B10421" s="8" t="s">
        <v>4866</v>
      </c>
      <c r="C10421" s="8" t="str">
        <f>IFERROR(_xlfn.XLOOKUP(TRIM(B10421),Lookup!$B$2:$B$1000,Lookup!$C$2:$C$1000),"")</f>
        <v>Equity</v>
      </c>
      <c r="D10421" s="8" t="str">
        <f>IFERROR(INDEX('nav master'!$C:$C, MATCH(B10421, 'nav master'!$B:$B, 0)), "")</f>
        <v/>
      </c>
      <c r="E10421" s="8" t="s">
        <v>321</v>
      </c>
      <c r="F10421" s="8" t="s">
        <v>5391</v>
      </c>
    </row>
    <row r="10422" spans="1:6" ht="45" x14ac:dyDescent="0.25">
      <c r="A10422" s="8" t="s">
        <v>125</v>
      </c>
      <c r="B10422" s="8" t="s">
        <v>4866</v>
      </c>
      <c r="C10422" s="8" t="str">
        <f>IFERROR(_xlfn.XLOOKUP(TRIM(B10422),Lookup!$B$2:$B$1000,Lookup!$C$2:$C$1000),"")</f>
        <v>Equity</v>
      </c>
      <c r="D10422" s="8" t="str">
        <f>IFERROR(INDEX('nav master'!$C:$C, MATCH(B10422, 'nav master'!$B:$B, 0)), "")</f>
        <v/>
      </c>
      <c r="E10422" s="8" t="s">
        <v>323</v>
      </c>
      <c r="F10422" s="8" t="s">
        <v>5392</v>
      </c>
    </row>
    <row r="10423" spans="1:6" ht="45" x14ac:dyDescent="0.25">
      <c r="A10423" s="8" t="s">
        <v>125</v>
      </c>
      <c r="B10423" s="8" t="s">
        <v>4866</v>
      </c>
      <c r="C10423" s="8" t="str">
        <f>IFERROR(_xlfn.XLOOKUP(TRIM(B10423),Lookup!$B$2:$B$1000,Lookup!$C$2:$C$1000),"")</f>
        <v>Equity</v>
      </c>
      <c r="D10423" s="8" t="str">
        <f>IFERROR(INDEX('nav master'!$C:$C, MATCH(B10423, 'nav master'!$B:$B, 0)), "")</f>
        <v/>
      </c>
      <c r="E10423" s="8" t="s">
        <v>325</v>
      </c>
      <c r="F10423" s="8" t="s">
        <v>5393</v>
      </c>
    </row>
    <row r="10424" spans="1:6" ht="45" x14ac:dyDescent="0.25">
      <c r="A10424" s="8" t="s">
        <v>125</v>
      </c>
      <c r="B10424" s="8" t="s">
        <v>4866</v>
      </c>
      <c r="C10424" s="8" t="str">
        <f>IFERROR(_xlfn.XLOOKUP(TRIM(B10424),Lookup!$B$2:$B$1000,Lookup!$C$2:$C$1000),"")</f>
        <v>Equity</v>
      </c>
      <c r="D10424" s="8" t="str">
        <f>IFERROR(INDEX('nav master'!$C:$C, MATCH(B10424, 'nav master'!$B:$B, 0)), "")</f>
        <v/>
      </c>
      <c r="E10424" s="8" t="s">
        <v>327</v>
      </c>
      <c r="F10424" s="8" t="s">
        <v>5394</v>
      </c>
    </row>
    <row r="10425" spans="1:6" ht="45" x14ac:dyDescent="0.25">
      <c r="A10425" s="8" t="s">
        <v>125</v>
      </c>
      <c r="B10425" s="8" t="s">
        <v>4866</v>
      </c>
      <c r="C10425" s="8" t="str">
        <f>IFERROR(_xlfn.XLOOKUP(TRIM(B10425),Lookup!$B$2:$B$1000,Lookup!$C$2:$C$1000),"")</f>
        <v>Equity</v>
      </c>
      <c r="D10425" s="8" t="str">
        <f>IFERROR(INDEX('nav master'!$C:$C, MATCH(B10425, 'nav master'!$B:$B, 0)), "")</f>
        <v/>
      </c>
      <c r="E10425" s="8" t="s">
        <v>329</v>
      </c>
      <c r="F10425" s="8" t="s">
        <v>5395</v>
      </c>
    </row>
    <row r="10426" spans="1:6" ht="45" x14ac:dyDescent="0.25">
      <c r="A10426" s="8" t="s">
        <v>125</v>
      </c>
      <c r="B10426" s="8" t="s">
        <v>4866</v>
      </c>
      <c r="C10426" s="8" t="str">
        <f>IFERROR(_xlfn.XLOOKUP(TRIM(B10426),Lookup!$B$2:$B$1000,Lookup!$C$2:$C$1000),"")</f>
        <v>Equity</v>
      </c>
      <c r="D10426" s="8" t="str">
        <f>IFERROR(INDEX('nav master'!$C:$C, MATCH(B10426, 'nav master'!$B:$B, 0)), "")</f>
        <v/>
      </c>
      <c r="E10426" s="8" t="s">
        <v>331</v>
      </c>
      <c r="F10426" s="8" t="s">
        <v>5396</v>
      </c>
    </row>
    <row r="10427" spans="1:6" ht="45" x14ac:dyDescent="0.25">
      <c r="A10427" s="8" t="s">
        <v>125</v>
      </c>
      <c r="B10427" s="8" t="s">
        <v>4866</v>
      </c>
      <c r="C10427" s="8" t="str">
        <f>IFERROR(_xlfn.XLOOKUP(TRIM(B10427),Lookup!$B$2:$B$1000,Lookup!$C$2:$C$1000),"")</f>
        <v>Equity</v>
      </c>
      <c r="D10427" s="8" t="str">
        <f>IFERROR(INDEX('nav master'!$C:$C, MATCH(B10427, 'nav master'!$B:$B, 0)), "")</f>
        <v/>
      </c>
      <c r="E10427" s="8" t="s">
        <v>333</v>
      </c>
      <c r="F10427" s="8" t="s">
        <v>5397</v>
      </c>
    </row>
    <row r="10428" spans="1:6" ht="45" x14ac:dyDescent="0.25">
      <c r="A10428" s="8" t="s">
        <v>125</v>
      </c>
      <c r="B10428" s="8" t="s">
        <v>4866</v>
      </c>
      <c r="C10428" s="8" t="str">
        <f>IFERROR(_xlfn.XLOOKUP(TRIM(B10428),Lookup!$B$2:$B$1000,Lookup!$C$2:$C$1000),"")</f>
        <v>Equity</v>
      </c>
      <c r="D10428" s="8" t="str">
        <f>IFERROR(INDEX('nav master'!$C:$C, MATCH(B10428, 'nav master'!$B:$B, 0)), "")</f>
        <v/>
      </c>
      <c r="E10428" s="8" t="s">
        <v>335</v>
      </c>
      <c r="F10428" s="8" t="s">
        <v>5398</v>
      </c>
    </row>
    <row r="10429" spans="1:6" ht="45" x14ac:dyDescent="0.25">
      <c r="A10429" s="8" t="s">
        <v>125</v>
      </c>
      <c r="B10429" s="8" t="s">
        <v>4866</v>
      </c>
      <c r="C10429" s="8" t="str">
        <f>IFERROR(_xlfn.XLOOKUP(TRIM(B10429),Lookup!$B$2:$B$1000,Lookup!$C$2:$C$1000),"")</f>
        <v>Equity</v>
      </c>
      <c r="D10429" s="8" t="str">
        <f>IFERROR(INDEX('nav master'!$C:$C, MATCH(B10429, 'nav master'!$B:$B, 0)), "")</f>
        <v/>
      </c>
      <c r="E10429" s="8" t="s">
        <v>337</v>
      </c>
      <c r="F10429" s="8" t="s">
        <v>5399</v>
      </c>
    </row>
    <row r="10430" spans="1:6" ht="45" x14ac:dyDescent="0.25">
      <c r="A10430" s="8" t="s">
        <v>125</v>
      </c>
      <c r="B10430" s="8" t="s">
        <v>4866</v>
      </c>
      <c r="C10430" s="8" t="str">
        <f>IFERROR(_xlfn.XLOOKUP(TRIM(B10430),Lookup!$B$2:$B$1000,Lookup!$C$2:$C$1000),"")</f>
        <v>Equity</v>
      </c>
      <c r="D10430" s="8" t="str">
        <f>IFERROR(INDEX('nav master'!$C:$C, MATCH(B10430, 'nav master'!$B:$B, 0)), "")</f>
        <v/>
      </c>
      <c r="E10430" s="8" t="s">
        <v>339</v>
      </c>
      <c r="F10430" s="8" t="s">
        <v>5400</v>
      </c>
    </row>
    <row r="10431" spans="1:6" ht="45" x14ac:dyDescent="0.25">
      <c r="A10431" s="8" t="s">
        <v>125</v>
      </c>
      <c r="B10431" s="8" t="s">
        <v>4866</v>
      </c>
      <c r="C10431" s="8" t="str">
        <f>IFERROR(_xlfn.XLOOKUP(TRIM(B10431),Lookup!$B$2:$B$1000,Lookup!$C$2:$C$1000),"")</f>
        <v>Equity</v>
      </c>
      <c r="D10431" s="8" t="str">
        <f>IFERROR(INDEX('nav master'!$C:$C, MATCH(B10431, 'nav master'!$B:$B, 0)), "")</f>
        <v/>
      </c>
      <c r="E10431" s="8" t="s">
        <v>341</v>
      </c>
      <c r="F10431" s="8" t="s">
        <v>5401</v>
      </c>
    </row>
    <row r="10432" spans="1:6" ht="45" x14ac:dyDescent="0.25">
      <c r="A10432" s="8" t="s">
        <v>125</v>
      </c>
      <c r="B10432" s="8" t="s">
        <v>4866</v>
      </c>
      <c r="C10432" s="8" t="str">
        <f>IFERROR(_xlfn.XLOOKUP(TRIM(B10432),Lookup!$B$2:$B$1000,Lookup!$C$2:$C$1000),"")</f>
        <v>Equity</v>
      </c>
      <c r="D10432" s="8" t="str">
        <f>IFERROR(INDEX('nav master'!$C:$C, MATCH(B10432, 'nav master'!$B:$B, 0)), "")</f>
        <v/>
      </c>
      <c r="E10432" s="8" t="s">
        <v>343</v>
      </c>
      <c r="F10432" s="8" t="s">
        <v>5402</v>
      </c>
    </row>
    <row r="10433" spans="1:6" ht="45" x14ac:dyDescent="0.25">
      <c r="A10433" s="8" t="s">
        <v>125</v>
      </c>
      <c r="B10433" s="8" t="s">
        <v>4866</v>
      </c>
      <c r="C10433" s="8" t="str">
        <f>IFERROR(_xlfn.XLOOKUP(TRIM(B10433),Lookup!$B$2:$B$1000,Lookup!$C$2:$C$1000),"")</f>
        <v>Equity</v>
      </c>
      <c r="D10433" s="8" t="str">
        <f>IFERROR(INDEX('nav master'!$C:$C, MATCH(B10433, 'nav master'!$B:$B, 0)), "")</f>
        <v/>
      </c>
      <c r="E10433" s="8" t="s">
        <v>345</v>
      </c>
      <c r="F10433" s="8" t="s">
        <v>5403</v>
      </c>
    </row>
    <row r="10434" spans="1:6" ht="45" x14ac:dyDescent="0.25">
      <c r="A10434" s="8" t="s">
        <v>125</v>
      </c>
      <c r="B10434" s="8" t="s">
        <v>4866</v>
      </c>
      <c r="C10434" s="8" t="str">
        <f>IFERROR(_xlfn.XLOOKUP(TRIM(B10434),Lookup!$B$2:$B$1000,Lookup!$C$2:$C$1000),"")</f>
        <v>Equity</v>
      </c>
      <c r="D10434" s="8" t="str">
        <f>IFERROR(INDEX('nav master'!$C:$C, MATCH(B10434, 'nav master'!$B:$B, 0)), "")</f>
        <v/>
      </c>
      <c r="E10434" s="8" t="s">
        <v>347</v>
      </c>
      <c r="F10434" s="8" t="s">
        <v>5404</v>
      </c>
    </row>
    <row r="10435" spans="1:6" ht="45" x14ac:dyDescent="0.25">
      <c r="A10435" s="8" t="s">
        <v>125</v>
      </c>
      <c r="B10435" s="8" t="s">
        <v>4866</v>
      </c>
      <c r="C10435" s="8" t="str">
        <f>IFERROR(_xlfn.XLOOKUP(TRIM(B10435),Lookup!$B$2:$B$1000,Lookup!$C$2:$C$1000),"")</f>
        <v>Equity</v>
      </c>
      <c r="D10435" s="8" t="str">
        <f>IFERROR(INDEX('nav master'!$C:$C, MATCH(B10435, 'nav master'!$B:$B, 0)), "")</f>
        <v/>
      </c>
      <c r="E10435" s="8" t="s">
        <v>349</v>
      </c>
      <c r="F10435" s="8" t="s">
        <v>5405</v>
      </c>
    </row>
    <row r="10436" spans="1:6" ht="45" x14ac:dyDescent="0.25">
      <c r="A10436" s="8" t="s">
        <v>125</v>
      </c>
      <c r="B10436" s="8" t="s">
        <v>4866</v>
      </c>
      <c r="C10436" s="8" t="str">
        <f>IFERROR(_xlfn.XLOOKUP(TRIM(B10436),Lookup!$B$2:$B$1000,Lookup!$C$2:$C$1000),"")</f>
        <v>Equity</v>
      </c>
      <c r="D10436" s="8" t="str">
        <f>IFERROR(INDEX('nav master'!$C:$C, MATCH(B10436, 'nav master'!$B:$B, 0)), "")</f>
        <v/>
      </c>
      <c r="E10436" s="8" t="s">
        <v>351</v>
      </c>
      <c r="F10436" s="8" t="s">
        <v>5406</v>
      </c>
    </row>
    <row r="10437" spans="1:6" ht="45" x14ac:dyDescent="0.25">
      <c r="A10437" s="8" t="s">
        <v>125</v>
      </c>
      <c r="B10437" s="8" t="s">
        <v>4866</v>
      </c>
      <c r="C10437" s="8" t="str">
        <f>IFERROR(_xlfn.XLOOKUP(TRIM(B10437),Lookup!$B$2:$B$1000,Lookup!$C$2:$C$1000),"")</f>
        <v>Equity</v>
      </c>
      <c r="D10437" s="8" t="str">
        <f>IFERROR(INDEX('nav master'!$C:$C, MATCH(B10437, 'nav master'!$B:$B, 0)), "")</f>
        <v/>
      </c>
      <c r="E10437" s="8" t="s">
        <v>353</v>
      </c>
      <c r="F10437" s="8" t="s">
        <v>5407</v>
      </c>
    </row>
    <row r="10438" spans="1:6" ht="45" x14ac:dyDescent="0.25">
      <c r="A10438" s="8" t="s">
        <v>125</v>
      </c>
      <c r="B10438" s="8" t="s">
        <v>4866</v>
      </c>
      <c r="C10438" s="8" t="str">
        <f>IFERROR(_xlfn.XLOOKUP(TRIM(B10438),Lookup!$B$2:$B$1000,Lookup!$C$2:$C$1000),"")</f>
        <v>Equity</v>
      </c>
      <c r="D10438" s="8" t="str">
        <f>IFERROR(INDEX('nav master'!$C:$C, MATCH(B10438, 'nav master'!$B:$B, 0)), "")</f>
        <v/>
      </c>
      <c r="E10438" s="8" t="s">
        <v>355</v>
      </c>
      <c r="F10438" s="8" t="s">
        <v>5408</v>
      </c>
    </row>
    <row r="10439" spans="1:6" ht="45" x14ac:dyDescent="0.25">
      <c r="A10439" s="8" t="s">
        <v>125</v>
      </c>
      <c r="B10439" s="8" t="s">
        <v>4866</v>
      </c>
      <c r="C10439" s="8" t="str">
        <f>IFERROR(_xlfn.XLOOKUP(TRIM(B10439),Lookup!$B$2:$B$1000,Lookup!$C$2:$C$1000),"")</f>
        <v>Equity</v>
      </c>
      <c r="D10439" s="8" t="str">
        <f>IFERROR(INDEX('nav master'!$C:$C, MATCH(B10439, 'nav master'!$B:$B, 0)), "")</f>
        <v/>
      </c>
      <c r="E10439" s="8" t="s">
        <v>357</v>
      </c>
      <c r="F10439" s="8" t="s">
        <v>5409</v>
      </c>
    </row>
    <row r="10440" spans="1:6" ht="45" x14ac:dyDescent="0.25">
      <c r="A10440" s="8" t="s">
        <v>125</v>
      </c>
      <c r="B10440" s="8" t="s">
        <v>4866</v>
      </c>
      <c r="C10440" s="8" t="str">
        <f>IFERROR(_xlfn.XLOOKUP(TRIM(B10440),Lookup!$B$2:$B$1000,Lookup!$C$2:$C$1000),"")</f>
        <v>Equity</v>
      </c>
      <c r="D10440" s="8" t="str">
        <f>IFERROR(INDEX('nav master'!$C:$C, MATCH(B10440, 'nav master'!$B:$B, 0)), "")</f>
        <v/>
      </c>
      <c r="E10440" s="8" t="s">
        <v>359</v>
      </c>
      <c r="F10440" s="8" t="s">
        <v>5410</v>
      </c>
    </row>
    <row r="10441" spans="1:6" ht="45" x14ac:dyDescent="0.25">
      <c r="A10441" s="8" t="s">
        <v>125</v>
      </c>
      <c r="B10441" s="8" t="s">
        <v>4866</v>
      </c>
      <c r="C10441" s="8" t="str">
        <f>IFERROR(_xlfn.XLOOKUP(TRIM(B10441),Lookup!$B$2:$B$1000,Lookup!$C$2:$C$1000),"")</f>
        <v>Equity</v>
      </c>
      <c r="D10441" s="8" t="str">
        <f>IFERROR(INDEX('nav master'!$C:$C, MATCH(B10441, 'nav master'!$B:$B, 0)), "")</f>
        <v/>
      </c>
      <c r="E10441" s="8" t="s">
        <v>361</v>
      </c>
      <c r="F10441" s="8" t="s">
        <v>5411</v>
      </c>
    </row>
    <row r="10442" spans="1:6" ht="45" x14ac:dyDescent="0.25">
      <c r="A10442" s="8" t="s">
        <v>125</v>
      </c>
      <c r="B10442" s="8" t="s">
        <v>4866</v>
      </c>
      <c r="C10442" s="8" t="str">
        <f>IFERROR(_xlfn.XLOOKUP(TRIM(B10442),Lookup!$B$2:$B$1000,Lookup!$C$2:$C$1000),"")</f>
        <v>Equity</v>
      </c>
      <c r="D10442" s="8" t="str">
        <f>IFERROR(INDEX('nav master'!$C:$C, MATCH(B10442, 'nav master'!$B:$B, 0)), "")</f>
        <v/>
      </c>
      <c r="E10442" s="8" t="s">
        <v>363</v>
      </c>
      <c r="F10442" s="8" t="s">
        <v>5412</v>
      </c>
    </row>
    <row r="10443" spans="1:6" ht="45" x14ac:dyDescent="0.25">
      <c r="A10443" s="8" t="s">
        <v>125</v>
      </c>
      <c r="B10443" s="8" t="s">
        <v>4866</v>
      </c>
      <c r="C10443" s="8" t="str">
        <f>IFERROR(_xlfn.XLOOKUP(TRIM(B10443),Lookup!$B$2:$B$1000,Lookup!$C$2:$C$1000),"")</f>
        <v>Equity</v>
      </c>
      <c r="D10443" s="8" t="str">
        <f>IFERROR(INDEX('nav master'!$C:$C, MATCH(B10443, 'nav master'!$B:$B, 0)), "")</f>
        <v/>
      </c>
      <c r="E10443" s="8" t="s">
        <v>365</v>
      </c>
      <c r="F10443" s="8" t="s">
        <v>5413</v>
      </c>
    </row>
    <row r="10444" spans="1:6" ht="45" x14ac:dyDescent="0.25">
      <c r="A10444" s="8" t="s">
        <v>125</v>
      </c>
      <c r="B10444" s="8" t="s">
        <v>4866</v>
      </c>
      <c r="C10444" s="8" t="str">
        <f>IFERROR(_xlfn.XLOOKUP(TRIM(B10444),Lookup!$B$2:$B$1000,Lookup!$C$2:$C$1000),"")</f>
        <v>Equity</v>
      </c>
      <c r="D10444" s="8" t="str">
        <f>IFERROR(INDEX('nav master'!$C:$C, MATCH(B10444, 'nav master'!$B:$B, 0)), "")</f>
        <v/>
      </c>
      <c r="E10444" s="8" t="s">
        <v>367</v>
      </c>
      <c r="F10444" s="8" t="s">
        <v>5414</v>
      </c>
    </row>
    <row r="10445" spans="1:6" ht="45" x14ac:dyDescent="0.25">
      <c r="A10445" s="8" t="s">
        <v>125</v>
      </c>
      <c r="B10445" s="8" t="s">
        <v>4866</v>
      </c>
      <c r="C10445" s="8" t="str">
        <f>IFERROR(_xlfn.XLOOKUP(TRIM(B10445),Lookup!$B$2:$B$1000,Lookup!$C$2:$C$1000),"")</f>
        <v>Equity</v>
      </c>
      <c r="D10445" s="8" t="str">
        <f>IFERROR(INDEX('nav master'!$C:$C, MATCH(B10445, 'nav master'!$B:$B, 0)), "")</f>
        <v/>
      </c>
      <c r="E10445" s="8" t="s">
        <v>369</v>
      </c>
      <c r="F10445" s="8" t="s">
        <v>5415</v>
      </c>
    </row>
    <row r="10446" spans="1:6" ht="45" x14ac:dyDescent="0.25">
      <c r="A10446" s="8" t="s">
        <v>125</v>
      </c>
      <c r="B10446" s="8" t="s">
        <v>4866</v>
      </c>
      <c r="C10446" s="8" t="str">
        <f>IFERROR(_xlfn.XLOOKUP(TRIM(B10446),Lookup!$B$2:$B$1000,Lookup!$C$2:$C$1000),"")</f>
        <v>Equity</v>
      </c>
      <c r="D10446" s="8" t="str">
        <f>IFERROR(INDEX('nav master'!$C:$C, MATCH(B10446, 'nav master'!$B:$B, 0)), "")</f>
        <v/>
      </c>
      <c r="E10446" s="8" t="s">
        <v>371</v>
      </c>
      <c r="F10446" s="8" t="s">
        <v>5416</v>
      </c>
    </row>
    <row r="10447" spans="1:6" ht="45" x14ac:dyDescent="0.25">
      <c r="A10447" s="8" t="s">
        <v>125</v>
      </c>
      <c r="B10447" s="8" t="s">
        <v>4866</v>
      </c>
      <c r="C10447" s="8" t="str">
        <f>IFERROR(_xlfn.XLOOKUP(TRIM(B10447),Lookup!$B$2:$B$1000,Lookup!$C$2:$C$1000),"")</f>
        <v>Equity</v>
      </c>
      <c r="D10447" s="8" t="str">
        <f>IFERROR(INDEX('nav master'!$C:$C, MATCH(B10447, 'nav master'!$B:$B, 0)), "")</f>
        <v/>
      </c>
      <c r="E10447" s="8" t="s">
        <v>373</v>
      </c>
      <c r="F10447" s="8" t="s">
        <v>5417</v>
      </c>
    </row>
    <row r="10448" spans="1:6" ht="45" x14ac:dyDescent="0.25">
      <c r="A10448" s="8" t="s">
        <v>125</v>
      </c>
      <c r="B10448" s="8" t="s">
        <v>4866</v>
      </c>
      <c r="C10448" s="8" t="str">
        <f>IFERROR(_xlfn.XLOOKUP(TRIM(B10448),Lookup!$B$2:$B$1000,Lookup!$C$2:$C$1000),"")</f>
        <v>Equity</v>
      </c>
      <c r="D10448" s="8" t="str">
        <f>IFERROR(INDEX('nav master'!$C:$C, MATCH(B10448, 'nav master'!$B:$B, 0)), "")</f>
        <v/>
      </c>
      <c r="E10448" s="8" t="s">
        <v>375</v>
      </c>
      <c r="F10448" s="8" t="s">
        <v>5418</v>
      </c>
    </row>
    <row r="10449" spans="1:6" ht="45" x14ac:dyDescent="0.25">
      <c r="A10449" s="8" t="s">
        <v>125</v>
      </c>
      <c r="B10449" s="8" t="s">
        <v>4866</v>
      </c>
      <c r="C10449" s="8" t="str">
        <f>IFERROR(_xlfn.XLOOKUP(TRIM(B10449),Lookup!$B$2:$B$1000,Lookup!$C$2:$C$1000),"")</f>
        <v>Equity</v>
      </c>
      <c r="D10449" s="8" t="str">
        <f>IFERROR(INDEX('nav master'!$C:$C, MATCH(B10449, 'nav master'!$B:$B, 0)), "")</f>
        <v/>
      </c>
      <c r="E10449" s="8" t="s">
        <v>377</v>
      </c>
      <c r="F10449" s="8" t="s">
        <v>5419</v>
      </c>
    </row>
    <row r="10450" spans="1:6" ht="45" x14ac:dyDescent="0.25">
      <c r="A10450" s="8" t="s">
        <v>125</v>
      </c>
      <c r="B10450" s="8" t="s">
        <v>4866</v>
      </c>
      <c r="C10450" s="8" t="str">
        <f>IFERROR(_xlfn.XLOOKUP(TRIM(B10450),Lookup!$B$2:$B$1000,Lookup!$C$2:$C$1000),"")</f>
        <v>Equity</v>
      </c>
      <c r="D10450" s="8" t="str">
        <f>IFERROR(INDEX('nav master'!$C:$C, MATCH(B10450, 'nav master'!$B:$B, 0)), "")</f>
        <v/>
      </c>
      <c r="E10450" s="8" t="s">
        <v>379</v>
      </c>
      <c r="F10450" s="8" t="s">
        <v>5420</v>
      </c>
    </row>
    <row r="10451" spans="1:6" ht="45" x14ac:dyDescent="0.25">
      <c r="A10451" s="8" t="s">
        <v>125</v>
      </c>
      <c r="B10451" s="8" t="s">
        <v>4866</v>
      </c>
      <c r="C10451" s="8" t="str">
        <f>IFERROR(_xlfn.XLOOKUP(TRIM(B10451),Lookup!$B$2:$B$1000,Lookup!$C$2:$C$1000),"")</f>
        <v>Equity</v>
      </c>
      <c r="D10451" s="8" t="str">
        <f>IFERROR(INDEX('nav master'!$C:$C, MATCH(B10451, 'nav master'!$B:$B, 0)), "")</f>
        <v/>
      </c>
      <c r="E10451" s="8" t="s">
        <v>381</v>
      </c>
      <c r="F10451" s="8" t="s">
        <v>5421</v>
      </c>
    </row>
    <row r="10452" spans="1:6" ht="45" x14ac:dyDescent="0.25">
      <c r="A10452" s="8" t="s">
        <v>125</v>
      </c>
      <c r="B10452" s="8" t="s">
        <v>4866</v>
      </c>
      <c r="C10452" s="8" t="str">
        <f>IFERROR(_xlfn.XLOOKUP(TRIM(B10452),Lookup!$B$2:$B$1000,Lookup!$C$2:$C$1000),"")</f>
        <v>Equity</v>
      </c>
      <c r="D10452" s="8" t="str">
        <f>IFERROR(INDEX('nav master'!$C:$C, MATCH(B10452, 'nav master'!$B:$B, 0)), "")</f>
        <v/>
      </c>
      <c r="E10452" s="8" t="s">
        <v>383</v>
      </c>
      <c r="F10452" s="8" t="s">
        <v>5422</v>
      </c>
    </row>
    <row r="10453" spans="1:6" ht="45" x14ac:dyDescent="0.25">
      <c r="A10453" s="8" t="s">
        <v>125</v>
      </c>
      <c r="B10453" s="8" t="s">
        <v>4866</v>
      </c>
      <c r="C10453" s="8" t="str">
        <f>IFERROR(_xlfn.XLOOKUP(TRIM(B10453),Lookup!$B$2:$B$1000,Lookup!$C$2:$C$1000),"")</f>
        <v>Equity</v>
      </c>
      <c r="D10453" s="8" t="str">
        <f>IFERROR(INDEX('nav master'!$C:$C, MATCH(B10453, 'nav master'!$B:$B, 0)), "")</f>
        <v/>
      </c>
      <c r="E10453" s="8" t="s">
        <v>385</v>
      </c>
      <c r="F10453" s="8" t="s">
        <v>5423</v>
      </c>
    </row>
    <row r="10454" spans="1:6" ht="45" x14ac:dyDescent="0.25">
      <c r="A10454" s="8" t="s">
        <v>125</v>
      </c>
      <c r="B10454" s="8" t="s">
        <v>4866</v>
      </c>
      <c r="C10454" s="8" t="str">
        <f>IFERROR(_xlfn.XLOOKUP(TRIM(B10454),Lookup!$B$2:$B$1000,Lookup!$C$2:$C$1000),"")</f>
        <v>Equity</v>
      </c>
      <c r="D10454" s="8" t="str">
        <f>IFERROR(INDEX('nav master'!$C:$C, MATCH(B10454, 'nav master'!$B:$B, 0)), "")</f>
        <v/>
      </c>
      <c r="E10454" s="8" t="s">
        <v>387</v>
      </c>
      <c r="F10454" s="8" t="s">
        <v>5424</v>
      </c>
    </row>
    <row r="10455" spans="1:6" ht="45" x14ac:dyDescent="0.25">
      <c r="A10455" s="8" t="s">
        <v>125</v>
      </c>
      <c r="B10455" s="8" t="s">
        <v>4866</v>
      </c>
      <c r="C10455" s="8" t="str">
        <f>IFERROR(_xlfn.XLOOKUP(TRIM(B10455),Lookup!$B$2:$B$1000,Lookup!$C$2:$C$1000),"")</f>
        <v>Equity</v>
      </c>
      <c r="D10455" s="8" t="str">
        <f>IFERROR(INDEX('nav master'!$C:$C, MATCH(B10455, 'nav master'!$B:$B, 0)), "")</f>
        <v/>
      </c>
      <c r="E10455" s="8" t="s">
        <v>389</v>
      </c>
      <c r="F10455" s="8" t="s">
        <v>5425</v>
      </c>
    </row>
    <row r="10456" spans="1:6" ht="45" x14ac:dyDescent="0.25">
      <c r="A10456" s="8" t="s">
        <v>125</v>
      </c>
      <c r="B10456" s="8" t="s">
        <v>4866</v>
      </c>
      <c r="C10456" s="8" t="str">
        <f>IFERROR(_xlfn.XLOOKUP(TRIM(B10456),Lookup!$B$2:$B$1000,Lookup!$C$2:$C$1000),"")</f>
        <v>Equity</v>
      </c>
      <c r="D10456" s="8" t="str">
        <f>IFERROR(INDEX('nav master'!$C:$C, MATCH(B10456, 'nav master'!$B:$B, 0)), "")</f>
        <v/>
      </c>
      <c r="E10456" s="8" t="s">
        <v>391</v>
      </c>
      <c r="F10456" s="8" t="s">
        <v>5426</v>
      </c>
    </row>
    <row r="10457" spans="1:6" ht="45" x14ac:dyDescent="0.25">
      <c r="A10457" s="8" t="s">
        <v>125</v>
      </c>
      <c r="B10457" s="8" t="s">
        <v>4866</v>
      </c>
      <c r="C10457" s="8" t="str">
        <f>IFERROR(_xlfn.XLOOKUP(TRIM(B10457),Lookup!$B$2:$B$1000,Lookup!$C$2:$C$1000),"")</f>
        <v>Equity</v>
      </c>
      <c r="D10457" s="8" t="str">
        <f>IFERROR(INDEX('nav master'!$C:$C, MATCH(B10457, 'nav master'!$B:$B, 0)), "")</f>
        <v/>
      </c>
      <c r="E10457" s="8" t="s">
        <v>393</v>
      </c>
      <c r="F10457" s="8" t="s">
        <v>5427</v>
      </c>
    </row>
    <row r="10458" spans="1:6" ht="45" x14ac:dyDescent="0.25">
      <c r="A10458" s="8" t="s">
        <v>125</v>
      </c>
      <c r="B10458" s="8" t="s">
        <v>4866</v>
      </c>
      <c r="C10458" s="8" t="str">
        <f>IFERROR(_xlfn.XLOOKUP(TRIM(B10458),Lookup!$B$2:$B$1000,Lookup!$C$2:$C$1000),"")</f>
        <v>Equity</v>
      </c>
      <c r="D10458" s="8" t="str">
        <f>IFERROR(INDEX('nav master'!$C:$C, MATCH(B10458, 'nav master'!$B:$B, 0)), "")</f>
        <v/>
      </c>
      <c r="E10458" s="8" t="s">
        <v>395</v>
      </c>
      <c r="F10458" s="8" t="s">
        <v>5428</v>
      </c>
    </row>
    <row r="10459" spans="1:6" ht="45" x14ac:dyDescent="0.25">
      <c r="A10459" s="8" t="s">
        <v>125</v>
      </c>
      <c r="B10459" s="8" t="s">
        <v>4866</v>
      </c>
      <c r="C10459" s="8" t="str">
        <f>IFERROR(_xlfn.XLOOKUP(TRIM(B10459),Lookup!$B$2:$B$1000,Lookup!$C$2:$C$1000),"")</f>
        <v>Equity</v>
      </c>
      <c r="D10459" s="8" t="str">
        <f>IFERROR(INDEX('nav master'!$C:$C, MATCH(B10459, 'nav master'!$B:$B, 0)), "")</f>
        <v/>
      </c>
      <c r="E10459" s="8" t="s">
        <v>397</v>
      </c>
      <c r="F10459" s="8" t="s">
        <v>5429</v>
      </c>
    </row>
    <row r="10460" spans="1:6" ht="45" x14ac:dyDescent="0.25">
      <c r="A10460" s="8" t="s">
        <v>125</v>
      </c>
      <c r="B10460" s="8" t="s">
        <v>4866</v>
      </c>
      <c r="C10460" s="8" t="str">
        <f>IFERROR(_xlfn.XLOOKUP(TRIM(B10460),Lookup!$B$2:$B$1000,Lookup!$C$2:$C$1000),"")</f>
        <v>Equity</v>
      </c>
      <c r="D10460" s="8" t="str">
        <f>IFERROR(INDEX('nav master'!$C:$C, MATCH(B10460, 'nav master'!$B:$B, 0)), "")</f>
        <v/>
      </c>
      <c r="E10460" s="8" t="s">
        <v>399</v>
      </c>
      <c r="F10460" s="8" t="s">
        <v>5430</v>
      </c>
    </row>
    <row r="10461" spans="1:6" ht="45" x14ac:dyDescent="0.25">
      <c r="A10461" s="8" t="s">
        <v>125</v>
      </c>
      <c r="B10461" s="8" t="s">
        <v>4866</v>
      </c>
      <c r="C10461" s="8" t="str">
        <f>IFERROR(_xlfn.XLOOKUP(TRIM(B10461),Lookup!$B$2:$B$1000,Lookup!$C$2:$C$1000),"")</f>
        <v>Equity</v>
      </c>
      <c r="D10461" s="8" t="str">
        <f>IFERROR(INDEX('nav master'!$C:$C, MATCH(B10461, 'nav master'!$B:$B, 0)), "")</f>
        <v/>
      </c>
      <c r="E10461" s="8" t="s">
        <v>401</v>
      </c>
      <c r="F10461" s="8" t="s">
        <v>5431</v>
      </c>
    </row>
    <row r="10462" spans="1:6" ht="45" x14ac:dyDescent="0.25">
      <c r="A10462" s="8" t="s">
        <v>125</v>
      </c>
      <c r="B10462" s="8" t="s">
        <v>4866</v>
      </c>
      <c r="C10462" s="8" t="str">
        <f>IFERROR(_xlfn.XLOOKUP(TRIM(B10462),Lookup!$B$2:$B$1000,Lookup!$C$2:$C$1000),"")</f>
        <v>Equity</v>
      </c>
      <c r="D10462" s="8" t="str">
        <f>IFERROR(INDEX('nav master'!$C:$C, MATCH(B10462, 'nav master'!$B:$B, 0)), "")</f>
        <v/>
      </c>
      <c r="E10462" s="8" t="s">
        <v>403</v>
      </c>
      <c r="F10462" s="8" t="s">
        <v>5432</v>
      </c>
    </row>
    <row r="10463" spans="1:6" ht="45" x14ac:dyDescent="0.25">
      <c r="A10463" s="8" t="s">
        <v>125</v>
      </c>
      <c r="B10463" s="8" t="s">
        <v>4866</v>
      </c>
      <c r="C10463" s="8" t="str">
        <f>IFERROR(_xlfn.XLOOKUP(TRIM(B10463),Lookup!$B$2:$B$1000,Lookup!$C$2:$C$1000),"")</f>
        <v>Equity</v>
      </c>
      <c r="D10463" s="8" t="str">
        <f>IFERROR(INDEX('nav master'!$C:$C, MATCH(B10463, 'nav master'!$B:$B, 0)), "")</f>
        <v/>
      </c>
      <c r="E10463" s="8" t="s">
        <v>405</v>
      </c>
      <c r="F10463" s="8" t="s">
        <v>5433</v>
      </c>
    </row>
    <row r="10464" spans="1:6" ht="45" x14ac:dyDescent="0.25">
      <c r="A10464" s="8" t="s">
        <v>125</v>
      </c>
      <c r="B10464" s="8" t="s">
        <v>4866</v>
      </c>
      <c r="C10464" s="8" t="str">
        <f>IFERROR(_xlfn.XLOOKUP(TRIM(B10464),Lookup!$B$2:$B$1000,Lookup!$C$2:$C$1000),"")</f>
        <v>Equity</v>
      </c>
      <c r="D10464" s="8" t="str">
        <f>IFERROR(INDEX('nav master'!$C:$C, MATCH(B10464, 'nav master'!$B:$B, 0)), "")</f>
        <v/>
      </c>
      <c r="E10464" s="8" t="s">
        <v>407</v>
      </c>
      <c r="F10464" s="8" t="s">
        <v>5434</v>
      </c>
    </row>
    <row r="10465" spans="1:6" ht="45" x14ac:dyDescent="0.25">
      <c r="A10465" s="8" t="s">
        <v>125</v>
      </c>
      <c r="B10465" s="8" t="s">
        <v>4866</v>
      </c>
      <c r="C10465" s="8" t="str">
        <f>IFERROR(_xlfn.XLOOKUP(TRIM(B10465),Lookup!$B$2:$B$1000,Lookup!$C$2:$C$1000),"")</f>
        <v>Equity</v>
      </c>
      <c r="D10465" s="8" t="str">
        <f>IFERROR(INDEX('nav master'!$C:$C, MATCH(B10465, 'nav master'!$B:$B, 0)), "")</f>
        <v/>
      </c>
      <c r="E10465" s="8" t="s">
        <v>409</v>
      </c>
      <c r="F10465" s="8" t="s">
        <v>5037</v>
      </c>
    </row>
    <row r="10466" spans="1:6" ht="45" x14ac:dyDescent="0.25">
      <c r="A10466" s="8" t="s">
        <v>125</v>
      </c>
      <c r="B10466" s="8" t="s">
        <v>4866</v>
      </c>
      <c r="C10466" s="8" t="str">
        <f>IFERROR(_xlfn.XLOOKUP(TRIM(B10466),Lookup!$B$2:$B$1000,Lookup!$C$2:$C$1000),"")</f>
        <v>Equity</v>
      </c>
      <c r="D10466" s="8" t="str">
        <f>IFERROR(INDEX('nav master'!$C:$C, MATCH(B10466, 'nav master'!$B:$B, 0)), "")</f>
        <v/>
      </c>
      <c r="E10466" s="8" t="s">
        <v>411</v>
      </c>
      <c r="F10466" s="8" t="s">
        <v>5435</v>
      </c>
    </row>
    <row r="10467" spans="1:6" ht="45" x14ac:dyDescent="0.25">
      <c r="A10467" s="8" t="s">
        <v>125</v>
      </c>
      <c r="B10467" s="8" t="s">
        <v>4866</v>
      </c>
      <c r="C10467" s="8" t="str">
        <f>IFERROR(_xlfn.XLOOKUP(TRIM(B10467),Lookup!$B$2:$B$1000,Lookup!$C$2:$C$1000),"")</f>
        <v>Equity</v>
      </c>
      <c r="D10467" s="8" t="str">
        <f>IFERROR(INDEX('nav master'!$C:$C, MATCH(B10467, 'nav master'!$B:$B, 0)), "")</f>
        <v/>
      </c>
      <c r="E10467" s="8" t="s">
        <v>413</v>
      </c>
      <c r="F10467" s="8" t="s">
        <v>5436</v>
      </c>
    </row>
    <row r="10468" spans="1:6" ht="45" x14ac:dyDescent="0.25">
      <c r="A10468" s="8" t="s">
        <v>125</v>
      </c>
      <c r="B10468" s="8" t="s">
        <v>4866</v>
      </c>
      <c r="C10468" s="8" t="str">
        <f>IFERROR(_xlfn.XLOOKUP(TRIM(B10468),Lookup!$B$2:$B$1000,Lookup!$C$2:$C$1000),"")</f>
        <v>Equity</v>
      </c>
      <c r="D10468" s="8" t="str">
        <f>IFERROR(INDEX('nav master'!$C:$C, MATCH(B10468, 'nav master'!$B:$B, 0)), "")</f>
        <v/>
      </c>
      <c r="E10468" s="8" t="s">
        <v>415</v>
      </c>
      <c r="F10468" s="8" t="s">
        <v>5437</v>
      </c>
    </row>
    <row r="10469" spans="1:6" ht="45" x14ac:dyDescent="0.25">
      <c r="A10469" s="8" t="s">
        <v>125</v>
      </c>
      <c r="B10469" s="8" t="s">
        <v>4866</v>
      </c>
      <c r="C10469" s="8" t="str">
        <f>IFERROR(_xlfn.XLOOKUP(TRIM(B10469),Lookup!$B$2:$B$1000,Lookup!$C$2:$C$1000),"")</f>
        <v>Equity</v>
      </c>
      <c r="D10469" s="8" t="str">
        <f>IFERROR(INDEX('nav master'!$C:$C, MATCH(B10469, 'nav master'!$B:$B, 0)), "")</f>
        <v/>
      </c>
      <c r="E10469" s="8" t="s">
        <v>417</v>
      </c>
      <c r="F10469" s="8" t="s">
        <v>5438</v>
      </c>
    </row>
    <row r="10470" spans="1:6" ht="45" x14ac:dyDescent="0.25">
      <c r="A10470" s="8" t="s">
        <v>125</v>
      </c>
      <c r="B10470" s="8" t="s">
        <v>4866</v>
      </c>
      <c r="C10470" s="8" t="str">
        <f>IFERROR(_xlfn.XLOOKUP(TRIM(B10470),Lookup!$B$2:$B$1000,Lookup!$C$2:$C$1000),"")</f>
        <v>Equity</v>
      </c>
      <c r="D10470" s="8" t="str">
        <f>IFERROR(INDEX('nav master'!$C:$C, MATCH(B10470, 'nav master'!$B:$B, 0)), "")</f>
        <v/>
      </c>
      <c r="E10470" s="8" t="s">
        <v>419</v>
      </c>
      <c r="F10470" s="8" t="s">
        <v>5439</v>
      </c>
    </row>
    <row r="10471" spans="1:6" ht="45" x14ac:dyDescent="0.25">
      <c r="A10471" s="8" t="s">
        <v>125</v>
      </c>
      <c r="B10471" s="8" t="s">
        <v>4866</v>
      </c>
      <c r="C10471" s="8" t="str">
        <f>IFERROR(_xlfn.XLOOKUP(TRIM(B10471),Lookup!$B$2:$B$1000,Lookup!$C$2:$C$1000),"")</f>
        <v>Equity</v>
      </c>
      <c r="D10471" s="8" t="str">
        <f>IFERROR(INDEX('nav master'!$C:$C, MATCH(B10471, 'nav master'!$B:$B, 0)), "")</f>
        <v/>
      </c>
      <c r="E10471" s="8" t="s">
        <v>421</v>
      </c>
      <c r="F10471" s="8" t="s">
        <v>5440</v>
      </c>
    </row>
    <row r="10472" spans="1:6" ht="45" x14ac:dyDescent="0.25">
      <c r="A10472" s="8" t="s">
        <v>125</v>
      </c>
      <c r="B10472" s="8" t="s">
        <v>4866</v>
      </c>
      <c r="C10472" s="8" t="str">
        <f>IFERROR(_xlfn.XLOOKUP(TRIM(B10472),Lookup!$B$2:$B$1000,Lookup!$C$2:$C$1000),"")</f>
        <v>Equity</v>
      </c>
      <c r="D10472" s="8" t="str">
        <f>IFERROR(INDEX('nav master'!$C:$C, MATCH(B10472, 'nav master'!$B:$B, 0)), "")</f>
        <v/>
      </c>
      <c r="E10472" s="8" t="s">
        <v>423</v>
      </c>
      <c r="F10472" s="8" t="s">
        <v>5441</v>
      </c>
    </row>
    <row r="10473" spans="1:6" ht="45" x14ac:dyDescent="0.25">
      <c r="A10473" s="8" t="s">
        <v>125</v>
      </c>
      <c r="B10473" s="8" t="s">
        <v>4866</v>
      </c>
      <c r="C10473" s="8" t="str">
        <f>IFERROR(_xlfn.XLOOKUP(TRIM(B10473),Lookup!$B$2:$B$1000,Lookup!$C$2:$C$1000),"")</f>
        <v>Equity</v>
      </c>
      <c r="D10473" s="8" t="str">
        <f>IFERROR(INDEX('nav master'!$C:$C, MATCH(B10473, 'nav master'!$B:$B, 0)), "")</f>
        <v/>
      </c>
      <c r="E10473" s="8" t="s">
        <v>425</v>
      </c>
      <c r="F10473" s="8" t="s">
        <v>5442</v>
      </c>
    </row>
    <row r="10474" spans="1:6" ht="45" x14ac:dyDescent="0.25">
      <c r="A10474" s="8" t="s">
        <v>125</v>
      </c>
      <c r="B10474" s="8" t="s">
        <v>4866</v>
      </c>
      <c r="C10474" s="8" t="str">
        <f>IFERROR(_xlfn.XLOOKUP(TRIM(B10474),Lookup!$B$2:$B$1000,Lookup!$C$2:$C$1000),"")</f>
        <v>Equity</v>
      </c>
      <c r="D10474" s="8" t="str">
        <f>IFERROR(INDEX('nav master'!$C:$C, MATCH(B10474, 'nav master'!$B:$B, 0)), "")</f>
        <v/>
      </c>
      <c r="E10474" s="8" t="s">
        <v>427</v>
      </c>
      <c r="F10474" s="8" t="s">
        <v>5443</v>
      </c>
    </row>
    <row r="10475" spans="1:6" ht="45" x14ac:dyDescent="0.25">
      <c r="A10475" s="8" t="s">
        <v>125</v>
      </c>
      <c r="B10475" s="8" t="s">
        <v>4866</v>
      </c>
      <c r="C10475" s="8" t="str">
        <f>IFERROR(_xlfn.XLOOKUP(TRIM(B10475),Lookup!$B$2:$B$1000,Lookup!$C$2:$C$1000),"")</f>
        <v>Equity</v>
      </c>
      <c r="D10475" s="8" t="str">
        <f>IFERROR(INDEX('nav master'!$C:$C, MATCH(B10475, 'nav master'!$B:$B, 0)), "")</f>
        <v/>
      </c>
      <c r="E10475" s="8" t="s">
        <v>429</v>
      </c>
      <c r="F10475" s="8" t="s">
        <v>5444</v>
      </c>
    </row>
    <row r="10476" spans="1:6" ht="45" x14ac:dyDescent="0.25">
      <c r="A10476" s="8" t="s">
        <v>125</v>
      </c>
      <c r="B10476" s="8" t="s">
        <v>4866</v>
      </c>
      <c r="C10476" s="8" t="str">
        <f>IFERROR(_xlfn.XLOOKUP(TRIM(B10476),Lookup!$B$2:$B$1000,Lookup!$C$2:$C$1000),"")</f>
        <v>Equity</v>
      </c>
      <c r="D10476" s="8" t="str">
        <f>IFERROR(INDEX('nav master'!$C:$C, MATCH(B10476, 'nav master'!$B:$B, 0)), "")</f>
        <v/>
      </c>
      <c r="E10476" s="8" t="s">
        <v>431</v>
      </c>
      <c r="F10476" s="8" t="s">
        <v>5445</v>
      </c>
    </row>
    <row r="10477" spans="1:6" ht="45" x14ac:dyDescent="0.25">
      <c r="A10477" s="8" t="s">
        <v>125</v>
      </c>
      <c r="B10477" s="8" t="s">
        <v>4866</v>
      </c>
      <c r="C10477" s="8" t="str">
        <f>IFERROR(_xlfn.XLOOKUP(TRIM(B10477),Lookup!$B$2:$B$1000,Lookup!$C$2:$C$1000),"")</f>
        <v>Equity</v>
      </c>
      <c r="D10477" s="8" t="str">
        <f>IFERROR(INDEX('nav master'!$C:$C, MATCH(B10477, 'nav master'!$B:$B, 0)), "")</f>
        <v/>
      </c>
      <c r="E10477" s="8" t="s">
        <v>433</v>
      </c>
      <c r="F10477" s="8" t="s">
        <v>5446</v>
      </c>
    </row>
    <row r="10478" spans="1:6" ht="45" x14ac:dyDescent="0.25">
      <c r="A10478" s="8" t="s">
        <v>125</v>
      </c>
      <c r="B10478" s="8" t="s">
        <v>4866</v>
      </c>
      <c r="C10478" s="8" t="str">
        <f>IFERROR(_xlfn.XLOOKUP(TRIM(B10478),Lookup!$B$2:$B$1000,Lookup!$C$2:$C$1000),"")</f>
        <v>Equity</v>
      </c>
      <c r="D10478" s="8" t="str">
        <f>IFERROR(INDEX('nav master'!$C:$C, MATCH(B10478, 'nav master'!$B:$B, 0)), "")</f>
        <v/>
      </c>
      <c r="E10478" s="8" t="s">
        <v>435</v>
      </c>
      <c r="F10478" s="8" t="s">
        <v>5447</v>
      </c>
    </row>
    <row r="10479" spans="1:6" ht="45" x14ac:dyDescent="0.25">
      <c r="A10479" s="8" t="s">
        <v>125</v>
      </c>
      <c r="B10479" s="8" t="s">
        <v>4866</v>
      </c>
      <c r="C10479" s="8" t="str">
        <f>IFERROR(_xlfn.XLOOKUP(TRIM(B10479),Lookup!$B$2:$B$1000,Lookup!$C$2:$C$1000),"")</f>
        <v>Equity</v>
      </c>
      <c r="D10479" s="8" t="str">
        <f>IFERROR(INDEX('nav master'!$C:$C, MATCH(B10479, 'nav master'!$B:$B, 0)), "")</f>
        <v/>
      </c>
      <c r="E10479" s="8" t="s">
        <v>437</v>
      </c>
      <c r="F10479" s="8" t="s">
        <v>5448</v>
      </c>
    </row>
    <row r="10480" spans="1:6" ht="45" x14ac:dyDescent="0.25">
      <c r="A10480" s="8" t="s">
        <v>125</v>
      </c>
      <c r="B10480" s="8" t="s">
        <v>4866</v>
      </c>
      <c r="C10480" s="8" t="str">
        <f>IFERROR(_xlfn.XLOOKUP(TRIM(B10480),Lookup!$B$2:$B$1000,Lookup!$C$2:$C$1000),"")</f>
        <v>Equity</v>
      </c>
      <c r="D10480" s="8" t="str">
        <f>IFERROR(INDEX('nav master'!$C:$C, MATCH(B10480, 'nav master'!$B:$B, 0)), "")</f>
        <v/>
      </c>
      <c r="E10480" s="8" t="s">
        <v>439</v>
      </c>
      <c r="F10480" s="8" t="s">
        <v>5449</v>
      </c>
    </row>
    <row r="10481" spans="1:6" ht="45" x14ac:dyDescent="0.25">
      <c r="A10481" s="8" t="s">
        <v>125</v>
      </c>
      <c r="B10481" s="8" t="s">
        <v>4866</v>
      </c>
      <c r="C10481" s="8" t="str">
        <f>IFERROR(_xlfn.XLOOKUP(TRIM(B10481),Lookup!$B$2:$B$1000,Lookup!$C$2:$C$1000),"")</f>
        <v>Equity</v>
      </c>
      <c r="D10481" s="8" t="str">
        <f>IFERROR(INDEX('nav master'!$C:$C, MATCH(B10481, 'nav master'!$B:$B, 0)), "")</f>
        <v/>
      </c>
      <c r="E10481" s="8" t="s">
        <v>441</v>
      </c>
      <c r="F10481" s="8" t="s">
        <v>5450</v>
      </c>
    </row>
    <row r="10482" spans="1:6" ht="45" x14ac:dyDescent="0.25">
      <c r="A10482" s="8" t="s">
        <v>125</v>
      </c>
      <c r="B10482" s="8" t="s">
        <v>4866</v>
      </c>
      <c r="C10482" s="8" t="str">
        <f>IFERROR(_xlfn.XLOOKUP(TRIM(B10482),Lookup!$B$2:$B$1000,Lookup!$C$2:$C$1000),"")</f>
        <v>Equity</v>
      </c>
      <c r="D10482" s="8" t="str">
        <f>IFERROR(INDEX('nav master'!$C:$C, MATCH(B10482, 'nav master'!$B:$B, 0)), "")</f>
        <v/>
      </c>
      <c r="E10482" s="8" t="s">
        <v>443</v>
      </c>
      <c r="F10482" s="8" t="s">
        <v>5451</v>
      </c>
    </row>
    <row r="10483" spans="1:6" ht="45" x14ac:dyDescent="0.25">
      <c r="A10483" s="8" t="s">
        <v>125</v>
      </c>
      <c r="B10483" s="8" t="s">
        <v>4866</v>
      </c>
      <c r="C10483" s="8" t="str">
        <f>IFERROR(_xlfn.XLOOKUP(TRIM(B10483),Lookup!$B$2:$B$1000,Lookup!$C$2:$C$1000),"")</f>
        <v>Equity</v>
      </c>
      <c r="D10483" s="8" t="str">
        <f>IFERROR(INDEX('nav master'!$C:$C, MATCH(B10483, 'nav master'!$B:$B, 0)), "")</f>
        <v/>
      </c>
      <c r="E10483" s="8" t="s">
        <v>445</v>
      </c>
      <c r="F10483" s="8" t="s">
        <v>5452</v>
      </c>
    </row>
    <row r="10484" spans="1:6" ht="45" x14ac:dyDescent="0.25">
      <c r="A10484" s="8" t="s">
        <v>125</v>
      </c>
      <c r="B10484" s="8" t="s">
        <v>4866</v>
      </c>
      <c r="C10484" s="8" t="str">
        <f>IFERROR(_xlfn.XLOOKUP(TRIM(B10484),Lookup!$B$2:$B$1000,Lookup!$C$2:$C$1000),"")</f>
        <v>Equity</v>
      </c>
      <c r="D10484" s="8" t="str">
        <f>IFERROR(INDEX('nav master'!$C:$C, MATCH(B10484, 'nav master'!$B:$B, 0)), "")</f>
        <v/>
      </c>
      <c r="E10484" s="8" t="s">
        <v>446</v>
      </c>
      <c r="F10484" s="8" t="s">
        <v>5453</v>
      </c>
    </row>
    <row r="10485" spans="1:6" ht="45" x14ac:dyDescent="0.25">
      <c r="A10485" s="8" t="s">
        <v>125</v>
      </c>
      <c r="B10485" s="8" t="s">
        <v>4866</v>
      </c>
      <c r="C10485" s="8" t="str">
        <f>IFERROR(_xlfn.XLOOKUP(TRIM(B10485),Lookup!$B$2:$B$1000,Lookup!$C$2:$C$1000),"")</f>
        <v>Equity</v>
      </c>
      <c r="D10485" s="8" t="str">
        <f>IFERROR(INDEX('nav master'!$C:$C, MATCH(B10485, 'nav master'!$B:$B, 0)), "")</f>
        <v/>
      </c>
      <c r="E10485" s="8" t="s">
        <v>448</v>
      </c>
      <c r="F10485" s="8" t="s">
        <v>5454</v>
      </c>
    </row>
    <row r="10486" spans="1:6" ht="45" x14ac:dyDescent="0.25">
      <c r="A10486" s="8" t="s">
        <v>125</v>
      </c>
      <c r="B10486" s="8" t="s">
        <v>4866</v>
      </c>
      <c r="C10486" s="8" t="str">
        <f>IFERROR(_xlfn.XLOOKUP(TRIM(B10486),Lookup!$B$2:$B$1000,Lookup!$C$2:$C$1000),"")</f>
        <v>Equity</v>
      </c>
      <c r="D10486" s="8" t="str">
        <f>IFERROR(INDEX('nav master'!$C:$C, MATCH(B10486, 'nav master'!$B:$B, 0)), "")</f>
        <v/>
      </c>
      <c r="E10486" s="8" t="s">
        <v>450</v>
      </c>
      <c r="F10486" s="8" t="s">
        <v>5455</v>
      </c>
    </row>
    <row r="10487" spans="1:6" ht="45" x14ac:dyDescent="0.25">
      <c r="A10487" s="8" t="s">
        <v>125</v>
      </c>
      <c r="B10487" s="8" t="s">
        <v>4866</v>
      </c>
      <c r="C10487" s="8" t="str">
        <f>IFERROR(_xlfn.XLOOKUP(TRIM(B10487),Lookup!$B$2:$B$1000,Lookup!$C$2:$C$1000),"")</f>
        <v>Equity</v>
      </c>
      <c r="D10487" s="8" t="str">
        <f>IFERROR(INDEX('nav master'!$C:$C, MATCH(B10487, 'nav master'!$B:$B, 0)), "")</f>
        <v/>
      </c>
      <c r="E10487" s="8" t="s">
        <v>452</v>
      </c>
      <c r="F10487" s="8" t="s">
        <v>5456</v>
      </c>
    </row>
    <row r="10488" spans="1:6" ht="45" x14ac:dyDescent="0.25">
      <c r="A10488" s="8" t="s">
        <v>125</v>
      </c>
      <c r="B10488" s="8" t="s">
        <v>4866</v>
      </c>
      <c r="C10488" s="8" t="str">
        <f>IFERROR(_xlfn.XLOOKUP(TRIM(B10488),Lookup!$B$2:$B$1000,Lookup!$C$2:$C$1000),"")</f>
        <v>Equity</v>
      </c>
      <c r="D10488" s="8" t="str">
        <f>IFERROR(INDEX('nav master'!$C:$C, MATCH(B10488, 'nav master'!$B:$B, 0)), "")</f>
        <v/>
      </c>
      <c r="E10488" s="8" t="s">
        <v>454</v>
      </c>
      <c r="F10488" s="8" t="s">
        <v>5457</v>
      </c>
    </row>
    <row r="10489" spans="1:6" ht="45" x14ac:dyDescent="0.25">
      <c r="A10489" s="8" t="s">
        <v>125</v>
      </c>
      <c r="B10489" s="8" t="s">
        <v>4866</v>
      </c>
      <c r="C10489" s="8" t="str">
        <f>IFERROR(_xlfn.XLOOKUP(TRIM(B10489),Lookup!$B$2:$B$1000,Lookup!$C$2:$C$1000),"")</f>
        <v>Equity</v>
      </c>
      <c r="D10489" s="8" t="str">
        <f>IFERROR(INDEX('nav master'!$C:$C, MATCH(B10489, 'nav master'!$B:$B, 0)), "")</f>
        <v/>
      </c>
      <c r="E10489" s="8" t="s">
        <v>456</v>
      </c>
      <c r="F10489" s="8" t="s">
        <v>5458</v>
      </c>
    </row>
    <row r="10490" spans="1:6" ht="45" x14ac:dyDescent="0.25">
      <c r="A10490" s="8" t="s">
        <v>125</v>
      </c>
      <c r="B10490" s="8" t="s">
        <v>4866</v>
      </c>
      <c r="C10490" s="8" t="str">
        <f>IFERROR(_xlfn.XLOOKUP(TRIM(B10490),Lookup!$B$2:$B$1000,Lookup!$C$2:$C$1000),"")</f>
        <v>Equity</v>
      </c>
      <c r="D10490" s="8" t="str">
        <f>IFERROR(INDEX('nav master'!$C:$C, MATCH(B10490, 'nav master'!$B:$B, 0)), "")</f>
        <v/>
      </c>
      <c r="E10490" s="8" t="s">
        <v>458</v>
      </c>
      <c r="F10490" s="8" t="s">
        <v>5459</v>
      </c>
    </row>
    <row r="10491" spans="1:6" ht="45" x14ac:dyDescent="0.25">
      <c r="A10491" s="8" t="s">
        <v>125</v>
      </c>
      <c r="B10491" s="8" t="s">
        <v>4866</v>
      </c>
      <c r="C10491" s="8" t="str">
        <f>IFERROR(_xlfn.XLOOKUP(TRIM(B10491),Lookup!$B$2:$B$1000,Lookup!$C$2:$C$1000),"")</f>
        <v>Equity</v>
      </c>
      <c r="D10491" s="8" t="str">
        <f>IFERROR(INDEX('nav master'!$C:$C, MATCH(B10491, 'nav master'!$B:$B, 0)), "")</f>
        <v/>
      </c>
      <c r="E10491" s="8" t="s">
        <v>460</v>
      </c>
      <c r="F10491" s="8" t="s">
        <v>5460</v>
      </c>
    </row>
    <row r="10492" spans="1:6" ht="45" x14ac:dyDescent="0.25">
      <c r="A10492" s="8" t="s">
        <v>125</v>
      </c>
      <c r="B10492" s="8" t="s">
        <v>4866</v>
      </c>
      <c r="C10492" s="8" t="str">
        <f>IFERROR(_xlfn.XLOOKUP(TRIM(B10492),Lookup!$B$2:$B$1000,Lookup!$C$2:$C$1000),"")</f>
        <v>Equity</v>
      </c>
      <c r="D10492" s="8" t="str">
        <f>IFERROR(INDEX('nav master'!$C:$C, MATCH(B10492, 'nav master'!$B:$B, 0)), "")</f>
        <v/>
      </c>
      <c r="E10492" s="8" t="s">
        <v>462</v>
      </c>
      <c r="F10492" s="8" t="s">
        <v>5461</v>
      </c>
    </row>
    <row r="10493" spans="1:6" ht="45" x14ac:dyDescent="0.25">
      <c r="A10493" s="8" t="s">
        <v>125</v>
      </c>
      <c r="B10493" s="8" t="s">
        <v>4866</v>
      </c>
      <c r="C10493" s="8" t="str">
        <f>IFERROR(_xlfn.XLOOKUP(TRIM(B10493),Lookup!$B$2:$B$1000,Lookup!$C$2:$C$1000),"")</f>
        <v>Equity</v>
      </c>
      <c r="D10493" s="8" t="str">
        <f>IFERROR(INDEX('nav master'!$C:$C, MATCH(B10493, 'nav master'!$B:$B, 0)), "")</f>
        <v/>
      </c>
      <c r="E10493" s="8" t="s">
        <v>464</v>
      </c>
      <c r="F10493" s="8" t="s">
        <v>5462</v>
      </c>
    </row>
    <row r="10494" spans="1:6" ht="45" x14ac:dyDescent="0.25">
      <c r="A10494" s="8" t="s">
        <v>125</v>
      </c>
      <c r="B10494" s="8" t="s">
        <v>4866</v>
      </c>
      <c r="C10494" s="8" t="str">
        <f>IFERROR(_xlfn.XLOOKUP(TRIM(B10494),Lookup!$B$2:$B$1000,Lookup!$C$2:$C$1000),"")</f>
        <v>Equity</v>
      </c>
      <c r="D10494" s="8" t="str">
        <f>IFERROR(INDEX('nav master'!$C:$C, MATCH(B10494, 'nav master'!$B:$B, 0)), "")</f>
        <v/>
      </c>
      <c r="E10494" s="8" t="s">
        <v>466</v>
      </c>
      <c r="F10494" s="8" t="s">
        <v>5463</v>
      </c>
    </row>
    <row r="10495" spans="1:6" ht="45" x14ac:dyDescent="0.25">
      <c r="A10495" s="8" t="s">
        <v>125</v>
      </c>
      <c r="B10495" s="8" t="s">
        <v>4866</v>
      </c>
      <c r="C10495" s="8" t="str">
        <f>IFERROR(_xlfn.XLOOKUP(TRIM(B10495),Lookup!$B$2:$B$1000,Lookup!$C$2:$C$1000),"")</f>
        <v>Equity</v>
      </c>
      <c r="D10495" s="8" t="str">
        <f>IFERROR(INDEX('nav master'!$C:$C, MATCH(B10495, 'nav master'!$B:$B, 0)), "")</f>
        <v/>
      </c>
      <c r="E10495" s="8" t="s">
        <v>468</v>
      </c>
      <c r="F10495" s="8" t="s">
        <v>5464</v>
      </c>
    </row>
    <row r="10496" spans="1:6" ht="45" x14ac:dyDescent="0.25">
      <c r="A10496" s="8" t="s">
        <v>125</v>
      </c>
      <c r="B10496" s="8" t="s">
        <v>4866</v>
      </c>
      <c r="C10496" s="8" t="str">
        <f>IFERROR(_xlfn.XLOOKUP(TRIM(B10496),Lookup!$B$2:$B$1000,Lookup!$C$2:$C$1000),"")</f>
        <v>Equity</v>
      </c>
      <c r="D10496" s="8" t="str">
        <f>IFERROR(INDEX('nav master'!$C:$C, MATCH(B10496, 'nav master'!$B:$B, 0)), "")</f>
        <v/>
      </c>
      <c r="E10496" s="8" t="s">
        <v>470</v>
      </c>
      <c r="F10496" s="8" t="s">
        <v>5465</v>
      </c>
    </row>
    <row r="10497" spans="1:6" ht="45" x14ac:dyDescent="0.25">
      <c r="A10497" s="8" t="s">
        <v>125</v>
      </c>
      <c r="B10497" s="8" t="s">
        <v>4866</v>
      </c>
      <c r="C10497" s="8" t="str">
        <f>IFERROR(_xlfn.XLOOKUP(TRIM(B10497),Lookup!$B$2:$B$1000,Lookup!$C$2:$C$1000),"")</f>
        <v>Equity</v>
      </c>
      <c r="D10497" s="8" t="str">
        <f>IFERROR(INDEX('nav master'!$C:$C, MATCH(B10497, 'nav master'!$B:$B, 0)), "")</f>
        <v/>
      </c>
      <c r="E10497" s="8" t="s">
        <v>472</v>
      </c>
      <c r="F10497" s="8" t="s">
        <v>5466</v>
      </c>
    </row>
    <row r="10498" spans="1:6" ht="45" x14ac:dyDescent="0.25">
      <c r="A10498" s="8" t="s">
        <v>125</v>
      </c>
      <c r="B10498" s="8" t="s">
        <v>4866</v>
      </c>
      <c r="C10498" s="8" t="str">
        <f>IFERROR(_xlfn.XLOOKUP(TRIM(B10498),Lookup!$B$2:$B$1000,Lookup!$C$2:$C$1000),"")</f>
        <v>Equity</v>
      </c>
      <c r="D10498" s="8" t="str">
        <f>IFERROR(INDEX('nav master'!$C:$C, MATCH(B10498, 'nav master'!$B:$B, 0)), "")</f>
        <v/>
      </c>
      <c r="E10498" s="8" t="s">
        <v>474</v>
      </c>
      <c r="F10498" s="8" t="s">
        <v>5467</v>
      </c>
    </row>
    <row r="10499" spans="1:6" ht="45" x14ac:dyDescent="0.25">
      <c r="A10499" s="8" t="s">
        <v>125</v>
      </c>
      <c r="B10499" s="8" t="s">
        <v>4866</v>
      </c>
      <c r="C10499" s="8" t="str">
        <f>IFERROR(_xlfn.XLOOKUP(TRIM(B10499),Lookup!$B$2:$B$1000,Lookup!$C$2:$C$1000),"")</f>
        <v>Equity</v>
      </c>
      <c r="D10499" s="8" t="str">
        <f>IFERROR(INDEX('nav master'!$C:$C, MATCH(B10499, 'nav master'!$B:$B, 0)), "")</f>
        <v/>
      </c>
      <c r="E10499" s="8" t="s">
        <v>476</v>
      </c>
      <c r="F10499" s="8" t="s">
        <v>5468</v>
      </c>
    </row>
    <row r="10500" spans="1:6" ht="45" x14ac:dyDescent="0.25">
      <c r="A10500" s="8" t="s">
        <v>125</v>
      </c>
      <c r="B10500" s="8" t="s">
        <v>4866</v>
      </c>
      <c r="C10500" s="8" t="str">
        <f>IFERROR(_xlfn.XLOOKUP(TRIM(B10500),Lookup!$B$2:$B$1000,Lookup!$C$2:$C$1000),"")</f>
        <v>Equity</v>
      </c>
      <c r="D10500" s="8" t="str">
        <f>IFERROR(INDEX('nav master'!$C:$C, MATCH(B10500, 'nav master'!$B:$B, 0)), "")</f>
        <v/>
      </c>
      <c r="E10500" s="8" t="s">
        <v>478</v>
      </c>
      <c r="F10500" s="8" t="s">
        <v>5469</v>
      </c>
    </row>
    <row r="10501" spans="1:6" ht="45" x14ac:dyDescent="0.25">
      <c r="A10501" s="8" t="s">
        <v>125</v>
      </c>
      <c r="B10501" s="8" t="s">
        <v>4866</v>
      </c>
      <c r="C10501" s="8" t="str">
        <f>IFERROR(_xlfn.XLOOKUP(TRIM(B10501),Lookup!$B$2:$B$1000,Lookup!$C$2:$C$1000),"")</f>
        <v>Equity</v>
      </c>
      <c r="D10501" s="8" t="str">
        <f>IFERROR(INDEX('nav master'!$C:$C, MATCH(B10501, 'nav master'!$B:$B, 0)), "")</f>
        <v/>
      </c>
      <c r="E10501" s="8" t="s">
        <v>480</v>
      </c>
      <c r="F10501" s="8" t="s">
        <v>5470</v>
      </c>
    </row>
    <row r="10502" spans="1:6" ht="45" x14ac:dyDescent="0.25">
      <c r="A10502" s="8" t="s">
        <v>125</v>
      </c>
      <c r="B10502" s="8" t="s">
        <v>4866</v>
      </c>
      <c r="C10502" s="8" t="str">
        <f>IFERROR(_xlfn.XLOOKUP(TRIM(B10502),Lookup!$B$2:$B$1000,Lookup!$C$2:$C$1000),"")</f>
        <v>Equity</v>
      </c>
      <c r="D10502" s="8" t="str">
        <f>IFERROR(INDEX('nav master'!$C:$C, MATCH(B10502, 'nav master'!$B:$B, 0)), "")</f>
        <v/>
      </c>
      <c r="E10502" s="8" t="s">
        <v>482</v>
      </c>
      <c r="F10502" s="8" t="s">
        <v>5471</v>
      </c>
    </row>
    <row r="10503" spans="1:6" ht="45" x14ac:dyDescent="0.25">
      <c r="A10503" s="8" t="s">
        <v>125</v>
      </c>
      <c r="B10503" s="8" t="s">
        <v>4866</v>
      </c>
      <c r="C10503" s="8" t="str">
        <f>IFERROR(_xlfn.XLOOKUP(TRIM(B10503),Lookup!$B$2:$B$1000,Lookup!$C$2:$C$1000),"")</f>
        <v>Equity</v>
      </c>
      <c r="D10503" s="8" t="str">
        <f>IFERROR(INDEX('nav master'!$C:$C, MATCH(B10503, 'nav master'!$B:$B, 0)), "")</f>
        <v/>
      </c>
      <c r="E10503" s="8" t="s">
        <v>484</v>
      </c>
      <c r="F10503" s="8" t="s">
        <v>5472</v>
      </c>
    </row>
    <row r="10504" spans="1:6" ht="45" x14ac:dyDescent="0.25">
      <c r="A10504" s="8" t="s">
        <v>125</v>
      </c>
      <c r="B10504" s="8" t="s">
        <v>4866</v>
      </c>
      <c r="C10504" s="8" t="str">
        <f>IFERROR(_xlfn.XLOOKUP(TRIM(B10504),Lookup!$B$2:$B$1000,Lookup!$C$2:$C$1000),"")</f>
        <v>Equity</v>
      </c>
      <c r="D10504" s="8" t="str">
        <f>IFERROR(INDEX('nav master'!$C:$C, MATCH(B10504, 'nav master'!$B:$B, 0)), "")</f>
        <v/>
      </c>
      <c r="E10504" s="8" t="s">
        <v>486</v>
      </c>
      <c r="F10504" s="8" t="s">
        <v>5473</v>
      </c>
    </row>
    <row r="10505" spans="1:6" ht="45" x14ac:dyDescent="0.25">
      <c r="A10505" s="8" t="s">
        <v>125</v>
      </c>
      <c r="B10505" s="8" t="s">
        <v>4866</v>
      </c>
      <c r="C10505" s="8" t="str">
        <f>IFERROR(_xlfn.XLOOKUP(TRIM(B10505),Lookup!$B$2:$B$1000,Lookup!$C$2:$C$1000),"")</f>
        <v>Equity</v>
      </c>
      <c r="D10505" s="8" t="str">
        <f>IFERROR(INDEX('nav master'!$C:$C, MATCH(B10505, 'nav master'!$B:$B, 0)), "")</f>
        <v/>
      </c>
      <c r="E10505" s="8" t="s">
        <v>488</v>
      </c>
      <c r="F10505" s="8" t="s">
        <v>5474</v>
      </c>
    </row>
    <row r="10506" spans="1:6" ht="45" x14ac:dyDescent="0.25">
      <c r="A10506" s="8" t="s">
        <v>125</v>
      </c>
      <c r="B10506" s="8" t="s">
        <v>4866</v>
      </c>
      <c r="C10506" s="8" t="str">
        <f>IFERROR(_xlfn.XLOOKUP(TRIM(B10506),Lookup!$B$2:$B$1000,Lookup!$C$2:$C$1000),"")</f>
        <v>Equity</v>
      </c>
      <c r="D10506" s="8" t="str">
        <f>IFERROR(INDEX('nav master'!$C:$C, MATCH(B10506, 'nav master'!$B:$B, 0)), "")</f>
        <v/>
      </c>
      <c r="E10506" s="8" t="s">
        <v>490</v>
      </c>
      <c r="F10506" s="8" t="s">
        <v>5475</v>
      </c>
    </row>
    <row r="10507" spans="1:6" ht="45" x14ac:dyDescent="0.25">
      <c r="A10507" s="8" t="s">
        <v>125</v>
      </c>
      <c r="B10507" s="8" t="s">
        <v>4866</v>
      </c>
      <c r="C10507" s="8" t="str">
        <f>IFERROR(_xlfn.XLOOKUP(TRIM(B10507),Lookup!$B$2:$B$1000,Lookup!$C$2:$C$1000),"")</f>
        <v>Equity</v>
      </c>
      <c r="D10507" s="8" t="str">
        <f>IFERROR(INDEX('nav master'!$C:$C, MATCH(B10507, 'nav master'!$B:$B, 0)), "")</f>
        <v/>
      </c>
      <c r="E10507" s="8" t="s">
        <v>492</v>
      </c>
      <c r="F10507" s="8" t="s">
        <v>5476</v>
      </c>
    </row>
    <row r="10508" spans="1:6" ht="45" x14ac:dyDescent="0.25">
      <c r="A10508" s="8" t="s">
        <v>125</v>
      </c>
      <c r="B10508" s="8" t="s">
        <v>4866</v>
      </c>
      <c r="C10508" s="8" t="str">
        <f>IFERROR(_xlfn.XLOOKUP(TRIM(B10508),Lookup!$B$2:$B$1000,Lookup!$C$2:$C$1000),"")</f>
        <v>Equity</v>
      </c>
      <c r="D10508" s="8" t="str">
        <f>IFERROR(INDEX('nav master'!$C:$C, MATCH(B10508, 'nav master'!$B:$B, 0)), "")</f>
        <v/>
      </c>
      <c r="E10508" s="8" t="s">
        <v>494</v>
      </c>
      <c r="F10508" s="8" t="s">
        <v>5477</v>
      </c>
    </row>
    <row r="10509" spans="1:6" ht="45" x14ac:dyDescent="0.25">
      <c r="A10509" s="8" t="s">
        <v>125</v>
      </c>
      <c r="B10509" s="8" t="s">
        <v>4866</v>
      </c>
      <c r="C10509" s="8" t="str">
        <f>IFERROR(_xlfn.XLOOKUP(TRIM(B10509),Lookup!$B$2:$B$1000,Lookup!$C$2:$C$1000),"")</f>
        <v>Equity</v>
      </c>
      <c r="D10509" s="8" t="str">
        <f>IFERROR(INDEX('nav master'!$C:$C, MATCH(B10509, 'nav master'!$B:$B, 0)), "")</f>
        <v/>
      </c>
      <c r="E10509" s="8" t="s">
        <v>496</v>
      </c>
      <c r="F10509" s="8" t="s">
        <v>5478</v>
      </c>
    </row>
    <row r="10510" spans="1:6" ht="45" x14ac:dyDescent="0.25">
      <c r="A10510" s="8" t="s">
        <v>125</v>
      </c>
      <c r="B10510" s="8" t="s">
        <v>4866</v>
      </c>
      <c r="C10510" s="8" t="str">
        <f>IFERROR(_xlfn.XLOOKUP(TRIM(B10510),Lookup!$B$2:$B$1000,Lookup!$C$2:$C$1000),"")</f>
        <v>Equity</v>
      </c>
      <c r="D10510" s="8" t="str">
        <f>IFERROR(INDEX('nav master'!$C:$C, MATCH(B10510, 'nav master'!$B:$B, 0)), "")</f>
        <v/>
      </c>
      <c r="E10510" s="8" t="s">
        <v>498</v>
      </c>
      <c r="F10510" s="8" t="s">
        <v>5479</v>
      </c>
    </row>
    <row r="10511" spans="1:6" ht="45" x14ac:dyDescent="0.25">
      <c r="A10511" s="8" t="s">
        <v>125</v>
      </c>
      <c r="B10511" s="8" t="s">
        <v>4866</v>
      </c>
      <c r="C10511" s="8" t="str">
        <f>IFERROR(_xlfn.XLOOKUP(TRIM(B10511),Lookup!$B$2:$B$1000,Lookup!$C$2:$C$1000),"")</f>
        <v>Equity</v>
      </c>
      <c r="D10511" s="8" t="str">
        <f>IFERROR(INDEX('nav master'!$C:$C, MATCH(B10511, 'nav master'!$B:$B, 0)), "")</f>
        <v/>
      </c>
      <c r="E10511" s="8" t="s">
        <v>500</v>
      </c>
      <c r="F10511" s="8" t="s">
        <v>5480</v>
      </c>
    </row>
    <row r="10512" spans="1:6" ht="45" x14ac:dyDescent="0.25">
      <c r="A10512" s="8" t="s">
        <v>125</v>
      </c>
      <c r="B10512" s="8" t="s">
        <v>4866</v>
      </c>
      <c r="C10512" s="8" t="str">
        <f>IFERROR(_xlfn.XLOOKUP(TRIM(B10512),Lookup!$B$2:$B$1000,Lookup!$C$2:$C$1000),"")</f>
        <v>Equity</v>
      </c>
      <c r="D10512" s="8" t="str">
        <f>IFERROR(INDEX('nav master'!$C:$C, MATCH(B10512, 'nav master'!$B:$B, 0)), "")</f>
        <v/>
      </c>
      <c r="E10512" s="8" t="s">
        <v>502</v>
      </c>
      <c r="F10512" s="8" t="s">
        <v>5481</v>
      </c>
    </row>
    <row r="10513" spans="1:6" ht="45" x14ac:dyDescent="0.25">
      <c r="A10513" s="8" t="s">
        <v>125</v>
      </c>
      <c r="B10513" s="8" t="s">
        <v>4866</v>
      </c>
      <c r="C10513" s="8" t="str">
        <f>IFERROR(_xlfn.XLOOKUP(TRIM(B10513),Lookup!$B$2:$B$1000,Lookup!$C$2:$C$1000),"")</f>
        <v>Equity</v>
      </c>
      <c r="D10513" s="8" t="str">
        <f>IFERROR(INDEX('nav master'!$C:$C, MATCH(B10513, 'nav master'!$B:$B, 0)), "")</f>
        <v/>
      </c>
      <c r="E10513" s="8" t="s">
        <v>504</v>
      </c>
      <c r="F10513" s="8" t="s">
        <v>5482</v>
      </c>
    </row>
    <row r="10514" spans="1:6" ht="45" x14ac:dyDescent="0.25">
      <c r="A10514" s="8" t="s">
        <v>125</v>
      </c>
      <c r="B10514" s="8" t="s">
        <v>4866</v>
      </c>
      <c r="C10514" s="8" t="str">
        <f>IFERROR(_xlfn.XLOOKUP(TRIM(B10514),Lookup!$B$2:$B$1000,Lookup!$C$2:$C$1000),"")</f>
        <v>Equity</v>
      </c>
      <c r="D10514" s="8" t="str">
        <f>IFERROR(INDEX('nav master'!$C:$C, MATCH(B10514, 'nav master'!$B:$B, 0)), "")</f>
        <v/>
      </c>
      <c r="E10514" s="8" t="s">
        <v>506</v>
      </c>
      <c r="F10514" s="8" t="s">
        <v>5483</v>
      </c>
    </row>
    <row r="10515" spans="1:6" ht="45" x14ac:dyDescent="0.25">
      <c r="A10515" s="8" t="s">
        <v>125</v>
      </c>
      <c r="B10515" s="8" t="s">
        <v>4866</v>
      </c>
      <c r="C10515" s="8" t="str">
        <f>IFERROR(_xlfn.XLOOKUP(TRIM(B10515),Lookup!$B$2:$B$1000,Lookup!$C$2:$C$1000),"")</f>
        <v>Equity</v>
      </c>
      <c r="D10515" s="8" t="str">
        <f>IFERROR(INDEX('nav master'!$C:$C, MATCH(B10515, 'nav master'!$B:$B, 0)), "")</f>
        <v/>
      </c>
      <c r="E10515" s="8" t="s">
        <v>508</v>
      </c>
      <c r="F10515" s="8" t="s">
        <v>5484</v>
      </c>
    </row>
    <row r="10516" spans="1:6" ht="45" x14ac:dyDescent="0.25">
      <c r="A10516" s="8" t="s">
        <v>125</v>
      </c>
      <c r="B10516" s="8" t="s">
        <v>4866</v>
      </c>
      <c r="C10516" s="8" t="str">
        <f>IFERROR(_xlfn.XLOOKUP(TRIM(B10516),Lookup!$B$2:$B$1000,Lookup!$C$2:$C$1000),"")</f>
        <v>Equity</v>
      </c>
      <c r="D10516" s="8" t="str">
        <f>IFERROR(INDEX('nav master'!$C:$C, MATCH(B10516, 'nav master'!$B:$B, 0)), "")</f>
        <v/>
      </c>
      <c r="E10516" s="8" t="s">
        <v>510</v>
      </c>
      <c r="F10516" s="8" t="s">
        <v>5485</v>
      </c>
    </row>
    <row r="10517" spans="1:6" ht="45" x14ac:dyDescent="0.25">
      <c r="A10517" s="8" t="s">
        <v>125</v>
      </c>
      <c r="B10517" s="8" t="s">
        <v>4866</v>
      </c>
      <c r="C10517" s="8" t="str">
        <f>IFERROR(_xlfn.XLOOKUP(TRIM(B10517),Lookup!$B$2:$B$1000,Lookup!$C$2:$C$1000),"")</f>
        <v>Equity</v>
      </c>
      <c r="D10517" s="8" t="str">
        <f>IFERROR(INDEX('nav master'!$C:$C, MATCH(B10517, 'nav master'!$B:$B, 0)), "")</f>
        <v/>
      </c>
      <c r="E10517" s="8" t="s">
        <v>512</v>
      </c>
      <c r="F10517" s="8" t="s">
        <v>5486</v>
      </c>
    </row>
    <row r="10518" spans="1:6" ht="45" x14ac:dyDescent="0.25">
      <c r="A10518" s="8" t="s">
        <v>125</v>
      </c>
      <c r="B10518" s="8" t="s">
        <v>4866</v>
      </c>
      <c r="C10518" s="8" t="str">
        <f>IFERROR(_xlfn.XLOOKUP(TRIM(B10518),Lookup!$B$2:$B$1000,Lookup!$C$2:$C$1000),"")</f>
        <v>Equity</v>
      </c>
      <c r="D10518" s="8" t="str">
        <f>IFERROR(INDEX('nav master'!$C:$C, MATCH(B10518, 'nav master'!$B:$B, 0)), "")</f>
        <v/>
      </c>
      <c r="E10518" s="8" t="s">
        <v>514</v>
      </c>
      <c r="F10518" s="8" t="s">
        <v>5487</v>
      </c>
    </row>
    <row r="10519" spans="1:6" ht="45" x14ac:dyDescent="0.25">
      <c r="A10519" s="8" t="s">
        <v>125</v>
      </c>
      <c r="B10519" s="8" t="s">
        <v>4866</v>
      </c>
      <c r="C10519" s="8" t="str">
        <f>IFERROR(_xlfn.XLOOKUP(TRIM(B10519),Lookup!$B$2:$B$1000,Lookup!$C$2:$C$1000),"")</f>
        <v>Equity</v>
      </c>
      <c r="D10519" s="8" t="str">
        <f>IFERROR(INDEX('nav master'!$C:$C, MATCH(B10519, 'nav master'!$B:$B, 0)), "")</f>
        <v/>
      </c>
      <c r="E10519" s="8" t="s">
        <v>516</v>
      </c>
      <c r="F10519" s="8" t="s">
        <v>5488</v>
      </c>
    </row>
    <row r="10520" spans="1:6" ht="45" x14ac:dyDescent="0.25">
      <c r="A10520" s="8" t="s">
        <v>125</v>
      </c>
      <c r="B10520" s="8" t="s">
        <v>4866</v>
      </c>
      <c r="C10520" s="8" t="str">
        <f>IFERROR(_xlfn.XLOOKUP(TRIM(B10520),Lookup!$B$2:$B$1000,Lookup!$C$2:$C$1000),"")</f>
        <v>Equity</v>
      </c>
      <c r="D10520" s="8" t="str">
        <f>IFERROR(INDEX('nav master'!$C:$C, MATCH(B10520, 'nav master'!$B:$B, 0)), "")</f>
        <v/>
      </c>
      <c r="E10520" s="8" t="s">
        <v>518</v>
      </c>
      <c r="F10520" s="8" t="s">
        <v>5489</v>
      </c>
    </row>
    <row r="10521" spans="1:6" ht="45" x14ac:dyDescent="0.25">
      <c r="A10521" s="8" t="s">
        <v>125</v>
      </c>
      <c r="B10521" s="8" t="s">
        <v>4866</v>
      </c>
      <c r="C10521" s="8" t="str">
        <f>IFERROR(_xlfn.XLOOKUP(TRIM(B10521),Lookup!$B$2:$B$1000,Lookup!$C$2:$C$1000),"")</f>
        <v>Equity</v>
      </c>
      <c r="D10521" s="8" t="str">
        <f>IFERROR(INDEX('nav master'!$C:$C, MATCH(B10521, 'nav master'!$B:$B, 0)), "")</f>
        <v/>
      </c>
      <c r="E10521" s="8" t="s">
        <v>520</v>
      </c>
      <c r="F10521" s="8" t="s">
        <v>5490</v>
      </c>
    </row>
    <row r="10522" spans="1:6" ht="45" x14ac:dyDescent="0.25">
      <c r="A10522" s="8" t="s">
        <v>125</v>
      </c>
      <c r="B10522" s="8" t="s">
        <v>4866</v>
      </c>
      <c r="C10522" s="8" t="str">
        <f>IFERROR(_xlfn.XLOOKUP(TRIM(B10522),Lookup!$B$2:$B$1000,Lookup!$C$2:$C$1000),"")</f>
        <v>Equity</v>
      </c>
      <c r="D10522" s="8" t="str">
        <f>IFERROR(INDEX('nav master'!$C:$C, MATCH(B10522, 'nav master'!$B:$B, 0)), "")</f>
        <v/>
      </c>
      <c r="E10522" s="8" t="s">
        <v>522</v>
      </c>
      <c r="F10522" s="8" t="s">
        <v>5491</v>
      </c>
    </row>
    <row r="10523" spans="1:6" ht="45" x14ac:dyDescent="0.25">
      <c r="A10523" s="8" t="s">
        <v>125</v>
      </c>
      <c r="B10523" s="8" t="s">
        <v>4866</v>
      </c>
      <c r="C10523" s="8" t="str">
        <f>IFERROR(_xlfn.XLOOKUP(TRIM(B10523),Lookup!$B$2:$B$1000,Lookup!$C$2:$C$1000),"")</f>
        <v>Equity</v>
      </c>
      <c r="D10523" s="8" t="str">
        <f>IFERROR(INDEX('nav master'!$C:$C, MATCH(B10523, 'nav master'!$B:$B, 0)), "")</f>
        <v/>
      </c>
      <c r="E10523" s="8" t="s">
        <v>524</v>
      </c>
      <c r="F10523" s="8" t="s">
        <v>5492</v>
      </c>
    </row>
    <row r="10524" spans="1:6" ht="45" x14ac:dyDescent="0.25">
      <c r="A10524" s="8" t="s">
        <v>125</v>
      </c>
      <c r="B10524" s="8" t="s">
        <v>4866</v>
      </c>
      <c r="C10524" s="8" t="str">
        <f>IFERROR(_xlfn.XLOOKUP(TRIM(B10524),Lookup!$B$2:$B$1000,Lookup!$C$2:$C$1000),"")</f>
        <v>Equity</v>
      </c>
      <c r="D10524" s="8" t="str">
        <f>IFERROR(INDEX('nav master'!$C:$C, MATCH(B10524, 'nav master'!$B:$B, 0)), "")</f>
        <v/>
      </c>
      <c r="E10524" s="8" t="s">
        <v>526</v>
      </c>
      <c r="F10524" s="8" t="s">
        <v>5493</v>
      </c>
    </row>
    <row r="10525" spans="1:6" ht="45" x14ac:dyDescent="0.25">
      <c r="A10525" s="8" t="s">
        <v>125</v>
      </c>
      <c r="B10525" s="8" t="s">
        <v>4866</v>
      </c>
      <c r="C10525" s="8" t="str">
        <f>IFERROR(_xlfn.XLOOKUP(TRIM(B10525),Lookup!$B$2:$B$1000,Lookup!$C$2:$C$1000),"")</f>
        <v>Equity</v>
      </c>
      <c r="D10525" s="8" t="str">
        <f>IFERROR(INDEX('nav master'!$C:$C, MATCH(B10525, 'nav master'!$B:$B, 0)), "")</f>
        <v/>
      </c>
      <c r="E10525" s="8" t="s">
        <v>528</v>
      </c>
      <c r="F10525" s="8" t="s">
        <v>5494</v>
      </c>
    </row>
    <row r="10526" spans="1:6" ht="45" x14ac:dyDescent="0.25">
      <c r="A10526" s="8" t="s">
        <v>125</v>
      </c>
      <c r="B10526" s="8" t="s">
        <v>4866</v>
      </c>
      <c r="C10526" s="8" t="str">
        <f>IFERROR(_xlfn.XLOOKUP(TRIM(B10526),Lookup!$B$2:$B$1000,Lookup!$C$2:$C$1000),"")</f>
        <v>Equity</v>
      </c>
      <c r="D10526" s="8" t="str">
        <f>IFERROR(INDEX('nav master'!$C:$C, MATCH(B10526, 'nav master'!$B:$B, 0)), "")</f>
        <v/>
      </c>
      <c r="E10526" s="8" t="s">
        <v>530</v>
      </c>
      <c r="F10526" s="8" t="s">
        <v>5495</v>
      </c>
    </row>
    <row r="10527" spans="1:6" ht="45" x14ac:dyDescent="0.25">
      <c r="A10527" s="8" t="s">
        <v>125</v>
      </c>
      <c r="B10527" s="8" t="s">
        <v>4866</v>
      </c>
      <c r="C10527" s="8" t="str">
        <f>IFERROR(_xlfn.XLOOKUP(TRIM(B10527),Lookup!$B$2:$B$1000,Lookup!$C$2:$C$1000),"")</f>
        <v>Equity</v>
      </c>
      <c r="D10527" s="8" t="str">
        <f>IFERROR(INDEX('nav master'!$C:$C, MATCH(B10527, 'nav master'!$B:$B, 0)), "")</f>
        <v/>
      </c>
      <c r="E10527" s="8" t="s">
        <v>532</v>
      </c>
      <c r="F10527" s="8" t="s">
        <v>5496</v>
      </c>
    </row>
    <row r="10528" spans="1:6" ht="45" x14ac:dyDescent="0.25">
      <c r="A10528" s="8" t="s">
        <v>125</v>
      </c>
      <c r="B10528" s="8" t="s">
        <v>4866</v>
      </c>
      <c r="C10528" s="8" t="str">
        <f>IFERROR(_xlfn.XLOOKUP(TRIM(B10528),Lookup!$B$2:$B$1000,Lookup!$C$2:$C$1000),"")</f>
        <v>Equity</v>
      </c>
      <c r="D10528" s="8" t="str">
        <f>IFERROR(INDEX('nav master'!$C:$C, MATCH(B10528, 'nav master'!$B:$B, 0)), "")</f>
        <v/>
      </c>
      <c r="E10528" s="8" t="s">
        <v>534</v>
      </c>
      <c r="F10528" s="8" t="s">
        <v>5497</v>
      </c>
    </row>
    <row r="10529" spans="1:6" ht="45" x14ac:dyDescent="0.25">
      <c r="A10529" s="8" t="s">
        <v>125</v>
      </c>
      <c r="B10529" s="8" t="s">
        <v>4866</v>
      </c>
      <c r="C10529" s="8" t="str">
        <f>IFERROR(_xlfn.XLOOKUP(TRIM(B10529),Lookup!$B$2:$B$1000,Lookup!$C$2:$C$1000),"")</f>
        <v>Equity</v>
      </c>
      <c r="D10529" s="8" t="str">
        <f>IFERROR(INDEX('nav master'!$C:$C, MATCH(B10529, 'nav master'!$B:$B, 0)), "")</f>
        <v/>
      </c>
      <c r="E10529" s="8" t="s">
        <v>536</v>
      </c>
      <c r="F10529" s="8" t="s">
        <v>5498</v>
      </c>
    </row>
    <row r="10530" spans="1:6" ht="45" x14ac:dyDescent="0.25">
      <c r="A10530" s="8" t="s">
        <v>125</v>
      </c>
      <c r="B10530" s="8" t="s">
        <v>4866</v>
      </c>
      <c r="C10530" s="8" t="str">
        <f>IFERROR(_xlfn.XLOOKUP(TRIM(B10530),Lookup!$B$2:$B$1000,Lookup!$C$2:$C$1000),"")</f>
        <v>Equity</v>
      </c>
      <c r="D10530" s="8" t="str">
        <f>IFERROR(INDEX('nav master'!$C:$C, MATCH(B10530, 'nav master'!$B:$B, 0)), "")</f>
        <v/>
      </c>
      <c r="E10530" s="8" t="s">
        <v>538</v>
      </c>
      <c r="F10530" s="8" t="s">
        <v>5499</v>
      </c>
    </row>
    <row r="10531" spans="1:6" ht="45" x14ac:dyDescent="0.25">
      <c r="A10531" s="8" t="s">
        <v>125</v>
      </c>
      <c r="B10531" s="8" t="s">
        <v>4866</v>
      </c>
      <c r="C10531" s="8" t="str">
        <f>IFERROR(_xlfn.XLOOKUP(TRIM(B10531),Lookup!$B$2:$B$1000,Lookup!$C$2:$C$1000),"")</f>
        <v>Equity</v>
      </c>
      <c r="D10531" s="8" t="str">
        <f>IFERROR(INDEX('nav master'!$C:$C, MATCH(B10531, 'nav master'!$B:$B, 0)), "")</f>
        <v/>
      </c>
      <c r="E10531" s="8" t="s">
        <v>540</v>
      </c>
      <c r="F10531" s="8" t="s">
        <v>5369</v>
      </c>
    </row>
    <row r="10532" spans="1:6" ht="45" x14ac:dyDescent="0.25">
      <c r="A10532" s="8" t="s">
        <v>125</v>
      </c>
      <c r="B10532" s="8" t="s">
        <v>4866</v>
      </c>
      <c r="C10532" s="8" t="str">
        <f>IFERROR(_xlfn.XLOOKUP(TRIM(B10532),Lookup!$B$2:$B$1000,Lookup!$C$2:$C$1000),"")</f>
        <v>Equity</v>
      </c>
      <c r="D10532" s="8" t="str">
        <f>IFERROR(INDEX('nav master'!$C:$C, MATCH(B10532, 'nav master'!$B:$B, 0)), "")</f>
        <v/>
      </c>
      <c r="E10532" s="8" t="s">
        <v>542</v>
      </c>
      <c r="F10532" s="8" t="s">
        <v>5500</v>
      </c>
    </row>
    <row r="10533" spans="1:6" ht="45" x14ac:dyDescent="0.25">
      <c r="A10533" s="8" t="s">
        <v>125</v>
      </c>
      <c r="B10533" s="8" t="s">
        <v>4866</v>
      </c>
      <c r="C10533" s="8" t="str">
        <f>IFERROR(_xlfn.XLOOKUP(TRIM(B10533),Lookup!$B$2:$B$1000,Lookup!$C$2:$C$1000),"")</f>
        <v>Equity</v>
      </c>
      <c r="D10533" s="8" t="str">
        <f>IFERROR(INDEX('nav master'!$C:$C, MATCH(B10533, 'nav master'!$B:$B, 0)), "")</f>
        <v/>
      </c>
      <c r="E10533" s="8" t="s">
        <v>544</v>
      </c>
      <c r="F10533" s="8" t="s">
        <v>5501</v>
      </c>
    </row>
    <row r="10534" spans="1:6" ht="45" x14ac:dyDescent="0.25">
      <c r="A10534" s="8" t="s">
        <v>125</v>
      </c>
      <c r="B10534" s="8" t="s">
        <v>4866</v>
      </c>
      <c r="C10534" s="8" t="str">
        <f>IFERROR(_xlfn.XLOOKUP(TRIM(B10534),Lookup!$B$2:$B$1000,Lookup!$C$2:$C$1000),"")</f>
        <v>Equity</v>
      </c>
      <c r="D10534" s="8" t="str">
        <f>IFERROR(INDEX('nav master'!$C:$C, MATCH(B10534, 'nav master'!$B:$B, 0)), "")</f>
        <v/>
      </c>
      <c r="E10534" s="8" t="s">
        <v>546</v>
      </c>
      <c r="F10534" s="8" t="s">
        <v>5502</v>
      </c>
    </row>
    <row r="10535" spans="1:6" ht="45" x14ac:dyDescent="0.25">
      <c r="A10535" s="8" t="s">
        <v>125</v>
      </c>
      <c r="B10535" s="8" t="s">
        <v>4866</v>
      </c>
      <c r="C10535" s="8" t="str">
        <f>IFERROR(_xlfn.XLOOKUP(TRIM(B10535),Lookup!$B$2:$B$1000,Lookup!$C$2:$C$1000),"")</f>
        <v>Equity</v>
      </c>
      <c r="D10535" s="8" t="str">
        <f>IFERROR(INDEX('nav master'!$C:$C, MATCH(B10535, 'nav master'!$B:$B, 0)), "")</f>
        <v/>
      </c>
      <c r="E10535" s="8" t="s">
        <v>548</v>
      </c>
      <c r="F10535" s="8" t="s">
        <v>5503</v>
      </c>
    </row>
    <row r="10536" spans="1:6" ht="45" x14ac:dyDescent="0.25">
      <c r="A10536" s="8" t="s">
        <v>125</v>
      </c>
      <c r="B10536" s="8" t="s">
        <v>4866</v>
      </c>
      <c r="C10536" s="8" t="str">
        <f>IFERROR(_xlfn.XLOOKUP(TRIM(B10536),Lookup!$B$2:$B$1000,Lookup!$C$2:$C$1000),"")</f>
        <v>Equity</v>
      </c>
      <c r="D10536" s="8" t="str">
        <f>IFERROR(INDEX('nav master'!$C:$C, MATCH(B10536, 'nav master'!$B:$B, 0)), "")</f>
        <v/>
      </c>
      <c r="E10536" s="8" t="s">
        <v>550</v>
      </c>
      <c r="F10536" s="8" t="s">
        <v>5504</v>
      </c>
    </row>
    <row r="10537" spans="1:6" ht="45" x14ac:dyDescent="0.25">
      <c r="A10537" s="8" t="s">
        <v>125</v>
      </c>
      <c r="B10537" s="8" t="s">
        <v>4866</v>
      </c>
      <c r="C10537" s="8" t="str">
        <f>IFERROR(_xlfn.XLOOKUP(TRIM(B10537),Lookup!$B$2:$B$1000,Lookup!$C$2:$C$1000),"")</f>
        <v>Equity</v>
      </c>
      <c r="D10537" s="8" t="str">
        <f>IFERROR(INDEX('nav master'!$C:$C, MATCH(B10537, 'nav master'!$B:$B, 0)), "")</f>
        <v/>
      </c>
      <c r="E10537" s="8" t="s">
        <v>552</v>
      </c>
      <c r="F10537" s="8" t="s">
        <v>5505</v>
      </c>
    </row>
    <row r="10538" spans="1:6" ht="45" x14ac:dyDescent="0.25">
      <c r="A10538" s="8" t="s">
        <v>125</v>
      </c>
      <c r="B10538" s="8" t="s">
        <v>4866</v>
      </c>
      <c r="C10538" s="8" t="str">
        <f>IFERROR(_xlfn.XLOOKUP(TRIM(B10538),Lookup!$B$2:$B$1000,Lookup!$C$2:$C$1000),"")</f>
        <v>Equity</v>
      </c>
      <c r="D10538" s="8" t="str">
        <f>IFERROR(INDEX('nav master'!$C:$C, MATCH(B10538, 'nav master'!$B:$B, 0)), "")</f>
        <v/>
      </c>
      <c r="E10538" s="8" t="s">
        <v>554</v>
      </c>
      <c r="F10538" s="8" t="s">
        <v>5506</v>
      </c>
    </row>
    <row r="10539" spans="1:6" ht="45" x14ac:dyDescent="0.25">
      <c r="A10539" s="8" t="s">
        <v>125</v>
      </c>
      <c r="B10539" s="8" t="s">
        <v>4866</v>
      </c>
      <c r="C10539" s="8" t="str">
        <f>IFERROR(_xlfn.XLOOKUP(TRIM(B10539),Lookup!$B$2:$B$1000,Lookup!$C$2:$C$1000),"")</f>
        <v>Equity</v>
      </c>
      <c r="D10539" s="8" t="str">
        <f>IFERROR(INDEX('nav master'!$C:$C, MATCH(B10539, 'nav master'!$B:$B, 0)), "")</f>
        <v/>
      </c>
      <c r="E10539" s="8" t="s">
        <v>556</v>
      </c>
      <c r="F10539" s="8" t="s">
        <v>5507</v>
      </c>
    </row>
    <row r="10540" spans="1:6" ht="45" x14ac:dyDescent="0.25">
      <c r="A10540" s="8" t="s">
        <v>125</v>
      </c>
      <c r="B10540" s="8" t="s">
        <v>4866</v>
      </c>
      <c r="C10540" s="8" t="str">
        <f>IFERROR(_xlfn.XLOOKUP(TRIM(B10540),Lookup!$B$2:$B$1000,Lookup!$C$2:$C$1000),"")</f>
        <v>Equity</v>
      </c>
      <c r="D10540" s="8" t="str">
        <f>IFERROR(INDEX('nav master'!$C:$C, MATCH(B10540, 'nav master'!$B:$B, 0)), "")</f>
        <v/>
      </c>
      <c r="E10540" s="8" t="s">
        <v>558</v>
      </c>
      <c r="F10540" s="8" t="s">
        <v>5508</v>
      </c>
    </row>
    <row r="10541" spans="1:6" ht="45" x14ac:dyDescent="0.25">
      <c r="A10541" s="8" t="s">
        <v>125</v>
      </c>
      <c r="B10541" s="8" t="s">
        <v>4866</v>
      </c>
      <c r="C10541" s="8" t="str">
        <f>IFERROR(_xlfn.XLOOKUP(TRIM(B10541),Lookup!$B$2:$B$1000,Lookup!$C$2:$C$1000),"")</f>
        <v>Equity</v>
      </c>
      <c r="D10541" s="8" t="str">
        <f>IFERROR(INDEX('nav master'!$C:$C, MATCH(B10541, 'nav master'!$B:$B, 0)), "")</f>
        <v/>
      </c>
      <c r="E10541" s="8" t="s">
        <v>560</v>
      </c>
      <c r="F10541" s="8" t="s">
        <v>5509</v>
      </c>
    </row>
    <row r="10542" spans="1:6" ht="45" x14ac:dyDescent="0.25">
      <c r="A10542" s="8" t="s">
        <v>125</v>
      </c>
      <c r="B10542" s="8" t="s">
        <v>4866</v>
      </c>
      <c r="C10542" s="8" t="str">
        <f>IFERROR(_xlfn.XLOOKUP(TRIM(B10542),Lookup!$B$2:$B$1000,Lookup!$C$2:$C$1000),"")</f>
        <v>Equity</v>
      </c>
      <c r="D10542" s="8" t="str">
        <f>IFERROR(INDEX('nav master'!$C:$C, MATCH(B10542, 'nav master'!$B:$B, 0)), "")</f>
        <v/>
      </c>
      <c r="E10542" s="8" t="s">
        <v>562</v>
      </c>
      <c r="F10542" s="8" t="s">
        <v>5510</v>
      </c>
    </row>
    <row r="10543" spans="1:6" ht="45" x14ac:dyDescent="0.25">
      <c r="A10543" s="8" t="s">
        <v>125</v>
      </c>
      <c r="B10543" s="8" t="s">
        <v>4866</v>
      </c>
      <c r="C10543" s="8" t="str">
        <f>IFERROR(_xlfn.XLOOKUP(TRIM(B10543),Lookup!$B$2:$B$1000,Lookup!$C$2:$C$1000),"")</f>
        <v>Equity</v>
      </c>
      <c r="D10543" s="8" t="str">
        <f>IFERROR(INDEX('nav master'!$C:$C, MATCH(B10543, 'nav master'!$B:$B, 0)), "")</f>
        <v/>
      </c>
      <c r="E10543" s="8" t="s">
        <v>564</v>
      </c>
      <c r="F10543" s="8" t="s">
        <v>5511</v>
      </c>
    </row>
    <row r="10544" spans="1:6" ht="45" x14ac:dyDescent="0.25">
      <c r="A10544" s="8" t="s">
        <v>125</v>
      </c>
      <c r="B10544" s="8" t="s">
        <v>4866</v>
      </c>
      <c r="C10544" s="8" t="str">
        <f>IFERROR(_xlfn.XLOOKUP(TRIM(B10544),Lookup!$B$2:$B$1000,Lookup!$C$2:$C$1000),"")</f>
        <v>Equity</v>
      </c>
      <c r="D10544" s="8" t="str">
        <f>IFERROR(INDEX('nav master'!$C:$C, MATCH(B10544, 'nav master'!$B:$B, 0)), "")</f>
        <v/>
      </c>
      <c r="E10544" s="8" t="s">
        <v>566</v>
      </c>
      <c r="F10544" s="8" t="s">
        <v>5512</v>
      </c>
    </row>
    <row r="10545" spans="1:6" ht="45" x14ac:dyDescent="0.25">
      <c r="A10545" s="8" t="s">
        <v>125</v>
      </c>
      <c r="B10545" s="8" t="s">
        <v>4866</v>
      </c>
      <c r="C10545" s="8" t="str">
        <f>IFERROR(_xlfn.XLOOKUP(TRIM(B10545),Lookup!$B$2:$B$1000,Lookup!$C$2:$C$1000),"")</f>
        <v>Equity</v>
      </c>
      <c r="D10545" s="8" t="str">
        <f>IFERROR(INDEX('nav master'!$C:$C, MATCH(B10545, 'nav master'!$B:$B, 0)), "")</f>
        <v/>
      </c>
      <c r="E10545" s="8" t="s">
        <v>568</v>
      </c>
      <c r="F10545" s="8" t="s">
        <v>5513</v>
      </c>
    </row>
    <row r="10546" spans="1:6" ht="45" x14ac:dyDescent="0.25">
      <c r="A10546" s="8" t="s">
        <v>125</v>
      </c>
      <c r="B10546" s="8" t="s">
        <v>4866</v>
      </c>
      <c r="C10546" s="8" t="str">
        <f>IFERROR(_xlfn.XLOOKUP(TRIM(B10546),Lookup!$B$2:$B$1000,Lookup!$C$2:$C$1000),"")</f>
        <v>Equity</v>
      </c>
      <c r="D10546" s="8" t="str">
        <f>IFERROR(INDEX('nav master'!$C:$C, MATCH(B10546, 'nav master'!$B:$B, 0)), "")</f>
        <v/>
      </c>
      <c r="E10546" s="8" t="s">
        <v>570</v>
      </c>
      <c r="F10546" s="8" t="s">
        <v>5514</v>
      </c>
    </row>
    <row r="10547" spans="1:6" ht="45" x14ac:dyDescent="0.25">
      <c r="A10547" s="8" t="s">
        <v>125</v>
      </c>
      <c r="B10547" s="8" t="s">
        <v>4866</v>
      </c>
      <c r="C10547" s="8" t="str">
        <f>IFERROR(_xlfn.XLOOKUP(TRIM(B10547),Lookup!$B$2:$B$1000,Lookup!$C$2:$C$1000),"")</f>
        <v>Equity</v>
      </c>
      <c r="D10547" s="8" t="str">
        <f>IFERROR(INDEX('nav master'!$C:$C, MATCH(B10547, 'nav master'!$B:$B, 0)), "")</f>
        <v/>
      </c>
      <c r="E10547" s="8" t="s">
        <v>572</v>
      </c>
      <c r="F10547" s="8" t="s">
        <v>5515</v>
      </c>
    </row>
    <row r="10548" spans="1:6" ht="45" x14ac:dyDescent="0.25">
      <c r="A10548" s="8" t="s">
        <v>125</v>
      </c>
      <c r="B10548" s="8" t="s">
        <v>4866</v>
      </c>
      <c r="C10548" s="8" t="str">
        <f>IFERROR(_xlfn.XLOOKUP(TRIM(B10548),Lookup!$B$2:$B$1000,Lookup!$C$2:$C$1000),"")</f>
        <v>Equity</v>
      </c>
      <c r="D10548" s="8" t="str">
        <f>IFERROR(INDEX('nav master'!$C:$C, MATCH(B10548, 'nav master'!$B:$B, 0)), "")</f>
        <v/>
      </c>
      <c r="E10548" s="8" t="s">
        <v>574</v>
      </c>
      <c r="F10548" s="8" t="s">
        <v>5516</v>
      </c>
    </row>
    <row r="10549" spans="1:6" ht="45" x14ac:dyDescent="0.25">
      <c r="A10549" s="8" t="s">
        <v>125</v>
      </c>
      <c r="B10549" s="8" t="s">
        <v>4866</v>
      </c>
      <c r="C10549" s="8" t="str">
        <f>IFERROR(_xlfn.XLOOKUP(TRIM(B10549),Lookup!$B$2:$B$1000,Lookup!$C$2:$C$1000),"")</f>
        <v>Equity</v>
      </c>
      <c r="D10549" s="8" t="str">
        <f>IFERROR(INDEX('nav master'!$C:$C, MATCH(B10549, 'nav master'!$B:$B, 0)), "")</f>
        <v/>
      </c>
      <c r="E10549" s="8" t="s">
        <v>576</v>
      </c>
      <c r="F10549" s="8" t="s">
        <v>5517</v>
      </c>
    </row>
    <row r="10550" spans="1:6" ht="45" x14ac:dyDescent="0.25">
      <c r="A10550" s="8" t="s">
        <v>125</v>
      </c>
      <c r="B10550" s="8" t="s">
        <v>4866</v>
      </c>
      <c r="C10550" s="8" t="str">
        <f>IFERROR(_xlfn.XLOOKUP(TRIM(B10550),Lookup!$B$2:$B$1000,Lookup!$C$2:$C$1000),"")</f>
        <v>Equity</v>
      </c>
      <c r="D10550" s="8" t="str">
        <f>IFERROR(INDEX('nav master'!$C:$C, MATCH(B10550, 'nav master'!$B:$B, 0)), "")</f>
        <v/>
      </c>
      <c r="E10550" s="8" t="s">
        <v>578</v>
      </c>
      <c r="F10550" s="8" t="s">
        <v>5518</v>
      </c>
    </row>
    <row r="10551" spans="1:6" ht="45" x14ac:dyDescent="0.25">
      <c r="A10551" s="8" t="s">
        <v>125</v>
      </c>
      <c r="B10551" s="8" t="s">
        <v>4866</v>
      </c>
      <c r="C10551" s="8" t="str">
        <f>IFERROR(_xlfn.XLOOKUP(TRIM(B10551),Lookup!$B$2:$B$1000,Lookup!$C$2:$C$1000),"")</f>
        <v>Equity</v>
      </c>
      <c r="D10551" s="8" t="str">
        <f>IFERROR(INDEX('nav master'!$C:$C, MATCH(B10551, 'nav master'!$B:$B, 0)), "")</f>
        <v/>
      </c>
      <c r="E10551" s="8" t="s">
        <v>580</v>
      </c>
      <c r="F10551" s="8" t="s">
        <v>5519</v>
      </c>
    </row>
    <row r="10552" spans="1:6" ht="45" x14ac:dyDescent="0.25">
      <c r="A10552" s="8" t="s">
        <v>125</v>
      </c>
      <c r="B10552" s="8" t="s">
        <v>4866</v>
      </c>
      <c r="C10552" s="8" t="str">
        <f>IFERROR(_xlfn.XLOOKUP(TRIM(B10552),Lookup!$B$2:$B$1000,Lookup!$C$2:$C$1000),"")</f>
        <v>Equity</v>
      </c>
      <c r="D10552" s="8" t="str">
        <f>IFERROR(INDEX('nav master'!$C:$C, MATCH(B10552, 'nav master'!$B:$B, 0)), "")</f>
        <v/>
      </c>
      <c r="E10552" s="8" t="s">
        <v>582</v>
      </c>
      <c r="F10552" s="8" t="s">
        <v>5520</v>
      </c>
    </row>
    <row r="10553" spans="1:6" ht="45" x14ac:dyDescent="0.25">
      <c r="A10553" s="8" t="s">
        <v>125</v>
      </c>
      <c r="B10553" s="8" t="s">
        <v>4866</v>
      </c>
      <c r="C10553" s="8" t="str">
        <f>IFERROR(_xlfn.XLOOKUP(TRIM(B10553),Lookup!$B$2:$B$1000,Lookup!$C$2:$C$1000),"")</f>
        <v>Equity</v>
      </c>
      <c r="D10553" s="8" t="str">
        <f>IFERROR(INDEX('nav master'!$C:$C, MATCH(B10553, 'nav master'!$B:$B, 0)), "")</f>
        <v/>
      </c>
      <c r="E10553" s="8" t="s">
        <v>584</v>
      </c>
      <c r="F10553" s="8" t="s">
        <v>5521</v>
      </c>
    </row>
    <row r="10554" spans="1:6" ht="45" x14ac:dyDescent="0.25">
      <c r="A10554" s="8" t="s">
        <v>125</v>
      </c>
      <c r="B10554" s="8" t="s">
        <v>4866</v>
      </c>
      <c r="C10554" s="8" t="str">
        <f>IFERROR(_xlfn.XLOOKUP(TRIM(B10554),Lookup!$B$2:$B$1000,Lookup!$C$2:$C$1000),"")</f>
        <v>Equity</v>
      </c>
      <c r="D10554" s="8" t="str">
        <f>IFERROR(INDEX('nav master'!$C:$C, MATCH(B10554, 'nav master'!$B:$B, 0)), "")</f>
        <v/>
      </c>
      <c r="E10554" s="8" t="s">
        <v>586</v>
      </c>
      <c r="F10554" s="8" t="s">
        <v>5522</v>
      </c>
    </row>
    <row r="10555" spans="1:6" ht="45" x14ac:dyDescent="0.25">
      <c r="A10555" s="8" t="s">
        <v>125</v>
      </c>
      <c r="B10555" s="8" t="s">
        <v>4866</v>
      </c>
      <c r="C10555" s="8" t="str">
        <f>IFERROR(_xlfn.XLOOKUP(TRIM(B10555),Lookup!$B$2:$B$1000,Lookup!$C$2:$C$1000),"")</f>
        <v>Equity</v>
      </c>
      <c r="D10555" s="8" t="str">
        <f>IFERROR(INDEX('nav master'!$C:$C, MATCH(B10555, 'nav master'!$B:$B, 0)), "")</f>
        <v/>
      </c>
      <c r="E10555" s="8" t="s">
        <v>588</v>
      </c>
      <c r="F10555" s="8" t="s">
        <v>5523</v>
      </c>
    </row>
    <row r="10556" spans="1:6" ht="45" x14ac:dyDescent="0.25">
      <c r="A10556" s="8" t="s">
        <v>125</v>
      </c>
      <c r="B10556" s="8" t="s">
        <v>4866</v>
      </c>
      <c r="C10556" s="8" t="str">
        <f>IFERROR(_xlfn.XLOOKUP(TRIM(B10556),Lookup!$B$2:$B$1000,Lookup!$C$2:$C$1000),"")</f>
        <v>Equity</v>
      </c>
      <c r="D10556" s="8" t="str">
        <f>IFERROR(INDEX('nav master'!$C:$C, MATCH(B10556, 'nav master'!$B:$B, 0)), "")</f>
        <v/>
      </c>
      <c r="E10556" s="8" t="s">
        <v>590</v>
      </c>
      <c r="F10556" s="8" t="s">
        <v>5524</v>
      </c>
    </row>
    <row r="10557" spans="1:6" ht="45" x14ac:dyDescent="0.25">
      <c r="A10557" s="8" t="s">
        <v>125</v>
      </c>
      <c r="B10557" s="8" t="s">
        <v>4866</v>
      </c>
      <c r="C10557" s="8" t="str">
        <f>IFERROR(_xlfn.XLOOKUP(TRIM(B10557),Lookup!$B$2:$B$1000,Lookup!$C$2:$C$1000),"")</f>
        <v>Equity</v>
      </c>
      <c r="D10557" s="8" t="str">
        <f>IFERROR(INDEX('nav master'!$C:$C, MATCH(B10557, 'nav master'!$B:$B, 0)), "")</f>
        <v/>
      </c>
      <c r="E10557" s="8" t="s">
        <v>592</v>
      </c>
      <c r="F10557" s="8" t="s">
        <v>5525</v>
      </c>
    </row>
    <row r="10558" spans="1:6" ht="45" x14ac:dyDescent="0.25">
      <c r="A10558" s="8" t="s">
        <v>125</v>
      </c>
      <c r="B10558" s="8" t="s">
        <v>4866</v>
      </c>
      <c r="C10558" s="8" t="str">
        <f>IFERROR(_xlfn.XLOOKUP(TRIM(B10558),Lookup!$B$2:$B$1000,Lookup!$C$2:$C$1000),"")</f>
        <v>Equity</v>
      </c>
      <c r="D10558" s="8" t="str">
        <f>IFERROR(INDEX('nav master'!$C:$C, MATCH(B10558, 'nav master'!$B:$B, 0)), "")</f>
        <v/>
      </c>
      <c r="E10558" s="8" t="s">
        <v>594</v>
      </c>
      <c r="F10558" s="8" t="s">
        <v>5526</v>
      </c>
    </row>
    <row r="10559" spans="1:6" ht="45" x14ac:dyDescent="0.25">
      <c r="A10559" s="8" t="s">
        <v>125</v>
      </c>
      <c r="B10559" s="8" t="s">
        <v>4866</v>
      </c>
      <c r="C10559" s="8" t="str">
        <f>IFERROR(_xlfn.XLOOKUP(TRIM(B10559),Lookup!$B$2:$B$1000,Lookup!$C$2:$C$1000),"")</f>
        <v>Equity</v>
      </c>
      <c r="D10559" s="8" t="str">
        <f>IFERROR(INDEX('nav master'!$C:$C, MATCH(B10559, 'nav master'!$B:$B, 0)), "")</f>
        <v/>
      </c>
      <c r="E10559" s="8" t="s">
        <v>596</v>
      </c>
      <c r="F10559" s="8" t="s">
        <v>5527</v>
      </c>
    </row>
    <row r="10560" spans="1:6" ht="45" x14ac:dyDescent="0.25">
      <c r="A10560" s="8" t="s">
        <v>125</v>
      </c>
      <c r="B10560" s="8" t="s">
        <v>4866</v>
      </c>
      <c r="C10560" s="8" t="str">
        <f>IFERROR(_xlfn.XLOOKUP(TRIM(B10560),Lookup!$B$2:$B$1000,Lookup!$C$2:$C$1000),"")</f>
        <v>Equity</v>
      </c>
      <c r="D10560" s="8" t="str">
        <f>IFERROR(INDEX('nav master'!$C:$C, MATCH(B10560, 'nav master'!$B:$B, 0)), "")</f>
        <v/>
      </c>
      <c r="E10560" s="8" t="s">
        <v>598</v>
      </c>
      <c r="F10560" s="8" t="s">
        <v>5528</v>
      </c>
    </row>
    <row r="10561" spans="1:6" ht="45" x14ac:dyDescent="0.25">
      <c r="A10561" s="8" t="s">
        <v>125</v>
      </c>
      <c r="B10561" s="8" t="s">
        <v>4866</v>
      </c>
      <c r="C10561" s="8" t="str">
        <f>IFERROR(_xlfn.XLOOKUP(TRIM(B10561),Lookup!$B$2:$B$1000,Lookup!$C$2:$C$1000),"")</f>
        <v>Equity</v>
      </c>
      <c r="D10561" s="8" t="str">
        <f>IFERROR(INDEX('nav master'!$C:$C, MATCH(B10561, 'nav master'!$B:$B, 0)), "")</f>
        <v/>
      </c>
      <c r="E10561" s="8" t="s">
        <v>600</v>
      </c>
      <c r="F10561" s="8" t="s">
        <v>5529</v>
      </c>
    </row>
    <row r="10562" spans="1:6" ht="45" x14ac:dyDescent="0.25">
      <c r="A10562" s="8" t="s">
        <v>125</v>
      </c>
      <c r="B10562" s="8" t="s">
        <v>4866</v>
      </c>
      <c r="C10562" s="8" t="str">
        <f>IFERROR(_xlfn.XLOOKUP(TRIM(B10562),Lookup!$B$2:$B$1000,Lookup!$C$2:$C$1000),"")</f>
        <v>Equity</v>
      </c>
      <c r="D10562" s="8" t="str">
        <f>IFERROR(INDEX('nav master'!$C:$C, MATCH(B10562, 'nav master'!$B:$B, 0)), "")</f>
        <v/>
      </c>
      <c r="E10562" s="8" t="s">
        <v>602</v>
      </c>
      <c r="F10562" s="8" t="s">
        <v>5530</v>
      </c>
    </row>
    <row r="10563" spans="1:6" ht="45" x14ac:dyDescent="0.25">
      <c r="A10563" s="8" t="s">
        <v>125</v>
      </c>
      <c r="B10563" s="8" t="s">
        <v>4866</v>
      </c>
      <c r="C10563" s="8" t="str">
        <f>IFERROR(_xlfn.XLOOKUP(TRIM(B10563),Lookup!$B$2:$B$1000,Lookup!$C$2:$C$1000),"")</f>
        <v>Equity</v>
      </c>
      <c r="D10563" s="8" t="str">
        <f>IFERROR(INDEX('nav master'!$C:$C, MATCH(B10563, 'nav master'!$B:$B, 0)), "")</f>
        <v/>
      </c>
      <c r="E10563" s="8" t="s">
        <v>604</v>
      </c>
      <c r="F10563" s="8" t="s">
        <v>5531</v>
      </c>
    </row>
    <row r="10564" spans="1:6" ht="45" x14ac:dyDescent="0.25">
      <c r="A10564" s="8" t="s">
        <v>125</v>
      </c>
      <c r="B10564" s="8" t="s">
        <v>4866</v>
      </c>
      <c r="C10564" s="8" t="str">
        <f>IFERROR(_xlfn.XLOOKUP(TRIM(B10564),Lookup!$B$2:$B$1000,Lookup!$C$2:$C$1000),"")</f>
        <v>Equity</v>
      </c>
      <c r="D10564" s="8" t="str">
        <f>IFERROR(INDEX('nav master'!$C:$C, MATCH(B10564, 'nav master'!$B:$B, 0)), "")</f>
        <v/>
      </c>
      <c r="E10564" s="8" t="s">
        <v>606</v>
      </c>
      <c r="F10564" s="8" t="s">
        <v>5532</v>
      </c>
    </row>
    <row r="10565" spans="1:6" ht="45" x14ac:dyDescent="0.25">
      <c r="A10565" s="8" t="s">
        <v>125</v>
      </c>
      <c r="B10565" s="8" t="s">
        <v>4866</v>
      </c>
      <c r="C10565" s="8" t="str">
        <f>IFERROR(_xlfn.XLOOKUP(TRIM(B10565),Lookup!$B$2:$B$1000,Lookup!$C$2:$C$1000),"")</f>
        <v>Equity</v>
      </c>
      <c r="D10565" s="8" t="str">
        <f>IFERROR(INDEX('nav master'!$C:$C, MATCH(B10565, 'nav master'!$B:$B, 0)), "")</f>
        <v/>
      </c>
      <c r="E10565" s="8" t="s">
        <v>608</v>
      </c>
      <c r="F10565" s="8" t="s">
        <v>4589</v>
      </c>
    </row>
    <row r="10566" spans="1:6" ht="45" x14ac:dyDescent="0.25">
      <c r="A10566" s="8" t="s">
        <v>125</v>
      </c>
      <c r="B10566" s="8" t="s">
        <v>4866</v>
      </c>
      <c r="C10566" s="8" t="str">
        <f>IFERROR(_xlfn.XLOOKUP(TRIM(B10566),Lookup!$B$2:$B$1000,Lookup!$C$2:$C$1000),"")</f>
        <v>Equity</v>
      </c>
      <c r="D10566" s="8" t="str">
        <f>IFERROR(INDEX('nav master'!$C:$C, MATCH(B10566, 'nav master'!$B:$B, 0)), "")</f>
        <v/>
      </c>
      <c r="E10566" s="8" t="s">
        <v>610</v>
      </c>
      <c r="F10566" s="8" t="s">
        <v>5533</v>
      </c>
    </row>
    <row r="10567" spans="1:6" ht="45" x14ac:dyDescent="0.25">
      <c r="A10567" s="8" t="s">
        <v>125</v>
      </c>
      <c r="B10567" s="8" t="s">
        <v>4866</v>
      </c>
      <c r="C10567" s="8" t="str">
        <f>IFERROR(_xlfn.XLOOKUP(TRIM(B10567),Lookup!$B$2:$B$1000,Lookup!$C$2:$C$1000),"")</f>
        <v>Equity</v>
      </c>
      <c r="D10567" s="8" t="str">
        <f>IFERROR(INDEX('nav master'!$C:$C, MATCH(B10567, 'nav master'!$B:$B, 0)), "")</f>
        <v/>
      </c>
      <c r="E10567" s="8" t="s">
        <v>612</v>
      </c>
      <c r="F10567" s="8" t="s">
        <v>5534</v>
      </c>
    </row>
    <row r="10568" spans="1:6" ht="45" x14ac:dyDescent="0.25">
      <c r="A10568" s="8" t="s">
        <v>125</v>
      </c>
      <c r="B10568" s="8" t="s">
        <v>4866</v>
      </c>
      <c r="C10568" s="8" t="str">
        <f>IFERROR(_xlfn.XLOOKUP(TRIM(B10568),Lookup!$B$2:$B$1000,Lookup!$C$2:$C$1000),"")</f>
        <v>Equity</v>
      </c>
      <c r="D10568" s="8" t="str">
        <f>IFERROR(INDEX('nav master'!$C:$C, MATCH(B10568, 'nav master'!$B:$B, 0)), "")</f>
        <v/>
      </c>
      <c r="E10568" s="8" t="s">
        <v>614</v>
      </c>
      <c r="F10568" s="8" t="s">
        <v>5535</v>
      </c>
    </row>
    <row r="10569" spans="1:6" ht="45" x14ac:dyDescent="0.25">
      <c r="A10569" s="8" t="s">
        <v>125</v>
      </c>
      <c r="B10569" s="8" t="s">
        <v>4866</v>
      </c>
      <c r="C10569" s="8" t="str">
        <f>IFERROR(_xlfn.XLOOKUP(TRIM(B10569),Lookup!$B$2:$B$1000,Lookup!$C$2:$C$1000),"")</f>
        <v>Equity</v>
      </c>
      <c r="D10569" s="8" t="str">
        <f>IFERROR(INDEX('nav master'!$C:$C, MATCH(B10569, 'nav master'!$B:$B, 0)), "")</f>
        <v/>
      </c>
      <c r="E10569" s="8" t="s">
        <v>616</v>
      </c>
      <c r="F10569" s="8" t="s">
        <v>5536</v>
      </c>
    </row>
    <row r="10570" spans="1:6" ht="45" x14ac:dyDescent="0.25">
      <c r="A10570" s="8" t="s">
        <v>125</v>
      </c>
      <c r="B10570" s="8" t="s">
        <v>4866</v>
      </c>
      <c r="C10570" s="8" t="str">
        <f>IFERROR(_xlfn.XLOOKUP(TRIM(B10570),Lookup!$B$2:$B$1000,Lookup!$C$2:$C$1000),"")</f>
        <v>Equity</v>
      </c>
      <c r="D10570" s="8" t="str">
        <f>IFERROR(INDEX('nav master'!$C:$C, MATCH(B10570, 'nav master'!$B:$B, 0)), "")</f>
        <v/>
      </c>
      <c r="E10570" s="8" t="s">
        <v>618</v>
      </c>
      <c r="F10570" s="8" t="s">
        <v>5537</v>
      </c>
    </row>
    <row r="10571" spans="1:6" ht="45" x14ac:dyDescent="0.25">
      <c r="A10571" s="8" t="s">
        <v>125</v>
      </c>
      <c r="B10571" s="8" t="s">
        <v>4866</v>
      </c>
      <c r="C10571" s="8" t="str">
        <f>IFERROR(_xlfn.XLOOKUP(TRIM(B10571),Lookup!$B$2:$B$1000,Lookup!$C$2:$C$1000),"")</f>
        <v>Equity</v>
      </c>
      <c r="D10571" s="8" t="str">
        <f>IFERROR(INDEX('nav master'!$C:$C, MATCH(B10571, 'nav master'!$B:$B, 0)), "")</f>
        <v/>
      </c>
      <c r="E10571" s="8" t="s">
        <v>620</v>
      </c>
      <c r="F10571" s="8" t="s">
        <v>5538</v>
      </c>
    </row>
    <row r="10572" spans="1:6" ht="45" x14ac:dyDescent="0.25">
      <c r="A10572" s="8" t="s">
        <v>125</v>
      </c>
      <c r="B10572" s="8" t="s">
        <v>4866</v>
      </c>
      <c r="C10572" s="8" t="str">
        <f>IFERROR(_xlfn.XLOOKUP(TRIM(B10572),Lookup!$B$2:$B$1000,Lookup!$C$2:$C$1000),"")</f>
        <v>Equity</v>
      </c>
      <c r="D10572" s="8" t="str">
        <f>IFERROR(INDEX('nav master'!$C:$C, MATCH(B10572, 'nav master'!$B:$B, 0)), "")</f>
        <v/>
      </c>
      <c r="E10572" s="8" t="s">
        <v>622</v>
      </c>
      <c r="F10572" s="8" t="s">
        <v>5539</v>
      </c>
    </row>
    <row r="10573" spans="1:6" ht="45" x14ac:dyDescent="0.25">
      <c r="A10573" s="8" t="s">
        <v>125</v>
      </c>
      <c r="B10573" s="8" t="s">
        <v>4866</v>
      </c>
      <c r="C10573" s="8" t="str">
        <f>IFERROR(_xlfn.XLOOKUP(TRIM(B10573),Lookup!$B$2:$B$1000,Lookup!$C$2:$C$1000),"")</f>
        <v>Equity</v>
      </c>
      <c r="D10573" s="8" t="str">
        <f>IFERROR(INDEX('nav master'!$C:$C, MATCH(B10573, 'nav master'!$B:$B, 0)), "")</f>
        <v/>
      </c>
      <c r="E10573" s="8" t="s">
        <v>624</v>
      </c>
      <c r="F10573" s="8" t="s">
        <v>5540</v>
      </c>
    </row>
    <row r="10574" spans="1:6" ht="45" x14ac:dyDescent="0.25">
      <c r="A10574" s="8" t="s">
        <v>125</v>
      </c>
      <c r="B10574" s="8" t="s">
        <v>4866</v>
      </c>
      <c r="C10574" s="8" t="str">
        <f>IFERROR(_xlfn.XLOOKUP(TRIM(B10574),Lookup!$B$2:$B$1000,Lookup!$C$2:$C$1000),"")</f>
        <v>Equity</v>
      </c>
      <c r="D10574" s="8" t="str">
        <f>IFERROR(INDEX('nav master'!$C:$C, MATCH(B10574, 'nav master'!$B:$B, 0)), "")</f>
        <v/>
      </c>
      <c r="E10574" s="8" t="s">
        <v>626</v>
      </c>
      <c r="F10574" s="8" t="s">
        <v>5541</v>
      </c>
    </row>
    <row r="10575" spans="1:6" ht="45" x14ac:dyDescent="0.25">
      <c r="A10575" s="8" t="s">
        <v>125</v>
      </c>
      <c r="B10575" s="8" t="s">
        <v>4866</v>
      </c>
      <c r="C10575" s="8" t="str">
        <f>IFERROR(_xlfn.XLOOKUP(TRIM(B10575),Lookup!$B$2:$B$1000,Lookup!$C$2:$C$1000),"")</f>
        <v>Equity</v>
      </c>
      <c r="D10575" s="8" t="str">
        <f>IFERROR(INDEX('nav master'!$C:$C, MATCH(B10575, 'nav master'!$B:$B, 0)), "")</f>
        <v/>
      </c>
      <c r="E10575" s="8" t="s">
        <v>628</v>
      </c>
      <c r="F10575" s="8" t="s">
        <v>5542</v>
      </c>
    </row>
    <row r="10576" spans="1:6" ht="45" x14ac:dyDescent="0.25">
      <c r="A10576" s="8" t="s">
        <v>125</v>
      </c>
      <c r="B10576" s="8" t="s">
        <v>4866</v>
      </c>
      <c r="C10576" s="8" t="str">
        <f>IFERROR(_xlfn.XLOOKUP(TRIM(B10576),Lookup!$B$2:$B$1000,Lookup!$C$2:$C$1000),"")</f>
        <v>Equity</v>
      </c>
      <c r="D10576" s="8" t="str">
        <f>IFERROR(INDEX('nav master'!$C:$C, MATCH(B10576, 'nav master'!$B:$B, 0)), "")</f>
        <v/>
      </c>
      <c r="E10576" s="8" t="s">
        <v>630</v>
      </c>
      <c r="F10576" s="8" t="s">
        <v>5543</v>
      </c>
    </row>
    <row r="10577" spans="1:6" ht="45" x14ac:dyDescent="0.25">
      <c r="A10577" s="8" t="s">
        <v>125</v>
      </c>
      <c r="B10577" s="8" t="s">
        <v>4866</v>
      </c>
      <c r="C10577" s="8" t="str">
        <f>IFERROR(_xlfn.XLOOKUP(TRIM(B10577),Lookup!$B$2:$B$1000,Lookup!$C$2:$C$1000),"")</f>
        <v>Equity</v>
      </c>
      <c r="D10577" s="8" t="str">
        <f>IFERROR(INDEX('nav master'!$C:$C, MATCH(B10577, 'nav master'!$B:$B, 0)), "")</f>
        <v/>
      </c>
      <c r="E10577" s="8" t="s">
        <v>632</v>
      </c>
      <c r="F10577" s="8" t="s">
        <v>5544</v>
      </c>
    </row>
    <row r="10578" spans="1:6" ht="45" x14ac:dyDescent="0.25">
      <c r="A10578" s="8" t="s">
        <v>125</v>
      </c>
      <c r="B10578" s="8" t="s">
        <v>4866</v>
      </c>
      <c r="C10578" s="8" t="str">
        <f>IFERROR(_xlfn.XLOOKUP(TRIM(B10578),Lookup!$B$2:$B$1000,Lookup!$C$2:$C$1000),"")</f>
        <v>Equity</v>
      </c>
      <c r="D10578" s="8" t="str">
        <f>IFERROR(INDEX('nav master'!$C:$C, MATCH(B10578, 'nav master'!$B:$B, 0)), "")</f>
        <v/>
      </c>
      <c r="E10578" s="8" t="s">
        <v>634</v>
      </c>
      <c r="F10578" s="8" t="s">
        <v>5545</v>
      </c>
    </row>
    <row r="10579" spans="1:6" ht="45" x14ac:dyDescent="0.25">
      <c r="A10579" s="8" t="s">
        <v>125</v>
      </c>
      <c r="B10579" s="8" t="s">
        <v>4866</v>
      </c>
      <c r="C10579" s="8" t="str">
        <f>IFERROR(_xlfn.XLOOKUP(TRIM(B10579),Lookup!$B$2:$B$1000,Lookup!$C$2:$C$1000),"")</f>
        <v>Equity</v>
      </c>
      <c r="D10579" s="8" t="str">
        <f>IFERROR(INDEX('nav master'!$C:$C, MATCH(B10579, 'nav master'!$B:$B, 0)), "")</f>
        <v/>
      </c>
      <c r="E10579" s="8" t="s">
        <v>636</v>
      </c>
      <c r="F10579" s="8" t="s">
        <v>5546</v>
      </c>
    </row>
    <row r="10580" spans="1:6" ht="45" x14ac:dyDescent="0.25">
      <c r="A10580" s="8" t="s">
        <v>125</v>
      </c>
      <c r="B10580" s="8" t="s">
        <v>4866</v>
      </c>
      <c r="C10580" s="8" t="str">
        <f>IFERROR(_xlfn.XLOOKUP(TRIM(B10580),Lookup!$B$2:$B$1000,Lookup!$C$2:$C$1000),"")</f>
        <v>Equity</v>
      </c>
      <c r="D10580" s="8" t="str">
        <f>IFERROR(INDEX('nav master'!$C:$C, MATCH(B10580, 'nav master'!$B:$B, 0)), "")</f>
        <v/>
      </c>
      <c r="E10580" s="8" t="s">
        <v>638</v>
      </c>
      <c r="F10580" s="8" t="s">
        <v>5547</v>
      </c>
    </row>
    <row r="10581" spans="1:6" ht="45" x14ac:dyDescent="0.25">
      <c r="A10581" s="8" t="s">
        <v>125</v>
      </c>
      <c r="B10581" s="8" t="s">
        <v>4866</v>
      </c>
      <c r="C10581" s="8" t="str">
        <f>IFERROR(_xlfn.XLOOKUP(TRIM(B10581),Lookup!$B$2:$B$1000,Lookup!$C$2:$C$1000),"")</f>
        <v>Equity</v>
      </c>
      <c r="D10581" s="8" t="str">
        <f>IFERROR(INDEX('nav master'!$C:$C, MATCH(B10581, 'nav master'!$B:$B, 0)), "")</f>
        <v/>
      </c>
      <c r="E10581" s="8" t="s">
        <v>640</v>
      </c>
      <c r="F10581" s="8" t="s">
        <v>5548</v>
      </c>
    </row>
    <row r="10582" spans="1:6" ht="45" x14ac:dyDescent="0.25">
      <c r="A10582" s="8" t="s">
        <v>125</v>
      </c>
      <c r="B10582" s="8" t="s">
        <v>4866</v>
      </c>
      <c r="C10582" s="8" t="str">
        <f>IFERROR(_xlfn.XLOOKUP(TRIM(B10582),Lookup!$B$2:$B$1000,Lookup!$C$2:$C$1000),"")</f>
        <v>Equity</v>
      </c>
      <c r="D10582" s="8" t="str">
        <f>IFERROR(INDEX('nav master'!$C:$C, MATCH(B10582, 'nav master'!$B:$B, 0)), "")</f>
        <v/>
      </c>
      <c r="E10582" s="8" t="s">
        <v>642</v>
      </c>
      <c r="F10582" s="8" t="s">
        <v>5549</v>
      </c>
    </row>
    <row r="10583" spans="1:6" ht="45" x14ac:dyDescent="0.25">
      <c r="A10583" s="8" t="s">
        <v>125</v>
      </c>
      <c r="B10583" s="8" t="s">
        <v>4866</v>
      </c>
      <c r="C10583" s="8" t="str">
        <f>IFERROR(_xlfn.XLOOKUP(TRIM(B10583),Lookup!$B$2:$B$1000,Lookup!$C$2:$C$1000),"")</f>
        <v>Equity</v>
      </c>
      <c r="D10583" s="8" t="str">
        <f>IFERROR(INDEX('nav master'!$C:$C, MATCH(B10583, 'nav master'!$B:$B, 0)), "")</f>
        <v/>
      </c>
      <c r="E10583" s="8" t="s">
        <v>644</v>
      </c>
      <c r="F10583" s="8" t="s">
        <v>5550</v>
      </c>
    </row>
    <row r="10584" spans="1:6" ht="45" x14ac:dyDescent="0.25">
      <c r="A10584" s="8" t="s">
        <v>125</v>
      </c>
      <c r="B10584" s="8" t="s">
        <v>4866</v>
      </c>
      <c r="C10584" s="8" t="str">
        <f>IFERROR(_xlfn.XLOOKUP(TRIM(B10584),Lookup!$B$2:$B$1000,Lookup!$C$2:$C$1000),"")</f>
        <v>Equity</v>
      </c>
      <c r="D10584" s="8" t="str">
        <f>IFERROR(INDEX('nav master'!$C:$C, MATCH(B10584, 'nav master'!$B:$B, 0)), "")</f>
        <v/>
      </c>
      <c r="E10584" s="8" t="s">
        <v>646</v>
      </c>
      <c r="F10584" s="8" t="s">
        <v>5551</v>
      </c>
    </row>
    <row r="10585" spans="1:6" ht="45" x14ac:dyDescent="0.25">
      <c r="A10585" s="8" t="s">
        <v>125</v>
      </c>
      <c r="B10585" s="8" t="s">
        <v>4866</v>
      </c>
      <c r="C10585" s="8" t="str">
        <f>IFERROR(_xlfn.XLOOKUP(TRIM(B10585),Lookup!$B$2:$B$1000,Lookup!$C$2:$C$1000),"")</f>
        <v>Equity</v>
      </c>
      <c r="D10585" s="8" t="str">
        <f>IFERROR(INDEX('nav master'!$C:$C, MATCH(B10585, 'nav master'!$B:$B, 0)), "")</f>
        <v/>
      </c>
      <c r="E10585" s="8" t="s">
        <v>648</v>
      </c>
      <c r="F10585" s="8" t="s">
        <v>5552</v>
      </c>
    </row>
    <row r="10586" spans="1:6" ht="45" x14ac:dyDescent="0.25">
      <c r="A10586" s="8" t="s">
        <v>125</v>
      </c>
      <c r="B10586" s="8" t="s">
        <v>4866</v>
      </c>
      <c r="C10586" s="8" t="str">
        <f>IFERROR(_xlfn.XLOOKUP(TRIM(B10586),Lookup!$B$2:$B$1000,Lookup!$C$2:$C$1000),"")</f>
        <v>Equity</v>
      </c>
      <c r="D10586" s="8" t="str">
        <f>IFERROR(INDEX('nav master'!$C:$C, MATCH(B10586, 'nav master'!$B:$B, 0)), "")</f>
        <v/>
      </c>
      <c r="E10586" s="8" t="s">
        <v>650</v>
      </c>
      <c r="F10586" s="8" t="s">
        <v>5553</v>
      </c>
    </row>
    <row r="10587" spans="1:6" ht="45" x14ac:dyDescent="0.25">
      <c r="A10587" s="8" t="s">
        <v>125</v>
      </c>
      <c r="B10587" s="8" t="s">
        <v>4866</v>
      </c>
      <c r="C10587" s="8" t="str">
        <f>IFERROR(_xlfn.XLOOKUP(TRIM(B10587),Lookup!$B$2:$B$1000,Lookup!$C$2:$C$1000),"")</f>
        <v>Equity</v>
      </c>
      <c r="D10587" s="8" t="str">
        <f>IFERROR(INDEX('nav master'!$C:$C, MATCH(B10587, 'nav master'!$B:$B, 0)), "")</f>
        <v/>
      </c>
      <c r="E10587" s="8" t="s">
        <v>652</v>
      </c>
      <c r="F10587" s="8" t="s">
        <v>5554</v>
      </c>
    </row>
    <row r="10588" spans="1:6" ht="45" x14ac:dyDescent="0.25">
      <c r="A10588" s="8" t="s">
        <v>125</v>
      </c>
      <c r="B10588" s="8" t="s">
        <v>4866</v>
      </c>
      <c r="C10588" s="8" t="str">
        <f>IFERROR(_xlfn.XLOOKUP(TRIM(B10588),Lookup!$B$2:$B$1000,Lookup!$C$2:$C$1000),"")</f>
        <v>Equity</v>
      </c>
      <c r="D10588" s="8" t="str">
        <f>IFERROR(INDEX('nav master'!$C:$C, MATCH(B10588, 'nav master'!$B:$B, 0)), "")</f>
        <v/>
      </c>
      <c r="E10588" s="8" t="s">
        <v>654</v>
      </c>
      <c r="F10588" s="8" t="s">
        <v>5555</v>
      </c>
    </row>
    <row r="10589" spans="1:6" ht="45" x14ac:dyDescent="0.25">
      <c r="A10589" s="8" t="s">
        <v>125</v>
      </c>
      <c r="B10589" s="8" t="s">
        <v>4866</v>
      </c>
      <c r="C10589" s="8" t="str">
        <f>IFERROR(_xlfn.XLOOKUP(TRIM(B10589),Lookup!$B$2:$B$1000,Lookup!$C$2:$C$1000),"")</f>
        <v>Equity</v>
      </c>
      <c r="D10589" s="8" t="str">
        <f>IFERROR(INDEX('nav master'!$C:$C, MATCH(B10589, 'nav master'!$B:$B, 0)), "")</f>
        <v/>
      </c>
      <c r="E10589" s="8" t="s">
        <v>656</v>
      </c>
      <c r="F10589" s="8" t="s">
        <v>5556</v>
      </c>
    </row>
    <row r="10590" spans="1:6" ht="45" x14ac:dyDescent="0.25">
      <c r="A10590" s="8" t="s">
        <v>125</v>
      </c>
      <c r="B10590" s="8" t="s">
        <v>4866</v>
      </c>
      <c r="C10590" s="8" t="str">
        <f>IFERROR(_xlfn.XLOOKUP(TRIM(B10590),Lookup!$B$2:$B$1000,Lookup!$C$2:$C$1000),"")</f>
        <v>Equity</v>
      </c>
      <c r="D10590" s="8" t="str">
        <f>IFERROR(INDEX('nav master'!$C:$C, MATCH(B10590, 'nav master'!$B:$B, 0)), "")</f>
        <v/>
      </c>
      <c r="E10590" s="8" t="s">
        <v>658</v>
      </c>
      <c r="F10590" s="8" t="s">
        <v>5557</v>
      </c>
    </row>
    <row r="10591" spans="1:6" ht="45" x14ac:dyDescent="0.25">
      <c r="A10591" s="8" t="s">
        <v>125</v>
      </c>
      <c r="B10591" s="8" t="s">
        <v>4866</v>
      </c>
      <c r="C10591" s="8" t="str">
        <f>IFERROR(_xlfn.XLOOKUP(TRIM(B10591),Lookup!$B$2:$B$1000,Lookup!$C$2:$C$1000),"")</f>
        <v>Equity</v>
      </c>
      <c r="D10591" s="8" t="str">
        <f>IFERROR(INDEX('nav master'!$C:$C, MATCH(B10591, 'nav master'!$B:$B, 0)), "")</f>
        <v/>
      </c>
      <c r="E10591" s="8" t="s">
        <v>660</v>
      </c>
      <c r="F10591" s="8" t="s">
        <v>5558</v>
      </c>
    </row>
    <row r="10592" spans="1:6" ht="45" x14ac:dyDescent="0.25">
      <c r="A10592" s="8" t="s">
        <v>125</v>
      </c>
      <c r="B10592" s="8" t="s">
        <v>4866</v>
      </c>
      <c r="C10592" s="8" t="str">
        <f>IFERROR(_xlfn.XLOOKUP(TRIM(B10592),Lookup!$B$2:$B$1000,Lookup!$C$2:$C$1000),"")</f>
        <v>Equity</v>
      </c>
      <c r="D10592" s="8" t="str">
        <f>IFERROR(INDEX('nav master'!$C:$C, MATCH(B10592, 'nav master'!$B:$B, 0)), "")</f>
        <v/>
      </c>
      <c r="E10592" s="8" t="s">
        <v>662</v>
      </c>
      <c r="F10592" s="8" t="s">
        <v>5559</v>
      </c>
    </row>
    <row r="10593" spans="1:6" ht="45" x14ac:dyDescent="0.25">
      <c r="A10593" s="8" t="s">
        <v>125</v>
      </c>
      <c r="B10593" s="8" t="s">
        <v>4866</v>
      </c>
      <c r="C10593" s="8" t="str">
        <f>IFERROR(_xlfn.XLOOKUP(TRIM(B10593),Lookup!$B$2:$B$1000,Lookup!$C$2:$C$1000),"")</f>
        <v>Equity</v>
      </c>
      <c r="D10593" s="8" t="str">
        <f>IFERROR(INDEX('nav master'!$C:$C, MATCH(B10593, 'nav master'!$B:$B, 0)), "")</f>
        <v/>
      </c>
      <c r="E10593" s="8" t="s">
        <v>664</v>
      </c>
      <c r="F10593" s="8" t="s">
        <v>5560</v>
      </c>
    </row>
    <row r="10594" spans="1:6" ht="45" x14ac:dyDescent="0.25">
      <c r="A10594" s="8" t="s">
        <v>125</v>
      </c>
      <c r="B10594" s="8" t="s">
        <v>4866</v>
      </c>
      <c r="C10594" s="8" t="str">
        <f>IFERROR(_xlfn.XLOOKUP(TRIM(B10594),Lookup!$B$2:$B$1000,Lookup!$C$2:$C$1000),"")</f>
        <v>Equity</v>
      </c>
      <c r="D10594" s="8" t="str">
        <f>IFERROR(INDEX('nav master'!$C:$C, MATCH(B10594, 'nav master'!$B:$B, 0)), "")</f>
        <v/>
      </c>
      <c r="E10594" s="8" t="s">
        <v>4892</v>
      </c>
      <c r="F10594" s="8" t="s">
        <v>5561</v>
      </c>
    </row>
    <row r="10595" spans="1:6" ht="45" x14ac:dyDescent="0.25">
      <c r="A10595" s="8" t="s">
        <v>125</v>
      </c>
      <c r="B10595" s="8" t="s">
        <v>4866</v>
      </c>
      <c r="C10595" s="8" t="str">
        <f>IFERROR(_xlfn.XLOOKUP(TRIM(B10595),Lookup!$B$2:$B$1000,Lookup!$C$2:$C$1000),"")</f>
        <v>Equity</v>
      </c>
      <c r="D10595" s="8" t="str">
        <f>IFERROR(INDEX('nav master'!$C:$C, MATCH(B10595, 'nav master'!$B:$B, 0)), "")</f>
        <v/>
      </c>
      <c r="E10595" s="8" t="s">
        <v>4894</v>
      </c>
      <c r="F10595" s="8" t="s">
        <v>5562</v>
      </c>
    </row>
    <row r="10596" spans="1:6" ht="45" x14ac:dyDescent="0.25">
      <c r="A10596" s="8" t="s">
        <v>125</v>
      </c>
      <c r="B10596" s="8" t="s">
        <v>4866</v>
      </c>
      <c r="C10596" s="8" t="str">
        <f>IFERROR(_xlfn.XLOOKUP(TRIM(B10596),Lookup!$B$2:$B$1000,Lookup!$C$2:$C$1000),"")</f>
        <v>Equity</v>
      </c>
      <c r="D10596" s="8" t="str">
        <f>IFERROR(INDEX('nav master'!$C:$C, MATCH(B10596, 'nav master'!$B:$B, 0)), "")</f>
        <v/>
      </c>
      <c r="E10596" s="8" t="s">
        <v>4896</v>
      </c>
      <c r="F10596" s="8" t="s">
        <v>5563</v>
      </c>
    </row>
    <row r="10597" spans="1:6" ht="45" x14ac:dyDescent="0.25">
      <c r="A10597" s="8" t="s">
        <v>125</v>
      </c>
      <c r="B10597" s="8" t="s">
        <v>4866</v>
      </c>
      <c r="C10597" s="8" t="str">
        <f>IFERROR(_xlfn.XLOOKUP(TRIM(B10597),Lookup!$B$2:$B$1000,Lookup!$C$2:$C$1000),"")</f>
        <v>Equity</v>
      </c>
      <c r="D10597" s="8" t="str">
        <f>IFERROR(INDEX('nav master'!$C:$C, MATCH(B10597, 'nav master'!$B:$B, 0)), "")</f>
        <v/>
      </c>
      <c r="E10597" s="8" t="s">
        <v>4898</v>
      </c>
      <c r="F10597" s="8" t="s">
        <v>5564</v>
      </c>
    </row>
    <row r="10598" spans="1:6" ht="45" x14ac:dyDescent="0.25">
      <c r="A10598" s="8" t="s">
        <v>125</v>
      </c>
      <c r="B10598" s="8" t="s">
        <v>4866</v>
      </c>
      <c r="C10598" s="8" t="str">
        <f>IFERROR(_xlfn.XLOOKUP(TRIM(B10598),Lookup!$B$2:$B$1000,Lookup!$C$2:$C$1000),"")</f>
        <v>Equity</v>
      </c>
      <c r="D10598" s="8" t="str">
        <f>IFERROR(INDEX('nav master'!$C:$C, MATCH(B10598, 'nav master'!$B:$B, 0)), "")</f>
        <v/>
      </c>
      <c r="E10598" s="8" t="s">
        <v>4900</v>
      </c>
      <c r="F10598" s="8" t="s">
        <v>5565</v>
      </c>
    </row>
    <row r="10599" spans="1:6" ht="45" x14ac:dyDescent="0.25">
      <c r="A10599" s="8" t="s">
        <v>125</v>
      </c>
      <c r="B10599" s="8" t="s">
        <v>4866</v>
      </c>
      <c r="C10599" s="8" t="str">
        <f>IFERROR(_xlfn.XLOOKUP(TRIM(B10599),Lookup!$B$2:$B$1000,Lookup!$C$2:$C$1000),"")</f>
        <v>Equity</v>
      </c>
      <c r="D10599" s="8" t="str">
        <f>IFERROR(INDEX('nav master'!$C:$C, MATCH(B10599, 'nav master'!$B:$B, 0)), "")</f>
        <v/>
      </c>
      <c r="E10599" s="8" t="s">
        <v>4902</v>
      </c>
      <c r="F10599" s="8" t="s">
        <v>5566</v>
      </c>
    </row>
    <row r="10600" spans="1:6" ht="45" x14ac:dyDescent="0.25">
      <c r="A10600" s="8" t="s">
        <v>125</v>
      </c>
      <c r="B10600" s="8" t="s">
        <v>4866</v>
      </c>
      <c r="C10600" s="8" t="str">
        <f>IFERROR(_xlfn.XLOOKUP(TRIM(B10600),Lookup!$B$2:$B$1000,Lookup!$C$2:$C$1000),"")</f>
        <v>Equity</v>
      </c>
      <c r="D10600" s="8" t="str">
        <f>IFERROR(INDEX('nav master'!$C:$C, MATCH(B10600, 'nav master'!$B:$B, 0)), "")</f>
        <v/>
      </c>
      <c r="E10600" s="8" t="s">
        <v>4903</v>
      </c>
      <c r="F10600" s="8" t="s">
        <v>5567</v>
      </c>
    </row>
    <row r="10601" spans="1:6" ht="45" x14ac:dyDescent="0.25">
      <c r="A10601" s="8" t="s">
        <v>125</v>
      </c>
      <c r="B10601" s="8" t="s">
        <v>4866</v>
      </c>
      <c r="C10601" s="8" t="str">
        <f>IFERROR(_xlfn.XLOOKUP(TRIM(B10601),Lookup!$B$2:$B$1000,Lookup!$C$2:$C$1000),"")</f>
        <v>Equity</v>
      </c>
      <c r="D10601" s="8" t="str">
        <f>IFERROR(INDEX('nav master'!$C:$C, MATCH(B10601, 'nav master'!$B:$B, 0)), "")</f>
        <v/>
      </c>
      <c r="E10601" s="8" t="s">
        <v>4905</v>
      </c>
      <c r="F10601" s="8" t="s">
        <v>5568</v>
      </c>
    </row>
    <row r="10602" spans="1:6" ht="45" x14ac:dyDescent="0.25">
      <c r="A10602" s="8" t="s">
        <v>125</v>
      </c>
      <c r="B10602" s="8" t="s">
        <v>4867</v>
      </c>
      <c r="C10602" s="8" t="str">
        <f>IFERROR(_xlfn.XLOOKUP(TRIM(B10602),Lookup!$B$2:$B$1000,Lookup!$C$2:$C$1000),"")</f>
        <v>Hybrid</v>
      </c>
      <c r="D10602" s="8" t="str">
        <f>IFERROR(INDEX('nav master'!$C:$C, MATCH(B10602, 'nav master'!$B:$B, 0)), "")</f>
        <v/>
      </c>
      <c r="E10602" s="8" t="s">
        <v>189</v>
      </c>
      <c r="F10602" s="8" t="s">
        <v>5569</v>
      </c>
    </row>
    <row r="10603" spans="1:6" ht="45" x14ac:dyDescent="0.25">
      <c r="A10603" s="8" t="s">
        <v>125</v>
      </c>
      <c r="B10603" s="8" t="s">
        <v>4867</v>
      </c>
      <c r="C10603" s="8" t="str">
        <f>IFERROR(_xlfn.XLOOKUP(TRIM(B10603),Lookup!$B$2:$B$1000,Lookup!$C$2:$C$1000),"")</f>
        <v>Hybrid</v>
      </c>
      <c r="D10603" s="8" t="str">
        <f>IFERROR(INDEX('nav master'!$C:$C, MATCH(B10603, 'nav master'!$B:$B, 0)), "")</f>
        <v/>
      </c>
      <c r="E10603" s="8" t="s">
        <v>191</v>
      </c>
      <c r="F10603" s="8" t="s">
        <v>5570</v>
      </c>
    </row>
    <row r="10604" spans="1:6" ht="45" x14ac:dyDescent="0.25">
      <c r="A10604" s="8" t="s">
        <v>125</v>
      </c>
      <c r="B10604" s="8" t="s">
        <v>4867</v>
      </c>
      <c r="C10604" s="8" t="str">
        <f>IFERROR(_xlfn.XLOOKUP(TRIM(B10604),Lookup!$B$2:$B$1000,Lookup!$C$2:$C$1000),"")</f>
        <v>Hybrid</v>
      </c>
      <c r="D10604" s="8" t="str">
        <f>IFERROR(INDEX('nav master'!$C:$C, MATCH(B10604, 'nav master'!$B:$B, 0)), "")</f>
        <v/>
      </c>
      <c r="E10604" s="8" t="s">
        <v>193</v>
      </c>
      <c r="F10604" s="8" t="s">
        <v>3742</v>
      </c>
    </row>
    <row r="10605" spans="1:6" ht="45" x14ac:dyDescent="0.25">
      <c r="A10605" s="8" t="s">
        <v>125</v>
      </c>
      <c r="B10605" s="8" t="s">
        <v>4867</v>
      </c>
      <c r="C10605" s="8" t="str">
        <f>IFERROR(_xlfn.XLOOKUP(TRIM(B10605),Lookup!$B$2:$B$1000,Lookup!$C$2:$C$1000),"")</f>
        <v>Hybrid</v>
      </c>
      <c r="D10605" s="8" t="str">
        <f>IFERROR(INDEX('nav master'!$C:$C, MATCH(B10605, 'nav master'!$B:$B, 0)), "")</f>
        <v/>
      </c>
      <c r="E10605" s="8" t="s">
        <v>195</v>
      </c>
      <c r="F10605" s="8" t="s">
        <v>5571</v>
      </c>
    </row>
    <row r="10606" spans="1:6" ht="45" x14ac:dyDescent="0.25">
      <c r="A10606" s="8" t="s">
        <v>125</v>
      </c>
      <c r="B10606" s="8" t="s">
        <v>4867</v>
      </c>
      <c r="C10606" s="8" t="str">
        <f>IFERROR(_xlfn.XLOOKUP(TRIM(B10606),Lookup!$B$2:$B$1000,Lookup!$C$2:$C$1000),"")</f>
        <v>Hybrid</v>
      </c>
      <c r="D10606" s="8" t="str">
        <f>IFERROR(INDEX('nav master'!$C:$C, MATCH(B10606, 'nav master'!$B:$B, 0)), "")</f>
        <v/>
      </c>
      <c r="E10606" s="8" t="s">
        <v>197</v>
      </c>
      <c r="F10606" s="8" t="s">
        <v>5572</v>
      </c>
    </row>
    <row r="10607" spans="1:6" ht="45" x14ac:dyDescent="0.25">
      <c r="A10607" s="8" t="s">
        <v>125</v>
      </c>
      <c r="B10607" s="8" t="s">
        <v>4867</v>
      </c>
      <c r="C10607" s="8" t="str">
        <f>IFERROR(_xlfn.XLOOKUP(TRIM(B10607),Lookup!$B$2:$B$1000,Lookup!$C$2:$C$1000),"")</f>
        <v>Hybrid</v>
      </c>
      <c r="D10607" s="8" t="str">
        <f>IFERROR(INDEX('nav master'!$C:$C, MATCH(B10607, 'nav master'!$B:$B, 0)), "")</f>
        <v/>
      </c>
      <c r="E10607" s="8" t="s">
        <v>199</v>
      </c>
      <c r="F10607" s="8" t="s">
        <v>5573</v>
      </c>
    </row>
    <row r="10608" spans="1:6" ht="45" x14ac:dyDescent="0.25">
      <c r="A10608" s="8" t="s">
        <v>125</v>
      </c>
      <c r="B10608" s="8" t="s">
        <v>4867</v>
      </c>
      <c r="C10608" s="8" t="str">
        <f>IFERROR(_xlfn.XLOOKUP(TRIM(B10608),Lookup!$B$2:$B$1000,Lookup!$C$2:$C$1000),"")</f>
        <v>Hybrid</v>
      </c>
      <c r="D10608" s="8" t="str">
        <f>IFERROR(INDEX('nav master'!$C:$C, MATCH(B10608, 'nav master'!$B:$B, 0)), "")</f>
        <v/>
      </c>
      <c r="E10608" s="8" t="s">
        <v>201</v>
      </c>
      <c r="F10608" s="8" t="s">
        <v>5574</v>
      </c>
    </row>
    <row r="10609" spans="1:6" ht="45" x14ac:dyDescent="0.25">
      <c r="A10609" s="8" t="s">
        <v>125</v>
      </c>
      <c r="B10609" s="8" t="s">
        <v>4867</v>
      </c>
      <c r="C10609" s="8" t="str">
        <f>IFERROR(_xlfn.XLOOKUP(TRIM(B10609),Lookup!$B$2:$B$1000,Lookup!$C$2:$C$1000),"")</f>
        <v>Hybrid</v>
      </c>
      <c r="D10609" s="8" t="str">
        <f>IFERROR(INDEX('nav master'!$C:$C, MATCH(B10609, 'nav master'!$B:$B, 0)), "")</f>
        <v/>
      </c>
      <c r="E10609" s="8" t="s">
        <v>203</v>
      </c>
      <c r="F10609" s="8" t="s">
        <v>5575</v>
      </c>
    </row>
    <row r="10610" spans="1:6" ht="45" x14ac:dyDescent="0.25">
      <c r="A10610" s="8" t="s">
        <v>125</v>
      </c>
      <c r="B10610" s="8" t="s">
        <v>4867</v>
      </c>
      <c r="C10610" s="8" t="str">
        <f>IFERROR(_xlfn.XLOOKUP(TRIM(B10610),Lookup!$B$2:$B$1000,Lookup!$C$2:$C$1000),"")</f>
        <v>Hybrid</v>
      </c>
      <c r="D10610" s="8" t="str">
        <f>IFERROR(INDEX('nav master'!$C:$C, MATCH(B10610, 'nav master'!$B:$B, 0)), "")</f>
        <v/>
      </c>
      <c r="E10610" s="8" t="s">
        <v>205</v>
      </c>
      <c r="F10610" s="8" t="s">
        <v>5576</v>
      </c>
    </row>
    <row r="10611" spans="1:6" ht="45" x14ac:dyDescent="0.25">
      <c r="A10611" s="8" t="s">
        <v>125</v>
      </c>
      <c r="B10611" s="8" t="s">
        <v>4867</v>
      </c>
      <c r="C10611" s="8" t="str">
        <f>IFERROR(_xlfn.XLOOKUP(TRIM(B10611),Lookup!$B$2:$B$1000,Lookup!$C$2:$C$1000),"")</f>
        <v>Hybrid</v>
      </c>
      <c r="D10611" s="8" t="str">
        <f>IFERROR(INDEX('nav master'!$C:$C, MATCH(B10611, 'nav master'!$B:$B, 0)), "")</f>
        <v/>
      </c>
      <c r="E10611" s="8" t="s">
        <v>207</v>
      </c>
      <c r="F10611" s="8" t="s">
        <v>5577</v>
      </c>
    </row>
    <row r="10612" spans="1:6" ht="45" x14ac:dyDescent="0.25">
      <c r="A10612" s="8" t="s">
        <v>125</v>
      </c>
      <c r="B10612" s="8" t="s">
        <v>4867</v>
      </c>
      <c r="C10612" s="8" t="str">
        <f>IFERROR(_xlfn.XLOOKUP(TRIM(B10612),Lookup!$B$2:$B$1000,Lookup!$C$2:$C$1000),"")</f>
        <v>Hybrid</v>
      </c>
      <c r="D10612" s="8" t="str">
        <f>IFERROR(INDEX('nav master'!$C:$C, MATCH(B10612, 'nav master'!$B:$B, 0)), "")</f>
        <v/>
      </c>
      <c r="E10612" s="8" t="s">
        <v>209</v>
      </c>
      <c r="F10612" s="8" t="s">
        <v>5578</v>
      </c>
    </row>
    <row r="10613" spans="1:6" ht="45" x14ac:dyDescent="0.25">
      <c r="A10613" s="8" t="s">
        <v>125</v>
      </c>
      <c r="B10613" s="8" t="s">
        <v>4867</v>
      </c>
      <c r="C10613" s="8" t="str">
        <f>IFERROR(_xlfn.XLOOKUP(TRIM(B10613),Lookup!$B$2:$B$1000,Lookup!$C$2:$C$1000),"")</f>
        <v>Hybrid</v>
      </c>
      <c r="D10613" s="8" t="str">
        <f>IFERROR(INDEX('nav master'!$C:$C, MATCH(B10613, 'nav master'!$B:$B, 0)), "")</f>
        <v/>
      </c>
      <c r="E10613" s="8" t="s">
        <v>211</v>
      </c>
      <c r="F10613" s="8" t="s">
        <v>5579</v>
      </c>
    </row>
    <row r="10614" spans="1:6" ht="45" x14ac:dyDescent="0.25">
      <c r="A10614" s="8" t="s">
        <v>125</v>
      </c>
      <c r="B10614" s="8" t="s">
        <v>4867</v>
      </c>
      <c r="C10614" s="8" t="str">
        <f>IFERROR(_xlfn.XLOOKUP(TRIM(B10614),Lookup!$B$2:$B$1000,Lookup!$C$2:$C$1000),"")</f>
        <v>Hybrid</v>
      </c>
      <c r="D10614" s="8" t="str">
        <f>IFERROR(INDEX('nav master'!$C:$C, MATCH(B10614, 'nav master'!$B:$B, 0)), "")</f>
        <v/>
      </c>
      <c r="E10614" s="8" t="s">
        <v>213</v>
      </c>
      <c r="F10614" s="8" t="s">
        <v>5580</v>
      </c>
    </row>
    <row r="10615" spans="1:6" ht="45" x14ac:dyDescent="0.25">
      <c r="A10615" s="8" t="s">
        <v>125</v>
      </c>
      <c r="B10615" s="8" t="s">
        <v>4867</v>
      </c>
      <c r="C10615" s="8" t="str">
        <f>IFERROR(_xlfn.XLOOKUP(TRIM(B10615),Lookup!$B$2:$B$1000,Lookup!$C$2:$C$1000),"")</f>
        <v>Hybrid</v>
      </c>
      <c r="D10615" s="8" t="str">
        <f>IFERROR(INDEX('nav master'!$C:$C, MATCH(B10615, 'nav master'!$B:$B, 0)), "")</f>
        <v/>
      </c>
      <c r="E10615" s="8" t="s">
        <v>215</v>
      </c>
      <c r="F10615" s="8" t="s">
        <v>5581</v>
      </c>
    </row>
    <row r="10616" spans="1:6" ht="45" x14ac:dyDescent="0.25">
      <c r="A10616" s="8" t="s">
        <v>125</v>
      </c>
      <c r="B10616" s="8" t="s">
        <v>4867</v>
      </c>
      <c r="C10616" s="8" t="str">
        <f>IFERROR(_xlfn.XLOOKUP(TRIM(B10616),Lookup!$B$2:$B$1000,Lookup!$C$2:$C$1000),"")</f>
        <v>Hybrid</v>
      </c>
      <c r="D10616" s="8" t="str">
        <f>IFERROR(INDEX('nav master'!$C:$C, MATCH(B10616, 'nav master'!$B:$B, 0)), "")</f>
        <v/>
      </c>
      <c r="E10616" s="8" t="s">
        <v>217</v>
      </c>
      <c r="F10616" s="8" t="s">
        <v>5582</v>
      </c>
    </row>
    <row r="10617" spans="1:6" ht="45" x14ac:dyDescent="0.25">
      <c r="A10617" s="8" t="s">
        <v>125</v>
      </c>
      <c r="B10617" s="8" t="s">
        <v>4867</v>
      </c>
      <c r="C10617" s="8" t="str">
        <f>IFERROR(_xlfn.XLOOKUP(TRIM(B10617),Lookup!$B$2:$B$1000,Lookup!$C$2:$C$1000),"")</f>
        <v>Hybrid</v>
      </c>
      <c r="D10617" s="8" t="str">
        <f>IFERROR(INDEX('nav master'!$C:$C, MATCH(B10617, 'nav master'!$B:$B, 0)), "")</f>
        <v/>
      </c>
      <c r="E10617" s="8" t="s">
        <v>219</v>
      </c>
      <c r="F10617" s="8" t="s">
        <v>5583</v>
      </c>
    </row>
    <row r="10618" spans="1:6" ht="45" x14ac:dyDescent="0.25">
      <c r="A10618" s="8" t="s">
        <v>125</v>
      </c>
      <c r="B10618" s="8" t="s">
        <v>4867</v>
      </c>
      <c r="C10618" s="8" t="str">
        <f>IFERROR(_xlfn.XLOOKUP(TRIM(B10618),Lookup!$B$2:$B$1000,Lookup!$C$2:$C$1000),"")</f>
        <v>Hybrid</v>
      </c>
      <c r="D10618" s="8" t="str">
        <f>IFERROR(INDEX('nav master'!$C:$C, MATCH(B10618, 'nav master'!$B:$B, 0)), "")</f>
        <v/>
      </c>
      <c r="E10618" s="8" t="s">
        <v>221</v>
      </c>
      <c r="F10618" s="8" t="s">
        <v>5584</v>
      </c>
    </row>
    <row r="10619" spans="1:6" ht="45" x14ac:dyDescent="0.25">
      <c r="A10619" s="8" t="s">
        <v>125</v>
      </c>
      <c r="B10619" s="8" t="s">
        <v>4867</v>
      </c>
      <c r="C10619" s="8" t="str">
        <f>IFERROR(_xlfn.XLOOKUP(TRIM(B10619),Lookup!$B$2:$B$1000,Lookup!$C$2:$C$1000),"")</f>
        <v>Hybrid</v>
      </c>
      <c r="D10619" s="8" t="str">
        <f>IFERROR(INDEX('nav master'!$C:$C, MATCH(B10619, 'nav master'!$B:$B, 0)), "")</f>
        <v/>
      </c>
      <c r="E10619" s="8" t="s">
        <v>223</v>
      </c>
      <c r="F10619" s="8" t="s">
        <v>5585</v>
      </c>
    </row>
    <row r="10620" spans="1:6" ht="45" x14ac:dyDescent="0.25">
      <c r="A10620" s="8" t="s">
        <v>125</v>
      </c>
      <c r="B10620" s="8" t="s">
        <v>4867</v>
      </c>
      <c r="C10620" s="8" t="str">
        <f>IFERROR(_xlfn.XLOOKUP(TRIM(B10620),Lookup!$B$2:$B$1000,Lookup!$C$2:$C$1000),"")</f>
        <v>Hybrid</v>
      </c>
      <c r="D10620" s="8" t="str">
        <f>IFERROR(INDEX('nav master'!$C:$C, MATCH(B10620, 'nav master'!$B:$B, 0)), "")</f>
        <v/>
      </c>
      <c r="E10620" s="8" t="s">
        <v>225</v>
      </c>
      <c r="F10620" s="8" t="s">
        <v>5586</v>
      </c>
    </row>
    <row r="10621" spans="1:6" ht="45" x14ac:dyDescent="0.25">
      <c r="A10621" s="8" t="s">
        <v>125</v>
      </c>
      <c r="B10621" s="8" t="s">
        <v>4867</v>
      </c>
      <c r="C10621" s="8" t="str">
        <f>IFERROR(_xlfn.XLOOKUP(TRIM(B10621),Lookup!$B$2:$B$1000,Lookup!$C$2:$C$1000),"")</f>
        <v>Hybrid</v>
      </c>
      <c r="D10621" s="8" t="str">
        <f>IFERROR(INDEX('nav master'!$C:$C, MATCH(B10621, 'nav master'!$B:$B, 0)), "")</f>
        <v/>
      </c>
      <c r="E10621" s="8" t="s">
        <v>227</v>
      </c>
      <c r="F10621" s="8" t="s">
        <v>5587</v>
      </c>
    </row>
    <row r="10622" spans="1:6" ht="45" x14ac:dyDescent="0.25">
      <c r="A10622" s="8" t="s">
        <v>125</v>
      </c>
      <c r="B10622" s="8" t="s">
        <v>4867</v>
      </c>
      <c r="C10622" s="8" t="str">
        <f>IFERROR(_xlfn.XLOOKUP(TRIM(B10622),Lookup!$B$2:$B$1000,Lookup!$C$2:$C$1000),"")</f>
        <v>Hybrid</v>
      </c>
      <c r="D10622" s="8" t="str">
        <f>IFERROR(INDEX('nav master'!$C:$C, MATCH(B10622, 'nav master'!$B:$B, 0)), "")</f>
        <v/>
      </c>
      <c r="E10622" s="8" t="s">
        <v>229</v>
      </c>
      <c r="F10622" s="8" t="s">
        <v>5588</v>
      </c>
    </row>
    <row r="10623" spans="1:6" ht="45" x14ac:dyDescent="0.25">
      <c r="A10623" s="8" t="s">
        <v>125</v>
      </c>
      <c r="B10623" s="8" t="s">
        <v>4867</v>
      </c>
      <c r="C10623" s="8" t="str">
        <f>IFERROR(_xlfn.XLOOKUP(TRIM(B10623),Lookup!$B$2:$B$1000,Lookup!$C$2:$C$1000),"")</f>
        <v>Hybrid</v>
      </c>
      <c r="D10623" s="8" t="str">
        <f>IFERROR(INDEX('nav master'!$C:$C, MATCH(B10623, 'nav master'!$B:$B, 0)), "")</f>
        <v/>
      </c>
      <c r="E10623" s="8" t="s">
        <v>231</v>
      </c>
      <c r="F10623" s="8" t="s">
        <v>5589</v>
      </c>
    </row>
    <row r="10624" spans="1:6" ht="45" x14ac:dyDescent="0.25">
      <c r="A10624" s="8" t="s">
        <v>125</v>
      </c>
      <c r="B10624" s="8" t="s">
        <v>4867</v>
      </c>
      <c r="C10624" s="8" t="str">
        <f>IFERROR(_xlfn.XLOOKUP(TRIM(B10624),Lookup!$B$2:$B$1000,Lookup!$C$2:$C$1000),"")</f>
        <v>Hybrid</v>
      </c>
      <c r="D10624" s="8" t="str">
        <f>IFERROR(INDEX('nav master'!$C:$C, MATCH(B10624, 'nav master'!$B:$B, 0)), "")</f>
        <v/>
      </c>
      <c r="E10624" s="8" t="s">
        <v>233</v>
      </c>
      <c r="F10624" s="8" t="s">
        <v>5590</v>
      </c>
    </row>
    <row r="10625" spans="1:6" ht="45" x14ac:dyDescent="0.25">
      <c r="A10625" s="8" t="s">
        <v>125</v>
      </c>
      <c r="B10625" s="8" t="s">
        <v>4867</v>
      </c>
      <c r="C10625" s="8" t="str">
        <f>IFERROR(_xlfn.XLOOKUP(TRIM(B10625),Lookup!$B$2:$B$1000,Lookup!$C$2:$C$1000),"")</f>
        <v>Hybrid</v>
      </c>
      <c r="D10625" s="8" t="str">
        <f>IFERROR(INDEX('nav master'!$C:$C, MATCH(B10625, 'nav master'!$B:$B, 0)), "")</f>
        <v/>
      </c>
      <c r="E10625" s="8" t="s">
        <v>235</v>
      </c>
      <c r="F10625" s="8" t="s">
        <v>5591</v>
      </c>
    </row>
    <row r="10626" spans="1:6" ht="45" x14ac:dyDescent="0.25">
      <c r="A10626" s="8" t="s">
        <v>125</v>
      </c>
      <c r="B10626" s="8" t="s">
        <v>4867</v>
      </c>
      <c r="C10626" s="8" t="str">
        <f>IFERROR(_xlfn.XLOOKUP(TRIM(B10626),Lookup!$B$2:$B$1000,Lookup!$C$2:$C$1000),"")</f>
        <v>Hybrid</v>
      </c>
      <c r="D10626" s="8" t="str">
        <f>IFERROR(INDEX('nav master'!$C:$C, MATCH(B10626, 'nav master'!$B:$B, 0)), "")</f>
        <v/>
      </c>
      <c r="E10626" s="8" t="s">
        <v>237</v>
      </c>
      <c r="F10626" s="8" t="s">
        <v>5592</v>
      </c>
    </row>
    <row r="10627" spans="1:6" ht="45" x14ac:dyDescent="0.25">
      <c r="A10627" s="8" t="s">
        <v>125</v>
      </c>
      <c r="B10627" s="8" t="s">
        <v>4867</v>
      </c>
      <c r="C10627" s="8" t="str">
        <f>IFERROR(_xlfn.XLOOKUP(TRIM(B10627),Lookup!$B$2:$B$1000,Lookup!$C$2:$C$1000),"")</f>
        <v>Hybrid</v>
      </c>
      <c r="D10627" s="8" t="str">
        <f>IFERROR(INDEX('nav master'!$C:$C, MATCH(B10627, 'nav master'!$B:$B, 0)), "")</f>
        <v/>
      </c>
      <c r="E10627" s="8" t="s">
        <v>239</v>
      </c>
      <c r="F10627" s="8" t="s">
        <v>5593</v>
      </c>
    </row>
    <row r="10628" spans="1:6" ht="45" x14ac:dyDescent="0.25">
      <c r="A10628" s="8" t="s">
        <v>125</v>
      </c>
      <c r="B10628" s="8" t="s">
        <v>4867</v>
      </c>
      <c r="C10628" s="8" t="str">
        <f>IFERROR(_xlfn.XLOOKUP(TRIM(B10628),Lookup!$B$2:$B$1000,Lookup!$C$2:$C$1000),"")</f>
        <v>Hybrid</v>
      </c>
      <c r="D10628" s="8" t="str">
        <f>IFERROR(INDEX('nav master'!$C:$C, MATCH(B10628, 'nav master'!$B:$B, 0)), "")</f>
        <v/>
      </c>
      <c r="E10628" s="8" t="s">
        <v>241</v>
      </c>
      <c r="F10628" s="8" t="s">
        <v>5594</v>
      </c>
    </row>
    <row r="10629" spans="1:6" ht="45" x14ac:dyDescent="0.25">
      <c r="A10629" s="8" t="s">
        <v>125</v>
      </c>
      <c r="B10629" s="8" t="s">
        <v>4867</v>
      </c>
      <c r="C10629" s="8" t="str">
        <f>IFERROR(_xlfn.XLOOKUP(TRIM(B10629),Lookup!$B$2:$B$1000,Lookup!$C$2:$C$1000),"")</f>
        <v>Hybrid</v>
      </c>
      <c r="D10629" s="8" t="str">
        <f>IFERROR(INDEX('nav master'!$C:$C, MATCH(B10629, 'nav master'!$B:$B, 0)), "")</f>
        <v/>
      </c>
      <c r="E10629" s="8" t="s">
        <v>243</v>
      </c>
      <c r="F10629" s="8" t="s">
        <v>5595</v>
      </c>
    </row>
    <row r="10630" spans="1:6" ht="45" x14ac:dyDescent="0.25">
      <c r="A10630" s="8" t="s">
        <v>125</v>
      </c>
      <c r="B10630" s="8" t="s">
        <v>4867</v>
      </c>
      <c r="C10630" s="8" t="str">
        <f>IFERROR(_xlfn.XLOOKUP(TRIM(B10630),Lookup!$B$2:$B$1000,Lookup!$C$2:$C$1000),"")</f>
        <v>Hybrid</v>
      </c>
      <c r="D10630" s="8" t="str">
        <f>IFERROR(INDEX('nav master'!$C:$C, MATCH(B10630, 'nav master'!$B:$B, 0)), "")</f>
        <v/>
      </c>
      <c r="E10630" s="8" t="s">
        <v>245</v>
      </c>
      <c r="F10630" s="8" t="s">
        <v>5596</v>
      </c>
    </row>
    <row r="10631" spans="1:6" ht="45" x14ac:dyDescent="0.25">
      <c r="A10631" s="8" t="s">
        <v>125</v>
      </c>
      <c r="B10631" s="8" t="s">
        <v>4867</v>
      </c>
      <c r="C10631" s="8" t="str">
        <f>IFERROR(_xlfn.XLOOKUP(TRIM(B10631),Lookup!$B$2:$B$1000,Lookup!$C$2:$C$1000),"")</f>
        <v>Hybrid</v>
      </c>
      <c r="D10631" s="8" t="str">
        <f>IFERROR(INDEX('nav master'!$C:$C, MATCH(B10631, 'nav master'!$B:$B, 0)), "")</f>
        <v/>
      </c>
      <c r="E10631" s="8" t="s">
        <v>247</v>
      </c>
      <c r="F10631" s="8" t="s">
        <v>5597</v>
      </c>
    </row>
    <row r="10632" spans="1:6" ht="45" x14ac:dyDescent="0.25">
      <c r="A10632" s="8" t="s">
        <v>125</v>
      </c>
      <c r="B10632" s="8" t="s">
        <v>4867</v>
      </c>
      <c r="C10632" s="8" t="str">
        <f>IFERROR(_xlfn.XLOOKUP(TRIM(B10632),Lookup!$B$2:$B$1000,Lookup!$C$2:$C$1000),"")</f>
        <v>Hybrid</v>
      </c>
      <c r="D10632" s="8" t="str">
        <f>IFERROR(INDEX('nav master'!$C:$C, MATCH(B10632, 'nav master'!$B:$B, 0)), "")</f>
        <v/>
      </c>
      <c r="E10632" s="8" t="s">
        <v>249</v>
      </c>
      <c r="F10632" s="8" t="s">
        <v>5598</v>
      </c>
    </row>
    <row r="10633" spans="1:6" ht="45" x14ac:dyDescent="0.25">
      <c r="A10633" s="8" t="s">
        <v>125</v>
      </c>
      <c r="B10633" s="8" t="s">
        <v>4867</v>
      </c>
      <c r="C10633" s="8" t="str">
        <f>IFERROR(_xlfn.XLOOKUP(TRIM(B10633),Lookup!$B$2:$B$1000,Lookup!$C$2:$C$1000),"")</f>
        <v>Hybrid</v>
      </c>
      <c r="D10633" s="8" t="str">
        <f>IFERROR(INDEX('nav master'!$C:$C, MATCH(B10633, 'nav master'!$B:$B, 0)), "")</f>
        <v/>
      </c>
      <c r="E10633" s="8" t="s">
        <v>251</v>
      </c>
      <c r="F10633" s="8" t="s">
        <v>5599</v>
      </c>
    </row>
    <row r="10634" spans="1:6" ht="45" x14ac:dyDescent="0.25">
      <c r="A10634" s="8" t="s">
        <v>125</v>
      </c>
      <c r="B10634" s="8" t="s">
        <v>4867</v>
      </c>
      <c r="C10634" s="8" t="str">
        <f>IFERROR(_xlfn.XLOOKUP(TRIM(B10634),Lookup!$B$2:$B$1000,Lookup!$C$2:$C$1000),"")</f>
        <v>Hybrid</v>
      </c>
      <c r="D10634" s="8" t="str">
        <f>IFERROR(INDEX('nav master'!$C:$C, MATCH(B10634, 'nav master'!$B:$B, 0)), "")</f>
        <v/>
      </c>
      <c r="E10634" s="8" t="s">
        <v>253</v>
      </c>
      <c r="F10634" s="8" t="s">
        <v>5600</v>
      </c>
    </row>
    <row r="10635" spans="1:6" ht="45" x14ac:dyDescent="0.25">
      <c r="A10635" s="8" t="s">
        <v>125</v>
      </c>
      <c r="B10635" s="8" t="s">
        <v>4867</v>
      </c>
      <c r="C10635" s="8" t="str">
        <f>IFERROR(_xlfn.XLOOKUP(TRIM(B10635),Lookup!$B$2:$B$1000,Lookup!$C$2:$C$1000),"")</f>
        <v>Hybrid</v>
      </c>
      <c r="D10635" s="8" t="str">
        <f>IFERROR(INDEX('nav master'!$C:$C, MATCH(B10635, 'nav master'!$B:$B, 0)), "")</f>
        <v/>
      </c>
      <c r="E10635" s="8" t="s">
        <v>255</v>
      </c>
      <c r="F10635" s="8" t="s">
        <v>5601</v>
      </c>
    </row>
    <row r="10636" spans="1:6" ht="45" x14ac:dyDescent="0.25">
      <c r="A10636" s="8" t="s">
        <v>125</v>
      </c>
      <c r="B10636" s="8" t="s">
        <v>4867</v>
      </c>
      <c r="C10636" s="8" t="str">
        <f>IFERROR(_xlfn.XLOOKUP(TRIM(B10636),Lookup!$B$2:$B$1000,Lookup!$C$2:$C$1000),"")</f>
        <v>Hybrid</v>
      </c>
      <c r="D10636" s="8" t="str">
        <f>IFERROR(INDEX('nav master'!$C:$C, MATCH(B10636, 'nav master'!$B:$B, 0)), "")</f>
        <v/>
      </c>
      <c r="E10636" s="8" t="s">
        <v>257</v>
      </c>
      <c r="F10636" s="8" t="s">
        <v>5602</v>
      </c>
    </row>
    <row r="10637" spans="1:6" ht="45" x14ac:dyDescent="0.25">
      <c r="A10637" s="8" t="s">
        <v>125</v>
      </c>
      <c r="B10637" s="8" t="s">
        <v>4867</v>
      </c>
      <c r="C10637" s="8" t="str">
        <f>IFERROR(_xlfn.XLOOKUP(TRIM(B10637),Lookup!$B$2:$B$1000,Lookup!$C$2:$C$1000),"")</f>
        <v>Hybrid</v>
      </c>
      <c r="D10637" s="8" t="str">
        <f>IFERROR(INDEX('nav master'!$C:$C, MATCH(B10637, 'nav master'!$B:$B, 0)), "")</f>
        <v/>
      </c>
      <c r="E10637" s="8" t="s">
        <v>259</v>
      </c>
      <c r="F10637" s="8" t="s">
        <v>5603</v>
      </c>
    </row>
    <row r="10638" spans="1:6" ht="45" x14ac:dyDescent="0.25">
      <c r="A10638" s="8" t="s">
        <v>125</v>
      </c>
      <c r="B10638" s="8" t="s">
        <v>4867</v>
      </c>
      <c r="C10638" s="8" t="str">
        <f>IFERROR(_xlfn.XLOOKUP(TRIM(B10638),Lookup!$B$2:$B$1000,Lookup!$C$2:$C$1000),"")</f>
        <v>Hybrid</v>
      </c>
      <c r="D10638" s="8" t="str">
        <f>IFERROR(INDEX('nav master'!$C:$C, MATCH(B10638, 'nav master'!$B:$B, 0)), "")</f>
        <v/>
      </c>
      <c r="E10638" s="8" t="s">
        <v>261</v>
      </c>
      <c r="F10638" s="8" t="s">
        <v>5604</v>
      </c>
    </row>
    <row r="10639" spans="1:6" ht="45" x14ac:dyDescent="0.25">
      <c r="A10639" s="8" t="s">
        <v>125</v>
      </c>
      <c r="B10639" s="8" t="s">
        <v>4867</v>
      </c>
      <c r="C10639" s="8" t="str">
        <f>IFERROR(_xlfn.XLOOKUP(TRIM(B10639),Lookup!$B$2:$B$1000,Lookup!$C$2:$C$1000),"")</f>
        <v>Hybrid</v>
      </c>
      <c r="D10639" s="8" t="str">
        <f>IFERROR(INDEX('nav master'!$C:$C, MATCH(B10639, 'nav master'!$B:$B, 0)), "")</f>
        <v/>
      </c>
      <c r="E10639" s="8" t="s">
        <v>263</v>
      </c>
      <c r="F10639" s="8" t="s">
        <v>5605</v>
      </c>
    </row>
    <row r="10640" spans="1:6" ht="45" x14ac:dyDescent="0.25">
      <c r="A10640" s="8" t="s">
        <v>125</v>
      </c>
      <c r="B10640" s="8" t="s">
        <v>4867</v>
      </c>
      <c r="C10640" s="8" t="str">
        <f>IFERROR(_xlfn.XLOOKUP(TRIM(B10640),Lookup!$B$2:$B$1000,Lookup!$C$2:$C$1000),"")</f>
        <v>Hybrid</v>
      </c>
      <c r="D10640" s="8" t="str">
        <f>IFERROR(INDEX('nav master'!$C:$C, MATCH(B10640, 'nav master'!$B:$B, 0)), "")</f>
        <v/>
      </c>
      <c r="E10640" s="8" t="s">
        <v>265</v>
      </c>
      <c r="F10640" s="8" t="s">
        <v>5606</v>
      </c>
    </row>
    <row r="10641" spans="1:6" ht="45" x14ac:dyDescent="0.25">
      <c r="A10641" s="8" t="s">
        <v>125</v>
      </c>
      <c r="B10641" s="8" t="s">
        <v>4867</v>
      </c>
      <c r="C10641" s="8" t="str">
        <f>IFERROR(_xlfn.XLOOKUP(TRIM(B10641),Lookup!$B$2:$B$1000,Lookup!$C$2:$C$1000),"")</f>
        <v>Hybrid</v>
      </c>
      <c r="D10641" s="8" t="str">
        <f>IFERROR(INDEX('nav master'!$C:$C, MATCH(B10641, 'nav master'!$B:$B, 0)), "")</f>
        <v/>
      </c>
      <c r="E10641" s="8" t="s">
        <v>267</v>
      </c>
      <c r="F10641" s="8" t="s">
        <v>5607</v>
      </c>
    </row>
    <row r="10642" spans="1:6" ht="45" x14ac:dyDescent="0.25">
      <c r="A10642" s="8" t="s">
        <v>125</v>
      </c>
      <c r="B10642" s="8" t="s">
        <v>4867</v>
      </c>
      <c r="C10642" s="8" t="str">
        <f>IFERROR(_xlfn.XLOOKUP(TRIM(B10642),Lookup!$B$2:$B$1000,Lookup!$C$2:$C$1000),"")</f>
        <v>Hybrid</v>
      </c>
      <c r="D10642" s="8" t="str">
        <f>IFERROR(INDEX('nav master'!$C:$C, MATCH(B10642, 'nav master'!$B:$B, 0)), "")</f>
        <v/>
      </c>
      <c r="E10642" s="8" t="s">
        <v>269</v>
      </c>
      <c r="F10642" s="8" t="s">
        <v>5608</v>
      </c>
    </row>
    <row r="10643" spans="1:6" ht="45" x14ac:dyDescent="0.25">
      <c r="A10643" s="8" t="s">
        <v>125</v>
      </c>
      <c r="B10643" s="8" t="s">
        <v>4867</v>
      </c>
      <c r="C10643" s="8" t="str">
        <f>IFERROR(_xlfn.XLOOKUP(TRIM(B10643),Lookup!$B$2:$B$1000,Lookup!$C$2:$C$1000),"")</f>
        <v>Hybrid</v>
      </c>
      <c r="D10643" s="8" t="str">
        <f>IFERROR(INDEX('nav master'!$C:$C, MATCH(B10643, 'nav master'!$B:$B, 0)), "")</f>
        <v/>
      </c>
      <c r="E10643" s="8" t="s">
        <v>271</v>
      </c>
      <c r="F10643" s="8" t="s">
        <v>5609</v>
      </c>
    </row>
    <row r="10644" spans="1:6" ht="45" x14ac:dyDescent="0.25">
      <c r="A10644" s="8" t="s">
        <v>125</v>
      </c>
      <c r="B10644" s="8" t="s">
        <v>4867</v>
      </c>
      <c r="C10644" s="8" t="str">
        <f>IFERROR(_xlfn.XLOOKUP(TRIM(B10644),Lookup!$B$2:$B$1000,Lookup!$C$2:$C$1000),"")</f>
        <v>Hybrid</v>
      </c>
      <c r="D10644" s="8" t="str">
        <f>IFERROR(INDEX('nav master'!$C:$C, MATCH(B10644, 'nav master'!$B:$B, 0)), "")</f>
        <v/>
      </c>
      <c r="E10644" s="8" t="s">
        <v>273</v>
      </c>
      <c r="F10644" s="8" t="s">
        <v>5610</v>
      </c>
    </row>
    <row r="10645" spans="1:6" ht="45" x14ac:dyDescent="0.25">
      <c r="A10645" s="8" t="s">
        <v>125</v>
      </c>
      <c r="B10645" s="8" t="s">
        <v>4867</v>
      </c>
      <c r="C10645" s="8" t="str">
        <f>IFERROR(_xlfn.XLOOKUP(TRIM(B10645),Lookup!$B$2:$B$1000,Lookup!$C$2:$C$1000),"")</f>
        <v>Hybrid</v>
      </c>
      <c r="D10645" s="8" t="str">
        <f>IFERROR(INDEX('nav master'!$C:$C, MATCH(B10645, 'nav master'!$B:$B, 0)), "")</f>
        <v/>
      </c>
      <c r="E10645" s="8" t="s">
        <v>275</v>
      </c>
      <c r="F10645" s="8" t="s">
        <v>5611</v>
      </c>
    </row>
    <row r="10646" spans="1:6" ht="45" x14ac:dyDescent="0.25">
      <c r="A10646" s="8" t="s">
        <v>125</v>
      </c>
      <c r="B10646" s="8" t="s">
        <v>4867</v>
      </c>
      <c r="C10646" s="8" t="str">
        <f>IFERROR(_xlfn.XLOOKUP(TRIM(B10646),Lookup!$B$2:$B$1000,Lookup!$C$2:$C$1000),"")</f>
        <v>Hybrid</v>
      </c>
      <c r="D10646" s="8" t="str">
        <f>IFERROR(INDEX('nav master'!$C:$C, MATCH(B10646, 'nav master'!$B:$B, 0)), "")</f>
        <v/>
      </c>
      <c r="E10646" s="8" t="s">
        <v>277</v>
      </c>
      <c r="F10646" s="8" t="s">
        <v>5612</v>
      </c>
    </row>
    <row r="10647" spans="1:6" ht="45" x14ac:dyDescent="0.25">
      <c r="A10647" s="8" t="s">
        <v>125</v>
      </c>
      <c r="B10647" s="8" t="s">
        <v>4867</v>
      </c>
      <c r="C10647" s="8" t="str">
        <f>IFERROR(_xlfn.XLOOKUP(TRIM(B10647),Lookup!$B$2:$B$1000,Lookup!$C$2:$C$1000),"")</f>
        <v>Hybrid</v>
      </c>
      <c r="D10647" s="8" t="str">
        <f>IFERROR(INDEX('nav master'!$C:$C, MATCH(B10647, 'nav master'!$B:$B, 0)), "")</f>
        <v/>
      </c>
      <c r="E10647" s="8" t="s">
        <v>279</v>
      </c>
      <c r="F10647" s="8" t="s">
        <v>5613</v>
      </c>
    </row>
    <row r="10648" spans="1:6" ht="45" x14ac:dyDescent="0.25">
      <c r="A10648" s="8" t="s">
        <v>125</v>
      </c>
      <c r="B10648" s="8" t="s">
        <v>4867</v>
      </c>
      <c r="C10648" s="8" t="str">
        <f>IFERROR(_xlfn.XLOOKUP(TRIM(B10648),Lookup!$B$2:$B$1000,Lookup!$C$2:$C$1000),"")</f>
        <v>Hybrid</v>
      </c>
      <c r="D10648" s="8" t="str">
        <f>IFERROR(INDEX('nav master'!$C:$C, MATCH(B10648, 'nav master'!$B:$B, 0)), "")</f>
        <v/>
      </c>
      <c r="E10648" s="8" t="s">
        <v>281</v>
      </c>
      <c r="F10648" s="8" t="s">
        <v>5614</v>
      </c>
    </row>
    <row r="10649" spans="1:6" ht="45" x14ac:dyDescent="0.25">
      <c r="A10649" s="8" t="s">
        <v>125</v>
      </c>
      <c r="B10649" s="8" t="s">
        <v>4867</v>
      </c>
      <c r="C10649" s="8" t="str">
        <f>IFERROR(_xlfn.XLOOKUP(TRIM(B10649),Lookup!$B$2:$B$1000,Lookup!$C$2:$C$1000),"")</f>
        <v>Hybrid</v>
      </c>
      <c r="D10649" s="8" t="str">
        <f>IFERROR(INDEX('nav master'!$C:$C, MATCH(B10649, 'nav master'!$B:$B, 0)), "")</f>
        <v/>
      </c>
      <c r="E10649" s="8" t="s">
        <v>283</v>
      </c>
      <c r="F10649" s="8" t="s">
        <v>5615</v>
      </c>
    </row>
    <row r="10650" spans="1:6" ht="45" x14ac:dyDescent="0.25">
      <c r="A10650" s="8" t="s">
        <v>125</v>
      </c>
      <c r="B10650" s="8" t="s">
        <v>4867</v>
      </c>
      <c r="C10650" s="8" t="str">
        <f>IFERROR(_xlfn.XLOOKUP(TRIM(B10650),Lookup!$B$2:$B$1000,Lookup!$C$2:$C$1000),"")</f>
        <v>Hybrid</v>
      </c>
      <c r="D10650" s="8" t="str">
        <f>IFERROR(INDEX('nav master'!$C:$C, MATCH(B10650, 'nav master'!$B:$B, 0)), "")</f>
        <v/>
      </c>
      <c r="E10650" s="8" t="s">
        <v>285</v>
      </c>
      <c r="F10650" s="8" t="s">
        <v>5616</v>
      </c>
    </row>
    <row r="10651" spans="1:6" ht="45" x14ac:dyDescent="0.25">
      <c r="A10651" s="8" t="s">
        <v>125</v>
      </c>
      <c r="B10651" s="8" t="s">
        <v>4867</v>
      </c>
      <c r="C10651" s="8" t="str">
        <f>IFERROR(_xlfn.XLOOKUP(TRIM(B10651),Lookup!$B$2:$B$1000,Lookup!$C$2:$C$1000),"")</f>
        <v>Hybrid</v>
      </c>
      <c r="D10651" s="8" t="str">
        <f>IFERROR(INDEX('nav master'!$C:$C, MATCH(B10651, 'nav master'!$B:$B, 0)), "")</f>
        <v/>
      </c>
      <c r="E10651" s="8" t="s">
        <v>287</v>
      </c>
      <c r="F10651" s="8" t="s">
        <v>5617</v>
      </c>
    </row>
    <row r="10652" spans="1:6" ht="45" x14ac:dyDescent="0.25">
      <c r="A10652" s="8" t="s">
        <v>125</v>
      </c>
      <c r="B10652" s="8" t="s">
        <v>4867</v>
      </c>
      <c r="C10652" s="8" t="str">
        <f>IFERROR(_xlfn.XLOOKUP(TRIM(B10652),Lookup!$B$2:$B$1000,Lookup!$C$2:$C$1000),"")</f>
        <v>Hybrid</v>
      </c>
      <c r="D10652" s="8" t="str">
        <f>IFERROR(INDEX('nav master'!$C:$C, MATCH(B10652, 'nav master'!$B:$B, 0)), "")</f>
        <v/>
      </c>
      <c r="E10652" s="8" t="s">
        <v>289</v>
      </c>
      <c r="F10652" s="8" t="s">
        <v>5618</v>
      </c>
    </row>
    <row r="10653" spans="1:6" ht="45" x14ac:dyDescent="0.25">
      <c r="A10653" s="8" t="s">
        <v>125</v>
      </c>
      <c r="B10653" s="8" t="s">
        <v>4867</v>
      </c>
      <c r="C10653" s="8" t="str">
        <f>IFERROR(_xlfn.XLOOKUP(TRIM(B10653),Lookup!$B$2:$B$1000,Lookup!$C$2:$C$1000),"")</f>
        <v>Hybrid</v>
      </c>
      <c r="D10653" s="8" t="str">
        <f>IFERROR(INDEX('nav master'!$C:$C, MATCH(B10653, 'nav master'!$B:$B, 0)), "")</f>
        <v/>
      </c>
      <c r="E10653" s="8" t="s">
        <v>291</v>
      </c>
      <c r="F10653" s="8" t="s">
        <v>5619</v>
      </c>
    </row>
    <row r="10654" spans="1:6" ht="45" x14ac:dyDescent="0.25">
      <c r="A10654" s="8" t="s">
        <v>125</v>
      </c>
      <c r="B10654" s="8" t="s">
        <v>4867</v>
      </c>
      <c r="C10654" s="8" t="str">
        <f>IFERROR(_xlfn.XLOOKUP(TRIM(B10654),Lookup!$B$2:$B$1000,Lookup!$C$2:$C$1000),"")</f>
        <v>Hybrid</v>
      </c>
      <c r="D10654" s="8" t="str">
        <f>IFERROR(INDEX('nav master'!$C:$C, MATCH(B10654, 'nav master'!$B:$B, 0)), "")</f>
        <v/>
      </c>
      <c r="E10654" s="8" t="s">
        <v>293</v>
      </c>
      <c r="F10654" s="8" t="s">
        <v>5620</v>
      </c>
    </row>
    <row r="10655" spans="1:6" ht="45" x14ac:dyDescent="0.25">
      <c r="A10655" s="8" t="s">
        <v>125</v>
      </c>
      <c r="B10655" s="8" t="s">
        <v>4867</v>
      </c>
      <c r="C10655" s="8" t="str">
        <f>IFERROR(_xlfn.XLOOKUP(TRIM(B10655),Lookup!$B$2:$B$1000,Lookup!$C$2:$C$1000),"")</f>
        <v>Hybrid</v>
      </c>
      <c r="D10655" s="8" t="str">
        <f>IFERROR(INDEX('nav master'!$C:$C, MATCH(B10655, 'nav master'!$B:$B, 0)), "")</f>
        <v/>
      </c>
      <c r="E10655" s="8" t="s">
        <v>295</v>
      </c>
      <c r="F10655" s="8" t="s">
        <v>5621</v>
      </c>
    </row>
    <row r="10656" spans="1:6" ht="45" x14ac:dyDescent="0.25">
      <c r="A10656" s="8" t="s">
        <v>125</v>
      </c>
      <c r="B10656" s="8" t="s">
        <v>4867</v>
      </c>
      <c r="C10656" s="8" t="str">
        <f>IFERROR(_xlfn.XLOOKUP(TRIM(B10656),Lookup!$B$2:$B$1000,Lookup!$C$2:$C$1000),"")</f>
        <v>Hybrid</v>
      </c>
      <c r="D10656" s="8" t="str">
        <f>IFERROR(INDEX('nav master'!$C:$C, MATCH(B10656, 'nav master'!$B:$B, 0)), "")</f>
        <v/>
      </c>
      <c r="E10656" s="8" t="s">
        <v>297</v>
      </c>
      <c r="F10656" s="8" t="s">
        <v>5622</v>
      </c>
    </row>
    <row r="10657" spans="1:6" ht="45" x14ac:dyDescent="0.25">
      <c r="A10657" s="8" t="s">
        <v>125</v>
      </c>
      <c r="B10657" s="8" t="s">
        <v>4867</v>
      </c>
      <c r="C10657" s="8" t="str">
        <f>IFERROR(_xlfn.XLOOKUP(TRIM(B10657),Lookup!$B$2:$B$1000,Lookup!$C$2:$C$1000),"")</f>
        <v>Hybrid</v>
      </c>
      <c r="D10657" s="8" t="str">
        <f>IFERROR(INDEX('nav master'!$C:$C, MATCH(B10657, 'nav master'!$B:$B, 0)), "")</f>
        <v/>
      </c>
      <c r="E10657" s="8" t="s">
        <v>299</v>
      </c>
      <c r="F10657" s="8" t="s">
        <v>5618</v>
      </c>
    </row>
    <row r="10658" spans="1:6" ht="45" x14ac:dyDescent="0.25">
      <c r="A10658" s="8" t="s">
        <v>125</v>
      </c>
      <c r="B10658" s="8" t="s">
        <v>4867</v>
      </c>
      <c r="C10658" s="8" t="str">
        <f>IFERROR(_xlfn.XLOOKUP(TRIM(B10658),Lookup!$B$2:$B$1000,Lookup!$C$2:$C$1000),"")</f>
        <v>Hybrid</v>
      </c>
      <c r="D10658" s="8" t="str">
        <f>IFERROR(INDEX('nav master'!$C:$C, MATCH(B10658, 'nav master'!$B:$B, 0)), "")</f>
        <v/>
      </c>
      <c r="E10658" s="8" t="s">
        <v>301</v>
      </c>
      <c r="F10658" s="8" t="s">
        <v>5623</v>
      </c>
    </row>
    <row r="10659" spans="1:6" ht="45" x14ac:dyDescent="0.25">
      <c r="A10659" s="8" t="s">
        <v>125</v>
      </c>
      <c r="B10659" s="8" t="s">
        <v>4867</v>
      </c>
      <c r="C10659" s="8" t="str">
        <f>IFERROR(_xlfn.XLOOKUP(TRIM(B10659),Lookup!$B$2:$B$1000,Lookup!$C$2:$C$1000),"")</f>
        <v>Hybrid</v>
      </c>
      <c r="D10659" s="8" t="str">
        <f>IFERROR(INDEX('nav master'!$C:$C, MATCH(B10659, 'nav master'!$B:$B, 0)), "")</f>
        <v/>
      </c>
      <c r="E10659" s="8" t="s">
        <v>303</v>
      </c>
      <c r="F10659" s="8" t="s">
        <v>5623</v>
      </c>
    </row>
    <row r="10660" spans="1:6" ht="45" x14ac:dyDescent="0.25">
      <c r="A10660" s="8" t="s">
        <v>125</v>
      </c>
      <c r="B10660" s="8" t="s">
        <v>4867</v>
      </c>
      <c r="C10660" s="8" t="str">
        <f>IFERROR(_xlfn.XLOOKUP(TRIM(B10660),Lookup!$B$2:$B$1000,Lookup!$C$2:$C$1000),"")</f>
        <v>Hybrid</v>
      </c>
      <c r="D10660" s="8" t="str">
        <f>IFERROR(INDEX('nav master'!$C:$C, MATCH(B10660, 'nav master'!$B:$B, 0)), "")</f>
        <v/>
      </c>
      <c r="E10660" s="8" t="s">
        <v>305</v>
      </c>
      <c r="F10660" s="8" t="s">
        <v>5624</v>
      </c>
    </row>
    <row r="10661" spans="1:6" ht="45" x14ac:dyDescent="0.25">
      <c r="A10661" s="8" t="s">
        <v>125</v>
      </c>
      <c r="B10661" s="8" t="s">
        <v>4867</v>
      </c>
      <c r="C10661" s="8" t="str">
        <f>IFERROR(_xlfn.XLOOKUP(TRIM(B10661),Lookup!$B$2:$B$1000,Lookup!$C$2:$C$1000),"")</f>
        <v>Hybrid</v>
      </c>
      <c r="D10661" s="8" t="str">
        <f>IFERROR(INDEX('nav master'!$C:$C, MATCH(B10661, 'nav master'!$B:$B, 0)), "")</f>
        <v/>
      </c>
      <c r="E10661" s="8" t="s">
        <v>307</v>
      </c>
      <c r="F10661" s="8" t="s">
        <v>5625</v>
      </c>
    </row>
    <row r="10662" spans="1:6" ht="45" x14ac:dyDescent="0.25">
      <c r="A10662" s="8" t="s">
        <v>125</v>
      </c>
      <c r="B10662" s="8" t="s">
        <v>4867</v>
      </c>
      <c r="C10662" s="8" t="str">
        <f>IFERROR(_xlfn.XLOOKUP(TRIM(B10662),Lookup!$B$2:$B$1000,Lookup!$C$2:$C$1000),"")</f>
        <v>Hybrid</v>
      </c>
      <c r="D10662" s="8" t="str">
        <f>IFERROR(INDEX('nav master'!$C:$C, MATCH(B10662, 'nav master'!$B:$B, 0)), "")</f>
        <v/>
      </c>
      <c r="E10662" s="8" t="s">
        <v>309</v>
      </c>
      <c r="F10662" s="8" t="s">
        <v>5626</v>
      </c>
    </row>
    <row r="10663" spans="1:6" ht="45" x14ac:dyDescent="0.25">
      <c r="A10663" s="8" t="s">
        <v>125</v>
      </c>
      <c r="B10663" s="8" t="s">
        <v>4867</v>
      </c>
      <c r="C10663" s="8" t="str">
        <f>IFERROR(_xlfn.XLOOKUP(TRIM(B10663),Lookup!$B$2:$B$1000,Lookup!$C$2:$C$1000),"")</f>
        <v>Hybrid</v>
      </c>
      <c r="D10663" s="8" t="str">
        <f>IFERROR(INDEX('nav master'!$C:$C, MATCH(B10663, 'nav master'!$B:$B, 0)), "")</f>
        <v/>
      </c>
      <c r="E10663" s="8" t="s">
        <v>311</v>
      </c>
      <c r="F10663" s="8" t="s">
        <v>5627</v>
      </c>
    </row>
    <row r="10664" spans="1:6" ht="45" x14ac:dyDescent="0.25">
      <c r="A10664" s="8" t="s">
        <v>125</v>
      </c>
      <c r="B10664" s="8" t="s">
        <v>4867</v>
      </c>
      <c r="C10664" s="8" t="str">
        <f>IFERROR(_xlfn.XLOOKUP(TRIM(B10664),Lookup!$B$2:$B$1000,Lookup!$C$2:$C$1000),"")</f>
        <v>Hybrid</v>
      </c>
      <c r="D10664" s="8" t="str">
        <f>IFERROR(INDEX('nav master'!$C:$C, MATCH(B10664, 'nav master'!$B:$B, 0)), "")</f>
        <v/>
      </c>
      <c r="E10664" s="8" t="s">
        <v>313</v>
      </c>
      <c r="F10664" s="8" t="s">
        <v>3741</v>
      </c>
    </row>
    <row r="10665" spans="1:6" ht="45" x14ac:dyDescent="0.25">
      <c r="A10665" s="8" t="s">
        <v>125</v>
      </c>
      <c r="B10665" s="8" t="s">
        <v>4867</v>
      </c>
      <c r="C10665" s="8" t="str">
        <f>IFERROR(_xlfn.XLOOKUP(TRIM(B10665),Lookup!$B$2:$B$1000,Lookup!$C$2:$C$1000),"")</f>
        <v>Hybrid</v>
      </c>
      <c r="D10665" s="8" t="str">
        <f>IFERROR(INDEX('nav master'!$C:$C, MATCH(B10665, 'nav master'!$B:$B, 0)), "")</f>
        <v/>
      </c>
      <c r="E10665" s="8" t="s">
        <v>315</v>
      </c>
      <c r="F10665" s="8" t="s">
        <v>5628</v>
      </c>
    </row>
    <row r="10666" spans="1:6" ht="45" x14ac:dyDescent="0.25">
      <c r="A10666" s="8" t="s">
        <v>125</v>
      </c>
      <c r="B10666" s="8" t="s">
        <v>4867</v>
      </c>
      <c r="C10666" s="8" t="str">
        <f>IFERROR(_xlfn.XLOOKUP(TRIM(B10666),Lookup!$B$2:$B$1000,Lookup!$C$2:$C$1000),"")</f>
        <v>Hybrid</v>
      </c>
      <c r="D10666" s="8" t="str">
        <f>IFERROR(INDEX('nav master'!$C:$C, MATCH(B10666, 'nav master'!$B:$B, 0)), "")</f>
        <v/>
      </c>
      <c r="E10666" s="8" t="s">
        <v>317</v>
      </c>
      <c r="F10666" s="8" t="s">
        <v>5629</v>
      </c>
    </row>
    <row r="10667" spans="1:6" ht="45" x14ac:dyDescent="0.25">
      <c r="A10667" s="8" t="s">
        <v>125</v>
      </c>
      <c r="B10667" s="8" t="s">
        <v>4867</v>
      </c>
      <c r="C10667" s="8" t="str">
        <f>IFERROR(_xlfn.XLOOKUP(TRIM(B10667),Lookup!$B$2:$B$1000,Lookup!$C$2:$C$1000),"")</f>
        <v>Hybrid</v>
      </c>
      <c r="D10667" s="8" t="str">
        <f>IFERROR(INDEX('nav master'!$C:$C, MATCH(B10667, 'nav master'!$B:$B, 0)), "")</f>
        <v/>
      </c>
      <c r="E10667" s="8" t="s">
        <v>319</v>
      </c>
      <c r="F10667" s="8" t="s">
        <v>5630</v>
      </c>
    </row>
    <row r="10668" spans="1:6" ht="45" x14ac:dyDescent="0.25">
      <c r="A10668" s="8" t="s">
        <v>125</v>
      </c>
      <c r="B10668" s="8" t="s">
        <v>4867</v>
      </c>
      <c r="C10668" s="8" t="str">
        <f>IFERROR(_xlfn.XLOOKUP(TRIM(B10668),Lookup!$B$2:$B$1000,Lookup!$C$2:$C$1000),"")</f>
        <v>Hybrid</v>
      </c>
      <c r="D10668" s="8" t="str">
        <f>IFERROR(INDEX('nav master'!$C:$C, MATCH(B10668, 'nav master'!$B:$B, 0)), "")</f>
        <v/>
      </c>
      <c r="E10668" s="8" t="s">
        <v>321</v>
      </c>
      <c r="F10668" s="8" t="s">
        <v>5631</v>
      </c>
    </row>
    <row r="10669" spans="1:6" ht="45" x14ac:dyDescent="0.25">
      <c r="A10669" s="8" t="s">
        <v>125</v>
      </c>
      <c r="B10669" s="8" t="s">
        <v>4867</v>
      </c>
      <c r="C10669" s="8" t="str">
        <f>IFERROR(_xlfn.XLOOKUP(TRIM(B10669),Lookup!$B$2:$B$1000,Lookup!$C$2:$C$1000),"")</f>
        <v>Hybrid</v>
      </c>
      <c r="D10669" s="8" t="str">
        <f>IFERROR(INDEX('nav master'!$C:$C, MATCH(B10669, 'nav master'!$B:$B, 0)), "")</f>
        <v/>
      </c>
      <c r="E10669" s="8" t="s">
        <v>323</v>
      </c>
      <c r="F10669" s="8" t="s">
        <v>5632</v>
      </c>
    </row>
    <row r="10670" spans="1:6" ht="45" x14ac:dyDescent="0.25">
      <c r="A10670" s="8" t="s">
        <v>125</v>
      </c>
      <c r="B10670" s="8" t="s">
        <v>4867</v>
      </c>
      <c r="C10670" s="8" t="str">
        <f>IFERROR(_xlfn.XLOOKUP(TRIM(B10670),Lookup!$B$2:$B$1000,Lookup!$C$2:$C$1000),"")</f>
        <v>Hybrid</v>
      </c>
      <c r="D10670" s="8" t="str">
        <f>IFERROR(INDEX('nav master'!$C:$C, MATCH(B10670, 'nav master'!$B:$B, 0)), "")</f>
        <v/>
      </c>
      <c r="E10670" s="8" t="s">
        <v>325</v>
      </c>
      <c r="F10670" s="8" t="s">
        <v>5632</v>
      </c>
    </row>
    <row r="10671" spans="1:6" ht="45" x14ac:dyDescent="0.25">
      <c r="A10671" s="8" t="s">
        <v>125</v>
      </c>
      <c r="B10671" s="8" t="s">
        <v>4867</v>
      </c>
      <c r="C10671" s="8" t="str">
        <f>IFERROR(_xlfn.XLOOKUP(TRIM(B10671),Lookup!$B$2:$B$1000,Lookup!$C$2:$C$1000),"")</f>
        <v>Hybrid</v>
      </c>
      <c r="D10671" s="8" t="str">
        <f>IFERROR(INDEX('nav master'!$C:$C, MATCH(B10671, 'nav master'!$B:$B, 0)), "")</f>
        <v/>
      </c>
      <c r="E10671" s="8" t="s">
        <v>327</v>
      </c>
      <c r="F10671" s="8" t="s">
        <v>5633</v>
      </c>
    </row>
    <row r="10672" spans="1:6" ht="45" x14ac:dyDescent="0.25">
      <c r="A10672" s="8" t="s">
        <v>125</v>
      </c>
      <c r="B10672" s="8" t="s">
        <v>4867</v>
      </c>
      <c r="C10672" s="8" t="str">
        <f>IFERROR(_xlfn.XLOOKUP(TRIM(B10672),Lookup!$B$2:$B$1000,Lookup!$C$2:$C$1000),"")</f>
        <v>Hybrid</v>
      </c>
      <c r="D10672" s="8" t="str">
        <f>IFERROR(INDEX('nav master'!$C:$C, MATCH(B10672, 'nav master'!$B:$B, 0)), "")</f>
        <v/>
      </c>
      <c r="E10672" s="8" t="s">
        <v>329</v>
      </c>
      <c r="F10672" s="8" t="s">
        <v>5634</v>
      </c>
    </row>
    <row r="10673" spans="1:6" ht="45" x14ac:dyDescent="0.25">
      <c r="A10673" s="8" t="s">
        <v>125</v>
      </c>
      <c r="B10673" s="8" t="s">
        <v>4867</v>
      </c>
      <c r="C10673" s="8" t="str">
        <f>IFERROR(_xlfn.XLOOKUP(TRIM(B10673),Lookup!$B$2:$B$1000,Lookup!$C$2:$C$1000),"")</f>
        <v>Hybrid</v>
      </c>
      <c r="D10673" s="8" t="str">
        <f>IFERROR(INDEX('nav master'!$C:$C, MATCH(B10673, 'nav master'!$B:$B, 0)), "")</f>
        <v/>
      </c>
      <c r="E10673" s="8" t="s">
        <v>331</v>
      </c>
      <c r="F10673" s="8" t="s">
        <v>5635</v>
      </c>
    </row>
    <row r="10674" spans="1:6" ht="45" x14ac:dyDescent="0.25">
      <c r="A10674" s="8" t="s">
        <v>125</v>
      </c>
      <c r="B10674" s="8" t="s">
        <v>4867</v>
      </c>
      <c r="C10674" s="8" t="str">
        <f>IFERROR(_xlfn.XLOOKUP(TRIM(B10674),Lookup!$B$2:$B$1000,Lookup!$C$2:$C$1000),"")</f>
        <v>Hybrid</v>
      </c>
      <c r="D10674" s="8" t="str">
        <f>IFERROR(INDEX('nav master'!$C:$C, MATCH(B10674, 'nav master'!$B:$B, 0)), "")</f>
        <v/>
      </c>
      <c r="E10674" s="8" t="s">
        <v>333</v>
      </c>
      <c r="F10674" s="8" t="s">
        <v>5636</v>
      </c>
    </row>
    <row r="10675" spans="1:6" ht="45" x14ac:dyDescent="0.25">
      <c r="A10675" s="8" t="s">
        <v>125</v>
      </c>
      <c r="B10675" s="8" t="s">
        <v>4867</v>
      </c>
      <c r="C10675" s="8" t="str">
        <f>IFERROR(_xlfn.XLOOKUP(TRIM(B10675),Lookup!$B$2:$B$1000,Lookup!$C$2:$C$1000),"")</f>
        <v>Hybrid</v>
      </c>
      <c r="D10675" s="8" t="str">
        <f>IFERROR(INDEX('nav master'!$C:$C, MATCH(B10675, 'nav master'!$B:$B, 0)), "")</f>
        <v/>
      </c>
      <c r="E10675" s="8" t="s">
        <v>335</v>
      </c>
      <c r="F10675" s="8" t="s">
        <v>5637</v>
      </c>
    </row>
    <row r="10676" spans="1:6" ht="45" x14ac:dyDescent="0.25">
      <c r="A10676" s="8" t="s">
        <v>125</v>
      </c>
      <c r="B10676" s="8" t="s">
        <v>4867</v>
      </c>
      <c r="C10676" s="8" t="str">
        <f>IFERROR(_xlfn.XLOOKUP(TRIM(B10676),Lookup!$B$2:$B$1000,Lookup!$C$2:$C$1000),"")</f>
        <v>Hybrid</v>
      </c>
      <c r="D10676" s="8" t="str">
        <f>IFERROR(INDEX('nav master'!$C:$C, MATCH(B10676, 'nav master'!$B:$B, 0)), "")</f>
        <v/>
      </c>
      <c r="E10676" s="8" t="s">
        <v>337</v>
      </c>
      <c r="F10676" s="8" t="s">
        <v>5638</v>
      </c>
    </row>
    <row r="10677" spans="1:6" ht="45" x14ac:dyDescent="0.25">
      <c r="A10677" s="8" t="s">
        <v>125</v>
      </c>
      <c r="B10677" s="8" t="s">
        <v>4867</v>
      </c>
      <c r="C10677" s="8" t="str">
        <f>IFERROR(_xlfn.XLOOKUP(TRIM(B10677),Lookup!$B$2:$B$1000,Lookup!$C$2:$C$1000),"")</f>
        <v>Hybrid</v>
      </c>
      <c r="D10677" s="8" t="str">
        <f>IFERROR(INDEX('nav master'!$C:$C, MATCH(B10677, 'nav master'!$B:$B, 0)), "")</f>
        <v/>
      </c>
      <c r="E10677" s="8" t="s">
        <v>339</v>
      </c>
      <c r="F10677" s="8" t="s">
        <v>5639</v>
      </c>
    </row>
    <row r="10678" spans="1:6" ht="45" x14ac:dyDescent="0.25">
      <c r="A10678" s="8" t="s">
        <v>125</v>
      </c>
      <c r="B10678" s="8" t="s">
        <v>4867</v>
      </c>
      <c r="C10678" s="8" t="str">
        <f>IFERROR(_xlfn.XLOOKUP(TRIM(B10678),Lookup!$B$2:$B$1000,Lookup!$C$2:$C$1000),"")</f>
        <v>Hybrid</v>
      </c>
      <c r="D10678" s="8" t="str">
        <f>IFERROR(INDEX('nav master'!$C:$C, MATCH(B10678, 'nav master'!$B:$B, 0)), "")</f>
        <v/>
      </c>
      <c r="E10678" s="8" t="s">
        <v>341</v>
      </c>
      <c r="F10678" s="8" t="s">
        <v>5640</v>
      </c>
    </row>
    <row r="10679" spans="1:6" ht="45" x14ac:dyDescent="0.25">
      <c r="A10679" s="8" t="s">
        <v>125</v>
      </c>
      <c r="B10679" s="8" t="s">
        <v>4867</v>
      </c>
      <c r="C10679" s="8" t="str">
        <f>IFERROR(_xlfn.XLOOKUP(TRIM(B10679),Lookup!$B$2:$B$1000,Lookup!$C$2:$C$1000),"")</f>
        <v>Hybrid</v>
      </c>
      <c r="D10679" s="8" t="str">
        <f>IFERROR(INDEX('nav master'!$C:$C, MATCH(B10679, 'nav master'!$B:$B, 0)), "")</f>
        <v/>
      </c>
      <c r="E10679" s="8" t="s">
        <v>343</v>
      </c>
      <c r="F10679" s="8" t="s">
        <v>5641</v>
      </c>
    </row>
    <row r="10680" spans="1:6" ht="45" x14ac:dyDescent="0.25">
      <c r="A10680" s="8" t="s">
        <v>125</v>
      </c>
      <c r="B10680" s="8" t="s">
        <v>4867</v>
      </c>
      <c r="C10680" s="8" t="str">
        <f>IFERROR(_xlfn.XLOOKUP(TRIM(B10680),Lookup!$B$2:$B$1000,Lookup!$C$2:$C$1000),"")</f>
        <v>Hybrid</v>
      </c>
      <c r="D10680" s="8" t="str">
        <f>IFERROR(INDEX('nav master'!$C:$C, MATCH(B10680, 'nav master'!$B:$B, 0)), "")</f>
        <v/>
      </c>
      <c r="E10680" s="8" t="s">
        <v>345</v>
      </c>
      <c r="F10680" s="8" t="s">
        <v>5642</v>
      </c>
    </row>
    <row r="10681" spans="1:6" ht="45" x14ac:dyDescent="0.25">
      <c r="A10681" s="8" t="s">
        <v>125</v>
      </c>
      <c r="B10681" s="8" t="s">
        <v>4867</v>
      </c>
      <c r="C10681" s="8" t="str">
        <f>IFERROR(_xlfn.XLOOKUP(TRIM(B10681),Lookup!$B$2:$B$1000,Lookup!$C$2:$C$1000),"")</f>
        <v>Hybrid</v>
      </c>
      <c r="D10681" s="8" t="str">
        <f>IFERROR(INDEX('nav master'!$C:$C, MATCH(B10681, 'nav master'!$B:$B, 0)), "")</f>
        <v/>
      </c>
      <c r="E10681" s="8" t="s">
        <v>347</v>
      </c>
      <c r="F10681" s="8" t="s">
        <v>5643</v>
      </c>
    </row>
    <row r="10682" spans="1:6" ht="45" x14ac:dyDescent="0.25">
      <c r="A10682" s="8" t="s">
        <v>125</v>
      </c>
      <c r="B10682" s="8" t="s">
        <v>4867</v>
      </c>
      <c r="C10682" s="8" t="str">
        <f>IFERROR(_xlfn.XLOOKUP(TRIM(B10682),Lookup!$B$2:$B$1000,Lookup!$C$2:$C$1000),"")</f>
        <v>Hybrid</v>
      </c>
      <c r="D10682" s="8" t="str">
        <f>IFERROR(INDEX('nav master'!$C:$C, MATCH(B10682, 'nav master'!$B:$B, 0)), "")</f>
        <v/>
      </c>
      <c r="E10682" s="8" t="s">
        <v>349</v>
      </c>
      <c r="F10682" s="8" t="s">
        <v>5644</v>
      </c>
    </row>
    <row r="10683" spans="1:6" ht="45" x14ac:dyDescent="0.25">
      <c r="A10683" s="8" t="s">
        <v>125</v>
      </c>
      <c r="B10683" s="8" t="s">
        <v>4867</v>
      </c>
      <c r="C10683" s="8" t="str">
        <f>IFERROR(_xlfn.XLOOKUP(TRIM(B10683),Lookup!$B$2:$B$1000,Lookup!$C$2:$C$1000),"")</f>
        <v>Hybrid</v>
      </c>
      <c r="D10683" s="8" t="str">
        <f>IFERROR(INDEX('nav master'!$C:$C, MATCH(B10683, 'nav master'!$B:$B, 0)), "")</f>
        <v/>
      </c>
      <c r="E10683" s="8" t="s">
        <v>351</v>
      </c>
      <c r="F10683" s="8" t="s">
        <v>5645</v>
      </c>
    </row>
    <row r="10684" spans="1:6" ht="45" x14ac:dyDescent="0.25">
      <c r="A10684" s="8" t="s">
        <v>125</v>
      </c>
      <c r="B10684" s="8" t="s">
        <v>4867</v>
      </c>
      <c r="C10684" s="8" t="str">
        <f>IFERROR(_xlfn.XLOOKUP(TRIM(B10684),Lookup!$B$2:$B$1000,Lookup!$C$2:$C$1000),"")</f>
        <v>Hybrid</v>
      </c>
      <c r="D10684" s="8" t="str">
        <f>IFERROR(INDEX('nav master'!$C:$C, MATCH(B10684, 'nav master'!$B:$B, 0)), "")</f>
        <v/>
      </c>
      <c r="E10684" s="8" t="s">
        <v>353</v>
      </c>
      <c r="F10684" s="8" t="s">
        <v>5646</v>
      </c>
    </row>
    <row r="10685" spans="1:6" ht="45" x14ac:dyDescent="0.25">
      <c r="A10685" s="8" t="s">
        <v>125</v>
      </c>
      <c r="B10685" s="8" t="s">
        <v>4867</v>
      </c>
      <c r="C10685" s="8" t="str">
        <f>IFERROR(_xlfn.XLOOKUP(TRIM(B10685),Lookup!$B$2:$B$1000,Lookup!$C$2:$C$1000),"")</f>
        <v>Hybrid</v>
      </c>
      <c r="D10685" s="8" t="str">
        <f>IFERROR(INDEX('nav master'!$C:$C, MATCH(B10685, 'nav master'!$B:$B, 0)), "")</f>
        <v/>
      </c>
      <c r="E10685" s="8" t="s">
        <v>355</v>
      </c>
      <c r="F10685" s="8" t="s">
        <v>5647</v>
      </c>
    </row>
    <row r="10686" spans="1:6" ht="45" x14ac:dyDescent="0.25">
      <c r="A10686" s="8" t="s">
        <v>125</v>
      </c>
      <c r="B10686" s="8" t="s">
        <v>4867</v>
      </c>
      <c r="C10686" s="8" t="str">
        <f>IFERROR(_xlfn.XLOOKUP(TRIM(B10686),Lookup!$B$2:$B$1000,Lookup!$C$2:$C$1000),"")</f>
        <v>Hybrid</v>
      </c>
      <c r="D10686" s="8" t="str">
        <f>IFERROR(INDEX('nav master'!$C:$C, MATCH(B10686, 'nav master'!$B:$B, 0)), "")</f>
        <v/>
      </c>
      <c r="E10686" s="8" t="s">
        <v>357</v>
      </c>
      <c r="F10686" s="8" t="s">
        <v>5648</v>
      </c>
    </row>
    <row r="10687" spans="1:6" ht="45" x14ac:dyDescent="0.25">
      <c r="A10687" s="8" t="s">
        <v>125</v>
      </c>
      <c r="B10687" s="8" t="s">
        <v>4867</v>
      </c>
      <c r="C10687" s="8" t="str">
        <f>IFERROR(_xlfn.XLOOKUP(TRIM(B10687),Lookup!$B$2:$B$1000,Lookup!$C$2:$C$1000),"")</f>
        <v>Hybrid</v>
      </c>
      <c r="D10687" s="8" t="str">
        <f>IFERROR(INDEX('nav master'!$C:$C, MATCH(B10687, 'nav master'!$B:$B, 0)), "")</f>
        <v/>
      </c>
      <c r="E10687" s="8" t="s">
        <v>359</v>
      </c>
      <c r="F10687" s="8" t="s">
        <v>5649</v>
      </c>
    </row>
    <row r="10688" spans="1:6" ht="45" x14ac:dyDescent="0.25">
      <c r="A10688" s="8" t="s">
        <v>125</v>
      </c>
      <c r="B10688" s="8" t="s">
        <v>4867</v>
      </c>
      <c r="C10688" s="8" t="str">
        <f>IFERROR(_xlfn.XLOOKUP(TRIM(B10688),Lookup!$B$2:$B$1000,Lookup!$C$2:$C$1000),"")</f>
        <v>Hybrid</v>
      </c>
      <c r="D10688" s="8" t="str">
        <f>IFERROR(INDEX('nav master'!$C:$C, MATCH(B10688, 'nav master'!$B:$B, 0)), "")</f>
        <v/>
      </c>
      <c r="E10688" s="8" t="s">
        <v>361</v>
      </c>
      <c r="F10688" s="8" t="s">
        <v>5650</v>
      </c>
    </row>
    <row r="10689" spans="1:6" ht="45" x14ac:dyDescent="0.25">
      <c r="A10689" s="8" t="s">
        <v>125</v>
      </c>
      <c r="B10689" s="8" t="s">
        <v>4867</v>
      </c>
      <c r="C10689" s="8" t="str">
        <f>IFERROR(_xlfn.XLOOKUP(TRIM(B10689),Lookup!$B$2:$B$1000,Lookup!$C$2:$C$1000),"")</f>
        <v>Hybrid</v>
      </c>
      <c r="D10689" s="8" t="str">
        <f>IFERROR(INDEX('nav master'!$C:$C, MATCH(B10689, 'nav master'!$B:$B, 0)), "")</f>
        <v/>
      </c>
      <c r="E10689" s="8" t="s">
        <v>363</v>
      </c>
      <c r="F10689" s="8" t="s">
        <v>5651</v>
      </c>
    </row>
    <row r="10690" spans="1:6" ht="45" x14ac:dyDescent="0.25">
      <c r="A10690" s="8" t="s">
        <v>125</v>
      </c>
      <c r="B10690" s="8" t="s">
        <v>4867</v>
      </c>
      <c r="C10690" s="8" t="str">
        <f>IFERROR(_xlfn.XLOOKUP(TRIM(B10690),Lookup!$B$2:$B$1000,Lookup!$C$2:$C$1000),"")</f>
        <v>Hybrid</v>
      </c>
      <c r="D10690" s="8" t="str">
        <f>IFERROR(INDEX('nav master'!$C:$C, MATCH(B10690, 'nav master'!$B:$B, 0)), "")</f>
        <v/>
      </c>
      <c r="E10690" s="8" t="s">
        <v>365</v>
      </c>
      <c r="F10690" s="8" t="s">
        <v>5652</v>
      </c>
    </row>
    <row r="10691" spans="1:6" ht="45" x14ac:dyDescent="0.25">
      <c r="A10691" s="8" t="s">
        <v>125</v>
      </c>
      <c r="B10691" s="8" t="s">
        <v>4867</v>
      </c>
      <c r="C10691" s="8" t="str">
        <f>IFERROR(_xlfn.XLOOKUP(TRIM(B10691),Lookup!$B$2:$B$1000,Lookup!$C$2:$C$1000),"")</f>
        <v>Hybrid</v>
      </c>
      <c r="D10691" s="8" t="str">
        <f>IFERROR(INDEX('nav master'!$C:$C, MATCH(B10691, 'nav master'!$B:$B, 0)), "")</f>
        <v/>
      </c>
      <c r="E10691" s="8" t="s">
        <v>367</v>
      </c>
      <c r="F10691" s="8" t="s">
        <v>5653</v>
      </c>
    </row>
    <row r="10692" spans="1:6" ht="45" x14ac:dyDescent="0.25">
      <c r="A10692" s="8" t="s">
        <v>125</v>
      </c>
      <c r="B10692" s="8" t="s">
        <v>4867</v>
      </c>
      <c r="C10692" s="8" t="str">
        <f>IFERROR(_xlfn.XLOOKUP(TRIM(B10692),Lookup!$B$2:$B$1000,Lookup!$C$2:$C$1000),"")</f>
        <v>Hybrid</v>
      </c>
      <c r="D10692" s="8" t="str">
        <f>IFERROR(INDEX('nav master'!$C:$C, MATCH(B10692, 'nav master'!$B:$B, 0)), "")</f>
        <v/>
      </c>
      <c r="E10692" s="8" t="s">
        <v>369</v>
      </c>
      <c r="F10692" s="8" t="s">
        <v>3774</v>
      </c>
    </row>
    <row r="10693" spans="1:6" ht="45" x14ac:dyDescent="0.25">
      <c r="A10693" s="8" t="s">
        <v>125</v>
      </c>
      <c r="B10693" s="8" t="s">
        <v>4867</v>
      </c>
      <c r="C10693" s="8" t="str">
        <f>IFERROR(_xlfn.XLOOKUP(TRIM(B10693),Lookup!$B$2:$B$1000,Lookup!$C$2:$C$1000),"")</f>
        <v>Hybrid</v>
      </c>
      <c r="D10693" s="8" t="str">
        <f>IFERROR(INDEX('nav master'!$C:$C, MATCH(B10693, 'nav master'!$B:$B, 0)), "")</f>
        <v/>
      </c>
      <c r="E10693" s="8" t="s">
        <v>371</v>
      </c>
      <c r="F10693" s="8" t="s">
        <v>5571</v>
      </c>
    </row>
    <row r="10694" spans="1:6" ht="45" x14ac:dyDescent="0.25">
      <c r="A10694" s="8" t="s">
        <v>125</v>
      </c>
      <c r="B10694" s="8" t="s">
        <v>4867</v>
      </c>
      <c r="C10694" s="8" t="str">
        <f>IFERROR(_xlfn.XLOOKUP(TRIM(B10694),Lookup!$B$2:$B$1000,Lookup!$C$2:$C$1000),"")</f>
        <v>Hybrid</v>
      </c>
      <c r="D10694" s="8" t="str">
        <f>IFERROR(INDEX('nav master'!$C:$C, MATCH(B10694, 'nav master'!$B:$B, 0)), "")</f>
        <v/>
      </c>
      <c r="E10694" s="8" t="s">
        <v>373</v>
      </c>
      <c r="F10694" s="8" t="s">
        <v>5654</v>
      </c>
    </row>
    <row r="10695" spans="1:6" ht="45" x14ac:dyDescent="0.25">
      <c r="A10695" s="8" t="s">
        <v>125</v>
      </c>
      <c r="B10695" s="8" t="s">
        <v>4867</v>
      </c>
      <c r="C10695" s="8" t="str">
        <f>IFERROR(_xlfn.XLOOKUP(TRIM(B10695),Lookup!$B$2:$B$1000,Lookup!$C$2:$C$1000),"")</f>
        <v>Hybrid</v>
      </c>
      <c r="D10695" s="8" t="str">
        <f>IFERROR(INDEX('nav master'!$C:$C, MATCH(B10695, 'nav master'!$B:$B, 0)), "")</f>
        <v/>
      </c>
      <c r="E10695" s="8" t="s">
        <v>375</v>
      </c>
      <c r="F10695" s="8" t="s">
        <v>5655</v>
      </c>
    </row>
    <row r="10696" spans="1:6" ht="45" x14ac:dyDescent="0.25">
      <c r="A10696" s="8" t="s">
        <v>125</v>
      </c>
      <c r="B10696" s="8" t="s">
        <v>4867</v>
      </c>
      <c r="C10696" s="8" t="str">
        <f>IFERROR(_xlfn.XLOOKUP(TRIM(B10696),Lookup!$B$2:$B$1000,Lookup!$C$2:$C$1000),"")</f>
        <v>Hybrid</v>
      </c>
      <c r="D10696" s="8" t="str">
        <f>IFERROR(INDEX('nav master'!$C:$C, MATCH(B10696, 'nav master'!$B:$B, 0)), "")</f>
        <v/>
      </c>
      <c r="E10696" s="8" t="s">
        <v>377</v>
      </c>
      <c r="F10696" s="8" t="s">
        <v>5656</v>
      </c>
    </row>
    <row r="10697" spans="1:6" ht="45" x14ac:dyDescent="0.25">
      <c r="A10697" s="8" t="s">
        <v>125</v>
      </c>
      <c r="B10697" s="8" t="s">
        <v>4867</v>
      </c>
      <c r="C10697" s="8" t="str">
        <f>IFERROR(_xlfn.XLOOKUP(TRIM(B10697),Lookup!$B$2:$B$1000,Lookup!$C$2:$C$1000),"")</f>
        <v>Hybrid</v>
      </c>
      <c r="D10697" s="8" t="str">
        <f>IFERROR(INDEX('nav master'!$C:$C, MATCH(B10697, 'nav master'!$B:$B, 0)), "")</f>
        <v/>
      </c>
      <c r="E10697" s="8" t="s">
        <v>379</v>
      </c>
      <c r="F10697" s="8" t="s">
        <v>5657</v>
      </c>
    </row>
    <row r="10698" spans="1:6" ht="45" x14ac:dyDescent="0.25">
      <c r="A10698" s="8" t="s">
        <v>125</v>
      </c>
      <c r="B10698" s="8" t="s">
        <v>4867</v>
      </c>
      <c r="C10698" s="8" t="str">
        <f>IFERROR(_xlfn.XLOOKUP(TRIM(B10698),Lookup!$B$2:$B$1000,Lookup!$C$2:$C$1000),"")</f>
        <v>Hybrid</v>
      </c>
      <c r="D10698" s="8" t="str">
        <f>IFERROR(INDEX('nav master'!$C:$C, MATCH(B10698, 'nav master'!$B:$B, 0)), "")</f>
        <v/>
      </c>
      <c r="E10698" s="8" t="s">
        <v>381</v>
      </c>
      <c r="F10698" s="8" t="s">
        <v>5658</v>
      </c>
    </row>
    <row r="10699" spans="1:6" ht="45" x14ac:dyDescent="0.25">
      <c r="A10699" s="8" t="s">
        <v>125</v>
      </c>
      <c r="B10699" s="8" t="s">
        <v>4867</v>
      </c>
      <c r="C10699" s="8" t="str">
        <f>IFERROR(_xlfn.XLOOKUP(TRIM(B10699),Lookup!$B$2:$B$1000,Lookup!$C$2:$C$1000),"")</f>
        <v>Hybrid</v>
      </c>
      <c r="D10699" s="8" t="str">
        <f>IFERROR(INDEX('nav master'!$C:$C, MATCH(B10699, 'nav master'!$B:$B, 0)), "")</f>
        <v/>
      </c>
      <c r="E10699" s="8" t="s">
        <v>383</v>
      </c>
      <c r="F10699" s="8" t="s">
        <v>5659</v>
      </c>
    </row>
    <row r="10700" spans="1:6" ht="45" x14ac:dyDescent="0.25">
      <c r="A10700" s="8" t="s">
        <v>125</v>
      </c>
      <c r="B10700" s="8" t="s">
        <v>4867</v>
      </c>
      <c r="C10700" s="8" t="str">
        <f>IFERROR(_xlfn.XLOOKUP(TRIM(B10700),Lookup!$B$2:$B$1000,Lookup!$C$2:$C$1000),"")</f>
        <v>Hybrid</v>
      </c>
      <c r="D10700" s="8" t="str">
        <f>IFERROR(INDEX('nav master'!$C:$C, MATCH(B10700, 'nav master'!$B:$B, 0)), "")</f>
        <v/>
      </c>
      <c r="E10700" s="8" t="s">
        <v>385</v>
      </c>
      <c r="F10700" s="8" t="s">
        <v>5660</v>
      </c>
    </row>
    <row r="10701" spans="1:6" ht="45" x14ac:dyDescent="0.25">
      <c r="A10701" s="8" t="s">
        <v>125</v>
      </c>
      <c r="B10701" s="8" t="s">
        <v>4867</v>
      </c>
      <c r="C10701" s="8" t="str">
        <f>IFERROR(_xlfn.XLOOKUP(TRIM(B10701),Lookup!$B$2:$B$1000,Lookup!$C$2:$C$1000),"")</f>
        <v>Hybrid</v>
      </c>
      <c r="D10701" s="8" t="str">
        <f>IFERROR(INDEX('nav master'!$C:$C, MATCH(B10701, 'nav master'!$B:$B, 0)), "")</f>
        <v/>
      </c>
      <c r="E10701" s="8" t="s">
        <v>387</v>
      </c>
      <c r="F10701" s="8" t="s">
        <v>5661</v>
      </c>
    </row>
    <row r="10702" spans="1:6" ht="45" x14ac:dyDescent="0.25">
      <c r="A10702" s="8" t="s">
        <v>125</v>
      </c>
      <c r="B10702" s="8" t="s">
        <v>4867</v>
      </c>
      <c r="C10702" s="8" t="str">
        <f>IFERROR(_xlfn.XLOOKUP(TRIM(B10702),Lookup!$B$2:$B$1000,Lookup!$C$2:$C$1000),"")</f>
        <v>Hybrid</v>
      </c>
      <c r="D10702" s="8" t="str">
        <f>IFERROR(INDEX('nav master'!$C:$C, MATCH(B10702, 'nav master'!$B:$B, 0)), "")</f>
        <v/>
      </c>
      <c r="E10702" s="8" t="s">
        <v>389</v>
      </c>
      <c r="F10702" s="8" t="s">
        <v>5662</v>
      </c>
    </row>
    <row r="10703" spans="1:6" ht="45" x14ac:dyDescent="0.25">
      <c r="A10703" s="8" t="s">
        <v>125</v>
      </c>
      <c r="B10703" s="8" t="s">
        <v>4867</v>
      </c>
      <c r="C10703" s="8" t="str">
        <f>IFERROR(_xlfn.XLOOKUP(TRIM(B10703),Lookup!$B$2:$B$1000,Lookup!$C$2:$C$1000),"")</f>
        <v>Hybrid</v>
      </c>
      <c r="D10703" s="8" t="str">
        <f>IFERROR(INDEX('nav master'!$C:$C, MATCH(B10703, 'nav master'!$B:$B, 0)), "")</f>
        <v/>
      </c>
      <c r="E10703" s="8" t="s">
        <v>391</v>
      </c>
      <c r="F10703" s="8" t="s">
        <v>5663</v>
      </c>
    </row>
    <row r="10704" spans="1:6" ht="45" x14ac:dyDescent="0.25">
      <c r="A10704" s="8" t="s">
        <v>125</v>
      </c>
      <c r="B10704" s="8" t="s">
        <v>4867</v>
      </c>
      <c r="C10704" s="8" t="str">
        <f>IFERROR(_xlfn.XLOOKUP(TRIM(B10704),Lookup!$B$2:$B$1000,Lookup!$C$2:$C$1000),"")</f>
        <v>Hybrid</v>
      </c>
      <c r="D10704" s="8" t="str">
        <f>IFERROR(INDEX('nav master'!$C:$C, MATCH(B10704, 'nav master'!$B:$B, 0)), "")</f>
        <v/>
      </c>
      <c r="E10704" s="8" t="s">
        <v>393</v>
      </c>
      <c r="F10704" s="8" t="s">
        <v>5664</v>
      </c>
    </row>
    <row r="10705" spans="1:6" ht="45" x14ac:dyDescent="0.25">
      <c r="A10705" s="8" t="s">
        <v>125</v>
      </c>
      <c r="B10705" s="8" t="s">
        <v>4867</v>
      </c>
      <c r="C10705" s="8" t="str">
        <f>IFERROR(_xlfn.XLOOKUP(TRIM(B10705),Lookup!$B$2:$B$1000,Lookup!$C$2:$C$1000),"")</f>
        <v>Hybrid</v>
      </c>
      <c r="D10705" s="8" t="str">
        <f>IFERROR(INDEX('nav master'!$C:$C, MATCH(B10705, 'nav master'!$B:$B, 0)), "")</f>
        <v/>
      </c>
      <c r="E10705" s="8" t="s">
        <v>395</v>
      </c>
      <c r="F10705" s="8" t="s">
        <v>5633</v>
      </c>
    </row>
    <row r="10706" spans="1:6" ht="45" x14ac:dyDescent="0.25">
      <c r="A10706" s="8" t="s">
        <v>125</v>
      </c>
      <c r="B10706" s="8" t="s">
        <v>4867</v>
      </c>
      <c r="C10706" s="8" t="str">
        <f>IFERROR(_xlfn.XLOOKUP(TRIM(B10706),Lookup!$B$2:$B$1000,Lookup!$C$2:$C$1000),"")</f>
        <v>Hybrid</v>
      </c>
      <c r="D10706" s="8" t="str">
        <f>IFERROR(INDEX('nav master'!$C:$C, MATCH(B10706, 'nav master'!$B:$B, 0)), "")</f>
        <v/>
      </c>
      <c r="E10706" s="8" t="s">
        <v>397</v>
      </c>
      <c r="F10706" s="8" t="s">
        <v>5665</v>
      </c>
    </row>
    <row r="10707" spans="1:6" ht="45" x14ac:dyDescent="0.25">
      <c r="A10707" s="8" t="s">
        <v>125</v>
      </c>
      <c r="B10707" s="8" t="s">
        <v>4867</v>
      </c>
      <c r="C10707" s="8" t="str">
        <f>IFERROR(_xlfn.XLOOKUP(TRIM(B10707),Lookup!$B$2:$B$1000,Lookup!$C$2:$C$1000),"")</f>
        <v>Hybrid</v>
      </c>
      <c r="D10707" s="8" t="str">
        <f>IFERROR(INDEX('nav master'!$C:$C, MATCH(B10707, 'nav master'!$B:$B, 0)), "")</f>
        <v/>
      </c>
      <c r="E10707" s="8" t="s">
        <v>399</v>
      </c>
      <c r="F10707" s="8" t="s">
        <v>5666</v>
      </c>
    </row>
    <row r="10708" spans="1:6" ht="45" x14ac:dyDescent="0.25">
      <c r="A10708" s="8" t="s">
        <v>125</v>
      </c>
      <c r="B10708" s="8" t="s">
        <v>4867</v>
      </c>
      <c r="C10708" s="8" t="str">
        <f>IFERROR(_xlfn.XLOOKUP(TRIM(B10708),Lookup!$B$2:$B$1000,Lookup!$C$2:$C$1000),"")</f>
        <v>Hybrid</v>
      </c>
      <c r="D10708" s="8" t="str">
        <f>IFERROR(INDEX('nav master'!$C:$C, MATCH(B10708, 'nav master'!$B:$B, 0)), "")</f>
        <v/>
      </c>
      <c r="E10708" s="8" t="s">
        <v>401</v>
      </c>
      <c r="F10708" s="8" t="s">
        <v>5667</v>
      </c>
    </row>
    <row r="10709" spans="1:6" ht="45" x14ac:dyDescent="0.25">
      <c r="A10709" s="8" t="s">
        <v>125</v>
      </c>
      <c r="B10709" s="8" t="s">
        <v>4867</v>
      </c>
      <c r="C10709" s="8" t="str">
        <f>IFERROR(_xlfn.XLOOKUP(TRIM(B10709),Lookup!$B$2:$B$1000,Lookup!$C$2:$C$1000),"")</f>
        <v>Hybrid</v>
      </c>
      <c r="D10709" s="8" t="str">
        <f>IFERROR(INDEX('nav master'!$C:$C, MATCH(B10709, 'nav master'!$B:$B, 0)), "")</f>
        <v/>
      </c>
      <c r="E10709" s="8" t="s">
        <v>403</v>
      </c>
      <c r="F10709" s="8" t="s">
        <v>5668</v>
      </c>
    </row>
    <row r="10710" spans="1:6" ht="45" x14ac:dyDescent="0.25">
      <c r="A10710" s="8" t="s">
        <v>125</v>
      </c>
      <c r="B10710" s="8" t="s">
        <v>4867</v>
      </c>
      <c r="C10710" s="8" t="str">
        <f>IFERROR(_xlfn.XLOOKUP(TRIM(B10710),Lookup!$B$2:$B$1000,Lookup!$C$2:$C$1000),"")</f>
        <v>Hybrid</v>
      </c>
      <c r="D10710" s="8" t="str">
        <f>IFERROR(INDEX('nav master'!$C:$C, MATCH(B10710, 'nav master'!$B:$B, 0)), "")</f>
        <v/>
      </c>
      <c r="E10710" s="8" t="s">
        <v>405</v>
      </c>
      <c r="F10710" s="8" t="s">
        <v>5669</v>
      </c>
    </row>
    <row r="10711" spans="1:6" ht="45" x14ac:dyDescent="0.25">
      <c r="A10711" s="8" t="s">
        <v>125</v>
      </c>
      <c r="B10711" s="8" t="s">
        <v>4867</v>
      </c>
      <c r="C10711" s="8" t="str">
        <f>IFERROR(_xlfn.XLOOKUP(TRIM(B10711),Lookup!$B$2:$B$1000,Lookup!$C$2:$C$1000),"")</f>
        <v>Hybrid</v>
      </c>
      <c r="D10711" s="8" t="str">
        <f>IFERROR(INDEX('nav master'!$C:$C, MATCH(B10711, 'nav master'!$B:$B, 0)), "")</f>
        <v/>
      </c>
      <c r="E10711" s="8" t="s">
        <v>407</v>
      </c>
      <c r="F10711" s="8" t="s">
        <v>5670</v>
      </c>
    </row>
    <row r="10712" spans="1:6" ht="45" x14ac:dyDescent="0.25">
      <c r="A10712" s="8" t="s">
        <v>125</v>
      </c>
      <c r="B10712" s="8" t="s">
        <v>4867</v>
      </c>
      <c r="C10712" s="8" t="str">
        <f>IFERROR(_xlfn.XLOOKUP(TRIM(B10712),Lookup!$B$2:$B$1000,Lookup!$C$2:$C$1000),"")</f>
        <v>Hybrid</v>
      </c>
      <c r="D10712" s="8" t="str">
        <f>IFERROR(INDEX('nav master'!$C:$C, MATCH(B10712, 'nav master'!$B:$B, 0)), "")</f>
        <v/>
      </c>
      <c r="E10712" s="8" t="s">
        <v>409</v>
      </c>
      <c r="F10712" s="8" t="s">
        <v>5671</v>
      </c>
    </row>
    <row r="10713" spans="1:6" ht="45" x14ac:dyDescent="0.25">
      <c r="A10713" s="8" t="s">
        <v>125</v>
      </c>
      <c r="B10713" s="8" t="s">
        <v>4867</v>
      </c>
      <c r="C10713" s="8" t="str">
        <f>IFERROR(_xlfn.XLOOKUP(TRIM(B10713),Lookup!$B$2:$B$1000,Lookup!$C$2:$C$1000),"")</f>
        <v>Hybrid</v>
      </c>
      <c r="D10713" s="8" t="str">
        <f>IFERROR(INDEX('nav master'!$C:$C, MATCH(B10713, 'nav master'!$B:$B, 0)), "")</f>
        <v/>
      </c>
      <c r="E10713" s="8" t="s">
        <v>411</v>
      </c>
      <c r="F10713" s="8" t="s">
        <v>5669</v>
      </c>
    </row>
    <row r="10714" spans="1:6" ht="45" x14ac:dyDescent="0.25">
      <c r="A10714" s="8" t="s">
        <v>125</v>
      </c>
      <c r="B10714" s="8" t="s">
        <v>4867</v>
      </c>
      <c r="C10714" s="8" t="str">
        <f>IFERROR(_xlfn.XLOOKUP(TRIM(B10714),Lookup!$B$2:$B$1000,Lookup!$C$2:$C$1000),"")</f>
        <v>Hybrid</v>
      </c>
      <c r="D10714" s="8" t="str">
        <f>IFERROR(INDEX('nav master'!$C:$C, MATCH(B10714, 'nav master'!$B:$B, 0)), "")</f>
        <v/>
      </c>
      <c r="E10714" s="8" t="s">
        <v>413</v>
      </c>
      <c r="F10714" s="8" t="s">
        <v>5672</v>
      </c>
    </row>
    <row r="10715" spans="1:6" ht="45" x14ac:dyDescent="0.25">
      <c r="A10715" s="8" t="s">
        <v>125</v>
      </c>
      <c r="B10715" s="8" t="s">
        <v>4867</v>
      </c>
      <c r="C10715" s="8" t="str">
        <f>IFERROR(_xlfn.XLOOKUP(TRIM(B10715),Lookup!$B$2:$B$1000,Lookup!$C$2:$C$1000),"")</f>
        <v>Hybrid</v>
      </c>
      <c r="D10715" s="8" t="str">
        <f>IFERROR(INDEX('nav master'!$C:$C, MATCH(B10715, 'nav master'!$B:$B, 0)), "")</f>
        <v/>
      </c>
      <c r="E10715" s="8" t="s">
        <v>415</v>
      </c>
      <c r="F10715" s="8" t="s">
        <v>5673</v>
      </c>
    </row>
    <row r="10716" spans="1:6" ht="45" x14ac:dyDescent="0.25">
      <c r="A10716" s="8" t="s">
        <v>125</v>
      </c>
      <c r="B10716" s="8" t="s">
        <v>4867</v>
      </c>
      <c r="C10716" s="8" t="str">
        <f>IFERROR(_xlfn.XLOOKUP(TRIM(B10716),Lookup!$B$2:$B$1000,Lookup!$C$2:$C$1000),"")</f>
        <v>Hybrid</v>
      </c>
      <c r="D10716" s="8" t="str">
        <f>IFERROR(INDEX('nav master'!$C:$C, MATCH(B10716, 'nav master'!$B:$B, 0)), "")</f>
        <v/>
      </c>
      <c r="E10716" s="8" t="s">
        <v>417</v>
      </c>
      <c r="F10716" s="8" t="s">
        <v>5674</v>
      </c>
    </row>
    <row r="10717" spans="1:6" ht="45" x14ac:dyDescent="0.25">
      <c r="A10717" s="8" t="s">
        <v>125</v>
      </c>
      <c r="B10717" s="8" t="s">
        <v>4867</v>
      </c>
      <c r="C10717" s="8" t="str">
        <f>IFERROR(_xlfn.XLOOKUP(TRIM(B10717),Lookup!$B$2:$B$1000,Lookup!$C$2:$C$1000),"")</f>
        <v>Hybrid</v>
      </c>
      <c r="D10717" s="8" t="str">
        <f>IFERROR(INDEX('nav master'!$C:$C, MATCH(B10717, 'nav master'!$B:$B, 0)), "")</f>
        <v/>
      </c>
      <c r="E10717" s="8" t="s">
        <v>419</v>
      </c>
      <c r="F10717" s="8" t="s">
        <v>5675</v>
      </c>
    </row>
    <row r="10718" spans="1:6" ht="45" x14ac:dyDescent="0.25">
      <c r="A10718" s="8" t="s">
        <v>125</v>
      </c>
      <c r="B10718" s="8" t="s">
        <v>4867</v>
      </c>
      <c r="C10718" s="8" t="str">
        <f>IFERROR(_xlfn.XLOOKUP(TRIM(B10718),Lookup!$B$2:$B$1000,Lookup!$C$2:$C$1000),"")</f>
        <v>Hybrid</v>
      </c>
      <c r="D10718" s="8" t="str">
        <f>IFERROR(INDEX('nav master'!$C:$C, MATCH(B10718, 'nav master'!$B:$B, 0)), "")</f>
        <v/>
      </c>
      <c r="E10718" s="8" t="s">
        <v>421</v>
      </c>
      <c r="F10718" s="8" t="s">
        <v>5676</v>
      </c>
    </row>
    <row r="10719" spans="1:6" ht="45" x14ac:dyDescent="0.25">
      <c r="A10719" s="8" t="s">
        <v>125</v>
      </c>
      <c r="B10719" s="8" t="s">
        <v>4867</v>
      </c>
      <c r="C10719" s="8" t="str">
        <f>IFERROR(_xlfn.XLOOKUP(TRIM(B10719),Lookup!$B$2:$B$1000,Lookup!$C$2:$C$1000),"")</f>
        <v>Hybrid</v>
      </c>
      <c r="D10719" s="8" t="str">
        <f>IFERROR(INDEX('nav master'!$C:$C, MATCH(B10719, 'nav master'!$B:$B, 0)), "")</f>
        <v/>
      </c>
      <c r="E10719" s="8" t="s">
        <v>423</v>
      </c>
      <c r="F10719" s="8" t="s">
        <v>5677</v>
      </c>
    </row>
    <row r="10720" spans="1:6" ht="45" x14ac:dyDescent="0.25">
      <c r="A10720" s="8" t="s">
        <v>125</v>
      </c>
      <c r="B10720" s="8" t="s">
        <v>4867</v>
      </c>
      <c r="C10720" s="8" t="str">
        <f>IFERROR(_xlfn.XLOOKUP(TRIM(B10720),Lookup!$B$2:$B$1000,Lookup!$C$2:$C$1000),"")</f>
        <v>Hybrid</v>
      </c>
      <c r="D10720" s="8" t="str">
        <f>IFERROR(INDEX('nav master'!$C:$C, MATCH(B10720, 'nav master'!$B:$B, 0)), "")</f>
        <v/>
      </c>
      <c r="E10720" s="8" t="s">
        <v>425</v>
      </c>
      <c r="F10720" s="8" t="s">
        <v>5678</v>
      </c>
    </row>
    <row r="10721" spans="1:6" ht="45" x14ac:dyDescent="0.25">
      <c r="A10721" s="8" t="s">
        <v>125</v>
      </c>
      <c r="B10721" s="8" t="s">
        <v>4867</v>
      </c>
      <c r="C10721" s="8" t="str">
        <f>IFERROR(_xlfn.XLOOKUP(TRIM(B10721),Lookup!$B$2:$B$1000,Lookup!$C$2:$C$1000),"")</f>
        <v>Hybrid</v>
      </c>
      <c r="D10721" s="8" t="str">
        <f>IFERROR(INDEX('nav master'!$C:$C, MATCH(B10721, 'nav master'!$B:$B, 0)), "")</f>
        <v/>
      </c>
      <c r="E10721" s="8" t="s">
        <v>427</v>
      </c>
      <c r="F10721" s="8" t="s">
        <v>5679</v>
      </c>
    </row>
    <row r="10722" spans="1:6" ht="45" x14ac:dyDescent="0.25">
      <c r="A10722" s="8" t="s">
        <v>125</v>
      </c>
      <c r="B10722" s="8" t="s">
        <v>4867</v>
      </c>
      <c r="C10722" s="8" t="str">
        <f>IFERROR(_xlfn.XLOOKUP(TRIM(B10722),Lookup!$B$2:$B$1000,Lookup!$C$2:$C$1000),"")</f>
        <v>Hybrid</v>
      </c>
      <c r="D10722" s="8" t="str">
        <f>IFERROR(INDEX('nav master'!$C:$C, MATCH(B10722, 'nav master'!$B:$B, 0)), "")</f>
        <v/>
      </c>
      <c r="E10722" s="8" t="s">
        <v>429</v>
      </c>
      <c r="F10722" s="8" t="s">
        <v>5680</v>
      </c>
    </row>
    <row r="10723" spans="1:6" ht="45" x14ac:dyDescent="0.25">
      <c r="A10723" s="8" t="s">
        <v>125</v>
      </c>
      <c r="B10723" s="8" t="s">
        <v>4867</v>
      </c>
      <c r="C10723" s="8" t="str">
        <f>IFERROR(_xlfn.XLOOKUP(TRIM(B10723),Lookup!$B$2:$B$1000,Lookup!$C$2:$C$1000),"")</f>
        <v>Hybrid</v>
      </c>
      <c r="D10723" s="8" t="str">
        <f>IFERROR(INDEX('nav master'!$C:$C, MATCH(B10723, 'nav master'!$B:$B, 0)), "")</f>
        <v/>
      </c>
      <c r="E10723" s="8" t="s">
        <v>431</v>
      </c>
      <c r="F10723" s="8" t="s">
        <v>5681</v>
      </c>
    </row>
    <row r="10724" spans="1:6" ht="45" x14ac:dyDescent="0.25">
      <c r="A10724" s="8" t="s">
        <v>125</v>
      </c>
      <c r="B10724" s="8" t="s">
        <v>4867</v>
      </c>
      <c r="C10724" s="8" t="str">
        <f>IFERROR(_xlfn.XLOOKUP(TRIM(B10724),Lookup!$B$2:$B$1000,Lookup!$C$2:$C$1000),"")</f>
        <v>Hybrid</v>
      </c>
      <c r="D10724" s="8" t="str">
        <f>IFERROR(INDEX('nav master'!$C:$C, MATCH(B10724, 'nav master'!$B:$B, 0)), "")</f>
        <v/>
      </c>
      <c r="E10724" s="8" t="s">
        <v>433</v>
      </c>
      <c r="F10724" s="8" t="s">
        <v>5682</v>
      </c>
    </row>
    <row r="10725" spans="1:6" ht="45" x14ac:dyDescent="0.25">
      <c r="A10725" s="8" t="s">
        <v>125</v>
      </c>
      <c r="B10725" s="8" t="s">
        <v>4867</v>
      </c>
      <c r="C10725" s="8" t="str">
        <f>IFERROR(_xlfn.XLOOKUP(TRIM(B10725),Lookup!$B$2:$B$1000,Lookup!$C$2:$C$1000),"")</f>
        <v>Hybrid</v>
      </c>
      <c r="D10725" s="8" t="str">
        <f>IFERROR(INDEX('nav master'!$C:$C, MATCH(B10725, 'nav master'!$B:$B, 0)), "")</f>
        <v/>
      </c>
      <c r="E10725" s="8" t="s">
        <v>435</v>
      </c>
      <c r="F10725" s="8" t="s">
        <v>5683</v>
      </c>
    </row>
    <row r="10726" spans="1:6" ht="45" x14ac:dyDescent="0.25">
      <c r="A10726" s="8" t="s">
        <v>125</v>
      </c>
      <c r="B10726" s="8" t="s">
        <v>4867</v>
      </c>
      <c r="C10726" s="8" t="str">
        <f>IFERROR(_xlfn.XLOOKUP(TRIM(B10726),Lookup!$B$2:$B$1000,Lookup!$C$2:$C$1000),"")</f>
        <v>Hybrid</v>
      </c>
      <c r="D10726" s="8" t="str">
        <f>IFERROR(INDEX('nav master'!$C:$C, MATCH(B10726, 'nav master'!$B:$B, 0)), "")</f>
        <v/>
      </c>
      <c r="E10726" s="8" t="s">
        <v>437</v>
      </c>
      <c r="F10726" s="8" t="s">
        <v>5684</v>
      </c>
    </row>
    <row r="10727" spans="1:6" ht="45" x14ac:dyDescent="0.25">
      <c r="A10727" s="8" t="s">
        <v>125</v>
      </c>
      <c r="B10727" s="8" t="s">
        <v>4867</v>
      </c>
      <c r="C10727" s="8" t="str">
        <f>IFERROR(_xlfn.XLOOKUP(TRIM(B10727),Lookup!$B$2:$B$1000,Lookup!$C$2:$C$1000),"")</f>
        <v>Hybrid</v>
      </c>
      <c r="D10727" s="8" t="str">
        <f>IFERROR(INDEX('nav master'!$C:$C, MATCH(B10727, 'nav master'!$B:$B, 0)), "")</f>
        <v/>
      </c>
      <c r="E10727" s="8" t="s">
        <v>439</v>
      </c>
      <c r="F10727" s="8" t="s">
        <v>5611</v>
      </c>
    </row>
    <row r="10728" spans="1:6" ht="45" x14ac:dyDescent="0.25">
      <c r="A10728" s="8" t="s">
        <v>125</v>
      </c>
      <c r="B10728" s="8" t="s">
        <v>4867</v>
      </c>
      <c r="C10728" s="8" t="str">
        <f>IFERROR(_xlfn.XLOOKUP(TRIM(B10728),Lookup!$B$2:$B$1000,Lookup!$C$2:$C$1000),"")</f>
        <v>Hybrid</v>
      </c>
      <c r="D10728" s="8" t="str">
        <f>IFERROR(INDEX('nav master'!$C:$C, MATCH(B10728, 'nav master'!$B:$B, 0)), "")</f>
        <v/>
      </c>
      <c r="E10728" s="8" t="s">
        <v>441</v>
      </c>
      <c r="F10728" s="8" t="s">
        <v>5685</v>
      </c>
    </row>
    <row r="10729" spans="1:6" ht="45" x14ac:dyDescent="0.25">
      <c r="A10729" s="8" t="s">
        <v>125</v>
      </c>
      <c r="B10729" s="8" t="s">
        <v>4867</v>
      </c>
      <c r="C10729" s="8" t="str">
        <f>IFERROR(_xlfn.XLOOKUP(TRIM(B10729),Lookup!$B$2:$B$1000,Lookup!$C$2:$C$1000),"")</f>
        <v>Hybrid</v>
      </c>
      <c r="D10729" s="8" t="str">
        <f>IFERROR(INDEX('nav master'!$C:$C, MATCH(B10729, 'nav master'!$B:$B, 0)), "")</f>
        <v/>
      </c>
      <c r="E10729" s="8" t="s">
        <v>443</v>
      </c>
      <c r="F10729" s="8" t="s">
        <v>5686</v>
      </c>
    </row>
    <row r="10730" spans="1:6" ht="45" x14ac:dyDescent="0.25">
      <c r="A10730" s="8" t="s">
        <v>125</v>
      </c>
      <c r="B10730" s="8" t="s">
        <v>4867</v>
      </c>
      <c r="C10730" s="8" t="str">
        <f>IFERROR(_xlfn.XLOOKUP(TRIM(B10730),Lookup!$B$2:$B$1000,Lookup!$C$2:$C$1000),"")</f>
        <v>Hybrid</v>
      </c>
      <c r="D10730" s="8" t="str">
        <f>IFERROR(INDEX('nav master'!$C:$C, MATCH(B10730, 'nav master'!$B:$B, 0)), "")</f>
        <v/>
      </c>
      <c r="E10730" s="8" t="s">
        <v>445</v>
      </c>
      <c r="F10730" s="8" t="s">
        <v>5687</v>
      </c>
    </row>
    <row r="10731" spans="1:6" ht="45" x14ac:dyDescent="0.25">
      <c r="A10731" s="8" t="s">
        <v>125</v>
      </c>
      <c r="B10731" s="8" t="s">
        <v>4867</v>
      </c>
      <c r="C10731" s="8" t="str">
        <f>IFERROR(_xlfn.XLOOKUP(TRIM(B10731),Lookup!$B$2:$B$1000,Lookup!$C$2:$C$1000),"")</f>
        <v>Hybrid</v>
      </c>
      <c r="D10731" s="8" t="str">
        <f>IFERROR(INDEX('nav master'!$C:$C, MATCH(B10731, 'nav master'!$B:$B, 0)), "")</f>
        <v/>
      </c>
      <c r="E10731" s="8" t="s">
        <v>446</v>
      </c>
      <c r="F10731" s="8" t="s">
        <v>5688</v>
      </c>
    </row>
    <row r="10732" spans="1:6" ht="45" x14ac:dyDescent="0.25">
      <c r="A10732" s="8" t="s">
        <v>125</v>
      </c>
      <c r="B10732" s="8" t="s">
        <v>4867</v>
      </c>
      <c r="C10732" s="8" t="str">
        <f>IFERROR(_xlfn.XLOOKUP(TRIM(B10732),Lookup!$B$2:$B$1000,Lookup!$C$2:$C$1000),"")</f>
        <v>Hybrid</v>
      </c>
      <c r="D10732" s="8" t="str">
        <f>IFERROR(INDEX('nav master'!$C:$C, MATCH(B10732, 'nav master'!$B:$B, 0)), "")</f>
        <v/>
      </c>
      <c r="E10732" s="8" t="s">
        <v>448</v>
      </c>
      <c r="F10732" s="8" t="s">
        <v>5689</v>
      </c>
    </row>
    <row r="10733" spans="1:6" ht="45" x14ac:dyDescent="0.25">
      <c r="A10733" s="8" t="s">
        <v>125</v>
      </c>
      <c r="B10733" s="8" t="s">
        <v>4867</v>
      </c>
      <c r="C10733" s="8" t="str">
        <f>IFERROR(_xlfn.XLOOKUP(TRIM(B10733),Lookup!$B$2:$B$1000,Lookup!$C$2:$C$1000),"")</f>
        <v>Hybrid</v>
      </c>
      <c r="D10733" s="8" t="str">
        <f>IFERROR(INDEX('nav master'!$C:$C, MATCH(B10733, 'nav master'!$B:$B, 0)), "")</f>
        <v/>
      </c>
      <c r="E10733" s="8" t="s">
        <v>450</v>
      </c>
      <c r="F10733" s="8" t="s">
        <v>5690</v>
      </c>
    </row>
    <row r="10734" spans="1:6" ht="45" x14ac:dyDescent="0.25">
      <c r="A10734" s="8" t="s">
        <v>125</v>
      </c>
      <c r="B10734" s="8" t="s">
        <v>4867</v>
      </c>
      <c r="C10734" s="8" t="str">
        <f>IFERROR(_xlfn.XLOOKUP(TRIM(B10734),Lookup!$B$2:$B$1000,Lookup!$C$2:$C$1000),"")</f>
        <v>Hybrid</v>
      </c>
      <c r="D10734" s="8" t="str">
        <f>IFERROR(INDEX('nav master'!$C:$C, MATCH(B10734, 'nav master'!$B:$B, 0)), "")</f>
        <v/>
      </c>
      <c r="E10734" s="8" t="s">
        <v>452</v>
      </c>
      <c r="F10734" s="8" t="s">
        <v>5691</v>
      </c>
    </row>
    <row r="10735" spans="1:6" ht="45" x14ac:dyDescent="0.25">
      <c r="A10735" s="8" t="s">
        <v>125</v>
      </c>
      <c r="B10735" s="8" t="s">
        <v>4867</v>
      </c>
      <c r="C10735" s="8" t="str">
        <f>IFERROR(_xlfn.XLOOKUP(TRIM(B10735),Lookup!$B$2:$B$1000,Lookup!$C$2:$C$1000),"")</f>
        <v>Hybrid</v>
      </c>
      <c r="D10735" s="8" t="str">
        <f>IFERROR(INDEX('nav master'!$C:$C, MATCH(B10735, 'nav master'!$B:$B, 0)), "")</f>
        <v/>
      </c>
      <c r="E10735" s="8" t="s">
        <v>454</v>
      </c>
      <c r="F10735" s="8" t="s">
        <v>5692</v>
      </c>
    </row>
    <row r="10736" spans="1:6" ht="45" x14ac:dyDescent="0.25">
      <c r="A10736" s="8" t="s">
        <v>125</v>
      </c>
      <c r="B10736" s="8" t="s">
        <v>4867</v>
      </c>
      <c r="C10736" s="8" t="str">
        <f>IFERROR(_xlfn.XLOOKUP(TRIM(B10736),Lookup!$B$2:$B$1000,Lookup!$C$2:$C$1000),"")</f>
        <v>Hybrid</v>
      </c>
      <c r="D10736" s="8" t="str">
        <f>IFERROR(INDEX('nav master'!$C:$C, MATCH(B10736, 'nav master'!$B:$B, 0)), "")</f>
        <v/>
      </c>
      <c r="E10736" s="8" t="s">
        <v>456</v>
      </c>
      <c r="F10736" s="8" t="s">
        <v>5693</v>
      </c>
    </row>
    <row r="10737" spans="1:6" ht="45" x14ac:dyDescent="0.25">
      <c r="A10737" s="8" t="s">
        <v>125</v>
      </c>
      <c r="B10737" s="8" t="s">
        <v>4867</v>
      </c>
      <c r="C10737" s="8" t="str">
        <f>IFERROR(_xlfn.XLOOKUP(TRIM(B10737),Lookup!$B$2:$B$1000,Lookup!$C$2:$C$1000),"")</f>
        <v>Hybrid</v>
      </c>
      <c r="D10737" s="8" t="str">
        <f>IFERROR(INDEX('nav master'!$C:$C, MATCH(B10737, 'nav master'!$B:$B, 0)), "")</f>
        <v/>
      </c>
      <c r="E10737" s="8" t="s">
        <v>458</v>
      </c>
      <c r="F10737" s="8" t="s">
        <v>5694</v>
      </c>
    </row>
    <row r="10738" spans="1:6" ht="45" x14ac:dyDescent="0.25">
      <c r="A10738" s="8" t="s">
        <v>125</v>
      </c>
      <c r="B10738" s="8" t="s">
        <v>4867</v>
      </c>
      <c r="C10738" s="8" t="str">
        <f>IFERROR(_xlfn.XLOOKUP(TRIM(B10738),Lookup!$B$2:$B$1000,Lookup!$C$2:$C$1000),"")</f>
        <v>Hybrid</v>
      </c>
      <c r="D10738" s="8" t="str">
        <f>IFERROR(INDEX('nav master'!$C:$C, MATCH(B10738, 'nav master'!$B:$B, 0)), "")</f>
        <v/>
      </c>
      <c r="E10738" s="8" t="s">
        <v>460</v>
      </c>
      <c r="F10738" s="8" t="s">
        <v>5695</v>
      </c>
    </row>
    <row r="10739" spans="1:6" ht="45" x14ac:dyDescent="0.25">
      <c r="A10739" s="8" t="s">
        <v>125</v>
      </c>
      <c r="B10739" s="8" t="s">
        <v>4867</v>
      </c>
      <c r="C10739" s="8" t="str">
        <f>IFERROR(_xlfn.XLOOKUP(TRIM(B10739),Lookup!$B$2:$B$1000,Lookup!$C$2:$C$1000),"")</f>
        <v>Hybrid</v>
      </c>
      <c r="D10739" s="8" t="str">
        <f>IFERROR(INDEX('nav master'!$C:$C, MATCH(B10739, 'nav master'!$B:$B, 0)), "")</f>
        <v/>
      </c>
      <c r="E10739" s="8" t="s">
        <v>462</v>
      </c>
      <c r="F10739" s="8" t="s">
        <v>5696</v>
      </c>
    </row>
    <row r="10740" spans="1:6" ht="45" x14ac:dyDescent="0.25">
      <c r="A10740" s="8" t="s">
        <v>125</v>
      </c>
      <c r="B10740" s="8" t="s">
        <v>4867</v>
      </c>
      <c r="C10740" s="8" t="str">
        <f>IFERROR(_xlfn.XLOOKUP(TRIM(B10740),Lookup!$B$2:$B$1000,Lookup!$C$2:$C$1000),"")</f>
        <v>Hybrid</v>
      </c>
      <c r="D10740" s="8" t="str">
        <f>IFERROR(INDEX('nav master'!$C:$C, MATCH(B10740, 'nav master'!$B:$B, 0)), "")</f>
        <v/>
      </c>
      <c r="E10740" s="8" t="s">
        <v>464</v>
      </c>
      <c r="F10740" s="8" t="s">
        <v>5697</v>
      </c>
    </row>
    <row r="10741" spans="1:6" ht="45" x14ac:dyDescent="0.25">
      <c r="A10741" s="8" t="s">
        <v>125</v>
      </c>
      <c r="B10741" s="8" t="s">
        <v>4867</v>
      </c>
      <c r="C10741" s="8" t="str">
        <f>IFERROR(_xlfn.XLOOKUP(TRIM(B10741),Lookup!$B$2:$B$1000,Lookup!$C$2:$C$1000),"")</f>
        <v>Hybrid</v>
      </c>
      <c r="D10741" s="8" t="str">
        <f>IFERROR(INDEX('nav master'!$C:$C, MATCH(B10741, 'nav master'!$B:$B, 0)), "")</f>
        <v/>
      </c>
      <c r="E10741" s="8" t="s">
        <v>466</v>
      </c>
      <c r="F10741" s="8" t="s">
        <v>5698</v>
      </c>
    </row>
    <row r="10742" spans="1:6" ht="45" x14ac:dyDescent="0.25">
      <c r="A10742" s="8" t="s">
        <v>125</v>
      </c>
      <c r="B10742" s="8" t="s">
        <v>4867</v>
      </c>
      <c r="C10742" s="8" t="str">
        <f>IFERROR(_xlfn.XLOOKUP(TRIM(B10742),Lookup!$B$2:$B$1000,Lookup!$C$2:$C$1000),"")</f>
        <v>Hybrid</v>
      </c>
      <c r="D10742" s="8" t="str">
        <f>IFERROR(INDEX('nav master'!$C:$C, MATCH(B10742, 'nav master'!$B:$B, 0)), "")</f>
        <v/>
      </c>
      <c r="E10742" s="8" t="s">
        <v>468</v>
      </c>
      <c r="F10742" s="8" t="s">
        <v>5699</v>
      </c>
    </row>
    <row r="10743" spans="1:6" ht="45" x14ac:dyDescent="0.25">
      <c r="A10743" s="8" t="s">
        <v>125</v>
      </c>
      <c r="B10743" s="8" t="s">
        <v>4867</v>
      </c>
      <c r="C10743" s="8" t="str">
        <f>IFERROR(_xlfn.XLOOKUP(TRIM(B10743),Lookup!$B$2:$B$1000,Lookup!$C$2:$C$1000),"")</f>
        <v>Hybrid</v>
      </c>
      <c r="D10743" s="8" t="str">
        <f>IFERROR(INDEX('nav master'!$C:$C, MATCH(B10743, 'nav master'!$B:$B, 0)), "")</f>
        <v/>
      </c>
      <c r="E10743" s="8" t="s">
        <v>470</v>
      </c>
      <c r="F10743" s="8" t="s">
        <v>5700</v>
      </c>
    </row>
    <row r="10744" spans="1:6" ht="45" x14ac:dyDescent="0.25">
      <c r="A10744" s="8" t="s">
        <v>125</v>
      </c>
      <c r="B10744" s="8" t="s">
        <v>4867</v>
      </c>
      <c r="C10744" s="8" t="str">
        <f>IFERROR(_xlfn.XLOOKUP(TRIM(B10744),Lookup!$B$2:$B$1000,Lookup!$C$2:$C$1000),"")</f>
        <v>Hybrid</v>
      </c>
      <c r="D10744" s="8" t="str">
        <f>IFERROR(INDEX('nav master'!$C:$C, MATCH(B10744, 'nav master'!$B:$B, 0)), "")</f>
        <v/>
      </c>
      <c r="E10744" s="8" t="s">
        <v>472</v>
      </c>
      <c r="F10744" s="8" t="s">
        <v>5701</v>
      </c>
    </row>
    <row r="10745" spans="1:6" ht="45" x14ac:dyDescent="0.25">
      <c r="A10745" s="8" t="s">
        <v>125</v>
      </c>
      <c r="B10745" s="8" t="s">
        <v>4867</v>
      </c>
      <c r="C10745" s="8" t="str">
        <f>IFERROR(_xlfn.XLOOKUP(TRIM(B10745),Lookup!$B$2:$B$1000,Lookup!$C$2:$C$1000),"")</f>
        <v>Hybrid</v>
      </c>
      <c r="D10745" s="8" t="str">
        <f>IFERROR(INDEX('nav master'!$C:$C, MATCH(B10745, 'nav master'!$B:$B, 0)), "")</f>
        <v/>
      </c>
      <c r="E10745" s="8" t="s">
        <v>474</v>
      </c>
      <c r="F10745" s="8" t="s">
        <v>5702</v>
      </c>
    </row>
    <row r="10746" spans="1:6" ht="45" x14ac:dyDescent="0.25">
      <c r="A10746" s="8" t="s">
        <v>125</v>
      </c>
      <c r="B10746" s="8" t="s">
        <v>4867</v>
      </c>
      <c r="C10746" s="8" t="str">
        <f>IFERROR(_xlfn.XLOOKUP(TRIM(B10746),Lookup!$B$2:$B$1000,Lookup!$C$2:$C$1000),"")</f>
        <v>Hybrid</v>
      </c>
      <c r="D10746" s="8" t="str">
        <f>IFERROR(INDEX('nav master'!$C:$C, MATCH(B10746, 'nav master'!$B:$B, 0)), "")</f>
        <v/>
      </c>
      <c r="E10746" s="8" t="s">
        <v>476</v>
      </c>
      <c r="F10746" s="8" t="s">
        <v>5703</v>
      </c>
    </row>
    <row r="10747" spans="1:6" ht="45" x14ac:dyDescent="0.25">
      <c r="A10747" s="8" t="s">
        <v>125</v>
      </c>
      <c r="B10747" s="8" t="s">
        <v>4867</v>
      </c>
      <c r="C10747" s="8" t="str">
        <f>IFERROR(_xlfn.XLOOKUP(TRIM(B10747),Lookup!$B$2:$B$1000,Lookup!$C$2:$C$1000),"")</f>
        <v>Hybrid</v>
      </c>
      <c r="D10747" s="8" t="str">
        <f>IFERROR(INDEX('nav master'!$C:$C, MATCH(B10747, 'nav master'!$B:$B, 0)), "")</f>
        <v/>
      </c>
      <c r="E10747" s="8" t="s">
        <v>478</v>
      </c>
      <c r="F10747" s="8" t="s">
        <v>5644</v>
      </c>
    </row>
    <row r="10748" spans="1:6" ht="45" x14ac:dyDescent="0.25">
      <c r="A10748" s="8" t="s">
        <v>125</v>
      </c>
      <c r="B10748" s="8" t="s">
        <v>4867</v>
      </c>
      <c r="C10748" s="8" t="str">
        <f>IFERROR(_xlfn.XLOOKUP(TRIM(B10748),Lookup!$B$2:$B$1000,Lookup!$C$2:$C$1000),"")</f>
        <v>Hybrid</v>
      </c>
      <c r="D10748" s="8" t="str">
        <f>IFERROR(INDEX('nav master'!$C:$C, MATCH(B10748, 'nav master'!$B:$B, 0)), "")</f>
        <v/>
      </c>
      <c r="E10748" s="8" t="s">
        <v>480</v>
      </c>
      <c r="F10748" s="8" t="s">
        <v>5704</v>
      </c>
    </row>
    <row r="10749" spans="1:6" ht="45" x14ac:dyDescent="0.25">
      <c r="A10749" s="8" t="s">
        <v>125</v>
      </c>
      <c r="B10749" s="8" t="s">
        <v>4867</v>
      </c>
      <c r="C10749" s="8" t="str">
        <f>IFERROR(_xlfn.XLOOKUP(TRIM(B10749),Lookup!$B$2:$B$1000,Lookup!$C$2:$C$1000),"")</f>
        <v>Hybrid</v>
      </c>
      <c r="D10749" s="8" t="str">
        <f>IFERROR(INDEX('nav master'!$C:$C, MATCH(B10749, 'nav master'!$B:$B, 0)), "")</f>
        <v/>
      </c>
      <c r="E10749" s="8" t="s">
        <v>482</v>
      </c>
      <c r="F10749" s="8" t="s">
        <v>5705</v>
      </c>
    </row>
    <row r="10750" spans="1:6" ht="45" x14ac:dyDescent="0.25">
      <c r="A10750" s="8" t="s">
        <v>125</v>
      </c>
      <c r="B10750" s="8" t="s">
        <v>4867</v>
      </c>
      <c r="C10750" s="8" t="str">
        <f>IFERROR(_xlfn.XLOOKUP(TRIM(B10750),Lookup!$B$2:$B$1000,Lookup!$C$2:$C$1000),"")</f>
        <v>Hybrid</v>
      </c>
      <c r="D10750" s="8" t="str">
        <f>IFERROR(INDEX('nav master'!$C:$C, MATCH(B10750, 'nav master'!$B:$B, 0)), "")</f>
        <v/>
      </c>
      <c r="E10750" s="8" t="s">
        <v>484</v>
      </c>
      <c r="F10750" s="8" t="s">
        <v>5706</v>
      </c>
    </row>
    <row r="10751" spans="1:6" ht="45" x14ac:dyDescent="0.25">
      <c r="A10751" s="8" t="s">
        <v>125</v>
      </c>
      <c r="B10751" s="8" t="s">
        <v>4867</v>
      </c>
      <c r="C10751" s="8" t="str">
        <f>IFERROR(_xlfn.XLOOKUP(TRIM(B10751),Lookup!$B$2:$B$1000,Lookup!$C$2:$C$1000),"")</f>
        <v>Hybrid</v>
      </c>
      <c r="D10751" s="8" t="str">
        <f>IFERROR(INDEX('nav master'!$C:$C, MATCH(B10751, 'nav master'!$B:$B, 0)), "")</f>
        <v/>
      </c>
      <c r="E10751" s="8" t="s">
        <v>486</v>
      </c>
      <c r="F10751" s="8" t="s">
        <v>5707</v>
      </c>
    </row>
    <row r="10752" spans="1:6" ht="45" x14ac:dyDescent="0.25">
      <c r="A10752" s="8" t="s">
        <v>125</v>
      </c>
      <c r="B10752" s="8" t="s">
        <v>4867</v>
      </c>
      <c r="C10752" s="8" t="str">
        <f>IFERROR(_xlfn.XLOOKUP(TRIM(B10752),Lookup!$B$2:$B$1000,Lookup!$C$2:$C$1000),"")</f>
        <v>Hybrid</v>
      </c>
      <c r="D10752" s="8" t="str">
        <f>IFERROR(INDEX('nav master'!$C:$C, MATCH(B10752, 'nav master'!$B:$B, 0)), "")</f>
        <v/>
      </c>
      <c r="E10752" s="8" t="s">
        <v>488</v>
      </c>
      <c r="F10752" s="8" t="s">
        <v>5708</v>
      </c>
    </row>
    <row r="10753" spans="1:6" ht="45" x14ac:dyDescent="0.25">
      <c r="A10753" s="8" t="s">
        <v>125</v>
      </c>
      <c r="B10753" s="8" t="s">
        <v>4867</v>
      </c>
      <c r="C10753" s="8" t="str">
        <f>IFERROR(_xlfn.XLOOKUP(TRIM(B10753),Lookup!$B$2:$B$1000,Lookup!$C$2:$C$1000),"")</f>
        <v>Hybrid</v>
      </c>
      <c r="D10753" s="8" t="str">
        <f>IFERROR(INDEX('nav master'!$C:$C, MATCH(B10753, 'nav master'!$B:$B, 0)), "")</f>
        <v/>
      </c>
      <c r="E10753" s="8" t="s">
        <v>490</v>
      </c>
      <c r="F10753" s="8" t="s">
        <v>5709</v>
      </c>
    </row>
    <row r="10754" spans="1:6" ht="45" x14ac:dyDescent="0.25">
      <c r="A10754" s="8" t="s">
        <v>125</v>
      </c>
      <c r="B10754" s="8" t="s">
        <v>4867</v>
      </c>
      <c r="C10754" s="8" t="str">
        <f>IFERROR(_xlfn.XLOOKUP(TRIM(B10754),Lookup!$B$2:$B$1000,Lookup!$C$2:$C$1000),"")</f>
        <v>Hybrid</v>
      </c>
      <c r="D10754" s="8" t="str">
        <f>IFERROR(INDEX('nav master'!$C:$C, MATCH(B10754, 'nav master'!$B:$B, 0)), "")</f>
        <v/>
      </c>
      <c r="E10754" s="8" t="s">
        <v>492</v>
      </c>
      <c r="F10754" s="8" t="s">
        <v>5710</v>
      </c>
    </row>
    <row r="10755" spans="1:6" ht="45" x14ac:dyDescent="0.25">
      <c r="A10755" s="8" t="s">
        <v>125</v>
      </c>
      <c r="B10755" s="8" t="s">
        <v>4867</v>
      </c>
      <c r="C10755" s="8" t="str">
        <f>IFERROR(_xlfn.XLOOKUP(TRIM(B10755),Lookup!$B$2:$B$1000,Lookup!$C$2:$C$1000),"")</f>
        <v>Hybrid</v>
      </c>
      <c r="D10755" s="8" t="str">
        <f>IFERROR(INDEX('nav master'!$C:$C, MATCH(B10755, 'nav master'!$B:$B, 0)), "")</f>
        <v/>
      </c>
      <c r="E10755" s="8" t="s">
        <v>494</v>
      </c>
      <c r="F10755" s="8" t="s">
        <v>5571</v>
      </c>
    </row>
    <row r="10756" spans="1:6" ht="45" x14ac:dyDescent="0.25">
      <c r="A10756" s="8" t="s">
        <v>125</v>
      </c>
      <c r="B10756" s="8" t="s">
        <v>4867</v>
      </c>
      <c r="C10756" s="8" t="str">
        <f>IFERROR(_xlfn.XLOOKUP(TRIM(B10756),Lookup!$B$2:$B$1000,Lookup!$C$2:$C$1000),"")</f>
        <v>Hybrid</v>
      </c>
      <c r="D10756" s="8" t="str">
        <f>IFERROR(INDEX('nav master'!$C:$C, MATCH(B10756, 'nav master'!$B:$B, 0)), "")</f>
        <v/>
      </c>
      <c r="E10756" s="8" t="s">
        <v>496</v>
      </c>
      <c r="F10756" s="8" t="s">
        <v>5711</v>
      </c>
    </row>
    <row r="10757" spans="1:6" ht="45" x14ac:dyDescent="0.25">
      <c r="A10757" s="8" t="s">
        <v>125</v>
      </c>
      <c r="B10757" s="8" t="s">
        <v>4867</v>
      </c>
      <c r="C10757" s="8" t="str">
        <f>IFERROR(_xlfn.XLOOKUP(TRIM(B10757),Lookup!$B$2:$B$1000,Lookup!$C$2:$C$1000),"")</f>
        <v>Hybrid</v>
      </c>
      <c r="D10757" s="8" t="str">
        <f>IFERROR(INDEX('nav master'!$C:$C, MATCH(B10757, 'nav master'!$B:$B, 0)), "")</f>
        <v/>
      </c>
      <c r="E10757" s="8" t="s">
        <v>498</v>
      </c>
      <c r="F10757" s="8" t="s">
        <v>5712</v>
      </c>
    </row>
    <row r="10758" spans="1:6" ht="45" x14ac:dyDescent="0.25">
      <c r="A10758" s="8" t="s">
        <v>125</v>
      </c>
      <c r="B10758" s="8" t="s">
        <v>4867</v>
      </c>
      <c r="C10758" s="8" t="str">
        <f>IFERROR(_xlfn.XLOOKUP(TRIM(B10758),Lookup!$B$2:$B$1000,Lookup!$C$2:$C$1000),"")</f>
        <v>Hybrid</v>
      </c>
      <c r="D10758" s="8" t="str">
        <f>IFERROR(INDEX('nav master'!$C:$C, MATCH(B10758, 'nav master'!$B:$B, 0)), "")</f>
        <v/>
      </c>
      <c r="E10758" s="8" t="s">
        <v>500</v>
      </c>
      <c r="F10758" s="8" t="s">
        <v>5713</v>
      </c>
    </row>
    <row r="10759" spans="1:6" ht="45" x14ac:dyDescent="0.25">
      <c r="A10759" s="8" t="s">
        <v>125</v>
      </c>
      <c r="B10759" s="8" t="s">
        <v>4867</v>
      </c>
      <c r="C10759" s="8" t="str">
        <f>IFERROR(_xlfn.XLOOKUP(TRIM(B10759),Lookup!$B$2:$B$1000,Lookup!$C$2:$C$1000),"")</f>
        <v>Hybrid</v>
      </c>
      <c r="D10759" s="8" t="str">
        <f>IFERROR(INDEX('nav master'!$C:$C, MATCH(B10759, 'nav master'!$B:$B, 0)), "")</f>
        <v/>
      </c>
      <c r="E10759" s="8" t="s">
        <v>502</v>
      </c>
      <c r="F10759" s="8" t="s">
        <v>5714</v>
      </c>
    </row>
    <row r="10760" spans="1:6" ht="45" x14ac:dyDescent="0.25">
      <c r="A10760" s="8" t="s">
        <v>125</v>
      </c>
      <c r="B10760" s="8" t="s">
        <v>4867</v>
      </c>
      <c r="C10760" s="8" t="str">
        <f>IFERROR(_xlfn.XLOOKUP(TRIM(B10760),Lookup!$B$2:$B$1000,Lookup!$C$2:$C$1000),"")</f>
        <v>Hybrid</v>
      </c>
      <c r="D10760" s="8" t="str">
        <f>IFERROR(INDEX('nav master'!$C:$C, MATCH(B10760, 'nav master'!$B:$B, 0)), "")</f>
        <v/>
      </c>
      <c r="E10760" s="8" t="s">
        <v>504</v>
      </c>
      <c r="F10760" s="8" t="s">
        <v>5715</v>
      </c>
    </row>
    <row r="10761" spans="1:6" ht="45" x14ac:dyDescent="0.25">
      <c r="A10761" s="8" t="s">
        <v>125</v>
      </c>
      <c r="B10761" s="8" t="s">
        <v>4867</v>
      </c>
      <c r="C10761" s="8" t="str">
        <f>IFERROR(_xlfn.XLOOKUP(TRIM(B10761),Lookup!$B$2:$B$1000,Lookup!$C$2:$C$1000),"")</f>
        <v>Hybrid</v>
      </c>
      <c r="D10761" s="8" t="str">
        <f>IFERROR(INDEX('nav master'!$C:$C, MATCH(B10761, 'nav master'!$B:$B, 0)), "")</f>
        <v/>
      </c>
      <c r="E10761" s="8" t="s">
        <v>506</v>
      </c>
      <c r="F10761" s="8" t="s">
        <v>5716</v>
      </c>
    </row>
    <row r="10762" spans="1:6" ht="45" x14ac:dyDescent="0.25">
      <c r="A10762" s="8" t="s">
        <v>125</v>
      </c>
      <c r="B10762" s="8" t="s">
        <v>4867</v>
      </c>
      <c r="C10762" s="8" t="str">
        <f>IFERROR(_xlfn.XLOOKUP(TRIM(B10762),Lookup!$B$2:$B$1000,Lookup!$C$2:$C$1000),"")</f>
        <v>Hybrid</v>
      </c>
      <c r="D10762" s="8" t="str">
        <f>IFERROR(INDEX('nav master'!$C:$C, MATCH(B10762, 'nav master'!$B:$B, 0)), "")</f>
        <v/>
      </c>
      <c r="E10762" s="8" t="s">
        <v>508</v>
      </c>
      <c r="F10762" s="8" t="s">
        <v>3810</v>
      </c>
    </row>
    <row r="10763" spans="1:6" ht="45" x14ac:dyDescent="0.25">
      <c r="A10763" s="8" t="s">
        <v>125</v>
      </c>
      <c r="B10763" s="8" t="s">
        <v>4867</v>
      </c>
      <c r="C10763" s="8" t="str">
        <f>IFERROR(_xlfn.XLOOKUP(TRIM(B10763),Lookup!$B$2:$B$1000,Lookup!$C$2:$C$1000),"")</f>
        <v>Hybrid</v>
      </c>
      <c r="D10763" s="8" t="str">
        <f>IFERROR(INDEX('nav master'!$C:$C, MATCH(B10763, 'nav master'!$B:$B, 0)), "")</f>
        <v/>
      </c>
      <c r="E10763" s="8" t="s">
        <v>510</v>
      </c>
      <c r="F10763" s="8" t="s">
        <v>5717</v>
      </c>
    </row>
    <row r="10764" spans="1:6" ht="45" x14ac:dyDescent="0.25">
      <c r="A10764" s="8" t="s">
        <v>125</v>
      </c>
      <c r="B10764" s="8" t="s">
        <v>4867</v>
      </c>
      <c r="C10764" s="8" t="str">
        <f>IFERROR(_xlfn.XLOOKUP(TRIM(B10764),Lookup!$B$2:$B$1000,Lookup!$C$2:$C$1000),"")</f>
        <v>Hybrid</v>
      </c>
      <c r="D10764" s="8" t="str">
        <f>IFERROR(INDEX('nav master'!$C:$C, MATCH(B10764, 'nav master'!$B:$B, 0)), "")</f>
        <v/>
      </c>
      <c r="E10764" s="8" t="s">
        <v>512</v>
      </c>
      <c r="F10764" s="8" t="s">
        <v>5718</v>
      </c>
    </row>
    <row r="10765" spans="1:6" ht="45" x14ac:dyDescent="0.25">
      <c r="A10765" s="8" t="s">
        <v>125</v>
      </c>
      <c r="B10765" s="8" t="s">
        <v>4867</v>
      </c>
      <c r="C10765" s="8" t="str">
        <f>IFERROR(_xlfn.XLOOKUP(TRIM(B10765),Lookup!$B$2:$B$1000,Lookup!$C$2:$C$1000),"")</f>
        <v>Hybrid</v>
      </c>
      <c r="D10765" s="8" t="str">
        <f>IFERROR(INDEX('nav master'!$C:$C, MATCH(B10765, 'nav master'!$B:$B, 0)), "")</f>
        <v/>
      </c>
      <c r="E10765" s="8" t="s">
        <v>514</v>
      </c>
      <c r="F10765" s="8" t="s">
        <v>5719</v>
      </c>
    </row>
    <row r="10766" spans="1:6" ht="45" x14ac:dyDescent="0.25">
      <c r="A10766" s="8" t="s">
        <v>125</v>
      </c>
      <c r="B10766" s="8" t="s">
        <v>4867</v>
      </c>
      <c r="C10766" s="8" t="str">
        <f>IFERROR(_xlfn.XLOOKUP(TRIM(B10766),Lookup!$B$2:$B$1000,Lookup!$C$2:$C$1000),"")</f>
        <v>Hybrid</v>
      </c>
      <c r="D10766" s="8" t="str">
        <f>IFERROR(INDEX('nav master'!$C:$C, MATCH(B10766, 'nav master'!$B:$B, 0)), "")</f>
        <v/>
      </c>
      <c r="E10766" s="8" t="s">
        <v>516</v>
      </c>
      <c r="F10766" s="8" t="s">
        <v>5720</v>
      </c>
    </row>
    <row r="10767" spans="1:6" ht="45" x14ac:dyDescent="0.25">
      <c r="A10767" s="8" t="s">
        <v>125</v>
      </c>
      <c r="B10767" s="8" t="s">
        <v>4867</v>
      </c>
      <c r="C10767" s="8" t="str">
        <f>IFERROR(_xlfn.XLOOKUP(TRIM(B10767),Lookup!$B$2:$B$1000,Lookup!$C$2:$C$1000),"")</f>
        <v>Hybrid</v>
      </c>
      <c r="D10767" s="8" t="str">
        <f>IFERROR(INDEX('nav master'!$C:$C, MATCH(B10767, 'nav master'!$B:$B, 0)), "")</f>
        <v/>
      </c>
      <c r="E10767" s="8" t="s">
        <v>518</v>
      </c>
      <c r="F10767" s="8" t="s">
        <v>5721</v>
      </c>
    </row>
    <row r="10768" spans="1:6" ht="45" x14ac:dyDescent="0.25">
      <c r="A10768" s="8" t="s">
        <v>125</v>
      </c>
      <c r="B10768" s="8" t="s">
        <v>4867</v>
      </c>
      <c r="C10768" s="8" t="str">
        <f>IFERROR(_xlfn.XLOOKUP(TRIM(B10768),Lookup!$B$2:$B$1000,Lookup!$C$2:$C$1000),"")</f>
        <v>Hybrid</v>
      </c>
      <c r="D10768" s="8" t="str">
        <f>IFERROR(INDEX('nav master'!$C:$C, MATCH(B10768, 'nav master'!$B:$B, 0)), "")</f>
        <v/>
      </c>
      <c r="E10768" s="8" t="s">
        <v>520</v>
      </c>
      <c r="F10768" s="8" t="s">
        <v>5722</v>
      </c>
    </row>
    <row r="10769" spans="1:6" ht="45" x14ac:dyDescent="0.25">
      <c r="A10769" s="8" t="s">
        <v>125</v>
      </c>
      <c r="B10769" s="8" t="s">
        <v>4867</v>
      </c>
      <c r="C10769" s="8" t="str">
        <f>IFERROR(_xlfn.XLOOKUP(TRIM(B10769),Lookup!$B$2:$B$1000,Lookup!$C$2:$C$1000),"")</f>
        <v>Hybrid</v>
      </c>
      <c r="D10769" s="8" t="str">
        <f>IFERROR(INDEX('nav master'!$C:$C, MATCH(B10769, 'nav master'!$B:$B, 0)), "")</f>
        <v/>
      </c>
      <c r="E10769" s="8" t="s">
        <v>522</v>
      </c>
      <c r="F10769" s="8" t="s">
        <v>5723</v>
      </c>
    </row>
    <row r="10770" spans="1:6" ht="45" x14ac:dyDescent="0.25">
      <c r="A10770" s="8" t="s">
        <v>125</v>
      </c>
      <c r="B10770" s="8" t="s">
        <v>4867</v>
      </c>
      <c r="C10770" s="8" t="str">
        <f>IFERROR(_xlfn.XLOOKUP(TRIM(B10770),Lookup!$B$2:$B$1000,Lookup!$C$2:$C$1000),"")</f>
        <v>Hybrid</v>
      </c>
      <c r="D10770" s="8" t="str">
        <f>IFERROR(INDEX('nav master'!$C:$C, MATCH(B10770, 'nav master'!$B:$B, 0)), "")</f>
        <v/>
      </c>
      <c r="E10770" s="8" t="s">
        <v>524</v>
      </c>
      <c r="F10770" s="8" t="s">
        <v>5724</v>
      </c>
    </row>
    <row r="10771" spans="1:6" ht="45" x14ac:dyDescent="0.25">
      <c r="A10771" s="8" t="s">
        <v>125</v>
      </c>
      <c r="B10771" s="8" t="s">
        <v>4867</v>
      </c>
      <c r="C10771" s="8" t="str">
        <f>IFERROR(_xlfn.XLOOKUP(TRIM(B10771),Lookup!$B$2:$B$1000,Lookup!$C$2:$C$1000),"")</f>
        <v>Hybrid</v>
      </c>
      <c r="D10771" s="8" t="str">
        <f>IFERROR(INDEX('nav master'!$C:$C, MATCH(B10771, 'nav master'!$B:$B, 0)), "")</f>
        <v/>
      </c>
      <c r="E10771" s="8" t="s">
        <v>526</v>
      </c>
      <c r="F10771" s="8" t="s">
        <v>5725</v>
      </c>
    </row>
    <row r="10772" spans="1:6" ht="45" x14ac:dyDescent="0.25">
      <c r="A10772" s="8" t="s">
        <v>125</v>
      </c>
      <c r="B10772" s="8" t="s">
        <v>4867</v>
      </c>
      <c r="C10772" s="8" t="str">
        <f>IFERROR(_xlfn.XLOOKUP(TRIM(B10772),Lookup!$B$2:$B$1000,Lookup!$C$2:$C$1000),"")</f>
        <v>Hybrid</v>
      </c>
      <c r="D10772" s="8" t="str">
        <f>IFERROR(INDEX('nav master'!$C:$C, MATCH(B10772, 'nav master'!$B:$B, 0)), "")</f>
        <v/>
      </c>
      <c r="E10772" s="8" t="s">
        <v>528</v>
      </c>
      <c r="F10772" s="8" t="s">
        <v>5726</v>
      </c>
    </row>
    <row r="10773" spans="1:6" ht="45" x14ac:dyDescent="0.25">
      <c r="A10773" s="8" t="s">
        <v>125</v>
      </c>
      <c r="B10773" s="8" t="s">
        <v>4867</v>
      </c>
      <c r="C10773" s="8" t="str">
        <f>IFERROR(_xlfn.XLOOKUP(TRIM(B10773),Lookup!$B$2:$B$1000,Lookup!$C$2:$C$1000),"")</f>
        <v>Hybrid</v>
      </c>
      <c r="D10773" s="8" t="str">
        <f>IFERROR(INDEX('nav master'!$C:$C, MATCH(B10773, 'nav master'!$B:$B, 0)), "")</f>
        <v/>
      </c>
      <c r="E10773" s="8" t="s">
        <v>530</v>
      </c>
      <c r="F10773" s="8" t="s">
        <v>5727</v>
      </c>
    </row>
    <row r="10774" spans="1:6" ht="45" x14ac:dyDescent="0.25">
      <c r="A10774" s="8" t="s">
        <v>125</v>
      </c>
      <c r="B10774" s="8" t="s">
        <v>4867</v>
      </c>
      <c r="C10774" s="8" t="str">
        <f>IFERROR(_xlfn.XLOOKUP(TRIM(B10774),Lookup!$B$2:$B$1000,Lookup!$C$2:$C$1000),"")</f>
        <v>Hybrid</v>
      </c>
      <c r="D10774" s="8" t="str">
        <f>IFERROR(INDEX('nav master'!$C:$C, MATCH(B10774, 'nav master'!$B:$B, 0)), "")</f>
        <v/>
      </c>
      <c r="E10774" s="8" t="s">
        <v>532</v>
      </c>
      <c r="F10774" s="8" t="s">
        <v>5728</v>
      </c>
    </row>
    <row r="10775" spans="1:6" ht="45" x14ac:dyDescent="0.25">
      <c r="A10775" s="8" t="s">
        <v>125</v>
      </c>
      <c r="B10775" s="8" t="s">
        <v>4867</v>
      </c>
      <c r="C10775" s="8" t="str">
        <f>IFERROR(_xlfn.XLOOKUP(TRIM(B10775),Lookup!$B$2:$B$1000,Lookup!$C$2:$C$1000),"")</f>
        <v>Hybrid</v>
      </c>
      <c r="D10775" s="8" t="str">
        <f>IFERROR(INDEX('nav master'!$C:$C, MATCH(B10775, 'nav master'!$B:$B, 0)), "")</f>
        <v/>
      </c>
      <c r="E10775" s="8" t="s">
        <v>534</v>
      </c>
      <c r="F10775" s="8" t="s">
        <v>5656</v>
      </c>
    </row>
    <row r="10776" spans="1:6" ht="45" x14ac:dyDescent="0.25">
      <c r="A10776" s="8" t="s">
        <v>125</v>
      </c>
      <c r="B10776" s="8" t="s">
        <v>4867</v>
      </c>
      <c r="C10776" s="8" t="str">
        <f>IFERROR(_xlfn.XLOOKUP(TRIM(B10776),Lookup!$B$2:$B$1000,Lookup!$C$2:$C$1000),"")</f>
        <v>Hybrid</v>
      </c>
      <c r="D10776" s="8" t="str">
        <f>IFERROR(INDEX('nav master'!$C:$C, MATCH(B10776, 'nav master'!$B:$B, 0)), "")</f>
        <v/>
      </c>
      <c r="E10776" s="8" t="s">
        <v>536</v>
      </c>
      <c r="F10776" s="8" t="s">
        <v>5729</v>
      </c>
    </row>
    <row r="10777" spans="1:6" ht="45" x14ac:dyDescent="0.25">
      <c r="A10777" s="8" t="s">
        <v>125</v>
      </c>
      <c r="B10777" s="8" t="s">
        <v>4867</v>
      </c>
      <c r="C10777" s="8" t="str">
        <f>IFERROR(_xlfn.XLOOKUP(TRIM(B10777),Lookup!$B$2:$B$1000,Lookup!$C$2:$C$1000),"")</f>
        <v>Hybrid</v>
      </c>
      <c r="D10777" s="8" t="str">
        <f>IFERROR(INDEX('nav master'!$C:$C, MATCH(B10777, 'nav master'!$B:$B, 0)), "")</f>
        <v/>
      </c>
      <c r="E10777" s="8" t="s">
        <v>538</v>
      </c>
      <c r="F10777" s="8" t="s">
        <v>5730</v>
      </c>
    </row>
    <row r="10778" spans="1:6" ht="45" x14ac:dyDescent="0.25">
      <c r="A10778" s="8" t="s">
        <v>125</v>
      </c>
      <c r="B10778" s="8" t="s">
        <v>4867</v>
      </c>
      <c r="C10778" s="8" t="str">
        <f>IFERROR(_xlfn.XLOOKUP(TRIM(B10778),Lookup!$B$2:$B$1000,Lookup!$C$2:$C$1000),"")</f>
        <v>Hybrid</v>
      </c>
      <c r="D10778" s="8" t="str">
        <f>IFERROR(INDEX('nav master'!$C:$C, MATCH(B10778, 'nav master'!$B:$B, 0)), "")</f>
        <v/>
      </c>
      <c r="E10778" s="8" t="s">
        <v>540</v>
      </c>
      <c r="F10778" s="8" t="s">
        <v>5731</v>
      </c>
    </row>
    <row r="10779" spans="1:6" ht="45" x14ac:dyDescent="0.25">
      <c r="A10779" s="8" t="s">
        <v>125</v>
      </c>
      <c r="B10779" s="8" t="s">
        <v>4867</v>
      </c>
      <c r="C10779" s="8" t="str">
        <f>IFERROR(_xlfn.XLOOKUP(TRIM(B10779),Lookup!$B$2:$B$1000,Lookup!$C$2:$C$1000),"")</f>
        <v>Hybrid</v>
      </c>
      <c r="D10779" s="8" t="str">
        <f>IFERROR(INDEX('nav master'!$C:$C, MATCH(B10779, 'nav master'!$B:$B, 0)), "")</f>
        <v/>
      </c>
      <c r="E10779" s="8" t="s">
        <v>542</v>
      </c>
      <c r="F10779" s="8" t="s">
        <v>5732</v>
      </c>
    </row>
    <row r="10780" spans="1:6" ht="45" x14ac:dyDescent="0.25">
      <c r="A10780" s="8" t="s">
        <v>125</v>
      </c>
      <c r="B10780" s="8" t="s">
        <v>4867</v>
      </c>
      <c r="C10780" s="8" t="str">
        <f>IFERROR(_xlfn.XLOOKUP(TRIM(B10780),Lookup!$B$2:$B$1000,Lookup!$C$2:$C$1000),"")</f>
        <v>Hybrid</v>
      </c>
      <c r="D10780" s="8" t="str">
        <f>IFERROR(INDEX('nav master'!$C:$C, MATCH(B10780, 'nav master'!$B:$B, 0)), "")</f>
        <v/>
      </c>
      <c r="E10780" s="8" t="s">
        <v>544</v>
      </c>
      <c r="F10780" s="8" t="s">
        <v>5733</v>
      </c>
    </row>
    <row r="10781" spans="1:6" ht="45" x14ac:dyDescent="0.25">
      <c r="A10781" s="8" t="s">
        <v>125</v>
      </c>
      <c r="B10781" s="8" t="s">
        <v>4867</v>
      </c>
      <c r="C10781" s="8" t="str">
        <f>IFERROR(_xlfn.XLOOKUP(TRIM(B10781),Lookup!$B$2:$B$1000,Lookup!$C$2:$C$1000),"")</f>
        <v>Hybrid</v>
      </c>
      <c r="D10781" s="8" t="str">
        <f>IFERROR(INDEX('nav master'!$C:$C, MATCH(B10781, 'nav master'!$B:$B, 0)), "")</f>
        <v/>
      </c>
      <c r="E10781" s="8" t="s">
        <v>546</v>
      </c>
      <c r="F10781" s="8" t="s">
        <v>5734</v>
      </c>
    </row>
    <row r="10782" spans="1:6" ht="45" x14ac:dyDescent="0.25">
      <c r="A10782" s="8" t="s">
        <v>125</v>
      </c>
      <c r="B10782" s="8" t="s">
        <v>4867</v>
      </c>
      <c r="C10782" s="8" t="str">
        <f>IFERROR(_xlfn.XLOOKUP(TRIM(B10782),Lookup!$B$2:$B$1000,Lookup!$C$2:$C$1000),"")</f>
        <v>Hybrid</v>
      </c>
      <c r="D10782" s="8" t="str">
        <f>IFERROR(INDEX('nav master'!$C:$C, MATCH(B10782, 'nav master'!$B:$B, 0)), "")</f>
        <v/>
      </c>
      <c r="E10782" s="8" t="s">
        <v>548</v>
      </c>
      <c r="F10782" s="8" t="s">
        <v>5735</v>
      </c>
    </row>
    <row r="10783" spans="1:6" ht="45" x14ac:dyDescent="0.25">
      <c r="A10783" s="8" t="s">
        <v>125</v>
      </c>
      <c r="B10783" s="8" t="s">
        <v>4867</v>
      </c>
      <c r="C10783" s="8" t="str">
        <f>IFERROR(_xlfn.XLOOKUP(TRIM(B10783),Lookup!$B$2:$B$1000,Lookup!$C$2:$C$1000),"")</f>
        <v>Hybrid</v>
      </c>
      <c r="D10783" s="8" t="str">
        <f>IFERROR(INDEX('nav master'!$C:$C, MATCH(B10783, 'nav master'!$B:$B, 0)), "")</f>
        <v/>
      </c>
      <c r="E10783" s="8" t="s">
        <v>550</v>
      </c>
      <c r="F10783" s="8" t="s">
        <v>5736</v>
      </c>
    </row>
    <row r="10784" spans="1:6" ht="45" x14ac:dyDescent="0.25">
      <c r="A10784" s="8" t="s">
        <v>125</v>
      </c>
      <c r="B10784" s="8" t="s">
        <v>4867</v>
      </c>
      <c r="C10784" s="8" t="str">
        <f>IFERROR(_xlfn.XLOOKUP(TRIM(B10784),Lookup!$B$2:$B$1000,Lookup!$C$2:$C$1000),"")</f>
        <v>Hybrid</v>
      </c>
      <c r="D10784" s="8" t="str">
        <f>IFERROR(INDEX('nav master'!$C:$C, MATCH(B10784, 'nav master'!$B:$B, 0)), "")</f>
        <v/>
      </c>
      <c r="E10784" s="8" t="s">
        <v>552</v>
      </c>
      <c r="F10784" s="8" t="s">
        <v>5737</v>
      </c>
    </row>
    <row r="10785" spans="1:6" ht="45" x14ac:dyDescent="0.25">
      <c r="A10785" s="8" t="s">
        <v>125</v>
      </c>
      <c r="B10785" s="8" t="s">
        <v>4867</v>
      </c>
      <c r="C10785" s="8" t="str">
        <f>IFERROR(_xlfn.XLOOKUP(TRIM(B10785),Lookup!$B$2:$B$1000,Lookup!$C$2:$C$1000),"")</f>
        <v>Hybrid</v>
      </c>
      <c r="D10785" s="8" t="str">
        <f>IFERROR(INDEX('nav master'!$C:$C, MATCH(B10785, 'nav master'!$B:$B, 0)), "")</f>
        <v/>
      </c>
      <c r="E10785" s="8" t="s">
        <v>554</v>
      </c>
      <c r="F10785" s="8" t="s">
        <v>5738</v>
      </c>
    </row>
    <row r="10786" spans="1:6" ht="45" x14ac:dyDescent="0.25">
      <c r="A10786" s="8" t="s">
        <v>125</v>
      </c>
      <c r="B10786" s="8" t="s">
        <v>4867</v>
      </c>
      <c r="C10786" s="8" t="str">
        <f>IFERROR(_xlfn.XLOOKUP(TRIM(B10786),Lookup!$B$2:$B$1000,Lookup!$C$2:$C$1000),"")</f>
        <v>Hybrid</v>
      </c>
      <c r="D10786" s="8" t="str">
        <f>IFERROR(INDEX('nav master'!$C:$C, MATCH(B10786, 'nav master'!$B:$B, 0)), "")</f>
        <v/>
      </c>
      <c r="E10786" s="8" t="s">
        <v>556</v>
      </c>
      <c r="F10786" s="8" t="s">
        <v>5739</v>
      </c>
    </row>
    <row r="10787" spans="1:6" ht="45" x14ac:dyDescent="0.25">
      <c r="A10787" s="8" t="s">
        <v>125</v>
      </c>
      <c r="B10787" s="8" t="s">
        <v>4867</v>
      </c>
      <c r="C10787" s="8" t="str">
        <f>IFERROR(_xlfn.XLOOKUP(TRIM(B10787),Lookup!$B$2:$B$1000,Lookup!$C$2:$C$1000),"")</f>
        <v>Hybrid</v>
      </c>
      <c r="D10787" s="8" t="str">
        <f>IFERROR(INDEX('nav master'!$C:$C, MATCH(B10787, 'nav master'!$B:$B, 0)), "")</f>
        <v/>
      </c>
      <c r="E10787" s="8" t="s">
        <v>558</v>
      </c>
      <c r="F10787" s="8" t="s">
        <v>5740</v>
      </c>
    </row>
    <row r="10788" spans="1:6" ht="45" x14ac:dyDescent="0.25">
      <c r="A10788" s="8" t="s">
        <v>125</v>
      </c>
      <c r="B10788" s="8" t="s">
        <v>4867</v>
      </c>
      <c r="C10788" s="8" t="str">
        <f>IFERROR(_xlfn.XLOOKUP(TRIM(B10788),Lookup!$B$2:$B$1000,Lookup!$C$2:$C$1000),"")</f>
        <v>Hybrid</v>
      </c>
      <c r="D10788" s="8" t="str">
        <f>IFERROR(INDEX('nav master'!$C:$C, MATCH(B10788, 'nav master'!$B:$B, 0)), "")</f>
        <v/>
      </c>
      <c r="E10788" s="8" t="s">
        <v>560</v>
      </c>
      <c r="F10788" s="8" t="s">
        <v>5741</v>
      </c>
    </row>
    <row r="10789" spans="1:6" ht="45" x14ac:dyDescent="0.25">
      <c r="A10789" s="8" t="s">
        <v>125</v>
      </c>
      <c r="B10789" s="8" t="s">
        <v>4867</v>
      </c>
      <c r="C10789" s="8" t="str">
        <f>IFERROR(_xlfn.XLOOKUP(TRIM(B10789),Lookup!$B$2:$B$1000,Lookup!$C$2:$C$1000),"")</f>
        <v>Hybrid</v>
      </c>
      <c r="D10789" s="8" t="str">
        <f>IFERROR(INDEX('nav master'!$C:$C, MATCH(B10789, 'nav master'!$B:$B, 0)), "")</f>
        <v/>
      </c>
      <c r="E10789" s="8" t="s">
        <v>562</v>
      </c>
      <c r="F10789" s="8" t="s">
        <v>5614</v>
      </c>
    </row>
    <row r="10790" spans="1:6" ht="45" x14ac:dyDescent="0.25">
      <c r="A10790" s="8" t="s">
        <v>125</v>
      </c>
      <c r="B10790" s="8" t="s">
        <v>4867</v>
      </c>
      <c r="C10790" s="8" t="str">
        <f>IFERROR(_xlfn.XLOOKUP(TRIM(B10790),Lookup!$B$2:$B$1000,Lookup!$C$2:$C$1000),"")</f>
        <v>Hybrid</v>
      </c>
      <c r="D10790" s="8" t="str">
        <f>IFERROR(INDEX('nav master'!$C:$C, MATCH(B10790, 'nav master'!$B:$B, 0)), "")</f>
        <v/>
      </c>
      <c r="E10790" s="8" t="s">
        <v>564</v>
      </c>
      <c r="F10790" s="8" t="s">
        <v>5742</v>
      </c>
    </row>
    <row r="10791" spans="1:6" ht="45" x14ac:dyDescent="0.25">
      <c r="A10791" s="8" t="s">
        <v>125</v>
      </c>
      <c r="B10791" s="8" t="s">
        <v>4867</v>
      </c>
      <c r="C10791" s="8" t="str">
        <f>IFERROR(_xlfn.XLOOKUP(TRIM(B10791),Lookup!$B$2:$B$1000,Lookup!$C$2:$C$1000),"")</f>
        <v>Hybrid</v>
      </c>
      <c r="D10791" s="8" t="str">
        <f>IFERROR(INDEX('nav master'!$C:$C, MATCH(B10791, 'nav master'!$B:$B, 0)), "")</f>
        <v/>
      </c>
      <c r="E10791" s="8" t="s">
        <v>566</v>
      </c>
      <c r="F10791" s="8" t="s">
        <v>5743</v>
      </c>
    </row>
    <row r="10792" spans="1:6" ht="45" x14ac:dyDescent="0.25">
      <c r="A10792" s="8" t="s">
        <v>125</v>
      </c>
      <c r="B10792" s="8" t="s">
        <v>4867</v>
      </c>
      <c r="C10792" s="8" t="str">
        <f>IFERROR(_xlfn.XLOOKUP(TRIM(B10792),Lookup!$B$2:$B$1000,Lookup!$C$2:$C$1000),"")</f>
        <v>Hybrid</v>
      </c>
      <c r="D10792" s="8" t="str">
        <f>IFERROR(INDEX('nav master'!$C:$C, MATCH(B10792, 'nav master'!$B:$B, 0)), "")</f>
        <v/>
      </c>
      <c r="E10792" s="8" t="s">
        <v>568</v>
      </c>
      <c r="F10792" s="8" t="s">
        <v>5744</v>
      </c>
    </row>
    <row r="10793" spans="1:6" ht="45" x14ac:dyDescent="0.25">
      <c r="A10793" s="8" t="s">
        <v>125</v>
      </c>
      <c r="B10793" s="8" t="s">
        <v>4867</v>
      </c>
      <c r="C10793" s="8" t="str">
        <f>IFERROR(_xlfn.XLOOKUP(TRIM(B10793),Lookup!$B$2:$B$1000,Lookup!$C$2:$C$1000),"")</f>
        <v>Hybrid</v>
      </c>
      <c r="D10793" s="8" t="str">
        <f>IFERROR(INDEX('nav master'!$C:$C, MATCH(B10793, 'nav master'!$B:$B, 0)), "")</f>
        <v/>
      </c>
      <c r="E10793" s="8" t="s">
        <v>570</v>
      </c>
      <c r="F10793" s="8" t="s">
        <v>5745</v>
      </c>
    </row>
    <row r="10794" spans="1:6" ht="45" x14ac:dyDescent="0.25">
      <c r="A10794" s="8" t="s">
        <v>125</v>
      </c>
      <c r="B10794" s="8" t="s">
        <v>4867</v>
      </c>
      <c r="C10794" s="8" t="str">
        <f>IFERROR(_xlfn.XLOOKUP(TRIM(B10794),Lookup!$B$2:$B$1000,Lookup!$C$2:$C$1000),"")</f>
        <v>Hybrid</v>
      </c>
      <c r="D10794" s="8" t="str">
        <f>IFERROR(INDEX('nav master'!$C:$C, MATCH(B10794, 'nav master'!$B:$B, 0)), "")</f>
        <v/>
      </c>
      <c r="E10794" s="8" t="s">
        <v>572</v>
      </c>
      <c r="F10794" s="8" t="s">
        <v>5746</v>
      </c>
    </row>
    <row r="10795" spans="1:6" ht="45" x14ac:dyDescent="0.25">
      <c r="A10795" s="8" t="s">
        <v>125</v>
      </c>
      <c r="B10795" s="8" t="s">
        <v>4867</v>
      </c>
      <c r="C10795" s="8" t="str">
        <f>IFERROR(_xlfn.XLOOKUP(TRIM(B10795),Lookup!$B$2:$B$1000,Lookup!$C$2:$C$1000),"")</f>
        <v>Hybrid</v>
      </c>
      <c r="D10795" s="8" t="str">
        <f>IFERROR(INDEX('nav master'!$C:$C, MATCH(B10795, 'nav master'!$B:$B, 0)), "")</f>
        <v/>
      </c>
      <c r="E10795" s="8" t="s">
        <v>574</v>
      </c>
      <c r="F10795" s="8" t="s">
        <v>5747</v>
      </c>
    </row>
    <row r="10796" spans="1:6" ht="45" x14ac:dyDescent="0.25">
      <c r="A10796" s="8" t="s">
        <v>125</v>
      </c>
      <c r="B10796" s="8" t="s">
        <v>4867</v>
      </c>
      <c r="C10796" s="8" t="str">
        <f>IFERROR(_xlfn.XLOOKUP(TRIM(B10796),Lookup!$B$2:$B$1000,Lookup!$C$2:$C$1000),"")</f>
        <v>Hybrid</v>
      </c>
      <c r="D10796" s="8" t="str">
        <f>IFERROR(INDEX('nav master'!$C:$C, MATCH(B10796, 'nav master'!$B:$B, 0)), "")</f>
        <v/>
      </c>
      <c r="E10796" s="8" t="s">
        <v>576</v>
      </c>
      <c r="F10796" s="8" t="s">
        <v>5748</v>
      </c>
    </row>
    <row r="10797" spans="1:6" ht="45" x14ac:dyDescent="0.25">
      <c r="A10797" s="8" t="s">
        <v>125</v>
      </c>
      <c r="B10797" s="8" t="s">
        <v>4867</v>
      </c>
      <c r="C10797" s="8" t="str">
        <f>IFERROR(_xlfn.XLOOKUP(TRIM(B10797),Lookup!$B$2:$B$1000,Lookup!$C$2:$C$1000),"")</f>
        <v>Hybrid</v>
      </c>
      <c r="D10797" s="8" t="str">
        <f>IFERROR(INDEX('nav master'!$C:$C, MATCH(B10797, 'nav master'!$B:$B, 0)), "")</f>
        <v/>
      </c>
      <c r="E10797" s="8" t="s">
        <v>578</v>
      </c>
      <c r="F10797" s="8" t="s">
        <v>5749</v>
      </c>
    </row>
    <row r="10798" spans="1:6" ht="45" x14ac:dyDescent="0.25">
      <c r="A10798" s="8" t="s">
        <v>125</v>
      </c>
      <c r="B10798" s="8" t="s">
        <v>4867</v>
      </c>
      <c r="C10798" s="8" t="str">
        <f>IFERROR(_xlfn.XLOOKUP(TRIM(B10798),Lookup!$B$2:$B$1000,Lookup!$C$2:$C$1000),"")</f>
        <v>Hybrid</v>
      </c>
      <c r="D10798" s="8" t="str">
        <f>IFERROR(INDEX('nav master'!$C:$C, MATCH(B10798, 'nav master'!$B:$B, 0)), "")</f>
        <v/>
      </c>
      <c r="E10798" s="8" t="s">
        <v>580</v>
      </c>
      <c r="F10798" s="8" t="s">
        <v>5750</v>
      </c>
    </row>
    <row r="10799" spans="1:6" ht="45" x14ac:dyDescent="0.25">
      <c r="A10799" s="8" t="s">
        <v>125</v>
      </c>
      <c r="B10799" s="8" t="s">
        <v>4867</v>
      </c>
      <c r="C10799" s="8" t="str">
        <f>IFERROR(_xlfn.XLOOKUP(TRIM(B10799),Lookup!$B$2:$B$1000,Lookup!$C$2:$C$1000),"")</f>
        <v>Hybrid</v>
      </c>
      <c r="D10799" s="8" t="str">
        <f>IFERROR(INDEX('nav master'!$C:$C, MATCH(B10799, 'nav master'!$B:$B, 0)), "")</f>
        <v/>
      </c>
      <c r="E10799" s="8" t="s">
        <v>582</v>
      </c>
      <c r="F10799" s="8" t="s">
        <v>5751</v>
      </c>
    </row>
    <row r="10800" spans="1:6" ht="45" x14ac:dyDescent="0.25">
      <c r="A10800" s="8" t="s">
        <v>125</v>
      </c>
      <c r="B10800" s="8" t="s">
        <v>4867</v>
      </c>
      <c r="C10800" s="8" t="str">
        <f>IFERROR(_xlfn.XLOOKUP(TRIM(B10800),Lookup!$B$2:$B$1000,Lookup!$C$2:$C$1000),"")</f>
        <v>Hybrid</v>
      </c>
      <c r="D10800" s="8" t="str">
        <f>IFERROR(INDEX('nav master'!$C:$C, MATCH(B10800, 'nav master'!$B:$B, 0)), "")</f>
        <v/>
      </c>
      <c r="E10800" s="8" t="s">
        <v>584</v>
      </c>
      <c r="F10800" s="8" t="s">
        <v>5752</v>
      </c>
    </row>
    <row r="10801" spans="1:6" ht="45" x14ac:dyDescent="0.25">
      <c r="A10801" s="8" t="s">
        <v>125</v>
      </c>
      <c r="B10801" s="8" t="s">
        <v>4867</v>
      </c>
      <c r="C10801" s="8" t="str">
        <f>IFERROR(_xlfn.XLOOKUP(TRIM(B10801),Lookup!$B$2:$B$1000,Lookup!$C$2:$C$1000),"")</f>
        <v>Hybrid</v>
      </c>
      <c r="D10801" s="8" t="str">
        <f>IFERROR(INDEX('nav master'!$C:$C, MATCH(B10801, 'nav master'!$B:$B, 0)), "")</f>
        <v/>
      </c>
      <c r="E10801" s="8" t="s">
        <v>586</v>
      </c>
      <c r="F10801" s="8" t="s">
        <v>5753</v>
      </c>
    </row>
    <row r="10802" spans="1:6" ht="45" x14ac:dyDescent="0.25">
      <c r="A10802" s="8" t="s">
        <v>125</v>
      </c>
      <c r="B10802" s="8" t="s">
        <v>4867</v>
      </c>
      <c r="C10802" s="8" t="str">
        <f>IFERROR(_xlfn.XLOOKUP(TRIM(B10802),Lookup!$B$2:$B$1000,Lookup!$C$2:$C$1000),"")</f>
        <v>Hybrid</v>
      </c>
      <c r="D10802" s="8" t="str">
        <f>IFERROR(INDEX('nav master'!$C:$C, MATCH(B10802, 'nav master'!$B:$B, 0)), "")</f>
        <v/>
      </c>
      <c r="E10802" s="8" t="s">
        <v>588</v>
      </c>
      <c r="F10802" s="8" t="s">
        <v>5754</v>
      </c>
    </row>
    <row r="10803" spans="1:6" ht="45" x14ac:dyDescent="0.25">
      <c r="A10803" s="8" t="s">
        <v>125</v>
      </c>
      <c r="B10803" s="8" t="s">
        <v>4867</v>
      </c>
      <c r="C10803" s="8" t="str">
        <f>IFERROR(_xlfn.XLOOKUP(TRIM(B10803),Lookup!$B$2:$B$1000,Lookup!$C$2:$C$1000),"")</f>
        <v>Hybrid</v>
      </c>
      <c r="D10803" s="8" t="str">
        <f>IFERROR(INDEX('nav master'!$C:$C, MATCH(B10803, 'nav master'!$B:$B, 0)), "")</f>
        <v/>
      </c>
      <c r="E10803" s="8" t="s">
        <v>590</v>
      </c>
      <c r="F10803" s="8" t="s">
        <v>5755</v>
      </c>
    </row>
    <row r="10804" spans="1:6" ht="45" x14ac:dyDescent="0.25">
      <c r="A10804" s="8" t="s">
        <v>125</v>
      </c>
      <c r="B10804" s="8" t="s">
        <v>4867</v>
      </c>
      <c r="C10804" s="8" t="str">
        <f>IFERROR(_xlfn.XLOOKUP(TRIM(B10804),Lookup!$B$2:$B$1000,Lookup!$C$2:$C$1000),"")</f>
        <v>Hybrid</v>
      </c>
      <c r="D10804" s="8" t="str">
        <f>IFERROR(INDEX('nav master'!$C:$C, MATCH(B10804, 'nav master'!$B:$B, 0)), "")</f>
        <v/>
      </c>
      <c r="E10804" s="8" t="s">
        <v>592</v>
      </c>
      <c r="F10804" s="8" t="s">
        <v>5756</v>
      </c>
    </row>
    <row r="10805" spans="1:6" ht="45" x14ac:dyDescent="0.25">
      <c r="A10805" s="8" t="s">
        <v>125</v>
      </c>
      <c r="B10805" s="8" t="s">
        <v>4867</v>
      </c>
      <c r="C10805" s="8" t="str">
        <f>IFERROR(_xlfn.XLOOKUP(TRIM(B10805),Lookup!$B$2:$B$1000,Lookup!$C$2:$C$1000),"")</f>
        <v>Hybrid</v>
      </c>
      <c r="D10805" s="8" t="str">
        <f>IFERROR(INDEX('nav master'!$C:$C, MATCH(B10805, 'nav master'!$B:$B, 0)), "")</f>
        <v/>
      </c>
      <c r="E10805" s="8" t="s">
        <v>594</v>
      </c>
      <c r="F10805" s="8" t="s">
        <v>5757</v>
      </c>
    </row>
    <row r="10806" spans="1:6" ht="45" x14ac:dyDescent="0.25">
      <c r="A10806" s="8" t="s">
        <v>125</v>
      </c>
      <c r="B10806" s="8" t="s">
        <v>4867</v>
      </c>
      <c r="C10806" s="8" t="str">
        <f>IFERROR(_xlfn.XLOOKUP(TRIM(B10806),Lookup!$B$2:$B$1000,Lookup!$C$2:$C$1000),"")</f>
        <v>Hybrid</v>
      </c>
      <c r="D10806" s="8" t="str">
        <f>IFERROR(INDEX('nav master'!$C:$C, MATCH(B10806, 'nav master'!$B:$B, 0)), "")</f>
        <v/>
      </c>
      <c r="E10806" s="8" t="s">
        <v>596</v>
      </c>
      <c r="F10806" s="8" t="s">
        <v>5689</v>
      </c>
    </row>
    <row r="10807" spans="1:6" ht="45" x14ac:dyDescent="0.25">
      <c r="A10807" s="8" t="s">
        <v>125</v>
      </c>
      <c r="B10807" s="8" t="s">
        <v>4867</v>
      </c>
      <c r="C10807" s="8" t="str">
        <f>IFERROR(_xlfn.XLOOKUP(TRIM(B10807),Lookup!$B$2:$B$1000,Lookup!$C$2:$C$1000),"")</f>
        <v>Hybrid</v>
      </c>
      <c r="D10807" s="8" t="str">
        <f>IFERROR(INDEX('nav master'!$C:$C, MATCH(B10807, 'nav master'!$B:$B, 0)), "")</f>
        <v/>
      </c>
      <c r="E10807" s="8" t="s">
        <v>598</v>
      </c>
      <c r="F10807" s="8" t="s">
        <v>5758</v>
      </c>
    </row>
    <row r="10808" spans="1:6" ht="45" x14ac:dyDescent="0.25">
      <c r="A10808" s="8" t="s">
        <v>125</v>
      </c>
      <c r="B10808" s="8" t="s">
        <v>4867</v>
      </c>
      <c r="C10808" s="8" t="str">
        <f>IFERROR(_xlfn.XLOOKUP(TRIM(B10808),Lookup!$B$2:$B$1000,Lookup!$C$2:$C$1000),"")</f>
        <v>Hybrid</v>
      </c>
      <c r="D10808" s="8" t="str">
        <f>IFERROR(INDEX('nav master'!$C:$C, MATCH(B10808, 'nav master'!$B:$B, 0)), "")</f>
        <v/>
      </c>
      <c r="E10808" s="8" t="s">
        <v>600</v>
      </c>
      <c r="F10808" s="8" t="s">
        <v>5759</v>
      </c>
    </row>
    <row r="10809" spans="1:6" ht="45" x14ac:dyDescent="0.25">
      <c r="A10809" s="8" t="s">
        <v>125</v>
      </c>
      <c r="B10809" s="8" t="s">
        <v>4867</v>
      </c>
      <c r="C10809" s="8" t="str">
        <f>IFERROR(_xlfn.XLOOKUP(TRIM(B10809),Lookup!$B$2:$B$1000,Lookup!$C$2:$C$1000),"")</f>
        <v>Hybrid</v>
      </c>
      <c r="D10809" s="8" t="str">
        <f>IFERROR(INDEX('nav master'!$C:$C, MATCH(B10809, 'nav master'!$B:$B, 0)), "")</f>
        <v/>
      </c>
      <c r="E10809" s="8" t="s">
        <v>602</v>
      </c>
      <c r="F10809" s="8" t="s">
        <v>5760</v>
      </c>
    </row>
    <row r="10810" spans="1:6" ht="45" x14ac:dyDescent="0.25">
      <c r="A10810" s="8" t="s">
        <v>125</v>
      </c>
      <c r="B10810" s="8" t="s">
        <v>4867</v>
      </c>
      <c r="C10810" s="8" t="str">
        <f>IFERROR(_xlfn.XLOOKUP(TRIM(B10810),Lookup!$B$2:$B$1000,Lookup!$C$2:$C$1000),"")</f>
        <v>Hybrid</v>
      </c>
      <c r="D10810" s="8" t="str">
        <f>IFERROR(INDEX('nav master'!$C:$C, MATCH(B10810, 'nav master'!$B:$B, 0)), "")</f>
        <v/>
      </c>
      <c r="E10810" s="8" t="s">
        <v>604</v>
      </c>
      <c r="F10810" s="8" t="s">
        <v>3812</v>
      </c>
    </row>
    <row r="10811" spans="1:6" ht="45" x14ac:dyDescent="0.25">
      <c r="A10811" s="8" t="s">
        <v>125</v>
      </c>
      <c r="B10811" s="8" t="s">
        <v>4867</v>
      </c>
      <c r="C10811" s="8" t="str">
        <f>IFERROR(_xlfn.XLOOKUP(TRIM(B10811),Lookup!$B$2:$B$1000,Lookup!$C$2:$C$1000),"")</f>
        <v>Hybrid</v>
      </c>
      <c r="D10811" s="8" t="str">
        <f>IFERROR(INDEX('nav master'!$C:$C, MATCH(B10811, 'nav master'!$B:$B, 0)), "")</f>
        <v/>
      </c>
      <c r="E10811" s="8" t="s">
        <v>606</v>
      </c>
      <c r="F10811" s="8" t="s">
        <v>5761</v>
      </c>
    </row>
    <row r="10812" spans="1:6" ht="45" x14ac:dyDescent="0.25">
      <c r="A10812" s="8" t="s">
        <v>125</v>
      </c>
      <c r="B10812" s="8" t="s">
        <v>4867</v>
      </c>
      <c r="C10812" s="8" t="str">
        <f>IFERROR(_xlfn.XLOOKUP(TRIM(B10812),Lookup!$B$2:$B$1000,Lookup!$C$2:$C$1000),"")</f>
        <v>Hybrid</v>
      </c>
      <c r="D10812" s="8" t="str">
        <f>IFERROR(INDEX('nav master'!$C:$C, MATCH(B10812, 'nav master'!$B:$B, 0)), "")</f>
        <v/>
      </c>
      <c r="E10812" s="8" t="s">
        <v>608</v>
      </c>
      <c r="F10812" s="8" t="s">
        <v>5762</v>
      </c>
    </row>
    <row r="10813" spans="1:6" ht="45" x14ac:dyDescent="0.25">
      <c r="A10813" s="8" t="s">
        <v>125</v>
      </c>
      <c r="B10813" s="8" t="s">
        <v>4867</v>
      </c>
      <c r="C10813" s="8" t="str">
        <f>IFERROR(_xlfn.XLOOKUP(TRIM(B10813),Lookup!$B$2:$B$1000,Lookup!$C$2:$C$1000),"")</f>
        <v>Hybrid</v>
      </c>
      <c r="D10813" s="8" t="str">
        <f>IFERROR(INDEX('nav master'!$C:$C, MATCH(B10813, 'nav master'!$B:$B, 0)), "")</f>
        <v/>
      </c>
      <c r="E10813" s="8" t="s">
        <v>610</v>
      </c>
      <c r="F10813" s="8" t="s">
        <v>5763</v>
      </c>
    </row>
    <row r="10814" spans="1:6" ht="45" x14ac:dyDescent="0.25">
      <c r="A10814" s="8" t="s">
        <v>125</v>
      </c>
      <c r="B10814" s="8" t="s">
        <v>4867</v>
      </c>
      <c r="C10814" s="8" t="str">
        <f>IFERROR(_xlfn.XLOOKUP(TRIM(B10814),Lookup!$B$2:$B$1000,Lookup!$C$2:$C$1000),"")</f>
        <v>Hybrid</v>
      </c>
      <c r="D10814" s="8" t="str">
        <f>IFERROR(INDEX('nav master'!$C:$C, MATCH(B10814, 'nav master'!$B:$B, 0)), "")</f>
        <v/>
      </c>
      <c r="E10814" s="8" t="s">
        <v>612</v>
      </c>
      <c r="F10814" s="8" t="s">
        <v>5764</v>
      </c>
    </row>
    <row r="10815" spans="1:6" ht="45" x14ac:dyDescent="0.25">
      <c r="A10815" s="8" t="s">
        <v>125</v>
      </c>
      <c r="B10815" s="8" t="s">
        <v>4867</v>
      </c>
      <c r="C10815" s="8" t="str">
        <f>IFERROR(_xlfn.XLOOKUP(TRIM(B10815),Lookup!$B$2:$B$1000,Lookup!$C$2:$C$1000),"")</f>
        <v>Hybrid</v>
      </c>
      <c r="D10815" s="8" t="str">
        <f>IFERROR(INDEX('nav master'!$C:$C, MATCH(B10815, 'nav master'!$B:$B, 0)), "")</f>
        <v/>
      </c>
      <c r="E10815" s="8" t="s">
        <v>614</v>
      </c>
      <c r="F10815" s="8" t="s">
        <v>5765</v>
      </c>
    </row>
    <row r="10816" spans="1:6" ht="45" x14ac:dyDescent="0.25">
      <c r="A10816" s="8" t="s">
        <v>125</v>
      </c>
      <c r="B10816" s="8" t="s">
        <v>4867</v>
      </c>
      <c r="C10816" s="8" t="str">
        <f>IFERROR(_xlfn.XLOOKUP(TRIM(B10816),Lookup!$B$2:$B$1000,Lookup!$C$2:$C$1000),"")</f>
        <v>Hybrid</v>
      </c>
      <c r="D10816" s="8" t="str">
        <f>IFERROR(INDEX('nav master'!$C:$C, MATCH(B10816, 'nav master'!$B:$B, 0)), "")</f>
        <v/>
      </c>
      <c r="E10816" s="8" t="s">
        <v>616</v>
      </c>
      <c r="F10816" s="8" t="s">
        <v>5766</v>
      </c>
    </row>
    <row r="10817" spans="1:6" ht="45" x14ac:dyDescent="0.25">
      <c r="A10817" s="8" t="s">
        <v>125</v>
      </c>
      <c r="B10817" s="8" t="s">
        <v>4867</v>
      </c>
      <c r="C10817" s="8" t="str">
        <f>IFERROR(_xlfn.XLOOKUP(TRIM(B10817),Lookup!$B$2:$B$1000,Lookup!$C$2:$C$1000),"")</f>
        <v>Hybrid</v>
      </c>
      <c r="D10817" s="8" t="str">
        <f>IFERROR(INDEX('nav master'!$C:$C, MATCH(B10817, 'nav master'!$B:$B, 0)), "")</f>
        <v/>
      </c>
      <c r="E10817" s="8" t="s">
        <v>618</v>
      </c>
      <c r="F10817" s="8" t="s">
        <v>5767</v>
      </c>
    </row>
    <row r="10818" spans="1:6" ht="45" x14ac:dyDescent="0.25">
      <c r="A10818" s="8" t="s">
        <v>125</v>
      </c>
      <c r="B10818" s="8" t="s">
        <v>4867</v>
      </c>
      <c r="C10818" s="8" t="str">
        <f>IFERROR(_xlfn.XLOOKUP(TRIM(B10818),Lookup!$B$2:$B$1000,Lookup!$C$2:$C$1000),"")</f>
        <v>Hybrid</v>
      </c>
      <c r="D10818" s="8" t="str">
        <f>IFERROR(INDEX('nav master'!$C:$C, MATCH(B10818, 'nav master'!$B:$B, 0)), "")</f>
        <v/>
      </c>
      <c r="E10818" s="8" t="s">
        <v>620</v>
      </c>
      <c r="F10818" s="8" t="s">
        <v>5768</v>
      </c>
    </row>
    <row r="10819" spans="1:6" ht="45" x14ac:dyDescent="0.25">
      <c r="A10819" s="8" t="s">
        <v>125</v>
      </c>
      <c r="B10819" s="8" t="s">
        <v>4867</v>
      </c>
      <c r="C10819" s="8" t="str">
        <f>IFERROR(_xlfn.XLOOKUP(TRIM(B10819),Lookup!$B$2:$B$1000,Lookup!$C$2:$C$1000),"")</f>
        <v>Hybrid</v>
      </c>
      <c r="D10819" s="8" t="str">
        <f>IFERROR(INDEX('nav master'!$C:$C, MATCH(B10819, 'nav master'!$B:$B, 0)), "")</f>
        <v/>
      </c>
      <c r="E10819" s="8" t="s">
        <v>622</v>
      </c>
      <c r="F10819" s="8" t="s">
        <v>5769</v>
      </c>
    </row>
    <row r="10820" spans="1:6" ht="45" x14ac:dyDescent="0.25">
      <c r="A10820" s="8" t="s">
        <v>125</v>
      </c>
      <c r="B10820" s="8" t="s">
        <v>4867</v>
      </c>
      <c r="C10820" s="8" t="str">
        <f>IFERROR(_xlfn.XLOOKUP(TRIM(B10820),Lookup!$B$2:$B$1000,Lookup!$C$2:$C$1000),"")</f>
        <v>Hybrid</v>
      </c>
      <c r="D10820" s="8" t="str">
        <f>IFERROR(INDEX('nav master'!$C:$C, MATCH(B10820, 'nav master'!$B:$B, 0)), "")</f>
        <v/>
      </c>
      <c r="E10820" s="8" t="s">
        <v>624</v>
      </c>
      <c r="F10820" s="8" t="s">
        <v>5770</v>
      </c>
    </row>
    <row r="10821" spans="1:6" ht="45" x14ac:dyDescent="0.25">
      <c r="A10821" s="8" t="s">
        <v>125</v>
      </c>
      <c r="B10821" s="8" t="s">
        <v>4867</v>
      </c>
      <c r="C10821" s="8" t="str">
        <f>IFERROR(_xlfn.XLOOKUP(TRIM(B10821),Lookup!$B$2:$B$1000,Lookup!$C$2:$C$1000),"")</f>
        <v>Hybrid</v>
      </c>
      <c r="D10821" s="8" t="str">
        <f>IFERROR(INDEX('nav master'!$C:$C, MATCH(B10821, 'nav master'!$B:$B, 0)), "")</f>
        <v/>
      </c>
      <c r="E10821" s="8" t="s">
        <v>626</v>
      </c>
      <c r="F10821" s="8" t="s">
        <v>5771</v>
      </c>
    </row>
    <row r="10822" spans="1:6" ht="45" x14ac:dyDescent="0.25">
      <c r="A10822" s="8" t="s">
        <v>125</v>
      </c>
      <c r="B10822" s="8" t="s">
        <v>4867</v>
      </c>
      <c r="C10822" s="8" t="str">
        <f>IFERROR(_xlfn.XLOOKUP(TRIM(B10822),Lookup!$B$2:$B$1000,Lookup!$C$2:$C$1000),"")</f>
        <v>Hybrid</v>
      </c>
      <c r="D10822" s="8" t="str">
        <f>IFERROR(INDEX('nav master'!$C:$C, MATCH(B10822, 'nav master'!$B:$B, 0)), "")</f>
        <v/>
      </c>
      <c r="E10822" s="8" t="s">
        <v>628</v>
      </c>
      <c r="F10822" s="8" t="s">
        <v>5772</v>
      </c>
    </row>
    <row r="10823" spans="1:6" ht="45" x14ac:dyDescent="0.25">
      <c r="A10823" s="8" t="s">
        <v>125</v>
      </c>
      <c r="B10823" s="8" t="s">
        <v>4867</v>
      </c>
      <c r="C10823" s="8" t="str">
        <f>IFERROR(_xlfn.XLOOKUP(TRIM(B10823),Lookup!$B$2:$B$1000,Lookup!$C$2:$C$1000),"")</f>
        <v>Hybrid</v>
      </c>
      <c r="D10823" s="8" t="str">
        <f>IFERROR(INDEX('nav master'!$C:$C, MATCH(B10823, 'nav master'!$B:$B, 0)), "")</f>
        <v/>
      </c>
      <c r="E10823" s="8" t="s">
        <v>630</v>
      </c>
      <c r="F10823" s="8" t="s">
        <v>5773</v>
      </c>
    </row>
    <row r="10824" spans="1:6" ht="45" x14ac:dyDescent="0.25">
      <c r="A10824" s="8" t="s">
        <v>125</v>
      </c>
      <c r="B10824" s="8" t="s">
        <v>4867</v>
      </c>
      <c r="C10824" s="8" t="str">
        <f>IFERROR(_xlfn.XLOOKUP(TRIM(B10824),Lookup!$B$2:$B$1000,Lookup!$C$2:$C$1000),"")</f>
        <v>Hybrid</v>
      </c>
      <c r="D10824" s="8" t="str">
        <f>IFERROR(INDEX('nav master'!$C:$C, MATCH(B10824, 'nav master'!$B:$B, 0)), "")</f>
        <v/>
      </c>
      <c r="E10824" s="8" t="s">
        <v>632</v>
      </c>
      <c r="F10824" s="8" t="s">
        <v>5774</v>
      </c>
    </row>
    <row r="10825" spans="1:6" ht="45" x14ac:dyDescent="0.25">
      <c r="A10825" s="8" t="s">
        <v>125</v>
      </c>
      <c r="B10825" s="8" t="s">
        <v>4867</v>
      </c>
      <c r="C10825" s="8" t="str">
        <f>IFERROR(_xlfn.XLOOKUP(TRIM(B10825),Lookup!$B$2:$B$1000,Lookup!$C$2:$C$1000),"")</f>
        <v>Hybrid</v>
      </c>
      <c r="D10825" s="8" t="str">
        <f>IFERROR(INDEX('nav master'!$C:$C, MATCH(B10825, 'nav master'!$B:$B, 0)), "")</f>
        <v/>
      </c>
      <c r="E10825" s="8" t="s">
        <v>634</v>
      </c>
      <c r="F10825" s="8" t="s">
        <v>5775</v>
      </c>
    </row>
    <row r="10826" spans="1:6" ht="45" x14ac:dyDescent="0.25">
      <c r="A10826" s="8" t="s">
        <v>125</v>
      </c>
      <c r="B10826" s="8" t="s">
        <v>4867</v>
      </c>
      <c r="C10826" s="8" t="str">
        <f>IFERROR(_xlfn.XLOOKUP(TRIM(B10826),Lookup!$B$2:$B$1000,Lookup!$C$2:$C$1000),"")</f>
        <v>Hybrid</v>
      </c>
      <c r="D10826" s="8" t="str">
        <f>IFERROR(INDEX('nav master'!$C:$C, MATCH(B10826, 'nav master'!$B:$B, 0)), "")</f>
        <v/>
      </c>
      <c r="E10826" s="8" t="s">
        <v>636</v>
      </c>
      <c r="F10826" s="8" t="s">
        <v>5776</v>
      </c>
    </row>
    <row r="10827" spans="1:6" ht="45" x14ac:dyDescent="0.25">
      <c r="A10827" s="8" t="s">
        <v>125</v>
      </c>
      <c r="B10827" s="8" t="s">
        <v>4867</v>
      </c>
      <c r="C10827" s="8" t="str">
        <f>IFERROR(_xlfn.XLOOKUP(TRIM(B10827),Lookup!$B$2:$B$1000,Lookup!$C$2:$C$1000),"")</f>
        <v>Hybrid</v>
      </c>
      <c r="D10827" s="8" t="str">
        <f>IFERROR(INDEX('nav master'!$C:$C, MATCH(B10827, 'nav master'!$B:$B, 0)), "")</f>
        <v/>
      </c>
      <c r="E10827" s="8" t="s">
        <v>638</v>
      </c>
      <c r="F10827" s="8" t="s">
        <v>5777</v>
      </c>
    </row>
    <row r="10828" spans="1:6" ht="45" x14ac:dyDescent="0.25">
      <c r="A10828" s="8" t="s">
        <v>125</v>
      </c>
      <c r="B10828" s="8" t="s">
        <v>4867</v>
      </c>
      <c r="C10828" s="8" t="str">
        <f>IFERROR(_xlfn.XLOOKUP(TRIM(B10828),Lookup!$B$2:$B$1000,Lookup!$C$2:$C$1000),"")</f>
        <v>Hybrid</v>
      </c>
      <c r="D10828" s="8" t="str">
        <f>IFERROR(INDEX('nav master'!$C:$C, MATCH(B10828, 'nav master'!$B:$B, 0)), "")</f>
        <v/>
      </c>
      <c r="E10828" s="8" t="s">
        <v>640</v>
      </c>
      <c r="F10828" s="8" t="s">
        <v>5778</v>
      </c>
    </row>
    <row r="10829" spans="1:6" ht="45" x14ac:dyDescent="0.25">
      <c r="A10829" s="8" t="s">
        <v>125</v>
      </c>
      <c r="B10829" s="8" t="s">
        <v>4867</v>
      </c>
      <c r="C10829" s="8" t="str">
        <f>IFERROR(_xlfn.XLOOKUP(TRIM(B10829),Lookup!$B$2:$B$1000,Lookup!$C$2:$C$1000),"")</f>
        <v>Hybrid</v>
      </c>
      <c r="D10829" s="8" t="str">
        <f>IFERROR(INDEX('nav master'!$C:$C, MATCH(B10829, 'nav master'!$B:$B, 0)), "")</f>
        <v/>
      </c>
      <c r="E10829" s="8" t="s">
        <v>642</v>
      </c>
      <c r="F10829" s="8" t="s">
        <v>5779</v>
      </c>
    </row>
    <row r="10830" spans="1:6" ht="45" x14ac:dyDescent="0.25">
      <c r="A10830" s="8" t="s">
        <v>125</v>
      </c>
      <c r="B10830" s="8" t="s">
        <v>4867</v>
      </c>
      <c r="C10830" s="8" t="str">
        <f>IFERROR(_xlfn.XLOOKUP(TRIM(B10830),Lookup!$B$2:$B$1000,Lookup!$C$2:$C$1000),"")</f>
        <v>Hybrid</v>
      </c>
      <c r="D10830" s="8" t="str">
        <f>IFERROR(INDEX('nav master'!$C:$C, MATCH(B10830, 'nav master'!$B:$B, 0)), "")</f>
        <v/>
      </c>
      <c r="E10830" s="8" t="s">
        <v>644</v>
      </c>
      <c r="F10830" s="8" t="s">
        <v>5780</v>
      </c>
    </row>
    <row r="10831" spans="1:6" ht="45" x14ac:dyDescent="0.25">
      <c r="A10831" s="8" t="s">
        <v>125</v>
      </c>
      <c r="B10831" s="8" t="s">
        <v>4867</v>
      </c>
      <c r="C10831" s="8" t="str">
        <f>IFERROR(_xlfn.XLOOKUP(TRIM(B10831),Lookup!$B$2:$B$1000,Lookup!$C$2:$C$1000),"")</f>
        <v>Hybrid</v>
      </c>
      <c r="D10831" s="8" t="str">
        <f>IFERROR(INDEX('nav master'!$C:$C, MATCH(B10831, 'nav master'!$B:$B, 0)), "")</f>
        <v/>
      </c>
      <c r="E10831" s="8" t="s">
        <v>646</v>
      </c>
      <c r="F10831" s="8" t="s">
        <v>5781</v>
      </c>
    </row>
    <row r="10832" spans="1:6" ht="45" x14ac:dyDescent="0.25">
      <c r="A10832" s="8" t="s">
        <v>125</v>
      </c>
      <c r="B10832" s="8" t="s">
        <v>4867</v>
      </c>
      <c r="C10832" s="8" t="str">
        <f>IFERROR(_xlfn.XLOOKUP(TRIM(B10832),Lookup!$B$2:$B$1000,Lookup!$C$2:$C$1000),"")</f>
        <v>Hybrid</v>
      </c>
      <c r="D10832" s="8" t="str">
        <f>IFERROR(INDEX('nav master'!$C:$C, MATCH(B10832, 'nav master'!$B:$B, 0)), "")</f>
        <v/>
      </c>
      <c r="E10832" s="8" t="s">
        <v>648</v>
      </c>
      <c r="F10832" s="8" t="s">
        <v>5782</v>
      </c>
    </row>
    <row r="10833" spans="1:6" ht="45" x14ac:dyDescent="0.25">
      <c r="A10833" s="8" t="s">
        <v>125</v>
      </c>
      <c r="B10833" s="8" t="s">
        <v>4867</v>
      </c>
      <c r="C10833" s="8" t="str">
        <f>IFERROR(_xlfn.XLOOKUP(TRIM(B10833),Lookup!$B$2:$B$1000,Lookup!$C$2:$C$1000),"")</f>
        <v>Hybrid</v>
      </c>
      <c r="D10833" s="8" t="str">
        <f>IFERROR(INDEX('nav master'!$C:$C, MATCH(B10833, 'nav master'!$B:$B, 0)), "")</f>
        <v/>
      </c>
      <c r="E10833" s="8" t="s">
        <v>650</v>
      </c>
      <c r="F10833" s="8" t="s">
        <v>5783</v>
      </c>
    </row>
    <row r="10834" spans="1:6" ht="45" x14ac:dyDescent="0.25">
      <c r="A10834" s="8" t="s">
        <v>125</v>
      </c>
      <c r="B10834" s="8" t="s">
        <v>4867</v>
      </c>
      <c r="C10834" s="8" t="str">
        <f>IFERROR(_xlfn.XLOOKUP(TRIM(B10834),Lookup!$B$2:$B$1000,Lookup!$C$2:$C$1000),"")</f>
        <v>Hybrid</v>
      </c>
      <c r="D10834" s="8" t="str">
        <f>IFERROR(INDEX('nav master'!$C:$C, MATCH(B10834, 'nav master'!$B:$B, 0)), "")</f>
        <v/>
      </c>
      <c r="E10834" s="8" t="s">
        <v>652</v>
      </c>
      <c r="F10834" s="8" t="s">
        <v>5784</v>
      </c>
    </row>
    <row r="10835" spans="1:6" ht="45" x14ac:dyDescent="0.25">
      <c r="A10835" s="8" t="s">
        <v>125</v>
      </c>
      <c r="B10835" s="8" t="s">
        <v>4867</v>
      </c>
      <c r="C10835" s="8" t="str">
        <f>IFERROR(_xlfn.XLOOKUP(TRIM(B10835),Lookup!$B$2:$B$1000,Lookup!$C$2:$C$1000),"")</f>
        <v>Hybrid</v>
      </c>
      <c r="D10835" s="8" t="str">
        <f>IFERROR(INDEX('nav master'!$C:$C, MATCH(B10835, 'nav master'!$B:$B, 0)), "")</f>
        <v/>
      </c>
      <c r="E10835" s="8" t="s">
        <v>654</v>
      </c>
      <c r="F10835" s="8" t="s">
        <v>5785</v>
      </c>
    </row>
    <row r="10836" spans="1:6" ht="45" x14ac:dyDescent="0.25">
      <c r="A10836" s="8" t="s">
        <v>125</v>
      </c>
      <c r="B10836" s="8" t="s">
        <v>4867</v>
      </c>
      <c r="C10836" s="8" t="str">
        <f>IFERROR(_xlfn.XLOOKUP(TRIM(B10836),Lookup!$B$2:$B$1000,Lookup!$C$2:$C$1000),"")</f>
        <v>Hybrid</v>
      </c>
      <c r="D10836" s="8" t="str">
        <f>IFERROR(INDEX('nav master'!$C:$C, MATCH(B10836, 'nav master'!$B:$B, 0)), "")</f>
        <v/>
      </c>
      <c r="E10836" s="8" t="s">
        <v>656</v>
      </c>
      <c r="F10836" s="8" t="s">
        <v>5786</v>
      </c>
    </row>
    <row r="10837" spans="1:6" ht="45" x14ac:dyDescent="0.25">
      <c r="A10837" s="8" t="s">
        <v>125</v>
      </c>
      <c r="B10837" s="8" t="s">
        <v>4867</v>
      </c>
      <c r="C10837" s="8" t="str">
        <f>IFERROR(_xlfn.XLOOKUP(TRIM(B10837),Lookup!$B$2:$B$1000,Lookup!$C$2:$C$1000),"")</f>
        <v>Hybrid</v>
      </c>
      <c r="D10837" s="8" t="str">
        <f>IFERROR(INDEX('nav master'!$C:$C, MATCH(B10837, 'nav master'!$B:$B, 0)), "")</f>
        <v/>
      </c>
      <c r="E10837" s="8" t="s">
        <v>658</v>
      </c>
      <c r="F10837" s="8" t="s">
        <v>5787</v>
      </c>
    </row>
    <row r="10838" spans="1:6" ht="45" x14ac:dyDescent="0.25">
      <c r="A10838" s="8" t="s">
        <v>125</v>
      </c>
      <c r="B10838" s="8" t="s">
        <v>4867</v>
      </c>
      <c r="C10838" s="8" t="str">
        <f>IFERROR(_xlfn.XLOOKUP(TRIM(B10838),Lookup!$B$2:$B$1000,Lookup!$C$2:$C$1000),"")</f>
        <v>Hybrid</v>
      </c>
      <c r="D10838" s="8" t="str">
        <f>IFERROR(INDEX('nav master'!$C:$C, MATCH(B10838, 'nav master'!$B:$B, 0)), "")</f>
        <v/>
      </c>
      <c r="E10838" s="8" t="s">
        <v>660</v>
      </c>
      <c r="F10838" s="8" t="s">
        <v>5788</v>
      </c>
    </row>
    <row r="10839" spans="1:6" ht="45" x14ac:dyDescent="0.25">
      <c r="A10839" s="8" t="s">
        <v>125</v>
      </c>
      <c r="B10839" s="8" t="s">
        <v>4867</v>
      </c>
      <c r="C10839" s="8" t="str">
        <f>IFERROR(_xlfn.XLOOKUP(TRIM(B10839),Lookup!$B$2:$B$1000,Lookup!$C$2:$C$1000),"")</f>
        <v>Hybrid</v>
      </c>
      <c r="D10839" s="8" t="str">
        <f>IFERROR(INDEX('nav master'!$C:$C, MATCH(B10839, 'nav master'!$B:$B, 0)), "")</f>
        <v/>
      </c>
      <c r="E10839" s="8" t="s">
        <v>662</v>
      </c>
      <c r="F10839" s="8" t="s">
        <v>5789</v>
      </c>
    </row>
    <row r="10840" spans="1:6" ht="45" x14ac:dyDescent="0.25">
      <c r="A10840" s="8" t="s">
        <v>125</v>
      </c>
      <c r="B10840" s="8" t="s">
        <v>4867</v>
      </c>
      <c r="C10840" s="8" t="str">
        <f>IFERROR(_xlfn.XLOOKUP(TRIM(B10840),Lookup!$B$2:$B$1000,Lookup!$C$2:$C$1000),"")</f>
        <v>Hybrid</v>
      </c>
      <c r="D10840" s="8" t="str">
        <f>IFERROR(INDEX('nav master'!$C:$C, MATCH(B10840, 'nav master'!$B:$B, 0)), "")</f>
        <v/>
      </c>
      <c r="E10840" s="8" t="s">
        <v>664</v>
      </c>
      <c r="F10840" s="8" t="s">
        <v>5790</v>
      </c>
    </row>
    <row r="10841" spans="1:6" ht="45" x14ac:dyDescent="0.25">
      <c r="A10841" s="8" t="s">
        <v>125</v>
      </c>
      <c r="B10841" s="8" t="s">
        <v>4867</v>
      </c>
      <c r="C10841" s="8" t="str">
        <f>IFERROR(_xlfn.XLOOKUP(TRIM(B10841),Lookup!$B$2:$B$1000,Lookup!$C$2:$C$1000),"")</f>
        <v>Hybrid</v>
      </c>
      <c r="D10841" s="8" t="str">
        <f>IFERROR(INDEX('nav master'!$C:$C, MATCH(B10841, 'nav master'!$B:$B, 0)), "")</f>
        <v/>
      </c>
      <c r="E10841" s="8" t="s">
        <v>4892</v>
      </c>
      <c r="F10841" s="8" t="s">
        <v>5791</v>
      </c>
    </row>
    <row r="10842" spans="1:6" ht="45" x14ac:dyDescent="0.25">
      <c r="A10842" s="8" t="s">
        <v>125</v>
      </c>
      <c r="B10842" s="8" t="s">
        <v>4867</v>
      </c>
      <c r="C10842" s="8" t="str">
        <f>IFERROR(_xlfn.XLOOKUP(TRIM(B10842),Lookup!$B$2:$B$1000,Lookup!$C$2:$C$1000),"")</f>
        <v>Hybrid</v>
      </c>
      <c r="D10842" s="8" t="str">
        <f>IFERROR(INDEX('nav master'!$C:$C, MATCH(B10842, 'nav master'!$B:$B, 0)), "")</f>
        <v/>
      </c>
      <c r="E10842" s="8" t="s">
        <v>4894</v>
      </c>
      <c r="F10842" s="8" t="s">
        <v>5792</v>
      </c>
    </row>
    <row r="10843" spans="1:6" ht="45" x14ac:dyDescent="0.25">
      <c r="A10843" s="8" t="s">
        <v>125</v>
      </c>
      <c r="B10843" s="8" t="s">
        <v>4867</v>
      </c>
      <c r="C10843" s="8" t="str">
        <f>IFERROR(_xlfn.XLOOKUP(TRIM(B10843),Lookup!$B$2:$B$1000,Lookup!$C$2:$C$1000),"")</f>
        <v>Hybrid</v>
      </c>
      <c r="D10843" s="8" t="str">
        <f>IFERROR(INDEX('nav master'!$C:$C, MATCH(B10843, 'nav master'!$B:$B, 0)), "")</f>
        <v/>
      </c>
      <c r="E10843" s="8" t="s">
        <v>4896</v>
      </c>
      <c r="F10843" s="8" t="s">
        <v>5793</v>
      </c>
    </row>
    <row r="10844" spans="1:6" ht="45" x14ac:dyDescent="0.25">
      <c r="A10844" s="8" t="s">
        <v>125</v>
      </c>
      <c r="B10844" s="8" t="s">
        <v>4867</v>
      </c>
      <c r="C10844" s="8" t="str">
        <f>IFERROR(_xlfn.XLOOKUP(TRIM(B10844),Lookup!$B$2:$B$1000,Lookup!$C$2:$C$1000),"")</f>
        <v>Hybrid</v>
      </c>
      <c r="D10844" s="8" t="str">
        <f>IFERROR(INDEX('nav master'!$C:$C, MATCH(B10844, 'nav master'!$B:$B, 0)), "")</f>
        <v/>
      </c>
      <c r="E10844" s="8" t="s">
        <v>4898</v>
      </c>
      <c r="F10844" s="8" t="s">
        <v>5782</v>
      </c>
    </row>
    <row r="10845" spans="1:6" ht="45" x14ac:dyDescent="0.25">
      <c r="A10845" s="8" t="s">
        <v>125</v>
      </c>
      <c r="B10845" s="8" t="s">
        <v>4867</v>
      </c>
      <c r="C10845" s="8" t="str">
        <f>IFERROR(_xlfn.XLOOKUP(TRIM(B10845),Lookup!$B$2:$B$1000,Lookup!$C$2:$C$1000),"")</f>
        <v>Hybrid</v>
      </c>
      <c r="D10845" s="8" t="str">
        <f>IFERROR(INDEX('nav master'!$C:$C, MATCH(B10845, 'nav master'!$B:$B, 0)), "")</f>
        <v/>
      </c>
      <c r="E10845" s="8" t="s">
        <v>4900</v>
      </c>
      <c r="F10845" s="8" t="s">
        <v>5794</v>
      </c>
    </row>
    <row r="10846" spans="1:6" ht="45" x14ac:dyDescent="0.25">
      <c r="A10846" s="8" t="s">
        <v>125</v>
      </c>
      <c r="B10846" s="8" t="s">
        <v>4867</v>
      </c>
      <c r="C10846" s="8" t="str">
        <f>IFERROR(_xlfn.XLOOKUP(TRIM(B10846),Lookup!$B$2:$B$1000,Lookup!$C$2:$C$1000),"")</f>
        <v>Hybrid</v>
      </c>
      <c r="D10846" s="8" t="str">
        <f>IFERROR(INDEX('nav master'!$C:$C, MATCH(B10846, 'nav master'!$B:$B, 0)), "")</f>
        <v/>
      </c>
      <c r="E10846" s="8" t="s">
        <v>4902</v>
      </c>
      <c r="F10846" s="8" t="s">
        <v>5795</v>
      </c>
    </row>
    <row r="10847" spans="1:6" ht="45" x14ac:dyDescent="0.25">
      <c r="A10847" s="8" t="s">
        <v>125</v>
      </c>
      <c r="B10847" s="8" t="s">
        <v>4867</v>
      </c>
      <c r="C10847" s="8" t="str">
        <f>IFERROR(_xlfn.XLOOKUP(TRIM(B10847),Lookup!$B$2:$B$1000,Lookup!$C$2:$C$1000),"")</f>
        <v>Hybrid</v>
      </c>
      <c r="D10847" s="8" t="str">
        <f>IFERROR(INDEX('nav master'!$C:$C, MATCH(B10847, 'nav master'!$B:$B, 0)), "")</f>
        <v/>
      </c>
      <c r="E10847" s="8" t="s">
        <v>4903</v>
      </c>
      <c r="F10847" s="8" t="s">
        <v>5796</v>
      </c>
    </row>
    <row r="10848" spans="1:6" ht="45" x14ac:dyDescent="0.25">
      <c r="A10848" s="8" t="s">
        <v>125</v>
      </c>
      <c r="B10848" s="8" t="s">
        <v>4867</v>
      </c>
      <c r="C10848" s="8" t="str">
        <f>IFERROR(_xlfn.XLOOKUP(TRIM(B10848),Lookup!$B$2:$B$1000,Lookup!$C$2:$C$1000),"")</f>
        <v>Hybrid</v>
      </c>
      <c r="D10848" s="8" t="str">
        <f>IFERROR(INDEX('nav master'!$C:$C, MATCH(B10848, 'nav master'!$B:$B, 0)), "")</f>
        <v/>
      </c>
      <c r="E10848" s="8" t="s">
        <v>4905</v>
      </c>
      <c r="F10848" s="8" t="s">
        <v>5797</v>
      </c>
    </row>
    <row r="10849" spans="1:6" ht="60" x14ac:dyDescent="0.25">
      <c r="A10849" s="8" t="s">
        <v>125</v>
      </c>
      <c r="B10849" s="8" t="s">
        <v>138</v>
      </c>
      <c r="C10849" s="8" t="str">
        <f>IFERROR(_xlfn.XLOOKUP(TRIM(B10849),Lookup!$B$2:$B$1000,Lookup!$C$2:$C$1000),"")</f>
        <v>Equity</v>
      </c>
      <c r="D10849" s="8" t="str">
        <f>IFERROR(INDEX('nav master'!$C:$C, MATCH(B10849, 'nav master'!$B:$B, 0)), "")</f>
        <v>ULIF06723/03/18EqtyAdvtFd101</v>
      </c>
      <c r="E10849" s="8" t="s">
        <v>189</v>
      </c>
      <c r="F10849" s="8" t="s">
        <v>4388</v>
      </c>
    </row>
    <row r="10850" spans="1:6" ht="60" x14ac:dyDescent="0.25">
      <c r="A10850" s="8" t="s">
        <v>125</v>
      </c>
      <c r="B10850" s="8" t="s">
        <v>138</v>
      </c>
      <c r="C10850" s="8" t="str">
        <f>IFERROR(_xlfn.XLOOKUP(TRIM(B10850),Lookup!$B$2:$B$1000,Lookup!$C$2:$C$1000),"")</f>
        <v>Equity</v>
      </c>
      <c r="D10850" s="8" t="str">
        <f>IFERROR(INDEX('nav master'!$C:$C, MATCH(B10850, 'nav master'!$B:$B, 0)), "")</f>
        <v>ULIF06723/03/18EqtyAdvtFd101</v>
      </c>
      <c r="E10850" s="8" t="s">
        <v>191</v>
      </c>
      <c r="F10850" s="8" t="s">
        <v>4389</v>
      </c>
    </row>
    <row r="10851" spans="1:6" ht="60" x14ac:dyDescent="0.25">
      <c r="A10851" s="8" t="s">
        <v>125</v>
      </c>
      <c r="B10851" s="8" t="s">
        <v>138</v>
      </c>
      <c r="C10851" s="8" t="str">
        <f>IFERROR(_xlfn.XLOOKUP(TRIM(B10851),Lookup!$B$2:$B$1000,Lookup!$C$2:$C$1000),"")</f>
        <v>Equity</v>
      </c>
      <c r="D10851" s="8" t="str">
        <f>IFERROR(INDEX('nav master'!$C:$C, MATCH(B10851, 'nav master'!$B:$B, 0)), "")</f>
        <v>ULIF06723/03/18EqtyAdvtFd101</v>
      </c>
      <c r="E10851" s="8" t="s">
        <v>193</v>
      </c>
      <c r="F10851" s="8" t="s">
        <v>4390</v>
      </c>
    </row>
    <row r="10852" spans="1:6" ht="60" x14ac:dyDescent="0.25">
      <c r="A10852" s="8" t="s">
        <v>125</v>
      </c>
      <c r="B10852" s="8" t="s">
        <v>138</v>
      </c>
      <c r="C10852" s="8" t="str">
        <f>IFERROR(_xlfn.XLOOKUP(TRIM(B10852),Lookup!$B$2:$B$1000,Lookup!$C$2:$C$1000),"")</f>
        <v>Equity</v>
      </c>
      <c r="D10852" s="8" t="str">
        <f>IFERROR(INDEX('nav master'!$C:$C, MATCH(B10852, 'nav master'!$B:$B, 0)), "")</f>
        <v>ULIF06723/03/18EqtyAdvtFd101</v>
      </c>
      <c r="E10852" s="8" t="s">
        <v>195</v>
      </c>
      <c r="F10852" s="8" t="s">
        <v>4391</v>
      </c>
    </row>
    <row r="10853" spans="1:6" ht="60" x14ac:dyDescent="0.25">
      <c r="A10853" s="8" t="s">
        <v>125</v>
      </c>
      <c r="B10853" s="8" t="s">
        <v>138</v>
      </c>
      <c r="C10853" s="8" t="str">
        <f>IFERROR(_xlfn.XLOOKUP(TRIM(B10853),Lookup!$B$2:$B$1000,Lookup!$C$2:$C$1000),"")</f>
        <v>Equity</v>
      </c>
      <c r="D10853" s="8" t="str">
        <f>IFERROR(INDEX('nav master'!$C:$C, MATCH(B10853, 'nav master'!$B:$B, 0)), "")</f>
        <v>ULIF06723/03/18EqtyAdvtFd101</v>
      </c>
      <c r="E10853" s="8" t="s">
        <v>197</v>
      </c>
      <c r="F10853" s="8" t="s">
        <v>4392</v>
      </c>
    </row>
    <row r="10854" spans="1:6" ht="60" x14ac:dyDescent="0.25">
      <c r="A10854" s="8" t="s">
        <v>125</v>
      </c>
      <c r="B10854" s="8" t="s">
        <v>138</v>
      </c>
      <c r="C10854" s="8" t="str">
        <f>IFERROR(_xlfn.XLOOKUP(TRIM(B10854),Lookup!$B$2:$B$1000,Lookup!$C$2:$C$1000),"")</f>
        <v>Equity</v>
      </c>
      <c r="D10854" s="8" t="str">
        <f>IFERROR(INDEX('nav master'!$C:$C, MATCH(B10854, 'nav master'!$B:$B, 0)), "")</f>
        <v>ULIF06723/03/18EqtyAdvtFd101</v>
      </c>
      <c r="E10854" s="8" t="s">
        <v>199</v>
      </c>
      <c r="F10854" s="8" t="s">
        <v>4393</v>
      </c>
    </row>
    <row r="10855" spans="1:6" ht="60" x14ac:dyDescent="0.25">
      <c r="A10855" s="8" t="s">
        <v>125</v>
      </c>
      <c r="B10855" s="8" t="s">
        <v>138</v>
      </c>
      <c r="C10855" s="8" t="str">
        <f>IFERROR(_xlfn.XLOOKUP(TRIM(B10855),Lookup!$B$2:$B$1000,Lookup!$C$2:$C$1000),"")</f>
        <v>Equity</v>
      </c>
      <c r="D10855" s="8" t="str">
        <f>IFERROR(INDEX('nav master'!$C:$C, MATCH(B10855, 'nav master'!$B:$B, 0)), "")</f>
        <v>ULIF06723/03/18EqtyAdvtFd101</v>
      </c>
      <c r="E10855" s="8" t="s">
        <v>201</v>
      </c>
      <c r="F10855" s="8" t="s">
        <v>4394</v>
      </c>
    </row>
    <row r="10856" spans="1:6" ht="60" x14ac:dyDescent="0.25">
      <c r="A10856" s="8" t="s">
        <v>125</v>
      </c>
      <c r="B10856" s="8" t="s">
        <v>138</v>
      </c>
      <c r="C10856" s="8" t="str">
        <f>IFERROR(_xlfn.XLOOKUP(TRIM(B10856),Lookup!$B$2:$B$1000,Lookup!$C$2:$C$1000),"")</f>
        <v>Equity</v>
      </c>
      <c r="D10856" s="8" t="str">
        <f>IFERROR(INDEX('nav master'!$C:$C, MATCH(B10856, 'nav master'!$B:$B, 0)), "")</f>
        <v>ULIF06723/03/18EqtyAdvtFd101</v>
      </c>
      <c r="E10856" s="8" t="s">
        <v>203</v>
      </c>
      <c r="F10856" s="8" t="s">
        <v>4395</v>
      </c>
    </row>
    <row r="10857" spans="1:6" ht="60" x14ac:dyDescent="0.25">
      <c r="A10857" s="8" t="s">
        <v>125</v>
      </c>
      <c r="B10857" s="8" t="s">
        <v>138</v>
      </c>
      <c r="C10857" s="8" t="str">
        <f>IFERROR(_xlfn.XLOOKUP(TRIM(B10857),Lookup!$B$2:$B$1000,Lookup!$C$2:$C$1000),"")</f>
        <v>Equity</v>
      </c>
      <c r="D10857" s="8" t="str">
        <f>IFERROR(INDEX('nav master'!$C:$C, MATCH(B10857, 'nav master'!$B:$B, 0)), "")</f>
        <v>ULIF06723/03/18EqtyAdvtFd101</v>
      </c>
      <c r="E10857" s="8" t="s">
        <v>205</v>
      </c>
      <c r="F10857" s="8" t="s">
        <v>4396</v>
      </c>
    </row>
    <row r="10858" spans="1:6" ht="60" x14ac:dyDescent="0.25">
      <c r="A10858" s="8" t="s">
        <v>125</v>
      </c>
      <c r="B10858" s="8" t="s">
        <v>138</v>
      </c>
      <c r="C10858" s="8" t="str">
        <f>IFERROR(_xlfn.XLOOKUP(TRIM(B10858),Lookup!$B$2:$B$1000,Lookup!$C$2:$C$1000),"")</f>
        <v>Equity</v>
      </c>
      <c r="D10858" s="8" t="str">
        <f>IFERROR(INDEX('nav master'!$C:$C, MATCH(B10858, 'nav master'!$B:$B, 0)), "")</f>
        <v>ULIF06723/03/18EqtyAdvtFd101</v>
      </c>
      <c r="E10858" s="8" t="s">
        <v>207</v>
      </c>
      <c r="F10858" s="8" t="s">
        <v>4397</v>
      </c>
    </row>
    <row r="10859" spans="1:6" ht="60" x14ac:dyDescent="0.25">
      <c r="A10859" s="8" t="s">
        <v>125</v>
      </c>
      <c r="B10859" s="8" t="s">
        <v>138</v>
      </c>
      <c r="C10859" s="8" t="str">
        <f>IFERROR(_xlfn.XLOOKUP(TRIM(B10859),Lookup!$B$2:$B$1000,Lookup!$C$2:$C$1000),"")</f>
        <v>Equity</v>
      </c>
      <c r="D10859" s="8" t="str">
        <f>IFERROR(INDEX('nav master'!$C:$C, MATCH(B10859, 'nav master'!$B:$B, 0)), "")</f>
        <v>ULIF06723/03/18EqtyAdvtFd101</v>
      </c>
      <c r="E10859" s="8" t="s">
        <v>209</v>
      </c>
      <c r="F10859" s="8" t="s">
        <v>4398</v>
      </c>
    </row>
    <row r="10860" spans="1:6" ht="60" x14ac:dyDescent="0.25">
      <c r="A10860" s="8" t="s">
        <v>125</v>
      </c>
      <c r="B10860" s="8" t="s">
        <v>138</v>
      </c>
      <c r="C10860" s="8" t="str">
        <f>IFERROR(_xlfn.XLOOKUP(TRIM(B10860),Lookup!$B$2:$B$1000,Lookup!$C$2:$C$1000),"")</f>
        <v>Equity</v>
      </c>
      <c r="D10860" s="8" t="str">
        <f>IFERROR(INDEX('nav master'!$C:$C, MATCH(B10860, 'nav master'!$B:$B, 0)), "")</f>
        <v>ULIF06723/03/18EqtyAdvtFd101</v>
      </c>
      <c r="E10860" s="8" t="s">
        <v>211</v>
      </c>
      <c r="F10860" s="8" t="s">
        <v>4399</v>
      </c>
    </row>
    <row r="10861" spans="1:6" ht="60" x14ac:dyDescent="0.25">
      <c r="A10861" s="8" t="s">
        <v>125</v>
      </c>
      <c r="B10861" s="8" t="s">
        <v>138</v>
      </c>
      <c r="C10861" s="8" t="str">
        <f>IFERROR(_xlfn.XLOOKUP(TRIM(B10861),Lookup!$B$2:$B$1000,Lookup!$C$2:$C$1000),"")</f>
        <v>Equity</v>
      </c>
      <c r="D10861" s="8" t="str">
        <f>IFERROR(INDEX('nav master'!$C:$C, MATCH(B10861, 'nav master'!$B:$B, 0)), "")</f>
        <v>ULIF06723/03/18EqtyAdvtFd101</v>
      </c>
      <c r="E10861" s="8" t="s">
        <v>213</v>
      </c>
      <c r="F10861" s="8" t="s">
        <v>4400</v>
      </c>
    </row>
    <row r="10862" spans="1:6" ht="60" x14ac:dyDescent="0.25">
      <c r="A10862" s="8" t="s">
        <v>125</v>
      </c>
      <c r="B10862" s="8" t="s">
        <v>138</v>
      </c>
      <c r="C10862" s="8" t="str">
        <f>IFERROR(_xlfn.XLOOKUP(TRIM(B10862),Lookup!$B$2:$B$1000,Lookup!$C$2:$C$1000),"")</f>
        <v>Equity</v>
      </c>
      <c r="D10862" s="8" t="str">
        <f>IFERROR(INDEX('nav master'!$C:$C, MATCH(B10862, 'nav master'!$B:$B, 0)), "")</f>
        <v>ULIF06723/03/18EqtyAdvtFd101</v>
      </c>
      <c r="E10862" s="8" t="s">
        <v>215</v>
      </c>
      <c r="F10862" s="8" t="s">
        <v>4401</v>
      </c>
    </row>
    <row r="10863" spans="1:6" ht="60" x14ac:dyDescent="0.25">
      <c r="A10863" s="8" t="s">
        <v>125</v>
      </c>
      <c r="B10863" s="8" t="s">
        <v>138</v>
      </c>
      <c r="C10863" s="8" t="str">
        <f>IFERROR(_xlfn.XLOOKUP(TRIM(B10863),Lookup!$B$2:$B$1000,Lookup!$C$2:$C$1000),"")</f>
        <v>Equity</v>
      </c>
      <c r="D10863" s="8" t="str">
        <f>IFERROR(INDEX('nav master'!$C:$C, MATCH(B10863, 'nav master'!$B:$B, 0)), "")</f>
        <v>ULIF06723/03/18EqtyAdvtFd101</v>
      </c>
      <c r="E10863" s="8" t="s">
        <v>217</v>
      </c>
      <c r="F10863" s="8" t="s">
        <v>4402</v>
      </c>
    </row>
    <row r="10864" spans="1:6" ht="60" x14ac:dyDescent="0.25">
      <c r="A10864" s="8" t="s">
        <v>125</v>
      </c>
      <c r="B10864" s="8" t="s">
        <v>138</v>
      </c>
      <c r="C10864" s="8" t="str">
        <f>IFERROR(_xlfn.XLOOKUP(TRIM(B10864),Lookup!$B$2:$B$1000,Lookup!$C$2:$C$1000),"")</f>
        <v>Equity</v>
      </c>
      <c r="D10864" s="8" t="str">
        <f>IFERROR(INDEX('nav master'!$C:$C, MATCH(B10864, 'nav master'!$B:$B, 0)), "")</f>
        <v>ULIF06723/03/18EqtyAdvtFd101</v>
      </c>
      <c r="E10864" s="8" t="s">
        <v>219</v>
      </c>
      <c r="F10864" s="8" t="s">
        <v>4403</v>
      </c>
    </row>
    <row r="10865" spans="1:6" ht="60" x14ac:dyDescent="0.25">
      <c r="A10865" s="8" t="s">
        <v>125</v>
      </c>
      <c r="B10865" s="8" t="s">
        <v>138</v>
      </c>
      <c r="C10865" s="8" t="str">
        <f>IFERROR(_xlfn.XLOOKUP(TRIM(B10865),Lookup!$B$2:$B$1000,Lookup!$C$2:$C$1000),"")</f>
        <v>Equity</v>
      </c>
      <c r="D10865" s="8" t="str">
        <f>IFERROR(INDEX('nav master'!$C:$C, MATCH(B10865, 'nav master'!$B:$B, 0)), "")</f>
        <v>ULIF06723/03/18EqtyAdvtFd101</v>
      </c>
      <c r="E10865" s="8" t="s">
        <v>221</v>
      </c>
      <c r="F10865" s="8" t="s">
        <v>4404</v>
      </c>
    </row>
    <row r="10866" spans="1:6" ht="60" x14ac:dyDescent="0.25">
      <c r="A10866" s="8" t="s">
        <v>125</v>
      </c>
      <c r="B10866" s="8" t="s">
        <v>138</v>
      </c>
      <c r="C10866" s="8" t="str">
        <f>IFERROR(_xlfn.XLOOKUP(TRIM(B10866),Lookup!$B$2:$B$1000,Lookup!$C$2:$C$1000),"")</f>
        <v>Equity</v>
      </c>
      <c r="D10866" s="8" t="str">
        <f>IFERROR(INDEX('nav master'!$C:$C, MATCH(B10866, 'nav master'!$B:$B, 0)), "")</f>
        <v>ULIF06723/03/18EqtyAdvtFd101</v>
      </c>
      <c r="E10866" s="8" t="s">
        <v>223</v>
      </c>
      <c r="F10866" s="8" t="s">
        <v>4405</v>
      </c>
    </row>
    <row r="10867" spans="1:6" ht="60" x14ac:dyDescent="0.25">
      <c r="A10867" s="8" t="s">
        <v>125</v>
      </c>
      <c r="B10867" s="8" t="s">
        <v>138</v>
      </c>
      <c r="C10867" s="8" t="str">
        <f>IFERROR(_xlfn.XLOOKUP(TRIM(B10867),Lookup!$B$2:$B$1000,Lookup!$C$2:$C$1000),"")</f>
        <v>Equity</v>
      </c>
      <c r="D10867" s="8" t="str">
        <f>IFERROR(INDEX('nav master'!$C:$C, MATCH(B10867, 'nav master'!$B:$B, 0)), "")</f>
        <v>ULIF06723/03/18EqtyAdvtFd101</v>
      </c>
      <c r="E10867" s="8" t="s">
        <v>225</v>
      </c>
      <c r="F10867" s="8" t="s">
        <v>4406</v>
      </c>
    </row>
    <row r="10868" spans="1:6" ht="60" x14ac:dyDescent="0.25">
      <c r="A10868" s="8" t="s">
        <v>125</v>
      </c>
      <c r="B10868" s="8" t="s">
        <v>138</v>
      </c>
      <c r="C10868" s="8" t="str">
        <f>IFERROR(_xlfn.XLOOKUP(TRIM(B10868),Lookup!$B$2:$B$1000,Lookup!$C$2:$C$1000),"")</f>
        <v>Equity</v>
      </c>
      <c r="D10868" s="8" t="str">
        <f>IFERROR(INDEX('nav master'!$C:$C, MATCH(B10868, 'nav master'!$B:$B, 0)), "")</f>
        <v>ULIF06723/03/18EqtyAdvtFd101</v>
      </c>
      <c r="E10868" s="8" t="s">
        <v>227</v>
      </c>
      <c r="F10868" s="8" t="s">
        <v>4407</v>
      </c>
    </row>
    <row r="10869" spans="1:6" ht="60" x14ac:dyDescent="0.25">
      <c r="A10869" s="8" t="s">
        <v>125</v>
      </c>
      <c r="B10869" s="8" t="s">
        <v>138</v>
      </c>
      <c r="C10869" s="8" t="str">
        <f>IFERROR(_xlfn.XLOOKUP(TRIM(B10869),Lookup!$B$2:$B$1000,Lookup!$C$2:$C$1000),"")</f>
        <v>Equity</v>
      </c>
      <c r="D10869" s="8" t="str">
        <f>IFERROR(INDEX('nav master'!$C:$C, MATCH(B10869, 'nav master'!$B:$B, 0)), "")</f>
        <v>ULIF06723/03/18EqtyAdvtFd101</v>
      </c>
      <c r="E10869" s="8" t="s">
        <v>229</v>
      </c>
      <c r="F10869" s="8" t="s">
        <v>4408</v>
      </c>
    </row>
    <row r="10870" spans="1:6" ht="60" x14ac:dyDescent="0.25">
      <c r="A10870" s="8" t="s">
        <v>125</v>
      </c>
      <c r="B10870" s="8" t="s">
        <v>138</v>
      </c>
      <c r="C10870" s="8" t="str">
        <f>IFERROR(_xlfn.XLOOKUP(TRIM(B10870),Lookup!$B$2:$B$1000,Lookup!$C$2:$C$1000),"")</f>
        <v>Equity</v>
      </c>
      <c r="D10870" s="8" t="str">
        <f>IFERROR(INDEX('nav master'!$C:$C, MATCH(B10870, 'nav master'!$B:$B, 0)), "")</f>
        <v>ULIF06723/03/18EqtyAdvtFd101</v>
      </c>
      <c r="E10870" s="8" t="s">
        <v>231</v>
      </c>
      <c r="F10870" s="8" t="s">
        <v>4409</v>
      </c>
    </row>
    <row r="10871" spans="1:6" ht="60" x14ac:dyDescent="0.25">
      <c r="A10871" s="8" t="s">
        <v>125</v>
      </c>
      <c r="B10871" s="8" t="s">
        <v>138</v>
      </c>
      <c r="C10871" s="8" t="str">
        <f>IFERROR(_xlfn.XLOOKUP(TRIM(B10871),Lookup!$B$2:$B$1000,Lookup!$C$2:$C$1000),"")</f>
        <v>Equity</v>
      </c>
      <c r="D10871" s="8" t="str">
        <f>IFERROR(INDEX('nav master'!$C:$C, MATCH(B10871, 'nav master'!$B:$B, 0)), "")</f>
        <v>ULIF06723/03/18EqtyAdvtFd101</v>
      </c>
      <c r="E10871" s="8" t="s">
        <v>233</v>
      </c>
      <c r="F10871" s="8" t="s">
        <v>4410</v>
      </c>
    </row>
    <row r="10872" spans="1:6" ht="60" x14ac:dyDescent="0.25">
      <c r="A10872" s="8" t="s">
        <v>125</v>
      </c>
      <c r="B10872" s="8" t="s">
        <v>138</v>
      </c>
      <c r="C10872" s="8" t="str">
        <f>IFERROR(_xlfn.XLOOKUP(TRIM(B10872),Lookup!$B$2:$B$1000,Lookup!$C$2:$C$1000),"")</f>
        <v>Equity</v>
      </c>
      <c r="D10872" s="8" t="str">
        <f>IFERROR(INDEX('nav master'!$C:$C, MATCH(B10872, 'nav master'!$B:$B, 0)), "")</f>
        <v>ULIF06723/03/18EqtyAdvtFd101</v>
      </c>
      <c r="E10872" s="8" t="s">
        <v>235</v>
      </c>
      <c r="F10872" s="8" t="s">
        <v>4411</v>
      </c>
    </row>
    <row r="10873" spans="1:6" ht="60" x14ac:dyDescent="0.25">
      <c r="A10873" s="8" t="s">
        <v>125</v>
      </c>
      <c r="B10873" s="8" t="s">
        <v>138</v>
      </c>
      <c r="C10873" s="8" t="str">
        <f>IFERROR(_xlfn.XLOOKUP(TRIM(B10873),Lookup!$B$2:$B$1000,Lookup!$C$2:$C$1000),"")</f>
        <v>Equity</v>
      </c>
      <c r="D10873" s="8" t="str">
        <f>IFERROR(INDEX('nav master'!$C:$C, MATCH(B10873, 'nav master'!$B:$B, 0)), "")</f>
        <v>ULIF06723/03/18EqtyAdvtFd101</v>
      </c>
      <c r="E10873" s="8" t="s">
        <v>237</v>
      </c>
      <c r="F10873" s="8" t="s">
        <v>4412</v>
      </c>
    </row>
    <row r="10874" spans="1:6" ht="60" x14ac:dyDescent="0.25">
      <c r="A10874" s="8" t="s">
        <v>125</v>
      </c>
      <c r="B10874" s="8" t="s">
        <v>138</v>
      </c>
      <c r="C10874" s="8" t="str">
        <f>IFERROR(_xlfn.XLOOKUP(TRIM(B10874),Lookup!$B$2:$B$1000,Lookup!$C$2:$C$1000),"")</f>
        <v>Equity</v>
      </c>
      <c r="D10874" s="8" t="str">
        <f>IFERROR(INDEX('nav master'!$C:$C, MATCH(B10874, 'nav master'!$B:$B, 0)), "")</f>
        <v>ULIF06723/03/18EqtyAdvtFd101</v>
      </c>
      <c r="E10874" s="8" t="s">
        <v>239</v>
      </c>
      <c r="F10874" s="8" t="s">
        <v>4413</v>
      </c>
    </row>
    <row r="10875" spans="1:6" ht="60" x14ac:dyDescent="0.25">
      <c r="A10875" s="8" t="s">
        <v>125</v>
      </c>
      <c r="B10875" s="8" t="s">
        <v>138</v>
      </c>
      <c r="C10875" s="8" t="str">
        <f>IFERROR(_xlfn.XLOOKUP(TRIM(B10875),Lookup!$B$2:$B$1000,Lookup!$C$2:$C$1000),"")</f>
        <v>Equity</v>
      </c>
      <c r="D10875" s="8" t="str">
        <f>IFERROR(INDEX('nav master'!$C:$C, MATCH(B10875, 'nav master'!$B:$B, 0)), "")</f>
        <v>ULIF06723/03/18EqtyAdvtFd101</v>
      </c>
      <c r="E10875" s="8" t="s">
        <v>241</v>
      </c>
      <c r="F10875" s="8" t="s">
        <v>4414</v>
      </c>
    </row>
    <row r="10876" spans="1:6" ht="60" x14ac:dyDescent="0.25">
      <c r="A10876" s="8" t="s">
        <v>125</v>
      </c>
      <c r="B10876" s="8" t="s">
        <v>138</v>
      </c>
      <c r="C10876" s="8" t="str">
        <f>IFERROR(_xlfn.XLOOKUP(TRIM(B10876),Lookup!$B$2:$B$1000,Lookup!$C$2:$C$1000),"")</f>
        <v>Equity</v>
      </c>
      <c r="D10876" s="8" t="str">
        <f>IFERROR(INDEX('nav master'!$C:$C, MATCH(B10876, 'nav master'!$B:$B, 0)), "")</f>
        <v>ULIF06723/03/18EqtyAdvtFd101</v>
      </c>
      <c r="E10876" s="8" t="s">
        <v>243</v>
      </c>
      <c r="F10876" s="8" t="s">
        <v>4415</v>
      </c>
    </row>
    <row r="10877" spans="1:6" ht="60" x14ac:dyDescent="0.25">
      <c r="A10877" s="8" t="s">
        <v>125</v>
      </c>
      <c r="B10877" s="8" t="s">
        <v>138</v>
      </c>
      <c r="C10877" s="8" t="str">
        <f>IFERROR(_xlfn.XLOOKUP(TRIM(B10877),Lookup!$B$2:$B$1000,Lookup!$C$2:$C$1000),"")</f>
        <v>Equity</v>
      </c>
      <c r="D10877" s="8" t="str">
        <f>IFERROR(INDEX('nav master'!$C:$C, MATCH(B10877, 'nav master'!$B:$B, 0)), "")</f>
        <v>ULIF06723/03/18EqtyAdvtFd101</v>
      </c>
      <c r="E10877" s="8" t="s">
        <v>245</v>
      </c>
      <c r="F10877" s="8" t="s">
        <v>4416</v>
      </c>
    </row>
    <row r="10878" spans="1:6" ht="60" x14ac:dyDescent="0.25">
      <c r="A10878" s="8" t="s">
        <v>125</v>
      </c>
      <c r="B10878" s="8" t="s">
        <v>138</v>
      </c>
      <c r="C10878" s="8" t="str">
        <f>IFERROR(_xlfn.XLOOKUP(TRIM(B10878),Lookup!$B$2:$B$1000,Lookup!$C$2:$C$1000),"")</f>
        <v>Equity</v>
      </c>
      <c r="D10878" s="8" t="str">
        <f>IFERROR(INDEX('nav master'!$C:$C, MATCH(B10878, 'nav master'!$B:$B, 0)), "")</f>
        <v>ULIF06723/03/18EqtyAdvtFd101</v>
      </c>
      <c r="E10878" s="8" t="s">
        <v>247</v>
      </c>
      <c r="F10878" s="8" t="s">
        <v>4417</v>
      </c>
    </row>
    <row r="10879" spans="1:6" ht="60" x14ac:dyDescent="0.25">
      <c r="A10879" s="8" t="s">
        <v>125</v>
      </c>
      <c r="B10879" s="8" t="s">
        <v>138</v>
      </c>
      <c r="C10879" s="8" t="str">
        <f>IFERROR(_xlfn.XLOOKUP(TRIM(B10879),Lookup!$B$2:$B$1000,Lookup!$C$2:$C$1000),"")</f>
        <v>Equity</v>
      </c>
      <c r="D10879" s="8" t="str">
        <f>IFERROR(INDEX('nav master'!$C:$C, MATCH(B10879, 'nav master'!$B:$B, 0)), "")</f>
        <v>ULIF06723/03/18EqtyAdvtFd101</v>
      </c>
      <c r="E10879" s="8" t="s">
        <v>249</v>
      </c>
      <c r="F10879" s="8" t="s">
        <v>4418</v>
      </c>
    </row>
    <row r="10880" spans="1:6" ht="60" x14ac:dyDescent="0.25">
      <c r="A10880" s="8" t="s">
        <v>125</v>
      </c>
      <c r="B10880" s="8" t="s">
        <v>138</v>
      </c>
      <c r="C10880" s="8" t="str">
        <f>IFERROR(_xlfn.XLOOKUP(TRIM(B10880),Lookup!$B$2:$B$1000,Lookup!$C$2:$C$1000),"")</f>
        <v>Equity</v>
      </c>
      <c r="D10880" s="8" t="str">
        <f>IFERROR(INDEX('nav master'!$C:$C, MATCH(B10880, 'nav master'!$B:$B, 0)), "")</f>
        <v>ULIF06723/03/18EqtyAdvtFd101</v>
      </c>
      <c r="E10880" s="8" t="s">
        <v>251</v>
      </c>
      <c r="F10880" s="8" t="s">
        <v>4419</v>
      </c>
    </row>
    <row r="10881" spans="1:6" ht="60" x14ac:dyDescent="0.25">
      <c r="A10881" s="8" t="s">
        <v>125</v>
      </c>
      <c r="B10881" s="8" t="s">
        <v>138</v>
      </c>
      <c r="C10881" s="8" t="str">
        <f>IFERROR(_xlfn.XLOOKUP(TRIM(B10881),Lookup!$B$2:$B$1000,Lookup!$C$2:$C$1000),"")</f>
        <v>Equity</v>
      </c>
      <c r="D10881" s="8" t="str">
        <f>IFERROR(INDEX('nav master'!$C:$C, MATCH(B10881, 'nav master'!$B:$B, 0)), "")</f>
        <v>ULIF06723/03/18EqtyAdvtFd101</v>
      </c>
      <c r="E10881" s="8" t="s">
        <v>253</v>
      </c>
      <c r="F10881" s="8" t="s">
        <v>4420</v>
      </c>
    </row>
    <row r="10882" spans="1:6" ht="60" x14ac:dyDescent="0.25">
      <c r="A10882" s="8" t="s">
        <v>125</v>
      </c>
      <c r="B10882" s="8" t="s">
        <v>138</v>
      </c>
      <c r="C10882" s="8" t="str">
        <f>IFERROR(_xlfn.XLOOKUP(TRIM(B10882),Lookup!$B$2:$B$1000,Lookup!$C$2:$C$1000),"")</f>
        <v>Equity</v>
      </c>
      <c r="D10882" s="8" t="str">
        <f>IFERROR(INDEX('nav master'!$C:$C, MATCH(B10882, 'nav master'!$B:$B, 0)), "")</f>
        <v>ULIF06723/03/18EqtyAdvtFd101</v>
      </c>
      <c r="E10882" s="8" t="s">
        <v>255</v>
      </c>
      <c r="F10882" s="8" t="s">
        <v>4421</v>
      </c>
    </row>
    <row r="10883" spans="1:6" ht="60" x14ac:dyDescent="0.25">
      <c r="A10883" s="8" t="s">
        <v>125</v>
      </c>
      <c r="B10883" s="8" t="s">
        <v>138</v>
      </c>
      <c r="C10883" s="8" t="str">
        <f>IFERROR(_xlfn.XLOOKUP(TRIM(B10883),Lookup!$B$2:$B$1000,Lookup!$C$2:$C$1000),"")</f>
        <v>Equity</v>
      </c>
      <c r="D10883" s="8" t="str">
        <f>IFERROR(INDEX('nav master'!$C:$C, MATCH(B10883, 'nav master'!$B:$B, 0)), "")</f>
        <v>ULIF06723/03/18EqtyAdvtFd101</v>
      </c>
      <c r="E10883" s="8" t="s">
        <v>257</v>
      </c>
      <c r="F10883" s="8" t="s">
        <v>4422</v>
      </c>
    </row>
    <row r="10884" spans="1:6" ht="60" x14ac:dyDescent="0.25">
      <c r="A10884" s="8" t="s">
        <v>125</v>
      </c>
      <c r="B10884" s="8" t="s">
        <v>138</v>
      </c>
      <c r="C10884" s="8" t="str">
        <f>IFERROR(_xlfn.XLOOKUP(TRIM(B10884),Lookup!$B$2:$B$1000,Lookup!$C$2:$C$1000),"")</f>
        <v>Equity</v>
      </c>
      <c r="D10884" s="8" t="str">
        <f>IFERROR(INDEX('nav master'!$C:$C, MATCH(B10884, 'nav master'!$B:$B, 0)), "")</f>
        <v>ULIF06723/03/18EqtyAdvtFd101</v>
      </c>
      <c r="E10884" s="8" t="s">
        <v>259</v>
      </c>
      <c r="F10884" s="8" t="s">
        <v>4423</v>
      </c>
    </row>
    <row r="10885" spans="1:6" ht="60" x14ac:dyDescent="0.25">
      <c r="A10885" s="8" t="s">
        <v>125</v>
      </c>
      <c r="B10885" s="8" t="s">
        <v>138</v>
      </c>
      <c r="C10885" s="8" t="str">
        <f>IFERROR(_xlfn.XLOOKUP(TRIM(B10885),Lookup!$B$2:$B$1000,Lookup!$C$2:$C$1000),"")</f>
        <v>Equity</v>
      </c>
      <c r="D10885" s="8" t="str">
        <f>IFERROR(INDEX('nav master'!$C:$C, MATCH(B10885, 'nav master'!$B:$B, 0)), "")</f>
        <v>ULIF06723/03/18EqtyAdvtFd101</v>
      </c>
      <c r="E10885" s="8" t="s">
        <v>261</v>
      </c>
      <c r="F10885" s="8" t="s">
        <v>4424</v>
      </c>
    </row>
    <row r="10886" spans="1:6" ht="60" x14ac:dyDescent="0.25">
      <c r="A10886" s="8" t="s">
        <v>125</v>
      </c>
      <c r="B10886" s="8" t="s">
        <v>138</v>
      </c>
      <c r="C10886" s="8" t="str">
        <f>IFERROR(_xlfn.XLOOKUP(TRIM(B10886),Lookup!$B$2:$B$1000,Lookup!$C$2:$C$1000),"")</f>
        <v>Equity</v>
      </c>
      <c r="D10886" s="8" t="str">
        <f>IFERROR(INDEX('nav master'!$C:$C, MATCH(B10886, 'nav master'!$B:$B, 0)), "")</f>
        <v>ULIF06723/03/18EqtyAdvtFd101</v>
      </c>
      <c r="E10886" s="8" t="s">
        <v>263</v>
      </c>
      <c r="F10886" s="8" t="s">
        <v>4425</v>
      </c>
    </row>
    <row r="10887" spans="1:6" ht="60" x14ac:dyDescent="0.25">
      <c r="A10887" s="8" t="s">
        <v>125</v>
      </c>
      <c r="B10887" s="8" t="s">
        <v>138</v>
      </c>
      <c r="C10887" s="8" t="str">
        <f>IFERROR(_xlfn.XLOOKUP(TRIM(B10887),Lookup!$B$2:$B$1000,Lookup!$C$2:$C$1000),"")</f>
        <v>Equity</v>
      </c>
      <c r="D10887" s="8" t="str">
        <f>IFERROR(INDEX('nav master'!$C:$C, MATCH(B10887, 'nav master'!$B:$B, 0)), "")</f>
        <v>ULIF06723/03/18EqtyAdvtFd101</v>
      </c>
      <c r="E10887" s="8" t="s">
        <v>265</v>
      </c>
      <c r="F10887" s="8" t="s">
        <v>4426</v>
      </c>
    </row>
    <row r="10888" spans="1:6" ht="60" x14ac:dyDescent="0.25">
      <c r="A10888" s="8" t="s">
        <v>125</v>
      </c>
      <c r="B10888" s="8" t="s">
        <v>138</v>
      </c>
      <c r="C10888" s="8" t="str">
        <f>IFERROR(_xlfn.XLOOKUP(TRIM(B10888),Lookup!$B$2:$B$1000,Lookup!$C$2:$C$1000),"")</f>
        <v>Equity</v>
      </c>
      <c r="D10888" s="8" t="str">
        <f>IFERROR(INDEX('nav master'!$C:$C, MATCH(B10888, 'nav master'!$B:$B, 0)), "")</f>
        <v>ULIF06723/03/18EqtyAdvtFd101</v>
      </c>
      <c r="E10888" s="8" t="s">
        <v>267</v>
      </c>
      <c r="F10888" s="8" t="s">
        <v>4427</v>
      </c>
    </row>
    <row r="10889" spans="1:6" ht="60" x14ac:dyDescent="0.25">
      <c r="A10889" s="8" t="s">
        <v>125</v>
      </c>
      <c r="B10889" s="8" t="s">
        <v>138</v>
      </c>
      <c r="C10889" s="8" t="str">
        <f>IFERROR(_xlfn.XLOOKUP(TRIM(B10889),Lookup!$B$2:$B$1000,Lookup!$C$2:$C$1000),"")</f>
        <v>Equity</v>
      </c>
      <c r="D10889" s="8" t="str">
        <f>IFERROR(INDEX('nav master'!$C:$C, MATCH(B10889, 'nav master'!$B:$B, 0)), "")</f>
        <v>ULIF06723/03/18EqtyAdvtFd101</v>
      </c>
      <c r="E10889" s="8" t="s">
        <v>269</v>
      </c>
      <c r="F10889" s="8" t="s">
        <v>4428</v>
      </c>
    </row>
    <row r="10890" spans="1:6" ht="60" x14ac:dyDescent="0.25">
      <c r="A10890" s="8" t="s">
        <v>125</v>
      </c>
      <c r="B10890" s="8" t="s">
        <v>138</v>
      </c>
      <c r="C10890" s="8" t="str">
        <f>IFERROR(_xlfn.XLOOKUP(TRIM(B10890),Lookup!$B$2:$B$1000,Lookup!$C$2:$C$1000),"")</f>
        <v>Equity</v>
      </c>
      <c r="D10890" s="8" t="str">
        <f>IFERROR(INDEX('nav master'!$C:$C, MATCH(B10890, 'nav master'!$B:$B, 0)), "")</f>
        <v>ULIF06723/03/18EqtyAdvtFd101</v>
      </c>
      <c r="E10890" s="8" t="s">
        <v>271</v>
      </c>
      <c r="F10890" s="8" t="s">
        <v>4429</v>
      </c>
    </row>
    <row r="10891" spans="1:6" ht="60" x14ac:dyDescent="0.25">
      <c r="A10891" s="8" t="s">
        <v>125</v>
      </c>
      <c r="B10891" s="8" t="s">
        <v>138</v>
      </c>
      <c r="C10891" s="8" t="str">
        <f>IFERROR(_xlfn.XLOOKUP(TRIM(B10891),Lookup!$B$2:$B$1000,Lookup!$C$2:$C$1000),"")</f>
        <v>Equity</v>
      </c>
      <c r="D10891" s="8" t="str">
        <f>IFERROR(INDEX('nav master'!$C:$C, MATCH(B10891, 'nav master'!$B:$B, 0)), "")</f>
        <v>ULIF06723/03/18EqtyAdvtFd101</v>
      </c>
      <c r="E10891" s="8" t="s">
        <v>273</v>
      </c>
      <c r="F10891" s="8" t="s">
        <v>4430</v>
      </c>
    </row>
    <row r="10892" spans="1:6" ht="60" x14ac:dyDescent="0.25">
      <c r="A10892" s="8" t="s">
        <v>125</v>
      </c>
      <c r="B10892" s="8" t="s">
        <v>138</v>
      </c>
      <c r="C10892" s="8" t="str">
        <f>IFERROR(_xlfn.XLOOKUP(TRIM(B10892),Lookup!$B$2:$B$1000,Lookup!$C$2:$C$1000),"")</f>
        <v>Equity</v>
      </c>
      <c r="D10892" s="8" t="str">
        <f>IFERROR(INDEX('nav master'!$C:$C, MATCH(B10892, 'nav master'!$B:$B, 0)), "")</f>
        <v>ULIF06723/03/18EqtyAdvtFd101</v>
      </c>
      <c r="E10892" s="8" t="s">
        <v>275</v>
      </c>
      <c r="F10892" s="8" t="s">
        <v>4431</v>
      </c>
    </row>
    <row r="10893" spans="1:6" ht="60" x14ac:dyDescent="0.25">
      <c r="A10893" s="8" t="s">
        <v>125</v>
      </c>
      <c r="B10893" s="8" t="s">
        <v>138</v>
      </c>
      <c r="C10893" s="8" t="str">
        <f>IFERROR(_xlfn.XLOOKUP(TRIM(B10893),Lookup!$B$2:$B$1000,Lookup!$C$2:$C$1000),"")</f>
        <v>Equity</v>
      </c>
      <c r="D10893" s="8" t="str">
        <f>IFERROR(INDEX('nav master'!$C:$C, MATCH(B10893, 'nav master'!$B:$B, 0)), "")</f>
        <v>ULIF06723/03/18EqtyAdvtFd101</v>
      </c>
      <c r="E10893" s="8" t="s">
        <v>277</v>
      </c>
      <c r="F10893" s="8" t="s">
        <v>4432</v>
      </c>
    </row>
    <row r="10894" spans="1:6" ht="60" x14ac:dyDescent="0.25">
      <c r="A10894" s="8" t="s">
        <v>125</v>
      </c>
      <c r="B10894" s="8" t="s">
        <v>138</v>
      </c>
      <c r="C10894" s="8" t="str">
        <f>IFERROR(_xlfn.XLOOKUP(TRIM(B10894),Lookup!$B$2:$B$1000,Lookup!$C$2:$C$1000),"")</f>
        <v>Equity</v>
      </c>
      <c r="D10894" s="8" t="str">
        <f>IFERROR(INDEX('nav master'!$C:$C, MATCH(B10894, 'nav master'!$B:$B, 0)), "")</f>
        <v>ULIF06723/03/18EqtyAdvtFd101</v>
      </c>
      <c r="E10894" s="8" t="s">
        <v>279</v>
      </c>
      <c r="F10894" s="8" t="s">
        <v>4433</v>
      </c>
    </row>
    <row r="10895" spans="1:6" ht="60" x14ac:dyDescent="0.25">
      <c r="A10895" s="8" t="s">
        <v>125</v>
      </c>
      <c r="B10895" s="8" t="s">
        <v>138</v>
      </c>
      <c r="C10895" s="8" t="str">
        <f>IFERROR(_xlfn.XLOOKUP(TRIM(B10895),Lookup!$B$2:$B$1000,Lookup!$C$2:$C$1000),"")</f>
        <v>Equity</v>
      </c>
      <c r="D10895" s="8" t="str">
        <f>IFERROR(INDEX('nav master'!$C:$C, MATCH(B10895, 'nav master'!$B:$B, 0)), "")</f>
        <v>ULIF06723/03/18EqtyAdvtFd101</v>
      </c>
      <c r="E10895" s="8" t="s">
        <v>281</v>
      </c>
      <c r="F10895" s="8" t="s">
        <v>4434</v>
      </c>
    </row>
    <row r="10896" spans="1:6" ht="60" x14ac:dyDescent="0.25">
      <c r="A10896" s="8" t="s">
        <v>125</v>
      </c>
      <c r="B10896" s="8" t="s">
        <v>138</v>
      </c>
      <c r="C10896" s="8" t="str">
        <f>IFERROR(_xlfn.XLOOKUP(TRIM(B10896),Lookup!$B$2:$B$1000,Lookup!$C$2:$C$1000),"")</f>
        <v>Equity</v>
      </c>
      <c r="D10896" s="8" t="str">
        <f>IFERROR(INDEX('nav master'!$C:$C, MATCH(B10896, 'nav master'!$B:$B, 0)), "")</f>
        <v>ULIF06723/03/18EqtyAdvtFd101</v>
      </c>
      <c r="E10896" s="8" t="s">
        <v>283</v>
      </c>
      <c r="F10896" s="8" t="s">
        <v>4435</v>
      </c>
    </row>
    <row r="10897" spans="1:6" ht="60" x14ac:dyDescent="0.25">
      <c r="A10897" s="8" t="s">
        <v>125</v>
      </c>
      <c r="B10897" s="8" t="s">
        <v>138</v>
      </c>
      <c r="C10897" s="8" t="str">
        <f>IFERROR(_xlfn.XLOOKUP(TRIM(B10897),Lookup!$B$2:$B$1000,Lookup!$C$2:$C$1000),"")</f>
        <v>Equity</v>
      </c>
      <c r="D10897" s="8" t="str">
        <f>IFERROR(INDEX('nav master'!$C:$C, MATCH(B10897, 'nav master'!$B:$B, 0)), "")</f>
        <v>ULIF06723/03/18EqtyAdvtFd101</v>
      </c>
      <c r="E10897" s="8" t="s">
        <v>285</v>
      </c>
      <c r="F10897" s="8" t="s">
        <v>4436</v>
      </c>
    </row>
    <row r="10898" spans="1:6" ht="60" x14ac:dyDescent="0.25">
      <c r="A10898" s="8" t="s">
        <v>125</v>
      </c>
      <c r="B10898" s="8" t="s">
        <v>138</v>
      </c>
      <c r="C10898" s="8" t="str">
        <f>IFERROR(_xlfn.XLOOKUP(TRIM(B10898),Lookup!$B$2:$B$1000,Lookup!$C$2:$C$1000),"")</f>
        <v>Equity</v>
      </c>
      <c r="D10898" s="8" t="str">
        <f>IFERROR(INDEX('nav master'!$C:$C, MATCH(B10898, 'nav master'!$B:$B, 0)), "")</f>
        <v>ULIF06723/03/18EqtyAdvtFd101</v>
      </c>
      <c r="E10898" s="8" t="s">
        <v>287</v>
      </c>
      <c r="F10898" s="8" t="s">
        <v>4437</v>
      </c>
    </row>
    <row r="10899" spans="1:6" ht="60" x14ac:dyDescent="0.25">
      <c r="A10899" s="8" t="s">
        <v>125</v>
      </c>
      <c r="B10899" s="8" t="s">
        <v>138</v>
      </c>
      <c r="C10899" s="8" t="str">
        <f>IFERROR(_xlfn.XLOOKUP(TRIM(B10899),Lookup!$B$2:$B$1000,Lookup!$C$2:$C$1000),"")</f>
        <v>Equity</v>
      </c>
      <c r="D10899" s="8" t="str">
        <f>IFERROR(INDEX('nav master'!$C:$C, MATCH(B10899, 'nav master'!$B:$B, 0)), "")</f>
        <v>ULIF06723/03/18EqtyAdvtFd101</v>
      </c>
      <c r="E10899" s="8" t="s">
        <v>289</v>
      </c>
      <c r="F10899" s="8" t="s">
        <v>4438</v>
      </c>
    </row>
    <row r="10900" spans="1:6" ht="60" x14ac:dyDescent="0.25">
      <c r="A10900" s="8" t="s">
        <v>125</v>
      </c>
      <c r="B10900" s="8" t="s">
        <v>138</v>
      </c>
      <c r="C10900" s="8" t="str">
        <f>IFERROR(_xlfn.XLOOKUP(TRIM(B10900),Lookup!$B$2:$B$1000,Lookup!$C$2:$C$1000),"")</f>
        <v>Equity</v>
      </c>
      <c r="D10900" s="8" t="str">
        <f>IFERROR(INDEX('nav master'!$C:$C, MATCH(B10900, 'nav master'!$B:$B, 0)), "")</f>
        <v>ULIF06723/03/18EqtyAdvtFd101</v>
      </c>
      <c r="E10900" s="8" t="s">
        <v>291</v>
      </c>
      <c r="F10900" s="8" t="s">
        <v>4439</v>
      </c>
    </row>
    <row r="10901" spans="1:6" ht="60" x14ac:dyDescent="0.25">
      <c r="A10901" s="8" t="s">
        <v>125</v>
      </c>
      <c r="B10901" s="8" t="s">
        <v>138</v>
      </c>
      <c r="C10901" s="8" t="str">
        <f>IFERROR(_xlfn.XLOOKUP(TRIM(B10901),Lookup!$B$2:$B$1000,Lookup!$C$2:$C$1000),"")</f>
        <v>Equity</v>
      </c>
      <c r="D10901" s="8" t="str">
        <f>IFERROR(INDEX('nav master'!$C:$C, MATCH(B10901, 'nav master'!$B:$B, 0)), "")</f>
        <v>ULIF06723/03/18EqtyAdvtFd101</v>
      </c>
      <c r="E10901" s="8" t="s">
        <v>293</v>
      </c>
      <c r="F10901" s="8" t="s">
        <v>4440</v>
      </c>
    </row>
    <row r="10902" spans="1:6" ht="60" x14ac:dyDescent="0.25">
      <c r="A10902" s="8" t="s">
        <v>125</v>
      </c>
      <c r="B10902" s="8" t="s">
        <v>138</v>
      </c>
      <c r="C10902" s="8" t="str">
        <f>IFERROR(_xlfn.XLOOKUP(TRIM(B10902),Lookup!$B$2:$B$1000,Lookup!$C$2:$C$1000),"")</f>
        <v>Equity</v>
      </c>
      <c r="D10902" s="8" t="str">
        <f>IFERROR(INDEX('nav master'!$C:$C, MATCH(B10902, 'nav master'!$B:$B, 0)), "")</f>
        <v>ULIF06723/03/18EqtyAdvtFd101</v>
      </c>
      <c r="E10902" s="8" t="s">
        <v>295</v>
      </c>
      <c r="F10902" s="8" t="s">
        <v>4441</v>
      </c>
    </row>
    <row r="10903" spans="1:6" ht="60" x14ac:dyDescent="0.25">
      <c r="A10903" s="8" t="s">
        <v>125</v>
      </c>
      <c r="B10903" s="8" t="s">
        <v>138</v>
      </c>
      <c r="C10903" s="8" t="str">
        <f>IFERROR(_xlfn.XLOOKUP(TRIM(B10903),Lookup!$B$2:$B$1000,Lookup!$C$2:$C$1000),"")</f>
        <v>Equity</v>
      </c>
      <c r="D10903" s="8" t="str">
        <f>IFERROR(INDEX('nav master'!$C:$C, MATCH(B10903, 'nav master'!$B:$B, 0)), "")</f>
        <v>ULIF06723/03/18EqtyAdvtFd101</v>
      </c>
      <c r="E10903" s="8" t="s">
        <v>297</v>
      </c>
      <c r="F10903" s="8" t="s">
        <v>4442</v>
      </c>
    </row>
    <row r="10904" spans="1:6" ht="60" x14ac:dyDescent="0.25">
      <c r="A10904" s="8" t="s">
        <v>125</v>
      </c>
      <c r="B10904" s="8" t="s">
        <v>138</v>
      </c>
      <c r="C10904" s="8" t="str">
        <f>IFERROR(_xlfn.XLOOKUP(TRIM(B10904),Lookup!$B$2:$B$1000,Lookup!$C$2:$C$1000),"")</f>
        <v>Equity</v>
      </c>
      <c r="D10904" s="8" t="str">
        <f>IFERROR(INDEX('nav master'!$C:$C, MATCH(B10904, 'nav master'!$B:$B, 0)), "")</f>
        <v>ULIF06723/03/18EqtyAdvtFd101</v>
      </c>
      <c r="E10904" s="8" t="s">
        <v>299</v>
      </c>
      <c r="F10904" s="8" t="s">
        <v>4443</v>
      </c>
    </row>
    <row r="10905" spans="1:6" ht="60" x14ac:dyDescent="0.25">
      <c r="A10905" s="8" t="s">
        <v>125</v>
      </c>
      <c r="B10905" s="8" t="s">
        <v>138</v>
      </c>
      <c r="C10905" s="8" t="str">
        <f>IFERROR(_xlfn.XLOOKUP(TRIM(B10905),Lookup!$B$2:$B$1000,Lookup!$C$2:$C$1000),"")</f>
        <v>Equity</v>
      </c>
      <c r="D10905" s="8" t="str">
        <f>IFERROR(INDEX('nav master'!$C:$C, MATCH(B10905, 'nav master'!$B:$B, 0)), "")</f>
        <v>ULIF06723/03/18EqtyAdvtFd101</v>
      </c>
      <c r="E10905" s="8" t="s">
        <v>301</v>
      </c>
      <c r="F10905" s="8" t="s">
        <v>4444</v>
      </c>
    </row>
    <row r="10906" spans="1:6" ht="60" x14ac:dyDescent="0.25">
      <c r="A10906" s="8" t="s">
        <v>125</v>
      </c>
      <c r="B10906" s="8" t="s">
        <v>138</v>
      </c>
      <c r="C10906" s="8" t="str">
        <f>IFERROR(_xlfn.XLOOKUP(TRIM(B10906),Lookup!$B$2:$B$1000,Lookup!$C$2:$C$1000),"")</f>
        <v>Equity</v>
      </c>
      <c r="D10906" s="8" t="str">
        <f>IFERROR(INDEX('nav master'!$C:$C, MATCH(B10906, 'nav master'!$B:$B, 0)), "")</f>
        <v>ULIF06723/03/18EqtyAdvtFd101</v>
      </c>
      <c r="E10906" s="8" t="s">
        <v>303</v>
      </c>
      <c r="F10906" s="8" t="s">
        <v>4445</v>
      </c>
    </row>
    <row r="10907" spans="1:6" ht="60" x14ac:dyDescent="0.25">
      <c r="A10907" s="8" t="s">
        <v>125</v>
      </c>
      <c r="B10907" s="8" t="s">
        <v>138</v>
      </c>
      <c r="C10907" s="8" t="str">
        <f>IFERROR(_xlfn.XLOOKUP(TRIM(B10907),Lookup!$B$2:$B$1000,Lookup!$C$2:$C$1000),"")</f>
        <v>Equity</v>
      </c>
      <c r="D10907" s="8" t="str">
        <f>IFERROR(INDEX('nav master'!$C:$C, MATCH(B10907, 'nav master'!$B:$B, 0)), "")</f>
        <v>ULIF06723/03/18EqtyAdvtFd101</v>
      </c>
      <c r="E10907" s="8" t="s">
        <v>305</v>
      </c>
      <c r="F10907" s="8" t="s">
        <v>4446</v>
      </c>
    </row>
    <row r="10908" spans="1:6" ht="60" x14ac:dyDescent="0.25">
      <c r="A10908" s="8" t="s">
        <v>125</v>
      </c>
      <c r="B10908" s="8" t="s">
        <v>138</v>
      </c>
      <c r="C10908" s="8" t="str">
        <f>IFERROR(_xlfn.XLOOKUP(TRIM(B10908),Lookup!$B$2:$B$1000,Lookup!$C$2:$C$1000),"")</f>
        <v>Equity</v>
      </c>
      <c r="D10908" s="8" t="str">
        <f>IFERROR(INDEX('nav master'!$C:$C, MATCH(B10908, 'nav master'!$B:$B, 0)), "")</f>
        <v>ULIF06723/03/18EqtyAdvtFd101</v>
      </c>
      <c r="E10908" s="8" t="s">
        <v>307</v>
      </c>
      <c r="F10908" s="8" t="s">
        <v>4447</v>
      </c>
    </row>
    <row r="10909" spans="1:6" ht="60" x14ac:dyDescent="0.25">
      <c r="A10909" s="8" t="s">
        <v>125</v>
      </c>
      <c r="B10909" s="8" t="s">
        <v>138</v>
      </c>
      <c r="C10909" s="8" t="str">
        <f>IFERROR(_xlfn.XLOOKUP(TRIM(B10909),Lookup!$B$2:$B$1000,Lookup!$C$2:$C$1000),"")</f>
        <v>Equity</v>
      </c>
      <c r="D10909" s="8" t="str">
        <f>IFERROR(INDEX('nav master'!$C:$C, MATCH(B10909, 'nav master'!$B:$B, 0)), "")</f>
        <v>ULIF06723/03/18EqtyAdvtFd101</v>
      </c>
      <c r="E10909" s="8" t="s">
        <v>309</v>
      </c>
      <c r="F10909" s="8" t="s">
        <v>4448</v>
      </c>
    </row>
    <row r="10910" spans="1:6" ht="60" x14ac:dyDescent="0.25">
      <c r="A10910" s="8" t="s">
        <v>125</v>
      </c>
      <c r="B10910" s="8" t="s">
        <v>138</v>
      </c>
      <c r="C10910" s="8" t="str">
        <f>IFERROR(_xlfn.XLOOKUP(TRIM(B10910),Lookup!$B$2:$B$1000,Lookup!$C$2:$C$1000),"")</f>
        <v>Equity</v>
      </c>
      <c r="D10910" s="8" t="str">
        <f>IFERROR(INDEX('nav master'!$C:$C, MATCH(B10910, 'nav master'!$B:$B, 0)), "")</f>
        <v>ULIF06723/03/18EqtyAdvtFd101</v>
      </c>
      <c r="E10910" s="8" t="s">
        <v>311</v>
      </c>
      <c r="F10910" s="8" t="s">
        <v>4449</v>
      </c>
    </row>
    <row r="10911" spans="1:6" ht="60" x14ac:dyDescent="0.25">
      <c r="A10911" s="8" t="s">
        <v>125</v>
      </c>
      <c r="B10911" s="8" t="s">
        <v>138</v>
      </c>
      <c r="C10911" s="8" t="str">
        <f>IFERROR(_xlfn.XLOOKUP(TRIM(B10911),Lookup!$B$2:$B$1000,Lookup!$C$2:$C$1000),"")</f>
        <v>Equity</v>
      </c>
      <c r="D10911" s="8" t="str">
        <f>IFERROR(INDEX('nav master'!$C:$C, MATCH(B10911, 'nav master'!$B:$B, 0)), "")</f>
        <v>ULIF06723/03/18EqtyAdvtFd101</v>
      </c>
      <c r="E10911" s="8" t="s">
        <v>313</v>
      </c>
      <c r="F10911" s="8" t="s">
        <v>4450</v>
      </c>
    </row>
    <row r="10912" spans="1:6" ht="60" x14ac:dyDescent="0.25">
      <c r="A10912" s="8" t="s">
        <v>125</v>
      </c>
      <c r="B10912" s="8" t="s">
        <v>138</v>
      </c>
      <c r="C10912" s="8" t="str">
        <f>IFERROR(_xlfn.XLOOKUP(TRIM(B10912),Lookup!$B$2:$B$1000,Lookup!$C$2:$C$1000),"")</f>
        <v>Equity</v>
      </c>
      <c r="D10912" s="8" t="str">
        <f>IFERROR(INDEX('nav master'!$C:$C, MATCH(B10912, 'nav master'!$B:$B, 0)), "")</f>
        <v>ULIF06723/03/18EqtyAdvtFd101</v>
      </c>
      <c r="E10912" s="8" t="s">
        <v>315</v>
      </c>
      <c r="F10912" s="8" t="s">
        <v>4451</v>
      </c>
    </row>
    <row r="10913" spans="1:6" ht="60" x14ac:dyDescent="0.25">
      <c r="A10913" s="8" t="s">
        <v>125</v>
      </c>
      <c r="B10913" s="8" t="s">
        <v>138</v>
      </c>
      <c r="C10913" s="8" t="str">
        <f>IFERROR(_xlfn.XLOOKUP(TRIM(B10913),Lookup!$B$2:$B$1000,Lookup!$C$2:$C$1000),"")</f>
        <v>Equity</v>
      </c>
      <c r="D10913" s="8" t="str">
        <f>IFERROR(INDEX('nav master'!$C:$C, MATCH(B10913, 'nav master'!$B:$B, 0)), "")</f>
        <v>ULIF06723/03/18EqtyAdvtFd101</v>
      </c>
      <c r="E10913" s="8" t="s">
        <v>317</v>
      </c>
      <c r="F10913" s="8" t="s">
        <v>4452</v>
      </c>
    </row>
    <row r="10914" spans="1:6" ht="60" x14ac:dyDescent="0.25">
      <c r="A10914" s="8" t="s">
        <v>125</v>
      </c>
      <c r="B10914" s="8" t="s">
        <v>138</v>
      </c>
      <c r="C10914" s="8" t="str">
        <f>IFERROR(_xlfn.XLOOKUP(TRIM(B10914),Lookup!$B$2:$B$1000,Lookup!$C$2:$C$1000),"")</f>
        <v>Equity</v>
      </c>
      <c r="D10914" s="8" t="str">
        <f>IFERROR(INDEX('nav master'!$C:$C, MATCH(B10914, 'nav master'!$B:$B, 0)), "")</f>
        <v>ULIF06723/03/18EqtyAdvtFd101</v>
      </c>
      <c r="E10914" s="8" t="s">
        <v>319</v>
      </c>
      <c r="F10914" s="8" t="s">
        <v>4453</v>
      </c>
    </row>
    <row r="10915" spans="1:6" ht="60" x14ac:dyDescent="0.25">
      <c r="A10915" s="8" t="s">
        <v>125</v>
      </c>
      <c r="B10915" s="8" t="s">
        <v>138</v>
      </c>
      <c r="C10915" s="8" t="str">
        <f>IFERROR(_xlfn.XLOOKUP(TRIM(B10915),Lookup!$B$2:$B$1000,Lookup!$C$2:$C$1000),"")</f>
        <v>Equity</v>
      </c>
      <c r="D10915" s="8" t="str">
        <f>IFERROR(INDEX('nav master'!$C:$C, MATCH(B10915, 'nav master'!$B:$B, 0)), "")</f>
        <v>ULIF06723/03/18EqtyAdvtFd101</v>
      </c>
      <c r="E10915" s="8" t="s">
        <v>321</v>
      </c>
      <c r="F10915" s="8" t="s">
        <v>4454</v>
      </c>
    </row>
    <row r="10916" spans="1:6" ht="60" x14ac:dyDescent="0.25">
      <c r="A10916" s="8" t="s">
        <v>125</v>
      </c>
      <c r="B10916" s="8" t="s">
        <v>138</v>
      </c>
      <c r="C10916" s="8" t="str">
        <f>IFERROR(_xlfn.XLOOKUP(TRIM(B10916),Lookup!$B$2:$B$1000,Lookup!$C$2:$C$1000),"")</f>
        <v>Equity</v>
      </c>
      <c r="D10916" s="8" t="str">
        <f>IFERROR(INDEX('nav master'!$C:$C, MATCH(B10916, 'nav master'!$B:$B, 0)), "")</f>
        <v>ULIF06723/03/18EqtyAdvtFd101</v>
      </c>
      <c r="E10916" s="8" t="s">
        <v>323</v>
      </c>
      <c r="F10916" s="8" t="s">
        <v>4455</v>
      </c>
    </row>
    <row r="10917" spans="1:6" ht="60" x14ac:dyDescent="0.25">
      <c r="A10917" s="8" t="s">
        <v>125</v>
      </c>
      <c r="B10917" s="8" t="s">
        <v>138</v>
      </c>
      <c r="C10917" s="8" t="str">
        <f>IFERROR(_xlfn.XLOOKUP(TRIM(B10917),Lookup!$B$2:$B$1000,Lookup!$C$2:$C$1000),"")</f>
        <v>Equity</v>
      </c>
      <c r="D10917" s="8" t="str">
        <f>IFERROR(INDEX('nav master'!$C:$C, MATCH(B10917, 'nav master'!$B:$B, 0)), "")</f>
        <v>ULIF06723/03/18EqtyAdvtFd101</v>
      </c>
      <c r="E10917" s="8" t="s">
        <v>325</v>
      </c>
      <c r="F10917" s="8" t="s">
        <v>4456</v>
      </c>
    </row>
    <row r="10918" spans="1:6" ht="60" x14ac:dyDescent="0.25">
      <c r="A10918" s="8" t="s">
        <v>125</v>
      </c>
      <c r="B10918" s="8" t="s">
        <v>138</v>
      </c>
      <c r="C10918" s="8" t="str">
        <f>IFERROR(_xlfn.XLOOKUP(TRIM(B10918),Lookup!$B$2:$B$1000,Lookup!$C$2:$C$1000),"")</f>
        <v>Equity</v>
      </c>
      <c r="D10918" s="8" t="str">
        <f>IFERROR(INDEX('nav master'!$C:$C, MATCH(B10918, 'nav master'!$B:$B, 0)), "")</f>
        <v>ULIF06723/03/18EqtyAdvtFd101</v>
      </c>
      <c r="E10918" s="8" t="s">
        <v>327</v>
      </c>
      <c r="F10918" s="8" t="s">
        <v>4457</v>
      </c>
    </row>
    <row r="10919" spans="1:6" ht="60" x14ac:dyDescent="0.25">
      <c r="A10919" s="8" t="s">
        <v>125</v>
      </c>
      <c r="B10919" s="8" t="s">
        <v>138</v>
      </c>
      <c r="C10919" s="8" t="str">
        <f>IFERROR(_xlfn.XLOOKUP(TRIM(B10919),Lookup!$B$2:$B$1000,Lookup!$C$2:$C$1000),"")</f>
        <v>Equity</v>
      </c>
      <c r="D10919" s="8" t="str">
        <f>IFERROR(INDEX('nav master'!$C:$C, MATCH(B10919, 'nav master'!$B:$B, 0)), "")</f>
        <v>ULIF06723/03/18EqtyAdvtFd101</v>
      </c>
      <c r="E10919" s="8" t="s">
        <v>329</v>
      </c>
      <c r="F10919" s="8" t="s">
        <v>4458</v>
      </c>
    </row>
    <row r="10920" spans="1:6" ht="60" x14ac:dyDescent="0.25">
      <c r="A10920" s="8" t="s">
        <v>125</v>
      </c>
      <c r="B10920" s="8" t="s">
        <v>138</v>
      </c>
      <c r="C10920" s="8" t="str">
        <f>IFERROR(_xlfn.XLOOKUP(TRIM(B10920),Lookup!$B$2:$B$1000,Lookup!$C$2:$C$1000),"")</f>
        <v>Equity</v>
      </c>
      <c r="D10920" s="8" t="str">
        <f>IFERROR(INDEX('nav master'!$C:$C, MATCH(B10920, 'nav master'!$B:$B, 0)), "")</f>
        <v>ULIF06723/03/18EqtyAdvtFd101</v>
      </c>
      <c r="E10920" s="8" t="s">
        <v>331</v>
      </c>
      <c r="F10920" s="8" t="s">
        <v>4459</v>
      </c>
    </row>
    <row r="10921" spans="1:6" ht="60" x14ac:dyDescent="0.25">
      <c r="A10921" s="8" t="s">
        <v>125</v>
      </c>
      <c r="B10921" s="8" t="s">
        <v>138</v>
      </c>
      <c r="C10921" s="8" t="str">
        <f>IFERROR(_xlfn.XLOOKUP(TRIM(B10921),Lookup!$B$2:$B$1000,Lookup!$C$2:$C$1000),"")</f>
        <v>Equity</v>
      </c>
      <c r="D10921" s="8" t="str">
        <f>IFERROR(INDEX('nav master'!$C:$C, MATCH(B10921, 'nav master'!$B:$B, 0)), "")</f>
        <v>ULIF06723/03/18EqtyAdvtFd101</v>
      </c>
      <c r="E10921" s="8" t="s">
        <v>333</v>
      </c>
      <c r="F10921" s="8" t="s">
        <v>4460</v>
      </c>
    </row>
    <row r="10922" spans="1:6" ht="60" x14ac:dyDescent="0.25">
      <c r="A10922" s="8" t="s">
        <v>125</v>
      </c>
      <c r="B10922" s="8" t="s">
        <v>138</v>
      </c>
      <c r="C10922" s="8" t="str">
        <f>IFERROR(_xlfn.XLOOKUP(TRIM(B10922),Lookup!$B$2:$B$1000,Lookup!$C$2:$C$1000),"")</f>
        <v>Equity</v>
      </c>
      <c r="D10922" s="8" t="str">
        <f>IFERROR(INDEX('nav master'!$C:$C, MATCH(B10922, 'nav master'!$B:$B, 0)), "")</f>
        <v>ULIF06723/03/18EqtyAdvtFd101</v>
      </c>
      <c r="E10922" s="8" t="s">
        <v>335</v>
      </c>
      <c r="F10922" s="8" t="s">
        <v>4461</v>
      </c>
    </row>
    <row r="10923" spans="1:6" ht="60" x14ac:dyDescent="0.25">
      <c r="A10923" s="8" t="s">
        <v>125</v>
      </c>
      <c r="B10923" s="8" t="s">
        <v>138</v>
      </c>
      <c r="C10923" s="8" t="str">
        <f>IFERROR(_xlfn.XLOOKUP(TRIM(B10923),Lookup!$B$2:$B$1000,Lookup!$C$2:$C$1000),"")</f>
        <v>Equity</v>
      </c>
      <c r="D10923" s="8" t="str">
        <f>IFERROR(INDEX('nav master'!$C:$C, MATCH(B10923, 'nav master'!$B:$B, 0)), "")</f>
        <v>ULIF06723/03/18EqtyAdvtFd101</v>
      </c>
      <c r="E10923" s="8" t="s">
        <v>337</v>
      </c>
      <c r="F10923" s="8" t="s">
        <v>4462</v>
      </c>
    </row>
    <row r="10924" spans="1:6" ht="60" x14ac:dyDescent="0.25">
      <c r="A10924" s="8" t="s">
        <v>125</v>
      </c>
      <c r="B10924" s="8" t="s">
        <v>138</v>
      </c>
      <c r="C10924" s="8" t="str">
        <f>IFERROR(_xlfn.XLOOKUP(TRIM(B10924),Lookup!$B$2:$B$1000,Lookup!$C$2:$C$1000),"")</f>
        <v>Equity</v>
      </c>
      <c r="D10924" s="8" t="str">
        <f>IFERROR(INDEX('nav master'!$C:$C, MATCH(B10924, 'nav master'!$B:$B, 0)), "")</f>
        <v>ULIF06723/03/18EqtyAdvtFd101</v>
      </c>
      <c r="E10924" s="8" t="s">
        <v>339</v>
      </c>
      <c r="F10924" s="8" t="s">
        <v>4463</v>
      </c>
    </row>
    <row r="10925" spans="1:6" ht="60" x14ac:dyDescent="0.25">
      <c r="A10925" s="8" t="s">
        <v>125</v>
      </c>
      <c r="B10925" s="8" t="s">
        <v>138</v>
      </c>
      <c r="C10925" s="8" t="str">
        <f>IFERROR(_xlfn.XLOOKUP(TRIM(B10925),Lookup!$B$2:$B$1000,Lookup!$C$2:$C$1000),"")</f>
        <v>Equity</v>
      </c>
      <c r="D10925" s="8" t="str">
        <f>IFERROR(INDEX('nav master'!$C:$C, MATCH(B10925, 'nav master'!$B:$B, 0)), "")</f>
        <v>ULIF06723/03/18EqtyAdvtFd101</v>
      </c>
      <c r="E10925" s="8" t="s">
        <v>341</v>
      </c>
      <c r="F10925" s="8" t="s">
        <v>4464</v>
      </c>
    </row>
    <row r="10926" spans="1:6" ht="60" x14ac:dyDescent="0.25">
      <c r="A10926" s="8" t="s">
        <v>125</v>
      </c>
      <c r="B10926" s="8" t="s">
        <v>138</v>
      </c>
      <c r="C10926" s="8" t="str">
        <f>IFERROR(_xlfn.XLOOKUP(TRIM(B10926),Lookup!$B$2:$B$1000,Lookup!$C$2:$C$1000),"")</f>
        <v>Equity</v>
      </c>
      <c r="D10926" s="8" t="str">
        <f>IFERROR(INDEX('nav master'!$C:$C, MATCH(B10926, 'nav master'!$B:$B, 0)), "")</f>
        <v>ULIF06723/03/18EqtyAdvtFd101</v>
      </c>
      <c r="E10926" s="8" t="s">
        <v>343</v>
      </c>
      <c r="F10926" s="8" t="s">
        <v>4465</v>
      </c>
    </row>
    <row r="10927" spans="1:6" ht="60" x14ac:dyDescent="0.25">
      <c r="A10927" s="8" t="s">
        <v>125</v>
      </c>
      <c r="B10927" s="8" t="s">
        <v>138</v>
      </c>
      <c r="C10927" s="8" t="str">
        <f>IFERROR(_xlfn.XLOOKUP(TRIM(B10927),Lookup!$B$2:$B$1000,Lookup!$C$2:$C$1000),"")</f>
        <v>Equity</v>
      </c>
      <c r="D10927" s="8" t="str">
        <f>IFERROR(INDEX('nav master'!$C:$C, MATCH(B10927, 'nav master'!$B:$B, 0)), "")</f>
        <v>ULIF06723/03/18EqtyAdvtFd101</v>
      </c>
      <c r="E10927" s="8" t="s">
        <v>345</v>
      </c>
      <c r="F10927" s="8" t="s">
        <v>4466</v>
      </c>
    </row>
    <row r="10928" spans="1:6" ht="60" x14ac:dyDescent="0.25">
      <c r="A10928" s="8" t="s">
        <v>125</v>
      </c>
      <c r="B10928" s="8" t="s">
        <v>138</v>
      </c>
      <c r="C10928" s="8" t="str">
        <f>IFERROR(_xlfn.XLOOKUP(TRIM(B10928),Lookup!$B$2:$B$1000,Lookup!$C$2:$C$1000),"")</f>
        <v>Equity</v>
      </c>
      <c r="D10928" s="8" t="str">
        <f>IFERROR(INDEX('nav master'!$C:$C, MATCH(B10928, 'nav master'!$B:$B, 0)), "")</f>
        <v>ULIF06723/03/18EqtyAdvtFd101</v>
      </c>
      <c r="E10928" s="8" t="s">
        <v>347</v>
      </c>
      <c r="F10928" s="8" t="s">
        <v>4467</v>
      </c>
    </row>
    <row r="10929" spans="1:6" ht="60" x14ac:dyDescent="0.25">
      <c r="A10929" s="8" t="s">
        <v>125</v>
      </c>
      <c r="B10929" s="8" t="s">
        <v>138</v>
      </c>
      <c r="C10929" s="8" t="str">
        <f>IFERROR(_xlfn.XLOOKUP(TRIM(B10929),Lookup!$B$2:$B$1000,Lookup!$C$2:$C$1000),"")</f>
        <v>Equity</v>
      </c>
      <c r="D10929" s="8" t="str">
        <f>IFERROR(INDEX('nav master'!$C:$C, MATCH(B10929, 'nav master'!$B:$B, 0)), "")</f>
        <v>ULIF06723/03/18EqtyAdvtFd101</v>
      </c>
      <c r="E10929" s="8" t="s">
        <v>349</v>
      </c>
      <c r="F10929" s="8" t="s">
        <v>4468</v>
      </c>
    </row>
    <row r="10930" spans="1:6" ht="60" x14ac:dyDescent="0.25">
      <c r="A10930" s="8" t="s">
        <v>125</v>
      </c>
      <c r="B10930" s="8" t="s">
        <v>138</v>
      </c>
      <c r="C10930" s="8" t="str">
        <f>IFERROR(_xlfn.XLOOKUP(TRIM(B10930),Lookup!$B$2:$B$1000,Lookup!$C$2:$C$1000),"")</f>
        <v>Equity</v>
      </c>
      <c r="D10930" s="8" t="str">
        <f>IFERROR(INDEX('nav master'!$C:$C, MATCH(B10930, 'nav master'!$B:$B, 0)), "")</f>
        <v>ULIF06723/03/18EqtyAdvtFd101</v>
      </c>
      <c r="E10930" s="8" t="s">
        <v>351</v>
      </c>
      <c r="F10930" s="8" t="s">
        <v>4469</v>
      </c>
    </row>
    <row r="10931" spans="1:6" ht="60" x14ac:dyDescent="0.25">
      <c r="A10931" s="8" t="s">
        <v>125</v>
      </c>
      <c r="B10931" s="8" t="s">
        <v>138</v>
      </c>
      <c r="C10931" s="8" t="str">
        <f>IFERROR(_xlfn.XLOOKUP(TRIM(B10931),Lookup!$B$2:$B$1000,Lookup!$C$2:$C$1000),"")</f>
        <v>Equity</v>
      </c>
      <c r="D10931" s="8" t="str">
        <f>IFERROR(INDEX('nav master'!$C:$C, MATCH(B10931, 'nav master'!$B:$B, 0)), "")</f>
        <v>ULIF06723/03/18EqtyAdvtFd101</v>
      </c>
      <c r="E10931" s="8" t="s">
        <v>353</v>
      </c>
      <c r="F10931" s="8" t="s">
        <v>4470</v>
      </c>
    </row>
    <row r="10932" spans="1:6" ht="60" x14ac:dyDescent="0.25">
      <c r="A10932" s="8" t="s">
        <v>125</v>
      </c>
      <c r="B10932" s="8" t="s">
        <v>138</v>
      </c>
      <c r="C10932" s="8" t="str">
        <f>IFERROR(_xlfn.XLOOKUP(TRIM(B10932),Lookup!$B$2:$B$1000,Lookup!$C$2:$C$1000),"")</f>
        <v>Equity</v>
      </c>
      <c r="D10932" s="8" t="str">
        <f>IFERROR(INDEX('nav master'!$C:$C, MATCH(B10932, 'nav master'!$B:$B, 0)), "")</f>
        <v>ULIF06723/03/18EqtyAdvtFd101</v>
      </c>
      <c r="E10932" s="8" t="s">
        <v>355</v>
      </c>
      <c r="F10932" s="8" t="s">
        <v>4471</v>
      </c>
    </row>
    <row r="10933" spans="1:6" ht="60" x14ac:dyDescent="0.25">
      <c r="A10933" s="8" t="s">
        <v>125</v>
      </c>
      <c r="B10933" s="8" t="s">
        <v>138</v>
      </c>
      <c r="C10933" s="8" t="str">
        <f>IFERROR(_xlfn.XLOOKUP(TRIM(B10933),Lookup!$B$2:$B$1000,Lookup!$C$2:$C$1000),"")</f>
        <v>Equity</v>
      </c>
      <c r="D10933" s="8" t="str">
        <f>IFERROR(INDEX('nav master'!$C:$C, MATCH(B10933, 'nav master'!$B:$B, 0)), "")</f>
        <v>ULIF06723/03/18EqtyAdvtFd101</v>
      </c>
      <c r="E10933" s="8" t="s">
        <v>357</v>
      </c>
      <c r="F10933" s="8" t="s">
        <v>4472</v>
      </c>
    </row>
    <row r="10934" spans="1:6" ht="60" x14ac:dyDescent="0.25">
      <c r="A10934" s="8" t="s">
        <v>125</v>
      </c>
      <c r="B10934" s="8" t="s">
        <v>138</v>
      </c>
      <c r="C10934" s="8" t="str">
        <f>IFERROR(_xlfn.XLOOKUP(TRIM(B10934),Lookup!$B$2:$B$1000,Lookup!$C$2:$C$1000),"")</f>
        <v>Equity</v>
      </c>
      <c r="D10934" s="8" t="str">
        <f>IFERROR(INDEX('nav master'!$C:$C, MATCH(B10934, 'nav master'!$B:$B, 0)), "")</f>
        <v>ULIF06723/03/18EqtyAdvtFd101</v>
      </c>
      <c r="E10934" s="8" t="s">
        <v>359</v>
      </c>
      <c r="F10934" s="8" t="s">
        <v>4473</v>
      </c>
    </row>
    <row r="10935" spans="1:6" ht="60" x14ac:dyDescent="0.25">
      <c r="A10935" s="8" t="s">
        <v>125</v>
      </c>
      <c r="B10935" s="8" t="s">
        <v>138</v>
      </c>
      <c r="C10935" s="8" t="str">
        <f>IFERROR(_xlfn.XLOOKUP(TRIM(B10935),Lookup!$B$2:$B$1000,Lookup!$C$2:$C$1000),"")</f>
        <v>Equity</v>
      </c>
      <c r="D10935" s="8" t="str">
        <f>IFERROR(INDEX('nav master'!$C:$C, MATCH(B10935, 'nav master'!$B:$B, 0)), "")</f>
        <v>ULIF06723/03/18EqtyAdvtFd101</v>
      </c>
      <c r="E10935" s="8" t="s">
        <v>361</v>
      </c>
      <c r="F10935" s="8" t="s">
        <v>4474</v>
      </c>
    </row>
    <row r="10936" spans="1:6" ht="60" x14ac:dyDescent="0.25">
      <c r="A10936" s="8" t="s">
        <v>125</v>
      </c>
      <c r="B10936" s="8" t="s">
        <v>138</v>
      </c>
      <c r="C10936" s="8" t="str">
        <f>IFERROR(_xlfn.XLOOKUP(TRIM(B10936),Lookup!$B$2:$B$1000,Lookup!$C$2:$C$1000),"")</f>
        <v>Equity</v>
      </c>
      <c r="D10936" s="8" t="str">
        <f>IFERROR(INDEX('nav master'!$C:$C, MATCH(B10936, 'nav master'!$B:$B, 0)), "")</f>
        <v>ULIF06723/03/18EqtyAdvtFd101</v>
      </c>
      <c r="E10936" s="8" t="s">
        <v>363</v>
      </c>
      <c r="F10936" s="8" t="s">
        <v>4475</v>
      </c>
    </row>
    <row r="10937" spans="1:6" ht="60" x14ac:dyDescent="0.25">
      <c r="A10937" s="8" t="s">
        <v>125</v>
      </c>
      <c r="B10937" s="8" t="s">
        <v>138</v>
      </c>
      <c r="C10937" s="8" t="str">
        <f>IFERROR(_xlfn.XLOOKUP(TRIM(B10937),Lookup!$B$2:$B$1000,Lookup!$C$2:$C$1000),"")</f>
        <v>Equity</v>
      </c>
      <c r="D10937" s="8" t="str">
        <f>IFERROR(INDEX('nav master'!$C:$C, MATCH(B10937, 'nav master'!$B:$B, 0)), "")</f>
        <v>ULIF06723/03/18EqtyAdvtFd101</v>
      </c>
      <c r="E10937" s="8" t="s">
        <v>365</v>
      </c>
      <c r="F10937" s="8" t="s">
        <v>4476</v>
      </c>
    </row>
    <row r="10938" spans="1:6" ht="60" x14ac:dyDescent="0.25">
      <c r="A10938" s="8" t="s">
        <v>125</v>
      </c>
      <c r="B10938" s="8" t="s">
        <v>138</v>
      </c>
      <c r="C10938" s="8" t="str">
        <f>IFERROR(_xlfn.XLOOKUP(TRIM(B10938),Lookup!$B$2:$B$1000,Lookup!$C$2:$C$1000),"")</f>
        <v>Equity</v>
      </c>
      <c r="D10938" s="8" t="str">
        <f>IFERROR(INDEX('nav master'!$C:$C, MATCH(B10938, 'nav master'!$B:$B, 0)), "")</f>
        <v>ULIF06723/03/18EqtyAdvtFd101</v>
      </c>
      <c r="E10938" s="8" t="s">
        <v>367</v>
      </c>
      <c r="F10938" s="8" t="s">
        <v>4477</v>
      </c>
    </row>
    <row r="10939" spans="1:6" ht="60" x14ac:dyDescent="0.25">
      <c r="A10939" s="8" t="s">
        <v>125</v>
      </c>
      <c r="B10939" s="8" t="s">
        <v>138</v>
      </c>
      <c r="C10939" s="8" t="str">
        <f>IFERROR(_xlfn.XLOOKUP(TRIM(B10939),Lookup!$B$2:$B$1000,Lookup!$C$2:$C$1000),"")</f>
        <v>Equity</v>
      </c>
      <c r="D10939" s="8" t="str">
        <f>IFERROR(INDEX('nav master'!$C:$C, MATCH(B10939, 'nav master'!$B:$B, 0)), "")</f>
        <v>ULIF06723/03/18EqtyAdvtFd101</v>
      </c>
      <c r="E10939" s="8" t="s">
        <v>369</v>
      </c>
      <c r="F10939" s="8" t="s">
        <v>4478</v>
      </c>
    </row>
    <row r="10940" spans="1:6" ht="60" x14ac:dyDescent="0.25">
      <c r="A10940" s="8" t="s">
        <v>125</v>
      </c>
      <c r="B10940" s="8" t="s">
        <v>138</v>
      </c>
      <c r="C10940" s="8" t="str">
        <f>IFERROR(_xlfn.XLOOKUP(TRIM(B10940),Lookup!$B$2:$B$1000,Lookup!$C$2:$C$1000),"")</f>
        <v>Equity</v>
      </c>
      <c r="D10940" s="8" t="str">
        <f>IFERROR(INDEX('nav master'!$C:$C, MATCH(B10940, 'nav master'!$B:$B, 0)), "")</f>
        <v>ULIF06723/03/18EqtyAdvtFd101</v>
      </c>
      <c r="E10940" s="8" t="s">
        <v>371</v>
      </c>
      <c r="F10940" s="8" t="s">
        <v>4479</v>
      </c>
    </row>
    <row r="10941" spans="1:6" ht="60" x14ac:dyDescent="0.25">
      <c r="A10941" s="8" t="s">
        <v>125</v>
      </c>
      <c r="B10941" s="8" t="s">
        <v>138</v>
      </c>
      <c r="C10941" s="8" t="str">
        <f>IFERROR(_xlfn.XLOOKUP(TRIM(B10941),Lookup!$B$2:$B$1000,Lookup!$C$2:$C$1000),"")</f>
        <v>Equity</v>
      </c>
      <c r="D10941" s="8" t="str">
        <f>IFERROR(INDEX('nav master'!$C:$C, MATCH(B10941, 'nav master'!$B:$B, 0)), "")</f>
        <v>ULIF06723/03/18EqtyAdvtFd101</v>
      </c>
      <c r="E10941" s="8" t="s">
        <v>373</v>
      </c>
      <c r="F10941" s="8" t="s">
        <v>4480</v>
      </c>
    </row>
    <row r="10942" spans="1:6" ht="60" x14ac:dyDescent="0.25">
      <c r="A10942" s="8" t="s">
        <v>125</v>
      </c>
      <c r="B10942" s="8" t="s">
        <v>138</v>
      </c>
      <c r="C10942" s="8" t="str">
        <f>IFERROR(_xlfn.XLOOKUP(TRIM(B10942),Lookup!$B$2:$B$1000,Lookup!$C$2:$C$1000),"")</f>
        <v>Equity</v>
      </c>
      <c r="D10942" s="8" t="str">
        <f>IFERROR(INDEX('nav master'!$C:$C, MATCH(B10942, 'nav master'!$B:$B, 0)), "")</f>
        <v>ULIF06723/03/18EqtyAdvtFd101</v>
      </c>
      <c r="E10942" s="8" t="s">
        <v>375</v>
      </c>
      <c r="F10942" s="8" t="s">
        <v>4481</v>
      </c>
    </row>
    <row r="10943" spans="1:6" ht="60" x14ac:dyDescent="0.25">
      <c r="A10943" s="8" t="s">
        <v>125</v>
      </c>
      <c r="B10943" s="8" t="s">
        <v>138</v>
      </c>
      <c r="C10943" s="8" t="str">
        <f>IFERROR(_xlfn.XLOOKUP(TRIM(B10943),Lookup!$B$2:$B$1000,Lookup!$C$2:$C$1000),"")</f>
        <v>Equity</v>
      </c>
      <c r="D10943" s="8" t="str">
        <f>IFERROR(INDEX('nav master'!$C:$C, MATCH(B10943, 'nav master'!$B:$B, 0)), "")</f>
        <v>ULIF06723/03/18EqtyAdvtFd101</v>
      </c>
      <c r="E10943" s="8" t="s">
        <v>377</v>
      </c>
      <c r="F10943" s="8" t="s">
        <v>4482</v>
      </c>
    </row>
    <row r="10944" spans="1:6" ht="60" x14ac:dyDescent="0.25">
      <c r="A10944" s="8" t="s">
        <v>125</v>
      </c>
      <c r="B10944" s="8" t="s">
        <v>138</v>
      </c>
      <c r="C10944" s="8" t="str">
        <f>IFERROR(_xlfn.XLOOKUP(TRIM(B10944),Lookup!$B$2:$B$1000,Lookup!$C$2:$C$1000),"")</f>
        <v>Equity</v>
      </c>
      <c r="D10944" s="8" t="str">
        <f>IFERROR(INDEX('nav master'!$C:$C, MATCH(B10944, 'nav master'!$B:$B, 0)), "")</f>
        <v>ULIF06723/03/18EqtyAdvtFd101</v>
      </c>
      <c r="E10944" s="8" t="s">
        <v>379</v>
      </c>
      <c r="F10944" s="8" t="s">
        <v>4483</v>
      </c>
    </row>
    <row r="10945" spans="1:6" ht="60" x14ac:dyDescent="0.25">
      <c r="A10945" s="8" t="s">
        <v>125</v>
      </c>
      <c r="B10945" s="8" t="s">
        <v>138</v>
      </c>
      <c r="C10945" s="8" t="str">
        <f>IFERROR(_xlfn.XLOOKUP(TRIM(B10945),Lookup!$B$2:$B$1000,Lookup!$C$2:$C$1000),"")</f>
        <v>Equity</v>
      </c>
      <c r="D10945" s="8" t="str">
        <f>IFERROR(INDEX('nav master'!$C:$C, MATCH(B10945, 'nav master'!$B:$B, 0)), "")</f>
        <v>ULIF06723/03/18EqtyAdvtFd101</v>
      </c>
      <c r="E10945" s="8" t="s">
        <v>381</v>
      </c>
      <c r="F10945" s="8" t="s">
        <v>4484</v>
      </c>
    </row>
    <row r="10946" spans="1:6" ht="60" x14ac:dyDescent="0.25">
      <c r="A10946" s="8" t="s">
        <v>125</v>
      </c>
      <c r="B10946" s="8" t="s">
        <v>138</v>
      </c>
      <c r="C10946" s="8" t="str">
        <f>IFERROR(_xlfn.XLOOKUP(TRIM(B10946),Lookup!$B$2:$B$1000,Lookup!$C$2:$C$1000),"")</f>
        <v>Equity</v>
      </c>
      <c r="D10946" s="8" t="str">
        <f>IFERROR(INDEX('nav master'!$C:$C, MATCH(B10946, 'nav master'!$B:$B, 0)), "")</f>
        <v>ULIF06723/03/18EqtyAdvtFd101</v>
      </c>
      <c r="E10946" s="8" t="s">
        <v>383</v>
      </c>
      <c r="F10946" s="8" t="s">
        <v>4485</v>
      </c>
    </row>
    <row r="10947" spans="1:6" ht="60" x14ac:dyDescent="0.25">
      <c r="A10947" s="8" t="s">
        <v>125</v>
      </c>
      <c r="B10947" s="8" t="s">
        <v>138</v>
      </c>
      <c r="C10947" s="8" t="str">
        <f>IFERROR(_xlfn.XLOOKUP(TRIM(B10947),Lookup!$B$2:$B$1000,Lookup!$C$2:$C$1000),"")</f>
        <v>Equity</v>
      </c>
      <c r="D10947" s="8" t="str">
        <f>IFERROR(INDEX('nav master'!$C:$C, MATCH(B10947, 'nav master'!$B:$B, 0)), "")</f>
        <v>ULIF06723/03/18EqtyAdvtFd101</v>
      </c>
      <c r="E10947" s="8" t="s">
        <v>385</v>
      </c>
      <c r="F10947" s="8" t="s">
        <v>4486</v>
      </c>
    </row>
    <row r="10948" spans="1:6" ht="60" x14ac:dyDescent="0.25">
      <c r="A10948" s="8" t="s">
        <v>125</v>
      </c>
      <c r="B10948" s="8" t="s">
        <v>138</v>
      </c>
      <c r="C10948" s="8" t="str">
        <f>IFERROR(_xlfn.XLOOKUP(TRIM(B10948),Lookup!$B$2:$B$1000,Lookup!$C$2:$C$1000),"")</f>
        <v>Equity</v>
      </c>
      <c r="D10948" s="8" t="str">
        <f>IFERROR(INDEX('nav master'!$C:$C, MATCH(B10948, 'nav master'!$B:$B, 0)), "")</f>
        <v>ULIF06723/03/18EqtyAdvtFd101</v>
      </c>
      <c r="E10948" s="8" t="s">
        <v>387</v>
      </c>
      <c r="F10948" s="8" t="s">
        <v>4487</v>
      </c>
    </row>
    <row r="10949" spans="1:6" ht="60" x14ac:dyDescent="0.25">
      <c r="A10949" s="8" t="s">
        <v>125</v>
      </c>
      <c r="B10949" s="8" t="s">
        <v>138</v>
      </c>
      <c r="C10949" s="8" t="str">
        <f>IFERROR(_xlfn.XLOOKUP(TRIM(B10949),Lookup!$B$2:$B$1000,Lookup!$C$2:$C$1000),"")</f>
        <v>Equity</v>
      </c>
      <c r="D10949" s="8" t="str">
        <f>IFERROR(INDEX('nav master'!$C:$C, MATCH(B10949, 'nav master'!$B:$B, 0)), "")</f>
        <v>ULIF06723/03/18EqtyAdvtFd101</v>
      </c>
      <c r="E10949" s="8" t="s">
        <v>389</v>
      </c>
      <c r="F10949" s="8" t="s">
        <v>4488</v>
      </c>
    </row>
    <row r="10950" spans="1:6" ht="60" x14ac:dyDescent="0.25">
      <c r="A10950" s="8" t="s">
        <v>125</v>
      </c>
      <c r="B10950" s="8" t="s">
        <v>138</v>
      </c>
      <c r="C10950" s="8" t="str">
        <f>IFERROR(_xlfn.XLOOKUP(TRIM(B10950),Lookup!$B$2:$B$1000,Lookup!$C$2:$C$1000),"")</f>
        <v>Equity</v>
      </c>
      <c r="D10950" s="8" t="str">
        <f>IFERROR(INDEX('nav master'!$C:$C, MATCH(B10950, 'nav master'!$B:$B, 0)), "")</f>
        <v>ULIF06723/03/18EqtyAdvtFd101</v>
      </c>
      <c r="E10950" s="8" t="s">
        <v>391</v>
      </c>
      <c r="F10950" s="8" t="s">
        <v>4489</v>
      </c>
    </row>
    <row r="10951" spans="1:6" ht="60" x14ac:dyDescent="0.25">
      <c r="A10951" s="8" t="s">
        <v>125</v>
      </c>
      <c r="B10951" s="8" t="s">
        <v>138</v>
      </c>
      <c r="C10951" s="8" t="str">
        <f>IFERROR(_xlfn.XLOOKUP(TRIM(B10951),Lookup!$B$2:$B$1000,Lookup!$C$2:$C$1000),"")</f>
        <v>Equity</v>
      </c>
      <c r="D10951" s="8" t="str">
        <f>IFERROR(INDEX('nav master'!$C:$C, MATCH(B10951, 'nav master'!$B:$B, 0)), "")</f>
        <v>ULIF06723/03/18EqtyAdvtFd101</v>
      </c>
      <c r="E10951" s="8" t="s">
        <v>393</v>
      </c>
      <c r="F10951" s="8" t="s">
        <v>4490</v>
      </c>
    </row>
    <row r="10952" spans="1:6" ht="60" x14ac:dyDescent="0.25">
      <c r="A10952" s="8" t="s">
        <v>125</v>
      </c>
      <c r="B10952" s="8" t="s">
        <v>138</v>
      </c>
      <c r="C10952" s="8" t="str">
        <f>IFERROR(_xlfn.XLOOKUP(TRIM(B10952),Lookup!$B$2:$B$1000,Lookup!$C$2:$C$1000),"")</f>
        <v>Equity</v>
      </c>
      <c r="D10952" s="8" t="str">
        <f>IFERROR(INDEX('nav master'!$C:$C, MATCH(B10952, 'nav master'!$B:$B, 0)), "")</f>
        <v>ULIF06723/03/18EqtyAdvtFd101</v>
      </c>
      <c r="E10952" s="8" t="s">
        <v>395</v>
      </c>
      <c r="F10952" s="8" t="s">
        <v>4491</v>
      </c>
    </row>
    <row r="10953" spans="1:6" ht="60" x14ac:dyDescent="0.25">
      <c r="A10953" s="8" t="s">
        <v>125</v>
      </c>
      <c r="B10953" s="8" t="s">
        <v>138</v>
      </c>
      <c r="C10953" s="8" t="str">
        <f>IFERROR(_xlfn.XLOOKUP(TRIM(B10953),Lookup!$B$2:$B$1000,Lookup!$C$2:$C$1000),"")</f>
        <v>Equity</v>
      </c>
      <c r="D10953" s="8" t="str">
        <f>IFERROR(INDEX('nav master'!$C:$C, MATCH(B10953, 'nav master'!$B:$B, 0)), "")</f>
        <v>ULIF06723/03/18EqtyAdvtFd101</v>
      </c>
      <c r="E10953" s="8" t="s">
        <v>397</v>
      </c>
      <c r="F10953" s="8" t="s">
        <v>4492</v>
      </c>
    </row>
    <row r="10954" spans="1:6" ht="60" x14ac:dyDescent="0.25">
      <c r="A10954" s="8" t="s">
        <v>125</v>
      </c>
      <c r="B10954" s="8" t="s">
        <v>138</v>
      </c>
      <c r="C10954" s="8" t="str">
        <f>IFERROR(_xlfn.XLOOKUP(TRIM(B10954),Lookup!$B$2:$B$1000,Lookup!$C$2:$C$1000),"")</f>
        <v>Equity</v>
      </c>
      <c r="D10954" s="8" t="str">
        <f>IFERROR(INDEX('nav master'!$C:$C, MATCH(B10954, 'nav master'!$B:$B, 0)), "")</f>
        <v>ULIF06723/03/18EqtyAdvtFd101</v>
      </c>
      <c r="E10954" s="8" t="s">
        <v>399</v>
      </c>
      <c r="F10954" s="8" t="s">
        <v>4493</v>
      </c>
    </row>
    <row r="10955" spans="1:6" ht="60" x14ac:dyDescent="0.25">
      <c r="A10955" s="8" t="s">
        <v>125</v>
      </c>
      <c r="B10955" s="8" t="s">
        <v>138</v>
      </c>
      <c r="C10955" s="8" t="str">
        <f>IFERROR(_xlfn.XLOOKUP(TRIM(B10955),Lookup!$B$2:$B$1000,Lookup!$C$2:$C$1000),"")</f>
        <v>Equity</v>
      </c>
      <c r="D10955" s="8" t="str">
        <f>IFERROR(INDEX('nav master'!$C:$C, MATCH(B10955, 'nav master'!$B:$B, 0)), "")</f>
        <v>ULIF06723/03/18EqtyAdvtFd101</v>
      </c>
      <c r="E10955" s="8" t="s">
        <v>401</v>
      </c>
      <c r="F10955" s="8" t="s">
        <v>4494</v>
      </c>
    </row>
    <row r="10956" spans="1:6" ht="60" x14ac:dyDescent="0.25">
      <c r="A10956" s="8" t="s">
        <v>125</v>
      </c>
      <c r="B10956" s="8" t="s">
        <v>138</v>
      </c>
      <c r="C10956" s="8" t="str">
        <f>IFERROR(_xlfn.XLOOKUP(TRIM(B10956),Lookup!$B$2:$B$1000,Lookup!$C$2:$C$1000),"")</f>
        <v>Equity</v>
      </c>
      <c r="D10956" s="8" t="str">
        <f>IFERROR(INDEX('nav master'!$C:$C, MATCH(B10956, 'nav master'!$B:$B, 0)), "")</f>
        <v>ULIF06723/03/18EqtyAdvtFd101</v>
      </c>
      <c r="E10956" s="8" t="s">
        <v>403</v>
      </c>
      <c r="F10956" s="8" t="s">
        <v>4495</v>
      </c>
    </row>
    <row r="10957" spans="1:6" ht="60" x14ac:dyDescent="0.25">
      <c r="A10957" s="8" t="s">
        <v>125</v>
      </c>
      <c r="B10957" s="8" t="s">
        <v>138</v>
      </c>
      <c r="C10957" s="8" t="str">
        <f>IFERROR(_xlfn.XLOOKUP(TRIM(B10957),Lookup!$B$2:$B$1000,Lookup!$C$2:$C$1000),"")</f>
        <v>Equity</v>
      </c>
      <c r="D10957" s="8" t="str">
        <f>IFERROR(INDEX('nav master'!$C:$C, MATCH(B10957, 'nav master'!$B:$B, 0)), "")</f>
        <v>ULIF06723/03/18EqtyAdvtFd101</v>
      </c>
      <c r="E10957" s="8" t="s">
        <v>405</v>
      </c>
      <c r="F10957" s="8" t="s">
        <v>4496</v>
      </c>
    </row>
    <row r="10958" spans="1:6" ht="60" x14ac:dyDescent="0.25">
      <c r="A10958" s="8" t="s">
        <v>125</v>
      </c>
      <c r="B10958" s="8" t="s">
        <v>138</v>
      </c>
      <c r="C10958" s="8" t="str">
        <f>IFERROR(_xlfn.XLOOKUP(TRIM(B10958),Lookup!$B$2:$B$1000,Lookup!$C$2:$C$1000),"")</f>
        <v>Equity</v>
      </c>
      <c r="D10958" s="8" t="str">
        <f>IFERROR(INDEX('nav master'!$C:$C, MATCH(B10958, 'nav master'!$B:$B, 0)), "")</f>
        <v>ULIF06723/03/18EqtyAdvtFd101</v>
      </c>
      <c r="E10958" s="8" t="s">
        <v>407</v>
      </c>
      <c r="F10958" s="8" t="s">
        <v>4497</v>
      </c>
    </row>
    <row r="10959" spans="1:6" ht="60" x14ac:dyDescent="0.25">
      <c r="A10959" s="8" t="s">
        <v>125</v>
      </c>
      <c r="B10959" s="8" t="s">
        <v>138</v>
      </c>
      <c r="C10959" s="8" t="str">
        <f>IFERROR(_xlfn.XLOOKUP(TRIM(B10959),Lookup!$B$2:$B$1000,Lookup!$C$2:$C$1000),"")</f>
        <v>Equity</v>
      </c>
      <c r="D10959" s="8" t="str">
        <f>IFERROR(INDEX('nav master'!$C:$C, MATCH(B10959, 'nav master'!$B:$B, 0)), "")</f>
        <v>ULIF06723/03/18EqtyAdvtFd101</v>
      </c>
      <c r="E10959" s="8" t="s">
        <v>409</v>
      </c>
      <c r="F10959" s="8" t="s">
        <v>4498</v>
      </c>
    </row>
    <row r="10960" spans="1:6" ht="60" x14ac:dyDescent="0.25">
      <c r="A10960" s="8" t="s">
        <v>125</v>
      </c>
      <c r="B10960" s="8" t="s">
        <v>138</v>
      </c>
      <c r="C10960" s="8" t="str">
        <f>IFERROR(_xlfn.XLOOKUP(TRIM(B10960),Lookup!$B$2:$B$1000,Lookup!$C$2:$C$1000),"")</f>
        <v>Equity</v>
      </c>
      <c r="D10960" s="8" t="str">
        <f>IFERROR(INDEX('nav master'!$C:$C, MATCH(B10960, 'nav master'!$B:$B, 0)), "")</f>
        <v>ULIF06723/03/18EqtyAdvtFd101</v>
      </c>
      <c r="E10960" s="8" t="s">
        <v>411</v>
      </c>
      <c r="F10960" s="8" t="s">
        <v>4499</v>
      </c>
    </row>
    <row r="10961" spans="1:6" ht="60" x14ac:dyDescent="0.25">
      <c r="A10961" s="8" t="s">
        <v>125</v>
      </c>
      <c r="B10961" s="8" t="s">
        <v>138</v>
      </c>
      <c r="C10961" s="8" t="str">
        <f>IFERROR(_xlfn.XLOOKUP(TRIM(B10961),Lookup!$B$2:$B$1000,Lookup!$C$2:$C$1000),"")</f>
        <v>Equity</v>
      </c>
      <c r="D10961" s="8" t="str">
        <f>IFERROR(INDEX('nav master'!$C:$C, MATCH(B10961, 'nav master'!$B:$B, 0)), "")</f>
        <v>ULIF06723/03/18EqtyAdvtFd101</v>
      </c>
      <c r="E10961" s="8" t="s">
        <v>413</v>
      </c>
      <c r="F10961" s="8" t="s">
        <v>4500</v>
      </c>
    </row>
    <row r="10962" spans="1:6" ht="60" x14ac:dyDescent="0.25">
      <c r="A10962" s="8" t="s">
        <v>125</v>
      </c>
      <c r="B10962" s="8" t="s">
        <v>138</v>
      </c>
      <c r="C10962" s="8" t="str">
        <f>IFERROR(_xlfn.XLOOKUP(TRIM(B10962),Lookup!$B$2:$B$1000,Lookup!$C$2:$C$1000),"")</f>
        <v>Equity</v>
      </c>
      <c r="D10962" s="8" t="str">
        <f>IFERROR(INDEX('nav master'!$C:$C, MATCH(B10962, 'nav master'!$B:$B, 0)), "")</f>
        <v>ULIF06723/03/18EqtyAdvtFd101</v>
      </c>
      <c r="E10962" s="8" t="s">
        <v>415</v>
      </c>
      <c r="F10962" s="8" t="s">
        <v>4501</v>
      </c>
    </row>
    <row r="10963" spans="1:6" ht="60" x14ac:dyDescent="0.25">
      <c r="A10963" s="8" t="s">
        <v>125</v>
      </c>
      <c r="B10963" s="8" t="s">
        <v>138</v>
      </c>
      <c r="C10963" s="8" t="str">
        <f>IFERROR(_xlfn.XLOOKUP(TRIM(B10963),Lookup!$B$2:$B$1000,Lookup!$C$2:$C$1000),"")</f>
        <v>Equity</v>
      </c>
      <c r="D10963" s="8" t="str">
        <f>IFERROR(INDEX('nav master'!$C:$C, MATCH(B10963, 'nav master'!$B:$B, 0)), "")</f>
        <v>ULIF06723/03/18EqtyAdvtFd101</v>
      </c>
      <c r="E10963" s="8" t="s">
        <v>417</v>
      </c>
      <c r="F10963" s="8" t="s">
        <v>4502</v>
      </c>
    </row>
    <row r="10964" spans="1:6" ht="60" x14ac:dyDescent="0.25">
      <c r="A10964" s="8" t="s">
        <v>125</v>
      </c>
      <c r="B10964" s="8" t="s">
        <v>138</v>
      </c>
      <c r="C10964" s="8" t="str">
        <f>IFERROR(_xlfn.XLOOKUP(TRIM(B10964),Lookup!$B$2:$B$1000,Lookup!$C$2:$C$1000),"")</f>
        <v>Equity</v>
      </c>
      <c r="D10964" s="8" t="str">
        <f>IFERROR(INDEX('nav master'!$C:$C, MATCH(B10964, 'nav master'!$B:$B, 0)), "")</f>
        <v>ULIF06723/03/18EqtyAdvtFd101</v>
      </c>
      <c r="E10964" s="8" t="s">
        <v>419</v>
      </c>
      <c r="F10964" s="8" t="s">
        <v>4503</v>
      </c>
    </row>
    <row r="10965" spans="1:6" ht="60" x14ac:dyDescent="0.25">
      <c r="A10965" s="8" t="s">
        <v>125</v>
      </c>
      <c r="B10965" s="8" t="s">
        <v>138</v>
      </c>
      <c r="C10965" s="8" t="str">
        <f>IFERROR(_xlfn.XLOOKUP(TRIM(B10965),Lookup!$B$2:$B$1000,Lookup!$C$2:$C$1000),"")</f>
        <v>Equity</v>
      </c>
      <c r="D10965" s="8" t="str">
        <f>IFERROR(INDEX('nav master'!$C:$C, MATCH(B10965, 'nav master'!$B:$B, 0)), "")</f>
        <v>ULIF06723/03/18EqtyAdvtFd101</v>
      </c>
      <c r="E10965" s="8" t="s">
        <v>421</v>
      </c>
      <c r="F10965" s="8" t="s">
        <v>4504</v>
      </c>
    </row>
    <row r="10966" spans="1:6" ht="60" x14ac:dyDescent="0.25">
      <c r="A10966" s="8" t="s">
        <v>125</v>
      </c>
      <c r="B10966" s="8" t="s">
        <v>138</v>
      </c>
      <c r="C10966" s="8" t="str">
        <f>IFERROR(_xlfn.XLOOKUP(TRIM(B10966),Lookup!$B$2:$B$1000,Lookup!$C$2:$C$1000),"")</f>
        <v>Equity</v>
      </c>
      <c r="D10966" s="8" t="str">
        <f>IFERROR(INDEX('nav master'!$C:$C, MATCH(B10966, 'nav master'!$B:$B, 0)), "")</f>
        <v>ULIF06723/03/18EqtyAdvtFd101</v>
      </c>
      <c r="E10966" s="8" t="s">
        <v>423</v>
      </c>
      <c r="F10966" s="8" t="s">
        <v>4505</v>
      </c>
    </row>
    <row r="10967" spans="1:6" ht="60" x14ac:dyDescent="0.25">
      <c r="A10967" s="8" t="s">
        <v>125</v>
      </c>
      <c r="B10967" s="8" t="s">
        <v>138</v>
      </c>
      <c r="C10967" s="8" t="str">
        <f>IFERROR(_xlfn.XLOOKUP(TRIM(B10967),Lookup!$B$2:$B$1000,Lookup!$C$2:$C$1000),"")</f>
        <v>Equity</v>
      </c>
      <c r="D10967" s="8" t="str">
        <f>IFERROR(INDEX('nav master'!$C:$C, MATCH(B10967, 'nav master'!$B:$B, 0)), "")</f>
        <v>ULIF06723/03/18EqtyAdvtFd101</v>
      </c>
      <c r="E10967" s="8" t="s">
        <v>425</v>
      </c>
      <c r="F10967" s="8" t="s">
        <v>4506</v>
      </c>
    </row>
    <row r="10968" spans="1:6" ht="60" x14ac:dyDescent="0.25">
      <c r="A10968" s="8" t="s">
        <v>125</v>
      </c>
      <c r="B10968" s="8" t="s">
        <v>138</v>
      </c>
      <c r="C10968" s="8" t="str">
        <f>IFERROR(_xlfn.XLOOKUP(TRIM(B10968),Lookup!$B$2:$B$1000,Lookup!$C$2:$C$1000),"")</f>
        <v>Equity</v>
      </c>
      <c r="D10968" s="8" t="str">
        <f>IFERROR(INDEX('nav master'!$C:$C, MATCH(B10968, 'nav master'!$B:$B, 0)), "")</f>
        <v>ULIF06723/03/18EqtyAdvtFd101</v>
      </c>
      <c r="E10968" s="8" t="s">
        <v>427</v>
      </c>
      <c r="F10968" s="8" t="s">
        <v>4507</v>
      </c>
    </row>
    <row r="10969" spans="1:6" ht="60" x14ac:dyDescent="0.25">
      <c r="A10969" s="8" t="s">
        <v>125</v>
      </c>
      <c r="B10969" s="8" t="s">
        <v>138</v>
      </c>
      <c r="C10969" s="8" t="str">
        <f>IFERROR(_xlfn.XLOOKUP(TRIM(B10969),Lookup!$B$2:$B$1000,Lookup!$C$2:$C$1000),"")</f>
        <v>Equity</v>
      </c>
      <c r="D10969" s="8" t="str">
        <f>IFERROR(INDEX('nav master'!$C:$C, MATCH(B10969, 'nav master'!$B:$B, 0)), "")</f>
        <v>ULIF06723/03/18EqtyAdvtFd101</v>
      </c>
      <c r="E10969" s="8" t="s">
        <v>429</v>
      </c>
      <c r="F10969" s="8" t="s">
        <v>4508</v>
      </c>
    </row>
    <row r="10970" spans="1:6" ht="60" x14ac:dyDescent="0.25">
      <c r="A10970" s="8" t="s">
        <v>125</v>
      </c>
      <c r="B10970" s="8" t="s">
        <v>138</v>
      </c>
      <c r="C10970" s="8" t="str">
        <f>IFERROR(_xlfn.XLOOKUP(TRIM(B10970),Lookup!$B$2:$B$1000,Lookup!$C$2:$C$1000),"")</f>
        <v>Equity</v>
      </c>
      <c r="D10970" s="8" t="str">
        <f>IFERROR(INDEX('nav master'!$C:$C, MATCH(B10970, 'nav master'!$B:$B, 0)), "")</f>
        <v>ULIF06723/03/18EqtyAdvtFd101</v>
      </c>
      <c r="E10970" s="8" t="s">
        <v>431</v>
      </c>
      <c r="F10970" s="8" t="s">
        <v>4509</v>
      </c>
    </row>
    <row r="10971" spans="1:6" ht="60" x14ac:dyDescent="0.25">
      <c r="A10971" s="8" t="s">
        <v>125</v>
      </c>
      <c r="B10971" s="8" t="s">
        <v>138</v>
      </c>
      <c r="C10971" s="8" t="str">
        <f>IFERROR(_xlfn.XLOOKUP(TRIM(B10971),Lookup!$B$2:$B$1000,Lookup!$C$2:$C$1000),"")</f>
        <v>Equity</v>
      </c>
      <c r="D10971" s="8" t="str">
        <f>IFERROR(INDEX('nav master'!$C:$C, MATCH(B10971, 'nav master'!$B:$B, 0)), "")</f>
        <v>ULIF06723/03/18EqtyAdvtFd101</v>
      </c>
      <c r="E10971" s="8" t="s">
        <v>433</v>
      </c>
      <c r="F10971" s="8" t="s">
        <v>4510</v>
      </c>
    </row>
    <row r="10972" spans="1:6" ht="60" x14ac:dyDescent="0.25">
      <c r="A10972" s="8" t="s">
        <v>125</v>
      </c>
      <c r="B10972" s="8" t="s">
        <v>138</v>
      </c>
      <c r="C10972" s="8" t="str">
        <f>IFERROR(_xlfn.XLOOKUP(TRIM(B10972),Lookup!$B$2:$B$1000,Lookup!$C$2:$C$1000),"")</f>
        <v>Equity</v>
      </c>
      <c r="D10972" s="8" t="str">
        <f>IFERROR(INDEX('nav master'!$C:$C, MATCH(B10972, 'nav master'!$B:$B, 0)), "")</f>
        <v>ULIF06723/03/18EqtyAdvtFd101</v>
      </c>
      <c r="E10972" s="8" t="s">
        <v>435</v>
      </c>
      <c r="F10972" s="8" t="s">
        <v>4511</v>
      </c>
    </row>
    <row r="10973" spans="1:6" ht="60" x14ac:dyDescent="0.25">
      <c r="A10973" s="8" t="s">
        <v>125</v>
      </c>
      <c r="B10973" s="8" t="s">
        <v>138</v>
      </c>
      <c r="C10973" s="8" t="str">
        <f>IFERROR(_xlfn.XLOOKUP(TRIM(B10973),Lookup!$B$2:$B$1000,Lookup!$C$2:$C$1000),"")</f>
        <v>Equity</v>
      </c>
      <c r="D10973" s="8" t="str">
        <f>IFERROR(INDEX('nav master'!$C:$C, MATCH(B10973, 'nav master'!$B:$B, 0)), "")</f>
        <v>ULIF06723/03/18EqtyAdvtFd101</v>
      </c>
      <c r="E10973" s="8" t="s">
        <v>437</v>
      </c>
      <c r="F10973" s="8" t="s">
        <v>4512</v>
      </c>
    </row>
    <row r="10974" spans="1:6" ht="60" x14ac:dyDescent="0.25">
      <c r="A10974" s="8" t="s">
        <v>125</v>
      </c>
      <c r="B10974" s="8" t="s">
        <v>138</v>
      </c>
      <c r="C10974" s="8" t="str">
        <f>IFERROR(_xlfn.XLOOKUP(TRIM(B10974),Lookup!$B$2:$B$1000,Lookup!$C$2:$C$1000),"")</f>
        <v>Equity</v>
      </c>
      <c r="D10974" s="8" t="str">
        <f>IFERROR(INDEX('nav master'!$C:$C, MATCH(B10974, 'nav master'!$B:$B, 0)), "")</f>
        <v>ULIF06723/03/18EqtyAdvtFd101</v>
      </c>
      <c r="E10974" s="8" t="s">
        <v>439</v>
      </c>
      <c r="F10974" s="8" t="s">
        <v>4513</v>
      </c>
    </row>
    <row r="10975" spans="1:6" ht="60" x14ac:dyDescent="0.25">
      <c r="A10975" s="8" t="s">
        <v>125</v>
      </c>
      <c r="B10975" s="8" t="s">
        <v>138</v>
      </c>
      <c r="C10975" s="8" t="str">
        <f>IFERROR(_xlfn.XLOOKUP(TRIM(B10975),Lookup!$B$2:$B$1000,Lookup!$C$2:$C$1000),"")</f>
        <v>Equity</v>
      </c>
      <c r="D10975" s="8" t="str">
        <f>IFERROR(INDEX('nav master'!$C:$C, MATCH(B10975, 'nav master'!$B:$B, 0)), "")</f>
        <v>ULIF06723/03/18EqtyAdvtFd101</v>
      </c>
      <c r="E10975" s="8" t="s">
        <v>441</v>
      </c>
      <c r="F10975" s="8" t="s">
        <v>4514</v>
      </c>
    </row>
    <row r="10976" spans="1:6" ht="60" x14ac:dyDescent="0.25">
      <c r="A10976" s="8" t="s">
        <v>125</v>
      </c>
      <c r="B10976" s="8" t="s">
        <v>138</v>
      </c>
      <c r="C10976" s="8" t="str">
        <f>IFERROR(_xlfn.XLOOKUP(TRIM(B10976),Lookup!$B$2:$B$1000,Lookup!$C$2:$C$1000),"")</f>
        <v>Equity</v>
      </c>
      <c r="D10976" s="8" t="str">
        <f>IFERROR(INDEX('nav master'!$C:$C, MATCH(B10976, 'nav master'!$B:$B, 0)), "")</f>
        <v>ULIF06723/03/18EqtyAdvtFd101</v>
      </c>
      <c r="E10976" s="8" t="s">
        <v>443</v>
      </c>
      <c r="F10976" s="8" t="s">
        <v>4515</v>
      </c>
    </row>
    <row r="10977" spans="1:6" ht="60" x14ac:dyDescent="0.25">
      <c r="A10977" s="8" t="s">
        <v>125</v>
      </c>
      <c r="B10977" s="8" t="s">
        <v>138</v>
      </c>
      <c r="C10977" s="8" t="str">
        <f>IFERROR(_xlfn.XLOOKUP(TRIM(B10977),Lookup!$B$2:$B$1000,Lookup!$C$2:$C$1000),"")</f>
        <v>Equity</v>
      </c>
      <c r="D10977" s="8" t="str">
        <f>IFERROR(INDEX('nav master'!$C:$C, MATCH(B10977, 'nav master'!$B:$B, 0)), "")</f>
        <v>ULIF06723/03/18EqtyAdvtFd101</v>
      </c>
      <c r="E10977" s="8" t="s">
        <v>445</v>
      </c>
      <c r="F10977" s="8" t="s">
        <v>4516</v>
      </c>
    </row>
    <row r="10978" spans="1:6" ht="60" x14ac:dyDescent="0.25">
      <c r="A10978" s="8" t="s">
        <v>125</v>
      </c>
      <c r="B10978" s="8" t="s">
        <v>138</v>
      </c>
      <c r="C10978" s="8" t="str">
        <f>IFERROR(_xlfn.XLOOKUP(TRIM(B10978),Lookup!$B$2:$B$1000,Lookup!$C$2:$C$1000),"")</f>
        <v>Equity</v>
      </c>
      <c r="D10978" s="8" t="str">
        <f>IFERROR(INDEX('nav master'!$C:$C, MATCH(B10978, 'nav master'!$B:$B, 0)), "")</f>
        <v>ULIF06723/03/18EqtyAdvtFd101</v>
      </c>
      <c r="E10978" s="8" t="s">
        <v>446</v>
      </c>
      <c r="F10978" s="8" t="s">
        <v>4517</v>
      </c>
    </row>
    <row r="10979" spans="1:6" ht="60" x14ac:dyDescent="0.25">
      <c r="A10979" s="8" t="s">
        <v>125</v>
      </c>
      <c r="B10979" s="8" t="s">
        <v>138</v>
      </c>
      <c r="C10979" s="8" t="str">
        <f>IFERROR(_xlfn.XLOOKUP(TRIM(B10979),Lookup!$B$2:$B$1000,Lookup!$C$2:$C$1000),"")</f>
        <v>Equity</v>
      </c>
      <c r="D10979" s="8" t="str">
        <f>IFERROR(INDEX('nav master'!$C:$C, MATCH(B10979, 'nav master'!$B:$B, 0)), "")</f>
        <v>ULIF06723/03/18EqtyAdvtFd101</v>
      </c>
      <c r="E10979" s="8" t="s">
        <v>448</v>
      </c>
      <c r="F10979" s="8" t="s">
        <v>4518</v>
      </c>
    </row>
    <row r="10980" spans="1:6" ht="60" x14ac:dyDescent="0.25">
      <c r="A10980" s="8" t="s">
        <v>125</v>
      </c>
      <c r="B10980" s="8" t="s">
        <v>138</v>
      </c>
      <c r="C10980" s="8" t="str">
        <f>IFERROR(_xlfn.XLOOKUP(TRIM(B10980),Lookup!$B$2:$B$1000,Lookup!$C$2:$C$1000),"")</f>
        <v>Equity</v>
      </c>
      <c r="D10980" s="8" t="str">
        <f>IFERROR(INDEX('nav master'!$C:$C, MATCH(B10980, 'nav master'!$B:$B, 0)), "")</f>
        <v>ULIF06723/03/18EqtyAdvtFd101</v>
      </c>
      <c r="E10980" s="8" t="s">
        <v>450</v>
      </c>
      <c r="F10980" s="8" t="s">
        <v>4519</v>
      </c>
    </row>
    <row r="10981" spans="1:6" ht="60" x14ac:dyDescent="0.25">
      <c r="A10981" s="8" t="s">
        <v>125</v>
      </c>
      <c r="B10981" s="8" t="s">
        <v>138</v>
      </c>
      <c r="C10981" s="8" t="str">
        <f>IFERROR(_xlfn.XLOOKUP(TRIM(B10981),Lookup!$B$2:$B$1000,Lookup!$C$2:$C$1000),"")</f>
        <v>Equity</v>
      </c>
      <c r="D10981" s="8" t="str">
        <f>IFERROR(INDEX('nav master'!$C:$C, MATCH(B10981, 'nav master'!$B:$B, 0)), "")</f>
        <v>ULIF06723/03/18EqtyAdvtFd101</v>
      </c>
      <c r="E10981" s="8" t="s">
        <v>452</v>
      </c>
      <c r="F10981" s="8" t="s">
        <v>4520</v>
      </c>
    </row>
    <row r="10982" spans="1:6" ht="60" x14ac:dyDescent="0.25">
      <c r="A10982" s="8" t="s">
        <v>125</v>
      </c>
      <c r="B10982" s="8" t="s">
        <v>138</v>
      </c>
      <c r="C10982" s="8" t="str">
        <f>IFERROR(_xlfn.XLOOKUP(TRIM(B10982),Lookup!$B$2:$B$1000,Lookup!$C$2:$C$1000),"")</f>
        <v>Equity</v>
      </c>
      <c r="D10982" s="8" t="str">
        <f>IFERROR(INDEX('nav master'!$C:$C, MATCH(B10982, 'nav master'!$B:$B, 0)), "")</f>
        <v>ULIF06723/03/18EqtyAdvtFd101</v>
      </c>
      <c r="E10982" s="8" t="s">
        <v>454</v>
      </c>
      <c r="F10982" s="8" t="s">
        <v>4521</v>
      </c>
    </row>
    <row r="10983" spans="1:6" ht="60" x14ac:dyDescent="0.25">
      <c r="A10983" s="8" t="s">
        <v>125</v>
      </c>
      <c r="B10983" s="8" t="s">
        <v>138</v>
      </c>
      <c r="C10983" s="8" t="str">
        <f>IFERROR(_xlfn.XLOOKUP(TRIM(B10983),Lookup!$B$2:$B$1000,Lookup!$C$2:$C$1000),"")</f>
        <v>Equity</v>
      </c>
      <c r="D10983" s="8" t="str">
        <f>IFERROR(INDEX('nav master'!$C:$C, MATCH(B10983, 'nav master'!$B:$B, 0)), "")</f>
        <v>ULIF06723/03/18EqtyAdvtFd101</v>
      </c>
      <c r="E10983" s="8" t="s">
        <v>456</v>
      </c>
      <c r="F10983" s="8" t="s">
        <v>4522</v>
      </c>
    </row>
    <row r="10984" spans="1:6" ht="60" x14ac:dyDescent="0.25">
      <c r="A10984" s="8" t="s">
        <v>125</v>
      </c>
      <c r="B10984" s="8" t="s">
        <v>138</v>
      </c>
      <c r="C10984" s="8" t="str">
        <f>IFERROR(_xlfn.XLOOKUP(TRIM(B10984),Lookup!$B$2:$B$1000,Lookup!$C$2:$C$1000),"")</f>
        <v>Equity</v>
      </c>
      <c r="D10984" s="8" t="str">
        <f>IFERROR(INDEX('nav master'!$C:$C, MATCH(B10984, 'nav master'!$B:$B, 0)), "")</f>
        <v>ULIF06723/03/18EqtyAdvtFd101</v>
      </c>
      <c r="E10984" s="8" t="s">
        <v>458</v>
      </c>
      <c r="F10984" s="8" t="s">
        <v>4523</v>
      </c>
    </row>
    <row r="10985" spans="1:6" ht="60" x14ac:dyDescent="0.25">
      <c r="A10985" s="8" t="s">
        <v>125</v>
      </c>
      <c r="B10985" s="8" t="s">
        <v>138</v>
      </c>
      <c r="C10985" s="8" t="str">
        <f>IFERROR(_xlfn.XLOOKUP(TRIM(B10985),Lookup!$B$2:$B$1000,Lookup!$C$2:$C$1000),"")</f>
        <v>Equity</v>
      </c>
      <c r="D10985" s="8" t="str">
        <f>IFERROR(INDEX('nav master'!$C:$C, MATCH(B10985, 'nav master'!$B:$B, 0)), "")</f>
        <v>ULIF06723/03/18EqtyAdvtFd101</v>
      </c>
      <c r="E10985" s="8" t="s">
        <v>460</v>
      </c>
      <c r="F10985" s="8" t="s">
        <v>4524</v>
      </c>
    </row>
    <row r="10986" spans="1:6" ht="60" x14ac:dyDescent="0.25">
      <c r="A10986" s="8" t="s">
        <v>125</v>
      </c>
      <c r="B10986" s="8" t="s">
        <v>138</v>
      </c>
      <c r="C10986" s="8" t="str">
        <f>IFERROR(_xlfn.XLOOKUP(TRIM(B10986),Lookup!$B$2:$B$1000,Lookup!$C$2:$C$1000),"")</f>
        <v>Equity</v>
      </c>
      <c r="D10986" s="8" t="str">
        <f>IFERROR(INDEX('nav master'!$C:$C, MATCH(B10986, 'nav master'!$B:$B, 0)), "")</f>
        <v>ULIF06723/03/18EqtyAdvtFd101</v>
      </c>
      <c r="E10986" s="8" t="s">
        <v>462</v>
      </c>
      <c r="F10986" s="8" t="s">
        <v>4525</v>
      </c>
    </row>
    <row r="10987" spans="1:6" ht="60" x14ac:dyDescent="0.25">
      <c r="A10987" s="8" t="s">
        <v>125</v>
      </c>
      <c r="B10987" s="8" t="s">
        <v>138</v>
      </c>
      <c r="C10987" s="8" t="str">
        <f>IFERROR(_xlfn.XLOOKUP(TRIM(B10987),Lookup!$B$2:$B$1000,Lookup!$C$2:$C$1000),"")</f>
        <v>Equity</v>
      </c>
      <c r="D10987" s="8" t="str">
        <f>IFERROR(INDEX('nav master'!$C:$C, MATCH(B10987, 'nav master'!$B:$B, 0)), "")</f>
        <v>ULIF06723/03/18EqtyAdvtFd101</v>
      </c>
      <c r="E10987" s="8" t="s">
        <v>464</v>
      </c>
      <c r="F10987" s="8" t="s">
        <v>4526</v>
      </c>
    </row>
    <row r="10988" spans="1:6" ht="60" x14ac:dyDescent="0.25">
      <c r="A10988" s="8" t="s">
        <v>125</v>
      </c>
      <c r="B10988" s="8" t="s">
        <v>138</v>
      </c>
      <c r="C10988" s="8" t="str">
        <f>IFERROR(_xlfn.XLOOKUP(TRIM(B10988),Lookup!$B$2:$B$1000,Lookup!$C$2:$C$1000),"")</f>
        <v>Equity</v>
      </c>
      <c r="D10988" s="8" t="str">
        <f>IFERROR(INDEX('nav master'!$C:$C, MATCH(B10988, 'nav master'!$B:$B, 0)), "")</f>
        <v>ULIF06723/03/18EqtyAdvtFd101</v>
      </c>
      <c r="E10988" s="8" t="s">
        <v>466</v>
      </c>
      <c r="F10988" s="8" t="s">
        <v>4527</v>
      </c>
    </row>
    <row r="10989" spans="1:6" ht="60" x14ac:dyDescent="0.25">
      <c r="A10989" s="8" t="s">
        <v>125</v>
      </c>
      <c r="B10989" s="8" t="s">
        <v>138</v>
      </c>
      <c r="C10989" s="8" t="str">
        <f>IFERROR(_xlfn.XLOOKUP(TRIM(B10989),Lookup!$B$2:$B$1000,Lookup!$C$2:$C$1000),"")</f>
        <v>Equity</v>
      </c>
      <c r="D10989" s="8" t="str">
        <f>IFERROR(INDEX('nav master'!$C:$C, MATCH(B10989, 'nav master'!$B:$B, 0)), "")</f>
        <v>ULIF06723/03/18EqtyAdvtFd101</v>
      </c>
      <c r="E10989" s="8" t="s">
        <v>468</v>
      </c>
      <c r="F10989" s="8" t="s">
        <v>4528</v>
      </c>
    </row>
    <row r="10990" spans="1:6" ht="60" x14ac:dyDescent="0.25">
      <c r="A10990" s="8" t="s">
        <v>125</v>
      </c>
      <c r="B10990" s="8" t="s">
        <v>138</v>
      </c>
      <c r="C10990" s="8" t="str">
        <f>IFERROR(_xlfn.XLOOKUP(TRIM(B10990),Lookup!$B$2:$B$1000,Lookup!$C$2:$C$1000),"")</f>
        <v>Equity</v>
      </c>
      <c r="D10990" s="8" t="str">
        <f>IFERROR(INDEX('nav master'!$C:$C, MATCH(B10990, 'nav master'!$B:$B, 0)), "")</f>
        <v>ULIF06723/03/18EqtyAdvtFd101</v>
      </c>
      <c r="E10990" s="8" t="s">
        <v>470</v>
      </c>
      <c r="F10990" s="8" t="s">
        <v>4529</v>
      </c>
    </row>
    <row r="10991" spans="1:6" ht="60" x14ac:dyDescent="0.25">
      <c r="A10991" s="8" t="s">
        <v>125</v>
      </c>
      <c r="B10991" s="8" t="s">
        <v>138</v>
      </c>
      <c r="C10991" s="8" t="str">
        <f>IFERROR(_xlfn.XLOOKUP(TRIM(B10991),Lookup!$B$2:$B$1000,Lookup!$C$2:$C$1000),"")</f>
        <v>Equity</v>
      </c>
      <c r="D10991" s="8" t="str">
        <f>IFERROR(INDEX('nav master'!$C:$C, MATCH(B10991, 'nav master'!$B:$B, 0)), "")</f>
        <v>ULIF06723/03/18EqtyAdvtFd101</v>
      </c>
      <c r="E10991" s="8" t="s">
        <v>472</v>
      </c>
      <c r="F10991" s="8" t="s">
        <v>4530</v>
      </c>
    </row>
    <row r="10992" spans="1:6" ht="60" x14ac:dyDescent="0.25">
      <c r="A10992" s="8" t="s">
        <v>125</v>
      </c>
      <c r="B10992" s="8" t="s">
        <v>138</v>
      </c>
      <c r="C10992" s="8" t="str">
        <f>IFERROR(_xlfn.XLOOKUP(TRIM(B10992),Lookup!$B$2:$B$1000,Lookup!$C$2:$C$1000),"")</f>
        <v>Equity</v>
      </c>
      <c r="D10992" s="8" t="str">
        <f>IFERROR(INDEX('nav master'!$C:$C, MATCH(B10992, 'nav master'!$B:$B, 0)), "")</f>
        <v>ULIF06723/03/18EqtyAdvtFd101</v>
      </c>
      <c r="E10992" s="8" t="s">
        <v>474</v>
      </c>
      <c r="F10992" s="8" t="s">
        <v>4531</v>
      </c>
    </row>
    <row r="10993" spans="1:6" ht="60" x14ac:dyDescent="0.25">
      <c r="A10993" s="8" t="s">
        <v>125</v>
      </c>
      <c r="B10993" s="8" t="s">
        <v>138</v>
      </c>
      <c r="C10993" s="8" t="str">
        <f>IFERROR(_xlfn.XLOOKUP(TRIM(B10993),Lookup!$B$2:$B$1000,Lookup!$C$2:$C$1000),"")</f>
        <v>Equity</v>
      </c>
      <c r="D10993" s="8" t="str">
        <f>IFERROR(INDEX('nav master'!$C:$C, MATCH(B10993, 'nav master'!$B:$B, 0)), "")</f>
        <v>ULIF06723/03/18EqtyAdvtFd101</v>
      </c>
      <c r="E10993" s="8" t="s">
        <v>476</v>
      </c>
      <c r="F10993" s="8" t="s">
        <v>4532</v>
      </c>
    </row>
    <row r="10994" spans="1:6" ht="60" x14ac:dyDescent="0.25">
      <c r="A10994" s="8" t="s">
        <v>125</v>
      </c>
      <c r="B10994" s="8" t="s">
        <v>138</v>
      </c>
      <c r="C10994" s="8" t="str">
        <f>IFERROR(_xlfn.XLOOKUP(TRIM(B10994),Lookup!$B$2:$B$1000,Lookup!$C$2:$C$1000),"")</f>
        <v>Equity</v>
      </c>
      <c r="D10994" s="8" t="str">
        <f>IFERROR(INDEX('nav master'!$C:$C, MATCH(B10994, 'nav master'!$B:$B, 0)), "")</f>
        <v>ULIF06723/03/18EqtyAdvtFd101</v>
      </c>
      <c r="E10994" s="8" t="s">
        <v>478</v>
      </c>
      <c r="F10994" s="8" t="s">
        <v>4533</v>
      </c>
    </row>
    <row r="10995" spans="1:6" ht="60" x14ac:dyDescent="0.25">
      <c r="A10995" s="8" t="s">
        <v>125</v>
      </c>
      <c r="B10995" s="8" t="s">
        <v>138</v>
      </c>
      <c r="C10995" s="8" t="str">
        <f>IFERROR(_xlfn.XLOOKUP(TRIM(B10995),Lookup!$B$2:$B$1000,Lookup!$C$2:$C$1000),"")</f>
        <v>Equity</v>
      </c>
      <c r="D10995" s="8" t="str">
        <f>IFERROR(INDEX('nav master'!$C:$C, MATCH(B10995, 'nav master'!$B:$B, 0)), "")</f>
        <v>ULIF06723/03/18EqtyAdvtFd101</v>
      </c>
      <c r="E10995" s="8" t="s">
        <v>480</v>
      </c>
      <c r="F10995" s="8" t="s">
        <v>4534</v>
      </c>
    </row>
    <row r="10996" spans="1:6" ht="60" x14ac:dyDescent="0.25">
      <c r="A10996" s="8" t="s">
        <v>125</v>
      </c>
      <c r="B10996" s="8" t="s">
        <v>138</v>
      </c>
      <c r="C10996" s="8" t="str">
        <f>IFERROR(_xlfn.XLOOKUP(TRIM(B10996),Lookup!$B$2:$B$1000,Lookup!$C$2:$C$1000),"")</f>
        <v>Equity</v>
      </c>
      <c r="D10996" s="8" t="str">
        <f>IFERROR(INDEX('nav master'!$C:$C, MATCH(B10996, 'nav master'!$B:$B, 0)), "")</f>
        <v>ULIF06723/03/18EqtyAdvtFd101</v>
      </c>
      <c r="E10996" s="8" t="s">
        <v>482</v>
      </c>
      <c r="F10996" s="8" t="s">
        <v>4535</v>
      </c>
    </row>
    <row r="10997" spans="1:6" ht="60" x14ac:dyDescent="0.25">
      <c r="A10997" s="8" t="s">
        <v>125</v>
      </c>
      <c r="B10997" s="8" t="s">
        <v>138</v>
      </c>
      <c r="C10997" s="8" t="str">
        <f>IFERROR(_xlfn.XLOOKUP(TRIM(B10997),Lookup!$B$2:$B$1000,Lookup!$C$2:$C$1000),"")</f>
        <v>Equity</v>
      </c>
      <c r="D10997" s="8" t="str">
        <f>IFERROR(INDEX('nav master'!$C:$C, MATCH(B10997, 'nav master'!$B:$B, 0)), "")</f>
        <v>ULIF06723/03/18EqtyAdvtFd101</v>
      </c>
      <c r="E10997" s="8" t="s">
        <v>484</v>
      </c>
      <c r="F10997" s="8" t="s">
        <v>4536</v>
      </c>
    </row>
    <row r="10998" spans="1:6" ht="60" x14ac:dyDescent="0.25">
      <c r="A10998" s="8" t="s">
        <v>125</v>
      </c>
      <c r="B10998" s="8" t="s">
        <v>138</v>
      </c>
      <c r="C10998" s="8" t="str">
        <f>IFERROR(_xlfn.XLOOKUP(TRIM(B10998),Lookup!$B$2:$B$1000,Lookup!$C$2:$C$1000),"")</f>
        <v>Equity</v>
      </c>
      <c r="D10998" s="8" t="str">
        <f>IFERROR(INDEX('nav master'!$C:$C, MATCH(B10998, 'nav master'!$B:$B, 0)), "")</f>
        <v>ULIF06723/03/18EqtyAdvtFd101</v>
      </c>
      <c r="E10998" s="8" t="s">
        <v>486</v>
      </c>
      <c r="F10998" s="8" t="s">
        <v>4537</v>
      </c>
    </row>
    <row r="10999" spans="1:6" ht="60" x14ac:dyDescent="0.25">
      <c r="A10999" s="8" t="s">
        <v>125</v>
      </c>
      <c r="B10999" s="8" t="s">
        <v>138</v>
      </c>
      <c r="C10999" s="8" t="str">
        <f>IFERROR(_xlfn.XLOOKUP(TRIM(B10999),Lookup!$B$2:$B$1000,Lookup!$C$2:$C$1000),"")</f>
        <v>Equity</v>
      </c>
      <c r="D10999" s="8" t="str">
        <f>IFERROR(INDEX('nav master'!$C:$C, MATCH(B10999, 'nav master'!$B:$B, 0)), "")</f>
        <v>ULIF06723/03/18EqtyAdvtFd101</v>
      </c>
      <c r="E10999" s="8" t="s">
        <v>488</v>
      </c>
      <c r="F10999" s="8" t="s">
        <v>4538</v>
      </c>
    </row>
    <row r="11000" spans="1:6" ht="60" x14ac:dyDescent="0.25">
      <c r="A11000" s="8" t="s">
        <v>125</v>
      </c>
      <c r="B11000" s="8" t="s">
        <v>138</v>
      </c>
      <c r="C11000" s="8" t="str">
        <f>IFERROR(_xlfn.XLOOKUP(TRIM(B11000),Lookup!$B$2:$B$1000,Lookup!$C$2:$C$1000),"")</f>
        <v>Equity</v>
      </c>
      <c r="D11000" s="8" t="str">
        <f>IFERROR(INDEX('nav master'!$C:$C, MATCH(B11000, 'nav master'!$B:$B, 0)), "")</f>
        <v>ULIF06723/03/18EqtyAdvtFd101</v>
      </c>
      <c r="E11000" s="8" t="s">
        <v>490</v>
      </c>
      <c r="F11000" s="8" t="s">
        <v>4539</v>
      </c>
    </row>
    <row r="11001" spans="1:6" ht="60" x14ac:dyDescent="0.25">
      <c r="A11001" s="8" t="s">
        <v>125</v>
      </c>
      <c r="B11001" s="8" t="s">
        <v>138</v>
      </c>
      <c r="C11001" s="8" t="str">
        <f>IFERROR(_xlfn.XLOOKUP(TRIM(B11001),Lookup!$B$2:$B$1000,Lookup!$C$2:$C$1000),"")</f>
        <v>Equity</v>
      </c>
      <c r="D11001" s="8" t="str">
        <f>IFERROR(INDEX('nav master'!$C:$C, MATCH(B11001, 'nav master'!$B:$B, 0)), "")</f>
        <v>ULIF06723/03/18EqtyAdvtFd101</v>
      </c>
      <c r="E11001" s="8" t="s">
        <v>492</v>
      </c>
      <c r="F11001" s="8" t="s">
        <v>4540</v>
      </c>
    </row>
    <row r="11002" spans="1:6" ht="60" x14ac:dyDescent="0.25">
      <c r="A11002" s="8" t="s">
        <v>125</v>
      </c>
      <c r="B11002" s="8" t="s">
        <v>138</v>
      </c>
      <c r="C11002" s="8" t="str">
        <f>IFERROR(_xlfn.XLOOKUP(TRIM(B11002),Lookup!$B$2:$B$1000,Lookup!$C$2:$C$1000),"")</f>
        <v>Equity</v>
      </c>
      <c r="D11002" s="8" t="str">
        <f>IFERROR(INDEX('nav master'!$C:$C, MATCH(B11002, 'nav master'!$B:$B, 0)), "")</f>
        <v>ULIF06723/03/18EqtyAdvtFd101</v>
      </c>
      <c r="E11002" s="8" t="s">
        <v>494</v>
      </c>
      <c r="F11002" s="8" t="s">
        <v>4541</v>
      </c>
    </row>
    <row r="11003" spans="1:6" ht="60" x14ac:dyDescent="0.25">
      <c r="A11003" s="8" t="s">
        <v>125</v>
      </c>
      <c r="B11003" s="8" t="s">
        <v>138</v>
      </c>
      <c r="C11003" s="8" t="str">
        <f>IFERROR(_xlfn.XLOOKUP(TRIM(B11003),Lookup!$B$2:$B$1000,Lookup!$C$2:$C$1000),"")</f>
        <v>Equity</v>
      </c>
      <c r="D11003" s="8" t="str">
        <f>IFERROR(INDEX('nav master'!$C:$C, MATCH(B11003, 'nav master'!$B:$B, 0)), "")</f>
        <v>ULIF06723/03/18EqtyAdvtFd101</v>
      </c>
      <c r="E11003" s="8" t="s">
        <v>496</v>
      </c>
      <c r="F11003" s="8" t="s">
        <v>4542</v>
      </c>
    </row>
    <row r="11004" spans="1:6" ht="60" x14ac:dyDescent="0.25">
      <c r="A11004" s="8" t="s">
        <v>125</v>
      </c>
      <c r="B11004" s="8" t="s">
        <v>138</v>
      </c>
      <c r="C11004" s="8" t="str">
        <f>IFERROR(_xlfn.XLOOKUP(TRIM(B11004),Lookup!$B$2:$B$1000,Lookup!$C$2:$C$1000),"")</f>
        <v>Equity</v>
      </c>
      <c r="D11004" s="8" t="str">
        <f>IFERROR(INDEX('nav master'!$C:$C, MATCH(B11004, 'nav master'!$B:$B, 0)), "")</f>
        <v>ULIF06723/03/18EqtyAdvtFd101</v>
      </c>
      <c r="E11004" s="8" t="s">
        <v>498</v>
      </c>
      <c r="F11004" s="8" t="s">
        <v>4543</v>
      </c>
    </row>
    <row r="11005" spans="1:6" ht="60" x14ac:dyDescent="0.25">
      <c r="A11005" s="8" t="s">
        <v>125</v>
      </c>
      <c r="B11005" s="8" t="s">
        <v>138</v>
      </c>
      <c r="C11005" s="8" t="str">
        <f>IFERROR(_xlfn.XLOOKUP(TRIM(B11005),Lookup!$B$2:$B$1000,Lookup!$C$2:$C$1000),"")</f>
        <v>Equity</v>
      </c>
      <c r="D11005" s="8" t="str">
        <f>IFERROR(INDEX('nav master'!$C:$C, MATCH(B11005, 'nav master'!$B:$B, 0)), "")</f>
        <v>ULIF06723/03/18EqtyAdvtFd101</v>
      </c>
      <c r="E11005" s="8" t="s">
        <v>500</v>
      </c>
      <c r="F11005" s="8" t="s">
        <v>4544</v>
      </c>
    </row>
    <row r="11006" spans="1:6" ht="60" x14ac:dyDescent="0.25">
      <c r="A11006" s="8" t="s">
        <v>125</v>
      </c>
      <c r="B11006" s="8" t="s">
        <v>138</v>
      </c>
      <c r="C11006" s="8" t="str">
        <f>IFERROR(_xlfn.XLOOKUP(TRIM(B11006),Lookup!$B$2:$B$1000,Lookup!$C$2:$C$1000),"")</f>
        <v>Equity</v>
      </c>
      <c r="D11006" s="8" t="str">
        <f>IFERROR(INDEX('nav master'!$C:$C, MATCH(B11006, 'nav master'!$B:$B, 0)), "")</f>
        <v>ULIF06723/03/18EqtyAdvtFd101</v>
      </c>
      <c r="E11006" s="8" t="s">
        <v>502</v>
      </c>
      <c r="F11006" s="8" t="s">
        <v>4545</v>
      </c>
    </row>
    <row r="11007" spans="1:6" ht="60" x14ac:dyDescent="0.25">
      <c r="A11007" s="8" t="s">
        <v>125</v>
      </c>
      <c r="B11007" s="8" t="s">
        <v>138</v>
      </c>
      <c r="C11007" s="8" t="str">
        <f>IFERROR(_xlfn.XLOOKUP(TRIM(B11007),Lookup!$B$2:$B$1000,Lookup!$C$2:$C$1000),"")</f>
        <v>Equity</v>
      </c>
      <c r="D11007" s="8" t="str">
        <f>IFERROR(INDEX('nav master'!$C:$C, MATCH(B11007, 'nav master'!$B:$B, 0)), "")</f>
        <v>ULIF06723/03/18EqtyAdvtFd101</v>
      </c>
      <c r="E11007" s="8" t="s">
        <v>504</v>
      </c>
      <c r="F11007" s="8" t="s">
        <v>4546</v>
      </c>
    </row>
    <row r="11008" spans="1:6" ht="60" x14ac:dyDescent="0.25">
      <c r="A11008" s="8" t="s">
        <v>125</v>
      </c>
      <c r="B11008" s="8" t="s">
        <v>138</v>
      </c>
      <c r="C11008" s="8" t="str">
        <f>IFERROR(_xlfn.XLOOKUP(TRIM(B11008),Lookup!$B$2:$B$1000,Lookup!$C$2:$C$1000),"")</f>
        <v>Equity</v>
      </c>
      <c r="D11008" s="8" t="str">
        <f>IFERROR(INDEX('nav master'!$C:$C, MATCH(B11008, 'nav master'!$B:$B, 0)), "")</f>
        <v>ULIF06723/03/18EqtyAdvtFd101</v>
      </c>
      <c r="E11008" s="8" t="s">
        <v>506</v>
      </c>
      <c r="F11008" s="8" t="s">
        <v>4547</v>
      </c>
    </row>
    <row r="11009" spans="1:6" ht="60" x14ac:dyDescent="0.25">
      <c r="A11009" s="8" t="s">
        <v>125</v>
      </c>
      <c r="B11009" s="8" t="s">
        <v>138</v>
      </c>
      <c r="C11009" s="8" t="str">
        <f>IFERROR(_xlfn.XLOOKUP(TRIM(B11009),Lookup!$B$2:$B$1000,Lookup!$C$2:$C$1000),"")</f>
        <v>Equity</v>
      </c>
      <c r="D11009" s="8" t="str">
        <f>IFERROR(INDEX('nav master'!$C:$C, MATCH(B11009, 'nav master'!$B:$B, 0)), "")</f>
        <v>ULIF06723/03/18EqtyAdvtFd101</v>
      </c>
      <c r="E11009" s="8" t="s">
        <v>508</v>
      </c>
      <c r="F11009" s="8" t="s">
        <v>4548</v>
      </c>
    </row>
    <row r="11010" spans="1:6" ht="60" x14ac:dyDescent="0.25">
      <c r="A11010" s="8" t="s">
        <v>125</v>
      </c>
      <c r="B11010" s="8" t="s">
        <v>138</v>
      </c>
      <c r="C11010" s="8" t="str">
        <f>IFERROR(_xlfn.XLOOKUP(TRIM(B11010),Lookup!$B$2:$B$1000,Lookup!$C$2:$C$1000),"")</f>
        <v>Equity</v>
      </c>
      <c r="D11010" s="8" t="str">
        <f>IFERROR(INDEX('nav master'!$C:$C, MATCH(B11010, 'nav master'!$B:$B, 0)), "")</f>
        <v>ULIF06723/03/18EqtyAdvtFd101</v>
      </c>
      <c r="E11010" s="8" t="s">
        <v>510</v>
      </c>
      <c r="F11010" s="8" t="s">
        <v>4549</v>
      </c>
    </row>
    <row r="11011" spans="1:6" ht="60" x14ac:dyDescent="0.25">
      <c r="A11011" s="8" t="s">
        <v>125</v>
      </c>
      <c r="B11011" s="8" t="s">
        <v>138</v>
      </c>
      <c r="C11011" s="8" t="str">
        <f>IFERROR(_xlfn.XLOOKUP(TRIM(B11011),Lookup!$B$2:$B$1000,Lookup!$C$2:$C$1000),"")</f>
        <v>Equity</v>
      </c>
      <c r="D11011" s="8" t="str">
        <f>IFERROR(INDEX('nav master'!$C:$C, MATCH(B11011, 'nav master'!$B:$B, 0)), "")</f>
        <v>ULIF06723/03/18EqtyAdvtFd101</v>
      </c>
      <c r="E11011" s="8" t="s">
        <v>512</v>
      </c>
      <c r="F11011" s="8" t="s">
        <v>4550</v>
      </c>
    </row>
    <row r="11012" spans="1:6" ht="60" x14ac:dyDescent="0.25">
      <c r="A11012" s="8" t="s">
        <v>125</v>
      </c>
      <c r="B11012" s="8" t="s">
        <v>138</v>
      </c>
      <c r="C11012" s="8" t="str">
        <f>IFERROR(_xlfn.XLOOKUP(TRIM(B11012),Lookup!$B$2:$B$1000,Lookup!$C$2:$C$1000),"")</f>
        <v>Equity</v>
      </c>
      <c r="D11012" s="8" t="str">
        <f>IFERROR(INDEX('nav master'!$C:$C, MATCH(B11012, 'nav master'!$B:$B, 0)), "")</f>
        <v>ULIF06723/03/18EqtyAdvtFd101</v>
      </c>
      <c r="E11012" s="8" t="s">
        <v>514</v>
      </c>
      <c r="F11012" s="8" t="s">
        <v>4551</v>
      </c>
    </row>
    <row r="11013" spans="1:6" ht="60" x14ac:dyDescent="0.25">
      <c r="A11013" s="8" t="s">
        <v>125</v>
      </c>
      <c r="B11013" s="8" t="s">
        <v>138</v>
      </c>
      <c r="C11013" s="8" t="str">
        <f>IFERROR(_xlfn.XLOOKUP(TRIM(B11013),Lookup!$B$2:$B$1000,Lookup!$C$2:$C$1000),"")</f>
        <v>Equity</v>
      </c>
      <c r="D11013" s="8" t="str">
        <f>IFERROR(INDEX('nav master'!$C:$C, MATCH(B11013, 'nav master'!$B:$B, 0)), "")</f>
        <v>ULIF06723/03/18EqtyAdvtFd101</v>
      </c>
      <c r="E11013" s="8" t="s">
        <v>516</v>
      </c>
      <c r="F11013" s="8" t="s">
        <v>4552</v>
      </c>
    </row>
    <row r="11014" spans="1:6" ht="60" x14ac:dyDescent="0.25">
      <c r="A11014" s="8" t="s">
        <v>125</v>
      </c>
      <c r="B11014" s="8" t="s">
        <v>138</v>
      </c>
      <c r="C11014" s="8" t="str">
        <f>IFERROR(_xlfn.XLOOKUP(TRIM(B11014),Lookup!$B$2:$B$1000,Lookup!$C$2:$C$1000),"")</f>
        <v>Equity</v>
      </c>
      <c r="D11014" s="8" t="str">
        <f>IFERROR(INDEX('nav master'!$C:$C, MATCH(B11014, 'nav master'!$B:$B, 0)), "")</f>
        <v>ULIF06723/03/18EqtyAdvtFd101</v>
      </c>
      <c r="E11014" s="8" t="s">
        <v>518</v>
      </c>
      <c r="F11014" s="8" t="s">
        <v>4553</v>
      </c>
    </row>
    <row r="11015" spans="1:6" ht="60" x14ac:dyDescent="0.25">
      <c r="A11015" s="8" t="s">
        <v>125</v>
      </c>
      <c r="B11015" s="8" t="s">
        <v>138</v>
      </c>
      <c r="C11015" s="8" t="str">
        <f>IFERROR(_xlfn.XLOOKUP(TRIM(B11015),Lookup!$B$2:$B$1000,Lookup!$C$2:$C$1000),"")</f>
        <v>Equity</v>
      </c>
      <c r="D11015" s="8" t="str">
        <f>IFERROR(INDEX('nav master'!$C:$C, MATCH(B11015, 'nav master'!$B:$B, 0)), "")</f>
        <v>ULIF06723/03/18EqtyAdvtFd101</v>
      </c>
      <c r="E11015" s="8" t="s">
        <v>520</v>
      </c>
      <c r="F11015" s="8" t="s">
        <v>4554</v>
      </c>
    </row>
    <row r="11016" spans="1:6" ht="60" x14ac:dyDescent="0.25">
      <c r="A11016" s="8" t="s">
        <v>125</v>
      </c>
      <c r="B11016" s="8" t="s">
        <v>138</v>
      </c>
      <c r="C11016" s="8" t="str">
        <f>IFERROR(_xlfn.XLOOKUP(TRIM(B11016),Lookup!$B$2:$B$1000,Lookup!$C$2:$C$1000),"")</f>
        <v>Equity</v>
      </c>
      <c r="D11016" s="8" t="str">
        <f>IFERROR(INDEX('nav master'!$C:$C, MATCH(B11016, 'nav master'!$B:$B, 0)), "")</f>
        <v>ULIF06723/03/18EqtyAdvtFd101</v>
      </c>
      <c r="E11016" s="8" t="s">
        <v>522</v>
      </c>
      <c r="F11016" s="8" t="s">
        <v>4555</v>
      </c>
    </row>
    <row r="11017" spans="1:6" ht="60" x14ac:dyDescent="0.25">
      <c r="A11017" s="8" t="s">
        <v>125</v>
      </c>
      <c r="B11017" s="8" t="s">
        <v>138</v>
      </c>
      <c r="C11017" s="8" t="str">
        <f>IFERROR(_xlfn.XLOOKUP(TRIM(B11017),Lookup!$B$2:$B$1000,Lookup!$C$2:$C$1000),"")</f>
        <v>Equity</v>
      </c>
      <c r="D11017" s="8" t="str">
        <f>IFERROR(INDEX('nav master'!$C:$C, MATCH(B11017, 'nav master'!$B:$B, 0)), "")</f>
        <v>ULIF06723/03/18EqtyAdvtFd101</v>
      </c>
      <c r="E11017" s="8" t="s">
        <v>524</v>
      </c>
      <c r="F11017" s="8" t="s">
        <v>4556</v>
      </c>
    </row>
    <row r="11018" spans="1:6" ht="60" x14ac:dyDescent="0.25">
      <c r="A11018" s="8" t="s">
        <v>125</v>
      </c>
      <c r="B11018" s="8" t="s">
        <v>138</v>
      </c>
      <c r="C11018" s="8" t="str">
        <f>IFERROR(_xlfn.XLOOKUP(TRIM(B11018),Lookup!$B$2:$B$1000,Lookup!$C$2:$C$1000),"")</f>
        <v>Equity</v>
      </c>
      <c r="D11018" s="8" t="str">
        <f>IFERROR(INDEX('nav master'!$C:$C, MATCH(B11018, 'nav master'!$B:$B, 0)), "")</f>
        <v>ULIF06723/03/18EqtyAdvtFd101</v>
      </c>
      <c r="E11018" s="8" t="s">
        <v>526</v>
      </c>
      <c r="F11018" s="8" t="s">
        <v>4557</v>
      </c>
    </row>
    <row r="11019" spans="1:6" ht="60" x14ac:dyDescent="0.25">
      <c r="A11019" s="8" t="s">
        <v>125</v>
      </c>
      <c r="B11019" s="8" t="s">
        <v>138</v>
      </c>
      <c r="C11019" s="8" t="str">
        <f>IFERROR(_xlfn.XLOOKUP(TRIM(B11019),Lookup!$B$2:$B$1000,Lookup!$C$2:$C$1000),"")</f>
        <v>Equity</v>
      </c>
      <c r="D11019" s="8" t="str">
        <f>IFERROR(INDEX('nav master'!$C:$C, MATCH(B11019, 'nav master'!$B:$B, 0)), "")</f>
        <v>ULIF06723/03/18EqtyAdvtFd101</v>
      </c>
      <c r="E11019" s="8" t="s">
        <v>528</v>
      </c>
      <c r="F11019" s="8" t="s">
        <v>4558</v>
      </c>
    </row>
    <row r="11020" spans="1:6" ht="60" x14ac:dyDescent="0.25">
      <c r="A11020" s="8" t="s">
        <v>125</v>
      </c>
      <c r="B11020" s="8" t="s">
        <v>138</v>
      </c>
      <c r="C11020" s="8" t="str">
        <f>IFERROR(_xlfn.XLOOKUP(TRIM(B11020),Lookup!$B$2:$B$1000,Lookup!$C$2:$C$1000),"")</f>
        <v>Equity</v>
      </c>
      <c r="D11020" s="8" t="str">
        <f>IFERROR(INDEX('nav master'!$C:$C, MATCH(B11020, 'nav master'!$B:$B, 0)), "")</f>
        <v>ULIF06723/03/18EqtyAdvtFd101</v>
      </c>
      <c r="E11020" s="8" t="s">
        <v>530</v>
      </c>
      <c r="F11020" s="8" t="s">
        <v>4559</v>
      </c>
    </row>
    <row r="11021" spans="1:6" ht="60" x14ac:dyDescent="0.25">
      <c r="A11021" s="8" t="s">
        <v>125</v>
      </c>
      <c r="B11021" s="8" t="s">
        <v>138</v>
      </c>
      <c r="C11021" s="8" t="str">
        <f>IFERROR(_xlfn.XLOOKUP(TRIM(B11021),Lookup!$B$2:$B$1000,Lookup!$C$2:$C$1000),"")</f>
        <v>Equity</v>
      </c>
      <c r="D11021" s="8" t="str">
        <f>IFERROR(INDEX('nav master'!$C:$C, MATCH(B11021, 'nav master'!$B:$B, 0)), "")</f>
        <v>ULIF06723/03/18EqtyAdvtFd101</v>
      </c>
      <c r="E11021" s="8" t="s">
        <v>532</v>
      </c>
      <c r="F11021" s="8" t="s">
        <v>4560</v>
      </c>
    </row>
    <row r="11022" spans="1:6" ht="60" x14ac:dyDescent="0.25">
      <c r="A11022" s="8" t="s">
        <v>125</v>
      </c>
      <c r="B11022" s="8" t="s">
        <v>138</v>
      </c>
      <c r="C11022" s="8" t="str">
        <f>IFERROR(_xlfn.XLOOKUP(TRIM(B11022),Lookup!$B$2:$B$1000,Lookup!$C$2:$C$1000),"")</f>
        <v>Equity</v>
      </c>
      <c r="D11022" s="8" t="str">
        <f>IFERROR(INDEX('nav master'!$C:$C, MATCH(B11022, 'nav master'!$B:$B, 0)), "")</f>
        <v>ULIF06723/03/18EqtyAdvtFd101</v>
      </c>
      <c r="E11022" s="8" t="s">
        <v>534</v>
      </c>
      <c r="F11022" s="8" t="s">
        <v>4561</v>
      </c>
    </row>
    <row r="11023" spans="1:6" ht="60" x14ac:dyDescent="0.25">
      <c r="A11023" s="8" t="s">
        <v>125</v>
      </c>
      <c r="B11023" s="8" t="s">
        <v>138</v>
      </c>
      <c r="C11023" s="8" t="str">
        <f>IFERROR(_xlfn.XLOOKUP(TRIM(B11023),Lookup!$B$2:$B$1000,Lookup!$C$2:$C$1000),"")</f>
        <v>Equity</v>
      </c>
      <c r="D11023" s="8" t="str">
        <f>IFERROR(INDEX('nav master'!$C:$C, MATCH(B11023, 'nav master'!$B:$B, 0)), "")</f>
        <v>ULIF06723/03/18EqtyAdvtFd101</v>
      </c>
      <c r="E11023" s="8" t="s">
        <v>536</v>
      </c>
      <c r="F11023" s="8" t="s">
        <v>4562</v>
      </c>
    </row>
    <row r="11024" spans="1:6" ht="60" x14ac:dyDescent="0.25">
      <c r="A11024" s="8" t="s">
        <v>125</v>
      </c>
      <c r="B11024" s="8" t="s">
        <v>138</v>
      </c>
      <c r="C11024" s="8" t="str">
        <f>IFERROR(_xlfn.XLOOKUP(TRIM(B11024),Lookup!$B$2:$B$1000,Lookup!$C$2:$C$1000),"")</f>
        <v>Equity</v>
      </c>
      <c r="D11024" s="8" t="str">
        <f>IFERROR(INDEX('nav master'!$C:$C, MATCH(B11024, 'nav master'!$B:$B, 0)), "")</f>
        <v>ULIF06723/03/18EqtyAdvtFd101</v>
      </c>
      <c r="E11024" s="8" t="s">
        <v>538</v>
      </c>
      <c r="F11024" s="8" t="s">
        <v>4563</v>
      </c>
    </row>
    <row r="11025" spans="1:6" ht="60" x14ac:dyDescent="0.25">
      <c r="A11025" s="8" t="s">
        <v>125</v>
      </c>
      <c r="B11025" s="8" t="s">
        <v>138</v>
      </c>
      <c r="C11025" s="8" t="str">
        <f>IFERROR(_xlfn.XLOOKUP(TRIM(B11025),Lookup!$B$2:$B$1000,Lookup!$C$2:$C$1000),"")</f>
        <v>Equity</v>
      </c>
      <c r="D11025" s="8" t="str">
        <f>IFERROR(INDEX('nav master'!$C:$C, MATCH(B11025, 'nav master'!$B:$B, 0)), "")</f>
        <v>ULIF06723/03/18EqtyAdvtFd101</v>
      </c>
      <c r="E11025" s="8" t="s">
        <v>540</v>
      </c>
      <c r="F11025" s="8" t="s">
        <v>4564</v>
      </c>
    </row>
    <row r="11026" spans="1:6" ht="60" x14ac:dyDescent="0.25">
      <c r="A11026" s="8" t="s">
        <v>125</v>
      </c>
      <c r="B11026" s="8" t="s">
        <v>138</v>
      </c>
      <c r="C11026" s="8" t="str">
        <f>IFERROR(_xlfn.XLOOKUP(TRIM(B11026),Lookup!$B$2:$B$1000,Lookup!$C$2:$C$1000),"")</f>
        <v>Equity</v>
      </c>
      <c r="D11026" s="8" t="str">
        <f>IFERROR(INDEX('nav master'!$C:$C, MATCH(B11026, 'nav master'!$B:$B, 0)), "")</f>
        <v>ULIF06723/03/18EqtyAdvtFd101</v>
      </c>
      <c r="E11026" s="8" t="s">
        <v>542</v>
      </c>
      <c r="F11026" s="8" t="s">
        <v>4565</v>
      </c>
    </row>
    <row r="11027" spans="1:6" ht="60" x14ac:dyDescent="0.25">
      <c r="A11027" s="8" t="s">
        <v>125</v>
      </c>
      <c r="B11027" s="8" t="s">
        <v>138</v>
      </c>
      <c r="C11027" s="8" t="str">
        <f>IFERROR(_xlfn.XLOOKUP(TRIM(B11027),Lookup!$B$2:$B$1000,Lookup!$C$2:$C$1000),"")</f>
        <v>Equity</v>
      </c>
      <c r="D11027" s="8" t="str">
        <f>IFERROR(INDEX('nav master'!$C:$C, MATCH(B11027, 'nav master'!$B:$B, 0)), "")</f>
        <v>ULIF06723/03/18EqtyAdvtFd101</v>
      </c>
      <c r="E11027" s="8" t="s">
        <v>544</v>
      </c>
      <c r="F11027" s="8" t="s">
        <v>4566</v>
      </c>
    </row>
    <row r="11028" spans="1:6" ht="60" x14ac:dyDescent="0.25">
      <c r="A11028" s="8" t="s">
        <v>125</v>
      </c>
      <c r="B11028" s="8" t="s">
        <v>138</v>
      </c>
      <c r="C11028" s="8" t="str">
        <f>IFERROR(_xlfn.XLOOKUP(TRIM(B11028),Lookup!$B$2:$B$1000,Lookup!$C$2:$C$1000),"")</f>
        <v>Equity</v>
      </c>
      <c r="D11028" s="8" t="str">
        <f>IFERROR(INDEX('nav master'!$C:$C, MATCH(B11028, 'nav master'!$B:$B, 0)), "")</f>
        <v>ULIF06723/03/18EqtyAdvtFd101</v>
      </c>
      <c r="E11028" s="8" t="s">
        <v>546</v>
      </c>
      <c r="F11028" s="8" t="s">
        <v>4395</v>
      </c>
    </row>
    <row r="11029" spans="1:6" ht="60" x14ac:dyDescent="0.25">
      <c r="A11029" s="8" t="s">
        <v>125</v>
      </c>
      <c r="B11029" s="8" t="s">
        <v>138</v>
      </c>
      <c r="C11029" s="8" t="str">
        <f>IFERROR(_xlfn.XLOOKUP(TRIM(B11029),Lookup!$B$2:$B$1000,Lookup!$C$2:$C$1000),"")</f>
        <v>Equity</v>
      </c>
      <c r="D11029" s="8" t="str">
        <f>IFERROR(INDEX('nav master'!$C:$C, MATCH(B11029, 'nav master'!$B:$B, 0)), "")</f>
        <v>ULIF06723/03/18EqtyAdvtFd101</v>
      </c>
      <c r="E11029" s="8" t="s">
        <v>548</v>
      </c>
      <c r="F11029" s="8" t="s">
        <v>4567</v>
      </c>
    </row>
    <row r="11030" spans="1:6" ht="60" x14ac:dyDescent="0.25">
      <c r="A11030" s="8" t="s">
        <v>125</v>
      </c>
      <c r="B11030" s="8" t="s">
        <v>138</v>
      </c>
      <c r="C11030" s="8" t="str">
        <f>IFERROR(_xlfn.XLOOKUP(TRIM(B11030),Lookup!$B$2:$B$1000,Lookup!$C$2:$C$1000),"")</f>
        <v>Equity</v>
      </c>
      <c r="D11030" s="8" t="str">
        <f>IFERROR(INDEX('nav master'!$C:$C, MATCH(B11030, 'nav master'!$B:$B, 0)), "")</f>
        <v>ULIF06723/03/18EqtyAdvtFd101</v>
      </c>
      <c r="E11030" s="8" t="s">
        <v>550</v>
      </c>
      <c r="F11030" s="8" t="s">
        <v>4568</v>
      </c>
    </row>
    <row r="11031" spans="1:6" ht="60" x14ac:dyDescent="0.25">
      <c r="A11031" s="8" t="s">
        <v>125</v>
      </c>
      <c r="B11031" s="8" t="s">
        <v>138</v>
      </c>
      <c r="C11031" s="8" t="str">
        <f>IFERROR(_xlfn.XLOOKUP(TRIM(B11031),Lookup!$B$2:$B$1000,Lookup!$C$2:$C$1000),"")</f>
        <v>Equity</v>
      </c>
      <c r="D11031" s="8" t="str">
        <f>IFERROR(INDEX('nav master'!$C:$C, MATCH(B11031, 'nav master'!$B:$B, 0)), "")</f>
        <v>ULIF06723/03/18EqtyAdvtFd101</v>
      </c>
      <c r="E11031" s="8" t="s">
        <v>552</v>
      </c>
      <c r="F11031" s="8" t="s">
        <v>4569</v>
      </c>
    </row>
    <row r="11032" spans="1:6" ht="60" x14ac:dyDescent="0.25">
      <c r="A11032" s="8" t="s">
        <v>125</v>
      </c>
      <c r="B11032" s="8" t="s">
        <v>138</v>
      </c>
      <c r="C11032" s="8" t="str">
        <f>IFERROR(_xlfn.XLOOKUP(TRIM(B11032),Lookup!$B$2:$B$1000,Lookup!$C$2:$C$1000),"")</f>
        <v>Equity</v>
      </c>
      <c r="D11032" s="8" t="str">
        <f>IFERROR(INDEX('nav master'!$C:$C, MATCH(B11032, 'nav master'!$B:$B, 0)), "")</f>
        <v>ULIF06723/03/18EqtyAdvtFd101</v>
      </c>
      <c r="E11032" s="8" t="s">
        <v>554</v>
      </c>
      <c r="F11032" s="8" t="s">
        <v>4570</v>
      </c>
    </row>
    <row r="11033" spans="1:6" ht="60" x14ac:dyDescent="0.25">
      <c r="A11033" s="8" t="s">
        <v>125</v>
      </c>
      <c r="B11033" s="8" t="s">
        <v>138</v>
      </c>
      <c r="C11033" s="8" t="str">
        <f>IFERROR(_xlfn.XLOOKUP(TRIM(B11033),Lookup!$B$2:$B$1000,Lookup!$C$2:$C$1000),"")</f>
        <v>Equity</v>
      </c>
      <c r="D11033" s="8" t="str">
        <f>IFERROR(INDEX('nav master'!$C:$C, MATCH(B11033, 'nav master'!$B:$B, 0)), "")</f>
        <v>ULIF06723/03/18EqtyAdvtFd101</v>
      </c>
      <c r="E11033" s="8" t="s">
        <v>556</v>
      </c>
      <c r="F11033" s="8" t="s">
        <v>4571</v>
      </c>
    </row>
    <row r="11034" spans="1:6" ht="60" x14ac:dyDescent="0.25">
      <c r="A11034" s="8" t="s">
        <v>125</v>
      </c>
      <c r="B11034" s="8" t="s">
        <v>138</v>
      </c>
      <c r="C11034" s="8" t="str">
        <f>IFERROR(_xlfn.XLOOKUP(TRIM(B11034),Lookup!$B$2:$B$1000,Lookup!$C$2:$C$1000),"")</f>
        <v>Equity</v>
      </c>
      <c r="D11034" s="8" t="str">
        <f>IFERROR(INDEX('nav master'!$C:$C, MATCH(B11034, 'nav master'!$B:$B, 0)), "")</f>
        <v>ULIF06723/03/18EqtyAdvtFd101</v>
      </c>
      <c r="E11034" s="8" t="s">
        <v>558</v>
      </c>
      <c r="F11034" s="8" t="s">
        <v>4572</v>
      </c>
    </row>
    <row r="11035" spans="1:6" ht="60" x14ac:dyDescent="0.25">
      <c r="A11035" s="8" t="s">
        <v>125</v>
      </c>
      <c r="B11035" s="8" t="s">
        <v>138</v>
      </c>
      <c r="C11035" s="8" t="str">
        <f>IFERROR(_xlfn.XLOOKUP(TRIM(B11035),Lookup!$B$2:$B$1000,Lookup!$C$2:$C$1000),"")</f>
        <v>Equity</v>
      </c>
      <c r="D11035" s="8" t="str">
        <f>IFERROR(INDEX('nav master'!$C:$C, MATCH(B11035, 'nav master'!$B:$B, 0)), "")</f>
        <v>ULIF06723/03/18EqtyAdvtFd101</v>
      </c>
      <c r="E11035" s="8" t="s">
        <v>560</v>
      </c>
      <c r="F11035" s="8" t="s">
        <v>4573</v>
      </c>
    </row>
    <row r="11036" spans="1:6" ht="60" x14ac:dyDescent="0.25">
      <c r="A11036" s="8" t="s">
        <v>125</v>
      </c>
      <c r="B11036" s="8" t="s">
        <v>138</v>
      </c>
      <c r="C11036" s="8" t="str">
        <f>IFERROR(_xlfn.XLOOKUP(TRIM(B11036),Lookup!$B$2:$B$1000,Lookup!$C$2:$C$1000),"")</f>
        <v>Equity</v>
      </c>
      <c r="D11036" s="8" t="str">
        <f>IFERROR(INDEX('nav master'!$C:$C, MATCH(B11036, 'nav master'!$B:$B, 0)), "")</f>
        <v>ULIF06723/03/18EqtyAdvtFd101</v>
      </c>
      <c r="E11036" s="8" t="s">
        <v>562</v>
      </c>
      <c r="F11036" s="8" t="s">
        <v>4574</v>
      </c>
    </row>
    <row r="11037" spans="1:6" ht="60" x14ac:dyDescent="0.25">
      <c r="A11037" s="8" t="s">
        <v>125</v>
      </c>
      <c r="B11037" s="8" t="s">
        <v>138</v>
      </c>
      <c r="C11037" s="8" t="str">
        <f>IFERROR(_xlfn.XLOOKUP(TRIM(B11037),Lookup!$B$2:$B$1000,Lookup!$C$2:$C$1000),"")</f>
        <v>Equity</v>
      </c>
      <c r="D11037" s="8" t="str">
        <f>IFERROR(INDEX('nav master'!$C:$C, MATCH(B11037, 'nav master'!$B:$B, 0)), "")</f>
        <v>ULIF06723/03/18EqtyAdvtFd101</v>
      </c>
      <c r="E11037" s="8" t="s">
        <v>564</v>
      </c>
      <c r="F11037" s="8" t="s">
        <v>4575</v>
      </c>
    </row>
    <row r="11038" spans="1:6" ht="60" x14ac:dyDescent="0.25">
      <c r="A11038" s="8" t="s">
        <v>125</v>
      </c>
      <c r="B11038" s="8" t="s">
        <v>138</v>
      </c>
      <c r="C11038" s="8" t="str">
        <f>IFERROR(_xlfn.XLOOKUP(TRIM(B11038),Lookup!$B$2:$B$1000,Lookup!$C$2:$C$1000),"")</f>
        <v>Equity</v>
      </c>
      <c r="D11038" s="8" t="str">
        <f>IFERROR(INDEX('nav master'!$C:$C, MATCH(B11038, 'nav master'!$B:$B, 0)), "")</f>
        <v>ULIF06723/03/18EqtyAdvtFd101</v>
      </c>
      <c r="E11038" s="8" t="s">
        <v>566</v>
      </c>
      <c r="F11038" s="8" t="s">
        <v>4576</v>
      </c>
    </row>
    <row r="11039" spans="1:6" ht="60" x14ac:dyDescent="0.25">
      <c r="A11039" s="8" t="s">
        <v>125</v>
      </c>
      <c r="B11039" s="8" t="s">
        <v>138</v>
      </c>
      <c r="C11039" s="8" t="str">
        <f>IFERROR(_xlfn.XLOOKUP(TRIM(B11039),Lookup!$B$2:$B$1000,Lookup!$C$2:$C$1000),"")</f>
        <v>Equity</v>
      </c>
      <c r="D11039" s="8" t="str">
        <f>IFERROR(INDEX('nav master'!$C:$C, MATCH(B11039, 'nav master'!$B:$B, 0)), "")</f>
        <v>ULIF06723/03/18EqtyAdvtFd101</v>
      </c>
      <c r="E11039" s="8" t="s">
        <v>568</v>
      </c>
      <c r="F11039" s="8" t="s">
        <v>4577</v>
      </c>
    </row>
    <row r="11040" spans="1:6" ht="60" x14ac:dyDescent="0.25">
      <c r="A11040" s="8" t="s">
        <v>125</v>
      </c>
      <c r="B11040" s="8" t="s">
        <v>138</v>
      </c>
      <c r="C11040" s="8" t="str">
        <f>IFERROR(_xlfn.XLOOKUP(TRIM(B11040),Lookup!$B$2:$B$1000,Lookup!$C$2:$C$1000),"")</f>
        <v>Equity</v>
      </c>
      <c r="D11040" s="8" t="str">
        <f>IFERROR(INDEX('nav master'!$C:$C, MATCH(B11040, 'nav master'!$B:$B, 0)), "")</f>
        <v>ULIF06723/03/18EqtyAdvtFd101</v>
      </c>
      <c r="E11040" s="8" t="s">
        <v>570</v>
      </c>
      <c r="F11040" s="8" t="s">
        <v>4578</v>
      </c>
    </row>
    <row r="11041" spans="1:6" ht="60" x14ac:dyDescent="0.25">
      <c r="A11041" s="8" t="s">
        <v>125</v>
      </c>
      <c r="B11041" s="8" t="s">
        <v>138</v>
      </c>
      <c r="C11041" s="8" t="str">
        <f>IFERROR(_xlfn.XLOOKUP(TRIM(B11041),Lookup!$B$2:$B$1000,Lookup!$C$2:$C$1000),"")</f>
        <v>Equity</v>
      </c>
      <c r="D11041" s="8" t="str">
        <f>IFERROR(INDEX('nav master'!$C:$C, MATCH(B11041, 'nav master'!$B:$B, 0)), "")</f>
        <v>ULIF06723/03/18EqtyAdvtFd101</v>
      </c>
      <c r="E11041" s="8" t="s">
        <v>572</v>
      </c>
      <c r="F11041" s="8" t="s">
        <v>4579</v>
      </c>
    </row>
    <row r="11042" spans="1:6" ht="60" x14ac:dyDescent="0.25">
      <c r="A11042" s="8" t="s">
        <v>125</v>
      </c>
      <c r="B11042" s="8" t="s">
        <v>138</v>
      </c>
      <c r="C11042" s="8" t="str">
        <f>IFERROR(_xlfn.XLOOKUP(TRIM(B11042),Lookup!$B$2:$B$1000,Lookup!$C$2:$C$1000),"")</f>
        <v>Equity</v>
      </c>
      <c r="D11042" s="8" t="str">
        <f>IFERROR(INDEX('nav master'!$C:$C, MATCH(B11042, 'nav master'!$B:$B, 0)), "")</f>
        <v>ULIF06723/03/18EqtyAdvtFd101</v>
      </c>
      <c r="E11042" s="8" t="s">
        <v>574</v>
      </c>
      <c r="F11042" s="8" t="s">
        <v>4580</v>
      </c>
    </row>
    <row r="11043" spans="1:6" ht="60" x14ac:dyDescent="0.25">
      <c r="A11043" s="8" t="s">
        <v>125</v>
      </c>
      <c r="B11043" s="8" t="s">
        <v>138</v>
      </c>
      <c r="C11043" s="8" t="str">
        <f>IFERROR(_xlfn.XLOOKUP(TRIM(B11043),Lookup!$B$2:$B$1000,Lookup!$C$2:$C$1000),"")</f>
        <v>Equity</v>
      </c>
      <c r="D11043" s="8" t="str">
        <f>IFERROR(INDEX('nav master'!$C:$C, MATCH(B11043, 'nav master'!$B:$B, 0)), "")</f>
        <v>ULIF06723/03/18EqtyAdvtFd101</v>
      </c>
      <c r="E11043" s="8" t="s">
        <v>576</v>
      </c>
      <c r="F11043" s="8" t="s">
        <v>4581</v>
      </c>
    </row>
    <row r="11044" spans="1:6" ht="60" x14ac:dyDescent="0.25">
      <c r="A11044" s="8" t="s">
        <v>125</v>
      </c>
      <c r="B11044" s="8" t="s">
        <v>138</v>
      </c>
      <c r="C11044" s="8" t="str">
        <f>IFERROR(_xlfn.XLOOKUP(TRIM(B11044),Lookup!$B$2:$B$1000,Lookup!$C$2:$C$1000),"")</f>
        <v>Equity</v>
      </c>
      <c r="D11044" s="8" t="str">
        <f>IFERROR(INDEX('nav master'!$C:$C, MATCH(B11044, 'nav master'!$B:$B, 0)), "")</f>
        <v>ULIF06723/03/18EqtyAdvtFd101</v>
      </c>
      <c r="E11044" s="8" t="s">
        <v>578</v>
      </c>
      <c r="F11044" s="8" t="s">
        <v>4582</v>
      </c>
    </row>
    <row r="11045" spans="1:6" ht="60" x14ac:dyDescent="0.25">
      <c r="A11045" s="8" t="s">
        <v>125</v>
      </c>
      <c r="B11045" s="8" t="s">
        <v>138</v>
      </c>
      <c r="C11045" s="8" t="str">
        <f>IFERROR(_xlfn.XLOOKUP(TRIM(B11045),Lookup!$B$2:$B$1000,Lookup!$C$2:$C$1000),"")</f>
        <v>Equity</v>
      </c>
      <c r="D11045" s="8" t="str">
        <f>IFERROR(INDEX('nav master'!$C:$C, MATCH(B11045, 'nav master'!$B:$B, 0)), "")</f>
        <v>ULIF06723/03/18EqtyAdvtFd101</v>
      </c>
      <c r="E11045" s="8" t="s">
        <v>580</v>
      </c>
      <c r="F11045" s="8" t="s">
        <v>4583</v>
      </c>
    </row>
    <row r="11046" spans="1:6" ht="60" x14ac:dyDescent="0.25">
      <c r="A11046" s="8" t="s">
        <v>125</v>
      </c>
      <c r="B11046" s="8" t="s">
        <v>138</v>
      </c>
      <c r="C11046" s="8" t="str">
        <f>IFERROR(_xlfn.XLOOKUP(TRIM(B11046),Lookup!$B$2:$B$1000,Lookup!$C$2:$C$1000),"")</f>
        <v>Equity</v>
      </c>
      <c r="D11046" s="8" t="str">
        <f>IFERROR(INDEX('nav master'!$C:$C, MATCH(B11046, 'nav master'!$B:$B, 0)), "")</f>
        <v>ULIF06723/03/18EqtyAdvtFd101</v>
      </c>
      <c r="E11046" s="8" t="s">
        <v>582</v>
      </c>
      <c r="F11046" s="8" t="s">
        <v>4584</v>
      </c>
    </row>
    <row r="11047" spans="1:6" ht="60" x14ac:dyDescent="0.25">
      <c r="A11047" s="8" t="s">
        <v>125</v>
      </c>
      <c r="B11047" s="8" t="s">
        <v>138</v>
      </c>
      <c r="C11047" s="8" t="str">
        <f>IFERROR(_xlfn.XLOOKUP(TRIM(B11047),Lookup!$B$2:$B$1000,Lookup!$C$2:$C$1000),"")</f>
        <v>Equity</v>
      </c>
      <c r="D11047" s="8" t="str">
        <f>IFERROR(INDEX('nav master'!$C:$C, MATCH(B11047, 'nav master'!$B:$B, 0)), "")</f>
        <v>ULIF06723/03/18EqtyAdvtFd101</v>
      </c>
      <c r="E11047" s="8" t="s">
        <v>584</v>
      </c>
      <c r="F11047" s="8" t="s">
        <v>4585</v>
      </c>
    </row>
    <row r="11048" spans="1:6" ht="60" x14ac:dyDescent="0.25">
      <c r="A11048" s="8" t="s">
        <v>125</v>
      </c>
      <c r="B11048" s="8" t="s">
        <v>138</v>
      </c>
      <c r="C11048" s="8" t="str">
        <f>IFERROR(_xlfn.XLOOKUP(TRIM(B11048),Lookup!$B$2:$B$1000,Lookup!$C$2:$C$1000),"")</f>
        <v>Equity</v>
      </c>
      <c r="D11048" s="8" t="str">
        <f>IFERROR(INDEX('nav master'!$C:$C, MATCH(B11048, 'nav master'!$B:$B, 0)), "")</f>
        <v>ULIF06723/03/18EqtyAdvtFd101</v>
      </c>
      <c r="E11048" s="8" t="s">
        <v>586</v>
      </c>
      <c r="F11048" s="8" t="s">
        <v>4586</v>
      </c>
    </row>
    <row r="11049" spans="1:6" ht="60" x14ac:dyDescent="0.25">
      <c r="A11049" s="8" t="s">
        <v>125</v>
      </c>
      <c r="B11049" s="8" t="s">
        <v>138</v>
      </c>
      <c r="C11049" s="8" t="str">
        <f>IFERROR(_xlfn.XLOOKUP(TRIM(B11049),Lookup!$B$2:$B$1000,Lookup!$C$2:$C$1000),"")</f>
        <v>Equity</v>
      </c>
      <c r="D11049" s="8" t="str">
        <f>IFERROR(INDEX('nav master'!$C:$C, MATCH(B11049, 'nav master'!$B:$B, 0)), "")</f>
        <v>ULIF06723/03/18EqtyAdvtFd101</v>
      </c>
      <c r="E11049" s="8" t="s">
        <v>588</v>
      </c>
      <c r="F11049" s="8" t="s">
        <v>4587</v>
      </c>
    </row>
    <row r="11050" spans="1:6" ht="60" x14ac:dyDescent="0.25">
      <c r="A11050" s="8" t="s">
        <v>125</v>
      </c>
      <c r="B11050" s="8" t="s">
        <v>138</v>
      </c>
      <c r="C11050" s="8" t="str">
        <f>IFERROR(_xlfn.XLOOKUP(TRIM(B11050),Lookup!$B$2:$B$1000,Lookup!$C$2:$C$1000),"")</f>
        <v>Equity</v>
      </c>
      <c r="D11050" s="8" t="str">
        <f>IFERROR(INDEX('nav master'!$C:$C, MATCH(B11050, 'nav master'!$B:$B, 0)), "")</f>
        <v>ULIF06723/03/18EqtyAdvtFd101</v>
      </c>
      <c r="E11050" s="8" t="s">
        <v>590</v>
      </c>
      <c r="F11050" s="8" t="s">
        <v>4588</v>
      </c>
    </row>
    <row r="11051" spans="1:6" ht="60" x14ac:dyDescent="0.25">
      <c r="A11051" s="8" t="s">
        <v>125</v>
      </c>
      <c r="B11051" s="8" t="s">
        <v>138</v>
      </c>
      <c r="C11051" s="8" t="str">
        <f>IFERROR(_xlfn.XLOOKUP(TRIM(B11051),Lookup!$B$2:$B$1000,Lookup!$C$2:$C$1000),"")</f>
        <v>Equity</v>
      </c>
      <c r="D11051" s="8" t="str">
        <f>IFERROR(INDEX('nav master'!$C:$C, MATCH(B11051, 'nav master'!$B:$B, 0)), "")</f>
        <v>ULIF06723/03/18EqtyAdvtFd101</v>
      </c>
      <c r="E11051" s="8" t="s">
        <v>592</v>
      </c>
      <c r="F11051" s="8" t="s">
        <v>4589</v>
      </c>
    </row>
    <row r="11052" spans="1:6" ht="60" x14ac:dyDescent="0.25">
      <c r="A11052" s="8" t="s">
        <v>125</v>
      </c>
      <c r="B11052" s="8" t="s">
        <v>138</v>
      </c>
      <c r="C11052" s="8" t="str">
        <f>IFERROR(_xlfn.XLOOKUP(TRIM(B11052),Lookup!$B$2:$B$1000,Lookup!$C$2:$C$1000),"")</f>
        <v>Equity</v>
      </c>
      <c r="D11052" s="8" t="str">
        <f>IFERROR(INDEX('nav master'!$C:$C, MATCH(B11052, 'nav master'!$B:$B, 0)), "")</f>
        <v>ULIF06723/03/18EqtyAdvtFd101</v>
      </c>
      <c r="E11052" s="8" t="s">
        <v>594</v>
      </c>
      <c r="F11052" s="8" t="s">
        <v>4590</v>
      </c>
    </row>
    <row r="11053" spans="1:6" ht="60" x14ac:dyDescent="0.25">
      <c r="A11053" s="8" t="s">
        <v>125</v>
      </c>
      <c r="B11053" s="8" t="s">
        <v>138</v>
      </c>
      <c r="C11053" s="8" t="str">
        <f>IFERROR(_xlfn.XLOOKUP(TRIM(B11053),Lookup!$B$2:$B$1000,Lookup!$C$2:$C$1000),"")</f>
        <v>Equity</v>
      </c>
      <c r="D11053" s="8" t="str">
        <f>IFERROR(INDEX('nav master'!$C:$C, MATCH(B11053, 'nav master'!$B:$B, 0)), "")</f>
        <v>ULIF06723/03/18EqtyAdvtFd101</v>
      </c>
      <c r="E11053" s="8" t="s">
        <v>596</v>
      </c>
      <c r="F11053" s="8" t="s">
        <v>4591</v>
      </c>
    </row>
    <row r="11054" spans="1:6" ht="60" x14ac:dyDescent="0.25">
      <c r="A11054" s="8" t="s">
        <v>125</v>
      </c>
      <c r="B11054" s="8" t="s">
        <v>138</v>
      </c>
      <c r="C11054" s="8" t="str">
        <f>IFERROR(_xlfn.XLOOKUP(TRIM(B11054),Lookup!$B$2:$B$1000,Lookup!$C$2:$C$1000),"")</f>
        <v>Equity</v>
      </c>
      <c r="D11054" s="8" t="str">
        <f>IFERROR(INDEX('nav master'!$C:$C, MATCH(B11054, 'nav master'!$B:$B, 0)), "")</f>
        <v>ULIF06723/03/18EqtyAdvtFd101</v>
      </c>
      <c r="E11054" s="8" t="s">
        <v>598</v>
      </c>
      <c r="F11054" s="8" t="s">
        <v>4592</v>
      </c>
    </row>
    <row r="11055" spans="1:6" ht="60" x14ac:dyDescent="0.25">
      <c r="A11055" s="8" t="s">
        <v>125</v>
      </c>
      <c r="B11055" s="8" t="s">
        <v>138</v>
      </c>
      <c r="C11055" s="8" t="str">
        <f>IFERROR(_xlfn.XLOOKUP(TRIM(B11055),Lookup!$B$2:$B$1000,Lookup!$C$2:$C$1000),"")</f>
        <v>Equity</v>
      </c>
      <c r="D11055" s="8" t="str">
        <f>IFERROR(INDEX('nav master'!$C:$C, MATCH(B11055, 'nav master'!$B:$B, 0)), "")</f>
        <v>ULIF06723/03/18EqtyAdvtFd101</v>
      </c>
      <c r="E11055" s="8" t="s">
        <v>600</v>
      </c>
      <c r="F11055" s="8" t="s">
        <v>4593</v>
      </c>
    </row>
    <row r="11056" spans="1:6" ht="60" x14ac:dyDescent="0.25">
      <c r="A11056" s="8" t="s">
        <v>125</v>
      </c>
      <c r="B11056" s="8" t="s">
        <v>138</v>
      </c>
      <c r="C11056" s="8" t="str">
        <f>IFERROR(_xlfn.XLOOKUP(TRIM(B11056),Lookup!$B$2:$B$1000,Lookup!$C$2:$C$1000),"")</f>
        <v>Equity</v>
      </c>
      <c r="D11056" s="8" t="str">
        <f>IFERROR(INDEX('nav master'!$C:$C, MATCH(B11056, 'nav master'!$B:$B, 0)), "")</f>
        <v>ULIF06723/03/18EqtyAdvtFd101</v>
      </c>
      <c r="E11056" s="8" t="s">
        <v>602</v>
      </c>
      <c r="F11056" s="8" t="s">
        <v>4594</v>
      </c>
    </row>
    <row r="11057" spans="1:6" ht="60" x14ac:dyDescent="0.25">
      <c r="A11057" s="8" t="s">
        <v>125</v>
      </c>
      <c r="B11057" s="8" t="s">
        <v>138</v>
      </c>
      <c r="C11057" s="8" t="str">
        <f>IFERROR(_xlfn.XLOOKUP(TRIM(B11057),Lookup!$B$2:$B$1000,Lookup!$C$2:$C$1000),"")</f>
        <v>Equity</v>
      </c>
      <c r="D11057" s="8" t="str">
        <f>IFERROR(INDEX('nav master'!$C:$C, MATCH(B11057, 'nav master'!$B:$B, 0)), "")</f>
        <v>ULIF06723/03/18EqtyAdvtFd101</v>
      </c>
      <c r="E11057" s="8" t="s">
        <v>604</v>
      </c>
      <c r="F11057" s="8" t="s">
        <v>4595</v>
      </c>
    </row>
    <row r="11058" spans="1:6" ht="60" x14ac:dyDescent="0.25">
      <c r="A11058" s="8" t="s">
        <v>125</v>
      </c>
      <c r="B11058" s="8" t="s">
        <v>138</v>
      </c>
      <c r="C11058" s="8" t="str">
        <f>IFERROR(_xlfn.XLOOKUP(TRIM(B11058),Lookup!$B$2:$B$1000,Lookup!$C$2:$C$1000),"")</f>
        <v>Equity</v>
      </c>
      <c r="D11058" s="8" t="str">
        <f>IFERROR(INDEX('nav master'!$C:$C, MATCH(B11058, 'nav master'!$B:$B, 0)), "")</f>
        <v>ULIF06723/03/18EqtyAdvtFd101</v>
      </c>
      <c r="E11058" s="8" t="s">
        <v>606</v>
      </c>
      <c r="F11058" s="8" t="s">
        <v>4596</v>
      </c>
    </row>
    <row r="11059" spans="1:6" ht="60" x14ac:dyDescent="0.25">
      <c r="A11059" s="8" t="s">
        <v>125</v>
      </c>
      <c r="B11059" s="8" t="s">
        <v>138</v>
      </c>
      <c r="C11059" s="8" t="str">
        <f>IFERROR(_xlfn.XLOOKUP(TRIM(B11059),Lookup!$B$2:$B$1000,Lookup!$C$2:$C$1000),"")</f>
        <v>Equity</v>
      </c>
      <c r="D11059" s="8" t="str">
        <f>IFERROR(INDEX('nav master'!$C:$C, MATCH(B11059, 'nav master'!$B:$B, 0)), "")</f>
        <v>ULIF06723/03/18EqtyAdvtFd101</v>
      </c>
      <c r="E11059" s="8" t="s">
        <v>608</v>
      </c>
      <c r="F11059" s="8" t="s">
        <v>4597</v>
      </c>
    </row>
    <row r="11060" spans="1:6" ht="60" x14ac:dyDescent="0.25">
      <c r="A11060" s="8" t="s">
        <v>125</v>
      </c>
      <c r="B11060" s="8" t="s">
        <v>138</v>
      </c>
      <c r="C11060" s="8" t="str">
        <f>IFERROR(_xlfn.XLOOKUP(TRIM(B11060),Lookup!$B$2:$B$1000,Lookup!$C$2:$C$1000),"")</f>
        <v>Equity</v>
      </c>
      <c r="D11060" s="8" t="str">
        <f>IFERROR(INDEX('nav master'!$C:$C, MATCH(B11060, 'nav master'!$B:$B, 0)), "")</f>
        <v>ULIF06723/03/18EqtyAdvtFd101</v>
      </c>
      <c r="E11060" s="8" t="s">
        <v>610</v>
      </c>
      <c r="F11060" s="8" t="s">
        <v>4598</v>
      </c>
    </row>
    <row r="11061" spans="1:6" ht="60" x14ac:dyDescent="0.25">
      <c r="A11061" s="8" t="s">
        <v>125</v>
      </c>
      <c r="B11061" s="8" t="s">
        <v>138</v>
      </c>
      <c r="C11061" s="8" t="str">
        <f>IFERROR(_xlfn.XLOOKUP(TRIM(B11061),Lookup!$B$2:$B$1000,Lookup!$C$2:$C$1000),"")</f>
        <v>Equity</v>
      </c>
      <c r="D11061" s="8" t="str">
        <f>IFERROR(INDEX('nav master'!$C:$C, MATCH(B11061, 'nav master'!$B:$B, 0)), "")</f>
        <v>ULIF06723/03/18EqtyAdvtFd101</v>
      </c>
      <c r="E11061" s="8" t="s">
        <v>612</v>
      </c>
      <c r="F11061" s="8" t="s">
        <v>4599</v>
      </c>
    </row>
    <row r="11062" spans="1:6" ht="60" x14ac:dyDescent="0.25">
      <c r="A11062" s="8" t="s">
        <v>125</v>
      </c>
      <c r="B11062" s="8" t="s">
        <v>138</v>
      </c>
      <c r="C11062" s="8" t="str">
        <f>IFERROR(_xlfn.XLOOKUP(TRIM(B11062),Lookup!$B$2:$B$1000,Lookup!$C$2:$C$1000),"")</f>
        <v>Equity</v>
      </c>
      <c r="D11062" s="8" t="str">
        <f>IFERROR(INDEX('nav master'!$C:$C, MATCH(B11062, 'nav master'!$B:$B, 0)), "")</f>
        <v>ULIF06723/03/18EqtyAdvtFd101</v>
      </c>
      <c r="E11062" s="8" t="s">
        <v>614</v>
      </c>
      <c r="F11062" s="8" t="s">
        <v>4600</v>
      </c>
    </row>
    <row r="11063" spans="1:6" ht="60" x14ac:dyDescent="0.25">
      <c r="A11063" s="8" t="s">
        <v>125</v>
      </c>
      <c r="B11063" s="8" t="s">
        <v>138</v>
      </c>
      <c r="C11063" s="8" t="str">
        <f>IFERROR(_xlfn.XLOOKUP(TRIM(B11063),Lookup!$B$2:$B$1000,Lookup!$C$2:$C$1000),"")</f>
        <v>Equity</v>
      </c>
      <c r="D11063" s="8" t="str">
        <f>IFERROR(INDEX('nav master'!$C:$C, MATCH(B11063, 'nav master'!$B:$B, 0)), "")</f>
        <v>ULIF06723/03/18EqtyAdvtFd101</v>
      </c>
      <c r="E11063" s="8" t="s">
        <v>616</v>
      </c>
      <c r="F11063" s="8" t="s">
        <v>4601</v>
      </c>
    </row>
    <row r="11064" spans="1:6" ht="60" x14ac:dyDescent="0.25">
      <c r="A11064" s="8" t="s">
        <v>125</v>
      </c>
      <c r="B11064" s="8" t="s">
        <v>138</v>
      </c>
      <c r="C11064" s="8" t="str">
        <f>IFERROR(_xlfn.XLOOKUP(TRIM(B11064),Lookup!$B$2:$B$1000,Lookup!$C$2:$C$1000),"")</f>
        <v>Equity</v>
      </c>
      <c r="D11064" s="8" t="str">
        <f>IFERROR(INDEX('nav master'!$C:$C, MATCH(B11064, 'nav master'!$B:$B, 0)), "")</f>
        <v>ULIF06723/03/18EqtyAdvtFd101</v>
      </c>
      <c r="E11064" s="8" t="s">
        <v>618</v>
      </c>
      <c r="F11064" s="8" t="s">
        <v>4602</v>
      </c>
    </row>
    <row r="11065" spans="1:6" ht="60" x14ac:dyDescent="0.25">
      <c r="A11065" s="8" t="s">
        <v>125</v>
      </c>
      <c r="B11065" s="8" t="s">
        <v>138</v>
      </c>
      <c r="C11065" s="8" t="str">
        <f>IFERROR(_xlfn.XLOOKUP(TRIM(B11065),Lookup!$B$2:$B$1000,Lookup!$C$2:$C$1000),"")</f>
        <v>Equity</v>
      </c>
      <c r="D11065" s="8" t="str">
        <f>IFERROR(INDEX('nav master'!$C:$C, MATCH(B11065, 'nav master'!$B:$B, 0)), "")</f>
        <v>ULIF06723/03/18EqtyAdvtFd101</v>
      </c>
      <c r="E11065" s="8" t="s">
        <v>620</v>
      </c>
      <c r="F11065" s="8" t="s">
        <v>4603</v>
      </c>
    </row>
    <row r="11066" spans="1:6" ht="60" x14ac:dyDescent="0.25">
      <c r="A11066" s="8" t="s">
        <v>125</v>
      </c>
      <c r="B11066" s="8" t="s">
        <v>138</v>
      </c>
      <c r="C11066" s="8" t="str">
        <f>IFERROR(_xlfn.XLOOKUP(TRIM(B11066),Lookup!$B$2:$B$1000,Lookup!$C$2:$C$1000),"")</f>
        <v>Equity</v>
      </c>
      <c r="D11066" s="8" t="str">
        <f>IFERROR(INDEX('nav master'!$C:$C, MATCH(B11066, 'nav master'!$B:$B, 0)), "")</f>
        <v>ULIF06723/03/18EqtyAdvtFd101</v>
      </c>
      <c r="E11066" s="8" t="s">
        <v>622</v>
      </c>
      <c r="F11066" s="8" t="s">
        <v>4604</v>
      </c>
    </row>
    <row r="11067" spans="1:6" ht="60" x14ac:dyDescent="0.25">
      <c r="A11067" s="8" t="s">
        <v>125</v>
      </c>
      <c r="B11067" s="8" t="s">
        <v>138</v>
      </c>
      <c r="C11067" s="8" t="str">
        <f>IFERROR(_xlfn.XLOOKUP(TRIM(B11067),Lookup!$B$2:$B$1000,Lookup!$C$2:$C$1000),"")</f>
        <v>Equity</v>
      </c>
      <c r="D11067" s="8" t="str">
        <f>IFERROR(INDEX('nav master'!$C:$C, MATCH(B11067, 'nav master'!$B:$B, 0)), "")</f>
        <v>ULIF06723/03/18EqtyAdvtFd101</v>
      </c>
      <c r="E11067" s="8" t="s">
        <v>624</v>
      </c>
      <c r="F11067" s="8" t="s">
        <v>4605</v>
      </c>
    </row>
    <row r="11068" spans="1:6" ht="60" x14ac:dyDescent="0.25">
      <c r="A11068" s="8" t="s">
        <v>125</v>
      </c>
      <c r="B11068" s="8" t="s">
        <v>138</v>
      </c>
      <c r="C11068" s="8" t="str">
        <f>IFERROR(_xlfn.XLOOKUP(TRIM(B11068),Lookup!$B$2:$B$1000,Lookup!$C$2:$C$1000),"")</f>
        <v>Equity</v>
      </c>
      <c r="D11068" s="8" t="str">
        <f>IFERROR(INDEX('nav master'!$C:$C, MATCH(B11068, 'nav master'!$B:$B, 0)), "")</f>
        <v>ULIF06723/03/18EqtyAdvtFd101</v>
      </c>
      <c r="E11068" s="8" t="s">
        <v>626</v>
      </c>
      <c r="F11068" s="8" t="s">
        <v>4606</v>
      </c>
    </row>
    <row r="11069" spans="1:6" ht="60" x14ac:dyDescent="0.25">
      <c r="A11069" s="8" t="s">
        <v>125</v>
      </c>
      <c r="B11069" s="8" t="s">
        <v>138</v>
      </c>
      <c r="C11069" s="8" t="str">
        <f>IFERROR(_xlfn.XLOOKUP(TRIM(B11069),Lookup!$B$2:$B$1000,Lookup!$C$2:$C$1000),"")</f>
        <v>Equity</v>
      </c>
      <c r="D11069" s="8" t="str">
        <f>IFERROR(INDEX('nav master'!$C:$C, MATCH(B11069, 'nav master'!$B:$B, 0)), "")</f>
        <v>ULIF06723/03/18EqtyAdvtFd101</v>
      </c>
      <c r="E11069" s="8" t="s">
        <v>628</v>
      </c>
      <c r="F11069" s="8" t="s">
        <v>4607</v>
      </c>
    </row>
    <row r="11070" spans="1:6" ht="60" x14ac:dyDescent="0.25">
      <c r="A11070" s="8" t="s">
        <v>125</v>
      </c>
      <c r="B11070" s="8" t="s">
        <v>138</v>
      </c>
      <c r="C11070" s="8" t="str">
        <f>IFERROR(_xlfn.XLOOKUP(TRIM(B11070),Lookup!$B$2:$B$1000,Lookup!$C$2:$C$1000),"")</f>
        <v>Equity</v>
      </c>
      <c r="D11070" s="8" t="str">
        <f>IFERROR(INDEX('nav master'!$C:$C, MATCH(B11070, 'nav master'!$B:$B, 0)), "")</f>
        <v>ULIF06723/03/18EqtyAdvtFd101</v>
      </c>
      <c r="E11070" s="8" t="s">
        <v>630</v>
      </c>
      <c r="F11070" s="8" t="s">
        <v>4608</v>
      </c>
    </row>
    <row r="11071" spans="1:6" ht="60" x14ac:dyDescent="0.25">
      <c r="A11071" s="8" t="s">
        <v>125</v>
      </c>
      <c r="B11071" s="8" t="s">
        <v>138</v>
      </c>
      <c r="C11071" s="8" t="str">
        <f>IFERROR(_xlfn.XLOOKUP(TRIM(B11071),Lookup!$B$2:$B$1000,Lookup!$C$2:$C$1000),"")</f>
        <v>Equity</v>
      </c>
      <c r="D11071" s="8" t="str">
        <f>IFERROR(INDEX('nav master'!$C:$C, MATCH(B11071, 'nav master'!$B:$B, 0)), "")</f>
        <v>ULIF06723/03/18EqtyAdvtFd101</v>
      </c>
      <c r="E11071" s="8" t="s">
        <v>632</v>
      </c>
      <c r="F11071" s="8" t="s">
        <v>4609</v>
      </c>
    </row>
    <row r="11072" spans="1:6" ht="60" x14ac:dyDescent="0.25">
      <c r="A11072" s="8" t="s">
        <v>125</v>
      </c>
      <c r="B11072" s="8" t="s">
        <v>138</v>
      </c>
      <c r="C11072" s="8" t="str">
        <f>IFERROR(_xlfn.XLOOKUP(TRIM(B11072),Lookup!$B$2:$B$1000,Lookup!$C$2:$C$1000),"")</f>
        <v>Equity</v>
      </c>
      <c r="D11072" s="8" t="str">
        <f>IFERROR(INDEX('nav master'!$C:$C, MATCH(B11072, 'nav master'!$B:$B, 0)), "")</f>
        <v>ULIF06723/03/18EqtyAdvtFd101</v>
      </c>
      <c r="E11072" s="8" t="s">
        <v>634</v>
      </c>
      <c r="F11072" s="8" t="s">
        <v>4610</v>
      </c>
    </row>
    <row r="11073" spans="1:6" ht="60" x14ac:dyDescent="0.25">
      <c r="A11073" s="8" t="s">
        <v>125</v>
      </c>
      <c r="B11073" s="8" t="s">
        <v>138</v>
      </c>
      <c r="C11073" s="8" t="str">
        <f>IFERROR(_xlfn.XLOOKUP(TRIM(B11073),Lookup!$B$2:$B$1000,Lookup!$C$2:$C$1000),"")</f>
        <v>Equity</v>
      </c>
      <c r="D11073" s="8" t="str">
        <f>IFERROR(INDEX('nav master'!$C:$C, MATCH(B11073, 'nav master'!$B:$B, 0)), "")</f>
        <v>ULIF06723/03/18EqtyAdvtFd101</v>
      </c>
      <c r="E11073" s="8" t="s">
        <v>636</v>
      </c>
      <c r="F11073" s="8" t="s">
        <v>4611</v>
      </c>
    </row>
    <row r="11074" spans="1:6" ht="60" x14ac:dyDescent="0.25">
      <c r="A11074" s="8" t="s">
        <v>125</v>
      </c>
      <c r="B11074" s="8" t="s">
        <v>138</v>
      </c>
      <c r="C11074" s="8" t="str">
        <f>IFERROR(_xlfn.XLOOKUP(TRIM(B11074),Lookup!$B$2:$B$1000,Lookup!$C$2:$C$1000),"")</f>
        <v>Equity</v>
      </c>
      <c r="D11074" s="8" t="str">
        <f>IFERROR(INDEX('nav master'!$C:$C, MATCH(B11074, 'nav master'!$B:$B, 0)), "")</f>
        <v>ULIF06723/03/18EqtyAdvtFd101</v>
      </c>
      <c r="E11074" s="8" t="s">
        <v>638</v>
      </c>
      <c r="F11074" s="8" t="s">
        <v>4612</v>
      </c>
    </row>
    <row r="11075" spans="1:6" ht="60" x14ac:dyDescent="0.25">
      <c r="A11075" s="8" t="s">
        <v>125</v>
      </c>
      <c r="B11075" s="8" t="s">
        <v>138</v>
      </c>
      <c r="C11075" s="8" t="str">
        <f>IFERROR(_xlfn.XLOOKUP(TRIM(B11075),Lookup!$B$2:$B$1000,Lookup!$C$2:$C$1000),"")</f>
        <v>Equity</v>
      </c>
      <c r="D11075" s="8" t="str">
        <f>IFERROR(INDEX('nav master'!$C:$C, MATCH(B11075, 'nav master'!$B:$B, 0)), "")</f>
        <v>ULIF06723/03/18EqtyAdvtFd101</v>
      </c>
      <c r="E11075" s="8" t="s">
        <v>640</v>
      </c>
      <c r="F11075" s="8" t="s">
        <v>4613</v>
      </c>
    </row>
    <row r="11076" spans="1:6" ht="60" x14ac:dyDescent="0.25">
      <c r="A11076" s="8" t="s">
        <v>125</v>
      </c>
      <c r="B11076" s="8" t="s">
        <v>138</v>
      </c>
      <c r="C11076" s="8" t="str">
        <f>IFERROR(_xlfn.XLOOKUP(TRIM(B11076),Lookup!$B$2:$B$1000,Lookup!$C$2:$C$1000),"")</f>
        <v>Equity</v>
      </c>
      <c r="D11076" s="8" t="str">
        <f>IFERROR(INDEX('nav master'!$C:$C, MATCH(B11076, 'nav master'!$B:$B, 0)), "")</f>
        <v>ULIF06723/03/18EqtyAdvtFd101</v>
      </c>
      <c r="E11076" s="8" t="s">
        <v>642</v>
      </c>
      <c r="F11076" s="8" t="s">
        <v>4614</v>
      </c>
    </row>
    <row r="11077" spans="1:6" ht="60" x14ac:dyDescent="0.25">
      <c r="A11077" s="8" t="s">
        <v>125</v>
      </c>
      <c r="B11077" s="8" t="s">
        <v>138</v>
      </c>
      <c r="C11077" s="8" t="str">
        <f>IFERROR(_xlfn.XLOOKUP(TRIM(B11077),Lookup!$B$2:$B$1000,Lookup!$C$2:$C$1000),"")</f>
        <v>Equity</v>
      </c>
      <c r="D11077" s="8" t="str">
        <f>IFERROR(INDEX('nav master'!$C:$C, MATCH(B11077, 'nav master'!$B:$B, 0)), "")</f>
        <v>ULIF06723/03/18EqtyAdvtFd101</v>
      </c>
      <c r="E11077" s="8" t="s">
        <v>644</v>
      </c>
      <c r="F11077" s="8" t="s">
        <v>4615</v>
      </c>
    </row>
    <row r="11078" spans="1:6" ht="60" x14ac:dyDescent="0.25">
      <c r="A11078" s="8" t="s">
        <v>125</v>
      </c>
      <c r="B11078" s="8" t="s">
        <v>138</v>
      </c>
      <c r="C11078" s="8" t="str">
        <f>IFERROR(_xlfn.XLOOKUP(TRIM(B11078),Lookup!$B$2:$B$1000,Lookup!$C$2:$C$1000),"")</f>
        <v>Equity</v>
      </c>
      <c r="D11078" s="8" t="str">
        <f>IFERROR(INDEX('nav master'!$C:$C, MATCH(B11078, 'nav master'!$B:$B, 0)), "")</f>
        <v>ULIF06723/03/18EqtyAdvtFd101</v>
      </c>
      <c r="E11078" s="8" t="s">
        <v>646</v>
      </c>
      <c r="F11078" s="8" t="s">
        <v>4616</v>
      </c>
    </row>
    <row r="11079" spans="1:6" ht="60" x14ac:dyDescent="0.25">
      <c r="A11079" s="8" t="s">
        <v>125</v>
      </c>
      <c r="B11079" s="8" t="s">
        <v>138</v>
      </c>
      <c r="C11079" s="8" t="str">
        <f>IFERROR(_xlfn.XLOOKUP(TRIM(B11079),Lookup!$B$2:$B$1000,Lookup!$C$2:$C$1000),"")</f>
        <v>Equity</v>
      </c>
      <c r="D11079" s="8" t="str">
        <f>IFERROR(INDEX('nav master'!$C:$C, MATCH(B11079, 'nav master'!$B:$B, 0)), "")</f>
        <v>ULIF06723/03/18EqtyAdvtFd101</v>
      </c>
      <c r="E11079" s="8" t="s">
        <v>648</v>
      </c>
      <c r="F11079" s="8" t="s">
        <v>4617</v>
      </c>
    </row>
    <row r="11080" spans="1:6" ht="60" x14ac:dyDescent="0.25">
      <c r="A11080" s="8" t="s">
        <v>125</v>
      </c>
      <c r="B11080" s="8" t="s">
        <v>138</v>
      </c>
      <c r="C11080" s="8" t="str">
        <f>IFERROR(_xlfn.XLOOKUP(TRIM(B11080),Lookup!$B$2:$B$1000,Lookup!$C$2:$C$1000),"")</f>
        <v>Equity</v>
      </c>
      <c r="D11080" s="8" t="str">
        <f>IFERROR(INDEX('nav master'!$C:$C, MATCH(B11080, 'nav master'!$B:$B, 0)), "")</f>
        <v>ULIF06723/03/18EqtyAdvtFd101</v>
      </c>
      <c r="E11080" s="8" t="s">
        <v>650</v>
      </c>
      <c r="F11080" s="8" t="s">
        <v>4618</v>
      </c>
    </row>
    <row r="11081" spans="1:6" ht="60" x14ac:dyDescent="0.25">
      <c r="A11081" s="8" t="s">
        <v>125</v>
      </c>
      <c r="B11081" s="8" t="s">
        <v>138</v>
      </c>
      <c r="C11081" s="8" t="str">
        <f>IFERROR(_xlfn.XLOOKUP(TRIM(B11081),Lookup!$B$2:$B$1000,Lookup!$C$2:$C$1000),"")</f>
        <v>Equity</v>
      </c>
      <c r="D11081" s="8" t="str">
        <f>IFERROR(INDEX('nav master'!$C:$C, MATCH(B11081, 'nav master'!$B:$B, 0)), "")</f>
        <v>ULIF06723/03/18EqtyAdvtFd101</v>
      </c>
      <c r="E11081" s="8" t="s">
        <v>652</v>
      </c>
      <c r="F11081" s="8" t="s">
        <v>4619</v>
      </c>
    </row>
    <row r="11082" spans="1:6" ht="60" x14ac:dyDescent="0.25">
      <c r="A11082" s="8" t="s">
        <v>125</v>
      </c>
      <c r="B11082" s="8" t="s">
        <v>138</v>
      </c>
      <c r="C11082" s="8" t="str">
        <f>IFERROR(_xlfn.XLOOKUP(TRIM(B11082),Lookup!$B$2:$B$1000,Lookup!$C$2:$C$1000),"")</f>
        <v>Equity</v>
      </c>
      <c r="D11082" s="8" t="str">
        <f>IFERROR(INDEX('nav master'!$C:$C, MATCH(B11082, 'nav master'!$B:$B, 0)), "")</f>
        <v>ULIF06723/03/18EqtyAdvtFd101</v>
      </c>
      <c r="E11082" s="8" t="s">
        <v>654</v>
      </c>
      <c r="F11082" s="8" t="s">
        <v>4620</v>
      </c>
    </row>
    <row r="11083" spans="1:6" ht="60" x14ac:dyDescent="0.25">
      <c r="A11083" s="8" t="s">
        <v>125</v>
      </c>
      <c r="B11083" s="8" t="s">
        <v>138</v>
      </c>
      <c r="C11083" s="8" t="str">
        <f>IFERROR(_xlfn.XLOOKUP(TRIM(B11083),Lookup!$B$2:$B$1000,Lookup!$C$2:$C$1000),"")</f>
        <v>Equity</v>
      </c>
      <c r="D11083" s="8" t="str">
        <f>IFERROR(INDEX('nav master'!$C:$C, MATCH(B11083, 'nav master'!$B:$B, 0)), "")</f>
        <v>ULIF06723/03/18EqtyAdvtFd101</v>
      </c>
      <c r="E11083" s="8" t="s">
        <v>656</v>
      </c>
      <c r="F11083" s="8" t="s">
        <v>4621</v>
      </c>
    </row>
    <row r="11084" spans="1:6" ht="60" x14ac:dyDescent="0.25">
      <c r="A11084" s="8" t="s">
        <v>125</v>
      </c>
      <c r="B11084" s="8" t="s">
        <v>138</v>
      </c>
      <c r="C11084" s="8" t="str">
        <f>IFERROR(_xlfn.XLOOKUP(TRIM(B11084),Lookup!$B$2:$B$1000,Lookup!$C$2:$C$1000),"")</f>
        <v>Equity</v>
      </c>
      <c r="D11084" s="8" t="str">
        <f>IFERROR(INDEX('nav master'!$C:$C, MATCH(B11084, 'nav master'!$B:$B, 0)), "")</f>
        <v>ULIF06723/03/18EqtyAdvtFd101</v>
      </c>
      <c r="E11084" s="8" t="s">
        <v>658</v>
      </c>
      <c r="F11084" s="8" t="s">
        <v>4622</v>
      </c>
    </row>
    <row r="11085" spans="1:6" ht="60" x14ac:dyDescent="0.25">
      <c r="A11085" s="8" t="s">
        <v>125</v>
      </c>
      <c r="B11085" s="8" t="s">
        <v>138</v>
      </c>
      <c r="C11085" s="8" t="str">
        <f>IFERROR(_xlfn.XLOOKUP(TRIM(B11085),Lookup!$B$2:$B$1000,Lookup!$C$2:$C$1000),"")</f>
        <v>Equity</v>
      </c>
      <c r="D11085" s="8" t="str">
        <f>IFERROR(INDEX('nav master'!$C:$C, MATCH(B11085, 'nav master'!$B:$B, 0)), "")</f>
        <v>ULIF06723/03/18EqtyAdvtFd101</v>
      </c>
      <c r="E11085" s="8" t="s">
        <v>660</v>
      </c>
      <c r="F11085" s="8" t="s">
        <v>4623</v>
      </c>
    </row>
    <row r="11086" spans="1:6" ht="60" x14ac:dyDescent="0.25">
      <c r="A11086" s="8" t="s">
        <v>125</v>
      </c>
      <c r="B11086" s="8" t="s">
        <v>138</v>
      </c>
      <c r="C11086" s="8" t="str">
        <f>IFERROR(_xlfn.XLOOKUP(TRIM(B11086),Lookup!$B$2:$B$1000,Lookup!$C$2:$C$1000),"")</f>
        <v>Equity</v>
      </c>
      <c r="D11086" s="8" t="str">
        <f>IFERROR(INDEX('nav master'!$C:$C, MATCH(B11086, 'nav master'!$B:$B, 0)), "")</f>
        <v>ULIF06723/03/18EqtyAdvtFd101</v>
      </c>
      <c r="E11086" s="8" t="s">
        <v>662</v>
      </c>
      <c r="F11086" s="8" t="s">
        <v>4624</v>
      </c>
    </row>
    <row r="11087" spans="1:6" ht="60" x14ac:dyDescent="0.25">
      <c r="A11087" s="8" t="s">
        <v>125</v>
      </c>
      <c r="B11087" s="8" t="s">
        <v>138</v>
      </c>
      <c r="C11087" s="8" t="str">
        <f>IFERROR(_xlfn.XLOOKUP(TRIM(B11087),Lookup!$B$2:$B$1000,Lookup!$C$2:$C$1000),"")</f>
        <v>Equity</v>
      </c>
      <c r="D11087" s="8" t="str">
        <f>IFERROR(INDEX('nav master'!$C:$C, MATCH(B11087, 'nav master'!$B:$B, 0)), "")</f>
        <v>ULIF06723/03/18EqtyAdvtFd101</v>
      </c>
      <c r="E11087" s="8" t="s">
        <v>664</v>
      </c>
      <c r="F11087" s="8" t="s">
        <v>4625</v>
      </c>
    </row>
    <row r="11088" spans="1:6" ht="60" x14ac:dyDescent="0.25">
      <c r="A11088" s="8" t="s">
        <v>125</v>
      </c>
      <c r="B11088" s="8" t="s">
        <v>138</v>
      </c>
      <c r="C11088" s="8" t="str">
        <f>IFERROR(_xlfn.XLOOKUP(TRIM(B11088),Lookup!$B$2:$B$1000,Lookup!$C$2:$C$1000),"")</f>
        <v>Equity</v>
      </c>
      <c r="D11088" s="8" t="str">
        <f>IFERROR(INDEX('nav master'!$C:$C, MATCH(B11088, 'nav master'!$B:$B, 0)), "")</f>
        <v>ULIF06723/03/18EqtyAdvtFd101</v>
      </c>
      <c r="E11088" s="8" t="s">
        <v>4892</v>
      </c>
      <c r="F11088" s="8" t="s">
        <v>5037</v>
      </c>
    </row>
    <row r="11089" spans="1:6" ht="60" x14ac:dyDescent="0.25">
      <c r="A11089" s="8" t="s">
        <v>125</v>
      </c>
      <c r="B11089" s="8" t="s">
        <v>138</v>
      </c>
      <c r="C11089" s="8" t="str">
        <f>IFERROR(_xlfn.XLOOKUP(TRIM(B11089),Lookup!$B$2:$B$1000,Lookup!$C$2:$C$1000),"")</f>
        <v>Equity</v>
      </c>
      <c r="D11089" s="8" t="str">
        <f>IFERROR(INDEX('nav master'!$C:$C, MATCH(B11089, 'nav master'!$B:$B, 0)), "")</f>
        <v>ULIF06723/03/18EqtyAdvtFd101</v>
      </c>
      <c r="E11089" s="8" t="s">
        <v>4894</v>
      </c>
      <c r="F11089" s="8" t="s">
        <v>5038</v>
      </c>
    </row>
    <row r="11090" spans="1:6" ht="60" x14ac:dyDescent="0.25">
      <c r="A11090" s="8" t="s">
        <v>125</v>
      </c>
      <c r="B11090" s="8" t="s">
        <v>138</v>
      </c>
      <c r="C11090" s="8" t="str">
        <f>IFERROR(_xlfn.XLOOKUP(TRIM(B11090),Lookup!$B$2:$B$1000,Lookup!$C$2:$C$1000),"")</f>
        <v>Equity</v>
      </c>
      <c r="D11090" s="8" t="str">
        <f>IFERROR(INDEX('nav master'!$C:$C, MATCH(B11090, 'nav master'!$B:$B, 0)), "")</f>
        <v>ULIF06723/03/18EqtyAdvtFd101</v>
      </c>
      <c r="E11090" s="8" t="s">
        <v>4896</v>
      </c>
      <c r="F11090" s="8" t="s">
        <v>5039</v>
      </c>
    </row>
    <row r="11091" spans="1:6" ht="60" x14ac:dyDescent="0.25">
      <c r="A11091" s="8" t="s">
        <v>125</v>
      </c>
      <c r="B11091" s="8" t="s">
        <v>138</v>
      </c>
      <c r="C11091" s="8" t="str">
        <f>IFERROR(_xlfn.XLOOKUP(TRIM(B11091),Lookup!$B$2:$B$1000,Lookup!$C$2:$C$1000),"")</f>
        <v>Equity</v>
      </c>
      <c r="D11091" s="8" t="str">
        <f>IFERROR(INDEX('nav master'!$C:$C, MATCH(B11091, 'nav master'!$B:$B, 0)), "")</f>
        <v>ULIF06723/03/18EqtyAdvtFd101</v>
      </c>
      <c r="E11091" s="8" t="s">
        <v>4898</v>
      </c>
      <c r="F11091" s="8" t="s">
        <v>5040</v>
      </c>
    </row>
    <row r="11092" spans="1:6" ht="60" x14ac:dyDescent="0.25">
      <c r="A11092" s="8" t="s">
        <v>125</v>
      </c>
      <c r="B11092" s="8" t="s">
        <v>138</v>
      </c>
      <c r="C11092" s="8" t="str">
        <f>IFERROR(_xlfn.XLOOKUP(TRIM(B11092),Lookup!$B$2:$B$1000,Lookup!$C$2:$C$1000),"")</f>
        <v>Equity</v>
      </c>
      <c r="D11092" s="8" t="str">
        <f>IFERROR(INDEX('nav master'!$C:$C, MATCH(B11092, 'nav master'!$B:$B, 0)), "")</f>
        <v>ULIF06723/03/18EqtyAdvtFd101</v>
      </c>
      <c r="E11092" s="8" t="s">
        <v>4900</v>
      </c>
      <c r="F11092" s="8" t="s">
        <v>5041</v>
      </c>
    </row>
    <row r="11093" spans="1:6" ht="60" x14ac:dyDescent="0.25">
      <c r="A11093" s="8" t="s">
        <v>125</v>
      </c>
      <c r="B11093" s="8" t="s">
        <v>138</v>
      </c>
      <c r="C11093" s="8" t="str">
        <f>IFERROR(_xlfn.XLOOKUP(TRIM(B11093),Lookup!$B$2:$B$1000,Lookup!$C$2:$C$1000),"")</f>
        <v>Equity</v>
      </c>
      <c r="D11093" s="8" t="str">
        <f>IFERROR(INDEX('nav master'!$C:$C, MATCH(B11093, 'nav master'!$B:$B, 0)), "")</f>
        <v>ULIF06723/03/18EqtyAdvtFd101</v>
      </c>
      <c r="E11093" s="8" t="s">
        <v>4902</v>
      </c>
      <c r="F11093" s="8" t="s">
        <v>5042</v>
      </c>
    </row>
    <row r="11094" spans="1:6" ht="60" x14ac:dyDescent="0.25">
      <c r="A11094" s="8" t="s">
        <v>125</v>
      </c>
      <c r="B11094" s="8" t="s">
        <v>138</v>
      </c>
      <c r="C11094" s="8" t="str">
        <f>IFERROR(_xlfn.XLOOKUP(TRIM(B11094),Lookup!$B$2:$B$1000,Lookup!$C$2:$C$1000),"")</f>
        <v>Equity</v>
      </c>
      <c r="D11094" s="8" t="str">
        <f>IFERROR(INDEX('nav master'!$C:$C, MATCH(B11094, 'nav master'!$B:$B, 0)), "")</f>
        <v>ULIF06723/03/18EqtyAdvtFd101</v>
      </c>
      <c r="E11094" s="8" t="s">
        <v>4903</v>
      </c>
      <c r="F11094" s="8" t="s">
        <v>5043</v>
      </c>
    </row>
    <row r="11095" spans="1:6" ht="60" x14ac:dyDescent="0.25">
      <c r="A11095" s="8" t="s">
        <v>125</v>
      </c>
      <c r="B11095" s="8" t="s">
        <v>138</v>
      </c>
      <c r="C11095" s="8" t="str">
        <f>IFERROR(_xlfn.XLOOKUP(TRIM(B11095),Lookup!$B$2:$B$1000,Lookup!$C$2:$C$1000),"")</f>
        <v>Equity</v>
      </c>
      <c r="D11095" s="8" t="str">
        <f>IFERROR(INDEX('nav master'!$C:$C, MATCH(B11095, 'nav master'!$B:$B, 0)), "")</f>
        <v>ULIF06723/03/18EqtyAdvtFd101</v>
      </c>
      <c r="E11095" s="8" t="s">
        <v>4905</v>
      </c>
      <c r="F11095" s="8" t="s">
        <v>5044</v>
      </c>
    </row>
    <row r="11096" spans="1:6" ht="60" x14ac:dyDescent="0.25">
      <c r="A11096" s="8" t="s">
        <v>125</v>
      </c>
      <c r="B11096" s="8" t="s">
        <v>4865</v>
      </c>
      <c r="C11096" s="8" t="str">
        <f>IFERROR(_xlfn.XLOOKUP(TRIM(B11096),Lookup!$B$2:$B$1000,Lookup!$C$2:$C$1000),"")</f>
        <v>Equity</v>
      </c>
      <c r="D11096" s="8" t="str">
        <f>IFERROR(INDEX('nav master'!$C:$C, MATCH(B11096, 'nav master'!$B:$B, 0)), "")</f>
        <v/>
      </c>
      <c r="E11096" s="8" t="s">
        <v>616</v>
      </c>
      <c r="F11096" s="8" t="s">
        <v>5052</v>
      </c>
    </row>
    <row r="11097" spans="1:6" ht="60" x14ac:dyDescent="0.25">
      <c r="A11097" s="8" t="s">
        <v>125</v>
      </c>
      <c r="B11097" s="8" t="s">
        <v>4865</v>
      </c>
      <c r="C11097" s="8" t="str">
        <f>IFERROR(_xlfn.XLOOKUP(TRIM(B11097),Lookup!$B$2:$B$1000,Lookup!$C$2:$C$1000),"")</f>
        <v>Equity</v>
      </c>
      <c r="D11097" s="8" t="str">
        <f>IFERROR(INDEX('nav master'!$C:$C, MATCH(B11097, 'nav master'!$B:$B, 0)), "")</f>
        <v/>
      </c>
      <c r="E11097" s="8" t="s">
        <v>618</v>
      </c>
      <c r="F11097" s="8" t="s">
        <v>5053</v>
      </c>
    </row>
    <row r="11098" spans="1:6" ht="60" x14ac:dyDescent="0.25">
      <c r="A11098" s="8" t="s">
        <v>125</v>
      </c>
      <c r="B11098" s="8" t="s">
        <v>4865</v>
      </c>
      <c r="C11098" s="8" t="str">
        <f>IFERROR(_xlfn.XLOOKUP(TRIM(B11098),Lookup!$B$2:$B$1000,Lookup!$C$2:$C$1000),"")</f>
        <v>Equity</v>
      </c>
      <c r="D11098" s="8" t="str">
        <f>IFERROR(INDEX('nav master'!$C:$C, MATCH(B11098, 'nav master'!$B:$B, 0)), "")</f>
        <v/>
      </c>
      <c r="E11098" s="8" t="s">
        <v>620</v>
      </c>
      <c r="F11098" s="8" t="s">
        <v>1624</v>
      </c>
    </row>
    <row r="11099" spans="1:6" ht="60" x14ac:dyDescent="0.25">
      <c r="A11099" s="8" t="s">
        <v>125</v>
      </c>
      <c r="B11099" s="8" t="s">
        <v>4865</v>
      </c>
      <c r="C11099" s="8" t="str">
        <f>IFERROR(_xlfn.XLOOKUP(TRIM(B11099),Lookup!$B$2:$B$1000,Lookup!$C$2:$C$1000),"")</f>
        <v>Equity</v>
      </c>
      <c r="D11099" s="8" t="str">
        <f>IFERROR(INDEX('nav master'!$C:$C, MATCH(B11099, 'nav master'!$B:$B, 0)), "")</f>
        <v/>
      </c>
      <c r="E11099" s="8" t="s">
        <v>622</v>
      </c>
      <c r="F11099" s="8" t="s">
        <v>5054</v>
      </c>
    </row>
    <row r="11100" spans="1:6" ht="60" x14ac:dyDescent="0.25">
      <c r="A11100" s="8" t="s">
        <v>125</v>
      </c>
      <c r="B11100" s="8" t="s">
        <v>4865</v>
      </c>
      <c r="C11100" s="8" t="str">
        <f>IFERROR(_xlfn.XLOOKUP(TRIM(B11100),Lookup!$B$2:$B$1000,Lookup!$C$2:$C$1000),"")</f>
        <v>Equity</v>
      </c>
      <c r="D11100" s="8" t="str">
        <f>IFERROR(INDEX('nav master'!$C:$C, MATCH(B11100, 'nav master'!$B:$B, 0)), "")</f>
        <v/>
      </c>
      <c r="E11100" s="8" t="s">
        <v>624</v>
      </c>
      <c r="F11100" s="8" t="s">
        <v>5052</v>
      </c>
    </row>
    <row r="11101" spans="1:6" ht="60" x14ac:dyDescent="0.25">
      <c r="A11101" s="8" t="s">
        <v>125</v>
      </c>
      <c r="B11101" s="8" t="s">
        <v>4865</v>
      </c>
      <c r="C11101" s="8" t="str">
        <f>IFERROR(_xlfn.XLOOKUP(TRIM(B11101),Lookup!$B$2:$B$1000,Lookup!$C$2:$C$1000),"")</f>
        <v>Equity</v>
      </c>
      <c r="D11101" s="8" t="str">
        <f>IFERROR(INDEX('nav master'!$C:$C, MATCH(B11101, 'nav master'!$B:$B, 0)), "")</f>
        <v/>
      </c>
      <c r="E11101" s="8" t="s">
        <v>626</v>
      </c>
      <c r="F11101" s="8" t="s">
        <v>5055</v>
      </c>
    </row>
    <row r="11102" spans="1:6" ht="60" x14ac:dyDescent="0.25">
      <c r="A11102" s="8" t="s">
        <v>125</v>
      </c>
      <c r="B11102" s="8" t="s">
        <v>4865</v>
      </c>
      <c r="C11102" s="8" t="str">
        <f>IFERROR(_xlfn.XLOOKUP(TRIM(B11102),Lookup!$B$2:$B$1000,Lookup!$C$2:$C$1000),"")</f>
        <v>Equity</v>
      </c>
      <c r="D11102" s="8" t="str">
        <f>IFERROR(INDEX('nav master'!$C:$C, MATCH(B11102, 'nav master'!$B:$B, 0)), "")</f>
        <v/>
      </c>
      <c r="E11102" s="8" t="s">
        <v>628</v>
      </c>
      <c r="F11102" s="8" t="s">
        <v>3019</v>
      </c>
    </row>
    <row r="11103" spans="1:6" ht="60" x14ac:dyDescent="0.25">
      <c r="A11103" s="8" t="s">
        <v>125</v>
      </c>
      <c r="B11103" s="8" t="s">
        <v>4865</v>
      </c>
      <c r="C11103" s="8" t="str">
        <f>IFERROR(_xlfn.XLOOKUP(TRIM(B11103),Lookup!$B$2:$B$1000,Lookup!$C$2:$C$1000),"")</f>
        <v>Equity</v>
      </c>
      <c r="D11103" s="8" t="str">
        <f>IFERROR(INDEX('nav master'!$C:$C, MATCH(B11103, 'nav master'!$B:$B, 0)), "")</f>
        <v/>
      </c>
      <c r="E11103" s="8" t="s">
        <v>630</v>
      </c>
      <c r="F11103" s="8" t="s">
        <v>3008</v>
      </c>
    </row>
    <row r="11104" spans="1:6" ht="60" x14ac:dyDescent="0.25">
      <c r="A11104" s="8" t="s">
        <v>125</v>
      </c>
      <c r="B11104" s="8" t="s">
        <v>4865</v>
      </c>
      <c r="C11104" s="8" t="str">
        <f>IFERROR(_xlfn.XLOOKUP(TRIM(B11104),Lookup!$B$2:$B$1000,Lookup!$C$2:$C$1000),"")</f>
        <v>Equity</v>
      </c>
      <c r="D11104" s="8" t="str">
        <f>IFERROR(INDEX('nav master'!$C:$C, MATCH(B11104, 'nav master'!$B:$B, 0)), "")</f>
        <v/>
      </c>
      <c r="E11104" s="8" t="s">
        <v>632</v>
      </c>
      <c r="F11104" s="8" t="s">
        <v>5056</v>
      </c>
    </row>
    <row r="11105" spans="1:6" ht="60" x14ac:dyDescent="0.25">
      <c r="A11105" s="8" t="s">
        <v>125</v>
      </c>
      <c r="B11105" s="8" t="s">
        <v>4865</v>
      </c>
      <c r="C11105" s="8" t="str">
        <f>IFERROR(_xlfn.XLOOKUP(TRIM(B11105),Lookup!$B$2:$B$1000,Lookup!$C$2:$C$1000),"")</f>
        <v>Equity</v>
      </c>
      <c r="D11105" s="8" t="str">
        <f>IFERROR(INDEX('nav master'!$C:$C, MATCH(B11105, 'nav master'!$B:$B, 0)), "")</f>
        <v/>
      </c>
      <c r="E11105" s="8" t="s">
        <v>634</v>
      </c>
      <c r="F11105" s="8" t="s">
        <v>5057</v>
      </c>
    </row>
    <row r="11106" spans="1:6" ht="60" x14ac:dyDescent="0.25">
      <c r="A11106" s="8" t="s">
        <v>125</v>
      </c>
      <c r="B11106" s="8" t="s">
        <v>4865</v>
      </c>
      <c r="C11106" s="8" t="str">
        <f>IFERROR(_xlfn.XLOOKUP(TRIM(B11106),Lookup!$B$2:$B$1000,Lookup!$C$2:$C$1000),"")</f>
        <v>Equity</v>
      </c>
      <c r="D11106" s="8" t="str">
        <f>IFERROR(INDEX('nav master'!$C:$C, MATCH(B11106, 'nav master'!$B:$B, 0)), "")</f>
        <v/>
      </c>
      <c r="E11106" s="8" t="s">
        <v>636</v>
      </c>
      <c r="F11106" s="8" t="s">
        <v>5058</v>
      </c>
    </row>
    <row r="11107" spans="1:6" ht="60" x14ac:dyDescent="0.25">
      <c r="A11107" s="8" t="s">
        <v>125</v>
      </c>
      <c r="B11107" s="8" t="s">
        <v>4865</v>
      </c>
      <c r="C11107" s="8" t="str">
        <f>IFERROR(_xlfn.XLOOKUP(TRIM(B11107),Lookup!$B$2:$B$1000,Lookup!$C$2:$C$1000),"")</f>
        <v>Equity</v>
      </c>
      <c r="D11107" s="8" t="str">
        <f>IFERROR(INDEX('nav master'!$C:$C, MATCH(B11107, 'nav master'!$B:$B, 0)), "")</f>
        <v/>
      </c>
      <c r="E11107" s="8" t="s">
        <v>638</v>
      </c>
      <c r="F11107" s="8" t="s">
        <v>5059</v>
      </c>
    </row>
    <row r="11108" spans="1:6" ht="60" x14ac:dyDescent="0.25">
      <c r="A11108" s="8" t="s">
        <v>125</v>
      </c>
      <c r="B11108" s="8" t="s">
        <v>4865</v>
      </c>
      <c r="C11108" s="8" t="str">
        <f>IFERROR(_xlfn.XLOOKUP(TRIM(B11108),Lookup!$B$2:$B$1000,Lookup!$C$2:$C$1000),"")</f>
        <v>Equity</v>
      </c>
      <c r="D11108" s="8" t="str">
        <f>IFERROR(INDEX('nav master'!$C:$C, MATCH(B11108, 'nav master'!$B:$B, 0)), "")</f>
        <v/>
      </c>
      <c r="E11108" s="8" t="s">
        <v>640</v>
      </c>
      <c r="F11108" s="8" t="s">
        <v>5060</v>
      </c>
    </row>
    <row r="11109" spans="1:6" ht="60" x14ac:dyDescent="0.25">
      <c r="A11109" s="8" t="s">
        <v>125</v>
      </c>
      <c r="B11109" s="8" t="s">
        <v>4865</v>
      </c>
      <c r="C11109" s="8" t="str">
        <f>IFERROR(_xlfn.XLOOKUP(TRIM(B11109),Lookup!$B$2:$B$1000,Lookup!$C$2:$C$1000),"")</f>
        <v>Equity</v>
      </c>
      <c r="D11109" s="8" t="str">
        <f>IFERROR(INDEX('nav master'!$C:$C, MATCH(B11109, 'nav master'!$B:$B, 0)), "")</f>
        <v/>
      </c>
      <c r="E11109" s="8" t="s">
        <v>642</v>
      </c>
      <c r="F11109" s="8" t="s">
        <v>5061</v>
      </c>
    </row>
    <row r="11110" spans="1:6" ht="60" x14ac:dyDescent="0.25">
      <c r="A11110" s="8" t="s">
        <v>125</v>
      </c>
      <c r="B11110" s="8" t="s">
        <v>4865</v>
      </c>
      <c r="C11110" s="8" t="str">
        <f>IFERROR(_xlfn.XLOOKUP(TRIM(B11110),Lookup!$B$2:$B$1000,Lookup!$C$2:$C$1000),"")</f>
        <v>Equity</v>
      </c>
      <c r="D11110" s="8" t="str">
        <f>IFERROR(INDEX('nav master'!$C:$C, MATCH(B11110, 'nav master'!$B:$B, 0)), "")</f>
        <v/>
      </c>
      <c r="E11110" s="8" t="s">
        <v>644</v>
      </c>
      <c r="F11110" s="8" t="s">
        <v>5062</v>
      </c>
    </row>
    <row r="11111" spans="1:6" ht="60" x14ac:dyDescent="0.25">
      <c r="A11111" s="8" t="s">
        <v>125</v>
      </c>
      <c r="B11111" s="8" t="s">
        <v>4865</v>
      </c>
      <c r="C11111" s="8" t="str">
        <f>IFERROR(_xlfn.XLOOKUP(TRIM(B11111),Lookup!$B$2:$B$1000,Lookup!$C$2:$C$1000),"")</f>
        <v>Equity</v>
      </c>
      <c r="D11111" s="8" t="str">
        <f>IFERROR(INDEX('nav master'!$C:$C, MATCH(B11111, 'nav master'!$B:$B, 0)), "")</f>
        <v/>
      </c>
      <c r="E11111" s="8" t="s">
        <v>646</v>
      </c>
      <c r="F11111" s="8" t="s">
        <v>5063</v>
      </c>
    </row>
    <row r="11112" spans="1:6" ht="60" x14ac:dyDescent="0.25">
      <c r="A11112" s="8" t="s">
        <v>125</v>
      </c>
      <c r="B11112" s="8" t="s">
        <v>4865</v>
      </c>
      <c r="C11112" s="8" t="str">
        <f>IFERROR(_xlfn.XLOOKUP(TRIM(B11112),Lookup!$B$2:$B$1000,Lookup!$C$2:$C$1000),"")</f>
        <v>Equity</v>
      </c>
      <c r="D11112" s="8" t="str">
        <f>IFERROR(INDEX('nav master'!$C:$C, MATCH(B11112, 'nav master'!$B:$B, 0)), "")</f>
        <v/>
      </c>
      <c r="E11112" s="8" t="s">
        <v>648</v>
      </c>
      <c r="F11112" s="8" t="s">
        <v>5064</v>
      </c>
    </row>
    <row r="11113" spans="1:6" ht="60" x14ac:dyDescent="0.25">
      <c r="A11113" s="8" t="s">
        <v>125</v>
      </c>
      <c r="B11113" s="8" t="s">
        <v>4865</v>
      </c>
      <c r="C11113" s="8" t="str">
        <f>IFERROR(_xlfn.XLOOKUP(TRIM(B11113),Lookup!$B$2:$B$1000,Lookup!$C$2:$C$1000),"")</f>
        <v>Equity</v>
      </c>
      <c r="D11113" s="8" t="str">
        <f>IFERROR(INDEX('nav master'!$C:$C, MATCH(B11113, 'nav master'!$B:$B, 0)), "")</f>
        <v/>
      </c>
      <c r="E11113" s="8" t="s">
        <v>650</v>
      </c>
      <c r="F11113" s="8" t="s">
        <v>5065</v>
      </c>
    </row>
    <row r="11114" spans="1:6" ht="60" x14ac:dyDescent="0.25">
      <c r="A11114" s="8" t="s">
        <v>125</v>
      </c>
      <c r="B11114" s="8" t="s">
        <v>4865</v>
      </c>
      <c r="C11114" s="8" t="str">
        <f>IFERROR(_xlfn.XLOOKUP(TRIM(B11114),Lookup!$B$2:$B$1000,Lookup!$C$2:$C$1000),"")</f>
        <v>Equity</v>
      </c>
      <c r="D11114" s="8" t="str">
        <f>IFERROR(INDEX('nav master'!$C:$C, MATCH(B11114, 'nav master'!$B:$B, 0)), "")</f>
        <v/>
      </c>
      <c r="E11114" s="8" t="s">
        <v>652</v>
      </c>
      <c r="F11114" s="8" t="s">
        <v>5066</v>
      </c>
    </row>
    <row r="11115" spans="1:6" ht="60" x14ac:dyDescent="0.25">
      <c r="A11115" s="8" t="s">
        <v>125</v>
      </c>
      <c r="B11115" s="8" t="s">
        <v>4865</v>
      </c>
      <c r="C11115" s="8" t="str">
        <f>IFERROR(_xlfn.XLOOKUP(TRIM(B11115),Lookup!$B$2:$B$1000,Lookup!$C$2:$C$1000),"")</f>
        <v>Equity</v>
      </c>
      <c r="D11115" s="8" t="str">
        <f>IFERROR(INDEX('nav master'!$C:$C, MATCH(B11115, 'nav master'!$B:$B, 0)), "")</f>
        <v/>
      </c>
      <c r="E11115" s="8" t="s">
        <v>654</v>
      </c>
      <c r="F11115" s="8" t="s">
        <v>3044</v>
      </c>
    </row>
    <row r="11116" spans="1:6" ht="60" x14ac:dyDescent="0.25">
      <c r="A11116" s="8" t="s">
        <v>125</v>
      </c>
      <c r="B11116" s="8" t="s">
        <v>4865</v>
      </c>
      <c r="C11116" s="8" t="str">
        <f>IFERROR(_xlfn.XLOOKUP(TRIM(B11116),Lookup!$B$2:$B$1000,Lookup!$C$2:$C$1000),"")</f>
        <v>Equity</v>
      </c>
      <c r="D11116" s="8" t="str">
        <f>IFERROR(INDEX('nav master'!$C:$C, MATCH(B11116, 'nav master'!$B:$B, 0)), "")</f>
        <v/>
      </c>
      <c r="E11116" s="8" t="s">
        <v>656</v>
      </c>
      <c r="F11116" s="8" t="s">
        <v>5067</v>
      </c>
    </row>
    <row r="11117" spans="1:6" ht="60" x14ac:dyDescent="0.25">
      <c r="A11117" s="8" t="s">
        <v>125</v>
      </c>
      <c r="B11117" s="8" t="s">
        <v>4865</v>
      </c>
      <c r="C11117" s="8" t="str">
        <f>IFERROR(_xlfn.XLOOKUP(TRIM(B11117),Lookup!$B$2:$B$1000,Lookup!$C$2:$C$1000),"")</f>
        <v>Equity</v>
      </c>
      <c r="D11117" s="8" t="str">
        <f>IFERROR(INDEX('nav master'!$C:$C, MATCH(B11117, 'nav master'!$B:$B, 0)), "")</f>
        <v/>
      </c>
      <c r="E11117" s="8" t="s">
        <v>658</v>
      </c>
      <c r="F11117" s="8" t="s">
        <v>5068</v>
      </c>
    </row>
    <row r="11118" spans="1:6" ht="60" x14ac:dyDescent="0.25">
      <c r="A11118" s="8" t="s">
        <v>125</v>
      </c>
      <c r="B11118" s="8" t="s">
        <v>4865</v>
      </c>
      <c r="C11118" s="8" t="str">
        <f>IFERROR(_xlfn.XLOOKUP(TRIM(B11118),Lookup!$B$2:$B$1000,Lookup!$C$2:$C$1000),"")</f>
        <v>Equity</v>
      </c>
      <c r="D11118" s="8" t="str">
        <f>IFERROR(INDEX('nav master'!$C:$C, MATCH(B11118, 'nav master'!$B:$B, 0)), "")</f>
        <v/>
      </c>
      <c r="E11118" s="8" t="s">
        <v>660</v>
      </c>
      <c r="F11118" s="8" t="s">
        <v>5069</v>
      </c>
    </row>
    <row r="11119" spans="1:6" ht="60" x14ac:dyDescent="0.25">
      <c r="A11119" s="8" t="s">
        <v>125</v>
      </c>
      <c r="B11119" s="8" t="s">
        <v>4865</v>
      </c>
      <c r="C11119" s="8" t="str">
        <f>IFERROR(_xlfn.XLOOKUP(TRIM(B11119),Lookup!$B$2:$B$1000,Lookup!$C$2:$C$1000),"")</f>
        <v>Equity</v>
      </c>
      <c r="D11119" s="8" t="str">
        <f>IFERROR(INDEX('nav master'!$C:$C, MATCH(B11119, 'nav master'!$B:$B, 0)), "")</f>
        <v/>
      </c>
      <c r="E11119" s="8" t="s">
        <v>662</v>
      </c>
      <c r="F11119" s="8" t="s">
        <v>5070</v>
      </c>
    </row>
    <row r="11120" spans="1:6" ht="60" x14ac:dyDescent="0.25">
      <c r="A11120" s="8" t="s">
        <v>125</v>
      </c>
      <c r="B11120" s="8" t="s">
        <v>4865</v>
      </c>
      <c r="C11120" s="8" t="str">
        <f>IFERROR(_xlfn.XLOOKUP(TRIM(B11120),Lookup!$B$2:$B$1000,Lookup!$C$2:$C$1000),"")</f>
        <v>Equity</v>
      </c>
      <c r="D11120" s="8" t="str">
        <f>IFERROR(INDEX('nav master'!$C:$C, MATCH(B11120, 'nav master'!$B:$B, 0)), "")</f>
        <v/>
      </c>
      <c r="E11120" s="8" t="s">
        <v>664</v>
      </c>
      <c r="F11120" s="8" t="s">
        <v>5071</v>
      </c>
    </row>
    <row r="11121" spans="1:6" ht="60" x14ac:dyDescent="0.25">
      <c r="A11121" s="8" t="s">
        <v>125</v>
      </c>
      <c r="B11121" s="8" t="s">
        <v>4865</v>
      </c>
      <c r="C11121" s="8" t="str">
        <f>IFERROR(_xlfn.XLOOKUP(TRIM(B11121),Lookup!$B$2:$B$1000,Lookup!$C$2:$C$1000),"")</f>
        <v>Equity</v>
      </c>
      <c r="D11121" s="8" t="str">
        <f>IFERROR(INDEX('nav master'!$C:$C, MATCH(B11121, 'nav master'!$B:$B, 0)), "")</f>
        <v/>
      </c>
      <c r="E11121" s="8" t="s">
        <v>4892</v>
      </c>
      <c r="F11121" s="8" t="s">
        <v>5072</v>
      </c>
    </row>
    <row r="11122" spans="1:6" ht="60" x14ac:dyDescent="0.25">
      <c r="A11122" s="8" t="s">
        <v>125</v>
      </c>
      <c r="B11122" s="8" t="s">
        <v>4865</v>
      </c>
      <c r="C11122" s="8" t="str">
        <f>IFERROR(_xlfn.XLOOKUP(TRIM(B11122),Lookup!$B$2:$B$1000,Lookup!$C$2:$C$1000),"")</f>
        <v>Equity</v>
      </c>
      <c r="D11122" s="8" t="str">
        <f>IFERROR(INDEX('nav master'!$C:$C, MATCH(B11122, 'nav master'!$B:$B, 0)), "")</f>
        <v/>
      </c>
      <c r="E11122" s="8" t="s">
        <v>4894</v>
      </c>
      <c r="F11122" s="8" t="s">
        <v>5073</v>
      </c>
    </row>
    <row r="11123" spans="1:6" ht="60" x14ac:dyDescent="0.25">
      <c r="A11123" s="8" t="s">
        <v>125</v>
      </c>
      <c r="B11123" s="8" t="s">
        <v>4865</v>
      </c>
      <c r="C11123" s="8" t="str">
        <f>IFERROR(_xlfn.XLOOKUP(TRIM(B11123),Lookup!$B$2:$B$1000,Lookup!$C$2:$C$1000),"")</f>
        <v>Equity</v>
      </c>
      <c r="D11123" s="8" t="str">
        <f>IFERROR(INDEX('nav master'!$C:$C, MATCH(B11123, 'nav master'!$B:$B, 0)), "")</f>
        <v/>
      </c>
      <c r="E11123" s="8" t="s">
        <v>4896</v>
      </c>
      <c r="F11123" s="8" t="s">
        <v>5074</v>
      </c>
    </row>
    <row r="11124" spans="1:6" ht="60" x14ac:dyDescent="0.25">
      <c r="A11124" s="8" t="s">
        <v>125</v>
      </c>
      <c r="B11124" s="8" t="s">
        <v>4865</v>
      </c>
      <c r="C11124" s="8" t="str">
        <f>IFERROR(_xlfn.XLOOKUP(TRIM(B11124),Lookup!$B$2:$B$1000,Lookup!$C$2:$C$1000),"")</f>
        <v>Equity</v>
      </c>
      <c r="D11124" s="8" t="str">
        <f>IFERROR(INDEX('nav master'!$C:$C, MATCH(B11124, 'nav master'!$B:$B, 0)), "")</f>
        <v/>
      </c>
      <c r="E11124" s="8" t="s">
        <v>4898</v>
      </c>
      <c r="F11124" s="8" t="s">
        <v>5075</v>
      </c>
    </row>
    <row r="11125" spans="1:6" ht="60" x14ac:dyDescent="0.25">
      <c r="A11125" s="8" t="s">
        <v>125</v>
      </c>
      <c r="B11125" s="8" t="s">
        <v>4865</v>
      </c>
      <c r="C11125" s="8" t="str">
        <f>IFERROR(_xlfn.XLOOKUP(TRIM(B11125),Lookup!$B$2:$B$1000,Lookup!$C$2:$C$1000),"")</f>
        <v>Equity</v>
      </c>
      <c r="D11125" s="8" t="str">
        <f>IFERROR(INDEX('nav master'!$C:$C, MATCH(B11125, 'nav master'!$B:$B, 0)), "")</f>
        <v/>
      </c>
      <c r="E11125" s="8" t="s">
        <v>4900</v>
      </c>
      <c r="F11125" s="8" t="s">
        <v>5076</v>
      </c>
    </row>
    <row r="11126" spans="1:6" ht="60" x14ac:dyDescent="0.25">
      <c r="A11126" s="8" t="s">
        <v>125</v>
      </c>
      <c r="B11126" s="8" t="s">
        <v>4865</v>
      </c>
      <c r="C11126" s="8" t="str">
        <f>IFERROR(_xlfn.XLOOKUP(TRIM(B11126),Lookup!$B$2:$B$1000,Lookup!$C$2:$C$1000),"")</f>
        <v>Equity</v>
      </c>
      <c r="D11126" s="8" t="str">
        <f>IFERROR(INDEX('nav master'!$C:$C, MATCH(B11126, 'nav master'!$B:$B, 0)), "")</f>
        <v/>
      </c>
      <c r="E11126" s="8" t="s">
        <v>4902</v>
      </c>
      <c r="F11126" s="8" t="s">
        <v>5077</v>
      </c>
    </row>
    <row r="11127" spans="1:6" ht="60" x14ac:dyDescent="0.25">
      <c r="A11127" s="8" t="s">
        <v>125</v>
      </c>
      <c r="B11127" s="8" t="s">
        <v>4865</v>
      </c>
      <c r="C11127" s="8" t="str">
        <f>IFERROR(_xlfn.XLOOKUP(TRIM(B11127),Lookup!$B$2:$B$1000,Lookup!$C$2:$C$1000),"")</f>
        <v>Equity</v>
      </c>
      <c r="D11127" s="8" t="str">
        <f>IFERROR(INDEX('nav master'!$C:$C, MATCH(B11127, 'nav master'!$B:$B, 0)), "")</f>
        <v/>
      </c>
      <c r="E11127" s="8" t="s">
        <v>4903</v>
      </c>
      <c r="F11127" s="8" t="s">
        <v>5078</v>
      </c>
    </row>
    <row r="11128" spans="1:6" ht="60" x14ac:dyDescent="0.25">
      <c r="A11128" s="8" t="s">
        <v>125</v>
      </c>
      <c r="B11128" s="8" t="s">
        <v>4865</v>
      </c>
      <c r="C11128" s="8" t="str">
        <f>IFERROR(_xlfn.XLOOKUP(TRIM(B11128),Lookup!$B$2:$B$1000,Lookup!$C$2:$C$1000),"")</f>
        <v>Equity</v>
      </c>
      <c r="D11128" s="8" t="str">
        <f>IFERROR(INDEX('nav master'!$C:$C, MATCH(B11128, 'nav master'!$B:$B, 0)), "")</f>
        <v/>
      </c>
      <c r="E11128" s="8" t="s">
        <v>4905</v>
      </c>
      <c r="F11128" s="8" t="s">
        <v>5079</v>
      </c>
    </row>
  </sheetData>
  <autoFilter ref="A1:AB6416" xr:uid="{00000000-0009-0000-0000-000003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66FC1-0C96-4D5F-B58A-936B397134EC}">
  <dimension ref="A1:C92"/>
  <sheetViews>
    <sheetView topLeftCell="A7" workbookViewId="0">
      <selection activeCell="B9" sqref="B9"/>
    </sheetView>
  </sheetViews>
  <sheetFormatPr defaultRowHeight="15" x14ac:dyDescent="0.25"/>
  <cols>
    <col min="2" max="2" width="18.140625" customWidth="1"/>
  </cols>
  <sheetData>
    <row r="1" spans="1:3" x14ac:dyDescent="0.25">
      <c r="A1" s="6" t="s">
        <v>4844</v>
      </c>
      <c r="B1" s="6" t="s">
        <v>4845</v>
      </c>
      <c r="C1" s="6" t="s">
        <v>4846</v>
      </c>
    </row>
    <row r="2" spans="1:3" ht="45" x14ac:dyDescent="0.25">
      <c r="A2" s="7" t="s">
        <v>5</v>
      </c>
      <c r="B2" s="7" t="s">
        <v>4847</v>
      </c>
      <c r="C2" s="7" t="s">
        <v>4848</v>
      </c>
    </row>
    <row r="3" spans="1:3" ht="45" x14ac:dyDescent="0.25">
      <c r="A3" s="7" t="s">
        <v>5</v>
      </c>
      <c r="B3" s="7" t="s">
        <v>8</v>
      </c>
      <c r="C3" s="7" t="s">
        <v>4848</v>
      </c>
    </row>
    <row r="4" spans="1:3" ht="45" x14ac:dyDescent="0.25">
      <c r="A4" s="7" t="s">
        <v>5</v>
      </c>
      <c r="B4" s="7" t="s">
        <v>10</v>
      </c>
      <c r="C4" s="7" t="s">
        <v>4848</v>
      </c>
    </row>
    <row r="5" spans="1:3" ht="45" x14ac:dyDescent="0.25">
      <c r="A5" s="7" t="s">
        <v>5</v>
      </c>
      <c r="B5" s="7" t="s">
        <v>12</v>
      </c>
      <c r="C5" s="7" t="s">
        <v>4848</v>
      </c>
    </row>
    <row r="6" spans="1:3" ht="45" x14ac:dyDescent="0.25">
      <c r="A6" s="7" t="s">
        <v>5</v>
      </c>
      <c r="B6" s="7" t="s">
        <v>6</v>
      </c>
      <c r="C6" s="7" t="s">
        <v>4848</v>
      </c>
    </row>
    <row r="7" spans="1:3" ht="45" x14ac:dyDescent="0.25">
      <c r="A7" s="7" t="s">
        <v>5</v>
      </c>
      <c r="B7" s="7" t="s">
        <v>14</v>
      </c>
      <c r="C7" s="7" t="s">
        <v>4848</v>
      </c>
    </row>
    <row r="8" spans="1:3" ht="45" x14ac:dyDescent="0.25">
      <c r="A8" s="7" t="s">
        <v>5</v>
      </c>
      <c r="B8" s="7" t="s">
        <v>16</v>
      </c>
      <c r="C8" s="7" t="s">
        <v>4848</v>
      </c>
    </row>
    <row r="9" spans="1:3" ht="45" x14ac:dyDescent="0.25">
      <c r="A9" s="7" t="s">
        <v>5</v>
      </c>
      <c r="B9" s="7" t="s">
        <v>18</v>
      </c>
      <c r="C9" s="7" t="s">
        <v>4848</v>
      </c>
    </row>
    <row r="10" spans="1:3" ht="45" x14ac:dyDescent="0.25">
      <c r="A10" s="7" t="s">
        <v>5</v>
      </c>
      <c r="B10" s="7" t="s">
        <v>20</v>
      </c>
      <c r="C10" s="7" t="s">
        <v>4848</v>
      </c>
    </row>
    <row r="11" spans="1:3" ht="45" x14ac:dyDescent="0.25">
      <c r="A11" s="7" t="s">
        <v>5</v>
      </c>
      <c r="B11" s="7" t="s">
        <v>22</v>
      </c>
      <c r="C11" s="7" t="s">
        <v>4848</v>
      </c>
    </row>
    <row r="12" spans="1:3" ht="45" x14ac:dyDescent="0.25">
      <c r="A12" s="7" t="s">
        <v>5</v>
      </c>
      <c r="B12" s="7" t="s">
        <v>24</v>
      </c>
      <c r="C12" s="7" t="s">
        <v>4848</v>
      </c>
    </row>
    <row r="13" spans="1:3" ht="60" x14ac:dyDescent="0.25">
      <c r="A13" s="7" t="s">
        <v>5</v>
      </c>
      <c r="B13" s="7" t="s">
        <v>32</v>
      </c>
      <c r="C13" s="7" t="s">
        <v>4848</v>
      </c>
    </row>
    <row r="14" spans="1:3" ht="45" x14ac:dyDescent="0.25">
      <c r="A14" s="7" t="s">
        <v>5</v>
      </c>
      <c r="B14" s="7" t="s">
        <v>26</v>
      </c>
      <c r="C14" s="7" t="s">
        <v>4848</v>
      </c>
    </row>
    <row r="15" spans="1:3" ht="45" x14ac:dyDescent="0.25">
      <c r="A15" s="7" t="s">
        <v>5</v>
      </c>
      <c r="B15" s="7" t="s">
        <v>28</v>
      </c>
      <c r="C15" s="7" t="s">
        <v>4848</v>
      </c>
    </row>
    <row r="16" spans="1:3" ht="45" x14ac:dyDescent="0.25">
      <c r="A16" s="7" t="s">
        <v>5</v>
      </c>
      <c r="B16" s="7" t="s">
        <v>30</v>
      </c>
      <c r="C16" s="7" t="s">
        <v>4848</v>
      </c>
    </row>
    <row r="17" spans="1:3" ht="45" x14ac:dyDescent="0.25">
      <c r="A17" s="7" t="s">
        <v>5</v>
      </c>
      <c r="B17" s="7" t="s">
        <v>34</v>
      </c>
      <c r="C17" s="7" t="s">
        <v>4848</v>
      </c>
    </row>
    <row r="18" spans="1:3" ht="45" x14ac:dyDescent="0.25">
      <c r="A18" s="7" t="s">
        <v>5</v>
      </c>
      <c r="B18" s="7" t="s">
        <v>36</v>
      </c>
      <c r="C18" s="7" t="s">
        <v>4848</v>
      </c>
    </row>
    <row r="19" spans="1:3" ht="45" x14ac:dyDescent="0.25">
      <c r="A19" s="7" t="s">
        <v>5</v>
      </c>
      <c r="B19" s="7" t="s">
        <v>38</v>
      </c>
      <c r="C19" s="7" t="s">
        <v>4848</v>
      </c>
    </row>
    <row r="20" spans="1:3" ht="45" x14ac:dyDescent="0.25">
      <c r="A20" s="7" t="s">
        <v>5</v>
      </c>
      <c r="B20" s="7" t="s">
        <v>40</v>
      </c>
      <c r="C20" s="7" t="s">
        <v>4848</v>
      </c>
    </row>
    <row r="21" spans="1:3" ht="45" x14ac:dyDescent="0.25">
      <c r="A21" s="7" t="s">
        <v>5</v>
      </c>
      <c r="B21" s="7" t="s">
        <v>52</v>
      </c>
      <c r="C21" s="7" t="s">
        <v>4848</v>
      </c>
    </row>
    <row r="22" spans="1:3" ht="45" x14ac:dyDescent="0.25">
      <c r="A22" s="7" t="s">
        <v>5</v>
      </c>
      <c r="B22" s="7" t="s">
        <v>54</v>
      </c>
      <c r="C22" s="7" t="s">
        <v>4848</v>
      </c>
    </row>
    <row r="23" spans="1:3" ht="60" x14ac:dyDescent="0.25">
      <c r="A23" s="7" t="s">
        <v>5</v>
      </c>
      <c r="B23" s="7" t="s">
        <v>56</v>
      </c>
      <c r="C23" s="7" t="s">
        <v>4848</v>
      </c>
    </row>
    <row r="24" spans="1:3" ht="45" x14ac:dyDescent="0.25">
      <c r="A24" s="7" t="s">
        <v>5</v>
      </c>
      <c r="B24" s="7" t="s">
        <v>58</v>
      </c>
      <c r="C24" s="7" t="s">
        <v>4848</v>
      </c>
    </row>
    <row r="25" spans="1:3" ht="45" x14ac:dyDescent="0.25">
      <c r="A25" s="7" t="s">
        <v>5</v>
      </c>
      <c r="B25" s="7" t="s">
        <v>60</v>
      </c>
      <c r="C25" s="7" t="s">
        <v>4848</v>
      </c>
    </row>
    <row r="26" spans="1:3" ht="45" x14ac:dyDescent="0.25">
      <c r="A26" s="7" t="s">
        <v>5</v>
      </c>
      <c r="B26" s="7" t="s">
        <v>48</v>
      </c>
      <c r="C26" s="7" t="s">
        <v>4848</v>
      </c>
    </row>
    <row r="27" spans="1:3" ht="45" x14ac:dyDescent="0.25">
      <c r="A27" s="7" t="s">
        <v>5</v>
      </c>
      <c r="B27" s="7" t="s">
        <v>50</v>
      </c>
      <c r="C27" s="7" t="s">
        <v>4848</v>
      </c>
    </row>
    <row r="28" spans="1:3" ht="45" x14ac:dyDescent="0.25">
      <c r="A28" s="7" t="s">
        <v>5</v>
      </c>
      <c r="B28" s="7" t="s">
        <v>42</v>
      </c>
      <c r="C28" s="7" t="s">
        <v>4848</v>
      </c>
    </row>
    <row r="29" spans="1:3" ht="45" x14ac:dyDescent="0.25">
      <c r="A29" s="7" t="s">
        <v>5</v>
      </c>
      <c r="B29" s="7" t="s">
        <v>46</v>
      </c>
      <c r="C29" s="7" t="s">
        <v>4848</v>
      </c>
    </row>
    <row r="30" spans="1:3" ht="45" x14ac:dyDescent="0.25">
      <c r="A30" s="7" t="s">
        <v>5</v>
      </c>
      <c r="B30" s="7" t="s">
        <v>44</v>
      </c>
      <c r="C30" s="7" t="s">
        <v>4848</v>
      </c>
    </row>
    <row r="31" spans="1:3" ht="45" x14ac:dyDescent="0.25">
      <c r="A31" s="7" t="s">
        <v>5</v>
      </c>
      <c r="B31" s="7" t="s">
        <v>4849</v>
      </c>
      <c r="C31" s="7" t="s">
        <v>4850</v>
      </c>
    </row>
    <row r="32" spans="1:3" ht="45" x14ac:dyDescent="0.25">
      <c r="A32" s="7" t="s">
        <v>5</v>
      </c>
      <c r="B32" s="7" t="s">
        <v>4851</v>
      </c>
      <c r="C32" s="7" t="s">
        <v>4850</v>
      </c>
    </row>
    <row r="33" spans="1:3" ht="45" x14ac:dyDescent="0.25">
      <c r="A33" s="7" t="s">
        <v>5</v>
      </c>
      <c r="B33" s="7" t="s">
        <v>4852</v>
      </c>
      <c r="C33" s="7" t="s">
        <v>4850</v>
      </c>
    </row>
    <row r="34" spans="1:3" ht="45" x14ac:dyDescent="0.25">
      <c r="A34" s="7" t="s">
        <v>5</v>
      </c>
      <c r="B34" s="7" t="s">
        <v>4853</v>
      </c>
      <c r="C34" s="7" t="s">
        <v>4850</v>
      </c>
    </row>
    <row r="35" spans="1:3" ht="45" x14ac:dyDescent="0.25">
      <c r="A35" s="7" t="s">
        <v>5</v>
      </c>
      <c r="B35" s="7" t="s">
        <v>4854</v>
      </c>
      <c r="C35" s="7" t="s">
        <v>4850</v>
      </c>
    </row>
    <row r="36" spans="1:3" ht="45" x14ac:dyDescent="0.25">
      <c r="A36" s="7" t="s">
        <v>5</v>
      </c>
      <c r="B36" s="7" t="s">
        <v>4855</v>
      </c>
      <c r="C36" s="7" t="s">
        <v>4850</v>
      </c>
    </row>
    <row r="37" spans="1:3" ht="45" x14ac:dyDescent="0.25">
      <c r="A37" s="7" t="s">
        <v>5</v>
      </c>
      <c r="B37" s="7" t="s">
        <v>4856</v>
      </c>
      <c r="C37" s="7" t="s">
        <v>4850</v>
      </c>
    </row>
    <row r="38" spans="1:3" ht="45" x14ac:dyDescent="0.25">
      <c r="A38" s="7" t="s">
        <v>5</v>
      </c>
      <c r="B38" s="7" t="s">
        <v>4857</v>
      </c>
      <c r="C38" s="7" t="s">
        <v>4858</v>
      </c>
    </row>
    <row r="39" spans="1:3" ht="45" x14ac:dyDescent="0.25">
      <c r="A39" s="7" t="s">
        <v>5</v>
      </c>
      <c r="B39" s="7" t="s">
        <v>4859</v>
      </c>
      <c r="C39" s="7" t="s">
        <v>4858</v>
      </c>
    </row>
    <row r="40" spans="1:3" ht="45" x14ac:dyDescent="0.25">
      <c r="A40" s="7" t="s">
        <v>5</v>
      </c>
      <c r="B40" s="7" t="s">
        <v>4860</v>
      </c>
      <c r="C40" s="7" t="s">
        <v>4858</v>
      </c>
    </row>
    <row r="41" spans="1:3" ht="45" x14ac:dyDescent="0.25">
      <c r="A41" s="7" t="s">
        <v>5</v>
      </c>
      <c r="B41" s="7" t="s">
        <v>4861</v>
      </c>
      <c r="C41" s="7" t="s">
        <v>4858</v>
      </c>
    </row>
    <row r="42" spans="1:3" ht="45" x14ac:dyDescent="0.25">
      <c r="A42" s="7" t="s">
        <v>5</v>
      </c>
      <c r="B42" s="7" t="s">
        <v>4862</v>
      </c>
      <c r="C42" s="7" t="s">
        <v>4858</v>
      </c>
    </row>
    <row r="43" spans="1:3" ht="45" x14ac:dyDescent="0.25">
      <c r="A43" s="7" t="s">
        <v>5</v>
      </c>
      <c r="B43" s="7" t="s">
        <v>4863</v>
      </c>
      <c r="C43" s="7" t="s">
        <v>4858</v>
      </c>
    </row>
    <row r="44" spans="1:3" ht="30" x14ac:dyDescent="0.25">
      <c r="A44" s="7" t="s">
        <v>125</v>
      </c>
      <c r="B44" s="7" t="s">
        <v>126</v>
      </c>
      <c r="C44" s="7" t="s">
        <v>4848</v>
      </c>
    </row>
    <row r="45" spans="1:3" ht="30" x14ac:dyDescent="0.25">
      <c r="A45" s="7" t="s">
        <v>125</v>
      </c>
      <c r="B45" s="7" t="s">
        <v>130</v>
      </c>
      <c r="C45" s="7" t="s">
        <v>4848</v>
      </c>
    </row>
    <row r="46" spans="1:3" ht="30" x14ac:dyDescent="0.25">
      <c r="A46" s="7" t="s">
        <v>125</v>
      </c>
      <c r="B46" s="7" t="s">
        <v>132</v>
      </c>
      <c r="C46" s="7" t="s">
        <v>4864</v>
      </c>
    </row>
    <row r="47" spans="1:3" ht="30" x14ac:dyDescent="0.25">
      <c r="A47" s="7" t="s">
        <v>125</v>
      </c>
      <c r="B47" s="7" t="s">
        <v>134</v>
      </c>
      <c r="C47" s="7" t="s">
        <v>4850</v>
      </c>
    </row>
    <row r="48" spans="1:3" ht="30" x14ac:dyDescent="0.25">
      <c r="A48" s="7" t="s">
        <v>125</v>
      </c>
      <c r="B48" s="7" t="s">
        <v>136</v>
      </c>
      <c r="C48" s="7" t="s">
        <v>4848</v>
      </c>
    </row>
    <row r="49" spans="1:3" ht="30" x14ac:dyDescent="0.25">
      <c r="A49" s="7" t="s">
        <v>125</v>
      </c>
      <c r="B49" s="7" t="s">
        <v>138</v>
      </c>
      <c r="C49" s="7" t="s">
        <v>4848</v>
      </c>
    </row>
    <row r="50" spans="1:3" ht="30" x14ac:dyDescent="0.25">
      <c r="A50" s="7" t="s">
        <v>125</v>
      </c>
      <c r="B50" s="7" t="s">
        <v>40</v>
      </c>
      <c r="C50" s="7" t="s">
        <v>4848</v>
      </c>
    </row>
    <row r="51" spans="1:3" ht="30" x14ac:dyDescent="0.25">
      <c r="A51" s="7" t="s">
        <v>125</v>
      </c>
      <c r="B51" s="7" t="s">
        <v>141</v>
      </c>
      <c r="C51" s="7" t="s">
        <v>4850</v>
      </c>
    </row>
    <row r="52" spans="1:3" ht="30" x14ac:dyDescent="0.25">
      <c r="A52" s="7" t="s">
        <v>125</v>
      </c>
      <c r="B52" s="7" t="s">
        <v>143</v>
      </c>
      <c r="C52" s="7" t="s">
        <v>4850</v>
      </c>
    </row>
    <row r="53" spans="1:3" ht="30" x14ac:dyDescent="0.25">
      <c r="A53" s="7" t="s">
        <v>125</v>
      </c>
      <c r="B53" s="7" t="s">
        <v>145</v>
      </c>
      <c r="C53" s="7" t="s">
        <v>4864</v>
      </c>
    </row>
    <row r="54" spans="1:3" ht="30" x14ac:dyDescent="0.25">
      <c r="A54" s="7" t="s">
        <v>125</v>
      </c>
      <c r="B54" s="7" t="s">
        <v>58</v>
      </c>
      <c r="C54" s="7" t="s">
        <v>4848</v>
      </c>
    </row>
    <row r="55" spans="1:3" ht="30" x14ac:dyDescent="0.25">
      <c r="A55" s="7" t="s">
        <v>125</v>
      </c>
      <c r="B55" s="7" t="s">
        <v>148</v>
      </c>
      <c r="C55" s="7" t="s">
        <v>4848</v>
      </c>
    </row>
    <row r="56" spans="1:3" ht="30" x14ac:dyDescent="0.25">
      <c r="A56" s="7" t="s">
        <v>125</v>
      </c>
      <c r="B56" s="7" t="s">
        <v>150</v>
      </c>
      <c r="C56" s="7" t="s">
        <v>4848</v>
      </c>
    </row>
    <row r="57" spans="1:3" ht="30" x14ac:dyDescent="0.25">
      <c r="A57" s="7" t="s">
        <v>125</v>
      </c>
      <c r="B57" s="7" t="s">
        <v>152</v>
      </c>
      <c r="C57" s="7" t="s">
        <v>4848</v>
      </c>
    </row>
    <row r="58" spans="1:3" ht="45" x14ac:dyDescent="0.25">
      <c r="A58" s="7" t="s">
        <v>125</v>
      </c>
      <c r="B58" s="7" t="s">
        <v>154</v>
      </c>
      <c r="C58" s="7" t="s">
        <v>4848</v>
      </c>
    </row>
    <row r="59" spans="1:3" ht="30" x14ac:dyDescent="0.25">
      <c r="A59" s="7" t="s">
        <v>125</v>
      </c>
      <c r="B59" s="7" t="s">
        <v>64</v>
      </c>
      <c r="C59" s="7" t="s">
        <v>4864</v>
      </c>
    </row>
    <row r="60" spans="1:3" ht="30" x14ac:dyDescent="0.25">
      <c r="A60" s="7" t="s">
        <v>125</v>
      </c>
      <c r="B60" s="7" t="s">
        <v>157</v>
      </c>
      <c r="C60" s="7" t="s">
        <v>4848</v>
      </c>
    </row>
    <row r="61" spans="1:3" ht="45" x14ac:dyDescent="0.25">
      <c r="A61" s="7" t="s">
        <v>125</v>
      </c>
      <c r="B61" s="7" t="s">
        <v>159</v>
      </c>
      <c r="C61" s="7" t="s">
        <v>4848</v>
      </c>
    </row>
    <row r="62" spans="1:3" ht="30" x14ac:dyDescent="0.25">
      <c r="A62" s="7" t="s">
        <v>125</v>
      </c>
      <c r="B62" s="7" t="s">
        <v>161</v>
      </c>
      <c r="C62" s="7" t="s">
        <v>4848</v>
      </c>
    </row>
    <row r="63" spans="1:3" ht="60" x14ac:dyDescent="0.25">
      <c r="A63" s="7" t="s">
        <v>125</v>
      </c>
      <c r="B63" s="7" t="s">
        <v>163</v>
      </c>
      <c r="C63" s="7" t="s">
        <v>4848</v>
      </c>
    </row>
    <row r="64" spans="1:3" ht="30" x14ac:dyDescent="0.25">
      <c r="A64" s="7" t="s">
        <v>125</v>
      </c>
      <c r="B64" s="7" t="s">
        <v>4865</v>
      </c>
      <c r="C64" s="7" t="s">
        <v>4848</v>
      </c>
    </row>
    <row r="65" spans="1:3" ht="30" x14ac:dyDescent="0.25">
      <c r="A65" s="7" t="s">
        <v>125</v>
      </c>
      <c r="B65" s="7" t="s">
        <v>4866</v>
      </c>
      <c r="C65" s="7" t="s">
        <v>4848</v>
      </c>
    </row>
    <row r="66" spans="1:3" ht="30" x14ac:dyDescent="0.25">
      <c r="A66" s="7" t="s">
        <v>125</v>
      </c>
      <c r="B66" s="7" t="s">
        <v>4867</v>
      </c>
      <c r="C66" s="7" t="s">
        <v>4864</v>
      </c>
    </row>
    <row r="67" spans="1:3" ht="30" x14ac:dyDescent="0.25">
      <c r="A67" s="7" t="s">
        <v>125</v>
      </c>
      <c r="B67" s="7" t="s">
        <v>4868</v>
      </c>
      <c r="C67" s="7" t="s">
        <v>4848</v>
      </c>
    </row>
    <row r="68" spans="1:3" ht="30" x14ac:dyDescent="0.25">
      <c r="A68" s="7" t="s">
        <v>125</v>
      </c>
      <c r="B68" s="7" t="s">
        <v>4869</v>
      </c>
      <c r="C68" s="7" t="s">
        <v>4850</v>
      </c>
    </row>
    <row r="69" spans="1:3" ht="30" x14ac:dyDescent="0.25">
      <c r="A69" s="7" t="s">
        <v>125</v>
      </c>
      <c r="B69" s="7" t="s">
        <v>4851</v>
      </c>
      <c r="C69" s="7" t="s">
        <v>4850</v>
      </c>
    </row>
    <row r="70" spans="1:3" ht="30" x14ac:dyDescent="0.25">
      <c r="A70" s="7" t="s">
        <v>125</v>
      </c>
      <c r="B70" s="7" t="s">
        <v>4870</v>
      </c>
      <c r="C70" s="7" t="s">
        <v>4850</v>
      </c>
    </row>
    <row r="71" spans="1:3" ht="45" x14ac:dyDescent="0.25">
      <c r="A71" s="7" t="s">
        <v>4871</v>
      </c>
      <c r="B71" s="7" t="s">
        <v>65</v>
      </c>
      <c r="C71" s="7" t="s">
        <v>4872</v>
      </c>
    </row>
    <row r="72" spans="1:3" ht="45" x14ac:dyDescent="0.25">
      <c r="A72" s="7" t="s">
        <v>4871</v>
      </c>
      <c r="B72" s="7" t="s">
        <v>58</v>
      </c>
      <c r="C72" s="7" t="s">
        <v>4873</v>
      </c>
    </row>
    <row r="73" spans="1:3" ht="45" x14ac:dyDescent="0.25">
      <c r="A73" s="7" t="s">
        <v>4871</v>
      </c>
      <c r="B73" s="7" t="s">
        <v>64</v>
      </c>
      <c r="C73" s="7" t="s">
        <v>4874</v>
      </c>
    </row>
    <row r="74" spans="1:3" ht="45" x14ac:dyDescent="0.25">
      <c r="A74" s="7" t="s">
        <v>4871</v>
      </c>
      <c r="B74" s="7" t="s">
        <v>70</v>
      </c>
      <c r="C74" s="7" t="s">
        <v>4875</v>
      </c>
    </row>
    <row r="75" spans="1:3" ht="60" x14ac:dyDescent="0.25">
      <c r="A75" s="7" t="s">
        <v>4871</v>
      </c>
      <c r="B75" s="7" t="s">
        <v>14</v>
      </c>
      <c r="C75" s="7" t="s">
        <v>4876</v>
      </c>
    </row>
    <row r="76" spans="1:3" ht="90" x14ac:dyDescent="0.25">
      <c r="A76" s="7" t="s">
        <v>4871</v>
      </c>
      <c r="B76" s="7" t="s">
        <v>77</v>
      </c>
      <c r="C76" s="7" t="s">
        <v>4877</v>
      </c>
    </row>
    <row r="77" spans="1:3" ht="90" x14ac:dyDescent="0.25">
      <c r="A77" s="7" t="s">
        <v>4871</v>
      </c>
      <c r="B77" s="7" t="s">
        <v>76</v>
      </c>
      <c r="C77" s="7" t="s">
        <v>4878</v>
      </c>
    </row>
    <row r="78" spans="1:3" ht="60" x14ac:dyDescent="0.25">
      <c r="A78" s="7" t="s">
        <v>4871</v>
      </c>
      <c r="B78" s="7" t="s">
        <v>74</v>
      </c>
      <c r="C78" s="7" t="s">
        <v>4879</v>
      </c>
    </row>
    <row r="79" spans="1:3" ht="45" x14ac:dyDescent="0.25">
      <c r="A79" s="7" t="s">
        <v>4871</v>
      </c>
      <c r="B79" s="7" t="s">
        <v>67</v>
      </c>
      <c r="C79" s="7" t="s">
        <v>4880</v>
      </c>
    </row>
    <row r="80" spans="1:3" ht="45" x14ac:dyDescent="0.25">
      <c r="A80" s="7" t="s">
        <v>4871</v>
      </c>
      <c r="B80" s="7" t="s">
        <v>78</v>
      </c>
      <c r="C80" s="7" t="s">
        <v>4881</v>
      </c>
    </row>
    <row r="81" spans="1:3" ht="45" x14ac:dyDescent="0.25">
      <c r="A81" s="7" t="s">
        <v>4871</v>
      </c>
      <c r="B81" s="7" t="s">
        <v>81</v>
      </c>
      <c r="C81" s="7" t="s">
        <v>4882</v>
      </c>
    </row>
    <row r="82" spans="1:3" ht="30" x14ac:dyDescent="0.25">
      <c r="A82" s="7" t="s">
        <v>4871</v>
      </c>
      <c r="B82" s="7" t="s">
        <v>79</v>
      </c>
      <c r="C82" s="7" t="s">
        <v>4850</v>
      </c>
    </row>
    <row r="83" spans="1:3" ht="45" x14ac:dyDescent="0.25">
      <c r="A83" s="7" t="s">
        <v>4871</v>
      </c>
      <c r="B83" s="7" t="s">
        <v>80</v>
      </c>
      <c r="C83" s="7" t="s">
        <v>4883</v>
      </c>
    </row>
    <row r="84" spans="1:3" ht="30" x14ac:dyDescent="0.25">
      <c r="A84" s="7" t="s">
        <v>4871</v>
      </c>
      <c r="B84" s="7" t="s">
        <v>66</v>
      </c>
      <c r="C84" s="7" t="s">
        <v>4884</v>
      </c>
    </row>
    <row r="85" spans="1:3" ht="45" x14ac:dyDescent="0.25">
      <c r="A85" s="7" t="s">
        <v>4871</v>
      </c>
      <c r="B85" s="7" t="s">
        <v>73</v>
      </c>
      <c r="C85" s="7" t="s">
        <v>4885</v>
      </c>
    </row>
    <row r="86" spans="1:3" ht="75" x14ac:dyDescent="0.25">
      <c r="A86" s="7" t="s">
        <v>4871</v>
      </c>
      <c r="B86" s="7" t="s">
        <v>72</v>
      </c>
      <c r="C86" s="7" t="s">
        <v>4886</v>
      </c>
    </row>
    <row r="87" spans="1:3" ht="75" x14ac:dyDescent="0.25">
      <c r="A87" s="7" t="s">
        <v>4871</v>
      </c>
      <c r="B87" s="7" t="s">
        <v>68</v>
      </c>
      <c r="C87" s="7" t="s">
        <v>4887</v>
      </c>
    </row>
    <row r="88" spans="1:3" ht="75" x14ac:dyDescent="0.25">
      <c r="A88" s="7" t="s">
        <v>4871</v>
      </c>
      <c r="B88" s="7" t="s">
        <v>38</v>
      </c>
      <c r="C88" s="7" t="s">
        <v>4888</v>
      </c>
    </row>
    <row r="89" spans="1:3" ht="105" x14ac:dyDescent="0.25">
      <c r="A89" s="7" t="s">
        <v>4871</v>
      </c>
      <c r="B89" s="7" t="s">
        <v>71</v>
      </c>
      <c r="C89" s="7" t="s">
        <v>4889</v>
      </c>
    </row>
    <row r="90" spans="1:3" ht="60" x14ac:dyDescent="0.25">
      <c r="A90" s="7" t="s">
        <v>4871</v>
      </c>
      <c r="B90" s="7" t="s">
        <v>75</v>
      </c>
      <c r="C90" s="7" t="s">
        <v>4876</v>
      </c>
    </row>
    <row r="91" spans="1:3" ht="60" x14ac:dyDescent="0.25">
      <c r="A91" s="7" t="s">
        <v>4871</v>
      </c>
      <c r="B91" s="7" t="s">
        <v>69</v>
      </c>
      <c r="C91" s="7" t="s">
        <v>4890</v>
      </c>
    </row>
    <row r="92" spans="1:3" ht="60" x14ac:dyDescent="0.25">
      <c r="A92" s="7" t="s">
        <v>4871</v>
      </c>
      <c r="B92" s="7" t="s">
        <v>52</v>
      </c>
      <c r="C92" s="7" t="s">
        <v>4891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icici nav</vt:lpstr>
      <vt:lpstr>TATA AIA nav</vt:lpstr>
      <vt:lpstr>nav master</vt:lpstr>
      <vt:lpstr>HDFC_nav</vt:lpstr>
      <vt:lpstr>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 sharma</cp:lastModifiedBy>
  <dcterms:modified xsi:type="dcterms:W3CDTF">2026-08-15T11:29:45Z</dcterms:modified>
</cp:coreProperties>
</file>